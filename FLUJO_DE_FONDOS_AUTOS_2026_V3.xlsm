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P:\"/>
    </mc:Choice>
  </mc:AlternateContent>
  <xr:revisionPtr revIDLastSave="0" documentId="13_ncr:1_{3542C2C7-96C3-416D-9FD3-134A853BEE3F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1. FDC_MENSUAL" sheetId="1" r:id="rId1"/>
    <sheet name="2. Movimientos" sheetId="2" r:id="rId2"/>
    <sheet name="Flujo de Rentas" sheetId="3" r:id="rId3"/>
    <sheet name="Resumen Rentas" sheetId="4" r:id="rId4"/>
    <sheet name="3. Detalles_e_Informes" sheetId="5" r:id="rId5"/>
    <sheet name="4. Plan_cuentas" sheetId="6" r:id="rId6"/>
    <sheet name="5. Setup" sheetId="7" r:id="rId7"/>
    <sheet name="6. Diseño_cobros" sheetId="8" r:id="rId8"/>
    <sheet name="7. Diseño_Pagos" sheetId="9" r:id="rId9"/>
  </sheets>
  <functionGroups builtInGroupCount="19"/>
  <definedNames>
    <definedName name="_2°_quincena_Plan_Rombo">'6. Diseño_cobros'!$A$43:$A$64</definedName>
    <definedName name="_xlnm._FilterDatabase" localSheetId="2" hidden="1">'Flujo de Rentas'!$A$1:$O$1769</definedName>
    <definedName name="Egresos_2025">Egresos[Sub-Partidas de Egresos]</definedName>
    <definedName name="Ingresos_2025">Ingresos[Sub-Partidas de Ingresos]</definedName>
    <definedName name="Texto_PC">Plan_cuentas[Partida]&amp;" "&amp;Plan_cuentas[Tipo de Operación]&amp;" "&amp;Plan_cuentas[Sub-Partida]&amp;" "&amp;Plan_cuentas[Detalle]&amp;" "&amp;Plan_cuentas[Automotriz]&amp;" "&amp;Plan_cuentas[Codigo]</definedName>
    <definedName name="TipoOperacion_2025">TipoOperacion[Tipo de Operación]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45" i="2" l="1"/>
  <c r="C2645" i="2"/>
  <c r="E2645" i="2"/>
  <c r="F2645" i="2"/>
  <c r="G2645" i="2"/>
  <c r="H2645" i="2"/>
  <c r="K2645" i="2"/>
  <c r="N2645" i="2"/>
  <c r="H4" i="6" a="1"/>
  <c r="M4" i="6" s="1"/>
  <c r="N5053" i="2"/>
  <c r="K5053" i="2"/>
  <c r="H5053" i="2"/>
  <c r="G5053" i="2"/>
  <c r="F5053" i="2"/>
  <c r="E5053" i="2"/>
  <c r="C5053" i="2"/>
  <c r="B5053" i="2"/>
  <c r="N5052" i="2"/>
  <c r="K5052" i="2"/>
  <c r="H5052" i="2"/>
  <c r="G5052" i="2"/>
  <c r="F5052" i="2"/>
  <c r="E5052" i="2"/>
  <c r="C5052" i="2"/>
  <c r="B5052" i="2"/>
  <c r="N5051" i="2"/>
  <c r="K5051" i="2"/>
  <c r="H5051" i="2"/>
  <c r="G5051" i="2"/>
  <c r="F5051" i="2"/>
  <c r="E5051" i="2"/>
  <c r="C5051" i="2"/>
  <c r="B5051" i="2"/>
  <c r="N5050" i="2"/>
  <c r="K5050" i="2"/>
  <c r="H5050" i="2"/>
  <c r="G5050" i="2"/>
  <c r="F5050" i="2"/>
  <c r="E5050" i="2"/>
  <c r="C5050" i="2"/>
  <c r="B5050" i="2"/>
  <c r="N5049" i="2"/>
  <c r="K5049" i="2"/>
  <c r="H5049" i="2"/>
  <c r="G5049" i="2"/>
  <c r="F5049" i="2"/>
  <c r="E5049" i="2"/>
  <c r="C5049" i="2"/>
  <c r="B5049" i="2"/>
  <c r="N5048" i="2"/>
  <c r="K5048" i="2"/>
  <c r="H5048" i="2"/>
  <c r="G5048" i="2"/>
  <c r="F5048" i="2"/>
  <c r="E5048" i="2"/>
  <c r="C5048" i="2"/>
  <c r="B5048" i="2"/>
  <c r="N5047" i="2"/>
  <c r="K5047" i="2"/>
  <c r="H5047" i="2"/>
  <c r="G5047" i="2"/>
  <c r="F5047" i="2"/>
  <c r="E5047" i="2"/>
  <c r="C5047" i="2"/>
  <c r="B5047" i="2"/>
  <c r="N5046" i="2"/>
  <c r="K5046" i="2"/>
  <c r="H5046" i="2"/>
  <c r="G5046" i="2"/>
  <c r="F5046" i="2"/>
  <c r="E5046" i="2"/>
  <c r="C5046" i="2"/>
  <c r="B5046" i="2"/>
  <c r="N5045" i="2"/>
  <c r="K5045" i="2"/>
  <c r="H5045" i="2"/>
  <c r="G5045" i="2"/>
  <c r="F5045" i="2"/>
  <c r="E5045" i="2"/>
  <c r="C5045" i="2"/>
  <c r="B5045" i="2"/>
  <c r="N5044" i="2"/>
  <c r="K5044" i="2"/>
  <c r="H5044" i="2"/>
  <c r="G5044" i="2"/>
  <c r="F5044" i="2"/>
  <c r="E5044" i="2"/>
  <c r="C5044" i="2"/>
  <c r="B5044" i="2"/>
  <c r="N5043" i="2"/>
  <c r="K5043" i="2"/>
  <c r="H5043" i="2"/>
  <c r="G5043" i="2"/>
  <c r="F5043" i="2"/>
  <c r="E5043" i="2"/>
  <c r="C5043" i="2"/>
  <c r="B5043" i="2"/>
  <c r="N5042" i="2"/>
  <c r="K5042" i="2"/>
  <c r="H5042" i="2"/>
  <c r="G5042" i="2"/>
  <c r="F5042" i="2"/>
  <c r="E5042" i="2"/>
  <c r="C5042" i="2"/>
  <c r="B5042" i="2"/>
  <c r="N5041" i="2"/>
  <c r="K5041" i="2"/>
  <c r="H5041" i="2"/>
  <c r="G5041" i="2"/>
  <c r="F5041" i="2"/>
  <c r="E5041" i="2"/>
  <c r="C5041" i="2"/>
  <c r="B5041" i="2"/>
  <c r="N5040" i="2"/>
  <c r="K5040" i="2"/>
  <c r="H5040" i="2"/>
  <c r="G5040" i="2"/>
  <c r="F5040" i="2"/>
  <c r="E5040" i="2"/>
  <c r="C5040" i="2"/>
  <c r="B5040" i="2"/>
  <c r="N5039" i="2"/>
  <c r="K5039" i="2"/>
  <c r="H5039" i="2"/>
  <c r="G5039" i="2"/>
  <c r="F5039" i="2"/>
  <c r="E5039" i="2"/>
  <c r="C5039" i="2"/>
  <c r="B5039" i="2"/>
  <c r="N5038" i="2"/>
  <c r="K5038" i="2"/>
  <c r="H5038" i="2"/>
  <c r="G5038" i="2"/>
  <c r="F5038" i="2"/>
  <c r="E5038" i="2"/>
  <c r="C5038" i="2"/>
  <c r="B5038" i="2"/>
  <c r="N5037" i="2"/>
  <c r="K5037" i="2"/>
  <c r="H5037" i="2"/>
  <c r="G5037" i="2"/>
  <c r="F5037" i="2"/>
  <c r="E5037" i="2"/>
  <c r="C5037" i="2"/>
  <c r="B5037" i="2"/>
  <c r="N5036" i="2"/>
  <c r="K5036" i="2"/>
  <c r="H5036" i="2"/>
  <c r="G5036" i="2"/>
  <c r="F5036" i="2"/>
  <c r="E5036" i="2"/>
  <c r="C5036" i="2"/>
  <c r="B5036" i="2"/>
  <c r="N5035" i="2"/>
  <c r="K5035" i="2"/>
  <c r="H5035" i="2"/>
  <c r="G5035" i="2"/>
  <c r="F5035" i="2"/>
  <c r="E5035" i="2"/>
  <c r="C5035" i="2"/>
  <c r="B5035" i="2"/>
  <c r="N5034" i="2"/>
  <c r="K5034" i="2"/>
  <c r="H5034" i="2"/>
  <c r="G5034" i="2"/>
  <c r="F5034" i="2"/>
  <c r="E5034" i="2"/>
  <c r="C5034" i="2"/>
  <c r="B5034" i="2"/>
  <c r="N5033" i="2"/>
  <c r="K5033" i="2"/>
  <c r="H5033" i="2"/>
  <c r="G5033" i="2"/>
  <c r="F5033" i="2"/>
  <c r="E5033" i="2"/>
  <c r="C5033" i="2"/>
  <c r="B5033" i="2"/>
  <c r="N5032" i="2"/>
  <c r="K5032" i="2"/>
  <c r="H5032" i="2"/>
  <c r="G5032" i="2"/>
  <c r="F5032" i="2"/>
  <c r="E5032" i="2"/>
  <c r="C5032" i="2"/>
  <c r="B5032" i="2"/>
  <c r="N5031" i="2"/>
  <c r="K5031" i="2"/>
  <c r="H5031" i="2"/>
  <c r="G5031" i="2"/>
  <c r="F5031" i="2"/>
  <c r="E5031" i="2"/>
  <c r="C5031" i="2"/>
  <c r="B5031" i="2"/>
  <c r="N5030" i="2"/>
  <c r="K5030" i="2"/>
  <c r="H5030" i="2"/>
  <c r="G5030" i="2"/>
  <c r="F5030" i="2"/>
  <c r="E5030" i="2"/>
  <c r="C5030" i="2"/>
  <c r="B5030" i="2"/>
  <c r="N5029" i="2"/>
  <c r="K5029" i="2"/>
  <c r="H5029" i="2"/>
  <c r="G5029" i="2"/>
  <c r="F5029" i="2"/>
  <c r="E5029" i="2"/>
  <c r="C5029" i="2"/>
  <c r="B5029" i="2"/>
  <c r="N5028" i="2"/>
  <c r="K5028" i="2"/>
  <c r="H5028" i="2"/>
  <c r="G5028" i="2"/>
  <c r="F5028" i="2"/>
  <c r="E5028" i="2"/>
  <c r="C5028" i="2"/>
  <c r="B5028" i="2"/>
  <c r="N5027" i="2"/>
  <c r="K5027" i="2"/>
  <c r="H5027" i="2"/>
  <c r="G5027" i="2"/>
  <c r="F5027" i="2"/>
  <c r="E5027" i="2"/>
  <c r="C5027" i="2"/>
  <c r="B5027" i="2"/>
  <c r="N5026" i="2"/>
  <c r="K5026" i="2"/>
  <c r="H5026" i="2"/>
  <c r="G5026" i="2"/>
  <c r="F5026" i="2"/>
  <c r="E5026" i="2"/>
  <c r="C5026" i="2"/>
  <c r="B5026" i="2"/>
  <c r="N5025" i="2"/>
  <c r="K5025" i="2"/>
  <c r="H5025" i="2"/>
  <c r="G5025" i="2"/>
  <c r="F5025" i="2"/>
  <c r="E5025" i="2"/>
  <c r="C5025" i="2"/>
  <c r="B5025" i="2"/>
  <c r="N5024" i="2"/>
  <c r="K5024" i="2"/>
  <c r="H5024" i="2"/>
  <c r="G5024" i="2"/>
  <c r="F5024" i="2"/>
  <c r="E5024" i="2"/>
  <c r="C5024" i="2"/>
  <c r="B5024" i="2"/>
  <c r="N5023" i="2"/>
  <c r="K5023" i="2"/>
  <c r="H5023" i="2"/>
  <c r="G5023" i="2"/>
  <c r="F5023" i="2"/>
  <c r="E5023" i="2"/>
  <c r="C5023" i="2"/>
  <c r="B5023" i="2"/>
  <c r="N5022" i="2"/>
  <c r="K5022" i="2"/>
  <c r="H5022" i="2"/>
  <c r="G5022" i="2"/>
  <c r="F5022" i="2"/>
  <c r="E5022" i="2"/>
  <c r="C5022" i="2"/>
  <c r="B5022" i="2"/>
  <c r="N5021" i="2"/>
  <c r="K5021" i="2"/>
  <c r="H5021" i="2"/>
  <c r="G5021" i="2"/>
  <c r="F5021" i="2"/>
  <c r="E5021" i="2"/>
  <c r="C5021" i="2"/>
  <c r="B5021" i="2"/>
  <c r="N5020" i="2"/>
  <c r="K5020" i="2"/>
  <c r="H5020" i="2"/>
  <c r="G5020" i="2"/>
  <c r="F5020" i="2"/>
  <c r="E5020" i="2"/>
  <c r="C5020" i="2"/>
  <c r="B5020" i="2"/>
  <c r="N5019" i="2"/>
  <c r="K5019" i="2"/>
  <c r="H5019" i="2"/>
  <c r="G5019" i="2"/>
  <c r="F5019" i="2"/>
  <c r="E5019" i="2"/>
  <c r="C5019" i="2"/>
  <c r="B5019" i="2"/>
  <c r="N5018" i="2"/>
  <c r="K5018" i="2"/>
  <c r="H5018" i="2"/>
  <c r="G5018" i="2"/>
  <c r="F5018" i="2"/>
  <c r="E5018" i="2"/>
  <c r="C5018" i="2"/>
  <c r="B5018" i="2"/>
  <c r="N5017" i="2"/>
  <c r="K5017" i="2"/>
  <c r="H5017" i="2"/>
  <c r="G5017" i="2"/>
  <c r="F5017" i="2"/>
  <c r="E5017" i="2"/>
  <c r="C5017" i="2"/>
  <c r="B5017" i="2"/>
  <c r="N5016" i="2"/>
  <c r="K5016" i="2"/>
  <c r="H5016" i="2"/>
  <c r="G5016" i="2"/>
  <c r="F5016" i="2"/>
  <c r="E5016" i="2"/>
  <c r="C5016" i="2"/>
  <c r="B5016" i="2"/>
  <c r="N5015" i="2"/>
  <c r="K5015" i="2"/>
  <c r="H5015" i="2"/>
  <c r="G5015" i="2"/>
  <c r="F5015" i="2"/>
  <c r="E5015" i="2"/>
  <c r="C5015" i="2"/>
  <c r="B5015" i="2"/>
  <c r="N5014" i="2"/>
  <c r="K5014" i="2"/>
  <c r="H5014" i="2"/>
  <c r="G5014" i="2"/>
  <c r="F5014" i="2"/>
  <c r="E5014" i="2"/>
  <c r="C5014" i="2"/>
  <c r="B5014" i="2"/>
  <c r="N5013" i="2"/>
  <c r="K5013" i="2"/>
  <c r="H5013" i="2"/>
  <c r="G5013" i="2"/>
  <c r="F5013" i="2"/>
  <c r="E5013" i="2"/>
  <c r="C5013" i="2"/>
  <c r="B5013" i="2"/>
  <c r="N5012" i="2"/>
  <c r="K5012" i="2"/>
  <c r="H5012" i="2"/>
  <c r="G5012" i="2"/>
  <c r="F5012" i="2"/>
  <c r="E5012" i="2"/>
  <c r="C5012" i="2"/>
  <c r="B5012" i="2"/>
  <c r="N5011" i="2"/>
  <c r="K5011" i="2"/>
  <c r="H5011" i="2"/>
  <c r="G5011" i="2"/>
  <c r="F5011" i="2"/>
  <c r="E5011" i="2"/>
  <c r="C5011" i="2"/>
  <c r="B5011" i="2"/>
  <c r="N5010" i="2"/>
  <c r="K5010" i="2"/>
  <c r="H5010" i="2"/>
  <c r="G5010" i="2"/>
  <c r="F5010" i="2"/>
  <c r="E5010" i="2"/>
  <c r="C5010" i="2"/>
  <c r="B5010" i="2"/>
  <c r="N5009" i="2"/>
  <c r="K5009" i="2"/>
  <c r="H5009" i="2"/>
  <c r="G5009" i="2"/>
  <c r="F5009" i="2"/>
  <c r="E5009" i="2"/>
  <c r="C5009" i="2"/>
  <c r="B5009" i="2"/>
  <c r="N5008" i="2"/>
  <c r="K5008" i="2"/>
  <c r="H5008" i="2"/>
  <c r="G5008" i="2"/>
  <c r="F5008" i="2"/>
  <c r="E5008" i="2"/>
  <c r="C5008" i="2"/>
  <c r="B5008" i="2"/>
  <c r="N5007" i="2"/>
  <c r="K5007" i="2"/>
  <c r="H5007" i="2"/>
  <c r="G5007" i="2"/>
  <c r="F5007" i="2"/>
  <c r="E5007" i="2"/>
  <c r="C5007" i="2"/>
  <c r="B5007" i="2"/>
  <c r="N5006" i="2"/>
  <c r="K5006" i="2"/>
  <c r="H5006" i="2"/>
  <c r="G5006" i="2"/>
  <c r="F5006" i="2"/>
  <c r="E5006" i="2"/>
  <c r="C5006" i="2"/>
  <c r="B5006" i="2"/>
  <c r="N5005" i="2"/>
  <c r="K5005" i="2"/>
  <c r="H5005" i="2"/>
  <c r="G5005" i="2"/>
  <c r="F5005" i="2"/>
  <c r="E5005" i="2"/>
  <c r="C5005" i="2"/>
  <c r="B5005" i="2"/>
  <c r="N5004" i="2"/>
  <c r="K5004" i="2"/>
  <c r="H5004" i="2"/>
  <c r="G5004" i="2"/>
  <c r="F5004" i="2"/>
  <c r="E5004" i="2"/>
  <c r="C5004" i="2"/>
  <c r="B5004" i="2"/>
  <c r="N5003" i="2"/>
  <c r="K5003" i="2"/>
  <c r="H5003" i="2"/>
  <c r="G5003" i="2"/>
  <c r="F5003" i="2"/>
  <c r="E5003" i="2"/>
  <c r="C5003" i="2"/>
  <c r="B5003" i="2"/>
  <c r="N5002" i="2"/>
  <c r="K5002" i="2"/>
  <c r="H5002" i="2"/>
  <c r="G5002" i="2"/>
  <c r="F5002" i="2"/>
  <c r="E5002" i="2"/>
  <c r="C5002" i="2"/>
  <c r="B5002" i="2"/>
  <c r="N5001" i="2"/>
  <c r="K5001" i="2"/>
  <c r="H5001" i="2"/>
  <c r="G5001" i="2"/>
  <c r="F5001" i="2"/>
  <c r="E5001" i="2"/>
  <c r="C5001" i="2"/>
  <c r="B5001" i="2"/>
  <c r="N5000" i="2"/>
  <c r="K5000" i="2"/>
  <c r="H5000" i="2"/>
  <c r="G5000" i="2"/>
  <c r="F5000" i="2"/>
  <c r="E5000" i="2"/>
  <c r="C5000" i="2"/>
  <c r="B5000" i="2"/>
  <c r="N4999" i="2"/>
  <c r="K4999" i="2"/>
  <c r="H4999" i="2"/>
  <c r="G4999" i="2"/>
  <c r="F4999" i="2"/>
  <c r="E4999" i="2"/>
  <c r="C4999" i="2"/>
  <c r="B4999" i="2"/>
  <c r="N4998" i="2"/>
  <c r="K4998" i="2"/>
  <c r="H4998" i="2"/>
  <c r="G4998" i="2"/>
  <c r="F4998" i="2"/>
  <c r="E4998" i="2"/>
  <c r="C4998" i="2"/>
  <c r="B4998" i="2"/>
  <c r="N4997" i="2"/>
  <c r="K4997" i="2"/>
  <c r="H4997" i="2"/>
  <c r="G4997" i="2"/>
  <c r="F4997" i="2"/>
  <c r="E4997" i="2"/>
  <c r="C4997" i="2"/>
  <c r="B4997" i="2"/>
  <c r="N4996" i="2"/>
  <c r="K4996" i="2"/>
  <c r="H4996" i="2"/>
  <c r="G4996" i="2"/>
  <c r="F4996" i="2"/>
  <c r="E4996" i="2"/>
  <c r="C4996" i="2"/>
  <c r="B4996" i="2"/>
  <c r="N4995" i="2"/>
  <c r="K4995" i="2"/>
  <c r="H4995" i="2"/>
  <c r="G4995" i="2"/>
  <c r="F4995" i="2"/>
  <c r="E4995" i="2"/>
  <c r="C4995" i="2"/>
  <c r="B4995" i="2"/>
  <c r="N4994" i="2"/>
  <c r="K4994" i="2"/>
  <c r="H4994" i="2"/>
  <c r="G4994" i="2"/>
  <c r="F4994" i="2"/>
  <c r="E4994" i="2"/>
  <c r="C4994" i="2"/>
  <c r="B4994" i="2"/>
  <c r="N4993" i="2"/>
  <c r="K4993" i="2"/>
  <c r="H4993" i="2"/>
  <c r="G4993" i="2"/>
  <c r="F4993" i="2"/>
  <c r="E4993" i="2"/>
  <c r="C4993" i="2"/>
  <c r="B4993" i="2"/>
  <c r="N4992" i="2"/>
  <c r="K4992" i="2"/>
  <c r="H4992" i="2"/>
  <c r="G4992" i="2"/>
  <c r="F4992" i="2"/>
  <c r="E4992" i="2"/>
  <c r="C4992" i="2"/>
  <c r="B4992" i="2"/>
  <c r="N4991" i="2"/>
  <c r="K4991" i="2"/>
  <c r="H4991" i="2"/>
  <c r="G4991" i="2"/>
  <c r="F4991" i="2"/>
  <c r="E4991" i="2"/>
  <c r="C4991" i="2"/>
  <c r="B4991" i="2"/>
  <c r="N4990" i="2"/>
  <c r="K4990" i="2"/>
  <c r="H4990" i="2"/>
  <c r="G4990" i="2"/>
  <c r="F4990" i="2"/>
  <c r="E4990" i="2"/>
  <c r="C4990" i="2"/>
  <c r="B4990" i="2"/>
  <c r="N4989" i="2"/>
  <c r="K4989" i="2"/>
  <c r="H4989" i="2"/>
  <c r="G4989" i="2"/>
  <c r="F4989" i="2"/>
  <c r="E4989" i="2"/>
  <c r="C4989" i="2"/>
  <c r="B4989" i="2"/>
  <c r="N4988" i="2"/>
  <c r="K4988" i="2"/>
  <c r="H4988" i="2"/>
  <c r="G4988" i="2"/>
  <c r="F4988" i="2"/>
  <c r="E4988" i="2"/>
  <c r="C4988" i="2"/>
  <c r="B4988" i="2"/>
  <c r="N4987" i="2"/>
  <c r="K4987" i="2"/>
  <c r="H4987" i="2"/>
  <c r="G4987" i="2"/>
  <c r="F4987" i="2"/>
  <c r="E4987" i="2"/>
  <c r="C4987" i="2"/>
  <c r="B4987" i="2"/>
  <c r="N4986" i="2"/>
  <c r="K4986" i="2"/>
  <c r="H4986" i="2"/>
  <c r="G4986" i="2"/>
  <c r="F4986" i="2"/>
  <c r="E4986" i="2"/>
  <c r="C4986" i="2"/>
  <c r="B4986" i="2"/>
  <c r="N4985" i="2"/>
  <c r="K4985" i="2"/>
  <c r="H4985" i="2"/>
  <c r="G4985" i="2"/>
  <c r="F4985" i="2"/>
  <c r="E4985" i="2"/>
  <c r="C4985" i="2"/>
  <c r="B4985" i="2"/>
  <c r="N4984" i="2"/>
  <c r="K4984" i="2"/>
  <c r="H4984" i="2"/>
  <c r="G4984" i="2"/>
  <c r="F4984" i="2"/>
  <c r="E4984" i="2"/>
  <c r="C4984" i="2"/>
  <c r="B4984" i="2"/>
  <c r="N4983" i="2"/>
  <c r="K4983" i="2"/>
  <c r="H4983" i="2"/>
  <c r="G4983" i="2"/>
  <c r="F4983" i="2"/>
  <c r="E4983" i="2"/>
  <c r="C4983" i="2"/>
  <c r="B4983" i="2"/>
  <c r="N4982" i="2"/>
  <c r="K4982" i="2"/>
  <c r="H4982" i="2"/>
  <c r="G4982" i="2"/>
  <c r="F4982" i="2"/>
  <c r="E4982" i="2"/>
  <c r="C4982" i="2"/>
  <c r="B4982" i="2"/>
  <c r="N4981" i="2"/>
  <c r="K4981" i="2"/>
  <c r="H4981" i="2"/>
  <c r="G4981" i="2"/>
  <c r="F4981" i="2"/>
  <c r="E4981" i="2"/>
  <c r="C4981" i="2"/>
  <c r="B4981" i="2"/>
  <c r="N4980" i="2"/>
  <c r="K4980" i="2"/>
  <c r="H4980" i="2"/>
  <c r="G4980" i="2"/>
  <c r="F4980" i="2"/>
  <c r="E4980" i="2"/>
  <c r="C4980" i="2"/>
  <c r="B4980" i="2"/>
  <c r="N4979" i="2"/>
  <c r="K4979" i="2"/>
  <c r="H4979" i="2"/>
  <c r="G4979" i="2"/>
  <c r="F4979" i="2"/>
  <c r="E4979" i="2"/>
  <c r="C4979" i="2"/>
  <c r="B4979" i="2"/>
  <c r="N4978" i="2"/>
  <c r="K4978" i="2"/>
  <c r="H4978" i="2"/>
  <c r="G4978" i="2"/>
  <c r="F4978" i="2"/>
  <c r="E4978" i="2"/>
  <c r="C4978" i="2"/>
  <c r="B4978" i="2"/>
  <c r="N4977" i="2"/>
  <c r="K4977" i="2"/>
  <c r="H4977" i="2"/>
  <c r="G4977" i="2"/>
  <c r="F4977" i="2"/>
  <c r="E4977" i="2"/>
  <c r="C4977" i="2"/>
  <c r="B4977" i="2"/>
  <c r="N4976" i="2"/>
  <c r="K4976" i="2"/>
  <c r="H4976" i="2"/>
  <c r="G4976" i="2"/>
  <c r="F4976" i="2"/>
  <c r="E4976" i="2"/>
  <c r="C4976" i="2"/>
  <c r="B4976" i="2"/>
  <c r="N4975" i="2"/>
  <c r="K4975" i="2"/>
  <c r="H4975" i="2"/>
  <c r="G4975" i="2"/>
  <c r="F4975" i="2"/>
  <c r="E4975" i="2"/>
  <c r="C4975" i="2"/>
  <c r="B4975" i="2"/>
  <c r="N4974" i="2"/>
  <c r="K4974" i="2"/>
  <c r="H4974" i="2"/>
  <c r="G4974" i="2"/>
  <c r="F4974" i="2"/>
  <c r="E4974" i="2"/>
  <c r="C4974" i="2"/>
  <c r="B4974" i="2"/>
  <c r="N4973" i="2"/>
  <c r="K4973" i="2"/>
  <c r="H4973" i="2"/>
  <c r="G4973" i="2"/>
  <c r="F4973" i="2"/>
  <c r="E4973" i="2"/>
  <c r="C4973" i="2"/>
  <c r="B4973" i="2"/>
  <c r="N4972" i="2"/>
  <c r="K4972" i="2"/>
  <c r="H4972" i="2"/>
  <c r="G4972" i="2"/>
  <c r="F4972" i="2"/>
  <c r="E4972" i="2"/>
  <c r="C4972" i="2"/>
  <c r="B4972" i="2"/>
  <c r="N4971" i="2"/>
  <c r="K4971" i="2"/>
  <c r="H4971" i="2"/>
  <c r="G4971" i="2"/>
  <c r="F4971" i="2"/>
  <c r="E4971" i="2"/>
  <c r="C4971" i="2"/>
  <c r="B4971" i="2"/>
  <c r="N4970" i="2"/>
  <c r="K4970" i="2"/>
  <c r="H4970" i="2"/>
  <c r="G4970" i="2"/>
  <c r="F4970" i="2"/>
  <c r="E4970" i="2"/>
  <c r="C4970" i="2"/>
  <c r="B4970" i="2"/>
  <c r="N4969" i="2"/>
  <c r="K4969" i="2"/>
  <c r="H4969" i="2"/>
  <c r="G4969" i="2"/>
  <c r="F4969" i="2"/>
  <c r="E4969" i="2"/>
  <c r="C4969" i="2"/>
  <c r="B4969" i="2"/>
  <c r="N4968" i="2"/>
  <c r="K4968" i="2"/>
  <c r="H4968" i="2"/>
  <c r="G4968" i="2"/>
  <c r="F4968" i="2"/>
  <c r="E4968" i="2"/>
  <c r="C4968" i="2"/>
  <c r="B4968" i="2"/>
  <c r="N4967" i="2"/>
  <c r="K4967" i="2"/>
  <c r="H4967" i="2"/>
  <c r="G4967" i="2"/>
  <c r="F4967" i="2"/>
  <c r="E4967" i="2"/>
  <c r="C4967" i="2"/>
  <c r="B4967" i="2"/>
  <c r="N4966" i="2"/>
  <c r="K4966" i="2"/>
  <c r="H4966" i="2"/>
  <c r="G4966" i="2"/>
  <c r="F4966" i="2"/>
  <c r="E4966" i="2"/>
  <c r="C4966" i="2"/>
  <c r="B4966" i="2"/>
  <c r="N4965" i="2"/>
  <c r="K4965" i="2"/>
  <c r="H4965" i="2"/>
  <c r="G4965" i="2"/>
  <c r="F4965" i="2"/>
  <c r="E4965" i="2"/>
  <c r="C4965" i="2"/>
  <c r="B4965" i="2"/>
  <c r="N4964" i="2"/>
  <c r="K4964" i="2"/>
  <c r="H4964" i="2"/>
  <c r="G4964" i="2"/>
  <c r="F4964" i="2"/>
  <c r="E4964" i="2"/>
  <c r="C4964" i="2"/>
  <c r="B4964" i="2"/>
  <c r="N4963" i="2"/>
  <c r="K4963" i="2"/>
  <c r="H4963" i="2"/>
  <c r="G4963" i="2"/>
  <c r="F4963" i="2"/>
  <c r="E4963" i="2"/>
  <c r="C4963" i="2"/>
  <c r="B4963" i="2"/>
  <c r="N4962" i="2"/>
  <c r="K4962" i="2"/>
  <c r="H4962" i="2"/>
  <c r="G4962" i="2"/>
  <c r="F4962" i="2"/>
  <c r="E4962" i="2"/>
  <c r="C4962" i="2"/>
  <c r="B4962" i="2"/>
  <c r="N4961" i="2"/>
  <c r="K4961" i="2"/>
  <c r="H4961" i="2"/>
  <c r="G4961" i="2"/>
  <c r="F4961" i="2"/>
  <c r="E4961" i="2"/>
  <c r="C4961" i="2"/>
  <c r="B4961" i="2"/>
  <c r="N4960" i="2"/>
  <c r="K4960" i="2"/>
  <c r="H4960" i="2"/>
  <c r="G4960" i="2"/>
  <c r="F4960" i="2"/>
  <c r="E4960" i="2"/>
  <c r="C4960" i="2"/>
  <c r="B4960" i="2"/>
  <c r="N4959" i="2"/>
  <c r="K4959" i="2"/>
  <c r="H4959" i="2"/>
  <c r="G4959" i="2"/>
  <c r="F4959" i="2"/>
  <c r="E4959" i="2"/>
  <c r="C4959" i="2"/>
  <c r="B4959" i="2"/>
  <c r="N4958" i="2"/>
  <c r="K4958" i="2"/>
  <c r="H4958" i="2"/>
  <c r="G4958" i="2"/>
  <c r="F4958" i="2"/>
  <c r="E4958" i="2"/>
  <c r="C4958" i="2"/>
  <c r="B4958" i="2"/>
  <c r="N4957" i="2"/>
  <c r="K4957" i="2"/>
  <c r="H4957" i="2"/>
  <c r="G4957" i="2"/>
  <c r="F4957" i="2"/>
  <c r="E4957" i="2"/>
  <c r="C4957" i="2"/>
  <c r="B4957" i="2"/>
  <c r="N4956" i="2"/>
  <c r="K4956" i="2"/>
  <c r="H4956" i="2"/>
  <c r="G4956" i="2"/>
  <c r="F4956" i="2"/>
  <c r="E4956" i="2"/>
  <c r="C4956" i="2"/>
  <c r="B4956" i="2"/>
  <c r="N4955" i="2"/>
  <c r="K4955" i="2"/>
  <c r="H4955" i="2"/>
  <c r="G4955" i="2"/>
  <c r="F4955" i="2"/>
  <c r="E4955" i="2"/>
  <c r="C4955" i="2"/>
  <c r="B4955" i="2"/>
  <c r="N4954" i="2"/>
  <c r="K4954" i="2"/>
  <c r="H4954" i="2"/>
  <c r="G4954" i="2"/>
  <c r="F4954" i="2"/>
  <c r="E4954" i="2"/>
  <c r="C4954" i="2"/>
  <c r="B4954" i="2"/>
  <c r="N4953" i="2"/>
  <c r="K4953" i="2"/>
  <c r="H4953" i="2"/>
  <c r="G4953" i="2"/>
  <c r="F4953" i="2"/>
  <c r="E4953" i="2"/>
  <c r="C4953" i="2"/>
  <c r="B4953" i="2"/>
  <c r="N4952" i="2"/>
  <c r="K4952" i="2"/>
  <c r="H4952" i="2"/>
  <c r="G4952" i="2"/>
  <c r="F4952" i="2"/>
  <c r="E4952" i="2"/>
  <c r="C4952" i="2"/>
  <c r="B4952" i="2"/>
  <c r="N4951" i="2"/>
  <c r="K4951" i="2"/>
  <c r="H4951" i="2"/>
  <c r="G4951" i="2"/>
  <c r="F4951" i="2"/>
  <c r="E4951" i="2"/>
  <c r="C4951" i="2"/>
  <c r="B4951" i="2"/>
  <c r="N4950" i="2"/>
  <c r="K4950" i="2"/>
  <c r="H4950" i="2"/>
  <c r="G4950" i="2"/>
  <c r="F4950" i="2"/>
  <c r="E4950" i="2"/>
  <c r="C4950" i="2"/>
  <c r="B4950" i="2"/>
  <c r="N4949" i="2"/>
  <c r="K4949" i="2"/>
  <c r="H4949" i="2"/>
  <c r="G4949" i="2"/>
  <c r="F4949" i="2"/>
  <c r="E4949" i="2"/>
  <c r="C4949" i="2"/>
  <c r="B4949" i="2"/>
  <c r="N4948" i="2"/>
  <c r="K4948" i="2"/>
  <c r="H4948" i="2"/>
  <c r="G4948" i="2"/>
  <c r="F4948" i="2"/>
  <c r="E4948" i="2"/>
  <c r="C4948" i="2"/>
  <c r="B4948" i="2"/>
  <c r="N4947" i="2"/>
  <c r="K4947" i="2"/>
  <c r="H4947" i="2"/>
  <c r="G4947" i="2"/>
  <c r="F4947" i="2"/>
  <c r="E4947" i="2"/>
  <c r="C4947" i="2"/>
  <c r="B4947" i="2"/>
  <c r="N4946" i="2"/>
  <c r="K4946" i="2"/>
  <c r="H4946" i="2"/>
  <c r="G4946" i="2"/>
  <c r="F4946" i="2"/>
  <c r="E4946" i="2"/>
  <c r="C4946" i="2"/>
  <c r="B4946" i="2"/>
  <c r="N4945" i="2"/>
  <c r="K4945" i="2"/>
  <c r="H4945" i="2"/>
  <c r="G4945" i="2"/>
  <c r="F4945" i="2"/>
  <c r="E4945" i="2"/>
  <c r="C4945" i="2"/>
  <c r="B4945" i="2"/>
  <c r="N4944" i="2"/>
  <c r="K4944" i="2"/>
  <c r="H4944" i="2"/>
  <c r="G4944" i="2"/>
  <c r="F4944" i="2"/>
  <c r="E4944" i="2"/>
  <c r="C4944" i="2"/>
  <c r="B4944" i="2"/>
  <c r="N4943" i="2"/>
  <c r="K4943" i="2"/>
  <c r="H4943" i="2"/>
  <c r="G4943" i="2"/>
  <c r="F4943" i="2"/>
  <c r="E4943" i="2"/>
  <c r="C4943" i="2"/>
  <c r="B4943" i="2"/>
  <c r="N4942" i="2"/>
  <c r="K4942" i="2"/>
  <c r="H4942" i="2"/>
  <c r="G4942" i="2"/>
  <c r="F4942" i="2"/>
  <c r="E4942" i="2"/>
  <c r="C4942" i="2"/>
  <c r="B4942" i="2"/>
  <c r="N4941" i="2"/>
  <c r="K4941" i="2"/>
  <c r="H4941" i="2"/>
  <c r="G4941" i="2"/>
  <c r="F4941" i="2"/>
  <c r="E4941" i="2"/>
  <c r="C4941" i="2"/>
  <c r="B4941" i="2"/>
  <c r="N4940" i="2"/>
  <c r="K4940" i="2"/>
  <c r="H4940" i="2"/>
  <c r="G4940" i="2"/>
  <c r="F4940" i="2"/>
  <c r="E4940" i="2"/>
  <c r="C4940" i="2"/>
  <c r="B4940" i="2"/>
  <c r="N4939" i="2"/>
  <c r="K4939" i="2"/>
  <c r="H4939" i="2"/>
  <c r="G4939" i="2"/>
  <c r="F4939" i="2"/>
  <c r="E4939" i="2"/>
  <c r="C4939" i="2"/>
  <c r="B4939" i="2"/>
  <c r="N4938" i="2"/>
  <c r="K4938" i="2"/>
  <c r="H4938" i="2"/>
  <c r="G4938" i="2"/>
  <c r="F4938" i="2"/>
  <c r="E4938" i="2"/>
  <c r="C4938" i="2"/>
  <c r="B4938" i="2"/>
  <c r="N4937" i="2"/>
  <c r="K4937" i="2"/>
  <c r="H4937" i="2"/>
  <c r="G4937" i="2"/>
  <c r="F4937" i="2"/>
  <c r="E4937" i="2"/>
  <c r="C4937" i="2"/>
  <c r="B4937" i="2"/>
  <c r="N4936" i="2"/>
  <c r="K4936" i="2"/>
  <c r="H4936" i="2"/>
  <c r="G4936" i="2"/>
  <c r="F4936" i="2"/>
  <c r="E4936" i="2"/>
  <c r="C4936" i="2"/>
  <c r="B4936" i="2"/>
  <c r="N4935" i="2"/>
  <c r="K4935" i="2"/>
  <c r="H4935" i="2"/>
  <c r="G4935" i="2"/>
  <c r="F4935" i="2"/>
  <c r="E4935" i="2"/>
  <c r="C4935" i="2"/>
  <c r="B4935" i="2"/>
  <c r="N4934" i="2"/>
  <c r="K4934" i="2"/>
  <c r="H4934" i="2"/>
  <c r="G4934" i="2"/>
  <c r="F4934" i="2"/>
  <c r="E4934" i="2"/>
  <c r="C4934" i="2"/>
  <c r="B4934" i="2"/>
  <c r="N4933" i="2"/>
  <c r="K4933" i="2"/>
  <c r="H4933" i="2"/>
  <c r="G4933" i="2"/>
  <c r="F4933" i="2"/>
  <c r="E4933" i="2"/>
  <c r="C4933" i="2"/>
  <c r="B4933" i="2"/>
  <c r="N4932" i="2"/>
  <c r="K4932" i="2"/>
  <c r="H4932" i="2"/>
  <c r="G4932" i="2"/>
  <c r="F4932" i="2"/>
  <c r="E4932" i="2"/>
  <c r="C4932" i="2"/>
  <c r="B4932" i="2"/>
  <c r="N4931" i="2"/>
  <c r="K4931" i="2"/>
  <c r="H4931" i="2"/>
  <c r="G4931" i="2"/>
  <c r="F4931" i="2"/>
  <c r="E4931" i="2"/>
  <c r="C4931" i="2"/>
  <c r="B4931" i="2"/>
  <c r="N4930" i="2"/>
  <c r="K4930" i="2"/>
  <c r="H4930" i="2"/>
  <c r="G4930" i="2"/>
  <c r="F4930" i="2"/>
  <c r="E4930" i="2"/>
  <c r="C4930" i="2"/>
  <c r="B4930" i="2"/>
  <c r="N4929" i="2"/>
  <c r="K4929" i="2"/>
  <c r="H4929" i="2"/>
  <c r="G4929" i="2"/>
  <c r="F4929" i="2"/>
  <c r="E4929" i="2"/>
  <c r="C4929" i="2"/>
  <c r="B4929" i="2"/>
  <c r="N4928" i="2"/>
  <c r="K4928" i="2"/>
  <c r="H4928" i="2"/>
  <c r="G4928" i="2"/>
  <c r="F4928" i="2"/>
  <c r="E4928" i="2"/>
  <c r="C4928" i="2"/>
  <c r="B4928" i="2"/>
  <c r="N4927" i="2"/>
  <c r="K4927" i="2"/>
  <c r="H4927" i="2"/>
  <c r="G4927" i="2"/>
  <c r="F4927" i="2"/>
  <c r="E4927" i="2"/>
  <c r="C4927" i="2"/>
  <c r="B4927" i="2"/>
  <c r="N4926" i="2"/>
  <c r="K4926" i="2"/>
  <c r="H4926" i="2"/>
  <c r="G4926" i="2"/>
  <c r="F4926" i="2"/>
  <c r="E4926" i="2"/>
  <c r="C4926" i="2"/>
  <c r="B4926" i="2"/>
  <c r="N4925" i="2"/>
  <c r="K4925" i="2"/>
  <c r="H4925" i="2"/>
  <c r="G4925" i="2"/>
  <c r="F4925" i="2"/>
  <c r="E4925" i="2"/>
  <c r="C4925" i="2"/>
  <c r="B4925" i="2"/>
  <c r="N4924" i="2"/>
  <c r="K4924" i="2"/>
  <c r="H4924" i="2"/>
  <c r="G4924" i="2"/>
  <c r="F4924" i="2"/>
  <c r="E4924" i="2"/>
  <c r="C4924" i="2"/>
  <c r="B4924" i="2"/>
  <c r="N4923" i="2"/>
  <c r="K4923" i="2"/>
  <c r="H4923" i="2"/>
  <c r="G4923" i="2"/>
  <c r="F4923" i="2"/>
  <c r="E4923" i="2"/>
  <c r="C4923" i="2"/>
  <c r="B4923" i="2"/>
  <c r="N4922" i="2"/>
  <c r="K4922" i="2"/>
  <c r="H4922" i="2"/>
  <c r="G4922" i="2"/>
  <c r="F4922" i="2"/>
  <c r="E4922" i="2"/>
  <c r="C4922" i="2"/>
  <c r="B4922" i="2"/>
  <c r="N4921" i="2"/>
  <c r="K4921" i="2"/>
  <c r="H4921" i="2"/>
  <c r="G4921" i="2"/>
  <c r="F4921" i="2"/>
  <c r="E4921" i="2"/>
  <c r="C4921" i="2"/>
  <c r="B4921" i="2"/>
  <c r="N4920" i="2"/>
  <c r="K4920" i="2"/>
  <c r="H4920" i="2"/>
  <c r="G4920" i="2"/>
  <c r="F4920" i="2"/>
  <c r="E4920" i="2"/>
  <c r="C4920" i="2"/>
  <c r="B4920" i="2"/>
  <c r="N4919" i="2"/>
  <c r="K4919" i="2"/>
  <c r="H4919" i="2"/>
  <c r="G4919" i="2"/>
  <c r="F4919" i="2"/>
  <c r="E4919" i="2"/>
  <c r="C4919" i="2"/>
  <c r="B4919" i="2"/>
  <c r="N4918" i="2"/>
  <c r="K4918" i="2"/>
  <c r="H4918" i="2"/>
  <c r="G4918" i="2"/>
  <c r="F4918" i="2"/>
  <c r="E4918" i="2"/>
  <c r="C4918" i="2"/>
  <c r="B4918" i="2"/>
  <c r="N4917" i="2"/>
  <c r="K4917" i="2"/>
  <c r="H4917" i="2"/>
  <c r="G4917" i="2"/>
  <c r="F4917" i="2"/>
  <c r="E4917" i="2"/>
  <c r="C4917" i="2"/>
  <c r="B4917" i="2"/>
  <c r="N4916" i="2"/>
  <c r="K4916" i="2"/>
  <c r="H4916" i="2"/>
  <c r="G4916" i="2"/>
  <c r="F4916" i="2"/>
  <c r="E4916" i="2"/>
  <c r="C4916" i="2"/>
  <c r="B4916" i="2"/>
  <c r="N4915" i="2"/>
  <c r="K4915" i="2"/>
  <c r="H4915" i="2"/>
  <c r="G4915" i="2"/>
  <c r="F4915" i="2"/>
  <c r="E4915" i="2"/>
  <c r="C4915" i="2"/>
  <c r="B4915" i="2"/>
  <c r="N4914" i="2"/>
  <c r="K4914" i="2"/>
  <c r="H4914" i="2"/>
  <c r="G4914" i="2"/>
  <c r="F4914" i="2"/>
  <c r="E4914" i="2"/>
  <c r="C4914" i="2"/>
  <c r="B4914" i="2"/>
  <c r="N4913" i="2"/>
  <c r="K4913" i="2"/>
  <c r="H4913" i="2"/>
  <c r="G4913" i="2"/>
  <c r="F4913" i="2"/>
  <c r="E4913" i="2"/>
  <c r="C4913" i="2"/>
  <c r="B4913" i="2"/>
  <c r="N4912" i="2"/>
  <c r="K4912" i="2"/>
  <c r="H4912" i="2"/>
  <c r="G4912" i="2"/>
  <c r="F4912" i="2"/>
  <c r="E4912" i="2"/>
  <c r="C4912" i="2"/>
  <c r="B4912" i="2"/>
  <c r="N4911" i="2"/>
  <c r="K4911" i="2"/>
  <c r="H4911" i="2"/>
  <c r="G4911" i="2"/>
  <c r="F4911" i="2"/>
  <c r="E4911" i="2"/>
  <c r="C4911" i="2"/>
  <c r="B4911" i="2"/>
  <c r="N4910" i="2"/>
  <c r="K4910" i="2"/>
  <c r="H4910" i="2"/>
  <c r="G4910" i="2"/>
  <c r="F4910" i="2"/>
  <c r="E4910" i="2"/>
  <c r="C4910" i="2"/>
  <c r="B4910" i="2"/>
  <c r="N4909" i="2"/>
  <c r="K4909" i="2"/>
  <c r="H4909" i="2"/>
  <c r="G4909" i="2"/>
  <c r="F4909" i="2"/>
  <c r="E4909" i="2"/>
  <c r="C4909" i="2"/>
  <c r="B4909" i="2"/>
  <c r="N4908" i="2"/>
  <c r="K4908" i="2"/>
  <c r="H4908" i="2"/>
  <c r="G4908" i="2"/>
  <c r="F4908" i="2"/>
  <c r="E4908" i="2"/>
  <c r="C4908" i="2"/>
  <c r="B4908" i="2"/>
  <c r="N4907" i="2"/>
  <c r="K4907" i="2"/>
  <c r="H4907" i="2"/>
  <c r="G4907" i="2"/>
  <c r="F4907" i="2"/>
  <c r="E4907" i="2"/>
  <c r="C4907" i="2"/>
  <c r="B4907" i="2"/>
  <c r="N4906" i="2"/>
  <c r="K4906" i="2"/>
  <c r="H4906" i="2"/>
  <c r="G4906" i="2"/>
  <c r="F4906" i="2"/>
  <c r="E4906" i="2"/>
  <c r="C4906" i="2"/>
  <c r="B4906" i="2"/>
  <c r="N4905" i="2"/>
  <c r="K4905" i="2"/>
  <c r="H4905" i="2"/>
  <c r="G4905" i="2"/>
  <c r="F4905" i="2"/>
  <c r="E4905" i="2"/>
  <c r="C4905" i="2"/>
  <c r="B4905" i="2"/>
  <c r="N4904" i="2"/>
  <c r="K4904" i="2"/>
  <c r="H4904" i="2"/>
  <c r="G4904" i="2"/>
  <c r="F4904" i="2"/>
  <c r="E4904" i="2"/>
  <c r="C4904" i="2"/>
  <c r="B4904" i="2"/>
  <c r="N4903" i="2"/>
  <c r="K4903" i="2"/>
  <c r="H4903" i="2"/>
  <c r="G4903" i="2"/>
  <c r="F4903" i="2"/>
  <c r="E4903" i="2"/>
  <c r="C4903" i="2"/>
  <c r="B4903" i="2"/>
  <c r="N4902" i="2"/>
  <c r="K4902" i="2"/>
  <c r="H4902" i="2"/>
  <c r="G4902" i="2"/>
  <c r="F4902" i="2"/>
  <c r="E4902" i="2"/>
  <c r="C4902" i="2"/>
  <c r="B4902" i="2"/>
  <c r="N4901" i="2"/>
  <c r="K4901" i="2"/>
  <c r="H4901" i="2"/>
  <c r="G4901" i="2"/>
  <c r="F4901" i="2"/>
  <c r="E4901" i="2"/>
  <c r="C4901" i="2"/>
  <c r="B4901" i="2"/>
  <c r="N4900" i="2"/>
  <c r="K4900" i="2"/>
  <c r="H4900" i="2"/>
  <c r="G4900" i="2"/>
  <c r="F4900" i="2"/>
  <c r="E4900" i="2"/>
  <c r="C4900" i="2"/>
  <c r="B4900" i="2"/>
  <c r="N4899" i="2"/>
  <c r="K4899" i="2"/>
  <c r="H4899" i="2"/>
  <c r="G4899" i="2"/>
  <c r="F4899" i="2"/>
  <c r="E4899" i="2"/>
  <c r="C4899" i="2"/>
  <c r="B4899" i="2"/>
  <c r="N4898" i="2"/>
  <c r="K4898" i="2"/>
  <c r="H4898" i="2"/>
  <c r="G4898" i="2"/>
  <c r="F4898" i="2"/>
  <c r="E4898" i="2"/>
  <c r="C4898" i="2"/>
  <c r="B4898" i="2"/>
  <c r="N4897" i="2"/>
  <c r="K4897" i="2"/>
  <c r="H4897" i="2"/>
  <c r="G4897" i="2"/>
  <c r="F4897" i="2"/>
  <c r="E4897" i="2"/>
  <c r="C4897" i="2"/>
  <c r="B4897" i="2"/>
  <c r="N4896" i="2"/>
  <c r="K4896" i="2"/>
  <c r="H4896" i="2"/>
  <c r="G4896" i="2"/>
  <c r="F4896" i="2"/>
  <c r="E4896" i="2"/>
  <c r="C4896" i="2"/>
  <c r="B4896" i="2"/>
  <c r="N4895" i="2"/>
  <c r="K4895" i="2"/>
  <c r="H4895" i="2"/>
  <c r="G4895" i="2"/>
  <c r="F4895" i="2"/>
  <c r="E4895" i="2"/>
  <c r="C4895" i="2"/>
  <c r="B4895" i="2"/>
  <c r="N4894" i="2"/>
  <c r="K4894" i="2"/>
  <c r="H4894" i="2"/>
  <c r="G4894" i="2"/>
  <c r="F4894" i="2"/>
  <c r="E4894" i="2"/>
  <c r="C4894" i="2"/>
  <c r="B4894" i="2"/>
  <c r="N4893" i="2"/>
  <c r="K4893" i="2"/>
  <c r="H4893" i="2"/>
  <c r="G4893" i="2"/>
  <c r="F4893" i="2"/>
  <c r="E4893" i="2"/>
  <c r="C4893" i="2"/>
  <c r="B4893" i="2"/>
  <c r="N4892" i="2"/>
  <c r="K4892" i="2"/>
  <c r="H4892" i="2"/>
  <c r="G4892" i="2"/>
  <c r="F4892" i="2"/>
  <c r="E4892" i="2"/>
  <c r="C4892" i="2"/>
  <c r="B4892" i="2"/>
  <c r="N4891" i="2"/>
  <c r="K4891" i="2"/>
  <c r="H4891" i="2"/>
  <c r="G4891" i="2"/>
  <c r="F4891" i="2"/>
  <c r="E4891" i="2"/>
  <c r="C4891" i="2"/>
  <c r="B4891" i="2"/>
  <c r="N4890" i="2"/>
  <c r="K4890" i="2"/>
  <c r="H4890" i="2"/>
  <c r="G4890" i="2"/>
  <c r="F4890" i="2"/>
  <c r="E4890" i="2"/>
  <c r="C4890" i="2"/>
  <c r="B4890" i="2"/>
  <c r="N4889" i="2"/>
  <c r="K4889" i="2"/>
  <c r="H4889" i="2"/>
  <c r="G4889" i="2"/>
  <c r="F4889" i="2"/>
  <c r="E4889" i="2"/>
  <c r="C4889" i="2"/>
  <c r="B4889" i="2"/>
  <c r="N4888" i="2"/>
  <c r="K4888" i="2"/>
  <c r="H4888" i="2"/>
  <c r="G4888" i="2"/>
  <c r="F4888" i="2"/>
  <c r="E4888" i="2"/>
  <c r="C4888" i="2"/>
  <c r="B4888" i="2"/>
  <c r="N4887" i="2"/>
  <c r="K4887" i="2"/>
  <c r="H4887" i="2"/>
  <c r="G4887" i="2"/>
  <c r="F4887" i="2"/>
  <c r="E4887" i="2"/>
  <c r="C4887" i="2"/>
  <c r="B4887" i="2"/>
  <c r="N4886" i="2"/>
  <c r="K4886" i="2"/>
  <c r="H4886" i="2"/>
  <c r="G4886" i="2"/>
  <c r="F4886" i="2"/>
  <c r="E4886" i="2"/>
  <c r="C4886" i="2"/>
  <c r="B4886" i="2"/>
  <c r="N4885" i="2"/>
  <c r="K4885" i="2"/>
  <c r="H4885" i="2"/>
  <c r="G4885" i="2"/>
  <c r="F4885" i="2"/>
  <c r="E4885" i="2"/>
  <c r="C4885" i="2"/>
  <c r="B4885" i="2"/>
  <c r="N4884" i="2"/>
  <c r="K4884" i="2"/>
  <c r="H4884" i="2"/>
  <c r="G4884" i="2"/>
  <c r="F4884" i="2"/>
  <c r="E4884" i="2"/>
  <c r="C4884" i="2"/>
  <c r="B4884" i="2"/>
  <c r="N4883" i="2"/>
  <c r="K4883" i="2"/>
  <c r="H4883" i="2"/>
  <c r="G4883" i="2"/>
  <c r="F4883" i="2"/>
  <c r="E4883" i="2"/>
  <c r="C4883" i="2"/>
  <c r="B4883" i="2"/>
  <c r="N4882" i="2"/>
  <c r="K4882" i="2"/>
  <c r="H4882" i="2"/>
  <c r="G4882" i="2"/>
  <c r="F4882" i="2"/>
  <c r="E4882" i="2"/>
  <c r="C4882" i="2"/>
  <c r="B4882" i="2"/>
  <c r="N4881" i="2"/>
  <c r="K4881" i="2"/>
  <c r="H4881" i="2"/>
  <c r="G4881" i="2"/>
  <c r="F4881" i="2"/>
  <c r="E4881" i="2"/>
  <c r="C4881" i="2"/>
  <c r="B4881" i="2"/>
  <c r="N4880" i="2"/>
  <c r="K4880" i="2"/>
  <c r="H4880" i="2"/>
  <c r="G4880" i="2"/>
  <c r="F4880" i="2"/>
  <c r="E4880" i="2"/>
  <c r="C4880" i="2"/>
  <c r="B4880" i="2"/>
  <c r="N4879" i="2"/>
  <c r="K4879" i="2"/>
  <c r="H4879" i="2"/>
  <c r="G4879" i="2"/>
  <c r="F4879" i="2"/>
  <c r="E4879" i="2"/>
  <c r="C4879" i="2"/>
  <c r="B4879" i="2"/>
  <c r="N4878" i="2"/>
  <c r="K4878" i="2"/>
  <c r="H4878" i="2"/>
  <c r="G4878" i="2"/>
  <c r="F4878" i="2"/>
  <c r="E4878" i="2"/>
  <c r="C4878" i="2"/>
  <c r="B4878" i="2"/>
  <c r="N4877" i="2"/>
  <c r="K4877" i="2"/>
  <c r="H4877" i="2"/>
  <c r="G4877" i="2"/>
  <c r="F4877" i="2"/>
  <c r="E4877" i="2"/>
  <c r="C4877" i="2"/>
  <c r="B4877" i="2"/>
  <c r="N4876" i="2"/>
  <c r="K4876" i="2"/>
  <c r="H4876" i="2"/>
  <c r="G4876" i="2"/>
  <c r="F4876" i="2"/>
  <c r="E4876" i="2"/>
  <c r="C4876" i="2"/>
  <c r="B4876" i="2"/>
  <c r="N4875" i="2"/>
  <c r="K4875" i="2"/>
  <c r="H4875" i="2"/>
  <c r="G4875" i="2"/>
  <c r="F4875" i="2"/>
  <c r="E4875" i="2"/>
  <c r="C4875" i="2"/>
  <c r="B4875" i="2"/>
  <c r="N4874" i="2"/>
  <c r="K4874" i="2"/>
  <c r="H4874" i="2"/>
  <c r="G4874" i="2"/>
  <c r="F4874" i="2"/>
  <c r="E4874" i="2"/>
  <c r="C4874" i="2"/>
  <c r="B4874" i="2"/>
  <c r="N4873" i="2"/>
  <c r="K4873" i="2"/>
  <c r="H4873" i="2"/>
  <c r="G4873" i="2"/>
  <c r="F4873" i="2"/>
  <c r="E4873" i="2"/>
  <c r="C4873" i="2"/>
  <c r="B4873" i="2"/>
  <c r="N4872" i="2"/>
  <c r="K4872" i="2"/>
  <c r="H4872" i="2"/>
  <c r="G4872" i="2"/>
  <c r="F4872" i="2"/>
  <c r="E4872" i="2"/>
  <c r="C4872" i="2"/>
  <c r="B4872" i="2"/>
  <c r="N4871" i="2"/>
  <c r="K4871" i="2"/>
  <c r="H4871" i="2"/>
  <c r="G4871" i="2"/>
  <c r="F4871" i="2"/>
  <c r="E4871" i="2"/>
  <c r="C4871" i="2"/>
  <c r="B4871" i="2"/>
  <c r="N4870" i="2"/>
  <c r="K4870" i="2"/>
  <c r="H4870" i="2"/>
  <c r="G4870" i="2"/>
  <c r="F4870" i="2"/>
  <c r="E4870" i="2"/>
  <c r="C4870" i="2"/>
  <c r="B4870" i="2"/>
  <c r="N4869" i="2"/>
  <c r="K4869" i="2"/>
  <c r="H4869" i="2"/>
  <c r="G4869" i="2"/>
  <c r="F4869" i="2"/>
  <c r="E4869" i="2"/>
  <c r="C4869" i="2"/>
  <c r="B4869" i="2"/>
  <c r="N4868" i="2"/>
  <c r="K4868" i="2"/>
  <c r="H4868" i="2"/>
  <c r="G4868" i="2"/>
  <c r="F4868" i="2"/>
  <c r="E4868" i="2"/>
  <c r="C4868" i="2"/>
  <c r="B4868" i="2"/>
  <c r="N4867" i="2"/>
  <c r="K4867" i="2"/>
  <c r="H4867" i="2"/>
  <c r="G4867" i="2"/>
  <c r="F4867" i="2"/>
  <c r="E4867" i="2"/>
  <c r="C4867" i="2"/>
  <c r="B4867" i="2"/>
  <c r="N4866" i="2"/>
  <c r="K4866" i="2"/>
  <c r="H4866" i="2"/>
  <c r="G4866" i="2"/>
  <c r="F4866" i="2"/>
  <c r="E4866" i="2"/>
  <c r="C4866" i="2"/>
  <c r="B4866" i="2"/>
  <c r="N4865" i="2"/>
  <c r="K4865" i="2"/>
  <c r="H4865" i="2"/>
  <c r="G4865" i="2"/>
  <c r="F4865" i="2"/>
  <c r="E4865" i="2"/>
  <c r="C4865" i="2"/>
  <c r="B4865" i="2"/>
  <c r="N4864" i="2"/>
  <c r="K4864" i="2"/>
  <c r="H4864" i="2"/>
  <c r="G4864" i="2"/>
  <c r="F4864" i="2"/>
  <c r="E4864" i="2"/>
  <c r="C4864" i="2"/>
  <c r="B4864" i="2"/>
  <c r="N4863" i="2"/>
  <c r="K4863" i="2"/>
  <c r="H4863" i="2"/>
  <c r="G4863" i="2"/>
  <c r="F4863" i="2"/>
  <c r="E4863" i="2"/>
  <c r="C4863" i="2"/>
  <c r="B4863" i="2"/>
  <c r="N4862" i="2"/>
  <c r="K4862" i="2"/>
  <c r="H4862" i="2"/>
  <c r="G4862" i="2"/>
  <c r="F4862" i="2"/>
  <c r="E4862" i="2"/>
  <c r="C4862" i="2"/>
  <c r="B4862" i="2"/>
  <c r="N4861" i="2"/>
  <c r="K4861" i="2"/>
  <c r="H4861" i="2"/>
  <c r="G4861" i="2"/>
  <c r="F4861" i="2"/>
  <c r="E4861" i="2"/>
  <c r="C4861" i="2"/>
  <c r="B4861" i="2"/>
  <c r="N4860" i="2"/>
  <c r="K4860" i="2"/>
  <c r="H4860" i="2"/>
  <c r="G4860" i="2"/>
  <c r="F4860" i="2"/>
  <c r="E4860" i="2"/>
  <c r="C4860" i="2"/>
  <c r="B4860" i="2"/>
  <c r="N4859" i="2"/>
  <c r="K4859" i="2"/>
  <c r="H4859" i="2"/>
  <c r="G4859" i="2"/>
  <c r="F4859" i="2"/>
  <c r="E4859" i="2"/>
  <c r="C4859" i="2"/>
  <c r="B4859" i="2"/>
  <c r="N4858" i="2"/>
  <c r="K4858" i="2"/>
  <c r="H4858" i="2"/>
  <c r="G4858" i="2"/>
  <c r="F4858" i="2"/>
  <c r="E4858" i="2"/>
  <c r="C4858" i="2"/>
  <c r="B4858" i="2"/>
  <c r="N4857" i="2"/>
  <c r="K4857" i="2"/>
  <c r="H4857" i="2"/>
  <c r="G4857" i="2"/>
  <c r="F4857" i="2"/>
  <c r="E4857" i="2"/>
  <c r="C4857" i="2"/>
  <c r="B4857" i="2"/>
  <c r="N4856" i="2"/>
  <c r="K4856" i="2"/>
  <c r="H4856" i="2"/>
  <c r="G4856" i="2"/>
  <c r="F4856" i="2"/>
  <c r="E4856" i="2"/>
  <c r="C4856" i="2"/>
  <c r="B4856" i="2"/>
  <c r="N4855" i="2"/>
  <c r="K4855" i="2"/>
  <c r="H4855" i="2"/>
  <c r="G4855" i="2"/>
  <c r="F4855" i="2"/>
  <c r="E4855" i="2"/>
  <c r="C4855" i="2"/>
  <c r="B4855" i="2"/>
  <c r="N4854" i="2"/>
  <c r="K4854" i="2"/>
  <c r="H4854" i="2"/>
  <c r="G4854" i="2"/>
  <c r="F4854" i="2"/>
  <c r="E4854" i="2"/>
  <c r="C4854" i="2"/>
  <c r="B4854" i="2"/>
  <c r="N4853" i="2"/>
  <c r="K4853" i="2"/>
  <c r="H4853" i="2"/>
  <c r="G4853" i="2"/>
  <c r="F4853" i="2"/>
  <c r="E4853" i="2"/>
  <c r="C4853" i="2"/>
  <c r="B4853" i="2"/>
  <c r="N4852" i="2"/>
  <c r="K4852" i="2"/>
  <c r="H4852" i="2"/>
  <c r="G4852" i="2"/>
  <c r="F4852" i="2"/>
  <c r="E4852" i="2"/>
  <c r="C4852" i="2"/>
  <c r="B4852" i="2"/>
  <c r="N4851" i="2"/>
  <c r="K4851" i="2"/>
  <c r="H4851" i="2"/>
  <c r="G4851" i="2"/>
  <c r="F4851" i="2"/>
  <c r="E4851" i="2"/>
  <c r="C4851" i="2"/>
  <c r="B4851" i="2"/>
  <c r="N4850" i="2"/>
  <c r="K4850" i="2"/>
  <c r="H4850" i="2"/>
  <c r="G4850" i="2"/>
  <c r="F4850" i="2"/>
  <c r="E4850" i="2"/>
  <c r="C4850" i="2"/>
  <c r="B4850" i="2"/>
  <c r="N4849" i="2"/>
  <c r="K4849" i="2"/>
  <c r="H4849" i="2"/>
  <c r="G4849" i="2"/>
  <c r="F4849" i="2"/>
  <c r="E4849" i="2"/>
  <c r="C4849" i="2"/>
  <c r="B4849" i="2"/>
  <c r="N4848" i="2"/>
  <c r="K4848" i="2"/>
  <c r="H4848" i="2"/>
  <c r="G4848" i="2"/>
  <c r="F4848" i="2"/>
  <c r="E4848" i="2"/>
  <c r="C4848" i="2"/>
  <c r="B4848" i="2"/>
  <c r="N4847" i="2"/>
  <c r="K4847" i="2"/>
  <c r="H4847" i="2"/>
  <c r="G4847" i="2"/>
  <c r="F4847" i="2"/>
  <c r="E4847" i="2"/>
  <c r="C4847" i="2"/>
  <c r="B4847" i="2"/>
  <c r="N4846" i="2"/>
  <c r="K4846" i="2"/>
  <c r="H4846" i="2"/>
  <c r="G4846" i="2"/>
  <c r="F4846" i="2"/>
  <c r="E4846" i="2"/>
  <c r="C4846" i="2"/>
  <c r="B4846" i="2"/>
  <c r="N4845" i="2"/>
  <c r="K4845" i="2"/>
  <c r="H4845" i="2"/>
  <c r="G4845" i="2"/>
  <c r="F4845" i="2"/>
  <c r="E4845" i="2"/>
  <c r="C4845" i="2"/>
  <c r="B4845" i="2"/>
  <c r="N4844" i="2"/>
  <c r="K4844" i="2"/>
  <c r="H4844" i="2"/>
  <c r="G4844" i="2"/>
  <c r="F4844" i="2"/>
  <c r="E4844" i="2"/>
  <c r="C4844" i="2"/>
  <c r="B4844" i="2"/>
  <c r="N4843" i="2"/>
  <c r="K4843" i="2"/>
  <c r="H4843" i="2"/>
  <c r="G4843" i="2"/>
  <c r="F4843" i="2"/>
  <c r="E4843" i="2"/>
  <c r="C4843" i="2"/>
  <c r="B4843" i="2"/>
  <c r="N4842" i="2"/>
  <c r="K4842" i="2"/>
  <c r="H4842" i="2"/>
  <c r="G4842" i="2"/>
  <c r="F4842" i="2"/>
  <c r="E4842" i="2"/>
  <c r="C4842" i="2"/>
  <c r="B4842" i="2"/>
  <c r="N4841" i="2"/>
  <c r="K4841" i="2"/>
  <c r="H4841" i="2"/>
  <c r="G4841" i="2"/>
  <c r="F4841" i="2"/>
  <c r="E4841" i="2"/>
  <c r="C4841" i="2"/>
  <c r="B4841" i="2"/>
  <c r="N4840" i="2"/>
  <c r="K4840" i="2"/>
  <c r="H4840" i="2"/>
  <c r="G4840" i="2"/>
  <c r="F4840" i="2"/>
  <c r="E4840" i="2"/>
  <c r="C4840" i="2"/>
  <c r="B4840" i="2"/>
  <c r="N4839" i="2"/>
  <c r="K4839" i="2"/>
  <c r="H4839" i="2"/>
  <c r="G4839" i="2"/>
  <c r="F4839" i="2"/>
  <c r="E4839" i="2"/>
  <c r="C4839" i="2"/>
  <c r="B4839" i="2"/>
  <c r="N4838" i="2"/>
  <c r="K4838" i="2"/>
  <c r="H4838" i="2"/>
  <c r="G4838" i="2"/>
  <c r="F4838" i="2"/>
  <c r="E4838" i="2"/>
  <c r="C4838" i="2"/>
  <c r="B4838" i="2"/>
  <c r="N4837" i="2"/>
  <c r="K4837" i="2"/>
  <c r="H4837" i="2"/>
  <c r="G4837" i="2"/>
  <c r="F4837" i="2"/>
  <c r="E4837" i="2"/>
  <c r="C4837" i="2"/>
  <c r="B4837" i="2"/>
  <c r="N4836" i="2"/>
  <c r="K4836" i="2"/>
  <c r="H4836" i="2"/>
  <c r="G4836" i="2"/>
  <c r="F4836" i="2"/>
  <c r="E4836" i="2"/>
  <c r="C4836" i="2"/>
  <c r="B4836" i="2"/>
  <c r="N4835" i="2"/>
  <c r="K4835" i="2"/>
  <c r="H4835" i="2"/>
  <c r="G4835" i="2"/>
  <c r="F4835" i="2"/>
  <c r="E4835" i="2"/>
  <c r="C4835" i="2"/>
  <c r="B4835" i="2"/>
  <c r="N4834" i="2"/>
  <c r="K4834" i="2"/>
  <c r="H4834" i="2"/>
  <c r="G4834" i="2"/>
  <c r="F4834" i="2"/>
  <c r="E4834" i="2"/>
  <c r="C4834" i="2"/>
  <c r="B4834" i="2"/>
  <c r="N4833" i="2"/>
  <c r="K4833" i="2"/>
  <c r="H4833" i="2"/>
  <c r="G4833" i="2"/>
  <c r="F4833" i="2"/>
  <c r="E4833" i="2"/>
  <c r="C4833" i="2"/>
  <c r="B4833" i="2"/>
  <c r="N4832" i="2"/>
  <c r="K4832" i="2"/>
  <c r="H4832" i="2"/>
  <c r="G4832" i="2"/>
  <c r="F4832" i="2"/>
  <c r="E4832" i="2"/>
  <c r="C4832" i="2"/>
  <c r="B4832" i="2"/>
  <c r="N4831" i="2"/>
  <c r="K4831" i="2"/>
  <c r="H4831" i="2"/>
  <c r="G4831" i="2"/>
  <c r="F4831" i="2"/>
  <c r="E4831" i="2"/>
  <c r="C4831" i="2"/>
  <c r="B4831" i="2"/>
  <c r="N4830" i="2"/>
  <c r="K4830" i="2"/>
  <c r="H4830" i="2"/>
  <c r="G4830" i="2"/>
  <c r="F4830" i="2"/>
  <c r="E4830" i="2"/>
  <c r="C4830" i="2"/>
  <c r="B4830" i="2"/>
  <c r="N4829" i="2"/>
  <c r="K4829" i="2"/>
  <c r="H4829" i="2"/>
  <c r="G4829" i="2"/>
  <c r="F4829" i="2"/>
  <c r="E4829" i="2"/>
  <c r="C4829" i="2"/>
  <c r="B4829" i="2"/>
  <c r="N4828" i="2"/>
  <c r="K4828" i="2"/>
  <c r="H4828" i="2"/>
  <c r="G4828" i="2"/>
  <c r="F4828" i="2"/>
  <c r="E4828" i="2"/>
  <c r="C4828" i="2"/>
  <c r="B4828" i="2"/>
  <c r="N4827" i="2"/>
  <c r="K4827" i="2"/>
  <c r="H4827" i="2"/>
  <c r="G4827" i="2"/>
  <c r="F4827" i="2"/>
  <c r="E4827" i="2"/>
  <c r="C4827" i="2"/>
  <c r="B4827" i="2"/>
  <c r="N4826" i="2"/>
  <c r="K4826" i="2"/>
  <c r="H4826" i="2"/>
  <c r="G4826" i="2"/>
  <c r="F4826" i="2"/>
  <c r="E4826" i="2"/>
  <c r="C4826" i="2"/>
  <c r="B4826" i="2"/>
  <c r="N4825" i="2"/>
  <c r="K4825" i="2"/>
  <c r="H4825" i="2"/>
  <c r="G4825" i="2"/>
  <c r="F4825" i="2"/>
  <c r="E4825" i="2"/>
  <c r="C4825" i="2"/>
  <c r="B4825" i="2"/>
  <c r="N4824" i="2"/>
  <c r="K4824" i="2"/>
  <c r="H4824" i="2"/>
  <c r="G4824" i="2"/>
  <c r="F4824" i="2"/>
  <c r="E4824" i="2"/>
  <c r="C4824" i="2"/>
  <c r="B4824" i="2"/>
  <c r="N4823" i="2"/>
  <c r="K4823" i="2"/>
  <c r="H4823" i="2"/>
  <c r="G4823" i="2"/>
  <c r="F4823" i="2"/>
  <c r="E4823" i="2"/>
  <c r="C4823" i="2"/>
  <c r="B4823" i="2"/>
  <c r="N4822" i="2"/>
  <c r="K4822" i="2"/>
  <c r="H4822" i="2"/>
  <c r="G4822" i="2"/>
  <c r="F4822" i="2"/>
  <c r="E4822" i="2"/>
  <c r="C4822" i="2"/>
  <c r="B4822" i="2"/>
  <c r="N4821" i="2"/>
  <c r="K4821" i="2"/>
  <c r="H4821" i="2"/>
  <c r="G4821" i="2"/>
  <c r="F4821" i="2"/>
  <c r="E4821" i="2"/>
  <c r="C4821" i="2"/>
  <c r="B4821" i="2"/>
  <c r="N4820" i="2"/>
  <c r="K4820" i="2"/>
  <c r="H4820" i="2"/>
  <c r="G4820" i="2"/>
  <c r="F4820" i="2"/>
  <c r="E4820" i="2"/>
  <c r="C4820" i="2"/>
  <c r="B4820" i="2"/>
  <c r="N4819" i="2"/>
  <c r="K4819" i="2"/>
  <c r="H4819" i="2"/>
  <c r="G4819" i="2"/>
  <c r="F4819" i="2"/>
  <c r="E4819" i="2"/>
  <c r="C4819" i="2"/>
  <c r="B4819" i="2"/>
  <c r="N4818" i="2"/>
  <c r="K4818" i="2"/>
  <c r="H4818" i="2"/>
  <c r="G4818" i="2"/>
  <c r="F4818" i="2"/>
  <c r="E4818" i="2"/>
  <c r="C4818" i="2"/>
  <c r="B4818" i="2"/>
  <c r="N4817" i="2"/>
  <c r="K4817" i="2"/>
  <c r="H4817" i="2"/>
  <c r="G4817" i="2"/>
  <c r="F4817" i="2"/>
  <c r="E4817" i="2"/>
  <c r="C4817" i="2"/>
  <c r="B4817" i="2"/>
  <c r="N4816" i="2"/>
  <c r="K4816" i="2"/>
  <c r="H4816" i="2"/>
  <c r="G4816" i="2"/>
  <c r="F4816" i="2"/>
  <c r="E4816" i="2"/>
  <c r="C4816" i="2"/>
  <c r="B4816" i="2"/>
  <c r="N4815" i="2"/>
  <c r="K4815" i="2"/>
  <c r="H4815" i="2"/>
  <c r="G4815" i="2"/>
  <c r="F4815" i="2"/>
  <c r="E4815" i="2"/>
  <c r="C4815" i="2"/>
  <c r="B4815" i="2"/>
  <c r="N4814" i="2"/>
  <c r="K4814" i="2"/>
  <c r="H4814" i="2"/>
  <c r="G4814" i="2"/>
  <c r="F4814" i="2"/>
  <c r="E4814" i="2"/>
  <c r="C4814" i="2"/>
  <c r="B4814" i="2"/>
  <c r="N4813" i="2"/>
  <c r="K4813" i="2"/>
  <c r="H4813" i="2"/>
  <c r="G4813" i="2"/>
  <c r="F4813" i="2"/>
  <c r="E4813" i="2"/>
  <c r="C4813" i="2"/>
  <c r="B4813" i="2"/>
  <c r="N4812" i="2"/>
  <c r="K4812" i="2"/>
  <c r="H4812" i="2"/>
  <c r="G4812" i="2"/>
  <c r="F4812" i="2"/>
  <c r="E4812" i="2"/>
  <c r="C4812" i="2"/>
  <c r="B4812" i="2"/>
  <c r="N4811" i="2"/>
  <c r="K4811" i="2"/>
  <c r="H4811" i="2"/>
  <c r="G4811" i="2"/>
  <c r="F4811" i="2"/>
  <c r="E4811" i="2"/>
  <c r="C4811" i="2"/>
  <c r="B4811" i="2"/>
  <c r="N4810" i="2"/>
  <c r="K4810" i="2"/>
  <c r="H4810" i="2"/>
  <c r="G4810" i="2"/>
  <c r="F4810" i="2"/>
  <c r="E4810" i="2"/>
  <c r="C4810" i="2"/>
  <c r="B4810" i="2"/>
  <c r="N4809" i="2"/>
  <c r="K4809" i="2"/>
  <c r="H4809" i="2"/>
  <c r="G4809" i="2"/>
  <c r="F4809" i="2"/>
  <c r="E4809" i="2"/>
  <c r="C4809" i="2"/>
  <c r="B4809" i="2"/>
  <c r="N4808" i="2"/>
  <c r="K4808" i="2"/>
  <c r="H4808" i="2"/>
  <c r="G4808" i="2"/>
  <c r="F4808" i="2"/>
  <c r="E4808" i="2"/>
  <c r="C4808" i="2"/>
  <c r="B4808" i="2"/>
  <c r="N4807" i="2"/>
  <c r="K4807" i="2"/>
  <c r="H4807" i="2"/>
  <c r="G4807" i="2"/>
  <c r="F4807" i="2"/>
  <c r="E4807" i="2"/>
  <c r="C4807" i="2"/>
  <c r="B4807" i="2"/>
  <c r="N4806" i="2"/>
  <c r="K4806" i="2"/>
  <c r="H4806" i="2"/>
  <c r="G4806" i="2"/>
  <c r="F4806" i="2"/>
  <c r="E4806" i="2"/>
  <c r="C4806" i="2"/>
  <c r="B4806" i="2"/>
  <c r="N4805" i="2"/>
  <c r="K4805" i="2"/>
  <c r="H4805" i="2"/>
  <c r="G4805" i="2"/>
  <c r="F4805" i="2"/>
  <c r="E4805" i="2"/>
  <c r="C4805" i="2"/>
  <c r="B4805" i="2"/>
  <c r="N4804" i="2"/>
  <c r="K4804" i="2"/>
  <c r="H4804" i="2"/>
  <c r="G4804" i="2"/>
  <c r="F4804" i="2"/>
  <c r="E4804" i="2"/>
  <c r="C4804" i="2"/>
  <c r="B4804" i="2"/>
  <c r="N4803" i="2"/>
  <c r="K4803" i="2"/>
  <c r="H4803" i="2"/>
  <c r="G4803" i="2"/>
  <c r="F4803" i="2"/>
  <c r="E4803" i="2"/>
  <c r="C4803" i="2"/>
  <c r="B4803" i="2"/>
  <c r="N4802" i="2"/>
  <c r="K4802" i="2"/>
  <c r="H4802" i="2"/>
  <c r="G4802" i="2"/>
  <c r="F4802" i="2"/>
  <c r="E4802" i="2"/>
  <c r="C4802" i="2"/>
  <c r="B4802" i="2"/>
  <c r="N4801" i="2"/>
  <c r="K4801" i="2"/>
  <c r="H4801" i="2"/>
  <c r="G4801" i="2"/>
  <c r="F4801" i="2"/>
  <c r="E4801" i="2"/>
  <c r="C4801" i="2"/>
  <c r="B4801" i="2"/>
  <c r="N4800" i="2"/>
  <c r="K4800" i="2"/>
  <c r="H4800" i="2"/>
  <c r="G4800" i="2"/>
  <c r="F4800" i="2"/>
  <c r="E4800" i="2"/>
  <c r="C4800" i="2"/>
  <c r="B4800" i="2"/>
  <c r="N4799" i="2"/>
  <c r="K4799" i="2"/>
  <c r="H4799" i="2"/>
  <c r="G4799" i="2"/>
  <c r="F4799" i="2"/>
  <c r="E4799" i="2"/>
  <c r="C4799" i="2"/>
  <c r="B4799" i="2"/>
  <c r="N4798" i="2"/>
  <c r="K4798" i="2"/>
  <c r="H4798" i="2"/>
  <c r="G4798" i="2"/>
  <c r="F4798" i="2"/>
  <c r="E4798" i="2"/>
  <c r="C4798" i="2"/>
  <c r="B4798" i="2"/>
  <c r="N4797" i="2"/>
  <c r="K4797" i="2"/>
  <c r="H4797" i="2"/>
  <c r="G4797" i="2"/>
  <c r="F4797" i="2"/>
  <c r="E4797" i="2"/>
  <c r="C4797" i="2"/>
  <c r="B4797" i="2"/>
  <c r="N4796" i="2"/>
  <c r="K4796" i="2"/>
  <c r="H4796" i="2"/>
  <c r="G4796" i="2"/>
  <c r="F4796" i="2"/>
  <c r="E4796" i="2"/>
  <c r="C4796" i="2"/>
  <c r="B4796" i="2"/>
  <c r="N4795" i="2"/>
  <c r="K4795" i="2"/>
  <c r="H4795" i="2"/>
  <c r="G4795" i="2"/>
  <c r="F4795" i="2"/>
  <c r="E4795" i="2"/>
  <c r="C4795" i="2"/>
  <c r="B4795" i="2"/>
  <c r="N4794" i="2"/>
  <c r="K4794" i="2"/>
  <c r="H4794" i="2"/>
  <c r="G4794" i="2"/>
  <c r="F4794" i="2"/>
  <c r="E4794" i="2"/>
  <c r="C4794" i="2"/>
  <c r="B4794" i="2"/>
  <c r="N4793" i="2"/>
  <c r="K4793" i="2"/>
  <c r="H4793" i="2"/>
  <c r="G4793" i="2"/>
  <c r="F4793" i="2"/>
  <c r="E4793" i="2"/>
  <c r="C4793" i="2"/>
  <c r="B4793" i="2"/>
  <c r="N4792" i="2"/>
  <c r="K4792" i="2"/>
  <c r="H4792" i="2"/>
  <c r="G4792" i="2"/>
  <c r="F4792" i="2"/>
  <c r="E4792" i="2"/>
  <c r="C4792" i="2"/>
  <c r="B4792" i="2"/>
  <c r="N4791" i="2"/>
  <c r="K4791" i="2"/>
  <c r="H4791" i="2"/>
  <c r="G4791" i="2"/>
  <c r="F4791" i="2"/>
  <c r="E4791" i="2"/>
  <c r="C4791" i="2"/>
  <c r="B4791" i="2"/>
  <c r="N4790" i="2"/>
  <c r="K4790" i="2"/>
  <c r="H4790" i="2"/>
  <c r="G4790" i="2"/>
  <c r="F4790" i="2"/>
  <c r="E4790" i="2"/>
  <c r="C4790" i="2"/>
  <c r="B4790" i="2"/>
  <c r="N4789" i="2"/>
  <c r="K4789" i="2"/>
  <c r="H4789" i="2"/>
  <c r="G4789" i="2"/>
  <c r="F4789" i="2"/>
  <c r="E4789" i="2"/>
  <c r="C4789" i="2"/>
  <c r="B4789" i="2"/>
  <c r="N4788" i="2"/>
  <c r="K4788" i="2"/>
  <c r="H4788" i="2"/>
  <c r="G4788" i="2"/>
  <c r="F4788" i="2"/>
  <c r="E4788" i="2"/>
  <c r="C4788" i="2"/>
  <c r="B4788" i="2"/>
  <c r="N4787" i="2"/>
  <c r="K4787" i="2"/>
  <c r="H4787" i="2"/>
  <c r="G4787" i="2"/>
  <c r="F4787" i="2"/>
  <c r="E4787" i="2"/>
  <c r="C4787" i="2"/>
  <c r="B4787" i="2"/>
  <c r="N4786" i="2"/>
  <c r="K4786" i="2"/>
  <c r="H4786" i="2"/>
  <c r="G4786" i="2"/>
  <c r="F4786" i="2"/>
  <c r="E4786" i="2"/>
  <c r="C4786" i="2"/>
  <c r="B4786" i="2"/>
  <c r="N4785" i="2"/>
  <c r="K4785" i="2"/>
  <c r="H4785" i="2"/>
  <c r="G4785" i="2"/>
  <c r="F4785" i="2"/>
  <c r="E4785" i="2"/>
  <c r="C4785" i="2"/>
  <c r="B4785" i="2"/>
  <c r="N4784" i="2"/>
  <c r="K4784" i="2"/>
  <c r="H4784" i="2"/>
  <c r="G4784" i="2"/>
  <c r="F4784" i="2"/>
  <c r="E4784" i="2"/>
  <c r="C4784" i="2"/>
  <c r="B4784" i="2"/>
  <c r="N4783" i="2"/>
  <c r="K4783" i="2"/>
  <c r="H4783" i="2"/>
  <c r="G4783" i="2"/>
  <c r="F4783" i="2"/>
  <c r="E4783" i="2"/>
  <c r="C4783" i="2"/>
  <c r="B4783" i="2"/>
  <c r="N4782" i="2"/>
  <c r="K4782" i="2"/>
  <c r="H4782" i="2"/>
  <c r="G4782" i="2"/>
  <c r="F4782" i="2"/>
  <c r="E4782" i="2"/>
  <c r="C4782" i="2"/>
  <c r="B4782" i="2"/>
  <c r="N4781" i="2"/>
  <c r="K4781" i="2"/>
  <c r="H4781" i="2"/>
  <c r="G4781" i="2"/>
  <c r="F4781" i="2"/>
  <c r="E4781" i="2"/>
  <c r="C4781" i="2"/>
  <c r="B4781" i="2"/>
  <c r="N4780" i="2"/>
  <c r="K4780" i="2"/>
  <c r="H4780" i="2"/>
  <c r="G4780" i="2"/>
  <c r="F4780" i="2"/>
  <c r="E4780" i="2"/>
  <c r="C4780" i="2"/>
  <c r="B4780" i="2"/>
  <c r="N4779" i="2"/>
  <c r="K4779" i="2"/>
  <c r="H4779" i="2"/>
  <c r="G4779" i="2"/>
  <c r="F4779" i="2"/>
  <c r="E4779" i="2"/>
  <c r="C4779" i="2"/>
  <c r="B4779" i="2"/>
  <c r="N4778" i="2"/>
  <c r="K4778" i="2"/>
  <c r="H4778" i="2"/>
  <c r="G4778" i="2"/>
  <c r="F4778" i="2"/>
  <c r="E4778" i="2"/>
  <c r="C4778" i="2"/>
  <c r="B4778" i="2"/>
  <c r="N4777" i="2"/>
  <c r="K4777" i="2"/>
  <c r="H4777" i="2"/>
  <c r="G4777" i="2"/>
  <c r="F4777" i="2"/>
  <c r="E4777" i="2"/>
  <c r="C4777" i="2"/>
  <c r="B4777" i="2"/>
  <c r="N4776" i="2"/>
  <c r="K4776" i="2"/>
  <c r="H4776" i="2"/>
  <c r="G4776" i="2"/>
  <c r="F4776" i="2"/>
  <c r="E4776" i="2"/>
  <c r="C4776" i="2"/>
  <c r="B4776" i="2"/>
  <c r="N4775" i="2"/>
  <c r="K4775" i="2"/>
  <c r="H4775" i="2"/>
  <c r="G4775" i="2"/>
  <c r="F4775" i="2"/>
  <c r="E4775" i="2"/>
  <c r="C4775" i="2"/>
  <c r="B4775" i="2"/>
  <c r="N4774" i="2"/>
  <c r="K4774" i="2"/>
  <c r="H4774" i="2"/>
  <c r="G4774" i="2"/>
  <c r="F4774" i="2"/>
  <c r="E4774" i="2"/>
  <c r="C4774" i="2"/>
  <c r="B4774" i="2"/>
  <c r="N4773" i="2"/>
  <c r="K4773" i="2"/>
  <c r="H4773" i="2"/>
  <c r="G4773" i="2"/>
  <c r="F4773" i="2"/>
  <c r="E4773" i="2"/>
  <c r="C4773" i="2"/>
  <c r="B4773" i="2"/>
  <c r="N4772" i="2"/>
  <c r="K4772" i="2"/>
  <c r="H4772" i="2"/>
  <c r="G4772" i="2"/>
  <c r="F4772" i="2"/>
  <c r="E4772" i="2"/>
  <c r="C4772" i="2"/>
  <c r="B4772" i="2"/>
  <c r="N4771" i="2"/>
  <c r="K4771" i="2"/>
  <c r="H4771" i="2"/>
  <c r="G4771" i="2"/>
  <c r="F4771" i="2"/>
  <c r="E4771" i="2"/>
  <c r="C4771" i="2"/>
  <c r="B4771" i="2"/>
  <c r="N4770" i="2"/>
  <c r="K4770" i="2"/>
  <c r="H4770" i="2"/>
  <c r="G4770" i="2"/>
  <c r="F4770" i="2"/>
  <c r="E4770" i="2"/>
  <c r="C4770" i="2"/>
  <c r="B4770" i="2"/>
  <c r="N4769" i="2"/>
  <c r="K4769" i="2"/>
  <c r="H4769" i="2"/>
  <c r="G4769" i="2"/>
  <c r="F4769" i="2"/>
  <c r="E4769" i="2"/>
  <c r="C4769" i="2"/>
  <c r="B4769" i="2"/>
  <c r="N4768" i="2"/>
  <c r="K4768" i="2"/>
  <c r="H4768" i="2"/>
  <c r="G4768" i="2"/>
  <c r="F4768" i="2"/>
  <c r="E4768" i="2"/>
  <c r="C4768" i="2"/>
  <c r="B4768" i="2"/>
  <c r="N4767" i="2"/>
  <c r="K4767" i="2"/>
  <c r="H4767" i="2"/>
  <c r="G4767" i="2"/>
  <c r="F4767" i="2"/>
  <c r="E4767" i="2"/>
  <c r="C4767" i="2"/>
  <c r="B4767" i="2"/>
  <c r="N4766" i="2"/>
  <c r="K4766" i="2"/>
  <c r="H4766" i="2"/>
  <c r="G4766" i="2"/>
  <c r="F4766" i="2"/>
  <c r="E4766" i="2"/>
  <c r="C4766" i="2"/>
  <c r="B4766" i="2"/>
  <c r="N4765" i="2"/>
  <c r="K4765" i="2"/>
  <c r="H4765" i="2"/>
  <c r="G4765" i="2"/>
  <c r="F4765" i="2"/>
  <c r="E4765" i="2"/>
  <c r="C4765" i="2"/>
  <c r="B4765" i="2"/>
  <c r="N4764" i="2"/>
  <c r="K4764" i="2"/>
  <c r="H4764" i="2"/>
  <c r="G4764" i="2"/>
  <c r="F4764" i="2"/>
  <c r="E4764" i="2"/>
  <c r="C4764" i="2"/>
  <c r="B4764" i="2"/>
  <c r="N4763" i="2"/>
  <c r="K4763" i="2"/>
  <c r="H4763" i="2"/>
  <c r="G4763" i="2"/>
  <c r="F4763" i="2"/>
  <c r="E4763" i="2"/>
  <c r="C4763" i="2"/>
  <c r="B4763" i="2"/>
  <c r="N4762" i="2"/>
  <c r="K4762" i="2"/>
  <c r="H4762" i="2"/>
  <c r="G4762" i="2"/>
  <c r="F4762" i="2"/>
  <c r="E4762" i="2"/>
  <c r="C4762" i="2"/>
  <c r="B4762" i="2"/>
  <c r="N4761" i="2"/>
  <c r="K4761" i="2"/>
  <c r="H4761" i="2"/>
  <c r="G4761" i="2"/>
  <c r="F4761" i="2"/>
  <c r="E4761" i="2"/>
  <c r="C4761" i="2"/>
  <c r="B4761" i="2"/>
  <c r="N4760" i="2"/>
  <c r="K4760" i="2"/>
  <c r="H4760" i="2"/>
  <c r="G4760" i="2"/>
  <c r="F4760" i="2"/>
  <c r="E4760" i="2"/>
  <c r="C4760" i="2"/>
  <c r="B4760" i="2"/>
  <c r="N4759" i="2"/>
  <c r="K4759" i="2"/>
  <c r="H4759" i="2"/>
  <c r="G4759" i="2"/>
  <c r="F4759" i="2"/>
  <c r="E4759" i="2"/>
  <c r="C4759" i="2"/>
  <c r="B4759" i="2"/>
  <c r="N4758" i="2"/>
  <c r="K4758" i="2"/>
  <c r="H4758" i="2"/>
  <c r="G4758" i="2"/>
  <c r="F4758" i="2"/>
  <c r="E4758" i="2"/>
  <c r="C4758" i="2"/>
  <c r="B4758" i="2"/>
  <c r="N4757" i="2"/>
  <c r="K4757" i="2"/>
  <c r="H4757" i="2"/>
  <c r="G4757" i="2"/>
  <c r="F4757" i="2"/>
  <c r="E4757" i="2"/>
  <c r="C4757" i="2"/>
  <c r="B4757" i="2"/>
  <c r="N4756" i="2"/>
  <c r="K4756" i="2"/>
  <c r="H4756" i="2"/>
  <c r="G4756" i="2"/>
  <c r="F4756" i="2"/>
  <c r="E4756" i="2"/>
  <c r="C4756" i="2"/>
  <c r="B4756" i="2"/>
  <c r="N4755" i="2"/>
  <c r="K4755" i="2"/>
  <c r="H4755" i="2"/>
  <c r="G4755" i="2"/>
  <c r="F4755" i="2"/>
  <c r="E4755" i="2"/>
  <c r="C4755" i="2"/>
  <c r="B4755" i="2"/>
  <c r="N4754" i="2"/>
  <c r="K4754" i="2"/>
  <c r="H4754" i="2"/>
  <c r="G4754" i="2"/>
  <c r="F4754" i="2"/>
  <c r="E4754" i="2"/>
  <c r="C4754" i="2"/>
  <c r="B4754" i="2"/>
  <c r="N4753" i="2"/>
  <c r="K4753" i="2"/>
  <c r="H4753" i="2"/>
  <c r="G4753" i="2"/>
  <c r="F4753" i="2"/>
  <c r="E4753" i="2"/>
  <c r="C4753" i="2"/>
  <c r="B4753" i="2"/>
  <c r="N4752" i="2"/>
  <c r="K4752" i="2"/>
  <c r="H4752" i="2"/>
  <c r="G4752" i="2"/>
  <c r="F4752" i="2"/>
  <c r="E4752" i="2"/>
  <c r="C4752" i="2"/>
  <c r="B4752" i="2"/>
  <c r="N4751" i="2"/>
  <c r="K4751" i="2"/>
  <c r="H4751" i="2"/>
  <c r="G4751" i="2"/>
  <c r="F4751" i="2"/>
  <c r="E4751" i="2"/>
  <c r="C4751" i="2"/>
  <c r="B4751" i="2"/>
  <c r="N4750" i="2"/>
  <c r="K4750" i="2"/>
  <c r="H4750" i="2"/>
  <c r="G4750" i="2"/>
  <c r="F4750" i="2"/>
  <c r="E4750" i="2"/>
  <c r="C4750" i="2"/>
  <c r="B4750" i="2"/>
  <c r="N4749" i="2"/>
  <c r="K4749" i="2"/>
  <c r="H4749" i="2"/>
  <c r="G4749" i="2"/>
  <c r="F4749" i="2"/>
  <c r="E4749" i="2"/>
  <c r="C4749" i="2"/>
  <c r="B4749" i="2"/>
  <c r="N4748" i="2"/>
  <c r="K4748" i="2"/>
  <c r="H4748" i="2"/>
  <c r="G4748" i="2"/>
  <c r="F4748" i="2"/>
  <c r="E4748" i="2"/>
  <c r="C4748" i="2"/>
  <c r="B4748" i="2"/>
  <c r="N4747" i="2"/>
  <c r="K4747" i="2"/>
  <c r="H4747" i="2"/>
  <c r="G4747" i="2"/>
  <c r="F4747" i="2"/>
  <c r="E4747" i="2"/>
  <c r="C4747" i="2"/>
  <c r="B4747" i="2"/>
  <c r="N4746" i="2"/>
  <c r="K4746" i="2"/>
  <c r="H4746" i="2"/>
  <c r="G4746" i="2"/>
  <c r="F4746" i="2"/>
  <c r="E4746" i="2"/>
  <c r="C4746" i="2"/>
  <c r="B4746" i="2"/>
  <c r="N4745" i="2"/>
  <c r="K4745" i="2"/>
  <c r="H4745" i="2"/>
  <c r="G4745" i="2"/>
  <c r="F4745" i="2"/>
  <c r="E4745" i="2"/>
  <c r="C4745" i="2"/>
  <c r="B4745" i="2"/>
  <c r="N4744" i="2"/>
  <c r="K4744" i="2"/>
  <c r="H4744" i="2"/>
  <c r="G4744" i="2"/>
  <c r="F4744" i="2"/>
  <c r="E4744" i="2"/>
  <c r="C4744" i="2"/>
  <c r="B4744" i="2"/>
  <c r="N4743" i="2"/>
  <c r="K4743" i="2"/>
  <c r="H4743" i="2"/>
  <c r="G4743" i="2"/>
  <c r="F4743" i="2"/>
  <c r="E4743" i="2"/>
  <c r="C4743" i="2"/>
  <c r="B4743" i="2"/>
  <c r="N4742" i="2"/>
  <c r="K4742" i="2"/>
  <c r="H4742" i="2"/>
  <c r="G4742" i="2"/>
  <c r="F4742" i="2"/>
  <c r="E4742" i="2"/>
  <c r="C4742" i="2"/>
  <c r="B4742" i="2"/>
  <c r="N4741" i="2"/>
  <c r="K4741" i="2"/>
  <c r="H4741" i="2"/>
  <c r="G4741" i="2"/>
  <c r="F4741" i="2"/>
  <c r="E4741" i="2"/>
  <c r="C4741" i="2"/>
  <c r="B4741" i="2"/>
  <c r="N4740" i="2"/>
  <c r="K4740" i="2"/>
  <c r="H4740" i="2"/>
  <c r="G4740" i="2"/>
  <c r="F4740" i="2"/>
  <c r="E4740" i="2"/>
  <c r="C4740" i="2"/>
  <c r="B4740" i="2"/>
  <c r="N4739" i="2"/>
  <c r="K4739" i="2"/>
  <c r="H4739" i="2"/>
  <c r="G4739" i="2"/>
  <c r="F4739" i="2"/>
  <c r="E4739" i="2"/>
  <c r="C4739" i="2"/>
  <c r="B4739" i="2"/>
  <c r="N4738" i="2"/>
  <c r="K4738" i="2"/>
  <c r="H4738" i="2"/>
  <c r="G4738" i="2"/>
  <c r="F4738" i="2"/>
  <c r="E4738" i="2"/>
  <c r="C4738" i="2"/>
  <c r="B4738" i="2"/>
  <c r="N4737" i="2"/>
  <c r="K4737" i="2"/>
  <c r="H4737" i="2"/>
  <c r="G4737" i="2"/>
  <c r="F4737" i="2"/>
  <c r="E4737" i="2"/>
  <c r="C4737" i="2"/>
  <c r="B4737" i="2"/>
  <c r="N4736" i="2"/>
  <c r="K4736" i="2"/>
  <c r="H4736" i="2"/>
  <c r="G4736" i="2"/>
  <c r="F4736" i="2"/>
  <c r="E4736" i="2"/>
  <c r="C4736" i="2"/>
  <c r="B4736" i="2"/>
  <c r="N4735" i="2"/>
  <c r="K4735" i="2"/>
  <c r="H4735" i="2"/>
  <c r="G4735" i="2"/>
  <c r="F4735" i="2"/>
  <c r="E4735" i="2"/>
  <c r="C4735" i="2"/>
  <c r="B4735" i="2"/>
  <c r="N4734" i="2"/>
  <c r="K4734" i="2"/>
  <c r="H4734" i="2"/>
  <c r="G4734" i="2"/>
  <c r="F4734" i="2"/>
  <c r="E4734" i="2"/>
  <c r="C4734" i="2"/>
  <c r="B4734" i="2"/>
  <c r="N4733" i="2"/>
  <c r="K4733" i="2"/>
  <c r="H4733" i="2"/>
  <c r="G4733" i="2"/>
  <c r="F4733" i="2"/>
  <c r="E4733" i="2"/>
  <c r="C4733" i="2"/>
  <c r="B4733" i="2"/>
  <c r="N4732" i="2"/>
  <c r="K4732" i="2"/>
  <c r="H4732" i="2"/>
  <c r="G4732" i="2"/>
  <c r="F4732" i="2"/>
  <c r="E4732" i="2"/>
  <c r="C4732" i="2"/>
  <c r="B4732" i="2"/>
  <c r="N4731" i="2"/>
  <c r="K4731" i="2"/>
  <c r="H4731" i="2"/>
  <c r="G4731" i="2"/>
  <c r="F4731" i="2"/>
  <c r="E4731" i="2"/>
  <c r="C4731" i="2"/>
  <c r="B4731" i="2"/>
  <c r="N4730" i="2"/>
  <c r="K4730" i="2"/>
  <c r="H4730" i="2"/>
  <c r="G4730" i="2"/>
  <c r="F4730" i="2"/>
  <c r="E4730" i="2"/>
  <c r="C4730" i="2"/>
  <c r="B4730" i="2"/>
  <c r="N4729" i="2"/>
  <c r="K4729" i="2"/>
  <c r="H4729" i="2"/>
  <c r="G4729" i="2"/>
  <c r="F4729" i="2"/>
  <c r="E4729" i="2"/>
  <c r="C4729" i="2"/>
  <c r="B4729" i="2"/>
  <c r="N4728" i="2"/>
  <c r="K4728" i="2"/>
  <c r="H4728" i="2"/>
  <c r="G4728" i="2"/>
  <c r="F4728" i="2"/>
  <c r="E4728" i="2"/>
  <c r="C4728" i="2"/>
  <c r="B4728" i="2"/>
  <c r="N4727" i="2"/>
  <c r="K4727" i="2"/>
  <c r="H4727" i="2"/>
  <c r="G4727" i="2"/>
  <c r="F4727" i="2"/>
  <c r="E4727" i="2"/>
  <c r="C4727" i="2"/>
  <c r="B4727" i="2"/>
  <c r="N4726" i="2"/>
  <c r="K4726" i="2"/>
  <c r="H4726" i="2"/>
  <c r="G4726" i="2"/>
  <c r="F4726" i="2"/>
  <c r="E4726" i="2"/>
  <c r="C4726" i="2"/>
  <c r="B4726" i="2"/>
  <c r="N4725" i="2"/>
  <c r="K4725" i="2"/>
  <c r="H4725" i="2"/>
  <c r="G4725" i="2"/>
  <c r="F4725" i="2"/>
  <c r="E4725" i="2"/>
  <c r="C4725" i="2"/>
  <c r="B4725" i="2"/>
  <c r="N4724" i="2"/>
  <c r="K4724" i="2"/>
  <c r="H4724" i="2"/>
  <c r="G4724" i="2"/>
  <c r="F4724" i="2"/>
  <c r="E4724" i="2"/>
  <c r="C4724" i="2"/>
  <c r="B4724" i="2"/>
  <c r="N4723" i="2"/>
  <c r="K4723" i="2"/>
  <c r="H4723" i="2"/>
  <c r="G4723" i="2"/>
  <c r="F4723" i="2"/>
  <c r="E4723" i="2"/>
  <c r="C4723" i="2"/>
  <c r="B4723" i="2"/>
  <c r="N4722" i="2"/>
  <c r="K4722" i="2"/>
  <c r="H4722" i="2"/>
  <c r="G4722" i="2"/>
  <c r="F4722" i="2"/>
  <c r="E4722" i="2"/>
  <c r="C4722" i="2"/>
  <c r="B4722" i="2"/>
  <c r="N4721" i="2"/>
  <c r="K4721" i="2"/>
  <c r="H4721" i="2"/>
  <c r="G4721" i="2"/>
  <c r="F4721" i="2"/>
  <c r="E4721" i="2"/>
  <c r="C4721" i="2"/>
  <c r="B4721" i="2"/>
  <c r="N4720" i="2"/>
  <c r="K4720" i="2"/>
  <c r="H4720" i="2"/>
  <c r="G4720" i="2"/>
  <c r="F4720" i="2"/>
  <c r="E4720" i="2"/>
  <c r="C4720" i="2"/>
  <c r="B4720" i="2"/>
  <c r="N4719" i="2"/>
  <c r="K4719" i="2"/>
  <c r="H4719" i="2"/>
  <c r="G4719" i="2"/>
  <c r="F4719" i="2"/>
  <c r="E4719" i="2"/>
  <c r="C4719" i="2"/>
  <c r="B4719" i="2"/>
  <c r="N4718" i="2"/>
  <c r="K4718" i="2"/>
  <c r="H4718" i="2"/>
  <c r="G4718" i="2"/>
  <c r="F4718" i="2"/>
  <c r="E4718" i="2"/>
  <c r="C4718" i="2"/>
  <c r="B4718" i="2"/>
  <c r="N4717" i="2"/>
  <c r="K4717" i="2"/>
  <c r="H4717" i="2"/>
  <c r="G4717" i="2"/>
  <c r="F4717" i="2"/>
  <c r="E4717" i="2"/>
  <c r="C4717" i="2"/>
  <c r="B4717" i="2"/>
  <c r="N4716" i="2"/>
  <c r="K4716" i="2"/>
  <c r="H4716" i="2"/>
  <c r="G4716" i="2"/>
  <c r="F4716" i="2"/>
  <c r="E4716" i="2"/>
  <c r="C4716" i="2"/>
  <c r="B4716" i="2"/>
  <c r="N4715" i="2"/>
  <c r="K4715" i="2"/>
  <c r="H4715" i="2"/>
  <c r="G4715" i="2"/>
  <c r="F4715" i="2"/>
  <c r="E4715" i="2"/>
  <c r="C4715" i="2"/>
  <c r="B4715" i="2"/>
  <c r="N4714" i="2"/>
  <c r="K4714" i="2"/>
  <c r="H4714" i="2"/>
  <c r="G4714" i="2"/>
  <c r="F4714" i="2"/>
  <c r="E4714" i="2"/>
  <c r="C4714" i="2"/>
  <c r="B4714" i="2"/>
  <c r="N4713" i="2"/>
  <c r="K4713" i="2"/>
  <c r="H4713" i="2"/>
  <c r="G4713" i="2"/>
  <c r="F4713" i="2"/>
  <c r="E4713" i="2"/>
  <c r="C4713" i="2"/>
  <c r="B4713" i="2"/>
  <c r="N4712" i="2"/>
  <c r="K4712" i="2"/>
  <c r="H4712" i="2"/>
  <c r="G4712" i="2"/>
  <c r="F4712" i="2"/>
  <c r="E4712" i="2"/>
  <c r="C4712" i="2"/>
  <c r="B4712" i="2"/>
  <c r="N4711" i="2"/>
  <c r="K4711" i="2"/>
  <c r="H4711" i="2"/>
  <c r="G4711" i="2"/>
  <c r="F4711" i="2"/>
  <c r="E4711" i="2"/>
  <c r="C4711" i="2"/>
  <c r="B4711" i="2"/>
  <c r="N4710" i="2"/>
  <c r="K4710" i="2"/>
  <c r="H4710" i="2"/>
  <c r="G4710" i="2"/>
  <c r="F4710" i="2"/>
  <c r="E4710" i="2"/>
  <c r="C4710" i="2"/>
  <c r="B4710" i="2"/>
  <c r="N4709" i="2"/>
  <c r="K4709" i="2"/>
  <c r="H4709" i="2"/>
  <c r="G4709" i="2"/>
  <c r="F4709" i="2"/>
  <c r="E4709" i="2"/>
  <c r="C4709" i="2"/>
  <c r="B4709" i="2"/>
  <c r="N4708" i="2"/>
  <c r="K4708" i="2"/>
  <c r="H4708" i="2"/>
  <c r="G4708" i="2"/>
  <c r="F4708" i="2"/>
  <c r="E4708" i="2"/>
  <c r="C4708" i="2"/>
  <c r="B4708" i="2"/>
  <c r="N4707" i="2"/>
  <c r="K4707" i="2"/>
  <c r="H4707" i="2"/>
  <c r="G4707" i="2"/>
  <c r="F4707" i="2"/>
  <c r="E4707" i="2"/>
  <c r="C4707" i="2"/>
  <c r="B4707" i="2"/>
  <c r="N4706" i="2"/>
  <c r="K4706" i="2"/>
  <c r="H4706" i="2"/>
  <c r="G4706" i="2"/>
  <c r="F4706" i="2"/>
  <c r="E4706" i="2"/>
  <c r="C4706" i="2"/>
  <c r="B4706" i="2"/>
  <c r="N4705" i="2"/>
  <c r="K4705" i="2"/>
  <c r="H4705" i="2"/>
  <c r="G4705" i="2"/>
  <c r="F4705" i="2"/>
  <c r="E4705" i="2"/>
  <c r="C4705" i="2"/>
  <c r="B4705" i="2"/>
  <c r="N4704" i="2"/>
  <c r="K4704" i="2"/>
  <c r="H4704" i="2"/>
  <c r="G4704" i="2"/>
  <c r="F4704" i="2"/>
  <c r="E4704" i="2"/>
  <c r="C4704" i="2"/>
  <c r="B4704" i="2"/>
  <c r="N4703" i="2"/>
  <c r="K4703" i="2"/>
  <c r="H4703" i="2"/>
  <c r="G4703" i="2"/>
  <c r="F4703" i="2"/>
  <c r="E4703" i="2"/>
  <c r="C4703" i="2"/>
  <c r="B4703" i="2"/>
  <c r="N4702" i="2"/>
  <c r="K4702" i="2"/>
  <c r="H4702" i="2"/>
  <c r="G4702" i="2"/>
  <c r="F4702" i="2"/>
  <c r="E4702" i="2"/>
  <c r="C4702" i="2"/>
  <c r="B4702" i="2"/>
  <c r="N4701" i="2"/>
  <c r="K4701" i="2"/>
  <c r="H4701" i="2"/>
  <c r="G4701" i="2"/>
  <c r="F4701" i="2"/>
  <c r="E4701" i="2"/>
  <c r="C4701" i="2"/>
  <c r="B4701" i="2"/>
  <c r="N4700" i="2"/>
  <c r="K4700" i="2"/>
  <c r="H4700" i="2"/>
  <c r="G4700" i="2"/>
  <c r="F4700" i="2"/>
  <c r="E4700" i="2"/>
  <c r="C4700" i="2"/>
  <c r="B4700" i="2"/>
  <c r="N4699" i="2"/>
  <c r="K4699" i="2"/>
  <c r="H4699" i="2"/>
  <c r="G4699" i="2"/>
  <c r="F4699" i="2"/>
  <c r="E4699" i="2"/>
  <c r="C4699" i="2"/>
  <c r="B4699" i="2"/>
  <c r="N4698" i="2"/>
  <c r="K4698" i="2"/>
  <c r="H4698" i="2"/>
  <c r="G4698" i="2"/>
  <c r="F4698" i="2"/>
  <c r="E4698" i="2"/>
  <c r="C4698" i="2"/>
  <c r="B4698" i="2"/>
  <c r="N4697" i="2"/>
  <c r="K4697" i="2"/>
  <c r="H4697" i="2"/>
  <c r="G4697" i="2"/>
  <c r="F4697" i="2"/>
  <c r="E4697" i="2"/>
  <c r="C4697" i="2"/>
  <c r="B4697" i="2"/>
  <c r="N4696" i="2"/>
  <c r="K4696" i="2"/>
  <c r="H4696" i="2"/>
  <c r="G4696" i="2"/>
  <c r="F4696" i="2"/>
  <c r="E4696" i="2"/>
  <c r="C4696" i="2"/>
  <c r="B4696" i="2"/>
  <c r="N4695" i="2"/>
  <c r="K4695" i="2"/>
  <c r="H4695" i="2"/>
  <c r="G4695" i="2"/>
  <c r="F4695" i="2"/>
  <c r="E4695" i="2"/>
  <c r="C4695" i="2"/>
  <c r="B4695" i="2"/>
  <c r="N4694" i="2"/>
  <c r="K4694" i="2"/>
  <c r="H4694" i="2"/>
  <c r="G4694" i="2"/>
  <c r="F4694" i="2"/>
  <c r="E4694" i="2"/>
  <c r="C4694" i="2"/>
  <c r="B4694" i="2"/>
  <c r="N4693" i="2"/>
  <c r="K4693" i="2"/>
  <c r="H4693" i="2"/>
  <c r="G4693" i="2"/>
  <c r="F4693" i="2"/>
  <c r="E4693" i="2"/>
  <c r="C4693" i="2"/>
  <c r="B4693" i="2"/>
  <c r="N4692" i="2"/>
  <c r="K4692" i="2"/>
  <c r="H4692" i="2"/>
  <c r="G4692" i="2"/>
  <c r="F4692" i="2"/>
  <c r="E4692" i="2"/>
  <c r="C4692" i="2"/>
  <c r="B4692" i="2"/>
  <c r="N4691" i="2"/>
  <c r="K4691" i="2"/>
  <c r="H4691" i="2"/>
  <c r="G4691" i="2"/>
  <c r="F4691" i="2"/>
  <c r="E4691" i="2"/>
  <c r="C4691" i="2"/>
  <c r="B4691" i="2"/>
  <c r="N4690" i="2"/>
  <c r="K4690" i="2"/>
  <c r="H4690" i="2"/>
  <c r="G4690" i="2"/>
  <c r="F4690" i="2"/>
  <c r="E4690" i="2"/>
  <c r="C4690" i="2"/>
  <c r="B4690" i="2"/>
  <c r="N4689" i="2"/>
  <c r="K4689" i="2"/>
  <c r="H4689" i="2"/>
  <c r="G4689" i="2"/>
  <c r="F4689" i="2"/>
  <c r="E4689" i="2"/>
  <c r="C4689" i="2"/>
  <c r="B4689" i="2"/>
  <c r="N4688" i="2"/>
  <c r="K4688" i="2"/>
  <c r="H4688" i="2"/>
  <c r="G4688" i="2"/>
  <c r="F4688" i="2"/>
  <c r="E4688" i="2"/>
  <c r="C4688" i="2"/>
  <c r="B4688" i="2"/>
  <c r="N4687" i="2"/>
  <c r="K4687" i="2"/>
  <c r="H4687" i="2"/>
  <c r="G4687" i="2"/>
  <c r="F4687" i="2"/>
  <c r="E4687" i="2"/>
  <c r="C4687" i="2"/>
  <c r="B4687" i="2"/>
  <c r="N4686" i="2"/>
  <c r="K4686" i="2"/>
  <c r="H4686" i="2"/>
  <c r="G4686" i="2"/>
  <c r="F4686" i="2"/>
  <c r="E4686" i="2"/>
  <c r="C4686" i="2"/>
  <c r="B4686" i="2"/>
  <c r="N4685" i="2"/>
  <c r="K4685" i="2"/>
  <c r="H4685" i="2"/>
  <c r="G4685" i="2"/>
  <c r="F4685" i="2"/>
  <c r="E4685" i="2"/>
  <c r="C4685" i="2"/>
  <c r="B4685" i="2"/>
  <c r="N4684" i="2"/>
  <c r="K4684" i="2"/>
  <c r="H4684" i="2"/>
  <c r="G4684" i="2"/>
  <c r="F4684" i="2"/>
  <c r="E4684" i="2"/>
  <c r="C4684" i="2"/>
  <c r="B4684" i="2"/>
  <c r="N4683" i="2"/>
  <c r="K4683" i="2"/>
  <c r="H4683" i="2"/>
  <c r="G4683" i="2"/>
  <c r="F4683" i="2"/>
  <c r="E4683" i="2"/>
  <c r="C4683" i="2"/>
  <c r="B4683" i="2"/>
  <c r="N4682" i="2"/>
  <c r="K4682" i="2"/>
  <c r="H4682" i="2"/>
  <c r="G4682" i="2"/>
  <c r="F4682" i="2"/>
  <c r="E4682" i="2"/>
  <c r="C4682" i="2"/>
  <c r="B4682" i="2"/>
  <c r="N4681" i="2"/>
  <c r="K4681" i="2"/>
  <c r="H4681" i="2"/>
  <c r="G4681" i="2"/>
  <c r="F4681" i="2"/>
  <c r="E4681" i="2"/>
  <c r="C4681" i="2"/>
  <c r="B4681" i="2"/>
  <c r="N4680" i="2"/>
  <c r="K4680" i="2"/>
  <c r="H4680" i="2"/>
  <c r="G4680" i="2"/>
  <c r="F4680" i="2"/>
  <c r="E4680" i="2"/>
  <c r="C4680" i="2"/>
  <c r="B4680" i="2"/>
  <c r="N4679" i="2"/>
  <c r="K4679" i="2"/>
  <c r="H4679" i="2"/>
  <c r="G4679" i="2"/>
  <c r="F4679" i="2"/>
  <c r="E4679" i="2"/>
  <c r="C4679" i="2"/>
  <c r="B4679" i="2"/>
  <c r="N4678" i="2"/>
  <c r="K4678" i="2"/>
  <c r="H4678" i="2"/>
  <c r="G4678" i="2"/>
  <c r="F4678" i="2"/>
  <c r="E4678" i="2"/>
  <c r="C4678" i="2"/>
  <c r="B4678" i="2"/>
  <c r="N4677" i="2"/>
  <c r="K4677" i="2"/>
  <c r="H4677" i="2"/>
  <c r="G4677" i="2"/>
  <c r="F4677" i="2"/>
  <c r="E4677" i="2"/>
  <c r="C4677" i="2"/>
  <c r="B4677" i="2"/>
  <c r="N4676" i="2"/>
  <c r="K4676" i="2"/>
  <c r="H4676" i="2"/>
  <c r="G4676" i="2"/>
  <c r="F4676" i="2"/>
  <c r="E4676" i="2"/>
  <c r="C4676" i="2"/>
  <c r="B4676" i="2"/>
  <c r="N4675" i="2"/>
  <c r="K4675" i="2"/>
  <c r="H4675" i="2"/>
  <c r="G4675" i="2"/>
  <c r="F4675" i="2"/>
  <c r="E4675" i="2"/>
  <c r="C4675" i="2"/>
  <c r="B4675" i="2"/>
  <c r="N4674" i="2"/>
  <c r="K4674" i="2"/>
  <c r="H4674" i="2"/>
  <c r="G4674" i="2"/>
  <c r="F4674" i="2"/>
  <c r="E4674" i="2"/>
  <c r="C4674" i="2"/>
  <c r="B4674" i="2"/>
  <c r="N4673" i="2"/>
  <c r="K4673" i="2"/>
  <c r="H4673" i="2"/>
  <c r="G4673" i="2"/>
  <c r="F4673" i="2"/>
  <c r="E4673" i="2"/>
  <c r="C4673" i="2"/>
  <c r="B4673" i="2"/>
  <c r="N4672" i="2"/>
  <c r="K4672" i="2"/>
  <c r="H4672" i="2"/>
  <c r="G4672" i="2"/>
  <c r="F4672" i="2"/>
  <c r="E4672" i="2"/>
  <c r="C4672" i="2"/>
  <c r="B4672" i="2"/>
  <c r="N4671" i="2"/>
  <c r="K4671" i="2"/>
  <c r="H4671" i="2"/>
  <c r="G4671" i="2"/>
  <c r="F4671" i="2"/>
  <c r="E4671" i="2"/>
  <c r="C4671" i="2"/>
  <c r="B4671" i="2"/>
  <c r="N4670" i="2"/>
  <c r="K4670" i="2"/>
  <c r="H4670" i="2"/>
  <c r="G4670" i="2"/>
  <c r="F4670" i="2"/>
  <c r="E4670" i="2"/>
  <c r="C4670" i="2"/>
  <c r="B4670" i="2"/>
  <c r="N4669" i="2"/>
  <c r="K4669" i="2"/>
  <c r="H4669" i="2"/>
  <c r="G4669" i="2"/>
  <c r="F4669" i="2"/>
  <c r="E4669" i="2"/>
  <c r="C4669" i="2"/>
  <c r="B4669" i="2"/>
  <c r="N4668" i="2"/>
  <c r="K4668" i="2"/>
  <c r="H4668" i="2"/>
  <c r="G4668" i="2"/>
  <c r="F4668" i="2"/>
  <c r="E4668" i="2"/>
  <c r="C4668" i="2"/>
  <c r="B4668" i="2"/>
  <c r="N4667" i="2"/>
  <c r="K4667" i="2"/>
  <c r="H4667" i="2"/>
  <c r="G4667" i="2"/>
  <c r="F4667" i="2"/>
  <c r="E4667" i="2"/>
  <c r="C4667" i="2"/>
  <c r="B4667" i="2"/>
  <c r="N4666" i="2"/>
  <c r="K4666" i="2"/>
  <c r="H4666" i="2"/>
  <c r="G4666" i="2"/>
  <c r="F4666" i="2"/>
  <c r="E4666" i="2"/>
  <c r="C4666" i="2"/>
  <c r="B4666" i="2"/>
  <c r="N4665" i="2"/>
  <c r="K4665" i="2"/>
  <c r="H4665" i="2"/>
  <c r="G4665" i="2"/>
  <c r="F4665" i="2"/>
  <c r="E4665" i="2"/>
  <c r="C4665" i="2"/>
  <c r="B4665" i="2"/>
  <c r="N4664" i="2"/>
  <c r="K4664" i="2"/>
  <c r="H4664" i="2"/>
  <c r="G4664" i="2"/>
  <c r="F4664" i="2"/>
  <c r="E4664" i="2"/>
  <c r="C4664" i="2"/>
  <c r="B4664" i="2"/>
  <c r="N4663" i="2"/>
  <c r="K4663" i="2"/>
  <c r="H4663" i="2"/>
  <c r="G4663" i="2"/>
  <c r="F4663" i="2"/>
  <c r="E4663" i="2"/>
  <c r="C4663" i="2"/>
  <c r="B4663" i="2"/>
  <c r="N4662" i="2"/>
  <c r="K4662" i="2"/>
  <c r="H4662" i="2"/>
  <c r="G4662" i="2"/>
  <c r="F4662" i="2"/>
  <c r="E4662" i="2"/>
  <c r="C4662" i="2"/>
  <c r="B4662" i="2"/>
  <c r="N4661" i="2"/>
  <c r="K4661" i="2"/>
  <c r="H4661" i="2"/>
  <c r="G4661" i="2"/>
  <c r="F4661" i="2"/>
  <c r="E4661" i="2"/>
  <c r="C4661" i="2"/>
  <c r="B4661" i="2"/>
  <c r="N4660" i="2"/>
  <c r="K4660" i="2"/>
  <c r="H4660" i="2"/>
  <c r="G4660" i="2"/>
  <c r="F4660" i="2"/>
  <c r="E4660" i="2"/>
  <c r="C4660" i="2"/>
  <c r="B4660" i="2"/>
  <c r="N4659" i="2"/>
  <c r="K4659" i="2"/>
  <c r="H4659" i="2"/>
  <c r="G4659" i="2"/>
  <c r="F4659" i="2"/>
  <c r="E4659" i="2"/>
  <c r="C4659" i="2"/>
  <c r="B4659" i="2"/>
  <c r="N4658" i="2"/>
  <c r="K4658" i="2"/>
  <c r="H4658" i="2"/>
  <c r="G4658" i="2"/>
  <c r="F4658" i="2"/>
  <c r="E4658" i="2"/>
  <c r="C4658" i="2"/>
  <c r="B4658" i="2"/>
  <c r="N4657" i="2"/>
  <c r="K4657" i="2"/>
  <c r="H4657" i="2"/>
  <c r="G4657" i="2"/>
  <c r="F4657" i="2"/>
  <c r="E4657" i="2"/>
  <c r="C4657" i="2"/>
  <c r="B4657" i="2"/>
  <c r="N4656" i="2"/>
  <c r="K4656" i="2"/>
  <c r="H4656" i="2"/>
  <c r="G4656" i="2"/>
  <c r="F4656" i="2"/>
  <c r="E4656" i="2"/>
  <c r="C4656" i="2"/>
  <c r="B4656" i="2"/>
  <c r="N4655" i="2"/>
  <c r="K4655" i="2"/>
  <c r="H4655" i="2"/>
  <c r="G4655" i="2"/>
  <c r="F4655" i="2"/>
  <c r="E4655" i="2"/>
  <c r="C4655" i="2"/>
  <c r="B4655" i="2"/>
  <c r="N4654" i="2"/>
  <c r="K4654" i="2"/>
  <c r="H4654" i="2"/>
  <c r="G4654" i="2"/>
  <c r="F4654" i="2"/>
  <c r="E4654" i="2"/>
  <c r="C4654" i="2"/>
  <c r="B4654" i="2"/>
  <c r="N4653" i="2"/>
  <c r="K4653" i="2"/>
  <c r="H4653" i="2"/>
  <c r="G4653" i="2"/>
  <c r="F4653" i="2"/>
  <c r="E4653" i="2"/>
  <c r="C4653" i="2"/>
  <c r="B4653" i="2"/>
  <c r="N4652" i="2"/>
  <c r="K4652" i="2"/>
  <c r="H4652" i="2"/>
  <c r="G4652" i="2"/>
  <c r="F4652" i="2"/>
  <c r="E4652" i="2"/>
  <c r="C4652" i="2"/>
  <c r="B4652" i="2"/>
  <c r="N4651" i="2"/>
  <c r="K4651" i="2"/>
  <c r="H4651" i="2"/>
  <c r="G4651" i="2"/>
  <c r="F4651" i="2"/>
  <c r="E4651" i="2"/>
  <c r="C4651" i="2"/>
  <c r="B4651" i="2"/>
  <c r="N4650" i="2"/>
  <c r="K4650" i="2"/>
  <c r="H4650" i="2"/>
  <c r="G4650" i="2"/>
  <c r="F4650" i="2"/>
  <c r="E4650" i="2"/>
  <c r="C4650" i="2"/>
  <c r="B4650" i="2"/>
  <c r="N4649" i="2"/>
  <c r="K4649" i="2"/>
  <c r="H4649" i="2"/>
  <c r="G4649" i="2"/>
  <c r="F4649" i="2"/>
  <c r="E4649" i="2"/>
  <c r="C4649" i="2"/>
  <c r="B4649" i="2"/>
  <c r="N4648" i="2"/>
  <c r="K4648" i="2"/>
  <c r="H4648" i="2"/>
  <c r="G4648" i="2"/>
  <c r="F4648" i="2"/>
  <c r="E4648" i="2"/>
  <c r="C4648" i="2"/>
  <c r="B4648" i="2"/>
  <c r="N4647" i="2"/>
  <c r="K4647" i="2"/>
  <c r="H4647" i="2"/>
  <c r="G4647" i="2"/>
  <c r="F4647" i="2"/>
  <c r="E4647" i="2"/>
  <c r="C4647" i="2"/>
  <c r="B4647" i="2"/>
  <c r="N4646" i="2"/>
  <c r="K4646" i="2"/>
  <c r="H4646" i="2"/>
  <c r="G4646" i="2"/>
  <c r="F4646" i="2"/>
  <c r="E4646" i="2"/>
  <c r="C4646" i="2"/>
  <c r="B4646" i="2"/>
  <c r="N4645" i="2"/>
  <c r="K4645" i="2"/>
  <c r="H4645" i="2"/>
  <c r="G4645" i="2"/>
  <c r="F4645" i="2"/>
  <c r="E4645" i="2"/>
  <c r="C4645" i="2"/>
  <c r="B4645" i="2"/>
  <c r="N4644" i="2"/>
  <c r="K4644" i="2"/>
  <c r="H4644" i="2"/>
  <c r="G4644" i="2"/>
  <c r="F4644" i="2"/>
  <c r="E4644" i="2"/>
  <c r="C4644" i="2"/>
  <c r="B4644" i="2"/>
  <c r="N4643" i="2"/>
  <c r="K4643" i="2"/>
  <c r="H4643" i="2"/>
  <c r="G4643" i="2"/>
  <c r="F4643" i="2"/>
  <c r="E4643" i="2"/>
  <c r="C4643" i="2"/>
  <c r="B4643" i="2"/>
  <c r="N4642" i="2"/>
  <c r="K4642" i="2"/>
  <c r="H4642" i="2"/>
  <c r="G4642" i="2"/>
  <c r="F4642" i="2"/>
  <c r="E4642" i="2"/>
  <c r="C4642" i="2"/>
  <c r="B4642" i="2"/>
  <c r="N4641" i="2"/>
  <c r="K4641" i="2"/>
  <c r="H4641" i="2"/>
  <c r="G4641" i="2"/>
  <c r="F4641" i="2"/>
  <c r="E4641" i="2"/>
  <c r="C4641" i="2"/>
  <c r="B4641" i="2"/>
  <c r="N4640" i="2"/>
  <c r="K4640" i="2"/>
  <c r="H4640" i="2"/>
  <c r="G4640" i="2"/>
  <c r="F4640" i="2"/>
  <c r="E4640" i="2"/>
  <c r="C4640" i="2"/>
  <c r="B4640" i="2"/>
  <c r="N4639" i="2"/>
  <c r="K4639" i="2"/>
  <c r="H4639" i="2"/>
  <c r="G4639" i="2"/>
  <c r="F4639" i="2"/>
  <c r="E4639" i="2"/>
  <c r="C4639" i="2"/>
  <c r="B4639" i="2"/>
  <c r="N4638" i="2"/>
  <c r="K4638" i="2"/>
  <c r="H4638" i="2"/>
  <c r="G4638" i="2"/>
  <c r="F4638" i="2"/>
  <c r="E4638" i="2"/>
  <c r="C4638" i="2"/>
  <c r="B4638" i="2"/>
  <c r="N4637" i="2"/>
  <c r="K4637" i="2"/>
  <c r="H4637" i="2"/>
  <c r="G4637" i="2"/>
  <c r="F4637" i="2"/>
  <c r="E4637" i="2"/>
  <c r="C4637" i="2"/>
  <c r="B4637" i="2"/>
  <c r="N4636" i="2"/>
  <c r="K4636" i="2"/>
  <c r="H4636" i="2"/>
  <c r="G4636" i="2"/>
  <c r="F4636" i="2"/>
  <c r="E4636" i="2"/>
  <c r="C4636" i="2"/>
  <c r="B4636" i="2"/>
  <c r="N4635" i="2"/>
  <c r="K4635" i="2"/>
  <c r="H4635" i="2"/>
  <c r="G4635" i="2"/>
  <c r="F4635" i="2"/>
  <c r="E4635" i="2"/>
  <c r="C4635" i="2"/>
  <c r="B4635" i="2"/>
  <c r="N4634" i="2"/>
  <c r="K4634" i="2"/>
  <c r="H4634" i="2"/>
  <c r="G4634" i="2"/>
  <c r="F4634" i="2"/>
  <c r="E4634" i="2"/>
  <c r="C4634" i="2"/>
  <c r="B4634" i="2"/>
  <c r="N4633" i="2"/>
  <c r="K4633" i="2"/>
  <c r="H4633" i="2"/>
  <c r="G4633" i="2"/>
  <c r="F4633" i="2"/>
  <c r="E4633" i="2"/>
  <c r="C4633" i="2"/>
  <c r="B4633" i="2"/>
  <c r="N4632" i="2"/>
  <c r="K4632" i="2"/>
  <c r="H4632" i="2"/>
  <c r="G4632" i="2"/>
  <c r="F4632" i="2"/>
  <c r="E4632" i="2"/>
  <c r="C4632" i="2"/>
  <c r="B4632" i="2"/>
  <c r="N4631" i="2"/>
  <c r="K4631" i="2"/>
  <c r="H4631" i="2"/>
  <c r="G4631" i="2"/>
  <c r="F4631" i="2"/>
  <c r="E4631" i="2"/>
  <c r="C4631" i="2"/>
  <c r="B4631" i="2"/>
  <c r="N4630" i="2"/>
  <c r="K4630" i="2"/>
  <c r="H4630" i="2"/>
  <c r="G4630" i="2"/>
  <c r="F4630" i="2"/>
  <c r="E4630" i="2"/>
  <c r="C4630" i="2"/>
  <c r="B4630" i="2"/>
  <c r="N4629" i="2"/>
  <c r="K4629" i="2"/>
  <c r="H4629" i="2"/>
  <c r="G4629" i="2"/>
  <c r="F4629" i="2"/>
  <c r="E4629" i="2"/>
  <c r="C4629" i="2"/>
  <c r="B4629" i="2"/>
  <c r="N4628" i="2"/>
  <c r="K4628" i="2"/>
  <c r="H4628" i="2"/>
  <c r="G4628" i="2"/>
  <c r="F4628" i="2"/>
  <c r="E4628" i="2"/>
  <c r="C4628" i="2"/>
  <c r="B4628" i="2"/>
  <c r="N4627" i="2"/>
  <c r="K4627" i="2"/>
  <c r="H4627" i="2"/>
  <c r="G4627" i="2"/>
  <c r="F4627" i="2"/>
  <c r="E4627" i="2"/>
  <c r="C4627" i="2"/>
  <c r="B4627" i="2"/>
  <c r="N4626" i="2"/>
  <c r="K4626" i="2"/>
  <c r="H4626" i="2"/>
  <c r="G4626" i="2"/>
  <c r="F4626" i="2"/>
  <c r="E4626" i="2"/>
  <c r="C4626" i="2"/>
  <c r="B4626" i="2"/>
  <c r="N4625" i="2"/>
  <c r="K4625" i="2"/>
  <c r="H4625" i="2"/>
  <c r="G4625" i="2"/>
  <c r="F4625" i="2"/>
  <c r="E4625" i="2"/>
  <c r="C4625" i="2"/>
  <c r="B4625" i="2"/>
  <c r="N4624" i="2"/>
  <c r="K4624" i="2"/>
  <c r="H4624" i="2"/>
  <c r="G4624" i="2"/>
  <c r="F4624" i="2"/>
  <c r="E4624" i="2"/>
  <c r="C4624" i="2"/>
  <c r="B4624" i="2"/>
  <c r="N4623" i="2"/>
  <c r="K4623" i="2"/>
  <c r="H4623" i="2"/>
  <c r="G4623" i="2"/>
  <c r="F4623" i="2"/>
  <c r="E4623" i="2"/>
  <c r="C4623" i="2"/>
  <c r="B4623" i="2"/>
  <c r="N4622" i="2"/>
  <c r="K4622" i="2"/>
  <c r="H4622" i="2"/>
  <c r="G4622" i="2"/>
  <c r="F4622" i="2"/>
  <c r="E4622" i="2"/>
  <c r="C4622" i="2"/>
  <c r="B4622" i="2"/>
  <c r="N4621" i="2"/>
  <c r="K4621" i="2"/>
  <c r="H4621" i="2"/>
  <c r="G4621" i="2"/>
  <c r="F4621" i="2"/>
  <c r="E4621" i="2"/>
  <c r="C4621" i="2"/>
  <c r="B4621" i="2"/>
  <c r="N4620" i="2"/>
  <c r="K4620" i="2"/>
  <c r="H4620" i="2"/>
  <c r="G4620" i="2"/>
  <c r="F4620" i="2"/>
  <c r="E4620" i="2"/>
  <c r="C4620" i="2"/>
  <c r="B4620" i="2"/>
  <c r="N4619" i="2"/>
  <c r="K4619" i="2"/>
  <c r="H4619" i="2"/>
  <c r="G4619" i="2"/>
  <c r="F4619" i="2"/>
  <c r="E4619" i="2"/>
  <c r="C4619" i="2"/>
  <c r="B4619" i="2"/>
  <c r="N4618" i="2"/>
  <c r="K4618" i="2"/>
  <c r="H4618" i="2"/>
  <c r="G4618" i="2"/>
  <c r="F4618" i="2"/>
  <c r="E4618" i="2"/>
  <c r="C4618" i="2"/>
  <c r="B4618" i="2"/>
  <c r="N4617" i="2"/>
  <c r="K4617" i="2"/>
  <c r="H4617" i="2"/>
  <c r="G4617" i="2"/>
  <c r="F4617" i="2"/>
  <c r="E4617" i="2"/>
  <c r="C4617" i="2"/>
  <c r="B4617" i="2"/>
  <c r="N4616" i="2"/>
  <c r="K4616" i="2"/>
  <c r="H4616" i="2"/>
  <c r="G4616" i="2"/>
  <c r="F4616" i="2"/>
  <c r="E4616" i="2"/>
  <c r="C4616" i="2"/>
  <c r="B4616" i="2"/>
  <c r="N4615" i="2"/>
  <c r="K4615" i="2"/>
  <c r="H4615" i="2"/>
  <c r="G4615" i="2"/>
  <c r="F4615" i="2"/>
  <c r="E4615" i="2"/>
  <c r="C4615" i="2"/>
  <c r="B4615" i="2"/>
  <c r="N4614" i="2"/>
  <c r="K4614" i="2"/>
  <c r="H4614" i="2"/>
  <c r="G4614" i="2"/>
  <c r="F4614" i="2"/>
  <c r="E4614" i="2"/>
  <c r="C4614" i="2"/>
  <c r="B4614" i="2"/>
  <c r="N4613" i="2"/>
  <c r="K4613" i="2"/>
  <c r="H4613" i="2"/>
  <c r="G4613" i="2"/>
  <c r="F4613" i="2"/>
  <c r="E4613" i="2"/>
  <c r="C4613" i="2"/>
  <c r="B4613" i="2"/>
  <c r="N4612" i="2"/>
  <c r="K4612" i="2"/>
  <c r="H4612" i="2"/>
  <c r="G4612" i="2"/>
  <c r="F4612" i="2"/>
  <c r="E4612" i="2"/>
  <c r="C4612" i="2"/>
  <c r="B4612" i="2"/>
  <c r="N4611" i="2"/>
  <c r="K4611" i="2"/>
  <c r="H4611" i="2"/>
  <c r="G4611" i="2"/>
  <c r="F4611" i="2"/>
  <c r="E4611" i="2"/>
  <c r="C4611" i="2"/>
  <c r="B4611" i="2"/>
  <c r="N4610" i="2"/>
  <c r="K4610" i="2"/>
  <c r="H4610" i="2"/>
  <c r="G4610" i="2"/>
  <c r="F4610" i="2"/>
  <c r="E4610" i="2"/>
  <c r="C4610" i="2"/>
  <c r="B4610" i="2"/>
  <c r="N4609" i="2"/>
  <c r="K4609" i="2"/>
  <c r="H4609" i="2"/>
  <c r="G4609" i="2"/>
  <c r="F4609" i="2"/>
  <c r="E4609" i="2"/>
  <c r="C4609" i="2"/>
  <c r="B4609" i="2"/>
  <c r="N4608" i="2"/>
  <c r="K4608" i="2"/>
  <c r="H4608" i="2"/>
  <c r="G4608" i="2"/>
  <c r="F4608" i="2"/>
  <c r="E4608" i="2"/>
  <c r="C4608" i="2"/>
  <c r="B4608" i="2"/>
  <c r="N4607" i="2"/>
  <c r="K4607" i="2"/>
  <c r="H4607" i="2"/>
  <c r="G4607" i="2"/>
  <c r="F4607" i="2"/>
  <c r="E4607" i="2"/>
  <c r="C4607" i="2"/>
  <c r="B4607" i="2"/>
  <c r="N4606" i="2"/>
  <c r="K4606" i="2"/>
  <c r="H4606" i="2"/>
  <c r="G4606" i="2"/>
  <c r="F4606" i="2"/>
  <c r="E4606" i="2"/>
  <c r="C4606" i="2"/>
  <c r="B4606" i="2"/>
  <c r="N4605" i="2"/>
  <c r="K4605" i="2"/>
  <c r="H4605" i="2"/>
  <c r="G4605" i="2"/>
  <c r="F4605" i="2"/>
  <c r="E4605" i="2"/>
  <c r="C4605" i="2"/>
  <c r="B4605" i="2"/>
  <c r="N4604" i="2"/>
  <c r="K4604" i="2"/>
  <c r="H4604" i="2"/>
  <c r="G4604" i="2"/>
  <c r="F4604" i="2"/>
  <c r="E4604" i="2"/>
  <c r="C4604" i="2"/>
  <c r="B4604" i="2"/>
  <c r="N4603" i="2"/>
  <c r="K4603" i="2"/>
  <c r="H4603" i="2"/>
  <c r="G4603" i="2"/>
  <c r="F4603" i="2"/>
  <c r="E4603" i="2"/>
  <c r="C4603" i="2"/>
  <c r="B4603" i="2"/>
  <c r="N4602" i="2"/>
  <c r="K4602" i="2"/>
  <c r="H4602" i="2"/>
  <c r="G4602" i="2"/>
  <c r="F4602" i="2"/>
  <c r="E4602" i="2"/>
  <c r="C4602" i="2"/>
  <c r="B4602" i="2"/>
  <c r="N4601" i="2"/>
  <c r="K4601" i="2"/>
  <c r="H4601" i="2"/>
  <c r="G4601" i="2"/>
  <c r="F4601" i="2"/>
  <c r="E4601" i="2"/>
  <c r="C4601" i="2"/>
  <c r="B4601" i="2"/>
  <c r="N4600" i="2"/>
  <c r="K4600" i="2"/>
  <c r="H4600" i="2"/>
  <c r="G4600" i="2"/>
  <c r="F4600" i="2"/>
  <c r="E4600" i="2"/>
  <c r="C4600" i="2"/>
  <c r="B4600" i="2"/>
  <c r="N4599" i="2"/>
  <c r="K4599" i="2"/>
  <c r="H4599" i="2"/>
  <c r="G4599" i="2"/>
  <c r="F4599" i="2"/>
  <c r="E4599" i="2"/>
  <c r="C4599" i="2"/>
  <c r="B4599" i="2"/>
  <c r="N4598" i="2"/>
  <c r="K4598" i="2"/>
  <c r="H4598" i="2"/>
  <c r="G4598" i="2"/>
  <c r="F4598" i="2"/>
  <c r="E4598" i="2"/>
  <c r="C4598" i="2"/>
  <c r="B4598" i="2"/>
  <c r="N4597" i="2"/>
  <c r="K4597" i="2"/>
  <c r="H4597" i="2"/>
  <c r="G4597" i="2"/>
  <c r="F4597" i="2"/>
  <c r="E4597" i="2"/>
  <c r="C4597" i="2"/>
  <c r="B4597" i="2"/>
  <c r="N4596" i="2"/>
  <c r="K4596" i="2"/>
  <c r="H4596" i="2"/>
  <c r="G4596" i="2"/>
  <c r="F4596" i="2"/>
  <c r="E4596" i="2"/>
  <c r="C4596" i="2"/>
  <c r="B4596" i="2"/>
  <c r="N4595" i="2"/>
  <c r="K4595" i="2"/>
  <c r="H4595" i="2"/>
  <c r="G4595" i="2"/>
  <c r="F4595" i="2"/>
  <c r="E4595" i="2"/>
  <c r="C4595" i="2"/>
  <c r="B4595" i="2"/>
  <c r="N4594" i="2"/>
  <c r="K4594" i="2"/>
  <c r="H4594" i="2"/>
  <c r="G4594" i="2"/>
  <c r="F4594" i="2"/>
  <c r="E4594" i="2"/>
  <c r="C4594" i="2"/>
  <c r="B4594" i="2"/>
  <c r="N4593" i="2"/>
  <c r="K4593" i="2"/>
  <c r="H4593" i="2"/>
  <c r="G4593" i="2"/>
  <c r="F4593" i="2"/>
  <c r="E4593" i="2"/>
  <c r="C4593" i="2"/>
  <c r="B4593" i="2"/>
  <c r="N4592" i="2"/>
  <c r="K4592" i="2"/>
  <c r="H4592" i="2"/>
  <c r="G4592" i="2"/>
  <c r="F4592" i="2"/>
  <c r="E4592" i="2"/>
  <c r="C4592" i="2"/>
  <c r="B4592" i="2"/>
  <c r="N4591" i="2"/>
  <c r="K4591" i="2"/>
  <c r="H4591" i="2"/>
  <c r="G4591" i="2"/>
  <c r="F4591" i="2"/>
  <c r="E4591" i="2"/>
  <c r="C4591" i="2"/>
  <c r="B4591" i="2"/>
  <c r="N4590" i="2"/>
  <c r="K4590" i="2"/>
  <c r="H4590" i="2"/>
  <c r="G4590" i="2"/>
  <c r="F4590" i="2"/>
  <c r="E4590" i="2"/>
  <c r="C4590" i="2"/>
  <c r="B4590" i="2"/>
  <c r="N4589" i="2"/>
  <c r="K4589" i="2"/>
  <c r="H4589" i="2"/>
  <c r="G4589" i="2"/>
  <c r="F4589" i="2"/>
  <c r="E4589" i="2"/>
  <c r="C4589" i="2"/>
  <c r="B4589" i="2"/>
  <c r="N4588" i="2"/>
  <c r="K4588" i="2"/>
  <c r="H4588" i="2"/>
  <c r="G4588" i="2"/>
  <c r="F4588" i="2"/>
  <c r="E4588" i="2"/>
  <c r="C4588" i="2"/>
  <c r="B4588" i="2"/>
  <c r="N4587" i="2"/>
  <c r="K4587" i="2"/>
  <c r="H4587" i="2"/>
  <c r="G4587" i="2"/>
  <c r="F4587" i="2"/>
  <c r="E4587" i="2"/>
  <c r="C4587" i="2"/>
  <c r="B4587" i="2"/>
  <c r="N4586" i="2"/>
  <c r="K4586" i="2"/>
  <c r="H4586" i="2"/>
  <c r="G4586" i="2"/>
  <c r="F4586" i="2"/>
  <c r="E4586" i="2"/>
  <c r="C4586" i="2"/>
  <c r="B4586" i="2"/>
  <c r="N4585" i="2"/>
  <c r="K4585" i="2"/>
  <c r="H4585" i="2"/>
  <c r="G4585" i="2"/>
  <c r="F4585" i="2"/>
  <c r="E4585" i="2"/>
  <c r="C4585" i="2"/>
  <c r="B4585" i="2"/>
  <c r="N4584" i="2"/>
  <c r="K4584" i="2"/>
  <c r="H4584" i="2"/>
  <c r="G4584" i="2"/>
  <c r="F4584" i="2"/>
  <c r="E4584" i="2"/>
  <c r="C4584" i="2"/>
  <c r="B4584" i="2"/>
  <c r="N4583" i="2"/>
  <c r="K4583" i="2"/>
  <c r="H4583" i="2"/>
  <c r="G4583" i="2"/>
  <c r="F4583" i="2"/>
  <c r="E4583" i="2"/>
  <c r="C4583" i="2"/>
  <c r="B4583" i="2"/>
  <c r="N4582" i="2"/>
  <c r="K4582" i="2"/>
  <c r="H4582" i="2"/>
  <c r="G4582" i="2"/>
  <c r="F4582" i="2"/>
  <c r="E4582" i="2"/>
  <c r="C4582" i="2"/>
  <c r="B4582" i="2"/>
  <c r="N4581" i="2"/>
  <c r="K4581" i="2"/>
  <c r="H4581" i="2"/>
  <c r="G4581" i="2"/>
  <c r="F4581" i="2"/>
  <c r="E4581" i="2"/>
  <c r="C4581" i="2"/>
  <c r="B4581" i="2"/>
  <c r="N4580" i="2"/>
  <c r="K4580" i="2"/>
  <c r="H4580" i="2"/>
  <c r="G4580" i="2"/>
  <c r="F4580" i="2"/>
  <c r="E4580" i="2"/>
  <c r="C4580" i="2"/>
  <c r="B4580" i="2"/>
  <c r="N4579" i="2"/>
  <c r="K4579" i="2"/>
  <c r="H4579" i="2"/>
  <c r="G4579" i="2"/>
  <c r="F4579" i="2"/>
  <c r="E4579" i="2"/>
  <c r="C4579" i="2"/>
  <c r="B4579" i="2"/>
  <c r="N4578" i="2"/>
  <c r="K4578" i="2"/>
  <c r="H4578" i="2"/>
  <c r="G4578" i="2"/>
  <c r="F4578" i="2"/>
  <c r="E4578" i="2"/>
  <c r="C4578" i="2"/>
  <c r="B4578" i="2"/>
  <c r="N4577" i="2"/>
  <c r="K4577" i="2"/>
  <c r="H4577" i="2"/>
  <c r="G4577" i="2"/>
  <c r="F4577" i="2"/>
  <c r="E4577" i="2"/>
  <c r="C4577" i="2"/>
  <c r="B4577" i="2"/>
  <c r="N4576" i="2"/>
  <c r="K4576" i="2"/>
  <c r="H4576" i="2"/>
  <c r="G4576" i="2"/>
  <c r="F4576" i="2"/>
  <c r="E4576" i="2"/>
  <c r="C4576" i="2"/>
  <c r="B4576" i="2"/>
  <c r="N4575" i="2"/>
  <c r="K4575" i="2"/>
  <c r="H4575" i="2"/>
  <c r="G4575" i="2"/>
  <c r="F4575" i="2"/>
  <c r="E4575" i="2"/>
  <c r="C4575" i="2"/>
  <c r="B4575" i="2"/>
  <c r="N4574" i="2"/>
  <c r="K4574" i="2"/>
  <c r="H4574" i="2"/>
  <c r="G4574" i="2"/>
  <c r="F4574" i="2"/>
  <c r="E4574" i="2"/>
  <c r="C4574" i="2"/>
  <c r="B4574" i="2"/>
  <c r="N4573" i="2"/>
  <c r="K4573" i="2"/>
  <c r="H4573" i="2"/>
  <c r="G4573" i="2"/>
  <c r="F4573" i="2"/>
  <c r="E4573" i="2"/>
  <c r="C4573" i="2"/>
  <c r="B4573" i="2"/>
  <c r="N4572" i="2"/>
  <c r="K4572" i="2"/>
  <c r="H4572" i="2"/>
  <c r="G4572" i="2"/>
  <c r="F4572" i="2"/>
  <c r="E4572" i="2"/>
  <c r="C4572" i="2"/>
  <c r="B4572" i="2"/>
  <c r="N4571" i="2"/>
  <c r="K4571" i="2"/>
  <c r="H4571" i="2"/>
  <c r="G4571" i="2"/>
  <c r="F4571" i="2"/>
  <c r="E4571" i="2"/>
  <c r="C4571" i="2"/>
  <c r="B4571" i="2"/>
  <c r="N4570" i="2"/>
  <c r="K4570" i="2"/>
  <c r="H4570" i="2"/>
  <c r="G4570" i="2"/>
  <c r="F4570" i="2"/>
  <c r="E4570" i="2"/>
  <c r="C4570" i="2"/>
  <c r="B4570" i="2"/>
  <c r="N4569" i="2"/>
  <c r="K4569" i="2"/>
  <c r="H4569" i="2"/>
  <c r="G4569" i="2"/>
  <c r="F4569" i="2"/>
  <c r="E4569" i="2"/>
  <c r="C4569" i="2"/>
  <c r="B4569" i="2"/>
  <c r="N4568" i="2"/>
  <c r="K4568" i="2"/>
  <c r="H4568" i="2"/>
  <c r="G4568" i="2"/>
  <c r="F4568" i="2"/>
  <c r="E4568" i="2"/>
  <c r="C4568" i="2"/>
  <c r="B4568" i="2"/>
  <c r="N4567" i="2"/>
  <c r="K4567" i="2"/>
  <c r="H4567" i="2"/>
  <c r="G4567" i="2"/>
  <c r="F4567" i="2"/>
  <c r="E4567" i="2"/>
  <c r="C4567" i="2"/>
  <c r="B4567" i="2"/>
  <c r="N4566" i="2"/>
  <c r="K4566" i="2"/>
  <c r="H4566" i="2"/>
  <c r="G4566" i="2"/>
  <c r="F4566" i="2"/>
  <c r="E4566" i="2"/>
  <c r="C4566" i="2"/>
  <c r="B4566" i="2"/>
  <c r="N4565" i="2"/>
  <c r="K4565" i="2"/>
  <c r="H4565" i="2"/>
  <c r="G4565" i="2"/>
  <c r="F4565" i="2"/>
  <c r="E4565" i="2"/>
  <c r="C4565" i="2"/>
  <c r="B4565" i="2"/>
  <c r="N4564" i="2"/>
  <c r="K4564" i="2"/>
  <c r="H4564" i="2"/>
  <c r="G4564" i="2"/>
  <c r="F4564" i="2"/>
  <c r="E4564" i="2"/>
  <c r="C4564" i="2"/>
  <c r="B4564" i="2"/>
  <c r="N4563" i="2"/>
  <c r="K4563" i="2"/>
  <c r="H4563" i="2"/>
  <c r="G4563" i="2"/>
  <c r="F4563" i="2"/>
  <c r="E4563" i="2"/>
  <c r="C4563" i="2"/>
  <c r="B4563" i="2"/>
  <c r="N4562" i="2"/>
  <c r="K4562" i="2"/>
  <c r="H4562" i="2"/>
  <c r="G4562" i="2"/>
  <c r="F4562" i="2"/>
  <c r="E4562" i="2"/>
  <c r="C4562" i="2"/>
  <c r="B4562" i="2"/>
  <c r="N4561" i="2"/>
  <c r="K4561" i="2"/>
  <c r="H4561" i="2"/>
  <c r="G4561" i="2"/>
  <c r="F4561" i="2"/>
  <c r="E4561" i="2"/>
  <c r="C4561" i="2"/>
  <c r="B4561" i="2"/>
  <c r="N4560" i="2"/>
  <c r="K4560" i="2"/>
  <c r="H4560" i="2"/>
  <c r="G4560" i="2"/>
  <c r="F4560" i="2"/>
  <c r="E4560" i="2"/>
  <c r="C4560" i="2"/>
  <c r="B4560" i="2"/>
  <c r="N4559" i="2"/>
  <c r="K4559" i="2"/>
  <c r="H4559" i="2"/>
  <c r="G4559" i="2"/>
  <c r="F4559" i="2"/>
  <c r="E4559" i="2"/>
  <c r="C4559" i="2"/>
  <c r="B4559" i="2"/>
  <c r="N4558" i="2"/>
  <c r="K4558" i="2"/>
  <c r="H4558" i="2"/>
  <c r="G4558" i="2"/>
  <c r="F4558" i="2"/>
  <c r="E4558" i="2"/>
  <c r="C4558" i="2"/>
  <c r="B4558" i="2"/>
  <c r="N4557" i="2"/>
  <c r="K4557" i="2"/>
  <c r="H4557" i="2"/>
  <c r="G4557" i="2"/>
  <c r="F4557" i="2"/>
  <c r="E4557" i="2"/>
  <c r="C4557" i="2"/>
  <c r="B4557" i="2"/>
  <c r="N4556" i="2"/>
  <c r="K4556" i="2"/>
  <c r="H4556" i="2"/>
  <c r="G4556" i="2"/>
  <c r="F4556" i="2"/>
  <c r="E4556" i="2"/>
  <c r="C4556" i="2"/>
  <c r="B4556" i="2"/>
  <c r="N4555" i="2"/>
  <c r="K4555" i="2"/>
  <c r="H4555" i="2"/>
  <c r="G4555" i="2"/>
  <c r="F4555" i="2"/>
  <c r="E4555" i="2"/>
  <c r="C4555" i="2"/>
  <c r="B4555" i="2"/>
  <c r="N4554" i="2"/>
  <c r="K4554" i="2"/>
  <c r="H4554" i="2"/>
  <c r="G4554" i="2"/>
  <c r="F4554" i="2"/>
  <c r="E4554" i="2"/>
  <c r="C4554" i="2"/>
  <c r="B4554" i="2"/>
  <c r="N4553" i="2"/>
  <c r="K4553" i="2"/>
  <c r="H4553" i="2"/>
  <c r="G4553" i="2"/>
  <c r="F4553" i="2"/>
  <c r="E4553" i="2"/>
  <c r="C4553" i="2"/>
  <c r="B4553" i="2"/>
  <c r="N4552" i="2"/>
  <c r="K4552" i="2"/>
  <c r="H4552" i="2"/>
  <c r="G4552" i="2"/>
  <c r="F4552" i="2"/>
  <c r="E4552" i="2"/>
  <c r="C4552" i="2"/>
  <c r="B4552" i="2"/>
  <c r="N4551" i="2"/>
  <c r="K4551" i="2"/>
  <c r="H4551" i="2"/>
  <c r="G4551" i="2"/>
  <c r="F4551" i="2"/>
  <c r="E4551" i="2"/>
  <c r="C4551" i="2"/>
  <c r="B4551" i="2"/>
  <c r="N4550" i="2"/>
  <c r="K4550" i="2"/>
  <c r="H4550" i="2"/>
  <c r="G4550" i="2"/>
  <c r="F4550" i="2"/>
  <c r="E4550" i="2"/>
  <c r="C4550" i="2"/>
  <c r="B4550" i="2"/>
  <c r="N4549" i="2"/>
  <c r="K4549" i="2"/>
  <c r="H4549" i="2"/>
  <c r="G4549" i="2"/>
  <c r="F4549" i="2"/>
  <c r="E4549" i="2"/>
  <c r="C4549" i="2"/>
  <c r="B4549" i="2"/>
  <c r="N4548" i="2"/>
  <c r="K4548" i="2"/>
  <c r="H4548" i="2"/>
  <c r="G4548" i="2"/>
  <c r="F4548" i="2"/>
  <c r="E4548" i="2"/>
  <c r="C4548" i="2"/>
  <c r="B4548" i="2"/>
  <c r="N4547" i="2"/>
  <c r="K4547" i="2"/>
  <c r="H4547" i="2"/>
  <c r="G4547" i="2"/>
  <c r="F4547" i="2"/>
  <c r="E4547" i="2"/>
  <c r="C4547" i="2"/>
  <c r="B4547" i="2"/>
  <c r="N4546" i="2"/>
  <c r="K4546" i="2"/>
  <c r="H4546" i="2"/>
  <c r="G4546" i="2"/>
  <c r="F4546" i="2"/>
  <c r="E4546" i="2"/>
  <c r="C4546" i="2"/>
  <c r="B4546" i="2"/>
  <c r="N4545" i="2"/>
  <c r="K4545" i="2"/>
  <c r="H4545" i="2"/>
  <c r="G4545" i="2"/>
  <c r="F4545" i="2"/>
  <c r="E4545" i="2"/>
  <c r="C4545" i="2"/>
  <c r="B4545" i="2"/>
  <c r="N4544" i="2"/>
  <c r="K4544" i="2"/>
  <c r="H4544" i="2"/>
  <c r="G4544" i="2"/>
  <c r="F4544" i="2"/>
  <c r="E4544" i="2"/>
  <c r="C4544" i="2"/>
  <c r="B4544" i="2"/>
  <c r="N4543" i="2"/>
  <c r="K4543" i="2"/>
  <c r="H4543" i="2"/>
  <c r="G4543" i="2"/>
  <c r="F4543" i="2"/>
  <c r="E4543" i="2"/>
  <c r="C4543" i="2"/>
  <c r="B4543" i="2"/>
  <c r="N4542" i="2"/>
  <c r="K4542" i="2"/>
  <c r="H4542" i="2"/>
  <c r="G4542" i="2"/>
  <c r="F4542" i="2"/>
  <c r="E4542" i="2"/>
  <c r="C4542" i="2"/>
  <c r="B4542" i="2"/>
  <c r="N4541" i="2"/>
  <c r="K4541" i="2"/>
  <c r="H4541" i="2"/>
  <c r="G4541" i="2"/>
  <c r="F4541" i="2"/>
  <c r="E4541" i="2"/>
  <c r="C4541" i="2"/>
  <c r="B4541" i="2"/>
  <c r="N4540" i="2"/>
  <c r="K4540" i="2"/>
  <c r="H4540" i="2"/>
  <c r="G4540" i="2"/>
  <c r="F4540" i="2"/>
  <c r="E4540" i="2"/>
  <c r="C4540" i="2"/>
  <c r="B4540" i="2"/>
  <c r="N4539" i="2"/>
  <c r="K4539" i="2"/>
  <c r="H4539" i="2"/>
  <c r="G4539" i="2"/>
  <c r="F4539" i="2"/>
  <c r="E4539" i="2"/>
  <c r="C4539" i="2"/>
  <c r="B4539" i="2"/>
  <c r="N4538" i="2"/>
  <c r="K4538" i="2"/>
  <c r="H4538" i="2"/>
  <c r="G4538" i="2"/>
  <c r="F4538" i="2"/>
  <c r="E4538" i="2"/>
  <c r="C4538" i="2"/>
  <c r="B4538" i="2"/>
  <c r="N4537" i="2"/>
  <c r="K4537" i="2"/>
  <c r="H4537" i="2"/>
  <c r="G4537" i="2"/>
  <c r="F4537" i="2"/>
  <c r="E4537" i="2"/>
  <c r="C4537" i="2"/>
  <c r="B4537" i="2"/>
  <c r="N4536" i="2"/>
  <c r="K4536" i="2"/>
  <c r="H4536" i="2"/>
  <c r="G4536" i="2"/>
  <c r="F4536" i="2"/>
  <c r="E4536" i="2"/>
  <c r="C4536" i="2"/>
  <c r="B4536" i="2"/>
  <c r="N4535" i="2"/>
  <c r="K4535" i="2"/>
  <c r="H4535" i="2"/>
  <c r="G4535" i="2"/>
  <c r="F4535" i="2"/>
  <c r="E4535" i="2"/>
  <c r="C4535" i="2"/>
  <c r="B4535" i="2"/>
  <c r="N4534" i="2"/>
  <c r="K4534" i="2"/>
  <c r="H4534" i="2"/>
  <c r="G4534" i="2"/>
  <c r="F4534" i="2"/>
  <c r="E4534" i="2"/>
  <c r="C4534" i="2"/>
  <c r="B4534" i="2"/>
  <c r="N4533" i="2"/>
  <c r="K4533" i="2"/>
  <c r="H4533" i="2"/>
  <c r="G4533" i="2"/>
  <c r="F4533" i="2"/>
  <c r="E4533" i="2"/>
  <c r="C4533" i="2"/>
  <c r="B4533" i="2"/>
  <c r="N4532" i="2"/>
  <c r="K4532" i="2"/>
  <c r="H4532" i="2"/>
  <c r="G4532" i="2"/>
  <c r="F4532" i="2"/>
  <c r="E4532" i="2"/>
  <c r="C4532" i="2"/>
  <c r="B4532" i="2"/>
  <c r="N4531" i="2"/>
  <c r="K4531" i="2"/>
  <c r="H4531" i="2"/>
  <c r="G4531" i="2"/>
  <c r="F4531" i="2"/>
  <c r="E4531" i="2"/>
  <c r="C4531" i="2"/>
  <c r="B4531" i="2"/>
  <c r="N4530" i="2"/>
  <c r="K4530" i="2"/>
  <c r="H4530" i="2"/>
  <c r="G4530" i="2"/>
  <c r="F4530" i="2"/>
  <c r="E4530" i="2"/>
  <c r="C4530" i="2"/>
  <c r="B4530" i="2"/>
  <c r="N4529" i="2"/>
  <c r="K4529" i="2"/>
  <c r="H4529" i="2"/>
  <c r="G4529" i="2"/>
  <c r="F4529" i="2"/>
  <c r="E4529" i="2"/>
  <c r="C4529" i="2"/>
  <c r="B4529" i="2"/>
  <c r="N4528" i="2"/>
  <c r="K4528" i="2"/>
  <c r="H4528" i="2"/>
  <c r="G4528" i="2"/>
  <c r="F4528" i="2"/>
  <c r="E4528" i="2"/>
  <c r="C4528" i="2"/>
  <c r="B4528" i="2"/>
  <c r="N4527" i="2"/>
  <c r="K4527" i="2"/>
  <c r="H4527" i="2"/>
  <c r="G4527" i="2"/>
  <c r="F4527" i="2"/>
  <c r="E4527" i="2"/>
  <c r="C4527" i="2"/>
  <c r="B4527" i="2"/>
  <c r="N4526" i="2"/>
  <c r="K4526" i="2"/>
  <c r="H4526" i="2"/>
  <c r="G4526" i="2"/>
  <c r="F4526" i="2"/>
  <c r="E4526" i="2"/>
  <c r="C4526" i="2"/>
  <c r="B4526" i="2"/>
  <c r="N4525" i="2"/>
  <c r="K4525" i="2"/>
  <c r="H4525" i="2"/>
  <c r="G4525" i="2"/>
  <c r="F4525" i="2"/>
  <c r="E4525" i="2"/>
  <c r="C4525" i="2"/>
  <c r="B4525" i="2"/>
  <c r="N4524" i="2"/>
  <c r="K4524" i="2"/>
  <c r="H4524" i="2"/>
  <c r="G4524" i="2"/>
  <c r="F4524" i="2"/>
  <c r="E4524" i="2"/>
  <c r="C4524" i="2"/>
  <c r="B4524" i="2"/>
  <c r="N4523" i="2"/>
  <c r="K4523" i="2"/>
  <c r="H4523" i="2"/>
  <c r="G4523" i="2"/>
  <c r="F4523" i="2"/>
  <c r="E4523" i="2"/>
  <c r="C4523" i="2"/>
  <c r="B4523" i="2"/>
  <c r="N4522" i="2"/>
  <c r="K4522" i="2"/>
  <c r="H4522" i="2"/>
  <c r="G4522" i="2"/>
  <c r="F4522" i="2"/>
  <c r="E4522" i="2"/>
  <c r="C4522" i="2"/>
  <c r="B4522" i="2"/>
  <c r="N4521" i="2"/>
  <c r="K4521" i="2"/>
  <c r="H4521" i="2"/>
  <c r="G4521" i="2"/>
  <c r="F4521" i="2"/>
  <c r="E4521" i="2"/>
  <c r="C4521" i="2"/>
  <c r="B4521" i="2"/>
  <c r="N4520" i="2"/>
  <c r="K4520" i="2"/>
  <c r="H4520" i="2"/>
  <c r="G4520" i="2"/>
  <c r="F4520" i="2"/>
  <c r="E4520" i="2"/>
  <c r="C4520" i="2"/>
  <c r="B4520" i="2"/>
  <c r="N4519" i="2"/>
  <c r="K4519" i="2"/>
  <c r="H4519" i="2"/>
  <c r="G4519" i="2"/>
  <c r="F4519" i="2"/>
  <c r="E4519" i="2"/>
  <c r="C4519" i="2"/>
  <c r="B4519" i="2"/>
  <c r="N4518" i="2"/>
  <c r="K4518" i="2"/>
  <c r="H4518" i="2"/>
  <c r="G4518" i="2"/>
  <c r="F4518" i="2"/>
  <c r="E4518" i="2"/>
  <c r="C4518" i="2"/>
  <c r="B4518" i="2"/>
  <c r="N4517" i="2"/>
  <c r="K4517" i="2"/>
  <c r="H4517" i="2"/>
  <c r="G4517" i="2"/>
  <c r="F4517" i="2"/>
  <c r="E4517" i="2"/>
  <c r="C4517" i="2"/>
  <c r="B4517" i="2"/>
  <c r="N4516" i="2"/>
  <c r="K4516" i="2"/>
  <c r="H4516" i="2"/>
  <c r="G4516" i="2"/>
  <c r="F4516" i="2"/>
  <c r="E4516" i="2"/>
  <c r="C4516" i="2"/>
  <c r="B4516" i="2"/>
  <c r="N4515" i="2"/>
  <c r="K4515" i="2"/>
  <c r="H4515" i="2"/>
  <c r="G4515" i="2"/>
  <c r="F4515" i="2"/>
  <c r="E4515" i="2"/>
  <c r="C4515" i="2"/>
  <c r="B4515" i="2"/>
  <c r="N4514" i="2"/>
  <c r="K4514" i="2"/>
  <c r="H4514" i="2"/>
  <c r="G4514" i="2"/>
  <c r="F4514" i="2"/>
  <c r="E4514" i="2"/>
  <c r="C4514" i="2"/>
  <c r="B4514" i="2"/>
  <c r="N4513" i="2"/>
  <c r="K4513" i="2"/>
  <c r="H4513" i="2"/>
  <c r="G4513" i="2"/>
  <c r="F4513" i="2"/>
  <c r="E4513" i="2"/>
  <c r="C4513" i="2"/>
  <c r="B4513" i="2"/>
  <c r="N4512" i="2"/>
  <c r="K4512" i="2"/>
  <c r="H4512" i="2"/>
  <c r="G4512" i="2"/>
  <c r="F4512" i="2"/>
  <c r="E4512" i="2"/>
  <c r="C4512" i="2"/>
  <c r="B4512" i="2"/>
  <c r="N4511" i="2"/>
  <c r="K4511" i="2"/>
  <c r="H4511" i="2"/>
  <c r="G4511" i="2"/>
  <c r="F4511" i="2"/>
  <c r="E4511" i="2"/>
  <c r="C4511" i="2"/>
  <c r="B4511" i="2"/>
  <c r="N4510" i="2"/>
  <c r="K4510" i="2"/>
  <c r="H4510" i="2"/>
  <c r="G4510" i="2"/>
  <c r="F4510" i="2"/>
  <c r="E4510" i="2"/>
  <c r="C4510" i="2"/>
  <c r="B4510" i="2"/>
  <c r="N4509" i="2"/>
  <c r="K4509" i="2"/>
  <c r="H4509" i="2"/>
  <c r="G4509" i="2"/>
  <c r="F4509" i="2"/>
  <c r="E4509" i="2"/>
  <c r="C4509" i="2"/>
  <c r="B4509" i="2"/>
  <c r="N4508" i="2"/>
  <c r="K4508" i="2"/>
  <c r="H4508" i="2"/>
  <c r="G4508" i="2"/>
  <c r="F4508" i="2"/>
  <c r="E4508" i="2"/>
  <c r="C4508" i="2"/>
  <c r="B4508" i="2"/>
  <c r="N4507" i="2"/>
  <c r="K4507" i="2"/>
  <c r="H4507" i="2"/>
  <c r="G4507" i="2"/>
  <c r="F4507" i="2"/>
  <c r="E4507" i="2"/>
  <c r="C4507" i="2"/>
  <c r="B4507" i="2"/>
  <c r="N4506" i="2"/>
  <c r="K4506" i="2"/>
  <c r="H4506" i="2"/>
  <c r="G4506" i="2"/>
  <c r="F4506" i="2"/>
  <c r="E4506" i="2"/>
  <c r="C4506" i="2"/>
  <c r="B4506" i="2"/>
  <c r="N4505" i="2"/>
  <c r="K4505" i="2"/>
  <c r="H4505" i="2"/>
  <c r="G4505" i="2"/>
  <c r="F4505" i="2"/>
  <c r="E4505" i="2"/>
  <c r="C4505" i="2"/>
  <c r="B4505" i="2"/>
  <c r="N4504" i="2"/>
  <c r="K4504" i="2"/>
  <c r="H4504" i="2"/>
  <c r="G4504" i="2"/>
  <c r="F4504" i="2"/>
  <c r="E4504" i="2"/>
  <c r="C4504" i="2"/>
  <c r="B4504" i="2"/>
  <c r="N4503" i="2"/>
  <c r="K4503" i="2"/>
  <c r="H4503" i="2"/>
  <c r="G4503" i="2"/>
  <c r="F4503" i="2"/>
  <c r="E4503" i="2"/>
  <c r="C4503" i="2"/>
  <c r="B4503" i="2"/>
  <c r="N4502" i="2"/>
  <c r="K4502" i="2"/>
  <c r="H4502" i="2"/>
  <c r="G4502" i="2"/>
  <c r="F4502" i="2"/>
  <c r="E4502" i="2"/>
  <c r="C4502" i="2"/>
  <c r="B4502" i="2"/>
  <c r="N4501" i="2"/>
  <c r="K4501" i="2"/>
  <c r="H4501" i="2"/>
  <c r="G4501" i="2"/>
  <c r="F4501" i="2"/>
  <c r="E4501" i="2"/>
  <c r="C4501" i="2"/>
  <c r="B4501" i="2"/>
  <c r="N4500" i="2"/>
  <c r="K4500" i="2"/>
  <c r="H4500" i="2"/>
  <c r="G4500" i="2"/>
  <c r="F4500" i="2"/>
  <c r="E4500" i="2"/>
  <c r="C4500" i="2"/>
  <c r="B4500" i="2"/>
  <c r="N4499" i="2"/>
  <c r="K4499" i="2"/>
  <c r="H4499" i="2"/>
  <c r="G4499" i="2"/>
  <c r="F4499" i="2"/>
  <c r="E4499" i="2"/>
  <c r="C4499" i="2"/>
  <c r="B4499" i="2"/>
  <c r="N4498" i="2"/>
  <c r="K4498" i="2"/>
  <c r="H4498" i="2"/>
  <c r="G4498" i="2"/>
  <c r="F4498" i="2"/>
  <c r="E4498" i="2"/>
  <c r="C4498" i="2"/>
  <c r="B4498" i="2"/>
  <c r="N4497" i="2"/>
  <c r="K4497" i="2"/>
  <c r="H4497" i="2"/>
  <c r="G4497" i="2"/>
  <c r="F4497" i="2"/>
  <c r="E4497" i="2"/>
  <c r="C4497" i="2"/>
  <c r="B4497" i="2"/>
  <c r="N4496" i="2"/>
  <c r="K4496" i="2"/>
  <c r="H4496" i="2"/>
  <c r="G4496" i="2"/>
  <c r="F4496" i="2"/>
  <c r="E4496" i="2"/>
  <c r="C4496" i="2"/>
  <c r="B4496" i="2"/>
  <c r="N4495" i="2"/>
  <c r="K4495" i="2"/>
  <c r="H4495" i="2"/>
  <c r="G4495" i="2"/>
  <c r="F4495" i="2"/>
  <c r="E4495" i="2"/>
  <c r="C4495" i="2"/>
  <c r="B4495" i="2"/>
  <c r="N4494" i="2"/>
  <c r="K4494" i="2"/>
  <c r="H4494" i="2"/>
  <c r="G4494" i="2"/>
  <c r="F4494" i="2"/>
  <c r="E4494" i="2"/>
  <c r="C4494" i="2"/>
  <c r="B4494" i="2"/>
  <c r="N4493" i="2"/>
  <c r="K4493" i="2"/>
  <c r="H4493" i="2"/>
  <c r="G4493" i="2"/>
  <c r="F4493" i="2"/>
  <c r="E4493" i="2"/>
  <c r="C4493" i="2"/>
  <c r="B4493" i="2"/>
  <c r="N4492" i="2"/>
  <c r="K4492" i="2"/>
  <c r="H4492" i="2"/>
  <c r="G4492" i="2"/>
  <c r="F4492" i="2"/>
  <c r="E4492" i="2"/>
  <c r="C4492" i="2"/>
  <c r="B4492" i="2"/>
  <c r="N4491" i="2"/>
  <c r="K4491" i="2"/>
  <c r="H4491" i="2"/>
  <c r="G4491" i="2"/>
  <c r="F4491" i="2"/>
  <c r="E4491" i="2"/>
  <c r="C4491" i="2"/>
  <c r="B4491" i="2"/>
  <c r="N4490" i="2"/>
  <c r="K4490" i="2"/>
  <c r="H4490" i="2"/>
  <c r="G4490" i="2"/>
  <c r="F4490" i="2"/>
  <c r="E4490" i="2"/>
  <c r="C4490" i="2"/>
  <c r="B4490" i="2"/>
  <c r="N4489" i="2"/>
  <c r="K4489" i="2"/>
  <c r="H4489" i="2"/>
  <c r="G4489" i="2"/>
  <c r="F4489" i="2"/>
  <c r="E4489" i="2"/>
  <c r="C4489" i="2"/>
  <c r="B4489" i="2"/>
  <c r="N4488" i="2"/>
  <c r="K4488" i="2"/>
  <c r="H4488" i="2"/>
  <c r="G4488" i="2"/>
  <c r="F4488" i="2"/>
  <c r="E4488" i="2"/>
  <c r="C4488" i="2"/>
  <c r="B4488" i="2"/>
  <c r="N4487" i="2"/>
  <c r="K4487" i="2"/>
  <c r="H4487" i="2"/>
  <c r="G4487" i="2"/>
  <c r="F4487" i="2"/>
  <c r="E4487" i="2"/>
  <c r="C4487" i="2"/>
  <c r="B4487" i="2"/>
  <c r="N4486" i="2"/>
  <c r="K4486" i="2"/>
  <c r="H4486" i="2"/>
  <c r="G4486" i="2"/>
  <c r="F4486" i="2"/>
  <c r="E4486" i="2"/>
  <c r="C4486" i="2"/>
  <c r="B4486" i="2"/>
  <c r="N4485" i="2"/>
  <c r="K4485" i="2"/>
  <c r="H4485" i="2"/>
  <c r="G4485" i="2"/>
  <c r="F4485" i="2"/>
  <c r="E4485" i="2"/>
  <c r="C4485" i="2"/>
  <c r="B4485" i="2"/>
  <c r="N4484" i="2"/>
  <c r="K4484" i="2"/>
  <c r="H4484" i="2"/>
  <c r="G4484" i="2"/>
  <c r="F4484" i="2"/>
  <c r="E4484" i="2"/>
  <c r="C4484" i="2"/>
  <c r="B4484" i="2"/>
  <c r="N4483" i="2"/>
  <c r="K4483" i="2"/>
  <c r="H4483" i="2"/>
  <c r="G4483" i="2"/>
  <c r="F4483" i="2"/>
  <c r="E4483" i="2"/>
  <c r="C4483" i="2"/>
  <c r="B4483" i="2"/>
  <c r="N4482" i="2"/>
  <c r="K4482" i="2"/>
  <c r="H4482" i="2"/>
  <c r="G4482" i="2"/>
  <c r="F4482" i="2"/>
  <c r="E4482" i="2"/>
  <c r="C4482" i="2"/>
  <c r="B4482" i="2"/>
  <c r="N4481" i="2"/>
  <c r="K4481" i="2"/>
  <c r="H4481" i="2"/>
  <c r="G4481" i="2"/>
  <c r="F4481" i="2"/>
  <c r="E4481" i="2"/>
  <c r="C4481" i="2"/>
  <c r="B4481" i="2"/>
  <c r="N4480" i="2"/>
  <c r="K4480" i="2"/>
  <c r="H4480" i="2"/>
  <c r="G4480" i="2"/>
  <c r="F4480" i="2"/>
  <c r="E4480" i="2"/>
  <c r="C4480" i="2"/>
  <c r="B4480" i="2"/>
  <c r="N4479" i="2"/>
  <c r="K4479" i="2"/>
  <c r="H4479" i="2"/>
  <c r="G4479" i="2"/>
  <c r="F4479" i="2"/>
  <c r="E4479" i="2"/>
  <c r="C4479" i="2"/>
  <c r="B4479" i="2"/>
  <c r="N4478" i="2"/>
  <c r="K4478" i="2"/>
  <c r="H4478" i="2"/>
  <c r="G4478" i="2"/>
  <c r="F4478" i="2"/>
  <c r="E4478" i="2"/>
  <c r="C4478" i="2"/>
  <c r="B4478" i="2"/>
  <c r="N4477" i="2"/>
  <c r="K4477" i="2"/>
  <c r="H4477" i="2"/>
  <c r="G4477" i="2"/>
  <c r="F4477" i="2"/>
  <c r="E4477" i="2"/>
  <c r="C4477" i="2"/>
  <c r="B4477" i="2"/>
  <c r="N4476" i="2"/>
  <c r="K4476" i="2"/>
  <c r="H4476" i="2"/>
  <c r="G4476" i="2"/>
  <c r="F4476" i="2"/>
  <c r="E4476" i="2"/>
  <c r="C4476" i="2"/>
  <c r="B4476" i="2"/>
  <c r="N4475" i="2"/>
  <c r="K4475" i="2"/>
  <c r="H4475" i="2"/>
  <c r="G4475" i="2"/>
  <c r="F4475" i="2"/>
  <c r="E4475" i="2"/>
  <c r="C4475" i="2"/>
  <c r="B4475" i="2"/>
  <c r="N4474" i="2"/>
  <c r="K4474" i="2"/>
  <c r="H4474" i="2"/>
  <c r="G4474" i="2"/>
  <c r="F4474" i="2"/>
  <c r="E4474" i="2"/>
  <c r="C4474" i="2"/>
  <c r="B4474" i="2"/>
  <c r="N4473" i="2"/>
  <c r="K4473" i="2"/>
  <c r="H4473" i="2"/>
  <c r="G4473" i="2"/>
  <c r="F4473" i="2"/>
  <c r="E4473" i="2"/>
  <c r="C4473" i="2"/>
  <c r="B4473" i="2"/>
  <c r="N4472" i="2"/>
  <c r="K4472" i="2"/>
  <c r="H4472" i="2"/>
  <c r="G4472" i="2"/>
  <c r="F4472" i="2"/>
  <c r="E4472" i="2"/>
  <c r="C4472" i="2"/>
  <c r="B4472" i="2"/>
  <c r="N4471" i="2"/>
  <c r="K4471" i="2"/>
  <c r="H4471" i="2"/>
  <c r="G4471" i="2"/>
  <c r="F4471" i="2"/>
  <c r="E4471" i="2"/>
  <c r="C4471" i="2"/>
  <c r="B4471" i="2"/>
  <c r="N4470" i="2"/>
  <c r="K4470" i="2"/>
  <c r="H4470" i="2"/>
  <c r="G4470" i="2"/>
  <c r="F4470" i="2"/>
  <c r="E4470" i="2"/>
  <c r="C4470" i="2"/>
  <c r="B4470" i="2"/>
  <c r="N4469" i="2"/>
  <c r="K4469" i="2"/>
  <c r="H4469" i="2"/>
  <c r="G4469" i="2"/>
  <c r="F4469" i="2"/>
  <c r="E4469" i="2"/>
  <c r="C4469" i="2"/>
  <c r="B4469" i="2"/>
  <c r="N4468" i="2"/>
  <c r="K4468" i="2"/>
  <c r="H4468" i="2"/>
  <c r="G4468" i="2"/>
  <c r="F4468" i="2"/>
  <c r="E4468" i="2"/>
  <c r="C4468" i="2"/>
  <c r="B4468" i="2"/>
  <c r="N4467" i="2"/>
  <c r="K4467" i="2"/>
  <c r="H4467" i="2"/>
  <c r="G4467" i="2"/>
  <c r="F4467" i="2"/>
  <c r="E4467" i="2"/>
  <c r="C4467" i="2"/>
  <c r="B4467" i="2"/>
  <c r="N4466" i="2"/>
  <c r="K4466" i="2"/>
  <c r="H4466" i="2"/>
  <c r="G4466" i="2"/>
  <c r="F4466" i="2"/>
  <c r="E4466" i="2"/>
  <c r="C4466" i="2"/>
  <c r="B4466" i="2"/>
  <c r="N4465" i="2"/>
  <c r="K4465" i="2"/>
  <c r="H4465" i="2"/>
  <c r="G4465" i="2"/>
  <c r="F4465" i="2"/>
  <c r="E4465" i="2"/>
  <c r="C4465" i="2"/>
  <c r="B4465" i="2"/>
  <c r="N4464" i="2"/>
  <c r="K4464" i="2"/>
  <c r="H4464" i="2"/>
  <c r="G4464" i="2"/>
  <c r="F4464" i="2"/>
  <c r="E4464" i="2"/>
  <c r="C4464" i="2"/>
  <c r="B4464" i="2"/>
  <c r="N4463" i="2"/>
  <c r="K4463" i="2"/>
  <c r="H4463" i="2"/>
  <c r="G4463" i="2"/>
  <c r="F4463" i="2"/>
  <c r="E4463" i="2"/>
  <c r="C4463" i="2"/>
  <c r="B4463" i="2"/>
  <c r="N4462" i="2"/>
  <c r="K4462" i="2"/>
  <c r="H4462" i="2"/>
  <c r="G4462" i="2"/>
  <c r="F4462" i="2"/>
  <c r="E4462" i="2"/>
  <c r="C4462" i="2"/>
  <c r="B4462" i="2"/>
  <c r="N4461" i="2"/>
  <c r="K4461" i="2"/>
  <c r="H4461" i="2"/>
  <c r="G4461" i="2"/>
  <c r="F4461" i="2"/>
  <c r="E4461" i="2"/>
  <c r="C4461" i="2"/>
  <c r="B4461" i="2"/>
  <c r="N4460" i="2"/>
  <c r="K4460" i="2"/>
  <c r="H4460" i="2"/>
  <c r="G4460" i="2"/>
  <c r="F4460" i="2"/>
  <c r="E4460" i="2"/>
  <c r="C4460" i="2"/>
  <c r="B4460" i="2"/>
  <c r="N4459" i="2"/>
  <c r="K4459" i="2"/>
  <c r="H4459" i="2"/>
  <c r="G4459" i="2"/>
  <c r="F4459" i="2"/>
  <c r="E4459" i="2"/>
  <c r="C4459" i="2"/>
  <c r="B4459" i="2"/>
  <c r="N4458" i="2"/>
  <c r="K4458" i="2"/>
  <c r="H4458" i="2"/>
  <c r="G4458" i="2"/>
  <c r="F4458" i="2"/>
  <c r="E4458" i="2"/>
  <c r="C4458" i="2"/>
  <c r="B4458" i="2"/>
  <c r="N4457" i="2"/>
  <c r="K4457" i="2"/>
  <c r="H4457" i="2"/>
  <c r="G4457" i="2"/>
  <c r="F4457" i="2"/>
  <c r="E4457" i="2"/>
  <c r="C4457" i="2"/>
  <c r="B4457" i="2"/>
  <c r="N4456" i="2"/>
  <c r="K4456" i="2"/>
  <c r="H4456" i="2"/>
  <c r="G4456" i="2"/>
  <c r="F4456" i="2"/>
  <c r="E4456" i="2"/>
  <c r="C4456" i="2"/>
  <c r="B4456" i="2"/>
  <c r="N4455" i="2"/>
  <c r="K4455" i="2"/>
  <c r="H4455" i="2"/>
  <c r="G4455" i="2"/>
  <c r="F4455" i="2"/>
  <c r="E4455" i="2"/>
  <c r="C4455" i="2"/>
  <c r="B4455" i="2"/>
  <c r="N4454" i="2"/>
  <c r="K4454" i="2"/>
  <c r="H4454" i="2"/>
  <c r="G4454" i="2"/>
  <c r="F4454" i="2"/>
  <c r="E4454" i="2"/>
  <c r="C4454" i="2"/>
  <c r="B4454" i="2"/>
  <c r="N4453" i="2"/>
  <c r="K4453" i="2"/>
  <c r="H4453" i="2"/>
  <c r="G4453" i="2"/>
  <c r="F4453" i="2"/>
  <c r="E4453" i="2"/>
  <c r="C4453" i="2"/>
  <c r="B4453" i="2"/>
  <c r="N4452" i="2"/>
  <c r="K4452" i="2"/>
  <c r="H4452" i="2"/>
  <c r="G4452" i="2"/>
  <c r="F4452" i="2"/>
  <c r="E4452" i="2"/>
  <c r="C4452" i="2"/>
  <c r="B4452" i="2"/>
  <c r="N4451" i="2"/>
  <c r="K4451" i="2"/>
  <c r="H4451" i="2"/>
  <c r="G4451" i="2"/>
  <c r="F4451" i="2"/>
  <c r="E4451" i="2"/>
  <c r="C4451" i="2"/>
  <c r="B4451" i="2"/>
  <c r="N4450" i="2"/>
  <c r="K4450" i="2"/>
  <c r="H4450" i="2"/>
  <c r="G4450" i="2"/>
  <c r="F4450" i="2"/>
  <c r="E4450" i="2"/>
  <c r="C4450" i="2"/>
  <c r="B4450" i="2"/>
  <c r="N4449" i="2"/>
  <c r="K4449" i="2"/>
  <c r="H4449" i="2"/>
  <c r="G4449" i="2"/>
  <c r="F4449" i="2"/>
  <c r="E4449" i="2"/>
  <c r="C4449" i="2"/>
  <c r="B4449" i="2"/>
  <c r="N4448" i="2"/>
  <c r="K4448" i="2"/>
  <c r="H4448" i="2"/>
  <c r="G4448" i="2"/>
  <c r="F4448" i="2"/>
  <c r="E4448" i="2"/>
  <c r="C4448" i="2"/>
  <c r="B4448" i="2"/>
  <c r="N4447" i="2"/>
  <c r="K4447" i="2"/>
  <c r="H4447" i="2"/>
  <c r="G4447" i="2"/>
  <c r="F4447" i="2"/>
  <c r="E4447" i="2"/>
  <c r="C4447" i="2"/>
  <c r="B4447" i="2"/>
  <c r="N4446" i="2"/>
  <c r="K4446" i="2"/>
  <c r="H4446" i="2"/>
  <c r="G4446" i="2"/>
  <c r="F4446" i="2"/>
  <c r="E4446" i="2"/>
  <c r="C4446" i="2"/>
  <c r="B4446" i="2"/>
  <c r="N4445" i="2"/>
  <c r="K4445" i="2"/>
  <c r="H4445" i="2"/>
  <c r="G4445" i="2"/>
  <c r="F4445" i="2"/>
  <c r="E4445" i="2"/>
  <c r="C4445" i="2"/>
  <c r="B4445" i="2"/>
  <c r="N4444" i="2"/>
  <c r="K4444" i="2"/>
  <c r="H4444" i="2"/>
  <c r="G4444" i="2"/>
  <c r="F4444" i="2"/>
  <c r="E4444" i="2"/>
  <c r="C4444" i="2"/>
  <c r="B4444" i="2"/>
  <c r="N4443" i="2"/>
  <c r="K4443" i="2"/>
  <c r="H4443" i="2"/>
  <c r="G4443" i="2"/>
  <c r="F4443" i="2"/>
  <c r="E4443" i="2"/>
  <c r="C4443" i="2"/>
  <c r="B4443" i="2"/>
  <c r="N4442" i="2"/>
  <c r="K4442" i="2"/>
  <c r="H4442" i="2"/>
  <c r="G4442" i="2"/>
  <c r="F4442" i="2"/>
  <c r="E4442" i="2"/>
  <c r="C4442" i="2"/>
  <c r="B4442" i="2"/>
  <c r="N4441" i="2"/>
  <c r="K4441" i="2"/>
  <c r="H4441" i="2"/>
  <c r="G4441" i="2"/>
  <c r="F4441" i="2"/>
  <c r="E4441" i="2"/>
  <c r="C4441" i="2"/>
  <c r="B4441" i="2"/>
  <c r="N4440" i="2"/>
  <c r="K4440" i="2"/>
  <c r="H4440" i="2"/>
  <c r="G4440" i="2"/>
  <c r="F4440" i="2"/>
  <c r="E4440" i="2"/>
  <c r="C4440" i="2"/>
  <c r="B4440" i="2"/>
  <c r="N4439" i="2"/>
  <c r="K4439" i="2"/>
  <c r="H4439" i="2"/>
  <c r="G4439" i="2"/>
  <c r="F4439" i="2"/>
  <c r="E4439" i="2"/>
  <c r="C4439" i="2"/>
  <c r="B4439" i="2"/>
  <c r="N4438" i="2"/>
  <c r="K4438" i="2"/>
  <c r="H4438" i="2"/>
  <c r="G4438" i="2"/>
  <c r="F4438" i="2"/>
  <c r="E4438" i="2"/>
  <c r="C4438" i="2"/>
  <c r="B4438" i="2"/>
  <c r="N4437" i="2"/>
  <c r="K4437" i="2"/>
  <c r="H4437" i="2"/>
  <c r="G4437" i="2"/>
  <c r="F4437" i="2"/>
  <c r="E4437" i="2"/>
  <c r="C4437" i="2"/>
  <c r="B4437" i="2"/>
  <c r="N4436" i="2"/>
  <c r="K4436" i="2"/>
  <c r="H4436" i="2"/>
  <c r="G4436" i="2"/>
  <c r="F4436" i="2"/>
  <c r="E4436" i="2"/>
  <c r="C4436" i="2"/>
  <c r="B4436" i="2"/>
  <c r="N4435" i="2"/>
  <c r="K4435" i="2"/>
  <c r="H4435" i="2"/>
  <c r="G4435" i="2"/>
  <c r="F4435" i="2"/>
  <c r="E4435" i="2"/>
  <c r="C4435" i="2"/>
  <c r="B4435" i="2"/>
  <c r="N4434" i="2"/>
  <c r="K4434" i="2"/>
  <c r="H4434" i="2"/>
  <c r="G4434" i="2"/>
  <c r="F4434" i="2"/>
  <c r="E4434" i="2"/>
  <c r="C4434" i="2"/>
  <c r="B4434" i="2"/>
  <c r="N4433" i="2"/>
  <c r="K4433" i="2"/>
  <c r="H4433" i="2"/>
  <c r="G4433" i="2"/>
  <c r="F4433" i="2"/>
  <c r="E4433" i="2"/>
  <c r="C4433" i="2"/>
  <c r="B4433" i="2"/>
  <c r="N4432" i="2"/>
  <c r="K4432" i="2"/>
  <c r="H4432" i="2"/>
  <c r="G4432" i="2"/>
  <c r="F4432" i="2"/>
  <c r="E4432" i="2"/>
  <c r="C4432" i="2"/>
  <c r="B4432" i="2"/>
  <c r="N4431" i="2"/>
  <c r="K4431" i="2"/>
  <c r="H4431" i="2"/>
  <c r="G4431" i="2"/>
  <c r="F4431" i="2"/>
  <c r="E4431" i="2"/>
  <c r="C4431" i="2"/>
  <c r="B4431" i="2"/>
  <c r="N4430" i="2"/>
  <c r="K4430" i="2"/>
  <c r="H4430" i="2"/>
  <c r="G4430" i="2"/>
  <c r="F4430" i="2"/>
  <c r="E4430" i="2"/>
  <c r="C4430" i="2"/>
  <c r="B4430" i="2"/>
  <c r="N4429" i="2"/>
  <c r="K4429" i="2"/>
  <c r="H4429" i="2"/>
  <c r="G4429" i="2"/>
  <c r="F4429" i="2"/>
  <c r="E4429" i="2"/>
  <c r="C4429" i="2"/>
  <c r="B4429" i="2"/>
  <c r="N4428" i="2"/>
  <c r="K4428" i="2"/>
  <c r="H4428" i="2"/>
  <c r="G4428" i="2"/>
  <c r="F4428" i="2"/>
  <c r="E4428" i="2"/>
  <c r="C4428" i="2"/>
  <c r="B4428" i="2"/>
  <c r="N4427" i="2"/>
  <c r="K4427" i="2"/>
  <c r="H4427" i="2"/>
  <c r="G4427" i="2"/>
  <c r="F4427" i="2"/>
  <c r="E4427" i="2"/>
  <c r="C4427" i="2"/>
  <c r="B4427" i="2"/>
  <c r="N4426" i="2"/>
  <c r="K4426" i="2"/>
  <c r="H4426" i="2"/>
  <c r="G4426" i="2"/>
  <c r="F4426" i="2"/>
  <c r="E4426" i="2"/>
  <c r="C4426" i="2"/>
  <c r="B4426" i="2"/>
  <c r="N4425" i="2"/>
  <c r="K4425" i="2"/>
  <c r="H4425" i="2"/>
  <c r="G4425" i="2"/>
  <c r="F4425" i="2"/>
  <c r="E4425" i="2"/>
  <c r="C4425" i="2"/>
  <c r="B4425" i="2"/>
  <c r="N4424" i="2"/>
  <c r="K4424" i="2"/>
  <c r="H4424" i="2"/>
  <c r="G4424" i="2"/>
  <c r="F4424" i="2"/>
  <c r="E4424" i="2"/>
  <c r="C4424" i="2"/>
  <c r="B4424" i="2"/>
  <c r="N4423" i="2"/>
  <c r="K4423" i="2"/>
  <c r="H4423" i="2"/>
  <c r="G4423" i="2"/>
  <c r="F4423" i="2"/>
  <c r="E4423" i="2"/>
  <c r="C4423" i="2"/>
  <c r="B4423" i="2"/>
  <c r="N4422" i="2"/>
  <c r="K4422" i="2"/>
  <c r="H4422" i="2"/>
  <c r="G4422" i="2"/>
  <c r="F4422" i="2"/>
  <c r="E4422" i="2"/>
  <c r="C4422" i="2"/>
  <c r="B4422" i="2"/>
  <c r="N4421" i="2"/>
  <c r="K4421" i="2"/>
  <c r="H4421" i="2"/>
  <c r="G4421" i="2"/>
  <c r="F4421" i="2"/>
  <c r="E4421" i="2"/>
  <c r="C4421" i="2"/>
  <c r="B4421" i="2"/>
  <c r="N4420" i="2"/>
  <c r="K4420" i="2"/>
  <c r="H4420" i="2"/>
  <c r="G4420" i="2"/>
  <c r="F4420" i="2"/>
  <c r="E4420" i="2"/>
  <c r="C4420" i="2"/>
  <c r="B4420" i="2"/>
  <c r="N4419" i="2"/>
  <c r="K4419" i="2"/>
  <c r="H4419" i="2"/>
  <c r="G4419" i="2"/>
  <c r="F4419" i="2"/>
  <c r="E4419" i="2"/>
  <c r="C4419" i="2"/>
  <c r="B4419" i="2"/>
  <c r="N4418" i="2"/>
  <c r="K4418" i="2"/>
  <c r="H4418" i="2"/>
  <c r="G4418" i="2"/>
  <c r="F4418" i="2"/>
  <c r="E4418" i="2"/>
  <c r="C4418" i="2"/>
  <c r="B4418" i="2"/>
  <c r="N4417" i="2"/>
  <c r="K4417" i="2"/>
  <c r="H4417" i="2"/>
  <c r="G4417" i="2"/>
  <c r="F4417" i="2"/>
  <c r="E4417" i="2"/>
  <c r="C4417" i="2"/>
  <c r="B4417" i="2"/>
  <c r="N4416" i="2"/>
  <c r="K4416" i="2"/>
  <c r="H4416" i="2"/>
  <c r="G4416" i="2"/>
  <c r="F4416" i="2"/>
  <c r="E4416" i="2"/>
  <c r="C4416" i="2"/>
  <c r="B4416" i="2"/>
  <c r="N4415" i="2"/>
  <c r="K4415" i="2"/>
  <c r="H4415" i="2"/>
  <c r="G4415" i="2"/>
  <c r="F4415" i="2"/>
  <c r="E4415" i="2"/>
  <c r="C4415" i="2"/>
  <c r="B4415" i="2"/>
  <c r="N4414" i="2"/>
  <c r="K4414" i="2"/>
  <c r="H4414" i="2"/>
  <c r="G4414" i="2"/>
  <c r="F4414" i="2"/>
  <c r="E4414" i="2"/>
  <c r="C4414" i="2"/>
  <c r="B4414" i="2"/>
  <c r="N4413" i="2"/>
  <c r="K4413" i="2"/>
  <c r="H4413" i="2"/>
  <c r="G4413" i="2"/>
  <c r="F4413" i="2"/>
  <c r="E4413" i="2"/>
  <c r="C4413" i="2"/>
  <c r="B4413" i="2"/>
  <c r="N4412" i="2"/>
  <c r="K4412" i="2"/>
  <c r="H4412" i="2"/>
  <c r="G4412" i="2"/>
  <c r="F4412" i="2"/>
  <c r="E4412" i="2"/>
  <c r="C4412" i="2"/>
  <c r="B4412" i="2"/>
  <c r="N4411" i="2"/>
  <c r="K4411" i="2"/>
  <c r="H4411" i="2"/>
  <c r="G4411" i="2"/>
  <c r="F4411" i="2"/>
  <c r="E4411" i="2"/>
  <c r="C4411" i="2"/>
  <c r="B4411" i="2"/>
  <c r="N4410" i="2"/>
  <c r="K4410" i="2"/>
  <c r="H4410" i="2"/>
  <c r="G4410" i="2"/>
  <c r="F4410" i="2"/>
  <c r="E4410" i="2"/>
  <c r="C4410" i="2"/>
  <c r="B4410" i="2"/>
  <c r="N4409" i="2"/>
  <c r="K4409" i="2"/>
  <c r="H4409" i="2"/>
  <c r="G4409" i="2"/>
  <c r="F4409" i="2"/>
  <c r="E4409" i="2"/>
  <c r="C4409" i="2"/>
  <c r="B4409" i="2"/>
  <c r="N4408" i="2"/>
  <c r="K4408" i="2"/>
  <c r="H4408" i="2"/>
  <c r="G4408" i="2"/>
  <c r="F4408" i="2"/>
  <c r="E4408" i="2"/>
  <c r="C4408" i="2"/>
  <c r="B4408" i="2"/>
  <c r="N4407" i="2"/>
  <c r="K4407" i="2"/>
  <c r="H4407" i="2"/>
  <c r="G4407" i="2"/>
  <c r="F4407" i="2"/>
  <c r="E4407" i="2"/>
  <c r="C4407" i="2"/>
  <c r="B4407" i="2"/>
  <c r="N4406" i="2"/>
  <c r="K4406" i="2"/>
  <c r="H4406" i="2"/>
  <c r="G4406" i="2"/>
  <c r="F4406" i="2"/>
  <c r="E4406" i="2"/>
  <c r="C4406" i="2"/>
  <c r="B4406" i="2"/>
  <c r="N4405" i="2"/>
  <c r="K4405" i="2"/>
  <c r="H4405" i="2"/>
  <c r="G4405" i="2"/>
  <c r="F4405" i="2"/>
  <c r="E4405" i="2"/>
  <c r="C4405" i="2"/>
  <c r="B4405" i="2"/>
  <c r="N4404" i="2"/>
  <c r="K4404" i="2"/>
  <c r="H4404" i="2"/>
  <c r="G4404" i="2"/>
  <c r="F4404" i="2"/>
  <c r="E4404" i="2"/>
  <c r="C4404" i="2"/>
  <c r="B4404" i="2"/>
  <c r="N4403" i="2"/>
  <c r="K4403" i="2"/>
  <c r="H4403" i="2"/>
  <c r="G4403" i="2"/>
  <c r="F4403" i="2"/>
  <c r="E4403" i="2"/>
  <c r="C4403" i="2"/>
  <c r="B4403" i="2"/>
  <c r="N4402" i="2"/>
  <c r="K4402" i="2"/>
  <c r="H4402" i="2"/>
  <c r="G4402" i="2"/>
  <c r="F4402" i="2"/>
  <c r="E4402" i="2"/>
  <c r="C4402" i="2"/>
  <c r="B4402" i="2"/>
  <c r="N4401" i="2"/>
  <c r="K4401" i="2"/>
  <c r="H4401" i="2"/>
  <c r="G4401" i="2"/>
  <c r="F4401" i="2"/>
  <c r="E4401" i="2"/>
  <c r="C4401" i="2"/>
  <c r="B4401" i="2"/>
  <c r="N4400" i="2"/>
  <c r="K4400" i="2"/>
  <c r="H4400" i="2"/>
  <c r="G4400" i="2"/>
  <c r="F4400" i="2"/>
  <c r="E4400" i="2"/>
  <c r="C4400" i="2"/>
  <c r="B4400" i="2"/>
  <c r="N4399" i="2"/>
  <c r="K4399" i="2"/>
  <c r="H4399" i="2"/>
  <c r="G4399" i="2"/>
  <c r="F4399" i="2"/>
  <c r="E4399" i="2"/>
  <c r="C4399" i="2"/>
  <c r="B4399" i="2"/>
  <c r="N4398" i="2"/>
  <c r="K4398" i="2"/>
  <c r="H4398" i="2"/>
  <c r="G4398" i="2"/>
  <c r="F4398" i="2"/>
  <c r="E4398" i="2"/>
  <c r="C4398" i="2"/>
  <c r="B4398" i="2"/>
  <c r="N4397" i="2"/>
  <c r="K4397" i="2"/>
  <c r="H4397" i="2"/>
  <c r="G4397" i="2"/>
  <c r="F4397" i="2"/>
  <c r="E4397" i="2"/>
  <c r="C4397" i="2"/>
  <c r="B4397" i="2"/>
  <c r="N4396" i="2"/>
  <c r="K4396" i="2"/>
  <c r="H4396" i="2"/>
  <c r="G4396" i="2"/>
  <c r="F4396" i="2"/>
  <c r="E4396" i="2"/>
  <c r="C4396" i="2"/>
  <c r="B4396" i="2"/>
  <c r="N4395" i="2"/>
  <c r="K4395" i="2"/>
  <c r="H4395" i="2"/>
  <c r="G4395" i="2"/>
  <c r="F4395" i="2"/>
  <c r="E4395" i="2"/>
  <c r="C4395" i="2"/>
  <c r="B4395" i="2"/>
  <c r="N4394" i="2"/>
  <c r="K4394" i="2"/>
  <c r="H4394" i="2"/>
  <c r="G4394" i="2"/>
  <c r="F4394" i="2"/>
  <c r="E4394" i="2"/>
  <c r="C4394" i="2"/>
  <c r="B4394" i="2"/>
  <c r="N4393" i="2"/>
  <c r="K4393" i="2"/>
  <c r="H4393" i="2"/>
  <c r="G4393" i="2"/>
  <c r="F4393" i="2"/>
  <c r="E4393" i="2"/>
  <c r="C4393" i="2"/>
  <c r="B4393" i="2"/>
  <c r="N4392" i="2"/>
  <c r="K4392" i="2"/>
  <c r="H4392" i="2"/>
  <c r="G4392" i="2"/>
  <c r="F4392" i="2"/>
  <c r="E4392" i="2"/>
  <c r="C4392" i="2"/>
  <c r="B4392" i="2"/>
  <c r="N4391" i="2"/>
  <c r="K4391" i="2"/>
  <c r="H4391" i="2"/>
  <c r="G4391" i="2"/>
  <c r="F4391" i="2"/>
  <c r="E4391" i="2"/>
  <c r="C4391" i="2"/>
  <c r="B4391" i="2"/>
  <c r="N4390" i="2"/>
  <c r="K4390" i="2"/>
  <c r="H4390" i="2"/>
  <c r="G4390" i="2"/>
  <c r="F4390" i="2"/>
  <c r="E4390" i="2"/>
  <c r="C4390" i="2"/>
  <c r="B4390" i="2"/>
  <c r="N4389" i="2"/>
  <c r="K4389" i="2"/>
  <c r="H4389" i="2"/>
  <c r="G4389" i="2"/>
  <c r="F4389" i="2"/>
  <c r="E4389" i="2"/>
  <c r="C4389" i="2"/>
  <c r="B4389" i="2"/>
  <c r="N4388" i="2"/>
  <c r="K4388" i="2"/>
  <c r="H4388" i="2"/>
  <c r="G4388" i="2"/>
  <c r="F4388" i="2"/>
  <c r="E4388" i="2"/>
  <c r="C4388" i="2"/>
  <c r="B4388" i="2"/>
  <c r="N4387" i="2"/>
  <c r="K4387" i="2"/>
  <c r="H4387" i="2"/>
  <c r="G4387" i="2"/>
  <c r="F4387" i="2"/>
  <c r="E4387" i="2"/>
  <c r="C4387" i="2"/>
  <c r="B4387" i="2"/>
  <c r="N4386" i="2"/>
  <c r="K4386" i="2"/>
  <c r="H4386" i="2"/>
  <c r="G4386" i="2"/>
  <c r="F4386" i="2"/>
  <c r="E4386" i="2"/>
  <c r="C4386" i="2"/>
  <c r="B4386" i="2"/>
  <c r="N4385" i="2"/>
  <c r="K4385" i="2"/>
  <c r="H4385" i="2"/>
  <c r="G4385" i="2"/>
  <c r="F4385" i="2"/>
  <c r="E4385" i="2"/>
  <c r="C4385" i="2"/>
  <c r="B4385" i="2"/>
  <c r="N4384" i="2"/>
  <c r="K4384" i="2"/>
  <c r="H4384" i="2"/>
  <c r="G4384" i="2"/>
  <c r="F4384" i="2"/>
  <c r="E4384" i="2"/>
  <c r="C4384" i="2"/>
  <c r="B4384" i="2"/>
  <c r="N4383" i="2"/>
  <c r="K4383" i="2"/>
  <c r="H4383" i="2"/>
  <c r="G4383" i="2"/>
  <c r="F4383" i="2"/>
  <c r="E4383" i="2"/>
  <c r="C4383" i="2"/>
  <c r="B4383" i="2"/>
  <c r="N4382" i="2"/>
  <c r="K4382" i="2"/>
  <c r="H4382" i="2"/>
  <c r="G4382" i="2"/>
  <c r="F4382" i="2"/>
  <c r="E4382" i="2"/>
  <c r="C4382" i="2"/>
  <c r="B4382" i="2"/>
  <c r="N4381" i="2"/>
  <c r="K4381" i="2"/>
  <c r="H4381" i="2"/>
  <c r="G4381" i="2"/>
  <c r="F4381" i="2"/>
  <c r="E4381" i="2"/>
  <c r="C4381" i="2"/>
  <c r="B4381" i="2"/>
  <c r="N4380" i="2"/>
  <c r="K4380" i="2"/>
  <c r="H4380" i="2"/>
  <c r="G4380" i="2"/>
  <c r="F4380" i="2"/>
  <c r="E4380" i="2"/>
  <c r="C4380" i="2"/>
  <c r="B4380" i="2"/>
  <c r="N4379" i="2"/>
  <c r="K4379" i="2"/>
  <c r="H4379" i="2"/>
  <c r="G4379" i="2"/>
  <c r="F4379" i="2"/>
  <c r="E4379" i="2"/>
  <c r="C4379" i="2"/>
  <c r="B4379" i="2"/>
  <c r="N4378" i="2"/>
  <c r="K4378" i="2"/>
  <c r="H4378" i="2"/>
  <c r="G4378" i="2"/>
  <c r="F4378" i="2"/>
  <c r="E4378" i="2"/>
  <c r="C4378" i="2"/>
  <c r="B4378" i="2"/>
  <c r="N4377" i="2"/>
  <c r="K4377" i="2"/>
  <c r="H4377" i="2"/>
  <c r="G4377" i="2"/>
  <c r="F4377" i="2"/>
  <c r="E4377" i="2"/>
  <c r="C4377" i="2"/>
  <c r="B4377" i="2"/>
  <c r="N4376" i="2"/>
  <c r="K4376" i="2"/>
  <c r="H4376" i="2"/>
  <c r="G4376" i="2"/>
  <c r="F4376" i="2"/>
  <c r="E4376" i="2"/>
  <c r="C4376" i="2"/>
  <c r="B4376" i="2"/>
  <c r="N4375" i="2"/>
  <c r="K4375" i="2"/>
  <c r="H4375" i="2"/>
  <c r="G4375" i="2"/>
  <c r="F4375" i="2"/>
  <c r="E4375" i="2"/>
  <c r="C4375" i="2"/>
  <c r="B4375" i="2"/>
  <c r="N4374" i="2"/>
  <c r="K4374" i="2"/>
  <c r="H4374" i="2"/>
  <c r="G4374" i="2"/>
  <c r="F4374" i="2"/>
  <c r="E4374" i="2"/>
  <c r="C4374" i="2"/>
  <c r="B4374" i="2"/>
  <c r="N4373" i="2"/>
  <c r="K4373" i="2"/>
  <c r="H4373" i="2"/>
  <c r="G4373" i="2"/>
  <c r="F4373" i="2"/>
  <c r="E4373" i="2"/>
  <c r="C4373" i="2"/>
  <c r="B4373" i="2"/>
  <c r="N4372" i="2"/>
  <c r="K4372" i="2"/>
  <c r="H4372" i="2"/>
  <c r="G4372" i="2"/>
  <c r="F4372" i="2"/>
  <c r="E4372" i="2"/>
  <c r="C4372" i="2"/>
  <c r="B4372" i="2"/>
  <c r="N4371" i="2"/>
  <c r="K4371" i="2"/>
  <c r="H4371" i="2"/>
  <c r="G4371" i="2"/>
  <c r="F4371" i="2"/>
  <c r="E4371" i="2"/>
  <c r="C4371" i="2"/>
  <c r="B4371" i="2"/>
  <c r="N4370" i="2"/>
  <c r="K4370" i="2"/>
  <c r="H4370" i="2"/>
  <c r="G4370" i="2"/>
  <c r="F4370" i="2"/>
  <c r="E4370" i="2"/>
  <c r="C4370" i="2"/>
  <c r="B4370" i="2"/>
  <c r="N4369" i="2"/>
  <c r="K4369" i="2"/>
  <c r="H4369" i="2"/>
  <c r="G4369" i="2"/>
  <c r="F4369" i="2"/>
  <c r="E4369" i="2"/>
  <c r="C4369" i="2"/>
  <c r="B4369" i="2"/>
  <c r="N4368" i="2"/>
  <c r="K4368" i="2"/>
  <c r="H4368" i="2"/>
  <c r="G4368" i="2"/>
  <c r="F4368" i="2"/>
  <c r="E4368" i="2"/>
  <c r="C4368" i="2"/>
  <c r="B4368" i="2"/>
  <c r="N4367" i="2"/>
  <c r="K4367" i="2"/>
  <c r="H4367" i="2"/>
  <c r="G4367" i="2"/>
  <c r="F4367" i="2"/>
  <c r="E4367" i="2"/>
  <c r="C4367" i="2"/>
  <c r="B4367" i="2"/>
  <c r="N4366" i="2"/>
  <c r="K4366" i="2"/>
  <c r="H4366" i="2"/>
  <c r="G4366" i="2"/>
  <c r="F4366" i="2"/>
  <c r="E4366" i="2"/>
  <c r="C4366" i="2"/>
  <c r="B4366" i="2"/>
  <c r="N4365" i="2"/>
  <c r="K4365" i="2"/>
  <c r="H4365" i="2"/>
  <c r="G4365" i="2"/>
  <c r="F4365" i="2"/>
  <c r="E4365" i="2"/>
  <c r="C4365" i="2"/>
  <c r="B4365" i="2"/>
  <c r="N4364" i="2"/>
  <c r="K4364" i="2"/>
  <c r="H4364" i="2"/>
  <c r="G4364" i="2"/>
  <c r="F4364" i="2"/>
  <c r="E4364" i="2"/>
  <c r="C4364" i="2"/>
  <c r="B4364" i="2"/>
  <c r="N4363" i="2"/>
  <c r="K4363" i="2"/>
  <c r="H4363" i="2"/>
  <c r="G4363" i="2"/>
  <c r="F4363" i="2"/>
  <c r="E4363" i="2"/>
  <c r="C4363" i="2"/>
  <c r="B4363" i="2"/>
  <c r="N4362" i="2"/>
  <c r="K4362" i="2"/>
  <c r="H4362" i="2"/>
  <c r="G4362" i="2"/>
  <c r="F4362" i="2"/>
  <c r="E4362" i="2"/>
  <c r="C4362" i="2"/>
  <c r="B4362" i="2"/>
  <c r="N4361" i="2"/>
  <c r="K4361" i="2"/>
  <c r="H4361" i="2"/>
  <c r="G4361" i="2"/>
  <c r="F4361" i="2"/>
  <c r="E4361" i="2"/>
  <c r="C4361" i="2"/>
  <c r="B4361" i="2"/>
  <c r="N4360" i="2"/>
  <c r="K4360" i="2"/>
  <c r="H4360" i="2"/>
  <c r="G4360" i="2"/>
  <c r="F4360" i="2"/>
  <c r="E4360" i="2"/>
  <c r="C4360" i="2"/>
  <c r="B4360" i="2"/>
  <c r="N4359" i="2"/>
  <c r="K4359" i="2"/>
  <c r="H4359" i="2"/>
  <c r="G4359" i="2"/>
  <c r="F4359" i="2"/>
  <c r="E4359" i="2"/>
  <c r="C4359" i="2"/>
  <c r="B4359" i="2"/>
  <c r="N4358" i="2"/>
  <c r="K4358" i="2"/>
  <c r="H4358" i="2"/>
  <c r="G4358" i="2"/>
  <c r="F4358" i="2"/>
  <c r="E4358" i="2"/>
  <c r="C4358" i="2"/>
  <c r="B4358" i="2"/>
  <c r="N4357" i="2"/>
  <c r="K4357" i="2"/>
  <c r="H4357" i="2"/>
  <c r="G4357" i="2"/>
  <c r="F4357" i="2"/>
  <c r="E4357" i="2"/>
  <c r="C4357" i="2"/>
  <c r="B4357" i="2"/>
  <c r="N4356" i="2"/>
  <c r="K4356" i="2"/>
  <c r="H4356" i="2"/>
  <c r="G4356" i="2"/>
  <c r="F4356" i="2"/>
  <c r="E4356" i="2"/>
  <c r="C4356" i="2"/>
  <c r="B4356" i="2"/>
  <c r="N4355" i="2"/>
  <c r="K4355" i="2"/>
  <c r="H4355" i="2"/>
  <c r="G4355" i="2"/>
  <c r="F4355" i="2"/>
  <c r="E4355" i="2"/>
  <c r="C4355" i="2"/>
  <c r="B4355" i="2"/>
  <c r="N4354" i="2"/>
  <c r="K4354" i="2"/>
  <c r="H4354" i="2"/>
  <c r="G4354" i="2"/>
  <c r="F4354" i="2"/>
  <c r="E4354" i="2"/>
  <c r="C4354" i="2"/>
  <c r="B4354" i="2"/>
  <c r="N4353" i="2"/>
  <c r="K4353" i="2"/>
  <c r="H4353" i="2"/>
  <c r="G4353" i="2"/>
  <c r="F4353" i="2"/>
  <c r="E4353" i="2"/>
  <c r="C4353" i="2"/>
  <c r="B4353" i="2"/>
  <c r="N4352" i="2"/>
  <c r="K4352" i="2"/>
  <c r="H4352" i="2"/>
  <c r="G4352" i="2"/>
  <c r="F4352" i="2"/>
  <c r="E4352" i="2"/>
  <c r="C4352" i="2"/>
  <c r="B4352" i="2"/>
  <c r="N4351" i="2"/>
  <c r="K4351" i="2"/>
  <c r="H4351" i="2"/>
  <c r="G4351" i="2"/>
  <c r="F4351" i="2"/>
  <c r="E4351" i="2"/>
  <c r="C4351" i="2"/>
  <c r="B4351" i="2"/>
  <c r="N4350" i="2"/>
  <c r="K4350" i="2"/>
  <c r="H4350" i="2"/>
  <c r="G4350" i="2"/>
  <c r="F4350" i="2"/>
  <c r="E4350" i="2"/>
  <c r="C4350" i="2"/>
  <c r="B4350" i="2"/>
  <c r="N4349" i="2"/>
  <c r="K4349" i="2"/>
  <c r="H4349" i="2"/>
  <c r="G4349" i="2"/>
  <c r="F4349" i="2"/>
  <c r="E4349" i="2"/>
  <c r="C4349" i="2"/>
  <c r="B4349" i="2"/>
  <c r="N4348" i="2"/>
  <c r="K4348" i="2"/>
  <c r="H4348" i="2"/>
  <c r="G4348" i="2"/>
  <c r="F4348" i="2"/>
  <c r="E4348" i="2"/>
  <c r="C4348" i="2"/>
  <c r="B4348" i="2"/>
  <c r="N4347" i="2"/>
  <c r="K4347" i="2"/>
  <c r="H4347" i="2"/>
  <c r="G4347" i="2"/>
  <c r="F4347" i="2"/>
  <c r="E4347" i="2"/>
  <c r="C4347" i="2"/>
  <c r="B4347" i="2"/>
  <c r="N4346" i="2"/>
  <c r="K4346" i="2"/>
  <c r="H4346" i="2"/>
  <c r="G4346" i="2"/>
  <c r="F4346" i="2"/>
  <c r="E4346" i="2"/>
  <c r="C4346" i="2"/>
  <c r="B4346" i="2"/>
  <c r="N4345" i="2"/>
  <c r="K4345" i="2"/>
  <c r="H4345" i="2"/>
  <c r="G4345" i="2"/>
  <c r="F4345" i="2"/>
  <c r="E4345" i="2"/>
  <c r="C4345" i="2"/>
  <c r="B4345" i="2"/>
  <c r="N4344" i="2"/>
  <c r="K4344" i="2"/>
  <c r="H4344" i="2"/>
  <c r="G4344" i="2"/>
  <c r="F4344" i="2"/>
  <c r="E4344" i="2"/>
  <c r="C4344" i="2"/>
  <c r="B4344" i="2"/>
  <c r="N4343" i="2"/>
  <c r="K4343" i="2"/>
  <c r="H4343" i="2"/>
  <c r="G4343" i="2"/>
  <c r="F4343" i="2"/>
  <c r="E4343" i="2"/>
  <c r="C4343" i="2"/>
  <c r="B4343" i="2"/>
  <c r="N4342" i="2"/>
  <c r="K4342" i="2"/>
  <c r="H4342" i="2"/>
  <c r="G4342" i="2"/>
  <c r="F4342" i="2"/>
  <c r="E4342" i="2"/>
  <c r="C4342" i="2"/>
  <c r="B4342" i="2"/>
  <c r="N4341" i="2"/>
  <c r="K4341" i="2"/>
  <c r="H4341" i="2"/>
  <c r="G4341" i="2"/>
  <c r="F4341" i="2"/>
  <c r="E4341" i="2"/>
  <c r="C4341" i="2"/>
  <c r="B4341" i="2"/>
  <c r="N4340" i="2"/>
  <c r="K4340" i="2"/>
  <c r="H4340" i="2"/>
  <c r="G4340" i="2"/>
  <c r="F4340" i="2"/>
  <c r="E4340" i="2"/>
  <c r="C4340" i="2"/>
  <c r="B4340" i="2"/>
  <c r="N4339" i="2"/>
  <c r="K4339" i="2"/>
  <c r="H4339" i="2"/>
  <c r="G4339" i="2"/>
  <c r="F4339" i="2"/>
  <c r="E4339" i="2"/>
  <c r="C4339" i="2"/>
  <c r="B4339" i="2"/>
  <c r="N4338" i="2"/>
  <c r="K4338" i="2"/>
  <c r="H4338" i="2"/>
  <c r="G4338" i="2"/>
  <c r="F4338" i="2"/>
  <c r="E4338" i="2"/>
  <c r="C4338" i="2"/>
  <c r="B4338" i="2"/>
  <c r="N4337" i="2"/>
  <c r="K4337" i="2"/>
  <c r="H4337" i="2"/>
  <c r="G4337" i="2"/>
  <c r="F4337" i="2"/>
  <c r="E4337" i="2"/>
  <c r="C4337" i="2"/>
  <c r="B4337" i="2"/>
  <c r="N4336" i="2"/>
  <c r="K4336" i="2"/>
  <c r="H4336" i="2"/>
  <c r="G4336" i="2"/>
  <c r="F4336" i="2"/>
  <c r="E4336" i="2"/>
  <c r="C4336" i="2"/>
  <c r="B4336" i="2"/>
  <c r="N4335" i="2"/>
  <c r="K4335" i="2"/>
  <c r="H4335" i="2"/>
  <c r="G4335" i="2"/>
  <c r="F4335" i="2"/>
  <c r="E4335" i="2"/>
  <c r="C4335" i="2"/>
  <c r="B4335" i="2"/>
  <c r="N4334" i="2"/>
  <c r="K4334" i="2"/>
  <c r="H4334" i="2"/>
  <c r="G4334" i="2"/>
  <c r="F4334" i="2"/>
  <c r="E4334" i="2"/>
  <c r="C4334" i="2"/>
  <c r="B4334" i="2"/>
  <c r="N4333" i="2"/>
  <c r="K4333" i="2"/>
  <c r="H4333" i="2"/>
  <c r="G4333" i="2"/>
  <c r="F4333" i="2"/>
  <c r="E4333" i="2"/>
  <c r="C4333" i="2"/>
  <c r="B4333" i="2"/>
  <c r="N4332" i="2"/>
  <c r="K4332" i="2"/>
  <c r="H4332" i="2"/>
  <c r="G4332" i="2"/>
  <c r="F4332" i="2"/>
  <c r="E4332" i="2"/>
  <c r="C4332" i="2"/>
  <c r="B4332" i="2"/>
  <c r="N4331" i="2"/>
  <c r="K4331" i="2"/>
  <c r="H4331" i="2"/>
  <c r="G4331" i="2"/>
  <c r="F4331" i="2"/>
  <c r="E4331" i="2"/>
  <c r="C4331" i="2"/>
  <c r="B4331" i="2"/>
  <c r="N4330" i="2"/>
  <c r="K4330" i="2"/>
  <c r="H4330" i="2"/>
  <c r="G4330" i="2"/>
  <c r="F4330" i="2"/>
  <c r="E4330" i="2"/>
  <c r="C4330" i="2"/>
  <c r="B4330" i="2"/>
  <c r="N4329" i="2"/>
  <c r="K4329" i="2"/>
  <c r="H4329" i="2"/>
  <c r="G4329" i="2"/>
  <c r="F4329" i="2"/>
  <c r="E4329" i="2"/>
  <c r="C4329" i="2"/>
  <c r="B4329" i="2"/>
  <c r="N4328" i="2"/>
  <c r="K4328" i="2"/>
  <c r="H4328" i="2"/>
  <c r="G4328" i="2"/>
  <c r="F4328" i="2"/>
  <c r="E4328" i="2"/>
  <c r="C4328" i="2"/>
  <c r="B4328" i="2"/>
  <c r="N4327" i="2"/>
  <c r="K4327" i="2"/>
  <c r="H4327" i="2"/>
  <c r="G4327" i="2"/>
  <c r="F4327" i="2"/>
  <c r="E4327" i="2"/>
  <c r="C4327" i="2"/>
  <c r="B4327" i="2"/>
  <c r="N4326" i="2"/>
  <c r="K4326" i="2"/>
  <c r="H4326" i="2"/>
  <c r="G4326" i="2"/>
  <c r="F4326" i="2"/>
  <c r="E4326" i="2"/>
  <c r="C4326" i="2"/>
  <c r="B4326" i="2"/>
  <c r="N4325" i="2"/>
  <c r="K4325" i="2"/>
  <c r="H4325" i="2"/>
  <c r="G4325" i="2"/>
  <c r="F4325" i="2"/>
  <c r="E4325" i="2"/>
  <c r="C4325" i="2"/>
  <c r="B4325" i="2"/>
  <c r="N4324" i="2"/>
  <c r="K4324" i="2"/>
  <c r="H4324" i="2"/>
  <c r="G4324" i="2"/>
  <c r="F4324" i="2"/>
  <c r="E4324" i="2"/>
  <c r="C4324" i="2"/>
  <c r="B4324" i="2"/>
  <c r="N4323" i="2"/>
  <c r="K4323" i="2"/>
  <c r="H4323" i="2"/>
  <c r="G4323" i="2"/>
  <c r="F4323" i="2"/>
  <c r="E4323" i="2"/>
  <c r="C4323" i="2"/>
  <c r="B4323" i="2"/>
  <c r="N4322" i="2"/>
  <c r="K4322" i="2"/>
  <c r="H4322" i="2"/>
  <c r="G4322" i="2"/>
  <c r="F4322" i="2"/>
  <c r="E4322" i="2"/>
  <c r="C4322" i="2"/>
  <c r="B4322" i="2"/>
  <c r="N4321" i="2"/>
  <c r="K4321" i="2"/>
  <c r="H4321" i="2"/>
  <c r="G4321" i="2"/>
  <c r="F4321" i="2"/>
  <c r="E4321" i="2"/>
  <c r="C4321" i="2"/>
  <c r="B4321" i="2"/>
  <c r="N4320" i="2"/>
  <c r="K4320" i="2"/>
  <c r="H4320" i="2"/>
  <c r="G4320" i="2"/>
  <c r="F4320" i="2"/>
  <c r="E4320" i="2"/>
  <c r="C4320" i="2"/>
  <c r="B4320" i="2"/>
  <c r="N4319" i="2"/>
  <c r="K4319" i="2"/>
  <c r="H4319" i="2"/>
  <c r="G4319" i="2"/>
  <c r="F4319" i="2"/>
  <c r="E4319" i="2"/>
  <c r="C4319" i="2"/>
  <c r="B4319" i="2"/>
  <c r="N4318" i="2"/>
  <c r="K4318" i="2"/>
  <c r="H4318" i="2"/>
  <c r="G4318" i="2"/>
  <c r="F4318" i="2"/>
  <c r="E4318" i="2"/>
  <c r="C4318" i="2"/>
  <c r="B4318" i="2"/>
  <c r="N4317" i="2"/>
  <c r="K4317" i="2"/>
  <c r="H4317" i="2"/>
  <c r="G4317" i="2"/>
  <c r="F4317" i="2"/>
  <c r="E4317" i="2"/>
  <c r="C4317" i="2"/>
  <c r="B4317" i="2"/>
  <c r="N4316" i="2"/>
  <c r="K4316" i="2"/>
  <c r="H4316" i="2"/>
  <c r="G4316" i="2"/>
  <c r="F4316" i="2"/>
  <c r="E4316" i="2"/>
  <c r="C4316" i="2"/>
  <c r="B4316" i="2"/>
  <c r="N4315" i="2"/>
  <c r="K4315" i="2"/>
  <c r="H4315" i="2"/>
  <c r="G4315" i="2"/>
  <c r="F4315" i="2"/>
  <c r="E4315" i="2"/>
  <c r="C4315" i="2"/>
  <c r="B4315" i="2"/>
  <c r="N4314" i="2"/>
  <c r="K4314" i="2"/>
  <c r="H4314" i="2"/>
  <c r="G4314" i="2"/>
  <c r="F4314" i="2"/>
  <c r="E4314" i="2"/>
  <c r="C4314" i="2"/>
  <c r="B4314" i="2"/>
  <c r="N4313" i="2"/>
  <c r="K4313" i="2"/>
  <c r="H4313" i="2"/>
  <c r="G4313" i="2"/>
  <c r="F4313" i="2"/>
  <c r="E4313" i="2"/>
  <c r="C4313" i="2"/>
  <c r="B4313" i="2"/>
  <c r="N4312" i="2"/>
  <c r="K4312" i="2"/>
  <c r="H4312" i="2"/>
  <c r="G4312" i="2"/>
  <c r="F4312" i="2"/>
  <c r="E4312" i="2"/>
  <c r="C4312" i="2"/>
  <c r="B4312" i="2"/>
  <c r="N4311" i="2"/>
  <c r="K4311" i="2"/>
  <c r="H4311" i="2"/>
  <c r="G4311" i="2"/>
  <c r="F4311" i="2"/>
  <c r="E4311" i="2"/>
  <c r="C4311" i="2"/>
  <c r="B4311" i="2"/>
  <c r="N4310" i="2"/>
  <c r="K4310" i="2"/>
  <c r="H4310" i="2"/>
  <c r="G4310" i="2"/>
  <c r="F4310" i="2"/>
  <c r="E4310" i="2"/>
  <c r="C4310" i="2"/>
  <c r="B4310" i="2"/>
  <c r="N4309" i="2"/>
  <c r="K4309" i="2"/>
  <c r="H4309" i="2"/>
  <c r="G4309" i="2"/>
  <c r="F4309" i="2"/>
  <c r="E4309" i="2"/>
  <c r="C4309" i="2"/>
  <c r="B4309" i="2"/>
  <c r="N4308" i="2"/>
  <c r="K4308" i="2"/>
  <c r="H4308" i="2"/>
  <c r="G4308" i="2"/>
  <c r="F4308" i="2"/>
  <c r="E4308" i="2"/>
  <c r="C4308" i="2"/>
  <c r="B4308" i="2"/>
  <c r="N4307" i="2"/>
  <c r="K4307" i="2"/>
  <c r="H4307" i="2"/>
  <c r="G4307" i="2"/>
  <c r="F4307" i="2"/>
  <c r="E4307" i="2"/>
  <c r="C4307" i="2"/>
  <c r="B4307" i="2"/>
  <c r="N4306" i="2"/>
  <c r="K4306" i="2"/>
  <c r="H4306" i="2"/>
  <c r="G4306" i="2"/>
  <c r="F4306" i="2"/>
  <c r="E4306" i="2"/>
  <c r="C4306" i="2"/>
  <c r="B4306" i="2"/>
  <c r="N4305" i="2"/>
  <c r="K4305" i="2"/>
  <c r="H4305" i="2"/>
  <c r="G4305" i="2"/>
  <c r="F4305" i="2"/>
  <c r="E4305" i="2"/>
  <c r="C4305" i="2"/>
  <c r="B4305" i="2"/>
  <c r="N4304" i="2"/>
  <c r="K4304" i="2"/>
  <c r="H4304" i="2"/>
  <c r="G4304" i="2"/>
  <c r="F4304" i="2"/>
  <c r="E4304" i="2"/>
  <c r="C4304" i="2"/>
  <c r="B4304" i="2"/>
  <c r="N4303" i="2"/>
  <c r="K4303" i="2"/>
  <c r="H4303" i="2"/>
  <c r="G4303" i="2"/>
  <c r="F4303" i="2"/>
  <c r="E4303" i="2"/>
  <c r="C4303" i="2"/>
  <c r="B4303" i="2"/>
  <c r="N4302" i="2"/>
  <c r="K4302" i="2"/>
  <c r="H4302" i="2"/>
  <c r="G4302" i="2"/>
  <c r="F4302" i="2"/>
  <c r="E4302" i="2"/>
  <c r="C4302" i="2"/>
  <c r="B4302" i="2"/>
  <c r="N4301" i="2"/>
  <c r="K4301" i="2"/>
  <c r="H4301" i="2"/>
  <c r="G4301" i="2"/>
  <c r="F4301" i="2"/>
  <c r="E4301" i="2"/>
  <c r="C4301" i="2"/>
  <c r="B4301" i="2"/>
  <c r="N4300" i="2"/>
  <c r="K4300" i="2"/>
  <c r="H4300" i="2"/>
  <c r="G4300" i="2"/>
  <c r="F4300" i="2"/>
  <c r="E4300" i="2"/>
  <c r="C4300" i="2"/>
  <c r="B4300" i="2"/>
  <c r="N4299" i="2"/>
  <c r="K4299" i="2"/>
  <c r="H4299" i="2"/>
  <c r="G4299" i="2"/>
  <c r="F4299" i="2"/>
  <c r="E4299" i="2"/>
  <c r="C4299" i="2"/>
  <c r="B4299" i="2"/>
  <c r="N4298" i="2"/>
  <c r="K4298" i="2"/>
  <c r="H4298" i="2"/>
  <c r="G4298" i="2"/>
  <c r="F4298" i="2"/>
  <c r="E4298" i="2"/>
  <c r="C4298" i="2"/>
  <c r="B4298" i="2"/>
  <c r="N4297" i="2"/>
  <c r="K4297" i="2"/>
  <c r="H4297" i="2"/>
  <c r="G4297" i="2"/>
  <c r="F4297" i="2"/>
  <c r="E4297" i="2"/>
  <c r="C4297" i="2"/>
  <c r="B4297" i="2"/>
  <c r="N4296" i="2"/>
  <c r="K4296" i="2"/>
  <c r="H4296" i="2"/>
  <c r="G4296" i="2"/>
  <c r="F4296" i="2"/>
  <c r="E4296" i="2"/>
  <c r="C4296" i="2"/>
  <c r="B4296" i="2"/>
  <c r="N4295" i="2"/>
  <c r="K4295" i="2"/>
  <c r="H4295" i="2"/>
  <c r="G4295" i="2"/>
  <c r="F4295" i="2"/>
  <c r="E4295" i="2"/>
  <c r="C4295" i="2"/>
  <c r="B4295" i="2"/>
  <c r="N4294" i="2"/>
  <c r="K4294" i="2"/>
  <c r="H4294" i="2"/>
  <c r="G4294" i="2"/>
  <c r="F4294" i="2"/>
  <c r="E4294" i="2"/>
  <c r="C4294" i="2"/>
  <c r="B4294" i="2"/>
  <c r="N4293" i="2"/>
  <c r="K4293" i="2"/>
  <c r="H4293" i="2"/>
  <c r="G4293" i="2"/>
  <c r="F4293" i="2"/>
  <c r="E4293" i="2"/>
  <c r="C4293" i="2"/>
  <c r="B4293" i="2"/>
  <c r="N4292" i="2"/>
  <c r="K4292" i="2"/>
  <c r="H4292" i="2"/>
  <c r="G4292" i="2"/>
  <c r="F4292" i="2"/>
  <c r="E4292" i="2"/>
  <c r="C4292" i="2"/>
  <c r="B4292" i="2"/>
  <c r="N4291" i="2"/>
  <c r="K4291" i="2"/>
  <c r="H4291" i="2"/>
  <c r="G4291" i="2"/>
  <c r="F4291" i="2"/>
  <c r="E4291" i="2"/>
  <c r="C4291" i="2"/>
  <c r="B4291" i="2"/>
  <c r="N4290" i="2"/>
  <c r="K4290" i="2"/>
  <c r="H4290" i="2"/>
  <c r="G4290" i="2"/>
  <c r="F4290" i="2"/>
  <c r="E4290" i="2"/>
  <c r="C4290" i="2"/>
  <c r="B4290" i="2"/>
  <c r="N4289" i="2"/>
  <c r="K4289" i="2"/>
  <c r="H4289" i="2"/>
  <c r="G4289" i="2"/>
  <c r="F4289" i="2"/>
  <c r="E4289" i="2"/>
  <c r="C4289" i="2"/>
  <c r="B4289" i="2"/>
  <c r="N4288" i="2"/>
  <c r="K4288" i="2"/>
  <c r="H4288" i="2"/>
  <c r="G4288" i="2"/>
  <c r="F4288" i="2"/>
  <c r="E4288" i="2"/>
  <c r="C4288" i="2"/>
  <c r="B4288" i="2"/>
  <c r="N4287" i="2"/>
  <c r="K4287" i="2"/>
  <c r="H4287" i="2"/>
  <c r="G4287" i="2"/>
  <c r="F4287" i="2"/>
  <c r="E4287" i="2"/>
  <c r="C4287" i="2"/>
  <c r="B4287" i="2"/>
  <c r="N4286" i="2"/>
  <c r="K4286" i="2"/>
  <c r="H4286" i="2"/>
  <c r="G4286" i="2"/>
  <c r="F4286" i="2"/>
  <c r="E4286" i="2"/>
  <c r="C4286" i="2"/>
  <c r="B4286" i="2"/>
  <c r="N4285" i="2"/>
  <c r="K4285" i="2"/>
  <c r="H4285" i="2"/>
  <c r="G4285" i="2"/>
  <c r="F4285" i="2"/>
  <c r="E4285" i="2"/>
  <c r="C4285" i="2"/>
  <c r="B4285" i="2"/>
  <c r="N4284" i="2"/>
  <c r="K4284" i="2"/>
  <c r="H4284" i="2"/>
  <c r="G4284" i="2"/>
  <c r="F4284" i="2"/>
  <c r="E4284" i="2"/>
  <c r="C4284" i="2"/>
  <c r="B4284" i="2"/>
  <c r="N4283" i="2"/>
  <c r="K4283" i="2"/>
  <c r="H4283" i="2"/>
  <c r="G4283" i="2"/>
  <c r="F4283" i="2"/>
  <c r="E4283" i="2"/>
  <c r="C4283" i="2"/>
  <c r="B4283" i="2"/>
  <c r="N4282" i="2"/>
  <c r="K4282" i="2"/>
  <c r="H4282" i="2"/>
  <c r="G4282" i="2"/>
  <c r="F4282" i="2"/>
  <c r="E4282" i="2"/>
  <c r="C4282" i="2"/>
  <c r="B4282" i="2"/>
  <c r="N4281" i="2"/>
  <c r="K4281" i="2"/>
  <c r="H4281" i="2"/>
  <c r="G4281" i="2"/>
  <c r="F4281" i="2"/>
  <c r="E4281" i="2"/>
  <c r="C4281" i="2"/>
  <c r="B4281" i="2"/>
  <c r="N4280" i="2"/>
  <c r="K4280" i="2"/>
  <c r="H4280" i="2"/>
  <c r="G4280" i="2"/>
  <c r="F4280" i="2"/>
  <c r="E4280" i="2"/>
  <c r="C4280" i="2"/>
  <c r="B4280" i="2"/>
  <c r="N4279" i="2"/>
  <c r="K4279" i="2"/>
  <c r="H4279" i="2"/>
  <c r="G4279" i="2"/>
  <c r="F4279" i="2"/>
  <c r="E4279" i="2"/>
  <c r="C4279" i="2"/>
  <c r="B4279" i="2"/>
  <c r="N4278" i="2"/>
  <c r="K4278" i="2"/>
  <c r="H4278" i="2"/>
  <c r="G4278" i="2"/>
  <c r="F4278" i="2"/>
  <c r="E4278" i="2"/>
  <c r="C4278" i="2"/>
  <c r="B4278" i="2"/>
  <c r="N4277" i="2"/>
  <c r="K4277" i="2"/>
  <c r="H4277" i="2"/>
  <c r="G4277" i="2"/>
  <c r="F4277" i="2"/>
  <c r="E4277" i="2"/>
  <c r="C4277" i="2"/>
  <c r="B4277" i="2"/>
  <c r="N4276" i="2"/>
  <c r="K4276" i="2"/>
  <c r="H4276" i="2"/>
  <c r="G4276" i="2"/>
  <c r="F4276" i="2"/>
  <c r="E4276" i="2"/>
  <c r="C4276" i="2"/>
  <c r="B4276" i="2"/>
  <c r="N4275" i="2"/>
  <c r="K4275" i="2"/>
  <c r="H4275" i="2"/>
  <c r="G4275" i="2"/>
  <c r="F4275" i="2"/>
  <c r="E4275" i="2"/>
  <c r="C4275" i="2"/>
  <c r="B4275" i="2"/>
  <c r="N4274" i="2"/>
  <c r="K4274" i="2"/>
  <c r="H4274" i="2"/>
  <c r="G4274" i="2"/>
  <c r="F4274" i="2"/>
  <c r="E4274" i="2"/>
  <c r="C4274" i="2"/>
  <c r="B4274" i="2"/>
  <c r="N4273" i="2"/>
  <c r="K4273" i="2"/>
  <c r="H4273" i="2"/>
  <c r="G4273" i="2"/>
  <c r="F4273" i="2"/>
  <c r="E4273" i="2"/>
  <c r="C4273" i="2"/>
  <c r="B4273" i="2"/>
  <c r="N4272" i="2"/>
  <c r="K4272" i="2"/>
  <c r="H4272" i="2"/>
  <c r="G4272" i="2"/>
  <c r="F4272" i="2"/>
  <c r="E4272" i="2"/>
  <c r="C4272" i="2"/>
  <c r="B4272" i="2"/>
  <c r="N4271" i="2"/>
  <c r="K4271" i="2"/>
  <c r="H4271" i="2"/>
  <c r="G4271" i="2"/>
  <c r="F4271" i="2"/>
  <c r="E4271" i="2"/>
  <c r="C4271" i="2"/>
  <c r="B4271" i="2"/>
  <c r="N4270" i="2"/>
  <c r="K4270" i="2"/>
  <c r="H4270" i="2"/>
  <c r="G4270" i="2"/>
  <c r="F4270" i="2"/>
  <c r="E4270" i="2"/>
  <c r="C4270" i="2"/>
  <c r="B4270" i="2"/>
  <c r="N4269" i="2"/>
  <c r="K4269" i="2"/>
  <c r="H4269" i="2"/>
  <c r="G4269" i="2"/>
  <c r="F4269" i="2"/>
  <c r="E4269" i="2"/>
  <c r="C4269" i="2"/>
  <c r="B4269" i="2"/>
  <c r="N4268" i="2"/>
  <c r="K4268" i="2"/>
  <c r="H4268" i="2"/>
  <c r="G4268" i="2"/>
  <c r="F4268" i="2"/>
  <c r="E4268" i="2"/>
  <c r="C4268" i="2"/>
  <c r="B4268" i="2"/>
  <c r="N4267" i="2"/>
  <c r="K4267" i="2"/>
  <c r="H4267" i="2"/>
  <c r="G4267" i="2"/>
  <c r="F4267" i="2"/>
  <c r="E4267" i="2"/>
  <c r="C4267" i="2"/>
  <c r="B4267" i="2"/>
  <c r="N4266" i="2"/>
  <c r="K4266" i="2"/>
  <c r="H4266" i="2"/>
  <c r="G4266" i="2"/>
  <c r="F4266" i="2"/>
  <c r="E4266" i="2"/>
  <c r="C4266" i="2"/>
  <c r="B4266" i="2"/>
  <c r="N4265" i="2"/>
  <c r="K4265" i="2"/>
  <c r="H4265" i="2"/>
  <c r="G4265" i="2"/>
  <c r="F4265" i="2"/>
  <c r="E4265" i="2"/>
  <c r="C4265" i="2"/>
  <c r="B4265" i="2"/>
  <c r="N4264" i="2"/>
  <c r="K4264" i="2"/>
  <c r="H4264" i="2"/>
  <c r="G4264" i="2"/>
  <c r="F4264" i="2"/>
  <c r="E4264" i="2"/>
  <c r="C4264" i="2"/>
  <c r="B4264" i="2"/>
  <c r="N4263" i="2"/>
  <c r="K4263" i="2"/>
  <c r="H4263" i="2"/>
  <c r="G4263" i="2"/>
  <c r="F4263" i="2"/>
  <c r="E4263" i="2"/>
  <c r="C4263" i="2"/>
  <c r="B4263" i="2"/>
  <c r="N4262" i="2"/>
  <c r="K4262" i="2"/>
  <c r="H4262" i="2"/>
  <c r="G4262" i="2"/>
  <c r="F4262" i="2"/>
  <c r="E4262" i="2"/>
  <c r="C4262" i="2"/>
  <c r="B4262" i="2"/>
  <c r="N4261" i="2"/>
  <c r="K4261" i="2"/>
  <c r="H4261" i="2"/>
  <c r="G4261" i="2"/>
  <c r="F4261" i="2"/>
  <c r="E4261" i="2"/>
  <c r="C4261" i="2"/>
  <c r="B4261" i="2"/>
  <c r="N4260" i="2"/>
  <c r="K4260" i="2"/>
  <c r="H4260" i="2"/>
  <c r="G4260" i="2"/>
  <c r="F4260" i="2"/>
  <c r="E4260" i="2"/>
  <c r="C4260" i="2"/>
  <c r="B4260" i="2"/>
  <c r="N4259" i="2"/>
  <c r="K4259" i="2"/>
  <c r="H4259" i="2"/>
  <c r="G4259" i="2"/>
  <c r="F4259" i="2"/>
  <c r="E4259" i="2"/>
  <c r="C4259" i="2"/>
  <c r="B4259" i="2"/>
  <c r="N4258" i="2"/>
  <c r="K4258" i="2"/>
  <c r="H4258" i="2"/>
  <c r="G4258" i="2"/>
  <c r="F4258" i="2"/>
  <c r="E4258" i="2"/>
  <c r="C4258" i="2"/>
  <c r="B4258" i="2"/>
  <c r="N4257" i="2"/>
  <c r="K4257" i="2"/>
  <c r="H4257" i="2"/>
  <c r="G4257" i="2"/>
  <c r="F4257" i="2"/>
  <c r="E4257" i="2"/>
  <c r="C4257" i="2"/>
  <c r="B4257" i="2"/>
  <c r="N4256" i="2"/>
  <c r="K4256" i="2"/>
  <c r="H4256" i="2"/>
  <c r="G4256" i="2"/>
  <c r="F4256" i="2"/>
  <c r="E4256" i="2"/>
  <c r="C4256" i="2"/>
  <c r="B4256" i="2"/>
  <c r="N4255" i="2"/>
  <c r="K4255" i="2"/>
  <c r="H4255" i="2"/>
  <c r="G4255" i="2"/>
  <c r="F4255" i="2"/>
  <c r="E4255" i="2"/>
  <c r="C4255" i="2"/>
  <c r="B4255" i="2"/>
  <c r="N4254" i="2"/>
  <c r="K4254" i="2"/>
  <c r="H4254" i="2"/>
  <c r="G4254" i="2"/>
  <c r="F4254" i="2"/>
  <c r="E4254" i="2"/>
  <c r="C4254" i="2"/>
  <c r="B4254" i="2"/>
  <c r="N4253" i="2"/>
  <c r="K4253" i="2"/>
  <c r="H4253" i="2"/>
  <c r="G4253" i="2"/>
  <c r="F4253" i="2"/>
  <c r="E4253" i="2"/>
  <c r="C4253" i="2"/>
  <c r="B4253" i="2"/>
  <c r="N4252" i="2"/>
  <c r="K4252" i="2"/>
  <c r="H4252" i="2"/>
  <c r="G4252" i="2"/>
  <c r="F4252" i="2"/>
  <c r="E4252" i="2"/>
  <c r="C4252" i="2"/>
  <c r="B4252" i="2"/>
  <c r="N4251" i="2"/>
  <c r="K4251" i="2"/>
  <c r="H4251" i="2"/>
  <c r="G4251" i="2"/>
  <c r="F4251" i="2"/>
  <c r="E4251" i="2"/>
  <c r="C4251" i="2"/>
  <c r="B4251" i="2"/>
  <c r="N4250" i="2"/>
  <c r="K4250" i="2"/>
  <c r="H4250" i="2"/>
  <c r="G4250" i="2"/>
  <c r="F4250" i="2"/>
  <c r="E4250" i="2"/>
  <c r="C4250" i="2"/>
  <c r="B4250" i="2"/>
  <c r="N4249" i="2"/>
  <c r="K4249" i="2"/>
  <c r="H4249" i="2"/>
  <c r="G4249" i="2"/>
  <c r="F4249" i="2"/>
  <c r="E4249" i="2"/>
  <c r="C4249" i="2"/>
  <c r="B4249" i="2"/>
  <c r="N4248" i="2"/>
  <c r="K4248" i="2"/>
  <c r="H4248" i="2"/>
  <c r="G4248" i="2"/>
  <c r="F4248" i="2"/>
  <c r="E4248" i="2"/>
  <c r="C4248" i="2"/>
  <c r="B4248" i="2"/>
  <c r="N4247" i="2"/>
  <c r="K4247" i="2"/>
  <c r="H4247" i="2"/>
  <c r="G4247" i="2"/>
  <c r="F4247" i="2"/>
  <c r="E4247" i="2"/>
  <c r="C4247" i="2"/>
  <c r="B4247" i="2"/>
  <c r="N4246" i="2"/>
  <c r="K4246" i="2"/>
  <c r="H4246" i="2"/>
  <c r="G4246" i="2"/>
  <c r="F4246" i="2"/>
  <c r="E4246" i="2"/>
  <c r="C4246" i="2"/>
  <c r="B4246" i="2"/>
  <c r="N4245" i="2"/>
  <c r="K4245" i="2"/>
  <c r="H4245" i="2"/>
  <c r="G4245" i="2"/>
  <c r="F4245" i="2"/>
  <c r="E4245" i="2"/>
  <c r="C4245" i="2"/>
  <c r="B4245" i="2"/>
  <c r="N4244" i="2"/>
  <c r="K4244" i="2"/>
  <c r="H4244" i="2"/>
  <c r="G4244" i="2"/>
  <c r="F4244" i="2"/>
  <c r="E4244" i="2"/>
  <c r="C4244" i="2"/>
  <c r="B4244" i="2"/>
  <c r="N4243" i="2"/>
  <c r="K4243" i="2"/>
  <c r="H4243" i="2"/>
  <c r="G4243" i="2"/>
  <c r="F4243" i="2"/>
  <c r="E4243" i="2"/>
  <c r="C4243" i="2"/>
  <c r="B4243" i="2"/>
  <c r="N4242" i="2"/>
  <c r="K4242" i="2"/>
  <c r="H4242" i="2"/>
  <c r="G4242" i="2"/>
  <c r="F4242" i="2"/>
  <c r="E4242" i="2"/>
  <c r="C4242" i="2"/>
  <c r="B4242" i="2"/>
  <c r="N4241" i="2"/>
  <c r="K4241" i="2"/>
  <c r="H4241" i="2"/>
  <c r="G4241" i="2"/>
  <c r="F4241" i="2"/>
  <c r="E4241" i="2"/>
  <c r="C4241" i="2"/>
  <c r="B4241" i="2"/>
  <c r="N4240" i="2"/>
  <c r="K4240" i="2"/>
  <c r="H4240" i="2"/>
  <c r="G4240" i="2"/>
  <c r="F4240" i="2"/>
  <c r="E4240" i="2"/>
  <c r="C4240" i="2"/>
  <c r="B4240" i="2"/>
  <c r="N4239" i="2"/>
  <c r="K4239" i="2"/>
  <c r="H4239" i="2"/>
  <c r="G4239" i="2"/>
  <c r="F4239" i="2"/>
  <c r="E4239" i="2"/>
  <c r="C4239" i="2"/>
  <c r="B4239" i="2"/>
  <c r="N4238" i="2"/>
  <c r="K4238" i="2"/>
  <c r="H4238" i="2"/>
  <c r="G4238" i="2"/>
  <c r="F4238" i="2"/>
  <c r="E4238" i="2"/>
  <c r="C4238" i="2"/>
  <c r="B4238" i="2"/>
  <c r="N4237" i="2"/>
  <c r="K4237" i="2"/>
  <c r="H4237" i="2"/>
  <c r="G4237" i="2"/>
  <c r="F4237" i="2"/>
  <c r="E4237" i="2"/>
  <c r="C4237" i="2"/>
  <c r="B4237" i="2"/>
  <c r="N4236" i="2"/>
  <c r="K4236" i="2"/>
  <c r="H4236" i="2"/>
  <c r="G4236" i="2"/>
  <c r="F4236" i="2"/>
  <c r="E4236" i="2"/>
  <c r="C4236" i="2"/>
  <c r="B4236" i="2"/>
  <c r="N4235" i="2"/>
  <c r="K4235" i="2"/>
  <c r="H4235" i="2"/>
  <c r="G4235" i="2"/>
  <c r="F4235" i="2"/>
  <c r="E4235" i="2"/>
  <c r="C4235" i="2"/>
  <c r="B4235" i="2"/>
  <c r="N4234" i="2"/>
  <c r="K4234" i="2"/>
  <c r="H4234" i="2"/>
  <c r="G4234" i="2"/>
  <c r="F4234" i="2"/>
  <c r="E4234" i="2"/>
  <c r="C4234" i="2"/>
  <c r="B4234" i="2"/>
  <c r="N4233" i="2"/>
  <c r="K4233" i="2"/>
  <c r="H4233" i="2"/>
  <c r="G4233" i="2"/>
  <c r="F4233" i="2"/>
  <c r="E4233" i="2"/>
  <c r="C4233" i="2"/>
  <c r="B4233" i="2"/>
  <c r="N4232" i="2"/>
  <c r="K4232" i="2"/>
  <c r="H4232" i="2"/>
  <c r="G4232" i="2"/>
  <c r="F4232" i="2"/>
  <c r="E4232" i="2"/>
  <c r="C4232" i="2"/>
  <c r="B4232" i="2"/>
  <c r="N4231" i="2"/>
  <c r="K4231" i="2"/>
  <c r="H4231" i="2"/>
  <c r="G4231" i="2"/>
  <c r="F4231" i="2"/>
  <c r="E4231" i="2"/>
  <c r="C4231" i="2"/>
  <c r="B4231" i="2"/>
  <c r="N4230" i="2"/>
  <c r="K4230" i="2"/>
  <c r="H4230" i="2"/>
  <c r="G4230" i="2"/>
  <c r="F4230" i="2"/>
  <c r="E4230" i="2"/>
  <c r="C4230" i="2"/>
  <c r="B4230" i="2"/>
  <c r="N4229" i="2"/>
  <c r="K4229" i="2"/>
  <c r="H4229" i="2"/>
  <c r="G4229" i="2"/>
  <c r="F4229" i="2"/>
  <c r="E4229" i="2"/>
  <c r="C4229" i="2"/>
  <c r="B4229" i="2"/>
  <c r="N4228" i="2"/>
  <c r="K4228" i="2"/>
  <c r="H4228" i="2"/>
  <c r="G4228" i="2"/>
  <c r="F4228" i="2"/>
  <c r="E4228" i="2"/>
  <c r="C4228" i="2"/>
  <c r="B4228" i="2"/>
  <c r="N4227" i="2"/>
  <c r="K4227" i="2"/>
  <c r="H4227" i="2"/>
  <c r="G4227" i="2"/>
  <c r="F4227" i="2"/>
  <c r="E4227" i="2"/>
  <c r="C4227" i="2"/>
  <c r="B4227" i="2"/>
  <c r="N4226" i="2"/>
  <c r="K4226" i="2"/>
  <c r="H4226" i="2"/>
  <c r="G4226" i="2"/>
  <c r="F4226" i="2"/>
  <c r="E4226" i="2"/>
  <c r="C4226" i="2"/>
  <c r="B4226" i="2"/>
  <c r="N4225" i="2"/>
  <c r="K4225" i="2"/>
  <c r="H4225" i="2"/>
  <c r="G4225" i="2"/>
  <c r="F4225" i="2"/>
  <c r="E4225" i="2"/>
  <c r="C4225" i="2"/>
  <c r="B4225" i="2"/>
  <c r="N4224" i="2"/>
  <c r="K4224" i="2"/>
  <c r="H4224" i="2"/>
  <c r="G4224" i="2"/>
  <c r="F4224" i="2"/>
  <c r="E4224" i="2"/>
  <c r="C4224" i="2"/>
  <c r="B4224" i="2"/>
  <c r="N4223" i="2"/>
  <c r="K4223" i="2"/>
  <c r="H4223" i="2"/>
  <c r="G4223" i="2"/>
  <c r="F4223" i="2"/>
  <c r="E4223" i="2"/>
  <c r="C4223" i="2"/>
  <c r="B4223" i="2"/>
  <c r="N4222" i="2"/>
  <c r="K4222" i="2"/>
  <c r="H4222" i="2"/>
  <c r="G4222" i="2"/>
  <c r="F4222" i="2"/>
  <c r="E4222" i="2"/>
  <c r="C4222" i="2"/>
  <c r="B4222" i="2"/>
  <c r="N4221" i="2"/>
  <c r="K4221" i="2"/>
  <c r="H4221" i="2"/>
  <c r="G4221" i="2"/>
  <c r="F4221" i="2"/>
  <c r="E4221" i="2"/>
  <c r="C4221" i="2"/>
  <c r="B4221" i="2"/>
  <c r="N4220" i="2"/>
  <c r="K4220" i="2"/>
  <c r="H4220" i="2"/>
  <c r="G4220" i="2"/>
  <c r="F4220" i="2"/>
  <c r="E4220" i="2"/>
  <c r="C4220" i="2"/>
  <c r="B4220" i="2"/>
  <c r="N4219" i="2"/>
  <c r="K4219" i="2"/>
  <c r="H4219" i="2"/>
  <c r="G4219" i="2"/>
  <c r="F4219" i="2"/>
  <c r="E4219" i="2"/>
  <c r="C4219" i="2"/>
  <c r="B4219" i="2"/>
  <c r="N4218" i="2"/>
  <c r="K4218" i="2"/>
  <c r="H4218" i="2"/>
  <c r="G4218" i="2"/>
  <c r="F4218" i="2"/>
  <c r="E4218" i="2"/>
  <c r="C4218" i="2"/>
  <c r="B4218" i="2"/>
  <c r="N4217" i="2"/>
  <c r="K4217" i="2"/>
  <c r="H4217" i="2"/>
  <c r="G4217" i="2"/>
  <c r="F4217" i="2"/>
  <c r="E4217" i="2"/>
  <c r="C4217" i="2"/>
  <c r="B4217" i="2"/>
  <c r="N4216" i="2"/>
  <c r="K4216" i="2"/>
  <c r="H4216" i="2"/>
  <c r="G4216" i="2"/>
  <c r="F4216" i="2"/>
  <c r="E4216" i="2"/>
  <c r="C4216" i="2"/>
  <c r="B4216" i="2"/>
  <c r="N4215" i="2"/>
  <c r="K4215" i="2"/>
  <c r="H4215" i="2"/>
  <c r="G4215" i="2"/>
  <c r="F4215" i="2"/>
  <c r="E4215" i="2"/>
  <c r="C4215" i="2"/>
  <c r="B4215" i="2"/>
  <c r="N4214" i="2"/>
  <c r="K4214" i="2"/>
  <c r="H4214" i="2"/>
  <c r="G4214" i="2"/>
  <c r="F4214" i="2"/>
  <c r="E4214" i="2"/>
  <c r="C4214" i="2"/>
  <c r="B4214" i="2"/>
  <c r="N4213" i="2"/>
  <c r="K4213" i="2"/>
  <c r="H4213" i="2"/>
  <c r="G4213" i="2"/>
  <c r="F4213" i="2"/>
  <c r="E4213" i="2"/>
  <c r="C4213" i="2"/>
  <c r="B4213" i="2"/>
  <c r="N4212" i="2"/>
  <c r="K4212" i="2"/>
  <c r="H4212" i="2"/>
  <c r="G4212" i="2"/>
  <c r="F4212" i="2"/>
  <c r="E4212" i="2"/>
  <c r="C4212" i="2"/>
  <c r="B4212" i="2"/>
  <c r="N4211" i="2"/>
  <c r="K4211" i="2"/>
  <c r="H4211" i="2"/>
  <c r="G4211" i="2"/>
  <c r="F4211" i="2"/>
  <c r="E4211" i="2"/>
  <c r="C4211" i="2"/>
  <c r="B4211" i="2"/>
  <c r="N4210" i="2"/>
  <c r="K4210" i="2"/>
  <c r="H4210" i="2"/>
  <c r="G4210" i="2"/>
  <c r="F4210" i="2"/>
  <c r="E4210" i="2"/>
  <c r="C4210" i="2"/>
  <c r="B4210" i="2"/>
  <c r="N4209" i="2"/>
  <c r="K4209" i="2"/>
  <c r="H4209" i="2"/>
  <c r="G4209" i="2"/>
  <c r="F4209" i="2"/>
  <c r="E4209" i="2"/>
  <c r="C4209" i="2"/>
  <c r="B4209" i="2"/>
  <c r="N4208" i="2"/>
  <c r="K4208" i="2"/>
  <c r="H4208" i="2"/>
  <c r="G4208" i="2"/>
  <c r="F4208" i="2"/>
  <c r="E4208" i="2"/>
  <c r="C4208" i="2"/>
  <c r="B4208" i="2"/>
  <c r="N4207" i="2"/>
  <c r="K4207" i="2"/>
  <c r="H4207" i="2"/>
  <c r="G4207" i="2"/>
  <c r="F4207" i="2"/>
  <c r="E4207" i="2"/>
  <c r="C4207" i="2"/>
  <c r="B4207" i="2"/>
  <c r="N4206" i="2"/>
  <c r="K4206" i="2"/>
  <c r="H4206" i="2"/>
  <c r="G4206" i="2"/>
  <c r="F4206" i="2"/>
  <c r="E4206" i="2"/>
  <c r="C4206" i="2"/>
  <c r="B4206" i="2"/>
  <c r="N4205" i="2"/>
  <c r="K4205" i="2"/>
  <c r="H4205" i="2"/>
  <c r="G4205" i="2"/>
  <c r="F4205" i="2"/>
  <c r="E4205" i="2"/>
  <c r="C4205" i="2"/>
  <c r="B4205" i="2"/>
  <c r="N4204" i="2"/>
  <c r="K4204" i="2"/>
  <c r="H4204" i="2"/>
  <c r="G4204" i="2"/>
  <c r="F4204" i="2"/>
  <c r="E4204" i="2"/>
  <c r="C4204" i="2"/>
  <c r="B4204" i="2"/>
  <c r="N4203" i="2"/>
  <c r="K4203" i="2"/>
  <c r="H4203" i="2"/>
  <c r="G4203" i="2"/>
  <c r="F4203" i="2"/>
  <c r="E4203" i="2"/>
  <c r="C4203" i="2"/>
  <c r="B4203" i="2"/>
  <c r="N4202" i="2"/>
  <c r="K4202" i="2"/>
  <c r="H4202" i="2"/>
  <c r="G4202" i="2"/>
  <c r="F4202" i="2"/>
  <c r="E4202" i="2"/>
  <c r="C4202" i="2"/>
  <c r="B4202" i="2"/>
  <c r="N4201" i="2"/>
  <c r="K4201" i="2"/>
  <c r="H4201" i="2"/>
  <c r="G4201" i="2"/>
  <c r="F4201" i="2"/>
  <c r="E4201" i="2"/>
  <c r="C4201" i="2"/>
  <c r="B4201" i="2"/>
  <c r="N4200" i="2"/>
  <c r="K4200" i="2"/>
  <c r="H4200" i="2"/>
  <c r="G4200" i="2"/>
  <c r="F4200" i="2"/>
  <c r="E4200" i="2"/>
  <c r="C4200" i="2"/>
  <c r="B4200" i="2"/>
  <c r="N4199" i="2"/>
  <c r="K4199" i="2"/>
  <c r="H4199" i="2"/>
  <c r="G4199" i="2"/>
  <c r="F4199" i="2"/>
  <c r="E4199" i="2"/>
  <c r="C4199" i="2"/>
  <c r="B4199" i="2"/>
  <c r="N4198" i="2"/>
  <c r="K4198" i="2"/>
  <c r="H4198" i="2"/>
  <c r="G4198" i="2"/>
  <c r="F4198" i="2"/>
  <c r="E4198" i="2"/>
  <c r="C4198" i="2"/>
  <c r="B4198" i="2"/>
  <c r="N4197" i="2"/>
  <c r="K4197" i="2"/>
  <c r="H4197" i="2"/>
  <c r="G4197" i="2"/>
  <c r="F4197" i="2"/>
  <c r="E4197" i="2"/>
  <c r="C4197" i="2"/>
  <c r="B4197" i="2"/>
  <c r="N4196" i="2"/>
  <c r="K4196" i="2"/>
  <c r="H4196" i="2"/>
  <c r="G4196" i="2"/>
  <c r="F4196" i="2"/>
  <c r="E4196" i="2"/>
  <c r="C4196" i="2"/>
  <c r="B4196" i="2"/>
  <c r="N4195" i="2"/>
  <c r="K4195" i="2"/>
  <c r="H4195" i="2"/>
  <c r="G4195" i="2"/>
  <c r="F4195" i="2"/>
  <c r="E4195" i="2"/>
  <c r="C4195" i="2"/>
  <c r="B4195" i="2"/>
  <c r="N4194" i="2"/>
  <c r="K4194" i="2"/>
  <c r="H4194" i="2"/>
  <c r="G4194" i="2"/>
  <c r="F4194" i="2"/>
  <c r="E4194" i="2"/>
  <c r="C4194" i="2"/>
  <c r="B4194" i="2"/>
  <c r="N4193" i="2"/>
  <c r="K4193" i="2"/>
  <c r="H4193" i="2"/>
  <c r="G4193" i="2"/>
  <c r="F4193" i="2"/>
  <c r="E4193" i="2"/>
  <c r="C4193" i="2"/>
  <c r="B4193" i="2"/>
  <c r="N4192" i="2"/>
  <c r="K4192" i="2"/>
  <c r="H4192" i="2"/>
  <c r="G4192" i="2"/>
  <c r="F4192" i="2"/>
  <c r="E4192" i="2"/>
  <c r="C4192" i="2"/>
  <c r="B4192" i="2"/>
  <c r="N4191" i="2"/>
  <c r="K4191" i="2"/>
  <c r="H4191" i="2"/>
  <c r="G4191" i="2"/>
  <c r="F4191" i="2"/>
  <c r="E4191" i="2"/>
  <c r="C4191" i="2"/>
  <c r="B4191" i="2"/>
  <c r="N4190" i="2"/>
  <c r="K4190" i="2"/>
  <c r="H4190" i="2"/>
  <c r="G4190" i="2"/>
  <c r="F4190" i="2"/>
  <c r="E4190" i="2"/>
  <c r="C4190" i="2"/>
  <c r="B4190" i="2"/>
  <c r="N4189" i="2"/>
  <c r="K4189" i="2"/>
  <c r="H4189" i="2"/>
  <c r="G4189" i="2"/>
  <c r="F4189" i="2"/>
  <c r="E4189" i="2"/>
  <c r="C4189" i="2"/>
  <c r="B4189" i="2"/>
  <c r="N4188" i="2"/>
  <c r="K4188" i="2"/>
  <c r="H4188" i="2"/>
  <c r="G4188" i="2"/>
  <c r="F4188" i="2"/>
  <c r="E4188" i="2"/>
  <c r="C4188" i="2"/>
  <c r="B4188" i="2"/>
  <c r="N4187" i="2"/>
  <c r="K4187" i="2"/>
  <c r="H4187" i="2"/>
  <c r="G4187" i="2"/>
  <c r="F4187" i="2"/>
  <c r="E4187" i="2"/>
  <c r="C4187" i="2"/>
  <c r="B4187" i="2"/>
  <c r="N4186" i="2"/>
  <c r="K4186" i="2"/>
  <c r="H4186" i="2"/>
  <c r="G4186" i="2"/>
  <c r="F4186" i="2"/>
  <c r="E4186" i="2"/>
  <c r="C4186" i="2"/>
  <c r="B4186" i="2"/>
  <c r="N4185" i="2"/>
  <c r="K4185" i="2"/>
  <c r="H4185" i="2"/>
  <c r="G4185" i="2"/>
  <c r="F4185" i="2"/>
  <c r="E4185" i="2"/>
  <c r="C4185" i="2"/>
  <c r="B4185" i="2"/>
  <c r="N4184" i="2"/>
  <c r="K4184" i="2"/>
  <c r="H4184" i="2"/>
  <c r="G4184" i="2"/>
  <c r="F4184" i="2"/>
  <c r="E4184" i="2"/>
  <c r="C4184" i="2"/>
  <c r="B4184" i="2"/>
  <c r="N4183" i="2"/>
  <c r="K4183" i="2"/>
  <c r="H4183" i="2"/>
  <c r="G4183" i="2"/>
  <c r="F4183" i="2"/>
  <c r="E4183" i="2"/>
  <c r="C4183" i="2"/>
  <c r="B4183" i="2"/>
  <c r="N4182" i="2"/>
  <c r="K4182" i="2"/>
  <c r="H4182" i="2"/>
  <c r="G4182" i="2"/>
  <c r="F4182" i="2"/>
  <c r="E4182" i="2"/>
  <c r="C4182" i="2"/>
  <c r="B4182" i="2"/>
  <c r="N4181" i="2"/>
  <c r="K4181" i="2"/>
  <c r="H4181" i="2"/>
  <c r="G4181" i="2"/>
  <c r="F4181" i="2"/>
  <c r="E4181" i="2"/>
  <c r="C4181" i="2"/>
  <c r="B4181" i="2"/>
  <c r="N4180" i="2"/>
  <c r="K4180" i="2"/>
  <c r="H4180" i="2"/>
  <c r="G4180" i="2"/>
  <c r="F4180" i="2"/>
  <c r="E4180" i="2"/>
  <c r="C4180" i="2"/>
  <c r="B4180" i="2"/>
  <c r="N4179" i="2"/>
  <c r="K4179" i="2"/>
  <c r="H4179" i="2"/>
  <c r="G4179" i="2"/>
  <c r="F4179" i="2"/>
  <c r="E4179" i="2"/>
  <c r="C4179" i="2"/>
  <c r="B4179" i="2"/>
  <c r="N4178" i="2"/>
  <c r="K4178" i="2"/>
  <c r="H4178" i="2"/>
  <c r="G4178" i="2"/>
  <c r="F4178" i="2"/>
  <c r="E4178" i="2"/>
  <c r="C4178" i="2"/>
  <c r="B4178" i="2"/>
  <c r="N4177" i="2"/>
  <c r="K4177" i="2"/>
  <c r="H4177" i="2"/>
  <c r="G4177" i="2"/>
  <c r="F4177" i="2"/>
  <c r="E4177" i="2"/>
  <c r="C4177" i="2"/>
  <c r="B4177" i="2"/>
  <c r="N4176" i="2"/>
  <c r="K4176" i="2"/>
  <c r="H4176" i="2"/>
  <c r="G4176" i="2"/>
  <c r="F4176" i="2"/>
  <c r="E4176" i="2"/>
  <c r="C4176" i="2"/>
  <c r="B4176" i="2"/>
  <c r="N4175" i="2"/>
  <c r="K4175" i="2"/>
  <c r="H4175" i="2"/>
  <c r="G4175" i="2"/>
  <c r="F4175" i="2"/>
  <c r="E4175" i="2"/>
  <c r="C4175" i="2"/>
  <c r="B4175" i="2"/>
  <c r="N4174" i="2"/>
  <c r="K4174" i="2"/>
  <c r="H4174" i="2"/>
  <c r="G4174" i="2"/>
  <c r="F4174" i="2"/>
  <c r="E4174" i="2"/>
  <c r="C4174" i="2"/>
  <c r="B4174" i="2"/>
  <c r="N4173" i="2"/>
  <c r="K4173" i="2"/>
  <c r="H4173" i="2"/>
  <c r="G4173" i="2"/>
  <c r="F4173" i="2"/>
  <c r="E4173" i="2"/>
  <c r="C4173" i="2"/>
  <c r="B4173" i="2"/>
  <c r="N4172" i="2"/>
  <c r="K4172" i="2"/>
  <c r="H4172" i="2"/>
  <c r="G4172" i="2"/>
  <c r="F4172" i="2"/>
  <c r="E4172" i="2"/>
  <c r="C4172" i="2"/>
  <c r="B4172" i="2"/>
  <c r="N4171" i="2"/>
  <c r="K4171" i="2"/>
  <c r="H4171" i="2"/>
  <c r="G4171" i="2"/>
  <c r="F4171" i="2"/>
  <c r="E4171" i="2"/>
  <c r="C4171" i="2"/>
  <c r="B4171" i="2"/>
  <c r="N4170" i="2"/>
  <c r="K4170" i="2"/>
  <c r="H4170" i="2"/>
  <c r="G4170" i="2"/>
  <c r="F4170" i="2"/>
  <c r="E4170" i="2"/>
  <c r="C4170" i="2"/>
  <c r="B4170" i="2"/>
  <c r="N4169" i="2"/>
  <c r="K4169" i="2"/>
  <c r="H4169" i="2"/>
  <c r="G4169" i="2"/>
  <c r="F4169" i="2"/>
  <c r="E4169" i="2"/>
  <c r="C4169" i="2"/>
  <c r="B4169" i="2"/>
  <c r="N4168" i="2"/>
  <c r="K4168" i="2"/>
  <c r="H4168" i="2"/>
  <c r="G4168" i="2"/>
  <c r="F4168" i="2"/>
  <c r="E4168" i="2"/>
  <c r="C4168" i="2"/>
  <c r="B4168" i="2"/>
  <c r="N4167" i="2"/>
  <c r="K4167" i="2"/>
  <c r="H4167" i="2"/>
  <c r="G4167" i="2"/>
  <c r="F4167" i="2"/>
  <c r="E4167" i="2"/>
  <c r="C4167" i="2"/>
  <c r="B4167" i="2"/>
  <c r="N4166" i="2"/>
  <c r="K4166" i="2"/>
  <c r="H4166" i="2"/>
  <c r="G4166" i="2"/>
  <c r="F4166" i="2"/>
  <c r="E4166" i="2"/>
  <c r="C4166" i="2"/>
  <c r="B4166" i="2"/>
  <c r="N4165" i="2"/>
  <c r="K4165" i="2"/>
  <c r="H4165" i="2"/>
  <c r="G4165" i="2"/>
  <c r="F4165" i="2"/>
  <c r="E4165" i="2"/>
  <c r="C4165" i="2"/>
  <c r="B4165" i="2"/>
  <c r="N4164" i="2"/>
  <c r="K4164" i="2"/>
  <c r="H4164" i="2"/>
  <c r="G4164" i="2"/>
  <c r="F4164" i="2"/>
  <c r="E4164" i="2"/>
  <c r="C4164" i="2"/>
  <c r="B4164" i="2"/>
  <c r="N4163" i="2"/>
  <c r="K4163" i="2"/>
  <c r="H4163" i="2"/>
  <c r="G4163" i="2"/>
  <c r="F4163" i="2"/>
  <c r="E4163" i="2"/>
  <c r="C4163" i="2"/>
  <c r="B4163" i="2"/>
  <c r="N4162" i="2"/>
  <c r="K4162" i="2"/>
  <c r="H4162" i="2"/>
  <c r="G4162" i="2"/>
  <c r="F4162" i="2"/>
  <c r="E4162" i="2"/>
  <c r="C4162" i="2"/>
  <c r="B4162" i="2"/>
  <c r="N4161" i="2"/>
  <c r="K4161" i="2"/>
  <c r="H4161" i="2"/>
  <c r="G4161" i="2"/>
  <c r="F4161" i="2"/>
  <c r="E4161" i="2"/>
  <c r="C4161" i="2"/>
  <c r="B4161" i="2"/>
  <c r="N4160" i="2"/>
  <c r="K4160" i="2"/>
  <c r="H4160" i="2"/>
  <c r="G4160" i="2"/>
  <c r="F4160" i="2"/>
  <c r="E4160" i="2"/>
  <c r="C4160" i="2"/>
  <c r="B4160" i="2"/>
  <c r="N4159" i="2"/>
  <c r="K4159" i="2"/>
  <c r="H4159" i="2"/>
  <c r="G4159" i="2"/>
  <c r="F4159" i="2"/>
  <c r="E4159" i="2"/>
  <c r="C4159" i="2"/>
  <c r="B4159" i="2"/>
  <c r="N4158" i="2"/>
  <c r="K4158" i="2"/>
  <c r="H4158" i="2"/>
  <c r="G4158" i="2"/>
  <c r="F4158" i="2"/>
  <c r="E4158" i="2"/>
  <c r="C4158" i="2"/>
  <c r="B4158" i="2"/>
  <c r="N4157" i="2"/>
  <c r="K4157" i="2"/>
  <c r="H4157" i="2"/>
  <c r="G4157" i="2"/>
  <c r="F4157" i="2"/>
  <c r="E4157" i="2"/>
  <c r="C4157" i="2"/>
  <c r="B4157" i="2"/>
  <c r="N4156" i="2"/>
  <c r="K4156" i="2"/>
  <c r="H4156" i="2"/>
  <c r="G4156" i="2"/>
  <c r="F4156" i="2"/>
  <c r="E4156" i="2"/>
  <c r="C4156" i="2"/>
  <c r="B4156" i="2"/>
  <c r="N4155" i="2"/>
  <c r="K4155" i="2"/>
  <c r="H4155" i="2"/>
  <c r="G4155" i="2"/>
  <c r="F4155" i="2"/>
  <c r="E4155" i="2"/>
  <c r="C4155" i="2"/>
  <c r="B4155" i="2"/>
  <c r="N4154" i="2"/>
  <c r="K4154" i="2"/>
  <c r="H4154" i="2"/>
  <c r="G4154" i="2"/>
  <c r="F4154" i="2"/>
  <c r="E4154" i="2"/>
  <c r="C4154" i="2"/>
  <c r="B4154" i="2"/>
  <c r="N4153" i="2"/>
  <c r="K4153" i="2"/>
  <c r="H4153" i="2"/>
  <c r="G4153" i="2"/>
  <c r="F4153" i="2"/>
  <c r="E4153" i="2"/>
  <c r="C4153" i="2"/>
  <c r="B4153" i="2"/>
  <c r="N4152" i="2"/>
  <c r="K4152" i="2"/>
  <c r="H4152" i="2"/>
  <c r="G4152" i="2"/>
  <c r="F4152" i="2"/>
  <c r="E4152" i="2"/>
  <c r="C4152" i="2"/>
  <c r="B4152" i="2"/>
  <c r="N4151" i="2"/>
  <c r="K4151" i="2"/>
  <c r="H4151" i="2"/>
  <c r="G4151" i="2"/>
  <c r="F4151" i="2"/>
  <c r="E4151" i="2"/>
  <c r="C4151" i="2"/>
  <c r="B4151" i="2"/>
  <c r="N4150" i="2"/>
  <c r="K4150" i="2"/>
  <c r="H4150" i="2"/>
  <c r="G4150" i="2"/>
  <c r="F4150" i="2"/>
  <c r="E4150" i="2"/>
  <c r="C4150" i="2"/>
  <c r="B4150" i="2"/>
  <c r="N4149" i="2"/>
  <c r="K4149" i="2"/>
  <c r="H4149" i="2"/>
  <c r="G4149" i="2"/>
  <c r="F4149" i="2"/>
  <c r="E4149" i="2"/>
  <c r="C4149" i="2"/>
  <c r="B4149" i="2"/>
  <c r="N4148" i="2"/>
  <c r="K4148" i="2"/>
  <c r="H4148" i="2"/>
  <c r="G4148" i="2"/>
  <c r="F4148" i="2"/>
  <c r="E4148" i="2"/>
  <c r="C4148" i="2"/>
  <c r="B4148" i="2"/>
  <c r="N4147" i="2"/>
  <c r="K4147" i="2"/>
  <c r="H4147" i="2"/>
  <c r="G4147" i="2"/>
  <c r="F4147" i="2"/>
  <c r="E4147" i="2"/>
  <c r="C4147" i="2"/>
  <c r="B4147" i="2"/>
  <c r="N4146" i="2"/>
  <c r="K4146" i="2"/>
  <c r="H4146" i="2"/>
  <c r="G4146" i="2"/>
  <c r="F4146" i="2"/>
  <c r="E4146" i="2"/>
  <c r="C4146" i="2"/>
  <c r="B4146" i="2"/>
  <c r="N4145" i="2"/>
  <c r="K4145" i="2"/>
  <c r="H4145" i="2"/>
  <c r="G4145" i="2"/>
  <c r="F4145" i="2"/>
  <c r="E4145" i="2"/>
  <c r="C4145" i="2"/>
  <c r="B4145" i="2"/>
  <c r="N4144" i="2"/>
  <c r="K4144" i="2"/>
  <c r="H4144" i="2"/>
  <c r="G4144" i="2"/>
  <c r="F4144" i="2"/>
  <c r="E4144" i="2"/>
  <c r="C4144" i="2"/>
  <c r="B4144" i="2"/>
  <c r="N4143" i="2"/>
  <c r="K4143" i="2"/>
  <c r="H4143" i="2"/>
  <c r="G4143" i="2"/>
  <c r="F4143" i="2"/>
  <c r="E4143" i="2"/>
  <c r="C4143" i="2"/>
  <c r="B4143" i="2"/>
  <c r="N4142" i="2"/>
  <c r="K4142" i="2"/>
  <c r="H4142" i="2"/>
  <c r="G4142" i="2"/>
  <c r="F4142" i="2"/>
  <c r="E4142" i="2"/>
  <c r="C4142" i="2"/>
  <c r="B4142" i="2"/>
  <c r="N4141" i="2"/>
  <c r="K4141" i="2"/>
  <c r="H4141" i="2"/>
  <c r="G4141" i="2"/>
  <c r="F4141" i="2"/>
  <c r="E4141" i="2"/>
  <c r="C4141" i="2"/>
  <c r="B4141" i="2"/>
  <c r="N4140" i="2"/>
  <c r="K4140" i="2"/>
  <c r="H4140" i="2"/>
  <c r="G4140" i="2"/>
  <c r="F4140" i="2"/>
  <c r="E4140" i="2"/>
  <c r="C4140" i="2"/>
  <c r="B4140" i="2"/>
  <c r="N4139" i="2"/>
  <c r="K4139" i="2"/>
  <c r="H4139" i="2"/>
  <c r="G4139" i="2"/>
  <c r="F4139" i="2"/>
  <c r="E4139" i="2"/>
  <c r="C4139" i="2"/>
  <c r="B4139" i="2"/>
  <c r="N4138" i="2"/>
  <c r="K4138" i="2"/>
  <c r="H4138" i="2"/>
  <c r="G4138" i="2"/>
  <c r="F4138" i="2"/>
  <c r="E4138" i="2"/>
  <c r="C4138" i="2"/>
  <c r="B4138" i="2"/>
  <c r="N4137" i="2"/>
  <c r="K4137" i="2"/>
  <c r="H4137" i="2"/>
  <c r="G4137" i="2"/>
  <c r="F4137" i="2"/>
  <c r="E4137" i="2"/>
  <c r="C4137" i="2"/>
  <c r="B4137" i="2"/>
  <c r="N4136" i="2"/>
  <c r="K4136" i="2"/>
  <c r="H4136" i="2"/>
  <c r="G4136" i="2"/>
  <c r="F4136" i="2"/>
  <c r="E4136" i="2"/>
  <c r="C4136" i="2"/>
  <c r="B4136" i="2"/>
  <c r="N4135" i="2"/>
  <c r="K4135" i="2"/>
  <c r="H4135" i="2"/>
  <c r="G4135" i="2"/>
  <c r="F4135" i="2"/>
  <c r="E4135" i="2"/>
  <c r="C4135" i="2"/>
  <c r="B4135" i="2"/>
  <c r="N4134" i="2"/>
  <c r="K4134" i="2"/>
  <c r="H4134" i="2"/>
  <c r="G4134" i="2"/>
  <c r="F4134" i="2"/>
  <c r="E4134" i="2"/>
  <c r="C4134" i="2"/>
  <c r="B4134" i="2"/>
  <c r="N4133" i="2"/>
  <c r="K4133" i="2"/>
  <c r="H4133" i="2"/>
  <c r="G4133" i="2"/>
  <c r="F4133" i="2"/>
  <c r="E4133" i="2"/>
  <c r="C4133" i="2"/>
  <c r="B4133" i="2"/>
  <c r="N4132" i="2"/>
  <c r="K4132" i="2"/>
  <c r="H4132" i="2"/>
  <c r="G4132" i="2"/>
  <c r="F4132" i="2"/>
  <c r="E4132" i="2"/>
  <c r="C4132" i="2"/>
  <c r="B4132" i="2"/>
  <c r="N4131" i="2"/>
  <c r="K4131" i="2"/>
  <c r="H4131" i="2"/>
  <c r="G4131" i="2"/>
  <c r="F4131" i="2"/>
  <c r="E4131" i="2"/>
  <c r="C4131" i="2"/>
  <c r="B4131" i="2"/>
  <c r="N4130" i="2"/>
  <c r="K4130" i="2"/>
  <c r="H4130" i="2"/>
  <c r="G4130" i="2"/>
  <c r="F4130" i="2"/>
  <c r="E4130" i="2"/>
  <c r="C4130" i="2"/>
  <c r="B4130" i="2"/>
  <c r="N4129" i="2"/>
  <c r="K4129" i="2"/>
  <c r="H4129" i="2"/>
  <c r="G4129" i="2"/>
  <c r="F4129" i="2"/>
  <c r="E4129" i="2"/>
  <c r="C4129" i="2"/>
  <c r="B4129" i="2"/>
  <c r="N4128" i="2"/>
  <c r="K4128" i="2"/>
  <c r="H4128" i="2"/>
  <c r="G4128" i="2"/>
  <c r="F4128" i="2"/>
  <c r="E4128" i="2"/>
  <c r="C4128" i="2"/>
  <c r="B4128" i="2"/>
  <c r="N4127" i="2"/>
  <c r="K4127" i="2"/>
  <c r="H4127" i="2"/>
  <c r="G4127" i="2"/>
  <c r="F4127" i="2"/>
  <c r="E4127" i="2"/>
  <c r="C4127" i="2"/>
  <c r="B4127" i="2"/>
  <c r="N4126" i="2"/>
  <c r="K4126" i="2"/>
  <c r="H4126" i="2"/>
  <c r="G4126" i="2"/>
  <c r="F4126" i="2"/>
  <c r="E4126" i="2"/>
  <c r="C4126" i="2"/>
  <c r="B4126" i="2"/>
  <c r="N4125" i="2"/>
  <c r="K4125" i="2"/>
  <c r="H4125" i="2"/>
  <c r="G4125" i="2"/>
  <c r="F4125" i="2"/>
  <c r="E4125" i="2"/>
  <c r="C4125" i="2"/>
  <c r="B4125" i="2"/>
  <c r="N4124" i="2"/>
  <c r="K4124" i="2"/>
  <c r="H4124" i="2"/>
  <c r="G4124" i="2"/>
  <c r="F4124" i="2"/>
  <c r="E4124" i="2"/>
  <c r="C4124" i="2"/>
  <c r="B4124" i="2"/>
  <c r="N4123" i="2"/>
  <c r="K4123" i="2"/>
  <c r="H4123" i="2"/>
  <c r="G4123" i="2"/>
  <c r="F4123" i="2"/>
  <c r="E4123" i="2"/>
  <c r="C4123" i="2"/>
  <c r="B4123" i="2"/>
  <c r="N4122" i="2"/>
  <c r="K4122" i="2"/>
  <c r="H4122" i="2"/>
  <c r="G4122" i="2"/>
  <c r="F4122" i="2"/>
  <c r="E4122" i="2"/>
  <c r="C4122" i="2"/>
  <c r="B4122" i="2"/>
  <c r="N4121" i="2"/>
  <c r="K4121" i="2"/>
  <c r="H4121" i="2"/>
  <c r="G4121" i="2"/>
  <c r="F4121" i="2"/>
  <c r="E4121" i="2"/>
  <c r="C4121" i="2"/>
  <c r="B4121" i="2"/>
  <c r="N4120" i="2"/>
  <c r="K4120" i="2"/>
  <c r="H4120" i="2"/>
  <c r="G4120" i="2"/>
  <c r="F4120" i="2"/>
  <c r="E4120" i="2"/>
  <c r="C4120" i="2"/>
  <c r="B4120" i="2"/>
  <c r="N4119" i="2"/>
  <c r="K4119" i="2"/>
  <c r="H4119" i="2"/>
  <c r="G4119" i="2"/>
  <c r="F4119" i="2"/>
  <c r="E4119" i="2"/>
  <c r="C4119" i="2"/>
  <c r="B4119" i="2"/>
  <c r="N4118" i="2"/>
  <c r="K4118" i="2"/>
  <c r="H4118" i="2"/>
  <c r="G4118" i="2"/>
  <c r="F4118" i="2"/>
  <c r="E4118" i="2"/>
  <c r="C4118" i="2"/>
  <c r="B4118" i="2"/>
  <c r="N4117" i="2"/>
  <c r="K4117" i="2"/>
  <c r="H4117" i="2"/>
  <c r="G4117" i="2"/>
  <c r="F4117" i="2"/>
  <c r="E4117" i="2"/>
  <c r="C4117" i="2"/>
  <c r="B4117" i="2"/>
  <c r="N4116" i="2"/>
  <c r="K4116" i="2"/>
  <c r="H4116" i="2"/>
  <c r="G4116" i="2"/>
  <c r="F4116" i="2"/>
  <c r="E4116" i="2"/>
  <c r="C4116" i="2"/>
  <c r="B4116" i="2"/>
  <c r="N4115" i="2"/>
  <c r="K4115" i="2"/>
  <c r="H4115" i="2"/>
  <c r="G4115" i="2"/>
  <c r="F4115" i="2"/>
  <c r="E4115" i="2"/>
  <c r="C4115" i="2"/>
  <c r="B4115" i="2"/>
  <c r="N4114" i="2"/>
  <c r="K4114" i="2"/>
  <c r="H4114" i="2"/>
  <c r="G4114" i="2"/>
  <c r="F4114" i="2"/>
  <c r="E4114" i="2"/>
  <c r="C4114" i="2"/>
  <c r="B4114" i="2"/>
  <c r="N4113" i="2"/>
  <c r="K4113" i="2"/>
  <c r="H4113" i="2"/>
  <c r="G4113" i="2"/>
  <c r="F4113" i="2"/>
  <c r="E4113" i="2"/>
  <c r="C4113" i="2"/>
  <c r="B4113" i="2"/>
  <c r="N4112" i="2"/>
  <c r="K4112" i="2"/>
  <c r="H4112" i="2"/>
  <c r="G4112" i="2"/>
  <c r="F4112" i="2"/>
  <c r="E4112" i="2"/>
  <c r="C4112" i="2"/>
  <c r="B4112" i="2"/>
  <c r="N4111" i="2"/>
  <c r="K4111" i="2"/>
  <c r="H4111" i="2"/>
  <c r="G4111" i="2"/>
  <c r="F4111" i="2"/>
  <c r="E4111" i="2"/>
  <c r="C4111" i="2"/>
  <c r="B4111" i="2"/>
  <c r="N4110" i="2"/>
  <c r="K4110" i="2"/>
  <c r="H4110" i="2"/>
  <c r="G4110" i="2"/>
  <c r="F4110" i="2"/>
  <c r="E4110" i="2"/>
  <c r="C4110" i="2"/>
  <c r="B4110" i="2"/>
  <c r="N4109" i="2"/>
  <c r="K4109" i="2"/>
  <c r="H4109" i="2"/>
  <c r="G4109" i="2"/>
  <c r="F4109" i="2"/>
  <c r="E4109" i="2"/>
  <c r="C4109" i="2"/>
  <c r="B4109" i="2"/>
  <c r="N4108" i="2"/>
  <c r="K4108" i="2"/>
  <c r="H4108" i="2"/>
  <c r="G4108" i="2"/>
  <c r="F4108" i="2"/>
  <c r="E4108" i="2"/>
  <c r="C4108" i="2"/>
  <c r="B4108" i="2"/>
  <c r="N4107" i="2"/>
  <c r="K4107" i="2"/>
  <c r="H4107" i="2"/>
  <c r="G4107" i="2"/>
  <c r="F4107" i="2"/>
  <c r="E4107" i="2"/>
  <c r="C4107" i="2"/>
  <c r="B4107" i="2"/>
  <c r="N4106" i="2"/>
  <c r="K4106" i="2"/>
  <c r="H4106" i="2"/>
  <c r="G4106" i="2"/>
  <c r="F4106" i="2"/>
  <c r="E4106" i="2"/>
  <c r="C4106" i="2"/>
  <c r="B4106" i="2"/>
  <c r="N4105" i="2"/>
  <c r="K4105" i="2"/>
  <c r="H4105" i="2"/>
  <c r="G4105" i="2"/>
  <c r="F4105" i="2"/>
  <c r="E4105" i="2"/>
  <c r="C4105" i="2"/>
  <c r="B4105" i="2"/>
  <c r="N4104" i="2"/>
  <c r="K4104" i="2"/>
  <c r="H4104" i="2"/>
  <c r="G4104" i="2"/>
  <c r="F4104" i="2"/>
  <c r="E4104" i="2"/>
  <c r="C4104" i="2"/>
  <c r="B4104" i="2"/>
  <c r="N4103" i="2"/>
  <c r="K4103" i="2"/>
  <c r="H4103" i="2"/>
  <c r="G4103" i="2"/>
  <c r="F4103" i="2"/>
  <c r="E4103" i="2"/>
  <c r="C4103" i="2"/>
  <c r="B4103" i="2"/>
  <c r="N4102" i="2"/>
  <c r="K4102" i="2"/>
  <c r="H4102" i="2"/>
  <c r="G4102" i="2"/>
  <c r="F4102" i="2"/>
  <c r="E4102" i="2"/>
  <c r="C4102" i="2"/>
  <c r="B4102" i="2"/>
  <c r="N4101" i="2"/>
  <c r="K4101" i="2"/>
  <c r="H4101" i="2"/>
  <c r="G4101" i="2"/>
  <c r="F4101" i="2"/>
  <c r="E4101" i="2"/>
  <c r="C4101" i="2"/>
  <c r="B4101" i="2"/>
  <c r="N4100" i="2"/>
  <c r="K4100" i="2"/>
  <c r="H4100" i="2"/>
  <c r="G4100" i="2"/>
  <c r="F4100" i="2"/>
  <c r="E4100" i="2"/>
  <c r="C4100" i="2"/>
  <c r="B4100" i="2"/>
  <c r="N4099" i="2"/>
  <c r="K4099" i="2"/>
  <c r="H4099" i="2"/>
  <c r="G4099" i="2"/>
  <c r="F4099" i="2"/>
  <c r="E4099" i="2"/>
  <c r="C4099" i="2"/>
  <c r="B4099" i="2"/>
  <c r="N4098" i="2"/>
  <c r="K4098" i="2"/>
  <c r="H4098" i="2"/>
  <c r="G4098" i="2"/>
  <c r="F4098" i="2"/>
  <c r="E4098" i="2"/>
  <c r="C4098" i="2"/>
  <c r="B4098" i="2"/>
  <c r="N4097" i="2"/>
  <c r="K4097" i="2"/>
  <c r="H4097" i="2"/>
  <c r="G4097" i="2"/>
  <c r="F4097" i="2"/>
  <c r="E4097" i="2"/>
  <c r="C4097" i="2"/>
  <c r="B4097" i="2"/>
  <c r="N4096" i="2"/>
  <c r="K4096" i="2"/>
  <c r="H4096" i="2"/>
  <c r="G4096" i="2"/>
  <c r="F4096" i="2"/>
  <c r="E4096" i="2"/>
  <c r="C4096" i="2"/>
  <c r="B4096" i="2"/>
  <c r="N4095" i="2"/>
  <c r="K4095" i="2"/>
  <c r="H4095" i="2"/>
  <c r="G4095" i="2"/>
  <c r="F4095" i="2"/>
  <c r="E4095" i="2"/>
  <c r="C4095" i="2"/>
  <c r="B4095" i="2"/>
  <c r="N4094" i="2"/>
  <c r="K4094" i="2"/>
  <c r="H4094" i="2"/>
  <c r="G4094" i="2"/>
  <c r="F4094" i="2"/>
  <c r="E4094" i="2"/>
  <c r="C4094" i="2"/>
  <c r="B4094" i="2"/>
  <c r="N4093" i="2"/>
  <c r="K4093" i="2"/>
  <c r="H4093" i="2"/>
  <c r="G4093" i="2"/>
  <c r="F4093" i="2"/>
  <c r="E4093" i="2"/>
  <c r="C4093" i="2"/>
  <c r="B4093" i="2"/>
  <c r="N4092" i="2"/>
  <c r="K4092" i="2"/>
  <c r="H4092" i="2"/>
  <c r="G4092" i="2"/>
  <c r="F4092" i="2"/>
  <c r="E4092" i="2"/>
  <c r="C4092" i="2"/>
  <c r="B4092" i="2"/>
  <c r="N4091" i="2"/>
  <c r="K4091" i="2"/>
  <c r="H4091" i="2"/>
  <c r="G4091" i="2"/>
  <c r="F4091" i="2"/>
  <c r="E4091" i="2"/>
  <c r="C4091" i="2"/>
  <c r="B4091" i="2"/>
  <c r="N4090" i="2"/>
  <c r="K4090" i="2"/>
  <c r="H4090" i="2"/>
  <c r="G4090" i="2"/>
  <c r="F4090" i="2"/>
  <c r="E4090" i="2"/>
  <c r="C4090" i="2"/>
  <c r="B4090" i="2"/>
  <c r="N4089" i="2"/>
  <c r="K4089" i="2"/>
  <c r="H4089" i="2"/>
  <c r="G4089" i="2"/>
  <c r="F4089" i="2"/>
  <c r="E4089" i="2"/>
  <c r="C4089" i="2"/>
  <c r="B4089" i="2"/>
  <c r="N4088" i="2"/>
  <c r="K4088" i="2"/>
  <c r="H4088" i="2"/>
  <c r="G4088" i="2"/>
  <c r="F4088" i="2"/>
  <c r="E4088" i="2"/>
  <c r="C4088" i="2"/>
  <c r="B4088" i="2"/>
  <c r="N4087" i="2"/>
  <c r="K4087" i="2"/>
  <c r="H4087" i="2"/>
  <c r="G4087" i="2"/>
  <c r="F4087" i="2"/>
  <c r="E4087" i="2"/>
  <c r="C4087" i="2"/>
  <c r="B4087" i="2"/>
  <c r="N4086" i="2"/>
  <c r="K4086" i="2"/>
  <c r="H4086" i="2"/>
  <c r="G4086" i="2"/>
  <c r="F4086" i="2"/>
  <c r="E4086" i="2"/>
  <c r="C4086" i="2"/>
  <c r="B4086" i="2"/>
  <c r="N4085" i="2"/>
  <c r="K4085" i="2"/>
  <c r="H4085" i="2"/>
  <c r="G4085" i="2"/>
  <c r="F4085" i="2"/>
  <c r="E4085" i="2"/>
  <c r="C4085" i="2"/>
  <c r="B4085" i="2"/>
  <c r="N4084" i="2"/>
  <c r="K4084" i="2"/>
  <c r="H4084" i="2"/>
  <c r="G4084" i="2"/>
  <c r="F4084" i="2"/>
  <c r="E4084" i="2"/>
  <c r="C4084" i="2"/>
  <c r="B4084" i="2"/>
  <c r="N4083" i="2"/>
  <c r="K4083" i="2"/>
  <c r="H4083" i="2"/>
  <c r="G4083" i="2"/>
  <c r="F4083" i="2"/>
  <c r="E4083" i="2"/>
  <c r="C4083" i="2"/>
  <c r="B4083" i="2"/>
  <c r="N4082" i="2"/>
  <c r="K4082" i="2"/>
  <c r="H4082" i="2"/>
  <c r="G4082" i="2"/>
  <c r="F4082" i="2"/>
  <c r="E4082" i="2"/>
  <c r="C4082" i="2"/>
  <c r="B4082" i="2"/>
  <c r="N4081" i="2"/>
  <c r="K4081" i="2"/>
  <c r="H4081" i="2"/>
  <c r="G4081" i="2"/>
  <c r="F4081" i="2"/>
  <c r="E4081" i="2"/>
  <c r="C4081" i="2"/>
  <c r="B4081" i="2"/>
  <c r="N4080" i="2"/>
  <c r="K4080" i="2"/>
  <c r="H4080" i="2"/>
  <c r="G4080" i="2"/>
  <c r="F4080" i="2"/>
  <c r="E4080" i="2"/>
  <c r="C4080" i="2"/>
  <c r="B4080" i="2"/>
  <c r="N4079" i="2"/>
  <c r="K4079" i="2"/>
  <c r="H4079" i="2"/>
  <c r="G4079" i="2"/>
  <c r="F4079" i="2"/>
  <c r="E4079" i="2"/>
  <c r="C4079" i="2"/>
  <c r="B4079" i="2"/>
  <c r="N4078" i="2"/>
  <c r="K4078" i="2"/>
  <c r="H4078" i="2"/>
  <c r="G4078" i="2"/>
  <c r="F4078" i="2"/>
  <c r="E4078" i="2"/>
  <c r="C4078" i="2"/>
  <c r="B4078" i="2"/>
  <c r="N4077" i="2"/>
  <c r="K4077" i="2"/>
  <c r="H4077" i="2"/>
  <c r="G4077" i="2"/>
  <c r="F4077" i="2"/>
  <c r="E4077" i="2"/>
  <c r="C4077" i="2"/>
  <c r="B4077" i="2"/>
  <c r="N4076" i="2"/>
  <c r="K4076" i="2"/>
  <c r="H4076" i="2"/>
  <c r="G4076" i="2"/>
  <c r="F4076" i="2"/>
  <c r="E4076" i="2"/>
  <c r="C4076" i="2"/>
  <c r="B4076" i="2"/>
  <c r="N4075" i="2"/>
  <c r="K4075" i="2"/>
  <c r="H4075" i="2"/>
  <c r="G4075" i="2"/>
  <c r="F4075" i="2"/>
  <c r="E4075" i="2"/>
  <c r="C4075" i="2"/>
  <c r="B4075" i="2"/>
  <c r="N4074" i="2"/>
  <c r="K4074" i="2"/>
  <c r="H4074" i="2"/>
  <c r="G4074" i="2"/>
  <c r="F4074" i="2"/>
  <c r="E4074" i="2"/>
  <c r="C4074" i="2"/>
  <c r="B4074" i="2"/>
  <c r="N4073" i="2"/>
  <c r="K4073" i="2"/>
  <c r="H4073" i="2"/>
  <c r="G4073" i="2"/>
  <c r="F4073" i="2"/>
  <c r="E4073" i="2"/>
  <c r="C4073" i="2"/>
  <c r="B4073" i="2"/>
  <c r="N4072" i="2"/>
  <c r="K4072" i="2"/>
  <c r="H4072" i="2"/>
  <c r="G4072" i="2"/>
  <c r="F4072" i="2"/>
  <c r="E4072" i="2"/>
  <c r="C4072" i="2"/>
  <c r="B4072" i="2"/>
  <c r="N4071" i="2"/>
  <c r="K4071" i="2"/>
  <c r="H4071" i="2"/>
  <c r="G4071" i="2"/>
  <c r="F4071" i="2"/>
  <c r="E4071" i="2"/>
  <c r="C4071" i="2"/>
  <c r="B4071" i="2"/>
  <c r="N4070" i="2"/>
  <c r="K4070" i="2"/>
  <c r="H4070" i="2"/>
  <c r="G4070" i="2"/>
  <c r="F4070" i="2"/>
  <c r="E4070" i="2"/>
  <c r="C4070" i="2"/>
  <c r="B4070" i="2"/>
  <c r="N4069" i="2"/>
  <c r="K4069" i="2"/>
  <c r="H4069" i="2"/>
  <c r="G4069" i="2"/>
  <c r="F4069" i="2"/>
  <c r="E4069" i="2"/>
  <c r="C4069" i="2"/>
  <c r="B4069" i="2"/>
  <c r="N4068" i="2"/>
  <c r="K4068" i="2"/>
  <c r="H4068" i="2"/>
  <c r="G4068" i="2"/>
  <c r="F4068" i="2"/>
  <c r="E4068" i="2"/>
  <c r="C4068" i="2"/>
  <c r="B4068" i="2"/>
  <c r="N4067" i="2"/>
  <c r="K4067" i="2"/>
  <c r="H4067" i="2"/>
  <c r="G4067" i="2"/>
  <c r="F4067" i="2"/>
  <c r="E4067" i="2"/>
  <c r="C4067" i="2"/>
  <c r="B4067" i="2"/>
  <c r="N4066" i="2"/>
  <c r="K4066" i="2"/>
  <c r="H4066" i="2"/>
  <c r="G4066" i="2"/>
  <c r="F4066" i="2"/>
  <c r="E4066" i="2"/>
  <c r="C4066" i="2"/>
  <c r="B4066" i="2"/>
  <c r="N4065" i="2"/>
  <c r="K4065" i="2"/>
  <c r="H4065" i="2"/>
  <c r="G4065" i="2"/>
  <c r="F4065" i="2"/>
  <c r="E4065" i="2"/>
  <c r="C4065" i="2"/>
  <c r="B4065" i="2"/>
  <c r="N4064" i="2"/>
  <c r="K4064" i="2"/>
  <c r="H4064" i="2"/>
  <c r="G4064" i="2"/>
  <c r="F4064" i="2"/>
  <c r="E4064" i="2"/>
  <c r="C4064" i="2"/>
  <c r="B4064" i="2"/>
  <c r="N4063" i="2"/>
  <c r="K4063" i="2"/>
  <c r="H4063" i="2"/>
  <c r="G4063" i="2"/>
  <c r="F4063" i="2"/>
  <c r="E4063" i="2"/>
  <c r="C4063" i="2"/>
  <c r="B4063" i="2"/>
  <c r="N4062" i="2"/>
  <c r="K4062" i="2"/>
  <c r="H4062" i="2"/>
  <c r="G4062" i="2"/>
  <c r="F4062" i="2"/>
  <c r="E4062" i="2"/>
  <c r="C4062" i="2"/>
  <c r="B4062" i="2"/>
  <c r="N4061" i="2"/>
  <c r="K4061" i="2"/>
  <c r="H4061" i="2"/>
  <c r="G4061" i="2"/>
  <c r="F4061" i="2"/>
  <c r="E4061" i="2"/>
  <c r="C4061" i="2"/>
  <c r="B4061" i="2"/>
  <c r="N4060" i="2"/>
  <c r="K4060" i="2"/>
  <c r="H4060" i="2"/>
  <c r="G4060" i="2"/>
  <c r="F4060" i="2"/>
  <c r="E4060" i="2"/>
  <c r="C4060" i="2"/>
  <c r="B4060" i="2"/>
  <c r="N4059" i="2"/>
  <c r="K4059" i="2"/>
  <c r="H4059" i="2"/>
  <c r="G4059" i="2"/>
  <c r="F4059" i="2"/>
  <c r="E4059" i="2"/>
  <c r="C4059" i="2"/>
  <c r="B4059" i="2"/>
  <c r="N4058" i="2"/>
  <c r="K4058" i="2"/>
  <c r="H4058" i="2"/>
  <c r="G4058" i="2"/>
  <c r="F4058" i="2"/>
  <c r="E4058" i="2"/>
  <c r="C4058" i="2"/>
  <c r="B4058" i="2"/>
  <c r="N4057" i="2"/>
  <c r="K4057" i="2"/>
  <c r="H4057" i="2"/>
  <c r="G4057" i="2"/>
  <c r="F4057" i="2"/>
  <c r="E4057" i="2"/>
  <c r="C4057" i="2"/>
  <c r="B4057" i="2"/>
  <c r="N4056" i="2"/>
  <c r="K4056" i="2"/>
  <c r="H4056" i="2"/>
  <c r="G4056" i="2"/>
  <c r="F4056" i="2"/>
  <c r="E4056" i="2"/>
  <c r="C4056" i="2"/>
  <c r="B4056" i="2"/>
  <c r="N4055" i="2"/>
  <c r="K4055" i="2"/>
  <c r="H4055" i="2"/>
  <c r="G4055" i="2"/>
  <c r="F4055" i="2"/>
  <c r="E4055" i="2"/>
  <c r="C4055" i="2"/>
  <c r="B4055" i="2"/>
  <c r="N4054" i="2"/>
  <c r="K4054" i="2"/>
  <c r="H4054" i="2"/>
  <c r="G4054" i="2"/>
  <c r="F4054" i="2"/>
  <c r="E4054" i="2"/>
  <c r="C4054" i="2"/>
  <c r="B4054" i="2"/>
  <c r="N4053" i="2"/>
  <c r="K4053" i="2"/>
  <c r="H4053" i="2"/>
  <c r="G4053" i="2"/>
  <c r="F4053" i="2"/>
  <c r="E4053" i="2"/>
  <c r="C4053" i="2"/>
  <c r="B4053" i="2"/>
  <c r="N4052" i="2"/>
  <c r="K4052" i="2"/>
  <c r="H4052" i="2"/>
  <c r="G4052" i="2"/>
  <c r="F4052" i="2"/>
  <c r="E4052" i="2"/>
  <c r="C4052" i="2"/>
  <c r="B4052" i="2"/>
  <c r="N4051" i="2"/>
  <c r="K4051" i="2"/>
  <c r="H4051" i="2"/>
  <c r="G4051" i="2"/>
  <c r="F4051" i="2"/>
  <c r="E4051" i="2"/>
  <c r="C4051" i="2"/>
  <c r="B4051" i="2"/>
  <c r="N4050" i="2"/>
  <c r="K4050" i="2"/>
  <c r="H4050" i="2"/>
  <c r="G4050" i="2"/>
  <c r="F4050" i="2"/>
  <c r="E4050" i="2"/>
  <c r="C4050" i="2"/>
  <c r="B4050" i="2"/>
  <c r="N4049" i="2"/>
  <c r="K4049" i="2"/>
  <c r="H4049" i="2"/>
  <c r="G4049" i="2"/>
  <c r="F4049" i="2"/>
  <c r="E4049" i="2"/>
  <c r="C4049" i="2"/>
  <c r="B4049" i="2"/>
  <c r="N4048" i="2"/>
  <c r="K4048" i="2"/>
  <c r="H4048" i="2"/>
  <c r="G4048" i="2"/>
  <c r="F4048" i="2"/>
  <c r="E4048" i="2"/>
  <c r="C4048" i="2"/>
  <c r="B4048" i="2"/>
  <c r="N4047" i="2"/>
  <c r="K4047" i="2"/>
  <c r="H4047" i="2"/>
  <c r="G4047" i="2"/>
  <c r="F4047" i="2"/>
  <c r="E4047" i="2"/>
  <c r="C4047" i="2"/>
  <c r="B4047" i="2"/>
  <c r="N4046" i="2"/>
  <c r="K4046" i="2"/>
  <c r="H4046" i="2"/>
  <c r="G4046" i="2"/>
  <c r="F4046" i="2"/>
  <c r="E4046" i="2"/>
  <c r="C4046" i="2"/>
  <c r="B4046" i="2"/>
  <c r="N4045" i="2"/>
  <c r="K4045" i="2"/>
  <c r="H4045" i="2"/>
  <c r="G4045" i="2"/>
  <c r="F4045" i="2"/>
  <c r="E4045" i="2"/>
  <c r="C4045" i="2"/>
  <c r="B4045" i="2"/>
  <c r="N4044" i="2"/>
  <c r="K4044" i="2"/>
  <c r="H4044" i="2"/>
  <c r="G4044" i="2"/>
  <c r="F4044" i="2"/>
  <c r="E4044" i="2"/>
  <c r="C4044" i="2"/>
  <c r="B4044" i="2"/>
  <c r="N4043" i="2"/>
  <c r="K4043" i="2"/>
  <c r="H4043" i="2"/>
  <c r="G4043" i="2"/>
  <c r="F4043" i="2"/>
  <c r="E4043" i="2"/>
  <c r="C4043" i="2"/>
  <c r="B4043" i="2"/>
  <c r="N4042" i="2"/>
  <c r="K4042" i="2"/>
  <c r="H4042" i="2"/>
  <c r="G4042" i="2"/>
  <c r="F4042" i="2"/>
  <c r="E4042" i="2"/>
  <c r="C4042" i="2"/>
  <c r="B4042" i="2"/>
  <c r="N4041" i="2"/>
  <c r="K4041" i="2"/>
  <c r="H4041" i="2"/>
  <c r="G4041" i="2"/>
  <c r="F4041" i="2"/>
  <c r="E4041" i="2"/>
  <c r="C4041" i="2"/>
  <c r="B4041" i="2"/>
  <c r="N4040" i="2"/>
  <c r="K4040" i="2"/>
  <c r="H4040" i="2"/>
  <c r="G4040" i="2"/>
  <c r="F4040" i="2"/>
  <c r="E4040" i="2"/>
  <c r="C4040" i="2"/>
  <c r="B4040" i="2"/>
  <c r="N4039" i="2"/>
  <c r="K4039" i="2"/>
  <c r="H4039" i="2"/>
  <c r="G4039" i="2"/>
  <c r="F4039" i="2"/>
  <c r="E4039" i="2"/>
  <c r="C4039" i="2"/>
  <c r="B4039" i="2"/>
  <c r="N4038" i="2"/>
  <c r="K4038" i="2"/>
  <c r="H4038" i="2"/>
  <c r="G4038" i="2"/>
  <c r="F4038" i="2"/>
  <c r="E4038" i="2"/>
  <c r="C4038" i="2"/>
  <c r="B4038" i="2"/>
  <c r="N4037" i="2"/>
  <c r="K4037" i="2"/>
  <c r="H4037" i="2"/>
  <c r="G4037" i="2"/>
  <c r="F4037" i="2"/>
  <c r="E4037" i="2"/>
  <c r="C4037" i="2"/>
  <c r="B4037" i="2"/>
  <c r="N4036" i="2"/>
  <c r="K4036" i="2"/>
  <c r="H4036" i="2"/>
  <c r="G4036" i="2"/>
  <c r="F4036" i="2"/>
  <c r="E4036" i="2"/>
  <c r="C4036" i="2"/>
  <c r="B4036" i="2"/>
  <c r="N4035" i="2"/>
  <c r="K4035" i="2"/>
  <c r="H4035" i="2"/>
  <c r="G4035" i="2"/>
  <c r="F4035" i="2"/>
  <c r="E4035" i="2"/>
  <c r="C4035" i="2"/>
  <c r="B4035" i="2"/>
  <c r="N4034" i="2"/>
  <c r="K4034" i="2"/>
  <c r="H4034" i="2"/>
  <c r="G4034" i="2"/>
  <c r="F4034" i="2"/>
  <c r="E4034" i="2"/>
  <c r="C4034" i="2"/>
  <c r="B4034" i="2"/>
  <c r="N4033" i="2"/>
  <c r="K4033" i="2"/>
  <c r="H4033" i="2"/>
  <c r="G4033" i="2"/>
  <c r="F4033" i="2"/>
  <c r="E4033" i="2"/>
  <c r="C4033" i="2"/>
  <c r="B4033" i="2"/>
  <c r="N4032" i="2"/>
  <c r="K4032" i="2"/>
  <c r="H4032" i="2"/>
  <c r="G4032" i="2"/>
  <c r="F4032" i="2"/>
  <c r="E4032" i="2"/>
  <c r="C4032" i="2"/>
  <c r="B4032" i="2"/>
  <c r="N4031" i="2"/>
  <c r="K4031" i="2"/>
  <c r="H4031" i="2"/>
  <c r="G4031" i="2"/>
  <c r="F4031" i="2"/>
  <c r="E4031" i="2"/>
  <c r="C4031" i="2"/>
  <c r="B4031" i="2"/>
  <c r="N4030" i="2"/>
  <c r="K4030" i="2"/>
  <c r="H4030" i="2"/>
  <c r="G4030" i="2"/>
  <c r="F4030" i="2"/>
  <c r="E4030" i="2"/>
  <c r="C4030" i="2"/>
  <c r="B4030" i="2"/>
  <c r="N4029" i="2"/>
  <c r="K4029" i="2"/>
  <c r="H4029" i="2"/>
  <c r="G4029" i="2"/>
  <c r="F4029" i="2"/>
  <c r="E4029" i="2"/>
  <c r="C4029" i="2"/>
  <c r="B4029" i="2"/>
  <c r="N4028" i="2"/>
  <c r="K4028" i="2"/>
  <c r="H4028" i="2"/>
  <c r="G4028" i="2"/>
  <c r="F4028" i="2"/>
  <c r="E4028" i="2"/>
  <c r="C4028" i="2"/>
  <c r="B4028" i="2"/>
  <c r="N4027" i="2"/>
  <c r="K4027" i="2"/>
  <c r="H4027" i="2"/>
  <c r="G4027" i="2"/>
  <c r="F4027" i="2"/>
  <c r="E4027" i="2"/>
  <c r="C4027" i="2"/>
  <c r="B4027" i="2"/>
  <c r="N4026" i="2"/>
  <c r="K4026" i="2"/>
  <c r="H4026" i="2"/>
  <c r="G4026" i="2"/>
  <c r="F4026" i="2"/>
  <c r="E4026" i="2"/>
  <c r="C4026" i="2"/>
  <c r="B4026" i="2"/>
  <c r="N4025" i="2"/>
  <c r="K4025" i="2"/>
  <c r="H4025" i="2"/>
  <c r="G4025" i="2"/>
  <c r="F4025" i="2"/>
  <c r="E4025" i="2"/>
  <c r="C4025" i="2"/>
  <c r="B4025" i="2"/>
  <c r="N4024" i="2"/>
  <c r="K4024" i="2"/>
  <c r="H4024" i="2"/>
  <c r="G4024" i="2"/>
  <c r="F4024" i="2"/>
  <c r="E4024" i="2"/>
  <c r="C4024" i="2"/>
  <c r="B4024" i="2"/>
  <c r="N4023" i="2"/>
  <c r="K4023" i="2"/>
  <c r="H4023" i="2"/>
  <c r="G4023" i="2"/>
  <c r="F4023" i="2"/>
  <c r="E4023" i="2"/>
  <c r="C4023" i="2"/>
  <c r="B4023" i="2"/>
  <c r="N4022" i="2"/>
  <c r="K4022" i="2"/>
  <c r="H4022" i="2"/>
  <c r="G4022" i="2"/>
  <c r="F4022" i="2"/>
  <c r="E4022" i="2"/>
  <c r="C4022" i="2"/>
  <c r="B4022" i="2"/>
  <c r="N4021" i="2"/>
  <c r="K4021" i="2"/>
  <c r="H4021" i="2"/>
  <c r="G4021" i="2"/>
  <c r="F4021" i="2"/>
  <c r="E4021" i="2"/>
  <c r="C4021" i="2"/>
  <c r="B4021" i="2"/>
  <c r="N4020" i="2"/>
  <c r="K4020" i="2"/>
  <c r="H4020" i="2"/>
  <c r="G4020" i="2"/>
  <c r="F4020" i="2"/>
  <c r="E4020" i="2"/>
  <c r="C4020" i="2"/>
  <c r="B4020" i="2"/>
  <c r="N4019" i="2"/>
  <c r="K4019" i="2"/>
  <c r="H4019" i="2"/>
  <c r="G4019" i="2"/>
  <c r="F4019" i="2"/>
  <c r="E4019" i="2"/>
  <c r="C4019" i="2"/>
  <c r="B4019" i="2"/>
  <c r="N4018" i="2"/>
  <c r="K4018" i="2"/>
  <c r="H4018" i="2"/>
  <c r="G4018" i="2"/>
  <c r="F4018" i="2"/>
  <c r="E4018" i="2"/>
  <c r="C4018" i="2"/>
  <c r="B4018" i="2"/>
  <c r="N4017" i="2"/>
  <c r="K4017" i="2"/>
  <c r="H4017" i="2"/>
  <c r="G4017" i="2"/>
  <c r="F4017" i="2"/>
  <c r="E4017" i="2"/>
  <c r="C4017" i="2"/>
  <c r="B4017" i="2"/>
  <c r="N4016" i="2"/>
  <c r="K4016" i="2"/>
  <c r="H4016" i="2"/>
  <c r="G4016" i="2"/>
  <c r="F4016" i="2"/>
  <c r="E4016" i="2"/>
  <c r="C4016" i="2"/>
  <c r="B4016" i="2"/>
  <c r="N4015" i="2"/>
  <c r="K4015" i="2"/>
  <c r="H4015" i="2"/>
  <c r="G4015" i="2"/>
  <c r="F4015" i="2"/>
  <c r="E4015" i="2"/>
  <c r="C4015" i="2"/>
  <c r="B4015" i="2"/>
  <c r="N4014" i="2"/>
  <c r="K4014" i="2"/>
  <c r="H4014" i="2"/>
  <c r="G4014" i="2"/>
  <c r="F4014" i="2"/>
  <c r="E4014" i="2"/>
  <c r="C4014" i="2"/>
  <c r="B4014" i="2"/>
  <c r="N4013" i="2"/>
  <c r="K4013" i="2"/>
  <c r="H4013" i="2"/>
  <c r="G4013" i="2"/>
  <c r="F4013" i="2"/>
  <c r="E4013" i="2"/>
  <c r="C4013" i="2"/>
  <c r="B4013" i="2"/>
  <c r="N4012" i="2"/>
  <c r="K4012" i="2"/>
  <c r="H4012" i="2"/>
  <c r="G4012" i="2"/>
  <c r="F4012" i="2"/>
  <c r="E4012" i="2"/>
  <c r="C4012" i="2"/>
  <c r="B4012" i="2"/>
  <c r="N4011" i="2"/>
  <c r="K4011" i="2"/>
  <c r="H4011" i="2"/>
  <c r="G4011" i="2"/>
  <c r="F4011" i="2"/>
  <c r="E4011" i="2"/>
  <c r="C4011" i="2"/>
  <c r="B4011" i="2"/>
  <c r="N4010" i="2"/>
  <c r="K4010" i="2"/>
  <c r="H4010" i="2"/>
  <c r="G4010" i="2"/>
  <c r="F4010" i="2"/>
  <c r="E4010" i="2"/>
  <c r="C4010" i="2"/>
  <c r="B4010" i="2"/>
  <c r="N4009" i="2"/>
  <c r="K4009" i="2"/>
  <c r="H4009" i="2"/>
  <c r="G4009" i="2"/>
  <c r="F4009" i="2"/>
  <c r="E4009" i="2"/>
  <c r="C4009" i="2"/>
  <c r="B4009" i="2"/>
  <c r="N4008" i="2"/>
  <c r="K4008" i="2"/>
  <c r="H4008" i="2"/>
  <c r="G4008" i="2"/>
  <c r="F4008" i="2"/>
  <c r="E4008" i="2"/>
  <c r="C4008" i="2"/>
  <c r="B4008" i="2"/>
  <c r="N4007" i="2"/>
  <c r="K4007" i="2"/>
  <c r="H4007" i="2"/>
  <c r="G4007" i="2"/>
  <c r="F4007" i="2"/>
  <c r="E4007" i="2"/>
  <c r="C4007" i="2"/>
  <c r="B4007" i="2"/>
  <c r="N4006" i="2"/>
  <c r="K4006" i="2"/>
  <c r="H4006" i="2"/>
  <c r="G4006" i="2"/>
  <c r="F4006" i="2"/>
  <c r="E4006" i="2"/>
  <c r="C4006" i="2"/>
  <c r="B4006" i="2"/>
  <c r="N4005" i="2"/>
  <c r="K4005" i="2"/>
  <c r="H4005" i="2"/>
  <c r="G4005" i="2"/>
  <c r="F4005" i="2"/>
  <c r="E4005" i="2"/>
  <c r="C4005" i="2"/>
  <c r="B4005" i="2"/>
  <c r="N4004" i="2"/>
  <c r="K4004" i="2"/>
  <c r="H4004" i="2"/>
  <c r="G4004" i="2"/>
  <c r="F4004" i="2"/>
  <c r="E4004" i="2"/>
  <c r="C4004" i="2"/>
  <c r="B4004" i="2"/>
  <c r="N4003" i="2"/>
  <c r="K4003" i="2"/>
  <c r="H4003" i="2"/>
  <c r="G4003" i="2"/>
  <c r="F4003" i="2"/>
  <c r="E4003" i="2"/>
  <c r="C4003" i="2"/>
  <c r="B4003" i="2"/>
  <c r="N4002" i="2"/>
  <c r="K4002" i="2"/>
  <c r="H4002" i="2"/>
  <c r="G4002" i="2"/>
  <c r="F4002" i="2"/>
  <c r="E4002" i="2"/>
  <c r="C4002" i="2"/>
  <c r="B4002" i="2"/>
  <c r="N4001" i="2"/>
  <c r="K4001" i="2"/>
  <c r="H4001" i="2"/>
  <c r="G4001" i="2"/>
  <c r="F4001" i="2"/>
  <c r="E4001" i="2"/>
  <c r="C4001" i="2"/>
  <c r="B4001" i="2"/>
  <c r="N4000" i="2"/>
  <c r="K4000" i="2"/>
  <c r="H4000" i="2"/>
  <c r="G4000" i="2"/>
  <c r="F4000" i="2"/>
  <c r="E4000" i="2"/>
  <c r="C4000" i="2"/>
  <c r="B4000" i="2"/>
  <c r="N3999" i="2"/>
  <c r="K3999" i="2"/>
  <c r="H3999" i="2"/>
  <c r="G3999" i="2"/>
  <c r="F3999" i="2"/>
  <c r="E3999" i="2"/>
  <c r="C3999" i="2"/>
  <c r="B3999" i="2"/>
  <c r="N3998" i="2"/>
  <c r="K3998" i="2"/>
  <c r="H3998" i="2"/>
  <c r="G3998" i="2"/>
  <c r="F3998" i="2"/>
  <c r="E3998" i="2"/>
  <c r="C3998" i="2"/>
  <c r="B3998" i="2"/>
  <c r="N3997" i="2"/>
  <c r="K3997" i="2"/>
  <c r="H3997" i="2"/>
  <c r="G3997" i="2"/>
  <c r="F3997" i="2"/>
  <c r="E3997" i="2"/>
  <c r="C3997" i="2"/>
  <c r="B3997" i="2"/>
  <c r="N3996" i="2"/>
  <c r="K3996" i="2"/>
  <c r="H3996" i="2"/>
  <c r="G3996" i="2"/>
  <c r="F3996" i="2"/>
  <c r="E3996" i="2"/>
  <c r="C3996" i="2"/>
  <c r="B3996" i="2"/>
  <c r="N3995" i="2"/>
  <c r="K3995" i="2"/>
  <c r="H3995" i="2"/>
  <c r="G3995" i="2"/>
  <c r="F3995" i="2"/>
  <c r="E3995" i="2"/>
  <c r="C3995" i="2"/>
  <c r="B3995" i="2"/>
  <c r="N3994" i="2"/>
  <c r="K3994" i="2"/>
  <c r="H3994" i="2"/>
  <c r="G3994" i="2"/>
  <c r="F3994" i="2"/>
  <c r="E3994" i="2"/>
  <c r="C3994" i="2"/>
  <c r="B3994" i="2"/>
  <c r="N3993" i="2"/>
  <c r="K3993" i="2"/>
  <c r="H3993" i="2"/>
  <c r="G3993" i="2"/>
  <c r="F3993" i="2"/>
  <c r="E3993" i="2"/>
  <c r="C3993" i="2"/>
  <c r="B3993" i="2"/>
  <c r="N3992" i="2"/>
  <c r="K3992" i="2"/>
  <c r="H3992" i="2"/>
  <c r="G3992" i="2"/>
  <c r="F3992" i="2"/>
  <c r="E3992" i="2"/>
  <c r="C3992" i="2"/>
  <c r="B3992" i="2"/>
  <c r="N3991" i="2"/>
  <c r="K3991" i="2"/>
  <c r="H3991" i="2"/>
  <c r="G3991" i="2"/>
  <c r="F3991" i="2"/>
  <c r="E3991" i="2"/>
  <c r="C3991" i="2"/>
  <c r="B3991" i="2"/>
  <c r="N3990" i="2"/>
  <c r="K3990" i="2"/>
  <c r="H3990" i="2"/>
  <c r="G3990" i="2"/>
  <c r="F3990" i="2"/>
  <c r="E3990" i="2"/>
  <c r="C3990" i="2"/>
  <c r="B3990" i="2"/>
  <c r="N3989" i="2"/>
  <c r="K3989" i="2"/>
  <c r="H3989" i="2"/>
  <c r="G3989" i="2"/>
  <c r="F3989" i="2"/>
  <c r="E3989" i="2"/>
  <c r="C3989" i="2"/>
  <c r="B3989" i="2"/>
  <c r="N3988" i="2"/>
  <c r="K3988" i="2"/>
  <c r="H3988" i="2"/>
  <c r="G3988" i="2"/>
  <c r="F3988" i="2"/>
  <c r="E3988" i="2"/>
  <c r="C3988" i="2"/>
  <c r="B3988" i="2"/>
  <c r="N3987" i="2"/>
  <c r="K3987" i="2"/>
  <c r="H3987" i="2"/>
  <c r="G3987" i="2"/>
  <c r="F3987" i="2"/>
  <c r="E3987" i="2"/>
  <c r="C3987" i="2"/>
  <c r="B3987" i="2"/>
  <c r="N3986" i="2"/>
  <c r="K3986" i="2"/>
  <c r="H3986" i="2"/>
  <c r="G3986" i="2"/>
  <c r="F3986" i="2"/>
  <c r="E3986" i="2"/>
  <c r="C3986" i="2"/>
  <c r="B3986" i="2"/>
  <c r="N3985" i="2"/>
  <c r="K3985" i="2"/>
  <c r="H3985" i="2"/>
  <c r="G3985" i="2"/>
  <c r="F3985" i="2"/>
  <c r="E3985" i="2"/>
  <c r="C3985" i="2"/>
  <c r="B3985" i="2"/>
  <c r="N3984" i="2"/>
  <c r="K3984" i="2"/>
  <c r="H3984" i="2"/>
  <c r="G3984" i="2"/>
  <c r="F3984" i="2"/>
  <c r="E3984" i="2"/>
  <c r="C3984" i="2"/>
  <c r="B3984" i="2"/>
  <c r="N3983" i="2"/>
  <c r="K3983" i="2"/>
  <c r="H3983" i="2"/>
  <c r="G3983" i="2"/>
  <c r="F3983" i="2"/>
  <c r="E3983" i="2"/>
  <c r="C3983" i="2"/>
  <c r="B3983" i="2"/>
  <c r="N3982" i="2"/>
  <c r="K3982" i="2"/>
  <c r="H3982" i="2"/>
  <c r="G3982" i="2"/>
  <c r="F3982" i="2"/>
  <c r="E3982" i="2"/>
  <c r="C3982" i="2"/>
  <c r="B3982" i="2"/>
  <c r="N3981" i="2"/>
  <c r="K3981" i="2"/>
  <c r="H3981" i="2"/>
  <c r="G3981" i="2"/>
  <c r="F3981" i="2"/>
  <c r="E3981" i="2"/>
  <c r="C3981" i="2"/>
  <c r="B3981" i="2"/>
  <c r="N3980" i="2"/>
  <c r="K3980" i="2"/>
  <c r="H3980" i="2"/>
  <c r="G3980" i="2"/>
  <c r="F3980" i="2"/>
  <c r="E3980" i="2"/>
  <c r="C3980" i="2"/>
  <c r="B3980" i="2"/>
  <c r="N3979" i="2"/>
  <c r="K3979" i="2"/>
  <c r="H3979" i="2"/>
  <c r="G3979" i="2"/>
  <c r="F3979" i="2"/>
  <c r="E3979" i="2"/>
  <c r="C3979" i="2"/>
  <c r="B3979" i="2"/>
  <c r="N3978" i="2"/>
  <c r="K3978" i="2"/>
  <c r="H3978" i="2"/>
  <c r="G3978" i="2"/>
  <c r="F3978" i="2"/>
  <c r="E3978" i="2"/>
  <c r="C3978" i="2"/>
  <c r="B3978" i="2"/>
  <c r="N3977" i="2"/>
  <c r="K3977" i="2"/>
  <c r="H3977" i="2"/>
  <c r="G3977" i="2"/>
  <c r="F3977" i="2"/>
  <c r="E3977" i="2"/>
  <c r="C3977" i="2"/>
  <c r="B3977" i="2"/>
  <c r="N3976" i="2"/>
  <c r="K3976" i="2"/>
  <c r="H3976" i="2"/>
  <c r="G3976" i="2"/>
  <c r="F3976" i="2"/>
  <c r="E3976" i="2"/>
  <c r="C3976" i="2"/>
  <c r="B3976" i="2"/>
  <c r="N3975" i="2"/>
  <c r="K3975" i="2"/>
  <c r="H3975" i="2"/>
  <c r="G3975" i="2"/>
  <c r="F3975" i="2"/>
  <c r="E3975" i="2"/>
  <c r="C3975" i="2"/>
  <c r="B3975" i="2"/>
  <c r="N3974" i="2"/>
  <c r="K3974" i="2"/>
  <c r="H3974" i="2"/>
  <c r="G3974" i="2"/>
  <c r="F3974" i="2"/>
  <c r="E3974" i="2"/>
  <c r="C3974" i="2"/>
  <c r="B3974" i="2"/>
  <c r="N3973" i="2"/>
  <c r="K3973" i="2"/>
  <c r="H3973" i="2"/>
  <c r="G3973" i="2"/>
  <c r="F3973" i="2"/>
  <c r="E3973" i="2"/>
  <c r="C3973" i="2"/>
  <c r="B3973" i="2"/>
  <c r="N3972" i="2"/>
  <c r="K3972" i="2"/>
  <c r="H3972" i="2"/>
  <c r="G3972" i="2"/>
  <c r="F3972" i="2"/>
  <c r="E3972" i="2"/>
  <c r="C3972" i="2"/>
  <c r="B3972" i="2"/>
  <c r="N3971" i="2"/>
  <c r="K3971" i="2"/>
  <c r="H3971" i="2"/>
  <c r="G3971" i="2"/>
  <c r="F3971" i="2"/>
  <c r="E3971" i="2"/>
  <c r="C3971" i="2"/>
  <c r="B3971" i="2"/>
  <c r="N3970" i="2"/>
  <c r="K3970" i="2"/>
  <c r="H3970" i="2"/>
  <c r="G3970" i="2"/>
  <c r="F3970" i="2"/>
  <c r="E3970" i="2"/>
  <c r="C3970" i="2"/>
  <c r="B3970" i="2"/>
  <c r="N3969" i="2"/>
  <c r="K3969" i="2"/>
  <c r="H3969" i="2"/>
  <c r="G3969" i="2"/>
  <c r="F3969" i="2"/>
  <c r="E3969" i="2"/>
  <c r="C3969" i="2"/>
  <c r="B3969" i="2"/>
  <c r="N3968" i="2"/>
  <c r="K3968" i="2"/>
  <c r="H3968" i="2"/>
  <c r="G3968" i="2"/>
  <c r="F3968" i="2"/>
  <c r="E3968" i="2"/>
  <c r="C3968" i="2"/>
  <c r="B3968" i="2"/>
  <c r="N3967" i="2"/>
  <c r="K3967" i="2"/>
  <c r="H3967" i="2"/>
  <c r="G3967" i="2"/>
  <c r="F3967" i="2"/>
  <c r="E3967" i="2"/>
  <c r="C3967" i="2"/>
  <c r="B3967" i="2"/>
  <c r="N3966" i="2"/>
  <c r="K3966" i="2"/>
  <c r="H3966" i="2"/>
  <c r="G3966" i="2"/>
  <c r="F3966" i="2"/>
  <c r="E3966" i="2"/>
  <c r="C3966" i="2"/>
  <c r="B3966" i="2"/>
  <c r="N3965" i="2"/>
  <c r="K3965" i="2"/>
  <c r="H3965" i="2"/>
  <c r="G3965" i="2"/>
  <c r="F3965" i="2"/>
  <c r="E3965" i="2"/>
  <c r="C3965" i="2"/>
  <c r="B3965" i="2"/>
  <c r="N3964" i="2"/>
  <c r="K3964" i="2"/>
  <c r="H3964" i="2"/>
  <c r="G3964" i="2"/>
  <c r="F3964" i="2"/>
  <c r="E3964" i="2"/>
  <c r="C3964" i="2"/>
  <c r="B3964" i="2"/>
  <c r="N3963" i="2"/>
  <c r="K3963" i="2"/>
  <c r="H3963" i="2"/>
  <c r="G3963" i="2"/>
  <c r="F3963" i="2"/>
  <c r="E3963" i="2"/>
  <c r="C3963" i="2"/>
  <c r="B3963" i="2"/>
  <c r="N3962" i="2"/>
  <c r="K3962" i="2"/>
  <c r="H3962" i="2"/>
  <c r="G3962" i="2"/>
  <c r="F3962" i="2"/>
  <c r="E3962" i="2"/>
  <c r="C3962" i="2"/>
  <c r="B3962" i="2"/>
  <c r="N3961" i="2"/>
  <c r="K3961" i="2"/>
  <c r="H3961" i="2"/>
  <c r="G3961" i="2"/>
  <c r="F3961" i="2"/>
  <c r="E3961" i="2"/>
  <c r="C3961" i="2"/>
  <c r="B3961" i="2"/>
  <c r="N3960" i="2"/>
  <c r="K3960" i="2"/>
  <c r="H3960" i="2"/>
  <c r="G3960" i="2"/>
  <c r="F3960" i="2"/>
  <c r="E3960" i="2"/>
  <c r="C3960" i="2"/>
  <c r="B3960" i="2"/>
  <c r="N3959" i="2"/>
  <c r="K3959" i="2"/>
  <c r="H3959" i="2"/>
  <c r="G3959" i="2"/>
  <c r="F3959" i="2"/>
  <c r="E3959" i="2"/>
  <c r="C3959" i="2"/>
  <c r="B3959" i="2"/>
  <c r="N3958" i="2"/>
  <c r="K3958" i="2"/>
  <c r="H3958" i="2"/>
  <c r="G3958" i="2"/>
  <c r="F3958" i="2"/>
  <c r="E3958" i="2"/>
  <c r="C3958" i="2"/>
  <c r="B3958" i="2"/>
  <c r="N3957" i="2"/>
  <c r="K3957" i="2"/>
  <c r="H3957" i="2"/>
  <c r="G3957" i="2"/>
  <c r="F3957" i="2"/>
  <c r="E3957" i="2"/>
  <c r="C3957" i="2"/>
  <c r="B3957" i="2"/>
  <c r="N3956" i="2"/>
  <c r="K3956" i="2"/>
  <c r="H3956" i="2"/>
  <c r="G3956" i="2"/>
  <c r="F3956" i="2"/>
  <c r="E3956" i="2"/>
  <c r="C3956" i="2"/>
  <c r="B3956" i="2"/>
  <c r="N3955" i="2"/>
  <c r="K3955" i="2"/>
  <c r="H3955" i="2"/>
  <c r="G3955" i="2"/>
  <c r="F3955" i="2"/>
  <c r="E3955" i="2"/>
  <c r="C3955" i="2"/>
  <c r="B3955" i="2"/>
  <c r="N3954" i="2"/>
  <c r="K3954" i="2"/>
  <c r="H3954" i="2"/>
  <c r="G3954" i="2"/>
  <c r="F3954" i="2"/>
  <c r="E3954" i="2"/>
  <c r="C3954" i="2"/>
  <c r="B3954" i="2"/>
  <c r="N3953" i="2"/>
  <c r="K3953" i="2"/>
  <c r="H3953" i="2"/>
  <c r="G3953" i="2"/>
  <c r="F3953" i="2"/>
  <c r="E3953" i="2"/>
  <c r="C3953" i="2"/>
  <c r="B3953" i="2"/>
  <c r="N3952" i="2"/>
  <c r="K3952" i="2"/>
  <c r="H3952" i="2"/>
  <c r="G3952" i="2"/>
  <c r="F3952" i="2"/>
  <c r="E3952" i="2"/>
  <c r="C3952" i="2"/>
  <c r="B3952" i="2"/>
  <c r="N3951" i="2"/>
  <c r="K3951" i="2"/>
  <c r="H3951" i="2"/>
  <c r="G3951" i="2"/>
  <c r="F3951" i="2"/>
  <c r="E3951" i="2"/>
  <c r="C3951" i="2"/>
  <c r="B3951" i="2"/>
  <c r="N3950" i="2"/>
  <c r="K3950" i="2"/>
  <c r="H3950" i="2"/>
  <c r="G3950" i="2"/>
  <c r="F3950" i="2"/>
  <c r="E3950" i="2"/>
  <c r="C3950" i="2"/>
  <c r="B3950" i="2"/>
  <c r="N3949" i="2"/>
  <c r="K3949" i="2"/>
  <c r="H3949" i="2"/>
  <c r="G3949" i="2"/>
  <c r="F3949" i="2"/>
  <c r="E3949" i="2"/>
  <c r="C3949" i="2"/>
  <c r="B3949" i="2"/>
  <c r="N3948" i="2"/>
  <c r="K3948" i="2"/>
  <c r="H3948" i="2"/>
  <c r="G3948" i="2"/>
  <c r="F3948" i="2"/>
  <c r="E3948" i="2"/>
  <c r="C3948" i="2"/>
  <c r="B3948" i="2"/>
  <c r="N3947" i="2"/>
  <c r="K3947" i="2"/>
  <c r="H3947" i="2"/>
  <c r="G3947" i="2"/>
  <c r="F3947" i="2"/>
  <c r="E3947" i="2"/>
  <c r="C3947" i="2"/>
  <c r="B3947" i="2"/>
  <c r="N3946" i="2"/>
  <c r="K3946" i="2"/>
  <c r="H3946" i="2"/>
  <c r="G3946" i="2"/>
  <c r="F3946" i="2"/>
  <c r="E3946" i="2"/>
  <c r="C3946" i="2"/>
  <c r="B3946" i="2"/>
  <c r="N3945" i="2"/>
  <c r="K3945" i="2"/>
  <c r="H3945" i="2"/>
  <c r="G3945" i="2"/>
  <c r="F3945" i="2"/>
  <c r="E3945" i="2"/>
  <c r="C3945" i="2"/>
  <c r="B3945" i="2"/>
  <c r="N3944" i="2"/>
  <c r="K3944" i="2"/>
  <c r="H3944" i="2"/>
  <c r="G3944" i="2"/>
  <c r="F3944" i="2"/>
  <c r="E3944" i="2"/>
  <c r="C3944" i="2"/>
  <c r="B3944" i="2"/>
  <c r="N3943" i="2"/>
  <c r="K3943" i="2"/>
  <c r="H3943" i="2"/>
  <c r="G3943" i="2"/>
  <c r="F3943" i="2"/>
  <c r="E3943" i="2"/>
  <c r="C3943" i="2"/>
  <c r="B3943" i="2"/>
  <c r="N3942" i="2"/>
  <c r="K3942" i="2"/>
  <c r="H3942" i="2"/>
  <c r="G3942" i="2"/>
  <c r="F3942" i="2"/>
  <c r="E3942" i="2"/>
  <c r="C3942" i="2"/>
  <c r="B3942" i="2"/>
  <c r="N3941" i="2"/>
  <c r="K3941" i="2"/>
  <c r="H3941" i="2"/>
  <c r="G3941" i="2"/>
  <c r="F3941" i="2"/>
  <c r="E3941" i="2"/>
  <c r="C3941" i="2"/>
  <c r="B3941" i="2"/>
  <c r="N3940" i="2"/>
  <c r="K3940" i="2"/>
  <c r="H3940" i="2"/>
  <c r="G3940" i="2"/>
  <c r="F3940" i="2"/>
  <c r="E3940" i="2"/>
  <c r="C3940" i="2"/>
  <c r="B3940" i="2"/>
  <c r="N3939" i="2"/>
  <c r="K3939" i="2"/>
  <c r="H3939" i="2"/>
  <c r="G3939" i="2"/>
  <c r="F3939" i="2"/>
  <c r="E3939" i="2"/>
  <c r="C3939" i="2"/>
  <c r="B3939" i="2"/>
  <c r="N3938" i="2"/>
  <c r="K3938" i="2"/>
  <c r="H3938" i="2"/>
  <c r="G3938" i="2"/>
  <c r="F3938" i="2"/>
  <c r="E3938" i="2"/>
  <c r="C3938" i="2"/>
  <c r="B3938" i="2"/>
  <c r="N3937" i="2"/>
  <c r="K3937" i="2"/>
  <c r="H3937" i="2"/>
  <c r="G3937" i="2"/>
  <c r="F3937" i="2"/>
  <c r="E3937" i="2"/>
  <c r="C3937" i="2"/>
  <c r="B3937" i="2"/>
  <c r="N3936" i="2"/>
  <c r="K3936" i="2"/>
  <c r="H3936" i="2"/>
  <c r="G3936" i="2"/>
  <c r="F3936" i="2"/>
  <c r="E3936" i="2"/>
  <c r="C3936" i="2"/>
  <c r="B3936" i="2"/>
  <c r="N3935" i="2"/>
  <c r="K3935" i="2"/>
  <c r="H3935" i="2"/>
  <c r="G3935" i="2"/>
  <c r="F3935" i="2"/>
  <c r="E3935" i="2"/>
  <c r="C3935" i="2"/>
  <c r="B3935" i="2"/>
  <c r="N3934" i="2"/>
  <c r="K3934" i="2"/>
  <c r="H3934" i="2"/>
  <c r="G3934" i="2"/>
  <c r="F3934" i="2"/>
  <c r="E3934" i="2"/>
  <c r="C3934" i="2"/>
  <c r="B3934" i="2"/>
  <c r="N3933" i="2"/>
  <c r="K3933" i="2"/>
  <c r="H3933" i="2"/>
  <c r="G3933" i="2"/>
  <c r="F3933" i="2"/>
  <c r="E3933" i="2"/>
  <c r="C3933" i="2"/>
  <c r="B3933" i="2"/>
  <c r="N3932" i="2"/>
  <c r="K3932" i="2"/>
  <c r="H3932" i="2"/>
  <c r="G3932" i="2"/>
  <c r="F3932" i="2"/>
  <c r="E3932" i="2"/>
  <c r="C3932" i="2"/>
  <c r="B3932" i="2"/>
  <c r="N3931" i="2"/>
  <c r="K3931" i="2"/>
  <c r="H3931" i="2"/>
  <c r="G3931" i="2"/>
  <c r="F3931" i="2"/>
  <c r="E3931" i="2"/>
  <c r="C3931" i="2"/>
  <c r="B3931" i="2"/>
  <c r="N3930" i="2"/>
  <c r="K3930" i="2"/>
  <c r="H3930" i="2"/>
  <c r="G3930" i="2"/>
  <c r="F3930" i="2"/>
  <c r="E3930" i="2"/>
  <c r="C3930" i="2"/>
  <c r="B3930" i="2"/>
  <c r="N3929" i="2"/>
  <c r="K3929" i="2"/>
  <c r="H3929" i="2"/>
  <c r="G3929" i="2"/>
  <c r="F3929" i="2"/>
  <c r="E3929" i="2"/>
  <c r="C3929" i="2"/>
  <c r="B3929" i="2"/>
  <c r="N3928" i="2"/>
  <c r="K3928" i="2"/>
  <c r="H3928" i="2"/>
  <c r="G3928" i="2"/>
  <c r="F3928" i="2"/>
  <c r="E3928" i="2"/>
  <c r="C3928" i="2"/>
  <c r="B3928" i="2"/>
  <c r="N3927" i="2"/>
  <c r="K3927" i="2"/>
  <c r="H3927" i="2"/>
  <c r="G3927" i="2"/>
  <c r="F3927" i="2"/>
  <c r="E3927" i="2"/>
  <c r="C3927" i="2"/>
  <c r="B3927" i="2"/>
  <c r="N3926" i="2"/>
  <c r="K3926" i="2"/>
  <c r="H3926" i="2"/>
  <c r="G3926" i="2"/>
  <c r="F3926" i="2"/>
  <c r="E3926" i="2"/>
  <c r="C3926" i="2"/>
  <c r="B3926" i="2"/>
  <c r="N3925" i="2"/>
  <c r="K3925" i="2"/>
  <c r="H3925" i="2"/>
  <c r="G3925" i="2"/>
  <c r="F3925" i="2"/>
  <c r="E3925" i="2"/>
  <c r="C3925" i="2"/>
  <c r="B3925" i="2"/>
  <c r="N3924" i="2"/>
  <c r="K3924" i="2"/>
  <c r="H3924" i="2"/>
  <c r="G3924" i="2"/>
  <c r="F3924" i="2"/>
  <c r="E3924" i="2"/>
  <c r="C3924" i="2"/>
  <c r="B3924" i="2"/>
  <c r="N3923" i="2"/>
  <c r="K3923" i="2"/>
  <c r="H3923" i="2"/>
  <c r="G3923" i="2"/>
  <c r="F3923" i="2"/>
  <c r="E3923" i="2"/>
  <c r="C3923" i="2"/>
  <c r="B3923" i="2"/>
  <c r="N3922" i="2"/>
  <c r="K3922" i="2"/>
  <c r="H3922" i="2"/>
  <c r="G3922" i="2"/>
  <c r="F3922" i="2"/>
  <c r="E3922" i="2"/>
  <c r="C3922" i="2"/>
  <c r="B3922" i="2"/>
  <c r="N3921" i="2"/>
  <c r="K3921" i="2"/>
  <c r="H3921" i="2"/>
  <c r="G3921" i="2"/>
  <c r="F3921" i="2"/>
  <c r="E3921" i="2"/>
  <c r="C3921" i="2"/>
  <c r="B3921" i="2"/>
  <c r="N3920" i="2"/>
  <c r="K3920" i="2"/>
  <c r="H3920" i="2"/>
  <c r="G3920" i="2"/>
  <c r="F3920" i="2"/>
  <c r="E3920" i="2"/>
  <c r="C3920" i="2"/>
  <c r="B3920" i="2"/>
  <c r="N3919" i="2"/>
  <c r="K3919" i="2"/>
  <c r="H3919" i="2"/>
  <c r="G3919" i="2"/>
  <c r="F3919" i="2"/>
  <c r="E3919" i="2"/>
  <c r="C3919" i="2"/>
  <c r="B3919" i="2"/>
  <c r="N3918" i="2"/>
  <c r="K3918" i="2"/>
  <c r="H3918" i="2"/>
  <c r="G3918" i="2"/>
  <c r="F3918" i="2"/>
  <c r="E3918" i="2"/>
  <c r="C3918" i="2"/>
  <c r="B3918" i="2"/>
  <c r="N3917" i="2"/>
  <c r="K3917" i="2"/>
  <c r="H3917" i="2"/>
  <c r="G3917" i="2"/>
  <c r="F3917" i="2"/>
  <c r="E3917" i="2"/>
  <c r="C3917" i="2"/>
  <c r="B3917" i="2"/>
  <c r="N3916" i="2"/>
  <c r="K3916" i="2"/>
  <c r="H3916" i="2"/>
  <c r="G3916" i="2"/>
  <c r="F3916" i="2"/>
  <c r="E3916" i="2"/>
  <c r="C3916" i="2"/>
  <c r="B3916" i="2"/>
  <c r="N3915" i="2"/>
  <c r="K3915" i="2"/>
  <c r="H3915" i="2"/>
  <c r="G3915" i="2"/>
  <c r="F3915" i="2"/>
  <c r="E3915" i="2"/>
  <c r="C3915" i="2"/>
  <c r="B3915" i="2"/>
  <c r="N3914" i="2"/>
  <c r="K3914" i="2"/>
  <c r="H3914" i="2"/>
  <c r="G3914" i="2"/>
  <c r="F3914" i="2"/>
  <c r="E3914" i="2"/>
  <c r="C3914" i="2"/>
  <c r="B3914" i="2"/>
  <c r="N3913" i="2"/>
  <c r="K3913" i="2"/>
  <c r="H3913" i="2"/>
  <c r="G3913" i="2"/>
  <c r="F3913" i="2"/>
  <c r="E3913" i="2"/>
  <c r="C3913" i="2"/>
  <c r="B3913" i="2"/>
  <c r="N3912" i="2"/>
  <c r="K3912" i="2"/>
  <c r="H3912" i="2"/>
  <c r="G3912" i="2"/>
  <c r="F3912" i="2"/>
  <c r="E3912" i="2"/>
  <c r="C3912" i="2"/>
  <c r="B3912" i="2"/>
  <c r="N3911" i="2"/>
  <c r="K3911" i="2"/>
  <c r="H3911" i="2"/>
  <c r="G3911" i="2"/>
  <c r="F3911" i="2"/>
  <c r="E3911" i="2"/>
  <c r="C3911" i="2"/>
  <c r="B3911" i="2"/>
  <c r="N3910" i="2"/>
  <c r="K3910" i="2"/>
  <c r="H3910" i="2"/>
  <c r="G3910" i="2"/>
  <c r="F3910" i="2"/>
  <c r="E3910" i="2"/>
  <c r="C3910" i="2"/>
  <c r="B3910" i="2"/>
  <c r="N3909" i="2"/>
  <c r="K3909" i="2"/>
  <c r="H3909" i="2"/>
  <c r="G3909" i="2"/>
  <c r="F3909" i="2"/>
  <c r="E3909" i="2"/>
  <c r="C3909" i="2"/>
  <c r="B3909" i="2"/>
  <c r="N3908" i="2"/>
  <c r="K3908" i="2"/>
  <c r="H3908" i="2"/>
  <c r="G3908" i="2"/>
  <c r="F3908" i="2"/>
  <c r="E3908" i="2"/>
  <c r="C3908" i="2"/>
  <c r="B3908" i="2"/>
  <c r="N3907" i="2"/>
  <c r="K3907" i="2"/>
  <c r="H3907" i="2"/>
  <c r="G3907" i="2"/>
  <c r="F3907" i="2"/>
  <c r="E3907" i="2"/>
  <c r="C3907" i="2"/>
  <c r="B3907" i="2"/>
  <c r="N3906" i="2"/>
  <c r="K3906" i="2"/>
  <c r="H3906" i="2"/>
  <c r="G3906" i="2"/>
  <c r="F3906" i="2"/>
  <c r="E3906" i="2"/>
  <c r="C3906" i="2"/>
  <c r="B3906" i="2"/>
  <c r="N3905" i="2"/>
  <c r="K3905" i="2"/>
  <c r="H3905" i="2"/>
  <c r="G3905" i="2"/>
  <c r="F3905" i="2"/>
  <c r="E3905" i="2"/>
  <c r="C3905" i="2"/>
  <c r="B3905" i="2"/>
  <c r="N3904" i="2"/>
  <c r="K3904" i="2"/>
  <c r="H3904" i="2"/>
  <c r="G3904" i="2"/>
  <c r="F3904" i="2"/>
  <c r="E3904" i="2"/>
  <c r="C3904" i="2"/>
  <c r="B3904" i="2"/>
  <c r="N3903" i="2"/>
  <c r="K3903" i="2"/>
  <c r="H3903" i="2"/>
  <c r="G3903" i="2"/>
  <c r="F3903" i="2"/>
  <c r="E3903" i="2"/>
  <c r="C3903" i="2"/>
  <c r="B3903" i="2"/>
  <c r="N3902" i="2"/>
  <c r="K3902" i="2"/>
  <c r="H3902" i="2"/>
  <c r="G3902" i="2"/>
  <c r="F3902" i="2"/>
  <c r="E3902" i="2"/>
  <c r="C3902" i="2"/>
  <c r="B3902" i="2"/>
  <c r="N3901" i="2"/>
  <c r="K3901" i="2"/>
  <c r="H3901" i="2"/>
  <c r="G3901" i="2"/>
  <c r="F3901" i="2"/>
  <c r="E3901" i="2"/>
  <c r="C3901" i="2"/>
  <c r="B3901" i="2"/>
  <c r="N3900" i="2"/>
  <c r="K3900" i="2"/>
  <c r="H3900" i="2"/>
  <c r="G3900" i="2"/>
  <c r="F3900" i="2"/>
  <c r="E3900" i="2"/>
  <c r="C3900" i="2"/>
  <c r="B3900" i="2"/>
  <c r="N3899" i="2"/>
  <c r="K3899" i="2"/>
  <c r="H3899" i="2"/>
  <c r="G3899" i="2"/>
  <c r="F3899" i="2"/>
  <c r="E3899" i="2"/>
  <c r="C3899" i="2"/>
  <c r="B3899" i="2"/>
  <c r="N3898" i="2"/>
  <c r="K3898" i="2"/>
  <c r="H3898" i="2"/>
  <c r="G3898" i="2"/>
  <c r="F3898" i="2"/>
  <c r="E3898" i="2"/>
  <c r="C3898" i="2"/>
  <c r="B3898" i="2"/>
  <c r="N3897" i="2"/>
  <c r="K3897" i="2"/>
  <c r="H3897" i="2"/>
  <c r="G3897" i="2"/>
  <c r="F3897" i="2"/>
  <c r="E3897" i="2"/>
  <c r="C3897" i="2"/>
  <c r="B3897" i="2"/>
  <c r="N3896" i="2"/>
  <c r="K3896" i="2"/>
  <c r="H3896" i="2"/>
  <c r="G3896" i="2"/>
  <c r="F3896" i="2"/>
  <c r="E3896" i="2"/>
  <c r="C3896" i="2"/>
  <c r="B3896" i="2"/>
  <c r="N3895" i="2"/>
  <c r="K3895" i="2"/>
  <c r="H3895" i="2"/>
  <c r="G3895" i="2"/>
  <c r="F3895" i="2"/>
  <c r="E3895" i="2"/>
  <c r="C3895" i="2"/>
  <c r="B3895" i="2"/>
  <c r="N3894" i="2"/>
  <c r="K3894" i="2"/>
  <c r="H3894" i="2"/>
  <c r="G3894" i="2"/>
  <c r="F3894" i="2"/>
  <c r="E3894" i="2"/>
  <c r="C3894" i="2"/>
  <c r="B3894" i="2"/>
  <c r="N3893" i="2"/>
  <c r="K3893" i="2"/>
  <c r="H3893" i="2"/>
  <c r="G3893" i="2"/>
  <c r="F3893" i="2"/>
  <c r="E3893" i="2"/>
  <c r="C3893" i="2"/>
  <c r="B3893" i="2"/>
  <c r="N3892" i="2"/>
  <c r="K3892" i="2"/>
  <c r="H3892" i="2"/>
  <c r="G3892" i="2"/>
  <c r="F3892" i="2"/>
  <c r="E3892" i="2"/>
  <c r="C3892" i="2"/>
  <c r="B3892" i="2"/>
  <c r="N3891" i="2"/>
  <c r="K3891" i="2"/>
  <c r="H3891" i="2"/>
  <c r="G3891" i="2"/>
  <c r="F3891" i="2"/>
  <c r="E3891" i="2"/>
  <c r="C3891" i="2"/>
  <c r="B3891" i="2"/>
  <c r="N3890" i="2"/>
  <c r="K3890" i="2"/>
  <c r="H3890" i="2"/>
  <c r="G3890" i="2"/>
  <c r="F3890" i="2"/>
  <c r="E3890" i="2"/>
  <c r="C3890" i="2"/>
  <c r="B3890" i="2"/>
  <c r="N3889" i="2"/>
  <c r="K3889" i="2"/>
  <c r="H3889" i="2"/>
  <c r="G3889" i="2"/>
  <c r="F3889" i="2"/>
  <c r="E3889" i="2"/>
  <c r="C3889" i="2"/>
  <c r="B3889" i="2"/>
  <c r="N3888" i="2"/>
  <c r="K3888" i="2"/>
  <c r="H3888" i="2"/>
  <c r="G3888" i="2"/>
  <c r="F3888" i="2"/>
  <c r="E3888" i="2"/>
  <c r="C3888" i="2"/>
  <c r="B3888" i="2"/>
  <c r="N3887" i="2"/>
  <c r="K3887" i="2"/>
  <c r="H3887" i="2"/>
  <c r="G3887" i="2"/>
  <c r="F3887" i="2"/>
  <c r="E3887" i="2"/>
  <c r="C3887" i="2"/>
  <c r="B3887" i="2"/>
  <c r="N3886" i="2"/>
  <c r="K3886" i="2"/>
  <c r="H3886" i="2"/>
  <c r="G3886" i="2"/>
  <c r="F3886" i="2"/>
  <c r="E3886" i="2"/>
  <c r="C3886" i="2"/>
  <c r="B3886" i="2"/>
  <c r="N3885" i="2"/>
  <c r="K3885" i="2"/>
  <c r="H3885" i="2"/>
  <c r="G3885" i="2"/>
  <c r="F3885" i="2"/>
  <c r="E3885" i="2"/>
  <c r="C3885" i="2"/>
  <c r="B3885" i="2"/>
  <c r="N3884" i="2"/>
  <c r="K3884" i="2"/>
  <c r="H3884" i="2"/>
  <c r="G3884" i="2"/>
  <c r="F3884" i="2"/>
  <c r="E3884" i="2"/>
  <c r="C3884" i="2"/>
  <c r="B3884" i="2"/>
  <c r="N3883" i="2"/>
  <c r="K3883" i="2"/>
  <c r="H3883" i="2"/>
  <c r="G3883" i="2"/>
  <c r="F3883" i="2"/>
  <c r="E3883" i="2"/>
  <c r="C3883" i="2"/>
  <c r="B3883" i="2"/>
  <c r="N3882" i="2"/>
  <c r="K3882" i="2"/>
  <c r="H3882" i="2"/>
  <c r="G3882" i="2"/>
  <c r="F3882" i="2"/>
  <c r="E3882" i="2"/>
  <c r="C3882" i="2"/>
  <c r="B3882" i="2"/>
  <c r="N3881" i="2"/>
  <c r="K3881" i="2"/>
  <c r="H3881" i="2"/>
  <c r="G3881" i="2"/>
  <c r="F3881" i="2"/>
  <c r="E3881" i="2"/>
  <c r="C3881" i="2"/>
  <c r="B3881" i="2"/>
  <c r="N3880" i="2"/>
  <c r="K3880" i="2"/>
  <c r="H3880" i="2"/>
  <c r="G3880" i="2"/>
  <c r="F3880" i="2"/>
  <c r="E3880" i="2"/>
  <c r="C3880" i="2"/>
  <c r="B3880" i="2"/>
  <c r="N3879" i="2"/>
  <c r="K3879" i="2"/>
  <c r="H3879" i="2"/>
  <c r="G3879" i="2"/>
  <c r="F3879" i="2"/>
  <c r="E3879" i="2"/>
  <c r="C3879" i="2"/>
  <c r="B3879" i="2"/>
  <c r="N3878" i="2"/>
  <c r="K3878" i="2"/>
  <c r="H3878" i="2"/>
  <c r="G3878" i="2"/>
  <c r="F3878" i="2"/>
  <c r="E3878" i="2"/>
  <c r="C3878" i="2"/>
  <c r="B3878" i="2"/>
  <c r="N3877" i="2"/>
  <c r="K3877" i="2"/>
  <c r="H3877" i="2"/>
  <c r="G3877" i="2"/>
  <c r="F3877" i="2"/>
  <c r="E3877" i="2"/>
  <c r="C3877" i="2"/>
  <c r="B3877" i="2"/>
  <c r="N3876" i="2"/>
  <c r="K3876" i="2"/>
  <c r="H3876" i="2"/>
  <c r="G3876" i="2"/>
  <c r="F3876" i="2"/>
  <c r="E3876" i="2"/>
  <c r="C3876" i="2"/>
  <c r="B3876" i="2"/>
  <c r="N3875" i="2"/>
  <c r="K3875" i="2"/>
  <c r="H3875" i="2"/>
  <c r="G3875" i="2"/>
  <c r="F3875" i="2"/>
  <c r="E3875" i="2"/>
  <c r="C3875" i="2"/>
  <c r="B3875" i="2"/>
  <c r="N3874" i="2"/>
  <c r="K3874" i="2"/>
  <c r="H3874" i="2"/>
  <c r="G3874" i="2"/>
  <c r="F3874" i="2"/>
  <c r="E3874" i="2"/>
  <c r="C3874" i="2"/>
  <c r="B3874" i="2"/>
  <c r="N3873" i="2"/>
  <c r="K3873" i="2"/>
  <c r="H3873" i="2"/>
  <c r="G3873" i="2"/>
  <c r="F3873" i="2"/>
  <c r="E3873" i="2"/>
  <c r="C3873" i="2"/>
  <c r="B3873" i="2"/>
  <c r="N3872" i="2"/>
  <c r="K3872" i="2"/>
  <c r="H3872" i="2"/>
  <c r="G3872" i="2"/>
  <c r="F3872" i="2"/>
  <c r="E3872" i="2"/>
  <c r="C3872" i="2"/>
  <c r="B3872" i="2"/>
  <c r="N3871" i="2"/>
  <c r="K3871" i="2"/>
  <c r="H3871" i="2"/>
  <c r="G3871" i="2"/>
  <c r="F3871" i="2"/>
  <c r="E3871" i="2"/>
  <c r="C3871" i="2"/>
  <c r="B3871" i="2"/>
  <c r="N3870" i="2"/>
  <c r="K3870" i="2"/>
  <c r="H3870" i="2"/>
  <c r="G3870" i="2"/>
  <c r="F3870" i="2"/>
  <c r="E3870" i="2"/>
  <c r="C3870" i="2"/>
  <c r="B3870" i="2"/>
  <c r="N3869" i="2"/>
  <c r="K3869" i="2"/>
  <c r="H3869" i="2"/>
  <c r="G3869" i="2"/>
  <c r="F3869" i="2"/>
  <c r="E3869" i="2"/>
  <c r="C3869" i="2"/>
  <c r="B3869" i="2"/>
  <c r="N3868" i="2"/>
  <c r="K3868" i="2"/>
  <c r="H3868" i="2"/>
  <c r="G3868" i="2"/>
  <c r="F3868" i="2"/>
  <c r="E3868" i="2"/>
  <c r="C3868" i="2"/>
  <c r="B3868" i="2"/>
  <c r="N3867" i="2"/>
  <c r="K3867" i="2"/>
  <c r="H3867" i="2"/>
  <c r="G3867" i="2"/>
  <c r="F3867" i="2"/>
  <c r="E3867" i="2"/>
  <c r="C3867" i="2"/>
  <c r="B3867" i="2"/>
  <c r="N3866" i="2"/>
  <c r="K3866" i="2"/>
  <c r="H3866" i="2"/>
  <c r="G3866" i="2"/>
  <c r="F3866" i="2"/>
  <c r="E3866" i="2"/>
  <c r="C3866" i="2"/>
  <c r="B3866" i="2"/>
  <c r="N3865" i="2"/>
  <c r="K3865" i="2"/>
  <c r="H3865" i="2"/>
  <c r="G3865" i="2"/>
  <c r="F3865" i="2"/>
  <c r="E3865" i="2"/>
  <c r="C3865" i="2"/>
  <c r="B3865" i="2"/>
  <c r="N3864" i="2"/>
  <c r="K3864" i="2"/>
  <c r="H3864" i="2"/>
  <c r="G3864" i="2"/>
  <c r="F3864" i="2"/>
  <c r="E3864" i="2"/>
  <c r="C3864" i="2"/>
  <c r="B3864" i="2"/>
  <c r="N3863" i="2"/>
  <c r="K3863" i="2"/>
  <c r="H3863" i="2"/>
  <c r="G3863" i="2"/>
  <c r="F3863" i="2"/>
  <c r="E3863" i="2"/>
  <c r="C3863" i="2"/>
  <c r="B3863" i="2"/>
  <c r="N3862" i="2"/>
  <c r="K3862" i="2"/>
  <c r="H3862" i="2"/>
  <c r="G3862" i="2"/>
  <c r="F3862" i="2"/>
  <c r="E3862" i="2"/>
  <c r="C3862" i="2"/>
  <c r="B3862" i="2"/>
  <c r="N3861" i="2"/>
  <c r="K3861" i="2"/>
  <c r="H3861" i="2"/>
  <c r="G3861" i="2"/>
  <c r="F3861" i="2"/>
  <c r="E3861" i="2"/>
  <c r="C3861" i="2"/>
  <c r="B3861" i="2"/>
  <c r="N3860" i="2"/>
  <c r="K3860" i="2"/>
  <c r="H3860" i="2"/>
  <c r="G3860" i="2"/>
  <c r="F3860" i="2"/>
  <c r="E3860" i="2"/>
  <c r="C3860" i="2"/>
  <c r="B3860" i="2"/>
  <c r="N3859" i="2"/>
  <c r="K3859" i="2"/>
  <c r="H3859" i="2"/>
  <c r="G3859" i="2"/>
  <c r="F3859" i="2"/>
  <c r="E3859" i="2"/>
  <c r="C3859" i="2"/>
  <c r="B3859" i="2"/>
  <c r="N3858" i="2"/>
  <c r="K3858" i="2"/>
  <c r="H3858" i="2"/>
  <c r="G3858" i="2"/>
  <c r="F3858" i="2"/>
  <c r="E3858" i="2"/>
  <c r="C3858" i="2"/>
  <c r="B3858" i="2"/>
  <c r="N3857" i="2"/>
  <c r="K3857" i="2"/>
  <c r="H3857" i="2"/>
  <c r="G3857" i="2"/>
  <c r="F3857" i="2"/>
  <c r="E3857" i="2"/>
  <c r="C3857" i="2"/>
  <c r="B3857" i="2"/>
  <c r="N3856" i="2"/>
  <c r="K3856" i="2"/>
  <c r="H3856" i="2"/>
  <c r="G3856" i="2"/>
  <c r="F3856" i="2"/>
  <c r="E3856" i="2"/>
  <c r="C3856" i="2"/>
  <c r="B3856" i="2"/>
  <c r="N3855" i="2"/>
  <c r="K3855" i="2"/>
  <c r="H3855" i="2"/>
  <c r="G3855" i="2"/>
  <c r="F3855" i="2"/>
  <c r="E3855" i="2"/>
  <c r="C3855" i="2"/>
  <c r="B3855" i="2"/>
  <c r="N3854" i="2"/>
  <c r="K3854" i="2"/>
  <c r="H3854" i="2"/>
  <c r="G3854" i="2"/>
  <c r="F3854" i="2"/>
  <c r="E3854" i="2"/>
  <c r="C3854" i="2"/>
  <c r="B3854" i="2"/>
  <c r="N3853" i="2"/>
  <c r="K3853" i="2"/>
  <c r="H3853" i="2"/>
  <c r="G3853" i="2"/>
  <c r="F3853" i="2"/>
  <c r="E3853" i="2"/>
  <c r="C3853" i="2"/>
  <c r="B3853" i="2"/>
  <c r="N3852" i="2"/>
  <c r="K3852" i="2"/>
  <c r="H3852" i="2"/>
  <c r="G3852" i="2"/>
  <c r="F3852" i="2"/>
  <c r="E3852" i="2"/>
  <c r="C3852" i="2"/>
  <c r="B3852" i="2"/>
  <c r="N3851" i="2"/>
  <c r="K3851" i="2"/>
  <c r="H3851" i="2"/>
  <c r="G3851" i="2"/>
  <c r="F3851" i="2"/>
  <c r="E3851" i="2"/>
  <c r="C3851" i="2"/>
  <c r="B3851" i="2"/>
  <c r="N3850" i="2"/>
  <c r="K3850" i="2"/>
  <c r="H3850" i="2"/>
  <c r="G3850" i="2"/>
  <c r="F3850" i="2"/>
  <c r="E3850" i="2"/>
  <c r="C3850" i="2"/>
  <c r="B3850" i="2"/>
  <c r="N3849" i="2"/>
  <c r="K3849" i="2"/>
  <c r="H3849" i="2"/>
  <c r="G3849" i="2"/>
  <c r="F3849" i="2"/>
  <c r="E3849" i="2"/>
  <c r="C3849" i="2"/>
  <c r="B3849" i="2"/>
  <c r="N3848" i="2"/>
  <c r="K3848" i="2"/>
  <c r="H3848" i="2"/>
  <c r="G3848" i="2"/>
  <c r="F3848" i="2"/>
  <c r="E3848" i="2"/>
  <c r="C3848" i="2"/>
  <c r="B3848" i="2"/>
  <c r="N3847" i="2"/>
  <c r="K3847" i="2"/>
  <c r="H3847" i="2"/>
  <c r="G3847" i="2"/>
  <c r="F3847" i="2"/>
  <c r="E3847" i="2"/>
  <c r="C3847" i="2"/>
  <c r="B3847" i="2"/>
  <c r="N3846" i="2"/>
  <c r="K3846" i="2"/>
  <c r="H3846" i="2"/>
  <c r="G3846" i="2"/>
  <c r="F3846" i="2"/>
  <c r="E3846" i="2"/>
  <c r="C3846" i="2"/>
  <c r="B3846" i="2"/>
  <c r="N3845" i="2"/>
  <c r="K3845" i="2"/>
  <c r="H3845" i="2"/>
  <c r="G3845" i="2"/>
  <c r="F3845" i="2"/>
  <c r="E3845" i="2"/>
  <c r="C3845" i="2"/>
  <c r="B3845" i="2"/>
  <c r="N3844" i="2"/>
  <c r="K3844" i="2"/>
  <c r="H3844" i="2"/>
  <c r="G3844" i="2"/>
  <c r="F3844" i="2"/>
  <c r="E3844" i="2"/>
  <c r="C3844" i="2"/>
  <c r="B3844" i="2"/>
  <c r="N3843" i="2"/>
  <c r="K3843" i="2"/>
  <c r="H3843" i="2"/>
  <c r="G3843" i="2"/>
  <c r="F3843" i="2"/>
  <c r="E3843" i="2"/>
  <c r="C3843" i="2"/>
  <c r="B3843" i="2"/>
  <c r="N3842" i="2"/>
  <c r="K3842" i="2"/>
  <c r="H3842" i="2"/>
  <c r="G3842" i="2"/>
  <c r="F3842" i="2"/>
  <c r="E3842" i="2"/>
  <c r="C3842" i="2"/>
  <c r="B3842" i="2"/>
  <c r="N3841" i="2"/>
  <c r="K3841" i="2"/>
  <c r="H3841" i="2"/>
  <c r="G3841" i="2"/>
  <c r="F3841" i="2"/>
  <c r="E3841" i="2"/>
  <c r="C3841" i="2"/>
  <c r="B3841" i="2"/>
  <c r="N3840" i="2"/>
  <c r="K3840" i="2"/>
  <c r="H3840" i="2"/>
  <c r="G3840" i="2"/>
  <c r="F3840" i="2"/>
  <c r="E3840" i="2"/>
  <c r="C3840" i="2"/>
  <c r="B3840" i="2"/>
  <c r="N3839" i="2"/>
  <c r="K3839" i="2"/>
  <c r="H3839" i="2"/>
  <c r="G3839" i="2"/>
  <c r="F3839" i="2"/>
  <c r="E3839" i="2"/>
  <c r="C3839" i="2"/>
  <c r="B3839" i="2"/>
  <c r="N3838" i="2"/>
  <c r="K3838" i="2"/>
  <c r="H3838" i="2"/>
  <c r="G3838" i="2"/>
  <c r="F3838" i="2"/>
  <c r="E3838" i="2"/>
  <c r="C3838" i="2"/>
  <c r="B3838" i="2"/>
  <c r="N3837" i="2"/>
  <c r="K3837" i="2"/>
  <c r="H3837" i="2"/>
  <c r="G3837" i="2"/>
  <c r="F3837" i="2"/>
  <c r="E3837" i="2"/>
  <c r="C3837" i="2"/>
  <c r="B3837" i="2"/>
  <c r="N3836" i="2"/>
  <c r="K3836" i="2"/>
  <c r="H3836" i="2"/>
  <c r="G3836" i="2"/>
  <c r="F3836" i="2"/>
  <c r="E3836" i="2"/>
  <c r="C3836" i="2"/>
  <c r="B3836" i="2"/>
  <c r="N3835" i="2"/>
  <c r="K3835" i="2"/>
  <c r="H3835" i="2"/>
  <c r="G3835" i="2"/>
  <c r="F3835" i="2"/>
  <c r="E3835" i="2"/>
  <c r="C3835" i="2"/>
  <c r="B3835" i="2"/>
  <c r="N3834" i="2"/>
  <c r="K3834" i="2"/>
  <c r="H3834" i="2"/>
  <c r="G3834" i="2"/>
  <c r="F3834" i="2"/>
  <c r="E3834" i="2"/>
  <c r="C3834" i="2"/>
  <c r="B3834" i="2"/>
  <c r="N3833" i="2"/>
  <c r="K3833" i="2"/>
  <c r="H3833" i="2"/>
  <c r="G3833" i="2"/>
  <c r="F3833" i="2"/>
  <c r="E3833" i="2"/>
  <c r="C3833" i="2"/>
  <c r="B3833" i="2"/>
  <c r="N3832" i="2"/>
  <c r="K3832" i="2"/>
  <c r="H3832" i="2"/>
  <c r="G3832" i="2"/>
  <c r="F3832" i="2"/>
  <c r="E3832" i="2"/>
  <c r="C3832" i="2"/>
  <c r="B3832" i="2"/>
  <c r="N3831" i="2"/>
  <c r="K3831" i="2"/>
  <c r="H3831" i="2"/>
  <c r="G3831" i="2"/>
  <c r="F3831" i="2"/>
  <c r="E3831" i="2"/>
  <c r="C3831" i="2"/>
  <c r="B3831" i="2"/>
  <c r="N3830" i="2"/>
  <c r="K3830" i="2"/>
  <c r="H3830" i="2"/>
  <c r="G3830" i="2"/>
  <c r="F3830" i="2"/>
  <c r="E3830" i="2"/>
  <c r="C3830" i="2"/>
  <c r="B3830" i="2"/>
  <c r="N3829" i="2"/>
  <c r="K3829" i="2"/>
  <c r="H3829" i="2"/>
  <c r="G3829" i="2"/>
  <c r="F3829" i="2"/>
  <c r="E3829" i="2"/>
  <c r="C3829" i="2"/>
  <c r="B3829" i="2"/>
  <c r="N3828" i="2"/>
  <c r="K3828" i="2"/>
  <c r="H3828" i="2"/>
  <c r="G3828" i="2"/>
  <c r="F3828" i="2"/>
  <c r="E3828" i="2"/>
  <c r="C3828" i="2"/>
  <c r="B3828" i="2"/>
  <c r="N3827" i="2"/>
  <c r="K3827" i="2"/>
  <c r="H3827" i="2"/>
  <c r="G3827" i="2"/>
  <c r="F3827" i="2"/>
  <c r="E3827" i="2"/>
  <c r="C3827" i="2"/>
  <c r="B3827" i="2"/>
  <c r="N3826" i="2"/>
  <c r="K3826" i="2"/>
  <c r="H3826" i="2"/>
  <c r="G3826" i="2"/>
  <c r="F3826" i="2"/>
  <c r="E3826" i="2"/>
  <c r="C3826" i="2"/>
  <c r="B3826" i="2"/>
  <c r="N3825" i="2"/>
  <c r="K3825" i="2"/>
  <c r="H3825" i="2"/>
  <c r="G3825" i="2"/>
  <c r="F3825" i="2"/>
  <c r="E3825" i="2"/>
  <c r="C3825" i="2"/>
  <c r="B3825" i="2"/>
  <c r="N3824" i="2"/>
  <c r="K3824" i="2"/>
  <c r="H3824" i="2"/>
  <c r="G3824" i="2"/>
  <c r="F3824" i="2"/>
  <c r="E3824" i="2"/>
  <c r="C3824" i="2"/>
  <c r="B3824" i="2"/>
  <c r="N3823" i="2"/>
  <c r="K3823" i="2"/>
  <c r="H3823" i="2"/>
  <c r="G3823" i="2"/>
  <c r="F3823" i="2"/>
  <c r="E3823" i="2"/>
  <c r="C3823" i="2"/>
  <c r="B3823" i="2"/>
  <c r="N3822" i="2"/>
  <c r="K3822" i="2"/>
  <c r="H3822" i="2"/>
  <c r="G3822" i="2"/>
  <c r="F3822" i="2"/>
  <c r="E3822" i="2"/>
  <c r="C3822" i="2"/>
  <c r="B3822" i="2"/>
  <c r="N3821" i="2"/>
  <c r="K3821" i="2"/>
  <c r="H3821" i="2"/>
  <c r="G3821" i="2"/>
  <c r="F3821" i="2"/>
  <c r="E3821" i="2"/>
  <c r="C3821" i="2"/>
  <c r="B3821" i="2"/>
  <c r="N3820" i="2"/>
  <c r="K3820" i="2"/>
  <c r="H3820" i="2"/>
  <c r="G3820" i="2"/>
  <c r="F3820" i="2"/>
  <c r="E3820" i="2"/>
  <c r="C3820" i="2"/>
  <c r="B3820" i="2"/>
  <c r="N3819" i="2"/>
  <c r="K3819" i="2"/>
  <c r="H3819" i="2"/>
  <c r="G3819" i="2"/>
  <c r="F3819" i="2"/>
  <c r="E3819" i="2"/>
  <c r="C3819" i="2"/>
  <c r="B3819" i="2"/>
  <c r="N3818" i="2"/>
  <c r="K3818" i="2"/>
  <c r="H3818" i="2"/>
  <c r="G3818" i="2"/>
  <c r="F3818" i="2"/>
  <c r="E3818" i="2"/>
  <c r="C3818" i="2"/>
  <c r="B3818" i="2"/>
  <c r="N3817" i="2"/>
  <c r="K3817" i="2"/>
  <c r="H3817" i="2"/>
  <c r="G3817" i="2"/>
  <c r="F3817" i="2"/>
  <c r="E3817" i="2"/>
  <c r="C3817" i="2"/>
  <c r="B3817" i="2"/>
  <c r="N3816" i="2"/>
  <c r="K3816" i="2"/>
  <c r="H3816" i="2"/>
  <c r="G3816" i="2"/>
  <c r="F3816" i="2"/>
  <c r="E3816" i="2"/>
  <c r="C3816" i="2"/>
  <c r="B3816" i="2"/>
  <c r="N3815" i="2"/>
  <c r="K3815" i="2"/>
  <c r="H3815" i="2"/>
  <c r="G3815" i="2"/>
  <c r="F3815" i="2"/>
  <c r="E3815" i="2"/>
  <c r="C3815" i="2"/>
  <c r="B3815" i="2"/>
  <c r="N3814" i="2"/>
  <c r="K3814" i="2"/>
  <c r="H3814" i="2"/>
  <c r="G3814" i="2"/>
  <c r="F3814" i="2"/>
  <c r="E3814" i="2"/>
  <c r="C3814" i="2"/>
  <c r="B3814" i="2"/>
  <c r="N3813" i="2"/>
  <c r="K3813" i="2"/>
  <c r="H3813" i="2"/>
  <c r="G3813" i="2"/>
  <c r="F3813" i="2"/>
  <c r="E3813" i="2"/>
  <c r="C3813" i="2"/>
  <c r="B3813" i="2"/>
  <c r="N3812" i="2"/>
  <c r="K3812" i="2"/>
  <c r="H3812" i="2"/>
  <c r="G3812" i="2"/>
  <c r="F3812" i="2"/>
  <c r="E3812" i="2"/>
  <c r="C3812" i="2"/>
  <c r="B3812" i="2"/>
  <c r="N3811" i="2"/>
  <c r="K3811" i="2"/>
  <c r="H3811" i="2"/>
  <c r="G3811" i="2"/>
  <c r="F3811" i="2"/>
  <c r="E3811" i="2"/>
  <c r="C3811" i="2"/>
  <c r="B3811" i="2"/>
  <c r="N3810" i="2"/>
  <c r="K3810" i="2"/>
  <c r="H3810" i="2"/>
  <c r="G3810" i="2"/>
  <c r="F3810" i="2"/>
  <c r="E3810" i="2"/>
  <c r="C3810" i="2"/>
  <c r="B3810" i="2"/>
  <c r="N3809" i="2"/>
  <c r="K3809" i="2"/>
  <c r="H3809" i="2"/>
  <c r="G3809" i="2"/>
  <c r="F3809" i="2"/>
  <c r="E3809" i="2"/>
  <c r="C3809" i="2"/>
  <c r="B3809" i="2"/>
  <c r="N3808" i="2"/>
  <c r="K3808" i="2"/>
  <c r="H3808" i="2"/>
  <c r="G3808" i="2"/>
  <c r="F3808" i="2"/>
  <c r="E3808" i="2"/>
  <c r="C3808" i="2"/>
  <c r="B3808" i="2"/>
  <c r="N3807" i="2"/>
  <c r="K3807" i="2"/>
  <c r="H3807" i="2"/>
  <c r="G3807" i="2"/>
  <c r="F3807" i="2"/>
  <c r="E3807" i="2"/>
  <c r="C3807" i="2"/>
  <c r="B3807" i="2"/>
  <c r="N3806" i="2"/>
  <c r="K3806" i="2"/>
  <c r="H3806" i="2"/>
  <c r="G3806" i="2"/>
  <c r="F3806" i="2"/>
  <c r="E3806" i="2"/>
  <c r="C3806" i="2"/>
  <c r="B3806" i="2"/>
  <c r="N3805" i="2"/>
  <c r="K3805" i="2"/>
  <c r="H3805" i="2"/>
  <c r="G3805" i="2"/>
  <c r="F3805" i="2"/>
  <c r="E3805" i="2"/>
  <c r="C3805" i="2"/>
  <c r="B3805" i="2"/>
  <c r="N3804" i="2"/>
  <c r="K3804" i="2"/>
  <c r="H3804" i="2"/>
  <c r="G3804" i="2"/>
  <c r="F3804" i="2"/>
  <c r="E3804" i="2"/>
  <c r="C3804" i="2"/>
  <c r="B3804" i="2"/>
  <c r="N3803" i="2"/>
  <c r="K3803" i="2"/>
  <c r="H3803" i="2"/>
  <c r="G3803" i="2"/>
  <c r="F3803" i="2"/>
  <c r="E3803" i="2"/>
  <c r="C3803" i="2"/>
  <c r="B3803" i="2"/>
  <c r="N3802" i="2"/>
  <c r="K3802" i="2"/>
  <c r="H3802" i="2"/>
  <c r="G3802" i="2"/>
  <c r="F3802" i="2"/>
  <c r="E3802" i="2"/>
  <c r="C3802" i="2"/>
  <c r="B3802" i="2"/>
  <c r="N3801" i="2"/>
  <c r="K3801" i="2"/>
  <c r="H3801" i="2"/>
  <c r="G3801" i="2"/>
  <c r="F3801" i="2"/>
  <c r="E3801" i="2"/>
  <c r="C3801" i="2"/>
  <c r="B3801" i="2"/>
  <c r="N3800" i="2"/>
  <c r="K3800" i="2"/>
  <c r="H3800" i="2"/>
  <c r="G3800" i="2"/>
  <c r="F3800" i="2"/>
  <c r="E3800" i="2"/>
  <c r="C3800" i="2"/>
  <c r="B3800" i="2"/>
  <c r="N3799" i="2"/>
  <c r="K3799" i="2"/>
  <c r="H3799" i="2"/>
  <c r="G3799" i="2"/>
  <c r="F3799" i="2"/>
  <c r="E3799" i="2"/>
  <c r="C3799" i="2"/>
  <c r="B3799" i="2"/>
  <c r="N3798" i="2"/>
  <c r="K3798" i="2"/>
  <c r="H3798" i="2"/>
  <c r="G3798" i="2"/>
  <c r="F3798" i="2"/>
  <c r="E3798" i="2"/>
  <c r="C3798" i="2"/>
  <c r="B3798" i="2"/>
  <c r="N3797" i="2"/>
  <c r="K3797" i="2"/>
  <c r="H3797" i="2"/>
  <c r="G3797" i="2"/>
  <c r="F3797" i="2"/>
  <c r="E3797" i="2"/>
  <c r="C3797" i="2"/>
  <c r="B3797" i="2"/>
  <c r="N3796" i="2"/>
  <c r="K3796" i="2"/>
  <c r="H3796" i="2"/>
  <c r="G3796" i="2"/>
  <c r="F3796" i="2"/>
  <c r="E3796" i="2"/>
  <c r="C3796" i="2"/>
  <c r="B3796" i="2"/>
  <c r="N3795" i="2"/>
  <c r="K3795" i="2"/>
  <c r="H3795" i="2"/>
  <c r="G3795" i="2"/>
  <c r="F3795" i="2"/>
  <c r="E3795" i="2"/>
  <c r="C3795" i="2"/>
  <c r="B3795" i="2"/>
  <c r="N3794" i="2"/>
  <c r="K3794" i="2"/>
  <c r="H3794" i="2"/>
  <c r="G3794" i="2"/>
  <c r="F3794" i="2"/>
  <c r="E3794" i="2"/>
  <c r="C3794" i="2"/>
  <c r="B3794" i="2"/>
  <c r="N3793" i="2"/>
  <c r="K3793" i="2"/>
  <c r="H3793" i="2"/>
  <c r="G3793" i="2"/>
  <c r="F3793" i="2"/>
  <c r="E3793" i="2"/>
  <c r="C3793" i="2"/>
  <c r="B3793" i="2"/>
  <c r="N3792" i="2"/>
  <c r="K3792" i="2"/>
  <c r="H3792" i="2"/>
  <c r="G3792" i="2"/>
  <c r="F3792" i="2"/>
  <c r="E3792" i="2"/>
  <c r="C3792" i="2"/>
  <c r="B3792" i="2"/>
  <c r="N3791" i="2"/>
  <c r="K3791" i="2"/>
  <c r="H3791" i="2"/>
  <c r="G3791" i="2"/>
  <c r="F3791" i="2"/>
  <c r="E3791" i="2"/>
  <c r="C3791" i="2"/>
  <c r="B3791" i="2"/>
  <c r="N3790" i="2"/>
  <c r="K3790" i="2"/>
  <c r="H3790" i="2"/>
  <c r="G3790" i="2"/>
  <c r="F3790" i="2"/>
  <c r="E3790" i="2"/>
  <c r="C3790" i="2"/>
  <c r="B3790" i="2"/>
  <c r="N3789" i="2"/>
  <c r="K3789" i="2"/>
  <c r="H3789" i="2"/>
  <c r="G3789" i="2"/>
  <c r="F3789" i="2"/>
  <c r="E3789" i="2"/>
  <c r="C3789" i="2"/>
  <c r="B3789" i="2"/>
  <c r="N3788" i="2"/>
  <c r="K3788" i="2"/>
  <c r="H3788" i="2"/>
  <c r="G3788" i="2"/>
  <c r="F3788" i="2"/>
  <c r="E3788" i="2"/>
  <c r="C3788" i="2"/>
  <c r="B3788" i="2"/>
  <c r="N3787" i="2"/>
  <c r="K3787" i="2"/>
  <c r="H3787" i="2"/>
  <c r="G3787" i="2"/>
  <c r="F3787" i="2"/>
  <c r="E3787" i="2"/>
  <c r="C3787" i="2"/>
  <c r="B3787" i="2"/>
  <c r="N3786" i="2"/>
  <c r="K3786" i="2"/>
  <c r="H3786" i="2"/>
  <c r="G3786" i="2"/>
  <c r="F3786" i="2"/>
  <c r="E3786" i="2"/>
  <c r="C3786" i="2"/>
  <c r="B3786" i="2"/>
  <c r="N3785" i="2"/>
  <c r="K3785" i="2"/>
  <c r="H3785" i="2"/>
  <c r="G3785" i="2"/>
  <c r="F3785" i="2"/>
  <c r="E3785" i="2"/>
  <c r="C3785" i="2"/>
  <c r="B3785" i="2"/>
  <c r="N3784" i="2"/>
  <c r="K3784" i="2"/>
  <c r="H3784" i="2"/>
  <c r="G3784" i="2"/>
  <c r="F3784" i="2"/>
  <c r="E3784" i="2"/>
  <c r="C3784" i="2"/>
  <c r="B3784" i="2"/>
  <c r="N3783" i="2"/>
  <c r="K3783" i="2"/>
  <c r="H3783" i="2"/>
  <c r="G3783" i="2"/>
  <c r="F3783" i="2"/>
  <c r="E3783" i="2"/>
  <c r="C3783" i="2"/>
  <c r="B3783" i="2"/>
  <c r="N3782" i="2"/>
  <c r="K3782" i="2"/>
  <c r="H3782" i="2"/>
  <c r="G3782" i="2"/>
  <c r="F3782" i="2"/>
  <c r="E3782" i="2"/>
  <c r="C3782" i="2"/>
  <c r="B3782" i="2"/>
  <c r="N3781" i="2"/>
  <c r="K3781" i="2"/>
  <c r="H3781" i="2"/>
  <c r="G3781" i="2"/>
  <c r="F3781" i="2"/>
  <c r="E3781" i="2"/>
  <c r="C3781" i="2"/>
  <c r="B3781" i="2"/>
  <c r="N3780" i="2"/>
  <c r="K3780" i="2"/>
  <c r="H3780" i="2"/>
  <c r="G3780" i="2"/>
  <c r="F3780" i="2"/>
  <c r="E3780" i="2"/>
  <c r="C3780" i="2"/>
  <c r="B3780" i="2"/>
  <c r="N3779" i="2"/>
  <c r="K3779" i="2"/>
  <c r="H3779" i="2"/>
  <c r="G3779" i="2"/>
  <c r="F3779" i="2"/>
  <c r="E3779" i="2"/>
  <c r="C3779" i="2"/>
  <c r="B3779" i="2"/>
  <c r="N3778" i="2"/>
  <c r="K3778" i="2"/>
  <c r="H3778" i="2"/>
  <c r="G3778" i="2"/>
  <c r="F3778" i="2"/>
  <c r="E3778" i="2"/>
  <c r="C3778" i="2"/>
  <c r="B3778" i="2"/>
  <c r="N3777" i="2"/>
  <c r="K3777" i="2"/>
  <c r="H3777" i="2"/>
  <c r="G3777" i="2"/>
  <c r="F3777" i="2"/>
  <c r="E3777" i="2"/>
  <c r="C3777" i="2"/>
  <c r="B3777" i="2"/>
  <c r="N3776" i="2"/>
  <c r="K3776" i="2"/>
  <c r="H3776" i="2"/>
  <c r="G3776" i="2"/>
  <c r="F3776" i="2"/>
  <c r="E3776" i="2"/>
  <c r="C3776" i="2"/>
  <c r="B3776" i="2"/>
  <c r="N3775" i="2"/>
  <c r="K3775" i="2"/>
  <c r="H3775" i="2"/>
  <c r="G3775" i="2"/>
  <c r="F3775" i="2"/>
  <c r="E3775" i="2"/>
  <c r="C3775" i="2"/>
  <c r="B3775" i="2"/>
  <c r="N3774" i="2"/>
  <c r="K3774" i="2"/>
  <c r="H3774" i="2"/>
  <c r="G3774" i="2"/>
  <c r="F3774" i="2"/>
  <c r="E3774" i="2"/>
  <c r="C3774" i="2"/>
  <c r="B3774" i="2"/>
  <c r="N3773" i="2"/>
  <c r="K3773" i="2"/>
  <c r="H3773" i="2"/>
  <c r="G3773" i="2"/>
  <c r="F3773" i="2"/>
  <c r="E3773" i="2"/>
  <c r="C3773" i="2"/>
  <c r="B3773" i="2"/>
  <c r="N3772" i="2"/>
  <c r="K3772" i="2"/>
  <c r="H3772" i="2"/>
  <c r="G3772" i="2"/>
  <c r="F3772" i="2"/>
  <c r="E3772" i="2"/>
  <c r="C3772" i="2"/>
  <c r="B3772" i="2"/>
  <c r="N3771" i="2"/>
  <c r="K3771" i="2"/>
  <c r="H3771" i="2"/>
  <c r="G3771" i="2"/>
  <c r="F3771" i="2"/>
  <c r="E3771" i="2"/>
  <c r="C3771" i="2"/>
  <c r="B3771" i="2"/>
  <c r="N3770" i="2"/>
  <c r="K3770" i="2"/>
  <c r="H3770" i="2"/>
  <c r="G3770" i="2"/>
  <c r="F3770" i="2"/>
  <c r="E3770" i="2"/>
  <c r="C3770" i="2"/>
  <c r="B3770" i="2"/>
  <c r="N3769" i="2"/>
  <c r="K3769" i="2"/>
  <c r="H3769" i="2"/>
  <c r="G3769" i="2"/>
  <c r="F3769" i="2"/>
  <c r="E3769" i="2"/>
  <c r="C3769" i="2"/>
  <c r="B3769" i="2"/>
  <c r="N3768" i="2"/>
  <c r="K3768" i="2"/>
  <c r="H3768" i="2"/>
  <c r="G3768" i="2"/>
  <c r="F3768" i="2"/>
  <c r="E3768" i="2"/>
  <c r="C3768" i="2"/>
  <c r="B3768" i="2"/>
  <c r="N3767" i="2"/>
  <c r="K3767" i="2"/>
  <c r="H3767" i="2"/>
  <c r="G3767" i="2"/>
  <c r="F3767" i="2"/>
  <c r="E3767" i="2"/>
  <c r="C3767" i="2"/>
  <c r="B3767" i="2"/>
  <c r="N3766" i="2"/>
  <c r="K3766" i="2"/>
  <c r="H3766" i="2"/>
  <c r="G3766" i="2"/>
  <c r="F3766" i="2"/>
  <c r="E3766" i="2"/>
  <c r="C3766" i="2"/>
  <c r="B3766" i="2"/>
  <c r="N3765" i="2"/>
  <c r="K3765" i="2"/>
  <c r="H3765" i="2"/>
  <c r="G3765" i="2"/>
  <c r="F3765" i="2"/>
  <c r="E3765" i="2"/>
  <c r="C3765" i="2"/>
  <c r="B3765" i="2"/>
  <c r="N3764" i="2"/>
  <c r="K3764" i="2"/>
  <c r="H3764" i="2"/>
  <c r="G3764" i="2"/>
  <c r="F3764" i="2"/>
  <c r="E3764" i="2"/>
  <c r="C3764" i="2"/>
  <c r="B3764" i="2"/>
  <c r="N3763" i="2"/>
  <c r="K3763" i="2"/>
  <c r="H3763" i="2"/>
  <c r="G3763" i="2"/>
  <c r="F3763" i="2"/>
  <c r="E3763" i="2"/>
  <c r="C3763" i="2"/>
  <c r="B3763" i="2"/>
  <c r="N3762" i="2"/>
  <c r="K3762" i="2"/>
  <c r="H3762" i="2"/>
  <c r="G3762" i="2"/>
  <c r="F3762" i="2"/>
  <c r="E3762" i="2"/>
  <c r="C3762" i="2"/>
  <c r="B3762" i="2"/>
  <c r="N3761" i="2"/>
  <c r="K3761" i="2"/>
  <c r="H3761" i="2"/>
  <c r="G3761" i="2"/>
  <c r="F3761" i="2"/>
  <c r="E3761" i="2"/>
  <c r="C3761" i="2"/>
  <c r="B3761" i="2"/>
  <c r="N3760" i="2"/>
  <c r="K3760" i="2"/>
  <c r="H3760" i="2"/>
  <c r="G3760" i="2"/>
  <c r="F3760" i="2"/>
  <c r="E3760" i="2"/>
  <c r="C3760" i="2"/>
  <c r="B3760" i="2"/>
  <c r="N3759" i="2"/>
  <c r="K3759" i="2"/>
  <c r="H3759" i="2"/>
  <c r="G3759" i="2"/>
  <c r="F3759" i="2"/>
  <c r="E3759" i="2"/>
  <c r="C3759" i="2"/>
  <c r="B3759" i="2"/>
  <c r="N3758" i="2"/>
  <c r="K3758" i="2"/>
  <c r="H3758" i="2"/>
  <c r="G3758" i="2"/>
  <c r="F3758" i="2"/>
  <c r="E3758" i="2"/>
  <c r="C3758" i="2"/>
  <c r="B3758" i="2"/>
  <c r="N3757" i="2"/>
  <c r="K3757" i="2"/>
  <c r="H3757" i="2"/>
  <c r="G3757" i="2"/>
  <c r="F3757" i="2"/>
  <c r="E3757" i="2"/>
  <c r="C3757" i="2"/>
  <c r="B3757" i="2"/>
  <c r="N3756" i="2"/>
  <c r="K3756" i="2"/>
  <c r="H3756" i="2"/>
  <c r="G3756" i="2"/>
  <c r="F3756" i="2"/>
  <c r="E3756" i="2"/>
  <c r="C3756" i="2"/>
  <c r="B3756" i="2"/>
  <c r="N3755" i="2"/>
  <c r="K3755" i="2"/>
  <c r="H3755" i="2"/>
  <c r="G3755" i="2"/>
  <c r="F3755" i="2"/>
  <c r="E3755" i="2"/>
  <c r="C3755" i="2"/>
  <c r="B3755" i="2"/>
  <c r="N3754" i="2"/>
  <c r="K3754" i="2"/>
  <c r="H3754" i="2"/>
  <c r="G3754" i="2"/>
  <c r="F3754" i="2"/>
  <c r="E3754" i="2"/>
  <c r="C3754" i="2"/>
  <c r="B3754" i="2"/>
  <c r="N3753" i="2"/>
  <c r="K3753" i="2"/>
  <c r="H3753" i="2"/>
  <c r="G3753" i="2"/>
  <c r="F3753" i="2"/>
  <c r="E3753" i="2"/>
  <c r="C3753" i="2"/>
  <c r="B3753" i="2"/>
  <c r="N3752" i="2"/>
  <c r="K3752" i="2"/>
  <c r="H3752" i="2"/>
  <c r="G3752" i="2"/>
  <c r="F3752" i="2"/>
  <c r="E3752" i="2"/>
  <c r="C3752" i="2"/>
  <c r="B3752" i="2"/>
  <c r="N3751" i="2"/>
  <c r="K3751" i="2"/>
  <c r="H3751" i="2"/>
  <c r="G3751" i="2"/>
  <c r="F3751" i="2"/>
  <c r="E3751" i="2"/>
  <c r="C3751" i="2"/>
  <c r="B3751" i="2"/>
  <c r="N3750" i="2"/>
  <c r="K3750" i="2"/>
  <c r="H3750" i="2"/>
  <c r="G3750" i="2"/>
  <c r="F3750" i="2"/>
  <c r="E3750" i="2"/>
  <c r="C3750" i="2"/>
  <c r="B3750" i="2"/>
  <c r="N3749" i="2"/>
  <c r="K3749" i="2"/>
  <c r="H3749" i="2"/>
  <c r="G3749" i="2"/>
  <c r="F3749" i="2"/>
  <c r="E3749" i="2"/>
  <c r="C3749" i="2"/>
  <c r="B3749" i="2"/>
  <c r="N3748" i="2"/>
  <c r="K3748" i="2"/>
  <c r="H3748" i="2"/>
  <c r="G3748" i="2"/>
  <c r="F3748" i="2"/>
  <c r="E3748" i="2"/>
  <c r="C3748" i="2"/>
  <c r="B3748" i="2"/>
  <c r="N3747" i="2"/>
  <c r="K3747" i="2"/>
  <c r="H3747" i="2"/>
  <c r="G3747" i="2"/>
  <c r="F3747" i="2"/>
  <c r="E3747" i="2"/>
  <c r="C3747" i="2"/>
  <c r="B3747" i="2"/>
  <c r="N3746" i="2"/>
  <c r="K3746" i="2"/>
  <c r="H3746" i="2"/>
  <c r="G3746" i="2"/>
  <c r="F3746" i="2"/>
  <c r="E3746" i="2"/>
  <c r="C3746" i="2"/>
  <c r="B3746" i="2"/>
  <c r="N3745" i="2"/>
  <c r="K3745" i="2"/>
  <c r="H3745" i="2"/>
  <c r="G3745" i="2"/>
  <c r="F3745" i="2"/>
  <c r="E3745" i="2"/>
  <c r="C3745" i="2"/>
  <c r="B3745" i="2"/>
  <c r="N3744" i="2"/>
  <c r="K3744" i="2"/>
  <c r="H3744" i="2"/>
  <c r="G3744" i="2"/>
  <c r="F3744" i="2"/>
  <c r="E3744" i="2"/>
  <c r="C3744" i="2"/>
  <c r="B3744" i="2"/>
  <c r="N3743" i="2"/>
  <c r="K3743" i="2"/>
  <c r="H3743" i="2"/>
  <c r="G3743" i="2"/>
  <c r="F3743" i="2"/>
  <c r="E3743" i="2"/>
  <c r="C3743" i="2"/>
  <c r="B3743" i="2"/>
  <c r="N3742" i="2"/>
  <c r="K3742" i="2"/>
  <c r="H3742" i="2"/>
  <c r="G3742" i="2"/>
  <c r="F3742" i="2"/>
  <c r="E3742" i="2"/>
  <c r="C3742" i="2"/>
  <c r="B3742" i="2"/>
  <c r="N3741" i="2"/>
  <c r="K3741" i="2"/>
  <c r="H3741" i="2"/>
  <c r="G3741" i="2"/>
  <c r="F3741" i="2"/>
  <c r="E3741" i="2"/>
  <c r="C3741" i="2"/>
  <c r="B3741" i="2"/>
  <c r="N3740" i="2"/>
  <c r="K3740" i="2"/>
  <c r="H3740" i="2"/>
  <c r="G3740" i="2"/>
  <c r="F3740" i="2"/>
  <c r="E3740" i="2"/>
  <c r="C3740" i="2"/>
  <c r="B3740" i="2"/>
  <c r="N3739" i="2"/>
  <c r="K3739" i="2"/>
  <c r="H3739" i="2"/>
  <c r="G3739" i="2"/>
  <c r="F3739" i="2"/>
  <c r="E3739" i="2"/>
  <c r="C3739" i="2"/>
  <c r="B3739" i="2"/>
  <c r="N3738" i="2"/>
  <c r="K3738" i="2"/>
  <c r="H3738" i="2"/>
  <c r="G3738" i="2"/>
  <c r="F3738" i="2"/>
  <c r="E3738" i="2"/>
  <c r="C3738" i="2"/>
  <c r="B3738" i="2"/>
  <c r="N3737" i="2"/>
  <c r="K3737" i="2"/>
  <c r="H3737" i="2"/>
  <c r="G3737" i="2"/>
  <c r="F3737" i="2"/>
  <c r="E3737" i="2"/>
  <c r="C3737" i="2"/>
  <c r="B3737" i="2"/>
  <c r="N3736" i="2"/>
  <c r="K3736" i="2"/>
  <c r="H3736" i="2"/>
  <c r="G3736" i="2"/>
  <c r="F3736" i="2"/>
  <c r="E3736" i="2"/>
  <c r="C3736" i="2"/>
  <c r="B3736" i="2"/>
  <c r="N3735" i="2"/>
  <c r="K3735" i="2"/>
  <c r="H3735" i="2"/>
  <c r="G3735" i="2"/>
  <c r="F3735" i="2"/>
  <c r="E3735" i="2"/>
  <c r="C3735" i="2"/>
  <c r="B3735" i="2"/>
  <c r="N3734" i="2"/>
  <c r="K3734" i="2"/>
  <c r="H3734" i="2"/>
  <c r="G3734" i="2"/>
  <c r="F3734" i="2"/>
  <c r="E3734" i="2"/>
  <c r="C3734" i="2"/>
  <c r="B3734" i="2"/>
  <c r="N3733" i="2"/>
  <c r="K3733" i="2"/>
  <c r="H3733" i="2"/>
  <c r="G3733" i="2"/>
  <c r="F3733" i="2"/>
  <c r="E3733" i="2"/>
  <c r="C3733" i="2"/>
  <c r="B3733" i="2"/>
  <c r="N3732" i="2"/>
  <c r="K3732" i="2"/>
  <c r="H3732" i="2"/>
  <c r="G3732" i="2"/>
  <c r="F3732" i="2"/>
  <c r="E3732" i="2"/>
  <c r="C3732" i="2"/>
  <c r="B3732" i="2"/>
  <c r="N3731" i="2"/>
  <c r="K3731" i="2"/>
  <c r="H3731" i="2"/>
  <c r="G3731" i="2"/>
  <c r="F3731" i="2"/>
  <c r="E3731" i="2"/>
  <c r="C3731" i="2"/>
  <c r="B3731" i="2"/>
  <c r="N3730" i="2"/>
  <c r="K3730" i="2"/>
  <c r="H3730" i="2"/>
  <c r="G3730" i="2"/>
  <c r="F3730" i="2"/>
  <c r="E3730" i="2"/>
  <c r="C3730" i="2"/>
  <c r="B3730" i="2"/>
  <c r="N3729" i="2"/>
  <c r="K3729" i="2"/>
  <c r="H3729" i="2"/>
  <c r="G3729" i="2"/>
  <c r="F3729" i="2"/>
  <c r="E3729" i="2"/>
  <c r="C3729" i="2"/>
  <c r="B3729" i="2"/>
  <c r="N3728" i="2"/>
  <c r="K3728" i="2"/>
  <c r="H3728" i="2"/>
  <c r="G3728" i="2"/>
  <c r="F3728" i="2"/>
  <c r="E3728" i="2"/>
  <c r="C3728" i="2"/>
  <c r="B3728" i="2"/>
  <c r="N3727" i="2"/>
  <c r="K3727" i="2"/>
  <c r="H3727" i="2"/>
  <c r="G3727" i="2"/>
  <c r="F3727" i="2"/>
  <c r="E3727" i="2"/>
  <c r="C3727" i="2"/>
  <c r="B3727" i="2"/>
  <c r="N3726" i="2"/>
  <c r="K3726" i="2"/>
  <c r="H3726" i="2"/>
  <c r="G3726" i="2"/>
  <c r="F3726" i="2"/>
  <c r="E3726" i="2"/>
  <c r="C3726" i="2"/>
  <c r="B3726" i="2"/>
  <c r="N3725" i="2"/>
  <c r="K3725" i="2"/>
  <c r="H3725" i="2"/>
  <c r="G3725" i="2"/>
  <c r="F3725" i="2"/>
  <c r="E3725" i="2"/>
  <c r="C3725" i="2"/>
  <c r="B3725" i="2"/>
  <c r="N3724" i="2"/>
  <c r="K3724" i="2"/>
  <c r="H3724" i="2"/>
  <c r="G3724" i="2"/>
  <c r="F3724" i="2"/>
  <c r="E3724" i="2"/>
  <c r="C3724" i="2"/>
  <c r="B3724" i="2"/>
  <c r="N3723" i="2"/>
  <c r="K3723" i="2"/>
  <c r="H3723" i="2"/>
  <c r="G3723" i="2"/>
  <c r="F3723" i="2"/>
  <c r="E3723" i="2"/>
  <c r="C3723" i="2"/>
  <c r="B3723" i="2"/>
  <c r="N3722" i="2"/>
  <c r="K3722" i="2"/>
  <c r="H3722" i="2"/>
  <c r="G3722" i="2"/>
  <c r="F3722" i="2"/>
  <c r="E3722" i="2"/>
  <c r="C3722" i="2"/>
  <c r="B3722" i="2"/>
  <c r="N3721" i="2"/>
  <c r="K3721" i="2"/>
  <c r="H3721" i="2"/>
  <c r="G3721" i="2"/>
  <c r="F3721" i="2"/>
  <c r="E3721" i="2"/>
  <c r="C3721" i="2"/>
  <c r="B3721" i="2"/>
  <c r="N3720" i="2"/>
  <c r="K3720" i="2"/>
  <c r="H3720" i="2"/>
  <c r="G3720" i="2"/>
  <c r="F3720" i="2"/>
  <c r="E3720" i="2"/>
  <c r="C3720" i="2"/>
  <c r="B3720" i="2"/>
  <c r="N3719" i="2"/>
  <c r="K3719" i="2"/>
  <c r="H3719" i="2"/>
  <c r="G3719" i="2"/>
  <c r="F3719" i="2"/>
  <c r="E3719" i="2"/>
  <c r="C3719" i="2"/>
  <c r="B3719" i="2"/>
  <c r="N3718" i="2"/>
  <c r="K3718" i="2"/>
  <c r="H3718" i="2"/>
  <c r="G3718" i="2"/>
  <c r="F3718" i="2"/>
  <c r="E3718" i="2"/>
  <c r="C3718" i="2"/>
  <c r="B3718" i="2"/>
  <c r="N3717" i="2"/>
  <c r="K3717" i="2"/>
  <c r="H3717" i="2"/>
  <c r="G3717" i="2"/>
  <c r="F3717" i="2"/>
  <c r="E3717" i="2"/>
  <c r="C3717" i="2"/>
  <c r="B3717" i="2"/>
  <c r="N3716" i="2"/>
  <c r="K3716" i="2"/>
  <c r="H3716" i="2"/>
  <c r="G3716" i="2"/>
  <c r="F3716" i="2"/>
  <c r="E3716" i="2"/>
  <c r="C3716" i="2"/>
  <c r="B3716" i="2"/>
  <c r="N3715" i="2"/>
  <c r="K3715" i="2"/>
  <c r="H3715" i="2"/>
  <c r="G3715" i="2"/>
  <c r="F3715" i="2"/>
  <c r="E3715" i="2"/>
  <c r="C3715" i="2"/>
  <c r="B3715" i="2"/>
  <c r="N3714" i="2"/>
  <c r="K3714" i="2"/>
  <c r="H3714" i="2"/>
  <c r="G3714" i="2"/>
  <c r="F3714" i="2"/>
  <c r="E3714" i="2"/>
  <c r="C3714" i="2"/>
  <c r="B3714" i="2"/>
  <c r="N3713" i="2"/>
  <c r="K3713" i="2"/>
  <c r="H3713" i="2"/>
  <c r="G3713" i="2"/>
  <c r="F3713" i="2"/>
  <c r="E3713" i="2"/>
  <c r="C3713" i="2"/>
  <c r="B3713" i="2"/>
  <c r="N3712" i="2"/>
  <c r="K3712" i="2"/>
  <c r="H3712" i="2"/>
  <c r="G3712" i="2"/>
  <c r="F3712" i="2"/>
  <c r="E3712" i="2"/>
  <c r="C3712" i="2"/>
  <c r="B3712" i="2"/>
  <c r="N3711" i="2"/>
  <c r="K3711" i="2"/>
  <c r="H3711" i="2"/>
  <c r="G3711" i="2"/>
  <c r="F3711" i="2"/>
  <c r="E3711" i="2"/>
  <c r="C3711" i="2"/>
  <c r="B3711" i="2"/>
  <c r="N3710" i="2"/>
  <c r="K3710" i="2"/>
  <c r="H3710" i="2"/>
  <c r="G3710" i="2"/>
  <c r="F3710" i="2"/>
  <c r="E3710" i="2"/>
  <c r="C3710" i="2"/>
  <c r="B3710" i="2"/>
  <c r="N3709" i="2"/>
  <c r="K3709" i="2"/>
  <c r="H3709" i="2"/>
  <c r="G3709" i="2"/>
  <c r="F3709" i="2"/>
  <c r="E3709" i="2"/>
  <c r="C3709" i="2"/>
  <c r="B3709" i="2"/>
  <c r="N3708" i="2"/>
  <c r="K3708" i="2"/>
  <c r="H3708" i="2"/>
  <c r="G3708" i="2"/>
  <c r="F3708" i="2"/>
  <c r="E3708" i="2"/>
  <c r="C3708" i="2"/>
  <c r="B3708" i="2"/>
  <c r="N3707" i="2"/>
  <c r="K3707" i="2"/>
  <c r="H3707" i="2"/>
  <c r="G3707" i="2"/>
  <c r="F3707" i="2"/>
  <c r="E3707" i="2"/>
  <c r="C3707" i="2"/>
  <c r="B3707" i="2"/>
  <c r="N3706" i="2"/>
  <c r="K3706" i="2"/>
  <c r="H3706" i="2"/>
  <c r="G3706" i="2"/>
  <c r="F3706" i="2"/>
  <c r="E3706" i="2"/>
  <c r="C3706" i="2"/>
  <c r="B3706" i="2"/>
  <c r="N3705" i="2"/>
  <c r="K3705" i="2"/>
  <c r="H3705" i="2"/>
  <c r="G3705" i="2"/>
  <c r="F3705" i="2"/>
  <c r="E3705" i="2"/>
  <c r="C3705" i="2"/>
  <c r="B3705" i="2"/>
  <c r="N3704" i="2"/>
  <c r="K3704" i="2"/>
  <c r="H3704" i="2"/>
  <c r="G3704" i="2"/>
  <c r="F3704" i="2"/>
  <c r="E3704" i="2"/>
  <c r="C3704" i="2"/>
  <c r="B3704" i="2"/>
  <c r="N3703" i="2"/>
  <c r="K3703" i="2"/>
  <c r="H3703" i="2"/>
  <c r="G3703" i="2"/>
  <c r="F3703" i="2"/>
  <c r="E3703" i="2"/>
  <c r="C3703" i="2"/>
  <c r="B3703" i="2"/>
  <c r="N3702" i="2"/>
  <c r="K3702" i="2"/>
  <c r="H3702" i="2"/>
  <c r="G3702" i="2"/>
  <c r="F3702" i="2"/>
  <c r="E3702" i="2"/>
  <c r="C3702" i="2"/>
  <c r="B3702" i="2"/>
  <c r="N3701" i="2"/>
  <c r="K3701" i="2"/>
  <c r="H3701" i="2"/>
  <c r="G3701" i="2"/>
  <c r="F3701" i="2"/>
  <c r="E3701" i="2"/>
  <c r="C3701" i="2"/>
  <c r="B3701" i="2"/>
  <c r="N3700" i="2"/>
  <c r="K3700" i="2"/>
  <c r="H3700" i="2"/>
  <c r="G3700" i="2"/>
  <c r="F3700" i="2"/>
  <c r="E3700" i="2"/>
  <c r="C3700" i="2"/>
  <c r="B3700" i="2"/>
  <c r="N3699" i="2"/>
  <c r="K3699" i="2"/>
  <c r="H3699" i="2"/>
  <c r="G3699" i="2"/>
  <c r="F3699" i="2"/>
  <c r="E3699" i="2"/>
  <c r="C3699" i="2"/>
  <c r="B3699" i="2"/>
  <c r="N3698" i="2"/>
  <c r="K3698" i="2"/>
  <c r="H3698" i="2"/>
  <c r="G3698" i="2"/>
  <c r="F3698" i="2"/>
  <c r="E3698" i="2"/>
  <c r="C3698" i="2"/>
  <c r="B3698" i="2"/>
  <c r="N3697" i="2"/>
  <c r="K3697" i="2"/>
  <c r="H3697" i="2"/>
  <c r="G3697" i="2"/>
  <c r="F3697" i="2"/>
  <c r="E3697" i="2"/>
  <c r="C3697" i="2"/>
  <c r="B3697" i="2"/>
  <c r="N3696" i="2"/>
  <c r="K3696" i="2"/>
  <c r="H3696" i="2"/>
  <c r="G3696" i="2"/>
  <c r="F3696" i="2"/>
  <c r="E3696" i="2"/>
  <c r="C3696" i="2"/>
  <c r="B3696" i="2"/>
  <c r="N3695" i="2"/>
  <c r="K3695" i="2"/>
  <c r="H3695" i="2"/>
  <c r="G3695" i="2"/>
  <c r="F3695" i="2"/>
  <c r="E3695" i="2"/>
  <c r="C3695" i="2"/>
  <c r="B3695" i="2"/>
  <c r="N3694" i="2"/>
  <c r="K3694" i="2"/>
  <c r="H3694" i="2"/>
  <c r="G3694" i="2"/>
  <c r="F3694" i="2"/>
  <c r="E3694" i="2"/>
  <c r="C3694" i="2"/>
  <c r="B3694" i="2"/>
  <c r="N3693" i="2"/>
  <c r="K3693" i="2"/>
  <c r="H3693" i="2"/>
  <c r="G3693" i="2"/>
  <c r="F3693" i="2"/>
  <c r="E3693" i="2"/>
  <c r="C3693" i="2"/>
  <c r="B3693" i="2"/>
  <c r="N3692" i="2"/>
  <c r="K3692" i="2"/>
  <c r="H3692" i="2"/>
  <c r="G3692" i="2"/>
  <c r="F3692" i="2"/>
  <c r="E3692" i="2"/>
  <c r="C3692" i="2"/>
  <c r="B3692" i="2"/>
  <c r="N3691" i="2"/>
  <c r="K3691" i="2"/>
  <c r="H3691" i="2"/>
  <c r="G3691" i="2"/>
  <c r="F3691" i="2"/>
  <c r="E3691" i="2"/>
  <c r="C3691" i="2"/>
  <c r="B3691" i="2"/>
  <c r="N3690" i="2"/>
  <c r="K3690" i="2"/>
  <c r="H3690" i="2"/>
  <c r="G3690" i="2"/>
  <c r="F3690" i="2"/>
  <c r="E3690" i="2"/>
  <c r="C3690" i="2"/>
  <c r="B3690" i="2"/>
  <c r="N3689" i="2"/>
  <c r="K3689" i="2"/>
  <c r="H3689" i="2"/>
  <c r="G3689" i="2"/>
  <c r="F3689" i="2"/>
  <c r="E3689" i="2"/>
  <c r="C3689" i="2"/>
  <c r="B3689" i="2"/>
  <c r="N3688" i="2"/>
  <c r="K3688" i="2"/>
  <c r="H3688" i="2"/>
  <c r="G3688" i="2"/>
  <c r="F3688" i="2"/>
  <c r="E3688" i="2"/>
  <c r="C3688" i="2"/>
  <c r="B3688" i="2"/>
  <c r="N3687" i="2"/>
  <c r="K3687" i="2"/>
  <c r="H3687" i="2"/>
  <c r="G3687" i="2"/>
  <c r="F3687" i="2"/>
  <c r="E3687" i="2"/>
  <c r="C3687" i="2"/>
  <c r="B3687" i="2"/>
  <c r="N3686" i="2"/>
  <c r="K3686" i="2"/>
  <c r="H3686" i="2"/>
  <c r="G3686" i="2"/>
  <c r="F3686" i="2"/>
  <c r="E3686" i="2"/>
  <c r="C3686" i="2"/>
  <c r="B3686" i="2"/>
  <c r="N3685" i="2"/>
  <c r="K3685" i="2"/>
  <c r="H3685" i="2"/>
  <c r="G3685" i="2"/>
  <c r="F3685" i="2"/>
  <c r="E3685" i="2"/>
  <c r="C3685" i="2"/>
  <c r="B3685" i="2"/>
  <c r="N3684" i="2"/>
  <c r="K3684" i="2"/>
  <c r="H3684" i="2"/>
  <c r="G3684" i="2"/>
  <c r="F3684" i="2"/>
  <c r="E3684" i="2"/>
  <c r="C3684" i="2"/>
  <c r="B3684" i="2"/>
  <c r="N3683" i="2"/>
  <c r="K3683" i="2"/>
  <c r="H3683" i="2"/>
  <c r="G3683" i="2"/>
  <c r="F3683" i="2"/>
  <c r="E3683" i="2"/>
  <c r="C3683" i="2"/>
  <c r="B3683" i="2"/>
  <c r="N3682" i="2"/>
  <c r="K3682" i="2"/>
  <c r="H3682" i="2"/>
  <c r="G3682" i="2"/>
  <c r="F3682" i="2"/>
  <c r="E3682" i="2"/>
  <c r="C3682" i="2"/>
  <c r="B3682" i="2"/>
  <c r="N3681" i="2"/>
  <c r="K3681" i="2"/>
  <c r="H3681" i="2"/>
  <c r="G3681" i="2"/>
  <c r="F3681" i="2"/>
  <c r="E3681" i="2"/>
  <c r="C3681" i="2"/>
  <c r="B3681" i="2"/>
  <c r="N3680" i="2"/>
  <c r="K3680" i="2"/>
  <c r="H3680" i="2"/>
  <c r="G3680" i="2"/>
  <c r="F3680" i="2"/>
  <c r="E3680" i="2"/>
  <c r="C3680" i="2"/>
  <c r="B3680" i="2"/>
  <c r="N3679" i="2"/>
  <c r="K3679" i="2"/>
  <c r="H3679" i="2"/>
  <c r="G3679" i="2"/>
  <c r="F3679" i="2"/>
  <c r="E3679" i="2"/>
  <c r="C3679" i="2"/>
  <c r="B3679" i="2"/>
  <c r="N3678" i="2"/>
  <c r="K3678" i="2"/>
  <c r="H3678" i="2"/>
  <c r="G3678" i="2"/>
  <c r="F3678" i="2"/>
  <c r="E3678" i="2"/>
  <c r="C3678" i="2"/>
  <c r="B3678" i="2"/>
  <c r="N3677" i="2"/>
  <c r="K3677" i="2"/>
  <c r="H3677" i="2"/>
  <c r="G3677" i="2"/>
  <c r="F3677" i="2"/>
  <c r="E3677" i="2"/>
  <c r="C3677" i="2"/>
  <c r="B3677" i="2"/>
  <c r="N3676" i="2"/>
  <c r="K3676" i="2"/>
  <c r="H3676" i="2"/>
  <c r="G3676" i="2"/>
  <c r="F3676" i="2"/>
  <c r="E3676" i="2"/>
  <c r="C3676" i="2"/>
  <c r="B3676" i="2"/>
  <c r="N3675" i="2"/>
  <c r="K3675" i="2"/>
  <c r="H3675" i="2"/>
  <c r="G3675" i="2"/>
  <c r="F3675" i="2"/>
  <c r="E3675" i="2"/>
  <c r="C3675" i="2"/>
  <c r="B3675" i="2"/>
  <c r="N3674" i="2"/>
  <c r="K3674" i="2"/>
  <c r="H3674" i="2"/>
  <c r="G3674" i="2"/>
  <c r="F3674" i="2"/>
  <c r="E3674" i="2"/>
  <c r="C3674" i="2"/>
  <c r="B3674" i="2"/>
  <c r="N3673" i="2"/>
  <c r="K3673" i="2"/>
  <c r="H3673" i="2"/>
  <c r="G3673" i="2"/>
  <c r="F3673" i="2"/>
  <c r="E3673" i="2"/>
  <c r="C3673" i="2"/>
  <c r="B3673" i="2"/>
  <c r="N3672" i="2"/>
  <c r="K3672" i="2"/>
  <c r="H3672" i="2"/>
  <c r="G3672" i="2"/>
  <c r="F3672" i="2"/>
  <c r="E3672" i="2"/>
  <c r="C3672" i="2"/>
  <c r="B3672" i="2"/>
  <c r="N3671" i="2"/>
  <c r="K3671" i="2"/>
  <c r="H3671" i="2"/>
  <c r="G3671" i="2"/>
  <c r="F3671" i="2"/>
  <c r="E3671" i="2"/>
  <c r="C3671" i="2"/>
  <c r="B3671" i="2"/>
  <c r="N3670" i="2"/>
  <c r="K3670" i="2"/>
  <c r="H3670" i="2"/>
  <c r="G3670" i="2"/>
  <c r="F3670" i="2"/>
  <c r="E3670" i="2"/>
  <c r="C3670" i="2"/>
  <c r="B3670" i="2"/>
  <c r="N3669" i="2"/>
  <c r="K3669" i="2"/>
  <c r="H3669" i="2"/>
  <c r="G3669" i="2"/>
  <c r="F3669" i="2"/>
  <c r="E3669" i="2"/>
  <c r="C3669" i="2"/>
  <c r="B3669" i="2"/>
  <c r="N3668" i="2"/>
  <c r="K3668" i="2"/>
  <c r="H3668" i="2"/>
  <c r="G3668" i="2"/>
  <c r="F3668" i="2"/>
  <c r="E3668" i="2"/>
  <c r="C3668" i="2"/>
  <c r="B3668" i="2"/>
  <c r="N3667" i="2"/>
  <c r="K3667" i="2"/>
  <c r="H3667" i="2"/>
  <c r="G3667" i="2"/>
  <c r="F3667" i="2"/>
  <c r="E3667" i="2"/>
  <c r="C3667" i="2"/>
  <c r="B3667" i="2"/>
  <c r="N3666" i="2"/>
  <c r="K3666" i="2"/>
  <c r="H3666" i="2"/>
  <c r="G3666" i="2"/>
  <c r="F3666" i="2"/>
  <c r="E3666" i="2"/>
  <c r="C3666" i="2"/>
  <c r="B3666" i="2"/>
  <c r="N3665" i="2"/>
  <c r="K3665" i="2"/>
  <c r="H3665" i="2"/>
  <c r="G3665" i="2"/>
  <c r="F3665" i="2"/>
  <c r="E3665" i="2"/>
  <c r="C3665" i="2"/>
  <c r="B3665" i="2"/>
  <c r="N3664" i="2"/>
  <c r="K3664" i="2"/>
  <c r="H3664" i="2"/>
  <c r="G3664" i="2"/>
  <c r="F3664" i="2"/>
  <c r="E3664" i="2"/>
  <c r="C3664" i="2"/>
  <c r="B3664" i="2"/>
  <c r="N3663" i="2"/>
  <c r="K3663" i="2"/>
  <c r="H3663" i="2"/>
  <c r="G3663" i="2"/>
  <c r="F3663" i="2"/>
  <c r="E3663" i="2"/>
  <c r="C3663" i="2"/>
  <c r="B3663" i="2"/>
  <c r="N3662" i="2"/>
  <c r="K3662" i="2"/>
  <c r="H3662" i="2"/>
  <c r="G3662" i="2"/>
  <c r="F3662" i="2"/>
  <c r="E3662" i="2"/>
  <c r="C3662" i="2"/>
  <c r="B3662" i="2"/>
  <c r="N3661" i="2"/>
  <c r="K3661" i="2"/>
  <c r="H3661" i="2"/>
  <c r="G3661" i="2"/>
  <c r="F3661" i="2"/>
  <c r="E3661" i="2"/>
  <c r="C3661" i="2"/>
  <c r="B3661" i="2"/>
  <c r="N3660" i="2"/>
  <c r="K3660" i="2"/>
  <c r="H3660" i="2"/>
  <c r="G3660" i="2"/>
  <c r="F3660" i="2"/>
  <c r="E3660" i="2"/>
  <c r="C3660" i="2"/>
  <c r="B3660" i="2"/>
  <c r="N3659" i="2"/>
  <c r="K3659" i="2"/>
  <c r="H3659" i="2"/>
  <c r="G3659" i="2"/>
  <c r="F3659" i="2"/>
  <c r="E3659" i="2"/>
  <c r="C3659" i="2"/>
  <c r="B3659" i="2"/>
  <c r="N3658" i="2"/>
  <c r="K3658" i="2"/>
  <c r="H3658" i="2"/>
  <c r="G3658" i="2"/>
  <c r="F3658" i="2"/>
  <c r="E3658" i="2"/>
  <c r="C3658" i="2"/>
  <c r="B3658" i="2"/>
  <c r="N3657" i="2"/>
  <c r="K3657" i="2"/>
  <c r="H3657" i="2"/>
  <c r="G3657" i="2"/>
  <c r="F3657" i="2"/>
  <c r="E3657" i="2"/>
  <c r="C3657" i="2"/>
  <c r="B3657" i="2"/>
  <c r="N3656" i="2"/>
  <c r="K3656" i="2"/>
  <c r="H3656" i="2"/>
  <c r="G3656" i="2"/>
  <c r="F3656" i="2"/>
  <c r="E3656" i="2"/>
  <c r="C3656" i="2"/>
  <c r="B3656" i="2"/>
  <c r="N3655" i="2"/>
  <c r="K3655" i="2"/>
  <c r="H3655" i="2"/>
  <c r="G3655" i="2"/>
  <c r="F3655" i="2"/>
  <c r="E3655" i="2"/>
  <c r="C3655" i="2"/>
  <c r="B3655" i="2"/>
  <c r="N3654" i="2"/>
  <c r="K3654" i="2"/>
  <c r="H3654" i="2"/>
  <c r="G3654" i="2"/>
  <c r="F3654" i="2"/>
  <c r="E3654" i="2"/>
  <c r="C3654" i="2"/>
  <c r="B3654" i="2"/>
  <c r="N3653" i="2"/>
  <c r="K3653" i="2"/>
  <c r="H3653" i="2"/>
  <c r="G3653" i="2"/>
  <c r="F3653" i="2"/>
  <c r="E3653" i="2"/>
  <c r="C3653" i="2"/>
  <c r="B3653" i="2"/>
  <c r="N3652" i="2"/>
  <c r="K3652" i="2"/>
  <c r="H3652" i="2"/>
  <c r="G3652" i="2"/>
  <c r="F3652" i="2"/>
  <c r="E3652" i="2"/>
  <c r="C3652" i="2"/>
  <c r="B3652" i="2"/>
  <c r="N3651" i="2"/>
  <c r="K3651" i="2"/>
  <c r="H3651" i="2"/>
  <c r="G3651" i="2"/>
  <c r="F3651" i="2"/>
  <c r="E3651" i="2"/>
  <c r="C3651" i="2"/>
  <c r="B3651" i="2"/>
  <c r="N3650" i="2"/>
  <c r="K3650" i="2"/>
  <c r="H3650" i="2"/>
  <c r="G3650" i="2"/>
  <c r="F3650" i="2"/>
  <c r="E3650" i="2"/>
  <c r="C3650" i="2"/>
  <c r="B3650" i="2"/>
  <c r="N3649" i="2"/>
  <c r="K3649" i="2"/>
  <c r="H3649" i="2"/>
  <c r="G3649" i="2"/>
  <c r="F3649" i="2"/>
  <c r="E3649" i="2"/>
  <c r="C3649" i="2"/>
  <c r="B3649" i="2"/>
  <c r="N3648" i="2"/>
  <c r="K3648" i="2"/>
  <c r="H3648" i="2"/>
  <c r="G3648" i="2"/>
  <c r="F3648" i="2"/>
  <c r="E3648" i="2"/>
  <c r="C3648" i="2"/>
  <c r="B3648" i="2"/>
  <c r="N3647" i="2"/>
  <c r="K3647" i="2"/>
  <c r="H3647" i="2"/>
  <c r="G3647" i="2"/>
  <c r="F3647" i="2"/>
  <c r="E3647" i="2"/>
  <c r="C3647" i="2"/>
  <c r="B3647" i="2"/>
  <c r="N3646" i="2"/>
  <c r="K3646" i="2"/>
  <c r="H3646" i="2"/>
  <c r="G3646" i="2"/>
  <c r="F3646" i="2"/>
  <c r="E3646" i="2"/>
  <c r="C3646" i="2"/>
  <c r="B3646" i="2"/>
  <c r="N3645" i="2"/>
  <c r="K3645" i="2"/>
  <c r="H3645" i="2"/>
  <c r="G3645" i="2"/>
  <c r="F3645" i="2"/>
  <c r="E3645" i="2"/>
  <c r="C3645" i="2"/>
  <c r="B3645" i="2"/>
  <c r="N3644" i="2"/>
  <c r="K3644" i="2"/>
  <c r="H3644" i="2"/>
  <c r="G3644" i="2"/>
  <c r="F3644" i="2"/>
  <c r="E3644" i="2"/>
  <c r="C3644" i="2"/>
  <c r="B3644" i="2"/>
  <c r="N3643" i="2"/>
  <c r="K3643" i="2"/>
  <c r="H3643" i="2"/>
  <c r="G3643" i="2"/>
  <c r="F3643" i="2"/>
  <c r="E3643" i="2"/>
  <c r="C3643" i="2"/>
  <c r="B3643" i="2"/>
  <c r="N3642" i="2"/>
  <c r="K3642" i="2"/>
  <c r="H3642" i="2"/>
  <c r="G3642" i="2"/>
  <c r="F3642" i="2"/>
  <c r="E3642" i="2"/>
  <c r="C3642" i="2"/>
  <c r="B3642" i="2"/>
  <c r="N3641" i="2"/>
  <c r="K3641" i="2"/>
  <c r="H3641" i="2"/>
  <c r="G3641" i="2"/>
  <c r="F3641" i="2"/>
  <c r="E3641" i="2"/>
  <c r="C3641" i="2"/>
  <c r="B3641" i="2"/>
  <c r="N3640" i="2"/>
  <c r="K3640" i="2"/>
  <c r="H3640" i="2"/>
  <c r="G3640" i="2"/>
  <c r="F3640" i="2"/>
  <c r="E3640" i="2"/>
  <c r="C3640" i="2"/>
  <c r="B3640" i="2"/>
  <c r="N3639" i="2"/>
  <c r="K3639" i="2"/>
  <c r="H3639" i="2"/>
  <c r="G3639" i="2"/>
  <c r="F3639" i="2"/>
  <c r="E3639" i="2"/>
  <c r="C3639" i="2"/>
  <c r="B3639" i="2"/>
  <c r="N3638" i="2"/>
  <c r="K3638" i="2"/>
  <c r="H3638" i="2"/>
  <c r="G3638" i="2"/>
  <c r="F3638" i="2"/>
  <c r="E3638" i="2"/>
  <c r="C3638" i="2"/>
  <c r="B3638" i="2"/>
  <c r="N3637" i="2"/>
  <c r="K3637" i="2"/>
  <c r="H3637" i="2"/>
  <c r="G3637" i="2"/>
  <c r="F3637" i="2"/>
  <c r="E3637" i="2"/>
  <c r="C3637" i="2"/>
  <c r="B3637" i="2"/>
  <c r="N3636" i="2"/>
  <c r="K3636" i="2"/>
  <c r="H3636" i="2"/>
  <c r="G3636" i="2"/>
  <c r="F3636" i="2"/>
  <c r="E3636" i="2"/>
  <c r="C3636" i="2"/>
  <c r="B3636" i="2"/>
  <c r="N3635" i="2"/>
  <c r="K3635" i="2"/>
  <c r="H3635" i="2"/>
  <c r="G3635" i="2"/>
  <c r="F3635" i="2"/>
  <c r="E3635" i="2"/>
  <c r="C3635" i="2"/>
  <c r="B3635" i="2"/>
  <c r="N3634" i="2"/>
  <c r="K3634" i="2"/>
  <c r="H3634" i="2"/>
  <c r="G3634" i="2"/>
  <c r="F3634" i="2"/>
  <c r="E3634" i="2"/>
  <c r="C3634" i="2"/>
  <c r="B3634" i="2"/>
  <c r="N3633" i="2"/>
  <c r="K3633" i="2"/>
  <c r="H3633" i="2"/>
  <c r="G3633" i="2"/>
  <c r="F3633" i="2"/>
  <c r="E3633" i="2"/>
  <c r="C3633" i="2"/>
  <c r="B3633" i="2"/>
  <c r="N3632" i="2"/>
  <c r="K3632" i="2"/>
  <c r="H3632" i="2"/>
  <c r="G3632" i="2"/>
  <c r="F3632" i="2"/>
  <c r="E3632" i="2"/>
  <c r="C3632" i="2"/>
  <c r="B3632" i="2"/>
  <c r="N3631" i="2"/>
  <c r="K3631" i="2"/>
  <c r="H3631" i="2"/>
  <c r="G3631" i="2"/>
  <c r="F3631" i="2"/>
  <c r="E3631" i="2"/>
  <c r="C3631" i="2"/>
  <c r="B3631" i="2"/>
  <c r="N3630" i="2"/>
  <c r="K3630" i="2"/>
  <c r="H3630" i="2"/>
  <c r="G3630" i="2"/>
  <c r="F3630" i="2"/>
  <c r="E3630" i="2"/>
  <c r="C3630" i="2"/>
  <c r="B3630" i="2"/>
  <c r="N3629" i="2"/>
  <c r="K3629" i="2"/>
  <c r="H3629" i="2"/>
  <c r="G3629" i="2"/>
  <c r="F3629" i="2"/>
  <c r="E3629" i="2"/>
  <c r="C3629" i="2"/>
  <c r="B3629" i="2"/>
  <c r="N3628" i="2"/>
  <c r="K3628" i="2"/>
  <c r="H3628" i="2"/>
  <c r="G3628" i="2"/>
  <c r="F3628" i="2"/>
  <c r="E3628" i="2"/>
  <c r="C3628" i="2"/>
  <c r="B3628" i="2"/>
  <c r="N3627" i="2"/>
  <c r="K3627" i="2"/>
  <c r="H3627" i="2"/>
  <c r="G3627" i="2"/>
  <c r="F3627" i="2"/>
  <c r="E3627" i="2"/>
  <c r="C3627" i="2"/>
  <c r="B3627" i="2"/>
  <c r="N3626" i="2"/>
  <c r="K3626" i="2"/>
  <c r="H3626" i="2"/>
  <c r="G3626" i="2"/>
  <c r="F3626" i="2"/>
  <c r="E3626" i="2"/>
  <c r="C3626" i="2"/>
  <c r="B3626" i="2"/>
  <c r="N3625" i="2"/>
  <c r="K3625" i="2"/>
  <c r="H3625" i="2"/>
  <c r="G3625" i="2"/>
  <c r="F3625" i="2"/>
  <c r="E3625" i="2"/>
  <c r="C3625" i="2"/>
  <c r="B3625" i="2"/>
  <c r="N3624" i="2"/>
  <c r="K3624" i="2"/>
  <c r="H3624" i="2"/>
  <c r="G3624" i="2"/>
  <c r="F3624" i="2"/>
  <c r="E3624" i="2"/>
  <c r="C3624" i="2"/>
  <c r="B3624" i="2"/>
  <c r="N3623" i="2"/>
  <c r="K3623" i="2"/>
  <c r="H3623" i="2"/>
  <c r="G3623" i="2"/>
  <c r="F3623" i="2"/>
  <c r="E3623" i="2"/>
  <c r="C3623" i="2"/>
  <c r="B3623" i="2"/>
  <c r="N3622" i="2"/>
  <c r="K3622" i="2"/>
  <c r="H3622" i="2"/>
  <c r="G3622" i="2"/>
  <c r="F3622" i="2"/>
  <c r="E3622" i="2"/>
  <c r="C3622" i="2"/>
  <c r="B3622" i="2"/>
  <c r="N3621" i="2"/>
  <c r="K3621" i="2"/>
  <c r="H3621" i="2"/>
  <c r="G3621" i="2"/>
  <c r="F3621" i="2"/>
  <c r="E3621" i="2"/>
  <c r="C3621" i="2"/>
  <c r="B3621" i="2"/>
  <c r="N3620" i="2"/>
  <c r="K3620" i="2"/>
  <c r="H3620" i="2"/>
  <c r="G3620" i="2"/>
  <c r="F3620" i="2"/>
  <c r="E3620" i="2"/>
  <c r="C3620" i="2"/>
  <c r="B3620" i="2"/>
  <c r="N3619" i="2"/>
  <c r="K3619" i="2"/>
  <c r="H3619" i="2"/>
  <c r="G3619" i="2"/>
  <c r="F3619" i="2"/>
  <c r="E3619" i="2"/>
  <c r="C3619" i="2"/>
  <c r="B3619" i="2"/>
  <c r="N3618" i="2"/>
  <c r="K3618" i="2"/>
  <c r="H3618" i="2"/>
  <c r="G3618" i="2"/>
  <c r="F3618" i="2"/>
  <c r="E3618" i="2"/>
  <c r="C3618" i="2"/>
  <c r="B3618" i="2"/>
  <c r="N3617" i="2"/>
  <c r="K3617" i="2"/>
  <c r="H3617" i="2"/>
  <c r="G3617" i="2"/>
  <c r="F3617" i="2"/>
  <c r="E3617" i="2"/>
  <c r="C3617" i="2"/>
  <c r="B3617" i="2"/>
  <c r="N3616" i="2"/>
  <c r="K3616" i="2"/>
  <c r="H3616" i="2"/>
  <c r="G3616" i="2"/>
  <c r="F3616" i="2"/>
  <c r="E3616" i="2"/>
  <c r="C3616" i="2"/>
  <c r="B3616" i="2"/>
  <c r="N3615" i="2"/>
  <c r="K3615" i="2"/>
  <c r="H3615" i="2"/>
  <c r="G3615" i="2"/>
  <c r="F3615" i="2"/>
  <c r="E3615" i="2"/>
  <c r="C3615" i="2"/>
  <c r="B3615" i="2"/>
  <c r="N3614" i="2"/>
  <c r="K3614" i="2"/>
  <c r="H3614" i="2"/>
  <c r="G3614" i="2"/>
  <c r="F3614" i="2"/>
  <c r="E3614" i="2"/>
  <c r="C3614" i="2"/>
  <c r="B3614" i="2"/>
  <c r="N3613" i="2"/>
  <c r="K3613" i="2"/>
  <c r="H3613" i="2"/>
  <c r="G3613" i="2"/>
  <c r="F3613" i="2"/>
  <c r="E3613" i="2"/>
  <c r="C3613" i="2"/>
  <c r="B3613" i="2"/>
  <c r="N3612" i="2"/>
  <c r="K3612" i="2"/>
  <c r="H3612" i="2"/>
  <c r="G3612" i="2"/>
  <c r="F3612" i="2"/>
  <c r="E3612" i="2"/>
  <c r="C3612" i="2"/>
  <c r="B3612" i="2"/>
  <c r="N3611" i="2"/>
  <c r="K3611" i="2"/>
  <c r="H3611" i="2"/>
  <c r="G3611" i="2"/>
  <c r="F3611" i="2"/>
  <c r="E3611" i="2"/>
  <c r="C3611" i="2"/>
  <c r="B3611" i="2"/>
  <c r="N3610" i="2"/>
  <c r="K3610" i="2"/>
  <c r="H3610" i="2"/>
  <c r="G3610" i="2"/>
  <c r="F3610" i="2"/>
  <c r="E3610" i="2"/>
  <c r="C3610" i="2"/>
  <c r="B3610" i="2"/>
  <c r="N3609" i="2"/>
  <c r="K3609" i="2"/>
  <c r="H3609" i="2"/>
  <c r="G3609" i="2"/>
  <c r="F3609" i="2"/>
  <c r="E3609" i="2"/>
  <c r="C3609" i="2"/>
  <c r="B3609" i="2"/>
  <c r="N3608" i="2"/>
  <c r="K3608" i="2"/>
  <c r="H3608" i="2"/>
  <c r="G3608" i="2"/>
  <c r="F3608" i="2"/>
  <c r="E3608" i="2"/>
  <c r="C3608" i="2"/>
  <c r="B3608" i="2"/>
  <c r="N3607" i="2"/>
  <c r="K3607" i="2"/>
  <c r="H3607" i="2"/>
  <c r="G3607" i="2"/>
  <c r="F3607" i="2"/>
  <c r="E3607" i="2"/>
  <c r="C3607" i="2"/>
  <c r="B3607" i="2"/>
  <c r="N3606" i="2"/>
  <c r="K3606" i="2"/>
  <c r="H3606" i="2"/>
  <c r="G3606" i="2"/>
  <c r="F3606" i="2"/>
  <c r="E3606" i="2"/>
  <c r="C3606" i="2"/>
  <c r="B3606" i="2"/>
  <c r="N3605" i="2"/>
  <c r="K3605" i="2"/>
  <c r="H3605" i="2"/>
  <c r="G3605" i="2"/>
  <c r="F3605" i="2"/>
  <c r="E3605" i="2"/>
  <c r="C3605" i="2"/>
  <c r="B3605" i="2"/>
  <c r="N3604" i="2"/>
  <c r="K3604" i="2"/>
  <c r="H3604" i="2"/>
  <c r="G3604" i="2"/>
  <c r="F3604" i="2"/>
  <c r="E3604" i="2"/>
  <c r="C3604" i="2"/>
  <c r="B3604" i="2"/>
  <c r="N3603" i="2"/>
  <c r="K3603" i="2"/>
  <c r="H3603" i="2"/>
  <c r="G3603" i="2"/>
  <c r="F3603" i="2"/>
  <c r="E3603" i="2"/>
  <c r="C3603" i="2"/>
  <c r="B3603" i="2"/>
  <c r="N3602" i="2"/>
  <c r="K3602" i="2"/>
  <c r="H3602" i="2"/>
  <c r="G3602" i="2"/>
  <c r="F3602" i="2"/>
  <c r="E3602" i="2"/>
  <c r="C3602" i="2"/>
  <c r="B3602" i="2"/>
  <c r="N3601" i="2"/>
  <c r="K3601" i="2"/>
  <c r="H3601" i="2"/>
  <c r="G3601" i="2"/>
  <c r="F3601" i="2"/>
  <c r="E3601" i="2"/>
  <c r="C3601" i="2"/>
  <c r="B3601" i="2"/>
  <c r="N3600" i="2"/>
  <c r="K3600" i="2"/>
  <c r="H3600" i="2"/>
  <c r="G3600" i="2"/>
  <c r="F3600" i="2"/>
  <c r="E3600" i="2"/>
  <c r="C3600" i="2"/>
  <c r="B3600" i="2"/>
  <c r="N3599" i="2"/>
  <c r="K3599" i="2"/>
  <c r="H3599" i="2"/>
  <c r="G3599" i="2"/>
  <c r="F3599" i="2"/>
  <c r="E3599" i="2"/>
  <c r="C3599" i="2"/>
  <c r="B3599" i="2"/>
  <c r="N3598" i="2"/>
  <c r="K3598" i="2"/>
  <c r="H3598" i="2"/>
  <c r="G3598" i="2"/>
  <c r="F3598" i="2"/>
  <c r="E3598" i="2"/>
  <c r="C3598" i="2"/>
  <c r="B3598" i="2"/>
  <c r="N3597" i="2"/>
  <c r="K3597" i="2"/>
  <c r="H3597" i="2"/>
  <c r="G3597" i="2"/>
  <c r="F3597" i="2"/>
  <c r="E3597" i="2"/>
  <c r="C3597" i="2"/>
  <c r="B3597" i="2"/>
  <c r="N3596" i="2"/>
  <c r="K3596" i="2"/>
  <c r="H3596" i="2"/>
  <c r="G3596" i="2"/>
  <c r="F3596" i="2"/>
  <c r="E3596" i="2"/>
  <c r="C3596" i="2"/>
  <c r="B3596" i="2"/>
  <c r="N3595" i="2"/>
  <c r="K3595" i="2"/>
  <c r="H3595" i="2"/>
  <c r="G3595" i="2"/>
  <c r="F3595" i="2"/>
  <c r="E3595" i="2"/>
  <c r="C3595" i="2"/>
  <c r="B3595" i="2"/>
  <c r="N3594" i="2"/>
  <c r="K3594" i="2"/>
  <c r="H3594" i="2"/>
  <c r="G3594" i="2"/>
  <c r="F3594" i="2"/>
  <c r="E3594" i="2"/>
  <c r="C3594" i="2"/>
  <c r="B3594" i="2"/>
  <c r="N3593" i="2"/>
  <c r="K3593" i="2"/>
  <c r="H3593" i="2"/>
  <c r="G3593" i="2"/>
  <c r="F3593" i="2"/>
  <c r="E3593" i="2"/>
  <c r="C3593" i="2"/>
  <c r="B3593" i="2"/>
  <c r="N3592" i="2"/>
  <c r="K3592" i="2"/>
  <c r="H3592" i="2"/>
  <c r="G3592" i="2"/>
  <c r="F3592" i="2"/>
  <c r="E3592" i="2"/>
  <c r="C3592" i="2"/>
  <c r="B3592" i="2"/>
  <c r="N3591" i="2"/>
  <c r="K3591" i="2"/>
  <c r="H3591" i="2"/>
  <c r="G3591" i="2"/>
  <c r="F3591" i="2"/>
  <c r="E3591" i="2"/>
  <c r="C3591" i="2"/>
  <c r="B3591" i="2"/>
  <c r="N3590" i="2"/>
  <c r="K3590" i="2"/>
  <c r="H3590" i="2"/>
  <c r="G3590" i="2"/>
  <c r="F3590" i="2"/>
  <c r="E3590" i="2"/>
  <c r="C3590" i="2"/>
  <c r="B3590" i="2"/>
  <c r="N3589" i="2"/>
  <c r="K3589" i="2"/>
  <c r="H3589" i="2"/>
  <c r="G3589" i="2"/>
  <c r="F3589" i="2"/>
  <c r="E3589" i="2"/>
  <c r="C3589" i="2"/>
  <c r="B3589" i="2"/>
  <c r="N3588" i="2"/>
  <c r="K3588" i="2"/>
  <c r="H3588" i="2"/>
  <c r="G3588" i="2"/>
  <c r="F3588" i="2"/>
  <c r="E3588" i="2"/>
  <c r="C3588" i="2"/>
  <c r="B3588" i="2"/>
  <c r="N3587" i="2"/>
  <c r="K3587" i="2"/>
  <c r="H3587" i="2"/>
  <c r="G3587" i="2"/>
  <c r="F3587" i="2"/>
  <c r="E3587" i="2"/>
  <c r="C3587" i="2"/>
  <c r="B3587" i="2"/>
  <c r="N3586" i="2"/>
  <c r="K3586" i="2"/>
  <c r="H3586" i="2"/>
  <c r="G3586" i="2"/>
  <c r="F3586" i="2"/>
  <c r="E3586" i="2"/>
  <c r="C3586" i="2"/>
  <c r="B3586" i="2"/>
  <c r="N3585" i="2"/>
  <c r="K3585" i="2"/>
  <c r="H3585" i="2"/>
  <c r="G3585" i="2"/>
  <c r="F3585" i="2"/>
  <c r="E3585" i="2"/>
  <c r="C3585" i="2"/>
  <c r="B3585" i="2"/>
  <c r="N3584" i="2"/>
  <c r="K3584" i="2"/>
  <c r="H3584" i="2"/>
  <c r="G3584" i="2"/>
  <c r="F3584" i="2"/>
  <c r="E3584" i="2"/>
  <c r="C3584" i="2"/>
  <c r="B3584" i="2"/>
  <c r="N3583" i="2"/>
  <c r="K3583" i="2"/>
  <c r="H3583" i="2"/>
  <c r="G3583" i="2"/>
  <c r="F3583" i="2"/>
  <c r="E3583" i="2"/>
  <c r="C3583" i="2"/>
  <c r="B3583" i="2"/>
  <c r="N3582" i="2"/>
  <c r="K3582" i="2"/>
  <c r="H3582" i="2"/>
  <c r="G3582" i="2"/>
  <c r="F3582" i="2"/>
  <c r="E3582" i="2"/>
  <c r="C3582" i="2"/>
  <c r="B3582" i="2"/>
  <c r="N3581" i="2"/>
  <c r="K3581" i="2"/>
  <c r="H3581" i="2"/>
  <c r="G3581" i="2"/>
  <c r="F3581" i="2"/>
  <c r="E3581" i="2"/>
  <c r="C3581" i="2"/>
  <c r="B3581" i="2"/>
  <c r="N3580" i="2"/>
  <c r="K3580" i="2"/>
  <c r="H3580" i="2"/>
  <c r="G3580" i="2"/>
  <c r="F3580" i="2"/>
  <c r="E3580" i="2"/>
  <c r="C3580" i="2"/>
  <c r="B3580" i="2"/>
  <c r="N3579" i="2"/>
  <c r="K3579" i="2"/>
  <c r="H3579" i="2"/>
  <c r="G3579" i="2"/>
  <c r="F3579" i="2"/>
  <c r="E3579" i="2"/>
  <c r="C3579" i="2"/>
  <c r="B3579" i="2"/>
  <c r="N3578" i="2"/>
  <c r="K3578" i="2"/>
  <c r="H3578" i="2"/>
  <c r="G3578" i="2"/>
  <c r="F3578" i="2"/>
  <c r="E3578" i="2"/>
  <c r="C3578" i="2"/>
  <c r="B3578" i="2"/>
  <c r="N3577" i="2"/>
  <c r="K3577" i="2"/>
  <c r="H3577" i="2"/>
  <c r="G3577" i="2"/>
  <c r="F3577" i="2"/>
  <c r="E3577" i="2"/>
  <c r="C3577" i="2"/>
  <c r="B3577" i="2"/>
  <c r="N3576" i="2"/>
  <c r="K3576" i="2"/>
  <c r="H3576" i="2"/>
  <c r="G3576" i="2"/>
  <c r="F3576" i="2"/>
  <c r="E3576" i="2"/>
  <c r="C3576" i="2"/>
  <c r="B3576" i="2"/>
  <c r="N3575" i="2"/>
  <c r="K3575" i="2"/>
  <c r="H3575" i="2"/>
  <c r="G3575" i="2"/>
  <c r="F3575" i="2"/>
  <c r="E3575" i="2"/>
  <c r="C3575" i="2"/>
  <c r="B3575" i="2"/>
  <c r="N3574" i="2"/>
  <c r="K3574" i="2"/>
  <c r="H3574" i="2"/>
  <c r="G3574" i="2"/>
  <c r="F3574" i="2"/>
  <c r="E3574" i="2"/>
  <c r="C3574" i="2"/>
  <c r="B3574" i="2"/>
  <c r="N3573" i="2"/>
  <c r="K3573" i="2"/>
  <c r="H3573" i="2"/>
  <c r="G3573" i="2"/>
  <c r="F3573" i="2"/>
  <c r="E3573" i="2"/>
  <c r="C3573" i="2"/>
  <c r="B3573" i="2"/>
  <c r="N3572" i="2"/>
  <c r="K3572" i="2"/>
  <c r="H3572" i="2"/>
  <c r="G3572" i="2"/>
  <c r="F3572" i="2"/>
  <c r="E3572" i="2"/>
  <c r="C3572" i="2"/>
  <c r="B3572" i="2"/>
  <c r="N3571" i="2"/>
  <c r="K3571" i="2"/>
  <c r="H3571" i="2"/>
  <c r="G3571" i="2"/>
  <c r="F3571" i="2"/>
  <c r="E3571" i="2"/>
  <c r="C3571" i="2"/>
  <c r="B3571" i="2"/>
  <c r="N3570" i="2"/>
  <c r="K3570" i="2"/>
  <c r="H3570" i="2"/>
  <c r="G3570" i="2"/>
  <c r="F3570" i="2"/>
  <c r="E3570" i="2"/>
  <c r="C3570" i="2"/>
  <c r="B3570" i="2"/>
  <c r="N3569" i="2"/>
  <c r="K3569" i="2"/>
  <c r="H3569" i="2"/>
  <c r="G3569" i="2"/>
  <c r="F3569" i="2"/>
  <c r="E3569" i="2"/>
  <c r="C3569" i="2"/>
  <c r="B3569" i="2"/>
  <c r="N3568" i="2"/>
  <c r="K3568" i="2"/>
  <c r="H3568" i="2"/>
  <c r="G3568" i="2"/>
  <c r="F3568" i="2"/>
  <c r="E3568" i="2"/>
  <c r="C3568" i="2"/>
  <c r="B3568" i="2"/>
  <c r="N3567" i="2"/>
  <c r="K3567" i="2"/>
  <c r="H3567" i="2"/>
  <c r="G3567" i="2"/>
  <c r="F3567" i="2"/>
  <c r="E3567" i="2"/>
  <c r="C3567" i="2"/>
  <c r="B3567" i="2"/>
  <c r="N3566" i="2"/>
  <c r="K3566" i="2"/>
  <c r="H3566" i="2"/>
  <c r="G3566" i="2"/>
  <c r="F3566" i="2"/>
  <c r="E3566" i="2"/>
  <c r="C3566" i="2"/>
  <c r="B3566" i="2"/>
  <c r="N3565" i="2"/>
  <c r="K3565" i="2"/>
  <c r="H3565" i="2"/>
  <c r="G3565" i="2"/>
  <c r="F3565" i="2"/>
  <c r="E3565" i="2"/>
  <c r="C3565" i="2"/>
  <c r="B3565" i="2"/>
  <c r="N3564" i="2"/>
  <c r="K3564" i="2"/>
  <c r="H3564" i="2"/>
  <c r="G3564" i="2"/>
  <c r="F3564" i="2"/>
  <c r="E3564" i="2"/>
  <c r="C3564" i="2"/>
  <c r="B3564" i="2"/>
  <c r="N3563" i="2"/>
  <c r="K3563" i="2"/>
  <c r="H3563" i="2"/>
  <c r="G3563" i="2"/>
  <c r="F3563" i="2"/>
  <c r="E3563" i="2"/>
  <c r="C3563" i="2"/>
  <c r="B3563" i="2"/>
  <c r="N3562" i="2"/>
  <c r="K3562" i="2"/>
  <c r="H3562" i="2"/>
  <c r="G3562" i="2"/>
  <c r="F3562" i="2"/>
  <c r="E3562" i="2"/>
  <c r="C3562" i="2"/>
  <c r="B3562" i="2"/>
  <c r="N3561" i="2"/>
  <c r="K3561" i="2"/>
  <c r="H3561" i="2"/>
  <c r="G3561" i="2"/>
  <c r="F3561" i="2"/>
  <c r="E3561" i="2"/>
  <c r="C3561" i="2"/>
  <c r="B3561" i="2"/>
  <c r="N3560" i="2"/>
  <c r="K3560" i="2"/>
  <c r="H3560" i="2"/>
  <c r="G3560" i="2"/>
  <c r="F3560" i="2"/>
  <c r="E3560" i="2"/>
  <c r="C3560" i="2"/>
  <c r="B3560" i="2"/>
  <c r="N3559" i="2"/>
  <c r="K3559" i="2"/>
  <c r="H3559" i="2"/>
  <c r="G3559" i="2"/>
  <c r="F3559" i="2"/>
  <c r="E3559" i="2"/>
  <c r="C3559" i="2"/>
  <c r="B3559" i="2"/>
  <c r="N3558" i="2"/>
  <c r="K3558" i="2"/>
  <c r="H3558" i="2"/>
  <c r="G3558" i="2"/>
  <c r="F3558" i="2"/>
  <c r="E3558" i="2"/>
  <c r="C3558" i="2"/>
  <c r="B3558" i="2"/>
  <c r="N3557" i="2"/>
  <c r="K3557" i="2"/>
  <c r="H3557" i="2"/>
  <c r="G3557" i="2"/>
  <c r="F3557" i="2"/>
  <c r="E3557" i="2"/>
  <c r="C3557" i="2"/>
  <c r="B3557" i="2"/>
  <c r="N3556" i="2"/>
  <c r="K3556" i="2"/>
  <c r="H3556" i="2"/>
  <c r="G3556" i="2"/>
  <c r="F3556" i="2"/>
  <c r="E3556" i="2"/>
  <c r="C3556" i="2"/>
  <c r="B3556" i="2"/>
  <c r="N3555" i="2"/>
  <c r="K3555" i="2"/>
  <c r="H3555" i="2"/>
  <c r="G3555" i="2"/>
  <c r="F3555" i="2"/>
  <c r="E3555" i="2"/>
  <c r="C3555" i="2"/>
  <c r="B3555" i="2"/>
  <c r="N3554" i="2"/>
  <c r="K3554" i="2"/>
  <c r="H3554" i="2"/>
  <c r="G3554" i="2"/>
  <c r="F3554" i="2"/>
  <c r="E3554" i="2"/>
  <c r="C3554" i="2"/>
  <c r="B3554" i="2"/>
  <c r="N3553" i="2"/>
  <c r="K3553" i="2"/>
  <c r="H3553" i="2"/>
  <c r="G3553" i="2"/>
  <c r="F3553" i="2"/>
  <c r="E3553" i="2"/>
  <c r="C3553" i="2"/>
  <c r="B3553" i="2"/>
  <c r="N3552" i="2"/>
  <c r="K3552" i="2"/>
  <c r="H3552" i="2"/>
  <c r="G3552" i="2"/>
  <c r="F3552" i="2"/>
  <c r="E3552" i="2"/>
  <c r="C3552" i="2"/>
  <c r="B3552" i="2"/>
  <c r="N3551" i="2"/>
  <c r="K3551" i="2"/>
  <c r="H3551" i="2"/>
  <c r="G3551" i="2"/>
  <c r="F3551" i="2"/>
  <c r="E3551" i="2"/>
  <c r="C3551" i="2"/>
  <c r="B3551" i="2"/>
  <c r="N3550" i="2"/>
  <c r="K3550" i="2"/>
  <c r="H3550" i="2"/>
  <c r="G3550" i="2"/>
  <c r="F3550" i="2"/>
  <c r="E3550" i="2"/>
  <c r="C3550" i="2"/>
  <c r="B3550" i="2"/>
  <c r="N3549" i="2"/>
  <c r="K3549" i="2"/>
  <c r="H3549" i="2"/>
  <c r="G3549" i="2"/>
  <c r="F3549" i="2"/>
  <c r="E3549" i="2"/>
  <c r="C3549" i="2"/>
  <c r="B3549" i="2"/>
  <c r="N3548" i="2"/>
  <c r="K3548" i="2"/>
  <c r="H3548" i="2"/>
  <c r="G3548" i="2"/>
  <c r="F3548" i="2"/>
  <c r="E3548" i="2"/>
  <c r="C3548" i="2"/>
  <c r="B3548" i="2"/>
  <c r="N3547" i="2"/>
  <c r="K3547" i="2"/>
  <c r="H3547" i="2"/>
  <c r="G3547" i="2"/>
  <c r="F3547" i="2"/>
  <c r="E3547" i="2"/>
  <c r="C3547" i="2"/>
  <c r="B3547" i="2"/>
  <c r="N3546" i="2"/>
  <c r="K3546" i="2"/>
  <c r="H3546" i="2"/>
  <c r="G3546" i="2"/>
  <c r="F3546" i="2"/>
  <c r="E3546" i="2"/>
  <c r="C3546" i="2"/>
  <c r="B3546" i="2"/>
  <c r="N3545" i="2"/>
  <c r="K3545" i="2"/>
  <c r="H3545" i="2"/>
  <c r="G3545" i="2"/>
  <c r="F3545" i="2"/>
  <c r="E3545" i="2"/>
  <c r="C3545" i="2"/>
  <c r="B3545" i="2"/>
  <c r="N3544" i="2"/>
  <c r="K3544" i="2"/>
  <c r="H3544" i="2"/>
  <c r="G3544" i="2"/>
  <c r="F3544" i="2"/>
  <c r="E3544" i="2"/>
  <c r="C3544" i="2"/>
  <c r="B3544" i="2"/>
  <c r="N3543" i="2"/>
  <c r="K3543" i="2"/>
  <c r="H3543" i="2"/>
  <c r="G3543" i="2"/>
  <c r="F3543" i="2"/>
  <c r="E3543" i="2"/>
  <c r="C3543" i="2"/>
  <c r="B3543" i="2"/>
  <c r="N3542" i="2"/>
  <c r="K3542" i="2"/>
  <c r="H3542" i="2"/>
  <c r="G3542" i="2"/>
  <c r="F3542" i="2"/>
  <c r="E3542" i="2"/>
  <c r="C3542" i="2"/>
  <c r="B3542" i="2"/>
  <c r="N3541" i="2"/>
  <c r="K3541" i="2"/>
  <c r="H3541" i="2"/>
  <c r="G3541" i="2"/>
  <c r="F3541" i="2"/>
  <c r="E3541" i="2"/>
  <c r="C3541" i="2"/>
  <c r="B3541" i="2"/>
  <c r="N3540" i="2"/>
  <c r="K3540" i="2"/>
  <c r="H3540" i="2"/>
  <c r="G3540" i="2"/>
  <c r="F3540" i="2"/>
  <c r="E3540" i="2"/>
  <c r="C3540" i="2"/>
  <c r="B3540" i="2"/>
  <c r="N3539" i="2"/>
  <c r="K3539" i="2"/>
  <c r="H3539" i="2"/>
  <c r="G3539" i="2"/>
  <c r="F3539" i="2"/>
  <c r="E3539" i="2"/>
  <c r="C3539" i="2"/>
  <c r="B3539" i="2"/>
  <c r="N3538" i="2"/>
  <c r="K3538" i="2"/>
  <c r="H3538" i="2"/>
  <c r="G3538" i="2"/>
  <c r="F3538" i="2"/>
  <c r="E3538" i="2"/>
  <c r="C3538" i="2"/>
  <c r="B3538" i="2"/>
  <c r="N3537" i="2"/>
  <c r="K3537" i="2"/>
  <c r="H3537" i="2"/>
  <c r="G3537" i="2"/>
  <c r="F3537" i="2"/>
  <c r="E3537" i="2"/>
  <c r="C3537" i="2"/>
  <c r="B3537" i="2"/>
  <c r="N3536" i="2"/>
  <c r="K3536" i="2"/>
  <c r="H3536" i="2"/>
  <c r="G3536" i="2"/>
  <c r="F3536" i="2"/>
  <c r="E3536" i="2"/>
  <c r="C3536" i="2"/>
  <c r="B3536" i="2"/>
  <c r="N3535" i="2"/>
  <c r="K3535" i="2"/>
  <c r="H3535" i="2"/>
  <c r="G3535" i="2"/>
  <c r="F3535" i="2"/>
  <c r="E3535" i="2"/>
  <c r="C3535" i="2"/>
  <c r="B3535" i="2"/>
  <c r="N3534" i="2"/>
  <c r="K3534" i="2"/>
  <c r="H3534" i="2"/>
  <c r="G3534" i="2"/>
  <c r="F3534" i="2"/>
  <c r="E3534" i="2"/>
  <c r="C3534" i="2"/>
  <c r="B3534" i="2"/>
  <c r="N3533" i="2"/>
  <c r="K3533" i="2"/>
  <c r="H3533" i="2"/>
  <c r="G3533" i="2"/>
  <c r="F3533" i="2"/>
  <c r="E3533" i="2"/>
  <c r="C3533" i="2"/>
  <c r="B3533" i="2"/>
  <c r="N3532" i="2"/>
  <c r="K3532" i="2"/>
  <c r="H3532" i="2"/>
  <c r="G3532" i="2"/>
  <c r="F3532" i="2"/>
  <c r="E3532" i="2"/>
  <c r="C3532" i="2"/>
  <c r="B3532" i="2"/>
  <c r="N3531" i="2"/>
  <c r="K3531" i="2"/>
  <c r="H3531" i="2"/>
  <c r="G3531" i="2"/>
  <c r="F3531" i="2"/>
  <c r="E3531" i="2"/>
  <c r="C3531" i="2"/>
  <c r="B3531" i="2"/>
  <c r="N3530" i="2"/>
  <c r="K3530" i="2"/>
  <c r="H3530" i="2"/>
  <c r="G3530" i="2"/>
  <c r="F3530" i="2"/>
  <c r="E3530" i="2"/>
  <c r="C3530" i="2"/>
  <c r="B3530" i="2"/>
  <c r="N3529" i="2"/>
  <c r="K3529" i="2"/>
  <c r="H3529" i="2"/>
  <c r="G3529" i="2"/>
  <c r="F3529" i="2"/>
  <c r="E3529" i="2"/>
  <c r="C3529" i="2"/>
  <c r="B3529" i="2"/>
  <c r="N3528" i="2"/>
  <c r="K3528" i="2"/>
  <c r="H3528" i="2"/>
  <c r="G3528" i="2"/>
  <c r="F3528" i="2"/>
  <c r="E3528" i="2"/>
  <c r="C3528" i="2"/>
  <c r="B3528" i="2"/>
  <c r="N3527" i="2"/>
  <c r="K3527" i="2"/>
  <c r="H3527" i="2"/>
  <c r="G3527" i="2"/>
  <c r="F3527" i="2"/>
  <c r="E3527" i="2"/>
  <c r="C3527" i="2"/>
  <c r="B3527" i="2"/>
  <c r="N3526" i="2"/>
  <c r="K3526" i="2"/>
  <c r="H3526" i="2"/>
  <c r="G3526" i="2"/>
  <c r="F3526" i="2"/>
  <c r="E3526" i="2"/>
  <c r="C3526" i="2"/>
  <c r="B3526" i="2"/>
  <c r="N3525" i="2"/>
  <c r="K3525" i="2"/>
  <c r="H3525" i="2"/>
  <c r="G3525" i="2"/>
  <c r="F3525" i="2"/>
  <c r="E3525" i="2"/>
  <c r="C3525" i="2"/>
  <c r="B3525" i="2"/>
  <c r="N3524" i="2"/>
  <c r="K3524" i="2"/>
  <c r="H3524" i="2"/>
  <c r="G3524" i="2"/>
  <c r="F3524" i="2"/>
  <c r="E3524" i="2"/>
  <c r="C3524" i="2"/>
  <c r="B3524" i="2"/>
  <c r="N3523" i="2"/>
  <c r="K3523" i="2"/>
  <c r="H3523" i="2"/>
  <c r="G3523" i="2"/>
  <c r="F3523" i="2"/>
  <c r="E3523" i="2"/>
  <c r="C3523" i="2"/>
  <c r="B3523" i="2"/>
  <c r="N3522" i="2"/>
  <c r="K3522" i="2"/>
  <c r="H3522" i="2"/>
  <c r="G3522" i="2"/>
  <c r="F3522" i="2"/>
  <c r="E3522" i="2"/>
  <c r="C3522" i="2"/>
  <c r="B3522" i="2"/>
  <c r="N3521" i="2"/>
  <c r="K3521" i="2"/>
  <c r="H3521" i="2"/>
  <c r="G3521" i="2"/>
  <c r="F3521" i="2"/>
  <c r="E3521" i="2"/>
  <c r="C3521" i="2"/>
  <c r="B3521" i="2"/>
  <c r="N3520" i="2"/>
  <c r="K3520" i="2"/>
  <c r="H3520" i="2"/>
  <c r="G3520" i="2"/>
  <c r="F3520" i="2"/>
  <c r="E3520" i="2"/>
  <c r="C3520" i="2"/>
  <c r="B3520" i="2"/>
  <c r="N3519" i="2"/>
  <c r="K3519" i="2"/>
  <c r="H3519" i="2"/>
  <c r="G3519" i="2"/>
  <c r="F3519" i="2"/>
  <c r="E3519" i="2"/>
  <c r="C3519" i="2"/>
  <c r="B3519" i="2"/>
  <c r="N3518" i="2"/>
  <c r="K3518" i="2"/>
  <c r="H3518" i="2"/>
  <c r="G3518" i="2"/>
  <c r="F3518" i="2"/>
  <c r="E3518" i="2"/>
  <c r="C3518" i="2"/>
  <c r="B3518" i="2"/>
  <c r="N3517" i="2"/>
  <c r="K3517" i="2"/>
  <c r="H3517" i="2"/>
  <c r="G3517" i="2"/>
  <c r="F3517" i="2"/>
  <c r="E3517" i="2"/>
  <c r="C3517" i="2"/>
  <c r="B3517" i="2"/>
  <c r="N3516" i="2"/>
  <c r="K3516" i="2"/>
  <c r="H3516" i="2"/>
  <c r="G3516" i="2"/>
  <c r="F3516" i="2"/>
  <c r="E3516" i="2"/>
  <c r="C3516" i="2"/>
  <c r="B3516" i="2"/>
  <c r="N3515" i="2"/>
  <c r="K3515" i="2"/>
  <c r="H3515" i="2"/>
  <c r="G3515" i="2"/>
  <c r="F3515" i="2"/>
  <c r="E3515" i="2"/>
  <c r="C3515" i="2"/>
  <c r="B3515" i="2"/>
  <c r="N3514" i="2"/>
  <c r="K3514" i="2"/>
  <c r="H3514" i="2"/>
  <c r="G3514" i="2"/>
  <c r="F3514" i="2"/>
  <c r="E3514" i="2"/>
  <c r="C3514" i="2"/>
  <c r="B3514" i="2"/>
  <c r="N3513" i="2"/>
  <c r="K3513" i="2"/>
  <c r="H3513" i="2"/>
  <c r="G3513" i="2"/>
  <c r="F3513" i="2"/>
  <c r="E3513" i="2"/>
  <c r="C3513" i="2"/>
  <c r="B3513" i="2"/>
  <c r="N3512" i="2"/>
  <c r="K3512" i="2"/>
  <c r="H3512" i="2"/>
  <c r="G3512" i="2"/>
  <c r="F3512" i="2"/>
  <c r="E3512" i="2"/>
  <c r="C3512" i="2"/>
  <c r="B3512" i="2"/>
  <c r="N3511" i="2"/>
  <c r="K3511" i="2"/>
  <c r="H3511" i="2"/>
  <c r="G3511" i="2"/>
  <c r="F3511" i="2"/>
  <c r="E3511" i="2"/>
  <c r="C3511" i="2"/>
  <c r="B3511" i="2"/>
  <c r="N3510" i="2"/>
  <c r="K3510" i="2"/>
  <c r="H3510" i="2"/>
  <c r="G3510" i="2"/>
  <c r="F3510" i="2"/>
  <c r="E3510" i="2"/>
  <c r="C3510" i="2"/>
  <c r="B3510" i="2"/>
  <c r="N3509" i="2"/>
  <c r="K3509" i="2"/>
  <c r="H3509" i="2"/>
  <c r="G3509" i="2"/>
  <c r="F3509" i="2"/>
  <c r="E3509" i="2"/>
  <c r="C3509" i="2"/>
  <c r="B3509" i="2"/>
  <c r="N3508" i="2"/>
  <c r="K3508" i="2"/>
  <c r="H3508" i="2"/>
  <c r="G3508" i="2"/>
  <c r="F3508" i="2"/>
  <c r="E3508" i="2"/>
  <c r="C3508" i="2"/>
  <c r="B3508" i="2"/>
  <c r="N3507" i="2"/>
  <c r="K3507" i="2"/>
  <c r="H3507" i="2"/>
  <c r="G3507" i="2"/>
  <c r="F3507" i="2"/>
  <c r="E3507" i="2"/>
  <c r="C3507" i="2"/>
  <c r="B3507" i="2"/>
  <c r="N3506" i="2"/>
  <c r="K3506" i="2"/>
  <c r="H3506" i="2"/>
  <c r="G3506" i="2"/>
  <c r="F3506" i="2"/>
  <c r="E3506" i="2"/>
  <c r="C3506" i="2"/>
  <c r="B3506" i="2"/>
  <c r="N3505" i="2"/>
  <c r="K3505" i="2"/>
  <c r="H3505" i="2"/>
  <c r="G3505" i="2"/>
  <c r="F3505" i="2"/>
  <c r="E3505" i="2"/>
  <c r="C3505" i="2"/>
  <c r="B3505" i="2"/>
  <c r="N3504" i="2"/>
  <c r="K3504" i="2"/>
  <c r="H3504" i="2"/>
  <c r="G3504" i="2"/>
  <c r="F3504" i="2"/>
  <c r="E3504" i="2"/>
  <c r="C3504" i="2"/>
  <c r="B3504" i="2"/>
  <c r="N3503" i="2"/>
  <c r="K3503" i="2"/>
  <c r="H3503" i="2"/>
  <c r="G3503" i="2"/>
  <c r="F3503" i="2"/>
  <c r="E3503" i="2"/>
  <c r="C3503" i="2"/>
  <c r="B3503" i="2"/>
  <c r="N3502" i="2"/>
  <c r="K3502" i="2"/>
  <c r="H3502" i="2"/>
  <c r="G3502" i="2"/>
  <c r="F3502" i="2"/>
  <c r="E3502" i="2"/>
  <c r="C3502" i="2"/>
  <c r="B3502" i="2"/>
  <c r="N3501" i="2"/>
  <c r="K3501" i="2"/>
  <c r="H3501" i="2"/>
  <c r="G3501" i="2"/>
  <c r="F3501" i="2"/>
  <c r="E3501" i="2"/>
  <c r="C3501" i="2"/>
  <c r="B3501" i="2"/>
  <c r="N3500" i="2"/>
  <c r="K3500" i="2"/>
  <c r="H3500" i="2"/>
  <c r="G3500" i="2"/>
  <c r="F3500" i="2"/>
  <c r="E3500" i="2"/>
  <c r="C3500" i="2"/>
  <c r="B3500" i="2"/>
  <c r="N3499" i="2"/>
  <c r="K3499" i="2"/>
  <c r="H3499" i="2"/>
  <c r="G3499" i="2"/>
  <c r="F3499" i="2"/>
  <c r="E3499" i="2"/>
  <c r="C3499" i="2"/>
  <c r="B3499" i="2"/>
  <c r="N3498" i="2"/>
  <c r="K3498" i="2"/>
  <c r="H3498" i="2"/>
  <c r="G3498" i="2"/>
  <c r="F3498" i="2"/>
  <c r="E3498" i="2"/>
  <c r="C3498" i="2"/>
  <c r="B3498" i="2"/>
  <c r="N3497" i="2"/>
  <c r="K3497" i="2"/>
  <c r="H3497" i="2"/>
  <c r="G3497" i="2"/>
  <c r="F3497" i="2"/>
  <c r="E3497" i="2"/>
  <c r="C3497" i="2"/>
  <c r="B3497" i="2"/>
  <c r="N3496" i="2"/>
  <c r="K3496" i="2"/>
  <c r="H3496" i="2"/>
  <c r="G3496" i="2"/>
  <c r="F3496" i="2"/>
  <c r="E3496" i="2"/>
  <c r="C3496" i="2"/>
  <c r="B3496" i="2"/>
  <c r="N3495" i="2"/>
  <c r="K3495" i="2"/>
  <c r="H3495" i="2"/>
  <c r="G3495" i="2"/>
  <c r="F3495" i="2"/>
  <c r="E3495" i="2"/>
  <c r="C3495" i="2"/>
  <c r="B3495" i="2"/>
  <c r="N3494" i="2"/>
  <c r="K3494" i="2"/>
  <c r="H3494" i="2"/>
  <c r="G3494" i="2"/>
  <c r="F3494" i="2"/>
  <c r="E3494" i="2"/>
  <c r="C3494" i="2"/>
  <c r="B3494" i="2"/>
  <c r="N3493" i="2"/>
  <c r="K3493" i="2"/>
  <c r="H3493" i="2"/>
  <c r="G3493" i="2"/>
  <c r="F3493" i="2"/>
  <c r="E3493" i="2"/>
  <c r="C3493" i="2"/>
  <c r="B3493" i="2"/>
  <c r="N3492" i="2"/>
  <c r="K3492" i="2"/>
  <c r="H3492" i="2"/>
  <c r="G3492" i="2"/>
  <c r="F3492" i="2"/>
  <c r="E3492" i="2"/>
  <c r="C3492" i="2"/>
  <c r="B3492" i="2"/>
  <c r="N3491" i="2"/>
  <c r="K3491" i="2"/>
  <c r="H3491" i="2"/>
  <c r="G3491" i="2"/>
  <c r="F3491" i="2"/>
  <c r="E3491" i="2"/>
  <c r="C3491" i="2"/>
  <c r="B3491" i="2"/>
  <c r="N3490" i="2"/>
  <c r="K3490" i="2"/>
  <c r="H3490" i="2"/>
  <c r="G3490" i="2"/>
  <c r="F3490" i="2"/>
  <c r="E3490" i="2"/>
  <c r="C3490" i="2"/>
  <c r="B3490" i="2"/>
  <c r="N3489" i="2"/>
  <c r="K3489" i="2"/>
  <c r="H3489" i="2"/>
  <c r="G3489" i="2"/>
  <c r="F3489" i="2"/>
  <c r="E3489" i="2"/>
  <c r="C3489" i="2"/>
  <c r="B3489" i="2"/>
  <c r="N3488" i="2"/>
  <c r="K3488" i="2"/>
  <c r="H3488" i="2"/>
  <c r="G3488" i="2"/>
  <c r="F3488" i="2"/>
  <c r="E3488" i="2"/>
  <c r="C3488" i="2"/>
  <c r="B3488" i="2"/>
  <c r="N3487" i="2"/>
  <c r="K3487" i="2"/>
  <c r="H3487" i="2"/>
  <c r="G3487" i="2"/>
  <c r="F3487" i="2"/>
  <c r="E3487" i="2"/>
  <c r="C3487" i="2"/>
  <c r="B3487" i="2"/>
  <c r="N3486" i="2"/>
  <c r="K3486" i="2"/>
  <c r="H3486" i="2"/>
  <c r="G3486" i="2"/>
  <c r="F3486" i="2"/>
  <c r="E3486" i="2"/>
  <c r="C3486" i="2"/>
  <c r="B3486" i="2"/>
  <c r="N3485" i="2"/>
  <c r="K3485" i="2"/>
  <c r="H3485" i="2"/>
  <c r="G3485" i="2"/>
  <c r="F3485" i="2"/>
  <c r="E3485" i="2"/>
  <c r="C3485" i="2"/>
  <c r="B3485" i="2"/>
  <c r="N3484" i="2"/>
  <c r="K3484" i="2"/>
  <c r="H3484" i="2"/>
  <c r="G3484" i="2"/>
  <c r="F3484" i="2"/>
  <c r="E3484" i="2"/>
  <c r="C3484" i="2"/>
  <c r="B3484" i="2"/>
  <c r="N3483" i="2"/>
  <c r="K3483" i="2"/>
  <c r="H3483" i="2"/>
  <c r="G3483" i="2"/>
  <c r="F3483" i="2"/>
  <c r="E3483" i="2"/>
  <c r="C3483" i="2"/>
  <c r="B3483" i="2"/>
  <c r="N3482" i="2"/>
  <c r="K3482" i="2"/>
  <c r="H3482" i="2"/>
  <c r="G3482" i="2"/>
  <c r="F3482" i="2"/>
  <c r="E3482" i="2"/>
  <c r="C3482" i="2"/>
  <c r="B3482" i="2"/>
  <c r="N3481" i="2"/>
  <c r="K3481" i="2"/>
  <c r="H3481" i="2"/>
  <c r="G3481" i="2"/>
  <c r="F3481" i="2"/>
  <c r="E3481" i="2"/>
  <c r="C3481" i="2"/>
  <c r="B3481" i="2"/>
  <c r="N3480" i="2"/>
  <c r="K3480" i="2"/>
  <c r="H3480" i="2"/>
  <c r="G3480" i="2"/>
  <c r="F3480" i="2"/>
  <c r="E3480" i="2"/>
  <c r="C3480" i="2"/>
  <c r="B3480" i="2"/>
  <c r="N3479" i="2"/>
  <c r="K3479" i="2"/>
  <c r="H3479" i="2"/>
  <c r="G3479" i="2"/>
  <c r="F3479" i="2"/>
  <c r="E3479" i="2"/>
  <c r="C3479" i="2"/>
  <c r="B3479" i="2"/>
  <c r="N3478" i="2"/>
  <c r="K3478" i="2"/>
  <c r="H3478" i="2"/>
  <c r="G3478" i="2"/>
  <c r="F3478" i="2"/>
  <c r="E3478" i="2"/>
  <c r="C3478" i="2"/>
  <c r="B3478" i="2"/>
  <c r="N3477" i="2"/>
  <c r="K3477" i="2"/>
  <c r="H3477" i="2"/>
  <c r="G3477" i="2"/>
  <c r="F3477" i="2"/>
  <c r="E3477" i="2"/>
  <c r="C3477" i="2"/>
  <c r="B3477" i="2"/>
  <c r="N3476" i="2"/>
  <c r="K3476" i="2"/>
  <c r="H3476" i="2"/>
  <c r="G3476" i="2"/>
  <c r="F3476" i="2"/>
  <c r="E3476" i="2"/>
  <c r="C3476" i="2"/>
  <c r="B3476" i="2"/>
  <c r="N3475" i="2"/>
  <c r="K3475" i="2"/>
  <c r="H3475" i="2"/>
  <c r="G3475" i="2"/>
  <c r="F3475" i="2"/>
  <c r="E3475" i="2"/>
  <c r="C3475" i="2"/>
  <c r="B3475" i="2"/>
  <c r="N3474" i="2"/>
  <c r="K3474" i="2"/>
  <c r="H3474" i="2"/>
  <c r="G3474" i="2"/>
  <c r="F3474" i="2"/>
  <c r="E3474" i="2"/>
  <c r="C3474" i="2"/>
  <c r="B3474" i="2"/>
  <c r="N3473" i="2"/>
  <c r="K3473" i="2"/>
  <c r="H3473" i="2"/>
  <c r="G3473" i="2"/>
  <c r="F3473" i="2"/>
  <c r="E3473" i="2"/>
  <c r="C3473" i="2"/>
  <c r="B3473" i="2"/>
  <c r="N3472" i="2"/>
  <c r="K3472" i="2"/>
  <c r="H3472" i="2"/>
  <c r="G3472" i="2"/>
  <c r="F3472" i="2"/>
  <c r="E3472" i="2"/>
  <c r="C3472" i="2"/>
  <c r="B3472" i="2"/>
  <c r="N3471" i="2"/>
  <c r="K3471" i="2"/>
  <c r="H3471" i="2"/>
  <c r="G3471" i="2"/>
  <c r="F3471" i="2"/>
  <c r="E3471" i="2"/>
  <c r="C3471" i="2"/>
  <c r="B3471" i="2"/>
  <c r="N3470" i="2"/>
  <c r="K3470" i="2"/>
  <c r="H3470" i="2"/>
  <c r="G3470" i="2"/>
  <c r="F3470" i="2"/>
  <c r="E3470" i="2"/>
  <c r="C3470" i="2"/>
  <c r="B3470" i="2"/>
  <c r="N3469" i="2"/>
  <c r="K3469" i="2"/>
  <c r="H3469" i="2"/>
  <c r="G3469" i="2"/>
  <c r="F3469" i="2"/>
  <c r="E3469" i="2"/>
  <c r="C3469" i="2"/>
  <c r="B3469" i="2"/>
  <c r="N3468" i="2"/>
  <c r="K3468" i="2"/>
  <c r="H3468" i="2"/>
  <c r="G3468" i="2"/>
  <c r="F3468" i="2"/>
  <c r="E3468" i="2"/>
  <c r="C3468" i="2"/>
  <c r="B3468" i="2"/>
  <c r="N3467" i="2"/>
  <c r="K3467" i="2"/>
  <c r="H3467" i="2"/>
  <c r="G3467" i="2"/>
  <c r="F3467" i="2"/>
  <c r="E3467" i="2"/>
  <c r="C3467" i="2"/>
  <c r="B3467" i="2"/>
  <c r="N3466" i="2"/>
  <c r="K3466" i="2"/>
  <c r="H3466" i="2"/>
  <c r="G3466" i="2"/>
  <c r="F3466" i="2"/>
  <c r="E3466" i="2"/>
  <c r="C3466" i="2"/>
  <c r="B3466" i="2"/>
  <c r="N3465" i="2"/>
  <c r="K3465" i="2"/>
  <c r="H3465" i="2"/>
  <c r="G3465" i="2"/>
  <c r="F3465" i="2"/>
  <c r="E3465" i="2"/>
  <c r="C3465" i="2"/>
  <c r="B3465" i="2"/>
  <c r="N3464" i="2"/>
  <c r="K3464" i="2"/>
  <c r="H3464" i="2"/>
  <c r="G3464" i="2"/>
  <c r="F3464" i="2"/>
  <c r="E3464" i="2"/>
  <c r="C3464" i="2"/>
  <c r="B3464" i="2"/>
  <c r="N3463" i="2"/>
  <c r="K3463" i="2"/>
  <c r="H3463" i="2"/>
  <c r="G3463" i="2"/>
  <c r="F3463" i="2"/>
  <c r="E3463" i="2"/>
  <c r="C3463" i="2"/>
  <c r="B3463" i="2"/>
  <c r="N3462" i="2"/>
  <c r="K3462" i="2"/>
  <c r="H3462" i="2"/>
  <c r="G3462" i="2"/>
  <c r="F3462" i="2"/>
  <c r="E3462" i="2"/>
  <c r="C3462" i="2"/>
  <c r="B3462" i="2"/>
  <c r="N3461" i="2"/>
  <c r="K3461" i="2"/>
  <c r="H3461" i="2"/>
  <c r="G3461" i="2"/>
  <c r="F3461" i="2"/>
  <c r="E3461" i="2"/>
  <c r="C3461" i="2"/>
  <c r="B3461" i="2"/>
  <c r="N3460" i="2"/>
  <c r="K3460" i="2"/>
  <c r="H3460" i="2"/>
  <c r="G3460" i="2"/>
  <c r="F3460" i="2"/>
  <c r="E3460" i="2"/>
  <c r="C3460" i="2"/>
  <c r="B3460" i="2"/>
  <c r="N3459" i="2"/>
  <c r="K3459" i="2"/>
  <c r="H3459" i="2"/>
  <c r="G3459" i="2"/>
  <c r="F3459" i="2"/>
  <c r="E3459" i="2"/>
  <c r="C3459" i="2"/>
  <c r="B3459" i="2"/>
  <c r="N3458" i="2"/>
  <c r="K3458" i="2"/>
  <c r="H3458" i="2"/>
  <c r="G3458" i="2"/>
  <c r="F3458" i="2"/>
  <c r="E3458" i="2"/>
  <c r="C3458" i="2"/>
  <c r="B3458" i="2"/>
  <c r="N3457" i="2"/>
  <c r="K3457" i="2"/>
  <c r="H3457" i="2"/>
  <c r="G3457" i="2"/>
  <c r="F3457" i="2"/>
  <c r="E3457" i="2"/>
  <c r="C3457" i="2"/>
  <c r="B3457" i="2"/>
  <c r="N3456" i="2"/>
  <c r="K3456" i="2"/>
  <c r="H3456" i="2"/>
  <c r="G3456" i="2"/>
  <c r="F3456" i="2"/>
  <c r="E3456" i="2"/>
  <c r="C3456" i="2"/>
  <c r="B3456" i="2"/>
  <c r="N3455" i="2"/>
  <c r="K3455" i="2"/>
  <c r="H3455" i="2"/>
  <c r="G3455" i="2"/>
  <c r="F3455" i="2"/>
  <c r="E3455" i="2"/>
  <c r="C3455" i="2"/>
  <c r="B3455" i="2"/>
  <c r="N3454" i="2"/>
  <c r="K3454" i="2"/>
  <c r="H3454" i="2"/>
  <c r="G3454" i="2"/>
  <c r="F3454" i="2"/>
  <c r="E3454" i="2"/>
  <c r="C3454" i="2"/>
  <c r="B3454" i="2"/>
  <c r="N3453" i="2"/>
  <c r="K3453" i="2"/>
  <c r="H3453" i="2"/>
  <c r="G3453" i="2"/>
  <c r="F3453" i="2"/>
  <c r="E3453" i="2"/>
  <c r="C3453" i="2"/>
  <c r="B3453" i="2"/>
  <c r="N3452" i="2"/>
  <c r="K3452" i="2"/>
  <c r="H3452" i="2"/>
  <c r="G3452" i="2"/>
  <c r="F3452" i="2"/>
  <c r="E3452" i="2"/>
  <c r="C3452" i="2"/>
  <c r="B3452" i="2"/>
  <c r="N3451" i="2"/>
  <c r="K3451" i="2"/>
  <c r="H3451" i="2"/>
  <c r="G3451" i="2"/>
  <c r="F3451" i="2"/>
  <c r="E3451" i="2"/>
  <c r="C3451" i="2"/>
  <c r="B3451" i="2"/>
  <c r="N3450" i="2"/>
  <c r="K3450" i="2"/>
  <c r="H3450" i="2"/>
  <c r="G3450" i="2"/>
  <c r="F3450" i="2"/>
  <c r="E3450" i="2"/>
  <c r="C3450" i="2"/>
  <c r="B3450" i="2"/>
  <c r="N3449" i="2"/>
  <c r="K3449" i="2"/>
  <c r="H3449" i="2"/>
  <c r="G3449" i="2"/>
  <c r="F3449" i="2"/>
  <c r="E3449" i="2"/>
  <c r="C3449" i="2"/>
  <c r="B3449" i="2"/>
  <c r="N3448" i="2"/>
  <c r="K3448" i="2"/>
  <c r="H3448" i="2"/>
  <c r="G3448" i="2"/>
  <c r="F3448" i="2"/>
  <c r="E3448" i="2"/>
  <c r="C3448" i="2"/>
  <c r="B3448" i="2"/>
  <c r="N3447" i="2"/>
  <c r="K3447" i="2"/>
  <c r="H3447" i="2"/>
  <c r="G3447" i="2"/>
  <c r="F3447" i="2"/>
  <c r="E3447" i="2"/>
  <c r="C3447" i="2"/>
  <c r="B3447" i="2"/>
  <c r="N3446" i="2"/>
  <c r="K3446" i="2"/>
  <c r="H3446" i="2"/>
  <c r="G3446" i="2"/>
  <c r="F3446" i="2"/>
  <c r="E3446" i="2"/>
  <c r="C3446" i="2"/>
  <c r="B3446" i="2"/>
  <c r="N3445" i="2"/>
  <c r="K3445" i="2"/>
  <c r="H3445" i="2"/>
  <c r="G3445" i="2"/>
  <c r="F3445" i="2"/>
  <c r="E3445" i="2"/>
  <c r="C3445" i="2"/>
  <c r="B3445" i="2"/>
  <c r="N3444" i="2"/>
  <c r="K3444" i="2"/>
  <c r="H3444" i="2"/>
  <c r="G3444" i="2"/>
  <c r="F3444" i="2"/>
  <c r="E3444" i="2"/>
  <c r="C3444" i="2"/>
  <c r="B3444" i="2"/>
  <c r="N3443" i="2"/>
  <c r="K3443" i="2"/>
  <c r="H3443" i="2"/>
  <c r="G3443" i="2"/>
  <c r="F3443" i="2"/>
  <c r="E3443" i="2"/>
  <c r="C3443" i="2"/>
  <c r="B3443" i="2"/>
  <c r="N3442" i="2"/>
  <c r="K3442" i="2"/>
  <c r="H3442" i="2"/>
  <c r="G3442" i="2"/>
  <c r="F3442" i="2"/>
  <c r="E3442" i="2"/>
  <c r="C3442" i="2"/>
  <c r="B3442" i="2"/>
  <c r="N3441" i="2"/>
  <c r="K3441" i="2"/>
  <c r="H3441" i="2"/>
  <c r="G3441" i="2"/>
  <c r="F3441" i="2"/>
  <c r="E3441" i="2"/>
  <c r="C3441" i="2"/>
  <c r="B3441" i="2"/>
  <c r="N3440" i="2"/>
  <c r="K3440" i="2"/>
  <c r="H3440" i="2"/>
  <c r="G3440" i="2"/>
  <c r="F3440" i="2"/>
  <c r="E3440" i="2"/>
  <c r="C3440" i="2"/>
  <c r="B3440" i="2"/>
  <c r="N3439" i="2"/>
  <c r="K3439" i="2"/>
  <c r="H3439" i="2"/>
  <c r="G3439" i="2"/>
  <c r="F3439" i="2"/>
  <c r="E3439" i="2"/>
  <c r="C3439" i="2"/>
  <c r="B3439" i="2"/>
  <c r="N3438" i="2"/>
  <c r="K3438" i="2"/>
  <c r="H3438" i="2"/>
  <c r="G3438" i="2"/>
  <c r="F3438" i="2"/>
  <c r="E3438" i="2"/>
  <c r="C3438" i="2"/>
  <c r="B3438" i="2"/>
  <c r="N3437" i="2"/>
  <c r="K3437" i="2"/>
  <c r="H3437" i="2"/>
  <c r="G3437" i="2"/>
  <c r="F3437" i="2"/>
  <c r="E3437" i="2"/>
  <c r="C3437" i="2"/>
  <c r="B3437" i="2"/>
  <c r="N3436" i="2"/>
  <c r="K3436" i="2"/>
  <c r="H3436" i="2"/>
  <c r="G3436" i="2"/>
  <c r="F3436" i="2"/>
  <c r="E3436" i="2"/>
  <c r="C3436" i="2"/>
  <c r="B3436" i="2"/>
  <c r="N3435" i="2"/>
  <c r="K3435" i="2"/>
  <c r="H3435" i="2"/>
  <c r="G3435" i="2"/>
  <c r="F3435" i="2"/>
  <c r="E3435" i="2"/>
  <c r="C3435" i="2"/>
  <c r="B3435" i="2"/>
  <c r="N3434" i="2"/>
  <c r="K3434" i="2"/>
  <c r="H3434" i="2"/>
  <c r="G3434" i="2"/>
  <c r="F3434" i="2"/>
  <c r="E3434" i="2"/>
  <c r="C3434" i="2"/>
  <c r="B3434" i="2"/>
  <c r="N3433" i="2"/>
  <c r="K3433" i="2"/>
  <c r="H3433" i="2"/>
  <c r="G3433" i="2"/>
  <c r="F3433" i="2"/>
  <c r="E3433" i="2"/>
  <c r="C3433" i="2"/>
  <c r="B3433" i="2"/>
  <c r="N3432" i="2"/>
  <c r="K3432" i="2"/>
  <c r="H3432" i="2"/>
  <c r="G3432" i="2"/>
  <c r="F3432" i="2"/>
  <c r="E3432" i="2"/>
  <c r="C3432" i="2"/>
  <c r="B3432" i="2"/>
  <c r="N3431" i="2"/>
  <c r="K3431" i="2"/>
  <c r="H3431" i="2"/>
  <c r="G3431" i="2"/>
  <c r="F3431" i="2"/>
  <c r="E3431" i="2"/>
  <c r="C3431" i="2"/>
  <c r="B3431" i="2"/>
  <c r="N3430" i="2"/>
  <c r="K3430" i="2"/>
  <c r="H3430" i="2"/>
  <c r="G3430" i="2"/>
  <c r="F3430" i="2"/>
  <c r="E3430" i="2"/>
  <c r="C3430" i="2"/>
  <c r="B3430" i="2"/>
  <c r="N3429" i="2"/>
  <c r="K3429" i="2"/>
  <c r="H3429" i="2"/>
  <c r="G3429" i="2"/>
  <c r="F3429" i="2"/>
  <c r="E3429" i="2"/>
  <c r="C3429" i="2"/>
  <c r="B3429" i="2"/>
  <c r="N3428" i="2"/>
  <c r="K3428" i="2"/>
  <c r="H3428" i="2"/>
  <c r="G3428" i="2"/>
  <c r="F3428" i="2"/>
  <c r="E3428" i="2"/>
  <c r="C3428" i="2"/>
  <c r="B3428" i="2"/>
  <c r="N3427" i="2"/>
  <c r="K3427" i="2"/>
  <c r="H3427" i="2"/>
  <c r="G3427" i="2"/>
  <c r="F3427" i="2"/>
  <c r="E3427" i="2"/>
  <c r="C3427" i="2"/>
  <c r="B3427" i="2"/>
  <c r="N3426" i="2"/>
  <c r="K3426" i="2"/>
  <c r="H3426" i="2"/>
  <c r="G3426" i="2"/>
  <c r="F3426" i="2"/>
  <c r="E3426" i="2"/>
  <c r="C3426" i="2"/>
  <c r="B3426" i="2"/>
  <c r="N3425" i="2"/>
  <c r="K3425" i="2"/>
  <c r="H3425" i="2"/>
  <c r="G3425" i="2"/>
  <c r="F3425" i="2"/>
  <c r="E3425" i="2"/>
  <c r="C3425" i="2"/>
  <c r="B3425" i="2"/>
  <c r="N3424" i="2"/>
  <c r="K3424" i="2"/>
  <c r="H3424" i="2"/>
  <c r="G3424" i="2"/>
  <c r="F3424" i="2"/>
  <c r="E3424" i="2"/>
  <c r="C3424" i="2"/>
  <c r="B3424" i="2"/>
  <c r="N3423" i="2"/>
  <c r="K3423" i="2"/>
  <c r="H3423" i="2"/>
  <c r="G3423" i="2"/>
  <c r="F3423" i="2"/>
  <c r="E3423" i="2"/>
  <c r="C3423" i="2"/>
  <c r="B3423" i="2"/>
  <c r="N3422" i="2"/>
  <c r="K3422" i="2"/>
  <c r="H3422" i="2"/>
  <c r="G3422" i="2"/>
  <c r="F3422" i="2"/>
  <c r="E3422" i="2"/>
  <c r="C3422" i="2"/>
  <c r="B3422" i="2"/>
  <c r="N3421" i="2"/>
  <c r="K3421" i="2"/>
  <c r="H3421" i="2"/>
  <c r="G3421" i="2"/>
  <c r="F3421" i="2"/>
  <c r="E3421" i="2"/>
  <c r="C3421" i="2"/>
  <c r="B3421" i="2"/>
  <c r="N3420" i="2"/>
  <c r="K3420" i="2"/>
  <c r="H3420" i="2"/>
  <c r="G3420" i="2"/>
  <c r="F3420" i="2"/>
  <c r="E3420" i="2"/>
  <c r="C3420" i="2"/>
  <c r="B3420" i="2"/>
  <c r="N3419" i="2"/>
  <c r="K3419" i="2"/>
  <c r="H3419" i="2"/>
  <c r="G3419" i="2"/>
  <c r="F3419" i="2"/>
  <c r="E3419" i="2"/>
  <c r="C3419" i="2"/>
  <c r="B3419" i="2"/>
  <c r="N3418" i="2"/>
  <c r="K3418" i="2"/>
  <c r="H3418" i="2"/>
  <c r="G3418" i="2"/>
  <c r="F3418" i="2"/>
  <c r="E3418" i="2"/>
  <c r="C3418" i="2"/>
  <c r="B3418" i="2"/>
  <c r="N3417" i="2"/>
  <c r="K3417" i="2"/>
  <c r="H3417" i="2"/>
  <c r="G3417" i="2"/>
  <c r="F3417" i="2"/>
  <c r="E3417" i="2"/>
  <c r="C3417" i="2"/>
  <c r="B3417" i="2"/>
  <c r="N3416" i="2"/>
  <c r="K3416" i="2"/>
  <c r="H3416" i="2"/>
  <c r="G3416" i="2"/>
  <c r="F3416" i="2"/>
  <c r="E3416" i="2"/>
  <c r="C3416" i="2"/>
  <c r="B3416" i="2"/>
  <c r="N3415" i="2"/>
  <c r="K3415" i="2"/>
  <c r="H3415" i="2"/>
  <c r="G3415" i="2"/>
  <c r="F3415" i="2"/>
  <c r="E3415" i="2"/>
  <c r="C3415" i="2"/>
  <c r="B3415" i="2"/>
  <c r="N3414" i="2"/>
  <c r="K3414" i="2"/>
  <c r="H3414" i="2"/>
  <c r="G3414" i="2"/>
  <c r="F3414" i="2"/>
  <c r="E3414" i="2"/>
  <c r="C3414" i="2"/>
  <c r="B3414" i="2"/>
  <c r="N3413" i="2"/>
  <c r="K3413" i="2"/>
  <c r="H3413" i="2"/>
  <c r="G3413" i="2"/>
  <c r="F3413" i="2"/>
  <c r="E3413" i="2"/>
  <c r="C3413" i="2"/>
  <c r="B3413" i="2"/>
  <c r="N3412" i="2"/>
  <c r="K3412" i="2"/>
  <c r="H3412" i="2"/>
  <c r="G3412" i="2"/>
  <c r="F3412" i="2"/>
  <c r="E3412" i="2"/>
  <c r="C3412" i="2"/>
  <c r="B3412" i="2"/>
  <c r="N3411" i="2"/>
  <c r="K3411" i="2"/>
  <c r="H3411" i="2"/>
  <c r="G3411" i="2"/>
  <c r="F3411" i="2"/>
  <c r="E3411" i="2"/>
  <c r="C3411" i="2"/>
  <c r="B3411" i="2"/>
  <c r="N3410" i="2"/>
  <c r="K3410" i="2"/>
  <c r="H3410" i="2"/>
  <c r="G3410" i="2"/>
  <c r="F3410" i="2"/>
  <c r="E3410" i="2"/>
  <c r="C3410" i="2"/>
  <c r="B3410" i="2"/>
  <c r="N3409" i="2"/>
  <c r="K3409" i="2"/>
  <c r="H3409" i="2"/>
  <c r="G3409" i="2"/>
  <c r="F3409" i="2"/>
  <c r="E3409" i="2"/>
  <c r="C3409" i="2"/>
  <c r="B3409" i="2"/>
  <c r="N3408" i="2"/>
  <c r="K3408" i="2"/>
  <c r="H3408" i="2"/>
  <c r="G3408" i="2"/>
  <c r="F3408" i="2"/>
  <c r="E3408" i="2"/>
  <c r="C3408" i="2"/>
  <c r="B3408" i="2"/>
  <c r="N3407" i="2"/>
  <c r="K3407" i="2"/>
  <c r="H3407" i="2"/>
  <c r="G3407" i="2"/>
  <c r="F3407" i="2"/>
  <c r="E3407" i="2"/>
  <c r="C3407" i="2"/>
  <c r="B3407" i="2"/>
  <c r="N3406" i="2"/>
  <c r="K3406" i="2"/>
  <c r="H3406" i="2"/>
  <c r="G3406" i="2"/>
  <c r="F3406" i="2"/>
  <c r="E3406" i="2"/>
  <c r="C3406" i="2"/>
  <c r="B3406" i="2"/>
  <c r="N3405" i="2"/>
  <c r="K3405" i="2"/>
  <c r="H3405" i="2"/>
  <c r="G3405" i="2"/>
  <c r="F3405" i="2"/>
  <c r="E3405" i="2"/>
  <c r="C3405" i="2"/>
  <c r="B3405" i="2"/>
  <c r="N3404" i="2"/>
  <c r="K3404" i="2"/>
  <c r="H3404" i="2"/>
  <c r="G3404" i="2"/>
  <c r="F3404" i="2"/>
  <c r="E3404" i="2"/>
  <c r="C3404" i="2"/>
  <c r="B3404" i="2"/>
  <c r="N3403" i="2"/>
  <c r="K3403" i="2"/>
  <c r="H3403" i="2"/>
  <c r="G3403" i="2"/>
  <c r="F3403" i="2"/>
  <c r="E3403" i="2"/>
  <c r="C3403" i="2"/>
  <c r="B3403" i="2"/>
  <c r="N3402" i="2"/>
  <c r="K3402" i="2"/>
  <c r="H3402" i="2"/>
  <c r="G3402" i="2"/>
  <c r="F3402" i="2"/>
  <c r="E3402" i="2"/>
  <c r="C3402" i="2"/>
  <c r="B3402" i="2"/>
  <c r="N3401" i="2"/>
  <c r="K3401" i="2"/>
  <c r="H3401" i="2"/>
  <c r="G3401" i="2"/>
  <c r="F3401" i="2"/>
  <c r="E3401" i="2"/>
  <c r="C3401" i="2"/>
  <c r="B3401" i="2"/>
  <c r="N3400" i="2"/>
  <c r="K3400" i="2"/>
  <c r="H3400" i="2"/>
  <c r="G3400" i="2"/>
  <c r="F3400" i="2"/>
  <c r="E3400" i="2"/>
  <c r="C3400" i="2"/>
  <c r="B3400" i="2"/>
  <c r="N3399" i="2"/>
  <c r="K3399" i="2"/>
  <c r="H3399" i="2"/>
  <c r="G3399" i="2"/>
  <c r="F3399" i="2"/>
  <c r="E3399" i="2"/>
  <c r="C3399" i="2"/>
  <c r="B3399" i="2"/>
  <c r="N3398" i="2"/>
  <c r="K3398" i="2"/>
  <c r="H3398" i="2"/>
  <c r="G3398" i="2"/>
  <c r="F3398" i="2"/>
  <c r="E3398" i="2"/>
  <c r="C3398" i="2"/>
  <c r="B3398" i="2"/>
  <c r="N3397" i="2"/>
  <c r="K3397" i="2"/>
  <c r="H3397" i="2"/>
  <c r="G3397" i="2"/>
  <c r="F3397" i="2"/>
  <c r="E3397" i="2"/>
  <c r="C3397" i="2"/>
  <c r="B3397" i="2"/>
  <c r="N3396" i="2"/>
  <c r="K3396" i="2"/>
  <c r="H3396" i="2"/>
  <c r="G3396" i="2"/>
  <c r="F3396" i="2"/>
  <c r="E3396" i="2"/>
  <c r="C3396" i="2"/>
  <c r="B3396" i="2"/>
  <c r="N3395" i="2"/>
  <c r="K3395" i="2"/>
  <c r="H3395" i="2"/>
  <c r="G3395" i="2"/>
  <c r="F3395" i="2"/>
  <c r="E3395" i="2"/>
  <c r="C3395" i="2"/>
  <c r="B3395" i="2"/>
  <c r="N3394" i="2"/>
  <c r="K3394" i="2"/>
  <c r="H3394" i="2"/>
  <c r="G3394" i="2"/>
  <c r="F3394" i="2"/>
  <c r="E3394" i="2"/>
  <c r="C3394" i="2"/>
  <c r="B3394" i="2"/>
  <c r="N3393" i="2"/>
  <c r="K3393" i="2"/>
  <c r="H3393" i="2"/>
  <c r="G3393" i="2"/>
  <c r="F3393" i="2"/>
  <c r="E3393" i="2"/>
  <c r="C3393" i="2"/>
  <c r="B3393" i="2"/>
  <c r="N3392" i="2"/>
  <c r="K3392" i="2"/>
  <c r="H3392" i="2"/>
  <c r="G3392" i="2"/>
  <c r="F3392" i="2"/>
  <c r="E3392" i="2"/>
  <c r="C3392" i="2"/>
  <c r="B3392" i="2"/>
  <c r="N3391" i="2"/>
  <c r="K3391" i="2"/>
  <c r="H3391" i="2"/>
  <c r="G3391" i="2"/>
  <c r="F3391" i="2"/>
  <c r="E3391" i="2"/>
  <c r="C3391" i="2"/>
  <c r="B3391" i="2"/>
  <c r="N3390" i="2"/>
  <c r="K3390" i="2"/>
  <c r="H3390" i="2"/>
  <c r="G3390" i="2"/>
  <c r="F3390" i="2"/>
  <c r="E3390" i="2"/>
  <c r="C3390" i="2"/>
  <c r="B3390" i="2"/>
  <c r="N3389" i="2"/>
  <c r="K3389" i="2"/>
  <c r="H3389" i="2"/>
  <c r="G3389" i="2"/>
  <c r="F3389" i="2"/>
  <c r="E3389" i="2"/>
  <c r="C3389" i="2"/>
  <c r="B3389" i="2"/>
  <c r="N3388" i="2"/>
  <c r="K3388" i="2"/>
  <c r="H3388" i="2"/>
  <c r="G3388" i="2"/>
  <c r="F3388" i="2"/>
  <c r="E3388" i="2"/>
  <c r="C3388" i="2"/>
  <c r="B3388" i="2"/>
  <c r="N3387" i="2"/>
  <c r="K3387" i="2"/>
  <c r="H3387" i="2"/>
  <c r="G3387" i="2"/>
  <c r="F3387" i="2"/>
  <c r="E3387" i="2"/>
  <c r="C3387" i="2"/>
  <c r="B3387" i="2"/>
  <c r="N3386" i="2"/>
  <c r="K3386" i="2"/>
  <c r="H3386" i="2"/>
  <c r="G3386" i="2"/>
  <c r="F3386" i="2"/>
  <c r="E3386" i="2"/>
  <c r="C3386" i="2"/>
  <c r="B3386" i="2"/>
  <c r="N3385" i="2"/>
  <c r="K3385" i="2"/>
  <c r="H3385" i="2"/>
  <c r="G3385" i="2"/>
  <c r="F3385" i="2"/>
  <c r="E3385" i="2"/>
  <c r="C3385" i="2"/>
  <c r="B3385" i="2"/>
  <c r="N3384" i="2"/>
  <c r="K3384" i="2"/>
  <c r="H3384" i="2"/>
  <c r="G3384" i="2"/>
  <c r="F3384" i="2"/>
  <c r="E3384" i="2"/>
  <c r="C3384" i="2"/>
  <c r="B3384" i="2"/>
  <c r="N3383" i="2"/>
  <c r="K3383" i="2"/>
  <c r="H3383" i="2"/>
  <c r="G3383" i="2"/>
  <c r="F3383" i="2"/>
  <c r="E3383" i="2"/>
  <c r="C3383" i="2"/>
  <c r="B3383" i="2"/>
  <c r="N3382" i="2"/>
  <c r="K3382" i="2"/>
  <c r="H3382" i="2"/>
  <c r="G3382" i="2"/>
  <c r="F3382" i="2"/>
  <c r="E3382" i="2"/>
  <c r="C3382" i="2"/>
  <c r="B3382" i="2"/>
  <c r="N3381" i="2"/>
  <c r="K3381" i="2"/>
  <c r="H3381" i="2"/>
  <c r="G3381" i="2"/>
  <c r="F3381" i="2"/>
  <c r="E3381" i="2"/>
  <c r="C3381" i="2"/>
  <c r="B3381" i="2"/>
  <c r="N3380" i="2"/>
  <c r="K3380" i="2"/>
  <c r="H3380" i="2"/>
  <c r="G3380" i="2"/>
  <c r="F3380" i="2"/>
  <c r="E3380" i="2"/>
  <c r="C3380" i="2"/>
  <c r="B3380" i="2"/>
  <c r="N3379" i="2"/>
  <c r="K3379" i="2"/>
  <c r="H3379" i="2"/>
  <c r="G3379" i="2"/>
  <c r="F3379" i="2"/>
  <c r="E3379" i="2"/>
  <c r="C3379" i="2"/>
  <c r="B3379" i="2"/>
  <c r="N3378" i="2"/>
  <c r="K3378" i="2"/>
  <c r="H3378" i="2"/>
  <c r="G3378" i="2"/>
  <c r="F3378" i="2"/>
  <c r="E3378" i="2"/>
  <c r="C3378" i="2"/>
  <c r="B3378" i="2"/>
  <c r="N3377" i="2"/>
  <c r="K3377" i="2"/>
  <c r="H3377" i="2"/>
  <c r="G3377" i="2"/>
  <c r="F3377" i="2"/>
  <c r="E3377" i="2"/>
  <c r="C3377" i="2"/>
  <c r="B3377" i="2"/>
  <c r="N3376" i="2"/>
  <c r="K3376" i="2"/>
  <c r="H3376" i="2"/>
  <c r="G3376" i="2"/>
  <c r="F3376" i="2"/>
  <c r="E3376" i="2"/>
  <c r="C3376" i="2"/>
  <c r="B3376" i="2"/>
  <c r="N3375" i="2"/>
  <c r="K3375" i="2"/>
  <c r="H3375" i="2"/>
  <c r="G3375" i="2"/>
  <c r="F3375" i="2"/>
  <c r="E3375" i="2"/>
  <c r="C3375" i="2"/>
  <c r="B3375" i="2"/>
  <c r="N3374" i="2"/>
  <c r="K3374" i="2"/>
  <c r="H3374" i="2"/>
  <c r="G3374" i="2"/>
  <c r="F3374" i="2"/>
  <c r="E3374" i="2"/>
  <c r="C3374" i="2"/>
  <c r="B3374" i="2"/>
  <c r="N3373" i="2"/>
  <c r="K3373" i="2"/>
  <c r="H3373" i="2"/>
  <c r="G3373" i="2"/>
  <c r="F3373" i="2"/>
  <c r="E3373" i="2"/>
  <c r="C3373" i="2"/>
  <c r="B3373" i="2"/>
  <c r="N3372" i="2"/>
  <c r="K3372" i="2"/>
  <c r="H3372" i="2"/>
  <c r="G3372" i="2"/>
  <c r="F3372" i="2"/>
  <c r="E3372" i="2"/>
  <c r="C3372" i="2"/>
  <c r="B3372" i="2"/>
  <c r="N3371" i="2"/>
  <c r="K3371" i="2"/>
  <c r="H3371" i="2"/>
  <c r="G3371" i="2"/>
  <c r="F3371" i="2"/>
  <c r="E3371" i="2"/>
  <c r="C3371" i="2"/>
  <c r="B3371" i="2"/>
  <c r="N3370" i="2"/>
  <c r="K3370" i="2"/>
  <c r="H3370" i="2"/>
  <c r="G3370" i="2"/>
  <c r="F3370" i="2"/>
  <c r="E3370" i="2"/>
  <c r="C3370" i="2"/>
  <c r="B3370" i="2"/>
  <c r="N3369" i="2"/>
  <c r="K3369" i="2"/>
  <c r="H3369" i="2"/>
  <c r="G3369" i="2"/>
  <c r="F3369" i="2"/>
  <c r="E3369" i="2"/>
  <c r="C3369" i="2"/>
  <c r="B3369" i="2"/>
  <c r="N3368" i="2"/>
  <c r="K3368" i="2"/>
  <c r="H3368" i="2"/>
  <c r="G3368" i="2"/>
  <c r="F3368" i="2"/>
  <c r="E3368" i="2"/>
  <c r="C3368" i="2"/>
  <c r="B3368" i="2"/>
  <c r="N3367" i="2"/>
  <c r="K3367" i="2"/>
  <c r="H3367" i="2"/>
  <c r="G3367" i="2"/>
  <c r="F3367" i="2"/>
  <c r="E3367" i="2"/>
  <c r="C3367" i="2"/>
  <c r="B3367" i="2"/>
  <c r="N3366" i="2"/>
  <c r="K3366" i="2"/>
  <c r="H3366" i="2"/>
  <c r="G3366" i="2"/>
  <c r="F3366" i="2"/>
  <c r="E3366" i="2"/>
  <c r="C3366" i="2"/>
  <c r="B3366" i="2"/>
  <c r="N3365" i="2"/>
  <c r="K3365" i="2"/>
  <c r="H3365" i="2"/>
  <c r="G3365" i="2"/>
  <c r="F3365" i="2"/>
  <c r="E3365" i="2"/>
  <c r="C3365" i="2"/>
  <c r="B3365" i="2"/>
  <c r="N3364" i="2"/>
  <c r="K3364" i="2"/>
  <c r="H3364" i="2"/>
  <c r="G3364" i="2"/>
  <c r="F3364" i="2"/>
  <c r="E3364" i="2"/>
  <c r="C3364" i="2"/>
  <c r="B3364" i="2"/>
  <c r="N3363" i="2"/>
  <c r="K3363" i="2"/>
  <c r="H3363" i="2"/>
  <c r="G3363" i="2"/>
  <c r="F3363" i="2"/>
  <c r="E3363" i="2"/>
  <c r="C3363" i="2"/>
  <c r="B3363" i="2"/>
  <c r="N3362" i="2"/>
  <c r="K3362" i="2"/>
  <c r="H3362" i="2"/>
  <c r="G3362" i="2"/>
  <c r="F3362" i="2"/>
  <c r="E3362" i="2"/>
  <c r="C3362" i="2"/>
  <c r="B3362" i="2"/>
  <c r="N3361" i="2"/>
  <c r="K3361" i="2"/>
  <c r="H3361" i="2"/>
  <c r="G3361" i="2"/>
  <c r="F3361" i="2"/>
  <c r="E3361" i="2"/>
  <c r="C3361" i="2"/>
  <c r="B3361" i="2"/>
  <c r="N3360" i="2"/>
  <c r="K3360" i="2"/>
  <c r="H3360" i="2"/>
  <c r="G3360" i="2"/>
  <c r="F3360" i="2"/>
  <c r="E3360" i="2"/>
  <c r="C3360" i="2"/>
  <c r="B3360" i="2"/>
  <c r="N3359" i="2"/>
  <c r="K3359" i="2"/>
  <c r="H3359" i="2"/>
  <c r="G3359" i="2"/>
  <c r="F3359" i="2"/>
  <c r="E3359" i="2"/>
  <c r="C3359" i="2"/>
  <c r="B3359" i="2"/>
  <c r="N3358" i="2"/>
  <c r="K3358" i="2"/>
  <c r="H3358" i="2"/>
  <c r="G3358" i="2"/>
  <c r="F3358" i="2"/>
  <c r="E3358" i="2"/>
  <c r="C3358" i="2"/>
  <c r="B3358" i="2"/>
  <c r="N3357" i="2"/>
  <c r="K3357" i="2"/>
  <c r="H3357" i="2"/>
  <c r="G3357" i="2"/>
  <c r="F3357" i="2"/>
  <c r="E3357" i="2"/>
  <c r="C3357" i="2"/>
  <c r="B3357" i="2"/>
  <c r="N3356" i="2"/>
  <c r="K3356" i="2"/>
  <c r="H3356" i="2"/>
  <c r="G3356" i="2"/>
  <c r="F3356" i="2"/>
  <c r="E3356" i="2"/>
  <c r="C3356" i="2"/>
  <c r="B3356" i="2"/>
  <c r="N3355" i="2"/>
  <c r="K3355" i="2"/>
  <c r="H3355" i="2"/>
  <c r="G3355" i="2"/>
  <c r="F3355" i="2"/>
  <c r="E3355" i="2"/>
  <c r="C3355" i="2"/>
  <c r="B3355" i="2"/>
  <c r="N3354" i="2"/>
  <c r="K3354" i="2"/>
  <c r="H3354" i="2"/>
  <c r="G3354" i="2"/>
  <c r="F3354" i="2"/>
  <c r="E3354" i="2"/>
  <c r="C3354" i="2"/>
  <c r="B3354" i="2"/>
  <c r="N3353" i="2"/>
  <c r="K3353" i="2"/>
  <c r="H3353" i="2"/>
  <c r="G3353" i="2"/>
  <c r="F3353" i="2"/>
  <c r="E3353" i="2"/>
  <c r="C3353" i="2"/>
  <c r="B3353" i="2"/>
  <c r="N3352" i="2"/>
  <c r="K3352" i="2"/>
  <c r="H3352" i="2"/>
  <c r="G3352" i="2"/>
  <c r="F3352" i="2"/>
  <c r="E3352" i="2"/>
  <c r="C3352" i="2"/>
  <c r="B3352" i="2"/>
  <c r="N3351" i="2"/>
  <c r="K3351" i="2"/>
  <c r="H3351" i="2"/>
  <c r="G3351" i="2"/>
  <c r="F3351" i="2"/>
  <c r="E3351" i="2"/>
  <c r="C3351" i="2"/>
  <c r="B3351" i="2"/>
  <c r="N3350" i="2"/>
  <c r="K3350" i="2"/>
  <c r="H3350" i="2"/>
  <c r="G3350" i="2"/>
  <c r="F3350" i="2"/>
  <c r="E3350" i="2"/>
  <c r="C3350" i="2"/>
  <c r="B3350" i="2"/>
  <c r="N3349" i="2"/>
  <c r="K3349" i="2"/>
  <c r="H3349" i="2"/>
  <c r="G3349" i="2"/>
  <c r="F3349" i="2"/>
  <c r="E3349" i="2"/>
  <c r="C3349" i="2"/>
  <c r="B3349" i="2"/>
  <c r="N3348" i="2"/>
  <c r="K3348" i="2"/>
  <c r="H3348" i="2"/>
  <c r="G3348" i="2"/>
  <c r="F3348" i="2"/>
  <c r="E3348" i="2"/>
  <c r="C3348" i="2"/>
  <c r="B3348" i="2"/>
  <c r="N3347" i="2"/>
  <c r="K3347" i="2"/>
  <c r="H3347" i="2"/>
  <c r="G3347" i="2"/>
  <c r="F3347" i="2"/>
  <c r="E3347" i="2"/>
  <c r="C3347" i="2"/>
  <c r="B3347" i="2"/>
  <c r="N3346" i="2"/>
  <c r="K3346" i="2"/>
  <c r="H3346" i="2"/>
  <c r="G3346" i="2"/>
  <c r="F3346" i="2"/>
  <c r="E3346" i="2"/>
  <c r="C3346" i="2"/>
  <c r="B3346" i="2"/>
  <c r="N3345" i="2"/>
  <c r="K3345" i="2"/>
  <c r="H3345" i="2"/>
  <c r="G3345" i="2"/>
  <c r="F3345" i="2"/>
  <c r="E3345" i="2"/>
  <c r="C3345" i="2"/>
  <c r="B3345" i="2"/>
  <c r="N3344" i="2"/>
  <c r="K3344" i="2"/>
  <c r="H3344" i="2"/>
  <c r="G3344" i="2"/>
  <c r="F3344" i="2"/>
  <c r="E3344" i="2"/>
  <c r="C3344" i="2"/>
  <c r="B3344" i="2"/>
  <c r="N3343" i="2"/>
  <c r="K3343" i="2"/>
  <c r="H3343" i="2"/>
  <c r="G3343" i="2"/>
  <c r="F3343" i="2"/>
  <c r="E3343" i="2"/>
  <c r="C3343" i="2"/>
  <c r="B3343" i="2"/>
  <c r="N3342" i="2"/>
  <c r="K3342" i="2"/>
  <c r="H3342" i="2"/>
  <c r="G3342" i="2"/>
  <c r="F3342" i="2"/>
  <c r="E3342" i="2"/>
  <c r="C3342" i="2"/>
  <c r="B3342" i="2"/>
  <c r="N3341" i="2"/>
  <c r="K3341" i="2"/>
  <c r="H3341" i="2"/>
  <c r="G3341" i="2"/>
  <c r="F3341" i="2"/>
  <c r="E3341" i="2"/>
  <c r="C3341" i="2"/>
  <c r="B3341" i="2"/>
  <c r="N3340" i="2"/>
  <c r="K3340" i="2"/>
  <c r="H3340" i="2"/>
  <c r="G3340" i="2"/>
  <c r="F3340" i="2"/>
  <c r="E3340" i="2"/>
  <c r="C3340" i="2"/>
  <c r="B3340" i="2"/>
  <c r="N3339" i="2"/>
  <c r="K3339" i="2"/>
  <c r="H3339" i="2"/>
  <c r="G3339" i="2"/>
  <c r="F3339" i="2"/>
  <c r="E3339" i="2"/>
  <c r="C3339" i="2"/>
  <c r="B3339" i="2"/>
  <c r="N3338" i="2"/>
  <c r="K3338" i="2"/>
  <c r="H3338" i="2"/>
  <c r="G3338" i="2"/>
  <c r="F3338" i="2"/>
  <c r="E3338" i="2"/>
  <c r="C3338" i="2"/>
  <c r="B3338" i="2"/>
  <c r="N3337" i="2"/>
  <c r="K3337" i="2"/>
  <c r="H3337" i="2"/>
  <c r="G3337" i="2"/>
  <c r="F3337" i="2"/>
  <c r="E3337" i="2"/>
  <c r="C3337" i="2"/>
  <c r="B3337" i="2"/>
  <c r="N3336" i="2"/>
  <c r="K3336" i="2"/>
  <c r="H3336" i="2"/>
  <c r="G3336" i="2"/>
  <c r="F3336" i="2"/>
  <c r="E3336" i="2"/>
  <c r="C3336" i="2"/>
  <c r="B3336" i="2"/>
  <c r="N3335" i="2"/>
  <c r="K3335" i="2"/>
  <c r="H3335" i="2"/>
  <c r="G3335" i="2"/>
  <c r="F3335" i="2"/>
  <c r="E3335" i="2"/>
  <c r="C3335" i="2"/>
  <c r="B3335" i="2"/>
  <c r="N3334" i="2"/>
  <c r="K3334" i="2"/>
  <c r="H3334" i="2"/>
  <c r="G3334" i="2"/>
  <c r="F3334" i="2"/>
  <c r="E3334" i="2"/>
  <c r="C3334" i="2"/>
  <c r="B3334" i="2"/>
  <c r="N3333" i="2"/>
  <c r="K3333" i="2"/>
  <c r="H3333" i="2"/>
  <c r="G3333" i="2"/>
  <c r="F3333" i="2"/>
  <c r="E3333" i="2"/>
  <c r="C3333" i="2"/>
  <c r="B3333" i="2"/>
  <c r="N3332" i="2"/>
  <c r="K3332" i="2"/>
  <c r="H3332" i="2"/>
  <c r="G3332" i="2"/>
  <c r="F3332" i="2"/>
  <c r="E3332" i="2"/>
  <c r="C3332" i="2"/>
  <c r="B3332" i="2"/>
  <c r="N3331" i="2"/>
  <c r="K3331" i="2"/>
  <c r="H3331" i="2"/>
  <c r="G3331" i="2"/>
  <c r="F3331" i="2"/>
  <c r="E3331" i="2"/>
  <c r="C3331" i="2"/>
  <c r="B3331" i="2"/>
  <c r="N3330" i="2"/>
  <c r="K3330" i="2"/>
  <c r="H3330" i="2"/>
  <c r="G3330" i="2"/>
  <c r="F3330" i="2"/>
  <c r="E3330" i="2"/>
  <c r="C3330" i="2"/>
  <c r="B3330" i="2"/>
  <c r="N3329" i="2"/>
  <c r="K3329" i="2"/>
  <c r="H3329" i="2"/>
  <c r="G3329" i="2"/>
  <c r="F3329" i="2"/>
  <c r="E3329" i="2"/>
  <c r="C3329" i="2"/>
  <c r="B3329" i="2"/>
  <c r="N3328" i="2"/>
  <c r="K3328" i="2"/>
  <c r="H3328" i="2"/>
  <c r="G3328" i="2"/>
  <c r="F3328" i="2"/>
  <c r="E3328" i="2"/>
  <c r="C3328" i="2"/>
  <c r="B3328" i="2"/>
  <c r="N3327" i="2"/>
  <c r="K3327" i="2"/>
  <c r="H3327" i="2"/>
  <c r="G3327" i="2"/>
  <c r="F3327" i="2"/>
  <c r="E3327" i="2"/>
  <c r="C3327" i="2"/>
  <c r="B3327" i="2"/>
  <c r="N3326" i="2"/>
  <c r="K3326" i="2"/>
  <c r="H3326" i="2"/>
  <c r="G3326" i="2"/>
  <c r="F3326" i="2"/>
  <c r="E3326" i="2"/>
  <c r="C3326" i="2"/>
  <c r="B3326" i="2"/>
  <c r="N3325" i="2"/>
  <c r="K3325" i="2"/>
  <c r="H3325" i="2"/>
  <c r="G3325" i="2"/>
  <c r="F3325" i="2"/>
  <c r="E3325" i="2"/>
  <c r="C3325" i="2"/>
  <c r="B3325" i="2"/>
  <c r="N3324" i="2"/>
  <c r="K3324" i="2"/>
  <c r="H3324" i="2"/>
  <c r="G3324" i="2"/>
  <c r="F3324" i="2"/>
  <c r="E3324" i="2"/>
  <c r="C3324" i="2"/>
  <c r="B3324" i="2"/>
  <c r="N3323" i="2"/>
  <c r="K3323" i="2"/>
  <c r="H3323" i="2"/>
  <c r="G3323" i="2"/>
  <c r="F3323" i="2"/>
  <c r="E3323" i="2"/>
  <c r="C3323" i="2"/>
  <c r="B3323" i="2"/>
  <c r="N3322" i="2"/>
  <c r="K3322" i="2"/>
  <c r="H3322" i="2"/>
  <c r="G3322" i="2"/>
  <c r="F3322" i="2"/>
  <c r="E3322" i="2"/>
  <c r="C3322" i="2"/>
  <c r="B3322" i="2"/>
  <c r="N3321" i="2"/>
  <c r="K3321" i="2"/>
  <c r="H3321" i="2"/>
  <c r="G3321" i="2"/>
  <c r="F3321" i="2"/>
  <c r="E3321" i="2"/>
  <c r="C3321" i="2"/>
  <c r="B3321" i="2"/>
  <c r="N3320" i="2"/>
  <c r="K3320" i="2"/>
  <c r="H3320" i="2"/>
  <c r="G3320" i="2"/>
  <c r="F3320" i="2"/>
  <c r="E3320" i="2"/>
  <c r="C3320" i="2"/>
  <c r="B3320" i="2"/>
  <c r="N3319" i="2"/>
  <c r="K3319" i="2"/>
  <c r="H3319" i="2"/>
  <c r="G3319" i="2"/>
  <c r="F3319" i="2"/>
  <c r="E3319" i="2"/>
  <c r="C3319" i="2"/>
  <c r="B3319" i="2"/>
  <c r="N3318" i="2"/>
  <c r="K3318" i="2"/>
  <c r="H3318" i="2"/>
  <c r="G3318" i="2"/>
  <c r="F3318" i="2"/>
  <c r="E3318" i="2"/>
  <c r="C3318" i="2"/>
  <c r="B3318" i="2"/>
  <c r="N3317" i="2"/>
  <c r="K3317" i="2"/>
  <c r="H3317" i="2"/>
  <c r="G3317" i="2"/>
  <c r="F3317" i="2"/>
  <c r="E3317" i="2"/>
  <c r="C3317" i="2"/>
  <c r="B3317" i="2"/>
  <c r="N3316" i="2"/>
  <c r="K3316" i="2"/>
  <c r="H3316" i="2"/>
  <c r="G3316" i="2"/>
  <c r="F3316" i="2"/>
  <c r="E3316" i="2"/>
  <c r="C3316" i="2"/>
  <c r="B3316" i="2"/>
  <c r="N3315" i="2"/>
  <c r="K3315" i="2"/>
  <c r="H3315" i="2"/>
  <c r="G3315" i="2"/>
  <c r="F3315" i="2"/>
  <c r="E3315" i="2"/>
  <c r="C3315" i="2"/>
  <c r="B3315" i="2"/>
  <c r="N3314" i="2"/>
  <c r="K3314" i="2"/>
  <c r="H3314" i="2"/>
  <c r="G3314" i="2"/>
  <c r="F3314" i="2"/>
  <c r="E3314" i="2"/>
  <c r="C3314" i="2"/>
  <c r="B3314" i="2"/>
  <c r="N3313" i="2"/>
  <c r="K3313" i="2"/>
  <c r="H3313" i="2"/>
  <c r="G3313" i="2"/>
  <c r="F3313" i="2"/>
  <c r="E3313" i="2"/>
  <c r="C3313" i="2"/>
  <c r="B3313" i="2"/>
  <c r="N3312" i="2"/>
  <c r="K3312" i="2"/>
  <c r="H3312" i="2"/>
  <c r="G3312" i="2"/>
  <c r="F3312" i="2"/>
  <c r="E3312" i="2"/>
  <c r="C3312" i="2"/>
  <c r="B3312" i="2"/>
  <c r="N3311" i="2"/>
  <c r="K3311" i="2"/>
  <c r="H3311" i="2"/>
  <c r="G3311" i="2"/>
  <c r="F3311" i="2"/>
  <c r="E3311" i="2"/>
  <c r="C3311" i="2"/>
  <c r="B3311" i="2"/>
  <c r="N3310" i="2"/>
  <c r="K3310" i="2"/>
  <c r="H3310" i="2"/>
  <c r="G3310" i="2"/>
  <c r="F3310" i="2"/>
  <c r="E3310" i="2"/>
  <c r="C3310" i="2"/>
  <c r="B3310" i="2"/>
  <c r="N3309" i="2"/>
  <c r="K3309" i="2"/>
  <c r="H3309" i="2"/>
  <c r="G3309" i="2"/>
  <c r="F3309" i="2"/>
  <c r="E3309" i="2"/>
  <c r="C3309" i="2"/>
  <c r="B3309" i="2"/>
  <c r="N3308" i="2"/>
  <c r="K3308" i="2"/>
  <c r="H3308" i="2"/>
  <c r="G3308" i="2"/>
  <c r="F3308" i="2"/>
  <c r="E3308" i="2"/>
  <c r="C3308" i="2"/>
  <c r="B3308" i="2"/>
  <c r="N3307" i="2"/>
  <c r="K3307" i="2"/>
  <c r="H3307" i="2"/>
  <c r="G3307" i="2"/>
  <c r="F3307" i="2"/>
  <c r="E3307" i="2"/>
  <c r="C3307" i="2"/>
  <c r="B3307" i="2"/>
  <c r="N3306" i="2"/>
  <c r="K3306" i="2"/>
  <c r="H3306" i="2"/>
  <c r="G3306" i="2"/>
  <c r="F3306" i="2"/>
  <c r="E3306" i="2"/>
  <c r="C3306" i="2"/>
  <c r="B3306" i="2"/>
  <c r="N3305" i="2"/>
  <c r="K3305" i="2"/>
  <c r="H3305" i="2"/>
  <c r="G3305" i="2"/>
  <c r="F3305" i="2"/>
  <c r="E3305" i="2"/>
  <c r="C3305" i="2"/>
  <c r="B3305" i="2"/>
  <c r="N3304" i="2"/>
  <c r="K3304" i="2"/>
  <c r="H3304" i="2"/>
  <c r="G3304" i="2"/>
  <c r="F3304" i="2"/>
  <c r="E3304" i="2"/>
  <c r="C3304" i="2"/>
  <c r="B3304" i="2"/>
  <c r="N3303" i="2"/>
  <c r="K3303" i="2"/>
  <c r="H3303" i="2"/>
  <c r="G3303" i="2"/>
  <c r="F3303" i="2"/>
  <c r="E3303" i="2"/>
  <c r="C3303" i="2"/>
  <c r="B3303" i="2"/>
  <c r="N3302" i="2"/>
  <c r="K3302" i="2"/>
  <c r="H3302" i="2"/>
  <c r="G3302" i="2"/>
  <c r="F3302" i="2"/>
  <c r="E3302" i="2"/>
  <c r="C3302" i="2"/>
  <c r="B3302" i="2"/>
  <c r="N3301" i="2"/>
  <c r="K3301" i="2"/>
  <c r="H3301" i="2"/>
  <c r="G3301" i="2"/>
  <c r="F3301" i="2"/>
  <c r="E3301" i="2"/>
  <c r="C3301" i="2"/>
  <c r="B3301" i="2"/>
  <c r="N3300" i="2"/>
  <c r="K3300" i="2"/>
  <c r="H3300" i="2"/>
  <c r="G3300" i="2"/>
  <c r="F3300" i="2"/>
  <c r="E3300" i="2"/>
  <c r="C3300" i="2"/>
  <c r="B3300" i="2"/>
  <c r="N3299" i="2"/>
  <c r="K3299" i="2"/>
  <c r="H3299" i="2"/>
  <c r="G3299" i="2"/>
  <c r="F3299" i="2"/>
  <c r="E3299" i="2"/>
  <c r="C3299" i="2"/>
  <c r="B3299" i="2"/>
  <c r="N3298" i="2"/>
  <c r="K3298" i="2"/>
  <c r="H3298" i="2"/>
  <c r="G3298" i="2"/>
  <c r="F3298" i="2"/>
  <c r="E3298" i="2"/>
  <c r="C3298" i="2"/>
  <c r="B3298" i="2"/>
  <c r="N3297" i="2"/>
  <c r="K3297" i="2"/>
  <c r="H3297" i="2"/>
  <c r="G3297" i="2"/>
  <c r="F3297" i="2"/>
  <c r="E3297" i="2"/>
  <c r="C3297" i="2"/>
  <c r="B3297" i="2"/>
  <c r="N3296" i="2"/>
  <c r="K3296" i="2"/>
  <c r="H3296" i="2"/>
  <c r="G3296" i="2"/>
  <c r="F3296" i="2"/>
  <c r="E3296" i="2"/>
  <c r="C3296" i="2"/>
  <c r="B3296" i="2"/>
  <c r="N3295" i="2"/>
  <c r="K3295" i="2"/>
  <c r="H3295" i="2"/>
  <c r="G3295" i="2"/>
  <c r="F3295" i="2"/>
  <c r="E3295" i="2"/>
  <c r="C3295" i="2"/>
  <c r="B3295" i="2"/>
  <c r="N3294" i="2"/>
  <c r="K3294" i="2"/>
  <c r="H3294" i="2"/>
  <c r="G3294" i="2"/>
  <c r="F3294" i="2"/>
  <c r="E3294" i="2"/>
  <c r="C3294" i="2"/>
  <c r="B3294" i="2"/>
  <c r="N3293" i="2"/>
  <c r="K3293" i="2"/>
  <c r="H3293" i="2"/>
  <c r="G3293" i="2"/>
  <c r="F3293" i="2"/>
  <c r="E3293" i="2"/>
  <c r="C3293" i="2"/>
  <c r="B3293" i="2"/>
  <c r="N3292" i="2"/>
  <c r="K3292" i="2"/>
  <c r="H3292" i="2"/>
  <c r="G3292" i="2"/>
  <c r="F3292" i="2"/>
  <c r="E3292" i="2"/>
  <c r="C3292" i="2"/>
  <c r="B3292" i="2"/>
  <c r="N3291" i="2"/>
  <c r="K3291" i="2"/>
  <c r="H3291" i="2"/>
  <c r="G3291" i="2"/>
  <c r="F3291" i="2"/>
  <c r="E3291" i="2"/>
  <c r="C3291" i="2"/>
  <c r="B3291" i="2"/>
  <c r="N3290" i="2"/>
  <c r="K3290" i="2"/>
  <c r="H3290" i="2"/>
  <c r="G3290" i="2"/>
  <c r="F3290" i="2"/>
  <c r="E3290" i="2"/>
  <c r="C3290" i="2"/>
  <c r="B3290" i="2"/>
  <c r="N3289" i="2"/>
  <c r="K3289" i="2"/>
  <c r="H3289" i="2"/>
  <c r="G3289" i="2"/>
  <c r="F3289" i="2"/>
  <c r="E3289" i="2"/>
  <c r="C3289" i="2"/>
  <c r="B3289" i="2"/>
  <c r="N3288" i="2"/>
  <c r="K3288" i="2"/>
  <c r="H3288" i="2"/>
  <c r="G3288" i="2"/>
  <c r="F3288" i="2"/>
  <c r="E3288" i="2"/>
  <c r="C3288" i="2"/>
  <c r="B3288" i="2"/>
  <c r="N3287" i="2"/>
  <c r="K3287" i="2"/>
  <c r="H3287" i="2"/>
  <c r="G3287" i="2"/>
  <c r="F3287" i="2"/>
  <c r="E3287" i="2"/>
  <c r="C3287" i="2"/>
  <c r="B3287" i="2"/>
  <c r="N3286" i="2"/>
  <c r="K3286" i="2"/>
  <c r="H3286" i="2"/>
  <c r="G3286" i="2"/>
  <c r="F3286" i="2"/>
  <c r="E3286" i="2"/>
  <c r="C3286" i="2"/>
  <c r="B3286" i="2"/>
  <c r="N3285" i="2"/>
  <c r="K3285" i="2"/>
  <c r="H3285" i="2"/>
  <c r="G3285" i="2"/>
  <c r="F3285" i="2"/>
  <c r="E3285" i="2"/>
  <c r="C3285" i="2"/>
  <c r="B3285" i="2"/>
  <c r="N3284" i="2"/>
  <c r="K3284" i="2"/>
  <c r="H3284" i="2"/>
  <c r="G3284" i="2"/>
  <c r="F3284" i="2"/>
  <c r="E3284" i="2"/>
  <c r="C3284" i="2"/>
  <c r="B3284" i="2"/>
  <c r="N3283" i="2"/>
  <c r="K3283" i="2"/>
  <c r="H3283" i="2"/>
  <c r="G3283" i="2"/>
  <c r="F3283" i="2"/>
  <c r="E3283" i="2"/>
  <c r="C3283" i="2"/>
  <c r="B3283" i="2"/>
  <c r="N3282" i="2"/>
  <c r="K3282" i="2"/>
  <c r="H3282" i="2"/>
  <c r="G3282" i="2"/>
  <c r="F3282" i="2"/>
  <c r="E3282" i="2"/>
  <c r="C3282" i="2"/>
  <c r="B3282" i="2"/>
  <c r="N3281" i="2"/>
  <c r="K3281" i="2"/>
  <c r="H3281" i="2"/>
  <c r="G3281" i="2"/>
  <c r="F3281" i="2"/>
  <c r="E3281" i="2"/>
  <c r="C3281" i="2"/>
  <c r="B3281" i="2"/>
  <c r="N3280" i="2"/>
  <c r="K3280" i="2"/>
  <c r="H3280" i="2"/>
  <c r="G3280" i="2"/>
  <c r="F3280" i="2"/>
  <c r="E3280" i="2"/>
  <c r="C3280" i="2"/>
  <c r="B3280" i="2"/>
  <c r="N3279" i="2"/>
  <c r="K3279" i="2"/>
  <c r="H3279" i="2"/>
  <c r="G3279" i="2"/>
  <c r="F3279" i="2"/>
  <c r="E3279" i="2"/>
  <c r="C3279" i="2"/>
  <c r="B3279" i="2"/>
  <c r="N3278" i="2"/>
  <c r="K3278" i="2"/>
  <c r="H3278" i="2"/>
  <c r="G3278" i="2"/>
  <c r="F3278" i="2"/>
  <c r="E3278" i="2"/>
  <c r="C3278" i="2"/>
  <c r="B3278" i="2"/>
  <c r="N3277" i="2"/>
  <c r="K3277" i="2"/>
  <c r="H3277" i="2"/>
  <c r="G3277" i="2"/>
  <c r="F3277" i="2"/>
  <c r="E3277" i="2"/>
  <c r="C3277" i="2"/>
  <c r="B3277" i="2"/>
  <c r="N3276" i="2"/>
  <c r="K3276" i="2"/>
  <c r="H3276" i="2"/>
  <c r="G3276" i="2"/>
  <c r="F3276" i="2"/>
  <c r="E3276" i="2"/>
  <c r="C3276" i="2"/>
  <c r="B3276" i="2"/>
  <c r="N3275" i="2"/>
  <c r="K3275" i="2"/>
  <c r="H3275" i="2"/>
  <c r="G3275" i="2"/>
  <c r="F3275" i="2"/>
  <c r="E3275" i="2"/>
  <c r="C3275" i="2"/>
  <c r="B3275" i="2"/>
  <c r="N3274" i="2"/>
  <c r="K3274" i="2"/>
  <c r="H3274" i="2"/>
  <c r="G3274" i="2"/>
  <c r="F3274" i="2"/>
  <c r="E3274" i="2"/>
  <c r="C3274" i="2"/>
  <c r="B3274" i="2"/>
  <c r="N3273" i="2"/>
  <c r="K3273" i="2"/>
  <c r="H3273" i="2"/>
  <c r="G3273" i="2"/>
  <c r="F3273" i="2"/>
  <c r="E3273" i="2"/>
  <c r="C3273" i="2"/>
  <c r="B3273" i="2"/>
  <c r="N3272" i="2"/>
  <c r="K3272" i="2"/>
  <c r="H3272" i="2"/>
  <c r="G3272" i="2"/>
  <c r="F3272" i="2"/>
  <c r="E3272" i="2"/>
  <c r="C3272" i="2"/>
  <c r="B3272" i="2"/>
  <c r="N3271" i="2"/>
  <c r="K3271" i="2"/>
  <c r="H3271" i="2"/>
  <c r="G3271" i="2"/>
  <c r="F3271" i="2"/>
  <c r="E3271" i="2"/>
  <c r="C3271" i="2"/>
  <c r="B3271" i="2"/>
  <c r="N3270" i="2"/>
  <c r="K3270" i="2"/>
  <c r="H3270" i="2"/>
  <c r="G3270" i="2"/>
  <c r="F3270" i="2"/>
  <c r="E3270" i="2"/>
  <c r="C3270" i="2"/>
  <c r="B3270" i="2"/>
  <c r="N3269" i="2"/>
  <c r="K3269" i="2"/>
  <c r="H3269" i="2"/>
  <c r="G3269" i="2"/>
  <c r="F3269" i="2"/>
  <c r="E3269" i="2"/>
  <c r="C3269" i="2"/>
  <c r="B3269" i="2"/>
  <c r="N3268" i="2"/>
  <c r="K3268" i="2"/>
  <c r="H3268" i="2"/>
  <c r="G3268" i="2"/>
  <c r="F3268" i="2"/>
  <c r="E3268" i="2"/>
  <c r="C3268" i="2"/>
  <c r="B3268" i="2"/>
  <c r="N3267" i="2"/>
  <c r="K3267" i="2"/>
  <c r="H3267" i="2"/>
  <c r="G3267" i="2"/>
  <c r="F3267" i="2"/>
  <c r="E3267" i="2"/>
  <c r="C3267" i="2"/>
  <c r="B3267" i="2"/>
  <c r="N3266" i="2"/>
  <c r="K3266" i="2"/>
  <c r="H3266" i="2"/>
  <c r="G3266" i="2"/>
  <c r="F3266" i="2"/>
  <c r="E3266" i="2"/>
  <c r="C3266" i="2"/>
  <c r="B3266" i="2"/>
  <c r="N3265" i="2"/>
  <c r="K3265" i="2"/>
  <c r="H3265" i="2"/>
  <c r="G3265" i="2"/>
  <c r="F3265" i="2"/>
  <c r="E3265" i="2"/>
  <c r="C3265" i="2"/>
  <c r="B3265" i="2"/>
  <c r="N3264" i="2"/>
  <c r="K3264" i="2"/>
  <c r="H3264" i="2"/>
  <c r="G3264" i="2"/>
  <c r="F3264" i="2"/>
  <c r="E3264" i="2"/>
  <c r="C3264" i="2"/>
  <c r="B3264" i="2"/>
  <c r="N3263" i="2"/>
  <c r="K3263" i="2"/>
  <c r="H3263" i="2"/>
  <c r="G3263" i="2"/>
  <c r="F3263" i="2"/>
  <c r="E3263" i="2"/>
  <c r="C3263" i="2"/>
  <c r="B3263" i="2"/>
  <c r="N3262" i="2"/>
  <c r="K3262" i="2"/>
  <c r="H3262" i="2"/>
  <c r="G3262" i="2"/>
  <c r="F3262" i="2"/>
  <c r="E3262" i="2"/>
  <c r="C3262" i="2"/>
  <c r="B3262" i="2"/>
  <c r="N3261" i="2"/>
  <c r="K3261" i="2"/>
  <c r="H3261" i="2"/>
  <c r="G3261" i="2"/>
  <c r="F3261" i="2"/>
  <c r="E3261" i="2"/>
  <c r="C3261" i="2"/>
  <c r="B3261" i="2"/>
  <c r="N3260" i="2"/>
  <c r="K3260" i="2"/>
  <c r="H3260" i="2"/>
  <c r="G3260" i="2"/>
  <c r="F3260" i="2"/>
  <c r="E3260" i="2"/>
  <c r="C3260" i="2"/>
  <c r="B3260" i="2"/>
  <c r="N3259" i="2"/>
  <c r="K3259" i="2"/>
  <c r="H3259" i="2"/>
  <c r="G3259" i="2"/>
  <c r="F3259" i="2"/>
  <c r="E3259" i="2"/>
  <c r="C3259" i="2"/>
  <c r="B3259" i="2"/>
  <c r="N3258" i="2"/>
  <c r="K3258" i="2"/>
  <c r="H3258" i="2"/>
  <c r="G3258" i="2"/>
  <c r="F3258" i="2"/>
  <c r="E3258" i="2"/>
  <c r="C3258" i="2"/>
  <c r="B3258" i="2"/>
  <c r="N3257" i="2"/>
  <c r="K3257" i="2"/>
  <c r="H3257" i="2"/>
  <c r="G3257" i="2"/>
  <c r="F3257" i="2"/>
  <c r="E3257" i="2"/>
  <c r="C3257" i="2"/>
  <c r="B3257" i="2"/>
  <c r="N3256" i="2"/>
  <c r="K3256" i="2"/>
  <c r="H3256" i="2"/>
  <c r="G3256" i="2"/>
  <c r="F3256" i="2"/>
  <c r="E3256" i="2"/>
  <c r="C3256" i="2"/>
  <c r="B3256" i="2"/>
  <c r="N3255" i="2"/>
  <c r="K3255" i="2"/>
  <c r="H3255" i="2"/>
  <c r="G3255" i="2"/>
  <c r="F3255" i="2"/>
  <c r="E3255" i="2"/>
  <c r="C3255" i="2"/>
  <c r="B3255" i="2"/>
  <c r="N3254" i="2"/>
  <c r="K3254" i="2"/>
  <c r="H3254" i="2"/>
  <c r="G3254" i="2"/>
  <c r="F3254" i="2"/>
  <c r="E3254" i="2"/>
  <c r="C3254" i="2"/>
  <c r="B3254" i="2"/>
  <c r="N3253" i="2"/>
  <c r="K3253" i="2"/>
  <c r="H3253" i="2"/>
  <c r="G3253" i="2"/>
  <c r="F3253" i="2"/>
  <c r="E3253" i="2"/>
  <c r="C3253" i="2"/>
  <c r="B3253" i="2"/>
  <c r="N3252" i="2"/>
  <c r="K3252" i="2"/>
  <c r="H3252" i="2"/>
  <c r="G3252" i="2"/>
  <c r="F3252" i="2"/>
  <c r="E3252" i="2"/>
  <c r="C3252" i="2"/>
  <c r="B3252" i="2"/>
  <c r="N3251" i="2"/>
  <c r="K3251" i="2"/>
  <c r="H3251" i="2"/>
  <c r="G3251" i="2"/>
  <c r="F3251" i="2"/>
  <c r="E3251" i="2"/>
  <c r="C3251" i="2"/>
  <c r="B3251" i="2"/>
  <c r="N3250" i="2"/>
  <c r="K3250" i="2"/>
  <c r="H3250" i="2"/>
  <c r="G3250" i="2"/>
  <c r="F3250" i="2"/>
  <c r="E3250" i="2"/>
  <c r="C3250" i="2"/>
  <c r="B3250" i="2"/>
  <c r="N3249" i="2"/>
  <c r="K3249" i="2"/>
  <c r="H3249" i="2"/>
  <c r="G3249" i="2"/>
  <c r="F3249" i="2"/>
  <c r="E3249" i="2"/>
  <c r="C3249" i="2"/>
  <c r="B3249" i="2"/>
  <c r="N3248" i="2"/>
  <c r="K3248" i="2"/>
  <c r="H3248" i="2"/>
  <c r="G3248" i="2"/>
  <c r="F3248" i="2"/>
  <c r="E3248" i="2"/>
  <c r="C3248" i="2"/>
  <c r="B3248" i="2"/>
  <c r="N3247" i="2"/>
  <c r="K3247" i="2"/>
  <c r="H3247" i="2"/>
  <c r="G3247" i="2"/>
  <c r="F3247" i="2"/>
  <c r="E3247" i="2"/>
  <c r="C3247" i="2"/>
  <c r="B3247" i="2"/>
  <c r="N3246" i="2"/>
  <c r="K3246" i="2"/>
  <c r="H3246" i="2"/>
  <c r="G3246" i="2"/>
  <c r="F3246" i="2"/>
  <c r="E3246" i="2"/>
  <c r="C3246" i="2"/>
  <c r="B3246" i="2"/>
  <c r="N3245" i="2"/>
  <c r="K3245" i="2"/>
  <c r="H3245" i="2"/>
  <c r="G3245" i="2"/>
  <c r="F3245" i="2"/>
  <c r="E3245" i="2"/>
  <c r="C3245" i="2"/>
  <c r="B3245" i="2"/>
  <c r="N3244" i="2"/>
  <c r="K3244" i="2"/>
  <c r="H3244" i="2"/>
  <c r="G3244" i="2"/>
  <c r="F3244" i="2"/>
  <c r="E3244" i="2"/>
  <c r="C3244" i="2"/>
  <c r="B3244" i="2"/>
  <c r="N3243" i="2"/>
  <c r="K3243" i="2"/>
  <c r="H3243" i="2"/>
  <c r="G3243" i="2"/>
  <c r="F3243" i="2"/>
  <c r="E3243" i="2"/>
  <c r="C3243" i="2"/>
  <c r="B3243" i="2"/>
  <c r="N3242" i="2"/>
  <c r="K3242" i="2"/>
  <c r="H3242" i="2"/>
  <c r="G3242" i="2"/>
  <c r="F3242" i="2"/>
  <c r="E3242" i="2"/>
  <c r="C3242" i="2"/>
  <c r="B3242" i="2"/>
  <c r="N3241" i="2"/>
  <c r="K3241" i="2"/>
  <c r="H3241" i="2"/>
  <c r="G3241" i="2"/>
  <c r="F3241" i="2"/>
  <c r="E3241" i="2"/>
  <c r="C3241" i="2"/>
  <c r="B3241" i="2"/>
  <c r="N3240" i="2"/>
  <c r="K3240" i="2"/>
  <c r="H3240" i="2"/>
  <c r="G3240" i="2"/>
  <c r="F3240" i="2"/>
  <c r="E3240" i="2"/>
  <c r="C3240" i="2"/>
  <c r="B3240" i="2"/>
  <c r="N3239" i="2"/>
  <c r="K3239" i="2"/>
  <c r="H3239" i="2"/>
  <c r="G3239" i="2"/>
  <c r="F3239" i="2"/>
  <c r="E3239" i="2"/>
  <c r="C3239" i="2"/>
  <c r="B3239" i="2"/>
  <c r="N3238" i="2"/>
  <c r="K3238" i="2"/>
  <c r="H3238" i="2"/>
  <c r="G3238" i="2"/>
  <c r="F3238" i="2"/>
  <c r="E3238" i="2"/>
  <c r="C3238" i="2"/>
  <c r="B3238" i="2"/>
  <c r="N3237" i="2"/>
  <c r="K3237" i="2"/>
  <c r="H3237" i="2"/>
  <c r="G3237" i="2"/>
  <c r="F3237" i="2"/>
  <c r="E3237" i="2"/>
  <c r="C3237" i="2"/>
  <c r="B3237" i="2"/>
  <c r="N3236" i="2"/>
  <c r="K3236" i="2"/>
  <c r="H3236" i="2"/>
  <c r="G3236" i="2"/>
  <c r="F3236" i="2"/>
  <c r="E3236" i="2"/>
  <c r="C3236" i="2"/>
  <c r="B3236" i="2"/>
  <c r="N3235" i="2"/>
  <c r="K3235" i="2"/>
  <c r="H3235" i="2"/>
  <c r="G3235" i="2"/>
  <c r="F3235" i="2"/>
  <c r="E3235" i="2"/>
  <c r="C3235" i="2"/>
  <c r="B3235" i="2"/>
  <c r="N3234" i="2"/>
  <c r="K3234" i="2"/>
  <c r="H3234" i="2"/>
  <c r="G3234" i="2"/>
  <c r="F3234" i="2"/>
  <c r="E3234" i="2"/>
  <c r="C3234" i="2"/>
  <c r="B3234" i="2"/>
  <c r="N3233" i="2"/>
  <c r="K3233" i="2"/>
  <c r="H3233" i="2"/>
  <c r="G3233" i="2"/>
  <c r="F3233" i="2"/>
  <c r="E3233" i="2"/>
  <c r="C3233" i="2"/>
  <c r="B3233" i="2"/>
  <c r="N3232" i="2"/>
  <c r="K3232" i="2"/>
  <c r="H3232" i="2"/>
  <c r="G3232" i="2"/>
  <c r="F3232" i="2"/>
  <c r="E3232" i="2"/>
  <c r="C3232" i="2"/>
  <c r="B3232" i="2"/>
  <c r="N3231" i="2"/>
  <c r="K3231" i="2"/>
  <c r="H3231" i="2"/>
  <c r="G3231" i="2"/>
  <c r="F3231" i="2"/>
  <c r="E3231" i="2"/>
  <c r="C3231" i="2"/>
  <c r="B3231" i="2"/>
  <c r="N3230" i="2"/>
  <c r="K3230" i="2"/>
  <c r="H3230" i="2"/>
  <c r="G3230" i="2"/>
  <c r="F3230" i="2"/>
  <c r="E3230" i="2"/>
  <c r="C3230" i="2"/>
  <c r="B3230" i="2"/>
  <c r="N3229" i="2"/>
  <c r="K3229" i="2"/>
  <c r="H3229" i="2"/>
  <c r="G3229" i="2"/>
  <c r="F3229" i="2"/>
  <c r="E3229" i="2"/>
  <c r="C3229" i="2"/>
  <c r="B3229" i="2"/>
  <c r="N3228" i="2"/>
  <c r="K3228" i="2"/>
  <c r="H3228" i="2"/>
  <c r="G3228" i="2"/>
  <c r="F3228" i="2"/>
  <c r="E3228" i="2"/>
  <c r="C3228" i="2"/>
  <c r="B3228" i="2"/>
  <c r="N3227" i="2"/>
  <c r="K3227" i="2"/>
  <c r="H3227" i="2"/>
  <c r="G3227" i="2"/>
  <c r="F3227" i="2"/>
  <c r="E3227" i="2"/>
  <c r="C3227" i="2"/>
  <c r="B3227" i="2"/>
  <c r="N3226" i="2"/>
  <c r="K3226" i="2"/>
  <c r="H3226" i="2"/>
  <c r="G3226" i="2"/>
  <c r="F3226" i="2"/>
  <c r="E3226" i="2"/>
  <c r="C3226" i="2"/>
  <c r="B3226" i="2"/>
  <c r="N3225" i="2"/>
  <c r="K3225" i="2"/>
  <c r="H3225" i="2"/>
  <c r="G3225" i="2"/>
  <c r="F3225" i="2"/>
  <c r="E3225" i="2"/>
  <c r="C3225" i="2"/>
  <c r="B3225" i="2"/>
  <c r="N3224" i="2"/>
  <c r="K3224" i="2"/>
  <c r="H3224" i="2"/>
  <c r="G3224" i="2"/>
  <c r="F3224" i="2"/>
  <c r="E3224" i="2"/>
  <c r="C3224" i="2"/>
  <c r="B3224" i="2"/>
  <c r="N3223" i="2"/>
  <c r="K3223" i="2"/>
  <c r="H3223" i="2"/>
  <c r="G3223" i="2"/>
  <c r="F3223" i="2"/>
  <c r="E3223" i="2"/>
  <c r="C3223" i="2"/>
  <c r="B3223" i="2"/>
  <c r="N3222" i="2"/>
  <c r="K3222" i="2"/>
  <c r="H3222" i="2"/>
  <c r="G3222" i="2"/>
  <c r="F3222" i="2"/>
  <c r="E3222" i="2"/>
  <c r="C3222" i="2"/>
  <c r="B3222" i="2"/>
  <c r="N3221" i="2"/>
  <c r="K3221" i="2"/>
  <c r="H3221" i="2"/>
  <c r="G3221" i="2"/>
  <c r="F3221" i="2"/>
  <c r="E3221" i="2"/>
  <c r="C3221" i="2"/>
  <c r="B3221" i="2"/>
  <c r="N3220" i="2"/>
  <c r="K3220" i="2"/>
  <c r="H3220" i="2"/>
  <c r="G3220" i="2"/>
  <c r="F3220" i="2"/>
  <c r="E3220" i="2"/>
  <c r="C3220" i="2"/>
  <c r="B3220" i="2"/>
  <c r="N3219" i="2"/>
  <c r="K3219" i="2"/>
  <c r="H3219" i="2"/>
  <c r="G3219" i="2"/>
  <c r="F3219" i="2"/>
  <c r="E3219" i="2"/>
  <c r="C3219" i="2"/>
  <c r="B3219" i="2"/>
  <c r="N3218" i="2"/>
  <c r="K3218" i="2"/>
  <c r="H3218" i="2"/>
  <c r="G3218" i="2"/>
  <c r="F3218" i="2"/>
  <c r="E3218" i="2"/>
  <c r="C3218" i="2"/>
  <c r="B3218" i="2"/>
  <c r="N3217" i="2"/>
  <c r="K3217" i="2"/>
  <c r="H3217" i="2"/>
  <c r="G3217" i="2"/>
  <c r="F3217" i="2"/>
  <c r="E3217" i="2"/>
  <c r="C3217" i="2"/>
  <c r="B3217" i="2"/>
  <c r="N3216" i="2"/>
  <c r="K3216" i="2"/>
  <c r="H3216" i="2"/>
  <c r="G3216" i="2"/>
  <c r="F3216" i="2"/>
  <c r="E3216" i="2"/>
  <c r="C3216" i="2"/>
  <c r="B3216" i="2"/>
  <c r="N3215" i="2"/>
  <c r="K3215" i="2"/>
  <c r="H3215" i="2"/>
  <c r="G3215" i="2"/>
  <c r="F3215" i="2"/>
  <c r="E3215" i="2"/>
  <c r="C3215" i="2"/>
  <c r="B3215" i="2"/>
  <c r="N3214" i="2"/>
  <c r="K3214" i="2"/>
  <c r="H3214" i="2"/>
  <c r="G3214" i="2"/>
  <c r="F3214" i="2"/>
  <c r="E3214" i="2"/>
  <c r="C3214" i="2"/>
  <c r="B3214" i="2"/>
  <c r="N3213" i="2"/>
  <c r="K3213" i="2"/>
  <c r="H3213" i="2"/>
  <c r="G3213" i="2"/>
  <c r="F3213" i="2"/>
  <c r="E3213" i="2"/>
  <c r="C3213" i="2"/>
  <c r="B3213" i="2"/>
  <c r="N3212" i="2"/>
  <c r="K3212" i="2"/>
  <c r="H3212" i="2"/>
  <c r="G3212" i="2"/>
  <c r="F3212" i="2"/>
  <c r="E3212" i="2"/>
  <c r="C3212" i="2"/>
  <c r="B3212" i="2"/>
  <c r="N3211" i="2"/>
  <c r="K3211" i="2"/>
  <c r="H3211" i="2"/>
  <c r="G3211" i="2"/>
  <c r="F3211" i="2"/>
  <c r="E3211" i="2"/>
  <c r="C3211" i="2"/>
  <c r="B3211" i="2"/>
  <c r="N3210" i="2"/>
  <c r="K3210" i="2"/>
  <c r="H3210" i="2"/>
  <c r="G3210" i="2"/>
  <c r="F3210" i="2"/>
  <c r="E3210" i="2"/>
  <c r="C3210" i="2"/>
  <c r="B3210" i="2"/>
  <c r="N3209" i="2"/>
  <c r="K3209" i="2"/>
  <c r="H3209" i="2"/>
  <c r="G3209" i="2"/>
  <c r="F3209" i="2"/>
  <c r="E3209" i="2"/>
  <c r="C3209" i="2"/>
  <c r="B3209" i="2"/>
  <c r="N3208" i="2"/>
  <c r="K3208" i="2"/>
  <c r="H3208" i="2"/>
  <c r="G3208" i="2"/>
  <c r="F3208" i="2"/>
  <c r="E3208" i="2"/>
  <c r="C3208" i="2"/>
  <c r="B3208" i="2"/>
  <c r="N3207" i="2"/>
  <c r="K3207" i="2"/>
  <c r="H3207" i="2"/>
  <c r="G3207" i="2"/>
  <c r="F3207" i="2"/>
  <c r="E3207" i="2"/>
  <c r="C3207" i="2"/>
  <c r="B3207" i="2"/>
  <c r="N3206" i="2"/>
  <c r="K3206" i="2"/>
  <c r="H3206" i="2"/>
  <c r="G3206" i="2"/>
  <c r="F3206" i="2"/>
  <c r="E3206" i="2"/>
  <c r="C3206" i="2"/>
  <c r="B3206" i="2"/>
  <c r="N3205" i="2"/>
  <c r="K3205" i="2"/>
  <c r="H3205" i="2"/>
  <c r="G3205" i="2"/>
  <c r="F3205" i="2"/>
  <c r="E3205" i="2"/>
  <c r="C3205" i="2"/>
  <c r="B3205" i="2"/>
  <c r="N3204" i="2"/>
  <c r="K3204" i="2"/>
  <c r="H3204" i="2"/>
  <c r="G3204" i="2"/>
  <c r="F3204" i="2"/>
  <c r="E3204" i="2"/>
  <c r="C3204" i="2"/>
  <c r="B3204" i="2"/>
  <c r="N3203" i="2"/>
  <c r="K3203" i="2"/>
  <c r="H3203" i="2"/>
  <c r="G3203" i="2"/>
  <c r="F3203" i="2"/>
  <c r="E3203" i="2"/>
  <c r="C3203" i="2"/>
  <c r="B3203" i="2"/>
  <c r="N3202" i="2"/>
  <c r="K3202" i="2"/>
  <c r="H3202" i="2"/>
  <c r="G3202" i="2"/>
  <c r="F3202" i="2"/>
  <c r="E3202" i="2"/>
  <c r="C3202" i="2"/>
  <c r="B3202" i="2"/>
  <c r="N3201" i="2"/>
  <c r="K3201" i="2"/>
  <c r="H3201" i="2"/>
  <c r="G3201" i="2"/>
  <c r="F3201" i="2"/>
  <c r="E3201" i="2"/>
  <c r="C3201" i="2"/>
  <c r="B3201" i="2"/>
  <c r="N3200" i="2"/>
  <c r="K3200" i="2"/>
  <c r="H3200" i="2"/>
  <c r="G3200" i="2"/>
  <c r="F3200" i="2"/>
  <c r="E3200" i="2"/>
  <c r="C3200" i="2"/>
  <c r="B3200" i="2"/>
  <c r="N3199" i="2"/>
  <c r="K3199" i="2"/>
  <c r="H3199" i="2"/>
  <c r="G3199" i="2"/>
  <c r="F3199" i="2"/>
  <c r="E3199" i="2"/>
  <c r="C3199" i="2"/>
  <c r="B3199" i="2"/>
  <c r="N3198" i="2"/>
  <c r="K3198" i="2"/>
  <c r="H3198" i="2"/>
  <c r="G3198" i="2"/>
  <c r="F3198" i="2"/>
  <c r="E3198" i="2"/>
  <c r="C3198" i="2"/>
  <c r="B3198" i="2"/>
  <c r="N3197" i="2"/>
  <c r="K3197" i="2"/>
  <c r="H3197" i="2"/>
  <c r="G3197" i="2"/>
  <c r="F3197" i="2"/>
  <c r="E3197" i="2"/>
  <c r="C3197" i="2"/>
  <c r="B3197" i="2"/>
  <c r="N3196" i="2"/>
  <c r="K3196" i="2"/>
  <c r="H3196" i="2"/>
  <c r="G3196" i="2"/>
  <c r="F3196" i="2"/>
  <c r="E3196" i="2"/>
  <c r="C3196" i="2"/>
  <c r="B3196" i="2"/>
  <c r="N3195" i="2"/>
  <c r="K3195" i="2"/>
  <c r="H3195" i="2"/>
  <c r="G3195" i="2"/>
  <c r="F3195" i="2"/>
  <c r="E3195" i="2"/>
  <c r="C3195" i="2"/>
  <c r="B3195" i="2"/>
  <c r="N3194" i="2"/>
  <c r="K3194" i="2"/>
  <c r="H3194" i="2"/>
  <c r="G3194" i="2"/>
  <c r="F3194" i="2"/>
  <c r="E3194" i="2"/>
  <c r="C3194" i="2"/>
  <c r="B3194" i="2"/>
  <c r="N3193" i="2"/>
  <c r="K3193" i="2"/>
  <c r="H3193" i="2"/>
  <c r="G3193" i="2"/>
  <c r="F3193" i="2"/>
  <c r="E3193" i="2"/>
  <c r="C3193" i="2"/>
  <c r="B3193" i="2"/>
  <c r="N3192" i="2"/>
  <c r="K3192" i="2"/>
  <c r="H3192" i="2"/>
  <c r="G3192" i="2"/>
  <c r="F3192" i="2"/>
  <c r="E3192" i="2"/>
  <c r="C3192" i="2"/>
  <c r="B3192" i="2"/>
  <c r="N3191" i="2"/>
  <c r="K3191" i="2"/>
  <c r="H3191" i="2"/>
  <c r="G3191" i="2"/>
  <c r="F3191" i="2"/>
  <c r="E3191" i="2"/>
  <c r="C3191" i="2"/>
  <c r="B3191" i="2"/>
  <c r="N3190" i="2"/>
  <c r="K3190" i="2"/>
  <c r="H3190" i="2"/>
  <c r="G3190" i="2"/>
  <c r="F3190" i="2"/>
  <c r="E3190" i="2"/>
  <c r="C3190" i="2"/>
  <c r="B3190" i="2"/>
  <c r="N3189" i="2"/>
  <c r="K3189" i="2"/>
  <c r="H3189" i="2"/>
  <c r="G3189" i="2"/>
  <c r="F3189" i="2"/>
  <c r="E3189" i="2"/>
  <c r="C3189" i="2"/>
  <c r="B3189" i="2"/>
  <c r="N3188" i="2"/>
  <c r="K3188" i="2"/>
  <c r="H3188" i="2"/>
  <c r="G3188" i="2"/>
  <c r="F3188" i="2"/>
  <c r="E3188" i="2"/>
  <c r="C3188" i="2"/>
  <c r="B3188" i="2"/>
  <c r="N3187" i="2"/>
  <c r="K3187" i="2"/>
  <c r="H3187" i="2"/>
  <c r="G3187" i="2"/>
  <c r="F3187" i="2"/>
  <c r="E3187" i="2"/>
  <c r="C3187" i="2"/>
  <c r="B3187" i="2"/>
  <c r="N3186" i="2"/>
  <c r="K3186" i="2"/>
  <c r="H3186" i="2"/>
  <c r="G3186" i="2"/>
  <c r="F3186" i="2"/>
  <c r="E3186" i="2"/>
  <c r="C3186" i="2"/>
  <c r="B3186" i="2"/>
  <c r="N3185" i="2"/>
  <c r="K3185" i="2"/>
  <c r="H3185" i="2"/>
  <c r="G3185" i="2"/>
  <c r="F3185" i="2"/>
  <c r="E3185" i="2"/>
  <c r="C3185" i="2"/>
  <c r="B3185" i="2"/>
  <c r="N3184" i="2"/>
  <c r="K3184" i="2"/>
  <c r="H3184" i="2"/>
  <c r="G3184" i="2"/>
  <c r="F3184" i="2"/>
  <c r="E3184" i="2"/>
  <c r="C3184" i="2"/>
  <c r="B3184" i="2"/>
  <c r="N3183" i="2"/>
  <c r="K3183" i="2"/>
  <c r="H3183" i="2"/>
  <c r="G3183" i="2"/>
  <c r="F3183" i="2"/>
  <c r="E3183" i="2"/>
  <c r="C3183" i="2"/>
  <c r="B3183" i="2"/>
  <c r="N3182" i="2"/>
  <c r="K3182" i="2"/>
  <c r="H3182" i="2"/>
  <c r="G3182" i="2"/>
  <c r="F3182" i="2"/>
  <c r="E3182" i="2"/>
  <c r="C3182" i="2"/>
  <c r="B3182" i="2"/>
  <c r="N3181" i="2"/>
  <c r="K3181" i="2"/>
  <c r="H3181" i="2"/>
  <c r="G3181" i="2"/>
  <c r="F3181" i="2"/>
  <c r="E3181" i="2"/>
  <c r="C3181" i="2"/>
  <c r="B3181" i="2"/>
  <c r="N3180" i="2"/>
  <c r="K3180" i="2"/>
  <c r="H3180" i="2"/>
  <c r="G3180" i="2"/>
  <c r="F3180" i="2"/>
  <c r="E3180" i="2"/>
  <c r="C3180" i="2"/>
  <c r="B3180" i="2"/>
  <c r="N3179" i="2"/>
  <c r="K3179" i="2"/>
  <c r="H3179" i="2"/>
  <c r="G3179" i="2"/>
  <c r="F3179" i="2"/>
  <c r="E3179" i="2"/>
  <c r="C3179" i="2"/>
  <c r="B3179" i="2"/>
  <c r="N3178" i="2"/>
  <c r="K3178" i="2"/>
  <c r="H3178" i="2"/>
  <c r="G3178" i="2"/>
  <c r="F3178" i="2"/>
  <c r="E3178" i="2"/>
  <c r="C3178" i="2"/>
  <c r="B3178" i="2"/>
  <c r="N3177" i="2"/>
  <c r="K3177" i="2"/>
  <c r="H3177" i="2"/>
  <c r="G3177" i="2"/>
  <c r="F3177" i="2"/>
  <c r="E3177" i="2"/>
  <c r="C3177" i="2"/>
  <c r="B3177" i="2"/>
  <c r="N3176" i="2"/>
  <c r="K3176" i="2"/>
  <c r="H3176" i="2"/>
  <c r="G3176" i="2"/>
  <c r="F3176" i="2"/>
  <c r="E3176" i="2"/>
  <c r="C3176" i="2"/>
  <c r="B3176" i="2"/>
  <c r="N3175" i="2"/>
  <c r="K3175" i="2"/>
  <c r="H3175" i="2"/>
  <c r="G3175" i="2"/>
  <c r="F3175" i="2"/>
  <c r="E3175" i="2"/>
  <c r="C3175" i="2"/>
  <c r="B3175" i="2"/>
  <c r="N3174" i="2"/>
  <c r="K3174" i="2"/>
  <c r="H3174" i="2"/>
  <c r="G3174" i="2"/>
  <c r="F3174" i="2"/>
  <c r="E3174" i="2"/>
  <c r="C3174" i="2"/>
  <c r="B3174" i="2"/>
  <c r="N3173" i="2"/>
  <c r="K3173" i="2"/>
  <c r="H3173" i="2"/>
  <c r="G3173" i="2"/>
  <c r="F3173" i="2"/>
  <c r="E3173" i="2"/>
  <c r="C3173" i="2"/>
  <c r="B3173" i="2"/>
  <c r="N3172" i="2"/>
  <c r="K3172" i="2"/>
  <c r="H3172" i="2"/>
  <c r="G3172" i="2"/>
  <c r="F3172" i="2"/>
  <c r="E3172" i="2"/>
  <c r="C3172" i="2"/>
  <c r="B3172" i="2"/>
  <c r="N3171" i="2"/>
  <c r="K3171" i="2"/>
  <c r="H3171" i="2"/>
  <c r="G3171" i="2"/>
  <c r="F3171" i="2"/>
  <c r="E3171" i="2"/>
  <c r="C3171" i="2"/>
  <c r="B3171" i="2"/>
  <c r="N3170" i="2"/>
  <c r="K3170" i="2"/>
  <c r="H3170" i="2"/>
  <c r="G3170" i="2"/>
  <c r="F3170" i="2"/>
  <c r="E3170" i="2"/>
  <c r="C3170" i="2"/>
  <c r="B3170" i="2"/>
  <c r="N3169" i="2"/>
  <c r="K3169" i="2"/>
  <c r="H3169" i="2"/>
  <c r="G3169" i="2"/>
  <c r="F3169" i="2"/>
  <c r="E3169" i="2"/>
  <c r="C3169" i="2"/>
  <c r="B3169" i="2"/>
  <c r="N3168" i="2"/>
  <c r="K3168" i="2"/>
  <c r="H3168" i="2"/>
  <c r="G3168" i="2"/>
  <c r="F3168" i="2"/>
  <c r="E3168" i="2"/>
  <c r="C3168" i="2"/>
  <c r="B3168" i="2"/>
  <c r="N3167" i="2"/>
  <c r="K3167" i="2"/>
  <c r="H3167" i="2"/>
  <c r="G3167" i="2"/>
  <c r="F3167" i="2"/>
  <c r="E3167" i="2"/>
  <c r="C3167" i="2"/>
  <c r="B3167" i="2"/>
  <c r="N3166" i="2"/>
  <c r="K3166" i="2"/>
  <c r="H3166" i="2"/>
  <c r="G3166" i="2"/>
  <c r="F3166" i="2"/>
  <c r="E3166" i="2"/>
  <c r="C3166" i="2"/>
  <c r="B3166" i="2"/>
  <c r="N3165" i="2"/>
  <c r="K3165" i="2"/>
  <c r="H3165" i="2"/>
  <c r="G3165" i="2"/>
  <c r="F3165" i="2"/>
  <c r="E3165" i="2"/>
  <c r="C3165" i="2"/>
  <c r="B3165" i="2"/>
  <c r="N3164" i="2"/>
  <c r="K3164" i="2"/>
  <c r="H3164" i="2"/>
  <c r="G3164" i="2"/>
  <c r="F3164" i="2"/>
  <c r="E3164" i="2"/>
  <c r="C3164" i="2"/>
  <c r="B3164" i="2"/>
  <c r="N3163" i="2"/>
  <c r="K3163" i="2"/>
  <c r="H3163" i="2"/>
  <c r="G3163" i="2"/>
  <c r="F3163" i="2"/>
  <c r="E3163" i="2"/>
  <c r="C3163" i="2"/>
  <c r="B3163" i="2"/>
  <c r="N3162" i="2"/>
  <c r="K3162" i="2"/>
  <c r="H3162" i="2"/>
  <c r="G3162" i="2"/>
  <c r="F3162" i="2"/>
  <c r="E3162" i="2"/>
  <c r="C3162" i="2"/>
  <c r="B3162" i="2"/>
  <c r="N3161" i="2"/>
  <c r="K3161" i="2"/>
  <c r="H3161" i="2"/>
  <c r="G3161" i="2"/>
  <c r="F3161" i="2"/>
  <c r="E3161" i="2"/>
  <c r="C3161" i="2"/>
  <c r="B3161" i="2"/>
  <c r="N3160" i="2"/>
  <c r="K3160" i="2"/>
  <c r="H3160" i="2"/>
  <c r="G3160" i="2"/>
  <c r="F3160" i="2"/>
  <c r="E3160" i="2"/>
  <c r="C3160" i="2"/>
  <c r="B3160" i="2"/>
  <c r="N3159" i="2"/>
  <c r="K3159" i="2"/>
  <c r="H3159" i="2"/>
  <c r="G3159" i="2"/>
  <c r="F3159" i="2"/>
  <c r="E3159" i="2"/>
  <c r="C3159" i="2"/>
  <c r="B3159" i="2"/>
  <c r="N3158" i="2"/>
  <c r="K3158" i="2"/>
  <c r="H3158" i="2"/>
  <c r="G3158" i="2"/>
  <c r="F3158" i="2"/>
  <c r="E3158" i="2"/>
  <c r="C3158" i="2"/>
  <c r="B3158" i="2"/>
  <c r="N3157" i="2"/>
  <c r="K3157" i="2"/>
  <c r="H3157" i="2"/>
  <c r="G3157" i="2"/>
  <c r="F3157" i="2"/>
  <c r="E3157" i="2"/>
  <c r="C3157" i="2"/>
  <c r="B3157" i="2"/>
  <c r="N3156" i="2"/>
  <c r="K3156" i="2"/>
  <c r="H3156" i="2"/>
  <c r="G3156" i="2"/>
  <c r="F3156" i="2"/>
  <c r="E3156" i="2"/>
  <c r="C3156" i="2"/>
  <c r="B3156" i="2"/>
  <c r="N3155" i="2"/>
  <c r="K3155" i="2"/>
  <c r="H3155" i="2"/>
  <c r="G3155" i="2"/>
  <c r="F3155" i="2"/>
  <c r="E3155" i="2"/>
  <c r="C3155" i="2"/>
  <c r="B3155" i="2"/>
  <c r="N3154" i="2"/>
  <c r="K3154" i="2"/>
  <c r="H3154" i="2"/>
  <c r="G3154" i="2"/>
  <c r="F3154" i="2"/>
  <c r="E3154" i="2"/>
  <c r="C3154" i="2"/>
  <c r="B3154" i="2"/>
  <c r="N3153" i="2"/>
  <c r="K3153" i="2"/>
  <c r="H3153" i="2"/>
  <c r="G3153" i="2"/>
  <c r="F3153" i="2"/>
  <c r="E3153" i="2"/>
  <c r="C3153" i="2"/>
  <c r="B3153" i="2"/>
  <c r="N3152" i="2"/>
  <c r="K3152" i="2"/>
  <c r="H3152" i="2"/>
  <c r="G3152" i="2"/>
  <c r="F3152" i="2"/>
  <c r="E3152" i="2"/>
  <c r="C3152" i="2"/>
  <c r="B3152" i="2"/>
  <c r="N3151" i="2"/>
  <c r="K3151" i="2"/>
  <c r="H3151" i="2"/>
  <c r="G3151" i="2"/>
  <c r="F3151" i="2"/>
  <c r="E3151" i="2"/>
  <c r="C3151" i="2"/>
  <c r="B3151" i="2"/>
  <c r="N3150" i="2"/>
  <c r="K3150" i="2"/>
  <c r="H3150" i="2"/>
  <c r="G3150" i="2"/>
  <c r="F3150" i="2"/>
  <c r="E3150" i="2"/>
  <c r="C3150" i="2"/>
  <c r="B3150" i="2"/>
  <c r="N3149" i="2"/>
  <c r="K3149" i="2"/>
  <c r="H3149" i="2"/>
  <c r="G3149" i="2"/>
  <c r="F3149" i="2"/>
  <c r="E3149" i="2"/>
  <c r="C3149" i="2"/>
  <c r="B3149" i="2"/>
  <c r="N3148" i="2"/>
  <c r="K3148" i="2"/>
  <c r="H3148" i="2"/>
  <c r="G3148" i="2"/>
  <c r="F3148" i="2"/>
  <c r="E3148" i="2"/>
  <c r="C3148" i="2"/>
  <c r="B3148" i="2"/>
  <c r="N3147" i="2"/>
  <c r="K3147" i="2"/>
  <c r="H3147" i="2"/>
  <c r="G3147" i="2"/>
  <c r="F3147" i="2"/>
  <c r="E3147" i="2"/>
  <c r="C3147" i="2"/>
  <c r="B3147" i="2"/>
  <c r="N3146" i="2"/>
  <c r="K3146" i="2"/>
  <c r="H3146" i="2"/>
  <c r="G3146" i="2"/>
  <c r="F3146" i="2"/>
  <c r="E3146" i="2"/>
  <c r="C3146" i="2"/>
  <c r="B3146" i="2"/>
  <c r="N3145" i="2"/>
  <c r="K3145" i="2"/>
  <c r="H3145" i="2"/>
  <c r="G3145" i="2"/>
  <c r="F3145" i="2"/>
  <c r="E3145" i="2"/>
  <c r="C3145" i="2"/>
  <c r="B3145" i="2"/>
  <c r="N3144" i="2"/>
  <c r="K3144" i="2"/>
  <c r="H3144" i="2"/>
  <c r="G3144" i="2"/>
  <c r="F3144" i="2"/>
  <c r="E3144" i="2"/>
  <c r="C3144" i="2"/>
  <c r="B3144" i="2"/>
  <c r="N3143" i="2"/>
  <c r="K3143" i="2"/>
  <c r="H3143" i="2"/>
  <c r="G3143" i="2"/>
  <c r="F3143" i="2"/>
  <c r="E3143" i="2"/>
  <c r="C3143" i="2"/>
  <c r="B3143" i="2"/>
  <c r="N3142" i="2"/>
  <c r="K3142" i="2"/>
  <c r="H3142" i="2"/>
  <c r="G3142" i="2"/>
  <c r="F3142" i="2"/>
  <c r="E3142" i="2"/>
  <c r="C3142" i="2"/>
  <c r="B3142" i="2"/>
  <c r="N3141" i="2"/>
  <c r="K3141" i="2"/>
  <c r="H3141" i="2"/>
  <c r="G3141" i="2"/>
  <c r="F3141" i="2"/>
  <c r="E3141" i="2"/>
  <c r="C3141" i="2"/>
  <c r="B3141" i="2"/>
  <c r="N3140" i="2"/>
  <c r="K3140" i="2"/>
  <c r="H3140" i="2"/>
  <c r="G3140" i="2"/>
  <c r="F3140" i="2"/>
  <c r="E3140" i="2"/>
  <c r="C3140" i="2"/>
  <c r="B3140" i="2"/>
  <c r="N3139" i="2"/>
  <c r="K3139" i="2"/>
  <c r="H3139" i="2"/>
  <c r="G3139" i="2"/>
  <c r="F3139" i="2"/>
  <c r="E3139" i="2"/>
  <c r="C3139" i="2"/>
  <c r="B3139" i="2"/>
  <c r="N3138" i="2"/>
  <c r="K3138" i="2"/>
  <c r="H3138" i="2"/>
  <c r="G3138" i="2"/>
  <c r="F3138" i="2"/>
  <c r="E3138" i="2"/>
  <c r="C3138" i="2"/>
  <c r="B3138" i="2"/>
  <c r="N3137" i="2"/>
  <c r="K3137" i="2"/>
  <c r="H3137" i="2"/>
  <c r="G3137" i="2"/>
  <c r="F3137" i="2"/>
  <c r="E3137" i="2"/>
  <c r="C3137" i="2"/>
  <c r="B3137" i="2"/>
  <c r="N3136" i="2"/>
  <c r="K3136" i="2"/>
  <c r="H3136" i="2"/>
  <c r="G3136" i="2"/>
  <c r="F3136" i="2"/>
  <c r="E3136" i="2"/>
  <c r="C3136" i="2"/>
  <c r="B3136" i="2"/>
  <c r="N3135" i="2"/>
  <c r="K3135" i="2"/>
  <c r="H3135" i="2"/>
  <c r="G3135" i="2"/>
  <c r="F3135" i="2"/>
  <c r="E3135" i="2"/>
  <c r="C3135" i="2"/>
  <c r="B3135" i="2"/>
  <c r="N3134" i="2"/>
  <c r="K3134" i="2"/>
  <c r="H3134" i="2"/>
  <c r="G3134" i="2"/>
  <c r="F3134" i="2"/>
  <c r="E3134" i="2"/>
  <c r="C3134" i="2"/>
  <c r="B3134" i="2"/>
  <c r="N3133" i="2"/>
  <c r="K3133" i="2"/>
  <c r="H3133" i="2"/>
  <c r="G3133" i="2"/>
  <c r="F3133" i="2"/>
  <c r="E3133" i="2"/>
  <c r="C3133" i="2"/>
  <c r="B3133" i="2"/>
  <c r="N3132" i="2"/>
  <c r="K3132" i="2"/>
  <c r="H3132" i="2"/>
  <c r="G3132" i="2"/>
  <c r="F3132" i="2"/>
  <c r="E3132" i="2"/>
  <c r="C3132" i="2"/>
  <c r="B3132" i="2"/>
  <c r="N3131" i="2"/>
  <c r="K3131" i="2"/>
  <c r="H3131" i="2"/>
  <c r="G3131" i="2"/>
  <c r="F3131" i="2"/>
  <c r="E3131" i="2"/>
  <c r="C3131" i="2"/>
  <c r="B3131" i="2"/>
  <c r="N3130" i="2"/>
  <c r="K3130" i="2"/>
  <c r="H3130" i="2"/>
  <c r="G3130" i="2"/>
  <c r="F3130" i="2"/>
  <c r="E3130" i="2"/>
  <c r="C3130" i="2"/>
  <c r="B3130" i="2"/>
  <c r="N3129" i="2"/>
  <c r="K3129" i="2"/>
  <c r="H3129" i="2"/>
  <c r="G3129" i="2"/>
  <c r="F3129" i="2"/>
  <c r="E3129" i="2"/>
  <c r="C3129" i="2"/>
  <c r="B3129" i="2"/>
  <c r="N3128" i="2"/>
  <c r="K3128" i="2"/>
  <c r="H3128" i="2"/>
  <c r="G3128" i="2"/>
  <c r="F3128" i="2"/>
  <c r="E3128" i="2"/>
  <c r="C3128" i="2"/>
  <c r="B3128" i="2"/>
  <c r="N3127" i="2"/>
  <c r="K3127" i="2"/>
  <c r="H3127" i="2"/>
  <c r="G3127" i="2"/>
  <c r="F3127" i="2"/>
  <c r="E3127" i="2"/>
  <c r="C3127" i="2"/>
  <c r="B3127" i="2"/>
  <c r="N3126" i="2"/>
  <c r="K3126" i="2"/>
  <c r="H3126" i="2"/>
  <c r="G3126" i="2"/>
  <c r="F3126" i="2"/>
  <c r="E3126" i="2"/>
  <c r="C3126" i="2"/>
  <c r="B3126" i="2"/>
  <c r="N3125" i="2"/>
  <c r="K3125" i="2"/>
  <c r="H3125" i="2"/>
  <c r="G3125" i="2"/>
  <c r="F3125" i="2"/>
  <c r="E3125" i="2"/>
  <c r="C3125" i="2"/>
  <c r="B3125" i="2"/>
  <c r="N3124" i="2"/>
  <c r="K3124" i="2"/>
  <c r="H3124" i="2"/>
  <c r="G3124" i="2"/>
  <c r="F3124" i="2"/>
  <c r="E3124" i="2"/>
  <c r="C3124" i="2"/>
  <c r="B3124" i="2"/>
  <c r="N3123" i="2"/>
  <c r="K3123" i="2"/>
  <c r="H3123" i="2"/>
  <c r="G3123" i="2"/>
  <c r="F3123" i="2"/>
  <c r="E3123" i="2"/>
  <c r="C3123" i="2"/>
  <c r="B3123" i="2"/>
  <c r="N3122" i="2"/>
  <c r="K3122" i="2"/>
  <c r="H3122" i="2"/>
  <c r="G3122" i="2"/>
  <c r="F3122" i="2"/>
  <c r="E3122" i="2"/>
  <c r="C3122" i="2"/>
  <c r="B3122" i="2"/>
  <c r="N3121" i="2"/>
  <c r="K3121" i="2"/>
  <c r="H3121" i="2"/>
  <c r="G3121" i="2"/>
  <c r="F3121" i="2"/>
  <c r="E3121" i="2"/>
  <c r="C3121" i="2"/>
  <c r="B3121" i="2"/>
  <c r="N3120" i="2"/>
  <c r="K3120" i="2"/>
  <c r="H3120" i="2"/>
  <c r="G3120" i="2"/>
  <c r="F3120" i="2"/>
  <c r="E3120" i="2"/>
  <c r="C3120" i="2"/>
  <c r="B3120" i="2"/>
  <c r="N3119" i="2"/>
  <c r="K3119" i="2"/>
  <c r="H3119" i="2"/>
  <c r="G3119" i="2"/>
  <c r="F3119" i="2"/>
  <c r="E3119" i="2"/>
  <c r="C3119" i="2"/>
  <c r="B3119" i="2"/>
  <c r="N3118" i="2"/>
  <c r="K3118" i="2"/>
  <c r="H3118" i="2"/>
  <c r="G3118" i="2"/>
  <c r="F3118" i="2"/>
  <c r="E3118" i="2"/>
  <c r="C3118" i="2"/>
  <c r="B3118" i="2"/>
  <c r="N3117" i="2"/>
  <c r="K3117" i="2"/>
  <c r="H3117" i="2"/>
  <c r="G3117" i="2"/>
  <c r="F3117" i="2"/>
  <c r="E3117" i="2"/>
  <c r="C3117" i="2"/>
  <c r="B3117" i="2"/>
  <c r="N3116" i="2"/>
  <c r="K3116" i="2"/>
  <c r="H3116" i="2"/>
  <c r="G3116" i="2"/>
  <c r="F3116" i="2"/>
  <c r="E3116" i="2"/>
  <c r="C3116" i="2"/>
  <c r="B3116" i="2"/>
  <c r="N3115" i="2"/>
  <c r="K3115" i="2"/>
  <c r="H3115" i="2"/>
  <c r="G3115" i="2"/>
  <c r="F3115" i="2"/>
  <c r="E3115" i="2"/>
  <c r="C3115" i="2"/>
  <c r="B3115" i="2"/>
  <c r="N3114" i="2"/>
  <c r="K3114" i="2"/>
  <c r="H3114" i="2"/>
  <c r="G3114" i="2"/>
  <c r="F3114" i="2"/>
  <c r="E3114" i="2"/>
  <c r="C3114" i="2"/>
  <c r="B3114" i="2"/>
  <c r="N3113" i="2"/>
  <c r="K3113" i="2"/>
  <c r="H3113" i="2"/>
  <c r="G3113" i="2"/>
  <c r="F3113" i="2"/>
  <c r="E3113" i="2"/>
  <c r="C3113" i="2"/>
  <c r="B3113" i="2"/>
  <c r="N3112" i="2"/>
  <c r="K3112" i="2"/>
  <c r="H3112" i="2"/>
  <c r="G3112" i="2"/>
  <c r="F3112" i="2"/>
  <c r="E3112" i="2"/>
  <c r="C3112" i="2"/>
  <c r="B3112" i="2"/>
  <c r="N3111" i="2"/>
  <c r="K3111" i="2"/>
  <c r="H3111" i="2"/>
  <c r="G3111" i="2"/>
  <c r="F3111" i="2"/>
  <c r="E3111" i="2"/>
  <c r="C3111" i="2"/>
  <c r="B3111" i="2"/>
  <c r="N3110" i="2"/>
  <c r="K3110" i="2"/>
  <c r="H3110" i="2"/>
  <c r="G3110" i="2"/>
  <c r="F3110" i="2"/>
  <c r="E3110" i="2"/>
  <c r="C3110" i="2"/>
  <c r="B3110" i="2"/>
  <c r="N3109" i="2"/>
  <c r="K3109" i="2"/>
  <c r="H3109" i="2"/>
  <c r="G3109" i="2"/>
  <c r="F3109" i="2"/>
  <c r="E3109" i="2"/>
  <c r="C3109" i="2"/>
  <c r="B3109" i="2"/>
  <c r="N3108" i="2"/>
  <c r="K3108" i="2"/>
  <c r="H3108" i="2"/>
  <c r="G3108" i="2"/>
  <c r="F3108" i="2"/>
  <c r="E3108" i="2"/>
  <c r="C3108" i="2"/>
  <c r="B3108" i="2"/>
  <c r="N3107" i="2"/>
  <c r="K3107" i="2"/>
  <c r="H3107" i="2"/>
  <c r="G3107" i="2"/>
  <c r="F3107" i="2"/>
  <c r="E3107" i="2"/>
  <c r="C3107" i="2"/>
  <c r="B3107" i="2"/>
  <c r="N3106" i="2"/>
  <c r="K3106" i="2"/>
  <c r="H3106" i="2"/>
  <c r="G3106" i="2"/>
  <c r="F3106" i="2"/>
  <c r="E3106" i="2"/>
  <c r="C3106" i="2"/>
  <c r="B3106" i="2"/>
  <c r="N3105" i="2"/>
  <c r="K3105" i="2"/>
  <c r="H3105" i="2"/>
  <c r="G3105" i="2"/>
  <c r="F3105" i="2"/>
  <c r="E3105" i="2"/>
  <c r="C3105" i="2"/>
  <c r="B3105" i="2"/>
  <c r="N3104" i="2"/>
  <c r="K3104" i="2"/>
  <c r="H3104" i="2"/>
  <c r="G3104" i="2"/>
  <c r="F3104" i="2"/>
  <c r="E3104" i="2"/>
  <c r="C3104" i="2"/>
  <c r="B3104" i="2"/>
  <c r="N3103" i="2"/>
  <c r="K3103" i="2"/>
  <c r="H3103" i="2"/>
  <c r="G3103" i="2"/>
  <c r="F3103" i="2"/>
  <c r="E3103" i="2"/>
  <c r="C3103" i="2"/>
  <c r="B3103" i="2"/>
  <c r="N3102" i="2"/>
  <c r="K3102" i="2"/>
  <c r="H3102" i="2"/>
  <c r="G3102" i="2"/>
  <c r="F3102" i="2"/>
  <c r="E3102" i="2"/>
  <c r="C3102" i="2"/>
  <c r="B3102" i="2"/>
  <c r="N3101" i="2"/>
  <c r="K3101" i="2"/>
  <c r="H3101" i="2"/>
  <c r="G3101" i="2"/>
  <c r="F3101" i="2"/>
  <c r="E3101" i="2"/>
  <c r="C3101" i="2"/>
  <c r="B3101" i="2"/>
  <c r="N3100" i="2"/>
  <c r="K3100" i="2"/>
  <c r="H3100" i="2"/>
  <c r="G3100" i="2"/>
  <c r="F3100" i="2"/>
  <c r="E3100" i="2"/>
  <c r="C3100" i="2"/>
  <c r="B3100" i="2"/>
  <c r="N3099" i="2"/>
  <c r="K3099" i="2"/>
  <c r="H3099" i="2"/>
  <c r="G3099" i="2"/>
  <c r="F3099" i="2"/>
  <c r="E3099" i="2"/>
  <c r="C3099" i="2"/>
  <c r="B3099" i="2"/>
  <c r="N3098" i="2"/>
  <c r="K3098" i="2"/>
  <c r="H3098" i="2"/>
  <c r="G3098" i="2"/>
  <c r="F3098" i="2"/>
  <c r="E3098" i="2"/>
  <c r="C3098" i="2"/>
  <c r="B3098" i="2"/>
  <c r="N3097" i="2"/>
  <c r="K3097" i="2"/>
  <c r="H3097" i="2"/>
  <c r="G3097" i="2"/>
  <c r="F3097" i="2"/>
  <c r="E3097" i="2"/>
  <c r="C3097" i="2"/>
  <c r="B3097" i="2"/>
  <c r="N3096" i="2"/>
  <c r="K3096" i="2"/>
  <c r="H3096" i="2"/>
  <c r="G3096" i="2"/>
  <c r="F3096" i="2"/>
  <c r="E3096" i="2"/>
  <c r="C3096" i="2"/>
  <c r="B3096" i="2"/>
  <c r="N3095" i="2"/>
  <c r="K3095" i="2"/>
  <c r="H3095" i="2"/>
  <c r="G3095" i="2"/>
  <c r="F3095" i="2"/>
  <c r="E3095" i="2"/>
  <c r="C3095" i="2"/>
  <c r="B3095" i="2"/>
  <c r="N3094" i="2"/>
  <c r="K3094" i="2"/>
  <c r="H3094" i="2"/>
  <c r="G3094" i="2"/>
  <c r="F3094" i="2"/>
  <c r="E3094" i="2"/>
  <c r="C3094" i="2"/>
  <c r="B3094" i="2"/>
  <c r="N3093" i="2"/>
  <c r="K3093" i="2"/>
  <c r="H3093" i="2"/>
  <c r="G3093" i="2"/>
  <c r="F3093" i="2"/>
  <c r="E3093" i="2"/>
  <c r="C3093" i="2"/>
  <c r="B3093" i="2"/>
  <c r="N3092" i="2"/>
  <c r="K3092" i="2"/>
  <c r="H3092" i="2"/>
  <c r="G3092" i="2"/>
  <c r="F3092" i="2"/>
  <c r="E3092" i="2"/>
  <c r="C3092" i="2"/>
  <c r="B3092" i="2"/>
  <c r="N3091" i="2"/>
  <c r="K3091" i="2"/>
  <c r="H3091" i="2"/>
  <c r="G3091" i="2"/>
  <c r="F3091" i="2"/>
  <c r="E3091" i="2"/>
  <c r="C3091" i="2"/>
  <c r="B3091" i="2"/>
  <c r="N3090" i="2"/>
  <c r="K3090" i="2"/>
  <c r="H3090" i="2"/>
  <c r="G3090" i="2"/>
  <c r="F3090" i="2"/>
  <c r="E3090" i="2"/>
  <c r="C3090" i="2"/>
  <c r="B3090" i="2"/>
  <c r="N3089" i="2"/>
  <c r="K3089" i="2"/>
  <c r="H3089" i="2"/>
  <c r="G3089" i="2"/>
  <c r="F3089" i="2"/>
  <c r="E3089" i="2"/>
  <c r="C3089" i="2"/>
  <c r="B3089" i="2"/>
  <c r="N3088" i="2"/>
  <c r="K3088" i="2"/>
  <c r="H3088" i="2"/>
  <c r="G3088" i="2"/>
  <c r="F3088" i="2"/>
  <c r="E3088" i="2"/>
  <c r="C3088" i="2"/>
  <c r="B3088" i="2"/>
  <c r="N3087" i="2"/>
  <c r="K3087" i="2"/>
  <c r="H3087" i="2"/>
  <c r="G3087" i="2"/>
  <c r="F3087" i="2"/>
  <c r="E3087" i="2"/>
  <c r="C3087" i="2"/>
  <c r="B3087" i="2"/>
  <c r="N3086" i="2"/>
  <c r="K3086" i="2"/>
  <c r="H3086" i="2"/>
  <c r="G3086" i="2"/>
  <c r="F3086" i="2"/>
  <c r="E3086" i="2"/>
  <c r="C3086" i="2"/>
  <c r="B3086" i="2"/>
  <c r="N3085" i="2"/>
  <c r="K3085" i="2"/>
  <c r="H3085" i="2"/>
  <c r="G3085" i="2"/>
  <c r="F3085" i="2"/>
  <c r="E3085" i="2"/>
  <c r="C3085" i="2"/>
  <c r="B3085" i="2"/>
  <c r="N3084" i="2"/>
  <c r="K3084" i="2"/>
  <c r="H3084" i="2"/>
  <c r="G3084" i="2"/>
  <c r="F3084" i="2"/>
  <c r="E3084" i="2"/>
  <c r="C3084" i="2"/>
  <c r="B3084" i="2"/>
  <c r="N3083" i="2"/>
  <c r="K3083" i="2"/>
  <c r="H3083" i="2"/>
  <c r="G3083" i="2"/>
  <c r="F3083" i="2"/>
  <c r="E3083" i="2"/>
  <c r="C3083" i="2"/>
  <c r="B3083" i="2"/>
  <c r="N3082" i="2"/>
  <c r="K3082" i="2"/>
  <c r="H3082" i="2"/>
  <c r="G3082" i="2"/>
  <c r="F3082" i="2"/>
  <c r="E3082" i="2"/>
  <c r="C3082" i="2"/>
  <c r="B3082" i="2"/>
  <c r="N3081" i="2"/>
  <c r="K3081" i="2"/>
  <c r="H3081" i="2"/>
  <c r="G3081" i="2"/>
  <c r="F3081" i="2"/>
  <c r="E3081" i="2"/>
  <c r="C3081" i="2"/>
  <c r="B3081" i="2"/>
  <c r="N3080" i="2"/>
  <c r="K3080" i="2"/>
  <c r="H3080" i="2"/>
  <c r="G3080" i="2"/>
  <c r="F3080" i="2"/>
  <c r="E3080" i="2"/>
  <c r="C3080" i="2"/>
  <c r="B3080" i="2"/>
  <c r="N3079" i="2"/>
  <c r="K3079" i="2"/>
  <c r="H3079" i="2"/>
  <c r="G3079" i="2"/>
  <c r="F3079" i="2"/>
  <c r="E3079" i="2"/>
  <c r="C3079" i="2"/>
  <c r="B3079" i="2"/>
  <c r="N3078" i="2"/>
  <c r="K3078" i="2"/>
  <c r="H3078" i="2"/>
  <c r="G3078" i="2"/>
  <c r="F3078" i="2"/>
  <c r="E3078" i="2"/>
  <c r="C3078" i="2"/>
  <c r="B3078" i="2"/>
  <c r="N3077" i="2"/>
  <c r="K3077" i="2"/>
  <c r="H3077" i="2"/>
  <c r="G3077" i="2"/>
  <c r="F3077" i="2"/>
  <c r="E3077" i="2"/>
  <c r="C3077" i="2"/>
  <c r="B3077" i="2"/>
  <c r="N3076" i="2"/>
  <c r="K3076" i="2"/>
  <c r="H3076" i="2"/>
  <c r="G3076" i="2"/>
  <c r="F3076" i="2"/>
  <c r="E3076" i="2"/>
  <c r="C3076" i="2"/>
  <c r="B3076" i="2"/>
  <c r="N3075" i="2"/>
  <c r="K3075" i="2"/>
  <c r="H3075" i="2"/>
  <c r="G3075" i="2"/>
  <c r="F3075" i="2"/>
  <c r="E3075" i="2"/>
  <c r="C3075" i="2"/>
  <c r="B3075" i="2"/>
  <c r="N3074" i="2"/>
  <c r="K3074" i="2"/>
  <c r="H3074" i="2"/>
  <c r="G3074" i="2"/>
  <c r="F3074" i="2"/>
  <c r="E3074" i="2"/>
  <c r="C3074" i="2"/>
  <c r="B3074" i="2"/>
  <c r="N3073" i="2"/>
  <c r="K3073" i="2"/>
  <c r="H3073" i="2"/>
  <c r="G3073" i="2"/>
  <c r="F3073" i="2"/>
  <c r="E3073" i="2"/>
  <c r="C3073" i="2"/>
  <c r="B3073" i="2"/>
  <c r="N3072" i="2"/>
  <c r="K3072" i="2"/>
  <c r="H3072" i="2"/>
  <c r="G3072" i="2"/>
  <c r="F3072" i="2"/>
  <c r="E3072" i="2"/>
  <c r="C3072" i="2"/>
  <c r="B3072" i="2"/>
  <c r="N3071" i="2"/>
  <c r="K3071" i="2"/>
  <c r="H3071" i="2"/>
  <c r="G3071" i="2"/>
  <c r="F3071" i="2"/>
  <c r="E3071" i="2"/>
  <c r="C3071" i="2"/>
  <c r="B3071" i="2"/>
  <c r="N3070" i="2"/>
  <c r="K3070" i="2"/>
  <c r="H3070" i="2"/>
  <c r="G3070" i="2"/>
  <c r="F3070" i="2"/>
  <c r="E3070" i="2"/>
  <c r="C3070" i="2"/>
  <c r="B3070" i="2"/>
  <c r="N3069" i="2"/>
  <c r="K3069" i="2"/>
  <c r="H3069" i="2"/>
  <c r="G3069" i="2"/>
  <c r="F3069" i="2"/>
  <c r="E3069" i="2"/>
  <c r="C3069" i="2"/>
  <c r="B3069" i="2"/>
  <c r="N3068" i="2"/>
  <c r="K3068" i="2"/>
  <c r="H3068" i="2"/>
  <c r="G3068" i="2"/>
  <c r="F3068" i="2"/>
  <c r="E3068" i="2"/>
  <c r="C3068" i="2"/>
  <c r="B3068" i="2"/>
  <c r="N3067" i="2"/>
  <c r="K3067" i="2"/>
  <c r="H3067" i="2"/>
  <c r="G3067" i="2"/>
  <c r="F3067" i="2"/>
  <c r="E3067" i="2"/>
  <c r="C3067" i="2"/>
  <c r="B3067" i="2"/>
  <c r="N3066" i="2"/>
  <c r="K3066" i="2"/>
  <c r="H3066" i="2"/>
  <c r="G3066" i="2"/>
  <c r="F3066" i="2"/>
  <c r="E3066" i="2"/>
  <c r="C3066" i="2"/>
  <c r="B3066" i="2"/>
  <c r="N3065" i="2"/>
  <c r="K3065" i="2"/>
  <c r="H3065" i="2"/>
  <c r="G3065" i="2"/>
  <c r="F3065" i="2"/>
  <c r="E3065" i="2"/>
  <c r="C3065" i="2"/>
  <c r="B3065" i="2"/>
  <c r="N3064" i="2"/>
  <c r="K3064" i="2"/>
  <c r="H3064" i="2"/>
  <c r="G3064" i="2"/>
  <c r="F3064" i="2"/>
  <c r="E3064" i="2"/>
  <c r="C3064" i="2"/>
  <c r="B3064" i="2"/>
  <c r="N3063" i="2"/>
  <c r="K3063" i="2"/>
  <c r="H3063" i="2"/>
  <c r="G3063" i="2"/>
  <c r="F3063" i="2"/>
  <c r="E3063" i="2"/>
  <c r="C3063" i="2"/>
  <c r="B3063" i="2"/>
  <c r="N3062" i="2"/>
  <c r="K3062" i="2"/>
  <c r="H3062" i="2"/>
  <c r="G3062" i="2"/>
  <c r="F3062" i="2"/>
  <c r="E3062" i="2"/>
  <c r="C3062" i="2"/>
  <c r="B3062" i="2"/>
  <c r="N3061" i="2"/>
  <c r="K3061" i="2"/>
  <c r="H3061" i="2"/>
  <c r="G3061" i="2"/>
  <c r="F3061" i="2"/>
  <c r="E3061" i="2"/>
  <c r="C3061" i="2"/>
  <c r="B3061" i="2"/>
  <c r="N3060" i="2"/>
  <c r="K3060" i="2"/>
  <c r="H3060" i="2"/>
  <c r="G3060" i="2"/>
  <c r="F3060" i="2"/>
  <c r="E3060" i="2"/>
  <c r="C3060" i="2"/>
  <c r="B3060" i="2"/>
  <c r="N3059" i="2"/>
  <c r="K3059" i="2"/>
  <c r="H3059" i="2"/>
  <c r="G3059" i="2"/>
  <c r="F3059" i="2"/>
  <c r="E3059" i="2"/>
  <c r="C3059" i="2"/>
  <c r="B3059" i="2"/>
  <c r="N3058" i="2"/>
  <c r="K3058" i="2"/>
  <c r="H3058" i="2"/>
  <c r="G3058" i="2"/>
  <c r="F3058" i="2"/>
  <c r="E3058" i="2"/>
  <c r="C3058" i="2"/>
  <c r="B3058" i="2"/>
  <c r="N3057" i="2"/>
  <c r="K3057" i="2"/>
  <c r="H3057" i="2"/>
  <c r="G3057" i="2"/>
  <c r="F3057" i="2"/>
  <c r="E3057" i="2"/>
  <c r="C3057" i="2"/>
  <c r="B3057" i="2"/>
  <c r="N3056" i="2"/>
  <c r="K3056" i="2"/>
  <c r="H3056" i="2"/>
  <c r="G3056" i="2"/>
  <c r="F3056" i="2"/>
  <c r="E3056" i="2"/>
  <c r="C3056" i="2"/>
  <c r="B3056" i="2"/>
  <c r="N3055" i="2"/>
  <c r="K3055" i="2"/>
  <c r="H3055" i="2"/>
  <c r="G3055" i="2"/>
  <c r="F3055" i="2"/>
  <c r="E3055" i="2"/>
  <c r="C3055" i="2"/>
  <c r="B3055" i="2"/>
  <c r="N3054" i="2"/>
  <c r="K3054" i="2"/>
  <c r="H3054" i="2"/>
  <c r="G3054" i="2"/>
  <c r="F3054" i="2"/>
  <c r="E3054" i="2"/>
  <c r="C3054" i="2"/>
  <c r="B3054" i="2"/>
  <c r="N3053" i="2"/>
  <c r="K3053" i="2"/>
  <c r="H3053" i="2"/>
  <c r="G3053" i="2"/>
  <c r="F3053" i="2"/>
  <c r="E3053" i="2"/>
  <c r="C3053" i="2"/>
  <c r="B3053" i="2"/>
  <c r="N3052" i="2"/>
  <c r="K3052" i="2"/>
  <c r="H3052" i="2"/>
  <c r="G3052" i="2"/>
  <c r="F3052" i="2"/>
  <c r="E3052" i="2"/>
  <c r="C3052" i="2"/>
  <c r="B3052" i="2"/>
  <c r="N3051" i="2"/>
  <c r="K3051" i="2"/>
  <c r="H3051" i="2"/>
  <c r="G3051" i="2"/>
  <c r="F3051" i="2"/>
  <c r="E3051" i="2"/>
  <c r="C3051" i="2"/>
  <c r="B3051" i="2"/>
  <c r="N3050" i="2"/>
  <c r="K3050" i="2"/>
  <c r="H3050" i="2"/>
  <c r="G3050" i="2"/>
  <c r="F3050" i="2"/>
  <c r="E3050" i="2"/>
  <c r="C3050" i="2"/>
  <c r="B3050" i="2"/>
  <c r="N3049" i="2"/>
  <c r="K3049" i="2"/>
  <c r="H3049" i="2"/>
  <c r="G3049" i="2"/>
  <c r="F3049" i="2"/>
  <c r="E3049" i="2"/>
  <c r="C3049" i="2"/>
  <c r="B3049" i="2"/>
  <c r="N3048" i="2"/>
  <c r="K3048" i="2"/>
  <c r="H3048" i="2"/>
  <c r="G3048" i="2"/>
  <c r="F3048" i="2"/>
  <c r="E3048" i="2"/>
  <c r="C3048" i="2"/>
  <c r="B3048" i="2"/>
  <c r="N3047" i="2"/>
  <c r="K3047" i="2"/>
  <c r="H3047" i="2"/>
  <c r="G3047" i="2"/>
  <c r="F3047" i="2"/>
  <c r="E3047" i="2"/>
  <c r="C3047" i="2"/>
  <c r="B3047" i="2"/>
  <c r="N3046" i="2"/>
  <c r="K3046" i="2"/>
  <c r="H3046" i="2"/>
  <c r="G3046" i="2"/>
  <c r="F3046" i="2"/>
  <c r="E3046" i="2"/>
  <c r="C3046" i="2"/>
  <c r="B3046" i="2"/>
  <c r="N3045" i="2"/>
  <c r="K3045" i="2"/>
  <c r="H3045" i="2"/>
  <c r="G3045" i="2"/>
  <c r="F3045" i="2"/>
  <c r="E3045" i="2"/>
  <c r="C3045" i="2"/>
  <c r="B3045" i="2"/>
  <c r="N3044" i="2"/>
  <c r="K3044" i="2"/>
  <c r="H3044" i="2"/>
  <c r="G3044" i="2"/>
  <c r="F3044" i="2"/>
  <c r="E3044" i="2"/>
  <c r="C3044" i="2"/>
  <c r="B3044" i="2"/>
  <c r="N3043" i="2"/>
  <c r="K3043" i="2"/>
  <c r="H3043" i="2"/>
  <c r="G3043" i="2"/>
  <c r="F3043" i="2"/>
  <c r="E3043" i="2"/>
  <c r="C3043" i="2"/>
  <c r="B3043" i="2"/>
  <c r="N3042" i="2"/>
  <c r="K3042" i="2"/>
  <c r="H3042" i="2"/>
  <c r="G3042" i="2"/>
  <c r="F3042" i="2"/>
  <c r="E3042" i="2"/>
  <c r="C3042" i="2"/>
  <c r="B3042" i="2"/>
  <c r="N3041" i="2"/>
  <c r="K3041" i="2"/>
  <c r="H3041" i="2"/>
  <c r="G3041" i="2"/>
  <c r="F3041" i="2"/>
  <c r="E3041" i="2"/>
  <c r="C3041" i="2"/>
  <c r="B3041" i="2"/>
  <c r="N3040" i="2"/>
  <c r="K3040" i="2"/>
  <c r="H3040" i="2"/>
  <c r="G3040" i="2"/>
  <c r="F3040" i="2"/>
  <c r="E3040" i="2"/>
  <c r="C3040" i="2"/>
  <c r="B3040" i="2"/>
  <c r="N3039" i="2"/>
  <c r="K3039" i="2"/>
  <c r="H3039" i="2"/>
  <c r="G3039" i="2"/>
  <c r="F3039" i="2"/>
  <c r="E3039" i="2"/>
  <c r="C3039" i="2"/>
  <c r="B3039" i="2"/>
  <c r="N3038" i="2"/>
  <c r="K3038" i="2"/>
  <c r="H3038" i="2"/>
  <c r="G3038" i="2"/>
  <c r="F3038" i="2"/>
  <c r="E3038" i="2"/>
  <c r="C3038" i="2"/>
  <c r="B3038" i="2"/>
  <c r="N3037" i="2"/>
  <c r="K3037" i="2"/>
  <c r="H3037" i="2"/>
  <c r="G3037" i="2"/>
  <c r="F3037" i="2"/>
  <c r="E3037" i="2"/>
  <c r="C3037" i="2"/>
  <c r="B3037" i="2"/>
  <c r="N3036" i="2"/>
  <c r="K3036" i="2"/>
  <c r="H3036" i="2"/>
  <c r="G3036" i="2"/>
  <c r="F3036" i="2"/>
  <c r="E3036" i="2"/>
  <c r="C3036" i="2"/>
  <c r="B3036" i="2"/>
  <c r="N3035" i="2"/>
  <c r="K3035" i="2"/>
  <c r="H3035" i="2"/>
  <c r="G3035" i="2"/>
  <c r="F3035" i="2"/>
  <c r="E3035" i="2"/>
  <c r="C3035" i="2"/>
  <c r="B3035" i="2"/>
  <c r="N3034" i="2"/>
  <c r="K3034" i="2"/>
  <c r="H3034" i="2"/>
  <c r="G3034" i="2"/>
  <c r="F3034" i="2"/>
  <c r="E3034" i="2"/>
  <c r="C3034" i="2"/>
  <c r="B3034" i="2"/>
  <c r="N3033" i="2"/>
  <c r="K3033" i="2"/>
  <c r="H3033" i="2"/>
  <c r="G3033" i="2"/>
  <c r="F3033" i="2"/>
  <c r="E3033" i="2"/>
  <c r="C3033" i="2"/>
  <c r="B3033" i="2"/>
  <c r="N3032" i="2"/>
  <c r="K3032" i="2"/>
  <c r="H3032" i="2"/>
  <c r="G3032" i="2"/>
  <c r="F3032" i="2"/>
  <c r="E3032" i="2"/>
  <c r="C3032" i="2"/>
  <c r="B3032" i="2"/>
  <c r="N3031" i="2"/>
  <c r="K3031" i="2"/>
  <c r="H3031" i="2"/>
  <c r="G3031" i="2"/>
  <c r="F3031" i="2"/>
  <c r="E3031" i="2"/>
  <c r="C3031" i="2"/>
  <c r="B3031" i="2"/>
  <c r="N3030" i="2"/>
  <c r="K3030" i="2"/>
  <c r="H3030" i="2"/>
  <c r="G3030" i="2"/>
  <c r="F3030" i="2"/>
  <c r="E3030" i="2"/>
  <c r="C3030" i="2"/>
  <c r="B3030" i="2"/>
  <c r="N3029" i="2"/>
  <c r="K3029" i="2"/>
  <c r="H3029" i="2"/>
  <c r="G3029" i="2"/>
  <c r="F3029" i="2"/>
  <c r="E3029" i="2"/>
  <c r="C3029" i="2"/>
  <c r="B3029" i="2"/>
  <c r="N3028" i="2"/>
  <c r="K3028" i="2"/>
  <c r="H3028" i="2"/>
  <c r="G3028" i="2"/>
  <c r="F3028" i="2"/>
  <c r="E3028" i="2"/>
  <c r="C3028" i="2"/>
  <c r="B3028" i="2"/>
  <c r="N3027" i="2"/>
  <c r="K3027" i="2"/>
  <c r="H3027" i="2"/>
  <c r="G3027" i="2"/>
  <c r="F3027" i="2"/>
  <c r="E3027" i="2"/>
  <c r="C3027" i="2"/>
  <c r="B3027" i="2"/>
  <c r="N3026" i="2"/>
  <c r="K3026" i="2"/>
  <c r="H3026" i="2"/>
  <c r="G3026" i="2"/>
  <c r="F3026" i="2"/>
  <c r="E3026" i="2"/>
  <c r="C3026" i="2"/>
  <c r="B3026" i="2"/>
  <c r="N3025" i="2"/>
  <c r="K3025" i="2"/>
  <c r="H3025" i="2"/>
  <c r="G3025" i="2"/>
  <c r="F3025" i="2"/>
  <c r="E3025" i="2"/>
  <c r="C3025" i="2"/>
  <c r="B3025" i="2"/>
  <c r="N3024" i="2"/>
  <c r="K3024" i="2"/>
  <c r="H3024" i="2"/>
  <c r="G3024" i="2"/>
  <c r="F3024" i="2"/>
  <c r="E3024" i="2"/>
  <c r="C3024" i="2"/>
  <c r="B3024" i="2"/>
  <c r="N3023" i="2"/>
  <c r="K3023" i="2"/>
  <c r="H3023" i="2"/>
  <c r="G3023" i="2"/>
  <c r="F3023" i="2"/>
  <c r="E3023" i="2"/>
  <c r="C3023" i="2"/>
  <c r="B3023" i="2"/>
  <c r="N3022" i="2"/>
  <c r="K3022" i="2"/>
  <c r="H3022" i="2"/>
  <c r="G3022" i="2"/>
  <c r="F3022" i="2"/>
  <c r="E3022" i="2"/>
  <c r="C3022" i="2"/>
  <c r="B3022" i="2"/>
  <c r="N3021" i="2"/>
  <c r="K3021" i="2"/>
  <c r="H3021" i="2"/>
  <c r="G3021" i="2"/>
  <c r="F3021" i="2"/>
  <c r="E3021" i="2"/>
  <c r="C3021" i="2"/>
  <c r="B3021" i="2"/>
  <c r="N3020" i="2"/>
  <c r="K3020" i="2"/>
  <c r="H3020" i="2"/>
  <c r="G3020" i="2"/>
  <c r="F3020" i="2"/>
  <c r="E3020" i="2"/>
  <c r="C3020" i="2"/>
  <c r="B3020" i="2"/>
  <c r="N3019" i="2"/>
  <c r="K3019" i="2"/>
  <c r="H3019" i="2"/>
  <c r="G3019" i="2"/>
  <c r="F3019" i="2"/>
  <c r="E3019" i="2"/>
  <c r="C3019" i="2"/>
  <c r="B3019" i="2"/>
  <c r="N3018" i="2"/>
  <c r="K3018" i="2"/>
  <c r="H3018" i="2"/>
  <c r="G3018" i="2"/>
  <c r="F3018" i="2"/>
  <c r="E3018" i="2"/>
  <c r="C3018" i="2"/>
  <c r="B3018" i="2"/>
  <c r="N3017" i="2"/>
  <c r="K3017" i="2"/>
  <c r="H3017" i="2"/>
  <c r="G3017" i="2"/>
  <c r="F3017" i="2"/>
  <c r="E3017" i="2"/>
  <c r="C3017" i="2"/>
  <c r="B3017" i="2"/>
  <c r="N3016" i="2"/>
  <c r="K3016" i="2"/>
  <c r="H3016" i="2"/>
  <c r="G3016" i="2"/>
  <c r="F3016" i="2"/>
  <c r="E3016" i="2"/>
  <c r="C3016" i="2"/>
  <c r="B3016" i="2"/>
  <c r="N3015" i="2"/>
  <c r="K3015" i="2"/>
  <c r="H3015" i="2"/>
  <c r="G3015" i="2"/>
  <c r="F3015" i="2"/>
  <c r="E3015" i="2"/>
  <c r="C3015" i="2"/>
  <c r="B3015" i="2"/>
  <c r="N3014" i="2"/>
  <c r="K3014" i="2"/>
  <c r="H3014" i="2"/>
  <c r="G3014" i="2"/>
  <c r="F3014" i="2"/>
  <c r="E3014" i="2"/>
  <c r="C3014" i="2"/>
  <c r="B3014" i="2"/>
  <c r="N3013" i="2"/>
  <c r="K3013" i="2"/>
  <c r="H3013" i="2"/>
  <c r="G3013" i="2"/>
  <c r="F3013" i="2"/>
  <c r="E3013" i="2"/>
  <c r="C3013" i="2"/>
  <c r="B3013" i="2"/>
  <c r="N3012" i="2"/>
  <c r="K3012" i="2"/>
  <c r="H3012" i="2"/>
  <c r="G3012" i="2"/>
  <c r="F3012" i="2"/>
  <c r="E3012" i="2"/>
  <c r="C3012" i="2"/>
  <c r="B3012" i="2"/>
  <c r="N3011" i="2"/>
  <c r="K3011" i="2"/>
  <c r="H3011" i="2"/>
  <c r="G3011" i="2"/>
  <c r="F3011" i="2"/>
  <c r="E3011" i="2"/>
  <c r="C3011" i="2"/>
  <c r="B3011" i="2"/>
  <c r="N3010" i="2"/>
  <c r="K3010" i="2"/>
  <c r="H3010" i="2"/>
  <c r="G3010" i="2"/>
  <c r="F3010" i="2"/>
  <c r="E3010" i="2"/>
  <c r="C3010" i="2"/>
  <c r="B3010" i="2"/>
  <c r="N3009" i="2"/>
  <c r="K3009" i="2"/>
  <c r="H3009" i="2"/>
  <c r="G3009" i="2"/>
  <c r="F3009" i="2"/>
  <c r="E3009" i="2"/>
  <c r="C3009" i="2"/>
  <c r="B3009" i="2"/>
  <c r="N3008" i="2"/>
  <c r="K3008" i="2"/>
  <c r="H3008" i="2"/>
  <c r="G3008" i="2"/>
  <c r="F3008" i="2"/>
  <c r="E3008" i="2"/>
  <c r="C3008" i="2"/>
  <c r="B3008" i="2"/>
  <c r="N3007" i="2"/>
  <c r="K3007" i="2"/>
  <c r="H3007" i="2"/>
  <c r="G3007" i="2"/>
  <c r="F3007" i="2"/>
  <c r="E3007" i="2"/>
  <c r="C3007" i="2"/>
  <c r="B3007" i="2"/>
  <c r="N3006" i="2"/>
  <c r="K3006" i="2"/>
  <c r="H3006" i="2"/>
  <c r="G3006" i="2"/>
  <c r="F3006" i="2"/>
  <c r="E3006" i="2"/>
  <c r="C3006" i="2"/>
  <c r="B3006" i="2"/>
  <c r="N3005" i="2"/>
  <c r="K3005" i="2"/>
  <c r="H3005" i="2"/>
  <c r="G3005" i="2"/>
  <c r="F3005" i="2"/>
  <c r="E3005" i="2"/>
  <c r="C3005" i="2"/>
  <c r="B3005" i="2"/>
  <c r="N3004" i="2"/>
  <c r="K3004" i="2"/>
  <c r="H3004" i="2"/>
  <c r="G3004" i="2"/>
  <c r="F3004" i="2"/>
  <c r="E3004" i="2"/>
  <c r="C3004" i="2"/>
  <c r="B3004" i="2"/>
  <c r="N3003" i="2"/>
  <c r="K3003" i="2"/>
  <c r="H3003" i="2"/>
  <c r="G3003" i="2"/>
  <c r="F3003" i="2"/>
  <c r="E3003" i="2"/>
  <c r="C3003" i="2"/>
  <c r="B3003" i="2"/>
  <c r="N3002" i="2"/>
  <c r="K3002" i="2"/>
  <c r="H3002" i="2"/>
  <c r="G3002" i="2"/>
  <c r="F3002" i="2"/>
  <c r="E3002" i="2"/>
  <c r="C3002" i="2"/>
  <c r="B3002" i="2"/>
  <c r="N3001" i="2"/>
  <c r="K3001" i="2"/>
  <c r="H3001" i="2"/>
  <c r="G3001" i="2"/>
  <c r="F3001" i="2"/>
  <c r="E3001" i="2"/>
  <c r="C3001" i="2"/>
  <c r="B3001" i="2"/>
  <c r="N3000" i="2"/>
  <c r="K3000" i="2"/>
  <c r="H3000" i="2"/>
  <c r="G3000" i="2"/>
  <c r="F3000" i="2"/>
  <c r="E3000" i="2"/>
  <c r="C3000" i="2"/>
  <c r="B3000" i="2"/>
  <c r="N2999" i="2"/>
  <c r="K2999" i="2"/>
  <c r="H2999" i="2"/>
  <c r="G2999" i="2"/>
  <c r="F2999" i="2"/>
  <c r="E2999" i="2"/>
  <c r="C2999" i="2"/>
  <c r="B2999" i="2"/>
  <c r="N2998" i="2"/>
  <c r="K2998" i="2"/>
  <c r="H2998" i="2"/>
  <c r="G2998" i="2"/>
  <c r="F2998" i="2"/>
  <c r="E2998" i="2"/>
  <c r="C2998" i="2"/>
  <c r="B2998" i="2"/>
  <c r="N2997" i="2"/>
  <c r="K2997" i="2"/>
  <c r="H2997" i="2"/>
  <c r="G2997" i="2"/>
  <c r="F2997" i="2"/>
  <c r="E2997" i="2"/>
  <c r="C2997" i="2"/>
  <c r="B2997" i="2"/>
  <c r="N2996" i="2"/>
  <c r="K2996" i="2"/>
  <c r="H2996" i="2"/>
  <c r="G2996" i="2"/>
  <c r="F2996" i="2"/>
  <c r="E2996" i="2"/>
  <c r="C2996" i="2"/>
  <c r="B2996" i="2"/>
  <c r="N2995" i="2"/>
  <c r="K2995" i="2"/>
  <c r="H2995" i="2"/>
  <c r="G2995" i="2"/>
  <c r="F2995" i="2"/>
  <c r="E2995" i="2"/>
  <c r="C2995" i="2"/>
  <c r="B2995" i="2"/>
  <c r="N2994" i="2"/>
  <c r="K2994" i="2"/>
  <c r="H2994" i="2"/>
  <c r="G2994" i="2"/>
  <c r="F2994" i="2"/>
  <c r="E2994" i="2"/>
  <c r="C2994" i="2"/>
  <c r="B2994" i="2"/>
  <c r="N2993" i="2"/>
  <c r="K2993" i="2"/>
  <c r="H2993" i="2"/>
  <c r="G2993" i="2"/>
  <c r="F2993" i="2"/>
  <c r="E2993" i="2"/>
  <c r="C2993" i="2"/>
  <c r="B2993" i="2"/>
  <c r="N2992" i="2"/>
  <c r="K2992" i="2"/>
  <c r="H2992" i="2"/>
  <c r="G2992" i="2"/>
  <c r="F2992" i="2"/>
  <c r="E2992" i="2"/>
  <c r="C2992" i="2"/>
  <c r="B2992" i="2"/>
  <c r="N2991" i="2"/>
  <c r="K2991" i="2"/>
  <c r="H2991" i="2"/>
  <c r="G2991" i="2"/>
  <c r="F2991" i="2"/>
  <c r="E2991" i="2"/>
  <c r="C2991" i="2"/>
  <c r="B2991" i="2"/>
  <c r="N2990" i="2"/>
  <c r="K2990" i="2"/>
  <c r="H2990" i="2"/>
  <c r="G2990" i="2"/>
  <c r="F2990" i="2"/>
  <c r="E2990" i="2"/>
  <c r="C2990" i="2"/>
  <c r="B2990" i="2"/>
  <c r="N2989" i="2"/>
  <c r="K2989" i="2"/>
  <c r="H2989" i="2"/>
  <c r="G2989" i="2"/>
  <c r="F2989" i="2"/>
  <c r="E2989" i="2"/>
  <c r="C2989" i="2"/>
  <c r="B2989" i="2"/>
  <c r="N2988" i="2"/>
  <c r="K2988" i="2"/>
  <c r="H2988" i="2"/>
  <c r="G2988" i="2"/>
  <c r="F2988" i="2"/>
  <c r="E2988" i="2"/>
  <c r="C2988" i="2"/>
  <c r="B2988" i="2"/>
  <c r="N2987" i="2"/>
  <c r="K2987" i="2"/>
  <c r="H2987" i="2"/>
  <c r="G2987" i="2"/>
  <c r="F2987" i="2"/>
  <c r="E2987" i="2"/>
  <c r="C2987" i="2"/>
  <c r="B2987" i="2"/>
  <c r="N2986" i="2"/>
  <c r="K2986" i="2"/>
  <c r="H2986" i="2"/>
  <c r="G2986" i="2"/>
  <c r="F2986" i="2"/>
  <c r="E2986" i="2"/>
  <c r="C2986" i="2"/>
  <c r="B2986" i="2"/>
  <c r="N2985" i="2"/>
  <c r="K2985" i="2"/>
  <c r="H2985" i="2"/>
  <c r="G2985" i="2"/>
  <c r="F2985" i="2"/>
  <c r="E2985" i="2"/>
  <c r="C2985" i="2"/>
  <c r="B2985" i="2"/>
  <c r="N2984" i="2"/>
  <c r="K2984" i="2"/>
  <c r="H2984" i="2"/>
  <c r="G2984" i="2"/>
  <c r="F2984" i="2"/>
  <c r="E2984" i="2"/>
  <c r="C2984" i="2"/>
  <c r="B2984" i="2"/>
  <c r="N2983" i="2"/>
  <c r="K2983" i="2"/>
  <c r="H2983" i="2"/>
  <c r="G2983" i="2"/>
  <c r="F2983" i="2"/>
  <c r="E2983" i="2"/>
  <c r="C2983" i="2"/>
  <c r="B2983" i="2"/>
  <c r="N2982" i="2"/>
  <c r="K2982" i="2"/>
  <c r="H2982" i="2"/>
  <c r="G2982" i="2"/>
  <c r="F2982" i="2"/>
  <c r="E2982" i="2"/>
  <c r="C2982" i="2"/>
  <c r="B2982" i="2"/>
  <c r="N2981" i="2"/>
  <c r="K2981" i="2"/>
  <c r="H2981" i="2"/>
  <c r="G2981" i="2"/>
  <c r="F2981" i="2"/>
  <c r="E2981" i="2"/>
  <c r="C2981" i="2"/>
  <c r="B2981" i="2"/>
  <c r="N2980" i="2"/>
  <c r="K2980" i="2"/>
  <c r="H2980" i="2"/>
  <c r="G2980" i="2"/>
  <c r="F2980" i="2"/>
  <c r="E2980" i="2"/>
  <c r="C2980" i="2"/>
  <c r="B2980" i="2"/>
  <c r="N2979" i="2"/>
  <c r="K2979" i="2"/>
  <c r="H2979" i="2"/>
  <c r="G2979" i="2"/>
  <c r="F2979" i="2"/>
  <c r="E2979" i="2"/>
  <c r="C2979" i="2"/>
  <c r="B2979" i="2"/>
  <c r="N2978" i="2"/>
  <c r="K2978" i="2"/>
  <c r="H2978" i="2"/>
  <c r="G2978" i="2"/>
  <c r="F2978" i="2"/>
  <c r="E2978" i="2"/>
  <c r="C2978" i="2"/>
  <c r="B2978" i="2"/>
  <c r="N2977" i="2"/>
  <c r="K2977" i="2"/>
  <c r="H2977" i="2"/>
  <c r="G2977" i="2"/>
  <c r="F2977" i="2"/>
  <c r="E2977" i="2"/>
  <c r="C2977" i="2"/>
  <c r="B2977" i="2"/>
  <c r="N2976" i="2"/>
  <c r="K2976" i="2"/>
  <c r="H2976" i="2"/>
  <c r="G2976" i="2"/>
  <c r="F2976" i="2"/>
  <c r="E2976" i="2"/>
  <c r="C2976" i="2"/>
  <c r="B2976" i="2"/>
  <c r="N2975" i="2"/>
  <c r="K2975" i="2"/>
  <c r="H2975" i="2"/>
  <c r="G2975" i="2"/>
  <c r="F2975" i="2"/>
  <c r="E2975" i="2"/>
  <c r="C2975" i="2"/>
  <c r="B2975" i="2"/>
  <c r="N2974" i="2"/>
  <c r="K2974" i="2"/>
  <c r="H2974" i="2"/>
  <c r="G2974" i="2"/>
  <c r="F2974" i="2"/>
  <c r="E2974" i="2"/>
  <c r="C2974" i="2"/>
  <c r="B2974" i="2"/>
  <c r="N2973" i="2"/>
  <c r="K2973" i="2"/>
  <c r="H2973" i="2"/>
  <c r="G2973" i="2"/>
  <c r="F2973" i="2"/>
  <c r="E2973" i="2"/>
  <c r="C2973" i="2"/>
  <c r="B2973" i="2"/>
  <c r="N2972" i="2"/>
  <c r="K2972" i="2"/>
  <c r="H2972" i="2"/>
  <c r="G2972" i="2"/>
  <c r="F2972" i="2"/>
  <c r="E2972" i="2"/>
  <c r="C2972" i="2"/>
  <c r="B2972" i="2"/>
  <c r="N2971" i="2"/>
  <c r="K2971" i="2"/>
  <c r="H2971" i="2"/>
  <c r="G2971" i="2"/>
  <c r="F2971" i="2"/>
  <c r="E2971" i="2"/>
  <c r="C2971" i="2"/>
  <c r="B2971" i="2"/>
  <c r="N2970" i="2"/>
  <c r="K2970" i="2"/>
  <c r="H2970" i="2"/>
  <c r="G2970" i="2"/>
  <c r="F2970" i="2"/>
  <c r="E2970" i="2"/>
  <c r="C2970" i="2"/>
  <c r="B2970" i="2"/>
  <c r="N2969" i="2"/>
  <c r="K2969" i="2"/>
  <c r="H2969" i="2"/>
  <c r="G2969" i="2"/>
  <c r="F2969" i="2"/>
  <c r="E2969" i="2"/>
  <c r="C2969" i="2"/>
  <c r="B2969" i="2"/>
  <c r="N2968" i="2"/>
  <c r="K2968" i="2"/>
  <c r="H2968" i="2"/>
  <c r="G2968" i="2"/>
  <c r="F2968" i="2"/>
  <c r="E2968" i="2"/>
  <c r="C2968" i="2"/>
  <c r="B2968" i="2"/>
  <c r="N2967" i="2"/>
  <c r="K2967" i="2"/>
  <c r="H2967" i="2"/>
  <c r="G2967" i="2"/>
  <c r="F2967" i="2"/>
  <c r="E2967" i="2"/>
  <c r="C2967" i="2"/>
  <c r="B2967" i="2"/>
  <c r="N2966" i="2"/>
  <c r="K2966" i="2"/>
  <c r="H2966" i="2"/>
  <c r="G2966" i="2"/>
  <c r="F2966" i="2"/>
  <c r="E2966" i="2"/>
  <c r="C2966" i="2"/>
  <c r="B2966" i="2"/>
  <c r="N2965" i="2"/>
  <c r="K2965" i="2"/>
  <c r="H2965" i="2"/>
  <c r="G2965" i="2"/>
  <c r="F2965" i="2"/>
  <c r="E2965" i="2"/>
  <c r="C2965" i="2"/>
  <c r="B2965" i="2"/>
  <c r="N2964" i="2"/>
  <c r="K2964" i="2"/>
  <c r="H2964" i="2"/>
  <c r="G2964" i="2"/>
  <c r="F2964" i="2"/>
  <c r="E2964" i="2"/>
  <c r="C2964" i="2"/>
  <c r="B2964" i="2"/>
  <c r="N2963" i="2"/>
  <c r="K2963" i="2"/>
  <c r="H2963" i="2"/>
  <c r="G2963" i="2"/>
  <c r="F2963" i="2"/>
  <c r="E2963" i="2"/>
  <c r="C2963" i="2"/>
  <c r="B2963" i="2"/>
  <c r="N2962" i="2"/>
  <c r="K2962" i="2"/>
  <c r="H2962" i="2"/>
  <c r="G2962" i="2"/>
  <c r="F2962" i="2"/>
  <c r="E2962" i="2"/>
  <c r="C2962" i="2"/>
  <c r="B2962" i="2"/>
  <c r="N2961" i="2"/>
  <c r="K2961" i="2"/>
  <c r="H2961" i="2"/>
  <c r="G2961" i="2"/>
  <c r="F2961" i="2"/>
  <c r="E2961" i="2"/>
  <c r="C2961" i="2"/>
  <c r="B2961" i="2"/>
  <c r="N2960" i="2"/>
  <c r="K2960" i="2"/>
  <c r="H2960" i="2"/>
  <c r="G2960" i="2"/>
  <c r="F2960" i="2"/>
  <c r="E2960" i="2"/>
  <c r="C2960" i="2"/>
  <c r="B2960" i="2"/>
  <c r="N2959" i="2"/>
  <c r="K2959" i="2"/>
  <c r="H2959" i="2"/>
  <c r="G2959" i="2"/>
  <c r="F2959" i="2"/>
  <c r="E2959" i="2"/>
  <c r="C2959" i="2"/>
  <c r="B2959" i="2"/>
  <c r="N2958" i="2"/>
  <c r="K2958" i="2"/>
  <c r="H2958" i="2"/>
  <c r="G2958" i="2"/>
  <c r="F2958" i="2"/>
  <c r="E2958" i="2"/>
  <c r="C2958" i="2"/>
  <c r="B2958" i="2"/>
  <c r="N2957" i="2"/>
  <c r="K2957" i="2"/>
  <c r="H2957" i="2"/>
  <c r="G2957" i="2"/>
  <c r="F2957" i="2"/>
  <c r="E2957" i="2"/>
  <c r="C2957" i="2"/>
  <c r="B2957" i="2"/>
  <c r="N2956" i="2"/>
  <c r="K2956" i="2"/>
  <c r="H2956" i="2"/>
  <c r="G2956" i="2"/>
  <c r="F2956" i="2"/>
  <c r="E2956" i="2"/>
  <c r="C2956" i="2"/>
  <c r="B2956" i="2"/>
  <c r="N2955" i="2"/>
  <c r="K2955" i="2"/>
  <c r="H2955" i="2"/>
  <c r="G2955" i="2"/>
  <c r="F2955" i="2"/>
  <c r="E2955" i="2"/>
  <c r="C2955" i="2"/>
  <c r="B2955" i="2"/>
  <c r="N2954" i="2"/>
  <c r="K2954" i="2"/>
  <c r="H2954" i="2"/>
  <c r="G2954" i="2"/>
  <c r="F2954" i="2"/>
  <c r="E2954" i="2"/>
  <c r="C2954" i="2"/>
  <c r="B2954" i="2"/>
  <c r="N2953" i="2"/>
  <c r="K2953" i="2"/>
  <c r="H2953" i="2"/>
  <c r="G2953" i="2"/>
  <c r="F2953" i="2"/>
  <c r="E2953" i="2"/>
  <c r="C2953" i="2"/>
  <c r="B2953" i="2"/>
  <c r="N2952" i="2"/>
  <c r="K2952" i="2"/>
  <c r="H2952" i="2"/>
  <c r="G2952" i="2"/>
  <c r="F2952" i="2"/>
  <c r="E2952" i="2"/>
  <c r="C2952" i="2"/>
  <c r="B2952" i="2"/>
  <c r="N2951" i="2"/>
  <c r="K2951" i="2"/>
  <c r="H2951" i="2"/>
  <c r="G2951" i="2"/>
  <c r="F2951" i="2"/>
  <c r="E2951" i="2"/>
  <c r="C2951" i="2"/>
  <c r="B2951" i="2"/>
  <c r="N2950" i="2"/>
  <c r="K2950" i="2"/>
  <c r="H2950" i="2"/>
  <c r="G2950" i="2"/>
  <c r="F2950" i="2"/>
  <c r="E2950" i="2"/>
  <c r="C2950" i="2"/>
  <c r="B2950" i="2"/>
  <c r="N2949" i="2"/>
  <c r="K2949" i="2"/>
  <c r="H2949" i="2"/>
  <c r="G2949" i="2"/>
  <c r="F2949" i="2"/>
  <c r="E2949" i="2"/>
  <c r="C2949" i="2"/>
  <c r="B2949" i="2"/>
  <c r="N2948" i="2"/>
  <c r="K2948" i="2"/>
  <c r="H2948" i="2"/>
  <c r="G2948" i="2"/>
  <c r="F2948" i="2"/>
  <c r="E2948" i="2"/>
  <c r="C2948" i="2"/>
  <c r="B2948" i="2"/>
  <c r="N2947" i="2"/>
  <c r="K2947" i="2"/>
  <c r="H2947" i="2"/>
  <c r="G2947" i="2"/>
  <c r="F2947" i="2"/>
  <c r="E2947" i="2"/>
  <c r="C2947" i="2"/>
  <c r="B2947" i="2"/>
  <c r="N2946" i="2"/>
  <c r="K2946" i="2"/>
  <c r="H2946" i="2"/>
  <c r="G2946" i="2"/>
  <c r="F2946" i="2"/>
  <c r="E2946" i="2"/>
  <c r="C2946" i="2"/>
  <c r="B2946" i="2"/>
  <c r="N2945" i="2"/>
  <c r="K2945" i="2"/>
  <c r="H2945" i="2"/>
  <c r="G2945" i="2"/>
  <c r="F2945" i="2"/>
  <c r="E2945" i="2"/>
  <c r="C2945" i="2"/>
  <c r="B2945" i="2"/>
  <c r="N2944" i="2"/>
  <c r="K2944" i="2"/>
  <c r="H2944" i="2"/>
  <c r="G2944" i="2"/>
  <c r="F2944" i="2"/>
  <c r="E2944" i="2"/>
  <c r="C2944" i="2"/>
  <c r="B2944" i="2"/>
  <c r="N2943" i="2"/>
  <c r="K2943" i="2"/>
  <c r="H2943" i="2"/>
  <c r="G2943" i="2"/>
  <c r="F2943" i="2"/>
  <c r="E2943" i="2"/>
  <c r="C2943" i="2"/>
  <c r="B2943" i="2"/>
  <c r="N2942" i="2"/>
  <c r="K2942" i="2"/>
  <c r="H2942" i="2"/>
  <c r="G2942" i="2"/>
  <c r="F2942" i="2"/>
  <c r="E2942" i="2"/>
  <c r="C2942" i="2"/>
  <c r="B2942" i="2"/>
  <c r="N2941" i="2"/>
  <c r="K2941" i="2"/>
  <c r="H2941" i="2"/>
  <c r="G2941" i="2"/>
  <c r="F2941" i="2"/>
  <c r="E2941" i="2"/>
  <c r="C2941" i="2"/>
  <c r="B2941" i="2"/>
  <c r="N2940" i="2"/>
  <c r="K2940" i="2"/>
  <c r="H2940" i="2"/>
  <c r="G2940" i="2"/>
  <c r="F2940" i="2"/>
  <c r="E2940" i="2"/>
  <c r="C2940" i="2"/>
  <c r="B2940" i="2"/>
  <c r="N2939" i="2"/>
  <c r="K2939" i="2"/>
  <c r="H2939" i="2"/>
  <c r="G2939" i="2"/>
  <c r="F2939" i="2"/>
  <c r="E2939" i="2"/>
  <c r="C2939" i="2"/>
  <c r="B2939" i="2"/>
  <c r="N2938" i="2"/>
  <c r="K2938" i="2"/>
  <c r="H2938" i="2"/>
  <c r="G2938" i="2"/>
  <c r="F2938" i="2"/>
  <c r="E2938" i="2"/>
  <c r="C2938" i="2"/>
  <c r="B2938" i="2"/>
  <c r="N2937" i="2"/>
  <c r="K2937" i="2"/>
  <c r="H2937" i="2"/>
  <c r="G2937" i="2"/>
  <c r="F2937" i="2"/>
  <c r="E2937" i="2"/>
  <c r="C2937" i="2"/>
  <c r="B2937" i="2"/>
  <c r="N2936" i="2"/>
  <c r="K2936" i="2"/>
  <c r="H2936" i="2"/>
  <c r="G2936" i="2"/>
  <c r="F2936" i="2"/>
  <c r="E2936" i="2"/>
  <c r="C2936" i="2"/>
  <c r="B2936" i="2"/>
  <c r="N2935" i="2"/>
  <c r="K2935" i="2"/>
  <c r="H2935" i="2"/>
  <c r="G2935" i="2"/>
  <c r="F2935" i="2"/>
  <c r="E2935" i="2"/>
  <c r="C2935" i="2"/>
  <c r="B2935" i="2"/>
  <c r="N2934" i="2"/>
  <c r="K2934" i="2"/>
  <c r="H2934" i="2"/>
  <c r="G2934" i="2"/>
  <c r="F2934" i="2"/>
  <c r="E2934" i="2"/>
  <c r="C2934" i="2"/>
  <c r="B2934" i="2"/>
  <c r="N2933" i="2"/>
  <c r="K2933" i="2"/>
  <c r="H2933" i="2"/>
  <c r="G2933" i="2"/>
  <c r="F2933" i="2"/>
  <c r="E2933" i="2"/>
  <c r="C2933" i="2"/>
  <c r="B2933" i="2"/>
  <c r="N2932" i="2"/>
  <c r="K2932" i="2"/>
  <c r="H2932" i="2"/>
  <c r="G2932" i="2"/>
  <c r="F2932" i="2"/>
  <c r="E2932" i="2"/>
  <c r="C2932" i="2"/>
  <c r="B2932" i="2"/>
  <c r="N2931" i="2"/>
  <c r="K2931" i="2"/>
  <c r="H2931" i="2"/>
  <c r="G2931" i="2"/>
  <c r="F2931" i="2"/>
  <c r="E2931" i="2"/>
  <c r="C2931" i="2"/>
  <c r="B2931" i="2"/>
  <c r="N2930" i="2"/>
  <c r="K2930" i="2"/>
  <c r="H2930" i="2"/>
  <c r="G2930" i="2"/>
  <c r="F2930" i="2"/>
  <c r="E2930" i="2"/>
  <c r="C2930" i="2"/>
  <c r="B2930" i="2"/>
  <c r="N2929" i="2"/>
  <c r="K2929" i="2"/>
  <c r="H2929" i="2"/>
  <c r="G2929" i="2"/>
  <c r="F2929" i="2"/>
  <c r="E2929" i="2"/>
  <c r="C2929" i="2"/>
  <c r="B2929" i="2"/>
  <c r="N2928" i="2"/>
  <c r="K2928" i="2"/>
  <c r="H2928" i="2"/>
  <c r="G2928" i="2"/>
  <c r="F2928" i="2"/>
  <c r="E2928" i="2"/>
  <c r="C2928" i="2"/>
  <c r="B2928" i="2"/>
  <c r="N2927" i="2"/>
  <c r="K2927" i="2"/>
  <c r="H2927" i="2"/>
  <c r="G2927" i="2"/>
  <c r="F2927" i="2"/>
  <c r="E2927" i="2"/>
  <c r="C2927" i="2"/>
  <c r="B2927" i="2"/>
  <c r="N2926" i="2"/>
  <c r="K2926" i="2"/>
  <c r="H2926" i="2"/>
  <c r="G2926" i="2"/>
  <c r="F2926" i="2"/>
  <c r="E2926" i="2"/>
  <c r="C2926" i="2"/>
  <c r="B2926" i="2"/>
  <c r="N2925" i="2"/>
  <c r="K2925" i="2"/>
  <c r="H2925" i="2"/>
  <c r="G2925" i="2"/>
  <c r="F2925" i="2"/>
  <c r="E2925" i="2"/>
  <c r="C2925" i="2"/>
  <c r="B2925" i="2"/>
  <c r="N2924" i="2"/>
  <c r="K2924" i="2"/>
  <c r="H2924" i="2"/>
  <c r="G2924" i="2"/>
  <c r="F2924" i="2"/>
  <c r="E2924" i="2"/>
  <c r="C2924" i="2"/>
  <c r="B2924" i="2"/>
  <c r="N2923" i="2"/>
  <c r="K2923" i="2"/>
  <c r="H2923" i="2"/>
  <c r="G2923" i="2"/>
  <c r="F2923" i="2"/>
  <c r="E2923" i="2"/>
  <c r="C2923" i="2"/>
  <c r="B2923" i="2"/>
  <c r="N2922" i="2"/>
  <c r="K2922" i="2"/>
  <c r="H2922" i="2"/>
  <c r="G2922" i="2"/>
  <c r="F2922" i="2"/>
  <c r="E2922" i="2"/>
  <c r="C2922" i="2"/>
  <c r="B2922" i="2"/>
  <c r="N2921" i="2"/>
  <c r="K2921" i="2"/>
  <c r="H2921" i="2"/>
  <c r="G2921" i="2"/>
  <c r="F2921" i="2"/>
  <c r="E2921" i="2"/>
  <c r="C2921" i="2"/>
  <c r="B2921" i="2"/>
  <c r="N2920" i="2"/>
  <c r="K2920" i="2"/>
  <c r="H2920" i="2"/>
  <c r="G2920" i="2"/>
  <c r="F2920" i="2"/>
  <c r="E2920" i="2"/>
  <c r="C2920" i="2"/>
  <c r="B2920" i="2"/>
  <c r="N2919" i="2"/>
  <c r="K2919" i="2"/>
  <c r="H2919" i="2"/>
  <c r="G2919" i="2"/>
  <c r="F2919" i="2"/>
  <c r="E2919" i="2"/>
  <c r="C2919" i="2"/>
  <c r="B2919" i="2"/>
  <c r="N2918" i="2"/>
  <c r="K2918" i="2"/>
  <c r="H2918" i="2"/>
  <c r="G2918" i="2"/>
  <c r="F2918" i="2"/>
  <c r="E2918" i="2"/>
  <c r="C2918" i="2"/>
  <c r="B2918" i="2"/>
  <c r="N2917" i="2"/>
  <c r="K2917" i="2"/>
  <c r="H2917" i="2"/>
  <c r="G2917" i="2"/>
  <c r="F2917" i="2"/>
  <c r="E2917" i="2"/>
  <c r="C2917" i="2"/>
  <c r="B2917" i="2"/>
  <c r="N2916" i="2"/>
  <c r="K2916" i="2"/>
  <c r="H2916" i="2"/>
  <c r="G2916" i="2"/>
  <c r="F2916" i="2"/>
  <c r="E2916" i="2"/>
  <c r="C2916" i="2"/>
  <c r="B2916" i="2"/>
  <c r="N2915" i="2"/>
  <c r="K2915" i="2"/>
  <c r="H2915" i="2"/>
  <c r="G2915" i="2"/>
  <c r="F2915" i="2"/>
  <c r="E2915" i="2"/>
  <c r="C2915" i="2"/>
  <c r="B2915" i="2"/>
  <c r="N2914" i="2"/>
  <c r="K2914" i="2"/>
  <c r="H2914" i="2"/>
  <c r="G2914" i="2"/>
  <c r="F2914" i="2"/>
  <c r="E2914" i="2"/>
  <c r="C2914" i="2"/>
  <c r="B2914" i="2"/>
  <c r="N2913" i="2"/>
  <c r="K2913" i="2"/>
  <c r="H2913" i="2"/>
  <c r="G2913" i="2"/>
  <c r="F2913" i="2"/>
  <c r="E2913" i="2"/>
  <c r="C2913" i="2"/>
  <c r="B2913" i="2"/>
  <c r="N2912" i="2"/>
  <c r="K2912" i="2"/>
  <c r="H2912" i="2"/>
  <c r="G2912" i="2"/>
  <c r="F2912" i="2"/>
  <c r="E2912" i="2"/>
  <c r="C2912" i="2"/>
  <c r="B2912" i="2"/>
  <c r="N2911" i="2"/>
  <c r="K2911" i="2"/>
  <c r="H2911" i="2"/>
  <c r="G2911" i="2"/>
  <c r="F2911" i="2"/>
  <c r="E2911" i="2"/>
  <c r="C2911" i="2"/>
  <c r="B2911" i="2"/>
  <c r="N2910" i="2"/>
  <c r="K2910" i="2"/>
  <c r="H2910" i="2"/>
  <c r="G2910" i="2"/>
  <c r="F2910" i="2"/>
  <c r="E2910" i="2"/>
  <c r="C2910" i="2"/>
  <c r="B2910" i="2"/>
  <c r="N2909" i="2"/>
  <c r="K2909" i="2"/>
  <c r="H2909" i="2"/>
  <c r="G2909" i="2"/>
  <c r="F2909" i="2"/>
  <c r="E2909" i="2"/>
  <c r="C2909" i="2"/>
  <c r="B2909" i="2"/>
  <c r="N2908" i="2"/>
  <c r="K2908" i="2"/>
  <c r="H2908" i="2"/>
  <c r="G2908" i="2"/>
  <c r="F2908" i="2"/>
  <c r="E2908" i="2"/>
  <c r="C2908" i="2"/>
  <c r="B2908" i="2"/>
  <c r="N2907" i="2"/>
  <c r="K2907" i="2"/>
  <c r="H2907" i="2"/>
  <c r="G2907" i="2"/>
  <c r="F2907" i="2"/>
  <c r="E2907" i="2"/>
  <c r="C2907" i="2"/>
  <c r="B2907" i="2"/>
  <c r="N2906" i="2"/>
  <c r="K2906" i="2"/>
  <c r="H2906" i="2"/>
  <c r="G2906" i="2"/>
  <c r="F2906" i="2"/>
  <c r="E2906" i="2"/>
  <c r="C2906" i="2"/>
  <c r="B2906" i="2"/>
  <c r="N2905" i="2"/>
  <c r="K2905" i="2"/>
  <c r="H2905" i="2"/>
  <c r="G2905" i="2"/>
  <c r="F2905" i="2"/>
  <c r="E2905" i="2"/>
  <c r="C2905" i="2"/>
  <c r="B2905" i="2"/>
  <c r="N2904" i="2"/>
  <c r="K2904" i="2"/>
  <c r="H2904" i="2"/>
  <c r="G2904" i="2"/>
  <c r="F2904" i="2"/>
  <c r="E2904" i="2"/>
  <c r="C2904" i="2"/>
  <c r="B2904" i="2"/>
  <c r="N2903" i="2"/>
  <c r="K2903" i="2"/>
  <c r="H2903" i="2"/>
  <c r="G2903" i="2"/>
  <c r="F2903" i="2"/>
  <c r="E2903" i="2"/>
  <c r="C2903" i="2"/>
  <c r="B2903" i="2"/>
  <c r="N2902" i="2"/>
  <c r="K2902" i="2"/>
  <c r="H2902" i="2"/>
  <c r="G2902" i="2"/>
  <c r="F2902" i="2"/>
  <c r="E2902" i="2"/>
  <c r="C2902" i="2"/>
  <c r="B2902" i="2"/>
  <c r="N2901" i="2"/>
  <c r="K2901" i="2"/>
  <c r="H2901" i="2"/>
  <c r="G2901" i="2"/>
  <c r="F2901" i="2"/>
  <c r="E2901" i="2"/>
  <c r="C2901" i="2"/>
  <c r="B2901" i="2"/>
  <c r="N2900" i="2"/>
  <c r="K2900" i="2"/>
  <c r="H2900" i="2"/>
  <c r="G2900" i="2"/>
  <c r="F2900" i="2"/>
  <c r="E2900" i="2"/>
  <c r="C2900" i="2"/>
  <c r="B2900" i="2"/>
  <c r="N2899" i="2"/>
  <c r="K2899" i="2"/>
  <c r="H2899" i="2"/>
  <c r="G2899" i="2"/>
  <c r="F2899" i="2"/>
  <c r="E2899" i="2"/>
  <c r="C2899" i="2"/>
  <c r="B2899" i="2"/>
  <c r="N2898" i="2"/>
  <c r="K2898" i="2"/>
  <c r="H2898" i="2"/>
  <c r="G2898" i="2"/>
  <c r="F2898" i="2"/>
  <c r="E2898" i="2"/>
  <c r="C2898" i="2"/>
  <c r="B2898" i="2"/>
  <c r="N2897" i="2"/>
  <c r="K2897" i="2"/>
  <c r="H2897" i="2"/>
  <c r="G2897" i="2"/>
  <c r="F2897" i="2"/>
  <c r="E2897" i="2"/>
  <c r="C2897" i="2"/>
  <c r="B2897" i="2"/>
  <c r="N2896" i="2"/>
  <c r="K2896" i="2"/>
  <c r="H2896" i="2"/>
  <c r="G2896" i="2"/>
  <c r="F2896" i="2"/>
  <c r="E2896" i="2"/>
  <c r="C2896" i="2"/>
  <c r="B2896" i="2"/>
  <c r="N2895" i="2"/>
  <c r="K2895" i="2"/>
  <c r="H2895" i="2"/>
  <c r="G2895" i="2"/>
  <c r="F2895" i="2"/>
  <c r="E2895" i="2"/>
  <c r="C2895" i="2"/>
  <c r="B2895" i="2"/>
  <c r="N2894" i="2"/>
  <c r="K2894" i="2"/>
  <c r="H2894" i="2"/>
  <c r="G2894" i="2"/>
  <c r="F2894" i="2"/>
  <c r="E2894" i="2"/>
  <c r="C2894" i="2"/>
  <c r="B2894" i="2"/>
  <c r="N2893" i="2"/>
  <c r="K2893" i="2"/>
  <c r="H2893" i="2"/>
  <c r="G2893" i="2"/>
  <c r="F2893" i="2"/>
  <c r="E2893" i="2"/>
  <c r="C2893" i="2"/>
  <c r="B2893" i="2"/>
  <c r="N2892" i="2"/>
  <c r="K2892" i="2"/>
  <c r="H2892" i="2"/>
  <c r="G2892" i="2"/>
  <c r="F2892" i="2"/>
  <c r="E2892" i="2"/>
  <c r="C2892" i="2"/>
  <c r="B2892" i="2"/>
  <c r="N2891" i="2"/>
  <c r="K2891" i="2"/>
  <c r="H2891" i="2"/>
  <c r="G2891" i="2"/>
  <c r="F2891" i="2"/>
  <c r="E2891" i="2"/>
  <c r="C2891" i="2"/>
  <c r="B2891" i="2"/>
  <c r="N2890" i="2"/>
  <c r="K2890" i="2"/>
  <c r="H2890" i="2"/>
  <c r="G2890" i="2"/>
  <c r="F2890" i="2"/>
  <c r="E2890" i="2"/>
  <c r="C2890" i="2"/>
  <c r="B2890" i="2"/>
  <c r="N2889" i="2"/>
  <c r="K2889" i="2"/>
  <c r="H2889" i="2"/>
  <c r="G2889" i="2"/>
  <c r="F2889" i="2"/>
  <c r="E2889" i="2"/>
  <c r="C2889" i="2"/>
  <c r="B2889" i="2"/>
  <c r="N2888" i="2"/>
  <c r="K2888" i="2"/>
  <c r="H2888" i="2"/>
  <c r="G2888" i="2"/>
  <c r="F2888" i="2"/>
  <c r="E2888" i="2"/>
  <c r="C2888" i="2"/>
  <c r="B2888" i="2"/>
  <c r="N2887" i="2"/>
  <c r="K2887" i="2"/>
  <c r="H2887" i="2"/>
  <c r="G2887" i="2"/>
  <c r="F2887" i="2"/>
  <c r="E2887" i="2"/>
  <c r="C2887" i="2"/>
  <c r="B2887" i="2"/>
  <c r="N2886" i="2"/>
  <c r="K2886" i="2"/>
  <c r="H2886" i="2"/>
  <c r="G2886" i="2"/>
  <c r="F2886" i="2"/>
  <c r="E2886" i="2"/>
  <c r="C2886" i="2"/>
  <c r="B2886" i="2"/>
  <c r="N2885" i="2"/>
  <c r="K2885" i="2"/>
  <c r="H2885" i="2"/>
  <c r="G2885" i="2"/>
  <c r="F2885" i="2"/>
  <c r="E2885" i="2"/>
  <c r="C2885" i="2"/>
  <c r="B2885" i="2"/>
  <c r="N2884" i="2"/>
  <c r="K2884" i="2"/>
  <c r="H2884" i="2"/>
  <c r="G2884" i="2"/>
  <c r="F2884" i="2"/>
  <c r="E2884" i="2"/>
  <c r="C2884" i="2"/>
  <c r="B2884" i="2"/>
  <c r="N2883" i="2"/>
  <c r="K2883" i="2"/>
  <c r="H2883" i="2"/>
  <c r="G2883" i="2"/>
  <c r="F2883" i="2"/>
  <c r="E2883" i="2"/>
  <c r="C2883" i="2"/>
  <c r="B2883" i="2"/>
  <c r="N2882" i="2"/>
  <c r="K2882" i="2"/>
  <c r="H2882" i="2"/>
  <c r="G2882" i="2"/>
  <c r="F2882" i="2"/>
  <c r="E2882" i="2"/>
  <c r="C2882" i="2"/>
  <c r="B2882" i="2"/>
  <c r="N2881" i="2"/>
  <c r="K2881" i="2"/>
  <c r="H2881" i="2"/>
  <c r="G2881" i="2"/>
  <c r="F2881" i="2"/>
  <c r="E2881" i="2"/>
  <c r="C2881" i="2"/>
  <c r="B2881" i="2"/>
  <c r="N2880" i="2"/>
  <c r="K2880" i="2"/>
  <c r="H2880" i="2"/>
  <c r="G2880" i="2"/>
  <c r="F2880" i="2"/>
  <c r="E2880" i="2"/>
  <c r="C2880" i="2"/>
  <c r="B2880" i="2"/>
  <c r="N2879" i="2"/>
  <c r="K2879" i="2"/>
  <c r="H2879" i="2"/>
  <c r="G2879" i="2"/>
  <c r="F2879" i="2"/>
  <c r="E2879" i="2"/>
  <c r="C2879" i="2"/>
  <c r="B2879" i="2"/>
  <c r="N2878" i="2"/>
  <c r="K2878" i="2"/>
  <c r="H2878" i="2"/>
  <c r="G2878" i="2"/>
  <c r="F2878" i="2"/>
  <c r="E2878" i="2"/>
  <c r="C2878" i="2"/>
  <c r="B2878" i="2"/>
  <c r="N2877" i="2"/>
  <c r="K2877" i="2"/>
  <c r="H2877" i="2"/>
  <c r="G2877" i="2"/>
  <c r="F2877" i="2"/>
  <c r="E2877" i="2"/>
  <c r="C2877" i="2"/>
  <c r="B2877" i="2"/>
  <c r="N2876" i="2"/>
  <c r="K2876" i="2"/>
  <c r="H2876" i="2"/>
  <c r="G2876" i="2"/>
  <c r="F2876" i="2"/>
  <c r="E2876" i="2"/>
  <c r="C2876" i="2"/>
  <c r="B2876" i="2"/>
  <c r="N2875" i="2"/>
  <c r="K2875" i="2"/>
  <c r="H2875" i="2"/>
  <c r="G2875" i="2"/>
  <c r="F2875" i="2"/>
  <c r="E2875" i="2"/>
  <c r="C2875" i="2"/>
  <c r="B2875" i="2"/>
  <c r="N2874" i="2"/>
  <c r="K2874" i="2"/>
  <c r="H2874" i="2"/>
  <c r="G2874" i="2"/>
  <c r="F2874" i="2"/>
  <c r="E2874" i="2"/>
  <c r="C2874" i="2"/>
  <c r="B2874" i="2"/>
  <c r="N2873" i="2"/>
  <c r="K2873" i="2"/>
  <c r="H2873" i="2"/>
  <c r="G2873" i="2"/>
  <c r="F2873" i="2"/>
  <c r="E2873" i="2"/>
  <c r="C2873" i="2"/>
  <c r="B2873" i="2"/>
  <c r="N2872" i="2"/>
  <c r="K2872" i="2"/>
  <c r="H2872" i="2"/>
  <c r="G2872" i="2"/>
  <c r="F2872" i="2"/>
  <c r="E2872" i="2"/>
  <c r="C2872" i="2"/>
  <c r="B2872" i="2"/>
  <c r="N2871" i="2"/>
  <c r="K2871" i="2"/>
  <c r="H2871" i="2"/>
  <c r="G2871" i="2"/>
  <c r="F2871" i="2"/>
  <c r="E2871" i="2"/>
  <c r="C2871" i="2"/>
  <c r="B2871" i="2"/>
  <c r="N2870" i="2"/>
  <c r="K2870" i="2"/>
  <c r="H2870" i="2"/>
  <c r="G2870" i="2"/>
  <c r="F2870" i="2"/>
  <c r="E2870" i="2"/>
  <c r="C2870" i="2"/>
  <c r="B2870" i="2"/>
  <c r="N2869" i="2"/>
  <c r="K2869" i="2"/>
  <c r="H2869" i="2"/>
  <c r="G2869" i="2"/>
  <c r="F2869" i="2"/>
  <c r="E2869" i="2"/>
  <c r="C2869" i="2"/>
  <c r="B2869" i="2"/>
  <c r="N2868" i="2"/>
  <c r="K2868" i="2"/>
  <c r="H2868" i="2"/>
  <c r="G2868" i="2"/>
  <c r="F2868" i="2"/>
  <c r="E2868" i="2"/>
  <c r="C2868" i="2"/>
  <c r="B2868" i="2"/>
  <c r="N2867" i="2"/>
  <c r="K2867" i="2"/>
  <c r="H2867" i="2"/>
  <c r="G2867" i="2"/>
  <c r="F2867" i="2"/>
  <c r="E2867" i="2"/>
  <c r="C2867" i="2"/>
  <c r="B2867" i="2"/>
  <c r="N2866" i="2"/>
  <c r="K2866" i="2"/>
  <c r="H2866" i="2"/>
  <c r="G2866" i="2"/>
  <c r="F2866" i="2"/>
  <c r="E2866" i="2"/>
  <c r="C2866" i="2"/>
  <c r="B2866" i="2"/>
  <c r="N2865" i="2"/>
  <c r="K2865" i="2"/>
  <c r="H2865" i="2"/>
  <c r="G2865" i="2"/>
  <c r="F2865" i="2"/>
  <c r="E2865" i="2"/>
  <c r="C2865" i="2"/>
  <c r="B2865" i="2"/>
  <c r="N2864" i="2"/>
  <c r="K2864" i="2"/>
  <c r="H2864" i="2"/>
  <c r="G2864" i="2"/>
  <c r="F2864" i="2"/>
  <c r="E2864" i="2"/>
  <c r="C2864" i="2"/>
  <c r="B2864" i="2"/>
  <c r="N2863" i="2"/>
  <c r="K2863" i="2"/>
  <c r="H2863" i="2"/>
  <c r="G2863" i="2"/>
  <c r="F2863" i="2"/>
  <c r="E2863" i="2"/>
  <c r="C2863" i="2"/>
  <c r="B2863" i="2"/>
  <c r="N2862" i="2"/>
  <c r="K2862" i="2"/>
  <c r="H2862" i="2"/>
  <c r="G2862" i="2"/>
  <c r="F2862" i="2"/>
  <c r="E2862" i="2"/>
  <c r="C2862" i="2"/>
  <c r="B2862" i="2"/>
  <c r="N2861" i="2"/>
  <c r="K2861" i="2"/>
  <c r="H2861" i="2"/>
  <c r="G2861" i="2"/>
  <c r="F2861" i="2"/>
  <c r="E2861" i="2"/>
  <c r="C2861" i="2"/>
  <c r="B2861" i="2"/>
  <c r="N2860" i="2"/>
  <c r="K2860" i="2"/>
  <c r="H2860" i="2"/>
  <c r="G2860" i="2"/>
  <c r="F2860" i="2"/>
  <c r="E2860" i="2"/>
  <c r="C2860" i="2"/>
  <c r="B2860" i="2"/>
  <c r="N2859" i="2"/>
  <c r="K2859" i="2"/>
  <c r="H2859" i="2"/>
  <c r="G2859" i="2"/>
  <c r="F2859" i="2"/>
  <c r="E2859" i="2"/>
  <c r="C2859" i="2"/>
  <c r="B2859" i="2"/>
  <c r="N2858" i="2"/>
  <c r="K2858" i="2"/>
  <c r="H2858" i="2"/>
  <c r="G2858" i="2"/>
  <c r="F2858" i="2"/>
  <c r="E2858" i="2"/>
  <c r="C2858" i="2"/>
  <c r="B2858" i="2"/>
  <c r="N2857" i="2"/>
  <c r="K2857" i="2"/>
  <c r="H2857" i="2"/>
  <c r="G2857" i="2"/>
  <c r="F2857" i="2"/>
  <c r="E2857" i="2"/>
  <c r="C2857" i="2"/>
  <c r="B2857" i="2"/>
  <c r="N2856" i="2"/>
  <c r="K2856" i="2"/>
  <c r="H2856" i="2"/>
  <c r="G2856" i="2"/>
  <c r="F2856" i="2"/>
  <c r="E2856" i="2"/>
  <c r="C2856" i="2"/>
  <c r="B2856" i="2"/>
  <c r="N2855" i="2"/>
  <c r="K2855" i="2"/>
  <c r="H2855" i="2"/>
  <c r="G2855" i="2"/>
  <c r="F2855" i="2"/>
  <c r="E2855" i="2"/>
  <c r="C2855" i="2"/>
  <c r="B2855" i="2"/>
  <c r="N2854" i="2"/>
  <c r="K2854" i="2"/>
  <c r="H2854" i="2"/>
  <c r="G2854" i="2"/>
  <c r="F2854" i="2"/>
  <c r="E2854" i="2"/>
  <c r="C2854" i="2"/>
  <c r="B2854" i="2"/>
  <c r="N2853" i="2"/>
  <c r="K2853" i="2"/>
  <c r="H2853" i="2"/>
  <c r="G2853" i="2"/>
  <c r="F2853" i="2"/>
  <c r="E2853" i="2"/>
  <c r="C2853" i="2"/>
  <c r="B2853" i="2"/>
  <c r="N2852" i="2"/>
  <c r="K2852" i="2"/>
  <c r="H2852" i="2"/>
  <c r="G2852" i="2"/>
  <c r="F2852" i="2"/>
  <c r="E2852" i="2"/>
  <c r="C2852" i="2"/>
  <c r="B2852" i="2"/>
  <c r="N2851" i="2"/>
  <c r="K2851" i="2"/>
  <c r="H2851" i="2"/>
  <c r="G2851" i="2"/>
  <c r="F2851" i="2"/>
  <c r="E2851" i="2"/>
  <c r="C2851" i="2"/>
  <c r="B2851" i="2"/>
  <c r="N2850" i="2"/>
  <c r="K2850" i="2"/>
  <c r="H2850" i="2"/>
  <c r="G2850" i="2"/>
  <c r="F2850" i="2"/>
  <c r="E2850" i="2"/>
  <c r="C2850" i="2"/>
  <c r="B2850" i="2"/>
  <c r="N2849" i="2"/>
  <c r="K2849" i="2"/>
  <c r="H2849" i="2"/>
  <c r="G2849" i="2"/>
  <c r="F2849" i="2"/>
  <c r="E2849" i="2"/>
  <c r="C2849" i="2"/>
  <c r="B2849" i="2"/>
  <c r="N2848" i="2"/>
  <c r="K2848" i="2"/>
  <c r="H2848" i="2"/>
  <c r="G2848" i="2"/>
  <c r="F2848" i="2"/>
  <c r="E2848" i="2"/>
  <c r="C2848" i="2"/>
  <c r="B2848" i="2"/>
  <c r="N2847" i="2"/>
  <c r="K2847" i="2"/>
  <c r="H2847" i="2"/>
  <c r="G2847" i="2"/>
  <c r="F2847" i="2"/>
  <c r="E2847" i="2"/>
  <c r="C2847" i="2"/>
  <c r="B2847" i="2"/>
  <c r="N2846" i="2"/>
  <c r="K2846" i="2"/>
  <c r="H2846" i="2"/>
  <c r="G2846" i="2"/>
  <c r="F2846" i="2"/>
  <c r="E2846" i="2"/>
  <c r="C2846" i="2"/>
  <c r="B2846" i="2"/>
  <c r="N2845" i="2"/>
  <c r="K2845" i="2"/>
  <c r="H2845" i="2"/>
  <c r="G2845" i="2"/>
  <c r="F2845" i="2"/>
  <c r="E2845" i="2"/>
  <c r="C2845" i="2"/>
  <c r="B2845" i="2"/>
  <c r="N2844" i="2"/>
  <c r="K2844" i="2"/>
  <c r="H2844" i="2"/>
  <c r="G2844" i="2"/>
  <c r="F2844" i="2"/>
  <c r="E2844" i="2"/>
  <c r="C2844" i="2"/>
  <c r="B2844" i="2"/>
  <c r="N2843" i="2"/>
  <c r="K2843" i="2"/>
  <c r="H2843" i="2"/>
  <c r="G2843" i="2"/>
  <c r="F2843" i="2"/>
  <c r="E2843" i="2"/>
  <c r="C2843" i="2"/>
  <c r="B2843" i="2"/>
  <c r="N2842" i="2"/>
  <c r="K2842" i="2"/>
  <c r="H2842" i="2"/>
  <c r="G2842" i="2"/>
  <c r="F2842" i="2"/>
  <c r="E2842" i="2"/>
  <c r="C2842" i="2"/>
  <c r="B2842" i="2"/>
  <c r="N2841" i="2"/>
  <c r="K2841" i="2"/>
  <c r="H2841" i="2"/>
  <c r="G2841" i="2"/>
  <c r="F2841" i="2"/>
  <c r="E2841" i="2"/>
  <c r="C2841" i="2"/>
  <c r="B2841" i="2"/>
  <c r="N2840" i="2"/>
  <c r="K2840" i="2"/>
  <c r="H2840" i="2"/>
  <c r="G2840" i="2"/>
  <c r="F2840" i="2"/>
  <c r="E2840" i="2"/>
  <c r="C2840" i="2"/>
  <c r="B2840" i="2"/>
  <c r="N2839" i="2"/>
  <c r="K2839" i="2"/>
  <c r="H2839" i="2"/>
  <c r="G2839" i="2"/>
  <c r="F2839" i="2"/>
  <c r="E2839" i="2"/>
  <c r="C2839" i="2"/>
  <c r="B2839" i="2"/>
  <c r="N2838" i="2"/>
  <c r="K2838" i="2"/>
  <c r="H2838" i="2"/>
  <c r="G2838" i="2"/>
  <c r="F2838" i="2"/>
  <c r="E2838" i="2"/>
  <c r="C2838" i="2"/>
  <c r="B2838" i="2"/>
  <c r="N2837" i="2"/>
  <c r="K2837" i="2"/>
  <c r="H2837" i="2"/>
  <c r="G2837" i="2"/>
  <c r="F2837" i="2"/>
  <c r="E2837" i="2"/>
  <c r="C2837" i="2"/>
  <c r="B2837" i="2"/>
  <c r="N2836" i="2"/>
  <c r="K2836" i="2"/>
  <c r="H2836" i="2"/>
  <c r="G2836" i="2"/>
  <c r="F2836" i="2"/>
  <c r="E2836" i="2"/>
  <c r="C2836" i="2"/>
  <c r="B2836" i="2"/>
  <c r="N2835" i="2"/>
  <c r="K2835" i="2"/>
  <c r="H2835" i="2"/>
  <c r="G2835" i="2"/>
  <c r="F2835" i="2"/>
  <c r="E2835" i="2"/>
  <c r="C2835" i="2"/>
  <c r="B2835" i="2"/>
  <c r="N2834" i="2"/>
  <c r="K2834" i="2"/>
  <c r="H2834" i="2"/>
  <c r="G2834" i="2"/>
  <c r="F2834" i="2"/>
  <c r="E2834" i="2"/>
  <c r="C2834" i="2"/>
  <c r="B2834" i="2"/>
  <c r="N2833" i="2"/>
  <c r="K2833" i="2"/>
  <c r="H2833" i="2"/>
  <c r="G2833" i="2"/>
  <c r="F2833" i="2"/>
  <c r="E2833" i="2"/>
  <c r="C2833" i="2"/>
  <c r="B2833" i="2"/>
  <c r="N2832" i="2"/>
  <c r="K2832" i="2"/>
  <c r="H2832" i="2"/>
  <c r="G2832" i="2"/>
  <c r="F2832" i="2"/>
  <c r="E2832" i="2"/>
  <c r="C2832" i="2"/>
  <c r="B2832" i="2"/>
  <c r="N2831" i="2"/>
  <c r="K2831" i="2"/>
  <c r="H2831" i="2"/>
  <c r="G2831" i="2"/>
  <c r="F2831" i="2"/>
  <c r="E2831" i="2"/>
  <c r="C2831" i="2"/>
  <c r="B2831" i="2"/>
  <c r="N2830" i="2"/>
  <c r="K2830" i="2"/>
  <c r="H2830" i="2"/>
  <c r="G2830" i="2"/>
  <c r="F2830" i="2"/>
  <c r="E2830" i="2"/>
  <c r="C2830" i="2"/>
  <c r="B2830" i="2"/>
  <c r="N2829" i="2"/>
  <c r="K2829" i="2"/>
  <c r="H2829" i="2"/>
  <c r="G2829" i="2"/>
  <c r="F2829" i="2"/>
  <c r="E2829" i="2"/>
  <c r="C2829" i="2"/>
  <c r="B2829" i="2"/>
  <c r="N2828" i="2"/>
  <c r="K2828" i="2"/>
  <c r="H2828" i="2"/>
  <c r="G2828" i="2"/>
  <c r="F2828" i="2"/>
  <c r="E2828" i="2"/>
  <c r="C2828" i="2"/>
  <c r="B2828" i="2"/>
  <c r="N2827" i="2"/>
  <c r="K2827" i="2"/>
  <c r="H2827" i="2"/>
  <c r="G2827" i="2"/>
  <c r="F2827" i="2"/>
  <c r="E2827" i="2"/>
  <c r="C2827" i="2"/>
  <c r="B2827" i="2"/>
  <c r="N2826" i="2"/>
  <c r="K2826" i="2"/>
  <c r="H2826" i="2"/>
  <c r="G2826" i="2"/>
  <c r="F2826" i="2"/>
  <c r="E2826" i="2"/>
  <c r="C2826" i="2"/>
  <c r="B2826" i="2"/>
  <c r="N2825" i="2"/>
  <c r="K2825" i="2"/>
  <c r="H2825" i="2"/>
  <c r="G2825" i="2"/>
  <c r="F2825" i="2"/>
  <c r="E2825" i="2"/>
  <c r="C2825" i="2"/>
  <c r="B2825" i="2"/>
  <c r="N2824" i="2"/>
  <c r="K2824" i="2"/>
  <c r="H2824" i="2"/>
  <c r="G2824" i="2"/>
  <c r="F2824" i="2"/>
  <c r="E2824" i="2"/>
  <c r="C2824" i="2"/>
  <c r="B2824" i="2"/>
  <c r="N2823" i="2"/>
  <c r="K2823" i="2"/>
  <c r="H2823" i="2"/>
  <c r="G2823" i="2"/>
  <c r="F2823" i="2"/>
  <c r="E2823" i="2"/>
  <c r="C2823" i="2"/>
  <c r="B2823" i="2"/>
  <c r="N2822" i="2"/>
  <c r="K2822" i="2"/>
  <c r="H2822" i="2"/>
  <c r="G2822" i="2"/>
  <c r="F2822" i="2"/>
  <c r="E2822" i="2"/>
  <c r="C2822" i="2"/>
  <c r="B2822" i="2"/>
  <c r="N2821" i="2"/>
  <c r="K2821" i="2"/>
  <c r="H2821" i="2"/>
  <c r="G2821" i="2"/>
  <c r="F2821" i="2"/>
  <c r="E2821" i="2"/>
  <c r="C2821" i="2"/>
  <c r="B2821" i="2"/>
  <c r="N2820" i="2"/>
  <c r="K2820" i="2"/>
  <c r="H2820" i="2"/>
  <c r="G2820" i="2"/>
  <c r="F2820" i="2"/>
  <c r="E2820" i="2"/>
  <c r="C2820" i="2"/>
  <c r="B2820" i="2"/>
  <c r="N2819" i="2"/>
  <c r="K2819" i="2"/>
  <c r="H2819" i="2"/>
  <c r="G2819" i="2"/>
  <c r="F2819" i="2"/>
  <c r="E2819" i="2"/>
  <c r="C2819" i="2"/>
  <c r="B2819" i="2"/>
  <c r="N2818" i="2"/>
  <c r="K2818" i="2"/>
  <c r="H2818" i="2"/>
  <c r="G2818" i="2"/>
  <c r="F2818" i="2"/>
  <c r="E2818" i="2"/>
  <c r="C2818" i="2"/>
  <c r="B2818" i="2"/>
  <c r="N2817" i="2"/>
  <c r="K2817" i="2"/>
  <c r="H2817" i="2"/>
  <c r="G2817" i="2"/>
  <c r="F2817" i="2"/>
  <c r="E2817" i="2"/>
  <c r="C2817" i="2"/>
  <c r="B2817" i="2"/>
  <c r="N2816" i="2"/>
  <c r="K2816" i="2"/>
  <c r="H2816" i="2"/>
  <c r="G2816" i="2"/>
  <c r="F2816" i="2"/>
  <c r="E2816" i="2"/>
  <c r="C2816" i="2"/>
  <c r="B2816" i="2"/>
  <c r="N2815" i="2"/>
  <c r="K2815" i="2"/>
  <c r="H2815" i="2"/>
  <c r="G2815" i="2"/>
  <c r="F2815" i="2"/>
  <c r="E2815" i="2"/>
  <c r="C2815" i="2"/>
  <c r="B2815" i="2"/>
  <c r="N2814" i="2"/>
  <c r="K2814" i="2"/>
  <c r="H2814" i="2"/>
  <c r="G2814" i="2"/>
  <c r="F2814" i="2"/>
  <c r="E2814" i="2"/>
  <c r="C2814" i="2"/>
  <c r="B2814" i="2"/>
  <c r="N2813" i="2"/>
  <c r="K2813" i="2"/>
  <c r="H2813" i="2"/>
  <c r="G2813" i="2"/>
  <c r="F2813" i="2"/>
  <c r="E2813" i="2"/>
  <c r="C2813" i="2"/>
  <c r="B2813" i="2"/>
  <c r="N2812" i="2"/>
  <c r="K2812" i="2"/>
  <c r="H2812" i="2"/>
  <c r="G2812" i="2"/>
  <c r="F2812" i="2"/>
  <c r="E2812" i="2"/>
  <c r="C2812" i="2"/>
  <c r="B2812" i="2"/>
  <c r="N2811" i="2"/>
  <c r="K2811" i="2"/>
  <c r="H2811" i="2"/>
  <c r="G2811" i="2"/>
  <c r="F2811" i="2"/>
  <c r="E2811" i="2"/>
  <c r="C2811" i="2"/>
  <c r="B2811" i="2"/>
  <c r="N2810" i="2"/>
  <c r="K2810" i="2"/>
  <c r="H2810" i="2"/>
  <c r="G2810" i="2"/>
  <c r="F2810" i="2"/>
  <c r="E2810" i="2"/>
  <c r="C2810" i="2"/>
  <c r="B2810" i="2"/>
  <c r="N2809" i="2"/>
  <c r="K2809" i="2"/>
  <c r="H2809" i="2"/>
  <c r="G2809" i="2"/>
  <c r="F2809" i="2"/>
  <c r="E2809" i="2"/>
  <c r="C2809" i="2"/>
  <c r="B2809" i="2"/>
  <c r="N2808" i="2"/>
  <c r="K2808" i="2"/>
  <c r="H2808" i="2"/>
  <c r="G2808" i="2"/>
  <c r="F2808" i="2"/>
  <c r="E2808" i="2"/>
  <c r="C2808" i="2"/>
  <c r="B2808" i="2"/>
  <c r="N2807" i="2"/>
  <c r="K2807" i="2"/>
  <c r="H2807" i="2"/>
  <c r="G2807" i="2"/>
  <c r="F2807" i="2"/>
  <c r="E2807" i="2"/>
  <c r="C2807" i="2"/>
  <c r="B2807" i="2"/>
  <c r="N2806" i="2"/>
  <c r="K2806" i="2"/>
  <c r="H2806" i="2"/>
  <c r="G2806" i="2"/>
  <c r="F2806" i="2"/>
  <c r="E2806" i="2"/>
  <c r="C2806" i="2"/>
  <c r="B2806" i="2"/>
  <c r="N2805" i="2"/>
  <c r="K2805" i="2"/>
  <c r="H2805" i="2"/>
  <c r="G2805" i="2"/>
  <c r="F2805" i="2"/>
  <c r="E2805" i="2"/>
  <c r="C2805" i="2"/>
  <c r="B2805" i="2"/>
  <c r="N2804" i="2"/>
  <c r="K2804" i="2"/>
  <c r="H2804" i="2"/>
  <c r="G2804" i="2"/>
  <c r="F2804" i="2"/>
  <c r="E2804" i="2"/>
  <c r="C2804" i="2"/>
  <c r="B2804" i="2"/>
  <c r="N2803" i="2"/>
  <c r="K2803" i="2"/>
  <c r="H2803" i="2"/>
  <c r="G2803" i="2"/>
  <c r="F2803" i="2"/>
  <c r="E2803" i="2"/>
  <c r="C2803" i="2"/>
  <c r="B2803" i="2"/>
  <c r="N2802" i="2"/>
  <c r="K2802" i="2"/>
  <c r="H2802" i="2"/>
  <c r="G2802" i="2"/>
  <c r="F2802" i="2"/>
  <c r="E2802" i="2"/>
  <c r="C2802" i="2"/>
  <c r="B2802" i="2"/>
  <c r="N2801" i="2"/>
  <c r="K2801" i="2"/>
  <c r="H2801" i="2"/>
  <c r="G2801" i="2"/>
  <c r="F2801" i="2"/>
  <c r="E2801" i="2"/>
  <c r="C2801" i="2"/>
  <c r="B2801" i="2"/>
  <c r="N2800" i="2"/>
  <c r="K2800" i="2"/>
  <c r="H2800" i="2"/>
  <c r="G2800" i="2"/>
  <c r="F2800" i="2"/>
  <c r="E2800" i="2"/>
  <c r="C2800" i="2"/>
  <c r="B2800" i="2"/>
  <c r="N2799" i="2"/>
  <c r="K2799" i="2"/>
  <c r="H2799" i="2"/>
  <c r="G2799" i="2"/>
  <c r="F2799" i="2"/>
  <c r="E2799" i="2"/>
  <c r="C2799" i="2"/>
  <c r="B2799" i="2"/>
  <c r="N2798" i="2"/>
  <c r="K2798" i="2"/>
  <c r="H2798" i="2"/>
  <c r="G2798" i="2"/>
  <c r="F2798" i="2"/>
  <c r="E2798" i="2"/>
  <c r="C2798" i="2"/>
  <c r="B2798" i="2"/>
  <c r="N2797" i="2"/>
  <c r="K2797" i="2"/>
  <c r="H2797" i="2"/>
  <c r="G2797" i="2"/>
  <c r="F2797" i="2"/>
  <c r="E2797" i="2"/>
  <c r="C2797" i="2"/>
  <c r="B2797" i="2"/>
  <c r="N2796" i="2"/>
  <c r="K2796" i="2"/>
  <c r="H2796" i="2"/>
  <c r="G2796" i="2"/>
  <c r="F2796" i="2"/>
  <c r="E2796" i="2"/>
  <c r="C2796" i="2"/>
  <c r="B2796" i="2"/>
  <c r="N2795" i="2"/>
  <c r="K2795" i="2"/>
  <c r="H2795" i="2"/>
  <c r="G2795" i="2"/>
  <c r="F2795" i="2"/>
  <c r="E2795" i="2"/>
  <c r="C2795" i="2"/>
  <c r="B2795" i="2"/>
  <c r="N2794" i="2"/>
  <c r="K2794" i="2"/>
  <c r="H2794" i="2"/>
  <c r="G2794" i="2"/>
  <c r="F2794" i="2"/>
  <c r="E2794" i="2"/>
  <c r="C2794" i="2"/>
  <c r="B2794" i="2"/>
  <c r="N2793" i="2"/>
  <c r="K2793" i="2"/>
  <c r="H2793" i="2"/>
  <c r="G2793" i="2"/>
  <c r="F2793" i="2"/>
  <c r="E2793" i="2"/>
  <c r="C2793" i="2"/>
  <c r="B2793" i="2"/>
  <c r="N2792" i="2"/>
  <c r="K2792" i="2"/>
  <c r="H2792" i="2"/>
  <c r="G2792" i="2"/>
  <c r="F2792" i="2"/>
  <c r="E2792" i="2"/>
  <c r="C2792" i="2"/>
  <c r="B2792" i="2"/>
  <c r="N2791" i="2"/>
  <c r="K2791" i="2"/>
  <c r="H2791" i="2"/>
  <c r="G2791" i="2"/>
  <c r="F2791" i="2"/>
  <c r="E2791" i="2"/>
  <c r="C2791" i="2"/>
  <c r="B2791" i="2"/>
  <c r="N2790" i="2"/>
  <c r="K2790" i="2"/>
  <c r="H2790" i="2"/>
  <c r="G2790" i="2"/>
  <c r="F2790" i="2"/>
  <c r="E2790" i="2"/>
  <c r="C2790" i="2"/>
  <c r="B2790" i="2"/>
  <c r="N2789" i="2"/>
  <c r="K2789" i="2"/>
  <c r="H2789" i="2"/>
  <c r="G2789" i="2"/>
  <c r="F2789" i="2"/>
  <c r="E2789" i="2"/>
  <c r="C2789" i="2"/>
  <c r="B2789" i="2"/>
  <c r="N2788" i="2"/>
  <c r="K2788" i="2"/>
  <c r="H2788" i="2"/>
  <c r="G2788" i="2"/>
  <c r="F2788" i="2"/>
  <c r="E2788" i="2"/>
  <c r="C2788" i="2"/>
  <c r="B2788" i="2"/>
  <c r="N2787" i="2"/>
  <c r="K2787" i="2"/>
  <c r="H2787" i="2"/>
  <c r="G2787" i="2"/>
  <c r="F2787" i="2"/>
  <c r="E2787" i="2"/>
  <c r="C2787" i="2"/>
  <c r="B2787" i="2"/>
  <c r="N2786" i="2"/>
  <c r="K2786" i="2"/>
  <c r="H2786" i="2"/>
  <c r="G2786" i="2"/>
  <c r="F2786" i="2"/>
  <c r="E2786" i="2"/>
  <c r="C2786" i="2"/>
  <c r="B2786" i="2"/>
  <c r="N2785" i="2"/>
  <c r="K2785" i="2"/>
  <c r="H2785" i="2"/>
  <c r="G2785" i="2"/>
  <c r="F2785" i="2"/>
  <c r="E2785" i="2"/>
  <c r="C2785" i="2"/>
  <c r="B2785" i="2"/>
  <c r="N2784" i="2"/>
  <c r="K2784" i="2"/>
  <c r="H2784" i="2"/>
  <c r="G2784" i="2"/>
  <c r="F2784" i="2"/>
  <c r="E2784" i="2"/>
  <c r="C2784" i="2"/>
  <c r="B2784" i="2"/>
  <c r="N2783" i="2"/>
  <c r="K2783" i="2"/>
  <c r="H2783" i="2"/>
  <c r="G2783" i="2"/>
  <c r="F2783" i="2"/>
  <c r="E2783" i="2"/>
  <c r="C2783" i="2"/>
  <c r="B2783" i="2"/>
  <c r="N2782" i="2"/>
  <c r="K2782" i="2"/>
  <c r="H2782" i="2"/>
  <c r="G2782" i="2"/>
  <c r="F2782" i="2"/>
  <c r="E2782" i="2"/>
  <c r="C2782" i="2"/>
  <c r="B2782" i="2"/>
  <c r="N2781" i="2"/>
  <c r="K2781" i="2"/>
  <c r="H2781" i="2"/>
  <c r="G2781" i="2"/>
  <c r="F2781" i="2"/>
  <c r="E2781" i="2"/>
  <c r="C2781" i="2"/>
  <c r="B2781" i="2"/>
  <c r="N2780" i="2"/>
  <c r="K2780" i="2"/>
  <c r="H2780" i="2"/>
  <c r="G2780" i="2"/>
  <c r="F2780" i="2"/>
  <c r="E2780" i="2"/>
  <c r="C2780" i="2"/>
  <c r="B2780" i="2"/>
  <c r="N2779" i="2"/>
  <c r="K2779" i="2"/>
  <c r="H2779" i="2"/>
  <c r="G2779" i="2"/>
  <c r="F2779" i="2"/>
  <c r="E2779" i="2"/>
  <c r="C2779" i="2"/>
  <c r="B2779" i="2"/>
  <c r="N2778" i="2"/>
  <c r="K2778" i="2"/>
  <c r="H2778" i="2"/>
  <c r="G2778" i="2"/>
  <c r="F2778" i="2"/>
  <c r="E2778" i="2"/>
  <c r="C2778" i="2"/>
  <c r="B2778" i="2"/>
  <c r="N2777" i="2"/>
  <c r="K2777" i="2"/>
  <c r="H2777" i="2"/>
  <c r="G2777" i="2"/>
  <c r="F2777" i="2"/>
  <c r="E2777" i="2"/>
  <c r="C2777" i="2"/>
  <c r="B2777" i="2"/>
  <c r="N2776" i="2"/>
  <c r="K2776" i="2"/>
  <c r="H2776" i="2"/>
  <c r="G2776" i="2"/>
  <c r="F2776" i="2"/>
  <c r="E2776" i="2"/>
  <c r="C2776" i="2"/>
  <c r="B2776" i="2"/>
  <c r="N2775" i="2"/>
  <c r="K2775" i="2"/>
  <c r="H2775" i="2"/>
  <c r="G2775" i="2"/>
  <c r="F2775" i="2"/>
  <c r="E2775" i="2"/>
  <c r="C2775" i="2"/>
  <c r="B2775" i="2"/>
  <c r="N2774" i="2"/>
  <c r="K2774" i="2"/>
  <c r="H2774" i="2"/>
  <c r="G2774" i="2"/>
  <c r="F2774" i="2"/>
  <c r="E2774" i="2"/>
  <c r="C2774" i="2"/>
  <c r="B2774" i="2"/>
  <c r="N2773" i="2"/>
  <c r="K2773" i="2"/>
  <c r="H2773" i="2"/>
  <c r="G2773" i="2"/>
  <c r="F2773" i="2"/>
  <c r="E2773" i="2"/>
  <c r="C2773" i="2"/>
  <c r="B2773" i="2"/>
  <c r="N2772" i="2"/>
  <c r="K2772" i="2"/>
  <c r="H2772" i="2"/>
  <c r="G2772" i="2"/>
  <c r="F2772" i="2"/>
  <c r="E2772" i="2"/>
  <c r="C2772" i="2"/>
  <c r="B2772" i="2"/>
  <c r="N2771" i="2"/>
  <c r="K2771" i="2"/>
  <c r="H2771" i="2"/>
  <c r="G2771" i="2"/>
  <c r="F2771" i="2"/>
  <c r="E2771" i="2"/>
  <c r="C2771" i="2"/>
  <c r="B2771" i="2"/>
  <c r="N2770" i="2"/>
  <c r="K2770" i="2"/>
  <c r="H2770" i="2"/>
  <c r="G2770" i="2"/>
  <c r="F2770" i="2"/>
  <c r="E2770" i="2"/>
  <c r="C2770" i="2"/>
  <c r="B2770" i="2"/>
  <c r="N2769" i="2"/>
  <c r="K2769" i="2"/>
  <c r="H2769" i="2"/>
  <c r="G2769" i="2"/>
  <c r="F2769" i="2"/>
  <c r="E2769" i="2"/>
  <c r="C2769" i="2"/>
  <c r="B2769" i="2"/>
  <c r="N2768" i="2"/>
  <c r="K2768" i="2"/>
  <c r="H2768" i="2"/>
  <c r="G2768" i="2"/>
  <c r="F2768" i="2"/>
  <c r="E2768" i="2"/>
  <c r="C2768" i="2"/>
  <c r="B2768" i="2"/>
  <c r="N2767" i="2"/>
  <c r="K2767" i="2"/>
  <c r="H2767" i="2"/>
  <c r="G2767" i="2"/>
  <c r="F2767" i="2"/>
  <c r="E2767" i="2"/>
  <c r="C2767" i="2"/>
  <c r="B2767" i="2"/>
  <c r="N2766" i="2"/>
  <c r="K2766" i="2"/>
  <c r="H2766" i="2"/>
  <c r="G2766" i="2"/>
  <c r="F2766" i="2"/>
  <c r="E2766" i="2"/>
  <c r="C2766" i="2"/>
  <c r="B2766" i="2"/>
  <c r="N2765" i="2"/>
  <c r="K2765" i="2"/>
  <c r="H2765" i="2"/>
  <c r="G2765" i="2"/>
  <c r="F2765" i="2"/>
  <c r="E2765" i="2"/>
  <c r="C2765" i="2"/>
  <c r="B2765" i="2"/>
  <c r="N2764" i="2"/>
  <c r="K2764" i="2"/>
  <c r="H2764" i="2"/>
  <c r="G2764" i="2"/>
  <c r="F2764" i="2"/>
  <c r="E2764" i="2"/>
  <c r="C2764" i="2"/>
  <c r="B2764" i="2"/>
  <c r="N2763" i="2"/>
  <c r="K2763" i="2"/>
  <c r="H2763" i="2"/>
  <c r="G2763" i="2"/>
  <c r="F2763" i="2"/>
  <c r="E2763" i="2"/>
  <c r="C2763" i="2"/>
  <c r="B2763" i="2"/>
  <c r="N2753" i="2"/>
  <c r="K2753" i="2"/>
  <c r="H2753" i="2"/>
  <c r="G2753" i="2"/>
  <c r="F2753" i="2"/>
  <c r="E2753" i="2"/>
  <c r="C2753" i="2"/>
  <c r="B2753" i="2"/>
  <c r="N2752" i="2"/>
  <c r="K2752" i="2"/>
  <c r="H2752" i="2"/>
  <c r="G2752" i="2"/>
  <c r="F2752" i="2"/>
  <c r="E2752" i="2"/>
  <c r="C2752" i="2"/>
  <c r="B2752" i="2"/>
  <c r="N2751" i="2"/>
  <c r="K2751" i="2"/>
  <c r="H2751" i="2"/>
  <c r="G2751" i="2"/>
  <c r="F2751" i="2"/>
  <c r="E2751" i="2"/>
  <c r="C2751" i="2"/>
  <c r="B2751" i="2"/>
  <c r="N2750" i="2"/>
  <c r="K2750" i="2"/>
  <c r="H2750" i="2"/>
  <c r="G2750" i="2"/>
  <c r="F2750" i="2"/>
  <c r="E2750" i="2"/>
  <c r="C2750" i="2"/>
  <c r="B2750" i="2"/>
  <c r="N2749" i="2"/>
  <c r="K2749" i="2"/>
  <c r="H2749" i="2"/>
  <c r="G2749" i="2"/>
  <c r="F2749" i="2"/>
  <c r="E2749" i="2"/>
  <c r="C2749" i="2"/>
  <c r="B2749" i="2"/>
  <c r="N2731" i="2"/>
  <c r="K2731" i="2"/>
  <c r="H2731" i="2"/>
  <c r="G2731" i="2"/>
  <c r="F2731" i="2"/>
  <c r="E2731" i="2"/>
  <c r="C2731" i="2"/>
  <c r="B2731" i="2"/>
  <c r="N2730" i="2"/>
  <c r="K2730" i="2"/>
  <c r="H2730" i="2"/>
  <c r="G2730" i="2"/>
  <c r="F2730" i="2"/>
  <c r="E2730" i="2"/>
  <c r="C2730" i="2"/>
  <c r="B2730" i="2"/>
  <c r="N2729" i="2"/>
  <c r="K2729" i="2"/>
  <c r="H2729" i="2"/>
  <c r="G2729" i="2"/>
  <c r="F2729" i="2"/>
  <c r="E2729" i="2"/>
  <c r="C2729" i="2"/>
  <c r="B2729" i="2"/>
  <c r="N2728" i="2"/>
  <c r="K2728" i="2"/>
  <c r="H2728" i="2"/>
  <c r="G2728" i="2"/>
  <c r="F2728" i="2"/>
  <c r="E2728" i="2"/>
  <c r="C2728" i="2"/>
  <c r="B2728" i="2"/>
  <c r="N2727" i="2"/>
  <c r="K2727" i="2"/>
  <c r="H2727" i="2"/>
  <c r="G2727" i="2"/>
  <c r="F2727" i="2"/>
  <c r="E2727" i="2"/>
  <c r="C2727" i="2"/>
  <c r="B2727" i="2"/>
  <c r="N2726" i="2"/>
  <c r="K2726" i="2"/>
  <c r="H2726" i="2"/>
  <c r="G2726" i="2"/>
  <c r="F2726" i="2"/>
  <c r="E2726" i="2"/>
  <c r="C2726" i="2"/>
  <c r="B2726" i="2"/>
  <c r="N2725" i="2"/>
  <c r="K2725" i="2"/>
  <c r="H2725" i="2"/>
  <c r="G2725" i="2"/>
  <c r="F2725" i="2"/>
  <c r="E2725" i="2"/>
  <c r="C2725" i="2"/>
  <c r="B2725" i="2"/>
  <c r="N2724" i="2"/>
  <c r="K2724" i="2"/>
  <c r="H2724" i="2"/>
  <c r="G2724" i="2"/>
  <c r="F2724" i="2"/>
  <c r="E2724" i="2"/>
  <c r="C2724" i="2"/>
  <c r="B2724" i="2"/>
  <c r="N2716" i="2"/>
  <c r="K2716" i="2"/>
  <c r="H2716" i="2"/>
  <c r="G2716" i="2"/>
  <c r="F2716" i="2"/>
  <c r="E2716" i="2"/>
  <c r="C2716" i="2"/>
  <c r="B2716" i="2"/>
  <c r="N2715" i="2"/>
  <c r="K2715" i="2"/>
  <c r="H2715" i="2"/>
  <c r="G2715" i="2"/>
  <c r="F2715" i="2"/>
  <c r="E2715" i="2"/>
  <c r="C2715" i="2"/>
  <c r="B2715" i="2"/>
  <c r="N2714" i="2"/>
  <c r="K2714" i="2"/>
  <c r="H2714" i="2"/>
  <c r="G2714" i="2"/>
  <c r="F2714" i="2"/>
  <c r="E2714" i="2"/>
  <c r="C2714" i="2"/>
  <c r="B2714" i="2"/>
  <c r="N2713" i="2"/>
  <c r="K2713" i="2"/>
  <c r="H2713" i="2"/>
  <c r="G2713" i="2"/>
  <c r="F2713" i="2"/>
  <c r="E2713" i="2"/>
  <c r="C2713" i="2"/>
  <c r="B2713" i="2"/>
  <c r="N2712" i="2"/>
  <c r="K2712" i="2"/>
  <c r="H2712" i="2"/>
  <c r="G2712" i="2"/>
  <c r="F2712" i="2"/>
  <c r="E2712" i="2"/>
  <c r="C2712" i="2"/>
  <c r="B2712" i="2"/>
  <c r="N2711" i="2"/>
  <c r="K2711" i="2"/>
  <c r="H2711" i="2"/>
  <c r="G2711" i="2"/>
  <c r="F2711" i="2"/>
  <c r="E2711" i="2"/>
  <c r="C2711" i="2"/>
  <c r="B2711" i="2"/>
  <c r="N2710" i="2"/>
  <c r="K2710" i="2"/>
  <c r="H2710" i="2"/>
  <c r="G2710" i="2"/>
  <c r="F2710" i="2"/>
  <c r="E2710" i="2"/>
  <c r="C2710" i="2"/>
  <c r="B2710" i="2"/>
  <c r="N2709" i="2"/>
  <c r="K2709" i="2"/>
  <c r="H2709" i="2"/>
  <c r="G2709" i="2"/>
  <c r="F2709" i="2"/>
  <c r="E2709" i="2"/>
  <c r="C2709" i="2"/>
  <c r="B2709" i="2"/>
  <c r="N2708" i="2"/>
  <c r="K2708" i="2"/>
  <c r="H2708" i="2"/>
  <c r="G2708" i="2"/>
  <c r="F2708" i="2"/>
  <c r="E2708" i="2"/>
  <c r="C2708" i="2"/>
  <c r="B2708" i="2"/>
  <c r="N2707" i="2"/>
  <c r="K2707" i="2"/>
  <c r="H2707" i="2"/>
  <c r="G2707" i="2"/>
  <c r="F2707" i="2"/>
  <c r="E2707" i="2"/>
  <c r="C2707" i="2"/>
  <c r="B2707" i="2"/>
  <c r="N2706" i="2"/>
  <c r="K2706" i="2"/>
  <c r="H2706" i="2"/>
  <c r="G2706" i="2"/>
  <c r="F2706" i="2"/>
  <c r="E2706" i="2"/>
  <c r="C2706" i="2"/>
  <c r="B2706" i="2"/>
  <c r="N2723" i="2"/>
  <c r="K2723" i="2"/>
  <c r="H2723" i="2"/>
  <c r="G2723" i="2"/>
  <c r="F2723" i="2"/>
  <c r="E2723" i="2"/>
  <c r="C2723" i="2"/>
  <c r="B2723" i="2"/>
  <c r="N2705" i="2"/>
  <c r="K2705" i="2"/>
  <c r="H2705" i="2"/>
  <c r="G2705" i="2"/>
  <c r="F2705" i="2"/>
  <c r="E2705" i="2"/>
  <c r="C2705" i="2"/>
  <c r="B2705" i="2"/>
  <c r="N2704" i="2"/>
  <c r="K2704" i="2"/>
  <c r="H2704" i="2"/>
  <c r="G2704" i="2"/>
  <c r="F2704" i="2"/>
  <c r="E2704" i="2"/>
  <c r="C2704" i="2"/>
  <c r="B2704" i="2"/>
  <c r="N2703" i="2"/>
  <c r="K2703" i="2"/>
  <c r="H2703" i="2"/>
  <c r="G2703" i="2"/>
  <c r="F2703" i="2"/>
  <c r="E2703" i="2"/>
  <c r="C2703" i="2"/>
  <c r="B2703" i="2"/>
  <c r="N2702" i="2"/>
  <c r="K2702" i="2"/>
  <c r="H2702" i="2"/>
  <c r="G2702" i="2"/>
  <c r="F2702" i="2"/>
  <c r="E2702" i="2"/>
  <c r="C2702" i="2"/>
  <c r="B2702" i="2"/>
  <c r="N2701" i="2"/>
  <c r="K2701" i="2"/>
  <c r="H2701" i="2"/>
  <c r="G2701" i="2"/>
  <c r="F2701" i="2"/>
  <c r="E2701" i="2"/>
  <c r="C2701" i="2"/>
  <c r="B2701" i="2"/>
  <c r="N2762" i="2"/>
  <c r="K2762" i="2"/>
  <c r="H2762" i="2"/>
  <c r="G2762" i="2"/>
  <c r="F2762" i="2"/>
  <c r="E2762" i="2"/>
  <c r="C2762" i="2"/>
  <c r="B2762" i="2"/>
  <c r="N2700" i="2"/>
  <c r="K2700" i="2"/>
  <c r="H2700" i="2"/>
  <c r="G2700" i="2"/>
  <c r="F2700" i="2"/>
  <c r="E2700" i="2"/>
  <c r="C2700" i="2"/>
  <c r="B2700" i="2"/>
  <c r="N2722" i="2"/>
  <c r="K2722" i="2"/>
  <c r="H2722" i="2"/>
  <c r="G2722" i="2"/>
  <c r="F2722" i="2"/>
  <c r="E2722" i="2"/>
  <c r="C2722" i="2"/>
  <c r="B2722" i="2"/>
  <c r="N2699" i="2"/>
  <c r="K2699" i="2"/>
  <c r="H2699" i="2"/>
  <c r="G2699" i="2"/>
  <c r="F2699" i="2"/>
  <c r="E2699" i="2"/>
  <c r="C2699" i="2"/>
  <c r="B2699" i="2"/>
  <c r="N2698" i="2"/>
  <c r="K2698" i="2"/>
  <c r="H2698" i="2"/>
  <c r="G2698" i="2"/>
  <c r="F2698" i="2"/>
  <c r="E2698" i="2"/>
  <c r="C2698" i="2"/>
  <c r="B2698" i="2"/>
  <c r="N2680" i="2"/>
  <c r="K2680" i="2"/>
  <c r="H2680" i="2"/>
  <c r="G2680" i="2"/>
  <c r="F2680" i="2"/>
  <c r="E2680" i="2"/>
  <c r="C2680" i="2"/>
  <c r="B2680" i="2"/>
  <c r="N2679" i="2"/>
  <c r="K2679" i="2"/>
  <c r="H2679" i="2"/>
  <c r="G2679" i="2"/>
  <c r="F2679" i="2"/>
  <c r="E2679" i="2"/>
  <c r="C2679" i="2"/>
  <c r="B2679" i="2"/>
  <c r="N2678" i="2"/>
  <c r="K2678" i="2"/>
  <c r="H2678" i="2"/>
  <c r="G2678" i="2"/>
  <c r="F2678" i="2"/>
  <c r="E2678" i="2"/>
  <c r="C2678" i="2"/>
  <c r="B2678" i="2"/>
  <c r="N2697" i="2"/>
  <c r="K2697" i="2"/>
  <c r="H2697" i="2"/>
  <c r="G2697" i="2"/>
  <c r="F2697" i="2"/>
  <c r="E2697" i="2"/>
  <c r="C2697" i="2"/>
  <c r="B2697" i="2"/>
  <c r="N2613" i="2"/>
  <c r="K2613" i="2"/>
  <c r="H2613" i="2"/>
  <c r="G2613" i="2"/>
  <c r="F2613" i="2"/>
  <c r="E2613" i="2"/>
  <c r="C2613" i="2"/>
  <c r="B2613" i="2"/>
  <c r="N2677" i="2"/>
  <c r="K2677" i="2"/>
  <c r="H2677" i="2"/>
  <c r="G2677" i="2"/>
  <c r="F2677" i="2"/>
  <c r="E2677" i="2"/>
  <c r="C2677" i="2"/>
  <c r="B2677" i="2"/>
  <c r="N2676" i="2"/>
  <c r="K2676" i="2"/>
  <c r="H2676" i="2"/>
  <c r="G2676" i="2"/>
  <c r="F2676" i="2"/>
  <c r="E2676" i="2"/>
  <c r="C2676" i="2"/>
  <c r="B2676" i="2"/>
  <c r="N2675" i="2"/>
  <c r="K2675" i="2"/>
  <c r="H2675" i="2"/>
  <c r="G2675" i="2"/>
  <c r="F2675" i="2"/>
  <c r="E2675" i="2"/>
  <c r="C2675" i="2"/>
  <c r="B2675" i="2"/>
  <c r="N2674" i="2"/>
  <c r="K2674" i="2"/>
  <c r="H2674" i="2"/>
  <c r="G2674" i="2"/>
  <c r="F2674" i="2"/>
  <c r="E2674" i="2"/>
  <c r="C2674" i="2"/>
  <c r="B2674" i="2"/>
  <c r="N2673" i="2"/>
  <c r="K2673" i="2"/>
  <c r="H2673" i="2"/>
  <c r="G2673" i="2"/>
  <c r="F2673" i="2"/>
  <c r="E2673" i="2"/>
  <c r="C2673" i="2"/>
  <c r="B2673" i="2"/>
  <c r="N2672" i="2"/>
  <c r="K2672" i="2"/>
  <c r="H2672" i="2"/>
  <c r="G2672" i="2"/>
  <c r="F2672" i="2"/>
  <c r="E2672" i="2"/>
  <c r="C2672" i="2"/>
  <c r="B2672" i="2"/>
  <c r="N2671" i="2"/>
  <c r="K2671" i="2"/>
  <c r="H2671" i="2"/>
  <c r="G2671" i="2"/>
  <c r="F2671" i="2"/>
  <c r="E2671" i="2"/>
  <c r="C2671" i="2"/>
  <c r="B2671" i="2"/>
  <c r="N2670" i="2"/>
  <c r="K2670" i="2"/>
  <c r="H2670" i="2"/>
  <c r="G2670" i="2"/>
  <c r="F2670" i="2"/>
  <c r="E2670" i="2"/>
  <c r="C2670" i="2"/>
  <c r="B2670" i="2"/>
  <c r="N2669" i="2"/>
  <c r="K2669" i="2"/>
  <c r="H2669" i="2"/>
  <c r="G2669" i="2"/>
  <c r="F2669" i="2"/>
  <c r="E2669" i="2"/>
  <c r="C2669" i="2"/>
  <c r="B2669" i="2"/>
  <c r="N2668" i="2"/>
  <c r="K2668" i="2"/>
  <c r="H2668" i="2"/>
  <c r="G2668" i="2"/>
  <c r="F2668" i="2"/>
  <c r="E2668" i="2"/>
  <c r="C2668" i="2"/>
  <c r="B2668" i="2"/>
  <c r="N2696" i="2"/>
  <c r="K2696" i="2"/>
  <c r="H2696" i="2"/>
  <c r="G2696" i="2"/>
  <c r="F2696" i="2"/>
  <c r="E2696" i="2"/>
  <c r="C2696" i="2"/>
  <c r="B2696" i="2"/>
  <c r="N2667" i="2"/>
  <c r="K2667" i="2"/>
  <c r="H2667" i="2"/>
  <c r="G2667" i="2"/>
  <c r="F2667" i="2"/>
  <c r="E2667" i="2"/>
  <c r="C2667" i="2"/>
  <c r="B2667" i="2"/>
  <c r="N2666" i="2"/>
  <c r="K2666" i="2"/>
  <c r="H2666" i="2"/>
  <c r="G2666" i="2"/>
  <c r="F2666" i="2"/>
  <c r="E2666" i="2"/>
  <c r="C2666" i="2"/>
  <c r="B2666" i="2"/>
  <c r="N2665" i="2"/>
  <c r="K2665" i="2"/>
  <c r="H2665" i="2"/>
  <c r="G2665" i="2"/>
  <c r="F2665" i="2"/>
  <c r="E2665" i="2"/>
  <c r="C2665" i="2"/>
  <c r="B2665" i="2"/>
  <c r="N2664" i="2"/>
  <c r="K2664" i="2"/>
  <c r="H2664" i="2"/>
  <c r="G2664" i="2"/>
  <c r="F2664" i="2"/>
  <c r="E2664" i="2"/>
  <c r="C2664" i="2"/>
  <c r="B2664" i="2"/>
  <c r="N2663" i="2"/>
  <c r="K2663" i="2"/>
  <c r="H2663" i="2"/>
  <c r="G2663" i="2"/>
  <c r="F2663" i="2"/>
  <c r="E2663" i="2"/>
  <c r="C2663" i="2"/>
  <c r="B2663" i="2"/>
  <c r="N2695" i="2"/>
  <c r="K2695" i="2"/>
  <c r="H2695" i="2"/>
  <c r="G2695" i="2"/>
  <c r="F2695" i="2"/>
  <c r="E2695" i="2"/>
  <c r="C2695" i="2"/>
  <c r="B2695" i="2"/>
  <c r="N2694" i="2"/>
  <c r="K2694" i="2"/>
  <c r="H2694" i="2"/>
  <c r="G2694" i="2"/>
  <c r="F2694" i="2"/>
  <c r="E2694" i="2"/>
  <c r="C2694" i="2"/>
  <c r="B2694" i="2"/>
  <c r="N2662" i="2"/>
  <c r="K2662" i="2"/>
  <c r="H2662" i="2"/>
  <c r="G2662" i="2"/>
  <c r="F2662" i="2"/>
  <c r="E2662" i="2"/>
  <c r="C2662" i="2"/>
  <c r="B2662" i="2"/>
  <c r="N2661" i="2"/>
  <c r="K2661" i="2"/>
  <c r="H2661" i="2"/>
  <c r="G2661" i="2"/>
  <c r="F2661" i="2"/>
  <c r="E2661" i="2"/>
  <c r="C2661" i="2"/>
  <c r="B2661" i="2"/>
  <c r="N2660" i="2"/>
  <c r="K2660" i="2"/>
  <c r="H2660" i="2"/>
  <c r="G2660" i="2"/>
  <c r="F2660" i="2"/>
  <c r="E2660" i="2"/>
  <c r="C2660" i="2"/>
  <c r="B2660" i="2"/>
  <c r="N2659" i="2"/>
  <c r="K2659" i="2"/>
  <c r="H2659" i="2"/>
  <c r="G2659" i="2"/>
  <c r="F2659" i="2"/>
  <c r="E2659" i="2"/>
  <c r="C2659" i="2"/>
  <c r="B2659" i="2"/>
  <c r="N2717" i="2"/>
  <c r="K2717" i="2"/>
  <c r="H2717" i="2"/>
  <c r="G2717" i="2"/>
  <c r="F2717" i="2"/>
  <c r="E2717" i="2"/>
  <c r="C2717" i="2"/>
  <c r="B2717" i="2"/>
  <c r="N2761" i="2"/>
  <c r="K2761" i="2"/>
  <c r="H2761" i="2"/>
  <c r="G2761" i="2"/>
  <c r="F2761" i="2"/>
  <c r="E2761" i="2"/>
  <c r="C2761" i="2"/>
  <c r="B2761" i="2"/>
  <c r="N2748" i="2"/>
  <c r="K2748" i="2"/>
  <c r="H2748" i="2"/>
  <c r="G2748" i="2"/>
  <c r="F2748" i="2"/>
  <c r="E2748" i="2"/>
  <c r="C2748" i="2"/>
  <c r="B2748" i="2"/>
  <c r="N2747" i="2"/>
  <c r="K2747" i="2"/>
  <c r="H2747" i="2"/>
  <c r="G2747" i="2"/>
  <c r="F2747" i="2"/>
  <c r="E2747" i="2"/>
  <c r="C2747" i="2"/>
  <c r="B2747" i="2"/>
  <c r="N2746" i="2"/>
  <c r="K2746" i="2"/>
  <c r="H2746" i="2"/>
  <c r="G2746" i="2"/>
  <c r="F2746" i="2"/>
  <c r="E2746" i="2"/>
  <c r="C2746" i="2"/>
  <c r="B2746" i="2"/>
  <c r="N2745" i="2"/>
  <c r="K2745" i="2"/>
  <c r="H2745" i="2"/>
  <c r="G2745" i="2"/>
  <c r="F2745" i="2"/>
  <c r="E2745" i="2"/>
  <c r="C2745" i="2"/>
  <c r="B2745" i="2"/>
  <c r="N2744" i="2"/>
  <c r="K2744" i="2"/>
  <c r="H2744" i="2"/>
  <c r="G2744" i="2"/>
  <c r="F2744" i="2"/>
  <c r="E2744" i="2"/>
  <c r="C2744" i="2"/>
  <c r="B2744" i="2"/>
  <c r="N2743" i="2"/>
  <c r="K2743" i="2"/>
  <c r="H2743" i="2"/>
  <c r="G2743" i="2"/>
  <c r="F2743" i="2"/>
  <c r="E2743" i="2"/>
  <c r="C2743" i="2"/>
  <c r="B2743" i="2"/>
  <c r="N2742" i="2"/>
  <c r="K2742" i="2"/>
  <c r="H2742" i="2"/>
  <c r="G2742" i="2"/>
  <c r="F2742" i="2"/>
  <c r="E2742" i="2"/>
  <c r="C2742" i="2"/>
  <c r="B2742" i="2"/>
  <c r="N2741" i="2"/>
  <c r="K2741" i="2"/>
  <c r="H2741" i="2"/>
  <c r="G2741" i="2"/>
  <c r="F2741" i="2"/>
  <c r="E2741" i="2"/>
  <c r="C2741" i="2"/>
  <c r="B2741" i="2"/>
  <c r="N2740" i="2"/>
  <c r="K2740" i="2"/>
  <c r="H2740" i="2"/>
  <c r="G2740" i="2"/>
  <c r="F2740" i="2"/>
  <c r="E2740" i="2"/>
  <c r="C2740" i="2"/>
  <c r="B2740" i="2"/>
  <c r="N2739" i="2"/>
  <c r="K2739" i="2"/>
  <c r="H2739" i="2"/>
  <c r="G2739" i="2"/>
  <c r="F2739" i="2"/>
  <c r="E2739" i="2"/>
  <c r="C2739" i="2"/>
  <c r="B2739" i="2"/>
  <c r="N2738" i="2"/>
  <c r="K2738" i="2"/>
  <c r="H2738" i="2"/>
  <c r="G2738" i="2"/>
  <c r="F2738" i="2"/>
  <c r="E2738" i="2"/>
  <c r="C2738" i="2"/>
  <c r="B2738" i="2"/>
  <c r="N2737" i="2"/>
  <c r="K2737" i="2"/>
  <c r="H2737" i="2"/>
  <c r="G2737" i="2"/>
  <c r="F2737" i="2"/>
  <c r="E2737" i="2"/>
  <c r="C2737" i="2"/>
  <c r="B2737" i="2"/>
  <c r="N2758" i="2"/>
  <c r="K2758" i="2"/>
  <c r="H2758" i="2"/>
  <c r="G2758" i="2"/>
  <c r="F2758" i="2"/>
  <c r="E2758" i="2"/>
  <c r="C2758" i="2"/>
  <c r="B2758" i="2"/>
  <c r="N2757" i="2"/>
  <c r="K2757" i="2"/>
  <c r="H2757" i="2"/>
  <c r="G2757" i="2"/>
  <c r="F2757" i="2"/>
  <c r="E2757" i="2"/>
  <c r="C2757" i="2"/>
  <c r="B2757" i="2"/>
  <c r="N2756" i="2"/>
  <c r="K2756" i="2"/>
  <c r="H2756" i="2"/>
  <c r="G2756" i="2"/>
  <c r="F2756" i="2"/>
  <c r="E2756" i="2"/>
  <c r="C2756" i="2"/>
  <c r="B2756" i="2"/>
  <c r="N2755" i="2"/>
  <c r="K2755" i="2"/>
  <c r="H2755" i="2"/>
  <c r="G2755" i="2"/>
  <c r="F2755" i="2"/>
  <c r="E2755" i="2"/>
  <c r="C2755" i="2"/>
  <c r="B2755" i="2"/>
  <c r="N2760" i="2"/>
  <c r="K2760" i="2"/>
  <c r="H2760" i="2"/>
  <c r="G2760" i="2"/>
  <c r="F2760" i="2"/>
  <c r="E2760" i="2"/>
  <c r="C2760" i="2"/>
  <c r="B2760" i="2"/>
  <c r="N2736" i="2"/>
  <c r="K2736" i="2"/>
  <c r="H2736" i="2"/>
  <c r="G2736" i="2"/>
  <c r="F2736" i="2"/>
  <c r="E2736" i="2"/>
  <c r="C2736" i="2"/>
  <c r="B2736" i="2"/>
  <c r="N2754" i="2"/>
  <c r="K2754" i="2"/>
  <c r="H2754" i="2"/>
  <c r="G2754" i="2"/>
  <c r="F2754" i="2"/>
  <c r="E2754" i="2"/>
  <c r="C2754" i="2"/>
  <c r="B2754" i="2"/>
  <c r="N2735" i="2"/>
  <c r="K2735" i="2"/>
  <c r="H2735" i="2"/>
  <c r="G2735" i="2"/>
  <c r="F2735" i="2"/>
  <c r="E2735" i="2"/>
  <c r="C2735" i="2"/>
  <c r="B2735" i="2"/>
  <c r="N2734" i="2"/>
  <c r="K2734" i="2"/>
  <c r="H2734" i="2"/>
  <c r="G2734" i="2"/>
  <c r="F2734" i="2"/>
  <c r="E2734" i="2"/>
  <c r="C2734" i="2"/>
  <c r="B2734" i="2"/>
  <c r="N2733" i="2"/>
  <c r="K2733" i="2"/>
  <c r="H2733" i="2"/>
  <c r="G2733" i="2"/>
  <c r="F2733" i="2"/>
  <c r="E2733" i="2"/>
  <c r="C2733" i="2"/>
  <c r="B2733" i="2"/>
  <c r="N2732" i="2"/>
  <c r="K2732" i="2"/>
  <c r="H2732" i="2"/>
  <c r="G2732" i="2"/>
  <c r="F2732" i="2"/>
  <c r="E2732" i="2"/>
  <c r="C2732" i="2"/>
  <c r="B2732" i="2"/>
  <c r="N2759" i="2"/>
  <c r="K2759" i="2"/>
  <c r="H2759" i="2"/>
  <c r="G2759" i="2"/>
  <c r="F2759" i="2"/>
  <c r="E2759" i="2"/>
  <c r="C2759" i="2"/>
  <c r="B2759" i="2"/>
  <c r="N2658" i="2"/>
  <c r="K2658" i="2"/>
  <c r="H2658" i="2"/>
  <c r="G2658" i="2"/>
  <c r="F2658" i="2"/>
  <c r="E2658" i="2"/>
  <c r="C2658" i="2"/>
  <c r="B2658" i="2"/>
  <c r="N2720" i="2"/>
  <c r="K2720" i="2"/>
  <c r="H2720" i="2"/>
  <c r="G2720" i="2"/>
  <c r="F2720" i="2"/>
  <c r="E2720" i="2"/>
  <c r="C2720" i="2"/>
  <c r="B2720" i="2"/>
  <c r="N2693" i="2"/>
  <c r="K2693" i="2"/>
  <c r="H2693" i="2"/>
  <c r="G2693" i="2"/>
  <c r="F2693" i="2"/>
  <c r="E2693" i="2"/>
  <c r="C2693" i="2"/>
  <c r="B2693" i="2"/>
  <c r="N2692" i="2"/>
  <c r="K2692" i="2"/>
  <c r="H2692" i="2"/>
  <c r="G2692" i="2"/>
  <c r="F2692" i="2"/>
  <c r="E2692" i="2"/>
  <c r="C2692" i="2"/>
  <c r="B2692" i="2"/>
  <c r="N2691" i="2"/>
  <c r="K2691" i="2"/>
  <c r="H2691" i="2"/>
  <c r="G2691" i="2"/>
  <c r="F2691" i="2"/>
  <c r="E2691" i="2"/>
  <c r="C2691" i="2"/>
  <c r="B2691" i="2"/>
  <c r="N2690" i="2"/>
  <c r="K2690" i="2"/>
  <c r="H2690" i="2"/>
  <c r="G2690" i="2"/>
  <c r="F2690" i="2"/>
  <c r="E2690" i="2"/>
  <c r="C2690" i="2"/>
  <c r="B2690" i="2"/>
  <c r="N2689" i="2"/>
  <c r="K2689" i="2"/>
  <c r="H2689" i="2"/>
  <c r="G2689" i="2"/>
  <c r="F2689" i="2"/>
  <c r="E2689" i="2"/>
  <c r="C2689" i="2"/>
  <c r="B2689" i="2"/>
  <c r="N2688" i="2"/>
  <c r="K2688" i="2"/>
  <c r="H2688" i="2"/>
  <c r="G2688" i="2"/>
  <c r="F2688" i="2"/>
  <c r="E2688" i="2"/>
  <c r="C2688" i="2"/>
  <c r="B2688" i="2"/>
  <c r="N2687" i="2"/>
  <c r="K2687" i="2"/>
  <c r="H2687" i="2"/>
  <c r="G2687" i="2"/>
  <c r="F2687" i="2"/>
  <c r="E2687" i="2"/>
  <c r="C2687" i="2"/>
  <c r="B2687" i="2"/>
  <c r="N2686" i="2"/>
  <c r="K2686" i="2"/>
  <c r="H2686" i="2"/>
  <c r="G2686" i="2"/>
  <c r="F2686" i="2"/>
  <c r="E2686" i="2"/>
  <c r="C2686" i="2"/>
  <c r="B2686" i="2"/>
  <c r="N2685" i="2"/>
  <c r="K2685" i="2"/>
  <c r="H2685" i="2"/>
  <c r="G2685" i="2"/>
  <c r="F2685" i="2"/>
  <c r="E2685" i="2"/>
  <c r="C2685" i="2"/>
  <c r="B2685" i="2"/>
  <c r="N2684" i="2"/>
  <c r="K2684" i="2"/>
  <c r="H2684" i="2"/>
  <c r="G2684" i="2"/>
  <c r="F2684" i="2"/>
  <c r="E2684" i="2"/>
  <c r="C2684" i="2"/>
  <c r="B2684" i="2"/>
  <c r="N2719" i="2"/>
  <c r="K2719" i="2"/>
  <c r="H2719" i="2"/>
  <c r="G2719" i="2"/>
  <c r="F2719" i="2"/>
  <c r="E2719" i="2"/>
  <c r="C2719" i="2"/>
  <c r="B2719" i="2"/>
  <c r="N2718" i="2"/>
  <c r="K2718" i="2"/>
  <c r="H2718" i="2"/>
  <c r="G2718" i="2"/>
  <c r="F2718" i="2"/>
  <c r="E2718" i="2"/>
  <c r="C2718" i="2"/>
  <c r="B2718" i="2"/>
  <c r="N2683" i="2"/>
  <c r="K2683" i="2"/>
  <c r="H2683" i="2"/>
  <c r="G2683" i="2"/>
  <c r="F2683" i="2"/>
  <c r="E2683" i="2"/>
  <c r="C2683" i="2"/>
  <c r="B2683" i="2"/>
  <c r="N2721" i="2"/>
  <c r="K2721" i="2"/>
  <c r="H2721" i="2"/>
  <c r="G2721" i="2"/>
  <c r="F2721" i="2"/>
  <c r="E2721" i="2"/>
  <c r="C2721" i="2"/>
  <c r="B2721" i="2"/>
  <c r="N2657" i="2"/>
  <c r="K2657" i="2"/>
  <c r="H2657" i="2"/>
  <c r="G2657" i="2"/>
  <c r="F2657" i="2"/>
  <c r="E2657" i="2"/>
  <c r="C2657" i="2"/>
  <c r="B2657" i="2"/>
  <c r="N2656" i="2"/>
  <c r="K2656" i="2"/>
  <c r="H2656" i="2"/>
  <c r="G2656" i="2"/>
  <c r="F2656" i="2"/>
  <c r="E2656" i="2"/>
  <c r="C2656" i="2"/>
  <c r="B2656" i="2"/>
  <c r="N2655" i="2"/>
  <c r="K2655" i="2"/>
  <c r="H2655" i="2"/>
  <c r="G2655" i="2"/>
  <c r="F2655" i="2"/>
  <c r="E2655" i="2"/>
  <c r="C2655" i="2"/>
  <c r="B2655" i="2"/>
  <c r="N2654" i="2"/>
  <c r="K2654" i="2"/>
  <c r="H2654" i="2"/>
  <c r="G2654" i="2"/>
  <c r="F2654" i="2"/>
  <c r="E2654" i="2"/>
  <c r="C2654" i="2"/>
  <c r="B2654" i="2"/>
  <c r="N2681" i="2"/>
  <c r="K2681" i="2"/>
  <c r="H2681" i="2"/>
  <c r="G2681" i="2"/>
  <c r="F2681" i="2"/>
  <c r="E2681" i="2"/>
  <c r="C2681" i="2"/>
  <c r="B2681" i="2"/>
  <c r="N2653" i="2"/>
  <c r="K2653" i="2"/>
  <c r="H2653" i="2"/>
  <c r="G2653" i="2"/>
  <c r="F2653" i="2"/>
  <c r="E2653" i="2"/>
  <c r="C2653" i="2"/>
  <c r="B2653" i="2"/>
  <c r="N2652" i="2"/>
  <c r="K2652" i="2"/>
  <c r="H2652" i="2"/>
  <c r="G2652" i="2"/>
  <c r="F2652" i="2"/>
  <c r="E2652" i="2"/>
  <c r="C2652" i="2"/>
  <c r="B2652" i="2"/>
  <c r="N2682" i="2"/>
  <c r="K2682" i="2"/>
  <c r="H2682" i="2"/>
  <c r="G2682" i="2"/>
  <c r="F2682" i="2"/>
  <c r="E2682" i="2"/>
  <c r="C2682" i="2"/>
  <c r="B2682" i="2"/>
  <c r="N2651" i="2"/>
  <c r="K2651" i="2"/>
  <c r="H2651" i="2"/>
  <c r="G2651" i="2"/>
  <c r="F2651" i="2"/>
  <c r="E2651" i="2"/>
  <c r="C2651" i="2"/>
  <c r="B2651" i="2"/>
  <c r="N2650" i="2"/>
  <c r="K2650" i="2"/>
  <c r="H2650" i="2"/>
  <c r="G2650" i="2"/>
  <c r="F2650" i="2"/>
  <c r="E2650" i="2"/>
  <c r="C2650" i="2"/>
  <c r="B2650" i="2"/>
  <c r="N2649" i="2"/>
  <c r="K2649" i="2"/>
  <c r="H2649" i="2"/>
  <c r="G2649" i="2"/>
  <c r="F2649" i="2"/>
  <c r="E2649" i="2"/>
  <c r="C2649" i="2"/>
  <c r="B2649" i="2"/>
  <c r="N2648" i="2"/>
  <c r="K2648" i="2"/>
  <c r="H2648" i="2"/>
  <c r="G2648" i="2"/>
  <c r="F2648" i="2"/>
  <c r="E2648" i="2"/>
  <c r="C2648" i="2"/>
  <c r="B2648" i="2"/>
  <c r="N2647" i="2"/>
  <c r="K2647" i="2"/>
  <c r="H2647" i="2"/>
  <c r="G2647" i="2"/>
  <c r="F2647" i="2"/>
  <c r="E2647" i="2"/>
  <c r="C2647" i="2"/>
  <c r="B2647" i="2"/>
  <c r="N2646" i="2"/>
  <c r="K2646" i="2"/>
  <c r="H2646" i="2"/>
  <c r="G2646" i="2"/>
  <c r="F2646" i="2"/>
  <c r="E2646" i="2"/>
  <c r="C2646" i="2"/>
  <c r="B2646" i="2"/>
  <c r="N2644" i="2"/>
  <c r="K2644" i="2"/>
  <c r="H2644" i="2"/>
  <c r="G2644" i="2"/>
  <c r="F2644" i="2"/>
  <c r="E2644" i="2"/>
  <c r="C2644" i="2"/>
  <c r="B2644" i="2"/>
  <c r="N2643" i="2"/>
  <c r="K2643" i="2"/>
  <c r="H2643" i="2"/>
  <c r="G2643" i="2"/>
  <c r="F2643" i="2"/>
  <c r="E2643" i="2"/>
  <c r="C2643" i="2"/>
  <c r="B2643" i="2"/>
  <c r="N2642" i="2"/>
  <c r="K2642" i="2"/>
  <c r="H2642" i="2"/>
  <c r="G2642" i="2"/>
  <c r="F2642" i="2"/>
  <c r="E2642" i="2"/>
  <c r="C2642" i="2"/>
  <c r="B2642" i="2"/>
  <c r="N2641" i="2"/>
  <c r="K2641" i="2"/>
  <c r="H2641" i="2"/>
  <c r="G2641" i="2"/>
  <c r="F2641" i="2"/>
  <c r="E2641" i="2"/>
  <c r="C2641" i="2"/>
  <c r="B2641" i="2"/>
  <c r="N2640" i="2"/>
  <c r="K2640" i="2"/>
  <c r="H2640" i="2"/>
  <c r="G2640" i="2"/>
  <c r="F2640" i="2"/>
  <c r="E2640" i="2"/>
  <c r="C2640" i="2"/>
  <c r="B2640" i="2"/>
  <c r="N2639" i="2"/>
  <c r="K2639" i="2"/>
  <c r="H2639" i="2"/>
  <c r="G2639" i="2"/>
  <c r="F2639" i="2"/>
  <c r="E2639" i="2"/>
  <c r="C2639" i="2"/>
  <c r="B2639" i="2"/>
  <c r="N2638" i="2"/>
  <c r="K2638" i="2"/>
  <c r="H2638" i="2"/>
  <c r="G2638" i="2"/>
  <c r="F2638" i="2"/>
  <c r="E2638" i="2"/>
  <c r="C2638" i="2"/>
  <c r="B2638" i="2"/>
  <c r="N2637" i="2"/>
  <c r="K2637" i="2"/>
  <c r="H2637" i="2"/>
  <c r="G2637" i="2"/>
  <c r="F2637" i="2"/>
  <c r="E2637" i="2"/>
  <c r="C2637" i="2"/>
  <c r="B2637" i="2"/>
  <c r="N2636" i="2"/>
  <c r="K2636" i="2"/>
  <c r="H2636" i="2"/>
  <c r="G2636" i="2"/>
  <c r="F2636" i="2"/>
  <c r="E2636" i="2"/>
  <c r="C2636" i="2"/>
  <c r="B2636" i="2"/>
  <c r="N2635" i="2"/>
  <c r="K2635" i="2"/>
  <c r="H2635" i="2"/>
  <c r="G2635" i="2"/>
  <c r="F2635" i="2"/>
  <c r="E2635" i="2"/>
  <c r="C2635" i="2"/>
  <c r="B2635" i="2"/>
  <c r="N2634" i="2"/>
  <c r="K2634" i="2"/>
  <c r="H2634" i="2"/>
  <c r="G2634" i="2"/>
  <c r="F2634" i="2"/>
  <c r="E2634" i="2"/>
  <c r="C2634" i="2"/>
  <c r="B2634" i="2"/>
  <c r="N2633" i="2"/>
  <c r="K2633" i="2"/>
  <c r="H2633" i="2"/>
  <c r="G2633" i="2"/>
  <c r="F2633" i="2"/>
  <c r="E2633" i="2"/>
  <c r="C2633" i="2"/>
  <c r="B2633" i="2"/>
  <c r="N2632" i="2"/>
  <c r="K2632" i="2"/>
  <c r="H2632" i="2"/>
  <c r="G2632" i="2"/>
  <c r="F2632" i="2"/>
  <c r="E2632" i="2"/>
  <c r="C2632" i="2"/>
  <c r="B2632" i="2"/>
  <c r="N2631" i="2"/>
  <c r="K2631" i="2"/>
  <c r="H2631" i="2"/>
  <c r="G2631" i="2"/>
  <c r="F2631" i="2"/>
  <c r="E2631" i="2"/>
  <c r="C2631" i="2"/>
  <c r="B2631" i="2"/>
  <c r="N2630" i="2"/>
  <c r="K2630" i="2"/>
  <c r="H2630" i="2"/>
  <c r="G2630" i="2"/>
  <c r="F2630" i="2"/>
  <c r="E2630" i="2"/>
  <c r="C2630" i="2"/>
  <c r="B2630" i="2"/>
  <c r="N2629" i="2"/>
  <c r="K2629" i="2"/>
  <c r="H2629" i="2"/>
  <c r="G2629" i="2"/>
  <c r="F2629" i="2"/>
  <c r="E2629" i="2"/>
  <c r="C2629" i="2"/>
  <c r="B2629" i="2"/>
  <c r="N2628" i="2"/>
  <c r="K2628" i="2"/>
  <c r="H2628" i="2"/>
  <c r="G2628" i="2"/>
  <c r="F2628" i="2"/>
  <c r="E2628" i="2"/>
  <c r="C2628" i="2"/>
  <c r="B2628" i="2"/>
  <c r="N2627" i="2"/>
  <c r="K2627" i="2"/>
  <c r="H2627" i="2"/>
  <c r="G2627" i="2"/>
  <c r="F2627" i="2"/>
  <c r="E2627" i="2"/>
  <c r="C2627" i="2"/>
  <c r="B2627" i="2"/>
  <c r="N2626" i="2"/>
  <c r="K2626" i="2"/>
  <c r="H2626" i="2"/>
  <c r="G2626" i="2"/>
  <c r="F2626" i="2"/>
  <c r="E2626" i="2"/>
  <c r="C2626" i="2"/>
  <c r="B2626" i="2"/>
  <c r="N2625" i="2"/>
  <c r="K2625" i="2"/>
  <c r="H2625" i="2"/>
  <c r="G2625" i="2"/>
  <c r="F2625" i="2"/>
  <c r="E2625" i="2"/>
  <c r="C2625" i="2"/>
  <c r="B2625" i="2"/>
  <c r="N2624" i="2"/>
  <c r="K2624" i="2"/>
  <c r="H2624" i="2"/>
  <c r="G2624" i="2"/>
  <c r="F2624" i="2"/>
  <c r="E2624" i="2"/>
  <c r="C2624" i="2"/>
  <c r="B2624" i="2"/>
  <c r="N2623" i="2"/>
  <c r="K2623" i="2"/>
  <c r="H2623" i="2"/>
  <c r="G2623" i="2"/>
  <c r="F2623" i="2"/>
  <c r="E2623" i="2"/>
  <c r="C2623" i="2"/>
  <c r="B2623" i="2"/>
  <c r="N2622" i="2"/>
  <c r="K2622" i="2"/>
  <c r="H2622" i="2"/>
  <c r="G2622" i="2"/>
  <c r="F2622" i="2"/>
  <c r="E2622" i="2"/>
  <c r="C2622" i="2"/>
  <c r="B2622" i="2"/>
  <c r="N2621" i="2"/>
  <c r="K2621" i="2"/>
  <c r="H2621" i="2"/>
  <c r="G2621" i="2"/>
  <c r="F2621" i="2"/>
  <c r="E2621" i="2"/>
  <c r="C2621" i="2"/>
  <c r="B2621" i="2"/>
  <c r="N2620" i="2"/>
  <c r="K2620" i="2"/>
  <c r="H2620" i="2"/>
  <c r="G2620" i="2"/>
  <c r="F2620" i="2"/>
  <c r="E2620" i="2"/>
  <c r="C2620" i="2"/>
  <c r="B2620" i="2"/>
  <c r="N2619" i="2"/>
  <c r="K2619" i="2"/>
  <c r="H2619" i="2"/>
  <c r="G2619" i="2"/>
  <c r="F2619" i="2"/>
  <c r="E2619" i="2"/>
  <c r="C2619" i="2"/>
  <c r="B2619" i="2"/>
  <c r="N2618" i="2"/>
  <c r="K2618" i="2"/>
  <c r="H2618" i="2"/>
  <c r="G2618" i="2"/>
  <c r="F2618" i="2"/>
  <c r="E2618" i="2"/>
  <c r="C2618" i="2"/>
  <c r="B2618" i="2"/>
  <c r="N2617" i="2"/>
  <c r="K2617" i="2"/>
  <c r="H2617" i="2"/>
  <c r="G2617" i="2"/>
  <c r="F2617" i="2"/>
  <c r="E2617" i="2"/>
  <c r="C2617" i="2"/>
  <c r="B2617" i="2"/>
  <c r="N2616" i="2"/>
  <c r="K2616" i="2"/>
  <c r="H2616" i="2"/>
  <c r="G2616" i="2"/>
  <c r="F2616" i="2"/>
  <c r="E2616" i="2"/>
  <c r="C2616" i="2"/>
  <c r="B2616" i="2"/>
  <c r="N2615" i="2"/>
  <c r="K2615" i="2"/>
  <c r="H2615" i="2"/>
  <c r="G2615" i="2"/>
  <c r="F2615" i="2"/>
  <c r="E2615" i="2"/>
  <c r="C2615" i="2"/>
  <c r="B2615" i="2"/>
  <c r="N2614" i="2"/>
  <c r="K2614" i="2"/>
  <c r="H2614" i="2"/>
  <c r="G2614" i="2"/>
  <c r="F2614" i="2"/>
  <c r="E2614" i="2"/>
  <c r="C2614" i="2"/>
  <c r="B2614" i="2"/>
  <c r="N2612" i="2"/>
  <c r="K2612" i="2"/>
  <c r="H2612" i="2"/>
  <c r="G2612" i="2"/>
  <c r="F2612" i="2"/>
  <c r="E2612" i="2"/>
  <c r="C2612" i="2"/>
  <c r="B2612" i="2"/>
  <c r="N2611" i="2"/>
  <c r="K2611" i="2"/>
  <c r="H2611" i="2"/>
  <c r="G2611" i="2"/>
  <c r="F2611" i="2"/>
  <c r="E2611" i="2"/>
  <c r="C2611" i="2"/>
  <c r="B2611" i="2"/>
  <c r="N2610" i="2"/>
  <c r="K2610" i="2"/>
  <c r="H2610" i="2"/>
  <c r="G2610" i="2"/>
  <c r="F2610" i="2"/>
  <c r="E2610" i="2"/>
  <c r="C2610" i="2"/>
  <c r="B2610" i="2"/>
  <c r="N2609" i="2"/>
  <c r="K2609" i="2"/>
  <c r="H2609" i="2"/>
  <c r="G2609" i="2"/>
  <c r="F2609" i="2"/>
  <c r="E2609" i="2"/>
  <c r="C2609" i="2"/>
  <c r="B2609" i="2"/>
  <c r="N2608" i="2"/>
  <c r="K2608" i="2"/>
  <c r="H2608" i="2"/>
  <c r="G2608" i="2"/>
  <c r="F2608" i="2"/>
  <c r="E2608" i="2"/>
  <c r="C2608" i="2"/>
  <c r="B2608" i="2"/>
  <c r="N2607" i="2"/>
  <c r="K2607" i="2"/>
  <c r="H2607" i="2"/>
  <c r="G2607" i="2"/>
  <c r="F2607" i="2"/>
  <c r="E2607" i="2"/>
  <c r="C2607" i="2"/>
  <c r="B2607" i="2"/>
  <c r="N2606" i="2"/>
  <c r="K2606" i="2"/>
  <c r="H2606" i="2"/>
  <c r="G2606" i="2"/>
  <c r="F2606" i="2"/>
  <c r="E2606" i="2"/>
  <c r="C2606" i="2"/>
  <c r="B2606" i="2"/>
  <c r="N2605" i="2"/>
  <c r="K2605" i="2"/>
  <c r="H2605" i="2"/>
  <c r="G2605" i="2"/>
  <c r="F2605" i="2"/>
  <c r="E2605" i="2"/>
  <c r="C2605" i="2"/>
  <c r="B2605" i="2"/>
  <c r="N2604" i="2"/>
  <c r="K2604" i="2"/>
  <c r="H2604" i="2"/>
  <c r="G2604" i="2"/>
  <c r="F2604" i="2"/>
  <c r="E2604" i="2"/>
  <c r="C2604" i="2"/>
  <c r="B2604" i="2"/>
  <c r="N2603" i="2"/>
  <c r="K2603" i="2"/>
  <c r="H2603" i="2"/>
  <c r="G2603" i="2"/>
  <c r="F2603" i="2"/>
  <c r="E2603" i="2"/>
  <c r="C2603" i="2"/>
  <c r="B2603" i="2"/>
  <c r="N2602" i="2"/>
  <c r="K2602" i="2"/>
  <c r="H2602" i="2"/>
  <c r="G2602" i="2"/>
  <c r="F2602" i="2"/>
  <c r="E2602" i="2"/>
  <c r="C2602" i="2"/>
  <c r="B2602" i="2"/>
  <c r="N2601" i="2"/>
  <c r="K2601" i="2"/>
  <c r="H2601" i="2"/>
  <c r="G2601" i="2"/>
  <c r="F2601" i="2"/>
  <c r="E2601" i="2"/>
  <c r="C2601" i="2"/>
  <c r="B2601" i="2"/>
  <c r="N2600" i="2"/>
  <c r="K2600" i="2"/>
  <c r="H2600" i="2"/>
  <c r="G2600" i="2"/>
  <c r="F2600" i="2"/>
  <c r="E2600" i="2"/>
  <c r="C2600" i="2"/>
  <c r="B2600" i="2"/>
  <c r="N2599" i="2"/>
  <c r="K2599" i="2"/>
  <c r="H2599" i="2"/>
  <c r="G2599" i="2"/>
  <c r="F2599" i="2"/>
  <c r="E2599" i="2"/>
  <c r="C2599" i="2"/>
  <c r="B2599" i="2"/>
  <c r="N2598" i="2"/>
  <c r="K2598" i="2"/>
  <c r="H2598" i="2"/>
  <c r="G2598" i="2"/>
  <c r="F2598" i="2"/>
  <c r="E2598" i="2"/>
  <c r="C2598" i="2"/>
  <c r="B2598" i="2"/>
  <c r="N2597" i="2"/>
  <c r="K2597" i="2"/>
  <c r="H2597" i="2"/>
  <c r="G2597" i="2"/>
  <c r="F2597" i="2"/>
  <c r="E2597" i="2"/>
  <c r="C2597" i="2"/>
  <c r="B2597" i="2"/>
  <c r="N2596" i="2"/>
  <c r="K2596" i="2"/>
  <c r="H2596" i="2"/>
  <c r="G2596" i="2"/>
  <c r="F2596" i="2"/>
  <c r="E2596" i="2"/>
  <c r="C2596" i="2"/>
  <c r="B2596" i="2"/>
  <c r="N2595" i="2"/>
  <c r="K2595" i="2"/>
  <c r="H2595" i="2"/>
  <c r="G2595" i="2"/>
  <c r="F2595" i="2"/>
  <c r="E2595" i="2"/>
  <c r="C2595" i="2"/>
  <c r="B2595" i="2"/>
  <c r="N2594" i="2"/>
  <c r="K2594" i="2"/>
  <c r="H2594" i="2"/>
  <c r="G2594" i="2"/>
  <c r="F2594" i="2"/>
  <c r="E2594" i="2"/>
  <c r="C2594" i="2"/>
  <c r="B2594" i="2"/>
  <c r="N2593" i="2"/>
  <c r="K2593" i="2"/>
  <c r="H2593" i="2"/>
  <c r="G2593" i="2"/>
  <c r="F2593" i="2"/>
  <c r="E2593" i="2"/>
  <c r="C2593" i="2"/>
  <c r="B2593" i="2"/>
  <c r="N2592" i="2"/>
  <c r="K2592" i="2"/>
  <c r="H2592" i="2"/>
  <c r="G2592" i="2"/>
  <c r="F2592" i="2"/>
  <c r="E2592" i="2"/>
  <c r="C2592" i="2"/>
  <c r="B2592" i="2"/>
  <c r="N2591" i="2"/>
  <c r="K2591" i="2"/>
  <c r="H2591" i="2"/>
  <c r="G2591" i="2"/>
  <c r="F2591" i="2"/>
  <c r="E2591" i="2"/>
  <c r="C2591" i="2"/>
  <c r="B2591" i="2"/>
  <c r="N2590" i="2"/>
  <c r="K2590" i="2"/>
  <c r="H2590" i="2"/>
  <c r="G2590" i="2"/>
  <c r="F2590" i="2"/>
  <c r="E2590" i="2"/>
  <c r="C2590" i="2"/>
  <c r="B2590" i="2"/>
  <c r="N2589" i="2"/>
  <c r="K2589" i="2"/>
  <c r="H2589" i="2"/>
  <c r="G2589" i="2"/>
  <c r="F2589" i="2"/>
  <c r="E2589" i="2"/>
  <c r="C2589" i="2"/>
  <c r="B2589" i="2"/>
  <c r="N2588" i="2"/>
  <c r="K2588" i="2"/>
  <c r="H2588" i="2"/>
  <c r="G2588" i="2"/>
  <c r="F2588" i="2"/>
  <c r="E2588" i="2"/>
  <c r="C2588" i="2"/>
  <c r="B2588" i="2"/>
  <c r="N2587" i="2"/>
  <c r="K2587" i="2"/>
  <c r="H2587" i="2"/>
  <c r="G2587" i="2"/>
  <c r="F2587" i="2"/>
  <c r="E2587" i="2"/>
  <c r="C2587" i="2"/>
  <c r="B2587" i="2"/>
  <c r="N2586" i="2"/>
  <c r="K2586" i="2"/>
  <c r="H2586" i="2"/>
  <c r="G2586" i="2"/>
  <c r="F2586" i="2"/>
  <c r="E2586" i="2"/>
  <c r="C2586" i="2"/>
  <c r="B2586" i="2"/>
  <c r="N2585" i="2"/>
  <c r="K2585" i="2"/>
  <c r="H2585" i="2"/>
  <c r="G2585" i="2"/>
  <c r="F2585" i="2"/>
  <c r="E2585" i="2"/>
  <c r="C2585" i="2"/>
  <c r="B2585" i="2"/>
  <c r="N2584" i="2"/>
  <c r="K2584" i="2"/>
  <c r="H2584" i="2"/>
  <c r="G2584" i="2"/>
  <c r="F2584" i="2"/>
  <c r="E2584" i="2"/>
  <c r="C2584" i="2"/>
  <c r="B2584" i="2"/>
  <c r="N2583" i="2"/>
  <c r="K2583" i="2"/>
  <c r="H2583" i="2"/>
  <c r="G2583" i="2"/>
  <c r="F2583" i="2"/>
  <c r="E2583" i="2"/>
  <c r="C2583" i="2"/>
  <c r="B2583" i="2"/>
  <c r="N2582" i="2"/>
  <c r="K2582" i="2"/>
  <c r="H2582" i="2"/>
  <c r="G2582" i="2"/>
  <c r="F2582" i="2"/>
  <c r="E2582" i="2"/>
  <c r="C2582" i="2"/>
  <c r="B2582" i="2"/>
  <c r="N2581" i="2"/>
  <c r="K2581" i="2"/>
  <c r="H2581" i="2"/>
  <c r="G2581" i="2"/>
  <c r="F2581" i="2"/>
  <c r="E2581" i="2"/>
  <c r="C2581" i="2"/>
  <c r="B2581" i="2"/>
  <c r="N2580" i="2"/>
  <c r="K2580" i="2"/>
  <c r="H2580" i="2"/>
  <c r="G2580" i="2"/>
  <c r="F2580" i="2"/>
  <c r="E2580" i="2"/>
  <c r="C2580" i="2"/>
  <c r="B2580" i="2"/>
  <c r="N2579" i="2"/>
  <c r="K2579" i="2"/>
  <c r="H2579" i="2"/>
  <c r="G2579" i="2"/>
  <c r="F2579" i="2"/>
  <c r="E2579" i="2"/>
  <c r="C2579" i="2"/>
  <c r="B2579" i="2"/>
  <c r="N2578" i="2"/>
  <c r="K2578" i="2"/>
  <c r="H2578" i="2"/>
  <c r="G2578" i="2"/>
  <c r="F2578" i="2"/>
  <c r="E2578" i="2"/>
  <c r="C2578" i="2"/>
  <c r="B2578" i="2"/>
  <c r="N2577" i="2"/>
  <c r="K2577" i="2"/>
  <c r="H2577" i="2"/>
  <c r="G2577" i="2"/>
  <c r="F2577" i="2"/>
  <c r="E2577" i="2"/>
  <c r="C2577" i="2"/>
  <c r="B2577" i="2"/>
  <c r="N2576" i="2"/>
  <c r="K2576" i="2"/>
  <c r="H2576" i="2"/>
  <c r="G2576" i="2"/>
  <c r="F2576" i="2"/>
  <c r="E2576" i="2"/>
  <c r="C2576" i="2"/>
  <c r="B2576" i="2"/>
  <c r="N2575" i="2"/>
  <c r="K2575" i="2"/>
  <c r="H2575" i="2"/>
  <c r="G2575" i="2"/>
  <c r="F2575" i="2"/>
  <c r="E2575" i="2"/>
  <c r="C2575" i="2"/>
  <c r="B2575" i="2"/>
  <c r="N2574" i="2"/>
  <c r="K2574" i="2"/>
  <c r="H2574" i="2"/>
  <c r="G2574" i="2"/>
  <c r="F2574" i="2"/>
  <c r="E2574" i="2"/>
  <c r="C2574" i="2"/>
  <c r="B2574" i="2"/>
  <c r="N2573" i="2"/>
  <c r="K2573" i="2"/>
  <c r="H2573" i="2"/>
  <c r="G2573" i="2"/>
  <c r="F2573" i="2"/>
  <c r="E2573" i="2"/>
  <c r="C2573" i="2"/>
  <c r="B2573" i="2"/>
  <c r="N2572" i="2"/>
  <c r="K2572" i="2"/>
  <c r="H2572" i="2"/>
  <c r="G2572" i="2"/>
  <c r="F2572" i="2"/>
  <c r="E2572" i="2"/>
  <c r="C2572" i="2"/>
  <c r="B2572" i="2"/>
  <c r="N2571" i="2"/>
  <c r="K2571" i="2"/>
  <c r="H2571" i="2"/>
  <c r="G2571" i="2"/>
  <c r="F2571" i="2"/>
  <c r="E2571" i="2"/>
  <c r="C2571" i="2"/>
  <c r="B2571" i="2"/>
  <c r="N2570" i="2"/>
  <c r="K2570" i="2"/>
  <c r="H2570" i="2"/>
  <c r="G2570" i="2"/>
  <c r="F2570" i="2"/>
  <c r="E2570" i="2"/>
  <c r="C2570" i="2"/>
  <c r="B2570" i="2"/>
  <c r="N2569" i="2"/>
  <c r="K2569" i="2"/>
  <c r="H2569" i="2"/>
  <c r="G2569" i="2"/>
  <c r="F2569" i="2"/>
  <c r="E2569" i="2"/>
  <c r="C2569" i="2"/>
  <c r="B2569" i="2"/>
  <c r="N2568" i="2"/>
  <c r="K2568" i="2"/>
  <c r="H2568" i="2"/>
  <c r="G2568" i="2"/>
  <c r="F2568" i="2"/>
  <c r="E2568" i="2"/>
  <c r="C2568" i="2"/>
  <c r="B2568" i="2"/>
  <c r="N2567" i="2"/>
  <c r="K2567" i="2"/>
  <c r="H2567" i="2"/>
  <c r="G2567" i="2"/>
  <c r="F2567" i="2"/>
  <c r="E2567" i="2"/>
  <c r="C2567" i="2"/>
  <c r="B2567" i="2"/>
  <c r="N2566" i="2"/>
  <c r="K2566" i="2"/>
  <c r="H2566" i="2"/>
  <c r="G2566" i="2"/>
  <c r="F2566" i="2"/>
  <c r="E2566" i="2"/>
  <c r="C2566" i="2"/>
  <c r="B2566" i="2"/>
  <c r="N2565" i="2"/>
  <c r="K2565" i="2"/>
  <c r="H2565" i="2"/>
  <c r="G2565" i="2"/>
  <c r="F2565" i="2"/>
  <c r="E2565" i="2"/>
  <c r="C2565" i="2"/>
  <c r="B2565" i="2"/>
  <c r="N2564" i="2"/>
  <c r="K2564" i="2"/>
  <c r="H2564" i="2"/>
  <c r="G2564" i="2"/>
  <c r="F2564" i="2"/>
  <c r="E2564" i="2"/>
  <c r="C2564" i="2"/>
  <c r="B2564" i="2"/>
  <c r="N2563" i="2"/>
  <c r="K2563" i="2"/>
  <c r="H2563" i="2"/>
  <c r="G2563" i="2"/>
  <c r="F2563" i="2"/>
  <c r="E2563" i="2"/>
  <c r="C2563" i="2"/>
  <c r="B2563" i="2"/>
  <c r="N2562" i="2"/>
  <c r="K2562" i="2"/>
  <c r="H2562" i="2"/>
  <c r="G2562" i="2"/>
  <c r="F2562" i="2"/>
  <c r="E2562" i="2"/>
  <c r="C2562" i="2"/>
  <c r="B2562" i="2"/>
  <c r="N2561" i="2"/>
  <c r="K2561" i="2"/>
  <c r="H2561" i="2"/>
  <c r="G2561" i="2"/>
  <c r="F2561" i="2"/>
  <c r="E2561" i="2"/>
  <c r="C2561" i="2"/>
  <c r="B2561" i="2"/>
  <c r="N2560" i="2"/>
  <c r="K2560" i="2"/>
  <c r="H2560" i="2"/>
  <c r="G2560" i="2"/>
  <c r="F2560" i="2"/>
  <c r="E2560" i="2"/>
  <c r="C2560" i="2"/>
  <c r="B2560" i="2"/>
  <c r="N2559" i="2"/>
  <c r="K2559" i="2"/>
  <c r="H2559" i="2"/>
  <c r="G2559" i="2"/>
  <c r="F2559" i="2"/>
  <c r="E2559" i="2"/>
  <c r="C2559" i="2"/>
  <c r="B2559" i="2"/>
  <c r="N2558" i="2"/>
  <c r="K2558" i="2"/>
  <c r="H2558" i="2"/>
  <c r="G2558" i="2"/>
  <c r="F2558" i="2"/>
  <c r="E2558" i="2"/>
  <c r="C2558" i="2"/>
  <c r="B2558" i="2"/>
  <c r="N2557" i="2"/>
  <c r="K2557" i="2"/>
  <c r="H2557" i="2"/>
  <c r="G2557" i="2"/>
  <c r="F2557" i="2"/>
  <c r="E2557" i="2"/>
  <c r="C2557" i="2"/>
  <c r="B2557" i="2"/>
  <c r="N2556" i="2"/>
  <c r="K2556" i="2"/>
  <c r="H2556" i="2"/>
  <c r="G2556" i="2"/>
  <c r="F2556" i="2"/>
  <c r="E2556" i="2"/>
  <c r="C2556" i="2"/>
  <c r="B2556" i="2"/>
  <c r="N2555" i="2"/>
  <c r="K2555" i="2"/>
  <c r="H2555" i="2"/>
  <c r="G2555" i="2"/>
  <c r="F2555" i="2"/>
  <c r="E2555" i="2"/>
  <c r="C2555" i="2"/>
  <c r="B2555" i="2"/>
  <c r="N2554" i="2"/>
  <c r="K2554" i="2"/>
  <c r="H2554" i="2"/>
  <c r="G2554" i="2"/>
  <c r="F2554" i="2"/>
  <c r="E2554" i="2"/>
  <c r="C2554" i="2"/>
  <c r="B2554" i="2"/>
  <c r="N2553" i="2"/>
  <c r="K2553" i="2"/>
  <c r="H2553" i="2"/>
  <c r="G2553" i="2"/>
  <c r="F2553" i="2"/>
  <c r="E2553" i="2"/>
  <c r="C2553" i="2"/>
  <c r="B2553" i="2"/>
  <c r="N2552" i="2"/>
  <c r="K2552" i="2"/>
  <c r="H2552" i="2"/>
  <c r="G2552" i="2"/>
  <c r="F2552" i="2"/>
  <c r="E2552" i="2"/>
  <c r="C2552" i="2"/>
  <c r="B2552" i="2"/>
  <c r="N2551" i="2"/>
  <c r="K2551" i="2"/>
  <c r="H2551" i="2"/>
  <c r="G2551" i="2"/>
  <c r="F2551" i="2"/>
  <c r="E2551" i="2"/>
  <c r="C2551" i="2"/>
  <c r="B2551" i="2"/>
  <c r="N2550" i="2"/>
  <c r="K2550" i="2"/>
  <c r="H2550" i="2"/>
  <c r="G2550" i="2"/>
  <c r="F2550" i="2"/>
  <c r="E2550" i="2"/>
  <c r="C2550" i="2"/>
  <c r="B2550" i="2"/>
  <c r="N2549" i="2"/>
  <c r="K2549" i="2"/>
  <c r="H2549" i="2"/>
  <c r="G2549" i="2"/>
  <c r="F2549" i="2"/>
  <c r="E2549" i="2"/>
  <c r="C2549" i="2"/>
  <c r="B2549" i="2"/>
  <c r="N2548" i="2"/>
  <c r="K2548" i="2"/>
  <c r="H2548" i="2"/>
  <c r="G2548" i="2"/>
  <c r="F2548" i="2"/>
  <c r="E2548" i="2"/>
  <c r="C2548" i="2"/>
  <c r="B2548" i="2"/>
  <c r="N2547" i="2"/>
  <c r="K2547" i="2"/>
  <c r="H2547" i="2"/>
  <c r="G2547" i="2"/>
  <c r="F2547" i="2"/>
  <c r="E2547" i="2"/>
  <c r="C2547" i="2"/>
  <c r="B2547" i="2"/>
  <c r="N2546" i="2"/>
  <c r="K2546" i="2"/>
  <c r="H2546" i="2"/>
  <c r="G2546" i="2"/>
  <c r="F2546" i="2"/>
  <c r="E2546" i="2"/>
  <c r="C2546" i="2"/>
  <c r="B2546" i="2"/>
  <c r="N2545" i="2"/>
  <c r="K2545" i="2"/>
  <c r="H2545" i="2"/>
  <c r="G2545" i="2"/>
  <c r="F2545" i="2"/>
  <c r="E2545" i="2"/>
  <c r="C2545" i="2"/>
  <c r="B2545" i="2"/>
  <c r="N2544" i="2"/>
  <c r="K2544" i="2"/>
  <c r="H2544" i="2"/>
  <c r="G2544" i="2"/>
  <c r="F2544" i="2"/>
  <c r="E2544" i="2"/>
  <c r="C2544" i="2"/>
  <c r="B2544" i="2"/>
  <c r="N2543" i="2"/>
  <c r="K2543" i="2"/>
  <c r="H2543" i="2"/>
  <c r="G2543" i="2"/>
  <c r="F2543" i="2"/>
  <c r="E2543" i="2"/>
  <c r="C2543" i="2"/>
  <c r="B2543" i="2"/>
  <c r="N2542" i="2"/>
  <c r="K2542" i="2"/>
  <c r="H2542" i="2"/>
  <c r="G2542" i="2"/>
  <c r="F2542" i="2"/>
  <c r="E2542" i="2"/>
  <c r="C2542" i="2"/>
  <c r="B2542" i="2"/>
  <c r="N2541" i="2"/>
  <c r="K2541" i="2"/>
  <c r="H2541" i="2"/>
  <c r="G2541" i="2"/>
  <c r="F2541" i="2"/>
  <c r="E2541" i="2"/>
  <c r="C2541" i="2"/>
  <c r="B2541" i="2"/>
  <c r="N2540" i="2"/>
  <c r="K2540" i="2"/>
  <c r="H2540" i="2"/>
  <c r="G2540" i="2"/>
  <c r="F2540" i="2"/>
  <c r="E2540" i="2"/>
  <c r="C2540" i="2"/>
  <c r="B2540" i="2"/>
  <c r="N2539" i="2"/>
  <c r="K2539" i="2"/>
  <c r="H2539" i="2"/>
  <c r="G2539" i="2"/>
  <c r="F2539" i="2"/>
  <c r="E2539" i="2"/>
  <c r="C2539" i="2"/>
  <c r="B2539" i="2"/>
  <c r="N2538" i="2"/>
  <c r="K2538" i="2"/>
  <c r="H2538" i="2"/>
  <c r="G2538" i="2"/>
  <c r="F2538" i="2"/>
  <c r="E2538" i="2"/>
  <c r="C2538" i="2"/>
  <c r="B2538" i="2"/>
  <c r="N2537" i="2"/>
  <c r="K2537" i="2"/>
  <c r="H2537" i="2"/>
  <c r="G2537" i="2"/>
  <c r="F2537" i="2"/>
  <c r="E2537" i="2"/>
  <c r="C2537" i="2"/>
  <c r="B2537" i="2"/>
  <c r="N2536" i="2"/>
  <c r="K2536" i="2"/>
  <c r="H2536" i="2"/>
  <c r="G2536" i="2"/>
  <c r="F2536" i="2"/>
  <c r="E2536" i="2"/>
  <c r="C2536" i="2"/>
  <c r="B2536" i="2"/>
  <c r="N2535" i="2"/>
  <c r="K2535" i="2"/>
  <c r="H2535" i="2"/>
  <c r="G2535" i="2"/>
  <c r="F2535" i="2"/>
  <c r="E2535" i="2"/>
  <c r="C2535" i="2"/>
  <c r="B2535" i="2"/>
  <c r="N2534" i="2"/>
  <c r="K2534" i="2"/>
  <c r="H2534" i="2"/>
  <c r="G2534" i="2"/>
  <c r="F2534" i="2"/>
  <c r="E2534" i="2"/>
  <c r="C2534" i="2"/>
  <c r="B2534" i="2"/>
  <c r="N2533" i="2"/>
  <c r="K2533" i="2"/>
  <c r="H2533" i="2"/>
  <c r="G2533" i="2"/>
  <c r="F2533" i="2"/>
  <c r="E2533" i="2"/>
  <c r="C2533" i="2"/>
  <c r="B2533" i="2"/>
  <c r="N2532" i="2"/>
  <c r="K2532" i="2"/>
  <c r="H2532" i="2"/>
  <c r="G2532" i="2"/>
  <c r="F2532" i="2"/>
  <c r="E2532" i="2"/>
  <c r="C2532" i="2"/>
  <c r="B2532" i="2"/>
  <c r="N2531" i="2"/>
  <c r="K2531" i="2"/>
  <c r="H2531" i="2"/>
  <c r="G2531" i="2"/>
  <c r="F2531" i="2"/>
  <c r="E2531" i="2"/>
  <c r="C2531" i="2"/>
  <c r="B2531" i="2"/>
  <c r="N2530" i="2"/>
  <c r="K2530" i="2"/>
  <c r="H2530" i="2"/>
  <c r="G2530" i="2"/>
  <c r="F2530" i="2"/>
  <c r="E2530" i="2"/>
  <c r="C2530" i="2"/>
  <c r="B2530" i="2"/>
  <c r="N2529" i="2"/>
  <c r="K2529" i="2"/>
  <c r="H2529" i="2"/>
  <c r="G2529" i="2"/>
  <c r="F2529" i="2"/>
  <c r="E2529" i="2"/>
  <c r="C2529" i="2"/>
  <c r="B2529" i="2"/>
  <c r="N2528" i="2"/>
  <c r="K2528" i="2"/>
  <c r="H2528" i="2"/>
  <c r="G2528" i="2"/>
  <c r="F2528" i="2"/>
  <c r="E2528" i="2"/>
  <c r="C2528" i="2"/>
  <c r="B2528" i="2"/>
  <c r="N2527" i="2"/>
  <c r="K2527" i="2"/>
  <c r="H2527" i="2"/>
  <c r="G2527" i="2"/>
  <c r="F2527" i="2"/>
  <c r="E2527" i="2"/>
  <c r="C2527" i="2"/>
  <c r="B2527" i="2"/>
  <c r="N2526" i="2"/>
  <c r="K2526" i="2"/>
  <c r="H2526" i="2"/>
  <c r="G2526" i="2"/>
  <c r="F2526" i="2"/>
  <c r="E2526" i="2"/>
  <c r="C2526" i="2"/>
  <c r="B2526" i="2"/>
  <c r="N2525" i="2"/>
  <c r="K2525" i="2"/>
  <c r="H2525" i="2"/>
  <c r="G2525" i="2"/>
  <c r="F2525" i="2"/>
  <c r="E2525" i="2"/>
  <c r="C2525" i="2"/>
  <c r="B2525" i="2"/>
  <c r="N2524" i="2"/>
  <c r="K2524" i="2"/>
  <c r="H2524" i="2"/>
  <c r="G2524" i="2"/>
  <c r="F2524" i="2"/>
  <c r="E2524" i="2"/>
  <c r="C2524" i="2"/>
  <c r="B2524" i="2"/>
  <c r="N2523" i="2"/>
  <c r="K2523" i="2"/>
  <c r="H2523" i="2"/>
  <c r="G2523" i="2"/>
  <c r="F2523" i="2"/>
  <c r="E2523" i="2"/>
  <c r="C2523" i="2"/>
  <c r="B2523" i="2"/>
  <c r="N2522" i="2"/>
  <c r="K2522" i="2"/>
  <c r="H2522" i="2"/>
  <c r="G2522" i="2"/>
  <c r="F2522" i="2"/>
  <c r="E2522" i="2"/>
  <c r="C2522" i="2"/>
  <c r="B2522" i="2"/>
  <c r="N2521" i="2"/>
  <c r="K2521" i="2"/>
  <c r="H2521" i="2"/>
  <c r="G2521" i="2"/>
  <c r="F2521" i="2"/>
  <c r="E2521" i="2"/>
  <c r="C2521" i="2"/>
  <c r="B2521" i="2"/>
  <c r="N2520" i="2"/>
  <c r="K2520" i="2"/>
  <c r="H2520" i="2"/>
  <c r="G2520" i="2"/>
  <c r="F2520" i="2"/>
  <c r="E2520" i="2"/>
  <c r="C2520" i="2"/>
  <c r="B2520" i="2"/>
  <c r="N2519" i="2"/>
  <c r="K2519" i="2"/>
  <c r="H2519" i="2"/>
  <c r="G2519" i="2"/>
  <c r="F2519" i="2"/>
  <c r="E2519" i="2"/>
  <c r="C2519" i="2"/>
  <c r="B2519" i="2"/>
  <c r="N2518" i="2"/>
  <c r="K2518" i="2"/>
  <c r="H2518" i="2"/>
  <c r="G2518" i="2"/>
  <c r="F2518" i="2"/>
  <c r="E2518" i="2"/>
  <c r="C2518" i="2"/>
  <c r="B2518" i="2"/>
  <c r="N2517" i="2"/>
  <c r="K2517" i="2"/>
  <c r="H2517" i="2"/>
  <c r="G2517" i="2"/>
  <c r="F2517" i="2"/>
  <c r="E2517" i="2"/>
  <c r="C2517" i="2"/>
  <c r="B2517" i="2"/>
  <c r="N2516" i="2"/>
  <c r="K2516" i="2"/>
  <c r="H2516" i="2"/>
  <c r="G2516" i="2"/>
  <c r="F2516" i="2"/>
  <c r="E2516" i="2"/>
  <c r="C2516" i="2"/>
  <c r="B2516" i="2"/>
  <c r="N2515" i="2"/>
  <c r="K2515" i="2"/>
  <c r="H2515" i="2"/>
  <c r="G2515" i="2"/>
  <c r="F2515" i="2"/>
  <c r="E2515" i="2"/>
  <c r="C2515" i="2"/>
  <c r="B2515" i="2"/>
  <c r="N2514" i="2"/>
  <c r="K2514" i="2"/>
  <c r="H2514" i="2"/>
  <c r="G2514" i="2"/>
  <c r="F2514" i="2"/>
  <c r="E2514" i="2"/>
  <c r="C2514" i="2"/>
  <c r="B2514" i="2"/>
  <c r="N2513" i="2"/>
  <c r="K2513" i="2"/>
  <c r="H2513" i="2"/>
  <c r="G2513" i="2"/>
  <c r="F2513" i="2"/>
  <c r="E2513" i="2"/>
  <c r="C2513" i="2"/>
  <c r="B2513" i="2"/>
  <c r="N2512" i="2"/>
  <c r="K2512" i="2"/>
  <c r="H2512" i="2"/>
  <c r="G2512" i="2"/>
  <c r="F2512" i="2"/>
  <c r="E2512" i="2"/>
  <c r="C2512" i="2"/>
  <c r="B2512" i="2"/>
  <c r="N2511" i="2"/>
  <c r="K2511" i="2"/>
  <c r="H2511" i="2"/>
  <c r="G2511" i="2"/>
  <c r="F2511" i="2"/>
  <c r="E2511" i="2"/>
  <c r="C2511" i="2"/>
  <c r="B2511" i="2"/>
  <c r="N2510" i="2"/>
  <c r="K2510" i="2"/>
  <c r="H2510" i="2"/>
  <c r="G2510" i="2"/>
  <c r="F2510" i="2"/>
  <c r="E2510" i="2"/>
  <c r="C2510" i="2"/>
  <c r="B2510" i="2"/>
  <c r="N2509" i="2"/>
  <c r="K2509" i="2"/>
  <c r="H2509" i="2"/>
  <c r="G2509" i="2"/>
  <c r="F2509" i="2"/>
  <c r="E2509" i="2"/>
  <c r="C2509" i="2"/>
  <c r="B2509" i="2"/>
  <c r="N2508" i="2"/>
  <c r="K2508" i="2"/>
  <c r="H2508" i="2"/>
  <c r="G2508" i="2"/>
  <c r="F2508" i="2"/>
  <c r="E2508" i="2"/>
  <c r="C2508" i="2"/>
  <c r="B2508" i="2"/>
  <c r="N2507" i="2"/>
  <c r="K2507" i="2"/>
  <c r="H2507" i="2"/>
  <c r="G2507" i="2"/>
  <c r="F2507" i="2"/>
  <c r="E2507" i="2"/>
  <c r="C2507" i="2"/>
  <c r="B2507" i="2"/>
  <c r="N2506" i="2"/>
  <c r="K2506" i="2"/>
  <c r="H2506" i="2"/>
  <c r="G2506" i="2"/>
  <c r="F2506" i="2"/>
  <c r="E2506" i="2"/>
  <c r="C2506" i="2"/>
  <c r="B2506" i="2"/>
  <c r="N2505" i="2"/>
  <c r="K2505" i="2"/>
  <c r="H2505" i="2"/>
  <c r="G2505" i="2"/>
  <c r="F2505" i="2"/>
  <c r="E2505" i="2"/>
  <c r="C2505" i="2"/>
  <c r="B2505" i="2"/>
  <c r="N2504" i="2"/>
  <c r="K2504" i="2"/>
  <c r="H2504" i="2"/>
  <c r="G2504" i="2"/>
  <c r="F2504" i="2"/>
  <c r="E2504" i="2"/>
  <c r="C2504" i="2"/>
  <c r="B2504" i="2"/>
  <c r="N2503" i="2"/>
  <c r="K2503" i="2"/>
  <c r="H2503" i="2"/>
  <c r="G2503" i="2"/>
  <c r="F2503" i="2"/>
  <c r="E2503" i="2"/>
  <c r="C2503" i="2"/>
  <c r="B2503" i="2"/>
  <c r="N2502" i="2"/>
  <c r="K2502" i="2"/>
  <c r="H2502" i="2"/>
  <c r="G2502" i="2"/>
  <c r="F2502" i="2"/>
  <c r="E2502" i="2"/>
  <c r="C2502" i="2"/>
  <c r="B2502" i="2"/>
  <c r="N2501" i="2"/>
  <c r="K2501" i="2"/>
  <c r="H2501" i="2"/>
  <c r="G2501" i="2"/>
  <c r="F2501" i="2"/>
  <c r="E2501" i="2"/>
  <c r="C2501" i="2"/>
  <c r="B2501" i="2"/>
  <c r="N2500" i="2"/>
  <c r="K2500" i="2"/>
  <c r="H2500" i="2"/>
  <c r="G2500" i="2"/>
  <c r="F2500" i="2"/>
  <c r="E2500" i="2"/>
  <c r="C2500" i="2"/>
  <c r="B2500" i="2"/>
  <c r="N2499" i="2"/>
  <c r="K2499" i="2"/>
  <c r="H2499" i="2"/>
  <c r="G2499" i="2"/>
  <c r="F2499" i="2"/>
  <c r="E2499" i="2"/>
  <c r="C2499" i="2"/>
  <c r="B2499" i="2"/>
  <c r="N2498" i="2"/>
  <c r="K2498" i="2"/>
  <c r="H2498" i="2"/>
  <c r="G2498" i="2"/>
  <c r="F2498" i="2"/>
  <c r="E2498" i="2"/>
  <c r="C2498" i="2"/>
  <c r="B2498" i="2"/>
  <c r="N2497" i="2"/>
  <c r="K2497" i="2"/>
  <c r="H2497" i="2"/>
  <c r="G2497" i="2"/>
  <c r="F2497" i="2"/>
  <c r="E2497" i="2"/>
  <c r="C2497" i="2"/>
  <c r="B2497" i="2"/>
  <c r="N2496" i="2"/>
  <c r="K2496" i="2"/>
  <c r="H2496" i="2"/>
  <c r="G2496" i="2"/>
  <c r="F2496" i="2"/>
  <c r="E2496" i="2"/>
  <c r="C2496" i="2"/>
  <c r="B2496" i="2"/>
  <c r="L2495" i="2"/>
  <c r="N2495" i="2" s="1"/>
  <c r="K2495" i="2"/>
  <c r="H2495" i="2"/>
  <c r="G2495" i="2"/>
  <c r="F2495" i="2"/>
  <c r="E2495" i="2"/>
  <c r="C2495" i="2"/>
  <c r="B2495" i="2"/>
  <c r="L2494" i="2"/>
  <c r="N2494" i="2" s="1"/>
  <c r="K2494" i="2"/>
  <c r="H2494" i="2"/>
  <c r="G2494" i="2"/>
  <c r="F2494" i="2"/>
  <c r="E2494" i="2"/>
  <c r="C2494" i="2"/>
  <c r="B2494" i="2"/>
  <c r="N2493" i="2"/>
  <c r="K2493" i="2"/>
  <c r="H2493" i="2"/>
  <c r="G2493" i="2"/>
  <c r="F2493" i="2"/>
  <c r="E2493" i="2"/>
  <c r="C2493" i="2"/>
  <c r="B2493" i="2"/>
  <c r="N2492" i="2"/>
  <c r="K2492" i="2"/>
  <c r="H2492" i="2"/>
  <c r="G2492" i="2"/>
  <c r="F2492" i="2"/>
  <c r="E2492" i="2"/>
  <c r="C2492" i="2"/>
  <c r="B2492" i="2"/>
  <c r="N2491" i="2"/>
  <c r="K2491" i="2"/>
  <c r="H2491" i="2"/>
  <c r="G2491" i="2"/>
  <c r="F2491" i="2"/>
  <c r="E2491" i="2"/>
  <c r="C2491" i="2"/>
  <c r="B2491" i="2"/>
  <c r="N2490" i="2"/>
  <c r="K2490" i="2"/>
  <c r="H2490" i="2"/>
  <c r="G2490" i="2"/>
  <c r="F2490" i="2"/>
  <c r="E2490" i="2"/>
  <c r="C2490" i="2"/>
  <c r="B2490" i="2"/>
  <c r="N2489" i="2"/>
  <c r="K2489" i="2"/>
  <c r="H2489" i="2"/>
  <c r="G2489" i="2"/>
  <c r="F2489" i="2"/>
  <c r="E2489" i="2"/>
  <c r="C2489" i="2"/>
  <c r="B2489" i="2"/>
  <c r="N2488" i="2"/>
  <c r="K2488" i="2"/>
  <c r="H2488" i="2"/>
  <c r="G2488" i="2"/>
  <c r="F2488" i="2"/>
  <c r="E2488" i="2"/>
  <c r="C2488" i="2"/>
  <c r="B2488" i="2"/>
  <c r="N2487" i="2"/>
  <c r="K2487" i="2"/>
  <c r="H2487" i="2"/>
  <c r="G2487" i="2"/>
  <c r="F2487" i="2"/>
  <c r="E2487" i="2"/>
  <c r="C2487" i="2"/>
  <c r="B2487" i="2"/>
  <c r="N2486" i="2"/>
  <c r="K2486" i="2"/>
  <c r="H2486" i="2"/>
  <c r="G2486" i="2"/>
  <c r="F2486" i="2"/>
  <c r="E2486" i="2"/>
  <c r="C2486" i="2"/>
  <c r="B2486" i="2"/>
  <c r="N2485" i="2"/>
  <c r="K2485" i="2"/>
  <c r="H2485" i="2"/>
  <c r="G2485" i="2"/>
  <c r="F2485" i="2"/>
  <c r="E2485" i="2"/>
  <c r="C2485" i="2"/>
  <c r="B2485" i="2"/>
  <c r="N2484" i="2"/>
  <c r="K2484" i="2"/>
  <c r="H2484" i="2"/>
  <c r="G2484" i="2"/>
  <c r="F2484" i="2"/>
  <c r="E2484" i="2"/>
  <c r="C2484" i="2"/>
  <c r="B2484" i="2"/>
  <c r="N2483" i="2"/>
  <c r="K2483" i="2"/>
  <c r="H2483" i="2"/>
  <c r="G2483" i="2"/>
  <c r="F2483" i="2"/>
  <c r="E2483" i="2"/>
  <c r="C2483" i="2"/>
  <c r="B2483" i="2"/>
  <c r="N2482" i="2"/>
  <c r="K2482" i="2"/>
  <c r="H2482" i="2"/>
  <c r="G2482" i="2"/>
  <c r="F2482" i="2"/>
  <c r="E2482" i="2"/>
  <c r="C2482" i="2"/>
  <c r="B2482" i="2"/>
  <c r="N2481" i="2"/>
  <c r="K2481" i="2"/>
  <c r="H2481" i="2"/>
  <c r="G2481" i="2"/>
  <c r="F2481" i="2"/>
  <c r="E2481" i="2"/>
  <c r="C2481" i="2"/>
  <c r="B2481" i="2"/>
  <c r="N2480" i="2"/>
  <c r="K2480" i="2"/>
  <c r="H2480" i="2"/>
  <c r="G2480" i="2"/>
  <c r="F2480" i="2"/>
  <c r="E2480" i="2"/>
  <c r="C2480" i="2"/>
  <c r="B2480" i="2"/>
  <c r="N2479" i="2"/>
  <c r="K2479" i="2"/>
  <c r="H2479" i="2"/>
  <c r="G2479" i="2"/>
  <c r="F2479" i="2"/>
  <c r="E2479" i="2"/>
  <c r="C2479" i="2"/>
  <c r="B2479" i="2"/>
  <c r="N2478" i="2"/>
  <c r="K2478" i="2"/>
  <c r="H2478" i="2"/>
  <c r="G2478" i="2"/>
  <c r="F2478" i="2"/>
  <c r="E2478" i="2"/>
  <c r="C2478" i="2"/>
  <c r="B2478" i="2"/>
  <c r="N2477" i="2"/>
  <c r="K2477" i="2"/>
  <c r="H2477" i="2"/>
  <c r="G2477" i="2"/>
  <c r="F2477" i="2"/>
  <c r="E2477" i="2"/>
  <c r="C2477" i="2"/>
  <c r="B2477" i="2"/>
  <c r="N2476" i="2"/>
  <c r="K2476" i="2"/>
  <c r="H2476" i="2"/>
  <c r="G2476" i="2"/>
  <c r="F2476" i="2"/>
  <c r="E2476" i="2"/>
  <c r="C2476" i="2"/>
  <c r="B2476" i="2"/>
  <c r="N2475" i="2"/>
  <c r="K2475" i="2"/>
  <c r="H2475" i="2"/>
  <c r="G2475" i="2"/>
  <c r="F2475" i="2"/>
  <c r="E2475" i="2"/>
  <c r="C2475" i="2"/>
  <c r="B2475" i="2"/>
  <c r="N2474" i="2"/>
  <c r="K2474" i="2"/>
  <c r="H2474" i="2"/>
  <c r="G2474" i="2"/>
  <c r="F2474" i="2"/>
  <c r="E2474" i="2"/>
  <c r="C2474" i="2"/>
  <c r="B2474" i="2"/>
  <c r="N2473" i="2"/>
  <c r="K2473" i="2"/>
  <c r="H2473" i="2"/>
  <c r="G2473" i="2"/>
  <c r="F2473" i="2"/>
  <c r="E2473" i="2"/>
  <c r="C2473" i="2"/>
  <c r="B2473" i="2"/>
  <c r="N2472" i="2"/>
  <c r="K2472" i="2"/>
  <c r="H2472" i="2"/>
  <c r="G2472" i="2"/>
  <c r="F2472" i="2"/>
  <c r="E2472" i="2"/>
  <c r="C2472" i="2"/>
  <c r="B2472" i="2"/>
  <c r="N2471" i="2"/>
  <c r="K2471" i="2"/>
  <c r="H2471" i="2"/>
  <c r="G2471" i="2"/>
  <c r="F2471" i="2"/>
  <c r="E2471" i="2"/>
  <c r="C2471" i="2"/>
  <c r="B2471" i="2"/>
  <c r="N2470" i="2"/>
  <c r="K2470" i="2"/>
  <c r="H2470" i="2"/>
  <c r="G2470" i="2"/>
  <c r="F2470" i="2"/>
  <c r="E2470" i="2"/>
  <c r="C2470" i="2"/>
  <c r="B2470" i="2"/>
  <c r="N2469" i="2"/>
  <c r="K2469" i="2"/>
  <c r="H2469" i="2"/>
  <c r="G2469" i="2"/>
  <c r="F2469" i="2"/>
  <c r="E2469" i="2"/>
  <c r="C2469" i="2"/>
  <c r="B2469" i="2"/>
  <c r="N2468" i="2"/>
  <c r="K2468" i="2"/>
  <c r="H2468" i="2"/>
  <c r="G2468" i="2"/>
  <c r="F2468" i="2"/>
  <c r="E2468" i="2"/>
  <c r="C2468" i="2"/>
  <c r="B2468" i="2"/>
  <c r="N2467" i="2"/>
  <c r="K2467" i="2"/>
  <c r="H2467" i="2"/>
  <c r="G2467" i="2"/>
  <c r="F2467" i="2"/>
  <c r="E2467" i="2"/>
  <c r="C2467" i="2"/>
  <c r="B2467" i="2"/>
  <c r="N2466" i="2"/>
  <c r="K2466" i="2"/>
  <c r="H2466" i="2"/>
  <c r="G2466" i="2"/>
  <c r="F2466" i="2"/>
  <c r="E2466" i="2"/>
  <c r="C2466" i="2"/>
  <c r="B2466" i="2"/>
  <c r="N2465" i="2"/>
  <c r="K2465" i="2"/>
  <c r="H2465" i="2"/>
  <c r="G2465" i="2"/>
  <c r="F2465" i="2"/>
  <c r="E2465" i="2"/>
  <c r="C2465" i="2"/>
  <c r="B2465" i="2"/>
  <c r="N2464" i="2"/>
  <c r="K2464" i="2"/>
  <c r="H2464" i="2"/>
  <c r="G2464" i="2"/>
  <c r="F2464" i="2"/>
  <c r="E2464" i="2"/>
  <c r="C2464" i="2"/>
  <c r="B2464" i="2"/>
  <c r="N2463" i="2"/>
  <c r="K2463" i="2"/>
  <c r="H2463" i="2"/>
  <c r="G2463" i="2"/>
  <c r="F2463" i="2"/>
  <c r="E2463" i="2"/>
  <c r="C2463" i="2"/>
  <c r="B2463" i="2"/>
  <c r="N2462" i="2"/>
  <c r="K2462" i="2"/>
  <c r="H2462" i="2"/>
  <c r="G2462" i="2"/>
  <c r="F2462" i="2"/>
  <c r="E2462" i="2"/>
  <c r="C2462" i="2"/>
  <c r="B2462" i="2"/>
  <c r="N2461" i="2"/>
  <c r="K2461" i="2"/>
  <c r="H2461" i="2"/>
  <c r="G2461" i="2"/>
  <c r="F2461" i="2"/>
  <c r="E2461" i="2"/>
  <c r="C2461" i="2"/>
  <c r="B2461" i="2"/>
  <c r="N2460" i="2"/>
  <c r="K2460" i="2"/>
  <c r="H2460" i="2"/>
  <c r="G2460" i="2"/>
  <c r="F2460" i="2"/>
  <c r="E2460" i="2"/>
  <c r="C2460" i="2"/>
  <c r="B2460" i="2"/>
  <c r="N2459" i="2"/>
  <c r="K2459" i="2"/>
  <c r="H2459" i="2"/>
  <c r="G2459" i="2"/>
  <c r="F2459" i="2"/>
  <c r="E2459" i="2"/>
  <c r="C2459" i="2"/>
  <c r="B2459" i="2"/>
  <c r="N2458" i="2"/>
  <c r="K2458" i="2"/>
  <c r="H2458" i="2"/>
  <c r="G2458" i="2"/>
  <c r="F2458" i="2"/>
  <c r="E2458" i="2"/>
  <c r="C2458" i="2"/>
  <c r="B2458" i="2"/>
  <c r="N2457" i="2"/>
  <c r="K2457" i="2"/>
  <c r="H2457" i="2"/>
  <c r="G2457" i="2"/>
  <c r="F2457" i="2"/>
  <c r="E2457" i="2"/>
  <c r="C2457" i="2"/>
  <c r="B2457" i="2"/>
  <c r="N2456" i="2"/>
  <c r="L2456" i="2"/>
  <c r="K2456" i="2"/>
  <c r="H2456" i="2"/>
  <c r="G2456" i="2"/>
  <c r="F2456" i="2"/>
  <c r="E2456" i="2"/>
  <c r="C2456" i="2"/>
  <c r="B2456" i="2"/>
  <c r="N2455" i="2"/>
  <c r="K2455" i="2"/>
  <c r="H2455" i="2"/>
  <c r="G2455" i="2"/>
  <c r="F2455" i="2"/>
  <c r="E2455" i="2"/>
  <c r="C2455" i="2"/>
  <c r="B2455" i="2"/>
  <c r="N2454" i="2"/>
  <c r="K2454" i="2"/>
  <c r="H2454" i="2"/>
  <c r="G2454" i="2"/>
  <c r="F2454" i="2"/>
  <c r="E2454" i="2"/>
  <c r="C2454" i="2"/>
  <c r="B2454" i="2"/>
  <c r="N2453" i="2"/>
  <c r="K2453" i="2"/>
  <c r="H2453" i="2"/>
  <c r="G2453" i="2"/>
  <c r="F2453" i="2"/>
  <c r="E2453" i="2"/>
  <c r="C2453" i="2"/>
  <c r="B2453" i="2"/>
  <c r="N2452" i="2"/>
  <c r="K2452" i="2"/>
  <c r="H2452" i="2"/>
  <c r="G2452" i="2"/>
  <c r="F2452" i="2"/>
  <c r="E2452" i="2"/>
  <c r="C2452" i="2"/>
  <c r="B2452" i="2"/>
  <c r="N2451" i="2"/>
  <c r="K2451" i="2"/>
  <c r="H2451" i="2"/>
  <c r="G2451" i="2"/>
  <c r="F2451" i="2"/>
  <c r="E2451" i="2"/>
  <c r="C2451" i="2"/>
  <c r="B2451" i="2"/>
  <c r="N2450" i="2"/>
  <c r="K2450" i="2"/>
  <c r="H2450" i="2"/>
  <c r="G2450" i="2"/>
  <c r="F2450" i="2"/>
  <c r="E2450" i="2"/>
  <c r="C2450" i="2"/>
  <c r="B2450" i="2"/>
  <c r="N2449" i="2"/>
  <c r="K2449" i="2"/>
  <c r="H2449" i="2"/>
  <c r="G2449" i="2"/>
  <c r="F2449" i="2"/>
  <c r="E2449" i="2"/>
  <c r="C2449" i="2"/>
  <c r="B2449" i="2"/>
  <c r="N2448" i="2"/>
  <c r="K2448" i="2"/>
  <c r="H2448" i="2"/>
  <c r="G2448" i="2"/>
  <c r="F2448" i="2"/>
  <c r="E2448" i="2"/>
  <c r="C2448" i="2"/>
  <c r="B2448" i="2"/>
  <c r="N2447" i="2"/>
  <c r="K2447" i="2"/>
  <c r="H2447" i="2"/>
  <c r="G2447" i="2"/>
  <c r="F2447" i="2"/>
  <c r="E2447" i="2"/>
  <c r="C2447" i="2"/>
  <c r="B2447" i="2"/>
  <c r="N2446" i="2"/>
  <c r="K2446" i="2"/>
  <c r="H2446" i="2"/>
  <c r="G2446" i="2"/>
  <c r="F2446" i="2"/>
  <c r="E2446" i="2"/>
  <c r="C2446" i="2"/>
  <c r="B2446" i="2"/>
  <c r="N2445" i="2"/>
  <c r="K2445" i="2"/>
  <c r="H2445" i="2"/>
  <c r="G2445" i="2"/>
  <c r="F2445" i="2"/>
  <c r="E2445" i="2"/>
  <c r="C2445" i="2"/>
  <c r="B2445" i="2"/>
  <c r="N2444" i="2"/>
  <c r="K2444" i="2"/>
  <c r="H2444" i="2"/>
  <c r="G2444" i="2"/>
  <c r="F2444" i="2"/>
  <c r="E2444" i="2"/>
  <c r="C2444" i="2"/>
  <c r="B2444" i="2"/>
  <c r="N2443" i="2"/>
  <c r="K2443" i="2"/>
  <c r="H2443" i="2"/>
  <c r="G2443" i="2"/>
  <c r="F2443" i="2"/>
  <c r="E2443" i="2"/>
  <c r="C2443" i="2"/>
  <c r="B2443" i="2"/>
  <c r="N2442" i="2"/>
  <c r="K2442" i="2"/>
  <c r="H2442" i="2"/>
  <c r="G2442" i="2"/>
  <c r="F2442" i="2"/>
  <c r="E2442" i="2"/>
  <c r="C2442" i="2"/>
  <c r="B2442" i="2"/>
  <c r="N2441" i="2"/>
  <c r="K2441" i="2"/>
  <c r="H2441" i="2"/>
  <c r="G2441" i="2"/>
  <c r="F2441" i="2"/>
  <c r="E2441" i="2"/>
  <c r="C2441" i="2"/>
  <c r="B2441" i="2"/>
  <c r="N2440" i="2"/>
  <c r="K2440" i="2"/>
  <c r="H2440" i="2"/>
  <c r="G2440" i="2"/>
  <c r="F2440" i="2"/>
  <c r="E2440" i="2"/>
  <c r="C2440" i="2"/>
  <c r="B2440" i="2"/>
  <c r="N2439" i="2"/>
  <c r="K2439" i="2"/>
  <c r="H2439" i="2"/>
  <c r="G2439" i="2"/>
  <c r="F2439" i="2"/>
  <c r="E2439" i="2"/>
  <c r="C2439" i="2"/>
  <c r="B2439" i="2"/>
  <c r="N2438" i="2"/>
  <c r="K2438" i="2"/>
  <c r="H2438" i="2"/>
  <c r="G2438" i="2"/>
  <c r="F2438" i="2"/>
  <c r="E2438" i="2"/>
  <c r="C2438" i="2"/>
  <c r="B2438" i="2"/>
  <c r="N2437" i="2"/>
  <c r="K2437" i="2"/>
  <c r="H2437" i="2"/>
  <c r="G2437" i="2"/>
  <c r="F2437" i="2"/>
  <c r="E2437" i="2"/>
  <c r="C2437" i="2"/>
  <c r="B2437" i="2"/>
  <c r="N2436" i="2"/>
  <c r="K2436" i="2"/>
  <c r="H2436" i="2"/>
  <c r="G2436" i="2"/>
  <c r="F2436" i="2"/>
  <c r="E2436" i="2"/>
  <c r="C2436" i="2"/>
  <c r="B2436" i="2"/>
  <c r="N2435" i="2"/>
  <c r="K2435" i="2"/>
  <c r="H2435" i="2"/>
  <c r="G2435" i="2"/>
  <c r="F2435" i="2"/>
  <c r="E2435" i="2"/>
  <c r="C2435" i="2"/>
  <c r="B2435" i="2"/>
  <c r="N2434" i="2"/>
  <c r="K2434" i="2"/>
  <c r="H2434" i="2"/>
  <c r="G2434" i="2"/>
  <c r="F2434" i="2"/>
  <c r="E2434" i="2"/>
  <c r="C2434" i="2"/>
  <c r="B2434" i="2"/>
  <c r="N2433" i="2"/>
  <c r="K2433" i="2"/>
  <c r="H2433" i="2"/>
  <c r="G2433" i="2"/>
  <c r="F2433" i="2"/>
  <c r="E2433" i="2"/>
  <c r="C2433" i="2"/>
  <c r="B2433" i="2"/>
  <c r="N2432" i="2"/>
  <c r="K2432" i="2"/>
  <c r="H2432" i="2"/>
  <c r="G2432" i="2"/>
  <c r="F2432" i="2"/>
  <c r="E2432" i="2"/>
  <c r="C2432" i="2"/>
  <c r="B2432" i="2"/>
  <c r="N2431" i="2"/>
  <c r="K2431" i="2"/>
  <c r="H2431" i="2"/>
  <c r="G2431" i="2"/>
  <c r="F2431" i="2"/>
  <c r="E2431" i="2"/>
  <c r="C2431" i="2"/>
  <c r="B2431" i="2"/>
  <c r="N2430" i="2"/>
  <c r="K2430" i="2"/>
  <c r="H2430" i="2"/>
  <c r="G2430" i="2"/>
  <c r="F2430" i="2"/>
  <c r="E2430" i="2"/>
  <c r="C2430" i="2"/>
  <c r="B2430" i="2"/>
  <c r="N2429" i="2"/>
  <c r="K2429" i="2"/>
  <c r="H2429" i="2"/>
  <c r="G2429" i="2"/>
  <c r="F2429" i="2"/>
  <c r="E2429" i="2"/>
  <c r="C2429" i="2"/>
  <c r="B2429" i="2"/>
  <c r="N2428" i="2"/>
  <c r="K2428" i="2"/>
  <c r="H2428" i="2"/>
  <c r="G2428" i="2"/>
  <c r="F2428" i="2"/>
  <c r="E2428" i="2"/>
  <c r="C2428" i="2"/>
  <c r="B2428" i="2"/>
  <c r="N2427" i="2"/>
  <c r="K2427" i="2"/>
  <c r="H2427" i="2"/>
  <c r="G2427" i="2"/>
  <c r="F2427" i="2"/>
  <c r="E2427" i="2"/>
  <c r="C2427" i="2"/>
  <c r="B2427" i="2"/>
  <c r="N2426" i="2"/>
  <c r="K2426" i="2"/>
  <c r="H2426" i="2"/>
  <c r="G2426" i="2"/>
  <c r="F2426" i="2"/>
  <c r="E2426" i="2"/>
  <c r="C2426" i="2"/>
  <c r="B2426" i="2"/>
  <c r="N2425" i="2"/>
  <c r="K2425" i="2"/>
  <c r="H2425" i="2"/>
  <c r="G2425" i="2"/>
  <c r="F2425" i="2"/>
  <c r="E2425" i="2"/>
  <c r="C2425" i="2"/>
  <c r="B2425" i="2"/>
  <c r="N2424" i="2"/>
  <c r="K2424" i="2"/>
  <c r="H2424" i="2"/>
  <c r="G2424" i="2"/>
  <c r="F2424" i="2"/>
  <c r="E2424" i="2"/>
  <c r="C2424" i="2"/>
  <c r="B2424" i="2"/>
  <c r="N2423" i="2"/>
  <c r="K2423" i="2"/>
  <c r="H2423" i="2"/>
  <c r="G2423" i="2"/>
  <c r="F2423" i="2"/>
  <c r="E2423" i="2"/>
  <c r="C2423" i="2"/>
  <c r="B2423" i="2"/>
  <c r="N2422" i="2"/>
  <c r="K2422" i="2"/>
  <c r="H2422" i="2"/>
  <c r="G2422" i="2"/>
  <c r="F2422" i="2"/>
  <c r="E2422" i="2"/>
  <c r="C2422" i="2"/>
  <c r="B2422" i="2"/>
  <c r="N2421" i="2"/>
  <c r="K2421" i="2"/>
  <c r="H2421" i="2"/>
  <c r="G2421" i="2"/>
  <c r="F2421" i="2"/>
  <c r="E2421" i="2"/>
  <c r="C2421" i="2"/>
  <c r="B2421" i="2"/>
  <c r="N2420" i="2"/>
  <c r="K2420" i="2"/>
  <c r="H2420" i="2"/>
  <c r="G2420" i="2"/>
  <c r="F2420" i="2"/>
  <c r="E2420" i="2"/>
  <c r="C2420" i="2"/>
  <c r="B2420" i="2"/>
  <c r="N2419" i="2"/>
  <c r="K2419" i="2"/>
  <c r="H2419" i="2"/>
  <c r="G2419" i="2"/>
  <c r="F2419" i="2"/>
  <c r="E2419" i="2"/>
  <c r="C2419" i="2"/>
  <c r="B2419" i="2"/>
  <c r="N2418" i="2"/>
  <c r="K2418" i="2"/>
  <c r="H2418" i="2"/>
  <c r="G2418" i="2"/>
  <c r="F2418" i="2"/>
  <c r="E2418" i="2"/>
  <c r="C2418" i="2"/>
  <c r="B2418" i="2"/>
  <c r="N2417" i="2"/>
  <c r="K2417" i="2"/>
  <c r="H2417" i="2"/>
  <c r="G2417" i="2"/>
  <c r="F2417" i="2"/>
  <c r="E2417" i="2"/>
  <c r="C2417" i="2"/>
  <c r="B2417" i="2"/>
  <c r="N2416" i="2"/>
  <c r="K2416" i="2"/>
  <c r="H2416" i="2"/>
  <c r="G2416" i="2"/>
  <c r="F2416" i="2"/>
  <c r="E2416" i="2"/>
  <c r="C2416" i="2"/>
  <c r="B2416" i="2"/>
  <c r="N2415" i="2"/>
  <c r="K2415" i="2"/>
  <c r="H2415" i="2"/>
  <c r="G2415" i="2"/>
  <c r="F2415" i="2"/>
  <c r="E2415" i="2"/>
  <c r="C2415" i="2"/>
  <c r="B2415" i="2"/>
  <c r="N2414" i="2"/>
  <c r="K2414" i="2"/>
  <c r="H2414" i="2"/>
  <c r="G2414" i="2"/>
  <c r="F2414" i="2"/>
  <c r="E2414" i="2"/>
  <c r="C2414" i="2"/>
  <c r="B2414" i="2"/>
  <c r="N2413" i="2"/>
  <c r="K2413" i="2"/>
  <c r="H2413" i="2"/>
  <c r="G2413" i="2"/>
  <c r="F2413" i="2"/>
  <c r="E2413" i="2"/>
  <c r="C2413" i="2"/>
  <c r="B2413" i="2"/>
  <c r="N2412" i="2"/>
  <c r="K2412" i="2"/>
  <c r="H2412" i="2"/>
  <c r="G2412" i="2"/>
  <c r="F2412" i="2"/>
  <c r="E2412" i="2"/>
  <c r="C2412" i="2"/>
  <c r="B2412" i="2"/>
  <c r="N2411" i="2"/>
  <c r="K2411" i="2"/>
  <c r="H2411" i="2"/>
  <c r="G2411" i="2"/>
  <c r="F2411" i="2"/>
  <c r="E2411" i="2"/>
  <c r="C2411" i="2"/>
  <c r="B2411" i="2"/>
  <c r="N2410" i="2"/>
  <c r="K2410" i="2"/>
  <c r="H2410" i="2"/>
  <c r="G2410" i="2"/>
  <c r="F2410" i="2"/>
  <c r="E2410" i="2"/>
  <c r="C2410" i="2"/>
  <c r="B2410" i="2"/>
  <c r="N2409" i="2"/>
  <c r="K2409" i="2"/>
  <c r="H2409" i="2"/>
  <c r="G2409" i="2"/>
  <c r="F2409" i="2"/>
  <c r="E2409" i="2"/>
  <c r="C2409" i="2"/>
  <c r="B2409" i="2"/>
  <c r="N2408" i="2"/>
  <c r="K2408" i="2"/>
  <c r="H2408" i="2"/>
  <c r="G2408" i="2"/>
  <c r="F2408" i="2"/>
  <c r="E2408" i="2"/>
  <c r="C2408" i="2"/>
  <c r="B2408" i="2"/>
  <c r="N2407" i="2"/>
  <c r="K2407" i="2"/>
  <c r="H2407" i="2"/>
  <c r="G2407" i="2"/>
  <c r="F2407" i="2"/>
  <c r="E2407" i="2"/>
  <c r="C2407" i="2"/>
  <c r="B2407" i="2"/>
  <c r="N2406" i="2"/>
  <c r="K2406" i="2"/>
  <c r="H2406" i="2"/>
  <c r="G2406" i="2"/>
  <c r="F2406" i="2"/>
  <c r="E2406" i="2"/>
  <c r="C2406" i="2"/>
  <c r="B2406" i="2"/>
  <c r="N2405" i="2"/>
  <c r="K2405" i="2"/>
  <c r="H2405" i="2"/>
  <c r="G2405" i="2"/>
  <c r="F2405" i="2"/>
  <c r="E2405" i="2"/>
  <c r="C2405" i="2"/>
  <c r="B2405" i="2"/>
  <c r="N2404" i="2"/>
  <c r="K2404" i="2"/>
  <c r="H2404" i="2"/>
  <c r="G2404" i="2"/>
  <c r="F2404" i="2"/>
  <c r="E2404" i="2"/>
  <c r="C2404" i="2"/>
  <c r="B2404" i="2"/>
  <c r="N2403" i="2"/>
  <c r="K2403" i="2"/>
  <c r="H2403" i="2"/>
  <c r="G2403" i="2"/>
  <c r="F2403" i="2"/>
  <c r="E2403" i="2"/>
  <c r="C2403" i="2"/>
  <c r="B2403" i="2"/>
  <c r="N2402" i="2"/>
  <c r="K2402" i="2"/>
  <c r="H2402" i="2"/>
  <c r="G2402" i="2"/>
  <c r="F2402" i="2"/>
  <c r="E2402" i="2"/>
  <c r="C2402" i="2"/>
  <c r="B2402" i="2"/>
  <c r="N2401" i="2"/>
  <c r="K2401" i="2"/>
  <c r="H2401" i="2"/>
  <c r="G2401" i="2"/>
  <c r="F2401" i="2"/>
  <c r="E2401" i="2"/>
  <c r="C2401" i="2"/>
  <c r="B2401" i="2"/>
  <c r="N2400" i="2"/>
  <c r="K2400" i="2"/>
  <c r="H2400" i="2"/>
  <c r="G2400" i="2"/>
  <c r="F2400" i="2"/>
  <c r="E2400" i="2"/>
  <c r="C2400" i="2"/>
  <c r="B2400" i="2"/>
  <c r="N2399" i="2"/>
  <c r="K2399" i="2"/>
  <c r="H2399" i="2"/>
  <c r="G2399" i="2"/>
  <c r="F2399" i="2"/>
  <c r="E2399" i="2"/>
  <c r="C2399" i="2"/>
  <c r="B2399" i="2"/>
  <c r="N2398" i="2"/>
  <c r="K2398" i="2"/>
  <c r="H2398" i="2"/>
  <c r="G2398" i="2"/>
  <c r="F2398" i="2"/>
  <c r="E2398" i="2"/>
  <c r="C2398" i="2"/>
  <c r="B2398" i="2"/>
  <c r="N2397" i="2"/>
  <c r="K2397" i="2"/>
  <c r="H2397" i="2"/>
  <c r="G2397" i="2"/>
  <c r="F2397" i="2"/>
  <c r="E2397" i="2"/>
  <c r="C2397" i="2"/>
  <c r="B2397" i="2"/>
  <c r="N2396" i="2"/>
  <c r="K2396" i="2"/>
  <c r="H2396" i="2"/>
  <c r="G2396" i="2"/>
  <c r="F2396" i="2"/>
  <c r="E2396" i="2"/>
  <c r="C2396" i="2"/>
  <c r="B2396" i="2"/>
  <c r="N2395" i="2"/>
  <c r="K2395" i="2"/>
  <c r="H2395" i="2"/>
  <c r="G2395" i="2"/>
  <c r="F2395" i="2"/>
  <c r="E2395" i="2"/>
  <c r="C2395" i="2"/>
  <c r="B2395" i="2"/>
  <c r="N2394" i="2"/>
  <c r="K2394" i="2"/>
  <c r="H2394" i="2"/>
  <c r="G2394" i="2"/>
  <c r="F2394" i="2"/>
  <c r="E2394" i="2"/>
  <c r="C2394" i="2"/>
  <c r="B2394" i="2"/>
  <c r="N2393" i="2"/>
  <c r="K2393" i="2"/>
  <c r="H2393" i="2"/>
  <c r="G2393" i="2"/>
  <c r="F2393" i="2"/>
  <c r="E2393" i="2"/>
  <c r="C2393" i="2"/>
  <c r="B2393" i="2"/>
  <c r="N2392" i="2"/>
  <c r="K2392" i="2"/>
  <c r="H2392" i="2"/>
  <c r="G2392" i="2"/>
  <c r="F2392" i="2"/>
  <c r="E2392" i="2"/>
  <c r="C2392" i="2"/>
  <c r="B2392" i="2"/>
  <c r="N2391" i="2"/>
  <c r="K2391" i="2"/>
  <c r="H2391" i="2"/>
  <c r="G2391" i="2"/>
  <c r="F2391" i="2"/>
  <c r="E2391" i="2"/>
  <c r="C2391" i="2"/>
  <c r="B2391" i="2"/>
  <c r="N2390" i="2"/>
  <c r="K2390" i="2"/>
  <c r="H2390" i="2"/>
  <c r="G2390" i="2"/>
  <c r="F2390" i="2"/>
  <c r="E2390" i="2"/>
  <c r="C2390" i="2"/>
  <c r="B2390" i="2"/>
  <c r="N2389" i="2"/>
  <c r="K2389" i="2"/>
  <c r="H2389" i="2"/>
  <c r="G2389" i="2"/>
  <c r="F2389" i="2"/>
  <c r="E2389" i="2"/>
  <c r="C2389" i="2"/>
  <c r="B2389" i="2"/>
  <c r="N2388" i="2"/>
  <c r="K2388" i="2"/>
  <c r="H2388" i="2"/>
  <c r="G2388" i="2"/>
  <c r="F2388" i="2"/>
  <c r="E2388" i="2"/>
  <c r="C2388" i="2"/>
  <c r="B2388" i="2"/>
  <c r="N2387" i="2"/>
  <c r="K2387" i="2"/>
  <c r="H2387" i="2"/>
  <c r="G2387" i="2"/>
  <c r="F2387" i="2"/>
  <c r="E2387" i="2"/>
  <c r="C2387" i="2"/>
  <c r="B2387" i="2"/>
  <c r="N2386" i="2"/>
  <c r="K2386" i="2"/>
  <c r="H2386" i="2"/>
  <c r="G2386" i="2"/>
  <c r="F2386" i="2"/>
  <c r="E2386" i="2"/>
  <c r="C2386" i="2"/>
  <c r="B2386" i="2"/>
  <c r="N2385" i="2"/>
  <c r="K2385" i="2"/>
  <c r="H2385" i="2"/>
  <c r="G2385" i="2"/>
  <c r="F2385" i="2"/>
  <c r="E2385" i="2"/>
  <c r="C2385" i="2"/>
  <c r="B2385" i="2"/>
  <c r="N2384" i="2"/>
  <c r="K2384" i="2"/>
  <c r="H2384" i="2"/>
  <c r="G2384" i="2"/>
  <c r="F2384" i="2"/>
  <c r="E2384" i="2"/>
  <c r="C2384" i="2"/>
  <c r="B2384" i="2"/>
  <c r="N2383" i="2"/>
  <c r="K2383" i="2"/>
  <c r="H2383" i="2"/>
  <c r="G2383" i="2"/>
  <c r="F2383" i="2"/>
  <c r="E2383" i="2"/>
  <c r="C2383" i="2"/>
  <c r="B2383" i="2"/>
  <c r="N2382" i="2"/>
  <c r="K2382" i="2"/>
  <c r="H2382" i="2"/>
  <c r="G2382" i="2"/>
  <c r="F2382" i="2"/>
  <c r="E2382" i="2"/>
  <c r="C2382" i="2"/>
  <c r="B2382" i="2"/>
  <c r="N2381" i="2"/>
  <c r="K2381" i="2"/>
  <c r="H2381" i="2"/>
  <c r="G2381" i="2"/>
  <c r="F2381" i="2"/>
  <c r="E2381" i="2"/>
  <c r="C2381" i="2"/>
  <c r="B2381" i="2"/>
  <c r="N2380" i="2"/>
  <c r="K2380" i="2"/>
  <c r="H2380" i="2"/>
  <c r="G2380" i="2"/>
  <c r="F2380" i="2"/>
  <c r="E2380" i="2"/>
  <c r="C2380" i="2"/>
  <c r="B2380" i="2"/>
  <c r="N2379" i="2"/>
  <c r="K2379" i="2"/>
  <c r="H2379" i="2"/>
  <c r="G2379" i="2"/>
  <c r="F2379" i="2"/>
  <c r="E2379" i="2"/>
  <c r="C2379" i="2"/>
  <c r="B2379" i="2"/>
  <c r="N2378" i="2"/>
  <c r="K2378" i="2"/>
  <c r="H2378" i="2"/>
  <c r="G2378" i="2"/>
  <c r="F2378" i="2"/>
  <c r="E2378" i="2"/>
  <c r="C2378" i="2"/>
  <c r="B2378" i="2"/>
  <c r="N2377" i="2"/>
  <c r="K2377" i="2"/>
  <c r="H2377" i="2"/>
  <c r="G2377" i="2"/>
  <c r="F2377" i="2"/>
  <c r="E2377" i="2"/>
  <c r="C2377" i="2"/>
  <c r="B2377" i="2"/>
  <c r="N2376" i="2"/>
  <c r="K2376" i="2"/>
  <c r="H2376" i="2"/>
  <c r="G2376" i="2"/>
  <c r="F2376" i="2"/>
  <c r="E2376" i="2"/>
  <c r="C2376" i="2"/>
  <c r="B2376" i="2"/>
  <c r="N2375" i="2"/>
  <c r="K2375" i="2"/>
  <c r="H2375" i="2"/>
  <c r="G2375" i="2"/>
  <c r="F2375" i="2"/>
  <c r="E2375" i="2"/>
  <c r="C2375" i="2"/>
  <c r="B2375" i="2"/>
  <c r="N2374" i="2"/>
  <c r="K2374" i="2"/>
  <c r="H2374" i="2"/>
  <c r="G2374" i="2"/>
  <c r="F2374" i="2"/>
  <c r="E2374" i="2"/>
  <c r="C2374" i="2"/>
  <c r="B2374" i="2"/>
  <c r="N2373" i="2"/>
  <c r="K2373" i="2"/>
  <c r="H2373" i="2"/>
  <c r="G2373" i="2"/>
  <c r="F2373" i="2"/>
  <c r="E2373" i="2"/>
  <c r="C2373" i="2"/>
  <c r="B2373" i="2"/>
  <c r="N2372" i="2"/>
  <c r="K2372" i="2"/>
  <c r="H2372" i="2"/>
  <c r="G2372" i="2"/>
  <c r="F2372" i="2"/>
  <c r="E2372" i="2"/>
  <c r="C2372" i="2"/>
  <c r="B2372" i="2"/>
  <c r="N2371" i="2"/>
  <c r="K2371" i="2"/>
  <c r="H2371" i="2"/>
  <c r="G2371" i="2"/>
  <c r="F2371" i="2"/>
  <c r="E2371" i="2"/>
  <c r="C2371" i="2"/>
  <c r="B2371" i="2"/>
  <c r="N2370" i="2"/>
  <c r="K2370" i="2"/>
  <c r="H2370" i="2"/>
  <c r="G2370" i="2"/>
  <c r="F2370" i="2"/>
  <c r="E2370" i="2"/>
  <c r="C2370" i="2"/>
  <c r="B2370" i="2"/>
  <c r="N2369" i="2"/>
  <c r="K2369" i="2"/>
  <c r="H2369" i="2"/>
  <c r="G2369" i="2"/>
  <c r="F2369" i="2"/>
  <c r="E2369" i="2"/>
  <c r="C2369" i="2"/>
  <c r="B2369" i="2"/>
  <c r="N2368" i="2"/>
  <c r="K2368" i="2"/>
  <c r="H2368" i="2"/>
  <c r="G2368" i="2"/>
  <c r="F2368" i="2"/>
  <c r="E2368" i="2"/>
  <c r="C2368" i="2"/>
  <c r="B2368" i="2"/>
  <c r="N2367" i="2"/>
  <c r="K2367" i="2"/>
  <c r="H2367" i="2"/>
  <c r="G2367" i="2"/>
  <c r="F2367" i="2"/>
  <c r="E2367" i="2"/>
  <c r="C2367" i="2"/>
  <c r="B2367" i="2"/>
  <c r="N2366" i="2"/>
  <c r="K2366" i="2"/>
  <c r="H2366" i="2"/>
  <c r="G2366" i="2"/>
  <c r="F2366" i="2"/>
  <c r="E2366" i="2"/>
  <c r="C2366" i="2"/>
  <c r="B2366" i="2"/>
  <c r="N2365" i="2"/>
  <c r="K2365" i="2"/>
  <c r="H2365" i="2"/>
  <c r="G2365" i="2"/>
  <c r="F2365" i="2"/>
  <c r="E2365" i="2"/>
  <c r="C2365" i="2"/>
  <c r="B2365" i="2"/>
  <c r="N2364" i="2"/>
  <c r="K2364" i="2"/>
  <c r="H2364" i="2"/>
  <c r="G2364" i="2"/>
  <c r="F2364" i="2"/>
  <c r="E2364" i="2"/>
  <c r="C2364" i="2"/>
  <c r="B2364" i="2"/>
  <c r="N2363" i="2"/>
  <c r="K2363" i="2"/>
  <c r="H2363" i="2"/>
  <c r="G2363" i="2"/>
  <c r="F2363" i="2"/>
  <c r="E2363" i="2"/>
  <c r="C2363" i="2"/>
  <c r="B2363" i="2"/>
  <c r="N2362" i="2"/>
  <c r="K2362" i="2"/>
  <c r="H2362" i="2"/>
  <c r="G2362" i="2"/>
  <c r="F2362" i="2"/>
  <c r="E2362" i="2"/>
  <c r="C2362" i="2"/>
  <c r="B2362" i="2"/>
  <c r="N2361" i="2"/>
  <c r="K2361" i="2"/>
  <c r="H2361" i="2"/>
  <c r="G2361" i="2"/>
  <c r="F2361" i="2"/>
  <c r="E2361" i="2"/>
  <c r="C2361" i="2"/>
  <c r="B2361" i="2"/>
  <c r="N2360" i="2"/>
  <c r="K2360" i="2"/>
  <c r="H2360" i="2"/>
  <c r="G2360" i="2"/>
  <c r="F2360" i="2"/>
  <c r="E2360" i="2"/>
  <c r="C2360" i="2"/>
  <c r="B2360" i="2"/>
  <c r="N2359" i="2"/>
  <c r="K2359" i="2"/>
  <c r="H2359" i="2"/>
  <c r="G2359" i="2"/>
  <c r="F2359" i="2"/>
  <c r="E2359" i="2"/>
  <c r="C2359" i="2"/>
  <c r="B2359" i="2"/>
  <c r="N2358" i="2"/>
  <c r="K2358" i="2"/>
  <c r="H2358" i="2"/>
  <c r="G2358" i="2"/>
  <c r="F2358" i="2"/>
  <c r="E2358" i="2"/>
  <c r="C2358" i="2"/>
  <c r="B2358" i="2"/>
  <c r="N2357" i="2"/>
  <c r="K2357" i="2"/>
  <c r="H2357" i="2"/>
  <c r="G2357" i="2"/>
  <c r="F2357" i="2"/>
  <c r="E2357" i="2"/>
  <c r="C2357" i="2"/>
  <c r="B2357" i="2"/>
  <c r="N2356" i="2"/>
  <c r="K2356" i="2"/>
  <c r="H2356" i="2"/>
  <c r="G2356" i="2"/>
  <c r="F2356" i="2"/>
  <c r="E2356" i="2"/>
  <c r="C2356" i="2"/>
  <c r="B2356" i="2"/>
  <c r="N2355" i="2"/>
  <c r="K2355" i="2"/>
  <c r="H2355" i="2"/>
  <c r="G2355" i="2"/>
  <c r="F2355" i="2"/>
  <c r="E2355" i="2"/>
  <c r="C2355" i="2"/>
  <c r="B2355" i="2"/>
  <c r="N2354" i="2"/>
  <c r="K2354" i="2"/>
  <c r="H2354" i="2"/>
  <c r="G2354" i="2"/>
  <c r="F2354" i="2"/>
  <c r="E2354" i="2"/>
  <c r="C2354" i="2"/>
  <c r="B2354" i="2"/>
  <c r="N2353" i="2"/>
  <c r="K2353" i="2"/>
  <c r="H2353" i="2"/>
  <c r="G2353" i="2"/>
  <c r="F2353" i="2"/>
  <c r="E2353" i="2"/>
  <c r="C2353" i="2"/>
  <c r="B2353" i="2"/>
  <c r="N2352" i="2"/>
  <c r="K2352" i="2"/>
  <c r="H2352" i="2"/>
  <c r="G2352" i="2"/>
  <c r="F2352" i="2"/>
  <c r="E2352" i="2"/>
  <c r="C2352" i="2"/>
  <c r="B2352" i="2"/>
  <c r="N2351" i="2"/>
  <c r="K2351" i="2"/>
  <c r="H2351" i="2"/>
  <c r="G2351" i="2"/>
  <c r="F2351" i="2"/>
  <c r="E2351" i="2"/>
  <c r="C2351" i="2"/>
  <c r="B2351" i="2"/>
  <c r="N2350" i="2"/>
  <c r="K2350" i="2"/>
  <c r="H2350" i="2"/>
  <c r="G2350" i="2"/>
  <c r="F2350" i="2"/>
  <c r="E2350" i="2"/>
  <c r="C2350" i="2"/>
  <c r="B2350" i="2"/>
  <c r="N2349" i="2"/>
  <c r="K2349" i="2"/>
  <c r="H2349" i="2"/>
  <c r="G2349" i="2"/>
  <c r="F2349" i="2"/>
  <c r="E2349" i="2"/>
  <c r="C2349" i="2"/>
  <c r="B2349" i="2"/>
  <c r="N2348" i="2"/>
  <c r="K2348" i="2"/>
  <c r="H2348" i="2"/>
  <c r="G2348" i="2"/>
  <c r="F2348" i="2"/>
  <c r="E2348" i="2"/>
  <c r="C2348" i="2"/>
  <c r="B2348" i="2"/>
  <c r="N2347" i="2"/>
  <c r="K2347" i="2"/>
  <c r="H2347" i="2"/>
  <c r="G2347" i="2"/>
  <c r="F2347" i="2"/>
  <c r="E2347" i="2"/>
  <c r="C2347" i="2"/>
  <c r="B2347" i="2"/>
  <c r="N2346" i="2"/>
  <c r="K2346" i="2"/>
  <c r="H2346" i="2"/>
  <c r="G2346" i="2"/>
  <c r="F2346" i="2"/>
  <c r="E2346" i="2"/>
  <c r="C2346" i="2"/>
  <c r="B2346" i="2"/>
  <c r="N2345" i="2"/>
  <c r="K2345" i="2"/>
  <c r="H2345" i="2"/>
  <c r="G2345" i="2"/>
  <c r="F2345" i="2"/>
  <c r="E2345" i="2"/>
  <c r="C2345" i="2"/>
  <c r="B2345" i="2"/>
  <c r="N2344" i="2"/>
  <c r="K2344" i="2"/>
  <c r="H2344" i="2"/>
  <c r="G2344" i="2"/>
  <c r="F2344" i="2"/>
  <c r="E2344" i="2"/>
  <c r="C2344" i="2"/>
  <c r="B2344" i="2"/>
  <c r="N2343" i="2"/>
  <c r="K2343" i="2"/>
  <c r="H2343" i="2"/>
  <c r="G2343" i="2"/>
  <c r="F2343" i="2"/>
  <c r="E2343" i="2"/>
  <c r="C2343" i="2"/>
  <c r="B2343" i="2"/>
  <c r="N2342" i="2"/>
  <c r="K2342" i="2"/>
  <c r="H2342" i="2"/>
  <c r="G2342" i="2"/>
  <c r="F2342" i="2"/>
  <c r="E2342" i="2"/>
  <c r="C2342" i="2"/>
  <c r="B2342" i="2"/>
  <c r="N2341" i="2"/>
  <c r="K2341" i="2"/>
  <c r="H2341" i="2"/>
  <c r="G2341" i="2"/>
  <c r="F2341" i="2"/>
  <c r="E2341" i="2"/>
  <c r="C2341" i="2"/>
  <c r="B2341" i="2"/>
  <c r="N2340" i="2"/>
  <c r="K2340" i="2"/>
  <c r="H2340" i="2"/>
  <c r="G2340" i="2"/>
  <c r="F2340" i="2"/>
  <c r="E2340" i="2"/>
  <c r="C2340" i="2"/>
  <c r="B2340" i="2"/>
  <c r="N2339" i="2"/>
  <c r="K2339" i="2"/>
  <c r="H2339" i="2"/>
  <c r="G2339" i="2"/>
  <c r="F2339" i="2"/>
  <c r="E2339" i="2"/>
  <c r="C2339" i="2"/>
  <c r="B2339" i="2"/>
  <c r="N2338" i="2"/>
  <c r="K2338" i="2"/>
  <c r="H2338" i="2"/>
  <c r="G2338" i="2"/>
  <c r="F2338" i="2"/>
  <c r="E2338" i="2"/>
  <c r="C2338" i="2"/>
  <c r="B2338" i="2"/>
  <c r="N2337" i="2"/>
  <c r="K2337" i="2"/>
  <c r="H2337" i="2"/>
  <c r="G2337" i="2"/>
  <c r="F2337" i="2"/>
  <c r="E2337" i="2"/>
  <c r="C2337" i="2"/>
  <c r="B2337" i="2"/>
  <c r="N2336" i="2"/>
  <c r="K2336" i="2"/>
  <c r="H2336" i="2"/>
  <c r="G2336" i="2"/>
  <c r="F2336" i="2"/>
  <c r="E2336" i="2"/>
  <c r="C2336" i="2"/>
  <c r="B2336" i="2"/>
  <c r="N2335" i="2"/>
  <c r="K2335" i="2"/>
  <c r="H2335" i="2"/>
  <c r="G2335" i="2"/>
  <c r="F2335" i="2"/>
  <c r="E2335" i="2"/>
  <c r="C2335" i="2"/>
  <c r="B2335" i="2"/>
  <c r="N2334" i="2"/>
  <c r="K2334" i="2"/>
  <c r="H2334" i="2"/>
  <c r="G2334" i="2"/>
  <c r="F2334" i="2"/>
  <c r="E2334" i="2"/>
  <c r="C2334" i="2"/>
  <c r="B2334" i="2"/>
  <c r="N2333" i="2"/>
  <c r="K2333" i="2"/>
  <c r="H2333" i="2"/>
  <c r="G2333" i="2"/>
  <c r="F2333" i="2"/>
  <c r="E2333" i="2"/>
  <c r="C2333" i="2"/>
  <c r="B2333" i="2"/>
  <c r="N2332" i="2"/>
  <c r="K2332" i="2"/>
  <c r="H2332" i="2"/>
  <c r="G2332" i="2"/>
  <c r="F2332" i="2"/>
  <c r="E2332" i="2"/>
  <c r="C2332" i="2"/>
  <c r="B2332" i="2"/>
  <c r="N2331" i="2"/>
  <c r="K2331" i="2"/>
  <c r="H2331" i="2"/>
  <c r="G2331" i="2"/>
  <c r="F2331" i="2"/>
  <c r="E2331" i="2"/>
  <c r="C2331" i="2"/>
  <c r="B2331" i="2"/>
  <c r="N2330" i="2"/>
  <c r="K2330" i="2"/>
  <c r="H2330" i="2"/>
  <c r="G2330" i="2"/>
  <c r="F2330" i="2"/>
  <c r="E2330" i="2"/>
  <c r="C2330" i="2"/>
  <c r="B2330" i="2"/>
  <c r="N2329" i="2"/>
  <c r="K2329" i="2"/>
  <c r="H2329" i="2"/>
  <c r="G2329" i="2"/>
  <c r="F2329" i="2"/>
  <c r="E2329" i="2"/>
  <c r="C2329" i="2"/>
  <c r="B2329" i="2"/>
  <c r="N2328" i="2"/>
  <c r="K2328" i="2"/>
  <c r="H2328" i="2"/>
  <c r="G2328" i="2"/>
  <c r="F2328" i="2"/>
  <c r="E2328" i="2"/>
  <c r="C2328" i="2"/>
  <c r="B2328" i="2"/>
  <c r="N2327" i="2"/>
  <c r="K2327" i="2"/>
  <c r="H2327" i="2"/>
  <c r="G2327" i="2"/>
  <c r="F2327" i="2"/>
  <c r="E2327" i="2"/>
  <c r="C2327" i="2"/>
  <c r="B2327" i="2"/>
  <c r="N2326" i="2"/>
  <c r="K2326" i="2"/>
  <c r="H2326" i="2"/>
  <c r="G2326" i="2"/>
  <c r="F2326" i="2"/>
  <c r="E2326" i="2"/>
  <c r="C2326" i="2"/>
  <c r="B2326" i="2"/>
  <c r="N2325" i="2"/>
  <c r="K2325" i="2"/>
  <c r="H2325" i="2"/>
  <c r="G2325" i="2"/>
  <c r="F2325" i="2"/>
  <c r="E2325" i="2"/>
  <c r="C2325" i="2"/>
  <c r="B2325" i="2"/>
  <c r="N2324" i="2"/>
  <c r="K2324" i="2"/>
  <c r="H2324" i="2"/>
  <c r="G2324" i="2"/>
  <c r="F2324" i="2"/>
  <c r="E2324" i="2"/>
  <c r="C2324" i="2"/>
  <c r="B2324" i="2"/>
  <c r="N2323" i="2"/>
  <c r="K2323" i="2"/>
  <c r="H2323" i="2"/>
  <c r="G2323" i="2"/>
  <c r="F2323" i="2"/>
  <c r="E2323" i="2"/>
  <c r="C2323" i="2"/>
  <c r="B2323" i="2"/>
  <c r="N2322" i="2"/>
  <c r="K2322" i="2"/>
  <c r="H2322" i="2"/>
  <c r="G2322" i="2"/>
  <c r="F2322" i="2"/>
  <c r="E2322" i="2"/>
  <c r="C2322" i="2"/>
  <c r="B2322" i="2"/>
  <c r="N2321" i="2"/>
  <c r="K2321" i="2"/>
  <c r="H2321" i="2"/>
  <c r="G2321" i="2"/>
  <c r="F2321" i="2"/>
  <c r="E2321" i="2"/>
  <c r="C2321" i="2"/>
  <c r="B2321" i="2"/>
  <c r="N2320" i="2"/>
  <c r="K2320" i="2"/>
  <c r="H2320" i="2"/>
  <c r="G2320" i="2"/>
  <c r="F2320" i="2"/>
  <c r="E2320" i="2"/>
  <c r="C2320" i="2"/>
  <c r="B2320" i="2"/>
  <c r="N2319" i="2"/>
  <c r="K2319" i="2"/>
  <c r="H2319" i="2"/>
  <c r="G2319" i="2"/>
  <c r="F2319" i="2"/>
  <c r="E2319" i="2"/>
  <c r="C2319" i="2"/>
  <c r="B2319" i="2"/>
  <c r="N2318" i="2"/>
  <c r="K2318" i="2"/>
  <c r="H2318" i="2"/>
  <c r="G2318" i="2"/>
  <c r="F2318" i="2"/>
  <c r="E2318" i="2"/>
  <c r="C2318" i="2"/>
  <c r="B2318" i="2"/>
  <c r="N2317" i="2"/>
  <c r="K2317" i="2"/>
  <c r="H2317" i="2"/>
  <c r="G2317" i="2"/>
  <c r="F2317" i="2"/>
  <c r="E2317" i="2"/>
  <c r="C2317" i="2"/>
  <c r="B2317" i="2"/>
  <c r="N2316" i="2"/>
  <c r="K2316" i="2"/>
  <c r="H2316" i="2"/>
  <c r="G2316" i="2"/>
  <c r="F2316" i="2"/>
  <c r="E2316" i="2"/>
  <c r="C2316" i="2"/>
  <c r="B2316" i="2"/>
  <c r="N2315" i="2"/>
  <c r="K2315" i="2"/>
  <c r="H2315" i="2"/>
  <c r="G2315" i="2"/>
  <c r="F2315" i="2"/>
  <c r="E2315" i="2"/>
  <c r="C2315" i="2"/>
  <c r="B2315" i="2"/>
  <c r="N2314" i="2"/>
  <c r="K2314" i="2"/>
  <c r="H2314" i="2"/>
  <c r="G2314" i="2"/>
  <c r="F2314" i="2"/>
  <c r="E2314" i="2"/>
  <c r="C2314" i="2"/>
  <c r="B2314" i="2"/>
  <c r="N2313" i="2"/>
  <c r="K2313" i="2"/>
  <c r="H2313" i="2"/>
  <c r="G2313" i="2"/>
  <c r="F2313" i="2"/>
  <c r="E2313" i="2"/>
  <c r="C2313" i="2"/>
  <c r="B2313" i="2"/>
  <c r="N2312" i="2"/>
  <c r="K2312" i="2"/>
  <c r="H2312" i="2"/>
  <c r="G2312" i="2"/>
  <c r="F2312" i="2"/>
  <c r="E2312" i="2"/>
  <c r="C2312" i="2"/>
  <c r="B2312" i="2"/>
  <c r="N2311" i="2"/>
  <c r="K2311" i="2"/>
  <c r="H2311" i="2"/>
  <c r="G2311" i="2"/>
  <c r="F2311" i="2"/>
  <c r="E2311" i="2"/>
  <c r="C2311" i="2"/>
  <c r="B2311" i="2"/>
  <c r="N2310" i="2"/>
  <c r="K2310" i="2"/>
  <c r="H2310" i="2"/>
  <c r="G2310" i="2"/>
  <c r="F2310" i="2"/>
  <c r="E2310" i="2"/>
  <c r="C2310" i="2"/>
  <c r="B2310" i="2"/>
  <c r="N2309" i="2"/>
  <c r="K2309" i="2"/>
  <c r="H2309" i="2"/>
  <c r="G2309" i="2"/>
  <c r="F2309" i="2"/>
  <c r="E2309" i="2"/>
  <c r="C2309" i="2"/>
  <c r="B2309" i="2"/>
  <c r="N2308" i="2"/>
  <c r="K2308" i="2"/>
  <c r="H2308" i="2"/>
  <c r="G2308" i="2"/>
  <c r="F2308" i="2"/>
  <c r="E2308" i="2"/>
  <c r="C2308" i="2"/>
  <c r="B2308" i="2"/>
  <c r="N2307" i="2"/>
  <c r="K2307" i="2"/>
  <c r="H2307" i="2"/>
  <c r="G2307" i="2"/>
  <c r="F2307" i="2"/>
  <c r="E2307" i="2"/>
  <c r="C2307" i="2"/>
  <c r="B2307" i="2"/>
  <c r="N2306" i="2"/>
  <c r="K2306" i="2"/>
  <c r="H2306" i="2"/>
  <c r="G2306" i="2"/>
  <c r="F2306" i="2"/>
  <c r="E2306" i="2"/>
  <c r="C2306" i="2"/>
  <c r="B2306" i="2"/>
  <c r="N2305" i="2"/>
  <c r="K2305" i="2"/>
  <c r="H2305" i="2"/>
  <c r="G2305" i="2"/>
  <c r="F2305" i="2"/>
  <c r="E2305" i="2"/>
  <c r="C2305" i="2"/>
  <c r="B2305" i="2"/>
  <c r="N2304" i="2"/>
  <c r="K2304" i="2"/>
  <c r="H2304" i="2"/>
  <c r="G2304" i="2"/>
  <c r="F2304" i="2"/>
  <c r="E2304" i="2"/>
  <c r="C2304" i="2"/>
  <c r="B2304" i="2"/>
  <c r="N2303" i="2"/>
  <c r="K2303" i="2"/>
  <c r="H2303" i="2"/>
  <c r="G2303" i="2"/>
  <c r="F2303" i="2"/>
  <c r="E2303" i="2"/>
  <c r="C2303" i="2"/>
  <c r="B2303" i="2"/>
  <c r="N2302" i="2"/>
  <c r="K2302" i="2"/>
  <c r="H2302" i="2"/>
  <c r="G2302" i="2"/>
  <c r="F2302" i="2"/>
  <c r="E2302" i="2"/>
  <c r="C2302" i="2"/>
  <c r="B2302" i="2"/>
  <c r="N2301" i="2"/>
  <c r="K2301" i="2"/>
  <c r="H2301" i="2"/>
  <c r="G2301" i="2"/>
  <c r="F2301" i="2"/>
  <c r="E2301" i="2"/>
  <c r="C2301" i="2"/>
  <c r="B2301" i="2"/>
  <c r="N2300" i="2"/>
  <c r="K2300" i="2"/>
  <c r="H2300" i="2"/>
  <c r="G2300" i="2"/>
  <c r="F2300" i="2"/>
  <c r="E2300" i="2"/>
  <c r="C2300" i="2"/>
  <c r="B2300" i="2"/>
  <c r="N2299" i="2"/>
  <c r="K2299" i="2"/>
  <c r="H2299" i="2"/>
  <c r="G2299" i="2"/>
  <c r="F2299" i="2"/>
  <c r="E2299" i="2"/>
  <c r="C2299" i="2"/>
  <c r="B2299" i="2"/>
  <c r="N2298" i="2"/>
  <c r="K2298" i="2"/>
  <c r="H2298" i="2"/>
  <c r="G2298" i="2"/>
  <c r="F2298" i="2"/>
  <c r="E2298" i="2"/>
  <c r="C2298" i="2"/>
  <c r="B2298" i="2"/>
  <c r="N2297" i="2"/>
  <c r="K2297" i="2"/>
  <c r="H2297" i="2"/>
  <c r="G2297" i="2"/>
  <c r="F2297" i="2"/>
  <c r="E2297" i="2"/>
  <c r="C2297" i="2"/>
  <c r="B2297" i="2"/>
  <c r="N2296" i="2"/>
  <c r="K2296" i="2"/>
  <c r="H2296" i="2"/>
  <c r="G2296" i="2"/>
  <c r="F2296" i="2"/>
  <c r="E2296" i="2"/>
  <c r="C2296" i="2"/>
  <c r="B2296" i="2"/>
  <c r="N2295" i="2"/>
  <c r="K2295" i="2"/>
  <c r="H2295" i="2"/>
  <c r="G2295" i="2"/>
  <c r="F2295" i="2"/>
  <c r="E2295" i="2"/>
  <c r="C2295" i="2"/>
  <c r="B2295" i="2"/>
  <c r="N2294" i="2"/>
  <c r="K2294" i="2"/>
  <c r="H2294" i="2"/>
  <c r="G2294" i="2"/>
  <c r="F2294" i="2"/>
  <c r="E2294" i="2"/>
  <c r="C2294" i="2"/>
  <c r="B2294" i="2"/>
  <c r="N2293" i="2"/>
  <c r="K2293" i="2"/>
  <c r="H2293" i="2"/>
  <c r="G2293" i="2"/>
  <c r="F2293" i="2"/>
  <c r="E2293" i="2"/>
  <c r="C2293" i="2"/>
  <c r="B2293" i="2"/>
  <c r="N2292" i="2"/>
  <c r="K2292" i="2"/>
  <c r="H2292" i="2"/>
  <c r="G2292" i="2"/>
  <c r="F2292" i="2"/>
  <c r="E2292" i="2"/>
  <c r="C2292" i="2"/>
  <c r="B2292" i="2"/>
  <c r="N2291" i="2"/>
  <c r="K2291" i="2"/>
  <c r="H2291" i="2"/>
  <c r="G2291" i="2"/>
  <c r="F2291" i="2"/>
  <c r="E2291" i="2"/>
  <c r="C2291" i="2"/>
  <c r="B2291" i="2"/>
  <c r="N2290" i="2"/>
  <c r="K2290" i="2"/>
  <c r="H2290" i="2"/>
  <c r="G2290" i="2"/>
  <c r="F2290" i="2"/>
  <c r="E2290" i="2"/>
  <c r="C2290" i="2"/>
  <c r="B2290" i="2"/>
  <c r="N2289" i="2"/>
  <c r="K2289" i="2"/>
  <c r="H2289" i="2"/>
  <c r="G2289" i="2"/>
  <c r="F2289" i="2"/>
  <c r="E2289" i="2"/>
  <c r="C2289" i="2"/>
  <c r="B2289" i="2"/>
  <c r="N2288" i="2"/>
  <c r="K2288" i="2"/>
  <c r="H2288" i="2"/>
  <c r="G2288" i="2"/>
  <c r="F2288" i="2"/>
  <c r="E2288" i="2"/>
  <c r="C2288" i="2"/>
  <c r="B2288" i="2"/>
  <c r="N2287" i="2"/>
  <c r="K2287" i="2"/>
  <c r="H2287" i="2"/>
  <c r="G2287" i="2"/>
  <c r="F2287" i="2"/>
  <c r="E2287" i="2"/>
  <c r="C2287" i="2"/>
  <c r="B2287" i="2"/>
  <c r="N2286" i="2"/>
  <c r="K2286" i="2"/>
  <c r="H2286" i="2"/>
  <c r="G2286" i="2"/>
  <c r="F2286" i="2"/>
  <c r="E2286" i="2"/>
  <c r="C2286" i="2"/>
  <c r="B2286" i="2"/>
  <c r="N2285" i="2"/>
  <c r="K2285" i="2"/>
  <c r="H2285" i="2"/>
  <c r="G2285" i="2"/>
  <c r="F2285" i="2"/>
  <c r="E2285" i="2"/>
  <c r="C2285" i="2"/>
  <c r="B2285" i="2"/>
  <c r="N2284" i="2"/>
  <c r="K2284" i="2"/>
  <c r="H2284" i="2"/>
  <c r="G2284" i="2"/>
  <c r="F2284" i="2"/>
  <c r="E2284" i="2"/>
  <c r="C2284" i="2"/>
  <c r="B2284" i="2"/>
  <c r="N2283" i="2"/>
  <c r="K2283" i="2"/>
  <c r="H2283" i="2"/>
  <c r="G2283" i="2"/>
  <c r="F2283" i="2"/>
  <c r="E2283" i="2"/>
  <c r="C2283" i="2"/>
  <c r="B2283" i="2"/>
  <c r="N2282" i="2"/>
  <c r="K2282" i="2"/>
  <c r="H2282" i="2"/>
  <c r="G2282" i="2"/>
  <c r="F2282" i="2"/>
  <c r="E2282" i="2"/>
  <c r="C2282" i="2"/>
  <c r="B2282" i="2"/>
  <c r="N2281" i="2"/>
  <c r="K2281" i="2"/>
  <c r="H2281" i="2"/>
  <c r="G2281" i="2"/>
  <c r="F2281" i="2"/>
  <c r="E2281" i="2"/>
  <c r="C2281" i="2"/>
  <c r="B2281" i="2"/>
  <c r="N2280" i="2"/>
  <c r="K2280" i="2"/>
  <c r="H2280" i="2"/>
  <c r="G2280" i="2"/>
  <c r="F2280" i="2"/>
  <c r="E2280" i="2"/>
  <c r="C2280" i="2"/>
  <c r="B2280" i="2"/>
  <c r="N2279" i="2"/>
  <c r="K2279" i="2"/>
  <c r="H2279" i="2"/>
  <c r="G2279" i="2"/>
  <c r="F2279" i="2"/>
  <c r="E2279" i="2"/>
  <c r="C2279" i="2"/>
  <c r="B2279" i="2"/>
  <c r="N2278" i="2"/>
  <c r="K2278" i="2"/>
  <c r="H2278" i="2"/>
  <c r="G2278" i="2"/>
  <c r="F2278" i="2"/>
  <c r="E2278" i="2"/>
  <c r="C2278" i="2"/>
  <c r="B2278" i="2"/>
  <c r="N2277" i="2"/>
  <c r="K2277" i="2"/>
  <c r="H2277" i="2"/>
  <c r="G2277" i="2"/>
  <c r="F2277" i="2"/>
  <c r="E2277" i="2"/>
  <c r="C2277" i="2"/>
  <c r="B2277" i="2"/>
  <c r="N2276" i="2"/>
  <c r="K2276" i="2"/>
  <c r="H2276" i="2"/>
  <c r="G2276" i="2"/>
  <c r="F2276" i="2"/>
  <c r="E2276" i="2"/>
  <c r="C2276" i="2"/>
  <c r="B2276" i="2"/>
  <c r="N2275" i="2"/>
  <c r="K2275" i="2"/>
  <c r="H2275" i="2"/>
  <c r="G2275" i="2"/>
  <c r="F2275" i="2"/>
  <c r="E2275" i="2"/>
  <c r="C2275" i="2"/>
  <c r="B2275" i="2"/>
  <c r="N2274" i="2"/>
  <c r="K2274" i="2"/>
  <c r="H2274" i="2"/>
  <c r="G2274" i="2"/>
  <c r="F2274" i="2"/>
  <c r="E2274" i="2"/>
  <c r="C2274" i="2"/>
  <c r="B2274" i="2"/>
  <c r="N2273" i="2"/>
  <c r="K2273" i="2"/>
  <c r="H2273" i="2"/>
  <c r="G2273" i="2"/>
  <c r="F2273" i="2"/>
  <c r="E2273" i="2"/>
  <c r="C2273" i="2"/>
  <c r="B2273" i="2"/>
  <c r="N2272" i="2"/>
  <c r="K2272" i="2"/>
  <c r="H2272" i="2"/>
  <c r="G2272" i="2"/>
  <c r="F2272" i="2"/>
  <c r="E2272" i="2"/>
  <c r="C2272" i="2"/>
  <c r="B2272" i="2"/>
  <c r="N2271" i="2"/>
  <c r="K2271" i="2"/>
  <c r="H2271" i="2"/>
  <c r="G2271" i="2"/>
  <c r="F2271" i="2"/>
  <c r="E2271" i="2"/>
  <c r="C2271" i="2"/>
  <c r="B2271" i="2"/>
  <c r="N2270" i="2"/>
  <c r="K2270" i="2"/>
  <c r="H2270" i="2"/>
  <c r="G2270" i="2"/>
  <c r="F2270" i="2"/>
  <c r="E2270" i="2"/>
  <c r="C2270" i="2"/>
  <c r="B2270" i="2"/>
  <c r="N2269" i="2"/>
  <c r="K2269" i="2"/>
  <c r="H2269" i="2"/>
  <c r="G2269" i="2"/>
  <c r="F2269" i="2"/>
  <c r="E2269" i="2"/>
  <c r="C2269" i="2"/>
  <c r="B2269" i="2"/>
  <c r="N2268" i="2"/>
  <c r="K2268" i="2"/>
  <c r="H2268" i="2"/>
  <c r="G2268" i="2"/>
  <c r="F2268" i="2"/>
  <c r="E2268" i="2"/>
  <c r="C2268" i="2"/>
  <c r="B2268" i="2"/>
  <c r="N2267" i="2"/>
  <c r="K2267" i="2"/>
  <c r="H2267" i="2"/>
  <c r="G2267" i="2"/>
  <c r="F2267" i="2"/>
  <c r="E2267" i="2"/>
  <c r="C2267" i="2"/>
  <c r="B2267" i="2"/>
  <c r="N2266" i="2"/>
  <c r="K2266" i="2"/>
  <c r="H2266" i="2"/>
  <c r="G2266" i="2"/>
  <c r="F2266" i="2"/>
  <c r="E2266" i="2"/>
  <c r="C2266" i="2"/>
  <c r="B2266" i="2"/>
  <c r="N2265" i="2"/>
  <c r="K2265" i="2"/>
  <c r="H2265" i="2"/>
  <c r="G2265" i="2"/>
  <c r="F2265" i="2"/>
  <c r="E2265" i="2"/>
  <c r="C2265" i="2"/>
  <c r="B2265" i="2"/>
  <c r="N2264" i="2"/>
  <c r="K2264" i="2"/>
  <c r="H2264" i="2"/>
  <c r="G2264" i="2"/>
  <c r="F2264" i="2"/>
  <c r="E2264" i="2"/>
  <c r="C2264" i="2"/>
  <c r="B2264" i="2"/>
  <c r="N2263" i="2"/>
  <c r="K2263" i="2"/>
  <c r="H2263" i="2"/>
  <c r="G2263" i="2"/>
  <c r="F2263" i="2"/>
  <c r="E2263" i="2"/>
  <c r="C2263" i="2"/>
  <c r="B2263" i="2"/>
  <c r="N2262" i="2"/>
  <c r="K2262" i="2"/>
  <c r="H2262" i="2"/>
  <c r="G2262" i="2"/>
  <c r="F2262" i="2"/>
  <c r="E2262" i="2"/>
  <c r="C2262" i="2"/>
  <c r="B2262" i="2"/>
  <c r="N2261" i="2"/>
  <c r="K2261" i="2"/>
  <c r="H2261" i="2"/>
  <c r="G2261" i="2"/>
  <c r="F2261" i="2"/>
  <c r="E2261" i="2"/>
  <c r="C2261" i="2"/>
  <c r="B2261" i="2"/>
  <c r="N2260" i="2"/>
  <c r="K2260" i="2"/>
  <c r="H2260" i="2"/>
  <c r="G2260" i="2"/>
  <c r="F2260" i="2"/>
  <c r="E2260" i="2"/>
  <c r="C2260" i="2"/>
  <c r="B2260" i="2"/>
  <c r="N2259" i="2"/>
  <c r="K2259" i="2"/>
  <c r="H2259" i="2"/>
  <c r="G2259" i="2"/>
  <c r="F2259" i="2"/>
  <c r="E2259" i="2"/>
  <c r="C2259" i="2"/>
  <c r="B2259" i="2"/>
  <c r="N2258" i="2"/>
  <c r="K2258" i="2"/>
  <c r="H2258" i="2"/>
  <c r="G2258" i="2"/>
  <c r="F2258" i="2"/>
  <c r="E2258" i="2"/>
  <c r="C2258" i="2"/>
  <c r="B2258" i="2"/>
  <c r="N2257" i="2"/>
  <c r="K2257" i="2"/>
  <c r="H2257" i="2"/>
  <c r="G2257" i="2"/>
  <c r="F2257" i="2"/>
  <c r="E2257" i="2"/>
  <c r="C2257" i="2"/>
  <c r="B2257" i="2"/>
  <c r="N2256" i="2"/>
  <c r="K2256" i="2"/>
  <c r="H2256" i="2"/>
  <c r="G2256" i="2"/>
  <c r="F2256" i="2"/>
  <c r="E2256" i="2"/>
  <c r="C2256" i="2"/>
  <c r="B2256" i="2"/>
  <c r="N2255" i="2"/>
  <c r="K2255" i="2"/>
  <c r="H2255" i="2"/>
  <c r="G2255" i="2"/>
  <c r="F2255" i="2"/>
  <c r="E2255" i="2"/>
  <c r="C2255" i="2"/>
  <c r="B2255" i="2"/>
  <c r="N2254" i="2"/>
  <c r="K2254" i="2"/>
  <c r="H2254" i="2"/>
  <c r="G2254" i="2"/>
  <c r="F2254" i="2"/>
  <c r="E2254" i="2"/>
  <c r="C2254" i="2"/>
  <c r="B2254" i="2"/>
  <c r="N2253" i="2"/>
  <c r="K2253" i="2"/>
  <c r="H2253" i="2"/>
  <c r="G2253" i="2"/>
  <c r="F2253" i="2"/>
  <c r="E2253" i="2"/>
  <c r="C2253" i="2"/>
  <c r="B2253" i="2"/>
  <c r="N2252" i="2"/>
  <c r="K2252" i="2"/>
  <c r="H2252" i="2"/>
  <c r="G2252" i="2"/>
  <c r="F2252" i="2"/>
  <c r="E2252" i="2"/>
  <c r="C2252" i="2"/>
  <c r="B2252" i="2"/>
  <c r="N2251" i="2"/>
  <c r="K2251" i="2"/>
  <c r="H2251" i="2"/>
  <c r="G2251" i="2"/>
  <c r="F2251" i="2"/>
  <c r="E2251" i="2"/>
  <c r="C2251" i="2"/>
  <c r="B2251" i="2"/>
  <c r="N2250" i="2"/>
  <c r="K2250" i="2"/>
  <c r="H2250" i="2"/>
  <c r="G2250" i="2"/>
  <c r="F2250" i="2"/>
  <c r="E2250" i="2"/>
  <c r="C2250" i="2"/>
  <c r="B2250" i="2"/>
  <c r="N2249" i="2"/>
  <c r="K2249" i="2"/>
  <c r="H2249" i="2"/>
  <c r="G2249" i="2"/>
  <c r="F2249" i="2"/>
  <c r="E2249" i="2"/>
  <c r="C2249" i="2"/>
  <c r="B2249" i="2"/>
  <c r="N2248" i="2"/>
  <c r="K2248" i="2"/>
  <c r="H2248" i="2"/>
  <c r="G2248" i="2"/>
  <c r="F2248" i="2"/>
  <c r="E2248" i="2"/>
  <c r="C2248" i="2"/>
  <c r="B2248" i="2"/>
  <c r="N2247" i="2"/>
  <c r="K2247" i="2"/>
  <c r="H2247" i="2"/>
  <c r="G2247" i="2"/>
  <c r="F2247" i="2"/>
  <c r="E2247" i="2"/>
  <c r="C2247" i="2"/>
  <c r="B2247" i="2"/>
  <c r="N2246" i="2"/>
  <c r="K2246" i="2"/>
  <c r="H2246" i="2"/>
  <c r="G2246" i="2"/>
  <c r="F2246" i="2"/>
  <c r="E2246" i="2"/>
  <c r="C2246" i="2"/>
  <c r="B2246" i="2"/>
  <c r="N2245" i="2"/>
  <c r="K2245" i="2"/>
  <c r="H2245" i="2"/>
  <c r="G2245" i="2"/>
  <c r="F2245" i="2"/>
  <c r="E2245" i="2"/>
  <c r="C2245" i="2"/>
  <c r="B2245" i="2"/>
  <c r="N2244" i="2"/>
  <c r="K2244" i="2"/>
  <c r="H2244" i="2"/>
  <c r="G2244" i="2"/>
  <c r="F2244" i="2"/>
  <c r="E2244" i="2"/>
  <c r="C2244" i="2"/>
  <c r="B2244" i="2"/>
  <c r="N2243" i="2"/>
  <c r="K2243" i="2"/>
  <c r="H2243" i="2"/>
  <c r="G2243" i="2"/>
  <c r="F2243" i="2"/>
  <c r="E2243" i="2"/>
  <c r="C2243" i="2"/>
  <c r="B2243" i="2"/>
  <c r="N2242" i="2"/>
  <c r="K2242" i="2"/>
  <c r="H2242" i="2"/>
  <c r="G2242" i="2"/>
  <c r="F2242" i="2"/>
  <c r="E2242" i="2"/>
  <c r="C2242" i="2"/>
  <c r="B2242" i="2"/>
  <c r="N2241" i="2"/>
  <c r="K2241" i="2"/>
  <c r="H2241" i="2"/>
  <c r="G2241" i="2"/>
  <c r="F2241" i="2"/>
  <c r="E2241" i="2"/>
  <c r="C2241" i="2"/>
  <c r="B2241" i="2"/>
  <c r="N2240" i="2"/>
  <c r="K2240" i="2"/>
  <c r="H2240" i="2"/>
  <c r="G2240" i="2"/>
  <c r="F2240" i="2"/>
  <c r="E2240" i="2"/>
  <c r="C2240" i="2"/>
  <c r="B2240" i="2"/>
  <c r="N2239" i="2"/>
  <c r="K2239" i="2"/>
  <c r="H2239" i="2"/>
  <c r="G2239" i="2"/>
  <c r="F2239" i="2"/>
  <c r="E2239" i="2"/>
  <c r="C2239" i="2"/>
  <c r="B2239" i="2"/>
  <c r="N2238" i="2"/>
  <c r="K2238" i="2"/>
  <c r="H2238" i="2"/>
  <c r="G2238" i="2"/>
  <c r="F2238" i="2"/>
  <c r="E2238" i="2"/>
  <c r="C2238" i="2"/>
  <c r="B2238" i="2"/>
  <c r="N2237" i="2"/>
  <c r="K2237" i="2"/>
  <c r="H2237" i="2"/>
  <c r="G2237" i="2"/>
  <c r="F2237" i="2"/>
  <c r="E2237" i="2"/>
  <c r="C2237" i="2"/>
  <c r="B2237" i="2"/>
  <c r="N2236" i="2"/>
  <c r="K2236" i="2"/>
  <c r="H2236" i="2"/>
  <c r="G2236" i="2"/>
  <c r="F2236" i="2"/>
  <c r="E2236" i="2"/>
  <c r="C2236" i="2"/>
  <c r="B2236" i="2"/>
  <c r="N2235" i="2"/>
  <c r="K2235" i="2"/>
  <c r="H2235" i="2"/>
  <c r="G2235" i="2"/>
  <c r="F2235" i="2"/>
  <c r="E2235" i="2"/>
  <c r="C2235" i="2"/>
  <c r="B2235" i="2"/>
  <c r="N2234" i="2"/>
  <c r="K2234" i="2"/>
  <c r="H2234" i="2"/>
  <c r="G2234" i="2"/>
  <c r="F2234" i="2"/>
  <c r="E2234" i="2"/>
  <c r="C2234" i="2"/>
  <c r="B2234" i="2"/>
  <c r="N2233" i="2"/>
  <c r="K2233" i="2"/>
  <c r="H2233" i="2"/>
  <c r="G2233" i="2"/>
  <c r="F2233" i="2"/>
  <c r="E2233" i="2"/>
  <c r="C2233" i="2"/>
  <c r="B2233" i="2"/>
  <c r="N2232" i="2"/>
  <c r="K2232" i="2"/>
  <c r="H2232" i="2"/>
  <c r="G2232" i="2"/>
  <c r="F2232" i="2"/>
  <c r="E2232" i="2"/>
  <c r="C2232" i="2"/>
  <c r="B2232" i="2"/>
  <c r="N2231" i="2"/>
  <c r="K2231" i="2"/>
  <c r="H2231" i="2"/>
  <c r="G2231" i="2"/>
  <c r="F2231" i="2"/>
  <c r="E2231" i="2"/>
  <c r="C2231" i="2"/>
  <c r="B2231" i="2"/>
  <c r="N2230" i="2"/>
  <c r="K2230" i="2"/>
  <c r="H2230" i="2"/>
  <c r="G2230" i="2"/>
  <c r="F2230" i="2"/>
  <c r="E2230" i="2"/>
  <c r="C2230" i="2"/>
  <c r="B2230" i="2"/>
  <c r="N2229" i="2"/>
  <c r="K2229" i="2"/>
  <c r="H2229" i="2"/>
  <c r="G2229" i="2"/>
  <c r="F2229" i="2"/>
  <c r="E2229" i="2"/>
  <c r="C2229" i="2"/>
  <c r="B2229" i="2"/>
  <c r="N2228" i="2"/>
  <c r="K2228" i="2"/>
  <c r="H2228" i="2"/>
  <c r="G2228" i="2"/>
  <c r="F2228" i="2"/>
  <c r="E2228" i="2"/>
  <c r="C2228" i="2"/>
  <c r="B2228" i="2"/>
  <c r="N2227" i="2"/>
  <c r="K2227" i="2"/>
  <c r="H2227" i="2"/>
  <c r="G2227" i="2"/>
  <c r="F2227" i="2"/>
  <c r="E2227" i="2"/>
  <c r="C2227" i="2"/>
  <c r="B2227" i="2"/>
  <c r="N2226" i="2"/>
  <c r="K2226" i="2"/>
  <c r="H2226" i="2"/>
  <c r="G2226" i="2"/>
  <c r="F2226" i="2"/>
  <c r="E2226" i="2"/>
  <c r="C2226" i="2"/>
  <c r="B2226" i="2"/>
  <c r="N2225" i="2"/>
  <c r="K2225" i="2"/>
  <c r="H2225" i="2"/>
  <c r="G2225" i="2"/>
  <c r="F2225" i="2"/>
  <c r="E2225" i="2"/>
  <c r="C2225" i="2"/>
  <c r="B2225" i="2"/>
  <c r="N2224" i="2"/>
  <c r="K2224" i="2"/>
  <c r="H2224" i="2"/>
  <c r="G2224" i="2"/>
  <c r="F2224" i="2"/>
  <c r="E2224" i="2"/>
  <c r="C2224" i="2"/>
  <c r="B2224" i="2"/>
  <c r="N2223" i="2"/>
  <c r="K2223" i="2"/>
  <c r="H2223" i="2"/>
  <c r="G2223" i="2"/>
  <c r="F2223" i="2"/>
  <c r="E2223" i="2"/>
  <c r="C2223" i="2"/>
  <c r="B2223" i="2"/>
  <c r="N2222" i="2"/>
  <c r="K2222" i="2"/>
  <c r="H2222" i="2"/>
  <c r="G2222" i="2"/>
  <c r="F2222" i="2"/>
  <c r="E2222" i="2"/>
  <c r="C2222" i="2"/>
  <c r="B2222" i="2"/>
  <c r="N2221" i="2"/>
  <c r="K2221" i="2"/>
  <c r="H2221" i="2"/>
  <c r="G2221" i="2"/>
  <c r="F2221" i="2"/>
  <c r="E2221" i="2"/>
  <c r="C2221" i="2"/>
  <c r="B2221" i="2"/>
  <c r="N2220" i="2"/>
  <c r="K2220" i="2"/>
  <c r="H2220" i="2"/>
  <c r="G2220" i="2"/>
  <c r="F2220" i="2"/>
  <c r="E2220" i="2"/>
  <c r="C2220" i="2"/>
  <c r="B2220" i="2"/>
  <c r="N2219" i="2"/>
  <c r="K2219" i="2"/>
  <c r="H2219" i="2"/>
  <c r="G2219" i="2"/>
  <c r="F2219" i="2"/>
  <c r="E2219" i="2"/>
  <c r="C2219" i="2"/>
  <c r="B2219" i="2"/>
  <c r="N2218" i="2"/>
  <c r="K2218" i="2"/>
  <c r="H2218" i="2"/>
  <c r="G2218" i="2"/>
  <c r="F2218" i="2"/>
  <c r="E2218" i="2"/>
  <c r="C2218" i="2"/>
  <c r="B2218" i="2"/>
  <c r="N2217" i="2"/>
  <c r="K2217" i="2"/>
  <c r="H2217" i="2"/>
  <c r="G2217" i="2"/>
  <c r="F2217" i="2"/>
  <c r="E2217" i="2"/>
  <c r="C2217" i="2"/>
  <c r="B2217" i="2"/>
  <c r="N2216" i="2"/>
  <c r="K2216" i="2"/>
  <c r="H2216" i="2"/>
  <c r="G2216" i="2"/>
  <c r="F2216" i="2"/>
  <c r="E2216" i="2"/>
  <c r="C2216" i="2"/>
  <c r="B2216" i="2"/>
  <c r="N2215" i="2"/>
  <c r="K2215" i="2"/>
  <c r="H2215" i="2"/>
  <c r="G2215" i="2"/>
  <c r="F2215" i="2"/>
  <c r="E2215" i="2"/>
  <c r="C2215" i="2"/>
  <c r="B2215" i="2"/>
  <c r="N2214" i="2"/>
  <c r="K2214" i="2"/>
  <c r="H2214" i="2"/>
  <c r="G2214" i="2"/>
  <c r="F2214" i="2"/>
  <c r="E2214" i="2"/>
  <c r="C2214" i="2"/>
  <c r="B2214" i="2"/>
  <c r="N2213" i="2"/>
  <c r="K2213" i="2"/>
  <c r="H2213" i="2"/>
  <c r="G2213" i="2"/>
  <c r="F2213" i="2"/>
  <c r="E2213" i="2"/>
  <c r="C2213" i="2"/>
  <c r="B2213" i="2"/>
  <c r="N2212" i="2"/>
  <c r="K2212" i="2"/>
  <c r="H2212" i="2"/>
  <c r="G2212" i="2"/>
  <c r="F2212" i="2"/>
  <c r="E2212" i="2"/>
  <c r="C2212" i="2"/>
  <c r="B2212" i="2"/>
  <c r="N2211" i="2"/>
  <c r="K2211" i="2"/>
  <c r="H2211" i="2"/>
  <c r="G2211" i="2"/>
  <c r="F2211" i="2"/>
  <c r="E2211" i="2"/>
  <c r="C2211" i="2"/>
  <c r="B2211" i="2"/>
  <c r="N2210" i="2"/>
  <c r="K2210" i="2"/>
  <c r="H2210" i="2"/>
  <c r="G2210" i="2"/>
  <c r="F2210" i="2"/>
  <c r="E2210" i="2"/>
  <c r="C2210" i="2"/>
  <c r="B2210" i="2"/>
  <c r="N2209" i="2"/>
  <c r="K2209" i="2"/>
  <c r="H2209" i="2"/>
  <c r="G2209" i="2"/>
  <c r="F2209" i="2"/>
  <c r="E2209" i="2"/>
  <c r="C2209" i="2"/>
  <c r="B2209" i="2"/>
  <c r="N2208" i="2"/>
  <c r="K2208" i="2"/>
  <c r="H2208" i="2"/>
  <c r="G2208" i="2"/>
  <c r="F2208" i="2"/>
  <c r="E2208" i="2"/>
  <c r="C2208" i="2"/>
  <c r="B2208" i="2"/>
  <c r="N2207" i="2"/>
  <c r="K2207" i="2"/>
  <c r="H2207" i="2"/>
  <c r="G2207" i="2"/>
  <c r="F2207" i="2"/>
  <c r="E2207" i="2"/>
  <c r="C2207" i="2"/>
  <c r="B2207" i="2"/>
  <c r="N2206" i="2"/>
  <c r="K2206" i="2"/>
  <c r="H2206" i="2"/>
  <c r="G2206" i="2"/>
  <c r="F2206" i="2"/>
  <c r="E2206" i="2"/>
  <c r="C2206" i="2"/>
  <c r="B2206" i="2"/>
  <c r="N2205" i="2"/>
  <c r="K2205" i="2"/>
  <c r="H2205" i="2"/>
  <c r="G2205" i="2"/>
  <c r="F2205" i="2"/>
  <c r="E2205" i="2"/>
  <c r="C2205" i="2"/>
  <c r="B2205" i="2"/>
  <c r="N2204" i="2"/>
  <c r="K2204" i="2"/>
  <c r="H2204" i="2"/>
  <c r="G2204" i="2"/>
  <c r="F2204" i="2"/>
  <c r="E2204" i="2"/>
  <c r="C2204" i="2"/>
  <c r="B2204" i="2"/>
  <c r="N2203" i="2"/>
  <c r="K2203" i="2"/>
  <c r="H2203" i="2"/>
  <c r="G2203" i="2"/>
  <c r="F2203" i="2"/>
  <c r="E2203" i="2"/>
  <c r="C2203" i="2"/>
  <c r="B2203" i="2"/>
  <c r="N2202" i="2"/>
  <c r="K2202" i="2"/>
  <c r="H2202" i="2"/>
  <c r="G2202" i="2"/>
  <c r="F2202" i="2"/>
  <c r="E2202" i="2"/>
  <c r="C2202" i="2"/>
  <c r="B2202" i="2"/>
  <c r="N2201" i="2"/>
  <c r="K2201" i="2"/>
  <c r="H2201" i="2"/>
  <c r="G2201" i="2"/>
  <c r="F2201" i="2"/>
  <c r="E2201" i="2"/>
  <c r="C2201" i="2"/>
  <c r="B2201" i="2"/>
  <c r="N2200" i="2"/>
  <c r="K2200" i="2"/>
  <c r="H2200" i="2"/>
  <c r="G2200" i="2"/>
  <c r="F2200" i="2"/>
  <c r="E2200" i="2"/>
  <c r="C2200" i="2"/>
  <c r="B2200" i="2"/>
  <c r="N2199" i="2"/>
  <c r="K2199" i="2"/>
  <c r="H2199" i="2"/>
  <c r="G2199" i="2"/>
  <c r="F2199" i="2"/>
  <c r="E2199" i="2"/>
  <c r="C2199" i="2"/>
  <c r="B2199" i="2"/>
  <c r="N2198" i="2"/>
  <c r="K2198" i="2"/>
  <c r="H2198" i="2"/>
  <c r="G2198" i="2"/>
  <c r="F2198" i="2"/>
  <c r="E2198" i="2"/>
  <c r="C2198" i="2"/>
  <c r="B2198" i="2"/>
  <c r="N2197" i="2"/>
  <c r="K2197" i="2"/>
  <c r="H2197" i="2"/>
  <c r="G2197" i="2"/>
  <c r="F2197" i="2"/>
  <c r="E2197" i="2"/>
  <c r="C2197" i="2"/>
  <c r="B2197" i="2"/>
  <c r="N2196" i="2"/>
  <c r="K2196" i="2"/>
  <c r="H2196" i="2"/>
  <c r="G2196" i="2"/>
  <c r="F2196" i="2"/>
  <c r="E2196" i="2"/>
  <c r="C2196" i="2"/>
  <c r="B2196" i="2"/>
  <c r="N2195" i="2"/>
  <c r="K2195" i="2"/>
  <c r="H2195" i="2"/>
  <c r="G2195" i="2"/>
  <c r="F2195" i="2"/>
  <c r="E2195" i="2"/>
  <c r="C2195" i="2"/>
  <c r="B2195" i="2"/>
  <c r="N2194" i="2"/>
  <c r="K2194" i="2"/>
  <c r="H2194" i="2"/>
  <c r="G2194" i="2"/>
  <c r="F2194" i="2"/>
  <c r="E2194" i="2"/>
  <c r="C2194" i="2"/>
  <c r="B2194" i="2"/>
  <c r="N2193" i="2"/>
  <c r="K2193" i="2"/>
  <c r="H2193" i="2"/>
  <c r="G2193" i="2"/>
  <c r="F2193" i="2"/>
  <c r="E2193" i="2"/>
  <c r="C2193" i="2"/>
  <c r="B2193" i="2"/>
  <c r="N2192" i="2"/>
  <c r="K2192" i="2"/>
  <c r="H2192" i="2"/>
  <c r="G2192" i="2"/>
  <c r="F2192" i="2"/>
  <c r="E2192" i="2"/>
  <c r="C2192" i="2"/>
  <c r="B2192" i="2"/>
  <c r="N2191" i="2"/>
  <c r="K2191" i="2"/>
  <c r="H2191" i="2"/>
  <c r="G2191" i="2"/>
  <c r="F2191" i="2"/>
  <c r="E2191" i="2"/>
  <c r="C2191" i="2"/>
  <c r="B2191" i="2"/>
  <c r="N2190" i="2"/>
  <c r="K2190" i="2"/>
  <c r="H2190" i="2"/>
  <c r="G2190" i="2"/>
  <c r="F2190" i="2"/>
  <c r="E2190" i="2"/>
  <c r="C2190" i="2"/>
  <c r="B2190" i="2"/>
  <c r="N2189" i="2"/>
  <c r="K2189" i="2"/>
  <c r="H2189" i="2"/>
  <c r="G2189" i="2"/>
  <c r="F2189" i="2"/>
  <c r="E2189" i="2"/>
  <c r="C2189" i="2"/>
  <c r="B2189" i="2"/>
  <c r="N2188" i="2"/>
  <c r="K2188" i="2"/>
  <c r="H2188" i="2"/>
  <c r="G2188" i="2"/>
  <c r="F2188" i="2"/>
  <c r="E2188" i="2"/>
  <c r="C2188" i="2"/>
  <c r="B2188" i="2"/>
  <c r="N2187" i="2"/>
  <c r="K2187" i="2"/>
  <c r="H2187" i="2"/>
  <c r="G2187" i="2"/>
  <c r="F2187" i="2"/>
  <c r="E2187" i="2"/>
  <c r="C2187" i="2"/>
  <c r="B2187" i="2"/>
  <c r="N2186" i="2"/>
  <c r="K2186" i="2"/>
  <c r="H2186" i="2"/>
  <c r="G2186" i="2"/>
  <c r="F2186" i="2"/>
  <c r="E2186" i="2"/>
  <c r="C2186" i="2"/>
  <c r="B2186" i="2"/>
  <c r="N2185" i="2"/>
  <c r="K2185" i="2"/>
  <c r="H2185" i="2"/>
  <c r="G2185" i="2"/>
  <c r="F2185" i="2"/>
  <c r="E2185" i="2"/>
  <c r="C2185" i="2"/>
  <c r="B2185" i="2"/>
  <c r="N2184" i="2"/>
  <c r="K2184" i="2"/>
  <c r="H2184" i="2"/>
  <c r="G2184" i="2"/>
  <c r="F2184" i="2"/>
  <c r="E2184" i="2"/>
  <c r="C2184" i="2"/>
  <c r="B2184" i="2"/>
  <c r="N2183" i="2"/>
  <c r="K2183" i="2"/>
  <c r="H2183" i="2"/>
  <c r="G2183" i="2"/>
  <c r="F2183" i="2"/>
  <c r="E2183" i="2"/>
  <c r="C2183" i="2"/>
  <c r="B2183" i="2"/>
  <c r="N2182" i="2"/>
  <c r="K2182" i="2"/>
  <c r="H2182" i="2"/>
  <c r="G2182" i="2"/>
  <c r="F2182" i="2"/>
  <c r="E2182" i="2"/>
  <c r="C2182" i="2"/>
  <c r="B2182" i="2"/>
  <c r="N2181" i="2"/>
  <c r="K2181" i="2"/>
  <c r="H2181" i="2"/>
  <c r="G2181" i="2"/>
  <c r="F2181" i="2"/>
  <c r="E2181" i="2"/>
  <c r="C2181" i="2"/>
  <c r="B2181" i="2"/>
  <c r="N2180" i="2"/>
  <c r="K2180" i="2"/>
  <c r="H2180" i="2"/>
  <c r="G2180" i="2"/>
  <c r="F2180" i="2"/>
  <c r="E2180" i="2"/>
  <c r="C2180" i="2"/>
  <c r="B2180" i="2"/>
  <c r="N2179" i="2"/>
  <c r="K2179" i="2"/>
  <c r="H2179" i="2"/>
  <c r="G2179" i="2"/>
  <c r="F2179" i="2"/>
  <c r="E2179" i="2"/>
  <c r="C2179" i="2"/>
  <c r="B2179" i="2"/>
  <c r="N2178" i="2"/>
  <c r="K2178" i="2"/>
  <c r="H2178" i="2"/>
  <c r="G2178" i="2"/>
  <c r="F2178" i="2"/>
  <c r="E2178" i="2"/>
  <c r="C2178" i="2"/>
  <c r="B2178" i="2"/>
  <c r="N2177" i="2"/>
  <c r="K2177" i="2"/>
  <c r="H2177" i="2"/>
  <c r="G2177" i="2"/>
  <c r="F2177" i="2"/>
  <c r="E2177" i="2"/>
  <c r="C2177" i="2"/>
  <c r="B2177" i="2"/>
  <c r="N2176" i="2"/>
  <c r="K2176" i="2"/>
  <c r="H2176" i="2"/>
  <c r="G2176" i="2"/>
  <c r="F2176" i="2"/>
  <c r="E2176" i="2"/>
  <c r="C2176" i="2"/>
  <c r="B2176" i="2"/>
  <c r="N2175" i="2"/>
  <c r="K2175" i="2"/>
  <c r="H2175" i="2"/>
  <c r="G2175" i="2"/>
  <c r="F2175" i="2"/>
  <c r="E2175" i="2"/>
  <c r="C2175" i="2"/>
  <c r="B2175" i="2"/>
  <c r="N2174" i="2"/>
  <c r="K2174" i="2"/>
  <c r="H2174" i="2"/>
  <c r="G2174" i="2"/>
  <c r="F2174" i="2"/>
  <c r="E2174" i="2"/>
  <c r="C2174" i="2"/>
  <c r="B2174" i="2"/>
  <c r="N2173" i="2"/>
  <c r="K2173" i="2"/>
  <c r="H2173" i="2"/>
  <c r="G2173" i="2"/>
  <c r="F2173" i="2"/>
  <c r="E2173" i="2"/>
  <c r="C2173" i="2"/>
  <c r="B2173" i="2"/>
  <c r="N2172" i="2"/>
  <c r="K2172" i="2"/>
  <c r="H2172" i="2"/>
  <c r="G2172" i="2"/>
  <c r="F2172" i="2"/>
  <c r="E2172" i="2"/>
  <c r="C2172" i="2"/>
  <c r="B2172" i="2"/>
  <c r="N2171" i="2"/>
  <c r="K2171" i="2"/>
  <c r="H2171" i="2"/>
  <c r="G2171" i="2"/>
  <c r="F2171" i="2"/>
  <c r="E2171" i="2"/>
  <c r="C2171" i="2"/>
  <c r="B2171" i="2"/>
  <c r="N2170" i="2"/>
  <c r="K2170" i="2"/>
  <c r="H2170" i="2"/>
  <c r="G2170" i="2"/>
  <c r="F2170" i="2"/>
  <c r="E2170" i="2"/>
  <c r="C2170" i="2"/>
  <c r="B2170" i="2"/>
  <c r="N2169" i="2"/>
  <c r="K2169" i="2"/>
  <c r="H2169" i="2"/>
  <c r="G2169" i="2"/>
  <c r="F2169" i="2"/>
  <c r="E2169" i="2"/>
  <c r="C2169" i="2"/>
  <c r="B2169" i="2"/>
  <c r="N2168" i="2"/>
  <c r="K2168" i="2"/>
  <c r="H2168" i="2"/>
  <c r="G2168" i="2"/>
  <c r="F2168" i="2"/>
  <c r="E2168" i="2"/>
  <c r="C2168" i="2"/>
  <c r="B2168" i="2"/>
  <c r="N2167" i="2"/>
  <c r="K2167" i="2"/>
  <c r="H2167" i="2"/>
  <c r="G2167" i="2"/>
  <c r="F2167" i="2"/>
  <c r="E2167" i="2"/>
  <c r="C2167" i="2"/>
  <c r="B2167" i="2"/>
  <c r="N2166" i="2"/>
  <c r="K2166" i="2"/>
  <c r="H2166" i="2"/>
  <c r="G2166" i="2"/>
  <c r="F2166" i="2"/>
  <c r="E2166" i="2"/>
  <c r="C2166" i="2"/>
  <c r="B2166" i="2"/>
  <c r="N2165" i="2"/>
  <c r="K2165" i="2"/>
  <c r="H2165" i="2"/>
  <c r="G2165" i="2"/>
  <c r="F2165" i="2"/>
  <c r="E2165" i="2"/>
  <c r="C2165" i="2"/>
  <c r="B2165" i="2"/>
  <c r="N2164" i="2"/>
  <c r="K2164" i="2"/>
  <c r="H2164" i="2"/>
  <c r="G2164" i="2"/>
  <c r="F2164" i="2"/>
  <c r="E2164" i="2"/>
  <c r="C2164" i="2"/>
  <c r="B2164" i="2"/>
  <c r="N2163" i="2"/>
  <c r="K2163" i="2"/>
  <c r="H2163" i="2"/>
  <c r="G2163" i="2"/>
  <c r="F2163" i="2"/>
  <c r="E2163" i="2"/>
  <c r="C2163" i="2"/>
  <c r="B2163" i="2"/>
  <c r="N2162" i="2"/>
  <c r="K2162" i="2"/>
  <c r="H2162" i="2"/>
  <c r="G2162" i="2"/>
  <c r="F2162" i="2"/>
  <c r="E2162" i="2"/>
  <c r="C2162" i="2"/>
  <c r="B2162" i="2"/>
  <c r="N2161" i="2"/>
  <c r="K2161" i="2"/>
  <c r="H2161" i="2"/>
  <c r="G2161" i="2"/>
  <c r="F2161" i="2"/>
  <c r="E2161" i="2"/>
  <c r="C2161" i="2"/>
  <c r="B2161" i="2"/>
  <c r="N2160" i="2"/>
  <c r="K2160" i="2"/>
  <c r="H2160" i="2"/>
  <c r="G2160" i="2"/>
  <c r="F2160" i="2"/>
  <c r="E2160" i="2"/>
  <c r="C2160" i="2"/>
  <c r="B2160" i="2"/>
  <c r="N2159" i="2"/>
  <c r="K2159" i="2"/>
  <c r="H2159" i="2"/>
  <c r="G2159" i="2"/>
  <c r="F2159" i="2"/>
  <c r="E2159" i="2"/>
  <c r="C2159" i="2"/>
  <c r="B2159" i="2"/>
  <c r="N2158" i="2"/>
  <c r="K2158" i="2"/>
  <c r="H2158" i="2"/>
  <c r="G2158" i="2"/>
  <c r="F2158" i="2"/>
  <c r="E2158" i="2"/>
  <c r="C2158" i="2"/>
  <c r="B2158" i="2"/>
  <c r="N2157" i="2"/>
  <c r="K2157" i="2"/>
  <c r="H2157" i="2"/>
  <c r="G2157" i="2"/>
  <c r="F2157" i="2"/>
  <c r="E2157" i="2"/>
  <c r="C2157" i="2"/>
  <c r="B2157" i="2"/>
  <c r="N2156" i="2"/>
  <c r="K2156" i="2"/>
  <c r="H2156" i="2"/>
  <c r="G2156" i="2"/>
  <c r="F2156" i="2"/>
  <c r="E2156" i="2"/>
  <c r="C2156" i="2"/>
  <c r="B2156" i="2"/>
  <c r="N2155" i="2"/>
  <c r="K2155" i="2"/>
  <c r="H2155" i="2"/>
  <c r="G2155" i="2"/>
  <c r="F2155" i="2"/>
  <c r="E2155" i="2"/>
  <c r="C2155" i="2"/>
  <c r="B2155" i="2"/>
  <c r="N2154" i="2"/>
  <c r="K2154" i="2"/>
  <c r="H2154" i="2"/>
  <c r="G2154" i="2"/>
  <c r="F2154" i="2"/>
  <c r="E2154" i="2"/>
  <c r="C2154" i="2"/>
  <c r="B2154" i="2"/>
  <c r="N2153" i="2"/>
  <c r="K2153" i="2"/>
  <c r="H2153" i="2"/>
  <c r="G2153" i="2"/>
  <c r="F2153" i="2"/>
  <c r="E2153" i="2"/>
  <c r="C2153" i="2"/>
  <c r="B2153" i="2"/>
  <c r="N2152" i="2"/>
  <c r="K2152" i="2"/>
  <c r="H2152" i="2"/>
  <c r="G2152" i="2"/>
  <c r="F2152" i="2"/>
  <c r="E2152" i="2"/>
  <c r="C2152" i="2"/>
  <c r="B2152" i="2"/>
  <c r="N2151" i="2"/>
  <c r="K2151" i="2"/>
  <c r="H2151" i="2"/>
  <c r="G2151" i="2"/>
  <c r="F2151" i="2"/>
  <c r="E2151" i="2"/>
  <c r="C2151" i="2"/>
  <c r="B2151" i="2"/>
  <c r="N2150" i="2"/>
  <c r="K2150" i="2"/>
  <c r="H2150" i="2"/>
  <c r="G2150" i="2"/>
  <c r="F2150" i="2"/>
  <c r="E2150" i="2"/>
  <c r="C2150" i="2"/>
  <c r="B2150" i="2"/>
  <c r="N2149" i="2"/>
  <c r="K2149" i="2"/>
  <c r="H2149" i="2"/>
  <c r="G2149" i="2"/>
  <c r="F2149" i="2"/>
  <c r="E2149" i="2"/>
  <c r="C2149" i="2"/>
  <c r="B2149" i="2"/>
  <c r="N2148" i="2"/>
  <c r="K2148" i="2"/>
  <c r="H2148" i="2"/>
  <c r="G2148" i="2"/>
  <c r="F2148" i="2"/>
  <c r="E2148" i="2"/>
  <c r="C2148" i="2"/>
  <c r="B2148" i="2"/>
  <c r="N2147" i="2"/>
  <c r="K2147" i="2"/>
  <c r="H2147" i="2"/>
  <c r="G2147" i="2"/>
  <c r="F2147" i="2"/>
  <c r="E2147" i="2"/>
  <c r="C2147" i="2"/>
  <c r="B2147" i="2"/>
  <c r="N2146" i="2"/>
  <c r="K2146" i="2"/>
  <c r="H2146" i="2"/>
  <c r="G2146" i="2"/>
  <c r="F2146" i="2"/>
  <c r="E2146" i="2"/>
  <c r="C2146" i="2"/>
  <c r="B2146" i="2"/>
  <c r="N2145" i="2"/>
  <c r="K2145" i="2"/>
  <c r="H2145" i="2"/>
  <c r="G2145" i="2"/>
  <c r="F2145" i="2"/>
  <c r="E2145" i="2"/>
  <c r="C2145" i="2"/>
  <c r="B2145" i="2"/>
  <c r="N2144" i="2"/>
  <c r="K2144" i="2"/>
  <c r="H2144" i="2"/>
  <c r="G2144" i="2"/>
  <c r="F2144" i="2"/>
  <c r="E2144" i="2"/>
  <c r="C2144" i="2"/>
  <c r="B2144" i="2"/>
  <c r="N2143" i="2"/>
  <c r="K2143" i="2"/>
  <c r="H2143" i="2"/>
  <c r="G2143" i="2"/>
  <c r="F2143" i="2"/>
  <c r="E2143" i="2"/>
  <c r="C2143" i="2"/>
  <c r="B2143" i="2"/>
  <c r="N2142" i="2"/>
  <c r="K2142" i="2"/>
  <c r="H2142" i="2"/>
  <c r="G2142" i="2"/>
  <c r="F2142" i="2"/>
  <c r="E2142" i="2"/>
  <c r="C2142" i="2"/>
  <c r="B2142" i="2"/>
  <c r="N2141" i="2"/>
  <c r="K2141" i="2"/>
  <c r="H2141" i="2"/>
  <c r="G2141" i="2"/>
  <c r="F2141" i="2"/>
  <c r="E2141" i="2"/>
  <c r="C2141" i="2"/>
  <c r="B2141" i="2"/>
  <c r="N2140" i="2"/>
  <c r="K2140" i="2"/>
  <c r="H2140" i="2"/>
  <c r="G2140" i="2"/>
  <c r="F2140" i="2"/>
  <c r="E2140" i="2"/>
  <c r="C2140" i="2"/>
  <c r="B2140" i="2"/>
  <c r="N2139" i="2"/>
  <c r="K2139" i="2"/>
  <c r="H2139" i="2"/>
  <c r="G2139" i="2"/>
  <c r="F2139" i="2"/>
  <c r="E2139" i="2"/>
  <c r="C2139" i="2"/>
  <c r="B2139" i="2"/>
  <c r="N2138" i="2"/>
  <c r="K2138" i="2"/>
  <c r="H2138" i="2"/>
  <c r="G2138" i="2"/>
  <c r="F2138" i="2"/>
  <c r="E2138" i="2"/>
  <c r="C2138" i="2"/>
  <c r="B2138" i="2"/>
  <c r="N2137" i="2"/>
  <c r="K2137" i="2"/>
  <c r="H2137" i="2"/>
  <c r="G2137" i="2"/>
  <c r="F2137" i="2"/>
  <c r="E2137" i="2"/>
  <c r="C2137" i="2"/>
  <c r="B2137" i="2"/>
  <c r="N2136" i="2"/>
  <c r="K2136" i="2"/>
  <c r="H2136" i="2"/>
  <c r="G2136" i="2"/>
  <c r="F2136" i="2"/>
  <c r="E2136" i="2"/>
  <c r="C2136" i="2"/>
  <c r="B2136" i="2"/>
  <c r="N2135" i="2"/>
  <c r="K2135" i="2"/>
  <c r="H2135" i="2"/>
  <c r="G2135" i="2"/>
  <c r="F2135" i="2"/>
  <c r="E2135" i="2"/>
  <c r="C2135" i="2"/>
  <c r="B2135" i="2"/>
  <c r="N2134" i="2"/>
  <c r="K2134" i="2"/>
  <c r="H2134" i="2"/>
  <c r="G2134" i="2"/>
  <c r="F2134" i="2"/>
  <c r="E2134" i="2"/>
  <c r="C2134" i="2"/>
  <c r="B2134" i="2"/>
  <c r="N2133" i="2"/>
  <c r="K2133" i="2"/>
  <c r="H2133" i="2"/>
  <c r="G2133" i="2"/>
  <c r="F2133" i="2"/>
  <c r="E2133" i="2"/>
  <c r="C2133" i="2"/>
  <c r="B2133" i="2"/>
  <c r="N2132" i="2"/>
  <c r="K2132" i="2"/>
  <c r="H2132" i="2"/>
  <c r="G2132" i="2"/>
  <c r="F2132" i="2"/>
  <c r="E2132" i="2"/>
  <c r="C2132" i="2"/>
  <c r="B2132" i="2"/>
  <c r="N2131" i="2"/>
  <c r="K2131" i="2"/>
  <c r="H2131" i="2"/>
  <c r="G2131" i="2"/>
  <c r="F2131" i="2"/>
  <c r="E2131" i="2"/>
  <c r="C2131" i="2"/>
  <c r="B2131" i="2"/>
  <c r="N2130" i="2"/>
  <c r="K2130" i="2"/>
  <c r="H2130" i="2"/>
  <c r="G2130" i="2"/>
  <c r="F2130" i="2"/>
  <c r="E2130" i="2"/>
  <c r="C2130" i="2"/>
  <c r="B2130" i="2"/>
  <c r="N2129" i="2"/>
  <c r="K2129" i="2"/>
  <c r="H2129" i="2"/>
  <c r="G2129" i="2"/>
  <c r="F2129" i="2"/>
  <c r="E2129" i="2"/>
  <c r="C2129" i="2"/>
  <c r="B2129" i="2"/>
  <c r="N2128" i="2"/>
  <c r="K2128" i="2"/>
  <c r="H2128" i="2"/>
  <c r="G2128" i="2"/>
  <c r="F2128" i="2"/>
  <c r="E2128" i="2"/>
  <c r="C2128" i="2"/>
  <c r="B2128" i="2"/>
  <c r="N2127" i="2"/>
  <c r="K2127" i="2"/>
  <c r="H2127" i="2"/>
  <c r="G2127" i="2"/>
  <c r="F2127" i="2"/>
  <c r="E2127" i="2"/>
  <c r="C2127" i="2"/>
  <c r="B2127" i="2"/>
  <c r="N2126" i="2"/>
  <c r="K2126" i="2"/>
  <c r="H2126" i="2"/>
  <c r="G2126" i="2"/>
  <c r="F2126" i="2"/>
  <c r="E2126" i="2"/>
  <c r="C2126" i="2"/>
  <c r="B2126" i="2"/>
  <c r="N2125" i="2"/>
  <c r="K2125" i="2"/>
  <c r="H2125" i="2"/>
  <c r="G2125" i="2"/>
  <c r="F2125" i="2"/>
  <c r="E2125" i="2"/>
  <c r="C2125" i="2"/>
  <c r="B2125" i="2"/>
  <c r="N2124" i="2"/>
  <c r="K2124" i="2"/>
  <c r="H2124" i="2"/>
  <c r="G2124" i="2"/>
  <c r="F2124" i="2"/>
  <c r="E2124" i="2"/>
  <c r="C2124" i="2"/>
  <c r="B2124" i="2"/>
  <c r="N2123" i="2"/>
  <c r="K2123" i="2"/>
  <c r="H2123" i="2"/>
  <c r="G2123" i="2"/>
  <c r="F2123" i="2"/>
  <c r="E2123" i="2"/>
  <c r="C2123" i="2"/>
  <c r="B2123" i="2"/>
  <c r="N2122" i="2"/>
  <c r="K2122" i="2"/>
  <c r="H2122" i="2"/>
  <c r="G2122" i="2"/>
  <c r="F2122" i="2"/>
  <c r="E2122" i="2"/>
  <c r="C2122" i="2"/>
  <c r="B2122" i="2"/>
  <c r="N2121" i="2"/>
  <c r="K2121" i="2"/>
  <c r="H2121" i="2"/>
  <c r="G2121" i="2"/>
  <c r="F2121" i="2"/>
  <c r="E2121" i="2"/>
  <c r="C2121" i="2"/>
  <c r="B2121" i="2"/>
  <c r="N2120" i="2"/>
  <c r="K2120" i="2"/>
  <c r="H2120" i="2"/>
  <c r="G2120" i="2"/>
  <c r="F2120" i="2"/>
  <c r="E2120" i="2"/>
  <c r="C2120" i="2"/>
  <c r="B2120" i="2"/>
  <c r="N2119" i="2"/>
  <c r="K2119" i="2"/>
  <c r="H2119" i="2"/>
  <c r="G2119" i="2"/>
  <c r="F2119" i="2"/>
  <c r="E2119" i="2"/>
  <c r="C2119" i="2"/>
  <c r="B2119" i="2"/>
  <c r="N2118" i="2"/>
  <c r="K2118" i="2"/>
  <c r="H2118" i="2"/>
  <c r="G2118" i="2"/>
  <c r="F2118" i="2"/>
  <c r="E2118" i="2"/>
  <c r="C2118" i="2"/>
  <c r="B2118" i="2"/>
  <c r="N2117" i="2"/>
  <c r="K2117" i="2"/>
  <c r="H2117" i="2"/>
  <c r="G2117" i="2"/>
  <c r="F2117" i="2"/>
  <c r="E2117" i="2"/>
  <c r="C2117" i="2"/>
  <c r="B2117" i="2"/>
  <c r="N2116" i="2"/>
  <c r="K2116" i="2"/>
  <c r="H2116" i="2"/>
  <c r="G2116" i="2"/>
  <c r="F2116" i="2"/>
  <c r="E2116" i="2"/>
  <c r="C2116" i="2"/>
  <c r="B2116" i="2"/>
  <c r="N2115" i="2"/>
  <c r="K2115" i="2"/>
  <c r="H2115" i="2"/>
  <c r="G2115" i="2"/>
  <c r="F2115" i="2"/>
  <c r="E2115" i="2"/>
  <c r="C2115" i="2"/>
  <c r="B2115" i="2"/>
  <c r="N2114" i="2"/>
  <c r="K2114" i="2"/>
  <c r="H2114" i="2"/>
  <c r="G2114" i="2"/>
  <c r="F2114" i="2"/>
  <c r="E2114" i="2"/>
  <c r="C2114" i="2"/>
  <c r="B2114" i="2"/>
  <c r="N2113" i="2"/>
  <c r="K2113" i="2"/>
  <c r="H2113" i="2"/>
  <c r="G2113" i="2"/>
  <c r="F2113" i="2"/>
  <c r="E2113" i="2"/>
  <c r="C2113" i="2"/>
  <c r="B2113" i="2"/>
  <c r="N2112" i="2"/>
  <c r="K2112" i="2"/>
  <c r="H2112" i="2"/>
  <c r="G2112" i="2"/>
  <c r="F2112" i="2"/>
  <c r="E2112" i="2"/>
  <c r="C2112" i="2"/>
  <c r="B2112" i="2"/>
  <c r="N2111" i="2"/>
  <c r="K2111" i="2"/>
  <c r="H2111" i="2"/>
  <c r="G2111" i="2"/>
  <c r="F2111" i="2"/>
  <c r="E2111" i="2"/>
  <c r="C2111" i="2"/>
  <c r="B2111" i="2"/>
  <c r="N2110" i="2"/>
  <c r="K2110" i="2"/>
  <c r="H2110" i="2"/>
  <c r="G2110" i="2"/>
  <c r="F2110" i="2"/>
  <c r="E2110" i="2"/>
  <c r="C2110" i="2"/>
  <c r="B2110" i="2"/>
  <c r="N2109" i="2"/>
  <c r="K2109" i="2"/>
  <c r="H2109" i="2"/>
  <c r="G2109" i="2"/>
  <c r="F2109" i="2"/>
  <c r="E2109" i="2"/>
  <c r="C2109" i="2"/>
  <c r="B2109" i="2"/>
  <c r="N2108" i="2"/>
  <c r="K2108" i="2"/>
  <c r="H2108" i="2"/>
  <c r="G2108" i="2"/>
  <c r="F2108" i="2"/>
  <c r="E2108" i="2"/>
  <c r="C2108" i="2"/>
  <c r="B2108" i="2"/>
  <c r="N2107" i="2"/>
  <c r="K2107" i="2"/>
  <c r="H2107" i="2"/>
  <c r="G2107" i="2"/>
  <c r="F2107" i="2"/>
  <c r="E2107" i="2"/>
  <c r="C2107" i="2"/>
  <c r="B2107" i="2"/>
  <c r="N2106" i="2"/>
  <c r="K2106" i="2"/>
  <c r="H2106" i="2"/>
  <c r="G2106" i="2"/>
  <c r="F2106" i="2"/>
  <c r="E2106" i="2"/>
  <c r="C2106" i="2"/>
  <c r="B2106" i="2"/>
  <c r="N2105" i="2"/>
  <c r="K2105" i="2"/>
  <c r="H2105" i="2"/>
  <c r="G2105" i="2"/>
  <c r="F2105" i="2"/>
  <c r="E2105" i="2"/>
  <c r="C2105" i="2"/>
  <c r="B2105" i="2"/>
  <c r="N2104" i="2"/>
  <c r="K2104" i="2"/>
  <c r="H2104" i="2"/>
  <c r="G2104" i="2"/>
  <c r="F2104" i="2"/>
  <c r="E2104" i="2"/>
  <c r="C2104" i="2"/>
  <c r="B2104" i="2"/>
  <c r="N2103" i="2"/>
  <c r="K2103" i="2"/>
  <c r="H2103" i="2"/>
  <c r="G2103" i="2"/>
  <c r="F2103" i="2"/>
  <c r="E2103" i="2"/>
  <c r="C2103" i="2"/>
  <c r="B2103" i="2"/>
  <c r="N2102" i="2"/>
  <c r="K2102" i="2"/>
  <c r="H2102" i="2"/>
  <c r="G2102" i="2"/>
  <c r="F2102" i="2"/>
  <c r="E2102" i="2"/>
  <c r="C2102" i="2"/>
  <c r="B2102" i="2"/>
  <c r="N2101" i="2"/>
  <c r="K2101" i="2"/>
  <c r="H2101" i="2"/>
  <c r="G2101" i="2"/>
  <c r="F2101" i="2"/>
  <c r="E2101" i="2"/>
  <c r="C2101" i="2"/>
  <c r="B2101" i="2"/>
  <c r="N2100" i="2"/>
  <c r="K2100" i="2"/>
  <c r="H2100" i="2"/>
  <c r="G2100" i="2"/>
  <c r="F2100" i="2"/>
  <c r="E2100" i="2"/>
  <c r="C2100" i="2"/>
  <c r="B2100" i="2"/>
  <c r="N2099" i="2"/>
  <c r="K2099" i="2"/>
  <c r="H2099" i="2"/>
  <c r="G2099" i="2"/>
  <c r="F2099" i="2"/>
  <c r="E2099" i="2"/>
  <c r="C2099" i="2"/>
  <c r="B2099" i="2"/>
  <c r="N2098" i="2"/>
  <c r="K2098" i="2"/>
  <c r="H2098" i="2"/>
  <c r="G2098" i="2"/>
  <c r="F2098" i="2"/>
  <c r="E2098" i="2"/>
  <c r="C2098" i="2"/>
  <c r="B2098" i="2"/>
  <c r="N2097" i="2"/>
  <c r="K2097" i="2"/>
  <c r="H2097" i="2"/>
  <c r="G2097" i="2"/>
  <c r="F2097" i="2"/>
  <c r="E2097" i="2"/>
  <c r="C2097" i="2"/>
  <c r="B2097" i="2"/>
  <c r="N2096" i="2"/>
  <c r="K2096" i="2"/>
  <c r="H2096" i="2"/>
  <c r="G2096" i="2"/>
  <c r="F2096" i="2"/>
  <c r="E2096" i="2"/>
  <c r="C2096" i="2"/>
  <c r="B2096" i="2"/>
  <c r="N2095" i="2"/>
  <c r="K2095" i="2"/>
  <c r="H2095" i="2"/>
  <c r="G2095" i="2"/>
  <c r="F2095" i="2"/>
  <c r="E2095" i="2"/>
  <c r="C2095" i="2"/>
  <c r="B2095" i="2"/>
  <c r="N2094" i="2"/>
  <c r="K2094" i="2"/>
  <c r="H2094" i="2"/>
  <c r="G2094" i="2"/>
  <c r="F2094" i="2"/>
  <c r="E2094" i="2"/>
  <c r="C2094" i="2"/>
  <c r="B2094" i="2"/>
  <c r="N2093" i="2"/>
  <c r="K2093" i="2"/>
  <c r="H2093" i="2"/>
  <c r="G2093" i="2"/>
  <c r="F2093" i="2"/>
  <c r="E2093" i="2"/>
  <c r="C2093" i="2"/>
  <c r="B2093" i="2"/>
  <c r="N2092" i="2"/>
  <c r="K2092" i="2"/>
  <c r="H2092" i="2"/>
  <c r="G2092" i="2"/>
  <c r="F2092" i="2"/>
  <c r="E2092" i="2"/>
  <c r="C2092" i="2"/>
  <c r="B2092" i="2"/>
  <c r="N2091" i="2"/>
  <c r="K2091" i="2"/>
  <c r="H2091" i="2"/>
  <c r="G2091" i="2"/>
  <c r="F2091" i="2"/>
  <c r="E2091" i="2"/>
  <c r="C2091" i="2"/>
  <c r="B2091" i="2"/>
  <c r="N2090" i="2"/>
  <c r="K2090" i="2"/>
  <c r="H2090" i="2"/>
  <c r="G2090" i="2"/>
  <c r="F2090" i="2"/>
  <c r="E2090" i="2"/>
  <c r="C2090" i="2"/>
  <c r="B2090" i="2"/>
  <c r="N2089" i="2"/>
  <c r="K2089" i="2"/>
  <c r="H2089" i="2"/>
  <c r="G2089" i="2"/>
  <c r="F2089" i="2"/>
  <c r="E2089" i="2"/>
  <c r="C2089" i="2"/>
  <c r="B2089" i="2"/>
  <c r="N2088" i="2"/>
  <c r="K2088" i="2"/>
  <c r="H2088" i="2"/>
  <c r="G2088" i="2"/>
  <c r="F2088" i="2"/>
  <c r="E2088" i="2"/>
  <c r="C2088" i="2"/>
  <c r="B2088" i="2"/>
  <c r="N2087" i="2"/>
  <c r="K2087" i="2"/>
  <c r="H2087" i="2"/>
  <c r="G2087" i="2"/>
  <c r="F2087" i="2"/>
  <c r="E2087" i="2"/>
  <c r="C2087" i="2"/>
  <c r="B2087" i="2"/>
  <c r="N2086" i="2"/>
  <c r="K2086" i="2"/>
  <c r="H2086" i="2"/>
  <c r="G2086" i="2"/>
  <c r="F2086" i="2"/>
  <c r="E2086" i="2"/>
  <c r="C2086" i="2"/>
  <c r="B2086" i="2"/>
  <c r="N2085" i="2"/>
  <c r="K2085" i="2"/>
  <c r="H2085" i="2"/>
  <c r="G2085" i="2"/>
  <c r="F2085" i="2"/>
  <c r="E2085" i="2"/>
  <c r="C2085" i="2"/>
  <c r="B2085" i="2"/>
  <c r="N2084" i="2"/>
  <c r="K2084" i="2"/>
  <c r="H2084" i="2"/>
  <c r="G2084" i="2"/>
  <c r="F2084" i="2"/>
  <c r="E2084" i="2"/>
  <c r="C2084" i="2"/>
  <c r="B2084" i="2"/>
  <c r="N2083" i="2"/>
  <c r="K2083" i="2"/>
  <c r="H2083" i="2"/>
  <c r="G2083" i="2"/>
  <c r="F2083" i="2"/>
  <c r="E2083" i="2"/>
  <c r="C2083" i="2"/>
  <c r="B2083" i="2"/>
  <c r="N2082" i="2"/>
  <c r="K2082" i="2"/>
  <c r="H2082" i="2"/>
  <c r="G2082" i="2"/>
  <c r="F2082" i="2"/>
  <c r="E2082" i="2"/>
  <c r="C2082" i="2"/>
  <c r="B2082" i="2"/>
  <c r="N2081" i="2"/>
  <c r="K2081" i="2"/>
  <c r="H2081" i="2"/>
  <c r="G2081" i="2"/>
  <c r="F2081" i="2"/>
  <c r="E2081" i="2"/>
  <c r="C2081" i="2"/>
  <c r="B2081" i="2"/>
  <c r="N2080" i="2"/>
  <c r="K2080" i="2"/>
  <c r="H2080" i="2"/>
  <c r="G2080" i="2"/>
  <c r="F2080" i="2"/>
  <c r="E2080" i="2"/>
  <c r="C2080" i="2"/>
  <c r="B2080" i="2"/>
  <c r="N2079" i="2"/>
  <c r="K2079" i="2"/>
  <c r="H2079" i="2"/>
  <c r="G2079" i="2"/>
  <c r="F2079" i="2"/>
  <c r="E2079" i="2"/>
  <c r="C2079" i="2"/>
  <c r="B2079" i="2"/>
  <c r="N2078" i="2"/>
  <c r="K2078" i="2"/>
  <c r="H2078" i="2"/>
  <c r="G2078" i="2"/>
  <c r="F2078" i="2"/>
  <c r="E2078" i="2"/>
  <c r="C2078" i="2"/>
  <c r="B2078" i="2"/>
  <c r="N2077" i="2"/>
  <c r="K2077" i="2"/>
  <c r="H2077" i="2"/>
  <c r="G2077" i="2"/>
  <c r="F2077" i="2"/>
  <c r="E2077" i="2"/>
  <c r="C2077" i="2"/>
  <c r="B2077" i="2"/>
  <c r="N2076" i="2"/>
  <c r="K2076" i="2"/>
  <c r="H2076" i="2"/>
  <c r="G2076" i="2"/>
  <c r="F2076" i="2"/>
  <c r="E2076" i="2"/>
  <c r="C2076" i="2"/>
  <c r="B2076" i="2"/>
  <c r="N2075" i="2"/>
  <c r="K2075" i="2"/>
  <c r="H2075" i="2"/>
  <c r="G2075" i="2"/>
  <c r="F2075" i="2"/>
  <c r="E2075" i="2"/>
  <c r="C2075" i="2"/>
  <c r="B2075" i="2"/>
  <c r="N2074" i="2"/>
  <c r="K2074" i="2"/>
  <c r="H2074" i="2"/>
  <c r="G2074" i="2"/>
  <c r="F2074" i="2"/>
  <c r="E2074" i="2"/>
  <c r="C2074" i="2"/>
  <c r="B2074" i="2"/>
  <c r="N2073" i="2"/>
  <c r="K2073" i="2"/>
  <c r="H2073" i="2"/>
  <c r="G2073" i="2"/>
  <c r="F2073" i="2"/>
  <c r="E2073" i="2"/>
  <c r="C2073" i="2"/>
  <c r="B2073" i="2"/>
  <c r="N2072" i="2"/>
  <c r="K2072" i="2"/>
  <c r="H2072" i="2"/>
  <c r="G2072" i="2"/>
  <c r="F2072" i="2"/>
  <c r="E2072" i="2"/>
  <c r="C2072" i="2"/>
  <c r="B2072" i="2"/>
  <c r="L2071" i="2"/>
  <c r="N2071" i="2" s="1"/>
  <c r="K2071" i="2"/>
  <c r="H2071" i="2"/>
  <c r="G2071" i="2"/>
  <c r="F2071" i="2"/>
  <c r="E2071" i="2"/>
  <c r="C2071" i="2"/>
  <c r="B2071" i="2"/>
  <c r="N2070" i="2"/>
  <c r="K2070" i="2"/>
  <c r="H2070" i="2"/>
  <c r="G2070" i="2"/>
  <c r="F2070" i="2"/>
  <c r="E2070" i="2"/>
  <c r="C2070" i="2"/>
  <c r="B2070" i="2"/>
  <c r="N2069" i="2"/>
  <c r="K2069" i="2"/>
  <c r="H2069" i="2"/>
  <c r="G2069" i="2"/>
  <c r="F2069" i="2"/>
  <c r="E2069" i="2"/>
  <c r="C2069" i="2"/>
  <c r="B2069" i="2"/>
  <c r="N2068" i="2"/>
  <c r="K2068" i="2"/>
  <c r="H2068" i="2"/>
  <c r="G2068" i="2"/>
  <c r="F2068" i="2"/>
  <c r="E2068" i="2"/>
  <c r="C2068" i="2"/>
  <c r="B2068" i="2"/>
  <c r="N2067" i="2"/>
  <c r="K2067" i="2"/>
  <c r="H2067" i="2"/>
  <c r="G2067" i="2"/>
  <c r="F2067" i="2"/>
  <c r="E2067" i="2"/>
  <c r="C2067" i="2"/>
  <c r="B2067" i="2"/>
  <c r="N2066" i="2"/>
  <c r="K2066" i="2"/>
  <c r="H2066" i="2"/>
  <c r="G2066" i="2"/>
  <c r="F2066" i="2"/>
  <c r="E2066" i="2"/>
  <c r="C2066" i="2"/>
  <c r="B2066" i="2"/>
  <c r="N2065" i="2"/>
  <c r="K2065" i="2"/>
  <c r="H2065" i="2"/>
  <c r="G2065" i="2"/>
  <c r="F2065" i="2"/>
  <c r="E2065" i="2"/>
  <c r="C2065" i="2"/>
  <c r="B2065" i="2"/>
  <c r="N2064" i="2"/>
  <c r="K2064" i="2"/>
  <c r="H2064" i="2"/>
  <c r="G2064" i="2"/>
  <c r="F2064" i="2"/>
  <c r="E2064" i="2"/>
  <c r="C2064" i="2"/>
  <c r="B2064" i="2"/>
  <c r="N2063" i="2"/>
  <c r="K2063" i="2"/>
  <c r="H2063" i="2"/>
  <c r="G2063" i="2"/>
  <c r="F2063" i="2"/>
  <c r="E2063" i="2"/>
  <c r="C2063" i="2"/>
  <c r="B2063" i="2"/>
  <c r="N2062" i="2"/>
  <c r="K2062" i="2"/>
  <c r="H2062" i="2"/>
  <c r="G2062" i="2"/>
  <c r="F2062" i="2"/>
  <c r="E2062" i="2"/>
  <c r="C2062" i="2"/>
  <c r="B2062" i="2"/>
  <c r="N2061" i="2"/>
  <c r="K2061" i="2"/>
  <c r="H2061" i="2"/>
  <c r="G2061" i="2"/>
  <c r="F2061" i="2"/>
  <c r="E2061" i="2"/>
  <c r="C2061" i="2"/>
  <c r="B2061" i="2"/>
  <c r="N2060" i="2"/>
  <c r="K2060" i="2"/>
  <c r="H2060" i="2"/>
  <c r="G2060" i="2"/>
  <c r="F2060" i="2"/>
  <c r="E2060" i="2"/>
  <c r="C2060" i="2"/>
  <c r="B2060" i="2"/>
  <c r="N2059" i="2"/>
  <c r="K2059" i="2"/>
  <c r="H2059" i="2"/>
  <c r="G2059" i="2"/>
  <c r="F2059" i="2"/>
  <c r="E2059" i="2"/>
  <c r="C2059" i="2"/>
  <c r="B2059" i="2"/>
  <c r="N2058" i="2"/>
  <c r="K2058" i="2"/>
  <c r="H2058" i="2"/>
  <c r="G2058" i="2"/>
  <c r="F2058" i="2"/>
  <c r="E2058" i="2"/>
  <c r="C2058" i="2"/>
  <c r="B2058" i="2"/>
  <c r="N2057" i="2"/>
  <c r="K2057" i="2"/>
  <c r="H2057" i="2"/>
  <c r="G2057" i="2"/>
  <c r="F2057" i="2"/>
  <c r="E2057" i="2"/>
  <c r="C2057" i="2"/>
  <c r="B2057" i="2"/>
  <c r="N2056" i="2"/>
  <c r="K2056" i="2"/>
  <c r="H2056" i="2"/>
  <c r="G2056" i="2"/>
  <c r="F2056" i="2"/>
  <c r="E2056" i="2"/>
  <c r="C2056" i="2"/>
  <c r="B2056" i="2"/>
  <c r="N2055" i="2"/>
  <c r="K2055" i="2"/>
  <c r="H2055" i="2"/>
  <c r="G2055" i="2"/>
  <c r="F2055" i="2"/>
  <c r="E2055" i="2"/>
  <c r="C2055" i="2"/>
  <c r="B2055" i="2"/>
  <c r="N2054" i="2"/>
  <c r="K2054" i="2"/>
  <c r="H2054" i="2"/>
  <c r="G2054" i="2"/>
  <c r="F2054" i="2"/>
  <c r="E2054" i="2"/>
  <c r="C2054" i="2"/>
  <c r="B2054" i="2"/>
  <c r="N2053" i="2"/>
  <c r="K2053" i="2"/>
  <c r="H2053" i="2"/>
  <c r="G2053" i="2"/>
  <c r="F2053" i="2"/>
  <c r="E2053" i="2"/>
  <c r="C2053" i="2"/>
  <c r="B2053" i="2"/>
  <c r="N2052" i="2"/>
  <c r="K2052" i="2"/>
  <c r="H2052" i="2"/>
  <c r="G2052" i="2"/>
  <c r="F2052" i="2"/>
  <c r="E2052" i="2"/>
  <c r="C2052" i="2"/>
  <c r="B2052" i="2"/>
  <c r="N2051" i="2"/>
  <c r="K2051" i="2"/>
  <c r="H2051" i="2"/>
  <c r="G2051" i="2"/>
  <c r="F2051" i="2"/>
  <c r="E2051" i="2"/>
  <c r="C2051" i="2"/>
  <c r="B2051" i="2"/>
  <c r="N2050" i="2"/>
  <c r="K2050" i="2"/>
  <c r="H2050" i="2"/>
  <c r="G2050" i="2"/>
  <c r="F2050" i="2"/>
  <c r="E2050" i="2"/>
  <c r="C2050" i="2"/>
  <c r="B2050" i="2"/>
  <c r="N2049" i="2"/>
  <c r="K2049" i="2"/>
  <c r="H2049" i="2"/>
  <c r="G2049" i="2"/>
  <c r="F2049" i="2"/>
  <c r="E2049" i="2"/>
  <c r="C2049" i="2"/>
  <c r="B2049" i="2"/>
  <c r="N2048" i="2"/>
  <c r="K2048" i="2"/>
  <c r="H2048" i="2"/>
  <c r="G2048" i="2"/>
  <c r="F2048" i="2"/>
  <c r="E2048" i="2"/>
  <c r="C2048" i="2"/>
  <c r="B2048" i="2"/>
  <c r="N2047" i="2"/>
  <c r="K2047" i="2"/>
  <c r="H2047" i="2"/>
  <c r="G2047" i="2"/>
  <c r="F2047" i="2"/>
  <c r="E2047" i="2"/>
  <c r="C2047" i="2"/>
  <c r="B2047" i="2"/>
  <c r="N2046" i="2"/>
  <c r="K2046" i="2"/>
  <c r="H2046" i="2"/>
  <c r="G2046" i="2"/>
  <c r="F2046" i="2"/>
  <c r="E2046" i="2"/>
  <c r="C2046" i="2"/>
  <c r="B2046" i="2"/>
  <c r="N2045" i="2"/>
  <c r="K2045" i="2"/>
  <c r="H2045" i="2"/>
  <c r="G2045" i="2"/>
  <c r="F2045" i="2"/>
  <c r="E2045" i="2"/>
  <c r="C2045" i="2"/>
  <c r="B2045" i="2"/>
  <c r="N2044" i="2"/>
  <c r="K2044" i="2"/>
  <c r="H2044" i="2"/>
  <c r="G2044" i="2"/>
  <c r="F2044" i="2"/>
  <c r="E2044" i="2"/>
  <c r="C2044" i="2"/>
  <c r="B2044" i="2"/>
  <c r="N2043" i="2"/>
  <c r="K2043" i="2"/>
  <c r="H2043" i="2"/>
  <c r="G2043" i="2"/>
  <c r="F2043" i="2"/>
  <c r="E2043" i="2"/>
  <c r="C2043" i="2"/>
  <c r="B2043" i="2"/>
  <c r="N2042" i="2"/>
  <c r="K2042" i="2"/>
  <c r="H2042" i="2"/>
  <c r="G2042" i="2"/>
  <c r="F2042" i="2"/>
  <c r="E2042" i="2"/>
  <c r="C2042" i="2"/>
  <c r="B2042" i="2"/>
  <c r="N2041" i="2"/>
  <c r="K2041" i="2"/>
  <c r="H2041" i="2"/>
  <c r="G2041" i="2"/>
  <c r="F2041" i="2"/>
  <c r="E2041" i="2"/>
  <c r="C2041" i="2"/>
  <c r="B2041" i="2"/>
  <c r="N2040" i="2"/>
  <c r="K2040" i="2"/>
  <c r="H2040" i="2"/>
  <c r="G2040" i="2"/>
  <c r="F2040" i="2"/>
  <c r="E2040" i="2"/>
  <c r="C2040" i="2"/>
  <c r="B2040" i="2"/>
  <c r="N2039" i="2"/>
  <c r="K2039" i="2"/>
  <c r="H2039" i="2"/>
  <c r="G2039" i="2"/>
  <c r="F2039" i="2"/>
  <c r="E2039" i="2"/>
  <c r="C2039" i="2"/>
  <c r="B2039" i="2"/>
  <c r="N2038" i="2"/>
  <c r="K2038" i="2"/>
  <c r="H2038" i="2"/>
  <c r="G2038" i="2"/>
  <c r="F2038" i="2"/>
  <c r="E2038" i="2"/>
  <c r="C2038" i="2"/>
  <c r="B2038" i="2"/>
  <c r="N2037" i="2"/>
  <c r="K2037" i="2"/>
  <c r="H2037" i="2"/>
  <c r="G2037" i="2"/>
  <c r="F2037" i="2"/>
  <c r="E2037" i="2"/>
  <c r="C2037" i="2"/>
  <c r="B2037" i="2"/>
  <c r="N2036" i="2"/>
  <c r="K2036" i="2"/>
  <c r="H2036" i="2"/>
  <c r="G2036" i="2"/>
  <c r="F2036" i="2"/>
  <c r="E2036" i="2"/>
  <c r="C2036" i="2"/>
  <c r="B2036" i="2"/>
  <c r="N2035" i="2"/>
  <c r="K2035" i="2"/>
  <c r="H2035" i="2"/>
  <c r="G2035" i="2"/>
  <c r="F2035" i="2"/>
  <c r="E2035" i="2"/>
  <c r="C2035" i="2"/>
  <c r="B2035" i="2"/>
  <c r="N2034" i="2"/>
  <c r="K2034" i="2"/>
  <c r="H2034" i="2"/>
  <c r="G2034" i="2"/>
  <c r="F2034" i="2"/>
  <c r="E2034" i="2"/>
  <c r="C2034" i="2"/>
  <c r="B2034" i="2"/>
  <c r="N2033" i="2"/>
  <c r="K2033" i="2"/>
  <c r="H2033" i="2"/>
  <c r="G2033" i="2"/>
  <c r="F2033" i="2"/>
  <c r="E2033" i="2"/>
  <c r="C2033" i="2"/>
  <c r="B2033" i="2"/>
  <c r="N2032" i="2"/>
  <c r="K2032" i="2"/>
  <c r="H2032" i="2"/>
  <c r="G2032" i="2"/>
  <c r="F2032" i="2"/>
  <c r="E2032" i="2"/>
  <c r="C2032" i="2"/>
  <c r="B2032" i="2"/>
  <c r="N2031" i="2"/>
  <c r="K2031" i="2"/>
  <c r="H2031" i="2"/>
  <c r="G2031" i="2"/>
  <c r="F2031" i="2"/>
  <c r="E2031" i="2"/>
  <c r="C2031" i="2"/>
  <c r="B2031" i="2"/>
  <c r="N2030" i="2"/>
  <c r="K2030" i="2"/>
  <c r="H2030" i="2"/>
  <c r="G2030" i="2"/>
  <c r="F2030" i="2"/>
  <c r="E2030" i="2"/>
  <c r="C2030" i="2"/>
  <c r="B2030" i="2"/>
  <c r="N2029" i="2"/>
  <c r="K2029" i="2"/>
  <c r="H2029" i="2"/>
  <c r="G2029" i="2"/>
  <c r="F2029" i="2"/>
  <c r="E2029" i="2"/>
  <c r="C2029" i="2"/>
  <c r="B2029" i="2"/>
  <c r="N2028" i="2"/>
  <c r="K2028" i="2"/>
  <c r="H2028" i="2"/>
  <c r="G2028" i="2"/>
  <c r="F2028" i="2"/>
  <c r="E2028" i="2"/>
  <c r="C2028" i="2"/>
  <c r="B2028" i="2"/>
  <c r="N2027" i="2"/>
  <c r="K2027" i="2"/>
  <c r="H2027" i="2"/>
  <c r="G2027" i="2"/>
  <c r="F2027" i="2"/>
  <c r="E2027" i="2"/>
  <c r="C2027" i="2"/>
  <c r="B2027" i="2"/>
  <c r="N2026" i="2"/>
  <c r="K2026" i="2"/>
  <c r="H2026" i="2"/>
  <c r="G2026" i="2"/>
  <c r="F2026" i="2"/>
  <c r="E2026" i="2"/>
  <c r="C2026" i="2"/>
  <c r="B2026" i="2"/>
  <c r="N2025" i="2"/>
  <c r="K2025" i="2"/>
  <c r="H2025" i="2"/>
  <c r="G2025" i="2"/>
  <c r="F2025" i="2"/>
  <c r="E2025" i="2"/>
  <c r="C2025" i="2"/>
  <c r="B2025" i="2"/>
  <c r="N2024" i="2"/>
  <c r="K2024" i="2"/>
  <c r="H2024" i="2"/>
  <c r="G2024" i="2"/>
  <c r="F2024" i="2"/>
  <c r="E2024" i="2"/>
  <c r="C2024" i="2"/>
  <c r="B2024" i="2"/>
  <c r="N2023" i="2"/>
  <c r="K2023" i="2"/>
  <c r="H2023" i="2"/>
  <c r="G2023" i="2"/>
  <c r="F2023" i="2"/>
  <c r="E2023" i="2"/>
  <c r="C2023" i="2"/>
  <c r="B2023" i="2"/>
  <c r="N2022" i="2"/>
  <c r="K2022" i="2"/>
  <c r="H2022" i="2"/>
  <c r="G2022" i="2"/>
  <c r="F2022" i="2"/>
  <c r="E2022" i="2"/>
  <c r="C2022" i="2"/>
  <c r="B2022" i="2"/>
  <c r="N2021" i="2"/>
  <c r="K2021" i="2"/>
  <c r="H2021" i="2"/>
  <c r="G2021" i="2"/>
  <c r="F2021" i="2"/>
  <c r="E2021" i="2"/>
  <c r="C2021" i="2"/>
  <c r="B2021" i="2"/>
  <c r="N2020" i="2"/>
  <c r="K2020" i="2"/>
  <c r="H2020" i="2"/>
  <c r="G2020" i="2"/>
  <c r="F2020" i="2"/>
  <c r="E2020" i="2"/>
  <c r="C2020" i="2"/>
  <c r="B2020" i="2"/>
  <c r="N2019" i="2"/>
  <c r="K2019" i="2"/>
  <c r="H2019" i="2"/>
  <c r="G2019" i="2"/>
  <c r="F2019" i="2"/>
  <c r="E2019" i="2"/>
  <c r="C2019" i="2"/>
  <c r="B2019" i="2"/>
  <c r="N2018" i="2"/>
  <c r="K2018" i="2"/>
  <c r="H2018" i="2"/>
  <c r="G2018" i="2"/>
  <c r="F2018" i="2"/>
  <c r="E2018" i="2"/>
  <c r="C2018" i="2"/>
  <c r="B2018" i="2"/>
  <c r="N2017" i="2"/>
  <c r="K2017" i="2"/>
  <c r="H2017" i="2"/>
  <c r="G2017" i="2"/>
  <c r="F2017" i="2"/>
  <c r="E2017" i="2"/>
  <c r="C2017" i="2"/>
  <c r="B2017" i="2"/>
  <c r="N2016" i="2"/>
  <c r="K2016" i="2"/>
  <c r="H2016" i="2"/>
  <c r="G2016" i="2"/>
  <c r="F2016" i="2"/>
  <c r="E2016" i="2"/>
  <c r="C2016" i="2"/>
  <c r="B2016" i="2"/>
  <c r="N2015" i="2"/>
  <c r="K2015" i="2"/>
  <c r="H2015" i="2"/>
  <c r="G2015" i="2"/>
  <c r="F2015" i="2"/>
  <c r="E2015" i="2"/>
  <c r="C2015" i="2"/>
  <c r="B2015" i="2"/>
  <c r="N2014" i="2"/>
  <c r="K2014" i="2"/>
  <c r="H2014" i="2"/>
  <c r="G2014" i="2"/>
  <c r="F2014" i="2"/>
  <c r="E2014" i="2"/>
  <c r="C2014" i="2"/>
  <c r="B2014" i="2"/>
  <c r="N2013" i="2"/>
  <c r="K2013" i="2"/>
  <c r="H2013" i="2"/>
  <c r="G2013" i="2"/>
  <c r="F2013" i="2"/>
  <c r="E2013" i="2"/>
  <c r="C2013" i="2"/>
  <c r="B2013" i="2"/>
  <c r="N2012" i="2"/>
  <c r="K2012" i="2"/>
  <c r="H2012" i="2"/>
  <c r="G2012" i="2"/>
  <c r="F2012" i="2"/>
  <c r="E2012" i="2"/>
  <c r="C2012" i="2"/>
  <c r="B2012" i="2"/>
  <c r="N2011" i="2"/>
  <c r="K2011" i="2"/>
  <c r="H2011" i="2"/>
  <c r="G2011" i="2"/>
  <c r="F2011" i="2"/>
  <c r="E2011" i="2"/>
  <c r="C2011" i="2"/>
  <c r="B2011" i="2"/>
  <c r="N2010" i="2"/>
  <c r="K2010" i="2"/>
  <c r="H2010" i="2"/>
  <c r="G2010" i="2"/>
  <c r="F2010" i="2"/>
  <c r="E2010" i="2"/>
  <c r="C2010" i="2"/>
  <c r="B2010" i="2"/>
  <c r="N2009" i="2"/>
  <c r="K2009" i="2"/>
  <c r="H2009" i="2"/>
  <c r="G2009" i="2"/>
  <c r="F2009" i="2"/>
  <c r="E2009" i="2"/>
  <c r="C2009" i="2"/>
  <c r="B2009" i="2"/>
  <c r="N2008" i="2"/>
  <c r="K2008" i="2"/>
  <c r="H2008" i="2"/>
  <c r="G2008" i="2"/>
  <c r="F2008" i="2"/>
  <c r="E2008" i="2"/>
  <c r="C2008" i="2"/>
  <c r="B2008" i="2"/>
  <c r="N2007" i="2"/>
  <c r="K2007" i="2"/>
  <c r="H2007" i="2"/>
  <c r="G2007" i="2"/>
  <c r="F2007" i="2"/>
  <c r="E2007" i="2"/>
  <c r="C2007" i="2"/>
  <c r="B2007" i="2"/>
  <c r="N2006" i="2"/>
  <c r="K2006" i="2"/>
  <c r="H2006" i="2"/>
  <c r="G2006" i="2"/>
  <c r="F2006" i="2"/>
  <c r="E2006" i="2"/>
  <c r="C2006" i="2"/>
  <c r="B2006" i="2"/>
  <c r="N2005" i="2"/>
  <c r="K2005" i="2"/>
  <c r="H2005" i="2"/>
  <c r="G2005" i="2"/>
  <c r="F2005" i="2"/>
  <c r="E2005" i="2"/>
  <c r="C2005" i="2"/>
  <c r="B2005" i="2"/>
  <c r="N2004" i="2"/>
  <c r="K2004" i="2"/>
  <c r="H2004" i="2"/>
  <c r="G2004" i="2"/>
  <c r="F2004" i="2"/>
  <c r="E2004" i="2"/>
  <c r="C2004" i="2"/>
  <c r="B2004" i="2"/>
  <c r="N2003" i="2"/>
  <c r="K2003" i="2"/>
  <c r="H2003" i="2"/>
  <c r="G2003" i="2"/>
  <c r="F2003" i="2"/>
  <c r="E2003" i="2"/>
  <c r="C2003" i="2"/>
  <c r="B2003" i="2"/>
  <c r="N2002" i="2"/>
  <c r="K2002" i="2"/>
  <c r="H2002" i="2"/>
  <c r="G2002" i="2"/>
  <c r="F2002" i="2"/>
  <c r="E2002" i="2"/>
  <c r="C2002" i="2"/>
  <c r="B2002" i="2"/>
  <c r="N2001" i="2"/>
  <c r="K2001" i="2"/>
  <c r="H2001" i="2"/>
  <c r="G2001" i="2"/>
  <c r="F2001" i="2"/>
  <c r="E2001" i="2"/>
  <c r="C2001" i="2"/>
  <c r="B2001" i="2"/>
  <c r="N2000" i="2"/>
  <c r="K2000" i="2"/>
  <c r="H2000" i="2"/>
  <c r="G2000" i="2"/>
  <c r="F2000" i="2"/>
  <c r="E2000" i="2"/>
  <c r="C2000" i="2"/>
  <c r="B2000" i="2"/>
  <c r="N1999" i="2"/>
  <c r="K1999" i="2"/>
  <c r="H1999" i="2"/>
  <c r="G1999" i="2"/>
  <c r="F1999" i="2"/>
  <c r="E1999" i="2"/>
  <c r="C1999" i="2"/>
  <c r="B1999" i="2"/>
  <c r="N1998" i="2"/>
  <c r="K1998" i="2"/>
  <c r="H1998" i="2"/>
  <c r="G1998" i="2"/>
  <c r="F1998" i="2"/>
  <c r="E1998" i="2"/>
  <c r="C1998" i="2"/>
  <c r="B1998" i="2"/>
  <c r="N1997" i="2"/>
  <c r="K1997" i="2"/>
  <c r="H1997" i="2"/>
  <c r="G1997" i="2"/>
  <c r="F1997" i="2"/>
  <c r="E1997" i="2"/>
  <c r="C1997" i="2"/>
  <c r="B1997" i="2"/>
  <c r="N1996" i="2"/>
  <c r="K1996" i="2"/>
  <c r="H1996" i="2"/>
  <c r="G1996" i="2"/>
  <c r="F1996" i="2"/>
  <c r="E1996" i="2"/>
  <c r="C1996" i="2"/>
  <c r="B1996" i="2"/>
  <c r="N1995" i="2"/>
  <c r="K1995" i="2"/>
  <c r="H1995" i="2"/>
  <c r="G1995" i="2"/>
  <c r="F1995" i="2"/>
  <c r="E1995" i="2"/>
  <c r="C1995" i="2"/>
  <c r="B1995" i="2"/>
  <c r="N1994" i="2"/>
  <c r="K1994" i="2"/>
  <c r="H1994" i="2"/>
  <c r="G1994" i="2"/>
  <c r="F1994" i="2"/>
  <c r="E1994" i="2"/>
  <c r="C1994" i="2"/>
  <c r="B1994" i="2"/>
  <c r="N1993" i="2"/>
  <c r="K1993" i="2"/>
  <c r="H1993" i="2"/>
  <c r="G1993" i="2"/>
  <c r="F1993" i="2"/>
  <c r="E1993" i="2"/>
  <c r="C1993" i="2"/>
  <c r="B1993" i="2"/>
  <c r="N1992" i="2"/>
  <c r="K1992" i="2"/>
  <c r="H1992" i="2"/>
  <c r="G1992" i="2"/>
  <c r="F1992" i="2"/>
  <c r="E1992" i="2"/>
  <c r="C1992" i="2"/>
  <c r="B1992" i="2"/>
  <c r="N1991" i="2"/>
  <c r="K1991" i="2"/>
  <c r="H1991" i="2"/>
  <c r="G1991" i="2"/>
  <c r="F1991" i="2"/>
  <c r="E1991" i="2"/>
  <c r="C1991" i="2"/>
  <c r="B1991" i="2"/>
  <c r="N1990" i="2"/>
  <c r="K1990" i="2"/>
  <c r="H1990" i="2"/>
  <c r="G1990" i="2"/>
  <c r="F1990" i="2"/>
  <c r="E1990" i="2"/>
  <c r="C1990" i="2"/>
  <c r="B1990" i="2"/>
  <c r="N1989" i="2"/>
  <c r="K1989" i="2"/>
  <c r="H1989" i="2"/>
  <c r="G1989" i="2"/>
  <c r="F1989" i="2"/>
  <c r="E1989" i="2"/>
  <c r="C1989" i="2"/>
  <c r="B1989" i="2"/>
  <c r="N1988" i="2"/>
  <c r="K1988" i="2"/>
  <c r="H1988" i="2"/>
  <c r="G1988" i="2"/>
  <c r="F1988" i="2"/>
  <c r="E1988" i="2"/>
  <c r="C1988" i="2"/>
  <c r="B1988" i="2"/>
  <c r="N1987" i="2"/>
  <c r="K1987" i="2"/>
  <c r="H1987" i="2"/>
  <c r="G1987" i="2"/>
  <c r="F1987" i="2"/>
  <c r="E1987" i="2"/>
  <c r="C1987" i="2"/>
  <c r="B1987" i="2"/>
  <c r="N1986" i="2"/>
  <c r="K1986" i="2"/>
  <c r="H1986" i="2"/>
  <c r="G1986" i="2"/>
  <c r="F1986" i="2"/>
  <c r="E1986" i="2"/>
  <c r="C1986" i="2"/>
  <c r="B1986" i="2"/>
  <c r="N1985" i="2"/>
  <c r="K1985" i="2"/>
  <c r="H1985" i="2"/>
  <c r="G1985" i="2"/>
  <c r="F1985" i="2"/>
  <c r="E1985" i="2"/>
  <c r="C1985" i="2"/>
  <c r="B1985" i="2"/>
  <c r="N1984" i="2"/>
  <c r="K1984" i="2"/>
  <c r="H1984" i="2"/>
  <c r="G1984" i="2"/>
  <c r="F1984" i="2"/>
  <c r="E1984" i="2"/>
  <c r="C1984" i="2"/>
  <c r="B1984" i="2"/>
  <c r="N1983" i="2"/>
  <c r="K1983" i="2"/>
  <c r="H1983" i="2"/>
  <c r="G1983" i="2"/>
  <c r="F1983" i="2"/>
  <c r="E1983" i="2"/>
  <c r="C1983" i="2"/>
  <c r="B1983" i="2"/>
  <c r="N1982" i="2"/>
  <c r="K1982" i="2"/>
  <c r="H1982" i="2"/>
  <c r="G1982" i="2"/>
  <c r="F1982" i="2"/>
  <c r="E1982" i="2"/>
  <c r="C1982" i="2"/>
  <c r="B1982" i="2"/>
  <c r="N1981" i="2"/>
  <c r="K1981" i="2"/>
  <c r="H1981" i="2"/>
  <c r="G1981" i="2"/>
  <c r="F1981" i="2"/>
  <c r="E1981" i="2"/>
  <c r="C1981" i="2"/>
  <c r="B1981" i="2"/>
  <c r="N1980" i="2"/>
  <c r="K1980" i="2"/>
  <c r="H1980" i="2"/>
  <c r="G1980" i="2"/>
  <c r="F1980" i="2"/>
  <c r="E1980" i="2"/>
  <c r="C1980" i="2"/>
  <c r="B1980" i="2"/>
  <c r="N1979" i="2"/>
  <c r="K1979" i="2"/>
  <c r="H1979" i="2"/>
  <c r="G1979" i="2"/>
  <c r="F1979" i="2"/>
  <c r="E1979" i="2"/>
  <c r="C1979" i="2"/>
  <c r="B1979" i="2"/>
  <c r="N1978" i="2"/>
  <c r="K1978" i="2"/>
  <c r="H1978" i="2"/>
  <c r="G1978" i="2"/>
  <c r="F1978" i="2"/>
  <c r="E1978" i="2"/>
  <c r="C1978" i="2"/>
  <c r="B1978" i="2"/>
  <c r="N1977" i="2"/>
  <c r="K1977" i="2"/>
  <c r="H1977" i="2"/>
  <c r="G1977" i="2"/>
  <c r="F1977" i="2"/>
  <c r="E1977" i="2"/>
  <c r="C1977" i="2"/>
  <c r="B1977" i="2"/>
  <c r="N1976" i="2"/>
  <c r="K1976" i="2"/>
  <c r="H1976" i="2"/>
  <c r="G1976" i="2"/>
  <c r="F1976" i="2"/>
  <c r="E1976" i="2"/>
  <c r="C1976" i="2"/>
  <c r="B1976" i="2"/>
  <c r="N1975" i="2"/>
  <c r="K1975" i="2"/>
  <c r="H1975" i="2"/>
  <c r="G1975" i="2"/>
  <c r="F1975" i="2"/>
  <c r="E1975" i="2"/>
  <c r="C1975" i="2"/>
  <c r="B1975" i="2"/>
  <c r="N1974" i="2"/>
  <c r="K1974" i="2"/>
  <c r="H1974" i="2"/>
  <c r="G1974" i="2"/>
  <c r="F1974" i="2"/>
  <c r="E1974" i="2"/>
  <c r="C1974" i="2"/>
  <c r="B1974" i="2"/>
  <c r="N1973" i="2"/>
  <c r="K1973" i="2"/>
  <c r="H1973" i="2"/>
  <c r="G1973" i="2"/>
  <c r="F1973" i="2"/>
  <c r="E1973" i="2"/>
  <c r="C1973" i="2"/>
  <c r="B1973" i="2"/>
  <c r="N1972" i="2"/>
  <c r="K1972" i="2"/>
  <c r="H1972" i="2"/>
  <c r="G1972" i="2"/>
  <c r="F1972" i="2"/>
  <c r="E1972" i="2"/>
  <c r="C1972" i="2"/>
  <c r="B1972" i="2"/>
  <c r="N1971" i="2"/>
  <c r="K1971" i="2"/>
  <c r="H1971" i="2"/>
  <c r="G1971" i="2"/>
  <c r="F1971" i="2"/>
  <c r="E1971" i="2"/>
  <c r="C1971" i="2"/>
  <c r="B1971" i="2"/>
  <c r="N1970" i="2"/>
  <c r="K1970" i="2"/>
  <c r="H1970" i="2"/>
  <c r="G1970" i="2"/>
  <c r="F1970" i="2"/>
  <c r="E1970" i="2"/>
  <c r="C1970" i="2"/>
  <c r="B1970" i="2"/>
  <c r="N1969" i="2"/>
  <c r="K1969" i="2"/>
  <c r="H1969" i="2"/>
  <c r="G1969" i="2"/>
  <c r="F1969" i="2"/>
  <c r="E1969" i="2"/>
  <c r="C1969" i="2"/>
  <c r="B1969" i="2"/>
  <c r="N1968" i="2"/>
  <c r="K1968" i="2"/>
  <c r="H1968" i="2"/>
  <c r="G1968" i="2"/>
  <c r="F1968" i="2"/>
  <c r="E1968" i="2"/>
  <c r="C1968" i="2"/>
  <c r="B1968" i="2"/>
  <c r="N1967" i="2"/>
  <c r="K1967" i="2"/>
  <c r="H1967" i="2"/>
  <c r="G1967" i="2"/>
  <c r="F1967" i="2"/>
  <c r="E1967" i="2"/>
  <c r="C1967" i="2"/>
  <c r="B1967" i="2"/>
  <c r="N1966" i="2"/>
  <c r="K1966" i="2"/>
  <c r="H1966" i="2"/>
  <c r="G1966" i="2"/>
  <c r="F1966" i="2"/>
  <c r="E1966" i="2"/>
  <c r="C1966" i="2"/>
  <c r="B1966" i="2"/>
  <c r="N1965" i="2"/>
  <c r="K1965" i="2"/>
  <c r="H1965" i="2"/>
  <c r="G1965" i="2"/>
  <c r="F1965" i="2"/>
  <c r="E1965" i="2"/>
  <c r="C1965" i="2"/>
  <c r="B1965" i="2"/>
  <c r="N1964" i="2"/>
  <c r="K1964" i="2"/>
  <c r="H1964" i="2"/>
  <c r="G1964" i="2"/>
  <c r="F1964" i="2"/>
  <c r="E1964" i="2"/>
  <c r="C1964" i="2"/>
  <c r="B1964" i="2"/>
  <c r="N1963" i="2"/>
  <c r="K1963" i="2"/>
  <c r="H1963" i="2"/>
  <c r="G1963" i="2"/>
  <c r="F1963" i="2"/>
  <c r="E1963" i="2"/>
  <c r="C1963" i="2"/>
  <c r="B1963" i="2"/>
  <c r="N1962" i="2"/>
  <c r="K1962" i="2"/>
  <c r="H1962" i="2"/>
  <c r="G1962" i="2"/>
  <c r="F1962" i="2"/>
  <c r="E1962" i="2"/>
  <c r="C1962" i="2"/>
  <c r="B1962" i="2"/>
  <c r="N1961" i="2"/>
  <c r="K1961" i="2"/>
  <c r="H1961" i="2"/>
  <c r="G1961" i="2"/>
  <c r="F1961" i="2"/>
  <c r="E1961" i="2"/>
  <c r="C1961" i="2"/>
  <c r="B1961" i="2"/>
  <c r="N1960" i="2"/>
  <c r="K1960" i="2"/>
  <c r="H1960" i="2"/>
  <c r="G1960" i="2"/>
  <c r="F1960" i="2"/>
  <c r="E1960" i="2"/>
  <c r="C1960" i="2"/>
  <c r="B1960" i="2"/>
  <c r="N1959" i="2"/>
  <c r="K1959" i="2"/>
  <c r="H1959" i="2"/>
  <c r="G1959" i="2"/>
  <c r="F1959" i="2"/>
  <c r="E1959" i="2"/>
  <c r="C1959" i="2"/>
  <c r="B1959" i="2"/>
  <c r="N1958" i="2"/>
  <c r="K1958" i="2"/>
  <c r="H1958" i="2"/>
  <c r="G1958" i="2"/>
  <c r="F1958" i="2"/>
  <c r="E1958" i="2"/>
  <c r="C1958" i="2"/>
  <c r="B1958" i="2"/>
  <c r="N1957" i="2"/>
  <c r="K1957" i="2"/>
  <c r="H1957" i="2"/>
  <c r="G1957" i="2"/>
  <c r="F1957" i="2"/>
  <c r="E1957" i="2"/>
  <c r="C1957" i="2"/>
  <c r="B1957" i="2"/>
  <c r="N1956" i="2"/>
  <c r="K1956" i="2"/>
  <c r="H1956" i="2"/>
  <c r="G1956" i="2"/>
  <c r="F1956" i="2"/>
  <c r="E1956" i="2"/>
  <c r="C1956" i="2"/>
  <c r="B1956" i="2"/>
  <c r="N1955" i="2"/>
  <c r="K1955" i="2"/>
  <c r="H1955" i="2"/>
  <c r="G1955" i="2"/>
  <c r="F1955" i="2"/>
  <c r="E1955" i="2"/>
  <c r="C1955" i="2"/>
  <c r="B1955" i="2"/>
  <c r="N1954" i="2"/>
  <c r="K1954" i="2"/>
  <c r="H1954" i="2"/>
  <c r="G1954" i="2"/>
  <c r="F1954" i="2"/>
  <c r="E1954" i="2"/>
  <c r="C1954" i="2"/>
  <c r="B1954" i="2"/>
  <c r="N1953" i="2"/>
  <c r="K1953" i="2"/>
  <c r="H1953" i="2"/>
  <c r="G1953" i="2"/>
  <c r="F1953" i="2"/>
  <c r="E1953" i="2"/>
  <c r="C1953" i="2"/>
  <c r="B1953" i="2"/>
  <c r="N1952" i="2"/>
  <c r="K1952" i="2"/>
  <c r="H1952" i="2"/>
  <c r="G1952" i="2"/>
  <c r="F1952" i="2"/>
  <c r="E1952" i="2"/>
  <c r="C1952" i="2"/>
  <c r="B1952" i="2"/>
  <c r="N1951" i="2"/>
  <c r="K1951" i="2"/>
  <c r="H1951" i="2"/>
  <c r="G1951" i="2"/>
  <c r="F1951" i="2"/>
  <c r="E1951" i="2"/>
  <c r="C1951" i="2"/>
  <c r="B1951" i="2"/>
  <c r="N1950" i="2"/>
  <c r="K1950" i="2"/>
  <c r="H1950" i="2"/>
  <c r="G1950" i="2"/>
  <c r="F1950" i="2"/>
  <c r="E1950" i="2"/>
  <c r="C1950" i="2"/>
  <c r="B1950" i="2"/>
  <c r="N1949" i="2"/>
  <c r="K1949" i="2"/>
  <c r="H1949" i="2"/>
  <c r="G1949" i="2"/>
  <c r="F1949" i="2"/>
  <c r="E1949" i="2"/>
  <c r="C1949" i="2"/>
  <c r="B1949" i="2"/>
  <c r="N1948" i="2"/>
  <c r="K1948" i="2"/>
  <c r="H1948" i="2"/>
  <c r="G1948" i="2"/>
  <c r="F1948" i="2"/>
  <c r="E1948" i="2"/>
  <c r="C1948" i="2"/>
  <c r="B1948" i="2"/>
  <c r="N1947" i="2"/>
  <c r="K1947" i="2"/>
  <c r="H1947" i="2"/>
  <c r="G1947" i="2"/>
  <c r="F1947" i="2"/>
  <c r="E1947" i="2"/>
  <c r="C1947" i="2"/>
  <c r="B1947" i="2"/>
  <c r="N1946" i="2"/>
  <c r="K1946" i="2"/>
  <c r="H1946" i="2"/>
  <c r="G1946" i="2"/>
  <c r="F1946" i="2"/>
  <c r="E1946" i="2"/>
  <c r="C1946" i="2"/>
  <c r="B1946" i="2"/>
  <c r="N1945" i="2"/>
  <c r="K1945" i="2"/>
  <c r="H1945" i="2"/>
  <c r="G1945" i="2"/>
  <c r="F1945" i="2"/>
  <c r="E1945" i="2"/>
  <c r="C1945" i="2"/>
  <c r="B1945" i="2"/>
  <c r="N1944" i="2"/>
  <c r="K1944" i="2"/>
  <c r="H1944" i="2"/>
  <c r="G1944" i="2"/>
  <c r="F1944" i="2"/>
  <c r="E1944" i="2"/>
  <c r="C1944" i="2"/>
  <c r="B1944" i="2"/>
  <c r="N1943" i="2"/>
  <c r="K1943" i="2"/>
  <c r="H1943" i="2"/>
  <c r="G1943" i="2"/>
  <c r="F1943" i="2"/>
  <c r="E1943" i="2"/>
  <c r="C1943" i="2"/>
  <c r="B1943" i="2"/>
  <c r="N1942" i="2"/>
  <c r="K1942" i="2"/>
  <c r="H1942" i="2"/>
  <c r="G1942" i="2"/>
  <c r="F1942" i="2"/>
  <c r="E1942" i="2"/>
  <c r="C1942" i="2"/>
  <c r="B1942" i="2"/>
  <c r="N1941" i="2"/>
  <c r="K1941" i="2"/>
  <c r="H1941" i="2"/>
  <c r="G1941" i="2"/>
  <c r="F1941" i="2"/>
  <c r="E1941" i="2"/>
  <c r="C1941" i="2"/>
  <c r="B1941" i="2"/>
  <c r="N1940" i="2"/>
  <c r="K1940" i="2"/>
  <c r="H1940" i="2"/>
  <c r="G1940" i="2"/>
  <c r="F1940" i="2"/>
  <c r="E1940" i="2"/>
  <c r="C1940" i="2"/>
  <c r="B1940" i="2"/>
  <c r="N1939" i="2"/>
  <c r="K1939" i="2"/>
  <c r="H1939" i="2"/>
  <c r="G1939" i="2"/>
  <c r="F1939" i="2"/>
  <c r="E1939" i="2"/>
  <c r="C1939" i="2"/>
  <c r="B1939" i="2"/>
  <c r="N1938" i="2"/>
  <c r="K1938" i="2"/>
  <c r="H1938" i="2"/>
  <c r="G1938" i="2"/>
  <c r="F1938" i="2"/>
  <c r="E1938" i="2"/>
  <c r="C1938" i="2"/>
  <c r="B1938" i="2"/>
  <c r="N1937" i="2"/>
  <c r="K1937" i="2"/>
  <c r="H1937" i="2"/>
  <c r="G1937" i="2"/>
  <c r="F1937" i="2"/>
  <c r="E1937" i="2"/>
  <c r="C1937" i="2"/>
  <c r="B1937" i="2"/>
  <c r="N1936" i="2"/>
  <c r="K1936" i="2"/>
  <c r="H1936" i="2"/>
  <c r="G1936" i="2"/>
  <c r="F1936" i="2"/>
  <c r="E1936" i="2"/>
  <c r="C1936" i="2"/>
  <c r="B1936" i="2"/>
  <c r="N1935" i="2"/>
  <c r="K1935" i="2"/>
  <c r="H1935" i="2"/>
  <c r="G1935" i="2"/>
  <c r="F1935" i="2"/>
  <c r="E1935" i="2"/>
  <c r="C1935" i="2"/>
  <c r="B1935" i="2"/>
  <c r="N1934" i="2"/>
  <c r="K1934" i="2"/>
  <c r="H1934" i="2"/>
  <c r="G1934" i="2"/>
  <c r="F1934" i="2"/>
  <c r="E1934" i="2"/>
  <c r="C1934" i="2"/>
  <c r="B1934" i="2"/>
  <c r="N1933" i="2"/>
  <c r="K1933" i="2"/>
  <c r="H1933" i="2"/>
  <c r="G1933" i="2"/>
  <c r="F1933" i="2"/>
  <c r="E1933" i="2"/>
  <c r="C1933" i="2"/>
  <c r="B1933" i="2"/>
  <c r="N1932" i="2"/>
  <c r="K1932" i="2"/>
  <c r="H1932" i="2"/>
  <c r="G1932" i="2"/>
  <c r="F1932" i="2"/>
  <c r="E1932" i="2"/>
  <c r="C1932" i="2"/>
  <c r="B1932" i="2"/>
  <c r="N1931" i="2"/>
  <c r="K1931" i="2"/>
  <c r="H1931" i="2"/>
  <c r="G1931" i="2"/>
  <c r="F1931" i="2"/>
  <c r="E1931" i="2"/>
  <c r="C1931" i="2"/>
  <c r="B1931" i="2"/>
  <c r="N1930" i="2"/>
  <c r="K1930" i="2"/>
  <c r="H1930" i="2"/>
  <c r="G1930" i="2"/>
  <c r="F1930" i="2"/>
  <c r="E1930" i="2"/>
  <c r="C1930" i="2"/>
  <c r="B1930" i="2"/>
  <c r="N1929" i="2"/>
  <c r="K1929" i="2"/>
  <c r="H1929" i="2"/>
  <c r="G1929" i="2"/>
  <c r="F1929" i="2"/>
  <c r="E1929" i="2"/>
  <c r="C1929" i="2"/>
  <c r="B1929" i="2"/>
  <c r="N1928" i="2"/>
  <c r="K1928" i="2"/>
  <c r="H1928" i="2"/>
  <c r="G1928" i="2"/>
  <c r="F1928" i="2"/>
  <c r="E1928" i="2"/>
  <c r="C1928" i="2"/>
  <c r="B1928" i="2"/>
  <c r="N1927" i="2"/>
  <c r="K1927" i="2"/>
  <c r="H1927" i="2"/>
  <c r="G1927" i="2"/>
  <c r="F1927" i="2"/>
  <c r="E1927" i="2"/>
  <c r="C1927" i="2"/>
  <c r="B1927" i="2"/>
  <c r="N1926" i="2"/>
  <c r="K1926" i="2"/>
  <c r="H1926" i="2"/>
  <c r="G1926" i="2"/>
  <c r="F1926" i="2"/>
  <c r="E1926" i="2"/>
  <c r="C1926" i="2"/>
  <c r="B1926" i="2"/>
  <c r="N1925" i="2"/>
  <c r="K1925" i="2"/>
  <c r="H1925" i="2"/>
  <c r="G1925" i="2"/>
  <c r="F1925" i="2"/>
  <c r="E1925" i="2"/>
  <c r="C1925" i="2"/>
  <c r="B1925" i="2"/>
  <c r="N1924" i="2"/>
  <c r="K1924" i="2"/>
  <c r="H1924" i="2"/>
  <c r="G1924" i="2"/>
  <c r="F1924" i="2"/>
  <c r="E1924" i="2"/>
  <c r="C1924" i="2"/>
  <c r="B1924" i="2"/>
  <c r="N1923" i="2"/>
  <c r="K1923" i="2"/>
  <c r="H1923" i="2"/>
  <c r="G1923" i="2"/>
  <c r="F1923" i="2"/>
  <c r="E1923" i="2"/>
  <c r="C1923" i="2"/>
  <c r="B1923" i="2"/>
  <c r="N1922" i="2"/>
  <c r="K1922" i="2"/>
  <c r="H1922" i="2"/>
  <c r="G1922" i="2"/>
  <c r="F1922" i="2"/>
  <c r="E1922" i="2"/>
  <c r="C1922" i="2"/>
  <c r="B1922" i="2"/>
  <c r="N1921" i="2"/>
  <c r="K1921" i="2"/>
  <c r="H1921" i="2"/>
  <c r="G1921" i="2"/>
  <c r="F1921" i="2"/>
  <c r="E1921" i="2"/>
  <c r="C1921" i="2"/>
  <c r="B1921" i="2"/>
  <c r="N1920" i="2"/>
  <c r="K1920" i="2"/>
  <c r="H1920" i="2"/>
  <c r="G1920" i="2"/>
  <c r="F1920" i="2"/>
  <c r="E1920" i="2"/>
  <c r="C1920" i="2"/>
  <c r="B1920" i="2"/>
  <c r="N1919" i="2"/>
  <c r="K1919" i="2"/>
  <c r="H1919" i="2"/>
  <c r="G1919" i="2"/>
  <c r="F1919" i="2"/>
  <c r="E1919" i="2"/>
  <c r="C1919" i="2"/>
  <c r="B1919" i="2"/>
  <c r="N1918" i="2"/>
  <c r="K1918" i="2"/>
  <c r="H1918" i="2"/>
  <c r="G1918" i="2"/>
  <c r="F1918" i="2"/>
  <c r="E1918" i="2"/>
  <c r="C1918" i="2"/>
  <c r="B1918" i="2"/>
  <c r="N1917" i="2"/>
  <c r="K1917" i="2"/>
  <c r="H1917" i="2"/>
  <c r="G1917" i="2"/>
  <c r="F1917" i="2"/>
  <c r="E1917" i="2"/>
  <c r="C1917" i="2"/>
  <c r="B1917" i="2"/>
  <c r="N1916" i="2"/>
  <c r="K1916" i="2"/>
  <c r="H1916" i="2"/>
  <c r="G1916" i="2"/>
  <c r="F1916" i="2"/>
  <c r="E1916" i="2"/>
  <c r="C1916" i="2"/>
  <c r="B1916" i="2"/>
  <c r="N1915" i="2"/>
  <c r="K1915" i="2"/>
  <c r="H1915" i="2"/>
  <c r="G1915" i="2"/>
  <c r="F1915" i="2"/>
  <c r="E1915" i="2"/>
  <c r="C1915" i="2"/>
  <c r="B1915" i="2"/>
  <c r="N1914" i="2"/>
  <c r="K1914" i="2"/>
  <c r="H1914" i="2"/>
  <c r="G1914" i="2"/>
  <c r="F1914" i="2"/>
  <c r="E1914" i="2"/>
  <c r="C1914" i="2"/>
  <c r="B1914" i="2"/>
  <c r="N1913" i="2"/>
  <c r="K1913" i="2"/>
  <c r="H1913" i="2"/>
  <c r="G1913" i="2"/>
  <c r="F1913" i="2"/>
  <c r="E1913" i="2"/>
  <c r="C1913" i="2"/>
  <c r="B1913" i="2"/>
  <c r="N1912" i="2"/>
  <c r="K1912" i="2"/>
  <c r="H1912" i="2"/>
  <c r="G1912" i="2"/>
  <c r="F1912" i="2"/>
  <c r="E1912" i="2"/>
  <c r="C1912" i="2"/>
  <c r="B1912" i="2"/>
  <c r="N1911" i="2"/>
  <c r="K1911" i="2"/>
  <c r="H1911" i="2"/>
  <c r="G1911" i="2"/>
  <c r="F1911" i="2"/>
  <c r="E1911" i="2"/>
  <c r="C1911" i="2"/>
  <c r="B1911" i="2"/>
  <c r="N1910" i="2"/>
  <c r="K1910" i="2"/>
  <c r="H1910" i="2"/>
  <c r="G1910" i="2"/>
  <c r="F1910" i="2"/>
  <c r="E1910" i="2"/>
  <c r="C1910" i="2"/>
  <c r="B1910" i="2"/>
  <c r="N1909" i="2"/>
  <c r="K1909" i="2"/>
  <c r="H1909" i="2"/>
  <c r="G1909" i="2"/>
  <c r="F1909" i="2"/>
  <c r="E1909" i="2"/>
  <c r="C1909" i="2"/>
  <c r="B1909" i="2"/>
  <c r="N1908" i="2"/>
  <c r="K1908" i="2"/>
  <c r="H1908" i="2"/>
  <c r="G1908" i="2"/>
  <c r="F1908" i="2"/>
  <c r="E1908" i="2"/>
  <c r="C1908" i="2"/>
  <c r="B1908" i="2"/>
  <c r="N1907" i="2"/>
  <c r="K1907" i="2"/>
  <c r="H1907" i="2"/>
  <c r="G1907" i="2"/>
  <c r="F1907" i="2"/>
  <c r="E1907" i="2"/>
  <c r="C1907" i="2"/>
  <c r="B1907" i="2"/>
  <c r="N1906" i="2"/>
  <c r="K1906" i="2"/>
  <c r="H1906" i="2"/>
  <c r="G1906" i="2"/>
  <c r="F1906" i="2"/>
  <c r="E1906" i="2"/>
  <c r="C1906" i="2"/>
  <c r="B1906" i="2"/>
  <c r="N1905" i="2"/>
  <c r="K1905" i="2"/>
  <c r="H1905" i="2"/>
  <c r="G1905" i="2"/>
  <c r="F1905" i="2"/>
  <c r="E1905" i="2"/>
  <c r="C1905" i="2"/>
  <c r="B1905" i="2"/>
  <c r="N1904" i="2"/>
  <c r="K1904" i="2"/>
  <c r="H1904" i="2"/>
  <c r="G1904" i="2"/>
  <c r="F1904" i="2"/>
  <c r="E1904" i="2"/>
  <c r="C1904" i="2"/>
  <c r="B1904" i="2"/>
  <c r="N1903" i="2"/>
  <c r="K1903" i="2"/>
  <c r="H1903" i="2"/>
  <c r="G1903" i="2"/>
  <c r="F1903" i="2"/>
  <c r="E1903" i="2"/>
  <c r="C1903" i="2"/>
  <c r="B1903" i="2"/>
  <c r="N1902" i="2"/>
  <c r="K1902" i="2"/>
  <c r="H1902" i="2"/>
  <c r="G1902" i="2"/>
  <c r="F1902" i="2"/>
  <c r="E1902" i="2"/>
  <c r="C1902" i="2"/>
  <c r="B1902" i="2"/>
  <c r="N1901" i="2"/>
  <c r="K1901" i="2"/>
  <c r="H1901" i="2"/>
  <c r="G1901" i="2"/>
  <c r="F1901" i="2"/>
  <c r="E1901" i="2"/>
  <c r="C1901" i="2"/>
  <c r="B1901" i="2"/>
  <c r="N1900" i="2"/>
  <c r="K1900" i="2"/>
  <c r="H1900" i="2"/>
  <c r="G1900" i="2"/>
  <c r="F1900" i="2"/>
  <c r="E1900" i="2"/>
  <c r="C1900" i="2"/>
  <c r="B1900" i="2"/>
  <c r="N1899" i="2"/>
  <c r="K1899" i="2"/>
  <c r="H1899" i="2"/>
  <c r="G1899" i="2"/>
  <c r="F1899" i="2"/>
  <c r="E1899" i="2"/>
  <c r="C1899" i="2"/>
  <c r="B1899" i="2"/>
  <c r="N1898" i="2"/>
  <c r="K1898" i="2"/>
  <c r="H1898" i="2"/>
  <c r="G1898" i="2"/>
  <c r="F1898" i="2"/>
  <c r="E1898" i="2"/>
  <c r="C1898" i="2"/>
  <c r="B1898" i="2"/>
  <c r="N1897" i="2"/>
  <c r="K1897" i="2"/>
  <c r="H1897" i="2"/>
  <c r="G1897" i="2"/>
  <c r="F1897" i="2"/>
  <c r="E1897" i="2"/>
  <c r="C1897" i="2"/>
  <c r="B1897" i="2"/>
  <c r="N1896" i="2"/>
  <c r="K1896" i="2"/>
  <c r="H1896" i="2"/>
  <c r="G1896" i="2"/>
  <c r="F1896" i="2"/>
  <c r="E1896" i="2"/>
  <c r="C1896" i="2"/>
  <c r="B1896" i="2"/>
  <c r="N1895" i="2"/>
  <c r="K1895" i="2"/>
  <c r="H1895" i="2"/>
  <c r="G1895" i="2"/>
  <c r="F1895" i="2"/>
  <c r="E1895" i="2"/>
  <c r="C1895" i="2"/>
  <c r="B1895" i="2"/>
  <c r="N1894" i="2"/>
  <c r="K1894" i="2"/>
  <c r="H1894" i="2"/>
  <c r="G1894" i="2"/>
  <c r="F1894" i="2"/>
  <c r="E1894" i="2"/>
  <c r="C1894" i="2"/>
  <c r="B1894" i="2"/>
  <c r="N1893" i="2"/>
  <c r="K1893" i="2"/>
  <c r="H1893" i="2"/>
  <c r="G1893" i="2"/>
  <c r="F1893" i="2"/>
  <c r="E1893" i="2"/>
  <c r="C1893" i="2"/>
  <c r="B1893" i="2"/>
  <c r="N1892" i="2"/>
  <c r="K1892" i="2"/>
  <c r="H1892" i="2"/>
  <c r="G1892" i="2"/>
  <c r="F1892" i="2"/>
  <c r="E1892" i="2"/>
  <c r="C1892" i="2"/>
  <c r="B1892" i="2"/>
  <c r="N1891" i="2"/>
  <c r="K1891" i="2"/>
  <c r="H1891" i="2"/>
  <c r="G1891" i="2"/>
  <c r="F1891" i="2"/>
  <c r="E1891" i="2"/>
  <c r="C1891" i="2"/>
  <c r="B1891" i="2"/>
  <c r="N1890" i="2"/>
  <c r="K1890" i="2"/>
  <c r="H1890" i="2"/>
  <c r="G1890" i="2"/>
  <c r="F1890" i="2"/>
  <c r="E1890" i="2"/>
  <c r="C1890" i="2"/>
  <c r="B1890" i="2"/>
  <c r="N1889" i="2"/>
  <c r="K1889" i="2"/>
  <c r="H1889" i="2"/>
  <c r="G1889" i="2"/>
  <c r="F1889" i="2"/>
  <c r="E1889" i="2"/>
  <c r="C1889" i="2"/>
  <c r="B1889" i="2"/>
  <c r="N1888" i="2"/>
  <c r="K1888" i="2"/>
  <c r="H1888" i="2"/>
  <c r="G1888" i="2"/>
  <c r="F1888" i="2"/>
  <c r="E1888" i="2"/>
  <c r="C1888" i="2"/>
  <c r="B1888" i="2"/>
  <c r="N1887" i="2"/>
  <c r="K1887" i="2"/>
  <c r="H1887" i="2"/>
  <c r="G1887" i="2"/>
  <c r="F1887" i="2"/>
  <c r="E1887" i="2"/>
  <c r="C1887" i="2"/>
  <c r="B1887" i="2"/>
  <c r="N1886" i="2"/>
  <c r="K1886" i="2"/>
  <c r="H1886" i="2"/>
  <c r="G1886" i="2"/>
  <c r="F1886" i="2"/>
  <c r="E1886" i="2"/>
  <c r="C1886" i="2"/>
  <c r="B1886" i="2"/>
  <c r="N1885" i="2"/>
  <c r="K1885" i="2"/>
  <c r="H1885" i="2"/>
  <c r="G1885" i="2"/>
  <c r="F1885" i="2"/>
  <c r="E1885" i="2"/>
  <c r="C1885" i="2"/>
  <c r="B1885" i="2"/>
  <c r="N1884" i="2"/>
  <c r="K1884" i="2"/>
  <c r="H1884" i="2"/>
  <c r="G1884" i="2"/>
  <c r="F1884" i="2"/>
  <c r="E1884" i="2"/>
  <c r="C1884" i="2"/>
  <c r="B1884" i="2"/>
  <c r="N1883" i="2"/>
  <c r="K1883" i="2"/>
  <c r="H1883" i="2"/>
  <c r="G1883" i="2"/>
  <c r="F1883" i="2"/>
  <c r="E1883" i="2"/>
  <c r="C1883" i="2"/>
  <c r="B1883" i="2"/>
  <c r="N1882" i="2"/>
  <c r="K1882" i="2"/>
  <c r="H1882" i="2"/>
  <c r="G1882" i="2"/>
  <c r="F1882" i="2"/>
  <c r="E1882" i="2"/>
  <c r="C1882" i="2"/>
  <c r="B1882" i="2"/>
  <c r="N1881" i="2"/>
  <c r="K1881" i="2"/>
  <c r="H1881" i="2"/>
  <c r="G1881" i="2"/>
  <c r="F1881" i="2"/>
  <c r="E1881" i="2"/>
  <c r="C1881" i="2"/>
  <c r="B1881" i="2"/>
  <c r="N1880" i="2"/>
  <c r="K1880" i="2"/>
  <c r="H1880" i="2"/>
  <c r="G1880" i="2"/>
  <c r="F1880" i="2"/>
  <c r="E1880" i="2"/>
  <c r="C1880" i="2"/>
  <c r="B1880" i="2"/>
  <c r="N1879" i="2"/>
  <c r="K1879" i="2"/>
  <c r="H1879" i="2"/>
  <c r="G1879" i="2"/>
  <c r="F1879" i="2"/>
  <c r="E1879" i="2"/>
  <c r="C1879" i="2"/>
  <c r="B1879" i="2"/>
  <c r="N1878" i="2"/>
  <c r="K1878" i="2"/>
  <c r="H1878" i="2"/>
  <c r="G1878" i="2"/>
  <c r="F1878" i="2"/>
  <c r="E1878" i="2"/>
  <c r="C1878" i="2"/>
  <c r="B1878" i="2"/>
  <c r="N1877" i="2"/>
  <c r="K1877" i="2"/>
  <c r="H1877" i="2"/>
  <c r="G1877" i="2"/>
  <c r="F1877" i="2"/>
  <c r="E1877" i="2"/>
  <c r="C1877" i="2"/>
  <c r="B1877" i="2"/>
  <c r="N1876" i="2"/>
  <c r="K1876" i="2"/>
  <c r="H1876" i="2"/>
  <c r="G1876" i="2"/>
  <c r="F1876" i="2"/>
  <c r="E1876" i="2"/>
  <c r="C1876" i="2"/>
  <c r="B1876" i="2"/>
  <c r="N1875" i="2"/>
  <c r="K1875" i="2"/>
  <c r="H1875" i="2"/>
  <c r="G1875" i="2"/>
  <c r="F1875" i="2"/>
  <c r="E1875" i="2"/>
  <c r="C1875" i="2"/>
  <c r="B1875" i="2"/>
  <c r="N1874" i="2"/>
  <c r="K1874" i="2"/>
  <c r="H1874" i="2"/>
  <c r="G1874" i="2"/>
  <c r="F1874" i="2"/>
  <c r="E1874" i="2"/>
  <c r="C1874" i="2"/>
  <c r="B1874" i="2"/>
  <c r="N1873" i="2"/>
  <c r="K1873" i="2"/>
  <c r="H1873" i="2"/>
  <c r="G1873" i="2"/>
  <c r="F1873" i="2"/>
  <c r="E1873" i="2"/>
  <c r="C1873" i="2"/>
  <c r="B1873" i="2"/>
  <c r="N1872" i="2"/>
  <c r="K1872" i="2"/>
  <c r="H1872" i="2"/>
  <c r="G1872" i="2"/>
  <c r="F1872" i="2"/>
  <c r="E1872" i="2"/>
  <c r="C1872" i="2"/>
  <c r="B1872" i="2"/>
  <c r="N1871" i="2"/>
  <c r="K1871" i="2"/>
  <c r="H1871" i="2"/>
  <c r="G1871" i="2"/>
  <c r="F1871" i="2"/>
  <c r="E1871" i="2"/>
  <c r="C1871" i="2"/>
  <c r="B1871" i="2"/>
  <c r="N1870" i="2"/>
  <c r="K1870" i="2"/>
  <c r="H1870" i="2"/>
  <c r="G1870" i="2"/>
  <c r="F1870" i="2"/>
  <c r="E1870" i="2"/>
  <c r="C1870" i="2"/>
  <c r="B1870" i="2"/>
  <c r="N1869" i="2"/>
  <c r="K1869" i="2"/>
  <c r="H1869" i="2"/>
  <c r="G1869" i="2"/>
  <c r="F1869" i="2"/>
  <c r="E1869" i="2"/>
  <c r="C1869" i="2"/>
  <c r="B1869" i="2"/>
  <c r="N1868" i="2"/>
  <c r="K1868" i="2"/>
  <c r="H1868" i="2"/>
  <c r="G1868" i="2"/>
  <c r="F1868" i="2"/>
  <c r="E1868" i="2"/>
  <c r="C1868" i="2"/>
  <c r="B1868" i="2"/>
  <c r="N1867" i="2"/>
  <c r="K1867" i="2"/>
  <c r="H1867" i="2"/>
  <c r="G1867" i="2"/>
  <c r="F1867" i="2"/>
  <c r="E1867" i="2"/>
  <c r="C1867" i="2"/>
  <c r="B1867" i="2"/>
  <c r="N1866" i="2"/>
  <c r="K1866" i="2"/>
  <c r="H1866" i="2"/>
  <c r="G1866" i="2"/>
  <c r="F1866" i="2"/>
  <c r="E1866" i="2"/>
  <c r="C1866" i="2"/>
  <c r="B1866" i="2"/>
  <c r="N1865" i="2"/>
  <c r="K1865" i="2"/>
  <c r="H1865" i="2"/>
  <c r="G1865" i="2"/>
  <c r="F1865" i="2"/>
  <c r="E1865" i="2"/>
  <c r="C1865" i="2"/>
  <c r="B1865" i="2"/>
  <c r="N1864" i="2"/>
  <c r="K1864" i="2"/>
  <c r="H1864" i="2"/>
  <c r="G1864" i="2"/>
  <c r="F1864" i="2"/>
  <c r="E1864" i="2"/>
  <c r="C1864" i="2"/>
  <c r="B1864" i="2"/>
  <c r="N1863" i="2"/>
  <c r="K1863" i="2"/>
  <c r="H1863" i="2"/>
  <c r="G1863" i="2"/>
  <c r="F1863" i="2"/>
  <c r="E1863" i="2"/>
  <c r="C1863" i="2"/>
  <c r="B1863" i="2"/>
  <c r="N1862" i="2"/>
  <c r="K1862" i="2"/>
  <c r="H1862" i="2"/>
  <c r="G1862" i="2"/>
  <c r="F1862" i="2"/>
  <c r="E1862" i="2"/>
  <c r="C1862" i="2"/>
  <c r="B1862" i="2"/>
  <c r="N1861" i="2"/>
  <c r="K1861" i="2"/>
  <c r="H1861" i="2"/>
  <c r="G1861" i="2"/>
  <c r="F1861" i="2"/>
  <c r="E1861" i="2"/>
  <c r="C1861" i="2"/>
  <c r="B1861" i="2"/>
  <c r="N1860" i="2"/>
  <c r="K1860" i="2"/>
  <c r="H1860" i="2"/>
  <c r="G1860" i="2"/>
  <c r="F1860" i="2"/>
  <c r="E1860" i="2"/>
  <c r="C1860" i="2"/>
  <c r="B1860" i="2"/>
  <c r="N1859" i="2"/>
  <c r="K1859" i="2"/>
  <c r="H1859" i="2"/>
  <c r="G1859" i="2"/>
  <c r="F1859" i="2"/>
  <c r="E1859" i="2"/>
  <c r="C1859" i="2"/>
  <c r="B1859" i="2"/>
  <c r="N1858" i="2"/>
  <c r="K1858" i="2"/>
  <c r="H1858" i="2"/>
  <c r="G1858" i="2"/>
  <c r="F1858" i="2"/>
  <c r="E1858" i="2"/>
  <c r="C1858" i="2"/>
  <c r="B1858" i="2"/>
  <c r="N1857" i="2"/>
  <c r="K1857" i="2"/>
  <c r="H1857" i="2"/>
  <c r="G1857" i="2"/>
  <c r="F1857" i="2"/>
  <c r="E1857" i="2"/>
  <c r="C1857" i="2"/>
  <c r="B1857" i="2"/>
  <c r="N1856" i="2"/>
  <c r="K1856" i="2"/>
  <c r="H1856" i="2"/>
  <c r="G1856" i="2"/>
  <c r="F1856" i="2"/>
  <c r="E1856" i="2"/>
  <c r="C1856" i="2"/>
  <c r="B1856" i="2"/>
  <c r="N1855" i="2"/>
  <c r="K1855" i="2"/>
  <c r="H1855" i="2"/>
  <c r="G1855" i="2"/>
  <c r="F1855" i="2"/>
  <c r="E1855" i="2"/>
  <c r="C1855" i="2"/>
  <c r="B1855" i="2"/>
  <c r="N1854" i="2"/>
  <c r="K1854" i="2"/>
  <c r="H1854" i="2"/>
  <c r="G1854" i="2"/>
  <c r="F1854" i="2"/>
  <c r="E1854" i="2"/>
  <c r="C1854" i="2"/>
  <c r="B1854" i="2"/>
  <c r="N1853" i="2"/>
  <c r="K1853" i="2"/>
  <c r="H1853" i="2"/>
  <c r="G1853" i="2"/>
  <c r="F1853" i="2"/>
  <c r="E1853" i="2"/>
  <c r="C1853" i="2"/>
  <c r="B1853" i="2"/>
  <c r="N1852" i="2"/>
  <c r="K1852" i="2"/>
  <c r="H1852" i="2"/>
  <c r="G1852" i="2"/>
  <c r="F1852" i="2"/>
  <c r="E1852" i="2"/>
  <c r="C1852" i="2"/>
  <c r="B1852" i="2"/>
  <c r="N1851" i="2"/>
  <c r="K1851" i="2"/>
  <c r="H1851" i="2"/>
  <c r="G1851" i="2"/>
  <c r="F1851" i="2"/>
  <c r="E1851" i="2"/>
  <c r="C1851" i="2"/>
  <c r="B1851" i="2"/>
  <c r="N1850" i="2"/>
  <c r="K1850" i="2"/>
  <c r="H1850" i="2"/>
  <c r="G1850" i="2"/>
  <c r="F1850" i="2"/>
  <c r="E1850" i="2"/>
  <c r="C1850" i="2"/>
  <c r="B1850" i="2"/>
  <c r="N1849" i="2"/>
  <c r="K1849" i="2"/>
  <c r="H1849" i="2"/>
  <c r="G1849" i="2"/>
  <c r="F1849" i="2"/>
  <c r="E1849" i="2"/>
  <c r="C1849" i="2"/>
  <c r="B1849" i="2"/>
  <c r="N1848" i="2"/>
  <c r="K1848" i="2"/>
  <c r="H1848" i="2"/>
  <c r="G1848" i="2"/>
  <c r="F1848" i="2"/>
  <c r="E1848" i="2"/>
  <c r="C1848" i="2"/>
  <c r="B1848" i="2"/>
  <c r="N1847" i="2"/>
  <c r="K1847" i="2"/>
  <c r="H1847" i="2"/>
  <c r="G1847" i="2"/>
  <c r="F1847" i="2"/>
  <c r="E1847" i="2"/>
  <c r="C1847" i="2"/>
  <c r="B1847" i="2"/>
  <c r="N1846" i="2"/>
  <c r="K1846" i="2"/>
  <c r="H1846" i="2"/>
  <c r="G1846" i="2"/>
  <c r="F1846" i="2"/>
  <c r="E1846" i="2"/>
  <c r="C1846" i="2"/>
  <c r="B1846" i="2"/>
  <c r="N1845" i="2"/>
  <c r="K1845" i="2"/>
  <c r="H1845" i="2"/>
  <c r="G1845" i="2"/>
  <c r="F1845" i="2"/>
  <c r="E1845" i="2"/>
  <c r="C1845" i="2"/>
  <c r="B1845" i="2"/>
  <c r="N1844" i="2"/>
  <c r="K1844" i="2"/>
  <c r="H1844" i="2"/>
  <c r="G1844" i="2"/>
  <c r="F1844" i="2"/>
  <c r="E1844" i="2"/>
  <c r="C1844" i="2"/>
  <c r="B1844" i="2"/>
  <c r="N1843" i="2"/>
  <c r="K1843" i="2"/>
  <c r="H1843" i="2"/>
  <c r="G1843" i="2"/>
  <c r="F1843" i="2"/>
  <c r="E1843" i="2"/>
  <c r="C1843" i="2"/>
  <c r="B1843" i="2"/>
  <c r="N1842" i="2"/>
  <c r="K1842" i="2"/>
  <c r="H1842" i="2"/>
  <c r="G1842" i="2"/>
  <c r="F1842" i="2"/>
  <c r="E1842" i="2"/>
  <c r="C1842" i="2"/>
  <c r="B1842" i="2"/>
  <c r="N1841" i="2"/>
  <c r="K1841" i="2"/>
  <c r="H1841" i="2"/>
  <c r="G1841" i="2"/>
  <c r="F1841" i="2"/>
  <c r="E1841" i="2"/>
  <c r="C1841" i="2"/>
  <c r="B1841" i="2"/>
  <c r="N1840" i="2"/>
  <c r="K1840" i="2"/>
  <c r="H1840" i="2"/>
  <c r="G1840" i="2"/>
  <c r="F1840" i="2"/>
  <c r="E1840" i="2"/>
  <c r="C1840" i="2"/>
  <c r="B1840" i="2"/>
  <c r="N1839" i="2"/>
  <c r="K1839" i="2"/>
  <c r="H1839" i="2"/>
  <c r="G1839" i="2"/>
  <c r="F1839" i="2"/>
  <c r="E1839" i="2"/>
  <c r="C1839" i="2"/>
  <c r="B1839" i="2"/>
  <c r="N1838" i="2"/>
  <c r="K1838" i="2"/>
  <c r="H1838" i="2"/>
  <c r="G1838" i="2"/>
  <c r="F1838" i="2"/>
  <c r="E1838" i="2"/>
  <c r="C1838" i="2"/>
  <c r="B1838" i="2"/>
  <c r="N1837" i="2"/>
  <c r="K1837" i="2"/>
  <c r="H1837" i="2"/>
  <c r="G1837" i="2"/>
  <c r="F1837" i="2"/>
  <c r="E1837" i="2"/>
  <c r="C1837" i="2"/>
  <c r="B1837" i="2"/>
  <c r="N1836" i="2"/>
  <c r="K1836" i="2"/>
  <c r="H1836" i="2"/>
  <c r="G1836" i="2"/>
  <c r="F1836" i="2"/>
  <c r="E1836" i="2"/>
  <c r="C1836" i="2"/>
  <c r="B1836" i="2"/>
  <c r="N1835" i="2"/>
  <c r="K1835" i="2"/>
  <c r="H1835" i="2"/>
  <c r="G1835" i="2"/>
  <c r="F1835" i="2"/>
  <c r="E1835" i="2"/>
  <c r="C1835" i="2"/>
  <c r="B1835" i="2"/>
  <c r="N1834" i="2"/>
  <c r="K1834" i="2"/>
  <c r="H1834" i="2"/>
  <c r="G1834" i="2"/>
  <c r="F1834" i="2"/>
  <c r="E1834" i="2"/>
  <c r="C1834" i="2"/>
  <c r="B1834" i="2"/>
  <c r="N1833" i="2"/>
  <c r="K1833" i="2"/>
  <c r="H1833" i="2"/>
  <c r="G1833" i="2"/>
  <c r="F1833" i="2"/>
  <c r="E1833" i="2"/>
  <c r="C1833" i="2"/>
  <c r="B1833" i="2"/>
  <c r="N1832" i="2"/>
  <c r="K1832" i="2"/>
  <c r="H1832" i="2"/>
  <c r="G1832" i="2"/>
  <c r="F1832" i="2"/>
  <c r="E1832" i="2"/>
  <c r="C1832" i="2"/>
  <c r="B1832" i="2"/>
  <c r="N1831" i="2"/>
  <c r="K1831" i="2"/>
  <c r="H1831" i="2"/>
  <c r="G1831" i="2"/>
  <c r="F1831" i="2"/>
  <c r="E1831" i="2"/>
  <c r="C1831" i="2"/>
  <c r="B1831" i="2"/>
  <c r="N1830" i="2"/>
  <c r="K1830" i="2"/>
  <c r="H1830" i="2"/>
  <c r="G1830" i="2"/>
  <c r="F1830" i="2"/>
  <c r="E1830" i="2"/>
  <c r="C1830" i="2"/>
  <c r="B1830" i="2"/>
  <c r="N1829" i="2"/>
  <c r="K1829" i="2"/>
  <c r="H1829" i="2"/>
  <c r="G1829" i="2"/>
  <c r="F1829" i="2"/>
  <c r="E1829" i="2"/>
  <c r="C1829" i="2"/>
  <c r="B1829" i="2"/>
  <c r="N1828" i="2"/>
  <c r="K1828" i="2"/>
  <c r="H1828" i="2"/>
  <c r="G1828" i="2"/>
  <c r="F1828" i="2"/>
  <c r="E1828" i="2"/>
  <c r="C1828" i="2"/>
  <c r="B1828" i="2"/>
  <c r="N1827" i="2"/>
  <c r="K1827" i="2"/>
  <c r="H1827" i="2"/>
  <c r="G1827" i="2"/>
  <c r="F1827" i="2"/>
  <c r="E1827" i="2"/>
  <c r="C1827" i="2"/>
  <c r="B1827" i="2"/>
  <c r="N1826" i="2"/>
  <c r="K1826" i="2"/>
  <c r="H1826" i="2"/>
  <c r="G1826" i="2"/>
  <c r="F1826" i="2"/>
  <c r="E1826" i="2"/>
  <c r="C1826" i="2"/>
  <c r="B1826" i="2"/>
  <c r="N1825" i="2"/>
  <c r="K1825" i="2"/>
  <c r="H1825" i="2"/>
  <c r="G1825" i="2"/>
  <c r="F1825" i="2"/>
  <c r="E1825" i="2"/>
  <c r="C1825" i="2"/>
  <c r="B1825" i="2"/>
  <c r="N1824" i="2"/>
  <c r="K1824" i="2"/>
  <c r="H1824" i="2"/>
  <c r="G1824" i="2"/>
  <c r="F1824" i="2"/>
  <c r="E1824" i="2"/>
  <c r="C1824" i="2"/>
  <c r="B1824" i="2"/>
  <c r="N1823" i="2"/>
  <c r="K1823" i="2"/>
  <c r="H1823" i="2"/>
  <c r="G1823" i="2"/>
  <c r="F1823" i="2"/>
  <c r="E1823" i="2"/>
  <c r="C1823" i="2"/>
  <c r="B1823" i="2"/>
  <c r="N1822" i="2"/>
  <c r="K1822" i="2"/>
  <c r="H1822" i="2"/>
  <c r="G1822" i="2"/>
  <c r="F1822" i="2"/>
  <c r="E1822" i="2"/>
  <c r="C1822" i="2"/>
  <c r="B1822" i="2"/>
  <c r="N1821" i="2"/>
  <c r="K1821" i="2"/>
  <c r="H1821" i="2"/>
  <c r="G1821" i="2"/>
  <c r="F1821" i="2"/>
  <c r="E1821" i="2"/>
  <c r="C1821" i="2"/>
  <c r="B1821" i="2"/>
  <c r="N1820" i="2"/>
  <c r="K1820" i="2"/>
  <c r="H1820" i="2"/>
  <c r="G1820" i="2"/>
  <c r="F1820" i="2"/>
  <c r="E1820" i="2"/>
  <c r="C1820" i="2"/>
  <c r="B1820" i="2"/>
  <c r="N1819" i="2"/>
  <c r="K1819" i="2"/>
  <c r="H1819" i="2"/>
  <c r="G1819" i="2"/>
  <c r="F1819" i="2"/>
  <c r="E1819" i="2"/>
  <c r="C1819" i="2"/>
  <c r="B1819" i="2"/>
  <c r="N1818" i="2"/>
  <c r="K1818" i="2"/>
  <c r="H1818" i="2"/>
  <c r="G1818" i="2"/>
  <c r="F1818" i="2"/>
  <c r="E1818" i="2"/>
  <c r="C1818" i="2"/>
  <c r="B1818" i="2"/>
  <c r="N1817" i="2"/>
  <c r="K1817" i="2"/>
  <c r="H1817" i="2"/>
  <c r="G1817" i="2"/>
  <c r="F1817" i="2"/>
  <c r="E1817" i="2"/>
  <c r="C1817" i="2"/>
  <c r="B1817" i="2"/>
  <c r="N1816" i="2"/>
  <c r="K1816" i="2"/>
  <c r="H1816" i="2"/>
  <c r="G1816" i="2"/>
  <c r="F1816" i="2"/>
  <c r="E1816" i="2"/>
  <c r="C1816" i="2"/>
  <c r="B1816" i="2"/>
  <c r="N1815" i="2"/>
  <c r="K1815" i="2"/>
  <c r="H1815" i="2"/>
  <c r="G1815" i="2"/>
  <c r="F1815" i="2"/>
  <c r="E1815" i="2"/>
  <c r="C1815" i="2"/>
  <c r="B1815" i="2"/>
  <c r="N1814" i="2"/>
  <c r="K1814" i="2"/>
  <c r="H1814" i="2"/>
  <c r="G1814" i="2"/>
  <c r="F1814" i="2"/>
  <c r="E1814" i="2"/>
  <c r="C1814" i="2"/>
  <c r="B1814" i="2"/>
  <c r="N1813" i="2"/>
  <c r="K1813" i="2"/>
  <c r="H1813" i="2"/>
  <c r="G1813" i="2"/>
  <c r="F1813" i="2"/>
  <c r="E1813" i="2"/>
  <c r="C1813" i="2"/>
  <c r="B1813" i="2"/>
  <c r="N1812" i="2"/>
  <c r="K1812" i="2"/>
  <c r="H1812" i="2"/>
  <c r="G1812" i="2"/>
  <c r="F1812" i="2"/>
  <c r="E1812" i="2"/>
  <c r="C1812" i="2"/>
  <c r="B1812" i="2"/>
  <c r="N1811" i="2"/>
  <c r="K1811" i="2"/>
  <c r="H1811" i="2"/>
  <c r="G1811" i="2"/>
  <c r="F1811" i="2"/>
  <c r="E1811" i="2"/>
  <c r="C1811" i="2"/>
  <c r="B1811" i="2"/>
  <c r="N1810" i="2"/>
  <c r="K1810" i="2"/>
  <c r="H1810" i="2"/>
  <c r="G1810" i="2"/>
  <c r="F1810" i="2"/>
  <c r="E1810" i="2"/>
  <c r="C1810" i="2"/>
  <c r="B1810" i="2"/>
  <c r="N1809" i="2"/>
  <c r="K1809" i="2"/>
  <c r="H1809" i="2"/>
  <c r="G1809" i="2"/>
  <c r="F1809" i="2"/>
  <c r="E1809" i="2"/>
  <c r="C1809" i="2"/>
  <c r="B1809" i="2"/>
  <c r="N1808" i="2"/>
  <c r="K1808" i="2"/>
  <c r="H1808" i="2"/>
  <c r="G1808" i="2"/>
  <c r="F1808" i="2"/>
  <c r="E1808" i="2"/>
  <c r="C1808" i="2"/>
  <c r="B1808" i="2"/>
  <c r="N1807" i="2"/>
  <c r="K1807" i="2"/>
  <c r="H1807" i="2"/>
  <c r="G1807" i="2"/>
  <c r="F1807" i="2"/>
  <c r="E1807" i="2"/>
  <c r="C1807" i="2"/>
  <c r="B1807" i="2"/>
  <c r="N1806" i="2"/>
  <c r="K1806" i="2"/>
  <c r="H1806" i="2"/>
  <c r="G1806" i="2"/>
  <c r="F1806" i="2"/>
  <c r="E1806" i="2"/>
  <c r="C1806" i="2"/>
  <c r="B1806" i="2"/>
  <c r="N1805" i="2"/>
  <c r="K1805" i="2"/>
  <c r="H1805" i="2"/>
  <c r="G1805" i="2"/>
  <c r="F1805" i="2"/>
  <c r="E1805" i="2"/>
  <c r="C1805" i="2"/>
  <c r="B1805" i="2"/>
  <c r="N1804" i="2"/>
  <c r="K1804" i="2"/>
  <c r="H1804" i="2"/>
  <c r="G1804" i="2"/>
  <c r="F1804" i="2"/>
  <c r="E1804" i="2"/>
  <c r="C1804" i="2"/>
  <c r="B1804" i="2"/>
  <c r="N1803" i="2"/>
  <c r="K1803" i="2"/>
  <c r="H1803" i="2"/>
  <c r="G1803" i="2"/>
  <c r="F1803" i="2"/>
  <c r="E1803" i="2"/>
  <c r="C1803" i="2"/>
  <c r="B1803" i="2"/>
  <c r="N1802" i="2"/>
  <c r="K1802" i="2"/>
  <c r="H1802" i="2"/>
  <c r="G1802" i="2"/>
  <c r="F1802" i="2"/>
  <c r="E1802" i="2"/>
  <c r="C1802" i="2"/>
  <c r="B1802" i="2"/>
  <c r="N1801" i="2"/>
  <c r="K1801" i="2"/>
  <c r="H1801" i="2"/>
  <c r="G1801" i="2"/>
  <c r="F1801" i="2"/>
  <c r="E1801" i="2"/>
  <c r="C1801" i="2"/>
  <c r="B1801" i="2"/>
  <c r="N1800" i="2"/>
  <c r="K1800" i="2"/>
  <c r="H1800" i="2"/>
  <c r="G1800" i="2"/>
  <c r="F1800" i="2"/>
  <c r="E1800" i="2"/>
  <c r="C1800" i="2"/>
  <c r="B1800" i="2"/>
  <c r="N1799" i="2"/>
  <c r="K1799" i="2"/>
  <c r="H1799" i="2"/>
  <c r="G1799" i="2"/>
  <c r="F1799" i="2"/>
  <c r="E1799" i="2"/>
  <c r="C1799" i="2"/>
  <c r="B1799" i="2"/>
  <c r="N1798" i="2"/>
  <c r="K1798" i="2"/>
  <c r="H1798" i="2"/>
  <c r="G1798" i="2"/>
  <c r="F1798" i="2"/>
  <c r="E1798" i="2"/>
  <c r="C1798" i="2"/>
  <c r="B1798" i="2"/>
  <c r="N1797" i="2"/>
  <c r="K1797" i="2"/>
  <c r="H1797" i="2"/>
  <c r="G1797" i="2"/>
  <c r="F1797" i="2"/>
  <c r="E1797" i="2"/>
  <c r="C1797" i="2"/>
  <c r="B1797" i="2"/>
  <c r="N1796" i="2"/>
  <c r="K1796" i="2"/>
  <c r="H1796" i="2"/>
  <c r="G1796" i="2"/>
  <c r="F1796" i="2"/>
  <c r="E1796" i="2"/>
  <c r="C1796" i="2"/>
  <c r="B1796" i="2"/>
  <c r="N1795" i="2"/>
  <c r="K1795" i="2"/>
  <c r="H1795" i="2"/>
  <c r="G1795" i="2"/>
  <c r="F1795" i="2"/>
  <c r="E1795" i="2"/>
  <c r="C1795" i="2"/>
  <c r="B1795" i="2"/>
  <c r="N1794" i="2"/>
  <c r="K1794" i="2"/>
  <c r="H1794" i="2"/>
  <c r="G1794" i="2"/>
  <c r="F1794" i="2"/>
  <c r="E1794" i="2"/>
  <c r="C1794" i="2"/>
  <c r="B1794" i="2"/>
  <c r="N1793" i="2"/>
  <c r="K1793" i="2"/>
  <c r="H1793" i="2"/>
  <c r="G1793" i="2"/>
  <c r="F1793" i="2"/>
  <c r="E1793" i="2"/>
  <c r="C1793" i="2"/>
  <c r="B1793" i="2"/>
  <c r="N1792" i="2"/>
  <c r="K1792" i="2"/>
  <c r="H1792" i="2"/>
  <c r="G1792" i="2"/>
  <c r="F1792" i="2"/>
  <c r="E1792" i="2"/>
  <c r="C1792" i="2"/>
  <c r="B1792" i="2"/>
  <c r="N1791" i="2"/>
  <c r="K1791" i="2"/>
  <c r="H1791" i="2"/>
  <c r="G1791" i="2"/>
  <c r="F1791" i="2"/>
  <c r="E1791" i="2"/>
  <c r="C1791" i="2"/>
  <c r="B1791" i="2"/>
  <c r="N1790" i="2"/>
  <c r="K1790" i="2"/>
  <c r="H1790" i="2"/>
  <c r="G1790" i="2"/>
  <c r="F1790" i="2"/>
  <c r="E1790" i="2"/>
  <c r="C1790" i="2"/>
  <c r="B1790" i="2"/>
  <c r="N1789" i="2"/>
  <c r="K1789" i="2"/>
  <c r="H1789" i="2"/>
  <c r="G1789" i="2"/>
  <c r="F1789" i="2"/>
  <c r="E1789" i="2"/>
  <c r="C1789" i="2"/>
  <c r="B1789" i="2"/>
  <c r="N1788" i="2"/>
  <c r="K1788" i="2"/>
  <c r="H1788" i="2"/>
  <c r="G1788" i="2"/>
  <c r="F1788" i="2"/>
  <c r="E1788" i="2"/>
  <c r="C1788" i="2"/>
  <c r="B1788" i="2"/>
  <c r="N1787" i="2"/>
  <c r="K1787" i="2"/>
  <c r="H1787" i="2"/>
  <c r="G1787" i="2"/>
  <c r="F1787" i="2"/>
  <c r="E1787" i="2"/>
  <c r="C1787" i="2"/>
  <c r="B1787" i="2"/>
  <c r="N1786" i="2"/>
  <c r="K1786" i="2"/>
  <c r="H1786" i="2"/>
  <c r="G1786" i="2"/>
  <c r="F1786" i="2"/>
  <c r="E1786" i="2"/>
  <c r="C1786" i="2"/>
  <c r="B1786" i="2"/>
  <c r="N1785" i="2"/>
  <c r="K1785" i="2"/>
  <c r="H1785" i="2"/>
  <c r="G1785" i="2"/>
  <c r="F1785" i="2"/>
  <c r="E1785" i="2"/>
  <c r="C1785" i="2"/>
  <c r="B1785" i="2"/>
  <c r="N1784" i="2"/>
  <c r="K1784" i="2"/>
  <c r="H1784" i="2"/>
  <c r="G1784" i="2"/>
  <c r="F1784" i="2"/>
  <c r="E1784" i="2"/>
  <c r="C1784" i="2"/>
  <c r="B1784" i="2"/>
  <c r="N1783" i="2"/>
  <c r="K1783" i="2"/>
  <c r="H1783" i="2"/>
  <c r="G1783" i="2"/>
  <c r="F1783" i="2"/>
  <c r="E1783" i="2"/>
  <c r="C1783" i="2"/>
  <c r="B1783" i="2"/>
  <c r="N1782" i="2"/>
  <c r="K1782" i="2"/>
  <c r="H1782" i="2"/>
  <c r="G1782" i="2"/>
  <c r="F1782" i="2"/>
  <c r="E1782" i="2"/>
  <c r="C1782" i="2"/>
  <c r="B1782" i="2"/>
  <c r="N1781" i="2"/>
  <c r="K1781" i="2"/>
  <c r="H1781" i="2"/>
  <c r="G1781" i="2"/>
  <c r="F1781" i="2"/>
  <c r="E1781" i="2"/>
  <c r="C1781" i="2"/>
  <c r="B1781" i="2"/>
  <c r="N1780" i="2"/>
  <c r="K1780" i="2"/>
  <c r="H1780" i="2"/>
  <c r="G1780" i="2"/>
  <c r="F1780" i="2"/>
  <c r="E1780" i="2"/>
  <c r="C1780" i="2"/>
  <c r="B1780" i="2"/>
  <c r="N1779" i="2"/>
  <c r="K1779" i="2"/>
  <c r="H1779" i="2"/>
  <c r="G1779" i="2"/>
  <c r="F1779" i="2"/>
  <c r="E1779" i="2"/>
  <c r="C1779" i="2"/>
  <c r="B1779" i="2"/>
  <c r="N1778" i="2"/>
  <c r="K1778" i="2"/>
  <c r="H1778" i="2"/>
  <c r="G1778" i="2"/>
  <c r="F1778" i="2"/>
  <c r="E1778" i="2"/>
  <c r="C1778" i="2"/>
  <c r="B1778" i="2"/>
  <c r="N1777" i="2"/>
  <c r="K1777" i="2"/>
  <c r="H1777" i="2"/>
  <c r="G1777" i="2"/>
  <c r="F1777" i="2"/>
  <c r="E1777" i="2"/>
  <c r="C1777" i="2"/>
  <c r="B1777" i="2"/>
  <c r="N1776" i="2"/>
  <c r="K1776" i="2"/>
  <c r="H1776" i="2"/>
  <c r="G1776" i="2"/>
  <c r="F1776" i="2"/>
  <c r="E1776" i="2"/>
  <c r="C1776" i="2"/>
  <c r="B1776" i="2"/>
  <c r="N1775" i="2"/>
  <c r="K1775" i="2"/>
  <c r="H1775" i="2"/>
  <c r="G1775" i="2"/>
  <c r="F1775" i="2"/>
  <c r="E1775" i="2"/>
  <c r="C1775" i="2"/>
  <c r="B1775" i="2"/>
  <c r="N1774" i="2"/>
  <c r="K1774" i="2"/>
  <c r="H1774" i="2"/>
  <c r="G1774" i="2"/>
  <c r="F1774" i="2"/>
  <c r="E1774" i="2"/>
  <c r="C1774" i="2"/>
  <c r="B1774" i="2"/>
  <c r="N1773" i="2"/>
  <c r="K1773" i="2"/>
  <c r="H1773" i="2"/>
  <c r="G1773" i="2"/>
  <c r="F1773" i="2"/>
  <c r="E1773" i="2"/>
  <c r="C1773" i="2"/>
  <c r="B1773" i="2"/>
  <c r="N1772" i="2"/>
  <c r="K1772" i="2"/>
  <c r="H1772" i="2"/>
  <c r="G1772" i="2"/>
  <c r="F1772" i="2"/>
  <c r="E1772" i="2"/>
  <c r="C1772" i="2"/>
  <c r="B1772" i="2"/>
  <c r="N1771" i="2"/>
  <c r="K1771" i="2"/>
  <c r="H1771" i="2"/>
  <c r="G1771" i="2"/>
  <c r="F1771" i="2"/>
  <c r="E1771" i="2"/>
  <c r="C1771" i="2"/>
  <c r="B1771" i="2"/>
  <c r="N1770" i="2"/>
  <c r="K1770" i="2"/>
  <c r="H1770" i="2"/>
  <c r="G1770" i="2"/>
  <c r="F1770" i="2"/>
  <c r="E1770" i="2"/>
  <c r="C1770" i="2"/>
  <c r="B1770" i="2"/>
  <c r="N1769" i="2"/>
  <c r="K1769" i="2"/>
  <c r="H1769" i="2"/>
  <c r="G1769" i="2"/>
  <c r="F1769" i="2"/>
  <c r="E1769" i="2"/>
  <c r="C1769" i="2"/>
  <c r="B1769" i="2"/>
  <c r="N1768" i="2"/>
  <c r="K1768" i="2"/>
  <c r="H1768" i="2"/>
  <c r="G1768" i="2"/>
  <c r="F1768" i="2"/>
  <c r="E1768" i="2"/>
  <c r="C1768" i="2"/>
  <c r="B1768" i="2"/>
  <c r="N1767" i="2"/>
  <c r="K1767" i="2"/>
  <c r="H1767" i="2"/>
  <c r="G1767" i="2"/>
  <c r="F1767" i="2"/>
  <c r="E1767" i="2"/>
  <c r="C1767" i="2"/>
  <c r="B1767" i="2"/>
  <c r="N1766" i="2"/>
  <c r="K1766" i="2"/>
  <c r="H1766" i="2"/>
  <c r="G1766" i="2"/>
  <c r="F1766" i="2"/>
  <c r="E1766" i="2"/>
  <c r="C1766" i="2"/>
  <c r="B1766" i="2"/>
  <c r="N1765" i="2"/>
  <c r="K1765" i="2"/>
  <c r="H1765" i="2"/>
  <c r="G1765" i="2"/>
  <c r="F1765" i="2"/>
  <c r="E1765" i="2"/>
  <c r="C1765" i="2"/>
  <c r="B1765" i="2"/>
  <c r="N1764" i="2"/>
  <c r="K1764" i="2"/>
  <c r="H1764" i="2"/>
  <c r="G1764" i="2"/>
  <c r="F1764" i="2"/>
  <c r="E1764" i="2"/>
  <c r="C1764" i="2"/>
  <c r="B1764" i="2"/>
  <c r="N1763" i="2"/>
  <c r="K1763" i="2"/>
  <c r="H1763" i="2"/>
  <c r="G1763" i="2"/>
  <c r="F1763" i="2"/>
  <c r="E1763" i="2"/>
  <c r="C1763" i="2"/>
  <c r="B1763" i="2"/>
  <c r="N1762" i="2"/>
  <c r="K1762" i="2"/>
  <c r="H1762" i="2"/>
  <c r="G1762" i="2"/>
  <c r="F1762" i="2"/>
  <c r="E1762" i="2"/>
  <c r="C1762" i="2"/>
  <c r="B1762" i="2"/>
  <c r="N1761" i="2"/>
  <c r="K1761" i="2"/>
  <c r="H1761" i="2"/>
  <c r="G1761" i="2"/>
  <c r="F1761" i="2"/>
  <c r="E1761" i="2"/>
  <c r="C1761" i="2"/>
  <c r="B1761" i="2"/>
  <c r="N1760" i="2"/>
  <c r="K1760" i="2"/>
  <c r="H1760" i="2"/>
  <c r="G1760" i="2"/>
  <c r="F1760" i="2"/>
  <c r="E1760" i="2"/>
  <c r="C1760" i="2"/>
  <c r="B1760" i="2"/>
  <c r="N1759" i="2"/>
  <c r="K1759" i="2"/>
  <c r="H1759" i="2"/>
  <c r="G1759" i="2"/>
  <c r="F1759" i="2"/>
  <c r="E1759" i="2"/>
  <c r="C1759" i="2"/>
  <c r="B1759" i="2"/>
  <c r="N1758" i="2"/>
  <c r="K1758" i="2"/>
  <c r="H1758" i="2"/>
  <c r="G1758" i="2"/>
  <c r="F1758" i="2"/>
  <c r="E1758" i="2"/>
  <c r="C1758" i="2"/>
  <c r="B1758" i="2"/>
  <c r="N1757" i="2"/>
  <c r="K1757" i="2"/>
  <c r="H1757" i="2"/>
  <c r="G1757" i="2"/>
  <c r="F1757" i="2"/>
  <c r="E1757" i="2"/>
  <c r="C1757" i="2"/>
  <c r="B1757" i="2"/>
  <c r="N1756" i="2"/>
  <c r="K1756" i="2"/>
  <c r="H1756" i="2"/>
  <c r="G1756" i="2"/>
  <c r="F1756" i="2"/>
  <c r="E1756" i="2"/>
  <c r="C1756" i="2"/>
  <c r="B1756" i="2"/>
  <c r="N1755" i="2"/>
  <c r="K1755" i="2"/>
  <c r="H1755" i="2"/>
  <c r="G1755" i="2"/>
  <c r="F1755" i="2"/>
  <c r="E1755" i="2"/>
  <c r="C1755" i="2"/>
  <c r="B1755" i="2"/>
  <c r="N1754" i="2"/>
  <c r="K1754" i="2"/>
  <c r="H1754" i="2"/>
  <c r="G1754" i="2"/>
  <c r="F1754" i="2"/>
  <c r="E1754" i="2"/>
  <c r="C1754" i="2"/>
  <c r="B1754" i="2"/>
  <c r="N1753" i="2"/>
  <c r="K1753" i="2"/>
  <c r="H1753" i="2"/>
  <c r="G1753" i="2"/>
  <c r="F1753" i="2"/>
  <c r="E1753" i="2"/>
  <c r="C1753" i="2"/>
  <c r="B1753" i="2"/>
  <c r="N1752" i="2"/>
  <c r="K1752" i="2"/>
  <c r="H1752" i="2"/>
  <c r="G1752" i="2"/>
  <c r="F1752" i="2"/>
  <c r="E1752" i="2"/>
  <c r="C1752" i="2"/>
  <c r="B1752" i="2"/>
  <c r="N1751" i="2"/>
  <c r="K1751" i="2"/>
  <c r="H1751" i="2"/>
  <c r="G1751" i="2"/>
  <c r="F1751" i="2"/>
  <c r="E1751" i="2"/>
  <c r="C1751" i="2"/>
  <c r="B1751" i="2"/>
  <c r="N1750" i="2"/>
  <c r="K1750" i="2"/>
  <c r="H1750" i="2"/>
  <c r="G1750" i="2"/>
  <c r="F1750" i="2"/>
  <c r="E1750" i="2"/>
  <c r="C1750" i="2"/>
  <c r="B1750" i="2"/>
  <c r="N1749" i="2"/>
  <c r="K1749" i="2"/>
  <c r="H1749" i="2"/>
  <c r="G1749" i="2"/>
  <c r="F1749" i="2"/>
  <c r="E1749" i="2"/>
  <c r="C1749" i="2"/>
  <c r="B1749" i="2"/>
  <c r="N1748" i="2"/>
  <c r="K1748" i="2"/>
  <c r="H1748" i="2"/>
  <c r="G1748" i="2"/>
  <c r="F1748" i="2"/>
  <c r="E1748" i="2"/>
  <c r="C1748" i="2"/>
  <c r="B1748" i="2"/>
  <c r="N1747" i="2"/>
  <c r="K1747" i="2"/>
  <c r="H1747" i="2"/>
  <c r="G1747" i="2"/>
  <c r="F1747" i="2"/>
  <c r="E1747" i="2"/>
  <c r="C1747" i="2"/>
  <c r="B1747" i="2"/>
  <c r="N1746" i="2"/>
  <c r="K1746" i="2"/>
  <c r="H1746" i="2"/>
  <c r="G1746" i="2"/>
  <c r="F1746" i="2"/>
  <c r="E1746" i="2"/>
  <c r="C1746" i="2"/>
  <c r="B1746" i="2"/>
  <c r="N1745" i="2"/>
  <c r="K1745" i="2"/>
  <c r="H1745" i="2"/>
  <c r="G1745" i="2"/>
  <c r="F1745" i="2"/>
  <c r="E1745" i="2"/>
  <c r="C1745" i="2"/>
  <c r="B1745" i="2"/>
  <c r="N1744" i="2"/>
  <c r="K1744" i="2"/>
  <c r="H1744" i="2"/>
  <c r="G1744" i="2"/>
  <c r="F1744" i="2"/>
  <c r="E1744" i="2"/>
  <c r="C1744" i="2"/>
  <c r="B1744" i="2"/>
  <c r="N1743" i="2"/>
  <c r="K1743" i="2"/>
  <c r="H1743" i="2"/>
  <c r="G1743" i="2"/>
  <c r="F1743" i="2"/>
  <c r="E1743" i="2"/>
  <c r="C1743" i="2"/>
  <c r="B1743" i="2"/>
  <c r="N1742" i="2"/>
  <c r="K1742" i="2"/>
  <c r="H1742" i="2"/>
  <c r="G1742" i="2"/>
  <c r="F1742" i="2"/>
  <c r="E1742" i="2"/>
  <c r="C1742" i="2"/>
  <c r="B1742" i="2"/>
  <c r="N1741" i="2"/>
  <c r="K1741" i="2"/>
  <c r="H1741" i="2"/>
  <c r="G1741" i="2"/>
  <c r="F1741" i="2"/>
  <c r="E1741" i="2"/>
  <c r="C1741" i="2"/>
  <c r="B1741" i="2"/>
  <c r="N1740" i="2"/>
  <c r="K1740" i="2"/>
  <c r="H1740" i="2"/>
  <c r="G1740" i="2"/>
  <c r="F1740" i="2"/>
  <c r="E1740" i="2"/>
  <c r="C1740" i="2"/>
  <c r="B1740" i="2"/>
  <c r="N1739" i="2"/>
  <c r="K1739" i="2"/>
  <c r="H1739" i="2"/>
  <c r="G1739" i="2"/>
  <c r="F1739" i="2"/>
  <c r="E1739" i="2"/>
  <c r="C1739" i="2"/>
  <c r="B1739" i="2"/>
  <c r="N1738" i="2"/>
  <c r="K1738" i="2"/>
  <c r="H1738" i="2"/>
  <c r="G1738" i="2"/>
  <c r="F1738" i="2"/>
  <c r="E1738" i="2"/>
  <c r="C1738" i="2"/>
  <c r="B1738" i="2"/>
  <c r="N1737" i="2"/>
  <c r="K1737" i="2"/>
  <c r="H1737" i="2"/>
  <c r="G1737" i="2"/>
  <c r="F1737" i="2"/>
  <c r="E1737" i="2"/>
  <c r="C1737" i="2"/>
  <c r="B1737" i="2"/>
  <c r="N1736" i="2"/>
  <c r="K1736" i="2"/>
  <c r="H1736" i="2"/>
  <c r="G1736" i="2"/>
  <c r="F1736" i="2"/>
  <c r="E1736" i="2"/>
  <c r="C1736" i="2"/>
  <c r="B1736" i="2"/>
  <c r="N1735" i="2"/>
  <c r="K1735" i="2"/>
  <c r="H1735" i="2"/>
  <c r="G1735" i="2"/>
  <c r="F1735" i="2"/>
  <c r="E1735" i="2"/>
  <c r="C1735" i="2"/>
  <c r="B1735" i="2"/>
  <c r="N1734" i="2"/>
  <c r="K1734" i="2"/>
  <c r="H1734" i="2"/>
  <c r="G1734" i="2"/>
  <c r="F1734" i="2"/>
  <c r="E1734" i="2"/>
  <c r="C1734" i="2"/>
  <c r="B1734" i="2"/>
  <c r="N1733" i="2"/>
  <c r="K1733" i="2"/>
  <c r="H1733" i="2"/>
  <c r="G1733" i="2"/>
  <c r="F1733" i="2"/>
  <c r="E1733" i="2"/>
  <c r="C1733" i="2"/>
  <c r="B1733" i="2"/>
  <c r="N1732" i="2"/>
  <c r="K1732" i="2"/>
  <c r="H1732" i="2"/>
  <c r="G1732" i="2"/>
  <c r="F1732" i="2"/>
  <c r="E1732" i="2"/>
  <c r="C1732" i="2"/>
  <c r="B1732" i="2"/>
  <c r="N1731" i="2"/>
  <c r="K1731" i="2"/>
  <c r="H1731" i="2"/>
  <c r="G1731" i="2"/>
  <c r="F1731" i="2"/>
  <c r="E1731" i="2"/>
  <c r="C1731" i="2"/>
  <c r="B1731" i="2"/>
  <c r="N1730" i="2"/>
  <c r="K1730" i="2"/>
  <c r="H1730" i="2"/>
  <c r="G1730" i="2"/>
  <c r="F1730" i="2"/>
  <c r="E1730" i="2"/>
  <c r="C1730" i="2"/>
  <c r="B1730" i="2"/>
  <c r="N1729" i="2"/>
  <c r="K1729" i="2"/>
  <c r="H1729" i="2"/>
  <c r="G1729" i="2"/>
  <c r="F1729" i="2"/>
  <c r="E1729" i="2"/>
  <c r="C1729" i="2"/>
  <c r="B1729" i="2"/>
  <c r="N1728" i="2"/>
  <c r="K1728" i="2"/>
  <c r="H1728" i="2"/>
  <c r="G1728" i="2"/>
  <c r="F1728" i="2"/>
  <c r="E1728" i="2"/>
  <c r="C1728" i="2"/>
  <c r="B1728" i="2"/>
  <c r="N1727" i="2"/>
  <c r="K1727" i="2"/>
  <c r="H1727" i="2"/>
  <c r="G1727" i="2"/>
  <c r="F1727" i="2"/>
  <c r="E1727" i="2"/>
  <c r="C1727" i="2"/>
  <c r="B1727" i="2"/>
  <c r="N1726" i="2"/>
  <c r="K1726" i="2"/>
  <c r="H1726" i="2"/>
  <c r="G1726" i="2"/>
  <c r="F1726" i="2"/>
  <c r="E1726" i="2"/>
  <c r="C1726" i="2"/>
  <c r="B1726" i="2"/>
  <c r="N1725" i="2"/>
  <c r="K1725" i="2"/>
  <c r="H1725" i="2"/>
  <c r="G1725" i="2"/>
  <c r="F1725" i="2"/>
  <c r="E1725" i="2"/>
  <c r="C1725" i="2"/>
  <c r="B1725" i="2"/>
  <c r="N1724" i="2"/>
  <c r="K1724" i="2"/>
  <c r="H1724" i="2"/>
  <c r="G1724" i="2"/>
  <c r="F1724" i="2"/>
  <c r="E1724" i="2"/>
  <c r="C1724" i="2"/>
  <c r="B1724" i="2"/>
  <c r="N1723" i="2"/>
  <c r="K1723" i="2"/>
  <c r="H1723" i="2"/>
  <c r="G1723" i="2"/>
  <c r="F1723" i="2"/>
  <c r="E1723" i="2"/>
  <c r="C1723" i="2"/>
  <c r="B1723" i="2"/>
  <c r="N1722" i="2"/>
  <c r="K1722" i="2"/>
  <c r="H1722" i="2"/>
  <c r="G1722" i="2"/>
  <c r="F1722" i="2"/>
  <c r="E1722" i="2"/>
  <c r="C1722" i="2"/>
  <c r="B1722" i="2"/>
  <c r="N1721" i="2"/>
  <c r="K1721" i="2"/>
  <c r="H1721" i="2"/>
  <c r="G1721" i="2"/>
  <c r="F1721" i="2"/>
  <c r="E1721" i="2"/>
  <c r="C1721" i="2"/>
  <c r="B1721" i="2"/>
  <c r="N1720" i="2"/>
  <c r="K1720" i="2"/>
  <c r="H1720" i="2"/>
  <c r="G1720" i="2"/>
  <c r="F1720" i="2"/>
  <c r="E1720" i="2"/>
  <c r="C1720" i="2"/>
  <c r="B1720" i="2"/>
  <c r="N1719" i="2"/>
  <c r="K1719" i="2"/>
  <c r="H1719" i="2"/>
  <c r="G1719" i="2"/>
  <c r="F1719" i="2"/>
  <c r="E1719" i="2"/>
  <c r="C1719" i="2"/>
  <c r="B1719" i="2"/>
  <c r="N1718" i="2"/>
  <c r="K1718" i="2"/>
  <c r="H1718" i="2"/>
  <c r="G1718" i="2"/>
  <c r="F1718" i="2"/>
  <c r="E1718" i="2"/>
  <c r="C1718" i="2"/>
  <c r="B1718" i="2"/>
  <c r="N1717" i="2"/>
  <c r="K1717" i="2"/>
  <c r="H1717" i="2"/>
  <c r="G1717" i="2"/>
  <c r="F1717" i="2"/>
  <c r="E1717" i="2"/>
  <c r="C1717" i="2"/>
  <c r="B1717" i="2"/>
  <c r="N1716" i="2"/>
  <c r="K1716" i="2"/>
  <c r="H1716" i="2"/>
  <c r="G1716" i="2"/>
  <c r="F1716" i="2"/>
  <c r="E1716" i="2"/>
  <c r="C1716" i="2"/>
  <c r="B1716" i="2"/>
  <c r="N1715" i="2"/>
  <c r="K1715" i="2"/>
  <c r="H1715" i="2"/>
  <c r="G1715" i="2"/>
  <c r="F1715" i="2"/>
  <c r="E1715" i="2"/>
  <c r="C1715" i="2"/>
  <c r="B1715" i="2"/>
  <c r="N1714" i="2"/>
  <c r="K1714" i="2"/>
  <c r="H1714" i="2"/>
  <c r="G1714" i="2"/>
  <c r="F1714" i="2"/>
  <c r="E1714" i="2"/>
  <c r="C1714" i="2"/>
  <c r="B1714" i="2"/>
  <c r="N1713" i="2"/>
  <c r="K1713" i="2"/>
  <c r="H1713" i="2"/>
  <c r="G1713" i="2"/>
  <c r="F1713" i="2"/>
  <c r="E1713" i="2"/>
  <c r="C1713" i="2"/>
  <c r="B1713" i="2"/>
  <c r="N1712" i="2"/>
  <c r="K1712" i="2"/>
  <c r="H1712" i="2"/>
  <c r="G1712" i="2"/>
  <c r="F1712" i="2"/>
  <c r="E1712" i="2"/>
  <c r="C1712" i="2"/>
  <c r="B1712" i="2"/>
  <c r="N1711" i="2"/>
  <c r="K1711" i="2"/>
  <c r="H1711" i="2"/>
  <c r="G1711" i="2"/>
  <c r="F1711" i="2"/>
  <c r="E1711" i="2"/>
  <c r="C1711" i="2"/>
  <c r="B1711" i="2"/>
  <c r="N1710" i="2"/>
  <c r="K1710" i="2"/>
  <c r="H1710" i="2"/>
  <c r="G1710" i="2"/>
  <c r="F1710" i="2"/>
  <c r="E1710" i="2"/>
  <c r="C1710" i="2"/>
  <c r="B1710" i="2"/>
  <c r="N1709" i="2"/>
  <c r="K1709" i="2"/>
  <c r="H1709" i="2"/>
  <c r="G1709" i="2"/>
  <c r="F1709" i="2"/>
  <c r="E1709" i="2"/>
  <c r="C1709" i="2"/>
  <c r="B1709" i="2"/>
  <c r="N1708" i="2"/>
  <c r="K1708" i="2"/>
  <c r="H1708" i="2"/>
  <c r="G1708" i="2"/>
  <c r="F1708" i="2"/>
  <c r="E1708" i="2"/>
  <c r="C1708" i="2"/>
  <c r="B1708" i="2"/>
  <c r="N1707" i="2"/>
  <c r="K1707" i="2"/>
  <c r="H1707" i="2"/>
  <c r="G1707" i="2"/>
  <c r="F1707" i="2"/>
  <c r="E1707" i="2"/>
  <c r="C1707" i="2"/>
  <c r="B1707" i="2"/>
  <c r="N1706" i="2"/>
  <c r="K1706" i="2"/>
  <c r="H1706" i="2"/>
  <c r="G1706" i="2"/>
  <c r="F1706" i="2"/>
  <c r="E1706" i="2"/>
  <c r="C1706" i="2"/>
  <c r="B1706" i="2"/>
  <c r="N1705" i="2"/>
  <c r="K1705" i="2"/>
  <c r="H1705" i="2"/>
  <c r="G1705" i="2"/>
  <c r="F1705" i="2"/>
  <c r="E1705" i="2"/>
  <c r="C1705" i="2"/>
  <c r="B1705" i="2"/>
  <c r="N1704" i="2"/>
  <c r="K1704" i="2"/>
  <c r="H1704" i="2"/>
  <c r="G1704" i="2"/>
  <c r="F1704" i="2"/>
  <c r="E1704" i="2"/>
  <c r="C1704" i="2"/>
  <c r="B1704" i="2"/>
  <c r="N1703" i="2"/>
  <c r="K1703" i="2"/>
  <c r="H1703" i="2"/>
  <c r="G1703" i="2"/>
  <c r="F1703" i="2"/>
  <c r="E1703" i="2"/>
  <c r="C1703" i="2"/>
  <c r="B1703" i="2"/>
  <c r="N1702" i="2"/>
  <c r="K1702" i="2"/>
  <c r="H1702" i="2"/>
  <c r="G1702" i="2"/>
  <c r="F1702" i="2"/>
  <c r="E1702" i="2"/>
  <c r="C1702" i="2"/>
  <c r="B1702" i="2"/>
  <c r="N1701" i="2"/>
  <c r="K1701" i="2"/>
  <c r="H1701" i="2"/>
  <c r="G1701" i="2"/>
  <c r="F1701" i="2"/>
  <c r="E1701" i="2"/>
  <c r="C1701" i="2"/>
  <c r="B1701" i="2"/>
  <c r="N1700" i="2"/>
  <c r="K1700" i="2"/>
  <c r="H1700" i="2"/>
  <c r="G1700" i="2"/>
  <c r="F1700" i="2"/>
  <c r="E1700" i="2"/>
  <c r="C1700" i="2"/>
  <c r="B1700" i="2"/>
  <c r="N1699" i="2"/>
  <c r="K1699" i="2"/>
  <c r="H1699" i="2"/>
  <c r="G1699" i="2"/>
  <c r="F1699" i="2"/>
  <c r="E1699" i="2"/>
  <c r="C1699" i="2"/>
  <c r="B1699" i="2"/>
  <c r="N1698" i="2"/>
  <c r="K1698" i="2"/>
  <c r="H1698" i="2"/>
  <c r="G1698" i="2"/>
  <c r="F1698" i="2"/>
  <c r="E1698" i="2"/>
  <c r="C1698" i="2"/>
  <c r="B1698" i="2"/>
  <c r="N1697" i="2"/>
  <c r="K1697" i="2"/>
  <c r="H1697" i="2"/>
  <c r="G1697" i="2"/>
  <c r="F1697" i="2"/>
  <c r="E1697" i="2"/>
  <c r="C1697" i="2"/>
  <c r="B1697" i="2"/>
  <c r="N1696" i="2"/>
  <c r="K1696" i="2"/>
  <c r="H1696" i="2"/>
  <c r="G1696" i="2"/>
  <c r="F1696" i="2"/>
  <c r="E1696" i="2"/>
  <c r="C1696" i="2"/>
  <c r="B1696" i="2"/>
  <c r="N1695" i="2"/>
  <c r="K1695" i="2"/>
  <c r="H1695" i="2"/>
  <c r="G1695" i="2"/>
  <c r="F1695" i="2"/>
  <c r="E1695" i="2"/>
  <c r="C1695" i="2"/>
  <c r="B1695" i="2"/>
  <c r="N1694" i="2"/>
  <c r="K1694" i="2"/>
  <c r="H1694" i="2"/>
  <c r="G1694" i="2"/>
  <c r="F1694" i="2"/>
  <c r="E1694" i="2"/>
  <c r="C1694" i="2"/>
  <c r="B1694" i="2"/>
  <c r="N1693" i="2"/>
  <c r="K1693" i="2"/>
  <c r="H1693" i="2"/>
  <c r="G1693" i="2"/>
  <c r="F1693" i="2"/>
  <c r="E1693" i="2"/>
  <c r="C1693" i="2"/>
  <c r="B1693" i="2"/>
  <c r="N1692" i="2"/>
  <c r="K1692" i="2"/>
  <c r="H1692" i="2"/>
  <c r="G1692" i="2"/>
  <c r="F1692" i="2"/>
  <c r="E1692" i="2"/>
  <c r="C1692" i="2"/>
  <c r="B1692" i="2"/>
  <c r="N1691" i="2"/>
  <c r="K1691" i="2"/>
  <c r="H1691" i="2"/>
  <c r="G1691" i="2"/>
  <c r="F1691" i="2"/>
  <c r="E1691" i="2"/>
  <c r="C1691" i="2"/>
  <c r="B1691" i="2"/>
  <c r="N1690" i="2"/>
  <c r="K1690" i="2"/>
  <c r="H1690" i="2"/>
  <c r="G1690" i="2"/>
  <c r="F1690" i="2"/>
  <c r="E1690" i="2"/>
  <c r="C1690" i="2"/>
  <c r="B1690" i="2"/>
  <c r="N1689" i="2"/>
  <c r="K1689" i="2"/>
  <c r="H1689" i="2"/>
  <c r="G1689" i="2"/>
  <c r="F1689" i="2"/>
  <c r="E1689" i="2"/>
  <c r="C1689" i="2"/>
  <c r="B1689" i="2"/>
  <c r="N1688" i="2"/>
  <c r="K1688" i="2"/>
  <c r="H1688" i="2"/>
  <c r="G1688" i="2"/>
  <c r="F1688" i="2"/>
  <c r="E1688" i="2"/>
  <c r="C1688" i="2"/>
  <c r="B1688" i="2"/>
  <c r="N1687" i="2"/>
  <c r="K1687" i="2"/>
  <c r="H1687" i="2"/>
  <c r="G1687" i="2"/>
  <c r="F1687" i="2"/>
  <c r="E1687" i="2"/>
  <c r="C1687" i="2"/>
  <c r="B1687" i="2"/>
  <c r="N1686" i="2"/>
  <c r="K1686" i="2"/>
  <c r="H1686" i="2"/>
  <c r="G1686" i="2"/>
  <c r="F1686" i="2"/>
  <c r="E1686" i="2"/>
  <c r="C1686" i="2"/>
  <c r="B1686" i="2"/>
  <c r="N1685" i="2"/>
  <c r="K1685" i="2"/>
  <c r="H1685" i="2"/>
  <c r="G1685" i="2"/>
  <c r="F1685" i="2"/>
  <c r="E1685" i="2"/>
  <c r="C1685" i="2"/>
  <c r="B1685" i="2"/>
  <c r="N1684" i="2"/>
  <c r="K1684" i="2"/>
  <c r="H1684" i="2"/>
  <c r="G1684" i="2"/>
  <c r="F1684" i="2"/>
  <c r="E1684" i="2"/>
  <c r="C1684" i="2"/>
  <c r="B1684" i="2"/>
  <c r="N1683" i="2"/>
  <c r="K1683" i="2"/>
  <c r="H1683" i="2"/>
  <c r="G1683" i="2"/>
  <c r="F1683" i="2"/>
  <c r="E1683" i="2"/>
  <c r="C1683" i="2"/>
  <c r="B1683" i="2"/>
  <c r="N1682" i="2"/>
  <c r="K1682" i="2"/>
  <c r="H1682" i="2"/>
  <c r="G1682" i="2"/>
  <c r="F1682" i="2"/>
  <c r="E1682" i="2"/>
  <c r="C1682" i="2"/>
  <c r="B1682" i="2"/>
  <c r="N1681" i="2"/>
  <c r="K1681" i="2"/>
  <c r="H1681" i="2"/>
  <c r="G1681" i="2"/>
  <c r="F1681" i="2"/>
  <c r="E1681" i="2"/>
  <c r="C1681" i="2"/>
  <c r="B1681" i="2"/>
  <c r="N1680" i="2"/>
  <c r="K1680" i="2"/>
  <c r="H1680" i="2"/>
  <c r="G1680" i="2"/>
  <c r="F1680" i="2"/>
  <c r="E1680" i="2"/>
  <c r="C1680" i="2"/>
  <c r="B1680" i="2"/>
  <c r="N1679" i="2"/>
  <c r="K1679" i="2"/>
  <c r="H1679" i="2"/>
  <c r="G1679" i="2"/>
  <c r="F1679" i="2"/>
  <c r="E1679" i="2"/>
  <c r="C1679" i="2"/>
  <c r="B1679" i="2"/>
  <c r="N1678" i="2"/>
  <c r="K1678" i="2"/>
  <c r="H1678" i="2"/>
  <c r="G1678" i="2"/>
  <c r="F1678" i="2"/>
  <c r="E1678" i="2"/>
  <c r="C1678" i="2"/>
  <c r="B1678" i="2"/>
  <c r="N1677" i="2"/>
  <c r="K1677" i="2"/>
  <c r="H1677" i="2"/>
  <c r="G1677" i="2"/>
  <c r="F1677" i="2"/>
  <c r="E1677" i="2"/>
  <c r="C1677" i="2"/>
  <c r="B1677" i="2"/>
  <c r="N1676" i="2"/>
  <c r="K1676" i="2"/>
  <c r="H1676" i="2"/>
  <c r="G1676" i="2"/>
  <c r="F1676" i="2"/>
  <c r="E1676" i="2"/>
  <c r="C1676" i="2"/>
  <c r="B1676" i="2"/>
  <c r="N1675" i="2"/>
  <c r="K1675" i="2"/>
  <c r="H1675" i="2"/>
  <c r="G1675" i="2"/>
  <c r="F1675" i="2"/>
  <c r="E1675" i="2"/>
  <c r="C1675" i="2"/>
  <c r="B1675" i="2"/>
  <c r="N1674" i="2"/>
  <c r="K1674" i="2"/>
  <c r="H1674" i="2"/>
  <c r="G1674" i="2"/>
  <c r="F1674" i="2"/>
  <c r="E1674" i="2"/>
  <c r="C1674" i="2"/>
  <c r="B1674" i="2"/>
  <c r="N1673" i="2"/>
  <c r="K1673" i="2"/>
  <c r="H1673" i="2"/>
  <c r="G1673" i="2"/>
  <c r="F1673" i="2"/>
  <c r="E1673" i="2"/>
  <c r="C1673" i="2"/>
  <c r="B1673" i="2"/>
  <c r="N1672" i="2"/>
  <c r="K1672" i="2"/>
  <c r="H1672" i="2"/>
  <c r="G1672" i="2"/>
  <c r="F1672" i="2"/>
  <c r="E1672" i="2"/>
  <c r="C1672" i="2"/>
  <c r="B1672" i="2"/>
  <c r="N1671" i="2"/>
  <c r="K1671" i="2"/>
  <c r="H1671" i="2"/>
  <c r="G1671" i="2"/>
  <c r="F1671" i="2"/>
  <c r="E1671" i="2"/>
  <c r="C1671" i="2"/>
  <c r="B1671" i="2"/>
  <c r="N1670" i="2"/>
  <c r="K1670" i="2"/>
  <c r="H1670" i="2"/>
  <c r="G1670" i="2"/>
  <c r="F1670" i="2"/>
  <c r="E1670" i="2"/>
  <c r="C1670" i="2"/>
  <c r="B1670" i="2"/>
  <c r="N1669" i="2"/>
  <c r="K1669" i="2"/>
  <c r="H1669" i="2"/>
  <c r="G1669" i="2"/>
  <c r="F1669" i="2"/>
  <c r="E1669" i="2"/>
  <c r="C1669" i="2"/>
  <c r="B1669" i="2"/>
  <c r="N1668" i="2"/>
  <c r="K1668" i="2"/>
  <c r="H1668" i="2"/>
  <c r="G1668" i="2"/>
  <c r="F1668" i="2"/>
  <c r="E1668" i="2"/>
  <c r="C1668" i="2"/>
  <c r="B1668" i="2"/>
  <c r="N1667" i="2"/>
  <c r="K1667" i="2"/>
  <c r="H1667" i="2"/>
  <c r="G1667" i="2"/>
  <c r="F1667" i="2"/>
  <c r="E1667" i="2"/>
  <c r="C1667" i="2"/>
  <c r="B1667" i="2"/>
  <c r="N1666" i="2"/>
  <c r="K1666" i="2"/>
  <c r="H1666" i="2"/>
  <c r="G1666" i="2"/>
  <c r="F1666" i="2"/>
  <c r="E1666" i="2"/>
  <c r="C1666" i="2"/>
  <c r="B1666" i="2"/>
  <c r="N1665" i="2"/>
  <c r="K1665" i="2"/>
  <c r="H1665" i="2"/>
  <c r="G1665" i="2"/>
  <c r="F1665" i="2"/>
  <c r="E1665" i="2"/>
  <c r="C1665" i="2"/>
  <c r="B1665" i="2"/>
  <c r="N1664" i="2"/>
  <c r="K1664" i="2"/>
  <c r="H1664" i="2"/>
  <c r="G1664" i="2"/>
  <c r="F1664" i="2"/>
  <c r="E1664" i="2"/>
  <c r="C1664" i="2"/>
  <c r="B1664" i="2"/>
  <c r="N1663" i="2"/>
  <c r="K1663" i="2"/>
  <c r="H1663" i="2"/>
  <c r="G1663" i="2"/>
  <c r="F1663" i="2"/>
  <c r="E1663" i="2"/>
  <c r="C1663" i="2"/>
  <c r="B1663" i="2"/>
  <c r="N1662" i="2"/>
  <c r="K1662" i="2"/>
  <c r="H1662" i="2"/>
  <c r="G1662" i="2"/>
  <c r="F1662" i="2"/>
  <c r="E1662" i="2"/>
  <c r="C1662" i="2"/>
  <c r="B1662" i="2"/>
  <c r="N1661" i="2"/>
  <c r="K1661" i="2"/>
  <c r="H1661" i="2"/>
  <c r="G1661" i="2"/>
  <c r="F1661" i="2"/>
  <c r="E1661" i="2"/>
  <c r="C1661" i="2"/>
  <c r="B1661" i="2"/>
  <c r="N1660" i="2"/>
  <c r="K1660" i="2"/>
  <c r="H1660" i="2"/>
  <c r="G1660" i="2"/>
  <c r="F1660" i="2"/>
  <c r="E1660" i="2"/>
  <c r="C1660" i="2"/>
  <c r="B1660" i="2"/>
  <c r="N1659" i="2"/>
  <c r="K1659" i="2"/>
  <c r="H1659" i="2"/>
  <c r="G1659" i="2"/>
  <c r="F1659" i="2"/>
  <c r="E1659" i="2"/>
  <c r="C1659" i="2"/>
  <c r="B1659" i="2"/>
  <c r="N1658" i="2"/>
  <c r="K1658" i="2"/>
  <c r="H1658" i="2"/>
  <c r="G1658" i="2"/>
  <c r="F1658" i="2"/>
  <c r="E1658" i="2"/>
  <c r="C1658" i="2"/>
  <c r="B1658" i="2"/>
  <c r="N1657" i="2"/>
  <c r="K1657" i="2"/>
  <c r="H1657" i="2"/>
  <c r="G1657" i="2"/>
  <c r="F1657" i="2"/>
  <c r="E1657" i="2"/>
  <c r="C1657" i="2"/>
  <c r="B1657" i="2"/>
  <c r="N1656" i="2"/>
  <c r="K1656" i="2"/>
  <c r="H1656" i="2"/>
  <c r="G1656" i="2"/>
  <c r="F1656" i="2"/>
  <c r="E1656" i="2"/>
  <c r="C1656" i="2"/>
  <c r="B1656" i="2"/>
  <c r="N1655" i="2"/>
  <c r="K1655" i="2"/>
  <c r="H1655" i="2"/>
  <c r="G1655" i="2"/>
  <c r="F1655" i="2"/>
  <c r="E1655" i="2"/>
  <c r="C1655" i="2"/>
  <c r="B1655" i="2"/>
  <c r="N1654" i="2"/>
  <c r="K1654" i="2"/>
  <c r="H1654" i="2"/>
  <c r="G1654" i="2"/>
  <c r="F1654" i="2"/>
  <c r="E1654" i="2"/>
  <c r="C1654" i="2"/>
  <c r="B1654" i="2"/>
  <c r="N1653" i="2"/>
  <c r="K1653" i="2"/>
  <c r="H1653" i="2"/>
  <c r="G1653" i="2"/>
  <c r="F1653" i="2"/>
  <c r="E1653" i="2"/>
  <c r="C1653" i="2"/>
  <c r="B1653" i="2"/>
  <c r="N1652" i="2"/>
  <c r="K1652" i="2"/>
  <c r="H1652" i="2"/>
  <c r="G1652" i="2"/>
  <c r="F1652" i="2"/>
  <c r="E1652" i="2"/>
  <c r="C1652" i="2"/>
  <c r="B1652" i="2"/>
  <c r="N1651" i="2"/>
  <c r="K1651" i="2"/>
  <c r="H1651" i="2"/>
  <c r="G1651" i="2"/>
  <c r="F1651" i="2"/>
  <c r="E1651" i="2"/>
  <c r="C1651" i="2"/>
  <c r="B1651" i="2"/>
  <c r="N1650" i="2"/>
  <c r="K1650" i="2"/>
  <c r="H1650" i="2"/>
  <c r="G1650" i="2"/>
  <c r="F1650" i="2"/>
  <c r="E1650" i="2"/>
  <c r="C1650" i="2"/>
  <c r="B1650" i="2"/>
  <c r="N1649" i="2"/>
  <c r="K1649" i="2"/>
  <c r="H1649" i="2"/>
  <c r="G1649" i="2"/>
  <c r="F1649" i="2"/>
  <c r="E1649" i="2"/>
  <c r="C1649" i="2"/>
  <c r="B1649" i="2"/>
  <c r="N1648" i="2"/>
  <c r="K1648" i="2"/>
  <c r="H1648" i="2"/>
  <c r="G1648" i="2"/>
  <c r="F1648" i="2"/>
  <c r="E1648" i="2"/>
  <c r="C1648" i="2"/>
  <c r="B1648" i="2"/>
  <c r="N1647" i="2"/>
  <c r="K1647" i="2"/>
  <c r="H1647" i="2"/>
  <c r="G1647" i="2"/>
  <c r="F1647" i="2"/>
  <c r="E1647" i="2"/>
  <c r="C1647" i="2"/>
  <c r="B1647" i="2"/>
  <c r="N1646" i="2"/>
  <c r="K1646" i="2"/>
  <c r="H1646" i="2"/>
  <c r="G1646" i="2"/>
  <c r="F1646" i="2"/>
  <c r="E1646" i="2"/>
  <c r="C1646" i="2"/>
  <c r="B1646" i="2"/>
  <c r="N1645" i="2"/>
  <c r="K1645" i="2"/>
  <c r="H1645" i="2"/>
  <c r="G1645" i="2"/>
  <c r="F1645" i="2"/>
  <c r="E1645" i="2"/>
  <c r="C1645" i="2"/>
  <c r="B1645" i="2"/>
  <c r="N1644" i="2"/>
  <c r="K1644" i="2"/>
  <c r="H1644" i="2"/>
  <c r="G1644" i="2"/>
  <c r="F1644" i="2"/>
  <c r="E1644" i="2"/>
  <c r="C1644" i="2"/>
  <c r="B1644" i="2"/>
  <c r="N1643" i="2"/>
  <c r="K1643" i="2"/>
  <c r="H1643" i="2"/>
  <c r="G1643" i="2"/>
  <c r="F1643" i="2"/>
  <c r="E1643" i="2"/>
  <c r="C1643" i="2"/>
  <c r="B1643" i="2"/>
  <c r="N1642" i="2"/>
  <c r="K1642" i="2"/>
  <c r="H1642" i="2"/>
  <c r="G1642" i="2"/>
  <c r="F1642" i="2"/>
  <c r="E1642" i="2"/>
  <c r="C1642" i="2"/>
  <c r="B1642" i="2"/>
  <c r="N1641" i="2"/>
  <c r="K1641" i="2"/>
  <c r="H1641" i="2"/>
  <c r="G1641" i="2"/>
  <c r="F1641" i="2"/>
  <c r="E1641" i="2"/>
  <c r="C1641" i="2"/>
  <c r="B1641" i="2"/>
  <c r="N1640" i="2"/>
  <c r="K1640" i="2"/>
  <c r="H1640" i="2"/>
  <c r="G1640" i="2"/>
  <c r="F1640" i="2"/>
  <c r="E1640" i="2"/>
  <c r="C1640" i="2"/>
  <c r="B1640" i="2"/>
  <c r="N1639" i="2"/>
  <c r="K1639" i="2"/>
  <c r="H1639" i="2"/>
  <c r="G1639" i="2"/>
  <c r="F1639" i="2"/>
  <c r="E1639" i="2"/>
  <c r="C1639" i="2"/>
  <c r="B1639" i="2"/>
  <c r="N1638" i="2"/>
  <c r="K1638" i="2"/>
  <c r="H1638" i="2"/>
  <c r="G1638" i="2"/>
  <c r="F1638" i="2"/>
  <c r="E1638" i="2"/>
  <c r="C1638" i="2"/>
  <c r="B1638" i="2"/>
  <c r="N1637" i="2"/>
  <c r="K1637" i="2"/>
  <c r="H1637" i="2"/>
  <c r="G1637" i="2"/>
  <c r="F1637" i="2"/>
  <c r="E1637" i="2"/>
  <c r="C1637" i="2"/>
  <c r="B1637" i="2"/>
  <c r="N1636" i="2"/>
  <c r="K1636" i="2"/>
  <c r="H1636" i="2"/>
  <c r="G1636" i="2"/>
  <c r="F1636" i="2"/>
  <c r="E1636" i="2"/>
  <c r="C1636" i="2"/>
  <c r="B1636" i="2"/>
  <c r="N1635" i="2"/>
  <c r="K1635" i="2"/>
  <c r="H1635" i="2"/>
  <c r="G1635" i="2"/>
  <c r="F1635" i="2"/>
  <c r="E1635" i="2"/>
  <c r="C1635" i="2"/>
  <c r="B1635" i="2"/>
  <c r="N1634" i="2"/>
  <c r="K1634" i="2"/>
  <c r="H1634" i="2"/>
  <c r="G1634" i="2"/>
  <c r="F1634" i="2"/>
  <c r="E1634" i="2"/>
  <c r="C1634" i="2"/>
  <c r="B1634" i="2"/>
  <c r="N1633" i="2"/>
  <c r="K1633" i="2"/>
  <c r="H1633" i="2"/>
  <c r="G1633" i="2"/>
  <c r="F1633" i="2"/>
  <c r="E1633" i="2"/>
  <c r="C1633" i="2"/>
  <c r="B1633" i="2"/>
  <c r="N1632" i="2"/>
  <c r="K1632" i="2"/>
  <c r="H1632" i="2"/>
  <c r="G1632" i="2"/>
  <c r="F1632" i="2"/>
  <c r="E1632" i="2"/>
  <c r="C1632" i="2"/>
  <c r="B1632" i="2"/>
  <c r="N1631" i="2"/>
  <c r="K1631" i="2"/>
  <c r="H1631" i="2"/>
  <c r="G1631" i="2"/>
  <c r="F1631" i="2"/>
  <c r="E1631" i="2"/>
  <c r="C1631" i="2"/>
  <c r="B1631" i="2"/>
  <c r="N1630" i="2"/>
  <c r="K1630" i="2"/>
  <c r="H1630" i="2"/>
  <c r="G1630" i="2"/>
  <c r="F1630" i="2"/>
  <c r="E1630" i="2"/>
  <c r="C1630" i="2"/>
  <c r="B1630" i="2"/>
  <c r="N1629" i="2"/>
  <c r="K1629" i="2"/>
  <c r="H1629" i="2"/>
  <c r="G1629" i="2"/>
  <c r="F1629" i="2"/>
  <c r="E1629" i="2"/>
  <c r="C1629" i="2"/>
  <c r="B1629" i="2"/>
  <c r="N1628" i="2"/>
  <c r="K1628" i="2"/>
  <c r="H1628" i="2"/>
  <c r="G1628" i="2"/>
  <c r="F1628" i="2"/>
  <c r="E1628" i="2"/>
  <c r="C1628" i="2"/>
  <c r="B1628" i="2"/>
  <c r="N1627" i="2"/>
  <c r="K1627" i="2"/>
  <c r="H1627" i="2"/>
  <c r="G1627" i="2"/>
  <c r="F1627" i="2"/>
  <c r="E1627" i="2"/>
  <c r="C1627" i="2"/>
  <c r="B1627" i="2"/>
  <c r="N1626" i="2"/>
  <c r="K1626" i="2"/>
  <c r="H1626" i="2"/>
  <c r="G1626" i="2"/>
  <c r="F1626" i="2"/>
  <c r="E1626" i="2"/>
  <c r="C1626" i="2"/>
  <c r="B1626" i="2"/>
  <c r="N1625" i="2"/>
  <c r="K1625" i="2"/>
  <c r="H1625" i="2"/>
  <c r="G1625" i="2"/>
  <c r="F1625" i="2"/>
  <c r="E1625" i="2"/>
  <c r="C1625" i="2"/>
  <c r="B1625" i="2"/>
  <c r="N1624" i="2"/>
  <c r="K1624" i="2"/>
  <c r="H1624" i="2"/>
  <c r="G1624" i="2"/>
  <c r="F1624" i="2"/>
  <c r="E1624" i="2"/>
  <c r="C1624" i="2"/>
  <c r="B1624" i="2"/>
  <c r="N1623" i="2"/>
  <c r="K1623" i="2"/>
  <c r="H1623" i="2"/>
  <c r="G1623" i="2"/>
  <c r="F1623" i="2"/>
  <c r="E1623" i="2"/>
  <c r="C1623" i="2"/>
  <c r="B1623" i="2"/>
  <c r="N1622" i="2"/>
  <c r="K1622" i="2"/>
  <c r="H1622" i="2"/>
  <c r="G1622" i="2"/>
  <c r="F1622" i="2"/>
  <c r="E1622" i="2"/>
  <c r="C1622" i="2"/>
  <c r="B1622" i="2"/>
  <c r="N1621" i="2"/>
  <c r="K1621" i="2"/>
  <c r="H1621" i="2"/>
  <c r="G1621" i="2"/>
  <c r="F1621" i="2"/>
  <c r="E1621" i="2"/>
  <c r="C1621" i="2"/>
  <c r="B1621" i="2"/>
  <c r="N1620" i="2"/>
  <c r="K1620" i="2"/>
  <c r="H1620" i="2"/>
  <c r="G1620" i="2"/>
  <c r="F1620" i="2"/>
  <c r="E1620" i="2"/>
  <c r="C1620" i="2"/>
  <c r="B1620" i="2"/>
  <c r="N1619" i="2"/>
  <c r="K1619" i="2"/>
  <c r="H1619" i="2"/>
  <c r="G1619" i="2"/>
  <c r="F1619" i="2"/>
  <c r="E1619" i="2"/>
  <c r="C1619" i="2"/>
  <c r="B1619" i="2"/>
  <c r="N1618" i="2"/>
  <c r="K1618" i="2"/>
  <c r="H1618" i="2"/>
  <c r="G1618" i="2"/>
  <c r="F1618" i="2"/>
  <c r="E1618" i="2"/>
  <c r="C1618" i="2"/>
  <c r="B1618" i="2"/>
  <c r="N1617" i="2"/>
  <c r="K1617" i="2"/>
  <c r="H1617" i="2"/>
  <c r="G1617" i="2"/>
  <c r="F1617" i="2"/>
  <c r="E1617" i="2"/>
  <c r="C1617" i="2"/>
  <c r="B1617" i="2"/>
  <c r="N1616" i="2"/>
  <c r="K1616" i="2"/>
  <c r="H1616" i="2"/>
  <c r="G1616" i="2"/>
  <c r="F1616" i="2"/>
  <c r="E1616" i="2"/>
  <c r="C1616" i="2"/>
  <c r="B1616" i="2"/>
  <c r="N1615" i="2"/>
  <c r="K1615" i="2"/>
  <c r="H1615" i="2"/>
  <c r="G1615" i="2"/>
  <c r="F1615" i="2"/>
  <c r="E1615" i="2"/>
  <c r="C1615" i="2"/>
  <c r="B1615" i="2"/>
  <c r="N1614" i="2"/>
  <c r="K1614" i="2"/>
  <c r="H1614" i="2"/>
  <c r="G1614" i="2"/>
  <c r="F1614" i="2"/>
  <c r="E1614" i="2"/>
  <c r="C1614" i="2"/>
  <c r="B1614" i="2"/>
  <c r="N1613" i="2"/>
  <c r="K1613" i="2"/>
  <c r="H1613" i="2"/>
  <c r="G1613" i="2"/>
  <c r="F1613" i="2"/>
  <c r="E1613" i="2"/>
  <c r="C1613" i="2"/>
  <c r="B1613" i="2"/>
  <c r="N1612" i="2"/>
  <c r="K1612" i="2"/>
  <c r="H1612" i="2"/>
  <c r="G1612" i="2"/>
  <c r="F1612" i="2"/>
  <c r="E1612" i="2"/>
  <c r="C1612" i="2"/>
  <c r="B1612" i="2"/>
  <c r="N1611" i="2"/>
  <c r="K1611" i="2"/>
  <c r="H1611" i="2"/>
  <c r="G1611" i="2"/>
  <c r="F1611" i="2"/>
  <c r="E1611" i="2"/>
  <c r="C1611" i="2"/>
  <c r="B1611" i="2"/>
  <c r="N1610" i="2"/>
  <c r="K1610" i="2"/>
  <c r="H1610" i="2"/>
  <c r="G1610" i="2"/>
  <c r="F1610" i="2"/>
  <c r="E1610" i="2"/>
  <c r="C1610" i="2"/>
  <c r="B1610" i="2"/>
  <c r="N1609" i="2"/>
  <c r="K1609" i="2"/>
  <c r="H1609" i="2"/>
  <c r="G1609" i="2"/>
  <c r="F1609" i="2"/>
  <c r="E1609" i="2"/>
  <c r="C1609" i="2"/>
  <c r="B1609" i="2"/>
  <c r="N1608" i="2"/>
  <c r="K1608" i="2"/>
  <c r="H1608" i="2"/>
  <c r="G1608" i="2"/>
  <c r="F1608" i="2"/>
  <c r="E1608" i="2"/>
  <c r="C1608" i="2"/>
  <c r="B1608" i="2"/>
  <c r="N1607" i="2"/>
  <c r="K1607" i="2"/>
  <c r="H1607" i="2"/>
  <c r="G1607" i="2"/>
  <c r="F1607" i="2"/>
  <c r="E1607" i="2"/>
  <c r="C1607" i="2"/>
  <c r="B1607" i="2"/>
  <c r="N1606" i="2"/>
  <c r="K1606" i="2"/>
  <c r="H1606" i="2"/>
  <c r="G1606" i="2"/>
  <c r="F1606" i="2"/>
  <c r="E1606" i="2"/>
  <c r="C1606" i="2"/>
  <c r="B1606" i="2"/>
  <c r="N1605" i="2"/>
  <c r="K1605" i="2"/>
  <c r="H1605" i="2"/>
  <c r="G1605" i="2"/>
  <c r="F1605" i="2"/>
  <c r="E1605" i="2"/>
  <c r="C1605" i="2"/>
  <c r="B1605" i="2"/>
  <c r="N1604" i="2"/>
  <c r="K1604" i="2"/>
  <c r="H1604" i="2"/>
  <c r="G1604" i="2"/>
  <c r="F1604" i="2"/>
  <c r="E1604" i="2"/>
  <c r="C1604" i="2"/>
  <c r="B1604" i="2"/>
  <c r="N1603" i="2"/>
  <c r="K1603" i="2"/>
  <c r="H1603" i="2"/>
  <c r="G1603" i="2"/>
  <c r="F1603" i="2"/>
  <c r="E1603" i="2"/>
  <c r="C1603" i="2"/>
  <c r="B1603" i="2"/>
  <c r="N1602" i="2"/>
  <c r="K1602" i="2"/>
  <c r="H1602" i="2"/>
  <c r="G1602" i="2"/>
  <c r="F1602" i="2"/>
  <c r="E1602" i="2"/>
  <c r="C1602" i="2"/>
  <c r="B1602" i="2"/>
  <c r="N1601" i="2"/>
  <c r="K1601" i="2"/>
  <c r="H1601" i="2"/>
  <c r="G1601" i="2"/>
  <c r="F1601" i="2"/>
  <c r="E1601" i="2"/>
  <c r="C1601" i="2"/>
  <c r="B1601" i="2"/>
  <c r="N1600" i="2"/>
  <c r="K1600" i="2"/>
  <c r="H1600" i="2"/>
  <c r="G1600" i="2"/>
  <c r="F1600" i="2"/>
  <c r="E1600" i="2"/>
  <c r="C1600" i="2"/>
  <c r="B1600" i="2"/>
  <c r="N1599" i="2"/>
  <c r="K1599" i="2"/>
  <c r="H1599" i="2"/>
  <c r="G1599" i="2"/>
  <c r="F1599" i="2"/>
  <c r="E1599" i="2"/>
  <c r="C1599" i="2"/>
  <c r="B1599" i="2"/>
  <c r="N1598" i="2"/>
  <c r="K1598" i="2"/>
  <c r="H1598" i="2"/>
  <c r="G1598" i="2"/>
  <c r="F1598" i="2"/>
  <c r="E1598" i="2"/>
  <c r="C1598" i="2"/>
  <c r="B1598" i="2"/>
  <c r="N1597" i="2"/>
  <c r="K1597" i="2"/>
  <c r="H1597" i="2"/>
  <c r="G1597" i="2"/>
  <c r="F1597" i="2"/>
  <c r="E1597" i="2"/>
  <c r="C1597" i="2"/>
  <c r="B1597" i="2"/>
  <c r="N1596" i="2"/>
  <c r="K1596" i="2"/>
  <c r="H1596" i="2"/>
  <c r="G1596" i="2"/>
  <c r="F1596" i="2"/>
  <c r="E1596" i="2"/>
  <c r="C1596" i="2"/>
  <c r="B1596" i="2"/>
  <c r="N1595" i="2"/>
  <c r="K1595" i="2"/>
  <c r="H1595" i="2"/>
  <c r="G1595" i="2"/>
  <c r="F1595" i="2"/>
  <c r="E1595" i="2"/>
  <c r="C1595" i="2"/>
  <c r="B1595" i="2"/>
  <c r="N1594" i="2"/>
  <c r="K1594" i="2"/>
  <c r="H1594" i="2"/>
  <c r="G1594" i="2"/>
  <c r="F1594" i="2"/>
  <c r="E1594" i="2"/>
  <c r="C1594" i="2"/>
  <c r="B1594" i="2"/>
  <c r="N1593" i="2"/>
  <c r="K1593" i="2"/>
  <c r="H1593" i="2"/>
  <c r="G1593" i="2"/>
  <c r="F1593" i="2"/>
  <c r="E1593" i="2"/>
  <c r="C1593" i="2"/>
  <c r="B1593" i="2"/>
  <c r="N1592" i="2"/>
  <c r="K1592" i="2"/>
  <c r="H1592" i="2"/>
  <c r="G1592" i="2"/>
  <c r="F1592" i="2"/>
  <c r="E1592" i="2"/>
  <c r="C1592" i="2"/>
  <c r="B1592" i="2"/>
  <c r="N1591" i="2"/>
  <c r="K1591" i="2"/>
  <c r="H1591" i="2"/>
  <c r="G1591" i="2"/>
  <c r="F1591" i="2"/>
  <c r="E1591" i="2"/>
  <c r="C1591" i="2"/>
  <c r="B1591" i="2"/>
  <c r="N1590" i="2"/>
  <c r="K1590" i="2"/>
  <c r="H1590" i="2"/>
  <c r="G1590" i="2"/>
  <c r="F1590" i="2"/>
  <c r="E1590" i="2"/>
  <c r="C1590" i="2"/>
  <c r="B1590" i="2"/>
  <c r="N1589" i="2"/>
  <c r="K1589" i="2"/>
  <c r="H1589" i="2"/>
  <c r="G1589" i="2"/>
  <c r="F1589" i="2"/>
  <c r="E1589" i="2"/>
  <c r="C1589" i="2"/>
  <c r="B1589" i="2"/>
  <c r="N1588" i="2"/>
  <c r="K1588" i="2"/>
  <c r="H1588" i="2"/>
  <c r="G1588" i="2"/>
  <c r="F1588" i="2"/>
  <c r="E1588" i="2"/>
  <c r="C1588" i="2"/>
  <c r="B1588" i="2"/>
  <c r="N1587" i="2"/>
  <c r="K1587" i="2"/>
  <c r="H1587" i="2"/>
  <c r="G1587" i="2"/>
  <c r="F1587" i="2"/>
  <c r="E1587" i="2"/>
  <c r="C1587" i="2"/>
  <c r="B1587" i="2"/>
  <c r="N1586" i="2"/>
  <c r="K1586" i="2"/>
  <c r="H1586" i="2"/>
  <c r="G1586" i="2"/>
  <c r="F1586" i="2"/>
  <c r="E1586" i="2"/>
  <c r="C1586" i="2"/>
  <c r="B1586" i="2"/>
  <c r="N1585" i="2"/>
  <c r="K1585" i="2"/>
  <c r="H1585" i="2"/>
  <c r="G1585" i="2"/>
  <c r="F1585" i="2"/>
  <c r="E1585" i="2"/>
  <c r="C1585" i="2"/>
  <c r="B1585" i="2"/>
  <c r="N1584" i="2"/>
  <c r="K1584" i="2"/>
  <c r="H1584" i="2"/>
  <c r="G1584" i="2"/>
  <c r="F1584" i="2"/>
  <c r="E1584" i="2"/>
  <c r="C1584" i="2"/>
  <c r="B1584" i="2"/>
  <c r="N1583" i="2"/>
  <c r="K1583" i="2"/>
  <c r="H1583" i="2"/>
  <c r="G1583" i="2"/>
  <c r="F1583" i="2"/>
  <c r="E1583" i="2"/>
  <c r="C1583" i="2"/>
  <c r="B1583" i="2"/>
  <c r="N1582" i="2"/>
  <c r="K1582" i="2"/>
  <c r="H1582" i="2"/>
  <c r="G1582" i="2"/>
  <c r="F1582" i="2"/>
  <c r="E1582" i="2"/>
  <c r="C1582" i="2"/>
  <c r="B1582" i="2"/>
  <c r="N1581" i="2"/>
  <c r="K1581" i="2"/>
  <c r="H1581" i="2"/>
  <c r="G1581" i="2"/>
  <c r="F1581" i="2"/>
  <c r="E1581" i="2"/>
  <c r="C1581" i="2"/>
  <c r="B1581" i="2"/>
  <c r="N1580" i="2"/>
  <c r="K1580" i="2"/>
  <c r="H1580" i="2"/>
  <c r="G1580" i="2"/>
  <c r="F1580" i="2"/>
  <c r="E1580" i="2"/>
  <c r="C1580" i="2"/>
  <c r="B1580" i="2"/>
  <c r="N1579" i="2"/>
  <c r="K1579" i="2"/>
  <c r="H1579" i="2"/>
  <c r="G1579" i="2"/>
  <c r="F1579" i="2"/>
  <c r="E1579" i="2"/>
  <c r="C1579" i="2"/>
  <c r="B1579" i="2"/>
  <c r="N1578" i="2"/>
  <c r="K1578" i="2"/>
  <c r="H1578" i="2"/>
  <c r="G1578" i="2"/>
  <c r="F1578" i="2"/>
  <c r="E1578" i="2"/>
  <c r="C1578" i="2"/>
  <c r="B1578" i="2"/>
  <c r="N1577" i="2"/>
  <c r="K1577" i="2"/>
  <c r="H1577" i="2"/>
  <c r="G1577" i="2"/>
  <c r="F1577" i="2"/>
  <c r="E1577" i="2"/>
  <c r="C1577" i="2"/>
  <c r="B1577" i="2"/>
  <c r="N1576" i="2"/>
  <c r="K1576" i="2"/>
  <c r="H1576" i="2"/>
  <c r="G1576" i="2"/>
  <c r="F1576" i="2"/>
  <c r="E1576" i="2"/>
  <c r="C1576" i="2"/>
  <c r="B1576" i="2"/>
  <c r="N1575" i="2"/>
  <c r="K1575" i="2"/>
  <c r="H1575" i="2"/>
  <c r="G1575" i="2"/>
  <c r="F1575" i="2"/>
  <c r="E1575" i="2"/>
  <c r="C1575" i="2"/>
  <c r="B1575" i="2"/>
  <c r="N1574" i="2"/>
  <c r="K1574" i="2"/>
  <c r="H1574" i="2"/>
  <c r="G1574" i="2"/>
  <c r="F1574" i="2"/>
  <c r="E1574" i="2"/>
  <c r="C1574" i="2"/>
  <c r="B1574" i="2"/>
  <c r="N1573" i="2"/>
  <c r="K1573" i="2"/>
  <c r="H1573" i="2"/>
  <c r="G1573" i="2"/>
  <c r="F1573" i="2"/>
  <c r="E1573" i="2"/>
  <c r="C1573" i="2"/>
  <c r="B1573" i="2"/>
  <c r="N1572" i="2"/>
  <c r="K1572" i="2"/>
  <c r="H1572" i="2"/>
  <c r="G1572" i="2"/>
  <c r="F1572" i="2"/>
  <c r="E1572" i="2"/>
  <c r="C1572" i="2"/>
  <c r="B1572" i="2"/>
  <c r="N1571" i="2"/>
  <c r="K1571" i="2"/>
  <c r="H1571" i="2"/>
  <c r="G1571" i="2"/>
  <c r="F1571" i="2"/>
  <c r="E1571" i="2"/>
  <c r="C1571" i="2"/>
  <c r="B1571" i="2"/>
  <c r="N1570" i="2"/>
  <c r="K1570" i="2"/>
  <c r="H1570" i="2"/>
  <c r="G1570" i="2"/>
  <c r="F1570" i="2"/>
  <c r="E1570" i="2"/>
  <c r="C1570" i="2"/>
  <c r="B1570" i="2"/>
  <c r="N1569" i="2"/>
  <c r="K1569" i="2"/>
  <c r="H1569" i="2"/>
  <c r="G1569" i="2"/>
  <c r="F1569" i="2"/>
  <c r="E1569" i="2"/>
  <c r="C1569" i="2"/>
  <c r="B1569" i="2"/>
  <c r="N1568" i="2"/>
  <c r="K1568" i="2"/>
  <c r="H1568" i="2"/>
  <c r="G1568" i="2"/>
  <c r="F1568" i="2"/>
  <c r="E1568" i="2"/>
  <c r="C1568" i="2"/>
  <c r="B1568" i="2"/>
  <c r="N1567" i="2"/>
  <c r="K1567" i="2"/>
  <c r="H1567" i="2"/>
  <c r="G1567" i="2"/>
  <c r="F1567" i="2"/>
  <c r="E1567" i="2"/>
  <c r="C1567" i="2"/>
  <c r="B1567" i="2"/>
  <c r="N1566" i="2"/>
  <c r="K1566" i="2"/>
  <c r="H1566" i="2"/>
  <c r="G1566" i="2"/>
  <c r="F1566" i="2"/>
  <c r="E1566" i="2"/>
  <c r="C1566" i="2"/>
  <c r="B1566" i="2"/>
  <c r="N1565" i="2"/>
  <c r="K1565" i="2"/>
  <c r="H1565" i="2"/>
  <c r="G1565" i="2"/>
  <c r="F1565" i="2"/>
  <c r="E1565" i="2"/>
  <c r="C1565" i="2"/>
  <c r="B1565" i="2"/>
  <c r="N1564" i="2"/>
  <c r="K1564" i="2"/>
  <c r="H1564" i="2"/>
  <c r="G1564" i="2"/>
  <c r="F1564" i="2"/>
  <c r="E1564" i="2"/>
  <c r="C1564" i="2"/>
  <c r="B1564" i="2"/>
  <c r="N1563" i="2"/>
  <c r="K1563" i="2"/>
  <c r="H1563" i="2"/>
  <c r="G1563" i="2"/>
  <c r="F1563" i="2"/>
  <c r="E1563" i="2"/>
  <c r="C1563" i="2"/>
  <c r="B1563" i="2"/>
  <c r="N1562" i="2"/>
  <c r="K1562" i="2"/>
  <c r="H1562" i="2"/>
  <c r="G1562" i="2"/>
  <c r="F1562" i="2"/>
  <c r="E1562" i="2"/>
  <c r="C1562" i="2"/>
  <c r="B1562" i="2"/>
  <c r="N1561" i="2"/>
  <c r="K1561" i="2"/>
  <c r="H1561" i="2"/>
  <c r="G1561" i="2"/>
  <c r="F1561" i="2"/>
  <c r="E1561" i="2"/>
  <c r="C1561" i="2"/>
  <c r="B1561" i="2"/>
  <c r="N1560" i="2"/>
  <c r="K1560" i="2"/>
  <c r="H1560" i="2"/>
  <c r="G1560" i="2"/>
  <c r="F1560" i="2"/>
  <c r="E1560" i="2"/>
  <c r="C1560" i="2"/>
  <c r="B1560" i="2"/>
  <c r="N1559" i="2"/>
  <c r="K1559" i="2"/>
  <c r="H1559" i="2"/>
  <c r="G1559" i="2"/>
  <c r="F1559" i="2"/>
  <c r="E1559" i="2"/>
  <c r="C1559" i="2"/>
  <c r="B1559" i="2"/>
  <c r="N1558" i="2"/>
  <c r="K1558" i="2"/>
  <c r="H1558" i="2"/>
  <c r="G1558" i="2"/>
  <c r="F1558" i="2"/>
  <c r="E1558" i="2"/>
  <c r="C1558" i="2"/>
  <c r="B1558" i="2"/>
  <c r="N1557" i="2"/>
  <c r="K1557" i="2"/>
  <c r="H1557" i="2"/>
  <c r="G1557" i="2"/>
  <c r="F1557" i="2"/>
  <c r="E1557" i="2"/>
  <c r="C1557" i="2"/>
  <c r="B1557" i="2"/>
  <c r="N1556" i="2"/>
  <c r="K1556" i="2"/>
  <c r="H1556" i="2"/>
  <c r="G1556" i="2"/>
  <c r="F1556" i="2"/>
  <c r="E1556" i="2"/>
  <c r="C1556" i="2"/>
  <c r="B1556" i="2"/>
  <c r="N1555" i="2"/>
  <c r="K1555" i="2"/>
  <c r="H1555" i="2"/>
  <c r="G1555" i="2"/>
  <c r="F1555" i="2"/>
  <c r="E1555" i="2"/>
  <c r="C1555" i="2"/>
  <c r="B1555" i="2"/>
  <c r="N1554" i="2"/>
  <c r="K1554" i="2"/>
  <c r="H1554" i="2"/>
  <c r="G1554" i="2"/>
  <c r="F1554" i="2"/>
  <c r="E1554" i="2"/>
  <c r="C1554" i="2"/>
  <c r="B1554" i="2"/>
  <c r="N1553" i="2"/>
  <c r="K1553" i="2"/>
  <c r="H1553" i="2"/>
  <c r="G1553" i="2"/>
  <c r="F1553" i="2"/>
  <c r="E1553" i="2"/>
  <c r="C1553" i="2"/>
  <c r="B1553" i="2"/>
  <c r="N1552" i="2"/>
  <c r="K1552" i="2"/>
  <c r="H1552" i="2"/>
  <c r="G1552" i="2"/>
  <c r="F1552" i="2"/>
  <c r="E1552" i="2"/>
  <c r="C1552" i="2"/>
  <c r="B1552" i="2"/>
  <c r="N1551" i="2"/>
  <c r="K1551" i="2"/>
  <c r="H1551" i="2"/>
  <c r="G1551" i="2"/>
  <c r="F1551" i="2"/>
  <c r="E1551" i="2"/>
  <c r="C1551" i="2"/>
  <c r="B1551" i="2"/>
  <c r="N1550" i="2"/>
  <c r="K1550" i="2"/>
  <c r="H1550" i="2"/>
  <c r="G1550" i="2"/>
  <c r="F1550" i="2"/>
  <c r="E1550" i="2"/>
  <c r="C1550" i="2"/>
  <c r="B1550" i="2"/>
  <c r="N1549" i="2"/>
  <c r="K1549" i="2"/>
  <c r="H1549" i="2"/>
  <c r="G1549" i="2"/>
  <c r="F1549" i="2"/>
  <c r="E1549" i="2"/>
  <c r="C1549" i="2"/>
  <c r="B1549" i="2"/>
  <c r="N1548" i="2"/>
  <c r="K1548" i="2"/>
  <c r="H1548" i="2"/>
  <c r="G1548" i="2"/>
  <c r="F1548" i="2"/>
  <c r="E1548" i="2"/>
  <c r="C1548" i="2"/>
  <c r="B1548" i="2"/>
  <c r="N1547" i="2"/>
  <c r="K1547" i="2"/>
  <c r="H1547" i="2"/>
  <c r="G1547" i="2"/>
  <c r="F1547" i="2"/>
  <c r="E1547" i="2"/>
  <c r="C1547" i="2"/>
  <c r="B1547" i="2"/>
  <c r="N1546" i="2"/>
  <c r="K1546" i="2"/>
  <c r="H1546" i="2"/>
  <c r="G1546" i="2"/>
  <c r="F1546" i="2"/>
  <c r="E1546" i="2"/>
  <c r="C1546" i="2"/>
  <c r="B1546" i="2"/>
  <c r="N1545" i="2"/>
  <c r="K1545" i="2"/>
  <c r="H1545" i="2"/>
  <c r="G1545" i="2"/>
  <c r="F1545" i="2"/>
  <c r="E1545" i="2"/>
  <c r="C1545" i="2"/>
  <c r="B1545" i="2"/>
  <c r="N1544" i="2"/>
  <c r="K1544" i="2"/>
  <c r="H1544" i="2"/>
  <c r="G1544" i="2"/>
  <c r="F1544" i="2"/>
  <c r="E1544" i="2"/>
  <c r="C1544" i="2"/>
  <c r="B1544" i="2"/>
  <c r="N1543" i="2"/>
  <c r="K1543" i="2"/>
  <c r="H1543" i="2"/>
  <c r="G1543" i="2"/>
  <c r="F1543" i="2"/>
  <c r="E1543" i="2"/>
  <c r="C1543" i="2"/>
  <c r="B1543" i="2"/>
  <c r="N1542" i="2"/>
  <c r="K1542" i="2"/>
  <c r="H1542" i="2"/>
  <c r="G1542" i="2"/>
  <c r="F1542" i="2"/>
  <c r="E1542" i="2"/>
  <c r="C1542" i="2"/>
  <c r="B1542" i="2"/>
  <c r="N1541" i="2"/>
  <c r="K1541" i="2"/>
  <c r="H1541" i="2"/>
  <c r="G1541" i="2"/>
  <c r="F1541" i="2"/>
  <c r="E1541" i="2"/>
  <c r="C1541" i="2"/>
  <c r="B1541" i="2"/>
  <c r="N1540" i="2"/>
  <c r="K1540" i="2"/>
  <c r="H1540" i="2"/>
  <c r="G1540" i="2"/>
  <c r="F1540" i="2"/>
  <c r="E1540" i="2"/>
  <c r="C1540" i="2"/>
  <c r="B1540" i="2"/>
  <c r="N1539" i="2"/>
  <c r="K1539" i="2"/>
  <c r="H1539" i="2"/>
  <c r="G1539" i="2"/>
  <c r="F1539" i="2"/>
  <c r="E1539" i="2"/>
  <c r="C1539" i="2"/>
  <c r="B1539" i="2"/>
  <c r="N1538" i="2"/>
  <c r="K1538" i="2"/>
  <c r="H1538" i="2"/>
  <c r="G1538" i="2"/>
  <c r="F1538" i="2"/>
  <c r="E1538" i="2"/>
  <c r="C1538" i="2"/>
  <c r="B1538" i="2"/>
  <c r="N1537" i="2"/>
  <c r="K1537" i="2"/>
  <c r="H1537" i="2"/>
  <c r="G1537" i="2"/>
  <c r="F1537" i="2"/>
  <c r="E1537" i="2"/>
  <c r="C1537" i="2"/>
  <c r="B1537" i="2"/>
  <c r="N1536" i="2"/>
  <c r="K1536" i="2"/>
  <c r="H1536" i="2"/>
  <c r="G1536" i="2"/>
  <c r="F1536" i="2"/>
  <c r="E1536" i="2"/>
  <c r="C1536" i="2"/>
  <c r="B1536" i="2"/>
  <c r="N1535" i="2"/>
  <c r="K1535" i="2"/>
  <c r="H1535" i="2"/>
  <c r="G1535" i="2"/>
  <c r="F1535" i="2"/>
  <c r="E1535" i="2"/>
  <c r="C1535" i="2"/>
  <c r="B1535" i="2"/>
  <c r="N1534" i="2"/>
  <c r="K1534" i="2"/>
  <c r="H1534" i="2"/>
  <c r="G1534" i="2"/>
  <c r="F1534" i="2"/>
  <c r="E1534" i="2"/>
  <c r="C1534" i="2"/>
  <c r="B1534" i="2"/>
  <c r="N1533" i="2"/>
  <c r="K1533" i="2"/>
  <c r="H1533" i="2"/>
  <c r="G1533" i="2"/>
  <c r="F1533" i="2"/>
  <c r="E1533" i="2"/>
  <c r="C1533" i="2"/>
  <c r="B1533" i="2"/>
  <c r="N1532" i="2"/>
  <c r="K1532" i="2"/>
  <c r="H1532" i="2"/>
  <c r="G1532" i="2"/>
  <c r="F1532" i="2"/>
  <c r="E1532" i="2"/>
  <c r="C1532" i="2"/>
  <c r="B1532" i="2"/>
  <c r="N1531" i="2"/>
  <c r="K1531" i="2"/>
  <c r="H1531" i="2"/>
  <c r="G1531" i="2"/>
  <c r="F1531" i="2"/>
  <c r="E1531" i="2"/>
  <c r="C1531" i="2"/>
  <c r="B1531" i="2"/>
  <c r="N1530" i="2"/>
  <c r="K1530" i="2"/>
  <c r="H1530" i="2"/>
  <c r="G1530" i="2"/>
  <c r="F1530" i="2"/>
  <c r="E1530" i="2"/>
  <c r="C1530" i="2"/>
  <c r="B1530" i="2"/>
  <c r="N1529" i="2"/>
  <c r="K1529" i="2"/>
  <c r="H1529" i="2"/>
  <c r="G1529" i="2"/>
  <c r="F1529" i="2"/>
  <c r="E1529" i="2"/>
  <c r="C1529" i="2"/>
  <c r="B1529" i="2"/>
  <c r="N1528" i="2"/>
  <c r="K1528" i="2"/>
  <c r="H1528" i="2"/>
  <c r="G1528" i="2"/>
  <c r="F1528" i="2"/>
  <c r="E1528" i="2"/>
  <c r="C1528" i="2"/>
  <c r="B1528" i="2"/>
  <c r="N1527" i="2"/>
  <c r="K1527" i="2"/>
  <c r="H1527" i="2"/>
  <c r="G1527" i="2"/>
  <c r="F1527" i="2"/>
  <c r="E1527" i="2"/>
  <c r="C1527" i="2"/>
  <c r="B1527" i="2"/>
  <c r="N1526" i="2"/>
  <c r="K1526" i="2"/>
  <c r="H1526" i="2"/>
  <c r="G1526" i="2"/>
  <c r="F1526" i="2"/>
  <c r="E1526" i="2"/>
  <c r="C1526" i="2"/>
  <c r="B1526" i="2"/>
  <c r="N1525" i="2"/>
  <c r="K1525" i="2"/>
  <c r="H1525" i="2"/>
  <c r="G1525" i="2"/>
  <c r="F1525" i="2"/>
  <c r="E1525" i="2"/>
  <c r="C1525" i="2"/>
  <c r="B1525" i="2"/>
  <c r="N1524" i="2"/>
  <c r="K1524" i="2"/>
  <c r="H1524" i="2"/>
  <c r="G1524" i="2"/>
  <c r="F1524" i="2"/>
  <c r="E1524" i="2"/>
  <c r="C1524" i="2"/>
  <c r="B1524" i="2"/>
  <c r="N1523" i="2"/>
  <c r="K1523" i="2"/>
  <c r="H1523" i="2"/>
  <c r="G1523" i="2"/>
  <c r="F1523" i="2"/>
  <c r="E1523" i="2"/>
  <c r="C1523" i="2"/>
  <c r="B1523" i="2"/>
  <c r="N1522" i="2"/>
  <c r="K1522" i="2"/>
  <c r="H1522" i="2"/>
  <c r="G1522" i="2"/>
  <c r="F1522" i="2"/>
  <c r="E1522" i="2"/>
  <c r="C1522" i="2"/>
  <c r="B1522" i="2"/>
  <c r="N1521" i="2"/>
  <c r="K1521" i="2"/>
  <c r="H1521" i="2"/>
  <c r="G1521" i="2"/>
  <c r="F1521" i="2"/>
  <c r="E1521" i="2"/>
  <c r="C1521" i="2"/>
  <c r="B1521" i="2"/>
  <c r="N1520" i="2"/>
  <c r="K1520" i="2"/>
  <c r="H1520" i="2"/>
  <c r="G1520" i="2"/>
  <c r="F1520" i="2"/>
  <c r="E1520" i="2"/>
  <c r="C1520" i="2"/>
  <c r="B1520" i="2"/>
  <c r="N1519" i="2"/>
  <c r="K1519" i="2"/>
  <c r="H1519" i="2"/>
  <c r="G1519" i="2"/>
  <c r="F1519" i="2"/>
  <c r="E1519" i="2"/>
  <c r="C1519" i="2"/>
  <c r="B1519" i="2"/>
  <c r="N1518" i="2"/>
  <c r="K1518" i="2"/>
  <c r="H1518" i="2"/>
  <c r="G1518" i="2"/>
  <c r="F1518" i="2"/>
  <c r="E1518" i="2"/>
  <c r="C1518" i="2"/>
  <c r="B1518" i="2"/>
  <c r="N1517" i="2"/>
  <c r="K1517" i="2"/>
  <c r="H1517" i="2"/>
  <c r="G1517" i="2"/>
  <c r="F1517" i="2"/>
  <c r="E1517" i="2"/>
  <c r="C1517" i="2"/>
  <c r="B1517" i="2"/>
  <c r="N1516" i="2"/>
  <c r="K1516" i="2"/>
  <c r="H1516" i="2"/>
  <c r="G1516" i="2"/>
  <c r="F1516" i="2"/>
  <c r="E1516" i="2"/>
  <c r="C1516" i="2"/>
  <c r="B1516" i="2"/>
  <c r="N1515" i="2"/>
  <c r="K1515" i="2"/>
  <c r="H1515" i="2"/>
  <c r="G1515" i="2"/>
  <c r="F1515" i="2"/>
  <c r="E1515" i="2"/>
  <c r="C1515" i="2"/>
  <c r="B1515" i="2"/>
  <c r="N1514" i="2"/>
  <c r="K1514" i="2"/>
  <c r="H1514" i="2"/>
  <c r="G1514" i="2"/>
  <c r="F1514" i="2"/>
  <c r="E1514" i="2"/>
  <c r="C1514" i="2"/>
  <c r="B1514" i="2"/>
  <c r="N1513" i="2"/>
  <c r="K1513" i="2"/>
  <c r="H1513" i="2"/>
  <c r="G1513" i="2"/>
  <c r="F1513" i="2"/>
  <c r="E1513" i="2"/>
  <c r="C1513" i="2"/>
  <c r="B1513" i="2"/>
  <c r="N1512" i="2"/>
  <c r="K1512" i="2"/>
  <c r="H1512" i="2"/>
  <c r="G1512" i="2"/>
  <c r="F1512" i="2"/>
  <c r="E1512" i="2"/>
  <c r="C1512" i="2"/>
  <c r="B1512" i="2"/>
  <c r="N1511" i="2"/>
  <c r="K1511" i="2"/>
  <c r="H1511" i="2"/>
  <c r="G1511" i="2"/>
  <c r="F1511" i="2"/>
  <c r="E1511" i="2"/>
  <c r="C1511" i="2"/>
  <c r="B1511" i="2"/>
  <c r="N1510" i="2"/>
  <c r="K1510" i="2"/>
  <c r="H1510" i="2"/>
  <c r="G1510" i="2"/>
  <c r="F1510" i="2"/>
  <c r="E1510" i="2"/>
  <c r="C1510" i="2"/>
  <c r="B1510" i="2"/>
  <c r="N1509" i="2"/>
  <c r="K1509" i="2"/>
  <c r="H1509" i="2"/>
  <c r="G1509" i="2"/>
  <c r="F1509" i="2"/>
  <c r="E1509" i="2"/>
  <c r="C1509" i="2"/>
  <c r="B1509" i="2"/>
  <c r="N1508" i="2"/>
  <c r="K1508" i="2"/>
  <c r="H1508" i="2"/>
  <c r="G1508" i="2"/>
  <c r="F1508" i="2"/>
  <c r="E1508" i="2"/>
  <c r="C1508" i="2"/>
  <c r="B1508" i="2"/>
  <c r="N1507" i="2"/>
  <c r="K1507" i="2"/>
  <c r="H1507" i="2"/>
  <c r="G1507" i="2"/>
  <c r="F1507" i="2"/>
  <c r="E1507" i="2"/>
  <c r="C1507" i="2"/>
  <c r="B1507" i="2"/>
  <c r="N1506" i="2"/>
  <c r="K1506" i="2"/>
  <c r="H1506" i="2"/>
  <c r="G1506" i="2"/>
  <c r="F1506" i="2"/>
  <c r="E1506" i="2"/>
  <c r="C1506" i="2"/>
  <c r="B1506" i="2"/>
  <c r="N1505" i="2"/>
  <c r="K1505" i="2"/>
  <c r="H1505" i="2"/>
  <c r="G1505" i="2"/>
  <c r="F1505" i="2"/>
  <c r="E1505" i="2"/>
  <c r="C1505" i="2"/>
  <c r="B1505" i="2"/>
  <c r="N1504" i="2"/>
  <c r="K1504" i="2"/>
  <c r="H1504" i="2"/>
  <c r="G1504" i="2"/>
  <c r="F1504" i="2"/>
  <c r="E1504" i="2"/>
  <c r="C1504" i="2"/>
  <c r="B1504" i="2"/>
  <c r="N1503" i="2"/>
  <c r="K1503" i="2"/>
  <c r="H1503" i="2"/>
  <c r="G1503" i="2"/>
  <c r="F1503" i="2"/>
  <c r="E1503" i="2"/>
  <c r="C1503" i="2"/>
  <c r="B1503" i="2"/>
  <c r="N1502" i="2"/>
  <c r="K1502" i="2"/>
  <c r="H1502" i="2"/>
  <c r="G1502" i="2"/>
  <c r="F1502" i="2"/>
  <c r="E1502" i="2"/>
  <c r="C1502" i="2"/>
  <c r="B1502" i="2"/>
  <c r="N1501" i="2"/>
  <c r="K1501" i="2"/>
  <c r="H1501" i="2"/>
  <c r="G1501" i="2"/>
  <c r="F1501" i="2"/>
  <c r="E1501" i="2"/>
  <c r="C1501" i="2"/>
  <c r="B1501" i="2"/>
  <c r="N1500" i="2"/>
  <c r="K1500" i="2"/>
  <c r="H1500" i="2"/>
  <c r="G1500" i="2"/>
  <c r="F1500" i="2"/>
  <c r="E1500" i="2"/>
  <c r="C1500" i="2"/>
  <c r="B1500" i="2"/>
  <c r="N1499" i="2"/>
  <c r="K1499" i="2"/>
  <c r="H1499" i="2"/>
  <c r="G1499" i="2"/>
  <c r="F1499" i="2"/>
  <c r="E1499" i="2"/>
  <c r="C1499" i="2"/>
  <c r="B1499" i="2"/>
  <c r="N1498" i="2"/>
  <c r="K1498" i="2"/>
  <c r="H1498" i="2"/>
  <c r="G1498" i="2"/>
  <c r="F1498" i="2"/>
  <c r="E1498" i="2"/>
  <c r="C1498" i="2"/>
  <c r="B1498" i="2"/>
  <c r="N1497" i="2"/>
  <c r="K1497" i="2"/>
  <c r="H1497" i="2"/>
  <c r="G1497" i="2"/>
  <c r="F1497" i="2"/>
  <c r="E1497" i="2"/>
  <c r="C1497" i="2"/>
  <c r="B1497" i="2"/>
  <c r="N1496" i="2"/>
  <c r="K1496" i="2"/>
  <c r="H1496" i="2"/>
  <c r="G1496" i="2"/>
  <c r="F1496" i="2"/>
  <c r="E1496" i="2"/>
  <c r="C1496" i="2"/>
  <c r="B1496" i="2"/>
  <c r="N1495" i="2"/>
  <c r="K1495" i="2"/>
  <c r="H1495" i="2"/>
  <c r="G1495" i="2"/>
  <c r="F1495" i="2"/>
  <c r="E1495" i="2"/>
  <c r="C1495" i="2"/>
  <c r="B1495" i="2"/>
  <c r="N1494" i="2"/>
  <c r="K1494" i="2"/>
  <c r="H1494" i="2"/>
  <c r="G1494" i="2"/>
  <c r="F1494" i="2"/>
  <c r="E1494" i="2"/>
  <c r="C1494" i="2"/>
  <c r="B1494" i="2"/>
  <c r="N1493" i="2"/>
  <c r="K1493" i="2"/>
  <c r="H1493" i="2"/>
  <c r="G1493" i="2"/>
  <c r="F1493" i="2"/>
  <c r="E1493" i="2"/>
  <c r="C1493" i="2"/>
  <c r="B1493" i="2"/>
  <c r="N1492" i="2"/>
  <c r="K1492" i="2"/>
  <c r="H1492" i="2"/>
  <c r="G1492" i="2"/>
  <c r="F1492" i="2"/>
  <c r="E1492" i="2"/>
  <c r="C1492" i="2"/>
  <c r="B1492" i="2"/>
  <c r="N1491" i="2"/>
  <c r="K1491" i="2"/>
  <c r="H1491" i="2"/>
  <c r="G1491" i="2"/>
  <c r="F1491" i="2"/>
  <c r="E1491" i="2"/>
  <c r="C1491" i="2"/>
  <c r="B1491" i="2"/>
  <c r="N1490" i="2"/>
  <c r="K1490" i="2"/>
  <c r="H1490" i="2"/>
  <c r="G1490" i="2"/>
  <c r="F1490" i="2"/>
  <c r="E1490" i="2"/>
  <c r="C1490" i="2"/>
  <c r="B1490" i="2"/>
  <c r="N1489" i="2"/>
  <c r="K1489" i="2"/>
  <c r="H1489" i="2"/>
  <c r="G1489" i="2"/>
  <c r="F1489" i="2"/>
  <c r="E1489" i="2"/>
  <c r="C1489" i="2"/>
  <c r="B1489" i="2"/>
  <c r="N1488" i="2"/>
  <c r="K1488" i="2"/>
  <c r="H1488" i="2"/>
  <c r="G1488" i="2"/>
  <c r="F1488" i="2"/>
  <c r="E1488" i="2"/>
  <c r="C1488" i="2"/>
  <c r="B1488" i="2"/>
  <c r="N1487" i="2"/>
  <c r="K1487" i="2"/>
  <c r="H1487" i="2"/>
  <c r="G1487" i="2"/>
  <c r="F1487" i="2"/>
  <c r="E1487" i="2"/>
  <c r="C1487" i="2"/>
  <c r="B1487" i="2"/>
  <c r="N1486" i="2"/>
  <c r="K1486" i="2"/>
  <c r="H1486" i="2"/>
  <c r="G1486" i="2"/>
  <c r="F1486" i="2"/>
  <c r="E1486" i="2"/>
  <c r="C1486" i="2"/>
  <c r="B1486" i="2"/>
  <c r="N1485" i="2"/>
  <c r="K1485" i="2"/>
  <c r="H1485" i="2"/>
  <c r="G1485" i="2"/>
  <c r="F1485" i="2"/>
  <c r="E1485" i="2"/>
  <c r="C1485" i="2"/>
  <c r="B1485" i="2"/>
  <c r="N1484" i="2"/>
  <c r="K1484" i="2"/>
  <c r="H1484" i="2"/>
  <c r="G1484" i="2"/>
  <c r="F1484" i="2"/>
  <c r="E1484" i="2"/>
  <c r="C1484" i="2"/>
  <c r="B1484" i="2"/>
  <c r="N1483" i="2"/>
  <c r="K1483" i="2"/>
  <c r="H1483" i="2"/>
  <c r="G1483" i="2"/>
  <c r="F1483" i="2"/>
  <c r="E1483" i="2"/>
  <c r="C1483" i="2"/>
  <c r="B1483" i="2"/>
  <c r="N1482" i="2"/>
  <c r="K1482" i="2"/>
  <c r="H1482" i="2"/>
  <c r="G1482" i="2"/>
  <c r="F1482" i="2"/>
  <c r="E1482" i="2"/>
  <c r="C1482" i="2"/>
  <c r="B1482" i="2"/>
  <c r="N1481" i="2"/>
  <c r="K1481" i="2"/>
  <c r="H1481" i="2"/>
  <c r="G1481" i="2"/>
  <c r="F1481" i="2"/>
  <c r="E1481" i="2"/>
  <c r="C1481" i="2"/>
  <c r="B1481" i="2"/>
  <c r="N1480" i="2"/>
  <c r="K1480" i="2"/>
  <c r="H1480" i="2"/>
  <c r="G1480" i="2"/>
  <c r="F1480" i="2"/>
  <c r="E1480" i="2"/>
  <c r="C1480" i="2"/>
  <c r="B1480" i="2"/>
  <c r="N1479" i="2"/>
  <c r="K1479" i="2"/>
  <c r="H1479" i="2"/>
  <c r="G1479" i="2"/>
  <c r="F1479" i="2"/>
  <c r="E1479" i="2"/>
  <c r="C1479" i="2"/>
  <c r="B1479" i="2"/>
  <c r="N1478" i="2"/>
  <c r="K1478" i="2"/>
  <c r="H1478" i="2"/>
  <c r="G1478" i="2"/>
  <c r="F1478" i="2"/>
  <c r="E1478" i="2"/>
  <c r="C1478" i="2"/>
  <c r="B1478" i="2"/>
  <c r="N1477" i="2"/>
  <c r="K1477" i="2"/>
  <c r="H1477" i="2"/>
  <c r="G1477" i="2"/>
  <c r="F1477" i="2"/>
  <c r="E1477" i="2"/>
  <c r="C1477" i="2"/>
  <c r="B1477" i="2"/>
  <c r="N1476" i="2"/>
  <c r="K1476" i="2"/>
  <c r="H1476" i="2"/>
  <c r="G1476" i="2"/>
  <c r="F1476" i="2"/>
  <c r="E1476" i="2"/>
  <c r="C1476" i="2"/>
  <c r="B1476" i="2"/>
  <c r="N1475" i="2"/>
  <c r="K1475" i="2"/>
  <c r="H1475" i="2"/>
  <c r="G1475" i="2"/>
  <c r="F1475" i="2"/>
  <c r="E1475" i="2"/>
  <c r="C1475" i="2"/>
  <c r="B1475" i="2"/>
  <c r="N1474" i="2"/>
  <c r="K1474" i="2"/>
  <c r="H1474" i="2"/>
  <c r="G1474" i="2"/>
  <c r="F1474" i="2"/>
  <c r="E1474" i="2"/>
  <c r="C1474" i="2"/>
  <c r="B1474" i="2"/>
  <c r="N1473" i="2"/>
  <c r="K1473" i="2"/>
  <c r="H1473" i="2"/>
  <c r="G1473" i="2"/>
  <c r="F1473" i="2"/>
  <c r="E1473" i="2"/>
  <c r="C1473" i="2"/>
  <c r="B1473" i="2"/>
  <c r="N1472" i="2"/>
  <c r="K1472" i="2"/>
  <c r="H1472" i="2"/>
  <c r="G1472" i="2"/>
  <c r="F1472" i="2"/>
  <c r="E1472" i="2"/>
  <c r="C1472" i="2"/>
  <c r="B1472" i="2"/>
  <c r="N1471" i="2"/>
  <c r="K1471" i="2"/>
  <c r="H1471" i="2"/>
  <c r="G1471" i="2"/>
  <c r="F1471" i="2"/>
  <c r="E1471" i="2"/>
  <c r="C1471" i="2"/>
  <c r="B1471" i="2"/>
  <c r="N1470" i="2"/>
  <c r="K1470" i="2"/>
  <c r="H1470" i="2"/>
  <c r="G1470" i="2"/>
  <c r="F1470" i="2"/>
  <c r="E1470" i="2"/>
  <c r="C1470" i="2"/>
  <c r="B1470" i="2"/>
  <c r="N1469" i="2"/>
  <c r="K1469" i="2"/>
  <c r="H1469" i="2"/>
  <c r="G1469" i="2"/>
  <c r="F1469" i="2"/>
  <c r="E1469" i="2"/>
  <c r="C1469" i="2"/>
  <c r="B1469" i="2"/>
  <c r="N1468" i="2"/>
  <c r="K1468" i="2"/>
  <c r="H1468" i="2"/>
  <c r="G1468" i="2"/>
  <c r="F1468" i="2"/>
  <c r="E1468" i="2"/>
  <c r="C1468" i="2"/>
  <c r="B1468" i="2"/>
  <c r="N1467" i="2"/>
  <c r="K1467" i="2"/>
  <c r="H1467" i="2"/>
  <c r="G1467" i="2"/>
  <c r="F1467" i="2"/>
  <c r="E1467" i="2"/>
  <c r="C1467" i="2"/>
  <c r="B1467" i="2"/>
  <c r="N1466" i="2"/>
  <c r="K1466" i="2"/>
  <c r="H1466" i="2"/>
  <c r="G1466" i="2"/>
  <c r="F1466" i="2"/>
  <c r="E1466" i="2"/>
  <c r="C1466" i="2"/>
  <c r="B1466" i="2"/>
  <c r="N1465" i="2"/>
  <c r="K1465" i="2"/>
  <c r="H1465" i="2"/>
  <c r="G1465" i="2"/>
  <c r="F1465" i="2"/>
  <c r="E1465" i="2"/>
  <c r="C1465" i="2"/>
  <c r="B1465" i="2"/>
  <c r="N1464" i="2"/>
  <c r="K1464" i="2"/>
  <c r="H1464" i="2"/>
  <c r="G1464" i="2"/>
  <c r="F1464" i="2"/>
  <c r="E1464" i="2"/>
  <c r="C1464" i="2"/>
  <c r="B1464" i="2"/>
  <c r="N1463" i="2"/>
  <c r="K1463" i="2"/>
  <c r="H1463" i="2"/>
  <c r="G1463" i="2"/>
  <c r="F1463" i="2"/>
  <c r="E1463" i="2"/>
  <c r="C1463" i="2"/>
  <c r="B1463" i="2"/>
  <c r="N1462" i="2"/>
  <c r="K1462" i="2"/>
  <c r="H1462" i="2"/>
  <c r="G1462" i="2"/>
  <c r="F1462" i="2"/>
  <c r="E1462" i="2"/>
  <c r="C1462" i="2"/>
  <c r="B1462" i="2"/>
  <c r="N1461" i="2"/>
  <c r="K1461" i="2"/>
  <c r="H1461" i="2"/>
  <c r="G1461" i="2"/>
  <c r="F1461" i="2"/>
  <c r="E1461" i="2"/>
  <c r="C1461" i="2"/>
  <c r="B1461" i="2"/>
  <c r="N1460" i="2"/>
  <c r="K1460" i="2"/>
  <c r="H1460" i="2"/>
  <c r="G1460" i="2"/>
  <c r="F1460" i="2"/>
  <c r="E1460" i="2"/>
  <c r="C1460" i="2"/>
  <c r="B1460" i="2"/>
  <c r="N1459" i="2"/>
  <c r="K1459" i="2"/>
  <c r="H1459" i="2"/>
  <c r="G1459" i="2"/>
  <c r="F1459" i="2"/>
  <c r="E1459" i="2"/>
  <c r="C1459" i="2"/>
  <c r="B1459" i="2"/>
  <c r="N1458" i="2"/>
  <c r="K1458" i="2"/>
  <c r="H1458" i="2"/>
  <c r="G1458" i="2"/>
  <c r="F1458" i="2"/>
  <c r="E1458" i="2"/>
  <c r="C1458" i="2"/>
  <c r="B1458" i="2"/>
  <c r="N1457" i="2"/>
  <c r="K1457" i="2"/>
  <c r="H1457" i="2"/>
  <c r="G1457" i="2"/>
  <c r="F1457" i="2"/>
  <c r="E1457" i="2"/>
  <c r="C1457" i="2"/>
  <c r="B1457" i="2"/>
  <c r="N1456" i="2"/>
  <c r="K1456" i="2"/>
  <c r="H1456" i="2"/>
  <c r="G1456" i="2"/>
  <c r="F1456" i="2"/>
  <c r="E1456" i="2"/>
  <c r="C1456" i="2"/>
  <c r="B1456" i="2"/>
  <c r="N1455" i="2"/>
  <c r="K1455" i="2"/>
  <c r="H1455" i="2"/>
  <c r="G1455" i="2"/>
  <c r="F1455" i="2"/>
  <c r="E1455" i="2"/>
  <c r="C1455" i="2"/>
  <c r="B1455" i="2"/>
  <c r="N1454" i="2"/>
  <c r="K1454" i="2"/>
  <c r="H1454" i="2"/>
  <c r="G1454" i="2"/>
  <c r="F1454" i="2"/>
  <c r="E1454" i="2"/>
  <c r="C1454" i="2"/>
  <c r="B1454" i="2"/>
  <c r="N1453" i="2"/>
  <c r="K1453" i="2"/>
  <c r="H1453" i="2"/>
  <c r="G1453" i="2"/>
  <c r="F1453" i="2"/>
  <c r="E1453" i="2"/>
  <c r="C1453" i="2"/>
  <c r="B1453" i="2"/>
  <c r="N1452" i="2"/>
  <c r="K1452" i="2"/>
  <c r="H1452" i="2"/>
  <c r="G1452" i="2"/>
  <c r="F1452" i="2"/>
  <c r="E1452" i="2"/>
  <c r="C1452" i="2"/>
  <c r="B1452" i="2"/>
  <c r="N1451" i="2"/>
  <c r="K1451" i="2"/>
  <c r="H1451" i="2"/>
  <c r="G1451" i="2"/>
  <c r="F1451" i="2"/>
  <c r="E1451" i="2"/>
  <c r="C1451" i="2"/>
  <c r="B1451" i="2"/>
  <c r="N1450" i="2"/>
  <c r="K1450" i="2"/>
  <c r="H1450" i="2"/>
  <c r="G1450" i="2"/>
  <c r="F1450" i="2"/>
  <c r="E1450" i="2"/>
  <c r="C1450" i="2"/>
  <c r="B1450" i="2"/>
  <c r="N1449" i="2"/>
  <c r="K1449" i="2"/>
  <c r="H1449" i="2"/>
  <c r="G1449" i="2"/>
  <c r="F1449" i="2"/>
  <c r="E1449" i="2"/>
  <c r="C1449" i="2"/>
  <c r="B1449" i="2"/>
  <c r="N1448" i="2"/>
  <c r="K1448" i="2"/>
  <c r="H1448" i="2"/>
  <c r="G1448" i="2"/>
  <c r="F1448" i="2"/>
  <c r="E1448" i="2"/>
  <c r="C1448" i="2"/>
  <c r="B1448" i="2"/>
  <c r="N1447" i="2"/>
  <c r="K1447" i="2"/>
  <c r="H1447" i="2"/>
  <c r="G1447" i="2"/>
  <c r="F1447" i="2"/>
  <c r="E1447" i="2"/>
  <c r="C1447" i="2"/>
  <c r="B1447" i="2"/>
  <c r="N1446" i="2"/>
  <c r="K1446" i="2"/>
  <c r="H1446" i="2"/>
  <c r="G1446" i="2"/>
  <c r="F1446" i="2"/>
  <c r="E1446" i="2"/>
  <c r="C1446" i="2"/>
  <c r="B1446" i="2"/>
  <c r="N1445" i="2"/>
  <c r="K1445" i="2"/>
  <c r="H1445" i="2"/>
  <c r="G1445" i="2"/>
  <c r="F1445" i="2"/>
  <c r="E1445" i="2"/>
  <c r="C1445" i="2"/>
  <c r="B1445" i="2"/>
  <c r="N1444" i="2"/>
  <c r="K1444" i="2"/>
  <c r="H1444" i="2"/>
  <c r="G1444" i="2"/>
  <c r="F1444" i="2"/>
  <c r="E1444" i="2"/>
  <c r="C1444" i="2"/>
  <c r="B1444" i="2"/>
  <c r="N1443" i="2"/>
  <c r="K1443" i="2"/>
  <c r="H1443" i="2"/>
  <c r="G1443" i="2"/>
  <c r="F1443" i="2"/>
  <c r="E1443" i="2"/>
  <c r="C1443" i="2"/>
  <c r="B1443" i="2"/>
  <c r="N1442" i="2"/>
  <c r="K1442" i="2"/>
  <c r="H1442" i="2"/>
  <c r="G1442" i="2"/>
  <c r="F1442" i="2"/>
  <c r="E1442" i="2"/>
  <c r="C1442" i="2"/>
  <c r="B1442" i="2"/>
  <c r="N1441" i="2"/>
  <c r="K1441" i="2"/>
  <c r="H1441" i="2"/>
  <c r="G1441" i="2"/>
  <c r="F1441" i="2"/>
  <c r="E1441" i="2"/>
  <c r="C1441" i="2"/>
  <c r="B1441" i="2"/>
  <c r="N1440" i="2"/>
  <c r="K1440" i="2"/>
  <c r="H1440" i="2"/>
  <c r="G1440" i="2"/>
  <c r="F1440" i="2"/>
  <c r="E1440" i="2"/>
  <c r="C1440" i="2"/>
  <c r="B1440" i="2"/>
  <c r="N1439" i="2"/>
  <c r="K1439" i="2"/>
  <c r="H1439" i="2"/>
  <c r="G1439" i="2"/>
  <c r="F1439" i="2"/>
  <c r="E1439" i="2"/>
  <c r="C1439" i="2"/>
  <c r="B1439" i="2"/>
  <c r="N1438" i="2"/>
  <c r="K1438" i="2"/>
  <c r="H1438" i="2"/>
  <c r="G1438" i="2"/>
  <c r="F1438" i="2"/>
  <c r="E1438" i="2"/>
  <c r="C1438" i="2"/>
  <c r="B1438" i="2"/>
  <c r="N1437" i="2"/>
  <c r="K1437" i="2"/>
  <c r="H1437" i="2"/>
  <c r="G1437" i="2"/>
  <c r="F1437" i="2"/>
  <c r="E1437" i="2"/>
  <c r="C1437" i="2"/>
  <c r="B1437" i="2"/>
  <c r="N1436" i="2"/>
  <c r="K1436" i="2"/>
  <c r="H1436" i="2"/>
  <c r="G1436" i="2"/>
  <c r="F1436" i="2"/>
  <c r="E1436" i="2"/>
  <c r="C1436" i="2"/>
  <c r="B1436" i="2"/>
  <c r="N1435" i="2"/>
  <c r="K1435" i="2"/>
  <c r="H1435" i="2"/>
  <c r="G1435" i="2"/>
  <c r="F1435" i="2"/>
  <c r="E1435" i="2"/>
  <c r="C1435" i="2"/>
  <c r="B1435" i="2"/>
  <c r="N1434" i="2"/>
  <c r="K1434" i="2"/>
  <c r="H1434" i="2"/>
  <c r="G1434" i="2"/>
  <c r="F1434" i="2"/>
  <c r="E1434" i="2"/>
  <c r="C1434" i="2"/>
  <c r="B1434" i="2"/>
  <c r="N1433" i="2"/>
  <c r="K1433" i="2"/>
  <c r="H1433" i="2"/>
  <c r="G1433" i="2"/>
  <c r="F1433" i="2"/>
  <c r="E1433" i="2"/>
  <c r="C1433" i="2"/>
  <c r="B1433" i="2"/>
  <c r="N1432" i="2"/>
  <c r="K1432" i="2"/>
  <c r="H1432" i="2"/>
  <c r="G1432" i="2"/>
  <c r="F1432" i="2"/>
  <c r="E1432" i="2"/>
  <c r="C1432" i="2"/>
  <c r="B1432" i="2"/>
  <c r="N1431" i="2"/>
  <c r="K1431" i="2"/>
  <c r="H1431" i="2"/>
  <c r="G1431" i="2"/>
  <c r="F1431" i="2"/>
  <c r="E1431" i="2"/>
  <c r="C1431" i="2"/>
  <c r="B1431" i="2"/>
  <c r="N1430" i="2"/>
  <c r="K1430" i="2"/>
  <c r="H1430" i="2"/>
  <c r="G1430" i="2"/>
  <c r="F1430" i="2"/>
  <c r="E1430" i="2"/>
  <c r="C1430" i="2"/>
  <c r="B1430" i="2"/>
  <c r="N1429" i="2"/>
  <c r="K1429" i="2"/>
  <c r="H1429" i="2"/>
  <c r="G1429" i="2"/>
  <c r="F1429" i="2"/>
  <c r="E1429" i="2"/>
  <c r="C1429" i="2"/>
  <c r="B1429" i="2"/>
  <c r="N1428" i="2"/>
  <c r="K1428" i="2"/>
  <c r="H1428" i="2"/>
  <c r="G1428" i="2"/>
  <c r="F1428" i="2"/>
  <c r="E1428" i="2"/>
  <c r="C1428" i="2"/>
  <c r="B1428" i="2"/>
  <c r="N1427" i="2"/>
  <c r="K1427" i="2"/>
  <c r="H1427" i="2"/>
  <c r="G1427" i="2"/>
  <c r="F1427" i="2"/>
  <c r="E1427" i="2"/>
  <c r="C1427" i="2"/>
  <c r="B1427" i="2"/>
  <c r="N1426" i="2"/>
  <c r="K1426" i="2"/>
  <c r="H1426" i="2"/>
  <c r="G1426" i="2"/>
  <c r="F1426" i="2"/>
  <c r="E1426" i="2"/>
  <c r="C1426" i="2"/>
  <c r="B1426" i="2"/>
  <c r="N1425" i="2"/>
  <c r="K1425" i="2"/>
  <c r="H1425" i="2"/>
  <c r="G1425" i="2"/>
  <c r="F1425" i="2"/>
  <c r="E1425" i="2"/>
  <c r="C1425" i="2"/>
  <c r="B1425" i="2"/>
  <c r="N1424" i="2"/>
  <c r="K1424" i="2"/>
  <c r="H1424" i="2"/>
  <c r="G1424" i="2"/>
  <c r="F1424" i="2"/>
  <c r="E1424" i="2"/>
  <c r="C1424" i="2"/>
  <c r="B1424" i="2"/>
  <c r="N1423" i="2"/>
  <c r="K1423" i="2"/>
  <c r="H1423" i="2"/>
  <c r="G1423" i="2"/>
  <c r="F1423" i="2"/>
  <c r="E1423" i="2"/>
  <c r="C1423" i="2"/>
  <c r="B1423" i="2"/>
  <c r="N1422" i="2"/>
  <c r="K1422" i="2"/>
  <c r="H1422" i="2"/>
  <c r="G1422" i="2"/>
  <c r="F1422" i="2"/>
  <c r="E1422" i="2"/>
  <c r="C1422" i="2"/>
  <c r="B1422" i="2"/>
  <c r="N1421" i="2"/>
  <c r="K1421" i="2"/>
  <c r="H1421" i="2"/>
  <c r="G1421" i="2"/>
  <c r="F1421" i="2"/>
  <c r="E1421" i="2"/>
  <c r="C1421" i="2"/>
  <c r="B1421" i="2"/>
  <c r="N1420" i="2"/>
  <c r="K1420" i="2"/>
  <c r="H1420" i="2"/>
  <c r="G1420" i="2"/>
  <c r="F1420" i="2"/>
  <c r="E1420" i="2"/>
  <c r="C1420" i="2"/>
  <c r="B1420" i="2"/>
  <c r="N1419" i="2"/>
  <c r="K1419" i="2"/>
  <c r="H1419" i="2"/>
  <c r="G1419" i="2"/>
  <c r="F1419" i="2"/>
  <c r="E1419" i="2"/>
  <c r="C1419" i="2"/>
  <c r="B1419" i="2"/>
  <c r="N1418" i="2"/>
  <c r="K1418" i="2"/>
  <c r="H1418" i="2"/>
  <c r="G1418" i="2"/>
  <c r="F1418" i="2"/>
  <c r="E1418" i="2"/>
  <c r="C1418" i="2"/>
  <c r="B1418" i="2"/>
  <c r="N1417" i="2"/>
  <c r="K1417" i="2"/>
  <c r="H1417" i="2"/>
  <c r="G1417" i="2"/>
  <c r="F1417" i="2"/>
  <c r="E1417" i="2"/>
  <c r="C1417" i="2"/>
  <c r="B1417" i="2"/>
  <c r="N1416" i="2"/>
  <c r="K1416" i="2"/>
  <c r="H1416" i="2"/>
  <c r="G1416" i="2"/>
  <c r="F1416" i="2"/>
  <c r="E1416" i="2"/>
  <c r="C1416" i="2"/>
  <c r="B1416" i="2"/>
  <c r="N1415" i="2"/>
  <c r="K1415" i="2"/>
  <c r="H1415" i="2"/>
  <c r="G1415" i="2"/>
  <c r="F1415" i="2"/>
  <c r="E1415" i="2"/>
  <c r="C1415" i="2"/>
  <c r="B1415" i="2"/>
  <c r="N1414" i="2"/>
  <c r="K1414" i="2"/>
  <c r="H1414" i="2"/>
  <c r="G1414" i="2"/>
  <c r="F1414" i="2"/>
  <c r="E1414" i="2"/>
  <c r="C1414" i="2"/>
  <c r="B1414" i="2"/>
  <c r="N1413" i="2"/>
  <c r="K1413" i="2"/>
  <c r="H1413" i="2"/>
  <c r="G1413" i="2"/>
  <c r="F1413" i="2"/>
  <c r="E1413" i="2"/>
  <c r="C1413" i="2"/>
  <c r="B1413" i="2"/>
  <c r="N1412" i="2"/>
  <c r="K1412" i="2"/>
  <c r="H1412" i="2"/>
  <c r="G1412" i="2"/>
  <c r="F1412" i="2"/>
  <c r="E1412" i="2"/>
  <c r="C1412" i="2"/>
  <c r="B1412" i="2"/>
  <c r="N1411" i="2"/>
  <c r="K1411" i="2"/>
  <c r="H1411" i="2"/>
  <c r="G1411" i="2"/>
  <c r="F1411" i="2"/>
  <c r="E1411" i="2"/>
  <c r="C1411" i="2"/>
  <c r="B1411" i="2"/>
  <c r="N1410" i="2"/>
  <c r="K1410" i="2"/>
  <c r="H1410" i="2"/>
  <c r="G1410" i="2"/>
  <c r="F1410" i="2"/>
  <c r="E1410" i="2"/>
  <c r="C1410" i="2"/>
  <c r="B1410" i="2"/>
  <c r="N1409" i="2"/>
  <c r="K1409" i="2"/>
  <c r="H1409" i="2"/>
  <c r="G1409" i="2"/>
  <c r="F1409" i="2"/>
  <c r="E1409" i="2"/>
  <c r="C1409" i="2"/>
  <c r="B1409" i="2"/>
  <c r="N1408" i="2"/>
  <c r="K1408" i="2"/>
  <c r="H1408" i="2"/>
  <c r="G1408" i="2"/>
  <c r="F1408" i="2"/>
  <c r="E1408" i="2"/>
  <c r="C1408" i="2"/>
  <c r="B1408" i="2"/>
  <c r="N1407" i="2"/>
  <c r="K1407" i="2"/>
  <c r="H1407" i="2"/>
  <c r="G1407" i="2"/>
  <c r="F1407" i="2"/>
  <c r="E1407" i="2"/>
  <c r="C1407" i="2"/>
  <c r="B1407" i="2"/>
  <c r="N1406" i="2"/>
  <c r="K1406" i="2"/>
  <c r="G1406" i="2"/>
  <c r="F1406" i="2"/>
  <c r="E1406" i="2"/>
  <c r="C1406" i="2"/>
  <c r="B1406" i="2"/>
  <c r="N1405" i="2"/>
  <c r="K1405" i="2"/>
  <c r="H1405" i="2"/>
  <c r="G1405" i="2"/>
  <c r="F1405" i="2"/>
  <c r="E1405" i="2"/>
  <c r="C1405" i="2"/>
  <c r="B1405" i="2"/>
  <c r="N1404" i="2"/>
  <c r="K1404" i="2"/>
  <c r="H1404" i="2"/>
  <c r="G1404" i="2"/>
  <c r="F1404" i="2"/>
  <c r="E1404" i="2"/>
  <c r="C1404" i="2"/>
  <c r="B1404" i="2"/>
  <c r="N1403" i="2"/>
  <c r="K1403" i="2"/>
  <c r="H1403" i="2"/>
  <c r="G1403" i="2"/>
  <c r="F1403" i="2"/>
  <c r="E1403" i="2"/>
  <c r="C1403" i="2"/>
  <c r="B1403" i="2"/>
  <c r="N1402" i="2"/>
  <c r="K1402" i="2"/>
  <c r="H1402" i="2"/>
  <c r="G1402" i="2"/>
  <c r="F1402" i="2"/>
  <c r="E1402" i="2"/>
  <c r="C1402" i="2"/>
  <c r="B1402" i="2"/>
  <c r="N1401" i="2"/>
  <c r="K1401" i="2"/>
  <c r="H1401" i="2"/>
  <c r="G1401" i="2"/>
  <c r="F1401" i="2"/>
  <c r="E1401" i="2"/>
  <c r="C1401" i="2"/>
  <c r="B1401" i="2"/>
  <c r="N1400" i="2"/>
  <c r="K1400" i="2"/>
  <c r="H1400" i="2"/>
  <c r="G1400" i="2"/>
  <c r="F1400" i="2"/>
  <c r="E1400" i="2"/>
  <c r="C1400" i="2"/>
  <c r="B1400" i="2"/>
  <c r="N1399" i="2"/>
  <c r="K1399" i="2"/>
  <c r="H1399" i="2"/>
  <c r="G1399" i="2"/>
  <c r="F1399" i="2"/>
  <c r="E1399" i="2"/>
  <c r="C1399" i="2"/>
  <c r="B1399" i="2"/>
  <c r="N1398" i="2"/>
  <c r="K1398" i="2"/>
  <c r="H1398" i="2"/>
  <c r="G1398" i="2"/>
  <c r="F1398" i="2"/>
  <c r="E1398" i="2"/>
  <c r="C1398" i="2"/>
  <c r="B1398" i="2"/>
  <c r="N1397" i="2"/>
  <c r="K1397" i="2"/>
  <c r="H1397" i="2"/>
  <c r="G1397" i="2"/>
  <c r="F1397" i="2"/>
  <c r="E1397" i="2"/>
  <c r="C1397" i="2"/>
  <c r="B1397" i="2"/>
  <c r="N1396" i="2"/>
  <c r="K1396" i="2"/>
  <c r="H1396" i="2"/>
  <c r="G1396" i="2"/>
  <c r="F1396" i="2"/>
  <c r="E1396" i="2"/>
  <c r="C1396" i="2"/>
  <c r="B1396" i="2"/>
  <c r="N1395" i="2"/>
  <c r="K1395" i="2"/>
  <c r="H1395" i="2"/>
  <c r="G1395" i="2"/>
  <c r="F1395" i="2"/>
  <c r="E1395" i="2"/>
  <c r="C1395" i="2"/>
  <c r="B1395" i="2"/>
  <c r="N1394" i="2"/>
  <c r="K1394" i="2"/>
  <c r="H1394" i="2"/>
  <c r="G1394" i="2"/>
  <c r="F1394" i="2"/>
  <c r="E1394" i="2"/>
  <c r="C1394" i="2"/>
  <c r="B1394" i="2"/>
  <c r="N1393" i="2"/>
  <c r="K1393" i="2"/>
  <c r="H1393" i="2"/>
  <c r="G1393" i="2"/>
  <c r="F1393" i="2"/>
  <c r="E1393" i="2"/>
  <c r="C1393" i="2"/>
  <c r="B1393" i="2"/>
  <c r="N1392" i="2"/>
  <c r="K1392" i="2"/>
  <c r="H1392" i="2"/>
  <c r="G1392" i="2"/>
  <c r="F1392" i="2"/>
  <c r="E1392" i="2"/>
  <c r="C1392" i="2"/>
  <c r="B1392" i="2"/>
  <c r="N1391" i="2"/>
  <c r="K1391" i="2"/>
  <c r="H1391" i="2"/>
  <c r="G1391" i="2"/>
  <c r="F1391" i="2"/>
  <c r="E1391" i="2"/>
  <c r="C1391" i="2"/>
  <c r="B1391" i="2"/>
  <c r="N1390" i="2"/>
  <c r="K1390" i="2"/>
  <c r="H1390" i="2"/>
  <c r="G1390" i="2"/>
  <c r="F1390" i="2"/>
  <c r="E1390" i="2"/>
  <c r="C1390" i="2"/>
  <c r="B1390" i="2"/>
  <c r="N1389" i="2"/>
  <c r="K1389" i="2"/>
  <c r="H1389" i="2"/>
  <c r="G1389" i="2"/>
  <c r="F1389" i="2"/>
  <c r="E1389" i="2"/>
  <c r="C1389" i="2"/>
  <c r="B1389" i="2"/>
  <c r="N1388" i="2"/>
  <c r="K1388" i="2"/>
  <c r="H1388" i="2"/>
  <c r="G1388" i="2"/>
  <c r="F1388" i="2"/>
  <c r="E1388" i="2"/>
  <c r="C1388" i="2"/>
  <c r="B1388" i="2"/>
  <c r="N1387" i="2"/>
  <c r="K1387" i="2"/>
  <c r="H1387" i="2"/>
  <c r="G1387" i="2"/>
  <c r="F1387" i="2"/>
  <c r="E1387" i="2"/>
  <c r="C1387" i="2"/>
  <c r="B1387" i="2"/>
  <c r="N1386" i="2"/>
  <c r="K1386" i="2"/>
  <c r="H1386" i="2"/>
  <c r="G1386" i="2"/>
  <c r="F1386" i="2"/>
  <c r="E1386" i="2"/>
  <c r="C1386" i="2"/>
  <c r="B1386" i="2"/>
  <c r="N1385" i="2"/>
  <c r="K1385" i="2"/>
  <c r="H1385" i="2"/>
  <c r="G1385" i="2"/>
  <c r="F1385" i="2"/>
  <c r="E1385" i="2"/>
  <c r="C1385" i="2"/>
  <c r="B1385" i="2"/>
  <c r="N1384" i="2"/>
  <c r="K1384" i="2"/>
  <c r="H1384" i="2"/>
  <c r="G1384" i="2"/>
  <c r="F1384" i="2"/>
  <c r="E1384" i="2"/>
  <c r="C1384" i="2"/>
  <c r="B1384" i="2"/>
  <c r="N1383" i="2"/>
  <c r="K1383" i="2"/>
  <c r="H1383" i="2"/>
  <c r="G1383" i="2"/>
  <c r="F1383" i="2"/>
  <c r="E1383" i="2"/>
  <c r="C1383" i="2"/>
  <c r="B1383" i="2"/>
  <c r="N1382" i="2"/>
  <c r="K1382" i="2"/>
  <c r="H1382" i="2"/>
  <c r="G1382" i="2"/>
  <c r="F1382" i="2"/>
  <c r="E1382" i="2"/>
  <c r="C1382" i="2"/>
  <c r="B1382" i="2"/>
  <c r="N1381" i="2"/>
  <c r="K1381" i="2"/>
  <c r="H1381" i="2"/>
  <c r="G1381" i="2"/>
  <c r="F1381" i="2"/>
  <c r="E1381" i="2"/>
  <c r="C1381" i="2"/>
  <c r="B1381" i="2"/>
  <c r="N1380" i="2"/>
  <c r="K1380" i="2"/>
  <c r="H1380" i="2"/>
  <c r="G1380" i="2"/>
  <c r="F1380" i="2"/>
  <c r="E1380" i="2"/>
  <c r="C1380" i="2"/>
  <c r="B1380" i="2"/>
  <c r="N1379" i="2"/>
  <c r="K1379" i="2"/>
  <c r="H1379" i="2"/>
  <c r="G1379" i="2"/>
  <c r="F1379" i="2"/>
  <c r="E1379" i="2"/>
  <c r="C1379" i="2"/>
  <c r="B1379" i="2"/>
  <c r="N1378" i="2"/>
  <c r="K1378" i="2"/>
  <c r="H1378" i="2"/>
  <c r="G1378" i="2"/>
  <c r="F1378" i="2"/>
  <c r="E1378" i="2"/>
  <c r="C1378" i="2"/>
  <c r="B1378" i="2"/>
  <c r="N1377" i="2"/>
  <c r="K1377" i="2"/>
  <c r="H1377" i="2"/>
  <c r="G1377" i="2"/>
  <c r="F1377" i="2"/>
  <c r="E1377" i="2"/>
  <c r="C1377" i="2"/>
  <c r="B1377" i="2"/>
  <c r="N1376" i="2"/>
  <c r="K1376" i="2"/>
  <c r="H1376" i="2"/>
  <c r="G1376" i="2"/>
  <c r="F1376" i="2"/>
  <c r="E1376" i="2"/>
  <c r="C1376" i="2"/>
  <c r="B1376" i="2"/>
  <c r="N1375" i="2"/>
  <c r="K1375" i="2"/>
  <c r="H1375" i="2"/>
  <c r="G1375" i="2"/>
  <c r="F1375" i="2"/>
  <c r="E1375" i="2"/>
  <c r="C1375" i="2"/>
  <c r="B1375" i="2"/>
  <c r="N1374" i="2"/>
  <c r="K1374" i="2"/>
  <c r="H1374" i="2"/>
  <c r="G1374" i="2"/>
  <c r="F1374" i="2"/>
  <c r="E1374" i="2"/>
  <c r="C1374" i="2"/>
  <c r="B1374" i="2"/>
  <c r="N1373" i="2"/>
  <c r="K1373" i="2"/>
  <c r="H1373" i="2"/>
  <c r="G1373" i="2"/>
  <c r="F1373" i="2"/>
  <c r="E1373" i="2"/>
  <c r="C1373" i="2"/>
  <c r="B1373" i="2"/>
  <c r="N1372" i="2"/>
  <c r="K1372" i="2"/>
  <c r="H1372" i="2"/>
  <c r="G1372" i="2"/>
  <c r="F1372" i="2"/>
  <c r="E1372" i="2"/>
  <c r="C1372" i="2"/>
  <c r="B1372" i="2"/>
  <c r="N1371" i="2"/>
  <c r="K1371" i="2"/>
  <c r="H1371" i="2"/>
  <c r="G1371" i="2"/>
  <c r="F1371" i="2"/>
  <c r="E1371" i="2"/>
  <c r="C1371" i="2"/>
  <c r="B1371" i="2"/>
  <c r="N1370" i="2"/>
  <c r="K1370" i="2"/>
  <c r="H1370" i="2"/>
  <c r="G1370" i="2"/>
  <c r="F1370" i="2"/>
  <c r="E1370" i="2"/>
  <c r="C1370" i="2"/>
  <c r="B1370" i="2"/>
  <c r="N1369" i="2"/>
  <c r="K1369" i="2"/>
  <c r="H1369" i="2"/>
  <c r="G1369" i="2"/>
  <c r="F1369" i="2"/>
  <c r="E1369" i="2"/>
  <c r="C1369" i="2"/>
  <c r="B1369" i="2"/>
  <c r="N1368" i="2"/>
  <c r="K1368" i="2"/>
  <c r="H1368" i="2"/>
  <c r="G1368" i="2"/>
  <c r="F1368" i="2"/>
  <c r="E1368" i="2"/>
  <c r="C1368" i="2"/>
  <c r="B1368" i="2"/>
  <c r="N1367" i="2"/>
  <c r="K1367" i="2"/>
  <c r="H1367" i="2"/>
  <c r="G1367" i="2"/>
  <c r="F1367" i="2"/>
  <c r="E1367" i="2"/>
  <c r="C1367" i="2"/>
  <c r="B1367" i="2"/>
  <c r="N1366" i="2"/>
  <c r="K1366" i="2"/>
  <c r="H1366" i="2"/>
  <c r="G1366" i="2"/>
  <c r="F1366" i="2"/>
  <c r="E1366" i="2"/>
  <c r="C1366" i="2"/>
  <c r="B1366" i="2"/>
  <c r="N1365" i="2"/>
  <c r="K1365" i="2"/>
  <c r="H1365" i="2"/>
  <c r="G1365" i="2"/>
  <c r="F1365" i="2"/>
  <c r="E1365" i="2"/>
  <c r="C1365" i="2"/>
  <c r="B1365" i="2"/>
  <c r="N1364" i="2"/>
  <c r="K1364" i="2"/>
  <c r="H1364" i="2"/>
  <c r="G1364" i="2"/>
  <c r="F1364" i="2"/>
  <c r="E1364" i="2"/>
  <c r="C1364" i="2"/>
  <c r="B1364" i="2"/>
  <c r="N1363" i="2"/>
  <c r="K1363" i="2"/>
  <c r="H1363" i="2"/>
  <c r="G1363" i="2"/>
  <c r="F1363" i="2"/>
  <c r="E1363" i="2"/>
  <c r="C1363" i="2"/>
  <c r="B1363" i="2"/>
  <c r="N1362" i="2"/>
  <c r="K1362" i="2"/>
  <c r="H1362" i="2"/>
  <c r="G1362" i="2"/>
  <c r="F1362" i="2"/>
  <c r="E1362" i="2"/>
  <c r="C1362" i="2"/>
  <c r="B1362" i="2"/>
  <c r="N1361" i="2"/>
  <c r="K1361" i="2"/>
  <c r="H1361" i="2"/>
  <c r="G1361" i="2"/>
  <c r="F1361" i="2"/>
  <c r="E1361" i="2"/>
  <c r="C1361" i="2"/>
  <c r="B1361" i="2"/>
  <c r="N1360" i="2"/>
  <c r="K1360" i="2"/>
  <c r="H1360" i="2"/>
  <c r="G1360" i="2"/>
  <c r="F1360" i="2"/>
  <c r="E1360" i="2"/>
  <c r="C1360" i="2"/>
  <c r="B1360" i="2"/>
  <c r="N1359" i="2"/>
  <c r="K1359" i="2"/>
  <c r="H1359" i="2"/>
  <c r="G1359" i="2"/>
  <c r="F1359" i="2"/>
  <c r="E1359" i="2"/>
  <c r="C1359" i="2"/>
  <c r="B1359" i="2"/>
  <c r="N1358" i="2"/>
  <c r="K1358" i="2"/>
  <c r="H1358" i="2"/>
  <c r="G1358" i="2"/>
  <c r="F1358" i="2"/>
  <c r="E1358" i="2"/>
  <c r="C1358" i="2"/>
  <c r="B1358" i="2"/>
  <c r="N1357" i="2"/>
  <c r="K1357" i="2"/>
  <c r="H1357" i="2"/>
  <c r="G1357" i="2"/>
  <c r="F1357" i="2"/>
  <c r="E1357" i="2"/>
  <c r="C1357" i="2"/>
  <c r="B1357" i="2"/>
  <c r="N1356" i="2"/>
  <c r="K1356" i="2"/>
  <c r="H1356" i="2"/>
  <c r="G1356" i="2"/>
  <c r="F1356" i="2"/>
  <c r="E1356" i="2"/>
  <c r="C1356" i="2"/>
  <c r="B1356" i="2"/>
  <c r="N1355" i="2"/>
  <c r="K1355" i="2"/>
  <c r="H1355" i="2"/>
  <c r="G1355" i="2"/>
  <c r="F1355" i="2"/>
  <c r="E1355" i="2"/>
  <c r="C1355" i="2"/>
  <c r="B1355" i="2"/>
  <c r="N1354" i="2"/>
  <c r="K1354" i="2"/>
  <c r="H1354" i="2"/>
  <c r="G1354" i="2"/>
  <c r="F1354" i="2"/>
  <c r="E1354" i="2"/>
  <c r="C1354" i="2"/>
  <c r="B1354" i="2"/>
  <c r="N1353" i="2"/>
  <c r="K1353" i="2"/>
  <c r="H1353" i="2"/>
  <c r="G1353" i="2"/>
  <c r="F1353" i="2"/>
  <c r="E1353" i="2"/>
  <c r="C1353" i="2"/>
  <c r="B1353" i="2"/>
  <c r="N1352" i="2"/>
  <c r="K1352" i="2"/>
  <c r="H1352" i="2"/>
  <c r="G1352" i="2"/>
  <c r="F1352" i="2"/>
  <c r="E1352" i="2"/>
  <c r="C1352" i="2"/>
  <c r="B1352" i="2"/>
  <c r="N1351" i="2"/>
  <c r="K1351" i="2"/>
  <c r="H1351" i="2"/>
  <c r="G1351" i="2"/>
  <c r="F1351" i="2"/>
  <c r="E1351" i="2"/>
  <c r="C1351" i="2"/>
  <c r="B1351" i="2"/>
  <c r="N1350" i="2"/>
  <c r="K1350" i="2"/>
  <c r="H1350" i="2"/>
  <c r="G1350" i="2"/>
  <c r="F1350" i="2"/>
  <c r="E1350" i="2"/>
  <c r="C1350" i="2"/>
  <c r="B1350" i="2"/>
  <c r="N1349" i="2"/>
  <c r="K1349" i="2"/>
  <c r="H1349" i="2"/>
  <c r="G1349" i="2"/>
  <c r="F1349" i="2"/>
  <c r="E1349" i="2"/>
  <c r="C1349" i="2"/>
  <c r="B1349" i="2"/>
  <c r="N1348" i="2"/>
  <c r="K1348" i="2"/>
  <c r="H1348" i="2"/>
  <c r="G1348" i="2"/>
  <c r="F1348" i="2"/>
  <c r="E1348" i="2"/>
  <c r="C1348" i="2"/>
  <c r="B1348" i="2"/>
  <c r="N1347" i="2"/>
  <c r="K1347" i="2"/>
  <c r="H1347" i="2"/>
  <c r="G1347" i="2"/>
  <c r="F1347" i="2"/>
  <c r="E1347" i="2"/>
  <c r="C1347" i="2"/>
  <c r="B1347" i="2"/>
  <c r="N1346" i="2"/>
  <c r="K1346" i="2"/>
  <c r="H1346" i="2"/>
  <c r="G1346" i="2"/>
  <c r="F1346" i="2"/>
  <c r="E1346" i="2"/>
  <c r="C1346" i="2"/>
  <c r="B1346" i="2"/>
  <c r="N1345" i="2"/>
  <c r="K1345" i="2"/>
  <c r="H1345" i="2"/>
  <c r="G1345" i="2"/>
  <c r="F1345" i="2"/>
  <c r="E1345" i="2"/>
  <c r="C1345" i="2"/>
  <c r="B1345" i="2"/>
  <c r="N1344" i="2"/>
  <c r="K1344" i="2"/>
  <c r="H1344" i="2"/>
  <c r="G1344" i="2"/>
  <c r="F1344" i="2"/>
  <c r="E1344" i="2"/>
  <c r="C1344" i="2"/>
  <c r="B1344" i="2"/>
  <c r="N1343" i="2"/>
  <c r="K1343" i="2"/>
  <c r="H1343" i="2"/>
  <c r="G1343" i="2"/>
  <c r="F1343" i="2"/>
  <c r="E1343" i="2"/>
  <c r="C1343" i="2"/>
  <c r="B1343" i="2"/>
  <c r="N1342" i="2"/>
  <c r="K1342" i="2"/>
  <c r="H1342" i="2"/>
  <c r="G1342" i="2"/>
  <c r="F1342" i="2"/>
  <c r="E1342" i="2"/>
  <c r="C1342" i="2"/>
  <c r="B1342" i="2"/>
  <c r="N1341" i="2"/>
  <c r="K1341" i="2"/>
  <c r="H1341" i="2"/>
  <c r="G1341" i="2"/>
  <c r="F1341" i="2"/>
  <c r="E1341" i="2"/>
  <c r="C1341" i="2"/>
  <c r="B1341" i="2"/>
  <c r="N1340" i="2"/>
  <c r="K1340" i="2"/>
  <c r="H1340" i="2"/>
  <c r="G1340" i="2"/>
  <c r="F1340" i="2"/>
  <c r="E1340" i="2"/>
  <c r="C1340" i="2"/>
  <c r="B1340" i="2"/>
  <c r="N1339" i="2"/>
  <c r="K1339" i="2"/>
  <c r="H1339" i="2"/>
  <c r="G1339" i="2"/>
  <c r="F1339" i="2"/>
  <c r="E1339" i="2"/>
  <c r="C1339" i="2"/>
  <c r="B1339" i="2"/>
  <c r="N1338" i="2"/>
  <c r="K1338" i="2"/>
  <c r="H1338" i="2"/>
  <c r="G1338" i="2"/>
  <c r="F1338" i="2"/>
  <c r="E1338" i="2"/>
  <c r="C1338" i="2"/>
  <c r="B1338" i="2"/>
  <c r="N1337" i="2"/>
  <c r="K1337" i="2"/>
  <c r="H1337" i="2"/>
  <c r="G1337" i="2"/>
  <c r="F1337" i="2"/>
  <c r="E1337" i="2"/>
  <c r="C1337" i="2"/>
  <c r="B1337" i="2"/>
  <c r="N1336" i="2"/>
  <c r="K1336" i="2"/>
  <c r="H1336" i="2"/>
  <c r="G1336" i="2"/>
  <c r="F1336" i="2"/>
  <c r="E1336" i="2"/>
  <c r="C1336" i="2"/>
  <c r="B1336" i="2"/>
  <c r="N1335" i="2"/>
  <c r="K1335" i="2"/>
  <c r="H1335" i="2"/>
  <c r="G1335" i="2"/>
  <c r="F1335" i="2"/>
  <c r="E1335" i="2"/>
  <c r="C1335" i="2"/>
  <c r="B1335" i="2"/>
  <c r="N1334" i="2"/>
  <c r="K1334" i="2"/>
  <c r="H1334" i="2"/>
  <c r="G1334" i="2"/>
  <c r="F1334" i="2"/>
  <c r="E1334" i="2"/>
  <c r="C1334" i="2"/>
  <c r="B1334" i="2"/>
  <c r="N1333" i="2"/>
  <c r="K1333" i="2"/>
  <c r="H1333" i="2"/>
  <c r="G1333" i="2"/>
  <c r="F1333" i="2"/>
  <c r="E1333" i="2"/>
  <c r="C1333" i="2"/>
  <c r="B1333" i="2"/>
  <c r="N1332" i="2"/>
  <c r="K1332" i="2"/>
  <c r="H1332" i="2"/>
  <c r="G1332" i="2"/>
  <c r="F1332" i="2"/>
  <c r="E1332" i="2"/>
  <c r="C1332" i="2"/>
  <c r="B1332" i="2"/>
  <c r="N1331" i="2"/>
  <c r="K1331" i="2"/>
  <c r="H1331" i="2"/>
  <c r="G1331" i="2"/>
  <c r="F1331" i="2"/>
  <c r="E1331" i="2"/>
  <c r="C1331" i="2"/>
  <c r="B1331" i="2"/>
  <c r="N1330" i="2"/>
  <c r="K1330" i="2"/>
  <c r="H1330" i="2"/>
  <c r="G1330" i="2"/>
  <c r="F1330" i="2"/>
  <c r="E1330" i="2"/>
  <c r="C1330" i="2"/>
  <c r="B1330" i="2"/>
  <c r="N1329" i="2"/>
  <c r="K1329" i="2"/>
  <c r="H1329" i="2"/>
  <c r="G1329" i="2"/>
  <c r="F1329" i="2"/>
  <c r="E1329" i="2"/>
  <c r="C1329" i="2"/>
  <c r="B1329" i="2"/>
  <c r="N1328" i="2"/>
  <c r="K1328" i="2"/>
  <c r="H1328" i="2"/>
  <c r="G1328" i="2"/>
  <c r="F1328" i="2"/>
  <c r="E1328" i="2"/>
  <c r="C1328" i="2"/>
  <c r="B1328" i="2"/>
  <c r="N1327" i="2"/>
  <c r="K1327" i="2"/>
  <c r="H1327" i="2"/>
  <c r="G1327" i="2"/>
  <c r="F1327" i="2"/>
  <c r="E1327" i="2"/>
  <c r="C1327" i="2"/>
  <c r="B1327" i="2"/>
  <c r="N1326" i="2"/>
  <c r="K1326" i="2"/>
  <c r="H1326" i="2"/>
  <c r="G1326" i="2"/>
  <c r="F1326" i="2"/>
  <c r="E1326" i="2"/>
  <c r="C1326" i="2"/>
  <c r="B1326" i="2"/>
  <c r="N1325" i="2"/>
  <c r="K1325" i="2"/>
  <c r="H1325" i="2"/>
  <c r="G1325" i="2"/>
  <c r="F1325" i="2"/>
  <c r="E1325" i="2"/>
  <c r="C1325" i="2"/>
  <c r="B1325" i="2"/>
  <c r="N1324" i="2"/>
  <c r="K1324" i="2"/>
  <c r="H1324" i="2"/>
  <c r="G1324" i="2"/>
  <c r="F1324" i="2"/>
  <c r="E1324" i="2"/>
  <c r="C1324" i="2"/>
  <c r="B1324" i="2"/>
  <c r="N1323" i="2"/>
  <c r="K1323" i="2"/>
  <c r="H1323" i="2"/>
  <c r="G1323" i="2"/>
  <c r="F1323" i="2"/>
  <c r="E1323" i="2"/>
  <c r="C1323" i="2"/>
  <c r="B1323" i="2"/>
  <c r="N1322" i="2"/>
  <c r="K1322" i="2"/>
  <c r="H1322" i="2"/>
  <c r="G1322" i="2"/>
  <c r="F1322" i="2"/>
  <c r="E1322" i="2"/>
  <c r="C1322" i="2"/>
  <c r="B1322" i="2"/>
  <c r="N1321" i="2"/>
  <c r="K1321" i="2"/>
  <c r="H1321" i="2"/>
  <c r="G1321" i="2"/>
  <c r="F1321" i="2"/>
  <c r="E1321" i="2"/>
  <c r="C1321" i="2"/>
  <c r="B1321" i="2"/>
  <c r="N1320" i="2"/>
  <c r="K1320" i="2"/>
  <c r="H1320" i="2"/>
  <c r="G1320" i="2"/>
  <c r="F1320" i="2"/>
  <c r="E1320" i="2"/>
  <c r="C1320" i="2"/>
  <c r="B1320" i="2"/>
  <c r="N1319" i="2"/>
  <c r="K1319" i="2"/>
  <c r="H1319" i="2"/>
  <c r="G1319" i="2"/>
  <c r="F1319" i="2"/>
  <c r="E1319" i="2"/>
  <c r="C1319" i="2"/>
  <c r="B1319" i="2"/>
  <c r="N1318" i="2"/>
  <c r="K1318" i="2"/>
  <c r="H1318" i="2"/>
  <c r="G1318" i="2"/>
  <c r="F1318" i="2"/>
  <c r="E1318" i="2"/>
  <c r="C1318" i="2"/>
  <c r="B1318" i="2"/>
  <c r="N1317" i="2"/>
  <c r="K1317" i="2"/>
  <c r="H1317" i="2"/>
  <c r="G1317" i="2"/>
  <c r="F1317" i="2"/>
  <c r="E1317" i="2"/>
  <c r="C1317" i="2"/>
  <c r="B1317" i="2"/>
  <c r="N1316" i="2"/>
  <c r="K1316" i="2"/>
  <c r="H1316" i="2"/>
  <c r="G1316" i="2"/>
  <c r="F1316" i="2"/>
  <c r="E1316" i="2"/>
  <c r="C1316" i="2"/>
  <c r="B1316" i="2"/>
  <c r="N1315" i="2"/>
  <c r="K1315" i="2"/>
  <c r="H1315" i="2"/>
  <c r="G1315" i="2"/>
  <c r="F1315" i="2"/>
  <c r="E1315" i="2"/>
  <c r="C1315" i="2"/>
  <c r="B1315" i="2"/>
  <c r="N1314" i="2"/>
  <c r="K1314" i="2"/>
  <c r="H1314" i="2"/>
  <c r="G1314" i="2"/>
  <c r="F1314" i="2"/>
  <c r="E1314" i="2"/>
  <c r="C1314" i="2"/>
  <c r="B1314" i="2"/>
  <c r="N1313" i="2"/>
  <c r="K1313" i="2"/>
  <c r="H1313" i="2"/>
  <c r="G1313" i="2"/>
  <c r="F1313" i="2"/>
  <c r="E1313" i="2"/>
  <c r="C1313" i="2"/>
  <c r="B1313" i="2"/>
  <c r="N1312" i="2"/>
  <c r="K1312" i="2"/>
  <c r="H1312" i="2"/>
  <c r="G1312" i="2"/>
  <c r="F1312" i="2"/>
  <c r="E1312" i="2"/>
  <c r="C1312" i="2"/>
  <c r="B1312" i="2"/>
  <c r="N1311" i="2"/>
  <c r="K1311" i="2"/>
  <c r="H1311" i="2"/>
  <c r="G1311" i="2"/>
  <c r="F1311" i="2"/>
  <c r="E1311" i="2"/>
  <c r="C1311" i="2"/>
  <c r="B1311" i="2"/>
  <c r="N1310" i="2"/>
  <c r="K1310" i="2"/>
  <c r="H1310" i="2"/>
  <c r="G1310" i="2"/>
  <c r="F1310" i="2"/>
  <c r="E1310" i="2"/>
  <c r="C1310" i="2"/>
  <c r="B1310" i="2"/>
  <c r="N1309" i="2"/>
  <c r="K1309" i="2"/>
  <c r="H1309" i="2"/>
  <c r="G1309" i="2"/>
  <c r="F1309" i="2"/>
  <c r="E1309" i="2"/>
  <c r="C1309" i="2"/>
  <c r="B1309" i="2"/>
  <c r="N1308" i="2"/>
  <c r="K1308" i="2"/>
  <c r="H1308" i="2"/>
  <c r="G1308" i="2"/>
  <c r="F1308" i="2"/>
  <c r="E1308" i="2"/>
  <c r="C1308" i="2"/>
  <c r="B1308" i="2"/>
  <c r="N1307" i="2"/>
  <c r="K1307" i="2"/>
  <c r="H1307" i="2"/>
  <c r="G1307" i="2"/>
  <c r="F1307" i="2"/>
  <c r="E1307" i="2"/>
  <c r="C1307" i="2"/>
  <c r="B1307" i="2"/>
  <c r="N1306" i="2"/>
  <c r="K1306" i="2"/>
  <c r="H1306" i="2"/>
  <c r="G1306" i="2"/>
  <c r="F1306" i="2"/>
  <c r="E1306" i="2"/>
  <c r="C1306" i="2"/>
  <c r="B1306" i="2"/>
  <c r="N1305" i="2"/>
  <c r="K1305" i="2"/>
  <c r="H1305" i="2"/>
  <c r="G1305" i="2"/>
  <c r="F1305" i="2"/>
  <c r="E1305" i="2"/>
  <c r="C1305" i="2"/>
  <c r="B1305" i="2"/>
  <c r="N1304" i="2"/>
  <c r="K1304" i="2"/>
  <c r="H1304" i="2"/>
  <c r="G1304" i="2"/>
  <c r="F1304" i="2"/>
  <c r="E1304" i="2"/>
  <c r="C1304" i="2"/>
  <c r="B1304" i="2"/>
  <c r="N1303" i="2"/>
  <c r="K1303" i="2"/>
  <c r="H1303" i="2"/>
  <c r="G1303" i="2"/>
  <c r="F1303" i="2"/>
  <c r="E1303" i="2"/>
  <c r="C1303" i="2"/>
  <c r="B1303" i="2"/>
  <c r="N1302" i="2"/>
  <c r="K1302" i="2"/>
  <c r="H1302" i="2"/>
  <c r="G1302" i="2"/>
  <c r="F1302" i="2"/>
  <c r="E1302" i="2"/>
  <c r="C1302" i="2"/>
  <c r="B1302" i="2"/>
  <c r="N1301" i="2"/>
  <c r="K1301" i="2"/>
  <c r="H1301" i="2"/>
  <c r="G1301" i="2"/>
  <c r="F1301" i="2"/>
  <c r="E1301" i="2"/>
  <c r="C1301" i="2"/>
  <c r="B1301" i="2"/>
  <c r="N1300" i="2"/>
  <c r="K1300" i="2"/>
  <c r="H1300" i="2"/>
  <c r="G1300" i="2"/>
  <c r="F1300" i="2"/>
  <c r="E1300" i="2"/>
  <c r="C1300" i="2"/>
  <c r="B1300" i="2"/>
  <c r="N1299" i="2"/>
  <c r="K1299" i="2"/>
  <c r="H1299" i="2"/>
  <c r="G1299" i="2"/>
  <c r="F1299" i="2"/>
  <c r="E1299" i="2"/>
  <c r="C1299" i="2"/>
  <c r="B1299" i="2"/>
  <c r="N1298" i="2"/>
  <c r="K1298" i="2"/>
  <c r="H1298" i="2"/>
  <c r="G1298" i="2"/>
  <c r="F1298" i="2"/>
  <c r="E1298" i="2"/>
  <c r="C1298" i="2"/>
  <c r="B1298" i="2"/>
  <c r="N1297" i="2"/>
  <c r="K1297" i="2"/>
  <c r="H1297" i="2"/>
  <c r="G1297" i="2"/>
  <c r="F1297" i="2"/>
  <c r="E1297" i="2"/>
  <c r="C1297" i="2"/>
  <c r="B1297" i="2"/>
  <c r="N1296" i="2"/>
  <c r="K1296" i="2"/>
  <c r="H1296" i="2"/>
  <c r="G1296" i="2"/>
  <c r="F1296" i="2"/>
  <c r="E1296" i="2"/>
  <c r="C1296" i="2"/>
  <c r="B1296" i="2"/>
  <c r="N1295" i="2"/>
  <c r="K1295" i="2"/>
  <c r="H1295" i="2"/>
  <c r="G1295" i="2"/>
  <c r="F1295" i="2"/>
  <c r="E1295" i="2"/>
  <c r="C1295" i="2"/>
  <c r="B1295" i="2"/>
  <c r="N1294" i="2"/>
  <c r="K1294" i="2"/>
  <c r="H1294" i="2"/>
  <c r="G1294" i="2"/>
  <c r="F1294" i="2"/>
  <c r="E1294" i="2"/>
  <c r="C1294" i="2"/>
  <c r="B1294" i="2"/>
  <c r="N1293" i="2"/>
  <c r="K1293" i="2"/>
  <c r="H1293" i="2"/>
  <c r="G1293" i="2"/>
  <c r="F1293" i="2"/>
  <c r="E1293" i="2"/>
  <c r="C1293" i="2"/>
  <c r="B1293" i="2"/>
  <c r="N1292" i="2"/>
  <c r="K1292" i="2"/>
  <c r="H1292" i="2"/>
  <c r="G1292" i="2"/>
  <c r="F1292" i="2"/>
  <c r="E1292" i="2"/>
  <c r="C1292" i="2"/>
  <c r="B1292" i="2"/>
  <c r="N1291" i="2"/>
  <c r="K1291" i="2"/>
  <c r="H1291" i="2"/>
  <c r="G1291" i="2"/>
  <c r="F1291" i="2"/>
  <c r="E1291" i="2"/>
  <c r="C1291" i="2"/>
  <c r="B1291" i="2"/>
  <c r="N1290" i="2"/>
  <c r="K1290" i="2"/>
  <c r="H1290" i="2"/>
  <c r="G1290" i="2"/>
  <c r="F1290" i="2"/>
  <c r="E1290" i="2"/>
  <c r="C1290" i="2"/>
  <c r="B1290" i="2"/>
  <c r="N1289" i="2"/>
  <c r="K1289" i="2"/>
  <c r="H1289" i="2"/>
  <c r="G1289" i="2"/>
  <c r="F1289" i="2"/>
  <c r="E1289" i="2"/>
  <c r="C1289" i="2"/>
  <c r="B1289" i="2"/>
  <c r="N1288" i="2"/>
  <c r="K1288" i="2"/>
  <c r="H1288" i="2"/>
  <c r="G1288" i="2"/>
  <c r="F1288" i="2"/>
  <c r="E1288" i="2"/>
  <c r="C1288" i="2"/>
  <c r="B1288" i="2"/>
  <c r="N1287" i="2"/>
  <c r="K1287" i="2"/>
  <c r="H1287" i="2"/>
  <c r="G1287" i="2"/>
  <c r="F1287" i="2"/>
  <c r="E1287" i="2"/>
  <c r="C1287" i="2"/>
  <c r="B1287" i="2"/>
  <c r="N1286" i="2"/>
  <c r="K1286" i="2"/>
  <c r="H1286" i="2"/>
  <c r="G1286" i="2"/>
  <c r="F1286" i="2"/>
  <c r="E1286" i="2"/>
  <c r="C1286" i="2"/>
  <c r="B1286" i="2"/>
  <c r="N1285" i="2"/>
  <c r="K1285" i="2"/>
  <c r="H1285" i="2"/>
  <c r="G1285" i="2"/>
  <c r="F1285" i="2"/>
  <c r="E1285" i="2"/>
  <c r="C1285" i="2"/>
  <c r="B1285" i="2"/>
  <c r="N1284" i="2"/>
  <c r="K1284" i="2"/>
  <c r="H1284" i="2"/>
  <c r="G1284" i="2"/>
  <c r="F1284" i="2"/>
  <c r="E1284" i="2"/>
  <c r="C1284" i="2"/>
  <c r="B1284" i="2"/>
  <c r="N1283" i="2"/>
  <c r="K1283" i="2"/>
  <c r="H1283" i="2"/>
  <c r="G1283" i="2"/>
  <c r="F1283" i="2"/>
  <c r="E1283" i="2"/>
  <c r="C1283" i="2"/>
  <c r="B1283" i="2"/>
  <c r="N1282" i="2"/>
  <c r="K1282" i="2"/>
  <c r="H1282" i="2"/>
  <c r="G1282" i="2"/>
  <c r="F1282" i="2"/>
  <c r="E1282" i="2"/>
  <c r="C1282" i="2"/>
  <c r="B1282" i="2"/>
  <c r="N1281" i="2"/>
  <c r="K1281" i="2"/>
  <c r="H1281" i="2"/>
  <c r="G1281" i="2"/>
  <c r="F1281" i="2"/>
  <c r="E1281" i="2"/>
  <c r="C1281" i="2"/>
  <c r="B1281" i="2"/>
  <c r="N1280" i="2"/>
  <c r="K1280" i="2"/>
  <c r="H1280" i="2"/>
  <c r="G1280" i="2"/>
  <c r="F1280" i="2"/>
  <c r="E1280" i="2"/>
  <c r="C1280" i="2"/>
  <c r="B1280" i="2"/>
  <c r="N1279" i="2"/>
  <c r="K1279" i="2"/>
  <c r="H1279" i="2"/>
  <c r="G1279" i="2"/>
  <c r="F1279" i="2"/>
  <c r="E1279" i="2"/>
  <c r="C1279" i="2"/>
  <c r="B1279" i="2"/>
  <c r="N1278" i="2"/>
  <c r="K1278" i="2"/>
  <c r="H1278" i="2"/>
  <c r="G1278" i="2"/>
  <c r="F1278" i="2"/>
  <c r="E1278" i="2"/>
  <c r="C1278" i="2"/>
  <c r="B1278" i="2"/>
  <c r="N1277" i="2"/>
  <c r="K1277" i="2"/>
  <c r="H1277" i="2"/>
  <c r="G1277" i="2"/>
  <c r="F1277" i="2"/>
  <c r="E1277" i="2"/>
  <c r="C1277" i="2"/>
  <c r="B1277" i="2"/>
  <c r="N1276" i="2"/>
  <c r="K1276" i="2"/>
  <c r="H1276" i="2"/>
  <c r="G1276" i="2"/>
  <c r="F1276" i="2"/>
  <c r="E1276" i="2"/>
  <c r="C1276" i="2"/>
  <c r="B1276" i="2"/>
  <c r="N1275" i="2"/>
  <c r="K1275" i="2"/>
  <c r="H1275" i="2"/>
  <c r="G1275" i="2"/>
  <c r="F1275" i="2"/>
  <c r="E1275" i="2"/>
  <c r="C1275" i="2"/>
  <c r="B1275" i="2"/>
  <c r="N1274" i="2"/>
  <c r="K1274" i="2"/>
  <c r="H1274" i="2"/>
  <c r="G1274" i="2"/>
  <c r="F1274" i="2"/>
  <c r="E1274" i="2"/>
  <c r="C1274" i="2"/>
  <c r="B1274" i="2"/>
  <c r="N1273" i="2"/>
  <c r="K1273" i="2"/>
  <c r="H1273" i="2"/>
  <c r="G1273" i="2"/>
  <c r="F1273" i="2"/>
  <c r="E1273" i="2"/>
  <c r="C1273" i="2"/>
  <c r="B1273" i="2"/>
  <c r="N1272" i="2"/>
  <c r="K1272" i="2"/>
  <c r="H1272" i="2"/>
  <c r="G1272" i="2"/>
  <c r="F1272" i="2"/>
  <c r="E1272" i="2"/>
  <c r="C1272" i="2"/>
  <c r="B1272" i="2"/>
  <c r="N1271" i="2"/>
  <c r="K1271" i="2"/>
  <c r="H1271" i="2"/>
  <c r="G1271" i="2"/>
  <c r="F1271" i="2"/>
  <c r="E1271" i="2"/>
  <c r="C1271" i="2"/>
  <c r="B1271" i="2"/>
  <c r="N1270" i="2"/>
  <c r="K1270" i="2"/>
  <c r="H1270" i="2"/>
  <c r="G1270" i="2"/>
  <c r="F1270" i="2"/>
  <c r="E1270" i="2"/>
  <c r="C1270" i="2"/>
  <c r="B1270" i="2"/>
  <c r="N1269" i="2"/>
  <c r="K1269" i="2"/>
  <c r="H1269" i="2"/>
  <c r="G1269" i="2"/>
  <c r="F1269" i="2"/>
  <c r="E1269" i="2"/>
  <c r="C1269" i="2"/>
  <c r="B1269" i="2"/>
  <c r="N1268" i="2"/>
  <c r="K1268" i="2"/>
  <c r="H1268" i="2"/>
  <c r="G1268" i="2"/>
  <c r="F1268" i="2"/>
  <c r="E1268" i="2"/>
  <c r="C1268" i="2"/>
  <c r="B1268" i="2"/>
  <c r="N1267" i="2"/>
  <c r="K1267" i="2"/>
  <c r="H1267" i="2"/>
  <c r="G1267" i="2"/>
  <c r="F1267" i="2"/>
  <c r="E1267" i="2"/>
  <c r="C1267" i="2"/>
  <c r="B1267" i="2"/>
  <c r="N1266" i="2"/>
  <c r="K1266" i="2"/>
  <c r="H1266" i="2"/>
  <c r="G1266" i="2"/>
  <c r="F1266" i="2"/>
  <c r="E1266" i="2"/>
  <c r="C1266" i="2"/>
  <c r="B1266" i="2"/>
  <c r="N1265" i="2"/>
  <c r="K1265" i="2"/>
  <c r="H1265" i="2"/>
  <c r="G1265" i="2"/>
  <c r="F1265" i="2"/>
  <c r="E1265" i="2"/>
  <c r="C1265" i="2"/>
  <c r="B1265" i="2"/>
  <c r="N1264" i="2"/>
  <c r="K1264" i="2"/>
  <c r="H1264" i="2"/>
  <c r="G1264" i="2"/>
  <c r="F1264" i="2"/>
  <c r="E1264" i="2"/>
  <c r="C1264" i="2"/>
  <c r="B1264" i="2"/>
  <c r="N1263" i="2"/>
  <c r="K1263" i="2"/>
  <c r="H1263" i="2"/>
  <c r="G1263" i="2"/>
  <c r="F1263" i="2"/>
  <c r="E1263" i="2"/>
  <c r="C1263" i="2"/>
  <c r="B1263" i="2"/>
  <c r="N1262" i="2"/>
  <c r="K1262" i="2"/>
  <c r="H1262" i="2"/>
  <c r="G1262" i="2"/>
  <c r="F1262" i="2"/>
  <c r="E1262" i="2"/>
  <c r="C1262" i="2"/>
  <c r="B1262" i="2"/>
  <c r="N1261" i="2"/>
  <c r="K1261" i="2"/>
  <c r="H1261" i="2"/>
  <c r="G1261" i="2"/>
  <c r="F1261" i="2"/>
  <c r="E1261" i="2"/>
  <c r="C1261" i="2"/>
  <c r="B1261" i="2"/>
  <c r="N1260" i="2"/>
  <c r="K1260" i="2"/>
  <c r="H1260" i="2"/>
  <c r="G1260" i="2"/>
  <c r="F1260" i="2"/>
  <c r="E1260" i="2"/>
  <c r="C1260" i="2"/>
  <c r="B1260" i="2"/>
  <c r="N1259" i="2"/>
  <c r="K1259" i="2"/>
  <c r="H1259" i="2"/>
  <c r="G1259" i="2"/>
  <c r="F1259" i="2"/>
  <c r="E1259" i="2"/>
  <c r="C1259" i="2"/>
  <c r="B1259" i="2"/>
  <c r="N1258" i="2"/>
  <c r="K1258" i="2"/>
  <c r="H1258" i="2"/>
  <c r="G1258" i="2"/>
  <c r="F1258" i="2"/>
  <c r="E1258" i="2"/>
  <c r="C1258" i="2"/>
  <c r="B1258" i="2"/>
  <c r="N1257" i="2"/>
  <c r="K1257" i="2"/>
  <c r="H1257" i="2"/>
  <c r="G1257" i="2"/>
  <c r="F1257" i="2"/>
  <c r="E1257" i="2"/>
  <c r="C1257" i="2"/>
  <c r="B1257" i="2"/>
  <c r="N1256" i="2"/>
  <c r="K1256" i="2"/>
  <c r="H1256" i="2"/>
  <c r="G1256" i="2"/>
  <c r="F1256" i="2"/>
  <c r="E1256" i="2"/>
  <c r="C1256" i="2"/>
  <c r="B1256" i="2"/>
  <c r="N1255" i="2"/>
  <c r="K1255" i="2"/>
  <c r="H1255" i="2"/>
  <c r="G1255" i="2"/>
  <c r="F1255" i="2"/>
  <c r="E1255" i="2"/>
  <c r="C1255" i="2"/>
  <c r="B1255" i="2"/>
  <c r="N1254" i="2"/>
  <c r="K1254" i="2"/>
  <c r="H1254" i="2"/>
  <c r="G1254" i="2"/>
  <c r="F1254" i="2"/>
  <c r="E1254" i="2"/>
  <c r="C1254" i="2"/>
  <c r="B1254" i="2"/>
  <c r="N1253" i="2"/>
  <c r="K1253" i="2"/>
  <c r="H1253" i="2"/>
  <c r="G1253" i="2"/>
  <c r="F1253" i="2"/>
  <c r="E1253" i="2"/>
  <c r="C1253" i="2"/>
  <c r="B1253" i="2"/>
  <c r="N1252" i="2"/>
  <c r="K1252" i="2"/>
  <c r="H1252" i="2"/>
  <c r="G1252" i="2"/>
  <c r="F1252" i="2"/>
  <c r="E1252" i="2"/>
  <c r="C1252" i="2"/>
  <c r="B1252" i="2"/>
  <c r="N1251" i="2"/>
  <c r="K1251" i="2"/>
  <c r="H1251" i="2"/>
  <c r="G1251" i="2"/>
  <c r="F1251" i="2"/>
  <c r="E1251" i="2"/>
  <c r="C1251" i="2"/>
  <c r="B1251" i="2"/>
  <c r="N1250" i="2"/>
  <c r="K1250" i="2"/>
  <c r="H1250" i="2"/>
  <c r="G1250" i="2"/>
  <c r="F1250" i="2"/>
  <c r="E1250" i="2"/>
  <c r="C1250" i="2"/>
  <c r="B1250" i="2"/>
  <c r="N1249" i="2"/>
  <c r="K1249" i="2"/>
  <c r="H1249" i="2"/>
  <c r="G1249" i="2"/>
  <c r="F1249" i="2"/>
  <c r="E1249" i="2"/>
  <c r="C1249" i="2"/>
  <c r="B1249" i="2"/>
  <c r="N1248" i="2"/>
  <c r="K1248" i="2"/>
  <c r="H1248" i="2"/>
  <c r="G1248" i="2"/>
  <c r="F1248" i="2"/>
  <c r="E1248" i="2"/>
  <c r="C1248" i="2"/>
  <c r="B1248" i="2"/>
  <c r="N1247" i="2"/>
  <c r="K1247" i="2"/>
  <c r="H1247" i="2"/>
  <c r="G1247" i="2"/>
  <c r="F1247" i="2"/>
  <c r="E1247" i="2"/>
  <c r="C1247" i="2"/>
  <c r="B1247" i="2"/>
  <c r="N1246" i="2"/>
  <c r="K1246" i="2"/>
  <c r="H1246" i="2"/>
  <c r="G1246" i="2"/>
  <c r="F1246" i="2"/>
  <c r="E1246" i="2"/>
  <c r="C1246" i="2"/>
  <c r="B1246" i="2"/>
  <c r="N1245" i="2"/>
  <c r="K1245" i="2"/>
  <c r="H1245" i="2"/>
  <c r="G1245" i="2"/>
  <c r="F1245" i="2"/>
  <c r="E1245" i="2"/>
  <c r="C1245" i="2"/>
  <c r="B1245" i="2"/>
  <c r="N1244" i="2"/>
  <c r="K1244" i="2"/>
  <c r="H1244" i="2"/>
  <c r="G1244" i="2"/>
  <c r="F1244" i="2"/>
  <c r="E1244" i="2"/>
  <c r="C1244" i="2"/>
  <c r="B1244" i="2"/>
  <c r="N1243" i="2"/>
  <c r="K1243" i="2"/>
  <c r="H1243" i="2"/>
  <c r="G1243" i="2"/>
  <c r="F1243" i="2"/>
  <c r="E1243" i="2"/>
  <c r="C1243" i="2"/>
  <c r="B1243" i="2"/>
  <c r="N1242" i="2"/>
  <c r="K1242" i="2"/>
  <c r="H1242" i="2"/>
  <c r="G1242" i="2"/>
  <c r="F1242" i="2"/>
  <c r="E1242" i="2"/>
  <c r="C1242" i="2"/>
  <c r="B1242" i="2"/>
  <c r="N1241" i="2"/>
  <c r="K1241" i="2"/>
  <c r="H1241" i="2"/>
  <c r="G1241" i="2"/>
  <c r="F1241" i="2"/>
  <c r="E1241" i="2"/>
  <c r="C1241" i="2"/>
  <c r="B1241" i="2"/>
  <c r="N1240" i="2"/>
  <c r="K1240" i="2"/>
  <c r="H1240" i="2"/>
  <c r="G1240" i="2"/>
  <c r="F1240" i="2"/>
  <c r="E1240" i="2"/>
  <c r="C1240" i="2"/>
  <c r="B1240" i="2"/>
  <c r="N1239" i="2"/>
  <c r="K1239" i="2"/>
  <c r="H1239" i="2"/>
  <c r="G1239" i="2"/>
  <c r="F1239" i="2"/>
  <c r="E1239" i="2"/>
  <c r="C1239" i="2"/>
  <c r="B1239" i="2"/>
  <c r="N1238" i="2"/>
  <c r="K1238" i="2"/>
  <c r="H1238" i="2"/>
  <c r="G1238" i="2"/>
  <c r="F1238" i="2"/>
  <c r="E1238" i="2"/>
  <c r="C1238" i="2"/>
  <c r="B1238" i="2"/>
  <c r="N1237" i="2"/>
  <c r="K1237" i="2"/>
  <c r="H1237" i="2"/>
  <c r="G1237" i="2"/>
  <c r="F1237" i="2"/>
  <c r="E1237" i="2"/>
  <c r="C1237" i="2"/>
  <c r="B1237" i="2"/>
  <c r="N1236" i="2"/>
  <c r="K1236" i="2"/>
  <c r="H1236" i="2"/>
  <c r="G1236" i="2"/>
  <c r="F1236" i="2"/>
  <c r="E1236" i="2"/>
  <c r="C1236" i="2"/>
  <c r="B1236" i="2"/>
  <c r="N1235" i="2"/>
  <c r="K1235" i="2"/>
  <c r="H1235" i="2"/>
  <c r="G1235" i="2"/>
  <c r="F1235" i="2"/>
  <c r="E1235" i="2"/>
  <c r="C1235" i="2"/>
  <c r="B1235" i="2"/>
  <c r="N1234" i="2"/>
  <c r="K1234" i="2"/>
  <c r="H1234" i="2"/>
  <c r="G1234" i="2"/>
  <c r="F1234" i="2"/>
  <c r="E1234" i="2"/>
  <c r="C1234" i="2"/>
  <c r="B1234" i="2"/>
  <c r="N1233" i="2"/>
  <c r="K1233" i="2"/>
  <c r="H1233" i="2"/>
  <c r="G1233" i="2"/>
  <c r="F1233" i="2"/>
  <c r="E1233" i="2"/>
  <c r="C1233" i="2"/>
  <c r="B1233" i="2"/>
  <c r="N1232" i="2"/>
  <c r="K1232" i="2"/>
  <c r="H1232" i="2"/>
  <c r="G1232" i="2"/>
  <c r="F1232" i="2"/>
  <c r="E1232" i="2"/>
  <c r="C1232" i="2"/>
  <c r="B1232" i="2"/>
  <c r="N1231" i="2"/>
  <c r="K1231" i="2"/>
  <c r="H1231" i="2"/>
  <c r="G1231" i="2"/>
  <c r="F1231" i="2"/>
  <c r="E1231" i="2"/>
  <c r="C1231" i="2"/>
  <c r="B1231" i="2"/>
  <c r="N1230" i="2"/>
  <c r="K1230" i="2"/>
  <c r="H1230" i="2"/>
  <c r="G1230" i="2"/>
  <c r="F1230" i="2"/>
  <c r="E1230" i="2"/>
  <c r="C1230" i="2"/>
  <c r="B1230" i="2"/>
  <c r="N1229" i="2"/>
  <c r="K1229" i="2"/>
  <c r="H1229" i="2"/>
  <c r="G1229" i="2"/>
  <c r="F1229" i="2"/>
  <c r="E1229" i="2"/>
  <c r="C1229" i="2"/>
  <c r="B1229" i="2"/>
  <c r="N1228" i="2"/>
  <c r="K1228" i="2"/>
  <c r="H1228" i="2"/>
  <c r="G1228" i="2"/>
  <c r="F1228" i="2"/>
  <c r="E1228" i="2"/>
  <c r="C1228" i="2"/>
  <c r="B1228" i="2"/>
  <c r="N1227" i="2"/>
  <c r="K1227" i="2"/>
  <c r="H1227" i="2"/>
  <c r="G1227" i="2"/>
  <c r="F1227" i="2"/>
  <c r="E1227" i="2"/>
  <c r="C1227" i="2"/>
  <c r="B1227" i="2"/>
  <c r="N1226" i="2"/>
  <c r="K1226" i="2"/>
  <c r="H1226" i="2"/>
  <c r="G1226" i="2"/>
  <c r="F1226" i="2"/>
  <c r="E1226" i="2"/>
  <c r="C1226" i="2"/>
  <c r="B1226" i="2"/>
  <c r="N1225" i="2"/>
  <c r="K1225" i="2"/>
  <c r="H1225" i="2"/>
  <c r="G1225" i="2"/>
  <c r="F1225" i="2"/>
  <c r="E1225" i="2"/>
  <c r="C1225" i="2"/>
  <c r="B1225" i="2"/>
  <c r="N1224" i="2"/>
  <c r="K1224" i="2"/>
  <c r="H1224" i="2"/>
  <c r="G1224" i="2"/>
  <c r="F1224" i="2"/>
  <c r="E1224" i="2"/>
  <c r="C1224" i="2"/>
  <c r="B1224" i="2"/>
  <c r="N1223" i="2"/>
  <c r="K1223" i="2"/>
  <c r="H1223" i="2"/>
  <c r="G1223" i="2"/>
  <c r="F1223" i="2"/>
  <c r="E1223" i="2"/>
  <c r="C1223" i="2"/>
  <c r="B1223" i="2"/>
  <c r="N1222" i="2"/>
  <c r="K1222" i="2"/>
  <c r="H1222" i="2"/>
  <c r="G1222" i="2"/>
  <c r="F1222" i="2"/>
  <c r="E1222" i="2"/>
  <c r="C1222" i="2"/>
  <c r="B1222" i="2"/>
  <c r="N1221" i="2"/>
  <c r="K1221" i="2"/>
  <c r="H1221" i="2"/>
  <c r="G1221" i="2"/>
  <c r="F1221" i="2"/>
  <c r="E1221" i="2"/>
  <c r="C1221" i="2"/>
  <c r="B1221" i="2"/>
  <c r="N1220" i="2"/>
  <c r="K1220" i="2"/>
  <c r="H1220" i="2"/>
  <c r="G1220" i="2"/>
  <c r="F1220" i="2"/>
  <c r="E1220" i="2"/>
  <c r="C1220" i="2"/>
  <c r="B1220" i="2"/>
  <c r="N1219" i="2"/>
  <c r="K1219" i="2"/>
  <c r="H1219" i="2"/>
  <c r="G1219" i="2"/>
  <c r="F1219" i="2"/>
  <c r="E1219" i="2"/>
  <c r="C1219" i="2"/>
  <c r="B1219" i="2"/>
  <c r="N1218" i="2"/>
  <c r="K1218" i="2"/>
  <c r="H1218" i="2"/>
  <c r="G1218" i="2"/>
  <c r="F1218" i="2"/>
  <c r="E1218" i="2"/>
  <c r="C1218" i="2"/>
  <c r="B1218" i="2"/>
  <c r="N1217" i="2"/>
  <c r="K1217" i="2"/>
  <c r="H1217" i="2"/>
  <c r="G1217" i="2"/>
  <c r="F1217" i="2"/>
  <c r="E1217" i="2"/>
  <c r="C1217" i="2"/>
  <c r="B1217" i="2"/>
  <c r="N1216" i="2"/>
  <c r="K1216" i="2"/>
  <c r="H1216" i="2"/>
  <c r="G1216" i="2"/>
  <c r="F1216" i="2"/>
  <c r="E1216" i="2"/>
  <c r="C1216" i="2"/>
  <c r="B1216" i="2"/>
  <c r="N1215" i="2"/>
  <c r="K1215" i="2"/>
  <c r="H1215" i="2"/>
  <c r="G1215" i="2"/>
  <c r="F1215" i="2"/>
  <c r="E1215" i="2"/>
  <c r="C1215" i="2"/>
  <c r="B1215" i="2"/>
  <c r="N1214" i="2"/>
  <c r="K1214" i="2"/>
  <c r="H1214" i="2"/>
  <c r="G1214" i="2"/>
  <c r="F1214" i="2"/>
  <c r="E1214" i="2"/>
  <c r="C1214" i="2"/>
  <c r="B1214" i="2"/>
  <c r="N1213" i="2"/>
  <c r="K1213" i="2"/>
  <c r="H1213" i="2"/>
  <c r="G1213" i="2"/>
  <c r="F1213" i="2"/>
  <c r="E1213" i="2"/>
  <c r="C1213" i="2"/>
  <c r="B1213" i="2"/>
  <c r="N1212" i="2"/>
  <c r="K1212" i="2"/>
  <c r="H1212" i="2"/>
  <c r="G1212" i="2"/>
  <c r="F1212" i="2"/>
  <c r="E1212" i="2"/>
  <c r="C1212" i="2"/>
  <c r="B1212" i="2"/>
  <c r="N1211" i="2"/>
  <c r="K1211" i="2"/>
  <c r="H1211" i="2"/>
  <c r="G1211" i="2"/>
  <c r="F1211" i="2"/>
  <c r="E1211" i="2"/>
  <c r="C1211" i="2"/>
  <c r="B1211" i="2"/>
  <c r="N1210" i="2"/>
  <c r="K1210" i="2"/>
  <c r="H1210" i="2"/>
  <c r="G1210" i="2"/>
  <c r="F1210" i="2"/>
  <c r="E1210" i="2"/>
  <c r="C1210" i="2"/>
  <c r="B1210" i="2"/>
  <c r="N1209" i="2"/>
  <c r="K1209" i="2"/>
  <c r="H1209" i="2"/>
  <c r="G1209" i="2"/>
  <c r="F1209" i="2"/>
  <c r="E1209" i="2"/>
  <c r="C1209" i="2"/>
  <c r="B1209" i="2"/>
  <c r="N1208" i="2"/>
  <c r="K1208" i="2"/>
  <c r="H1208" i="2"/>
  <c r="G1208" i="2"/>
  <c r="F1208" i="2"/>
  <c r="E1208" i="2"/>
  <c r="C1208" i="2"/>
  <c r="B1208" i="2"/>
  <c r="N1207" i="2"/>
  <c r="K1207" i="2"/>
  <c r="H1207" i="2"/>
  <c r="G1207" i="2"/>
  <c r="F1207" i="2"/>
  <c r="E1207" i="2"/>
  <c r="C1207" i="2"/>
  <c r="B1207" i="2"/>
  <c r="N1206" i="2"/>
  <c r="K1206" i="2"/>
  <c r="H1206" i="2"/>
  <c r="G1206" i="2"/>
  <c r="F1206" i="2"/>
  <c r="E1206" i="2"/>
  <c r="C1206" i="2"/>
  <c r="B1206" i="2"/>
  <c r="N1205" i="2"/>
  <c r="K1205" i="2"/>
  <c r="H1205" i="2"/>
  <c r="G1205" i="2"/>
  <c r="F1205" i="2"/>
  <c r="E1205" i="2"/>
  <c r="C1205" i="2"/>
  <c r="B1205" i="2"/>
  <c r="N1204" i="2"/>
  <c r="K1204" i="2"/>
  <c r="H1204" i="2"/>
  <c r="G1204" i="2"/>
  <c r="F1204" i="2"/>
  <c r="E1204" i="2"/>
  <c r="C1204" i="2"/>
  <c r="B1204" i="2"/>
  <c r="N1203" i="2"/>
  <c r="K1203" i="2"/>
  <c r="H1203" i="2"/>
  <c r="G1203" i="2"/>
  <c r="F1203" i="2"/>
  <c r="E1203" i="2"/>
  <c r="C1203" i="2"/>
  <c r="B1203" i="2"/>
  <c r="N1202" i="2"/>
  <c r="K1202" i="2"/>
  <c r="H1202" i="2"/>
  <c r="G1202" i="2"/>
  <c r="F1202" i="2"/>
  <c r="E1202" i="2"/>
  <c r="C1202" i="2"/>
  <c r="B1202" i="2"/>
  <c r="N1201" i="2"/>
  <c r="K1201" i="2"/>
  <c r="H1201" i="2"/>
  <c r="G1201" i="2"/>
  <c r="F1201" i="2"/>
  <c r="E1201" i="2"/>
  <c r="C1201" i="2"/>
  <c r="B1201" i="2"/>
  <c r="N1200" i="2"/>
  <c r="K1200" i="2"/>
  <c r="H1200" i="2"/>
  <c r="G1200" i="2"/>
  <c r="F1200" i="2"/>
  <c r="E1200" i="2"/>
  <c r="C1200" i="2"/>
  <c r="B1200" i="2"/>
  <c r="N1199" i="2"/>
  <c r="K1199" i="2"/>
  <c r="H1199" i="2"/>
  <c r="G1199" i="2"/>
  <c r="F1199" i="2"/>
  <c r="E1199" i="2"/>
  <c r="C1199" i="2"/>
  <c r="B1199" i="2"/>
  <c r="N1198" i="2"/>
  <c r="K1198" i="2"/>
  <c r="H1198" i="2"/>
  <c r="G1198" i="2"/>
  <c r="F1198" i="2"/>
  <c r="E1198" i="2"/>
  <c r="C1198" i="2"/>
  <c r="B1198" i="2"/>
  <c r="N1197" i="2"/>
  <c r="K1197" i="2"/>
  <c r="H1197" i="2"/>
  <c r="G1197" i="2"/>
  <c r="F1197" i="2"/>
  <c r="E1197" i="2"/>
  <c r="C1197" i="2"/>
  <c r="B1197" i="2"/>
  <c r="N1196" i="2"/>
  <c r="K1196" i="2"/>
  <c r="H1196" i="2"/>
  <c r="G1196" i="2"/>
  <c r="F1196" i="2"/>
  <c r="E1196" i="2"/>
  <c r="C1196" i="2"/>
  <c r="B1196" i="2"/>
  <c r="N1195" i="2"/>
  <c r="K1195" i="2"/>
  <c r="H1195" i="2"/>
  <c r="G1195" i="2"/>
  <c r="F1195" i="2"/>
  <c r="E1195" i="2"/>
  <c r="C1195" i="2"/>
  <c r="B1195" i="2"/>
  <c r="N1194" i="2"/>
  <c r="K1194" i="2"/>
  <c r="H1194" i="2"/>
  <c r="G1194" i="2"/>
  <c r="F1194" i="2"/>
  <c r="E1194" i="2"/>
  <c r="C1194" i="2"/>
  <c r="B1194" i="2"/>
  <c r="N1193" i="2"/>
  <c r="K1193" i="2"/>
  <c r="H1193" i="2"/>
  <c r="G1193" i="2"/>
  <c r="F1193" i="2"/>
  <c r="E1193" i="2"/>
  <c r="C1193" i="2"/>
  <c r="B1193" i="2"/>
  <c r="N1192" i="2"/>
  <c r="K1192" i="2"/>
  <c r="H1192" i="2"/>
  <c r="G1192" i="2"/>
  <c r="F1192" i="2"/>
  <c r="E1192" i="2"/>
  <c r="C1192" i="2"/>
  <c r="B1192" i="2"/>
  <c r="N1191" i="2"/>
  <c r="K1191" i="2"/>
  <c r="H1191" i="2"/>
  <c r="G1191" i="2"/>
  <c r="F1191" i="2"/>
  <c r="E1191" i="2"/>
  <c r="C1191" i="2"/>
  <c r="B1191" i="2"/>
  <c r="N1190" i="2"/>
  <c r="K1190" i="2"/>
  <c r="H1190" i="2"/>
  <c r="G1190" i="2"/>
  <c r="F1190" i="2"/>
  <c r="E1190" i="2"/>
  <c r="C1190" i="2"/>
  <c r="B1190" i="2"/>
  <c r="N1189" i="2"/>
  <c r="K1189" i="2"/>
  <c r="H1189" i="2"/>
  <c r="G1189" i="2"/>
  <c r="F1189" i="2"/>
  <c r="E1189" i="2"/>
  <c r="C1189" i="2"/>
  <c r="B1189" i="2"/>
  <c r="N1188" i="2"/>
  <c r="K1188" i="2"/>
  <c r="H1188" i="2"/>
  <c r="G1188" i="2"/>
  <c r="F1188" i="2"/>
  <c r="E1188" i="2"/>
  <c r="C1188" i="2"/>
  <c r="B1188" i="2"/>
  <c r="N1187" i="2"/>
  <c r="K1187" i="2"/>
  <c r="H1187" i="2"/>
  <c r="G1187" i="2"/>
  <c r="F1187" i="2"/>
  <c r="E1187" i="2"/>
  <c r="C1187" i="2"/>
  <c r="B1187" i="2"/>
  <c r="N1186" i="2"/>
  <c r="K1186" i="2"/>
  <c r="H1186" i="2"/>
  <c r="G1186" i="2"/>
  <c r="F1186" i="2"/>
  <c r="E1186" i="2"/>
  <c r="C1186" i="2"/>
  <c r="B1186" i="2"/>
  <c r="N1185" i="2"/>
  <c r="K1185" i="2"/>
  <c r="H1185" i="2"/>
  <c r="G1185" i="2"/>
  <c r="F1185" i="2"/>
  <c r="E1185" i="2"/>
  <c r="C1185" i="2"/>
  <c r="B1185" i="2"/>
  <c r="N1184" i="2"/>
  <c r="K1184" i="2"/>
  <c r="H1184" i="2"/>
  <c r="G1184" i="2"/>
  <c r="F1184" i="2"/>
  <c r="E1184" i="2"/>
  <c r="C1184" i="2"/>
  <c r="B1184" i="2"/>
  <c r="N1183" i="2"/>
  <c r="K1183" i="2"/>
  <c r="H1183" i="2"/>
  <c r="G1183" i="2"/>
  <c r="F1183" i="2"/>
  <c r="E1183" i="2"/>
  <c r="C1183" i="2"/>
  <c r="B1183" i="2"/>
  <c r="N1182" i="2"/>
  <c r="K1182" i="2"/>
  <c r="H1182" i="2"/>
  <c r="G1182" i="2"/>
  <c r="F1182" i="2"/>
  <c r="E1182" i="2"/>
  <c r="C1182" i="2"/>
  <c r="B1182" i="2"/>
  <c r="N1181" i="2"/>
  <c r="K1181" i="2"/>
  <c r="H1181" i="2"/>
  <c r="G1181" i="2"/>
  <c r="F1181" i="2"/>
  <c r="E1181" i="2"/>
  <c r="C1181" i="2"/>
  <c r="B1181" i="2"/>
  <c r="N1180" i="2"/>
  <c r="K1180" i="2"/>
  <c r="H1180" i="2"/>
  <c r="G1180" i="2"/>
  <c r="F1180" i="2"/>
  <c r="E1180" i="2"/>
  <c r="C1180" i="2"/>
  <c r="B1180" i="2"/>
  <c r="N1179" i="2"/>
  <c r="K1179" i="2"/>
  <c r="H1179" i="2"/>
  <c r="G1179" i="2"/>
  <c r="F1179" i="2"/>
  <c r="E1179" i="2"/>
  <c r="C1179" i="2"/>
  <c r="B1179" i="2"/>
  <c r="N1178" i="2"/>
  <c r="K1178" i="2"/>
  <c r="H1178" i="2"/>
  <c r="G1178" i="2"/>
  <c r="F1178" i="2"/>
  <c r="E1178" i="2"/>
  <c r="C1178" i="2"/>
  <c r="B1178" i="2"/>
  <c r="N1177" i="2"/>
  <c r="K1177" i="2"/>
  <c r="H1177" i="2"/>
  <c r="G1177" i="2"/>
  <c r="F1177" i="2"/>
  <c r="E1177" i="2"/>
  <c r="C1177" i="2"/>
  <c r="B1177" i="2"/>
  <c r="N1176" i="2"/>
  <c r="K1176" i="2"/>
  <c r="H1176" i="2"/>
  <c r="G1176" i="2"/>
  <c r="F1176" i="2"/>
  <c r="E1176" i="2"/>
  <c r="C1176" i="2"/>
  <c r="B1176" i="2"/>
  <c r="N1175" i="2"/>
  <c r="K1175" i="2"/>
  <c r="H1175" i="2"/>
  <c r="G1175" i="2"/>
  <c r="F1175" i="2"/>
  <c r="E1175" i="2"/>
  <c r="C1175" i="2"/>
  <c r="B1175" i="2"/>
  <c r="N1174" i="2"/>
  <c r="K1174" i="2"/>
  <c r="H1174" i="2"/>
  <c r="G1174" i="2"/>
  <c r="F1174" i="2"/>
  <c r="E1174" i="2"/>
  <c r="C1174" i="2"/>
  <c r="B1174" i="2"/>
  <c r="N1173" i="2"/>
  <c r="K1173" i="2"/>
  <c r="H1173" i="2"/>
  <c r="G1173" i="2"/>
  <c r="F1173" i="2"/>
  <c r="E1173" i="2"/>
  <c r="C1173" i="2"/>
  <c r="B1173" i="2"/>
  <c r="N1172" i="2"/>
  <c r="K1172" i="2"/>
  <c r="H1172" i="2"/>
  <c r="G1172" i="2"/>
  <c r="F1172" i="2"/>
  <c r="E1172" i="2"/>
  <c r="C1172" i="2"/>
  <c r="B1172" i="2"/>
  <c r="N1171" i="2"/>
  <c r="K1171" i="2"/>
  <c r="H1171" i="2"/>
  <c r="G1171" i="2"/>
  <c r="F1171" i="2"/>
  <c r="E1171" i="2"/>
  <c r="C1171" i="2"/>
  <c r="B1171" i="2"/>
  <c r="N1170" i="2"/>
  <c r="K1170" i="2"/>
  <c r="H1170" i="2"/>
  <c r="G1170" i="2"/>
  <c r="F1170" i="2"/>
  <c r="E1170" i="2"/>
  <c r="C1170" i="2"/>
  <c r="B1170" i="2"/>
  <c r="N1169" i="2"/>
  <c r="K1169" i="2"/>
  <c r="H1169" i="2"/>
  <c r="G1169" i="2"/>
  <c r="F1169" i="2"/>
  <c r="E1169" i="2"/>
  <c r="C1169" i="2"/>
  <c r="B1169" i="2"/>
  <c r="N1168" i="2"/>
  <c r="K1168" i="2"/>
  <c r="H1168" i="2"/>
  <c r="G1168" i="2"/>
  <c r="F1168" i="2"/>
  <c r="E1168" i="2"/>
  <c r="C1168" i="2"/>
  <c r="B1168" i="2"/>
  <c r="N1167" i="2"/>
  <c r="K1167" i="2"/>
  <c r="H1167" i="2"/>
  <c r="G1167" i="2"/>
  <c r="F1167" i="2"/>
  <c r="E1167" i="2"/>
  <c r="C1167" i="2"/>
  <c r="B1167" i="2"/>
  <c r="N1166" i="2"/>
  <c r="K1166" i="2"/>
  <c r="H1166" i="2"/>
  <c r="G1166" i="2"/>
  <c r="F1166" i="2"/>
  <c r="E1166" i="2"/>
  <c r="C1166" i="2"/>
  <c r="B1166" i="2"/>
  <c r="N1165" i="2"/>
  <c r="K1165" i="2"/>
  <c r="H1165" i="2"/>
  <c r="G1165" i="2"/>
  <c r="F1165" i="2"/>
  <c r="E1165" i="2"/>
  <c r="C1165" i="2"/>
  <c r="B1165" i="2"/>
  <c r="N1164" i="2"/>
  <c r="K1164" i="2"/>
  <c r="H1164" i="2"/>
  <c r="G1164" i="2"/>
  <c r="F1164" i="2"/>
  <c r="E1164" i="2"/>
  <c r="C1164" i="2"/>
  <c r="B1164" i="2"/>
  <c r="N1163" i="2"/>
  <c r="K1163" i="2"/>
  <c r="H1163" i="2"/>
  <c r="G1163" i="2"/>
  <c r="F1163" i="2"/>
  <c r="E1163" i="2"/>
  <c r="C1163" i="2"/>
  <c r="B1163" i="2"/>
  <c r="N1162" i="2"/>
  <c r="K1162" i="2"/>
  <c r="H1162" i="2"/>
  <c r="G1162" i="2"/>
  <c r="F1162" i="2"/>
  <c r="E1162" i="2"/>
  <c r="C1162" i="2"/>
  <c r="B1162" i="2"/>
  <c r="N1161" i="2"/>
  <c r="K1161" i="2"/>
  <c r="H1161" i="2"/>
  <c r="G1161" i="2"/>
  <c r="F1161" i="2"/>
  <c r="E1161" i="2"/>
  <c r="C1161" i="2"/>
  <c r="B1161" i="2"/>
  <c r="N1160" i="2"/>
  <c r="K1160" i="2"/>
  <c r="H1160" i="2"/>
  <c r="G1160" i="2"/>
  <c r="F1160" i="2"/>
  <c r="E1160" i="2"/>
  <c r="C1160" i="2"/>
  <c r="B1160" i="2"/>
  <c r="N1159" i="2"/>
  <c r="K1159" i="2"/>
  <c r="H1159" i="2"/>
  <c r="G1159" i="2"/>
  <c r="F1159" i="2"/>
  <c r="E1159" i="2"/>
  <c r="C1159" i="2"/>
  <c r="B1159" i="2"/>
  <c r="N1158" i="2"/>
  <c r="K1158" i="2"/>
  <c r="H1158" i="2"/>
  <c r="G1158" i="2"/>
  <c r="F1158" i="2"/>
  <c r="E1158" i="2"/>
  <c r="C1158" i="2"/>
  <c r="B1158" i="2"/>
  <c r="N1157" i="2"/>
  <c r="K1157" i="2"/>
  <c r="H1157" i="2"/>
  <c r="G1157" i="2"/>
  <c r="F1157" i="2"/>
  <c r="E1157" i="2"/>
  <c r="C1157" i="2"/>
  <c r="B1157" i="2"/>
  <c r="N1156" i="2"/>
  <c r="K1156" i="2"/>
  <c r="H1156" i="2"/>
  <c r="G1156" i="2"/>
  <c r="F1156" i="2"/>
  <c r="E1156" i="2"/>
  <c r="C1156" i="2"/>
  <c r="B1156" i="2"/>
  <c r="N1155" i="2"/>
  <c r="K1155" i="2"/>
  <c r="H1155" i="2"/>
  <c r="G1155" i="2"/>
  <c r="F1155" i="2"/>
  <c r="E1155" i="2"/>
  <c r="C1155" i="2"/>
  <c r="B1155" i="2"/>
  <c r="N1154" i="2"/>
  <c r="K1154" i="2"/>
  <c r="H1154" i="2"/>
  <c r="G1154" i="2"/>
  <c r="F1154" i="2"/>
  <c r="E1154" i="2"/>
  <c r="C1154" i="2"/>
  <c r="B1154" i="2"/>
  <c r="N1153" i="2"/>
  <c r="K1153" i="2"/>
  <c r="H1153" i="2"/>
  <c r="G1153" i="2"/>
  <c r="F1153" i="2"/>
  <c r="E1153" i="2"/>
  <c r="C1153" i="2"/>
  <c r="B1153" i="2"/>
  <c r="N1152" i="2"/>
  <c r="K1152" i="2"/>
  <c r="H1152" i="2"/>
  <c r="G1152" i="2"/>
  <c r="F1152" i="2"/>
  <c r="E1152" i="2"/>
  <c r="C1152" i="2"/>
  <c r="B1152" i="2"/>
  <c r="N1151" i="2"/>
  <c r="K1151" i="2"/>
  <c r="H1151" i="2"/>
  <c r="G1151" i="2"/>
  <c r="F1151" i="2"/>
  <c r="E1151" i="2"/>
  <c r="C1151" i="2"/>
  <c r="B1151" i="2"/>
  <c r="N1150" i="2"/>
  <c r="K1150" i="2"/>
  <c r="H1150" i="2"/>
  <c r="G1150" i="2"/>
  <c r="F1150" i="2"/>
  <c r="E1150" i="2"/>
  <c r="C1150" i="2"/>
  <c r="B1150" i="2"/>
  <c r="N1149" i="2"/>
  <c r="K1149" i="2"/>
  <c r="H1149" i="2"/>
  <c r="G1149" i="2"/>
  <c r="F1149" i="2"/>
  <c r="E1149" i="2"/>
  <c r="C1149" i="2"/>
  <c r="B1149" i="2"/>
  <c r="N1148" i="2"/>
  <c r="K1148" i="2"/>
  <c r="H1148" i="2"/>
  <c r="G1148" i="2"/>
  <c r="F1148" i="2"/>
  <c r="E1148" i="2"/>
  <c r="C1148" i="2"/>
  <c r="B1148" i="2"/>
  <c r="N1147" i="2"/>
  <c r="K1147" i="2"/>
  <c r="H1147" i="2"/>
  <c r="G1147" i="2"/>
  <c r="F1147" i="2"/>
  <c r="E1147" i="2"/>
  <c r="C1147" i="2"/>
  <c r="B1147" i="2"/>
  <c r="N1146" i="2"/>
  <c r="K1146" i="2"/>
  <c r="H1146" i="2"/>
  <c r="G1146" i="2"/>
  <c r="F1146" i="2"/>
  <c r="E1146" i="2"/>
  <c r="C1146" i="2"/>
  <c r="B1146" i="2"/>
  <c r="N1145" i="2"/>
  <c r="K1145" i="2"/>
  <c r="H1145" i="2"/>
  <c r="G1145" i="2"/>
  <c r="F1145" i="2"/>
  <c r="E1145" i="2"/>
  <c r="C1145" i="2"/>
  <c r="B1145" i="2"/>
  <c r="N1144" i="2"/>
  <c r="K1144" i="2"/>
  <c r="H1144" i="2"/>
  <c r="G1144" i="2"/>
  <c r="F1144" i="2"/>
  <c r="E1144" i="2"/>
  <c r="C1144" i="2"/>
  <c r="B1144" i="2"/>
  <c r="N1143" i="2"/>
  <c r="K1143" i="2"/>
  <c r="H1143" i="2"/>
  <c r="G1143" i="2"/>
  <c r="F1143" i="2"/>
  <c r="E1143" i="2"/>
  <c r="C1143" i="2"/>
  <c r="B1143" i="2"/>
  <c r="N1142" i="2"/>
  <c r="K1142" i="2"/>
  <c r="H1142" i="2"/>
  <c r="G1142" i="2"/>
  <c r="F1142" i="2"/>
  <c r="E1142" i="2"/>
  <c r="C1142" i="2"/>
  <c r="B1142" i="2"/>
  <c r="N1141" i="2"/>
  <c r="K1141" i="2"/>
  <c r="H1141" i="2"/>
  <c r="G1141" i="2"/>
  <c r="F1141" i="2"/>
  <c r="E1141" i="2"/>
  <c r="C1141" i="2"/>
  <c r="B1141" i="2"/>
  <c r="N1140" i="2"/>
  <c r="K1140" i="2"/>
  <c r="H1140" i="2"/>
  <c r="G1140" i="2"/>
  <c r="F1140" i="2"/>
  <c r="E1140" i="2"/>
  <c r="C1140" i="2"/>
  <c r="B1140" i="2"/>
  <c r="N1139" i="2"/>
  <c r="K1139" i="2"/>
  <c r="H1139" i="2"/>
  <c r="G1139" i="2"/>
  <c r="F1139" i="2"/>
  <c r="E1139" i="2"/>
  <c r="C1139" i="2"/>
  <c r="B1139" i="2"/>
  <c r="N1138" i="2"/>
  <c r="K1138" i="2"/>
  <c r="H1138" i="2"/>
  <c r="G1138" i="2"/>
  <c r="F1138" i="2"/>
  <c r="E1138" i="2"/>
  <c r="C1138" i="2"/>
  <c r="B1138" i="2"/>
  <c r="N1137" i="2"/>
  <c r="K1137" i="2"/>
  <c r="H1137" i="2"/>
  <c r="G1137" i="2"/>
  <c r="F1137" i="2"/>
  <c r="E1137" i="2"/>
  <c r="C1137" i="2"/>
  <c r="B1137" i="2"/>
  <c r="N1136" i="2"/>
  <c r="K1136" i="2"/>
  <c r="H1136" i="2"/>
  <c r="G1136" i="2"/>
  <c r="F1136" i="2"/>
  <c r="E1136" i="2"/>
  <c r="C1136" i="2"/>
  <c r="B1136" i="2"/>
  <c r="N1135" i="2"/>
  <c r="K1135" i="2"/>
  <c r="H1135" i="2"/>
  <c r="G1135" i="2"/>
  <c r="F1135" i="2"/>
  <c r="E1135" i="2"/>
  <c r="C1135" i="2"/>
  <c r="B1135" i="2"/>
  <c r="N1134" i="2"/>
  <c r="K1134" i="2"/>
  <c r="H1134" i="2"/>
  <c r="G1134" i="2"/>
  <c r="F1134" i="2"/>
  <c r="E1134" i="2"/>
  <c r="C1134" i="2"/>
  <c r="B1134" i="2"/>
  <c r="N1133" i="2"/>
  <c r="K1133" i="2"/>
  <c r="H1133" i="2"/>
  <c r="G1133" i="2"/>
  <c r="F1133" i="2"/>
  <c r="E1133" i="2"/>
  <c r="C1133" i="2"/>
  <c r="B1133" i="2"/>
  <c r="N1132" i="2"/>
  <c r="K1132" i="2"/>
  <c r="H1132" i="2"/>
  <c r="G1132" i="2"/>
  <c r="F1132" i="2"/>
  <c r="E1132" i="2"/>
  <c r="C1132" i="2"/>
  <c r="B1132" i="2"/>
  <c r="N1131" i="2"/>
  <c r="K1131" i="2"/>
  <c r="H1131" i="2"/>
  <c r="G1131" i="2"/>
  <c r="F1131" i="2"/>
  <c r="E1131" i="2"/>
  <c r="C1131" i="2"/>
  <c r="B1131" i="2"/>
  <c r="N1130" i="2"/>
  <c r="K1130" i="2"/>
  <c r="H1130" i="2"/>
  <c r="G1130" i="2"/>
  <c r="F1130" i="2"/>
  <c r="E1130" i="2"/>
  <c r="C1130" i="2"/>
  <c r="B1130" i="2"/>
  <c r="N1129" i="2"/>
  <c r="K1129" i="2"/>
  <c r="H1129" i="2"/>
  <c r="G1129" i="2"/>
  <c r="F1129" i="2"/>
  <c r="E1129" i="2"/>
  <c r="C1129" i="2"/>
  <c r="B1129" i="2"/>
  <c r="N1128" i="2"/>
  <c r="K1128" i="2"/>
  <c r="H1128" i="2"/>
  <c r="G1128" i="2"/>
  <c r="F1128" i="2"/>
  <c r="E1128" i="2"/>
  <c r="C1128" i="2"/>
  <c r="B1128" i="2"/>
  <c r="N1127" i="2"/>
  <c r="K1127" i="2"/>
  <c r="H1127" i="2"/>
  <c r="G1127" i="2"/>
  <c r="F1127" i="2"/>
  <c r="E1127" i="2"/>
  <c r="C1127" i="2"/>
  <c r="B1127" i="2"/>
  <c r="N1126" i="2"/>
  <c r="K1126" i="2"/>
  <c r="H1126" i="2"/>
  <c r="G1126" i="2"/>
  <c r="F1126" i="2"/>
  <c r="E1126" i="2"/>
  <c r="C1126" i="2"/>
  <c r="B1126" i="2"/>
  <c r="N1125" i="2"/>
  <c r="K1125" i="2"/>
  <c r="H1125" i="2"/>
  <c r="G1125" i="2"/>
  <c r="F1125" i="2"/>
  <c r="E1125" i="2"/>
  <c r="C1125" i="2"/>
  <c r="B1125" i="2"/>
  <c r="N1124" i="2"/>
  <c r="K1124" i="2"/>
  <c r="H1124" i="2"/>
  <c r="G1124" i="2"/>
  <c r="F1124" i="2"/>
  <c r="E1124" i="2"/>
  <c r="C1124" i="2"/>
  <c r="B1124" i="2"/>
  <c r="N1123" i="2"/>
  <c r="K1123" i="2"/>
  <c r="H1123" i="2"/>
  <c r="G1123" i="2"/>
  <c r="F1123" i="2"/>
  <c r="E1123" i="2"/>
  <c r="C1123" i="2"/>
  <c r="B1123" i="2"/>
  <c r="N1122" i="2"/>
  <c r="K1122" i="2"/>
  <c r="H1122" i="2"/>
  <c r="G1122" i="2"/>
  <c r="F1122" i="2"/>
  <c r="E1122" i="2"/>
  <c r="C1122" i="2"/>
  <c r="B1122" i="2"/>
  <c r="N1121" i="2"/>
  <c r="K1121" i="2"/>
  <c r="H1121" i="2"/>
  <c r="G1121" i="2"/>
  <c r="F1121" i="2"/>
  <c r="E1121" i="2"/>
  <c r="C1121" i="2"/>
  <c r="B1121" i="2"/>
  <c r="N1120" i="2"/>
  <c r="K1120" i="2"/>
  <c r="H1120" i="2"/>
  <c r="G1120" i="2"/>
  <c r="F1120" i="2"/>
  <c r="E1120" i="2"/>
  <c r="C1120" i="2"/>
  <c r="B1120" i="2"/>
  <c r="N1119" i="2"/>
  <c r="K1119" i="2"/>
  <c r="H1119" i="2"/>
  <c r="G1119" i="2"/>
  <c r="F1119" i="2"/>
  <c r="E1119" i="2"/>
  <c r="C1119" i="2"/>
  <c r="B1119" i="2"/>
  <c r="N1118" i="2"/>
  <c r="K1118" i="2"/>
  <c r="H1118" i="2"/>
  <c r="G1118" i="2"/>
  <c r="F1118" i="2"/>
  <c r="E1118" i="2"/>
  <c r="C1118" i="2"/>
  <c r="B1118" i="2"/>
  <c r="N1117" i="2"/>
  <c r="K1117" i="2"/>
  <c r="H1117" i="2"/>
  <c r="G1117" i="2"/>
  <c r="F1117" i="2"/>
  <c r="E1117" i="2"/>
  <c r="C1117" i="2"/>
  <c r="B1117" i="2"/>
  <c r="N1116" i="2"/>
  <c r="K1116" i="2"/>
  <c r="H1116" i="2"/>
  <c r="G1116" i="2"/>
  <c r="F1116" i="2"/>
  <c r="E1116" i="2"/>
  <c r="C1116" i="2"/>
  <c r="B1116" i="2"/>
  <c r="N1115" i="2"/>
  <c r="K1115" i="2"/>
  <c r="H1115" i="2"/>
  <c r="G1115" i="2"/>
  <c r="F1115" i="2"/>
  <c r="E1115" i="2"/>
  <c r="C1115" i="2"/>
  <c r="B1115" i="2"/>
  <c r="N1114" i="2"/>
  <c r="K1114" i="2"/>
  <c r="H1114" i="2"/>
  <c r="G1114" i="2"/>
  <c r="F1114" i="2"/>
  <c r="E1114" i="2"/>
  <c r="C1114" i="2"/>
  <c r="B1114" i="2"/>
  <c r="N1113" i="2"/>
  <c r="K1113" i="2"/>
  <c r="H1113" i="2"/>
  <c r="G1113" i="2"/>
  <c r="F1113" i="2"/>
  <c r="E1113" i="2"/>
  <c r="C1113" i="2"/>
  <c r="B1113" i="2"/>
  <c r="N1112" i="2"/>
  <c r="K1112" i="2"/>
  <c r="H1112" i="2"/>
  <c r="G1112" i="2"/>
  <c r="F1112" i="2"/>
  <c r="E1112" i="2"/>
  <c r="C1112" i="2"/>
  <c r="B1112" i="2"/>
  <c r="N1111" i="2"/>
  <c r="K1111" i="2"/>
  <c r="H1111" i="2"/>
  <c r="G1111" i="2"/>
  <c r="F1111" i="2"/>
  <c r="E1111" i="2"/>
  <c r="C1111" i="2"/>
  <c r="B1111" i="2"/>
  <c r="N1110" i="2"/>
  <c r="K1110" i="2"/>
  <c r="H1110" i="2"/>
  <c r="G1110" i="2"/>
  <c r="F1110" i="2"/>
  <c r="E1110" i="2"/>
  <c r="C1110" i="2"/>
  <c r="B1110" i="2"/>
  <c r="N1109" i="2"/>
  <c r="K1109" i="2"/>
  <c r="H1109" i="2"/>
  <c r="G1109" i="2"/>
  <c r="F1109" i="2"/>
  <c r="E1109" i="2"/>
  <c r="C1109" i="2"/>
  <c r="B1109" i="2"/>
  <c r="N1108" i="2"/>
  <c r="K1108" i="2"/>
  <c r="H1108" i="2"/>
  <c r="G1108" i="2"/>
  <c r="F1108" i="2"/>
  <c r="E1108" i="2"/>
  <c r="C1108" i="2"/>
  <c r="B1108" i="2"/>
  <c r="N1107" i="2"/>
  <c r="K1107" i="2"/>
  <c r="H1107" i="2"/>
  <c r="G1107" i="2"/>
  <c r="F1107" i="2"/>
  <c r="E1107" i="2"/>
  <c r="C1107" i="2"/>
  <c r="B1107" i="2"/>
  <c r="N1106" i="2"/>
  <c r="K1106" i="2"/>
  <c r="H1106" i="2"/>
  <c r="G1106" i="2"/>
  <c r="F1106" i="2"/>
  <c r="E1106" i="2"/>
  <c r="C1106" i="2"/>
  <c r="B1106" i="2"/>
  <c r="N1105" i="2"/>
  <c r="K1105" i="2"/>
  <c r="H1105" i="2"/>
  <c r="G1105" i="2"/>
  <c r="F1105" i="2"/>
  <c r="E1105" i="2"/>
  <c r="C1105" i="2"/>
  <c r="B1105" i="2"/>
  <c r="N1104" i="2"/>
  <c r="K1104" i="2"/>
  <c r="H1104" i="2"/>
  <c r="G1104" i="2"/>
  <c r="F1104" i="2"/>
  <c r="E1104" i="2"/>
  <c r="C1104" i="2"/>
  <c r="B1104" i="2"/>
  <c r="N1103" i="2"/>
  <c r="K1103" i="2"/>
  <c r="H1103" i="2"/>
  <c r="G1103" i="2"/>
  <c r="F1103" i="2"/>
  <c r="E1103" i="2"/>
  <c r="C1103" i="2"/>
  <c r="B1103" i="2"/>
  <c r="N1102" i="2"/>
  <c r="K1102" i="2"/>
  <c r="H1102" i="2"/>
  <c r="G1102" i="2"/>
  <c r="F1102" i="2"/>
  <c r="E1102" i="2"/>
  <c r="C1102" i="2"/>
  <c r="B1102" i="2"/>
  <c r="N1101" i="2"/>
  <c r="K1101" i="2"/>
  <c r="H1101" i="2"/>
  <c r="G1101" i="2"/>
  <c r="F1101" i="2"/>
  <c r="E1101" i="2"/>
  <c r="C1101" i="2"/>
  <c r="B1101" i="2"/>
  <c r="N1100" i="2"/>
  <c r="K1100" i="2"/>
  <c r="H1100" i="2"/>
  <c r="G1100" i="2"/>
  <c r="F1100" i="2"/>
  <c r="E1100" i="2"/>
  <c r="C1100" i="2"/>
  <c r="B1100" i="2"/>
  <c r="N1099" i="2"/>
  <c r="K1099" i="2"/>
  <c r="H1099" i="2"/>
  <c r="G1099" i="2"/>
  <c r="F1099" i="2"/>
  <c r="E1099" i="2"/>
  <c r="C1099" i="2"/>
  <c r="B1099" i="2"/>
  <c r="N1098" i="2"/>
  <c r="K1098" i="2"/>
  <c r="H1098" i="2"/>
  <c r="G1098" i="2"/>
  <c r="F1098" i="2"/>
  <c r="E1098" i="2"/>
  <c r="C1098" i="2"/>
  <c r="B1098" i="2"/>
  <c r="N1097" i="2"/>
  <c r="K1097" i="2"/>
  <c r="H1097" i="2"/>
  <c r="G1097" i="2"/>
  <c r="F1097" i="2"/>
  <c r="E1097" i="2"/>
  <c r="C1097" i="2"/>
  <c r="B1097" i="2"/>
  <c r="N1096" i="2"/>
  <c r="K1096" i="2"/>
  <c r="H1096" i="2"/>
  <c r="G1096" i="2"/>
  <c r="F1096" i="2"/>
  <c r="E1096" i="2"/>
  <c r="C1096" i="2"/>
  <c r="B1096" i="2"/>
  <c r="N1095" i="2"/>
  <c r="K1095" i="2"/>
  <c r="H1095" i="2"/>
  <c r="G1095" i="2"/>
  <c r="F1095" i="2"/>
  <c r="E1095" i="2"/>
  <c r="C1095" i="2"/>
  <c r="B1095" i="2"/>
  <c r="N1094" i="2"/>
  <c r="K1094" i="2"/>
  <c r="H1094" i="2"/>
  <c r="G1094" i="2"/>
  <c r="F1094" i="2"/>
  <c r="E1094" i="2"/>
  <c r="C1094" i="2"/>
  <c r="B1094" i="2"/>
  <c r="N1093" i="2"/>
  <c r="K1093" i="2"/>
  <c r="H1093" i="2"/>
  <c r="G1093" i="2"/>
  <c r="F1093" i="2"/>
  <c r="E1093" i="2"/>
  <c r="C1093" i="2"/>
  <c r="B1093" i="2"/>
  <c r="N1092" i="2"/>
  <c r="K1092" i="2"/>
  <c r="H1092" i="2"/>
  <c r="G1092" i="2"/>
  <c r="F1092" i="2"/>
  <c r="E1092" i="2"/>
  <c r="C1092" i="2"/>
  <c r="B1092" i="2"/>
  <c r="N1091" i="2"/>
  <c r="K1091" i="2"/>
  <c r="H1091" i="2"/>
  <c r="G1091" i="2"/>
  <c r="F1091" i="2"/>
  <c r="E1091" i="2"/>
  <c r="C1091" i="2"/>
  <c r="B1091" i="2"/>
  <c r="N1090" i="2"/>
  <c r="K1090" i="2"/>
  <c r="H1090" i="2"/>
  <c r="G1090" i="2"/>
  <c r="F1090" i="2"/>
  <c r="E1090" i="2"/>
  <c r="C1090" i="2"/>
  <c r="B1090" i="2"/>
  <c r="N1089" i="2"/>
  <c r="K1089" i="2"/>
  <c r="H1089" i="2"/>
  <c r="G1089" i="2"/>
  <c r="F1089" i="2"/>
  <c r="E1089" i="2"/>
  <c r="C1089" i="2"/>
  <c r="B1089" i="2"/>
  <c r="N1088" i="2"/>
  <c r="K1088" i="2"/>
  <c r="H1088" i="2"/>
  <c r="G1088" i="2"/>
  <c r="F1088" i="2"/>
  <c r="E1088" i="2"/>
  <c r="C1088" i="2"/>
  <c r="B1088" i="2"/>
  <c r="N1087" i="2"/>
  <c r="K1087" i="2"/>
  <c r="H1087" i="2"/>
  <c r="G1087" i="2"/>
  <c r="F1087" i="2"/>
  <c r="E1087" i="2"/>
  <c r="C1087" i="2"/>
  <c r="B1087" i="2"/>
  <c r="N1086" i="2"/>
  <c r="K1086" i="2"/>
  <c r="H1086" i="2"/>
  <c r="G1086" i="2"/>
  <c r="F1086" i="2"/>
  <c r="E1086" i="2"/>
  <c r="C1086" i="2"/>
  <c r="B1086" i="2"/>
  <c r="N1085" i="2"/>
  <c r="K1085" i="2"/>
  <c r="H1085" i="2"/>
  <c r="G1085" i="2"/>
  <c r="F1085" i="2"/>
  <c r="E1085" i="2"/>
  <c r="C1085" i="2"/>
  <c r="B1085" i="2"/>
  <c r="N1084" i="2"/>
  <c r="K1084" i="2"/>
  <c r="H1084" i="2"/>
  <c r="G1084" i="2"/>
  <c r="F1084" i="2"/>
  <c r="E1084" i="2"/>
  <c r="C1084" i="2"/>
  <c r="B1084" i="2"/>
  <c r="N1083" i="2"/>
  <c r="K1083" i="2"/>
  <c r="H1083" i="2"/>
  <c r="G1083" i="2"/>
  <c r="F1083" i="2"/>
  <c r="E1083" i="2"/>
  <c r="C1083" i="2"/>
  <c r="B1083" i="2"/>
  <c r="N1082" i="2"/>
  <c r="K1082" i="2"/>
  <c r="H1082" i="2"/>
  <c r="G1082" i="2"/>
  <c r="F1082" i="2"/>
  <c r="E1082" i="2"/>
  <c r="C1082" i="2"/>
  <c r="B1082" i="2"/>
  <c r="N1081" i="2"/>
  <c r="K1081" i="2"/>
  <c r="H1081" i="2"/>
  <c r="G1081" i="2"/>
  <c r="F1081" i="2"/>
  <c r="E1081" i="2"/>
  <c r="C1081" i="2"/>
  <c r="B1081" i="2"/>
  <c r="N1080" i="2"/>
  <c r="K1080" i="2"/>
  <c r="H1080" i="2"/>
  <c r="G1080" i="2"/>
  <c r="F1080" i="2"/>
  <c r="E1080" i="2"/>
  <c r="C1080" i="2"/>
  <c r="B1080" i="2"/>
  <c r="N1079" i="2"/>
  <c r="K1079" i="2"/>
  <c r="H1079" i="2"/>
  <c r="G1079" i="2"/>
  <c r="F1079" i="2"/>
  <c r="E1079" i="2"/>
  <c r="C1079" i="2"/>
  <c r="B1079" i="2"/>
  <c r="N1078" i="2"/>
  <c r="K1078" i="2"/>
  <c r="H1078" i="2"/>
  <c r="G1078" i="2"/>
  <c r="F1078" i="2"/>
  <c r="E1078" i="2"/>
  <c r="C1078" i="2"/>
  <c r="B1078" i="2"/>
  <c r="N1077" i="2"/>
  <c r="K1077" i="2"/>
  <c r="H1077" i="2"/>
  <c r="G1077" i="2"/>
  <c r="F1077" i="2"/>
  <c r="E1077" i="2"/>
  <c r="C1077" i="2"/>
  <c r="B1077" i="2"/>
  <c r="N1076" i="2"/>
  <c r="K1076" i="2"/>
  <c r="H1076" i="2"/>
  <c r="G1076" i="2"/>
  <c r="F1076" i="2"/>
  <c r="E1076" i="2"/>
  <c r="C1076" i="2"/>
  <c r="B1076" i="2"/>
  <c r="N1075" i="2"/>
  <c r="K1075" i="2"/>
  <c r="H1075" i="2"/>
  <c r="G1075" i="2"/>
  <c r="F1075" i="2"/>
  <c r="E1075" i="2"/>
  <c r="C1075" i="2"/>
  <c r="B1075" i="2"/>
  <c r="N1074" i="2"/>
  <c r="K1074" i="2"/>
  <c r="H1074" i="2"/>
  <c r="G1074" i="2"/>
  <c r="F1074" i="2"/>
  <c r="E1074" i="2"/>
  <c r="C1074" i="2"/>
  <c r="B1074" i="2"/>
  <c r="N1073" i="2"/>
  <c r="K1073" i="2"/>
  <c r="H1073" i="2"/>
  <c r="G1073" i="2"/>
  <c r="F1073" i="2"/>
  <c r="E1073" i="2"/>
  <c r="C1073" i="2"/>
  <c r="B1073" i="2"/>
  <c r="N1072" i="2"/>
  <c r="K1072" i="2"/>
  <c r="H1072" i="2"/>
  <c r="G1072" i="2"/>
  <c r="F1072" i="2"/>
  <c r="E1072" i="2"/>
  <c r="C1072" i="2"/>
  <c r="B1072" i="2"/>
  <c r="N1071" i="2"/>
  <c r="K1071" i="2"/>
  <c r="H1071" i="2"/>
  <c r="G1071" i="2"/>
  <c r="F1071" i="2"/>
  <c r="E1071" i="2"/>
  <c r="C1071" i="2"/>
  <c r="B1071" i="2"/>
  <c r="N1070" i="2"/>
  <c r="K1070" i="2"/>
  <c r="H1070" i="2"/>
  <c r="G1070" i="2"/>
  <c r="F1070" i="2"/>
  <c r="E1070" i="2"/>
  <c r="C1070" i="2"/>
  <c r="B1070" i="2"/>
  <c r="N1069" i="2"/>
  <c r="K1069" i="2"/>
  <c r="H1069" i="2"/>
  <c r="G1069" i="2"/>
  <c r="F1069" i="2"/>
  <c r="E1069" i="2"/>
  <c r="C1069" i="2"/>
  <c r="B1069" i="2"/>
  <c r="N1068" i="2"/>
  <c r="K1068" i="2"/>
  <c r="H1068" i="2"/>
  <c r="G1068" i="2"/>
  <c r="F1068" i="2"/>
  <c r="E1068" i="2"/>
  <c r="C1068" i="2"/>
  <c r="B1068" i="2"/>
  <c r="N1067" i="2"/>
  <c r="K1067" i="2"/>
  <c r="H1067" i="2"/>
  <c r="G1067" i="2"/>
  <c r="F1067" i="2"/>
  <c r="E1067" i="2"/>
  <c r="C1067" i="2"/>
  <c r="B1067" i="2"/>
  <c r="N1066" i="2"/>
  <c r="K1066" i="2"/>
  <c r="H1066" i="2"/>
  <c r="G1066" i="2"/>
  <c r="F1066" i="2"/>
  <c r="E1066" i="2"/>
  <c r="C1066" i="2"/>
  <c r="B1066" i="2"/>
  <c r="N1065" i="2"/>
  <c r="K1065" i="2"/>
  <c r="H1065" i="2"/>
  <c r="G1065" i="2"/>
  <c r="F1065" i="2"/>
  <c r="E1065" i="2"/>
  <c r="C1065" i="2"/>
  <c r="B1065" i="2"/>
  <c r="N1064" i="2"/>
  <c r="K1064" i="2"/>
  <c r="H1064" i="2"/>
  <c r="G1064" i="2"/>
  <c r="F1064" i="2"/>
  <c r="E1064" i="2"/>
  <c r="C1064" i="2"/>
  <c r="B1064" i="2"/>
  <c r="N1063" i="2"/>
  <c r="K1063" i="2"/>
  <c r="H1063" i="2"/>
  <c r="G1063" i="2"/>
  <c r="F1063" i="2"/>
  <c r="E1063" i="2"/>
  <c r="C1063" i="2"/>
  <c r="B1063" i="2"/>
  <c r="N1062" i="2"/>
  <c r="K1062" i="2"/>
  <c r="H1062" i="2"/>
  <c r="G1062" i="2"/>
  <c r="F1062" i="2"/>
  <c r="E1062" i="2"/>
  <c r="C1062" i="2"/>
  <c r="B1062" i="2"/>
  <c r="N1061" i="2"/>
  <c r="K1061" i="2"/>
  <c r="H1061" i="2"/>
  <c r="G1061" i="2"/>
  <c r="F1061" i="2"/>
  <c r="E1061" i="2"/>
  <c r="C1061" i="2"/>
  <c r="B1061" i="2"/>
  <c r="N1060" i="2"/>
  <c r="K1060" i="2"/>
  <c r="H1060" i="2"/>
  <c r="G1060" i="2"/>
  <c r="F1060" i="2"/>
  <c r="E1060" i="2"/>
  <c r="C1060" i="2"/>
  <c r="B1060" i="2"/>
  <c r="N1059" i="2"/>
  <c r="K1059" i="2"/>
  <c r="H1059" i="2"/>
  <c r="G1059" i="2"/>
  <c r="F1059" i="2"/>
  <c r="E1059" i="2"/>
  <c r="C1059" i="2"/>
  <c r="B1059" i="2"/>
  <c r="N1058" i="2"/>
  <c r="K1058" i="2"/>
  <c r="H1058" i="2"/>
  <c r="G1058" i="2"/>
  <c r="F1058" i="2"/>
  <c r="E1058" i="2"/>
  <c r="C1058" i="2"/>
  <c r="B1058" i="2"/>
  <c r="N1057" i="2"/>
  <c r="K1057" i="2"/>
  <c r="H1057" i="2"/>
  <c r="G1057" i="2"/>
  <c r="F1057" i="2"/>
  <c r="E1057" i="2"/>
  <c r="C1057" i="2"/>
  <c r="B1057" i="2"/>
  <c r="N1056" i="2"/>
  <c r="K1056" i="2"/>
  <c r="H1056" i="2"/>
  <c r="G1056" i="2"/>
  <c r="F1056" i="2"/>
  <c r="E1056" i="2"/>
  <c r="C1056" i="2"/>
  <c r="B1056" i="2"/>
  <c r="N1055" i="2"/>
  <c r="K1055" i="2"/>
  <c r="H1055" i="2"/>
  <c r="G1055" i="2"/>
  <c r="F1055" i="2"/>
  <c r="E1055" i="2"/>
  <c r="C1055" i="2"/>
  <c r="B1055" i="2"/>
  <c r="N1054" i="2"/>
  <c r="K1054" i="2"/>
  <c r="H1054" i="2"/>
  <c r="G1054" i="2"/>
  <c r="F1054" i="2"/>
  <c r="E1054" i="2"/>
  <c r="C1054" i="2"/>
  <c r="B1054" i="2"/>
  <c r="N1053" i="2"/>
  <c r="K1053" i="2"/>
  <c r="H1053" i="2"/>
  <c r="G1053" i="2"/>
  <c r="F1053" i="2"/>
  <c r="E1053" i="2"/>
  <c r="C1053" i="2"/>
  <c r="B1053" i="2"/>
  <c r="N1052" i="2"/>
  <c r="K1052" i="2"/>
  <c r="H1052" i="2"/>
  <c r="G1052" i="2"/>
  <c r="F1052" i="2"/>
  <c r="E1052" i="2"/>
  <c r="C1052" i="2"/>
  <c r="B1052" i="2"/>
  <c r="N1051" i="2"/>
  <c r="K1051" i="2"/>
  <c r="H1051" i="2"/>
  <c r="G1051" i="2"/>
  <c r="F1051" i="2"/>
  <c r="E1051" i="2"/>
  <c r="C1051" i="2"/>
  <c r="B1051" i="2"/>
  <c r="N1050" i="2"/>
  <c r="K1050" i="2"/>
  <c r="H1050" i="2"/>
  <c r="G1050" i="2"/>
  <c r="F1050" i="2"/>
  <c r="E1050" i="2"/>
  <c r="C1050" i="2"/>
  <c r="B1050" i="2"/>
  <c r="N1049" i="2"/>
  <c r="K1049" i="2"/>
  <c r="H1049" i="2"/>
  <c r="G1049" i="2"/>
  <c r="F1049" i="2"/>
  <c r="E1049" i="2"/>
  <c r="C1049" i="2"/>
  <c r="B1049" i="2"/>
  <c r="N1048" i="2"/>
  <c r="K1048" i="2"/>
  <c r="H1048" i="2"/>
  <c r="G1048" i="2"/>
  <c r="F1048" i="2"/>
  <c r="E1048" i="2"/>
  <c r="C1048" i="2"/>
  <c r="B1048" i="2"/>
  <c r="N1047" i="2"/>
  <c r="K1047" i="2"/>
  <c r="H1047" i="2"/>
  <c r="G1047" i="2"/>
  <c r="F1047" i="2"/>
  <c r="E1047" i="2"/>
  <c r="C1047" i="2"/>
  <c r="B1047" i="2"/>
  <c r="N1046" i="2"/>
  <c r="K1046" i="2"/>
  <c r="H1046" i="2"/>
  <c r="G1046" i="2"/>
  <c r="F1046" i="2"/>
  <c r="E1046" i="2"/>
  <c r="C1046" i="2"/>
  <c r="B1046" i="2"/>
  <c r="N1045" i="2"/>
  <c r="K1045" i="2"/>
  <c r="H1045" i="2"/>
  <c r="G1045" i="2"/>
  <c r="F1045" i="2"/>
  <c r="E1045" i="2"/>
  <c r="C1045" i="2"/>
  <c r="B1045" i="2"/>
  <c r="N1044" i="2"/>
  <c r="K1044" i="2"/>
  <c r="H1044" i="2"/>
  <c r="G1044" i="2"/>
  <c r="F1044" i="2"/>
  <c r="E1044" i="2"/>
  <c r="C1044" i="2"/>
  <c r="B1044" i="2"/>
  <c r="N1043" i="2"/>
  <c r="K1043" i="2"/>
  <c r="H1043" i="2"/>
  <c r="G1043" i="2"/>
  <c r="F1043" i="2"/>
  <c r="E1043" i="2"/>
  <c r="C1043" i="2"/>
  <c r="B1043" i="2"/>
  <c r="N1042" i="2"/>
  <c r="K1042" i="2"/>
  <c r="H1042" i="2"/>
  <c r="G1042" i="2"/>
  <c r="F1042" i="2"/>
  <c r="E1042" i="2"/>
  <c r="C1042" i="2"/>
  <c r="B1042" i="2"/>
  <c r="N1041" i="2"/>
  <c r="K1041" i="2"/>
  <c r="H1041" i="2"/>
  <c r="G1041" i="2"/>
  <c r="F1041" i="2"/>
  <c r="E1041" i="2"/>
  <c r="C1041" i="2"/>
  <c r="B1041" i="2"/>
  <c r="N1040" i="2"/>
  <c r="K1040" i="2"/>
  <c r="H1040" i="2"/>
  <c r="G1040" i="2"/>
  <c r="F1040" i="2"/>
  <c r="E1040" i="2"/>
  <c r="C1040" i="2"/>
  <c r="B1040" i="2"/>
  <c r="N1039" i="2"/>
  <c r="K1039" i="2"/>
  <c r="H1039" i="2"/>
  <c r="G1039" i="2"/>
  <c r="F1039" i="2"/>
  <c r="E1039" i="2"/>
  <c r="C1039" i="2"/>
  <c r="B1039" i="2"/>
  <c r="N1038" i="2"/>
  <c r="K1038" i="2"/>
  <c r="H1038" i="2"/>
  <c r="G1038" i="2"/>
  <c r="F1038" i="2"/>
  <c r="E1038" i="2"/>
  <c r="C1038" i="2"/>
  <c r="B1038" i="2"/>
  <c r="N1037" i="2"/>
  <c r="K1037" i="2"/>
  <c r="H1037" i="2"/>
  <c r="G1037" i="2"/>
  <c r="F1037" i="2"/>
  <c r="E1037" i="2"/>
  <c r="C1037" i="2"/>
  <c r="B1037" i="2"/>
  <c r="N1036" i="2"/>
  <c r="K1036" i="2"/>
  <c r="H1036" i="2"/>
  <c r="G1036" i="2"/>
  <c r="F1036" i="2"/>
  <c r="E1036" i="2"/>
  <c r="C1036" i="2"/>
  <c r="B1036" i="2"/>
  <c r="N1035" i="2"/>
  <c r="K1035" i="2"/>
  <c r="H1035" i="2"/>
  <c r="G1035" i="2"/>
  <c r="F1035" i="2"/>
  <c r="E1035" i="2"/>
  <c r="C1035" i="2"/>
  <c r="B1035" i="2"/>
  <c r="N1034" i="2"/>
  <c r="K1034" i="2"/>
  <c r="H1034" i="2"/>
  <c r="G1034" i="2"/>
  <c r="F1034" i="2"/>
  <c r="E1034" i="2"/>
  <c r="C1034" i="2"/>
  <c r="B1034" i="2"/>
  <c r="N1033" i="2"/>
  <c r="K1033" i="2"/>
  <c r="H1033" i="2"/>
  <c r="G1033" i="2"/>
  <c r="F1033" i="2"/>
  <c r="E1033" i="2"/>
  <c r="C1033" i="2"/>
  <c r="B1033" i="2"/>
  <c r="N1032" i="2"/>
  <c r="K1032" i="2"/>
  <c r="H1032" i="2"/>
  <c r="G1032" i="2"/>
  <c r="F1032" i="2"/>
  <c r="E1032" i="2"/>
  <c r="C1032" i="2"/>
  <c r="B1032" i="2"/>
  <c r="N1031" i="2"/>
  <c r="K1031" i="2"/>
  <c r="H1031" i="2"/>
  <c r="G1031" i="2"/>
  <c r="F1031" i="2"/>
  <c r="E1031" i="2"/>
  <c r="C1031" i="2"/>
  <c r="B1031" i="2"/>
  <c r="N1030" i="2"/>
  <c r="K1030" i="2"/>
  <c r="H1030" i="2"/>
  <c r="G1030" i="2"/>
  <c r="F1030" i="2"/>
  <c r="E1030" i="2"/>
  <c r="C1030" i="2"/>
  <c r="B1030" i="2"/>
  <c r="N1029" i="2"/>
  <c r="K1029" i="2"/>
  <c r="H1029" i="2"/>
  <c r="G1029" i="2"/>
  <c r="F1029" i="2"/>
  <c r="E1029" i="2"/>
  <c r="C1029" i="2"/>
  <c r="B1029" i="2"/>
  <c r="N1028" i="2"/>
  <c r="K1028" i="2"/>
  <c r="H1028" i="2"/>
  <c r="G1028" i="2"/>
  <c r="F1028" i="2"/>
  <c r="E1028" i="2"/>
  <c r="C1028" i="2"/>
  <c r="B1028" i="2"/>
  <c r="N1027" i="2"/>
  <c r="K1027" i="2"/>
  <c r="H1027" i="2"/>
  <c r="G1027" i="2"/>
  <c r="F1027" i="2"/>
  <c r="E1027" i="2"/>
  <c r="C1027" i="2"/>
  <c r="B1027" i="2"/>
  <c r="N1026" i="2"/>
  <c r="K1026" i="2"/>
  <c r="H1026" i="2"/>
  <c r="G1026" i="2"/>
  <c r="F1026" i="2"/>
  <c r="E1026" i="2"/>
  <c r="C1026" i="2"/>
  <c r="B1026" i="2"/>
  <c r="N1025" i="2"/>
  <c r="K1025" i="2"/>
  <c r="H1025" i="2"/>
  <c r="G1025" i="2"/>
  <c r="F1025" i="2"/>
  <c r="E1025" i="2"/>
  <c r="C1025" i="2"/>
  <c r="B1025" i="2"/>
  <c r="N1024" i="2"/>
  <c r="K1024" i="2"/>
  <c r="H1024" i="2"/>
  <c r="G1024" i="2"/>
  <c r="F1024" i="2"/>
  <c r="E1024" i="2"/>
  <c r="C1024" i="2"/>
  <c r="B1024" i="2"/>
  <c r="N1023" i="2"/>
  <c r="K1023" i="2"/>
  <c r="H1023" i="2"/>
  <c r="G1023" i="2"/>
  <c r="F1023" i="2"/>
  <c r="E1023" i="2"/>
  <c r="C1023" i="2"/>
  <c r="B1023" i="2"/>
  <c r="N1022" i="2"/>
  <c r="K1022" i="2"/>
  <c r="H1022" i="2"/>
  <c r="G1022" i="2"/>
  <c r="F1022" i="2"/>
  <c r="E1022" i="2"/>
  <c r="C1022" i="2"/>
  <c r="B1022" i="2"/>
  <c r="N1021" i="2"/>
  <c r="K1021" i="2"/>
  <c r="H1021" i="2"/>
  <c r="G1021" i="2"/>
  <c r="F1021" i="2"/>
  <c r="E1021" i="2"/>
  <c r="C1021" i="2"/>
  <c r="B1021" i="2"/>
  <c r="N1020" i="2"/>
  <c r="K1020" i="2"/>
  <c r="H1020" i="2"/>
  <c r="G1020" i="2"/>
  <c r="F1020" i="2"/>
  <c r="E1020" i="2"/>
  <c r="C1020" i="2"/>
  <c r="B1020" i="2"/>
  <c r="N1019" i="2"/>
  <c r="K1019" i="2"/>
  <c r="H1019" i="2"/>
  <c r="G1019" i="2"/>
  <c r="F1019" i="2"/>
  <c r="E1019" i="2"/>
  <c r="C1019" i="2"/>
  <c r="B1019" i="2"/>
  <c r="N1018" i="2"/>
  <c r="K1018" i="2"/>
  <c r="H1018" i="2"/>
  <c r="G1018" i="2"/>
  <c r="F1018" i="2"/>
  <c r="E1018" i="2"/>
  <c r="C1018" i="2"/>
  <c r="B1018" i="2"/>
  <c r="N1017" i="2"/>
  <c r="K1017" i="2"/>
  <c r="H1017" i="2"/>
  <c r="G1017" i="2"/>
  <c r="F1017" i="2"/>
  <c r="E1017" i="2"/>
  <c r="C1017" i="2"/>
  <c r="B1017" i="2"/>
  <c r="N1016" i="2"/>
  <c r="K1016" i="2"/>
  <c r="H1016" i="2"/>
  <c r="G1016" i="2"/>
  <c r="F1016" i="2"/>
  <c r="E1016" i="2"/>
  <c r="C1016" i="2"/>
  <c r="B1016" i="2"/>
  <c r="N1015" i="2"/>
  <c r="K1015" i="2"/>
  <c r="H1015" i="2"/>
  <c r="G1015" i="2"/>
  <c r="F1015" i="2"/>
  <c r="E1015" i="2"/>
  <c r="C1015" i="2"/>
  <c r="B1015" i="2"/>
  <c r="N1014" i="2"/>
  <c r="K1014" i="2"/>
  <c r="H1014" i="2"/>
  <c r="G1014" i="2"/>
  <c r="F1014" i="2"/>
  <c r="E1014" i="2"/>
  <c r="C1014" i="2"/>
  <c r="B1014" i="2"/>
  <c r="N1013" i="2"/>
  <c r="K1013" i="2"/>
  <c r="H1013" i="2"/>
  <c r="G1013" i="2"/>
  <c r="F1013" i="2"/>
  <c r="E1013" i="2"/>
  <c r="C1013" i="2"/>
  <c r="B1013" i="2"/>
  <c r="N1012" i="2"/>
  <c r="K1012" i="2"/>
  <c r="H1012" i="2"/>
  <c r="G1012" i="2"/>
  <c r="F1012" i="2"/>
  <c r="E1012" i="2"/>
  <c r="C1012" i="2"/>
  <c r="B1012" i="2"/>
  <c r="N1011" i="2"/>
  <c r="K1011" i="2"/>
  <c r="H1011" i="2"/>
  <c r="G1011" i="2"/>
  <c r="F1011" i="2"/>
  <c r="E1011" i="2"/>
  <c r="C1011" i="2"/>
  <c r="B1011" i="2"/>
  <c r="N1010" i="2"/>
  <c r="K1010" i="2"/>
  <c r="H1010" i="2"/>
  <c r="G1010" i="2"/>
  <c r="F1010" i="2"/>
  <c r="E1010" i="2"/>
  <c r="C1010" i="2"/>
  <c r="B1010" i="2"/>
  <c r="N1009" i="2"/>
  <c r="K1009" i="2"/>
  <c r="H1009" i="2"/>
  <c r="G1009" i="2"/>
  <c r="F1009" i="2"/>
  <c r="E1009" i="2"/>
  <c r="C1009" i="2"/>
  <c r="B1009" i="2"/>
  <c r="N1008" i="2"/>
  <c r="K1008" i="2"/>
  <c r="H1008" i="2"/>
  <c r="G1008" i="2"/>
  <c r="F1008" i="2"/>
  <c r="E1008" i="2"/>
  <c r="C1008" i="2"/>
  <c r="B1008" i="2"/>
  <c r="N1007" i="2"/>
  <c r="K1007" i="2"/>
  <c r="H1007" i="2"/>
  <c r="G1007" i="2"/>
  <c r="F1007" i="2"/>
  <c r="E1007" i="2"/>
  <c r="C1007" i="2"/>
  <c r="B1007" i="2"/>
  <c r="N1006" i="2"/>
  <c r="K1006" i="2"/>
  <c r="H1006" i="2"/>
  <c r="G1006" i="2"/>
  <c r="F1006" i="2"/>
  <c r="E1006" i="2"/>
  <c r="C1006" i="2"/>
  <c r="B1006" i="2"/>
  <c r="N1005" i="2"/>
  <c r="K1005" i="2"/>
  <c r="H1005" i="2"/>
  <c r="G1005" i="2"/>
  <c r="F1005" i="2"/>
  <c r="E1005" i="2"/>
  <c r="C1005" i="2"/>
  <c r="B1005" i="2"/>
  <c r="N1004" i="2"/>
  <c r="K1004" i="2"/>
  <c r="H1004" i="2"/>
  <c r="G1004" i="2"/>
  <c r="F1004" i="2"/>
  <c r="E1004" i="2"/>
  <c r="C1004" i="2"/>
  <c r="B1004" i="2"/>
  <c r="N1003" i="2"/>
  <c r="K1003" i="2"/>
  <c r="H1003" i="2"/>
  <c r="G1003" i="2"/>
  <c r="F1003" i="2"/>
  <c r="E1003" i="2"/>
  <c r="C1003" i="2"/>
  <c r="B1003" i="2"/>
  <c r="N1002" i="2"/>
  <c r="K1002" i="2"/>
  <c r="H1002" i="2"/>
  <c r="G1002" i="2"/>
  <c r="F1002" i="2"/>
  <c r="E1002" i="2"/>
  <c r="C1002" i="2"/>
  <c r="B1002" i="2"/>
  <c r="N1001" i="2"/>
  <c r="K1001" i="2"/>
  <c r="H1001" i="2"/>
  <c r="G1001" i="2"/>
  <c r="F1001" i="2"/>
  <c r="E1001" i="2"/>
  <c r="C1001" i="2"/>
  <c r="B1001" i="2"/>
  <c r="N1000" i="2"/>
  <c r="K1000" i="2"/>
  <c r="H1000" i="2"/>
  <c r="G1000" i="2"/>
  <c r="F1000" i="2"/>
  <c r="E1000" i="2"/>
  <c r="C1000" i="2"/>
  <c r="B1000" i="2"/>
  <c r="N999" i="2"/>
  <c r="K999" i="2"/>
  <c r="H999" i="2"/>
  <c r="G999" i="2"/>
  <c r="F999" i="2"/>
  <c r="E999" i="2"/>
  <c r="C999" i="2"/>
  <c r="B999" i="2"/>
  <c r="N998" i="2"/>
  <c r="K998" i="2"/>
  <c r="H998" i="2"/>
  <c r="G998" i="2"/>
  <c r="F998" i="2"/>
  <c r="E998" i="2"/>
  <c r="C998" i="2"/>
  <c r="B998" i="2"/>
  <c r="N997" i="2"/>
  <c r="K997" i="2"/>
  <c r="H997" i="2"/>
  <c r="G997" i="2"/>
  <c r="F997" i="2"/>
  <c r="E997" i="2"/>
  <c r="C997" i="2"/>
  <c r="B997" i="2"/>
  <c r="N996" i="2"/>
  <c r="K996" i="2"/>
  <c r="H996" i="2"/>
  <c r="G996" i="2"/>
  <c r="F996" i="2"/>
  <c r="E996" i="2"/>
  <c r="C996" i="2"/>
  <c r="B996" i="2"/>
  <c r="N995" i="2"/>
  <c r="K995" i="2"/>
  <c r="H995" i="2"/>
  <c r="G995" i="2"/>
  <c r="F995" i="2"/>
  <c r="E995" i="2"/>
  <c r="C995" i="2"/>
  <c r="B995" i="2"/>
  <c r="N994" i="2"/>
  <c r="K994" i="2"/>
  <c r="H994" i="2"/>
  <c r="G994" i="2"/>
  <c r="F994" i="2"/>
  <c r="E994" i="2"/>
  <c r="C994" i="2"/>
  <c r="B994" i="2"/>
  <c r="N993" i="2"/>
  <c r="K993" i="2"/>
  <c r="H993" i="2"/>
  <c r="G993" i="2"/>
  <c r="F993" i="2"/>
  <c r="E993" i="2"/>
  <c r="C993" i="2"/>
  <c r="B993" i="2"/>
  <c r="N992" i="2"/>
  <c r="K992" i="2"/>
  <c r="H992" i="2"/>
  <c r="G992" i="2"/>
  <c r="F992" i="2"/>
  <c r="E992" i="2"/>
  <c r="C992" i="2"/>
  <c r="B992" i="2"/>
  <c r="N991" i="2"/>
  <c r="K991" i="2"/>
  <c r="H991" i="2"/>
  <c r="G991" i="2"/>
  <c r="F991" i="2"/>
  <c r="E991" i="2"/>
  <c r="C991" i="2"/>
  <c r="B991" i="2"/>
  <c r="N990" i="2"/>
  <c r="K990" i="2"/>
  <c r="H990" i="2"/>
  <c r="G990" i="2"/>
  <c r="F990" i="2"/>
  <c r="E990" i="2"/>
  <c r="C990" i="2"/>
  <c r="B990" i="2"/>
  <c r="N989" i="2"/>
  <c r="K989" i="2"/>
  <c r="H989" i="2"/>
  <c r="G989" i="2"/>
  <c r="F989" i="2"/>
  <c r="E989" i="2"/>
  <c r="C989" i="2"/>
  <c r="B989" i="2"/>
  <c r="N988" i="2"/>
  <c r="K988" i="2"/>
  <c r="H988" i="2"/>
  <c r="G988" i="2"/>
  <c r="F988" i="2"/>
  <c r="E988" i="2"/>
  <c r="C988" i="2"/>
  <c r="B988" i="2"/>
  <c r="N987" i="2"/>
  <c r="K987" i="2"/>
  <c r="H987" i="2"/>
  <c r="G987" i="2"/>
  <c r="F987" i="2"/>
  <c r="E987" i="2"/>
  <c r="C987" i="2"/>
  <c r="B987" i="2"/>
  <c r="N986" i="2"/>
  <c r="K986" i="2"/>
  <c r="H986" i="2"/>
  <c r="G986" i="2"/>
  <c r="F986" i="2"/>
  <c r="E986" i="2"/>
  <c r="C986" i="2"/>
  <c r="B986" i="2"/>
  <c r="N985" i="2"/>
  <c r="K985" i="2"/>
  <c r="H985" i="2"/>
  <c r="G985" i="2"/>
  <c r="F985" i="2"/>
  <c r="E985" i="2"/>
  <c r="C985" i="2"/>
  <c r="B985" i="2"/>
  <c r="N984" i="2"/>
  <c r="K984" i="2"/>
  <c r="H984" i="2"/>
  <c r="G984" i="2"/>
  <c r="F984" i="2"/>
  <c r="E984" i="2"/>
  <c r="C984" i="2"/>
  <c r="B984" i="2"/>
  <c r="N983" i="2"/>
  <c r="K983" i="2"/>
  <c r="H983" i="2"/>
  <c r="G983" i="2"/>
  <c r="F983" i="2"/>
  <c r="E983" i="2"/>
  <c r="C983" i="2"/>
  <c r="B983" i="2"/>
  <c r="N982" i="2"/>
  <c r="K982" i="2"/>
  <c r="H982" i="2"/>
  <c r="G982" i="2"/>
  <c r="F982" i="2"/>
  <c r="E982" i="2"/>
  <c r="C982" i="2"/>
  <c r="B982" i="2"/>
  <c r="N981" i="2"/>
  <c r="K981" i="2"/>
  <c r="H981" i="2"/>
  <c r="G981" i="2"/>
  <c r="F981" i="2"/>
  <c r="E981" i="2"/>
  <c r="C981" i="2"/>
  <c r="B981" i="2"/>
  <c r="N980" i="2"/>
  <c r="K980" i="2"/>
  <c r="H980" i="2"/>
  <c r="G980" i="2"/>
  <c r="F980" i="2"/>
  <c r="E980" i="2"/>
  <c r="C980" i="2"/>
  <c r="B980" i="2"/>
  <c r="N979" i="2"/>
  <c r="K979" i="2"/>
  <c r="H979" i="2"/>
  <c r="G979" i="2"/>
  <c r="F979" i="2"/>
  <c r="E979" i="2"/>
  <c r="C979" i="2"/>
  <c r="B979" i="2"/>
  <c r="N978" i="2"/>
  <c r="K978" i="2"/>
  <c r="H978" i="2"/>
  <c r="G978" i="2"/>
  <c r="F978" i="2"/>
  <c r="E978" i="2"/>
  <c r="C978" i="2"/>
  <c r="B978" i="2"/>
  <c r="N977" i="2"/>
  <c r="K977" i="2"/>
  <c r="H977" i="2"/>
  <c r="G977" i="2"/>
  <c r="F977" i="2"/>
  <c r="E977" i="2"/>
  <c r="C977" i="2"/>
  <c r="B977" i="2"/>
  <c r="N976" i="2"/>
  <c r="K976" i="2"/>
  <c r="H976" i="2"/>
  <c r="G976" i="2"/>
  <c r="F976" i="2"/>
  <c r="E976" i="2"/>
  <c r="C976" i="2"/>
  <c r="B976" i="2"/>
  <c r="N975" i="2"/>
  <c r="K975" i="2"/>
  <c r="H975" i="2"/>
  <c r="G975" i="2"/>
  <c r="F975" i="2"/>
  <c r="E975" i="2"/>
  <c r="C975" i="2"/>
  <c r="B975" i="2"/>
  <c r="N974" i="2"/>
  <c r="K974" i="2"/>
  <c r="H974" i="2"/>
  <c r="G974" i="2"/>
  <c r="F974" i="2"/>
  <c r="E974" i="2"/>
  <c r="C974" i="2"/>
  <c r="B974" i="2"/>
  <c r="N973" i="2"/>
  <c r="K973" i="2"/>
  <c r="H973" i="2"/>
  <c r="G973" i="2"/>
  <c r="F973" i="2"/>
  <c r="E973" i="2"/>
  <c r="C973" i="2"/>
  <c r="B973" i="2"/>
  <c r="N972" i="2"/>
  <c r="K972" i="2"/>
  <c r="H972" i="2"/>
  <c r="G972" i="2"/>
  <c r="F972" i="2"/>
  <c r="E972" i="2"/>
  <c r="C972" i="2"/>
  <c r="B972" i="2"/>
  <c r="N971" i="2"/>
  <c r="K971" i="2"/>
  <c r="H971" i="2"/>
  <c r="G971" i="2"/>
  <c r="F971" i="2"/>
  <c r="E971" i="2"/>
  <c r="C971" i="2"/>
  <c r="B971" i="2"/>
  <c r="N970" i="2"/>
  <c r="K970" i="2"/>
  <c r="H970" i="2"/>
  <c r="G970" i="2"/>
  <c r="F970" i="2"/>
  <c r="E970" i="2"/>
  <c r="C970" i="2"/>
  <c r="B970" i="2"/>
  <c r="N969" i="2"/>
  <c r="K969" i="2"/>
  <c r="H969" i="2"/>
  <c r="G969" i="2"/>
  <c r="F969" i="2"/>
  <c r="E969" i="2"/>
  <c r="C969" i="2"/>
  <c r="B969" i="2"/>
  <c r="N968" i="2"/>
  <c r="K968" i="2"/>
  <c r="H968" i="2"/>
  <c r="G968" i="2"/>
  <c r="F968" i="2"/>
  <c r="E968" i="2"/>
  <c r="C968" i="2"/>
  <c r="B968" i="2"/>
  <c r="N967" i="2"/>
  <c r="K967" i="2"/>
  <c r="H967" i="2"/>
  <c r="G967" i="2"/>
  <c r="F967" i="2"/>
  <c r="E967" i="2"/>
  <c r="C967" i="2"/>
  <c r="B967" i="2"/>
  <c r="N966" i="2"/>
  <c r="K966" i="2"/>
  <c r="H966" i="2"/>
  <c r="G966" i="2"/>
  <c r="F966" i="2"/>
  <c r="E966" i="2"/>
  <c r="C966" i="2"/>
  <c r="B966" i="2"/>
  <c r="N965" i="2"/>
  <c r="K965" i="2"/>
  <c r="H965" i="2"/>
  <c r="G965" i="2"/>
  <c r="F965" i="2"/>
  <c r="E965" i="2"/>
  <c r="C965" i="2"/>
  <c r="B965" i="2"/>
  <c r="N964" i="2"/>
  <c r="K964" i="2"/>
  <c r="H964" i="2"/>
  <c r="G964" i="2"/>
  <c r="F964" i="2"/>
  <c r="E964" i="2"/>
  <c r="C964" i="2"/>
  <c r="B964" i="2"/>
  <c r="N963" i="2"/>
  <c r="K963" i="2"/>
  <c r="H963" i="2"/>
  <c r="G963" i="2"/>
  <c r="F963" i="2"/>
  <c r="E963" i="2"/>
  <c r="C963" i="2"/>
  <c r="B963" i="2"/>
  <c r="N962" i="2"/>
  <c r="K962" i="2"/>
  <c r="H962" i="2"/>
  <c r="G962" i="2"/>
  <c r="F962" i="2"/>
  <c r="E962" i="2"/>
  <c r="C962" i="2"/>
  <c r="B962" i="2"/>
  <c r="N961" i="2"/>
  <c r="K961" i="2"/>
  <c r="H961" i="2"/>
  <c r="G961" i="2"/>
  <c r="F961" i="2"/>
  <c r="E961" i="2"/>
  <c r="C961" i="2"/>
  <c r="B961" i="2"/>
  <c r="N960" i="2"/>
  <c r="K960" i="2"/>
  <c r="H960" i="2"/>
  <c r="G960" i="2"/>
  <c r="F960" i="2"/>
  <c r="E960" i="2"/>
  <c r="C960" i="2"/>
  <c r="B960" i="2"/>
  <c r="N959" i="2"/>
  <c r="K959" i="2"/>
  <c r="H959" i="2"/>
  <c r="G959" i="2"/>
  <c r="F959" i="2"/>
  <c r="E959" i="2"/>
  <c r="C959" i="2"/>
  <c r="B959" i="2"/>
  <c r="N958" i="2"/>
  <c r="K958" i="2"/>
  <c r="H958" i="2"/>
  <c r="G958" i="2"/>
  <c r="F958" i="2"/>
  <c r="E958" i="2"/>
  <c r="C958" i="2"/>
  <c r="B958" i="2"/>
  <c r="N957" i="2"/>
  <c r="K957" i="2"/>
  <c r="H957" i="2"/>
  <c r="G957" i="2"/>
  <c r="F957" i="2"/>
  <c r="E957" i="2"/>
  <c r="C957" i="2"/>
  <c r="B957" i="2"/>
  <c r="N956" i="2"/>
  <c r="K956" i="2"/>
  <c r="H956" i="2"/>
  <c r="G956" i="2"/>
  <c r="F956" i="2"/>
  <c r="E956" i="2"/>
  <c r="C956" i="2"/>
  <c r="B956" i="2"/>
  <c r="N955" i="2"/>
  <c r="K955" i="2"/>
  <c r="H955" i="2"/>
  <c r="G955" i="2"/>
  <c r="F955" i="2"/>
  <c r="E955" i="2"/>
  <c r="C955" i="2"/>
  <c r="B955" i="2"/>
  <c r="N954" i="2"/>
  <c r="K954" i="2"/>
  <c r="H954" i="2"/>
  <c r="G954" i="2"/>
  <c r="F954" i="2"/>
  <c r="E954" i="2"/>
  <c r="C954" i="2"/>
  <c r="B954" i="2"/>
  <c r="N953" i="2"/>
  <c r="K953" i="2"/>
  <c r="H953" i="2"/>
  <c r="G953" i="2"/>
  <c r="F953" i="2"/>
  <c r="E953" i="2"/>
  <c r="C953" i="2"/>
  <c r="B953" i="2"/>
  <c r="N952" i="2"/>
  <c r="K952" i="2"/>
  <c r="H952" i="2"/>
  <c r="G952" i="2"/>
  <c r="F952" i="2"/>
  <c r="E952" i="2"/>
  <c r="C952" i="2"/>
  <c r="B952" i="2"/>
  <c r="N951" i="2"/>
  <c r="K951" i="2"/>
  <c r="H951" i="2"/>
  <c r="G951" i="2"/>
  <c r="F951" i="2"/>
  <c r="E951" i="2"/>
  <c r="C951" i="2"/>
  <c r="B951" i="2"/>
  <c r="N950" i="2"/>
  <c r="K950" i="2"/>
  <c r="H950" i="2"/>
  <c r="G950" i="2"/>
  <c r="F950" i="2"/>
  <c r="E950" i="2"/>
  <c r="C950" i="2"/>
  <c r="B950" i="2"/>
  <c r="N949" i="2"/>
  <c r="K949" i="2"/>
  <c r="H949" i="2"/>
  <c r="G949" i="2"/>
  <c r="F949" i="2"/>
  <c r="E949" i="2"/>
  <c r="C949" i="2"/>
  <c r="B949" i="2"/>
  <c r="N948" i="2"/>
  <c r="K948" i="2"/>
  <c r="H948" i="2"/>
  <c r="G948" i="2"/>
  <c r="F948" i="2"/>
  <c r="E948" i="2"/>
  <c r="C948" i="2"/>
  <c r="B948" i="2"/>
  <c r="N947" i="2"/>
  <c r="K947" i="2"/>
  <c r="H947" i="2"/>
  <c r="G947" i="2"/>
  <c r="F947" i="2"/>
  <c r="E947" i="2"/>
  <c r="C947" i="2"/>
  <c r="B947" i="2"/>
  <c r="N946" i="2"/>
  <c r="K946" i="2"/>
  <c r="H946" i="2"/>
  <c r="G946" i="2"/>
  <c r="F946" i="2"/>
  <c r="E946" i="2"/>
  <c r="C946" i="2"/>
  <c r="B946" i="2"/>
  <c r="N945" i="2"/>
  <c r="K945" i="2"/>
  <c r="H945" i="2"/>
  <c r="G945" i="2"/>
  <c r="F945" i="2"/>
  <c r="E945" i="2"/>
  <c r="C945" i="2"/>
  <c r="B945" i="2"/>
  <c r="N944" i="2"/>
  <c r="K944" i="2"/>
  <c r="H944" i="2"/>
  <c r="G944" i="2"/>
  <c r="F944" i="2"/>
  <c r="E944" i="2"/>
  <c r="C944" i="2"/>
  <c r="B944" i="2"/>
  <c r="N943" i="2"/>
  <c r="K943" i="2"/>
  <c r="H943" i="2"/>
  <c r="G943" i="2"/>
  <c r="F943" i="2"/>
  <c r="E943" i="2"/>
  <c r="C943" i="2"/>
  <c r="B943" i="2"/>
  <c r="N942" i="2"/>
  <c r="K942" i="2"/>
  <c r="H942" i="2"/>
  <c r="G942" i="2"/>
  <c r="F942" i="2"/>
  <c r="E942" i="2"/>
  <c r="C942" i="2"/>
  <c r="B942" i="2"/>
  <c r="N941" i="2"/>
  <c r="K941" i="2"/>
  <c r="H941" i="2"/>
  <c r="G941" i="2"/>
  <c r="F941" i="2"/>
  <c r="E941" i="2"/>
  <c r="C941" i="2"/>
  <c r="B941" i="2"/>
  <c r="N940" i="2"/>
  <c r="K940" i="2"/>
  <c r="H940" i="2"/>
  <c r="G940" i="2"/>
  <c r="F940" i="2"/>
  <c r="E940" i="2"/>
  <c r="C940" i="2"/>
  <c r="B940" i="2"/>
  <c r="N939" i="2"/>
  <c r="K939" i="2"/>
  <c r="H939" i="2"/>
  <c r="G939" i="2"/>
  <c r="F939" i="2"/>
  <c r="E939" i="2"/>
  <c r="C939" i="2"/>
  <c r="B939" i="2"/>
  <c r="N938" i="2"/>
  <c r="K938" i="2"/>
  <c r="H938" i="2"/>
  <c r="G938" i="2"/>
  <c r="F938" i="2"/>
  <c r="E938" i="2"/>
  <c r="C938" i="2"/>
  <c r="B938" i="2"/>
  <c r="N937" i="2"/>
  <c r="K937" i="2"/>
  <c r="H937" i="2"/>
  <c r="G937" i="2"/>
  <c r="F937" i="2"/>
  <c r="E937" i="2"/>
  <c r="C937" i="2"/>
  <c r="B937" i="2"/>
  <c r="N936" i="2"/>
  <c r="K936" i="2"/>
  <c r="H936" i="2"/>
  <c r="G936" i="2"/>
  <c r="F936" i="2"/>
  <c r="E936" i="2"/>
  <c r="C936" i="2"/>
  <c r="B936" i="2"/>
  <c r="N935" i="2"/>
  <c r="K935" i="2"/>
  <c r="H935" i="2"/>
  <c r="G935" i="2"/>
  <c r="F935" i="2"/>
  <c r="E935" i="2"/>
  <c r="C935" i="2"/>
  <c r="B935" i="2"/>
  <c r="N934" i="2"/>
  <c r="K934" i="2"/>
  <c r="H934" i="2"/>
  <c r="G934" i="2"/>
  <c r="F934" i="2"/>
  <c r="E934" i="2"/>
  <c r="C934" i="2"/>
  <c r="B934" i="2"/>
  <c r="N933" i="2"/>
  <c r="K933" i="2"/>
  <c r="H933" i="2"/>
  <c r="G933" i="2"/>
  <c r="F933" i="2"/>
  <c r="E933" i="2"/>
  <c r="C933" i="2"/>
  <c r="B933" i="2"/>
  <c r="N932" i="2"/>
  <c r="K932" i="2"/>
  <c r="H932" i="2"/>
  <c r="G932" i="2"/>
  <c r="F932" i="2"/>
  <c r="E932" i="2"/>
  <c r="C932" i="2"/>
  <c r="B932" i="2"/>
  <c r="N931" i="2"/>
  <c r="K931" i="2"/>
  <c r="H931" i="2"/>
  <c r="G931" i="2"/>
  <c r="F931" i="2"/>
  <c r="E931" i="2"/>
  <c r="C931" i="2"/>
  <c r="B931" i="2"/>
  <c r="N930" i="2"/>
  <c r="K930" i="2"/>
  <c r="H930" i="2"/>
  <c r="G930" i="2"/>
  <c r="F930" i="2"/>
  <c r="E930" i="2"/>
  <c r="C930" i="2"/>
  <c r="B930" i="2"/>
  <c r="N929" i="2"/>
  <c r="K929" i="2"/>
  <c r="H929" i="2"/>
  <c r="G929" i="2"/>
  <c r="F929" i="2"/>
  <c r="E929" i="2"/>
  <c r="C929" i="2"/>
  <c r="B929" i="2"/>
  <c r="N928" i="2"/>
  <c r="K928" i="2"/>
  <c r="H928" i="2"/>
  <c r="G928" i="2"/>
  <c r="F928" i="2"/>
  <c r="E928" i="2"/>
  <c r="C928" i="2"/>
  <c r="B928" i="2"/>
  <c r="N927" i="2"/>
  <c r="K927" i="2"/>
  <c r="H927" i="2"/>
  <c r="G927" i="2"/>
  <c r="F927" i="2"/>
  <c r="E927" i="2"/>
  <c r="C927" i="2"/>
  <c r="B927" i="2"/>
  <c r="N926" i="2"/>
  <c r="K926" i="2"/>
  <c r="H926" i="2"/>
  <c r="G926" i="2"/>
  <c r="F926" i="2"/>
  <c r="E926" i="2"/>
  <c r="C926" i="2"/>
  <c r="B926" i="2"/>
  <c r="N925" i="2"/>
  <c r="K925" i="2"/>
  <c r="H925" i="2"/>
  <c r="G925" i="2"/>
  <c r="F925" i="2"/>
  <c r="E925" i="2"/>
  <c r="C925" i="2"/>
  <c r="B925" i="2"/>
  <c r="N924" i="2"/>
  <c r="K924" i="2"/>
  <c r="H924" i="2"/>
  <c r="G924" i="2"/>
  <c r="F924" i="2"/>
  <c r="E924" i="2"/>
  <c r="C924" i="2"/>
  <c r="B924" i="2"/>
  <c r="N923" i="2"/>
  <c r="K923" i="2"/>
  <c r="H923" i="2"/>
  <c r="G923" i="2"/>
  <c r="F923" i="2"/>
  <c r="E923" i="2"/>
  <c r="C923" i="2"/>
  <c r="B923" i="2"/>
  <c r="N922" i="2"/>
  <c r="K922" i="2"/>
  <c r="H922" i="2"/>
  <c r="G922" i="2"/>
  <c r="F922" i="2"/>
  <c r="E922" i="2"/>
  <c r="C922" i="2"/>
  <c r="B922" i="2"/>
  <c r="N921" i="2"/>
  <c r="K921" i="2"/>
  <c r="H921" i="2"/>
  <c r="G921" i="2"/>
  <c r="F921" i="2"/>
  <c r="E921" i="2"/>
  <c r="C921" i="2"/>
  <c r="B921" i="2"/>
  <c r="N920" i="2"/>
  <c r="K920" i="2"/>
  <c r="H920" i="2"/>
  <c r="G920" i="2"/>
  <c r="F920" i="2"/>
  <c r="E920" i="2"/>
  <c r="C920" i="2"/>
  <c r="B920" i="2"/>
  <c r="N919" i="2"/>
  <c r="K919" i="2"/>
  <c r="H919" i="2"/>
  <c r="G919" i="2"/>
  <c r="F919" i="2"/>
  <c r="E919" i="2"/>
  <c r="C919" i="2"/>
  <c r="B919" i="2"/>
  <c r="N918" i="2"/>
  <c r="K918" i="2"/>
  <c r="H918" i="2"/>
  <c r="G918" i="2"/>
  <c r="F918" i="2"/>
  <c r="E918" i="2"/>
  <c r="C918" i="2"/>
  <c r="B918" i="2"/>
  <c r="N917" i="2"/>
  <c r="K917" i="2"/>
  <c r="H917" i="2"/>
  <c r="G917" i="2"/>
  <c r="F917" i="2"/>
  <c r="E917" i="2"/>
  <c r="C917" i="2"/>
  <c r="B917" i="2"/>
  <c r="N916" i="2"/>
  <c r="K916" i="2"/>
  <c r="H916" i="2"/>
  <c r="G916" i="2"/>
  <c r="F916" i="2"/>
  <c r="E916" i="2"/>
  <c r="C916" i="2"/>
  <c r="B916" i="2"/>
  <c r="N915" i="2"/>
  <c r="K915" i="2"/>
  <c r="H915" i="2"/>
  <c r="G915" i="2"/>
  <c r="F915" i="2"/>
  <c r="E915" i="2"/>
  <c r="C915" i="2"/>
  <c r="B915" i="2"/>
  <c r="N914" i="2"/>
  <c r="K914" i="2"/>
  <c r="H914" i="2"/>
  <c r="G914" i="2"/>
  <c r="F914" i="2"/>
  <c r="E914" i="2"/>
  <c r="C914" i="2"/>
  <c r="B914" i="2"/>
  <c r="N913" i="2"/>
  <c r="K913" i="2"/>
  <c r="H913" i="2"/>
  <c r="G913" i="2"/>
  <c r="F913" i="2"/>
  <c r="E913" i="2"/>
  <c r="C913" i="2"/>
  <c r="B913" i="2"/>
  <c r="N912" i="2"/>
  <c r="K912" i="2"/>
  <c r="H912" i="2"/>
  <c r="G912" i="2"/>
  <c r="F912" i="2"/>
  <c r="E912" i="2"/>
  <c r="C912" i="2"/>
  <c r="B912" i="2"/>
  <c r="N911" i="2"/>
  <c r="K911" i="2"/>
  <c r="H911" i="2"/>
  <c r="G911" i="2"/>
  <c r="F911" i="2"/>
  <c r="E911" i="2"/>
  <c r="C911" i="2"/>
  <c r="B911" i="2"/>
  <c r="N910" i="2"/>
  <c r="K910" i="2"/>
  <c r="H910" i="2"/>
  <c r="G910" i="2"/>
  <c r="F910" i="2"/>
  <c r="E910" i="2"/>
  <c r="C910" i="2"/>
  <c r="B910" i="2"/>
  <c r="N909" i="2"/>
  <c r="K909" i="2"/>
  <c r="H909" i="2"/>
  <c r="G909" i="2"/>
  <c r="F909" i="2"/>
  <c r="E909" i="2"/>
  <c r="C909" i="2"/>
  <c r="B909" i="2"/>
  <c r="N908" i="2"/>
  <c r="K908" i="2"/>
  <c r="H908" i="2"/>
  <c r="G908" i="2"/>
  <c r="F908" i="2"/>
  <c r="E908" i="2"/>
  <c r="C908" i="2"/>
  <c r="B908" i="2"/>
  <c r="N907" i="2"/>
  <c r="K907" i="2"/>
  <c r="H907" i="2"/>
  <c r="G907" i="2"/>
  <c r="F907" i="2"/>
  <c r="E907" i="2"/>
  <c r="C907" i="2"/>
  <c r="B907" i="2"/>
  <c r="N906" i="2"/>
  <c r="K906" i="2"/>
  <c r="H906" i="2"/>
  <c r="G906" i="2"/>
  <c r="F906" i="2"/>
  <c r="E906" i="2"/>
  <c r="C906" i="2"/>
  <c r="B906" i="2"/>
  <c r="N905" i="2"/>
  <c r="K905" i="2"/>
  <c r="H905" i="2"/>
  <c r="G905" i="2"/>
  <c r="F905" i="2"/>
  <c r="E905" i="2"/>
  <c r="C905" i="2"/>
  <c r="B905" i="2"/>
  <c r="N904" i="2"/>
  <c r="K904" i="2"/>
  <c r="H904" i="2"/>
  <c r="G904" i="2"/>
  <c r="F904" i="2"/>
  <c r="E904" i="2"/>
  <c r="C904" i="2"/>
  <c r="B904" i="2"/>
  <c r="N903" i="2"/>
  <c r="K903" i="2"/>
  <c r="H903" i="2"/>
  <c r="G903" i="2"/>
  <c r="F903" i="2"/>
  <c r="E903" i="2"/>
  <c r="C903" i="2"/>
  <c r="B903" i="2"/>
  <c r="N902" i="2"/>
  <c r="K902" i="2"/>
  <c r="H902" i="2"/>
  <c r="G902" i="2"/>
  <c r="F902" i="2"/>
  <c r="E902" i="2"/>
  <c r="C902" i="2"/>
  <c r="B902" i="2"/>
  <c r="N901" i="2"/>
  <c r="K901" i="2"/>
  <c r="H901" i="2"/>
  <c r="G901" i="2"/>
  <c r="F901" i="2"/>
  <c r="E901" i="2"/>
  <c r="C901" i="2"/>
  <c r="B901" i="2"/>
  <c r="N900" i="2"/>
  <c r="K900" i="2"/>
  <c r="H900" i="2"/>
  <c r="G900" i="2"/>
  <c r="F900" i="2"/>
  <c r="E900" i="2"/>
  <c r="C900" i="2"/>
  <c r="B900" i="2"/>
  <c r="N899" i="2"/>
  <c r="K899" i="2"/>
  <c r="H899" i="2"/>
  <c r="G899" i="2"/>
  <c r="F899" i="2"/>
  <c r="E899" i="2"/>
  <c r="C899" i="2"/>
  <c r="B899" i="2"/>
  <c r="N898" i="2"/>
  <c r="K898" i="2"/>
  <c r="H898" i="2"/>
  <c r="G898" i="2"/>
  <c r="F898" i="2"/>
  <c r="E898" i="2"/>
  <c r="C898" i="2"/>
  <c r="B898" i="2"/>
  <c r="N897" i="2"/>
  <c r="K897" i="2"/>
  <c r="H897" i="2"/>
  <c r="G897" i="2"/>
  <c r="F897" i="2"/>
  <c r="E897" i="2"/>
  <c r="C897" i="2"/>
  <c r="B897" i="2"/>
  <c r="N896" i="2"/>
  <c r="K896" i="2"/>
  <c r="H896" i="2"/>
  <c r="G896" i="2"/>
  <c r="F896" i="2"/>
  <c r="E896" i="2"/>
  <c r="C896" i="2"/>
  <c r="B896" i="2"/>
  <c r="N895" i="2"/>
  <c r="K895" i="2"/>
  <c r="H895" i="2"/>
  <c r="G895" i="2"/>
  <c r="F895" i="2"/>
  <c r="E895" i="2"/>
  <c r="C895" i="2"/>
  <c r="B895" i="2"/>
  <c r="N894" i="2"/>
  <c r="K894" i="2"/>
  <c r="H894" i="2"/>
  <c r="G894" i="2"/>
  <c r="F894" i="2"/>
  <c r="E894" i="2"/>
  <c r="C894" i="2"/>
  <c r="B894" i="2"/>
  <c r="N893" i="2"/>
  <c r="K893" i="2"/>
  <c r="H893" i="2"/>
  <c r="G893" i="2"/>
  <c r="F893" i="2"/>
  <c r="E893" i="2"/>
  <c r="C893" i="2"/>
  <c r="B893" i="2"/>
  <c r="N892" i="2"/>
  <c r="K892" i="2"/>
  <c r="H892" i="2"/>
  <c r="G892" i="2"/>
  <c r="F892" i="2"/>
  <c r="E892" i="2"/>
  <c r="C892" i="2"/>
  <c r="B892" i="2"/>
  <c r="N891" i="2"/>
  <c r="K891" i="2"/>
  <c r="H891" i="2"/>
  <c r="G891" i="2"/>
  <c r="F891" i="2"/>
  <c r="E891" i="2"/>
  <c r="C891" i="2"/>
  <c r="B891" i="2"/>
  <c r="N890" i="2"/>
  <c r="K890" i="2"/>
  <c r="H890" i="2"/>
  <c r="G890" i="2"/>
  <c r="F890" i="2"/>
  <c r="E890" i="2"/>
  <c r="C890" i="2"/>
  <c r="B890" i="2"/>
  <c r="N889" i="2"/>
  <c r="K889" i="2"/>
  <c r="H889" i="2"/>
  <c r="G889" i="2"/>
  <c r="F889" i="2"/>
  <c r="E889" i="2"/>
  <c r="C889" i="2"/>
  <c r="B889" i="2"/>
  <c r="N888" i="2"/>
  <c r="K888" i="2"/>
  <c r="H888" i="2"/>
  <c r="G888" i="2"/>
  <c r="F888" i="2"/>
  <c r="E888" i="2"/>
  <c r="C888" i="2"/>
  <c r="B888" i="2"/>
  <c r="N887" i="2"/>
  <c r="K887" i="2"/>
  <c r="H887" i="2"/>
  <c r="G887" i="2"/>
  <c r="F887" i="2"/>
  <c r="E887" i="2"/>
  <c r="C887" i="2"/>
  <c r="B887" i="2"/>
  <c r="N886" i="2"/>
  <c r="K886" i="2"/>
  <c r="H886" i="2"/>
  <c r="G886" i="2"/>
  <c r="F886" i="2"/>
  <c r="E886" i="2"/>
  <c r="C886" i="2"/>
  <c r="B886" i="2"/>
  <c r="N885" i="2"/>
  <c r="K885" i="2"/>
  <c r="H885" i="2"/>
  <c r="G885" i="2"/>
  <c r="F885" i="2"/>
  <c r="E885" i="2"/>
  <c r="C885" i="2"/>
  <c r="B885" i="2"/>
  <c r="N884" i="2"/>
  <c r="K884" i="2"/>
  <c r="H884" i="2"/>
  <c r="G884" i="2"/>
  <c r="F884" i="2"/>
  <c r="E884" i="2"/>
  <c r="C884" i="2"/>
  <c r="B884" i="2"/>
  <c r="N883" i="2"/>
  <c r="K883" i="2"/>
  <c r="H883" i="2"/>
  <c r="G883" i="2"/>
  <c r="F883" i="2"/>
  <c r="E883" i="2"/>
  <c r="C883" i="2"/>
  <c r="B883" i="2"/>
  <c r="N882" i="2"/>
  <c r="K882" i="2"/>
  <c r="H882" i="2"/>
  <c r="G882" i="2"/>
  <c r="F882" i="2"/>
  <c r="E882" i="2"/>
  <c r="C882" i="2"/>
  <c r="B882" i="2"/>
  <c r="N881" i="2"/>
  <c r="K881" i="2"/>
  <c r="H881" i="2"/>
  <c r="G881" i="2"/>
  <c r="F881" i="2"/>
  <c r="E881" i="2"/>
  <c r="C881" i="2"/>
  <c r="B881" i="2"/>
  <c r="N880" i="2"/>
  <c r="K880" i="2"/>
  <c r="H880" i="2"/>
  <c r="G880" i="2"/>
  <c r="F880" i="2"/>
  <c r="E880" i="2"/>
  <c r="C880" i="2"/>
  <c r="B880" i="2"/>
  <c r="N879" i="2"/>
  <c r="K879" i="2"/>
  <c r="H879" i="2"/>
  <c r="G879" i="2"/>
  <c r="F879" i="2"/>
  <c r="E879" i="2"/>
  <c r="C879" i="2"/>
  <c r="B879" i="2"/>
  <c r="N878" i="2"/>
  <c r="K878" i="2"/>
  <c r="H878" i="2"/>
  <c r="G878" i="2"/>
  <c r="F878" i="2"/>
  <c r="E878" i="2"/>
  <c r="C878" i="2"/>
  <c r="B878" i="2"/>
  <c r="N877" i="2"/>
  <c r="K877" i="2"/>
  <c r="H877" i="2"/>
  <c r="G877" i="2"/>
  <c r="F877" i="2"/>
  <c r="E877" i="2"/>
  <c r="C877" i="2"/>
  <c r="B877" i="2"/>
  <c r="N876" i="2"/>
  <c r="K876" i="2"/>
  <c r="H876" i="2"/>
  <c r="G876" i="2"/>
  <c r="F876" i="2"/>
  <c r="E876" i="2"/>
  <c r="C876" i="2"/>
  <c r="B876" i="2"/>
  <c r="N875" i="2"/>
  <c r="K875" i="2"/>
  <c r="H875" i="2"/>
  <c r="G875" i="2"/>
  <c r="F875" i="2"/>
  <c r="E875" i="2"/>
  <c r="C875" i="2"/>
  <c r="B875" i="2"/>
  <c r="N874" i="2"/>
  <c r="K874" i="2"/>
  <c r="H874" i="2"/>
  <c r="G874" i="2"/>
  <c r="F874" i="2"/>
  <c r="E874" i="2"/>
  <c r="C874" i="2"/>
  <c r="B874" i="2"/>
  <c r="N873" i="2"/>
  <c r="K873" i="2"/>
  <c r="H873" i="2"/>
  <c r="G873" i="2"/>
  <c r="F873" i="2"/>
  <c r="E873" i="2"/>
  <c r="C873" i="2"/>
  <c r="B873" i="2"/>
  <c r="N872" i="2"/>
  <c r="K872" i="2"/>
  <c r="H872" i="2"/>
  <c r="G872" i="2"/>
  <c r="F872" i="2"/>
  <c r="E872" i="2"/>
  <c r="C872" i="2"/>
  <c r="B872" i="2"/>
  <c r="N871" i="2"/>
  <c r="K871" i="2"/>
  <c r="H871" i="2"/>
  <c r="G871" i="2"/>
  <c r="F871" i="2"/>
  <c r="E871" i="2"/>
  <c r="C871" i="2"/>
  <c r="B871" i="2"/>
  <c r="N870" i="2"/>
  <c r="K870" i="2"/>
  <c r="H870" i="2"/>
  <c r="G870" i="2"/>
  <c r="F870" i="2"/>
  <c r="E870" i="2"/>
  <c r="C870" i="2"/>
  <c r="B870" i="2"/>
  <c r="N869" i="2"/>
  <c r="K869" i="2"/>
  <c r="H869" i="2"/>
  <c r="G869" i="2"/>
  <c r="F869" i="2"/>
  <c r="E869" i="2"/>
  <c r="C869" i="2"/>
  <c r="B869" i="2"/>
  <c r="N868" i="2"/>
  <c r="K868" i="2"/>
  <c r="H868" i="2"/>
  <c r="G868" i="2"/>
  <c r="F868" i="2"/>
  <c r="E868" i="2"/>
  <c r="C868" i="2"/>
  <c r="B868" i="2"/>
  <c r="N867" i="2"/>
  <c r="K867" i="2"/>
  <c r="H867" i="2"/>
  <c r="G867" i="2"/>
  <c r="F867" i="2"/>
  <c r="E867" i="2"/>
  <c r="C867" i="2"/>
  <c r="B867" i="2"/>
  <c r="N866" i="2"/>
  <c r="K866" i="2"/>
  <c r="H866" i="2"/>
  <c r="G866" i="2"/>
  <c r="F866" i="2"/>
  <c r="E866" i="2"/>
  <c r="C866" i="2"/>
  <c r="B866" i="2"/>
  <c r="N865" i="2"/>
  <c r="K865" i="2"/>
  <c r="H865" i="2"/>
  <c r="G865" i="2"/>
  <c r="F865" i="2"/>
  <c r="E865" i="2"/>
  <c r="C865" i="2"/>
  <c r="B865" i="2"/>
  <c r="N864" i="2"/>
  <c r="K864" i="2"/>
  <c r="H864" i="2"/>
  <c r="G864" i="2"/>
  <c r="F864" i="2"/>
  <c r="E864" i="2"/>
  <c r="C864" i="2"/>
  <c r="B864" i="2"/>
  <c r="N863" i="2"/>
  <c r="K863" i="2"/>
  <c r="H863" i="2"/>
  <c r="G863" i="2"/>
  <c r="F863" i="2"/>
  <c r="E863" i="2"/>
  <c r="C863" i="2"/>
  <c r="B863" i="2"/>
  <c r="N862" i="2"/>
  <c r="K862" i="2"/>
  <c r="H862" i="2"/>
  <c r="G862" i="2"/>
  <c r="F862" i="2"/>
  <c r="E862" i="2"/>
  <c r="C862" i="2"/>
  <c r="B862" i="2"/>
  <c r="N861" i="2"/>
  <c r="K861" i="2"/>
  <c r="H861" i="2"/>
  <c r="G861" i="2"/>
  <c r="F861" i="2"/>
  <c r="E861" i="2"/>
  <c r="C861" i="2"/>
  <c r="B861" i="2"/>
  <c r="N860" i="2"/>
  <c r="K860" i="2"/>
  <c r="H860" i="2"/>
  <c r="G860" i="2"/>
  <c r="F860" i="2"/>
  <c r="E860" i="2"/>
  <c r="C860" i="2"/>
  <c r="B860" i="2"/>
  <c r="N859" i="2"/>
  <c r="K859" i="2"/>
  <c r="H859" i="2"/>
  <c r="G859" i="2"/>
  <c r="F859" i="2"/>
  <c r="E859" i="2"/>
  <c r="C859" i="2"/>
  <c r="B859" i="2"/>
  <c r="N858" i="2"/>
  <c r="K858" i="2"/>
  <c r="H858" i="2"/>
  <c r="G858" i="2"/>
  <c r="F858" i="2"/>
  <c r="E858" i="2"/>
  <c r="C858" i="2"/>
  <c r="B858" i="2"/>
  <c r="N857" i="2"/>
  <c r="K857" i="2"/>
  <c r="H857" i="2"/>
  <c r="G857" i="2"/>
  <c r="F857" i="2"/>
  <c r="E857" i="2"/>
  <c r="C857" i="2"/>
  <c r="B857" i="2"/>
  <c r="N856" i="2"/>
  <c r="K856" i="2"/>
  <c r="H856" i="2"/>
  <c r="G856" i="2"/>
  <c r="F856" i="2"/>
  <c r="E856" i="2"/>
  <c r="C856" i="2"/>
  <c r="B856" i="2"/>
  <c r="N855" i="2"/>
  <c r="K855" i="2"/>
  <c r="H855" i="2"/>
  <c r="G855" i="2"/>
  <c r="F855" i="2"/>
  <c r="E855" i="2"/>
  <c r="C855" i="2"/>
  <c r="B855" i="2"/>
  <c r="N854" i="2"/>
  <c r="K854" i="2"/>
  <c r="H854" i="2"/>
  <c r="G854" i="2"/>
  <c r="F854" i="2"/>
  <c r="E854" i="2"/>
  <c r="C854" i="2"/>
  <c r="B854" i="2"/>
  <c r="N853" i="2"/>
  <c r="K853" i="2"/>
  <c r="H853" i="2"/>
  <c r="G853" i="2"/>
  <c r="F853" i="2"/>
  <c r="E853" i="2"/>
  <c r="C853" i="2"/>
  <c r="B853" i="2"/>
  <c r="N852" i="2"/>
  <c r="K852" i="2"/>
  <c r="H852" i="2"/>
  <c r="G852" i="2"/>
  <c r="F852" i="2"/>
  <c r="E852" i="2"/>
  <c r="C852" i="2"/>
  <c r="B852" i="2"/>
  <c r="N851" i="2"/>
  <c r="K851" i="2"/>
  <c r="H851" i="2"/>
  <c r="G851" i="2"/>
  <c r="F851" i="2"/>
  <c r="E851" i="2"/>
  <c r="C851" i="2"/>
  <c r="B851" i="2"/>
  <c r="N850" i="2"/>
  <c r="K850" i="2"/>
  <c r="H850" i="2"/>
  <c r="G850" i="2"/>
  <c r="F850" i="2"/>
  <c r="E850" i="2"/>
  <c r="C850" i="2"/>
  <c r="B850" i="2"/>
  <c r="N849" i="2"/>
  <c r="K849" i="2"/>
  <c r="H849" i="2"/>
  <c r="G849" i="2"/>
  <c r="F849" i="2"/>
  <c r="E849" i="2"/>
  <c r="C849" i="2"/>
  <c r="B849" i="2"/>
  <c r="N848" i="2"/>
  <c r="K848" i="2"/>
  <c r="H848" i="2"/>
  <c r="G848" i="2"/>
  <c r="F848" i="2"/>
  <c r="E848" i="2"/>
  <c r="C848" i="2"/>
  <c r="B848" i="2"/>
  <c r="N847" i="2"/>
  <c r="K847" i="2"/>
  <c r="H847" i="2"/>
  <c r="G847" i="2"/>
  <c r="F847" i="2"/>
  <c r="E847" i="2"/>
  <c r="C847" i="2"/>
  <c r="B847" i="2"/>
  <c r="N846" i="2"/>
  <c r="K846" i="2"/>
  <c r="H846" i="2"/>
  <c r="G846" i="2"/>
  <c r="F846" i="2"/>
  <c r="E846" i="2"/>
  <c r="C846" i="2"/>
  <c r="B846" i="2"/>
  <c r="N845" i="2"/>
  <c r="K845" i="2"/>
  <c r="H845" i="2"/>
  <c r="G845" i="2"/>
  <c r="F845" i="2"/>
  <c r="E845" i="2"/>
  <c r="C845" i="2"/>
  <c r="B845" i="2"/>
  <c r="N844" i="2"/>
  <c r="K844" i="2"/>
  <c r="H844" i="2"/>
  <c r="G844" i="2"/>
  <c r="F844" i="2"/>
  <c r="E844" i="2"/>
  <c r="C844" i="2"/>
  <c r="B844" i="2"/>
  <c r="N843" i="2"/>
  <c r="K843" i="2"/>
  <c r="H843" i="2"/>
  <c r="G843" i="2"/>
  <c r="F843" i="2"/>
  <c r="E843" i="2"/>
  <c r="C843" i="2"/>
  <c r="B843" i="2"/>
  <c r="N842" i="2"/>
  <c r="K842" i="2"/>
  <c r="H842" i="2"/>
  <c r="G842" i="2"/>
  <c r="F842" i="2"/>
  <c r="E842" i="2"/>
  <c r="C842" i="2"/>
  <c r="B842" i="2"/>
  <c r="N841" i="2"/>
  <c r="K841" i="2"/>
  <c r="H841" i="2"/>
  <c r="G841" i="2"/>
  <c r="F841" i="2"/>
  <c r="E841" i="2"/>
  <c r="C841" i="2"/>
  <c r="B841" i="2"/>
  <c r="N840" i="2"/>
  <c r="K840" i="2"/>
  <c r="H840" i="2"/>
  <c r="G840" i="2"/>
  <c r="F840" i="2"/>
  <c r="E840" i="2"/>
  <c r="C840" i="2"/>
  <c r="B840" i="2"/>
  <c r="N839" i="2"/>
  <c r="K839" i="2"/>
  <c r="H839" i="2"/>
  <c r="G839" i="2"/>
  <c r="F839" i="2"/>
  <c r="E839" i="2"/>
  <c r="C839" i="2"/>
  <c r="B839" i="2"/>
  <c r="N838" i="2"/>
  <c r="K838" i="2"/>
  <c r="H838" i="2"/>
  <c r="G838" i="2"/>
  <c r="F838" i="2"/>
  <c r="E838" i="2"/>
  <c r="C838" i="2"/>
  <c r="B838" i="2"/>
  <c r="N837" i="2"/>
  <c r="K837" i="2"/>
  <c r="H837" i="2"/>
  <c r="G837" i="2"/>
  <c r="F837" i="2"/>
  <c r="E837" i="2"/>
  <c r="C837" i="2"/>
  <c r="B837" i="2"/>
  <c r="N836" i="2"/>
  <c r="K836" i="2"/>
  <c r="H836" i="2"/>
  <c r="G836" i="2"/>
  <c r="F836" i="2"/>
  <c r="E836" i="2"/>
  <c r="C836" i="2"/>
  <c r="B836" i="2"/>
  <c r="N835" i="2"/>
  <c r="K835" i="2"/>
  <c r="H835" i="2"/>
  <c r="G835" i="2"/>
  <c r="F835" i="2"/>
  <c r="E835" i="2"/>
  <c r="C835" i="2"/>
  <c r="B835" i="2"/>
  <c r="N834" i="2"/>
  <c r="K834" i="2"/>
  <c r="H834" i="2"/>
  <c r="G834" i="2"/>
  <c r="F834" i="2"/>
  <c r="E834" i="2"/>
  <c r="C834" i="2"/>
  <c r="B834" i="2"/>
  <c r="N833" i="2"/>
  <c r="K833" i="2"/>
  <c r="H833" i="2"/>
  <c r="G833" i="2"/>
  <c r="F833" i="2"/>
  <c r="E833" i="2"/>
  <c r="C833" i="2"/>
  <c r="B833" i="2"/>
  <c r="N832" i="2"/>
  <c r="K832" i="2"/>
  <c r="H832" i="2"/>
  <c r="G832" i="2"/>
  <c r="F832" i="2"/>
  <c r="E832" i="2"/>
  <c r="C832" i="2"/>
  <c r="B832" i="2"/>
  <c r="N831" i="2"/>
  <c r="K831" i="2"/>
  <c r="H831" i="2"/>
  <c r="G831" i="2"/>
  <c r="F831" i="2"/>
  <c r="E831" i="2"/>
  <c r="C831" i="2"/>
  <c r="B831" i="2"/>
  <c r="N830" i="2"/>
  <c r="K830" i="2"/>
  <c r="H830" i="2"/>
  <c r="G830" i="2"/>
  <c r="F830" i="2"/>
  <c r="E830" i="2"/>
  <c r="C830" i="2"/>
  <c r="B830" i="2"/>
  <c r="N829" i="2"/>
  <c r="K829" i="2"/>
  <c r="H829" i="2"/>
  <c r="G829" i="2"/>
  <c r="F829" i="2"/>
  <c r="E829" i="2"/>
  <c r="C829" i="2"/>
  <c r="B829" i="2"/>
  <c r="N828" i="2"/>
  <c r="K828" i="2"/>
  <c r="H828" i="2"/>
  <c r="G828" i="2"/>
  <c r="F828" i="2"/>
  <c r="E828" i="2"/>
  <c r="C828" i="2"/>
  <c r="B828" i="2"/>
  <c r="N827" i="2"/>
  <c r="K827" i="2"/>
  <c r="H827" i="2"/>
  <c r="G827" i="2"/>
  <c r="F827" i="2"/>
  <c r="E827" i="2"/>
  <c r="C827" i="2"/>
  <c r="B827" i="2"/>
  <c r="N826" i="2"/>
  <c r="K826" i="2"/>
  <c r="H826" i="2"/>
  <c r="G826" i="2"/>
  <c r="F826" i="2"/>
  <c r="E826" i="2"/>
  <c r="C826" i="2"/>
  <c r="B826" i="2"/>
  <c r="N825" i="2"/>
  <c r="K825" i="2"/>
  <c r="H825" i="2"/>
  <c r="G825" i="2"/>
  <c r="F825" i="2"/>
  <c r="E825" i="2"/>
  <c r="C825" i="2"/>
  <c r="B825" i="2"/>
  <c r="N824" i="2"/>
  <c r="K824" i="2"/>
  <c r="H824" i="2"/>
  <c r="G824" i="2"/>
  <c r="F824" i="2"/>
  <c r="E824" i="2"/>
  <c r="C824" i="2"/>
  <c r="B824" i="2"/>
  <c r="N823" i="2"/>
  <c r="K823" i="2"/>
  <c r="H823" i="2"/>
  <c r="G823" i="2"/>
  <c r="F823" i="2"/>
  <c r="E823" i="2"/>
  <c r="C823" i="2"/>
  <c r="B823" i="2"/>
  <c r="N822" i="2"/>
  <c r="K822" i="2"/>
  <c r="H822" i="2"/>
  <c r="G822" i="2"/>
  <c r="F822" i="2"/>
  <c r="E822" i="2"/>
  <c r="C822" i="2"/>
  <c r="B822" i="2"/>
  <c r="N821" i="2"/>
  <c r="K821" i="2"/>
  <c r="H821" i="2"/>
  <c r="G821" i="2"/>
  <c r="F821" i="2"/>
  <c r="E821" i="2"/>
  <c r="C821" i="2"/>
  <c r="B821" i="2"/>
  <c r="N820" i="2"/>
  <c r="K820" i="2"/>
  <c r="H820" i="2"/>
  <c r="G820" i="2"/>
  <c r="F820" i="2"/>
  <c r="E820" i="2"/>
  <c r="C820" i="2"/>
  <c r="B820" i="2"/>
  <c r="N819" i="2"/>
  <c r="K819" i="2"/>
  <c r="H819" i="2"/>
  <c r="G819" i="2"/>
  <c r="F819" i="2"/>
  <c r="E819" i="2"/>
  <c r="C819" i="2"/>
  <c r="B819" i="2"/>
  <c r="N818" i="2"/>
  <c r="K818" i="2"/>
  <c r="H818" i="2"/>
  <c r="G818" i="2"/>
  <c r="F818" i="2"/>
  <c r="E818" i="2"/>
  <c r="C818" i="2"/>
  <c r="B818" i="2"/>
  <c r="N817" i="2"/>
  <c r="K817" i="2"/>
  <c r="H817" i="2"/>
  <c r="G817" i="2"/>
  <c r="F817" i="2"/>
  <c r="E817" i="2"/>
  <c r="C817" i="2"/>
  <c r="B817" i="2"/>
  <c r="N816" i="2"/>
  <c r="K816" i="2"/>
  <c r="H816" i="2"/>
  <c r="G816" i="2"/>
  <c r="F816" i="2"/>
  <c r="E816" i="2"/>
  <c r="C816" i="2"/>
  <c r="B816" i="2"/>
  <c r="N815" i="2"/>
  <c r="K815" i="2"/>
  <c r="H815" i="2"/>
  <c r="G815" i="2"/>
  <c r="F815" i="2"/>
  <c r="E815" i="2"/>
  <c r="C815" i="2"/>
  <c r="B815" i="2"/>
  <c r="N814" i="2"/>
  <c r="K814" i="2"/>
  <c r="H814" i="2"/>
  <c r="G814" i="2"/>
  <c r="F814" i="2"/>
  <c r="E814" i="2"/>
  <c r="C814" i="2"/>
  <c r="B814" i="2"/>
  <c r="N813" i="2"/>
  <c r="K813" i="2"/>
  <c r="H813" i="2"/>
  <c r="G813" i="2"/>
  <c r="F813" i="2"/>
  <c r="E813" i="2"/>
  <c r="C813" i="2"/>
  <c r="B813" i="2"/>
  <c r="N812" i="2"/>
  <c r="K812" i="2"/>
  <c r="H812" i="2"/>
  <c r="G812" i="2"/>
  <c r="F812" i="2"/>
  <c r="E812" i="2"/>
  <c r="C812" i="2"/>
  <c r="B812" i="2"/>
  <c r="N811" i="2"/>
  <c r="K811" i="2"/>
  <c r="H811" i="2"/>
  <c r="G811" i="2"/>
  <c r="F811" i="2"/>
  <c r="E811" i="2"/>
  <c r="C811" i="2"/>
  <c r="B811" i="2"/>
  <c r="N810" i="2"/>
  <c r="K810" i="2"/>
  <c r="H810" i="2"/>
  <c r="G810" i="2"/>
  <c r="F810" i="2"/>
  <c r="E810" i="2"/>
  <c r="C810" i="2"/>
  <c r="B810" i="2"/>
  <c r="N809" i="2"/>
  <c r="K809" i="2"/>
  <c r="H809" i="2"/>
  <c r="G809" i="2"/>
  <c r="F809" i="2"/>
  <c r="E809" i="2"/>
  <c r="C809" i="2"/>
  <c r="B809" i="2"/>
  <c r="N808" i="2"/>
  <c r="K808" i="2"/>
  <c r="H808" i="2"/>
  <c r="G808" i="2"/>
  <c r="F808" i="2"/>
  <c r="E808" i="2"/>
  <c r="C808" i="2"/>
  <c r="B808" i="2"/>
  <c r="N807" i="2"/>
  <c r="K807" i="2"/>
  <c r="H807" i="2"/>
  <c r="G807" i="2"/>
  <c r="F807" i="2"/>
  <c r="E807" i="2"/>
  <c r="C807" i="2"/>
  <c r="B807" i="2"/>
  <c r="N806" i="2"/>
  <c r="K806" i="2"/>
  <c r="H806" i="2"/>
  <c r="G806" i="2"/>
  <c r="F806" i="2"/>
  <c r="E806" i="2"/>
  <c r="C806" i="2"/>
  <c r="B806" i="2"/>
  <c r="N805" i="2"/>
  <c r="K805" i="2"/>
  <c r="H805" i="2"/>
  <c r="G805" i="2"/>
  <c r="F805" i="2"/>
  <c r="E805" i="2"/>
  <c r="C805" i="2"/>
  <c r="B805" i="2"/>
  <c r="N804" i="2"/>
  <c r="K804" i="2"/>
  <c r="H804" i="2"/>
  <c r="G804" i="2"/>
  <c r="F804" i="2"/>
  <c r="E804" i="2"/>
  <c r="C804" i="2"/>
  <c r="B804" i="2"/>
  <c r="N803" i="2"/>
  <c r="K803" i="2"/>
  <c r="H803" i="2"/>
  <c r="G803" i="2"/>
  <c r="F803" i="2"/>
  <c r="E803" i="2"/>
  <c r="C803" i="2"/>
  <c r="B803" i="2"/>
  <c r="N802" i="2"/>
  <c r="K802" i="2"/>
  <c r="H802" i="2"/>
  <c r="G802" i="2"/>
  <c r="F802" i="2"/>
  <c r="E802" i="2"/>
  <c r="C802" i="2"/>
  <c r="B802" i="2"/>
  <c r="N801" i="2"/>
  <c r="K801" i="2"/>
  <c r="H801" i="2"/>
  <c r="G801" i="2"/>
  <c r="F801" i="2"/>
  <c r="E801" i="2"/>
  <c r="C801" i="2"/>
  <c r="B801" i="2"/>
  <c r="N800" i="2"/>
  <c r="K800" i="2"/>
  <c r="H800" i="2"/>
  <c r="G800" i="2"/>
  <c r="F800" i="2"/>
  <c r="E800" i="2"/>
  <c r="C800" i="2"/>
  <c r="B800" i="2"/>
  <c r="N799" i="2"/>
  <c r="K799" i="2"/>
  <c r="H799" i="2"/>
  <c r="G799" i="2"/>
  <c r="F799" i="2"/>
  <c r="E799" i="2"/>
  <c r="C799" i="2"/>
  <c r="B799" i="2"/>
  <c r="N798" i="2"/>
  <c r="K798" i="2"/>
  <c r="H798" i="2"/>
  <c r="G798" i="2"/>
  <c r="F798" i="2"/>
  <c r="E798" i="2"/>
  <c r="C798" i="2"/>
  <c r="B798" i="2"/>
  <c r="N797" i="2"/>
  <c r="K797" i="2"/>
  <c r="H797" i="2"/>
  <c r="G797" i="2"/>
  <c r="F797" i="2"/>
  <c r="E797" i="2"/>
  <c r="C797" i="2"/>
  <c r="B797" i="2"/>
  <c r="N796" i="2"/>
  <c r="K796" i="2"/>
  <c r="H796" i="2"/>
  <c r="G796" i="2"/>
  <c r="F796" i="2"/>
  <c r="E796" i="2"/>
  <c r="C796" i="2"/>
  <c r="B796" i="2"/>
  <c r="N795" i="2"/>
  <c r="K795" i="2"/>
  <c r="H795" i="2"/>
  <c r="G795" i="2"/>
  <c r="F795" i="2"/>
  <c r="E795" i="2"/>
  <c r="C795" i="2"/>
  <c r="B795" i="2"/>
  <c r="N794" i="2"/>
  <c r="K794" i="2"/>
  <c r="H794" i="2"/>
  <c r="G794" i="2"/>
  <c r="F794" i="2"/>
  <c r="E794" i="2"/>
  <c r="C794" i="2"/>
  <c r="B794" i="2"/>
  <c r="N793" i="2"/>
  <c r="K793" i="2"/>
  <c r="H793" i="2"/>
  <c r="G793" i="2"/>
  <c r="F793" i="2"/>
  <c r="E793" i="2"/>
  <c r="C793" i="2"/>
  <c r="B793" i="2"/>
  <c r="N792" i="2"/>
  <c r="K792" i="2"/>
  <c r="H792" i="2"/>
  <c r="G792" i="2"/>
  <c r="F792" i="2"/>
  <c r="E792" i="2"/>
  <c r="C792" i="2"/>
  <c r="B792" i="2"/>
  <c r="N791" i="2"/>
  <c r="K791" i="2"/>
  <c r="H791" i="2"/>
  <c r="G791" i="2"/>
  <c r="F791" i="2"/>
  <c r="E791" i="2"/>
  <c r="C791" i="2"/>
  <c r="B791" i="2"/>
  <c r="N790" i="2"/>
  <c r="K790" i="2"/>
  <c r="H790" i="2"/>
  <c r="G790" i="2"/>
  <c r="F790" i="2"/>
  <c r="E790" i="2"/>
  <c r="C790" i="2"/>
  <c r="B790" i="2"/>
  <c r="N789" i="2"/>
  <c r="K789" i="2"/>
  <c r="H789" i="2"/>
  <c r="G789" i="2"/>
  <c r="F789" i="2"/>
  <c r="E789" i="2"/>
  <c r="C789" i="2"/>
  <c r="B789" i="2"/>
  <c r="N788" i="2"/>
  <c r="K788" i="2"/>
  <c r="H788" i="2"/>
  <c r="G788" i="2"/>
  <c r="F788" i="2"/>
  <c r="E788" i="2"/>
  <c r="C788" i="2"/>
  <c r="B788" i="2"/>
  <c r="N787" i="2"/>
  <c r="K787" i="2"/>
  <c r="H787" i="2"/>
  <c r="G787" i="2"/>
  <c r="F787" i="2"/>
  <c r="E787" i="2"/>
  <c r="C787" i="2"/>
  <c r="B787" i="2"/>
  <c r="N786" i="2"/>
  <c r="K786" i="2"/>
  <c r="H786" i="2"/>
  <c r="G786" i="2"/>
  <c r="F786" i="2"/>
  <c r="E786" i="2"/>
  <c r="C786" i="2"/>
  <c r="B786" i="2"/>
  <c r="N785" i="2"/>
  <c r="K785" i="2"/>
  <c r="H785" i="2"/>
  <c r="G785" i="2"/>
  <c r="F785" i="2"/>
  <c r="E785" i="2"/>
  <c r="C785" i="2"/>
  <c r="B785" i="2"/>
  <c r="N784" i="2"/>
  <c r="K784" i="2"/>
  <c r="H784" i="2"/>
  <c r="G784" i="2"/>
  <c r="F784" i="2"/>
  <c r="E784" i="2"/>
  <c r="C784" i="2"/>
  <c r="B784" i="2"/>
  <c r="N783" i="2"/>
  <c r="K783" i="2"/>
  <c r="H783" i="2"/>
  <c r="G783" i="2"/>
  <c r="F783" i="2"/>
  <c r="E783" i="2"/>
  <c r="C783" i="2"/>
  <c r="B783" i="2"/>
  <c r="N782" i="2"/>
  <c r="K782" i="2"/>
  <c r="H782" i="2"/>
  <c r="G782" i="2"/>
  <c r="F782" i="2"/>
  <c r="E782" i="2"/>
  <c r="C782" i="2"/>
  <c r="B782" i="2"/>
  <c r="N781" i="2"/>
  <c r="K781" i="2"/>
  <c r="H781" i="2"/>
  <c r="G781" i="2"/>
  <c r="F781" i="2"/>
  <c r="E781" i="2"/>
  <c r="C781" i="2"/>
  <c r="B781" i="2"/>
  <c r="N780" i="2"/>
  <c r="K780" i="2"/>
  <c r="H780" i="2"/>
  <c r="G780" i="2"/>
  <c r="F780" i="2"/>
  <c r="E780" i="2"/>
  <c r="C780" i="2"/>
  <c r="B780" i="2"/>
  <c r="N779" i="2"/>
  <c r="K779" i="2"/>
  <c r="H779" i="2"/>
  <c r="G779" i="2"/>
  <c r="F779" i="2"/>
  <c r="E779" i="2"/>
  <c r="C779" i="2"/>
  <c r="B779" i="2"/>
  <c r="N778" i="2"/>
  <c r="K778" i="2"/>
  <c r="H778" i="2"/>
  <c r="G778" i="2"/>
  <c r="F778" i="2"/>
  <c r="E778" i="2"/>
  <c r="C778" i="2"/>
  <c r="B778" i="2"/>
  <c r="N777" i="2"/>
  <c r="K777" i="2"/>
  <c r="H777" i="2"/>
  <c r="G777" i="2"/>
  <c r="F777" i="2"/>
  <c r="E777" i="2"/>
  <c r="C777" i="2"/>
  <c r="B777" i="2"/>
  <c r="N776" i="2"/>
  <c r="K776" i="2"/>
  <c r="H776" i="2"/>
  <c r="G776" i="2"/>
  <c r="F776" i="2"/>
  <c r="E776" i="2"/>
  <c r="C776" i="2"/>
  <c r="B776" i="2"/>
  <c r="N775" i="2"/>
  <c r="K775" i="2"/>
  <c r="H775" i="2"/>
  <c r="G775" i="2"/>
  <c r="F775" i="2"/>
  <c r="E775" i="2"/>
  <c r="C775" i="2"/>
  <c r="B775" i="2"/>
  <c r="N774" i="2"/>
  <c r="K774" i="2"/>
  <c r="H774" i="2"/>
  <c r="G774" i="2"/>
  <c r="F774" i="2"/>
  <c r="E774" i="2"/>
  <c r="C774" i="2"/>
  <c r="B774" i="2"/>
  <c r="N773" i="2"/>
  <c r="K773" i="2"/>
  <c r="H773" i="2"/>
  <c r="G773" i="2"/>
  <c r="F773" i="2"/>
  <c r="E773" i="2"/>
  <c r="C773" i="2"/>
  <c r="B773" i="2"/>
  <c r="N772" i="2"/>
  <c r="K772" i="2"/>
  <c r="H772" i="2"/>
  <c r="G772" i="2"/>
  <c r="F772" i="2"/>
  <c r="E772" i="2"/>
  <c r="C772" i="2"/>
  <c r="B772" i="2"/>
  <c r="N771" i="2"/>
  <c r="K771" i="2"/>
  <c r="H771" i="2"/>
  <c r="G771" i="2"/>
  <c r="F771" i="2"/>
  <c r="E771" i="2"/>
  <c r="C771" i="2"/>
  <c r="B771" i="2"/>
  <c r="N770" i="2"/>
  <c r="K770" i="2"/>
  <c r="H770" i="2"/>
  <c r="G770" i="2"/>
  <c r="F770" i="2"/>
  <c r="E770" i="2"/>
  <c r="C770" i="2"/>
  <c r="B770" i="2"/>
  <c r="N769" i="2"/>
  <c r="K769" i="2"/>
  <c r="H769" i="2"/>
  <c r="G769" i="2"/>
  <c r="F769" i="2"/>
  <c r="E769" i="2"/>
  <c r="C769" i="2"/>
  <c r="B769" i="2"/>
  <c r="N768" i="2"/>
  <c r="K768" i="2"/>
  <c r="H768" i="2"/>
  <c r="G768" i="2"/>
  <c r="F768" i="2"/>
  <c r="E768" i="2"/>
  <c r="C768" i="2"/>
  <c r="B768" i="2"/>
  <c r="N767" i="2"/>
  <c r="K767" i="2"/>
  <c r="H767" i="2"/>
  <c r="G767" i="2"/>
  <c r="F767" i="2"/>
  <c r="E767" i="2"/>
  <c r="C767" i="2"/>
  <c r="B767" i="2"/>
  <c r="N766" i="2"/>
  <c r="K766" i="2"/>
  <c r="H766" i="2"/>
  <c r="G766" i="2"/>
  <c r="F766" i="2"/>
  <c r="E766" i="2"/>
  <c r="C766" i="2"/>
  <c r="B766" i="2"/>
  <c r="N765" i="2"/>
  <c r="K765" i="2"/>
  <c r="H765" i="2"/>
  <c r="G765" i="2"/>
  <c r="F765" i="2"/>
  <c r="E765" i="2"/>
  <c r="C765" i="2"/>
  <c r="B765" i="2"/>
  <c r="N764" i="2"/>
  <c r="K764" i="2"/>
  <c r="H764" i="2"/>
  <c r="G764" i="2"/>
  <c r="F764" i="2"/>
  <c r="E764" i="2"/>
  <c r="C764" i="2"/>
  <c r="B764" i="2"/>
  <c r="N763" i="2"/>
  <c r="K763" i="2"/>
  <c r="H763" i="2"/>
  <c r="G763" i="2"/>
  <c r="F763" i="2"/>
  <c r="E763" i="2"/>
  <c r="C763" i="2"/>
  <c r="B763" i="2"/>
  <c r="N762" i="2"/>
  <c r="K762" i="2"/>
  <c r="H762" i="2"/>
  <c r="G762" i="2"/>
  <c r="F762" i="2"/>
  <c r="E762" i="2"/>
  <c r="C762" i="2"/>
  <c r="B762" i="2"/>
  <c r="N761" i="2"/>
  <c r="K761" i="2"/>
  <c r="H761" i="2"/>
  <c r="G761" i="2"/>
  <c r="F761" i="2"/>
  <c r="E761" i="2"/>
  <c r="C761" i="2"/>
  <c r="B761" i="2"/>
  <c r="N760" i="2"/>
  <c r="K760" i="2"/>
  <c r="H760" i="2"/>
  <c r="G760" i="2"/>
  <c r="F760" i="2"/>
  <c r="E760" i="2"/>
  <c r="C760" i="2"/>
  <c r="B760" i="2"/>
  <c r="N759" i="2"/>
  <c r="K759" i="2"/>
  <c r="H759" i="2"/>
  <c r="G759" i="2"/>
  <c r="F759" i="2"/>
  <c r="E759" i="2"/>
  <c r="C759" i="2"/>
  <c r="B759" i="2"/>
  <c r="N758" i="2"/>
  <c r="K758" i="2"/>
  <c r="H758" i="2"/>
  <c r="G758" i="2"/>
  <c r="F758" i="2"/>
  <c r="E758" i="2"/>
  <c r="C758" i="2"/>
  <c r="B758" i="2"/>
  <c r="N757" i="2"/>
  <c r="K757" i="2"/>
  <c r="H757" i="2"/>
  <c r="G757" i="2"/>
  <c r="F757" i="2"/>
  <c r="E757" i="2"/>
  <c r="C757" i="2"/>
  <c r="B757" i="2"/>
  <c r="N756" i="2"/>
  <c r="K756" i="2"/>
  <c r="H756" i="2"/>
  <c r="G756" i="2"/>
  <c r="F756" i="2"/>
  <c r="E756" i="2"/>
  <c r="C756" i="2"/>
  <c r="B756" i="2"/>
  <c r="N755" i="2"/>
  <c r="K755" i="2"/>
  <c r="H755" i="2"/>
  <c r="G755" i="2"/>
  <c r="F755" i="2"/>
  <c r="E755" i="2"/>
  <c r="C755" i="2"/>
  <c r="B755" i="2"/>
  <c r="N754" i="2"/>
  <c r="K754" i="2"/>
  <c r="H754" i="2"/>
  <c r="G754" i="2"/>
  <c r="F754" i="2"/>
  <c r="E754" i="2"/>
  <c r="C754" i="2"/>
  <c r="B754" i="2"/>
  <c r="N753" i="2"/>
  <c r="K753" i="2"/>
  <c r="H753" i="2"/>
  <c r="G753" i="2"/>
  <c r="F753" i="2"/>
  <c r="E753" i="2"/>
  <c r="C753" i="2"/>
  <c r="B753" i="2"/>
  <c r="N752" i="2"/>
  <c r="K752" i="2"/>
  <c r="H752" i="2"/>
  <c r="G752" i="2"/>
  <c r="F752" i="2"/>
  <c r="E752" i="2"/>
  <c r="C752" i="2"/>
  <c r="B752" i="2"/>
  <c r="N751" i="2"/>
  <c r="K751" i="2"/>
  <c r="H751" i="2"/>
  <c r="G751" i="2"/>
  <c r="F751" i="2"/>
  <c r="E751" i="2"/>
  <c r="C751" i="2"/>
  <c r="B751" i="2"/>
  <c r="N750" i="2"/>
  <c r="K750" i="2"/>
  <c r="H750" i="2"/>
  <c r="G750" i="2"/>
  <c r="F750" i="2"/>
  <c r="E750" i="2"/>
  <c r="C750" i="2"/>
  <c r="B750" i="2"/>
  <c r="N749" i="2"/>
  <c r="K749" i="2"/>
  <c r="H749" i="2"/>
  <c r="G749" i="2"/>
  <c r="F749" i="2"/>
  <c r="E749" i="2"/>
  <c r="C749" i="2"/>
  <c r="B749" i="2"/>
  <c r="N748" i="2"/>
  <c r="K748" i="2"/>
  <c r="H748" i="2"/>
  <c r="G748" i="2"/>
  <c r="F748" i="2"/>
  <c r="E748" i="2"/>
  <c r="C748" i="2"/>
  <c r="B748" i="2"/>
  <c r="N747" i="2"/>
  <c r="K747" i="2"/>
  <c r="H747" i="2"/>
  <c r="G747" i="2"/>
  <c r="F747" i="2"/>
  <c r="E747" i="2"/>
  <c r="C747" i="2"/>
  <c r="B747" i="2"/>
  <c r="N746" i="2"/>
  <c r="K746" i="2"/>
  <c r="H746" i="2"/>
  <c r="G746" i="2"/>
  <c r="F746" i="2"/>
  <c r="E746" i="2"/>
  <c r="C746" i="2"/>
  <c r="B746" i="2"/>
  <c r="N745" i="2"/>
  <c r="K745" i="2"/>
  <c r="H745" i="2"/>
  <c r="G745" i="2"/>
  <c r="F745" i="2"/>
  <c r="E745" i="2"/>
  <c r="C745" i="2"/>
  <c r="B745" i="2"/>
  <c r="N744" i="2"/>
  <c r="K744" i="2"/>
  <c r="H744" i="2"/>
  <c r="G744" i="2"/>
  <c r="F744" i="2"/>
  <c r="E744" i="2"/>
  <c r="C744" i="2"/>
  <c r="B744" i="2"/>
  <c r="N743" i="2"/>
  <c r="K743" i="2"/>
  <c r="H743" i="2"/>
  <c r="G743" i="2"/>
  <c r="F743" i="2"/>
  <c r="E743" i="2"/>
  <c r="C743" i="2"/>
  <c r="B743" i="2"/>
  <c r="N742" i="2"/>
  <c r="K742" i="2"/>
  <c r="H742" i="2"/>
  <c r="G742" i="2"/>
  <c r="F742" i="2"/>
  <c r="E742" i="2"/>
  <c r="C742" i="2"/>
  <c r="B742" i="2"/>
  <c r="N741" i="2"/>
  <c r="K741" i="2"/>
  <c r="H741" i="2"/>
  <c r="G741" i="2"/>
  <c r="F741" i="2"/>
  <c r="E741" i="2"/>
  <c r="C741" i="2"/>
  <c r="B741" i="2"/>
  <c r="N740" i="2"/>
  <c r="K740" i="2"/>
  <c r="H740" i="2"/>
  <c r="G740" i="2"/>
  <c r="F740" i="2"/>
  <c r="E740" i="2"/>
  <c r="C740" i="2"/>
  <c r="B740" i="2"/>
  <c r="N739" i="2"/>
  <c r="K739" i="2"/>
  <c r="H739" i="2"/>
  <c r="G739" i="2"/>
  <c r="F739" i="2"/>
  <c r="E739" i="2"/>
  <c r="C739" i="2"/>
  <c r="B739" i="2"/>
  <c r="N738" i="2"/>
  <c r="K738" i="2"/>
  <c r="H738" i="2"/>
  <c r="G738" i="2"/>
  <c r="F738" i="2"/>
  <c r="E738" i="2"/>
  <c r="C738" i="2"/>
  <c r="B738" i="2"/>
  <c r="N737" i="2"/>
  <c r="K737" i="2"/>
  <c r="H737" i="2"/>
  <c r="G737" i="2"/>
  <c r="F737" i="2"/>
  <c r="E737" i="2"/>
  <c r="C737" i="2"/>
  <c r="B737" i="2"/>
  <c r="N736" i="2"/>
  <c r="K736" i="2"/>
  <c r="H736" i="2"/>
  <c r="G736" i="2"/>
  <c r="F736" i="2"/>
  <c r="E736" i="2"/>
  <c r="C736" i="2"/>
  <c r="B736" i="2"/>
  <c r="N735" i="2"/>
  <c r="K735" i="2"/>
  <c r="H735" i="2"/>
  <c r="G735" i="2"/>
  <c r="F735" i="2"/>
  <c r="E735" i="2"/>
  <c r="C735" i="2"/>
  <c r="B735" i="2"/>
  <c r="N734" i="2"/>
  <c r="K734" i="2"/>
  <c r="H734" i="2"/>
  <c r="G734" i="2"/>
  <c r="F734" i="2"/>
  <c r="E734" i="2"/>
  <c r="C734" i="2"/>
  <c r="B734" i="2"/>
  <c r="N733" i="2"/>
  <c r="K733" i="2"/>
  <c r="H733" i="2"/>
  <c r="G733" i="2"/>
  <c r="F733" i="2"/>
  <c r="E733" i="2"/>
  <c r="C733" i="2"/>
  <c r="B733" i="2"/>
  <c r="N732" i="2"/>
  <c r="K732" i="2"/>
  <c r="H732" i="2"/>
  <c r="G732" i="2"/>
  <c r="F732" i="2"/>
  <c r="E732" i="2"/>
  <c r="C732" i="2"/>
  <c r="B732" i="2"/>
  <c r="N731" i="2"/>
  <c r="K731" i="2"/>
  <c r="H731" i="2"/>
  <c r="G731" i="2"/>
  <c r="F731" i="2"/>
  <c r="E731" i="2"/>
  <c r="C731" i="2"/>
  <c r="B731" i="2"/>
  <c r="N730" i="2"/>
  <c r="K730" i="2"/>
  <c r="H730" i="2"/>
  <c r="G730" i="2"/>
  <c r="F730" i="2"/>
  <c r="E730" i="2"/>
  <c r="C730" i="2"/>
  <c r="B730" i="2"/>
  <c r="N729" i="2"/>
  <c r="K729" i="2"/>
  <c r="H729" i="2"/>
  <c r="G729" i="2"/>
  <c r="F729" i="2"/>
  <c r="E729" i="2"/>
  <c r="C729" i="2"/>
  <c r="B729" i="2"/>
  <c r="N728" i="2"/>
  <c r="K728" i="2"/>
  <c r="H728" i="2"/>
  <c r="G728" i="2"/>
  <c r="F728" i="2"/>
  <c r="E728" i="2"/>
  <c r="C728" i="2"/>
  <c r="B728" i="2"/>
  <c r="N727" i="2"/>
  <c r="K727" i="2"/>
  <c r="H727" i="2"/>
  <c r="G727" i="2"/>
  <c r="F727" i="2"/>
  <c r="E727" i="2"/>
  <c r="C727" i="2"/>
  <c r="B727" i="2"/>
  <c r="N726" i="2"/>
  <c r="K726" i="2"/>
  <c r="H726" i="2"/>
  <c r="G726" i="2"/>
  <c r="F726" i="2"/>
  <c r="E726" i="2"/>
  <c r="C726" i="2"/>
  <c r="B726" i="2"/>
  <c r="N725" i="2"/>
  <c r="K725" i="2"/>
  <c r="H725" i="2"/>
  <c r="G725" i="2"/>
  <c r="F725" i="2"/>
  <c r="E725" i="2"/>
  <c r="C725" i="2"/>
  <c r="B725" i="2"/>
  <c r="N724" i="2"/>
  <c r="K724" i="2"/>
  <c r="H724" i="2"/>
  <c r="G724" i="2"/>
  <c r="F724" i="2"/>
  <c r="E724" i="2"/>
  <c r="C724" i="2"/>
  <c r="B724" i="2"/>
  <c r="N723" i="2"/>
  <c r="K723" i="2"/>
  <c r="H723" i="2"/>
  <c r="G723" i="2"/>
  <c r="F723" i="2"/>
  <c r="E723" i="2"/>
  <c r="C723" i="2"/>
  <c r="B723" i="2"/>
  <c r="N722" i="2"/>
  <c r="K722" i="2"/>
  <c r="H722" i="2"/>
  <c r="G722" i="2"/>
  <c r="F722" i="2"/>
  <c r="E722" i="2"/>
  <c r="C722" i="2"/>
  <c r="B722" i="2"/>
  <c r="N721" i="2"/>
  <c r="K721" i="2"/>
  <c r="H721" i="2"/>
  <c r="G721" i="2"/>
  <c r="F721" i="2"/>
  <c r="E721" i="2"/>
  <c r="C721" i="2"/>
  <c r="B721" i="2"/>
  <c r="N720" i="2"/>
  <c r="K720" i="2"/>
  <c r="H720" i="2"/>
  <c r="G720" i="2"/>
  <c r="F720" i="2"/>
  <c r="E720" i="2"/>
  <c r="C720" i="2"/>
  <c r="B720" i="2"/>
  <c r="N719" i="2"/>
  <c r="K719" i="2"/>
  <c r="H719" i="2"/>
  <c r="G719" i="2"/>
  <c r="F719" i="2"/>
  <c r="E719" i="2"/>
  <c r="C719" i="2"/>
  <c r="B719" i="2"/>
  <c r="N718" i="2"/>
  <c r="K718" i="2"/>
  <c r="H718" i="2"/>
  <c r="G718" i="2"/>
  <c r="F718" i="2"/>
  <c r="E718" i="2"/>
  <c r="C718" i="2"/>
  <c r="B718" i="2"/>
  <c r="N717" i="2"/>
  <c r="K717" i="2"/>
  <c r="H717" i="2"/>
  <c r="G717" i="2"/>
  <c r="F717" i="2"/>
  <c r="E717" i="2"/>
  <c r="C717" i="2"/>
  <c r="B717" i="2"/>
  <c r="N716" i="2"/>
  <c r="K716" i="2"/>
  <c r="H716" i="2"/>
  <c r="G716" i="2"/>
  <c r="F716" i="2"/>
  <c r="E716" i="2"/>
  <c r="C716" i="2"/>
  <c r="B716" i="2"/>
  <c r="N715" i="2"/>
  <c r="K715" i="2"/>
  <c r="H715" i="2"/>
  <c r="G715" i="2"/>
  <c r="F715" i="2"/>
  <c r="E715" i="2"/>
  <c r="C715" i="2"/>
  <c r="B715" i="2"/>
  <c r="N714" i="2"/>
  <c r="K714" i="2"/>
  <c r="H714" i="2"/>
  <c r="G714" i="2"/>
  <c r="F714" i="2"/>
  <c r="E714" i="2"/>
  <c r="C714" i="2"/>
  <c r="B714" i="2"/>
  <c r="N713" i="2"/>
  <c r="K713" i="2"/>
  <c r="H713" i="2"/>
  <c r="G713" i="2"/>
  <c r="F713" i="2"/>
  <c r="E713" i="2"/>
  <c r="C713" i="2"/>
  <c r="B713" i="2"/>
  <c r="N712" i="2"/>
  <c r="K712" i="2"/>
  <c r="H712" i="2"/>
  <c r="G712" i="2"/>
  <c r="F712" i="2"/>
  <c r="E712" i="2"/>
  <c r="C712" i="2"/>
  <c r="B712" i="2"/>
  <c r="N711" i="2"/>
  <c r="K711" i="2"/>
  <c r="H711" i="2"/>
  <c r="G711" i="2"/>
  <c r="F711" i="2"/>
  <c r="E711" i="2"/>
  <c r="C711" i="2"/>
  <c r="B711" i="2"/>
  <c r="N710" i="2"/>
  <c r="K710" i="2"/>
  <c r="H710" i="2"/>
  <c r="G710" i="2"/>
  <c r="F710" i="2"/>
  <c r="E710" i="2"/>
  <c r="C710" i="2"/>
  <c r="B710" i="2"/>
  <c r="N709" i="2"/>
  <c r="K709" i="2"/>
  <c r="H709" i="2"/>
  <c r="G709" i="2"/>
  <c r="F709" i="2"/>
  <c r="E709" i="2"/>
  <c r="C709" i="2"/>
  <c r="B709" i="2"/>
  <c r="N708" i="2"/>
  <c r="K708" i="2"/>
  <c r="H708" i="2"/>
  <c r="G708" i="2"/>
  <c r="F708" i="2"/>
  <c r="E708" i="2"/>
  <c r="C708" i="2"/>
  <c r="B708" i="2"/>
  <c r="N707" i="2"/>
  <c r="K707" i="2"/>
  <c r="H707" i="2"/>
  <c r="G707" i="2"/>
  <c r="F707" i="2"/>
  <c r="E707" i="2"/>
  <c r="C707" i="2"/>
  <c r="B707" i="2"/>
  <c r="N706" i="2"/>
  <c r="K706" i="2"/>
  <c r="H706" i="2"/>
  <c r="G706" i="2"/>
  <c r="F706" i="2"/>
  <c r="E706" i="2"/>
  <c r="C706" i="2"/>
  <c r="B706" i="2"/>
  <c r="N705" i="2"/>
  <c r="K705" i="2"/>
  <c r="H705" i="2"/>
  <c r="G705" i="2"/>
  <c r="F705" i="2"/>
  <c r="E705" i="2"/>
  <c r="C705" i="2"/>
  <c r="B705" i="2"/>
  <c r="N704" i="2"/>
  <c r="K704" i="2"/>
  <c r="H704" i="2"/>
  <c r="G704" i="2"/>
  <c r="F704" i="2"/>
  <c r="E704" i="2"/>
  <c r="C704" i="2"/>
  <c r="B704" i="2"/>
  <c r="N703" i="2"/>
  <c r="K703" i="2"/>
  <c r="H703" i="2"/>
  <c r="G703" i="2"/>
  <c r="F703" i="2"/>
  <c r="E703" i="2"/>
  <c r="C703" i="2"/>
  <c r="B703" i="2"/>
  <c r="N702" i="2"/>
  <c r="K702" i="2"/>
  <c r="H702" i="2"/>
  <c r="G702" i="2"/>
  <c r="F702" i="2"/>
  <c r="E702" i="2"/>
  <c r="C702" i="2"/>
  <c r="B702" i="2"/>
  <c r="N701" i="2"/>
  <c r="K701" i="2"/>
  <c r="H701" i="2"/>
  <c r="G701" i="2"/>
  <c r="F701" i="2"/>
  <c r="E701" i="2"/>
  <c r="C701" i="2"/>
  <c r="B701" i="2"/>
  <c r="N700" i="2"/>
  <c r="K700" i="2"/>
  <c r="H700" i="2"/>
  <c r="G700" i="2"/>
  <c r="F700" i="2"/>
  <c r="E700" i="2"/>
  <c r="C700" i="2"/>
  <c r="B700" i="2"/>
  <c r="N699" i="2"/>
  <c r="K699" i="2"/>
  <c r="H699" i="2"/>
  <c r="G699" i="2"/>
  <c r="F699" i="2"/>
  <c r="E699" i="2"/>
  <c r="C699" i="2"/>
  <c r="B699" i="2"/>
  <c r="N698" i="2"/>
  <c r="K698" i="2"/>
  <c r="H698" i="2"/>
  <c r="G698" i="2"/>
  <c r="F698" i="2"/>
  <c r="E698" i="2"/>
  <c r="C698" i="2"/>
  <c r="B698" i="2"/>
  <c r="N697" i="2"/>
  <c r="K697" i="2"/>
  <c r="H697" i="2"/>
  <c r="G697" i="2"/>
  <c r="F697" i="2"/>
  <c r="E697" i="2"/>
  <c r="C697" i="2"/>
  <c r="B697" i="2"/>
  <c r="N696" i="2"/>
  <c r="K696" i="2"/>
  <c r="H696" i="2"/>
  <c r="G696" i="2"/>
  <c r="F696" i="2"/>
  <c r="E696" i="2"/>
  <c r="C696" i="2"/>
  <c r="B696" i="2"/>
  <c r="N695" i="2"/>
  <c r="K695" i="2"/>
  <c r="H695" i="2"/>
  <c r="G695" i="2"/>
  <c r="F695" i="2"/>
  <c r="E695" i="2"/>
  <c r="C695" i="2"/>
  <c r="B695" i="2"/>
  <c r="N694" i="2"/>
  <c r="K694" i="2"/>
  <c r="H694" i="2"/>
  <c r="G694" i="2"/>
  <c r="F694" i="2"/>
  <c r="E694" i="2"/>
  <c r="C694" i="2"/>
  <c r="B694" i="2"/>
  <c r="N693" i="2"/>
  <c r="K693" i="2"/>
  <c r="H693" i="2"/>
  <c r="G693" i="2"/>
  <c r="F693" i="2"/>
  <c r="E693" i="2"/>
  <c r="C693" i="2"/>
  <c r="B693" i="2"/>
  <c r="N692" i="2"/>
  <c r="K692" i="2"/>
  <c r="H692" i="2"/>
  <c r="G692" i="2"/>
  <c r="F692" i="2"/>
  <c r="E692" i="2"/>
  <c r="C692" i="2"/>
  <c r="B692" i="2"/>
  <c r="N691" i="2"/>
  <c r="K691" i="2"/>
  <c r="H691" i="2"/>
  <c r="G691" i="2"/>
  <c r="F691" i="2"/>
  <c r="E691" i="2"/>
  <c r="C691" i="2"/>
  <c r="B691" i="2"/>
  <c r="N690" i="2"/>
  <c r="K690" i="2"/>
  <c r="H690" i="2"/>
  <c r="G690" i="2"/>
  <c r="F690" i="2"/>
  <c r="E690" i="2"/>
  <c r="C690" i="2"/>
  <c r="B690" i="2"/>
  <c r="N689" i="2"/>
  <c r="K689" i="2"/>
  <c r="H689" i="2"/>
  <c r="G689" i="2"/>
  <c r="F689" i="2"/>
  <c r="E689" i="2"/>
  <c r="C689" i="2"/>
  <c r="B689" i="2"/>
  <c r="N688" i="2"/>
  <c r="K688" i="2"/>
  <c r="H688" i="2"/>
  <c r="G688" i="2"/>
  <c r="F688" i="2"/>
  <c r="E688" i="2"/>
  <c r="C688" i="2"/>
  <c r="B688" i="2"/>
  <c r="N687" i="2"/>
  <c r="K687" i="2"/>
  <c r="H687" i="2"/>
  <c r="G687" i="2"/>
  <c r="F687" i="2"/>
  <c r="E687" i="2"/>
  <c r="C687" i="2"/>
  <c r="B687" i="2"/>
  <c r="N686" i="2"/>
  <c r="K686" i="2"/>
  <c r="H686" i="2"/>
  <c r="G686" i="2"/>
  <c r="F686" i="2"/>
  <c r="E686" i="2"/>
  <c r="C686" i="2"/>
  <c r="B686" i="2"/>
  <c r="N685" i="2"/>
  <c r="K685" i="2"/>
  <c r="H685" i="2"/>
  <c r="G685" i="2"/>
  <c r="F685" i="2"/>
  <c r="E685" i="2"/>
  <c r="C685" i="2"/>
  <c r="B685" i="2"/>
  <c r="N684" i="2"/>
  <c r="K684" i="2"/>
  <c r="H684" i="2"/>
  <c r="G684" i="2"/>
  <c r="F684" i="2"/>
  <c r="E684" i="2"/>
  <c r="C684" i="2"/>
  <c r="B684" i="2"/>
  <c r="N683" i="2"/>
  <c r="K683" i="2"/>
  <c r="H683" i="2"/>
  <c r="G683" i="2"/>
  <c r="F683" i="2"/>
  <c r="E683" i="2"/>
  <c r="C683" i="2"/>
  <c r="B683" i="2"/>
  <c r="N682" i="2"/>
  <c r="K682" i="2"/>
  <c r="H682" i="2"/>
  <c r="G682" i="2"/>
  <c r="F682" i="2"/>
  <c r="E682" i="2"/>
  <c r="C682" i="2"/>
  <c r="B682" i="2"/>
  <c r="N681" i="2"/>
  <c r="K681" i="2"/>
  <c r="H681" i="2"/>
  <c r="G681" i="2"/>
  <c r="F681" i="2"/>
  <c r="E681" i="2"/>
  <c r="C681" i="2"/>
  <c r="B681" i="2"/>
  <c r="N680" i="2"/>
  <c r="K680" i="2"/>
  <c r="H680" i="2"/>
  <c r="G680" i="2"/>
  <c r="F680" i="2"/>
  <c r="E680" i="2"/>
  <c r="C680" i="2"/>
  <c r="B680" i="2"/>
  <c r="N679" i="2"/>
  <c r="K679" i="2"/>
  <c r="H679" i="2"/>
  <c r="G679" i="2"/>
  <c r="F679" i="2"/>
  <c r="E679" i="2"/>
  <c r="C679" i="2"/>
  <c r="B679" i="2"/>
  <c r="N678" i="2"/>
  <c r="K678" i="2"/>
  <c r="H678" i="2"/>
  <c r="G678" i="2"/>
  <c r="F678" i="2"/>
  <c r="E678" i="2"/>
  <c r="C678" i="2"/>
  <c r="B678" i="2"/>
  <c r="N677" i="2"/>
  <c r="K677" i="2"/>
  <c r="H677" i="2"/>
  <c r="G677" i="2"/>
  <c r="F677" i="2"/>
  <c r="E677" i="2"/>
  <c r="C677" i="2"/>
  <c r="B677" i="2"/>
  <c r="N676" i="2"/>
  <c r="K676" i="2"/>
  <c r="H676" i="2"/>
  <c r="G676" i="2"/>
  <c r="F676" i="2"/>
  <c r="E676" i="2"/>
  <c r="C676" i="2"/>
  <c r="B676" i="2"/>
  <c r="N675" i="2"/>
  <c r="K675" i="2"/>
  <c r="H675" i="2"/>
  <c r="G675" i="2"/>
  <c r="F675" i="2"/>
  <c r="E675" i="2"/>
  <c r="C675" i="2"/>
  <c r="B675" i="2"/>
  <c r="N674" i="2"/>
  <c r="K674" i="2"/>
  <c r="H674" i="2"/>
  <c r="G674" i="2"/>
  <c r="F674" i="2"/>
  <c r="E674" i="2"/>
  <c r="C674" i="2"/>
  <c r="B674" i="2"/>
  <c r="N673" i="2"/>
  <c r="K673" i="2"/>
  <c r="H673" i="2"/>
  <c r="G673" i="2"/>
  <c r="F673" i="2"/>
  <c r="E673" i="2"/>
  <c r="C673" i="2"/>
  <c r="B673" i="2"/>
  <c r="N672" i="2"/>
  <c r="K672" i="2"/>
  <c r="H672" i="2"/>
  <c r="G672" i="2"/>
  <c r="F672" i="2"/>
  <c r="E672" i="2"/>
  <c r="C672" i="2"/>
  <c r="B672" i="2"/>
  <c r="N671" i="2"/>
  <c r="K671" i="2"/>
  <c r="H671" i="2"/>
  <c r="G671" i="2"/>
  <c r="F671" i="2"/>
  <c r="E671" i="2"/>
  <c r="C671" i="2"/>
  <c r="B671" i="2"/>
  <c r="N670" i="2"/>
  <c r="K670" i="2"/>
  <c r="H670" i="2"/>
  <c r="G670" i="2"/>
  <c r="F670" i="2"/>
  <c r="E670" i="2"/>
  <c r="C670" i="2"/>
  <c r="B670" i="2"/>
  <c r="N669" i="2"/>
  <c r="K669" i="2"/>
  <c r="H669" i="2"/>
  <c r="G669" i="2"/>
  <c r="F669" i="2"/>
  <c r="E669" i="2"/>
  <c r="C669" i="2"/>
  <c r="B669" i="2"/>
  <c r="N668" i="2"/>
  <c r="K668" i="2"/>
  <c r="H668" i="2"/>
  <c r="G668" i="2"/>
  <c r="F668" i="2"/>
  <c r="E668" i="2"/>
  <c r="C668" i="2"/>
  <c r="B668" i="2"/>
  <c r="N667" i="2"/>
  <c r="K667" i="2"/>
  <c r="H667" i="2"/>
  <c r="G667" i="2"/>
  <c r="F667" i="2"/>
  <c r="E667" i="2"/>
  <c r="C667" i="2"/>
  <c r="B667" i="2"/>
  <c r="N666" i="2"/>
  <c r="K666" i="2"/>
  <c r="H666" i="2"/>
  <c r="G666" i="2"/>
  <c r="F666" i="2"/>
  <c r="E666" i="2"/>
  <c r="C666" i="2"/>
  <c r="B666" i="2"/>
  <c r="N665" i="2"/>
  <c r="K665" i="2"/>
  <c r="H665" i="2"/>
  <c r="G665" i="2"/>
  <c r="F665" i="2"/>
  <c r="E665" i="2"/>
  <c r="C665" i="2"/>
  <c r="B665" i="2"/>
  <c r="N664" i="2"/>
  <c r="K664" i="2"/>
  <c r="H664" i="2"/>
  <c r="G664" i="2"/>
  <c r="F664" i="2"/>
  <c r="E664" i="2"/>
  <c r="C664" i="2"/>
  <c r="B664" i="2"/>
  <c r="N663" i="2"/>
  <c r="K663" i="2"/>
  <c r="H663" i="2"/>
  <c r="G663" i="2"/>
  <c r="F663" i="2"/>
  <c r="E663" i="2"/>
  <c r="C663" i="2"/>
  <c r="B663" i="2"/>
  <c r="N662" i="2"/>
  <c r="K662" i="2"/>
  <c r="H662" i="2"/>
  <c r="G662" i="2"/>
  <c r="F662" i="2"/>
  <c r="E662" i="2"/>
  <c r="C662" i="2"/>
  <c r="B662" i="2"/>
  <c r="N661" i="2"/>
  <c r="K661" i="2"/>
  <c r="H661" i="2"/>
  <c r="G661" i="2"/>
  <c r="F661" i="2"/>
  <c r="E661" i="2"/>
  <c r="C661" i="2"/>
  <c r="B661" i="2"/>
  <c r="N660" i="2"/>
  <c r="K660" i="2"/>
  <c r="H660" i="2"/>
  <c r="G660" i="2"/>
  <c r="F660" i="2"/>
  <c r="E660" i="2"/>
  <c r="C660" i="2"/>
  <c r="B660" i="2"/>
  <c r="N659" i="2"/>
  <c r="K659" i="2"/>
  <c r="H659" i="2"/>
  <c r="G659" i="2"/>
  <c r="F659" i="2"/>
  <c r="E659" i="2"/>
  <c r="C659" i="2"/>
  <c r="B659" i="2"/>
  <c r="N658" i="2"/>
  <c r="K658" i="2"/>
  <c r="H658" i="2"/>
  <c r="G658" i="2"/>
  <c r="F658" i="2"/>
  <c r="E658" i="2"/>
  <c r="C658" i="2"/>
  <c r="B658" i="2"/>
  <c r="N657" i="2"/>
  <c r="K657" i="2"/>
  <c r="H657" i="2"/>
  <c r="G657" i="2"/>
  <c r="F657" i="2"/>
  <c r="E657" i="2"/>
  <c r="C657" i="2"/>
  <c r="B657" i="2"/>
  <c r="N656" i="2"/>
  <c r="K656" i="2"/>
  <c r="H656" i="2"/>
  <c r="G656" i="2"/>
  <c r="F656" i="2"/>
  <c r="E656" i="2"/>
  <c r="C656" i="2"/>
  <c r="B656" i="2"/>
  <c r="N655" i="2"/>
  <c r="K655" i="2"/>
  <c r="H655" i="2"/>
  <c r="G655" i="2"/>
  <c r="F655" i="2"/>
  <c r="E655" i="2"/>
  <c r="C655" i="2"/>
  <c r="B655" i="2"/>
  <c r="N654" i="2"/>
  <c r="K654" i="2"/>
  <c r="H654" i="2"/>
  <c r="G654" i="2"/>
  <c r="F654" i="2"/>
  <c r="E654" i="2"/>
  <c r="C654" i="2"/>
  <c r="B654" i="2"/>
  <c r="N653" i="2"/>
  <c r="K653" i="2"/>
  <c r="H653" i="2"/>
  <c r="G653" i="2"/>
  <c r="F653" i="2"/>
  <c r="E653" i="2"/>
  <c r="C653" i="2"/>
  <c r="B653" i="2"/>
  <c r="N652" i="2"/>
  <c r="K652" i="2"/>
  <c r="H652" i="2"/>
  <c r="G652" i="2"/>
  <c r="F652" i="2"/>
  <c r="E652" i="2"/>
  <c r="C652" i="2"/>
  <c r="B652" i="2"/>
  <c r="N651" i="2"/>
  <c r="K651" i="2"/>
  <c r="H651" i="2"/>
  <c r="G651" i="2"/>
  <c r="F651" i="2"/>
  <c r="E651" i="2"/>
  <c r="C651" i="2"/>
  <c r="B651" i="2"/>
  <c r="N650" i="2"/>
  <c r="K650" i="2"/>
  <c r="H650" i="2"/>
  <c r="G650" i="2"/>
  <c r="F650" i="2"/>
  <c r="E650" i="2"/>
  <c r="C650" i="2"/>
  <c r="B650" i="2"/>
  <c r="N649" i="2"/>
  <c r="K649" i="2"/>
  <c r="H649" i="2"/>
  <c r="G649" i="2"/>
  <c r="F649" i="2"/>
  <c r="E649" i="2"/>
  <c r="C649" i="2"/>
  <c r="B649" i="2"/>
  <c r="N648" i="2"/>
  <c r="K648" i="2"/>
  <c r="H648" i="2"/>
  <c r="G648" i="2"/>
  <c r="F648" i="2"/>
  <c r="E648" i="2"/>
  <c r="C648" i="2"/>
  <c r="B648" i="2"/>
  <c r="N647" i="2"/>
  <c r="K647" i="2"/>
  <c r="H647" i="2"/>
  <c r="G647" i="2"/>
  <c r="F647" i="2"/>
  <c r="E647" i="2"/>
  <c r="C647" i="2"/>
  <c r="B647" i="2"/>
  <c r="N646" i="2"/>
  <c r="K646" i="2"/>
  <c r="H646" i="2"/>
  <c r="G646" i="2"/>
  <c r="F646" i="2"/>
  <c r="E646" i="2"/>
  <c r="C646" i="2"/>
  <c r="B646" i="2"/>
  <c r="N645" i="2"/>
  <c r="K645" i="2"/>
  <c r="H645" i="2"/>
  <c r="G645" i="2"/>
  <c r="F645" i="2"/>
  <c r="E645" i="2"/>
  <c r="C645" i="2"/>
  <c r="B645" i="2"/>
  <c r="N644" i="2"/>
  <c r="K644" i="2"/>
  <c r="H644" i="2"/>
  <c r="G644" i="2"/>
  <c r="F644" i="2"/>
  <c r="E644" i="2"/>
  <c r="C644" i="2"/>
  <c r="B644" i="2"/>
  <c r="N643" i="2"/>
  <c r="K643" i="2"/>
  <c r="H643" i="2"/>
  <c r="G643" i="2"/>
  <c r="F643" i="2"/>
  <c r="E643" i="2"/>
  <c r="C643" i="2"/>
  <c r="B643" i="2"/>
  <c r="N642" i="2"/>
  <c r="K642" i="2"/>
  <c r="H642" i="2"/>
  <c r="G642" i="2"/>
  <c r="F642" i="2"/>
  <c r="E642" i="2"/>
  <c r="C642" i="2"/>
  <c r="B642" i="2"/>
  <c r="N641" i="2"/>
  <c r="K641" i="2"/>
  <c r="H641" i="2"/>
  <c r="G641" i="2"/>
  <c r="F641" i="2"/>
  <c r="E641" i="2"/>
  <c r="C641" i="2"/>
  <c r="B641" i="2"/>
  <c r="N640" i="2"/>
  <c r="K640" i="2"/>
  <c r="H640" i="2"/>
  <c r="G640" i="2"/>
  <c r="F640" i="2"/>
  <c r="E640" i="2"/>
  <c r="C640" i="2"/>
  <c r="B640" i="2"/>
  <c r="N639" i="2"/>
  <c r="K639" i="2"/>
  <c r="H639" i="2"/>
  <c r="G639" i="2"/>
  <c r="F639" i="2"/>
  <c r="E639" i="2"/>
  <c r="C639" i="2"/>
  <c r="B639" i="2"/>
  <c r="N638" i="2"/>
  <c r="K638" i="2"/>
  <c r="H638" i="2"/>
  <c r="G638" i="2"/>
  <c r="F638" i="2"/>
  <c r="E638" i="2"/>
  <c r="C638" i="2"/>
  <c r="B638" i="2"/>
  <c r="N637" i="2"/>
  <c r="K637" i="2"/>
  <c r="H637" i="2"/>
  <c r="G637" i="2"/>
  <c r="F637" i="2"/>
  <c r="E637" i="2"/>
  <c r="C637" i="2"/>
  <c r="B637" i="2"/>
  <c r="N636" i="2"/>
  <c r="K636" i="2"/>
  <c r="H636" i="2"/>
  <c r="G636" i="2"/>
  <c r="F636" i="2"/>
  <c r="E636" i="2"/>
  <c r="C636" i="2"/>
  <c r="B636" i="2"/>
  <c r="N635" i="2"/>
  <c r="K635" i="2"/>
  <c r="H635" i="2"/>
  <c r="G635" i="2"/>
  <c r="F635" i="2"/>
  <c r="E635" i="2"/>
  <c r="C635" i="2"/>
  <c r="B635" i="2"/>
  <c r="N634" i="2"/>
  <c r="K634" i="2"/>
  <c r="H634" i="2"/>
  <c r="G634" i="2"/>
  <c r="F634" i="2"/>
  <c r="E634" i="2"/>
  <c r="C634" i="2"/>
  <c r="B634" i="2"/>
  <c r="N633" i="2"/>
  <c r="K633" i="2"/>
  <c r="H633" i="2"/>
  <c r="G633" i="2"/>
  <c r="F633" i="2"/>
  <c r="E633" i="2"/>
  <c r="C633" i="2"/>
  <c r="B633" i="2"/>
  <c r="N632" i="2"/>
  <c r="K632" i="2"/>
  <c r="H632" i="2"/>
  <c r="G632" i="2"/>
  <c r="F632" i="2"/>
  <c r="E632" i="2"/>
  <c r="C632" i="2"/>
  <c r="B632" i="2"/>
  <c r="N631" i="2"/>
  <c r="K631" i="2"/>
  <c r="H631" i="2"/>
  <c r="G631" i="2"/>
  <c r="F631" i="2"/>
  <c r="E631" i="2"/>
  <c r="C631" i="2"/>
  <c r="B631" i="2"/>
  <c r="N630" i="2"/>
  <c r="K630" i="2"/>
  <c r="H630" i="2"/>
  <c r="G630" i="2"/>
  <c r="F630" i="2"/>
  <c r="E630" i="2"/>
  <c r="C630" i="2"/>
  <c r="B630" i="2"/>
  <c r="N629" i="2"/>
  <c r="K629" i="2"/>
  <c r="H629" i="2"/>
  <c r="G629" i="2"/>
  <c r="F629" i="2"/>
  <c r="E629" i="2"/>
  <c r="C629" i="2"/>
  <c r="B629" i="2"/>
  <c r="N628" i="2"/>
  <c r="K628" i="2"/>
  <c r="H628" i="2"/>
  <c r="G628" i="2"/>
  <c r="F628" i="2"/>
  <c r="E628" i="2"/>
  <c r="C628" i="2"/>
  <c r="B628" i="2"/>
  <c r="N627" i="2"/>
  <c r="K627" i="2"/>
  <c r="H627" i="2"/>
  <c r="G627" i="2"/>
  <c r="F627" i="2"/>
  <c r="E627" i="2"/>
  <c r="C627" i="2"/>
  <c r="B627" i="2"/>
  <c r="N626" i="2"/>
  <c r="K626" i="2"/>
  <c r="H626" i="2"/>
  <c r="G626" i="2"/>
  <c r="F626" i="2"/>
  <c r="E626" i="2"/>
  <c r="C626" i="2"/>
  <c r="B626" i="2"/>
  <c r="N625" i="2"/>
  <c r="K625" i="2"/>
  <c r="H625" i="2"/>
  <c r="G625" i="2"/>
  <c r="F625" i="2"/>
  <c r="E625" i="2"/>
  <c r="C625" i="2"/>
  <c r="B625" i="2"/>
  <c r="N624" i="2"/>
  <c r="K624" i="2"/>
  <c r="H624" i="2"/>
  <c r="G624" i="2"/>
  <c r="F624" i="2"/>
  <c r="E624" i="2"/>
  <c r="C624" i="2"/>
  <c r="B624" i="2"/>
  <c r="N623" i="2"/>
  <c r="K623" i="2"/>
  <c r="H623" i="2"/>
  <c r="G623" i="2"/>
  <c r="F623" i="2"/>
  <c r="E623" i="2"/>
  <c r="C623" i="2"/>
  <c r="B623" i="2"/>
  <c r="N622" i="2"/>
  <c r="K622" i="2"/>
  <c r="H622" i="2"/>
  <c r="G622" i="2"/>
  <c r="F622" i="2"/>
  <c r="E622" i="2"/>
  <c r="C622" i="2"/>
  <c r="B622" i="2"/>
  <c r="N621" i="2"/>
  <c r="K621" i="2"/>
  <c r="H621" i="2"/>
  <c r="G621" i="2"/>
  <c r="F621" i="2"/>
  <c r="E621" i="2"/>
  <c r="C621" i="2"/>
  <c r="B621" i="2"/>
  <c r="N620" i="2"/>
  <c r="K620" i="2"/>
  <c r="H620" i="2"/>
  <c r="G620" i="2"/>
  <c r="F620" i="2"/>
  <c r="E620" i="2"/>
  <c r="C620" i="2"/>
  <c r="B620" i="2"/>
  <c r="N619" i="2"/>
  <c r="K619" i="2"/>
  <c r="H619" i="2"/>
  <c r="G619" i="2"/>
  <c r="F619" i="2"/>
  <c r="E619" i="2"/>
  <c r="C619" i="2"/>
  <c r="B619" i="2"/>
  <c r="N618" i="2"/>
  <c r="K618" i="2"/>
  <c r="H618" i="2"/>
  <c r="G618" i="2"/>
  <c r="F618" i="2"/>
  <c r="E618" i="2"/>
  <c r="C618" i="2"/>
  <c r="B618" i="2"/>
  <c r="N617" i="2"/>
  <c r="K617" i="2"/>
  <c r="H617" i="2"/>
  <c r="G617" i="2"/>
  <c r="F617" i="2"/>
  <c r="E617" i="2"/>
  <c r="C617" i="2"/>
  <c r="B617" i="2"/>
  <c r="N616" i="2"/>
  <c r="K616" i="2"/>
  <c r="H616" i="2"/>
  <c r="G616" i="2"/>
  <c r="F616" i="2"/>
  <c r="E616" i="2"/>
  <c r="C616" i="2"/>
  <c r="B616" i="2"/>
  <c r="N615" i="2"/>
  <c r="K615" i="2"/>
  <c r="H615" i="2"/>
  <c r="G615" i="2"/>
  <c r="F615" i="2"/>
  <c r="E615" i="2"/>
  <c r="C615" i="2"/>
  <c r="B615" i="2"/>
  <c r="N614" i="2"/>
  <c r="K614" i="2"/>
  <c r="H614" i="2"/>
  <c r="G614" i="2"/>
  <c r="F614" i="2"/>
  <c r="E614" i="2"/>
  <c r="C614" i="2"/>
  <c r="B614" i="2"/>
  <c r="N613" i="2"/>
  <c r="K613" i="2"/>
  <c r="H613" i="2"/>
  <c r="G613" i="2"/>
  <c r="F613" i="2"/>
  <c r="E613" i="2"/>
  <c r="C613" i="2"/>
  <c r="B613" i="2"/>
  <c r="N612" i="2"/>
  <c r="K612" i="2"/>
  <c r="H612" i="2"/>
  <c r="G612" i="2"/>
  <c r="F612" i="2"/>
  <c r="E612" i="2"/>
  <c r="C612" i="2"/>
  <c r="B612" i="2"/>
  <c r="N611" i="2"/>
  <c r="K611" i="2"/>
  <c r="H611" i="2"/>
  <c r="G611" i="2"/>
  <c r="F611" i="2"/>
  <c r="E611" i="2"/>
  <c r="C611" i="2"/>
  <c r="B611" i="2"/>
  <c r="N610" i="2"/>
  <c r="K610" i="2"/>
  <c r="H610" i="2"/>
  <c r="G610" i="2"/>
  <c r="F610" i="2"/>
  <c r="E610" i="2"/>
  <c r="C610" i="2"/>
  <c r="B610" i="2"/>
  <c r="N609" i="2"/>
  <c r="K609" i="2"/>
  <c r="H609" i="2"/>
  <c r="G609" i="2"/>
  <c r="F609" i="2"/>
  <c r="E609" i="2"/>
  <c r="C609" i="2"/>
  <c r="B609" i="2"/>
  <c r="N608" i="2"/>
  <c r="K608" i="2"/>
  <c r="H608" i="2"/>
  <c r="G608" i="2"/>
  <c r="F608" i="2"/>
  <c r="E608" i="2"/>
  <c r="C608" i="2"/>
  <c r="B608" i="2"/>
  <c r="N607" i="2"/>
  <c r="K607" i="2"/>
  <c r="H607" i="2"/>
  <c r="G607" i="2"/>
  <c r="F607" i="2"/>
  <c r="E607" i="2"/>
  <c r="C607" i="2"/>
  <c r="B607" i="2"/>
  <c r="N606" i="2"/>
  <c r="K606" i="2"/>
  <c r="H606" i="2"/>
  <c r="G606" i="2"/>
  <c r="F606" i="2"/>
  <c r="E606" i="2"/>
  <c r="C606" i="2"/>
  <c r="B606" i="2"/>
  <c r="N605" i="2"/>
  <c r="K605" i="2"/>
  <c r="H605" i="2"/>
  <c r="G605" i="2"/>
  <c r="F605" i="2"/>
  <c r="E605" i="2"/>
  <c r="C605" i="2"/>
  <c r="B605" i="2"/>
  <c r="N604" i="2"/>
  <c r="K604" i="2"/>
  <c r="H604" i="2"/>
  <c r="G604" i="2"/>
  <c r="F604" i="2"/>
  <c r="E604" i="2"/>
  <c r="C604" i="2"/>
  <c r="B604" i="2"/>
  <c r="N603" i="2"/>
  <c r="K603" i="2"/>
  <c r="H603" i="2"/>
  <c r="G603" i="2"/>
  <c r="F603" i="2"/>
  <c r="E603" i="2"/>
  <c r="C603" i="2"/>
  <c r="B603" i="2"/>
  <c r="N602" i="2"/>
  <c r="K602" i="2"/>
  <c r="H602" i="2"/>
  <c r="G602" i="2"/>
  <c r="F602" i="2"/>
  <c r="E602" i="2"/>
  <c r="C602" i="2"/>
  <c r="B602" i="2"/>
  <c r="N601" i="2"/>
  <c r="K601" i="2"/>
  <c r="H601" i="2"/>
  <c r="G601" i="2"/>
  <c r="F601" i="2"/>
  <c r="E601" i="2"/>
  <c r="C601" i="2"/>
  <c r="B601" i="2"/>
  <c r="N600" i="2"/>
  <c r="K600" i="2"/>
  <c r="H600" i="2"/>
  <c r="G600" i="2"/>
  <c r="F600" i="2"/>
  <c r="E600" i="2"/>
  <c r="C600" i="2"/>
  <c r="B600" i="2"/>
  <c r="N599" i="2"/>
  <c r="K599" i="2"/>
  <c r="H599" i="2"/>
  <c r="G599" i="2"/>
  <c r="F599" i="2"/>
  <c r="E599" i="2"/>
  <c r="C599" i="2"/>
  <c r="B599" i="2"/>
  <c r="N598" i="2"/>
  <c r="K598" i="2"/>
  <c r="H598" i="2"/>
  <c r="G598" i="2"/>
  <c r="F598" i="2"/>
  <c r="E598" i="2"/>
  <c r="C598" i="2"/>
  <c r="B598" i="2"/>
  <c r="N597" i="2"/>
  <c r="K597" i="2"/>
  <c r="H597" i="2"/>
  <c r="G597" i="2"/>
  <c r="F597" i="2"/>
  <c r="E597" i="2"/>
  <c r="C597" i="2"/>
  <c r="B597" i="2"/>
  <c r="N596" i="2"/>
  <c r="K596" i="2"/>
  <c r="H596" i="2"/>
  <c r="G596" i="2"/>
  <c r="F596" i="2"/>
  <c r="E596" i="2"/>
  <c r="C596" i="2"/>
  <c r="B596" i="2"/>
  <c r="N595" i="2"/>
  <c r="K595" i="2"/>
  <c r="H595" i="2"/>
  <c r="G595" i="2"/>
  <c r="F595" i="2"/>
  <c r="E595" i="2"/>
  <c r="C595" i="2"/>
  <c r="B595" i="2"/>
  <c r="N594" i="2"/>
  <c r="K594" i="2"/>
  <c r="H594" i="2"/>
  <c r="G594" i="2"/>
  <c r="F594" i="2"/>
  <c r="E594" i="2"/>
  <c r="C594" i="2"/>
  <c r="B594" i="2"/>
  <c r="N593" i="2"/>
  <c r="K593" i="2"/>
  <c r="H593" i="2"/>
  <c r="G593" i="2"/>
  <c r="F593" i="2"/>
  <c r="E593" i="2"/>
  <c r="C593" i="2"/>
  <c r="B593" i="2"/>
  <c r="N592" i="2"/>
  <c r="K592" i="2"/>
  <c r="H592" i="2"/>
  <c r="G592" i="2"/>
  <c r="F592" i="2"/>
  <c r="E592" i="2"/>
  <c r="C592" i="2"/>
  <c r="B592" i="2"/>
  <c r="N591" i="2"/>
  <c r="K591" i="2"/>
  <c r="H591" i="2"/>
  <c r="G591" i="2"/>
  <c r="F591" i="2"/>
  <c r="E591" i="2"/>
  <c r="C591" i="2"/>
  <c r="B591" i="2"/>
  <c r="N590" i="2"/>
  <c r="K590" i="2"/>
  <c r="H590" i="2"/>
  <c r="G590" i="2"/>
  <c r="F590" i="2"/>
  <c r="E590" i="2"/>
  <c r="C590" i="2"/>
  <c r="B590" i="2"/>
  <c r="N589" i="2"/>
  <c r="K589" i="2"/>
  <c r="H589" i="2"/>
  <c r="G589" i="2"/>
  <c r="F589" i="2"/>
  <c r="E589" i="2"/>
  <c r="C589" i="2"/>
  <c r="B589" i="2"/>
  <c r="N588" i="2"/>
  <c r="K588" i="2"/>
  <c r="H588" i="2"/>
  <c r="G588" i="2"/>
  <c r="F588" i="2"/>
  <c r="E588" i="2"/>
  <c r="C588" i="2"/>
  <c r="B588" i="2"/>
  <c r="N587" i="2"/>
  <c r="K587" i="2"/>
  <c r="H587" i="2"/>
  <c r="G587" i="2"/>
  <c r="F587" i="2"/>
  <c r="E587" i="2"/>
  <c r="C587" i="2"/>
  <c r="B587" i="2"/>
  <c r="N586" i="2"/>
  <c r="K586" i="2"/>
  <c r="H586" i="2"/>
  <c r="G586" i="2"/>
  <c r="F586" i="2"/>
  <c r="E586" i="2"/>
  <c r="C586" i="2"/>
  <c r="B586" i="2"/>
  <c r="N585" i="2"/>
  <c r="K585" i="2"/>
  <c r="H585" i="2"/>
  <c r="G585" i="2"/>
  <c r="F585" i="2"/>
  <c r="E585" i="2"/>
  <c r="C585" i="2"/>
  <c r="B585" i="2"/>
  <c r="N584" i="2"/>
  <c r="K584" i="2"/>
  <c r="H584" i="2"/>
  <c r="G584" i="2"/>
  <c r="F584" i="2"/>
  <c r="E584" i="2"/>
  <c r="C584" i="2"/>
  <c r="B584" i="2"/>
  <c r="N583" i="2"/>
  <c r="K583" i="2"/>
  <c r="H583" i="2"/>
  <c r="G583" i="2"/>
  <c r="F583" i="2"/>
  <c r="E583" i="2"/>
  <c r="C583" i="2"/>
  <c r="B583" i="2"/>
  <c r="N582" i="2"/>
  <c r="K582" i="2"/>
  <c r="H582" i="2"/>
  <c r="G582" i="2"/>
  <c r="F582" i="2"/>
  <c r="E582" i="2"/>
  <c r="C582" i="2"/>
  <c r="B582" i="2"/>
  <c r="N581" i="2"/>
  <c r="K581" i="2"/>
  <c r="H581" i="2"/>
  <c r="G581" i="2"/>
  <c r="F581" i="2"/>
  <c r="E581" i="2"/>
  <c r="C581" i="2"/>
  <c r="B581" i="2"/>
  <c r="N580" i="2"/>
  <c r="K580" i="2"/>
  <c r="H580" i="2"/>
  <c r="G580" i="2"/>
  <c r="F580" i="2"/>
  <c r="E580" i="2"/>
  <c r="C580" i="2"/>
  <c r="B580" i="2"/>
  <c r="N579" i="2"/>
  <c r="K579" i="2"/>
  <c r="H579" i="2"/>
  <c r="G579" i="2"/>
  <c r="F579" i="2"/>
  <c r="E579" i="2"/>
  <c r="C579" i="2"/>
  <c r="B579" i="2"/>
  <c r="N578" i="2"/>
  <c r="K578" i="2"/>
  <c r="H578" i="2"/>
  <c r="G578" i="2"/>
  <c r="F578" i="2"/>
  <c r="E578" i="2"/>
  <c r="C578" i="2"/>
  <c r="B578" i="2"/>
  <c r="N577" i="2"/>
  <c r="K577" i="2"/>
  <c r="H577" i="2"/>
  <c r="G577" i="2"/>
  <c r="F577" i="2"/>
  <c r="E577" i="2"/>
  <c r="C577" i="2"/>
  <c r="B577" i="2"/>
  <c r="N576" i="2"/>
  <c r="K576" i="2"/>
  <c r="H576" i="2"/>
  <c r="G576" i="2"/>
  <c r="F576" i="2"/>
  <c r="E576" i="2"/>
  <c r="C576" i="2"/>
  <c r="B576" i="2"/>
  <c r="N575" i="2"/>
  <c r="K575" i="2"/>
  <c r="H575" i="2"/>
  <c r="G575" i="2"/>
  <c r="F575" i="2"/>
  <c r="E575" i="2"/>
  <c r="C575" i="2"/>
  <c r="B575" i="2"/>
  <c r="N574" i="2"/>
  <c r="K574" i="2"/>
  <c r="H574" i="2"/>
  <c r="G574" i="2"/>
  <c r="F574" i="2"/>
  <c r="E574" i="2"/>
  <c r="C574" i="2"/>
  <c r="B574" i="2"/>
  <c r="N573" i="2"/>
  <c r="K573" i="2"/>
  <c r="H573" i="2"/>
  <c r="G573" i="2"/>
  <c r="F573" i="2"/>
  <c r="E573" i="2"/>
  <c r="C573" i="2"/>
  <c r="B573" i="2"/>
  <c r="N572" i="2"/>
  <c r="K572" i="2"/>
  <c r="H572" i="2"/>
  <c r="G572" i="2"/>
  <c r="F572" i="2"/>
  <c r="E572" i="2"/>
  <c r="C572" i="2"/>
  <c r="B572" i="2"/>
  <c r="N571" i="2"/>
  <c r="K571" i="2"/>
  <c r="H571" i="2"/>
  <c r="G571" i="2"/>
  <c r="F571" i="2"/>
  <c r="E571" i="2"/>
  <c r="C571" i="2"/>
  <c r="B571" i="2"/>
  <c r="N570" i="2"/>
  <c r="K570" i="2"/>
  <c r="H570" i="2"/>
  <c r="G570" i="2"/>
  <c r="F570" i="2"/>
  <c r="E570" i="2"/>
  <c r="C570" i="2"/>
  <c r="B570" i="2"/>
  <c r="N569" i="2"/>
  <c r="K569" i="2"/>
  <c r="H569" i="2"/>
  <c r="G569" i="2"/>
  <c r="F569" i="2"/>
  <c r="E569" i="2"/>
  <c r="C569" i="2"/>
  <c r="B569" i="2"/>
  <c r="N568" i="2"/>
  <c r="K568" i="2"/>
  <c r="H568" i="2"/>
  <c r="G568" i="2"/>
  <c r="F568" i="2"/>
  <c r="E568" i="2"/>
  <c r="C568" i="2"/>
  <c r="B568" i="2"/>
  <c r="N567" i="2"/>
  <c r="K567" i="2"/>
  <c r="H567" i="2"/>
  <c r="G567" i="2"/>
  <c r="F567" i="2"/>
  <c r="E567" i="2"/>
  <c r="C567" i="2"/>
  <c r="B567" i="2"/>
  <c r="N566" i="2"/>
  <c r="K566" i="2"/>
  <c r="H566" i="2"/>
  <c r="G566" i="2"/>
  <c r="F566" i="2"/>
  <c r="E566" i="2"/>
  <c r="C566" i="2"/>
  <c r="B566" i="2"/>
  <c r="N565" i="2"/>
  <c r="K565" i="2"/>
  <c r="H565" i="2"/>
  <c r="G565" i="2"/>
  <c r="F565" i="2"/>
  <c r="E565" i="2"/>
  <c r="C565" i="2"/>
  <c r="B565" i="2"/>
  <c r="N564" i="2"/>
  <c r="K564" i="2"/>
  <c r="H564" i="2"/>
  <c r="G564" i="2"/>
  <c r="F564" i="2"/>
  <c r="E564" i="2"/>
  <c r="C564" i="2"/>
  <c r="B564" i="2"/>
  <c r="N563" i="2"/>
  <c r="K563" i="2"/>
  <c r="H563" i="2"/>
  <c r="G563" i="2"/>
  <c r="F563" i="2"/>
  <c r="E563" i="2"/>
  <c r="C563" i="2"/>
  <c r="B563" i="2"/>
  <c r="N562" i="2"/>
  <c r="K562" i="2"/>
  <c r="H562" i="2"/>
  <c r="G562" i="2"/>
  <c r="F562" i="2"/>
  <c r="E562" i="2"/>
  <c r="C562" i="2"/>
  <c r="B562" i="2"/>
  <c r="N561" i="2"/>
  <c r="K561" i="2"/>
  <c r="H561" i="2"/>
  <c r="G561" i="2"/>
  <c r="F561" i="2"/>
  <c r="E561" i="2"/>
  <c r="C561" i="2"/>
  <c r="B561" i="2"/>
  <c r="N560" i="2"/>
  <c r="K560" i="2"/>
  <c r="H560" i="2"/>
  <c r="G560" i="2"/>
  <c r="F560" i="2"/>
  <c r="E560" i="2"/>
  <c r="C560" i="2"/>
  <c r="B560" i="2"/>
  <c r="N559" i="2"/>
  <c r="K559" i="2"/>
  <c r="H559" i="2"/>
  <c r="G559" i="2"/>
  <c r="F559" i="2"/>
  <c r="E559" i="2"/>
  <c r="C559" i="2"/>
  <c r="B559" i="2"/>
  <c r="N558" i="2"/>
  <c r="K558" i="2"/>
  <c r="H558" i="2"/>
  <c r="G558" i="2"/>
  <c r="F558" i="2"/>
  <c r="E558" i="2"/>
  <c r="C558" i="2"/>
  <c r="B558" i="2"/>
  <c r="N557" i="2"/>
  <c r="K557" i="2"/>
  <c r="H557" i="2"/>
  <c r="G557" i="2"/>
  <c r="F557" i="2"/>
  <c r="E557" i="2"/>
  <c r="C557" i="2"/>
  <c r="B557" i="2"/>
  <c r="N556" i="2"/>
  <c r="K556" i="2"/>
  <c r="H556" i="2"/>
  <c r="G556" i="2"/>
  <c r="F556" i="2"/>
  <c r="E556" i="2"/>
  <c r="C556" i="2"/>
  <c r="B556" i="2"/>
  <c r="N555" i="2"/>
  <c r="K555" i="2"/>
  <c r="H555" i="2"/>
  <c r="G555" i="2"/>
  <c r="F555" i="2"/>
  <c r="E555" i="2"/>
  <c r="C555" i="2"/>
  <c r="B555" i="2"/>
  <c r="N554" i="2"/>
  <c r="K554" i="2"/>
  <c r="H554" i="2"/>
  <c r="G554" i="2"/>
  <c r="F554" i="2"/>
  <c r="E554" i="2"/>
  <c r="C554" i="2"/>
  <c r="B554" i="2"/>
  <c r="N553" i="2"/>
  <c r="K553" i="2"/>
  <c r="H553" i="2"/>
  <c r="G553" i="2"/>
  <c r="F553" i="2"/>
  <c r="E553" i="2"/>
  <c r="C553" i="2"/>
  <c r="B553" i="2"/>
  <c r="N552" i="2"/>
  <c r="K552" i="2"/>
  <c r="H552" i="2"/>
  <c r="G552" i="2"/>
  <c r="F552" i="2"/>
  <c r="E552" i="2"/>
  <c r="C552" i="2"/>
  <c r="B552" i="2"/>
  <c r="N551" i="2"/>
  <c r="K551" i="2"/>
  <c r="H551" i="2"/>
  <c r="G551" i="2"/>
  <c r="F551" i="2"/>
  <c r="E551" i="2"/>
  <c r="C551" i="2"/>
  <c r="B551" i="2"/>
  <c r="N550" i="2"/>
  <c r="K550" i="2"/>
  <c r="H550" i="2"/>
  <c r="G550" i="2"/>
  <c r="F550" i="2"/>
  <c r="E550" i="2"/>
  <c r="C550" i="2"/>
  <c r="B550" i="2"/>
  <c r="N549" i="2"/>
  <c r="K549" i="2"/>
  <c r="H549" i="2"/>
  <c r="G549" i="2"/>
  <c r="F549" i="2"/>
  <c r="E549" i="2"/>
  <c r="C549" i="2"/>
  <c r="B549" i="2"/>
  <c r="N548" i="2"/>
  <c r="K548" i="2"/>
  <c r="H548" i="2"/>
  <c r="G548" i="2"/>
  <c r="F548" i="2"/>
  <c r="E548" i="2"/>
  <c r="C548" i="2"/>
  <c r="B548" i="2"/>
  <c r="N547" i="2"/>
  <c r="K547" i="2"/>
  <c r="H547" i="2"/>
  <c r="G547" i="2"/>
  <c r="F547" i="2"/>
  <c r="E547" i="2"/>
  <c r="C547" i="2"/>
  <c r="B547" i="2"/>
  <c r="N546" i="2"/>
  <c r="K546" i="2"/>
  <c r="H546" i="2"/>
  <c r="G546" i="2"/>
  <c r="F546" i="2"/>
  <c r="E546" i="2"/>
  <c r="C546" i="2"/>
  <c r="B546" i="2"/>
  <c r="N545" i="2"/>
  <c r="K545" i="2"/>
  <c r="H545" i="2"/>
  <c r="G545" i="2"/>
  <c r="F545" i="2"/>
  <c r="E545" i="2"/>
  <c r="C545" i="2"/>
  <c r="B545" i="2"/>
  <c r="N544" i="2"/>
  <c r="K544" i="2"/>
  <c r="H544" i="2"/>
  <c r="G544" i="2"/>
  <c r="F544" i="2"/>
  <c r="E544" i="2"/>
  <c r="C544" i="2"/>
  <c r="B544" i="2"/>
  <c r="N543" i="2"/>
  <c r="K543" i="2"/>
  <c r="H543" i="2"/>
  <c r="G543" i="2"/>
  <c r="F543" i="2"/>
  <c r="E543" i="2"/>
  <c r="C543" i="2"/>
  <c r="B543" i="2"/>
  <c r="N542" i="2"/>
  <c r="K542" i="2"/>
  <c r="H542" i="2"/>
  <c r="G542" i="2"/>
  <c r="F542" i="2"/>
  <c r="E542" i="2"/>
  <c r="C542" i="2"/>
  <c r="B542" i="2"/>
  <c r="N541" i="2"/>
  <c r="K541" i="2"/>
  <c r="H541" i="2"/>
  <c r="G541" i="2"/>
  <c r="F541" i="2"/>
  <c r="E541" i="2"/>
  <c r="C541" i="2"/>
  <c r="B541" i="2"/>
  <c r="N540" i="2"/>
  <c r="K540" i="2"/>
  <c r="H540" i="2"/>
  <c r="G540" i="2"/>
  <c r="F540" i="2"/>
  <c r="E540" i="2"/>
  <c r="C540" i="2"/>
  <c r="B540" i="2"/>
  <c r="N539" i="2"/>
  <c r="K539" i="2"/>
  <c r="H539" i="2"/>
  <c r="G539" i="2"/>
  <c r="F539" i="2"/>
  <c r="E539" i="2"/>
  <c r="C539" i="2"/>
  <c r="B539" i="2"/>
  <c r="N538" i="2"/>
  <c r="K538" i="2"/>
  <c r="H538" i="2"/>
  <c r="G538" i="2"/>
  <c r="F538" i="2"/>
  <c r="E538" i="2"/>
  <c r="C538" i="2"/>
  <c r="B538" i="2"/>
  <c r="N537" i="2"/>
  <c r="K537" i="2"/>
  <c r="H537" i="2"/>
  <c r="G537" i="2"/>
  <c r="F537" i="2"/>
  <c r="E537" i="2"/>
  <c r="C537" i="2"/>
  <c r="B537" i="2"/>
  <c r="N536" i="2"/>
  <c r="K536" i="2"/>
  <c r="H536" i="2"/>
  <c r="G536" i="2"/>
  <c r="F536" i="2"/>
  <c r="E536" i="2"/>
  <c r="C536" i="2"/>
  <c r="B536" i="2"/>
  <c r="N535" i="2"/>
  <c r="K535" i="2"/>
  <c r="H535" i="2"/>
  <c r="G535" i="2"/>
  <c r="F535" i="2"/>
  <c r="E535" i="2"/>
  <c r="C535" i="2"/>
  <c r="B535" i="2"/>
  <c r="N534" i="2"/>
  <c r="K534" i="2"/>
  <c r="H534" i="2"/>
  <c r="G534" i="2"/>
  <c r="F534" i="2"/>
  <c r="E534" i="2"/>
  <c r="C534" i="2"/>
  <c r="B534" i="2"/>
  <c r="N533" i="2"/>
  <c r="K533" i="2"/>
  <c r="H533" i="2"/>
  <c r="G533" i="2"/>
  <c r="F533" i="2"/>
  <c r="E533" i="2"/>
  <c r="C533" i="2"/>
  <c r="B533" i="2"/>
  <c r="N532" i="2"/>
  <c r="K532" i="2"/>
  <c r="H532" i="2"/>
  <c r="G532" i="2"/>
  <c r="F532" i="2"/>
  <c r="E532" i="2"/>
  <c r="C532" i="2"/>
  <c r="B532" i="2"/>
  <c r="N531" i="2"/>
  <c r="K531" i="2"/>
  <c r="H531" i="2"/>
  <c r="G531" i="2"/>
  <c r="F531" i="2"/>
  <c r="E531" i="2"/>
  <c r="C531" i="2"/>
  <c r="B531" i="2"/>
  <c r="N530" i="2"/>
  <c r="K530" i="2"/>
  <c r="H530" i="2"/>
  <c r="G530" i="2"/>
  <c r="F530" i="2"/>
  <c r="E530" i="2"/>
  <c r="C530" i="2"/>
  <c r="B530" i="2"/>
  <c r="N529" i="2"/>
  <c r="K529" i="2"/>
  <c r="H529" i="2"/>
  <c r="G529" i="2"/>
  <c r="F529" i="2"/>
  <c r="E529" i="2"/>
  <c r="C529" i="2"/>
  <c r="B529" i="2"/>
  <c r="N528" i="2"/>
  <c r="K528" i="2"/>
  <c r="H528" i="2"/>
  <c r="G528" i="2"/>
  <c r="F528" i="2"/>
  <c r="E528" i="2"/>
  <c r="C528" i="2"/>
  <c r="B528" i="2"/>
  <c r="N527" i="2"/>
  <c r="K527" i="2"/>
  <c r="H527" i="2"/>
  <c r="G527" i="2"/>
  <c r="F527" i="2"/>
  <c r="E527" i="2"/>
  <c r="C527" i="2"/>
  <c r="B527" i="2"/>
  <c r="N526" i="2"/>
  <c r="K526" i="2"/>
  <c r="H526" i="2"/>
  <c r="G526" i="2"/>
  <c r="F526" i="2"/>
  <c r="E526" i="2"/>
  <c r="C526" i="2"/>
  <c r="B526" i="2"/>
  <c r="N525" i="2"/>
  <c r="K525" i="2"/>
  <c r="H525" i="2"/>
  <c r="G525" i="2"/>
  <c r="F525" i="2"/>
  <c r="E525" i="2"/>
  <c r="C525" i="2"/>
  <c r="B525" i="2"/>
  <c r="N524" i="2"/>
  <c r="K524" i="2"/>
  <c r="H524" i="2"/>
  <c r="G524" i="2"/>
  <c r="F524" i="2"/>
  <c r="E524" i="2"/>
  <c r="C524" i="2"/>
  <c r="B524" i="2"/>
  <c r="N523" i="2"/>
  <c r="K523" i="2"/>
  <c r="H523" i="2"/>
  <c r="G523" i="2"/>
  <c r="F523" i="2"/>
  <c r="E523" i="2"/>
  <c r="C523" i="2"/>
  <c r="B523" i="2"/>
  <c r="N522" i="2"/>
  <c r="K522" i="2"/>
  <c r="H522" i="2"/>
  <c r="G522" i="2"/>
  <c r="F522" i="2"/>
  <c r="E522" i="2"/>
  <c r="C522" i="2"/>
  <c r="B522" i="2"/>
  <c r="N521" i="2"/>
  <c r="K521" i="2"/>
  <c r="H521" i="2"/>
  <c r="G521" i="2"/>
  <c r="F521" i="2"/>
  <c r="E521" i="2"/>
  <c r="C521" i="2"/>
  <c r="B521" i="2"/>
  <c r="N520" i="2"/>
  <c r="K520" i="2"/>
  <c r="H520" i="2"/>
  <c r="G520" i="2"/>
  <c r="F520" i="2"/>
  <c r="E520" i="2"/>
  <c r="C520" i="2"/>
  <c r="B520" i="2"/>
  <c r="N519" i="2"/>
  <c r="K519" i="2"/>
  <c r="H519" i="2"/>
  <c r="G519" i="2"/>
  <c r="F519" i="2"/>
  <c r="E519" i="2"/>
  <c r="C519" i="2"/>
  <c r="B519" i="2"/>
  <c r="N518" i="2"/>
  <c r="K518" i="2"/>
  <c r="H518" i="2"/>
  <c r="G518" i="2"/>
  <c r="F518" i="2"/>
  <c r="E518" i="2"/>
  <c r="C518" i="2"/>
  <c r="B518" i="2"/>
  <c r="N517" i="2"/>
  <c r="K517" i="2"/>
  <c r="H517" i="2"/>
  <c r="G517" i="2"/>
  <c r="F517" i="2"/>
  <c r="E517" i="2"/>
  <c r="C517" i="2"/>
  <c r="B517" i="2"/>
  <c r="N516" i="2"/>
  <c r="K516" i="2"/>
  <c r="H516" i="2"/>
  <c r="G516" i="2"/>
  <c r="F516" i="2"/>
  <c r="E516" i="2"/>
  <c r="C516" i="2"/>
  <c r="B516" i="2"/>
  <c r="N515" i="2"/>
  <c r="K515" i="2"/>
  <c r="H515" i="2"/>
  <c r="G515" i="2"/>
  <c r="F515" i="2"/>
  <c r="E515" i="2"/>
  <c r="C515" i="2"/>
  <c r="B515" i="2"/>
  <c r="N514" i="2"/>
  <c r="K514" i="2"/>
  <c r="H514" i="2"/>
  <c r="G514" i="2"/>
  <c r="F514" i="2"/>
  <c r="E514" i="2"/>
  <c r="C514" i="2"/>
  <c r="B514" i="2"/>
  <c r="N513" i="2"/>
  <c r="K513" i="2"/>
  <c r="H513" i="2"/>
  <c r="G513" i="2"/>
  <c r="F513" i="2"/>
  <c r="E513" i="2"/>
  <c r="C513" i="2"/>
  <c r="B513" i="2"/>
  <c r="N512" i="2"/>
  <c r="K512" i="2"/>
  <c r="H512" i="2"/>
  <c r="G512" i="2"/>
  <c r="F512" i="2"/>
  <c r="E512" i="2"/>
  <c r="C512" i="2"/>
  <c r="B512" i="2"/>
  <c r="N511" i="2"/>
  <c r="K511" i="2"/>
  <c r="H511" i="2"/>
  <c r="G511" i="2"/>
  <c r="F511" i="2"/>
  <c r="E511" i="2"/>
  <c r="C511" i="2"/>
  <c r="B511" i="2"/>
  <c r="N510" i="2"/>
  <c r="K510" i="2"/>
  <c r="H510" i="2"/>
  <c r="G510" i="2"/>
  <c r="F510" i="2"/>
  <c r="E510" i="2"/>
  <c r="C510" i="2"/>
  <c r="B510" i="2"/>
  <c r="N509" i="2"/>
  <c r="K509" i="2"/>
  <c r="H509" i="2"/>
  <c r="G509" i="2"/>
  <c r="F509" i="2"/>
  <c r="E509" i="2"/>
  <c r="C509" i="2"/>
  <c r="B509" i="2"/>
  <c r="N508" i="2"/>
  <c r="K508" i="2"/>
  <c r="H508" i="2"/>
  <c r="G508" i="2"/>
  <c r="F508" i="2"/>
  <c r="E508" i="2"/>
  <c r="C508" i="2"/>
  <c r="B508" i="2"/>
  <c r="N507" i="2"/>
  <c r="K507" i="2"/>
  <c r="H507" i="2"/>
  <c r="G507" i="2"/>
  <c r="F507" i="2"/>
  <c r="E507" i="2"/>
  <c r="C507" i="2"/>
  <c r="B507" i="2"/>
  <c r="N506" i="2"/>
  <c r="K506" i="2"/>
  <c r="H506" i="2"/>
  <c r="G506" i="2"/>
  <c r="F506" i="2"/>
  <c r="E506" i="2"/>
  <c r="C506" i="2"/>
  <c r="B506" i="2"/>
  <c r="N505" i="2"/>
  <c r="K505" i="2"/>
  <c r="H505" i="2"/>
  <c r="G505" i="2"/>
  <c r="F505" i="2"/>
  <c r="E505" i="2"/>
  <c r="C505" i="2"/>
  <c r="B505" i="2"/>
  <c r="N504" i="2"/>
  <c r="K504" i="2"/>
  <c r="H504" i="2"/>
  <c r="G504" i="2"/>
  <c r="F504" i="2"/>
  <c r="E504" i="2"/>
  <c r="C504" i="2"/>
  <c r="B504" i="2"/>
  <c r="N503" i="2"/>
  <c r="K503" i="2"/>
  <c r="H503" i="2"/>
  <c r="G503" i="2"/>
  <c r="F503" i="2"/>
  <c r="E503" i="2"/>
  <c r="C503" i="2"/>
  <c r="B503" i="2"/>
  <c r="N502" i="2"/>
  <c r="K502" i="2"/>
  <c r="H502" i="2"/>
  <c r="G502" i="2"/>
  <c r="F502" i="2"/>
  <c r="E502" i="2"/>
  <c r="C502" i="2"/>
  <c r="B502" i="2"/>
  <c r="N501" i="2"/>
  <c r="K501" i="2"/>
  <c r="H501" i="2"/>
  <c r="G501" i="2"/>
  <c r="F501" i="2"/>
  <c r="E501" i="2"/>
  <c r="C501" i="2"/>
  <c r="B501" i="2"/>
  <c r="N500" i="2"/>
  <c r="K500" i="2"/>
  <c r="H500" i="2"/>
  <c r="G500" i="2"/>
  <c r="F500" i="2"/>
  <c r="E500" i="2"/>
  <c r="C500" i="2"/>
  <c r="B500" i="2"/>
  <c r="N499" i="2"/>
  <c r="K499" i="2"/>
  <c r="H499" i="2"/>
  <c r="G499" i="2"/>
  <c r="F499" i="2"/>
  <c r="E499" i="2"/>
  <c r="C499" i="2"/>
  <c r="B499" i="2"/>
  <c r="N498" i="2"/>
  <c r="K498" i="2"/>
  <c r="H498" i="2"/>
  <c r="G498" i="2"/>
  <c r="F498" i="2"/>
  <c r="E498" i="2"/>
  <c r="C498" i="2"/>
  <c r="B498" i="2"/>
  <c r="N497" i="2"/>
  <c r="K497" i="2"/>
  <c r="H497" i="2"/>
  <c r="G497" i="2"/>
  <c r="F497" i="2"/>
  <c r="E497" i="2"/>
  <c r="C497" i="2"/>
  <c r="B497" i="2"/>
  <c r="N496" i="2"/>
  <c r="K496" i="2"/>
  <c r="H496" i="2"/>
  <c r="G496" i="2"/>
  <c r="F496" i="2"/>
  <c r="E496" i="2"/>
  <c r="C496" i="2"/>
  <c r="B496" i="2"/>
  <c r="N495" i="2"/>
  <c r="K495" i="2"/>
  <c r="H495" i="2"/>
  <c r="G495" i="2"/>
  <c r="F495" i="2"/>
  <c r="E495" i="2"/>
  <c r="C495" i="2"/>
  <c r="B495" i="2"/>
  <c r="N494" i="2"/>
  <c r="K494" i="2"/>
  <c r="H494" i="2"/>
  <c r="G494" i="2"/>
  <c r="F494" i="2"/>
  <c r="E494" i="2"/>
  <c r="C494" i="2"/>
  <c r="B494" i="2"/>
  <c r="N493" i="2"/>
  <c r="K493" i="2"/>
  <c r="H493" i="2"/>
  <c r="G493" i="2"/>
  <c r="F493" i="2"/>
  <c r="E493" i="2"/>
  <c r="C493" i="2"/>
  <c r="B493" i="2"/>
  <c r="N492" i="2"/>
  <c r="K492" i="2"/>
  <c r="H492" i="2"/>
  <c r="G492" i="2"/>
  <c r="F492" i="2"/>
  <c r="E492" i="2"/>
  <c r="C492" i="2"/>
  <c r="B492" i="2"/>
  <c r="N491" i="2"/>
  <c r="K491" i="2"/>
  <c r="H491" i="2"/>
  <c r="G491" i="2"/>
  <c r="F491" i="2"/>
  <c r="E491" i="2"/>
  <c r="C491" i="2"/>
  <c r="B491" i="2"/>
  <c r="N490" i="2"/>
  <c r="K490" i="2"/>
  <c r="H490" i="2"/>
  <c r="G490" i="2"/>
  <c r="F490" i="2"/>
  <c r="E490" i="2"/>
  <c r="C490" i="2"/>
  <c r="B490" i="2"/>
  <c r="N489" i="2"/>
  <c r="K489" i="2"/>
  <c r="H489" i="2"/>
  <c r="G489" i="2"/>
  <c r="F489" i="2"/>
  <c r="E489" i="2"/>
  <c r="C489" i="2"/>
  <c r="B489" i="2"/>
  <c r="N488" i="2"/>
  <c r="K488" i="2"/>
  <c r="H488" i="2"/>
  <c r="G488" i="2"/>
  <c r="F488" i="2"/>
  <c r="E488" i="2"/>
  <c r="C488" i="2"/>
  <c r="B488" i="2"/>
  <c r="N487" i="2"/>
  <c r="K487" i="2"/>
  <c r="H487" i="2"/>
  <c r="G487" i="2"/>
  <c r="F487" i="2"/>
  <c r="E487" i="2"/>
  <c r="C487" i="2"/>
  <c r="B487" i="2"/>
  <c r="N486" i="2"/>
  <c r="K486" i="2"/>
  <c r="H486" i="2"/>
  <c r="G486" i="2"/>
  <c r="F486" i="2"/>
  <c r="E486" i="2"/>
  <c r="C486" i="2"/>
  <c r="B486" i="2"/>
  <c r="N485" i="2"/>
  <c r="K485" i="2"/>
  <c r="H485" i="2"/>
  <c r="G485" i="2"/>
  <c r="F485" i="2"/>
  <c r="E485" i="2"/>
  <c r="C485" i="2"/>
  <c r="B485" i="2"/>
  <c r="N484" i="2"/>
  <c r="K484" i="2"/>
  <c r="H484" i="2"/>
  <c r="G484" i="2"/>
  <c r="F484" i="2"/>
  <c r="E484" i="2"/>
  <c r="C484" i="2"/>
  <c r="B484" i="2"/>
  <c r="N483" i="2"/>
  <c r="K483" i="2"/>
  <c r="H483" i="2"/>
  <c r="G483" i="2"/>
  <c r="F483" i="2"/>
  <c r="E483" i="2"/>
  <c r="C483" i="2"/>
  <c r="B483" i="2"/>
  <c r="N482" i="2"/>
  <c r="K482" i="2"/>
  <c r="H482" i="2"/>
  <c r="G482" i="2"/>
  <c r="F482" i="2"/>
  <c r="E482" i="2"/>
  <c r="C482" i="2"/>
  <c r="B482" i="2"/>
  <c r="N481" i="2"/>
  <c r="K481" i="2"/>
  <c r="H481" i="2"/>
  <c r="G481" i="2"/>
  <c r="F481" i="2"/>
  <c r="E481" i="2"/>
  <c r="C481" i="2"/>
  <c r="B481" i="2"/>
  <c r="N480" i="2"/>
  <c r="K480" i="2"/>
  <c r="H480" i="2"/>
  <c r="G480" i="2"/>
  <c r="F480" i="2"/>
  <c r="E480" i="2"/>
  <c r="C480" i="2"/>
  <c r="B480" i="2"/>
  <c r="N479" i="2"/>
  <c r="K479" i="2"/>
  <c r="H479" i="2"/>
  <c r="G479" i="2"/>
  <c r="F479" i="2"/>
  <c r="E479" i="2"/>
  <c r="C479" i="2"/>
  <c r="B479" i="2"/>
  <c r="N478" i="2"/>
  <c r="K478" i="2"/>
  <c r="H478" i="2"/>
  <c r="G478" i="2"/>
  <c r="F478" i="2"/>
  <c r="E478" i="2"/>
  <c r="C478" i="2"/>
  <c r="B478" i="2"/>
  <c r="N477" i="2"/>
  <c r="K477" i="2"/>
  <c r="H477" i="2"/>
  <c r="G477" i="2"/>
  <c r="F477" i="2"/>
  <c r="E477" i="2"/>
  <c r="C477" i="2"/>
  <c r="B477" i="2"/>
  <c r="N476" i="2"/>
  <c r="K476" i="2"/>
  <c r="H476" i="2"/>
  <c r="G476" i="2"/>
  <c r="F476" i="2"/>
  <c r="E476" i="2"/>
  <c r="C476" i="2"/>
  <c r="B476" i="2"/>
  <c r="N475" i="2"/>
  <c r="K475" i="2"/>
  <c r="H475" i="2"/>
  <c r="G475" i="2"/>
  <c r="F475" i="2"/>
  <c r="E475" i="2"/>
  <c r="C475" i="2"/>
  <c r="B475" i="2"/>
  <c r="N474" i="2"/>
  <c r="K474" i="2"/>
  <c r="H474" i="2"/>
  <c r="G474" i="2"/>
  <c r="F474" i="2"/>
  <c r="E474" i="2"/>
  <c r="C474" i="2"/>
  <c r="B474" i="2"/>
  <c r="N473" i="2"/>
  <c r="K473" i="2"/>
  <c r="H473" i="2"/>
  <c r="G473" i="2"/>
  <c r="F473" i="2"/>
  <c r="E473" i="2"/>
  <c r="C473" i="2"/>
  <c r="B473" i="2"/>
  <c r="N472" i="2"/>
  <c r="K472" i="2"/>
  <c r="H472" i="2"/>
  <c r="G472" i="2"/>
  <c r="F472" i="2"/>
  <c r="E472" i="2"/>
  <c r="C472" i="2"/>
  <c r="B472" i="2"/>
  <c r="N471" i="2"/>
  <c r="K471" i="2"/>
  <c r="H471" i="2"/>
  <c r="G471" i="2"/>
  <c r="F471" i="2"/>
  <c r="E471" i="2"/>
  <c r="C471" i="2"/>
  <c r="B471" i="2"/>
  <c r="N470" i="2"/>
  <c r="K470" i="2"/>
  <c r="H470" i="2"/>
  <c r="G470" i="2"/>
  <c r="F470" i="2"/>
  <c r="E470" i="2"/>
  <c r="C470" i="2"/>
  <c r="B470" i="2"/>
  <c r="N469" i="2"/>
  <c r="K469" i="2"/>
  <c r="H469" i="2"/>
  <c r="G469" i="2"/>
  <c r="F469" i="2"/>
  <c r="E469" i="2"/>
  <c r="C469" i="2"/>
  <c r="B469" i="2"/>
  <c r="N468" i="2"/>
  <c r="K468" i="2"/>
  <c r="H468" i="2"/>
  <c r="G468" i="2"/>
  <c r="F468" i="2"/>
  <c r="E468" i="2"/>
  <c r="C468" i="2"/>
  <c r="B468" i="2"/>
  <c r="N467" i="2"/>
  <c r="K467" i="2"/>
  <c r="H467" i="2"/>
  <c r="G467" i="2"/>
  <c r="F467" i="2"/>
  <c r="E467" i="2"/>
  <c r="C467" i="2"/>
  <c r="B467" i="2"/>
  <c r="N466" i="2"/>
  <c r="K466" i="2"/>
  <c r="H466" i="2"/>
  <c r="G466" i="2"/>
  <c r="F466" i="2"/>
  <c r="E466" i="2"/>
  <c r="C466" i="2"/>
  <c r="B466" i="2"/>
  <c r="N465" i="2"/>
  <c r="K465" i="2"/>
  <c r="H465" i="2"/>
  <c r="G465" i="2"/>
  <c r="F465" i="2"/>
  <c r="E465" i="2"/>
  <c r="C465" i="2"/>
  <c r="B465" i="2"/>
  <c r="N464" i="2"/>
  <c r="K464" i="2"/>
  <c r="H464" i="2"/>
  <c r="G464" i="2"/>
  <c r="F464" i="2"/>
  <c r="E464" i="2"/>
  <c r="C464" i="2"/>
  <c r="B464" i="2"/>
  <c r="N463" i="2"/>
  <c r="K463" i="2"/>
  <c r="H463" i="2"/>
  <c r="G463" i="2"/>
  <c r="F463" i="2"/>
  <c r="E463" i="2"/>
  <c r="C463" i="2"/>
  <c r="B463" i="2"/>
  <c r="N462" i="2"/>
  <c r="K462" i="2"/>
  <c r="H462" i="2"/>
  <c r="G462" i="2"/>
  <c r="F462" i="2"/>
  <c r="E462" i="2"/>
  <c r="C462" i="2"/>
  <c r="B462" i="2"/>
  <c r="N461" i="2"/>
  <c r="K461" i="2"/>
  <c r="H461" i="2"/>
  <c r="G461" i="2"/>
  <c r="F461" i="2"/>
  <c r="E461" i="2"/>
  <c r="C461" i="2"/>
  <c r="B461" i="2"/>
  <c r="N460" i="2"/>
  <c r="K460" i="2"/>
  <c r="H460" i="2"/>
  <c r="G460" i="2"/>
  <c r="F460" i="2"/>
  <c r="E460" i="2"/>
  <c r="C460" i="2"/>
  <c r="B460" i="2"/>
  <c r="N459" i="2"/>
  <c r="K459" i="2"/>
  <c r="H459" i="2"/>
  <c r="G459" i="2"/>
  <c r="F459" i="2"/>
  <c r="E459" i="2"/>
  <c r="C459" i="2"/>
  <c r="B459" i="2"/>
  <c r="N458" i="2"/>
  <c r="K458" i="2"/>
  <c r="H458" i="2"/>
  <c r="G458" i="2"/>
  <c r="F458" i="2"/>
  <c r="E458" i="2"/>
  <c r="C458" i="2"/>
  <c r="B458" i="2"/>
  <c r="N457" i="2"/>
  <c r="K457" i="2"/>
  <c r="H457" i="2"/>
  <c r="G457" i="2"/>
  <c r="F457" i="2"/>
  <c r="E457" i="2"/>
  <c r="C457" i="2"/>
  <c r="B457" i="2"/>
  <c r="N456" i="2"/>
  <c r="K456" i="2"/>
  <c r="H456" i="2"/>
  <c r="G456" i="2"/>
  <c r="F456" i="2"/>
  <c r="E456" i="2"/>
  <c r="C456" i="2"/>
  <c r="B456" i="2"/>
  <c r="N455" i="2"/>
  <c r="K455" i="2"/>
  <c r="H455" i="2"/>
  <c r="G455" i="2"/>
  <c r="F455" i="2"/>
  <c r="E455" i="2"/>
  <c r="C455" i="2"/>
  <c r="B455" i="2"/>
  <c r="N454" i="2"/>
  <c r="K454" i="2"/>
  <c r="H454" i="2"/>
  <c r="G454" i="2"/>
  <c r="F454" i="2"/>
  <c r="E454" i="2"/>
  <c r="C454" i="2"/>
  <c r="B454" i="2"/>
  <c r="N453" i="2"/>
  <c r="K453" i="2"/>
  <c r="H453" i="2"/>
  <c r="G453" i="2"/>
  <c r="F453" i="2"/>
  <c r="E453" i="2"/>
  <c r="C453" i="2"/>
  <c r="B453" i="2"/>
  <c r="N452" i="2"/>
  <c r="K452" i="2"/>
  <c r="H452" i="2"/>
  <c r="G452" i="2"/>
  <c r="F452" i="2"/>
  <c r="E452" i="2"/>
  <c r="C452" i="2"/>
  <c r="B452" i="2"/>
  <c r="N451" i="2"/>
  <c r="K451" i="2"/>
  <c r="H451" i="2"/>
  <c r="G451" i="2"/>
  <c r="F451" i="2"/>
  <c r="E451" i="2"/>
  <c r="C451" i="2"/>
  <c r="B451" i="2"/>
  <c r="N450" i="2"/>
  <c r="K450" i="2"/>
  <c r="H450" i="2"/>
  <c r="G450" i="2"/>
  <c r="F450" i="2"/>
  <c r="E450" i="2"/>
  <c r="C450" i="2"/>
  <c r="B450" i="2"/>
  <c r="N449" i="2"/>
  <c r="K449" i="2"/>
  <c r="H449" i="2"/>
  <c r="G449" i="2"/>
  <c r="F449" i="2"/>
  <c r="E449" i="2"/>
  <c r="C449" i="2"/>
  <c r="B449" i="2"/>
  <c r="N448" i="2"/>
  <c r="K448" i="2"/>
  <c r="H448" i="2"/>
  <c r="G448" i="2"/>
  <c r="F448" i="2"/>
  <c r="E448" i="2"/>
  <c r="C448" i="2"/>
  <c r="B448" i="2"/>
  <c r="N447" i="2"/>
  <c r="K447" i="2"/>
  <c r="H447" i="2"/>
  <c r="G447" i="2"/>
  <c r="F447" i="2"/>
  <c r="E447" i="2"/>
  <c r="C447" i="2"/>
  <c r="B447" i="2"/>
  <c r="N446" i="2"/>
  <c r="K446" i="2"/>
  <c r="H446" i="2"/>
  <c r="G446" i="2"/>
  <c r="F446" i="2"/>
  <c r="E446" i="2"/>
  <c r="C446" i="2"/>
  <c r="B446" i="2"/>
  <c r="N445" i="2"/>
  <c r="K445" i="2"/>
  <c r="H445" i="2"/>
  <c r="G445" i="2"/>
  <c r="F445" i="2"/>
  <c r="E445" i="2"/>
  <c r="C445" i="2"/>
  <c r="B445" i="2"/>
  <c r="N444" i="2"/>
  <c r="K444" i="2"/>
  <c r="H444" i="2"/>
  <c r="G444" i="2"/>
  <c r="F444" i="2"/>
  <c r="E444" i="2"/>
  <c r="C444" i="2"/>
  <c r="B444" i="2"/>
  <c r="N443" i="2"/>
  <c r="K443" i="2"/>
  <c r="H443" i="2"/>
  <c r="G443" i="2"/>
  <c r="F443" i="2"/>
  <c r="E443" i="2"/>
  <c r="C443" i="2"/>
  <c r="B443" i="2"/>
  <c r="N442" i="2"/>
  <c r="K442" i="2"/>
  <c r="H442" i="2"/>
  <c r="G442" i="2"/>
  <c r="F442" i="2"/>
  <c r="E442" i="2"/>
  <c r="C442" i="2"/>
  <c r="B442" i="2"/>
  <c r="N441" i="2"/>
  <c r="K441" i="2"/>
  <c r="H441" i="2"/>
  <c r="G441" i="2"/>
  <c r="F441" i="2"/>
  <c r="E441" i="2"/>
  <c r="C441" i="2"/>
  <c r="B441" i="2"/>
  <c r="N440" i="2"/>
  <c r="K440" i="2"/>
  <c r="H440" i="2"/>
  <c r="G440" i="2"/>
  <c r="F440" i="2"/>
  <c r="E440" i="2"/>
  <c r="C440" i="2"/>
  <c r="B440" i="2"/>
  <c r="N439" i="2"/>
  <c r="K439" i="2"/>
  <c r="H439" i="2"/>
  <c r="G439" i="2"/>
  <c r="F439" i="2"/>
  <c r="E439" i="2"/>
  <c r="C439" i="2"/>
  <c r="B439" i="2"/>
  <c r="N438" i="2"/>
  <c r="K438" i="2"/>
  <c r="H438" i="2"/>
  <c r="G438" i="2"/>
  <c r="F438" i="2"/>
  <c r="E438" i="2"/>
  <c r="C438" i="2"/>
  <c r="B438" i="2"/>
  <c r="N437" i="2"/>
  <c r="K437" i="2"/>
  <c r="H437" i="2"/>
  <c r="G437" i="2"/>
  <c r="F437" i="2"/>
  <c r="E437" i="2"/>
  <c r="C437" i="2"/>
  <c r="B437" i="2"/>
  <c r="N436" i="2"/>
  <c r="K436" i="2"/>
  <c r="H436" i="2"/>
  <c r="G436" i="2"/>
  <c r="F436" i="2"/>
  <c r="E436" i="2"/>
  <c r="C436" i="2"/>
  <c r="B436" i="2"/>
  <c r="N435" i="2"/>
  <c r="K435" i="2"/>
  <c r="H435" i="2"/>
  <c r="G435" i="2"/>
  <c r="F435" i="2"/>
  <c r="E435" i="2"/>
  <c r="C435" i="2"/>
  <c r="B435" i="2"/>
  <c r="N434" i="2"/>
  <c r="K434" i="2"/>
  <c r="H434" i="2"/>
  <c r="G434" i="2"/>
  <c r="F434" i="2"/>
  <c r="E434" i="2"/>
  <c r="C434" i="2"/>
  <c r="B434" i="2"/>
  <c r="N433" i="2"/>
  <c r="K433" i="2"/>
  <c r="H433" i="2"/>
  <c r="G433" i="2"/>
  <c r="F433" i="2"/>
  <c r="E433" i="2"/>
  <c r="C433" i="2"/>
  <c r="B433" i="2"/>
  <c r="N432" i="2"/>
  <c r="K432" i="2"/>
  <c r="H432" i="2"/>
  <c r="G432" i="2"/>
  <c r="F432" i="2"/>
  <c r="E432" i="2"/>
  <c r="C432" i="2"/>
  <c r="B432" i="2"/>
  <c r="N431" i="2"/>
  <c r="K431" i="2"/>
  <c r="H431" i="2"/>
  <c r="G431" i="2"/>
  <c r="F431" i="2"/>
  <c r="E431" i="2"/>
  <c r="C431" i="2"/>
  <c r="B431" i="2"/>
  <c r="N430" i="2"/>
  <c r="K430" i="2"/>
  <c r="H430" i="2"/>
  <c r="G430" i="2"/>
  <c r="F430" i="2"/>
  <c r="E430" i="2"/>
  <c r="C430" i="2"/>
  <c r="B430" i="2"/>
  <c r="N429" i="2"/>
  <c r="K429" i="2"/>
  <c r="H429" i="2"/>
  <c r="G429" i="2"/>
  <c r="F429" i="2"/>
  <c r="E429" i="2"/>
  <c r="C429" i="2"/>
  <c r="B429" i="2"/>
  <c r="N428" i="2"/>
  <c r="K428" i="2"/>
  <c r="H428" i="2"/>
  <c r="G428" i="2"/>
  <c r="F428" i="2"/>
  <c r="E428" i="2"/>
  <c r="C428" i="2"/>
  <c r="B428" i="2"/>
  <c r="N427" i="2"/>
  <c r="K427" i="2"/>
  <c r="H427" i="2"/>
  <c r="G427" i="2"/>
  <c r="F427" i="2"/>
  <c r="E427" i="2"/>
  <c r="C427" i="2"/>
  <c r="B427" i="2"/>
  <c r="N426" i="2"/>
  <c r="K426" i="2"/>
  <c r="H426" i="2"/>
  <c r="G426" i="2"/>
  <c r="F426" i="2"/>
  <c r="E426" i="2"/>
  <c r="C426" i="2"/>
  <c r="B426" i="2"/>
  <c r="N425" i="2"/>
  <c r="K425" i="2"/>
  <c r="H425" i="2"/>
  <c r="G425" i="2"/>
  <c r="F425" i="2"/>
  <c r="E425" i="2"/>
  <c r="C425" i="2"/>
  <c r="B425" i="2"/>
  <c r="N424" i="2"/>
  <c r="K424" i="2"/>
  <c r="H424" i="2"/>
  <c r="G424" i="2"/>
  <c r="F424" i="2"/>
  <c r="E424" i="2"/>
  <c r="C424" i="2"/>
  <c r="B424" i="2"/>
  <c r="N423" i="2"/>
  <c r="K423" i="2"/>
  <c r="H423" i="2"/>
  <c r="G423" i="2"/>
  <c r="F423" i="2"/>
  <c r="E423" i="2"/>
  <c r="C423" i="2"/>
  <c r="B423" i="2"/>
  <c r="N422" i="2"/>
  <c r="K422" i="2"/>
  <c r="H422" i="2"/>
  <c r="G422" i="2"/>
  <c r="F422" i="2"/>
  <c r="E422" i="2"/>
  <c r="C422" i="2"/>
  <c r="B422" i="2"/>
  <c r="N421" i="2"/>
  <c r="K421" i="2"/>
  <c r="H421" i="2"/>
  <c r="G421" i="2"/>
  <c r="F421" i="2"/>
  <c r="E421" i="2"/>
  <c r="C421" i="2"/>
  <c r="B421" i="2"/>
  <c r="N420" i="2"/>
  <c r="K420" i="2"/>
  <c r="H420" i="2"/>
  <c r="G420" i="2"/>
  <c r="F420" i="2"/>
  <c r="E420" i="2"/>
  <c r="C420" i="2"/>
  <c r="B420" i="2"/>
  <c r="N419" i="2"/>
  <c r="K419" i="2"/>
  <c r="H419" i="2"/>
  <c r="G419" i="2"/>
  <c r="F419" i="2"/>
  <c r="E419" i="2"/>
  <c r="C419" i="2"/>
  <c r="B419" i="2"/>
  <c r="N418" i="2"/>
  <c r="K418" i="2"/>
  <c r="H418" i="2"/>
  <c r="G418" i="2"/>
  <c r="F418" i="2"/>
  <c r="E418" i="2"/>
  <c r="C418" i="2"/>
  <c r="B418" i="2"/>
  <c r="N417" i="2"/>
  <c r="K417" i="2"/>
  <c r="H417" i="2"/>
  <c r="G417" i="2"/>
  <c r="F417" i="2"/>
  <c r="E417" i="2"/>
  <c r="C417" i="2"/>
  <c r="B417" i="2"/>
  <c r="N416" i="2"/>
  <c r="K416" i="2"/>
  <c r="H416" i="2"/>
  <c r="G416" i="2"/>
  <c r="F416" i="2"/>
  <c r="E416" i="2"/>
  <c r="C416" i="2"/>
  <c r="B416" i="2"/>
  <c r="N415" i="2"/>
  <c r="K415" i="2"/>
  <c r="H415" i="2"/>
  <c r="G415" i="2"/>
  <c r="F415" i="2"/>
  <c r="E415" i="2"/>
  <c r="C415" i="2"/>
  <c r="B415" i="2"/>
  <c r="N414" i="2"/>
  <c r="K414" i="2"/>
  <c r="H414" i="2"/>
  <c r="G414" i="2"/>
  <c r="F414" i="2"/>
  <c r="E414" i="2"/>
  <c r="C414" i="2"/>
  <c r="B414" i="2"/>
  <c r="N413" i="2"/>
  <c r="K413" i="2"/>
  <c r="H413" i="2"/>
  <c r="G413" i="2"/>
  <c r="F413" i="2"/>
  <c r="E413" i="2"/>
  <c r="C413" i="2"/>
  <c r="B413" i="2"/>
  <c r="N412" i="2"/>
  <c r="K412" i="2"/>
  <c r="H412" i="2"/>
  <c r="G412" i="2"/>
  <c r="F412" i="2"/>
  <c r="E412" i="2"/>
  <c r="C412" i="2"/>
  <c r="B412" i="2"/>
  <c r="N411" i="2"/>
  <c r="K411" i="2"/>
  <c r="H411" i="2"/>
  <c r="G411" i="2"/>
  <c r="F411" i="2"/>
  <c r="E411" i="2"/>
  <c r="C411" i="2"/>
  <c r="B411" i="2"/>
  <c r="N410" i="2"/>
  <c r="K410" i="2"/>
  <c r="H410" i="2"/>
  <c r="G410" i="2"/>
  <c r="F410" i="2"/>
  <c r="E410" i="2"/>
  <c r="C410" i="2"/>
  <c r="B410" i="2"/>
  <c r="N409" i="2"/>
  <c r="K409" i="2"/>
  <c r="H409" i="2"/>
  <c r="G409" i="2"/>
  <c r="F409" i="2"/>
  <c r="E409" i="2"/>
  <c r="C409" i="2"/>
  <c r="B409" i="2"/>
  <c r="N408" i="2"/>
  <c r="K408" i="2"/>
  <c r="H408" i="2"/>
  <c r="G408" i="2"/>
  <c r="F408" i="2"/>
  <c r="E408" i="2"/>
  <c r="C408" i="2"/>
  <c r="B408" i="2"/>
  <c r="N407" i="2"/>
  <c r="K407" i="2"/>
  <c r="H407" i="2"/>
  <c r="G407" i="2"/>
  <c r="F407" i="2"/>
  <c r="E407" i="2"/>
  <c r="C407" i="2"/>
  <c r="B407" i="2"/>
  <c r="N406" i="2"/>
  <c r="K406" i="2"/>
  <c r="H406" i="2"/>
  <c r="G406" i="2"/>
  <c r="F406" i="2"/>
  <c r="E406" i="2"/>
  <c r="C406" i="2"/>
  <c r="B406" i="2"/>
  <c r="N405" i="2"/>
  <c r="K405" i="2"/>
  <c r="H405" i="2"/>
  <c r="G405" i="2"/>
  <c r="F405" i="2"/>
  <c r="E405" i="2"/>
  <c r="C405" i="2"/>
  <c r="B405" i="2"/>
  <c r="N404" i="2"/>
  <c r="K404" i="2"/>
  <c r="H404" i="2"/>
  <c r="G404" i="2"/>
  <c r="F404" i="2"/>
  <c r="E404" i="2"/>
  <c r="C404" i="2"/>
  <c r="B404" i="2"/>
  <c r="N403" i="2"/>
  <c r="K403" i="2"/>
  <c r="H403" i="2"/>
  <c r="G403" i="2"/>
  <c r="F403" i="2"/>
  <c r="E403" i="2"/>
  <c r="C403" i="2"/>
  <c r="B403" i="2"/>
  <c r="N402" i="2"/>
  <c r="K402" i="2"/>
  <c r="H402" i="2"/>
  <c r="G402" i="2"/>
  <c r="F402" i="2"/>
  <c r="E402" i="2"/>
  <c r="C402" i="2"/>
  <c r="B402" i="2"/>
  <c r="N401" i="2"/>
  <c r="K401" i="2"/>
  <c r="H401" i="2"/>
  <c r="G401" i="2"/>
  <c r="F401" i="2"/>
  <c r="E401" i="2"/>
  <c r="C401" i="2"/>
  <c r="B401" i="2"/>
  <c r="N400" i="2"/>
  <c r="K400" i="2"/>
  <c r="H400" i="2"/>
  <c r="G400" i="2"/>
  <c r="F400" i="2"/>
  <c r="E400" i="2"/>
  <c r="C400" i="2"/>
  <c r="B400" i="2"/>
  <c r="N399" i="2"/>
  <c r="K399" i="2"/>
  <c r="H399" i="2"/>
  <c r="G399" i="2"/>
  <c r="F399" i="2"/>
  <c r="E399" i="2"/>
  <c r="C399" i="2"/>
  <c r="B399" i="2"/>
  <c r="N398" i="2"/>
  <c r="K398" i="2"/>
  <c r="H398" i="2"/>
  <c r="G398" i="2"/>
  <c r="F398" i="2"/>
  <c r="E398" i="2"/>
  <c r="C398" i="2"/>
  <c r="B398" i="2"/>
  <c r="N397" i="2"/>
  <c r="K397" i="2"/>
  <c r="H397" i="2"/>
  <c r="G397" i="2"/>
  <c r="F397" i="2"/>
  <c r="E397" i="2"/>
  <c r="C397" i="2"/>
  <c r="B397" i="2"/>
  <c r="N396" i="2"/>
  <c r="K396" i="2"/>
  <c r="H396" i="2"/>
  <c r="G396" i="2"/>
  <c r="F396" i="2"/>
  <c r="E396" i="2"/>
  <c r="C396" i="2"/>
  <c r="B396" i="2"/>
  <c r="N395" i="2"/>
  <c r="K395" i="2"/>
  <c r="H395" i="2"/>
  <c r="G395" i="2"/>
  <c r="F395" i="2"/>
  <c r="E395" i="2"/>
  <c r="C395" i="2"/>
  <c r="B395" i="2"/>
  <c r="N394" i="2"/>
  <c r="K394" i="2"/>
  <c r="H394" i="2"/>
  <c r="G394" i="2"/>
  <c r="F394" i="2"/>
  <c r="E394" i="2"/>
  <c r="C394" i="2"/>
  <c r="B394" i="2"/>
  <c r="N393" i="2"/>
  <c r="K393" i="2"/>
  <c r="H393" i="2"/>
  <c r="G393" i="2"/>
  <c r="F393" i="2"/>
  <c r="E393" i="2"/>
  <c r="C393" i="2"/>
  <c r="B393" i="2"/>
  <c r="N392" i="2"/>
  <c r="K392" i="2"/>
  <c r="H392" i="2"/>
  <c r="G392" i="2"/>
  <c r="F392" i="2"/>
  <c r="E392" i="2"/>
  <c r="C392" i="2"/>
  <c r="B392" i="2"/>
  <c r="N391" i="2"/>
  <c r="K391" i="2"/>
  <c r="H391" i="2"/>
  <c r="G391" i="2"/>
  <c r="F391" i="2"/>
  <c r="E391" i="2"/>
  <c r="C391" i="2"/>
  <c r="B391" i="2"/>
  <c r="N390" i="2"/>
  <c r="K390" i="2"/>
  <c r="H390" i="2"/>
  <c r="G390" i="2"/>
  <c r="F390" i="2"/>
  <c r="E390" i="2"/>
  <c r="C390" i="2"/>
  <c r="B390" i="2"/>
  <c r="N389" i="2"/>
  <c r="K389" i="2"/>
  <c r="H389" i="2"/>
  <c r="G389" i="2"/>
  <c r="F389" i="2"/>
  <c r="E389" i="2"/>
  <c r="C389" i="2"/>
  <c r="B389" i="2"/>
  <c r="N388" i="2"/>
  <c r="K388" i="2"/>
  <c r="H388" i="2"/>
  <c r="G388" i="2"/>
  <c r="F388" i="2"/>
  <c r="E388" i="2"/>
  <c r="C388" i="2"/>
  <c r="B388" i="2"/>
  <c r="N387" i="2"/>
  <c r="K387" i="2"/>
  <c r="H387" i="2"/>
  <c r="G387" i="2"/>
  <c r="F387" i="2"/>
  <c r="E387" i="2"/>
  <c r="C387" i="2"/>
  <c r="B387" i="2"/>
  <c r="N386" i="2"/>
  <c r="K386" i="2"/>
  <c r="H386" i="2"/>
  <c r="G386" i="2"/>
  <c r="F386" i="2"/>
  <c r="E386" i="2"/>
  <c r="C386" i="2"/>
  <c r="B386" i="2"/>
  <c r="N385" i="2"/>
  <c r="K385" i="2"/>
  <c r="H385" i="2"/>
  <c r="G385" i="2"/>
  <c r="F385" i="2"/>
  <c r="E385" i="2"/>
  <c r="C385" i="2"/>
  <c r="B385" i="2"/>
  <c r="N384" i="2"/>
  <c r="K384" i="2"/>
  <c r="H384" i="2"/>
  <c r="G384" i="2"/>
  <c r="F384" i="2"/>
  <c r="E384" i="2"/>
  <c r="C384" i="2"/>
  <c r="B384" i="2"/>
  <c r="N383" i="2"/>
  <c r="K383" i="2"/>
  <c r="H383" i="2"/>
  <c r="G383" i="2"/>
  <c r="F383" i="2"/>
  <c r="E383" i="2"/>
  <c r="C383" i="2"/>
  <c r="B383" i="2"/>
  <c r="N382" i="2"/>
  <c r="K382" i="2"/>
  <c r="H382" i="2"/>
  <c r="G382" i="2"/>
  <c r="F382" i="2"/>
  <c r="E382" i="2"/>
  <c r="C382" i="2"/>
  <c r="B382" i="2"/>
  <c r="N381" i="2"/>
  <c r="K381" i="2"/>
  <c r="H381" i="2"/>
  <c r="G381" i="2"/>
  <c r="F381" i="2"/>
  <c r="E381" i="2"/>
  <c r="C381" i="2"/>
  <c r="B381" i="2"/>
  <c r="N380" i="2"/>
  <c r="K380" i="2"/>
  <c r="H380" i="2"/>
  <c r="G380" i="2"/>
  <c r="F380" i="2"/>
  <c r="E380" i="2"/>
  <c r="C380" i="2"/>
  <c r="B380" i="2"/>
  <c r="N379" i="2"/>
  <c r="K379" i="2"/>
  <c r="H379" i="2"/>
  <c r="G379" i="2"/>
  <c r="F379" i="2"/>
  <c r="E379" i="2"/>
  <c r="C379" i="2"/>
  <c r="B379" i="2"/>
  <c r="N378" i="2"/>
  <c r="K378" i="2"/>
  <c r="H378" i="2"/>
  <c r="G378" i="2"/>
  <c r="F378" i="2"/>
  <c r="E378" i="2"/>
  <c r="C378" i="2"/>
  <c r="B378" i="2"/>
  <c r="N377" i="2"/>
  <c r="K377" i="2"/>
  <c r="H377" i="2"/>
  <c r="G377" i="2"/>
  <c r="F377" i="2"/>
  <c r="E377" i="2"/>
  <c r="C377" i="2"/>
  <c r="B377" i="2"/>
  <c r="N376" i="2"/>
  <c r="K376" i="2"/>
  <c r="H376" i="2"/>
  <c r="G376" i="2"/>
  <c r="F376" i="2"/>
  <c r="E376" i="2"/>
  <c r="C376" i="2"/>
  <c r="B376" i="2"/>
  <c r="N375" i="2"/>
  <c r="K375" i="2"/>
  <c r="H375" i="2"/>
  <c r="G375" i="2"/>
  <c r="F375" i="2"/>
  <c r="E375" i="2"/>
  <c r="C375" i="2"/>
  <c r="B375" i="2"/>
  <c r="N374" i="2"/>
  <c r="K374" i="2"/>
  <c r="H374" i="2"/>
  <c r="G374" i="2"/>
  <c r="F374" i="2"/>
  <c r="E374" i="2"/>
  <c r="C374" i="2"/>
  <c r="B374" i="2"/>
  <c r="N373" i="2"/>
  <c r="K373" i="2"/>
  <c r="H373" i="2"/>
  <c r="G373" i="2"/>
  <c r="F373" i="2"/>
  <c r="E373" i="2"/>
  <c r="C373" i="2"/>
  <c r="B373" i="2"/>
  <c r="N372" i="2"/>
  <c r="K372" i="2"/>
  <c r="H372" i="2"/>
  <c r="G372" i="2"/>
  <c r="F372" i="2"/>
  <c r="E372" i="2"/>
  <c r="C372" i="2"/>
  <c r="B372" i="2"/>
  <c r="N371" i="2"/>
  <c r="K371" i="2"/>
  <c r="H371" i="2"/>
  <c r="G371" i="2"/>
  <c r="F371" i="2"/>
  <c r="E371" i="2"/>
  <c r="C371" i="2"/>
  <c r="B371" i="2"/>
  <c r="N370" i="2"/>
  <c r="K370" i="2"/>
  <c r="H370" i="2"/>
  <c r="G370" i="2"/>
  <c r="F370" i="2"/>
  <c r="E370" i="2"/>
  <c r="C370" i="2"/>
  <c r="B370" i="2"/>
  <c r="N369" i="2"/>
  <c r="K369" i="2"/>
  <c r="H369" i="2"/>
  <c r="G369" i="2"/>
  <c r="F369" i="2"/>
  <c r="E369" i="2"/>
  <c r="C369" i="2"/>
  <c r="B369" i="2"/>
  <c r="N368" i="2"/>
  <c r="K368" i="2"/>
  <c r="H368" i="2"/>
  <c r="G368" i="2"/>
  <c r="F368" i="2"/>
  <c r="E368" i="2"/>
  <c r="C368" i="2"/>
  <c r="B368" i="2"/>
  <c r="N367" i="2"/>
  <c r="K367" i="2"/>
  <c r="H367" i="2"/>
  <c r="G367" i="2"/>
  <c r="F367" i="2"/>
  <c r="E367" i="2"/>
  <c r="C367" i="2"/>
  <c r="B367" i="2"/>
  <c r="N366" i="2"/>
  <c r="K366" i="2"/>
  <c r="H366" i="2"/>
  <c r="G366" i="2"/>
  <c r="F366" i="2"/>
  <c r="E366" i="2"/>
  <c r="C366" i="2"/>
  <c r="B366" i="2"/>
  <c r="N365" i="2"/>
  <c r="K365" i="2"/>
  <c r="H365" i="2"/>
  <c r="G365" i="2"/>
  <c r="F365" i="2"/>
  <c r="E365" i="2"/>
  <c r="C365" i="2"/>
  <c r="B365" i="2"/>
  <c r="N364" i="2"/>
  <c r="K364" i="2"/>
  <c r="H364" i="2"/>
  <c r="G364" i="2"/>
  <c r="F364" i="2"/>
  <c r="E364" i="2"/>
  <c r="C364" i="2"/>
  <c r="B364" i="2"/>
  <c r="N363" i="2"/>
  <c r="K363" i="2"/>
  <c r="H363" i="2"/>
  <c r="G363" i="2"/>
  <c r="F363" i="2"/>
  <c r="E363" i="2"/>
  <c r="C363" i="2"/>
  <c r="B363" i="2"/>
  <c r="N362" i="2"/>
  <c r="K362" i="2"/>
  <c r="H362" i="2"/>
  <c r="G362" i="2"/>
  <c r="F362" i="2"/>
  <c r="E362" i="2"/>
  <c r="C362" i="2"/>
  <c r="B362" i="2"/>
  <c r="N361" i="2"/>
  <c r="K361" i="2"/>
  <c r="H361" i="2"/>
  <c r="G361" i="2"/>
  <c r="F361" i="2"/>
  <c r="E361" i="2"/>
  <c r="C361" i="2"/>
  <c r="B361" i="2"/>
  <c r="N360" i="2"/>
  <c r="K360" i="2"/>
  <c r="H360" i="2"/>
  <c r="G360" i="2"/>
  <c r="F360" i="2"/>
  <c r="E360" i="2"/>
  <c r="C360" i="2"/>
  <c r="B360" i="2"/>
  <c r="N359" i="2"/>
  <c r="K359" i="2"/>
  <c r="H359" i="2"/>
  <c r="G359" i="2"/>
  <c r="F359" i="2"/>
  <c r="E359" i="2"/>
  <c r="C359" i="2"/>
  <c r="B359" i="2"/>
  <c r="N358" i="2"/>
  <c r="K358" i="2"/>
  <c r="H358" i="2"/>
  <c r="G358" i="2"/>
  <c r="F358" i="2"/>
  <c r="E358" i="2"/>
  <c r="C358" i="2"/>
  <c r="B358" i="2"/>
  <c r="N357" i="2"/>
  <c r="K357" i="2"/>
  <c r="H357" i="2"/>
  <c r="G357" i="2"/>
  <c r="F357" i="2"/>
  <c r="E357" i="2"/>
  <c r="C357" i="2"/>
  <c r="B357" i="2"/>
  <c r="N356" i="2"/>
  <c r="K356" i="2"/>
  <c r="H356" i="2"/>
  <c r="G356" i="2"/>
  <c r="F356" i="2"/>
  <c r="E356" i="2"/>
  <c r="C356" i="2"/>
  <c r="B356" i="2"/>
  <c r="N355" i="2"/>
  <c r="K355" i="2"/>
  <c r="H355" i="2"/>
  <c r="G355" i="2"/>
  <c r="F355" i="2"/>
  <c r="E355" i="2"/>
  <c r="C355" i="2"/>
  <c r="B355" i="2"/>
  <c r="N354" i="2"/>
  <c r="K354" i="2"/>
  <c r="H354" i="2"/>
  <c r="G354" i="2"/>
  <c r="F354" i="2"/>
  <c r="E354" i="2"/>
  <c r="C354" i="2"/>
  <c r="B354" i="2"/>
  <c r="N353" i="2"/>
  <c r="K353" i="2"/>
  <c r="H353" i="2"/>
  <c r="G353" i="2"/>
  <c r="F353" i="2"/>
  <c r="E353" i="2"/>
  <c r="C353" i="2"/>
  <c r="B353" i="2"/>
  <c r="N352" i="2"/>
  <c r="K352" i="2"/>
  <c r="H352" i="2"/>
  <c r="G352" i="2"/>
  <c r="F352" i="2"/>
  <c r="E352" i="2"/>
  <c r="C352" i="2"/>
  <c r="B352" i="2"/>
  <c r="N351" i="2"/>
  <c r="K351" i="2"/>
  <c r="H351" i="2"/>
  <c r="G351" i="2"/>
  <c r="F351" i="2"/>
  <c r="E351" i="2"/>
  <c r="C351" i="2"/>
  <c r="B351" i="2"/>
  <c r="N350" i="2"/>
  <c r="K350" i="2"/>
  <c r="H350" i="2"/>
  <c r="G350" i="2"/>
  <c r="F350" i="2"/>
  <c r="E350" i="2"/>
  <c r="C350" i="2"/>
  <c r="B350" i="2"/>
  <c r="N349" i="2"/>
  <c r="K349" i="2"/>
  <c r="H349" i="2"/>
  <c r="G349" i="2"/>
  <c r="F349" i="2"/>
  <c r="E349" i="2"/>
  <c r="C349" i="2"/>
  <c r="B349" i="2"/>
  <c r="N348" i="2"/>
  <c r="K348" i="2"/>
  <c r="H348" i="2"/>
  <c r="G348" i="2"/>
  <c r="F348" i="2"/>
  <c r="E348" i="2"/>
  <c r="C348" i="2"/>
  <c r="B348" i="2"/>
  <c r="N347" i="2"/>
  <c r="K347" i="2"/>
  <c r="H347" i="2"/>
  <c r="G347" i="2"/>
  <c r="F347" i="2"/>
  <c r="E347" i="2"/>
  <c r="C347" i="2"/>
  <c r="B347" i="2"/>
  <c r="N346" i="2"/>
  <c r="K346" i="2"/>
  <c r="H346" i="2"/>
  <c r="G346" i="2"/>
  <c r="F346" i="2"/>
  <c r="E346" i="2"/>
  <c r="C346" i="2"/>
  <c r="B346" i="2"/>
  <c r="N345" i="2"/>
  <c r="K345" i="2"/>
  <c r="H345" i="2"/>
  <c r="G345" i="2"/>
  <c r="F345" i="2"/>
  <c r="E345" i="2"/>
  <c r="C345" i="2"/>
  <c r="B345" i="2"/>
  <c r="N344" i="2"/>
  <c r="K344" i="2"/>
  <c r="H344" i="2"/>
  <c r="G344" i="2"/>
  <c r="F344" i="2"/>
  <c r="E344" i="2"/>
  <c r="C344" i="2"/>
  <c r="B344" i="2"/>
  <c r="N343" i="2"/>
  <c r="K343" i="2"/>
  <c r="H343" i="2"/>
  <c r="G343" i="2"/>
  <c r="F343" i="2"/>
  <c r="E343" i="2"/>
  <c r="C343" i="2"/>
  <c r="B343" i="2"/>
  <c r="N342" i="2"/>
  <c r="K342" i="2"/>
  <c r="H342" i="2"/>
  <c r="G342" i="2"/>
  <c r="F342" i="2"/>
  <c r="E342" i="2"/>
  <c r="C342" i="2"/>
  <c r="B342" i="2"/>
  <c r="N341" i="2"/>
  <c r="K341" i="2"/>
  <c r="H341" i="2"/>
  <c r="G341" i="2"/>
  <c r="F341" i="2"/>
  <c r="E341" i="2"/>
  <c r="C341" i="2"/>
  <c r="B341" i="2"/>
  <c r="N340" i="2"/>
  <c r="K340" i="2"/>
  <c r="H340" i="2"/>
  <c r="G340" i="2"/>
  <c r="F340" i="2"/>
  <c r="E340" i="2"/>
  <c r="C340" i="2"/>
  <c r="B340" i="2"/>
  <c r="N339" i="2"/>
  <c r="K339" i="2"/>
  <c r="H339" i="2"/>
  <c r="G339" i="2"/>
  <c r="F339" i="2"/>
  <c r="E339" i="2"/>
  <c r="C339" i="2"/>
  <c r="B339" i="2"/>
  <c r="N338" i="2"/>
  <c r="K338" i="2"/>
  <c r="H338" i="2"/>
  <c r="G338" i="2"/>
  <c r="F338" i="2"/>
  <c r="E338" i="2"/>
  <c r="C338" i="2"/>
  <c r="B338" i="2"/>
  <c r="N337" i="2"/>
  <c r="K337" i="2"/>
  <c r="H337" i="2"/>
  <c r="G337" i="2"/>
  <c r="F337" i="2"/>
  <c r="E337" i="2"/>
  <c r="C337" i="2"/>
  <c r="B337" i="2"/>
  <c r="N336" i="2"/>
  <c r="K336" i="2"/>
  <c r="H336" i="2"/>
  <c r="G336" i="2"/>
  <c r="F336" i="2"/>
  <c r="E336" i="2"/>
  <c r="C336" i="2"/>
  <c r="B336" i="2"/>
  <c r="N335" i="2"/>
  <c r="K335" i="2"/>
  <c r="H335" i="2"/>
  <c r="G335" i="2"/>
  <c r="F335" i="2"/>
  <c r="E335" i="2"/>
  <c r="C335" i="2"/>
  <c r="B335" i="2"/>
  <c r="N334" i="2"/>
  <c r="K334" i="2"/>
  <c r="H334" i="2"/>
  <c r="G334" i="2"/>
  <c r="F334" i="2"/>
  <c r="E334" i="2"/>
  <c r="C334" i="2"/>
  <c r="B334" i="2"/>
  <c r="N333" i="2"/>
  <c r="K333" i="2"/>
  <c r="H333" i="2"/>
  <c r="G333" i="2"/>
  <c r="F333" i="2"/>
  <c r="E333" i="2"/>
  <c r="C333" i="2"/>
  <c r="B333" i="2"/>
  <c r="N332" i="2"/>
  <c r="K332" i="2"/>
  <c r="H332" i="2"/>
  <c r="G332" i="2"/>
  <c r="F332" i="2"/>
  <c r="E332" i="2"/>
  <c r="C332" i="2"/>
  <c r="B332" i="2"/>
  <c r="N331" i="2"/>
  <c r="K331" i="2"/>
  <c r="H331" i="2"/>
  <c r="G331" i="2"/>
  <c r="F331" i="2"/>
  <c r="E331" i="2"/>
  <c r="C331" i="2"/>
  <c r="B331" i="2"/>
  <c r="N330" i="2"/>
  <c r="K330" i="2"/>
  <c r="H330" i="2"/>
  <c r="G330" i="2"/>
  <c r="F330" i="2"/>
  <c r="E330" i="2"/>
  <c r="C330" i="2"/>
  <c r="B330" i="2"/>
  <c r="N329" i="2"/>
  <c r="K329" i="2"/>
  <c r="H329" i="2"/>
  <c r="G329" i="2"/>
  <c r="F329" i="2"/>
  <c r="E329" i="2"/>
  <c r="C329" i="2"/>
  <c r="B329" i="2"/>
  <c r="N328" i="2"/>
  <c r="K328" i="2"/>
  <c r="H328" i="2"/>
  <c r="G328" i="2"/>
  <c r="F328" i="2"/>
  <c r="E328" i="2"/>
  <c r="C328" i="2"/>
  <c r="B328" i="2"/>
  <c r="N327" i="2"/>
  <c r="K327" i="2"/>
  <c r="H327" i="2"/>
  <c r="G327" i="2"/>
  <c r="F327" i="2"/>
  <c r="E327" i="2"/>
  <c r="C327" i="2"/>
  <c r="B327" i="2"/>
  <c r="N326" i="2"/>
  <c r="K326" i="2"/>
  <c r="H326" i="2"/>
  <c r="G326" i="2"/>
  <c r="F326" i="2"/>
  <c r="E326" i="2"/>
  <c r="C326" i="2"/>
  <c r="B326" i="2"/>
  <c r="N325" i="2"/>
  <c r="K325" i="2"/>
  <c r="H325" i="2"/>
  <c r="G325" i="2"/>
  <c r="F325" i="2"/>
  <c r="E325" i="2"/>
  <c r="C325" i="2"/>
  <c r="B325" i="2"/>
  <c r="N324" i="2"/>
  <c r="K324" i="2"/>
  <c r="H324" i="2"/>
  <c r="G324" i="2"/>
  <c r="F324" i="2"/>
  <c r="E324" i="2"/>
  <c r="C324" i="2"/>
  <c r="B324" i="2"/>
  <c r="N323" i="2"/>
  <c r="K323" i="2"/>
  <c r="H323" i="2"/>
  <c r="G323" i="2"/>
  <c r="F323" i="2"/>
  <c r="E323" i="2"/>
  <c r="C323" i="2"/>
  <c r="B323" i="2"/>
  <c r="N322" i="2"/>
  <c r="K322" i="2"/>
  <c r="H322" i="2"/>
  <c r="G322" i="2"/>
  <c r="F322" i="2"/>
  <c r="E322" i="2"/>
  <c r="C322" i="2"/>
  <c r="B322" i="2"/>
  <c r="N321" i="2"/>
  <c r="K321" i="2"/>
  <c r="H321" i="2"/>
  <c r="G321" i="2"/>
  <c r="F321" i="2"/>
  <c r="E321" i="2"/>
  <c r="C321" i="2"/>
  <c r="B321" i="2"/>
  <c r="N320" i="2"/>
  <c r="K320" i="2"/>
  <c r="H320" i="2"/>
  <c r="G320" i="2"/>
  <c r="F320" i="2"/>
  <c r="E320" i="2"/>
  <c r="C320" i="2"/>
  <c r="B320" i="2"/>
  <c r="N319" i="2"/>
  <c r="K319" i="2"/>
  <c r="H319" i="2"/>
  <c r="G319" i="2"/>
  <c r="F319" i="2"/>
  <c r="E319" i="2"/>
  <c r="C319" i="2"/>
  <c r="B319" i="2"/>
  <c r="N318" i="2"/>
  <c r="K318" i="2"/>
  <c r="H318" i="2"/>
  <c r="G318" i="2"/>
  <c r="F318" i="2"/>
  <c r="E318" i="2"/>
  <c r="C318" i="2"/>
  <c r="B318" i="2"/>
  <c r="N317" i="2"/>
  <c r="K317" i="2"/>
  <c r="H317" i="2"/>
  <c r="G317" i="2"/>
  <c r="F317" i="2"/>
  <c r="E317" i="2"/>
  <c r="C317" i="2"/>
  <c r="B317" i="2"/>
  <c r="N316" i="2"/>
  <c r="K316" i="2"/>
  <c r="H316" i="2"/>
  <c r="G316" i="2"/>
  <c r="F316" i="2"/>
  <c r="E316" i="2"/>
  <c r="C316" i="2"/>
  <c r="B316" i="2"/>
  <c r="N315" i="2"/>
  <c r="K315" i="2"/>
  <c r="H315" i="2"/>
  <c r="G315" i="2"/>
  <c r="F315" i="2"/>
  <c r="E315" i="2"/>
  <c r="C315" i="2"/>
  <c r="B315" i="2"/>
  <c r="N314" i="2"/>
  <c r="K314" i="2"/>
  <c r="H314" i="2"/>
  <c r="G314" i="2"/>
  <c r="F314" i="2"/>
  <c r="E314" i="2"/>
  <c r="C314" i="2"/>
  <c r="B314" i="2"/>
  <c r="N313" i="2"/>
  <c r="K313" i="2"/>
  <c r="H313" i="2"/>
  <c r="G313" i="2"/>
  <c r="F313" i="2"/>
  <c r="E313" i="2"/>
  <c r="C313" i="2"/>
  <c r="B313" i="2"/>
  <c r="N312" i="2"/>
  <c r="K312" i="2"/>
  <c r="H312" i="2"/>
  <c r="G312" i="2"/>
  <c r="F312" i="2"/>
  <c r="E312" i="2"/>
  <c r="C312" i="2"/>
  <c r="B312" i="2"/>
  <c r="N311" i="2"/>
  <c r="K311" i="2"/>
  <c r="H311" i="2"/>
  <c r="G311" i="2"/>
  <c r="F311" i="2"/>
  <c r="E311" i="2"/>
  <c r="C311" i="2"/>
  <c r="B311" i="2"/>
  <c r="N310" i="2"/>
  <c r="K310" i="2"/>
  <c r="H310" i="2"/>
  <c r="G310" i="2"/>
  <c r="F310" i="2"/>
  <c r="E310" i="2"/>
  <c r="C310" i="2"/>
  <c r="B310" i="2"/>
  <c r="N309" i="2"/>
  <c r="K309" i="2"/>
  <c r="H309" i="2"/>
  <c r="G309" i="2"/>
  <c r="F309" i="2"/>
  <c r="E309" i="2"/>
  <c r="C309" i="2"/>
  <c r="B309" i="2"/>
  <c r="N308" i="2"/>
  <c r="K308" i="2"/>
  <c r="H308" i="2"/>
  <c r="G308" i="2"/>
  <c r="F308" i="2"/>
  <c r="E308" i="2"/>
  <c r="C308" i="2"/>
  <c r="B308" i="2"/>
  <c r="N307" i="2"/>
  <c r="K307" i="2"/>
  <c r="H307" i="2"/>
  <c r="G307" i="2"/>
  <c r="F307" i="2"/>
  <c r="E307" i="2"/>
  <c r="C307" i="2"/>
  <c r="B307" i="2"/>
  <c r="N306" i="2"/>
  <c r="K306" i="2"/>
  <c r="H306" i="2"/>
  <c r="G306" i="2"/>
  <c r="F306" i="2"/>
  <c r="E306" i="2"/>
  <c r="C306" i="2"/>
  <c r="B306" i="2"/>
  <c r="N305" i="2"/>
  <c r="K305" i="2"/>
  <c r="H305" i="2"/>
  <c r="G305" i="2"/>
  <c r="F305" i="2"/>
  <c r="E305" i="2"/>
  <c r="C305" i="2"/>
  <c r="B305" i="2"/>
  <c r="N304" i="2"/>
  <c r="K304" i="2"/>
  <c r="H304" i="2"/>
  <c r="G304" i="2"/>
  <c r="F304" i="2"/>
  <c r="E304" i="2"/>
  <c r="C304" i="2"/>
  <c r="B304" i="2"/>
  <c r="N303" i="2"/>
  <c r="K303" i="2"/>
  <c r="H303" i="2"/>
  <c r="G303" i="2"/>
  <c r="F303" i="2"/>
  <c r="E303" i="2"/>
  <c r="C303" i="2"/>
  <c r="B303" i="2"/>
  <c r="N302" i="2"/>
  <c r="K302" i="2"/>
  <c r="H302" i="2"/>
  <c r="G302" i="2"/>
  <c r="F302" i="2"/>
  <c r="E302" i="2"/>
  <c r="C302" i="2"/>
  <c r="B302" i="2"/>
  <c r="N301" i="2"/>
  <c r="K301" i="2"/>
  <c r="H301" i="2"/>
  <c r="G301" i="2"/>
  <c r="F301" i="2"/>
  <c r="E301" i="2"/>
  <c r="C301" i="2"/>
  <c r="B301" i="2"/>
  <c r="N300" i="2"/>
  <c r="K300" i="2"/>
  <c r="H300" i="2"/>
  <c r="G300" i="2"/>
  <c r="F300" i="2"/>
  <c r="E300" i="2"/>
  <c r="C300" i="2"/>
  <c r="B300" i="2"/>
  <c r="N299" i="2"/>
  <c r="K299" i="2"/>
  <c r="H299" i="2"/>
  <c r="G299" i="2"/>
  <c r="F299" i="2"/>
  <c r="E299" i="2"/>
  <c r="C299" i="2"/>
  <c r="B299" i="2"/>
  <c r="N298" i="2"/>
  <c r="K298" i="2"/>
  <c r="H298" i="2"/>
  <c r="G298" i="2"/>
  <c r="F298" i="2"/>
  <c r="E298" i="2"/>
  <c r="C298" i="2"/>
  <c r="B298" i="2"/>
  <c r="N297" i="2"/>
  <c r="K297" i="2"/>
  <c r="H297" i="2"/>
  <c r="G297" i="2"/>
  <c r="F297" i="2"/>
  <c r="E297" i="2"/>
  <c r="C297" i="2"/>
  <c r="B297" i="2"/>
  <c r="N296" i="2"/>
  <c r="K296" i="2"/>
  <c r="H296" i="2"/>
  <c r="G296" i="2"/>
  <c r="F296" i="2"/>
  <c r="E296" i="2"/>
  <c r="C296" i="2"/>
  <c r="B296" i="2"/>
  <c r="N295" i="2"/>
  <c r="K295" i="2"/>
  <c r="H295" i="2"/>
  <c r="G295" i="2"/>
  <c r="F295" i="2"/>
  <c r="E295" i="2"/>
  <c r="C295" i="2"/>
  <c r="B295" i="2"/>
  <c r="N294" i="2"/>
  <c r="K294" i="2"/>
  <c r="H294" i="2"/>
  <c r="G294" i="2"/>
  <c r="F294" i="2"/>
  <c r="E294" i="2"/>
  <c r="C294" i="2"/>
  <c r="B294" i="2"/>
  <c r="N293" i="2"/>
  <c r="K293" i="2"/>
  <c r="H293" i="2"/>
  <c r="G293" i="2"/>
  <c r="F293" i="2"/>
  <c r="E293" i="2"/>
  <c r="C293" i="2"/>
  <c r="B293" i="2"/>
  <c r="N292" i="2"/>
  <c r="K292" i="2"/>
  <c r="H292" i="2"/>
  <c r="G292" i="2"/>
  <c r="F292" i="2"/>
  <c r="E292" i="2"/>
  <c r="C292" i="2"/>
  <c r="B292" i="2"/>
  <c r="N291" i="2"/>
  <c r="K291" i="2"/>
  <c r="H291" i="2"/>
  <c r="G291" i="2"/>
  <c r="F291" i="2"/>
  <c r="E291" i="2"/>
  <c r="C291" i="2"/>
  <c r="B291" i="2"/>
  <c r="N290" i="2"/>
  <c r="K290" i="2"/>
  <c r="H290" i="2"/>
  <c r="G290" i="2"/>
  <c r="F290" i="2"/>
  <c r="E290" i="2"/>
  <c r="C290" i="2"/>
  <c r="B290" i="2"/>
  <c r="N289" i="2"/>
  <c r="K289" i="2"/>
  <c r="H289" i="2"/>
  <c r="G289" i="2"/>
  <c r="F289" i="2"/>
  <c r="E289" i="2"/>
  <c r="C289" i="2"/>
  <c r="B289" i="2"/>
  <c r="N288" i="2"/>
  <c r="K288" i="2"/>
  <c r="H288" i="2"/>
  <c r="G288" i="2"/>
  <c r="F288" i="2"/>
  <c r="E288" i="2"/>
  <c r="C288" i="2"/>
  <c r="B288" i="2"/>
  <c r="N287" i="2"/>
  <c r="K287" i="2"/>
  <c r="H287" i="2"/>
  <c r="G287" i="2"/>
  <c r="F287" i="2"/>
  <c r="E287" i="2"/>
  <c r="C287" i="2"/>
  <c r="B287" i="2"/>
  <c r="N286" i="2"/>
  <c r="K286" i="2"/>
  <c r="H286" i="2"/>
  <c r="G286" i="2"/>
  <c r="F286" i="2"/>
  <c r="E286" i="2"/>
  <c r="C286" i="2"/>
  <c r="B286" i="2"/>
  <c r="N285" i="2"/>
  <c r="K285" i="2"/>
  <c r="H285" i="2"/>
  <c r="G285" i="2"/>
  <c r="F285" i="2"/>
  <c r="E285" i="2"/>
  <c r="C285" i="2"/>
  <c r="B285" i="2"/>
  <c r="N284" i="2"/>
  <c r="K284" i="2"/>
  <c r="H284" i="2"/>
  <c r="G284" i="2"/>
  <c r="F284" i="2"/>
  <c r="E284" i="2"/>
  <c r="C284" i="2"/>
  <c r="B284" i="2"/>
  <c r="N283" i="2"/>
  <c r="K283" i="2"/>
  <c r="H283" i="2"/>
  <c r="G283" i="2"/>
  <c r="F283" i="2"/>
  <c r="E283" i="2"/>
  <c r="C283" i="2"/>
  <c r="B283" i="2"/>
  <c r="N282" i="2"/>
  <c r="K282" i="2"/>
  <c r="H282" i="2"/>
  <c r="G282" i="2"/>
  <c r="F282" i="2"/>
  <c r="E282" i="2"/>
  <c r="C282" i="2"/>
  <c r="B282" i="2"/>
  <c r="N281" i="2"/>
  <c r="K281" i="2"/>
  <c r="H281" i="2"/>
  <c r="G281" i="2"/>
  <c r="F281" i="2"/>
  <c r="E281" i="2"/>
  <c r="C281" i="2"/>
  <c r="B281" i="2"/>
  <c r="N280" i="2"/>
  <c r="K280" i="2"/>
  <c r="H280" i="2"/>
  <c r="G280" i="2"/>
  <c r="F280" i="2"/>
  <c r="E280" i="2"/>
  <c r="C280" i="2"/>
  <c r="B280" i="2"/>
  <c r="N279" i="2"/>
  <c r="K279" i="2"/>
  <c r="H279" i="2"/>
  <c r="G279" i="2"/>
  <c r="F279" i="2"/>
  <c r="E279" i="2"/>
  <c r="C279" i="2"/>
  <c r="B279" i="2"/>
  <c r="N278" i="2"/>
  <c r="K278" i="2"/>
  <c r="H278" i="2"/>
  <c r="G278" i="2"/>
  <c r="F278" i="2"/>
  <c r="E278" i="2"/>
  <c r="C278" i="2"/>
  <c r="B278" i="2"/>
  <c r="N277" i="2"/>
  <c r="K277" i="2"/>
  <c r="H277" i="2"/>
  <c r="G277" i="2"/>
  <c r="F277" i="2"/>
  <c r="E277" i="2"/>
  <c r="C277" i="2"/>
  <c r="B277" i="2"/>
  <c r="N276" i="2"/>
  <c r="K276" i="2"/>
  <c r="H276" i="2"/>
  <c r="G276" i="2"/>
  <c r="F276" i="2"/>
  <c r="E276" i="2"/>
  <c r="C276" i="2"/>
  <c r="B276" i="2"/>
  <c r="M275" i="2"/>
  <c r="N275" i="2" s="1"/>
  <c r="K275" i="2"/>
  <c r="H275" i="2"/>
  <c r="G275" i="2"/>
  <c r="F275" i="2"/>
  <c r="E275" i="2"/>
  <c r="C275" i="2"/>
  <c r="B275" i="2"/>
  <c r="N274" i="2"/>
  <c r="K274" i="2"/>
  <c r="H274" i="2"/>
  <c r="G274" i="2"/>
  <c r="F274" i="2"/>
  <c r="E274" i="2"/>
  <c r="C274" i="2"/>
  <c r="B274" i="2"/>
  <c r="N273" i="2"/>
  <c r="K273" i="2"/>
  <c r="H273" i="2"/>
  <c r="G273" i="2"/>
  <c r="F273" i="2"/>
  <c r="E273" i="2"/>
  <c r="C273" i="2"/>
  <c r="B273" i="2"/>
  <c r="N272" i="2"/>
  <c r="K272" i="2"/>
  <c r="H272" i="2"/>
  <c r="G272" i="2"/>
  <c r="F272" i="2"/>
  <c r="E272" i="2"/>
  <c r="C272" i="2"/>
  <c r="B272" i="2"/>
  <c r="N271" i="2"/>
  <c r="K271" i="2"/>
  <c r="H271" i="2"/>
  <c r="G271" i="2"/>
  <c r="F271" i="2"/>
  <c r="E271" i="2"/>
  <c r="C271" i="2"/>
  <c r="B271" i="2"/>
  <c r="N270" i="2"/>
  <c r="K270" i="2"/>
  <c r="H270" i="2"/>
  <c r="G270" i="2"/>
  <c r="F270" i="2"/>
  <c r="E270" i="2"/>
  <c r="C270" i="2"/>
  <c r="B270" i="2"/>
  <c r="N269" i="2"/>
  <c r="K269" i="2"/>
  <c r="H269" i="2"/>
  <c r="G269" i="2"/>
  <c r="F269" i="2"/>
  <c r="E269" i="2"/>
  <c r="C269" i="2"/>
  <c r="B269" i="2"/>
  <c r="N268" i="2"/>
  <c r="K268" i="2"/>
  <c r="H268" i="2"/>
  <c r="G268" i="2"/>
  <c r="F268" i="2"/>
  <c r="E268" i="2"/>
  <c r="C268" i="2"/>
  <c r="B268" i="2"/>
  <c r="N267" i="2"/>
  <c r="K267" i="2"/>
  <c r="H267" i="2"/>
  <c r="G267" i="2"/>
  <c r="F267" i="2"/>
  <c r="E267" i="2"/>
  <c r="C267" i="2"/>
  <c r="B267" i="2"/>
  <c r="N266" i="2"/>
  <c r="K266" i="2"/>
  <c r="H266" i="2"/>
  <c r="G266" i="2"/>
  <c r="F266" i="2"/>
  <c r="E266" i="2"/>
  <c r="C266" i="2"/>
  <c r="B266" i="2"/>
  <c r="N265" i="2"/>
  <c r="K265" i="2"/>
  <c r="H265" i="2"/>
  <c r="G265" i="2"/>
  <c r="F265" i="2"/>
  <c r="E265" i="2"/>
  <c r="C265" i="2"/>
  <c r="B265" i="2"/>
  <c r="N264" i="2"/>
  <c r="K264" i="2"/>
  <c r="H264" i="2"/>
  <c r="G264" i="2"/>
  <c r="F264" i="2"/>
  <c r="E264" i="2"/>
  <c r="C264" i="2"/>
  <c r="B264" i="2"/>
  <c r="N263" i="2"/>
  <c r="K263" i="2"/>
  <c r="H263" i="2"/>
  <c r="G263" i="2"/>
  <c r="F263" i="2"/>
  <c r="E263" i="2"/>
  <c r="C263" i="2"/>
  <c r="B263" i="2"/>
  <c r="N262" i="2"/>
  <c r="K262" i="2"/>
  <c r="H262" i="2"/>
  <c r="G262" i="2"/>
  <c r="F262" i="2"/>
  <c r="E262" i="2"/>
  <c r="C262" i="2"/>
  <c r="B262" i="2"/>
  <c r="N261" i="2"/>
  <c r="K261" i="2"/>
  <c r="H261" i="2"/>
  <c r="G261" i="2"/>
  <c r="F261" i="2"/>
  <c r="E261" i="2"/>
  <c r="C261" i="2"/>
  <c r="B261" i="2"/>
  <c r="N260" i="2"/>
  <c r="K260" i="2"/>
  <c r="H260" i="2"/>
  <c r="G260" i="2"/>
  <c r="F260" i="2"/>
  <c r="E260" i="2"/>
  <c r="C260" i="2"/>
  <c r="B260" i="2"/>
  <c r="N259" i="2"/>
  <c r="K259" i="2"/>
  <c r="H259" i="2"/>
  <c r="G259" i="2"/>
  <c r="F259" i="2"/>
  <c r="E259" i="2"/>
  <c r="C259" i="2"/>
  <c r="B259" i="2"/>
  <c r="N258" i="2"/>
  <c r="K258" i="2"/>
  <c r="H258" i="2"/>
  <c r="G258" i="2"/>
  <c r="F258" i="2"/>
  <c r="E258" i="2"/>
  <c r="C258" i="2"/>
  <c r="B258" i="2"/>
  <c r="N257" i="2"/>
  <c r="K257" i="2"/>
  <c r="H257" i="2"/>
  <c r="G257" i="2"/>
  <c r="F257" i="2"/>
  <c r="E257" i="2"/>
  <c r="C257" i="2"/>
  <c r="B257" i="2"/>
  <c r="N256" i="2"/>
  <c r="K256" i="2"/>
  <c r="H256" i="2"/>
  <c r="G256" i="2"/>
  <c r="F256" i="2"/>
  <c r="E256" i="2"/>
  <c r="C256" i="2"/>
  <c r="B256" i="2"/>
  <c r="N255" i="2"/>
  <c r="K255" i="2"/>
  <c r="H255" i="2"/>
  <c r="G255" i="2"/>
  <c r="F255" i="2"/>
  <c r="E255" i="2"/>
  <c r="C255" i="2"/>
  <c r="B255" i="2"/>
  <c r="N254" i="2"/>
  <c r="K254" i="2"/>
  <c r="H254" i="2"/>
  <c r="G254" i="2"/>
  <c r="F254" i="2"/>
  <c r="E254" i="2"/>
  <c r="C254" i="2"/>
  <c r="B254" i="2"/>
  <c r="N253" i="2"/>
  <c r="K253" i="2"/>
  <c r="H253" i="2"/>
  <c r="G253" i="2"/>
  <c r="F253" i="2"/>
  <c r="E253" i="2"/>
  <c r="C253" i="2"/>
  <c r="B253" i="2"/>
  <c r="N252" i="2"/>
  <c r="K252" i="2"/>
  <c r="H252" i="2"/>
  <c r="G252" i="2"/>
  <c r="F252" i="2"/>
  <c r="E252" i="2"/>
  <c r="C252" i="2"/>
  <c r="B252" i="2"/>
  <c r="N251" i="2"/>
  <c r="K251" i="2"/>
  <c r="H251" i="2"/>
  <c r="G251" i="2"/>
  <c r="F251" i="2"/>
  <c r="E251" i="2"/>
  <c r="C251" i="2"/>
  <c r="B251" i="2"/>
  <c r="N250" i="2"/>
  <c r="K250" i="2"/>
  <c r="H250" i="2"/>
  <c r="G250" i="2"/>
  <c r="F250" i="2"/>
  <c r="E250" i="2"/>
  <c r="C250" i="2"/>
  <c r="B250" i="2"/>
  <c r="N249" i="2"/>
  <c r="K249" i="2"/>
  <c r="H249" i="2"/>
  <c r="G249" i="2"/>
  <c r="F249" i="2"/>
  <c r="E249" i="2"/>
  <c r="C249" i="2"/>
  <c r="B249" i="2"/>
  <c r="N248" i="2"/>
  <c r="K248" i="2"/>
  <c r="H248" i="2"/>
  <c r="G248" i="2"/>
  <c r="F248" i="2"/>
  <c r="E248" i="2"/>
  <c r="C248" i="2"/>
  <c r="B248" i="2"/>
  <c r="N247" i="2"/>
  <c r="K247" i="2"/>
  <c r="H247" i="2"/>
  <c r="G247" i="2"/>
  <c r="F247" i="2"/>
  <c r="E247" i="2"/>
  <c r="C247" i="2"/>
  <c r="B247" i="2"/>
  <c r="N246" i="2"/>
  <c r="K246" i="2"/>
  <c r="H246" i="2"/>
  <c r="G246" i="2"/>
  <c r="F246" i="2"/>
  <c r="E246" i="2"/>
  <c r="C246" i="2"/>
  <c r="B246" i="2"/>
  <c r="N245" i="2"/>
  <c r="K245" i="2"/>
  <c r="H245" i="2"/>
  <c r="G245" i="2"/>
  <c r="F245" i="2"/>
  <c r="E245" i="2"/>
  <c r="C245" i="2"/>
  <c r="B245" i="2"/>
  <c r="N244" i="2"/>
  <c r="K244" i="2"/>
  <c r="H244" i="2"/>
  <c r="G244" i="2"/>
  <c r="F244" i="2"/>
  <c r="E244" i="2"/>
  <c r="C244" i="2"/>
  <c r="B244" i="2"/>
  <c r="N243" i="2"/>
  <c r="K243" i="2"/>
  <c r="H243" i="2"/>
  <c r="G243" i="2"/>
  <c r="F243" i="2"/>
  <c r="E243" i="2"/>
  <c r="C243" i="2"/>
  <c r="B243" i="2"/>
  <c r="N242" i="2"/>
  <c r="K242" i="2"/>
  <c r="H242" i="2"/>
  <c r="G242" i="2"/>
  <c r="F242" i="2"/>
  <c r="E242" i="2"/>
  <c r="C242" i="2"/>
  <c r="B242" i="2"/>
  <c r="N241" i="2"/>
  <c r="K241" i="2"/>
  <c r="H241" i="2"/>
  <c r="G241" i="2"/>
  <c r="F241" i="2"/>
  <c r="E241" i="2"/>
  <c r="C241" i="2"/>
  <c r="B241" i="2"/>
  <c r="N240" i="2"/>
  <c r="K240" i="2"/>
  <c r="H240" i="2"/>
  <c r="G240" i="2"/>
  <c r="F240" i="2"/>
  <c r="E240" i="2"/>
  <c r="C240" i="2"/>
  <c r="B240" i="2"/>
  <c r="N239" i="2"/>
  <c r="K239" i="2"/>
  <c r="H239" i="2"/>
  <c r="G239" i="2"/>
  <c r="F239" i="2"/>
  <c r="E239" i="2"/>
  <c r="C239" i="2"/>
  <c r="B239" i="2"/>
  <c r="N238" i="2"/>
  <c r="K238" i="2"/>
  <c r="H238" i="2"/>
  <c r="G238" i="2"/>
  <c r="F238" i="2"/>
  <c r="E238" i="2"/>
  <c r="C238" i="2"/>
  <c r="B238" i="2"/>
  <c r="N237" i="2"/>
  <c r="K237" i="2"/>
  <c r="H237" i="2"/>
  <c r="G237" i="2"/>
  <c r="F237" i="2"/>
  <c r="E237" i="2"/>
  <c r="C237" i="2"/>
  <c r="B237" i="2"/>
  <c r="N236" i="2"/>
  <c r="K236" i="2"/>
  <c r="H236" i="2"/>
  <c r="G236" i="2"/>
  <c r="F236" i="2"/>
  <c r="E236" i="2"/>
  <c r="C236" i="2"/>
  <c r="B236" i="2"/>
  <c r="N235" i="2"/>
  <c r="K235" i="2"/>
  <c r="H235" i="2"/>
  <c r="G235" i="2"/>
  <c r="F235" i="2"/>
  <c r="E235" i="2"/>
  <c r="C235" i="2"/>
  <c r="B235" i="2"/>
  <c r="N234" i="2"/>
  <c r="K234" i="2"/>
  <c r="H234" i="2"/>
  <c r="G234" i="2"/>
  <c r="F234" i="2"/>
  <c r="E234" i="2"/>
  <c r="C234" i="2"/>
  <c r="B234" i="2"/>
  <c r="N233" i="2"/>
  <c r="K233" i="2"/>
  <c r="H233" i="2"/>
  <c r="G233" i="2"/>
  <c r="F233" i="2"/>
  <c r="E233" i="2"/>
  <c r="C233" i="2"/>
  <c r="B233" i="2"/>
  <c r="N232" i="2"/>
  <c r="K232" i="2"/>
  <c r="H232" i="2"/>
  <c r="G232" i="2"/>
  <c r="F232" i="2"/>
  <c r="E232" i="2"/>
  <c r="C232" i="2"/>
  <c r="B232" i="2"/>
  <c r="N231" i="2"/>
  <c r="K231" i="2"/>
  <c r="H231" i="2"/>
  <c r="G231" i="2"/>
  <c r="F231" i="2"/>
  <c r="E231" i="2"/>
  <c r="C231" i="2"/>
  <c r="B231" i="2"/>
  <c r="N230" i="2"/>
  <c r="K230" i="2"/>
  <c r="H230" i="2"/>
  <c r="G230" i="2"/>
  <c r="F230" i="2"/>
  <c r="E230" i="2"/>
  <c r="C230" i="2"/>
  <c r="B230" i="2"/>
  <c r="N229" i="2"/>
  <c r="K229" i="2"/>
  <c r="H229" i="2"/>
  <c r="G229" i="2"/>
  <c r="F229" i="2"/>
  <c r="E229" i="2"/>
  <c r="C229" i="2"/>
  <c r="B229" i="2"/>
  <c r="N228" i="2"/>
  <c r="K228" i="2"/>
  <c r="H228" i="2"/>
  <c r="G228" i="2"/>
  <c r="F228" i="2"/>
  <c r="E228" i="2"/>
  <c r="C228" i="2"/>
  <c r="B228" i="2"/>
  <c r="N227" i="2"/>
  <c r="K227" i="2"/>
  <c r="H227" i="2"/>
  <c r="G227" i="2"/>
  <c r="F227" i="2"/>
  <c r="E227" i="2"/>
  <c r="C227" i="2"/>
  <c r="B227" i="2"/>
  <c r="N226" i="2"/>
  <c r="K226" i="2"/>
  <c r="H226" i="2"/>
  <c r="G226" i="2"/>
  <c r="F226" i="2"/>
  <c r="E226" i="2"/>
  <c r="C226" i="2"/>
  <c r="B226" i="2"/>
  <c r="N225" i="2"/>
  <c r="K225" i="2"/>
  <c r="H225" i="2"/>
  <c r="G225" i="2"/>
  <c r="F225" i="2"/>
  <c r="E225" i="2"/>
  <c r="C225" i="2"/>
  <c r="B225" i="2"/>
  <c r="N224" i="2"/>
  <c r="K224" i="2"/>
  <c r="H224" i="2"/>
  <c r="G224" i="2"/>
  <c r="F224" i="2"/>
  <c r="E224" i="2"/>
  <c r="C224" i="2"/>
  <c r="B224" i="2"/>
  <c r="N223" i="2"/>
  <c r="K223" i="2"/>
  <c r="H223" i="2"/>
  <c r="G223" i="2"/>
  <c r="F223" i="2"/>
  <c r="E223" i="2"/>
  <c r="C223" i="2"/>
  <c r="B223" i="2"/>
  <c r="N222" i="2"/>
  <c r="K222" i="2"/>
  <c r="H222" i="2"/>
  <c r="G222" i="2"/>
  <c r="F222" i="2"/>
  <c r="E222" i="2"/>
  <c r="C222" i="2"/>
  <c r="B222" i="2"/>
  <c r="N221" i="2"/>
  <c r="K221" i="2"/>
  <c r="H221" i="2"/>
  <c r="G221" i="2"/>
  <c r="F221" i="2"/>
  <c r="E221" i="2"/>
  <c r="C221" i="2"/>
  <c r="B221" i="2"/>
  <c r="N220" i="2"/>
  <c r="K220" i="2"/>
  <c r="H220" i="2"/>
  <c r="G220" i="2"/>
  <c r="F220" i="2"/>
  <c r="E220" i="2"/>
  <c r="C220" i="2"/>
  <c r="B220" i="2"/>
  <c r="N219" i="2"/>
  <c r="K219" i="2"/>
  <c r="H219" i="2"/>
  <c r="G219" i="2"/>
  <c r="F219" i="2"/>
  <c r="E219" i="2"/>
  <c r="C219" i="2"/>
  <c r="B219" i="2"/>
  <c r="N218" i="2"/>
  <c r="K218" i="2"/>
  <c r="H218" i="2"/>
  <c r="G218" i="2"/>
  <c r="F218" i="2"/>
  <c r="E218" i="2"/>
  <c r="C218" i="2"/>
  <c r="B218" i="2"/>
  <c r="N217" i="2"/>
  <c r="K217" i="2"/>
  <c r="H217" i="2"/>
  <c r="G217" i="2"/>
  <c r="F217" i="2"/>
  <c r="E217" i="2"/>
  <c r="C217" i="2"/>
  <c r="B217" i="2"/>
  <c r="N216" i="2"/>
  <c r="K216" i="2"/>
  <c r="H216" i="2"/>
  <c r="G216" i="2"/>
  <c r="F216" i="2"/>
  <c r="E216" i="2"/>
  <c r="C216" i="2"/>
  <c r="B216" i="2"/>
  <c r="N215" i="2"/>
  <c r="K215" i="2"/>
  <c r="H215" i="2"/>
  <c r="G215" i="2"/>
  <c r="F215" i="2"/>
  <c r="E215" i="2"/>
  <c r="C215" i="2"/>
  <c r="B215" i="2"/>
  <c r="N214" i="2"/>
  <c r="K214" i="2"/>
  <c r="H214" i="2"/>
  <c r="G214" i="2"/>
  <c r="F214" i="2"/>
  <c r="E214" i="2"/>
  <c r="C214" i="2"/>
  <c r="B214" i="2"/>
  <c r="N213" i="2"/>
  <c r="K213" i="2"/>
  <c r="H213" i="2"/>
  <c r="G213" i="2"/>
  <c r="F213" i="2"/>
  <c r="E213" i="2"/>
  <c r="C213" i="2"/>
  <c r="B213" i="2"/>
  <c r="N212" i="2"/>
  <c r="K212" i="2"/>
  <c r="H212" i="2"/>
  <c r="G212" i="2"/>
  <c r="F212" i="2"/>
  <c r="E212" i="2"/>
  <c r="C212" i="2"/>
  <c r="B212" i="2"/>
  <c r="N211" i="2"/>
  <c r="K211" i="2"/>
  <c r="H211" i="2"/>
  <c r="G211" i="2"/>
  <c r="F211" i="2"/>
  <c r="E211" i="2"/>
  <c r="C211" i="2"/>
  <c r="B211" i="2"/>
  <c r="N210" i="2"/>
  <c r="K210" i="2"/>
  <c r="H210" i="2"/>
  <c r="G210" i="2"/>
  <c r="F210" i="2"/>
  <c r="E210" i="2"/>
  <c r="C210" i="2"/>
  <c r="B210" i="2"/>
  <c r="N209" i="2"/>
  <c r="K209" i="2"/>
  <c r="H209" i="2"/>
  <c r="G209" i="2"/>
  <c r="F209" i="2"/>
  <c r="E209" i="2"/>
  <c r="C209" i="2"/>
  <c r="B209" i="2"/>
  <c r="N208" i="2"/>
  <c r="K208" i="2"/>
  <c r="H208" i="2"/>
  <c r="G208" i="2"/>
  <c r="F208" i="2"/>
  <c r="E208" i="2"/>
  <c r="C208" i="2"/>
  <c r="B208" i="2"/>
  <c r="N207" i="2"/>
  <c r="K207" i="2"/>
  <c r="H207" i="2"/>
  <c r="G207" i="2"/>
  <c r="F207" i="2"/>
  <c r="E207" i="2"/>
  <c r="C207" i="2"/>
  <c r="B207" i="2"/>
  <c r="N206" i="2"/>
  <c r="K206" i="2"/>
  <c r="H206" i="2"/>
  <c r="G206" i="2"/>
  <c r="F206" i="2"/>
  <c r="E206" i="2"/>
  <c r="C206" i="2"/>
  <c r="B206" i="2"/>
  <c r="N205" i="2"/>
  <c r="K205" i="2"/>
  <c r="H205" i="2"/>
  <c r="G205" i="2"/>
  <c r="F205" i="2"/>
  <c r="E205" i="2"/>
  <c r="C205" i="2"/>
  <c r="B205" i="2"/>
  <c r="N204" i="2"/>
  <c r="K204" i="2"/>
  <c r="H204" i="2"/>
  <c r="G204" i="2"/>
  <c r="F204" i="2"/>
  <c r="E204" i="2"/>
  <c r="C204" i="2"/>
  <c r="B204" i="2"/>
  <c r="N203" i="2"/>
  <c r="K203" i="2"/>
  <c r="H203" i="2"/>
  <c r="G203" i="2"/>
  <c r="F203" i="2"/>
  <c r="E203" i="2"/>
  <c r="C203" i="2"/>
  <c r="B203" i="2"/>
  <c r="N202" i="2"/>
  <c r="K202" i="2"/>
  <c r="H202" i="2"/>
  <c r="G202" i="2"/>
  <c r="F202" i="2"/>
  <c r="E202" i="2"/>
  <c r="C202" i="2"/>
  <c r="B202" i="2"/>
  <c r="N201" i="2"/>
  <c r="K201" i="2"/>
  <c r="H201" i="2"/>
  <c r="G201" i="2"/>
  <c r="F201" i="2"/>
  <c r="E201" i="2"/>
  <c r="C201" i="2"/>
  <c r="B201" i="2"/>
  <c r="N200" i="2"/>
  <c r="K200" i="2"/>
  <c r="H200" i="2"/>
  <c r="G200" i="2"/>
  <c r="F200" i="2"/>
  <c r="E200" i="2"/>
  <c r="C200" i="2"/>
  <c r="B200" i="2"/>
  <c r="N199" i="2"/>
  <c r="K199" i="2"/>
  <c r="H199" i="2"/>
  <c r="G199" i="2"/>
  <c r="F199" i="2"/>
  <c r="E199" i="2"/>
  <c r="C199" i="2"/>
  <c r="B199" i="2"/>
  <c r="N198" i="2"/>
  <c r="K198" i="2"/>
  <c r="H198" i="2"/>
  <c r="G198" i="2"/>
  <c r="F198" i="2"/>
  <c r="E198" i="2"/>
  <c r="C198" i="2"/>
  <c r="B198" i="2"/>
  <c r="N197" i="2"/>
  <c r="K197" i="2"/>
  <c r="H197" i="2"/>
  <c r="G197" i="2"/>
  <c r="F197" i="2"/>
  <c r="E197" i="2"/>
  <c r="C197" i="2"/>
  <c r="B197" i="2"/>
  <c r="N196" i="2"/>
  <c r="K196" i="2"/>
  <c r="H196" i="2"/>
  <c r="G196" i="2"/>
  <c r="F196" i="2"/>
  <c r="E196" i="2"/>
  <c r="C196" i="2"/>
  <c r="B196" i="2"/>
  <c r="N195" i="2"/>
  <c r="K195" i="2"/>
  <c r="H195" i="2"/>
  <c r="G195" i="2"/>
  <c r="F195" i="2"/>
  <c r="E195" i="2"/>
  <c r="C195" i="2"/>
  <c r="B195" i="2"/>
  <c r="N194" i="2"/>
  <c r="K194" i="2"/>
  <c r="H194" i="2"/>
  <c r="G194" i="2"/>
  <c r="F194" i="2"/>
  <c r="E194" i="2"/>
  <c r="C194" i="2"/>
  <c r="B194" i="2"/>
  <c r="N193" i="2"/>
  <c r="K193" i="2"/>
  <c r="H193" i="2"/>
  <c r="G193" i="2"/>
  <c r="F193" i="2"/>
  <c r="E193" i="2"/>
  <c r="C193" i="2"/>
  <c r="B193" i="2"/>
  <c r="N192" i="2"/>
  <c r="K192" i="2"/>
  <c r="H192" i="2"/>
  <c r="G192" i="2"/>
  <c r="F192" i="2"/>
  <c r="E192" i="2"/>
  <c r="C192" i="2"/>
  <c r="B192" i="2"/>
  <c r="N191" i="2"/>
  <c r="K191" i="2"/>
  <c r="H191" i="2"/>
  <c r="G191" i="2"/>
  <c r="F191" i="2"/>
  <c r="E191" i="2"/>
  <c r="C191" i="2"/>
  <c r="B191" i="2"/>
  <c r="N190" i="2"/>
  <c r="K190" i="2"/>
  <c r="H190" i="2"/>
  <c r="G190" i="2"/>
  <c r="F190" i="2"/>
  <c r="E190" i="2"/>
  <c r="C190" i="2"/>
  <c r="B190" i="2"/>
  <c r="N189" i="2"/>
  <c r="K189" i="2"/>
  <c r="H189" i="2"/>
  <c r="G189" i="2"/>
  <c r="F189" i="2"/>
  <c r="E189" i="2"/>
  <c r="C189" i="2"/>
  <c r="B189" i="2"/>
  <c r="N188" i="2"/>
  <c r="K188" i="2"/>
  <c r="H188" i="2"/>
  <c r="G188" i="2"/>
  <c r="F188" i="2"/>
  <c r="E188" i="2"/>
  <c r="C188" i="2"/>
  <c r="B188" i="2"/>
  <c r="N187" i="2"/>
  <c r="K187" i="2"/>
  <c r="H187" i="2"/>
  <c r="G187" i="2"/>
  <c r="F187" i="2"/>
  <c r="E187" i="2"/>
  <c r="C187" i="2"/>
  <c r="B187" i="2"/>
  <c r="N186" i="2"/>
  <c r="K186" i="2"/>
  <c r="H186" i="2"/>
  <c r="G186" i="2"/>
  <c r="F186" i="2"/>
  <c r="E186" i="2"/>
  <c r="C186" i="2"/>
  <c r="B186" i="2"/>
  <c r="N185" i="2"/>
  <c r="K185" i="2"/>
  <c r="H185" i="2"/>
  <c r="G185" i="2"/>
  <c r="F185" i="2"/>
  <c r="E185" i="2"/>
  <c r="C185" i="2"/>
  <c r="B185" i="2"/>
  <c r="N184" i="2"/>
  <c r="K184" i="2"/>
  <c r="H184" i="2"/>
  <c r="G184" i="2"/>
  <c r="F184" i="2"/>
  <c r="E184" i="2"/>
  <c r="C184" i="2"/>
  <c r="B184" i="2"/>
  <c r="N183" i="2"/>
  <c r="K183" i="2"/>
  <c r="H183" i="2"/>
  <c r="G183" i="2"/>
  <c r="F183" i="2"/>
  <c r="E183" i="2"/>
  <c r="C183" i="2"/>
  <c r="B183" i="2"/>
  <c r="N182" i="2"/>
  <c r="K182" i="2"/>
  <c r="H182" i="2"/>
  <c r="G182" i="2"/>
  <c r="F182" i="2"/>
  <c r="E182" i="2"/>
  <c r="C182" i="2"/>
  <c r="B182" i="2"/>
  <c r="N181" i="2"/>
  <c r="K181" i="2"/>
  <c r="H181" i="2"/>
  <c r="G181" i="2"/>
  <c r="F181" i="2"/>
  <c r="E181" i="2"/>
  <c r="C181" i="2"/>
  <c r="B181" i="2"/>
  <c r="N180" i="2"/>
  <c r="K180" i="2"/>
  <c r="H180" i="2"/>
  <c r="G180" i="2"/>
  <c r="F180" i="2"/>
  <c r="E180" i="2"/>
  <c r="C180" i="2"/>
  <c r="B180" i="2"/>
  <c r="N179" i="2"/>
  <c r="K179" i="2"/>
  <c r="H179" i="2"/>
  <c r="G179" i="2"/>
  <c r="F179" i="2"/>
  <c r="E179" i="2"/>
  <c r="C179" i="2"/>
  <c r="B179" i="2"/>
  <c r="N178" i="2"/>
  <c r="K178" i="2"/>
  <c r="H178" i="2"/>
  <c r="G178" i="2"/>
  <c r="F178" i="2"/>
  <c r="E178" i="2"/>
  <c r="C178" i="2"/>
  <c r="B178" i="2"/>
  <c r="N177" i="2"/>
  <c r="K177" i="2"/>
  <c r="H177" i="2"/>
  <c r="G177" i="2"/>
  <c r="F177" i="2"/>
  <c r="E177" i="2"/>
  <c r="C177" i="2"/>
  <c r="B177" i="2"/>
  <c r="N176" i="2"/>
  <c r="K176" i="2"/>
  <c r="H176" i="2"/>
  <c r="G176" i="2"/>
  <c r="F176" i="2"/>
  <c r="E176" i="2"/>
  <c r="C176" i="2"/>
  <c r="B176" i="2"/>
  <c r="N175" i="2"/>
  <c r="K175" i="2"/>
  <c r="H175" i="2"/>
  <c r="G175" i="2"/>
  <c r="F175" i="2"/>
  <c r="E175" i="2"/>
  <c r="C175" i="2"/>
  <c r="B175" i="2"/>
  <c r="N174" i="2"/>
  <c r="K174" i="2"/>
  <c r="H174" i="2"/>
  <c r="G174" i="2"/>
  <c r="F174" i="2"/>
  <c r="E174" i="2"/>
  <c r="C174" i="2"/>
  <c r="B174" i="2"/>
  <c r="N173" i="2"/>
  <c r="K173" i="2"/>
  <c r="H173" i="2"/>
  <c r="G173" i="2"/>
  <c r="F173" i="2"/>
  <c r="E173" i="2"/>
  <c r="C173" i="2"/>
  <c r="B173" i="2"/>
  <c r="N172" i="2"/>
  <c r="K172" i="2"/>
  <c r="H172" i="2"/>
  <c r="G172" i="2"/>
  <c r="F172" i="2"/>
  <c r="E172" i="2"/>
  <c r="C172" i="2"/>
  <c r="B172" i="2"/>
  <c r="N171" i="2"/>
  <c r="K171" i="2"/>
  <c r="H171" i="2"/>
  <c r="G171" i="2"/>
  <c r="F171" i="2"/>
  <c r="E171" i="2"/>
  <c r="C171" i="2"/>
  <c r="B171" i="2"/>
  <c r="N170" i="2"/>
  <c r="K170" i="2"/>
  <c r="H170" i="2"/>
  <c r="G170" i="2"/>
  <c r="F170" i="2"/>
  <c r="E170" i="2"/>
  <c r="C170" i="2"/>
  <c r="B170" i="2"/>
  <c r="N169" i="2"/>
  <c r="K169" i="2"/>
  <c r="H169" i="2"/>
  <c r="G169" i="2"/>
  <c r="F169" i="2"/>
  <c r="E169" i="2"/>
  <c r="C169" i="2"/>
  <c r="B169" i="2"/>
  <c r="N168" i="2"/>
  <c r="K168" i="2"/>
  <c r="H168" i="2"/>
  <c r="G168" i="2"/>
  <c r="F168" i="2"/>
  <c r="E168" i="2"/>
  <c r="C168" i="2"/>
  <c r="B168" i="2"/>
  <c r="N167" i="2"/>
  <c r="K167" i="2"/>
  <c r="H167" i="2"/>
  <c r="G167" i="2"/>
  <c r="F167" i="2"/>
  <c r="E167" i="2"/>
  <c r="C167" i="2"/>
  <c r="B167" i="2"/>
  <c r="N166" i="2"/>
  <c r="K166" i="2"/>
  <c r="H166" i="2"/>
  <c r="G166" i="2"/>
  <c r="F166" i="2"/>
  <c r="E166" i="2"/>
  <c r="C166" i="2"/>
  <c r="B166" i="2"/>
  <c r="N165" i="2"/>
  <c r="K165" i="2"/>
  <c r="H165" i="2"/>
  <c r="G165" i="2"/>
  <c r="F165" i="2"/>
  <c r="E165" i="2"/>
  <c r="C165" i="2"/>
  <c r="B165" i="2"/>
  <c r="N164" i="2"/>
  <c r="K164" i="2"/>
  <c r="H164" i="2"/>
  <c r="G164" i="2"/>
  <c r="F164" i="2"/>
  <c r="E164" i="2"/>
  <c r="C164" i="2"/>
  <c r="B164" i="2"/>
  <c r="N163" i="2"/>
  <c r="K163" i="2"/>
  <c r="H163" i="2"/>
  <c r="G163" i="2"/>
  <c r="F163" i="2"/>
  <c r="E163" i="2"/>
  <c r="C163" i="2"/>
  <c r="B163" i="2"/>
  <c r="N162" i="2"/>
  <c r="K162" i="2"/>
  <c r="H162" i="2"/>
  <c r="G162" i="2"/>
  <c r="F162" i="2"/>
  <c r="E162" i="2"/>
  <c r="C162" i="2"/>
  <c r="B162" i="2"/>
  <c r="N161" i="2"/>
  <c r="K161" i="2"/>
  <c r="H161" i="2"/>
  <c r="G161" i="2"/>
  <c r="F161" i="2"/>
  <c r="E161" i="2"/>
  <c r="C161" i="2"/>
  <c r="B161" i="2"/>
  <c r="N160" i="2"/>
  <c r="K160" i="2"/>
  <c r="H160" i="2"/>
  <c r="G160" i="2"/>
  <c r="F160" i="2"/>
  <c r="E160" i="2"/>
  <c r="C160" i="2"/>
  <c r="B160" i="2"/>
  <c r="N159" i="2"/>
  <c r="K159" i="2"/>
  <c r="H159" i="2"/>
  <c r="G159" i="2"/>
  <c r="F159" i="2"/>
  <c r="E159" i="2"/>
  <c r="C159" i="2"/>
  <c r="B159" i="2"/>
  <c r="N158" i="2"/>
  <c r="K158" i="2"/>
  <c r="H158" i="2"/>
  <c r="G158" i="2"/>
  <c r="F158" i="2"/>
  <c r="E158" i="2"/>
  <c r="C158" i="2"/>
  <c r="B158" i="2"/>
  <c r="N157" i="2"/>
  <c r="K157" i="2"/>
  <c r="H157" i="2"/>
  <c r="G157" i="2"/>
  <c r="F157" i="2"/>
  <c r="E157" i="2"/>
  <c r="C157" i="2"/>
  <c r="B157" i="2"/>
  <c r="N156" i="2"/>
  <c r="K156" i="2"/>
  <c r="H156" i="2"/>
  <c r="G156" i="2"/>
  <c r="F156" i="2"/>
  <c r="E156" i="2"/>
  <c r="C156" i="2"/>
  <c r="B156" i="2"/>
  <c r="N155" i="2"/>
  <c r="K155" i="2"/>
  <c r="H155" i="2"/>
  <c r="G155" i="2"/>
  <c r="F155" i="2"/>
  <c r="E155" i="2"/>
  <c r="C155" i="2"/>
  <c r="B155" i="2"/>
  <c r="N154" i="2"/>
  <c r="K154" i="2"/>
  <c r="H154" i="2"/>
  <c r="G154" i="2"/>
  <c r="F154" i="2"/>
  <c r="E154" i="2"/>
  <c r="C154" i="2"/>
  <c r="B154" i="2"/>
  <c r="N153" i="2"/>
  <c r="K153" i="2"/>
  <c r="H153" i="2"/>
  <c r="G153" i="2"/>
  <c r="F153" i="2"/>
  <c r="E153" i="2"/>
  <c r="C153" i="2"/>
  <c r="B153" i="2"/>
  <c r="N152" i="2"/>
  <c r="K152" i="2"/>
  <c r="H152" i="2"/>
  <c r="G152" i="2"/>
  <c r="F152" i="2"/>
  <c r="E152" i="2"/>
  <c r="C152" i="2"/>
  <c r="B152" i="2"/>
  <c r="N151" i="2"/>
  <c r="K151" i="2"/>
  <c r="H151" i="2"/>
  <c r="G151" i="2"/>
  <c r="F151" i="2"/>
  <c r="E151" i="2"/>
  <c r="C151" i="2"/>
  <c r="B151" i="2"/>
  <c r="N150" i="2"/>
  <c r="K150" i="2"/>
  <c r="H150" i="2"/>
  <c r="G150" i="2"/>
  <c r="F150" i="2"/>
  <c r="E150" i="2"/>
  <c r="C150" i="2"/>
  <c r="B150" i="2"/>
  <c r="N149" i="2"/>
  <c r="K149" i="2"/>
  <c r="H149" i="2"/>
  <c r="G149" i="2"/>
  <c r="F149" i="2"/>
  <c r="E149" i="2"/>
  <c r="C149" i="2"/>
  <c r="B149" i="2"/>
  <c r="N148" i="2"/>
  <c r="K148" i="2"/>
  <c r="H148" i="2"/>
  <c r="G148" i="2"/>
  <c r="F148" i="2"/>
  <c r="E148" i="2"/>
  <c r="C148" i="2"/>
  <c r="B148" i="2"/>
  <c r="N147" i="2"/>
  <c r="K147" i="2"/>
  <c r="H147" i="2"/>
  <c r="G147" i="2"/>
  <c r="F147" i="2"/>
  <c r="E147" i="2"/>
  <c r="C147" i="2"/>
  <c r="B147" i="2"/>
  <c r="N146" i="2"/>
  <c r="K146" i="2"/>
  <c r="H146" i="2"/>
  <c r="G146" i="2"/>
  <c r="F146" i="2"/>
  <c r="E146" i="2"/>
  <c r="C146" i="2"/>
  <c r="B146" i="2"/>
  <c r="N145" i="2"/>
  <c r="K145" i="2"/>
  <c r="H145" i="2"/>
  <c r="G145" i="2"/>
  <c r="F145" i="2"/>
  <c r="E145" i="2"/>
  <c r="C145" i="2"/>
  <c r="B145" i="2"/>
  <c r="N144" i="2"/>
  <c r="K144" i="2"/>
  <c r="H144" i="2"/>
  <c r="G144" i="2"/>
  <c r="F144" i="2"/>
  <c r="E144" i="2"/>
  <c r="C144" i="2"/>
  <c r="B144" i="2"/>
  <c r="N143" i="2"/>
  <c r="K143" i="2"/>
  <c r="H143" i="2"/>
  <c r="G143" i="2"/>
  <c r="F143" i="2"/>
  <c r="E143" i="2"/>
  <c r="C143" i="2"/>
  <c r="B143" i="2"/>
  <c r="N142" i="2"/>
  <c r="K142" i="2"/>
  <c r="H142" i="2"/>
  <c r="G142" i="2"/>
  <c r="F142" i="2"/>
  <c r="E142" i="2"/>
  <c r="C142" i="2"/>
  <c r="B142" i="2"/>
  <c r="N141" i="2"/>
  <c r="K141" i="2"/>
  <c r="H141" i="2"/>
  <c r="G141" i="2"/>
  <c r="F141" i="2"/>
  <c r="E141" i="2"/>
  <c r="C141" i="2"/>
  <c r="B141" i="2"/>
  <c r="N140" i="2"/>
  <c r="K140" i="2"/>
  <c r="H140" i="2"/>
  <c r="G140" i="2"/>
  <c r="F140" i="2"/>
  <c r="E140" i="2"/>
  <c r="C140" i="2"/>
  <c r="B140" i="2"/>
  <c r="N139" i="2"/>
  <c r="K139" i="2"/>
  <c r="H139" i="2"/>
  <c r="G139" i="2"/>
  <c r="F139" i="2"/>
  <c r="E139" i="2"/>
  <c r="C139" i="2"/>
  <c r="B139" i="2"/>
  <c r="N138" i="2"/>
  <c r="K138" i="2"/>
  <c r="H138" i="2"/>
  <c r="G138" i="2"/>
  <c r="F138" i="2"/>
  <c r="E138" i="2"/>
  <c r="C138" i="2"/>
  <c r="B138" i="2"/>
  <c r="N137" i="2"/>
  <c r="K137" i="2"/>
  <c r="H137" i="2"/>
  <c r="G137" i="2"/>
  <c r="F137" i="2"/>
  <c r="E137" i="2"/>
  <c r="C137" i="2"/>
  <c r="B137" i="2"/>
  <c r="N136" i="2"/>
  <c r="K136" i="2"/>
  <c r="H136" i="2"/>
  <c r="G136" i="2"/>
  <c r="F136" i="2"/>
  <c r="E136" i="2"/>
  <c r="C136" i="2"/>
  <c r="B136" i="2"/>
  <c r="N135" i="2"/>
  <c r="K135" i="2"/>
  <c r="H135" i="2"/>
  <c r="G135" i="2"/>
  <c r="F135" i="2"/>
  <c r="E135" i="2"/>
  <c r="C135" i="2"/>
  <c r="B135" i="2"/>
  <c r="N134" i="2"/>
  <c r="K134" i="2"/>
  <c r="H134" i="2"/>
  <c r="G134" i="2"/>
  <c r="F134" i="2"/>
  <c r="E134" i="2"/>
  <c r="C134" i="2"/>
  <c r="B134" i="2"/>
  <c r="N133" i="2"/>
  <c r="K133" i="2"/>
  <c r="H133" i="2"/>
  <c r="G133" i="2"/>
  <c r="F133" i="2"/>
  <c r="E133" i="2"/>
  <c r="C133" i="2"/>
  <c r="B133" i="2"/>
  <c r="N132" i="2"/>
  <c r="K132" i="2"/>
  <c r="H132" i="2"/>
  <c r="G132" i="2"/>
  <c r="F132" i="2"/>
  <c r="E132" i="2"/>
  <c r="C132" i="2"/>
  <c r="B132" i="2"/>
  <c r="N131" i="2"/>
  <c r="K131" i="2"/>
  <c r="H131" i="2"/>
  <c r="G131" i="2"/>
  <c r="F131" i="2"/>
  <c r="E131" i="2"/>
  <c r="C131" i="2"/>
  <c r="B131" i="2"/>
  <c r="N130" i="2"/>
  <c r="K130" i="2"/>
  <c r="H130" i="2"/>
  <c r="G130" i="2"/>
  <c r="F130" i="2"/>
  <c r="E130" i="2"/>
  <c r="C130" i="2"/>
  <c r="B130" i="2"/>
  <c r="N129" i="2"/>
  <c r="K129" i="2"/>
  <c r="H129" i="2"/>
  <c r="G129" i="2"/>
  <c r="F129" i="2"/>
  <c r="E129" i="2"/>
  <c r="C129" i="2"/>
  <c r="B129" i="2"/>
  <c r="N128" i="2"/>
  <c r="K128" i="2"/>
  <c r="H128" i="2"/>
  <c r="G128" i="2"/>
  <c r="F128" i="2"/>
  <c r="E128" i="2"/>
  <c r="C128" i="2"/>
  <c r="B128" i="2"/>
  <c r="N127" i="2"/>
  <c r="K127" i="2"/>
  <c r="H127" i="2"/>
  <c r="G127" i="2"/>
  <c r="F127" i="2"/>
  <c r="E127" i="2"/>
  <c r="C127" i="2"/>
  <c r="B127" i="2"/>
  <c r="N126" i="2"/>
  <c r="K126" i="2"/>
  <c r="H126" i="2"/>
  <c r="G126" i="2"/>
  <c r="F126" i="2"/>
  <c r="E126" i="2"/>
  <c r="C126" i="2"/>
  <c r="B126" i="2"/>
  <c r="N125" i="2"/>
  <c r="K125" i="2"/>
  <c r="H125" i="2"/>
  <c r="G125" i="2"/>
  <c r="F125" i="2"/>
  <c r="E125" i="2"/>
  <c r="C125" i="2"/>
  <c r="B125" i="2"/>
  <c r="N124" i="2"/>
  <c r="K124" i="2"/>
  <c r="H124" i="2"/>
  <c r="G124" i="2"/>
  <c r="F124" i="2"/>
  <c r="E124" i="2"/>
  <c r="C124" i="2"/>
  <c r="B124" i="2"/>
  <c r="N123" i="2"/>
  <c r="K123" i="2"/>
  <c r="H123" i="2"/>
  <c r="G123" i="2"/>
  <c r="F123" i="2"/>
  <c r="E123" i="2"/>
  <c r="C123" i="2"/>
  <c r="B123" i="2"/>
  <c r="N122" i="2"/>
  <c r="K122" i="2"/>
  <c r="H122" i="2"/>
  <c r="G122" i="2"/>
  <c r="F122" i="2"/>
  <c r="E122" i="2"/>
  <c r="C122" i="2"/>
  <c r="B122" i="2"/>
  <c r="N121" i="2"/>
  <c r="K121" i="2"/>
  <c r="H121" i="2"/>
  <c r="G121" i="2"/>
  <c r="F121" i="2"/>
  <c r="E121" i="2"/>
  <c r="C121" i="2"/>
  <c r="B121" i="2"/>
  <c r="N120" i="2"/>
  <c r="K120" i="2"/>
  <c r="H120" i="2"/>
  <c r="G120" i="2"/>
  <c r="F120" i="2"/>
  <c r="E120" i="2"/>
  <c r="C120" i="2"/>
  <c r="B120" i="2"/>
  <c r="N119" i="2"/>
  <c r="K119" i="2"/>
  <c r="H119" i="2"/>
  <c r="G119" i="2"/>
  <c r="F119" i="2"/>
  <c r="E119" i="2"/>
  <c r="C119" i="2"/>
  <c r="B119" i="2"/>
  <c r="N118" i="2"/>
  <c r="K118" i="2"/>
  <c r="H118" i="2"/>
  <c r="G118" i="2"/>
  <c r="F118" i="2"/>
  <c r="E118" i="2"/>
  <c r="C118" i="2"/>
  <c r="B118" i="2"/>
  <c r="N117" i="2"/>
  <c r="K117" i="2"/>
  <c r="H117" i="2"/>
  <c r="G117" i="2"/>
  <c r="F117" i="2"/>
  <c r="E117" i="2"/>
  <c r="C117" i="2"/>
  <c r="B117" i="2"/>
  <c r="N116" i="2"/>
  <c r="K116" i="2"/>
  <c r="H116" i="2"/>
  <c r="G116" i="2"/>
  <c r="F116" i="2"/>
  <c r="E116" i="2"/>
  <c r="C116" i="2"/>
  <c r="B116" i="2"/>
  <c r="N115" i="2"/>
  <c r="K115" i="2"/>
  <c r="H115" i="2"/>
  <c r="G115" i="2"/>
  <c r="F115" i="2"/>
  <c r="E115" i="2"/>
  <c r="C115" i="2"/>
  <c r="B115" i="2"/>
  <c r="N114" i="2"/>
  <c r="K114" i="2"/>
  <c r="H114" i="2"/>
  <c r="G114" i="2"/>
  <c r="F114" i="2"/>
  <c r="E114" i="2"/>
  <c r="C114" i="2"/>
  <c r="B114" i="2"/>
  <c r="N113" i="2"/>
  <c r="K113" i="2"/>
  <c r="H113" i="2"/>
  <c r="G113" i="2"/>
  <c r="F113" i="2"/>
  <c r="E113" i="2"/>
  <c r="C113" i="2"/>
  <c r="B113" i="2"/>
  <c r="N112" i="2"/>
  <c r="K112" i="2"/>
  <c r="H112" i="2"/>
  <c r="G112" i="2"/>
  <c r="F112" i="2"/>
  <c r="E112" i="2"/>
  <c r="C112" i="2"/>
  <c r="B112" i="2"/>
  <c r="N111" i="2"/>
  <c r="K111" i="2"/>
  <c r="H111" i="2"/>
  <c r="G111" i="2"/>
  <c r="F111" i="2"/>
  <c r="E111" i="2"/>
  <c r="C111" i="2"/>
  <c r="B111" i="2"/>
  <c r="N110" i="2"/>
  <c r="K110" i="2"/>
  <c r="H110" i="2"/>
  <c r="G110" i="2"/>
  <c r="F110" i="2"/>
  <c r="E110" i="2"/>
  <c r="C110" i="2"/>
  <c r="B110" i="2"/>
  <c r="N109" i="2"/>
  <c r="K109" i="2"/>
  <c r="H109" i="2"/>
  <c r="G109" i="2"/>
  <c r="F109" i="2"/>
  <c r="E109" i="2"/>
  <c r="C109" i="2"/>
  <c r="B109" i="2"/>
  <c r="N108" i="2"/>
  <c r="K108" i="2"/>
  <c r="H108" i="2"/>
  <c r="G108" i="2"/>
  <c r="F108" i="2"/>
  <c r="E108" i="2"/>
  <c r="C108" i="2"/>
  <c r="B108" i="2"/>
  <c r="N107" i="2"/>
  <c r="K107" i="2"/>
  <c r="H107" i="2"/>
  <c r="G107" i="2"/>
  <c r="F107" i="2"/>
  <c r="E107" i="2"/>
  <c r="C107" i="2"/>
  <c r="B107" i="2"/>
  <c r="N106" i="2"/>
  <c r="K106" i="2"/>
  <c r="H106" i="2"/>
  <c r="G106" i="2"/>
  <c r="F106" i="2"/>
  <c r="E106" i="2"/>
  <c r="C106" i="2"/>
  <c r="B106" i="2"/>
  <c r="N105" i="2"/>
  <c r="K105" i="2"/>
  <c r="H105" i="2"/>
  <c r="G105" i="2"/>
  <c r="F105" i="2"/>
  <c r="E105" i="2"/>
  <c r="C105" i="2"/>
  <c r="B105" i="2"/>
  <c r="N104" i="2"/>
  <c r="K104" i="2"/>
  <c r="H104" i="2"/>
  <c r="G104" i="2"/>
  <c r="F104" i="2"/>
  <c r="E104" i="2"/>
  <c r="C104" i="2"/>
  <c r="B104" i="2"/>
  <c r="N103" i="2"/>
  <c r="K103" i="2"/>
  <c r="H103" i="2"/>
  <c r="G103" i="2"/>
  <c r="F103" i="2"/>
  <c r="E103" i="2"/>
  <c r="C103" i="2"/>
  <c r="B103" i="2"/>
  <c r="N102" i="2"/>
  <c r="K102" i="2"/>
  <c r="H102" i="2"/>
  <c r="G102" i="2"/>
  <c r="F102" i="2"/>
  <c r="E102" i="2"/>
  <c r="C102" i="2"/>
  <c r="B102" i="2"/>
  <c r="N101" i="2"/>
  <c r="K101" i="2"/>
  <c r="H101" i="2"/>
  <c r="G101" i="2"/>
  <c r="F101" i="2"/>
  <c r="E101" i="2"/>
  <c r="C101" i="2"/>
  <c r="B101" i="2"/>
  <c r="N100" i="2"/>
  <c r="K100" i="2"/>
  <c r="H100" i="2"/>
  <c r="G100" i="2"/>
  <c r="F100" i="2"/>
  <c r="E100" i="2"/>
  <c r="C100" i="2"/>
  <c r="B100" i="2"/>
  <c r="N99" i="2"/>
  <c r="K99" i="2"/>
  <c r="H99" i="2"/>
  <c r="G99" i="2"/>
  <c r="F99" i="2"/>
  <c r="E99" i="2"/>
  <c r="C99" i="2"/>
  <c r="B99" i="2"/>
  <c r="N98" i="2"/>
  <c r="K98" i="2"/>
  <c r="H98" i="2"/>
  <c r="G98" i="2"/>
  <c r="F98" i="2"/>
  <c r="E98" i="2"/>
  <c r="C98" i="2"/>
  <c r="B98" i="2"/>
  <c r="N97" i="2"/>
  <c r="K97" i="2"/>
  <c r="H97" i="2"/>
  <c r="G97" i="2"/>
  <c r="F97" i="2"/>
  <c r="E97" i="2"/>
  <c r="C97" i="2"/>
  <c r="B97" i="2"/>
  <c r="N96" i="2"/>
  <c r="K96" i="2"/>
  <c r="H96" i="2"/>
  <c r="G96" i="2"/>
  <c r="F96" i="2"/>
  <c r="E96" i="2"/>
  <c r="C96" i="2"/>
  <c r="B96" i="2"/>
  <c r="N95" i="2"/>
  <c r="K95" i="2"/>
  <c r="H95" i="2"/>
  <c r="G95" i="2"/>
  <c r="F95" i="2"/>
  <c r="E95" i="2"/>
  <c r="C95" i="2"/>
  <c r="B95" i="2"/>
  <c r="N94" i="2"/>
  <c r="K94" i="2"/>
  <c r="H94" i="2"/>
  <c r="G94" i="2"/>
  <c r="F94" i="2"/>
  <c r="E94" i="2"/>
  <c r="C94" i="2"/>
  <c r="B94" i="2"/>
  <c r="N93" i="2"/>
  <c r="K93" i="2"/>
  <c r="H93" i="2"/>
  <c r="G93" i="2"/>
  <c r="F93" i="2"/>
  <c r="E93" i="2"/>
  <c r="C93" i="2"/>
  <c r="B93" i="2"/>
  <c r="N92" i="2"/>
  <c r="K92" i="2"/>
  <c r="H92" i="2"/>
  <c r="G92" i="2"/>
  <c r="F92" i="2"/>
  <c r="E92" i="2"/>
  <c r="C92" i="2"/>
  <c r="B92" i="2"/>
  <c r="N91" i="2"/>
  <c r="K91" i="2"/>
  <c r="H91" i="2"/>
  <c r="G91" i="2"/>
  <c r="F91" i="2"/>
  <c r="E91" i="2"/>
  <c r="C91" i="2"/>
  <c r="B91" i="2"/>
  <c r="N90" i="2"/>
  <c r="K90" i="2"/>
  <c r="H90" i="2"/>
  <c r="G90" i="2"/>
  <c r="F90" i="2"/>
  <c r="E90" i="2"/>
  <c r="C90" i="2"/>
  <c r="B90" i="2"/>
  <c r="N89" i="2"/>
  <c r="K89" i="2"/>
  <c r="H89" i="2"/>
  <c r="G89" i="2"/>
  <c r="F89" i="2"/>
  <c r="E89" i="2"/>
  <c r="C89" i="2"/>
  <c r="B89" i="2"/>
  <c r="N88" i="2"/>
  <c r="K88" i="2"/>
  <c r="H88" i="2"/>
  <c r="G88" i="2"/>
  <c r="F88" i="2"/>
  <c r="E88" i="2"/>
  <c r="C88" i="2"/>
  <c r="B88" i="2"/>
  <c r="N87" i="2"/>
  <c r="K87" i="2"/>
  <c r="H87" i="2"/>
  <c r="G87" i="2"/>
  <c r="F87" i="2"/>
  <c r="E87" i="2"/>
  <c r="C87" i="2"/>
  <c r="B87" i="2"/>
  <c r="N86" i="2"/>
  <c r="K86" i="2"/>
  <c r="H86" i="2"/>
  <c r="G86" i="2"/>
  <c r="F86" i="2"/>
  <c r="E86" i="2"/>
  <c r="C86" i="2"/>
  <c r="B86" i="2"/>
  <c r="N85" i="2"/>
  <c r="K85" i="2"/>
  <c r="H85" i="2"/>
  <c r="G85" i="2"/>
  <c r="F85" i="2"/>
  <c r="E85" i="2"/>
  <c r="C85" i="2"/>
  <c r="B85" i="2"/>
  <c r="N84" i="2"/>
  <c r="K84" i="2"/>
  <c r="H84" i="2"/>
  <c r="G84" i="2"/>
  <c r="F84" i="2"/>
  <c r="E84" i="2"/>
  <c r="C84" i="2"/>
  <c r="B84" i="2"/>
  <c r="N83" i="2"/>
  <c r="K83" i="2"/>
  <c r="H83" i="2"/>
  <c r="G83" i="2"/>
  <c r="F83" i="2"/>
  <c r="E83" i="2"/>
  <c r="C83" i="2"/>
  <c r="B83" i="2"/>
  <c r="N82" i="2"/>
  <c r="K82" i="2"/>
  <c r="H82" i="2"/>
  <c r="G82" i="2"/>
  <c r="F82" i="2"/>
  <c r="E82" i="2"/>
  <c r="C82" i="2"/>
  <c r="B82" i="2"/>
  <c r="N81" i="2"/>
  <c r="K81" i="2"/>
  <c r="H81" i="2"/>
  <c r="G81" i="2"/>
  <c r="F81" i="2"/>
  <c r="E81" i="2"/>
  <c r="C81" i="2"/>
  <c r="B81" i="2"/>
  <c r="N80" i="2"/>
  <c r="K80" i="2"/>
  <c r="H80" i="2"/>
  <c r="G80" i="2"/>
  <c r="F80" i="2"/>
  <c r="E80" i="2"/>
  <c r="C80" i="2"/>
  <c r="B80" i="2"/>
  <c r="N79" i="2"/>
  <c r="K79" i="2"/>
  <c r="H79" i="2"/>
  <c r="G79" i="2"/>
  <c r="F79" i="2"/>
  <c r="E79" i="2"/>
  <c r="C79" i="2"/>
  <c r="B79" i="2"/>
  <c r="N78" i="2"/>
  <c r="K78" i="2"/>
  <c r="H78" i="2"/>
  <c r="G78" i="2"/>
  <c r="F78" i="2"/>
  <c r="E78" i="2"/>
  <c r="C78" i="2"/>
  <c r="B78" i="2"/>
  <c r="N77" i="2"/>
  <c r="K77" i="2"/>
  <c r="H77" i="2"/>
  <c r="G77" i="2"/>
  <c r="F77" i="2"/>
  <c r="E77" i="2"/>
  <c r="C77" i="2"/>
  <c r="B77" i="2"/>
  <c r="N76" i="2"/>
  <c r="K76" i="2"/>
  <c r="H76" i="2"/>
  <c r="G76" i="2"/>
  <c r="F76" i="2"/>
  <c r="E76" i="2"/>
  <c r="C76" i="2"/>
  <c r="B76" i="2"/>
  <c r="N75" i="2"/>
  <c r="K75" i="2"/>
  <c r="H75" i="2"/>
  <c r="G75" i="2"/>
  <c r="F75" i="2"/>
  <c r="E75" i="2"/>
  <c r="C75" i="2"/>
  <c r="B75" i="2"/>
  <c r="N74" i="2"/>
  <c r="K74" i="2"/>
  <c r="H74" i="2"/>
  <c r="G74" i="2"/>
  <c r="F74" i="2"/>
  <c r="E74" i="2"/>
  <c r="C74" i="2"/>
  <c r="B74" i="2"/>
  <c r="N73" i="2"/>
  <c r="K73" i="2"/>
  <c r="H73" i="2"/>
  <c r="G73" i="2"/>
  <c r="F73" i="2"/>
  <c r="E73" i="2"/>
  <c r="C73" i="2"/>
  <c r="B73" i="2"/>
  <c r="N72" i="2"/>
  <c r="K72" i="2"/>
  <c r="H72" i="2"/>
  <c r="G72" i="2"/>
  <c r="F72" i="2"/>
  <c r="E72" i="2"/>
  <c r="C72" i="2"/>
  <c r="B72" i="2"/>
  <c r="N71" i="2"/>
  <c r="K71" i="2"/>
  <c r="H71" i="2"/>
  <c r="G71" i="2"/>
  <c r="F71" i="2"/>
  <c r="E71" i="2"/>
  <c r="C71" i="2"/>
  <c r="B71" i="2"/>
  <c r="N70" i="2"/>
  <c r="K70" i="2"/>
  <c r="H70" i="2"/>
  <c r="G70" i="2"/>
  <c r="F70" i="2"/>
  <c r="E70" i="2"/>
  <c r="C70" i="2"/>
  <c r="B70" i="2"/>
  <c r="N69" i="2"/>
  <c r="K69" i="2"/>
  <c r="H69" i="2"/>
  <c r="G69" i="2"/>
  <c r="F69" i="2"/>
  <c r="E69" i="2"/>
  <c r="C69" i="2"/>
  <c r="B69" i="2"/>
  <c r="N68" i="2"/>
  <c r="K68" i="2"/>
  <c r="H68" i="2"/>
  <c r="G68" i="2"/>
  <c r="F68" i="2"/>
  <c r="E68" i="2"/>
  <c r="C68" i="2"/>
  <c r="B68" i="2"/>
  <c r="N67" i="2"/>
  <c r="K67" i="2"/>
  <c r="H67" i="2"/>
  <c r="G67" i="2"/>
  <c r="F67" i="2"/>
  <c r="E67" i="2"/>
  <c r="C67" i="2"/>
  <c r="B67" i="2"/>
  <c r="N66" i="2"/>
  <c r="K66" i="2"/>
  <c r="H66" i="2"/>
  <c r="G66" i="2"/>
  <c r="F66" i="2"/>
  <c r="E66" i="2"/>
  <c r="C66" i="2"/>
  <c r="B66" i="2"/>
  <c r="N65" i="2"/>
  <c r="K65" i="2"/>
  <c r="H65" i="2"/>
  <c r="G65" i="2"/>
  <c r="F65" i="2"/>
  <c r="E65" i="2"/>
  <c r="C65" i="2"/>
  <c r="B65" i="2"/>
  <c r="N64" i="2"/>
  <c r="K64" i="2"/>
  <c r="H64" i="2"/>
  <c r="G64" i="2"/>
  <c r="F64" i="2"/>
  <c r="E64" i="2"/>
  <c r="C64" i="2"/>
  <c r="B64" i="2"/>
  <c r="N63" i="2"/>
  <c r="K63" i="2"/>
  <c r="H63" i="2"/>
  <c r="G63" i="2"/>
  <c r="F63" i="2"/>
  <c r="E63" i="2"/>
  <c r="C63" i="2"/>
  <c r="B63" i="2"/>
  <c r="N62" i="2"/>
  <c r="K62" i="2"/>
  <c r="H62" i="2"/>
  <c r="G62" i="2"/>
  <c r="F62" i="2"/>
  <c r="E62" i="2"/>
  <c r="C62" i="2"/>
  <c r="B62" i="2"/>
  <c r="N61" i="2"/>
  <c r="K61" i="2"/>
  <c r="H61" i="2"/>
  <c r="G61" i="2"/>
  <c r="F61" i="2"/>
  <c r="E61" i="2"/>
  <c r="C61" i="2"/>
  <c r="B61" i="2"/>
  <c r="N60" i="2"/>
  <c r="K60" i="2"/>
  <c r="H60" i="2"/>
  <c r="G60" i="2"/>
  <c r="F60" i="2"/>
  <c r="E60" i="2"/>
  <c r="C60" i="2"/>
  <c r="B60" i="2"/>
  <c r="N59" i="2"/>
  <c r="K59" i="2"/>
  <c r="H59" i="2"/>
  <c r="G59" i="2"/>
  <c r="F59" i="2"/>
  <c r="E59" i="2"/>
  <c r="C59" i="2"/>
  <c r="B59" i="2"/>
  <c r="N58" i="2"/>
  <c r="K58" i="2"/>
  <c r="H58" i="2"/>
  <c r="G58" i="2"/>
  <c r="F58" i="2"/>
  <c r="E58" i="2"/>
  <c r="C58" i="2"/>
  <c r="B58" i="2"/>
  <c r="N57" i="2"/>
  <c r="K57" i="2"/>
  <c r="H57" i="2"/>
  <c r="G57" i="2"/>
  <c r="F57" i="2"/>
  <c r="E57" i="2"/>
  <c r="C57" i="2"/>
  <c r="B57" i="2"/>
  <c r="N56" i="2"/>
  <c r="K56" i="2"/>
  <c r="H56" i="2"/>
  <c r="G56" i="2"/>
  <c r="F56" i="2"/>
  <c r="E56" i="2"/>
  <c r="C56" i="2"/>
  <c r="B56" i="2"/>
  <c r="N55" i="2"/>
  <c r="K55" i="2"/>
  <c r="H55" i="2"/>
  <c r="G55" i="2"/>
  <c r="F55" i="2"/>
  <c r="E55" i="2"/>
  <c r="C55" i="2"/>
  <c r="B55" i="2"/>
  <c r="N54" i="2"/>
  <c r="K54" i="2"/>
  <c r="H54" i="2"/>
  <c r="G54" i="2"/>
  <c r="F54" i="2"/>
  <c r="E54" i="2"/>
  <c r="C54" i="2"/>
  <c r="B54" i="2"/>
  <c r="N53" i="2"/>
  <c r="K53" i="2"/>
  <c r="H53" i="2"/>
  <c r="G53" i="2"/>
  <c r="F53" i="2"/>
  <c r="E53" i="2"/>
  <c r="C53" i="2"/>
  <c r="B53" i="2"/>
  <c r="N52" i="2"/>
  <c r="K52" i="2"/>
  <c r="H52" i="2"/>
  <c r="G52" i="2"/>
  <c r="F52" i="2"/>
  <c r="E52" i="2"/>
  <c r="C52" i="2"/>
  <c r="B52" i="2"/>
  <c r="N51" i="2"/>
  <c r="K51" i="2"/>
  <c r="H51" i="2"/>
  <c r="G51" i="2"/>
  <c r="F51" i="2"/>
  <c r="E51" i="2"/>
  <c r="C51" i="2"/>
  <c r="B51" i="2"/>
  <c r="N50" i="2"/>
  <c r="K50" i="2"/>
  <c r="H50" i="2"/>
  <c r="G50" i="2"/>
  <c r="F50" i="2"/>
  <c r="E50" i="2"/>
  <c r="C50" i="2"/>
  <c r="B50" i="2"/>
  <c r="N49" i="2"/>
  <c r="K49" i="2"/>
  <c r="H49" i="2"/>
  <c r="G49" i="2"/>
  <c r="F49" i="2"/>
  <c r="E49" i="2"/>
  <c r="C49" i="2"/>
  <c r="B49" i="2"/>
  <c r="N48" i="2"/>
  <c r="K48" i="2"/>
  <c r="H48" i="2"/>
  <c r="G48" i="2"/>
  <c r="F48" i="2"/>
  <c r="E48" i="2"/>
  <c r="C48" i="2"/>
  <c r="B48" i="2"/>
  <c r="N47" i="2"/>
  <c r="K47" i="2"/>
  <c r="H47" i="2"/>
  <c r="G47" i="2"/>
  <c r="F47" i="2"/>
  <c r="E47" i="2"/>
  <c r="C47" i="2"/>
  <c r="B47" i="2"/>
  <c r="N46" i="2"/>
  <c r="K46" i="2"/>
  <c r="H46" i="2"/>
  <c r="G46" i="2"/>
  <c r="F46" i="2"/>
  <c r="E46" i="2"/>
  <c r="C46" i="2"/>
  <c r="B46" i="2"/>
  <c r="N45" i="2"/>
  <c r="K45" i="2"/>
  <c r="H45" i="2"/>
  <c r="G45" i="2"/>
  <c r="F45" i="2"/>
  <c r="E45" i="2"/>
  <c r="C45" i="2"/>
  <c r="B45" i="2"/>
  <c r="N44" i="2"/>
  <c r="K44" i="2"/>
  <c r="H44" i="2"/>
  <c r="G44" i="2"/>
  <c r="F44" i="2"/>
  <c r="E44" i="2"/>
  <c r="C44" i="2"/>
  <c r="B44" i="2"/>
  <c r="N43" i="2"/>
  <c r="K43" i="2"/>
  <c r="H43" i="2"/>
  <c r="G43" i="2"/>
  <c r="F43" i="2"/>
  <c r="E43" i="2"/>
  <c r="C43" i="2"/>
  <c r="B43" i="2"/>
  <c r="N42" i="2"/>
  <c r="K42" i="2"/>
  <c r="H42" i="2"/>
  <c r="G42" i="2"/>
  <c r="F42" i="2"/>
  <c r="E42" i="2"/>
  <c r="C42" i="2"/>
  <c r="B42" i="2"/>
  <c r="N41" i="2"/>
  <c r="K41" i="2"/>
  <c r="H41" i="2"/>
  <c r="G41" i="2"/>
  <c r="F41" i="2"/>
  <c r="E41" i="2"/>
  <c r="C41" i="2"/>
  <c r="B41" i="2"/>
  <c r="N40" i="2"/>
  <c r="K40" i="2"/>
  <c r="H40" i="2"/>
  <c r="G40" i="2"/>
  <c r="F40" i="2"/>
  <c r="E40" i="2"/>
  <c r="C40" i="2"/>
  <c r="B40" i="2"/>
  <c r="N39" i="2"/>
  <c r="K39" i="2"/>
  <c r="H39" i="2"/>
  <c r="G39" i="2"/>
  <c r="F39" i="2"/>
  <c r="E39" i="2"/>
  <c r="C39" i="2"/>
  <c r="B39" i="2"/>
  <c r="N38" i="2"/>
  <c r="K38" i="2"/>
  <c r="H38" i="2"/>
  <c r="G38" i="2"/>
  <c r="F38" i="2"/>
  <c r="E38" i="2"/>
  <c r="C38" i="2"/>
  <c r="B38" i="2"/>
  <c r="N37" i="2"/>
  <c r="K37" i="2"/>
  <c r="H37" i="2"/>
  <c r="G37" i="2"/>
  <c r="F37" i="2"/>
  <c r="E37" i="2"/>
  <c r="C37" i="2"/>
  <c r="B37" i="2"/>
  <c r="N36" i="2"/>
  <c r="K36" i="2"/>
  <c r="H36" i="2"/>
  <c r="G36" i="2"/>
  <c r="F36" i="2"/>
  <c r="E36" i="2"/>
  <c r="C36" i="2"/>
  <c r="B36" i="2"/>
  <c r="N35" i="2"/>
  <c r="K35" i="2"/>
  <c r="H35" i="2"/>
  <c r="G35" i="2"/>
  <c r="F35" i="2"/>
  <c r="E35" i="2"/>
  <c r="C35" i="2"/>
  <c r="B35" i="2"/>
  <c r="N34" i="2"/>
  <c r="K34" i="2"/>
  <c r="H34" i="2"/>
  <c r="G34" i="2"/>
  <c r="F34" i="2"/>
  <c r="E34" i="2"/>
  <c r="C34" i="2"/>
  <c r="B34" i="2"/>
  <c r="N33" i="2"/>
  <c r="K33" i="2"/>
  <c r="H33" i="2"/>
  <c r="G33" i="2"/>
  <c r="F33" i="2"/>
  <c r="E33" i="2"/>
  <c r="C33" i="2"/>
  <c r="B33" i="2"/>
  <c r="N32" i="2"/>
  <c r="K32" i="2"/>
  <c r="H32" i="2"/>
  <c r="G32" i="2"/>
  <c r="F32" i="2"/>
  <c r="E32" i="2"/>
  <c r="C32" i="2"/>
  <c r="B32" i="2"/>
  <c r="N31" i="2"/>
  <c r="K31" i="2"/>
  <c r="H31" i="2"/>
  <c r="G31" i="2"/>
  <c r="F31" i="2"/>
  <c r="E31" i="2"/>
  <c r="C31" i="2"/>
  <c r="B31" i="2"/>
  <c r="N30" i="2"/>
  <c r="K30" i="2"/>
  <c r="H30" i="2"/>
  <c r="G30" i="2"/>
  <c r="F30" i="2"/>
  <c r="E30" i="2"/>
  <c r="C30" i="2"/>
  <c r="B30" i="2"/>
  <c r="N29" i="2"/>
  <c r="K29" i="2"/>
  <c r="H29" i="2"/>
  <c r="G29" i="2"/>
  <c r="F29" i="2"/>
  <c r="E29" i="2"/>
  <c r="C29" i="2"/>
  <c r="B29" i="2"/>
  <c r="N28" i="2"/>
  <c r="K28" i="2"/>
  <c r="H28" i="2"/>
  <c r="G28" i="2"/>
  <c r="F28" i="2"/>
  <c r="E28" i="2"/>
  <c r="C28" i="2"/>
  <c r="B28" i="2"/>
  <c r="N27" i="2"/>
  <c r="K27" i="2"/>
  <c r="H27" i="2"/>
  <c r="G27" i="2"/>
  <c r="F27" i="2"/>
  <c r="E27" i="2"/>
  <c r="C27" i="2"/>
  <c r="B27" i="2"/>
  <c r="N26" i="2"/>
  <c r="K26" i="2"/>
  <c r="H26" i="2"/>
  <c r="G26" i="2"/>
  <c r="F26" i="2"/>
  <c r="E26" i="2"/>
  <c r="C26" i="2"/>
  <c r="B26" i="2"/>
  <c r="N25" i="2"/>
  <c r="K25" i="2"/>
  <c r="H25" i="2"/>
  <c r="G25" i="2"/>
  <c r="F25" i="2"/>
  <c r="E25" i="2"/>
  <c r="C25" i="2"/>
  <c r="B25" i="2"/>
  <c r="N24" i="2"/>
  <c r="K24" i="2"/>
  <c r="H24" i="2"/>
  <c r="G24" i="2"/>
  <c r="F24" i="2"/>
  <c r="E24" i="2"/>
  <c r="C24" i="2"/>
  <c r="B24" i="2"/>
  <c r="N23" i="2"/>
  <c r="K23" i="2"/>
  <c r="H23" i="2"/>
  <c r="G23" i="2"/>
  <c r="F23" i="2"/>
  <c r="E23" i="2"/>
  <c r="C23" i="2"/>
  <c r="B23" i="2"/>
  <c r="N22" i="2"/>
  <c r="K22" i="2"/>
  <c r="H22" i="2"/>
  <c r="G22" i="2"/>
  <c r="F22" i="2"/>
  <c r="E22" i="2"/>
  <c r="C22" i="2"/>
  <c r="B22" i="2"/>
  <c r="N21" i="2"/>
  <c r="K21" i="2"/>
  <c r="H21" i="2"/>
  <c r="G21" i="2"/>
  <c r="F21" i="2"/>
  <c r="E21" i="2"/>
  <c r="C21" i="2"/>
  <c r="B21" i="2"/>
  <c r="N20" i="2"/>
  <c r="K20" i="2"/>
  <c r="H20" i="2"/>
  <c r="G20" i="2"/>
  <c r="F20" i="2"/>
  <c r="E20" i="2"/>
  <c r="C20" i="2"/>
  <c r="B20" i="2"/>
  <c r="N19" i="2"/>
  <c r="K19" i="2"/>
  <c r="H19" i="2"/>
  <c r="G19" i="2"/>
  <c r="F19" i="2"/>
  <c r="E19" i="2"/>
  <c r="C19" i="2"/>
  <c r="B19" i="2"/>
  <c r="N18" i="2"/>
  <c r="K18" i="2"/>
  <c r="H18" i="2"/>
  <c r="G18" i="2"/>
  <c r="F18" i="2"/>
  <c r="E18" i="2"/>
  <c r="C18" i="2"/>
  <c r="B18" i="2"/>
  <c r="N17" i="2"/>
  <c r="K17" i="2"/>
  <c r="H17" i="2"/>
  <c r="G17" i="2"/>
  <c r="F17" i="2"/>
  <c r="E17" i="2"/>
  <c r="C17" i="2"/>
  <c r="B17" i="2"/>
  <c r="N16" i="2"/>
  <c r="K16" i="2"/>
  <c r="H16" i="2"/>
  <c r="G16" i="2"/>
  <c r="F16" i="2"/>
  <c r="E16" i="2"/>
  <c r="C16" i="2"/>
  <c r="B16" i="2"/>
  <c r="N15" i="2"/>
  <c r="K15" i="2"/>
  <c r="H15" i="2"/>
  <c r="G15" i="2"/>
  <c r="F15" i="2"/>
  <c r="E15" i="2"/>
  <c r="C15" i="2"/>
  <c r="B15" i="2"/>
  <c r="N14" i="2"/>
  <c r="K14" i="2"/>
  <c r="H14" i="2"/>
  <c r="G14" i="2"/>
  <c r="F14" i="2"/>
  <c r="E14" i="2"/>
  <c r="C14" i="2"/>
  <c r="B14" i="2"/>
  <c r="N13" i="2"/>
  <c r="K13" i="2"/>
  <c r="H13" i="2"/>
  <c r="G13" i="2"/>
  <c r="F13" i="2"/>
  <c r="E13" i="2"/>
  <c r="C13" i="2"/>
  <c r="B13" i="2"/>
  <c r="N12" i="2"/>
  <c r="K12" i="2"/>
  <c r="H12" i="2"/>
  <c r="G12" i="2"/>
  <c r="F12" i="2"/>
  <c r="E12" i="2"/>
  <c r="C12" i="2"/>
  <c r="B12" i="2"/>
  <c r="N11" i="2"/>
  <c r="K11" i="2"/>
  <c r="H11" i="2"/>
  <c r="G11" i="2"/>
  <c r="F11" i="2"/>
  <c r="E11" i="2"/>
  <c r="C11" i="2"/>
  <c r="B11" i="2"/>
  <c r="N10" i="2"/>
  <c r="O10" i="2" s="1"/>
  <c r="K10" i="2"/>
  <c r="H10" i="2"/>
  <c r="G10" i="2"/>
  <c r="F10" i="2"/>
  <c r="E10" i="2"/>
  <c r="C10" i="2"/>
  <c r="B10" i="2"/>
  <c r="K9" i="2"/>
  <c r="H9" i="2"/>
  <c r="G9" i="2"/>
  <c r="F9" i="2"/>
  <c r="E9" i="2"/>
  <c r="C9" i="2"/>
  <c r="B9" i="2"/>
  <c r="G1" i="2"/>
  <c r="E24" i="1"/>
  <c r="E23" i="1"/>
  <c r="E22" i="1"/>
  <c r="E21" i="1"/>
  <c r="E20" i="1"/>
  <c r="E19" i="1"/>
  <c r="E18" i="1"/>
  <c r="D17" i="1"/>
  <c r="E15" i="1"/>
  <c r="E14" i="1"/>
  <c r="E13" i="1"/>
  <c r="E12" i="1"/>
  <c r="E11" i="1"/>
  <c r="E10" i="1"/>
  <c r="E9" i="1"/>
  <c r="D8" i="1"/>
  <c r="F6" i="1"/>
  <c r="Q4" i="1"/>
  <c r="Q5" i="1" s="1"/>
  <c r="P4" i="1"/>
  <c r="P5" i="1" s="1"/>
  <c r="O4" i="1"/>
  <c r="O5" i="1" s="1"/>
  <c r="N4" i="1"/>
  <c r="N5" i="1" s="1"/>
  <c r="M4" i="1"/>
  <c r="M5" i="1" s="1"/>
  <c r="L4" i="1"/>
  <c r="L5" i="1" s="1"/>
  <c r="K4" i="1"/>
  <c r="K5" i="1" s="1"/>
  <c r="J4" i="1"/>
  <c r="J5" i="1" s="1"/>
  <c r="I4" i="1"/>
  <c r="I5" i="1" s="1"/>
  <c r="H4" i="1"/>
  <c r="H5" i="1" s="1"/>
  <c r="G4" i="1"/>
  <c r="G5" i="1" s="1"/>
  <c r="F4" i="1"/>
  <c r="F5" i="1" s="1"/>
  <c r="I4" i="2" l="1"/>
  <c r="I5" i="2"/>
  <c r="O11" i="2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O35" i="2" s="1"/>
  <c r="O36" i="2" s="1"/>
  <c r="O37" i="2" s="1"/>
  <c r="O38" i="2" s="1"/>
  <c r="O39" i="2" s="1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O56" i="2" s="1"/>
  <c r="O57" i="2" s="1"/>
  <c r="O58" i="2" s="1"/>
  <c r="O59" i="2" s="1"/>
  <c r="O60" i="2" s="1"/>
  <c r="O61" i="2" s="1"/>
  <c r="O62" i="2" s="1"/>
  <c r="O63" i="2" s="1"/>
  <c r="O64" i="2" s="1"/>
  <c r="O65" i="2" s="1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O99" i="2" s="1"/>
  <c r="O100" i="2" s="1"/>
  <c r="O101" i="2" s="1"/>
  <c r="O102" i="2" s="1"/>
  <c r="O103" i="2" s="1"/>
  <c r="O104" i="2" s="1"/>
  <c r="O105" i="2" s="1"/>
  <c r="O106" i="2" s="1"/>
  <c r="O107" i="2" s="1"/>
  <c r="O108" i="2" s="1"/>
  <c r="O109" i="2" s="1"/>
  <c r="O110" i="2" s="1"/>
  <c r="O111" i="2" s="1"/>
  <c r="O112" i="2" s="1"/>
  <c r="O113" i="2" s="1"/>
  <c r="O114" i="2" s="1"/>
  <c r="O115" i="2" s="1"/>
  <c r="O116" i="2" s="1"/>
  <c r="O117" i="2" s="1"/>
  <c r="O118" i="2" s="1"/>
  <c r="O119" i="2" s="1"/>
  <c r="O120" i="2" s="1"/>
  <c r="O121" i="2" s="1"/>
  <c r="O122" i="2" s="1"/>
  <c r="O123" i="2" s="1"/>
  <c r="O124" i="2" s="1"/>
  <c r="O125" i="2" s="1"/>
  <c r="O126" i="2" s="1"/>
  <c r="O127" i="2" s="1"/>
  <c r="O128" i="2" s="1"/>
  <c r="O129" i="2" s="1"/>
  <c r="O130" i="2" s="1"/>
  <c r="O131" i="2" s="1"/>
  <c r="O132" i="2" s="1"/>
  <c r="O133" i="2" s="1"/>
  <c r="O134" i="2" s="1"/>
  <c r="O135" i="2" s="1"/>
  <c r="O136" i="2" s="1"/>
  <c r="O137" i="2" s="1"/>
  <c r="O138" i="2" s="1"/>
  <c r="O139" i="2" s="1"/>
  <c r="O140" i="2" s="1"/>
  <c r="O141" i="2" s="1"/>
  <c r="O142" i="2" s="1"/>
  <c r="O143" i="2" s="1"/>
  <c r="O144" i="2" s="1"/>
  <c r="O145" i="2" s="1"/>
  <c r="O146" i="2" s="1"/>
  <c r="O147" i="2" s="1"/>
  <c r="O148" i="2" s="1"/>
  <c r="O149" i="2" s="1"/>
  <c r="O150" i="2" s="1"/>
  <c r="O151" i="2" s="1"/>
  <c r="O152" i="2" s="1"/>
  <c r="O153" i="2" s="1"/>
  <c r="O154" i="2" s="1"/>
  <c r="O155" i="2" s="1"/>
  <c r="O156" i="2" s="1"/>
  <c r="O157" i="2" s="1"/>
  <c r="O158" i="2" s="1"/>
  <c r="O159" i="2" s="1"/>
  <c r="O160" i="2" s="1"/>
  <c r="O161" i="2" s="1"/>
  <c r="O162" i="2" s="1"/>
  <c r="O163" i="2" s="1"/>
  <c r="O164" i="2" s="1"/>
  <c r="O165" i="2" s="1"/>
  <c r="O166" i="2" s="1"/>
  <c r="O167" i="2" s="1"/>
  <c r="O168" i="2" s="1"/>
  <c r="O169" i="2" s="1"/>
  <c r="O170" i="2" s="1"/>
  <c r="O171" i="2" s="1"/>
  <c r="O172" i="2" s="1"/>
  <c r="O173" i="2" s="1"/>
  <c r="O174" i="2" s="1"/>
  <c r="O175" i="2" s="1"/>
  <c r="O176" i="2" s="1"/>
  <c r="O177" i="2" s="1"/>
  <c r="O178" i="2" s="1"/>
  <c r="O179" i="2" s="1"/>
  <c r="O180" i="2" s="1"/>
  <c r="O181" i="2" s="1"/>
  <c r="O182" i="2" s="1"/>
  <c r="O183" i="2" s="1"/>
  <c r="O184" i="2" s="1"/>
  <c r="O185" i="2" s="1"/>
  <c r="O186" i="2" s="1"/>
  <c r="O187" i="2" s="1"/>
  <c r="O188" i="2" s="1"/>
  <c r="O189" i="2" s="1"/>
  <c r="O190" i="2" s="1"/>
  <c r="O191" i="2" s="1"/>
  <c r="O192" i="2" s="1"/>
  <c r="O193" i="2" s="1"/>
  <c r="O194" i="2" s="1"/>
  <c r="O195" i="2" s="1"/>
  <c r="O196" i="2" s="1"/>
  <c r="O197" i="2" s="1"/>
  <c r="O198" i="2" s="1"/>
  <c r="O199" i="2" s="1"/>
  <c r="O200" i="2" s="1"/>
  <c r="O201" i="2" s="1"/>
  <c r="O202" i="2" s="1"/>
  <c r="O203" i="2" s="1"/>
  <c r="O204" i="2" s="1"/>
  <c r="O205" i="2" s="1"/>
  <c r="O206" i="2" s="1"/>
  <c r="O207" i="2" s="1"/>
  <c r="O208" i="2" s="1"/>
  <c r="O209" i="2" s="1"/>
  <c r="O210" i="2" s="1"/>
  <c r="O211" i="2" s="1"/>
  <c r="O212" i="2" s="1"/>
  <c r="O213" i="2" s="1"/>
  <c r="O214" i="2" s="1"/>
  <c r="O215" i="2" s="1"/>
  <c r="O216" i="2" s="1"/>
  <c r="O217" i="2" s="1"/>
  <c r="O218" i="2" s="1"/>
  <c r="O219" i="2" s="1"/>
  <c r="O220" i="2" s="1"/>
  <c r="O221" i="2" s="1"/>
  <c r="O222" i="2" s="1"/>
  <c r="O223" i="2" s="1"/>
  <c r="O224" i="2" s="1"/>
  <c r="O225" i="2" s="1"/>
  <c r="O226" i="2" s="1"/>
  <c r="O227" i="2" s="1"/>
  <c r="O228" i="2" s="1"/>
  <c r="O229" i="2" s="1"/>
  <c r="O230" i="2" s="1"/>
  <c r="O231" i="2" s="1"/>
  <c r="O232" i="2" s="1"/>
  <c r="O233" i="2" s="1"/>
  <c r="O234" i="2" s="1"/>
  <c r="O235" i="2" s="1"/>
  <c r="O236" i="2" s="1"/>
  <c r="O237" i="2" s="1"/>
  <c r="O238" i="2" s="1"/>
  <c r="O239" i="2" s="1"/>
  <c r="O240" i="2" s="1"/>
  <c r="O241" i="2" s="1"/>
  <c r="O242" i="2" s="1"/>
  <c r="O243" i="2" s="1"/>
  <c r="O244" i="2" s="1"/>
  <c r="O245" i="2" s="1"/>
  <c r="O246" i="2" s="1"/>
  <c r="O247" i="2" s="1"/>
  <c r="O248" i="2" s="1"/>
  <c r="O249" i="2" s="1"/>
  <c r="O250" i="2" s="1"/>
  <c r="O251" i="2" s="1"/>
  <c r="O252" i="2" s="1"/>
  <c r="O253" i="2" s="1"/>
  <c r="O254" i="2" s="1"/>
  <c r="O255" i="2" s="1"/>
  <c r="O256" i="2" s="1"/>
  <c r="O257" i="2" s="1"/>
  <c r="O258" i="2" s="1"/>
  <c r="O259" i="2" s="1"/>
  <c r="O260" i="2" s="1"/>
  <c r="O261" i="2" s="1"/>
  <c r="O262" i="2" s="1"/>
  <c r="O263" i="2" s="1"/>
  <c r="O264" i="2" s="1"/>
  <c r="O265" i="2" s="1"/>
  <c r="O266" i="2" s="1"/>
  <c r="O267" i="2" s="1"/>
  <c r="O268" i="2" s="1"/>
  <c r="O269" i="2" s="1"/>
  <c r="O270" i="2" s="1"/>
  <c r="O271" i="2" s="1"/>
  <c r="O272" i="2" s="1"/>
  <c r="O273" i="2" s="1"/>
  <c r="O274" i="2" s="1"/>
  <c r="O275" i="2" s="1"/>
  <c r="O276" i="2" s="1"/>
  <c r="O277" i="2" s="1"/>
  <c r="O278" i="2" s="1"/>
  <c r="O279" i="2" s="1"/>
  <c r="O280" i="2" s="1"/>
  <c r="O281" i="2" s="1"/>
  <c r="O282" i="2" s="1"/>
  <c r="O283" i="2" s="1"/>
  <c r="O284" i="2" s="1"/>
  <c r="O285" i="2" s="1"/>
  <c r="O286" i="2" s="1"/>
  <c r="O287" i="2" s="1"/>
  <c r="O288" i="2" s="1"/>
  <c r="O289" i="2" s="1"/>
  <c r="O290" i="2" s="1"/>
  <c r="O291" i="2" s="1"/>
  <c r="O292" i="2" s="1"/>
  <c r="O293" i="2" s="1"/>
  <c r="O294" i="2" s="1"/>
  <c r="O295" i="2" s="1"/>
  <c r="O296" i="2" s="1"/>
  <c r="O297" i="2" s="1"/>
  <c r="O298" i="2" s="1"/>
  <c r="O299" i="2" s="1"/>
  <c r="O300" i="2" s="1"/>
  <c r="O301" i="2" s="1"/>
  <c r="O302" i="2" s="1"/>
  <c r="O303" i="2" s="1"/>
  <c r="O304" i="2" s="1"/>
  <c r="O305" i="2" s="1"/>
  <c r="O306" i="2" s="1"/>
  <c r="O307" i="2" s="1"/>
  <c r="O308" i="2" s="1"/>
  <c r="O309" i="2" s="1"/>
  <c r="O310" i="2" s="1"/>
  <c r="O311" i="2" s="1"/>
  <c r="O312" i="2" s="1"/>
  <c r="O313" i="2" s="1"/>
  <c r="O314" i="2" s="1"/>
  <c r="O315" i="2" s="1"/>
  <c r="O316" i="2" s="1"/>
  <c r="O317" i="2" s="1"/>
  <c r="O318" i="2" s="1"/>
  <c r="O319" i="2" s="1"/>
  <c r="O320" i="2" s="1"/>
  <c r="O321" i="2" s="1"/>
  <c r="O322" i="2" s="1"/>
  <c r="O323" i="2" s="1"/>
  <c r="O324" i="2" s="1"/>
  <c r="O325" i="2" s="1"/>
  <c r="O326" i="2" s="1"/>
  <c r="O327" i="2" s="1"/>
  <c r="O328" i="2" s="1"/>
  <c r="O329" i="2" s="1"/>
  <c r="O330" i="2" s="1"/>
  <c r="O331" i="2" s="1"/>
  <c r="O332" i="2" s="1"/>
  <c r="O333" i="2" s="1"/>
  <c r="O334" i="2" s="1"/>
  <c r="O335" i="2" s="1"/>
  <c r="O336" i="2" s="1"/>
  <c r="O337" i="2" s="1"/>
  <c r="O338" i="2" s="1"/>
  <c r="O339" i="2" s="1"/>
  <c r="O340" i="2" s="1"/>
  <c r="O341" i="2" s="1"/>
  <c r="O342" i="2" s="1"/>
  <c r="O343" i="2" s="1"/>
  <c r="O344" i="2" s="1"/>
  <c r="O345" i="2" s="1"/>
  <c r="O346" i="2" s="1"/>
  <c r="O347" i="2" s="1"/>
  <c r="O348" i="2" s="1"/>
  <c r="O349" i="2" s="1"/>
  <c r="O350" i="2" s="1"/>
  <c r="O351" i="2" s="1"/>
  <c r="O352" i="2" s="1"/>
  <c r="O353" i="2" s="1"/>
  <c r="O354" i="2" s="1"/>
  <c r="O355" i="2" s="1"/>
  <c r="O356" i="2" s="1"/>
  <c r="O357" i="2" s="1"/>
  <c r="O358" i="2" s="1"/>
  <c r="O359" i="2" s="1"/>
  <c r="O360" i="2" s="1"/>
  <c r="O361" i="2" s="1"/>
  <c r="O362" i="2" s="1"/>
  <c r="O363" i="2" s="1"/>
  <c r="O364" i="2" s="1"/>
  <c r="O365" i="2" s="1"/>
  <c r="O366" i="2" s="1"/>
  <c r="O367" i="2" s="1"/>
  <c r="O368" i="2" s="1"/>
  <c r="O369" i="2" s="1"/>
  <c r="O370" i="2" s="1"/>
  <c r="O371" i="2" s="1"/>
  <c r="O372" i="2" s="1"/>
  <c r="O373" i="2" s="1"/>
  <c r="O374" i="2" s="1"/>
  <c r="O375" i="2" s="1"/>
  <c r="O376" i="2" s="1"/>
  <c r="O377" i="2" s="1"/>
  <c r="O378" i="2" s="1"/>
  <c r="O379" i="2" s="1"/>
  <c r="O380" i="2" s="1"/>
  <c r="O381" i="2" s="1"/>
  <c r="O382" i="2" s="1"/>
  <c r="O383" i="2" s="1"/>
  <c r="O384" i="2" s="1"/>
  <c r="O385" i="2" s="1"/>
  <c r="O386" i="2" s="1"/>
  <c r="O387" i="2" s="1"/>
  <c r="O388" i="2" s="1"/>
  <c r="O389" i="2" s="1"/>
  <c r="O390" i="2" s="1"/>
  <c r="O391" i="2" s="1"/>
  <c r="O392" i="2" s="1"/>
  <c r="O393" i="2" s="1"/>
  <c r="O394" i="2" s="1"/>
  <c r="O395" i="2" s="1"/>
  <c r="O396" i="2" s="1"/>
  <c r="O397" i="2" s="1"/>
  <c r="O398" i="2" s="1"/>
  <c r="O399" i="2" s="1"/>
  <c r="O400" i="2" s="1"/>
  <c r="O401" i="2" s="1"/>
  <c r="O402" i="2" s="1"/>
  <c r="O403" i="2" s="1"/>
  <c r="O404" i="2" s="1"/>
  <c r="O405" i="2" s="1"/>
  <c r="O406" i="2" s="1"/>
  <c r="O407" i="2" s="1"/>
  <c r="O408" i="2" s="1"/>
  <c r="O409" i="2" s="1"/>
  <c r="O410" i="2" s="1"/>
  <c r="O411" i="2" s="1"/>
  <c r="O412" i="2" s="1"/>
  <c r="O413" i="2" s="1"/>
  <c r="O414" i="2" s="1"/>
  <c r="O415" i="2" s="1"/>
  <c r="O416" i="2" s="1"/>
  <c r="O417" i="2" s="1"/>
  <c r="O418" i="2" s="1"/>
  <c r="O419" i="2" s="1"/>
  <c r="O420" i="2" s="1"/>
  <c r="O421" i="2" s="1"/>
  <c r="O422" i="2" s="1"/>
  <c r="O423" i="2" s="1"/>
  <c r="O424" i="2" s="1"/>
  <c r="O425" i="2" s="1"/>
  <c r="O426" i="2" s="1"/>
  <c r="O427" i="2" s="1"/>
  <c r="O428" i="2" s="1"/>
  <c r="O429" i="2" s="1"/>
  <c r="O430" i="2" s="1"/>
  <c r="O431" i="2" s="1"/>
  <c r="O432" i="2" s="1"/>
  <c r="O433" i="2" s="1"/>
  <c r="O434" i="2" s="1"/>
  <c r="O435" i="2" s="1"/>
  <c r="O436" i="2" s="1"/>
  <c r="O437" i="2" s="1"/>
  <c r="O438" i="2" s="1"/>
  <c r="O439" i="2" s="1"/>
  <c r="O440" i="2" s="1"/>
  <c r="O441" i="2" s="1"/>
  <c r="O442" i="2" s="1"/>
  <c r="O443" i="2" s="1"/>
  <c r="O444" i="2" s="1"/>
  <c r="O445" i="2" s="1"/>
  <c r="O446" i="2" s="1"/>
  <c r="O447" i="2" s="1"/>
  <c r="O448" i="2" s="1"/>
  <c r="O449" i="2" s="1"/>
  <c r="O450" i="2" s="1"/>
  <c r="O451" i="2" s="1"/>
  <c r="O452" i="2" s="1"/>
  <c r="O453" i="2" s="1"/>
  <c r="O454" i="2" s="1"/>
  <c r="O455" i="2" s="1"/>
  <c r="O456" i="2" s="1"/>
  <c r="O457" i="2" s="1"/>
  <c r="O458" i="2" s="1"/>
  <c r="O459" i="2" s="1"/>
  <c r="O460" i="2" s="1"/>
  <c r="O461" i="2" s="1"/>
  <c r="O462" i="2" s="1"/>
  <c r="O463" i="2" s="1"/>
  <c r="O464" i="2" s="1"/>
  <c r="O465" i="2" s="1"/>
  <c r="O466" i="2" s="1"/>
  <c r="O467" i="2" s="1"/>
  <c r="O468" i="2" s="1"/>
  <c r="O469" i="2" s="1"/>
  <c r="O470" i="2" s="1"/>
  <c r="O471" i="2" s="1"/>
  <c r="O472" i="2" s="1"/>
  <c r="O473" i="2" s="1"/>
  <c r="O474" i="2" s="1"/>
  <c r="O475" i="2" s="1"/>
  <c r="O476" i="2" s="1"/>
  <c r="O477" i="2" s="1"/>
  <c r="O478" i="2" s="1"/>
  <c r="J9" i="1"/>
  <c r="J23" i="1"/>
  <c r="J10" i="1"/>
  <c r="J21" i="1"/>
  <c r="J14" i="1"/>
  <c r="J12" i="1"/>
  <c r="J15" i="1"/>
  <c r="J19" i="1"/>
  <c r="J20" i="1"/>
  <c r="J13" i="1"/>
  <c r="J22" i="1"/>
  <c r="J24" i="1"/>
  <c r="J18" i="1"/>
  <c r="J11" i="1"/>
  <c r="L22" i="1"/>
  <c r="L15" i="1"/>
  <c r="L9" i="1"/>
  <c r="L20" i="1"/>
  <c r="L13" i="1"/>
  <c r="L18" i="1"/>
  <c r="L24" i="1"/>
  <c r="L11" i="1"/>
  <c r="L21" i="1"/>
  <c r="L19" i="1"/>
  <c r="L12" i="1"/>
  <c r="L14" i="1"/>
  <c r="L23" i="1"/>
  <c r="L10" i="1"/>
  <c r="K23" i="1"/>
  <c r="K10" i="1"/>
  <c r="K9" i="1"/>
  <c r="K21" i="1"/>
  <c r="K14" i="1"/>
  <c r="K20" i="1"/>
  <c r="K13" i="1"/>
  <c r="K22" i="1"/>
  <c r="K19" i="1"/>
  <c r="K15" i="1"/>
  <c r="K12" i="1"/>
  <c r="K24" i="1"/>
  <c r="K18" i="1"/>
  <c r="K11" i="1"/>
  <c r="M22" i="1"/>
  <c r="M15" i="1"/>
  <c r="M9" i="1"/>
  <c r="M14" i="1"/>
  <c r="M21" i="1"/>
  <c r="M20" i="1"/>
  <c r="M13" i="1"/>
  <c r="M19" i="1"/>
  <c r="M12" i="1"/>
  <c r="M24" i="1"/>
  <c r="M18" i="1"/>
  <c r="M11" i="1"/>
  <c r="M23" i="1"/>
  <c r="M10" i="1"/>
  <c r="N20" i="1"/>
  <c r="N21" i="1"/>
  <c r="N14" i="1"/>
  <c r="N13" i="1"/>
  <c r="N19" i="1"/>
  <c r="N12" i="1"/>
  <c r="N23" i="1"/>
  <c r="N10" i="1"/>
  <c r="N24" i="1"/>
  <c r="N18" i="1"/>
  <c r="N11" i="1"/>
  <c r="N22" i="1"/>
  <c r="N15" i="1"/>
  <c r="N9" i="1"/>
  <c r="O21" i="1"/>
  <c r="O14" i="1"/>
  <c r="O13" i="1"/>
  <c r="O19" i="1"/>
  <c r="O12" i="1"/>
  <c r="O24" i="1"/>
  <c r="O18" i="1"/>
  <c r="O11" i="1"/>
  <c r="O23" i="1"/>
  <c r="O10" i="1"/>
  <c r="O20" i="1"/>
  <c r="O22" i="1"/>
  <c r="O15" i="1"/>
  <c r="O9" i="1"/>
  <c r="P20" i="1"/>
  <c r="P13" i="1"/>
  <c r="P19" i="1"/>
  <c r="P24" i="1"/>
  <c r="P18" i="1"/>
  <c r="P11" i="1"/>
  <c r="P15" i="1"/>
  <c r="P22" i="1"/>
  <c r="P23" i="1"/>
  <c r="P10" i="1"/>
  <c r="P9" i="1"/>
  <c r="P12" i="1"/>
  <c r="P21" i="1"/>
  <c r="P14" i="1"/>
  <c r="Q20" i="1"/>
  <c r="Q13" i="1"/>
  <c r="Q19" i="1"/>
  <c r="Q12" i="1"/>
  <c r="Q24" i="1"/>
  <c r="Q18" i="1"/>
  <c r="Q11" i="1"/>
  <c r="Q10" i="1"/>
  <c r="Q23" i="1"/>
  <c r="Q22" i="1"/>
  <c r="Q15" i="1"/>
  <c r="Q9" i="1"/>
  <c r="Q21" i="1"/>
  <c r="Q14" i="1"/>
  <c r="F19" i="1"/>
  <c r="F12" i="1"/>
  <c r="F23" i="1"/>
  <c r="F10" i="1"/>
  <c r="F14" i="1"/>
  <c r="F21" i="1"/>
  <c r="F24" i="1"/>
  <c r="F22" i="1"/>
  <c r="F15" i="1"/>
  <c r="F9" i="1"/>
  <c r="F18" i="1"/>
  <c r="F11" i="1"/>
  <c r="F20" i="1"/>
  <c r="F13" i="1"/>
  <c r="G19" i="1"/>
  <c r="G12" i="1"/>
  <c r="G24" i="1"/>
  <c r="G18" i="1"/>
  <c r="G23" i="1"/>
  <c r="G10" i="1"/>
  <c r="G22" i="1"/>
  <c r="G15" i="1"/>
  <c r="G9" i="1"/>
  <c r="G11" i="1"/>
  <c r="G21" i="1"/>
  <c r="G14" i="1"/>
  <c r="G20" i="1"/>
  <c r="G13" i="1"/>
  <c r="H24" i="1"/>
  <c r="H18" i="1"/>
  <c r="H11" i="1"/>
  <c r="H22" i="1"/>
  <c r="H15" i="1"/>
  <c r="H9" i="1"/>
  <c r="H20" i="1"/>
  <c r="H13" i="1"/>
  <c r="H10" i="1"/>
  <c r="H21" i="1"/>
  <c r="H14" i="1"/>
  <c r="H23" i="1"/>
  <c r="H19" i="1"/>
  <c r="H12" i="1"/>
  <c r="I24" i="1"/>
  <c r="I18" i="1"/>
  <c r="I11" i="1"/>
  <c r="I22" i="1"/>
  <c r="I15" i="1"/>
  <c r="I9" i="1"/>
  <c r="I21" i="1"/>
  <c r="I10" i="1"/>
  <c r="I14" i="1"/>
  <c r="I20" i="1"/>
  <c r="I13" i="1"/>
  <c r="I23" i="1"/>
  <c r="I19" i="1"/>
  <c r="I12" i="1"/>
  <c r="H4" i="6"/>
  <c r="I4" i="6"/>
  <c r="J4" i="6"/>
  <c r="K4" i="6"/>
  <c r="L4" i="6"/>
  <c r="O479" i="2" l="1"/>
  <c r="O480" i="2" s="1"/>
  <c r="O481" i="2" s="1"/>
  <c r="O482" i="2" s="1"/>
  <c r="O483" i="2" s="1"/>
  <c r="O484" i="2" s="1"/>
  <c r="O485" i="2" s="1"/>
  <c r="O486" i="2" s="1"/>
  <c r="O487" i="2" s="1"/>
  <c r="O488" i="2" s="1"/>
  <c r="O489" i="2" s="1"/>
  <c r="O490" i="2" s="1"/>
  <c r="O491" i="2" s="1"/>
  <c r="O492" i="2" s="1"/>
  <c r="O493" i="2" s="1"/>
  <c r="O494" i="2" s="1"/>
  <c r="O495" i="2" s="1"/>
  <c r="O496" i="2" s="1"/>
  <c r="O497" i="2" s="1"/>
  <c r="O498" i="2" s="1"/>
  <c r="O499" i="2" s="1"/>
  <c r="O500" i="2" s="1"/>
  <c r="O501" i="2" s="1"/>
  <c r="O502" i="2" s="1"/>
  <c r="O503" i="2" s="1"/>
  <c r="O504" i="2" s="1"/>
  <c r="O505" i="2" s="1"/>
  <c r="O506" i="2" s="1"/>
  <c r="O507" i="2" s="1"/>
  <c r="O508" i="2" s="1"/>
  <c r="O509" i="2" s="1"/>
  <c r="O510" i="2" s="1"/>
  <c r="O511" i="2" s="1"/>
  <c r="O512" i="2" s="1"/>
  <c r="O513" i="2" s="1"/>
  <c r="O514" i="2" s="1"/>
  <c r="O515" i="2" s="1"/>
  <c r="O516" i="2" s="1"/>
  <c r="O517" i="2" s="1"/>
  <c r="O518" i="2" s="1"/>
  <c r="O519" i="2" s="1"/>
  <c r="O520" i="2" s="1"/>
  <c r="O521" i="2" s="1"/>
  <c r="O522" i="2" s="1"/>
  <c r="O523" i="2" s="1"/>
  <c r="O524" i="2" s="1"/>
  <c r="O525" i="2" s="1"/>
  <c r="O526" i="2" s="1"/>
  <c r="O527" i="2" s="1"/>
  <c r="O528" i="2" s="1"/>
  <c r="O529" i="2" s="1"/>
  <c r="O530" i="2" s="1"/>
  <c r="O531" i="2" s="1"/>
  <c r="O532" i="2" s="1"/>
  <c r="O533" i="2" s="1"/>
  <c r="O534" i="2" s="1"/>
  <c r="O535" i="2" s="1"/>
  <c r="O536" i="2" s="1"/>
  <c r="O537" i="2" s="1"/>
  <c r="O538" i="2" s="1"/>
  <c r="O539" i="2" s="1"/>
  <c r="O540" i="2" s="1"/>
  <c r="O541" i="2" s="1"/>
  <c r="O542" i="2" s="1"/>
  <c r="O543" i="2" s="1"/>
  <c r="O544" i="2" s="1"/>
  <c r="O545" i="2" s="1"/>
  <c r="O546" i="2" s="1"/>
  <c r="O547" i="2" s="1"/>
  <c r="O548" i="2" s="1"/>
  <c r="O549" i="2" s="1"/>
  <c r="O550" i="2" s="1"/>
  <c r="O551" i="2" s="1"/>
  <c r="O552" i="2" s="1"/>
  <c r="O553" i="2" s="1"/>
  <c r="O554" i="2" s="1"/>
  <c r="O555" i="2" s="1"/>
  <c r="O556" i="2" s="1"/>
  <c r="O557" i="2" s="1"/>
  <c r="O558" i="2" s="1"/>
  <c r="O559" i="2" s="1"/>
  <c r="O560" i="2" s="1"/>
  <c r="O561" i="2" s="1"/>
  <c r="O562" i="2" s="1"/>
  <c r="O563" i="2" s="1"/>
  <c r="O564" i="2" s="1"/>
  <c r="O565" i="2" s="1"/>
  <c r="O566" i="2" s="1"/>
  <c r="O567" i="2" s="1"/>
  <c r="O568" i="2" s="1"/>
  <c r="O569" i="2" s="1"/>
  <c r="O570" i="2" s="1"/>
  <c r="O571" i="2" s="1"/>
  <c r="O572" i="2" s="1"/>
  <c r="O573" i="2" s="1"/>
  <c r="O574" i="2" s="1"/>
  <c r="O575" i="2" s="1"/>
  <c r="O576" i="2" s="1"/>
  <c r="O577" i="2" s="1"/>
  <c r="O578" i="2" s="1"/>
  <c r="O579" i="2" s="1"/>
  <c r="O580" i="2" s="1"/>
  <c r="O581" i="2" s="1"/>
  <c r="O582" i="2" s="1"/>
  <c r="R13" i="1"/>
  <c r="R12" i="1"/>
  <c r="R11" i="1"/>
  <c r="N17" i="1"/>
  <c r="I8" i="1"/>
  <c r="R21" i="1"/>
  <c r="R14" i="1"/>
  <c r="H8" i="1"/>
  <c r="G17" i="1"/>
  <c r="R10" i="1"/>
  <c r="Q17" i="1"/>
  <c r="N8" i="1"/>
  <c r="Q8" i="1"/>
  <c r="H17" i="1"/>
  <c r="R23" i="1"/>
  <c r="M8" i="1"/>
  <c r="L17" i="1"/>
  <c r="R20" i="1"/>
  <c r="R19" i="1"/>
  <c r="P17" i="1"/>
  <c r="O17" i="1"/>
  <c r="K8" i="1"/>
  <c r="G8" i="1"/>
  <c r="F17" i="1"/>
  <c r="R18" i="1"/>
  <c r="M17" i="1"/>
  <c r="K17" i="1"/>
  <c r="L8" i="1"/>
  <c r="R15" i="1"/>
  <c r="I17" i="1"/>
  <c r="R22" i="1"/>
  <c r="O8" i="1"/>
  <c r="F8" i="1"/>
  <c r="R9" i="1"/>
  <c r="R24" i="1"/>
  <c r="P8" i="1"/>
  <c r="J17" i="1"/>
  <c r="J8" i="1"/>
  <c r="M26" i="1" l="1"/>
  <c r="N6" i="1" s="1"/>
  <c r="N26" i="1"/>
  <c r="O6" i="1" s="1"/>
  <c r="F26" i="1"/>
  <c r="G6" i="1" s="1"/>
  <c r="H26" i="1"/>
  <c r="I6" i="1" s="1"/>
  <c r="O583" i="2"/>
  <c r="O584" i="2" s="1"/>
  <c r="O585" i="2" s="1"/>
  <c r="O586" i="2" s="1"/>
  <c r="O587" i="2" s="1"/>
  <c r="O588" i="2" s="1"/>
  <c r="O589" i="2" s="1"/>
  <c r="O590" i="2" s="1"/>
  <c r="O591" i="2" s="1"/>
  <c r="O592" i="2" s="1"/>
  <c r="O593" i="2" s="1"/>
  <c r="O594" i="2" s="1"/>
  <c r="O595" i="2" s="1"/>
  <c r="O596" i="2" s="1"/>
  <c r="O597" i="2" s="1"/>
  <c r="O598" i="2" s="1"/>
  <c r="O599" i="2" s="1"/>
  <c r="O600" i="2" s="1"/>
  <c r="O601" i="2" s="1"/>
  <c r="O602" i="2" s="1"/>
  <c r="O603" i="2" s="1"/>
  <c r="O604" i="2" s="1"/>
  <c r="O605" i="2" s="1"/>
  <c r="O606" i="2" s="1"/>
  <c r="O607" i="2" s="1"/>
  <c r="O608" i="2" s="1"/>
  <c r="O609" i="2" s="1"/>
  <c r="O610" i="2" s="1"/>
  <c r="O611" i="2" s="1"/>
  <c r="O612" i="2" s="1"/>
  <c r="O613" i="2" s="1"/>
  <c r="O614" i="2" s="1"/>
  <c r="O615" i="2" s="1"/>
  <c r="O616" i="2" s="1"/>
  <c r="O617" i="2" s="1"/>
  <c r="O618" i="2" s="1"/>
  <c r="O619" i="2" s="1"/>
  <c r="O620" i="2" s="1"/>
  <c r="O621" i="2" s="1"/>
  <c r="O622" i="2" s="1"/>
  <c r="O623" i="2" s="1"/>
  <c r="O624" i="2" s="1"/>
  <c r="O625" i="2" s="1"/>
  <c r="O626" i="2" s="1"/>
  <c r="O627" i="2" s="1"/>
  <c r="O628" i="2" s="1"/>
  <c r="O629" i="2" s="1"/>
  <c r="O630" i="2" s="1"/>
  <c r="O631" i="2" s="1"/>
  <c r="O632" i="2" s="1"/>
  <c r="O633" i="2" s="1"/>
  <c r="O634" i="2" s="1"/>
  <c r="O635" i="2" s="1"/>
  <c r="O636" i="2" s="1"/>
  <c r="O637" i="2" s="1"/>
  <c r="O638" i="2" s="1"/>
  <c r="O639" i="2" s="1"/>
  <c r="O640" i="2" s="1"/>
  <c r="O641" i="2" s="1"/>
  <c r="O642" i="2" s="1"/>
  <c r="O643" i="2" s="1"/>
  <c r="O644" i="2" s="1"/>
  <c r="O645" i="2" s="1"/>
  <c r="O646" i="2" s="1"/>
  <c r="O647" i="2" s="1"/>
  <c r="O648" i="2" s="1"/>
  <c r="O649" i="2" s="1"/>
  <c r="O650" i="2" s="1"/>
  <c r="O651" i="2" s="1"/>
  <c r="O652" i="2" s="1"/>
  <c r="O653" i="2" s="1"/>
  <c r="O654" i="2" s="1"/>
  <c r="O655" i="2" s="1"/>
  <c r="O656" i="2" s="1"/>
  <c r="O657" i="2" s="1"/>
  <c r="O658" i="2" s="1"/>
  <c r="O659" i="2" s="1"/>
  <c r="O660" i="2" s="1"/>
  <c r="O661" i="2" s="1"/>
  <c r="O662" i="2" s="1"/>
  <c r="O663" i="2" s="1"/>
  <c r="O664" i="2" s="1"/>
  <c r="O665" i="2" s="1"/>
  <c r="O666" i="2" s="1"/>
  <c r="O667" i="2" s="1"/>
  <c r="O668" i="2" s="1"/>
  <c r="O669" i="2" s="1"/>
  <c r="O670" i="2" s="1"/>
  <c r="O671" i="2" s="1"/>
  <c r="O672" i="2" s="1"/>
  <c r="O673" i="2" s="1"/>
  <c r="O674" i="2" s="1"/>
  <c r="O675" i="2" s="1"/>
  <c r="O676" i="2" s="1"/>
  <c r="O677" i="2" s="1"/>
  <c r="O678" i="2" s="1"/>
  <c r="O679" i="2" s="1"/>
  <c r="O680" i="2" s="1"/>
  <c r="O681" i="2" s="1"/>
  <c r="O682" i="2" s="1"/>
  <c r="O683" i="2" s="1"/>
  <c r="O684" i="2" s="1"/>
  <c r="O685" i="2" s="1"/>
  <c r="O686" i="2" s="1"/>
  <c r="O687" i="2" s="1"/>
  <c r="O688" i="2" s="1"/>
  <c r="O689" i="2" s="1"/>
  <c r="O690" i="2" s="1"/>
  <c r="O691" i="2" s="1"/>
  <c r="O692" i="2" s="1"/>
  <c r="O693" i="2" s="1"/>
  <c r="O694" i="2" s="1"/>
  <c r="O695" i="2" s="1"/>
  <c r="O696" i="2" s="1"/>
  <c r="O697" i="2" s="1"/>
  <c r="O698" i="2" s="1"/>
  <c r="O699" i="2" s="1"/>
  <c r="O700" i="2" s="1"/>
  <c r="O701" i="2" s="1"/>
  <c r="O702" i="2" s="1"/>
  <c r="O703" i="2" s="1"/>
  <c r="O704" i="2" s="1"/>
  <c r="O705" i="2" s="1"/>
  <c r="O706" i="2" s="1"/>
  <c r="O707" i="2" s="1"/>
  <c r="O708" i="2" s="1"/>
  <c r="O709" i="2" s="1"/>
  <c r="O710" i="2" s="1"/>
  <c r="O711" i="2" s="1"/>
  <c r="O712" i="2" s="1"/>
  <c r="O713" i="2" s="1"/>
  <c r="O714" i="2" s="1"/>
  <c r="O715" i="2" s="1"/>
  <c r="O716" i="2" s="1"/>
  <c r="O717" i="2" s="1"/>
  <c r="O718" i="2" s="1"/>
  <c r="O719" i="2" s="1"/>
  <c r="O720" i="2" s="1"/>
  <c r="O721" i="2" s="1"/>
  <c r="O722" i="2" s="1"/>
  <c r="O723" i="2" s="1"/>
  <c r="O724" i="2" s="1"/>
  <c r="O725" i="2" s="1"/>
  <c r="O726" i="2" s="1"/>
  <c r="O727" i="2" s="1"/>
  <c r="O728" i="2" s="1"/>
  <c r="O729" i="2" s="1"/>
  <c r="O730" i="2" s="1"/>
  <c r="O731" i="2" s="1"/>
  <c r="O732" i="2" s="1"/>
  <c r="O733" i="2" s="1"/>
  <c r="O734" i="2" s="1"/>
  <c r="O735" i="2" s="1"/>
  <c r="O736" i="2" s="1"/>
  <c r="O737" i="2" s="1"/>
  <c r="O738" i="2" s="1"/>
  <c r="O739" i="2" s="1"/>
  <c r="O740" i="2" s="1"/>
  <c r="O741" i="2" s="1"/>
  <c r="O742" i="2" s="1"/>
  <c r="O743" i="2" s="1"/>
  <c r="O744" i="2" s="1"/>
  <c r="O745" i="2" s="1"/>
  <c r="O746" i="2" s="1"/>
  <c r="O747" i="2" s="1"/>
  <c r="O748" i="2" s="1"/>
  <c r="O749" i="2" s="1"/>
  <c r="O750" i="2" s="1"/>
  <c r="O751" i="2" s="1"/>
  <c r="O752" i="2" s="1"/>
  <c r="O753" i="2" s="1"/>
  <c r="O754" i="2" s="1"/>
  <c r="O755" i="2" s="1"/>
  <c r="O756" i="2" s="1"/>
  <c r="O757" i="2" s="1"/>
  <c r="O758" i="2" s="1"/>
  <c r="O759" i="2" s="1"/>
  <c r="O760" i="2" s="1"/>
  <c r="O761" i="2" s="1"/>
  <c r="O762" i="2" s="1"/>
  <c r="O763" i="2" s="1"/>
  <c r="O764" i="2" s="1"/>
  <c r="O765" i="2" s="1"/>
  <c r="O766" i="2" s="1"/>
  <c r="O767" i="2" s="1"/>
  <c r="O768" i="2" s="1"/>
  <c r="O769" i="2" s="1"/>
  <c r="O770" i="2" s="1"/>
  <c r="O771" i="2" s="1"/>
  <c r="O772" i="2" s="1"/>
  <c r="O773" i="2" s="1"/>
  <c r="O774" i="2" s="1"/>
  <c r="O775" i="2" s="1"/>
  <c r="O776" i="2" s="1"/>
  <c r="O777" i="2" s="1"/>
  <c r="O778" i="2" s="1"/>
  <c r="O779" i="2" s="1"/>
  <c r="O780" i="2" s="1"/>
  <c r="O781" i="2" s="1"/>
  <c r="O782" i="2" s="1"/>
  <c r="O783" i="2" s="1"/>
  <c r="O784" i="2" s="1"/>
  <c r="O785" i="2" s="1"/>
  <c r="O786" i="2" s="1"/>
  <c r="O787" i="2" s="1"/>
  <c r="O788" i="2" s="1"/>
  <c r="O789" i="2" s="1"/>
  <c r="O790" i="2" s="1"/>
  <c r="O791" i="2" s="1"/>
  <c r="O793" i="2" s="1"/>
  <c r="O794" i="2" s="1"/>
  <c r="O795" i="2" s="1"/>
  <c r="O796" i="2" s="1"/>
  <c r="O797" i="2" s="1"/>
  <c r="O798" i="2" s="1"/>
  <c r="O799" i="2" s="1"/>
  <c r="O800" i="2" s="1"/>
  <c r="O801" i="2" s="1"/>
  <c r="O802" i="2" s="1"/>
  <c r="O803" i="2" s="1"/>
  <c r="O804" i="2" s="1"/>
  <c r="O805" i="2" s="1"/>
  <c r="O806" i="2" s="1"/>
  <c r="O807" i="2" s="1"/>
  <c r="O808" i="2" s="1"/>
  <c r="O809" i="2" s="1"/>
  <c r="O810" i="2" s="1"/>
  <c r="O811" i="2" s="1"/>
  <c r="O812" i="2" s="1"/>
  <c r="O813" i="2" s="1"/>
  <c r="O814" i="2" s="1"/>
  <c r="O815" i="2" s="1"/>
  <c r="O816" i="2" s="1"/>
  <c r="O817" i="2" s="1"/>
  <c r="O818" i="2" s="1"/>
  <c r="O819" i="2" s="1"/>
  <c r="O820" i="2" s="1"/>
  <c r="O821" i="2" s="1"/>
  <c r="O822" i="2" s="1"/>
  <c r="O823" i="2" s="1"/>
  <c r="O824" i="2" s="1"/>
  <c r="O825" i="2" s="1"/>
  <c r="O826" i="2" s="1"/>
  <c r="O827" i="2" s="1"/>
  <c r="O828" i="2" s="1"/>
  <c r="O829" i="2" s="1"/>
  <c r="O830" i="2" s="1"/>
  <c r="O831" i="2" s="1"/>
  <c r="O832" i="2" s="1"/>
  <c r="O833" i="2" s="1"/>
  <c r="O834" i="2" s="1"/>
  <c r="O835" i="2" s="1"/>
  <c r="O836" i="2" s="1"/>
  <c r="O837" i="2" s="1"/>
  <c r="O838" i="2" s="1"/>
  <c r="O839" i="2" s="1"/>
  <c r="O840" i="2" s="1"/>
  <c r="O841" i="2" s="1"/>
  <c r="O842" i="2" s="1"/>
  <c r="O843" i="2" s="1"/>
  <c r="O844" i="2" s="1"/>
  <c r="O845" i="2" s="1"/>
  <c r="O846" i="2" s="1"/>
  <c r="O847" i="2" s="1"/>
  <c r="O848" i="2" s="1"/>
  <c r="O849" i="2" s="1"/>
  <c r="O850" i="2" s="1"/>
  <c r="O851" i="2" s="1"/>
  <c r="O852" i="2" s="1"/>
  <c r="O853" i="2" s="1"/>
  <c r="O854" i="2" s="1"/>
  <c r="O855" i="2" s="1"/>
  <c r="Q26" i="1"/>
  <c r="I26" i="1"/>
  <c r="J6" i="1" s="1"/>
  <c r="J26" i="1"/>
  <c r="K6" i="1" s="1"/>
  <c r="O26" i="1"/>
  <c r="P6" i="1" s="1"/>
  <c r="R17" i="1"/>
  <c r="P26" i="1"/>
  <c r="Q6" i="1" s="1"/>
  <c r="L26" i="1"/>
  <c r="M6" i="1" s="1"/>
  <c r="G26" i="1"/>
  <c r="H6" i="1" s="1"/>
  <c r="R8" i="1"/>
  <c r="K26" i="1"/>
  <c r="L6" i="1" s="1"/>
  <c r="O792" i="2" l="1"/>
  <c r="O857" i="2"/>
  <c r="O858" i="2" s="1"/>
  <c r="O859" i="2" s="1"/>
  <c r="O860" i="2" s="1"/>
  <c r="O861" i="2" s="1"/>
  <c r="O862" i="2" s="1"/>
  <c r="O863" i="2" s="1"/>
  <c r="O864" i="2" s="1"/>
  <c r="O865" i="2" s="1"/>
  <c r="O866" i="2" s="1"/>
  <c r="O867" i="2" s="1"/>
  <c r="O868" i="2" s="1"/>
  <c r="O869" i="2" s="1"/>
  <c r="O870" i="2" s="1"/>
  <c r="O871" i="2" s="1"/>
  <c r="O872" i="2" s="1"/>
  <c r="O873" i="2" s="1"/>
  <c r="O874" i="2" s="1"/>
  <c r="O875" i="2" s="1"/>
  <c r="O876" i="2" s="1"/>
  <c r="O877" i="2" s="1"/>
  <c r="O878" i="2" s="1"/>
  <c r="O879" i="2" s="1"/>
  <c r="O880" i="2" s="1"/>
  <c r="O881" i="2" s="1"/>
  <c r="O882" i="2" s="1"/>
  <c r="O883" i="2" s="1"/>
  <c r="O884" i="2" s="1"/>
  <c r="O885" i="2" s="1"/>
  <c r="O886" i="2" s="1"/>
  <c r="O887" i="2" s="1"/>
  <c r="O888" i="2" s="1"/>
  <c r="O889" i="2" s="1"/>
  <c r="O890" i="2" s="1"/>
  <c r="O856" i="2"/>
  <c r="R26" i="1"/>
  <c r="O891" i="2" l="1"/>
  <c r="O892" i="2"/>
  <c r="O893" i="2" s="1"/>
  <c r="O894" i="2" s="1"/>
  <c r="O895" i="2" s="1"/>
  <c r="O896" i="2" s="1"/>
  <c r="O897" i="2" s="1"/>
  <c r="O898" i="2" s="1"/>
  <c r="O899" i="2" s="1"/>
  <c r="O900" i="2" s="1"/>
  <c r="O901" i="2" l="1"/>
  <c r="O902" i="2"/>
  <c r="O903" i="2" s="1"/>
  <c r="O904" i="2" s="1"/>
  <c r="O905" i="2" l="1"/>
  <c r="O906" i="2"/>
  <c r="O907" i="2" s="1"/>
  <c r="O908" i="2" s="1"/>
  <c r="O909" i="2" s="1"/>
  <c r="O910" i="2" s="1"/>
  <c r="O911" i="2" s="1"/>
  <c r="O912" i="2" s="1"/>
  <c r="O913" i="2" s="1"/>
  <c r="O914" i="2" s="1"/>
  <c r="O915" i="2" s="1"/>
  <c r="O916" i="2" s="1"/>
  <c r="O917" i="2" s="1"/>
  <c r="O918" i="2" s="1"/>
  <c r="O919" i="2" s="1"/>
  <c r="O920" i="2" s="1"/>
  <c r="O921" i="2" s="1"/>
  <c r="O922" i="2" s="1"/>
  <c r="O923" i="2" s="1"/>
  <c r="O924" i="2" s="1"/>
  <c r="O925" i="2" s="1"/>
  <c r="O926" i="2" s="1"/>
  <c r="O927" i="2" s="1"/>
  <c r="O928" i="2" s="1"/>
  <c r="O929" i="2" s="1"/>
  <c r="O930" i="2" s="1"/>
  <c r="O931" i="2" s="1"/>
  <c r="O932" i="2" s="1"/>
  <c r="O933" i="2" s="1"/>
  <c r="O934" i="2" s="1"/>
  <c r="O935" i="2" s="1"/>
  <c r="O936" i="2" s="1"/>
  <c r="O937" i="2" s="1"/>
  <c r="O938" i="2" s="1"/>
  <c r="O939" i="2" s="1"/>
  <c r="O941" i="2" l="1"/>
  <c r="O942" i="2" s="1"/>
  <c r="O943" i="2" s="1"/>
  <c r="O944" i="2" s="1"/>
  <c r="O945" i="2" s="1"/>
  <c r="O946" i="2" s="1"/>
  <c r="O947" i="2" s="1"/>
  <c r="O948" i="2" s="1"/>
  <c r="O949" i="2" s="1"/>
  <c r="O950" i="2" s="1"/>
  <c r="O951" i="2" s="1"/>
  <c r="O952" i="2" s="1"/>
  <c r="O953" i="2" s="1"/>
  <c r="O954" i="2" s="1"/>
  <c r="O955" i="2" s="1"/>
  <c r="O956" i="2" s="1"/>
  <c r="O957" i="2" s="1"/>
  <c r="O958" i="2" s="1"/>
  <c r="O959" i="2" s="1"/>
  <c r="O960" i="2" s="1"/>
  <c r="O961" i="2" s="1"/>
  <c r="O962" i="2" s="1"/>
  <c r="O963" i="2" s="1"/>
  <c r="O964" i="2" s="1"/>
  <c r="O965" i="2" s="1"/>
  <c r="O966" i="2" s="1"/>
  <c r="O967" i="2" s="1"/>
  <c r="O968" i="2" s="1"/>
  <c r="O969" i="2" s="1"/>
  <c r="O970" i="2" s="1"/>
  <c r="O971" i="2" s="1"/>
  <c r="O972" i="2" s="1"/>
  <c r="O973" i="2" s="1"/>
  <c r="O974" i="2" s="1"/>
  <c r="O975" i="2" s="1"/>
  <c r="O976" i="2" s="1"/>
  <c r="O977" i="2" s="1"/>
  <c r="O978" i="2" s="1"/>
  <c r="O979" i="2" s="1"/>
  <c r="O980" i="2" s="1"/>
  <c r="O981" i="2" s="1"/>
  <c r="O982" i="2" s="1"/>
  <c r="O983" i="2" s="1"/>
  <c r="O984" i="2" s="1"/>
  <c r="O985" i="2" s="1"/>
  <c r="O986" i="2" s="1"/>
  <c r="O987" i="2" s="1"/>
  <c r="O988" i="2" s="1"/>
  <c r="O989" i="2" s="1"/>
  <c r="O990" i="2" s="1"/>
  <c r="O991" i="2" s="1"/>
  <c r="O992" i="2" s="1"/>
  <c r="O993" i="2" s="1"/>
  <c r="O994" i="2" s="1"/>
  <c r="O995" i="2" s="1"/>
  <c r="O996" i="2" s="1"/>
  <c r="O997" i="2" s="1"/>
  <c r="O998" i="2" s="1"/>
  <c r="O999" i="2" s="1"/>
  <c r="O1000" i="2" s="1"/>
  <c r="O1001" i="2" s="1"/>
  <c r="O1002" i="2" s="1"/>
  <c r="O1003" i="2" s="1"/>
  <c r="O1004" i="2" s="1"/>
  <c r="O1005" i="2" s="1"/>
  <c r="O1006" i="2" s="1"/>
  <c r="O1007" i="2" s="1"/>
  <c r="O1008" i="2" s="1"/>
  <c r="O1009" i="2" s="1"/>
  <c r="O1010" i="2" s="1"/>
  <c r="O1011" i="2" s="1"/>
  <c r="O1012" i="2" s="1"/>
  <c r="O1013" i="2" s="1"/>
  <c r="O1014" i="2" s="1"/>
  <c r="O1015" i="2" s="1"/>
  <c r="O1016" i="2" s="1"/>
  <c r="O1017" i="2" s="1"/>
  <c r="O1018" i="2" s="1"/>
  <c r="O1019" i="2" s="1"/>
  <c r="O1020" i="2" s="1"/>
  <c r="O1021" i="2" s="1"/>
  <c r="O1022" i="2" s="1"/>
  <c r="O1023" i="2" s="1"/>
  <c r="O1024" i="2" s="1"/>
  <c r="O1025" i="2" s="1"/>
  <c r="O1026" i="2" s="1"/>
  <c r="O1027" i="2" s="1"/>
  <c r="O1028" i="2" s="1"/>
  <c r="O1029" i="2" s="1"/>
  <c r="O1030" i="2" s="1"/>
  <c r="O1031" i="2" s="1"/>
  <c r="O1032" i="2" s="1"/>
  <c r="O1033" i="2" s="1"/>
  <c r="O1034" i="2" s="1"/>
  <c r="O1035" i="2" s="1"/>
  <c r="O1036" i="2" s="1"/>
  <c r="O1037" i="2" s="1"/>
  <c r="O1038" i="2" s="1"/>
  <c r="O1039" i="2" s="1"/>
  <c r="O1040" i="2" s="1"/>
  <c r="O1041" i="2" s="1"/>
  <c r="O1042" i="2" s="1"/>
  <c r="O1043" i="2" s="1"/>
  <c r="O1044" i="2" s="1"/>
  <c r="O1045" i="2" s="1"/>
  <c r="O1046" i="2" s="1"/>
  <c r="O1047" i="2" s="1"/>
  <c r="O1048" i="2" s="1"/>
  <c r="O1049" i="2" s="1"/>
  <c r="O1050" i="2" s="1"/>
  <c r="O1051" i="2" s="1"/>
  <c r="O1052" i="2" s="1"/>
  <c r="O1053" i="2" s="1"/>
  <c r="O1054" i="2" s="1"/>
  <c r="O1055" i="2" s="1"/>
  <c r="O1056" i="2" s="1"/>
  <c r="O1057" i="2" s="1"/>
  <c r="O1058" i="2" s="1"/>
  <c r="O1059" i="2" s="1"/>
  <c r="O1060" i="2" s="1"/>
  <c r="O1061" i="2" s="1"/>
  <c r="O1062" i="2" s="1"/>
  <c r="O1063" i="2" s="1"/>
  <c r="O1064" i="2" s="1"/>
  <c r="O1065" i="2" s="1"/>
  <c r="O1066" i="2" s="1"/>
  <c r="O1067" i="2" s="1"/>
  <c r="O1068" i="2" s="1"/>
  <c r="O1069" i="2" s="1"/>
  <c r="O1070" i="2" s="1"/>
  <c r="O1071" i="2" s="1"/>
  <c r="O1072" i="2" s="1"/>
  <c r="O1073" i="2" s="1"/>
  <c r="O1074" i="2" s="1"/>
  <c r="O1075" i="2" s="1"/>
  <c r="O1076" i="2" s="1"/>
  <c r="O1077" i="2" s="1"/>
  <c r="O1078" i="2" s="1"/>
  <c r="O1079" i="2" s="1"/>
  <c r="O1080" i="2" s="1"/>
  <c r="O1081" i="2" s="1"/>
  <c r="O1082" i="2" s="1"/>
  <c r="O1083" i="2" s="1"/>
  <c r="O1084" i="2" s="1"/>
  <c r="O1085" i="2" s="1"/>
  <c r="O1086" i="2" s="1"/>
  <c r="O1087" i="2" s="1"/>
  <c r="O1088" i="2" s="1"/>
  <c r="O1089" i="2" s="1"/>
  <c r="O1090" i="2" s="1"/>
  <c r="O1091" i="2" s="1"/>
  <c r="O1092" i="2" s="1"/>
  <c r="O1093" i="2" s="1"/>
  <c r="O1094" i="2" s="1"/>
  <c r="O1095" i="2" s="1"/>
  <c r="O1096" i="2" s="1"/>
  <c r="O1097" i="2" s="1"/>
  <c r="O1098" i="2" s="1"/>
  <c r="O1099" i="2" s="1"/>
  <c r="O1100" i="2" s="1"/>
  <c r="O1101" i="2" s="1"/>
  <c r="O1102" i="2" s="1"/>
  <c r="O1103" i="2" s="1"/>
  <c r="O1104" i="2" s="1"/>
  <c r="O1105" i="2" s="1"/>
  <c r="O1106" i="2" s="1"/>
  <c r="O1107" i="2" s="1"/>
  <c r="O1108" i="2" s="1"/>
  <c r="O1109" i="2" s="1"/>
  <c r="O1110" i="2" s="1"/>
  <c r="O1111" i="2" s="1"/>
  <c r="O1112" i="2" s="1"/>
  <c r="O1113" i="2" s="1"/>
  <c r="O1114" i="2" s="1"/>
  <c r="O1115" i="2" s="1"/>
  <c r="O1116" i="2" s="1"/>
  <c r="O1117" i="2" s="1"/>
  <c r="O1118" i="2" s="1"/>
  <c r="O1119" i="2" s="1"/>
  <c r="O1120" i="2" s="1"/>
  <c r="O1121" i="2" s="1"/>
  <c r="O1122" i="2" s="1"/>
  <c r="O1123" i="2" s="1"/>
  <c r="O1124" i="2" s="1"/>
  <c r="O940" i="2"/>
  <c r="O1125" i="2" l="1"/>
  <c r="O1126" i="2"/>
  <c r="O1127" i="2" s="1"/>
  <c r="O1128" i="2" s="1"/>
  <c r="O1129" i="2" s="1"/>
  <c r="O1130" i="2" s="1"/>
  <c r="O1131" i="2" s="1"/>
  <c r="O1132" i="2" s="1"/>
  <c r="O1133" i="2" s="1"/>
  <c r="O1134" i="2" s="1"/>
  <c r="O1135" i="2" s="1"/>
  <c r="O1136" i="2" s="1"/>
  <c r="O1137" i="2" s="1"/>
  <c r="O1138" i="2" s="1"/>
  <c r="O1139" i="2" s="1"/>
  <c r="O1140" i="2" s="1"/>
  <c r="O1141" i="2" s="1"/>
  <c r="O1142" i="2" s="1"/>
  <c r="O1143" i="2" s="1"/>
  <c r="O1144" i="2" s="1"/>
  <c r="O1145" i="2" s="1"/>
  <c r="O1146" i="2" s="1"/>
  <c r="O1147" i="2" s="1"/>
  <c r="O1148" i="2" s="1"/>
  <c r="O1149" i="2" s="1"/>
  <c r="O1150" i="2" s="1"/>
  <c r="O1151" i="2" s="1"/>
  <c r="O1152" i="2" s="1"/>
  <c r="O1153" i="2" s="1"/>
  <c r="O1154" i="2" s="1"/>
  <c r="O1155" i="2" s="1"/>
  <c r="O1156" i="2" s="1"/>
  <c r="O1157" i="2" s="1"/>
  <c r="O1158" i="2" s="1"/>
  <c r="O1159" i="2" s="1"/>
  <c r="O1160" i="2" s="1"/>
  <c r="O1161" i="2" s="1"/>
  <c r="O1162" i="2" s="1"/>
  <c r="O1163" i="2" s="1"/>
  <c r="O1164" i="2" s="1"/>
  <c r="O1165" i="2" s="1"/>
  <c r="O1166" i="2" s="1"/>
  <c r="O1167" i="2" s="1"/>
  <c r="O1168" i="2" s="1"/>
  <c r="O1169" i="2" s="1"/>
  <c r="O1170" i="2" s="1"/>
  <c r="O1171" i="2" s="1"/>
  <c r="O1172" i="2" s="1"/>
  <c r="O1173" i="2" s="1"/>
  <c r="O1174" i="2" s="1"/>
  <c r="O1175" i="2" s="1"/>
  <c r="O1176" i="2" s="1"/>
  <c r="O1177" i="2" s="1"/>
  <c r="O1178" i="2" s="1"/>
  <c r="O1179" i="2" s="1"/>
  <c r="O1180" i="2" s="1"/>
  <c r="O1181" i="2" s="1"/>
  <c r="O1182" i="2" s="1"/>
  <c r="O1183" i="2" s="1"/>
  <c r="O1184" i="2" s="1"/>
  <c r="O1185" i="2" s="1"/>
  <c r="O1186" i="2" s="1"/>
  <c r="O1187" i="2" s="1"/>
  <c r="O1188" i="2" s="1"/>
  <c r="O1189" i="2" s="1"/>
  <c r="O1190" i="2" s="1"/>
  <c r="O1191" i="2" s="1"/>
  <c r="O1192" i="2" s="1"/>
  <c r="O1193" i="2" s="1"/>
  <c r="O1194" i="2" s="1"/>
  <c r="O1195" i="2" s="1"/>
  <c r="O1196" i="2" s="1"/>
  <c r="O1197" i="2" s="1"/>
  <c r="O1198" i="2" s="1"/>
  <c r="O1199" i="2" s="1"/>
  <c r="O1200" i="2" s="1"/>
  <c r="O1201" i="2" s="1"/>
  <c r="O1202" i="2" s="1"/>
  <c r="O1203" i="2" s="1"/>
  <c r="O1204" i="2" s="1"/>
  <c r="O1205" i="2" s="1"/>
  <c r="O1206" i="2" s="1"/>
  <c r="O1207" i="2" s="1"/>
  <c r="O1208" i="2" s="1"/>
  <c r="O1209" i="2" s="1"/>
  <c r="O1210" i="2" s="1"/>
  <c r="O1211" i="2" s="1"/>
  <c r="O1212" i="2" s="1"/>
  <c r="O1213" i="2" s="1"/>
  <c r="O1214" i="2" s="1"/>
  <c r="O1215" i="2" s="1"/>
  <c r="O1216" i="2" s="1"/>
  <c r="O1217" i="2" s="1"/>
  <c r="O1218" i="2" s="1"/>
  <c r="O1219" i="2" s="1"/>
  <c r="O1220" i="2" s="1"/>
  <c r="O1221" i="2" s="1"/>
  <c r="O1222" i="2" s="1"/>
  <c r="O1223" i="2" s="1"/>
  <c r="O1224" i="2" s="1"/>
  <c r="O1225" i="2" s="1"/>
  <c r="O1226" i="2" s="1"/>
  <c r="O1227" i="2" s="1"/>
  <c r="O1228" i="2" s="1"/>
  <c r="O1229" i="2" s="1"/>
  <c r="O1230" i="2" s="1"/>
  <c r="O1231" i="2" s="1"/>
  <c r="O1232" i="2" s="1"/>
  <c r="O1233" i="2" s="1"/>
  <c r="O1234" i="2" s="1"/>
  <c r="O1235" i="2" s="1"/>
  <c r="O1236" i="2" s="1"/>
  <c r="O1237" i="2" s="1"/>
  <c r="O1238" i="2" s="1"/>
  <c r="O1239" i="2" s="1"/>
  <c r="O1240" i="2" s="1"/>
  <c r="O1241" i="2" s="1"/>
  <c r="O1242" i="2" s="1"/>
  <c r="O1243" i="2" s="1"/>
  <c r="O1244" i="2" s="1"/>
  <c r="O1245" i="2" s="1"/>
  <c r="O1246" i="2" s="1"/>
  <c r="O1247" i="2" s="1"/>
  <c r="O1248" i="2" s="1"/>
  <c r="O1249" i="2" s="1"/>
  <c r="O1250" i="2" s="1"/>
  <c r="O1251" i="2" s="1"/>
  <c r="O1252" i="2" s="1"/>
  <c r="O1253" i="2" s="1"/>
  <c r="O1254" i="2" s="1"/>
  <c r="O1255" i="2" s="1"/>
  <c r="O1256" i="2" s="1"/>
  <c r="O1257" i="2" s="1"/>
  <c r="O1258" i="2" s="1"/>
  <c r="O1259" i="2" s="1"/>
  <c r="O1260" i="2" s="1"/>
  <c r="O1261" i="2" s="1"/>
  <c r="O1262" i="2" l="1"/>
  <c r="O1263" i="2"/>
  <c r="O1264" i="2" s="1"/>
  <c r="O1265" i="2" s="1"/>
  <c r="O1266" i="2" s="1"/>
  <c r="O1267" i="2" s="1"/>
  <c r="O1268" i="2" s="1"/>
  <c r="O1269" i="2" s="1"/>
  <c r="O1270" i="2" s="1"/>
  <c r="O1271" i="2" l="1"/>
  <c r="O1272" i="2"/>
  <c r="O1273" i="2" s="1"/>
  <c r="O1274" i="2" s="1"/>
  <c r="O1275" i="2" s="1"/>
  <c r="O1276" i="2" s="1"/>
  <c r="O1277" i="2" s="1"/>
  <c r="O1278" i="2" s="1"/>
  <c r="O1279" i="2" s="1"/>
  <c r="O1280" i="2" s="1"/>
  <c r="O1281" i="2" s="1"/>
  <c r="O1282" i="2" s="1"/>
  <c r="O1283" i="2" s="1"/>
  <c r="O1284" i="2" s="1"/>
  <c r="O1285" i="2" s="1"/>
  <c r="O1286" i="2" s="1"/>
  <c r="O1287" i="2" s="1"/>
  <c r="O1288" i="2" s="1"/>
  <c r="O1289" i="2" s="1"/>
  <c r="O1290" i="2" s="1"/>
  <c r="O1291" i="2" s="1"/>
  <c r="O1292" i="2" s="1"/>
  <c r="O1293" i="2" s="1"/>
  <c r="O1294" i="2" s="1"/>
  <c r="O1295" i="2" s="1"/>
  <c r="O1296" i="2" s="1"/>
  <c r="O1297" i="2" s="1"/>
  <c r="O1298" i="2" s="1"/>
  <c r="O1299" i="2" s="1"/>
  <c r="O1300" i="2" s="1"/>
  <c r="O1301" i="2" s="1"/>
  <c r="O1302" i="2" s="1"/>
  <c r="O1303" i="2" s="1"/>
  <c r="O1304" i="2" s="1"/>
  <c r="O1305" i="2" s="1"/>
  <c r="O1306" i="2" s="1"/>
  <c r="O1307" i="2" s="1"/>
  <c r="O1308" i="2" s="1"/>
  <c r="O1309" i="2" s="1"/>
  <c r="O1310" i="2" s="1"/>
  <c r="O1311" i="2" s="1"/>
  <c r="O1312" i="2" s="1"/>
  <c r="O1313" i="2" s="1"/>
  <c r="O1314" i="2" s="1"/>
  <c r="O1315" i="2" s="1"/>
  <c r="O1316" i="2" s="1"/>
  <c r="O1317" i="2" s="1"/>
  <c r="O1318" i="2" s="1"/>
  <c r="O1319" i="2" s="1"/>
  <c r="O1320" i="2" s="1"/>
  <c r="O1321" i="2" s="1"/>
  <c r="O1322" i="2" s="1"/>
  <c r="O1323" i="2" s="1"/>
  <c r="O1324" i="2" s="1"/>
  <c r="O1325" i="2" s="1"/>
  <c r="O1326" i="2" s="1"/>
  <c r="O1327" i="2" s="1"/>
  <c r="O1328" i="2" s="1"/>
  <c r="O1329" i="2" s="1"/>
  <c r="O1330" i="2" s="1"/>
  <c r="O1331" i="2" s="1"/>
  <c r="O1332" i="2" s="1"/>
  <c r="O1333" i="2" s="1"/>
  <c r="O1334" i="2" s="1"/>
  <c r="O1335" i="2" s="1"/>
  <c r="O1336" i="2" s="1"/>
  <c r="O1337" i="2" s="1"/>
  <c r="O1338" i="2" s="1"/>
  <c r="O1339" i="2" s="1"/>
  <c r="O1340" i="2" s="1"/>
  <c r="O1341" i="2" s="1"/>
  <c r="O1342" i="2" s="1"/>
  <c r="O1343" i="2" s="1"/>
  <c r="O1344" i="2" s="1"/>
  <c r="O1345" i="2" s="1"/>
  <c r="O1346" i="2" s="1"/>
  <c r="O1347" i="2" s="1"/>
  <c r="O1348" i="2" s="1"/>
  <c r="O1349" i="2" s="1"/>
  <c r="O1350" i="2" s="1"/>
  <c r="O1351" i="2" s="1"/>
  <c r="O1352" i="2" s="1"/>
  <c r="O1353" i="2" s="1"/>
  <c r="O1354" i="2" s="1"/>
  <c r="O1355" i="2" s="1"/>
  <c r="O1356" i="2" s="1"/>
  <c r="O1357" i="2" s="1"/>
  <c r="O1358" i="2" s="1"/>
  <c r="O1359" i="2" s="1"/>
  <c r="O1360" i="2" s="1"/>
  <c r="O1361" i="2" s="1"/>
  <c r="O1362" i="2" s="1"/>
  <c r="O1363" i="2" s="1"/>
  <c r="O1364" i="2" s="1"/>
  <c r="O1365" i="2" s="1"/>
  <c r="O1366" i="2" s="1"/>
  <c r="O1367" i="2" s="1"/>
  <c r="O1368" i="2" s="1"/>
  <c r="O1369" i="2" s="1"/>
  <c r="O1370" i="2" s="1"/>
  <c r="O1371" i="2" s="1"/>
  <c r="O1372" i="2" s="1"/>
  <c r="O1373" i="2" s="1"/>
  <c r="O1374" i="2" s="1"/>
  <c r="O1375" i="2" s="1"/>
  <c r="O1376" i="2" s="1"/>
  <c r="O1377" i="2" s="1"/>
  <c r="O1378" i="2" s="1"/>
  <c r="O1379" i="2" s="1"/>
  <c r="O1380" i="2" s="1"/>
  <c r="O1381" i="2" s="1"/>
  <c r="O1382" i="2" s="1"/>
  <c r="O1383" i="2" s="1"/>
  <c r="O1384" i="2" s="1"/>
  <c r="O1385" i="2" s="1"/>
  <c r="O1386" i="2" s="1"/>
  <c r="O1387" i="2" s="1"/>
  <c r="O1388" i="2" s="1"/>
  <c r="O1389" i="2" s="1"/>
  <c r="O1390" i="2" s="1"/>
  <c r="O1391" i="2" s="1"/>
  <c r="O1392" i="2" s="1"/>
  <c r="O1393" i="2" s="1"/>
  <c r="O1394" i="2" s="1"/>
  <c r="O1395" i="2" s="1"/>
  <c r="O1396" i="2" s="1"/>
  <c r="O1397" i="2" s="1"/>
  <c r="O1398" i="2" s="1"/>
  <c r="O1399" i="2" s="1"/>
  <c r="O1400" i="2" s="1"/>
  <c r="O1401" i="2" s="1"/>
  <c r="O1402" i="2" s="1"/>
  <c r="O1403" i="2" s="1"/>
  <c r="O1404" i="2" s="1"/>
  <c r="O1405" i="2" s="1"/>
  <c r="O1406" i="2" s="1"/>
  <c r="O1407" i="2" s="1"/>
  <c r="O1408" i="2" s="1"/>
  <c r="O1409" i="2" s="1"/>
  <c r="O1410" i="2" s="1"/>
  <c r="O1411" i="2" s="1"/>
  <c r="O1412" i="2" s="1"/>
  <c r="O1413" i="2" s="1"/>
  <c r="O1414" i="2" s="1"/>
  <c r="O1415" i="2" s="1"/>
  <c r="O1416" i="2" s="1"/>
  <c r="O1417" i="2" s="1"/>
  <c r="O1418" i="2" s="1"/>
  <c r="O1419" i="2" s="1"/>
  <c r="O1420" i="2" s="1"/>
  <c r="O1421" i="2" s="1"/>
  <c r="O1422" i="2" s="1"/>
  <c r="O1423" i="2" s="1"/>
  <c r="O1424" i="2" s="1"/>
  <c r="O1425" i="2" s="1"/>
  <c r="O1426" i="2" s="1"/>
  <c r="O1427" i="2" s="1"/>
  <c r="O1428" i="2" s="1"/>
  <c r="O1429" i="2" s="1"/>
  <c r="O1430" i="2" s="1"/>
  <c r="O1431" i="2" s="1"/>
  <c r="O1432" i="2" s="1"/>
  <c r="O1433" i="2" s="1"/>
  <c r="O1434" i="2" s="1"/>
  <c r="O1435" i="2" s="1"/>
  <c r="O1436" i="2" s="1"/>
  <c r="O1437" i="2" s="1"/>
  <c r="O1438" i="2" s="1"/>
  <c r="O1439" i="2" s="1"/>
  <c r="O1440" i="2" s="1"/>
  <c r="O1441" i="2" s="1"/>
  <c r="O1442" i="2" s="1"/>
  <c r="O1443" i="2" s="1"/>
  <c r="O1444" i="2" s="1"/>
  <c r="O1445" i="2" s="1"/>
  <c r="O1446" i="2" s="1"/>
  <c r="O1447" i="2" s="1"/>
  <c r="O1448" i="2" s="1"/>
  <c r="O1449" i="2" s="1"/>
  <c r="O1450" i="2" s="1"/>
  <c r="O1451" i="2" s="1"/>
  <c r="O1452" i="2" s="1"/>
  <c r="O1453" i="2" s="1"/>
  <c r="O1454" i="2" s="1"/>
  <c r="O1455" i="2" s="1"/>
  <c r="O1456" i="2" s="1"/>
  <c r="O1457" i="2" s="1"/>
  <c r="O1458" i="2" s="1"/>
  <c r="O1459" i="2" s="1"/>
  <c r="O1460" i="2" s="1"/>
  <c r="O1461" i="2" s="1"/>
  <c r="O1462" i="2" s="1"/>
  <c r="O1463" i="2" s="1"/>
  <c r="O1464" i="2" s="1"/>
  <c r="O1465" i="2" s="1"/>
  <c r="O1466" i="2" s="1"/>
  <c r="O1467" i="2" s="1"/>
  <c r="O1468" i="2" s="1"/>
  <c r="O1469" i="2" s="1"/>
  <c r="O1470" i="2" s="1"/>
  <c r="O1471" i="2" s="1"/>
  <c r="O1472" i="2" s="1"/>
  <c r="O1473" i="2" s="1"/>
  <c r="O1474" i="2" s="1"/>
  <c r="O1475" i="2" s="1"/>
  <c r="O1476" i="2" s="1"/>
  <c r="O1477" i="2" s="1"/>
  <c r="O1478" i="2" s="1"/>
  <c r="O1479" i="2" s="1"/>
  <c r="O1480" i="2" s="1"/>
  <c r="O1481" i="2" s="1"/>
  <c r="O1482" i="2" s="1"/>
  <c r="O1483" i="2" s="1"/>
  <c r="O1484" i="2" s="1"/>
  <c r="O1485" i="2" s="1"/>
  <c r="O1486" i="2" s="1"/>
  <c r="O1487" i="2" s="1"/>
  <c r="O1488" i="2" s="1"/>
  <c r="O1489" i="2" s="1"/>
  <c r="O1490" i="2" s="1"/>
  <c r="O1491" i="2" s="1"/>
  <c r="O1492" i="2" s="1"/>
  <c r="O1493" i="2" s="1"/>
  <c r="O1494" i="2" s="1"/>
  <c r="O1495" i="2" s="1"/>
  <c r="O1496" i="2" s="1"/>
  <c r="O1497" i="2" s="1"/>
  <c r="O1498" i="2" s="1"/>
  <c r="O1499" i="2" s="1"/>
  <c r="O1500" i="2" s="1"/>
  <c r="O1501" i="2" s="1"/>
  <c r="O1502" i="2" s="1"/>
  <c r="O1503" i="2" s="1"/>
  <c r="O1504" i="2" s="1"/>
  <c r="O1505" i="2" s="1"/>
  <c r="O1506" i="2" s="1"/>
  <c r="O1507" i="2" s="1"/>
  <c r="O1508" i="2" s="1"/>
  <c r="O1509" i="2" s="1"/>
  <c r="O1510" i="2" s="1"/>
  <c r="O1511" i="2" s="1"/>
  <c r="O1512" i="2" s="1"/>
  <c r="O1513" i="2" s="1"/>
  <c r="O1514" i="2" s="1"/>
  <c r="O1515" i="2" s="1"/>
  <c r="O1516" i="2" s="1"/>
  <c r="O1517" i="2" s="1"/>
  <c r="O1518" i="2" s="1"/>
  <c r="O1519" i="2" s="1"/>
  <c r="O1520" i="2" s="1"/>
  <c r="O1521" i="2" s="1"/>
  <c r="O1522" i="2" s="1"/>
  <c r="O1523" i="2" s="1"/>
  <c r="O1524" i="2" s="1"/>
  <c r="O1525" i="2" s="1"/>
  <c r="O1526" i="2" s="1"/>
  <c r="O1527" i="2" s="1"/>
  <c r="O1528" i="2" s="1"/>
  <c r="O1529" i="2" s="1"/>
  <c r="O1530" i="2" s="1"/>
  <c r="O1531" i="2" s="1"/>
  <c r="O1532" i="2" s="1"/>
  <c r="O1533" i="2" s="1"/>
  <c r="O1534" i="2" s="1"/>
  <c r="O1535" i="2" s="1"/>
  <c r="O1536" i="2" s="1"/>
  <c r="O1537" i="2" s="1"/>
  <c r="O1538" i="2" s="1"/>
  <c r="O1539" i="2" s="1"/>
  <c r="O1540" i="2" s="1"/>
  <c r="O1541" i="2" s="1"/>
  <c r="O1542" i="2" s="1"/>
  <c r="O1543" i="2" s="1"/>
  <c r="O1544" i="2" s="1"/>
  <c r="O1545" i="2" s="1"/>
  <c r="O1546" i="2" s="1"/>
  <c r="O1547" i="2" s="1"/>
  <c r="O1548" i="2" s="1"/>
  <c r="O1549" i="2" s="1"/>
  <c r="O1550" i="2" s="1"/>
  <c r="O1551" i="2" s="1"/>
  <c r="O1552" i="2" s="1"/>
  <c r="O1553" i="2" s="1"/>
  <c r="O1554" i="2" s="1"/>
  <c r="O1555" i="2" s="1"/>
  <c r="O1556" i="2" s="1"/>
  <c r="O1557" i="2" s="1"/>
  <c r="O1558" i="2" s="1"/>
  <c r="O1559" i="2" s="1"/>
  <c r="O1560" i="2" s="1"/>
  <c r="O1561" i="2" s="1"/>
  <c r="O1562" i="2" s="1"/>
  <c r="O1563" i="2" s="1"/>
  <c r="O1564" i="2" s="1"/>
  <c r="O1565" i="2" s="1"/>
  <c r="O1566" i="2" s="1"/>
  <c r="O1567" i="2" s="1"/>
  <c r="O1568" i="2" s="1"/>
  <c r="O1569" i="2" s="1"/>
  <c r="O1570" i="2" s="1"/>
  <c r="O1571" i="2" s="1"/>
  <c r="O1572" i="2" s="1"/>
  <c r="O1573" i="2" s="1"/>
  <c r="O1574" i="2" s="1"/>
  <c r="O1575" i="2" s="1"/>
  <c r="O1576" i="2" s="1"/>
  <c r="O1577" i="2" s="1"/>
  <c r="O1578" i="2" s="1"/>
  <c r="O1579" i="2" s="1"/>
  <c r="O1580" i="2" s="1"/>
  <c r="O1581" i="2" s="1"/>
  <c r="O1582" i="2" s="1"/>
  <c r="O1583" i="2" s="1"/>
  <c r="O1584" i="2" s="1"/>
  <c r="O1585" i="2" s="1"/>
  <c r="O1586" i="2" s="1"/>
  <c r="O1587" i="2" s="1"/>
  <c r="O1588" i="2" s="1"/>
  <c r="O1589" i="2" s="1"/>
  <c r="O1590" i="2" s="1"/>
  <c r="O1591" i="2" s="1"/>
  <c r="O1592" i="2" s="1"/>
  <c r="O1593" i="2" s="1"/>
  <c r="O1594" i="2" s="1"/>
  <c r="O1595" i="2" s="1"/>
  <c r="O1596" i="2" s="1"/>
  <c r="O1597" i="2" s="1"/>
  <c r="O1598" i="2" s="1"/>
  <c r="O1599" i="2" s="1"/>
  <c r="O1600" i="2" s="1"/>
  <c r="O1601" i="2" s="1"/>
  <c r="O1602" i="2" s="1"/>
  <c r="O1603" i="2" s="1"/>
  <c r="O1604" i="2" s="1"/>
  <c r="O1605" i="2" s="1"/>
  <c r="O1606" i="2" s="1"/>
  <c r="O1607" i="2" s="1"/>
  <c r="O1608" i="2" s="1"/>
  <c r="O1609" i="2" s="1"/>
  <c r="O1610" i="2" s="1"/>
  <c r="O1611" i="2" s="1"/>
  <c r="O1612" i="2" s="1"/>
  <c r="O1613" i="2" s="1"/>
  <c r="O1614" i="2" s="1"/>
  <c r="O1615" i="2" s="1"/>
  <c r="O1616" i="2" s="1"/>
  <c r="O1617" i="2" s="1"/>
  <c r="O1618" i="2" s="1"/>
  <c r="O1619" i="2" s="1"/>
  <c r="O1620" i="2" s="1"/>
  <c r="O1621" i="2" s="1"/>
  <c r="O1622" i="2" s="1"/>
  <c r="O1623" i="2" s="1"/>
  <c r="O1624" i="2" s="1"/>
  <c r="O1625" i="2" s="1"/>
  <c r="O1626" i="2" s="1"/>
  <c r="O1627" i="2" s="1"/>
  <c r="O1628" i="2" s="1"/>
  <c r="O1629" i="2" s="1"/>
  <c r="O1630" i="2" s="1"/>
  <c r="O1631" i="2" s="1"/>
  <c r="O1632" i="2" s="1"/>
  <c r="O1633" i="2" s="1"/>
  <c r="O1634" i="2" s="1"/>
  <c r="O1635" i="2" s="1"/>
  <c r="O1636" i="2" s="1"/>
  <c r="O1637" i="2" s="1"/>
  <c r="O1638" i="2" s="1"/>
  <c r="O1639" i="2" s="1"/>
  <c r="O1640" i="2" s="1"/>
  <c r="O1641" i="2" s="1"/>
  <c r="O1642" i="2" s="1"/>
  <c r="O1643" i="2" s="1"/>
  <c r="O1644" i="2" s="1"/>
  <c r="O1645" i="2" s="1"/>
  <c r="O1646" i="2" s="1"/>
  <c r="O1647" i="2" s="1"/>
  <c r="O1648" i="2" s="1"/>
  <c r="O1649" i="2" s="1"/>
  <c r="O1650" i="2" s="1"/>
  <c r="O1651" i="2" s="1"/>
  <c r="O1652" i="2" s="1"/>
  <c r="O1653" i="2" s="1"/>
  <c r="O1654" i="2" s="1"/>
  <c r="O1655" i="2" s="1"/>
  <c r="O1656" i="2" s="1"/>
  <c r="O1657" i="2" s="1"/>
  <c r="O1658" i="2" s="1"/>
  <c r="O1659" i="2" s="1"/>
  <c r="O1660" i="2" s="1"/>
  <c r="O1661" i="2" s="1"/>
  <c r="O1662" i="2" s="1"/>
  <c r="O1663" i="2" s="1"/>
  <c r="O1664" i="2" s="1"/>
  <c r="O1665" i="2" s="1"/>
  <c r="O1666" i="2" s="1"/>
  <c r="O1667" i="2" s="1"/>
  <c r="O1668" i="2" s="1"/>
  <c r="O1669" i="2" s="1"/>
  <c r="O1670" i="2" s="1"/>
  <c r="O1671" i="2" s="1"/>
  <c r="O1672" i="2" s="1"/>
  <c r="O1673" i="2" s="1"/>
  <c r="O1674" i="2" s="1"/>
  <c r="O1675" i="2" s="1"/>
  <c r="O1676" i="2" s="1"/>
  <c r="O1677" i="2" s="1"/>
  <c r="O1678" i="2" s="1"/>
  <c r="O1679" i="2" s="1"/>
  <c r="O1680" i="2" s="1"/>
  <c r="O1681" i="2" s="1"/>
  <c r="O1682" i="2" s="1"/>
  <c r="O1683" i="2" s="1"/>
  <c r="O1684" i="2" s="1"/>
  <c r="O1685" i="2" s="1"/>
  <c r="O1686" i="2" s="1"/>
  <c r="O1687" i="2" s="1"/>
  <c r="O1688" i="2" s="1"/>
  <c r="O1689" i="2" s="1"/>
  <c r="O1690" i="2" s="1"/>
  <c r="O1691" i="2" s="1"/>
  <c r="O1692" i="2" s="1"/>
  <c r="O1693" i="2" s="1"/>
  <c r="O1694" i="2" s="1"/>
  <c r="O1695" i="2" s="1"/>
  <c r="O1696" i="2" s="1"/>
  <c r="O1697" i="2" s="1"/>
  <c r="O1698" i="2" s="1"/>
  <c r="O1699" i="2" s="1"/>
  <c r="O1700" i="2" s="1"/>
  <c r="O1701" i="2" s="1"/>
  <c r="O1702" i="2" s="1"/>
  <c r="O1703" i="2" s="1"/>
  <c r="O1704" i="2" s="1"/>
  <c r="O1705" i="2" s="1"/>
  <c r="O1706" i="2" s="1"/>
  <c r="O1707" i="2" s="1"/>
  <c r="O1708" i="2" s="1"/>
  <c r="O1709" i="2" s="1"/>
  <c r="O1710" i="2" s="1"/>
  <c r="O1711" i="2" s="1"/>
  <c r="O1712" i="2" s="1"/>
  <c r="O1713" i="2" s="1"/>
  <c r="O1714" i="2" s="1"/>
  <c r="O1715" i="2" s="1"/>
  <c r="O1716" i="2" s="1"/>
  <c r="O1717" i="2" s="1"/>
  <c r="O1718" i="2" s="1"/>
  <c r="O1719" i="2" s="1"/>
  <c r="O1720" i="2" s="1"/>
  <c r="O1721" i="2" s="1"/>
  <c r="O1722" i="2" s="1"/>
  <c r="O1723" i="2" s="1"/>
  <c r="O1724" i="2" s="1"/>
  <c r="O1725" i="2" s="1"/>
  <c r="O1726" i="2" s="1"/>
  <c r="O1727" i="2" s="1"/>
  <c r="O1728" i="2" s="1"/>
  <c r="O1729" i="2" s="1"/>
  <c r="O1730" i="2" s="1"/>
  <c r="O1731" i="2" s="1"/>
  <c r="O1732" i="2" s="1"/>
  <c r="O1733" i="2" s="1"/>
  <c r="O1734" i="2" s="1"/>
  <c r="O1735" i="2" s="1"/>
  <c r="O1736" i="2" s="1"/>
  <c r="O1737" i="2" s="1"/>
  <c r="O1738" i="2" s="1"/>
  <c r="O1739" i="2" s="1"/>
  <c r="O1740" i="2" s="1"/>
  <c r="O1741" i="2" s="1"/>
  <c r="O1742" i="2" s="1"/>
  <c r="O1743" i="2" s="1"/>
  <c r="O1744" i="2" s="1"/>
  <c r="O1745" i="2" s="1"/>
  <c r="O1746" i="2" s="1"/>
  <c r="O1747" i="2" s="1"/>
  <c r="O1748" i="2" s="1"/>
  <c r="O1749" i="2" s="1"/>
  <c r="O1750" i="2" s="1"/>
  <c r="O1751" i="2" s="1"/>
  <c r="O1752" i="2" s="1"/>
  <c r="O1753" i="2" s="1"/>
  <c r="O1754" i="2" s="1"/>
  <c r="O1755" i="2" s="1"/>
  <c r="O1756" i="2" s="1"/>
  <c r="O1757" i="2" s="1"/>
  <c r="O1758" i="2" s="1"/>
  <c r="O1759" i="2" s="1"/>
  <c r="O1760" i="2" s="1"/>
  <c r="O1761" i="2" s="1"/>
  <c r="O1762" i="2" s="1"/>
  <c r="O1763" i="2" s="1"/>
  <c r="O1764" i="2" s="1"/>
  <c r="O1765" i="2" s="1"/>
  <c r="O1766" i="2" s="1"/>
  <c r="O1767" i="2" s="1"/>
  <c r="O1768" i="2" s="1"/>
  <c r="O1769" i="2" s="1"/>
  <c r="O1770" i="2" s="1"/>
  <c r="O1771" i="2" s="1"/>
  <c r="O1772" i="2" s="1"/>
  <c r="O1773" i="2" s="1"/>
  <c r="O1774" i="2" s="1"/>
  <c r="O1775" i="2" s="1"/>
  <c r="O1776" i="2" s="1"/>
  <c r="O1777" i="2" s="1"/>
  <c r="O1778" i="2" s="1"/>
  <c r="O1779" i="2" s="1"/>
  <c r="O1780" i="2" s="1"/>
  <c r="O1781" i="2" s="1"/>
  <c r="O1782" i="2" s="1"/>
  <c r="O1783" i="2" s="1"/>
  <c r="O1784" i="2" s="1"/>
  <c r="O1785" i="2" s="1"/>
  <c r="O1786" i="2" s="1"/>
  <c r="O1787" i="2" s="1"/>
  <c r="O1788" i="2" s="1"/>
  <c r="O1789" i="2" s="1"/>
  <c r="O1790" i="2" s="1"/>
  <c r="O1791" i="2" s="1"/>
  <c r="O1792" i="2" s="1"/>
  <c r="O1793" i="2" s="1"/>
  <c r="O1794" i="2" s="1"/>
  <c r="O1795" i="2" s="1"/>
  <c r="O1796" i="2" s="1"/>
  <c r="O1797" i="2" s="1"/>
  <c r="O1798" i="2" s="1"/>
  <c r="O1799" i="2" s="1"/>
  <c r="O1800" i="2" s="1"/>
  <c r="O1801" i="2" s="1"/>
  <c r="O1802" i="2" s="1"/>
  <c r="O1803" i="2" s="1"/>
  <c r="O1804" i="2" s="1"/>
  <c r="O1805" i="2" s="1"/>
  <c r="O1806" i="2" s="1"/>
  <c r="O1807" i="2" s="1"/>
  <c r="O1808" i="2" s="1"/>
  <c r="O1809" i="2" s="1"/>
  <c r="O1810" i="2" s="1"/>
  <c r="O1811" i="2" s="1"/>
  <c r="O1812" i="2" s="1"/>
  <c r="O1813" i="2" s="1"/>
  <c r="O1814" i="2" s="1"/>
  <c r="O1815" i="2" s="1"/>
  <c r="O1816" i="2" s="1"/>
  <c r="O1817" i="2" s="1"/>
  <c r="O1818" i="2" s="1"/>
  <c r="O1819" i="2" s="1"/>
  <c r="O1820" i="2" s="1"/>
  <c r="O1821" i="2" s="1"/>
  <c r="O1822" i="2" s="1"/>
  <c r="O1823" i="2" s="1"/>
  <c r="O1824" i="2" s="1"/>
  <c r="O1825" i="2" s="1"/>
  <c r="O1826" i="2" s="1"/>
  <c r="O1827" i="2" s="1"/>
  <c r="O1828" i="2" s="1"/>
  <c r="O1829" i="2" s="1"/>
  <c r="O1830" i="2" s="1"/>
  <c r="O1831" i="2" s="1"/>
  <c r="O1832" i="2" s="1"/>
  <c r="O1833" i="2" s="1"/>
  <c r="O1834" i="2" s="1"/>
  <c r="O1835" i="2" s="1"/>
  <c r="O1836" i="2" s="1"/>
  <c r="O1837" i="2" s="1"/>
  <c r="O1838" i="2" s="1"/>
  <c r="O1839" i="2" s="1"/>
  <c r="O1840" i="2" s="1"/>
  <c r="O1841" i="2" s="1"/>
  <c r="O1842" i="2" s="1"/>
  <c r="O1843" i="2" s="1"/>
  <c r="O1844" i="2" s="1"/>
  <c r="O1845" i="2" s="1"/>
  <c r="O1846" i="2" s="1"/>
  <c r="O1847" i="2" s="1"/>
  <c r="O1848" i="2" s="1"/>
  <c r="O1849" i="2" s="1"/>
  <c r="O1850" i="2" s="1"/>
  <c r="O1851" i="2" s="1"/>
  <c r="O1852" i="2" s="1"/>
  <c r="O1853" i="2" s="1"/>
  <c r="O1854" i="2" s="1"/>
  <c r="O1855" i="2" s="1"/>
  <c r="O1856" i="2" s="1"/>
  <c r="O1857" i="2" s="1"/>
  <c r="O1858" i="2" s="1"/>
  <c r="O1859" i="2" s="1"/>
  <c r="O1860" i="2" s="1"/>
  <c r="O1861" i="2" s="1"/>
  <c r="O1862" i="2" s="1"/>
  <c r="O1863" i="2" s="1"/>
  <c r="O1864" i="2" s="1"/>
  <c r="O1865" i="2" s="1"/>
  <c r="O1866" i="2" s="1"/>
  <c r="O1867" i="2" s="1"/>
  <c r="O1868" i="2" s="1"/>
  <c r="O1869" i="2" s="1"/>
  <c r="O1870" i="2" s="1"/>
  <c r="O1871" i="2" s="1"/>
  <c r="O1872" i="2" s="1"/>
  <c r="O1873" i="2" s="1"/>
  <c r="O1874" i="2" s="1"/>
  <c r="O1875" i="2" s="1"/>
  <c r="O1876" i="2" s="1"/>
  <c r="O1877" i="2" s="1"/>
  <c r="O1878" i="2" s="1"/>
  <c r="O1879" i="2" s="1"/>
  <c r="O1880" i="2" s="1"/>
  <c r="O1881" i="2" s="1"/>
  <c r="O1882" i="2" s="1"/>
  <c r="O1883" i="2" s="1"/>
  <c r="O1884" i="2" s="1"/>
  <c r="O1885" i="2" s="1"/>
  <c r="O1886" i="2" s="1"/>
  <c r="O1887" i="2" s="1"/>
  <c r="O1888" i="2" s="1"/>
  <c r="O1889" i="2" s="1"/>
  <c r="O1890" i="2" s="1"/>
  <c r="O1891" i="2" s="1"/>
  <c r="O1892" i="2" s="1"/>
  <c r="O1893" i="2" s="1"/>
  <c r="O1894" i="2" s="1"/>
  <c r="O1895" i="2" s="1"/>
  <c r="O1896" i="2" s="1"/>
  <c r="O1897" i="2" s="1"/>
  <c r="O1898" i="2" s="1"/>
  <c r="O1899" i="2" s="1"/>
  <c r="O1900" i="2" s="1"/>
  <c r="O1901" i="2" s="1"/>
  <c r="O1902" i="2" s="1"/>
  <c r="O1903" i="2" s="1"/>
  <c r="O1904" i="2" s="1"/>
  <c r="O1905" i="2" s="1"/>
  <c r="O1906" i="2" s="1"/>
  <c r="O1907" i="2" s="1"/>
  <c r="O1908" i="2" s="1"/>
  <c r="O1909" i="2" s="1"/>
  <c r="O1910" i="2" s="1"/>
  <c r="O1911" i="2" s="1"/>
  <c r="O1912" i="2" s="1"/>
  <c r="O1913" i="2" s="1"/>
  <c r="O1914" i="2" s="1"/>
  <c r="O1915" i="2" s="1"/>
  <c r="O1916" i="2" s="1"/>
  <c r="O1917" i="2" s="1"/>
  <c r="O1918" i="2" s="1"/>
  <c r="O1919" i="2" s="1"/>
  <c r="O1920" i="2" s="1"/>
  <c r="O1921" i="2" s="1"/>
  <c r="O1922" i="2" s="1"/>
  <c r="O1923" i="2" s="1"/>
  <c r="O1924" i="2" s="1"/>
  <c r="O1925" i="2" s="1"/>
  <c r="O1926" i="2" s="1"/>
  <c r="O1927" i="2" s="1"/>
  <c r="O1928" i="2" s="1"/>
  <c r="O1929" i="2" s="1"/>
  <c r="O1930" i="2" s="1"/>
  <c r="O1931" i="2" s="1"/>
  <c r="O1932" i="2" s="1"/>
  <c r="O1933" i="2" s="1"/>
  <c r="O1934" i="2" s="1"/>
  <c r="O1935" i="2" s="1"/>
  <c r="O1936" i="2" s="1"/>
  <c r="O1937" i="2" s="1"/>
  <c r="O1938" i="2" s="1"/>
  <c r="O1939" i="2" s="1"/>
  <c r="O1940" i="2" s="1"/>
  <c r="O1941" i="2" s="1"/>
  <c r="O1942" i="2" s="1"/>
  <c r="O1943" i="2" s="1"/>
  <c r="O1944" i="2" s="1"/>
  <c r="O1945" i="2" s="1"/>
  <c r="O1946" i="2" s="1"/>
  <c r="O1947" i="2" s="1"/>
  <c r="O1948" i="2" s="1"/>
  <c r="O1949" i="2" s="1"/>
  <c r="O1950" i="2" s="1"/>
  <c r="O1951" i="2" s="1"/>
  <c r="O1952" i="2" s="1"/>
  <c r="O1953" i="2" s="1"/>
  <c r="O1954" i="2" s="1"/>
  <c r="O1955" i="2" s="1"/>
  <c r="O1956" i="2" s="1"/>
  <c r="O1957" i="2" s="1"/>
  <c r="O1958" i="2" s="1"/>
  <c r="O1959" i="2" s="1"/>
  <c r="O1960" i="2" s="1"/>
  <c r="O1961" i="2" s="1"/>
  <c r="O1962" i="2" s="1"/>
  <c r="O1963" i="2" s="1"/>
  <c r="O1964" i="2" s="1"/>
  <c r="O1965" i="2" s="1"/>
  <c r="O1966" i="2" s="1"/>
  <c r="O1967" i="2" s="1"/>
  <c r="O1968" i="2" s="1"/>
  <c r="O1969" i="2" s="1"/>
  <c r="O1970" i="2" s="1"/>
  <c r="O1971" i="2" s="1"/>
  <c r="O1972" i="2" s="1"/>
  <c r="O1973" i="2" s="1"/>
  <c r="O1974" i="2" s="1"/>
  <c r="O1975" i="2" s="1"/>
  <c r="O1976" i="2" s="1"/>
  <c r="O1977" i="2" s="1"/>
  <c r="O1978" i="2" s="1"/>
  <c r="O1979" i="2" s="1"/>
  <c r="O1980" i="2" s="1"/>
  <c r="O1981" i="2" s="1"/>
  <c r="O1982" i="2" s="1"/>
  <c r="O1983" i="2" s="1"/>
  <c r="O1984" i="2" s="1"/>
  <c r="O1985" i="2" s="1"/>
  <c r="O1986" i="2" s="1"/>
  <c r="O1987" i="2" s="1"/>
  <c r="O1988" i="2" s="1"/>
  <c r="O1989" i="2" s="1"/>
  <c r="O1990" i="2" s="1"/>
  <c r="O1991" i="2" s="1"/>
  <c r="O1992" i="2" s="1"/>
  <c r="O1993" i="2" s="1"/>
  <c r="O1994" i="2" s="1"/>
  <c r="O1995" i="2" s="1"/>
  <c r="O1996" i="2" s="1"/>
  <c r="O1997" i="2" s="1"/>
  <c r="O1998" i="2" s="1"/>
  <c r="O1999" i="2" s="1"/>
  <c r="O2000" i="2" s="1"/>
  <c r="O2001" i="2" s="1"/>
  <c r="O2002" i="2" s="1"/>
  <c r="O2003" i="2" s="1"/>
  <c r="O2004" i="2" s="1"/>
  <c r="O2005" i="2" s="1"/>
  <c r="O2006" i="2" s="1"/>
  <c r="O2007" i="2" s="1"/>
  <c r="O2008" i="2" s="1"/>
  <c r="O2009" i="2" s="1"/>
  <c r="O2010" i="2" s="1"/>
  <c r="O2011" i="2" s="1"/>
  <c r="O2012" i="2" s="1"/>
  <c r="O2013" i="2" s="1"/>
  <c r="O2014" i="2" s="1"/>
  <c r="O2015" i="2" s="1"/>
  <c r="O2016" i="2" s="1"/>
  <c r="O2017" i="2" s="1"/>
  <c r="O2018" i="2" s="1"/>
  <c r="O2019" i="2" s="1"/>
  <c r="O2020" i="2" s="1"/>
  <c r="O2021" i="2" s="1"/>
  <c r="O2022" i="2" s="1"/>
  <c r="O2023" i="2" s="1"/>
  <c r="O2024" i="2" s="1"/>
  <c r="O2025" i="2" s="1"/>
  <c r="O2026" i="2" s="1"/>
  <c r="O2027" i="2" s="1"/>
  <c r="O2028" i="2" s="1"/>
  <c r="O2029" i="2" s="1"/>
  <c r="O2030" i="2" s="1"/>
  <c r="O2031" i="2" s="1"/>
  <c r="O2032" i="2" s="1"/>
  <c r="O2033" i="2" s="1"/>
  <c r="O2034" i="2" s="1"/>
  <c r="O2035" i="2" s="1"/>
  <c r="O2036" i="2" s="1"/>
  <c r="O2037" i="2" s="1"/>
  <c r="O2038" i="2" s="1"/>
  <c r="O2039" i="2" s="1"/>
  <c r="O2040" i="2" s="1"/>
  <c r="O2041" i="2" s="1"/>
  <c r="O2042" i="2" s="1"/>
  <c r="O2043" i="2" s="1"/>
  <c r="O2044" i="2" s="1"/>
  <c r="O2045" i="2" s="1"/>
  <c r="O2046" i="2" s="1"/>
  <c r="O2047" i="2" s="1"/>
  <c r="O2048" i="2" s="1"/>
  <c r="O2049" i="2" s="1"/>
  <c r="O2050" i="2" s="1"/>
  <c r="O2051" i="2" s="1"/>
  <c r="O2052" i="2" s="1"/>
  <c r="O2053" i="2" s="1"/>
  <c r="O2054" i="2" s="1"/>
  <c r="O2055" i="2" s="1"/>
  <c r="O2056" i="2" s="1"/>
  <c r="O2057" i="2" s="1"/>
  <c r="O2058" i="2" s="1"/>
  <c r="O2059" i="2" s="1"/>
  <c r="O2060" i="2" s="1"/>
  <c r="O2061" i="2" s="1"/>
  <c r="O2062" i="2" s="1"/>
  <c r="O2063" i="2" s="1"/>
  <c r="O2064" i="2" s="1"/>
  <c r="O2065" i="2" s="1"/>
  <c r="O2066" i="2" s="1"/>
  <c r="O2067" i="2" s="1"/>
  <c r="O2068" i="2" s="1"/>
  <c r="O2069" i="2" s="1"/>
  <c r="O2070" i="2" s="1"/>
  <c r="O2071" i="2" s="1"/>
  <c r="O2072" i="2" s="1"/>
  <c r="O2073" i="2" s="1"/>
  <c r="O2074" i="2" s="1"/>
  <c r="O2075" i="2" s="1"/>
  <c r="O2076" i="2" s="1"/>
  <c r="O2077" i="2" s="1"/>
  <c r="O2078" i="2" s="1"/>
  <c r="O2079" i="2" s="1"/>
  <c r="O2080" i="2" s="1"/>
  <c r="O2081" i="2" s="1"/>
  <c r="O2082" i="2" s="1"/>
  <c r="O2083" i="2" s="1"/>
  <c r="O2084" i="2" s="1"/>
  <c r="O2085" i="2" s="1"/>
  <c r="O2086" i="2" s="1"/>
  <c r="O2087" i="2" s="1"/>
  <c r="O2088" i="2" s="1"/>
  <c r="O2089" i="2" s="1"/>
  <c r="O2090" i="2" s="1"/>
  <c r="O2091" i="2" s="1"/>
  <c r="O2092" i="2" s="1"/>
  <c r="O2093" i="2" s="1"/>
  <c r="O2094" i="2" s="1"/>
  <c r="O2095" i="2" s="1"/>
  <c r="O2096" i="2" s="1"/>
  <c r="O2097" i="2" s="1"/>
  <c r="O2098" i="2" s="1"/>
  <c r="O2099" i="2" s="1"/>
  <c r="O2100" i="2" s="1"/>
  <c r="O2101" i="2" s="1"/>
  <c r="O2102" i="2" s="1"/>
  <c r="O2103" i="2" s="1"/>
  <c r="O2104" i="2" s="1"/>
  <c r="O2105" i="2" s="1"/>
  <c r="O2106" i="2" s="1"/>
  <c r="O2107" i="2" s="1"/>
  <c r="O2108" i="2" s="1"/>
  <c r="O2109" i="2" s="1"/>
  <c r="O2110" i="2" s="1"/>
  <c r="O2111" i="2" s="1"/>
  <c r="O2112" i="2" s="1"/>
  <c r="O2113" i="2" s="1"/>
  <c r="O2114" i="2" s="1"/>
  <c r="O2115" i="2" s="1"/>
  <c r="O2116" i="2" s="1"/>
  <c r="O2117" i="2" s="1"/>
  <c r="O2118" i="2" s="1"/>
  <c r="O2119" i="2" s="1"/>
  <c r="O2120" i="2" s="1"/>
  <c r="O2121" i="2" s="1"/>
  <c r="O2122" i="2" s="1"/>
  <c r="O2123" i="2" s="1"/>
  <c r="O2124" i="2" s="1"/>
  <c r="O2125" i="2" s="1"/>
  <c r="O2126" i="2" s="1"/>
  <c r="O2127" i="2" s="1"/>
  <c r="O2128" i="2" s="1"/>
  <c r="O2129" i="2" s="1"/>
  <c r="O2130" i="2" s="1"/>
  <c r="O2131" i="2" s="1"/>
  <c r="O2132" i="2" s="1"/>
  <c r="O2133" i="2" s="1"/>
  <c r="O2134" i="2" s="1"/>
  <c r="O2135" i="2" s="1"/>
  <c r="O2136" i="2" s="1"/>
  <c r="O2137" i="2" s="1"/>
  <c r="O2138" i="2" s="1"/>
  <c r="O2139" i="2" s="1"/>
  <c r="O2140" i="2" s="1"/>
  <c r="O2141" i="2" s="1"/>
  <c r="O2142" i="2" s="1"/>
  <c r="O2143" i="2" s="1"/>
  <c r="O2144" i="2" s="1"/>
  <c r="O2145" i="2" s="1"/>
  <c r="O2146" i="2" s="1"/>
  <c r="O2147" i="2" s="1"/>
  <c r="O2148" i="2" s="1"/>
  <c r="O2149" i="2" s="1"/>
  <c r="O2150" i="2" s="1"/>
  <c r="O2151" i="2" s="1"/>
  <c r="O2152" i="2" s="1"/>
  <c r="O2153" i="2" s="1"/>
  <c r="O2154" i="2" s="1"/>
  <c r="O2155" i="2" s="1"/>
  <c r="O2156" i="2" s="1"/>
  <c r="O2157" i="2" s="1"/>
  <c r="O2158" i="2" s="1"/>
  <c r="O2159" i="2" s="1"/>
  <c r="O2160" i="2" s="1"/>
  <c r="O2161" i="2" s="1"/>
  <c r="O2162" i="2" s="1"/>
  <c r="O2163" i="2" s="1"/>
  <c r="O2164" i="2" s="1"/>
  <c r="O2165" i="2" s="1"/>
  <c r="O2166" i="2" s="1"/>
  <c r="O2167" i="2" s="1"/>
  <c r="O2168" i="2" s="1"/>
  <c r="O2169" i="2" s="1"/>
  <c r="O2170" i="2" s="1"/>
  <c r="O2171" i="2" s="1"/>
  <c r="O2172" i="2" s="1"/>
  <c r="O2173" i="2" s="1"/>
  <c r="O2174" i="2" s="1"/>
  <c r="O2175" i="2" s="1"/>
  <c r="O2176" i="2" s="1"/>
  <c r="O2177" i="2" s="1"/>
  <c r="O2178" i="2" s="1"/>
  <c r="O2179" i="2" s="1"/>
  <c r="O2180" i="2" s="1"/>
  <c r="O2181" i="2" s="1"/>
  <c r="O2182" i="2" s="1"/>
  <c r="O2183" i="2" s="1"/>
  <c r="O2184" i="2" s="1"/>
  <c r="O2185" i="2" s="1"/>
  <c r="O2186" i="2" s="1"/>
  <c r="O2187" i="2" s="1"/>
  <c r="O2188" i="2" s="1"/>
  <c r="O2189" i="2" s="1"/>
  <c r="O2190" i="2" s="1"/>
  <c r="O2191" i="2" s="1"/>
  <c r="O2192" i="2" s="1"/>
  <c r="O2193" i="2" s="1"/>
  <c r="O2194" i="2" s="1"/>
  <c r="O2195" i="2" s="1"/>
  <c r="O2196" i="2" s="1"/>
  <c r="O2197" i="2" s="1"/>
  <c r="O2198" i="2" s="1"/>
  <c r="O2199" i="2" s="1"/>
  <c r="O2200" i="2" s="1"/>
  <c r="O2201" i="2" s="1"/>
  <c r="O2202" i="2" s="1"/>
  <c r="O2203" i="2" s="1"/>
  <c r="O2204" i="2" s="1"/>
  <c r="O2205" i="2" s="1"/>
  <c r="O2206" i="2" s="1"/>
  <c r="O2207" i="2" s="1"/>
  <c r="O2208" i="2" s="1"/>
  <c r="O2209" i="2" s="1"/>
  <c r="O2210" i="2" s="1"/>
  <c r="O2211" i="2" s="1"/>
  <c r="O2212" i="2" s="1"/>
  <c r="O2213" i="2" s="1"/>
  <c r="O2214" i="2" s="1"/>
  <c r="O2215" i="2" s="1"/>
  <c r="O2216" i="2" s="1"/>
  <c r="O2217" i="2" s="1"/>
  <c r="O2218" i="2" s="1"/>
  <c r="O2219" i="2" s="1"/>
  <c r="O2220" i="2" s="1"/>
  <c r="O2221" i="2" s="1"/>
  <c r="O2222" i="2" s="1"/>
  <c r="O2223" i="2" s="1"/>
  <c r="O2224" i="2" s="1"/>
  <c r="O2225" i="2" s="1"/>
  <c r="O2226" i="2" s="1"/>
  <c r="O2227" i="2" s="1"/>
  <c r="O2228" i="2" s="1"/>
  <c r="O2229" i="2" s="1"/>
  <c r="O2230" i="2" s="1"/>
  <c r="O2231" i="2" s="1"/>
  <c r="O2232" i="2" s="1"/>
  <c r="O2233" i="2" s="1"/>
  <c r="O2234" i="2" s="1"/>
  <c r="O2235" i="2" s="1"/>
  <c r="O2236" i="2" s="1"/>
  <c r="O2237" i="2" s="1"/>
  <c r="O2238" i="2" s="1"/>
  <c r="O2239" i="2" s="1"/>
  <c r="O2240" i="2" s="1"/>
  <c r="O2241" i="2" s="1"/>
  <c r="O2242" i="2" s="1"/>
  <c r="O2243" i="2" s="1"/>
  <c r="O2244" i="2" s="1"/>
  <c r="O2245" i="2" s="1"/>
  <c r="O2246" i="2" s="1"/>
  <c r="O2247" i="2" s="1"/>
  <c r="O2248" i="2" s="1"/>
  <c r="O2249" i="2" s="1"/>
  <c r="O2250" i="2" s="1"/>
  <c r="O2251" i="2" s="1"/>
  <c r="O2252" i="2" s="1"/>
  <c r="O2253" i="2" s="1"/>
  <c r="O2254" i="2" s="1"/>
  <c r="O2255" i="2" s="1"/>
  <c r="O2256" i="2" s="1"/>
  <c r="O2257" i="2" s="1"/>
  <c r="O2258" i="2" s="1"/>
  <c r="O2259" i="2" s="1"/>
  <c r="O2260" i="2" s="1"/>
  <c r="O2261" i="2" s="1"/>
  <c r="O2262" i="2" s="1"/>
  <c r="O2263" i="2" s="1"/>
  <c r="O2264" i="2" s="1"/>
  <c r="O2265" i="2" s="1"/>
  <c r="O2266" i="2" s="1"/>
  <c r="O2267" i="2" s="1"/>
  <c r="O2268" i="2" s="1"/>
  <c r="O2269" i="2" s="1"/>
  <c r="O2270" i="2" s="1"/>
  <c r="O2271" i="2" s="1"/>
  <c r="O2272" i="2" s="1"/>
  <c r="O2273" i="2" s="1"/>
  <c r="O2274" i="2" s="1"/>
  <c r="O2275" i="2" s="1"/>
  <c r="O2276" i="2" s="1"/>
  <c r="O2277" i="2" s="1"/>
  <c r="O2278" i="2" s="1"/>
  <c r="O2279" i="2" s="1"/>
  <c r="O2280" i="2" s="1"/>
  <c r="O2281" i="2" s="1"/>
  <c r="O2282" i="2" s="1"/>
  <c r="O2283" i="2" s="1"/>
  <c r="O2284" i="2" s="1"/>
  <c r="O2285" i="2" s="1"/>
  <c r="O2286" i="2" s="1"/>
  <c r="O2287" i="2" s="1"/>
  <c r="O2288" i="2" s="1"/>
  <c r="O2289" i="2" s="1"/>
  <c r="O2290" i="2" s="1"/>
  <c r="O2291" i="2" s="1"/>
  <c r="O2292" i="2" s="1"/>
  <c r="O2293" i="2" s="1"/>
  <c r="O2294" i="2" s="1"/>
  <c r="O2295" i="2" s="1"/>
  <c r="O2296" i="2" s="1"/>
  <c r="O2297" i="2" s="1"/>
  <c r="O2298" i="2" s="1"/>
  <c r="O2299" i="2" s="1"/>
  <c r="O2300" i="2" s="1"/>
  <c r="O2301" i="2" s="1"/>
  <c r="O2302" i="2" s="1"/>
  <c r="O2303" i="2" s="1"/>
  <c r="O2304" i="2" s="1"/>
  <c r="O2305" i="2" s="1"/>
  <c r="O2306" i="2" s="1"/>
  <c r="O2307" i="2" s="1"/>
  <c r="O2308" i="2" s="1"/>
  <c r="O2309" i="2" s="1"/>
  <c r="O2310" i="2" s="1"/>
  <c r="O2311" i="2" s="1"/>
  <c r="O2312" i="2" s="1"/>
  <c r="O2313" i="2" s="1"/>
  <c r="O2314" i="2" s="1"/>
  <c r="O2315" i="2" s="1"/>
  <c r="O2316" i="2" s="1"/>
  <c r="O2317" i="2" s="1"/>
  <c r="O2318" i="2" s="1"/>
  <c r="O2319" i="2" s="1"/>
  <c r="O2320" i="2" s="1"/>
  <c r="O2321" i="2" s="1"/>
  <c r="O2322" i="2" s="1"/>
  <c r="O2323" i="2" s="1"/>
  <c r="O2324" i="2" s="1"/>
  <c r="O2325" i="2" s="1"/>
  <c r="O2326" i="2" s="1"/>
  <c r="O2327" i="2" s="1"/>
  <c r="O2328" i="2" s="1"/>
  <c r="O2329" i="2" s="1"/>
  <c r="O2330" i="2" s="1"/>
  <c r="O2331" i="2" s="1"/>
  <c r="O2332" i="2" s="1"/>
  <c r="O2333" i="2" s="1"/>
  <c r="O2334" i="2" s="1"/>
  <c r="O2335" i="2" s="1"/>
  <c r="O2336" i="2" s="1"/>
  <c r="O2337" i="2" s="1"/>
  <c r="O2338" i="2" s="1"/>
  <c r="O2339" i="2" s="1"/>
  <c r="O2340" i="2" s="1"/>
  <c r="O2341" i="2" s="1"/>
  <c r="O2342" i="2" s="1"/>
  <c r="O2343" i="2" s="1"/>
  <c r="O2344" i="2" s="1"/>
  <c r="O2345" i="2" s="1"/>
  <c r="O2346" i="2" s="1"/>
  <c r="O2347" i="2" s="1"/>
  <c r="O2348" i="2" s="1"/>
  <c r="O2349" i="2" s="1"/>
  <c r="O2350" i="2" s="1"/>
  <c r="O2351" i="2" s="1"/>
  <c r="O2352" i="2" s="1"/>
  <c r="O2353" i="2" s="1"/>
  <c r="O2354" i="2" s="1"/>
  <c r="O2355" i="2" s="1"/>
  <c r="O2356" i="2" s="1"/>
  <c r="O2357" i="2" s="1"/>
  <c r="O2358" i="2" s="1"/>
  <c r="O2359" i="2" s="1"/>
  <c r="O2360" i="2" s="1"/>
  <c r="O2361" i="2" s="1"/>
  <c r="O2362" i="2" s="1"/>
  <c r="O2363" i="2" s="1"/>
  <c r="O2364" i="2" s="1"/>
  <c r="O2365" i="2" s="1"/>
  <c r="O2366" i="2" s="1"/>
  <c r="O2367" i="2" s="1"/>
  <c r="O2368" i="2" s="1"/>
  <c r="O2369" i="2" s="1"/>
  <c r="O2370" i="2" s="1"/>
  <c r="O2371" i="2" s="1"/>
  <c r="O2372" i="2" s="1"/>
  <c r="O2373" i="2" s="1"/>
  <c r="O2374" i="2" s="1"/>
  <c r="O2375" i="2" s="1"/>
  <c r="O2376" i="2" s="1"/>
  <c r="O2377" i="2" s="1"/>
  <c r="O2378" i="2" s="1"/>
  <c r="O2379" i="2" s="1"/>
  <c r="O2380" i="2" s="1"/>
  <c r="O2381" i="2" s="1"/>
  <c r="O2382" i="2" s="1"/>
  <c r="O2383" i="2" s="1"/>
  <c r="O2384" i="2" s="1"/>
  <c r="O2385" i="2" s="1"/>
  <c r="O2386" i="2" s="1"/>
  <c r="O2387" i="2" s="1"/>
  <c r="O2388" i="2" s="1"/>
  <c r="O2389" i="2" s="1"/>
  <c r="O2390" i="2" s="1"/>
  <c r="O2391" i="2" s="1"/>
  <c r="O2392" i="2" s="1"/>
  <c r="O2393" i="2" s="1"/>
  <c r="O2394" i="2" s="1"/>
  <c r="O2395" i="2" s="1"/>
  <c r="O2396" i="2" s="1"/>
  <c r="O2397" i="2" s="1"/>
  <c r="O2398" i="2" s="1"/>
  <c r="O2399" i="2" s="1"/>
  <c r="O2400" i="2" s="1"/>
  <c r="O2401" i="2" s="1"/>
  <c r="O2402" i="2" s="1"/>
  <c r="O2403" i="2" s="1"/>
  <c r="O2404" i="2" s="1"/>
  <c r="O2405" i="2" s="1"/>
  <c r="O2406" i="2" s="1"/>
  <c r="O2407" i="2" s="1"/>
  <c r="O2408" i="2" s="1"/>
  <c r="O2409" i="2" s="1"/>
  <c r="O2410" i="2" s="1"/>
  <c r="O2411" i="2" s="1"/>
  <c r="O2412" i="2" s="1"/>
  <c r="O2413" i="2" s="1"/>
  <c r="O2414" i="2" s="1"/>
  <c r="O2415" i="2" s="1"/>
  <c r="O2416" i="2" s="1"/>
  <c r="O2417" i="2" s="1"/>
  <c r="O2418" i="2" s="1"/>
  <c r="O2419" i="2" s="1"/>
  <c r="O2420" i="2" s="1"/>
  <c r="O2421" i="2" s="1"/>
  <c r="O2422" i="2" s="1"/>
  <c r="O2423" i="2" s="1"/>
  <c r="O2424" i="2" s="1"/>
  <c r="O2425" i="2" s="1"/>
  <c r="O2426" i="2" s="1"/>
  <c r="O2427" i="2" s="1"/>
  <c r="O2428" i="2" s="1"/>
  <c r="O2429" i="2" s="1"/>
  <c r="O2430" i="2" s="1"/>
  <c r="O2431" i="2" s="1"/>
  <c r="O2432" i="2" s="1"/>
  <c r="O2433" i="2" s="1"/>
  <c r="O2434" i="2" s="1"/>
  <c r="O2435" i="2" s="1"/>
  <c r="O2436" i="2" s="1"/>
  <c r="O2437" i="2" s="1"/>
  <c r="O2438" i="2" s="1"/>
  <c r="O2439" i="2" s="1"/>
  <c r="O2440" i="2" s="1"/>
  <c r="O2441" i="2" s="1"/>
  <c r="O2442" i="2" s="1"/>
  <c r="O2443" i="2" s="1"/>
  <c r="O2444" i="2" s="1"/>
  <c r="O2445" i="2" s="1"/>
  <c r="O2446" i="2" s="1"/>
  <c r="O2447" i="2" s="1"/>
  <c r="O2448" i="2" s="1"/>
  <c r="O2449" i="2" s="1"/>
  <c r="O2450" i="2" s="1"/>
  <c r="O2451" i="2" s="1"/>
  <c r="O2452" i="2" s="1"/>
  <c r="O2453" i="2" s="1"/>
  <c r="O2454" i="2" s="1"/>
  <c r="O2455" i="2" s="1"/>
  <c r="O2456" i="2" s="1"/>
  <c r="O2457" i="2" s="1"/>
  <c r="O2458" i="2" s="1"/>
  <c r="O2459" i="2" s="1"/>
  <c r="O2460" i="2" s="1"/>
  <c r="O2461" i="2" s="1"/>
  <c r="O2462" i="2" s="1"/>
  <c r="O2463" i="2" s="1"/>
  <c r="O2464" i="2" s="1"/>
  <c r="O2465" i="2" s="1"/>
  <c r="O2466" i="2" s="1"/>
  <c r="O2467" i="2" s="1"/>
  <c r="O2468" i="2" s="1"/>
  <c r="O2469" i="2" s="1"/>
  <c r="O2470" i="2" s="1"/>
  <c r="O2471" i="2" s="1"/>
  <c r="O2472" i="2" s="1"/>
  <c r="O2473" i="2" s="1"/>
  <c r="O2474" i="2" s="1"/>
  <c r="O2475" i="2" s="1"/>
  <c r="O2476" i="2" s="1"/>
  <c r="O2477" i="2" s="1"/>
  <c r="O2478" i="2" s="1"/>
  <c r="O2479" i="2" s="1"/>
  <c r="O2480" i="2" s="1"/>
  <c r="O2481" i="2" s="1"/>
  <c r="O2482" i="2" s="1"/>
  <c r="O2483" i="2" s="1"/>
  <c r="O2484" i="2" s="1"/>
  <c r="O2485" i="2" s="1"/>
  <c r="O2486" i="2" s="1"/>
  <c r="O2487" i="2" s="1"/>
  <c r="O2488" i="2" s="1"/>
  <c r="O2489" i="2" s="1"/>
  <c r="O2490" i="2" s="1"/>
  <c r="O2491" i="2" s="1"/>
  <c r="O2492" i="2" s="1"/>
  <c r="O2493" i="2" s="1"/>
  <c r="O2494" i="2" s="1"/>
  <c r="O2495" i="2" s="1"/>
  <c r="O2496" i="2" s="1"/>
  <c r="O2497" i="2" s="1"/>
  <c r="O2498" i="2" s="1"/>
  <c r="O2499" i="2" l="1"/>
  <c r="O2500" i="2" s="1"/>
  <c r="O2501" i="2" s="1"/>
  <c r="O2502" i="2" s="1"/>
  <c r="O2503" i="2" s="1"/>
  <c r="O2504" i="2" s="1"/>
  <c r="O2505" i="2" s="1"/>
  <c r="O2506" i="2" s="1"/>
  <c r="O2507" i="2" s="1"/>
  <c r="O2508" i="2" s="1"/>
  <c r="O2509" i="2" s="1"/>
  <c r="O2510" i="2" s="1"/>
  <c r="O2511" i="2" s="1"/>
  <c r="O2512" i="2" s="1"/>
  <c r="O2513" i="2" s="1"/>
  <c r="O2514" i="2" s="1"/>
  <c r="O2515" i="2" s="1"/>
  <c r="O2516" i="2" s="1"/>
  <c r="O2517" i="2" s="1"/>
  <c r="O2518" i="2" s="1"/>
  <c r="O2519" i="2" s="1"/>
  <c r="O2520" i="2" s="1"/>
  <c r="O2521" i="2" s="1"/>
  <c r="O2522" i="2" s="1"/>
  <c r="O2523" i="2" s="1"/>
  <c r="O2524" i="2" s="1"/>
  <c r="O2525" i="2" s="1"/>
  <c r="O2526" i="2" s="1"/>
  <c r="O2527" i="2" s="1"/>
  <c r="O2528" i="2" s="1"/>
  <c r="O2529" i="2" s="1"/>
  <c r="O2530" i="2" s="1"/>
  <c r="O2531" i="2" s="1"/>
  <c r="O2532" i="2" s="1"/>
  <c r="O2533" i="2" s="1"/>
  <c r="O2534" i="2" s="1"/>
  <c r="O2535" i="2" s="1"/>
  <c r="O2536" i="2" s="1"/>
  <c r="O2537" i="2" s="1"/>
  <c r="O2538" i="2" s="1"/>
  <c r="O2539" i="2" s="1"/>
  <c r="O2540" i="2" s="1"/>
  <c r="O2541" i="2" s="1"/>
  <c r="O2542" i="2" s="1"/>
  <c r="O2543" i="2" s="1"/>
  <c r="O2544" i="2" s="1"/>
  <c r="O2545" i="2" s="1"/>
  <c r="O2546" i="2" s="1"/>
  <c r="O2547" i="2" s="1"/>
  <c r="O2548" i="2" s="1"/>
  <c r="O2549" i="2" s="1"/>
  <c r="O2550" i="2" s="1"/>
  <c r="O2551" i="2" s="1"/>
  <c r="O2552" i="2" s="1"/>
  <c r="O2553" i="2" s="1"/>
  <c r="O2554" i="2" s="1"/>
  <c r="O2555" i="2" s="1"/>
  <c r="O2556" i="2" s="1"/>
  <c r="O2557" i="2" s="1"/>
  <c r="O2558" i="2" s="1"/>
  <c r="O2559" i="2" s="1"/>
  <c r="O2560" i="2" s="1"/>
  <c r="O2561" i="2" s="1"/>
  <c r="O2562" i="2" s="1"/>
  <c r="O2563" i="2" s="1"/>
  <c r="O2564" i="2" s="1"/>
  <c r="O2565" i="2" s="1"/>
  <c r="O2566" i="2" s="1"/>
  <c r="O2567" i="2" s="1"/>
  <c r="O2568" i="2" s="1"/>
  <c r="O2569" i="2" s="1"/>
  <c r="O2570" i="2" s="1"/>
  <c r="O2571" i="2" s="1"/>
  <c r="O2572" i="2" s="1"/>
  <c r="O2573" i="2" s="1"/>
  <c r="O2574" i="2" s="1"/>
  <c r="O2575" i="2" s="1"/>
  <c r="O2576" i="2" s="1"/>
  <c r="O2577" i="2" s="1"/>
  <c r="O2578" i="2" s="1"/>
  <c r="O2579" i="2" s="1"/>
  <c r="O2580" i="2" s="1"/>
  <c r="O2581" i="2" s="1"/>
  <c r="O2582" i="2" s="1"/>
  <c r="O2583" i="2" s="1"/>
  <c r="O2584" i="2" s="1"/>
  <c r="O2585" i="2" s="1"/>
  <c r="O2586" i="2" s="1"/>
  <c r="O2587" i="2" s="1"/>
  <c r="O2588" i="2" s="1"/>
  <c r="O2589" i="2" s="1"/>
  <c r="O2590" i="2" s="1"/>
  <c r="O2591" i="2" s="1"/>
  <c r="O2592" i="2" s="1"/>
  <c r="O2593" i="2" s="1"/>
  <c r="O2594" i="2" s="1"/>
  <c r="O2595" i="2" s="1"/>
  <c r="O2596" i="2" s="1"/>
  <c r="O2597" i="2" s="1"/>
  <c r="O2598" i="2" s="1"/>
  <c r="O2599" i="2" s="1"/>
  <c r="O2600" i="2" s="1"/>
  <c r="O2601" i="2" s="1"/>
  <c r="O2602" i="2" s="1"/>
  <c r="O2603" i="2" s="1"/>
  <c r="O2604" i="2" s="1"/>
  <c r="O2605" i="2" s="1"/>
  <c r="O2606" i="2" s="1"/>
  <c r="O2607" i="2" s="1"/>
  <c r="O2608" i="2" s="1"/>
  <c r="O2609" i="2" s="1"/>
  <c r="O2610" i="2" s="1"/>
  <c r="O2611" i="2" s="1"/>
  <c r="O2612" i="2" s="1"/>
  <c r="I3" i="2"/>
  <c r="I6" i="2" s="1"/>
  <c r="O2613" i="2" l="1"/>
  <c r="O2614" i="2" s="1"/>
  <c r="O2615" i="2" s="1"/>
  <c r="O2616" i="2" s="1"/>
  <c r="O2617" i="2" s="1"/>
  <c r="O2618" i="2" s="1"/>
  <c r="O2619" i="2" s="1"/>
  <c r="O2620" i="2" s="1"/>
  <c r="O2621" i="2" s="1"/>
  <c r="O2622" i="2" s="1"/>
  <c r="O2623" i="2" s="1"/>
  <c r="O2624" i="2" s="1"/>
  <c r="O2625" i="2" s="1"/>
  <c r="O2626" i="2" s="1"/>
  <c r="O2627" i="2" s="1"/>
  <c r="O2628" i="2" s="1"/>
  <c r="O2629" i="2" s="1"/>
  <c r="O2630" i="2" s="1"/>
  <c r="O2631" i="2" s="1"/>
  <c r="O2632" i="2" s="1"/>
  <c r="O2633" i="2" s="1"/>
  <c r="O2634" i="2" s="1"/>
  <c r="O2635" i="2" s="1"/>
  <c r="O2636" i="2" s="1"/>
  <c r="O2637" i="2" s="1"/>
  <c r="O2638" i="2" s="1"/>
  <c r="O2639" i="2" s="1"/>
  <c r="O2640" i="2" s="1"/>
  <c r="O2641" i="2" s="1"/>
  <c r="O2642" i="2" s="1"/>
  <c r="O2643" i="2" s="1"/>
  <c r="O2644" i="2" s="1"/>
  <c r="O2645" i="2" s="1"/>
  <c r="O2646" i="2" s="1"/>
  <c r="O2647" i="2" s="1"/>
  <c r="O2648" i="2" s="1"/>
  <c r="O2649" i="2" s="1"/>
  <c r="O2650" i="2" s="1"/>
  <c r="O2651" i="2" s="1"/>
  <c r="O2652" i="2" s="1"/>
  <c r="O2653" i="2" s="1"/>
  <c r="O2654" i="2" s="1"/>
  <c r="O2655" i="2" s="1"/>
  <c r="O2656" i="2" s="1"/>
  <c r="O2657" i="2" s="1"/>
  <c r="O2658" i="2" s="1"/>
  <c r="O2659" i="2" s="1"/>
  <c r="O2660" i="2" s="1"/>
  <c r="O2661" i="2" s="1"/>
  <c r="O2662" i="2" s="1"/>
  <c r="O2663" i="2" s="1"/>
  <c r="O2664" i="2" s="1"/>
  <c r="O2665" i="2" s="1"/>
  <c r="O2666" i="2" s="1"/>
  <c r="O2667" i="2" s="1"/>
  <c r="O2668" i="2" s="1"/>
  <c r="O2669" i="2" s="1"/>
  <c r="O2670" i="2" s="1"/>
  <c r="O2671" i="2" s="1"/>
  <c r="O2672" i="2" s="1"/>
  <c r="O2673" i="2" s="1"/>
  <c r="O2674" i="2" s="1"/>
  <c r="O2675" i="2" s="1"/>
  <c r="O2676" i="2" s="1"/>
  <c r="O2677" i="2" s="1"/>
  <c r="O2678" i="2" s="1"/>
  <c r="O2679" i="2" s="1"/>
  <c r="O2680" i="2" s="1"/>
  <c r="O2681" i="2" s="1"/>
  <c r="O2682" i="2" s="1"/>
  <c r="O2683" i="2" s="1"/>
  <c r="O2684" i="2" s="1"/>
  <c r="O2685" i="2" s="1"/>
  <c r="O2686" i="2" s="1"/>
  <c r="O2687" i="2" s="1"/>
  <c r="O2688" i="2" s="1"/>
  <c r="O2689" i="2" s="1"/>
  <c r="O2690" i="2" s="1"/>
  <c r="O2691" i="2" s="1"/>
  <c r="O2692" i="2" s="1"/>
  <c r="O2693" i="2" s="1"/>
  <c r="O2694" i="2" s="1"/>
  <c r="O2695" i="2" s="1"/>
  <c r="O2696" i="2" s="1"/>
  <c r="O2697" i="2" l="1"/>
  <c r="O2698" i="2" s="1"/>
  <c r="O2699" i="2" s="1"/>
  <c r="O2700" i="2" s="1"/>
  <c r="O2701" i="2" s="1"/>
  <c r="O2702" i="2" s="1"/>
  <c r="O2703" i="2" s="1"/>
  <c r="O2704" i="2" s="1"/>
  <c r="O2705" i="2" s="1"/>
  <c r="O2706" i="2" s="1"/>
  <c r="O2707" i="2" s="1"/>
  <c r="O2708" i="2" s="1"/>
  <c r="O2709" i="2" s="1"/>
  <c r="O2710" i="2" s="1"/>
  <c r="O2711" i="2" s="1"/>
  <c r="O2712" i="2" s="1"/>
  <c r="O2713" i="2" s="1"/>
  <c r="O2714" i="2" s="1"/>
  <c r="O2715" i="2" s="1"/>
  <c r="O2716" i="2" s="1"/>
  <c r="O2717" i="2" l="1"/>
  <c r="O2718" i="2" l="1"/>
  <c r="O2719" i="2" s="1"/>
  <c r="O2720" i="2" s="1"/>
  <c r="O2721" i="2" s="1"/>
  <c r="O2722" i="2" s="1"/>
  <c r="O2723" i="2" s="1"/>
  <c r="O2724" i="2" s="1"/>
  <c r="O2725" i="2" s="1"/>
  <c r="O2726" i="2" s="1"/>
  <c r="O2727" i="2" s="1"/>
  <c r="O2728" i="2" s="1"/>
  <c r="O2729" i="2" s="1"/>
  <c r="O2730" i="2" s="1"/>
  <c r="O2731" i="2" s="1"/>
  <c r="O2732" i="2" l="1"/>
  <c r="O2733" i="2" s="1"/>
  <c r="O2734" i="2" s="1"/>
  <c r="O2735" i="2" s="1"/>
  <c r="O2736" i="2"/>
  <c r="O2737" i="2"/>
  <c r="O2738" i="2"/>
  <c r="O2739" i="2"/>
  <c r="O2740" i="2"/>
  <c r="O2741" i="2"/>
  <c r="O2742" i="2"/>
  <c r="O2743" i="2"/>
  <c r="O2744" i="2"/>
  <c r="O2745" i="2"/>
  <c r="O2746" i="2"/>
  <c r="O2747" i="2"/>
  <c r="O2748" i="2"/>
  <c r="O2749" i="2"/>
  <c r="O2750" i="2"/>
  <c r="O2751" i="2"/>
  <c r="O2752" i="2"/>
  <c r="O2753" i="2"/>
  <c r="O2754" i="2"/>
  <c r="O2755" i="2"/>
  <c r="O2756" i="2"/>
  <c r="O2757" i="2"/>
  <c r="O2758" i="2"/>
  <c r="O2759" i="2"/>
  <c r="O2760" i="2"/>
  <c r="O2761" i="2"/>
  <c r="O2762" i="2"/>
  <c r="O2763" i="2"/>
  <c r="O2764" i="2"/>
  <c r="O2765" i="2"/>
  <c r="O2766" i="2"/>
  <c r="O2767" i="2"/>
  <c r="O2768" i="2"/>
  <c r="O2769" i="2"/>
  <c r="O2770" i="2"/>
  <c r="O2771" i="2"/>
  <c r="O2772" i="2"/>
  <c r="O2773" i="2"/>
  <c r="O2774" i="2"/>
  <c r="O2775" i="2"/>
  <c r="O2776" i="2"/>
  <c r="O2777" i="2"/>
  <c r="O2778" i="2"/>
  <c r="O2779" i="2"/>
  <c r="O2780" i="2"/>
  <c r="O2781" i="2"/>
  <c r="O2782" i="2"/>
  <c r="O2783" i="2"/>
  <c r="O2784" i="2"/>
  <c r="O2785" i="2"/>
  <c r="O2786" i="2"/>
  <c r="O2787" i="2"/>
  <c r="O2788" i="2"/>
  <c r="O2789" i="2"/>
  <c r="O2790" i="2"/>
  <c r="O2791" i="2"/>
  <c r="O2792" i="2"/>
  <c r="O2793" i="2"/>
  <c r="O2794" i="2"/>
  <c r="O2795" i="2"/>
  <c r="O2796" i="2"/>
  <c r="O2797" i="2"/>
  <c r="O2798" i="2"/>
  <c r="O2799" i="2"/>
  <c r="O2800" i="2"/>
  <c r="O2801" i="2"/>
  <c r="O2802" i="2"/>
  <c r="O2803" i="2"/>
  <c r="O2804" i="2"/>
  <c r="O2805" i="2"/>
  <c r="O2806" i="2"/>
  <c r="O2807" i="2"/>
  <c r="O2808" i="2"/>
  <c r="O2809" i="2"/>
  <c r="O2810" i="2"/>
  <c r="O2811" i="2"/>
  <c r="O2812" i="2"/>
  <c r="O2813" i="2"/>
  <c r="O2814" i="2"/>
  <c r="O2815" i="2"/>
  <c r="O2816" i="2"/>
  <c r="O2817" i="2"/>
  <c r="O2818" i="2"/>
  <c r="O2819" i="2"/>
  <c r="O2820" i="2"/>
  <c r="O2821" i="2"/>
  <c r="O2822" i="2"/>
  <c r="O2823" i="2"/>
  <c r="O2824" i="2"/>
  <c r="O2825" i="2"/>
  <c r="O2826" i="2"/>
  <c r="O2827" i="2"/>
  <c r="O2828" i="2"/>
  <c r="O2829" i="2"/>
  <c r="O2830" i="2"/>
  <c r="O2831" i="2"/>
  <c r="O2832" i="2"/>
  <c r="O2833" i="2"/>
  <c r="O2834" i="2"/>
  <c r="O2835" i="2"/>
  <c r="O2836" i="2"/>
  <c r="O2837" i="2"/>
  <c r="O2838" i="2"/>
  <c r="O2839" i="2"/>
  <c r="O2840" i="2"/>
  <c r="O2841" i="2"/>
  <c r="O2842" i="2"/>
  <c r="O2843" i="2"/>
  <c r="O2844" i="2"/>
  <c r="O2845" i="2"/>
  <c r="O2846" i="2"/>
  <c r="O2847" i="2"/>
  <c r="O2848" i="2"/>
  <c r="O2849" i="2"/>
  <c r="O2850" i="2"/>
  <c r="O2851" i="2"/>
  <c r="O2852" i="2"/>
  <c r="O2853" i="2"/>
  <c r="O2854" i="2"/>
  <c r="O2855" i="2"/>
  <c r="O2856" i="2"/>
  <c r="O2857" i="2"/>
  <c r="O2858" i="2"/>
  <c r="O2859" i="2"/>
  <c r="O2860" i="2"/>
  <c r="O2861" i="2"/>
  <c r="O2862" i="2"/>
  <c r="O2863" i="2"/>
  <c r="O2864" i="2"/>
  <c r="O2865" i="2"/>
  <c r="O2866" i="2"/>
  <c r="O2867" i="2"/>
  <c r="O2868" i="2"/>
  <c r="O2869" i="2"/>
  <c r="O2870" i="2"/>
  <c r="O2871" i="2"/>
  <c r="O2872" i="2"/>
  <c r="O2873" i="2"/>
  <c r="O2874" i="2"/>
  <c r="O2875" i="2"/>
  <c r="O2876" i="2"/>
  <c r="O2877" i="2"/>
  <c r="O2878" i="2"/>
  <c r="O2879" i="2"/>
  <c r="O2880" i="2"/>
  <c r="O2881" i="2"/>
  <c r="O2882" i="2"/>
  <c r="O2883" i="2"/>
  <c r="O2884" i="2"/>
  <c r="O2885" i="2"/>
  <c r="O2886" i="2"/>
  <c r="O2887" i="2"/>
  <c r="O2888" i="2"/>
  <c r="O2889" i="2"/>
  <c r="O2890" i="2"/>
  <c r="O2891" i="2"/>
  <c r="O2892" i="2"/>
  <c r="O2893" i="2"/>
  <c r="O2894" i="2"/>
  <c r="O2895" i="2"/>
  <c r="O2896" i="2"/>
  <c r="O2897" i="2"/>
  <c r="O2898" i="2"/>
  <c r="O2899" i="2"/>
  <c r="O2900" i="2"/>
  <c r="O2901" i="2"/>
  <c r="O2902" i="2"/>
  <c r="O2903" i="2"/>
  <c r="O2904" i="2"/>
  <c r="O2905" i="2"/>
  <c r="O2906" i="2"/>
  <c r="O2907" i="2"/>
  <c r="O2908" i="2"/>
  <c r="O2909" i="2"/>
  <c r="O2910" i="2"/>
  <c r="O2911" i="2"/>
  <c r="O2912" i="2"/>
  <c r="O2913" i="2"/>
  <c r="O2914" i="2"/>
  <c r="O2915" i="2"/>
  <c r="O2916" i="2"/>
  <c r="O2917" i="2"/>
  <c r="O2918" i="2"/>
  <c r="O2919" i="2"/>
  <c r="O2920" i="2"/>
  <c r="O2921" i="2"/>
  <c r="O2922" i="2"/>
  <c r="O2923" i="2"/>
  <c r="O2924" i="2"/>
  <c r="O2925" i="2"/>
  <c r="O2926" i="2"/>
  <c r="O2927" i="2"/>
  <c r="O2928" i="2"/>
  <c r="O2929" i="2"/>
  <c r="O2930" i="2"/>
  <c r="O2931" i="2"/>
  <c r="O2932" i="2"/>
  <c r="O2933" i="2"/>
  <c r="O2934" i="2"/>
  <c r="O2935" i="2"/>
  <c r="O2936" i="2"/>
  <c r="O2937" i="2"/>
  <c r="O2938" i="2"/>
  <c r="O2939" i="2"/>
  <c r="O2940" i="2"/>
  <c r="O2941" i="2"/>
  <c r="O2942" i="2"/>
  <c r="O2943" i="2"/>
  <c r="O2944" i="2"/>
  <c r="O2945" i="2"/>
  <c r="O2946" i="2"/>
  <c r="O2947" i="2"/>
  <c r="O2948" i="2"/>
  <c r="O2949" i="2"/>
  <c r="O2950" i="2"/>
  <c r="O2951" i="2"/>
  <c r="O2952" i="2"/>
  <c r="O2953" i="2"/>
  <c r="O2954" i="2"/>
  <c r="O2955" i="2"/>
  <c r="O2956" i="2"/>
  <c r="O2957" i="2"/>
  <c r="O2958" i="2"/>
  <c r="O2959" i="2"/>
  <c r="O2960" i="2"/>
  <c r="O2961" i="2"/>
  <c r="O2962" i="2"/>
  <c r="O2963" i="2"/>
  <c r="O2964" i="2"/>
  <c r="O2965" i="2"/>
  <c r="O2966" i="2"/>
  <c r="O2967" i="2"/>
  <c r="O2968" i="2"/>
  <c r="O2969" i="2"/>
  <c r="O2970" i="2"/>
  <c r="O2971" i="2"/>
  <c r="O2972" i="2"/>
  <c r="O2973" i="2"/>
  <c r="O2974" i="2"/>
  <c r="O2975" i="2"/>
  <c r="O2976" i="2"/>
  <c r="O2977" i="2"/>
  <c r="O2978" i="2"/>
  <c r="O2979" i="2"/>
  <c r="O2980" i="2"/>
  <c r="O2981" i="2"/>
  <c r="O2982" i="2"/>
  <c r="O2983" i="2"/>
  <c r="O2984" i="2"/>
  <c r="O2985" i="2"/>
  <c r="O2986" i="2"/>
  <c r="O2987" i="2"/>
  <c r="O2988" i="2"/>
  <c r="O2989" i="2"/>
  <c r="O2990" i="2"/>
  <c r="O2991" i="2"/>
  <c r="O2992" i="2"/>
  <c r="O2993" i="2"/>
  <c r="O2994" i="2"/>
  <c r="O2995" i="2"/>
  <c r="O2996" i="2"/>
  <c r="O2997" i="2"/>
  <c r="O2998" i="2"/>
  <c r="O2999" i="2"/>
  <c r="O3000" i="2"/>
  <c r="O3001" i="2"/>
  <c r="O3002" i="2"/>
  <c r="O3003" i="2"/>
  <c r="O3004" i="2"/>
  <c r="O3005" i="2"/>
  <c r="O3006" i="2"/>
  <c r="O3007" i="2"/>
  <c r="O3008" i="2"/>
  <c r="O3009" i="2"/>
  <c r="O3010" i="2"/>
  <c r="O3011" i="2"/>
  <c r="O3012" i="2"/>
  <c r="O3013" i="2"/>
  <c r="O3014" i="2"/>
  <c r="O3015" i="2"/>
  <c r="O3016" i="2"/>
  <c r="O3017" i="2"/>
  <c r="O3018" i="2"/>
  <c r="O3019" i="2"/>
  <c r="O3020" i="2"/>
  <c r="O3021" i="2"/>
  <c r="O3022" i="2"/>
  <c r="O3023" i="2"/>
  <c r="O3024" i="2"/>
  <c r="O3025" i="2"/>
  <c r="O3026" i="2"/>
  <c r="O3027" i="2"/>
  <c r="O3028" i="2"/>
  <c r="O3029" i="2"/>
  <c r="O3030" i="2"/>
  <c r="O3031" i="2"/>
  <c r="O3032" i="2"/>
  <c r="O3033" i="2"/>
  <c r="O3034" i="2"/>
  <c r="O3035" i="2"/>
  <c r="O3036" i="2"/>
  <c r="O3037" i="2"/>
  <c r="O3038" i="2"/>
  <c r="O3039" i="2"/>
  <c r="O3040" i="2"/>
  <c r="O3041" i="2"/>
  <c r="O3042" i="2"/>
  <c r="O3043" i="2"/>
  <c r="O3044" i="2"/>
  <c r="O3045" i="2"/>
  <c r="O3046" i="2"/>
  <c r="O3047" i="2"/>
  <c r="O3048" i="2"/>
  <c r="O3049" i="2"/>
  <c r="O3050" i="2"/>
  <c r="O3051" i="2"/>
  <c r="O3052" i="2"/>
  <c r="O3053" i="2"/>
  <c r="O3054" i="2"/>
  <c r="O3055" i="2"/>
  <c r="O3056" i="2"/>
  <c r="O3057" i="2"/>
  <c r="O3058" i="2"/>
  <c r="O3059" i="2"/>
  <c r="O3060" i="2"/>
  <c r="O3061" i="2"/>
  <c r="O3062" i="2"/>
  <c r="O3063" i="2"/>
  <c r="O3064" i="2"/>
  <c r="O3065" i="2"/>
  <c r="O3066" i="2"/>
  <c r="O3067" i="2"/>
  <c r="O3068" i="2"/>
  <c r="O3069" i="2"/>
  <c r="O3070" i="2"/>
  <c r="O3071" i="2"/>
  <c r="O3072" i="2"/>
  <c r="O3073" i="2"/>
  <c r="O3074" i="2"/>
  <c r="O3075" i="2"/>
  <c r="O3076" i="2"/>
  <c r="O3077" i="2"/>
  <c r="O3078" i="2"/>
  <c r="O3079" i="2"/>
  <c r="O3080" i="2"/>
  <c r="O3081" i="2"/>
  <c r="O3082" i="2"/>
  <c r="O3083" i="2"/>
  <c r="O3084" i="2"/>
  <c r="O3085" i="2"/>
  <c r="O3086" i="2"/>
  <c r="O3087" i="2"/>
  <c r="O3088" i="2"/>
  <c r="O3089" i="2"/>
  <c r="O3090" i="2"/>
  <c r="O3091" i="2"/>
  <c r="O3092" i="2"/>
  <c r="O3093" i="2"/>
  <c r="O3094" i="2"/>
  <c r="O3095" i="2"/>
  <c r="O3096" i="2"/>
  <c r="O3097" i="2"/>
  <c r="O3098" i="2"/>
  <c r="O3099" i="2"/>
  <c r="O3100" i="2"/>
  <c r="O3101" i="2"/>
  <c r="O3102" i="2"/>
  <c r="O3103" i="2"/>
  <c r="O3104" i="2"/>
  <c r="O3105" i="2"/>
  <c r="O3106" i="2"/>
  <c r="O3107" i="2"/>
  <c r="O3108" i="2"/>
  <c r="O3109" i="2"/>
  <c r="O3110" i="2"/>
  <c r="O3111" i="2"/>
  <c r="O3112" i="2"/>
  <c r="O3113" i="2"/>
  <c r="O3114" i="2"/>
  <c r="O3115" i="2"/>
  <c r="O3116" i="2"/>
  <c r="O3117" i="2"/>
  <c r="O3118" i="2"/>
  <c r="O3119" i="2"/>
  <c r="O3120" i="2"/>
  <c r="O3121" i="2"/>
  <c r="O3122" i="2"/>
  <c r="O3123" i="2"/>
  <c r="O3124" i="2"/>
  <c r="O3125" i="2"/>
  <c r="O3126" i="2"/>
  <c r="O3127" i="2"/>
  <c r="O3128" i="2"/>
  <c r="O3129" i="2"/>
  <c r="O3130" i="2"/>
  <c r="O3131" i="2"/>
  <c r="O3132" i="2"/>
  <c r="O3133" i="2"/>
  <c r="O3134" i="2"/>
  <c r="O3135" i="2"/>
  <c r="O3136" i="2"/>
  <c r="O3137" i="2"/>
  <c r="O3138" i="2"/>
  <c r="O3139" i="2"/>
  <c r="O3140" i="2"/>
  <c r="O3141" i="2"/>
  <c r="O3142" i="2"/>
  <c r="O3143" i="2"/>
  <c r="O3144" i="2"/>
  <c r="O3145" i="2"/>
  <c r="O3146" i="2"/>
  <c r="O3147" i="2"/>
  <c r="O3148" i="2"/>
  <c r="O3149" i="2"/>
  <c r="O3150" i="2"/>
  <c r="O3151" i="2"/>
  <c r="O3152" i="2"/>
  <c r="O3153" i="2"/>
  <c r="O3154" i="2"/>
  <c r="O3155" i="2"/>
  <c r="O3156" i="2"/>
  <c r="O3157" i="2"/>
  <c r="O3158" i="2"/>
  <c r="O3159" i="2"/>
  <c r="O3160" i="2"/>
  <c r="O3161" i="2"/>
  <c r="O3162" i="2"/>
  <c r="O3163" i="2"/>
  <c r="O3164" i="2"/>
  <c r="O3165" i="2"/>
  <c r="O3166" i="2"/>
  <c r="O3167" i="2"/>
  <c r="O3168" i="2"/>
  <c r="O3169" i="2"/>
  <c r="O3170" i="2"/>
  <c r="O3171" i="2"/>
  <c r="O3172" i="2"/>
  <c r="O3173" i="2"/>
  <c r="O3174" i="2"/>
  <c r="O3175" i="2"/>
  <c r="O3176" i="2"/>
  <c r="O3177" i="2"/>
  <c r="O3178" i="2"/>
  <c r="O3179" i="2"/>
  <c r="O3180" i="2"/>
  <c r="O3181" i="2"/>
  <c r="O3182" i="2"/>
  <c r="O3183" i="2"/>
  <c r="O3184" i="2"/>
  <c r="O3185" i="2"/>
  <c r="O3186" i="2"/>
  <c r="O3187" i="2"/>
  <c r="O3188" i="2"/>
  <c r="O3189" i="2"/>
  <c r="O3190" i="2"/>
  <c r="O3191" i="2"/>
  <c r="O3192" i="2"/>
  <c r="O3193" i="2"/>
  <c r="O3194" i="2"/>
  <c r="O3195" i="2"/>
  <c r="O3196" i="2"/>
  <c r="O3197" i="2"/>
  <c r="O3198" i="2"/>
  <c r="O3199" i="2"/>
  <c r="O3200" i="2"/>
  <c r="O3201" i="2"/>
  <c r="O3202" i="2"/>
  <c r="O3203" i="2"/>
  <c r="O3204" i="2"/>
  <c r="O3205" i="2"/>
  <c r="O3206" i="2"/>
  <c r="O3207" i="2"/>
  <c r="O3208" i="2"/>
  <c r="O3209" i="2"/>
  <c r="O3210" i="2"/>
  <c r="O3211" i="2"/>
  <c r="O3212" i="2"/>
  <c r="O3213" i="2"/>
  <c r="O3214" i="2"/>
  <c r="O3215" i="2"/>
  <c r="O3216" i="2"/>
  <c r="O3217" i="2"/>
  <c r="O3218" i="2"/>
  <c r="O3219" i="2"/>
  <c r="O3220" i="2"/>
  <c r="O3221" i="2"/>
  <c r="O3222" i="2"/>
  <c r="O3223" i="2"/>
  <c r="O3224" i="2"/>
  <c r="O3225" i="2"/>
  <c r="O3226" i="2"/>
  <c r="O3227" i="2"/>
  <c r="O3228" i="2"/>
  <c r="O3229" i="2"/>
  <c r="O3230" i="2"/>
  <c r="O3231" i="2"/>
  <c r="O3232" i="2"/>
  <c r="O3233" i="2"/>
  <c r="O3234" i="2"/>
  <c r="O3235" i="2"/>
  <c r="O3236" i="2"/>
  <c r="O3237" i="2"/>
  <c r="O3238" i="2"/>
  <c r="O3239" i="2"/>
  <c r="O3240" i="2"/>
  <c r="O3241" i="2"/>
  <c r="O3242" i="2"/>
  <c r="O3243" i="2"/>
  <c r="O3244" i="2"/>
  <c r="O3245" i="2"/>
  <c r="O3246" i="2"/>
  <c r="O3247" i="2"/>
  <c r="O3248" i="2"/>
  <c r="O3249" i="2"/>
  <c r="O3250" i="2"/>
  <c r="O3251" i="2"/>
  <c r="O3252" i="2"/>
  <c r="O3253" i="2"/>
  <c r="O3254" i="2"/>
  <c r="O3255" i="2"/>
  <c r="O3256" i="2"/>
  <c r="O3257" i="2"/>
  <c r="O3258" i="2"/>
  <c r="O3259" i="2"/>
  <c r="O3260" i="2"/>
  <c r="O3261" i="2"/>
  <c r="O3262" i="2"/>
  <c r="O3263" i="2"/>
  <c r="O3264" i="2"/>
  <c r="O3265" i="2"/>
  <c r="O3266" i="2"/>
  <c r="O3267" i="2"/>
  <c r="O3268" i="2"/>
  <c r="O3269" i="2"/>
  <c r="O3270" i="2"/>
  <c r="O3271" i="2"/>
  <c r="O3272" i="2"/>
  <c r="O3273" i="2"/>
  <c r="O3274" i="2"/>
  <c r="O3275" i="2"/>
  <c r="O3276" i="2"/>
  <c r="O3277" i="2"/>
  <c r="O3278" i="2"/>
  <c r="O3279" i="2"/>
  <c r="O3280" i="2"/>
  <c r="O3281" i="2"/>
  <c r="O3282" i="2"/>
  <c r="O3283" i="2"/>
  <c r="O3284" i="2"/>
  <c r="O3285" i="2"/>
  <c r="O3286" i="2"/>
  <c r="O3287" i="2"/>
  <c r="O3288" i="2"/>
  <c r="O3289" i="2"/>
  <c r="O3290" i="2"/>
  <c r="O3291" i="2"/>
  <c r="O3292" i="2"/>
  <c r="O3293" i="2"/>
  <c r="O3294" i="2"/>
  <c r="O3295" i="2"/>
  <c r="O3296" i="2"/>
  <c r="O3297" i="2"/>
  <c r="O3298" i="2"/>
  <c r="O3299" i="2"/>
  <c r="O3300" i="2"/>
  <c r="O3301" i="2"/>
  <c r="O3302" i="2"/>
  <c r="O3303" i="2"/>
  <c r="O3304" i="2"/>
  <c r="O3305" i="2"/>
  <c r="O3306" i="2"/>
  <c r="O3307" i="2"/>
  <c r="O3308" i="2"/>
  <c r="O3309" i="2"/>
  <c r="O3310" i="2"/>
  <c r="O3311" i="2"/>
  <c r="O3312" i="2"/>
  <c r="O3313" i="2"/>
  <c r="O3314" i="2"/>
  <c r="O3315" i="2"/>
  <c r="O3316" i="2"/>
  <c r="O3317" i="2"/>
  <c r="O3318" i="2"/>
  <c r="O3319" i="2"/>
  <c r="O3320" i="2"/>
  <c r="O3321" i="2"/>
  <c r="O3322" i="2"/>
  <c r="O3323" i="2"/>
  <c r="O3324" i="2"/>
  <c r="O3325" i="2"/>
  <c r="O3326" i="2"/>
  <c r="O3327" i="2"/>
  <c r="O3328" i="2"/>
  <c r="O3329" i="2"/>
  <c r="O3330" i="2"/>
  <c r="O3331" i="2"/>
  <c r="O3332" i="2"/>
  <c r="O3333" i="2"/>
  <c r="O3334" i="2"/>
  <c r="O3335" i="2"/>
  <c r="O3336" i="2"/>
  <c r="O3337" i="2"/>
  <c r="O3338" i="2"/>
  <c r="O3339" i="2"/>
  <c r="O3340" i="2"/>
  <c r="O3341" i="2"/>
  <c r="O3342" i="2"/>
  <c r="O3343" i="2"/>
  <c r="O3344" i="2"/>
  <c r="O3345" i="2"/>
  <c r="O3346" i="2"/>
  <c r="O3347" i="2"/>
  <c r="O3348" i="2"/>
  <c r="O3349" i="2"/>
  <c r="O3350" i="2"/>
  <c r="O3351" i="2"/>
  <c r="O3352" i="2"/>
  <c r="O3353" i="2"/>
  <c r="O3354" i="2"/>
  <c r="O3355" i="2"/>
  <c r="O3356" i="2"/>
  <c r="O3357" i="2"/>
  <c r="O3358" i="2"/>
  <c r="O3359" i="2"/>
  <c r="O3360" i="2"/>
  <c r="O3361" i="2"/>
  <c r="O3362" i="2"/>
  <c r="O3363" i="2"/>
  <c r="O3364" i="2"/>
  <c r="O3365" i="2"/>
  <c r="O3366" i="2"/>
  <c r="O3367" i="2"/>
  <c r="O3368" i="2"/>
  <c r="O3369" i="2"/>
  <c r="O3370" i="2"/>
  <c r="O3371" i="2"/>
  <c r="O3372" i="2"/>
  <c r="O3373" i="2"/>
  <c r="O3374" i="2"/>
  <c r="O3375" i="2"/>
  <c r="O3376" i="2"/>
  <c r="O3377" i="2"/>
  <c r="O3378" i="2"/>
  <c r="O3379" i="2"/>
  <c r="O3380" i="2"/>
  <c r="O3381" i="2"/>
  <c r="O3382" i="2"/>
  <c r="O3383" i="2"/>
  <c r="O3384" i="2"/>
  <c r="O3385" i="2"/>
  <c r="O3386" i="2"/>
  <c r="O3387" i="2"/>
  <c r="O3388" i="2"/>
  <c r="O3389" i="2"/>
  <c r="O3390" i="2"/>
  <c r="O3391" i="2"/>
  <c r="O3392" i="2"/>
  <c r="O3393" i="2"/>
  <c r="O3394" i="2"/>
  <c r="O3395" i="2"/>
  <c r="O3396" i="2"/>
  <c r="O3397" i="2"/>
  <c r="O3398" i="2"/>
  <c r="O3399" i="2"/>
  <c r="O3400" i="2"/>
  <c r="O3401" i="2"/>
  <c r="O3402" i="2"/>
  <c r="O3403" i="2"/>
  <c r="O3404" i="2"/>
  <c r="O3405" i="2"/>
  <c r="O3406" i="2"/>
  <c r="O3407" i="2"/>
  <c r="O3408" i="2"/>
  <c r="O3409" i="2"/>
  <c r="O3410" i="2"/>
  <c r="O3411" i="2"/>
  <c r="O3412" i="2"/>
  <c r="O3413" i="2"/>
  <c r="O3414" i="2"/>
  <c r="O3415" i="2"/>
  <c r="O3416" i="2"/>
  <c r="O3417" i="2"/>
  <c r="O3418" i="2"/>
  <c r="O3419" i="2"/>
  <c r="O3420" i="2"/>
  <c r="O3421" i="2"/>
  <c r="O3422" i="2"/>
  <c r="O3423" i="2"/>
  <c r="O3424" i="2"/>
  <c r="O3425" i="2"/>
  <c r="O3426" i="2"/>
  <c r="O3427" i="2"/>
  <c r="O3428" i="2"/>
  <c r="O3429" i="2"/>
  <c r="O3430" i="2"/>
  <c r="O3431" i="2"/>
  <c r="O3432" i="2"/>
  <c r="O3433" i="2"/>
  <c r="O3434" i="2"/>
  <c r="O3435" i="2"/>
  <c r="O3436" i="2"/>
  <c r="O3437" i="2"/>
  <c r="O3438" i="2"/>
  <c r="O3439" i="2"/>
  <c r="O3440" i="2"/>
  <c r="O3441" i="2"/>
  <c r="O3442" i="2"/>
  <c r="O3443" i="2"/>
  <c r="O3444" i="2"/>
  <c r="O3445" i="2"/>
  <c r="O3446" i="2"/>
  <c r="O3447" i="2"/>
  <c r="O3448" i="2"/>
  <c r="O3449" i="2"/>
  <c r="O3450" i="2"/>
  <c r="O3451" i="2"/>
  <c r="O3452" i="2"/>
  <c r="O3453" i="2"/>
  <c r="O3454" i="2"/>
  <c r="O3455" i="2"/>
  <c r="O3456" i="2"/>
  <c r="O3457" i="2"/>
  <c r="O3458" i="2"/>
  <c r="O3459" i="2"/>
  <c r="O3460" i="2"/>
  <c r="O3461" i="2"/>
  <c r="O3462" i="2"/>
  <c r="O3463" i="2"/>
  <c r="O3464" i="2"/>
  <c r="O3465" i="2"/>
  <c r="O3466" i="2"/>
  <c r="O3467" i="2"/>
  <c r="O3468" i="2"/>
  <c r="O3469" i="2"/>
  <c r="O3470" i="2"/>
  <c r="O3471" i="2"/>
  <c r="O3472" i="2"/>
  <c r="O3473" i="2"/>
  <c r="O3474" i="2"/>
  <c r="O3475" i="2"/>
  <c r="O3476" i="2"/>
  <c r="O3477" i="2"/>
  <c r="O3478" i="2"/>
  <c r="O3479" i="2"/>
  <c r="O3480" i="2"/>
  <c r="O3481" i="2"/>
  <c r="O3482" i="2"/>
  <c r="O3483" i="2"/>
  <c r="O3484" i="2"/>
  <c r="O3485" i="2"/>
  <c r="O3486" i="2"/>
  <c r="O3487" i="2"/>
  <c r="O3488" i="2"/>
  <c r="O3489" i="2"/>
  <c r="O3490" i="2"/>
  <c r="O3491" i="2"/>
  <c r="O3492" i="2"/>
  <c r="O3493" i="2"/>
  <c r="O3494" i="2"/>
  <c r="O3495" i="2"/>
  <c r="O3496" i="2"/>
  <c r="O3497" i="2"/>
  <c r="O3498" i="2"/>
  <c r="O3499" i="2"/>
  <c r="O3500" i="2"/>
  <c r="O3501" i="2"/>
  <c r="O3502" i="2"/>
  <c r="O3503" i="2"/>
  <c r="O3504" i="2"/>
  <c r="O3505" i="2"/>
  <c r="O3506" i="2"/>
  <c r="O3507" i="2"/>
  <c r="O3508" i="2"/>
  <c r="O3509" i="2"/>
  <c r="O3510" i="2"/>
  <c r="O3511" i="2"/>
  <c r="O3512" i="2"/>
  <c r="O3513" i="2"/>
  <c r="O3514" i="2"/>
  <c r="O3515" i="2"/>
  <c r="O3516" i="2"/>
  <c r="O3517" i="2"/>
  <c r="O3518" i="2"/>
  <c r="O3519" i="2"/>
  <c r="O3520" i="2"/>
  <c r="O3521" i="2"/>
  <c r="O3522" i="2"/>
  <c r="O3523" i="2"/>
  <c r="O3524" i="2"/>
  <c r="O3525" i="2"/>
  <c r="O3526" i="2"/>
  <c r="O3527" i="2"/>
  <c r="O3528" i="2"/>
  <c r="O3529" i="2"/>
  <c r="O3530" i="2"/>
  <c r="O3531" i="2"/>
  <c r="O3532" i="2"/>
  <c r="O3533" i="2"/>
  <c r="O3534" i="2"/>
  <c r="O3535" i="2"/>
  <c r="O3536" i="2"/>
  <c r="O3537" i="2"/>
  <c r="O3538" i="2"/>
  <c r="O3539" i="2"/>
  <c r="O3540" i="2"/>
  <c r="O3541" i="2"/>
  <c r="O3542" i="2"/>
  <c r="O3543" i="2"/>
  <c r="O3544" i="2"/>
  <c r="O3545" i="2"/>
  <c r="O3546" i="2"/>
  <c r="O3547" i="2"/>
  <c r="O3548" i="2"/>
  <c r="O3549" i="2"/>
  <c r="O3550" i="2"/>
  <c r="O3551" i="2"/>
  <c r="O3552" i="2"/>
  <c r="O3553" i="2"/>
  <c r="O3554" i="2"/>
  <c r="O3555" i="2"/>
  <c r="O3556" i="2"/>
  <c r="O3557" i="2"/>
  <c r="O3558" i="2"/>
  <c r="O3559" i="2"/>
  <c r="O3560" i="2"/>
  <c r="O3561" i="2"/>
  <c r="O3562" i="2"/>
  <c r="O3563" i="2"/>
  <c r="O3564" i="2"/>
  <c r="O3565" i="2"/>
  <c r="O3566" i="2"/>
  <c r="O3567" i="2"/>
  <c r="O3568" i="2"/>
  <c r="O3569" i="2"/>
  <c r="O3570" i="2"/>
  <c r="O3571" i="2"/>
  <c r="O3572" i="2"/>
  <c r="O3573" i="2"/>
  <c r="O3574" i="2"/>
  <c r="O3575" i="2"/>
  <c r="O3576" i="2"/>
  <c r="O3577" i="2"/>
  <c r="O3578" i="2"/>
  <c r="O3579" i="2"/>
  <c r="O3580" i="2"/>
  <c r="O3581" i="2"/>
  <c r="O3582" i="2"/>
  <c r="O3583" i="2"/>
  <c r="O3584" i="2"/>
  <c r="O3585" i="2"/>
  <c r="O3586" i="2"/>
  <c r="O3587" i="2"/>
  <c r="O3588" i="2"/>
  <c r="O3589" i="2"/>
  <c r="O3590" i="2"/>
  <c r="O3591" i="2"/>
  <c r="O3592" i="2"/>
  <c r="O3593" i="2"/>
  <c r="O3594" i="2"/>
  <c r="O3595" i="2"/>
  <c r="O3596" i="2"/>
  <c r="O3597" i="2"/>
  <c r="O3598" i="2"/>
  <c r="O3599" i="2"/>
  <c r="O3600" i="2"/>
  <c r="O3601" i="2"/>
  <c r="O3602" i="2"/>
  <c r="O3603" i="2"/>
  <c r="O3604" i="2"/>
  <c r="O3605" i="2"/>
  <c r="O3606" i="2"/>
  <c r="O3607" i="2"/>
  <c r="O3608" i="2"/>
  <c r="O3609" i="2"/>
  <c r="O3610" i="2"/>
  <c r="O3611" i="2"/>
  <c r="O3612" i="2"/>
  <c r="O3613" i="2"/>
  <c r="O3614" i="2"/>
  <c r="O3615" i="2"/>
  <c r="O3616" i="2"/>
  <c r="O3617" i="2"/>
  <c r="O3618" i="2"/>
  <c r="O3619" i="2"/>
  <c r="O3620" i="2"/>
  <c r="O3621" i="2"/>
  <c r="O3622" i="2"/>
  <c r="O3623" i="2"/>
  <c r="O3624" i="2"/>
  <c r="O3625" i="2"/>
  <c r="O3626" i="2"/>
  <c r="O3627" i="2"/>
  <c r="O3628" i="2"/>
  <c r="O3629" i="2"/>
  <c r="O3630" i="2"/>
  <c r="O3631" i="2"/>
  <c r="O3632" i="2"/>
  <c r="O3633" i="2"/>
  <c r="O3634" i="2"/>
  <c r="O3635" i="2"/>
  <c r="O3636" i="2"/>
  <c r="O3637" i="2"/>
  <c r="O3638" i="2"/>
  <c r="O3639" i="2"/>
  <c r="O3640" i="2"/>
  <c r="O3641" i="2"/>
  <c r="O3642" i="2"/>
  <c r="O3643" i="2"/>
  <c r="O3644" i="2"/>
  <c r="O3645" i="2"/>
  <c r="O3646" i="2"/>
  <c r="O3647" i="2"/>
  <c r="O3648" i="2"/>
  <c r="O3649" i="2"/>
  <c r="O3650" i="2"/>
  <c r="O3651" i="2"/>
  <c r="O3652" i="2"/>
  <c r="O3653" i="2"/>
  <c r="O3654" i="2"/>
  <c r="O3655" i="2"/>
  <c r="O3656" i="2"/>
  <c r="O3657" i="2"/>
  <c r="O3658" i="2"/>
  <c r="O3659" i="2"/>
  <c r="O3660" i="2"/>
  <c r="O3661" i="2"/>
  <c r="O3662" i="2"/>
  <c r="O3663" i="2"/>
  <c r="O3664" i="2"/>
  <c r="O3665" i="2"/>
  <c r="O3666" i="2"/>
  <c r="O3667" i="2"/>
  <c r="O3668" i="2"/>
  <c r="O3669" i="2"/>
  <c r="O3670" i="2"/>
  <c r="O3671" i="2"/>
  <c r="O3672" i="2"/>
  <c r="O3673" i="2"/>
  <c r="O3674" i="2"/>
  <c r="O3675" i="2"/>
  <c r="O3676" i="2"/>
  <c r="O3677" i="2"/>
  <c r="O3678" i="2"/>
  <c r="O3679" i="2"/>
  <c r="O3680" i="2"/>
  <c r="O3681" i="2"/>
  <c r="O3682" i="2"/>
  <c r="O3683" i="2"/>
  <c r="O3684" i="2"/>
  <c r="O3685" i="2"/>
  <c r="O3686" i="2"/>
  <c r="O3687" i="2"/>
  <c r="O3688" i="2"/>
  <c r="O3689" i="2"/>
  <c r="O3690" i="2"/>
  <c r="O3691" i="2"/>
  <c r="O3692" i="2"/>
  <c r="O3693" i="2"/>
  <c r="O3694" i="2"/>
  <c r="O3695" i="2"/>
  <c r="O3696" i="2"/>
  <c r="O3697" i="2"/>
  <c r="O3698" i="2"/>
  <c r="O3699" i="2"/>
  <c r="O3700" i="2"/>
  <c r="O3701" i="2"/>
  <c r="O3702" i="2"/>
  <c r="O3703" i="2"/>
  <c r="O3704" i="2"/>
  <c r="O3705" i="2"/>
  <c r="O3706" i="2"/>
  <c r="O3707" i="2"/>
  <c r="O3708" i="2"/>
  <c r="O3709" i="2"/>
  <c r="O3710" i="2"/>
  <c r="O3711" i="2"/>
  <c r="O3712" i="2"/>
  <c r="O3713" i="2"/>
  <c r="O3714" i="2"/>
  <c r="O3715" i="2"/>
  <c r="O3716" i="2"/>
  <c r="O3717" i="2"/>
  <c r="O3718" i="2"/>
  <c r="O3719" i="2"/>
  <c r="O3720" i="2"/>
  <c r="O3721" i="2"/>
  <c r="O3722" i="2"/>
  <c r="O3723" i="2"/>
  <c r="O3724" i="2"/>
  <c r="O3725" i="2"/>
  <c r="O3726" i="2"/>
  <c r="O3727" i="2"/>
  <c r="O3728" i="2"/>
  <c r="O3729" i="2"/>
  <c r="O3730" i="2"/>
  <c r="O3731" i="2"/>
  <c r="O3732" i="2"/>
  <c r="O3733" i="2"/>
  <c r="O3734" i="2"/>
  <c r="O3735" i="2"/>
  <c r="O3736" i="2"/>
  <c r="O3737" i="2"/>
  <c r="O3738" i="2"/>
  <c r="O3739" i="2"/>
  <c r="O3740" i="2"/>
  <c r="O3741" i="2"/>
  <c r="O3742" i="2"/>
  <c r="O3743" i="2"/>
  <c r="O3744" i="2"/>
  <c r="O3745" i="2"/>
  <c r="O3746" i="2"/>
  <c r="O3747" i="2"/>
  <c r="O3748" i="2"/>
  <c r="O3749" i="2"/>
  <c r="O3750" i="2"/>
  <c r="O3751" i="2"/>
  <c r="O3752" i="2"/>
  <c r="O3753" i="2"/>
  <c r="O3754" i="2"/>
  <c r="O3755" i="2"/>
  <c r="O3756" i="2"/>
  <c r="O3757" i="2"/>
  <c r="O3758" i="2"/>
  <c r="O3759" i="2"/>
  <c r="O3760" i="2"/>
  <c r="O3761" i="2"/>
  <c r="O3762" i="2"/>
  <c r="O3763" i="2"/>
  <c r="O3764" i="2"/>
  <c r="O3765" i="2"/>
  <c r="O3766" i="2"/>
  <c r="O3767" i="2"/>
  <c r="O3768" i="2"/>
  <c r="O3769" i="2"/>
  <c r="O3770" i="2"/>
  <c r="O3771" i="2"/>
  <c r="O3772" i="2"/>
  <c r="O3773" i="2"/>
  <c r="O3774" i="2"/>
  <c r="O3775" i="2"/>
  <c r="O3776" i="2"/>
  <c r="O3777" i="2"/>
  <c r="O3778" i="2"/>
  <c r="O3779" i="2"/>
  <c r="O3780" i="2"/>
  <c r="O3781" i="2"/>
  <c r="O3782" i="2"/>
  <c r="O3783" i="2"/>
  <c r="O3784" i="2"/>
  <c r="O3785" i="2"/>
  <c r="O3786" i="2"/>
  <c r="O3787" i="2"/>
  <c r="O3788" i="2"/>
  <c r="O3789" i="2"/>
  <c r="O3790" i="2"/>
  <c r="O3791" i="2"/>
  <c r="O3792" i="2"/>
  <c r="O3793" i="2"/>
  <c r="O3794" i="2"/>
  <c r="O3795" i="2"/>
  <c r="O3796" i="2"/>
  <c r="O3797" i="2"/>
  <c r="O3798" i="2"/>
  <c r="O3799" i="2"/>
  <c r="O3800" i="2"/>
  <c r="O3801" i="2"/>
  <c r="O3802" i="2"/>
  <c r="O3803" i="2"/>
  <c r="O3804" i="2"/>
  <c r="O3805" i="2"/>
  <c r="O3806" i="2"/>
  <c r="O3807" i="2"/>
  <c r="O3808" i="2"/>
  <c r="O3809" i="2"/>
  <c r="O3810" i="2"/>
  <c r="O3811" i="2"/>
  <c r="O3812" i="2"/>
  <c r="O3813" i="2"/>
  <c r="O3814" i="2"/>
  <c r="O3815" i="2"/>
  <c r="O3816" i="2"/>
  <c r="O3817" i="2"/>
  <c r="O3818" i="2"/>
  <c r="O3819" i="2"/>
  <c r="O3820" i="2"/>
  <c r="O3821" i="2"/>
  <c r="O3822" i="2"/>
  <c r="O3823" i="2"/>
  <c r="O3824" i="2"/>
  <c r="O3825" i="2"/>
  <c r="O3826" i="2"/>
  <c r="O3827" i="2"/>
  <c r="O3828" i="2"/>
  <c r="O3829" i="2"/>
  <c r="O3830" i="2"/>
  <c r="O3831" i="2"/>
  <c r="O3832" i="2"/>
  <c r="O3833" i="2"/>
  <c r="O3834" i="2"/>
  <c r="O3835" i="2"/>
  <c r="O3836" i="2"/>
  <c r="O3837" i="2"/>
  <c r="O3838" i="2"/>
  <c r="O3839" i="2"/>
  <c r="O3840" i="2"/>
  <c r="O3841" i="2"/>
  <c r="O3842" i="2"/>
  <c r="O3843" i="2"/>
  <c r="O3844" i="2"/>
  <c r="O3845" i="2"/>
  <c r="O3846" i="2"/>
  <c r="O3847" i="2"/>
  <c r="O3848" i="2"/>
  <c r="O3849" i="2"/>
  <c r="O3850" i="2"/>
  <c r="O3851" i="2"/>
  <c r="O3852" i="2"/>
  <c r="O3853" i="2"/>
  <c r="O3854" i="2"/>
  <c r="O3855" i="2"/>
  <c r="O3856" i="2"/>
  <c r="O3857" i="2"/>
  <c r="O3858" i="2"/>
  <c r="O3859" i="2"/>
  <c r="O3860" i="2"/>
  <c r="O3861" i="2"/>
  <c r="O3862" i="2"/>
  <c r="O3863" i="2"/>
  <c r="O3864" i="2"/>
  <c r="O3865" i="2"/>
  <c r="O3866" i="2"/>
  <c r="O3867" i="2"/>
  <c r="O3868" i="2"/>
  <c r="O3869" i="2"/>
  <c r="O3870" i="2"/>
  <c r="O3871" i="2"/>
  <c r="O3872" i="2"/>
  <c r="O3873" i="2"/>
  <c r="O3874" i="2"/>
  <c r="O3875" i="2"/>
  <c r="O3876" i="2"/>
  <c r="O3877" i="2"/>
  <c r="O3878" i="2"/>
  <c r="O3879" i="2"/>
  <c r="O3880" i="2"/>
  <c r="O3881" i="2"/>
  <c r="O3882" i="2"/>
  <c r="O3883" i="2"/>
  <c r="O3884" i="2"/>
  <c r="O3885" i="2"/>
  <c r="O3886" i="2"/>
  <c r="O3887" i="2"/>
  <c r="O3888" i="2"/>
  <c r="O3889" i="2"/>
  <c r="O3890" i="2"/>
  <c r="O3891" i="2"/>
  <c r="O3892" i="2"/>
  <c r="O3893" i="2"/>
  <c r="O3894" i="2"/>
  <c r="O3895" i="2"/>
  <c r="O3896" i="2"/>
  <c r="O3897" i="2"/>
  <c r="O3898" i="2"/>
  <c r="O3899" i="2"/>
  <c r="O3900" i="2"/>
  <c r="O3901" i="2"/>
  <c r="O3902" i="2"/>
  <c r="O3903" i="2"/>
  <c r="O3904" i="2"/>
  <c r="O3905" i="2"/>
  <c r="O3906" i="2"/>
  <c r="O3907" i="2"/>
  <c r="O3908" i="2"/>
  <c r="O3909" i="2"/>
  <c r="O3910" i="2"/>
  <c r="O3911" i="2"/>
  <c r="O3912" i="2"/>
  <c r="O3913" i="2"/>
  <c r="O3914" i="2"/>
  <c r="O3915" i="2"/>
  <c r="O3916" i="2"/>
  <c r="O3917" i="2"/>
  <c r="O3918" i="2"/>
  <c r="O3919" i="2"/>
  <c r="O3920" i="2"/>
  <c r="O3921" i="2"/>
  <c r="O3922" i="2"/>
  <c r="O3923" i="2"/>
  <c r="O3924" i="2"/>
  <c r="O3925" i="2"/>
  <c r="O3926" i="2"/>
  <c r="O3927" i="2"/>
  <c r="O3928" i="2"/>
  <c r="O3929" i="2"/>
  <c r="O3930" i="2"/>
  <c r="O3931" i="2"/>
  <c r="O3932" i="2"/>
  <c r="O3933" i="2"/>
  <c r="O3934" i="2"/>
  <c r="O3935" i="2"/>
  <c r="O3936" i="2"/>
  <c r="O3937" i="2"/>
  <c r="O3938" i="2"/>
  <c r="O3939" i="2"/>
  <c r="O3940" i="2"/>
  <c r="O3941" i="2"/>
  <c r="O3942" i="2"/>
  <c r="O3943" i="2"/>
  <c r="O3944" i="2"/>
  <c r="O3945" i="2"/>
  <c r="O3946" i="2"/>
  <c r="O3947" i="2"/>
  <c r="O3948" i="2"/>
  <c r="O3949" i="2"/>
  <c r="O3950" i="2"/>
  <c r="O3951" i="2"/>
  <c r="O3952" i="2"/>
  <c r="O3953" i="2"/>
  <c r="O3954" i="2"/>
  <c r="O3955" i="2"/>
  <c r="O3956" i="2"/>
  <c r="O3957" i="2"/>
  <c r="O3958" i="2"/>
  <c r="O3959" i="2"/>
  <c r="O3960" i="2"/>
  <c r="O3961" i="2"/>
  <c r="O3962" i="2"/>
  <c r="O3963" i="2"/>
  <c r="O3964" i="2"/>
  <c r="O3965" i="2"/>
  <c r="O3966" i="2"/>
  <c r="O3967" i="2"/>
  <c r="O3968" i="2"/>
  <c r="O3969" i="2"/>
  <c r="O3970" i="2"/>
  <c r="O3971" i="2"/>
  <c r="O3972" i="2"/>
  <c r="O3973" i="2"/>
  <c r="O3974" i="2"/>
  <c r="O3975" i="2"/>
  <c r="O3976" i="2"/>
  <c r="O3977" i="2"/>
  <c r="O3978" i="2"/>
  <c r="O3979" i="2"/>
  <c r="O3980" i="2"/>
  <c r="O3981" i="2"/>
  <c r="O3982" i="2"/>
  <c r="O3983" i="2"/>
  <c r="O3984" i="2"/>
  <c r="O3985" i="2"/>
  <c r="O3986" i="2"/>
  <c r="O3987" i="2"/>
  <c r="O3988" i="2"/>
  <c r="O3989" i="2"/>
  <c r="O3990" i="2"/>
  <c r="O3991" i="2"/>
  <c r="O3992" i="2"/>
  <c r="O3993" i="2"/>
  <c r="O3994" i="2"/>
  <c r="O3995" i="2"/>
  <c r="O3996" i="2"/>
  <c r="O3997" i="2"/>
  <c r="O3998" i="2"/>
  <c r="O3999" i="2"/>
  <c r="O4000" i="2"/>
  <c r="O4001" i="2"/>
  <c r="O4002" i="2"/>
  <c r="O4003" i="2"/>
  <c r="O4004" i="2"/>
  <c r="O4005" i="2"/>
  <c r="O4006" i="2"/>
  <c r="O4007" i="2"/>
  <c r="O4008" i="2"/>
  <c r="O4009" i="2"/>
  <c r="O4010" i="2"/>
  <c r="O4011" i="2"/>
  <c r="O4012" i="2"/>
  <c r="O4013" i="2"/>
  <c r="O4014" i="2"/>
  <c r="O4015" i="2"/>
  <c r="O4016" i="2"/>
  <c r="O4017" i="2"/>
  <c r="O4018" i="2"/>
  <c r="O4019" i="2"/>
  <c r="O4020" i="2"/>
  <c r="O4021" i="2"/>
  <c r="O4022" i="2"/>
  <c r="O4023" i="2"/>
  <c r="O4024" i="2"/>
  <c r="O4025" i="2"/>
  <c r="O4026" i="2"/>
  <c r="O4027" i="2"/>
  <c r="O4028" i="2"/>
  <c r="O4029" i="2"/>
  <c r="O4030" i="2"/>
  <c r="O4031" i="2"/>
  <c r="O4032" i="2"/>
  <c r="O4033" i="2"/>
  <c r="O4034" i="2"/>
  <c r="O4035" i="2"/>
  <c r="O4036" i="2"/>
  <c r="O4037" i="2"/>
  <c r="O4038" i="2"/>
  <c r="O4039" i="2"/>
  <c r="O4040" i="2"/>
  <c r="O4041" i="2"/>
  <c r="O4042" i="2"/>
  <c r="O4043" i="2"/>
  <c r="O4044" i="2"/>
  <c r="O4045" i="2"/>
  <c r="O4046" i="2"/>
  <c r="O4047" i="2"/>
  <c r="O4048" i="2"/>
  <c r="O4049" i="2"/>
  <c r="O4050" i="2"/>
  <c r="O4051" i="2"/>
  <c r="O4052" i="2"/>
  <c r="O4053" i="2"/>
  <c r="O4054" i="2"/>
  <c r="O4055" i="2"/>
  <c r="O4056" i="2"/>
  <c r="O4057" i="2"/>
  <c r="O4058" i="2"/>
  <c r="O4059" i="2"/>
  <c r="O4060" i="2"/>
  <c r="O4061" i="2"/>
  <c r="O4062" i="2"/>
  <c r="O4063" i="2"/>
  <c r="O4064" i="2"/>
  <c r="O4065" i="2"/>
  <c r="O4066" i="2"/>
  <c r="O4067" i="2"/>
  <c r="O4068" i="2"/>
  <c r="O4069" i="2"/>
  <c r="O4070" i="2"/>
  <c r="O4071" i="2"/>
  <c r="O4072" i="2"/>
  <c r="O4073" i="2"/>
  <c r="O4074" i="2"/>
  <c r="O4075" i="2"/>
  <c r="O4076" i="2"/>
  <c r="O4077" i="2"/>
  <c r="O4078" i="2"/>
  <c r="O4079" i="2"/>
  <c r="O4080" i="2"/>
  <c r="O4081" i="2"/>
  <c r="O4082" i="2"/>
  <c r="O4083" i="2"/>
  <c r="O4084" i="2"/>
  <c r="O4085" i="2"/>
  <c r="O4086" i="2"/>
  <c r="O4087" i="2"/>
  <c r="O4088" i="2"/>
  <c r="O4089" i="2"/>
  <c r="O4090" i="2"/>
  <c r="O4091" i="2"/>
  <c r="O4092" i="2"/>
  <c r="O4093" i="2"/>
  <c r="O4094" i="2"/>
  <c r="O4095" i="2"/>
  <c r="O4096" i="2"/>
  <c r="O4097" i="2"/>
  <c r="O4098" i="2"/>
  <c r="O4099" i="2"/>
  <c r="O4100" i="2"/>
  <c r="O4101" i="2"/>
  <c r="O4102" i="2"/>
  <c r="O4103" i="2"/>
  <c r="O4104" i="2"/>
  <c r="O4105" i="2"/>
  <c r="O4106" i="2"/>
  <c r="O4107" i="2"/>
  <c r="O4108" i="2"/>
  <c r="O4109" i="2"/>
  <c r="O4110" i="2"/>
  <c r="O4111" i="2"/>
  <c r="O4112" i="2"/>
  <c r="O4113" i="2"/>
  <c r="O4114" i="2"/>
  <c r="O4115" i="2"/>
  <c r="O4116" i="2"/>
  <c r="O4117" i="2"/>
  <c r="O4118" i="2"/>
  <c r="O4119" i="2"/>
  <c r="O4120" i="2"/>
  <c r="O4121" i="2"/>
  <c r="O4122" i="2"/>
  <c r="O4123" i="2"/>
  <c r="O4124" i="2"/>
  <c r="O4125" i="2"/>
  <c r="O4126" i="2"/>
  <c r="O4127" i="2"/>
  <c r="O4128" i="2"/>
  <c r="O4129" i="2"/>
  <c r="O4130" i="2"/>
  <c r="O4131" i="2"/>
  <c r="O4132" i="2"/>
  <c r="O4133" i="2"/>
  <c r="O4134" i="2"/>
  <c r="O4135" i="2"/>
  <c r="O4136" i="2"/>
  <c r="O4137" i="2"/>
  <c r="O4138" i="2"/>
  <c r="O4139" i="2"/>
  <c r="O4140" i="2"/>
  <c r="O4141" i="2"/>
  <c r="O4142" i="2"/>
  <c r="O4143" i="2"/>
  <c r="O4144" i="2"/>
  <c r="O4145" i="2"/>
  <c r="O4146" i="2"/>
  <c r="O4147" i="2"/>
  <c r="O4148" i="2"/>
  <c r="O4149" i="2"/>
  <c r="O4150" i="2"/>
  <c r="O4151" i="2"/>
  <c r="O4152" i="2"/>
  <c r="O4153" i="2"/>
  <c r="O4154" i="2"/>
  <c r="O4155" i="2"/>
  <c r="O4156" i="2"/>
  <c r="O4157" i="2"/>
  <c r="O4158" i="2"/>
  <c r="O4159" i="2"/>
  <c r="O4160" i="2"/>
  <c r="O4161" i="2"/>
  <c r="O4162" i="2"/>
  <c r="O4163" i="2"/>
  <c r="O4164" i="2"/>
  <c r="O4165" i="2"/>
  <c r="O4166" i="2"/>
  <c r="O4167" i="2"/>
  <c r="O4168" i="2"/>
  <c r="O4169" i="2"/>
  <c r="O4170" i="2"/>
  <c r="O4171" i="2"/>
  <c r="O4172" i="2"/>
  <c r="O4173" i="2"/>
  <c r="O4174" i="2"/>
  <c r="O4175" i="2"/>
  <c r="O4176" i="2"/>
  <c r="O4177" i="2"/>
  <c r="O4178" i="2"/>
  <c r="O4179" i="2"/>
  <c r="O4180" i="2"/>
  <c r="O4181" i="2"/>
  <c r="O4182" i="2"/>
  <c r="O4183" i="2"/>
  <c r="O4184" i="2"/>
  <c r="O4185" i="2"/>
  <c r="O4186" i="2"/>
  <c r="O4187" i="2"/>
  <c r="O4188" i="2"/>
  <c r="O4189" i="2"/>
  <c r="O4190" i="2"/>
  <c r="O4191" i="2"/>
  <c r="O4192" i="2"/>
  <c r="O4193" i="2"/>
  <c r="O4194" i="2"/>
  <c r="O4195" i="2"/>
  <c r="O4196" i="2"/>
  <c r="O4197" i="2"/>
  <c r="O4198" i="2"/>
  <c r="O4199" i="2"/>
  <c r="O4200" i="2"/>
  <c r="O4201" i="2"/>
  <c r="O4202" i="2"/>
  <c r="O4203" i="2"/>
  <c r="O4204" i="2"/>
  <c r="O4205" i="2"/>
  <c r="O4206" i="2"/>
  <c r="O4207" i="2"/>
  <c r="O4208" i="2"/>
  <c r="O4209" i="2"/>
  <c r="O4210" i="2"/>
  <c r="O4211" i="2"/>
  <c r="O4212" i="2"/>
  <c r="O4213" i="2"/>
  <c r="O4214" i="2"/>
  <c r="O4215" i="2"/>
  <c r="O4216" i="2"/>
  <c r="O4217" i="2"/>
  <c r="O4218" i="2"/>
  <c r="O4219" i="2"/>
  <c r="O4220" i="2"/>
  <c r="O4221" i="2"/>
  <c r="O4222" i="2"/>
  <c r="O4223" i="2"/>
  <c r="O4224" i="2"/>
  <c r="O4225" i="2"/>
  <c r="O4226" i="2"/>
  <c r="O4227" i="2"/>
  <c r="O4228" i="2"/>
  <c r="O4229" i="2"/>
  <c r="O4230" i="2"/>
  <c r="O4231" i="2"/>
  <c r="O4232" i="2"/>
  <c r="O4233" i="2"/>
  <c r="O4234" i="2"/>
  <c r="O4235" i="2"/>
  <c r="O4236" i="2"/>
  <c r="O4237" i="2"/>
  <c r="O4238" i="2"/>
  <c r="O4239" i="2"/>
  <c r="O4240" i="2"/>
  <c r="O4241" i="2"/>
  <c r="O4242" i="2"/>
  <c r="O4243" i="2"/>
  <c r="O4244" i="2"/>
  <c r="O4245" i="2"/>
  <c r="O4246" i="2"/>
  <c r="O4247" i="2"/>
  <c r="O4248" i="2"/>
  <c r="O4249" i="2"/>
  <c r="O4250" i="2"/>
  <c r="O4251" i="2"/>
  <c r="O4252" i="2"/>
  <c r="O4253" i="2"/>
  <c r="O4254" i="2"/>
  <c r="O4255" i="2"/>
  <c r="O4256" i="2"/>
  <c r="O4257" i="2"/>
  <c r="O4258" i="2"/>
  <c r="O4259" i="2"/>
  <c r="O4260" i="2"/>
  <c r="O4261" i="2"/>
  <c r="O4262" i="2"/>
  <c r="O4263" i="2"/>
  <c r="O4264" i="2"/>
  <c r="O4265" i="2"/>
  <c r="O4266" i="2"/>
  <c r="O4267" i="2"/>
  <c r="O4268" i="2"/>
  <c r="O4269" i="2"/>
  <c r="O4270" i="2"/>
  <c r="O4271" i="2"/>
  <c r="O4272" i="2"/>
  <c r="O4273" i="2"/>
  <c r="O4274" i="2"/>
  <c r="O4275" i="2"/>
  <c r="O4276" i="2"/>
  <c r="O4277" i="2"/>
  <c r="O4278" i="2"/>
  <c r="O4279" i="2"/>
  <c r="O4280" i="2"/>
  <c r="O4281" i="2"/>
  <c r="O4282" i="2"/>
  <c r="O4283" i="2"/>
  <c r="O4284" i="2"/>
  <c r="O4285" i="2"/>
  <c r="O4286" i="2"/>
  <c r="O4287" i="2"/>
  <c r="O4288" i="2"/>
  <c r="O4289" i="2"/>
  <c r="O4290" i="2"/>
  <c r="O4291" i="2"/>
  <c r="O4292" i="2"/>
  <c r="O4293" i="2"/>
  <c r="O4294" i="2"/>
  <c r="O4295" i="2"/>
  <c r="O4296" i="2"/>
  <c r="O4297" i="2"/>
  <c r="O4298" i="2"/>
  <c r="O4299" i="2"/>
  <c r="O4300" i="2"/>
  <c r="O4301" i="2"/>
  <c r="O4302" i="2"/>
  <c r="O4303" i="2"/>
  <c r="O4304" i="2"/>
  <c r="O4305" i="2"/>
  <c r="O4306" i="2"/>
  <c r="O4307" i="2"/>
  <c r="O4308" i="2"/>
  <c r="O4309" i="2"/>
  <c r="O4310" i="2"/>
  <c r="O4311" i="2"/>
  <c r="O4312" i="2"/>
  <c r="O4313" i="2"/>
  <c r="O4314" i="2"/>
  <c r="O4315" i="2"/>
  <c r="O4316" i="2"/>
  <c r="O4317" i="2"/>
  <c r="O4318" i="2"/>
  <c r="O4319" i="2"/>
  <c r="O4320" i="2"/>
  <c r="O4321" i="2"/>
  <c r="O4322" i="2"/>
  <c r="O4323" i="2"/>
  <c r="O4324" i="2"/>
  <c r="O4325" i="2"/>
  <c r="O4326" i="2"/>
  <c r="O4327" i="2"/>
  <c r="O4328" i="2"/>
  <c r="O4329" i="2"/>
  <c r="O4330" i="2"/>
  <c r="O4331" i="2"/>
  <c r="O4332" i="2"/>
  <c r="O4333" i="2"/>
  <c r="O4334" i="2"/>
  <c r="O4335" i="2"/>
  <c r="O4336" i="2"/>
  <c r="O4337" i="2"/>
  <c r="O4338" i="2"/>
  <c r="O4339" i="2"/>
  <c r="O4340" i="2"/>
  <c r="O4341" i="2"/>
  <c r="O4342" i="2"/>
  <c r="O4343" i="2"/>
  <c r="O4344" i="2"/>
  <c r="O4345" i="2"/>
  <c r="O4346" i="2"/>
  <c r="O4347" i="2"/>
  <c r="O4348" i="2"/>
  <c r="O4349" i="2"/>
  <c r="O4350" i="2"/>
  <c r="O4351" i="2"/>
  <c r="O4352" i="2"/>
  <c r="O4353" i="2"/>
  <c r="O4354" i="2"/>
  <c r="O4355" i="2"/>
  <c r="O4356" i="2"/>
  <c r="O4357" i="2"/>
  <c r="O4358" i="2"/>
  <c r="O4359" i="2"/>
  <c r="O4360" i="2"/>
  <c r="O4361" i="2"/>
  <c r="O4362" i="2"/>
  <c r="O4363" i="2"/>
  <c r="O4364" i="2"/>
  <c r="O4365" i="2"/>
  <c r="O4366" i="2"/>
  <c r="O4367" i="2"/>
  <c r="O4368" i="2"/>
  <c r="O4369" i="2"/>
  <c r="O4370" i="2"/>
  <c r="O4371" i="2"/>
  <c r="O4372" i="2"/>
  <c r="O4373" i="2"/>
  <c r="O4374" i="2"/>
  <c r="O4375" i="2"/>
  <c r="O4376" i="2"/>
  <c r="O4377" i="2"/>
  <c r="O4378" i="2"/>
  <c r="O4379" i="2"/>
  <c r="O4380" i="2"/>
  <c r="O4381" i="2"/>
  <c r="O4382" i="2"/>
  <c r="O4383" i="2"/>
  <c r="O4384" i="2"/>
  <c r="O4385" i="2"/>
  <c r="O4386" i="2"/>
  <c r="O4387" i="2"/>
  <c r="O4388" i="2"/>
  <c r="O4389" i="2"/>
  <c r="O4390" i="2"/>
  <c r="O4391" i="2"/>
  <c r="O4392" i="2"/>
  <c r="O4393" i="2"/>
  <c r="O4394" i="2"/>
  <c r="O4395" i="2"/>
  <c r="O4396" i="2"/>
  <c r="O4397" i="2"/>
  <c r="O4398" i="2"/>
  <c r="O4399" i="2"/>
  <c r="O4400" i="2"/>
  <c r="O4401" i="2"/>
  <c r="O4402" i="2"/>
  <c r="O4403" i="2"/>
  <c r="O4404" i="2"/>
  <c r="O4405" i="2"/>
  <c r="O4406" i="2"/>
  <c r="O4407" i="2"/>
  <c r="O4408" i="2"/>
  <c r="O4409" i="2"/>
  <c r="O4410" i="2"/>
  <c r="O4411" i="2"/>
  <c r="O4412" i="2"/>
  <c r="O4413" i="2"/>
  <c r="O4414" i="2"/>
  <c r="O4415" i="2"/>
  <c r="O4416" i="2"/>
  <c r="O4417" i="2"/>
  <c r="O4418" i="2"/>
  <c r="O4419" i="2"/>
  <c r="O4420" i="2"/>
  <c r="O4421" i="2"/>
  <c r="O4422" i="2"/>
  <c r="O4423" i="2"/>
  <c r="O4424" i="2"/>
  <c r="O4425" i="2"/>
  <c r="O4426" i="2"/>
  <c r="O4427" i="2"/>
  <c r="O4428" i="2"/>
  <c r="O4429" i="2"/>
  <c r="O4430" i="2"/>
  <c r="O4431" i="2"/>
  <c r="O4432" i="2"/>
  <c r="O4433" i="2"/>
  <c r="O4434" i="2"/>
  <c r="O4435" i="2"/>
  <c r="O4436" i="2"/>
  <c r="O4437" i="2"/>
  <c r="O4438" i="2"/>
  <c r="O4439" i="2"/>
  <c r="O4440" i="2"/>
  <c r="O4441" i="2"/>
  <c r="O4442" i="2"/>
  <c r="O4443" i="2"/>
  <c r="O4444" i="2"/>
  <c r="O4445" i="2"/>
  <c r="O4446" i="2"/>
  <c r="O4447" i="2"/>
  <c r="O4448" i="2"/>
  <c r="O4449" i="2"/>
  <c r="O4450" i="2"/>
  <c r="O4451" i="2"/>
  <c r="O4452" i="2"/>
  <c r="O4453" i="2"/>
  <c r="O4454" i="2"/>
  <c r="O4455" i="2"/>
  <c r="O4456" i="2"/>
  <c r="O4457" i="2"/>
  <c r="O4458" i="2"/>
  <c r="O4459" i="2"/>
  <c r="O4460" i="2"/>
  <c r="O4461" i="2"/>
  <c r="O4462" i="2"/>
  <c r="O4463" i="2"/>
  <c r="O4464" i="2"/>
  <c r="O4465" i="2"/>
  <c r="O4466" i="2"/>
  <c r="O4467" i="2"/>
  <c r="O4468" i="2"/>
  <c r="O4469" i="2"/>
  <c r="O4470" i="2"/>
  <c r="O4471" i="2"/>
  <c r="O4472" i="2"/>
  <c r="O4473" i="2"/>
  <c r="O4474" i="2"/>
  <c r="O4475" i="2"/>
  <c r="O4476" i="2"/>
  <c r="O4477" i="2"/>
  <c r="O4478" i="2"/>
  <c r="O4479" i="2"/>
  <c r="O4480" i="2"/>
  <c r="O4481" i="2"/>
  <c r="O4482" i="2"/>
  <c r="O4483" i="2"/>
  <c r="O4484" i="2"/>
  <c r="O4485" i="2"/>
  <c r="O4486" i="2"/>
  <c r="O4487" i="2"/>
  <c r="O4488" i="2"/>
  <c r="O4489" i="2"/>
  <c r="O4490" i="2"/>
  <c r="O4491" i="2"/>
  <c r="O4492" i="2"/>
  <c r="O4493" i="2"/>
  <c r="O4494" i="2"/>
  <c r="O4495" i="2"/>
  <c r="O4496" i="2"/>
  <c r="O4497" i="2"/>
  <c r="O4498" i="2"/>
  <c r="O4499" i="2"/>
  <c r="O4500" i="2"/>
  <c r="O4501" i="2"/>
  <c r="O4502" i="2"/>
  <c r="O4503" i="2"/>
  <c r="O4504" i="2"/>
  <c r="O4505" i="2"/>
  <c r="O4506" i="2"/>
  <c r="O4507" i="2"/>
  <c r="O4508" i="2"/>
  <c r="O4509" i="2"/>
  <c r="O4510" i="2"/>
  <c r="O4511" i="2"/>
  <c r="O4512" i="2"/>
  <c r="O4513" i="2"/>
  <c r="O4514" i="2"/>
  <c r="O4515" i="2"/>
  <c r="O4516" i="2"/>
  <c r="O4517" i="2"/>
  <c r="O4518" i="2"/>
  <c r="O4519" i="2"/>
  <c r="O4520" i="2"/>
  <c r="O4521" i="2"/>
  <c r="O4522" i="2"/>
  <c r="O4523" i="2"/>
  <c r="O4524" i="2"/>
  <c r="O4525" i="2"/>
  <c r="O4526" i="2"/>
  <c r="O4527" i="2"/>
  <c r="O4528" i="2"/>
  <c r="O4529" i="2"/>
  <c r="O4530" i="2"/>
  <c r="O4531" i="2"/>
  <c r="O4532" i="2"/>
  <c r="O4533" i="2"/>
  <c r="O4534" i="2"/>
  <c r="O4535" i="2"/>
  <c r="O4536" i="2"/>
  <c r="O4537" i="2"/>
  <c r="O4538" i="2"/>
  <c r="O4539" i="2"/>
  <c r="O4540" i="2"/>
  <c r="O4541" i="2"/>
  <c r="O4542" i="2"/>
  <c r="O4543" i="2"/>
  <c r="O4544" i="2"/>
  <c r="O4545" i="2"/>
  <c r="O4546" i="2"/>
  <c r="O4547" i="2"/>
  <c r="O4548" i="2"/>
  <c r="O4549" i="2"/>
  <c r="O4550" i="2"/>
  <c r="O4551" i="2"/>
  <c r="O4552" i="2"/>
  <c r="O4553" i="2"/>
  <c r="O4554" i="2"/>
  <c r="O4555" i="2"/>
  <c r="O4556" i="2"/>
  <c r="O4557" i="2"/>
  <c r="O4558" i="2"/>
  <c r="O4559" i="2"/>
  <c r="O4560" i="2"/>
  <c r="O4561" i="2"/>
  <c r="O4562" i="2"/>
  <c r="O4563" i="2"/>
  <c r="O4564" i="2"/>
  <c r="O4565" i="2"/>
  <c r="O4566" i="2"/>
  <c r="O4567" i="2"/>
  <c r="O4568" i="2"/>
  <c r="O4569" i="2"/>
  <c r="O4570" i="2"/>
  <c r="O4571" i="2"/>
  <c r="O4572" i="2"/>
  <c r="O4573" i="2"/>
  <c r="O4574" i="2"/>
  <c r="O4575" i="2"/>
  <c r="O4576" i="2"/>
  <c r="O4577" i="2"/>
  <c r="O4578" i="2"/>
  <c r="O4579" i="2"/>
  <c r="O4580" i="2"/>
  <c r="O4581" i="2"/>
  <c r="O4582" i="2"/>
  <c r="O4583" i="2"/>
  <c r="O4584" i="2"/>
  <c r="O4585" i="2"/>
  <c r="O4586" i="2"/>
  <c r="O4587" i="2"/>
  <c r="O4588" i="2"/>
  <c r="O4589" i="2"/>
  <c r="O4590" i="2"/>
  <c r="O4591" i="2"/>
  <c r="O4592" i="2"/>
  <c r="O4593" i="2"/>
  <c r="O4594" i="2"/>
  <c r="O4595" i="2"/>
  <c r="O4596" i="2"/>
  <c r="O4597" i="2"/>
  <c r="O4598" i="2"/>
  <c r="O4599" i="2"/>
  <c r="O4600" i="2"/>
  <c r="O4601" i="2"/>
  <c r="O4602" i="2"/>
  <c r="O4603" i="2"/>
  <c r="O4604" i="2"/>
  <c r="O4605" i="2"/>
  <c r="O4606" i="2"/>
  <c r="O4607" i="2"/>
  <c r="O4608" i="2"/>
  <c r="O4609" i="2"/>
  <c r="O4610" i="2"/>
  <c r="O4611" i="2"/>
  <c r="O4612" i="2"/>
  <c r="O4613" i="2"/>
  <c r="O4614" i="2"/>
  <c r="O4615" i="2"/>
  <c r="O4616" i="2"/>
  <c r="O4617" i="2"/>
  <c r="O4618" i="2"/>
  <c r="O4619" i="2"/>
  <c r="O4620" i="2"/>
  <c r="O4621" i="2"/>
  <c r="O4622" i="2"/>
  <c r="O4623" i="2"/>
  <c r="O4624" i="2"/>
  <c r="O4625" i="2"/>
  <c r="O4626" i="2"/>
  <c r="O4627" i="2"/>
  <c r="O4628" i="2"/>
  <c r="O4629" i="2"/>
  <c r="O4630" i="2"/>
  <c r="O4631" i="2"/>
  <c r="O4632" i="2"/>
  <c r="O4633" i="2"/>
  <c r="O4634" i="2"/>
  <c r="O4635" i="2"/>
  <c r="O4636" i="2"/>
  <c r="O4637" i="2"/>
  <c r="O4638" i="2"/>
  <c r="O4639" i="2"/>
  <c r="O4640" i="2"/>
  <c r="O4641" i="2"/>
  <c r="O4642" i="2"/>
  <c r="O4643" i="2"/>
  <c r="O4644" i="2"/>
  <c r="O4645" i="2"/>
  <c r="O4646" i="2"/>
  <c r="O4647" i="2"/>
  <c r="O4648" i="2"/>
  <c r="O4649" i="2"/>
  <c r="O4650" i="2"/>
  <c r="O4651" i="2"/>
  <c r="O4652" i="2"/>
  <c r="O4653" i="2"/>
  <c r="O4654" i="2"/>
  <c r="O4655" i="2"/>
  <c r="O4656" i="2"/>
  <c r="O4657" i="2"/>
  <c r="O4658" i="2"/>
  <c r="O4659" i="2"/>
  <c r="O4660" i="2"/>
  <c r="O4661" i="2"/>
  <c r="O4662" i="2"/>
  <c r="O4663" i="2"/>
  <c r="O4664" i="2"/>
  <c r="O4665" i="2"/>
  <c r="O4666" i="2"/>
  <c r="O4667" i="2"/>
  <c r="O4668" i="2"/>
  <c r="O4669" i="2"/>
  <c r="O4670" i="2"/>
  <c r="O4671" i="2"/>
  <c r="O4672" i="2"/>
  <c r="O4673" i="2"/>
  <c r="O4674" i="2"/>
  <c r="O4675" i="2"/>
  <c r="O4676" i="2"/>
  <c r="O4677" i="2"/>
  <c r="O4678" i="2"/>
  <c r="O4679" i="2"/>
  <c r="O4680" i="2"/>
  <c r="O4681" i="2"/>
  <c r="O4682" i="2"/>
  <c r="O4683" i="2"/>
  <c r="O4684" i="2"/>
  <c r="O4685" i="2"/>
  <c r="O4686" i="2"/>
  <c r="O4687" i="2"/>
  <c r="O4688" i="2"/>
  <c r="O4689" i="2"/>
  <c r="O4690" i="2"/>
  <c r="O4691" i="2"/>
  <c r="O4692" i="2"/>
  <c r="O4693" i="2"/>
  <c r="O4694" i="2"/>
  <c r="O4695" i="2"/>
  <c r="O4696" i="2"/>
  <c r="O4697" i="2"/>
  <c r="O4698" i="2"/>
  <c r="O4699" i="2"/>
  <c r="O4700" i="2"/>
  <c r="O4701" i="2"/>
  <c r="O4702" i="2"/>
  <c r="O4703" i="2"/>
  <c r="O4704" i="2"/>
  <c r="O4705" i="2"/>
  <c r="O4706" i="2"/>
  <c r="O4707" i="2"/>
  <c r="O4708" i="2"/>
  <c r="O4709" i="2"/>
  <c r="O4710" i="2"/>
  <c r="O4711" i="2"/>
  <c r="O4712" i="2"/>
  <c r="O4713" i="2"/>
  <c r="O4714" i="2"/>
  <c r="O4715" i="2"/>
  <c r="O4716" i="2"/>
  <c r="O4717" i="2"/>
  <c r="O4718" i="2"/>
  <c r="O4719" i="2"/>
  <c r="O4720" i="2"/>
  <c r="O4721" i="2"/>
  <c r="O4722" i="2"/>
  <c r="O4723" i="2"/>
  <c r="O4724" i="2"/>
  <c r="O4725" i="2"/>
  <c r="O4726" i="2"/>
  <c r="O4727" i="2"/>
  <c r="O4728" i="2"/>
  <c r="O4729" i="2"/>
  <c r="O4730" i="2"/>
  <c r="O4731" i="2"/>
  <c r="O4732" i="2"/>
  <c r="O4733" i="2"/>
  <c r="O4734" i="2"/>
  <c r="O4735" i="2"/>
  <c r="O4736" i="2"/>
  <c r="O4737" i="2"/>
  <c r="O4738" i="2"/>
  <c r="O4739" i="2"/>
  <c r="O4740" i="2"/>
  <c r="O4741" i="2"/>
  <c r="O4742" i="2"/>
  <c r="O4743" i="2"/>
  <c r="O4744" i="2"/>
  <c r="O4745" i="2"/>
  <c r="O4746" i="2"/>
  <c r="O4747" i="2"/>
  <c r="O4748" i="2"/>
  <c r="O4749" i="2"/>
  <c r="O4750" i="2"/>
  <c r="O4751" i="2"/>
  <c r="O4752" i="2"/>
  <c r="O4753" i="2"/>
  <c r="O4754" i="2"/>
  <c r="O4755" i="2"/>
  <c r="O4756" i="2"/>
  <c r="O4757" i="2"/>
  <c r="O4758" i="2"/>
  <c r="O4759" i="2"/>
  <c r="O4760" i="2"/>
  <c r="O4761" i="2"/>
  <c r="O4762" i="2"/>
  <c r="O4763" i="2"/>
  <c r="O4764" i="2"/>
  <c r="O4765" i="2"/>
  <c r="O4766" i="2"/>
  <c r="O4767" i="2"/>
  <c r="O4768" i="2"/>
  <c r="O4769" i="2"/>
  <c r="O4770" i="2"/>
  <c r="O4771" i="2"/>
  <c r="O4772" i="2"/>
  <c r="O4773" i="2"/>
  <c r="O4774" i="2"/>
  <c r="O4775" i="2"/>
  <c r="O4776" i="2"/>
  <c r="O4777" i="2"/>
  <c r="O4778" i="2"/>
  <c r="O4779" i="2"/>
  <c r="O4780" i="2"/>
  <c r="O4781" i="2"/>
  <c r="O4782" i="2"/>
  <c r="O4783" i="2"/>
  <c r="O4784" i="2"/>
  <c r="O4785" i="2"/>
  <c r="O4786" i="2"/>
  <c r="O4787" i="2"/>
  <c r="O4788" i="2"/>
  <c r="O4789" i="2"/>
  <c r="O4790" i="2"/>
  <c r="O4791" i="2"/>
  <c r="O4792" i="2"/>
  <c r="O4793" i="2"/>
  <c r="O4794" i="2"/>
  <c r="O4795" i="2"/>
  <c r="O4796" i="2"/>
  <c r="O4797" i="2"/>
  <c r="O4798" i="2"/>
  <c r="O4799" i="2"/>
  <c r="O4800" i="2"/>
  <c r="O4801" i="2"/>
  <c r="O4802" i="2"/>
  <c r="O4803" i="2"/>
  <c r="O4804" i="2"/>
  <c r="O4805" i="2"/>
  <c r="O4806" i="2"/>
  <c r="O4807" i="2"/>
  <c r="O4808" i="2"/>
  <c r="O4809" i="2"/>
  <c r="O4810" i="2"/>
  <c r="O4811" i="2"/>
  <c r="O4812" i="2"/>
  <c r="O4813" i="2"/>
  <c r="O4814" i="2"/>
  <c r="O4815" i="2"/>
  <c r="O4816" i="2"/>
  <c r="O4817" i="2"/>
  <c r="O4818" i="2"/>
  <c r="O4819" i="2"/>
  <c r="O4820" i="2"/>
  <c r="O4821" i="2"/>
  <c r="O4822" i="2"/>
  <c r="O4823" i="2"/>
  <c r="O4824" i="2"/>
  <c r="O4825" i="2"/>
  <c r="O4826" i="2"/>
  <c r="O4827" i="2"/>
  <c r="O4828" i="2"/>
  <c r="O4829" i="2"/>
  <c r="O4830" i="2"/>
  <c r="O4831" i="2"/>
  <c r="O4832" i="2"/>
  <c r="O4833" i="2"/>
  <c r="O4834" i="2"/>
  <c r="O4835" i="2"/>
  <c r="O4836" i="2"/>
  <c r="O4837" i="2"/>
  <c r="O4838" i="2"/>
  <c r="O4839" i="2"/>
  <c r="O4840" i="2"/>
  <c r="O4841" i="2"/>
  <c r="O4842" i="2"/>
  <c r="O4843" i="2"/>
  <c r="O4844" i="2"/>
  <c r="O4845" i="2"/>
  <c r="O4846" i="2"/>
  <c r="O4847" i="2"/>
  <c r="O4848" i="2"/>
  <c r="O4849" i="2"/>
  <c r="O4850" i="2"/>
  <c r="O4851" i="2"/>
  <c r="O4852" i="2"/>
  <c r="O4853" i="2"/>
  <c r="O4854" i="2"/>
  <c r="O4855" i="2"/>
  <c r="O4856" i="2"/>
  <c r="O4857" i="2"/>
  <c r="O4858" i="2"/>
  <c r="O4859" i="2"/>
  <c r="O4860" i="2"/>
  <c r="O4861" i="2"/>
  <c r="O4862" i="2"/>
  <c r="O4863" i="2"/>
  <c r="O4864" i="2"/>
  <c r="O4865" i="2"/>
  <c r="O4866" i="2"/>
  <c r="O4867" i="2"/>
  <c r="O4868" i="2"/>
  <c r="O4869" i="2"/>
  <c r="O4870" i="2"/>
  <c r="O4871" i="2"/>
  <c r="O4872" i="2"/>
  <c r="O4873" i="2"/>
  <c r="O4874" i="2"/>
  <c r="O4875" i="2"/>
  <c r="O4876" i="2"/>
  <c r="O4877" i="2"/>
  <c r="O4878" i="2"/>
  <c r="O4879" i="2"/>
  <c r="O4880" i="2"/>
  <c r="O4881" i="2"/>
  <c r="O4882" i="2"/>
  <c r="O4883" i="2"/>
  <c r="O4884" i="2"/>
  <c r="O4885" i="2"/>
  <c r="O4886" i="2"/>
  <c r="O4887" i="2"/>
  <c r="O4888" i="2"/>
  <c r="O4889" i="2"/>
  <c r="O4890" i="2"/>
  <c r="O4891" i="2"/>
  <c r="O4892" i="2"/>
  <c r="O4893" i="2"/>
  <c r="O4894" i="2"/>
  <c r="O4895" i="2"/>
  <c r="O4896" i="2"/>
  <c r="O4897" i="2"/>
  <c r="O4898" i="2"/>
  <c r="O4899" i="2"/>
  <c r="O4900" i="2"/>
  <c r="O4901" i="2"/>
  <c r="O4902" i="2"/>
  <c r="O4903" i="2"/>
  <c r="O4904" i="2"/>
  <c r="O4905" i="2"/>
  <c r="O4906" i="2"/>
  <c r="O4907" i="2"/>
  <c r="O4908" i="2"/>
  <c r="O4909" i="2"/>
  <c r="O4910" i="2"/>
  <c r="O4911" i="2"/>
  <c r="O4912" i="2"/>
  <c r="O4913" i="2"/>
  <c r="O4914" i="2"/>
  <c r="O4915" i="2"/>
  <c r="O4916" i="2"/>
  <c r="O4917" i="2"/>
  <c r="O4918" i="2"/>
  <c r="O4919" i="2"/>
  <c r="O4920" i="2"/>
  <c r="O4921" i="2"/>
  <c r="O4922" i="2"/>
  <c r="O4923" i="2"/>
  <c r="O4924" i="2"/>
  <c r="O4925" i="2"/>
  <c r="O4926" i="2"/>
  <c r="O4927" i="2"/>
  <c r="O4928" i="2"/>
  <c r="O4929" i="2"/>
  <c r="O4930" i="2"/>
  <c r="O4931" i="2"/>
  <c r="O4932" i="2"/>
  <c r="O4933" i="2"/>
  <c r="O4934" i="2"/>
  <c r="O4935" i="2"/>
  <c r="O4936" i="2"/>
  <c r="O4937" i="2"/>
  <c r="O4938" i="2"/>
  <c r="O4939" i="2"/>
  <c r="O4940" i="2"/>
  <c r="O4941" i="2"/>
  <c r="O4942" i="2"/>
  <c r="O4943" i="2"/>
  <c r="O4944" i="2"/>
  <c r="O4945" i="2"/>
  <c r="O4946" i="2"/>
  <c r="O4947" i="2"/>
  <c r="O4948" i="2"/>
  <c r="O4949" i="2"/>
  <c r="O4950" i="2"/>
  <c r="O4951" i="2"/>
  <c r="O4952" i="2"/>
  <c r="O4953" i="2"/>
  <c r="O4954" i="2"/>
  <c r="O4955" i="2"/>
  <c r="O4956" i="2"/>
  <c r="O4957" i="2"/>
  <c r="O4958" i="2"/>
  <c r="O4959" i="2"/>
  <c r="O4960" i="2"/>
  <c r="O4961" i="2"/>
  <c r="O4962" i="2"/>
  <c r="O4963" i="2"/>
  <c r="O4964" i="2"/>
  <c r="O4965" i="2"/>
  <c r="O4966" i="2"/>
  <c r="O4967" i="2"/>
  <c r="O4968" i="2"/>
  <c r="O4969" i="2"/>
  <c r="O4970" i="2"/>
  <c r="O4971" i="2"/>
  <c r="O4972" i="2"/>
  <c r="O4973" i="2"/>
  <c r="O4974" i="2"/>
  <c r="O4975" i="2"/>
  <c r="O4976" i="2"/>
  <c r="O4977" i="2"/>
  <c r="O4978" i="2"/>
  <c r="O4979" i="2"/>
  <c r="O4980" i="2"/>
  <c r="O4981" i="2"/>
  <c r="O4982" i="2"/>
  <c r="O4983" i="2"/>
  <c r="O4984" i="2"/>
  <c r="O4985" i="2"/>
  <c r="O4986" i="2"/>
  <c r="O4987" i="2"/>
  <c r="O4988" i="2"/>
  <c r="O4989" i="2"/>
  <c r="O4990" i="2"/>
  <c r="O4991" i="2"/>
  <c r="O4992" i="2"/>
  <c r="O4993" i="2"/>
  <c r="O4994" i="2"/>
  <c r="O4995" i="2"/>
  <c r="O4996" i="2"/>
  <c r="O4997" i="2"/>
  <c r="O4998" i="2"/>
  <c r="O4999" i="2"/>
  <c r="O5000" i="2"/>
  <c r="O5001" i="2"/>
  <c r="O5002" i="2"/>
  <c r="O5003" i="2"/>
  <c r="O5004" i="2"/>
  <c r="O5005" i="2"/>
  <c r="O5006" i="2"/>
  <c r="O5007" i="2"/>
  <c r="O5008" i="2"/>
  <c r="O5009" i="2"/>
  <c r="O5010" i="2"/>
  <c r="O5011" i="2"/>
  <c r="O5012" i="2"/>
  <c r="O5013" i="2"/>
  <c r="O5014" i="2"/>
  <c r="O5015" i="2"/>
  <c r="O5016" i="2"/>
  <c r="O5017" i="2"/>
  <c r="O5018" i="2"/>
  <c r="O5019" i="2"/>
  <c r="O5020" i="2"/>
  <c r="O5021" i="2"/>
  <c r="O5022" i="2"/>
  <c r="O5023" i="2"/>
  <c r="O5024" i="2"/>
  <c r="O5025" i="2"/>
  <c r="O5026" i="2"/>
  <c r="O5027" i="2"/>
  <c r="O5028" i="2"/>
  <c r="O5029" i="2"/>
  <c r="O5030" i="2"/>
  <c r="O5031" i="2"/>
  <c r="O5032" i="2"/>
  <c r="O5033" i="2"/>
  <c r="O5034" i="2"/>
  <c r="O5035" i="2"/>
  <c r="O5036" i="2"/>
  <c r="O5037" i="2"/>
  <c r="O5038" i="2"/>
  <c r="O5039" i="2"/>
  <c r="O5040" i="2"/>
  <c r="O5041" i="2"/>
  <c r="O5042" i="2"/>
  <c r="O5043" i="2"/>
  <c r="O5044" i="2"/>
  <c r="O5045" i="2"/>
  <c r="O5046" i="2"/>
  <c r="O5047" i="2"/>
  <c r="O5048" i="2"/>
  <c r="O5049" i="2"/>
  <c r="O5050" i="2"/>
  <c r="O5051" i="2"/>
  <c r="O5052" i="2"/>
  <c r="O5053" i="2"/>
</calcChain>
</file>

<file path=xl/sharedStrings.xml><?xml version="1.0" encoding="utf-8"?>
<sst xmlns="http://schemas.openxmlformats.org/spreadsheetml/2006/main" count="17784" uniqueCount="1291">
  <si>
    <t>Flujo de caja</t>
  </si>
  <si>
    <t>Acumulado</t>
  </si>
  <si>
    <t>Saldo Inicial</t>
  </si>
  <si>
    <t>Saldo Operativo</t>
  </si>
  <si>
    <t>Resumen del mes</t>
  </si>
  <si>
    <t>Mes:</t>
  </si>
  <si>
    <t>Ingresos</t>
  </si>
  <si>
    <t>Egresos</t>
  </si>
  <si>
    <t>Saldo Final</t>
  </si>
  <si>
    <t>Fecha</t>
  </si>
  <si>
    <t>Mes</t>
  </si>
  <si>
    <t>Día</t>
  </si>
  <si>
    <t>Codigo</t>
  </si>
  <si>
    <t>Partida</t>
  </si>
  <si>
    <t>Tipo de Operación</t>
  </si>
  <si>
    <t>Sub-Partida</t>
  </si>
  <si>
    <t>Detalle</t>
  </si>
  <si>
    <t>Periodo</t>
  </si>
  <si>
    <t>Comprobante</t>
  </si>
  <si>
    <t>Automotriz</t>
  </si>
  <si>
    <t>Neto</t>
  </si>
  <si>
    <t>Saldo</t>
  </si>
  <si>
    <t>FC 0009-00002632</t>
  </si>
  <si>
    <t>FC 0009-00055841</t>
  </si>
  <si>
    <t>RC 0001-00072116</t>
  </si>
  <si>
    <t>RC 0001-00072113</t>
  </si>
  <si>
    <t>RC 0001-00072118</t>
  </si>
  <si>
    <t>RC 0001-00072119</t>
  </si>
  <si>
    <t>RC 0001-00072114</t>
  </si>
  <si>
    <t>FC 0009-00055282</t>
  </si>
  <si>
    <t>RC 0001-00072115</t>
  </si>
  <si>
    <t>Sol. Fondos 23335</t>
  </si>
  <si>
    <t>Sol. Fondos 23337</t>
  </si>
  <si>
    <t>Sol. Fondos 23334</t>
  </si>
  <si>
    <t>Sol. Fondos 23332</t>
  </si>
  <si>
    <t>Sol. Fondos 23327</t>
  </si>
  <si>
    <t>Sol. Fondos 23345</t>
  </si>
  <si>
    <t>RC 0001-00072215</t>
  </si>
  <si>
    <t>RC 0001-00072214</t>
  </si>
  <si>
    <t>Sol. Fondos 23352</t>
  </si>
  <si>
    <t>Sol. Fondos 23338</t>
  </si>
  <si>
    <t>Sol. Fondos 23340</t>
  </si>
  <si>
    <t>Sol. Fondos 23336</t>
  </si>
  <si>
    <t>Sol. Fondos 23350</t>
  </si>
  <si>
    <t>Sol. Fondos 23358</t>
  </si>
  <si>
    <t>Sol. Fondos 23342</t>
  </si>
  <si>
    <t>Sol. Fondos 23359</t>
  </si>
  <si>
    <t>Sol. Fondos 23344</t>
  </si>
  <si>
    <t>Sol. Fondos 23347</t>
  </si>
  <si>
    <t>Sol. Fondos 23361</t>
  </si>
  <si>
    <t>Sol. Fondos 23357</t>
  </si>
  <si>
    <t>Sol. Fondos 23346</t>
  </si>
  <si>
    <t>Sol. Fondos 23372</t>
  </si>
  <si>
    <t>Sol. Fondos 23367</t>
  </si>
  <si>
    <t>Sol. Fondos 23363</t>
  </si>
  <si>
    <t>Sol. Fondos 23365</t>
  </si>
  <si>
    <t>Sol. Fondos 23368</t>
  </si>
  <si>
    <t>Sol. Fondos 23364</t>
  </si>
  <si>
    <t>CABA122025</t>
  </si>
  <si>
    <t>ENTRERIOS2Q122025</t>
  </si>
  <si>
    <t>FORMOSA122025</t>
  </si>
  <si>
    <t>SANTACRUZ122025</t>
  </si>
  <si>
    <t>SANTAFE2Q122025</t>
  </si>
  <si>
    <t>RC 0001-00072221</t>
  </si>
  <si>
    <t>RC 0001-00072223</t>
  </si>
  <si>
    <t>Sol. Fondos 23377</t>
  </si>
  <si>
    <t>Sol. Fondos 23379</t>
  </si>
  <si>
    <t>Sol. Fondos 23378</t>
  </si>
  <si>
    <t>Sol. Fondos 23380</t>
  </si>
  <si>
    <t>Sol. Fondos 23381</t>
  </si>
  <si>
    <t>Sol. Fondos 23382</t>
  </si>
  <si>
    <t>Sol. Fondos 23383</t>
  </si>
  <si>
    <t>Sol. Fondos 23341</t>
  </si>
  <si>
    <t>Sol. Fondos 23369</t>
  </si>
  <si>
    <t>Sol. Fondos 23343</t>
  </si>
  <si>
    <t>Sol. Fondos 23371</t>
  </si>
  <si>
    <t>RC 0001-00072252</t>
  </si>
  <si>
    <t>RC 0001-00072253</t>
  </si>
  <si>
    <t>RC 0001-00072254</t>
  </si>
  <si>
    <t>Sol. Fondos 23394</t>
  </si>
  <si>
    <t>Sol. Fondos 23393</t>
  </si>
  <si>
    <t>Sol. Fondos 23386</t>
  </si>
  <si>
    <t>Sol. Fondos 23303</t>
  </si>
  <si>
    <t>Sol. Fondos 23375</t>
  </si>
  <si>
    <t>Sol. Fondos 23302</t>
  </si>
  <si>
    <t>Sol. Fondos 23392</t>
  </si>
  <si>
    <t>Sol. Fondos 23385</t>
  </si>
  <si>
    <t>Sol. Fondos 23401</t>
  </si>
  <si>
    <t>Sol. Fondos 23395</t>
  </si>
  <si>
    <t>Sol. Fondos 23390</t>
  </si>
  <si>
    <t>Sol. Fondos 23384</t>
  </si>
  <si>
    <t>Sol. Fondos 23391</t>
  </si>
  <si>
    <t>Sol. Fondos 23376</t>
  </si>
  <si>
    <t>Sol. Fondos 23387</t>
  </si>
  <si>
    <t>RIONEGRO122025</t>
  </si>
  <si>
    <t>Sol. Fondos 23397</t>
  </si>
  <si>
    <t>Sol. Fondos 23398</t>
  </si>
  <si>
    <t>Sol. Fondos 23399</t>
  </si>
  <si>
    <t>Sol. Fondos 23400</t>
  </si>
  <si>
    <t>CHUBUT122025</t>
  </si>
  <si>
    <t>Sol. Fondos 23408</t>
  </si>
  <si>
    <t>Sol. Fondos 23409</t>
  </si>
  <si>
    <t>Sol. Fondos 23410</t>
  </si>
  <si>
    <t>Sol. Fondos 23411</t>
  </si>
  <si>
    <t>Sol. Fondos 23412</t>
  </si>
  <si>
    <t>Sol. Fondos 23413</t>
  </si>
  <si>
    <t>Sol. Fondos 23414</t>
  </si>
  <si>
    <t>Sol. Fondos 23415</t>
  </si>
  <si>
    <t>Sol. Fondos 23421</t>
  </si>
  <si>
    <t>Sol. Fondos 23422</t>
  </si>
  <si>
    <t>Sol. Fondos 23423</t>
  </si>
  <si>
    <t>Sol. Fondos 23418</t>
  </si>
  <si>
    <t>Sol. Fondos 23431</t>
  </si>
  <si>
    <t>Sol. Fondos 23432</t>
  </si>
  <si>
    <t>Sol. Fondos 23430</t>
  </si>
  <si>
    <t>Sol. Fondos 23433</t>
  </si>
  <si>
    <t>Sol. Fondos 23435</t>
  </si>
  <si>
    <t>Sol. Fondos 23439</t>
  </si>
  <si>
    <t>Sol. Fondos 23417</t>
  </si>
  <si>
    <t>Sol. Fondos 23447</t>
  </si>
  <si>
    <t>Sol. Fondos 23441</t>
  </si>
  <si>
    <t>Sol. Fondos 23442</t>
  </si>
  <si>
    <t>Sol. Fondos 23443</t>
  </si>
  <si>
    <t>Sol. Fondos 23444</t>
  </si>
  <si>
    <t>Sol. Fondos 23449</t>
  </si>
  <si>
    <t>FC 0009-00002629</t>
  </si>
  <si>
    <t>Sol. Fondos 23450</t>
  </si>
  <si>
    <t>Sol. Fondos 23420</t>
  </si>
  <si>
    <t>AMN122025</t>
  </si>
  <si>
    <t>APESI122025</t>
  </si>
  <si>
    <t>BCLP122025</t>
  </si>
  <si>
    <t>QUILMES122025</t>
  </si>
  <si>
    <t>UISCUMARR122025</t>
  </si>
  <si>
    <t>FC 0009-00056121</t>
  </si>
  <si>
    <t>RC 0001-00072417</t>
  </si>
  <si>
    <t>FC 0009-00002656</t>
  </si>
  <si>
    <t>FC 0009-00056381</t>
  </si>
  <si>
    <t>FC 0009-00002660</t>
  </si>
  <si>
    <t>BUENOSAIRES122025</t>
  </si>
  <si>
    <t>Sol. Fondos 23465</t>
  </si>
  <si>
    <t>Sol. Fondos 23466</t>
  </si>
  <si>
    <t>Sol. Fondos 23467</t>
  </si>
  <si>
    <t>Sol. Fondos 23468</t>
  </si>
  <si>
    <t>Sol. Fondos 23469</t>
  </si>
  <si>
    <t>Sol. Fondos 23470</t>
  </si>
  <si>
    <t>Sol. Fondos 23471</t>
  </si>
  <si>
    <t>Sol. Fondos 23472</t>
  </si>
  <si>
    <t>Sol. Fondos 23473</t>
  </si>
  <si>
    <t>Sol. Fondos 23474</t>
  </si>
  <si>
    <t>RC 0001-00072541</t>
  </si>
  <si>
    <t>RC 0001-00072542</t>
  </si>
  <si>
    <t>ENTRERIOS1Q012026</t>
  </si>
  <si>
    <t>SANTAFE1Q012026</t>
  </si>
  <si>
    <t>Sol. Fondos 23463</t>
  </si>
  <si>
    <t>Sol. Fondos 23457</t>
  </si>
  <si>
    <t>Sol. Fondos 23464</t>
  </si>
  <si>
    <t>Sol. Fondos 23479</t>
  </si>
  <si>
    <t>Sol. Fondos 23480</t>
  </si>
  <si>
    <t>Sol. Fondos 23481</t>
  </si>
  <si>
    <t>Sol. Fondos 23482</t>
  </si>
  <si>
    <t>Sol. Fondos 23483</t>
  </si>
  <si>
    <t>Sol. Fondos 23484</t>
  </si>
  <si>
    <t>Sol. Fondos 23485</t>
  </si>
  <si>
    <t>Sol. Fondos 23454</t>
  </si>
  <si>
    <t>Sol. Fondos 23448</t>
  </si>
  <si>
    <t>Sol. Fondos 23488</t>
  </si>
  <si>
    <t>Sol. Fondos 23489</t>
  </si>
  <si>
    <t>Sol. Fondos 23478</t>
  </si>
  <si>
    <t>RC 0001-00072543</t>
  </si>
  <si>
    <t>FC 0009-00056091</t>
  </si>
  <si>
    <t>Sol. Fondos 23499</t>
  </si>
  <si>
    <t>Sol. Fondos 23496</t>
  </si>
  <si>
    <t>Sol. Fondos 23498</t>
  </si>
  <si>
    <t>Sol. Fondos 23497</t>
  </si>
  <si>
    <t>Sol. Fondos 23503</t>
  </si>
  <si>
    <t>Sol. Fondos 23505</t>
  </si>
  <si>
    <t>Sol. Fondos 23508</t>
  </si>
  <si>
    <t>Sol. Fondos 23509</t>
  </si>
  <si>
    <t>Sol. Fondos 23510</t>
  </si>
  <si>
    <t>Sol. Fondos 23513</t>
  </si>
  <si>
    <t>Sol. Fondos 23515</t>
  </si>
  <si>
    <t>Sol. Fondos 23523</t>
  </si>
  <si>
    <t>RC 0001-00072723</t>
  </si>
  <si>
    <t>Sol. Fondos 23525</t>
  </si>
  <si>
    <t>RC 0001-00727236</t>
  </si>
  <si>
    <t>FC 0009-00056238</t>
  </si>
  <si>
    <t>FC 0009-00002642</t>
  </si>
  <si>
    <t>FC 0009-00056237</t>
  </si>
  <si>
    <t>RC 0001-00002311</t>
  </si>
  <si>
    <t>FC 0009-00056626</t>
  </si>
  <si>
    <t>FC 0009-00002665</t>
  </si>
  <si>
    <t>FC 0009-00056627</t>
  </si>
  <si>
    <t>FC 0009-00002481</t>
  </si>
  <si>
    <t>RC 0001-00072888</t>
  </si>
  <si>
    <t>RC 0001-00072931</t>
  </si>
  <si>
    <t>Sol. Fondos 23538</t>
  </si>
  <si>
    <t>Sol. Fondos 23546</t>
  </si>
  <si>
    <t>Sol. Fondos 23541</t>
  </si>
  <si>
    <t>Sol. Fondos 23542</t>
  </si>
  <si>
    <t>RC 0001-00072951</t>
  </si>
  <si>
    <t>RC 0001-00072952</t>
  </si>
  <si>
    <t>RC 0001-00072953</t>
  </si>
  <si>
    <t>Sol. Fondos 23544</t>
  </si>
  <si>
    <t>Sol. Fondos 23565</t>
  </si>
  <si>
    <t>Sol. Fondos 23562</t>
  </si>
  <si>
    <t>Sol. Fondos 23552</t>
  </si>
  <si>
    <t>Sol. Fondos 23554</t>
  </si>
  <si>
    <t>Sol. Fondos 23550</t>
  </si>
  <si>
    <t>Sol. Fondos 23559</t>
  </si>
  <si>
    <t>Sol. Fondos 23536</t>
  </si>
  <si>
    <t>Sol. Fondos 23560</t>
  </si>
  <si>
    <t>Sol. Fondos 23564</t>
  </si>
  <si>
    <t>Sol. Fondos 23563</t>
  </si>
  <si>
    <t>Sol. Fondos 23537</t>
  </si>
  <si>
    <t>Sol. Fondos 23561</t>
  </si>
  <si>
    <t>CABA012026</t>
  </si>
  <si>
    <t>ENTRERIOS2Q012026</t>
  </si>
  <si>
    <t>FORMOSA012026</t>
  </si>
  <si>
    <t>SANTACRUZ012026</t>
  </si>
  <si>
    <t>SANTAFE2Q012026</t>
  </si>
  <si>
    <t>Sol. Fondos 23584</t>
  </si>
  <si>
    <t>Sol. Fondos 23555</t>
  </si>
  <si>
    <t>Sol. Fondos 23574</t>
  </si>
  <si>
    <t>Sol. Fondos 23578</t>
  </si>
  <si>
    <t>Sol. Fondos 23566</t>
  </si>
  <si>
    <t>Sol. Fondos 23576</t>
  </si>
  <si>
    <t>Sol. Fondos 23567</t>
  </si>
  <si>
    <t>Sol. Fondos 23580</t>
  </si>
  <si>
    <t>Sol. Fondos 23579</t>
  </si>
  <si>
    <t>Sol. Fondos 23568</t>
  </si>
  <si>
    <t>Sol. Fondos 23581</t>
  </si>
  <si>
    <t>Sol. Fondos 23569</t>
  </si>
  <si>
    <t>Sol. Fondos 23573</t>
  </si>
  <si>
    <t>FC 0009-00002676</t>
  </si>
  <si>
    <t>Sol. Fondos 23583</t>
  </si>
  <si>
    <t>Sol. Fondos 23556</t>
  </si>
  <si>
    <t>Sol. Fondos 23575</t>
  </si>
  <si>
    <t>Sol. Fondos 23539</t>
  </si>
  <si>
    <t>Sol. Fondos 23588</t>
  </si>
  <si>
    <t>RC 0001-00073061</t>
  </si>
  <si>
    <t>FC 0009-00002654</t>
  </si>
  <si>
    <t>Sol. Fondos 23595</t>
  </si>
  <si>
    <t>Sol. Fondos 23594</t>
  </si>
  <si>
    <t>Sol. Fondos 23597</t>
  </si>
  <si>
    <t>Sol. Fondos 23590</t>
  </si>
  <si>
    <t>Sol. Fondos 23596</t>
  </si>
  <si>
    <t>Sol. Fondos 23592</t>
  </si>
  <si>
    <t>Sol. Fondos 23557</t>
  </si>
  <si>
    <t>Sol. Fondos 23598</t>
  </si>
  <si>
    <t>Sol. Fondos 23600</t>
  </si>
  <si>
    <t>Sol. Fondos 23603</t>
  </si>
  <si>
    <t>Sol. Fondos 23602</t>
  </si>
  <si>
    <t>Sol. Fondos 23604</t>
  </si>
  <si>
    <t>Sol. Fondos 23610</t>
  </si>
  <si>
    <t>Sol. Fondos 23605</t>
  </si>
  <si>
    <t>CHUBUT012026</t>
  </si>
  <si>
    <t>RIONEGRO012026</t>
  </si>
  <si>
    <t>Sol. Fondos 23614</t>
  </si>
  <si>
    <t>Sol. Fondos 23616</t>
  </si>
  <si>
    <t>Sol. Fondos 23618</t>
  </si>
  <si>
    <t>Sol. Fondos 23613</t>
  </si>
  <si>
    <t>Sol. Fondos 23615</t>
  </si>
  <si>
    <t>Sol. Fondos 23585</t>
  </si>
  <si>
    <t>Sol. Fondos 23617</t>
  </si>
  <si>
    <t>Sol. Fondos 23606</t>
  </si>
  <si>
    <t>FC 0009-00002661</t>
  </si>
  <si>
    <t>FC 0009-00002647</t>
  </si>
  <si>
    <t>FC 0009-00002673</t>
  </si>
  <si>
    <t>FC 0009-00056282</t>
  </si>
  <si>
    <t>RC 0001-00073149</t>
  </si>
  <si>
    <t>FC 0009-00002664</t>
  </si>
  <si>
    <t>FC 0009-00056615</t>
  </si>
  <si>
    <t>FC 0009-00056883</t>
  </si>
  <si>
    <t>FC 0009-00002677</t>
  </si>
  <si>
    <t>RC 0001-00002319</t>
  </si>
  <si>
    <t>FC 0009-00002678</t>
  </si>
  <si>
    <t>FC 0009-00002655</t>
  </si>
  <si>
    <t>AMN012026</t>
  </si>
  <si>
    <t>APESI012026</t>
  </si>
  <si>
    <t>BCLP012026</t>
  </si>
  <si>
    <t>BUENOSAIRES012026</t>
  </si>
  <si>
    <t>QUILMES012026</t>
  </si>
  <si>
    <t>UISCUMARR012026</t>
  </si>
  <si>
    <t>FC 0009-00056604</t>
  </si>
  <si>
    <t>Sol. Fondos 23635</t>
  </si>
  <si>
    <t>Sol. Fondos 23636</t>
  </si>
  <si>
    <t>ENTRERIOS1Q022026</t>
  </si>
  <si>
    <t>SANTAFE1Q022026</t>
  </si>
  <si>
    <t>Sol. Fondos 23631</t>
  </si>
  <si>
    <t>Sol. Fondos 23632</t>
  </si>
  <si>
    <t>Sol. Fondos 23633</t>
  </si>
  <si>
    <t>RC 0001-00073450</t>
  </si>
  <si>
    <t>RC 0001-00073452</t>
  </si>
  <si>
    <t>Sol. Fondos 23642</t>
  </si>
  <si>
    <t>Sol. Fondos 23638</t>
  </si>
  <si>
    <t>Sol. Fondos 23643</t>
  </si>
  <si>
    <t>Sol. Fondos 23599</t>
  </si>
  <si>
    <t>Sol. Fondos 23639</t>
  </si>
  <si>
    <t>Sol. Fondos 23627</t>
  </si>
  <si>
    <t>Sol. Fondos 23645</t>
  </si>
  <si>
    <t>Sol. Fondos 23646</t>
  </si>
  <si>
    <t>Sol. Fondos 23647</t>
  </si>
  <si>
    <t>Sol. Fondos 23648</t>
  </si>
  <si>
    <t>Sol. Fondos 23649</t>
  </si>
  <si>
    <t>Sol. Fondos 23650</t>
  </si>
  <si>
    <t>Sol. Fondos 23651</t>
  </si>
  <si>
    <t>Sol. Fondos 23652</t>
  </si>
  <si>
    <t>Sol. Fondos 23653</t>
  </si>
  <si>
    <t>Sol. Fondos 23654</t>
  </si>
  <si>
    <t>Sol. Fondos 23655</t>
  </si>
  <si>
    <t>RC 0001-00073232</t>
  </si>
  <si>
    <t>Sol. Fondos 23661</t>
  </si>
  <si>
    <t>Sol. Fondos 23664</t>
  </si>
  <si>
    <t>Sol. Fondos 23665</t>
  </si>
  <si>
    <t>Sol. Fondos 23666</t>
  </si>
  <si>
    <t>Sol. Fondos 23667</t>
  </si>
  <si>
    <t>Sol. Fondos 23668</t>
  </si>
  <si>
    <t>Sol. Fondos 23669</t>
  </si>
  <si>
    <t>Sol. Fondos 23670</t>
  </si>
  <si>
    <t>Sol. Fondos 23671</t>
  </si>
  <si>
    <t>Sol. Fondos 23672</t>
  </si>
  <si>
    <t>Sol. Fondos 23673</t>
  </si>
  <si>
    <t>Sol. Fondos 23674</t>
  </si>
  <si>
    <t>Sol. Fondos 23676</t>
  </si>
  <si>
    <t>Sol. Fondos 23675</t>
  </si>
  <si>
    <t>Sol. Fondos 23677</t>
  </si>
  <si>
    <t>Sol. Fondos 23678</t>
  </si>
  <si>
    <t>Sol. Fondos 23680</t>
  </si>
  <si>
    <t>RC 0001-00073300</t>
  </si>
  <si>
    <t>RC 0001-00073322</t>
  </si>
  <si>
    <t>RC 0001-00073323</t>
  </si>
  <si>
    <t>RC 0001-00073324</t>
  </si>
  <si>
    <t>RC 0001-00073549</t>
  </si>
  <si>
    <t>FC 0009-00002668</t>
  </si>
  <si>
    <t>FC 0009-00002671</t>
  </si>
  <si>
    <t>FC 0009-00056675</t>
  </si>
  <si>
    <t>RC 0001-00002327</t>
  </si>
  <si>
    <t>RC 0001-00073551</t>
  </si>
  <si>
    <t>RC 0001-00073544</t>
  </si>
  <si>
    <t>FC 0009-00002682</t>
  </si>
  <si>
    <t>FC 0009-00002674</t>
  </si>
  <si>
    <t>Sol. Fondos 23706</t>
  </si>
  <si>
    <t>Sol. Fondos 23705</t>
  </si>
  <si>
    <t>Sol. Fondos 23703</t>
  </si>
  <si>
    <t>Sol. Fondos 23704</t>
  </si>
  <si>
    <t>Sol. Fondos 23695</t>
  </si>
  <si>
    <t>Sol. Fondos 23696</t>
  </si>
  <si>
    <t>RC 0001-00073552</t>
  </si>
  <si>
    <t>Sol. Fondos 23708</t>
  </si>
  <si>
    <t>Sol. Fondos 23721</t>
  </si>
  <si>
    <t>Sol. Fondos 23720</t>
  </si>
  <si>
    <t>Sol. Fondos 23714</t>
  </si>
  <si>
    <t>Sol. Fondos 23709</t>
  </si>
  <si>
    <t>Sol. Fondos 23716</t>
  </si>
  <si>
    <t>Sol. Fondos 23710</t>
  </si>
  <si>
    <t>Sol. Fondos 23715</t>
  </si>
  <si>
    <t>Sol. Fondos 23713</t>
  </si>
  <si>
    <t>Sol. Fondos 23711</t>
  </si>
  <si>
    <t>FC 0009-00056994</t>
  </si>
  <si>
    <t>RC 0001-00073597</t>
  </si>
  <si>
    <t>Sol. Fondos 23726</t>
  </si>
  <si>
    <t>Sol. Fondos 23727</t>
  </si>
  <si>
    <t>Sol. Fondos 23728</t>
  </si>
  <si>
    <t>Sol. Fondos 23722</t>
  </si>
  <si>
    <t>CABA022026</t>
  </si>
  <si>
    <t>ENTRERIOS2Q022026</t>
  </si>
  <si>
    <t>FORMOSA022026</t>
  </si>
  <si>
    <t>SANTACRUZ022026</t>
  </si>
  <si>
    <t>SANTAFE2Q022026</t>
  </si>
  <si>
    <t>Sol. Fondos 23698</t>
  </si>
  <si>
    <t>RC 0001-00073598</t>
  </si>
  <si>
    <t>FC 0009-00002689</t>
  </si>
  <si>
    <t>FC 0009-00057074</t>
  </si>
  <si>
    <t>FC 0009-00002700</t>
  </si>
  <si>
    <t>FC 0009-00002702</t>
  </si>
  <si>
    <t>FC 0009-00002708</t>
  </si>
  <si>
    <t>Sol. Fondos 23743</t>
  </si>
  <si>
    <t>Sol. Fondos 23733</t>
  </si>
  <si>
    <t>Sol. Fondos 23737</t>
  </si>
  <si>
    <t>Sol. Fondos 23740</t>
  </si>
  <si>
    <t>Sol. Fondos 23739</t>
  </si>
  <si>
    <t>Sol. Fondos 23741</t>
  </si>
  <si>
    <t>Sol. Fondos 23746</t>
  </si>
  <si>
    <t>Sol. Fondos 23744</t>
  </si>
  <si>
    <t>Sol. Fondos 23712</t>
  </si>
  <si>
    <t>Sol. Fondos 23729</t>
  </si>
  <si>
    <t>Sol. Fondos 23697</t>
  </si>
  <si>
    <t>Sol. Fondos 23732</t>
  </si>
  <si>
    <t>Sol. Fondos 23738</t>
  </si>
  <si>
    <t>Sol. Fondos 23731</t>
  </si>
  <si>
    <t>Sol. Fondos 23293</t>
  </si>
  <si>
    <t>Sol. Fondos 23748</t>
  </si>
  <si>
    <t>RC 0001-00073743</t>
  </si>
  <si>
    <t>Sol. Fondos 23763</t>
  </si>
  <si>
    <t>Sol. Fondos 23755</t>
  </si>
  <si>
    <t>Sol. Fondos 23761</t>
  </si>
  <si>
    <t>Sol. Fondos 23754</t>
  </si>
  <si>
    <t>Sol. Fondos 23759</t>
  </si>
  <si>
    <t>Sol. Fondos 23760</t>
  </si>
  <si>
    <t>Sol. Fondos 23752</t>
  </si>
  <si>
    <t>Sol. Fondos 23702</t>
  </si>
  <si>
    <t>Sol. Fondos 23753</t>
  </si>
  <si>
    <t>Sol. Fondos 23765</t>
  </si>
  <si>
    <t>Sol. Fondos 23767</t>
  </si>
  <si>
    <t>Sol. Fondos 23766</t>
  </si>
  <si>
    <t>CHUBUT022026</t>
  </si>
  <si>
    <t>RIONEGRO02026</t>
  </si>
  <si>
    <t>Sol. Fondos 23768</t>
  </si>
  <si>
    <t>Sol. Fondos 23699</t>
  </si>
  <si>
    <t>Sol. Fondos 23749</t>
  </si>
  <si>
    <t>Sol. Fondos 23781</t>
  </si>
  <si>
    <t>Sol. Fondos 23780</t>
  </si>
  <si>
    <t>Sol. Fondos 23785</t>
  </si>
  <si>
    <t>Sol. Fondos 23778</t>
  </si>
  <si>
    <t>Sol. Fondos 23779</t>
  </si>
  <si>
    <t>Sol. Fondos 23786</t>
  </si>
  <si>
    <t>Sol. Fondos 23771</t>
  </si>
  <si>
    <t>Sol. Fondos 23773</t>
  </si>
  <si>
    <t>Sol. Fondos 23772</t>
  </si>
  <si>
    <t>Sol. Fondos 23782</t>
  </si>
  <si>
    <t>Sol. Fondos 23783</t>
  </si>
  <si>
    <t>Sol. Fondos 23784</t>
  </si>
  <si>
    <t>RC 0001-00002333</t>
  </si>
  <si>
    <t>RC 0001-00073745</t>
  </si>
  <si>
    <t>FC 0009-00002679</t>
  </si>
  <si>
    <t>Sol. Fondos 23795</t>
  </si>
  <si>
    <t>Sol. Fondos 23796</t>
  </si>
  <si>
    <t>Sol. Fondos 23797</t>
  </si>
  <si>
    <t>Sol. Fondos 23798</t>
  </si>
  <si>
    <t>Sol. Fondos 23791</t>
  </si>
  <si>
    <t>Sol. Fondos 23790</t>
  </si>
  <si>
    <t>Sol. Fondos 23777</t>
  </si>
  <si>
    <t>Sol. Fondos 23793</t>
  </si>
  <si>
    <t>Sol. Fondos 23809</t>
  </si>
  <si>
    <t>Sol. Fondos 23794</t>
  </si>
  <si>
    <t>Sol. Fondos 23792</t>
  </si>
  <si>
    <t>Sol. Fondos 23806</t>
  </si>
  <si>
    <t>APESI022026</t>
  </si>
  <si>
    <t>BCLP022026</t>
  </si>
  <si>
    <t>BUENOSAIRES022026</t>
  </si>
  <si>
    <t>UISCUMARR022026</t>
  </si>
  <si>
    <t>Sol. Fondos 23814</t>
  </si>
  <si>
    <t>Sol. Fondos 23815</t>
  </si>
  <si>
    <t>Sol. Fondos 23816</t>
  </si>
  <si>
    <t>ENTRERIOS1Q032026</t>
  </si>
  <si>
    <t>SANTAFE1Q032026</t>
  </si>
  <si>
    <t>FC 0009-00057011</t>
  </si>
  <si>
    <t>Sol. Fondos 23822</t>
  </si>
  <si>
    <t>Sol. Fondos 23819</t>
  </si>
  <si>
    <t>RC 0001-00073977</t>
  </si>
  <si>
    <t>RC 0001-00073979</t>
  </si>
  <si>
    <t>Sol. Fondos 23828</t>
  </si>
  <si>
    <t>Sol. Fondos 23827</t>
  </si>
  <si>
    <t>Sol. Fondos 23829</t>
  </si>
  <si>
    <t>Sol. Fondos 23826</t>
  </si>
  <si>
    <t>Sol. Fondos 23824</t>
  </si>
  <si>
    <t>RC 0001-00073963</t>
  </si>
  <si>
    <t>FC 0009-00002720</t>
  </si>
  <si>
    <t>FC 0009-00057401</t>
  </si>
  <si>
    <t>Sol. Fondos 23836</t>
  </si>
  <si>
    <t>FC 0009-00002693</t>
  </si>
  <si>
    <t>RC 0001-00074450</t>
  </si>
  <si>
    <t>RC 0001-00074193</t>
  </si>
  <si>
    <t>RC 0001-00074150</t>
  </si>
  <si>
    <t>RC 0001-00074177</t>
  </si>
  <si>
    <t>RC 0001-00074188</t>
  </si>
  <si>
    <t>Sol. Fondos 23855</t>
  </si>
  <si>
    <t>Sol. Fondos 23863</t>
  </si>
  <si>
    <t>Sol. Fondos 23858</t>
  </si>
  <si>
    <t>Sol. Fondos 23856</t>
  </si>
  <si>
    <t>Sol. Fondos 23857</t>
  </si>
  <si>
    <t>Sol. Fondos 23862</t>
  </si>
  <si>
    <t>Sol. Fondos 23860</t>
  </si>
  <si>
    <t>Sol. Fondos 23865</t>
  </si>
  <si>
    <t>Sol. Fondos 23861</t>
  </si>
  <si>
    <t>Sol. Fondos 23853</t>
  </si>
  <si>
    <t>Sol. Fondos 23859</t>
  </si>
  <si>
    <t>Sol. Fondos 23866</t>
  </si>
  <si>
    <t>RC 0001-00074284</t>
  </si>
  <si>
    <t>Sol. Fondos 23873</t>
  </si>
  <si>
    <t>Sol. Fondos 23852</t>
  </si>
  <si>
    <t>Sol. Fondos 23880</t>
  </si>
  <si>
    <t>Sol. Fondos 23875</t>
  </si>
  <si>
    <t>Sol. Fondos 23868</t>
  </si>
  <si>
    <t>Sol. Fondos 23872</t>
  </si>
  <si>
    <t>Sol. Fondos 23870</t>
  </si>
  <si>
    <t>Sol. Fondos 23879</t>
  </si>
  <si>
    <t>Sol. Fondos 23871</t>
  </si>
  <si>
    <t>CABA032026</t>
  </si>
  <si>
    <t>ENTRERIOS2Q032026</t>
  </si>
  <si>
    <t>FORMOSA032026</t>
  </si>
  <si>
    <t>SANTACRUZ032026</t>
  </si>
  <si>
    <t>SANTAFE2Q032026</t>
  </si>
  <si>
    <t>RC 0001-00074283</t>
  </si>
  <si>
    <t>FC 0009-00002737</t>
  </si>
  <si>
    <t>RC 0001-00074270</t>
  </si>
  <si>
    <t>RC 0001-00074271</t>
  </si>
  <si>
    <t>RC 0001-00074272</t>
  </si>
  <si>
    <t>RC 0001-00074273</t>
  </si>
  <si>
    <t>Sol. Fondos 23899</t>
  </si>
  <si>
    <t>Sol. Fondos 23898</t>
  </si>
  <si>
    <t>Sol. Fondos 23896</t>
  </si>
  <si>
    <t>Sol. Fondos 23897</t>
  </si>
  <si>
    <t>Sol. Fondos 23900</t>
  </si>
  <si>
    <t>Sol. Fondos 23889</t>
  </si>
  <si>
    <t>Sol. Fondos 23894</t>
  </si>
  <si>
    <t>Sol. Fondos 23864</t>
  </si>
  <si>
    <t>Sol. Fondos 23854</t>
  </si>
  <si>
    <t>Sol. Fondos 23881</t>
  </si>
  <si>
    <t>Sol. Fondos 23867</t>
  </si>
  <si>
    <t>FC 0009-00002735</t>
  </si>
  <si>
    <t>FC 0009-00002729</t>
  </si>
  <si>
    <t>RC 0001-00074312</t>
  </si>
  <si>
    <t>Sol. Fondos 23892</t>
  </si>
  <si>
    <t>Sol. Fondos 23891</t>
  </si>
  <si>
    <t>Sol. Fondos 23890</t>
  </si>
  <si>
    <t>Sol. Fondos 23869</t>
  </si>
  <si>
    <t>RC 0001-00007447</t>
  </si>
  <si>
    <t>RC 0001-00074447</t>
  </si>
  <si>
    <t>FC 0009-00002721</t>
  </si>
  <si>
    <t>Sol. Fondos 23904</t>
  </si>
  <si>
    <t>Sol. Fondos 23911</t>
  </si>
  <si>
    <t>Sol. Fondos 23919</t>
  </si>
  <si>
    <t>Sol. Fondos 23901</t>
  </si>
  <si>
    <t>Sol. Fondos 23918</t>
  </si>
  <si>
    <t>Sol. Fondos 23905</t>
  </si>
  <si>
    <t>Sol. Fondos 23910</t>
  </si>
  <si>
    <t>Sol. Fondos 23917</t>
  </si>
  <si>
    <t>Sol. Fondos 23903</t>
  </si>
  <si>
    <t>Sol. Fondos 23909</t>
  </si>
  <si>
    <t>Sol. Fondos 23915</t>
  </si>
  <si>
    <t>Sol. Fondos 23906</t>
  </si>
  <si>
    <t>CHUBUT032026</t>
  </si>
  <si>
    <t>RIONEGRO032026</t>
  </si>
  <si>
    <t>Sol. Fondos 23920</t>
  </si>
  <si>
    <t>Sol. Fondos 23923</t>
  </si>
  <si>
    <t>Sol. Fondos 23921</t>
  </si>
  <si>
    <t>Sol. Fondos 23924</t>
  </si>
  <si>
    <t>Sol. Fondos 23928</t>
  </si>
  <si>
    <t>Sol. Fondos 23930</t>
  </si>
  <si>
    <t>Sol. Fondos 23931</t>
  </si>
  <si>
    <t>Sol. Fondos 23933</t>
  </si>
  <si>
    <t>Sol. Fondos 23938</t>
  </si>
  <si>
    <t>Sol. Fondos 23939</t>
  </si>
  <si>
    <t>BCLP032026</t>
  </si>
  <si>
    <t>BUENOSAIRES032026</t>
  </si>
  <si>
    <t>UISUCMARR032026</t>
  </si>
  <si>
    <t>FC 0009-00057175</t>
  </si>
  <si>
    <t>FC 0009-00002698</t>
  </si>
  <si>
    <t>FC 0009-00057092</t>
  </si>
  <si>
    <t>RC 0001-00074448</t>
  </si>
  <si>
    <t>FC 0009-00002707</t>
  </si>
  <si>
    <t>Sol. Fondos 23941</t>
  </si>
  <si>
    <t>Sol. Fondos 23950</t>
  </si>
  <si>
    <t>Sol. Fondos 23946</t>
  </si>
  <si>
    <t>Sol. Fondos 23935</t>
  </si>
  <si>
    <t>Sol. Fondos 23951</t>
  </si>
  <si>
    <t>Sol. Fondos 23952</t>
  </si>
  <si>
    <t>Sol. Fondos 23954</t>
  </si>
  <si>
    <t>Sol. Fondos 23955</t>
  </si>
  <si>
    <t>Sol. Fondos 23956</t>
  </si>
  <si>
    <t>Sol. Fondos 23957</t>
  </si>
  <si>
    <t>RC 0001-00074586</t>
  </si>
  <si>
    <t>FC 0009-00002739</t>
  </si>
  <si>
    <t>RC 0001-00002355</t>
  </si>
  <si>
    <t>FC 0009-00002740</t>
  </si>
  <si>
    <t>Sol. Fondos 23968</t>
  </si>
  <si>
    <t>Sol. Fondos 24000</t>
  </si>
  <si>
    <t>Sol. Fondos 23984</t>
  </si>
  <si>
    <t>Sol. Fondos 23953</t>
  </si>
  <si>
    <t>Sol. Fondos 23962</t>
  </si>
  <si>
    <t>Sol. Fondos 23964</t>
  </si>
  <si>
    <t>Sol. Fondos 23977</t>
  </si>
  <si>
    <t>Sol. Fondos 23972</t>
  </si>
  <si>
    <t>Sol. Fondos 23973</t>
  </si>
  <si>
    <t>Sol. Fondos 23974</t>
  </si>
  <si>
    <t>Sol. Fondos 23975</t>
  </si>
  <si>
    <t>Sol. Fondos 23976</t>
  </si>
  <si>
    <t>FC 0009-00057439</t>
  </si>
  <si>
    <t>Sol. Fondos 23961</t>
  </si>
  <si>
    <t>ENTRERIOS1Q042026</t>
  </si>
  <si>
    <t>Sol. Fondos 24001</t>
  </si>
  <si>
    <t>Sol. Fondos 24002</t>
  </si>
  <si>
    <t>Sol. Fondos 24003</t>
  </si>
  <si>
    <t>Sol. Fondos 24004</t>
  </si>
  <si>
    <t>Sol. Fondos 24005</t>
  </si>
  <si>
    <t>FC 0009-00002712</t>
  </si>
  <si>
    <t>FC 0009-00002699</t>
  </si>
  <si>
    <t>FC 0009-00057144</t>
  </si>
  <si>
    <t>RC 0001-00075034</t>
  </si>
  <si>
    <t>RC 0001-00075035</t>
  </si>
  <si>
    <t>Sol. Fondos 23963</t>
  </si>
  <si>
    <t>Sol. Fondos 23999</t>
  </si>
  <si>
    <t>Sol. Fondos 23947</t>
  </si>
  <si>
    <t>Sol. Fondos 23940</t>
  </si>
  <si>
    <t>SANTAFE1Q042026</t>
  </si>
  <si>
    <t>Sol. Fondos 24015</t>
  </si>
  <si>
    <t>Sol. Fondos 24008</t>
  </si>
  <si>
    <t>Sol. Fondos 24012</t>
  </si>
  <si>
    <t>Sol. Fondos 24013</t>
  </si>
  <si>
    <t>Sol. Fondos 24020</t>
  </si>
  <si>
    <t>Sol. Fondos 24021</t>
  </si>
  <si>
    <t>Sol. Fondos 24017</t>
  </si>
  <si>
    <t>Sol. Fondos 24023</t>
  </si>
  <si>
    <t>RC 0001-00074734</t>
  </si>
  <si>
    <t>Sol. Fondos 24028</t>
  </si>
  <si>
    <t>Sol. Fondos 24029</t>
  </si>
  <si>
    <t>Sol. Fondos 24034</t>
  </si>
  <si>
    <t>Sol. Fondos 24036</t>
  </si>
  <si>
    <t>Sol. Fondos 24044</t>
  </si>
  <si>
    <t>Sol. Fondos 24047</t>
  </si>
  <si>
    <t>Sol. Fondos 24048</t>
  </si>
  <si>
    <t>FC 0009-00057535</t>
  </si>
  <si>
    <t>FC 0009-00002728</t>
  </si>
  <si>
    <t>FC 0009-00002727</t>
  </si>
  <si>
    <t>RC 0001-00002379</t>
  </si>
  <si>
    <t>Sol. Fondos 24051</t>
  </si>
  <si>
    <t>Sol. Fondos 24054</t>
  </si>
  <si>
    <t>RC 0001-00074885</t>
  </si>
  <si>
    <t>FC 0009-00002751</t>
  </si>
  <si>
    <t>FC 0009-00057918</t>
  </si>
  <si>
    <t>FC 0009-00002746</t>
  </si>
  <si>
    <t>FC 0009-00002752</t>
  </si>
  <si>
    <t>FC 0009-00057976</t>
  </si>
  <si>
    <t>RC 0001-00075033</t>
  </si>
  <si>
    <t>Sol. Fondos 24055</t>
  </si>
  <si>
    <t>Sol. Fondos 24059</t>
  </si>
  <si>
    <t>RC 0001-00075037</t>
  </si>
  <si>
    <t>Sol. Fondos 24071</t>
  </si>
  <si>
    <t>Sol. Fondos 24064</t>
  </si>
  <si>
    <t>Sol. Fondos 24073</t>
  </si>
  <si>
    <t>Sol. Fondos 24077</t>
  </si>
  <si>
    <t>Sol. Fondos 24076</t>
  </si>
  <si>
    <t>Sol. Fondos 24080</t>
  </si>
  <si>
    <t>Sol. Fondos 24087</t>
  </si>
  <si>
    <t>Sol. Fondos 24081</t>
  </si>
  <si>
    <t>RC 0001-00075031</t>
  </si>
  <si>
    <t>FC 0009-00075030</t>
  </si>
  <si>
    <t>Sol. Fondos 24101</t>
  </si>
  <si>
    <t>Sol. Fondos 24102</t>
  </si>
  <si>
    <t>Sol. Fondos 24096</t>
  </si>
  <si>
    <t>Sol. Fondos 24082</t>
  </si>
  <si>
    <t>Sol. Fondos 24079</t>
  </si>
  <si>
    <t>Sol. Fondos 24083</t>
  </si>
  <si>
    <t>Sol. Fondos 24085</t>
  </si>
  <si>
    <t>Sol. Fondos 24086</t>
  </si>
  <si>
    <t>Sol. Fondos 24098</t>
  </si>
  <si>
    <t>Sol. Fondos 24104</t>
  </si>
  <si>
    <t>Sol. Fondos 24068</t>
  </si>
  <si>
    <t>Sol. Fondos 24094</t>
  </si>
  <si>
    <t>Sol. Fondos 24084</t>
  </si>
  <si>
    <t>CABA042026</t>
  </si>
  <si>
    <t>FORMOSA042026</t>
  </si>
  <si>
    <t>ENTRERIOS2Q042026</t>
  </si>
  <si>
    <t>SANTACRUZ042026</t>
  </si>
  <si>
    <t>SANTAFE2Q042026</t>
  </si>
  <si>
    <t>Sol. Fondos 24089</t>
  </si>
  <si>
    <t>Sol. Fondos 24108</t>
  </si>
  <si>
    <t>Sol. Fondos 24110</t>
  </si>
  <si>
    <t>Sol. Fondos 24109</t>
  </si>
  <si>
    <t>Sol. Fondos 24113</t>
  </si>
  <si>
    <t>Sol. Fondos 24111</t>
  </si>
  <si>
    <t>Sol. Fondos 24107</t>
  </si>
  <si>
    <t>Sol. Fondos 24067</t>
  </si>
  <si>
    <t>Sol. Fondos 24103</t>
  </si>
  <si>
    <t>Sol. Fondos 24066</t>
  </si>
  <si>
    <t>Sol. Fondos 24112</t>
  </si>
  <si>
    <t>RC 0001-00075129</t>
  </si>
  <si>
    <t>Sol. Fondos 24121</t>
  </si>
  <si>
    <t>Sol. Fondos 24122</t>
  </si>
  <si>
    <t>Sol. Fondos 24123</t>
  </si>
  <si>
    <t>Sol. Fondos 24124</t>
  </si>
  <si>
    <t>Sol. Fondos 24120</t>
  </si>
  <si>
    <t>Sol. Fondos 24119</t>
  </si>
  <si>
    <t>Sol. Fondos 24097</t>
  </si>
  <si>
    <t>Sol. Fondos 24117</t>
  </si>
  <si>
    <t>Sol. Fondos 24118</t>
  </si>
  <si>
    <t>Sol. Fondos 24100</t>
  </si>
  <si>
    <t>Sol. Fondos 24072</t>
  </si>
  <si>
    <t>Sol. Fondos 24099</t>
  </si>
  <si>
    <t>Sol. Fondos 24069</t>
  </si>
  <si>
    <t>CHUBUT042026</t>
  </si>
  <si>
    <t>RIONEGRO042026</t>
  </si>
  <si>
    <t>Sol. Fondos 24130</t>
  </si>
  <si>
    <t>Sol. Fondos 24132</t>
  </si>
  <si>
    <t>Sol. Fondos 24127</t>
  </si>
  <si>
    <t>Sol. Fondos 24126</t>
  </si>
  <si>
    <t>Sol. Fondos 24129</t>
  </si>
  <si>
    <t>Sol. Fondos 24128</t>
  </si>
  <si>
    <t>Sol. Fondos 24134</t>
  </si>
  <si>
    <t>Sol. Fondos 24135</t>
  </si>
  <si>
    <t>Sol. Fondos 24136</t>
  </si>
  <si>
    <t>Sol. Fondos 24137</t>
  </si>
  <si>
    <t>Sol. Fondos 24138</t>
  </si>
  <si>
    <t>Sol. Fondos 24139</t>
  </si>
  <si>
    <t>Sol. Fondos 24140</t>
  </si>
  <si>
    <t>Sol. Fondos 24141</t>
  </si>
  <si>
    <t>Sol. Fondos 24142</t>
  </si>
  <si>
    <t>Sol. Fondos 24143</t>
  </si>
  <si>
    <t>RC 0001-00075128</t>
  </si>
  <si>
    <t>Sol. Fondos 24164</t>
  </si>
  <si>
    <t>Sol. Fondos 24163</t>
  </si>
  <si>
    <t>Sol. Fondos 24160</t>
  </si>
  <si>
    <t>Sol. Fondos 24158</t>
  </si>
  <si>
    <t>Sol. Fondos 24161</t>
  </si>
  <si>
    <t>Sol. Fondos 24162</t>
  </si>
  <si>
    <t>Sol. Fondos 24148</t>
  </si>
  <si>
    <t>Sol. Fondos 24149</t>
  </si>
  <si>
    <t>Sol. Fondos 24150</t>
  </si>
  <si>
    <t>Sol. Fondos 24151</t>
  </si>
  <si>
    <t>Sol. Fondos 24152</t>
  </si>
  <si>
    <t>Sol. Fondos 24153</t>
  </si>
  <si>
    <t>Sol. Fondos 24154</t>
  </si>
  <si>
    <t>Sol. Fondos 24155</t>
  </si>
  <si>
    <t>Sol. Fondos 24157</t>
  </si>
  <si>
    <t>Sol. Fondos 24168</t>
  </si>
  <si>
    <t>Sol. Fondos 24159</t>
  </si>
  <si>
    <t>Sol. Fondos 24171</t>
  </si>
  <si>
    <t>Sol. Fondos 24172</t>
  </si>
  <si>
    <t>Sol. Fondos 24173</t>
  </si>
  <si>
    <t>Sol. Fondos 24174</t>
  </si>
  <si>
    <t>Sol. Fondos 24175</t>
  </si>
  <si>
    <t>Sol. Fondos 24176</t>
  </si>
  <si>
    <t>Sol. Fondos 24177</t>
  </si>
  <si>
    <t>Sol. Fondos 24178</t>
  </si>
  <si>
    <t>Sol. Fondos 24182</t>
  </si>
  <si>
    <t>Sol. Fondos 24183</t>
  </si>
  <si>
    <t>Sol. Fondos 24184</t>
  </si>
  <si>
    <t>Sol. Fondos 24185</t>
  </si>
  <si>
    <t>Sol. Fondos 24186</t>
  </si>
  <si>
    <t>Sol. Fondos 24187</t>
  </si>
  <si>
    <t>Sol. Fondos 24188</t>
  </si>
  <si>
    <t>Sol. Fondos 24189</t>
  </si>
  <si>
    <t>Sol. Fondos 24190</t>
  </si>
  <si>
    <t>Sol. Fondos 24191</t>
  </si>
  <si>
    <t>BUENOSAIRES042026</t>
  </si>
  <si>
    <t>BCLP042026</t>
  </si>
  <si>
    <t>UISCUMARR042026</t>
  </si>
  <si>
    <t>RC 0001-00075209</t>
  </si>
  <si>
    <t>Sol. Fondos 24197</t>
  </si>
  <si>
    <t>Sol. Fondos 24199</t>
  </si>
  <si>
    <t>Sol. Fondos 24195</t>
  </si>
  <si>
    <t>Sol. Fondos 24196</t>
  </si>
  <si>
    <t>Sol. Fondos 24200</t>
  </si>
  <si>
    <t>Sol. Fondos 24201</t>
  </si>
  <si>
    <t>Sol. Fondos 24202</t>
  </si>
  <si>
    <t>Sol. Fondos 24203</t>
  </si>
  <si>
    <t>Sol. Fondos 24204</t>
  </si>
  <si>
    <t>Sol. Fondos 24205</t>
  </si>
  <si>
    <t>Sol. Fondos 24206</t>
  </si>
  <si>
    <t>Sol. Fondos 24198</t>
  </si>
  <si>
    <t>ENTRERIOS1Q052026</t>
  </si>
  <si>
    <t>SANTAFE1Q052026</t>
  </si>
  <si>
    <t>Sol. Fondos 24165</t>
  </si>
  <si>
    <t>Sol. Fondos 24169</t>
  </si>
  <si>
    <t>RC 0001-00075412</t>
  </si>
  <si>
    <t>RC 0001-00075413</t>
  </si>
  <si>
    <t>Sol. Fondos 24219</t>
  </si>
  <si>
    <t>Sol. Fondos 24212</t>
  </si>
  <si>
    <t>Sol. Fondos 24218</t>
  </si>
  <si>
    <t>Sol. Fondos 24213</t>
  </si>
  <si>
    <t>Sol. Fondos 24214</t>
  </si>
  <si>
    <t>Sol. Fondos 24217</t>
  </si>
  <si>
    <t>Sol. Fondos 24225</t>
  </si>
  <si>
    <t>Sol. Fondos 24224</t>
  </si>
  <si>
    <t>FC 0009-00002738</t>
  </si>
  <si>
    <t>RC 0001-00075400</t>
  </si>
  <si>
    <t>FC 0009-00002748</t>
  </si>
  <si>
    <t>FC 0009-00002731</t>
  </si>
  <si>
    <t>FC 0009-00057628</t>
  </si>
  <si>
    <t>Sol. Fondos 24241</t>
  </si>
  <si>
    <t>FC 0009-00058099</t>
  </si>
  <si>
    <t>FC 0009-00002759</t>
  </si>
  <si>
    <t>FC 0009-00058100</t>
  </si>
  <si>
    <t>RC 0001-00002385</t>
  </si>
  <si>
    <t>RC 0001-00075634</t>
  </si>
  <si>
    <t>FC 0009-00058287</t>
  </si>
  <si>
    <t>RC 0001-00002388</t>
  </si>
  <si>
    <t>FC 0009-00002769</t>
  </si>
  <si>
    <t>FC 0009-00002762</t>
  </si>
  <si>
    <t>FC 0009-00002768</t>
  </si>
  <si>
    <t>Sol. Fondos 24249</t>
  </si>
  <si>
    <t>Sol. Fondos 24250</t>
  </si>
  <si>
    <t>Sol. Fondos 24248</t>
  </si>
  <si>
    <t>Sol. Fondos 24256</t>
  </si>
  <si>
    <t>Sol. Fondos 24257</t>
  </si>
  <si>
    <t>Sol. Fondos 24258</t>
  </si>
  <si>
    <t>RC 0001-00075738</t>
  </si>
  <si>
    <t>Sol. Fondos 24267</t>
  </si>
  <si>
    <t>Sol. Fondos 24265</t>
  </si>
  <si>
    <t>Sol. Fondos 24269</t>
  </si>
  <si>
    <t>Sol. Fondos 24270</t>
  </si>
  <si>
    <t>Sol. Fondos 24272</t>
  </si>
  <si>
    <t>Sol. Fondos 24273</t>
  </si>
  <si>
    <t>RC 0001-00075810</t>
  </si>
  <si>
    <t>Sol. Fondos 24284</t>
  </si>
  <si>
    <t>Sol. Fondos 24274</t>
  </si>
  <si>
    <t>Sol. Fondos 24268</t>
  </si>
  <si>
    <t>Sol. Fondos 24263</t>
  </si>
  <si>
    <t>Sol. Fondos 24283</t>
  </si>
  <si>
    <t>Sol. Fondos 24259</t>
  </si>
  <si>
    <t>Sol. Fondos 24286</t>
  </si>
  <si>
    <t>Sol. Fondos 24290</t>
  </si>
  <si>
    <t>Sol. Fondos 24279</t>
  </si>
  <si>
    <t>Sol. Fondos 24289</t>
  </si>
  <si>
    <t>Sol. Fondos 24281</t>
  </si>
  <si>
    <t>Sol. Fondos 24291</t>
  </si>
  <si>
    <t>Sol. Fondos 24261</t>
  </si>
  <si>
    <t>Sol. Fondos 24282</t>
  </si>
  <si>
    <t>Sol. Fondos 24292</t>
  </si>
  <si>
    <t>Sol. Fondos 24287</t>
  </si>
  <si>
    <t>Sol. Fondos 24278</t>
  </si>
  <si>
    <t>Sol. Fondos 24275</t>
  </si>
  <si>
    <t>Sol. Fondos 24276</t>
  </si>
  <si>
    <t>Sol. Fondos 24262</t>
  </si>
  <si>
    <t>Sol. Fondos 24293</t>
  </si>
  <si>
    <t>FC 0009-00002798</t>
  </si>
  <si>
    <t>RC 0001-00075964</t>
  </si>
  <si>
    <t>RC 0001-00075835</t>
  </si>
  <si>
    <t>0009-00058607</t>
  </si>
  <si>
    <t>0009-00002784</t>
  </si>
  <si>
    <t>Sol. Fondos 24295</t>
  </si>
  <si>
    <t>Sol. Fondos 24296</t>
  </si>
  <si>
    <t>Sol. Fondos 24301</t>
  </si>
  <si>
    <t>Sol. Fondos 24300</t>
  </si>
  <si>
    <t>Sol. Fondos 24299</t>
  </si>
  <si>
    <t>Sol. Fondos 24298</t>
  </si>
  <si>
    <t>Sol. Fondos 24302</t>
  </si>
  <si>
    <t>CABA052026</t>
  </si>
  <si>
    <t>ENTRERIOS2Q052026</t>
  </si>
  <si>
    <t>FORMOSA052026</t>
  </si>
  <si>
    <t>SANTACRUZ052026</t>
  </si>
  <si>
    <t>SANTAFE2Q052026</t>
  </si>
  <si>
    <t>Sol. Fondos 24307</t>
  </si>
  <si>
    <t>Sol. Fondos 24308</t>
  </si>
  <si>
    <t>Sol. Fondos 24312</t>
  </si>
  <si>
    <t>Sol. Fondos 24313</t>
  </si>
  <si>
    <t>Sol. Fondos 24319</t>
  </si>
  <si>
    <t>Sol. Fondos 24314</t>
  </si>
  <si>
    <t>Sol. Fondos 24315</t>
  </si>
  <si>
    <t>Sol. Fondos 24306</t>
  </si>
  <si>
    <t>Sol. Fondos 24277</t>
  </si>
  <si>
    <t>Sol. Fondos 24305</t>
  </si>
  <si>
    <t>Sol. Fondos 24304</t>
  </si>
  <si>
    <t>Sol. Fondos 24317</t>
  </si>
  <si>
    <t>Sol. Fondos 24324</t>
  </si>
  <si>
    <t>Sol. Fondos 24325</t>
  </si>
  <si>
    <t>Sol. Fondos 24326</t>
  </si>
  <si>
    <t>FC 0009-00057944</t>
  </si>
  <si>
    <t>FC 0009-00058540</t>
  </si>
  <si>
    <t>Sol. Fondos 24335</t>
  </si>
  <si>
    <t>Sol. Fondos 24330</t>
  </si>
  <si>
    <t>Sol. Fondos 24328</t>
  </si>
  <si>
    <t>Sol. Fondos 24327</t>
  </si>
  <si>
    <t>Sol. Fondos 24329</t>
  </si>
  <si>
    <t>CHUBUT052026</t>
  </si>
  <si>
    <t>RIONEGRO052026</t>
  </si>
  <si>
    <t>Sol. Fondos 24350</t>
  </si>
  <si>
    <t>Sol. Fondos 24338</t>
  </si>
  <si>
    <t>Sol. Fondos 24345</t>
  </si>
  <si>
    <t>Sol. Fondos 24351</t>
  </si>
  <si>
    <t>Sol. Fondos 24340</t>
  </si>
  <si>
    <t>Sol. Fondos 24341</t>
  </si>
  <si>
    <t>Sol. Fondos 24344</t>
  </si>
  <si>
    <t>Sol. Fondos 24339</t>
  </si>
  <si>
    <t>Sol. Fondos 24346</t>
  </si>
  <si>
    <t>Sol. Fondos 24347</t>
  </si>
  <si>
    <t>Sol. Fondos 24348</t>
  </si>
  <si>
    <t>Sol. Fondos 24349</t>
  </si>
  <si>
    <t>Sol. Fondos 24352</t>
  </si>
  <si>
    <t>Sol. Fondos 24353</t>
  </si>
  <si>
    <t>Sol. Fondos 24354</t>
  </si>
  <si>
    <t>Sol. Fondos 24355</t>
  </si>
  <si>
    <t>Sol. Fondos 24357</t>
  </si>
  <si>
    <t>FC 0009-00002765</t>
  </si>
  <si>
    <t>FC 0009-00002785</t>
  </si>
  <si>
    <t>RC 0001-00076059</t>
  </si>
  <si>
    <t>RC 0001-00076089</t>
  </si>
  <si>
    <t>RC 0001-00076090</t>
  </si>
  <si>
    <t>RC 0001-00076088</t>
  </si>
  <si>
    <t>Sol. Fondos 24362</t>
  </si>
  <si>
    <t>Sol. Fondos 24363</t>
  </si>
  <si>
    <t>Sol. Fondos 24332</t>
  </si>
  <si>
    <t>Sol. Fondos 24364</t>
  </si>
  <si>
    <t>UISCUMARR052026</t>
  </si>
  <si>
    <t>Sol. Fondos 24368</t>
  </si>
  <si>
    <t>Sol. Fondos 24369</t>
  </si>
  <si>
    <t>Sol. Fondos 24370</t>
  </si>
  <si>
    <t>Sol. Fondos 24371</t>
  </si>
  <si>
    <t>Sol. Fondos 24372</t>
  </si>
  <si>
    <t>Sol. Fondos 24373</t>
  </si>
  <si>
    <t>Sol. Fondos 24374</t>
  </si>
  <si>
    <t>Sol. Fondos 24383</t>
  </si>
  <si>
    <t>BCLP052026</t>
  </si>
  <si>
    <t>BUENOSAIRES052026</t>
  </si>
  <si>
    <t>Sol. Fondos 24387</t>
  </si>
  <si>
    <t>RC 0001-00076252</t>
  </si>
  <si>
    <t>Sol. Fondos 24398</t>
  </si>
  <si>
    <t>Sol. Fondos 24388</t>
  </si>
  <si>
    <t>Sol. Fondos 24391</t>
  </si>
  <si>
    <t>Sol. Fondos 24392</t>
  </si>
  <si>
    <t>Sol. Fondos 24393</t>
  </si>
  <si>
    <t>Sol. Fondos 24394</t>
  </si>
  <si>
    <t>Sol. Fondos 24395</t>
  </si>
  <si>
    <t>Sol. Fondos 24396</t>
  </si>
  <si>
    <t>ENTRERIOS1Q062026</t>
  </si>
  <si>
    <t>Sol. Fondos 24400</t>
  </si>
  <si>
    <t>Sol. Fondos 24399</t>
  </si>
  <si>
    <t>Sol. Fondos 24331</t>
  </si>
  <si>
    <t>Sol. Fondos 24386</t>
  </si>
  <si>
    <t>Sol. Fondos 24390</t>
  </si>
  <si>
    <t>RC 0001-00076253</t>
  </si>
  <si>
    <t>SANTAFE1Q062026</t>
  </si>
  <si>
    <t>Sol. Fondos 24402</t>
  </si>
  <si>
    <t>Sol. Fondos 24412</t>
  </si>
  <si>
    <t>Sol. Fondos 24410</t>
  </si>
  <si>
    <t>Sol. Fondos 24409</t>
  </si>
  <si>
    <t>Sol. Fondos 24413</t>
  </si>
  <si>
    <t>RC 0001-00076378</t>
  </si>
  <si>
    <t>0009-00002807</t>
  </si>
  <si>
    <t>0009-00059056</t>
  </si>
  <si>
    <t>Sol. Fondos 24422</t>
  </si>
  <si>
    <t>FC 0009-00002778</t>
  </si>
  <si>
    <t>FC 0009-00002767</t>
  </si>
  <si>
    <t>FC 0009-00002801</t>
  </si>
  <si>
    <t>FC 0009-00058625</t>
  </si>
  <si>
    <t>FC 0009-00058624</t>
  </si>
  <si>
    <t>FC 0009-00002795</t>
  </si>
  <si>
    <t>RC 0001-00076853</t>
  </si>
  <si>
    <t>Sol. Fondos 24447</t>
  </si>
  <si>
    <t>Sol. Fondos 24448</t>
  </si>
  <si>
    <t>Sol. Fondos 24439</t>
  </si>
  <si>
    <t>RC 0001-00076563</t>
  </si>
  <si>
    <t>Sol. Fondos 24443</t>
  </si>
  <si>
    <t>Sol. Fondos 24449</t>
  </si>
  <si>
    <t>Sol. Fondos 24445</t>
  </si>
  <si>
    <t>RC 0001-00076601</t>
  </si>
  <si>
    <t>FC 0009-00002800</t>
  </si>
  <si>
    <t>FC 0009-00058793</t>
  </si>
  <si>
    <t>FC 0009-00002797</t>
  </si>
  <si>
    <t>Sol. Fondos 24451</t>
  </si>
  <si>
    <t>Sol. Fondos 24455</t>
  </si>
  <si>
    <t>Sol. Fondos 24457</t>
  </si>
  <si>
    <t>FC 0009-00002825</t>
  </si>
  <si>
    <t>RC 0001-00076840</t>
  </si>
  <si>
    <t>Sol. Fondos 24463</t>
  </si>
  <si>
    <t>Sol. Fondos 24464</t>
  </si>
  <si>
    <t>Sol. Fondos 24468</t>
  </si>
  <si>
    <t>Sol. Fondos 24442</t>
  </si>
  <si>
    <t>Sol. Fondos 24471</t>
  </si>
  <si>
    <t>Sol. Fondos 24466</t>
  </si>
  <si>
    <t>Sol. Fondos 24440</t>
  </si>
  <si>
    <t>Sol. Fondos 24460</t>
  </si>
  <si>
    <t>Sol. Fondos 24452</t>
  </si>
  <si>
    <t>Sol. Fondos 24462</t>
  </si>
  <si>
    <t>Sol. Fondos 24453</t>
  </si>
  <si>
    <t>Sol. Fondos 24454</t>
  </si>
  <si>
    <t>Sol. Fondos 24456</t>
  </si>
  <si>
    <t>Sol. Fondos 24467</t>
  </si>
  <si>
    <t>Sol. Fondos 24461</t>
  </si>
  <si>
    <t>Sol. Fondos 24469</t>
  </si>
  <si>
    <t>Sol. Fondos 24450</t>
  </si>
  <si>
    <t>CABA062026</t>
  </si>
  <si>
    <t>ENTRERIOS2Q062026</t>
  </si>
  <si>
    <t>FORMOSA062026</t>
  </si>
  <si>
    <t>SANTACRUZ062026</t>
  </si>
  <si>
    <t>SANTAFE2Q062026</t>
  </si>
  <si>
    <t>FC 0009-00058608</t>
  </si>
  <si>
    <t>RC 0001-00076845</t>
  </si>
  <si>
    <t>RC 0001-00076846</t>
  </si>
  <si>
    <t>RC 0001-00076847</t>
  </si>
  <si>
    <t>Sol. Fondos 24481</t>
  </si>
  <si>
    <t>Sol. Fondos 24483</t>
  </si>
  <si>
    <t>Sol. Fondos 24476</t>
  </si>
  <si>
    <t>Sol. Fondos 24492</t>
  </si>
  <si>
    <t>Sol. Fondos 24493</t>
  </si>
  <si>
    <t>Sol. Fondos 24495</t>
  </si>
  <si>
    <t>Sol. Fondos 24496</t>
  </si>
  <si>
    <t>Sol. Fondos 24475</t>
  </si>
  <si>
    <t>Sol. Fondos 24478</t>
  </si>
  <si>
    <t>Sol. Fondos 24477</t>
  </si>
  <si>
    <t>Sol. Fondos 24441</t>
  </si>
  <si>
    <t>Sol. Fondos 24503</t>
  </si>
  <si>
    <t>Sol. Fondos 24506</t>
  </si>
  <si>
    <t>Sol. Fondos 24487</t>
  </si>
  <si>
    <t>Sol. Fondos 24486</t>
  </si>
  <si>
    <t>Sol. Fondos 24485</t>
  </si>
  <si>
    <t>Sol. Fondos 24502</t>
  </si>
  <si>
    <t>Sol. Fondos 24489</t>
  </si>
  <si>
    <t>Sol. Fondos 24484</t>
  </si>
  <si>
    <t>Sol. Fondos 24504</t>
  </si>
  <si>
    <t>Sol. Fondos 24501</t>
  </si>
  <si>
    <t>Sol. Fondos 24479</t>
  </si>
  <si>
    <t>Sol. Fondos 24490</t>
  </si>
  <si>
    <t>Sol. Fondos 24499</t>
  </si>
  <si>
    <t>CHUBUT062026</t>
  </si>
  <si>
    <t>RIONEGRO062026</t>
  </si>
  <si>
    <t>Sol. Fondos 24505</t>
  </si>
  <si>
    <t>Sol. Fondos 24444</t>
  </si>
  <si>
    <t>Sol. Fondos 24494</t>
  </si>
  <si>
    <t>Sol. Fondos 24488</t>
  </si>
  <si>
    <t>Sol. Fondos 24465</t>
  </si>
  <si>
    <t>Sol. Fondos 24508</t>
  </si>
  <si>
    <t>Sol. Fondos 24507</t>
  </si>
  <si>
    <t>Sol. Fondos 24509</t>
  </si>
  <si>
    <t>Sol. Fondos 24510</t>
  </si>
  <si>
    <t>Sol. Fondos 24511</t>
  </si>
  <si>
    <t>Sol. Fondos 24512</t>
  </si>
  <si>
    <t>RC 0001-00076849</t>
  </si>
  <si>
    <t>RC 0001-00076850</t>
  </si>
  <si>
    <t>RC 0001-00076851</t>
  </si>
  <si>
    <t>Sol. Fondos 24474</t>
  </si>
  <si>
    <t>FC 0009-00076852</t>
  </si>
  <si>
    <t>Sol. Fondos 24515</t>
  </si>
  <si>
    <t>Sol. Fondos 24521</t>
  </si>
  <si>
    <t>BCLP062026</t>
  </si>
  <si>
    <t>BuENOSAIRES062026</t>
  </si>
  <si>
    <t>UISCUMARR062026</t>
  </si>
  <si>
    <t>RC 0001-00076863</t>
  </si>
  <si>
    <t>Sol. Fondos 24543</t>
  </si>
  <si>
    <t>Sol. Fondos 24531</t>
  </si>
  <si>
    <t>Sol. Fondos 24536</t>
  </si>
  <si>
    <t>Sol. Fondos 24537</t>
  </si>
  <si>
    <t>Sol. Fondos 24538</t>
  </si>
  <si>
    <t>Sol. Fondos 24539</t>
  </si>
  <si>
    <t>Sol. Fondos 24540</t>
  </si>
  <si>
    <t>Sol. Fondos 24541</t>
  </si>
  <si>
    <t>Sol. Fondos 24542</t>
  </si>
  <si>
    <t>RC 0001-00076895</t>
  </si>
  <si>
    <t>FC 0009-00002826</t>
  </si>
  <si>
    <t>FC 0009-00059412</t>
  </si>
  <si>
    <t>FC 0009-00002827</t>
  </si>
  <si>
    <t>FC 0009-00002839</t>
  </si>
  <si>
    <t>Sol. Fondos 24535</t>
  </si>
  <si>
    <t>Sol. Fondos 24549</t>
  </si>
  <si>
    <t>Sol. Fondos 24550</t>
  </si>
  <si>
    <t>Sol. Fondos 24491</t>
  </si>
  <si>
    <t>Sol. Fondos 24527</t>
  </si>
  <si>
    <t>Sol. Fondos 24551</t>
  </si>
  <si>
    <t>Sol. Fondos 24552</t>
  </si>
  <si>
    <t>Sol. Fondos 24553</t>
  </si>
  <si>
    <t>Sol. Fondos 24554</t>
  </si>
  <si>
    <t>Sol. Fondos 24555</t>
  </si>
  <si>
    <t>Sol. Fondos 24556</t>
  </si>
  <si>
    <t>Sol. Fondos 24557</t>
  </si>
  <si>
    <t>Sol. Fondos 24558</t>
  </si>
  <si>
    <t>SANTAFE1Q072026</t>
  </si>
  <si>
    <t>ENTRERIOS1Q072026</t>
  </si>
  <si>
    <t>Sol. Fondos 24564</t>
  </si>
  <si>
    <t>Sol. Fondos 24565</t>
  </si>
  <si>
    <t>Sol. Fondos 24566</t>
  </si>
  <si>
    <t>Sol. Fondos 24567</t>
  </si>
  <si>
    <t>Sol. Fondos 24568</t>
  </si>
  <si>
    <t>Sol. Fondos 24569</t>
  </si>
  <si>
    <t>Sol. Fondos 24570</t>
  </si>
  <si>
    <t>FC 0009-00002819</t>
  </si>
  <si>
    <t>FC 0009-00002817</t>
  </si>
  <si>
    <t>Sol. Fondos 24580</t>
  </si>
  <si>
    <t>Sol. Fondos 24583</t>
  </si>
  <si>
    <t>Sol. Fondos 24534</t>
  </si>
  <si>
    <t>Sol. Fondos 24573</t>
  </si>
  <si>
    <t>Sol. Fondos 24574</t>
  </si>
  <si>
    <t>Sol. Fondos 24575</t>
  </si>
  <si>
    <t>Sol. Fondos 24587</t>
  </si>
  <si>
    <t>Sol. Fondos 24588</t>
  </si>
  <si>
    <t>Sol. Fondos 24589</t>
  </si>
  <si>
    <t>Sol. Fondos 24590</t>
  </si>
  <si>
    <t>Sol. Fondos 24591</t>
  </si>
  <si>
    <t>RC 0001-00077006</t>
  </si>
  <si>
    <t>RC 0001-00077007</t>
  </si>
  <si>
    <t>Sol. Fondos 24610</t>
  </si>
  <si>
    <t>Sol. Fondos 24611</t>
  </si>
  <si>
    <t>Sol. Fondos 24602</t>
  </si>
  <si>
    <t>RC 0001-00077064</t>
  </si>
  <si>
    <t>FC 0009-00002840</t>
  </si>
  <si>
    <t>FC 0009-00059605</t>
  </si>
  <si>
    <t>RC 0001-00077171</t>
  </si>
  <si>
    <t>FC 0009-00058855</t>
  </si>
  <si>
    <t>FC 0009-00002835</t>
  </si>
  <si>
    <t>RC 0001-00077172</t>
  </si>
  <si>
    <t>RC 0001-00077393</t>
  </si>
  <si>
    <t>RC 0001-00077398</t>
  </si>
  <si>
    <t>Sol. Fondos 24646</t>
  </si>
  <si>
    <t>RC 0001-00077395</t>
  </si>
  <si>
    <t>Sol. Fondos 24663</t>
  </si>
  <si>
    <t>Sol. Fondos 24649</t>
  </si>
  <si>
    <t>Sol. Fondos 24660</t>
  </si>
  <si>
    <t>Sol. Fondos 24668</t>
  </si>
  <si>
    <t>Sol. Fondos 24670</t>
  </si>
  <si>
    <t>Sol. Fondos 24653</t>
  </si>
  <si>
    <t>Sol. Fondos 24669</t>
  </si>
  <si>
    <t>Sol. Fondos 24658</t>
  </si>
  <si>
    <t>Sol. Fondos 24661</t>
  </si>
  <si>
    <t>Sol. Fondos 24655</t>
  </si>
  <si>
    <t>Sol. Fondos 24657</t>
  </si>
  <si>
    <t>Sol. Fondos 24666</t>
  </si>
  <si>
    <t>Sol. Fondos 24654</t>
  </si>
  <si>
    <t>RC 0001-00077396</t>
  </si>
  <si>
    <t>Sol. Fondos 24692</t>
  </si>
  <si>
    <t>Sol. Fondos 24682</t>
  </si>
  <si>
    <t>Sol. Fondos 24676</t>
  </si>
  <si>
    <t>Sol. Fondos 24688</t>
  </si>
  <si>
    <t>Sol. Fondos 24683</t>
  </si>
  <si>
    <t>Sol. Fondos 24685</t>
  </si>
  <si>
    <t>Sol. Fondos 24691</t>
  </si>
  <si>
    <t>Sol. Fondos 24678</t>
  </si>
  <si>
    <t>CABA072026</t>
  </si>
  <si>
    <t>ENTRERIOS2Q072026</t>
  </si>
  <si>
    <t>FORMOSA072026</t>
  </si>
  <si>
    <t>SANTACRUZ072026</t>
  </si>
  <si>
    <t>SANTAFE2Q072026</t>
  </si>
  <si>
    <t>RC 0001-00077394</t>
  </si>
  <si>
    <t>Sol. Fondos 24695</t>
  </si>
  <si>
    <t>Sol. Fondos 24693</t>
  </si>
  <si>
    <t>Sol. Fondos 24696</t>
  </si>
  <si>
    <t>Sol. Fondos 24703</t>
  </si>
  <si>
    <t>Sol. Fondos 24694</t>
  </si>
  <si>
    <t>Sol. Fondos 24699</t>
  </si>
  <si>
    <t>Sol. Fondos 24705</t>
  </si>
  <si>
    <t>Sol. Fondos 24706</t>
  </si>
  <si>
    <t>Sol. Fondos 24698</t>
  </si>
  <si>
    <t>RC 0001-00077534</t>
  </si>
  <si>
    <t>Sol. Fondos 24707</t>
  </si>
  <si>
    <t>Sol. Fondos 24675</t>
  </si>
  <si>
    <t>Sol. Fondos 24697</t>
  </si>
  <si>
    <t>Sol. Fondos 24662</t>
  </si>
  <si>
    <t>Sol. Fondos 24702</t>
  </si>
  <si>
    <t>Sol. Fondos 24718</t>
  </si>
  <si>
    <t>Sol. Fondos 24667</t>
  </si>
  <si>
    <t>Sol. Fondos 24704</t>
  </si>
  <si>
    <t>Sol. Fondos 24717</t>
  </si>
  <si>
    <t>Sol. Fondos 24720</t>
  </si>
  <si>
    <t>Sol. Fondos 24715</t>
  </si>
  <si>
    <t>Vie</t>
  </si>
  <si>
    <t>INGRESOS</t>
  </si>
  <si>
    <t>Transferencia</t>
  </si>
  <si>
    <t>Rentas</t>
  </si>
  <si>
    <t>NEUQUEN 1° Q</t>
  </si>
  <si>
    <t>2 - PR - Plan Rombo</t>
  </si>
  <si>
    <t>CORRIENTES 1° Q</t>
  </si>
  <si>
    <t>MISIONES</t>
  </si>
  <si>
    <t>SANTA CRUZ</t>
  </si>
  <si>
    <t>1 - VW - Volkswagen</t>
  </si>
  <si>
    <t>NEUQUEN 2° Q</t>
  </si>
  <si>
    <t>Lun</t>
  </si>
  <si>
    <t>LA PAMPA</t>
  </si>
  <si>
    <t>3 - GM - Chevrolet</t>
  </si>
  <si>
    <t>CHUBUT</t>
  </si>
  <si>
    <t>4 - FCA - Fiat</t>
  </si>
  <si>
    <t>CORDOBA 2° Q</t>
  </si>
  <si>
    <t>6 - FCAtr - Fiat Transf.</t>
  </si>
  <si>
    <t>CORRIENTES 2° Q</t>
  </si>
  <si>
    <t>ENTRE RIOS 2° Q</t>
  </si>
  <si>
    <t>FORMOSA</t>
  </si>
  <si>
    <t>LA RIOJA</t>
  </si>
  <si>
    <t>MENDOZA</t>
  </si>
  <si>
    <t>RIO NEGRO</t>
  </si>
  <si>
    <t>SAN JUAN</t>
  </si>
  <si>
    <t>SAN LUIS</t>
  </si>
  <si>
    <t>SANTIAGO DEL ESTERO</t>
  </si>
  <si>
    <t>TIERRA DEL FUEGO</t>
  </si>
  <si>
    <t>Mar</t>
  </si>
  <si>
    <t>CHACO</t>
  </si>
  <si>
    <t>SANTA FE 1° Q</t>
  </si>
  <si>
    <t>SANTA FE 2° Q</t>
  </si>
  <si>
    <t>TUCUMAN</t>
  </si>
  <si>
    <t>Mie</t>
  </si>
  <si>
    <t>EGRESOS</t>
  </si>
  <si>
    <t>Pagos Bco. Provincia</t>
  </si>
  <si>
    <t>VEP</t>
  </si>
  <si>
    <t>7 - PRtr - Plan Rombo Transf.</t>
  </si>
  <si>
    <t>Jue</t>
  </si>
  <si>
    <t>5 - YAM - Yamaha</t>
  </si>
  <si>
    <t>JUJUY</t>
  </si>
  <si>
    <t>BtoB</t>
  </si>
  <si>
    <t>BAPRO</t>
  </si>
  <si>
    <t>Total Ingresos</t>
  </si>
  <si>
    <t>Total Egresos</t>
  </si>
  <si>
    <t>Entidades co-participadas</t>
  </si>
  <si>
    <t>BCLP</t>
  </si>
  <si>
    <t>UEDA</t>
  </si>
  <si>
    <t>UISCUMARR</t>
  </si>
  <si>
    <t>Entidades tercerizadas</t>
  </si>
  <si>
    <t>AMN</t>
  </si>
  <si>
    <t>APESI</t>
  </si>
  <si>
    <t>QUILMES</t>
  </si>
  <si>
    <t>Registración</t>
  </si>
  <si>
    <t>BUENOS AIRES</t>
  </si>
  <si>
    <t>CABA</t>
  </si>
  <si>
    <t>ENTRE RIOS 1° Q</t>
  </si>
  <si>
    <t>CORDOBA 1° Q</t>
  </si>
  <si>
    <t>MISIONES 1° Q</t>
  </si>
  <si>
    <t>MISIONES 2° Q</t>
  </si>
  <si>
    <t>Factura</t>
  </si>
  <si>
    <t>FC TRAMITACION</t>
  </si>
  <si>
    <t>FC DERECHOS</t>
  </si>
  <si>
    <t>FC HONORARIOS</t>
  </si>
  <si>
    <t>DDJJ</t>
  </si>
  <si>
    <t>SALDO INICIAL</t>
  </si>
  <si>
    <t xml:space="preserve"> </t>
  </si>
  <si>
    <t xml:space="preserve">     </t>
  </si>
  <si>
    <t>CONFIGURACION FLUJO DE CAJA</t>
  </si>
  <si>
    <t>Mes / Año</t>
  </si>
  <si>
    <t>Dia</t>
  </si>
  <si>
    <t>Sub-Partidas de Egresos</t>
  </si>
  <si>
    <t>Atuomotriz</t>
  </si>
  <si>
    <t>Efectivo</t>
  </si>
  <si>
    <t>Impuestos Rentas</t>
  </si>
  <si>
    <t>Intereses pagados</t>
  </si>
  <si>
    <t>Sab</t>
  </si>
  <si>
    <t>Multas</t>
  </si>
  <si>
    <t>Dom</t>
  </si>
  <si>
    <t>Sub-Partidas de Ingresos</t>
  </si>
  <si>
    <t xml:space="preserve">ENTRE RIOS 1° Q </t>
  </si>
  <si>
    <t>MISIONES 1°Q</t>
  </si>
  <si>
    <t>MISIONES 2°Q</t>
  </si>
  <si>
    <t>provincias del mes FCA</t>
  </si>
  <si>
    <t>Cierre FCA Mensual</t>
  </si>
  <si>
    <t>Buenos Aires del Mes FCA</t>
  </si>
  <si>
    <t>Pre pre provincias Gm</t>
  </si>
  <si>
    <t>Pre pre provincias VW</t>
  </si>
  <si>
    <t>Cierre Yamaha</t>
  </si>
  <si>
    <t>Pre Pre Buenos Aires GM</t>
  </si>
  <si>
    <t>Pre Pre Buenos Aires VW</t>
  </si>
  <si>
    <t>1° quincena Plan Rombo</t>
  </si>
  <si>
    <t>Rentas 1° Quincena Plan Rombo</t>
  </si>
  <si>
    <t>Rentas 2° Quinenca + Mensuales PR</t>
  </si>
  <si>
    <t>2° quincena Plan Rombo</t>
  </si>
  <si>
    <t>Rentas_Prevision</t>
  </si>
  <si>
    <t>Registracion</t>
  </si>
  <si>
    <t>Sol. Fondos 24690</t>
  </si>
  <si>
    <t>Sol. Fondos 24711</t>
  </si>
  <si>
    <t>Sol. Fondos 24712</t>
  </si>
  <si>
    <t>Sol. Fondos 24713</t>
  </si>
  <si>
    <t>Sol. Fondos 24716</t>
  </si>
  <si>
    <t>Sol. Fondos 24741</t>
  </si>
  <si>
    <t>Sol. Fondos 24742</t>
  </si>
  <si>
    <t>Sol. Fondos 24745</t>
  </si>
  <si>
    <t>Sol. Fondos 24746</t>
  </si>
  <si>
    <t>Sol. Fondos 24748</t>
  </si>
  <si>
    <t>Sol. Fondos 24749</t>
  </si>
  <si>
    <t>CHUBUT072026</t>
  </si>
  <si>
    <t>RIONEGRO072026</t>
  </si>
  <si>
    <t>FC 0009-00059284</t>
  </si>
  <si>
    <t>FC 0009-00059285</t>
  </si>
  <si>
    <t>FC 0009-00002820</t>
  </si>
  <si>
    <t>FC 0009-00002815</t>
  </si>
  <si>
    <t>RC 0001-00002428</t>
  </si>
  <si>
    <t>RC 0001-00002829</t>
  </si>
  <si>
    <t>Sol. Fondos 24719</t>
  </si>
  <si>
    <t>Sol. Fondos 24750</t>
  </si>
  <si>
    <t>Sol. Fondos 24751</t>
  </si>
  <si>
    <t>BCLP072026</t>
  </si>
  <si>
    <t>UISCUMARR072026</t>
  </si>
  <si>
    <t>BUENOSAIRES072026</t>
  </si>
  <si>
    <t>Sol. Fondos 24754</t>
  </si>
  <si>
    <t>Sol. Fondos 24755</t>
  </si>
  <si>
    <t>Sol. Fondos 24756</t>
  </si>
  <si>
    <t>FC 0009-00002852</t>
  </si>
  <si>
    <t>Sol. Fondos 24757</t>
  </si>
  <si>
    <t>FC 0009-00002859</t>
  </si>
  <si>
    <t>FC 0009-00002860</t>
  </si>
  <si>
    <t>FC 0009-00059969</t>
  </si>
  <si>
    <t>RC 0001-00077626</t>
  </si>
  <si>
    <t>RC 0001-00002430</t>
  </si>
  <si>
    <t>Sol. Fondos 24765</t>
  </si>
  <si>
    <t>Sol. Fondos 24767</t>
  </si>
  <si>
    <t>Sol. Fondos 24768</t>
  </si>
  <si>
    <t>Sol. Fondos 24770</t>
  </si>
  <si>
    <t>Sol. Fondos 24771</t>
  </si>
  <si>
    <t>Sol. Fondos 24772</t>
  </si>
  <si>
    <t>Sol. Fondos 24773</t>
  </si>
  <si>
    <t>Sol. Fondos 24774</t>
  </si>
  <si>
    <t>Sol. Fondos 24775</t>
  </si>
  <si>
    <t>Sol. Fondos 24776</t>
  </si>
  <si>
    <t>Sol. Fondos 24777</t>
  </si>
  <si>
    <t>Sol. Fondos 24778</t>
  </si>
  <si>
    <t>tramitacion</t>
  </si>
  <si>
    <t>yamaha</t>
  </si>
  <si>
    <t>FC 0009-00059503</t>
  </si>
  <si>
    <t>Sol. Fondos 24708</t>
  </si>
  <si>
    <t>Sol. Fondos 24733</t>
  </si>
  <si>
    <t>Sol. Fondos 24764</t>
  </si>
  <si>
    <t>Sol. Fondos 24766</t>
  </si>
  <si>
    <t>Sol. Fondos 24786</t>
  </si>
  <si>
    <t>Sol. Fondos 24787</t>
  </si>
  <si>
    <t>Sol. Fondos 24788</t>
  </si>
  <si>
    <t>Sol. Fondos 24789</t>
  </si>
  <si>
    <t>Sol. Fondos 2490</t>
  </si>
  <si>
    <t>ENTRERIOS1Q082026</t>
  </si>
  <si>
    <t>SANTAFE1Q082026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</si>
</sst>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dd/mm/yyyy;@"/>
    <numFmt numFmtId="165" formatCode="mmm\-yyyy"/>
    <numFmt numFmtId="166" formatCode="&quot;$&quot;\ #,##0,,\ &quot;M&quot;"/>
    <numFmt numFmtId="167" formatCode="_ * #,##0_ ;_ * \-#,##0_ ;_ * &quot;-&quot;??_ ;_ @_ "/>
    <numFmt numFmtId="168" formatCode="mm/yyyy"/>
    <numFmt numFmtId="169" formatCode="yyyy\-mm\-dd\ h:mm:ss"/>
    <numFmt numFmtId="170" formatCode="yyyy\-mm\-dd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rgb="FF00B0F0"/>
      <name val="Roboto Light"/>
    </font>
    <font>
      <b/>
      <sz val="10"/>
      <color theme="0"/>
      <name val="Calibri Light"/>
      <family val="2"/>
    </font>
    <font>
      <b/>
      <sz val="11"/>
      <color theme="0"/>
      <name val="Calibri Light"/>
      <family val="2"/>
    </font>
    <font>
      <sz val="10"/>
      <color theme="0"/>
      <name val="Calibri Light"/>
      <family val="2"/>
    </font>
    <font>
      <b/>
      <sz val="16"/>
      <color theme="0"/>
      <name val="Calibri Light"/>
      <family val="2"/>
    </font>
    <font>
      <b/>
      <i/>
      <sz val="11"/>
      <color theme="1"/>
      <name val="Calibri Light"/>
      <family val="2"/>
    </font>
    <font>
      <b/>
      <i/>
      <sz val="11"/>
      <color rgb="FFFF0000"/>
      <name val="Calibri Light"/>
      <family val="2"/>
    </font>
    <font>
      <b/>
      <sz val="11"/>
      <color theme="1"/>
      <name val="Calibri Light"/>
      <family val="2"/>
    </font>
    <font>
      <sz val="10"/>
      <color rgb="FFFF0000"/>
      <name val="Calibri Light"/>
      <family val="2"/>
    </font>
    <font>
      <sz val="10"/>
      <name val="Calibri Light"/>
      <family val="2"/>
    </font>
    <font>
      <sz val="11"/>
      <color theme="9" tint="0.59999389629810485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9" tint="-0.499984740745262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F2F2F2"/>
        <bgColor rgb="FFF2F2F2"/>
      </patternFill>
    </fill>
  </fills>
  <borders count="21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/>
      <right/>
      <top style="thin">
        <color theme="8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theme="8" tint="0.3999755851924192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4" tint="0.59996337778862885"/>
      </top>
      <bottom style="medium">
        <color indexed="64"/>
      </bottom>
      <diagonal/>
    </border>
    <border>
      <left/>
      <right/>
      <top style="thin">
        <color theme="4" tint="0.5999633777886288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/>
    <xf numFmtId="0" fontId="1" fillId="8" borderId="0"/>
  </cellStyleXfs>
  <cellXfs count="84">
    <xf numFmtId="0" fontId="0" fillId="0" borderId="0" xfId="0"/>
    <xf numFmtId="0" fontId="4" fillId="2" borderId="0" xfId="0" applyFont="1" applyFill="1" applyAlignment="1">
      <alignment horizontal="right"/>
    </xf>
    <xf numFmtId="0" fontId="5" fillId="2" borderId="0" xfId="0" applyFont="1" applyFill="1"/>
    <xf numFmtId="0" fontId="6" fillId="2" borderId="0" xfId="0" applyFont="1" applyFill="1" applyAlignment="1">
      <alignment horizontal="right"/>
    </xf>
    <xf numFmtId="17" fontId="0" fillId="3" borderId="0" xfId="0" applyNumberFormat="1" applyFill="1" applyAlignment="1">
      <alignment horizontal="left"/>
    </xf>
    <xf numFmtId="17" fontId="0" fillId="3" borderId="0" xfId="0" quotePrefix="1" applyNumberFormat="1" applyFill="1" applyAlignment="1">
      <alignment horizontal="left"/>
    </xf>
    <xf numFmtId="0" fontId="0" fillId="4" borderId="2" xfId="0" applyFill="1" applyBorder="1"/>
    <xf numFmtId="0" fontId="5" fillId="0" borderId="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44" fontId="5" fillId="0" borderId="0" xfId="1" applyFont="1" applyAlignment="1">
      <alignment horizontal="center" vertical="center" wrapText="1"/>
    </xf>
    <xf numFmtId="0" fontId="0" fillId="5" borderId="0" xfId="0" applyFill="1"/>
    <xf numFmtId="164" fontId="0" fillId="0" borderId="0" xfId="0" applyNumberFormat="1"/>
    <xf numFmtId="0" fontId="2" fillId="0" borderId="0" xfId="0" applyFont="1"/>
    <xf numFmtId="0" fontId="8" fillId="7" borderId="2" xfId="0" applyFont="1" applyFill="1" applyBorder="1" applyAlignment="1">
      <alignment horizontal="left"/>
    </xf>
    <xf numFmtId="165" fontId="9" fillId="7" borderId="3" xfId="1" applyNumberFormat="1" applyFont="1" applyFill="1" applyBorder="1"/>
    <xf numFmtId="0" fontId="8" fillId="7" borderId="4" xfId="0" applyFont="1" applyFill="1" applyBorder="1" applyAlignment="1">
      <alignment horizontal="right"/>
    </xf>
    <xf numFmtId="166" fontId="0" fillId="4" borderId="3" xfId="1" applyNumberFormat="1" applyFont="1" applyFill="1" applyBorder="1"/>
    <xf numFmtId="166" fontId="10" fillId="7" borderId="5" xfId="1" applyNumberFormat="1" applyFont="1" applyFill="1" applyBorder="1"/>
    <xf numFmtId="8" fontId="0" fillId="5" borderId="0" xfId="1" applyNumberFormat="1" applyFont="1" applyFill="1"/>
    <xf numFmtId="8" fontId="0" fillId="0" borderId="0" xfId="0" applyNumberFormat="1"/>
    <xf numFmtId="3" fontId="0" fillId="0" borderId="0" xfId="0" applyNumberFormat="1"/>
    <xf numFmtId="166" fontId="1" fillId="8" borderId="0" xfId="2" applyNumberFormat="1"/>
    <xf numFmtId="167" fontId="13" fillId="8" borderId="0" xfId="2" applyNumberFormat="1" applyFont="1" applyAlignment="1">
      <alignment horizontal="center" vertical="center"/>
    </xf>
    <xf numFmtId="17" fontId="1" fillId="8" borderId="9" xfId="2" applyNumberFormat="1" applyBorder="1" applyAlignment="1">
      <alignment horizontal="center"/>
    </xf>
    <xf numFmtId="0" fontId="10" fillId="0" borderId="11" xfId="0" applyFont="1" applyBorder="1"/>
    <xf numFmtId="166" fontId="10" fillId="0" borderId="0" xfId="0" applyNumberFormat="1" applyFont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166" fontId="0" fillId="0" borderId="0" xfId="0" applyNumberFormat="1"/>
    <xf numFmtId="166" fontId="0" fillId="0" borderId="12" xfId="0" applyNumberFormat="1" applyBorder="1"/>
    <xf numFmtId="166" fontId="1" fillId="8" borderId="12" xfId="2" applyNumberFormat="1" applyBorder="1"/>
    <xf numFmtId="0" fontId="11" fillId="0" borderId="11" xfId="0" applyFont="1" applyBorder="1"/>
    <xf numFmtId="17" fontId="12" fillId="0" borderId="0" xfId="0" applyNumberFormat="1" applyFont="1"/>
    <xf numFmtId="166" fontId="12" fillId="0" borderId="0" xfId="0" applyNumberFormat="1" applyFont="1"/>
    <xf numFmtId="166" fontId="12" fillId="0" borderId="12" xfId="0" applyNumberFormat="1" applyFont="1" applyBorder="1"/>
    <xf numFmtId="0" fontId="0" fillId="0" borderId="11" xfId="0" applyBorder="1"/>
    <xf numFmtId="17" fontId="11" fillId="0" borderId="0" xfId="0" applyNumberFormat="1" applyFont="1"/>
    <xf numFmtId="166" fontId="11" fillId="0" borderId="0" xfId="0" applyNumberFormat="1" applyFont="1"/>
    <xf numFmtId="166" fontId="11" fillId="0" borderId="12" xfId="0" applyNumberFormat="1" applyFont="1" applyBorder="1"/>
    <xf numFmtId="166" fontId="1" fillId="8" borderId="14" xfId="2" applyNumberFormat="1" applyBorder="1"/>
    <xf numFmtId="166" fontId="1" fillId="8" borderId="15" xfId="2" applyNumberFormat="1" applyBorder="1"/>
    <xf numFmtId="168" fontId="5" fillId="0" borderId="0" xfId="0" applyNumberFormat="1" applyFont="1" applyAlignment="1">
      <alignment horizontal="center" vertical="center" wrapText="1"/>
    </xf>
    <xf numFmtId="168" fontId="0" fillId="0" borderId="0" xfId="0" applyNumberFormat="1"/>
    <xf numFmtId="0" fontId="0" fillId="0" borderId="18" xfId="0" applyBorder="1"/>
    <xf numFmtId="0" fontId="0" fillId="0" borderId="19" xfId="0" applyBorder="1"/>
    <xf numFmtId="0" fontId="7" fillId="0" borderId="0" xfId="0" applyFont="1" applyAlignment="1">
      <alignment horizontal="center" vertical="center" wrapText="1"/>
    </xf>
    <xf numFmtId="165" fontId="9" fillId="0" borderId="0" xfId="1" applyNumberFormat="1" applyFont="1"/>
    <xf numFmtId="166" fontId="0" fillId="0" borderId="0" xfId="1" applyNumberFormat="1" applyFont="1"/>
    <xf numFmtId="166" fontId="10" fillId="0" borderId="0" xfId="1" applyNumberFormat="1" applyFont="1"/>
    <xf numFmtId="44" fontId="0" fillId="0" borderId="0" xfId="1" applyFont="1"/>
    <xf numFmtId="44" fontId="14" fillId="0" borderId="0" xfId="1" applyFont="1"/>
    <xf numFmtId="44" fontId="1" fillId="0" borderId="0" xfId="1"/>
    <xf numFmtId="0" fontId="0" fillId="0" borderId="0" xfId="0" quotePrefix="1"/>
    <xf numFmtId="0" fontId="15" fillId="0" borderId="0" xfId="0" applyFont="1"/>
    <xf numFmtId="0" fontId="16" fillId="0" borderId="0" xfId="0" applyFont="1"/>
    <xf numFmtId="0" fontId="0" fillId="9" borderId="0" xfId="0" applyFill="1"/>
    <xf numFmtId="0" fontId="17" fillId="10" borderId="0" xfId="0" applyFont="1" applyFill="1" applyAlignment="1">
      <alignment horizontal="center" vertical="center"/>
    </xf>
    <xf numFmtId="170" fontId="0" fillId="11" borderId="0" xfId="0" applyNumberFormat="1" applyFill="1"/>
    <xf numFmtId="0" fontId="0" fillId="11" borderId="0" xfId="0" applyFill="1"/>
    <xf numFmtId="169" fontId="0" fillId="11" borderId="0" xfId="0" applyNumberFormat="1" applyFill="1"/>
    <xf numFmtId="4" fontId="0" fillId="11" borderId="0" xfId="0" applyNumberFormat="1" applyFill="1"/>
    <xf numFmtId="170" fontId="0" fillId="0" borderId="0" xfId="0" applyNumberFormat="1"/>
    <xf numFmtId="169" fontId="0" fillId="0" borderId="0" xfId="0" applyNumberFormat="1"/>
    <xf numFmtId="4" fontId="0" fillId="0" borderId="0" xfId="0" applyNumberFormat="1"/>
    <xf numFmtId="0" fontId="0" fillId="11" borderId="0" xfId="0" applyFill="1" applyAlignment="1">
      <alignment horizontal="left"/>
    </xf>
    <xf numFmtId="4" fontId="0" fillId="11" borderId="0" xfId="0" applyNumberFormat="1" applyFill="1" applyAlignment="1">
      <alignment horizontal="right"/>
    </xf>
    <xf numFmtId="0" fontId="0" fillId="0" borderId="0" xfId="0" applyAlignment="1">
      <alignment horizontal="left"/>
    </xf>
    <xf numFmtId="4" fontId="0" fillId="0" borderId="0" xfId="0" applyNumberFormat="1" applyAlignment="1">
      <alignment horizontal="right"/>
    </xf>
    <xf numFmtId="17" fontId="1" fillId="8" borderId="13" xfId="2" applyNumberFormat="1" applyBorder="1" applyAlignment="1">
      <alignment horizontal="left" vertical="center"/>
    </xf>
    <xf numFmtId="0" fontId="0" fillId="0" borderId="7" xfId="0" applyBorder="1"/>
    <xf numFmtId="0" fontId="1" fillId="8" borderId="8" xfId="2" applyBorder="1" applyAlignment="1">
      <alignment horizontal="left" vertical="center"/>
    </xf>
    <xf numFmtId="0" fontId="0" fillId="0" borderId="9" xfId="0" applyBorder="1"/>
    <xf numFmtId="0" fontId="0" fillId="0" borderId="11" xfId="0" applyBorder="1"/>
    <xf numFmtId="0" fontId="0" fillId="0" borderId="0" xfId="0"/>
    <xf numFmtId="17" fontId="1" fillId="8" borderId="10" xfId="2" applyNumberFormat="1" applyBorder="1" applyAlignment="1">
      <alignment horizontal="center" vertical="center"/>
    </xf>
    <xf numFmtId="0" fontId="0" fillId="0" borderId="12" xfId="0" applyBorder="1"/>
    <xf numFmtId="0" fontId="1" fillId="8" borderId="16" xfId="2" applyBorder="1" applyAlignment="1">
      <alignment horizontal="left" vertical="center"/>
    </xf>
    <xf numFmtId="0" fontId="0" fillId="0" borderId="17" xfId="0" applyBorder="1"/>
    <xf numFmtId="0" fontId="7" fillId="6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8" xfId="0" applyBorder="1" applyAlignment="1">
      <alignment horizontal="center"/>
    </xf>
    <xf numFmtId="0" fontId="0" fillId="0" borderId="20" xfId="0" applyBorder="1"/>
    <xf numFmtId="0" fontId="3" fillId="0" borderId="0" xfId="0" applyFont="1" applyAlignment="1">
      <alignment horizontal="center"/>
    </xf>
  </cellXfs>
  <cellStyles count="3">
    <cellStyle name="40% - Énfasis6" xfId="2" builtinId="51"/>
    <cellStyle name="Moneda" xfId="1" builtinId="4"/>
    <cellStyle name="Normal" xfId="0" builtinId="0"/>
  </cellStyles>
  <dxfs count="89">
    <dxf>
      <numFmt numFmtId="22" formatCode="mmm\-yy"/>
      <fill>
        <patternFill patternType="solid">
          <fgColor indexed="64"/>
          <bgColor theme="0" tint="-4.9989318521683403E-2"/>
        </patternFill>
      </fill>
      <alignment horizontal="left" vertical="bottom"/>
    </dxf>
    <dxf>
      <fill>
        <patternFill patternType="solid">
          <fgColor indexed="64"/>
          <bgColor theme="0" tint="-4.9989318521683403E-2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 Light"/>
      </font>
      <fill>
        <patternFill patternType="solid">
          <fgColor indexed="64"/>
          <bgColor rgb="FF002060"/>
        </patternFill>
      </fill>
    </dxf>
    <dxf>
      <numFmt numFmtId="22" formatCode="mmm\-yy"/>
      <fill>
        <patternFill patternType="solid">
          <fgColor indexed="64"/>
          <bgColor theme="0" tint="-4.9989318521683403E-2"/>
        </patternFill>
      </fill>
      <alignment horizontal="left" vertical="bottom"/>
    </dxf>
    <dxf>
      <fill>
        <patternFill patternType="solid">
          <fgColor indexed="64"/>
          <bgColor theme="0" tint="-4.9989318521683403E-2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 Light"/>
      </font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 Light"/>
      </font>
      <fill>
        <patternFill patternType="solid">
          <fgColor indexed="64"/>
          <bgColor rgb="FF002060"/>
        </patternFill>
      </fill>
    </dxf>
    <dxf>
      <numFmt numFmtId="22" formatCode="mmm\-yy"/>
      <fill>
        <patternFill patternType="solid">
          <fgColor indexed="64"/>
          <bgColor theme="0" tint="-4.9989318521683403E-2"/>
        </patternFill>
      </fill>
      <alignment horizontal="left" vertical="bottom"/>
    </dxf>
    <dxf>
      <fill>
        <patternFill patternType="solid">
          <fgColor indexed="64"/>
          <bgColor theme="0" tint="-4.9989318521683403E-2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 Light"/>
      </font>
      <fill>
        <patternFill patternType="solid">
          <fgColor indexed="64"/>
          <bgColor rgb="FF002060"/>
        </patternFill>
      </fill>
    </dxf>
    <dxf>
      <numFmt numFmtId="22" formatCode="mmm\-yy"/>
      <fill>
        <patternFill patternType="solid">
          <fgColor indexed="64"/>
          <bgColor theme="0" tint="-4.9989318521683403E-2"/>
        </patternFill>
      </fill>
      <alignment horizontal="left" vertical="bottom"/>
    </dxf>
    <dxf>
      <fill>
        <patternFill patternType="solid">
          <fgColor indexed="64"/>
          <bgColor theme="0" tint="-4.9989318521683403E-2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 Light"/>
      </font>
      <fill>
        <patternFill patternType="solid">
          <fgColor indexed="64"/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2" formatCode="&quot;$&quot;\ #,##0.00;[Red]\-&quot;$&quot;\ #,##0.00"/>
      <fill>
        <patternFill patternType="solid">
          <fgColor indexed="64"/>
          <bgColor theme="0" tint="-0.14993743705557422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2" formatCode="&quot;$&quot;\ #,##0.00;[Red]\-&quot;$&quot;\ #,##0.00"/>
      <fill>
        <patternFill patternType="solid">
          <fgColor indexed="64"/>
          <bgColor theme="0" tint="-0.14993743705557422"/>
        </patternFill>
      </fill>
    </dxf>
    <dxf>
      <numFmt numFmtId="0" formatCode="General"/>
      <fill>
        <patternFill patternType="solid">
          <fgColor indexed="64"/>
          <bgColor theme="0" tint="-0.14993743705557422"/>
        </patternFill>
      </fill>
    </dxf>
    <dxf>
      <numFmt numFmtId="12" formatCode="&quot;$&quot;\ #,##0.00;[Red]\-&quot;$&quot;\ #,##0.00"/>
      <fill>
        <patternFill patternType="solid">
          <fgColor indexed="64"/>
          <bgColor theme="0" tint="-0.149937437055574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fgColor indexed="64"/>
          <bgColor indexed="65"/>
        </patternFill>
      </fill>
    </dxf>
    <dxf>
      <numFmt numFmtId="0" formatCode="General"/>
      <fill>
        <patternFill>
          <fgColor indexed="64"/>
          <bgColor auto="1"/>
        </patternFill>
      </fill>
    </dxf>
    <dxf>
      <fill>
        <patternFill patternType="solid">
          <fgColor indexed="64"/>
          <bgColor theme="0" tint="-0.14993743705557422"/>
        </patternFill>
      </fill>
    </dxf>
    <dxf>
      <numFmt numFmtId="0" formatCode="General"/>
      <fill>
        <patternFill patternType="solid">
          <fgColor indexed="64"/>
          <bgColor theme="0" tint="-0.14993743705557422"/>
        </patternFill>
      </fill>
    </dxf>
    <dxf>
      <fill>
        <patternFill patternType="solid">
          <fgColor indexed="64"/>
          <bgColor theme="0" tint="-0.14993743705557422"/>
        </patternFill>
      </fill>
    </dxf>
    <dxf>
      <numFmt numFmtId="0" formatCode="General"/>
      <fill>
        <patternFill patternType="solid">
          <fgColor indexed="64"/>
          <bgColor theme="0" tint="-0.14993743705557422"/>
        </patternFill>
      </fill>
    </dxf>
    <dxf>
      <numFmt numFmtId="164" formatCode="dd/mm/yyyy;@"/>
    </dxf>
    <dxf>
      <border outline="0">
        <top style="thin">
          <color theme="4"/>
        </top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 Light"/>
      </font>
      <numFmt numFmtId="34" formatCode="_-&quot;$&quot;\ * #,##0.00_-;\-&quot;$&quot;\ * #,##0.00_-;_-&quot;$&quot;\ * &quot;-&quot;??_-;_-@_-"/>
      <fill>
        <patternFill>
          <fgColor indexed="64"/>
          <bgColor auto="1"/>
        </patternFill>
      </fill>
      <alignment horizontal="center" vertical="center"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color theme="9" tint="0.399945066682943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885825</xdr:colOff>
          <xdr:row>1</xdr:row>
          <xdr:rowOff>114300</xdr:rowOff>
        </xdr:from>
        <xdr:to>
          <xdr:col>5</xdr:col>
          <xdr:colOff>1438275</xdr:colOff>
          <xdr:row>3</xdr:row>
          <xdr:rowOff>19050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 Fechas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885825</xdr:colOff>
          <xdr:row>3</xdr:row>
          <xdr:rowOff>123825</xdr:rowOff>
        </xdr:from>
        <xdr:to>
          <xdr:col>5</xdr:col>
          <xdr:colOff>1438275</xdr:colOff>
          <xdr:row>5</xdr:row>
          <xdr:rowOff>38100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Fecha actual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vimientos_2026" displayName="Movimientos_2026" ref="A8:O5053" headerRowDxfId="36" tableBorderDxfId="35" headerRowCellStyle="Moneda">
  <autoFilter ref="A8:O5053" xr:uid="{00000000-0009-0000-0100-000001000000}"/>
  <sortState xmlns:xlrd2="http://schemas.microsoft.com/office/spreadsheetml/2017/richdata2" ref="A9:O5053">
    <sortCondition ref="A8:A5053"/>
  </sortState>
  <tableColumns count="15">
    <tableColumn id="1" xr3:uid="{00000000-0010-0000-0000-000001000000}" name="Fecha" totalsRowLabel="Total" dataDxfId="34"/>
    <tableColumn id="2" xr3:uid="{00000000-0010-0000-0000-000002000000}" name="Mes" dataDxfId="33" totalsRowDxfId="32">
      <calculatedColumnFormula>MONTH(Movimientos_2026[[#This Row],[Fecha]])</calculatedColumnFormula>
    </tableColumn>
    <tableColumn id="3" xr3:uid="{00000000-0010-0000-0000-000003000000}" name="Día" dataDxfId="31" totalsRowDxfId="30">
      <calculatedColumnFormula>VLOOKUP((WEEKDAY(Movimientos_2026[[#This Row],[Fecha]],2)),'5. Setup'!$D$6:$E$12,2,FALSE)</calculatedColumnFormula>
    </tableColumn>
    <tableColumn id="14" xr3:uid="{00000000-0010-0000-0000-00000E000000}" name="Codigo" dataDxfId="29" totalsRowDxfId="28"/>
    <tableColumn id="4" xr3:uid="{00000000-0010-0000-0000-000004000000}" name="Partida" dataDxfId="27">
      <calculatedColumnFormula>IFERROR(+VLOOKUP(Movimientos_2026[[#This Row],[Codigo]],Plan_cuentas[],2,FALSE)," ")</calculatedColumnFormula>
    </tableColumn>
    <tableColumn id="5" xr3:uid="{00000000-0010-0000-0000-000005000000}" name="Tipo de Operación" dataDxfId="26">
      <calculatedColumnFormula>IFERROR(+VLOOKUP(Movimientos_2026[[#This Row],[Codigo]],Plan_cuentas[],3,FALSE)," ")</calculatedColumnFormula>
    </tableColumn>
    <tableColumn id="6" xr3:uid="{00000000-0010-0000-0000-000006000000}" name="Sub-Partida" dataDxfId="25">
      <calculatedColumnFormula>IFERROR(+VLOOKUP(Movimientos_2026[[#This Row],[Codigo]],Plan_cuentas[],4,FALSE)," ")</calculatedColumnFormula>
    </tableColumn>
    <tableColumn id="7" xr3:uid="{00000000-0010-0000-0000-000007000000}" name="Detalle" dataDxfId="24">
      <calculatedColumnFormula>IFERROR(+VLOOKUP(Movimientos_2026[[#This Row],[Codigo]],Plan_cuentas[],5,FALSE)," ")</calculatedColumnFormula>
    </tableColumn>
    <tableColumn id="8" xr3:uid="{00000000-0010-0000-0000-000008000000}" name="Periodo" dataDxfId="23"/>
    <tableColumn id="15" xr3:uid="{00000000-0010-0000-0000-00000F000000}" name="Comprobante" dataDxfId="22"/>
    <tableColumn id="9" xr3:uid="{00000000-0010-0000-0000-000009000000}" name="Automotriz" dataDxfId="21">
      <calculatedColumnFormula>IFERROR(+VLOOKUP(Movimientos_2026[[#This Row],[Codigo]],Plan_cuentas[],6,FALSE)," ")</calculatedColumnFormula>
    </tableColumn>
    <tableColumn id="10" xr3:uid="{00000000-0010-0000-0000-00000A000000}" name="Ingresos" totalsRowDxfId="20" dataCellStyle="Moneda"/>
    <tableColumn id="11" xr3:uid="{00000000-0010-0000-0000-00000B000000}" name="Egresos" totalsRowDxfId="19" dataCellStyle="Moneda"/>
    <tableColumn id="12" xr3:uid="{00000000-0010-0000-0000-00000C000000}" name="Neto" dataDxfId="18" totalsRowDxfId="17" dataCellStyle="Moneda">
      <calculatedColumnFormula>+Movimientos_2026[[#This Row],[Ingresos]]-Movimientos_2026[[#This Row],[Egresos]]</calculatedColumnFormula>
    </tableColumn>
    <tableColumn id="13" xr3:uid="{00000000-0010-0000-0000-00000D000000}" name="Saldo" totalsRowFunction="sum" dataDxfId="16" totalsRowDxfId="15" dataCellStyle="Moneda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lan_cuentas" displayName="Plan_cuentas" ref="A1:F496" totalsRowShown="0">
  <autoFilter ref="A1:F496" xr:uid="{00000000-0009-0000-0100-000002000000}"/>
  <sortState xmlns:xlrd2="http://schemas.microsoft.com/office/spreadsheetml/2017/richdata2" ref="A2:F494">
    <sortCondition ref="A2:A494"/>
    <sortCondition ref="F2:F494"/>
  </sortState>
  <tableColumns count="6">
    <tableColumn id="1" xr3:uid="{00000000-0010-0000-0100-000001000000}" name="Codigo"/>
    <tableColumn id="2" xr3:uid="{00000000-0010-0000-0100-000002000000}" name="Partida"/>
    <tableColumn id="3" xr3:uid="{00000000-0010-0000-0100-000003000000}" name="Tipo de Operación"/>
    <tableColumn id="4" xr3:uid="{00000000-0010-0000-0100-000004000000}" name="Sub-Partida"/>
    <tableColumn id="5" xr3:uid="{00000000-0010-0000-0100-000005000000}" name="Detalle"/>
    <tableColumn id="7" xr3:uid="{00000000-0010-0000-0100-000007000000}" name="Automotriz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artida_2025" displayName="Partida_2025" ref="G5:G8" totalsRowShown="0" headerRowDxfId="13" dataDxfId="12">
  <autoFilter ref="G5:G8" xr:uid="{00000000-0009-0000-0100-000003000000}"/>
  <tableColumns count="1">
    <tableColumn id="1" xr3:uid="{00000000-0010-0000-0200-000001000000}" name="Partida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ipoOperacion" displayName="TipoOperacion" ref="I5:I13" totalsRowShown="0" headerRowDxfId="10" dataDxfId="9">
  <autoFilter ref="I5:I13" xr:uid="{00000000-0009-0000-0100-000004000000}"/>
  <sortState xmlns:xlrd2="http://schemas.microsoft.com/office/spreadsheetml/2017/richdata2" ref="I6:I13">
    <sortCondition ref="I6"/>
  </sortState>
  <tableColumns count="1">
    <tableColumn id="1" xr3:uid="{00000000-0010-0000-0300-000001000000}" name="Tipo de Operación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gresos" displayName="Egresos" ref="K5:K11" totalsRowShown="0" headerRowDxfId="7">
  <autoFilter ref="K5:K11" xr:uid="{00000000-0009-0000-0100-000005000000}"/>
  <tableColumns count="1">
    <tableColumn id="1" xr3:uid="{00000000-0010-0000-0400-000001000000}" name="Sub-Partidas de Egresos" dataDxfId="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Automotriz" displayName="Automotriz" ref="M5:M12" totalsRowShown="0" headerRowDxfId="5" dataDxfId="4">
  <sortState xmlns:xlrd2="http://schemas.microsoft.com/office/spreadsheetml/2017/richdata2" ref="M6:M12">
    <sortCondition ref="M5"/>
  </sortState>
  <tableColumns count="1">
    <tableColumn id="1" xr3:uid="{00000000-0010-0000-0500-000001000000}" name="Automotriz" dataDxf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Ingresos" displayName="Ingresos" ref="K14:K19" totalsRowShown="0" headerRowDxfId="2" dataDxfId="1">
  <autoFilter ref="K14:K19" xr:uid="{00000000-0009-0000-0100-000007000000}"/>
  <tableColumns count="1">
    <tableColumn id="1" xr3:uid="{00000000-0010-0000-0600-000001000000}" name="Sub-Partidas de Ingreso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3:U27"/>
  <sheetViews>
    <sheetView topLeftCell="A3" workbookViewId="0"/>
  </sheetViews>
  <sheetFormatPr baseColWidth="10" defaultColWidth="0" defaultRowHeight="15" zeroHeight="1" x14ac:dyDescent="0.25"/>
  <cols>
    <col min="1" max="3" width="11.42578125" customWidth="1"/>
    <col min="4" max="4" width="13.140625" bestFit="1" customWidth="1"/>
    <col min="5" max="5" width="22.85546875" bestFit="1" customWidth="1"/>
    <col min="6" max="6" width="11.5703125" bestFit="1" customWidth="1"/>
    <col min="7" max="7" width="7" bestFit="1" customWidth="1"/>
    <col min="8" max="8" width="7.140625" bestFit="1" customWidth="1"/>
    <col min="9" max="9" width="7" bestFit="1" customWidth="1"/>
    <col min="10" max="10" width="7.42578125" bestFit="1" customWidth="1"/>
    <col min="11" max="13" width="7" bestFit="1" customWidth="1"/>
    <col min="14" max="14" width="7.5703125" bestFit="1" customWidth="1"/>
    <col min="15" max="17" width="7" bestFit="1" customWidth="1"/>
    <col min="18" max="18" width="11" bestFit="1" customWidth="1"/>
    <col min="19" max="21" width="11.42578125" customWidth="1"/>
    <col min="22" max="22" width="11.42578125" hidden="1" customWidth="1"/>
    <col min="23" max="16384" width="11.42578125" hidden="1"/>
  </cols>
  <sheetData>
    <row r="3" spans="4:18" ht="15.75" customHeight="1" thickBot="1" x14ac:dyDescent="0.3"/>
    <row r="4" spans="4:18" x14ac:dyDescent="0.25">
      <c r="D4" s="71" t="s">
        <v>0</v>
      </c>
      <c r="E4" s="72"/>
      <c r="F4" s="25">
        <f>+'5. Setup'!B6</f>
        <v>46023</v>
      </c>
      <c r="G4" s="25">
        <f>+'5. Setup'!B7</f>
        <v>46054</v>
      </c>
      <c r="H4" s="25">
        <f>+'5. Setup'!B8</f>
        <v>46082</v>
      </c>
      <c r="I4" s="25">
        <f>+'5. Setup'!B9</f>
        <v>46113</v>
      </c>
      <c r="J4" s="25">
        <f>+'5. Setup'!B10</f>
        <v>46143</v>
      </c>
      <c r="K4" s="25">
        <f>+'5. Setup'!B11</f>
        <v>46174</v>
      </c>
      <c r="L4" s="25">
        <f>+'5. Setup'!B12</f>
        <v>46204</v>
      </c>
      <c r="M4" s="25">
        <f>+'5. Setup'!B13</f>
        <v>46235</v>
      </c>
      <c r="N4" s="25">
        <f>+'5. Setup'!B14</f>
        <v>46266</v>
      </c>
      <c r="O4" s="25">
        <f>+'5. Setup'!B15</f>
        <v>46296</v>
      </c>
      <c r="P4" s="25">
        <f>+'5. Setup'!B16</f>
        <v>46327</v>
      </c>
      <c r="Q4" s="25">
        <f>+'5. Setup'!B17</f>
        <v>46357</v>
      </c>
      <c r="R4" s="75" t="s">
        <v>1</v>
      </c>
    </row>
    <row r="5" spans="4:18" x14ac:dyDescent="0.25">
      <c r="D5" s="73"/>
      <c r="E5" s="74"/>
      <c r="F5" s="24">
        <f t="shared" ref="F5:Q5" si="0">MONTH(F4)</f>
        <v>1</v>
      </c>
      <c r="G5" s="24">
        <f t="shared" si="0"/>
        <v>2</v>
      </c>
      <c r="H5" s="24">
        <f t="shared" si="0"/>
        <v>3</v>
      </c>
      <c r="I5" s="24">
        <f t="shared" si="0"/>
        <v>4</v>
      </c>
      <c r="J5" s="24">
        <f t="shared" si="0"/>
        <v>5</v>
      </c>
      <c r="K5" s="24">
        <f t="shared" si="0"/>
        <v>6</v>
      </c>
      <c r="L5" s="24">
        <f t="shared" si="0"/>
        <v>7</v>
      </c>
      <c r="M5" s="24">
        <f t="shared" si="0"/>
        <v>8</v>
      </c>
      <c r="N5" s="24">
        <f t="shared" si="0"/>
        <v>9</v>
      </c>
      <c r="O5" s="24">
        <f t="shared" si="0"/>
        <v>10</v>
      </c>
      <c r="P5" s="24">
        <f t="shared" si="0"/>
        <v>11</v>
      </c>
      <c r="Q5" s="24">
        <f t="shared" si="0"/>
        <v>12</v>
      </c>
      <c r="R5" s="76"/>
    </row>
    <row r="6" spans="4:18" x14ac:dyDescent="0.25">
      <c r="D6" s="26" t="s">
        <v>2</v>
      </c>
      <c r="F6" s="27">
        <f>+'2. Movimientos'!O9</f>
        <v>4026559657.4844971</v>
      </c>
      <c r="G6" s="27">
        <f t="shared" ref="G6:Q6" si="1">+F26</f>
        <v>0</v>
      </c>
      <c r="H6" s="27">
        <f t="shared" si="1"/>
        <v>0</v>
      </c>
      <c r="I6" s="27">
        <f t="shared" si="1"/>
        <v>0</v>
      </c>
      <c r="J6" s="27">
        <f t="shared" si="1"/>
        <v>0</v>
      </c>
      <c r="K6" s="27">
        <f t="shared" si="1"/>
        <v>0</v>
      </c>
      <c r="L6" s="27">
        <f t="shared" si="1"/>
        <v>0</v>
      </c>
      <c r="M6" s="27">
        <f t="shared" si="1"/>
        <v>0</v>
      </c>
      <c r="N6" s="27">
        <f t="shared" si="1"/>
        <v>0</v>
      </c>
      <c r="O6" s="27">
        <f t="shared" si="1"/>
        <v>0</v>
      </c>
      <c r="P6" s="27">
        <f t="shared" si="1"/>
        <v>0</v>
      </c>
      <c r="Q6" s="27">
        <f t="shared" si="1"/>
        <v>0</v>
      </c>
      <c r="R6" s="28"/>
    </row>
    <row r="7" spans="4:18" x14ac:dyDescent="0.25">
      <c r="D7" s="26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30"/>
    </row>
    <row r="8" spans="4:18" x14ac:dyDescent="0.25">
      <c r="D8" s="69" t="str">
        <f>+'5. Setup'!G6</f>
        <v>INGRESOS</v>
      </c>
      <c r="E8" s="70"/>
      <c r="F8" s="23">
        <f t="shared" ref="F8:R8" si="2">SUM(F9:F15)</f>
        <v>0</v>
      </c>
      <c r="G8" s="23">
        <f t="shared" si="2"/>
        <v>0</v>
      </c>
      <c r="H8" s="23">
        <f t="shared" si="2"/>
        <v>0</v>
      </c>
      <c r="I8" s="23">
        <f t="shared" si="2"/>
        <v>0</v>
      </c>
      <c r="J8" s="23">
        <f t="shared" si="2"/>
        <v>0</v>
      </c>
      <c r="K8" s="23">
        <f t="shared" si="2"/>
        <v>0</v>
      </c>
      <c r="L8" s="23">
        <f t="shared" si="2"/>
        <v>0</v>
      </c>
      <c r="M8" s="23">
        <f t="shared" si="2"/>
        <v>0</v>
      </c>
      <c r="N8" s="23">
        <f t="shared" si="2"/>
        <v>0</v>
      </c>
      <c r="O8" s="23">
        <f t="shared" si="2"/>
        <v>0</v>
      </c>
      <c r="P8" s="23">
        <f t="shared" si="2"/>
        <v>0</v>
      </c>
      <c r="Q8" s="23">
        <f t="shared" si="2"/>
        <v>0</v>
      </c>
      <c r="R8" s="31">
        <f t="shared" si="2"/>
        <v>0</v>
      </c>
    </row>
    <row r="9" spans="4:18" x14ac:dyDescent="0.25">
      <c r="D9" s="32"/>
      <c r="E9" s="33" t="str">
        <f>+'5. Setup'!M6</f>
        <v>1 - VW - Volkswagen</v>
      </c>
      <c r="F9" s="34">
        <f>SUMIFS('2. Movimientos'!$L$5044:$L$1048576,'2. Movimientos'!$B$5044:$B$1048576,F$5,'2. Movimientos'!$K$5044:$K$1048576,$E9)</f>
        <v>0</v>
      </c>
      <c r="G9" s="34">
        <f>SUMIFS('2. Movimientos'!$L$5044:$L$1048576,'2. Movimientos'!$B$5044:$B$1048576,G$5,'2. Movimientos'!$K$5044:$K$1048576,$E9)</f>
        <v>0</v>
      </c>
      <c r="H9" s="34">
        <f>SUMIFS('2. Movimientos'!$L$5044:$L$1048576,'2. Movimientos'!$B$5044:$B$1048576,H$5,'2. Movimientos'!$K$5044:$K$1048576,$E9)</f>
        <v>0</v>
      </c>
      <c r="I9" s="34">
        <f>SUMIFS('2. Movimientos'!$L$5044:$L$1048576,'2. Movimientos'!$B$5044:$B$1048576,I$5,'2. Movimientos'!$K$5044:$K$1048576,$E9)</f>
        <v>0</v>
      </c>
      <c r="J9" s="34">
        <f>SUMIFS('2. Movimientos'!$L$5044:$L$1048576,'2. Movimientos'!$B$5044:$B$1048576,J$5,'2. Movimientos'!$K$5044:$K$1048576,$E9)</f>
        <v>0</v>
      </c>
      <c r="K9" s="34">
        <f>SUMIFS('2. Movimientos'!$L$5044:$L$1048576,'2. Movimientos'!$B$5044:$B$1048576,K$5,'2. Movimientos'!$K$5044:$K$1048576,$E9)</f>
        <v>0</v>
      </c>
      <c r="L9" s="34">
        <f>SUMIFS('2. Movimientos'!$L$5044:$L$1048576,'2. Movimientos'!$B$5044:$B$1048576,L$5,'2. Movimientos'!$K$5044:$K$1048576,$E9)</f>
        <v>0</v>
      </c>
      <c r="M9" s="34">
        <f>SUMIFS('2. Movimientos'!$L$5044:$L$1048576,'2. Movimientos'!$B$5044:$B$1048576,M$5,'2. Movimientos'!$K$5044:$K$1048576,$E9)</f>
        <v>0</v>
      </c>
      <c r="N9" s="34">
        <f>SUMIFS('2. Movimientos'!$L$5044:$L$1048576,'2. Movimientos'!$B$5044:$B$1048576,N$5,'2. Movimientos'!$K$5044:$K$1048576,$E9)</f>
        <v>0</v>
      </c>
      <c r="O9" s="34">
        <f>SUMIFS('2. Movimientos'!$L$5044:$L$1048576,'2. Movimientos'!$B$5044:$B$1048576,O$5,'2. Movimientos'!$K$5044:$K$1048576,$E9)</f>
        <v>0</v>
      </c>
      <c r="P9" s="34">
        <f>SUMIFS('2. Movimientos'!$L$5044:$L$1048576,'2. Movimientos'!$B$5044:$B$1048576,P$5,'2. Movimientos'!$K$5044:$K$1048576,$E9)</f>
        <v>0</v>
      </c>
      <c r="Q9" s="34">
        <f>SUMIFS('2. Movimientos'!$L$5044:$L$1048576,'2. Movimientos'!$B$5044:$B$1048576,Q$5,'2. Movimientos'!$K$5044:$K$1048576,$E9)</f>
        <v>0</v>
      </c>
      <c r="R9" s="35">
        <f t="shared" ref="R9:R15" si="3">SUM(F9:Q9)</f>
        <v>0</v>
      </c>
    </row>
    <row r="10" spans="4:18" x14ac:dyDescent="0.25">
      <c r="D10" s="32"/>
      <c r="E10" s="33" t="str">
        <f>+'5. Setup'!M7</f>
        <v>2 - PR - Plan Rombo</v>
      </c>
      <c r="F10" s="34">
        <f>SUMIFS('2. Movimientos'!$L$5044:$L$1048576,'2. Movimientos'!$B$5044:$B$1048576,F$5,'2. Movimientos'!$K$5044:$K$1048576,$E10)</f>
        <v>0</v>
      </c>
      <c r="G10" s="34">
        <f>SUMIFS('2. Movimientos'!$L$5044:$L$1048576,'2. Movimientos'!$B$5044:$B$1048576,G$5,'2. Movimientos'!$K$5044:$K$1048576,$E10)</f>
        <v>0</v>
      </c>
      <c r="H10" s="34">
        <f>SUMIFS('2. Movimientos'!$L$5044:$L$1048576,'2. Movimientos'!$B$5044:$B$1048576,H$5,'2. Movimientos'!$K$5044:$K$1048576,$E10)</f>
        <v>0</v>
      </c>
      <c r="I10" s="34">
        <f>SUMIFS('2. Movimientos'!$L$5044:$L$1048576,'2. Movimientos'!$B$5044:$B$1048576,I$5,'2. Movimientos'!$K$5044:$K$1048576,$E10)</f>
        <v>0</v>
      </c>
      <c r="J10" s="34">
        <f>SUMIFS('2. Movimientos'!$L$5044:$L$1048576,'2. Movimientos'!$B$5044:$B$1048576,J$5,'2. Movimientos'!$K$5044:$K$1048576,$E10)</f>
        <v>0</v>
      </c>
      <c r="K10" s="34">
        <f>SUMIFS('2. Movimientos'!$L$5044:$L$1048576,'2. Movimientos'!$B$5044:$B$1048576,K$5,'2. Movimientos'!$K$5044:$K$1048576,$E10)</f>
        <v>0</v>
      </c>
      <c r="L10" s="34">
        <f>SUMIFS('2. Movimientos'!$L$5044:$L$1048576,'2. Movimientos'!$B$5044:$B$1048576,L$5,'2. Movimientos'!$K$5044:$K$1048576,$E10)</f>
        <v>0</v>
      </c>
      <c r="M10" s="34">
        <f>SUMIFS('2. Movimientos'!$L$5044:$L$1048576,'2. Movimientos'!$B$5044:$B$1048576,M$5,'2. Movimientos'!$K$5044:$K$1048576,$E10)</f>
        <v>0</v>
      </c>
      <c r="N10" s="34">
        <f>SUMIFS('2. Movimientos'!$L$5044:$L$1048576,'2. Movimientos'!$B$5044:$B$1048576,N$5,'2. Movimientos'!$K$5044:$K$1048576,$E10)</f>
        <v>0</v>
      </c>
      <c r="O10" s="34">
        <f>SUMIFS('2. Movimientos'!$L$5044:$L$1048576,'2. Movimientos'!$B$5044:$B$1048576,O$5,'2. Movimientos'!$K$5044:$K$1048576,$E10)</f>
        <v>0</v>
      </c>
      <c r="P10" s="34">
        <f>SUMIFS('2. Movimientos'!$L$5044:$L$1048576,'2. Movimientos'!$B$5044:$B$1048576,P$5,'2. Movimientos'!$K$5044:$K$1048576,$E10)</f>
        <v>0</v>
      </c>
      <c r="Q10" s="34">
        <f>SUMIFS('2. Movimientos'!$L$5044:$L$1048576,'2. Movimientos'!$B$5044:$B$1048576,Q$5,'2. Movimientos'!$K$5044:$K$1048576,$E10)</f>
        <v>0</v>
      </c>
      <c r="R10" s="35">
        <f t="shared" si="3"/>
        <v>0</v>
      </c>
    </row>
    <row r="11" spans="4:18" x14ac:dyDescent="0.25">
      <c r="D11" s="32"/>
      <c r="E11" s="33" t="str">
        <f>+'5. Setup'!M8</f>
        <v>3 - GM - Chevrolet</v>
      </c>
      <c r="F11" s="34">
        <f>SUMIFS('2. Movimientos'!$L$5044:$L$1048576,'2. Movimientos'!$B$5044:$B$1048576,F$5,'2. Movimientos'!$K$5044:$K$1048576,$E11)</f>
        <v>0</v>
      </c>
      <c r="G11" s="34">
        <f>SUMIFS('2. Movimientos'!$L$5044:$L$1048576,'2. Movimientos'!$B$5044:$B$1048576,G$5,'2. Movimientos'!$K$5044:$K$1048576,$E11)</f>
        <v>0</v>
      </c>
      <c r="H11" s="34">
        <f>SUMIFS('2. Movimientos'!$L$5044:$L$1048576,'2. Movimientos'!$B$5044:$B$1048576,H$5,'2. Movimientos'!$K$5044:$K$1048576,$E11)</f>
        <v>0</v>
      </c>
      <c r="I11" s="34">
        <f>SUMIFS('2. Movimientos'!$L$5044:$L$1048576,'2. Movimientos'!$B$5044:$B$1048576,I$5,'2. Movimientos'!$K$5044:$K$1048576,$E11)</f>
        <v>0</v>
      </c>
      <c r="J11" s="34">
        <f>SUMIFS('2. Movimientos'!$L$5044:$L$1048576,'2. Movimientos'!$B$5044:$B$1048576,J$5,'2. Movimientos'!$K$5044:$K$1048576,$E11)</f>
        <v>0</v>
      </c>
      <c r="K11" s="34">
        <f>SUMIFS('2. Movimientos'!$L$5044:$L$1048576,'2. Movimientos'!$B$5044:$B$1048576,K$5,'2. Movimientos'!$K$5044:$K$1048576,$E11)</f>
        <v>0</v>
      </c>
      <c r="L11" s="34">
        <f>SUMIFS('2. Movimientos'!$L$5044:$L$1048576,'2. Movimientos'!$B$5044:$B$1048576,L$5,'2. Movimientos'!$K$5044:$K$1048576,$E11)</f>
        <v>0</v>
      </c>
      <c r="M11" s="34">
        <f>SUMIFS('2. Movimientos'!$L$5044:$L$1048576,'2. Movimientos'!$B$5044:$B$1048576,M$5,'2. Movimientos'!$K$5044:$K$1048576,$E11)</f>
        <v>0</v>
      </c>
      <c r="N11" s="34">
        <f>SUMIFS('2. Movimientos'!$L$5044:$L$1048576,'2. Movimientos'!$B$5044:$B$1048576,N$5,'2. Movimientos'!$K$5044:$K$1048576,$E11)</f>
        <v>0</v>
      </c>
      <c r="O11" s="34">
        <f>SUMIFS('2. Movimientos'!$L$5044:$L$1048576,'2. Movimientos'!$B$5044:$B$1048576,O$5,'2. Movimientos'!$K$5044:$K$1048576,$E11)</f>
        <v>0</v>
      </c>
      <c r="P11" s="34">
        <f>SUMIFS('2. Movimientos'!$L$5044:$L$1048576,'2. Movimientos'!$B$5044:$B$1048576,P$5,'2. Movimientos'!$K$5044:$K$1048576,$E11)</f>
        <v>0</v>
      </c>
      <c r="Q11" s="34">
        <f>SUMIFS('2. Movimientos'!$L$5044:$L$1048576,'2. Movimientos'!$B$5044:$B$1048576,Q$5,'2. Movimientos'!$K$5044:$K$1048576,$E11)</f>
        <v>0</v>
      </c>
      <c r="R11" s="35">
        <f t="shared" si="3"/>
        <v>0</v>
      </c>
    </row>
    <row r="12" spans="4:18" x14ac:dyDescent="0.25">
      <c r="D12" s="32"/>
      <c r="E12" s="33" t="str">
        <f>+'5. Setup'!M9</f>
        <v>4 - FCA - Fiat</v>
      </c>
      <c r="F12" s="34">
        <f>SUMIFS('2. Movimientos'!$L$5044:$L$1048576,'2. Movimientos'!$B$5044:$B$1048576,F$5,'2. Movimientos'!$K$5044:$K$1048576,$E12)</f>
        <v>0</v>
      </c>
      <c r="G12" s="34">
        <f>SUMIFS('2. Movimientos'!$L$5044:$L$1048576,'2. Movimientos'!$B$5044:$B$1048576,G$5,'2. Movimientos'!$K$5044:$K$1048576,$E12)</f>
        <v>0</v>
      </c>
      <c r="H12" s="34">
        <f>SUMIFS('2. Movimientos'!$L$5044:$L$1048576,'2. Movimientos'!$B$5044:$B$1048576,H$5,'2. Movimientos'!$K$5044:$K$1048576,$E12)</f>
        <v>0</v>
      </c>
      <c r="I12" s="34">
        <f>SUMIFS('2. Movimientos'!$L$5044:$L$1048576,'2. Movimientos'!$B$5044:$B$1048576,I$5,'2. Movimientos'!$K$5044:$K$1048576,$E12)</f>
        <v>0</v>
      </c>
      <c r="J12" s="34">
        <f>SUMIFS('2. Movimientos'!$L$5044:$L$1048576,'2. Movimientos'!$B$5044:$B$1048576,J$5,'2. Movimientos'!$K$5044:$K$1048576,$E12)</f>
        <v>0</v>
      </c>
      <c r="K12" s="34">
        <f>SUMIFS('2. Movimientos'!$L$5044:$L$1048576,'2. Movimientos'!$B$5044:$B$1048576,K$5,'2. Movimientos'!$K$5044:$K$1048576,$E12)</f>
        <v>0</v>
      </c>
      <c r="L12" s="34">
        <f>SUMIFS('2. Movimientos'!$L$5044:$L$1048576,'2. Movimientos'!$B$5044:$B$1048576,L$5,'2. Movimientos'!$K$5044:$K$1048576,$E12)</f>
        <v>0</v>
      </c>
      <c r="M12" s="34">
        <f>SUMIFS('2. Movimientos'!$L$5044:$L$1048576,'2. Movimientos'!$B$5044:$B$1048576,M$5,'2. Movimientos'!$K$5044:$K$1048576,$E12)</f>
        <v>0</v>
      </c>
      <c r="N12" s="34">
        <f>SUMIFS('2. Movimientos'!$L$5044:$L$1048576,'2. Movimientos'!$B$5044:$B$1048576,N$5,'2. Movimientos'!$K$5044:$K$1048576,$E12)</f>
        <v>0</v>
      </c>
      <c r="O12" s="34">
        <f>SUMIFS('2. Movimientos'!$L$5044:$L$1048576,'2. Movimientos'!$B$5044:$B$1048576,O$5,'2. Movimientos'!$K$5044:$K$1048576,$E12)</f>
        <v>0</v>
      </c>
      <c r="P12" s="34">
        <f>SUMIFS('2. Movimientos'!$L$5044:$L$1048576,'2. Movimientos'!$B$5044:$B$1048576,P$5,'2. Movimientos'!$K$5044:$K$1048576,$E12)</f>
        <v>0</v>
      </c>
      <c r="Q12" s="34">
        <f>SUMIFS('2. Movimientos'!$L$5044:$L$1048576,'2. Movimientos'!$B$5044:$B$1048576,Q$5,'2. Movimientos'!$K$5044:$K$1048576,$E12)</f>
        <v>0</v>
      </c>
      <c r="R12" s="35">
        <f t="shared" si="3"/>
        <v>0</v>
      </c>
    </row>
    <row r="13" spans="4:18" x14ac:dyDescent="0.25">
      <c r="D13" s="32"/>
      <c r="E13" s="33" t="str">
        <f>+'5. Setup'!M10</f>
        <v>5 - YAM - Yamaha</v>
      </c>
      <c r="F13" s="34">
        <f>SUMIFS('2. Movimientos'!$L$5044:$L$1048576,'2. Movimientos'!$B$5044:$B$1048576,F$5,'2. Movimientos'!$K$5044:$K$1048576,$E13)</f>
        <v>0</v>
      </c>
      <c r="G13" s="34">
        <f>SUMIFS('2. Movimientos'!$L$5044:$L$1048576,'2. Movimientos'!$B$5044:$B$1048576,G$5,'2. Movimientos'!$K$5044:$K$1048576,$E13)</f>
        <v>0</v>
      </c>
      <c r="H13" s="34">
        <f>SUMIFS('2. Movimientos'!$L$5044:$L$1048576,'2. Movimientos'!$B$5044:$B$1048576,H$5,'2. Movimientos'!$K$5044:$K$1048576,$E13)</f>
        <v>0</v>
      </c>
      <c r="I13" s="34">
        <f>SUMIFS('2. Movimientos'!$L$5044:$L$1048576,'2. Movimientos'!$B$5044:$B$1048576,I$5,'2. Movimientos'!$K$5044:$K$1048576,$E13)</f>
        <v>0</v>
      </c>
      <c r="J13" s="34">
        <f>SUMIFS('2. Movimientos'!$L$5044:$L$1048576,'2. Movimientos'!$B$5044:$B$1048576,J$5,'2. Movimientos'!$K$5044:$K$1048576,$E13)</f>
        <v>0</v>
      </c>
      <c r="K13" s="34">
        <f>SUMIFS('2. Movimientos'!$L$5044:$L$1048576,'2. Movimientos'!$B$5044:$B$1048576,K$5,'2. Movimientos'!$K$5044:$K$1048576,$E13)</f>
        <v>0</v>
      </c>
      <c r="L13" s="34">
        <f>SUMIFS('2. Movimientos'!$L$5044:$L$1048576,'2. Movimientos'!$B$5044:$B$1048576,L$5,'2. Movimientos'!$K$5044:$K$1048576,$E13)</f>
        <v>0</v>
      </c>
      <c r="M13" s="34">
        <f>SUMIFS('2. Movimientos'!$L$5044:$L$1048576,'2. Movimientos'!$B$5044:$B$1048576,M$5,'2. Movimientos'!$K$5044:$K$1048576,$E13)</f>
        <v>0</v>
      </c>
      <c r="N13" s="34">
        <f>SUMIFS('2. Movimientos'!$L$5044:$L$1048576,'2. Movimientos'!$B$5044:$B$1048576,N$5,'2. Movimientos'!$K$5044:$K$1048576,$E13)</f>
        <v>0</v>
      </c>
      <c r="O13" s="34">
        <f>SUMIFS('2. Movimientos'!$L$5044:$L$1048576,'2. Movimientos'!$B$5044:$B$1048576,O$5,'2. Movimientos'!$K$5044:$K$1048576,$E13)</f>
        <v>0</v>
      </c>
      <c r="P13" s="34">
        <f>SUMIFS('2. Movimientos'!$L$5044:$L$1048576,'2. Movimientos'!$B$5044:$B$1048576,P$5,'2. Movimientos'!$K$5044:$K$1048576,$E13)</f>
        <v>0</v>
      </c>
      <c r="Q13" s="34">
        <f>SUMIFS('2. Movimientos'!$L$5044:$L$1048576,'2. Movimientos'!$B$5044:$B$1048576,Q$5,'2. Movimientos'!$K$5044:$K$1048576,$E13)</f>
        <v>0</v>
      </c>
      <c r="R13" s="35">
        <f t="shared" si="3"/>
        <v>0</v>
      </c>
    </row>
    <row r="14" spans="4:18" x14ac:dyDescent="0.25">
      <c r="D14" s="32"/>
      <c r="E14" s="33" t="str">
        <f>+'5. Setup'!M11</f>
        <v>6 - FCAtr - Fiat Transf.</v>
      </c>
      <c r="F14" s="34">
        <f>SUMIFS('2. Movimientos'!$L$5044:$L$1048576,'2. Movimientos'!$B$5044:$B$1048576,F$5,'2. Movimientos'!$K$5044:$K$1048576,$E14)</f>
        <v>0</v>
      </c>
      <c r="G14" s="34">
        <f>SUMIFS('2. Movimientos'!$L$5044:$L$1048576,'2. Movimientos'!$B$5044:$B$1048576,G$5,'2. Movimientos'!$K$5044:$K$1048576,$E14)</f>
        <v>0</v>
      </c>
      <c r="H14" s="34">
        <f>SUMIFS('2. Movimientos'!$L$5044:$L$1048576,'2. Movimientos'!$B$5044:$B$1048576,H$5,'2. Movimientos'!$K$5044:$K$1048576,$E14)</f>
        <v>0</v>
      </c>
      <c r="I14" s="34">
        <f>SUMIFS('2. Movimientos'!$L$5044:$L$1048576,'2. Movimientos'!$B$5044:$B$1048576,I$5,'2. Movimientos'!$K$5044:$K$1048576,$E14)</f>
        <v>0</v>
      </c>
      <c r="J14" s="34">
        <f>SUMIFS('2. Movimientos'!$L$5044:$L$1048576,'2. Movimientos'!$B$5044:$B$1048576,J$5,'2. Movimientos'!$K$5044:$K$1048576,$E14)</f>
        <v>0</v>
      </c>
      <c r="K14" s="34">
        <f>SUMIFS('2. Movimientos'!$L$5044:$L$1048576,'2. Movimientos'!$B$5044:$B$1048576,K$5,'2. Movimientos'!$K$5044:$K$1048576,$E14)</f>
        <v>0</v>
      </c>
      <c r="L14" s="34">
        <f>SUMIFS('2. Movimientos'!$L$5044:$L$1048576,'2. Movimientos'!$B$5044:$B$1048576,L$5,'2. Movimientos'!$K$5044:$K$1048576,$E14)</f>
        <v>0</v>
      </c>
      <c r="M14" s="34">
        <f>SUMIFS('2. Movimientos'!$L$5044:$L$1048576,'2. Movimientos'!$B$5044:$B$1048576,M$5,'2. Movimientos'!$K$5044:$K$1048576,$E14)</f>
        <v>0</v>
      </c>
      <c r="N14" s="34">
        <f>SUMIFS('2. Movimientos'!$L$5044:$L$1048576,'2. Movimientos'!$B$5044:$B$1048576,N$5,'2. Movimientos'!$K$5044:$K$1048576,$E14)</f>
        <v>0</v>
      </c>
      <c r="O14" s="34">
        <f>SUMIFS('2. Movimientos'!$L$5044:$L$1048576,'2. Movimientos'!$B$5044:$B$1048576,O$5,'2. Movimientos'!$K$5044:$K$1048576,$E14)</f>
        <v>0</v>
      </c>
      <c r="P14" s="34">
        <f>SUMIFS('2. Movimientos'!$L$5044:$L$1048576,'2. Movimientos'!$B$5044:$B$1048576,P$5,'2. Movimientos'!$K$5044:$K$1048576,$E14)</f>
        <v>0</v>
      </c>
      <c r="Q14" s="34">
        <f>SUMIFS('2. Movimientos'!$L$5044:$L$1048576,'2. Movimientos'!$B$5044:$B$1048576,Q$5,'2. Movimientos'!$K$5044:$K$1048576,$E14)</f>
        <v>0</v>
      </c>
      <c r="R14" s="35">
        <f t="shared" si="3"/>
        <v>0</v>
      </c>
    </row>
    <row r="15" spans="4:18" x14ac:dyDescent="0.25">
      <c r="D15" s="32"/>
      <c r="E15" s="33" t="str">
        <f>+'5. Setup'!M12</f>
        <v>7 - PRtr - Plan Rombo Transf.</v>
      </c>
      <c r="F15" s="34">
        <f>SUMIFS('2. Movimientos'!$L$5044:$L$1048576,'2. Movimientos'!$B$5044:$B$1048576,F$5,'2. Movimientos'!$K$5044:$K$1048576,$E15)</f>
        <v>0</v>
      </c>
      <c r="G15" s="34">
        <f>SUMIFS('2. Movimientos'!$L$5044:$L$1048576,'2. Movimientos'!$B$5044:$B$1048576,G$5,'2. Movimientos'!$K$5044:$K$1048576,$E15)</f>
        <v>0</v>
      </c>
      <c r="H15" s="34">
        <f>SUMIFS('2. Movimientos'!$L$5044:$L$1048576,'2. Movimientos'!$B$5044:$B$1048576,H$5,'2. Movimientos'!$K$5044:$K$1048576,$E15)</f>
        <v>0</v>
      </c>
      <c r="I15" s="34">
        <f>SUMIFS('2. Movimientos'!$L$5044:$L$1048576,'2. Movimientos'!$B$5044:$B$1048576,I$5,'2. Movimientos'!$K$5044:$K$1048576,$E15)</f>
        <v>0</v>
      </c>
      <c r="J15" s="34">
        <f>SUMIFS('2. Movimientos'!$L$5044:$L$1048576,'2. Movimientos'!$B$5044:$B$1048576,J$5,'2. Movimientos'!$K$5044:$K$1048576,$E15)</f>
        <v>0</v>
      </c>
      <c r="K15" s="34">
        <f>SUMIFS('2. Movimientos'!$L$5044:$L$1048576,'2. Movimientos'!$B$5044:$B$1048576,K$5,'2. Movimientos'!$K$5044:$K$1048576,$E15)</f>
        <v>0</v>
      </c>
      <c r="L15" s="34">
        <f>SUMIFS('2. Movimientos'!$L$5044:$L$1048576,'2. Movimientos'!$B$5044:$B$1048576,L$5,'2. Movimientos'!$K$5044:$K$1048576,$E15)</f>
        <v>0</v>
      </c>
      <c r="M15" s="34">
        <f>SUMIFS('2. Movimientos'!$L$5044:$L$1048576,'2. Movimientos'!$B$5044:$B$1048576,M$5,'2. Movimientos'!$K$5044:$K$1048576,$E15)</f>
        <v>0</v>
      </c>
      <c r="N15" s="34">
        <f>SUMIFS('2. Movimientos'!$L$5044:$L$1048576,'2. Movimientos'!$B$5044:$B$1048576,N$5,'2. Movimientos'!$K$5044:$K$1048576,$E15)</f>
        <v>0</v>
      </c>
      <c r="O15" s="34">
        <f>SUMIFS('2. Movimientos'!$L$5044:$L$1048576,'2. Movimientos'!$B$5044:$B$1048576,O$5,'2. Movimientos'!$K$5044:$K$1048576,$E15)</f>
        <v>0</v>
      </c>
      <c r="P15" s="34">
        <f>SUMIFS('2. Movimientos'!$L$5044:$L$1048576,'2. Movimientos'!$B$5044:$B$1048576,P$5,'2. Movimientos'!$K$5044:$K$1048576,$E15)</f>
        <v>0</v>
      </c>
      <c r="Q15" s="34">
        <f>SUMIFS('2. Movimientos'!$L$5044:$L$1048576,'2. Movimientos'!$B$5044:$B$1048576,Q$5,'2. Movimientos'!$K$5044:$K$1048576,$E15)</f>
        <v>0</v>
      </c>
      <c r="R15" s="35">
        <f t="shared" si="3"/>
        <v>0</v>
      </c>
    </row>
    <row r="16" spans="4:18" x14ac:dyDescent="0.25">
      <c r="D16" s="36"/>
      <c r="E16" s="37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</row>
    <row r="17" spans="4:18" x14ac:dyDescent="0.25">
      <c r="D17" s="69" t="str">
        <f>+'5. Setup'!G7</f>
        <v>EGRESOS</v>
      </c>
      <c r="E17" s="70"/>
      <c r="F17" s="23">
        <f t="shared" ref="F17:Q17" si="4">SUM(F18:F24)*-1</f>
        <v>0</v>
      </c>
      <c r="G17" s="23">
        <f t="shared" si="4"/>
        <v>0</v>
      </c>
      <c r="H17" s="23">
        <f t="shared" si="4"/>
        <v>0</v>
      </c>
      <c r="I17" s="23">
        <f t="shared" si="4"/>
        <v>0</v>
      </c>
      <c r="J17" s="23">
        <f t="shared" si="4"/>
        <v>0</v>
      </c>
      <c r="K17" s="23">
        <f t="shared" si="4"/>
        <v>0</v>
      </c>
      <c r="L17" s="23">
        <f t="shared" si="4"/>
        <v>0</v>
      </c>
      <c r="M17" s="23">
        <f t="shared" si="4"/>
        <v>0</v>
      </c>
      <c r="N17" s="23">
        <f t="shared" si="4"/>
        <v>0</v>
      </c>
      <c r="O17" s="23">
        <f t="shared" si="4"/>
        <v>0</v>
      </c>
      <c r="P17" s="23">
        <f t="shared" si="4"/>
        <v>0</v>
      </c>
      <c r="Q17" s="23">
        <f t="shared" si="4"/>
        <v>0</v>
      </c>
      <c r="R17" s="31">
        <f>SUM(R18:R24)</f>
        <v>0</v>
      </c>
    </row>
    <row r="18" spans="4:18" x14ac:dyDescent="0.25">
      <c r="D18" s="32"/>
      <c r="E18" s="33" t="str">
        <f>+'5. Setup'!M6</f>
        <v>1 - VW - Volkswagen</v>
      </c>
      <c r="F18" s="34">
        <f>SUMIFS('2. Movimientos'!$M$5044:$M$1048576,'2. Movimientos'!$B$5044:$B$1048576,F$5,'2. Movimientos'!$K$5044:$K$1048576,$E18)*-1</f>
        <v>0</v>
      </c>
      <c r="G18" s="34">
        <f>SUMIFS('2. Movimientos'!$M$5044:$M$1048576,'2. Movimientos'!$B$5044:$B$1048576,G$5,'2. Movimientos'!$K$5044:$K$1048576,$E18)*-1</f>
        <v>0</v>
      </c>
      <c r="H18" s="34">
        <f>SUMIFS('2. Movimientos'!$M$5044:$M$1048576,'2. Movimientos'!$B$5044:$B$1048576,H$5,'2. Movimientos'!$K$5044:$K$1048576,$E18)*-1</f>
        <v>0</v>
      </c>
      <c r="I18" s="34">
        <f>SUMIFS('2. Movimientos'!$M$5044:$M$1048576,'2. Movimientos'!$B$5044:$B$1048576,I$5,'2. Movimientos'!$K$5044:$K$1048576,$E18)*-1</f>
        <v>0</v>
      </c>
      <c r="J18" s="34">
        <f>SUMIFS('2. Movimientos'!$M$5044:$M$1048576,'2. Movimientos'!$B$5044:$B$1048576,J$5,'2. Movimientos'!$K$5044:$K$1048576,$E18)*-1</f>
        <v>0</v>
      </c>
      <c r="K18" s="34">
        <f>SUMIFS('2. Movimientos'!$M$5044:$M$1048576,'2. Movimientos'!$B$5044:$B$1048576,K$5,'2. Movimientos'!$K$5044:$K$1048576,$E18)*-1</f>
        <v>0</v>
      </c>
      <c r="L18" s="34">
        <f>SUMIFS('2. Movimientos'!$M$5044:$M$1048576,'2. Movimientos'!$B$5044:$B$1048576,L$5,'2. Movimientos'!$K$5044:$K$1048576,$E18)*-1</f>
        <v>0</v>
      </c>
      <c r="M18" s="34">
        <f>SUMIFS('2. Movimientos'!$M$5044:$M$1048576,'2. Movimientos'!$B$5044:$B$1048576,M$5,'2. Movimientos'!$K$5044:$K$1048576,$E18)*-1</f>
        <v>0</v>
      </c>
      <c r="N18" s="34">
        <f>SUMIFS('2. Movimientos'!$M$5044:$M$1048576,'2. Movimientos'!$B$5044:$B$1048576,N$5,'2. Movimientos'!$K$5044:$K$1048576,$E18)*-1</f>
        <v>0</v>
      </c>
      <c r="O18" s="34">
        <f>SUMIFS('2. Movimientos'!$M$5044:$M$1048576,'2. Movimientos'!$B$5044:$B$1048576,O$5,'2. Movimientos'!$K$5044:$K$1048576,$E18)*-1</f>
        <v>0</v>
      </c>
      <c r="P18" s="34">
        <f>SUMIFS('2. Movimientos'!$M$5044:$M$1048576,'2. Movimientos'!$B$5044:$B$1048576,P$5,'2. Movimientos'!$K$5044:$K$1048576,$E18)*-1</f>
        <v>0</v>
      </c>
      <c r="Q18" s="34">
        <f>SUMIFS('2. Movimientos'!$M$5044:$M$1048576,'2. Movimientos'!$B$5044:$B$1048576,Q$5,'2. Movimientos'!$K$5044:$K$1048576,$E18)*-1</f>
        <v>0</v>
      </c>
      <c r="R18" s="35">
        <f t="shared" ref="R18:R24" si="5">SUM(F18:Q18)</f>
        <v>0</v>
      </c>
    </row>
    <row r="19" spans="4:18" x14ac:dyDescent="0.25">
      <c r="D19" s="32"/>
      <c r="E19" s="33" t="str">
        <f>+'5. Setup'!M7</f>
        <v>2 - PR - Plan Rombo</v>
      </c>
      <c r="F19" s="34">
        <f>SUMIFS('2. Movimientos'!$M$5044:$M$1048576,'2. Movimientos'!$B$5044:$B$1048576,F$5,'2. Movimientos'!$K$5044:$K$1048576,$E19)*-1</f>
        <v>0</v>
      </c>
      <c r="G19" s="34">
        <f>SUMIFS('2. Movimientos'!$M$5044:$M$1048576,'2. Movimientos'!$B$5044:$B$1048576,G$5,'2. Movimientos'!$K$5044:$K$1048576,$E19)*-1</f>
        <v>0</v>
      </c>
      <c r="H19" s="34">
        <f>SUMIFS('2. Movimientos'!$M$5044:$M$1048576,'2. Movimientos'!$B$5044:$B$1048576,H$5,'2. Movimientos'!$K$5044:$K$1048576,$E19)*-1</f>
        <v>0</v>
      </c>
      <c r="I19" s="34">
        <f>SUMIFS('2. Movimientos'!$M$5044:$M$1048576,'2. Movimientos'!$B$5044:$B$1048576,I$5,'2. Movimientos'!$K$5044:$K$1048576,$E19)*-1</f>
        <v>0</v>
      </c>
      <c r="J19" s="34">
        <f>SUMIFS('2. Movimientos'!$M$5044:$M$1048576,'2. Movimientos'!$B$5044:$B$1048576,J$5,'2. Movimientos'!$K$5044:$K$1048576,$E19)*-1</f>
        <v>0</v>
      </c>
      <c r="K19" s="34">
        <f>SUMIFS('2. Movimientos'!$M$5044:$M$1048576,'2. Movimientos'!$B$5044:$B$1048576,K$5,'2. Movimientos'!$K$5044:$K$1048576,$E19)*-1</f>
        <v>0</v>
      </c>
      <c r="L19" s="34">
        <f>SUMIFS('2. Movimientos'!$M$5044:$M$1048576,'2. Movimientos'!$B$5044:$B$1048576,L$5,'2. Movimientos'!$K$5044:$K$1048576,$E19)*-1</f>
        <v>0</v>
      </c>
      <c r="M19" s="34">
        <f>SUMIFS('2. Movimientos'!$M$5044:$M$1048576,'2. Movimientos'!$B$5044:$B$1048576,M$5,'2. Movimientos'!$K$5044:$K$1048576,$E19)*-1</f>
        <v>0</v>
      </c>
      <c r="N19" s="34">
        <f>SUMIFS('2. Movimientos'!$M$5044:$M$1048576,'2. Movimientos'!$B$5044:$B$1048576,N$5,'2. Movimientos'!$K$5044:$K$1048576,$E19)*-1</f>
        <v>0</v>
      </c>
      <c r="O19" s="34">
        <f>SUMIFS('2. Movimientos'!$M$5044:$M$1048576,'2. Movimientos'!$B$5044:$B$1048576,O$5,'2. Movimientos'!$K$5044:$K$1048576,$E19)*-1</f>
        <v>0</v>
      </c>
      <c r="P19" s="34">
        <f>SUMIFS('2. Movimientos'!$M$5044:$M$1048576,'2. Movimientos'!$B$5044:$B$1048576,P$5,'2. Movimientos'!$K$5044:$K$1048576,$E19)*-1</f>
        <v>0</v>
      </c>
      <c r="Q19" s="34">
        <f>SUMIFS('2. Movimientos'!$M$5044:$M$1048576,'2. Movimientos'!$B$5044:$B$1048576,Q$5,'2. Movimientos'!$K$5044:$K$1048576,$E19)*-1</f>
        <v>0</v>
      </c>
      <c r="R19" s="35">
        <f t="shared" si="5"/>
        <v>0</v>
      </c>
    </row>
    <row r="20" spans="4:18" x14ac:dyDescent="0.25">
      <c r="D20" s="32"/>
      <c r="E20" s="33" t="str">
        <f>+'5. Setup'!M8</f>
        <v>3 - GM - Chevrolet</v>
      </c>
      <c r="F20" s="34">
        <f>SUMIFS('2. Movimientos'!$M$5044:$M$1048576,'2. Movimientos'!$B$5044:$B$1048576,F$5,'2. Movimientos'!$K$5044:$K$1048576,$E20)*-1</f>
        <v>0</v>
      </c>
      <c r="G20" s="34">
        <f>SUMIFS('2. Movimientos'!$M$5044:$M$1048576,'2. Movimientos'!$B$5044:$B$1048576,G$5,'2. Movimientos'!$K$5044:$K$1048576,$E20)*-1</f>
        <v>0</v>
      </c>
      <c r="H20" s="34">
        <f>SUMIFS('2. Movimientos'!$M$5044:$M$1048576,'2. Movimientos'!$B$5044:$B$1048576,H$5,'2. Movimientos'!$K$5044:$K$1048576,$E20)*-1</f>
        <v>0</v>
      </c>
      <c r="I20" s="34">
        <f>SUMIFS('2. Movimientos'!$M$5044:$M$1048576,'2. Movimientos'!$B$5044:$B$1048576,I$5,'2. Movimientos'!$K$5044:$K$1048576,$E20)*-1</f>
        <v>0</v>
      </c>
      <c r="J20" s="34">
        <f>SUMIFS('2. Movimientos'!$M$5044:$M$1048576,'2. Movimientos'!$B$5044:$B$1048576,J$5,'2. Movimientos'!$K$5044:$K$1048576,$E20)*-1</f>
        <v>0</v>
      </c>
      <c r="K20" s="34">
        <f>SUMIFS('2. Movimientos'!$M$5044:$M$1048576,'2. Movimientos'!$B$5044:$B$1048576,K$5,'2. Movimientos'!$K$5044:$K$1048576,$E20)*-1</f>
        <v>0</v>
      </c>
      <c r="L20" s="34">
        <f>SUMIFS('2. Movimientos'!$M$5044:$M$1048576,'2. Movimientos'!$B$5044:$B$1048576,L$5,'2. Movimientos'!$K$5044:$K$1048576,$E20)*-1</f>
        <v>0</v>
      </c>
      <c r="M20" s="34">
        <f>SUMIFS('2. Movimientos'!$M$5044:$M$1048576,'2. Movimientos'!$B$5044:$B$1048576,M$5,'2. Movimientos'!$K$5044:$K$1048576,$E20)*-1</f>
        <v>0</v>
      </c>
      <c r="N20" s="34">
        <f>SUMIFS('2. Movimientos'!$M$5044:$M$1048576,'2. Movimientos'!$B$5044:$B$1048576,N$5,'2. Movimientos'!$K$5044:$K$1048576,$E20)*-1</f>
        <v>0</v>
      </c>
      <c r="O20" s="34">
        <f>SUMIFS('2. Movimientos'!$M$5044:$M$1048576,'2. Movimientos'!$B$5044:$B$1048576,O$5,'2. Movimientos'!$K$5044:$K$1048576,$E20)*-1</f>
        <v>0</v>
      </c>
      <c r="P20" s="34">
        <f>SUMIFS('2. Movimientos'!$M$5044:$M$1048576,'2. Movimientos'!$B$5044:$B$1048576,P$5,'2. Movimientos'!$K$5044:$K$1048576,$E20)*-1</f>
        <v>0</v>
      </c>
      <c r="Q20" s="34">
        <f>SUMIFS('2. Movimientos'!$M$5044:$M$1048576,'2. Movimientos'!$B$5044:$B$1048576,Q$5,'2. Movimientos'!$K$5044:$K$1048576,$E20)*-1</f>
        <v>0</v>
      </c>
      <c r="R20" s="35">
        <f t="shared" si="5"/>
        <v>0</v>
      </c>
    </row>
    <row r="21" spans="4:18" x14ac:dyDescent="0.25">
      <c r="D21" s="32"/>
      <c r="E21" s="33" t="str">
        <f>+'5. Setup'!M9</f>
        <v>4 - FCA - Fiat</v>
      </c>
      <c r="F21" s="34">
        <f>SUMIFS('2. Movimientos'!$M$5044:$M$1048576,'2. Movimientos'!$B$5044:$B$1048576,F$5,'2. Movimientos'!$K$5044:$K$1048576,$E21)*-1</f>
        <v>0</v>
      </c>
      <c r="G21" s="34">
        <f>SUMIFS('2. Movimientos'!$M$5044:$M$1048576,'2. Movimientos'!$B$5044:$B$1048576,G$5,'2. Movimientos'!$K$5044:$K$1048576,$E21)*-1</f>
        <v>0</v>
      </c>
      <c r="H21" s="34">
        <f>SUMIFS('2. Movimientos'!$M$5044:$M$1048576,'2. Movimientos'!$B$5044:$B$1048576,H$5,'2. Movimientos'!$K$5044:$K$1048576,$E21)*-1</f>
        <v>0</v>
      </c>
      <c r="I21" s="34">
        <f>SUMIFS('2. Movimientos'!$M$5044:$M$1048576,'2. Movimientos'!$B$5044:$B$1048576,I$5,'2. Movimientos'!$K$5044:$K$1048576,$E21)*-1</f>
        <v>0</v>
      </c>
      <c r="J21" s="34">
        <f>SUMIFS('2. Movimientos'!$M$5044:$M$1048576,'2. Movimientos'!$B$5044:$B$1048576,J$5,'2. Movimientos'!$K$5044:$K$1048576,$E21)*-1</f>
        <v>0</v>
      </c>
      <c r="K21" s="34">
        <f>SUMIFS('2. Movimientos'!$M$5044:$M$1048576,'2. Movimientos'!$B$5044:$B$1048576,K$5,'2. Movimientos'!$K$5044:$K$1048576,$E21)*-1</f>
        <v>0</v>
      </c>
      <c r="L21" s="34">
        <f>SUMIFS('2. Movimientos'!$M$5044:$M$1048576,'2. Movimientos'!$B$5044:$B$1048576,L$5,'2. Movimientos'!$K$5044:$K$1048576,$E21)*-1</f>
        <v>0</v>
      </c>
      <c r="M21" s="34">
        <f>SUMIFS('2. Movimientos'!$M$5044:$M$1048576,'2. Movimientos'!$B$5044:$B$1048576,M$5,'2. Movimientos'!$K$5044:$K$1048576,$E21)*-1</f>
        <v>0</v>
      </c>
      <c r="N21" s="34">
        <f>SUMIFS('2. Movimientos'!$M$5044:$M$1048576,'2. Movimientos'!$B$5044:$B$1048576,N$5,'2. Movimientos'!$K$5044:$K$1048576,$E21)*-1</f>
        <v>0</v>
      </c>
      <c r="O21" s="34">
        <f>SUMIFS('2. Movimientos'!$M$5044:$M$1048576,'2. Movimientos'!$B$5044:$B$1048576,O$5,'2. Movimientos'!$K$5044:$K$1048576,$E21)*-1</f>
        <v>0</v>
      </c>
      <c r="P21" s="34">
        <f>SUMIFS('2. Movimientos'!$M$5044:$M$1048576,'2. Movimientos'!$B$5044:$B$1048576,P$5,'2. Movimientos'!$K$5044:$K$1048576,$E21)*-1</f>
        <v>0</v>
      </c>
      <c r="Q21" s="34">
        <f>SUMIFS('2. Movimientos'!$M$5044:$M$1048576,'2. Movimientos'!$B$5044:$B$1048576,Q$5,'2. Movimientos'!$K$5044:$K$1048576,$E21)*-1</f>
        <v>0</v>
      </c>
      <c r="R21" s="35">
        <f t="shared" si="5"/>
        <v>0</v>
      </c>
    </row>
    <row r="22" spans="4:18" x14ac:dyDescent="0.25">
      <c r="D22" s="32"/>
      <c r="E22" s="33" t="str">
        <f>+'5. Setup'!M10</f>
        <v>5 - YAM - Yamaha</v>
      </c>
      <c r="F22" s="34">
        <f>SUMIFS('2. Movimientos'!$M$5044:$M$1048576,'2. Movimientos'!$B$5044:$B$1048576,F$5,'2. Movimientos'!$K$5044:$K$1048576,$E22)*-1</f>
        <v>0</v>
      </c>
      <c r="G22" s="34">
        <f>SUMIFS('2. Movimientos'!$M$5044:$M$1048576,'2. Movimientos'!$B$5044:$B$1048576,G$5,'2. Movimientos'!$K$5044:$K$1048576,$E22)*-1</f>
        <v>0</v>
      </c>
      <c r="H22" s="34">
        <f>SUMIFS('2. Movimientos'!$M$5044:$M$1048576,'2. Movimientos'!$B$5044:$B$1048576,H$5,'2. Movimientos'!$K$5044:$K$1048576,$E22)*-1</f>
        <v>0</v>
      </c>
      <c r="I22" s="34">
        <f>SUMIFS('2. Movimientos'!$M$5044:$M$1048576,'2. Movimientos'!$B$5044:$B$1048576,I$5,'2. Movimientos'!$K$5044:$K$1048576,$E22)*-1</f>
        <v>0</v>
      </c>
      <c r="J22" s="34">
        <f>SUMIFS('2. Movimientos'!$M$5044:$M$1048576,'2. Movimientos'!$B$5044:$B$1048576,J$5,'2. Movimientos'!$K$5044:$K$1048576,$E22)*-1</f>
        <v>0</v>
      </c>
      <c r="K22" s="34">
        <f>SUMIFS('2. Movimientos'!$M$5044:$M$1048576,'2. Movimientos'!$B$5044:$B$1048576,K$5,'2. Movimientos'!$K$5044:$K$1048576,$E22)*-1</f>
        <v>0</v>
      </c>
      <c r="L22" s="34">
        <f>SUMIFS('2. Movimientos'!$M$5044:$M$1048576,'2. Movimientos'!$B$5044:$B$1048576,L$5,'2. Movimientos'!$K$5044:$K$1048576,$E22)*-1</f>
        <v>0</v>
      </c>
      <c r="M22" s="34">
        <f>SUMIFS('2. Movimientos'!$M$5044:$M$1048576,'2. Movimientos'!$B$5044:$B$1048576,M$5,'2. Movimientos'!$K$5044:$K$1048576,$E22)*-1</f>
        <v>0</v>
      </c>
      <c r="N22" s="34">
        <f>SUMIFS('2. Movimientos'!$M$5044:$M$1048576,'2. Movimientos'!$B$5044:$B$1048576,N$5,'2. Movimientos'!$K$5044:$K$1048576,$E22)*-1</f>
        <v>0</v>
      </c>
      <c r="O22" s="34">
        <f>SUMIFS('2. Movimientos'!$M$5044:$M$1048576,'2. Movimientos'!$B$5044:$B$1048576,O$5,'2. Movimientos'!$K$5044:$K$1048576,$E22)*-1</f>
        <v>0</v>
      </c>
      <c r="P22" s="34">
        <f>SUMIFS('2. Movimientos'!$M$5044:$M$1048576,'2. Movimientos'!$B$5044:$B$1048576,P$5,'2. Movimientos'!$K$5044:$K$1048576,$E22)*-1</f>
        <v>0</v>
      </c>
      <c r="Q22" s="34">
        <f>SUMIFS('2. Movimientos'!$M$5044:$M$1048576,'2. Movimientos'!$B$5044:$B$1048576,Q$5,'2. Movimientos'!$K$5044:$K$1048576,$E22)*-1</f>
        <v>0</v>
      </c>
      <c r="R22" s="35">
        <f t="shared" si="5"/>
        <v>0</v>
      </c>
    </row>
    <row r="23" spans="4:18" x14ac:dyDescent="0.25">
      <c r="D23" s="32"/>
      <c r="E23" s="33" t="str">
        <f>+'5. Setup'!M11</f>
        <v>6 - FCAtr - Fiat Transf.</v>
      </c>
      <c r="F23" s="34">
        <f>SUMIFS('2. Movimientos'!$M$5044:$M$1048576,'2. Movimientos'!$B$5044:$B$1048576,F$5,'2. Movimientos'!$K$5044:$K$1048576,$E23)*-1</f>
        <v>0</v>
      </c>
      <c r="G23" s="34">
        <f>SUMIFS('2. Movimientos'!$M$5044:$M$1048576,'2. Movimientos'!$B$5044:$B$1048576,G$5,'2. Movimientos'!$K$5044:$K$1048576,$E23)*-1</f>
        <v>0</v>
      </c>
      <c r="H23" s="34">
        <f>SUMIFS('2. Movimientos'!$M$5044:$M$1048576,'2. Movimientos'!$B$5044:$B$1048576,H$5,'2. Movimientos'!$K$5044:$K$1048576,$E23)*-1</f>
        <v>0</v>
      </c>
      <c r="I23" s="34">
        <f>SUMIFS('2. Movimientos'!$M$5044:$M$1048576,'2. Movimientos'!$B$5044:$B$1048576,I$5,'2. Movimientos'!$K$5044:$K$1048576,$E23)*-1</f>
        <v>0</v>
      </c>
      <c r="J23" s="34">
        <f>SUMIFS('2. Movimientos'!$M$5044:$M$1048576,'2. Movimientos'!$B$5044:$B$1048576,J$5,'2. Movimientos'!$K$5044:$K$1048576,$E23)*-1</f>
        <v>0</v>
      </c>
      <c r="K23" s="34">
        <f>SUMIFS('2. Movimientos'!$M$5044:$M$1048576,'2. Movimientos'!$B$5044:$B$1048576,K$5,'2. Movimientos'!$K$5044:$K$1048576,$E23)*-1</f>
        <v>0</v>
      </c>
      <c r="L23" s="34">
        <f>SUMIFS('2. Movimientos'!$M$5044:$M$1048576,'2. Movimientos'!$B$5044:$B$1048576,L$5,'2. Movimientos'!$K$5044:$K$1048576,$E23)*-1</f>
        <v>0</v>
      </c>
      <c r="M23" s="34">
        <f>SUMIFS('2. Movimientos'!$M$5044:$M$1048576,'2. Movimientos'!$B$5044:$B$1048576,M$5,'2. Movimientos'!$K$5044:$K$1048576,$E23)*-1</f>
        <v>0</v>
      </c>
      <c r="N23" s="34">
        <f>SUMIFS('2. Movimientos'!$M$5044:$M$1048576,'2. Movimientos'!$B$5044:$B$1048576,N$5,'2. Movimientos'!$K$5044:$K$1048576,$E23)*-1</f>
        <v>0</v>
      </c>
      <c r="O23" s="34">
        <f>SUMIFS('2. Movimientos'!$M$5044:$M$1048576,'2. Movimientos'!$B$5044:$B$1048576,O$5,'2. Movimientos'!$K$5044:$K$1048576,$E23)*-1</f>
        <v>0</v>
      </c>
      <c r="P23" s="34">
        <f>SUMIFS('2. Movimientos'!$M$5044:$M$1048576,'2. Movimientos'!$B$5044:$B$1048576,P$5,'2. Movimientos'!$K$5044:$K$1048576,$E23)*-1</f>
        <v>0</v>
      </c>
      <c r="Q23" s="34">
        <f>SUMIFS('2. Movimientos'!$M$5044:$M$1048576,'2. Movimientos'!$B$5044:$B$1048576,Q$5,'2. Movimientos'!$K$5044:$K$1048576,$E23)*-1</f>
        <v>0</v>
      </c>
      <c r="R23" s="35">
        <f t="shared" si="5"/>
        <v>0</v>
      </c>
    </row>
    <row r="24" spans="4:18" x14ac:dyDescent="0.25">
      <c r="D24" s="32"/>
      <c r="E24" s="33" t="str">
        <f>+'5. Setup'!M12</f>
        <v>7 - PRtr - Plan Rombo Transf.</v>
      </c>
      <c r="F24" s="34">
        <f>SUMIFS('2. Movimientos'!$M$5044:$M$1048576,'2. Movimientos'!$B$5044:$B$1048576,F$5,'2. Movimientos'!$K$5044:$K$1048576,$E24)*-1</f>
        <v>0</v>
      </c>
      <c r="G24" s="34">
        <f>SUMIFS('2. Movimientos'!$M$5044:$M$1048576,'2. Movimientos'!$B$5044:$B$1048576,G$5,'2. Movimientos'!$K$5044:$K$1048576,$E24)*-1</f>
        <v>0</v>
      </c>
      <c r="H24" s="34">
        <f>SUMIFS('2. Movimientos'!$M$5044:$M$1048576,'2. Movimientos'!$B$5044:$B$1048576,H$5,'2. Movimientos'!$K$5044:$K$1048576,$E24)*-1</f>
        <v>0</v>
      </c>
      <c r="I24" s="34">
        <f>SUMIFS('2. Movimientos'!$M$5044:$M$1048576,'2. Movimientos'!$B$5044:$B$1048576,I$5,'2. Movimientos'!$K$5044:$K$1048576,$E24)*-1</f>
        <v>0</v>
      </c>
      <c r="J24" s="34">
        <f>SUMIFS('2. Movimientos'!$M$5044:$M$1048576,'2. Movimientos'!$B$5044:$B$1048576,J$5,'2. Movimientos'!$K$5044:$K$1048576,$E24)*-1</f>
        <v>0</v>
      </c>
      <c r="K24" s="34">
        <f>SUMIFS('2. Movimientos'!$M$5044:$M$1048576,'2. Movimientos'!$B$5044:$B$1048576,K$5,'2. Movimientos'!$K$5044:$K$1048576,$E24)*-1</f>
        <v>0</v>
      </c>
      <c r="L24" s="34">
        <f>SUMIFS('2. Movimientos'!$M$5044:$M$1048576,'2. Movimientos'!$B$5044:$B$1048576,L$5,'2. Movimientos'!$K$5044:$K$1048576,$E24)*-1</f>
        <v>0</v>
      </c>
      <c r="M24" s="34">
        <f>SUMIFS('2. Movimientos'!$M$5044:$M$1048576,'2. Movimientos'!$B$5044:$B$1048576,M$5,'2. Movimientos'!$K$5044:$K$1048576,$E24)*-1</f>
        <v>0</v>
      </c>
      <c r="N24" s="34">
        <f>SUMIFS('2. Movimientos'!$M$5044:$M$1048576,'2. Movimientos'!$B$5044:$B$1048576,N$5,'2. Movimientos'!$K$5044:$K$1048576,$E24)*-1</f>
        <v>0</v>
      </c>
      <c r="O24" s="34">
        <f>SUMIFS('2. Movimientos'!$M$5044:$M$1048576,'2. Movimientos'!$B$5044:$B$1048576,O$5,'2. Movimientos'!$K$5044:$K$1048576,$E24)*-1</f>
        <v>0</v>
      </c>
      <c r="P24" s="34">
        <f>SUMIFS('2. Movimientos'!$M$5044:$M$1048576,'2. Movimientos'!$B$5044:$B$1048576,P$5,'2. Movimientos'!$K$5044:$K$1048576,$E24)*-1</f>
        <v>0</v>
      </c>
      <c r="Q24" s="34">
        <f>SUMIFS('2. Movimientos'!$M$5044:$M$1048576,'2. Movimientos'!$B$5044:$B$1048576,Q$5,'2. Movimientos'!$K$5044:$K$1048576,$E24)*-1</f>
        <v>0</v>
      </c>
      <c r="R24" s="35">
        <f t="shared" si="5"/>
        <v>0</v>
      </c>
    </row>
    <row r="25" spans="4:18" x14ac:dyDescent="0.25">
      <c r="D25" s="32"/>
      <c r="E25" s="37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9"/>
    </row>
    <row r="26" spans="4:18" ht="15.75" customHeight="1" thickBot="1" x14ac:dyDescent="0.3">
      <c r="D26" s="77" t="s">
        <v>3</v>
      </c>
      <c r="E26" s="78"/>
      <c r="F26" s="40">
        <f t="shared" ref="F26:R26" si="6">F8+F17</f>
        <v>0</v>
      </c>
      <c r="G26" s="40">
        <f t="shared" si="6"/>
        <v>0</v>
      </c>
      <c r="H26" s="40">
        <f t="shared" si="6"/>
        <v>0</v>
      </c>
      <c r="I26" s="40">
        <f t="shared" si="6"/>
        <v>0</v>
      </c>
      <c r="J26" s="40">
        <f t="shared" si="6"/>
        <v>0</v>
      </c>
      <c r="K26" s="40">
        <f t="shared" si="6"/>
        <v>0</v>
      </c>
      <c r="L26" s="40">
        <f t="shared" si="6"/>
        <v>0</v>
      </c>
      <c r="M26" s="40">
        <f t="shared" si="6"/>
        <v>0</v>
      </c>
      <c r="N26" s="40">
        <f t="shared" si="6"/>
        <v>0</v>
      </c>
      <c r="O26" s="40">
        <f t="shared" si="6"/>
        <v>0</v>
      </c>
      <c r="P26" s="40">
        <f t="shared" si="6"/>
        <v>0</v>
      </c>
      <c r="Q26" s="40">
        <f t="shared" si="6"/>
        <v>0</v>
      </c>
      <c r="R26" s="41">
        <f t="shared" si="6"/>
        <v>0</v>
      </c>
    </row>
    <row r="27" spans="4:18" x14ac:dyDescent="0.25"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</row>
  </sheetData>
  <mergeCells count="5">
    <mergeCell ref="D8:E8"/>
    <mergeCell ref="D4:E5"/>
    <mergeCell ref="R4:R5"/>
    <mergeCell ref="D26:E26"/>
    <mergeCell ref="D17:E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D5053"/>
  <sheetViews>
    <sheetView showGridLines="0" tabSelected="1" workbookViewId="0">
      <pane xSplit="1" ySplit="8" topLeftCell="B2745" activePane="bottomRight" state="frozen"/>
      <selection pane="topRight" activeCell="B1" sqref="B1"/>
      <selection pane="bottomLeft" activeCell="A9" sqref="A9"/>
      <selection pane="bottomRight" activeCell="K2759" sqref="K2759"/>
    </sheetView>
  </sheetViews>
  <sheetFormatPr baseColWidth="10" defaultColWidth="0" defaultRowHeight="15" x14ac:dyDescent="0.25"/>
  <cols>
    <col min="1" max="1" width="12.28515625" bestFit="1" customWidth="1"/>
    <col min="2" max="2" width="10.5703125" bestFit="1" customWidth="1"/>
    <col min="3" max="3" width="9.7109375" bestFit="1" customWidth="1"/>
    <col min="4" max="4" width="13.140625" bestFit="1" customWidth="1"/>
    <col min="5" max="5" width="13.7109375" bestFit="1" customWidth="1"/>
    <col min="6" max="6" width="23" bestFit="1" customWidth="1"/>
    <col min="7" max="7" width="25.5703125" bestFit="1" customWidth="1"/>
    <col min="8" max="8" width="21.140625" bestFit="1" customWidth="1"/>
    <col min="9" max="9" width="13.85546875" bestFit="1" customWidth="1"/>
    <col min="10" max="10" width="19.5703125" bestFit="1" customWidth="1"/>
    <col min="11" max="11" width="27.140625" bestFit="1" customWidth="1"/>
    <col min="12" max="12" width="16.7109375" style="21" bestFit="1" customWidth="1"/>
    <col min="13" max="13" width="18.28515625" style="21" bestFit="1" customWidth="1"/>
    <col min="14" max="14" width="17.5703125" style="21" bestFit="1" customWidth="1"/>
    <col min="15" max="15" width="18" style="21" bestFit="1" customWidth="1"/>
    <col min="16" max="16" width="12.28515625" bestFit="1" customWidth="1"/>
    <col min="17" max="17" width="10.5703125" bestFit="1" customWidth="1"/>
    <col min="18" max="18" width="9.7109375" bestFit="1" customWidth="1"/>
    <col min="19" max="19" width="13.140625" bestFit="1" customWidth="1"/>
    <col min="20" max="20" width="13.7109375" bestFit="1" customWidth="1"/>
    <col min="21" max="21" width="23" bestFit="1" customWidth="1"/>
    <col min="22" max="22" width="25.5703125" bestFit="1" customWidth="1"/>
    <col min="23" max="23" width="21.140625" bestFit="1" customWidth="1"/>
    <col min="24" max="24" width="13.85546875" bestFit="1" customWidth="1"/>
    <col min="25" max="25" width="19.5703125" bestFit="1" customWidth="1"/>
    <col min="26" max="26" width="27.140625" bestFit="1" customWidth="1"/>
    <col min="27" max="27" width="16.7109375" bestFit="1" customWidth="1"/>
    <col min="28" max="28" width="18.28515625" bestFit="1" customWidth="1"/>
    <col min="29" max="29" width="17.5703125" bestFit="1" customWidth="1"/>
    <col min="30" max="30" width="17" bestFit="1" customWidth="1"/>
    <col min="31" max="31" width="11.42578125" hidden="1" customWidth="1"/>
    <col min="32" max="16384" width="11.42578125" hidden="1"/>
  </cols>
  <sheetData>
    <row r="1" spans="1:15" ht="21" customHeight="1" x14ac:dyDescent="0.25">
      <c r="G1" s="14">
        <f>MONTH(I2)</f>
        <v>8</v>
      </c>
      <c r="H1" s="79" t="s">
        <v>4</v>
      </c>
      <c r="I1" s="80"/>
      <c r="J1" s="46"/>
    </row>
    <row r="2" spans="1:15" x14ac:dyDescent="0.25">
      <c r="H2" s="15" t="s">
        <v>5</v>
      </c>
      <c r="I2" s="16">
        <v>46235</v>
      </c>
      <c r="J2" s="47"/>
    </row>
    <row r="3" spans="1:15" x14ac:dyDescent="0.25">
      <c r="H3" s="6" t="s">
        <v>2</v>
      </c>
      <c r="I3" s="18">
        <f>SUMIFS($O$9:$O$4483,$A$9:$A$4483,$I$2,$E$9:$E$4483,"SALDO INICIAL")</f>
        <v>5780309532.5808172</v>
      </c>
      <c r="J3" s="48"/>
    </row>
    <row r="4" spans="1:15" x14ac:dyDescent="0.25">
      <c r="H4" s="6" t="s">
        <v>6</v>
      </c>
      <c r="I4" s="18">
        <f>SUMIFS($L$9:$L$4483,$E$9:$E$4483,"INGRESOS",$B$9:$B$4483,$G$1)</f>
        <v>3818517887.9898367</v>
      </c>
      <c r="J4" s="48"/>
    </row>
    <row r="5" spans="1:15" x14ac:dyDescent="0.25">
      <c r="H5" s="6" t="s">
        <v>7</v>
      </c>
      <c r="I5" s="18">
        <f>SUMIFS($M$9:$M$4483,$E$9:$E$4483,"EGRESOS",$B$9:$B$4483,$G$1)</f>
        <v>5017268802.7744226</v>
      </c>
      <c r="J5" s="48"/>
    </row>
    <row r="6" spans="1:15" x14ac:dyDescent="0.25">
      <c r="H6" s="17" t="s">
        <v>8</v>
      </c>
      <c r="I6" s="19">
        <f>+I3+I4-I5</f>
        <v>4581558617.7962313</v>
      </c>
      <c r="J6" s="49"/>
    </row>
    <row r="8" spans="1:15" ht="33" customHeight="1" x14ac:dyDescent="0.25">
      <c r="A8" s="7" t="s">
        <v>9</v>
      </c>
      <c r="B8" s="8" t="s">
        <v>10</v>
      </c>
      <c r="C8" s="8" t="s">
        <v>11</v>
      </c>
      <c r="D8" s="8" t="s">
        <v>12</v>
      </c>
      <c r="E8" s="8" t="s">
        <v>13</v>
      </c>
      <c r="F8" s="9" t="s">
        <v>14</v>
      </c>
      <c r="G8" s="8" t="s">
        <v>15</v>
      </c>
      <c r="H8" s="8" t="s">
        <v>16</v>
      </c>
      <c r="I8" s="42" t="s">
        <v>17</v>
      </c>
      <c r="J8" s="42" t="s">
        <v>18</v>
      </c>
      <c r="K8" s="10" t="s">
        <v>19</v>
      </c>
      <c r="L8" s="11" t="s">
        <v>6</v>
      </c>
      <c r="M8" s="11" t="s">
        <v>7</v>
      </c>
      <c r="N8" s="11" t="s">
        <v>20</v>
      </c>
      <c r="O8" s="11" t="s">
        <v>21</v>
      </c>
    </row>
    <row r="9" spans="1:15" x14ac:dyDescent="0.25">
      <c r="A9" s="13">
        <v>46023</v>
      </c>
      <c r="B9" s="12">
        <f>MONTH(Movimientos_2026[[#This Row],[Fecha]])</f>
        <v>1</v>
      </c>
      <c r="C9" s="12" t="str">
        <f>VLOOKUP((WEEKDAY(Movimientos_2026[[#This Row],[Fecha]],2)),'5. Setup'!$D$6:$E$12,2,FALSE)</f>
        <v>Jue</v>
      </c>
      <c r="D9">
        <v>3000000</v>
      </c>
      <c r="E9" t="str">
        <f>IFERROR(+VLOOKUP(Movimientos_2026[[#This Row],[Codigo]],Plan_cuentas[],2,FALSE)," ")</f>
        <v>SALDO INICIAL</v>
      </c>
      <c r="F9" t="str">
        <f>IFERROR(+VLOOKUP(Movimientos_2026[[#This Row],[Codigo]],Plan_cuentas[],3,FALSE)," ")</f>
        <v xml:space="preserve"> </v>
      </c>
      <c r="G9" t="str">
        <f>IFERROR(+VLOOKUP(Movimientos_2026[[#This Row],[Codigo]],Plan_cuentas[],4,FALSE)," ")</f>
        <v xml:space="preserve"> </v>
      </c>
      <c r="H9" t="str">
        <f>IFERROR(+VLOOKUP(Movimientos_2026[[#This Row],[Codigo]],Plan_cuentas[],5,FALSE)," ")</f>
        <v xml:space="preserve"> </v>
      </c>
      <c r="K9" t="str">
        <f>IFERROR(+VLOOKUP(Movimientos_2026[[#This Row],[Codigo]],Plan_cuentas[],6,FALSE)," ")</f>
        <v xml:space="preserve">     </v>
      </c>
      <c r="L9" s="50"/>
      <c r="M9" s="50"/>
      <c r="N9" s="20"/>
      <c r="O9" s="20">
        <v>4026559657.4844971</v>
      </c>
    </row>
    <row r="10" spans="1:15" x14ac:dyDescent="0.25">
      <c r="A10" s="13">
        <v>46024</v>
      </c>
      <c r="B10" s="12">
        <f>MONTH(Movimientos_2026[[#This Row],[Fecha]])</f>
        <v>1</v>
      </c>
      <c r="C10" s="12" t="str">
        <f>VLOOKUP((WEEKDAY(Movimientos_2026[[#This Row],[Fecha]],2)),'5. Setup'!$D$6:$E$12,2,FALSE)</f>
        <v>Vie</v>
      </c>
      <c r="D10">
        <v>1045451</v>
      </c>
      <c r="E10" t="str">
        <f>IFERROR(+VLOOKUP(Movimientos_2026[[#This Row],[Codigo]],Plan_cuentas[],2,FALSE)," ")</f>
        <v>INGRESOS</v>
      </c>
      <c r="F10" t="str">
        <f>IFERROR(+VLOOKUP(Movimientos_2026[[#This Row],[Codigo]],Plan_cuentas[],3,FALSE)," ")</f>
        <v>Transferencia</v>
      </c>
      <c r="G10" t="str">
        <f>IFERROR(+VLOOKUP(Movimientos_2026[[#This Row],[Codigo]],Plan_cuentas[],4,FALSE)," ")</f>
        <v>Factura</v>
      </c>
      <c r="H10" t="str">
        <f>IFERROR(+VLOOKUP(Movimientos_2026[[#This Row],[Codigo]],Plan_cuentas[],5,FALSE)," ")</f>
        <v>FC DERECHOS</v>
      </c>
      <c r="I10" s="43">
        <v>45962</v>
      </c>
      <c r="J10" t="s">
        <v>22</v>
      </c>
      <c r="K10" t="str">
        <f>IFERROR(+VLOOKUP(Movimientos_2026[[#This Row],[Codigo]],Plan_cuentas[],6,FALSE)," ")</f>
        <v>1 - VW - Volkswagen</v>
      </c>
      <c r="L10" s="50">
        <v>57752270.539999999</v>
      </c>
      <c r="M10" s="50"/>
      <c r="N10" s="20">
        <f>+Movimientos_2026[[#This Row],[Ingresos]]-Movimientos_2026[[#This Row],[Egresos]]</f>
        <v>57752270.539999999</v>
      </c>
      <c r="O10" s="20">
        <f>+O9+Movimientos_2026[[#This Row],[Neto]]</f>
        <v>4084311928.024497</v>
      </c>
    </row>
    <row r="11" spans="1:15" x14ac:dyDescent="0.25">
      <c r="A11" s="13">
        <v>46024</v>
      </c>
      <c r="B11" s="12">
        <f>MONTH(Movimientos_2026[[#This Row],[Fecha]])</f>
        <v>1</v>
      </c>
      <c r="C11" s="12" t="str">
        <f>VLOOKUP((WEEKDAY(Movimientos_2026[[#This Row],[Fecha]],2)),'5. Setup'!$D$6:$E$12,2,FALSE)</f>
        <v>Vie</v>
      </c>
      <c r="D11">
        <v>1045451</v>
      </c>
      <c r="E11" t="str">
        <f>IFERROR(+VLOOKUP(Movimientos_2026[[#This Row],[Codigo]],Plan_cuentas[],2,FALSE)," ")</f>
        <v>INGRESOS</v>
      </c>
      <c r="F11" t="str">
        <f>IFERROR(+VLOOKUP(Movimientos_2026[[#This Row],[Codigo]],Plan_cuentas[],3,FALSE)," ")</f>
        <v>Transferencia</v>
      </c>
      <c r="G11" t="str">
        <f>IFERROR(+VLOOKUP(Movimientos_2026[[#This Row],[Codigo]],Plan_cuentas[],4,FALSE)," ")</f>
        <v>Factura</v>
      </c>
      <c r="H11" t="str">
        <f>IFERROR(+VLOOKUP(Movimientos_2026[[#This Row],[Codigo]],Plan_cuentas[],5,FALSE)," ")</f>
        <v>FC DERECHOS</v>
      </c>
      <c r="I11" s="43">
        <v>45962</v>
      </c>
      <c r="J11" s="53" t="s">
        <v>23</v>
      </c>
      <c r="K11" t="str">
        <f>IFERROR(+VLOOKUP(Movimientos_2026[[#This Row],[Codigo]],Plan_cuentas[],6,FALSE)," ")</f>
        <v>1 - VW - Volkswagen</v>
      </c>
      <c r="L11" s="51">
        <v>1528951.03</v>
      </c>
      <c r="M11" s="52"/>
      <c r="N11" s="20">
        <f>+Movimientos_2026[[#This Row],[Ingresos]]-Movimientos_2026[[#This Row],[Egresos]]</f>
        <v>1528951.03</v>
      </c>
      <c r="O11" s="20">
        <f>+O10+Movimientos_2026[[#This Row],[Neto]]</f>
        <v>4085840879.0544972</v>
      </c>
    </row>
    <row r="12" spans="1:15" x14ac:dyDescent="0.25">
      <c r="A12" s="13">
        <v>46024</v>
      </c>
      <c r="B12" s="12">
        <f>MONTH(Movimientos_2026[[#This Row],[Fecha]])</f>
        <v>1</v>
      </c>
      <c r="C12" s="12" t="str">
        <f>VLOOKUP((WEEKDAY(Movimientos_2026[[#This Row],[Fecha]],2)),'5. Setup'!$D$6:$E$12,2,FALSE)</f>
        <v>Vie</v>
      </c>
      <c r="D12">
        <v>1044312</v>
      </c>
      <c r="E12" t="str">
        <f>IFERROR(+VLOOKUP(Movimientos_2026[[#This Row],[Codigo]],Plan_cuentas[],2,FALSE)," ")</f>
        <v>INGRESOS</v>
      </c>
      <c r="F12" t="str">
        <f>IFERROR(+VLOOKUP(Movimientos_2026[[#This Row],[Codigo]],Plan_cuentas[],3,FALSE)," ")</f>
        <v>Transferencia</v>
      </c>
      <c r="G12" t="str">
        <f>IFERROR(+VLOOKUP(Movimientos_2026[[#This Row],[Codigo]],Plan_cuentas[],4,FALSE)," ")</f>
        <v>Rentas</v>
      </c>
      <c r="H12" t="str">
        <f>IFERROR(+VLOOKUP(Movimientos_2026[[#This Row],[Codigo]],Plan_cuentas[],5,FALSE)," ")</f>
        <v>NEUQUEN 1° Q</v>
      </c>
      <c r="I12" s="43">
        <v>45992</v>
      </c>
      <c r="J12" t="s">
        <v>24</v>
      </c>
      <c r="K12" t="str">
        <f>IFERROR(+VLOOKUP(Movimientos_2026[[#This Row],[Codigo]],Plan_cuentas[],6,FALSE)," ")</f>
        <v>2 - PR - Plan Rombo</v>
      </c>
      <c r="L12" s="51">
        <v>17531900</v>
      </c>
      <c r="M12" s="52"/>
      <c r="N12" s="20">
        <f>+Movimientos_2026[[#This Row],[Ingresos]]-Movimientos_2026[[#This Row],[Egresos]]</f>
        <v>17531900</v>
      </c>
      <c r="O12" s="20">
        <f>+O11+Movimientos_2026[[#This Row],[Neto]]</f>
        <v>4103372779.0544972</v>
      </c>
    </row>
    <row r="13" spans="1:15" x14ac:dyDescent="0.25">
      <c r="A13" s="13">
        <v>46024</v>
      </c>
      <c r="B13" s="12">
        <f>MONTH(Movimientos_2026[[#This Row],[Fecha]])</f>
        <v>1</v>
      </c>
      <c r="C13" s="12" t="str">
        <f>VLOOKUP((WEEKDAY(Movimientos_2026[[#This Row],[Fecha]],2)),'5. Setup'!$D$6:$E$12,2,FALSE)</f>
        <v>Vie</v>
      </c>
      <c r="D13">
        <v>1044202</v>
      </c>
      <c r="E13" t="str">
        <f>IFERROR(+VLOOKUP(Movimientos_2026[[#This Row],[Codigo]],Plan_cuentas[],2,FALSE)," ")</f>
        <v>INGRESOS</v>
      </c>
      <c r="F13" t="str">
        <f>IFERROR(+VLOOKUP(Movimientos_2026[[#This Row],[Codigo]],Plan_cuentas[],3,FALSE)," ")</f>
        <v>Transferencia</v>
      </c>
      <c r="G13" t="str">
        <f>IFERROR(+VLOOKUP(Movimientos_2026[[#This Row],[Codigo]],Plan_cuentas[],4,FALSE)," ")</f>
        <v>Rentas</v>
      </c>
      <c r="H13" t="str">
        <f>IFERROR(+VLOOKUP(Movimientos_2026[[#This Row],[Codigo]],Plan_cuentas[],5,FALSE)," ")</f>
        <v>CORRIENTES 1° Q</v>
      </c>
      <c r="I13" s="43">
        <v>45992</v>
      </c>
      <c r="J13" t="s">
        <v>24</v>
      </c>
      <c r="K13" t="str">
        <f>IFERROR(+VLOOKUP(Movimientos_2026[[#This Row],[Codigo]],Plan_cuentas[],6,FALSE)," ")</f>
        <v>2 - PR - Plan Rombo</v>
      </c>
      <c r="L13" s="50">
        <v>52242496.609999999</v>
      </c>
      <c r="M13" s="52"/>
      <c r="N13" s="20">
        <f>+Movimientos_2026[[#This Row],[Ingresos]]-Movimientos_2026[[#This Row],[Egresos]]</f>
        <v>52242496.609999999</v>
      </c>
      <c r="O13" s="20">
        <f>+O12+Movimientos_2026[[#This Row],[Neto]]</f>
        <v>4155615275.6644974</v>
      </c>
    </row>
    <row r="14" spans="1:15" x14ac:dyDescent="0.25">
      <c r="A14" s="13">
        <v>46024</v>
      </c>
      <c r="B14" s="12">
        <f>MONTH(Movimientos_2026[[#This Row],[Fecha]])</f>
        <v>1</v>
      </c>
      <c r="C14" s="12" t="str">
        <f>VLOOKUP((WEEKDAY(Movimientos_2026[[#This Row],[Fecha]],2)),'5. Setup'!$D$6:$E$12,2,FALSE)</f>
        <v>Vie</v>
      </c>
      <c r="D14">
        <v>1044462</v>
      </c>
      <c r="E14" t="str">
        <f>IFERROR(+VLOOKUP(Movimientos_2026[[#This Row],[Codigo]],Plan_cuentas[],2,FALSE)," ")</f>
        <v>INGRESOS</v>
      </c>
      <c r="F14" t="str">
        <f>IFERROR(+VLOOKUP(Movimientos_2026[[#This Row],[Codigo]],Plan_cuentas[],3,FALSE)," ")</f>
        <v>Transferencia</v>
      </c>
      <c r="G14" t="str">
        <f>IFERROR(+VLOOKUP(Movimientos_2026[[#This Row],[Codigo]],Plan_cuentas[],4,FALSE)," ")</f>
        <v>Rentas</v>
      </c>
      <c r="H14" t="str">
        <f>IFERROR(+VLOOKUP(Movimientos_2026[[#This Row],[Codigo]],Plan_cuentas[],5,FALSE)," ")</f>
        <v>MISIONES</v>
      </c>
      <c r="I14" s="43">
        <v>45992</v>
      </c>
      <c r="J14" t="s">
        <v>24</v>
      </c>
      <c r="K14" t="str">
        <f>IFERROR(+VLOOKUP(Movimientos_2026[[#This Row],[Codigo]],Plan_cuentas[],6,FALSE)," ")</f>
        <v>2 - PR - Plan Rombo</v>
      </c>
      <c r="L14" s="50">
        <v>6273902.4199999999</v>
      </c>
      <c r="M14" s="52"/>
      <c r="N14" s="20">
        <f>+Movimientos_2026[[#This Row],[Ingresos]]-Movimientos_2026[[#This Row],[Egresos]]</f>
        <v>6273902.4199999999</v>
      </c>
      <c r="O14" s="20">
        <f>+O13+Movimientos_2026[[#This Row],[Neto]]</f>
        <v>4161889178.0844975</v>
      </c>
    </row>
    <row r="15" spans="1:15" x14ac:dyDescent="0.25">
      <c r="A15" s="13">
        <v>46024</v>
      </c>
      <c r="B15" s="12">
        <f>MONTH(Movimientos_2026[[#This Row],[Fecha]])</f>
        <v>1</v>
      </c>
      <c r="C15" s="12" t="str">
        <f>VLOOKUP((WEEKDAY(Movimientos_2026[[#This Row],[Fecha]],2)),'5. Setup'!$D$6:$E$12,2,FALSE)</f>
        <v>Vie</v>
      </c>
      <c r="D15">
        <v>1043141</v>
      </c>
      <c r="E15" t="str">
        <f>IFERROR(+VLOOKUP(Movimientos_2026[[#This Row],[Codigo]],Plan_cuentas[],2,FALSE)," ")</f>
        <v>INGRESOS</v>
      </c>
      <c r="F15" t="str">
        <f>IFERROR(+VLOOKUP(Movimientos_2026[[#This Row],[Codigo]],Plan_cuentas[],3,FALSE)," ")</f>
        <v>Transferencia</v>
      </c>
      <c r="G15" t="str">
        <f>IFERROR(+VLOOKUP(Movimientos_2026[[#This Row],[Codigo]],Plan_cuentas[],4,FALSE)," ")</f>
        <v>Registración</v>
      </c>
      <c r="H15" t="str">
        <f>IFERROR(+VLOOKUP(Movimientos_2026[[#This Row],[Codigo]],Plan_cuentas[],5,FALSE)," ")</f>
        <v>BUENOS AIRES</v>
      </c>
      <c r="I15" s="43">
        <v>45962</v>
      </c>
      <c r="J15" t="s">
        <v>25</v>
      </c>
      <c r="K15" t="str">
        <f>IFERROR(+VLOOKUP(Movimientos_2026[[#This Row],[Codigo]],Plan_cuentas[],6,FALSE)," ")</f>
        <v>1 - VW - Volkswagen</v>
      </c>
      <c r="L15" s="50">
        <v>80211486.864999995</v>
      </c>
      <c r="M15" s="52"/>
      <c r="N15" s="20">
        <f>+Movimientos_2026[[#This Row],[Ingresos]]-Movimientos_2026[[#This Row],[Egresos]]</f>
        <v>80211486.864999995</v>
      </c>
      <c r="O15" s="20">
        <f>+O14+Movimientos_2026[[#This Row],[Neto]]</f>
        <v>4242100664.9494972</v>
      </c>
    </row>
    <row r="16" spans="1:15" x14ac:dyDescent="0.25">
      <c r="A16" s="13">
        <v>46024</v>
      </c>
      <c r="B16" s="12">
        <f>MONTH(Movimientos_2026[[#This Row],[Fecha]])</f>
        <v>1</v>
      </c>
      <c r="C16" s="12" t="str">
        <f>VLOOKUP((WEEKDAY(Movimientos_2026[[#This Row],[Fecha]],2)),'5. Setup'!$D$6:$E$12,2,FALSE)</f>
        <v>Vie</v>
      </c>
      <c r="D16">
        <v>1042111</v>
      </c>
      <c r="E16" t="str">
        <f>IFERROR(+VLOOKUP(Movimientos_2026[[#This Row],[Codigo]],Plan_cuentas[],2,FALSE)," ")</f>
        <v>INGRESOS</v>
      </c>
      <c r="F16" t="str">
        <f>IFERROR(+VLOOKUP(Movimientos_2026[[#This Row],[Codigo]],Plan_cuentas[],3,FALSE)," ")</f>
        <v>Transferencia</v>
      </c>
      <c r="G16" t="str">
        <f>IFERROR(+VLOOKUP(Movimientos_2026[[#This Row],[Codigo]],Plan_cuentas[],4,FALSE)," ")</f>
        <v>Entidades tercerizadas</v>
      </c>
      <c r="H16" t="str">
        <f>IFERROR(+VLOOKUP(Movimientos_2026[[#This Row],[Codigo]],Plan_cuentas[],5,FALSE)," ")</f>
        <v>APESI</v>
      </c>
      <c r="I16" s="43">
        <v>45962</v>
      </c>
      <c r="J16" t="s">
        <v>25</v>
      </c>
      <c r="K16" t="str">
        <f>IFERROR(+VLOOKUP(Movimientos_2026[[#This Row],[Codigo]],Plan_cuentas[],6,FALSE)," ")</f>
        <v>1 - VW - Volkswagen</v>
      </c>
      <c r="L16" s="50">
        <v>80211486.864999995</v>
      </c>
      <c r="M16" s="52"/>
      <c r="N16" s="20">
        <f>+Movimientos_2026[[#This Row],[Ingresos]]-Movimientos_2026[[#This Row],[Egresos]]</f>
        <v>80211486.864999995</v>
      </c>
      <c r="O16" s="20">
        <f>+O15+Movimientos_2026[[#This Row],[Neto]]</f>
        <v>4322312151.814497</v>
      </c>
    </row>
    <row r="17" spans="1:15" x14ac:dyDescent="0.25">
      <c r="A17" s="13">
        <v>46024</v>
      </c>
      <c r="B17" s="12">
        <f>MONTH(Movimientos_2026[[#This Row],[Fecha]])</f>
        <v>1</v>
      </c>
      <c r="C17" s="12" t="str">
        <f>VLOOKUP((WEEKDAY(Movimientos_2026[[#This Row],[Fecha]],2)),'5. Setup'!$D$6:$E$12,2,FALSE)</f>
        <v>Vie</v>
      </c>
      <c r="D17">
        <v>1041431</v>
      </c>
      <c r="E17" t="str">
        <f>IFERROR(+VLOOKUP(Movimientos_2026[[#This Row],[Codigo]],Plan_cuentas[],2,FALSE)," ")</f>
        <v>INGRESOS</v>
      </c>
      <c r="F17" t="str">
        <f>IFERROR(+VLOOKUP(Movimientos_2026[[#This Row],[Codigo]],Plan_cuentas[],3,FALSE)," ")</f>
        <v>Transferencia</v>
      </c>
      <c r="G17" t="str">
        <f>IFERROR(+VLOOKUP(Movimientos_2026[[#This Row],[Codigo]],Plan_cuentas[],4,FALSE)," ")</f>
        <v>Entidades co-participadas</v>
      </c>
      <c r="H17" t="str">
        <f>IFERROR(+VLOOKUP(Movimientos_2026[[#This Row],[Codigo]],Plan_cuentas[],5,FALSE)," ")</f>
        <v>UEDA</v>
      </c>
      <c r="I17" s="43">
        <v>45962</v>
      </c>
      <c r="J17" t="s">
        <v>25</v>
      </c>
      <c r="K17" t="str">
        <f>IFERROR(+VLOOKUP(Movimientos_2026[[#This Row],[Codigo]],Plan_cuentas[],6,FALSE)," ")</f>
        <v>1 - VW - Volkswagen</v>
      </c>
      <c r="L17" s="50">
        <v>80211486.864999995</v>
      </c>
      <c r="M17" s="52"/>
      <c r="N17" s="20">
        <f>+Movimientos_2026[[#This Row],[Ingresos]]-Movimientos_2026[[#This Row],[Egresos]]</f>
        <v>80211486.864999995</v>
      </c>
      <c r="O17" s="20">
        <f>+O16+Movimientos_2026[[#This Row],[Neto]]</f>
        <v>4402523638.6794968</v>
      </c>
    </row>
    <row r="18" spans="1:15" x14ac:dyDescent="0.25">
      <c r="A18" s="13">
        <v>46024</v>
      </c>
      <c r="B18" s="12">
        <f>MONTH(Movimientos_2026[[#This Row],[Fecha]])</f>
        <v>1</v>
      </c>
      <c r="C18" s="12" t="str">
        <f>VLOOKUP((WEEKDAY(Movimientos_2026[[#This Row],[Fecha]],2)),'5. Setup'!$D$6:$E$12,2,FALSE)</f>
        <v>Vie</v>
      </c>
      <c r="D18">
        <v>1041441</v>
      </c>
      <c r="E18" t="str">
        <f>IFERROR(+VLOOKUP(Movimientos_2026[[#This Row],[Codigo]],Plan_cuentas[],2,FALSE)," ")</f>
        <v>INGRESOS</v>
      </c>
      <c r="F18" t="str">
        <f>IFERROR(+VLOOKUP(Movimientos_2026[[#This Row],[Codigo]],Plan_cuentas[],3,FALSE)," ")</f>
        <v>Transferencia</v>
      </c>
      <c r="G18" t="str">
        <f>IFERROR(+VLOOKUP(Movimientos_2026[[#This Row],[Codigo]],Plan_cuentas[],4,FALSE)," ")</f>
        <v>Entidades co-participadas</v>
      </c>
      <c r="H18" t="str">
        <f>IFERROR(+VLOOKUP(Movimientos_2026[[#This Row],[Codigo]],Plan_cuentas[],5,FALSE)," ")</f>
        <v>UISCUMARR</v>
      </c>
      <c r="I18" s="43">
        <v>45962</v>
      </c>
      <c r="J18" t="s">
        <v>25</v>
      </c>
      <c r="K18" t="str">
        <f>IFERROR(+VLOOKUP(Movimientos_2026[[#This Row],[Codigo]],Plan_cuentas[],6,FALSE)," ")</f>
        <v>1 - VW - Volkswagen</v>
      </c>
      <c r="L18" s="50">
        <v>80211486.864999995</v>
      </c>
      <c r="M18" s="52"/>
      <c r="N18" s="20">
        <f>+Movimientos_2026[[#This Row],[Ingresos]]-Movimientos_2026[[#This Row],[Egresos]]</f>
        <v>80211486.864999995</v>
      </c>
      <c r="O18" s="20">
        <f>+O17+Movimientos_2026[[#This Row],[Neto]]</f>
        <v>4482735125.5444965</v>
      </c>
    </row>
    <row r="19" spans="1:15" x14ac:dyDescent="0.25">
      <c r="A19" s="13">
        <v>46024</v>
      </c>
      <c r="B19" s="12">
        <f>MONTH(Movimientos_2026[[#This Row],[Fecha]])</f>
        <v>1</v>
      </c>
      <c r="C19" s="12" t="str">
        <f>VLOOKUP((WEEKDAY(Movimientos_2026[[#This Row],[Fecha]],2)),'5. Setup'!$D$6:$E$12,2,FALSE)</f>
        <v>Vie</v>
      </c>
      <c r="D19">
        <v>1043141</v>
      </c>
      <c r="E19" t="str">
        <f>IFERROR(+VLOOKUP(Movimientos_2026[[#This Row],[Codigo]],Plan_cuentas[],2,FALSE)," ")</f>
        <v>INGRESOS</v>
      </c>
      <c r="F19" t="str">
        <f>IFERROR(+VLOOKUP(Movimientos_2026[[#This Row],[Codigo]],Plan_cuentas[],3,FALSE)," ")</f>
        <v>Transferencia</v>
      </c>
      <c r="G19" t="str">
        <f>IFERROR(+VLOOKUP(Movimientos_2026[[#This Row],[Codigo]],Plan_cuentas[],4,FALSE)," ")</f>
        <v>Registración</v>
      </c>
      <c r="H19" t="str">
        <f>IFERROR(+VLOOKUP(Movimientos_2026[[#This Row],[Codigo]],Plan_cuentas[],5,FALSE)," ")</f>
        <v>BUENOS AIRES</v>
      </c>
      <c r="I19" s="43">
        <v>45962</v>
      </c>
      <c r="J19" s="53" t="s">
        <v>25</v>
      </c>
      <c r="K19" t="str">
        <f>IFERROR(+VLOOKUP(Movimientos_2026[[#This Row],[Codigo]],Plan_cuentas[],6,FALSE)," ")</f>
        <v>1 - VW - Volkswagen</v>
      </c>
      <c r="L19" s="51">
        <v>8494172.4000000004</v>
      </c>
      <c r="M19" s="52"/>
      <c r="N19" s="20">
        <f>+Movimientos_2026[[#This Row],[Ingresos]]-Movimientos_2026[[#This Row],[Egresos]]</f>
        <v>8494172.4000000004</v>
      </c>
      <c r="O19" s="20">
        <f>+O18+Movimientos_2026[[#This Row],[Neto]]</f>
        <v>4491229297.9444962</v>
      </c>
    </row>
    <row r="20" spans="1:15" x14ac:dyDescent="0.25">
      <c r="A20" s="13">
        <v>46024</v>
      </c>
      <c r="B20" s="12">
        <f>MONTH(Movimientos_2026[[#This Row],[Fecha]])</f>
        <v>1</v>
      </c>
      <c r="C20" s="12" t="str">
        <f>VLOOKUP((WEEKDAY(Movimientos_2026[[#This Row],[Fecha]],2)),'5. Setup'!$D$6:$E$12,2,FALSE)</f>
        <v>Vie</v>
      </c>
      <c r="D20">
        <v>1044371</v>
      </c>
      <c r="E20" t="str">
        <f>IFERROR(+VLOOKUP(Movimientos_2026[[#This Row],[Codigo]],Plan_cuentas[],2,FALSE)," ")</f>
        <v>INGRESOS</v>
      </c>
      <c r="F20" t="str">
        <f>IFERROR(+VLOOKUP(Movimientos_2026[[#This Row],[Codigo]],Plan_cuentas[],3,FALSE)," ")</f>
        <v>Transferencia</v>
      </c>
      <c r="G20" t="str">
        <f>IFERROR(+VLOOKUP(Movimientos_2026[[#This Row],[Codigo]],Plan_cuentas[],4,FALSE)," ")</f>
        <v>Rentas</v>
      </c>
      <c r="H20" t="str">
        <f>IFERROR(+VLOOKUP(Movimientos_2026[[#This Row],[Codigo]],Plan_cuentas[],5,FALSE)," ")</f>
        <v>SANTA CRUZ</v>
      </c>
      <c r="I20" s="43">
        <v>45566</v>
      </c>
      <c r="J20" s="53" t="s">
        <v>25</v>
      </c>
      <c r="K20" t="str">
        <f>IFERROR(+VLOOKUP(Movimientos_2026[[#This Row],[Codigo]],Plan_cuentas[],6,FALSE)," ")</f>
        <v>1 - VW - Volkswagen</v>
      </c>
      <c r="L20" s="50">
        <v>4227608.1399999997</v>
      </c>
      <c r="M20" s="52"/>
      <c r="N20" s="20">
        <f>+Movimientos_2026[[#This Row],[Ingresos]]-Movimientos_2026[[#This Row],[Egresos]]</f>
        <v>4227608.1399999997</v>
      </c>
      <c r="O20" s="20">
        <f>+O19+Movimientos_2026[[#This Row],[Neto]]</f>
        <v>4495456906.0844965</v>
      </c>
    </row>
    <row r="21" spans="1:15" x14ac:dyDescent="0.25">
      <c r="A21" s="13">
        <v>46024</v>
      </c>
      <c r="B21" s="12">
        <f>MONTH(Movimientos_2026[[#This Row],[Fecha]])</f>
        <v>1</v>
      </c>
      <c r="C21" s="12" t="str">
        <f>VLOOKUP((WEEKDAY(Movimientos_2026[[#This Row],[Fecha]],2)),'5. Setup'!$D$6:$E$12,2,FALSE)</f>
        <v>Vie</v>
      </c>
      <c r="D21">
        <v>1044371</v>
      </c>
      <c r="E21" t="str">
        <f>IFERROR(+VLOOKUP(Movimientos_2026[[#This Row],[Codigo]],Plan_cuentas[],2,FALSE)," ")</f>
        <v>INGRESOS</v>
      </c>
      <c r="F21" t="str">
        <f>IFERROR(+VLOOKUP(Movimientos_2026[[#This Row],[Codigo]],Plan_cuentas[],3,FALSE)," ")</f>
        <v>Transferencia</v>
      </c>
      <c r="G21" t="str">
        <f>IFERROR(+VLOOKUP(Movimientos_2026[[#This Row],[Codigo]],Plan_cuentas[],4,FALSE)," ")</f>
        <v>Rentas</v>
      </c>
      <c r="H21" t="str">
        <f>IFERROR(+VLOOKUP(Movimientos_2026[[#This Row],[Codigo]],Plan_cuentas[],5,FALSE)," ")</f>
        <v>SANTA CRUZ</v>
      </c>
      <c r="I21" s="43">
        <v>45627</v>
      </c>
      <c r="J21" s="53" t="s">
        <v>25</v>
      </c>
      <c r="K21" t="str">
        <f>IFERROR(+VLOOKUP(Movimientos_2026[[#This Row],[Codigo]],Plan_cuentas[],6,FALSE)," ")</f>
        <v>1 - VW - Volkswagen</v>
      </c>
      <c r="L21" s="50">
        <v>2307535.86</v>
      </c>
      <c r="M21" s="52"/>
      <c r="N21" s="20">
        <f>+Movimientos_2026[[#This Row],[Ingresos]]-Movimientos_2026[[#This Row],[Egresos]]</f>
        <v>2307535.86</v>
      </c>
      <c r="O21" s="20">
        <f>+O20+Movimientos_2026[[#This Row],[Neto]]</f>
        <v>4497764441.9444962</v>
      </c>
    </row>
    <row r="22" spans="1:15" x14ac:dyDescent="0.25">
      <c r="A22" s="13">
        <v>46024</v>
      </c>
      <c r="B22" s="12">
        <f>MONTH(Movimientos_2026[[#This Row],[Fecha]])</f>
        <v>1</v>
      </c>
      <c r="C22" s="12" t="str">
        <f>VLOOKUP((WEEKDAY(Movimientos_2026[[#This Row],[Fecha]],2)),'5. Setup'!$D$6:$E$12,2,FALSE)</f>
        <v>Vie</v>
      </c>
      <c r="D22">
        <v>1044371</v>
      </c>
      <c r="E22" t="str">
        <f>IFERROR(+VLOOKUP(Movimientos_2026[[#This Row],[Codigo]],Plan_cuentas[],2,FALSE)," ")</f>
        <v>INGRESOS</v>
      </c>
      <c r="F22" t="str">
        <f>IFERROR(+VLOOKUP(Movimientos_2026[[#This Row],[Codigo]],Plan_cuentas[],3,FALSE)," ")</f>
        <v>Transferencia</v>
      </c>
      <c r="G22" t="str">
        <f>IFERROR(+VLOOKUP(Movimientos_2026[[#This Row],[Codigo]],Plan_cuentas[],4,FALSE)," ")</f>
        <v>Rentas</v>
      </c>
      <c r="H22" t="str">
        <f>IFERROR(+VLOOKUP(Movimientos_2026[[#This Row],[Codigo]],Plan_cuentas[],5,FALSE)," ")</f>
        <v>SANTA CRUZ</v>
      </c>
      <c r="I22" s="43">
        <v>45597</v>
      </c>
      <c r="J22" s="53" t="s">
        <v>25</v>
      </c>
      <c r="K22" t="str">
        <f>IFERROR(+VLOOKUP(Movimientos_2026[[#This Row],[Codigo]],Plan_cuentas[],6,FALSE)," ")</f>
        <v>1 - VW - Volkswagen</v>
      </c>
      <c r="L22" s="50">
        <v>2849640.47</v>
      </c>
      <c r="M22" s="52"/>
      <c r="N22" s="20">
        <f>+Movimientos_2026[[#This Row],[Ingresos]]-Movimientos_2026[[#This Row],[Egresos]]</f>
        <v>2849640.47</v>
      </c>
      <c r="O22" s="20">
        <f>+O21+Movimientos_2026[[#This Row],[Neto]]</f>
        <v>4500614082.4144964</v>
      </c>
    </row>
    <row r="23" spans="1:15" x14ac:dyDescent="0.25">
      <c r="A23" s="13">
        <v>46024</v>
      </c>
      <c r="B23" s="12">
        <f>MONTH(Movimientos_2026[[#This Row],[Fecha]])</f>
        <v>1</v>
      </c>
      <c r="C23" s="12" t="str">
        <f>VLOOKUP((WEEKDAY(Movimientos_2026[[#This Row],[Fecha]],2)),'5. Setup'!$D$6:$E$12,2,FALSE)</f>
        <v>Vie</v>
      </c>
      <c r="D23">
        <v>1044321</v>
      </c>
      <c r="E23" t="str">
        <f>IFERROR(+VLOOKUP(Movimientos_2026[[#This Row],[Codigo]],Plan_cuentas[],2,FALSE)," ")</f>
        <v>INGRESOS</v>
      </c>
      <c r="F23" t="str">
        <f>IFERROR(+VLOOKUP(Movimientos_2026[[#This Row],[Codigo]],Plan_cuentas[],3,FALSE)," ")</f>
        <v>Transferencia</v>
      </c>
      <c r="G23" t="str">
        <f>IFERROR(+VLOOKUP(Movimientos_2026[[#This Row],[Codigo]],Plan_cuentas[],4,FALSE)," ")</f>
        <v>Rentas</v>
      </c>
      <c r="H23" t="str">
        <f>IFERROR(+VLOOKUP(Movimientos_2026[[#This Row],[Codigo]],Plan_cuentas[],5,FALSE)," ")</f>
        <v>NEUQUEN 2° Q</v>
      </c>
      <c r="I23" s="43">
        <v>45689</v>
      </c>
      <c r="J23" s="53" t="s">
        <v>25</v>
      </c>
      <c r="K23" t="str">
        <f>IFERROR(+VLOOKUP(Movimientos_2026[[#This Row],[Codigo]],Plan_cuentas[],6,FALSE)," ")</f>
        <v>1 - VW - Volkswagen</v>
      </c>
      <c r="L23" s="50">
        <v>11788888.789999999</v>
      </c>
      <c r="M23" s="52"/>
      <c r="N23" s="20">
        <f>+Movimientos_2026[[#This Row],[Ingresos]]-Movimientos_2026[[#This Row],[Egresos]]</f>
        <v>11788888.789999999</v>
      </c>
      <c r="O23" s="20">
        <f>+O22+Movimientos_2026[[#This Row],[Neto]]</f>
        <v>4512402971.2044964</v>
      </c>
    </row>
    <row r="24" spans="1:15" x14ac:dyDescent="0.25">
      <c r="A24" s="13">
        <v>46024</v>
      </c>
      <c r="B24" s="12">
        <f>MONTH(Movimientos_2026[[#This Row],[Fecha]])</f>
        <v>1</v>
      </c>
      <c r="C24" s="12" t="str">
        <f>VLOOKUP((WEEKDAY(Movimientos_2026[[#This Row],[Fecha]],2)),'5. Setup'!$D$6:$E$12,2,FALSE)</f>
        <v>Vie</v>
      </c>
      <c r="D24">
        <v>1043141</v>
      </c>
      <c r="E24" t="str">
        <f>IFERROR(+VLOOKUP(Movimientos_2026[[#This Row],[Codigo]],Plan_cuentas[],2,FALSE)," ")</f>
        <v>INGRESOS</v>
      </c>
      <c r="F24" t="str">
        <f>IFERROR(+VLOOKUP(Movimientos_2026[[#This Row],[Codigo]],Plan_cuentas[],3,FALSE)," ")</f>
        <v>Transferencia</v>
      </c>
      <c r="G24" t="str">
        <f>IFERROR(+VLOOKUP(Movimientos_2026[[#This Row],[Codigo]],Plan_cuentas[],4,FALSE)," ")</f>
        <v>Registración</v>
      </c>
      <c r="H24" t="str">
        <f>IFERROR(+VLOOKUP(Movimientos_2026[[#This Row],[Codigo]],Plan_cuentas[],5,FALSE)," ")</f>
        <v>BUENOS AIRES</v>
      </c>
      <c r="I24" s="43">
        <v>45962</v>
      </c>
      <c r="J24" t="s">
        <v>25</v>
      </c>
      <c r="K24" t="str">
        <f>IFERROR(+VLOOKUP(Movimientos_2026[[#This Row],[Codigo]],Plan_cuentas[],6,FALSE)," ")</f>
        <v>1 - VW - Volkswagen</v>
      </c>
      <c r="L24" s="50">
        <v>59443800.752499998</v>
      </c>
      <c r="M24" s="52"/>
      <c r="N24" s="20">
        <f>+Movimientos_2026[[#This Row],[Ingresos]]-Movimientos_2026[[#This Row],[Egresos]]</f>
        <v>59443800.752499998</v>
      </c>
      <c r="O24" s="20">
        <f>+O23+Movimientos_2026[[#This Row],[Neto]]</f>
        <v>4571846771.956996</v>
      </c>
    </row>
    <row r="25" spans="1:15" x14ac:dyDescent="0.25">
      <c r="A25" s="13">
        <v>46024</v>
      </c>
      <c r="B25" s="12">
        <f>MONTH(Movimientos_2026[[#This Row],[Fecha]])</f>
        <v>1</v>
      </c>
      <c r="C25" s="12" t="str">
        <f>VLOOKUP((WEEKDAY(Movimientos_2026[[#This Row],[Fecha]],2)),'5. Setup'!$D$6:$E$12,2,FALSE)</f>
        <v>Vie</v>
      </c>
      <c r="D25">
        <v>1042111</v>
      </c>
      <c r="E25" t="str">
        <f>IFERROR(+VLOOKUP(Movimientos_2026[[#This Row],[Codigo]],Plan_cuentas[],2,FALSE)," ")</f>
        <v>INGRESOS</v>
      </c>
      <c r="F25" t="str">
        <f>IFERROR(+VLOOKUP(Movimientos_2026[[#This Row],[Codigo]],Plan_cuentas[],3,FALSE)," ")</f>
        <v>Transferencia</v>
      </c>
      <c r="G25" t="str">
        <f>IFERROR(+VLOOKUP(Movimientos_2026[[#This Row],[Codigo]],Plan_cuentas[],4,FALSE)," ")</f>
        <v>Entidades tercerizadas</v>
      </c>
      <c r="H25" t="str">
        <f>IFERROR(+VLOOKUP(Movimientos_2026[[#This Row],[Codigo]],Plan_cuentas[],5,FALSE)," ")</f>
        <v>APESI</v>
      </c>
      <c r="I25" s="43">
        <v>45962</v>
      </c>
      <c r="J25" t="s">
        <v>25</v>
      </c>
      <c r="K25" t="str">
        <f>IFERROR(+VLOOKUP(Movimientos_2026[[#This Row],[Codigo]],Plan_cuentas[],6,FALSE)," ")</f>
        <v>1 - VW - Volkswagen</v>
      </c>
      <c r="L25" s="50">
        <v>59443800.752499998</v>
      </c>
      <c r="M25" s="52"/>
      <c r="N25" s="20">
        <f>+Movimientos_2026[[#This Row],[Ingresos]]-Movimientos_2026[[#This Row],[Egresos]]</f>
        <v>59443800.752499998</v>
      </c>
      <c r="O25" s="20">
        <f>+O24+Movimientos_2026[[#This Row],[Neto]]</f>
        <v>4631290572.7094955</v>
      </c>
    </row>
    <row r="26" spans="1:15" x14ac:dyDescent="0.25">
      <c r="A26" s="13">
        <v>46024</v>
      </c>
      <c r="B26" s="12">
        <f>MONTH(Movimientos_2026[[#This Row],[Fecha]])</f>
        <v>1</v>
      </c>
      <c r="C26" s="12" t="str">
        <f>VLOOKUP((WEEKDAY(Movimientos_2026[[#This Row],[Fecha]],2)),'5. Setup'!$D$6:$E$12,2,FALSE)</f>
        <v>Vie</v>
      </c>
      <c r="D26">
        <v>1041431</v>
      </c>
      <c r="E26" t="str">
        <f>IFERROR(+VLOOKUP(Movimientos_2026[[#This Row],[Codigo]],Plan_cuentas[],2,FALSE)," ")</f>
        <v>INGRESOS</v>
      </c>
      <c r="F26" t="str">
        <f>IFERROR(+VLOOKUP(Movimientos_2026[[#This Row],[Codigo]],Plan_cuentas[],3,FALSE)," ")</f>
        <v>Transferencia</v>
      </c>
      <c r="G26" t="str">
        <f>IFERROR(+VLOOKUP(Movimientos_2026[[#This Row],[Codigo]],Plan_cuentas[],4,FALSE)," ")</f>
        <v>Entidades co-participadas</v>
      </c>
      <c r="H26" t="str">
        <f>IFERROR(+VLOOKUP(Movimientos_2026[[#This Row],[Codigo]],Plan_cuentas[],5,FALSE)," ")</f>
        <v>UEDA</v>
      </c>
      <c r="I26" s="43">
        <v>45962</v>
      </c>
      <c r="J26" t="s">
        <v>25</v>
      </c>
      <c r="K26" t="str">
        <f>IFERROR(+VLOOKUP(Movimientos_2026[[#This Row],[Codigo]],Plan_cuentas[],6,FALSE)," ")</f>
        <v>1 - VW - Volkswagen</v>
      </c>
      <c r="L26" s="50">
        <v>59443800.752499998</v>
      </c>
      <c r="M26" s="52"/>
      <c r="N26" s="20">
        <f>+Movimientos_2026[[#This Row],[Ingresos]]-Movimientos_2026[[#This Row],[Egresos]]</f>
        <v>59443800.752499998</v>
      </c>
      <c r="O26" s="20">
        <f>+O25+Movimientos_2026[[#This Row],[Neto]]</f>
        <v>4690734373.4619951</v>
      </c>
    </row>
    <row r="27" spans="1:15" x14ac:dyDescent="0.25">
      <c r="A27" s="13">
        <v>46024</v>
      </c>
      <c r="B27" s="12">
        <f>MONTH(Movimientos_2026[[#This Row],[Fecha]])</f>
        <v>1</v>
      </c>
      <c r="C27" s="12" t="str">
        <f>VLOOKUP((WEEKDAY(Movimientos_2026[[#This Row],[Fecha]],2)),'5. Setup'!$D$6:$E$12,2,FALSE)</f>
        <v>Vie</v>
      </c>
      <c r="D27">
        <v>1041441</v>
      </c>
      <c r="E27" t="str">
        <f>IFERROR(+VLOOKUP(Movimientos_2026[[#This Row],[Codigo]],Plan_cuentas[],2,FALSE)," ")</f>
        <v>INGRESOS</v>
      </c>
      <c r="F27" t="str">
        <f>IFERROR(+VLOOKUP(Movimientos_2026[[#This Row],[Codigo]],Plan_cuentas[],3,FALSE)," ")</f>
        <v>Transferencia</v>
      </c>
      <c r="G27" t="str">
        <f>IFERROR(+VLOOKUP(Movimientos_2026[[#This Row],[Codigo]],Plan_cuentas[],4,FALSE)," ")</f>
        <v>Entidades co-participadas</v>
      </c>
      <c r="H27" t="str">
        <f>IFERROR(+VLOOKUP(Movimientos_2026[[#This Row],[Codigo]],Plan_cuentas[],5,FALSE)," ")</f>
        <v>UISCUMARR</v>
      </c>
      <c r="I27" s="43">
        <v>45962</v>
      </c>
      <c r="J27" t="s">
        <v>25</v>
      </c>
      <c r="K27" t="str">
        <f>IFERROR(+VLOOKUP(Movimientos_2026[[#This Row],[Codigo]],Plan_cuentas[],6,FALSE)," ")</f>
        <v>1 - VW - Volkswagen</v>
      </c>
      <c r="L27" s="50">
        <v>59443800.752499998</v>
      </c>
      <c r="M27" s="52"/>
      <c r="N27" s="20">
        <f>+Movimientos_2026[[#This Row],[Ingresos]]-Movimientos_2026[[#This Row],[Egresos]]</f>
        <v>59443800.752499998</v>
      </c>
      <c r="O27" s="20">
        <f>+O26+Movimientos_2026[[#This Row],[Neto]]</f>
        <v>4750178174.2144947</v>
      </c>
    </row>
    <row r="28" spans="1:15" x14ac:dyDescent="0.25">
      <c r="A28" s="13">
        <v>46027</v>
      </c>
      <c r="B28" s="12">
        <f>MONTH(Movimientos_2026[[#This Row],[Fecha]])</f>
        <v>1</v>
      </c>
      <c r="C28" s="12" t="str">
        <f>VLOOKUP((WEEKDAY(Movimientos_2026[[#This Row],[Fecha]],2)),'5. Setup'!$D$6:$E$12,2,FALSE)</f>
        <v>Lun</v>
      </c>
      <c r="D28">
        <v>1043153</v>
      </c>
      <c r="E28" t="str">
        <f>IFERROR(+VLOOKUP(Movimientos_2026[[#This Row],[Codigo]],Plan_cuentas[],2,FALSE)," ")</f>
        <v>INGRESOS</v>
      </c>
      <c r="F28" t="str">
        <f>IFERROR(+VLOOKUP(Movimientos_2026[[#This Row],[Codigo]],Plan_cuentas[],3,FALSE)," ")</f>
        <v>Transferencia</v>
      </c>
      <c r="G28" t="str">
        <f>IFERROR(+VLOOKUP(Movimientos_2026[[#This Row],[Codigo]],Plan_cuentas[],4,FALSE)," ")</f>
        <v>Registración</v>
      </c>
      <c r="H28" t="str">
        <f>IFERROR(+VLOOKUP(Movimientos_2026[[#This Row],[Codigo]],Plan_cuentas[],5,FALSE)," ")</f>
        <v>CABA</v>
      </c>
      <c r="I28" s="43">
        <v>45992</v>
      </c>
      <c r="J28" t="s">
        <v>26</v>
      </c>
      <c r="K28" t="str">
        <f>IFERROR(+VLOOKUP(Movimientos_2026[[#This Row],[Codigo]],Plan_cuentas[],6,FALSE)," ")</f>
        <v>3 - GM - Chevrolet</v>
      </c>
      <c r="L28" s="50">
        <v>248175.86</v>
      </c>
      <c r="M28" s="52"/>
      <c r="N28" s="20">
        <f>+Movimientos_2026[[#This Row],[Ingresos]]-Movimientos_2026[[#This Row],[Egresos]]</f>
        <v>248175.86</v>
      </c>
      <c r="O28" s="20">
        <f>+O27+Movimientos_2026[[#This Row],[Neto]]</f>
        <v>4750426350.0744944</v>
      </c>
    </row>
    <row r="29" spans="1:15" x14ac:dyDescent="0.25">
      <c r="A29" s="13">
        <v>46027</v>
      </c>
      <c r="B29" s="12">
        <f>MONTH(Movimientos_2026[[#This Row],[Fecha]])</f>
        <v>1</v>
      </c>
      <c r="C29" s="12" t="str">
        <f>VLOOKUP((WEEKDAY(Movimientos_2026[[#This Row],[Fecha]],2)),'5. Setup'!$D$6:$E$12,2,FALSE)</f>
        <v>Lun</v>
      </c>
      <c r="D29">
        <v>1043393</v>
      </c>
      <c r="E29" t="str">
        <f>IFERROR(+VLOOKUP(Movimientos_2026[[#This Row],[Codigo]],Plan_cuentas[],2,FALSE)," ")</f>
        <v>INGRESOS</v>
      </c>
      <c r="F29" t="str">
        <f>IFERROR(+VLOOKUP(Movimientos_2026[[#This Row],[Codigo]],Plan_cuentas[],3,FALSE)," ")</f>
        <v>Transferencia</v>
      </c>
      <c r="G29" t="str">
        <f>IFERROR(+VLOOKUP(Movimientos_2026[[#This Row],[Codigo]],Plan_cuentas[],4,FALSE)," ")</f>
        <v>Registración</v>
      </c>
      <c r="H29" t="str">
        <f>IFERROR(+VLOOKUP(Movimientos_2026[[#This Row],[Codigo]],Plan_cuentas[],5,FALSE)," ")</f>
        <v>SANTA FE 2° Q</v>
      </c>
      <c r="I29" s="43">
        <v>45992</v>
      </c>
      <c r="J29" t="s">
        <v>26</v>
      </c>
      <c r="K29" t="str">
        <f>IFERROR(+VLOOKUP(Movimientos_2026[[#This Row],[Codigo]],Plan_cuentas[],6,FALSE)," ")</f>
        <v>3 - GM - Chevrolet</v>
      </c>
      <c r="L29" s="50">
        <v>243188.26</v>
      </c>
      <c r="M29" s="52"/>
      <c r="N29" s="20">
        <f>+Movimientos_2026[[#This Row],[Ingresos]]-Movimientos_2026[[#This Row],[Egresos]]</f>
        <v>243188.26</v>
      </c>
      <c r="O29" s="20">
        <f>+O28+Movimientos_2026[[#This Row],[Neto]]</f>
        <v>4750669538.3344946</v>
      </c>
    </row>
    <row r="30" spans="1:15" x14ac:dyDescent="0.25">
      <c r="A30" s="13">
        <v>46027</v>
      </c>
      <c r="B30" s="12">
        <f>MONTH(Movimientos_2026[[#This Row],[Fecha]])</f>
        <v>1</v>
      </c>
      <c r="C30" s="12" t="str">
        <f>VLOOKUP((WEEKDAY(Movimientos_2026[[#This Row],[Fecha]],2)),'5. Setup'!$D$6:$E$12,2,FALSE)</f>
        <v>Lun</v>
      </c>
      <c r="D30">
        <v>1044263</v>
      </c>
      <c r="E30" t="str">
        <f>IFERROR(+VLOOKUP(Movimientos_2026[[#This Row],[Codigo]],Plan_cuentas[],2,FALSE)," ")</f>
        <v>INGRESOS</v>
      </c>
      <c r="F30" t="str">
        <f>IFERROR(+VLOOKUP(Movimientos_2026[[#This Row],[Codigo]],Plan_cuentas[],3,FALSE)," ")</f>
        <v>Transferencia</v>
      </c>
      <c r="G30" t="str">
        <f>IFERROR(+VLOOKUP(Movimientos_2026[[#This Row],[Codigo]],Plan_cuentas[],4,FALSE)," ")</f>
        <v>Rentas</v>
      </c>
      <c r="H30" t="str">
        <f>IFERROR(+VLOOKUP(Movimientos_2026[[#This Row],[Codigo]],Plan_cuentas[],5,FALSE)," ")</f>
        <v>LA PAMPA</v>
      </c>
      <c r="I30" s="43">
        <v>45992</v>
      </c>
      <c r="J30" t="s">
        <v>26</v>
      </c>
      <c r="K30" t="str">
        <f>IFERROR(+VLOOKUP(Movimientos_2026[[#This Row],[Codigo]],Plan_cuentas[],6,FALSE)," ")</f>
        <v>3 - GM - Chevrolet</v>
      </c>
      <c r="L30" s="50">
        <v>2124059.4700000002</v>
      </c>
      <c r="M30" s="52"/>
      <c r="N30" s="20">
        <f>+Movimientos_2026[[#This Row],[Ingresos]]-Movimientos_2026[[#This Row],[Egresos]]</f>
        <v>2124059.4700000002</v>
      </c>
      <c r="O30" s="20">
        <f>+O29+Movimientos_2026[[#This Row],[Neto]]</f>
        <v>4752793597.8044949</v>
      </c>
    </row>
    <row r="31" spans="1:15" x14ac:dyDescent="0.25">
      <c r="A31" s="13">
        <v>46027</v>
      </c>
      <c r="B31" s="12">
        <f>MONTH(Movimientos_2026[[#This Row],[Fecha]])</f>
        <v>1</v>
      </c>
      <c r="C31" s="12" t="str">
        <f>VLOOKUP((WEEKDAY(Movimientos_2026[[#This Row],[Fecha]],2)),'5. Setup'!$D$6:$E$12,2,FALSE)</f>
        <v>Lun</v>
      </c>
      <c r="D31">
        <v>1044463</v>
      </c>
      <c r="E31" t="str">
        <f>IFERROR(+VLOOKUP(Movimientos_2026[[#This Row],[Codigo]],Plan_cuentas[],2,FALSE)," ")</f>
        <v>INGRESOS</v>
      </c>
      <c r="F31" t="str">
        <f>IFERROR(+VLOOKUP(Movimientos_2026[[#This Row],[Codigo]],Plan_cuentas[],3,FALSE)," ")</f>
        <v>Transferencia</v>
      </c>
      <c r="G31" t="str">
        <f>IFERROR(+VLOOKUP(Movimientos_2026[[#This Row],[Codigo]],Plan_cuentas[],4,FALSE)," ")</f>
        <v>Rentas</v>
      </c>
      <c r="H31" t="str">
        <f>IFERROR(+VLOOKUP(Movimientos_2026[[#This Row],[Codigo]],Plan_cuentas[],5,FALSE)," ")</f>
        <v>MISIONES</v>
      </c>
      <c r="I31" s="43">
        <v>45992</v>
      </c>
      <c r="J31" t="s">
        <v>26</v>
      </c>
      <c r="K31" t="str">
        <f>IFERROR(+VLOOKUP(Movimientos_2026[[#This Row],[Codigo]],Plan_cuentas[],6,FALSE)," ")</f>
        <v>3 - GM - Chevrolet</v>
      </c>
      <c r="L31" s="50">
        <v>954490.36</v>
      </c>
      <c r="M31" s="52"/>
      <c r="N31" s="20">
        <f>+Movimientos_2026[[#This Row],[Ingresos]]-Movimientos_2026[[#This Row],[Egresos]]</f>
        <v>954490.36</v>
      </c>
      <c r="O31" s="20">
        <f>+O30+Movimientos_2026[[#This Row],[Neto]]</f>
        <v>4753748088.1644945</v>
      </c>
    </row>
    <row r="32" spans="1:15" x14ac:dyDescent="0.25">
      <c r="A32" s="13">
        <v>46027</v>
      </c>
      <c r="B32" s="12">
        <f>MONTH(Movimientos_2026[[#This Row],[Fecha]])</f>
        <v>1</v>
      </c>
      <c r="C32" s="12" t="str">
        <f>VLOOKUP((WEEKDAY(Movimientos_2026[[#This Row],[Fecha]],2)),'5. Setup'!$D$6:$E$12,2,FALSE)</f>
        <v>Lun</v>
      </c>
      <c r="D32">
        <v>1043154</v>
      </c>
      <c r="E32" t="str">
        <f>IFERROR(+VLOOKUP(Movimientos_2026[[#This Row],[Codigo]],Plan_cuentas[],2,FALSE)," ")</f>
        <v>INGRESOS</v>
      </c>
      <c r="F32" t="str">
        <f>IFERROR(+VLOOKUP(Movimientos_2026[[#This Row],[Codigo]],Plan_cuentas[],3,FALSE)," ")</f>
        <v>Transferencia</v>
      </c>
      <c r="G32" t="str">
        <f>IFERROR(+VLOOKUP(Movimientos_2026[[#This Row],[Codigo]],Plan_cuentas[],4,FALSE)," ")</f>
        <v>Registración</v>
      </c>
      <c r="H32" t="str">
        <f>IFERROR(+VLOOKUP(Movimientos_2026[[#This Row],[Codigo]],Plan_cuentas[],5,FALSE)," ")</f>
        <v>CABA</v>
      </c>
      <c r="I32" s="43">
        <v>45992</v>
      </c>
      <c r="J32" t="s">
        <v>27</v>
      </c>
      <c r="K32" t="str">
        <f>IFERROR(+VLOOKUP(Movimientos_2026[[#This Row],[Codigo]],Plan_cuentas[],6,FALSE)," ")</f>
        <v>4 - FCA - Fiat</v>
      </c>
      <c r="L32" s="50">
        <v>318482832.38999999</v>
      </c>
      <c r="M32" s="52"/>
      <c r="N32" s="20">
        <f>+Movimientos_2026[[#This Row],[Ingresos]]-Movimientos_2026[[#This Row],[Egresos]]</f>
        <v>318482832.38999999</v>
      </c>
      <c r="O32" s="20">
        <f>+O31+Movimientos_2026[[#This Row],[Neto]]</f>
        <v>5072230920.5544949</v>
      </c>
    </row>
    <row r="33" spans="1:15" x14ac:dyDescent="0.25">
      <c r="A33" s="13">
        <v>46027</v>
      </c>
      <c r="B33" s="12">
        <f>MONTH(Movimientos_2026[[#This Row],[Fecha]])</f>
        <v>1</v>
      </c>
      <c r="C33" s="12" t="str">
        <f>VLOOKUP((WEEKDAY(Movimientos_2026[[#This Row],[Fecha]],2)),'5. Setup'!$D$6:$E$12,2,FALSE)</f>
        <v>Lun</v>
      </c>
      <c r="D33">
        <v>1043394</v>
      </c>
      <c r="E33" t="str">
        <f>IFERROR(+VLOOKUP(Movimientos_2026[[#This Row],[Codigo]],Plan_cuentas[],2,FALSE)," ")</f>
        <v>INGRESOS</v>
      </c>
      <c r="F33" t="str">
        <f>IFERROR(+VLOOKUP(Movimientos_2026[[#This Row],[Codigo]],Plan_cuentas[],3,FALSE)," ")</f>
        <v>Transferencia</v>
      </c>
      <c r="G33" t="str">
        <f>IFERROR(+VLOOKUP(Movimientos_2026[[#This Row],[Codigo]],Plan_cuentas[],4,FALSE)," ")</f>
        <v>Registración</v>
      </c>
      <c r="H33" t="str">
        <f>IFERROR(+VLOOKUP(Movimientos_2026[[#This Row],[Codigo]],Plan_cuentas[],5,FALSE)," ")</f>
        <v>SANTA FE 2° Q</v>
      </c>
      <c r="I33" s="43">
        <v>45992</v>
      </c>
      <c r="J33" t="s">
        <v>27</v>
      </c>
      <c r="K33" t="str">
        <f>IFERROR(+VLOOKUP(Movimientos_2026[[#This Row],[Codigo]],Plan_cuentas[],6,FALSE)," ")</f>
        <v>4 - FCA - Fiat</v>
      </c>
      <c r="L33" s="50">
        <v>59248512.909999996</v>
      </c>
      <c r="M33" s="52"/>
      <c r="N33" s="20">
        <f>+Movimientos_2026[[#This Row],[Ingresos]]-Movimientos_2026[[#This Row],[Egresos]]</f>
        <v>59248512.909999996</v>
      </c>
      <c r="O33" s="20">
        <f>+O32+Movimientos_2026[[#This Row],[Neto]]</f>
        <v>5131479433.4644947</v>
      </c>
    </row>
    <row r="34" spans="1:15" x14ac:dyDescent="0.25">
      <c r="A34" s="13">
        <v>46027</v>
      </c>
      <c r="B34" s="12">
        <f>MONTH(Movimientos_2026[[#This Row],[Fecha]])</f>
        <v>1</v>
      </c>
      <c r="C34" s="12" t="str">
        <f>VLOOKUP((WEEKDAY(Movimientos_2026[[#This Row],[Fecha]],2)),'5. Setup'!$D$6:$E$12,2,FALSE)</f>
        <v>Lun</v>
      </c>
      <c r="D34">
        <v>1044174</v>
      </c>
      <c r="E34" t="str">
        <f>IFERROR(+VLOOKUP(Movimientos_2026[[#This Row],[Codigo]],Plan_cuentas[],2,FALSE)," ")</f>
        <v>INGRESOS</v>
      </c>
      <c r="F34" t="str">
        <f>IFERROR(+VLOOKUP(Movimientos_2026[[#This Row],[Codigo]],Plan_cuentas[],3,FALSE)," ")</f>
        <v>Transferencia</v>
      </c>
      <c r="G34" t="str">
        <f>IFERROR(+VLOOKUP(Movimientos_2026[[#This Row],[Codigo]],Plan_cuentas[],4,FALSE)," ")</f>
        <v>Rentas</v>
      </c>
      <c r="H34" t="str">
        <f>IFERROR(+VLOOKUP(Movimientos_2026[[#This Row],[Codigo]],Plan_cuentas[],5,FALSE)," ")</f>
        <v>CHUBUT</v>
      </c>
      <c r="I34" s="43">
        <v>45992</v>
      </c>
      <c r="J34" t="s">
        <v>27</v>
      </c>
      <c r="K34" t="str">
        <f>IFERROR(+VLOOKUP(Movimientos_2026[[#This Row],[Codigo]],Plan_cuentas[],6,FALSE)," ")</f>
        <v>4 - FCA - Fiat</v>
      </c>
      <c r="L34" s="50">
        <v>16337500.75</v>
      </c>
      <c r="M34" s="52"/>
      <c r="N34" s="20">
        <f>+Movimientos_2026[[#This Row],[Ingresos]]-Movimientos_2026[[#This Row],[Egresos]]</f>
        <v>16337500.75</v>
      </c>
      <c r="O34" s="20">
        <f>+O33+Movimientos_2026[[#This Row],[Neto]]</f>
        <v>5147816934.2144947</v>
      </c>
    </row>
    <row r="35" spans="1:15" x14ac:dyDescent="0.25">
      <c r="A35" s="13">
        <v>46027</v>
      </c>
      <c r="B35" s="12">
        <f>MONTH(Movimientos_2026[[#This Row],[Fecha]])</f>
        <v>1</v>
      </c>
      <c r="C35" s="12" t="str">
        <f>VLOOKUP((WEEKDAY(Movimientos_2026[[#This Row],[Fecha]],2)),'5. Setup'!$D$6:$E$12,2,FALSE)</f>
        <v>Lun</v>
      </c>
      <c r="D35">
        <v>1044196</v>
      </c>
      <c r="E35" t="str">
        <f>IFERROR(+VLOOKUP(Movimientos_2026[[#This Row],[Codigo]],Plan_cuentas[],2,FALSE)," ")</f>
        <v>INGRESOS</v>
      </c>
      <c r="F35" t="str">
        <f>IFERROR(+VLOOKUP(Movimientos_2026[[#This Row],[Codigo]],Plan_cuentas[],3,FALSE)," ")</f>
        <v>Transferencia</v>
      </c>
      <c r="G35" t="str">
        <f>IFERROR(+VLOOKUP(Movimientos_2026[[#This Row],[Codigo]],Plan_cuentas[],4,FALSE)," ")</f>
        <v>Rentas</v>
      </c>
      <c r="H35" t="str">
        <f>IFERROR(+VLOOKUP(Movimientos_2026[[#This Row],[Codigo]],Plan_cuentas[],5,FALSE)," ")</f>
        <v>CORDOBA 2° Q</v>
      </c>
      <c r="I35" s="43">
        <v>45992</v>
      </c>
      <c r="J35" t="s">
        <v>27</v>
      </c>
      <c r="K35" t="str">
        <f>IFERROR(+VLOOKUP(Movimientos_2026[[#This Row],[Codigo]],Plan_cuentas[],6,FALSE)," ")</f>
        <v>6 - FCAtr - Fiat Transf.</v>
      </c>
      <c r="L35" s="50">
        <v>22419302.680000041</v>
      </c>
      <c r="M35" s="52"/>
      <c r="N35" s="20">
        <f>+Movimientos_2026[[#This Row],[Ingresos]]-Movimientos_2026[[#This Row],[Egresos]]</f>
        <v>22419302.680000041</v>
      </c>
      <c r="O35" s="20">
        <f>+O34+Movimientos_2026[[#This Row],[Neto]]</f>
        <v>5170236236.894495</v>
      </c>
    </row>
    <row r="36" spans="1:15" x14ac:dyDescent="0.25">
      <c r="A36" s="13">
        <v>46027</v>
      </c>
      <c r="B36" s="12">
        <f>MONTH(Movimientos_2026[[#This Row],[Fecha]])</f>
        <v>1</v>
      </c>
      <c r="C36" s="12" t="str">
        <f>VLOOKUP((WEEKDAY(Movimientos_2026[[#This Row],[Fecha]],2)),'5. Setup'!$D$6:$E$12,2,FALSE)</f>
        <v>Lun</v>
      </c>
      <c r="D36">
        <v>1044214</v>
      </c>
      <c r="E36" t="str">
        <f>IFERROR(+VLOOKUP(Movimientos_2026[[#This Row],[Codigo]],Plan_cuentas[],2,FALSE)," ")</f>
        <v>INGRESOS</v>
      </c>
      <c r="F36" t="str">
        <f>IFERROR(+VLOOKUP(Movimientos_2026[[#This Row],[Codigo]],Plan_cuentas[],3,FALSE)," ")</f>
        <v>Transferencia</v>
      </c>
      <c r="G36" t="str">
        <f>IFERROR(+VLOOKUP(Movimientos_2026[[#This Row],[Codigo]],Plan_cuentas[],4,FALSE)," ")</f>
        <v>Rentas</v>
      </c>
      <c r="H36" t="str">
        <f>IFERROR(+VLOOKUP(Movimientos_2026[[#This Row],[Codigo]],Plan_cuentas[],5,FALSE)," ")</f>
        <v>CORRIENTES 2° Q</v>
      </c>
      <c r="I36" s="43">
        <v>45992</v>
      </c>
      <c r="J36" t="s">
        <v>27</v>
      </c>
      <c r="K36" t="str">
        <f>IFERROR(+VLOOKUP(Movimientos_2026[[#This Row],[Codigo]],Plan_cuentas[],6,FALSE)," ")</f>
        <v>4 - FCA - Fiat</v>
      </c>
      <c r="L36" s="50">
        <v>11906426.59</v>
      </c>
      <c r="M36" s="52"/>
      <c r="N36" s="20">
        <f>+Movimientos_2026[[#This Row],[Ingresos]]-Movimientos_2026[[#This Row],[Egresos]]</f>
        <v>11906426.59</v>
      </c>
      <c r="O36" s="20">
        <f>+O35+Movimientos_2026[[#This Row],[Neto]]</f>
        <v>5182142663.4844952</v>
      </c>
    </row>
    <row r="37" spans="1:15" x14ac:dyDescent="0.25">
      <c r="A37" s="13">
        <v>46027</v>
      </c>
      <c r="B37" s="12">
        <f>MONTH(Movimientos_2026[[#This Row],[Fecha]])</f>
        <v>1</v>
      </c>
      <c r="C37" s="12" t="str">
        <f>VLOOKUP((WEEKDAY(Movimientos_2026[[#This Row],[Fecha]],2)),'5. Setup'!$D$6:$E$12,2,FALSE)</f>
        <v>Lun</v>
      </c>
      <c r="D37">
        <v>1044234</v>
      </c>
      <c r="E37" t="str">
        <f>IFERROR(+VLOOKUP(Movimientos_2026[[#This Row],[Codigo]],Plan_cuentas[],2,FALSE)," ")</f>
        <v>INGRESOS</v>
      </c>
      <c r="F37" t="str">
        <f>IFERROR(+VLOOKUP(Movimientos_2026[[#This Row],[Codigo]],Plan_cuentas[],3,FALSE)," ")</f>
        <v>Transferencia</v>
      </c>
      <c r="G37" t="str">
        <f>IFERROR(+VLOOKUP(Movimientos_2026[[#This Row],[Codigo]],Plan_cuentas[],4,FALSE)," ")</f>
        <v>Rentas</v>
      </c>
      <c r="H37" t="str">
        <f>IFERROR(+VLOOKUP(Movimientos_2026[[#This Row],[Codigo]],Plan_cuentas[],5,FALSE)," ")</f>
        <v>ENTRE RIOS 2° Q</v>
      </c>
      <c r="I37" s="43">
        <v>45992</v>
      </c>
      <c r="J37" t="s">
        <v>27</v>
      </c>
      <c r="K37" t="str">
        <f>IFERROR(+VLOOKUP(Movimientos_2026[[#This Row],[Codigo]],Plan_cuentas[],6,FALSE)," ")</f>
        <v>4 - FCA - Fiat</v>
      </c>
      <c r="L37" s="50">
        <v>22395661.780000001</v>
      </c>
      <c r="M37" s="52"/>
      <c r="N37" s="20">
        <f>+Movimientos_2026[[#This Row],[Ingresos]]-Movimientos_2026[[#This Row],[Egresos]]</f>
        <v>22395661.780000001</v>
      </c>
      <c r="O37" s="20">
        <f>+O36+Movimientos_2026[[#This Row],[Neto]]</f>
        <v>5204538325.2644949</v>
      </c>
    </row>
    <row r="38" spans="1:15" x14ac:dyDescent="0.25">
      <c r="A38" s="13">
        <v>46027</v>
      </c>
      <c r="B38" s="12">
        <f>MONTH(Movimientos_2026[[#This Row],[Fecha]])</f>
        <v>1</v>
      </c>
      <c r="C38" s="12" t="str">
        <f>VLOOKUP((WEEKDAY(Movimientos_2026[[#This Row],[Fecha]],2)),'5. Setup'!$D$6:$E$12,2,FALSE)</f>
        <v>Lun</v>
      </c>
      <c r="D38">
        <v>1044244</v>
      </c>
      <c r="E38" t="str">
        <f>IFERROR(+VLOOKUP(Movimientos_2026[[#This Row],[Codigo]],Plan_cuentas[],2,FALSE)," ")</f>
        <v>INGRESOS</v>
      </c>
      <c r="F38" t="str">
        <f>IFERROR(+VLOOKUP(Movimientos_2026[[#This Row],[Codigo]],Plan_cuentas[],3,FALSE)," ")</f>
        <v>Transferencia</v>
      </c>
      <c r="G38" t="str">
        <f>IFERROR(+VLOOKUP(Movimientos_2026[[#This Row],[Codigo]],Plan_cuentas[],4,FALSE)," ")</f>
        <v>Rentas</v>
      </c>
      <c r="H38" t="str">
        <f>IFERROR(+VLOOKUP(Movimientos_2026[[#This Row],[Codigo]],Plan_cuentas[],5,FALSE)," ")</f>
        <v>FORMOSA</v>
      </c>
      <c r="I38" s="43">
        <v>45992</v>
      </c>
      <c r="J38" t="s">
        <v>27</v>
      </c>
      <c r="K38" t="str">
        <f>IFERROR(+VLOOKUP(Movimientos_2026[[#This Row],[Codigo]],Plan_cuentas[],6,FALSE)," ")</f>
        <v>4 - FCA - Fiat</v>
      </c>
      <c r="L38" s="50">
        <v>6624841.0800000001</v>
      </c>
      <c r="M38" s="52"/>
      <c r="N38" s="20">
        <f>+Movimientos_2026[[#This Row],[Ingresos]]-Movimientos_2026[[#This Row],[Egresos]]</f>
        <v>6624841.0800000001</v>
      </c>
      <c r="O38" s="20">
        <f>+O37+Movimientos_2026[[#This Row],[Neto]]</f>
        <v>5211163166.3444948</v>
      </c>
    </row>
    <row r="39" spans="1:15" x14ac:dyDescent="0.25">
      <c r="A39" s="13">
        <v>46027</v>
      </c>
      <c r="B39" s="12">
        <f>MONTH(Movimientos_2026[[#This Row],[Fecha]])</f>
        <v>1</v>
      </c>
      <c r="C39" s="12" t="str">
        <f>VLOOKUP((WEEKDAY(Movimientos_2026[[#This Row],[Fecha]],2)),'5. Setup'!$D$6:$E$12,2,FALSE)</f>
        <v>Lun</v>
      </c>
      <c r="D39">
        <v>1044264</v>
      </c>
      <c r="E39" t="str">
        <f>IFERROR(+VLOOKUP(Movimientos_2026[[#This Row],[Codigo]],Plan_cuentas[],2,FALSE)," ")</f>
        <v>INGRESOS</v>
      </c>
      <c r="F39" t="str">
        <f>IFERROR(+VLOOKUP(Movimientos_2026[[#This Row],[Codigo]],Plan_cuentas[],3,FALSE)," ")</f>
        <v>Transferencia</v>
      </c>
      <c r="G39" t="str">
        <f>IFERROR(+VLOOKUP(Movimientos_2026[[#This Row],[Codigo]],Plan_cuentas[],4,FALSE)," ")</f>
        <v>Rentas</v>
      </c>
      <c r="H39" t="str">
        <f>IFERROR(+VLOOKUP(Movimientos_2026[[#This Row],[Codigo]],Plan_cuentas[],5,FALSE)," ")</f>
        <v>LA PAMPA</v>
      </c>
      <c r="I39" s="43">
        <v>45992</v>
      </c>
      <c r="J39" t="s">
        <v>27</v>
      </c>
      <c r="K39" t="str">
        <f>IFERROR(+VLOOKUP(Movimientos_2026[[#This Row],[Codigo]],Plan_cuentas[],6,FALSE)," ")</f>
        <v>4 - FCA - Fiat</v>
      </c>
      <c r="L39" s="50">
        <v>4316068</v>
      </c>
      <c r="M39" s="52"/>
      <c r="N39" s="20">
        <f>+Movimientos_2026[[#This Row],[Ingresos]]-Movimientos_2026[[#This Row],[Egresos]]</f>
        <v>4316068</v>
      </c>
      <c r="O39" s="20">
        <f>+O38+Movimientos_2026[[#This Row],[Neto]]</f>
        <v>5215479234.3444948</v>
      </c>
    </row>
    <row r="40" spans="1:15" x14ac:dyDescent="0.25">
      <c r="A40" s="13">
        <v>46027</v>
      </c>
      <c r="B40" s="12">
        <f>MONTH(Movimientos_2026[[#This Row],[Fecha]])</f>
        <v>1</v>
      </c>
      <c r="C40" s="12" t="str">
        <f>VLOOKUP((WEEKDAY(Movimientos_2026[[#This Row],[Fecha]],2)),'5. Setup'!$D$6:$E$12,2,FALSE)</f>
        <v>Lun</v>
      </c>
      <c r="D40">
        <v>1044266</v>
      </c>
      <c r="E40" t="str">
        <f>IFERROR(+VLOOKUP(Movimientos_2026[[#This Row],[Codigo]],Plan_cuentas[],2,FALSE)," ")</f>
        <v>INGRESOS</v>
      </c>
      <c r="F40" t="str">
        <f>IFERROR(+VLOOKUP(Movimientos_2026[[#This Row],[Codigo]],Plan_cuentas[],3,FALSE)," ")</f>
        <v>Transferencia</v>
      </c>
      <c r="G40" t="str">
        <f>IFERROR(+VLOOKUP(Movimientos_2026[[#This Row],[Codigo]],Plan_cuentas[],4,FALSE)," ")</f>
        <v>Rentas</v>
      </c>
      <c r="H40" t="str">
        <f>IFERROR(+VLOOKUP(Movimientos_2026[[#This Row],[Codigo]],Plan_cuentas[],5,FALSE)," ")</f>
        <v>LA PAMPA</v>
      </c>
      <c r="I40" s="43">
        <v>45992</v>
      </c>
      <c r="J40" t="s">
        <v>27</v>
      </c>
      <c r="K40" t="str">
        <f>IFERROR(+VLOOKUP(Movimientos_2026[[#This Row],[Codigo]],Plan_cuentas[],6,FALSE)," ")</f>
        <v>6 - FCAtr - Fiat Transf.</v>
      </c>
      <c r="L40" s="50">
        <v>81303.710000000021</v>
      </c>
      <c r="M40" s="52"/>
      <c r="N40" s="20">
        <f>+Movimientos_2026[[#This Row],[Ingresos]]-Movimientos_2026[[#This Row],[Egresos]]</f>
        <v>81303.710000000021</v>
      </c>
      <c r="O40" s="20">
        <f>+O39+Movimientos_2026[[#This Row],[Neto]]</f>
        <v>5215560538.0544949</v>
      </c>
    </row>
    <row r="41" spans="1:15" x14ac:dyDescent="0.25">
      <c r="A41" s="13">
        <v>46027</v>
      </c>
      <c r="B41" s="12">
        <f>MONTH(Movimientos_2026[[#This Row],[Fecha]])</f>
        <v>1</v>
      </c>
      <c r="C41" s="12" t="str">
        <f>VLOOKUP((WEEKDAY(Movimientos_2026[[#This Row],[Fecha]],2)),'5. Setup'!$D$6:$E$12,2,FALSE)</f>
        <v>Lun</v>
      </c>
      <c r="D41">
        <v>1044264</v>
      </c>
      <c r="E41" t="str">
        <f>IFERROR(+VLOOKUP(Movimientos_2026[[#This Row],[Codigo]],Plan_cuentas[],2,FALSE)," ")</f>
        <v>INGRESOS</v>
      </c>
      <c r="F41" t="str">
        <f>IFERROR(+VLOOKUP(Movimientos_2026[[#This Row],[Codigo]],Plan_cuentas[],3,FALSE)," ")</f>
        <v>Transferencia</v>
      </c>
      <c r="G41" t="str">
        <f>IFERROR(+VLOOKUP(Movimientos_2026[[#This Row],[Codigo]],Plan_cuentas[],4,FALSE)," ")</f>
        <v>Rentas</v>
      </c>
      <c r="H41" t="str">
        <f>IFERROR(+VLOOKUP(Movimientos_2026[[#This Row],[Codigo]],Plan_cuentas[],5,FALSE)," ")</f>
        <v>LA PAMPA</v>
      </c>
      <c r="I41" s="43">
        <v>45992</v>
      </c>
      <c r="J41" t="s">
        <v>27</v>
      </c>
      <c r="K41" t="str">
        <f>IFERROR(+VLOOKUP(Movimientos_2026[[#This Row],[Codigo]],Plan_cuentas[],6,FALSE)," ")</f>
        <v>4 - FCA - Fiat</v>
      </c>
      <c r="L41" s="50">
        <v>4192643.33</v>
      </c>
      <c r="M41" s="52"/>
      <c r="N41" s="20">
        <f>+Movimientos_2026[[#This Row],[Ingresos]]-Movimientos_2026[[#This Row],[Egresos]]</f>
        <v>4192643.33</v>
      </c>
      <c r="O41" s="20">
        <f>+O40+Movimientos_2026[[#This Row],[Neto]]</f>
        <v>5219753181.3844948</v>
      </c>
    </row>
    <row r="42" spans="1:15" x14ac:dyDescent="0.25">
      <c r="A42" s="13">
        <v>46027</v>
      </c>
      <c r="B42" s="12">
        <f>MONTH(Movimientos_2026[[#This Row],[Fecha]])</f>
        <v>1</v>
      </c>
      <c r="C42" s="12" t="str">
        <f>VLOOKUP((WEEKDAY(Movimientos_2026[[#This Row],[Fecha]],2)),'5. Setup'!$D$6:$E$12,2,FALSE)</f>
        <v>Lun</v>
      </c>
      <c r="D42">
        <v>1044274</v>
      </c>
      <c r="E42" t="str">
        <f>IFERROR(+VLOOKUP(Movimientos_2026[[#This Row],[Codigo]],Plan_cuentas[],2,FALSE)," ")</f>
        <v>INGRESOS</v>
      </c>
      <c r="F42" t="str">
        <f>IFERROR(+VLOOKUP(Movimientos_2026[[#This Row],[Codigo]],Plan_cuentas[],3,FALSE)," ")</f>
        <v>Transferencia</v>
      </c>
      <c r="G42" t="str">
        <f>IFERROR(+VLOOKUP(Movimientos_2026[[#This Row],[Codigo]],Plan_cuentas[],4,FALSE)," ")</f>
        <v>Rentas</v>
      </c>
      <c r="H42" t="str">
        <f>IFERROR(+VLOOKUP(Movimientos_2026[[#This Row],[Codigo]],Plan_cuentas[],5,FALSE)," ")</f>
        <v>LA RIOJA</v>
      </c>
      <c r="I42" s="43">
        <v>45992</v>
      </c>
      <c r="J42" t="s">
        <v>27</v>
      </c>
      <c r="K42" t="str">
        <f>IFERROR(+VLOOKUP(Movimientos_2026[[#This Row],[Codigo]],Plan_cuentas[],6,FALSE)," ")</f>
        <v>4 - FCA - Fiat</v>
      </c>
      <c r="L42" s="50">
        <v>18277731.43</v>
      </c>
      <c r="M42" s="52"/>
      <c r="N42" s="20">
        <f>+Movimientos_2026[[#This Row],[Ingresos]]-Movimientos_2026[[#This Row],[Egresos]]</f>
        <v>18277731.43</v>
      </c>
      <c r="O42" s="20">
        <f>+O41+Movimientos_2026[[#This Row],[Neto]]</f>
        <v>5238030912.8144951</v>
      </c>
    </row>
    <row r="43" spans="1:15" x14ac:dyDescent="0.25">
      <c r="A43" s="13">
        <v>46027</v>
      </c>
      <c r="B43" s="12">
        <f>MONTH(Movimientos_2026[[#This Row],[Fecha]])</f>
        <v>1</v>
      </c>
      <c r="C43" s="12" t="str">
        <f>VLOOKUP((WEEKDAY(Movimientos_2026[[#This Row],[Fecha]],2)),'5. Setup'!$D$6:$E$12,2,FALSE)</f>
        <v>Lun</v>
      </c>
      <c r="D43">
        <v>1044284</v>
      </c>
      <c r="E43" t="str">
        <f>IFERROR(+VLOOKUP(Movimientos_2026[[#This Row],[Codigo]],Plan_cuentas[],2,FALSE)," ")</f>
        <v>INGRESOS</v>
      </c>
      <c r="F43" t="str">
        <f>IFERROR(+VLOOKUP(Movimientos_2026[[#This Row],[Codigo]],Plan_cuentas[],3,FALSE)," ")</f>
        <v>Transferencia</v>
      </c>
      <c r="G43" t="str">
        <f>IFERROR(+VLOOKUP(Movimientos_2026[[#This Row],[Codigo]],Plan_cuentas[],4,FALSE)," ")</f>
        <v>Rentas</v>
      </c>
      <c r="H43" t="str">
        <f>IFERROR(+VLOOKUP(Movimientos_2026[[#This Row],[Codigo]],Plan_cuentas[],5,FALSE)," ")</f>
        <v>MENDOZA</v>
      </c>
      <c r="I43" s="43">
        <v>45992</v>
      </c>
      <c r="J43" t="s">
        <v>27</v>
      </c>
      <c r="K43" t="str">
        <f>IFERROR(+VLOOKUP(Movimientos_2026[[#This Row],[Codigo]],Plan_cuentas[],6,FALSE)," ")</f>
        <v>4 - FCA - Fiat</v>
      </c>
      <c r="L43" s="50">
        <v>97371495</v>
      </c>
      <c r="M43" s="52"/>
      <c r="N43" s="20">
        <f>+Movimientos_2026[[#This Row],[Ingresos]]-Movimientos_2026[[#This Row],[Egresos]]</f>
        <v>97371495</v>
      </c>
      <c r="O43" s="20">
        <f>+O42+Movimientos_2026[[#This Row],[Neto]]</f>
        <v>5335402407.8144951</v>
      </c>
    </row>
    <row r="44" spans="1:15" x14ac:dyDescent="0.25">
      <c r="A44" s="13">
        <v>46027</v>
      </c>
      <c r="B44" s="12">
        <f>MONTH(Movimientos_2026[[#This Row],[Fecha]])</f>
        <v>1</v>
      </c>
      <c r="C44" s="12" t="str">
        <f>VLOOKUP((WEEKDAY(Movimientos_2026[[#This Row],[Fecha]],2)),'5. Setup'!$D$6:$E$12,2,FALSE)</f>
        <v>Lun</v>
      </c>
      <c r="D44">
        <v>1044286</v>
      </c>
      <c r="E44" t="str">
        <f>IFERROR(+VLOOKUP(Movimientos_2026[[#This Row],[Codigo]],Plan_cuentas[],2,FALSE)," ")</f>
        <v>INGRESOS</v>
      </c>
      <c r="F44" t="str">
        <f>IFERROR(+VLOOKUP(Movimientos_2026[[#This Row],[Codigo]],Plan_cuentas[],3,FALSE)," ")</f>
        <v>Transferencia</v>
      </c>
      <c r="G44" t="str">
        <f>IFERROR(+VLOOKUP(Movimientos_2026[[#This Row],[Codigo]],Plan_cuentas[],4,FALSE)," ")</f>
        <v>Rentas</v>
      </c>
      <c r="H44" t="str">
        <f>IFERROR(+VLOOKUP(Movimientos_2026[[#This Row],[Codigo]],Plan_cuentas[],5,FALSE)," ")</f>
        <v>MENDOZA</v>
      </c>
      <c r="I44" s="43">
        <v>45992</v>
      </c>
      <c r="J44" t="s">
        <v>27</v>
      </c>
      <c r="K44" t="str">
        <f>IFERROR(+VLOOKUP(Movimientos_2026[[#This Row],[Codigo]],Plan_cuentas[],6,FALSE)," ")</f>
        <v>6 - FCAtr - Fiat Transf.</v>
      </c>
      <c r="L44" s="50">
        <v>12887293.15000001</v>
      </c>
      <c r="M44" s="52"/>
      <c r="N44" s="20">
        <f>+Movimientos_2026[[#This Row],[Ingresos]]-Movimientos_2026[[#This Row],[Egresos]]</f>
        <v>12887293.15000001</v>
      </c>
      <c r="O44" s="20">
        <f>+O43+Movimientos_2026[[#This Row],[Neto]]</f>
        <v>5348289700.9644947</v>
      </c>
    </row>
    <row r="45" spans="1:15" x14ac:dyDescent="0.25">
      <c r="A45" s="13">
        <v>46027</v>
      </c>
      <c r="B45" s="12">
        <f>MONTH(Movimientos_2026[[#This Row],[Fecha]])</f>
        <v>1</v>
      </c>
      <c r="C45" s="12" t="str">
        <f>VLOOKUP((WEEKDAY(Movimientos_2026[[#This Row],[Fecha]],2)),'5. Setup'!$D$6:$E$12,2,FALSE)</f>
        <v>Lun</v>
      </c>
      <c r="D45">
        <v>1044464</v>
      </c>
      <c r="E45" t="str">
        <f>IFERROR(+VLOOKUP(Movimientos_2026[[#This Row],[Codigo]],Plan_cuentas[],2,FALSE)," ")</f>
        <v>INGRESOS</v>
      </c>
      <c r="F45" t="str">
        <f>IFERROR(+VLOOKUP(Movimientos_2026[[#This Row],[Codigo]],Plan_cuentas[],3,FALSE)," ")</f>
        <v>Transferencia</v>
      </c>
      <c r="G45" t="str">
        <f>IFERROR(+VLOOKUP(Movimientos_2026[[#This Row],[Codigo]],Plan_cuentas[],4,FALSE)," ")</f>
        <v>Rentas</v>
      </c>
      <c r="H45" t="str">
        <f>IFERROR(+VLOOKUP(Movimientos_2026[[#This Row],[Codigo]],Plan_cuentas[],5,FALSE)," ")</f>
        <v>MISIONES</v>
      </c>
      <c r="I45" s="43">
        <v>45992</v>
      </c>
      <c r="J45" t="s">
        <v>27</v>
      </c>
      <c r="K45" t="str">
        <f>IFERROR(+VLOOKUP(Movimientos_2026[[#This Row],[Codigo]],Plan_cuentas[],6,FALSE)," ")</f>
        <v>4 - FCA - Fiat</v>
      </c>
      <c r="L45" s="50">
        <v>5320265.22</v>
      </c>
      <c r="M45" s="52"/>
      <c r="N45" s="20">
        <f>+Movimientos_2026[[#This Row],[Ingresos]]-Movimientos_2026[[#This Row],[Egresos]]</f>
        <v>5320265.22</v>
      </c>
      <c r="O45" s="20">
        <f>+O44+Movimientos_2026[[#This Row],[Neto]]</f>
        <v>5353609966.184495</v>
      </c>
    </row>
    <row r="46" spans="1:15" x14ac:dyDescent="0.25">
      <c r="A46" s="13">
        <v>46027</v>
      </c>
      <c r="B46" s="12">
        <f>MONTH(Movimientos_2026[[#This Row],[Fecha]])</f>
        <v>1</v>
      </c>
      <c r="C46" s="12" t="str">
        <f>VLOOKUP((WEEKDAY(Movimientos_2026[[#This Row],[Fecha]],2)),'5. Setup'!$D$6:$E$12,2,FALSE)</f>
        <v>Lun</v>
      </c>
      <c r="D46">
        <v>1044324</v>
      </c>
      <c r="E46" t="str">
        <f>IFERROR(+VLOOKUP(Movimientos_2026[[#This Row],[Codigo]],Plan_cuentas[],2,FALSE)," ")</f>
        <v>INGRESOS</v>
      </c>
      <c r="F46" t="str">
        <f>IFERROR(+VLOOKUP(Movimientos_2026[[#This Row],[Codigo]],Plan_cuentas[],3,FALSE)," ")</f>
        <v>Transferencia</v>
      </c>
      <c r="G46" t="str">
        <f>IFERROR(+VLOOKUP(Movimientos_2026[[#This Row],[Codigo]],Plan_cuentas[],4,FALSE)," ")</f>
        <v>Rentas</v>
      </c>
      <c r="H46" t="str">
        <f>IFERROR(+VLOOKUP(Movimientos_2026[[#This Row],[Codigo]],Plan_cuentas[],5,FALSE)," ")</f>
        <v>NEUQUEN 2° Q</v>
      </c>
      <c r="I46" s="43">
        <v>45992</v>
      </c>
      <c r="J46" t="s">
        <v>27</v>
      </c>
      <c r="K46" t="str">
        <f>IFERROR(+VLOOKUP(Movimientos_2026[[#This Row],[Codigo]],Plan_cuentas[],6,FALSE)," ")</f>
        <v>4 - FCA - Fiat</v>
      </c>
      <c r="L46" s="50">
        <v>39383120</v>
      </c>
      <c r="M46" s="52"/>
      <c r="N46" s="20">
        <f>+Movimientos_2026[[#This Row],[Ingresos]]-Movimientos_2026[[#This Row],[Egresos]]</f>
        <v>39383120</v>
      </c>
      <c r="O46" s="20">
        <f>+O45+Movimientos_2026[[#This Row],[Neto]]</f>
        <v>5392993086.184495</v>
      </c>
    </row>
    <row r="47" spans="1:15" x14ac:dyDescent="0.25">
      <c r="A47" s="13">
        <v>46027</v>
      </c>
      <c r="B47" s="12">
        <f>MONTH(Movimientos_2026[[#This Row],[Fecha]])</f>
        <v>1</v>
      </c>
      <c r="C47" s="12" t="str">
        <f>VLOOKUP((WEEKDAY(Movimientos_2026[[#This Row],[Fecha]],2)),'5. Setup'!$D$6:$E$12,2,FALSE)</f>
        <v>Lun</v>
      </c>
      <c r="D47">
        <v>1044326</v>
      </c>
      <c r="E47" t="str">
        <f>IFERROR(+VLOOKUP(Movimientos_2026[[#This Row],[Codigo]],Plan_cuentas[],2,FALSE)," ")</f>
        <v>INGRESOS</v>
      </c>
      <c r="F47" t="str">
        <f>IFERROR(+VLOOKUP(Movimientos_2026[[#This Row],[Codigo]],Plan_cuentas[],3,FALSE)," ")</f>
        <v>Transferencia</v>
      </c>
      <c r="G47" t="str">
        <f>IFERROR(+VLOOKUP(Movimientos_2026[[#This Row],[Codigo]],Plan_cuentas[],4,FALSE)," ")</f>
        <v>Rentas</v>
      </c>
      <c r="H47" t="str">
        <f>IFERROR(+VLOOKUP(Movimientos_2026[[#This Row],[Codigo]],Plan_cuentas[],5,FALSE)," ")</f>
        <v>NEUQUEN 2° Q</v>
      </c>
      <c r="I47" s="43">
        <v>45992</v>
      </c>
      <c r="J47" t="s">
        <v>27</v>
      </c>
      <c r="K47" t="str">
        <f>IFERROR(+VLOOKUP(Movimientos_2026[[#This Row],[Codigo]],Plan_cuentas[],6,FALSE)," ")</f>
        <v>6 - FCAtr - Fiat Transf.</v>
      </c>
      <c r="L47" s="50">
        <v>184787.43</v>
      </c>
      <c r="M47" s="52"/>
      <c r="N47" s="20">
        <f>+Movimientos_2026[[#This Row],[Ingresos]]-Movimientos_2026[[#This Row],[Egresos]]</f>
        <v>184787.43</v>
      </c>
      <c r="O47" s="20">
        <f>+O46+Movimientos_2026[[#This Row],[Neto]]</f>
        <v>5393177873.6144953</v>
      </c>
    </row>
    <row r="48" spans="1:15" x14ac:dyDescent="0.25">
      <c r="A48" s="13">
        <v>46027</v>
      </c>
      <c r="B48" s="12">
        <f>MONTH(Movimientos_2026[[#This Row],[Fecha]])</f>
        <v>1</v>
      </c>
      <c r="C48" s="12" t="str">
        <f>VLOOKUP((WEEKDAY(Movimientos_2026[[#This Row],[Fecha]],2)),'5. Setup'!$D$6:$E$12,2,FALSE)</f>
        <v>Lun</v>
      </c>
      <c r="D48">
        <v>1044344</v>
      </c>
      <c r="E48" t="str">
        <f>IFERROR(+VLOOKUP(Movimientos_2026[[#This Row],[Codigo]],Plan_cuentas[],2,FALSE)," ")</f>
        <v>INGRESOS</v>
      </c>
      <c r="F48" t="str">
        <f>IFERROR(+VLOOKUP(Movimientos_2026[[#This Row],[Codigo]],Plan_cuentas[],3,FALSE)," ")</f>
        <v>Transferencia</v>
      </c>
      <c r="G48" t="str">
        <f>IFERROR(+VLOOKUP(Movimientos_2026[[#This Row],[Codigo]],Plan_cuentas[],4,FALSE)," ")</f>
        <v>Rentas</v>
      </c>
      <c r="H48" t="str">
        <f>IFERROR(+VLOOKUP(Movimientos_2026[[#This Row],[Codigo]],Plan_cuentas[],5,FALSE)," ")</f>
        <v>RIO NEGRO</v>
      </c>
      <c r="I48" s="43">
        <v>45992</v>
      </c>
      <c r="J48" t="s">
        <v>27</v>
      </c>
      <c r="K48" t="str">
        <f>IFERROR(+VLOOKUP(Movimientos_2026[[#This Row],[Codigo]],Plan_cuentas[],6,FALSE)," ")</f>
        <v>4 - FCA - Fiat</v>
      </c>
      <c r="L48" s="50">
        <v>5033918</v>
      </c>
      <c r="M48" s="52"/>
      <c r="N48" s="20">
        <f>+Movimientos_2026[[#This Row],[Ingresos]]-Movimientos_2026[[#This Row],[Egresos]]</f>
        <v>5033918</v>
      </c>
      <c r="O48" s="20">
        <f>+O47+Movimientos_2026[[#This Row],[Neto]]</f>
        <v>5398211791.6144953</v>
      </c>
    </row>
    <row r="49" spans="1:15" x14ac:dyDescent="0.25">
      <c r="A49" s="13">
        <v>46027</v>
      </c>
      <c r="B49" s="12">
        <f>MONTH(Movimientos_2026[[#This Row],[Fecha]])</f>
        <v>1</v>
      </c>
      <c r="C49" s="12" t="str">
        <f>VLOOKUP((WEEKDAY(Movimientos_2026[[#This Row],[Fecha]],2)),'5. Setup'!$D$6:$E$12,2,FALSE)</f>
        <v>Lun</v>
      </c>
      <c r="D49">
        <v>1044354</v>
      </c>
      <c r="E49" t="str">
        <f>IFERROR(+VLOOKUP(Movimientos_2026[[#This Row],[Codigo]],Plan_cuentas[],2,FALSE)," ")</f>
        <v>INGRESOS</v>
      </c>
      <c r="F49" t="str">
        <f>IFERROR(+VLOOKUP(Movimientos_2026[[#This Row],[Codigo]],Plan_cuentas[],3,FALSE)," ")</f>
        <v>Transferencia</v>
      </c>
      <c r="G49" t="str">
        <f>IFERROR(+VLOOKUP(Movimientos_2026[[#This Row],[Codigo]],Plan_cuentas[],4,FALSE)," ")</f>
        <v>Rentas</v>
      </c>
      <c r="H49" t="str">
        <f>IFERROR(+VLOOKUP(Movimientos_2026[[#This Row],[Codigo]],Plan_cuentas[],5,FALSE)," ")</f>
        <v>SAN JUAN</v>
      </c>
      <c r="I49" s="43">
        <v>45992</v>
      </c>
      <c r="J49" t="s">
        <v>27</v>
      </c>
      <c r="K49" t="str">
        <f>IFERROR(+VLOOKUP(Movimientos_2026[[#This Row],[Codigo]],Plan_cuentas[],6,FALSE)," ")</f>
        <v>4 - FCA - Fiat</v>
      </c>
      <c r="L49" s="50">
        <v>7105775.2800000003</v>
      </c>
      <c r="M49" s="52"/>
      <c r="N49" s="20">
        <f>+Movimientos_2026[[#This Row],[Ingresos]]-Movimientos_2026[[#This Row],[Egresos]]</f>
        <v>7105775.2800000003</v>
      </c>
      <c r="O49" s="20">
        <f>+O48+Movimientos_2026[[#This Row],[Neto]]</f>
        <v>5405317566.894495</v>
      </c>
    </row>
    <row r="50" spans="1:15" x14ac:dyDescent="0.25">
      <c r="A50" s="13">
        <v>46027</v>
      </c>
      <c r="B50" s="12">
        <f>MONTH(Movimientos_2026[[#This Row],[Fecha]])</f>
        <v>1</v>
      </c>
      <c r="C50" s="12" t="str">
        <f>VLOOKUP((WEEKDAY(Movimientos_2026[[#This Row],[Fecha]],2)),'5. Setup'!$D$6:$E$12,2,FALSE)</f>
        <v>Lun</v>
      </c>
      <c r="D50">
        <v>1044356</v>
      </c>
      <c r="E50" t="str">
        <f>IFERROR(+VLOOKUP(Movimientos_2026[[#This Row],[Codigo]],Plan_cuentas[],2,FALSE)," ")</f>
        <v>INGRESOS</v>
      </c>
      <c r="F50" t="str">
        <f>IFERROR(+VLOOKUP(Movimientos_2026[[#This Row],[Codigo]],Plan_cuentas[],3,FALSE)," ")</f>
        <v>Transferencia</v>
      </c>
      <c r="G50" t="str">
        <f>IFERROR(+VLOOKUP(Movimientos_2026[[#This Row],[Codigo]],Plan_cuentas[],4,FALSE)," ")</f>
        <v>Rentas</v>
      </c>
      <c r="H50" t="str">
        <f>IFERROR(+VLOOKUP(Movimientos_2026[[#This Row],[Codigo]],Plan_cuentas[],5,FALSE)," ")</f>
        <v>SAN JUAN</v>
      </c>
      <c r="I50" s="43">
        <v>45992</v>
      </c>
      <c r="J50" t="s">
        <v>27</v>
      </c>
      <c r="K50" t="str">
        <f>IFERROR(+VLOOKUP(Movimientos_2026[[#This Row],[Codigo]],Plan_cuentas[],6,FALSE)," ")</f>
        <v>6 - FCAtr - Fiat Transf.</v>
      </c>
      <c r="L50" s="50">
        <v>5931692.5300000003</v>
      </c>
      <c r="M50" s="52"/>
      <c r="N50" s="20">
        <f>+Movimientos_2026[[#This Row],[Ingresos]]-Movimientos_2026[[#This Row],[Egresos]]</f>
        <v>5931692.5300000003</v>
      </c>
      <c r="O50" s="20">
        <f>+O49+Movimientos_2026[[#This Row],[Neto]]</f>
        <v>5411249259.4244947</v>
      </c>
    </row>
    <row r="51" spans="1:15" x14ac:dyDescent="0.25">
      <c r="A51" s="13">
        <v>46027</v>
      </c>
      <c r="B51" s="12">
        <f>MONTH(Movimientos_2026[[#This Row],[Fecha]])</f>
        <v>1</v>
      </c>
      <c r="C51" s="12" t="str">
        <f>VLOOKUP((WEEKDAY(Movimientos_2026[[#This Row],[Fecha]],2)),'5. Setup'!$D$6:$E$12,2,FALSE)</f>
        <v>Lun</v>
      </c>
      <c r="D51">
        <v>1044364</v>
      </c>
      <c r="E51" t="str">
        <f>IFERROR(+VLOOKUP(Movimientos_2026[[#This Row],[Codigo]],Plan_cuentas[],2,FALSE)," ")</f>
        <v>INGRESOS</v>
      </c>
      <c r="F51" t="str">
        <f>IFERROR(+VLOOKUP(Movimientos_2026[[#This Row],[Codigo]],Plan_cuentas[],3,FALSE)," ")</f>
        <v>Transferencia</v>
      </c>
      <c r="G51" t="str">
        <f>IFERROR(+VLOOKUP(Movimientos_2026[[#This Row],[Codigo]],Plan_cuentas[],4,FALSE)," ")</f>
        <v>Rentas</v>
      </c>
      <c r="H51" t="str">
        <f>IFERROR(+VLOOKUP(Movimientos_2026[[#This Row],[Codigo]],Plan_cuentas[],5,FALSE)," ")</f>
        <v>SAN LUIS</v>
      </c>
      <c r="I51" s="43">
        <v>45992</v>
      </c>
      <c r="J51" t="s">
        <v>27</v>
      </c>
      <c r="K51" t="str">
        <f>IFERROR(+VLOOKUP(Movimientos_2026[[#This Row],[Codigo]],Plan_cuentas[],6,FALSE)," ")</f>
        <v>4 - FCA - Fiat</v>
      </c>
      <c r="L51" s="50">
        <v>23177835.210000001</v>
      </c>
      <c r="M51" s="52"/>
      <c r="N51" s="20">
        <f>+Movimientos_2026[[#This Row],[Ingresos]]-Movimientos_2026[[#This Row],[Egresos]]</f>
        <v>23177835.210000001</v>
      </c>
      <c r="O51" s="20">
        <f>+O50+Movimientos_2026[[#This Row],[Neto]]</f>
        <v>5434427094.6344948</v>
      </c>
    </row>
    <row r="52" spans="1:15" x14ac:dyDescent="0.25">
      <c r="A52" s="13">
        <v>46027</v>
      </c>
      <c r="B52" s="12">
        <f>MONTH(Movimientos_2026[[#This Row],[Fecha]])</f>
        <v>1</v>
      </c>
      <c r="C52" s="12" t="str">
        <f>VLOOKUP((WEEKDAY(Movimientos_2026[[#This Row],[Fecha]],2)),'5. Setup'!$D$6:$E$12,2,FALSE)</f>
        <v>Lun</v>
      </c>
      <c r="D52">
        <v>1044374</v>
      </c>
      <c r="E52" t="str">
        <f>IFERROR(+VLOOKUP(Movimientos_2026[[#This Row],[Codigo]],Plan_cuentas[],2,FALSE)," ")</f>
        <v>INGRESOS</v>
      </c>
      <c r="F52" t="str">
        <f>IFERROR(+VLOOKUP(Movimientos_2026[[#This Row],[Codigo]],Plan_cuentas[],3,FALSE)," ")</f>
        <v>Transferencia</v>
      </c>
      <c r="G52" t="str">
        <f>IFERROR(+VLOOKUP(Movimientos_2026[[#This Row],[Codigo]],Plan_cuentas[],4,FALSE)," ")</f>
        <v>Rentas</v>
      </c>
      <c r="H52" t="str">
        <f>IFERROR(+VLOOKUP(Movimientos_2026[[#This Row],[Codigo]],Plan_cuentas[],5,FALSE)," ")</f>
        <v>SANTA CRUZ</v>
      </c>
      <c r="I52" s="43">
        <v>45992</v>
      </c>
      <c r="J52" t="s">
        <v>27</v>
      </c>
      <c r="K52" t="str">
        <f>IFERROR(+VLOOKUP(Movimientos_2026[[#This Row],[Codigo]],Plan_cuentas[],6,FALSE)," ")</f>
        <v>4 - FCA - Fiat</v>
      </c>
      <c r="L52" s="50">
        <v>20997995.219999999</v>
      </c>
      <c r="M52" s="52"/>
      <c r="N52" s="20">
        <f>+Movimientos_2026[[#This Row],[Ingresos]]-Movimientos_2026[[#This Row],[Egresos]]</f>
        <v>20997995.219999999</v>
      </c>
      <c r="O52" s="20">
        <f>+O51+Movimientos_2026[[#This Row],[Neto]]</f>
        <v>5455425089.854495</v>
      </c>
    </row>
    <row r="53" spans="1:15" x14ac:dyDescent="0.25">
      <c r="A53" s="13">
        <v>46027</v>
      </c>
      <c r="B53" s="12">
        <f>MONTH(Movimientos_2026[[#This Row],[Fecha]])</f>
        <v>1</v>
      </c>
      <c r="C53" s="12" t="str">
        <f>VLOOKUP((WEEKDAY(Movimientos_2026[[#This Row],[Fecha]],2)),'5. Setup'!$D$6:$E$12,2,FALSE)</f>
        <v>Lun</v>
      </c>
      <c r="D53">
        <v>1044404</v>
      </c>
      <c r="E53" t="str">
        <f>IFERROR(+VLOOKUP(Movimientos_2026[[#This Row],[Codigo]],Plan_cuentas[],2,FALSE)," ")</f>
        <v>INGRESOS</v>
      </c>
      <c r="F53" t="str">
        <f>IFERROR(+VLOOKUP(Movimientos_2026[[#This Row],[Codigo]],Plan_cuentas[],3,FALSE)," ")</f>
        <v>Transferencia</v>
      </c>
      <c r="G53" t="str">
        <f>IFERROR(+VLOOKUP(Movimientos_2026[[#This Row],[Codigo]],Plan_cuentas[],4,FALSE)," ")</f>
        <v>Rentas</v>
      </c>
      <c r="H53" t="str">
        <f>IFERROR(+VLOOKUP(Movimientos_2026[[#This Row],[Codigo]],Plan_cuentas[],5,FALSE)," ")</f>
        <v>SANTIAGO DEL ESTERO</v>
      </c>
      <c r="I53" s="43">
        <v>45992</v>
      </c>
      <c r="J53" t="s">
        <v>27</v>
      </c>
      <c r="K53" t="str">
        <f>IFERROR(+VLOOKUP(Movimientos_2026[[#This Row],[Codigo]],Plan_cuentas[],6,FALSE)," ")</f>
        <v>4 - FCA - Fiat</v>
      </c>
      <c r="L53" s="50">
        <v>19101501.670000002</v>
      </c>
      <c r="M53" s="52"/>
      <c r="N53" s="20">
        <f>+Movimientos_2026[[#This Row],[Ingresos]]-Movimientos_2026[[#This Row],[Egresos]]</f>
        <v>19101501.670000002</v>
      </c>
      <c r="O53" s="20">
        <f>+O52+Movimientos_2026[[#This Row],[Neto]]</f>
        <v>5474526591.5244951</v>
      </c>
    </row>
    <row r="54" spans="1:15" x14ac:dyDescent="0.25">
      <c r="A54" s="13">
        <v>46027</v>
      </c>
      <c r="B54" s="12">
        <f>MONTH(Movimientos_2026[[#This Row],[Fecha]])</f>
        <v>1</v>
      </c>
      <c r="C54" s="12" t="str">
        <f>VLOOKUP((WEEKDAY(Movimientos_2026[[#This Row],[Fecha]],2)),'5. Setup'!$D$6:$E$12,2,FALSE)</f>
        <v>Lun</v>
      </c>
      <c r="D54">
        <v>1044406</v>
      </c>
      <c r="E54" t="str">
        <f>IFERROR(+VLOOKUP(Movimientos_2026[[#This Row],[Codigo]],Plan_cuentas[],2,FALSE)," ")</f>
        <v>INGRESOS</v>
      </c>
      <c r="F54" t="str">
        <f>IFERROR(+VLOOKUP(Movimientos_2026[[#This Row],[Codigo]],Plan_cuentas[],3,FALSE)," ")</f>
        <v>Transferencia</v>
      </c>
      <c r="G54" t="str">
        <f>IFERROR(+VLOOKUP(Movimientos_2026[[#This Row],[Codigo]],Plan_cuentas[],4,FALSE)," ")</f>
        <v>Rentas</v>
      </c>
      <c r="H54" t="str">
        <f>IFERROR(+VLOOKUP(Movimientos_2026[[#This Row],[Codigo]],Plan_cuentas[],5,FALSE)," ")</f>
        <v>SANTIAGO DEL ESTERO</v>
      </c>
      <c r="I54" s="43">
        <v>45992</v>
      </c>
      <c r="J54" t="s">
        <v>27</v>
      </c>
      <c r="K54" t="str">
        <f>IFERROR(+VLOOKUP(Movimientos_2026[[#This Row],[Codigo]],Plan_cuentas[],6,FALSE)," ")</f>
        <v>6 - FCAtr - Fiat Transf.</v>
      </c>
      <c r="L54" s="50">
        <v>972212.9800000001</v>
      </c>
      <c r="M54" s="52"/>
      <c r="N54" s="20">
        <f>+Movimientos_2026[[#This Row],[Ingresos]]-Movimientos_2026[[#This Row],[Egresos]]</f>
        <v>972212.9800000001</v>
      </c>
      <c r="O54" s="20">
        <f>+O53+Movimientos_2026[[#This Row],[Neto]]</f>
        <v>5475498804.5044947</v>
      </c>
    </row>
    <row r="55" spans="1:15" x14ac:dyDescent="0.25">
      <c r="A55" s="13">
        <v>46027</v>
      </c>
      <c r="B55" s="12">
        <f>MONTH(Movimientos_2026[[#This Row],[Fecha]])</f>
        <v>1</v>
      </c>
      <c r="C55" s="12" t="str">
        <f>VLOOKUP((WEEKDAY(Movimientos_2026[[#This Row],[Fecha]],2)),'5. Setup'!$D$6:$E$12,2,FALSE)</f>
        <v>Lun</v>
      </c>
      <c r="D55">
        <v>1044404</v>
      </c>
      <c r="E55" t="str">
        <f>IFERROR(+VLOOKUP(Movimientos_2026[[#This Row],[Codigo]],Plan_cuentas[],2,FALSE)," ")</f>
        <v>INGRESOS</v>
      </c>
      <c r="F55" t="str">
        <f>IFERROR(+VLOOKUP(Movimientos_2026[[#This Row],[Codigo]],Plan_cuentas[],3,FALSE)," ")</f>
        <v>Transferencia</v>
      </c>
      <c r="G55" t="str">
        <f>IFERROR(+VLOOKUP(Movimientos_2026[[#This Row],[Codigo]],Plan_cuentas[],4,FALSE)," ")</f>
        <v>Rentas</v>
      </c>
      <c r="H55" t="str">
        <f>IFERROR(+VLOOKUP(Movimientos_2026[[#This Row],[Codigo]],Plan_cuentas[],5,FALSE)," ")</f>
        <v>SANTIAGO DEL ESTERO</v>
      </c>
      <c r="I55" s="43">
        <v>45992</v>
      </c>
      <c r="J55" t="s">
        <v>27</v>
      </c>
      <c r="K55" t="str">
        <f>IFERROR(+VLOOKUP(Movimientos_2026[[#This Row],[Codigo]],Plan_cuentas[],6,FALSE)," ")</f>
        <v>4 - FCA - Fiat</v>
      </c>
      <c r="L55" s="50">
        <v>13663961.810000001</v>
      </c>
      <c r="M55" s="52"/>
      <c r="N55" s="20">
        <f>+Movimientos_2026[[#This Row],[Ingresos]]-Movimientos_2026[[#This Row],[Egresos]]</f>
        <v>13663961.810000001</v>
      </c>
      <c r="O55" s="20">
        <f>+O54+Movimientos_2026[[#This Row],[Neto]]</f>
        <v>5489162766.3144951</v>
      </c>
    </row>
    <row r="56" spans="1:15" x14ac:dyDescent="0.25">
      <c r="A56" s="13">
        <v>46027</v>
      </c>
      <c r="B56" s="12">
        <f>MONTH(Movimientos_2026[[#This Row],[Fecha]])</f>
        <v>1</v>
      </c>
      <c r="C56" s="12" t="str">
        <f>VLOOKUP((WEEKDAY(Movimientos_2026[[#This Row],[Fecha]],2)),'5. Setup'!$D$6:$E$12,2,FALSE)</f>
        <v>Lun</v>
      </c>
      <c r="D56">
        <v>1044414</v>
      </c>
      <c r="E56" t="str">
        <f>IFERROR(+VLOOKUP(Movimientos_2026[[#This Row],[Codigo]],Plan_cuentas[],2,FALSE)," ")</f>
        <v>INGRESOS</v>
      </c>
      <c r="F56" t="str">
        <f>IFERROR(+VLOOKUP(Movimientos_2026[[#This Row],[Codigo]],Plan_cuentas[],3,FALSE)," ")</f>
        <v>Transferencia</v>
      </c>
      <c r="G56" t="str">
        <f>IFERROR(+VLOOKUP(Movimientos_2026[[#This Row],[Codigo]],Plan_cuentas[],4,FALSE)," ")</f>
        <v>Rentas</v>
      </c>
      <c r="H56" t="str">
        <f>IFERROR(+VLOOKUP(Movimientos_2026[[#This Row],[Codigo]],Plan_cuentas[],5,FALSE)," ")</f>
        <v>TIERRA DEL FUEGO</v>
      </c>
      <c r="I56" s="43">
        <v>45992</v>
      </c>
      <c r="J56" t="s">
        <v>27</v>
      </c>
      <c r="K56" t="str">
        <f>IFERROR(+VLOOKUP(Movimientos_2026[[#This Row],[Codigo]],Plan_cuentas[],6,FALSE)," ")</f>
        <v>4 - FCA - Fiat</v>
      </c>
      <c r="L56" s="50">
        <v>19110528.800000001</v>
      </c>
      <c r="M56" s="52"/>
      <c r="N56" s="20">
        <f>+Movimientos_2026[[#This Row],[Ingresos]]-Movimientos_2026[[#This Row],[Egresos]]</f>
        <v>19110528.800000001</v>
      </c>
      <c r="O56" s="20">
        <f>+O55+Movimientos_2026[[#This Row],[Neto]]</f>
        <v>5508273295.1144953</v>
      </c>
    </row>
    <row r="57" spans="1:15" x14ac:dyDescent="0.25">
      <c r="A57" s="13">
        <v>46027</v>
      </c>
      <c r="B57" s="12">
        <f>MONTH(Movimientos_2026[[#This Row],[Fecha]])</f>
        <v>1</v>
      </c>
      <c r="C57" s="12" t="str">
        <f>VLOOKUP((WEEKDAY(Movimientos_2026[[#This Row],[Fecha]],2)),'5. Setup'!$D$6:$E$12,2,FALSE)</f>
        <v>Lun</v>
      </c>
      <c r="D57">
        <v>1043141</v>
      </c>
      <c r="E57" t="str">
        <f>IFERROR(+VLOOKUP(Movimientos_2026[[#This Row],[Codigo]],Plan_cuentas[],2,FALSE)," ")</f>
        <v>INGRESOS</v>
      </c>
      <c r="F57" t="str">
        <f>IFERROR(+VLOOKUP(Movimientos_2026[[#This Row],[Codigo]],Plan_cuentas[],3,FALSE)," ")</f>
        <v>Transferencia</v>
      </c>
      <c r="G57" t="str">
        <f>IFERROR(+VLOOKUP(Movimientos_2026[[#This Row],[Codigo]],Plan_cuentas[],4,FALSE)," ")</f>
        <v>Registración</v>
      </c>
      <c r="H57" t="str">
        <f>IFERROR(+VLOOKUP(Movimientos_2026[[#This Row],[Codigo]],Plan_cuentas[],5,FALSE)," ")</f>
        <v>BUENOS AIRES</v>
      </c>
      <c r="I57" s="43">
        <v>45992</v>
      </c>
      <c r="J57" t="s">
        <v>28</v>
      </c>
      <c r="K57" t="str">
        <f>IFERROR(+VLOOKUP(Movimientos_2026[[#This Row],[Codigo]],Plan_cuentas[],6,FALSE)," ")</f>
        <v>1 - VW - Volkswagen</v>
      </c>
      <c r="L57" s="50">
        <v>55311129.899999999</v>
      </c>
      <c r="M57" s="50"/>
      <c r="N57" s="20">
        <f>+Movimientos_2026[[#This Row],[Ingresos]]-Movimientos_2026[[#This Row],[Egresos]]</f>
        <v>55311129.899999999</v>
      </c>
      <c r="O57" s="20">
        <f>+O56+Movimientos_2026[[#This Row],[Neto]]</f>
        <v>5563584425.0144949</v>
      </c>
    </row>
    <row r="58" spans="1:15" x14ac:dyDescent="0.25">
      <c r="A58" s="13">
        <v>46027</v>
      </c>
      <c r="B58" s="12">
        <f>MONTH(Movimientos_2026[[#This Row],[Fecha]])</f>
        <v>1</v>
      </c>
      <c r="C58" s="12" t="str">
        <f>VLOOKUP((WEEKDAY(Movimientos_2026[[#This Row],[Fecha]],2)),'5. Setup'!$D$6:$E$12,2,FALSE)</f>
        <v>Lun</v>
      </c>
      <c r="D58">
        <v>1042111</v>
      </c>
      <c r="E58" t="str">
        <f>IFERROR(+VLOOKUP(Movimientos_2026[[#This Row],[Codigo]],Plan_cuentas[],2,FALSE)," ")</f>
        <v>INGRESOS</v>
      </c>
      <c r="F58" t="str">
        <f>IFERROR(+VLOOKUP(Movimientos_2026[[#This Row],[Codigo]],Plan_cuentas[],3,FALSE)," ")</f>
        <v>Transferencia</v>
      </c>
      <c r="G58" t="str">
        <f>IFERROR(+VLOOKUP(Movimientos_2026[[#This Row],[Codigo]],Plan_cuentas[],4,FALSE)," ")</f>
        <v>Entidades tercerizadas</v>
      </c>
      <c r="H58" t="str">
        <f>IFERROR(+VLOOKUP(Movimientos_2026[[#This Row],[Codigo]],Plan_cuentas[],5,FALSE)," ")</f>
        <v>APESI</v>
      </c>
      <c r="I58" s="43">
        <v>45992</v>
      </c>
      <c r="J58" t="s">
        <v>28</v>
      </c>
      <c r="K58" t="str">
        <f>IFERROR(+VLOOKUP(Movimientos_2026[[#This Row],[Codigo]],Plan_cuentas[],6,FALSE)," ")</f>
        <v>1 - VW - Volkswagen</v>
      </c>
      <c r="L58" s="50">
        <v>55311129.899999999</v>
      </c>
      <c r="M58" s="50"/>
      <c r="N58" s="20">
        <f>+Movimientos_2026[[#This Row],[Ingresos]]-Movimientos_2026[[#This Row],[Egresos]]</f>
        <v>55311129.899999999</v>
      </c>
      <c r="O58" s="20">
        <f>+O57+Movimientos_2026[[#This Row],[Neto]]</f>
        <v>5618895554.9144945</v>
      </c>
    </row>
    <row r="59" spans="1:15" x14ac:dyDescent="0.25">
      <c r="A59" s="13">
        <v>46027</v>
      </c>
      <c r="B59" s="12">
        <f>MONTH(Movimientos_2026[[#This Row],[Fecha]])</f>
        <v>1</v>
      </c>
      <c r="C59" s="12" t="str">
        <f>VLOOKUP((WEEKDAY(Movimientos_2026[[#This Row],[Fecha]],2)),'5. Setup'!$D$6:$E$12,2,FALSE)</f>
        <v>Lun</v>
      </c>
      <c r="D59">
        <v>1041431</v>
      </c>
      <c r="E59" t="str">
        <f>IFERROR(+VLOOKUP(Movimientos_2026[[#This Row],[Codigo]],Plan_cuentas[],2,FALSE)," ")</f>
        <v>INGRESOS</v>
      </c>
      <c r="F59" t="str">
        <f>IFERROR(+VLOOKUP(Movimientos_2026[[#This Row],[Codigo]],Plan_cuentas[],3,FALSE)," ")</f>
        <v>Transferencia</v>
      </c>
      <c r="G59" t="str">
        <f>IFERROR(+VLOOKUP(Movimientos_2026[[#This Row],[Codigo]],Plan_cuentas[],4,FALSE)," ")</f>
        <v>Entidades co-participadas</v>
      </c>
      <c r="H59" t="str">
        <f>IFERROR(+VLOOKUP(Movimientos_2026[[#This Row],[Codigo]],Plan_cuentas[],5,FALSE)," ")</f>
        <v>UEDA</v>
      </c>
      <c r="I59" s="43">
        <v>45992</v>
      </c>
      <c r="J59" t="s">
        <v>28</v>
      </c>
      <c r="K59" t="str">
        <f>IFERROR(+VLOOKUP(Movimientos_2026[[#This Row],[Codigo]],Plan_cuentas[],6,FALSE)," ")</f>
        <v>1 - VW - Volkswagen</v>
      </c>
      <c r="L59" s="50">
        <v>55311129.899999999</v>
      </c>
      <c r="M59" s="50"/>
      <c r="N59" s="20">
        <f>+Movimientos_2026[[#This Row],[Ingresos]]-Movimientos_2026[[#This Row],[Egresos]]</f>
        <v>55311129.899999999</v>
      </c>
      <c r="O59" s="20">
        <f>+O58+Movimientos_2026[[#This Row],[Neto]]</f>
        <v>5674206684.8144941</v>
      </c>
    </row>
    <row r="60" spans="1:15" x14ac:dyDescent="0.25">
      <c r="A60" s="13">
        <v>46027</v>
      </c>
      <c r="B60" s="12">
        <f>MONTH(Movimientos_2026[[#This Row],[Fecha]])</f>
        <v>1</v>
      </c>
      <c r="C60" s="12" t="str">
        <f>VLOOKUP((WEEKDAY(Movimientos_2026[[#This Row],[Fecha]],2)),'5. Setup'!$D$6:$E$12,2,FALSE)</f>
        <v>Lun</v>
      </c>
      <c r="D60">
        <v>1041441</v>
      </c>
      <c r="E60" t="str">
        <f>IFERROR(+VLOOKUP(Movimientos_2026[[#This Row],[Codigo]],Plan_cuentas[],2,FALSE)," ")</f>
        <v>INGRESOS</v>
      </c>
      <c r="F60" t="str">
        <f>IFERROR(+VLOOKUP(Movimientos_2026[[#This Row],[Codigo]],Plan_cuentas[],3,FALSE)," ")</f>
        <v>Transferencia</v>
      </c>
      <c r="G60" t="str">
        <f>IFERROR(+VLOOKUP(Movimientos_2026[[#This Row],[Codigo]],Plan_cuentas[],4,FALSE)," ")</f>
        <v>Entidades co-participadas</v>
      </c>
      <c r="H60" t="str">
        <f>IFERROR(+VLOOKUP(Movimientos_2026[[#This Row],[Codigo]],Plan_cuentas[],5,FALSE)," ")</f>
        <v>UISCUMARR</v>
      </c>
      <c r="I60" s="43">
        <v>45992</v>
      </c>
      <c r="J60" t="s">
        <v>28</v>
      </c>
      <c r="K60" t="str">
        <f>IFERROR(+VLOOKUP(Movimientos_2026[[#This Row],[Codigo]],Plan_cuentas[],6,FALSE)," ")</f>
        <v>1 - VW - Volkswagen</v>
      </c>
      <c r="L60" s="50">
        <v>55311129.899999999</v>
      </c>
      <c r="M60" s="50"/>
      <c r="N60" s="20">
        <f>+Movimientos_2026[[#This Row],[Ingresos]]-Movimientos_2026[[#This Row],[Egresos]]</f>
        <v>55311129.899999999</v>
      </c>
      <c r="O60" s="20">
        <f>+O59+Movimientos_2026[[#This Row],[Neto]]</f>
        <v>5729517814.7144938</v>
      </c>
    </row>
    <row r="61" spans="1:15" x14ac:dyDescent="0.25">
      <c r="A61" s="13">
        <v>46028</v>
      </c>
      <c r="B61" s="12">
        <f>MONTH(Movimientos_2026[[#This Row],[Fecha]])</f>
        <v>1</v>
      </c>
      <c r="C61" s="12" t="str">
        <f>VLOOKUP((WEEKDAY(Movimientos_2026[[#This Row],[Fecha]],2)),'5. Setup'!$D$6:$E$12,2,FALSE)</f>
        <v>Mar</v>
      </c>
      <c r="D61">
        <v>1045474</v>
      </c>
      <c r="E61" t="str">
        <f>IFERROR(+VLOOKUP(Movimientos_2026[[#This Row],[Codigo]],Plan_cuentas[],2,FALSE)," ")</f>
        <v>INGRESOS</v>
      </c>
      <c r="F61" t="str">
        <f>IFERROR(+VLOOKUP(Movimientos_2026[[#This Row],[Codigo]],Plan_cuentas[],3,FALSE)," ")</f>
        <v>Transferencia</v>
      </c>
      <c r="G61" t="str">
        <f>IFERROR(+VLOOKUP(Movimientos_2026[[#This Row],[Codigo]],Plan_cuentas[],4,FALSE)," ")</f>
        <v>Factura</v>
      </c>
      <c r="H61" t="str">
        <f>IFERROR(+VLOOKUP(Movimientos_2026[[#This Row],[Codigo]],Plan_cuentas[],5,FALSE)," ")</f>
        <v>FC HONORARIOS</v>
      </c>
      <c r="I61" s="43">
        <v>45931</v>
      </c>
      <c r="J61" t="s">
        <v>29</v>
      </c>
      <c r="K61" t="str">
        <f>IFERROR(+VLOOKUP(Movimientos_2026[[#This Row],[Codigo]],Plan_cuentas[],6,FALSE)," ")</f>
        <v>4 - FCA - Fiat</v>
      </c>
      <c r="L61" s="50">
        <v>2898085</v>
      </c>
      <c r="M61" s="52"/>
      <c r="N61" s="20">
        <f>+Movimientos_2026[[#This Row],[Ingresos]]-Movimientos_2026[[#This Row],[Egresos]]</f>
        <v>2898085</v>
      </c>
      <c r="O61" s="20">
        <f>+O60+Movimientos_2026[[#This Row],[Neto]]</f>
        <v>5732415899.7144938</v>
      </c>
    </row>
    <row r="62" spans="1:15" x14ac:dyDescent="0.25">
      <c r="A62" s="13">
        <v>46028</v>
      </c>
      <c r="B62" s="12">
        <f>MONTH(Movimientos_2026[[#This Row],[Fecha]])</f>
        <v>1</v>
      </c>
      <c r="C62" s="12" t="str">
        <f>VLOOKUP((WEEKDAY(Movimientos_2026[[#This Row],[Fecha]],2)),'5. Setup'!$D$6:$E$12,2,FALSE)</f>
        <v>Mar</v>
      </c>
      <c r="D62">
        <v>1043151</v>
      </c>
      <c r="E62" t="str">
        <f>IFERROR(+VLOOKUP(Movimientos_2026[[#This Row],[Codigo]],Plan_cuentas[],2,FALSE)," ")</f>
        <v>INGRESOS</v>
      </c>
      <c r="F62" t="str">
        <f>IFERROR(+VLOOKUP(Movimientos_2026[[#This Row],[Codigo]],Plan_cuentas[],3,FALSE)," ")</f>
        <v>Transferencia</v>
      </c>
      <c r="G62" t="str">
        <f>IFERROR(+VLOOKUP(Movimientos_2026[[#This Row],[Codigo]],Plan_cuentas[],4,FALSE)," ")</f>
        <v>Registración</v>
      </c>
      <c r="H62" t="str">
        <f>IFERROR(+VLOOKUP(Movimientos_2026[[#This Row],[Codigo]],Plan_cuentas[],5,FALSE)," ")</f>
        <v>CABA</v>
      </c>
      <c r="I62" s="43">
        <v>45992</v>
      </c>
      <c r="J62" t="s">
        <v>30</v>
      </c>
      <c r="K62" t="str">
        <f>IFERROR(+VLOOKUP(Movimientos_2026[[#This Row],[Codigo]],Plan_cuentas[],6,FALSE)," ")</f>
        <v>1 - VW - Volkswagen</v>
      </c>
      <c r="L62" s="50">
        <v>39440301.169999987</v>
      </c>
      <c r="M62" s="50"/>
      <c r="N62" s="20">
        <f>+Movimientos_2026[[#This Row],[Ingresos]]-Movimientos_2026[[#This Row],[Egresos]]</f>
        <v>39440301.169999987</v>
      </c>
      <c r="O62" s="20">
        <f>+O61+Movimientos_2026[[#This Row],[Neto]]</f>
        <v>5771856200.8844938</v>
      </c>
    </row>
    <row r="63" spans="1:15" x14ac:dyDescent="0.25">
      <c r="A63" s="13">
        <v>46028</v>
      </c>
      <c r="B63" s="12">
        <f>MONTH(Movimientos_2026[[#This Row],[Fecha]])</f>
        <v>1</v>
      </c>
      <c r="C63" s="12" t="str">
        <f>VLOOKUP((WEEKDAY(Movimientos_2026[[#This Row],[Fecha]],2)),'5. Setup'!$D$6:$E$12,2,FALSE)</f>
        <v>Mar</v>
      </c>
      <c r="D63">
        <v>1043221</v>
      </c>
      <c r="E63" t="str">
        <f>IFERROR(+VLOOKUP(Movimientos_2026[[#This Row],[Codigo]],Plan_cuentas[],2,FALSE)," ")</f>
        <v>INGRESOS</v>
      </c>
      <c r="F63" t="str">
        <f>IFERROR(+VLOOKUP(Movimientos_2026[[#This Row],[Codigo]],Plan_cuentas[],3,FALSE)," ")</f>
        <v>Transferencia</v>
      </c>
      <c r="G63" t="str">
        <f>IFERROR(+VLOOKUP(Movimientos_2026[[#This Row],[Codigo]],Plan_cuentas[],4,FALSE)," ")</f>
        <v>Registración</v>
      </c>
      <c r="H63" t="str">
        <f>IFERROR(+VLOOKUP(Movimientos_2026[[#This Row],[Codigo]],Plan_cuentas[],5,FALSE)," ")</f>
        <v>ENTRE RIOS 1° Q</v>
      </c>
      <c r="I63" s="43">
        <v>45992</v>
      </c>
      <c r="J63" t="s">
        <v>30</v>
      </c>
      <c r="K63" t="str">
        <f>IFERROR(+VLOOKUP(Movimientos_2026[[#This Row],[Codigo]],Plan_cuentas[],6,FALSE)," ")</f>
        <v>1 - VW - Volkswagen</v>
      </c>
      <c r="L63" s="50">
        <v>8478818.4000000004</v>
      </c>
      <c r="M63" s="50"/>
      <c r="N63" s="20">
        <f>+Movimientos_2026[[#This Row],[Ingresos]]-Movimientos_2026[[#This Row],[Egresos]]</f>
        <v>8478818.4000000004</v>
      </c>
      <c r="O63" s="20">
        <f>+O62+Movimientos_2026[[#This Row],[Neto]]</f>
        <v>5780335019.2844934</v>
      </c>
    </row>
    <row r="64" spans="1:15" x14ac:dyDescent="0.25">
      <c r="A64" s="13">
        <v>46028</v>
      </c>
      <c r="B64" s="12">
        <f>MONTH(Movimientos_2026[[#This Row],[Fecha]])</f>
        <v>1</v>
      </c>
      <c r="C64" s="12" t="str">
        <f>VLOOKUP((WEEKDAY(Movimientos_2026[[#This Row],[Fecha]],2)),'5. Setup'!$D$6:$E$12,2,FALSE)</f>
        <v>Mar</v>
      </c>
      <c r="D64">
        <v>1043231</v>
      </c>
      <c r="E64" t="str">
        <f>IFERROR(+VLOOKUP(Movimientos_2026[[#This Row],[Codigo]],Plan_cuentas[],2,FALSE)," ")</f>
        <v>INGRESOS</v>
      </c>
      <c r="F64" t="str">
        <f>IFERROR(+VLOOKUP(Movimientos_2026[[#This Row],[Codigo]],Plan_cuentas[],3,FALSE)," ")</f>
        <v>Transferencia</v>
      </c>
      <c r="G64" t="str">
        <f>IFERROR(+VLOOKUP(Movimientos_2026[[#This Row],[Codigo]],Plan_cuentas[],4,FALSE)," ")</f>
        <v>Registración</v>
      </c>
      <c r="H64" t="str">
        <f>IFERROR(+VLOOKUP(Movimientos_2026[[#This Row],[Codigo]],Plan_cuentas[],5,FALSE)," ")</f>
        <v>ENTRE RIOS 2° Q</v>
      </c>
      <c r="I64" s="43">
        <v>45992</v>
      </c>
      <c r="J64" t="s">
        <v>30</v>
      </c>
      <c r="K64" t="str">
        <f>IFERROR(+VLOOKUP(Movimientos_2026[[#This Row],[Codigo]],Plan_cuentas[],6,FALSE)," ")</f>
        <v>1 - VW - Volkswagen</v>
      </c>
      <c r="L64" s="50">
        <v>1687012</v>
      </c>
      <c r="M64" s="50"/>
      <c r="N64" s="20">
        <f>+Movimientos_2026[[#This Row],[Ingresos]]-Movimientos_2026[[#This Row],[Egresos]]</f>
        <v>1687012</v>
      </c>
      <c r="O64" s="20">
        <f>+O63+Movimientos_2026[[#This Row],[Neto]]</f>
        <v>5782022031.2844934</v>
      </c>
    </row>
    <row r="65" spans="1:15" x14ac:dyDescent="0.25">
      <c r="A65" s="13">
        <v>46028</v>
      </c>
      <c r="B65" s="12">
        <f>MONTH(Movimientos_2026[[#This Row],[Fecha]])</f>
        <v>1</v>
      </c>
      <c r="C65" s="12" t="str">
        <f>VLOOKUP((WEEKDAY(Movimientos_2026[[#This Row],[Fecha]],2)),'5. Setup'!$D$6:$E$12,2,FALSE)</f>
        <v>Mar</v>
      </c>
      <c r="D65">
        <v>1043341</v>
      </c>
      <c r="E65" t="str">
        <f>IFERROR(+VLOOKUP(Movimientos_2026[[#This Row],[Codigo]],Plan_cuentas[],2,FALSE)," ")</f>
        <v>INGRESOS</v>
      </c>
      <c r="F65" t="str">
        <f>IFERROR(+VLOOKUP(Movimientos_2026[[#This Row],[Codigo]],Plan_cuentas[],3,FALSE)," ")</f>
        <v>Transferencia</v>
      </c>
      <c r="G65" t="str">
        <f>IFERROR(+VLOOKUP(Movimientos_2026[[#This Row],[Codigo]],Plan_cuentas[],4,FALSE)," ")</f>
        <v>Registración</v>
      </c>
      <c r="H65" t="str">
        <f>IFERROR(+VLOOKUP(Movimientos_2026[[#This Row],[Codigo]],Plan_cuentas[],5,FALSE)," ")</f>
        <v>RIO NEGRO</v>
      </c>
      <c r="I65" s="43">
        <v>45992</v>
      </c>
      <c r="J65" t="s">
        <v>30</v>
      </c>
      <c r="K65" t="str">
        <f>IFERROR(+VLOOKUP(Movimientos_2026[[#This Row],[Codigo]],Plan_cuentas[],6,FALSE)," ")</f>
        <v>1 - VW - Volkswagen</v>
      </c>
      <c r="L65" s="50">
        <v>16264982.880000001</v>
      </c>
      <c r="M65" s="50"/>
      <c r="N65" s="20">
        <f>+Movimientos_2026[[#This Row],[Ingresos]]-Movimientos_2026[[#This Row],[Egresos]]</f>
        <v>16264982.880000001</v>
      </c>
      <c r="O65" s="20">
        <f>+O64+Movimientos_2026[[#This Row],[Neto]]</f>
        <v>5798287014.1644936</v>
      </c>
    </row>
    <row r="66" spans="1:15" x14ac:dyDescent="0.25">
      <c r="A66" s="13">
        <v>46028</v>
      </c>
      <c r="B66" s="12">
        <f>MONTH(Movimientos_2026[[#This Row],[Fecha]])</f>
        <v>1</v>
      </c>
      <c r="C66" s="12" t="str">
        <f>VLOOKUP((WEEKDAY(Movimientos_2026[[#This Row],[Fecha]],2)),'5. Setup'!$D$6:$E$12,2,FALSE)</f>
        <v>Mar</v>
      </c>
      <c r="D66">
        <v>1044161</v>
      </c>
      <c r="E66" t="str">
        <f>IFERROR(+VLOOKUP(Movimientos_2026[[#This Row],[Codigo]],Plan_cuentas[],2,FALSE)," ")</f>
        <v>INGRESOS</v>
      </c>
      <c r="F66" t="str">
        <f>IFERROR(+VLOOKUP(Movimientos_2026[[#This Row],[Codigo]],Plan_cuentas[],3,FALSE)," ")</f>
        <v>Transferencia</v>
      </c>
      <c r="G66" t="str">
        <f>IFERROR(+VLOOKUP(Movimientos_2026[[#This Row],[Codigo]],Plan_cuentas[],4,FALSE)," ")</f>
        <v>Rentas</v>
      </c>
      <c r="H66" t="str">
        <f>IFERROR(+VLOOKUP(Movimientos_2026[[#This Row],[Codigo]],Plan_cuentas[],5,FALSE)," ")</f>
        <v>CHACO</v>
      </c>
      <c r="I66" s="43">
        <v>45992</v>
      </c>
      <c r="J66" t="s">
        <v>30</v>
      </c>
      <c r="K66" t="str">
        <f>IFERROR(+VLOOKUP(Movimientos_2026[[#This Row],[Codigo]],Plan_cuentas[],6,FALSE)," ")</f>
        <v>1 - VW - Volkswagen</v>
      </c>
      <c r="L66" s="50">
        <v>14270481.140000001</v>
      </c>
      <c r="M66" s="52"/>
      <c r="N66" s="20">
        <f>+Movimientos_2026[[#This Row],[Ingresos]]-Movimientos_2026[[#This Row],[Egresos]]</f>
        <v>14270481.140000001</v>
      </c>
      <c r="O66" s="20">
        <f>+O65+Movimientos_2026[[#This Row],[Neto]]</f>
        <v>5812557495.3044939</v>
      </c>
    </row>
    <row r="67" spans="1:15" x14ac:dyDescent="0.25">
      <c r="A67" s="13">
        <v>46028</v>
      </c>
      <c r="B67" s="12">
        <f>MONTH(Movimientos_2026[[#This Row],[Fecha]])</f>
        <v>1</v>
      </c>
      <c r="C67" s="12" t="str">
        <f>VLOOKUP((WEEKDAY(Movimientos_2026[[#This Row],[Fecha]],2)),'5. Setup'!$D$6:$E$12,2,FALSE)</f>
        <v>Mar</v>
      </c>
      <c r="D67">
        <v>1044171</v>
      </c>
      <c r="E67" t="str">
        <f>IFERROR(+VLOOKUP(Movimientos_2026[[#This Row],[Codigo]],Plan_cuentas[],2,FALSE)," ")</f>
        <v>INGRESOS</v>
      </c>
      <c r="F67" t="str">
        <f>IFERROR(+VLOOKUP(Movimientos_2026[[#This Row],[Codigo]],Plan_cuentas[],3,FALSE)," ")</f>
        <v>Transferencia</v>
      </c>
      <c r="G67" t="str">
        <f>IFERROR(+VLOOKUP(Movimientos_2026[[#This Row],[Codigo]],Plan_cuentas[],4,FALSE)," ")</f>
        <v>Rentas</v>
      </c>
      <c r="H67" t="str">
        <f>IFERROR(+VLOOKUP(Movimientos_2026[[#This Row],[Codigo]],Plan_cuentas[],5,FALSE)," ")</f>
        <v>CHUBUT</v>
      </c>
      <c r="I67" s="43">
        <v>45992</v>
      </c>
      <c r="J67" t="s">
        <v>30</v>
      </c>
      <c r="K67" t="str">
        <f>IFERROR(+VLOOKUP(Movimientos_2026[[#This Row],[Codigo]],Plan_cuentas[],6,FALSE)," ")</f>
        <v>1 - VW - Volkswagen</v>
      </c>
      <c r="L67" s="50">
        <v>5082350.6174999997</v>
      </c>
      <c r="M67" s="52"/>
      <c r="N67" s="20">
        <f>+Movimientos_2026[[#This Row],[Ingresos]]-Movimientos_2026[[#This Row],[Egresos]]</f>
        <v>5082350.6174999997</v>
      </c>
      <c r="O67" s="20">
        <f>+O66+Movimientos_2026[[#This Row],[Neto]]</f>
        <v>5817639845.9219942</v>
      </c>
    </row>
    <row r="68" spans="1:15" x14ac:dyDescent="0.25">
      <c r="A68" s="13">
        <v>46028</v>
      </c>
      <c r="B68" s="12">
        <f>MONTH(Movimientos_2026[[#This Row],[Fecha]])</f>
        <v>1</v>
      </c>
      <c r="C68" s="12" t="str">
        <f>VLOOKUP((WEEKDAY(Movimientos_2026[[#This Row],[Fecha]],2)),'5. Setup'!$D$6:$E$12,2,FALSE)</f>
        <v>Mar</v>
      </c>
      <c r="D68">
        <v>1044201</v>
      </c>
      <c r="E68" t="str">
        <f>IFERROR(+VLOOKUP(Movimientos_2026[[#This Row],[Codigo]],Plan_cuentas[],2,FALSE)," ")</f>
        <v>INGRESOS</v>
      </c>
      <c r="F68" t="str">
        <f>IFERROR(+VLOOKUP(Movimientos_2026[[#This Row],[Codigo]],Plan_cuentas[],3,FALSE)," ")</f>
        <v>Transferencia</v>
      </c>
      <c r="G68" t="str">
        <f>IFERROR(+VLOOKUP(Movimientos_2026[[#This Row],[Codigo]],Plan_cuentas[],4,FALSE)," ")</f>
        <v>Rentas</v>
      </c>
      <c r="H68" t="str">
        <f>IFERROR(+VLOOKUP(Movimientos_2026[[#This Row],[Codigo]],Plan_cuentas[],5,FALSE)," ")</f>
        <v>CORRIENTES 1° Q</v>
      </c>
      <c r="I68" s="43">
        <v>45992</v>
      </c>
      <c r="J68" t="s">
        <v>30</v>
      </c>
      <c r="K68" t="str">
        <f>IFERROR(+VLOOKUP(Movimientos_2026[[#This Row],[Codigo]],Plan_cuentas[],6,FALSE)," ")</f>
        <v>1 - VW - Volkswagen</v>
      </c>
      <c r="L68" s="50">
        <v>3161177.32</v>
      </c>
      <c r="M68" s="52"/>
      <c r="N68" s="20">
        <f>+Movimientos_2026[[#This Row],[Ingresos]]-Movimientos_2026[[#This Row],[Egresos]]</f>
        <v>3161177.32</v>
      </c>
      <c r="O68" s="20">
        <f>+O67+Movimientos_2026[[#This Row],[Neto]]</f>
        <v>5820801023.2419939</v>
      </c>
    </row>
    <row r="69" spans="1:15" x14ac:dyDescent="0.25">
      <c r="A69" s="13">
        <v>46028</v>
      </c>
      <c r="B69" s="12">
        <f>MONTH(Movimientos_2026[[#This Row],[Fecha]])</f>
        <v>1</v>
      </c>
      <c r="C69" s="12" t="str">
        <f>VLOOKUP((WEEKDAY(Movimientos_2026[[#This Row],[Fecha]],2)),'5. Setup'!$D$6:$E$12,2,FALSE)</f>
        <v>Mar</v>
      </c>
      <c r="D69">
        <v>1044211</v>
      </c>
      <c r="E69" t="str">
        <f>IFERROR(+VLOOKUP(Movimientos_2026[[#This Row],[Codigo]],Plan_cuentas[],2,FALSE)," ")</f>
        <v>INGRESOS</v>
      </c>
      <c r="F69" t="str">
        <f>IFERROR(+VLOOKUP(Movimientos_2026[[#This Row],[Codigo]],Plan_cuentas[],3,FALSE)," ")</f>
        <v>Transferencia</v>
      </c>
      <c r="G69" t="str">
        <f>IFERROR(+VLOOKUP(Movimientos_2026[[#This Row],[Codigo]],Plan_cuentas[],4,FALSE)," ")</f>
        <v>Rentas</v>
      </c>
      <c r="H69" t="str">
        <f>IFERROR(+VLOOKUP(Movimientos_2026[[#This Row],[Codigo]],Plan_cuentas[],5,FALSE)," ")</f>
        <v>CORRIENTES 2° Q</v>
      </c>
      <c r="I69" s="43">
        <v>45992</v>
      </c>
      <c r="J69" t="s">
        <v>30</v>
      </c>
      <c r="K69" t="str">
        <f>IFERROR(+VLOOKUP(Movimientos_2026[[#This Row],[Codigo]],Plan_cuentas[],6,FALSE)," ")</f>
        <v>1 - VW - Volkswagen</v>
      </c>
      <c r="L69" s="50">
        <v>1376685.5</v>
      </c>
      <c r="M69" s="52"/>
      <c r="N69" s="20">
        <f>+Movimientos_2026[[#This Row],[Ingresos]]-Movimientos_2026[[#This Row],[Egresos]]</f>
        <v>1376685.5</v>
      </c>
      <c r="O69" s="20">
        <f>+O68+Movimientos_2026[[#This Row],[Neto]]</f>
        <v>5822177708.7419939</v>
      </c>
    </row>
    <row r="70" spans="1:15" x14ac:dyDescent="0.25">
      <c r="A70" s="13">
        <v>46028</v>
      </c>
      <c r="B70" s="12">
        <f>MONTH(Movimientos_2026[[#This Row],[Fecha]])</f>
        <v>1</v>
      </c>
      <c r="C70" s="12" t="str">
        <f>VLOOKUP((WEEKDAY(Movimientos_2026[[#This Row],[Fecha]],2)),'5. Setup'!$D$6:$E$12,2,FALSE)</f>
        <v>Mar</v>
      </c>
      <c r="D70">
        <v>1044241</v>
      </c>
      <c r="E70" t="str">
        <f>IFERROR(+VLOOKUP(Movimientos_2026[[#This Row],[Codigo]],Plan_cuentas[],2,FALSE)," ")</f>
        <v>INGRESOS</v>
      </c>
      <c r="F70" t="str">
        <f>IFERROR(+VLOOKUP(Movimientos_2026[[#This Row],[Codigo]],Plan_cuentas[],3,FALSE)," ")</f>
        <v>Transferencia</v>
      </c>
      <c r="G70" t="str">
        <f>IFERROR(+VLOOKUP(Movimientos_2026[[#This Row],[Codigo]],Plan_cuentas[],4,FALSE)," ")</f>
        <v>Rentas</v>
      </c>
      <c r="H70" t="str">
        <f>IFERROR(+VLOOKUP(Movimientos_2026[[#This Row],[Codigo]],Plan_cuentas[],5,FALSE)," ")</f>
        <v>FORMOSA</v>
      </c>
      <c r="I70" s="43">
        <v>45992</v>
      </c>
      <c r="J70" t="s">
        <v>30</v>
      </c>
      <c r="K70" t="str">
        <f>IFERROR(+VLOOKUP(Movimientos_2026[[#This Row],[Codigo]],Plan_cuentas[],6,FALSE)," ")</f>
        <v>1 - VW - Volkswagen</v>
      </c>
      <c r="L70" s="50">
        <v>2609353.7599999998</v>
      </c>
      <c r="M70" s="52"/>
      <c r="N70" s="20">
        <f>+Movimientos_2026[[#This Row],[Ingresos]]-Movimientos_2026[[#This Row],[Egresos]]</f>
        <v>2609353.7599999998</v>
      </c>
      <c r="O70" s="20">
        <f>+O69+Movimientos_2026[[#This Row],[Neto]]</f>
        <v>5824787062.5019941</v>
      </c>
    </row>
    <row r="71" spans="1:15" x14ac:dyDescent="0.25">
      <c r="A71" s="13">
        <v>46028</v>
      </c>
      <c r="B71" s="12">
        <f>MONTH(Movimientos_2026[[#This Row],[Fecha]])</f>
        <v>1</v>
      </c>
      <c r="C71" s="12" t="str">
        <f>VLOOKUP((WEEKDAY(Movimientos_2026[[#This Row],[Fecha]],2)),'5. Setup'!$D$6:$E$12,2,FALSE)</f>
        <v>Mar</v>
      </c>
      <c r="D71">
        <v>1044261</v>
      </c>
      <c r="E71" t="str">
        <f>IFERROR(+VLOOKUP(Movimientos_2026[[#This Row],[Codigo]],Plan_cuentas[],2,FALSE)," ")</f>
        <v>INGRESOS</v>
      </c>
      <c r="F71" t="str">
        <f>IFERROR(+VLOOKUP(Movimientos_2026[[#This Row],[Codigo]],Plan_cuentas[],3,FALSE)," ")</f>
        <v>Transferencia</v>
      </c>
      <c r="G71" t="str">
        <f>IFERROR(+VLOOKUP(Movimientos_2026[[#This Row],[Codigo]],Plan_cuentas[],4,FALSE)," ")</f>
        <v>Rentas</v>
      </c>
      <c r="H71" t="str">
        <f>IFERROR(+VLOOKUP(Movimientos_2026[[#This Row],[Codigo]],Plan_cuentas[],5,FALSE)," ")</f>
        <v>LA PAMPA</v>
      </c>
      <c r="I71" s="43">
        <v>45992</v>
      </c>
      <c r="J71" t="s">
        <v>30</v>
      </c>
      <c r="K71" t="str">
        <f>IFERROR(+VLOOKUP(Movimientos_2026[[#This Row],[Codigo]],Plan_cuentas[],6,FALSE)," ")</f>
        <v>1 - VW - Volkswagen</v>
      </c>
      <c r="L71" s="50">
        <v>1791793.75</v>
      </c>
      <c r="M71" s="52"/>
      <c r="N71" s="20">
        <f>+Movimientos_2026[[#This Row],[Ingresos]]-Movimientos_2026[[#This Row],[Egresos]]</f>
        <v>1791793.75</v>
      </c>
      <c r="O71" s="20">
        <f>+O70+Movimientos_2026[[#This Row],[Neto]]</f>
        <v>5826578856.2519941</v>
      </c>
    </row>
    <row r="72" spans="1:15" x14ac:dyDescent="0.25">
      <c r="A72" s="13">
        <v>46028</v>
      </c>
      <c r="B72" s="12">
        <f>MONTH(Movimientos_2026[[#This Row],[Fecha]])</f>
        <v>1</v>
      </c>
      <c r="C72" s="12" t="str">
        <f>VLOOKUP((WEEKDAY(Movimientos_2026[[#This Row],[Fecha]],2)),'5. Setup'!$D$6:$E$12,2,FALSE)</f>
        <v>Mar</v>
      </c>
      <c r="D72">
        <v>1044271</v>
      </c>
      <c r="E72" t="str">
        <f>IFERROR(+VLOOKUP(Movimientos_2026[[#This Row],[Codigo]],Plan_cuentas[],2,FALSE)," ")</f>
        <v>INGRESOS</v>
      </c>
      <c r="F72" t="str">
        <f>IFERROR(+VLOOKUP(Movimientos_2026[[#This Row],[Codigo]],Plan_cuentas[],3,FALSE)," ")</f>
        <v>Transferencia</v>
      </c>
      <c r="G72" t="str">
        <f>IFERROR(+VLOOKUP(Movimientos_2026[[#This Row],[Codigo]],Plan_cuentas[],4,FALSE)," ")</f>
        <v>Rentas</v>
      </c>
      <c r="H72" t="str">
        <f>IFERROR(+VLOOKUP(Movimientos_2026[[#This Row],[Codigo]],Plan_cuentas[],5,FALSE)," ")</f>
        <v>LA RIOJA</v>
      </c>
      <c r="I72" s="43">
        <v>45992</v>
      </c>
      <c r="J72" t="s">
        <v>30</v>
      </c>
      <c r="K72" t="str">
        <f>IFERROR(+VLOOKUP(Movimientos_2026[[#This Row],[Codigo]],Plan_cuentas[],6,FALSE)," ")</f>
        <v>1 - VW - Volkswagen</v>
      </c>
      <c r="L72" s="50">
        <v>3548200.76</v>
      </c>
      <c r="M72" s="52"/>
      <c r="N72" s="20">
        <f>+Movimientos_2026[[#This Row],[Ingresos]]-Movimientos_2026[[#This Row],[Egresos]]</f>
        <v>3548200.76</v>
      </c>
      <c r="O72" s="20">
        <f>+O71+Movimientos_2026[[#This Row],[Neto]]</f>
        <v>5830127057.0119944</v>
      </c>
    </row>
    <row r="73" spans="1:15" x14ac:dyDescent="0.25">
      <c r="A73" s="13">
        <v>46028</v>
      </c>
      <c r="B73" s="12">
        <f>MONTH(Movimientos_2026[[#This Row],[Fecha]])</f>
        <v>1</v>
      </c>
      <c r="C73" s="12" t="str">
        <f>VLOOKUP((WEEKDAY(Movimientos_2026[[#This Row],[Fecha]],2)),'5. Setup'!$D$6:$E$12,2,FALSE)</f>
        <v>Mar</v>
      </c>
      <c r="D73">
        <v>1044281</v>
      </c>
      <c r="E73" t="str">
        <f>IFERROR(+VLOOKUP(Movimientos_2026[[#This Row],[Codigo]],Plan_cuentas[],2,FALSE)," ")</f>
        <v>INGRESOS</v>
      </c>
      <c r="F73" t="str">
        <f>IFERROR(+VLOOKUP(Movimientos_2026[[#This Row],[Codigo]],Plan_cuentas[],3,FALSE)," ")</f>
        <v>Transferencia</v>
      </c>
      <c r="G73" t="str">
        <f>IFERROR(+VLOOKUP(Movimientos_2026[[#This Row],[Codigo]],Plan_cuentas[],4,FALSE)," ")</f>
        <v>Rentas</v>
      </c>
      <c r="H73" t="str">
        <f>IFERROR(+VLOOKUP(Movimientos_2026[[#This Row],[Codigo]],Plan_cuentas[],5,FALSE)," ")</f>
        <v>MENDOZA</v>
      </c>
      <c r="I73" s="43">
        <v>45992</v>
      </c>
      <c r="J73" t="s">
        <v>30</v>
      </c>
      <c r="K73" t="str">
        <f>IFERROR(+VLOOKUP(Movimientos_2026[[#This Row],[Codigo]],Plan_cuentas[],6,FALSE)," ")</f>
        <v>1 - VW - Volkswagen</v>
      </c>
      <c r="L73" s="50">
        <v>13506840.025</v>
      </c>
      <c r="M73" s="52"/>
      <c r="N73" s="20">
        <f>+Movimientos_2026[[#This Row],[Ingresos]]-Movimientos_2026[[#This Row],[Egresos]]</f>
        <v>13506840.025</v>
      </c>
      <c r="O73" s="20">
        <f>+O72+Movimientos_2026[[#This Row],[Neto]]</f>
        <v>5843633897.036994</v>
      </c>
    </row>
    <row r="74" spans="1:15" x14ac:dyDescent="0.25">
      <c r="A74" s="13">
        <v>46028</v>
      </c>
      <c r="B74" s="12">
        <f>MONTH(Movimientos_2026[[#This Row],[Fecha]])</f>
        <v>1</v>
      </c>
      <c r="C74" s="12" t="str">
        <f>VLOOKUP((WEEKDAY(Movimientos_2026[[#This Row],[Fecha]],2)),'5. Setup'!$D$6:$E$12,2,FALSE)</f>
        <v>Mar</v>
      </c>
      <c r="D74">
        <v>1044461</v>
      </c>
      <c r="E74" t="str">
        <f>IFERROR(+VLOOKUP(Movimientos_2026[[#This Row],[Codigo]],Plan_cuentas[],2,FALSE)," ")</f>
        <v>INGRESOS</v>
      </c>
      <c r="F74" t="str">
        <f>IFERROR(+VLOOKUP(Movimientos_2026[[#This Row],[Codigo]],Plan_cuentas[],3,FALSE)," ")</f>
        <v>Transferencia</v>
      </c>
      <c r="G74" t="str">
        <f>IFERROR(+VLOOKUP(Movimientos_2026[[#This Row],[Codigo]],Plan_cuentas[],4,FALSE)," ")</f>
        <v>Rentas</v>
      </c>
      <c r="H74" t="str">
        <f>IFERROR(+VLOOKUP(Movimientos_2026[[#This Row],[Codigo]],Plan_cuentas[],5,FALSE)," ")</f>
        <v>MISIONES</v>
      </c>
      <c r="I74" s="43">
        <v>45992</v>
      </c>
      <c r="J74" t="s">
        <v>30</v>
      </c>
      <c r="K74" t="str">
        <f>IFERROR(+VLOOKUP(Movimientos_2026[[#This Row],[Codigo]],Plan_cuentas[],6,FALSE)," ")</f>
        <v>1 - VW - Volkswagen</v>
      </c>
      <c r="L74" s="50">
        <v>1132595.2535221039</v>
      </c>
      <c r="M74" s="52"/>
      <c r="N74" s="20">
        <f>+Movimientos_2026[[#This Row],[Ingresos]]-Movimientos_2026[[#This Row],[Egresos]]</f>
        <v>1132595.2535221039</v>
      </c>
      <c r="O74" s="20">
        <f>+O73+Movimientos_2026[[#This Row],[Neto]]</f>
        <v>5844766492.2905159</v>
      </c>
    </row>
    <row r="75" spans="1:15" x14ac:dyDescent="0.25">
      <c r="A75" s="13">
        <v>46028</v>
      </c>
      <c r="B75" s="12">
        <f>MONTH(Movimientos_2026[[#This Row],[Fecha]])</f>
        <v>1</v>
      </c>
      <c r="C75" s="12" t="str">
        <f>VLOOKUP((WEEKDAY(Movimientos_2026[[#This Row],[Fecha]],2)),'5. Setup'!$D$6:$E$12,2,FALSE)</f>
        <v>Mar</v>
      </c>
      <c r="D75">
        <v>1044311</v>
      </c>
      <c r="E75" t="str">
        <f>IFERROR(+VLOOKUP(Movimientos_2026[[#This Row],[Codigo]],Plan_cuentas[],2,FALSE)," ")</f>
        <v>INGRESOS</v>
      </c>
      <c r="F75" t="str">
        <f>IFERROR(+VLOOKUP(Movimientos_2026[[#This Row],[Codigo]],Plan_cuentas[],3,FALSE)," ")</f>
        <v>Transferencia</v>
      </c>
      <c r="G75" t="str">
        <f>IFERROR(+VLOOKUP(Movimientos_2026[[#This Row],[Codigo]],Plan_cuentas[],4,FALSE)," ")</f>
        <v>Rentas</v>
      </c>
      <c r="H75" t="str">
        <f>IFERROR(+VLOOKUP(Movimientos_2026[[#This Row],[Codigo]],Plan_cuentas[],5,FALSE)," ")</f>
        <v>NEUQUEN 1° Q</v>
      </c>
      <c r="I75" s="43">
        <v>45992</v>
      </c>
      <c r="J75" t="s">
        <v>30</v>
      </c>
      <c r="K75" t="str">
        <f>IFERROR(+VLOOKUP(Movimientos_2026[[#This Row],[Codigo]],Plan_cuentas[],6,FALSE)," ")</f>
        <v>1 - VW - Volkswagen</v>
      </c>
      <c r="L75" s="50">
        <v>18141496.93</v>
      </c>
      <c r="M75" s="52"/>
      <c r="N75" s="20">
        <f>+Movimientos_2026[[#This Row],[Ingresos]]-Movimientos_2026[[#This Row],[Egresos]]</f>
        <v>18141496.93</v>
      </c>
      <c r="O75" s="20">
        <f>+O74+Movimientos_2026[[#This Row],[Neto]]</f>
        <v>5862907989.2205162</v>
      </c>
    </row>
    <row r="76" spans="1:15" x14ac:dyDescent="0.25">
      <c r="A76" s="13">
        <v>46028</v>
      </c>
      <c r="B76" s="12">
        <f>MONTH(Movimientos_2026[[#This Row],[Fecha]])</f>
        <v>1</v>
      </c>
      <c r="C76" s="12" t="str">
        <f>VLOOKUP((WEEKDAY(Movimientos_2026[[#This Row],[Fecha]],2)),'5. Setup'!$D$6:$E$12,2,FALSE)</f>
        <v>Mar</v>
      </c>
      <c r="D76">
        <v>1044321</v>
      </c>
      <c r="E76" t="str">
        <f>IFERROR(+VLOOKUP(Movimientos_2026[[#This Row],[Codigo]],Plan_cuentas[],2,FALSE)," ")</f>
        <v>INGRESOS</v>
      </c>
      <c r="F76" t="str">
        <f>IFERROR(+VLOOKUP(Movimientos_2026[[#This Row],[Codigo]],Plan_cuentas[],3,FALSE)," ")</f>
        <v>Transferencia</v>
      </c>
      <c r="G76" t="str">
        <f>IFERROR(+VLOOKUP(Movimientos_2026[[#This Row],[Codigo]],Plan_cuentas[],4,FALSE)," ")</f>
        <v>Rentas</v>
      </c>
      <c r="H76" t="str">
        <f>IFERROR(+VLOOKUP(Movimientos_2026[[#This Row],[Codigo]],Plan_cuentas[],5,FALSE)," ")</f>
        <v>NEUQUEN 2° Q</v>
      </c>
      <c r="I76" s="43">
        <v>45992</v>
      </c>
      <c r="J76" t="s">
        <v>30</v>
      </c>
      <c r="K76" t="str">
        <f>IFERROR(+VLOOKUP(Movimientos_2026[[#This Row],[Codigo]],Plan_cuentas[],6,FALSE)," ")</f>
        <v>1 - VW - Volkswagen</v>
      </c>
      <c r="L76" s="50">
        <v>1588484.5</v>
      </c>
      <c r="M76" s="52"/>
      <c r="N76" s="20">
        <f>+Movimientos_2026[[#This Row],[Ingresos]]-Movimientos_2026[[#This Row],[Egresos]]</f>
        <v>1588484.5</v>
      </c>
      <c r="O76" s="20">
        <f>+O75+Movimientos_2026[[#This Row],[Neto]]</f>
        <v>5864496473.7205162</v>
      </c>
    </row>
    <row r="77" spans="1:15" x14ac:dyDescent="0.25">
      <c r="A77" s="13">
        <v>46028</v>
      </c>
      <c r="B77" s="12">
        <f>MONTH(Movimientos_2026[[#This Row],[Fecha]])</f>
        <v>1</v>
      </c>
      <c r="C77" s="12" t="str">
        <f>VLOOKUP((WEEKDAY(Movimientos_2026[[#This Row],[Fecha]],2)),'5. Setup'!$D$6:$E$12,2,FALSE)</f>
        <v>Mar</v>
      </c>
      <c r="D77">
        <v>1044351</v>
      </c>
      <c r="E77" t="str">
        <f>IFERROR(+VLOOKUP(Movimientos_2026[[#This Row],[Codigo]],Plan_cuentas[],2,FALSE)," ")</f>
        <v>INGRESOS</v>
      </c>
      <c r="F77" t="str">
        <f>IFERROR(+VLOOKUP(Movimientos_2026[[#This Row],[Codigo]],Plan_cuentas[],3,FALSE)," ")</f>
        <v>Transferencia</v>
      </c>
      <c r="G77" t="str">
        <f>IFERROR(+VLOOKUP(Movimientos_2026[[#This Row],[Codigo]],Plan_cuentas[],4,FALSE)," ")</f>
        <v>Rentas</v>
      </c>
      <c r="H77" t="str">
        <f>IFERROR(+VLOOKUP(Movimientos_2026[[#This Row],[Codigo]],Plan_cuentas[],5,FALSE)," ")</f>
        <v>SAN JUAN</v>
      </c>
      <c r="I77" s="43">
        <v>45992</v>
      </c>
      <c r="J77" t="s">
        <v>30</v>
      </c>
      <c r="K77" t="str">
        <f>IFERROR(+VLOOKUP(Movimientos_2026[[#This Row],[Codigo]],Plan_cuentas[],6,FALSE)," ")</f>
        <v>1 - VW - Volkswagen</v>
      </c>
      <c r="L77" s="50">
        <v>1898343.3728</v>
      </c>
      <c r="M77" s="52"/>
      <c r="N77" s="20">
        <f>+Movimientos_2026[[#This Row],[Ingresos]]-Movimientos_2026[[#This Row],[Egresos]]</f>
        <v>1898343.3728</v>
      </c>
      <c r="O77" s="20">
        <f>+O76+Movimientos_2026[[#This Row],[Neto]]</f>
        <v>5866394817.0933161</v>
      </c>
    </row>
    <row r="78" spans="1:15" x14ac:dyDescent="0.25">
      <c r="A78" s="13">
        <v>46028</v>
      </c>
      <c r="B78" s="12">
        <f>MONTH(Movimientos_2026[[#This Row],[Fecha]])</f>
        <v>1</v>
      </c>
      <c r="C78" s="12" t="str">
        <f>VLOOKUP((WEEKDAY(Movimientos_2026[[#This Row],[Fecha]],2)),'5. Setup'!$D$6:$E$12,2,FALSE)</f>
        <v>Mar</v>
      </c>
      <c r="D78">
        <v>1044361</v>
      </c>
      <c r="E78" t="str">
        <f>IFERROR(+VLOOKUP(Movimientos_2026[[#This Row],[Codigo]],Plan_cuentas[],2,FALSE)," ")</f>
        <v>INGRESOS</v>
      </c>
      <c r="F78" t="str">
        <f>IFERROR(+VLOOKUP(Movimientos_2026[[#This Row],[Codigo]],Plan_cuentas[],3,FALSE)," ")</f>
        <v>Transferencia</v>
      </c>
      <c r="G78" t="str">
        <f>IFERROR(+VLOOKUP(Movimientos_2026[[#This Row],[Codigo]],Plan_cuentas[],4,FALSE)," ")</f>
        <v>Rentas</v>
      </c>
      <c r="H78" t="str">
        <f>IFERROR(+VLOOKUP(Movimientos_2026[[#This Row],[Codigo]],Plan_cuentas[],5,FALSE)," ")</f>
        <v>SAN LUIS</v>
      </c>
      <c r="I78" s="43">
        <v>45992</v>
      </c>
      <c r="J78" t="s">
        <v>30</v>
      </c>
      <c r="K78" t="str">
        <f>IFERROR(+VLOOKUP(Movimientos_2026[[#This Row],[Codigo]],Plan_cuentas[],6,FALSE)," ")</f>
        <v>1 - VW - Volkswagen</v>
      </c>
      <c r="L78" s="50">
        <v>4084624.7880000002</v>
      </c>
      <c r="M78" s="52"/>
      <c r="N78" s="20">
        <f>+Movimientos_2026[[#This Row],[Ingresos]]-Movimientos_2026[[#This Row],[Egresos]]</f>
        <v>4084624.7880000002</v>
      </c>
      <c r="O78" s="20">
        <f>+O77+Movimientos_2026[[#This Row],[Neto]]</f>
        <v>5870479441.8813162</v>
      </c>
    </row>
    <row r="79" spans="1:15" x14ac:dyDescent="0.25">
      <c r="A79" s="13">
        <v>46028</v>
      </c>
      <c r="B79" s="12">
        <f>MONTH(Movimientos_2026[[#This Row],[Fecha]])</f>
        <v>1</v>
      </c>
      <c r="C79" s="12" t="str">
        <f>VLOOKUP((WEEKDAY(Movimientos_2026[[#This Row],[Fecha]],2)),'5. Setup'!$D$6:$E$12,2,FALSE)</f>
        <v>Mar</v>
      </c>
      <c r="D79">
        <v>1044371</v>
      </c>
      <c r="E79" t="str">
        <f>IFERROR(+VLOOKUP(Movimientos_2026[[#This Row],[Codigo]],Plan_cuentas[],2,FALSE)," ")</f>
        <v>INGRESOS</v>
      </c>
      <c r="F79" t="str">
        <f>IFERROR(+VLOOKUP(Movimientos_2026[[#This Row],[Codigo]],Plan_cuentas[],3,FALSE)," ")</f>
        <v>Transferencia</v>
      </c>
      <c r="G79" t="str">
        <f>IFERROR(+VLOOKUP(Movimientos_2026[[#This Row],[Codigo]],Plan_cuentas[],4,FALSE)," ")</f>
        <v>Rentas</v>
      </c>
      <c r="H79" t="str">
        <f>IFERROR(+VLOOKUP(Movimientos_2026[[#This Row],[Codigo]],Plan_cuentas[],5,FALSE)," ")</f>
        <v>SANTA CRUZ</v>
      </c>
      <c r="I79" s="43">
        <v>45992</v>
      </c>
      <c r="J79" t="s">
        <v>30</v>
      </c>
      <c r="K79" t="str">
        <f>IFERROR(+VLOOKUP(Movimientos_2026[[#This Row],[Codigo]],Plan_cuentas[],6,FALSE)," ")</f>
        <v>1 - VW - Volkswagen</v>
      </c>
      <c r="L79" s="50">
        <v>6030807.0480000004</v>
      </c>
      <c r="M79" s="52"/>
      <c r="N79" s="20">
        <f>+Movimientos_2026[[#This Row],[Ingresos]]-Movimientos_2026[[#This Row],[Egresos]]</f>
        <v>6030807.0480000004</v>
      </c>
      <c r="O79" s="20">
        <f>+O78+Movimientos_2026[[#This Row],[Neto]]</f>
        <v>5876510248.9293165</v>
      </c>
    </row>
    <row r="80" spans="1:15" x14ac:dyDescent="0.25">
      <c r="A80" s="13">
        <v>46028</v>
      </c>
      <c r="B80" s="12">
        <f>MONTH(Movimientos_2026[[#This Row],[Fecha]])</f>
        <v>1</v>
      </c>
      <c r="C80" s="12" t="str">
        <f>VLOOKUP((WEEKDAY(Movimientos_2026[[#This Row],[Fecha]],2)),'5. Setup'!$D$6:$E$12,2,FALSE)</f>
        <v>Mar</v>
      </c>
      <c r="D80">
        <v>1044381</v>
      </c>
      <c r="E80" t="str">
        <f>IFERROR(+VLOOKUP(Movimientos_2026[[#This Row],[Codigo]],Plan_cuentas[],2,FALSE)," ")</f>
        <v>INGRESOS</v>
      </c>
      <c r="F80" t="str">
        <f>IFERROR(+VLOOKUP(Movimientos_2026[[#This Row],[Codigo]],Plan_cuentas[],3,FALSE)," ")</f>
        <v>Transferencia</v>
      </c>
      <c r="G80" t="str">
        <f>IFERROR(+VLOOKUP(Movimientos_2026[[#This Row],[Codigo]],Plan_cuentas[],4,FALSE)," ")</f>
        <v>Rentas</v>
      </c>
      <c r="H80" t="str">
        <f>IFERROR(+VLOOKUP(Movimientos_2026[[#This Row],[Codigo]],Plan_cuentas[],5,FALSE)," ")</f>
        <v>SANTA FE 1° Q</v>
      </c>
      <c r="I80" s="43">
        <v>45992</v>
      </c>
      <c r="J80" t="s">
        <v>30</v>
      </c>
      <c r="K80" t="str">
        <f>IFERROR(+VLOOKUP(Movimientos_2026[[#This Row],[Codigo]],Plan_cuentas[],6,FALSE)," ")</f>
        <v>1 - VW - Volkswagen</v>
      </c>
      <c r="L80" s="50">
        <v>9219017.2749999985</v>
      </c>
      <c r="M80" s="52"/>
      <c r="N80" s="20">
        <f>+Movimientos_2026[[#This Row],[Ingresos]]-Movimientos_2026[[#This Row],[Egresos]]</f>
        <v>9219017.2749999985</v>
      </c>
      <c r="O80" s="20">
        <f>+O79+Movimientos_2026[[#This Row],[Neto]]</f>
        <v>5885729266.2043161</v>
      </c>
    </row>
    <row r="81" spans="1:15" x14ac:dyDescent="0.25">
      <c r="A81" s="13">
        <v>46028</v>
      </c>
      <c r="B81" s="12">
        <f>MONTH(Movimientos_2026[[#This Row],[Fecha]])</f>
        <v>1</v>
      </c>
      <c r="C81" s="12" t="str">
        <f>VLOOKUP((WEEKDAY(Movimientos_2026[[#This Row],[Fecha]],2)),'5. Setup'!$D$6:$E$12,2,FALSE)</f>
        <v>Mar</v>
      </c>
      <c r="D81">
        <v>1044391</v>
      </c>
      <c r="E81" t="str">
        <f>IFERROR(+VLOOKUP(Movimientos_2026[[#This Row],[Codigo]],Plan_cuentas[],2,FALSE)," ")</f>
        <v>INGRESOS</v>
      </c>
      <c r="F81" t="str">
        <f>IFERROR(+VLOOKUP(Movimientos_2026[[#This Row],[Codigo]],Plan_cuentas[],3,FALSE)," ")</f>
        <v>Transferencia</v>
      </c>
      <c r="G81" t="str">
        <f>IFERROR(+VLOOKUP(Movimientos_2026[[#This Row],[Codigo]],Plan_cuentas[],4,FALSE)," ")</f>
        <v>Rentas</v>
      </c>
      <c r="H81" t="str">
        <f>IFERROR(+VLOOKUP(Movimientos_2026[[#This Row],[Codigo]],Plan_cuentas[],5,FALSE)," ")</f>
        <v>SANTA FE 2° Q</v>
      </c>
      <c r="I81" s="43">
        <v>45992</v>
      </c>
      <c r="J81" t="s">
        <v>30</v>
      </c>
      <c r="K81" t="str">
        <f>IFERROR(+VLOOKUP(Movimientos_2026[[#This Row],[Codigo]],Plan_cuentas[],6,FALSE)," ")</f>
        <v>1 - VW - Volkswagen</v>
      </c>
      <c r="L81" s="50">
        <v>2867325.75</v>
      </c>
      <c r="M81" s="52"/>
      <c r="N81" s="20">
        <f>+Movimientos_2026[[#This Row],[Ingresos]]-Movimientos_2026[[#This Row],[Egresos]]</f>
        <v>2867325.75</v>
      </c>
      <c r="O81" s="20">
        <f>+O80+Movimientos_2026[[#This Row],[Neto]]</f>
        <v>5888596591.9543161</v>
      </c>
    </row>
    <row r="82" spans="1:15" x14ac:dyDescent="0.25">
      <c r="A82" s="13">
        <v>46028</v>
      </c>
      <c r="B82" s="12">
        <f>MONTH(Movimientos_2026[[#This Row],[Fecha]])</f>
        <v>1</v>
      </c>
      <c r="C82" s="12" t="str">
        <f>VLOOKUP((WEEKDAY(Movimientos_2026[[#This Row],[Fecha]],2)),'5. Setup'!$D$6:$E$12,2,FALSE)</f>
        <v>Mar</v>
      </c>
      <c r="D82">
        <v>1044401</v>
      </c>
      <c r="E82" t="str">
        <f>IFERROR(+VLOOKUP(Movimientos_2026[[#This Row],[Codigo]],Plan_cuentas[],2,FALSE)," ")</f>
        <v>INGRESOS</v>
      </c>
      <c r="F82" t="str">
        <f>IFERROR(+VLOOKUP(Movimientos_2026[[#This Row],[Codigo]],Plan_cuentas[],3,FALSE)," ")</f>
        <v>Transferencia</v>
      </c>
      <c r="G82" t="str">
        <f>IFERROR(+VLOOKUP(Movimientos_2026[[#This Row],[Codigo]],Plan_cuentas[],4,FALSE)," ")</f>
        <v>Rentas</v>
      </c>
      <c r="H82" t="str">
        <f>IFERROR(+VLOOKUP(Movimientos_2026[[#This Row],[Codigo]],Plan_cuentas[],5,FALSE)," ")</f>
        <v>SANTIAGO DEL ESTERO</v>
      </c>
      <c r="I82" s="43">
        <v>45992</v>
      </c>
      <c r="J82" t="s">
        <v>30</v>
      </c>
      <c r="K82" t="str">
        <f>IFERROR(+VLOOKUP(Movimientos_2026[[#This Row],[Codigo]],Plan_cuentas[],6,FALSE)," ")</f>
        <v>1 - VW - Volkswagen</v>
      </c>
      <c r="L82" s="50">
        <v>10375008.880000001</v>
      </c>
      <c r="M82" s="52"/>
      <c r="N82" s="20">
        <f>+Movimientos_2026[[#This Row],[Ingresos]]-Movimientos_2026[[#This Row],[Egresos]]</f>
        <v>10375008.880000001</v>
      </c>
      <c r="O82" s="20">
        <f>+O81+Movimientos_2026[[#This Row],[Neto]]</f>
        <v>5898971600.8343163</v>
      </c>
    </row>
    <row r="83" spans="1:15" x14ac:dyDescent="0.25">
      <c r="A83" s="13">
        <v>46028</v>
      </c>
      <c r="B83" s="12">
        <f>MONTH(Movimientos_2026[[#This Row],[Fecha]])</f>
        <v>1</v>
      </c>
      <c r="C83" s="12" t="str">
        <f>VLOOKUP((WEEKDAY(Movimientos_2026[[#This Row],[Fecha]],2)),'5. Setup'!$D$6:$E$12,2,FALSE)</f>
        <v>Mar</v>
      </c>
      <c r="D83">
        <v>1044411</v>
      </c>
      <c r="E83" t="str">
        <f>IFERROR(+VLOOKUP(Movimientos_2026[[#This Row],[Codigo]],Plan_cuentas[],2,FALSE)," ")</f>
        <v>INGRESOS</v>
      </c>
      <c r="F83" t="str">
        <f>IFERROR(+VLOOKUP(Movimientos_2026[[#This Row],[Codigo]],Plan_cuentas[],3,FALSE)," ")</f>
        <v>Transferencia</v>
      </c>
      <c r="G83" t="str">
        <f>IFERROR(+VLOOKUP(Movimientos_2026[[#This Row],[Codigo]],Plan_cuentas[],4,FALSE)," ")</f>
        <v>Rentas</v>
      </c>
      <c r="H83" t="str">
        <f>IFERROR(+VLOOKUP(Movimientos_2026[[#This Row],[Codigo]],Plan_cuentas[],5,FALSE)," ")</f>
        <v>TIERRA DEL FUEGO</v>
      </c>
      <c r="I83" s="43">
        <v>45992</v>
      </c>
      <c r="J83" t="s">
        <v>30</v>
      </c>
      <c r="K83" t="str">
        <f>IFERROR(+VLOOKUP(Movimientos_2026[[#This Row],[Codigo]],Plan_cuentas[],6,FALSE)," ")</f>
        <v>1 - VW - Volkswagen</v>
      </c>
      <c r="L83" s="50">
        <v>4018059.2</v>
      </c>
      <c r="M83" s="52"/>
      <c r="N83" s="20">
        <f>+Movimientos_2026[[#This Row],[Ingresos]]-Movimientos_2026[[#This Row],[Egresos]]</f>
        <v>4018059.2</v>
      </c>
      <c r="O83" s="20">
        <f>+O82+Movimientos_2026[[#This Row],[Neto]]</f>
        <v>5902989660.0343161</v>
      </c>
    </row>
    <row r="84" spans="1:15" x14ac:dyDescent="0.25">
      <c r="A84" s="13">
        <v>46028</v>
      </c>
      <c r="B84" s="12">
        <f>MONTH(Movimientos_2026[[#This Row],[Fecha]])</f>
        <v>1</v>
      </c>
      <c r="C84" s="12" t="str">
        <f>VLOOKUP((WEEKDAY(Movimientos_2026[[#This Row],[Fecha]],2)),'5. Setup'!$D$6:$E$12,2,FALSE)</f>
        <v>Mar</v>
      </c>
      <c r="D84">
        <v>1044421</v>
      </c>
      <c r="E84" t="str">
        <f>IFERROR(+VLOOKUP(Movimientos_2026[[#This Row],[Codigo]],Plan_cuentas[],2,FALSE)," ")</f>
        <v>INGRESOS</v>
      </c>
      <c r="F84" t="str">
        <f>IFERROR(+VLOOKUP(Movimientos_2026[[#This Row],[Codigo]],Plan_cuentas[],3,FALSE)," ")</f>
        <v>Transferencia</v>
      </c>
      <c r="G84" t="str">
        <f>IFERROR(+VLOOKUP(Movimientos_2026[[#This Row],[Codigo]],Plan_cuentas[],4,FALSE)," ")</f>
        <v>Rentas</v>
      </c>
      <c r="H84" t="str">
        <f>IFERROR(+VLOOKUP(Movimientos_2026[[#This Row],[Codigo]],Plan_cuentas[],5,FALSE)," ")</f>
        <v>TUCUMAN</v>
      </c>
      <c r="I84" s="43">
        <v>45992</v>
      </c>
      <c r="J84" t="s">
        <v>30</v>
      </c>
      <c r="K84" t="str">
        <f>IFERROR(+VLOOKUP(Movimientos_2026[[#This Row],[Codigo]],Plan_cuentas[],6,FALSE)," ")</f>
        <v>1 - VW - Volkswagen</v>
      </c>
      <c r="L84" s="50">
        <v>22448236.6981766</v>
      </c>
      <c r="M84" s="52"/>
      <c r="N84" s="20">
        <f>+Movimientos_2026[[#This Row],[Ingresos]]-Movimientos_2026[[#This Row],[Egresos]]</f>
        <v>22448236.6981766</v>
      </c>
      <c r="O84" s="20">
        <f>+O83+Movimientos_2026[[#This Row],[Neto]]</f>
        <v>5925437896.7324924</v>
      </c>
    </row>
    <row r="85" spans="1:15" x14ac:dyDescent="0.25">
      <c r="A85" s="13">
        <v>46028</v>
      </c>
      <c r="B85" s="12">
        <f>MONTH(Movimientos_2026[[#This Row],[Fecha]])</f>
        <v>1</v>
      </c>
      <c r="C85" s="12" t="str">
        <f>VLOOKUP((WEEKDAY(Movimientos_2026[[#This Row],[Fecha]],2)),'5. Setup'!$D$6:$E$12,2,FALSE)</f>
        <v>Mar</v>
      </c>
      <c r="D85">
        <v>1043141</v>
      </c>
      <c r="E85" t="str">
        <f>IFERROR(+VLOOKUP(Movimientos_2026[[#This Row],[Codigo]],Plan_cuentas[],2,FALSE)," ")</f>
        <v>INGRESOS</v>
      </c>
      <c r="F85" t="str">
        <f>IFERROR(+VLOOKUP(Movimientos_2026[[#This Row],[Codigo]],Plan_cuentas[],3,FALSE)," ")</f>
        <v>Transferencia</v>
      </c>
      <c r="G85" t="str">
        <f>IFERROR(+VLOOKUP(Movimientos_2026[[#This Row],[Codigo]],Plan_cuentas[],4,FALSE)," ")</f>
        <v>Registración</v>
      </c>
      <c r="H85" t="str">
        <f>IFERROR(+VLOOKUP(Movimientos_2026[[#This Row],[Codigo]],Plan_cuentas[],5,FALSE)," ")</f>
        <v>BUENOS AIRES</v>
      </c>
      <c r="I85" s="43">
        <v>45992</v>
      </c>
      <c r="J85" t="s">
        <v>30</v>
      </c>
      <c r="K85" t="str">
        <f>IFERROR(+VLOOKUP(Movimientos_2026[[#This Row],[Codigo]],Plan_cuentas[],6,FALSE)," ")</f>
        <v>1 - VW - Volkswagen</v>
      </c>
      <c r="L85" s="50">
        <v>15753013.23</v>
      </c>
      <c r="M85" s="52"/>
      <c r="N85" s="20">
        <f>+Movimientos_2026[[#This Row],[Ingresos]]-Movimientos_2026[[#This Row],[Egresos]]</f>
        <v>15753013.23</v>
      </c>
      <c r="O85" s="20">
        <f>+O84+Movimientos_2026[[#This Row],[Neto]]</f>
        <v>5941190909.962492</v>
      </c>
    </row>
    <row r="86" spans="1:15" x14ac:dyDescent="0.25">
      <c r="A86" s="13">
        <v>46029</v>
      </c>
      <c r="B86" s="12">
        <f>MONTH(Movimientos_2026[[#This Row],[Fecha]])</f>
        <v>1</v>
      </c>
      <c r="C86" s="12" t="str">
        <f>VLOOKUP((WEEKDAY(Movimientos_2026[[#This Row],[Fecha]],2)),'5. Setup'!$D$6:$E$12,2,FALSE)</f>
        <v>Mie</v>
      </c>
      <c r="D86">
        <v>2034411</v>
      </c>
      <c r="E86" t="str">
        <f>IFERROR(+VLOOKUP(Movimientos_2026[[#This Row],[Codigo]],Plan_cuentas[],2,FALSE)," ")</f>
        <v>EGRESOS</v>
      </c>
      <c r="F86" t="str">
        <f>IFERROR(+VLOOKUP(Movimientos_2026[[#This Row],[Codigo]],Plan_cuentas[],3,FALSE)," ")</f>
        <v>Pagos Bco. Provincia</v>
      </c>
      <c r="G86" t="str">
        <f>IFERROR(+VLOOKUP(Movimientos_2026[[#This Row],[Codigo]],Plan_cuentas[],4,FALSE)," ")</f>
        <v>Rentas</v>
      </c>
      <c r="H86" t="str">
        <f>IFERROR(+VLOOKUP(Movimientos_2026[[#This Row],[Codigo]],Plan_cuentas[],5,FALSE)," ")</f>
        <v>TIERRA DEL FUEGO</v>
      </c>
      <c r="I86" s="43">
        <v>45992</v>
      </c>
      <c r="J86" t="s">
        <v>31</v>
      </c>
      <c r="K86" t="str">
        <f>IFERROR(+VLOOKUP(Movimientos_2026[[#This Row],[Codigo]],Plan_cuentas[],6,FALSE)," ")</f>
        <v>1 - VW - Volkswagen</v>
      </c>
      <c r="L86" s="50"/>
      <c r="M86" s="52">
        <v>11152431.199999999</v>
      </c>
      <c r="N86" s="20">
        <f>+Movimientos_2026[[#This Row],[Ingresos]]-Movimientos_2026[[#This Row],[Egresos]]</f>
        <v>-11152431.199999999</v>
      </c>
      <c r="O86" s="20">
        <f>+O85+Movimientos_2026[[#This Row],[Neto]]</f>
        <v>5930038478.7624922</v>
      </c>
    </row>
    <row r="87" spans="1:15" x14ac:dyDescent="0.25">
      <c r="A87" s="13">
        <v>46029</v>
      </c>
      <c r="B87" s="12">
        <f>MONTH(Movimientos_2026[[#This Row],[Fecha]])</f>
        <v>1</v>
      </c>
      <c r="C87" s="12" t="str">
        <f>VLOOKUP((WEEKDAY(Movimientos_2026[[#This Row],[Fecha]],2)),'5. Setup'!$D$6:$E$12,2,FALSE)</f>
        <v>Mie</v>
      </c>
      <c r="D87">
        <v>2034412</v>
      </c>
      <c r="E87" t="str">
        <f>IFERROR(+VLOOKUP(Movimientos_2026[[#This Row],[Codigo]],Plan_cuentas[],2,FALSE)," ")</f>
        <v>EGRESOS</v>
      </c>
      <c r="F87" t="str">
        <f>IFERROR(+VLOOKUP(Movimientos_2026[[#This Row],[Codigo]],Plan_cuentas[],3,FALSE)," ")</f>
        <v>Pagos Bco. Provincia</v>
      </c>
      <c r="G87" t="str">
        <f>IFERROR(+VLOOKUP(Movimientos_2026[[#This Row],[Codigo]],Plan_cuentas[],4,FALSE)," ")</f>
        <v>Rentas</v>
      </c>
      <c r="H87" t="str">
        <f>IFERROR(+VLOOKUP(Movimientos_2026[[#This Row],[Codigo]],Plan_cuentas[],5,FALSE)," ")</f>
        <v>TIERRA DEL FUEGO</v>
      </c>
      <c r="I87" s="43">
        <v>45992</v>
      </c>
      <c r="J87" t="s">
        <v>32</v>
      </c>
      <c r="K87" t="str">
        <f>IFERROR(+VLOOKUP(Movimientos_2026[[#This Row],[Codigo]],Plan_cuentas[],6,FALSE)," ")</f>
        <v>2 - PR - Plan Rombo</v>
      </c>
      <c r="L87" s="50"/>
      <c r="M87" s="52">
        <v>6277745.5618000012</v>
      </c>
      <c r="N87" s="20">
        <f>+Movimientos_2026[[#This Row],[Ingresos]]-Movimientos_2026[[#This Row],[Egresos]]</f>
        <v>-6277745.5618000012</v>
      </c>
      <c r="O87" s="20">
        <f>+O86+Movimientos_2026[[#This Row],[Neto]]</f>
        <v>5923760733.2006922</v>
      </c>
    </row>
    <row r="88" spans="1:15" x14ac:dyDescent="0.25">
      <c r="A88" s="13">
        <v>46029</v>
      </c>
      <c r="B88" s="12">
        <f>MONTH(Movimientos_2026[[#This Row],[Fecha]])</f>
        <v>1</v>
      </c>
      <c r="C88" s="12" t="str">
        <f>VLOOKUP((WEEKDAY(Movimientos_2026[[#This Row],[Fecha]],2)),'5. Setup'!$D$6:$E$12,2,FALSE)</f>
        <v>Mie</v>
      </c>
      <c r="D88">
        <v>2034413</v>
      </c>
      <c r="E88" t="str">
        <f>IFERROR(+VLOOKUP(Movimientos_2026[[#This Row],[Codigo]],Plan_cuentas[],2,FALSE)," ")</f>
        <v>EGRESOS</v>
      </c>
      <c r="F88" t="str">
        <f>IFERROR(+VLOOKUP(Movimientos_2026[[#This Row],[Codigo]],Plan_cuentas[],3,FALSE)," ")</f>
        <v>Pagos Bco. Provincia</v>
      </c>
      <c r="G88" t="str">
        <f>IFERROR(+VLOOKUP(Movimientos_2026[[#This Row],[Codigo]],Plan_cuentas[],4,FALSE)," ")</f>
        <v>Rentas</v>
      </c>
      <c r="H88" t="str">
        <f>IFERROR(+VLOOKUP(Movimientos_2026[[#This Row],[Codigo]],Plan_cuentas[],5,FALSE)," ")</f>
        <v>TIERRA DEL FUEGO</v>
      </c>
      <c r="I88" s="43">
        <v>45992</v>
      </c>
      <c r="J88" t="s">
        <v>33</v>
      </c>
      <c r="K88" t="str">
        <f>IFERROR(+VLOOKUP(Movimientos_2026[[#This Row],[Codigo]],Plan_cuentas[],6,FALSE)," ")</f>
        <v>3 - GM - Chevrolet</v>
      </c>
      <c r="L88" s="50"/>
      <c r="M88" s="52">
        <v>7340686.8700000001</v>
      </c>
      <c r="N88" s="20">
        <f>+Movimientos_2026[[#This Row],[Ingresos]]-Movimientos_2026[[#This Row],[Egresos]]</f>
        <v>-7340686.8700000001</v>
      </c>
      <c r="O88" s="20">
        <f>+O87+Movimientos_2026[[#This Row],[Neto]]</f>
        <v>5916420046.3306923</v>
      </c>
    </row>
    <row r="89" spans="1:15" x14ac:dyDescent="0.25">
      <c r="A89" s="13">
        <v>46029</v>
      </c>
      <c r="B89" s="12">
        <f>MONTH(Movimientos_2026[[#This Row],[Fecha]])</f>
        <v>1</v>
      </c>
      <c r="C89" s="12" t="str">
        <f>VLOOKUP((WEEKDAY(Movimientos_2026[[#This Row],[Fecha]],2)),'5. Setup'!$D$6:$E$12,2,FALSE)</f>
        <v>Mie</v>
      </c>
      <c r="D89">
        <v>2034414</v>
      </c>
      <c r="E89" t="str">
        <f>IFERROR(+VLOOKUP(Movimientos_2026[[#This Row],[Codigo]],Plan_cuentas[],2,FALSE)," ")</f>
        <v>EGRESOS</v>
      </c>
      <c r="F89" t="str">
        <f>IFERROR(+VLOOKUP(Movimientos_2026[[#This Row],[Codigo]],Plan_cuentas[],3,FALSE)," ")</f>
        <v>Pagos Bco. Provincia</v>
      </c>
      <c r="G89" t="str">
        <f>IFERROR(+VLOOKUP(Movimientos_2026[[#This Row],[Codigo]],Plan_cuentas[],4,FALSE)," ")</f>
        <v>Rentas</v>
      </c>
      <c r="H89" t="str">
        <f>IFERROR(+VLOOKUP(Movimientos_2026[[#This Row],[Codigo]],Plan_cuentas[],5,FALSE)," ")</f>
        <v>TIERRA DEL FUEGO</v>
      </c>
      <c r="I89" s="43">
        <v>45992</v>
      </c>
      <c r="J89" t="s">
        <v>34</v>
      </c>
      <c r="K89" t="str">
        <f>IFERROR(+VLOOKUP(Movimientos_2026[[#This Row],[Codigo]],Plan_cuentas[],6,FALSE)," ")</f>
        <v>4 - FCA - Fiat</v>
      </c>
      <c r="L89" s="51"/>
      <c r="M89" s="52">
        <v>19110528.800000001</v>
      </c>
      <c r="N89" s="20">
        <f>+Movimientos_2026[[#This Row],[Ingresos]]-Movimientos_2026[[#This Row],[Egresos]]</f>
        <v>-19110528.800000001</v>
      </c>
      <c r="O89" s="20">
        <f>+O88+Movimientos_2026[[#This Row],[Neto]]</f>
        <v>5897309517.5306921</v>
      </c>
    </row>
    <row r="90" spans="1:15" x14ac:dyDescent="0.25">
      <c r="A90" s="13">
        <v>46029</v>
      </c>
      <c r="B90" s="12">
        <f>MONTH(Movimientos_2026[[#This Row],[Fecha]])</f>
        <v>1</v>
      </c>
      <c r="C90" s="12" t="str">
        <f>VLOOKUP((WEEKDAY(Movimientos_2026[[#This Row],[Fecha]],2)),'5. Setup'!$D$6:$E$12,2,FALSE)</f>
        <v>Mie</v>
      </c>
      <c r="D90">
        <v>2054324</v>
      </c>
      <c r="E90" t="str">
        <f>IFERROR(+VLOOKUP(Movimientos_2026[[#This Row],[Codigo]],Plan_cuentas[],2,FALSE)," ")</f>
        <v>EGRESOS</v>
      </c>
      <c r="F90" t="str">
        <f>IFERROR(+VLOOKUP(Movimientos_2026[[#This Row],[Codigo]],Plan_cuentas[],3,FALSE)," ")</f>
        <v>VEP</v>
      </c>
      <c r="G90" t="str">
        <f>IFERROR(+VLOOKUP(Movimientos_2026[[#This Row],[Codigo]],Plan_cuentas[],4,FALSE)," ")</f>
        <v>Rentas</v>
      </c>
      <c r="H90" t="str">
        <f>IFERROR(+VLOOKUP(Movimientos_2026[[#This Row],[Codigo]],Plan_cuentas[],5,FALSE)," ")</f>
        <v>NEUQUEN 2° Q</v>
      </c>
      <c r="I90" s="43">
        <v>45992</v>
      </c>
      <c r="J90" t="s">
        <v>35</v>
      </c>
      <c r="K90" t="str">
        <f>IFERROR(+VLOOKUP(Movimientos_2026[[#This Row],[Codigo]],Plan_cuentas[],6,FALSE)," ")</f>
        <v>4 - FCA - Fiat</v>
      </c>
      <c r="L90" s="51"/>
      <c r="M90" s="52">
        <v>39383120</v>
      </c>
      <c r="N90" s="20">
        <f>+Movimientos_2026[[#This Row],[Ingresos]]-Movimientos_2026[[#This Row],[Egresos]]</f>
        <v>-39383120</v>
      </c>
      <c r="O90" s="20">
        <f>+O89+Movimientos_2026[[#This Row],[Neto]]</f>
        <v>5857926397.5306921</v>
      </c>
    </row>
    <row r="91" spans="1:15" x14ac:dyDescent="0.25">
      <c r="A91" s="13">
        <v>46029</v>
      </c>
      <c r="B91" s="12">
        <f>MONTH(Movimientos_2026[[#This Row],[Fecha]])</f>
        <v>1</v>
      </c>
      <c r="C91" s="12" t="str">
        <f>VLOOKUP((WEEKDAY(Movimientos_2026[[#This Row],[Fecha]],2)),'5. Setup'!$D$6:$E$12,2,FALSE)</f>
        <v>Mie</v>
      </c>
      <c r="D91">
        <v>2054326</v>
      </c>
      <c r="E91" t="str">
        <f>IFERROR(+VLOOKUP(Movimientos_2026[[#This Row],[Codigo]],Plan_cuentas[],2,FALSE)," ")</f>
        <v>EGRESOS</v>
      </c>
      <c r="F91" t="str">
        <f>IFERROR(+VLOOKUP(Movimientos_2026[[#This Row],[Codigo]],Plan_cuentas[],3,FALSE)," ")</f>
        <v>VEP</v>
      </c>
      <c r="G91" t="str">
        <f>IFERROR(+VLOOKUP(Movimientos_2026[[#This Row],[Codigo]],Plan_cuentas[],4,FALSE)," ")</f>
        <v>Rentas</v>
      </c>
      <c r="H91" t="str">
        <f>IFERROR(+VLOOKUP(Movimientos_2026[[#This Row],[Codigo]],Plan_cuentas[],5,FALSE)," ")</f>
        <v>NEUQUEN 2° Q</v>
      </c>
      <c r="I91" s="43">
        <v>45992</v>
      </c>
      <c r="J91" t="s">
        <v>35</v>
      </c>
      <c r="K91" t="str">
        <f>IFERROR(+VLOOKUP(Movimientos_2026[[#This Row],[Codigo]],Plan_cuentas[],6,FALSE)," ")</f>
        <v>6 - FCAtr - Fiat Transf.</v>
      </c>
      <c r="L91" s="51"/>
      <c r="M91" s="52">
        <v>184787.43</v>
      </c>
      <c r="N91" s="20">
        <f>+Movimientos_2026[[#This Row],[Ingresos]]-Movimientos_2026[[#This Row],[Egresos]]</f>
        <v>-184787.43</v>
      </c>
      <c r="O91" s="20">
        <f>+O90+Movimientos_2026[[#This Row],[Neto]]</f>
        <v>5857741610.1006918</v>
      </c>
    </row>
    <row r="92" spans="1:15" x14ac:dyDescent="0.25">
      <c r="A92" s="13">
        <v>46029</v>
      </c>
      <c r="B92" s="12">
        <f>MONTH(Movimientos_2026[[#This Row],[Fecha]])</f>
        <v>1</v>
      </c>
      <c r="C92" s="12" t="str">
        <f>VLOOKUP((WEEKDAY(Movimientos_2026[[#This Row],[Fecha]],2)),'5. Setup'!$D$6:$E$12,2,FALSE)</f>
        <v>Mie</v>
      </c>
      <c r="D92">
        <v>2054197</v>
      </c>
      <c r="E92" t="str">
        <f>IFERROR(+VLOOKUP(Movimientos_2026[[#This Row],[Codigo]],Plan_cuentas[],2,FALSE)," ")</f>
        <v>EGRESOS</v>
      </c>
      <c r="F92" t="str">
        <f>IFERROR(+VLOOKUP(Movimientos_2026[[#This Row],[Codigo]],Plan_cuentas[],3,FALSE)," ")</f>
        <v>VEP</v>
      </c>
      <c r="G92" t="str">
        <f>IFERROR(+VLOOKUP(Movimientos_2026[[#This Row],[Codigo]],Plan_cuentas[],4,FALSE)," ")</f>
        <v>Rentas</v>
      </c>
      <c r="H92" t="str">
        <f>IFERROR(+VLOOKUP(Movimientos_2026[[#This Row],[Codigo]],Plan_cuentas[],5,FALSE)," ")</f>
        <v>CORDOBA 2° Q</v>
      </c>
      <c r="I92" s="43">
        <v>45992</v>
      </c>
      <c r="J92" t="s">
        <v>36</v>
      </c>
      <c r="K92" t="str">
        <f>IFERROR(+VLOOKUP(Movimientos_2026[[#This Row],[Codigo]],Plan_cuentas[],6,FALSE)," ")</f>
        <v>7 - PRtr - Plan Rombo Transf.</v>
      </c>
      <c r="L92" s="51"/>
      <c r="M92" s="52">
        <v>581760</v>
      </c>
      <c r="N92" s="20">
        <f>+Movimientos_2026[[#This Row],[Ingresos]]-Movimientos_2026[[#This Row],[Egresos]]</f>
        <v>-581760</v>
      </c>
      <c r="O92" s="20">
        <f>+O91+Movimientos_2026[[#This Row],[Neto]]</f>
        <v>5857159850.1006918</v>
      </c>
    </row>
    <row r="93" spans="1:15" x14ac:dyDescent="0.25">
      <c r="A93" s="13">
        <v>46029</v>
      </c>
      <c r="B93" s="12">
        <f>MONTH(Movimientos_2026[[#This Row],[Fecha]])</f>
        <v>1</v>
      </c>
      <c r="C93" s="12" t="str">
        <f>VLOOKUP((WEEKDAY(Movimientos_2026[[#This Row],[Fecha]],2)),'5. Setup'!$D$6:$E$12,2,FALSE)</f>
        <v>Mie</v>
      </c>
      <c r="D93">
        <v>1043151</v>
      </c>
      <c r="E93" t="str">
        <f>IFERROR(+VLOOKUP(Movimientos_2026[[#This Row],[Codigo]],Plan_cuentas[],2,FALSE)," ")</f>
        <v>INGRESOS</v>
      </c>
      <c r="F93" t="str">
        <f>IFERROR(+VLOOKUP(Movimientos_2026[[#This Row],[Codigo]],Plan_cuentas[],3,FALSE)," ")</f>
        <v>Transferencia</v>
      </c>
      <c r="G93" t="str">
        <f>IFERROR(+VLOOKUP(Movimientos_2026[[#This Row],[Codigo]],Plan_cuentas[],4,FALSE)," ")</f>
        <v>Registración</v>
      </c>
      <c r="H93" t="str">
        <f>IFERROR(+VLOOKUP(Movimientos_2026[[#This Row],[Codigo]],Plan_cuentas[],5,FALSE)," ")</f>
        <v>CABA</v>
      </c>
      <c r="I93" s="43">
        <v>45992</v>
      </c>
      <c r="J93" t="s">
        <v>37</v>
      </c>
      <c r="K93" t="str">
        <f>IFERROR(+VLOOKUP(Movimientos_2026[[#This Row],[Codigo]],Plan_cuentas[],6,FALSE)," ")</f>
        <v>1 - VW - Volkswagen</v>
      </c>
      <c r="L93" s="50">
        <v>39440301.169999987</v>
      </c>
      <c r="M93" s="50"/>
      <c r="N93" s="20">
        <f>+Movimientos_2026[[#This Row],[Ingresos]]-Movimientos_2026[[#This Row],[Egresos]]</f>
        <v>39440301.169999987</v>
      </c>
      <c r="O93" s="20">
        <f>+O92+Movimientos_2026[[#This Row],[Neto]]</f>
        <v>5896600151.2706919</v>
      </c>
    </row>
    <row r="94" spans="1:15" x14ac:dyDescent="0.25">
      <c r="A94" s="13">
        <v>46029</v>
      </c>
      <c r="B94" s="12">
        <f>MONTH(Movimientos_2026[[#This Row],[Fecha]])</f>
        <v>1</v>
      </c>
      <c r="C94" s="12" t="str">
        <f>VLOOKUP((WEEKDAY(Movimientos_2026[[#This Row],[Fecha]],2)),'5. Setup'!$D$6:$E$12,2,FALSE)</f>
        <v>Mie</v>
      </c>
      <c r="D94">
        <v>1043221</v>
      </c>
      <c r="E94" t="str">
        <f>IFERROR(+VLOOKUP(Movimientos_2026[[#This Row],[Codigo]],Plan_cuentas[],2,FALSE)," ")</f>
        <v>INGRESOS</v>
      </c>
      <c r="F94" t="str">
        <f>IFERROR(+VLOOKUP(Movimientos_2026[[#This Row],[Codigo]],Plan_cuentas[],3,FALSE)," ")</f>
        <v>Transferencia</v>
      </c>
      <c r="G94" t="str">
        <f>IFERROR(+VLOOKUP(Movimientos_2026[[#This Row],[Codigo]],Plan_cuentas[],4,FALSE)," ")</f>
        <v>Registración</v>
      </c>
      <c r="H94" t="str">
        <f>IFERROR(+VLOOKUP(Movimientos_2026[[#This Row],[Codigo]],Plan_cuentas[],5,FALSE)," ")</f>
        <v>ENTRE RIOS 1° Q</v>
      </c>
      <c r="I94" s="43">
        <v>45992</v>
      </c>
      <c r="J94" t="s">
        <v>37</v>
      </c>
      <c r="K94" t="str">
        <f>IFERROR(+VLOOKUP(Movimientos_2026[[#This Row],[Codigo]],Plan_cuentas[],6,FALSE)," ")</f>
        <v>1 - VW - Volkswagen</v>
      </c>
      <c r="L94" s="50">
        <v>8478818.4000000004</v>
      </c>
      <c r="M94" s="52"/>
      <c r="N94" s="20">
        <f>+Movimientos_2026[[#This Row],[Ingresos]]-Movimientos_2026[[#This Row],[Egresos]]</f>
        <v>8478818.4000000004</v>
      </c>
      <c r="O94" s="20">
        <f>+O93+Movimientos_2026[[#This Row],[Neto]]</f>
        <v>5905078969.6706915</v>
      </c>
    </row>
    <row r="95" spans="1:15" x14ac:dyDescent="0.25">
      <c r="A95" s="13">
        <v>46029</v>
      </c>
      <c r="B95" s="12">
        <f>MONTH(Movimientos_2026[[#This Row],[Fecha]])</f>
        <v>1</v>
      </c>
      <c r="C95" s="12" t="str">
        <f>VLOOKUP((WEEKDAY(Movimientos_2026[[#This Row],[Fecha]],2)),'5. Setup'!$D$6:$E$12,2,FALSE)</f>
        <v>Mie</v>
      </c>
      <c r="D95">
        <v>1043231</v>
      </c>
      <c r="E95" t="str">
        <f>IFERROR(+VLOOKUP(Movimientos_2026[[#This Row],[Codigo]],Plan_cuentas[],2,FALSE)," ")</f>
        <v>INGRESOS</v>
      </c>
      <c r="F95" t="str">
        <f>IFERROR(+VLOOKUP(Movimientos_2026[[#This Row],[Codigo]],Plan_cuentas[],3,FALSE)," ")</f>
        <v>Transferencia</v>
      </c>
      <c r="G95" t="str">
        <f>IFERROR(+VLOOKUP(Movimientos_2026[[#This Row],[Codigo]],Plan_cuentas[],4,FALSE)," ")</f>
        <v>Registración</v>
      </c>
      <c r="H95" t="str">
        <f>IFERROR(+VLOOKUP(Movimientos_2026[[#This Row],[Codigo]],Plan_cuentas[],5,FALSE)," ")</f>
        <v>ENTRE RIOS 2° Q</v>
      </c>
      <c r="I95" s="43">
        <v>45992</v>
      </c>
      <c r="J95" t="s">
        <v>37</v>
      </c>
      <c r="K95" t="str">
        <f>IFERROR(+VLOOKUP(Movimientos_2026[[#This Row],[Codigo]],Plan_cuentas[],6,FALSE)," ")</f>
        <v>1 - VW - Volkswagen</v>
      </c>
      <c r="L95" s="50">
        <v>1687012</v>
      </c>
      <c r="M95" s="50"/>
      <c r="N95" s="20">
        <f>+Movimientos_2026[[#This Row],[Ingresos]]-Movimientos_2026[[#This Row],[Egresos]]</f>
        <v>1687012</v>
      </c>
      <c r="O95" s="20">
        <f>+O94+Movimientos_2026[[#This Row],[Neto]]</f>
        <v>5906765981.6706915</v>
      </c>
    </row>
    <row r="96" spans="1:15" x14ac:dyDescent="0.25">
      <c r="A96" s="13">
        <v>46029</v>
      </c>
      <c r="B96" s="12">
        <f>MONTH(Movimientos_2026[[#This Row],[Fecha]])</f>
        <v>1</v>
      </c>
      <c r="C96" s="12" t="str">
        <f>VLOOKUP((WEEKDAY(Movimientos_2026[[#This Row],[Fecha]],2)),'5. Setup'!$D$6:$E$12,2,FALSE)</f>
        <v>Mie</v>
      </c>
      <c r="D96">
        <v>1043341</v>
      </c>
      <c r="E96" t="str">
        <f>IFERROR(+VLOOKUP(Movimientos_2026[[#This Row],[Codigo]],Plan_cuentas[],2,FALSE)," ")</f>
        <v>INGRESOS</v>
      </c>
      <c r="F96" t="str">
        <f>IFERROR(+VLOOKUP(Movimientos_2026[[#This Row],[Codigo]],Plan_cuentas[],3,FALSE)," ")</f>
        <v>Transferencia</v>
      </c>
      <c r="G96" t="str">
        <f>IFERROR(+VLOOKUP(Movimientos_2026[[#This Row],[Codigo]],Plan_cuentas[],4,FALSE)," ")</f>
        <v>Registración</v>
      </c>
      <c r="H96" t="str">
        <f>IFERROR(+VLOOKUP(Movimientos_2026[[#This Row],[Codigo]],Plan_cuentas[],5,FALSE)," ")</f>
        <v>RIO NEGRO</v>
      </c>
      <c r="I96" s="43">
        <v>45992</v>
      </c>
      <c r="J96" t="s">
        <v>37</v>
      </c>
      <c r="K96" t="str">
        <f>IFERROR(+VLOOKUP(Movimientos_2026[[#This Row],[Codigo]],Plan_cuentas[],6,FALSE)," ")</f>
        <v>1 - VW - Volkswagen</v>
      </c>
      <c r="L96" s="50">
        <v>16264982.880000001</v>
      </c>
      <c r="M96" s="50"/>
      <c r="N96" s="20">
        <f>+Movimientos_2026[[#This Row],[Ingresos]]-Movimientos_2026[[#This Row],[Egresos]]</f>
        <v>16264982.880000001</v>
      </c>
      <c r="O96" s="20">
        <f>+O95+Movimientos_2026[[#This Row],[Neto]]</f>
        <v>5923030964.5506916</v>
      </c>
    </row>
    <row r="97" spans="1:15" x14ac:dyDescent="0.25">
      <c r="A97" s="13">
        <v>46029</v>
      </c>
      <c r="B97" s="12">
        <f>MONTH(Movimientos_2026[[#This Row],[Fecha]])</f>
        <v>1</v>
      </c>
      <c r="C97" s="12" t="str">
        <f>VLOOKUP((WEEKDAY(Movimientos_2026[[#This Row],[Fecha]],2)),'5. Setup'!$D$6:$E$12,2,FALSE)</f>
        <v>Mie</v>
      </c>
      <c r="D97">
        <v>1044161</v>
      </c>
      <c r="E97" t="str">
        <f>IFERROR(+VLOOKUP(Movimientos_2026[[#This Row],[Codigo]],Plan_cuentas[],2,FALSE)," ")</f>
        <v>INGRESOS</v>
      </c>
      <c r="F97" t="str">
        <f>IFERROR(+VLOOKUP(Movimientos_2026[[#This Row],[Codigo]],Plan_cuentas[],3,FALSE)," ")</f>
        <v>Transferencia</v>
      </c>
      <c r="G97" t="str">
        <f>IFERROR(+VLOOKUP(Movimientos_2026[[#This Row],[Codigo]],Plan_cuentas[],4,FALSE)," ")</f>
        <v>Rentas</v>
      </c>
      <c r="H97" t="str">
        <f>IFERROR(+VLOOKUP(Movimientos_2026[[#This Row],[Codigo]],Plan_cuentas[],5,FALSE)," ")</f>
        <v>CHACO</v>
      </c>
      <c r="I97" s="43">
        <v>45992</v>
      </c>
      <c r="J97" t="s">
        <v>37</v>
      </c>
      <c r="K97" t="str">
        <f>IFERROR(+VLOOKUP(Movimientos_2026[[#This Row],[Codigo]],Plan_cuentas[],6,FALSE)," ")</f>
        <v>1 - VW - Volkswagen</v>
      </c>
      <c r="L97" s="50">
        <v>14270481.140000001</v>
      </c>
      <c r="M97" s="50"/>
      <c r="N97" s="20">
        <f>+Movimientos_2026[[#This Row],[Ingresos]]-Movimientos_2026[[#This Row],[Egresos]]</f>
        <v>14270481.140000001</v>
      </c>
      <c r="O97" s="20">
        <f>+O96+Movimientos_2026[[#This Row],[Neto]]</f>
        <v>5937301445.6906919</v>
      </c>
    </row>
    <row r="98" spans="1:15" x14ac:dyDescent="0.25">
      <c r="A98" s="13">
        <v>46029</v>
      </c>
      <c r="B98" s="12">
        <f>MONTH(Movimientos_2026[[#This Row],[Fecha]])</f>
        <v>1</v>
      </c>
      <c r="C98" s="12" t="str">
        <f>VLOOKUP((WEEKDAY(Movimientos_2026[[#This Row],[Fecha]],2)),'5. Setup'!$D$6:$E$12,2,FALSE)</f>
        <v>Mie</v>
      </c>
      <c r="D98">
        <v>1044171</v>
      </c>
      <c r="E98" t="str">
        <f>IFERROR(+VLOOKUP(Movimientos_2026[[#This Row],[Codigo]],Plan_cuentas[],2,FALSE)," ")</f>
        <v>INGRESOS</v>
      </c>
      <c r="F98" t="str">
        <f>IFERROR(+VLOOKUP(Movimientos_2026[[#This Row],[Codigo]],Plan_cuentas[],3,FALSE)," ")</f>
        <v>Transferencia</v>
      </c>
      <c r="G98" t="str">
        <f>IFERROR(+VLOOKUP(Movimientos_2026[[#This Row],[Codigo]],Plan_cuentas[],4,FALSE)," ")</f>
        <v>Rentas</v>
      </c>
      <c r="H98" t="str">
        <f>IFERROR(+VLOOKUP(Movimientos_2026[[#This Row],[Codigo]],Plan_cuentas[],5,FALSE)," ")</f>
        <v>CHUBUT</v>
      </c>
      <c r="I98" s="43">
        <v>45992</v>
      </c>
      <c r="J98" t="s">
        <v>37</v>
      </c>
      <c r="K98" t="str">
        <f>IFERROR(+VLOOKUP(Movimientos_2026[[#This Row],[Codigo]],Plan_cuentas[],6,FALSE)," ")</f>
        <v>1 - VW - Volkswagen</v>
      </c>
      <c r="L98" s="50">
        <v>5082350.6174999997</v>
      </c>
      <c r="M98" s="50"/>
      <c r="N98" s="20">
        <f>+Movimientos_2026[[#This Row],[Ingresos]]-Movimientos_2026[[#This Row],[Egresos]]</f>
        <v>5082350.6174999997</v>
      </c>
      <c r="O98" s="20">
        <f>+O97+Movimientos_2026[[#This Row],[Neto]]</f>
        <v>5942383796.3081923</v>
      </c>
    </row>
    <row r="99" spans="1:15" x14ac:dyDescent="0.25">
      <c r="A99" s="13">
        <v>46029</v>
      </c>
      <c r="B99" s="12">
        <f>MONTH(Movimientos_2026[[#This Row],[Fecha]])</f>
        <v>1</v>
      </c>
      <c r="C99" s="12" t="str">
        <f>VLOOKUP((WEEKDAY(Movimientos_2026[[#This Row],[Fecha]],2)),'5. Setup'!$D$6:$E$12,2,FALSE)</f>
        <v>Mie</v>
      </c>
      <c r="D99">
        <v>1044201</v>
      </c>
      <c r="E99" t="str">
        <f>IFERROR(+VLOOKUP(Movimientos_2026[[#This Row],[Codigo]],Plan_cuentas[],2,FALSE)," ")</f>
        <v>INGRESOS</v>
      </c>
      <c r="F99" t="str">
        <f>IFERROR(+VLOOKUP(Movimientos_2026[[#This Row],[Codigo]],Plan_cuentas[],3,FALSE)," ")</f>
        <v>Transferencia</v>
      </c>
      <c r="G99" t="str">
        <f>IFERROR(+VLOOKUP(Movimientos_2026[[#This Row],[Codigo]],Plan_cuentas[],4,FALSE)," ")</f>
        <v>Rentas</v>
      </c>
      <c r="H99" t="str">
        <f>IFERROR(+VLOOKUP(Movimientos_2026[[#This Row],[Codigo]],Plan_cuentas[],5,FALSE)," ")</f>
        <v>CORRIENTES 1° Q</v>
      </c>
      <c r="I99" s="43">
        <v>45992</v>
      </c>
      <c r="J99" t="s">
        <v>37</v>
      </c>
      <c r="K99" t="str">
        <f>IFERROR(+VLOOKUP(Movimientos_2026[[#This Row],[Codigo]],Plan_cuentas[],6,FALSE)," ")</f>
        <v>1 - VW - Volkswagen</v>
      </c>
      <c r="L99" s="50">
        <v>3161177.32</v>
      </c>
      <c r="M99" s="50"/>
      <c r="N99" s="20">
        <f>+Movimientos_2026[[#This Row],[Ingresos]]-Movimientos_2026[[#This Row],[Egresos]]</f>
        <v>3161177.32</v>
      </c>
      <c r="O99" s="20">
        <f>+O98+Movimientos_2026[[#This Row],[Neto]]</f>
        <v>5945544973.6281919</v>
      </c>
    </row>
    <row r="100" spans="1:15" x14ac:dyDescent="0.25">
      <c r="A100" s="13">
        <v>46029</v>
      </c>
      <c r="B100" s="12">
        <f>MONTH(Movimientos_2026[[#This Row],[Fecha]])</f>
        <v>1</v>
      </c>
      <c r="C100" s="12" t="str">
        <f>VLOOKUP((WEEKDAY(Movimientos_2026[[#This Row],[Fecha]],2)),'5. Setup'!$D$6:$E$12,2,FALSE)</f>
        <v>Mie</v>
      </c>
      <c r="D100">
        <v>1044211</v>
      </c>
      <c r="E100" t="str">
        <f>IFERROR(+VLOOKUP(Movimientos_2026[[#This Row],[Codigo]],Plan_cuentas[],2,FALSE)," ")</f>
        <v>INGRESOS</v>
      </c>
      <c r="F100" t="str">
        <f>IFERROR(+VLOOKUP(Movimientos_2026[[#This Row],[Codigo]],Plan_cuentas[],3,FALSE)," ")</f>
        <v>Transferencia</v>
      </c>
      <c r="G100" t="str">
        <f>IFERROR(+VLOOKUP(Movimientos_2026[[#This Row],[Codigo]],Plan_cuentas[],4,FALSE)," ")</f>
        <v>Rentas</v>
      </c>
      <c r="H100" t="str">
        <f>IFERROR(+VLOOKUP(Movimientos_2026[[#This Row],[Codigo]],Plan_cuentas[],5,FALSE)," ")</f>
        <v>CORRIENTES 2° Q</v>
      </c>
      <c r="I100" s="43">
        <v>45992</v>
      </c>
      <c r="J100" t="s">
        <v>37</v>
      </c>
      <c r="K100" t="str">
        <f>IFERROR(+VLOOKUP(Movimientos_2026[[#This Row],[Codigo]],Plan_cuentas[],6,FALSE)," ")</f>
        <v>1 - VW - Volkswagen</v>
      </c>
      <c r="L100" s="50">
        <v>1376685.5</v>
      </c>
      <c r="M100" s="50"/>
      <c r="N100" s="20">
        <f>+Movimientos_2026[[#This Row],[Ingresos]]-Movimientos_2026[[#This Row],[Egresos]]</f>
        <v>1376685.5</v>
      </c>
      <c r="O100" s="20">
        <f>+O99+Movimientos_2026[[#This Row],[Neto]]</f>
        <v>5946921659.1281919</v>
      </c>
    </row>
    <row r="101" spans="1:15" x14ac:dyDescent="0.25">
      <c r="A101" s="13">
        <v>46029</v>
      </c>
      <c r="B101" s="12">
        <f>MONTH(Movimientos_2026[[#This Row],[Fecha]])</f>
        <v>1</v>
      </c>
      <c r="C101" s="12" t="str">
        <f>VLOOKUP((WEEKDAY(Movimientos_2026[[#This Row],[Fecha]],2)),'5. Setup'!$D$6:$E$12,2,FALSE)</f>
        <v>Mie</v>
      </c>
      <c r="D101">
        <v>1044241</v>
      </c>
      <c r="E101" t="str">
        <f>IFERROR(+VLOOKUP(Movimientos_2026[[#This Row],[Codigo]],Plan_cuentas[],2,FALSE)," ")</f>
        <v>INGRESOS</v>
      </c>
      <c r="F101" t="str">
        <f>IFERROR(+VLOOKUP(Movimientos_2026[[#This Row],[Codigo]],Plan_cuentas[],3,FALSE)," ")</f>
        <v>Transferencia</v>
      </c>
      <c r="G101" t="str">
        <f>IFERROR(+VLOOKUP(Movimientos_2026[[#This Row],[Codigo]],Plan_cuentas[],4,FALSE)," ")</f>
        <v>Rentas</v>
      </c>
      <c r="H101" t="str">
        <f>IFERROR(+VLOOKUP(Movimientos_2026[[#This Row],[Codigo]],Plan_cuentas[],5,FALSE)," ")</f>
        <v>FORMOSA</v>
      </c>
      <c r="I101" s="43">
        <v>45992</v>
      </c>
      <c r="J101" t="s">
        <v>37</v>
      </c>
      <c r="K101" t="str">
        <f>IFERROR(+VLOOKUP(Movimientos_2026[[#This Row],[Codigo]],Plan_cuentas[],6,FALSE)," ")</f>
        <v>1 - VW - Volkswagen</v>
      </c>
      <c r="L101" s="50">
        <v>2609353.7599999998</v>
      </c>
      <c r="M101" s="50"/>
      <c r="N101" s="20">
        <f>+Movimientos_2026[[#This Row],[Ingresos]]-Movimientos_2026[[#This Row],[Egresos]]</f>
        <v>2609353.7599999998</v>
      </c>
      <c r="O101" s="20">
        <f>+O100+Movimientos_2026[[#This Row],[Neto]]</f>
        <v>5949531012.8881922</v>
      </c>
    </row>
    <row r="102" spans="1:15" x14ac:dyDescent="0.25">
      <c r="A102" s="13">
        <v>46029</v>
      </c>
      <c r="B102" s="12">
        <f>MONTH(Movimientos_2026[[#This Row],[Fecha]])</f>
        <v>1</v>
      </c>
      <c r="C102" s="12" t="str">
        <f>VLOOKUP((WEEKDAY(Movimientos_2026[[#This Row],[Fecha]],2)),'5. Setup'!$D$6:$E$12,2,FALSE)</f>
        <v>Mie</v>
      </c>
      <c r="D102">
        <v>1044261</v>
      </c>
      <c r="E102" t="str">
        <f>IFERROR(+VLOOKUP(Movimientos_2026[[#This Row],[Codigo]],Plan_cuentas[],2,FALSE)," ")</f>
        <v>INGRESOS</v>
      </c>
      <c r="F102" t="str">
        <f>IFERROR(+VLOOKUP(Movimientos_2026[[#This Row],[Codigo]],Plan_cuentas[],3,FALSE)," ")</f>
        <v>Transferencia</v>
      </c>
      <c r="G102" t="str">
        <f>IFERROR(+VLOOKUP(Movimientos_2026[[#This Row],[Codigo]],Plan_cuentas[],4,FALSE)," ")</f>
        <v>Rentas</v>
      </c>
      <c r="H102" t="str">
        <f>IFERROR(+VLOOKUP(Movimientos_2026[[#This Row],[Codigo]],Plan_cuentas[],5,FALSE)," ")</f>
        <v>LA PAMPA</v>
      </c>
      <c r="I102" s="43">
        <v>45992</v>
      </c>
      <c r="J102" t="s">
        <v>37</v>
      </c>
      <c r="K102" t="str">
        <f>IFERROR(+VLOOKUP(Movimientos_2026[[#This Row],[Codigo]],Plan_cuentas[],6,FALSE)," ")</f>
        <v>1 - VW - Volkswagen</v>
      </c>
      <c r="L102" s="50">
        <v>1791793.75</v>
      </c>
      <c r="M102" s="50"/>
      <c r="N102" s="20">
        <f>+Movimientos_2026[[#This Row],[Ingresos]]-Movimientos_2026[[#This Row],[Egresos]]</f>
        <v>1791793.75</v>
      </c>
      <c r="O102" s="20">
        <f>+O101+Movimientos_2026[[#This Row],[Neto]]</f>
        <v>5951322806.6381922</v>
      </c>
    </row>
    <row r="103" spans="1:15" x14ac:dyDescent="0.25">
      <c r="A103" s="13">
        <v>46029</v>
      </c>
      <c r="B103" s="12">
        <f>MONTH(Movimientos_2026[[#This Row],[Fecha]])</f>
        <v>1</v>
      </c>
      <c r="C103" s="12" t="str">
        <f>VLOOKUP((WEEKDAY(Movimientos_2026[[#This Row],[Fecha]],2)),'5. Setup'!$D$6:$E$12,2,FALSE)</f>
        <v>Mie</v>
      </c>
      <c r="D103">
        <v>1044271</v>
      </c>
      <c r="E103" t="str">
        <f>IFERROR(+VLOOKUP(Movimientos_2026[[#This Row],[Codigo]],Plan_cuentas[],2,FALSE)," ")</f>
        <v>INGRESOS</v>
      </c>
      <c r="F103" t="str">
        <f>IFERROR(+VLOOKUP(Movimientos_2026[[#This Row],[Codigo]],Plan_cuentas[],3,FALSE)," ")</f>
        <v>Transferencia</v>
      </c>
      <c r="G103" t="str">
        <f>IFERROR(+VLOOKUP(Movimientos_2026[[#This Row],[Codigo]],Plan_cuentas[],4,FALSE)," ")</f>
        <v>Rentas</v>
      </c>
      <c r="H103" t="str">
        <f>IFERROR(+VLOOKUP(Movimientos_2026[[#This Row],[Codigo]],Plan_cuentas[],5,FALSE)," ")</f>
        <v>LA RIOJA</v>
      </c>
      <c r="I103" s="43">
        <v>45992</v>
      </c>
      <c r="J103" t="s">
        <v>37</v>
      </c>
      <c r="K103" t="str">
        <f>IFERROR(+VLOOKUP(Movimientos_2026[[#This Row],[Codigo]],Plan_cuentas[],6,FALSE)," ")</f>
        <v>1 - VW - Volkswagen</v>
      </c>
      <c r="L103" s="50">
        <v>3548200.76</v>
      </c>
      <c r="M103" s="50"/>
      <c r="N103" s="20">
        <f>+Movimientos_2026[[#This Row],[Ingresos]]-Movimientos_2026[[#This Row],[Egresos]]</f>
        <v>3548200.76</v>
      </c>
      <c r="O103" s="20">
        <f>+O102+Movimientos_2026[[#This Row],[Neto]]</f>
        <v>5954871007.3981924</v>
      </c>
    </row>
    <row r="104" spans="1:15" x14ac:dyDescent="0.25">
      <c r="A104" s="13">
        <v>46029</v>
      </c>
      <c r="B104" s="12">
        <f>MONTH(Movimientos_2026[[#This Row],[Fecha]])</f>
        <v>1</v>
      </c>
      <c r="C104" s="12" t="str">
        <f>VLOOKUP((WEEKDAY(Movimientos_2026[[#This Row],[Fecha]],2)),'5. Setup'!$D$6:$E$12,2,FALSE)</f>
        <v>Mie</v>
      </c>
      <c r="D104">
        <v>1044281</v>
      </c>
      <c r="E104" t="str">
        <f>IFERROR(+VLOOKUP(Movimientos_2026[[#This Row],[Codigo]],Plan_cuentas[],2,FALSE)," ")</f>
        <v>INGRESOS</v>
      </c>
      <c r="F104" t="str">
        <f>IFERROR(+VLOOKUP(Movimientos_2026[[#This Row],[Codigo]],Plan_cuentas[],3,FALSE)," ")</f>
        <v>Transferencia</v>
      </c>
      <c r="G104" t="str">
        <f>IFERROR(+VLOOKUP(Movimientos_2026[[#This Row],[Codigo]],Plan_cuentas[],4,FALSE)," ")</f>
        <v>Rentas</v>
      </c>
      <c r="H104" t="str">
        <f>IFERROR(+VLOOKUP(Movimientos_2026[[#This Row],[Codigo]],Plan_cuentas[],5,FALSE)," ")</f>
        <v>MENDOZA</v>
      </c>
      <c r="I104" s="43">
        <v>45992</v>
      </c>
      <c r="J104" t="s">
        <v>37</v>
      </c>
      <c r="K104" t="str">
        <f>IFERROR(+VLOOKUP(Movimientos_2026[[#This Row],[Codigo]],Plan_cuentas[],6,FALSE)," ")</f>
        <v>1 - VW - Volkswagen</v>
      </c>
      <c r="L104" s="50">
        <v>13506840.025</v>
      </c>
      <c r="M104" s="50"/>
      <c r="N104" s="20">
        <f>+Movimientos_2026[[#This Row],[Ingresos]]-Movimientos_2026[[#This Row],[Egresos]]</f>
        <v>13506840.025</v>
      </c>
      <c r="O104" s="20">
        <f>+O103+Movimientos_2026[[#This Row],[Neto]]</f>
        <v>5968377847.423192</v>
      </c>
    </row>
    <row r="105" spans="1:15" x14ac:dyDescent="0.25">
      <c r="A105" s="13">
        <v>46029</v>
      </c>
      <c r="B105" s="12">
        <f>MONTH(Movimientos_2026[[#This Row],[Fecha]])</f>
        <v>1</v>
      </c>
      <c r="C105" s="12" t="str">
        <f>VLOOKUP((WEEKDAY(Movimientos_2026[[#This Row],[Fecha]],2)),'5. Setup'!$D$6:$E$12,2,FALSE)</f>
        <v>Mie</v>
      </c>
      <c r="D105">
        <v>1044461</v>
      </c>
      <c r="E105" t="str">
        <f>IFERROR(+VLOOKUP(Movimientos_2026[[#This Row],[Codigo]],Plan_cuentas[],2,FALSE)," ")</f>
        <v>INGRESOS</v>
      </c>
      <c r="F105" t="str">
        <f>IFERROR(+VLOOKUP(Movimientos_2026[[#This Row],[Codigo]],Plan_cuentas[],3,FALSE)," ")</f>
        <v>Transferencia</v>
      </c>
      <c r="G105" t="str">
        <f>IFERROR(+VLOOKUP(Movimientos_2026[[#This Row],[Codigo]],Plan_cuentas[],4,FALSE)," ")</f>
        <v>Rentas</v>
      </c>
      <c r="H105" t="str">
        <f>IFERROR(+VLOOKUP(Movimientos_2026[[#This Row],[Codigo]],Plan_cuentas[],5,FALSE)," ")</f>
        <v>MISIONES</v>
      </c>
      <c r="I105" s="43">
        <v>45992</v>
      </c>
      <c r="J105" t="s">
        <v>37</v>
      </c>
      <c r="K105" t="str">
        <f>IFERROR(+VLOOKUP(Movimientos_2026[[#This Row],[Codigo]],Plan_cuentas[],6,FALSE)," ")</f>
        <v>1 - VW - Volkswagen</v>
      </c>
      <c r="L105" s="50">
        <v>1132595.2535221039</v>
      </c>
      <c r="M105" s="50"/>
      <c r="N105" s="20">
        <f>+Movimientos_2026[[#This Row],[Ingresos]]-Movimientos_2026[[#This Row],[Egresos]]</f>
        <v>1132595.2535221039</v>
      </c>
      <c r="O105" s="20">
        <f>+O104+Movimientos_2026[[#This Row],[Neto]]</f>
        <v>5969510442.6767139</v>
      </c>
    </row>
    <row r="106" spans="1:15" x14ac:dyDescent="0.25">
      <c r="A106" s="13">
        <v>46029</v>
      </c>
      <c r="B106" s="12">
        <f>MONTH(Movimientos_2026[[#This Row],[Fecha]])</f>
        <v>1</v>
      </c>
      <c r="C106" s="12" t="str">
        <f>VLOOKUP((WEEKDAY(Movimientos_2026[[#This Row],[Fecha]],2)),'5. Setup'!$D$6:$E$12,2,FALSE)</f>
        <v>Mie</v>
      </c>
      <c r="D106">
        <v>1044311</v>
      </c>
      <c r="E106" t="str">
        <f>IFERROR(+VLOOKUP(Movimientos_2026[[#This Row],[Codigo]],Plan_cuentas[],2,FALSE)," ")</f>
        <v>INGRESOS</v>
      </c>
      <c r="F106" t="str">
        <f>IFERROR(+VLOOKUP(Movimientos_2026[[#This Row],[Codigo]],Plan_cuentas[],3,FALSE)," ")</f>
        <v>Transferencia</v>
      </c>
      <c r="G106" t="str">
        <f>IFERROR(+VLOOKUP(Movimientos_2026[[#This Row],[Codigo]],Plan_cuentas[],4,FALSE)," ")</f>
        <v>Rentas</v>
      </c>
      <c r="H106" t="str">
        <f>IFERROR(+VLOOKUP(Movimientos_2026[[#This Row],[Codigo]],Plan_cuentas[],5,FALSE)," ")</f>
        <v>NEUQUEN 1° Q</v>
      </c>
      <c r="I106" s="43">
        <v>45992</v>
      </c>
      <c r="J106" t="s">
        <v>37</v>
      </c>
      <c r="K106" t="str">
        <f>IFERROR(+VLOOKUP(Movimientos_2026[[#This Row],[Codigo]],Plan_cuentas[],6,FALSE)," ")</f>
        <v>1 - VW - Volkswagen</v>
      </c>
      <c r="L106" s="50">
        <v>18141496.93</v>
      </c>
      <c r="M106" s="50"/>
      <c r="N106" s="20">
        <f>+Movimientos_2026[[#This Row],[Ingresos]]-Movimientos_2026[[#This Row],[Egresos]]</f>
        <v>18141496.93</v>
      </c>
      <c r="O106" s="20">
        <f>+O105+Movimientos_2026[[#This Row],[Neto]]</f>
        <v>5987651939.6067142</v>
      </c>
    </row>
    <row r="107" spans="1:15" x14ac:dyDescent="0.25">
      <c r="A107" s="13">
        <v>46029</v>
      </c>
      <c r="B107" s="12">
        <f>MONTH(Movimientos_2026[[#This Row],[Fecha]])</f>
        <v>1</v>
      </c>
      <c r="C107" s="12" t="str">
        <f>VLOOKUP((WEEKDAY(Movimientos_2026[[#This Row],[Fecha]],2)),'5. Setup'!$D$6:$E$12,2,FALSE)</f>
        <v>Mie</v>
      </c>
      <c r="D107">
        <v>1044321</v>
      </c>
      <c r="E107" t="str">
        <f>IFERROR(+VLOOKUP(Movimientos_2026[[#This Row],[Codigo]],Plan_cuentas[],2,FALSE)," ")</f>
        <v>INGRESOS</v>
      </c>
      <c r="F107" t="str">
        <f>IFERROR(+VLOOKUP(Movimientos_2026[[#This Row],[Codigo]],Plan_cuentas[],3,FALSE)," ")</f>
        <v>Transferencia</v>
      </c>
      <c r="G107" t="str">
        <f>IFERROR(+VLOOKUP(Movimientos_2026[[#This Row],[Codigo]],Plan_cuentas[],4,FALSE)," ")</f>
        <v>Rentas</v>
      </c>
      <c r="H107" t="str">
        <f>IFERROR(+VLOOKUP(Movimientos_2026[[#This Row],[Codigo]],Plan_cuentas[],5,FALSE)," ")</f>
        <v>NEUQUEN 2° Q</v>
      </c>
      <c r="I107" s="43">
        <v>45992</v>
      </c>
      <c r="J107" t="s">
        <v>37</v>
      </c>
      <c r="K107" t="str">
        <f>IFERROR(+VLOOKUP(Movimientos_2026[[#This Row],[Codigo]],Plan_cuentas[],6,FALSE)," ")</f>
        <v>1 - VW - Volkswagen</v>
      </c>
      <c r="L107" s="50">
        <v>1588484.5</v>
      </c>
      <c r="M107" s="50"/>
      <c r="N107" s="20">
        <f>+Movimientos_2026[[#This Row],[Ingresos]]-Movimientos_2026[[#This Row],[Egresos]]</f>
        <v>1588484.5</v>
      </c>
      <c r="O107" s="20">
        <f>+O106+Movimientos_2026[[#This Row],[Neto]]</f>
        <v>5989240424.1067142</v>
      </c>
    </row>
    <row r="108" spans="1:15" x14ac:dyDescent="0.25">
      <c r="A108" s="13">
        <v>46029</v>
      </c>
      <c r="B108" s="12">
        <f>MONTH(Movimientos_2026[[#This Row],[Fecha]])</f>
        <v>1</v>
      </c>
      <c r="C108" s="12" t="str">
        <f>VLOOKUP((WEEKDAY(Movimientos_2026[[#This Row],[Fecha]],2)),'5. Setup'!$D$6:$E$12,2,FALSE)</f>
        <v>Mie</v>
      </c>
      <c r="D108">
        <v>1044351</v>
      </c>
      <c r="E108" t="str">
        <f>IFERROR(+VLOOKUP(Movimientos_2026[[#This Row],[Codigo]],Plan_cuentas[],2,FALSE)," ")</f>
        <v>INGRESOS</v>
      </c>
      <c r="F108" t="str">
        <f>IFERROR(+VLOOKUP(Movimientos_2026[[#This Row],[Codigo]],Plan_cuentas[],3,FALSE)," ")</f>
        <v>Transferencia</v>
      </c>
      <c r="G108" t="str">
        <f>IFERROR(+VLOOKUP(Movimientos_2026[[#This Row],[Codigo]],Plan_cuentas[],4,FALSE)," ")</f>
        <v>Rentas</v>
      </c>
      <c r="H108" t="str">
        <f>IFERROR(+VLOOKUP(Movimientos_2026[[#This Row],[Codigo]],Plan_cuentas[],5,FALSE)," ")</f>
        <v>SAN JUAN</v>
      </c>
      <c r="I108" s="43">
        <v>45992</v>
      </c>
      <c r="J108" t="s">
        <v>37</v>
      </c>
      <c r="K108" t="str">
        <f>IFERROR(+VLOOKUP(Movimientos_2026[[#This Row],[Codigo]],Plan_cuentas[],6,FALSE)," ")</f>
        <v>1 - VW - Volkswagen</v>
      </c>
      <c r="L108" s="50">
        <v>1898343.3728</v>
      </c>
      <c r="M108" s="50"/>
      <c r="N108" s="20">
        <f>+Movimientos_2026[[#This Row],[Ingresos]]-Movimientos_2026[[#This Row],[Egresos]]</f>
        <v>1898343.3728</v>
      </c>
      <c r="O108" s="20">
        <f>+O107+Movimientos_2026[[#This Row],[Neto]]</f>
        <v>5991138767.4795141</v>
      </c>
    </row>
    <row r="109" spans="1:15" x14ac:dyDescent="0.25">
      <c r="A109" s="13">
        <v>46029</v>
      </c>
      <c r="B109" s="12">
        <f>MONTH(Movimientos_2026[[#This Row],[Fecha]])</f>
        <v>1</v>
      </c>
      <c r="C109" s="12" t="str">
        <f>VLOOKUP((WEEKDAY(Movimientos_2026[[#This Row],[Fecha]],2)),'5. Setup'!$D$6:$E$12,2,FALSE)</f>
        <v>Mie</v>
      </c>
      <c r="D109">
        <v>1044361</v>
      </c>
      <c r="E109" t="str">
        <f>IFERROR(+VLOOKUP(Movimientos_2026[[#This Row],[Codigo]],Plan_cuentas[],2,FALSE)," ")</f>
        <v>INGRESOS</v>
      </c>
      <c r="F109" t="str">
        <f>IFERROR(+VLOOKUP(Movimientos_2026[[#This Row],[Codigo]],Plan_cuentas[],3,FALSE)," ")</f>
        <v>Transferencia</v>
      </c>
      <c r="G109" t="str">
        <f>IFERROR(+VLOOKUP(Movimientos_2026[[#This Row],[Codigo]],Plan_cuentas[],4,FALSE)," ")</f>
        <v>Rentas</v>
      </c>
      <c r="H109" t="str">
        <f>IFERROR(+VLOOKUP(Movimientos_2026[[#This Row],[Codigo]],Plan_cuentas[],5,FALSE)," ")</f>
        <v>SAN LUIS</v>
      </c>
      <c r="I109" s="43">
        <v>45992</v>
      </c>
      <c r="J109" t="s">
        <v>37</v>
      </c>
      <c r="K109" t="str">
        <f>IFERROR(+VLOOKUP(Movimientos_2026[[#This Row],[Codigo]],Plan_cuentas[],6,FALSE)," ")</f>
        <v>1 - VW - Volkswagen</v>
      </c>
      <c r="L109" s="50">
        <v>4084624.7880000002</v>
      </c>
      <c r="M109" s="50"/>
      <c r="N109" s="20">
        <f>+Movimientos_2026[[#This Row],[Ingresos]]-Movimientos_2026[[#This Row],[Egresos]]</f>
        <v>4084624.7880000002</v>
      </c>
      <c r="O109" s="20">
        <f>+O108+Movimientos_2026[[#This Row],[Neto]]</f>
        <v>5995223392.2675142</v>
      </c>
    </row>
    <row r="110" spans="1:15" x14ac:dyDescent="0.25">
      <c r="A110" s="13">
        <v>46029</v>
      </c>
      <c r="B110" s="12">
        <f>MONTH(Movimientos_2026[[#This Row],[Fecha]])</f>
        <v>1</v>
      </c>
      <c r="C110" s="12" t="str">
        <f>VLOOKUP((WEEKDAY(Movimientos_2026[[#This Row],[Fecha]],2)),'5. Setup'!$D$6:$E$12,2,FALSE)</f>
        <v>Mie</v>
      </c>
      <c r="D110">
        <v>1044371</v>
      </c>
      <c r="E110" t="str">
        <f>IFERROR(+VLOOKUP(Movimientos_2026[[#This Row],[Codigo]],Plan_cuentas[],2,FALSE)," ")</f>
        <v>INGRESOS</v>
      </c>
      <c r="F110" t="str">
        <f>IFERROR(+VLOOKUP(Movimientos_2026[[#This Row],[Codigo]],Plan_cuentas[],3,FALSE)," ")</f>
        <v>Transferencia</v>
      </c>
      <c r="G110" t="str">
        <f>IFERROR(+VLOOKUP(Movimientos_2026[[#This Row],[Codigo]],Plan_cuentas[],4,FALSE)," ")</f>
        <v>Rentas</v>
      </c>
      <c r="H110" t="str">
        <f>IFERROR(+VLOOKUP(Movimientos_2026[[#This Row],[Codigo]],Plan_cuentas[],5,FALSE)," ")</f>
        <v>SANTA CRUZ</v>
      </c>
      <c r="I110" s="43">
        <v>45992</v>
      </c>
      <c r="J110" t="s">
        <v>37</v>
      </c>
      <c r="K110" t="str">
        <f>IFERROR(+VLOOKUP(Movimientos_2026[[#This Row],[Codigo]],Plan_cuentas[],6,FALSE)," ")</f>
        <v>1 - VW - Volkswagen</v>
      </c>
      <c r="L110" s="50">
        <v>6030807.0480000004</v>
      </c>
      <c r="M110" s="50"/>
      <c r="N110" s="20">
        <f>+Movimientos_2026[[#This Row],[Ingresos]]-Movimientos_2026[[#This Row],[Egresos]]</f>
        <v>6030807.0480000004</v>
      </c>
      <c r="O110" s="20">
        <f>+O109+Movimientos_2026[[#This Row],[Neto]]</f>
        <v>6001254199.3155146</v>
      </c>
    </row>
    <row r="111" spans="1:15" x14ac:dyDescent="0.25">
      <c r="A111" s="13">
        <v>46029</v>
      </c>
      <c r="B111" s="12">
        <f>MONTH(Movimientos_2026[[#This Row],[Fecha]])</f>
        <v>1</v>
      </c>
      <c r="C111" s="12" t="str">
        <f>VLOOKUP((WEEKDAY(Movimientos_2026[[#This Row],[Fecha]],2)),'5. Setup'!$D$6:$E$12,2,FALSE)</f>
        <v>Mie</v>
      </c>
      <c r="D111">
        <v>1044381</v>
      </c>
      <c r="E111" t="str">
        <f>IFERROR(+VLOOKUP(Movimientos_2026[[#This Row],[Codigo]],Plan_cuentas[],2,FALSE)," ")</f>
        <v>INGRESOS</v>
      </c>
      <c r="F111" t="str">
        <f>IFERROR(+VLOOKUP(Movimientos_2026[[#This Row],[Codigo]],Plan_cuentas[],3,FALSE)," ")</f>
        <v>Transferencia</v>
      </c>
      <c r="G111" t="str">
        <f>IFERROR(+VLOOKUP(Movimientos_2026[[#This Row],[Codigo]],Plan_cuentas[],4,FALSE)," ")</f>
        <v>Rentas</v>
      </c>
      <c r="H111" t="str">
        <f>IFERROR(+VLOOKUP(Movimientos_2026[[#This Row],[Codigo]],Plan_cuentas[],5,FALSE)," ")</f>
        <v>SANTA FE 1° Q</v>
      </c>
      <c r="I111" s="43">
        <v>45992</v>
      </c>
      <c r="J111" t="s">
        <v>37</v>
      </c>
      <c r="K111" t="str">
        <f>IFERROR(+VLOOKUP(Movimientos_2026[[#This Row],[Codigo]],Plan_cuentas[],6,FALSE)," ")</f>
        <v>1 - VW - Volkswagen</v>
      </c>
      <c r="L111" s="50">
        <v>9219017.2749999985</v>
      </c>
      <c r="M111" s="50"/>
      <c r="N111" s="20">
        <f>+Movimientos_2026[[#This Row],[Ingresos]]-Movimientos_2026[[#This Row],[Egresos]]</f>
        <v>9219017.2749999985</v>
      </c>
      <c r="O111" s="20">
        <f>+O110+Movimientos_2026[[#This Row],[Neto]]</f>
        <v>6010473216.5905142</v>
      </c>
    </row>
    <row r="112" spans="1:15" x14ac:dyDescent="0.25">
      <c r="A112" s="13">
        <v>46029</v>
      </c>
      <c r="B112" s="12">
        <f>MONTH(Movimientos_2026[[#This Row],[Fecha]])</f>
        <v>1</v>
      </c>
      <c r="C112" s="12" t="str">
        <f>VLOOKUP((WEEKDAY(Movimientos_2026[[#This Row],[Fecha]],2)),'5. Setup'!$D$6:$E$12,2,FALSE)</f>
        <v>Mie</v>
      </c>
      <c r="D112">
        <v>1044391</v>
      </c>
      <c r="E112" t="str">
        <f>IFERROR(+VLOOKUP(Movimientos_2026[[#This Row],[Codigo]],Plan_cuentas[],2,FALSE)," ")</f>
        <v>INGRESOS</v>
      </c>
      <c r="F112" t="str">
        <f>IFERROR(+VLOOKUP(Movimientos_2026[[#This Row],[Codigo]],Plan_cuentas[],3,FALSE)," ")</f>
        <v>Transferencia</v>
      </c>
      <c r="G112" t="str">
        <f>IFERROR(+VLOOKUP(Movimientos_2026[[#This Row],[Codigo]],Plan_cuentas[],4,FALSE)," ")</f>
        <v>Rentas</v>
      </c>
      <c r="H112" t="str">
        <f>IFERROR(+VLOOKUP(Movimientos_2026[[#This Row],[Codigo]],Plan_cuentas[],5,FALSE)," ")</f>
        <v>SANTA FE 2° Q</v>
      </c>
      <c r="I112" s="43">
        <v>45992</v>
      </c>
      <c r="J112" t="s">
        <v>37</v>
      </c>
      <c r="K112" t="str">
        <f>IFERROR(+VLOOKUP(Movimientos_2026[[#This Row],[Codigo]],Plan_cuentas[],6,FALSE)," ")</f>
        <v>1 - VW - Volkswagen</v>
      </c>
      <c r="L112" s="50">
        <v>2867325.75</v>
      </c>
      <c r="M112" s="50"/>
      <c r="N112" s="20">
        <f>+Movimientos_2026[[#This Row],[Ingresos]]-Movimientos_2026[[#This Row],[Egresos]]</f>
        <v>2867325.75</v>
      </c>
      <c r="O112" s="20">
        <f>+O111+Movimientos_2026[[#This Row],[Neto]]</f>
        <v>6013340542.3405142</v>
      </c>
    </row>
    <row r="113" spans="1:15" x14ac:dyDescent="0.25">
      <c r="A113" s="13">
        <v>46029</v>
      </c>
      <c r="B113" s="12">
        <f>MONTH(Movimientos_2026[[#This Row],[Fecha]])</f>
        <v>1</v>
      </c>
      <c r="C113" s="12" t="str">
        <f>VLOOKUP((WEEKDAY(Movimientos_2026[[#This Row],[Fecha]],2)),'5. Setup'!$D$6:$E$12,2,FALSE)</f>
        <v>Mie</v>
      </c>
      <c r="D113">
        <v>1044401</v>
      </c>
      <c r="E113" t="str">
        <f>IFERROR(+VLOOKUP(Movimientos_2026[[#This Row],[Codigo]],Plan_cuentas[],2,FALSE)," ")</f>
        <v>INGRESOS</v>
      </c>
      <c r="F113" t="str">
        <f>IFERROR(+VLOOKUP(Movimientos_2026[[#This Row],[Codigo]],Plan_cuentas[],3,FALSE)," ")</f>
        <v>Transferencia</v>
      </c>
      <c r="G113" t="str">
        <f>IFERROR(+VLOOKUP(Movimientos_2026[[#This Row],[Codigo]],Plan_cuentas[],4,FALSE)," ")</f>
        <v>Rentas</v>
      </c>
      <c r="H113" t="str">
        <f>IFERROR(+VLOOKUP(Movimientos_2026[[#This Row],[Codigo]],Plan_cuentas[],5,FALSE)," ")</f>
        <v>SANTIAGO DEL ESTERO</v>
      </c>
      <c r="I113" s="43">
        <v>45992</v>
      </c>
      <c r="J113" t="s">
        <v>37</v>
      </c>
      <c r="K113" t="str">
        <f>IFERROR(+VLOOKUP(Movimientos_2026[[#This Row],[Codigo]],Plan_cuentas[],6,FALSE)," ")</f>
        <v>1 - VW - Volkswagen</v>
      </c>
      <c r="L113" s="50">
        <v>10375008.880000001</v>
      </c>
      <c r="M113" s="50"/>
      <c r="N113" s="20">
        <f>+Movimientos_2026[[#This Row],[Ingresos]]-Movimientos_2026[[#This Row],[Egresos]]</f>
        <v>10375008.880000001</v>
      </c>
      <c r="O113" s="20">
        <f>+O112+Movimientos_2026[[#This Row],[Neto]]</f>
        <v>6023715551.2205143</v>
      </c>
    </row>
    <row r="114" spans="1:15" x14ac:dyDescent="0.25">
      <c r="A114" s="13">
        <v>46029</v>
      </c>
      <c r="B114" s="12">
        <f>MONTH(Movimientos_2026[[#This Row],[Fecha]])</f>
        <v>1</v>
      </c>
      <c r="C114" s="12" t="str">
        <f>VLOOKUP((WEEKDAY(Movimientos_2026[[#This Row],[Fecha]],2)),'5. Setup'!$D$6:$E$12,2,FALSE)</f>
        <v>Mie</v>
      </c>
      <c r="D114">
        <v>1044411</v>
      </c>
      <c r="E114" t="str">
        <f>IFERROR(+VLOOKUP(Movimientos_2026[[#This Row],[Codigo]],Plan_cuentas[],2,FALSE)," ")</f>
        <v>INGRESOS</v>
      </c>
      <c r="F114" t="str">
        <f>IFERROR(+VLOOKUP(Movimientos_2026[[#This Row],[Codigo]],Plan_cuentas[],3,FALSE)," ")</f>
        <v>Transferencia</v>
      </c>
      <c r="G114" t="str">
        <f>IFERROR(+VLOOKUP(Movimientos_2026[[#This Row],[Codigo]],Plan_cuentas[],4,FALSE)," ")</f>
        <v>Rentas</v>
      </c>
      <c r="H114" t="str">
        <f>IFERROR(+VLOOKUP(Movimientos_2026[[#This Row],[Codigo]],Plan_cuentas[],5,FALSE)," ")</f>
        <v>TIERRA DEL FUEGO</v>
      </c>
      <c r="I114" s="43">
        <v>45992</v>
      </c>
      <c r="J114" t="s">
        <v>37</v>
      </c>
      <c r="K114" t="str">
        <f>IFERROR(+VLOOKUP(Movimientos_2026[[#This Row],[Codigo]],Plan_cuentas[],6,FALSE)," ")</f>
        <v>1 - VW - Volkswagen</v>
      </c>
      <c r="L114" s="50">
        <v>4018059.2</v>
      </c>
      <c r="M114" s="50"/>
      <c r="N114" s="20">
        <f>+Movimientos_2026[[#This Row],[Ingresos]]-Movimientos_2026[[#This Row],[Egresos]]</f>
        <v>4018059.2</v>
      </c>
      <c r="O114" s="20">
        <f>+O113+Movimientos_2026[[#This Row],[Neto]]</f>
        <v>6027733610.4205141</v>
      </c>
    </row>
    <row r="115" spans="1:15" x14ac:dyDescent="0.25">
      <c r="A115" s="13">
        <v>46029</v>
      </c>
      <c r="B115" s="12">
        <f>MONTH(Movimientos_2026[[#This Row],[Fecha]])</f>
        <v>1</v>
      </c>
      <c r="C115" s="12" t="str">
        <f>VLOOKUP((WEEKDAY(Movimientos_2026[[#This Row],[Fecha]],2)),'5. Setup'!$D$6:$E$12,2,FALSE)</f>
        <v>Mie</v>
      </c>
      <c r="D115">
        <v>1044421</v>
      </c>
      <c r="E115" t="str">
        <f>IFERROR(+VLOOKUP(Movimientos_2026[[#This Row],[Codigo]],Plan_cuentas[],2,FALSE)," ")</f>
        <v>INGRESOS</v>
      </c>
      <c r="F115" t="str">
        <f>IFERROR(+VLOOKUP(Movimientos_2026[[#This Row],[Codigo]],Plan_cuentas[],3,FALSE)," ")</f>
        <v>Transferencia</v>
      </c>
      <c r="G115" t="str">
        <f>IFERROR(+VLOOKUP(Movimientos_2026[[#This Row],[Codigo]],Plan_cuentas[],4,FALSE)," ")</f>
        <v>Rentas</v>
      </c>
      <c r="H115" t="str">
        <f>IFERROR(+VLOOKUP(Movimientos_2026[[#This Row],[Codigo]],Plan_cuentas[],5,FALSE)," ")</f>
        <v>TUCUMAN</v>
      </c>
      <c r="I115" s="43">
        <v>45992</v>
      </c>
      <c r="J115" t="s">
        <v>37</v>
      </c>
      <c r="K115" t="str">
        <f>IFERROR(+VLOOKUP(Movimientos_2026[[#This Row],[Codigo]],Plan_cuentas[],6,FALSE)," ")</f>
        <v>1 - VW - Volkswagen</v>
      </c>
      <c r="L115" s="50">
        <v>22448236.6981766</v>
      </c>
      <c r="M115" s="50"/>
      <c r="N115" s="20">
        <f>+Movimientos_2026[[#This Row],[Ingresos]]-Movimientos_2026[[#This Row],[Egresos]]</f>
        <v>22448236.6981766</v>
      </c>
      <c r="O115" s="20">
        <f>+O114+Movimientos_2026[[#This Row],[Neto]]</f>
        <v>6050181847.1186905</v>
      </c>
    </row>
    <row r="116" spans="1:15" x14ac:dyDescent="0.25">
      <c r="A116" s="13">
        <v>46029</v>
      </c>
      <c r="B116" s="12">
        <f>MONTH(Movimientos_2026[[#This Row],[Fecha]])</f>
        <v>1</v>
      </c>
      <c r="C116" s="12" t="str">
        <f>VLOOKUP((WEEKDAY(Movimientos_2026[[#This Row],[Fecha]],2)),'5. Setup'!$D$6:$E$12,2,FALSE)</f>
        <v>Mie</v>
      </c>
      <c r="D116">
        <v>1043141</v>
      </c>
      <c r="E116" t="str">
        <f>IFERROR(+VLOOKUP(Movimientos_2026[[#This Row],[Codigo]],Plan_cuentas[],2,FALSE)," ")</f>
        <v>INGRESOS</v>
      </c>
      <c r="F116" t="str">
        <f>IFERROR(+VLOOKUP(Movimientos_2026[[#This Row],[Codigo]],Plan_cuentas[],3,FALSE)," ")</f>
        <v>Transferencia</v>
      </c>
      <c r="G116" t="str">
        <f>IFERROR(+VLOOKUP(Movimientos_2026[[#This Row],[Codigo]],Plan_cuentas[],4,FALSE)," ")</f>
        <v>Registración</v>
      </c>
      <c r="H116" t="str">
        <f>IFERROR(+VLOOKUP(Movimientos_2026[[#This Row],[Codigo]],Plan_cuentas[],5,FALSE)," ")</f>
        <v>BUENOS AIRES</v>
      </c>
      <c r="I116" s="43">
        <v>45992</v>
      </c>
      <c r="J116" t="s">
        <v>38</v>
      </c>
      <c r="K116" t="str">
        <f>IFERROR(+VLOOKUP(Movimientos_2026[[#This Row],[Codigo]],Plan_cuentas[],6,FALSE)," ")</f>
        <v>1 - VW - Volkswagen</v>
      </c>
      <c r="L116" s="50">
        <v>55261129.011375099</v>
      </c>
      <c r="M116" s="50"/>
      <c r="N116" s="20">
        <f>+Movimientos_2026[[#This Row],[Ingresos]]-Movimientos_2026[[#This Row],[Egresos]]</f>
        <v>55261129.011375099</v>
      </c>
      <c r="O116" s="20">
        <f>+O115+Movimientos_2026[[#This Row],[Neto]]</f>
        <v>6105442976.1300659</v>
      </c>
    </row>
    <row r="117" spans="1:15" x14ac:dyDescent="0.25">
      <c r="A117" s="13">
        <v>46029</v>
      </c>
      <c r="B117" s="12">
        <f>MONTH(Movimientos_2026[[#This Row],[Fecha]])</f>
        <v>1</v>
      </c>
      <c r="C117" s="12" t="str">
        <f>VLOOKUP((WEEKDAY(Movimientos_2026[[#This Row],[Fecha]],2)),'5. Setup'!$D$6:$E$12,2,FALSE)</f>
        <v>Mie</v>
      </c>
      <c r="D117">
        <v>1042111</v>
      </c>
      <c r="E117" t="str">
        <f>IFERROR(+VLOOKUP(Movimientos_2026[[#This Row],[Codigo]],Plan_cuentas[],2,FALSE)," ")</f>
        <v>INGRESOS</v>
      </c>
      <c r="F117" t="str">
        <f>IFERROR(+VLOOKUP(Movimientos_2026[[#This Row],[Codigo]],Plan_cuentas[],3,FALSE)," ")</f>
        <v>Transferencia</v>
      </c>
      <c r="G117" t="str">
        <f>IFERROR(+VLOOKUP(Movimientos_2026[[#This Row],[Codigo]],Plan_cuentas[],4,FALSE)," ")</f>
        <v>Entidades tercerizadas</v>
      </c>
      <c r="H117" t="str">
        <f>IFERROR(+VLOOKUP(Movimientos_2026[[#This Row],[Codigo]],Plan_cuentas[],5,FALSE)," ")</f>
        <v>APESI</v>
      </c>
      <c r="I117" s="43">
        <v>45992</v>
      </c>
      <c r="J117" t="s">
        <v>38</v>
      </c>
      <c r="K117" t="str">
        <f>IFERROR(+VLOOKUP(Movimientos_2026[[#This Row],[Codigo]],Plan_cuentas[],6,FALSE)," ")</f>
        <v>1 - VW - Volkswagen</v>
      </c>
      <c r="L117" s="50">
        <v>55261129.011375099</v>
      </c>
      <c r="M117" s="50"/>
      <c r="N117" s="20">
        <f>+Movimientos_2026[[#This Row],[Ingresos]]-Movimientos_2026[[#This Row],[Egresos]]</f>
        <v>55261129.011375099</v>
      </c>
      <c r="O117" s="20">
        <f>+O116+Movimientos_2026[[#This Row],[Neto]]</f>
        <v>6160704105.1414413</v>
      </c>
    </row>
    <row r="118" spans="1:15" x14ac:dyDescent="0.25">
      <c r="A118" s="13">
        <v>46029</v>
      </c>
      <c r="B118" s="12">
        <f>MONTH(Movimientos_2026[[#This Row],[Fecha]])</f>
        <v>1</v>
      </c>
      <c r="C118" s="12" t="str">
        <f>VLOOKUP((WEEKDAY(Movimientos_2026[[#This Row],[Fecha]],2)),'5. Setup'!$D$6:$E$12,2,FALSE)</f>
        <v>Mie</v>
      </c>
      <c r="D118">
        <v>1041431</v>
      </c>
      <c r="E118" t="str">
        <f>IFERROR(+VLOOKUP(Movimientos_2026[[#This Row],[Codigo]],Plan_cuentas[],2,FALSE)," ")</f>
        <v>INGRESOS</v>
      </c>
      <c r="F118" t="str">
        <f>IFERROR(+VLOOKUP(Movimientos_2026[[#This Row],[Codigo]],Plan_cuentas[],3,FALSE)," ")</f>
        <v>Transferencia</v>
      </c>
      <c r="G118" t="str">
        <f>IFERROR(+VLOOKUP(Movimientos_2026[[#This Row],[Codigo]],Plan_cuentas[],4,FALSE)," ")</f>
        <v>Entidades co-participadas</v>
      </c>
      <c r="H118" t="str">
        <f>IFERROR(+VLOOKUP(Movimientos_2026[[#This Row],[Codigo]],Plan_cuentas[],5,FALSE)," ")</f>
        <v>UEDA</v>
      </c>
      <c r="I118" s="43">
        <v>45992</v>
      </c>
      <c r="J118" t="s">
        <v>38</v>
      </c>
      <c r="K118" t="str">
        <f>IFERROR(+VLOOKUP(Movimientos_2026[[#This Row],[Codigo]],Plan_cuentas[],6,FALSE)," ")</f>
        <v>1 - VW - Volkswagen</v>
      </c>
      <c r="L118" s="50">
        <v>55261129.011375099</v>
      </c>
      <c r="M118" s="50"/>
      <c r="N118" s="20">
        <f>+Movimientos_2026[[#This Row],[Ingresos]]-Movimientos_2026[[#This Row],[Egresos]]</f>
        <v>55261129.011375099</v>
      </c>
      <c r="O118" s="20">
        <f>+O117+Movimientos_2026[[#This Row],[Neto]]</f>
        <v>6215965234.1528168</v>
      </c>
    </row>
    <row r="119" spans="1:15" x14ac:dyDescent="0.25">
      <c r="A119" s="13">
        <v>46029</v>
      </c>
      <c r="B119" s="12">
        <f>MONTH(Movimientos_2026[[#This Row],[Fecha]])</f>
        <v>1</v>
      </c>
      <c r="C119" s="12" t="str">
        <f>VLOOKUP((WEEKDAY(Movimientos_2026[[#This Row],[Fecha]],2)),'5. Setup'!$D$6:$E$12,2,FALSE)</f>
        <v>Mie</v>
      </c>
      <c r="D119">
        <v>1041441</v>
      </c>
      <c r="E119" t="str">
        <f>IFERROR(+VLOOKUP(Movimientos_2026[[#This Row],[Codigo]],Plan_cuentas[],2,FALSE)," ")</f>
        <v>INGRESOS</v>
      </c>
      <c r="F119" t="str">
        <f>IFERROR(+VLOOKUP(Movimientos_2026[[#This Row],[Codigo]],Plan_cuentas[],3,FALSE)," ")</f>
        <v>Transferencia</v>
      </c>
      <c r="G119" t="str">
        <f>IFERROR(+VLOOKUP(Movimientos_2026[[#This Row],[Codigo]],Plan_cuentas[],4,FALSE)," ")</f>
        <v>Entidades co-participadas</v>
      </c>
      <c r="H119" t="str">
        <f>IFERROR(+VLOOKUP(Movimientos_2026[[#This Row],[Codigo]],Plan_cuentas[],5,FALSE)," ")</f>
        <v>UISCUMARR</v>
      </c>
      <c r="I119" s="43">
        <v>45992</v>
      </c>
      <c r="J119" t="s">
        <v>38</v>
      </c>
      <c r="K119" t="str">
        <f>IFERROR(+VLOOKUP(Movimientos_2026[[#This Row],[Codigo]],Plan_cuentas[],6,FALSE)," ")</f>
        <v>1 - VW - Volkswagen</v>
      </c>
      <c r="L119" s="50">
        <v>55261129.011375099</v>
      </c>
      <c r="M119" s="50"/>
      <c r="N119" s="20">
        <f>+Movimientos_2026[[#This Row],[Ingresos]]-Movimientos_2026[[#This Row],[Egresos]]</f>
        <v>55261129.011375099</v>
      </c>
      <c r="O119" s="20">
        <f>+O118+Movimientos_2026[[#This Row],[Neto]]</f>
        <v>6271226363.1641922</v>
      </c>
    </row>
    <row r="120" spans="1:15" x14ac:dyDescent="0.25">
      <c r="A120" s="13">
        <v>46030</v>
      </c>
      <c r="B120" s="12">
        <f>MONTH(Movimientos_2026[[#This Row],[Fecha]])</f>
        <v>1</v>
      </c>
      <c r="C120" s="12" t="str">
        <f>VLOOKUP((WEEKDAY(Movimientos_2026[[#This Row],[Fecha]],2)),'5. Setup'!$D$6:$E$12,2,FALSE)</f>
        <v>Jue</v>
      </c>
      <c r="D120">
        <v>2054322</v>
      </c>
      <c r="E120" t="str">
        <f>IFERROR(+VLOOKUP(Movimientos_2026[[#This Row],[Codigo]],Plan_cuentas[],2,FALSE)," ")</f>
        <v>EGRESOS</v>
      </c>
      <c r="F120" t="str">
        <f>IFERROR(+VLOOKUP(Movimientos_2026[[#This Row],[Codigo]],Plan_cuentas[],3,FALSE)," ")</f>
        <v>VEP</v>
      </c>
      <c r="G120" t="str">
        <f>IFERROR(+VLOOKUP(Movimientos_2026[[#This Row],[Codigo]],Plan_cuentas[],4,FALSE)," ")</f>
        <v>Rentas</v>
      </c>
      <c r="H120" t="str">
        <f>IFERROR(+VLOOKUP(Movimientos_2026[[#This Row],[Codigo]],Plan_cuentas[],5,FALSE)," ")</f>
        <v>NEUQUEN 2° Q</v>
      </c>
      <c r="I120" s="43">
        <v>45992</v>
      </c>
      <c r="J120" t="s">
        <v>39</v>
      </c>
      <c r="K120" t="str">
        <f>IFERROR(+VLOOKUP(Movimientos_2026[[#This Row],[Codigo]],Plan_cuentas[],6,FALSE)," ")</f>
        <v>2 - PR - Plan Rombo</v>
      </c>
      <c r="L120" s="51"/>
      <c r="M120" s="52">
        <v>15565500</v>
      </c>
      <c r="N120" s="20">
        <f>+Movimientos_2026[[#This Row],[Ingresos]]-Movimientos_2026[[#This Row],[Egresos]]</f>
        <v>-15565500</v>
      </c>
      <c r="O120" s="20">
        <f>+O119+Movimientos_2026[[#This Row],[Neto]]</f>
        <v>6255660863.1641922</v>
      </c>
    </row>
    <row r="121" spans="1:15" x14ac:dyDescent="0.25">
      <c r="A121" s="13">
        <v>46030</v>
      </c>
      <c r="B121" s="12">
        <f>MONTH(Movimientos_2026[[#This Row],[Fecha]])</f>
        <v>1</v>
      </c>
      <c r="C121" s="12" t="str">
        <f>VLOOKUP((WEEKDAY(Movimientos_2026[[#This Row],[Fecha]],2)),'5. Setup'!$D$6:$E$12,2,FALSE)</f>
        <v>Jue</v>
      </c>
      <c r="D121">
        <v>2054325</v>
      </c>
      <c r="E121" t="str">
        <f>IFERROR(+VLOOKUP(Movimientos_2026[[#This Row],[Codigo]],Plan_cuentas[],2,FALSE)," ")</f>
        <v>EGRESOS</v>
      </c>
      <c r="F121" t="str">
        <f>IFERROR(+VLOOKUP(Movimientos_2026[[#This Row],[Codigo]],Plan_cuentas[],3,FALSE)," ")</f>
        <v>VEP</v>
      </c>
      <c r="G121" t="str">
        <f>IFERROR(+VLOOKUP(Movimientos_2026[[#This Row],[Codigo]],Plan_cuentas[],4,FALSE)," ")</f>
        <v>Rentas</v>
      </c>
      <c r="H121" t="str">
        <f>IFERROR(+VLOOKUP(Movimientos_2026[[#This Row],[Codigo]],Plan_cuentas[],5,FALSE)," ")</f>
        <v>NEUQUEN 2° Q</v>
      </c>
      <c r="I121" s="43">
        <v>45992</v>
      </c>
      <c r="J121" t="s">
        <v>40</v>
      </c>
      <c r="K121" t="str">
        <f>IFERROR(+VLOOKUP(Movimientos_2026[[#This Row],[Codigo]],Plan_cuentas[],6,FALSE)," ")</f>
        <v>5 - YAM - Yamaha</v>
      </c>
      <c r="L121" s="51"/>
      <c r="M121" s="52">
        <v>590044.4</v>
      </c>
      <c r="N121" s="20">
        <f>+Movimientos_2026[[#This Row],[Ingresos]]-Movimientos_2026[[#This Row],[Egresos]]</f>
        <v>-590044.4</v>
      </c>
      <c r="O121" s="20">
        <f>+O120+Movimientos_2026[[#This Row],[Neto]]</f>
        <v>6255070818.7641926</v>
      </c>
    </row>
    <row r="122" spans="1:15" x14ac:dyDescent="0.25">
      <c r="A122" s="13">
        <v>46030</v>
      </c>
      <c r="B122" s="12">
        <f>MONTH(Movimientos_2026[[#This Row],[Fecha]])</f>
        <v>1</v>
      </c>
      <c r="C122" s="12" t="str">
        <f>VLOOKUP((WEEKDAY(Movimientos_2026[[#This Row],[Fecha]],2)),'5. Setup'!$D$6:$E$12,2,FALSE)</f>
        <v>Jue</v>
      </c>
      <c r="D122">
        <v>2044495</v>
      </c>
      <c r="E122" t="str">
        <f>IFERROR(+VLOOKUP(Movimientos_2026[[#This Row],[Codigo]],Plan_cuentas[],2,FALSE)," ")</f>
        <v>EGRESOS</v>
      </c>
      <c r="F122" t="str">
        <f>IFERROR(+VLOOKUP(Movimientos_2026[[#This Row],[Codigo]],Plan_cuentas[],3,FALSE)," ")</f>
        <v>Transferencia</v>
      </c>
      <c r="G122" t="str">
        <f>IFERROR(+VLOOKUP(Movimientos_2026[[#This Row],[Codigo]],Plan_cuentas[],4,FALSE)," ")</f>
        <v>Rentas</v>
      </c>
      <c r="H122" t="str">
        <f>IFERROR(+VLOOKUP(Movimientos_2026[[#This Row],[Codigo]],Plan_cuentas[],5,FALSE)," ")</f>
        <v>JUJUY</v>
      </c>
      <c r="I122" s="43">
        <v>45992</v>
      </c>
      <c r="J122" t="s">
        <v>41</v>
      </c>
      <c r="K122" t="str">
        <f>IFERROR(+VLOOKUP(Movimientos_2026[[#This Row],[Codigo]],Plan_cuentas[],6,FALSE)," ")</f>
        <v>5 - YAM - Yamaha</v>
      </c>
      <c r="L122" s="51"/>
      <c r="M122" s="52">
        <v>977588.04</v>
      </c>
      <c r="N122" s="20">
        <f>+Movimientos_2026[[#This Row],[Ingresos]]-Movimientos_2026[[#This Row],[Egresos]]</f>
        <v>-977588.04</v>
      </c>
      <c r="O122" s="20">
        <f>+O121+Movimientos_2026[[#This Row],[Neto]]</f>
        <v>6254093230.7241926</v>
      </c>
    </row>
    <row r="123" spans="1:15" x14ac:dyDescent="0.25">
      <c r="A123" s="13">
        <v>46030</v>
      </c>
      <c r="B123" s="12">
        <f>MONTH(Movimientos_2026[[#This Row],[Fecha]])</f>
        <v>1</v>
      </c>
      <c r="C123" s="12" t="str">
        <f>VLOOKUP((WEEKDAY(Movimientos_2026[[#This Row],[Fecha]],2)),'5. Setup'!$D$6:$E$12,2,FALSE)</f>
        <v>Jue</v>
      </c>
      <c r="D123">
        <v>2014425</v>
      </c>
      <c r="E123" t="str">
        <f>IFERROR(+VLOOKUP(Movimientos_2026[[#This Row],[Codigo]],Plan_cuentas[],2,FALSE)," ")</f>
        <v>EGRESOS</v>
      </c>
      <c r="F123" t="str">
        <f>IFERROR(+VLOOKUP(Movimientos_2026[[#This Row],[Codigo]],Plan_cuentas[],3,FALSE)," ")</f>
        <v>BtoB</v>
      </c>
      <c r="G123" t="str">
        <f>IFERROR(+VLOOKUP(Movimientos_2026[[#This Row],[Codigo]],Plan_cuentas[],4,FALSE)," ")</f>
        <v>Rentas</v>
      </c>
      <c r="H123" t="str">
        <f>IFERROR(+VLOOKUP(Movimientos_2026[[#This Row],[Codigo]],Plan_cuentas[],5,FALSE)," ")</f>
        <v>TUCUMAN</v>
      </c>
      <c r="I123" s="43">
        <v>45992</v>
      </c>
      <c r="J123" t="s">
        <v>42</v>
      </c>
      <c r="K123" t="str">
        <f>IFERROR(+VLOOKUP(Movimientos_2026[[#This Row],[Codigo]],Plan_cuentas[],6,FALSE)," ")</f>
        <v>5 - YAM - Yamaha</v>
      </c>
      <c r="L123" s="51"/>
      <c r="M123" s="52">
        <v>2441517.9656000002</v>
      </c>
      <c r="N123" s="20">
        <f>+Movimientos_2026[[#This Row],[Ingresos]]-Movimientos_2026[[#This Row],[Egresos]]</f>
        <v>-2441517.9656000002</v>
      </c>
      <c r="O123" s="20">
        <f>+O122+Movimientos_2026[[#This Row],[Neto]]</f>
        <v>6251651712.7585926</v>
      </c>
    </row>
    <row r="124" spans="1:15" x14ac:dyDescent="0.25">
      <c r="A124" s="13">
        <v>46030</v>
      </c>
      <c r="B124" s="12">
        <f>MONTH(Movimientos_2026[[#This Row],[Fecha]])</f>
        <v>1</v>
      </c>
      <c r="C124" s="12" t="str">
        <f>VLOOKUP((WEEKDAY(Movimientos_2026[[#This Row],[Fecha]],2)),'5. Setup'!$D$6:$E$12,2,FALSE)</f>
        <v>Jue</v>
      </c>
      <c r="D124">
        <v>2034243</v>
      </c>
      <c r="E124" t="str">
        <f>IFERROR(+VLOOKUP(Movimientos_2026[[#This Row],[Codigo]],Plan_cuentas[],2,FALSE)," ")</f>
        <v>EGRESOS</v>
      </c>
      <c r="F124" t="str">
        <f>IFERROR(+VLOOKUP(Movimientos_2026[[#This Row],[Codigo]],Plan_cuentas[],3,FALSE)," ")</f>
        <v>Pagos Bco. Provincia</v>
      </c>
      <c r="G124" t="str">
        <f>IFERROR(+VLOOKUP(Movimientos_2026[[#This Row],[Codigo]],Plan_cuentas[],4,FALSE)," ")</f>
        <v>Rentas</v>
      </c>
      <c r="H124" t="str">
        <f>IFERROR(+VLOOKUP(Movimientos_2026[[#This Row],[Codigo]],Plan_cuentas[],5,FALSE)," ")</f>
        <v>FORMOSA</v>
      </c>
      <c r="I124" s="43">
        <v>45992</v>
      </c>
      <c r="J124" t="s">
        <v>43</v>
      </c>
      <c r="K124" t="str">
        <f>IFERROR(+VLOOKUP(Movimientos_2026[[#This Row],[Codigo]],Plan_cuentas[],6,FALSE)," ")</f>
        <v>3 - GM - Chevrolet</v>
      </c>
      <c r="L124" s="51"/>
      <c r="M124" s="52">
        <v>16339685.85</v>
      </c>
      <c r="N124" s="20">
        <f>+Movimientos_2026[[#This Row],[Ingresos]]-Movimientos_2026[[#This Row],[Egresos]]</f>
        <v>-16339685.85</v>
      </c>
      <c r="O124" s="20">
        <f>+O123+Movimientos_2026[[#This Row],[Neto]]</f>
        <v>6235312026.9085922</v>
      </c>
    </row>
    <row r="125" spans="1:15" x14ac:dyDescent="0.25">
      <c r="A125" s="13">
        <v>46030</v>
      </c>
      <c r="B125" s="12">
        <f>MONTH(Movimientos_2026[[#This Row],[Fecha]])</f>
        <v>1</v>
      </c>
      <c r="C125" s="12" t="str">
        <f>VLOOKUP((WEEKDAY(Movimientos_2026[[#This Row],[Fecha]],2)),'5. Setup'!$D$6:$E$12,2,FALSE)</f>
        <v>Jue</v>
      </c>
      <c r="D125">
        <v>2034244</v>
      </c>
      <c r="E125" t="str">
        <f>IFERROR(+VLOOKUP(Movimientos_2026[[#This Row],[Codigo]],Plan_cuentas[],2,FALSE)," ")</f>
        <v>EGRESOS</v>
      </c>
      <c r="F125" t="str">
        <f>IFERROR(+VLOOKUP(Movimientos_2026[[#This Row],[Codigo]],Plan_cuentas[],3,FALSE)," ")</f>
        <v>Pagos Bco. Provincia</v>
      </c>
      <c r="G125" t="str">
        <f>IFERROR(+VLOOKUP(Movimientos_2026[[#This Row],[Codigo]],Plan_cuentas[],4,FALSE)," ")</f>
        <v>Rentas</v>
      </c>
      <c r="H125" t="str">
        <f>IFERROR(+VLOOKUP(Movimientos_2026[[#This Row],[Codigo]],Plan_cuentas[],5,FALSE)," ")</f>
        <v>FORMOSA</v>
      </c>
      <c r="I125" s="43">
        <v>45992</v>
      </c>
      <c r="J125" t="s">
        <v>44</v>
      </c>
      <c r="K125" t="str">
        <f>IFERROR(+VLOOKUP(Movimientos_2026[[#This Row],[Codigo]],Plan_cuentas[],6,FALSE)," ")</f>
        <v>4 - FCA - Fiat</v>
      </c>
      <c r="L125" s="51"/>
      <c r="M125" s="52">
        <v>6624841.0800000001</v>
      </c>
      <c r="N125" s="20">
        <f>+Movimientos_2026[[#This Row],[Ingresos]]-Movimientos_2026[[#This Row],[Egresos]]</f>
        <v>-6624841.0800000001</v>
      </c>
      <c r="O125" s="20">
        <f>+O124+Movimientos_2026[[#This Row],[Neto]]</f>
        <v>6228687185.8285923</v>
      </c>
    </row>
    <row r="126" spans="1:15" x14ac:dyDescent="0.25">
      <c r="A126" s="13">
        <v>46030</v>
      </c>
      <c r="B126" s="12">
        <f>MONTH(Movimientos_2026[[#This Row],[Fecha]])</f>
        <v>1</v>
      </c>
      <c r="C126" s="12" t="str">
        <f>VLOOKUP((WEEKDAY(Movimientos_2026[[#This Row],[Fecha]],2)),'5. Setup'!$D$6:$E$12,2,FALSE)</f>
        <v>Jue</v>
      </c>
      <c r="D126">
        <v>2054372</v>
      </c>
      <c r="E126" t="str">
        <f>IFERROR(+VLOOKUP(Movimientos_2026[[#This Row],[Codigo]],Plan_cuentas[],2,FALSE)," ")</f>
        <v>EGRESOS</v>
      </c>
      <c r="F126" t="str">
        <f>IFERROR(+VLOOKUP(Movimientos_2026[[#This Row],[Codigo]],Plan_cuentas[],3,FALSE)," ")</f>
        <v>VEP</v>
      </c>
      <c r="G126" t="str">
        <f>IFERROR(+VLOOKUP(Movimientos_2026[[#This Row],[Codigo]],Plan_cuentas[],4,FALSE)," ")</f>
        <v>Rentas</v>
      </c>
      <c r="H126" t="str">
        <f>IFERROR(+VLOOKUP(Movimientos_2026[[#This Row],[Codigo]],Plan_cuentas[],5,FALSE)," ")</f>
        <v>SANTA CRUZ</v>
      </c>
      <c r="I126" s="43">
        <v>45992</v>
      </c>
      <c r="J126" t="s">
        <v>45</v>
      </c>
      <c r="K126" t="str">
        <f>IFERROR(+VLOOKUP(Movimientos_2026[[#This Row],[Codigo]],Plan_cuentas[],6,FALSE)," ")</f>
        <v>2 - PR - Plan Rombo</v>
      </c>
      <c r="L126" s="51"/>
      <c r="M126" s="52">
        <v>37194759.052239999</v>
      </c>
      <c r="N126" s="20">
        <f>+Movimientos_2026[[#This Row],[Ingresos]]-Movimientos_2026[[#This Row],[Egresos]]</f>
        <v>-37194759.052239999</v>
      </c>
      <c r="O126" s="20">
        <f>+O125+Movimientos_2026[[#This Row],[Neto]]</f>
        <v>6191492426.7763519</v>
      </c>
    </row>
    <row r="127" spans="1:15" x14ac:dyDescent="0.25">
      <c r="A127" s="13">
        <v>46030</v>
      </c>
      <c r="B127" s="12">
        <f>MONTH(Movimientos_2026[[#This Row],[Fecha]])</f>
        <v>1</v>
      </c>
      <c r="C127" s="12" t="str">
        <f>VLOOKUP((WEEKDAY(Movimientos_2026[[#This Row],[Fecha]],2)),'5. Setup'!$D$6:$E$12,2,FALSE)</f>
        <v>Jue</v>
      </c>
      <c r="D127">
        <v>2054374</v>
      </c>
      <c r="E127" t="str">
        <f>IFERROR(+VLOOKUP(Movimientos_2026[[#This Row],[Codigo]],Plan_cuentas[],2,FALSE)," ")</f>
        <v>EGRESOS</v>
      </c>
      <c r="F127" t="str">
        <f>IFERROR(+VLOOKUP(Movimientos_2026[[#This Row],[Codigo]],Plan_cuentas[],3,FALSE)," ")</f>
        <v>VEP</v>
      </c>
      <c r="G127" t="str">
        <f>IFERROR(+VLOOKUP(Movimientos_2026[[#This Row],[Codigo]],Plan_cuentas[],4,FALSE)," ")</f>
        <v>Rentas</v>
      </c>
      <c r="H127" t="str">
        <f>IFERROR(+VLOOKUP(Movimientos_2026[[#This Row],[Codigo]],Plan_cuentas[],5,FALSE)," ")</f>
        <v>SANTA CRUZ</v>
      </c>
      <c r="I127" s="43">
        <v>45992</v>
      </c>
      <c r="J127" t="s">
        <v>46</v>
      </c>
      <c r="K127" t="str">
        <f>IFERROR(+VLOOKUP(Movimientos_2026[[#This Row],[Codigo]],Plan_cuentas[],6,FALSE)," ")</f>
        <v>4 - FCA - Fiat</v>
      </c>
      <c r="L127" s="51"/>
      <c r="M127" s="52">
        <v>20997995.219999999</v>
      </c>
      <c r="N127" s="20">
        <f>+Movimientos_2026[[#This Row],[Ingresos]]-Movimientos_2026[[#This Row],[Egresos]]</f>
        <v>-20997995.219999999</v>
      </c>
      <c r="O127" s="20">
        <f>+O126+Movimientos_2026[[#This Row],[Neto]]</f>
        <v>6170494431.5563517</v>
      </c>
    </row>
    <row r="128" spans="1:15" x14ac:dyDescent="0.25">
      <c r="A128" s="13">
        <v>46030</v>
      </c>
      <c r="B128" s="12">
        <f>MONTH(Movimientos_2026[[#This Row],[Fecha]])</f>
        <v>1</v>
      </c>
      <c r="C128" s="12" t="str">
        <f>VLOOKUP((WEEKDAY(Movimientos_2026[[#This Row],[Fecha]],2)),'5. Setup'!$D$6:$E$12,2,FALSE)</f>
        <v>Jue</v>
      </c>
      <c r="D128">
        <v>2014272</v>
      </c>
      <c r="E128" t="str">
        <f>IFERROR(+VLOOKUP(Movimientos_2026[[#This Row],[Codigo]],Plan_cuentas[],2,FALSE)," ")</f>
        <v>EGRESOS</v>
      </c>
      <c r="F128" t="str">
        <f>IFERROR(+VLOOKUP(Movimientos_2026[[#This Row],[Codigo]],Plan_cuentas[],3,FALSE)," ")</f>
        <v>BtoB</v>
      </c>
      <c r="G128" t="str">
        <f>IFERROR(+VLOOKUP(Movimientos_2026[[#This Row],[Codigo]],Plan_cuentas[],4,FALSE)," ")</f>
        <v>Rentas</v>
      </c>
      <c r="H128" t="str">
        <f>IFERROR(+VLOOKUP(Movimientos_2026[[#This Row],[Codigo]],Plan_cuentas[],5,FALSE)," ")</f>
        <v>LA RIOJA</v>
      </c>
      <c r="I128" s="43">
        <v>45992</v>
      </c>
      <c r="J128" t="s">
        <v>47</v>
      </c>
      <c r="K128" t="str">
        <f>IFERROR(+VLOOKUP(Movimientos_2026[[#This Row],[Codigo]],Plan_cuentas[],6,FALSE)," ")</f>
        <v>2 - PR - Plan Rombo</v>
      </c>
      <c r="L128" s="51"/>
      <c r="M128" s="52">
        <v>1537854.32</v>
      </c>
      <c r="N128" s="20">
        <f>+Movimientos_2026[[#This Row],[Ingresos]]-Movimientos_2026[[#This Row],[Egresos]]</f>
        <v>-1537854.32</v>
      </c>
      <c r="O128" s="20">
        <f>+O127+Movimientos_2026[[#This Row],[Neto]]</f>
        <v>6168956577.236352</v>
      </c>
    </row>
    <row r="129" spans="1:15" x14ac:dyDescent="0.25">
      <c r="A129" s="13">
        <v>46030</v>
      </c>
      <c r="B129" s="12">
        <f>MONTH(Movimientos_2026[[#This Row],[Fecha]])</f>
        <v>1</v>
      </c>
      <c r="C129" s="12" t="str">
        <f>VLOOKUP((WEEKDAY(Movimientos_2026[[#This Row],[Fecha]],2)),'5. Setup'!$D$6:$E$12,2,FALSE)</f>
        <v>Jue</v>
      </c>
      <c r="D129">
        <v>2014274</v>
      </c>
      <c r="E129" t="str">
        <f>IFERROR(+VLOOKUP(Movimientos_2026[[#This Row],[Codigo]],Plan_cuentas[],2,FALSE)," ")</f>
        <v>EGRESOS</v>
      </c>
      <c r="F129" t="str">
        <f>IFERROR(+VLOOKUP(Movimientos_2026[[#This Row],[Codigo]],Plan_cuentas[],3,FALSE)," ")</f>
        <v>BtoB</v>
      </c>
      <c r="G129" t="str">
        <f>IFERROR(+VLOOKUP(Movimientos_2026[[#This Row],[Codigo]],Plan_cuentas[],4,FALSE)," ")</f>
        <v>Rentas</v>
      </c>
      <c r="H129" t="str">
        <f>IFERROR(+VLOOKUP(Movimientos_2026[[#This Row],[Codigo]],Plan_cuentas[],5,FALSE)," ")</f>
        <v>LA RIOJA</v>
      </c>
      <c r="I129" s="43">
        <v>45992</v>
      </c>
      <c r="J129" t="s">
        <v>48</v>
      </c>
      <c r="K129" t="str">
        <f>IFERROR(+VLOOKUP(Movimientos_2026[[#This Row],[Codigo]],Plan_cuentas[],6,FALSE)," ")</f>
        <v>4 - FCA - Fiat</v>
      </c>
      <c r="L129" s="51"/>
      <c r="M129" s="52">
        <v>18186342.600000001</v>
      </c>
      <c r="N129" s="20">
        <f>+Movimientos_2026[[#This Row],[Ingresos]]-Movimientos_2026[[#This Row],[Egresos]]</f>
        <v>-18186342.600000001</v>
      </c>
      <c r="O129" s="20">
        <f>+O128+Movimientos_2026[[#This Row],[Neto]]</f>
        <v>6150770234.6363516</v>
      </c>
    </row>
    <row r="130" spans="1:15" x14ac:dyDescent="0.25">
      <c r="A130" s="13">
        <v>46030</v>
      </c>
      <c r="B130" s="12">
        <f>MONTH(Movimientos_2026[[#This Row],[Fecha]])</f>
        <v>1</v>
      </c>
      <c r="C130" s="12" t="str">
        <f>VLOOKUP((WEEKDAY(Movimientos_2026[[#This Row],[Fecha]],2)),'5. Setup'!$D$6:$E$12,2,FALSE)</f>
        <v>Jue</v>
      </c>
      <c r="D130">
        <v>2014214</v>
      </c>
      <c r="E130" t="str">
        <f>IFERROR(+VLOOKUP(Movimientos_2026[[#This Row],[Codigo]],Plan_cuentas[],2,FALSE)," ")</f>
        <v>EGRESOS</v>
      </c>
      <c r="F130" t="str">
        <f>IFERROR(+VLOOKUP(Movimientos_2026[[#This Row],[Codigo]],Plan_cuentas[],3,FALSE)," ")</f>
        <v>BtoB</v>
      </c>
      <c r="G130" t="str">
        <f>IFERROR(+VLOOKUP(Movimientos_2026[[#This Row],[Codigo]],Plan_cuentas[],4,FALSE)," ")</f>
        <v>Rentas</v>
      </c>
      <c r="H130" t="str">
        <f>IFERROR(+VLOOKUP(Movimientos_2026[[#This Row],[Codigo]],Plan_cuentas[],5,FALSE)," ")</f>
        <v>CORRIENTES 2° Q</v>
      </c>
      <c r="I130" s="43">
        <v>45992</v>
      </c>
      <c r="J130" t="s">
        <v>49</v>
      </c>
      <c r="K130" t="str">
        <f>IFERROR(+VLOOKUP(Movimientos_2026[[#This Row],[Codigo]],Plan_cuentas[],6,FALSE)," ")</f>
        <v>4 - FCA - Fiat</v>
      </c>
      <c r="L130" s="51"/>
      <c r="M130" s="52">
        <v>11906426.59</v>
      </c>
      <c r="N130" s="20">
        <f>+Movimientos_2026[[#This Row],[Ingresos]]-Movimientos_2026[[#This Row],[Egresos]]</f>
        <v>-11906426.59</v>
      </c>
      <c r="O130" s="20">
        <f>+O129+Movimientos_2026[[#This Row],[Neto]]</f>
        <v>6138863808.0463514</v>
      </c>
    </row>
    <row r="131" spans="1:15" x14ac:dyDescent="0.25">
      <c r="A131" s="13">
        <v>46030</v>
      </c>
      <c r="B131" s="12">
        <f>MONTH(Movimientos_2026[[#This Row],[Fecha]])</f>
        <v>1</v>
      </c>
      <c r="C131" s="12" t="str">
        <f>VLOOKUP((WEEKDAY(Movimientos_2026[[#This Row],[Fecha]],2)),'5. Setup'!$D$6:$E$12,2,FALSE)</f>
        <v>Jue</v>
      </c>
      <c r="D131">
        <v>2034234</v>
      </c>
      <c r="E131" t="str">
        <f>IFERROR(+VLOOKUP(Movimientos_2026[[#This Row],[Codigo]],Plan_cuentas[],2,FALSE)," ")</f>
        <v>EGRESOS</v>
      </c>
      <c r="F131" t="str">
        <f>IFERROR(+VLOOKUP(Movimientos_2026[[#This Row],[Codigo]],Plan_cuentas[],3,FALSE)," ")</f>
        <v>Pagos Bco. Provincia</v>
      </c>
      <c r="G131" t="str">
        <f>IFERROR(+VLOOKUP(Movimientos_2026[[#This Row],[Codigo]],Plan_cuentas[],4,FALSE)," ")</f>
        <v>Rentas</v>
      </c>
      <c r="H131" t="str">
        <f>IFERROR(+VLOOKUP(Movimientos_2026[[#This Row],[Codigo]],Plan_cuentas[],5,FALSE)," ")</f>
        <v>ENTRE RIOS 2° Q</v>
      </c>
      <c r="I131" s="43">
        <v>45992</v>
      </c>
      <c r="J131" t="s">
        <v>50</v>
      </c>
      <c r="K131" t="str">
        <f>IFERROR(+VLOOKUP(Movimientos_2026[[#This Row],[Codigo]],Plan_cuentas[],6,FALSE)," ")</f>
        <v>4 - FCA - Fiat</v>
      </c>
      <c r="L131" s="50"/>
      <c r="M131" s="52">
        <v>22395661.780000001</v>
      </c>
      <c r="N131" s="20">
        <f>+Movimientos_2026[[#This Row],[Ingresos]]-Movimientos_2026[[#This Row],[Egresos]]</f>
        <v>-22395661.780000001</v>
      </c>
      <c r="O131" s="20">
        <f>+O130+Movimientos_2026[[#This Row],[Neto]]</f>
        <v>6116468146.2663517</v>
      </c>
    </row>
    <row r="132" spans="1:15" x14ac:dyDescent="0.25">
      <c r="A132" s="13">
        <v>46031</v>
      </c>
      <c r="B132" s="12">
        <f>MONTH(Movimientos_2026[[#This Row],[Fecha]])</f>
        <v>1</v>
      </c>
      <c r="C132" s="12" t="str">
        <f>VLOOKUP((WEEKDAY(Movimientos_2026[[#This Row],[Fecha]],2)),'5. Setup'!$D$6:$E$12,2,FALSE)</f>
        <v>Vie</v>
      </c>
      <c r="D132">
        <v>2044462</v>
      </c>
      <c r="E132" t="str">
        <f>IFERROR(+VLOOKUP(Movimientos_2026[[#This Row],[Codigo]],Plan_cuentas[],2,FALSE)," ")</f>
        <v>EGRESOS</v>
      </c>
      <c r="F132" t="str">
        <f>IFERROR(+VLOOKUP(Movimientos_2026[[#This Row],[Codigo]],Plan_cuentas[],3,FALSE)," ")</f>
        <v>Transferencia</v>
      </c>
      <c r="G132" t="str">
        <f>IFERROR(+VLOOKUP(Movimientos_2026[[#This Row],[Codigo]],Plan_cuentas[],4,FALSE)," ")</f>
        <v>Rentas</v>
      </c>
      <c r="H132" t="str">
        <f>IFERROR(+VLOOKUP(Movimientos_2026[[#This Row],[Codigo]],Plan_cuentas[],5,FALSE)," ")</f>
        <v>MISIONES</v>
      </c>
      <c r="I132" s="43">
        <v>45992</v>
      </c>
      <c r="J132" t="s">
        <v>51</v>
      </c>
      <c r="K132" t="str">
        <f>IFERROR(+VLOOKUP(Movimientos_2026[[#This Row],[Codigo]],Plan_cuentas[],6,FALSE)," ")</f>
        <v>2 - PR - Plan Rombo</v>
      </c>
      <c r="L132" s="50"/>
      <c r="M132" s="52">
        <v>2674018.64</v>
      </c>
      <c r="N132" s="20">
        <f>+Movimientos_2026[[#This Row],[Ingresos]]-Movimientos_2026[[#This Row],[Egresos]]</f>
        <v>-2674018.64</v>
      </c>
      <c r="O132" s="20">
        <f>+O131+Movimientos_2026[[#This Row],[Neto]]</f>
        <v>6113794127.6263514</v>
      </c>
    </row>
    <row r="133" spans="1:15" x14ac:dyDescent="0.25">
      <c r="A133" s="13">
        <v>46031</v>
      </c>
      <c r="B133" s="12">
        <f>MONTH(Movimientos_2026[[#This Row],[Fecha]])</f>
        <v>1</v>
      </c>
      <c r="C133" s="12" t="str">
        <f>VLOOKUP((WEEKDAY(Movimientos_2026[[#This Row],[Fecha]],2)),'5. Setup'!$D$6:$E$12,2,FALSE)</f>
        <v>Vie</v>
      </c>
      <c r="D133">
        <v>2054321</v>
      </c>
      <c r="E133" t="str">
        <f>IFERROR(+VLOOKUP(Movimientos_2026[[#This Row],[Codigo]],Plan_cuentas[],2,FALSE)," ")</f>
        <v>EGRESOS</v>
      </c>
      <c r="F133" t="str">
        <f>IFERROR(+VLOOKUP(Movimientos_2026[[#This Row],[Codigo]],Plan_cuentas[],3,FALSE)," ")</f>
        <v>VEP</v>
      </c>
      <c r="G133" t="str">
        <f>IFERROR(+VLOOKUP(Movimientos_2026[[#This Row],[Codigo]],Plan_cuentas[],4,FALSE)," ")</f>
        <v>Rentas</v>
      </c>
      <c r="H133" t="str">
        <f>IFERROR(+VLOOKUP(Movimientos_2026[[#This Row],[Codigo]],Plan_cuentas[],5,FALSE)," ")</f>
        <v>NEUQUEN 2° Q</v>
      </c>
      <c r="I133" s="43">
        <v>45992</v>
      </c>
      <c r="J133" t="s">
        <v>52</v>
      </c>
      <c r="K133" t="str">
        <f>IFERROR(+VLOOKUP(Movimientos_2026[[#This Row],[Codigo]],Plan_cuentas[],6,FALSE)," ")</f>
        <v>1 - VW - Volkswagen</v>
      </c>
      <c r="L133" s="51"/>
      <c r="M133" s="52">
        <v>24831158.5</v>
      </c>
      <c r="N133" s="20">
        <f>+Movimientos_2026[[#This Row],[Ingresos]]-Movimientos_2026[[#This Row],[Egresos]]</f>
        <v>-24831158.5</v>
      </c>
      <c r="O133" s="20">
        <f>+O132+Movimientos_2026[[#This Row],[Neto]]</f>
        <v>6088962969.1263514</v>
      </c>
    </row>
    <row r="134" spans="1:15" x14ac:dyDescent="0.25">
      <c r="A134" s="13">
        <v>46031</v>
      </c>
      <c r="B134" s="12">
        <f>MONTH(Movimientos_2026[[#This Row],[Fecha]])</f>
        <v>1</v>
      </c>
      <c r="C134" s="12" t="str">
        <f>VLOOKUP((WEEKDAY(Movimientos_2026[[#This Row],[Fecha]],2)),'5. Setup'!$D$6:$E$12,2,FALSE)</f>
        <v>Vie</v>
      </c>
      <c r="D134">
        <v>2014422</v>
      </c>
      <c r="E134" t="str">
        <f>IFERROR(+VLOOKUP(Movimientos_2026[[#This Row],[Codigo]],Plan_cuentas[],2,FALSE)," ")</f>
        <v>EGRESOS</v>
      </c>
      <c r="F134" t="str">
        <f>IFERROR(+VLOOKUP(Movimientos_2026[[#This Row],[Codigo]],Plan_cuentas[],3,FALSE)," ")</f>
        <v>BtoB</v>
      </c>
      <c r="G134" t="str">
        <f>IFERROR(+VLOOKUP(Movimientos_2026[[#This Row],[Codigo]],Plan_cuentas[],4,FALSE)," ")</f>
        <v>Rentas</v>
      </c>
      <c r="H134" t="str">
        <f>IFERROR(+VLOOKUP(Movimientos_2026[[#This Row],[Codigo]],Plan_cuentas[],5,FALSE)," ")</f>
        <v>TUCUMAN</v>
      </c>
      <c r="I134" s="43">
        <v>45992</v>
      </c>
      <c r="J134" t="s">
        <v>53</v>
      </c>
      <c r="K134" t="str">
        <f>IFERROR(+VLOOKUP(Movimientos_2026[[#This Row],[Codigo]],Plan_cuentas[],6,FALSE)," ")</f>
        <v>2 - PR - Plan Rombo</v>
      </c>
      <c r="L134" s="51"/>
      <c r="M134" s="52">
        <v>56775610.228999957</v>
      </c>
      <c r="N134" s="20">
        <f>+Movimientos_2026[[#This Row],[Ingresos]]-Movimientos_2026[[#This Row],[Egresos]]</f>
        <v>-56775610.228999957</v>
      </c>
      <c r="O134" s="20">
        <f>+O133+Movimientos_2026[[#This Row],[Neto]]</f>
        <v>6032187358.8973513</v>
      </c>
    </row>
    <row r="135" spans="1:15" x14ac:dyDescent="0.25">
      <c r="A135" s="13">
        <v>46031</v>
      </c>
      <c r="B135" s="12">
        <f>MONTH(Movimientos_2026[[#This Row],[Fecha]])</f>
        <v>1</v>
      </c>
      <c r="C135" s="12" t="str">
        <f>VLOOKUP((WEEKDAY(Movimientos_2026[[#This Row],[Fecha]],2)),'5. Setup'!$D$6:$E$12,2,FALSE)</f>
        <v>Vie</v>
      </c>
      <c r="D135">
        <v>2014427</v>
      </c>
      <c r="E135" t="str">
        <f>IFERROR(+VLOOKUP(Movimientos_2026[[#This Row],[Codigo]],Plan_cuentas[],2,FALSE)," ")</f>
        <v>EGRESOS</v>
      </c>
      <c r="F135" t="str">
        <f>IFERROR(+VLOOKUP(Movimientos_2026[[#This Row],[Codigo]],Plan_cuentas[],3,FALSE)," ")</f>
        <v>BtoB</v>
      </c>
      <c r="G135" t="str">
        <f>IFERROR(+VLOOKUP(Movimientos_2026[[#This Row],[Codigo]],Plan_cuentas[],4,FALSE)," ")</f>
        <v>Rentas</v>
      </c>
      <c r="H135" t="str">
        <f>IFERROR(+VLOOKUP(Movimientos_2026[[#This Row],[Codigo]],Plan_cuentas[],5,FALSE)," ")</f>
        <v>TUCUMAN</v>
      </c>
      <c r="I135" s="43">
        <v>45992</v>
      </c>
      <c r="J135" t="s">
        <v>53</v>
      </c>
      <c r="K135" t="str">
        <f>IFERROR(+VLOOKUP(Movimientos_2026[[#This Row],[Codigo]],Plan_cuentas[],6,FALSE)," ")</f>
        <v>7 - PRtr - Plan Rombo Transf.</v>
      </c>
      <c r="L135" s="51"/>
      <c r="M135" s="52">
        <v>90</v>
      </c>
      <c r="N135" s="20">
        <f>+Movimientos_2026[[#This Row],[Ingresos]]-Movimientos_2026[[#This Row],[Egresos]]</f>
        <v>-90</v>
      </c>
      <c r="O135" s="20">
        <f>+O134+Movimientos_2026[[#This Row],[Neto]]</f>
        <v>6032187268.8973513</v>
      </c>
    </row>
    <row r="136" spans="1:15" x14ac:dyDescent="0.25">
      <c r="A136" s="13">
        <v>46031</v>
      </c>
      <c r="B136" s="12">
        <f>MONTH(Movimientos_2026[[#This Row],[Fecha]])</f>
        <v>1</v>
      </c>
      <c r="C136" s="12" t="str">
        <f>VLOOKUP((WEEKDAY(Movimientos_2026[[#This Row],[Fecha]],2)),'5. Setup'!$D$6:$E$12,2,FALSE)</f>
        <v>Vie</v>
      </c>
      <c r="D136">
        <v>2014422</v>
      </c>
      <c r="E136" t="str">
        <f>IFERROR(+VLOOKUP(Movimientos_2026[[#This Row],[Codigo]],Plan_cuentas[],2,FALSE)," ")</f>
        <v>EGRESOS</v>
      </c>
      <c r="F136" t="str">
        <f>IFERROR(+VLOOKUP(Movimientos_2026[[#This Row],[Codigo]],Plan_cuentas[],3,FALSE)," ")</f>
        <v>BtoB</v>
      </c>
      <c r="G136" t="str">
        <f>IFERROR(+VLOOKUP(Movimientos_2026[[#This Row],[Codigo]],Plan_cuentas[],4,FALSE)," ")</f>
        <v>Rentas</v>
      </c>
      <c r="H136" t="str">
        <f>IFERROR(+VLOOKUP(Movimientos_2026[[#This Row],[Codigo]],Plan_cuentas[],5,FALSE)," ")</f>
        <v>TUCUMAN</v>
      </c>
      <c r="I136" s="43">
        <v>45992</v>
      </c>
      <c r="J136" t="s">
        <v>53</v>
      </c>
      <c r="K136" t="str">
        <f>IFERROR(+VLOOKUP(Movimientos_2026[[#This Row],[Codigo]],Plan_cuentas[],6,FALSE)," ")</f>
        <v>2 - PR - Plan Rombo</v>
      </c>
      <c r="L136" s="51"/>
      <c r="M136" s="52">
        <v>5660239</v>
      </c>
      <c r="N136" s="20">
        <f>+Movimientos_2026[[#This Row],[Ingresos]]-Movimientos_2026[[#This Row],[Egresos]]</f>
        <v>-5660239</v>
      </c>
      <c r="O136" s="20">
        <f>+O135+Movimientos_2026[[#This Row],[Neto]]</f>
        <v>6026527029.8973513</v>
      </c>
    </row>
    <row r="137" spans="1:15" x14ac:dyDescent="0.25">
      <c r="A137" s="13">
        <v>46031</v>
      </c>
      <c r="B137" s="12">
        <f>MONTH(Movimientos_2026[[#This Row],[Fecha]])</f>
        <v>1</v>
      </c>
      <c r="C137" s="12" t="str">
        <f>VLOOKUP((WEEKDAY(Movimientos_2026[[#This Row],[Fecha]],2)),'5. Setup'!$D$6:$E$12,2,FALSE)</f>
        <v>Vie</v>
      </c>
      <c r="D137">
        <v>2014275</v>
      </c>
      <c r="E137" t="str">
        <f>IFERROR(+VLOOKUP(Movimientos_2026[[#This Row],[Codigo]],Plan_cuentas[],2,FALSE)," ")</f>
        <v>EGRESOS</v>
      </c>
      <c r="F137" t="str">
        <f>IFERROR(+VLOOKUP(Movimientos_2026[[#This Row],[Codigo]],Plan_cuentas[],3,FALSE)," ")</f>
        <v>BtoB</v>
      </c>
      <c r="G137" t="str">
        <f>IFERROR(+VLOOKUP(Movimientos_2026[[#This Row],[Codigo]],Plan_cuentas[],4,FALSE)," ")</f>
        <v>Rentas</v>
      </c>
      <c r="H137" t="str">
        <f>IFERROR(+VLOOKUP(Movimientos_2026[[#This Row],[Codigo]],Plan_cuentas[],5,FALSE)," ")</f>
        <v>LA RIOJA</v>
      </c>
      <c r="I137" s="43">
        <v>45992</v>
      </c>
      <c r="J137" t="s">
        <v>54</v>
      </c>
      <c r="K137" t="str">
        <f>IFERROR(+VLOOKUP(Movimientos_2026[[#This Row],[Codigo]],Plan_cuentas[],6,FALSE)," ")</f>
        <v>5 - YAM - Yamaha</v>
      </c>
      <c r="L137" s="51"/>
      <c r="M137" s="52">
        <v>1055349.44</v>
      </c>
      <c r="N137" s="20">
        <f>+Movimientos_2026[[#This Row],[Ingresos]]-Movimientos_2026[[#This Row],[Egresos]]</f>
        <v>-1055349.44</v>
      </c>
      <c r="O137" s="20">
        <f>+O136+Movimientos_2026[[#This Row],[Neto]]</f>
        <v>6025471680.4573517</v>
      </c>
    </row>
    <row r="138" spans="1:15" x14ac:dyDescent="0.25">
      <c r="A138" s="13">
        <v>46031</v>
      </c>
      <c r="B138" s="12">
        <f>MONTH(Movimientos_2026[[#This Row],[Fecha]])</f>
        <v>1</v>
      </c>
      <c r="C138" s="12" t="str">
        <f>VLOOKUP((WEEKDAY(Movimientos_2026[[#This Row],[Fecha]],2)),'5. Setup'!$D$6:$E$12,2,FALSE)</f>
        <v>Vie</v>
      </c>
      <c r="D138">
        <v>2014212</v>
      </c>
      <c r="E138" t="str">
        <f>IFERROR(+VLOOKUP(Movimientos_2026[[#This Row],[Codigo]],Plan_cuentas[],2,FALSE)," ")</f>
        <v>EGRESOS</v>
      </c>
      <c r="F138" t="str">
        <f>IFERROR(+VLOOKUP(Movimientos_2026[[#This Row],[Codigo]],Plan_cuentas[],3,FALSE)," ")</f>
        <v>BtoB</v>
      </c>
      <c r="G138" t="str">
        <f>IFERROR(+VLOOKUP(Movimientos_2026[[#This Row],[Codigo]],Plan_cuentas[],4,FALSE)," ")</f>
        <v>Rentas</v>
      </c>
      <c r="H138" t="str">
        <f>IFERROR(+VLOOKUP(Movimientos_2026[[#This Row],[Codigo]],Plan_cuentas[],5,FALSE)," ")</f>
        <v>CORRIENTES 2° Q</v>
      </c>
      <c r="I138" s="43">
        <v>45992</v>
      </c>
      <c r="J138" t="s">
        <v>55</v>
      </c>
      <c r="K138" t="str">
        <f>IFERROR(+VLOOKUP(Movimientos_2026[[#This Row],[Codigo]],Plan_cuentas[],6,FALSE)," ")</f>
        <v>2 - PR - Plan Rombo</v>
      </c>
      <c r="L138" s="51"/>
      <c r="M138" s="52">
        <v>3081087.3523999988</v>
      </c>
      <c r="N138" s="20">
        <f>+Movimientos_2026[[#This Row],[Ingresos]]-Movimientos_2026[[#This Row],[Egresos]]</f>
        <v>-3081087.3523999988</v>
      </c>
      <c r="O138" s="20">
        <f>+O137+Movimientos_2026[[#This Row],[Neto]]</f>
        <v>6022390593.1049519</v>
      </c>
    </row>
    <row r="139" spans="1:15" x14ac:dyDescent="0.25">
      <c r="A139" s="13">
        <v>46031</v>
      </c>
      <c r="B139" s="12">
        <f>MONTH(Movimientos_2026[[#This Row],[Fecha]])</f>
        <v>1</v>
      </c>
      <c r="C139" s="12" t="str">
        <f>VLOOKUP((WEEKDAY(Movimientos_2026[[#This Row],[Fecha]],2)),'5. Setup'!$D$6:$E$12,2,FALSE)</f>
        <v>Vie</v>
      </c>
      <c r="D139">
        <v>2054196</v>
      </c>
      <c r="E139" t="str">
        <f>IFERROR(+VLOOKUP(Movimientos_2026[[#This Row],[Codigo]],Plan_cuentas[],2,FALSE)," ")</f>
        <v>EGRESOS</v>
      </c>
      <c r="F139" t="str">
        <f>IFERROR(+VLOOKUP(Movimientos_2026[[#This Row],[Codigo]],Plan_cuentas[],3,FALSE)," ")</f>
        <v>VEP</v>
      </c>
      <c r="G139" t="str">
        <f>IFERROR(+VLOOKUP(Movimientos_2026[[#This Row],[Codigo]],Plan_cuentas[],4,FALSE)," ")</f>
        <v>Rentas</v>
      </c>
      <c r="H139" t="str">
        <f>IFERROR(+VLOOKUP(Movimientos_2026[[#This Row],[Codigo]],Plan_cuentas[],5,FALSE)," ")</f>
        <v>CORDOBA 2° Q</v>
      </c>
      <c r="I139" s="43">
        <v>45992</v>
      </c>
      <c r="J139" t="s">
        <v>56</v>
      </c>
      <c r="K139" t="str">
        <f>IFERROR(+VLOOKUP(Movimientos_2026[[#This Row],[Codigo]],Plan_cuentas[],6,FALSE)," ")</f>
        <v>6 - FCAtr - Fiat Transf.</v>
      </c>
      <c r="L139" s="51"/>
      <c r="M139" s="52">
        <v>22419302.680000041</v>
      </c>
      <c r="N139" s="20">
        <f>+Movimientos_2026[[#This Row],[Ingresos]]-Movimientos_2026[[#This Row],[Egresos]]</f>
        <v>-22419302.680000041</v>
      </c>
      <c r="O139" s="20">
        <f>+O138+Movimientos_2026[[#This Row],[Neto]]</f>
        <v>5999971290.4249516</v>
      </c>
    </row>
    <row r="140" spans="1:15" x14ac:dyDescent="0.25">
      <c r="A140" s="13">
        <v>46031</v>
      </c>
      <c r="B140" s="12">
        <f>MONTH(Movimientos_2026[[#This Row],[Fecha]])</f>
        <v>1</v>
      </c>
      <c r="C140" s="12" t="str">
        <f>VLOOKUP((WEEKDAY(Movimientos_2026[[#This Row],[Fecha]],2)),'5. Setup'!$D$6:$E$12,2,FALSE)</f>
        <v>Vie</v>
      </c>
      <c r="D140">
        <v>2034235</v>
      </c>
      <c r="E140" t="str">
        <f>IFERROR(+VLOOKUP(Movimientos_2026[[#This Row],[Codigo]],Plan_cuentas[],2,FALSE)," ")</f>
        <v>EGRESOS</v>
      </c>
      <c r="F140" t="str">
        <f>IFERROR(+VLOOKUP(Movimientos_2026[[#This Row],[Codigo]],Plan_cuentas[],3,FALSE)," ")</f>
        <v>Pagos Bco. Provincia</v>
      </c>
      <c r="G140" t="str">
        <f>IFERROR(+VLOOKUP(Movimientos_2026[[#This Row],[Codigo]],Plan_cuentas[],4,FALSE)," ")</f>
        <v>Rentas</v>
      </c>
      <c r="H140" t="str">
        <f>IFERROR(+VLOOKUP(Movimientos_2026[[#This Row],[Codigo]],Plan_cuentas[],5,FALSE)," ")</f>
        <v>ENTRE RIOS 2° Q</v>
      </c>
      <c r="I140" s="43">
        <v>45992</v>
      </c>
      <c r="J140" t="s">
        <v>57</v>
      </c>
      <c r="K140" t="str">
        <f>IFERROR(+VLOOKUP(Movimientos_2026[[#This Row],[Codigo]],Plan_cuentas[],6,FALSE)," ")</f>
        <v>5 - YAM - Yamaha</v>
      </c>
      <c r="L140" s="50"/>
      <c r="M140" s="52">
        <v>1666201.22</v>
      </c>
      <c r="N140" s="20">
        <f>+Movimientos_2026[[#This Row],[Ingresos]]-Movimientos_2026[[#This Row],[Egresos]]</f>
        <v>-1666201.22</v>
      </c>
      <c r="O140" s="20">
        <f>+O139+Movimientos_2026[[#This Row],[Neto]]</f>
        <v>5998305089.2049513</v>
      </c>
    </row>
    <row r="141" spans="1:15" x14ac:dyDescent="0.25">
      <c r="A141" s="13">
        <v>46031</v>
      </c>
      <c r="B141" s="12">
        <f>MONTH(Movimientos_2026[[#This Row],[Fecha]])</f>
        <v>1</v>
      </c>
      <c r="C141" s="12" t="str">
        <f>VLOOKUP((WEEKDAY(Movimientos_2026[[#This Row],[Fecha]],2)),'5. Setup'!$D$6:$E$12,2,FALSE)</f>
        <v>Vie</v>
      </c>
      <c r="D141">
        <v>2023152</v>
      </c>
      <c r="E141" t="str">
        <f>IFERROR(+VLOOKUP(Movimientos_2026[[#This Row],[Codigo]],Plan_cuentas[],2,FALSE)," ")</f>
        <v>EGRESOS</v>
      </c>
      <c r="F141" t="str">
        <f>IFERROR(+VLOOKUP(Movimientos_2026[[#This Row],[Codigo]],Plan_cuentas[],3,FALSE)," ")</f>
        <v>DDJJ</v>
      </c>
      <c r="G141" t="str">
        <f>IFERROR(+VLOOKUP(Movimientos_2026[[#This Row],[Codigo]],Plan_cuentas[],4,FALSE)," ")</f>
        <v>Registración</v>
      </c>
      <c r="H141" t="str">
        <f>IFERROR(+VLOOKUP(Movimientos_2026[[#This Row],[Codigo]],Plan_cuentas[],5,FALSE)," ")</f>
        <v>CABA</v>
      </c>
      <c r="I141" s="43">
        <v>45992</v>
      </c>
      <c r="J141" t="s">
        <v>58</v>
      </c>
      <c r="K141" t="str">
        <f>IFERROR(+VLOOKUP(Movimientos_2026[[#This Row],[Codigo]],Plan_cuentas[],6,FALSE)," ")</f>
        <v>2 - PR - Plan Rombo</v>
      </c>
      <c r="L141" s="50"/>
      <c r="M141" s="52">
        <v>134421479.75</v>
      </c>
      <c r="N141" s="20">
        <f>+Movimientos_2026[[#This Row],[Ingresos]]-Movimientos_2026[[#This Row],[Egresos]]</f>
        <v>-134421479.75</v>
      </c>
      <c r="O141" s="20">
        <f>+O140+Movimientos_2026[[#This Row],[Neto]]</f>
        <v>5863883609.4549513</v>
      </c>
    </row>
    <row r="142" spans="1:15" x14ac:dyDescent="0.25">
      <c r="A142" s="13">
        <v>46031</v>
      </c>
      <c r="B142" s="12">
        <f>MONTH(Movimientos_2026[[#This Row],[Fecha]])</f>
        <v>1</v>
      </c>
      <c r="C142" s="12" t="str">
        <f>VLOOKUP((WEEKDAY(Movimientos_2026[[#This Row],[Fecha]],2)),'5. Setup'!$D$6:$E$12,2,FALSE)</f>
        <v>Vie</v>
      </c>
      <c r="D142">
        <v>2023153</v>
      </c>
      <c r="E142" t="str">
        <f>IFERROR(+VLOOKUP(Movimientos_2026[[#This Row],[Codigo]],Plan_cuentas[],2,FALSE)," ")</f>
        <v>EGRESOS</v>
      </c>
      <c r="F142" t="str">
        <f>IFERROR(+VLOOKUP(Movimientos_2026[[#This Row],[Codigo]],Plan_cuentas[],3,FALSE)," ")</f>
        <v>DDJJ</v>
      </c>
      <c r="G142" t="str">
        <f>IFERROR(+VLOOKUP(Movimientos_2026[[#This Row],[Codigo]],Plan_cuentas[],4,FALSE)," ")</f>
        <v>Registración</v>
      </c>
      <c r="H142" t="str">
        <f>IFERROR(+VLOOKUP(Movimientos_2026[[#This Row],[Codigo]],Plan_cuentas[],5,FALSE)," ")</f>
        <v>CABA</v>
      </c>
      <c r="I142" s="43">
        <v>45992</v>
      </c>
      <c r="J142" t="s">
        <v>58</v>
      </c>
      <c r="K142" t="str">
        <f>IFERROR(+VLOOKUP(Movimientos_2026[[#This Row],[Codigo]],Plan_cuentas[],6,FALSE)," ")</f>
        <v>3 - GM - Chevrolet</v>
      </c>
      <c r="L142" s="50"/>
      <c r="M142" s="52">
        <v>54616582.869999997</v>
      </c>
      <c r="N142" s="20">
        <f>+Movimientos_2026[[#This Row],[Ingresos]]-Movimientos_2026[[#This Row],[Egresos]]</f>
        <v>-54616582.869999997</v>
      </c>
      <c r="O142" s="20">
        <f>+O141+Movimientos_2026[[#This Row],[Neto]]</f>
        <v>5809267026.5849514</v>
      </c>
    </row>
    <row r="143" spans="1:15" x14ac:dyDescent="0.25">
      <c r="A143" s="13">
        <v>46031</v>
      </c>
      <c r="B143" s="12">
        <f>MONTH(Movimientos_2026[[#This Row],[Fecha]])</f>
        <v>1</v>
      </c>
      <c r="C143" s="12" t="str">
        <f>VLOOKUP((WEEKDAY(Movimientos_2026[[#This Row],[Fecha]],2)),'5. Setup'!$D$6:$E$12,2,FALSE)</f>
        <v>Vie</v>
      </c>
      <c r="D143">
        <v>2023154</v>
      </c>
      <c r="E143" t="str">
        <f>IFERROR(+VLOOKUP(Movimientos_2026[[#This Row],[Codigo]],Plan_cuentas[],2,FALSE)," ")</f>
        <v>EGRESOS</v>
      </c>
      <c r="F143" t="str">
        <f>IFERROR(+VLOOKUP(Movimientos_2026[[#This Row],[Codigo]],Plan_cuentas[],3,FALSE)," ")</f>
        <v>DDJJ</v>
      </c>
      <c r="G143" t="str">
        <f>IFERROR(+VLOOKUP(Movimientos_2026[[#This Row],[Codigo]],Plan_cuentas[],4,FALSE)," ")</f>
        <v>Registración</v>
      </c>
      <c r="H143" t="str">
        <f>IFERROR(+VLOOKUP(Movimientos_2026[[#This Row],[Codigo]],Plan_cuentas[],5,FALSE)," ")</f>
        <v>CABA</v>
      </c>
      <c r="I143" s="43">
        <v>45992</v>
      </c>
      <c r="J143" t="s">
        <v>58</v>
      </c>
      <c r="K143" t="str">
        <f>IFERROR(+VLOOKUP(Movimientos_2026[[#This Row],[Codigo]],Plan_cuentas[],6,FALSE)," ")</f>
        <v>4 - FCA - Fiat</v>
      </c>
      <c r="L143" s="50"/>
      <c r="M143" s="52">
        <v>335577775.22000003</v>
      </c>
      <c r="N143" s="20">
        <f>+Movimientos_2026[[#This Row],[Ingresos]]-Movimientos_2026[[#This Row],[Egresos]]</f>
        <v>-335577775.22000003</v>
      </c>
      <c r="O143" s="20">
        <f>+O142+Movimientos_2026[[#This Row],[Neto]]</f>
        <v>5473689251.3649511</v>
      </c>
    </row>
    <row r="144" spans="1:15" x14ac:dyDescent="0.25">
      <c r="A144" s="13">
        <v>46031</v>
      </c>
      <c r="B144" s="12">
        <f>MONTH(Movimientos_2026[[#This Row],[Fecha]])</f>
        <v>1</v>
      </c>
      <c r="C144" s="12" t="str">
        <f>VLOOKUP((WEEKDAY(Movimientos_2026[[#This Row],[Fecha]],2)),'5. Setup'!$D$6:$E$12,2,FALSE)</f>
        <v>Vie</v>
      </c>
      <c r="D144">
        <v>2023155</v>
      </c>
      <c r="E144" t="str">
        <f>IFERROR(+VLOOKUP(Movimientos_2026[[#This Row],[Codigo]],Plan_cuentas[],2,FALSE)," ")</f>
        <v>EGRESOS</v>
      </c>
      <c r="F144" t="str">
        <f>IFERROR(+VLOOKUP(Movimientos_2026[[#This Row],[Codigo]],Plan_cuentas[],3,FALSE)," ")</f>
        <v>DDJJ</v>
      </c>
      <c r="G144" t="str">
        <f>IFERROR(+VLOOKUP(Movimientos_2026[[#This Row],[Codigo]],Plan_cuentas[],4,FALSE)," ")</f>
        <v>Registración</v>
      </c>
      <c r="H144" t="str">
        <f>IFERROR(+VLOOKUP(Movimientos_2026[[#This Row],[Codigo]],Plan_cuentas[],5,FALSE)," ")</f>
        <v>CABA</v>
      </c>
      <c r="I144" s="43">
        <v>45992</v>
      </c>
      <c r="J144" t="s">
        <v>58</v>
      </c>
      <c r="K144" t="str">
        <f>IFERROR(+VLOOKUP(Movimientos_2026[[#This Row],[Codigo]],Plan_cuentas[],6,FALSE)," ")</f>
        <v>5 - YAM - Yamaha</v>
      </c>
      <c r="L144" s="50"/>
      <c r="M144" s="52">
        <v>17457811.199999999</v>
      </c>
      <c r="N144" s="20">
        <f>+Movimientos_2026[[#This Row],[Ingresos]]-Movimientos_2026[[#This Row],[Egresos]]</f>
        <v>-17457811.199999999</v>
      </c>
      <c r="O144" s="20">
        <f>+O143+Movimientos_2026[[#This Row],[Neto]]</f>
        <v>5456231440.1649513</v>
      </c>
    </row>
    <row r="145" spans="1:15" x14ac:dyDescent="0.25">
      <c r="A145" s="13">
        <v>46031</v>
      </c>
      <c r="B145" s="12">
        <f>MONTH(Movimientos_2026[[#This Row],[Fecha]])</f>
        <v>1</v>
      </c>
      <c r="C145" s="12" t="str">
        <f>VLOOKUP((WEEKDAY(Movimientos_2026[[#This Row],[Fecha]],2)),'5. Setup'!$D$6:$E$12,2,FALSE)</f>
        <v>Vie</v>
      </c>
      <c r="D145">
        <v>2023156</v>
      </c>
      <c r="E145" t="str">
        <f>IFERROR(+VLOOKUP(Movimientos_2026[[#This Row],[Codigo]],Plan_cuentas[],2,FALSE)," ")</f>
        <v>EGRESOS</v>
      </c>
      <c r="F145" t="str">
        <f>IFERROR(+VLOOKUP(Movimientos_2026[[#This Row],[Codigo]],Plan_cuentas[],3,FALSE)," ")</f>
        <v>DDJJ</v>
      </c>
      <c r="G145" t="str">
        <f>IFERROR(+VLOOKUP(Movimientos_2026[[#This Row],[Codigo]],Plan_cuentas[],4,FALSE)," ")</f>
        <v>Registración</v>
      </c>
      <c r="H145" t="str">
        <f>IFERROR(+VLOOKUP(Movimientos_2026[[#This Row],[Codigo]],Plan_cuentas[],5,FALSE)," ")</f>
        <v>CABA</v>
      </c>
      <c r="I145" s="43">
        <v>45992</v>
      </c>
      <c r="J145" t="s">
        <v>58</v>
      </c>
      <c r="K145" t="str">
        <f>IFERROR(+VLOOKUP(Movimientos_2026[[#This Row],[Codigo]],Plan_cuentas[],6,FALSE)," ")</f>
        <v>6 - FCAtr - Fiat Transf.</v>
      </c>
      <c r="L145" s="50"/>
      <c r="M145" s="52">
        <v>7399868.8200000003</v>
      </c>
      <c r="N145" s="20">
        <f>+Movimientos_2026[[#This Row],[Ingresos]]-Movimientos_2026[[#This Row],[Egresos]]</f>
        <v>-7399868.8200000003</v>
      </c>
      <c r="O145" s="20">
        <f>+O144+Movimientos_2026[[#This Row],[Neto]]</f>
        <v>5448831571.3449516</v>
      </c>
    </row>
    <row r="146" spans="1:15" x14ac:dyDescent="0.25">
      <c r="A146" s="13">
        <v>46031</v>
      </c>
      <c r="B146" s="12">
        <f>MONTH(Movimientos_2026[[#This Row],[Fecha]])</f>
        <v>1</v>
      </c>
      <c r="C146" s="12" t="str">
        <f>VLOOKUP((WEEKDAY(Movimientos_2026[[#This Row],[Fecha]],2)),'5. Setup'!$D$6:$E$12,2,FALSE)</f>
        <v>Vie</v>
      </c>
      <c r="D146">
        <v>2023157</v>
      </c>
      <c r="E146" t="str">
        <f>IFERROR(+VLOOKUP(Movimientos_2026[[#This Row],[Codigo]],Plan_cuentas[],2,FALSE)," ")</f>
        <v>EGRESOS</v>
      </c>
      <c r="F146" t="str">
        <f>IFERROR(+VLOOKUP(Movimientos_2026[[#This Row],[Codigo]],Plan_cuentas[],3,FALSE)," ")</f>
        <v>DDJJ</v>
      </c>
      <c r="G146" t="str">
        <f>IFERROR(+VLOOKUP(Movimientos_2026[[#This Row],[Codigo]],Plan_cuentas[],4,FALSE)," ")</f>
        <v>Registración</v>
      </c>
      <c r="H146" t="str">
        <f>IFERROR(+VLOOKUP(Movimientos_2026[[#This Row],[Codigo]],Plan_cuentas[],5,FALSE)," ")</f>
        <v>CABA</v>
      </c>
      <c r="I146" s="43">
        <v>45992</v>
      </c>
      <c r="J146" t="s">
        <v>58</v>
      </c>
      <c r="K146" t="str">
        <f>IFERROR(+VLOOKUP(Movimientos_2026[[#This Row],[Codigo]],Plan_cuentas[],6,FALSE)," ")</f>
        <v>7 - PRtr - Plan Rombo Transf.</v>
      </c>
      <c r="L146" s="50"/>
      <c r="M146" s="52">
        <v>9310</v>
      </c>
      <c r="N146" s="20">
        <f>+Movimientos_2026[[#This Row],[Ingresos]]-Movimientos_2026[[#This Row],[Egresos]]</f>
        <v>-9310</v>
      </c>
      <c r="O146" s="20">
        <f>+O145+Movimientos_2026[[#This Row],[Neto]]</f>
        <v>5448822261.3449516</v>
      </c>
    </row>
    <row r="147" spans="1:15" x14ac:dyDescent="0.25">
      <c r="A147" s="13">
        <v>46031</v>
      </c>
      <c r="B147" s="12">
        <f>MONTH(Movimientos_2026[[#This Row],[Fecha]])</f>
        <v>1</v>
      </c>
      <c r="C147" s="12" t="str">
        <f>VLOOKUP((WEEKDAY(Movimientos_2026[[#This Row],[Fecha]],2)),'5. Setup'!$D$6:$E$12,2,FALSE)</f>
        <v>Vie</v>
      </c>
      <c r="D147">
        <v>2023231</v>
      </c>
      <c r="E147" t="str">
        <f>IFERROR(+VLOOKUP(Movimientos_2026[[#This Row],[Codigo]],Plan_cuentas[],2,FALSE)," ")</f>
        <v>EGRESOS</v>
      </c>
      <c r="F147" t="str">
        <f>IFERROR(+VLOOKUP(Movimientos_2026[[#This Row],[Codigo]],Plan_cuentas[],3,FALSE)," ")</f>
        <v>DDJJ</v>
      </c>
      <c r="G147" t="str">
        <f>IFERROR(+VLOOKUP(Movimientos_2026[[#This Row],[Codigo]],Plan_cuentas[],4,FALSE)," ")</f>
        <v>Registración</v>
      </c>
      <c r="H147" t="str">
        <f>IFERROR(+VLOOKUP(Movimientos_2026[[#This Row],[Codigo]],Plan_cuentas[],5,FALSE)," ")</f>
        <v>ENTRE RIOS 2° Q</v>
      </c>
      <c r="I147" s="43">
        <v>45992</v>
      </c>
      <c r="J147" t="s">
        <v>59</v>
      </c>
      <c r="K147" t="str">
        <f>IFERROR(+VLOOKUP(Movimientos_2026[[#This Row],[Codigo]],Plan_cuentas[],6,FALSE)," ")</f>
        <v>1 - VW - Volkswagen</v>
      </c>
      <c r="L147" s="50"/>
      <c r="M147" s="52">
        <v>11016757.5</v>
      </c>
      <c r="N147" s="20">
        <f>+Movimientos_2026[[#This Row],[Ingresos]]-Movimientos_2026[[#This Row],[Egresos]]</f>
        <v>-11016757.5</v>
      </c>
      <c r="O147" s="20">
        <f>+O146+Movimientos_2026[[#This Row],[Neto]]</f>
        <v>5437805503.8449516</v>
      </c>
    </row>
    <row r="148" spans="1:15" x14ac:dyDescent="0.25">
      <c r="A148" s="13">
        <v>46031</v>
      </c>
      <c r="B148" s="12">
        <f>MONTH(Movimientos_2026[[#This Row],[Fecha]])</f>
        <v>1</v>
      </c>
      <c r="C148" s="12" t="str">
        <f>VLOOKUP((WEEKDAY(Movimientos_2026[[#This Row],[Fecha]],2)),'5. Setup'!$D$6:$E$12,2,FALSE)</f>
        <v>Vie</v>
      </c>
      <c r="D148">
        <v>2023232</v>
      </c>
      <c r="E148" t="str">
        <f>IFERROR(+VLOOKUP(Movimientos_2026[[#This Row],[Codigo]],Plan_cuentas[],2,FALSE)," ")</f>
        <v>EGRESOS</v>
      </c>
      <c r="F148" t="str">
        <f>IFERROR(+VLOOKUP(Movimientos_2026[[#This Row],[Codigo]],Plan_cuentas[],3,FALSE)," ")</f>
        <v>DDJJ</v>
      </c>
      <c r="G148" t="str">
        <f>IFERROR(+VLOOKUP(Movimientos_2026[[#This Row],[Codigo]],Plan_cuentas[],4,FALSE)," ")</f>
        <v>Registración</v>
      </c>
      <c r="H148" t="str">
        <f>IFERROR(+VLOOKUP(Movimientos_2026[[#This Row],[Codigo]],Plan_cuentas[],5,FALSE)," ")</f>
        <v>ENTRE RIOS 2° Q</v>
      </c>
      <c r="I148" s="43">
        <v>45992</v>
      </c>
      <c r="J148" t="s">
        <v>59</v>
      </c>
      <c r="K148" t="str">
        <f>IFERROR(+VLOOKUP(Movimientos_2026[[#This Row],[Codigo]],Plan_cuentas[],6,FALSE)," ")</f>
        <v>2 - PR - Plan Rombo</v>
      </c>
      <c r="L148" s="50"/>
      <c r="M148" s="52">
        <v>13999046.59</v>
      </c>
      <c r="N148" s="20">
        <f>+Movimientos_2026[[#This Row],[Ingresos]]-Movimientos_2026[[#This Row],[Egresos]]</f>
        <v>-13999046.59</v>
      </c>
      <c r="O148" s="20">
        <f>+O147+Movimientos_2026[[#This Row],[Neto]]</f>
        <v>5423806457.2549515</v>
      </c>
    </row>
    <row r="149" spans="1:15" x14ac:dyDescent="0.25">
      <c r="A149" s="13">
        <v>46031</v>
      </c>
      <c r="B149" s="12">
        <f>MONTH(Movimientos_2026[[#This Row],[Fecha]])</f>
        <v>1</v>
      </c>
      <c r="C149" s="12" t="str">
        <f>VLOOKUP((WEEKDAY(Movimientos_2026[[#This Row],[Fecha]],2)),'5. Setup'!$D$6:$E$12,2,FALSE)</f>
        <v>Vie</v>
      </c>
      <c r="D149">
        <v>2023233</v>
      </c>
      <c r="E149" t="str">
        <f>IFERROR(+VLOOKUP(Movimientos_2026[[#This Row],[Codigo]],Plan_cuentas[],2,FALSE)," ")</f>
        <v>EGRESOS</v>
      </c>
      <c r="F149" t="str">
        <f>IFERROR(+VLOOKUP(Movimientos_2026[[#This Row],[Codigo]],Plan_cuentas[],3,FALSE)," ")</f>
        <v>DDJJ</v>
      </c>
      <c r="G149" t="str">
        <f>IFERROR(+VLOOKUP(Movimientos_2026[[#This Row],[Codigo]],Plan_cuentas[],4,FALSE)," ")</f>
        <v>Registración</v>
      </c>
      <c r="H149" t="str">
        <f>IFERROR(+VLOOKUP(Movimientos_2026[[#This Row],[Codigo]],Plan_cuentas[],5,FALSE)," ")</f>
        <v>ENTRE RIOS 2° Q</v>
      </c>
      <c r="I149" s="43">
        <v>45992</v>
      </c>
      <c r="J149" t="s">
        <v>59</v>
      </c>
      <c r="K149" t="str">
        <f>IFERROR(+VLOOKUP(Movimientos_2026[[#This Row],[Codigo]],Plan_cuentas[],6,FALSE)," ")</f>
        <v>3 - GM - Chevrolet</v>
      </c>
      <c r="L149" s="50"/>
      <c r="M149" s="52">
        <v>10750416.98</v>
      </c>
      <c r="N149" s="20">
        <f>+Movimientos_2026[[#This Row],[Ingresos]]-Movimientos_2026[[#This Row],[Egresos]]</f>
        <v>-10750416.98</v>
      </c>
      <c r="O149" s="20">
        <f>+O148+Movimientos_2026[[#This Row],[Neto]]</f>
        <v>5413056040.2749519</v>
      </c>
    </row>
    <row r="150" spans="1:15" x14ac:dyDescent="0.25">
      <c r="A150" s="13">
        <v>46031</v>
      </c>
      <c r="B150" s="12">
        <f>MONTH(Movimientos_2026[[#This Row],[Fecha]])</f>
        <v>1</v>
      </c>
      <c r="C150" s="12" t="str">
        <f>VLOOKUP((WEEKDAY(Movimientos_2026[[#This Row],[Fecha]],2)),'5. Setup'!$D$6:$E$12,2,FALSE)</f>
        <v>Vie</v>
      </c>
      <c r="D150">
        <v>2023242</v>
      </c>
      <c r="E150" t="str">
        <f>IFERROR(+VLOOKUP(Movimientos_2026[[#This Row],[Codigo]],Plan_cuentas[],2,FALSE)," ")</f>
        <v>EGRESOS</v>
      </c>
      <c r="F150" t="str">
        <f>IFERROR(+VLOOKUP(Movimientos_2026[[#This Row],[Codigo]],Plan_cuentas[],3,FALSE)," ")</f>
        <v>DDJJ</v>
      </c>
      <c r="G150" t="str">
        <f>IFERROR(+VLOOKUP(Movimientos_2026[[#This Row],[Codigo]],Plan_cuentas[],4,FALSE)," ")</f>
        <v>Registración</v>
      </c>
      <c r="H150" t="str">
        <f>IFERROR(+VLOOKUP(Movimientos_2026[[#This Row],[Codigo]],Plan_cuentas[],5,FALSE)," ")</f>
        <v>FORMOSA</v>
      </c>
      <c r="I150" s="43">
        <v>45992</v>
      </c>
      <c r="J150" t="s">
        <v>60</v>
      </c>
      <c r="K150" t="str">
        <f>IFERROR(+VLOOKUP(Movimientos_2026[[#This Row],[Codigo]],Plan_cuentas[],6,FALSE)," ")</f>
        <v>2 - PR - Plan Rombo</v>
      </c>
      <c r="L150" s="50"/>
      <c r="M150" s="52">
        <v>6417106.1900000004</v>
      </c>
      <c r="N150" s="20">
        <f>+Movimientos_2026[[#This Row],[Ingresos]]-Movimientos_2026[[#This Row],[Egresos]]</f>
        <v>-6417106.1900000004</v>
      </c>
      <c r="O150" s="20">
        <f>+O149+Movimientos_2026[[#This Row],[Neto]]</f>
        <v>5406638934.0849524</v>
      </c>
    </row>
    <row r="151" spans="1:15" x14ac:dyDescent="0.25">
      <c r="A151" s="13">
        <v>46031</v>
      </c>
      <c r="B151" s="12">
        <f>MONTH(Movimientos_2026[[#This Row],[Fecha]])</f>
        <v>1</v>
      </c>
      <c r="C151" s="12" t="str">
        <f>VLOOKUP((WEEKDAY(Movimientos_2026[[#This Row],[Fecha]],2)),'5. Setup'!$D$6:$E$12,2,FALSE)</f>
        <v>Vie</v>
      </c>
      <c r="D151">
        <v>2023246</v>
      </c>
      <c r="E151" t="str">
        <f>IFERROR(+VLOOKUP(Movimientos_2026[[#This Row],[Codigo]],Plan_cuentas[],2,FALSE)," ")</f>
        <v>EGRESOS</v>
      </c>
      <c r="F151" t="str">
        <f>IFERROR(+VLOOKUP(Movimientos_2026[[#This Row],[Codigo]],Plan_cuentas[],3,FALSE)," ")</f>
        <v>DDJJ</v>
      </c>
      <c r="G151" t="str">
        <f>IFERROR(+VLOOKUP(Movimientos_2026[[#This Row],[Codigo]],Plan_cuentas[],4,FALSE)," ")</f>
        <v>Registración</v>
      </c>
      <c r="H151" t="str">
        <f>IFERROR(+VLOOKUP(Movimientos_2026[[#This Row],[Codigo]],Plan_cuentas[],5,FALSE)," ")</f>
        <v>FORMOSA</v>
      </c>
      <c r="I151" s="43">
        <v>45992</v>
      </c>
      <c r="J151" t="s">
        <v>60</v>
      </c>
      <c r="K151" t="str">
        <f>IFERROR(+VLOOKUP(Movimientos_2026[[#This Row],[Codigo]],Plan_cuentas[],6,FALSE)," ")</f>
        <v>6 - FCAtr - Fiat Transf.</v>
      </c>
      <c r="L151" s="50"/>
      <c r="M151" s="52">
        <v>393102.53</v>
      </c>
      <c r="N151" s="20">
        <f>+Movimientos_2026[[#This Row],[Ingresos]]-Movimientos_2026[[#This Row],[Egresos]]</f>
        <v>-393102.53</v>
      </c>
      <c r="O151" s="20">
        <f>+O150+Movimientos_2026[[#This Row],[Neto]]</f>
        <v>5406245831.5549526</v>
      </c>
    </row>
    <row r="152" spans="1:15" x14ac:dyDescent="0.25">
      <c r="A152" s="13">
        <v>46031</v>
      </c>
      <c r="B152" s="12">
        <f>MONTH(Movimientos_2026[[#This Row],[Fecha]])</f>
        <v>1</v>
      </c>
      <c r="C152" s="12" t="str">
        <f>VLOOKUP((WEEKDAY(Movimientos_2026[[#This Row],[Fecha]],2)),'5. Setup'!$D$6:$E$12,2,FALSE)</f>
        <v>Vie</v>
      </c>
      <c r="D152">
        <v>2023247</v>
      </c>
      <c r="E152" t="str">
        <f>IFERROR(+VLOOKUP(Movimientos_2026[[#This Row],[Codigo]],Plan_cuentas[],2,FALSE)," ")</f>
        <v>EGRESOS</v>
      </c>
      <c r="F152" t="str">
        <f>IFERROR(+VLOOKUP(Movimientos_2026[[#This Row],[Codigo]],Plan_cuentas[],3,FALSE)," ")</f>
        <v>DDJJ</v>
      </c>
      <c r="G152" t="str">
        <f>IFERROR(+VLOOKUP(Movimientos_2026[[#This Row],[Codigo]],Plan_cuentas[],4,FALSE)," ")</f>
        <v>Registración</v>
      </c>
      <c r="H152" t="str">
        <f>IFERROR(+VLOOKUP(Movimientos_2026[[#This Row],[Codigo]],Plan_cuentas[],5,FALSE)," ")</f>
        <v>FORMOSA</v>
      </c>
      <c r="I152" s="43">
        <v>45992</v>
      </c>
      <c r="J152" t="s">
        <v>60</v>
      </c>
      <c r="K152" t="str">
        <f>IFERROR(+VLOOKUP(Movimientos_2026[[#This Row],[Codigo]],Plan_cuentas[],6,FALSE)," ")</f>
        <v>7 - PRtr - Plan Rombo Transf.</v>
      </c>
      <c r="L152" s="50"/>
      <c r="M152" s="52">
        <v>20000</v>
      </c>
      <c r="N152" s="20">
        <f>+Movimientos_2026[[#This Row],[Ingresos]]-Movimientos_2026[[#This Row],[Egresos]]</f>
        <v>-20000</v>
      </c>
      <c r="O152" s="20">
        <f>+O151+Movimientos_2026[[#This Row],[Neto]]</f>
        <v>5406225831.5549526</v>
      </c>
    </row>
    <row r="153" spans="1:15" x14ac:dyDescent="0.25">
      <c r="A153" s="13">
        <v>46031</v>
      </c>
      <c r="B153" s="12">
        <f>MONTH(Movimientos_2026[[#This Row],[Fecha]])</f>
        <v>1</v>
      </c>
      <c r="C153" s="12" t="str">
        <f>VLOOKUP((WEEKDAY(Movimientos_2026[[#This Row],[Fecha]],2)),'5. Setup'!$D$6:$E$12,2,FALSE)</f>
        <v>Vie</v>
      </c>
      <c r="D153">
        <v>2023245</v>
      </c>
      <c r="E153" t="str">
        <f>IFERROR(+VLOOKUP(Movimientos_2026[[#This Row],[Codigo]],Plan_cuentas[],2,FALSE)," ")</f>
        <v>EGRESOS</v>
      </c>
      <c r="F153" t="str">
        <f>IFERROR(+VLOOKUP(Movimientos_2026[[#This Row],[Codigo]],Plan_cuentas[],3,FALSE)," ")</f>
        <v>DDJJ</v>
      </c>
      <c r="G153" t="str">
        <f>IFERROR(+VLOOKUP(Movimientos_2026[[#This Row],[Codigo]],Plan_cuentas[],4,FALSE)," ")</f>
        <v>Registración</v>
      </c>
      <c r="H153" t="str">
        <f>IFERROR(+VLOOKUP(Movimientos_2026[[#This Row],[Codigo]],Plan_cuentas[],5,FALSE)," ")</f>
        <v>FORMOSA</v>
      </c>
      <c r="I153" s="43">
        <v>45992</v>
      </c>
      <c r="J153" t="s">
        <v>60</v>
      </c>
      <c r="K153" t="str">
        <f>IFERROR(+VLOOKUP(Movimientos_2026[[#This Row],[Codigo]],Plan_cuentas[],6,FALSE)," ")</f>
        <v>5 - YAM - Yamaha</v>
      </c>
      <c r="L153" s="50"/>
      <c r="M153" s="52">
        <v>45510.42</v>
      </c>
      <c r="N153" s="20">
        <f>+Movimientos_2026[[#This Row],[Ingresos]]-Movimientos_2026[[#This Row],[Egresos]]</f>
        <v>-45510.42</v>
      </c>
      <c r="O153" s="20">
        <f>+O152+Movimientos_2026[[#This Row],[Neto]]</f>
        <v>5406180321.1349525</v>
      </c>
    </row>
    <row r="154" spans="1:15" x14ac:dyDescent="0.25">
      <c r="A154" s="13">
        <v>46031</v>
      </c>
      <c r="B154" s="12">
        <f>MONTH(Movimientos_2026[[#This Row],[Fecha]])</f>
        <v>1</v>
      </c>
      <c r="C154" s="12" t="str">
        <f>VLOOKUP((WEEKDAY(Movimientos_2026[[#This Row],[Fecha]],2)),'5. Setup'!$D$6:$E$12,2,FALSE)</f>
        <v>Vie</v>
      </c>
      <c r="D154">
        <v>2023376</v>
      </c>
      <c r="E154" t="str">
        <f>IFERROR(+VLOOKUP(Movimientos_2026[[#This Row],[Codigo]],Plan_cuentas[],2,FALSE)," ")</f>
        <v>EGRESOS</v>
      </c>
      <c r="F154" t="str">
        <f>IFERROR(+VLOOKUP(Movimientos_2026[[#This Row],[Codigo]],Plan_cuentas[],3,FALSE)," ")</f>
        <v>DDJJ</v>
      </c>
      <c r="G154" t="str">
        <f>IFERROR(+VLOOKUP(Movimientos_2026[[#This Row],[Codigo]],Plan_cuentas[],4,FALSE)," ")</f>
        <v>Registración</v>
      </c>
      <c r="H154" t="str">
        <f>IFERROR(+VLOOKUP(Movimientos_2026[[#This Row],[Codigo]],Plan_cuentas[],5,FALSE)," ")</f>
        <v>SANTA CRUZ</v>
      </c>
      <c r="I154" s="43">
        <v>45992</v>
      </c>
      <c r="J154" t="s">
        <v>61</v>
      </c>
      <c r="K154" t="str">
        <f>IFERROR(+VLOOKUP(Movimientos_2026[[#This Row],[Codigo]],Plan_cuentas[],6,FALSE)," ")</f>
        <v>6 - FCAtr - Fiat Transf.</v>
      </c>
      <c r="L154" s="50"/>
      <c r="M154" s="52">
        <v>286383.56</v>
      </c>
      <c r="N154" s="20">
        <f>+Movimientos_2026[[#This Row],[Ingresos]]-Movimientos_2026[[#This Row],[Egresos]]</f>
        <v>-286383.56</v>
      </c>
      <c r="O154" s="20">
        <f>+O153+Movimientos_2026[[#This Row],[Neto]]</f>
        <v>5405893937.5749521</v>
      </c>
    </row>
    <row r="155" spans="1:15" x14ac:dyDescent="0.25">
      <c r="A155" s="13">
        <v>46031</v>
      </c>
      <c r="B155" s="12">
        <f>MONTH(Movimientos_2026[[#This Row],[Fecha]])</f>
        <v>1</v>
      </c>
      <c r="C155" s="12" t="str">
        <f>VLOOKUP((WEEKDAY(Movimientos_2026[[#This Row],[Fecha]],2)),'5. Setup'!$D$6:$E$12,2,FALSE)</f>
        <v>Vie</v>
      </c>
      <c r="D155">
        <v>2023393</v>
      </c>
      <c r="E155" t="str">
        <f>IFERROR(+VLOOKUP(Movimientos_2026[[#This Row],[Codigo]],Plan_cuentas[],2,FALSE)," ")</f>
        <v>EGRESOS</v>
      </c>
      <c r="F155" t="str">
        <f>IFERROR(+VLOOKUP(Movimientos_2026[[#This Row],[Codigo]],Plan_cuentas[],3,FALSE)," ")</f>
        <v>DDJJ</v>
      </c>
      <c r="G155" t="str">
        <f>IFERROR(+VLOOKUP(Movimientos_2026[[#This Row],[Codigo]],Plan_cuentas[],4,FALSE)," ")</f>
        <v>Registración</v>
      </c>
      <c r="H155" t="str">
        <f>IFERROR(+VLOOKUP(Movimientos_2026[[#This Row],[Codigo]],Plan_cuentas[],5,FALSE)," ")</f>
        <v>SANTA FE 2° Q</v>
      </c>
      <c r="I155" s="43">
        <v>45992</v>
      </c>
      <c r="J155" t="s">
        <v>62</v>
      </c>
      <c r="K155" t="str">
        <f>IFERROR(+VLOOKUP(Movimientos_2026[[#This Row],[Codigo]],Plan_cuentas[],6,FALSE)," ")</f>
        <v>3 - GM - Chevrolet</v>
      </c>
      <c r="L155" s="50"/>
      <c r="M155" s="52">
        <v>14900856.199999999</v>
      </c>
      <c r="N155" s="20">
        <f>+Movimientos_2026[[#This Row],[Ingresos]]-Movimientos_2026[[#This Row],[Egresos]]</f>
        <v>-14900856.199999999</v>
      </c>
      <c r="O155" s="20">
        <f>+O154+Movimientos_2026[[#This Row],[Neto]]</f>
        <v>5390993081.3749523</v>
      </c>
    </row>
    <row r="156" spans="1:15" x14ac:dyDescent="0.25">
      <c r="A156" s="13">
        <v>46031</v>
      </c>
      <c r="B156" s="12">
        <f>MONTH(Movimientos_2026[[#This Row],[Fecha]])</f>
        <v>1</v>
      </c>
      <c r="C156" s="12" t="str">
        <f>VLOOKUP((WEEKDAY(Movimientos_2026[[#This Row],[Fecha]],2)),'5. Setup'!$D$6:$E$12,2,FALSE)</f>
        <v>Vie</v>
      </c>
      <c r="D156">
        <v>2023392</v>
      </c>
      <c r="E156" t="str">
        <f>IFERROR(+VLOOKUP(Movimientos_2026[[#This Row],[Codigo]],Plan_cuentas[],2,FALSE)," ")</f>
        <v>EGRESOS</v>
      </c>
      <c r="F156" t="str">
        <f>IFERROR(+VLOOKUP(Movimientos_2026[[#This Row],[Codigo]],Plan_cuentas[],3,FALSE)," ")</f>
        <v>DDJJ</v>
      </c>
      <c r="G156" t="str">
        <f>IFERROR(+VLOOKUP(Movimientos_2026[[#This Row],[Codigo]],Plan_cuentas[],4,FALSE)," ")</f>
        <v>Registración</v>
      </c>
      <c r="H156" t="str">
        <f>IFERROR(+VLOOKUP(Movimientos_2026[[#This Row],[Codigo]],Plan_cuentas[],5,FALSE)," ")</f>
        <v>SANTA FE 2° Q</v>
      </c>
      <c r="I156" s="43">
        <v>45992</v>
      </c>
      <c r="J156" t="s">
        <v>62</v>
      </c>
      <c r="K156" t="str">
        <f>IFERROR(+VLOOKUP(Movimientos_2026[[#This Row],[Codigo]],Plan_cuentas[],6,FALSE)," ")</f>
        <v>2 - PR - Plan Rombo</v>
      </c>
      <c r="L156" s="50"/>
      <c r="M156" s="52">
        <v>28141799.879999999</v>
      </c>
      <c r="N156" s="20">
        <f>+Movimientos_2026[[#This Row],[Ingresos]]-Movimientos_2026[[#This Row],[Egresos]]</f>
        <v>-28141799.879999999</v>
      </c>
      <c r="O156" s="20">
        <f>+O155+Movimientos_2026[[#This Row],[Neto]]</f>
        <v>5362851281.4949522</v>
      </c>
    </row>
    <row r="157" spans="1:15" x14ac:dyDescent="0.25">
      <c r="A157" s="13">
        <v>46031</v>
      </c>
      <c r="B157" s="12">
        <f>MONTH(Movimientos_2026[[#This Row],[Fecha]])</f>
        <v>1</v>
      </c>
      <c r="C157" s="12" t="str">
        <f>VLOOKUP((WEEKDAY(Movimientos_2026[[#This Row],[Fecha]],2)),'5. Setup'!$D$6:$E$12,2,FALSE)</f>
        <v>Vie</v>
      </c>
      <c r="D157">
        <v>1042104</v>
      </c>
      <c r="E157" t="str">
        <f>IFERROR(+VLOOKUP(Movimientos_2026[[#This Row],[Codigo]],Plan_cuentas[],2,FALSE)," ")</f>
        <v>INGRESOS</v>
      </c>
      <c r="F157" t="str">
        <f>IFERROR(+VLOOKUP(Movimientos_2026[[#This Row],[Codigo]],Plan_cuentas[],3,FALSE)," ")</f>
        <v>Transferencia</v>
      </c>
      <c r="G157" t="str">
        <f>IFERROR(+VLOOKUP(Movimientos_2026[[#This Row],[Codigo]],Plan_cuentas[],4,FALSE)," ")</f>
        <v>Entidades tercerizadas</v>
      </c>
      <c r="H157" t="str">
        <f>IFERROR(+VLOOKUP(Movimientos_2026[[#This Row],[Codigo]],Plan_cuentas[],5,FALSE)," ")</f>
        <v>AMN</v>
      </c>
      <c r="I157" s="43">
        <v>45992</v>
      </c>
      <c r="J157" t="s">
        <v>63</v>
      </c>
      <c r="K157" t="str">
        <f>IFERROR(+VLOOKUP(Movimientos_2026[[#This Row],[Codigo]],Plan_cuentas[],6,FALSE)," ")</f>
        <v>4 - FCA - Fiat</v>
      </c>
      <c r="L157" s="50">
        <v>51133653.310000002</v>
      </c>
      <c r="M157" s="52"/>
      <c r="N157" s="20">
        <f>+Movimientos_2026[[#This Row],[Ingresos]]-Movimientos_2026[[#This Row],[Egresos]]</f>
        <v>51133653.310000002</v>
      </c>
      <c r="O157" s="20">
        <f>+O156+Movimientos_2026[[#This Row],[Neto]]</f>
        <v>5413984934.8049526</v>
      </c>
    </row>
    <row r="158" spans="1:15" x14ac:dyDescent="0.25">
      <c r="A158" s="13">
        <v>46031</v>
      </c>
      <c r="B158" s="12">
        <f>MONTH(Movimientos_2026[[#This Row],[Fecha]])</f>
        <v>1</v>
      </c>
      <c r="C158" s="12" t="str">
        <f>VLOOKUP((WEEKDAY(Movimientos_2026[[#This Row],[Fecha]],2)),'5. Setup'!$D$6:$E$12,2,FALSE)</f>
        <v>Vie</v>
      </c>
      <c r="D158">
        <v>1042114</v>
      </c>
      <c r="E158" t="str">
        <f>IFERROR(+VLOOKUP(Movimientos_2026[[#This Row],[Codigo]],Plan_cuentas[],2,FALSE)," ")</f>
        <v>INGRESOS</v>
      </c>
      <c r="F158" t="str">
        <f>IFERROR(+VLOOKUP(Movimientos_2026[[#This Row],[Codigo]],Plan_cuentas[],3,FALSE)," ")</f>
        <v>Transferencia</v>
      </c>
      <c r="G158" t="str">
        <f>IFERROR(+VLOOKUP(Movimientos_2026[[#This Row],[Codigo]],Plan_cuentas[],4,FALSE)," ")</f>
        <v>Entidades tercerizadas</v>
      </c>
      <c r="H158" t="str">
        <f>IFERROR(+VLOOKUP(Movimientos_2026[[#This Row],[Codigo]],Plan_cuentas[],5,FALSE)," ")</f>
        <v>APESI</v>
      </c>
      <c r="I158" s="43">
        <v>45992</v>
      </c>
      <c r="J158" t="s">
        <v>63</v>
      </c>
      <c r="K158" t="str">
        <f>IFERROR(+VLOOKUP(Movimientos_2026[[#This Row],[Codigo]],Plan_cuentas[],6,FALSE)," ")</f>
        <v>4 - FCA - Fiat</v>
      </c>
      <c r="L158" s="50">
        <v>103739432.19</v>
      </c>
      <c r="M158" s="52"/>
      <c r="N158" s="20">
        <f>+Movimientos_2026[[#This Row],[Ingresos]]-Movimientos_2026[[#This Row],[Egresos]]</f>
        <v>103739432.19</v>
      </c>
      <c r="O158" s="20">
        <f>+O157+Movimientos_2026[[#This Row],[Neto]]</f>
        <v>5517724366.9949522</v>
      </c>
    </row>
    <row r="159" spans="1:15" x14ac:dyDescent="0.25">
      <c r="A159" s="13">
        <v>46031</v>
      </c>
      <c r="B159" s="12">
        <f>MONTH(Movimientos_2026[[#This Row],[Fecha]])</f>
        <v>1</v>
      </c>
      <c r="C159" s="12" t="str">
        <f>VLOOKUP((WEEKDAY(Movimientos_2026[[#This Row],[Fecha]],2)),'5. Setup'!$D$6:$E$12,2,FALSE)</f>
        <v>Vie</v>
      </c>
      <c r="D159">
        <v>1041134</v>
      </c>
      <c r="E159" t="str">
        <f>IFERROR(+VLOOKUP(Movimientos_2026[[#This Row],[Codigo]],Plan_cuentas[],2,FALSE)," ")</f>
        <v>INGRESOS</v>
      </c>
      <c r="F159" t="str">
        <f>IFERROR(+VLOOKUP(Movimientos_2026[[#This Row],[Codigo]],Plan_cuentas[],3,FALSE)," ")</f>
        <v>Transferencia</v>
      </c>
      <c r="G159" t="str">
        <f>IFERROR(+VLOOKUP(Movimientos_2026[[#This Row],[Codigo]],Plan_cuentas[],4,FALSE)," ")</f>
        <v>Entidades co-participadas</v>
      </c>
      <c r="H159" t="str">
        <f>IFERROR(+VLOOKUP(Movimientos_2026[[#This Row],[Codigo]],Plan_cuentas[],5,FALSE)," ")</f>
        <v>BCLP</v>
      </c>
      <c r="I159" s="43">
        <v>45992</v>
      </c>
      <c r="J159" t="s">
        <v>63</v>
      </c>
      <c r="K159" t="str">
        <f>IFERROR(+VLOOKUP(Movimientos_2026[[#This Row],[Codigo]],Plan_cuentas[],6,FALSE)," ")</f>
        <v>4 - FCA - Fiat</v>
      </c>
      <c r="L159" s="51">
        <v>31274364.59</v>
      </c>
      <c r="M159" s="52"/>
      <c r="N159" s="20">
        <f>+Movimientos_2026[[#This Row],[Ingresos]]-Movimientos_2026[[#This Row],[Egresos]]</f>
        <v>31274364.59</v>
      </c>
      <c r="O159" s="20">
        <f>+O158+Movimientos_2026[[#This Row],[Neto]]</f>
        <v>5548998731.5849524</v>
      </c>
    </row>
    <row r="160" spans="1:15" x14ac:dyDescent="0.25">
      <c r="A160" s="13">
        <v>46031</v>
      </c>
      <c r="B160" s="12">
        <f>MONTH(Movimientos_2026[[#This Row],[Fecha]])</f>
        <v>1</v>
      </c>
      <c r="C160" s="12" t="str">
        <f>VLOOKUP((WEEKDAY(Movimientos_2026[[#This Row],[Fecha]],2)),'5. Setup'!$D$6:$E$12,2,FALSE)</f>
        <v>Vie</v>
      </c>
      <c r="D160">
        <v>1041444</v>
      </c>
      <c r="E160" t="str">
        <f>IFERROR(+VLOOKUP(Movimientos_2026[[#This Row],[Codigo]],Plan_cuentas[],2,FALSE)," ")</f>
        <v>INGRESOS</v>
      </c>
      <c r="F160" t="str">
        <f>IFERROR(+VLOOKUP(Movimientos_2026[[#This Row],[Codigo]],Plan_cuentas[],3,FALSE)," ")</f>
        <v>Transferencia</v>
      </c>
      <c r="G160" t="str">
        <f>IFERROR(+VLOOKUP(Movimientos_2026[[#This Row],[Codigo]],Plan_cuentas[],4,FALSE)," ")</f>
        <v>Entidades co-participadas</v>
      </c>
      <c r="H160" t="str">
        <f>IFERROR(+VLOOKUP(Movimientos_2026[[#This Row],[Codigo]],Plan_cuentas[],5,FALSE)," ")</f>
        <v>UISCUMARR</v>
      </c>
      <c r="I160" s="43">
        <v>45992</v>
      </c>
      <c r="J160" t="s">
        <v>63</v>
      </c>
      <c r="K160" t="str">
        <f>IFERROR(+VLOOKUP(Movimientos_2026[[#This Row],[Codigo]],Plan_cuentas[],6,FALSE)," ")</f>
        <v>4 - FCA - Fiat</v>
      </c>
      <c r="L160" s="50">
        <v>258243206.62</v>
      </c>
      <c r="M160" s="52"/>
      <c r="N160" s="20">
        <f>+Movimientos_2026[[#This Row],[Ingresos]]-Movimientos_2026[[#This Row],[Egresos]]</f>
        <v>258243206.62</v>
      </c>
      <c r="O160" s="20">
        <f>+O159+Movimientos_2026[[#This Row],[Neto]]</f>
        <v>5807241938.2049522</v>
      </c>
    </row>
    <row r="161" spans="1:15" x14ac:dyDescent="0.25">
      <c r="A161" s="13">
        <v>46031</v>
      </c>
      <c r="B161" s="12">
        <f>MONTH(Movimientos_2026[[#This Row],[Fecha]])</f>
        <v>1</v>
      </c>
      <c r="C161" s="12" t="str">
        <f>VLOOKUP((WEEKDAY(Movimientos_2026[[#This Row],[Fecha]],2)),'5. Setup'!$D$6:$E$12,2,FALSE)</f>
        <v>Vie</v>
      </c>
      <c r="D161">
        <v>1043144</v>
      </c>
      <c r="E161" t="str">
        <f>IFERROR(+VLOOKUP(Movimientos_2026[[#This Row],[Codigo]],Plan_cuentas[],2,FALSE)," ")</f>
        <v>INGRESOS</v>
      </c>
      <c r="F161" t="str">
        <f>IFERROR(+VLOOKUP(Movimientos_2026[[#This Row],[Codigo]],Plan_cuentas[],3,FALSE)," ")</f>
        <v>Transferencia</v>
      </c>
      <c r="G161" t="str">
        <f>IFERROR(+VLOOKUP(Movimientos_2026[[#This Row],[Codigo]],Plan_cuentas[],4,FALSE)," ")</f>
        <v>Registración</v>
      </c>
      <c r="H161" t="str">
        <f>IFERROR(+VLOOKUP(Movimientos_2026[[#This Row],[Codigo]],Plan_cuentas[],5,FALSE)," ")</f>
        <v>BUENOS AIRES</v>
      </c>
      <c r="I161" s="43">
        <v>45992</v>
      </c>
      <c r="J161" t="s">
        <v>63</v>
      </c>
      <c r="K161" t="str">
        <f>IFERROR(+VLOOKUP(Movimientos_2026[[#This Row],[Codigo]],Plan_cuentas[],6,FALSE)," ")</f>
        <v>4 - FCA - Fiat</v>
      </c>
      <c r="L161" s="50">
        <v>200139191.41999999</v>
      </c>
      <c r="M161" s="52"/>
      <c r="N161" s="20">
        <f>+Movimientos_2026[[#This Row],[Ingresos]]-Movimientos_2026[[#This Row],[Egresos]]</f>
        <v>200139191.41999999</v>
      </c>
      <c r="O161" s="20">
        <f>+O160+Movimientos_2026[[#This Row],[Neto]]</f>
        <v>6007381129.6249523</v>
      </c>
    </row>
    <row r="162" spans="1:15" x14ac:dyDescent="0.25">
      <c r="A162" s="13">
        <v>46031</v>
      </c>
      <c r="B162" s="12">
        <f>MONTH(Movimientos_2026[[#This Row],[Fecha]])</f>
        <v>1</v>
      </c>
      <c r="C162" s="12" t="str">
        <f>VLOOKUP((WEEKDAY(Movimientos_2026[[#This Row],[Fecha]],2)),'5. Setup'!$D$6:$E$12,2,FALSE)</f>
        <v>Vie</v>
      </c>
      <c r="D162">
        <v>1043142</v>
      </c>
      <c r="E162" t="str">
        <f>IFERROR(+VLOOKUP(Movimientos_2026[[#This Row],[Codigo]],Plan_cuentas[],2,FALSE)," ")</f>
        <v>INGRESOS</v>
      </c>
      <c r="F162" t="str">
        <f>IFERROR(+VLOOKUP(Movimientos_2026[[#This Row],[Codigo]],Plan_cuentas[],3,FALSE)," ")</f>
        <v>Transferencia</v>
      </c>
      <c r="G162" t="str">
        <f>IFERROR(+VLOOKUP(Movimientos_2026[[#This Row],[Codigo]],Plan_cuentas[],4,FALSE)," ")</f>
        <v>Registración</v>
      </c>
      <c r="H162" t="str">
        <f>IFERROR(+VLOOKUP(Movimientos_2026[[#This Row],[Codigo]],Plan_cuentas[],5,FALSE)," ")</f>
        <v>BUENOS AIRES</v>
      </c>
      <c r="I162" s="43">
        <v>45901</v>
      </c>
      <c r="J162" t="s">
        <v>64</v>
      </c>
      <c r="K162" t="str">
        <f>IFERROR(+VLOOKUP(Movimientos_2026[[#This Row],[Codigo]],Plan_cuentas[],6,FALSE)," ")</f>
        <v>2 - PR - Plan Rombo</v>
      </c>
      <c r="L162" s="50">
        <v>232235259.91196999</v>
      </c>
      <c r="M162" s="52"/>
      <c r="N162" s="20">
        <f>+Movimientos_2026[[#This Row],[Ingresos]]-Movimientos_2026[[#This Row],[Egresos]]</f>
        <v>232235259.91196999</v>
      </c>
      <c r="O162" s="20">
        <f>+O161+Movimientos_2026[[#This Row],[Neto]]</f>
        <v>6239616389.5369225</v>
      </c>
    </row>
    <row r="163" spans="1:15" x14ac:dyDescent="0.25">
      <c r="A163" s="13">
        <v>46031</v>
      </c>
      <c r="B163" s="12">
        <f>MONTH(Movimientos_2026[[#This Row],[Fecha]])</f>
        <v>1</v>
      </c>
      <c r="C163" s="12" t="str">
        <f>VLOOKUP((WEEKDAY(Movimientos_2026[[#This Row],[Fecha]],2)),'5. Setup'!$D$6:$E$12,2,FALSE)</f>
        <v>Vie</v>
      </c>
      <c r="D163">
        <v>1041442</v>
      </c>
      <c r="E163" t="str">
        <f>IFERROR(+VLOOKUP(Movimientos_2026[[#This Row],[Codigo]],Plan_cuentas[],2,FALSE)," ")</f>
        <v>INGRESOS</v>
      </c>
      <c r="F163" t="str">
        <f>IFERROR(+VLOOKUP(Movimientos_2026[[#This Row],[Codigo]],Plan_cuentas[],3,FALSE)," ")</f>
        <v>Transferencia</v>
      </c>
      <c r="G163" t="str">
        <f>IFERROR(+VLOOKUP(Movimientos_2026[[#This Row],[Codigo]],Plan_cuentas[],4,FALSE)," ")</f>
        <v>Entidades co-participadas</v>
      </c>
      <c r="H163" t="str">
        <f>IFERROR(+VLOOKUP(Movimientos_2026[[#This Row],[Codigo]],Plan_cuentas[],5,FALSE)," ")</f>
        <v>UISCUMARR</v>
      </c>
      <c r="I163" s="43">
        <v>45901</v>
      </c>
      <c r="J163" t="s">
        <v>64</v>
      </c>
      <c r="K163" t="str">
        <f>IFERROR(+VLOOKUP(Movimientos_2026[[#This Row],[Codigo]],Plan_cuentas[],6,FALSE)," ")</f>
        <v>2 - PR - Plan Rombo</v>
      </c>
      <c r="L163" s="50">
        <v>62735778.779520079</v>
      </c>
      <c r="M163" s="52"/>
      <c r="N163" s="20">
        <f>+Movimientos_2026[[#This Row],[Ingresos]]-Movimientos_2026[[#This Row],[Egresos]]</f>
        <v>62735778.779520079</v>
      </c>
      <c r="O163" s="20">
        <f>+O162+Movimientos_2026[[#This Row],[Neto]]</f>
        <v>6302352168.3164425</v>
      </c>
    </row>
    <row r="164" spans="1:15" x14ac:dyDescent="0.25">
      <c r="A164" s="13">
        <v>46031</v>
      </c>
      <c r="B164" s="12">
        <f>MONTH(Movimientos_2026[[#This Row],[Fecha]])</f>
        <v>1</v>
      </c>
      <c r="C164" s="12" t="str">
        <f>VLOOKUP((WEEKDAY(Movimientos_2026[[#This Row],[Fecha]],2)),'5. Setup'!$D$6:$E$12,2,FALSE)</f>
        <v>Vie</v>
      </c>
      <c r="D164">
        <v>2023151</v>
      </c>
      <c r="E164" t="str">
        <f>IFERROR(+VLOOKUP(Movimientos_2026[[#This Row],[Codigo]],Plan_cuentas[],2,FALSE)," ")</f>
        <v>EGRESOS</v>
      </c>
      <c r="F164" t="str">
        <f>IFERROR(+VLOOKUP(Movimientos_2026[[#This Row],[Codigo]],Plan_cuentas[],3,FALSE)," ")</f>
        <v>DDJJ</v>
      </c>
      <c r="G164" t="str">
        <f>IFERROR(+VLOOKUP(Movimientos_2026[[#This Row],[Codigo]],Plan_cuentas[],4,FALSE)," ")</f>
        <v>Registración</v>
      </c>
      <c r="H164" t="str">
        <f>IFERROR(+VLOOKUP(Movimientos_2026[[#This Row],[Codigo]],Plan_cuentas[],5,FALSE)," ")</f>
        <v>CABA</v>
      </c>
      <c r="I164" s="43">
        <v>45992</v>
      </c>
      <c r="J164" t="s">
        <v>58</v>
      </c>
      <c r="K164" t="str">
        <f>IFERROR(+VLOOKUP(Movimientos_2026[[#This Row],[Codigo]],Plan_cuentas[],6,FALSE)," ")</f>
        <v>1 - VW - Volkswagen</v>
      </c>
      <c r="L164" s="50"/>
      <c r="M164" s="52">
        <v>113406548.84999999</v>
      </c>
      <c r="N164" s="20">
        <f>+Movimientos_2026[[#This Row],[Ingresos]]-Movimientos_2026[[#This Row],[Egresos]]</f>
        <v>-113406548.84999999</v>
      </c>
      <c r="O164" s="20">
        <f>+O163+Movimientos_2026[[#This Row],[Neto]]</f>
        <v>6188945619.4664421</v>
      </c>
    </row>
    <row r="165" spans="1:15" x14ac:dyDescent="0.25">
      <c r="A165" s="13">
        <v>46034</v>
      </c>
      <c r="B165" s="12">
        <f>MONTH(Movimientos_2026[[#This Row],[Fecha]])</f>
        <v>1</v>
      </c>
      <c r="C165" s="12" t="str">
        <f>VLOOKUP((WEEKDAY(Movimientos_2026[[#This Row],[Fecha]],2)),'5. Setup'!$D$6:$E$12,2,FALSE)</f>
        <v>Lun</v>
      </c>
      <c r="D165">
        <v>2014421</v>
      </c>
      <c r="E165" t="str">
        <f>IFERROR(+VLOOKUP(Movimientos_2026[[#This Row],[Codigo]],Plan_cuentas[],2,FALSE)," ")</f>
        <v>EGRESOS</v>
      </c>
      <c r="F165" t="str">
        <f>IFERROR(+VLOOKUP(Movimientos_2026[[#This Row],[Codigo]],Plan_cuentas[],3,FALSE)," ")</f>
        <v>BtoB</v>
      </c>
      <c r="G165" t="str">
        <f>IFERROR(+VLOOKUP(Movimientos_2026[[#This Row],[Codigo]],Plan_cuentas[],4,FALSE)," ")</f>
        <v>Rentas</v>
      </c>
      <c r="H165" t="str">
        <f>IFERROR(+VLOOKUP(Movimientos_2026[[#This Row],[Codigo]],Plan_cuentas[],5,FALSE)," ")</f>
        <v>TUCUMAN</v>
      </c>
      <c r="I165" s="43">
        <v>45992</v>
      </c>
      <c r="J165" t="s">
        <v>65</v>
      </c>
      <c r="K165" t="str">
        <f>IFERROR(+VLOOKUP(Movimientos_2026[[#This Row],[Codigo]],Plan_cuentas[],6,FALSE)," ")</f>
        <v>1 - VW - Volkswagen</v>
      </c>
      <c r="L165" s="51"/>
      <c r="M165" s="52">
        <v>59182117.609999999</v>
      </c>
      <c r="N165" s="20">
        <f>+Movimientos_2026[[#This Row],[Ingresos]]-Movimientos_2026[[#This Row],[Egresos]]</f>
        <v>-59182117.609999999</v>
      </c>
      <c r="O165" s="20">
        <f>+O164+Movimientos_2026[[#This Row],[Neto]]</f>
        <v>6129763501.8564425</v>
      </c>
    </row>
    <row r="166" spans="1:15" x14ac:dyDescent="0.25">
      <c r="A166" s="13">
        <v>46034</v>
      </c>
      <c r="B166" s="12">
        <f>MONTH(Movimientos_2026[[#This Row],[Fecha]])</f>
        <v>1</v>
      </c>
      <c r="C166" s="12" t="str">
        <f>VLOOKUP((WEEKDAY(Movimientos_2026[[#This Row],[Fecha]],2)),'5. Setup'!$D$6:$E$12,2,FALSE)</f>
        <v>Lun</v>
      </c>
      <c r="D166">
        <v>2034241</v>
      </c>
      <c r="E166" t="str">
        <f>IFERROR(+VLOOKUP(Movimientos_2026[[#This Row],[Codigo]],Plan_cuentas[],2,FALSE)," ")</f>
        <v>EGRESOS</v>
      </c>
      <c r="F166" t="str">
        <f>IFERROR(+VLOOKUP(Movimientos_2026[[#This Row],[Codigo]],Plan_cuentas[],3,FALSE)," ")</f>
        <v>Pagos Bco. Provincia</v>
      </c>
      <c r="G166" t="str">
        <f>IFERROR(+VLOOKUP(Movimientos_2026[[#This Row],[Codigo]],Plan_cuentas[],4,FALSE)," ")</f>
        <v>Rentas</v>
      </c>
      <c r="H166" t="str">
        <f>IFERROR(+VLOOKUP(Movimientos_2026[[#This Row],[Codigo]],Plan_cuentas[],5,FALSE)," ")</f>
        <v>FORMOSA</v>
      </c>
      <c r="I166" s="43">
        <v>45992</v>
      </c>
      <c r="J166" t="s">
        <v>66</v>
      </c>
      <c r="K166" t="str">
        <f>IFERROR(+VLOOKUP(Movimientos_2026[[#This Row],[Codigo]],Plan_cuentas[],6,FALSE)," ")</f>
        <v>1 - VW - Volkswagen</v>
      </c>
      <c r="L166" s="51"/>
      <c r="M166" s="52">
        <v>5396134.7599999998</v>
      </c>
      <c r="N166" s="20">
        <f>+Movimientos_2026[[#This Row],[Ingresos]]-Movimientos_2026[[#This Row],[Egresos]]</f>
        <v>-5396134.7599999998</v>
      </c>
      <c r="O166" s="20">
        <f>+O165+Movimientos_2026[[#This Row],[Neto]]</f>
        <v>6124367367.0964422</v>
      </c>
    </row>
    <row r="167" spans="1:15" x14ac:dyDescent="0.25">
      <c r="A167" s="13">
        <v>46034</v>
      </c>
      <c r="B167" s="12">
        <f>MONTH(Movimientos_2026[[#This Row],[Fecha]])</f>
        <v>1</v>
      </c>
      <c r="C167" s="12" t="str">
        <f>VLOOKUP((WEEKDAY(Movimientos_2026[[#This Row],[Fecha]],2)),'5. Setup'!$D$6:$E$12,2,FALSE)</f>
        <v>Lun</v>
      </c>
      <c r="D167">
        <v>2054371</v>
      </c>
      <c r="E167" t="str">
        <f>IFERROR(+VLOOKUP(Movimientos_2026[[#This Row],[Codigo]],Plan_cuentas[],2,FALSE)," ")</f>
        <v>EGRESOS</v>
      </c>
      <c r="F167" t="str">
        <f>IFERROR(+VLOOKUP(Movimientos_2026[[#This Row],[Codigo]],Plan_cuentas[],3,FALSE)," ")</f>
        <v>VEP</v>
      </c>
      <c r="G167" t="str">
        <f>IFERROR(+VLOOKUP(Movimientos_2026[[#This Row],[Codigo]],Plan_cuentas[],4,FALSE)," ")</f>
        <v>Rentas</v>
      </c>
      <c r="H167" t="str">
        <f>IFERROR(+VLOOKUP(Movimientos_2026[[#This Row],[Codigo]],Plan_cuentas[],5,FALSE)," ")</f>
        <v>SANTA CRUZ</v>
      </c>
      <c r="I167" s="43">
        <v>45992</v>
      </c>
      <c r="J167" t="s">
        <v>67</v>
      </c>
      <c r="K167" t="str">
        <f>IFERROR(+VLOOKUP(Movimientos_2026[[#This Row],[Codigo]],Plan_cuentas[],6,FALSE)," ")</f>
        <v>1 - VW - Volkswagen</v>
      </c>
      <c r="L167" s="51"/>
      <c r="M167" s="52">
        <v>22225308.670000002</v>
      </c>
      <c r="N167" s="20">
        <f>+Movimientos_2026[[#This Row],[Ingresos]]-Movimientos_2026[[#This Row],[Egresos]]</f>
        <v>-22225308.670000002</v>
      </c>
      <c r="O167" s="20">
        <f>+O166+Movimientos_2026[[#This Row],[Neto]]</f>
        <v>6102142058.4264421</v>
      </c>
    </row>
    <row r="168" spans="1:15" x14ac:dyDescent="0.25">
      <c r="A168" s="13">
        <v>46034</v>
      </c>
      <c r="B168" s="12">
        <f>MONTH(Movimientos_2026[[#This Row],[Fecha]])</f>
        <v>1</v>
      </c>
      <c r="C168" s="12" t="str">
        <f>VLOOKUP((WEEKDAY(Movimientos_2026[[#This Row],[Fecha]],2)),'5. Setup'!$D$6:$E$12,2,FALSE)</f>
        <v>Lun</v>
      </c>
      <c r="D168">
        <v>2054391</v>
      </c>
      <c r="E168" t="str">
        <f>IFERROR(+VLOOKUP(Movimientos_2026[[#This Row],[Codigo]],Plan_cuentas[],2,FALSE)," ")</f>
        <v>EGRESOS</v>
      </c>
      <c r="F168" t="str">
        <f>IFERROR(+VLOOKUP(Movimientos_2026[[#This Row],[Codigo]],Plan_cuentas[],3,FALSE)," ")</f>
        <v>VEP</v>
      </c>
      <c r="G168" t="str">
        <f>IFERROR(+VLOOKUP(Movimientos_2026[[#This Row],[Codigo]],Plan_cuentas[],4,FALSE)," ")</f>
        <v>Rentas</v>
      </c>
      <c r="H168" t="str">
        <f>IFERROR(+VLOOKUP(Movimientos_2026[[#This Row],[Codigo]],Plan_cuentas[],5,FALSE)," ")</f>
        <v>SANTA FE 2° Q</v>
      </c>
      <c r="I168" s="43">
        <v>45992</v>
      </c>
      <c r="J168" t="s">
        <v>68</v>
      </c>
      <c r="K168" t="str">
        <f>IFERROR(+VLOOKUP(Movimientos_2026[[#This Row],[Codigo]],Plan_cuentas[],6,FALSE)," ")</f>
        <v>1 - VW - Volkswagen</v>
      </c>
      <c r="L168" s="51"/>
      <c r="M168" s="52">
        <v>19540072.5</v>
      </c>
      <c r="N168" s="20">
        <f>+Movimientos_2026[[#This Row],[Ingresos]]-Movimientos_2026[[#This Row],[Egresos]]</f>
        <v>-19540072.5</v>
      </c>
      <c r="O168" s="20">
        <f>+O167+Movimientos_2026[[#This Row],[Neto]]</f>
        <v>6082601985.9264421</v>
      </c>
    </row>
    <row r="169" spans="1:15" x14ac:dyDescent="0.25">
      <c r="A169" s="13">
        <v>46034</v>
      </c>
      <c r="B169" s="12">
        <f>MONTH(Movimientos_2026[[#This Row],[Fecha]])</f>
        <v>1</v>
      </c>
      <c r="C169" s="12" t="str">
        <f>VLOOKUP((WEEKDAY(Movimientos_2026[[#This Row],[Fecha]],2)),'5. Setup'!$D$6:$E$12,2,FALSE)</f>
        <v>Lun</v>
      </c>
      <c r="D169">
        <v>2014271</v>
      </c>
      <c r="E169" t="str">
        <f>IFERROR(+VLOOKUP(Movimientos_2026[[#This Row],[Codigo]],Plan_cuentas[],2,FALSE)," ")</f>
        <v>EGRESOS</v>
      </c>
      <c r="F169" t="str">
        <f>IFERROR(+VLOOKUP(Movimientos_2026[[#This Row],[Codigo]],Plan_cuentas[],3,FALSE)," ")</f>
        <v>BtoB</v>
      </c>
      <c r="G169" t="str">
        <f>IFERROR(+VLOOKUP(Movimientos_2026[[#This Row],[Codigo]],Plan_cuentas[],4,FALSE)," ")</f>
        <v>Rentas</v>
      </c>
      <c r="H169" t="str">
        <f>IFERROR(+VLOOKUP(Movimientos_2026[[#This Row],[Codigo]],Plan_cuentas[],5,FALSE)," ")</f>
        <v>LA RIOJA</v>
      </c>
      <c r="I169" s="43">
        <v>45992</v>
      </c>
      <c r="J169" t="s">
        <v>69</v>
      </c>
      <c r="K169" t="str">
        <f>IFERROR(+VLOOKUP(Movimientos_2026[[#This Row],[Codigo]],Plan_cuentas[],6,FALSE)," ")</f>
        <v>1 - VW - Volkswagen</v>
      </c>
      <c r="L169" s="51"/>
      <c r="M169" s="52">
        <v>17220339.390000001</v>
      </c>
      <c r="N169" s="20">
        <f>+Movimientos_2026[[#This Row],[Ingresos]]-Movimientos_2026[[#This Row],[Egresos]]</f>
        <v>-17220339.390000001</v>
      </c>
      <c r="O169" s="20">
        <f>+O168+Movimientos_2026[[#This Row],[Neto]]</f>
        <v>6065381646.5364418</v>
      </c>
    </row>
    <row r="170" spans="1:15" x14ac:dyDescent="0.25">
      <c r="A170" s="13">
        <v>46034</v>
      </c>
      <c r="B170" s="12">
        <f>MONTH(Movimientos_2026[[#This Row],[Fecha]])</f>
        <v>1</v>
      </c>
      <c r="C170" s="12" t="str">
        <f>VLOOKUP((WEEKDAY(Movimientos_2026[[#This Row],[Fecha]],2)),'5. Setup'!$D$6:$E$12,2,FALSE)</f>
        <v>Lun</v>
      </c>
      <c r="D170">
        <v>2014211</v>
      </c>
      <c r="E170" t="str">
        <f>IFERROR(+VLOOKUP(Movimientos_2026[[#This Row],[Codigo]],Plan_cuentas[],2,FALSE)," ")</f>
        <v>EGRESOS</v>
      </c>
      <c r="F170" t="str">
        <f>IFERROR(+VLOOKUP(Movimientos_2026[[#This Row],[Codigo]],Plan_cuentas[],3,FALSE)," ")</f>
        <v>BtoB</v>
      </c>
      <c r="G170" t="str">
        <f>IFERROR(+VLOOKUP(Movimientos_2026[[#This Row],[Codigo]],Plan_cuentas[],4,FALSE)," ")</f>
        <v>Rentas</v>
      </c>
      <c r="H170" t="str">
        <f>IFERROR(+VLOOKUP(Movimientos_2026[[#This Row],[Codigo]],Plan_cuentas[],5,FALSE)," ")</f>
        <v>CORRIENTES 2° Q</v>
      </c>
      <c r="I170" s="43">
        <v>45992</v>
      </c>
      <c r="J170" t="s">
        <v>70</v>
      </c>
      <c r="K170" t="str">
        <f>IFERROR(+VLOOKUP(Movimientos_2026[[#This Row],[Codigo]],Plan_cuentas[],6,FALSE)," ")</f>
        <v>1 - VW - Volkswagen</v>
      </c>
      <c r="L170" s="51"/>
      <c r="M170" s="52">
        <v>6780321.5</v>
      </c>
      <c r="N170" s="20">
        <f>+Movimientos_2026[[#This Row],[Ingresos]]-Movimientos_2026[[#This Row],[Egresos]]</f>
        <v>-6780321.5</v>
      </c>
      <c r="O170" s="20">
        <f>+O169+Movimientos_2026[[#This Row],[Neto]]</f>
        <v>6058601325.0364418</v>
      </c>
    </row>
    <row r="171" spans="1:15" x14ac:dyDescent="0.25">
      <c r="A171" s="13">
        <v>46034</v>
      </c>
      <c r="B171" s="12">
        <f>MONTH(Movimientos_2026[[#This Row],[Fecha]])</f>
        <v>1</v>
      </c>
      <c r="C171" s="12" t="str">
        <f>VLOOKUP((WEEKDAY(Movimientos_2026[[#This Row],[Fecha]],2)),'5. Setup'!$D$6:$E$12,2,FALSE)</f>
        <v>Lun</v>
      </c>
      <c r="D171">
        <v>2054281</v>
      </c>
      <c r="E171" t="str">
        <f>IFERROR(+VLOOKUP(Movimientos_2026[[#This Row],[Codigo]],Plan_cuentas[],2,FALSE)," ")</f>
        <v>EGRESOS</v>
      </c>
      <c r="F171" t="str">
        <f>IFERROR(+VLOOKUP(Movimientos_2026[[#This Row],[Codigo]],Plan_cuentas[],3,FALSE)," ")</f>
        <v>VEP</v>
      </c>
      <c r="G171" t="str">
        <f>IFERROR(+VLOOKUP(Movimientos_2026[[#This Row],[Codigo]],Plan_cuentas[],4,FALSE)," ")</f>
        <v>Rentas</v>
      </c>
      <c r="H171" t="str">
        <f>IFERROR(+VLOOKUP(Movimientos_2026[[#This Row],[Codigo]],Plan_cuentas[],5,FALSE)," ")</f>
        <v>MENDOZA</v>
      </c>
      <c r="I171" s="43">
        <v>45992</v>
      </c>
      <c r="J171" t="s">
        <v>71</v>
      </c>
      <c r="K171" t="str">
        <f>IFERROR(+VLOOKUP(Movimientos_2026[[#This Row],[Codigo]],Plan_cuentas[],6,FALSE)," ")</f>
        <v>1 - VW - Volkswagen</v>
      </c>
      <c r="L171" s="50"/>
      <c r="M171" s="52">
        <v>29386429</v>
      </c>
      <c r="N171" s="20">
        <f>+Movimientos_2026[[#This Row],[Ingresos]]-Movimientos_2026[[#This Row],[Egresos]]</f>
        <v>-29386429</v>
      </c>
      <c r="O171" s="20">
        <f>+O170+Movimientos_2026[[#This Row],[Neto]]</f>
        <v>6029214896.0364418</v>
      </c>
    </row>
    <row r="172" spans="1:15" x14ac:dyDescent="0.25">
      <c r="A172" s="13">
        <v>46034</v>
      </c>
      <c r="B172" s="12">
        <f>MONTH(Movimientos_2026[[#This Row],[Fecha]])</f>
        <v>1</v>
      </c>
      <c r="C172" s="12" t="str">
        <f>VLOOKUP((WEEKDAY(Movimientos_2026[[#This Row],[Fecha]],2)),'5. Setup'!$D$6:$E$12,2,FALSE)</f>
        <v>Lun</v>
      </c>
      <c r="D172">
        <v>2054282</v>
      </c>
      <c r="E172" t="str">
        <f>IFERROR(+VLOOKUP(Movimientos_2026[[#This Row],[Codigo]],Plan_cuentas[],2,FALSE)," ")</f>
        <v>EGRESOS</v>
      </c>
      <c r="F172" t="str">
        <f>IFERROR(+VLOOKUP(Movimientos_2026[[#This Row],[Codigo]],Plan_cuentas[],3,FALSE)," ")</f>
        <v>VEP</v>
      </c>
      <c r="G172" t="str">
        <f>IFERROR(+VLOOKUP(Movimientos_2026[[#This Row],[Codigo]],Plan_cuentas[],4,FALSE)," ")</f>
        <v>Rentas</v>
      </c>
      <c r="H172" t="str">
        <f>IFERROR(+VLOOKUP(Movimientos_2026[[#This Row],[Codigo]],Plan_cuentas[],5,FALSE)," ")</f>
        <v>MENDOZA</v>
      </c>
      <c r="I172" s="43">
        <v>45992</v>
      </c>
      <c r="J172" t="s">
        <v>72</v>
      </c>
      <c r="K172" t="str">
        <f>IFERROR(+VLOOKUP(Movimientos_2026[[#This Row],[Codigo]],Plan_cuentas[],6,FALSE)," ")</f>
        <v>2 - PR - Plan Rombo</v>
      </c>
      <c r="L172" s="50"/>
      <c r="M172" s="52">
        <v>63666625</v>
      </c>
      <c r="N172" s="20">
        <f>+Movimientos_2026[[#This Row],[Ingresos]]-Movimientos_2026[[#This Row],[Egresos]]</f>
        <v>-63666625</v>
      </c>
      <c r="O172" s="20">
        <f>+O171+Movimientos_2026[[#This Row],[Neto]]</f>
        <v>5965548271.0364418</v>
      </c>
    </row>
    <row r="173" spans="1:15" x14ac:dyDescent="0.25">
      <c r="A173" s="13">
        <v>46034</v>
      </c>
      <c r="B173" s="12">
        <f>MONTH(Movimientos_2026[[#This Row],[Fecha]])</f>
        <v>1</v>
      </c>
      <c r="C173" s="12" t="str">
        <f>VLOOKUP((WEEKDAY(Movimientos_2026[[#This Row],[Fecha]],2)),'5. Setup'!$D$6:$E$12,2,FALSE)</f>
        <v>Lun</v>
      </c>
      <c r="D173">
        <v>2054287</v>
      </c>
      <c r="E173" t="str">
        <f>IFERROR(+VLOOKUP(Movimientos_2026[[#This Row],[Codigo]],Plan_cuentas[],2,FALSE)," ")</f>
        <v>EGRESOS</v>
      </c>
      <c r="F173" t="str">
        <f>IFERROR(+VLOOKUP(Movimientos_2026[[#This Row],[Codigo]],Plan_cuentas[],3,FALSE)," ")</f>
        <v>VEP</v>
      </c>
      <c r="G173" t="str">
        <f>IFERROR(+VLOOKUP(Movimientos_2026[[#This Row],[Codigo]],Plan_cuentas[],4,FALSE)," ")</f>
        <v>Rentas</v>
      </c>
      <c r="H173" t="str">
        <f>IFERROR(+VLOOKUP(Movimientos_2026[[#This Row],[Codigo]],Plan_cuentas[],5,FALSE)," ")</f>
        <v>MENDOZA</v>
      </c>
      <c r="I173" s="43">
        <v>45992</v>
      </c>
      <c r="J173" t="s">
        <v>72</v>
      </c>
      <c r="K173" t="str">
        <f>IFERROR(+VLOOKUP(Movimientos_2026[[#This Row],[Codigo]],Plan_cuentas[],6,FALSE)," ")</f>
        <v>7 - PRtr - Plan Rombo Transf.</v>
      </c>
      <c r="L173" s="50"/>
      <c r="M173" s="52">
        <v>1500</v>
      </c>
      <c r="N173" s="20">
        <f>+Movimientos_2026[[#This Row],[Ingresos]]-Movimientos_2026[[#This Row],[Egresos]]</f>
        <v>-1500</v>
      </c>
      <c r="O173" s="20">
        <f>+O172+Movimientos_2026[[#This Row],[Neto]]</f>
        <v>5965546771.0364418</v>
      </c>
    </row>
    <row r="174" spans="1:15" x14ac:dyDescent="0.25">
      <c r="A174" s="13">
        <v>46034</v>
      </c>
      <c r="B174" s="12">
        <f>MONTH(Movimientos_2026[[#This Row],[Fecha]])</f>
        <v>1</v>
      </c>
      <c r="C174" s="12" t="str">
        <f>VLOOKUP((WEEKDAY(Movimientos_2026[[#This Row],[Fecha]],2)),'5. Setup'!$D$6:$E$12,2,FALSE)</f>
        <v>Lun</v>
      </c>
      <c r="D174">
        <v>2054284</v>
      </c>
      <c r="E174" t="str">
        <f>IFERROR(+VLOOKUP(Movimientos_2026[[#This Row],[Codigo]],Plan_cuentas[],2,FALSE)," ")</f>
        <v>EGRESOS</v>
      </c>
      <c r="F174" t="str">
        <f>IFERROR(+VLOOKUP(Movimientos_2026[[#This Row],[Codigo]],Plan_cuentas[],3,FALSE)," ")</f>
        <v>VEP</v>
      </c>
      <c r="G174" t="str">
        <f>IFERROR(+VLOOKUP(Movimientos_2026[[#This Row],[Codigo]],Plan_cuentas[],4,FALSE)," ")</f>
        <v>Rentas</v>
      </c>
      <c r="H174" t="str">
        <f>IFERROR(+VLOOKUP(Movimientos_2026[[#This Row],[Codigo]],Plan_cuentas[],5,FALSE)," ")</f>
        <v>MENDOZA</v>
      </c>
      <c r="I174" s="43">
        <v>45992</v>
      </c>
      <c r="J174" t="s">
        <v>73</v>
      </c>
      <c r="K174" t="str">
        <f>IFERROR(+VLOOKUP(Movimientos_2026[[#This Row],[Codigo]],Plan_cuentas[],6,FALSE)," ")</f>
        <v>4 - FCA - Fiat</v>
      </c>
      <c r="L174" s="50"/>
      <c r="M174" s="52">
        <v>97371495</v>
      </c>
      <c r="N174" s="20">
        <f>+Movimientos_2026[[#This Row],[Ingresos]]-Movimientos_2026[[#This Row],[Egresos]]</f>
        <v>-97371495</v>
      </c>
      <c r="O174" s="20">
        <f>+O173+Movimientos_2026[[#This Row],[Neto]]</f>
        <v>5868175276.0364418</v>
      </c>
    </row>
    <row r="175" spans="1:15" x14ac:dyDescent="0.25">
      <c r="A175" s="13">
        <v>46034</v>
      </c>
      <c r="B175" s="12">
        <f>MONTH(Movimientos_2026[[#This Row],[Fecha]])</f>
        <v>1</v>
      </c>
      <c r="C175" s="12" t="str">
        <f>VLOOKUP((WEEKDAY(Movimientos_2026[[#This Row],[Fecha]],2)),'5. Setup'!$D$6:$E$12,2,FALSE)</f>
        <v>Lun</v>
      </c>
      <c r="D175">
        <v>2054286</v>
      </c>
      <c r="E175" t="str">
        <f>IFERROR(+VLOOKUP(Movimientos_2026[[#This Row],[Codigo]],Plan_cuentas[],2,FALSE)," ")</f>
        <v>EGRESOS</v>
      </c>
      <c r="F175" t="str">
        <f>IFERROR(+VLOOKUP(Movimientos_2026[[#This Row],[Codigo]],Plan_cuentas[],3,FALSE)," ")</f>
        <v>VEP</v>
      </c>
      <c r="G175" t="str">
        <f>IFERROR(+VLOOKUP(Movimientos_2026[[#This Row],[Codigo]],Plan_cuentas[],4,FALSE)," ")</f>
        <v>Rentas</v>
      </c>
      <c r="H175" t="str">
        <f>IFERROR(+VLOOKUP(Movimientos_2026[[#This Row],[Codigo]],Plan_cuentas[],5,FALSE)," ")</f>
        <v>MENDOZA</v>
      </c>
      <c r="I175" s="43">
        <v>45992</v>
      </c>
      <c r="J175" t="s">
        <v>73</v>
      </c>
      <c r="K175" t="str">
        <f>IFERROR(+VLOOKUP(Movimientos_2026[[#This Row],[Codigo]],Plan_cuentas[],6,FALSE)," ")</f>
        <v>6 - FCAtr - Fiat Transf.</v>
      </c>
      <c r="L175" s="50"/>
      <c r="M175" s="52">
        <v>12887293.15000001</v>
      </c>
      <c r="N175" s="20">
        <f>+Movimientos_2026[[#This Row],[Ingresos]]-Movimientos_2026[[#This Row],[Egresos]]</f>
        <v>-12887293.15000001</v>
      </c>
      <c r="O175" s="20">
        <f>+O174+Movimientos_2026[[#This Row],[Neto]]</f>
        <v>5855287982.8864422</v>
      </c>
    </row>
    <row r="176" spans="1:15" x14ac:dyDescent="0.25">
      <c r="A176" s="13">
        <v>46034</v>
      </c>
      <c r="B176" s="12">
        <f>MONTH(Movimientos_2026[[#This Row],[Fecha]])</f>
        <v>1</v>
      </c>
      <c r="C176" s="12" t="str">
        <f>VLOOKUP((WEEKDAY(Movimientos_2026[[#This Row],[Fecha]],2)),'5. Setup'!$D$6:$E$12,2,FALSE)</f>
        <v>Lun</v>
      </c>
      <c r="D176">
        <v>2054285</v>
      </c>
      <c r="E176" t="str">
        <f>IFERROR(+VLOOKUP(Movimientos_2026[[#This Row],[Codigo]],Plan_cuentas[],2,FALSE)," ")</f>
        <v>EGRESOS</v>
      </c>
      <c r="F176" t="str">
        <f>IFERROR(+VLOOKUP(Movimientos_2026[[#This Row],[Codigo]],Plan_cuentas[],3,FALSE)," ")</f>
        <v>VEP</v>
      </c>
      <c r="G176" t="str">
        <f>IFERROR(+VLOOKUP(Movimientos_2026[[#This Row],[Codigo]],Plan_cuentas[],4,FALSE)," ")</f>
        <v>Rentas</v>
      </c>
      <c r="H176" t="str">
        <f>IFERROR(+VLOOKUP(Movimientos_2026[[#This Row],[Codigo]],Plan_cuentas[],5,FALSE)," ")</f>
        <v>MENDOZA</v>
      </c>
      <c r="I176" s="43">
        <v>45992</v>
      </c>
      <c r="J176" t="s">
        <v>74</v>
      </c>
      <c r="K176" t="str">
        <f>IFERROR(+VLOOKUP(Movimientos_2026[[#This Row],[Codigo]],Plan_cuentas[],6,FALSE)," ")</f>
        <v>5 - YAM - Yamaha</v>
      </c>
      <c r="L176" s="50"/>
      <c r="M176" s="52">
        <v>928150</v>
      </c>
      <c r="N176" s="20">
        <f>+Movimientos_2026[[#This Row],[Ingresos]]-Movimientos_2026[[#This Row],[Egresos]]</f>
        <v>-928150</v>
      </c>
      <c r="O176" s="20">
        <f>+O175+Movimientos_2026[[#This Row],[Neto]]</f>
        <v>5854359832.8864422</v>
      </c>
    </row>
    <row r="177" spans="1:15" x14ac:dyDescent="0.25">
      <c r="A177" s="13">
        <v>46034</v>
      </c>
      <c r="B177" s="12">
        <f>MONTH(Movimientos_2026[[#This Row],[Fecha]])</f>
        <v>1</v>
      </c>
      <c r="C177" s="12" t="str">
        <f>VLOOKUP((WEEKDAY(Movimientos_2026[[#This Row],[Fecha]],2)),'5. Setup'!$D$6:$E$12,2,FALSE)</f>
        <v>Lun</v>
      </c>
      <c r="D177">
        <v>2014165</v>
      </c>
      <c r="E177" t="str">
        <f>IFERROR(+VLOOKUP(Movimientos_2026[[#This Row],[Codigo]],Plan_cuentas[],2,FALSE)," ")</f>
        <v>EGRESOS</v>
      </c>
      <c r="F177" t="str">
        <f>IFERROR(+VLOOKUP(Movimientos_2026[[#This Row],[Codigo]],Plan_cuentas[],3,FALSE)," ")</f>
        <v>BtoB</v>
      </c>
      <c r="G177" t="str">
        <f>IFERROR(+VLOOKUP(Movimientos_2026[[#This Row],[Codigo]],Plan_cuentas[],4,FALSE)," ")</f>
        <v>Rentas</v>
      </c>
      <c r="H177" t="str">
        <f>IFERROR(+VLOOKUP(Movimientos_2026[[#This Row],[Codigo]],Plan_cuentas[],5,FALSE)," ")</f>
        <v>CHACO</v>
      </c>
      <c r="I177" s="43">
        <v>45992</v>
      </c>
      <c r="J177" t="s">
        <v>75</v>
      </c>
      <c r="K177" t="str">
        <f>IFERROR(+VLOOKUP(Movimientos_2026[[#This Row],[Codigo]],Plan_cuentas[],6,FALSE)," ")</f>
        <v>5 - YAM - Yamaha</v>
      </c>
      <c r="L177" s="50"/>
      <c r="M177" s="52">
        <v>1454447.79</v>
      </c>
      <c r="N177" s="20">
        <f>+Movimientos_2026[[#This Row],[Ingresos]]-Movimientos_2026[[#This Row],[Egresos]]</f>
        <v>-1454447.79</v>
      </c>
      <c r="O177" s="20">
        <f>+O176+Movimientos_2026[[#This Row],[Neto]]</f>
        <v>5852905385.0964422</v>
      </c>
    </row>
    <row r="178" spans="1:15" x14ac:dyDescent="0.25">
      <c r="A178" s="13">
        <v>46034</v>
      </c>
      <c r="B178" s="12">
        <f>MONTH(Movimientos_2026[[#This Row],[Fecha]])</f>
        <v>1</v>
      </c>
      <c r="C178" s="12" t="str">
        <f>VLOOKUP((WEEKDAY(Movimientos_2026[[#This Row],[Fecha]],2)),'5. Setup'!$D$6:$E$12,2,FALSE)</f>
        <v>Lun</v>
      </c>
      <c r="D178">
        <v>1043153</v>
      </c>
      <c r="E178" t="str">
        <f>IFERROR(+VLOOKUP(Movimientos_2026[[#This Row],[Codigo]],Plan_cuentas[],2,FALSE)," ")</f>
        <v>INGRESOS</v>
      </c>
      <c r="F178" t="str">
        <f>IFERROR(+VLOOKUP(Movimientos_2026[[#This Row],[Codigo]],Plan_cuentas[],3,FALSE)," ")</f>
        <v>Transferencia</v>
      </c>
      <c r="G178" t="str">
        <f>IFERROR(+VLOOKUP(Movimientos_2026[[#This Row],[Codigo]],Plan_cuentas[],4,FALSE)," ")</f>
        <v>Registración</v>
      </c>
      <c r="H178" t="str">
        <f>IFERROR(+VLOOKUP(Movimientos_2026[[#This Row],[Codigo]],Plan_cuentas[],5,FALSE)," ")</f>
        <v>CABA</v>
      </c>
      <c r="I178" s="43">
        <v>45992</v>
      </c>
      <c r="J178" t="s">
        <v>76</v>
      </c>
      <c r="K178" t="str">
        <f>IFERROR(+VLOOKUP(Movimientos_2026[[#This Row],[Codigo]],Plan_cuentas[],6,FALSE)," ")</f>
        <v>3 - GM - Chevrolet</v>
      </c>
      <c r="L178" s="50">
        <v>35821704.659999996</v>
      </c>
      <c r="M178" s="52"/>
      <c r="N178" s="20">
        <f>+Movimientos_2026[[#This Row],[Ingresos]]-Movimientos_2026[[#This Row],[Egresos]]</f>
        <v>35821704.659999996</v>
      </c>
      <c r="O178" s="20">
        <f>+O177+Movimientos_2026[[#This Row],[Neto]]</f>
        <v>5888727089.7564421</v>
      </c>
    </row>
    <row r="179" spans="1:15" x14ac:dyDescent="0.25">
      <c r="A179" s="13">
        <v>46034</v>
      </c>
      <c r="B179" s="12">
        <f>MONTH(Movimientos_2026[[#This Row],[Fecha]])</f>
        <v>1</v>
      </c>
      <c r="C179" s="12" t="str">
        <f>VLOOKUP((WEEKDAY(Movimientos_2026[[#This Row],[Fecha]],2)),'5. Setup'!$D$6:$E$12,2,FALSE)</f>
        <v>Lun</v>
      </c>
      <c r="D179">
        <v>1043223</v>
      </c>
      <c r="E179" t="str">
        <f>IFERROR(+VLOOKUP(Movimientos_2026[[#This Row],[Codigo]],Plan_cuentas[],2,FALSE)," ")</f>
        <v>INGRESOS</v>
      </c>
      <c r="F179" t="str">
        <f>IFERROR(+VLOOKUP(Movimientos_2026[[#This Row],[Codigo]],Plan_cuentas[],3,FALSE)," ")</f>
        <v>Transferencia</v>
      </c>
      <c r="G179" t="str">
        <f>IFERROR(+VLOOKUP(Movimientos_2026[[#This Row],[Codigo]],Plan_cuentas[],4,FALSE)," ")</f>
        <v>Registración</v>
      </c>
      <c r="H179" t="str">
        <f>IFERROR(+VLOOKUP(Movimientos_2026[[#This Row],[Codigo]],Plan_cuentas[],5,FALSE)," ")</f>
        <v>ENTRE RIOS 1° Q</v>
      </c>
      <c r="I179" s="43">
        <v>45992</v>
      </c>
      <c r="J179" t="s">
        <v>76</v>
      </c>
      <c r="K179" t="str">
        <f>IFERROR(+VLOOKUP(Movimientos_2026[[#This Row],[Codigo]],Plan_cuentas[],6,FALSE)," ")</f>
        <v>3 - GM - Chevrolet</v>
      </c>
      <c r="L179" s="50">
        <v>17097393.344999999</v>
      </c>
      <c r="M179" s="52"/>
      <c r="N179" s="20">
        <f>+Movimientos_2026[[#This Row],[Ingresos]]-Movimientos_2026[[#This Row],[Egresos]]</f>
        <v>17097393.344999999</v>
      </c>
      <c r="O179" s="20">
        <f>+O178+Movimientos_2026[[#This Row],[Neto]]</f>
        <v>5905824483.1014423</v>
      </c>
    </row>
    <row r="180" spans="1:15" x14ac:dyDescent="0.25">
      <c r="A180" s="13">
        <v>46034</v>
      </c>
      <c r="B180" s="12">
        <f>MONTH(Movimientos_2026[[#This Row],[Fecha]])</f>
        <v>1</v>
      </c>
      <c r="C180" s="12" t="str">
        <f>VLOOKUP((WEEKDAY(Movimientos_2026[[#This Row],[Fecha]],2)),'5. Setup'!$D$6:$E$12,2,FALSE)</f>
        <v>Lun</v>
      </c>
      <c r="D180">
        <v>1043233</v>
      </c>
      <c r="E180" t="str">
        <f>IFERROR(+VLOOKUP(Movimientos_2026[[#This Row],[Codigo]],Plan_cuentas[],2,FALSE)," ")</f>
        <v>INGRESOS</v>
      </c>
      <c r="F180" t="str">
        <f>IFERROR(+VLOOKUP(Movimientos_2026[[#This Row],[Codigo]],Plan_cuentas[],3,FALSE)," ")</f>
        <v>Transferencia</v>
      </c>
      <c r="G180" t="str">
        <f>IFERROR(+VLOOKUP(Movimientos_2026[[#This Row],[Codigo]],Plan_cuentas[],4,FALSE)," ")</f>
        <v>Registración</v>
      </c>
      <c r="H180" t="str">
        <f>IFERROR(+VLOOKUP(Movimientos_2026[[#This Row],[Codigo]],Plan_cuentas[],5,FALSE)," ")</f>
        <v>ENTRE RIOS 2° Q</v>
      </c>
      <c r="I180" s="43">
        <v>45992</v>
      </c>
      <c r="J180" t="s">
        <v>76</v>
      </c>
      <c r="K180" t="str">
        <f>IFERROR(+VLOOKUP(Movimientos_2026[[#This Row],[Codigo]],Plan_cuentas[],6,FALSE)," ")</f>
        <v>3 - GM - Chevrolet</v>
      </c>
      <c r="L180" s="50">
        <v>17097393.344999999</v>
      </c>
      <c r="M180" s="52"/>
      <c r="N180" s="20">
        <f>+Movimientos_2026[[#This Row],[Ingresos]]-Movimientos_2026[[#This Row],[Egresos]]</f>
        <v>17097393.344999999</v>
      </c>
      <c r="O180" s="20">
        <f>+O179+Movimientos_2026[[#This Row],[Neto]]</f>
        <v>5922921876.4464426</v>
      </c>
    </row>
    <row r="181" spans="1:15" x14ac:dyDescent="0.25">
      <c r="A181" s="13">
        <v>46034</v>
      </c>
      <c r="B181" s="12">
        <f>MONTH(Movimientos_2026[[#This Row],[Fecha]])</f>
        <v>1</v>
      </c>
      <c r="C181" s="12" t="str">
        <f>VLOOKUP((WEEKDAY(Movimientos_2026[[#This Row],[Fecha]],2)),'5. Setup'!$D$6:$E$12,2,FALSE)</f>
        <v>Lun</v>
      </c>
      <c r="D181">
        <v>1043383</v>
      </c>
      <c r="E181" t="str">
        <f>IFERROR(+VLOOKUP(Movimientos_2026[[#This Row],[Codigo]],Plan_cuentas[],2,FALSE)," ")</f>
        <v>INGRESOS</v>
      </c>
      <c r="F181" t="str">
        <f>IFERROR(+VLOOKUP(Movimientos_2026[[#This Row],[Codigo]],Plan_cuentas[],3,FALSE)," ")</f>
        <v>Transferencia</v>
      </c>
      <c r="G181" t="str">
        <f>IFERROR(+VLOOKUP(Movimientos_2026[[#This Row],[Codigo]],Plan_cuentas[],4,FALSE)," ")</f>
        <v>Registración</v>
      </c>
      <c r="H181" t="str">
        <f>IFERROR(+VLOOKUP(Movimientos_2026[[#This Row],[Codigo]],Plan_cuentas[],5,FALSE)," ")</f>
        <v>SANTA FE 1° Q</v>
      </c>
      <c r="I181" s="43">
        <v>45992</v>
      </c>
      <c r="J181" t="s">
        <v>76</v>
      </c>
      <c r="K181" t="str">
        <f>IFERROR(+VLOOKUP(Movimientos_2026[[#This Row],[Codigo]],Plan_cuentas[],6,FALSE)," ")</f>
        <v>3 - GM - Chevrolet</v>
      </c>
      <c r="L181" s="50">
        <v>23518568.712499999</v>
      </c>
      <c r="M181" s="52"/>
      <c r="N181" s="20">
        <f>+Movimientos_2026[[#This Row],[Ingresos]]-Movimientos_2026[[#This Row],[Egresos]]</f>
        <v>23518568.712499999</v>
      </c>
      <c r="O181" s="20">
        <f>+O180+Movimientos_2026[[#This Row],[Neto]]</f>
        <v>5946440445.1589422</v>
      </c>
    </row>
    <row r="182" spans="1:15" x14ac:dyDescent="0.25">
      <c r="A182" s="13">
        <v>46034</v>
      </c>
      <c r="B182" s="12">
        <f>MONTH(Movimientos_2026[[#This Row],[Fecha]])</f>
        <v>1</v>
      </c>
      <c r="C182" s="12" t="str">
        <f>VLOOKUP((WEEKDAY(Movimientos_2026[[#This Row],[Fecha]],2)),'5. Setup'!$D$6:$E$12,2,FALSE)</f>
        <v>Lun</v>
      </c>
      <c r="D182">
        <v>1043393</v>
      </c>
      <c r="E182" t="str">
        <f>IFERROR(+VLOOKUP(Movimientos_2026[[#This Row],[Codigo]],Plan_cuentas[],2,FALSE)," ")</f>
        <v>INGRESOS</v>
      </c>
      <c r="F182" t="str">
        <f>IFERROR(+VLOOKUP(Movimientos_2026[[#This Row],[Codigo]],Plan_cuentas[],3,FALSE)," ")</f>
        <v>Transferencia</v>
      </c>
      <c r="G182" t="str">
        <f>IFERROR(+VLOOKUP(Movimientos_2026[[#This Row],[Codigo]],Plan_cuentas[],4,FALSE)," ")</f>
        <v>Registración</v>
      </c>
      <c r="H182" t="str">
        <f>IFERROR(+VLOOKUP(Movimientos_2026[[#This Row],[Codigo]],Plan_cuentas[],5,FALSE)," ")</f>
        <v>SANTA FE 2° Q</v>
      </c>
      <c r="I182" s="43">
        <v>45992</v>
      </c>
      <c r="J182" t="s">
        <v>76</v>
      </c>
      <c r="K182" t="str">
        <f>IFERROR(+VLOOKUP(Movimientos_2026[[#This Row],[Codigo]],Plan_cuentas[],6,FALSE)," ")</f>
        <v>3 - GM - Chevrolet</v>
      </c>
      <c r="L182" s="50">
        <v>23518568.712499999</v>
      </c>
      <c r="M182" s="52"/>
      <c r="N182" s="20">
        <f>+Movimientos_2026[[#This Row],[Ingresos]]-Movimientos_2026[[#This Row],[Egresos]]</f>
        <v>23518568.712499999</v>
      </c>
      <c r="O182" s="20">
        <f>+O181+Movimientos_2026[[#This Row],[Neto]]</f>
        <v>5969959013.8714418</v>
      </c>
    </row>
    <row r="183" spans="1:15" x14ac:dyDescent="0.25">
      <c r="A183" s="13">
        <v>46034</v>
      </c>
      <c r="B183" s="12">
        <f>MONTH(Movimientos_2026[[#This Row],[Fecha]])</f>
        <v>1</v>
      </c>
      <c r="C183" s="12" t="str">
        <f>VLOOKUP((WEEKDAY(Movimientos_2026[[#This Row],[Fecha]],2)),'5. Setup'!$D$6:$E$12,2,FALSE)</f>
        <v>Lun</v>
      </c>
      <c r="D183">
        <v>1044163</v>
      </c>
      <c r="E183" t="str">
        <f>IFERROR(+VLOOKUP(Movimientos_2026[[#This Row],[Codigo]],Plan_cuentas[],2,FALSE)," ")</f>
        <v>INGRESOS</v>
      </c>
      <c r="F183" t="str">
        <f>IFERROR(+VLOOKUP(Movimientos_2026[[#This Row],[Codigo]],Plan_cuentas[],3,FALSE)," ")</f>
        <v>Transferencia</v>
      </c>
      <c r="G183" t="str">
        <f>IFERROR(+VLOOKUP(Movimientos_2026[[#This Row],[Codigo]],Plan_cuentas[],4,FALSE)," ")</f>
        <v>Rentas</v>
      </c>
      <c r="H183" t="str">
        <f>IFERROR(+VLOOKUP(Movimientos_2026[[#This Row],[Codigo]],Plan_cuentas[],5,FALSE)," ")</f>
        <v>CHACO</v>
      </c>
      <c r="I183" s="43">
        <v>45992</v>
      </c>
      <c r="J183" t="s">
        <v>76</v>
      </c>
      <c r="K183" t="str">
        <f>IFERROR(+VLOOKUP(Movimientos_2026[[#This Row],[Codigo]],Plan_cuentas[],6,FALSE)," ")</f>
        <v>3 - GM - Chevrolet</v>
      </c>
      <c r="L183" s="50">
        <v>45604760.399999999</v>
      </c>
      <c r="M183" s="52"/>
      <c r="N183" s="20">
        <f>+Movimientos_2026[[#This Row],[Ingresos]]-Movimientos_2026[[#This Row],[Egresos]]</f>
        <v>45604760.399999999</v>
      </c>
      <c r="O183" s="20">
        <f>+O182+Movimientos_2026[[#This Row],[Neto]]</f>
        <v>6015563774.2714415</v>
      </c>
    </row>
    <row r="184" spans="1:15" x14ac:dyDescent="0.25">
      <c r="A184" s="13">
        <v>46034</v>
      </c>
      <c r="B184" s="12">
        <f>MONTH(Movimientos_2026[[#This Row],[Fecha]])</f>
        <v>1</v>
      </c>
      <c r="C184" s="12" t="str">
        <f>VLOOKUP((WEEKDAY(Movimientos_2026[[#This Row],[Fecha]],2)),'5. Setup'!$D$6:$E$12,2,FALSE)</f>
        <v>Lun</v>
      </c>
      <c r="D184">
        <v>1044173</v>
      </c>
      <c r="E184" t="str">
        <f>IFERROR(+VLOOKUP(Movimientos_2026[[#This Row],[Codigo]],Plan_cuentas[],2,FALSE)," ")</f>
        <v>INGRESOS</v>
      </c>
      <c r="F184" t="str">
        <f>IFERROR(+VLOOKUP(Movimientos_2026[[#This Row],[Codigo]],Plan_cuentas[],3,FALSE)," ")</f>
        <v>Transferencia</v>
      </c>
      <c r="G184" t="str">
        <f>IFERROR(+VLOOKUP(Movimientos_2026[[#This Row],[Codigo]],Plan_cuentas[],4,FALSE)," ")</f>
        <v>Rentas</v>
      </c>
      <c r="H184" t="str">
        <f>IFERROR(+VLOOKUP(Movimientos_2026[[#This Row],[Codigo]],Plan_cuentas[],5,FALSE)," ")</f>
        <v>CHUBUT</v>
      </c>
      <c r="I184" s="43">
        <v>45992</v>
      </c>
      <c r="J184" t="s">
        <v>76</v>
      </c>
      <c r="K184" t="str">
        <f>IFERROR(+VLOOKUP(Movimientos_2026[[#This Row],[Codigo]],Plan_cuentas[],6,FALSE)," ")</f>
        <v>3 - GM - Chevrolet</v>
      </c>
      <c r="L184" s="50">
        <v>13191259.102499999</v>
      </c>
      <c r="M184" s="52"/>
      <c r="N184" s="20">
        <f>+Movimientos_2026[[#This Row],[Ingresos]]-Movimientos_2026[[#This Row],[Egresos]]</f>
        <v>13191259.102499999</v>
      </c>
      <c r="O184" s="20">
        <f>+O183+Movimientos_2026[[#This Row],[Neto]]</f>
        <v>6028755033.3739414</v>
      </c>
    </row>
    <row r="185" spans="1:15" x14ac:dyDescent="0.25">
      <c r="A185" s="13">
        <v>46034</v>
      </c>
      <c r="B185" s="12">
        <f>MONTH(Movimientos_2026[[#This Row],[Fecha]])</f>
        <v>1</v>
      </c>
      <c r="C185" s="12" t="str">
        <f>VLOOKUP((WEEKDAY(Movimientos_2026[[#This Row],[Fecha]],2)),'5. Setup'!$D$6:$E$12,2,FALSE)</f>
        <v>Lun</v>
      </c>
      <c r="D185">
        <v>1044243</v>
      </c>
      <c r="E185" t="str">
        <f>IFERROR(+VLOOKUP(Movimientos_2026[[#This Row],[Codigo]],Plan_cuentas[],2,FALSE)," ")</f>
        <v>INGRESOS</v>
      </c>
      <c r="F185" t="str">
        <f>IFERROR(+VLOOKUP(Movimientos_2026[[#This Row],[Codigo]],Plan_cuentas[],3,FALSE)," ")</f>
        <v>Transferencia</v>
      </c>
      <c r="G185" t="str">
        <f>IFERROR(+VLOOKUP(Movimientos_2026[[#This Row],[Codigo]],Plan_cuentas[],4,FALSE)," ")</f>
        <v>Rentas</v>
      </c>
      <c r="H185" t="str">
        <f>IFERROR(+VLOOKUP(Movimientos_2026[[#This Row],[Codigo]],Plan_cuentas[],5,FALSE)," ")</f>
        <v>FORMOSA</v>
      </c>
      <c r="I185" s="43">
        <v>45992</v>
      </c>
      <c r="J185" t="s">
        <v>76</v>
      </c>
      <c r="K185" t="str">
        <f>IFERROR(+VLOOKUP(Movimientos_2026[[#This Row],[Codigo]],Plan_cuentas[],6,FALSE)," ")</f>
        <v>3 - GM - Chevrolet</v>
      </c>
      <c r="L185" s="50">
        <v>16339685.845000001</v>
      </c>
      <c r="M185" s="52"/>
      <c r="N185" s="20">
        <f>+Movimientos_2026[[#This Row],[Ingresos]]-Movimientos_2026[[#This Row],[Egresos]]</f>
        <v>16339685.845000001</v>
      </c>
      <c r="O185" s="20">
        <f>+O184+Movimientos_2026[[#This Row],[Neto]]</f>
        <v>6045094719.2189417</v>
      </c>
    </row>
    <row r="186" spans="1:15" x14ac:dyDescent="0.25">
      <c r="A186" s="13">
        <v>46034</v>
      </c>
      <c r="B186" s="12">
        <f>MONTH(Movimientos_2026[[#This Row],[Fecha]])</f>
        <v>1</v>
      </c>
      <c r="C186" s="12" t="str">
        <f>VLOOKUP((WEEKDAY(Movimientos_2026[[#This Row],[Fecha]],2)),'5. Setup'!$D$6:$E$12,2,FALSE)</f>
        <v>Lun</v>
      </c>
      <c r="D186">
        <v>1044263</v>
      </c>
      <c r="E186" t="str">
        <f>IFERROR(+VLOOKUP(Movimientos_2026[[#This Row],[Codigo]],Plan_cuentas[],2,FALSE)," ")</f>
        <v>INGRESOS</v>
      </c>
      <c r="F186" t="str">
        <f>IFERROR(+VLOOKUP(Movimientos_2026[[#This Row],[Codigo]],Plan_cuentas[],3,FALSE)," ")</f>
        <v>Transferencia</v>
      </c>
      <c r="G186" t="str">
        <f>IFERROR(+VLOOKUP(Movimientos_2026[[#This Row],[Codigo]],Plan_cuentas[],4,FALSE)," ")</f>
        <v>Rentas</v>
      </c>
      <c r="H186" t="str">
        <f>IFERROR(+VLOOKUP(Movimientos_2026[[#This Row],[Codigo]],Plan_cuentas[],5,FALSE)," ")</f>
        <v>LA PAMPA</v>
      </c>
      <c r="I186" s="43">
        <v>45992</v>
      </c>
      <c r="J186" t="s">
        <v>76</v>
      </c>
      <c r="K186" t="str">
        <f>IFERROR(+VLOOKUP(Movimientos_2026[[#This Row],[Codigo]],Plan_cuentas[],6,FALSE)," ")</f>
        <v>3 - GM - Chevrolet</v>
      </c>
      <c r="L186" s="50">
        <v>3137336</v>
      </c>
      <c r="M186" s="52"/>
      <c r="N186" s="20">
        <f>+Movimientos_2026[[#This Row],[Ingresos]]-Movimientos_2026[[#This Row],[Egresos]]</f>
        <v>3137336</v>
      </c>
      <c r="O186" s="20">
        <f>+O185+Movimientos_2026[[#This Row],[Neto]]</f>
        <v>6048232055.2189417</v>
      </c>
    </row>
    <row r="187" spans="1:15" x14ac:dyDescent="0.25">
      <c r="A187" s="13">
        <v>46034</v>
      </c>
      <c r="B187" s="12">
        <f>MONTH(Movimientos_2026[[#This Row],[Fecha]])</f>
        <v>1</v>
      </c>
      <c r="C187" s="12" t="str">
        <f>VLOOKUP((WEEKDAY(Movimientos_2026[[#This Row],[Fecha]],2)),'5. Setup'!$D$6:$E$12,2,FALSE)</f>
        <v>Lun</v>
      </c>
      <c r="D187">
        <v>1044463</v>
      </c>
      <c r="E187" t="str">
        <f>IFERROR(+VLOOKUP(Movimientos_2026[[#This Row],[Codigo]],Plan_cuentas[],2,FALSE)," ")</f>
        <v>INGRESOS</v>
      </c>
      <c r="F187" t="str">
        <f>IFERROR(+VLOOKUP(Movimientos_2026[[#This Row],[Codigo]],Plan_cuentas[],3,FALSE)," ")</f>
        <v>Transferencia</v>
      </c>
      <c r="G187" t="str">
        <f>IFERROR(+VLOOKUP(Movimientos_2026[[#This Row],[Codigo]],Plan_cuentas[],4,FALSE)," ")</f>
        <v>Rentas</v>
      </c>
      <c r="H187" t="str">
        <f>IFERROR(+VLOOKUP(Movimientos_2026[[#This Row],[Codigo]],Plan_cuentas[],5,FALSE)," ")</f>
        <v>MISIONES</v>
      </c>
      <c r="I187" s="43">
        <v>45992</v>
      </c>
      <c r="J187" t="s">
        <v>76</v>
      </c>
      <c r="K187" t="str">
        <f>IFERROR(+VLOOKUP(Movimientos_2026[[#This Row],[Codigo]],Plan_cuentas[],6,FALSE)," ")</f>
        <v>3 - GM - Chevrolet</v>
      </c>
      <c r="L187" s="50">
        <v>3872711.8849999998</v>
      </c>
      <c r="M187" s="52"/>
      <c r="N187" s="20">
        <f>+Movimientos_2026[[#This Row],[Ingresos]]-Movimientos_2026[[#This Row],[Egresos]]</f>
        <v>3872711.8849999998</v>
      </c>
      <c r="O187" s="20">
        <f>+O186+Movimientos_2026[[#This Row],[Neto]]</f>
        <v>6052104767.1039419</v>
      </c>
    </row>
    <row r="188" spans="1:15" x14ac:dyDescent="0.25">
      <c r="A188" s="13">
        <v>46034</v>
      </c>
      <c r="B188" s="12">
        <f>MONTH(Movimientos_2026[[#This Row],[Fecha]])</f>
        <v>1</v>
      </c>
      <c r="C188" s="12" t="str">
        <f>VLOOKUP((WEEKDAY(Movimientos_2026[[#This Row],[Fecha]],2)),'5. Setup'!$D$6:$E$12,2,FALSE)</f>
        <v>Lun</v>
      </c>
      <c r="D188">
        <v>1044353</v>
      </c>
      <c r="E188" t="str">
        <f>IFERROR(+VLOOKUP(Movimientos_2026[[#This Row],[Codigo]],Plan_cuentas[],2,FALSE)," ")</f>
        <v>INGRESOS</v>
      </c>
      <c r="F188" t="str">
        <f>IFERROR(+VLOOKUP(Movimientos_2026[[#This Row],[Codigo]],Plan_cuentas[],3,FALSE)," ")</f>
        <v>Transferencia</v>
      </c>
      <c r="G188" t="str">
        <f>IFERROR(+VLOOKUP(Movimientos_2026[[#This Row],[Codigo]],Plan_cuentas[],4,FALSE)," ")</f>
        <v>Rentas</v>
      </c>
      <c r="H188" t="str">
        <f>IFERROR(+VLOOKUP(Movimientos_2026[[#This Row],[Codigo]],Plan_cuentas[],5,FALSE)," ")</f>
        <v>SAN JUAN</v>
      </c>
      <c r="I188" s="43">
        <v>45992</v>
      </c>
      <c r="J188" t="s">
        <v>76</v>
      </c>
      <c r="K188" t="str">
        <f>IFERROR(+VLOOKUP(Movimientos_2026[[#This Row],[Codigo]],Plan_cuentas[],6,FALSE)," ")</f>
        <v>3 - GM - Chevrolet</v>
      </c>
      <c r="L188" s="50">
        <v>8904970.7599999998</v>
      </c>
      <c r="M188" s="52"/>
      <c r="N188" s="20">
        <f>+Movimientos_2026[[#This Row],[Ingresos]]-Movimientos_2026[[#This Row],[Egresos]]</f>
        <v>8904970.7599999998</v>
      </c>
      <c r="O188" s="20">
        <f>+O187+Movimientos_2026[[#This Row],[Neto]]</f>
        <v>6061009737.8639421</v>
      </c>
    </row>
    <row r="189" spans="1:15" x14ac:dyDescent="0.25">
      <c r="A189" s="13">
        <v>46034</v>
      </c>
      <c r="B189" s="12">
        <f>MONTH(Movimientos_2026[[#This Row],[Fecha]])</f>
        <v>1</v>
      </c>
      <c r="C189" s="12" t="str">
        <f>VLOOKUP((WEEKDAY(Movimientos_2026[[#This Row],[Fecha]],2)),'5. Setup'!$D$6:$E$12,2,FALSE)</f>
        <v>Lun</v>
      </c>
      <c r="D189">
        <v>1044363</v>
      </c>
      <c r="E189" t="str">
        <f>IFERROR(+VLOOKUP(Movimientos_2026[[#This Row],[Codigo]],Plan_cuentas[],2,FALSE)," ")</f>
        <v>INGRESOS</v>
      </c>
      <c r="F189" t="str">
        <f>IFERROR(+VLOOKUP(Movimientos_2026[[#This Row],[Codigo]],Plan_cuentas[],3,FALSE)," ")</f>
        <v>Transferencia</v>
      </c>
      <c r="G189" t="str">
        <f>IFERROR(+VLOOKUP(Movimientos_2026[[#This Row],[Codigo]],Plan_cuentas[],4,FALSE)," ")</f>
        <v>Rentas</v>
      </c>
      <c r="H189" t="str">
        <f>IFERROR(+VLOOKUP(Movimientos_2026[[#This Row],[Codigo]],Plan_cuentas[],5,FALSE)," ")</f>
        <v>SAN LUIS</v>
      </c>
      <c r="I189" s="43">
        <v>45992</v>
      </c>
      <c r="J189" t="s">
        <v>76</v>
      </c>
      <c r="K189" t="str">
        <f>IFERROR(+VLOOKUP(Movimientos_2026[[#This Row],[Codigo]],Plan_cuentas[],6,FALSE)," ")</f>
        <v>3 - GM - Chevrolet</v>
      </c>
      <c r="L189" s="50">
        <v>20047679.028000001</v>
      </c>
      <c r="M189" s="52"/>
      <c r="N189" s="20">
        <f>+Movimientos_2026[[#This Row],[Ingresos]]-Movimientos_2026[[#This Row],[Egresos]]</f>
        <v>20047679.028000001</v>
      </c>
      <c r="O189" s="20">
        <f>+O188+Movimientos_2026[[#This Row],[Neto]]</f>
        <v>6081057416.891942</v>
      </c>
    </row>
    <row r="190" spans="1:15" x14ac:dyDescent="0.25">
      <c r="A190" s="13">
        <v>46034</v>
      </c>
      <c r="B190" s="12">
        <f>MONTH(Movimientos_2026[[#This Row],[Fecha]])</f>
        <v>1</v>
      </c>
      <c r="C190" s="12" t="str">
        <f>VLOOKUP((WEEKDAY(Movimientos_2026[[#This Row],[Fecha]],2)),'5. Setup'!$D$6:$E$12,2,FALSE)</f>
        <v>Lun</v>
      </c>
      <c r="D190">
        <v>1044403</v>
      </c>
      <c r="E190" t="str">
        <f>IFERROR(+VLOOKUP(Movimientos_2026[[#This Row],[Codigo]],Plan_cuentas[],2,FALSE)," ")</f>
        <v>INGRESOS</v>
      </c>
      <c r="F190" t="str">
        <f>IFERROR(+VLOOKUP(Movimientos_2026[[#This Row],[Codigo]],Plan_cuentas[],3,FALSE)," ")</f>
        <v>Transferencia</v>
      </c>
      <c r="G190" t="str">
        <f>IFERROR(+VLOOKUP(Movimientos_2026[[#This Row],[Codigo]],Plan_cuentas[],4,FALSE)," ")</f>
        <v>Rentas</v>
      </c>
      <c r="H190" t="str">
        <f>IFERROR(+VLOOKUP(Movimientos_2026[[#This Row],[Codigo]],Plan_cuentas[],5,FALSE)," ")</f>
        <v>SANTIAGO DEL ESTERO</v>
      </c>
      <c r="I190" s="43">
        <v>45992</v>
      </c>
      <c r="J190" t="s">
        <v>76</v>
      </c>
      <c r="K190" t="str">
        <f>IFERROR(+VLOOKUP(Movimientos_2026[[#This Row],[Codigo]],Plan_cuentas[],6,FALSE)," ")</f>
        <v>3 - GM - Chevrolet</v>
      </c>
      <c r="L190" s="50">
        <v>19677002.579999998</v>
      </c>
      <c r="M190" s="52"/>
      <c r="N190" s="20">
        <f>+Movimientos_2026[[#This Row],[Ingresos]]-Movimientos_2026[[#This Row],[Egresos]]</f>
        <v>19677002.579999998</v>
      </c>
      <c r="O190" s="20">
        <f>+O189+Movimientos_2026[[#This Row],[Neto]]</f>
        <v>6100734419.4719419</v>
      </c>
    </row>
    <row r="191" spans="1:15" x14ac:dyDescent="0.25">
      <c r="A191" s="13">
        <v>46034</v>
      </c>
      <c r="B191" s="12">
        <f>MONTH(Movimientos_2026[[#This Row],[Fecha]])</f>
        <v>1</v>
      </c>
      <c r="C191" s="12" t="str">
        <f>VLOOKUP((WEEKDAY(Movimientos_2026[[#This Row],[Fecha]],2)),'5. Setup'!$D$6:$E$12,2,FALSE)</f>
        <v>Lun</v>
      </c>
      <c r="D191">
        <v>1044413</v>
      </c>
      <c r="E191" t="str">
        <f>IFERROR(+VLOOKUP(Movimientos_2026[[#This Row],[Codigo]],Plan_cuentas[],2,FALSE)," ")</f>
        <v>INGRESOS</v>
      </c>
      <c r="F191" t="str">
        <f>IFERROR(+VLOOKUP(Movimientos_2026[[#This Row],[Codigo]],Plan_cuentas[],3,FALSE)," ")</f>
        <v>Transferencia</v>
      </c>
      <c r="G191" t="str">
        <f>IFERROR(+VLOOKUP(Movimientos_2026[[#This Row],[Codigo]],Plan_cuentas[],4,FALSE)," ")</f>
        <v>Rentas</v>
      </c>
      <c r="H191" t="str">
        <f>IFERROR(+VLOOKUP(Movimientos_2026[[#This Row],[Codigo]],Plan_cuentas[],5,FALSE)," ")</f>
        <v>TIERRA DEL FUEGO</v>
      </c>
      <c r="I191" s="43">
        <v>45992</v>
      </c>
      <c r="J191" t="s">
        <v>76</v>
      </c>
      <c r="K191" t="str">
        <f>IFERROR(+VLOOKUP(Movimientos_2026[[#This Row],[Codigo]],Plan_cuentas[],6,FALSE)," ")</f>
        <v>3 - GM - Chevrolet</v>
      </c>
      <c r="L191" s="50">
        <v>7340686.8700000001</v>
      </c>
      <c r="M191" s="52"/>
      <c r="N191" s="20">
        <f>+Movimientos_2026[[#This Row],[Ingresos]]-Movimientos_2026[[#This Row],[Egresos]]</f>
        <v>7340686.8700000001</v>
      </c>
      <c r="O191" s="20">
        <f>+O190+Movimientos_2026[[#This Row],[Neto]]</f>
        <v>6108075106.3419418</v>
      </c>
    </row>
    <row r="192" spans="1:15" x14ac:dyDescent="0.25">
      <c r="A192" s="13">
        <v>46034</v>
      </c>
      <c r="B192" s="12">
        <f>MONTH(Movimientos_2026[[#This Row],[Fecha]])</f>
        <v>1</v>
      </c>
      <c r="C192" s="12" t="str">
        <f>VLOOKUP((WEEKDAY(Movimientos_2026[[#This Row],[Fecha]],2)),'5. Setup'!$D$6:$E$12,2,FALSE)</f>
        <v>Lun</v>
      </c>
      <c r="D192">
        <v>1041133</v>
      </c>
      <c r="E192" t="str">
        <f>IFERROR(+VLOOKUP(Movimientos_2026[[#This Row],[Codigo]],Plan_cuentas[],2,FALSE)," ")</f>
        <v>INGRESOS</v>
      </c>
      <c r="F192" t="str">
        <f>IFERROR(+VLOOKUP(Movimientos_2026[[#This Row],[Codigo]],Plan_cuentas[],3,FALSE)," ")</f>
        <v>Transferencia</v>
      </c>
      <c r="G192" t="str">
        <f>IFERROR(+VLOOKUP(Movimientos_2026[[#This Row],[Codigo]],Plan_cuentas[],4,FALSE)," ")</f>
        <v>Entidades co-participadas</v>
      </c>
      <c r="H192" t="str">
        <f>IFERROR(+VLOOKUP(Movimientos_2026[[#This Row],[Codigo]],Plan_cuentas[],5,FALSE)," ")</f>
        <v>BCLP</v>
      </c>
      <c r="I192" s="43">
        <v>45992</v>
      </c>
      <c r="J192" t="s">
        <v>77</v>
      </c>
      <c r="K192" t="str">
        <f>IFERROR(+VLOOKUP(Movimientos_2026[[#This Row],[Codigo]],Plan_cuentas[],6,FALSE)," ")</f>
        <v>3 - GM - Chevrolet</v>
      </c>
      <c r="L192" s="50">
        <v>22729515.329999998</v>
      </c>
      <c r="M192" s="52"/>
      <c r="N192" s="20">
        <f>+Movimientos_2026[[#This Row],[Ingresos]]-Movimientos_2026[[#This Row],[Egresos]]</f>
        <v>22729515.329999998</v>
      </c>
      <c r="O192" s="20">
        <f>+O191+Movimientos_2026[[#This Row],[Neto]]</f>
        <v>6130804621.6719418</v>
      </c>
    </row>
    <row r="193" spans="1:15" x14ac:dyDescent="0.25">
      <c r="A193" s="13">
        <v>46034</v>
      </c>
      <c r="B193" s="12">
        <f>MONTH(Movimientos_2026[[#This Row],[Fecha]])</f>
        <v>1</v>
      </c>
      <c r="C193" s="12" t="str">
        <f>VLOOKUP((WEEKDAY(Movimientos_2026[[#This Row],[Fecha]],2)),'5. Setup'!$D$6:$E$12,2,FALSE)</f>
        <v>Lun</v>
      </c>
      <c r="D193">
        <v>1041443</v>
      </c>
      <c r="E193" t="str">
        <f>IFERROR(+VLOOKUP(Movimientos_2026[[#This Row],[Codigo]],Plan_cuentas[],2,FALSE)," ")</f>
        <v>INGRESOS</v>
      </c>
      <c r="F193" t="str">
        <f>IFERROR(+VLOOKUP(Movimientos_2026[[#This Row],[Codigo]],Plan_cuentas[],3,FALSE)," ")</f>
        <v>Transferencia</v>
      </c>
      <c r="G193" t="str">
        <f>IFERROR(+VLOOKUP(Movimientos_2026[[#This Row],[Codigo]],Plan_cuentas[],4,FALSE)," ")</f>
        <v>Entidades co-participadas</v>
      </c>
      <c r="H193" t="str">
        <f>IFERROR(+VLOOKUP(Movimientos_2026[[#This Row],[Codigo]],Plan_cuentas[],5,FALSE)," ")</f>
        <v>UISCUMARR</v>
      </c>
      <c r="I193" s="43">
        <v>45992</v>
      </c>
      <c r="J193" t="s">
        <v>77</v>
      </c>
      <c r="K193" t="str">
        <f>IFERROR(+VLOOKUP(Movimientos_2026[[#This Row],[Codigo]],Plan_cuentas[],6,FALSE)," ")</f>
        <v>3 - GM - Chevrolet</v>
      </c>
      <c r="L193" s="50">
        <v>6067024.7699999996</v>
      </c>
      <c r="M193" s="52"/>
      <c r="N193" s="20">
        <f>+Movimientos_2026[[#This Row],[Ingresos]]-Movimientos_2026[[#This Row],[Egresos]]</f>
        <v>6067024.7699999996</v>
      </c>
      <c r="O193" s="20">
        <f>+O192+Movimientos_2026[[#This Row],[Neto]]</f>
        <v>6136871646.4419422</v>
      </c>
    </row>
    <row r="194" spans="1:15" x14ac:dyDescent="0.25">
      <c r="A194" s="13">
        <v>46034</v>
      </c>
      <c r="B194" s="12">
        <f>MONTH(Movimientos_2026[[#This Row],[Fecha]])</f>
        <v>1</v>
      </c>
      <c r="C194" s="12" t="str">
        <f>VLOOKUP((WEEKDAY(Movimientos_2026[[#This Row],[Fecha]],2)),'5. Setup'!$D$6:$E$12,2,FALSE)</f>
        <v>Lun</v>
      </c>
      <c r="D194">
        <v>1042113</v>
      </c>
      <c r="E194" t="str">
        <f>IFERROR(+VLOOKUP(Movimientos_2026[[#This Row],[Codigo]],Plan_cuentas[],2,FALSE)," ")</f>
        <v>INGRESOS</v>
      </c>
      <c r="F194" t="str">
        <f>IFERROR(+VLOOKUP(Movimientos_2026[[#This Row],[Codigo]],Plan_cuentas[],3,FALSE)," ")</f>
        <v>Transferencia</v>
      </c>
      <c r="G194" t="str">
        <f>IFERROR(+VLOOKUP(Movimientos_2026[[#This Row],[Codigo]],Plan_cuentas[],4,FALSE)," ")</f>
        <v>Entidades tercerizadas</v>
      </c>
      <c r="H194" t="str">
        <f>IFERROR(+VLOOKUP(Movimientos_2026[[#This Row],[Codigo]],Plan_cuentas[],5,FALSE)," ")</f>
        <v>APESI</v>
      </c>
      <c r="I194" s="43">
        <v>45992</v>
      </c>
      <c r="J194" t="s">
        <v>77</v>
      </c>
      <c r="K194" t="str">
        <f>IFERROR(+VLOOKUP(Movimientos_2026[[#This Row],[Codigo]],Plan_cuentas[],6,FALSE)," ")</f>
        <v>3 - GM - Chevrolet</v>
      </c>
      <c r="L194" s="50">
        <v>6318577.2720000008</v>
      </c>
      <c r="M194" s="52"/>
      <c r="N194" s="20">
        <f>+Movimientos_2026[[#This Row],[Ingresos]]-Movimientos_2026[[#This Row],[Egresos]]</f>
        <v>6318577.2720000008</v>
      </c>
      <c r="O194" s="20">
        <f>+O193+Movimientos_2026[[#This Row],[Neto]]</f>
        <v>6143190223.7139425</v>
      </c>
    </row>
    <row r="195" spans="1:15" x14ac:dyDescent="0.25">
      <c r="A195" s="13">
        <v>46034</v>
      </c>
      <c r="B195" s="12">
        <f>MONTH(Movimientos_2026[[#This Row],[Fecha]])</f>
        <v>1</v>
      </c>
      <c r="C195" s="12" t="str">
        <f>VLOOKUP((WEEKDAY(Movimientos_2026[[#This Row],[Fecha]],2)),'5. Setup'!$D$6:$E$12,2,FALSE)</f>
        <v>Lun</v>
      </c>
      <c r="D195">
        <v>1042103</v>
      </c>
      <c r="E195" t="str">
        <f>IFERROR(+VLOOKUP(Movimientos_2026[[#This Row],[Codigo]],Plan_cuentas[],2,FALSE)," ")</f>
        <v>INGRESOS</v>
      </c>
      <c r="F195" t="str">
        <f>IFERROR(+VLOOKUP(Movimientos_2026[[#This Row],[Codigo]],Plan_cuentas[],3,FALSE)," ")</f>
        <v>Transferencia</v>
      </c>
      <c r="G195" t="str">
        <f>IFERROR(+VLOOKUP(Movimientos_2026[[#This Row],[Codigo]],Plan_cuentas[],4,FALSE)," ")</f>
        <v>Entidades tercerizadas</v>
      </c>
      <c r="H195" t="str">
        <f>IFERROR(+VLOOKUP(Movimientos_2026[[#This Row],[Codigo]],Plan_cuentas[],5,FALSE)," ")</f>
        <v>AMN</v>
      </c>
      <c r="I195" s="43">
        <v>45992</v>
      </c>
      <c r="J195" t="s">
        <v>77</v>
      </c>
      <c r="K195" t="str">
        <f>IFERROR(+VLOOKUP(Movimientos_2026[[#This Row],[Codigo]],Plan_cuentas[],6,FALSE)," ")</f>
        <v>3 - GM - Chevrolet</v>
      </c>
      <c r="L195" s="50">
        <v>6110636.2380000008</v>
      </c>
      <c r="M195" s="52"/>
      <c r="N195" s="20">
        <f>+Movimientos_2026[[#This Row],[Ingresos]]-Movimientos_2026[[#This Row],[Egresos]]</f>
        <v>6110636.2380000008</v>
      </c>
      <c r="O195" s="20">
        <f>+O194+Movimientos_2026[[#This Row],[Neto]]</f>
        <v>6149300859.9519424</v>
      </c>
    </row>
    <row r="196" spans="1:15" x14ac:dyDescent="0.25">
      <c r="A196" s="13">
        <v>46034</v>
      </c>
      <c r="B196" s="12">
        <f>MONTH(Movimientos_2026[[#This Row],[Fecha]])</f>
        <v>1</v>
      </c>
      <c r="C196" s="12" t="str">
        <f>VLOOKUP((WEEKDAY(Movimientos_2026[[#This Row],[Fecha]],2)),'5. Setup'!$D$6:$E$12,2,FALSE)</f>
        <v>Lun</v>
      </c>
      <c r="D196">
        <v>1043143</v>
      </c>
      <c r="E196" t="str">
        <f>IFERROR(+VLOOKUP(Movimientos_2026[[#This Row],[Codigo]],Plan_cuentas[],2,FALSE)," ")</f>
        <v>INGRESOS</v>
      </c>
      <c r="F196" t="str">
        <f>IFERROR(+VLOOKUP(Movimientos_2026[[#This Row],[Codigo]],Plan_cuentas[],3,FALSE)," ")</f>
        <v>Transferencia</v>
      </c>
      <c r="G196" t="str">
        <f>IFERROR(+VLOOKUP(Movimientos_2026[[#This Row],[Codigo]],Plan_cuentas[],4,FALSE)," ")</f>
        <v>Registración</v>
      </c>
      <c r="H196" t="str">
        <f>IFERROR(+VLOOKUP(Movimientos_2026[[#This Row],[Codigo]],Plan_cuentas[],5,FALSE)," ")</f>
        <v>BUENOS AIRES</v>
      </c>
      <c r="I196" s="43">
        <v>45992</v>
      </c>
      <c r="J196" t="s">
        <v>77</v>
      </c>
      <c r="K196" t="str">
        <f>IFERROR(+VLOOKUP(Movimientos_2026[[#This Row],[Codigo]],Plan_cuentas[],6,FALSE)," ")</f>
        <v>3 - GM - Chevrolet</v>
      </c>
      <c r="L196" s="50">
        <v>260078482.5975</v>
      </c>
      <c r="M196" s="52"/>
      <c r="N196" s="20">
        <f>+Movimientos_2026[[#This Row],[Ingresos]]-Movimientos_2026[[#This Row],[Egresos]]</f>
        <v>260078482.5975</v>
      </c>
      <c r="O196" s="20">
        <f>+O195+Movimientos_2026[[#This Row],[Neto]]</f>
        <v>6409379342.5494423</v>
      </c>
    </row>
    <row r="197" spans="1:15" x14ac:dyDescent="0.25">
      <c r="A197" s="13">
        <v>46034</v>
      </c>
      <c r="B197" s="12">
        <f>MONTH(Movimientos_2026[[#This Row],[Fecha]])</f>
        <v>1</v>
      </c>
      <c r="C197" s="12" t="str">
        <f>VLOOKUP((WEEKDAY(Movimientos_2026[[#This Row],[Fecha]],2)),'5. Setup'!$D$6:$E$12,2,FALSE)</f>
        <v>Lun</v>
      </c>
      <c r="D197">
        <v>1042112</v>
      </c>
      <c r="E197" t="str">
        <f>IFERROR(+VLOOKUP(Movimientos_2026[[#This Row],[Codigo]],Plan_cuentas[],2,FALSE)," ")</f>
        <v>INGRESOS</v>
      </c>
      <c r="F197" t="str">
        <f>IFERROR(+VLOOKUP(Movimientos_2026[[#This Row],[Codigo]],Plan_cuentas[],3,FALSE)," ")</f>
        <v>Transferencia</v>
      </c>
      <c r="G197" t="str">
        <f>IFERROR(+VLOOKUP(Movimientos_2026[[#This Row],[Codigo]],Plan_cuentas[],4,FALSE)," ")</f>
        <v>Entidades tercerizadas</v>
      </c>
      <c r="H197" t="str">
        <f>IFERROR(+VLOOKUP(Movimientos_2026[[#This Row],[Codigo]],Plan_cuentas[],5,FALSE)," ")</f>
        <v>APESI</v>
      </c>
      <c r="I197" s="43">
        <v>45992</v>
      </c>
      <c r="J197" t="s">
        <v>78</v>
      </c>
      <c r="K197" t="str">
        <f>IFERROR(+VLOOKUP(Movimientos_2026[[#This Row],[Codigo]],Plan_cuentas[],6,FALSE)," ")</f>
        <v>2 - PR - Plan Rombo</v>
      </c>
      <c r="L197" s="50">
        <v>31786191.169425</v>
      </c>
      <c r="M197" s="52"/>
      <c r="N197" s="20">
        <f>+Movimientos_2026[[#This Row],[Ingresos]]-Movimientos_2026[[#This Row],[Egresos]]</f>
        <v>31786191.169425</v>
      </c>
      <c r="O197" s="20">
        <f>+O196+Movimientos_2026[[#This Row],[Neto]]</f>
        <v>6441165533.7188673</v>
      </c>
    </row>
    <row r="198" spans="1:15" x14ac:dyDescent="0.25">
      <c r="A198" s="13">
        <v>46034</v>
      </c>
      <c r="B198" s="12">
        <f>MONTH(Movimientos_2026[[#This Row],[Fecha]])</f>
        <v>1</v>
      </c>
      <c r="C198" s="12" t="str">
        <f>VLOOKUP((WEEKDAY(Movimientos_2026[[#This Row],[Fecha]],2)),'5. Setup'!$D$6:$E$12,2,FALSE)</f>
        <v>Lun</v>
      </c>
      <c r="D198">
        <v>1043142</v>
      </c>
      <c r="E198" t="str">
        <f>IFERROR(+VLOOKUP(Movimientos_2026[[#This Row],[Codigo]],Plan_cuentas[],2,FALSE)," ")</f>
        <v>INGRESOS</v>
      </c>
      <c r="F198" t="str">
        <f>IFERROR(+VLOOKUP(Movimientos_2026[[#This Row],[Codigo]],Plan_cuentas[],3,FALSE)," ")</f>
        <v>Transferencia</v>
      </c>
      <c r="G198" t="str">
        <f>IFERROR(+VLOOKUP(Movimientos_2026[[#This Row],[Codigo]],Plan_cuentas[],4,FALSE)," ")</f>
        <v>Registración</v>
      </c>
      <c r="H198" t="str">
        <f>IFERROR(+VLOOKUP(Movimientos_2026[[#This Row],[Codigo]],Plan_cuentas[],5,FALSE)," ")</f>
        <v>BUENOS AIRES</v>
      </c>
      <c r="I198" s="43">
        <v>45992</v>
      </c>
      <c r="J198" t="s">
        <v>78</v>
      </c>
      <c r="K198" t="str">
        <f>IFERROR(+VLOOKUP(Movimientos_2026[[#This Row],[Codigo]],Plan_cuentas[],6,FALSE)," ")</f>
        <v>2 - PR - Plan Rombo</v>
      </c>
      <c r="L198" s="50">
        <v>198479788.12357491</v>
      </c>
      <c r="M198" s="52"/>
      <c r="N198" s="20">
        <f>+Movimientos_2026[[#This Row],[Ingresos]]-Movimientos_2026[[#This Row],[Egresos]]</f>
        <v>198479788.12357491</v>
      </c>
      <c r="O198" s="20">
        <f>+O197+Movimientos_2026[[#This Row],[Neto]]</f>
        <v>6639645321.8424425</v>
      </c>
    </row>
    <row r="199" spans="1:15" x14ac:dyDescent="0.25">
      <c r="A199" s="13">
        <v>46034</v>
      </c>
      <c r="B199" s="12">
        <f>MONTH(Movimientos_2026[[#This Row],[Fecha]])</f>
        <v>1</v>
      </c>
      <c r="C199" s="12" t="str">
        <f>VLOOKUP((WEEKDAY(Movimientos_2026[[#This Row],[Fecha]],2)),'5. Setup'!$D$6:$E$12,2,FALSE)</f>
        <v>Lun</v>
      </c>
      <c r="D199">
        <v>1041442</v>
      </c>
      <c r="E199" t="str">
        <f>IFERROR(+VLOOKUP(Movimientos_2026[[#This Row],[Codigo]],Plan_cuentas[],2,FALSE)," ")</f>
        <v>INGRESOS</v>
      </c>
      <c r="F199" t="str">
        <f>IFERROR(+VLOOKUP(Movimientos_2026[[#This Row],[Codigo]],Plan_cuentas[],3,FALSE)," ")</f>
        <v>Transferencia</v>
      </c>
      <c r="G199" t="str">
        <f>IFERROR(+VLOOKUP(Movimientos_2026[[#This Row],[Codigo]],Plan_cuentas[],4,FALSE)," ")</f>
        <v>Entidades co-participadas</v>
      </c>
      <c r="H199" t="str">
        <f>IFERROR(+VLOOKUP(Movimientos_2026[[#This Row],[Codigo]],Plan_cuentas[],5,FALSE)," ")</f>
        <v>UISCUMARR</v>
      </c>
      <c r="I199" s="43">
        <v>45992</v>
      </c>
      <c r="J199" t="s">
        <v>78</v>
      </c>
      <c r="K199" t="str">
        <f>IFERROR(+VLOOKUP(Movimientos_2026[[#This Row],[Codigo]],Plan_cuentas[],6,FALSE)," ")</f>
        <v>2 - PR - Plan Rombo</v>
      </c>
      <c r="L199" s="50">
        <v>88914093.17773512</v>
      </c>
      <c r="M199" s="52"/>
      <c r="N199" s="20">
        <f>+Movimientos_2026[[#This Row],[Ingresos]]-Movimientos_2026[[#This Row],[Egresos]]</f>
        <v>88914093.17773512</v>
      </c>
      <c r="O199" s="20">
        <f>+O198+Movimientos_2026[[#This Row],[Neto]]</f>
        <v>6728559415.0201778</v>
      </c>
    </row>
    <row r="200" spans="1:15" x14ac:dyDescent="0.25">
      <c r="A200" s="13">
        <v>46034</v>
      </c>
      <c r="B200" s="12">
        <f>MONTH(Movimientos_2026[[#This Row],[Fecha]])</f>
        <v>1</v>
      </c>
      <c r="C200" s="12" t="str">
        <f>VLOOKUP((WEEKDAY(Movimientos_2026[[#This Row],[Fecha]],2)),'5. Setup'!$D$6:$E$12,2,FALSE)</f>
        <v>Lun</v>
      </c>
      <c r="D200">
        <v>1042332</v>
      </c>
      <c r="E200" t="str">
        <f>IFERROR(+VLOOKUP(Movimientos_2026[[#This Row],[Codigo]],Plan_cuentas[],2,FALSE)," ")</f>
        <v>INGRESOS</v>
      </c>
      <c r="F200" t="str">
        <f>IFERROR(+VLOOKUP(Movimientos_2026[[#This Row],[Codigo]],Plan_cuentas[],3,FALSE)," ")</f>
        <v>Transferencia</v>
      </c>
      <c r="G200" t="str">
        <f>IFERROR(+VLOOKUP(Movimientos_2026[[#This Row],[Codigo]],Plan_cuentas[],4,FALSE)," ")</f>
        <v>Entidades tercerizadas</v>
      </c>
      <c r="H200" t="str">
        <f>IFERROR(+VLOOKUP(Movimientos_2026[[#This Row],[Codigo]],Plan_cuentas[],5,FALSE)," ")</f>
        <v>QUILMES</v>
      </c>
      <c r="I200" s="43">
        <v>45992</v>
      </c>
      <c r="J200" t="s">
        <v>78</v>
      </c>
      <c r="K200" t="str">
        <f>IFERROR(+VLOOKUP(Movimientos_2026[[#This Row],[Codigo]],Plan_cuentas[],6,FALSE)," ")</f>
        <v>2 - PR - Plan Rombo</v>
      </c>
      <c r="L200" s="50">
        <v>4498357.5212099999</v>
      </c>
      <c r="M200" s="52"/>
      <c r="N200" s="20">
        <f>+Movimientos_2026[[#This Row],[Ingresos]]-Movimientos_2026[[#This Row],[Egresos]]</f>
        <v>4498357.5212099999</v>
      </c>
      <c r="O200" s="20">
        <f>+O199+Movimientos_2026[[#This Row],[Neto]]</f>
        <v>6733057772.5413876</v>
      </c>
    </row>
    <row r="201" spans="1:15" x14ac:dyDescent="0.25">
      <c r="A201" s="13">
        <v>46034</v>
      </c>
      <c r="B201" s="12">
        <f>MONTH(Movimientos_2026[[#This Row],[Fecha]])</f>
        <v>1</v>
      </c>
      <c r="C201" s="12" t="str">
        <f>VLOOKUP((WEEKDAY(Movimientos_2026[[#This Row],[Fecha]],2)),'5. Setup'!$D$6:$E$12,2,FALSE)</f>
        <v>Lun</v>
      </c>
      <c r="D201">
        <v>1045452</v>
      </c>
      <c r="E201" t="str">
        <f>IFERROR(+VLOOKUP(Movimientos_2026[[#This Row],[Codigo]],Plan_cuentas[],2,FALSE)," ")</f>
        <v>INGRESOS</v>
      </c>
      <c r="F201" t="str">
        <f>IFERROR(+VLOOKUP(Movimientos_2026[[#This Row],[Codigo]],Plan_cuentas[],3,FALSE)," ")</f>
        <v>Transferencia</v>
      </c>
      <c r="G201" t="str">
        <f>IFERROR(+VLOOKUP(Movimientos_2026[[#This Row],[Codigo]],Plan_cuentas[],4,FALSE)," ")</f>
        <v>Factura</v>
      </c>
      <c r="H201" t="str">
        <f>IFERROR(+VLOOKUP(Movimientos_2026[[#This Row],[Codigo]],Plan_cuentas[],5,FALSE)," ")</f>
        <v>FC DERECHOS</v>
      </c>
      <c r="I201" s="43">
        <v>45992</v>
      </c>
      <c r="J201" t="s">
        <v>78</v>
      </c>
      <c r="K201" t="str">
        <f>IFERROR(+VLOOKUP(Movimientos_2026[[#This Row],[Codigo]],Plan_cuentas[],6,FALSE)," ")</f>
        <v>2 - PR - Plan Rombo</v>
      </c>
      <c r="L201" s="50">
        <v>57614760.538566217</v>
      </c>
      <c r="M201" s="52"/>
      <c r="N201" s="20">
        <f>+Movimientos_2026[[#This Row],[Ingresos]]-Movimientos_2026[[#This Row],[Egresos]]</f>
        <v>57614760.538566217</v>
      </c>
      <c r="O201" s="20">
        <f>+O200+Movimientos_2026[[#This Row],[Neto]]</f>
        <v>6790672533.0799541</v>
      </c>
    </row>
    <row r="202" spans="1:15" x14ac:dyDescent="0.25">
      <c r="A202" s="13">
        <v>46034</v>
      </c>
      <c r="B202" s="12">
        <f>MONTH(Movimientos_2026[[#This Row],[Fecha]])</f>
        <v>1</v>
      </c>
      <c r="C202" s="12" t="str">
        <f>VLOOKUP((WEEKDAY(Movimientos_2026[[#This Row],[Fecha]],2)),'5. Setup'!$D$6:$E$12,2,FALSE)</f>
        <v>Lun</v>
      </c>
      <c r="D202">
        <v>1043152</v>
      </c>
      <c r="E202" t="str">
        <f>IFERROR(+VLOOKUP(Movimientos_2026[[#This Row],[Codigo]],Plan_cuentas[],2,FALSE)," ")</f>
        <v>INGRESOS</v>
      </c>
      <c r="F202" t="str">
        <f>IFERROR(+VLOOKUP(Movimientos_2026[[#This Row],[Codigo]],Plan_cuentas[],3,FALSE)," ")</f>
        <v>Transferencia</v>
      </c>
      <c r="G202" t="str">
        <f>IFERROR(+VLOOKUP(Movimientos_2026[[#This Row],[Codigo]],Plan_cuentas[],4,FALSE)," ")</f>
        <v>Registración</v>
      </c>
      <c r="H202" t="str">
        <f>IFERROR(+VLOOKUP(Movimientos_2026[[#This Row],[Codigo]],Plan_cuentas[],5,FALSE)," ")</f>
        <v>CABA</v>
      </c>
      <c r="I202" s="43">
        <v>45992</v>
      </c>
      <c r="J202" t="s">
        <v>78</v>
      </c>
      <c r="K202" t="str">
        <f>IFERROR(+VLOOKUP(Movimientos_2026[[#This Row],[Codigo]],Plan_cuentas[],6,FALSE)," ")</f>
        <v>2 - PR - Plan Rombo</v>
      </c>
      <c r="L202" s="50">
        <v>94797931.480500281</v>
      </c>
      <c r="M202" s="52"/>
      <c r="N202" s="20">
        <f>+Movimientos_2026[[#This Row],[Ingresos]]-Movimientos_2026[[#This Row],[Egresos]]</f>
        <v>94797931.480500281</v>
      </c>
      <c r="O202" s="20">
        <f>+O201+Movimientos_2026[[#This Row],[Neto]]</f>
        <v>6885470464.5604544</v>
      </c>
    </row>
    <row r="203" spans="1:15" x14ac:dyDescent="0.25">
      <c r="A203" s="13">
        <v>46034</v>
      </c>
      <c r="B203" s="12">
        <f>MONTH(Movimientos_2026[[#This Row],[Fecha]])</f>
        <v>1</v>
      </c>
      <c r="C203" s="12" t="str">
        <f>VLOOKUP((WEEKDAY(Movimientos_2026[[#This Row],[Fecha]],2)),'5. Setup'!$D$6:$E$12,2,FALSE)</f>
        <v>Lun</v>
      </c>
      <c r="D203">
        <v>1043222</v>
      </c>
      <c r="E203" t="str">
        <f>IFERROR(+VLOOKUP(Movimientos_2026[[#This Row],[Codigo]],Plan_cuentas[],2,FALSE)," ")</f>
        <v>INGRESOS</v>
      </c>
      <c r="F203" t="str">
        <f>IFERROR(+VLOOKUP(Movimientos_2026[[#This Row],[Codigo]],Plan_cuentas[],3,FALSE)," ")</f>
        <v>Transferencia</v>
      </c>
      <c r="G203" t="str">
        <f>IFERROR(+VLOOKUP(Movimientos_2026[[#This Row],[Codigo]],Plan_cuentas[],4,FALSE)," ")</f>
        <v>Registración</v>
      </c>
      <c r="H203" t="str">
        <f>IFERROR(+VLOOKUP(Movimientos_2026[[#This Row],[Codigo]],Plan_cuentas[],5,FALSE)," ")</f>
        <v>ENTRE RIOS 1° Q</v>
      </c>
      <c r="I203" s="43">
        <v>45992</v>
      </c>
      <c r="J203" t="s">
        <v>78</v>
      </c>
      <c r="K203" t="str">
        <f>IFERROR(+VLOOKUP(Movimientos_2026[[#This Row],[Codigo]],Plan_cuentas[],6,FALSE)," ")</f>
        <v>2 - PR - Plan Rombo</v>
      </c>
      <c r="L203" s="50">
        <v>16349998.52930001</v>
      </c>
      <c r="M203" s="52"/>
      <c r="N203" s="20">
        <f>+Movimientos_2026[[#This Row],[Ingresos]]-Movimientos_2026[[#This Row],[Egresos]]</f>
        <v>16349998.52930001</v>
      </c>
      <c r="O203" s="20">
        <f>+O202+Movimientos_2026[[#This Row],[Neto]]</f>
        <v>6901820463.0897541</v>
      </c>
    </row>
    <row r="204" spans="1:15" x14ac:dyDescent="0.25">
      <c r="A204" s="13">
        <v>46034</v>
      </c>
      <c r="B204" s="12">
        <f>MONTH(Movimientos_2026[[#This Row],[Fecha]])</f>
        <v>1</v>
      </c>
      <c r="C204" s="12" t="str">
        <f>VLOOKUP((WEEKDAY(Movimientos_2026[[#This Row],[Fecha]],2)),'5. Setup'!$D$6:$E$12,2,FALSE)</f>
        <v>Lun</v>
      </c>
      <c r="D204">
        <v>1043242</v>
      </c>
      <c r="E204" t="str">
        <f>IFERROR(+VLOOKUP(Movimientos_2026[[#This Row],[Codigo]],Plan_cuentas[],2,FALSE)," ")</f>
        <v>INGRESOS</v>
      </c>
      <c r="F204" t="str">
        <f>IFERROR(+VLOOKUP(Movimientos_2026[[#This Row],[Codigo]],Plan_cuentas[],3,FALSE)," ")</f>
        <v>Transferencia</v>
      </c>
      <c r="G204" t="str">
        <f>IFERROR(+VLOOKUP(Movimientos_2026[[#This Row],[Codigo]],Plan_cuentas[],4,FALSE)," ")</f>
        <v>Registración</v>
      </c>
      <c r="H204" t="str">
        <f>IFERROR(+VLOOKUP(Movimientos_2026[[#This Row],[Codigo]],Plan_cuentas[],5,FALSE)," ")</f>
        <v>FORMOSA</v>
      </c>
      <c r="I204" s="43">
        <v>45992</v>
      </c>
      <c r="J204" t="s">
        <v>78</v>
      </c>
      <c r="K204" t="str">
        <f>IFERROR(+VLOOKUP(Movimientos_2026[[#This Row],[Codigo]],Plan_cuentas[],6,FALSE)," ")</f>
        <v>2 - PR - Plan Rombo</v>
      </c>
      <c r="L204" s="50">
        <v>3359133.0331000001</v>
      </c>
      <c r="M204" s="52"/>
      <c r="N204" s="20">
        <f>+Movimientos_2026[[#This Row],[Ingresos]]-Movimientos_2026[[#This Row],[Egresos]]</f>
        <v>3359133.0331000001</v>
      </c>
      <c r="O204" s="20">
        <f>+O203+Movimientos_2026[[#This Row],[Neto]]</f>
        <v>6905179596.1228542</v>
      </c>
    </row>
    <row r="205" spans="1:15" x14ac:dyDescent="0.25">
      <c r="A205" s="13">
        <v>46034</v>
      </c>
      <c r="B205" s="12">
        <f>MONTH(Movimientos_2026[[#This Row],[Fecha]])</f>
        <v>1</v>
      </c>
      <c r="C205" s="12" t="str">
        <f>VLOOKUP((WEEKDAY(Movimientos_2026[[#This Row],[Fecha]],2)),'5. Setup'!$D$6:$E$12,2,FALSE)</f>
        <v>Lun</v>
      </c>
      <c r="D205">
        <v>1043382</v>
      </c>
      <c r="E205" t="str">
        <f>IFERROR(+VLOOKUP(Movimientos_2026[[#This Row],[Codigo]],Plan_cuentas[],2,FALSE)," ")</f>
        <v>INGRESOS</v>
      </c>
      <c r="F205" t="str">
        <f>IFERROR(+VLOOKUP(Movimientos_2026[[#This Row],[Codigo]],Plan_cuentas[],3,FALSE)," ")</f>
        <v>Transferencia</v>
      </c>
      <c r="G205" t="str">
        <f>IFERROR(+VLOOKUP(Movimientos_2026[[#This Row],[Codigo]],Plan_cuentas[],4,FALSE)," ")</f>
        <v>Registración</v>
      </c>
      <c r="H205" t="str">
        <f>IFERROR(+VLOOKUP(Movimientos_2026[[#This Row],[Codigo]],Plan_cuentas[],5,FALSE)," ")</f>
        <v>SANTA FE 1° Q</v>
      </c>
      <c r="I205" s="43">
        <v>45992</v>
      </c>
      <c r="J205" t="s">
        <v>78</v>
      </c>
      <c r="K205" t="str">
        <f>IFERROR(+VLOOKUP(Movimientos_2026[[#This Row],[Codigo]],Plan_cuentas[],6,FALSE)," ")</f>
        <v>2 - PR - Plan Rombo</v>
      </c>
      <c r="L205" s="50">
        <v>50445472.812000059</v>
      </c>
      <c r="M205" s="52"/>
      <c r="N205" s="20">
        <f>+Movimientos_2026[[#This Row],[Ingresos]]-Movimientos_2026[[#This Row],[Egresos]]</f>
        <v>50445472.812000059</v>
      </c>
      <c r="O205" s="20">
        <f>+O204+Movimientos_2026[[#This Row],[Neto]]</f>
        <v>6955625068.9348545</v>
      </c>
    </row>
    <row r="206" spans="1:15" x14ac:dyDescent="0.25">
      <c r="A206" s="13">
        <v>46034</v>
      </c>
      <c r="B206" s="12">
        <f>MONTH(Movimientos_2026[[#This Row],[Fecha]])</f>
        <v>1</v>
      </c>
      <c r="C206" s="12" t="str">
        <f>VLOOKUP((WEEKDAY(Movimientos_2026[[#This Row],[Fecha]],2)),'5. Setup'!$D$6:$E$12,2,FALSE)</f>
        <v>Lun</v>
      </c>
      <c r="D206">
        <v>1043172</v>
      </c>
      <c r="E206" t="str">
        <f>IFERROR(+VLOOKUP(Movimientos_2026[[#This Row],[Codigo]],Plan_cuentas[],2,FALSE)," ")</f>
        <v>INGRESOS</v>
      </c>
      <c r="F206" t="str">
        <f>IFERROR(+VLOOKUP(Movimientos_2026[[#This Row],[Codigo]],Plan_cuentas[],3,FALSE)," ")</f>
        <v>Transferencia</v>
      </c>
      <c r="G206" t="str">
        <f>IFERROR(+VLOOKUP(Movimientos_2026[[#This Row],[Codigo]],Plan_cuentas[],4,FALSE)," ")</f>
        <v>Registración</v>
      </c>
      <c r="H206" t="str">
        <f>IFERROR(+VLOOKUP(Movimientos_2026[[#This Row],[Codigo]],Plan_cuentas[],5,FALSE)," ")</f>
        <v>CHUBUT</v>
      </c>
      <c r="I206" s="43">
        <v>45992</v>
      </c>
      <c r="J206" t="s">
        <v>78</v>
      </c>
      <c r="K206" t="str">
        <f>IFERROR(+VLOOKUP(Movimientos_2026[[#This Row],[Codigo]],Plan_cuentas[],6,FALSE)," ")</f>
        <v>2 - PR - Plan Rombo</v>
      </c>
      <c r="L206" s="50">
        <v>11060719.3989</v>
      </c>
      <c r="M206" s="52"/>
      <c r="N206" s="20">
        <f>+Movimientos_2026[[#This Row],[Ingresos]]-Movimientos_2026[[#This Row],[Egresos]]</f>
        <v>11060719.3989</v>
      </c>
      <c r="O206" s="20">
        <f>+O205+Movimientos_2026[[#This Row],[Neto]]</f>
        <v>6966685788.3337545</v>
      </c>
    </row>
    <row r="207" spans="1:15" x14ac:dyDescent="0.25">
      <c r="A207" s="13">
        <v>46035</v>
      </c>
      <c r="B207" s="12">
        <f>MONTH(Movimientos_2026[[#This Row],[Fecha]])</f>
        <v>1</v>
      </c>
      <c r="C207" s="12" t="str">
        <f>VLOOKUP((WEEKDAY(Movimientos_2026[[#This Row],[Fecha]],2)),'5. Setup'!$D$6:$E$12,2,FALSE)</f>
        <v>Mar</v>
      </c>
      <c r="D207">
        <v>2014361</v>
      </c>
      <c r="E207" t="str">
        <f>IFERROR(+VLOOKUP(Movimientos_2026[[#This Row],[Codigo]],Plan_cuentas[],2,FALSE)," ")</f>
        <v>EGRESOS</v>
      </c>
      <c r="F207" t="str">
        <f>IFERROR(+VLOOKUP(Movimientos_2026[[#This Row],[Codigo]],Plan_cuentas[],3,FALSE)," ")</f>
        <v>BtoB</v>
      </c>
      <c r="G207" t="str">
        <f>IFERROR(+VLOOKUP(Movimientos_2026[[#This Row],[Codigo]],Plan_cuentas[],4,FALSE)," ")</f>
        <v>Rentas</v>
      </c>
      <c r="H207" t="str">
        <f>IFERROR(+VLOOKUP(Movimientos_2026[[#This Row],[Codigo]],Plan_cuentas[],5,FALSE)," ")</f>
        <v>SAN LUIS</v>
      </c>
      <c r="I207" s="43">
        <v>45992</v>
      </c>
      <c r="J207" t="s">
        <v>79</v>
      </c>
      <c r="K207" t="str">
        <f>IFERROR(+VLOOKUP(Movimientos_2026[[#This Row],[Codigo]],Plan_cuentas[],6,FALSE)," ")</f>
        <v>1 - VW - Volkswagen</v>
      </c>
      <c r="L207" s="51"/>
      <c r="M207" s="52">
        <v>11308883.316</v>
      </c>
      <c r="N207" s="20">
        <f>+Movimientos_2026[[#This Row],[Ingresos]]-Movimientos_2026[[#This Row],[Egresos]]</f>
        <v>-11308883.316</v>
      </c>
      <c r="O207" s="20">
        <f>+O206+Movimientos_2026[[#This Row],[Neto]]</f>
        <v>6955376905.0177546</v>
      </c>
    </row>
    <row r="208" spans="1:15" x14ac:dyDescent="0.25">
      <c r="A208" s="13">
        <v>46035</v>
      </c>
      <c r="B208" s="12">
        <f>MONTH(Movimientos_2026[[#This Row],[Fecha]])</f>
        <v>1</v>
      </c>
      <c r="C208" s="12" t="str">
        <f>VLOOKUP((WEEKDAY(Movimientos_2026[[#This Row],[Fecha]],2)),'5. Setup'!$D$6:$E$12,2,FALSE)</f>
        <v>Mar</v>
      </c>
      <c r="D208">
        <v>2014362</v>
      </c>
      <c r="E208" t="str">
        <f>IFERROR(+VLOOKUP(Movimientos_2026[[#This Row],[Codigo]],Plan_cuentas[],2,FALSE)," ")</f>
        <v>EGRESOS</v>
      </c>
      <c r="F208" t="str">
        <f>IFERROR(+VLOOKUP(Movimientos_2026[[#This Row],[Codigo]],Plan_cuentas[],3,FALSE)," ")</f>
        <v>BtoB</v>
      </c>
      <c r="G208" t="str">
        <f>IFERROR(+VLOOKUP(Movimientos_2026[[#This Row],[Codigo]],Plan_cuentas[],4,FALSE)," ")</f>
        <v>Rentas</v>
      </c>
      <c r="H208" t="str">
        <f>IFERROR(+VLOOKUP(Movimientos_2026[[#This Row],[Codigo]],Plan_cuentas[],5,FALSE)," ")</f>
        <v>SAN LUIS</v>
      </c>
      <c r="I208" s="43">
        <v>45992</v>
      </c>
      <c r="J208" t="s">
        <v>80</v>
      </c>
      <c r="K208" t="str">
        <f>IFERROR(+VLOOKUP(Movimientos_2026[[#This Row],[Codigo]],Plan_cuentas[],6,FALSE)," ")</f>
        <v>2 - PR - Plan Rombo</v>
      </c>
      <c r="L208" s="50"/>
      <c r="M208" s="50">
        <v>1631574.61</v>
      </c>
      <c r="N208" s="20">
        <f>+Movimientos_2026[[#This Row],[Ingresos]]-Movimientos_2026[[#This Row],[Egresos]]</f>
        <v>-1631574.61</v>
      </c>
      <c r="O208" s="20">
        <f>+O207+Movimientos_2026[[#This Row],[Neto]]</f>
        <v>6953745330.4077549</v>
      </c>
    </row>
    <row r="209" spans="1:15" x14ac:dyDescent="0.25">
      <c r="A209" s="13">
        <v>46035</v>
      </c>
      <c r="B209" s="12">
        <f>MONTH(Movimientos_2026[[#This Row],[Fecha]])</f>
        <v>1</v>
      </c>
      <c r="C209" s="12" t="str">
        <f>VLOOKUP((WEEKDAY(Movimientos_2026[[#This Row],[Fecha]],2)),'5. Setup'!$D$6:$E$12,2,FALSE)</f>
        <v>Mar</v>
      </c>
      <c r="D209">
        <v>2014363</v>
      </c>
      <c r="E209" t="str">
        <f>IFERROR(+VLOOKUP(Movimientos_2026[[#This Row],[Codigo]],Plan_cuentas[],2,FALSE)," ")</f>
        <v>EGRESOS</v>
      </c>
      <c r="F209" t="str">
        <f>IFERROR(+VLOOKUP(Movimientos_2026[[#This Row],[Codigo]],Plan_cuentas[],3,FALSE)," ")</f>
        <v>BtoB</v>
      </c>
      <c r="G209" t="str">
        <f>IFERROR(+VLOOKUP(Movimientos_2026[[#This Row],[Codigo]],Plan_cuentas[],4,FALSE)," ")</f>
        <v>Rentas</v>
      </c>
      <c r="H209" t="str">
        <f>IFERROR(+VLOOKUP(Movimientos_2026[[#This Row],[Codigo]],Plan_cuentas[],5,FALSE)," ")</f>
        <v>SAN LUIS</v>
      </c>
      <c r="I209" s="43">
        <v>45992</v>
      </c>
      <c r="J209" t="s">
        <v>81</v>
      </c>
      <c r="K209" t="str">
        <f>IFERROR(+VLOOKUP(Movimientos_2026[[#This Row],[Codigo]],Plan_cuentas[],6,FALSE)," ")</f>
        <v>3 - GM - Chevrolet</v>
      </c>
      <c r="L209" s="50"/>
      <c r="M209" s="52">
        <v>20047679.030000001</v>
      </c>
      <c r="N209" s="20">
        <f>+Movimientos_2026[[#This Row],[Ingresos]]-Movimientos_2026[[#This Row],[Egresos]]</f>
        <v>-20047679.030000001</v>
      </c>
      <c r="O209" s="20">
        <f>+O208+Movimientos_2026[[#This Row],[Neto]]</f>
        <v>6933697651.3777552</v>
      </c>
    </row>
    <row r="210" spans="1:15" x14ac:dyDescent="0.25">
      <c r="A210" s="13">
        <v>46035</v>
      </c>
      <c r="B210" s="12">
        <f>MONTH(Movimientos_2026[[#This Row],[Fecha]])</f>
        <v>1</v>
      </c>
      <c r="C210" s="12" t="str">
        <f>VLOOKUP((WEEKDAY(Movimientos_2026[[#This Row],[Fecha]],2)),'5. Setup'!$D$6:$E$12,2,FALSE)</f>
        <v>Mar</v>
      </c>
      <c r="D210">
        <v>2014364</v>
      </c>
      <c r="E210" t="str">
        <f>IFERROR(+VLOOKUP(Movimientos_2026[[#This Row],[Codigo]],Plan_cuentas[],2,FALSE)," ")</f>
        <v>EGRESOS</v>
      </c>
      <c r="F210" t="str">
        <f>IFERROR(+VLOOKUP(Movimientos_2026[[#This Row],[Codigo]],Plan_cuentas[],3,FALSE)," ")</f>
        <v>BtoB</v>
      </c>
      <c r="G210" t="str">
        <f>IFERROR(+VLOOKUP(Movimientos_2026[[#This Row],[Codigo]],Plan_cuentas[],4,FALSE)," ")</f>
        <v>Rentas</v>
      </c>
      <c r="H210" t="str">
        <f>IFERROR(+VLOOKUP(Movimientos_2026[[#This Row],[Codigo]],Plan_cuentas[],5,FALSE)," ")</f>
        <v>SAN LUIS</v>
      </c>
      <c r="I210" s="43">
        <v>45992</v>
      </c>
      <c r="J210" t="s">
        <v>82</v>
      </c>
      <c r="K210" t="str">
        <f>IFERROR(+VLOOKUP(Movimientos_2026[[#This Row],[Codigo]],Plan_cuentas[],6,FALSE)," ")</f>
        <v>4 - FCA - Fiat</v>
      </c>
      <c r="L210" s="50"/>
      <c r="M210" s="52">
        <v>23177835.210000001</v>
      </c>
      <c r="N210" s="20">
        <f>+Movimientos_2026[[#This Row],[Ingresos]]-Movimientos_2026[[#This Row],[Egresos]]</f>
        <v>-23177835.210000001</v>
      </c>
      <c r="O210" s="20">
        <f>+O209+Movimientos_2026[[#This Row],[Neto]]</f>
        <v>6910519816.1677551</v>
      </c>
    </row>
    <row r="211" spans="1:15" x14ac:dyDescent="0.25">
      <c r="A211" s="13">
        <v>46035</v>
      </c>
      <c r="B211" s="12">
        <f>MONTH(Movimientos_2026[[#This Row],[Fecha]])</f>
        <v>1</v>
      </c>
      <c r="C211" s="12" t="str">
        <f>VLOOKUP((WEEKDAY(Movimientos_2026[[#This Row],[Fecha]],2)),'5. Setup'!$D$6:$E$12,2,FALSE)</f>
        <v>Mar</v>
      </c>
      <c r="D211">
        <v>2044342</v>
      </c>
      <c r="E211" t="str">
        <f>IFERROR(+VLOOKUP(Movimientos_2026[[#This Row],[Codigo]],Plan_cuentas[],2,FALSE)," ")</f>
        <v>EGRESOS</v>
      </c>
      <c r="F211" t="str">
        <f>IFERROR(+VLOOKUP(Movimientos_2026[[#This Row],[Codigo]],Plan_cuentas[],3,FALSE)," ")</f>
        <v>Transferencia</v>
      </c>
      <c r="G211" t="str">
        <f>IFERROR(+VLOOKUP(Movimientos_2026[[#This Row],[Codigo]],Plan_cuentas[],4,FALSE)," ")</f>
        <v>Rentas</v>
      </c>
      <c r="H211" t="str">
        <f>IFERROR(+VLOOKUP(Movimientos_2026[[#This Row],[Codigo]],Plan_cuentas[],5,FALSE)," ")</f>
        <v>RIO NEGRO</v>
      </c>
      <c r="I211" s="43">
        <v>45992</v>
      </c>
      <c r="J211" t="s">
        <v>83</v>
      </c>
      <c r="K211" t="str">
        <f>IFERROR(+VLOOKUP(Movimientos_2026[[#This Row],[Codigo]],Plan_cuentas[],6,FALSE)," ")</f>
        <v>2 - PR - Plan Rombo</v>
      </c>
      <c r="L211" s="50"/>
      <c r="M211" s="52">
        <v>17071055.627599999</v>
      </c>
      <c r="N211" s="20">
        <f>+Movimientos_2026[[#This Row],[Ingresos]]-Movimientos_2026[[#This Row],[Egresos]]</f>
        <v>-17071055.627599999</v>
      </c>
      <c r="O211" s="20">
        <f>+O210+Movimientos_2026[[#This Row],[Neto]]</f>
        <v>6893448760.5401554</v>
      </c>
    </row>
    <row r="212" spans="1:15" x14ac:dyDescent="0.25">
      <c r="A212" s="13">
        <v>46035</v>
      </c>
      <c r="B212" s="12">
        <f>MONTH(Movimientos_2026[[#This Row],[Fecha]])</f>
        <v>1</v>
      </c>
      <c r="C212" s="12" t="str">
        <f>VLOOKUP((WEEKDAY(Movimientos_2026[[#This Row],[Fecha]],2)),'5. Setup'!$D$6:$E$12,2,FALSE)</f>
        <v>Mar</v>
      </c>
      <c r="D212">
        <v>2044344</v>
      </c>
      <c r="E212" t="str">
        <f>IFERROR(+VLOOKUP(Movimientos_2026[[#This Row],[Codigo]],Plan_cuentas[],2,FALSE)," ")</f>
        <v>EGRESOS</v>
      </c>
      <c r="F212" t="str">
        <f>IFERROR(+VLOOKUP(Movimientos_2026[[#This Row],[Codigo]],Plan_cuentas[],3,FALSE)," ")</f>
        <v>Transferencia</v>
      </c>
      <c r="G212" t="str">
        <f>IFERROR(+VLOOKUP(Movimientos_2026[[#This Row],[Codigo]],Plan_cuentas[],4,FALSE)," ")</f>
        <v>Rentas</v>
      </c>
      <c r="H212" t="str">
        <f>IFERROR(+VLOOKUP(Movimientos_2026[[#This Row],[Codigo]],Plan_cuentas[],5,FALSE)," ")</f>
        <v>RIO NEGRO</v>
      </c>
      <c r="I212" s="43">
        <v>45992</v>
      </c>
      <c r="J212" t="s">
        <v>84</v>
      </c>
      <c r="K212" t="str">
        <f>IFERROR(+VLOOKUP(Movimientos_2026[[#This Row],[Codigo]],Plan_cuentas[],6,FALSE)," ")</f>
        <v>4 - FCA - Fiat</v>
      </c>
      <c r="L212" s="50"/>
      <c r="M212" s="52">
        <v>5033918</v>
      </c>
      <c r="N212" s="20">
        <f>+Movimientos_2026[[#This Row],[Ingresos]]-Movimientos_2026[[#This Row],[Egresos]]</f>
        <v>-5033918</v>
      </c>
      <c r="O212" s="20">
        <f>+O211+Movimientos_2026[[#This Row],[Neto]]</f>
        <v>6888414842.5401554</v>
      </c>
    </row>
    <row r="213" spans="1:15" x14ac:dyDescent="0.25">
      <c r="A213" s="13">
        <v>46035</v>
      </c>
      <c r="B213" s="12">
        <f>MONTH(Movimientos_2026[[#This Row],[Fecha]])</f>
        <v>1</v>
      </c>
      <c r="C213" s="12" t="str">
        <f>VLOOKUP((WEEKDAY(Movimientos_2026[[#This Row],[Fecha]],2)),'5. Setup'!$D$6:$E$12,2,FALSE)</f>
        <v>Mar</v>
      </c>
      <c r="D213">
        <v>2014171</v>
      </c>
      <c r="E213" t="str">
        <f>IFERROR(+VLOOKUP(Movimientos_2026[[#This Row],[Codigo]],Plan_cuentas[],2,FALSE)," ")</f>
        <v>EGRESOS</v>
      </c>
      <c r="F213" t="str">
        <f>IFERROR(+VLOOKUP(Movimientos_2026[[#This Row],[Codigo]],Plan_cuentas[],3,FALSE)," ")</f>
        <v>BtoB</v>
      </c>
      <c r="G213" t="str">
        <f>IFERROR(+VLOOKUP(Movimientos_2026[[#This Row],[Codigo]],Plan_cuentas[],4,FALSE)," ")</f>
        <v>Rentas</v>
      </c>
      <c r="H213" t="str">
        <f>IFERROR(+VLOOKUP(Movimientos_2026[[#This Row],[Codigo]],Plan_cuentas[],5,FALSE)," ")</f>
        <v>CHUBUT</v>
      </c>
      <c r="I213" s="43">
        <v>45992</v>
      </c>
      <c r="J213" t="s">
        <v>85</v>
      </c>
      <c r="K213" t="str">
        <f>IFERROR(+VLOOKUP(Movimientos_2026[[#This Row],[Codigo]],Plan_cuentas[],6,FALSE)," ")</f>
        <v>1 - VW - Volkswagen</v>
      </c>
      <c r="L213" s="50"/>
      <c r="M213" s="52">
        <v>12406305.449999999</v>
      </c>
      <c r="N213" s="20">
        <f>+Movimientos_2026[[#This Row],[Ingresos]]-Movimientos_2026[[#This Row],[Egresos]]</f>
        <v>-12406305.449999999</v>
      </c>
      <c r="O213" s="20">
        <f>+O212+Movimientos_2026[[#This Row],[Neto]]</f>
        <v>6876008537.0901556</v>
      </c>
    </row>
    <row r="214" spans="1:15" x14ac:dyDescent="0.25">
      <c r="A214" s="13">
        <v>46035</v>
      </c>
      <c r="B214" s="12">
        <f>MONTH(Movimientos_2026[[#This Row],[Fecha]])</f>
        <v>1</v>
      </c>
      <c r="C214" s="12" t="str">
        <f>VLOOKUP((WEEKDAY(Movimientos_2026[[#This Row],[Fecha]],2)),'5. Setup'!$D$6:$E$12,2,FALSE)</f>
        <v>Mar</v>
      </c>
      <c r="D214">
        <v>2014173</v>
      </c>
      <c r="E214" t="str">
        <f>IFERROR(+VLOOKUP(Movimientos_2026[[#This Row],[Codigo]],Plan_cuentas[],2,FALSE)," ")</f>
        <v>EGRESOS</v>
      </c>
      <c r="F214" t="str">
        <f>IFERROR(+VLOOKUP(Movimientos_2026[[#This Row],[Codigo]],Plan_cuentas[],3,FALSE)," ")</f>
        <v>BtoB</v>
      </c>
      <c r="G214" t="str">
        <f>IFERROR(+VLOOKUP(Movimientos_2026[[#This Row],[Codigo]],Plan_cuentas[],4,FALSE)," ")</f>
        <v>Rentas</v>
      </c>
      <c r="H214" t="str">
        <f>IFERROR(+VLOOKUP(Movimientos_2026[[#This Row],[Codigo]],Plan_cuentas[],5,FALSE)," ")</f>
        <v>CHUBUT</v>
      </c>
      <c r="I214" s="43">
        <v>45992</v>
      </c>
      <c r="J214" t="s">
        <v>86</v>
      </c>
      <c r="K214" t="str">
        <f>IFERROR(+VLOOKUP(Movimientos_2026[[#This Row],[Codigo]],Plan_cuentas[],6,FALSE)," ")</f>
        <v>3 - GM - Chevrolet</v>
      </c>
      <c r="L214" s="50"/>
      <c r="M214" s="52">
        <v>13191259.1</v>
      </c>
      <c r="N214" s="20">
        <f>+Movimientos_2026[[#This Row],[Ingresos]]-Movimientos_2026[[#This Row],[Egresos]]</f>
        <v>-13191259.1</v>
      </c>
      <c r="O214" s="20">
        <f>+O213+Movimientos_2026[[#This Row],[Neto]]</f>
        <v>6862817277.9901552</v>
      </c>
    </row>
    <row r="215" spans="1:15" x14ac:dyDescent="0.25">
      <c r="A215" s="13">
        <v>46035</v>
      </c>
      <c r="B215" s="12">
        <f>MONTH(Movimientos_2026[[#This Row],[Fecha]])</f>
        <v>1</v>
      </c>
      <c r="C215" s="12" t="str">
        <f>VLOOKUP((WEEKDAY(Movimientos_2026[[#This Row],[Fecha]],2)),'5. Setup'!$D$6:$E$12,2,FALSE)</f>
        <v>Mar</v>
      </c>
      <c r="D215">
        <v>2014174</v>
      </c>
      <c r="E215" t="str">
        <f>IFERROR(+VLOOKUP(Movimientos_2026[[#This Row],[Codigo]],Plan_cuentas[],2,FALSE)," ")</f>
        <v>EGRESOS</v>
      </c>
      <c r="F215" t="str">
        <f>IFERROR(+VLOOKUP(Movimientos_2026[[#This Row],[Codigo]],Plan_cuentas[],3,FALSE)," ")</f>
        <v>BtoB</v>
      </c>
      <c r="G215" t="str">
        <f>IFERROR(+VLOOKUP(Movimientos_2026[[#This Row],[Codigo]],Plan_cuentas[],4,FALSE)," ")</f>
        <v>Rentas</v>
      </c>
      <c r="H215" t="str">
        <f>IFERROR(+VLOOKUP(Movimientos_2026[[#This Row],[Codigo]],Plan_cuentas[],5,FALSE)," ")</f>
        <v>CHUBUT</v>
      </c>
      <c r="I215" s="43">
        <v>45992</v>
      </c>
      <c r="J215" t="s">
        <v>87</v>
      </c>
      <c r="K215" t="str">
        <f>IFERROR(+VLOOKUP(Movimientos_2026[[#This Row],[Codigo]],Plan_cuentas[],6,FALSE)," ")</f>
        <v>4 - FCA - Fiat</v>
      </c>
      <c r="L215" s="50"/>
      <c r="M215" s="52">
        <v>16337500.75</v>
      </c>
      <c r="N215" s="20">
        <f>+Movimientos_2026[[#This Row],[Ingresos]]-Movimientos_2026[[#This Row],[Egresos]]</f>
        <v>-16337500.75</v>
      </c>
      <c r="O215" s="20">
        <f>+O214+Movimientos_2026[[#This Row],[Neto]]</f>
        <v>6846479777.2401552</v>
      </c>
    </row>
    <row r="216" spans="1:15" x14ac:dyDescent="0.25">
      <c r="A216" s="13">
        <v>46035</v>
      </c>
      <c r="B216" s="12">
        <f>MONTH(Movimientos_2026[[#This Row],[Fecha]])</f>
        <v>1</v>
      </c>
      <c r="C216" s="12" t="str">
        <f>VLOOKUP((WEEKDAY(Movimientos_2026[[#This Row],[Fecha]],2)),'5. Setup'!$D$6:$E$12,2,FALSE)</f>
        <v>Mar</v>
      </c>
      <c r="D216">
        <v>2014161</v>
      </c>
      <c r="E216" t="str">
        <f>IFERROR(+VLOOKUP(Movimientos_2026[[#This Row],[Codigo]],Plan_cuentas[],2,FALSE)," ")</f>
        <v>EGRESOS</v>
      </c>
      <c r="F216" t="str">
        <f>IFERROR(+VLOOKUP(Movimientos_2026[[#This Row],[Codigo]],Plan_cuentas[],3,FALSE)," ")</f>
        <v>BtoB</v>
      </c>
      <c r="G216" t="str">
        <f>IFERROR(+VLOOKUP(Movimientos_2026[[#This Row],[Codigo]],Plan_cuentas[],4,FALSE)," ")</f>
        <v>Rentas</v>
      </c>
      <c r="H216" t="str">
        <f>IFERROR(+VLOOKUP(Movimientos_2026[[#This Row],[Codigo]],Plan_cuentas[],5,FALSE)," ")</f>
        <v>CHACO</v>
      </c>
      <c r="I216" s="43">
        <v>45992</v>
      </c>
      <c r="J216" t="s">
        <v>88</v>
      </c>
      <c r="K216" t="str">
        <f>IFERROR(+VLOOKUP(Movimientos_2026[[#This Row],[Codigo]],Plan_cuentas[],6,FALSE)," ")</f>
        <v>1 - VW - Volkswagen</v>
      </c>
      <c r="L216" s="50"/>
      <c r="M216" s="52">
        <v>34077988.140000001</v>
      </c>
      <c r="N216" s="20">
        <f>+Movimientos_2026[[#This Row],[Ingresos]]-Movimientos_2026[[#This Row],[Egresos]]</f>
        <v>-34077988.140000001</v>
      </c>
      <c r="O216" s="20">
        <f>+O215+Movimientos_2026[[#This Row],[Neto]]</f>
        <v>6812401789.1001549</v>
      </c>
    </row>
    <row r="217" spans="1:15" x14ac:dyDescent="0.25">
      <c r="A217" s="13">
        <v>46035</v>
      </c>
      <c r="B217" s="12">
        <f>MONTH(Movimientos_2026[[#This Row],[Fecha]])</f>
        <v>1</v>
      </c>
      <c r="C217" s="12" t="str">
        <f>VLOOKUP((WEEKDAY(Movimientos_2026[[#This Row],[Fecha]],2)),'5. Setup'!$D$6:$E$12,2,FALSE)</f>
        <v>Mar</v>
      </c>
      <c r="D217">
        <v>2014162</v>
      </c>
      <c r="E217" t="str">
        <f>IFERROR(+VLOOKUP(Movimientos_2026[[#This Row],[Codigo]],Plan_cuentas[],2,FALSE)," ")</f>
        <v>EGRESOS</v>
      </c>
      <c r="F217" t="str">
        <f>IFERROR(+VLOOKUP(Movimientos_2026[[#This Row],[Codigo]],Plan_cuentas[],3,FALSE)," ")</f>
        <v>BtoB</v>
      </c>
      <c r="G217" t="str">
        <f>IFERROR(+VLOOKUP(Movimientos_2026[[#This Row],[Codigo]],Plan_cuentas[],4,FALSE)," ")</f>
        <v>Rentas</v>
      </c>
      <c r="H217" t="str">
        <f>IFERROR(+VLOOKUP(Movimientos_2026[[#This Row],[Codigo]],Plan_cuentas[],5,FALSE)," ")</f>
        <v>CHACO</v>
      </c>
      <c r="I217" s="43">
        <v>45992</v>
      </c>
      <c r="J217" t="s">
        <v>89</v>
      </c>
      <c r="K217" t="str">
        <f>IFERROR(+VLOOKUP(Movimientos_2026[[#This Row],[Codigo]],Plan_cuentas[],6,FALSE)," ")</f>
        <v>2 - PR - Plan Rombo</v>
      </c>
      <c r="L217" s="50"/>
      <c r="M217" s="52">
        <v>3437481.100000001</v>
      </c>
      <c r="N217" s="20">
        <f>+Movimientos_2026[[#This Row],[Ingresos]]-Movimientos_2026[[#This Row],[Egresos]]</f>
        <v>-3437481.100000001</v>
      </c>
      <c r="O217" s="20">
        <f>+O216+Movimientos_2026[[#This Row],[Neto]]</f>
        <v>6808964308.0001545</v>
      </c>
    </row>
    <row r="218" spans="1:15" x14ac:dyDescent="0.25">
      <c r="A218" s="13">
        <v>46035</v>
      </c>
      <c r="B218" s="12">
        <f>MONTH(Movimientos_2026[[#This Row],[Fecha]])</f>
        <v>1</v>
      </c>
      <c r="C218" s="12" t="str">
        <f>VLOOKUP((WEEKDAY(Movimientos_2026[[#This Row],[Fecha]],2)),'5. Setup'!$D$6:$E$12,2,FALSE)</f>
        <v>Mar</v>
      </c>
      <c r="D218">
        <v>2014167</v>
      </c>
      <c r="E218" t="str">
        <f>IFERROR(+VLOOKUP(Movimientos_2026[[#This Row],[Codigo]],Plan_cuentas[],2,FALSE)," ")</f>
        <v>EGRESOS</v>
      </c>
      <c r="F218" t="str">
        <f>IFERROR(+VLOOKUP(Movimientos_2026[[#This Row],[Codigo]],Plan_cuentas[],3,FALSE)," ")</f>
        <v>BtoB</v>
      </c>
      <c r="G218" t="str">
        <f>IFERROR(+VLOOKUP(Movimientos_2026[[#This Row],[Codigo]],Plan_cuentas[],4,FALSE)," ")</f>
        <v>Rentas</v>
      </c>
      <c r="H218" t="str">
        <f>IFERROR(+VLOOKUP(Movimientos_2026[[#This Row],[Codigo]],Plan_cuentas[],5,FALSE)," ")</f>
        <v>CHACO</v>
      </c>
      <c r="I218" s="43">
        <v>45992</v>
      </c>
      <c r="J218" t="s">
        <v>89</v>
      </c>
      <c r="K218" t="str">
        <f>IFERROR(+VLOOKUP(Movimientos_2026[[#This Row],[Codigo]],Plan_cuentas[],6,FALSE)," ")</f>
        <v>7 - PRtr - Plan Rombo Transf.</v>
      </c>
      <c r="L218" s="50"/>
      <c r="M218" s="52">
        <v>195420.54</v>
      </c>
      <c r="N218" s="20">
        <f>+Movimientos_2026[[#This Row],[Ingresos]]-Movimientos_2026[[#This Row],[Egresos]]</f>
        <v>-195420.54</v>
      </c>
      <c r="O218" s="20">
        <f>+O217+Movimientos_2026[[#This Row],[Neto]]</f>
        <v>6808768887.4601545</v>
      </c>
    </row>
    <row r="219" spans="1:15" x14ac:dyDescent="0.25">
      <c r="A219" s="13">
        <v>46035</v>
      </c>
      <c r="B219" s="12">
        <f>MONTH(Movimientos_2026[[#This Row],[Fecha]])</f>
        <v>1</v>
      </c>
      <c r="C219" s="12" t="str">
        <f>VLOOKUP((WEEKDAY(Movimientos_2026[[#This Row],[Fecha]],2)),'5. Setup'!$D$6:$E$12,2,FALSE)</f>
        <v>Mar</v>
      </c>
      <c r="D219">
        <v>2014163</v>
      </c>
      <c r="E219" t="str">
        <f>IFERROR(+VLOOKUP(Movimientos_2026[[#This Row],[Codigo]],Plan_cuentas[],2,FALSE)," ")</f>
        <v>EGRESOS</v>
      </c>
      <c r="F219" t="str">
        <f>IFERROR(+VLOOKUP(Movimientos_2026[[#This Row],[Codigo]],Plan_cuentas[],3,FALSE)," ")</f>
        <v>BtoB</v>
      </c>
      <c r="G219" t="str">
        <f>IFERROR(+VLOOKUP(Movimientos_2026[[#This Row],[Codigo]],Plan_cuentas[],4,FALSE)," ")</f>
        <v>Rentas</v>
      </c>
      <c r="H219" t="str">
        <f>IFERROR(+VLOOKUP(Movimientos_2026[[#This Row],[Codigo]],Plan_cuentas[],5,FALSE)," ")</f>
        <v>CHACO</v>
      </c>
      <c r="I219" s="43">
        <v>45992</v>
      </c>
      <c r="J219" t="s">
        <v>90</v>
      </c>
      <c r="K219" t="str">
        <f>IFERROR(+VLOOKUP(Movimientos_2026[[#This Row],[Codigo]],Plan_cuentas[],6,FALSE)," ")</f>
        <v>3 - GM - Chevrolet</v>
      </c>
      <c r="L219" s="50"/>
      <c r="M219" s="52">
        <v>45604760.399999999</v>
      </c>
      <c r="N219" s="20">
        <f>+Movimientos_2026[[#This Row],[Ingresos]]-Movimientos_2026[[#This Row],[Egresos]]</f>
        <v>-45604760.399999999</v>
      </c>
      <c r="O219" s="20">
        <f>+O218+Movimientos_2026[[#This Row],[Neto]]</f>
        <v>6763164127.0601549</v>
      </c>
    </row>
    <row r="220" spans="1:15" x14ac:dyDescent="0.25">
      <c r="A220" s="13">
        <v>46035</v>
      </c>
      <c r="B220" s="12">
        <f>MONTH(Movimientos_2026[[#This Row],[Fecha]])</f>
        <v>1</v>
      </c>
      <c r="C220" s="12" t="str">
        <f>VLOOKUP((WEEKDAY(Movimientos_2026[[#This Row],[Fecha]],2)),'5. Setup'!$D$6:$E$12,2,FALSE)</f>
        <v>Mar</v>
      </c>
      <c r="D220">
        <v>2044401</v>
      </c>
      <c r="E220" t="str">
        <f>IFERROR(+VLOOKUP(Movimientos_2026[[#This Row],[Codigo]],Plan_cuentas[],2,FALSE)," ")</f>
        <v>EGRESOS</v>
      </c>
      <c r="F220" t="str">
        <f>IFERROR(+VLOOKUP(Movimientos_2026[[#This Row],[Codigo]],Plan_cuentas[],3,FALSE)," ")</f>
        <v>Transferencia</v>
      </c>
      <c r="G220" t="str">
        <f>IFERROR(+VLOOKUP(Movimientos_2026[[#This Row],[Codigo]],Plan_cuentas[],4,FALSE)," ")</f>
        <v>Rentas</v>
      </c>
      <c r="H220" t="str">
        <f>IFERROR(+VLOOKUP(Movimientos_2026[[#This Row],[Codigo]],Plan_cuentas[],5,FALSE)," ")</f>
        <v>SANTIAGO DEL ESTERO</v>
      </c>
      <c r="I220" s="43">
        <v>45992</v>
      </c>
      <c r="J220" t="s">
        <v>91</v>
      </c>
      <c r="K220" t="str">
        <f>IFERROR(+VLOOKUP(Movimientos_2026[[#This Row],[Codigo]],Plan_cuentas[],6,FALSE)," ")</f>
        <v>1 - VW - Volkswagen</v>
      </c>
      <c r="L220" s="50"/>
      <c r="M220" s="52">
        <v>26942519.379999999</v>
      </c>
      <c r="N220" s="20">
        <f>+Movimientos_2026[[#This Row],[Ingresos]]-Movimientos_2026[[#This Row],[Egresos]]</f>
        <v>-26942519.379999999</v>
      </c>
      <c r="O220" s="20">
        <f>+O219+Movimientos_2026[[#This Row],[Neto]]</f>
        <v>6736221607.6801548</v>
      </c>
    </row>
    <row r="221" spans="1:15" x14ac:dyDescent="0.25">
      <c r="A221" s="13">
        <v>46035</v>
      </c>
      <c r="B221" s="12">
        <f>MONTH(Movimientos_2026[[#This Row],[Fecha]])</f>
        <v>1</v>
      </c>
      <c r="C221" s="12" t="str">
        <f>VLOOKUP((WEEKDAY(Movimientos_2026[[#This Row],[Fecha]],2)),'5. Setup'!$D$6:$E$12,2,FALSE)</f>
        <v>Mar</v>
      </c>
      <c r="D221">
        <v>2044402</v>
      </c>
      <c r="E221" t="str">
        <f>IFERROR(+VLOOKUP(Movimientos_2026[[#This Row],[Codigo]],Plan_cuentas[],2,FALSE)," ")</f>
        <v>EGRESOS</v>
      </c>
      <c r="F221" t="str">
        <f>IFERROR(+VLOOKUP(Movimientos_2026[[#This Row],[Codigo]],Plan_cuentas[],3,FALSE)," ")</f>
        <v>Transferencia</v>
      </c>
      <c r="G221" t="str">
        <f>IFERROR(+VLOOKUP(Movimientos_2026[[#This Row],[Codigo]],Plan_cuentas[],4,FALSE)," ")</f>
        <v>Rentas</v>
      </c>
      <c r="H221" t="str">
        <f>IFERROR(+VLOOKUP(Movimientos_2026[[#This Row],[Codigo]],Plan_cuentas[],5,FALSE)," ")</f>
        <v>SANTIAGO DEL ESTERO</v>
      </c>
      <c r="I221" s="43">
        <v>45992</v>
      </c>
      <c r="J221" t="s">
        <v>92</v>
      </c>
      <c r="K221" t="str">
        <f>IFERROR(+VLOOKUP(Movimientos_2026[[#This Row],[Codigo]],Plan_cuentas[],6,FALSE)," ")</f>
        <v>2 - PR - Plan Rombo</v>
      </c>
      <c r="L221" s="50"/>
      <c r="M221" s="52">
        <v>16529765.471999999</v>
      </c>
      <c r="N221" s="20">
        <f>+Movimientos_2026[[#This Row],[Ingresos]]-Movimientos_2026[[#This Row],[Egresos]]</f>
        <v>-16529765.471999999</v>
      </c>
      <c r="O221" s="20">
        <f>+O220+Movimientos_2026[[#This Row],[Neto]]</f>
        <v>6719691842.2081547</v>
      </c>
    </row>
    <row r="222" spans="1:15" x14ac:dyDescent="0.25">
      <c r="A222" s="13">
        <v>46035</v>
      </c>
      <c r="B222" s="12">
        <f>MONTH(Movimientos_2026[[#This Row],[Fecha]])</f>
        <v>1</v>
      </c>
      <c r="C222" s="12" t="str">
        <f>VLOOKUP((WEEKDAY(Movimientos_2026[[#This Row],[Fecha]],2)),'5. Setup'!$D$6:$E$12,2,FALSE)</f>
        <v>Mar</v>
      </c>
      <c r="D222">
        <v>2044407</v>
      </c>
      <c r="E222" t="str">
        <f>IFERROR(+VLOOKUP(Movimientos_2026[[#This Row],[Codigo]],Plan_cuentas[],2,FALSE)," ")</f>
        <v>EGRESOS</v>
      </c>
      <c r="F222" t="str">
        <f>IFERROR(+VLOOKUP(Movimientos_2026[[#This Row],[Codigo]],Plan_cuentas[],3,FALSE)," ")</f>
        <v>Transferencia</v>
      </c>
      <c r="G222" t="str">
        <f>IFERROR(+VLOOKUP(Movimientos_2026[[#This Row],[Codigo]],Plan_cuentas[],4,FALSE)," ")</f>
        <v>Rentas</v>
      </c>
      <c r="H222" t="str">
        <f>IFERROR(+VLOOKUP(Movimientos_2026[[#This Row],[Codigo]],Plan_cuentas[],5,FALSE)," ")</f>
        <v>SANTIAGO DEL ESTERO</v>
      </c>
      <c r="I222" s="43">
        <v>45992</v>
      </c>
      <c r="J222" t="s">
        <v>92</v>
      </c>
      <c r="K222" t="str">
        <f>IFERROR(+VLOOKUP(Movimientos_2026[[#This Row],[Codigo]],Plan_cuentas[],6,FALSE)," ")</f>
        <v>7 - PRtr - Plan Rombo Transf.</v>
      </c>
      <c r="L222" s="50"/>
      <c r="M222" s="52">
        <v>400</v>
      </c>
      <c r="N222" s="20">
        <f>+Movimientos_2026[[#This Row],[Ingresos]]-Movimientos_2026[[#This Row],[Egresos]]</f>
        <v>-400</v>
      </c>
      <c r="O222" s="20">
        <f>+O221+Movimientos_2026[[#This Row],[Neto]]</f>
        <v>6719691442.2081547</v>
      </c>
    </row>
    <row r="223" spans="1:15" x14ac:dyDescent="0.25">
      <c r="A223" s="13">
        <v>46035</v>
      </c>
      <c r="B223" s="12">
        <f>MONTH(Movimientos_2026[[#This Row],[Fecha]])</f>
        <v>1</v>
      </c>
      <c r="C223" s="12" t="str">
        <f>VLOOKUP((WEEKDAY(Movimientos_2026[[#This Row],[Fecha]],2)),'5. Setup'!$D$6:$E$12,2,FALSE)</f>
        <v>Mar</v>
      </c>
      <c r="D223">
        <v>2044403</v>
      </c>
      <c r="E223" t="str">
        <f>IFERROR(+VLOOKUP(Movimientos_2026[[#This Row],[Codigo]],Plan_cuentas[],2,FALSE)," ")</f>
        <v>EGRESOS</v>
      </c>
      <c r="F223" t="str">
        <f>IFERROR(+VLOOKUP(Movimientos_2026[[#This Row],[Codigo]],Plan_cuentas[],3,FALSE)," ")</f>
        <v>Transferencia</v>
      </c>
      <c r="G223" t="str">
        <f>IFERROR(+VLOOKUP(Movimientos_2026[[#This Row],[Codigo]],Plan_cuentas[],4,FALSE)," ")</f>
        <v>Rentas</v>
      </c>
      <c r="H223" t="str">
        <f>IFERROR(+VLOOKUP(Movimientos_2026[[#This Row],[Codigo]],Plan_cuentas[],5,FALSE)," ")</f>
        <v>SANTIAGO DEL ESTERO</v>
      </c>
      <c r="I223" s="43">
        <v>45992</v>
      </c>
      <c r="J223" t="s">
        <v>93</v>
      </c>
      <c r="K223" t="str">
        <f>IFERROR(+VLOOKUP(Movimientos_2026[[#This Row],[Codigo]],Plan_cuentas[],6,FALSE)," ")</f>
        <v>3 - GM - Chevrolet</v>
      </c>
      <c r="L223" s="50"/>
      <c r="M223" s="52">
        <v>19677002.579999998</v>
      </c>
      <c r="N223" s="20">
        <f>+Movimientos_2026[[#This Row],[Ingresos]]-Movimientos_2026[[#This Row],[Egresos]]</f>
        <v>-19677002.579999998</v>
      </c>
      <c r="O223" s="20">
        <f>+O222+Movimientos_2026[[#This Row],[Neto]]</f>
        <v>6700014439.6281548</v>
      </c>
    </row>
    <row r="224" spans="1:15" x14ac:dyDescent="0.25">
      <c r="A224" s="13">
        <v>46035</v>
      </c>
      <c r="B224" s="12">
        <f>MONTH(Movimientos_2026[[#This Row],[Fecha]])</f>
        <v>1</v>
      </c>
      <c r="C224" s="12" t="str">
        <f>VLOOKUP((WEEKDAY(Movimientos_2026[[#This Row],[Fecha]],2)),'5. Setup'!$D$6:$E$12,2,FALSE)</f>
        <v>Mar</v>
      </c>
      <c r="D224">
        <v>2023341</v>
      </c>
      <c r="E224" t="str">
        <f>IFERROR(+VLOOKUP(Movimientos_2026[[#This Row],[Codigo]],Plan_cuentas[],2,FALSE)," ")</f>
        <v>EGRESOS</v>
      </c>
      <c r="F224" t="str">
        <f>IFERROR(+VLOOKUP(Movimientos_2026[[#This Row],[Codigo]],Plan_cuentas[],3,FALSE)," ")</f>
        <v>DDJJ</v>
      </c>
      <c r="G224" t="str">
        <f>IFERROR(+VLOOKUP(Movimientos_2026[[#This Row],[Codigo]],Plan_cuentas[],4,FALSE)," ")</f>
        <v>Registración</v>
      </c>
      <c r="H224" t="str">
        <f>IFERROR(+VLOOKUP(Movimientos_2026[[#This Row],[Codigo]],Plan_cuentas[],5,FALSE)," ")</f>
        <v>RIO NEGRO</v>
      </c>
      <c r="I224" s="43">
        <v>45992</v>
      </c>
      <c r="J224" t="s">
        <v>94</v>
      </c>
      <c r="K224" t="str">
        <f>IFERROR(+VLOOKUP(Movimientos_2026[[#This Row],[Codigo]],Plan_cuentas[],6,FALSE)," ")</f>
        <v>1 - VW - Volkswagen</v>
      </c>
      <c r="L224" s="50"/>
      <c r="M224" s="52">
        <v>45903908.890000001</v>
      </c>
      <c r="N224" s="20">
        <f>+Movimientos_2026[[#This Row],[Ingresos]]-Movimientos_2026[[#This Row],[Egresos]]</f>
        <v>-45903908.890000001</v>
      </c>
      <c r="O224" s="20">
        <f>+O223+Movimientos_2026[[#This Row],[Neto]]</f>
        <v>6654110530.7381544</v>
      </c>
    </row>
    <row r="225" spans="1:15" x14ac:dyDescent="0.25">
      <c r="A225" s="13">
        <v>46035</v>
      </c>
      <c r="B225" s="12">
        <f>MONTH(Movimientos_2026[[#This Row],[Fecha]])</f>
        <v>1</v>
      </c>
      <c r="C225" s="12" t="str">
        <f>VLOOKUP((WEEKDAY(Movimientos_2026[[#This Row],[Fecha]],2)),'5. Setup'!$D$6:$E$12,2,FALSE)</f>
        <v>Mar</v>
      </c>
      <c r="D225">
        <v>2044126</v>
      </c>
      <c r="E225" t="str">
        <f>IFERROR(+VLOOKUP(Movimientos_2026[[#This Row],[Codigo]],Plan_cuentas[],2,FALSE)," ")</f>
        <v>EGRESOS</v>
      </c>
      <c r="F225" t="str">
        <f>IFERROR(+VLOOKUP(Movimientos_2026[[#This Row],[Codigo]],Plan_cuentas[],3,FALSE)," ")</f>
        <v>Transferencia</v>
      </c>
      <c r="G225" t="str">
        <f>IFERROR(+VLOOKUP(Movimientos_2026[[#This Row],[Codigo]],Plan_cuentas[],4,FALSE)," ")</f>
        <v>Rentas</v>
      </c>
      <c r="H225" t="str">
        <f>IFERROR(+VLOOKUP(Movimientos_2026[[#This Row],[Codigo]],Plan_cuentas[],5,FALSE)," ")</f>
        <v>BAPRO</v>
      </c>
      <c r="I225" s="43">
        <v>45992</v>
      </c>
      <c r="J225" t="s">
        <v>95</v>
      </c>
      <c r="K225" t="str">
        <f>IFERROR(+VLOOKUP(Movimientos_2026[[#This Row],[Codigo]],Plan_cuentas[],6,FALSE)," ")</f>
        <v>6 - FCAtr - Fiat Transf.</v>
      </c>
      <c r="L225" s="50"/>
      <c r="M225" s="52">
        <v>5549525.7999999998</v>
      </c>
      <c r="N225" s="20">
        <f>+Movimientos_2026[[#This Row],[Ingresos]]-Movimientos_2026[[#This Row],[Egresos]]</f>
        <v>-5549525.7999999998</v>
      </c>
      <c r="O225" s="20">
        <f>+O224+Movimientos_2026[[#This Row],[Neto]]</f>
        <v>6648561004.9381542</v>
      </c>
    </row>
    <row r="226" spans="1:15" x14ac:dyDescent="0.25">
      <c r="A226" s="13">
        <v>46035</v>
      </c>
      <c r="B226" s="12">
        <f>MONTH(Movimientos_2026[[#This Row],[Fecha]])</f>
        <v>1</v>
      </c>
      <c r="C226" s="12" t="str">
        <f>VLOOKUP((WEEKDAY(Movimientos_2026[[#This Row],[Fecha]],2)),'5. Setup'!$D$6:$E$12,2,FALSE)</f>
        <v>Mar</v>
      </c>
      <c r="D226">
        <v>2044126</v>
      </c>
      <c r="E226" t="str">
        <f>IFERROR(+VLOOKUP(Movimientos_2026[[#This Row],[Codigo]],Plan_cuentas[],2,FALSE)," ")</f>
        <v>EGRESOS</v>
      </c>
      <c r="F226" t="str">
        <f>IFERROR(+VLOOKUP(Movimientos_2026[[#This Row],[Codigo]],Plan_cuentas[],3,FALSE)," ")</f>
        <v>Transferencia</v>
      </c>
      <c r="G226" t="str">
        <f>IFERROR(+VLOOKUP(Movimientos_2026[[#This Row],[Codigo]],Plan_cuentas[],4,FALSE)," ")</f>
        <v>Rentas</v>
      </c>
      <c r="H226" t="str">
        <f>IFERROR(+VLOOKUP(Movimientos_2026[[#This Row],[Codigo]],Plan_cuentas[],5,FALSE)," ")</f>
        <v>BAPRO</v>
      </c>
      <c r="I226" s="43">
        <v>45992</v>
      </c>
      <c r="J226" t="s">
        <v>96</v>
      </c>
      <c r="K226" t="str">
        <f>IFERROR(+VLOOKUP(Movimientos_2026[[#This Row],[Codigo]],Plan_cuentas[],6,FALSE)," ")</f>
        <v>6 - FCAtr - Fiat Transf.</v>
      </c>
      <c r="L226" s="50"/>
      <c r="M226" s="52">
        <v>4631033.2</v>
      </c>
      <c r="N226" s="20">
        <f>+Movimientos_2026[[#This Row],[Ingresos]]-Movimientos_2026[[#This Row],[Egresos]]</f>
        <v>-4631033.2</v>
      </c>
      <c r="O226" s="20">
        <f>+O225+Movimientos_2026[[#This Row],[Neto]]</f>
        <v>6643929971.7381544</v>
      </c>
    </row>
    <row r="227" spans="1:15" x14ac:dyDescent="0.25">
      <c r="A227" s="13">
        <v>46035</v>
      </c>
      <c r="B227" s="12">
        <f>MONTH(Movimientos_2026[[#This Row],[Fecha]])</f>
        <v>1</v>
      </c>
      <c r="C227" s="12" t="str">
        <f>VLOOKUP((WEEKDAY(Movimientos_2026[[#This Row],[Fecha]],2)),'5. Setup'!$D$6:$E$12,2,FALSE)</f>
        <v>Mar</v>
      </c>
      <c r="D227">
        <v>2044126</v>
      </c>
      <c r="E227" t="str">
        <f>IFERROR(+VLOOKUP(Movimientos_2026[[#This Row],[Codigo]],Plan_cuentas[],2,FALSE)," ")</f>
        <v>EGRESOS</v>
      </c>
      <c r="F227" t="str">
        <f>IFERROR(+VLOOKUP(Movimientos_2026[[#This Row],[Codigo]],Plan_cuentas[],3,FALSE)," ")</f>
        <v>Transferencia</v>
      </c>
      <c r="G227" t="str">
        <f>IFERROR(+VLOOKUP(Movimientos_2026[[#This Row],[Codigo]],Plan_cuentas[],4,FALSE)," ")</f>
        <v>Rentas</v>
      </c>
      <c r="H227" t="str">
        <f>IFERROR(+VLOOKUP(Movimientos_2026[[#This Row],[Codigo]],Plan_cuentas[],5,FALSE)," ")</f>
        <v>BAPRO</v>
      </c>
      <c r="I227" s="43">
        <v>45992</v>
      </c>
      <c r="J227" t="s">
        <v>97</v>
      </c>
      <c r="K227" t="str">
        <f>IFERROR(+VLOOKUP(Movimientos_2026[[#This Row],[Codigo]],Plan_cuentas[],6,FALSE)," ")</f>
        <v>6 - FCAtr - Fiat Transf.</v>
      </c>
      <c r="L227" s="50"/>
      <c r="M227" s="52">
        <v>3803442.7</v>
      </c>
      <c r="N227" s="20">
        <f>+Movimientos_2026[[#This Row],[Ingresos]]-Movimientos_2026[[#This Row],[Egresos]]</f>
        <v>-3803442.7</v>
      </c>
      <c r="O227" s="20">
        <f>+O226+Movimientos_2026[[#This Row],[Neto]]</f>
        <v>6640126529.0381546</v>
      </c>
    </row>
    <row r="228" spans="1:15" x14ac:dyDescent="0.25">
      <c r="A228" s="13">
        <v>46035</v>
      </c>
      <c r="B228" s="12">
        <f>MONTH(Movimientos_2026[[#This Row],[Fecha]])</f>
        <v>1</v>
      </c>
      <c r="C228" s="12" t="str">
        <f>VLOOKUP((WEEKDAY(Movimientos_2026[[#This Row],[Fecha]],2)),'5. Setup'!$D$6:$E$12,2,FALSE)</f>
        <v>Mar</v>
      </c>
      <c r="D228">
        <v>2044126</v>
      </c>
      <c r="E228" t="str">
        <f>IFERROR(+VLOOKUP(Movimientos_2026[[#This Row],[Codigo]],Plan_cuentas[],2,FALSE)," ")</f>
        <v>EGRESOS</v>
      </c>
      <c r="F228" t="str">
        <f>IFERROR(+VLOOKUP(Movimientos_2026[[#This Row],[Codigo]],Plan_cuentas[],3,FALSE)," ")</f>
        <v>Transferencia</v>
      </c>
      <c r="G228" t="str">
        <f>IFERROR(+VLOOKUP(Movimientos_2026[[#This Row],[Codigo]],Plan_cuentas[],4,FALSE)," ")</f>
        <v>Rentas</v>
      </c>
      <c r="H228" t="str">
        <f>IFERROR(+VLOOKUP(Movimientos_2026[[#This Row],[Codigo]],Plan_cuentas[],5,FALSE)," ")</f>
        <v>BAPRO</v>
      </c>
      <c r="I228" s="43">
        <v>45992</v>
      </c>
      <c r="J228" t="s">
        <v>98</v>
      </c>
      <c r="K228" t="str">
        <f>IFERROR(+VLOOKUP(Movimientos_2026[[#This Row],[Codigo]],Plan_cuentas[],6,FALSE)," ")</f>
        <v>6 - FCAtr - Fiat Transf.</v>
      </c>
      <c r="L228" s="50"/>
      <c r="M228" s="52">
        <v>871994.6</v>
      </c>
      <c r="N228" s="20">
        <f>+Movimientos_2026[[#This Row],[Ingresos]]-Movimientos_2026[[#This Row],[Egresos]]</f>
        <v>-871994.6</v>
      </c>
      <c r="O228" s="20">
        <f>+O227+Movimientos_2026[[#This Row],[Neto]]</f>
        <v>6639254534.4381542</v>
      </c>
    </row>
    <row r="229" spans="1:15" x14ac:dyDescent="0.25">
      <c r="A229" s="13">
        <v>46035</v>
      </c>
      <c r="B229" s="12">
        <f>MONTH(Movimientos_2026[[#This Row],[Fecha]])</f>
        <v>1</v>
      </c>
      <c r="C229" s="12" t="str">
        <f>VLOOKUP((WEEKDAY(Movimientos_2026[[#This Row],[Fecha]],2)),'5. Setup'!$D$6:$E$12,2,FALSE)</f>
        <v>Mar</v>
      </c>
      <c r="D229">
        <v>2023172</v>
      </c>
      <c r="E229" t="str">
        <f>IFERROR(+VLOOKUP(Movimientos_2026[[#This Row],[Codigo]],Plan_cuentas[],2,FALSE)," ")</f>
        <v>EGRESOS</v>
      </c>
      <c r="F229" t="str">
        <f>IFERROR(+VLOOKUP(Movimientos_2026[[#This Row],[Codigo]],Plan_cuentas[],3,FALSE)," ")</f>
        <v>DDJJ</v>
      </c>
      <c r="G229" t="str">
        <f>IFERROR(+VLOOKUP(Movimientos_2026[[#This Row],[Codigo]],Plan_cuentas[],4,FALSE)," ")</f>
        <v>Registración</v>
      </c>
      <c r="H229" t="str">
        <f>IFERROR(+VLOOKUP(Movimientos_2026[[#This Row],[Codigo]],Plan_cuentas[],5,FALSE)," ")</f>
        <v>CHUBUT</v>
      </c>
      <c r="I229" s="43">
        <v>45992</v>
      </c>
      <c r="J229" t="s">
        <v>99</v>
      </c>
      <c r="K229" t="str">
        <f>IFERROR(+VLOOKUP(Movimientos_2026[[#This Row],[Codigo]],Plan_cuentas[],6,FALSE)," ")</f>
        <v>2 - PR - Plan Rombo</v>
      </c>
      <c r="L229" s="50"/>
      <c r="M229" s="52">
        <v>18582826.879999999</v>
      </c>
      <c r="N229" s="20">
        <f>+Movimientos_2026[[#This Row],[Ingresos]]-Movimientos_2026[[#This Row],[Egresos]]</f>
        <v>-18582826.879999999</v>
      </c>
      <c r="O229" s="20">
        <f>+O228+Movimientos_2026[[#This Row],[Neto]]</f>
        <v>6620671707.5581541</v>
      </c>
    </row>
    <row r="230" spans="1:15" x14ac:dyDescent="0.25">
      <c r="A230" s="13">
        <v>46035</v>
      </c>
      <c r="B230" s="12">
        <f>MONTH(Movimientos_2026[[#This Row],[Fecha]])</f>
        <v>1</v>
      </c>
      <c r="C230" s="12" t="str">
        <f>VLOOKUP((WEEKDAY(Movimientos_2026[[#This Row],[Fecha]],2)),'5. Setup'!$D$6:$E$12,2,FALSE)</f>
        <v>Mar</v>
      </c>
      <c r="D230">
        <v>2023175</v>
      </c>
      <c r="E230" t="str">
        <f>IFERROR(+VLOOKUP(Movimientos_2026[[#This Row],[Codigo]],Plan_cuentas[],2,FALSE)," ")</f>
        <v>EGRESOS</v>
      </c>
      <c r="F230" t="str">
        <f>IFERROR(+VLOOKUP(Movimientos_2026[[#This Row],[Codigo]],Plan_cuentas[],3,FALSE)," ")</f>
        <v>DDJJ</v>
      </c>
      <c r="G230" t="str">
        <f>IFERROR(+VLOOKUP(Movimientos_2026[[#This Row],[Codigo]],Plan_cuentas[],4,FALSE)," ")</f>
        <v>Registración</v>
      </c>
      <c r="H230" t="str">
        <f>IFERROR(+VLOOKUP(Movimientos_2026[[#This Row],[Codigo]],Plan_cuentas[],5,FALSE)," ")</f>
        <v>CHUBUT</v>
      </c>
      <c r="I230" s="43">
        <v>45992</v>
      </c>
      <c r="J230" t="s">
        <v>99</v>
      </c>
      <c r="K230" t="str">
        <f>IFERROR(+VLOOKUP(Movimientos_2026[[#This Row],[Codigo]],Plan_cuentas[],6,FALSE)," ")</f>
        <v>5 - YAM - Yamaha</v>
      </c>
      <c r="L230" s="50"/>
      <c r="M230" s="52">
        <v>68265.63</v>
      </c>
      <c r="N230" s="20">
        <f>+Movimientos_2026[[#This Row],[Ingresos]]-Movimientos_2026[[#This Row],[Egresos]]</f>
        <v>-68265.63</v>
      </c>
      <c r="O230" s="20">
        <f>+O229+Movimientos_2026[[#This Row],[Neto]]</f>
        <v>6620603441.928154</v>
      </c>
    </row>
    <row r="231" spans="1:15" x14ac:dyDescent="0.25">
      <c r="A231" s="13">
        <v>46035</v>
      </c>
      <c r="B231" s="12">
        <f>MONTH(Movimientos_2026[[#This Row],[Fecha]])</f>
        <v>1</v>
      </c>
      <c r="C231" s="12" t="str">
        <f>VLOOKUP((WEEKDAY(Movimientos_2026[[#This Row],[Fecha]],2)),'5. Setup'!$D$6:$E$12,2,FALSE)</f>
        <v>Mar</v>
      </c>
      <c r="D231">
        <v>2023176</v>
      </c>
      <c r="E231" t="str">
        <f>IFERROR(+VLOOKUP(Movimientos_2026[[#This Row],[Codigo]],Plan_cuentas[],2,FALSE)," ")</f>
        <v>EGRESOS</v>
      </c>
      <c r="F231" t="str">
        <f>IFERROR(+VLOOKUP(Movimientos_2026[[#This Row],[Codigo]],Plan_cuentas[],3,FALSE)," ")</f>
        <v>DDJJ</v>
      </c>
      <c r="G231" t="str">
        <f>IFERROR(+VLOOKUP(Movimientos_2026[[#This Row],[Codigo]],Plan_cuentas[],4,FALSE)," ")</f>
        <v>Registración</v>
      </c>
      <c r="H231" t="str">
        <f>IFERROR(+VLOOKUP(Movimientos_2026[[#This Row],[Codigo]],Plan_cuentas[],5,FALSE)," ")</f>
        <v>CHUBUT</v>
      </c>
      <c r="I231" s="43">
        <v>45992</v>
      </c>
      <c r="J231" t="s">
        <v>99</v>
      </c>
      <c r="K231" t="str">
        <f>IFERROR(+VLOOKUP(Movimientos_2026[[#This Row],[Codigo]],Plan_cuentas[],6,FALSE)," ")</f>
        <v>6 - FCAtr - Fiat Transf.</v>
      </c>
      <c r="L231" s="50"/>
      <c r="M231" s="52">
        <v>828742.73</v>
      </c>
      <c r="N231" s="20">
        <f>+Movimientos_2026[[#This Row],[Ingresos]]-Movimientos_2026[[#This Row],[Egresos]]</f>
        <v>-828742.73</v>
      </c>
      <c r="O231" s="20">
        <f>+O230+Movimientos_2026[[#This Row],[Neto]]</f>
        <v>6619774699.1981544</v>
      </c>
    </row>
    <row r="232" spans="1:15" x14ac:dyDescent="0.25">
      <c r="A232" s="13">
        <v>46035</v>
      </c>
      <c r="B232" s="12">
        <f>MONTH(Movimientos_2026[[#This Row],[Fecha]])</f>
        <v>1</v>
      </c>
      <c r="C232" s="12" t="str">
        <f>VLOOKUP((WEEKDAY(Movimientos_2026[[#This Row],[Fecha]],2)),'5. Setup'!$D$6:$E$12,2,FALSE)</f>
        <v>Mar</v>
      </c>
      <c r="D232">
        <v>2023177</v>
      </c>
      <c r="E232" t="str">
        <f>IFERROR(+VLOOKUP(Movimientos_2026[[#This Row],[Codigo]],Plan_cuentas[],2,FALSE)," ")</f>
        <v>EGRESOS</v>
      </c>
      <c r="F232" t="str">
        <f>IFERROR(+VLOOKUP(Movimientos_2026[[#This Row],[Codigo]],Plan_cuentas[],3,FALSE)," ")</f>
        <v>DDJJ</v>
      </c>
      <c r="G232" t="str">
        <f>IFERROR(+VLOOKUP(Movimientos_2026[[#This Row],[Codigo]],Plan_cuentas[],4,FALSE)," ")</f>
        <v>Registración</v>
      </c>
      <c r="H232" t="str">
        <f>IFERROR(+VLOOKUP(Movimientos_2026[[#This Row],[Codigo]],Plan_cuentas[],5,FALSE)," ")</f>
        <v>CHUBUT</v>
      </c>
      <c r="I232" s="43">
        <v>45992</v>
      </c>
      <c r="J232" t="s">
        <v>99</v>
      </c>
      <c r="K232" t="str">
        <f>IFERROR(+VLOOKUP(Movimientos_2026[[#This Row],[Codigo]],Plan_cuentas[],6,FALSE)," ")</f>
        <v>7 - PRtr - Plan Rombo Transf.</v>
      </c>
      <c r="L232" s="50"/>
      <c r="M232" s="52">
        <v>355755.03</v>
      </c>
      <c r="N232" s="20">
        <f>+Movimientos_2026[[#This Row],[Ingresos]]-Movimientos_2026[[#This Row],[Egresos]]</f>
        <v>-355755.03</v>
      </c>
      <c r="O232" s="20">
        <f>+O231+Movimientos_2026[[#This Row],[Neto]]</f>
        <v>6619418944.1681547</v>
      </c>
    </row>
    <row r="233" spans="1:15" x14ac:dyDescent="0.25">
      <c r="A233" s="13">
        <v>46036</v>
      </c>
      <c r="B233" s="12">
        <f>MONTH(Movimientos_2026[[#This Row],[Fecha]])</f>
        <v>1</v>
      </c>
      <c r="C233" s="12" t="str">
        <f>VLOOKUP((WEEKDAY(Movimientos_2026[[#This Row],[Fecha]],2)),'5. Setup'!$D$6:$E$12,2,FALSE)</f>
        <v>Mie</v>
      </c>
      <c r="D233">
        <v>2044404</v>
      </c>
      <c r="E233" t="str">
        <f>IFERROR(+VLOOKUP(Movimientos_2026[[#This Row],[Codigo]],Plan_cuentas[],2,FALSE)," ")</f>
        <v>EGRESOS</v>
      </c>
      <c r="F233" t="str">
        <f>IFERROR(+VLOOKUP(Movimientos_2026[[#This Row],[Codigo]],Plan_cuentas[],3,FALSE)," ")</f>
        <v>Transferencia</v>
      </c>
      <c r="G233" t="str">
        <f>IFERROR(+VLOOKUP(Movimientos_2026[[#This Row],[Codigo]],Plan_cuentas[],4,FALSE)," ")</f>
        <v>Rentas</v>
      </c>
      <c r="H233" t="str">
        <f>IFERROR(+VLOOKUP(Movimientos_2026[[#This Row],[Codigo]],Plan_cuentas[],5,FALSE)," ")</f>
        <v>SANTIAGO DEL ESTERO</v>
      </c>
      <c r="I233" s="43">
        <v>45992</v>
      </c>
      <c r="J233" t="s">
        <v>100</v>
      </c>
      <c r="K233" t="str">
        <f>IFERROR(+VLOOKUP(Movimientos_2026[[#This Row],[Codigo]],Plan_cuentas[],6,FALSE)," ")</f>
        <v>4 - FCA - Fiat</v>
      </c>
      <c r="L233" s="50"/>
      <c r="M233" s="52">
        <v>19101501.670000002</v>
      </c>
      <c r="N233" s="20">
        <f>+Movimientos_2026[[#This Row],[Ingresos]]-Movimientos_2026[[#This Row],[Egresos]]</f>
        <v>-19101501.670000002</v>
      </c>
      <c r="O233" s="20">
        <f>+O232+Movimientos_2026[[#This Row],[Neto]]</f>
        <v>6600317442.4981546</v>
      </c>
    </row>
    <row r="234" spans="1:15" x14ac:dyDescent="0.25">
      <c r="A234" s="13">
        <v>46036</v>
      </c>
      <c r="B234" s="12">
        <f>MONTH(Movimientos_2026[[#This Row],[Fecha]])</f>
        <v>1</v>
      </c>
      <c r="C234" s="12" t="str">
        <f>VLOOKUP((WEEKDAY(Movimientos_2026[[#This Row],[Fecha]],2)),'5. Setup'!$D$6:$E$12,2,FALSE)</f>
        <v>Mie</v>
      </c>
      <c r="D234">
        <v>2044406</v>
      </c>
      <c r="E234" t="str">
        <f>IFERROR(+VLOOKUP(Movimientos_2026[[#This Row],[Codigo]],Plan_cuentas[],2,FALSE)," ")</f>
        <v>EGRESOS</v>
      </c>
      <c r="F234" t="str">
        <f>IFERROR(+VLOOKUP(Movimientos_2026[[#This Row],[Codigo]],Plan_cuentas[],3,FALSE)," ")</f>
        <v>Transferencia</v>
      </c>
      <c r="G234" t="str">
        <f>IFERROR(+VLOOKUP(Movimientos_2026[[#This Row],[Codigo]],Plan_cuentas[],4,FALSE)," ")</f>
        <v>Rentas</v>
      </c>
      <c r="H234" t="str">
        <f>IFERROR(+VLOOKUP(Movimientos_2026[[#This Row],[Codigo]],Plan_cuentas[],5,FALSE)," ")</f>
        <v>SANTIAGO DEL ESTERO</v>
      </c>
      <c r="I234" s="43">
        <v>45992</v>
      </c>
      <c r="J234" t="s">
        <v>100</v>
      </c>
      <c r="K234" t="str">
        <f>IFERROR(+VLOOKUP(Movimientos_2026[[#This Row],[Codigo]],Plan_cuentas[],6,FALSE)," ")</f>
        <v>6 - FCAtr - Fiat Transf.</v>
      </c>
      <c r="L234" s="51"/>
      <c r="M234" s="52">
        <v>972212.9800000001</v>
      </c>
      <c r="N234" s="20">
        <f>+Movimientos_2026[[#This Row],[Ingresos]]-Movimientos_2026[[#This Row],[Egresos]]</f>
        <v>-972212.9800000001</v>
      </c>
      <c r="O234" s="20">
        <f>+O233+Movimientos_2026[[#This Row],[Neto]]</f>
        <v>6599345229.5181551</v>
      </c>
    </row>
    <row r="235" spans="1:15" x14ac:dyDescent="0.25">
      <c r="A235" s="13">
        <v>46036</v>
      </c>
      <c r="B235" s="12">
        <f>MONTH(Movimientos_2026[[#This Row],[Fecha]])</f>
        <v>1</v>
      </c>
      <c r="C235" s="12" t="str">
        <f>VLOOKUP((WEEKDAY(Movimientos_2026[[#This Row],[Fecha]],2)),'5. Setup'!$D$6:$E$12,2,FALSE)</f>
        <v>Mie</v>
      </c>
      <c r="D235">
        <v>2044404</v>
      </c>
      <c r="E235" t="str">
        <f>IFERROR(+VLOOKUP(Movimientos_2026[[#This Row],[Codigo]],Plan_cuentas[],2,FALSE)," ")</f>
        <v>EGRESOS</v>
      </c>
      <c r="F235" t="str">
        <f>IFERROR(+VLOOKUP(Movimientos_2026[[#This Row],[Codigo]],Plan_cuentas[],3,FALSE)," ")</f>
        <v>Transferencia</v>
      </c>
      <c r="G235" t="str">
        <f>IFERROR(+VLOOKUP(Movimientos_2026[[#This Row],[Codigo]],Plan_cuentas[],4,FALSE)," ")</f>
        <v>Rentas</v>
      </c>
      <c r="H235" t="str">
        <f>IFERROR(+VLOOKUP(Movimientos_2026[[#This Row],[Codigo]],Plan_cuentas[],5,FALSE)," ")</f>
        <v>SANTIAGO DEL ESTERO</v>
      </c>
      <c r="I235" s="43">
        <v>45992</v>
      </c>
      <c r="J235" t="s">
        <v>100</v>
      </c>
      <c r="K235" t="str">
        <f>IFERROR(+VLOOKUP(Movimientos_2026[[#This Row],[Codigo]],Plan_cuentas[],6,FALSE)," ")</f>
        <v>4 - FCA - Fiat</v>
      </c>
      <c r="L235" s="51"/>
      <c r="M235" s="52">
        <v>13663961.810000001</v>
      </c>
      <c r="N235" s="20">
        <f>+Movimientos_2026[[#This Row],[Ingresos]]-Movimientos_2026[[#This Row],[Egresos]]</f>
        <v>-13663961.810000001</v>
      </c>
      <c r="O235" s="20">
        <f>+O234+Movimientos_2026[[#This Row],[Neto]]</f>
        <v>6585681267.7081547</v>
      </c>
    </row>
    <row r="236" spans="1:15" x14ac:dyDescent="0.25">
      <c r="A236" s="13">
        <v>46036</v>
      </c>
      <c r="B236" s="12">
        <f>MONTH(Movimientos_2026[[#This Row],[Fecha]])</f>
        <v>1</v>
      </c>
      <c r="C236" s="12" t="str">
        <f>VLOOKUP((WEEKDAY(Movimientos_2026[[#This Row],[Fecha]],2)),'5. Setup'!$D$6:$E$12,2,FALSE)</f>
        <v>Mie</v>
      </c>
      <c r="D236">
        <v>2044126</v>
      </c>
      <c r="E236" t="str">
        <f>IFERROR(+VLOOKUP(Movimientos_2026[[#This Row],[Codigo]],Plan_cuentas[],2,FALSE)," ")</f>
        <v>EGRESOS</v>
      </c>
      <c r="F236" t="str">
        <f>IFERROR(+VLOOKUP(Movimientos_2026[[#This Row],[Codigo]],Plan_cuentas[],3,FALSE)," ")</f>
        <v>Transferencia</v>
      </c>
      <c r="G236" t="str">
        <f>IFERROR(+VLOOKUP(Movimientos_2026[[#This Row],[Codigo]],Plan_cuentas[],4,FALSE)," ")</f>
        <v>Rentas</v>
      </c>
      <c r="H236" t="str">
        <f>IFERROR(+VLOOKUP(Movimientos_2026[[#This Row],[Codigo]],Plan_cuentas[],5,FALSE)," ")</f>
        <v>BAPRO</v>
      </c>
      <c r="I236" s="43">
        <v>45992</v>
      </c>
      <c r="J236" t="s">
        <v>101</v>
      </c>
      <c r="K236" t="str">
        <f>IFERROR(+VLOOKUP(Movimientos_2026[[#This Row],[Codigo]],Plan_cuentas[],6,FALSE)," ")</f>
        <v>6 - FCAtr - Fiat Transf.</v>
      </c>
      <c r="L236" s="50"/>
      <c r="M236" s="52">
        <v>3062115.2</v>
      </c>
      <c r="N236" s="20">
        <f>+Movimientos_2026[[#This Row],[Ingresos]]-Movimientos_2026[[#This Row],[Egresos]]</f>
        <v>-3062115.2</v>
      </c>
      <c r="O236" s="20">
        <f>+O235+Movimientos_2026[[#This Row],[Neto]]</f>
        <v>6582619152.5081549</v>
      </c>
    </row>
    <row r="237" spans="1:15" x14ac:dyDescent="0.25">
      <c r="A237" s="13">
        <v>46036</v>
      </c>
      <c r="B237" s="12">
        <f>MONTH(Movimientos_2026[[#This Row],[Fecha]])</f>
        <v>1</v>
      </c>
      <c r="C237" s="12" t="str">
        <f>VLOOKUP((WEEKDAY(Movimientos_2026[[#This Row],[Fecha]],2)),'5. Setup'!$D$6:$E$12,2,FALSE)</f>
        <v>Mie</v>
      </c>
      <c r="D237">
        <v>2044126</v>
      </c>
      <c r="E237" t="str">
        <f>IFERROR(+VLOOKUP(Movimientos_2026[[#This Row],[Codigo]],Plan_cuentas[],2,FALSE)," ")</f>
        <v>EGRESOS</v>
      </c>
      <c r="F237" t="str">
        <f>IFERROR(+VLOOKUP(Movimientos_2026[[#This Row],[Codigo]],Plan_cuentas[],3,FALSE)," ")</f>
        <v>Transferencia</v>
      </c>
      <c r="G237" t="str">
        <f>IFERROR(+VLOOKUP(Movimientos_2026[[#This Row],[Codigo]],Plan_cuentas[],4,FALSE)," ")</f>
        <v>Rentas</v>
      </c>
      <c r="H237" t="str">
        <f>IFERROR(+VLOOKUP(Movimientos_2026[[#This Row],[Codigo]],Plan_cuentas[],5,FALSE)," ")</f>
        <v>BAPRO</v>
      </c>
      <c r="I237" s="43">
        <v>45992</v>
      </c>
      <c r="J237" t="s">
        <v>102</v>
      </c>
      <c r="K237" t="str">
        <f>IFERROR(+VLOOKUP(Movimientos_2026[[#This Row],[Codigo]],Plan_cuentas[],6,FALSE)," ")</f>
        <v>6 - FCAtr - Fiat Transf.</v>
      </c>
      <c r="L237" s="50"/>
      <c r="M237" s="52">
        <v>2540799</v>
      </c>
      <c r="N237" s="20">
        <f>+Movimientos_2026[[#This Row],[Ingresos]]-Movimientos_2026[[#This Row],[Egresos]]</f>
        <v>-2540799</v>
      </c>
      <c r="O237" s="20">
        <f>+O236+Movimientos_2026[[#This Row],[Neto]]</f>
        <v>6580078353.5081549</v>
      </c>
    </row>
    <row r="238" spans="1:15" x14ac:dyDescent="0.25">
      <c r="A238" s="13">
        <v>46036</v>
      </c>
      <c r="B238" s="12">
        <f>MONTH(Movimientos_2026[[#This Row],[Fecha]])</f>
        <v>1</v>
      </c>
      <c r="C238" s="12" t="str">
        <f>VLOOKUP((WEEKDAY(Movimientos_2026[[#This Row],[Fecha]],2)),'5. Setup'!$D$6:$E$12,2,FALSE)</f>
        <v>Mie</v>
      </c>
      <c r="D238">
        <v>2044126</v>
      </c>
      <c r="E238" t="str">
        <f>IFERROR(+VLOOKUP(Movimientos_2026[[#This Row],[Codigo]],Plan_cuentas[],2,FALSE)," ")</f>
        <v>EGRESOS</v>
      </c>
      <c r="F238" t="str">
        <f>IFERROR(+VLOOKUP(Movimientos_2026[[#This Row],[Codigo]],Plan_cuentas[],3,FALSE)," ")</f>
        <v>Transferencia</v>
      </c>
      <c r="G238" t="str">
        <f>IFERROR(+VLOOKUP(Movimientos_2026[[#This Row],[Codigo]],Plan_cuentas[],4,FALSE)," ")</f>
        <v>Rentas</v>
      </c>
      <c r="H238" t="str">
        <f>IFERROR(+VLOOKUP(Movimientos_2026[[#This Row],[Codigo]],Plan_cuentas[],5,FALSE)," ")</f>
        <v>BAPRO</v>
      </c>
      <c r="I238" s="43">
        <v>45992</v>
      </c>
      <c r="J238" t="s">
        <v>103</v>
      </c>
      <c r="K238" t="str">
        <f>IFERROR(+VLOOKUP(Movimientos_2026[[#This Row],[Codigo]],Plan_cuentas[],6,FALSE)," ")</f>
        <v>6 - FCAtr - Fiat Transf.</v>
      </c>
      <c r="L238" s="50"/>
      <c r="M238" s="52">
        <v>1209961.6000000001</v>
      </c>
      <c r="N238" s="20">
        <f>+Movimientos_2026[[#This Row],[Ingresos]]-Movimientos_2026[[#This Row],[Egresos]]</f>
        <v>-1209961.6000000001</v>
      </c>
      <c r="O238" s="20">
        <f>+O237+Movimientos_2026[[#This Row],[Neto]]</f>
        <v>6578868391.9081545</v>
      </c>
    </row>
    <row r="239" spans="1:15" x14ac:dyDescent="0.25">
      <c r="A239" s="13">
        <v>46036</v>
      </c>
      <c r="B239" s="12">
        <f>MONTH(Movimientos_2026[[#This Row],[Fecha]])</f>
        <v>1</v>
      </c>
      <c r="C239" s="12" t="str">
        <f>VLOOKUP((WEEKDAY(Movimientos_2026[[#This Row],[Fecha]],2)),'5. Setup'!$D$6:$E$12,2,FALSE)</f>
        <v>Mie</v>
      </c>
      <c r="D239">
        <v>2044126</v>
      </c>
      <c r="E239" t="str">
        <f>IFERROR(+VLOOKUP(Movimientos_2026[[#This Row],[Codigo]],Plan_cuentas[],2,FALSE)," ")</f>
        <v>EGRESOS</v>
      </c>
      <c r="F239" t="str">
        <f>IFERROR(+VLOOKUP(Movimientos_2026[[#This Row],[Codigo]],Plan_cuentas[],3,FALSE)," ")</f>
        <v>Transferencia</v>
      </c>
      <c r="G239" t="str">
        <f>IFERROR(+VLOOKUP(Movimientos_2026[[#This Row],[Codigo]],Plan_cuentas[],4,FALSE)," ")</f>
        <v>Rentas</v>
      </c>
      <c r="H239" t="str">
        <f>IFERROR(+VLOOKUP(Movimientos_2026[[#This Row],[Codigo]],Plan_cuentas[],5,FALSE)," ")</f>
        <v>BAPRO</v>
      </c>
      <c r="I239" s="43">
        <v>45992</v>
      </c>
      <c r="J239" t="s">
        <v>104</v>
      </c>
      <c r="K239" t="str">
        <f>IFERROR(+VLOOKUP(Movimientos_2026[[#This Row],[Codigo]],Plan_cuentas[],6,FALSE)," ")</f>
        <v>6 - FCAtr - Fiat Transf.</v>
      </c>
      <c r="L239" s="50"/>
      <c r="M239" s="52">
        <v>1160865.8999999999</v>
      </c>
      <c r="N239" s="20">
        <f>+Movimientos_2026[[#This Row],[Ingresos]]-Movimientos_2026[[#This Row],[Egresos]]</f>
        <v>-1160865.8999999999</v>
      </c>
      <c r="O239" s="20">
        <f>+O238+Movimientos_2026[[#This Row],[Neto]]</f>
        <v>6577707526.0081549</v>
      </c>
    </row>
    <row r="240" spans="1:15" x14ac:dyDescent="0.25">
      <c r="A240" s="13">
        <v>46036</v>
      </c>
      <c r="B240" s="12">
        <f>MONTH(Movimientos_2026[[#This Row],[Fecha]])</f>
        <v>1</v>
      </c>
      <c r="C240" s="12" t="str">
        <f>VLOOKUP((WEEKDAY(Movimientos_2026[[#This Row],[Fecha]],2)),'5. Setup'!$D$6:$E$12,2,FALSE)</f>
        <v>Mie</v>
      </c>
      <c r="D240">
        <v>2044126</v>
      </c>
      <c r="E240" t="str">
        <f>IFERROR(+VLOOKUP(Movimientos_2026[[#This Row],[Codigo]],Plan_cuentas[],2,FALSE)," ")</f>
        <v>EGRESOS</v>
      </c>
      <c r="F240" t="str">
        <f>IFERROR(+VLOOKUP(Movimientos_2026[[#This Row],[Codigo]],Plan_cuentas[],3,FALSE)," ")</f>
        <v>Transferencia</v>
      </c>
      <c r="G240" t="str">
        <f>IFERROR(+VLOOKUP(Movimientos_2026[[#This Row],[Codigo]],Plan_cuentas[],4,FALSE)," ")</f>
        <v>Rentas</v>
      </c>
      <c r="H240" t="str">
        <f>IFERROR(+VLOOKUP(Movimientos_2026[[#This Row],[Codigo]],Plan_cuentas[],5,FALSE)," ")</f>
        <v>BAPRO</v>
      </c>
      <c r="I240" s="43">
        <v>45992</v>
      </c>
      <c r="J240" t="s">
        <v>105</v>
      </c>
      <c r="K240" t="str">
        <f>IFERROR(+VLOOKUP(Movimientos_2026[[#This Row],[Codigo]],Plan_cuentas[],6,FALSE)," ")</f>
        <v>6 - FCAtr - Fiat Transf.</v>
      </c>
      <c r="L240" s="50"/>
      <c r="M240" s="52">
        <v>1072300.6000000001</v>
      </c>
      <c r="N240" s="20">
        <f>+Movimientos_2026[[#This Row],[Ingresos]]-Movimientos_2026[[#This Row],[Egresos]]</f>
        <v>-1072300.6000000001</v>
      </c>
      <c r="O240" s="20">
        <f>+O239+Movimientos_2026[[#This Row],[Neto]]</f>
        <v>6576635225.4081545</v>
      </c>
    </row>
    <row r="241" spans="1:15" x14ac:dyDescent="0.25">
      <c r="A241" s="13">
        <v>46036</v>
      </c>
      <c r="B241" s="12">
        <f>MONTH(Movimientos_2026[[#This Row],[Fecha]])</f>
        <v>1</v>
      </c>
      <c r="C241" s="12" t="str">
        <f>VLOOKUP((WEEKDAY(Movimientos_2026[[#This Row],[Fecha]],2)),'5. Setup'!$D$6:$E$12,2,FALSE)</f>
        <v>Mie</v>
      </c>
      <c r="D241">
        <v>2044126</v>
      </c>
      <c r="E241" t="str">
        <f>IFERROR(+VLOOKUP(Movimientos_2026[[#This Row],[Codigo]],Plan_cuentas[],2,FALSE)," ")</f>
        <v>EGRESOS</v>
      </c>
      <c r="F241" t="str">
        <f>IFERROR(+VLOOKUP(Movimientos_2026[[#This Row],[Codigo]],Plan_cuentas[],3,FALSE)," ")</f>
        <v>Transferencia</v>
      </c>
      <c r="G241" t="str">
        <f>IFERROR(+VLOOKUP(Movimientos_2026[[#This Row],[Codigo]],Plan_cuentas[],4,FALSE)," ")</f>
        <v>Rentas</v>
      </c>
      <c r="H241" t="str">
        <f>IFERROR(+VLOOKUP(Movimientos_2026[[#This Row],[Codigo]],Plan_cuentas[],5,FALSE)," ")</f>
        <v>BAPRO</v>
      </c>
      <c r="I241" s="43">
        <v>45992</v>
      </c>
      <c r="J241" t="s">
        <v>106</v>
      </c>
      <c r="K241" t="str">
        <f>IFERROR(+VLOOKUP(Movimientos_2026[[#This Row],[Codigo]],Plan_cuentas[],6,FALSE)," ")</f>
        <v>6 - FCAtr - Fiat Transf.</v>
      </c>
      <c r="L241" s="50"/>
      <c r="M241" s="52">
        <v>977574.6</v>
      </c>
      <c r="N241" s="20">
        <f>+Movimientos_2026[[#This Row],[Ingresos]]-Movimientos_2026[[#This Row],[Egresos]]</f>
        <v>-977574.6</v>
      </c>
      <c r="O241" s="20">
        <f>+O240+Movimientos_2026[[#This Row],[Neto]]</f>
        <v>6575657650.8081541</v>
      </c>
    </row>
    <row r="242" spans="1:15" x14ac:dyDescent="0.25">
      <c r="A242" s="13">
        <v>46036</v>
      </c>
      <c r="B242" s="12">
        <f>MONTH(Movimientos_2026[[#This Row],[Fecha]])</f>
        <v>1</v>
      </c>
      <c r="C242" s="12" t="str">
        <f>VLOOKUP((WEEKDAY(Movimientos_2026[[#This Row],[Fecha]],2)),'5. Setup'!$D$6:$E$12,2,FALSE)</f>
        <v>Mie</v>
      </c>
      <c r="D242">
        <v>2044126</v>
      </c>
      <c r="E242" t="str">
        <f>IFERROR(+VLOOKUP(Movimientos_2026[[#This Row],[Codigo]],Plan_cuentas[],2,FALSE)," ")</f>
        <v>EGRESOS</v>
      </c>
      <c r="F242" t="str">
        <f>IFERROR(+VLOOKUP(Movimientos_2026[[#This Row],[Codigo]],Plan_cuentas[],3,FALSE)," ")</f>
        <v>Transferencia</v>
      </c>
      <c r="G242" t="str">
        <f>IFERROR(+VLOOKUP(Movimientos_2026[[#This Row],[Codigo]],Plan_cuentas[],4,FALSE)," ")</f>
        <v>Rentas</v>
      </c>
      <c r="H242" t="str">
        <f>IFERROR(+VLOOKUP(Movimientos_2026[[#This Row],[Codigo]],Plan_cuentas[],5,FALSE)," ")</f>
        <v>BAPRO</v>
      </c>
      <c r="I242" s="43">
        <v>45992</v>
      </c>
      <c r="J242" t="s">
        <v>107</v>
      </c>
      <c r="K242" t="str">
        <f>IFERROR(+VLOOKUP(Movimientos_2026[[#This Row],[Codigo]],Plan_cuentas[],6,FALSE)," ")</f>
        <v>6 - FCAtr - Fiat Transf.</v>
      </c>
      <c r="L242" s="50"/>
      <c r="M242" s="52">
        <v>736196</v>
      </c>
      <c r="N242" s="20">
        <f>+Movimientos_2026[[#This Row],[Ingresos]]-Movimientos_2026[[#This Row],[Egresos]]</f>
        <v>-736196</v>
      </c>
      <c r="O242" s="20">
        <f>+O241+Movimientos_2026[[#This Row],[Neto]]</f>
        <v>6574921454.8081541</v>
      </c>
    </row>
    <row r="243" spans="1:15" x14ac:dyDescent="0.25">
      <c r="A243" s="13">
        <v>46036</v>
      </c>
      <c r="B243" s="12">
        <f>MONTH(Movimientos_2026[[#This Row],[Fecha]])</f>
        <v>1</v>
      </c>
      <c r="C243" s="12" t="str">
        <f>VLOOKUP((WEEKDAY(Movimientos_2026[[#This Row],[Fecha]],2)),'5. Setup'!$D$6:$E$12,2,FALSE)</f>
        <v>Mie</v>
      </c>
      <c r="D243">
        <v>2044121</v>
      </c>
      <c r="E243" t="str">
        <f>IFERROR(+VLOOKUP(Movimientos_2026[[#This Row],[Codigo]],Plan_cuentas[],2,FALSE)," ")</f>
        <v>EGRESOS</v>
      </c>
      <c r="F243" t="str">
        <f>IFERROR(+VLOOKUP(Movimientos_2026[[#This Row],[Codigo]],Plan_cuentas[],3,FALSE)," ")</f>
        <v>Transferencia</v>
      </c>
      <c r="G243" t="str">
        <f>IFERROR(+VLOOKUP(Movimientos_2026[[#This Row],[Codigo]],Plan_cuentas[],4,FALSE)," ")</f>
        <v>Rentas</v>
      </c>
      <c r="H243" t="str">
        <f>IFERROR(+VLOOKUP(Movimientos_2026[[#This Row],[Codigo]],Plan_cuentas[],5,FALSE)," ")</f>
        <v>BAPRO</v>
      </c>
      <c r="I243" s="43">
        <v>45566</v>
      </c>
      <c r="J243" t="s">
        <v>108</v>
      </c>
      <c r="K243" t="str">
        <f>IFERROR(+VLOOKUP(Movimientos_2026[[#This Row],[Codigo]],Plan_cuentas[],6,FALSE)," ")</f>
        <v>1 - VW - Volkswagen</v>
      </c>
      <c r="L243" s="50"/>
      <c r="M243" s="52">
        <v>1283862.1000000001</v>
      </c>
      <c r="N243" s="20">
        <f>+Movimientos_2026[[#This Row],[Ingresos]]-Movimientos_2026[[#This Row],[Egresos]]</f>
        <v>-1283862.1000000001</v>
      </c>
      <c r="O243" s="20">
        <f>+O242+Movimientos_2026[[#This Row],[Neto]]</f>
        <v>6573637592.7081537</v>
      </c>
    </row>
    <row r="244" spans="1:15" x14ac:dyDescent="0.25">
      <c r="A244" s="13">
        <v>46036</v>
      </c>
      <c r="B244" s="12">
        <f>MONTH(Movimientos_2026[[#This Row],[Fecha]])</f>
        <v>1</v>
      </c>
      <c r="C244" s="12" t="str">
        <f>VLOOKUP((WEEKDAY(Movimientos_2026[[#This Row],[Fecha]],2)),'5. Setup'!$D$6:$E$12,2,FALSE)</f>
        <v>Mie</v>
      </c>
      <c r="D244">
        <v>2044121</v>
      </c>
      <c r="E244" t="str">
        <f>IFERROR(+VLOOKUP(Movimientos_2026[[#This Row],[Codigo]],Plan_cuentas[],2,FALSE)," ")</f>
        <v>EGRESOS</v>
      </c>
      <c r="F244" t="str">
        <f>IFERROR(+VLOOKUP(Movimientos_2026[[#This Row],[Codigo]],Plan_cuentas[],3,FALSE)," ")</f>
        <v>Transferencia</v>
      </c>
      <c r="G244" t="str">
        <f>IFERROR(+VLOOKUP(Movimientos_2026[[#This Row],[Codigo]],Plan_cuentas[],4,FALSE)," ")</f>
        <v>Rentas</v>
      </c>
      <c r="H244" t="str">
        <f>IFERROR(+VLOOKUP(Movimientos_2026[[#This Row],[Codigo]],Plan_cuentas[],5,FALSE)," ")</f>
        <v>BAPRO</v>
      </c>
      <c r="I244" s="43">
        <v>45597</v>
      </c>
      <c r="J244" t="s">
        <v>109</v>
      </c>
      <c r="K244" t="str">
        <f>IFERROR(+VLOOKUP(Movimientos_2026[[#This Row],[Codigo]],Plan_cuentas[],6,FALSE)," ")</f>
        <v>1 - VW - Volkswagen</v>
      </c>
      <c r="L244" s="50"/>
      <c r="M244" s="52">
        <v>6697359.0999999996</v>
      </c>
      <c r="N244" s="20">
        <f>+Movimientos_2026[[#This Row],[Ingresos]]-Movimientos_2026[[#This Row],[Egresos]]</f>
        <v>-6697359.0999999996</v>
      </c>
      <c r="O244" s="20">
        <f>+O243+Movimientos_2026[[#This Row],[Neto]]</f>
        <v>6566940233.6081533</v>
      </c>
    </row>
    <row r="245" spans="1:15" x14ac:dyDescent="0.25">
      <c r="A245" s="13">
        <v>46036</v>
      </c>
      <c r="B245" s="12">
        <f>MONTH(Movimientos_2026[[#This Row],[Fecha]])</f>
        <v>1</v>
      </c>
      <c r="C245" s="12" t="str">
        <f>VLOOKUP((WEEKDAY(Movimientos_2026[[#This Row],[Fecha]],2)),'5. Setup'!$D$6:$E$12,2,FALSE)</f>
        <v>Mie</v>
      </c>
      <c r="D245">
        <v>2044121</v>
      </c>
      <c r="E245" t="str">
        <f>IFERROR(+VLOOKUP(Movimientos_2026[[#This Row],[Codigo]],Plan_cuentas[],2,FALSE)," ")</f>
        <v>EGRESOS</v>
      </c>
      <c r="F245" t="str">
        <f>IFERROR(+VLOOKUP(Movimientos_2026[[#This Row],[Codigo]],Plan_cuentas[],3,FALSE)," ")</f>
        <v>Transferencia</v>
      </c>
      <c r="G245" t="str">
        <f>IFERROR(+VLOOKUP(Movimientos_2026[[#This Row],[Codigo]],Plan_cuentas[],4,FALSE)," ")</f>
        <v>Rentas</v>
      </c>
      <c r="H245" t="str">
        <f>IFERROR(+VLOOKUP(Movimientos_2026[[#This Row],[Codigo]],Plan_cuentas[],5,FALSE)," ")</f>
        <v>BAPRO</v>
      </c>
      <c r="I245" s="43">
        <v>45689</v>
      </c>
      <c r="J245" t="s">
        <v>110</v>
      </c>
      <c r="K245" t="str">
        <f>IFERROR(+VLOOKUP(Movimientos_2026[[#This Row],[Codigo]],Plan_cuentas[],6,FALSE)," ")</f>
        <v>1 - VW - Volkswagen</v>
      </c>
      <c r="L245" s="50"/>
      <c r="M245" s="52">
        <v>2420087.8960000002</v>
      </c>
      <c r="N245" s="20">
        <f>+Movimientos_2026[[#This Row],[Ingresos]]-Movimientos_2026[[#This Row],[Egresos]]</f>
        <v>-2420087.8960000002</v>
      </c>
      <c r="O245" s="20">
        <f>+O244+Movimientos_2026[[#This Row],[Neto]]</f>
        <v>6564520145.7121534</v>
      </c>
    </row>
    <row r="246" spans="1:15" x14ac:dyDescent="0.25">
      <c r="A246" s="13">
        <v>46037</v>
      </c>
      <c r="B246" s="12">
        <f>MONTH(Movimientos_2026[[#This Row],[Fecha]])</f>
        <v>1</v>
      </c>
      <c r="C246" s="12" t="str">
        <f>VLOOKUP((WEEKDAY(Movimientos_2026[[#This Row],[Fecha]],2)),'5. Setup'!$D$6:$E$12,2,FALSE)</f>
        <v>Jue</v>
      </c>
      <c r="D246">
        <v>2044461</v>
      </c>
      <c r="E246" t="str">
        <f>IFERROR(+VLOOKUP(Movimientos_2026[[#This Row],[Codigo]],Plan_cuentas[],2,FALSE)," ")</f>
        <v>EGRESOS</v>
      </c>
      <c r="F246" t="str">
        <f>IFERROR(+VLOOKUP(Movimientos_2026[[#This Row],[Codigo]],Plan_cuentas[],3,FALSE)," ")</f>
        <v>Transferencia</v>
      </c>
      <c r="G246" t="str">
        <f>IFERROR(+VLOOKUP(Movimientos_2026[[#This Row],[Codigo]],Plan_cuentas[],4,FALSE)," ")</f>
        <v>Rentas</v>
      </c>
      <c r="H246" t="str">
        <f>IFERROR(+VLOOKUP(Movimientos_2026[[#This Row],[Codigo]],Plan_cuentas[],5,FALSE)," ")</f>
        <v>MISIONES</v>
      </c>
      <c r="I246" s="43">
        <v>45992</v>
      </c>
      <c r="J246" t="s">
        <v>111</v>
      </c>
      <c r="K246" t="str">
        <f>IFERROR(+VLOOKUP(Movimientos_2026[[#This Row],[Codigo]],Plan_cuentas[],6,FALSE)," ")</f>
        <v>1 - VW - Volkswagen</v>
      </c>
      <c r="L246" s="50"/>
      <c r="M246" s="52">
        <v>1924098.15</v>
      </c>
      <c r="N246" s="20">
        <f>+Movimientos_2026[[#This Row],[Ingresos]]-Movimientos_2026[[#This Row],[Egresos]]</f>
        <v>-1924098.15</v>
      </c>
      <c r="O246" s="20">
        <f>+O245+Movimientos_2026[[#This Row],[Neto]]</f>
        <v>6562596047.5621538</v>
      </c>
    </row>
    <row r="247" spans="1:15" x14ac:dyDescent="0.25">
      <c r="A247" s="13">
        <v>46037</v>
      </c>
      <c r="B247" s="12">
        <f>MONTH(Movimientos_2026[[#This Row],[Fecha]])</f>
        <v>1</v>
      </c>
      <c r="C247" s="12" t="str">
        <f>VLOOKUP((WEEKDAY(Movimientos_2026[[#This Row],[Fecha]],2)),'5. Setup'!$D$6:$E$12,2,FALSE)</f>
        <v>Jue</v>
      </c>
      <c r="D247">
        <v>2044463</v>
      </c>
      <c r="E247" t="str">
        <f>IFERROR(+VLOOKUP(Movimientos_2026[[#This Row],[Codigo]],Plan_cuentas[],2,FALSE)," ")</f>
        <v>EGRESOS</v>
      </c>
      <c r="F247" t="str">
        <f>IFERROR(+VLOOKUP(Movimientos_2026[[#This Row],[Codigo]],Plan_cuentas[],3,FALSE)," ")</f>
        <v>Transferencia</v>
      </c>
      <c r="G247" t="str">
        <f>IFERROR(+VLOOKUP(Movimientos_2026[[#This Row],[Codigo]],Plan_cuentas[],4,FALSE)," ")</f>
        <v>Rentas</v>
      </c>
      <c r="H247" t="str">
        <f>IFERROR(+VLOOKUP(Movimientos_2026[[#This Row],[Codigo]],Plan_cuentas[],5,FALSE)," ")</f>
        <v>MISIONES</v>
      </c>
      <c r="I247" s="43">
        <v>45992</v>
      </c>
      <c r="J247" t="s">
        <v>112</v>
      </c>
      <c r="K247" t="str">
        <f>IFERROR(+VLOOKUP(Movimientos_2026[[#This Row],[Codigo]],Plan_cuentas[],6,FALSE)," ")</f>
        <v>3 - GM - Chevrolet</v>
      </c>
      <c r="L247" s="50"/>
      <c r="M247" s="52">
        <v>2466924.63</v>
      </c>
      <c r="N247" s="20">
        <f>+Movimientos_2026[[#This Row],[Ingresos]]-Movimientos_2026[[#This Row],[Egresos]]</f>
        <v>-2466924.63</v>
      </c>
      <c r="O247" s="20">
        <f>+O246+Movimientos_2026[[#This Row],[Neto]]</f>
        <v>6560129122.9321537</v>
      </c>
    </row>
    <row r="248" spans="1:15" x14ac:dyDescent="0.25">
      <c r="A248" s="13">
        <v>46037</v>
      </c>
      <c r="B248" s="12">
        <f>MONTH(Movimientos_2026[[#This Row],[Fecha]])</f>
        <v>1</v>
      </c>
      <c r="C248" s="12" t="str">
        <f>VLOOKUP((WEEKDAY(Movimientos_2026[[#This Row],[Fecha]],2)),'5. Setup'!$D$6:$E$12,2,FALSE)</f>
        <v>Jue</v>
      </c>
      <c r="D248">
        <v>2014263</v>
      </c>
      <c r="E248" t="str">
        <f>IFERROR(+VLOOKUP(Movimientos_2026[[#This Row],[Codigo]],Plan_cuentas[],2,FALSE)," ")</f>
        <v>EGRESOS</v>
      </c>
      <c r="F248" t="str">
        <f>IFERROR(+VLOOKUP(Movimientos_2026[[#This Row],[Codigo]],Plan_cuentas[],3,FALSE)," ")</f>
        <v>BtoB</v>
      </c>
      <c r="G248" t="str">
        <f>IFERROR(+VLOOKUP(Movimientos_2026[[#This Row],[Codigo]],Plan_cuentas[],4,FALSE)," ")</f>
        <v>Rentas</v>
      </c>
      <c r="H248" t="str">
        <f>IFERROR(+VLOOKUP(Movimientos_2026[[#This Row],[Codigo]],Plan_cuentas[],5,FALSE)," ")</f>
        <v>LA PAMPA</v>
      </c>
      <c r="I248" s="43">
        <v>45992</v>
      </c>
      <c r="J248" t="s">
        <v>113</v>
      </c>
      <c r="K248" t="str">
        <f>IFERROR(+VLOOKUP(Movimientos_2026[[#This Row],[Codigo]],Plan_cuentas[],6,FALSE)," ")</f>
        <v>3 - GM - Chevrolet</v>
      </c>
      <c r="L248" s="50"/>
      <c r="M248" s="52">
        <v>4391385.59</v>
      </c>
      <c r="N248" s="20">
        <f>+Movimientos_2026[[#This Row],[Ingresos]]-Movimientos_2026[[#This Row],[Egresos]]</f>
        <v>-4391385.59</v>
      </c>
      <c r="O248" s="20">
        <f>+O247+Movimientos_2026[[#This Row],[Neto]]</f>
        <v>6555737737.3421535</v>
      </c>
    </row>
    <row r="249" spans="1:15" x14ac:dyDescent="0.25">
      <c r="A249" s="13">
        <v>46037</v>
      </c>
      <c r="B249" s="12">
        <f>MONTH(Movimientos_2026[[#This Row],[Fecha]])</f>
        <v>1</v>
      </c>
      <c r="C249" s="12" t="str">
        <f>VLOOKUP((WEEKDAY(Movimientos_2026[[#This Row],[Fecha]],2)),'5. Setup'!$D$6:$E$12,2,FALSE)</f>
        <v>Jue</v>
      </c>
      <c r="D249">
        <v>2044121</v>
      </c>
      <c r="E249" t="str">
        <f>IFERROR(+VLOOKUP(Movimientos_2026[[#This Row],[Codigo]],Plan_cuentas[],2,FALSE)," ")</f>
        <v>EGRESOS</v>
      </c>
      <c r="F249" t="str">
        <f>IFERROR(+VLOOKUP(Movimientos_2026[[#This Row],[Codigo]],Plan_cuentas[],3,FALSE)," ")</f>
        <v>Transferencia</v>
      </c>
      <c r="G249" t="str">
        <f>IFERROR(+VLOOKUP(Movimientos_2026[[#This Row],[Codigo]],Plan_cuentas[],4,FALSE)," ")</f>
        <v>Rentas</v>
      </c>
      <c r="H249" t="str">
        <f>IFERROR(+VLOOKUP(Movimientos_2026[[#This Row],[Codigo]],Plan_cuentas[],5,FALSE)," ")</f>
        <v>BAPRO</v>
      </c>
      <c r="I249" s="43">
        <v>45689</v>
      </c>
      <c r="J249" t="s">
        <v>114</v>
      </c>
      <c r="K249" t="str">
        <f>IFERROR(+VLOOKUP(Movimientos_2026[[#This Row],[Codigo]],Plan_cuentas[],6,FALSE)," ")</f>
        <v>1 - VW - Volkswagen</v>
      </c>
      <c r="L249" s="50"/>
      <c r="M249" s="52">
        <v>2420087.9</v>
      </c>
      <c r="N249" s="20">
        <f>+Movimientos_2026[[#This Row],[Ingresos]]-Movimientos_2026[[#This Row],[Egresos]]</f>
        <v>-2420087.9</v>
      </c>
      <c r="O249" s="20">
        <f>+O248+Movimientos_2026[[#This Row],[Neto]]</f>
        <v>6553317649.4421539</v>
      </c>
    </row>
    <row r="250" spans="1:15" x14ac:dyDescent="0.25">
      <c r="A250" s="13">
        <v>46037</v>
      </c>
      <c r="B250" s="12">
        <f>MONTH(Movimientos_2026[[#This Row],[Fecha]])</f>
        <v>1</v>
      </c>
      <c r="C250" s="12" t="str">
        <f>VLOOKUP((WEEKDAY(Movimientos_2026[[#This Row],[Fecha]],2)),'5. Setup'!$D$6:$E$12,2,FALSE)</f>
        <v>Jue</v>
      </c>
      <c r="D250">
        <v>2044121</v>
      </c>
      <c r="E250" t="str">
        <f>IFERROR(+VLOOKUP(Movimientos_2026[[#This Row],[Codigo]],Plan_cuentas[],2,FALSE)," ")</f>
        <v>EGRESOS</v>
      </c>
      <c r="F250" t="str">
        <f>IFERROR(+VLOOKUP(Movimientos_2026[[#This Row],[Codigo]],Plan_cuentas[],3,FALSE)," ")</f>
        <v>Transferencia</v>
      </c>
      <c r="G250" t="str">
        <f>IFERROR(+VLOOKUP(Movimientos_2026[[#This Row],[Codigo]],Plan_cuentas[],4,FALSE)," ")</f>
        <v>Rentas</v>
      </c>
      <c r="H250" t="str">
        <f>IFERROR(+VLOOKUP(Movimientos_2026[[#This Row],[Codigo]],Plan_cuentas[],5,FALSE)," ")</f>
        <v>BAPRO</v>
      </c>
      <c r="I250" s="43">
        <v>45717</v>
      </c>
      <c r="J250" t="s">
        <v>115</v>
      </c>
      <c r="K250" t="str">
        <f>IFERROR(+VLOOKUP(Movimientos_2026[[#This Row],[Codigo]],Plan_cuentas[],6,FALSE)," ")</f>
        <v>1 - VW - Volkswagen</v>
      </c>
      <c r="L250" s="50"/>
      <c r="M250" s="52">
        <v>15009522.5</v>
      </c>
      <c r="N250" s="20">
        <f>+Movimientos_2026[[#This Row],[Ingresos]]-Movimientos_2026[[#This Row],[Egresos]]</f>
        <v>-15009522.5</v>
      </c>
      <c r="O250" s="20">
        <f>+O249+Movimientos_2026[[#This Row],[Neto]]</f>
        <v>6538308126.9421539</v>
      </c>
    </row>
    <row r="251" spans="1:15" x14ac:dyDescent="0.25">
      <c r="A251" s="13">
        <v>46037</v>
      </c>
      <c r="B251" s="12">
        <f>MONTH(Movimientos_2026[[#This Row],[Fecha]])</f>
        <v>1</v>
      </c>
      <c r="C251" s="12" t="str">
        <f>VLOOKUP((WEEKDAY(Movimientos_2026[[#This Row],[Fecha]],2)),'5. Setup'!$D$6:$E$12,2,FALSE)</f>
        <v>Jue</v>
      </c>
      <c r="D251">
        <v>2044121</v>
      </c>
      <c r="E251" t="str">
        <f>IFERROR(+VLOOKUP(Movimientos_2026[[#This Row],[Codigo]],Plan_cuentas[],2,FALSE)," ")</f>
        <v>EGRESOS</v>
      </c>
      <c r="F251" t="str">
        <f>IFERROR(+VLOOKUP(Movimientos_2026[[#This Row],[Codigo]],Plan_cuentas[],3,FALSE)," ")</f>
        <v>Transferencia</v>
      </c>
      <c r="G251" t="str">
        <f>IFERROR(+VLOOKUP(Movimientos_2026[[#This Row],[Codigo]],Plan_cuentas[],4,FALSE)," ")</f>
        <v>Rentas</v>
      </c>
      <c r="H251" t="str">
        <f>IFERROR(+VLOOKUP(Movimientos_2026[[#This Row],[Codigo]],Plan_cuentas[],5,FALSE)," ")</f>
        <v>BAPRO</v>
      </c>
      <c r="I251" s="43">
        <v>45778</v>
      </c>
      <c r="J251" t="s">
        <v>116</v>
      </c>
      <c r="K251" t="str">
        <f>IFERROR(+VLOOKUP(Movimientos_2026[[#This Row],[Codigo]],Plan_cuentas[],6,FALSE)," ")</f>
        <v>1 - VW - Volkswagen</v>
      </c>
      <c r="L251" s="50"/>
      <c r="M251" s="52">
        <v>1211397</v>
      </c>
      <c r="N251" s="20">
        <f>+Movimientos_2026[[#This Row],[Ingresos]]-Movimientos_2026[[#This Row],[Egresos]]</f>
        <v>-1211397</v>
      </c>
      <c r="O251" s="20">
        <f>+O250+Movimientos_2026[[#This Row],[Neto]]</f>
        <v>6537096729.9421539</v>
      </c>
    </row>
    <row r="252" spans="1:15" x14ac:dyDescent="0.25">
      <c r="A252" s="13">
        <v>46038</v>
      </c>
      <c r="B252" s="12">
        <f>MONTH(Movimientos_2026[[#This Row],[Fecha]])</f>
        <v>1</v>
      </c>
      <c r="C252" s="12" t="str">
        <f>VLOOKUP((WEEKDAY(Movimientos_2026[[#This Row],[Fecha]],2)),'5. Setup'!$D$6:$E$12,2,FALSE)</f>
        <v>Vie</v>
      </c>
      <c r="D252">
        <v>2014353</v>
      </c>
      <c r="E252" t="str">
        <f>IFERROR(+VLOOKUP(Movimientos_2026[[#This Row],[Codigo]],Plan_cuentas[],2,FALSE)," ")</f>
        <v>EGRESOS</v>
      </c>
      <c r="F252" t="str">
        <f>IFERROR(+VLOOKUP(Movimientos_2026[[#This Row],[Codigo]],Plan_cuentas[],3,FALSE)," ")</f>
        <v>BtoB</v>
      </c>
      <c r="G252" t="str">
        <f>IFERROR(+VLOOKUP(Movimientos_2026[[#This Row],[Codigo]],Plan_cuentas[],4,FALSE)," ")</f>
        <v>Rentas</v>
      </c>
      <c r="H252" t="str">
        <f>IFERROR(+VLOOKUP(Movimientos_2026[[#This Row],[Codigo]],Plan_cuentas[],5,FALSE)," ")</f>
        <v>SAN JUAN</v>
      </c>
      <c r="I252" s="43">
        <v>45992</v>
      </c>
      <c r="J252" t="s">
        <v>117</v>
      </c>
      <c r="K252" t="str">
        <f>IFERROR(+VLOOKUP(Movimientos_2026[[#This Row],[Codigo]],Plan_cuentas[],6,FALSE)," ")</f>
        <v>3 - GM - Chevrolet</v>
      </c>
      <c r="L252" s="50"/>
      <c r="M252" s="52">
        <v>8904970.7599999998</v>
      </c>
      <c r="N252" s="20">
        <f>+Movimientos_2026[[#This Row],[Ingresos]]-Movimientos_2026[[#This Row],[Egresos]]</f>
        <v>-8904970.7599999998</v>
      </c>
      <c r="O252" s="20">
        <f>+O251+Movimientos_2026[[#This Row],[Neto]]</f>
        <v>6528191759.1821537</v>
      </c>
    </row>
    <row r="253" spans="1:15" x14ac:dyDescent="0.25">
      <c r="A253" s="13">
        <v>46038</v>
      </c>
      <c r="B253" s="12">
        <f>MONTH(Movimientos_2026[[#This Row],[Fecha]])</f>
        <v>1</v>
      </c>
      <c r="C253" s="12" t="str">
        <f>VLOOKUP((WEEKDAY(Movimientos_2026[[#This Row],[Fecha]],2)),'5. Setup'!$D$6:$E$12,2,FALSE)</f>
        <v>Vie</v>
      </c>
      <c r="D253">
        <v>2014352</v>
      </c>
      <c r="E253" t="str">
        <f>IFERROR(+VLOOKUP(Movimientos_2026[[#This Row],[Codigo]],Plan_cuentas[],2,FALSE)," ")</f>
        <v>EGRESOS</v>
      </c>
      <c r="F253" t="str">
        <f>IFERROR(+VLOOKUP(Movimientos_2026[[#This Row],[Codigo]],Plan_cuentas[],3,FALSE)," ")</f>
        <v>BtoB</v>
      </c>
      <c r="G253" t="str">
        <f>IFERROR(+VLOOKUP(Movimientos_2026[[#This Row],[Codigo]],Plan_cuentas[],4,FALSE)," ")</f>
        <v>Rentas</v>
      </c>
      <c r="H253" t="str">
        <f>IFERROR(+VLOOKUP(Movimientos_2026[[#This Row],[Codigo]],Plan_cuentas[],5,FALSE)," ")</f>
        <v>SAN JUAN</v>
      </c>
      <c r="I253" s="43">
        <v>45992</v>
      </c>
      <c r="J253" s="53" t="s">
        <v>118</v>
      </c>
      <c r="K253" t="str">
        <f>IFERROR(+VLOOKUP(Movimientos_2026[[#This Row],[Codigo]],Plan_cuentas[],6,FALSE)," ")</f>
        <v>2 - PR - Plan Rombo</v>
      </c>
      <c r="L253" s="51"/>
      <c r="M253" s="52">
        <v>11949496.916672001</v>
      </c>
      <c r="N253" s="20">
        <f>+Movimientos_2026[[#This Row],[Ingresos]]-Movimientos_2026[[#This Row],[Egresos]]</f>
        <v>-11949496.916672001</v>
      </c>
      <c r="O253" s="20">
        <f>+O252+Movimientos_2026[[#This Row],[Neto]]</f>
        <v>6516242262.2654819</v>
      </c>
    </row>
    <row r="254" spans="1:15" x14ac:dyDescent="0.25">
      <c r="A254" s="13">
        <v>46038</v>
      </c>
      <c r="B254" s="12">
        <f>MONTH(Movimientos_2026[[#This Row],[Fecha]])</f>
        <v>1</v>
      </c>
      <c r="C254" s="12" t="str">
        <f>VLOOKUP((WEEKDAY(Movimientos_2026[[#This Row],[Fecha]],2)),'5. Setup'!$D$6:$E$12,2,FALSE)</f>
        <v>Vie</v>
      </c>
      <c r="D254">
        <v>2014354</v>
      </c>
      <c r="E254" t="str">
        <f>IFERROR(+VLOOKUP(Movimientos_2026[[#This Row],[Codigo]],Plan_cuentas[],2,FALSE)," ")</f>
        <v>EGRESOS</v>
      </c>
      <c r="F254" t="str">
        <f>IFERROR(+VLOOKUP(Movimientos_2026[[#This Row],[Codigo]],Plan_cuentas[],3,FALSE)," ")</f>
        <v>BtoB</v>
      </c>
      <c r="G254" t="str">
        <f>IFERROR(+VLOOKUP(Movimientos_2026[[#This Row],[Codigo]],Plan_cuentas[],4,FALSE)," ")</f>
        <v>Rentas</v>
      </c>
      <c r="H254" t="str">
        <f>IFERROR(+VLOOKUP(Movimientos_2026[[#This Row],[Codigo]],Plan_cuentas[],5,FALSE)," ")</f>
        <v>SAN JUAN</v>
      </c>
      <c r="I254" s="43">
        <v>45992</v>
      </c>
      <c r="J254" s="53" t="s">
        <v>119</v>
      </c>
      <c r="K254" t="str">
        <f>IFERROR(+VLOOKUP(Movimientos_2026[[#This Row],[Codigo]],Plan_cuentas[],6,FALSE)," ")</f>
        <v>4 - FCA - Fiat</v>
      </c>
      <c r="L254" s="51"/>
      <c r="M254" s="52">
        <v>7105775.2800000003</v>
      </c>
      <c r="N254" s="20">
        <f>+Movimientos_2026[[#This Row],[Ingresos]]-Movimientos_2026[[#This Row],[Egresos]]</f>
        <v>-7105775.2800000003</v>
      </c>
      <c r="O254" s="20">
        <f>+O253+Movimientos_2026[[#This Row],[Neto]]</f>
        <v>6509136486.9854822</v>
      </c>
    </row>
    <row r="255" spans="1:15" x14ac:dyDescent="0.25">
      <c r="A255" s="13">
        <v>46038</v>
      </c>
      <c r="B255" s="12">
        <f>MONTH(Movimientos_2026[[#This Row],[Fecha]])</f>
        <v>1</v>
      </c>
      <c r="C255" s="12" t="str">
        <f>VLOOKUP((WEEKDAY(Movimientos_2026[[#This Row],[Fecha]],2)),'5. Setup'!$D$6:$E$12,2,FALSE)</f>
        <v>Vie</v>
      </c>
      <c r="D255">
        <v>2014356</v>
      </c>
      <c r="E255" t="str">
        <f>IFERROR(+VLOOKUP(Movimientos_2026[[#This Row],[Codigo]],Plan_cuentas[],2,FALSE)," ")</f>
        <v>EGRESOS</v>
      </c>
      <c r="F255" t="str">
        <f>IFERROR(+VLOOKUP(Movimientos_2026[[#This Row],[Codigo]],Plan_cuentas[],3,FALSE)," ")</f>
        <v>BtoB</v>
      </c>
      <c r="G255" t="str">
        <f>IFERROR(+VLOOKUP(Movimientos_2026[[#This Row],[Codigo]],Plan_cuentas[],4,FALSE)," ")</f>
        <v>Rentas</v>
      </c>
      <c r="H255" t="str">
        <f>IFERROR(+VLOOKUP(Movimientos_2026[[#This Row],[Codigo]],Plan_cuentas[],5,FALSE)," ")</f>
        <v>SAN JUAN</v>
      </c>
      <c r="I255" s="43">
        <v>45992</v>
      </c>
      <c r="J255" s="53" t="s">
        <v>119</v>
      </c>
      <c r="K255" t="str">
        <f>IFERROR(+VLOOKUP(Movimientos_2026[[#This Row],[Codigo]],Plan_cuentas[],6,FALSE)," ")</f>
        <v>6 - FCAtr - Fiat Transf.</v>
      </c>
      <c r="L255" s="51"/>
      <c r="M255" s="52">
        <v>5918444.5199999996</v>
      </c>
      <c r="N255" s="20">
        <f>+Movimientos_2026[[#This Row],[Ingresos]]-Movimientos_2026[[#This Row],[Egresos]]</f>
        <v>-5918444.5199999996</v>
      </c>
      <c r="O255" s="20">
        <f>+O254+Movimientos_2026[[#This Row],[Neto]]</f>
        <v>6503218042.4654818</v>
      </c>
    </row>
    <row r="256" spans="1:15" x14ac:dyDescent="0.25">
      <c r="A256" s="13">
        <v>46038</v>
      </c>
      <c r="B256" s="12">
        <f>MONTH(Movimientos_2026[[#This Row],[Fecha]])</f>
        <v>1</v>
      </c>
      <c r="C256" s="12" t="str">
        <f>VLOOKUP((WEEKDAY(Movimientos_2026[[#This Row],[Fecha]],2)),'5. Setup'!$D$6:$E$12,2,FALSE)</f>
        <v>Vie</v>
      </c>
      <c r="D256">
        <v>2044126</v>
      </c>
      <c r="E256" t="str">
        <f>IFERROR(+VLOOKUP(Movimientos_2026[[#This Row],[Codigo]],Plan_cuentas[],2,FALSE)," ")</f>
        <v>EGRESOS</v>
      </c>
      <c r="F256" t="str">
        <f>IFERROR(+VLOOKUP(Movimientos_2026[[#This Row],[Codigo]],Plan_cuentas[],3,FALSE)," ")</f>
        <v>Transferencia</v>
      </c>
      <c r="G256" t="str">
        <f>IFERROR(+VLOOKUP(Movimientos_2026[[#This Row],[Codigo]],Plan_cuentas[],4,FALSE)," ")</f>
        <v>Rentas</v>
      </c>
      <c r="H256" t="str">
        <f>IFERROR(+VLOOKUP(Movimientos_2026[[#This Row],[Codigo]],Plan_cuentas[],5,FALSE)," ")</f>
        <v>BAPRO</v>
      </c>
      <c r="I256" s="43">
        <v>45992</v>
      </c>
      <c r="J256" t="s">
        <v>120</v>
      </c>
      <c r="K256" t="str">
        <f>IFERROR(+VLOOKUP(Movimientos_2026[[#This Row],[Codigo]],Plan_cuentas[],6,FALSE)," ")</f>
        <v>6 - FCAtr - Fiat Transf.</v>
      </c>
      <c r="L256" s="50"/>
      <c r="M256" s="52">
        <v>9496017.0999999996</v>
      </c>
      <c r="N256" s="20">
        <f>+Movimientos_2026[[#This Row],[Ingresos]]-Movimientos_2026[[#This Row],[Egresos]]</f>
        <v>-9496017.0999999996</v>
      </c>
      <c r="O256" s="20">
        <f>+O255+Movimientos_2026[[#This Row],[Neto]]</f>
        <v>6493722025.3654814</v>
      </c>
    </row>
    <row r="257" spans="1:15" x14ac:dyDescent="0.25">
      <c r="A257" s="13">
        <v>46038</v>
      </c>
      <c r="B257" s="12">
        <f>MONTH(Movimientos_2026[[#This Row],[Fecha]])</f>
        <v>1</v>
      </c>
      <c r="C257" s="12" t="str">
        <f>VLOOKUP((WEEKDAY(Movimientos_2026[[#This Row],[Fecha]],2)),'5. Setup'!$D$6:$E$12,2,FALSE)</f>
        <v>Vie</v>
      </c>
      <c r="D257">
        <v>2044127</v>
      </c>
      <c r="E257" t="str">
        <f>IFERROR(+VLOOKUP(Movimientos_2026[[#This Row],[Codigo]],Plan_cuentas[],2,FALSE)," ")</f>
        <v>EGRESOS</v>
      </c>
      <c r="F257" t="str">
        <f>IFERROR(+VLOOKUP(Movimientos_2026[[#This Row],[Codigo]],Plan_cuentas[],3,FALSE)," ")</f>
        <v>Transferencia</v>
      </c>
      <c r="G257" t="str">
        <f>IFERROR(+VLOOKUP(Movimientos_2026[[#This Row],[Codigo]],Plan_cuentas[],4,FALSE)," ")</f>
        <v>Rentas</v>
      </c>
      <c r="H257" t="str">
        <f>IFERROR(+VLOOKUP(Movimientos_2026[[#This Row],[Codigo]],Plan_cuentas[],5,FALSE)," ")</f>
        <v>BAPRO</v>
      </c>
      <c r="I257" s="43">
        <v>45992</v>
      </c>
      <c r="J257" t="s">
        <v>121</v>
      </c>
      <c r="K257" t="str">
        <f>IFERROR(+VLOOKUP(Movimientos_2026[[#This Row],[Codigo]],Plan_cuentas[],6,FALSE)," ")</f>
        <v>7 - PRtr - Plan Rombo Transf.</v>
      </c>
      <c r="L257" s="50"/>
      <c r="M257" s="52">
        <v>1305268.7</v>
      </c>
      <c r="N257" s="20">
        <f>+Movimientos_2026[[#This Row],[Ingresos]]-Movimientos_2026[[#This Row],[Egresos]]</f>
        <v>-1305268.7</v>
      </c>
      <c r="O257" s="20">
        <f>+O256+Movimientos_2026[[#This Row],[Neto]]</f>
        <v>6492416756.6654816</v>
      </c>
    </row>
    <row r="258" spans="1:15" x14ac:dyDescent="0.25">
      <c r="A258" s="13">
        <v>46038</v>
      </c>
      <c r="B258" s="12">
        <f>MONTH(Movimientos_2026[[#This Row],[Fecha]])</f>
        <v>1</v>
      </c>
      <c r="C258" s="12" t="str">
        <f>VLOOKUP((WEEKDAY(Movimientos_2026[[#This Row],[Fecha]],2)),'5. Setup'!$D$6:$E$12,2,FALSE)</f>
        <v>Vie</v>
      </c>
      <c r="D258">
        <v>2044127</v>
      </c>
      <c r="E258" t="str">
        <f>IFERROR(+VLOOKUP(Movimientos_2026[[#This Row],[Codigo]],Plan_cuentas[],2,FALSE)," ")</f>
        <v>EGRESOS</v>
      </c>
      <c r="F258" t="str">
        <f>IFERROR(+VLOOKUP(Movimientos_2026[[#This Row],[Codigo]],Plan_cuentas[],3,FALSE)," ")</f>
        <v>Transferencia</v>
      </c>
      <c r="G258" t="str">
        <f>IFERROR(+VLOOKUP(Movimientos_2026[[#This Row],[Codigo]],Plan_cuentas[],4,FALSE)," ")</f>
        <v>Rentas</v>
      </c>
      <c r="H258" t="str">
        <f>IFERROR(+VLOOKUP(Movimientos_2026[[#This Row],[Codigo]],Plan_cuentas[],5,FALSE)," ")</f>
        <v>BAPRO</v>
      </c>
      <c r="I258" s="43">
        <v>45992</v>
      </c>
      <c r="J258" t="s">
        <v>122</v>
      </c>
      <c r="K258" t="str">
        <f>IFERROR(+VLOOKUP(Movimientos_2026[[#This Row],[Codigo]],Plan_cuentas[],6,FALSE)," ")</f>
        <v>7 - PRtr - Plan Rombo Transf.</v>
      </c>
      <c r="L258" s="50"/>
      <c r="M258" s="52">
        <v>2009008.6</v>
      </c>
      <c r="N258" s="20">
        <f>+Movimientos_2026[[#This Row],[Ingresos]]-Movimientos_2026[[#This Row],[Egresos]]</f>
        <v>-2009008.6</v>
      </c>
      <c r="O258" s="20">
        <f>+O257+Movimientos_2026[[#This Row],[Neto]]</f>
        <v>6490407748.0654812</v>
      </c>
    </row>
    <row r="259" spans="1:15" x14ac:dyDescent="0.25">
      <c r="A259" s="13">
        <v>46038</v>
      </c>
      <c r="B259" s="12">
        <f>MONTH(Movimientos_2026[[#This Row],[Fecha]])</f>
        <v>1</v>
      </c>
      <c r="C259" s="12" t="str">
        <f>VLOOKUP((WEEKDAY(Movimientos_2026[[#This Row],[Fecha]],2)),'5. Setup'!$D$6:$E$12,2,FALSE)</f>
        <v>Vie</v>
      </c>
      <c r="D259">
        <v>2044127</v>
      </c>
      <c r="E259" t="str">
        <f>IFERROR(+VLOOKUP(Movimientos_2026[[#This Row],[Codigo]],Plan_cuentas[],2,FALSE)," ")</f>
        <v>EGRESOS</v>
      </c>
      <c r="F259" t="str">
        <f>IFERROR(+VLOOKUP(Movimientos_2026[[#This Row],[Codigo]],Plan_cuentas[],3,FALSE)," ")</f>
        <v>Transferencia</v>
      </c>
      <c r="G259" t="str">
        <f>IFERROR(+VLOOKUP(Movimientos_2026[[#This Row],[Codigo]],Plan_cuentas[],4,FALSE)," ")</f>
        <v>Rentas</v>
      </c>
      <c r="H259" t="str">
        <f>IFERROR(+VLOOKUP(Movimientos_2026[[#This Row],[Codigo]],Plan_cuentas[],5,FALSE)," ")</f>
        <v>BAPRO</v>
      </c>
      <c r="I259" s="43">
        <v>45992</v>
      </c>
      <c r="J259" t="s">
        <v>123</v>
      </c>
      <c r="K259" t="str">
        <f>IFERROR(+VLOOKUP(Movimientos_2026[[#This Row],[Codigo]],Plan_cuentas[],6,FALSE)," ")</f>
        <v>7 - PRtr - Plan Rombo Transf.</v>
      </c>
      <c r="L259" s="50"/>
      <c r="M259" s="52">
        <v>1008810</v>
      </c>
      <c r="N259" s="20">
        <f>+Movimientos_2026[[#This Row],[Ingresos]]-Movimientos_2026[[#This Row],[Egresos]]</f>
        <v>-1008810</v>
      </c>
      <c r="O259" s="20">
        <f>+O258+Movimientos_2026[[#This Row],[Neto]]</f>
        <v>6489398938.0654812</v>
      </c>
    </row>
    <row r="260" spans="1:15" x14ac:dyDescent="0.25">
      <c r="A260" s="13">
        <v>46038</v>
      </c>
      <c r="B260" s="12">
        <f>MONTH(Movimientos_2026[[#This Row],[Fecha]])</f>
        <v>1</v>
      </c>
      <c r="C260" s="12" t="str">
        <f>VLOOKUP((WEEKDAY(Movimientos_2026[[#This Row],[Fecha]],2)),'5. Setup'!$D$6:$E$12,2,FALSE)</f>
        <v>Vie</v>
      </c>
      <c r="D260">
        <v>2044121</v>
      </c>
      <c r="E260" t="str">
        <f>IFERROR(+VLOOKUP(Movimientos_2026[[#This Row],[Codigo]],Plan_cuentas[],2,FALSE)," ")</f>
        <v>EGRESOS</v>
      </c>
      <c r="F260" t="str">
        <f>IFERROR(+VLOOKUP(Movimientos_2026[[#This Row],[Codigo]],Plan_cuentas[],3,FALSE)," ")</f>
        <v>Transferencia</v>
      </c>
      <c r="G260" t="str">
        <f>IFERROR(+VLOOKUP(Movimientos_2026[[#This Row],[Codigo]],Plan_cuentas[],4,FALSE)," ")</f>
        <v>Rentas</v>
      </c>
      <c r="H260" t="str">
        <f>IFERROR(+VLOOKUP(Movimientos_2026[[#This Row],[Codigo]],Plan_cuentas[],5,FALSE)," ")</f>
        <v>BAPRO</v>
      </c>
      <c r="I260" s="43">
        <v>45809</v>
      </c>
      <c r="J260" t="s">
        <v>124</v>
      </c>
      <c r="K260" t="str">
        <f>IFERROR(+VLOOKUP(Movimientos_2026[[#This Row],[Codigo]],Plan_cuentas[],6,FALSE)," ")</f>
        <v>1 - VW - Volkswagen</v>
      </c>
      <c r="L260" s="50"/>
      <c r="M260" s="52">
        <v>12213711.4</v>
      </c>
      <c r="N260" s="20">
        <f>+Movimientos_2026[[#This Row],[Ingresos]]-Movimientos_2026[[#This Row],[Egresos]]</f>
        <v>-12213711.4</v>
      </c>
      <c r="O260" s="20">
        <f>+O259+Movimientos_2026[[#This Row],[Neto]]</f>
        <v>6477185226.6654816</v>
      </c>
    </row>
    <row r="261" spans="1:15" x14ac:dyDescent="0.25">
      <c r="A261" s="13">
        <v>46038</v>
      </c>
      <c r="B261" s="12">
        <f>MONTH(Movimientos_2026[[#This Row],[Fecha]])</f>
        <v>1</v>
      </c>
      <c r="C261" s="12" t="str">
        <f>VLOOKUP((WEEKDAY(Movimientos_2026[[#This Row],[Fecha]],2)),'5. Setup'!$D$6:$E$12,2,FALSE)</f>
        <v>Vie</v>
      </c>
      <c r="D261">
        <v>1045453</v>
      </c>
      <c r="E261" t="str">
        <f>IFERROR(+VLOOKUP(Movimientos_2026[[#This Row],[Codigo]],Plan_cuentas[],2,FALSE)," ")</f>
        <v>INGRESOS</v>
      </c>
      <c r="F261" t="str">
        <f>IFERROR(+VLOOKUP(Movimientos_2026[[#This Row],[Codigo]],Plan_cuentas[],3,FALSE)," ")</f>
        <v>Transferencia</v>
      </c>
      <c r="G261" t="str">
        <f>IFERROR(+VLOOKUP(Movimientos_2026[[#This Row],[Codigo]],Plan_cuentas[],4,FALSE)," ")</f>
        <v>Factura</v>
      </c>
      <c r="H261" t="str">
        <f>IFERROR(+VLOOKUP(Movimientos_2026[[#This Row],[Codigo]],Plan_cuentas[],5,FALSE)," ")</f>
        <v>FC DERECHOS</v>
      </c>
      <c r="I261" s="43">
        <v>45992</v>
      </c>
      <c r="J261" t="s">
        <v>125</v>
      </c>
      <c r="K261" t="str">
        <f>IFERROR(+VLOOKUP(Movimientos_2026[[#This Row],[Codigo]],Plan_cuentas[],6,FALSE)," ")</f>
        <v>3 - GM - Chevrolet</v>
      </c>
      <c r="L261" s="50">
        <v>57761114.350000001</v>
      </c>
      <c r="M261" s="52"/>
      <c r="N261" s="20">
        <f>+Movimientos_2026[[#This Row],[Ingresos]]-Movimientos_2026[[#This Row],[Egresos]]</f>
        <v>57761114.350000001</v>
      </c>
      <c r="O261" s="20">
        <f>+O260+Movimientos_2026[[#This Row],[Neto]]</f>
        <v>6534946341.0154819</v>
      </c>
    </row>
    <row r="262" spans="1:15" x14ac:dyDescent="0.25">
      <c r="A262" s="13">
        <v>46041</v>
      </c>
      <c r="B262" s="12">
        <f>MONTH(Movimientos_2026[[#This Row],[Fecha]])</f>
        <v>1</v>
      </c>
      <c r="C262" s="12" t="str">
        <f>VLOOKUP((WEEKDAY(Movimientos_2026[[#This Row],[Fecha]],2)),'5. Setup'!$D$6:$E$12,2,FALSE)</f>
        <v>Lun</v>
      </c>
      <c r="D262">
        <v>2044464</v>
      </c>
      <c r="E262" t="str">
        <f>IFERROR(+VLOOKUP(Movimientos_2026[[#This Row],[Codigo]],Plan_cuentas[],2,FALSE)," ")</f>
        <v>EGRESOS</v>
      </c>
      <c r="F262" t="str">
        <f>IFERROR(+VLOOKUP(Movimientos_2026[[#This Row],[Codigo]],Plan_cuentas[],3,FALSE)," ")</f>
        <v>Transferencia</v>
      </c>
      <c r="G262" t="str">
        <f>IFERROR(+VLOOKUP(Movimientos_2026[[#This Row],[Codigo]],Plan_cuentas[],4,FALSE)," ")</f>
        <v>Rentas</v>
      </c>
      <c r="H262" t="str">
        <f>IFERROR(+VLOOKUP(Movimientos_2026[[#This Row],[Codigo]],Plan_cuentas[],5,FALSE)," ")</f>
        <v>MISIONES</v>
      </c>
      <c r="I262" s="43">
        <v>45992</v>
      </c>
      <c r="J262" s="53" t="s">
        <v>126</v>
      </c>
      <c r="K262" t="str">
        <f>IFERROR(+VLOOKUP(Movimientos_2026[[#This Row],[Codigo]],Plan_cuentas[],6,FALSE)," ")</f>
        <v>4 - FCA - Fiat</v>
      </c>
      <c r="L262" s="51"/>
      <c r="M262" s="52">
        <v>5320265.22</v>
      </c>
      <c r="N262" s="20">
        <f>+Movimientos_2026[[#This Row],[Ingresos]]-Movimientos_2026[[#This Row],[Egresos]]</f>
        <v>-5320265.22</v>
      </c>
      <c r="O262" s="20">
        <f>+O261+Movimientos_2026[[#This Row],[Neto]]</f>
        <v>6529626075.7954817</v>
      </c>
    </row>
    <row r="263" spans="1:15" x14ac:dyDescent="0.25">
      <c r="A263" s="13">
        <v>46041</v>
      </c>
      <c r="B263" s="12">
        <f>MONTH(Movimientos_2026[[#This Row],[Fecha]])</f>
        <v>1</v>
      </c>
      <c r="C263" s="12" t="str">
        <f>VLOOKUP((WEEKDAY(Movimientos_2026[[#This Row],[Fecha]],2)),'5. Setup'!$D$6:$E$12,2,FALSE)</f>
        <v>Lun</v>
      </c>
      <c r="D263">
        <v>2044465</v>
      </c>
      <c r="E263" t="str">
        <f>IFERROR(+VLOOKUP(Movimientos_2026[[#This Row],[Codigo]],Plan_cuentas[],2,FALSE)," ")</f>
        <v>EGRESOS</v>
      </c>
      <c r="F263" t="str">
        <f>IFERROR(+VLOOKUP(Movimientos_2026[[#This Row],[Codigo]],Plan_cuentas[],3,FALSE)," ")</f>
        <v>Transferencia</v>
      </c>
      <c r="G263" t="str">
        <f>IFERROR(+VLOOKUP(Movimientos_2026[[#This Row],[Codigo]],Plan_cuentas[],4,FALSE)," ")</f>
        <v>Rentas</v>
      </c>
      <c r="H263" t="str">
        <f>IFERROR(+VLOOKUP(Movimientos_2026[[#This Row],[Codigo]],Plan_cuentas[],5,FALSE)," ")</f>
        <v>MISIONES</v>
      </c>
      <c r="I263" s="43">
        <v>45992</v>
      </c>
      <c r="J263" s="53" t="s">
        <v>127</v>
      </c>
      <c r="K263" t="str">
        <f>IFERROR(+VLOOKUP(Movimientos_2026[[#This Row],[Codigo]],Plan_cuentas[],6,FALSE)," ")</f>
        <v>5 - YAM - Yamaha</v>
      </c>
      <c r="L263" s="51"/>
      <c r="M263" s="52">
        <v>663941.6385</v>
      </c>
      <c r="N263" s="20">
        <f>+Movimientos_2026[[#This Row],[Ingresos]]-Movimientos_2026[[#This Row],[Egresos]]</f>
        <v>-663941.6385</v>
      </c>
      <c r="O263" s="20">
        <f>+O262+Movimientos_2026[[#This Row],[Neto]]</f>
        <v>6528962134.1569815</v>
      </c>
    </row>
    <row r="264" spans="1:15" x14ac:dyDescent="0.25">
      <c r="A264" s="13">
        <v>46041</v>
      </c>
      <c r="B264" s="12">
        <f>MONTH(Movimientos_2026[[#This Row],[Fecha]])</f>
        <v>1</v>
      </c>
      <c r="C264" s="12" t="str">
        <f>VLOOKUP((WEEKDAY(Movimientos_2026[[#This Row],[Fecha]],2)),'5. Setup'!$D$6:$E$12,2,FALSE)</f>
        <v>Lun</v>
      </c>
      <c r="D264">
        <v>2022103</v>
      </c>
      <c r="E264" t="str">
        <f>IFERROR(+VLOOKUP(Movimientos_2026[[#This Row],[Codigo]],Plan_cuentas[],2,FALSE)," ")</f>
        <v>EGRESOS</v>
      </c>
      <c r="F264" t="str">
        <f>IFERROR(+VLOOKUP(Movimientos_2026[[#This Row],[Codigo]],Plan_cuentas[],3,FALSE)," ")</f>
        <v>DDJJ</v>
      </c>
      <c r="G264" t="str">
        <f>IFERROR(+VLOOKUP(Movimientos_2026[[#This Row],[Codigo]],Plan_cuentas[],4,FALSE)," ")</f>
        <v>Entidades tercerizadas</v>
      </c>
      <c r="H264" t="str">
        <f>IFERROR(+VLOOKUP(Movimientos_2026[[#This Row],[Codigo]],Plan_cuentas[],5,FALSE)," ")</f>
        <v>AMN</v>
      </c>
      <c r="I264" s="43">
        <v>45992</v>
      </c>
      <c r="J264" t="s">
        <v>128</v>
      </c>
      <c r="K264" t="str">
        <f>IFERROR(+VLOOKUP(Movimientos_2026[[#This Row],[Codigo]],Plan_cuentas[],6,FALSE)," ")</f>
        <v>3 - GM - Chevrolet</v>
      </c>
      <c r="L264" s="51"/>
      <c r="M264" s="52">
        <v>14351671.17</v>
      </c>
      <c r="N264" s="20">
        <f>+Movimientos_2026[[#This Row],[Ingresos]]-Movimientos_2026[[#This Row],[Egresos]]</f>
        <v>-14351671.17</v>
      </c>
      <c r="O264" s="20">
        <f>+O263+Movimientos_2026[[#This Row],[Neto]]</f>
        <v>6514610462.9869814</v>
      </c>
    </row>
    <row r="265" spans="1:15" x14ac:dyDescent="0.25">
      <c r="A265" s="13">
        <v>46041</v>
      </c>
      <c r="B265" s="12">
        <f>MONTH(Movimientos_2026[[#This Row],[Fecha]])</f>
        <v>1</v>
      </c>
      <c r="C265" s="12" t="str">
        <f>VLOOKUP((WEEKDAY(Movimientos_2026[[#This Row],[Fecha]],2)),'5. Setup'!$D$6:$E$12,2,FALSE)</f>
        <v>Lun</v>
      </c>
      <c r="D265">
        <v>2022104</v>
      </c>
      <c r="E265" t="str">
        <f>IFERROR(+VLOOKUP(Movimientos_2026[[#This Row],[Codigo]],Plan_cuentas[],2,FALSE)," ")</f>
        <v>EGRESOS</v>
      </c>
      <c r="F265" t="str">
        <f>IFERROR(+VLOOKUP(Movimientos_2026[[#This Row],[Codigo]],Plan_cuentas[],3,FALSE)," ")</f>
        <v>DDJJ</v>
      </c>
      <c r="G265" t="str">
        <f>IFERROR(+VLOOKUP(Movimientos_2026[[#This Row],[Codigo]],Plan_cuentas[],4,FALSE)," ")</f>
        <v>Entidades tercerizadas</v>
      </c>
      <c r="H265" t="str">
        <f>IFERROR(+VLOOKUP(Movimientos_2026[[#This Row],[Codigo]],Plan_cuentas[],5,FALSE)," ")</f>
        <v>AMN</v>
      </c>
      <c r="I265" s="43">
        <v>45992</v>
      </c>
      <c r="J265" t="s">
        <v>128</v>
      </c>
      <c r="K265" t="str">
        <f>IFERROR(+VLOOKUP(Movimientos_2026[[#This Row],[Codigo]],Plan_cuentas[],6,FALSE)," ")</f>
        <v>4 - FCA - Fiat</v>
      </c>
      <c r="L265" s="51"/>
      <c r="M265" s="52">
        <v>10201841.060000001</v>
      </c>
      <c r="N265" s="20">
        <f>+Movimientos_2026[[#This Row],[Ingresos]]-Movimientos_2026[[#This Row],[Egresos]]</f>
        <v>-10201841.060000001</v>
      </c>
      <c r="O265" s="20">
        <f>+O264+Movimientos_2026[[#This Row],[Neto]]</f>
        <v>6504408621.926981</v>
      </c>
    </row>
    <row r="266" spans="1:15" x14ac:dyDescent="0.25">
      <c r="A266" s="13">
        <v>46041</v>
      </c>
      <c r="B266" s="12">
        <f>MONTH(Movimientos_2026[[#This Row],[Fecha]])</f>
        <v>1</v>
      </c>
      <c r="C266" s="12" t="str">
        <f>VLOOKUP((WEEKDAY(Movimientos_2026[[#This Row],[Fecha]],2)),'5. Setup'!$D$6:$E$12,2,FALSE)</f>
        <v>Lun</v>
      </c>
      <c r="D266">
        <v>2022111</v>
      </c>
      <c r="E266" t="str">
        <f>IFERROR(+VLOOKUP(Movimientos_2026[[#This Row],[Codigo]],Plan_cuentas[],2,FALSE)," ")</f>
        <v>EGRESOS</v>
      </c>
      <c r="F266" t="str">
        <f>IFERROR(+VLOOKUP(Movimientos_2026[[#This Row],[Codigo]],Plan_cuentas[],3,FALSE)," ")</f>
        <v>DDJJ</v>
      </c>
      <c r="G266" t="str">
        <f>IFERROR(+VLOOKUP(Movimientos_2026[[#This Row],[Codigo]],Plan_cuentas[],4,FALSE)," ")</f>
        <v>Entidades tercerizadas</v>
      </c>
      <c r="H266" t="str">
        <f>IFERROR(+VLOOKUP(Movimientos_2026[[#This Row],[Codigo]],Plan_cuentas[],5,FALSE)," ")</f>
        <v>APESI</v>
      </c>
      <c r="I266" s="43">
        <v>45992</v>
      </c>
      <c r="J266" t="s">
        <v>129</v>
      </c>
      <c r="K266" t="str">
        <f>IFERROR(+VLOOKUP(Movimientos_2026[[#This Row],[Codigo]],Plan_cuentas[],6,FALSE)," ")</f>
        <v>1 - VW - Volkswagen</v>
      </c>
      <c r="L266" s="51"/>
      <c r="M266" s="52">
        <v>4310620.1399999997</v>
      </c>
      <c r="N266" s="20">
        <f>+Movimientos_2026[[#This Row],[Ingresos]]-Movimientos_2026[[#This Row],[Egresos]]</f>
        <v>-4310620.1399999997</v>
      </c>
      <c r="O266" s="20">
        <f>+O265+Movimientos_2026[[#This Row],[Neto]]</f>
        <v>6500098001.7869806</v>
      </c>
    </row>
    <row r="267" spans="1:15" x14ac:dyDescent="0.25">
      <c r="A267" s="13">
        <v>46041</v>
      </c>
      <c r="B267" s="12">
        <f>MONTH(Movimientos_2026[[#This Row],[Fecha]])</f>
        <v>1</v>
      </c>
      <c r="C267" s="12" t="str">
        <f>VLOOKUP((WEEKDAY(Movimientos_2026[[#This Row],[Fecha]],2)),'5. Setup'!$D$6:$E$12,2,FALSE)</f>
        <v>Lun</v>
      </c>
      <c r="D267">
        <v>2022112</v>
      </c>
      <c r="E267" t="str">
        <f>IFERROR(+VLOOKUP(Movimientos_2026[[#This Row],[Codigo]],Plan_cuentas[],2,FALSE)," ")</f>
        <v>EGRESOS</v>
      </c>
      <c r="F267" t="str">
        <f>IFERROR(+VLOOKUP(Movimientos_2026[[#This Row],[Codigo]],Plan_cuentas[],3,FALSE)," ")</f>
        <v>DDJJ</v>
      </c>
      <c r="G267" t="str">
        <f>IFERROR(+VLOOKUP(Movimientos_2026[[#This Row],[Codigo]],Plan_cuentas[],4,FALSE)," ")</f>
        <v>Entidades tercerizadas</v>
      </c>
      <c r="H267" t="str">
        <f>IFERROR(+VLOOKUP(Movimientos_2026[[#This Row],[Codigo]],Plan_cuentas[],5,FALSE)," ")</f>
        <v>APESI</v>
      </c>
      <c r="I267" s="43">
        <v>45992</v>
      </c>
      <c r="J267" t="s">
        <v>129</v>
      </c>
      <c r="K267" t="str">
        <f>IFERROR(+VLOOKUP(Movimientos_2026[[#This Row],[Codigo]],Plan_cuentas[],6,FALSE)," ")</f>
        <v>2 - PR - Plan Rombo</v>
      </c>
      <c r="L267" s="51"/>
      <c r="M267" s="52">
        <v>31786191.18</v>
      </c>
      <c r="N267" s="20">
        <f>+Movimientos_2026[[#This Row],[Ingresos]]-Movimientos_2026[[#This Row],[Egresos]]</f>
        <v>-31786191.18</v>
      </c>
      <c r="O267" s="20">
        <f>+O266+Movimientos_2026[[#This Row],[Neto]]</f>
        <v>6468311810.6069803</v>
      </c>
    </row>
    <row r="268" spans="1:15" x14ac:dyDescent="0.25">
      <c r="A268" s="13">
        <v>46041</v>
      </c>
      <c r="B268" s="12">
        <f>MONTH(Movimientos_2026[[#This Row],[Fecha]])</f>
        <v>1</v>
      </c>
      <c r="C268" s="12" t="str">
        <f>VLOOKUP((WEEKDAY(Movimientos_2026[[#This Row],[Fecha]],2)),'5. Setup'!$D$6:$E$12,2,FALSE)</f>
        <v>Lun</v>
      </c>
      <c r="D268">
        <v>2022113</v>
      </c>
      <c r="E268" t="str">
        <f>IFERROR(+VLOOKUP(Movimientos_2026[[#This Row],[Codigo]],Plan_cuentas[],2,FALSE)," ")</f>
        <v>EGRESOS</v>
      </c>
      <c r="F268" t="str">
        <f>IFERROR(+VLOOKUP(Movimientos_2026[[#This Row],[Codigo]],Plan_cuentas[],3,FALSE)," ")</f>
        <v>DDJJ</v>
      </c>
      <c r="G268" t="str">
        <f>IFERROR(+VLOOKUP(Movimientos_2026[[#This Row],[Codigo]],Plan_cuentas[],4,FALSE)," ")</f>
        <v>Entidades tercerizadas</v>
      </c>
      <c r="H268" t="str">
        <f>IFERROR(+VLOOKUP(Movimientos_2026[[#This Row],[Codigo]],Plan_cuentas[],5,FALSE)," ")</f>
        <v>APESI</v>
      </c>
      <c r="I268" s="43">
        <v>45992</v>
      </c>
      <c r="J268" t="s">
        <v>129</v>
      </c>
      <c r="K268" t="str">
        <f>IFERROR(+VLOOKUP(Movimientos_2026[[#This Row],[Codigo]],Plan_cuentas[],6,FALSE)," ")</f>
        <v>3 - GM - Chevrolet</v>
      </c>
      <c r="L268" s="50"/>
      <c r="M268" s="52">
        <v>7057850.7699999996</v>
      </c>
      <c r="N268" s="20">
        <f>+Movimientos_2026[[#This Row],[Ingresos]]-Movimientos_2026[[#This Row],[Egresos]]</f>
        <v>-7057850.7699999996</v>
      </c>
      <c r="O268" s="20">
        <f>+O267+Movimientos_2026[[#This Row],[Neto]]</f>
        <v>6461253959.8369799</v>
      </c>
    </row>
    <row r="269" spans="1:15" x14ac:dyDescent="0.25">
      <c r="A269" s="13">
        <v>46041</v>
      </c>
      <c r="B269" s="12">
        <f>MONTH(Movimientos_2026[[#This Row],[Fecha]])</f>
        <v>1</v>
      </c>
      <c r="C269" s="12" t="str">
        <f>VLOOKUP((WEEKDAY(Movimientos_2026[[#This Row],[Fecha]],2)),'5. Setup'!$D$6:$E$12,2,FALSE)</f>
        <v>Lun</v>
      </c>
      <c r="D269">
        <v>2022114</v>
      </c>
      <c r="E269" t="str">
        <f>IFERROR(+VLOOKUP(Movimientos_2026[[#This Row],[Codigo]],Plan_cuentas[],2,FALSE)," ")</f>
        <v>EGRESOS</v>
      </c>
      <c r="F269" t="str">
        <f>IFERROR(+VLOOKUP(Movimientos_2026[[#This Row],[Codigo]],Plan_cuentas[],3,FALSE)," ")</f>
        <v>DDJJ</v>
      </c>
      <c r="G269" t="str">
        <f>IFERROR(+VLOOKUP(Movimientos_2026[[#This Row],[Codigo]],Plan_cuentas[],4,FALSE)," ")</f>
        <v>Entidades tercerizadas</v>
      </c>
      <c r="H269" t="str">
        <f>IFERROR(+VLOOKUP(Movimientos_2026[[#This Row],[Codigo]],Plan_cuentas[],5,FALSE)," ")</f>
        <v>APESI</v>
      </c>
      <c r="I269" s="43">
        <v>45992</v>
      </c>
      <c r="J269" t="s">
        <v>129</v>
      </c>
      <c r="K269" t="str">
        <f>IFERROR(+VLOOKUP(Movimientos_2026[[#This Row],[Codigo]],Plan_cuentas[],6,FALSE)," ")</f>
        <v>4 - FCA - Fiat</v>
      </c>
      <c r="L269" s="50"/>
      <c r="M269" s="52">
        <v>18015944.210000001</v>
      </c>
      <c r="N269" s="20">
        <f>+Movimientos_2026[[#This Row],[Ingresos]]-Movimientos_2026[[#This Row],[Egresos]]</f>
        <v>-18015944.210000001</v>
      </c>
      <c r="O269" s="20">
        <f>+O268+Movimientos_2026[[#This Row],[Neto]]</f>
        <v>6443238015.6269798</v>
      </c>
    </row>
    <row r="270" spans="1:15" x14ac:dyDescent="0.25">
      <c r="A270" s="13">
        <v>46041</v>
      </c>
      <c r="B270" s="12">
        <f>MONTH(Movimientos_2026[[#This Row],[Fecha]])</f>
        <v>1</v>
      </c>
      <c r="C270" s="12" t="str">
        <f>VLOOKUP((WEEKDAY(Movimientos_2026[[#This Row],[Fecha]],2)),'5. Setup'!$D$6:$E$12,2,FALSE)</f>
        <v>Lun</v>
      </c>
      <c r="D270">
        <v>2021131</v>
      </c>
      <c r="E270" t="str">
        <f>IFERROR(+VLOOKUP(Movimientos_2026[[#This Row],[Codigo]],Plan_cuentas[],2,FALSE)," ")</f>
        <v>EGRESOS</v>
      </c>
      <c r="F270" t="str">
        <f>IFERROR(+VLOOKUP(Movimientos_2026[[#This Row],[Codigo]],Plan_cuentas[],3,FALSE)," ")</f>
        <v>DDJJ</v>
      </c>
      <c r="G270" t="str">
        <f>IFERROR(+VLOOKUP(Movimientos_2026[[#This Row],[Codigo]],Plan_cuentas[],4,FALSE)," ")</f>
        <v>Entidades co-participadas</v>
      </c>
      <c r="H270" t="str">
        <f>IFERROR(+VLOOKUP(Movimientos_2026[[#This Row],[Codigo]],Plan_cuentas[],5,FALSE)," ")</f>
        <v>BCLP</v>
      </c>
      <c r="I270" s="43">
        <v>45992</v>
      </c>
      <c r="J270" t="s">
        <v>130</v>
      </c>
      <c r="K270" t="str">
        <f>IFERROR(+VLOOKUP(Movimientos_2026[[#This Row],[Codigo]],Plan_cuentas[],6,FALSE)," ")</f>
        <v>1 - VW - Volkswagen</v>
      </c>
      <c r="L270" s="50"/>
      <c r="M270" s="52">
        <v>14928594.32</v>
      </c>
      <c r="N270" s="20">
        <f>+Movimientos_2026[[#This Row],[Ingresos]]-Movimientos_2026[[#This Row],[Egresos]]</f>
        <v>-14928594.32</v>
      </c>
      <c r="O270" s="20">
        <f>+O269+Movimientos_2026[[#This Row],[Neto]]</f>
        <v>6428309421.3069801</v>
      </c>
    </row>
    <row r="271" spans="1:15" x14ac:dyDescent="0.25">
      <c r="A271" s="13">
        <v>46041</v>
      </c>
      <c r="B271" s="12">
        <f>MONTH(Movimientos_2026[[#This Row],[Fecha]])</f>
        <v>1</v>
      </c>
      <c r="C271" s="12" t="str">
        <f>VLOOKUP((WEEKDAY(Movimientos_2026[[#This Row],[Fecha]],2)),'5. Setup'!$D$6:$E$12,2,FALSE)</f>
        <v>Lun</v>
      </c>
      <c r="D271">
        <v>2021133</v>
      </c>
      <c r="E271" t="str">
        <f>IFERROR(+VLOOKUP(Movimientos_2026[[#This Row],[Codigo]],Plan_cuentas[],2,FALSE)," ")</f>
        <v>EGRESOS</v>
      </c>
      <c r="F271" t="str">
        <f>IFERROR(+VLOOKUP(Movimientos_2026[[#This Row],[Codigo]],Plan_cuentas[],3,FALSE)," ")</f>
        <v>DDJJ</v>
      </c>
      <c r="G271" t="str">
        <f>IFERROR(+VLOOKUP(Movimientos_2026[[#This Row],[Codigo]],Plan_cuentas[],4,FALSE)," ")</f>
        <v>Entidades co-participadas</v>
      </c>
      <c r="H271" t="str">
        <f>IFERROR(+VLOOKUP(Movimientos_2026[[#This Row],[Codigo]],Plan_cuentas[],5,FALSE)," ")</f>
        <v>BCLP</v>
      </c>
      <c r="I271" s="43">
        <v>45992</v>
      </c>
      <c r="J271" t="s">
        <v>130</v>
      </c>
      <c r="K271" t="str">
        <f>IFERROR(+VLOOKUP(Movimientos_2026[[#This Row],[Codigo]],Plan_cuentas[],6,FALSE)," ")</f>
        <v>3 - GM - Chevrolet</v>
      </c>
      <c r="L271" s="50"/>
      <c r="M271" s="52">
        <v>8308236.2300000004</v>
      </c>
      <c r="N271" s="20">
        <f>+Movimientos_2026[[#This Row],[Ingresos]]-Movimientos_2026[[#This Row],[Egresos]]</f>
        <v>-8308236.2300000004</v>
      </c>
      <c r="O271" s="20">
        <f>+O270+Movimientos_2026[[#This Row],[Neto]]</f>
        <v>6420001185.0769806</v>
      </c>
    </row>
    <row r="272" spans="1:15" x14ac:dyDescent="0.25">
      <c r="A272" s="13">
        <v>46041</v>
      </c>
      <c r="B272" s="12">
        <f>MONTH(Movimientos_2026[[#This Row],[Fecha]])</f>
        <v>1</v>
      </c>
      <c r="C272" s="12" t="str">
        <f>VLOOKUP((WEEKDAY(Movimientos_2026[[#This Row],[Fecha]],2)),'5. Setup'!$D$6:$E$12,2,FALSE)</f>
        <v>Lun</v>
      </c>
      <c r="D272">
        <v>2021134</v>
      </c>
      <c r="E272" t="str">
        <f>IFERROR(+VLOOKUP(Movimientos_2026[[#This Row],[Codigo]],Plan_cuentas[],2,FALSE)," ")</f>
        <v>EGRESOS</v>
      </c>
      <c r="F272" t="str">
        <f>IFERROR(+VLOOKUP(Movimientos_2026[[#This Row],[Codigo]],Plan_cuentas[],3,FALSE)," ")</f>
        <v>DDJJ</v>
      </c>
      <c r="G272" t="str">
        <f>IFERROR(+VLOOKUP(Movimientos_2026[[#This Row],[Codigo]],Plan_cuentas[],4,FALSE)," ")</f>
        <v>Entidades co-participadas</v>
      </c>
      <c r="H272" t="str">
        <f>IFERROR(+VLOOKUP(Movimientos_2026[[#This Row],[Codigo]],Plan_cuentas[],5,FALSE)," ")</f>
        <v>BCLP</v>
      </c>
      <c r="I272" s="43">
        <v>45992</v>
      </c>
      <c r="J272" t="s">
        <v>130</v>
      </c>
      <c r="K272" t="str">
        <f>IFERROR(+VLOOKUP(Movimientos_2026[[#This Row],[Codigo]],Plan_cuentas[],6,FALSE)," ")</f>
        <v>4 - FCA - Fiat</v>
      </c>
      <c r="L272" s="50"/>
      <c r="M272" s="52">
        <v>14434515.689999999</v>
      </c>
      <c r="N272" s="20">
        <f>+Movimientos_2026[[#This Row],[Ingresos]]-Movimientos_2026[[#This Row],[Egresos]]</f>
        <v>-14434515.689999999</v>
      </c>
      <c r="O272" s="20">
        <f>+O271+Movimientos_2026[[#This Row],[Neto]]</f>
        <v>6405566669.386981</v>
      </c>
    </row>
    <row r="273" spans="1:15" x14ac:dyDescent="0.25">
      <c r="A273" s="13">
        <v>46041</v>
      </c>
      <c r="B273" s="12">
        <f>MONTH(Movimientos_2026[[#This Row],[Fecha]])</f>
        <v>1</v>
      </c>
      <c r="C273" s="12" t="str">
        <f>VLOOKUP((WEEKDAY(Movimientos_2026[[#This Row],[Fecha]],2)),'5. Setup'!$D$6:$E$12,2,FALSE)</f>
        <v>Lun</v>
      </c>
      <c r="D273">
        <v>2022332</v>
      </c>
      <c r="E273" t="str">
        <f>IFERROR(+VLOOKUP(Movimientos_2026[[#This Row],[Codigo]],Plan_cuentas[],2,FALSE)," ")</f>
        <v>EGRESOS</v>
      </c>
      <c r="F273" t="str">
        <f>IFERROR(+VLOOKUP(Movimientos_2026[[#This Row],[Codigo]],Plan_cuentas[],3,FALSE)," ")</f>
        <v>DDJJ</v>
      </c>
      <c r="G273" t="str">
        <f>IFERROR(+VLOOKUP(Movimientos_2026[[#This Row],[Codigo]],Plan_cuentas[],4,FALSE)," ")</f>
        <v>Entidades tercerizadas</v>
      </c>
      <c r="H273" t="str">
        <f>IFERROR(+VLOOKUP(Movimientos_2026[[#This Row],[Codigo]],Plan_cuentas[],5,FALSE)," ")</f>
        <v>QUILMES</v>
      </c>
      <c r="I273" s="43">
        <v>45992</v>
      </c>
      <c r="J273" t="s">
        <v>131</v>
      </c>
      <c r="K273" t="str">
        <f>IFERROR(+VLOOKUP(Movimientos_2026[[#This Row],[Codigo]],Plan_cuentas[],6,FALSE)," ")</f>
        <v>2 - PR - Plan Rombo</v>
      </c>
      <c r="L273" s="50"/>
      <c r="M273" s="52">
        <v>4498357.53</v>
      </c>
      <c r="N273" s="20">
        <f>+Movimientos_2026[[#This Row],[Ingresos]]-Movimientos_2026[[#This Row],[Egresos]]</f>
        <v>-4498357.53</v>
      </c>
      <c r="O273" s="20">
        <f>+O272+Movimientos_2026[[#This Row],[Neto]]</f>
        <v>6401068311.8569813</v>
      </c>
    </row>
    <row r="274" spans="1:15" x14ac:dyDescent="0.25">
      <c r="A274" s="13">
        <v>46041</v>
      </c>
      <c r="B274" s="12">
        <f>MONTH(Movimientos_2026[[#This Row],[Fecha]])</f>
        <v>1</v>
      </c>
      <c r="C274" s="12" t="str">
        <f>VLOOKUP((WEEKDAY(Movimientos_2026[[#This Row],[Fecha]],2)),'5. Setup'!$D$6:$E$12,2,FALSE)</f>
        <v>Lun</v>
      </c>
      <c r="D274">
        <v>2021441</v>
      </c>
      <c r="E274" t="str">
        <f>IFERROR(+VLOOKUP(Movimientos_2026[[#This Row],[Codigo]],Plan_cuentas[],2,FALSE)," ")</f>
        <v>EGRESOS</v>
      </c>
      <c r="F274" t="str">
        <f>IFERROR(+VLOOKUP(Movimientos_2026[[#This Row],[Codigo]],Plan_cuentas[],3,FALSE)," ")</f>
        <v>DDJJ</v>
      </c>
      <c r="G274" t="str">
        <f>IFERROR(+VLOOKUP(Movimientos_2026[[#This Row],[Codigo]],Plan_cuentas[],4,FALSE)," ")</f>
        <v>Entidades co-participadas</v>
      </c>
      <c r="H274" t="str">
        <f>IFERROR(+VLOOKUP(Movimientos_2026[[#This Row],[Codigo]],Plan_cuentas[],5,FALSE)," ")</f>
        <v>UISCUMARR</v>
      </c>
      <c r="I274" s="43">
        <v>45992</v>
      </c>
      <c r="J274" t="s">
        <v>132</v>
      </c>
      <c r="K274" t="str">
        <f>IFERROR(+VLOOKUP(Movimientos_2026[[#This Row],[Codigo]],Plan_cuentas[],6,FALSE)," ")</f>
        <v>1 - VW - Volkswagen</v>
      </c>
      <c r="L274" s="50"/>
      <c r="M274" s="52">
        <v>131552921.13</v>
      </c>
      <c r="N274" s="20">
        <f>+Movimientos_2026[[#This Row],[Ingresos]]-Movimientos_2026[[#This Row],[Egresos]]</f>
        <v>-131552921.13</v>
      </c>
      <c r="O274" s="20">
        <f>+O273+Movimientos_2026[[#This Row],[Neto]]</f>
        <v>6269515390.7269812</v>
      </c>
    </row>
    <row r="275" spans="1:15" x14ac:dyDescent="0.25">
      <c r="A275" s="13">
        <v>46041</v>
      </c>
      <c r="B275" s="12">
        <f>MONTH(Movimientos_2026[[#This Row],[Fecha]])</f>
        <v>1</v>
      </c>
      <c r="C275" s="12" t="str">
        <f>VLOOKUP((WEEKDAY(Movimientos_2026[[#This Row],[Fecha]],2)),'5. Setup'!$D$6:$E$12,2,FALSE)</f>
        <v>Lun</v>
      </c>
      <c r="D275">
        <v>2021442</v>
      </c>
      <c r="E275" t="str">
        <f>IFERROR(+VLOOKUP(Movimientos_2026[[#This Row],[Codigo]],Plan_cuentas[],2,FALSE)," ")</f>
        <v>EGRESOS</v>
      </c>
      <c r="F275" t="str">
        <f>IFERROR(+VLOOKUP(Movimientos_2026[[#This Row],[Codigo]],Plan_cuentas[],3,FALSE)," ")</f>
        <v>DDJJ</v>
      </c>
      <c r="G275" t="str">
        <f>IFERROR(+VLOOKUP(Movimientos_2026[[#This Row],[Codigo]],Plan_cuentas[],4,FALSE)," ")</f>
        <v>Entidades co-participadas</v>
      </c>
      <c r="H275" t="str">
        <f>IFERROR(+VLOOKUP(Movimientos_2026[[#This Row],[Codigo]],Plan_cuentas[],5,FALSE)," ")</f>
        <v>UISCUMARR</v>
      </c>
      <c r="I275" s="43">
        <v>45992</v>
      </c>
      <c r="J275" t="s">
        <v>132</v>
      </c>
      <c r="K275" t="str">
        <f>IFERROR(+VLOOKUP(Movimientos_2026[[#This Row],[Codigo]],Plan_cuentas[],6,FALSE)," ")</f>
        <v>2 - PR - Plan Rombo</v>
      </c>
      <c r="L275" s="50"/>
      <c r="M275" s="52">
        <f>88914093.39+14092169.19</f>
        <v>103006262.58</v>
      </c>
      <c r="N275" s="20">
        <f>+Movimientos_2026[[#This Row],[Ingresos]]-Movimientos_2026[[#This Row],[Egresos]]</f>
        <v>-103006262.58</v>
      </c>
      <c r="O275" s="20">
        <f>+O274+Movimientos_2026[[#This Row],[Neto]]</f>
        <v>6166509128.1469812</v>
      </c>
    </row>
    <row r="276" spans="1:15" x14ac:dyDescent="0.25">
      <c r="A276" s="13">
        <v>46041</v>
      </c>
      <c r="B276" s="12">
        <f>MONTH(Movimientos_2026[[#This Row],[Fecha]])</f>
        <v>1</v>
      </c>
      <c r="C276" s="12" t="str">
        <f>VLOOKUP((WEEKDAY(Movimientos_2026[[#This Row],[Fecha]],2)),'5. Setup'!$D$6:$E$12,2,FALSE)</f>
        <v>Lun</v>
      </c>
      <c r="D276">
        <v>2021443</v>
      </c>
      <c r="E276" t="str">
        <f>IFERROR(+VLOOKUP(Movimientos_2026[[#This Row],[Codigo]],Plan_cuentas[],2,FALSE)," ")</f>
        <v>EGRESOS</v>
      </c>
      <c r="F276" t="str">
        <f>IFERROR(+VLOOKUP(Movimientos_2026[[#This Row],[Codigo]],Plan_cuentas[],3,FALSE)," ")</f>
        <v>DDJJ</v>
      </c>
      <c r="G276" t="str">
        <f>IFERROR(+VLOOKUP(Movimientos_2026[[#This Row],[Codigo]],Plan_cuentas[],4,FALSE)," ")</f>
        <v>Entidades co-participadas</v>
      </c>
      <c r="H276" t="str">
        <f>IFERROR(+VLOOKUP(Movimientos_2026[[#This Row],[Codigo]],Plan_cuentas[],5,FALSE)," ")</f>
        <v>UISCUMARR</v>
      </c>
      <c r="I276" s="43">
        <v>45992</v>
      </c>
      <c r="J276" t="s">
        <v>132</v>
      </c>
      <c r="K276" t="str">
        <f>IFERROR(+VLOOKUP(Movimientos_2026[[#This Row],[Codigo]],Plan_cuentas[],6,FALSE)," ")</f>
        <v>3 - GM - Chevrolet</v>
      </c>
      <c r="L276" s="50"/>
      <c r="M276" s="52">
        <v>28244882.68</v>
      </c>
      <c r="N276" s="20">
        <f>+Movimientos_2026[[#This Row],[Ingresos]]-Movimientos_2026[[#This Row],[Egresos]]</f>
        <v>-28244882.68</v>
      </c>
      <c r="O276" s="20">
        <f>+O275+Movimientos_2026[[#This Row],[Neto]]</f>
        <v>6138264245.4669809</v>
      </c>
    </row>
    <row r="277" spans="1:15" x14ac:dyDescent="0.25">
      <c r="A277" s="13">
        <v>46041</v>
      </c>
      <c r="B277" s="12">
        <f>MONTH(Movimientos_2026[[#This Row],[Fecha]])</f>
        <v>1</v>
      </c>
      <c r="C277" s="12" t="str">
        <f>VLOOKUP((WEEKDAY(Movimientos_2026[[#This Row],[Fecha]],2)),'5. Setup'!$D$6:$E$12,2,FALSE)</f>
        <v>Lun</v>
      </c>
      <c r="D277">
        <v>2021444</v>
      </c>
      <c r="E277" t="str">
        <f>IFERROR(+VLOOKUP(Movimientos_2026[[#This Row],[Codigo]],Plan_cuentas[],2,FALSE)," ")</f>
        <v>EGRESOS</v>
      </c>
      <c r="F277" t="str">
        <f>IFERROR(+VLOOKUP(Movimientos_2026[[#This Row],[Codigo]],Plan_cuentas[],3,FALSE)," ")</f>
        <v>DDJJ</v>
      </c>
      <c r="G277" t="str">
        <f>IFERROR(+VLOOKUP(Movimientos_2026[[#This Row],[Codigo]],Plan_cuentas[],4,FALSE)," ")</f>
        <v>Entidades co-participadas</v>
      </c>
      <c r="H277" t="str">
        <f>IFERROR(+VLOOKUP(Movimientos_2026[[#This Row],[Codigo]],Plan_cuentas[],5,FALSE)," ")</f>
        <v>UISCUMARR</v>
      </c>
      <c r="I277" s="43">
        <v>45992</v>
      </c>
      <c r="J277" t="s">
        <v>132</v>
      </c>
      <c r="K277" t="str">
        <f>IFERROR(+VLOOKUP(Movimientos_2026[[#This Row],[Codigo]],Plan_cuentas[],6,FALSE)," ")</f>
        <v>4 - FCA - Fiat</v>
      </c>
      <c r="L277" s="50"/>
      <c r="M277" s="52">
        <v>163013525.55000001</v>
      </c>
      <c r="N277" s="20">
        <f>+Movimientos_2026[[#This Row],[Ingresos]]-Movimientos_2026[[#This Row],[Egresos]]</f>
        <v>-163013525.55000001</v>
      </c>
      <c r="O277" s="20">
        <f>+O276+Movimientos_2026[[#This Row],[Neto]]</f>
        <v>5975250719.9169807</v>
      </c>
    </row>
    <row r="278" spans="1:15" x14ac:dyDescent="0.25">
      <c r="A278" s="13">
        <v>46041</v>
      </c>
      <c r="B278" s="12">
        <f>MONTH(Movimientos_2026[[#This Row],[Fecha]])</f>
        <v>1</v>
      </c>
      <c r="C278" s="12" t="str">
        <f>VLOOKUP((WEEKDAY(Movimientos_2026[[#This Row],[Fecha]],2)),'5. Setup'!$D$6:$E$12,2,FALSE)</f>
        <v>Lun</v>
      </c>
      <c r="D278">
        <v>1044482</v>
      </c>
      <c r="E278" t="str">
        <f>IFERROR(+VLOOKUP(Movimientos_2026[[#This Row],[Codigo]],Plan_cuentas[],2,FALSE)," ")</f>
        <v>INGRESOS</v>
      </c>
      <c r="F278" t="str">
        <f>IFERROR(+VLOOKUP(Movimientos_2026[[#This Row],[Codigo]],Plan_cuentas[],3,FALSE)," ")</f>
        <v>Transferencia</v>
      </c>
      <c r="G278" t="str">
        <f>IFERROR(+VLOOKUP(Movimientos_2026[[#This Row],[Codigo]],Plan_cuentas[],4,FALSE)," ")</f>
        <v>Factura</v>
      </c>
      <c r="H278" t="str">
        <f>IFERROR(+VLOOKUP(Movimientos_2026[[#This Row],[Codigo]],Plan_cuentas[],5,FALSE)," ")</f>
        <v>FC TRAMITACION</v>
      </c>
      <c r="I278" s="43">
        <v>45992</v>
      </c>
      <c r="J278" t="s">
        <v>133</v>
      </c>
      <c r="K278" t="str">
        <f>IFERROR(+VLOOKUP(Movimientos_2026[[#This Row],[Codigo]],Plan_cuentas[],6,FALSE)," ")</f>
        <v>2 - PR - Plan Rombo</v>
      </c>
      <c r="L278" s="50">
        <v>402246.18</v>
      </c>
      <c r="M278" s="52"/>
      <c r="N278" s="20">
        <f>+Movimientos_2026[[#This Row],[Ingresos]]-Movimientos_2026[[#This Row],[Egresos]]</f>
        <v>402246.18</v>
      </c>
      <c r="O278" s="20">
        <f>+O277+Movimientos_2026[[#This Row],[Neto]]</f>
        <v>5975652966.096981</v>
      </c>
    </row>
    <row r="279" spans="1:15" x14ac:dyDescent="0.25">
      <c r="A279" s="13">
        <v>46041</v>
      </c>
      <c r="B279" s="12">
        <f>MONTH(Movimientos_2026[[#This Row],[Fecha]])</f>
        <v>1</v>
      </c>
      <c r="C279" s="12" t="str">
        <f>VLOOKUP((WEEKDAY(Movimientos_2026[[#This Row],[Fecha]],2)),'5. Setup'!$D$6:$E$12,2,FALSE)</f>
        <v>Lun</v>
      </c>
      <c r="D279">
        <v>1043142</v>
      </c>
      <c r="E279" t="str">
        <f>IFERROR(+VLOOKUP(Movimientos_2026[[#This Row],[Codigo]],Plan_cuentas[],2,FALSE)," ")</f>
        <v>INGRESOS</v>
      </c>
      <c r="F279" t="str">
        <f>IFERROR(+VLOOKUP(Movimientos_2026[[#This Row],[Codigo]],Plan_cuentas[],3,FALSE)," ")</f>
        <v>Transferencia</v>
      </c>
      <c r="G279" t="str">
        <f>IFERROR(+VLOOKUP(Movimientos_2026[[#This Row],[Codigo]],Plan_cuentas[],4,FALSE)," ")</f>
        <v>Registración</v>
      </c>
      <c r="H279" t="str">
        <f>IFERROR(+VLOOKUP(Movimientos_2026[[#This Row],[Codigo]],Plan_cuentas[],5,FALSE)," ")</f>
        <v>BUENOS AIRES</v>
      </c>
      <c r="I279" s="43">
        <v>45992</v>
      </c>
      <c r="J279" t="s">
        <v>134</v>
      </c>
      <c r="K279" t="str">
        <f>IFERROR(+VLOOKUP(Movimientos_2026[[#This Row],[Codigo]],Plan_cuentas[],6,FALSE)," ")</f>
        <v>2 - PR - Plan Rombo</v>
      </c>
      <c r="L279" s="50">
        <v>182689537.09660491</v>
      </c>
      <c r="M279" s="52"/>
      <c r="N279" s="20">
        <f>+Movimientos_2026[[#This Row],[Ingresos]]-Movimientos_2026[[#This Row],[Egresos]]</f>
        <v>182689537.09660491</v>
      </c>
      <c r="O279" s="20">
        <f>+O278+Movimientos_2026[[#This Row],[Neto]]</f>
        <v>6158342503.1935863</v>
      </c>
    </row>
    <row r="280" spans="1:15" x14ac:dyDescent="0.25">
      <c r="A280" s="13">
        <v>46041</v>
      </c>
      <c r="B280" s="12">
        <f>MONTH(Movimientos_2026[[#This Row],[Fecha]])</f>
        <v>1</v>
      </c>
      <c r="C280" s="12" t="str">
        <f>VLOOKUP((WEEKDAY(Movimientos_2026[[#This Row],[Fecha]],2)),'5. Setup'!$D$6:$E$12,2,FALSE)</f>
        <v>Lun</v>
      </c>
      <c r="D280">
        <v>1041442</v>
      </c>
      <c r="E280" t="str">
        <f>IFERROR(+VLOOKUP(Movimientos_2026[[#This Row],[Codigo]],Plan_cuentas[],2,FALSE)," ")</f>
        <v>INGRESOS</v>
      </c>
      <c r="F280" t="str">
        <f>IFERROR(+VLOOKUP(Movimientos_2026[[#This Row],[Codigo]],Plan_cuentas[],3,FALSE)," ")</f>
        <v>Transferencia</v>
      </c>
      <c r="G280" t="str">
        <f>IFERROR(+VLOOKUP(Movimientos_2026[[#This Row],[Codigo]],Plan_cuentas[],4,FALSE)," ")</f>
        <v>Entidades co-participadas</v>
      </c>
      <c r="H280" t="str">
        <f>IFERROR(+VLOOKUP(Movimientos_2026[[#This Row],[Codigo]],Plan_cuentas[],5,FALSE)," ")</f>
        <v>UISCUMARR</v>
      </c>
      <c r="I280" s="43">
        <v>45992</v>
      </c>
      <c r="J280" t="s">
        <v>134</v>
      </c>
      <c r="K280" t="str">
        <f>IFERROR(+VLOOKUP(Movimientos_2026[[#This Row],[Codigo]],Plan_cuentas[],6,FALSE)," ")</f>
        <v>2 - PR - Plan Rombo</v>
      </c>
      <c r="L280" s="50">
        <v>14092169.178885009</v>
      </c>
      <c r="M280" s="52"/>
      <c r="N280" s="20">
        <f>+Movimientos_2026[[#This Row],[Ingresos]]-Movimientos_2026[[#This Row],[Egresos]]</f>
        <v>14092169.178885009</v>
      </c>
      <c r="O280" s="20">
        <f>+O279+Movimientos_2026[[#This Row],[Neto]]</f>
        <v>6172434672.3724718</v>
      </c>
    </row>
    <row r="281" spans="1:15" x14ac:dyDescent="0.25">
      <c r="A281" s="13">
        <v>46041</v>
      </c>
      <c r="B281" s="12">
        <f>MONTH(Movimientos_2026[[#This Row],[Fecha]])</f>
        <v>1</v>
      </c>
      <c r="C281" s="12" t="str">
        <f>VLOOKUP((WEEKDAY(Movimientos_2026[[#This Row],[Fecha]],2)),'5. Setup'!$D$6:$E$12,2,FALSE)</f>
        <v>Lun</v>
      </c>
      <c r="D281">
        <v>1045452</v>
      </c>
      <c r="E281" t="str">
        <f>IFERROR(+VLOOKUP(Movimientos_2026[[#This Row],[Codigo]],Plan_cuentas[],2,FALSE)," ")</f>
        <v>INGRESOS</v>
      </c>
      <c r="F281" t="str">
        <f>IFERROR(+VLOOKUP(Movimientos_2026[[#This Row],[Codigo]],Plan_cuentas[],3,FALSE)," ")</f>
        <v>Transferencia</v>
      </c>
      <c r="G281" t="str">
        <f>IFERROR(+VLOOKUP(Movimientos_2026[[#This Row],[Codigo]],Plan_cuentas[],4,FALSE)," ")</f>
        <v>Factura</v>
      </c>
      <c r="H281" t="str">
        <f>IFERROR(+VLOOKUP(Movimientos_2026[[#This Row],[Codigo]],Plan_cuentas[],5,FALSE)," ")</f>
        <v>FC DERECHOS</v>
      </c>
      <c r="I281" s="43">
        <v>45992</v>
      </c>
      <c r="J281" t="s">
        <v>135</v>
      </c>
      <c r="K281" t="str">
        <f>IFERROR(+VLOOKUP(Movimientos_2026[[#This Row],[Codigo]],Plan_cuentas[],6,FALSE)," ")</f>
        <v>2 - PR - Plan Rombo</v>
      </c>
      <c r="L281" s="50">
        <v>35027143.719999999</v>
      </c>
      <c r="M281" s="52"/>
      <c r="N281" s="20">
        <f>+Movimientos_2026[[#This Row],[Ingresos]]-Movimientos_2026[[#This Row],[Egresos]]</f>
        <v>35027143.719999999</v>
      </c>
      <c r="O281" s="20">
        <f>+O280+Movimientos_2026[[#This Row],[Neto]]</f>
        <v>6207461816.0924721</v>
      </c>
    </row>
    <row r="282" spans="1:15" x14ac:dyDescent="0.25">
      <c r="A282" s="13">
        <v>46041</v>
      </c>
      <c r="B282" s="12">
        <f>MONTH(Movimientos_2026[[#This Row],[Fecha]])</f>
        <v>1</v>
      </c>
      <c r="C282" s="12" t="str">
        <f>VLOOKUP((WEEKDAY(Movimientos_2026[[#This Row],[Fecha]],2)),'5. Setup'!$D$6:$E$12,2,FALSE)</f>
        <v>Lun</v>
      </c>
      <c r="D282">
        <v>1043152</v>
      </c>
      <c r="E282" t="str">
        <f>IFERROR(+VLOOKUP(Movimientos_2026[[#This Row],[Codigo]],Plan_cuentas[],2,FALSE)," ")</f>
        <v>INGRESOS</v>
      </c>
      <c r="F282" t="str">
        <f>IFERROR(+VLOOKUP(Movimientos_2026[[#This Row],[Codigo]],Plan_cuentas[],3,FALSE)," ")</f>
        <v>Transferencia</v>
      </c>
      <c r="G282" t="str">
        <f>IFERROR(+VLOOKUP(Movimientos_2026[[#This Row],[Codigo]],Plan_cuentas[],4,FALSE)," ")</f>
        <v>Registración</v>
      </c>
      <c r="H282" t="str">
        <f>IFERROR(+VLOOKUP(Movimientos_2026[[#This Row],[Codigo]],Plan_cuentas[],5,FALSE)," ")</f>
        <v>CABA</v>
      </c>
      <c r="I282" s="43">
        <v>45992</v>
      </c>
      <c r="J282" t="s">
        <v>134</v>
      </c>
      <c r="K282" t="str">
        <f>IFERROR(+VLOOKUP(Movimientos_2026[[#This Row],[Codigo]],Plan_cuentas[],6,FALSE)," ")</f>
        <v>2 - PR - Plan Rombo</v>
      </c>
      <c r="L282" s="50">
        <v>34969027.609999999</v>
      </c>
      <c r="M282" s="52"/>
      <c r="N282" s="20">
        <f>+Movimientos_2026[[#This Row],[Ingresos]]-Movimientos_2026[[#This Row],[Egresos]]</f>
        <v>34969027.609999999</v>
      </c>
      <c r="O282" s="20">
        <f>+O281+Movimientos_2026[[#This Row],[Neto]]</f>
        <v>6242430843.7024717</v>
      </c>
    </row>
    <row r="283" spans="1:15" x14ac:dyDescent="0.25">
      <c r="A283" s="13">
        <v>46041</v>
      </c>
      <c r="B283" s="12">
        <f>MONTH(Movimientos_2026[[#This Row],[Fecha]])</f>
        <v>1</v>
      </c>
      <c r="C283" s="12" t="str">
        <f>VLOOKUP((WEEKDAY(Movimientos_2026[[#This Row],[Fecha]],2)),'5. Setup'!$D$6:$E$12,2,FALSE)</f>
        <v>Lun</v>
      </c>
      <c r="D283">
        <v>1043232</v>
      </c>
      <c r="E283" t="str">
        <f>IFERROR(+VLOOKUP(Movimientos_2026[[#This Row],[Codigo]],Plan_cuentas[],2,FALSE)," ")</f>
        <v>INGRESOS</v>
      </c>
      <c r="F283" t="str">
        <f>IFERROR(+VLOOKUP(Movimientos_2026[[#This Row],[Codigo]],Plan_cuentas[],3,FALSE)," ")</f>
        <v>Transferencia</v>
      </c>
      <c r="G283" t="str">
        <f>IFERROR(+VLOOKUP(Movimientos_2026[[#This Row],[Codigo]],Plan_cuentas[],4,FALSE)," ")</f>
        <v>Registración</v>
      </c>
      <c r="H283" t="str">
        <f>IFERROR(+VLOOKUP(Movimientos_2026[[#This Row],[Codigo]],Plan_cuentas[],5,FALSE)," ")</f>
        <v>ENTRE RIOS 2° Q</v>
      </c>
      <c r="I283" s="43">
        <v>45992</v>
      </c>
      <c r="J283" t="s">
        <v>134</v>
      </c>
      <c r="K283" t="str">
        <f>IFERROR(+VLOOKUP(Movimientos_2026[[#This Row],[Codigo]],Plan_cuentas[],6,FALSE)," ")</f>
        <v>2 - PR - Plan Rombo</v>
      </c>
      <c r="L283" s="50">
        <v>12206643.859999999</v>
      </c>
      <c r="M283" s="52"/>
      <c r="N283" s="20">
        <f>+Movimientos_2026[[#This Row],[Ingresos]]-Movimientos_2026[[#This Row],[Egresos]]</f>
        <v>12206643.859999999</v>
      </c>
      <c r="O283" s="20">
        <f>+O282+Movimientos_2026[[#This Row],[Neto]]</f>
        <v>6254637487.5624714</v>
      </c>
    </row>
    <row r="284" spans="1:15" x14ac:dyDescent="0.25">
      <c r="A284" s="13">
        <v>46041</v>
      </c>
      <c r="B284" s="12">
        <f>MONTH(Movimientos_2026[[#This Row],[Fecha]])</f>
        <v>1</v>
      </c>
      <c r="C284" s="12" t="str">
        <f>VLOOKUP((WEEKDAY(Movimientos_2026[[#This Row],[Fecha]],2)),'5. Setup'!$D$6:$E$12,2,FALSE)</f>
        <v>Lun</v>
      </c>
      <c r="D284">
        <v>1043242</v>
      </c>
      <c r="E284" t="str">
        <f>IFERROR(+VLOOKUP(Movimientos_2026[[#This Row],[Codigo]],Plan_cuentas[],2,FALSE)," ")</f>
        <v>INGRESOS</v>
      </c>
      <c r="F284" t="str">
        <f>IFERROR(+VLOOKUP(Movimientos_2026[[#This Row],[Codigo]],Plan_cuentas[],3,FALSE)," ")</f>
        <v>Transferencia</v>
      </c>
      <c r="G284" t="str">
        <f>IFERROR(+VLOOKUP(Movimientos_2026[[#This Row],[Codigo]],Plan_cuentas[],4,FALSE)," ")</f>
        <v>Registración</v>
      </c>
      <c r="H284" t="str">
        <f>IFERROR(+VLOOKUP(Movimientos_2026[[#This Row],[Codigo]],Plan_cuentas[],5,FALSE)," ")</f>
        <v>FORMOSA</v>
      </c>
      <c r="I284" s="43">
        <v>45992</v>
      </c>
      <c r="J284" t="s">
        <v>134</v>
      </c>
      <c r="K284" t="str">
        <f>IFERROR(+VLOOKUP(Movimientos_2026[[#This Row],[Codigo]],Plan_cuentas[],6,FALSE)," ")</f>
        <v>2 - PR - Plan Rombo</v>
      </c>
      <c r="L284" s="50">
        <v>1831744.29</v>
      </c>
      <c r="M284" s="52"/>
      <c r="N284" s="20">
        <f>+Movimientos_2026[[#This Row],[Ingresos]]-Movimientos_2026[[#This Row],[Egresos]]</f>
        <v>1831744.29</v>
      </c>
      <c r="O284" s="20">
        <f>+O283+Movimientos_2026[[#This Row],[Neto]]</f>
        <v>6256469231.8524714</v>
      </c>
    </row>
    <row r="285" spans="1:15" x14ac:dyDescent="0.25">
      <c r="A285" s="13">
        <v>46041</v>
      </c>
      <c r="B285" s="12">
        <f>MONTH(Movimientos_2026[[#This Row],[Fecha]])</f>
        <v>1</v>
      </c>
      <c r="C285" s="12" t="str">
        <f>VLOOKUP((WEEKDAY(Movimientos_2026[[#This Row],[Fecha]],2)),'5. Setup'!$D$6:$E$12,2,FALSE)</f>
        <v>Lun</v>
      </c>
      <c r="D285">
        <v>1043392</v>
      </c>
      <c r="E285" t="str">
        <f>IFERROR(+VLOOKUP(Movimientos_2026[[#This Row],[Codigo]],Plan_cuentas[],2,FALSE)," ")</f>
        <v>INGRESOS</v>
      </c>
      <c r="F285" t="str">
        <f>IFERROR(+VLOOKUP(Movimientos_2026[[#This Row],[Codigo]],Plan_cuentas[],3,FALSE)," ")</f>
        <v>Transferencia</v>
      </c>
      <c r="G285" t="str">
        <f>IFERROR(+VLOOKUP(Movimientos_2026[[#This Row],[Codigo]],Plan_cuentas[],4,FALSE)," ")</f>
        <v>Registración</v>
      </c>
      <c r="H285" t="str">
        <f>IFERROR(+VLOOKUP(Movimientos_2026[[#This Row],[Codigo]],Plan_cuentas[],5,FALSE)," ")</f>
        <v>SANTA FE 2° Q</v>
      </c>
      <c r="I285" s="43">
        <v>45992</v>
      </c>
      <c r="J285" t="s">
        <v>134</v>
      </c>
      <c r="K285" t="str">
        <f>IFERROR(+VLOOKUP(Movimientos_2026[[#This Row],[Codigo]],Plan_cuentas[],6,FALSE)," ")</f>
        <v>2 - PR - Plan Rombo</v>
      </c>
      <c r="L285" s="50">
        <v>22675985.809999999</v>
      </c>
      <c r="M285" s="52"/>
      <c r="N285" s="20">
        <f>+Movimientos_2026[[#This Row],[Ingresos]]-Movimientos_2026[[#This Row],[Egresos]]</f>
        <v>22675985.809999999</v>
      </c>
      <c r="O285" s="20">
        <f>+O284+Movimientos_2026[[#This Row],[Neto]]</f>
        <v>6279145217.6624718</v>
      </c>
    </row>
    <row r="286" spans="1:15" x14ac:dyDescent="0.25">
      <c r="A286" s="13">
        <v>46041</v>
      </c>
      <c r="B286" s="12">
        <f>MONTH(Movimientos_2026[[#This Row],[Fecha]])</f>
        <v>1</v>
      </c>
      <c r="C286" s="12" t="str">
        <f>VLOOKUP((WEEKDAY(Movimientos_2026[[#This Row],[Fecha]],2)),'5. Setup'!$D$6:$E$12,2,FALSE)</f>
        <v>Lun</v>
      </c>
      <c r="D286">
        <v>1043172</v>
      </c>
      <c r="E286" t="str">
        <f>IFERROR(+VLOOKUP(Movimientos_2026[[#This Row],[Codigo]],Plan_cuentas[],2,FALSE)," ")</f>
        <v>INGRESOS</v>
      </c>
      <c r="F286" t="str">
        <f>IFERROR(+VLOOKUP(Movimientos_2026[[#This Row],[Codigo]],Plan_cuentas[],3,FALSE)," ")</f>
        <v>Transferencia</v>
      </c>
      <c r="G286" t="str">
        <f>IFERROR(+VLOOKUP(Movimientos_2026[[#This Row],[Codigo]],Plan_cuentas[],4,FALSE)," ")</f>
        <v>Registración</v>
      </c>
      <c r="H286" t="str">
        <f>IFERROR(+VLOOKUP(Movimientos_2026[[#This Row],[Codigo]],Plan_cuentas[],5,FALSE)," ")</f>
        <v>CHUBUT</v>
      </c>
      <c r="I286" s="43">
        <v>45992</v>
      </c>
      <c r="J286" t="s">
        <v>134</v>
      </c>
      <c r="K286" t="str">
        <f>IFERROR(+VLOOKUP(Movimientos_2026[[#This Row],[Codigo]],Plan_cuentas[],6,FALSE)," ")</f>
        <v>2 - PR - Plan Rombo</v>
      </c>
      <c r="L286" s="50">
        <v>6803562.3799999999</v>
      </c>
      <c r="M286" s="52"/>
      <c r="N286" s="20">
        <f>+Movimientos_2026[[#This Row],[Ingresos]]-Movimientos_2026[[#This Row],[Egresos]]</f>
        <v>6803562.3799999999</v>
      </c>
      <c r="O286" s="20">
        <f>+O285+Movimientos_2026[[#This Row],[Neto]]</f>
        <v>6285948780.0424719</v>
      </c>
    </row>
    <row r="287" spans="1:15" x14ac:dyDescent="0.25">
      <c r="A287" s="13">
        <v>46041</v>
      </c>
      <c r="B287" s="12">
        <f>MONTH(Movimientos_2026[[#This Row],[Fecha]])</f>
        <v>1</v>
      </c>
      <c r="C287" s="12" t="str">
        <f>VLOOKUP((WEEKDAY(Movimientos_2026[[#This Row],[Fecha]],2)),'5. Setup'!$D$6:$E$12,2,FALSE)</f>
        <v>Lun</v>
      </c>
      <c r="D287">
        <v>1044482</v>
      </c>
      <c r="E287" t="str">
        <f>IFERROR(+VLOOKUP(Movimientos_2026[[#This Row],[Codigo]],Plan_cuentas[],2,FALSE)," ")</f>
        <v>INGRESOS</v>
      </c>
      <c r="F287" t="str">
        <f>IFERROR(+VLOOKUP(Movimientos_2026[[#This Row],[Codigo]],Plan_cuentas[],3,FALSE)," ")</f>
        <v>Transferencia</v>
      </c>
      <c r="G287" t="str">
        <f>IFERROR(+VLOOKUP(Movimientos_2026[[#This Row],[Codigo]],Plan_cuentas[],4,FALSE)," ")</f>
        <v>Factura</v>
      </c>
      <c r="H287" t="str">
        <f>IFERROR(+VLOOKUP(Movimientos_2026[[#This Row],[Codigo]],Plan_cuentas[],5,FALSE)," ")</f>
        <v>FC TRAMITACION</v>
      </c>
      <c r="I287" s="43">
        <v>45992</v>
      </c>
      <c r="J287" t="s">
        <v>136</v>
      </c>
      <c r="K287" t="str">
        <f>IFERROR(+VLOOKUP(Movimientos_2026[[#This Row],[Codigo]],Plan_cuentas[],6,FALSE)," ")</f>
        <v>2 - PR - Plan Rombo</v>
      </c>
      <c r="L287" s="50">
        <v>2528758.37</v>
      </c>
      <c r="M287" s="52"/>
      <c r="N287" s="20">
        <f>+Movimientos_2026[[#This Row],[Ingresos]]-Movimientos_2026[[#This Row],[Egresos]]</f>
        <v>2528758.37</v>
      </c>
      <c r="O287" s="20">
        <f>+O286+Movimientos_2026[[#This Row],[Neto]]</f>
        <v>6288477538.4124718</v>
      </c>
    </row>
    <row r="288" spans="1:15" x14ac:dyDescent="0.25">
      <c r="A288" s="13">
        <v>46041</v>
      </c>
      <c r="B288" s="12">
        <f>MONTH(Movimientos_2026[[#This Row],[Fecha]])</f>
        <v>1</v>
      </c>
      <c r="C288" s="12" t="str">
        <f>VLOOKUP((WEEKDAY(Movimientos_2026[[#This Row],[Fecha]],2)),'5. Setup'!$D$6:$E$12,2,FALSE)</f>
        <v>Lun</v>
      </c>
      <c r="D288">
        <v>1044507</v>
      </c>
      <c r="E288" t="str">
        <f>IFERROR(+VLOOKUP(Movimientos_2026[[#This Row],[Codigo]],Plan_cuentas[],2,FALSE)," ")</f>
        <v>INGRESOS</v>
      </c>
      <c r="F288" t="str">
        <f>IFERROR(+VLOOKUP(Movimientos_2026[[#This Row],[Codigo]],Plan_cuentas[],3,FALSE)," ")</f>
        <v>Transferencia</v>
      </c>
      <c r="G288" t="str">
        <f>IFERROR(+VLOOKUP(Movimientos_2026[[#This Row],[Codigo]],Plan_cuentas[],4,FALSE)," ")</f>
        <v>Rentas</v>
      </c>
      <c r="H288" t="str">
        <f>IFERROR(+VLOOKUP(Movimientos_2026[[#This Row],[Codigo]],Plan_cuentas[],5,FALSE)," ")</f>
        <v>BAPRO</v>
      </c>
      <c r="I288" s="43">
        <v>45992</v>
      </c>
      <c r="J288" t="s">
        <v>134</v>
      </c>
      <c r="K288" t="str">
        <f>IFERROR(+VLOOKUP(Movimientos_2026[[#This Row],[Codigo]],Plan_cuentas[],6,FALSE)," ")</f>
        <v>7 - PRtr - Plan Rombo Transf.</v>
      </c>
      <c r="L288" s="50">
        <v>7686475.5000000009</v>
      </c>
      <c r="M288" s="52"/>
      <c r="N288" s="20">
        <f>+Movimientos_2026[[#This Row],[Ingresos]]-Movimientos_2026[[#This Row],[Egresos]]</f>
        <v>7686475.5000000009</v>
      </c>
      <c r="O288" s="20">
        <f>+O287+Movimientos_2026[[#This Row],[Neto]]</f>
        <v>6296164013.9124718</v>
      </c>
    </row>
    <row r="289" spans="1:15" x14ac:dyDescent="0.25">
      <c r="A289" s="13">
        <v>46041</v>
      </c>
      <c r="B289" s="12">
        <f>MONTH(Movimientos_2026[[#This Row],[Fecha]])</f>
        <v>1</v>
      </c>
      <c r="C289" s="12" t="str">
        <f>VLOOKUP((WEEKDAY(Movimientos_2026[[#This Row],[Fecha]],2)),'5. Setup'!$D$6:$E$12,2,FALSE)</f>
        <v>Lun</v>
      </c>
      <c r="D289">
        <v>1043157</v>
      </c>
      <c r="E289" t="str">
        <f>IFERROR(+VLOOKUP(Movimientos_2026[[#This Row],[Codigo]],Plan_cuentas[],2,FALSE)," ")</f>
        <v>INGRESOS</v>
      </c>
      <c r="F289" t="str">
        <f>IFERROR(+VLOOKUP(Movimientos_2026[[#This Row],[Codigo]],Plan_cuentas[],3,FALSE)," ")</f>
        <v>Transferencia</v>
      </c>
      <c r="G289" t="str">
        <f>IFERROR(+VLOOKUP(Movimientos_2026[[#This Row],[Codigo]],Plan_cuentas[],4,FALSE)," ")</f>
        <v>Registración</v>
      </c>
      <c r="H289" t="str">
        <f>IFERROR(+VLOOKUP(Movimientos_2026[[#This Row],[Codigo]],Plan_cuentas[],5,FALSE)," ")</f>
        <v>CABA</v>
      </c>
      <c r="I289" s="43">
        <v>45992</v>
      </c>
      <c r="J289" t="s">
        <v>134</v>
      </c>
      <c r="K289" t="str">
        <f>IFERROR(+VLOOKUP(Movimientos_2026[[#This Row],[Codigo]],Plan_cuentas[],6,FALSE)," ")</f>
        <v>7 - PRtr - Plan Rombo Transf.</v>
      </c>
      <c r="L289" s="50">
        <v>9310</v>
      </c>
      <c r="M289" s="52"/>
      <c r="N289" s="20">
        <f>+Movimientos_2026[[#This Row],[Ingresos]]-Movimientos_2026[[#This Row],[Egresos]]</f>
        <v>9310</v>
      </c>
      <c r="O289" s="20">
        <f>+O288+Movimientos_2026[[#This Row],[Neto]]</f>
        <v>6296173323.9124718</v>
      </c>
    </row>
    <row r="290" spans="1:15" x14ac:dyDescent="0.25">
      <c r="A290" s="13">
        <v>46041</v>
      </c>
      <c r="B290" s="12">
        <f>MONTH(Movimientos_2026[[#This Row],[Fecha]])</f>
        <v>1</v>
      </c>
      <c r="C290" s="12" t="str">
        <f>VLOOKUP((WEEKDAY(Movimientos_2026[[#This Row],[Fecha]],2)),'5. Setup'!$D$6:$E$12,2,FALSE)</f>
        <v>Lun</v>
      </c>
      <c r="D290">
        <v>1044167</v>
      </c>
      <c r="E290" t="str">
        <f>IFERROR(+VLOOKUP(Movimientos_2026[[#This Row],[Codigo]],Plan_cuentas[],2,FALSE)," ")</f>
        <v>INGRESOS</v>
      </c>
      <c r="F290" t="str">
        <f>IFERROR(+VLOOKUP(Movimientos_2026[[#This Row],[Codigo]],Plan_cuentas[],3,FALSE)," ")</f>
        <v>Transferencia</v>
      </c>
      <c r="G290" t="str">
        <f>IFERROR(+VLOOKUP(Movimientos_2026[[#This Row],[Codigo]],Plan_cuentas[],4,FALSE)," ")</f>
        <v>Rentas</v>
      </c>
      <c r="H290" t="str">
        <f>IFERROR(+VLOOKUP(Movimientos_2026[[#This Row],[Codigo]],Plan_cuentas[],5,FALSE)," ")</f>
        <v>CHACO</v>
      </c>
      <c r="I290" s="43">
        <v>45992</v>
      </c>
      <c r="J290" t="s">
        <v>134</v>
      </c>
      <c r="K290" t="str">
        <f>IFERROR(+VLOOKUP(Movimientos_2026[[#This Row],[Codigo]],Plan_cuentas[],6,FALSE)," ")</f>
        <v>7 - PRtr - Plan Rombo Transf.</v>
      </c>
      <c r="L290" s="50">
        <v>327995.34000000003</v>
      </c>
      <c r="M290" s="52"/>
      <c r="N290" s="20">
        <f>+Movimientos_2026[[#This Row],[Ingresos]]-Movimientos_2026[[#This Row],[Egresos]]</f>
        <v>327995.34000000003</v>
      </c>
      <c r="O290" s="20">
        <f>+O289+Movimientos_2026[[#This Row],[Neto]]</f>
        <v>6296501319.2524719</v>
      </c>
    </row>
    <row r="291" spans="1:15" x14ac:dyDescent="0.25">
      <c r="A291" s="13">
        <v>46041</v>
      </c>
      <c r="B291" s="12">
        <f>MONTH(Movimientos_2026[[#This Row],[Fecha]])</f>
        <v>1</v>
      </c>
      <c r="C291" s="12" t="str">
        <f>VLOOKUP((WEEKDAY(Movimientos_2026[[#This Row],[Fecha]],2)),'5. Setup'!$D$6:$E$12,2,FALSE)</f>
        <v>Lun</v>
      </c>
      <c r="D291">
        <v>1043177</v>
      </c>
      <c r="E291" t="str">
        <f>IFERROR(+VLOOKUP(Movimientos_2026[[#This Row],[Codigo]],Plan_cuentas[],2,FALSE)," ")</f>
        <v>INGRESOS</v>
      </c>
      <c r="F291" t="str">
        <f>IFERROR(+VLOOKUP(Movimientos_2026[[#This Row],[Codigo]],Plan_cuentas[],3,FALSE)," ")</f>
        <v>Transferencia</v>
      </c>
      <c r="G291" t="str">
        <f>IFERROR(+VLOOKUP(Movimientos_2026[[#This Row],[Codigo]],Plan_cuentas[],4,FALSE)," ")</f>
        <v>Registración</v>
      </c>
      <c r="H291" t="str">
        <f>IFERROR(+VLOOKUP(Movimientos_2026[[#This Row],[Codigo]],Plan_cuentas[],5,FALSE)," ")</f>
        <v>CHUBUT</v>
      </c>
      <c r="I291" s="43">
        <v>45992</v>
      </c>
      <c r="J291" t="s">
        <v>134</v>
      </c>
      <c r="K291" t="str">
        <f>IFERROR(+VLOOKUP(Movimientos_2026[[#This Row],[Codigo]],Plan_cuentas[],6,FALSE)," ")</f>
        <v>7 - PRtr - Plan Rombo Transf.</v>
      </c>
      <c r="L291" s="50">
        <v>355755.03</v>
      </c>
      <c r="M291" s="52"/>
      <c r="N291" s="20">
        <f>+Movimientos_2026[[#This Row],[Ingresos]]-Movimientos_2026[[#This Row],[Egresos]]</f>
        <v>355755.03</v>
      </c>
      <c r="O291" s="20">
        <f>+O290+Movimientos_2026[[#This Row],[Neto]]</f>
        <v>6296857074.2824717</v>
      </c>
    </row>
    <row r="292" spans="1:15" x14ac:dyDescent="0.25">
      <c r="A292" s="13">
        <v>46041</v>
      </c>
      <c r="B292" s="12">
        <f>MONTH(Movimientos_2026[[#This Row],[Fecha]])</f>
        <v>1</v>
      </c>
      <c r="C292" s="12" t="str">
        <f>VLOOKUP((WEEKDAY(Movimientos_2026[[#This Row],[Fecha]],2)),'5. Setup'!$D$6:$E$12,2,FALSE)</f>
        <v>Lun</v>
      </c>
      <c r="D292">
        <v>1044197</v>
      </c>
      <c r="E292" t="str">
        <f>IFERROR(+VLOOKUP(Movimientos_2026[[#This Row],[Codigo]],Plan_cuentas[],2,FALSE)," ")</f>
        <v>INGRESOS</v>
      </c>
      <c r="F292" t="str">
        <f>IFERROR(+VLOOKUP(Movimientos_2026[[#This Row],[Codigo]],Plan_cuentas[],3,FALSE)," ")</f>
        <v>Transferencia</v>
      </c>
      <c r="G292" t="str">
        <f>IFERROR(+VLOOKUP(Movimientos_2026[[#This Row],[Codigo]],Plan_cuentas[],4,FALSE)," ")</f>
        <v>Rentas</v>
      </c>
      <c r="H292" t="str">
        <f>IFERROR(+VLOOKUP(Movimientos_2026[[#This Row],[Codigo]],Plan_cuentas[],5,FALSE)," ")</f>
        <v>CORDOBA 2° Q</v>
      </c>
      <c r="I292" s="43">
        <v>45992</v>
      </c>
      <c r="J292" t="s">
        <v>134</v>
      </c>
      <c r="K292" t="str">
        <f>IFERROR(+VLOOKUP(Movimientos_2026[[#This Row],[Codigo]],Plan_cuentas[],6,FALSE)," ")</f>
        <v>7 - PRtr - Plan Rombo Transf.</v>
      </c>
      <c r="L292" s="50">
        <v>591840</v>
      </c>
      <c r="M292" s="52"/>
      <c r="N292" s="20">
        <f>+Movimientos_2026[[#This Row],[Ingresos]]-Movimientos_2026[[#This Row],[Egresos]]</f>
        <v>591840</v>
      </c>
      <c r="O292" s="20">
        <f>+O291+Movimientos_2026[[#This Row],[Neto]]</f>
        <v>6297448914.2824717</v>
      </c>
    </row>
    <row r="293" spans="1:15" x14ac:dyDescent="0.25">
      <c r="A293" s="13">
        <v>46041</v>
      </c>
      <c r="B293" s="12">
        <f>MONTH(Movimientos_2026[[#This Row],[Fecha]])</f>
        <v>1</v>
      </c>
      <c r="C293" s="12" t="str">
        <f>VLOOKUP((WEEKDAY(Movimientos_2026[[#This Row],[Fecha]],2)),'5. Setup'!$D$6:$E$12,2,FALSE)</f>
        <v>Lun</v>
      </c>
      <c r="D293">
        <v>1043227</v>
      </c>
      <c r="E293" t="str">
        <f>IFERROR(+VLOOKUP(Movimientos_2026[[#This Row],[Codigo]],Plan_cuentas[],2,FALSE)," ")</f>
        <v>INGRESOS</v>
      </c>
      <c r="F293" t="str">
        <f>IFERROR(+VLOOKUP(Movimientos_2026[[#This Row],[Codigo]],Plan_cuentas[],3,FALSE)," ")</f>
        <v>Transferencia</v>
      </c>
      <c r="G293" t="str">
        <f>IFERROR(+VLOOKUP(Movimientos_2026[[#This Row],[Codigo]],Plan_cuentas[],4,FALSE)," ")</f>
        <v>Registración</v>
      </c>
      <c r="H293" t="str">
        <f>IFERROR(+VLOOKUP(Movimientos_2026[[#This Row],[Codigo]],Plan_cuentas[],5,FALSE)," ")</f>
        <v>ENTRE RIOS 1° Q</v>
      </c>
      <c r="I293" s="43">
        <v>45992</v>
      </c>
      <c r="J293" t="s">
        <v>134</v>
      </c>
      <c r="K293" t="str">
        <f>IFERROR(+VLOOKUP(Movimientos_2026[[#This Row],[Codigo]],Plan_cuentas[],6,FALSE)," ")</f>
        <v>7 - PRtr - Plan Rombo Transf.</v>
      </c>
      <c r="L293" s="50">
        <v>10000</v>
      </c>
      <c r="M293" s="52"/>
      <c r="N293" s="20">
        <f>+Movimientos_2026[[#This Row],[Ingresos]]-Movimientos_2026[[#This Row],[Egresos]]</f>
        <v>10000</v>
      </c>
      <c r="O293" s="20">
        <f>+O292+Movimientos_2026[[#This Row],[Neto]]</f>
        <v>6297458914.2824717</v>
      </c>
    </row>
    <row r="294" spans="1:15" x14ac:dyDescent="0.25">
      <c r="A294" s="13">
        <v>46041</v>
      </c>
      <c r="B294" s="12">
        <f>MONTH(Movimientos_2026[[#This Row],[Fecha]])</f>
        <v>1</v>
      </c>
      <c r="C294" s="12" t="str">
        <f>VLOOKUP((WEEKDAY(Movimientos_2026[[#This Row],[Fecha]],2)),'5. Setup'!$D$6:$E$12,2,FALSE)</f>
        <v>Lun</v>
      </c>
      <c r="D294">
        <v>1043247</v>
      </c>
      <c r="E294" t="str">
        <f>IFERROR(+VLOOKUP(Movimientos_2026[[#This Row],[Codigo]],Plan_cuentas[],2,FALSE)," ")</f>
        <v>INGRESOS</v>
      </c>
      <c r="F294" t="str">
        <f>IFERROR(+VLOOKUP(Movimientos_2026[[#This Row],[Codigo]],Plan_cuentas[],3,FALSE)," ")</f>
        <v>Transferencia</v>
      </c>
      <c r="G294" t="str">
        <f>IFERROR(+VLOOKUP(Movimientos_2026[[#This Row],[Codigo]],Plan_cuentas[],4,FALSE)," ")</f>
        <v>Registración</v>
      </c>
      <c r="H294" t="str">
        <f>IFERROR(+VLOOKUP(Movimientos_2026[[#This Row],[Codigo]],Plan_cuentas[],5,FALSE)," ")</f>
        <v>FORMOSA</v>
      </c>
      <c r="I294" s="43">
        <v>45992</v>
      </c>
      <c r="J294" t="s">
        <v>134</v>
      </c>
      <c r="K294" t="str">
        <f>IFERROR(+VLOOKUP(Movimientos_2026[[#This Row],[Codigo]],Plan_cuentas[],6,FALSE)," ")</f>
        <v>7 - PRtr - Plan Rombo Transf.</v>
      </c>
      <c r="L294" s="50">
        <v>20000</v>
      </c>
      <c r="M294" s="52"/>
      <c r="N294" s="20">
        <f>+Movimientos_2026[[#This Row],[Ingresos]]-Movimientos_2026[[#This Row],[Egresos]]</f>
        <v>20000</v>
      </c>
      <c r="O294" s="20">
        <f>+O293+Movimientos_2026[[#This Row],[Neto]]</f>
        <v>6297478914.2824717</v>
      </c>
    </row>
    <row r="295" spans="1:15" x14ac:dyDescent="0.25">
      <c r="A295" s="13">
        <v>46041</v>
      </c>
      <c r="B295" s="12">
        <f>MONTH(Movimientos_2026[[#This Row],[Fecha]])</f>
        <v>1</v>
      </c>
      <c r="C295" s="12" t="str">
        <f>VLOOKUP((WEEKDAY(Movimientos_2026[[#This Row],[Fecha]],2)),'5. Setup'!$D$6:$E$12,2,FALSE)</f>
        <v>Lun</v>
      </c>
      <c r="D295">
        <v>1043267</v>
      </c>
      <c r="E295" t="str">
        <f>IFERROR(+VLOOKUP(Movimientos_2026[[#This Row],[Codigo]],Plan_cuentas[],2,FALSE)," ")</f>
        <v>INGRESOS</v>
      </c>
      <c r="F295" t="str">
        <f>IFERROR(+VLOOKUP(Movimientos_2026[[#This Row],[Codigo]],Plan_cuentas[],3,FALSE)," ")</f>
        <v>Transferencia</v>
      </c>
      <c r="G295" t="str">
        <f>IFERROR(+VLOOKUP(Movimientos_2026[[#This Row],[Codigo]],Plan_cuentas[],4,FALSE)," ")</f>
        <v>Registración</v>
      </c>
      <c r="H295" t="str">
        <f>IFERROR(+VLOOKUP(Movimientos_2026[[#This Row],[Codigo]],Plan_cuentas[],5,FALSE)," ")</f>
        <v>LA PAMPA</v>
      </c>
      <c r="I295" s="43">
        <v>45992</v>
      </c>
      <c r="J295" t="s">
        <v>134</v>
      </c>
      <c r="K295" t="str">
        <f>IFERROR(+VLOOKUP(Movimientos_2026[[#This Row],[Codigo]],Plan_cuentas[],6,FALSE)," ")</f>
        <v>7 - PRtr - Plan Rombo Transf.</v>
      </c>
      <c r="L295" s="50">
        <v>12000</v>
      </c>
      <c r="M295" s="52"/>
      <c r="N295" s="20">
        <f>+Movimientos_2026[[#This Row],[Ingresos]]-Movimientos_2026[[#This Row],[Egresos]]</f>
        <v>12000</v>
      </c>
      <c r="O295" s="20">
        <f>+O294+Movimientos_2026[[#This Row],[Neto]]</f>
        <v>6297490914.2824717</v>
      </c>
    </row>
    <row r="296" spans="1:15" x14ac:dyDescent="0.25">
      <c r="A296" s="13">
        <v>46041</v>
      </c>
      <c r="B296" s="12">
        <f>MONTH(Movimientos_2026[[#This Row],[Fecha]])</f>
        <v>1</v>
      </c>
      <c r="C296" s="12" t="str">
        <f>VLOOKUP((WEEKDAY(Movimientos_2026[[#This Row],[Fecha]],2)),'5. Setup'!$D$6:$E$12,2,FALSE)</f>
        <v>Lun</v>
      </c>
      <c r="D296">
        <v>1044287</v>
      </c>
      <c r="E296" t="str">
        <f>IFERROR(+VLOOKUP(Movimientos_2026[[#This Row],[Codigo]],Plan_cuentas[],2,FALSE)," ")</f>
        <v>INGRESOS</v>
      </c>
      <c r="F296" t="str">
        <f>IFERROR(+VLOOKUP(Movimientos_2026[[#This Row],[Codigo]],Plan_cuentas[],3,FALSE)," ")</f>
        <v>Transferencia</v>
      </c>
      <c r="G296" t="str">
        <f>IFERROR(+VLOOKUP(Movimientos_2026[[#This Row],[Codigo]],Plan_cuentas[],4,FALSE)," ")</f>
        <v>Rentas</v>
      </c>
      <c r="H296" t="str">
        <f>IFERROR(+VLOOKUP(Movimientos_2026[[#This Row],[Codigo]],Plan_cuentas[],5,FALSE)," ")</f>
        <v>MENDOZA</v>
      </c>
      <c r="I296" s="43">
        <v>45992</v>
      </c>
      <c r="J296" t="s">
        <v>134</v>
      </c>
      <c r="K296" t="str">
        <f>IFERROR(+VLOOKUP(Movimientos_2026[[#This Row],[Codigo]],Plan_cuentas[],6,FALSE)," ")</f>
        <v>7 - PRtr - Plan Rombo Transf.</v>
      </c>
      <c r="L296" s="50">
        <v>7500</v>
      </c>
      <c r="M296" s="50"/>
      <c r="N296" s="20">
        <f>+Movimientos_2026[[#This Row],[Ingresos]]-Movimientos_2026[[#This Row],[Egresos]]</f>
        <v>7500</v>
      </c>
      <c r="O296" s="20">
        <f>+O295+Movimientos_2026[[#This Row],[Neto]]</f>
        <v>6297498414.2824717</v>
      </c>
    </row>
    <row r="297" spans="1:15" x14ac:dyDescent="0.25">
      <c r="A297" s="13">
        <v>46041</v>
      </c>
      <c r="B297" s="12">
        <f>MONTH(Movimientos_2026[[#This Row],[Fecha]])</f>
        <v>1</v>
      </c>
      <c r="C297" s="12" t="str">
        <f>VLOOKUP((WEEKDAY(Movimientos_2026[[#This Row],[Fecha]],2)),'5. Setup'!$D$6:$E$12,2,FALSE)</f>
        <v>Lun</v>
      </c>
      <c r="D297">
        <v>1044407</v>
      </c>
      <c r="E297" t="str">
        <f>IFERROR(+VLOOKUP(Movimientos_2026[[#This Row],[Codigo]],Plan_cuentas[],2,FALSE)," ")</f>
        <v>INGRESOS</v>
      </c>
      <c r="F297" t="str">
        <f>IFERROR(+VLOOKUP(Movimientos_2026[[#This Row],[Codigo]],Plan_cuentas[],3,FALSE)," ")</f>
        <v>Transferencia</v>
      </c>
      <c r="G297" t="str">
        <f>IFERROR(+VLOOKUP(Movimientos_2026[[#This Row],[Codigo]],Plan_cuentas[],4,FALSE)," ")</f>
        <v>Rentas</v>
      </c>
      <c r="H297" t="str">
        <f>IFERROR(+VLOOKUP(Movimientos_2026[[#This Row],[Codigo]],Plan_cuentas[],5,FALSE)," ")</f>
        <v>SANTIAGO DEL ESTERO</v>
      </c>
      <c r="I297" s="43">
        <v>45992</v>
      </c>
      <c r="J297" t="s">
        <v>134</v>
      </c>
      <c r="K297" t="str">
        <f>IFERROR(+VLOOKUP(Movimientos_2026[[#This Row],[Codigo]],Plan_cuentas[],6,FALSE)," ")</f>
        <v>7 - PRtr - Plan Rombo Transf.</v>
      </c>
      <c r="L297" s="50">
        <v>400</v>
      </c>
      <c r="M297" s="50"/>
      <c r="N297" s="20">
        <f>+Movimientos_2026[[#This Row],[Ingresos]]-Movimientos_2026[[#This Row],[Egresos]]</f>
        <v>400</v>
      </c>
      <c r="O297" s="20">
        <f>+O296+Movimientos_2026[[#This Row],[Neto]]</f>
        <v>6297498814.2824717</v>
      </c>
    </row>
    <row r="298" spans="1:15" x14ac:dyDescent="0.25">
      <c r="A298" s="13">
        <v>46041</v>
      </c>
      <c r="B298" s="12">
        <f>MONTH(Movimientos_2026[[#This Row],[Fecha]])</f>
        <v>1</v>
      </c>
      <c r="C298" s="12" t="str">
        <f>VLOOKUP((WEEKDAY(Movimientos_2026[[#This Row],[Fecha]],2)),'5. Setup'!$D$6:$E$12,2,FALSE)</f>
        <v>Lun</v>
      </c>
      <c r="D298">
        <v>1043387</v>
      </c>
      <c r="E298" t="str">
        <f>IFERROR(+VLOOKUP(Movimientos_2026[[#This Row],[Codigo]],Plan_cuentas[],2,FALSE)," ")</f>
        <v>INGRESOS</v>
      </c>
      <c r="F298" t="str">
        <f>IFERROR(+VLOOKUP(Movimientos_2026[[#This Row],[Codigo]],Plan_cuentas[],3,FALSE)," ")</f>
        <v>Transferencia</v>
      </c>
      <c r="G298" t="str">
        <f>IFERROR(+VLOOKUP(Movimientos_2026[[#This Row],[Codigo]],Plan_cuentas[],4,FALSE)," ")</f>
        <v>Registración</v>
      </c>
      <c r="H298" t="str">
        <f>IFERROR(+VLOOKUP(Movimientos_2026[[#This Row],[Codigo]],Plan_cuentas[],5,FALSE)," ")</f>
        <v>SANTA FE 1° Q</v>
      </c>
      <c r="I298" s="43">
        <v>45992</v>
      </c>
      <c r="J298" t="s">
        <v>134</v>
      </c>
      <c r="K298" t="str">
        <f>IFERROR(+VLOOKUP(Movimientos_2026[[#This Row],[Codigo]],Plan_cuentas[],6,FALSE)," ")</f>
        <v>7 - PRtr - Plan Rombo Transf.</v>
      </c>
      <c r="L298" s="50">
        <v>2950</v>
      </c>
      <c r="M298" s="50"/>
      <c r="N298" s="20">
        <f>+Movimientos_2026[[#This Row],[Ingresos]]-Movimientos_2026[[#This Row],[Egresos]]</f>
        <v>2950</v>
      </c>
      <c r="O298" s="20">
        <f>+O297+Movimientos_2026[[#This Row],[Neto]]</f>
        <v>6297501764.2824717</v>
      </c>
    </row>
    <row r="299" spans="1:15" x14ac:dyDescent="0.25">
      <c r="A299" s="13">
        <v>46041</v>
      </c>
      <c r="B299" s="12">
        <f>MONTH(Movimientos_2026[[#This Row],[Fecha]])</f>
        <v>1</v>
      </c>
      <c r="C299" s="12" t="str">
        <f>VLOOKUP((WEEKDAY(Movimientos_2026[[#This Row],[Fecha]],2)),'5. Setup'!$D$6:$E$12,2,FALSE)</f>
        <v>Lun</v>
      </c>
      <c r="D299">
        <v>1044427</v>
      </c>
      <c r="E299" t="str">
        <f>IFERROR(+VLOOKUP(Movimientos_2026[[#This Row],[Codigo]],Plan_cuentas[],2,FALSE)," ")</f>
        <v>INGRESOS</v>
      </c>
      <c r="F299" t="str">
        <f>IFERROR(+VLOOKUP(Movimientos_2026[[#This Row],[Codigo]],Plan_cuentas[],3,FALSE)," ")</f>
        <v>Transferencia</v>
      </c>
      <c r="G299" t="str">
        <f>IFERROR(+VLOOKUP(Movimientos_2026[[#This Row],[Codigo]],Plan_cuentas[],4,FALSE)," ")</f>
        <v>Rentas</v>
      </c>
      <c r="H299" t="str">
        <f>IFERROR(+VLOOKUP(Movimientos_2026[[#This Row],[Codigo]],Plan_cuentas[],5,FALSE)," ")</f>
        <v>TUCUMAN</v>
      </c>
      <c r="I299" s="43">
        <v>45992</v>
      </c>
      <c r="J299" t="s">
        <v>134</v>
      </c>
      <c r="K299" t="str">
        <f>IFERROR(+VLOOKUP(Movimientos_2026[[#This Row],[Codigo]],Plan_cuentas[],6,FALSE)," ")</f>
        <v>7 - PRtr - Plan Rombo Transf.</v>
      </c>
      <c r="L299" s="50">
        <v>100</v>
      </c>
      <c r="M299" s="52"/>
      <c r="N299" s="20">
        <f>+Movimientos_2026[[#This Row],[Ingresos]]-Movimientos_2026[[#This Row],[Egresos]]</f>
        <v>100</v>
      </c>
      <c r="O299" s="20">
        <f>+O298+Movimientos_2026[[#This Row],[Neto]]</f>
        <v>6297501864.2824717</v>
      </c>
    </row>
    <row r="300" spans="1:15" x14ac:dyDescent="0.25">
      <c r="A300" s="13">
        <v>46041</v>
      </c>
      <c r="B300" s="12">
        <f>MONTH(Movimientos_2026[[#This Row],[Fecha]])</f>
        <v>1</v>
      </c>
      <c r="C300" s="12" t="str">
        <f>VLOOKUP((WEEKDAY(Movimientos_2026[[#This Row],[Fecha]],2)),'5. Setup'!$D$6:$E$12,2,FALSE)</f>
        <v>Lun</v>
      </c>
      <c r="D300">
        <v>1045477</v>
      </c>
      <c r="E300" t="str">
        <f>IFERROR(+VLOOKUP(Movimientos_2026[[#This Row],[Codigo]],Plan_cuentas[],2,FALSE)," ")</f>
        <v>INGRESOS</v>
      </c>
      <c r="F300" t="str">
        <f>IFERROR(+VLOOKUP(Movimientos_2026[[#This Row],[Codigo]],Plan_cuentas[],3,FALSE)," ")</f>
        <v>Transferencia</v>
      </c>
      <c r="G300" t="str">
        <f>IFERROR(+VLOOKUP(Movimientos_2026[[#This Row],[Codigo]],Plan_cuentas[],4,FALSE)," ")</f>
        <v>Factura</v>
      </c>
      <c r="H300" t="str">
        <f>IFERROR(+VLOOKUP(Movimientos_2026[[#This Row],[Codigo]],Plan_cuentas[],5,FALSE)," ")</f>
        <v>FC HONORARIOS</v>
      </c>
      <c r="I300" s="43">
        <v>45992</v>
      </c>
      <c r="J300" t="s">
        <v>137</v>
      </c>
      <c r="K300" t="str">
        <f>IFERROR(+VLOOKUP(Movimientos_2026[[#This Row],[Codigo]],Plan_cuentas[],6,FALSE)," ")</f>
        <v>7 - PRtr - Plan Rombo Transf.</v>
      </c>
      <c r="L300" s="50">
        <v>9223661.6799999997</v>
      </c>
      <c r="M300" s="52"/>
      <c r="N300" s="20">
        <f>+Movimientos_2026[[#This Row],[Ingresos]]-Movimientos_2026[[#This Row],[Egresos]]</f>
        <v>9223661.6799999997</v>
      </c>
      <c r="O300" s="20">
        <f>+O299+Movimientos_2026[[#This Row],[Neto]]</f>
        <v>6306725525.962472</v>
      </c>
    </row>
    <row r="301" spans="1:15" x14ac:dyDescent="0.25">
      <c r="A301" s="13">
        <v>46041</v>
      </c>
      <c r="B301" s="12">
        <f>MONTH(Movimientos_2026[[#This Row],[Fecha]])</f>
        <v>1</v>
      </c>
      <c r="C301" s="12" t="str">
        <f>VLOOKUP((WEEKDAY(Movimientos_2026[[#This Row],[Fecha]],2)),'5. Setup'!$D$6:$E$12,2,FALSE)</f>
        <v>Lun</v>
      </c>
      <c r="D301">
        <v>1044212</v>
      </c>
      <c r="E301" t="str">
        <f>IFERROR(+VLOOKUP(Movimientos_2026[[#This Row],[Codigo]],Plan_cuentas[],2,FALSE)," ")</f>
        <v>INGRESOS</v>
      </c>
      <c r="F301" t="str">
        <f>IFERROR(+VLOOKUP(Movimientos_2026[[#This Row],[Codigo]],Plan_cuentas[],3,FALSE)," ")</f>
        <v>Transferencia</v>
      </c>
      <c r="G301" t="str">
        <f>IFERROR(+VLOOKUP(Movimientos_2026[[#This Row],[Codigo]],Plan_cuentas[],4,FALSE)," ")</f>
        <v>Rentas</v>
      </c>
      <c r="H301" t="str">
        <f>IFERROR(+VLOOKUP(Movimientos_2026[[#This Row],[Codigo]],Plan_cuentas[],5,FALSE)," ")</f>
        <v>CORRIENTES 2° Q</v>
      </c>
      <c r="I301" s="43">
        <v>45992</v>
      </c>
      <c r="J301" t="s">
        <v>134</v>
      </c>
      <c r="K301" t="str">
        <f>IFERROR(+VLOOKUP(Movimientos_2026[[#This Row],[Codigo]],Plan_cuentas[],6,FALSE)," ")</f>
        <v>2 - PR - Plan Rombo</v>
      </c>
      <c r="L301" s="50">
        <v>3081087.35</v>
      </c>
      <c r="M301" s="52"/>
      <c r="N301" s="20">
        <f>+Movimientos_2026[[#This Row],[Ingresos]]-Movimientos_2026[[#This Row],[Egresos]]</f>
        <v>3081087.35</v>
      </c>
      <c r="O301" s="20">
        <f>+O300+Movimientos_2026[[#This Row],[Neto]]</f>
        <v>6309806613.3124723</v>
      </c>
    </row>
    <row r="302" spans="1:15" x14ac:dyDescent="0.25">
      <c r="A302" s="13">
        <v>46041</v>
      </c>
      <c r="B302" s="12">
        <f>MONTH(Movimientos_2026[[#This Row],[Fecha]])</f>
        <v>1</v>
      </c>
      <c r="C302" s="12" t="str">
        <f>VLOOKUP((WEEKDAY(Movimientos_2026[[#This Row],[Fecha]],2)),'5. Setup'!$D$6:$E$12,2,FALSE)</f>
        <v>Lun</v>
      </c>
      <c r="D302">
        <v>1044462</v>
      </c>
      <c r="E302" t="str">
        <f>IFERROR(+VLOOKUP(Movimientos_2026[[#This Row],[Codigo]],Plan_cuentas[],2,FALSE)," ")</f>
        <v>INGRESOS</v>
      </c>
      <c r="F302" t="str">
        <f>IFERROR(+VLOOKUP(Movimientos_2026[[#This Row],[Codigo]],Plan_cuentas[],3,FALSE)," ")</f>
        <v>Transferencia</v>
      </c>
      <c r="G302" t="str">
        <f>IFERROR(+VLOOKUP(Movimientos_2026[[#This Row],[Codigo]],Plan_cuentas[],4,FALSE)," ")</f>
        <v>Rentas</v>
      </c>
      <c r="H302" t="str">
        <f>IFERROR(+VLOOKUP(Movimientos_2026[[#This Row],[Codigo]],Plan_cuentas[],5,FALSE)," ")</f>
        <v>MISIONES</v>
      </c>
      <c r="I302" s="43">
        <v>45992</v>
      </c>
      <c r="J302" t="s">
        <v>134</v>
      </c>
      <c r="K302" t="str">
        <f>IFERROR(+VLOOKUP(Movimientos_2026[[#This Row],[Codigo]],Plan_cuentas[],6,FALSE)," ")</f>
        <v>2 - PR - Plan Rombo</v>
      </c>
      <c r="L302" s="50">
        <v>2674018.64</v>
      </c>
      <c r="M302" s="52"/>
      <c r="N302" s="20">
        <f>+Movimientos_2026[[#This Row],[Ingresos]]-Movimientos_2026[[#This Row],[Egresos]]</f>
        <v>2674018.64</v>
      </c>
      <c r="O302" s="20">
        <f>+O301+Movimientos_2026[[#This Row],[Neto]]</f>
        <v>6312480631.9524727</v>
      </c>
    </row>
    <row r="303" spans="1:15" x14ac:dyDescent="0.25">
      <c r="A303" s="13">
        <v>46041</v>
      </c>
      <c r="B303" s="12">
        <f>MONTH(Movimientos_2026[[#This Row],[Fecha]])</f>
        <v>1</v>
      </c>
      <c r="C303" s="12" t="str">
        <f>VLOOKUP((WEEKDAY(Movimientos_2026[[#This Row],[Fecha]],2)),'5. Setup'!$D$6:$E$12,2,FALSE)</f>
        <v>Lun</v>
      </c>
      <c r="D303">
        <v>1044322</v>
      </c>
      <c r="E303" t="str">
        <f>IFERROR(+VLOOKUP(Movimientos_2026[[#This Row],[Codigo]],Plan_cuentas[],2,FALSE)," ")</f>
        <v>INGRESOS</v>
      </c>
      <c r="F303" t="str">
        <f>IFERROR(+VLOOKUP(Movimientos_2026[[#This Row],[Codigo]],Plan_cuentas[],3,FALSE)," ")</f>
        <v>Transferencia</v>
      </c>
      <c r="G303" t="str">
        <f>IFERROR(+VLOOKUP(Movimientos_2026[[#This Row],[Codigo]],Plan_cuentas[],4,FALSE)," ")</f>
        <v>Rentas</v>
      </c>
      <c r="H303" t="str">
        <f>IFERROR(+VLOOKUP(Movimientos_2026[[#This Row],[Codigo]],Plan_cuentas[],5,FALSE)," ")</f>
        <v>NEUQUEN 2° Q</v>
      </c>
      <c r="I303" s="43">
        <v>45992</v>
      </c>
      <c r="J303" t="s">
        <v>134</v>
      </c>
      <c r="K303" t="str">
        <f>IFERROR(+VLOOKUP(Movimientos_2026[[#This Row],[Codigo]],Plan_cuentas[],6,FALSE)," ")</f>
        <v>2 - PR - Plan Rombo</v>
      </c>
      <c r="L303" s="50">
        <v>15565500</v>
      </c>
      <c r="M303" s="52"/>
      <c r="N303" s="20">
        <f>+Movimientos_2026[[#This Row],[Ingresos]]-Movimientos_2026[[#This Row],[Egresos]]</f>
        <v>15565500</v>
      </c>
      <c r="O303" s="20">
        <f>+O302+Movimientos_2026[[#This Row],[Neto]]</f>
        <v>6328046131.9524727</v>
      </c>
    </row>
    <row r="304" spans="1:15" x14ac:dyDescent="0.25">
      <c r="A304" s="13">
        <v>46041</v>
      </c>
      <c r="B304" s="12">
        <f>MONTH(Movimientos_2026[[#This Row],[Fecha]])</f>
        <v>1</v>
      </c>
      <c r="C304" s="12" t="str">
        <f>VLOOKUP((WEEKDAY(Movimientos_2026[[#This Row],[Fecha]],2)),'5. Setup'!$D$6:$E$12,2,FALSE)</f>
        <v>Lun</v>
      </c>
      <c r="D304">
        <v>1044162</v>
      </c>
      <c r="E304" t="str">
        <f>IFERROR(+VLOOKUP(Movimientos_2026[[#This Row],[Codigo]],Plan_cuentas[],2,FALSE)," ")</f>
        <v>INGRESOS</v>
      </c>
      <c r="F304" t="str">
        <f>IFERROR(+VLOOKUP(Movimientos_2026[[#This Row],[Codigo]],Plan_cuentas[],3,FALSE)," ")</f>
        <v>Transferencia</v>
      </c>
      <c r="G304" t="str">
        <f>IFERROR(+VLOOKUP(Movimientos_2026[[#This Row],[Codigo]],Plan_cuentas[],4,FALSE)," ")</f>
        <v>Rentas</v>
      </c>
      <c r="H304" t="str">
        <f>IFERROR(+VLOOKUP(Movimientos_2026[[#This Row],[Codigo]],Plan_cuentas[],5,FALSE)," ")</f>
        <v>CHACO</v>
      </c>
      <c r="I304" s="43">
        <v>45992</v>
      </c>
      <c r="J304" t="s">
        <v>134</v>
      </c>
      <c r="K304" t="str">
        <f>IFERROR(+VLOOKUP(Movimientos_2026[[#This Row],[Codigo]],Plan_cuentas[],6,FALSE)," ")</f>
        <v>2 - PR - Plan Rombo</v>
      </c>
      <c r="L304" s="50">
        <v>3437481.1</v>
      </c>
      <c r="M304" s="52"/>
      <c r="N304" s="20">
        <f>+Movimientos_2026[[#This Row],[Ingresos]]-Movimientos_2026[[#This Row],[Egresos]]</f>
        <v>3437481.1</v>
      </c>
      <c r="O304" s="20">
        <f>+O303+Movimientos_2026[[#This Row],[Neto]]</f>
        <v>6331483613.0524731</v>
      </c>
    </row>
    <row r="305" spans="1:15" x14ac:dyDescent="0.25">
      <c r="A305" s="13">
        <v>46041</v>
      </c>
      <c r="B305" s="12">
        <f>MONTH(Movimientos_2026[[#This Row],[Fecha]])</f>
        <v>1</v>
      </c>
      <c r="C305" s="12" t="str">
        <f>VLOOKUP((WEEKDAY(Movimientos_2026[[#This Row],[Fecha]],2)),'5. Setup'!$D$6:$E$12,2,FALSE)</f>
        <v>Lun</v>
      </c>
      <c r="D305">
        <v>1044262</v>
      </c>
      <c r="E305" t="str">
        <f>IFERROR(+VLOOKUP(Movimientos_2026[[#This Row],[Codigo]],Plan_cuentas[],2,FALSE)," ")</f>
        <v>INGRESOS</v>
      </c>
      <c r="F305" t="str">
        <f>IFERROR(+VLOOKUP(Movimientos_2026[[#This Row],[Codigo]],Plan_cuentas[],3,FALSE)," ")</f>
        <v>Transferencia</v>
      </c>
      <c r="G305" t="str">
        <f>IFERROR(+VLOOKUP(Movimientos_2026[[#This Row],[Codigo]],Plan_cuentas[],4,FALSE)," ")</f>
        <v>Rentas</v>
      </c>
      <c r="H305" t="str">
        <f>IFERROR(+VLOOKUP(Movimientos_2026[[#This Row],[Codigo]],Plan_cuentas[],5,FALSE)," ")</f>
        <v>LA PAMPA</v>
      </c>
      <c r="I305" s="43">
        <v>45992</v>
      </c>
      <c r="J305" t="s">
        <v>134</v>
      </c>
      <c r="K305" t="str">
        <f>IFERROR(+VLOOKUP(Movimientos_2026[[#This Row],[Codigo]],Plan_cuentas[],6,FALSE)," ")</f>
        <v>2 - PR - Plan Rombo</v>
      </c>
      <c r="L305" s="50">
        <v>5743400</v>
      </c>
      <c r="M305" s="52"/>
      <c r="N305" s="20">
        <f>+Movimientos_2026[[#This Row],[Ingresos]]-Movimientos_2026[[#This Row],[Egresos]]</f>
        <v>5743400</v>
      </c>
      <c r="O305" s="20">
        <f>+O304+Movimientos_2026[[#This Row],[Neto]]</f>
        <v>6337227013.0524731</v>
      </c>
    </row>
    <row r="306" spans="1:15" x14ac:dyDescent="0.25">
      <c r="A306" s="13">
        <v>46041</v>
      </c>
      <c r="B306" s="12">
        <f>MONTH(Movimientos_2026[[#This Row],[Fecha]])</f>
        <v>1</v>
      </c>
      <c r="C306" s="12" t="str">
        <f>VLOOKUP((WEEKDAY(Movimientos_2026[[#This Row],[Fecha]],2)),'5. Setup'!$D$6:$E$12,2,FALSE)</f>
        <v>Lun</v>
      </c>
      <c r="D306">
        <v>1044272</v>
      </c>
      <c r="E306" t="str">
        <f>IFERROR(+VLOOKUP(Movimientos_2026[[#This Row],[Codigo]],Plan_cuentas[],2,FALSE)," ")</f>
        <v>INGRESOS</v>
      </c>
      <c r="F306" t="str">
        <f>IFERROR(+VLOOKUP(Movimientos_2026[[#This Row],[Codigo]],Plan_cuentas[],3,FALSE)," ")</f>
        <v>Transferencia</v>
      </c>
      <c r="G306" t="str">
        <f>IFERROR(+VLOOKUP(Movimientos_2026[[#This Row],[Codigo]],Plan_cuentas[],4,FALSE)," ")</f>
        <v>Rentas</v>
      </c>
      <c r="H306" t="str">
        <f>IFERROR(+VLOOKUP(Movimientos_2026[[#This Row],[Codigo]],Plan_cuentas[],5,FALSE)," ")</f>
        <v>LA RIOJA</v>
      </c>
      <c r="I306" s="43">
        <v>45992</v>
      </c>
      <c r="J306" t="s">
        <v>134</v>
      </c>
      <c r="K306" t="str">
        <f>IFERROR(+VLOOKUP(Movimientos_2026[[#This Row],[Codigo]],Plan_cuentas[],6,FALSE)," ")</f>
        <v>2 - PR - Plan Rombo</v>
      </c>
      <c r="L306" s="50">
        <v>1545582.23</v>
      </c>
      <c r="M306" s="52"/>
      <c r="N306" s="20">
        <f>+Movimientos_2026[[#This Row],[Ingresos]]-Movimientos_2026[[#This Row],[Egresos]]</f>
        <v>1545582.23</v>
      </c>
      <c r="O306" s="20">
        <f>+O305+Movimientos_2026[[#This Row],[Neto]]</f>
        <v>6338772595.2824726</v>
      </c>
    </row>
    <row r="307" spans="1:15" x14ac:dyDescent="0.25">
      <c r="A307" s="13">
        <v>46041</v>
      </c>
      <c r="B307" s="12">
        <f>MONTH(Movimientos_2026[[#This Row],[Fecha]])</f>
        <v>1</v>
      </c>
      <c r="C307" s="12" t="str">
        <f>VLOOKUP((WEEKDAY(Movimientos_2026[[#This Row],[Fecha]],2)),'5. Setup'!$D$6:$E$12,2,FALSE)</f>
        <v>Lun</v>
      </c>
      <c r="D307">
        <v>1044282</v>
      </c>
      <c r="E307" t="str">
        <f>IFERROR(+VLOOKUP(Movimientos_2026[[#This Row],[Codigo]],Plan_cuentas[],2,FALSE)," ")</f>
        <v>INGRESOS</v>
      </c>
      <c r="F307" t="str">
        <f>IFERROR(+VLOOKUP(Movimientos_2026[[#This Row],[Codigo]],Plan_cuentas[],3,FALSE)," ")</f>
        <v>Transferencia</v>
      </c>
      <c r="G307" t="str">
        <f>IFERROR(+VLOOKUP(Movimientos_2026[[#This Row],[Codigo]],Plan_cuentas[],4,FALSE)," ")</f>
        <v>Rentas</v>
      </c>
      <c r="H307" t="str">
        <f>IFERROR(+VLOOKUP(Movimientos_2026[[#This Row],[Codigo]],Plan_cuentas[],5,FALSE)," ")</f>
        <v>MENDOZA</v>
      </c>
      <c r="I307" s="43">
        <v>45992</v>
      </c>
      <c r="J307" t="s">
        <v>134</v>
      </c>
      <c r="K307" t="str">
        <f>IFERROR(+VLOOKUP(Movimientos_2026[[#This Row],[Codigo]],Plan_cuentas[],6,FALSE)," ")</f>
        <v>2 - PR - Plan Rombo</v>
      </c>
      <c r="L307" s="50">
        <v>63666625</v>
      </c>
      <c r="M307" s="52"/>
      <c r="N307" s="20">
        <f>+Movimientos_2026[[#This Row],[Ingresos]]-Movimientos_2026[[#This Row],[Egresos]]</f>
        <v>63666625</v>
      </c>
      <c r="O307" s="20">
        <f>+O306+Movimientos_2026[[#This Row],[Neto]]</f>
        <v>6402439220.2824726</v>
      </c>
    </row>
    <row r="308" spans="1:15" x14ac:dyDescent="0.25">
      <c r="A308" s="13">
        <v>46041</v>
      </c>
      <c r="B308" s="12">
        <f>MONTH(Movimientos_2026[[#This Row],[Fecha]])</f>
        <v>1</v>
      </c>
      <c r="C308" s="12" t="str">
        <f>VLOOKUP((WEEKDAY(Movimientos_2026[[#This Row],[Fecha]],2)),'5. Setup'!$D$6:$E$12,2,FALSE)</f>
        <v>Lun</v>
      </c>
      <c r="D308">
        <v>1044352</v>
      </c>
      <c r="E308" t="str">
        <f>IFERROR(+VLOOKUP(Movimientos_2026[[#This Row],[Codigo]],Plan_cuentas[],2,FALSE)," ")</f>
        <v>INGRESOS</v>
      </c>
      <c r="F308" t="str">
        <f>IFERROR(+VLOOKUP(Movimientos_2026[[#This Row],[Codigo]],Plan_cuentas[],3,FALSE)," ")</f>
        <v>Transferencia</v>
      </c>
      <c r="G308" t="str">
        <f>IFERROR(+VLOOKUP(Movimientos_2026[[#This Row],[Codigo]],Plan_cuentas[],4,FALSE)," ")</f>
        <v>Rentas</v>
      </c>
      <c r="H308" t="str">
        <f>IFERROR(+VLOOKUP(Movimientos_2026[[#This Row],[Codigo]],Plan_cuentas[],5,FALSE)," ")</f>
        <v>SAN JUAN</v>
      </c>
      <c r="I308" s="43">
        <v>45992</v>
      </c>
      <c r="J308" t="s">
        <v>134</v>
      </c>
      <c r="K308" t="str">
        <f>IFERROR(+VLOOKUP(Movimientos_2026[[#This Row],[Codigo]],Plan_cuentas[],6,FALSE)," ")</f>
        <v>2 - PR - Plan Rombo</v>
      </c>
      <c r="L308" s="50">
        <v>11949496.92</v>
      </c>
      <c r="M308" s="52"/>
      <c r="N308" s="20">
        <f>+Movimientos_2026[[#This Row],[Ingresos]]-Movimientos_2026[[#This Row],[Egresos]]</f>
        <v>11949496.92</v>
      </c>
      <c r="O308" s="20">
        <f>+O307+Movimientos_2026[[#This Row],[Neto]]</f>
        <v>6414388717.2024727</v>
      </c>
    </row>
    <row r="309" spans="1:15" x14ac:dyDescent="0.25">
      <c r="A309" s="13">
        <v>46041</v>
      </c>
      <c r="B309" s="12">
        <f>MONTH(Movimientos_2026[[#This Row],[Fecha]])</f>
        <v>1</v>
      </c>
      <c r="C309" s="12" t="str">
        <f>VLOOKUP((WEEKDAY(Movimientos_2026[[#This Row],[Fecha]],2)),'5. Setup'!$D$6:$E$12,2,FALSE)</f>
        <v>Lun</v>
      </c>
      <c r="D309">
        <v>1044362</v>
      </c>
      <c r="E309" t="str">
        <f>IFERROR(+VLOOKUP(Movimientos_2026[[#This Row],[Codigo]],Plan_cuentas[],2,FALSE)," ")</f>
        <v>INGRESOS</v>
      </c>
      <c r="F309" t="str">
        <f>IFERROR(+VLOOKUP(Movimientos_2026[[#This Row],[Codigo]],Plan_cuentas[],3,FALSE)," ")</f>
        <v>Transferencia</v>
      </c>
      <c r="G309" t="str">
        <f>IFERROR(+VLOOKUP(Movimientos_2026[[#This Row],[Codigo]],Plan_cuentas[],4,FALSE)," ")</f>
        <v>Rentas</v>
      </c>
      <c r="H309" t="str">
        <f>IFERROR(+VLOOKUP(Movimientos_2026[[#This Row],[Codigo]],Plan_cuentas[],5,FALSE)," ")</f>
        <v>SAN LUIS</v>
      </c>
      <c r="I309" s="43">
        <v>45992</v>
      </c>
      <c r="J309" t="s">
        <v>134</v>
      </c>
      <c r="K309" t="str">
        <f>IFERROR(+VLOOKUP(Movimientos_2026[[#This Row],[Codigo]],Plan_cuentas[],6,FALSE)," ")</f>
        <v>2 - PR - Plan Rombo</v>
      </c>
      <c r="L309" s="50">
        <v>1631574.61</v>
      </c>
      <c r="M309" s="52"/>
      <c r="N309" s="20">
        <f>+Movimientos_2026[[#This Row],[Ingresos]]-Movimientos_2026[[#This Row],[Egresos]]</f>
        <v>1631574.61</v>
      </c>
      <c r="O309" s="20">
        <f>+O308+Movimientos_2026[[#This Row],[Neto]]</f>
        <v>6416020291.8124723</v>
      </c>
    </row>
    <row r="310" spans="1:15" x14ac:dyDescent="0.25">
      <c r="A310" s="13">
        <v>46041</v>
      </c>
      <c r="B310" s="12">
        <f>MONTH(Movimientos_2026[[#This Row],[Fecha]])</f>
        <v>1</v>
      </c>
      <c r="C310" s="12" t="str">
        <f>VLOOKUP((WEEKDAY(Movimientos_2026[[#This Row],[Fecha]],2)),'5. Setup'!$D$6:$E$12,2,FALSE)</f>
        <v>Lun</v>
      </c>
      <c r="D310">
        <v>1044372</v>
      </c>
      <c r="E310" t="str">
        <f>IFERROR(+VLOOKUP(Movimientos_2026[[#This Row],[Codigo]],Plan_cuentas[],2,FALSE)," ")</f>
        <v>INGRESOS</v>
      </c>
      <c r="F310" t="str">
        <f>IFERROR(+VLOOKUP(Movimientos_2026[[#This Row],[Codigo]],Plan_cuentas[],3,FALSE)," ")</f>
        <v>Transferencia</v>
      </c>
      <c r="G310" t="str">
        <f>IFERROR(+VLOOKUP(Movimientos_2026[[#This Row],[Codigo]],Plan_cuentas[],4,FALSE)," ")</f>
        <v>Rentas</v>
      </c>
      <c r="H310" t="str">
        <f>IFERROR(+VLOOKUP(Movimientos_2026[[#This Row],[Codigo]],Plan_cuentas[],5,FALSE)," ")</f>
        <v>SANTA CRUZ</v>
      </c>
      <c r="I310" s="43">
        <v>45992</v>
      </c>
      <c r="J310" t="s">
        <v>134</v>
      </c>
      <c r="K310" t="str">
        <f>IFERROR(+VLOOKUP(Movimientos_2026[[#This Row],[Codigo]],Plan_cuentas[],6,FALSE)," ")</f>
        <v>2 - PR - Plan Rombo</v>
      </c>
      <c r="L310" s="50">
        <v>37194759.049999997</v>
      </c>
      <c r="M310" s="52"/>
      <c r="N310" s="20">
        <f>+Movimientos_2026[[#This Row],[Ingresos]]-Movimientos_2026[[#This Row],[Egresos]]</f>
        <v>37194759.049999997</v>
      </c>
      <c r="O310" s="20">
        <f>+O309+Movimientos_2026[[#This Row],[Neto]]</f>
        <v>6453215050.8624725</v>
      </c>
    </row>
    <row r="311" spans="1:15" x14ac:dyDescent="0.25">
      <c r="A311" s="13">
        <v>46041</v>
      </c>
      <c r="B311" s="12">
        <f>MONTH(Movimientos_2026[[#This Row],[Fecha]])</f>
        <v>1</v>
      </c>
      <c r="C311" s="12" t="str">
        <f>VLOOKUP((WEEKDAY(Movimientos_2026[[#This Row],[Fecha]],2)),'5. Setup'!$D$6:$E$12,2,FALSE)</f>
        <v>Lun</v>
      </c>
      <c r="D311">
        <v>1044402</v>
      </c>
      <c r="E311" t="str">
        <f>IFERROR(+VLOOKUP(Movimientos_2026[[#This Row],[Codigo]],Plan_cuentas[],2,FALSE)," ")</f>
        <v>INGRESOS</v>
      </c>
      <c r="F311" t="str">
        <f>IFERROR(+VLOOKUP(Movimientos_2026[[#This Row],[Codigo]],Plan_cuentas[],3,FALSE)," ")</f>
        <v>Transferencia</v>
      </c>
      <c r="G311" t="str">
        <f>IFERROR(+VLOOKUP(Movimientos_2026[[#This Row],[Codigo]],Plan_cuentas[],4,FALSE)," ")</f>
        <v>Rentas</v>
      </c>
      <c r="H311" t="str">
        <f>IFERROR(+VLOOKUP(Movimientos_2026[[#This Row],[Codigo]],Plan_cuentas[],5,FALSE)," ")</f>
        <v>SANTIAGO DEL ESTERO</v>
      </c>
      <c r="I311" s="43">
        <v>45992</v>
      </c>
      <c r="J311" t="s">
        <v>134</v>
      </c>
      <c r="K311" t="str">
        <f>IFERROR(+VLOOKUP(Movimientos_2026[[#This Row],[Codigo]],Plan_cuentas[],6,FALSE)," ")</f>
        <v>2 - PR - Plan Rombo</v>
      </c>
      <c r="L311" s="50">
        <v>16529765.470000001</v>
      </c>
      <c r="M311" s="52"/>
      <c r="N311" s="20">
        <f>+Movimientos_2026[[#This Row],[Ingresos]]-Movimientos_2026[[#This Row],[Egresos]]</f>
        <v>16529765.470000001</v>
      </c>
      <c r="O311" s="20">
        <f>+O310+Movimientos_2026[[#This Row],[Neto]]</f>
        <v>6469744816.3324728</v>
      </c>
    </row>
    <row r="312" spans="1:15" x14ac:dyDescent="0.25">
      <c r="A312" s="13">
        <v>46041</v>
      </c>
      <c r="B312" s="12">
        <f>MONTH(Movimientos_2026[[#This Row],[Fecha]])</f>
        <v>1</v>
      </c>
      <c r="C312" s="12" t="str">
        <f>VLOOKUP((WEEKDAY(Movimientos_2026[[#This Row],[Fecha]],2)),'5. Setup'!$D$6:$E$12,2,FALSE)</f>
        <v>Lun</v>
      </c>
      <c r="D312">
        <v>1044412</v>
      </c>
      <c r="E312" t="str">
        <f>IFERROR(+VLOOKUP(Movimientos_2026[[#This Row],[Codigo]],Plan_cuentas[],2,FALSE)," ")</f>
        <v>INGRESOS</v>
      </c>
      <c r="F312" t="str">
        <f>IFERROR(+VLOOKUP(Movimientos_2026[[#This Row],[Codigo]],Plan_cuentas[],3,FALSE)," ")</f>
        <v>Transferencia</v>
      </c>
      <c r="G312" t="str">
        <f>IFERROR(+VLOOKUP(Movimientos_2026[[#This Row],[Codigo]],Plan_cuentas[],4,FALSE)," ")</f>
        <v>Rentas</v>
      </c>
      <c r="H312" t="str">
        <f>IFERROR(+VLOOKUP(Movimientos_2026[[#This Row],[Codigo]],Plan_cuentas[],5,FALSE)," ")</f>
        <v>TIERRA DEL FUEGO</v>
      </c>
      <c r="I312" s="43">
        <v>45992</v>
      </c>
      <c r="J312" t="s">
        <v>134</v>
      </c>
      <c r="K312" t="str">
        <f>IFERROR(+VLOOKUP(Movimientos_2026[[#This Row],[Codigo]],Plan_cuentas[],6,FALSE)," ")</f>
        <v>2 - PR - Plan Rombo</v>
      </c>
      <c r="L312" s="50">
        <v>6277745.5599999996</v>
      </c>
      <c r="M312" s="52"/>
      <c r="N312" s="20">
        <f>+Movimientos_2026[[#This Row],[Ingresos]]-Movimientos_2026[[#This Row],[Egresos]]</f>
        <v>6277745.5599999996</v>
      </c>
      <c r="O312" s="20">
        <f>+O311+Movimientos_2026[[#This Row],[Neto]]</f>
        <v>6476022561.8924732</v>
      </c>
    </row>
    <row r="313" spans="1:15" x14ac:dyDescent="0.25">
      <c r="A313" s="13">
        <v>46041</v>
      </c>
      <c r="B313" s="12">
        <f>MONTH(Movimientos_2026[[#This Row],[Fecha]])</f>
        <v>1</v>
      </c>
      <c r="C313" s="12" t="str">
        <f>VLOOKUP((WEEKDAY(Movimientos_2026[[#This Row],[Fecha]],2)),'5. Setup'!$D$6:$E$12,2,FALSE)</f>
        <v>Lun</v>
      </c>
      <c r="D313">
        <v>1044422</v>
      </c>
      <c r="E313" t="str">
        <f>IFERROR(+VLOOKUP(Movimientos_2026[[#This Row],[Codigo]],Plan_cuentas[],2,FALSE)," ")</f>
        <v>INGRESOS</v>
      </c>
      <c r="F313" t="str">
        <f>IFERROR(+VLOOKUP(Movimientos_2026[[#This Row],[Codigo]],Plan_cuentas[],3,FALSE)," ")</f>
        <v>Transferencia</v>
      </c>
      <c r="G313" t="str">
        <f>IFERROR(+VLOOKUP(Movimientos_2026[[#This Row],[Codigo]],Plan_cuentas[],4,FALSE)," ")</f>
        <v>Rentas</v>
      </c>
      <c r="H313" t="str">
        <f>IFERROR(+VLOOKUP(Movimientos_2026[[#This Row],[Codigo]],Plan_cuentas[],5,FALSE)," ")</f>
        <v>TUCUMAN</v>
      </c>
      <c r="I313" s="43">
        <v>45992</v>
      </c>
      <c r="J313" t="s">
        <v>134</v>
      </c>
      <c r="K313" t="str">
        <f>IFERROR(+VLOOKUP(Movimientos_2026[[#This Row],[Codigo]],Plan_cuentas[],6,FALSE)," ")</f>
        <v>2 - PR - Plan Rombo</v>
      </c>
      <c r="L313" s="50">
        <v>56775610.228999957</v>
      </c>
      <c r="M313" s="52"/>
      <c r="N313" s="20">
        <f>+Movimientos_2026[[#This Row],[Ingresos]]-Movimientos_2026[[#This Row],[Egresos]]</f>
        <v>56775610.228999957</v>
      </c>
      <c r="O313" s="20">
        <f>+O312+Movimientos_2026[[#This Row],[Neto]]</f>
        <v>6532798172.1214733</v>
      </c>
    </row>
    <row r="314" spans="1:15" x14ac:dyDescent="0.25">
      <c r="A314" s="13">
        <v>46042</v>
      </c>
      <c r="B314" s="12">
        <f>MONTH(Movimientos_2026[[#This Row],[Fecha]])</f>
        <v>1</v>
      </c>
      <c r="C314" s="12" t="str">
        <f>VLOOKUP((WEEKDAY(Movimientos_2026[[#This Row],[Fecha]],2)),'5. Setup'!$D$6:$E$12,2,FALSE)</f>
        <v>Mar</v>
      </c>
      <c r="D314">
        <v>2023141</v>
      </c>
      <c r="E314" t="str">
        <f>IFERROR(+VLOOKUP(Movimientos_2026[[#This Row],[Codigo]],Plan_cuentas[],2,FALSE)," ")</f>
        <v>EGRESOS</v>
      </c>
      <c r="F314" t="str">
        <f>IFERROR(+VLOOKUP(Movimientos_2026[[#This Row],[Codigo]],Plan_cuentas[],3,FALSE)," ")</f>
        <v>DDJJ</v>
      </c>
      <c r="G314" t="str">
        <f>IFERROR(+VLOOKUP(Movimientos_2026[[#This Row],[Codigo]],Plan_cuentas[],4,FALSE)," ")</f>
        <v>Registración</v>
      </c>
      <c r="H314" t="str">
        <f>IFERROR(+VLOOKUP(Movimientos_2026[[#This Row],[Codigo]],Plan_cuentas[],5,FALSE)," ")</f>
        <v>BUENOS AIRES</v>
      </c>
      <c r="I314" s="43">
        <v>45992</v>
      </c>
      <c r="J314" t="s">
        <v>138</v>
      </c>
      <c r="K314" t="str">
        <f>IFERROR(+VLOOKUP(Movimientos_2026[[#This Row],[Codigo]],Plan_cuentas[],6,FALSE)," ")</f>
        <v>1 - VW - Volkswagen</v>
      </c>
      <c r="L314" s="50"/>
      <c r="M314" s="52">
        <v>471775529.35000002</v>
      </c>
      <c r="N314" s="20">
        <f>+Movimientos_2026[[#This Row],[Ingresos]]-Movimientos_2026[[#This Row],[Egresos]]</f>
        <v>-471775529.35000002</v>
      </c>
      <c r="O314" s="20">
        <f>+O313+Movimientos_2026[[#This Row],[Neto]]</f>
        <v>6061022642.7714729</v>
      </c>
    </row>
    <row r="315" spans="1:15" x14ac:dyDescent="0.25">
      <c r="A315" s="13">
        <v>46042</v>
      </c>
      <c r="B315" s="12">
        <f>MONTH(Movimientos_2026[[#This Row],[Fecha]])</f>
        <v>1</v>
      </c>
      <c r="C315" s="12" t="str">
        <f>VLOOKUP((WEEKDAY(Movimientos_2026[[#This Row],[Fecha]],2)),'5. Setup'!$D$6:$E$12,2,FALSE)</f>
        <v>Mar</v>
      </c>
      <c r="D315">
        <v>2023142</v>
      </c>
      <c r="E315" t="str">
        <f>IFERROR(+VLOOKUP(Movimientos_2026[[#This Row],[Codigo]],Plan_cuentas[],2,FALSE)," ")</f>
        <v>EGRESOS</v>
      </c>
      <c r="F315" t="str">
        <f>IFERROR(+VLOOKUP(Movimientos_2026[[#This Row],[Codigo]],Plan_cuentas[],3,FALSE)," ")</f>
        <v>DDJJ</v>
      </c>
      <c r="G315" t="str">
        <f>IFERROR(+VLOOKUP(Movimientos_2026[[#This Row],[Codigo]],Plan_cuentas[],4,FALSE)," ")</f>
        <v>Registración</v>
      </c>
      <c r="H315" t="str">
        <f>IFERROR(+VLOOKUP(Movimientos_2026[[#This Row],[Codigo]],Plan_cuentas[],5,FALSE)," ")</f>
        <v>BUENOS AIRES</v>
      </c>
      <c r="I315" s="43">
        <v>45992</v>
      </c>
      <c r="J315" t="s">
        <v>138</v>
      </c>
      <c r="K315" t="str">
        <f>IFERROR(+VLOOKUP(Movimientos_2026[[#This Row],[Codigo]],Plan_cuentas[],6,FALSE)," ")</f>
        <v>2 - PR - Plan Rombo</v>
      </c>
      <c r="L315" s="50"/>
      <c r="M315" s="52">
        <v>451706657.07999998</v>
      </c>
      <c r="N315" s="20">
        <f>+Movimientos_2026[[#This Row],[Ingresos]]-Movimientos_2026[[#This Row],[Egresos]]</f>
        <v>-451706657.07999998</v>
      </c>
      <c r="O315" s="20">
        <f>+O314+Movimientos_2026[[#This Row],[Neto]]</f>
        <v>5609315985.691473</v>
      </c>
    </row>
    <row r="316" spans="1:15" x14ac:dyDescent="0.25">
      <c r="A316" s="13">
        <v>46042</v>
      </c>
      <c r="B316" s="12">
        <f>MONTH(Movimientos_2026[[#This Row],[Fecha]])</f>
        <v>1</v>
      </c>
      <c r="C316" s="12" t="str">
        <f>VLOOKUP((WEEKDAY(Movimientos_2026[[#This Row],[Fecha]],2)),'5. Setup'!$D$6:$E$12,2,FALSE)</f>
        <v>Mar</v>
      </c>
      <c r="D316">
        <v>2023143</v>
      </c>
      <c r="E316" t="str">
        <f>IFERROR(+VLOOKUP(Movimientos_2026[[#This Row],[Codigo]],Plan_cuentas[],2,FALSE)," ")</f>
        <v>EGRESOS</v>
      </c>
      <c r="F316" t="str">
        <f>IFERROR(+VLOOKUP(Movimientos_2026[[#This Row],[Codigo]],Plan_cuentas[],3,FALSE)," ")</f>
        <v>DDJJ</v>
      </c>
      <c r="G316" t="str">
        <f>IFERROR(+VLOOKUP(Movimientos_2026[[#This Row],[Codigo]],Plan_cuentas[],4,FALSE)," ")</f>
        <v>Registración</v>
      </c>
      <c r="H316" t="str">
        <f>IFERROR(+VLOOKUP(Movimientos_2026[[#This Row],[Codigo]],Plan_cuentas[],5,FALSE)," ")</f>
        <v>BUENOS AIRES</v>
      </c>
      <c r="I316" s="43">
        <v>45992</v>
      </c>
      <c r="J316" t="s">
        <v>138</v>
      </c>
      <c r="K316" t="str">
        <f>IFERROR(+VLOOKUP(Movimientos_2026[[#This Row],[Codigo]],Plan_cuentas[],6,FALSE)," ")</f>
        <v>3 - GM - Chevrolet</v>
      </c>
      <c r="L316" s="50"/>
      <c r="M316" s="52">
        <v>362942468.23000002</v>
      </c>
      <c r="N316" s="20">
        <f>+Movimientos_2026[[#This Row],[Ingresos]]-Movimientos_2026[[#This Row],[Egresos]]</f>
        <v>-362942468.23000002</v>
      </c>
      <c r="O316" s="20">
        <f>+O315+Movimientos_2026[[#This Row],[Neto]]</f>
        <v>5246373517.4614735</v>
      </c>
    </row>
    <row r="317" spans="1:15" x14ac:dyDescent="0.25">
      <c r="A317" s="13">
        <v>46042</v>
      </c>
      <c r="B317" s="12">
        <f>MONTH(Movimientos_2026[[#This Row],[Fecha]])</f>
        <v>1</v>
      </c>
      <c r="C317" s="12" t="str">
        <f>VLOOKUP((WEEKDAY(Movimientos_2026[[#This Row],[Fecha]],2)),'5. Setup'!$D$6:$E$12,2,FALSE)</f>
        <v>Mar</v>
      </c>
      <c r="D317">
        <v>2023144</v>
      </c>
      <c r="E317" t="str">
        <f>IFERROR(+VLOOKUP(Movimientos_2026[[#This Row],[Codigo]],Plan_cuentas[],2,FALSE)," ")</f>
        <v>EGRESOS</v>
      </c>
      <c r="F317" t="str">
        <f>IFERROR(+VLOOKUP(Movimientos_2026[[#This Row],[Codigo]],Plan_cuentas[],3,FALSE)," ")</f>
        <v>DDJJ</v>
      </c>
      <c r="G317" t="str">
        <f>IFERROR(+VLOOKUP(Movimientos_2026[[#This Row],[Codigo]],Plan_cuentas[],4,FALSE)," ")</f>
        <v>Registración</v>
      </c>
      <c r="H317" t="str">
        <f>IFERROR(+VLOOKUP(Movimientos_2026[[#This Row],[Codigo]],Plan_cuentas[],5,FALSE)," ")</f>
        <v>BUENOS AIRES</v>
      </c>
      <c r="I317" s="43">
        <v>45992</v>
      </c>
      <c r="J317" t="s">
        <v>138</v>
      </c>
      <c r="K317" t="str">
        <f>IFERROR(+VLOOKUP(Movimientos_2026[[#This Row],[Codigo]],Plan_cuentas[],6,FALSE)," ")</f>
        <v>4 - FCA - Fiat</v>
      </c>
      <c r="L317" s="50"/>
      <c r="M317" s="52">
        <v>795032055.64999998</v>
      </c>
      <c r="N317" s="20">
        <f>+Movimientos_2026[[#This Row],[Ingresos]]-Movimientos_2026[[#This Row],[Egresos]]</f>
        <v>-795032055.64999998</v>
      </c>
      <c r="O317" s="20">
        <f>+O316+Movimientos_2026[[#This Row],[Neto]]</f>
        <v>4451341461.8114738</v>
      </c>
    </row>
    <row r="318" spans="1:15" x14ac:dyDescent="0.25">
      <c r="A318" s="13">
        <v>46042</v>
      </c>
      <c r="B318" s="12">
        <f>MONTH(Movimientos_2026[[#This Row],[Fecha]])</f>
        <v>1</v>
      </c>
      <c r="C318" s="12" t="str">
        <f>VLOOKUP((WEEKDAY(Movimientos_2026[[#This Row],[Fecha]],2)),'5. Setup'!$D$6:$E$12,2,FALSE)</f>
        <v>Mar</v>
      </c>
      <c r="D318">
        <v>2014351</v>
      </c>
      <c r="E318" t="str">
        <f>IFERROR(+VLOOKUP(Movimientos_2026[[#This Row],[Codigo]],Plan_cuentas[],2,FALSE)," ")</f>
        <v>EGRESOS</v>
      </c>
      <c r="F318" t="str">
        <f>IFERROR(+VLOOKUP(Movimientos_2026[[#This Row],[Codigo]],Plan_cuentas[],3,FALSE)," ")</f>
        <v>BtoB</v>
      </c>
      <c r="G318" t="str">
        <f>IFERROR(+VLOOKUP(Movimientos_2026[[#This Row],[Codigo]],Plan_cuentas[],4,FALSE)," ")</f>
        <v>Rentas</v>
      </c>
      <c r="H318" t="str">
        <f>IFERROR(+VLOOKUP(Movimientos_2026[[#This Row],[Codigo]],Plan_cuentas[],5,FALSE)," ")</f>
        <v>SAN JUAN</v>
      </c>
      <c r="I318" s="43">
        <v>45992</v>
      </c>
      <c r="J318" s="53" t="s">
        <v>139</v>
      </c>
      <c r="K318" t="str">
        <f>IFERROR(+VLOOKUP(Movimientos_2026[[#This Row],[Codigo]],Plan_cuentas[],6,FALSE)," ")</f>
        <v>1 - VW - Volkswagen</v>
      </c>
      <c r="L318" s="51"/>
      <c r="M318" s="52">
        <v>5870015.1200000001</v>
      </c>
      <c r="N318" s="20">
        <f>+Movimientos_2026[[#This Row],[Ingresos]]-Movimientos_2026[[#This Row],[Egresos]]</f>
        <v>-5870015.1200000001</v>
      </c>
      <c r="O318" s="20">
        <f>+O317+Movimientos_2026[[#This Row],[Neto]]</f>
        <v>4445471446.691474</v>
      </c>
    </row>
    <row r="319" spans="1:15" x14ac:dyDescent="0.25">
      <c r="A319" s="13">
        <v>46042</v>
      </c>
      <c r="B319" s="12">
        <f>MONTH(Movimientos_2026[[#This Row],[Fecha]])</f>
        <v>1</v>
      </c>
      <c r="C319" s="12" t="str">
        <f>VLOOKUP((WEEKDAY(Movimientos_2026[[#This Row],[Fecha]],2)),'5. Setup'!$D$6:$E$12,2,FALSE)</f>
        <v>Mar</v>
      </c>
      <c r="D319">
        <v>2044126</v>
      </c>
      <c r="E319" t="str">
        <f>IFERROR(+VLOOKUP(Movimientos_2026[[#This Row],[Codigo]],Plan_cuentas[],2,FALSE)," ")</f>
        <v>EGRESOS</v>
      </c>
      <c r="F319" t="str">
        <f>IFERROR(+VLOOKUP(Movimientos_2026[[#This Row],[Codigo]],Plan_cuentas[],3,FALSE)," ")</f>
        <v>Transferencia</v>
      </c>
      <c r="G319" t="str">
        <f>IFERROR(+VLOOKUP(Movimientos_2026[[#This Row],[Codigo]],Plan_cuentas[],4,FALSE)," ")</f>
        <v>Rentas</v>
      </c>
      <c r="H319" t="str">
        <f>IFERROR(+VLOOKUP(Movimientos_2026[[#This Row],[Codigo]],Plan_cuentas[],5,FALSE)," ")</f>
        <v>BAPRO</v>
      </c>
      <c r="I319" s="43">
        <v>45992</v>
      </c>
      <c r="J319" t="s">
        <v>140</v>
      </c>
      <c r="K319" t="str">
        <f>IFERROR(+VLOOKUP(Movimientos_2026[[#This Row],[Codigo]],Plan_cuentas[],6,FALSE)," ")</f>
        <v>6 - FCAtr - Fiat Transf.</v>
      </c>
      <c r="L319" s="50"/>
      <c r="M319" s="52">
        <v>2223396.1</v>
      </c>
      <c r="N319" s="20">
        <f>+Movimientos_2026[[#This Row],[Ingresos]]-Movimientos_2026[[#This Row],[Egresos]]</f>
        <v>-2223396.1</v>
      </c>
      <c r="O319" s="20">
        <f>+O318+Movimientos_2026[[#This Row],[Neto]]</f>
        <v>4443248050.5914736</v>
      </c>
    </row>
    <row r="320" spans="1:15" x14ac:dyDescent="0.25">
      <c r="A320" s="13">
        <v>46042</v>
      </c>
      <c r="B320" s="12">
        <f>MONTH(Movimientos_2026[[#This Row],[Fecha]])</f>
        <v>1</v>
      </c>
      <c r="C320" s="12" t="str">
        <f>VLOOKUP((WEEKDAY(Movimientos_2026[[#This Row],[Fecha]],2)),'5. Setup'!$D$6:$E$12,2,FALSE)</f>
        <v>Mar</v>
      </c>
      <c r="D320">
        <v>2044126</v>
      </c>
      <c r="E320" t="str">
        <f>IFERROR(+VLOOKUP(Movimientos_2026[[#This Row],[Codigo]],Plan_cuentas[],2,FALSE)," ")</f>
        <v>EGRESOS</v>
      </c>
      <c r="F320" t="str">
        <f>IFERROR(+VLOOKUP(Movimientos_2026[[#This Row],[Codigo]],Plan_cuentas[],3,FALSE)," ")</f>
        <v>Transferencia</v>
      </c>
      <c r="G320" t="str">
        <f>IFERROR(+VLOOKUP(Movimientos_2026[[#This Row],[Codigo]],Plan_cuentas[],4,FALSE)," ")</f>
        <v>Rentas</v>
      </c>
      <c r="H320" t="str">
        <f>IFERROR(+VLOOKUP(Movimientos_2026[[#This Row],[Codigo]],Plan_cuentas[],5,FALSE)," ")</f>
        <v>BAPRO</v>
      </c>
      <c r="I320" s="43">
        <v>45992</v>
      </c>
      <c r="J320" t="s">
        <v>141</v>
      </c>
      <c r="K320" t="str">
        <f>IFERROR(+VLOOKUP(Movimientos_2026[[#This Row],[Codigo]],Plan_cuentas[],6,FALSE)," ")</f>
        <v>6 - FCAtr - Fiat Transf.</v>
      </c>
      <c r="L320" s="50"/>
      <c r="M320" s="52">
        <v>2007597.3</v>
      </c>
      <c r="N320" s="20">
        <f>+Movimientos_2026[[#This Row],[Ingresos]]-Movimientos_2026[[#This Row],[Egresos]]</f>
        <v>-2007597.3</v>
      </c>
      <c r="O320" s="20">
        <f>+O319+Movimientos_2026[[#This Row],[Neto]]</f>
        <v>4441240453.2914734</v>
      </c>
    </row>
    <row r="321" spans="1:15" x14ac:dyDescent="0.25">
      <c r="A321" s="13">
        <v>46042</v>
      </c>
      <c r="B321" s="12">
        <f>MONTH(Movimientos_2026[[#This Row],[Fecha]])</f>
        <v>1</v>
      </c>
      <c r="C321" s="12" t="str">
        <f>VLOOKUP((WEEKDAY(Movimientos_2026[[#This Row],[Fecha]],2)),'5. Setup'!$D$6:$E$12,2,FALSE)</f>
        <v>Mar</v>
      </c>
      <c r="D321">
        <v>2044126</v>
      </c>
      <c r="E321" t="str">
        <f>IFERROR(+VLOOKUP(Movimientos_2026[[#This Row],[Codigo]],Plan_cuentas[],2,FALSE)," ")</f>
        <v>EGRESOS</v>
      </c>
      <c r="F321" t="str">
        <f>IFERROR(+VLOOKUP(Movimientos_2026[[#This Row],[Codigo]],Plan_cuentas[],3,FALSE)," ")</f>
        <v>Transferencia</v>
      </c>
      <c r="G321" t="str">
        <f>IFERROR(+VLOOKUP(Movimientos_2026[[#This Row],[Codigo]],Plan_cuentas[],4,FALSE)," ")</f>
        <v>Rentas</v>
      </c>
      <c r="H321" t="str">
        <f>IFERROR(+VLOOKUP(Movimientos_2026[[#This Row],[Codigo]],Plan_cuentas[],5,FALSE)," ")</f>
        <v>BAPRO</v>
      </c>
      <c r="I321" s="43">
        <v>45992</v>
      </c>
      <c r="J321" t="s">
        <v>142</v>
      </c>
      <c r="K321" t="str">
        <f>IFERROR(+VLOOKUP(Movimientos_2026[[#This Row],[Codigo]],Plan_cuentas[],6,FALSE)," ")</f>
        <v>6 - FCAtr - Fiat Transf.</v>
      </c>
      <c r="L321" s="50"/>
      <c r="M321" s="52">
        <v>1861886</v>
      </c>
      <c r="N321" s="20">
        <f>+Movimientos_2026[[#This Row],[Ingresos]]-Movimientos_2026[[#This Row],[Egresos]]</f>
        <v>-1861886</v>
      </c>
      <c r="O321" s="20">
        <f>+O320+Movimientos_2026[[#This Row],[Neto]]</f>
        <v>4439378567.2914734</v>
      </c>
    </row>
    <row r="322" spans="1:15" x14ac:dyDescent="0.25">
      <c r="A322" s="13">
        <v>46042</v>
      </c>
      <c r="B322" s="12">
        <f>MONTH(Movimientos_2026[[#This Row],[Fecha]])</f>
        <v>1</v>
      </c>
      <c r="C322" s="12" t="str">
        <f>VLOOKUP((WEEKDAY(Movimientos_2026[[#This Row],[Fecha]],2)),'5. Setup'!$D$6:$E$12,2,FALSE)</f>
        <v>Mar</v>
      </c>
      <c r="D322">
        <v>2044126</v>
      </c>
      <c r="E322" t="str">
        <f>IFERROR(+VLOOKUP(Movimientos_2026[[#This Row],[Codigo]],Plan_cuentas[],2,FALSE)," ")</f>
        <v>EGRESOS</v>
      </c>
      <c r="F322" t="str">
        <f>IFERROR(+VLOOKUP(Movimientos_2026[[#This Row],[Codigo]],Plan_cuentas[],3,FALSE)," ")</f>
        <v>Transferencia</v>
      </c>
      <c r="G322" t="str">
        <f>IFERROR(+VLOOKUP(Movimientos_2026[[#This Row],[Codigo]],Plan_cuentas[],4,FALSE)," ")</f>
        <v>Rentas</v>
      </c>
      <c r="H322" t="str">
        <f>IFERROR(+VLOOKUP(Movimientos_2026[[#This Row],[Codigo]],Plan_cuentas[],5,FALSE)," ")</f>
        <v>BAPRO</v>
      </c>
      <c r="I322" s="43">
        <v>45992</v>
      </c>
      <c r="J322" t="s">
        <v>143</v>
      </c>
      <c r="K322" t="str">
        <f>IFERROR(+VLOOKUP(Movimientos_2026[[#This Row],[Codigo]],Plan_cuentas[],6,FALSE)," ")</f>
        <v>6 - FCAtr - Fiat Transf.</v>
      </c>
      <c r="L322" s="50"/>
      <c r="M322" s="52">
        <v>1721586.6</v>
      </c>
      <c r="N322" s="20">
        <f>+Movimientos_2026[[#This Row],[Ingresos]]-Movimientos_2026[[#This Row],[Egresos]]</f>
        <v>-1721586.6</v>
      </c>
      <c r="O322" s="20">
        <f>+O321+Movimientos_2026[[#This Row],[Neto]]</f>
        <v>4437656980.691473</v>
      </c>
    </row>
    <row r="323" spans="1:15" x14ac:dyDescent="0.25">
      <c r="A323" s="13">
        <v>46042</v>
      </c>
      <c r="B323" s="12">
        <f>MONTH(Movimientos_2026[[#This Row],[Fecha]])</f>
        <v>1</v>
      </c>
      <c r="C323" s="12" t="str">
        <f>VLOOKUP((WEEKDAY(Movimientos_2026[[#This Row],[Fecha]],2)),'5. Setup'!$D$6:$E$12,2,FALSE)</f>
        <v>Mar</v>
      </c>
      <c r="D323">
        <v>2044126</v>
      </c>
      <c r="E323" t="str">
        <f>IFERROR(+VLOOKUP(Movimientos_2026[[#This Row],[Codigo]],Plan_cuentas[],2,FALSE)," ")</f>
        <v>EGRESOS</v>
      </c>
      <c r="F323" t="str">
        <f>IFERROR(+VLOOKUP(Movimientos_2026[[#This Row],[Codigo]],Plan_cuentas[],3,FALSE)," ")</f>
        <v>Transferencia</v>
      </c>
      <c r="G323" t="str">
        <f>IFERROR(+VLOOKUP(Movimientos_2026[[#This Row],[Codigo]],Plan_cuentas[],4,FALSE)," ")</f>
        <v>Rentas</v>
      </c>
      <c r="H323" t="str">
        <f>IFERROR(+VLOOKUP(Movimientos_2026[[#This Row],[Codigo]],Plan_cuentas[],5,FALSE)," ")</f>
        <v>BAPRO</v>
      </c>
      <c r="I323" s="43">
        <v>45992</v>
      </c>
      <c r="J323" t="s">
        <v>144</v>
      </c>
      <c r="K323" t="str">
        <f>IFERROR(+VLOOKUP(Movimientos_2026[[#This Row],[Codigo]],Plan_cuentas[],6,FALSE)," ")</f>
        <v>6 - FCAtr - Fiat Transf.</v>
      </c>
      <c r="L323" s="50"/>
      <c r="M323" s="52">
        <v>1577817</v>
      </c>
      <c r="N323" s="20">
        <f>+Movimientos_2026[[#This Row],[Ingresos]]-Movimientos_2026[[#This Row],[Egresos]]</f>
        <v>-1577817</v>
      </c>
      <c r="O323" s="20">
        <f>+O322+Movimientos_2026[[#This Row],[Neto]]</f>
        <v>4436079163.691473</v>
      </c>
    </row>
    <row r="324" spans="1:15" x14ac:dyDescent="0.25">
      <c r="A324" s="13">
        <v>46042</v>
      </c>
      <c r="B324" s="12">
        <f>MONTH(Movimientos_2026[[#This Row],[Fecha]])</f>
        <v>1</v>
      </c>
      <c r="C324" s="12" t="str">
        <f>VLOOKUP((WEEKDAY(Movimientos_2026[[#This Row],[Fecha]],2)),'5. Setup'!$D$6:$E$12,2,FALSE)</f>
        <v>Mar</v>
      </c>
      <c r="D324">
        <v>2044127</v>
      </c>
      <c r="E324" t="str">
        <f>IFERROR(+VLOOKUP(Movimientos_2026[[#This Row],[Codigo]],Plan_cuentas[],2,FALSE)," ")</f>
        <v>EGRESOS</v>
      </c>
      <c r="F324" t="str">
        <f>IFERROR(+VLOOKUP(Movimientos_2026[[#This Row],[Codigo]],Plan_cuentas[],3,FALSE)," ")</f>
        <v>Transferencia</v>
      </c>
      <c r="G324" t="str">
        <f>IFERROR(+VLOOKUP(Movimientos_2026[[#This Row],[Codigo]],Plan_cuentas[],4,FALSE)," ")</f>
        <v>Rentas</v>
      </c>
      <c r="H324" t="str">
        <f>IFERROR(+VLOOKUP(Movimientos_2026[[#This Row],[Codigo]],Plan_cuentas[],5,FALSE)," ")</f>
        <v>BAPRO</v>
      </c>
      <c r="I324" s="43">
        <v>45992</v>
      </c>
      <c r="J324" t="s">
        <v>145</v>
      </c>
      <c r="K324" t="str">
        <f>IFERROR(+VLOOKUP(Movimientos_2026[[#This Row],[Codigo]],Plan_cuentas[],6,FALSE)," ")</f>
        <v>7 - PRtr - Plan Rombo Transf.</v>
      </c>
      <c r="L324" s="50"/>
      <c r="M324" s="52">
        <v>1238316</v>
      </c>
      <c r="N324" s="20">
        <f>+Movimientos_2026[[#This Row],[Ingresos]]-Movimientos_2026[[#This Row],[Egresos]]</f>
        <v>-1238316</v>
      </c>
      <c r="O324" s="20">
        <f>+O323+Movimientos_2026[[#This Row],[Neto]]</f>
        <v>4434840847.691473</v>
      </c>
    </row>
    <row r="325" spans="1:15" x14ac:dyDescent="0.25">
      <c r="A325" s="13">
        <v>46042</v>
      </c>
      <c r="B325" s="12">
        <f>MONTH(Movimientos_2026[[#This Row],[Fecha]])</f>
        <v>1</v>
      </c>
      <c r="C325" s="12" t="str">
        <f>VLOOKUP((WEEKDAY(Movimientos_2026[[#This Row],[Fecha]],2)),'5. Setup'!$D$6:$E$12,2,FALSE)</f>
        <v>Mar</v>
      </c>
      <c r="D325">
        <v>2044127</v>
      </c>
      <c r="E325" t="str">
        <f>IFERROR(+VLOOKUP(Movimientos_2026[[#This Row],[Codigo]],Plan_cuentas[],2,FALSE)," ")</f>
        <v>EGRESOS</v>
      </c>
      <c r="F325" t="str">
        <f>IFERROR(+VLOOKUP(Movimientos_2026[[#This Row],[Codigo]],Plan_cuentas[],3,FALSE)," ")</f>
        <v>Transferencia</v>
      </c>
      <c r="G325" t="str">
        <f>IFERROR(+VLOOKUP(Movimientos_2026[[#This Row],[Codigo]],Plan_cuentas[],4,FALSE)," ")</f>
        <v>Rentas</v>
      </c>
      <c r="H325" t="str">
        <f>IFERROR(+VLOOKUP(Movimientos_2026[[#This Row],[Codigo]],Plan_cuentas[],5,FALSE)," ")</f>
        <v>BAPRO</v>
      </c>
      <c r="I325" s="43">
        <v>45992</v>
      </c>
      <c r="J325" t="s">
        <v>146</v>
      </c>
      <c r="K325" t="str">
        <f>IFERROR(+VLOOKUP(Movimientos_2026[[#This Row],[Codigo]],Plan_cuentas[],6,FALSE)," ")</f>
        <v>7 - PRtr - Plan Rombo Transf.</v>
      </c>
      <c r="L325" s="50"/>
      <c r="M325" s="52">
        <v>635208.6</v>
      </c>
      <c r="N325" s="20">
        <f>+Movimientos_2026[[#This Row],[Ingresos]]-Movimientos_2026[[#This Row],[Egresos]]</f>
        <v>-635208.6</v>
      </c>
      <c r="O325" s="20">
        <f>+O324+Movimientos_2026[[#This Row],[Neto]]</f>
        <v>4434205639.0914726</v>
      </c>
    </row>
    <row r="326" spans="1:15" x14ac:dyDescent="0.25">
      <c r="A326" s="13">
        <v>46042</v>
      </c>
      <c r="B326" s="12">
        <f>MONTH(Movimientos_2026[[#This Row],[Fecha]])</f>
        <v>1</v>
      </c>
      <c r="C326" s="12" t="str">
        <f>VLOOKUP((WEEKDAY(Movimientos_2026[[#This Row],[Fecha]],2)),'5. Setup'!$D$6:$E$12,2,FALSE)</f>
        <v>Mar</v>
      </c>
      <c r="D326">
        <v>2044127</v>
      </c>
      <c r="E326" t="str">
        <f>IFERROR(+VLOOKUP(Movimientos_2026[[#This Row],[Codigo]],Plan_cuentas[],2,FALSE)," ")</f>
        <v>EGRESOS</v>
      </c>
      <c r="F326" t="str">
        <f>IFERROR(+VLOOKUP(Movimientos_2026[[#This Row],[Codigo]],Plan_cuentas[],3,FALSE)," ")</f>
        <v>Transferencia</v>
      </c>
      <c r="G326" t="str">
        <f>IFERROR(+VLOOKUP(Movimientos_2026[[#This Row],[Codigo]],Plan_cuentas[],4,FALSE)," ")</f>
        <v>Rentas</v>
      </c>
      <c r="H326" t="str">
        <f>IFERROR(+VLOOKUP(Movimientos_2026[[#This Row],[Codigo]],Plan_cuentas[],5,FALSE)," ")</f>
        <v>BAPRO</v>
      </c>
      <c r="I326" s="43">
        <v>45992</v>
      </c>
      <c r="J326" t="s">
        <v>147</v>
      </c>
      <c r="K326" t="str">
        <f>IFERROR(+VLOOKUP(Movimientos_2026[[#This Row],[Codigo]],Plan_cuentas[],6,FALSE)," ")</f>
        <v>7 - PRtr - Plan Rombo Transf.</v>
      </c>
      <c r="L326" s="50"/>
      <c r="M326" s="52">
        <v>1772217.9</v>
      </c>
      <c r="N326" s="20">
        <f>+Movimientos_2026[[#This Row],[Ingresos]]-Movimientos_2026[[#This Row],[Egresos]]</f>
        <v>-1772217.9</v>
      </c>
      <c r="O326" s="20">
        <f>+O325+Movimientos_2026[[#This Row],[Neto]]</f>
        <v>4432433421.191473</v>
      </c>
    </row>
    <row r="327" spans="1:15" x14ac:dyDescent="0.25">
      <c r="A327" s="13">
        <v>46042</v>
      </c>
      <c r="B327" s="12">
        <f>MONTH(Movimientos_2026[[#This Row],[Fecha]])</f>
        <v>1</v>
      </c>
      <c r="C327" s="12" t="str">
        <f>VLOOKUP((WEEKDAY(Movimientos_2026[[#This Row],[Fecha]],2)),'5. Setup'!$D$6:$E$12,2,FALSE)</f>
        <v>Mar</v>
      </c>
      <c r="D327">
        <v>2044127</v>
      </c>
      <c r="E327" t="str">
        <f>IFERROR(+VLOOKUP(Movimientos_2026[[#This Row],[Codigo]],Plan_cuentas[],2,FALSE)," ")</f>
        <v>EGRESOS</v>
      </c>
      <c r="F327" t="str">
        <f>IFERROR(+VLOOKUP(Movimientos_2026[[#This Row],[Codigo]],Plan_cuentas[],3,FALSE)," ")</f>
        <v>Transferencia</v>
      </c>
      <c r="G327" t="str">
        <f>IFERROR(+VLOOKUP(Movimientos_2026[[#This Row],[Codigo]],Plan_cuentas[],4,FALSE)," ")</f>
        <v>Rentas</v>
      </c>
      <c r="H327" t="str">
        <f>IFERROR(+VLOOKUP(Movimientos_2026[[#This Row],[Codigo]],Plan_cuentas[],5,FALSE)," ")</f>
        <v>BAPRO</v>
      </c>
      <c r="I327" s="43">
        <v>45992</v>
      </c>
      <c r="J327" t="s">
        <v>148</v>
      </c>
      <c r="K327" t="str">
        <f>IFERROR(+VLOOKUP(Movimientos_2026[[#This Row],[Codigo]],Plan_cuentas[],6,FALSE)," ")</f>
        <v>7 - PRtr - Plan Rombo Transf.</v>
      </c>
      <c r="L327" s="50"/>
      <c r="M327" s="52">
        <v>1621918.1</v>
      </c>
      <c r="N327" s="20">
        <f>+Movimientos_2026[[#This Row],[Ingresos]]-Movimientos_2026[[#This Row],[Egresos]]</f>
        <v>-1621918.1</v>
      </c>
      <c r="O327" s="20">
        <f>+O326+Movimientos_2026[[#This Row],[Neto]]</f>
        <v>4430811503.0914726</v>
      </c>
    </row>
    <row r="328" spans="1:15" x14ac:dyDescent="0.25">
      <c r="A328" s="13">
        <v>46042</v>
      </c>
      <c r="B328" s="12">
        <f>MONTH(Movimientos_2026[[#This Row],[Fecha]])</f>
        <v>1</v>
      </c>
      <c r="C328" s="12" t="str">
        <f>VLOOKUP((WEEKDAY(Movimientos_2026[[#This Row],[Fecha]],2)),'5. Setup'!$D$6:$E$12,2,FALSE)</f>
        <v>Mar</v>
      </c>
      <c r="D328">
        <v>1044314</v>
      </c>
      <c r="E328" t="str">
        <f>IFERROR(+VLOOKUP(Movimientos_2026[[#This Row],[Codigo]],Plan_cuentas[],2,FALSE)," ")</f>
        <v>INGRESOS</v>
      </c>
      <c r="F328" t="str">
        <f>IFERROR(+VLOOKUP(Movimientos_2026[[#This Row],[Codigo]],Plan_cuentas[],3,FALSE)," ")</f>
        <v>Transferencia</v>
      </c>
      <c r="G328" t="str">
        <f>IFERROR(+VLOOKUP(Movimientos_2026[[#This Row],[Codigo]],Plan_cuentas[],4,FALSE)," ")</f>
        <v>Rentas</v>
      </c>
      <c r="H328" t="str">
        <f>IFERROR(+VLOOKUP(Movimientos_2026[[#This Row],[Codigo]],Plan_cuentas[],5,FALSE)," ")</f>
        <v>NEUQUEN 1° Q</v>
      </c>
      <c r="I328" s="43">
        <v>46023</v>
      </c>
      <c r="J328" t="s">
        <v>149</v>
      </c>
      <c r="K328" t="str">
        <f>IFERROR(+VLOOKUP(Movimientos_2026[[#This Row],[Codigo]],Plan_cuentas[],6,FALSE)," ")</f>
        <v>4 - FCA - Fiat</v>
      </c>
      <c r="L328" s="50">
        <v>42225361</v>
      </c>
      <c r="M328" s="52"/>
      <c r="N328" s="20">
        <f>+Movimientos_2026[[#This Row],[Ingresos]]-Movimientos_2026[[#This Row],[Egresos]]</f>
        <v>42225361</v>
      </c>
      <c r="O328" s="20">
        <f>+O327+Movimientos_2026[[#This Row],[Neto]]</f>
        <v>4473036864.0914726</v>
      </c>
    </row>
    <row r="329" spans="1:15" x14ac:dyDescent="0.25">
      <c r="A329" s="13">
        <v>46042</v>
      </c>
      <c r="B329" s="12">
        <f>MONTH(Movimientos_2026[[#This Row],[Fecha]])</f>
        <v>1</v>
      </c>
      <c r="C329" s="12" t="str">
        <f>VLOOKUP((WEEKDAY(Movimientos_2026[[#This Row],[Fecha]],2)),'5. Setup'!$D$6:$E$12,2,FALSE)</f>
        <v>Mar</v>
      </c>
      <c r="D329">
        <v>1044316</v>
      </c>
      <c r="E329" t="str">
        <f>IFERROR(+VLOOKUP(Movimientos_2026[[#This Row],[Codigo]],Plan_cuentas[],2,FALSE)," ")</f>
        <v>INGRESOS</v>
      </c>
      <c r="F329" t="str">
        <f>IFERROR(+VLOOKUP(Movimientos_2026[[#This Row],[Codigo]],Plan_cuentas[],3,FALSE)," ")</f>
        <v>Transferencia</v>
      </c>
      <c r="G329" t="str">
        <f>IFERROR(+VLOOKUP(Movimientos_2026[[#This Row],[Codigo]],Plan_cuentas[],4,FALSE)," ")</f>
        <v>Rentas</v>
      </c>
      <c r="H329" t="str">
        <f>IFERROR(+VLOOKUP(Movimientos_2026[[#This Row],[Codigo]],Plan_cuentas[],5,FALSE)," ")</f>
        <v>NEUQUEN 1° Q</v>
      </c>
      <c r="I329" s="43">
        <v>46023</v>
      </c>
      <c r="J329" t="s">
        <v>150</v>
      </c>
      <c r="K329" t="str">
        <f>IFERROR(+VLOOKUP(Movimientos_2026[[#This Row],[Codigo]],Plan_cuentas[],6,FALSE)," ")</f>
        <v>6 - FCAtr - Fiat Transf.</v>
      </c>
      <c r="L329" s="50">
        <v>39214.019999999997</v>
      </c>
      <c r="M329" s="52"/>
      <c r="N329" s="20">
        <f>+Movimientos_2026[[#This Row],[Ingresos]]-Movimientos_2026[[#This Row],[Egresos]]</f>
        <v>39214.019999999997</v>
      </c>
      <c r="O329" s="20">
        <f>+O328+Movimientos_2026[[#This Row],[Neto]]</f>
        <v>4473076078.1114731</v>
      </c>
    </row>
    <row r="330" spans="1:15" x14ac:dyDescent="0.25">
      <c r="A330" s="13">
        <v>46043</v>
      </c>
      <c r="B330" s="12">
        <f>MONTH(Movimientos_2026[[#This Row],[Fecha]])</f>
        <v>1</v>
      </c>
      <c r="C330" s="12" t="str">
        <f>VLOOKUP((WEEKDAY(Movimientos_2026[[#This Row],[Fecha]],2)),'5. Setup'!$D$6:$E$12,2,FALSE)</f>
        <v>Mie</v>
      </c>
      <c r="D330">
        <v>2023221</v>
      </c>
      <c r="E330" t="str">
        <f>IFERROR(+VLOOKUP(Movimientos_2026[[#This Row],[Codigo]],Plan_cuentas[],2,FALSE)," ")</f>
        <v>EGRESOS</v>
      </c>
      <c r="F330" t="str">
        <f>IFERROR(+VLOOKUP(Movimientos_2026[[#This Row],[Codigo]],Plan_cuentas[],3,FALSE)," ")</f>
        <v>DDJJ</v>
      </c>
      <c r="G330" t="str">
        <f>IFERROR(+VLOOKUP(Movimientos_2026[[#This Row],[Codigo]],Plan_cuentas[],4,FALSE)," ")</f>
        <v>Registración</v>
      </c>
      <c r="H330" t="str">
        <f>IFERROR(+VLOOKUP(Movimientos_2026[[#This Row],[Codigo]],Plan_cuentas[],5,FALSE)," ")</f>
        <v>ENTRE RIOS 1° Q</v>
      </c>
      <c r="I330" s="43">
        <v>46023</v>
      </c>
      <c r="J330" t="s">
        <v>151</v>
      </c>
      <c r="K330" t="str">
        <f>IFERROR(+VLOOKUP(Movimientos_2026[[#This Row],[Codigo]],Plan_cuentas[],6,FALSE)," ")</f>
        <v>1 - VW - Volkswagen</v>
      </c>
      <c r="L330" s="50"/>
      <c r="M330" s="52">
        <v>5828802.7800000003</v>
      </c>
      <c r="N330" s="20">
        <f>+Movimientos_2026[[#This Row],[Ingresos]]-Movimientos_2026[[#This Row],[Egresos]]</f>
        <v>-5828802.7800000003</v>
      </c>
      <c r="O330" s="20">
        <f>+O329+Movimientos_2026[[#This Row],[Neto]]</f>
        <v>4467247275.3314734</v>
      </c>
    </row>
    <row r="331" spans="1:15" x14ac:dyDescent="0.25">
      <c r="A331" s="13">
        <v>46043</v>
      </c>
      <c r="B331" s="12">
        <f>MONTH(Movimientos_2026[[#This Row],[Fecha]])</f>
        <v>1</v>
      </c>
      <c r="C331" s="12" t="str">
        <f>VLOOKUP((WEEKDAY(Movimientos_2026[[#This Row],[Fecha]],2)),'5. Setup'!$D$6:$E$12,2,FALSE)</f>
        <v>Mie</v>
      </c>
      <c r="D331">
        <v>2023222</v>
      </c>
      <c r="E331" t="str">
        <f>IFERROR(+VLOOKUP(Movimientos_2026[[#This Row],[Codigo]],Plan_cuentas[],2,FALSE)," ")</f>
        <v>EGRESOS</v>
      </c>
      <c r="F331" t="str">
        <f>IFERROR(+VLOOKUP(Movimientos_2026[[#This Row],[Codigo]],Plan_cuentas[],3,FALSE)," ")</f>
        <v>DDJJ</v>
      </c>
      <c r="G331" t="str">
        <f>IFERROR(+VLOOKUP(Movimientos_2026[[#This Row],[Codigo]],Plan_cuentas[],4,FALSE)," ")</f>
        <v>Registración</v>
      </c>
      <c r="H331" t="str">
        <f>IFERROR(+VLOOKUP(Movimientos_2026[[#This Row],[Codigo]],Plan_cuentas[],5,FALSE)," ")</f>
        <v>ENTRE RIOS 1° Q</v>
      </c>
      <c r="I331" s="43">
        <v>46023</v>
      </c>
      <c r="J331" t="s">
        <v>151</v>
      </c>
      <c r="K331" t="str">
        <f>IFERROR(+VLOOKUP(Movimientos_2026[[#This Row],[Codigo]],Plan_cuentas[],6,FALSE)," ")</f>
        <v>2 - PR - Plan Rombo</v>
      </c>
      <c r="L331" s="50"/>
      <c r="M331" s="52">
        <v>11642641.310000001</v>
      </c>
      <c r="N331" s="20">
        <f>+Movimientos_2026[[#This Row],[Ingresos]]-Movimientos_2026[[#This Row],[Egresos]]</f>
        <v>-11642641.310000001</v>
      </c>
      <c r="O331" s="20">
        <f>+O330+Movimientos_2026[[#This Row],[Neto]]</f>
        <v>4455604634.0214729</v>
      </c>
    </row>
    <row r="332" spans="1:15" x14ac:dyDescent="0.25">
      <c r="A332" s="13">
        <v>46043</v>
      </c>
      <c r="B332" s="12">
        <f>MONTH(Movimientos_2026[[#This Row],[Fecha]])</f>
        <v>1</v>
      </c>
      <c r="C332" s="12" t="str">
        <f>VLOOKUP((WEEKDAY(Movimientos_2026[[#This Row],[Fecha]],2)),'5. Setup'!$D$6:$E$12,2,FALSE)</f>
        <v>Mie</v>
      </c>
      <c r="D332">
        <v>2023223</v>
      </c>
      <c r="E332" t="str">
        <f>IFERROR(+VLOOKUP(Movimientos_2026[[#This Row],[Codigo]],Plan_cuentas[],2,FALSE)," ")</f>
        <v>EGRESOS</v>
      </c>
      <c r="F332" t="str">
        <f>IFERROR(+VLOOKUP(Movimientos_2026[[#This Row],[Codigo]],Plan_cuentas[],3,FALSE)," ")</f>
        <v>DDJJ</v>
      </c>
      <c r="G332" t="str">
        <f>IFERROR(+VLOOKUP(Movimientos_2026[[#This Row],[Codigo]],Plan_cuentas[],4,FALSE)," ")</f>
        <v>Registración</v>
      </c>
      <c r="H332" t="str">
        <f>IFERROR(+VLOOKUP(Movimientos_2026[[#This Row],[Codigo]],Plan_cuentas[],5,FALSE)," ")</f>
        <v>ENTRE RIOS 1° Q</v>
      </c>
      <c r="I332" s="43">
        <v>46023</v>
      </c>
      <c r="J332" t="s">
        <v>151</v>
      </c>
      <c r="K332" t="str">
        <f>IFERROR(+VLOOKUP(Movimientos_2026[[#This Row],[Codigo]],Plan_cuentas[],6,FALSE)," ")</f>
        <v>3 - GM - Chevrolet</v>
      </c>
      <c r="L332" s="50"/>
      <c r="M332" s="52">
        <v>23444369.710000001</v>
      </c>
      <c r="N332" s="20">
        <f>+Movimientos_2026[[#This Row],[Ingresos]]-Movimientos_2026[[#This Row],[Egresos]]</f>
        <v>-23444369.710000001</v>
      </c>
      <c r="O332" s="20">
        <f>+O331+Movimientos_2026[[#This Row],[Neto]]</f>
        <v>4432160264.3114729</v>
      </c>
    </row>
    <row r="333" spans="1:15" x14ac:dyDescent="0.25">
      <c r="A333" s="13">
        <v>46043</v>
      </c>
      <c r="B333" s="12">
        <f>MONTH(Movimientos_2026[[#This Row],[Fecha]])</f>
        <v>1</v>
      </c>
      <c r="C333" s="12" t="str">
        <f>VLOOKUP((WEEKDAY(Movimientos_2026[[#This Row],[Fecha]],2)),'5. Setup'!$D$6:$E$12,2,FALSE)</f>
        <v>Mie</v>
      </c>
      <c r="D333">
        <v>2023226</v>
      </c>
      <c r="E333" t="str">
        <f>IFERROR(+VLOOKUP(Movimientos_2026[[#This Row],[Codigo]],Plan_cuentas[],2,FALSE)," ")</f>
        <v>EGRESOS</v>
      </c>
      <c r="F333" t="str">
        <f>IFERROR(+VLOOKUP(Movimientos_2026[[#This Row],[Codigo]],Plan_cuentas[],3,FALSE)," ")</f>
        <v>DDJJ</v>
      </c>
      <c r="G333" t="str">
        <f>IFERROR(+VLOOKUP(Movimientos_2026[[#This Row],[Codigo]],Plan_cuentas[],4,FALSE)," ")</f>
        <v>Registración</v>
      </c>
      <c r="H333" t="str">
        <f>IFERROR(+VLOOKUP(Movimientos_2026[[#This Row],[Codigo]],Plan_cuentas[],5,FALSE)," ")</f>
        <v>ENTRE RIOS 1° Q</v>
      </c>
      <c r="I333" s="43">
        <v>46023</v>
      </c>
      <c r="J333" t="s">
        <v>151</v>
      </c>
      <c r="K333" t="str">
        <f>IFERROR(+VLOOKUP(Movimientos_2026[[#This Row],[Codigo]],Plan_cuentas[],6,FALSE)," ")</f>
        <v>6 - FCAtr - Fiat Transf.</v>
      </c>
      <c r="L333" s="50"/>
      <c r="M333" s="52">
        <v>37678.68</v>
      </c>
      <c r="N333" s="20">
        <f>+Movimientos_2026[[#This Row],[Ingresos]]-Movimientos_2026[[#This Row],[Egresos]]</f>
        <v>-37678.68</v>
      </c>
      <c r="O333" s="20">
        <f>+O332+Movimientos_2026[[#This Row],[Neto]]</f>
        <v>4432122585.6314726</v>
      </c>
    </row>
    <row r="334" spans="1:15" x14ac:dyDescent="0.25">
      <c r="A334" s="13">
        <v>46043</v>
      </c>
      <c r="B334" s="12">
        <f>MONTH(Movimientos_2026[[#This Row],[Fecha]])</f>
        <v>1</v>
      </c>
      <c r="C334" s="12" t="str">
        <f>VLOOKUP((WEEKDAY(Movimientos_2026[[#This Row],[Fecha]],2)),'5. Setup'!$D$6:$E$12,2,FALSE)</f>
        <v>Mie</v>
      </c>
      <c r="D334">
        <v>2023227</v>
      </c>
      <c r="E334" t="str">
        <f>IFERROR(+VLOOKUP(Movimientos_2026[[#This Row],[Codigo]],Plan_cuentas[],2,FALSE)," ")</f>
        <v>EGRESOS</v>
      </c>
      <c r="F334" t="str">
        <f>IFERROR(+VLOOKUP(Movimientos_2026[[#This Row],[Codigo]],Plan_cuentas[],3,FALSE)," ")</f>
        <v>DDJJ</v>
      </c>
      <c r="G334" t="str">
        <f>IFERROR(+VLOOKUP(Movimientos_2026[[#This Row],[Codigo]],Plan_cuentas[],4,FALSE)," ")</f>
        <v>Registración</v>
      </c>
      <c r="H334" t="str">
        <f>IFERROR(+VLOOKUP(Movimientos_2026[[#This Row],[Codigo]],Plan_cuentas[],5,FALSE)," ")</f>
        <v>ENTRE RIOS 1° Q</v>
      </c>
      <c r="I334" s="43">
        <v>46023</v>
      </c>
      <c r="J334" t="s">
        <v>151</v>
      </c>
      <c r="K334" t="str">
        <f>IFERROR(+VLOOKUP(Movimientos_2026[[#This Row],[Codigo]],Plan_cuentas[],6,FALSE)," ")</f>
        <v>7 - PRtr - Plan Rombo Transf.</v>
      </c>
      <c r="L334" s="50"/>
      <c r="M334" s="52">
        <v>15000</v>
      </c>
      <c r="N334" s="20">
        <f>+Movimientos_2026[[#This Row],[Ingresos]]-Movimientos_2026[[#This Row],[Egresos]]</f>
        <v>-15000</v>
      </c>
      <c r="O334" s="20">
        <f>+O333+Movimientos_2026[[#This Row],[Neto]]</f>
        <v>4432107585.6314726</v>
      </c>
    </row>
    <row r="335" spans="1:15" x14ac:dyDescent="0.25">
      <c r="A335" s="13">
        <v>46043</v>
      </c>
      <c r="B335" s="12">
        <f>MONTH(Movimientos_2026[[#This Row],[Fecha]])</f>
        <v>1</v>
      </c>
      <c r="C335" s="12" t="str">
        <f>VLOOKUP((WEEKDAY(Movimientos_2026[[#This Row],[Fecha]],2)),'5. Setup'!$D$6:$E$12,2,FALSE)</f>
        <v>Mie</v>
      </c>
      <c r="D335">
        <v>2023382</v>
      </c>
      <c r="E335" t="str">
        <f>IFERROR(+VLOOKUP(Movimientos_2026[[#This Row],[Codigo]],Plan_cuentas[],2,FALSE)," ")</f>
        <v>EGRESOS</v>
      </c>
      <c r="F335" t="str">
        <f>IFERROR(+VLOOKUP(Movimientos_2026[[#This Row],[Codigo]],Plan_cuentas[],3,FALSE)," ")</f>
        <v>DDJJ</v>
      </c>
      <c r="G335" t="str">
        <f>IFERROR(+VLOOKUP(Movimientos_2026[[#This Row],[Codigo]],Plan_cuentas[],4,FALSE)," ")</f>
        <v>Registración</v>
      </c>
      <c r="H335" t="str">
        <f>IFERROR(+VLOOKUP(Movimientos_2026[[#This Row],[Codigo]],Plan_cuentas[],5,FALSE)," ")</f>
        <v>SANTA FE 1° Q</v>
      </c>
      <c r="I335" s="43">
        <v>46023</v>
      </c>
      <c r="J335" t="s">
        <v>152</v>
      </c>
      <c r="K335" t="str">
        <f>IFERROR(+VLOOKUP(Movimientos_2026[[#This Row],[Codigo]],Plan_cuentas[],6,FALSE)," ")</f>
        <v>2 - PR - Plan Rombo</v>
      </c>
      <c r="L335" s="50"/>
      <c r="M335" s="52">
        <v>32552332.23</v>
      </c>
      <c r="N335" s="20">
        <f>+Movimientos_2026[[#This Row],[Ingresos]]-Movimientos_2026[[#This Row],[Egresos]]</f>
        <v>-32552332.23</v>
      </c>
      <c r="O335" s="20">
        <f>+O334+Movimientos_2026[[#This Row],[Neto]]</f>
        <v>4399555253.401473</v>
      </c>
    </row>
    <row r="336" spans="1:15" x14ac:dyDescent="0.25">
      <c r="A336" s="13">
        <v>46043</v>
      </c>
      <c r="B336" s="12">
        <f>MONTH(Movimientos_2026[[#This Row],[Fecha]])</f>
        <v>1</v>
      </c>
      <c r="C336" s="12" t="str">
        <f>VLOOKUP((WEEKDAY(Movimientos_2026[[#This Row],[Fecha]],2)),'5. Setup'!$D$6:$E$12,2,FALSE)</f>
        <v>Mie</v>
      </c>
      <c r="D336">
        <v>2023383</v>
      </c>
      <c r="E336" t="str">
        <f>IFERROR(+VLOOKUP(Movimientos_2026[[#This Row],[Codigo]],Plan_cuentas[],2,FALSE)," ")</f>
        <v>EGRESOS</v>
      </c>
      <c r="F336" t="str">
        <f>IFERROR(+VLOOKUP(Movimientos_2026[[#This Row],[Codigo]],Plan_cuentas[],3,FALSE)," ")</f>
        <v>DDJJ</v>
      </c>
      <c r="G336" t="str">
        <f>IFERROR(+VLOOKUP(Movimientos_2026[[#This Row],[Codigo]],Plan_cuentas[],4,FALSE)," ")</f>
        <v>Registración</v>
      </c>
      <c r="H336" t="str">
        <f>IFERROR(+VLOOKUP(Movimientos_2026[[#This Row],[Codigo]],Plan_cuentas[],5,FALSE)," ")</f>
        <v>SANTA FE 1° Q</v>
      </c>
      <c r="I336" s="43">
        <v>46023</v>
      </c>
      <c r="J336" t="s">
        <v>152</v>
      </c>
      <c r="K336" t="str">
        <f>IFERROR(+VLOOKUP(Movimientos_2026[[#This Row],[Codigo]],Plan_cuentas[],6,FALSE)," ")</f>
        <v>3 - GM - Chevrolet</v>
      </c>
      <c r="L336" s="50"/>
      <c r="M336" s="52">
        <v>36839972.210000001</v>
      </c>
      <c r="N336" s="20">
        <f>+Movimientos_2026[[#This Row],[Ingresos]]-Movimientos_2026[[#This Row],[Egresos]]</f>
        <v>-36839972.210000001</v>
      </c>
      <c r="O336" s="20">
        <f>+O335+Movimientos_2026[[#This Row],[Neto]]</f>
        <v>4362715281.191473</v>
      </c>
    </row>
    <row r="337" spans="1:15" x14ac:dyDescent="0.25">
      <c r="A337" s="13">
        <v>46043</v>
      </c>
      <c r="B337" s="12">
        <f>MONTH(Movimientos_2026[[#This Row],[Fecha]])</f>
        <v>1</v>
      </c>
      <c r="C337" s="12" t="str">
        <f>VLOOKUP((WEEKDAY(Movimientos_2026[[#This Row],[Fecha]],2)),'5. Setup'!$D$6:$E$12,2,FALSE)</f>
        <v>Mie</v>
      </c>
      <c r="D337">
        <v>2023384</v>
      </c>
      <c r="E337" t="str">
        <f>IFERROR(+VLOOKUP(Movimientos_2026[[#This Row],[Codigo]],Plan_cuentas[],2,FALSE)," ")</f>
        <v>EGRESOS</v>
      </c>
      <c r="F337" t="str">
        <f>IFERROR(+VLOOKUP(Movimientos_2026[[#This Row],[Codigo]],Plan_cuentas[],3,FALSE)," ")</f>
        <v>DDJJ</v>
      </c>
      <c r="G337" t="str">
        <f>IFERROR(+VLOOKUP(Movimientos_2026[[#This Row],[Codigo]],Plan_cuentas[],4,FALSE)," ")</f>
        <v>Registración</v>
      </c>
      <c r="H337" t="str">
        <f>IFERROR(+VLOOKUP(Movimientos_2026[[#This Row],[Codigo]],Plan_cuentas[],5,FALSE)," ")</f>
        <v>SANTA FE 1° Q</v>
      </c>
      <c r="I337" s="43">
        <v>46023</v>
      </c>
      <c r="J337" t="s">
        <v>152</v>
      </c>
      <c r="K337" t="str">
        <f>IFERROR(+VLOOKUP(Movimientos_2026[[#This Row],[Codigo]],Plan_cuentas[],6,FALSE)," ")</f>
        <v>4 - FCA - Fiat</v>
      </c>
      <c r="L337" s="50"/>
      <c r="M337" s="52">
        <v>59248512.909999996</v>
      </c>
      <c r="N337" s="20">
        <f>+Movimientos_2026[[#This Row],[Ingresos]]-Movimientos_2026[[#This Row],[Egresos]]</f>
        <v>-59248512.909999996</v>
      </c>
      <c r="O337" s="20">
        <f>+O336+Movimientos_2026[[#This Row],[Neto]]</f>
        <v>4303466768.2814732</v>
      </c>
    </row>
    <row r="338" spans="1:15" x14ac:dyDescent="0.25">
      <c r="A338" s="13">
        <v>46043</v>
      </c>
      <c r="B338" s="12">
        <f>MONTH(Movimientos_2026[[#This Row],[Fecha]])</f>
        <v>1</v>
      </c>
      <c r="C338" s="12" t="str">
        <f>VLOOKUP((WEEKDAY(Movimientos_2026[[#This Row],[Fecha]],2)),'5. Setup'!$D$6:$E$12,2,FALSE)</f>
        <v>Mie</v>
      </c>
      <c r="D338">
        <v>2023385</v>
      </c>
      <c r="E338" t="str">
        <f>IFERROR(+VLOOKUP(Movimientos_2026[[#This Row],[Codigo]],Plan_cuentas[],2,FALSE)," ")</f>
        <v>EGRESOS</v>
      </c>
      <c r="F338" t="str">
        <f>IFERROR(+VLOOKUP(Movimientos_2026[[#This Row],[Codigo]],Plan_cuentas[],3,FALSE)," ")</f>
        <v>DDJJ</v>
      </c>
      <c r="G338" t="str">
        <f>IFERROR(+VLOOKUP(Movimientos_2026[[#This Row],[Codigo]],Plan_cuentas[],4,FALSE)," ")</f>
        <v>Registración</v>
      </c>
      <c r="H338" t="str">
        <f>IFERROR(+VLOOKUP(Movimientos_2026[[#This Row],[Codigo]],Plan_cuentas[],5,FALSE)," ")</f>
        <v>SANTA FE 1° Q</v>
      </c>
      <c r="I338" s="43">
        <v>46023</v>
      </c>
      <c r="J338" t="s">
        <v>152</v>
      </c>
      <c r="K338" t="str">
        <f>IFERROR(+VLOOKUP(Movimientos_2026[[#This Row],[Codigo]],Plan_cuentas[],6,FALSE)," ")</f>
        <v>5 - YAM - Yamaha</v>
      </c>
      <c r="L338" s="50"/>
      <c r="M338" s="52">
        <v>1355527.64</v>
      </c>
      <c r="N338" s="20">
        <f>+Movimientos_2026[[#This Row],[Ingresos]]-Movimientos_2026[[#This Row],[Egresos]]</f>
        <v>-1355527.64</v>
      </c>
      <c r="O338" s="20">
        <f>+O337+Movimientos_2026[[#This Row],[Neto]]</f>
        <v>4302111240.6414728</v>
      </c>
    </row>
    <row r="339" spans="1:15" x14ac:dyDescent="0.25">
      <c r="A339" s="13">
        <v>46043</v>
      </c>
      <c r="B339" s="12">
        <f>MONTH(Movimientos_2026[[#This Row],[Fecha]])</f>
        <v>1</v>
      </c>
      <c r="C339" s="12" t="str">
        <f>VLOOKUP((WEEKDAY(Movimientos_2026[[#This Row],[Fecha]],2)),'5. Setup'!$D$6:$E$12,2,FALSE)</f>
        <v>Mie</v>
      </c>
      <c r="D339">
        <v>2023386</v>
      </c>
      <c r="E339" t="str">
        <f>IFERROR(+VLOOKUP(Movimientos_2026[[#This Row],[Codigo]],Plan_cuentas[],2,FALSE)," ")</f>
        <v>EGRESOS</v>
      </c>
      <c r="F339" t="str">
        <f>IFERROR(+VLOOKUP(Movimientos_2026[[#This Row],[Codigo]],Plan_cuentas[],3,FALSE)," ")</f>
        <v>DDJJ</v>
      </c>
      <c r="G339" t="str">
        <f>IFERROR(+VLOOKUP(Movimientos_2026[[#This Row],[Codigo]],Plan_cuentas[],4,FALSE)," ")</f>
        <v>Registración</v>
      </c>
      <c r="H339" t="str">
        <f>IFERROR(+VLOOKUP(Movimientos_2026[[#This Row],[Codigo]],Plan_cuentas[],5,FALSE)," ")</f>
        <v>SANTA FE 1° Q</v>
      </c>
      <c r="I339" s="43">
        <v>46023</v>
      </c>
      <c r="J339" t="s">
        <v>152</v>
      </c>
      <c r="K339" t="str">
        <f>IFERROR(+VLOOKUP(Movimientos_2026[[#This Row],[Codigo]],Plan_cuentas[],6,FALSE)," ")</f>
        <v>6 - FCAtr - Fiat Transf.</v>
      </c>
      <c r="L339" s="50"/>
      <c r="M339" s="52">
        <v>2479322.71</v>
      </c>
      <c r="N339" s="20">
        <f>+Movimientos_2026[[#This Row],[Ingresos]]-Movimientos_2026[[#This Row],[Egresos]]</f>
        <v>-2479322.71</v>
      </c>
      <c r="O339" s="20">
        <f>+O338+Movimientos_2026[[#This Row],[Neto]]</f>
        <v>4299631917.9314728</v>
      </c>
    </row>
    <row r="340" spans="1:15" x14ac:dyDescent="0.25">
      <c r="A340" s="13">
        <v>46043</v>
      </c>
      <c r="B340" s="12">
        <f>MONTH(Movimientos_2026[[#This Row],[Fecha]])</f>
        <v>1</v>
      </c>
      <c r="C340" s="12" t="str">
        <f>VLOOKUP((WEEKDAY(Movimientos_2026[[#This Row],[Fecha]],2)),'5. Setup'!$D$6:$E$12,2,FALSE)</f>
        <v>Mie</v>
      </c>
      <c r="D340">
        <v>2023387</v>
      </c>
      <c r="E340" t="str">
        <f>IFERROR(+VLOOKUP(Movimientos_2026[[#This Row],[Codigo]],Plan_cuentas[],2,FALSE)," ")</f>
        <v>EGRESOS</v>
      </c>
      <c r="F340" t="str">
        <f>IFERROR(+VLOOKUP(Movimientos_2026[[#This Row],[Codigo]],Plan_cuentas[],3,FALSE)," ")</f>
        <v>DDJJ</v>
      </c>
      <c r="G340" t="str">
        <f>IFERROR(+VLOOKUP(Movimientos_2026[[#This Row],[Codigo]],Plan_cuentas[],4,FALSE)," ")</f>
        <v>Registración</v>
      </c>
      <c r="H340" t="str">
        <f>IFERROR(+VLOOKUP(Movimientos_2026[[#This Row],[Codigo]],Plan_cuentas[],5,FALSE)," ")</f>
        <v>SANTA FE 1° Q</v>
      </c>
      <c r="I340" s="43">
        <v>46023</v>
      </c>
      <c r="J340" t="s">
        <v>152</v>
      </c>
      <c r="K340" t="str">
        <f>IFERROR(+VLOOKUP(Movimientos_2026[[#This Row],[Codigo]],Plan_cuentas[],6,FALSE)," ")</f>
        <v>7 - PRtr - Plan Rombo Transf.</v>
      </c>
      <c r="L340" s="50"/>
      <c r="M340" s="52">
        <v>34500</v>
      </c>
      <c r="N340" s="20">
        <f>+Movimientos_2026[[#This Row],[Ingresos]]-Movimientos_2026[[#This Row],[Egresos]]</f>
        <v>-34500</v>
      </c>
      <c r="O340" s="20">
        <f>+O339+Movimientos_2026[[#This Row],[Neto]]</f>
        <v>4299597417.9314728</v>
      </c>
    </row>
    <row r="341" spans="1:15" x14ac:dyDescent="0.25">
      <c r="A341" s="13">
        <v>46043</v>
      </c>
      <c r="B341" s="12">
        <f>MONTH(Movimientos_2026[[#This Row],[Fecha]])</f>
        <v>1</v>
      </c>
      <c r="C341" s="12" t="str">
        <f>VLOOKUP((WEEKDAY(Movimientos_2026[[#This Row],[Fecha]],2)),'5. Setup'!$D$6:$E$12,2,FALSE)</f>
        <v>Mie</v>
      </c>
      <c r="D341">
        <v>2054312</v>
      </c>
      <c r="E341" t="str">
        <f>IFERROR(+VLOOKUP(Movimientos_2026[[#This Row],[Codigo]],Plan_cuentas[],2,FALSE)," ")</f>
        <v>EGRESOS</v>
      </c>
      <c r="F341" t="str">
        <f>IFERROR(+VLOOKUP(Movimientos_2026[[#This Row],[Codigo]],Plan_cuentas[],3,FALSE)," ")</f>
        <v>VEP</v>
      </c>
      <c r="G341" t="str">
        <f>IFERROR(+VLOOKUP(Movimientos_2026[[#This Row],[Codigo]],Plan_cuentas[],4,FALSE)," ")</f>
        <v>Rentas</v>
      </c>
      <c r="H341" t="str">
        <f>IFERROR(+VLOOKUP(Movimientos_2026[[#This Row],[Codigo]],Plan_cuentas[],5,FALSE)," ")</f>
        <v>NEUQUEN 1° Q</v>
      </c>
      <c r="I341" s="43">
        <v>46023</v>
      </c>
      <c r="J341" t="s">
        <v>153</v>
      </c>
      <c r="K341" t="str">
        <f>IFERROR(+VLOOKUP(Movimientos_2026[[#This Row],[Codigo]],Plan_cuentas[],6,FALSE)," ")</f>
        <v>2 - PR - Plan Rombo</v>
      </c>
      <c r="L341" s="51"/>
      <c r="M341" s="52">
        <v>12119400</v>
      </c>
      <c r="N341" s="20">
        <f>+Movimientos_2026[[#This Row],[Ingresos]]-Movimientos_2026[[#This Row],[Egresos]]</f>
        <v>-12119400</v>
      </c>
      <c r="O341" s="20">
        <f>+O340+Movimientos_2026[[#This Row],[Neto]]</f>
        <v>4287478017.9314728</v>
      </c>
    </row>
    <row r="342" spans="1:15" x14ac:dyDescent="0.25">
      <c r="A342" s="13">
        <v>46043</v>
      </c>
      <c r="B342" s="12">
        <f>MONTH(Movimientos_2026[[#This Row],[Fecha]])</f>
        <v>1</v>
      </c>
      <c r="C342" s="12" t="str">
        <f>VLOOKUP((WEEKDAY(Movimientos_2026[[#This Row],[Fecha]],2)),'5. Setup'!$D$6:$E$12,2,FALSE)</f>
        <v>Mie</v>
      </c>
      <c r="D342">
        <v>2054314</v>
      </c>
      <c r="E342" t="str">
        <f>IFERROR(+VLOOKUP(Movimientos_2026[[#This Row],[Codigo]],Plan_cuentas[],2,FALSE)," ")</f>
        <v>EGRESOS</v>
      </c>
      <c r="F342" t="str">
        <f>IFERROR(+VLOOKUP(Movimientos_2026[[#This Row],[Codigo]],Plan_cuentas[],3,FALSE)," ")</f>
        <v>VEP</v>
      </c>
      <c r="G342" t="str">
        <f>IFERROR(+VLOOKUP(Movimientos_2026[[#This Row],[Codigo]],Plan_cuentas[],4,FALSE)," ")</f>
        <v>Rentas</v>
      </c>
      <c r="H342" t="str">
        <f>IFERROR(+VLOOKUP(Movimientos_2026[[#This Row],[Codigo]],Plan_cuentas[],5,FALSE)," ")</f>
        <v>NEUQUEN 1° Q</v>
      </c>
      <c r="I342" s="43">
        <v>46023</v>
      </c>
      <c r="J342" t="s">
        <v>154</v>
      </c>
      <c r="K342" t="str">
        <f>IFERROR(+VLOOKUP(Movimientos_2026[[#This Row],[Codigo]],Plan_cuentas[],6,FALSE)," ")</f>
        <v>4 - FCA - Fiat</v>
      </c>
      <c r="L342" s="51"/>
      <c r="M342" s="52">
        <v>42225361</v>
      </c>
      <c r="N342" s="20">
        <f>+Movimientos_2026[[#This Row],[Ingresos]]-Movimientos_2026[[#This Row],[Egresos]]</f>
        <v>-42225361</v>
      </c>
      <c r="O342" s="20">
        <f>+O341+Movimientos_2026[[#This Row],[Neto]]</f>
        <v>4245252656.9314728</v>
      </c>
    </row>
    <row r="343" spans="1:15" x14ac:dyDescent="0.25">
      <c r="A343" s="13">
        <v>46043</v>
      </c>
      <c r="B343" s="12">
        <f>MONTH(Movimientos_2026[[#This Row],[Fecha]])</f>
        <v>1</v>
      </c>
      <c r="C343" s="12" t="str">
        <f>VLOOKUP((WEEKDAY(Movimientos_2026[[#This Row],[Fecha]],2)),'5. Setup'!$D$6:$E$12,2,FALSE)</f>
        <v>Mie</v>
      </c>
      <c r="D343">
        <v>2054316</v>
      </c>
      <c r="E343" t="str">
        <f>IFERROR(+VLOOKUP(Movimientos_2026[[#This Row],[Codigo]],Plan_cuentas[],2,FALSE)," ")</f>
        <v>EGRESOS</v>
      </c>
      <c r="F343" t="str">
        <f>IFERROR(+VLOOKUP(Movimientos_2026[[#This Row],[Codigo]],Plan_cuentas[],3,FALSE)," ")</f>
        <v>VEP</v>
      </c>
      <c r="G343" t="str">
        <f>IFERROR(+VLOOKUP(Movimientos_2026[[#This Row],[Codigo]],Plan_cuentas[],4,FALSE)," ")</f>
        <v>Rentas</v>
      </c>
      <c r="H343" t="str">
        <f>IFERROR(+VLOOKUP(Movimientos_2026[[#This Row],[Codigo]],Plan_cuentas[],5,FALSE)," ")</f>
        <v>NEUQUEN 1° Q</v>
      </c>
      <c r="I343" s="43">
        <v>46023</v>
      </c>
      <c r="J343" t="s">
        <v>154</v>
      </c>
      <c r="K343" t="str">
        <f>IFERROR(+VLOOKUP(Movimientos_2026[[#This Row],[Codigo]],Plan_cuentas[],6,FALSE)," ")</f>
        <v>6 - FCAtr - Fiat Transf.</v>
      </c>
      <c r="L343" s="51"/>
      <c r="M343" s="52">
        <v>33494.019999999997</v>
      </c>
      <c r="N343" s="20">
        <f>+Movimientos_2026[[#This Row],[Ingresos]]-Movimientos_2026[[#This Row],[Egresos]]</f>
        <v>-33494.019999999997</v>
      </c>
      <c r="O343" s="20">
        <f>+O342+Movimientos_2026[[#This Row],[Neto]]</f>
        <v>4245219162.9114728</v>
      </c>
    </row>
    <row r="344" spans="1:15" x14ac:dyDescent="0.25">
      <c r="A344" s="13">
        <v>46043</v>
      </c>
      <c r="B344" s="12">
        <f>MONTH(Movimientos_2026[[#This Row],[Fecha]])</f>
        <v>1</v>
      </c>
      <c r="C344" s="12" t="str">
        <f>VLOOKUP((WEEKDAY(Movimientos_2026[[#This Row],[Fecha]],2)),'5. Setup'!$D$6:$E$12,2,FALSE)</f>
        <v>Mie</v>
      </c>
      <c r="D344">
        <v>2014202</v>
      </c>
      <c r="E344" t="str">
        <f>IFERROR(+VLOOKUP(Movimientos_2026[[#This Row],[Codigo]],Plan_cuentas[],2,FALSE)," ")</f>
        <v>EGRESOS</v>
      </c>
      <c r="F344" t="str">
        <f>IFERROR(+VLOOKUP(Movimientos_2026[[#This Row],[Codigo]],Plan_cuentas[],3,FALSE)," ")</f>
        <v>BtoB</v>
      </c>
      <c r="G344" t="str">
        <f>IFERROR(+VLOOKUP(Movimientos_2026[[#This Row],[Codigo]],Plan_cuentas[],4,FALSE)," ")</f>
        <v>Rentas</v>
      </c>
      <c r="H344" t="str">
        <f>IFERROR(+VLOOKUP(Movimientos_2026[[#This Row],[Codigo]],Plan_cuentas[],5,FALSE)," ")</f>
        <v>CORRIENTES 1° Q</v>
      </c>
      <c r="I344" s="43">
        <v>46023</v>
      </c>
      <c r="J344" t="s">
        <v>155</v>
      </c>
      <c r="K344" t="str">
        <f>IFERROR(+VLOOKUP(Movimientos_2026[[#This Row],[Codigo]],Plan_cuentas[],6,FALSE)," ")</f>
        <v>2 - PR - Plan Rombo</v>
      </c>
      <c r="L344" s="51"/>
      <c r="M344" s="52">
        <v>38234732.539999999</v>
      </c>
      <c r="N344" s="20">
        <f>+Movimientos_2026[[#This Row],[Ingresos]]-Movimientos_2026[[#This Row],[Egresos]]</f>
        <v>-38234732.539999999</v>
      </c>
      <c r="O344" s="20">
        <f>+O343+Movimientos_2026[[#This Row],[Neto]]</f>
        <v>4206984430.3714728</v>
      </c>
    </row>
    <row r="345" spans="1:15" x14ac:dyDescent="0.25">
      <c r="A345" s="13">
        <v>46043</v>
      </c>
      <c r="B345" s="12">
        <f>MONTH(Movimientos_2026[[#This Row],[Fecha]])</f>
        <v>1</v>
      </c>
      <c r="C345" s="12" t="str">
        <f>VLOOKUP((WEEKDAY(Movimientos_2026[[#This Row],[Fecha]],2)),'5. Setup'!$D$6:$E$12,2,FALSE)</f>
        <v>Mie</v>
      </c>
      <c r="D345">
        <v>2044126</v>
      </c>
      <c r="E345" t="str">
        <f>IFERROR(+VLOOKUP(Movimientos_2026[[#This Row],[Codigo]],Plan_cuentas[],2,FALSE)," ")</f>
        <v>EGRESOS</v>
      </c>
      <c r="F345" t="str">
        <f>IFERROR(+VLOOKUP(Movimientos_2026[[#This Row],[Codigo]],Plan_cuentas[],3,FALSE)," ")</f>
        <v>Transferencia</v>
      </c>
      <c r="G345" t="str">
        <f>IFERROR(+VLOOKUP(Movimientos_2026[[#This Row],[Codigo]],Plan_cuentas[],4,FALSE)," ")</f>
        <v>Rentas</v>
      </c>
      <c r="H345" t="str">
        <f>IFERROR(+VLOOKUP(Movimientos_2026[[#This Row],[Codigo]],Plan_cuentas[],5,FALSE)," ")</f>
        <v>BAPRO</v>
      </c>
      <c r="I345" s="43">
        <v>45992</v>
      </c>
      <c r="J345" t="s">
        <v>156</v>
      </c>
      <c r="K345" t="str">
        <f>IFERROR(+VLOOKUP(Movimientos_2026[[#This Row],[Codigo]],Plan_cuentas[],6,FALSE)," ")</f>
        <v>6 - FCAtr - Fiat Transf.</v>
      </c>
      <c r="L345" s="50"/>
      <c r="M345" s="52">
        <v>1425974.6</v>
      </c>
      <c r="N345" s="20">
        <f>+Movimientos_2026[[#This Row],[Ingresos]]-Movimientos_2026[[#This Row],[Egresos]]</f>
        <v>-1425974.6</v>
      </c>
      <c r="O345" s="20">
        <f>+O344+Movimientos_2026[[#This Row],[Neto]]</f>
        <v>4205558455.7714729</v>
      </c>
    </row>
    <row r="346" spans="1:15" x14ac:dyDescent="0.25">
      <c r="A346" s="13">
        <v>46043</v>
      </c>
      <c r="B346" s="12">
        <f>MONTH(Movimientos_2026[[#This Row],[Fecha]])</f>
        <v>1</v>
      </c>
      <c r="C346" s="12" t="str">
        <f>VLOOKUP((WEEKDAY(Movimientos_2026[[#This Row],[Fecha]],2)),'5. Setup'!$D$6:$E$12,2,FALSE)</f>
        <v>Mie</v>
      </c>
      <c r="D346">
        <v>2044126</v>
      </c>
      <c r="E346" t="str">
        <f>IFERROR(+VLOOKUP(Movimientos_2026[[#This Row],[Codigo]],Plan_cuentas[],2,FALSE)," ")</f>
        <v>EGRESOS</v>
      </c>
      <c r="F346" t="str">
        <f>IFERROR(+VLOOKUP(Movimientos_2026[[#This Row],[Codigo]],Plan_cuentas[],3,FALSE)," ")</f>
        <v>Transferencia</v>
      </c>
      <c r="G346" t="str">
        <f>IFERROR(+VLOOKUP(Movimientos_2026[[#This Row],[Codigo]],Plan_cuentas[],4,FALSE)," ")</f>
        <v>Rentas</v>
      </c>
      <c r="H346" t="str">
        <f>IFERROR(+VLOOKUP(Movimientos_2026[[#This Row],[Codigo]],Plan_cuentas[],5,FALSE)," ")</f>
        <v>BAPRO</v>
      </c>
      <c r="I346" s="43">
        <v>45992</v>
      </c>
      <c r="J346" t="s">
        <v>157</v>
      </c>
      <c r="K346" t="str">
        <f>IFERROR(+VLOOKUP(Movimientos_2026[[#This Row],[Codigo]],Plan_cuentas[],6,FALSE)," ")</f>
        <v>6 - FCAtr - Fiat Transf.</v>
      </c>
      <c r="L346" s="50"/>
      <c r="M346" s="52">
        <v>1271874.8</v>
      </c>
      <c r="N346" s="20">
        <f>+Movimientos_2026[[#This Row],[Ingresos]]-Movimientos_2026[[#This Row],[Egresos]]</f>
        <v>-1271874.8</v>
      </c>
      <c r="O346" s="20">
        <f>+O345+Movimientos_2026[[#This Row],[Neto]]</f>
        <v>4204286580.9714727</v>
      </c>
    </row>
    <row r="347" spans="1:15" x14ac:dyDescent="0.25">
      <c r="A347" s="13">
        <v>46043</v>
      </c>
      <c r="B347" s="12">
        <f>MONTH(Movimientos_2026[[#This Row],[Fecha]])</f>
        <v>1</v>
      </c>
      <c r="C347" s="12" t="str">
        <f>VLOOKUP((WEEKDAY(Movimientos_2026[[#This Row],[Fecha]],2)),'5. Setup'!$D$6:$E$12,2,FALSE)</f>
        <v>Mie</v>
      </c>
      <c r="D347">
        <v>2044126</v>
      </c>
      <c r="E347" t="str">
        <f>IFERROR(+VLOOKUP(Movimientos_2026[[#This Row],[Codigo]],Plan_cuentas[],2,FALSE)," ")</f>
        <v>EGRESOS</v>
      </c>
      <c r="F347" t="str">
        <f>IFERROR(+VLOOKUP(Movimientos_2026[[#This Row],[Codigo]],Plan_cuentas[],3,FALSE)," ")</f>
        <v>Transferencia</v>
      </c>
      <c r="G347" t="str">
        <f>IFERROR(+VLOOKUP(Movimientos_2026[[#This Row],[Codigo]],Plan_cuentas[],4,FALSE)," ")</f>
        <v>Rentas</v>
      </c>
      <c r="H347" t="str">
        <f>IFERROR(+VLOOKUP(Movimientos_2026[[#This Row],[Codigo]],Plan_cuentas[],5,FALSE)," ")</f>
        <v>BAPRO</v>
      </c>
      <c r="I347" s="43">
        <v>45992</v>
      </c>
      <c r="J347" t="s">
        <v>158</v>
      </c>
      <c r="K347" t="str">
        <f>IFERROR(+VLOOKUP(Movimientos_2026[[#This Row],[Codigo]],Plan_cuentas[],6,FALSE)," ")</f>
        <v>6 - FCAtr - Fiat Transf.</v>
      </c>
      <c r="L347" s="50"/>
      <c r="M347" s="52">
        <v>602120</v>
      </c>
      <c r="N347" s="20">
        <f>+Movimientos_2026[[#This Row],[Ingresos]]-Movimientos_2026[[#This Row],[Egresos]]</f>
        <v>-602120</v>
      </c>
      <c r="O347" s="20">
        <f>+O346+Movimientos_2026[[#This Row],[Neto]]</f>
        <v>4203684460.9714727</v>
      </c>
    </row>
    <row r="348" spans="1:15" x14ac:dyDescent="0.25">
      <c r="A348" s="13">
        <v>46043</v>
      </c>
      <c r="B348" s="12">
        <f>MONTH(Movimientos_2026[[#This Row],[Fecha]])</f>
        <v>1</v>
      </c>
      <c r="C348" s="12" t="str">
        <f>VLOOKUP((WEEKDAY(Movimientos_2026[[#This Row],[Fecha]],2)),'5. Setup'!$D$6:$E$12,2,FALSE)</f>
        <v>Mie</v>
      </c>
      <c r="D348">
        <v>2044126</v>
      </c>
      <c r="E348" t="str">
        <f>IFERROR(+VLOOKUP(Movimientos_2026[[#This Row],[Codigo]],Plan_cuentas[],2,FALSE)," ")</f>
        <v>EGRESOS</v>
      </c>
      <c r="F348" t="str">
        <f>IFERROR(+VLOOKUP(Movimientos_2026[[#This Row],[Codigo]],Plan_cuentas[],3,FALSE)," ")</f>
        <v>Transferencia</v>
      </c>
      <c r="G348" t="str">
        <f>IFERROR(+VLOOKUP(Movimientos_2026[[#This Row],[Codigo]],Plan_cuentas[],4,FALSE)," ")</f>
        <v>Rentas</v>
      </c>
      <c r="H348" t="str">
        <f>IFERROR(+VLOOKUP(Movimientos_2026[[#This Row],[Codigo]],Plan_cuentas[],5,FALSE)," ")</f>
        <v>BAPRO</v>
      </c>
      <c r="I348" s="43">
        <v>45992</v>
      </c>
      <c r="J348" t="s">
        <v>159</v>
      </c>
      <c r="K348" t="str">
        <f>IFERROR(+VLOOKUP(Movimientos_2026[[#This Row],[Codigo]],Plan_cuentas[],6,FALSE)," ")</f>
        <v>6 - FCAtr - Fiat Transf.</v>
      </c>
      <c r="L348" s="50"/>
      <c r="M348" s="52">
        <v>476554.2</v>
      </c>
      <c r="N348" s="20">
        <f>+Movimientos_2026[[#This Row],[Ingresos]]-Movimientos_2026[[#This Row],[Egresos]]</f>
        <v>-476554.2</v>
      </c>
      <c r="O348" s="20">
        <f>+O347+Movimientos_2026[[#This Row],[Neto]]</f>
        <v>4203207906.7714729</v>
      </c>
    </row>
    <row r="349" spans="1:15" x14ac:dyDescent="0.25">
      <c r="A349" s="13">
        <v>46043</v>
      </c>
      <c r="B349" s="12">
        <f>MONTH(Movimientos_2026[[#This Row],[Fecha]])</f>
        <v>1</v>
      </c>
      <c r="C349" s="12" t="str">
        <f>VLOOKUP((WEEKDAY(Movimientos_2026[[#This Row],[Fecha]],2)),'5. Setup'!$D$6:$E$12,2,FALSE)</f>
        <v>Mie</v>
      </c>
      <c r="D349">
        <v>2044126</v>
      </c>
      <c r="E349" t="str">
        <f>IFERROR(+VLOOKUP(Movimientos_2026[[#This Row],[Codigo]],Plan_cuentas[],2,FALSE)," ")</f>
        <v>EGRESOS</v>
      </c>
      <c r="F349" t="str">
        <f>IFERROR(+VLOOKUP(Movimientos_2026[[#This Row],[Codigo]],Plan_cuentas[],3,FALSE)," ")</f>
        <v>Transferencia</v>
      </c>
      <c r="G349" t="str">
        <f>IFERROR(+VLOOKUP(Movimientos_2026[[#This Row],[Codigo]],Plan_cuentas[],4,FALSE)," ")</f>
        <v>Rentas</v>
      </c>
      <c r="H349" t="str">
        <f>IFERROR(+VLOOKUP(Movimientos_2026[[#This Row],[Codigo]],Plan_cuentas[],5,FALSE)," ")</f>
        <v>BAPRO</v>
      </c>
      <c r="I349" s="43">
        <v>45992</v>
      </c>
      <c r="J349" t="s">
        <v>160</v>
      </c>
      <c r="K349" t="str">
        <f>IFERROR(+VLOOKUP(Movimientos_2026[[#This Row],[Codigo]],Plan_cuentas[],6,FALSE)," ")</f>
        <v>6 - FCAtr - Fiat Transf.</v>
      </c>
      <c r="L349" s="50"/>
      <c r="M349" s="52">
        <v>257691.3</v>
      </c>
      <c r="N349" s="20">
        <f>+Movimientos_2026[[#This Row],[Ingresos]]-Movimientos_2026[[#This Row],[Egresos]]</f>
        <v>-257691.3</v>
      </c>
      <c r="O349" s="20">
        <f>+O348+Movimientos_2026[[#This Row],[Neto]]</f>
        <v>4202950215.4714727</v>
      </c>
    </row>
    <row r="350" spans="1:15" x14ac:dyDescent="0.25">
      <c r="A350" s="13">
        <v>46043</v>
      </c>
      <c r="B350" s="12">
        <f>MONTH(Movimientos_2026[[#This Row],[Fecha]])</f>
        <v>1</v>
      </c>
      <c r="C350" s="12" t="str">
        <f>VLOOKUP((WEEKDAY(Movimientos_2026[[#This Row],[Fecha]],2)),'5. Setup'!$D$6:$E$12,2,FALSE)</f>
        <v>Mie</v>
      </c>
      <c r="D350">
        <v>2044126</v>
      </c>
      <c r="E350" t="str">
        <f>IFERROR(+VLOOKUP(Movimientos_2026[[#This Row],[Codigo]],Plan_cuentas[],2,FALSE)," ")</f>
        <v>EGRESOS</v>
      </c>
      <c r="F350" t="str">
        <f>IFERROR(+VLOOKUP(Movimientos_2026[[#This Row],[Codigo]],Plan_cuentas[],3,FALSE)," ")</f>
        <v>Transferencia</v>
      </c>
      <c r="G350" t="str">
        <f>IFERROR(+VLOOKUP(Movimientos_2026[[#This Row],[Codigo]],Plan_cuentas[],4,FALSE)," ")</f>
        <v>Rentas</v>
      </c>
      <c r="H350" t="str">
        <f>IFERROR(+VLOOKUP(Movimientos_2026[[#This Row],[Codigo]],Plan_cuentas[],5,FALSE)," ")</f>
        <v>BAPRO</v>
      </c>
      <c r="I350" s="43">
        <v>45992</v>
      </c>
      <c r="J350" t="s">
        <v>161</v>
      </c>
      <c r="K350" t="str">
        <f>IFERROR(+VLOOKUP(Movimientos_2026[[#This Row],[Codigo]],Plan_cuentas[],6,FALSE)," ")</f>
        <v>6 - FCAtr - Fiat Transf.</v>
      </c>
      <c r="L350" s="50"/>
      <c r="M350" s="52">
        <v>194954.3</v>
      </c>
      <c r="N350" s="20">
        <f>+Movimientos_2026[[#This Row],[Ingresos]]-Movimientos_2026[[#This Row],[Egresos]]</f>
        <v>-194954.3</v>
      </c>
      <c r="O350" s="20">
        <f>+O349+Movimientos_2026[[#This Row],[Neto]]</f>
        <v>4202755261.1714725</v>
      </c>
    </row>
    <row r="351" spans="1:15" x14ac:dyDescent="0.25">
      <c r="A351" s="13">
        <v>46043</v>
      </c>
      <c r="B351" s="12">
        <f>MONTH(Movimientos_2026[[#This Row],[Fecha]])</f>
        <v>1</v>
      </c>
      <c r="C351" s="12" t="str">
        <f>VLOOKUP((WEEKDAY(Movimientos_2026[[#This Row],[Fecha]],2)),'5. Setup'!$D$6:$E$12,2,FALSE)</f>
        <v>Mie</v>
      </c>
      <c r="D351">
        <v>2044126</v>
      </c>
      <c r="E351" t="str">
        <f>IFERROR(+VLOOKUP(Movimientos_2026[[#This Row],[Codigo]],Plan_cuentas[],2,FALSE)," ")</f>
        <v>EGRESOS</v>
      </c>
      <c r="F351" t="str">
        <f>IFERROR(+VLOOKUP(Movimientos_2026[[#This Row],[Codigo]],Plan_cuentas[],3,FALSE)," ")</f>
        <v>Transferencia</v>
      </c>
      <c r="G351" t="str">
        <f>IFERROR(+VLOOKUP(Movimientos_2026[[#This Row],[Codigo]],Plan_cuentas[],4,FALSE)," ")</f>
        <v>Rentas</v>
      </c>
      <c r="H351" t="str">
        <f>IFERROR(+VLOOKUP(Movimientos_2026[[#This Row],[Codigo]],Plan_cuentas[],5,FALSE)," ")</f>
        <v>BAPRO</v>
      </c>
      <c r="I351" s="43">
        <v>45992</v>
      </c>
      <c r="J351" t="s">
        <v>162</v>
      </c>
      <c r="K351" t="str">
        <f>IFERROR(+VLOOKUP(Movimientos_2026[[#This Row],[Codigo]],Plan_cuentas[],6,FALSE)," ")</f>
        <v>6 - FCAtr - Fiat Transf.</v>
      </c>
      <c r="L351" s="50"/>
      <c r="M351" s="52">
        <v>13726.1</v>
      </c>
      <c r="N351" s="20">
        <f>+Movimientos_2026[[#This Row],[Ingresos]]-Movimientos_2026[[#This Row],[Egresos]]</f>
        <v>-13726.1</v>
      </c>
      <c r="O351" s="20">
        <f>+O350+Movimientos_2026[[#This Row],[Neto]]</f>
        <v>4202741535.0714726</v>
      </c>
    </row>
    <row r="352" spans="1:15" x14ac:dyDescent="0.25">
      <c r="A352" s="13">
        <v>46044</v>
      </c>
      <c r="B352" s="12">
        <f>MONTH(Movimientos_2026[[#This Row],[Fecha]])</f>
        <v>1</v>
      </c>
      <c r="C352" s="12" t="str">
        <f>VLOOKUP((WEEKDAY(Movimientos_2026[[#This Row],[Fecha]],2)),'5. Setup'!$D$6:$E$12,2,FALSE)</f>
        <v>Jue</v>
      </c>
      <c r="D352">
        <v>2014262</v>
      </c>
      <c r="E352" t="str">
        <f>IFERROR(+VLOOKUP(Movimientos_2026[[#This Row],[Codigo]],Plan_cuentas[],2,FALSE)," ")</f>
        <v>EGRESOS</v>
      </c>
      <c r="F352" t="str">
        <f>IFERROR(+VLOOKUP(Movimientos_2026[[#This Row],[Codigo]],Plan_cuentas[],3,FALSE)," ")</f>
        <v>BtoB</v>
      </c>
      <c r="G352" t="str">
        <f>IFERROR(+VLOOKUP(Movimientos_2026[[#This Row],[Codigo]],Plan_cuentas[],4,FALSE)," ")</f>
        <v>Rentas</v>
      </c>
      <c r="H352" t="str">
        <f>IFERROR(+VLOOKUP(Movimientos_2026[[#This Row],[Codigo]],Plan_cuentas[],5,FALSE)," ")</f>
        <v>LA PAMPA</v>
      </c>
      <c r="I352" s="43">
        <v>45992</v>
      </c>
      <c r="J352" s="53" t="s">
        <v>163</v>
      </c>
      <c r="K352" t="str">
        <f>IFERROR(+VLOOKUP(Movimientos_2026[[#This Row],[Codigo]],Plan_cuentas[],6,FALSE)," ")</f>
        <v>2 - PR - Plan Rombo</v>
      </c>
      <c r="L352" s="51"/>
      <c r="M352" s="52">
        <v>5743400</v>
      </c>
      <c r="N352" s="20">
        <f>+Movimientos_2026[[#This Row],[Ingresos]]-Movimientos_2026[[#This Row],[Egresos]]</f>
        <v>-5743400</v>
      </c>
      <c r="O352" s="20">
        <f>+O351+Movimientos_2026[[#This Row],[Neto]]</f>
        <v>4196998135.0714726</v>
      </c>
    </row>
    <row r="353" spans="1:15" x14ac:dyDescent="0.25">
      <c r="A353" s="13">
        <v>46044</v>
      </c>
      <c r="B353" s="12">
        <f>MONTH(Movimientos_2026[[#This Row],[Fecha]])</f>
        <v>1</v>
      </c>
      <c r="C353" s="12" t="str">
        <f>VLOOKUP((WEEKDAY(Movimientos_2026[[#This Row],[Fecha]],2)),'5. Setup'!$D$6:$E$12,2,FALSE)</f>
        <v>Jue</v>
      </c>
      <c r="D353">
        <v>2014264</v>
      </c>
      <c r="E353" t="str">
        <f>IFERROR(+VLOOKUP(Movimientos_2026[[#This Row],[Codigo]],Plan_cuentas[],2,FALSE)," ")</f>
        <v>EGRESOS</v>
      </c>
      <c r="F353" t="str">
        <f>IFERROR(+VLOOKUP(Movimientos_2026[[#This Row],[Codigo]],Plan_cuentas[],3,FALSE)," ")</f>
        <v>BtoB</v>
      </c>
      <c r="G353" t="str">
        <f>IFERROR(+VLOOKUP(Movimientos_2026[[#This Row],[Codigo]],Plan_cuentas[],4,FALSE)," ")</f>
        <v>Rentas</v>
      </c>
      <c r="H353" t="str">
        <f>IFERROR(+VLOOKUP(Movimientos_2026[[#This Row],[Codigo]],Plan_cuentas[],5,FALSE)," ")</f>
        <v>LA PAMPA</v>
      </c>
      <c r="I353" s="43">
        <v>45992</v>
      </c>
      <c r="J353" s="53" t="s">
        <v>164</v>
      </c>
      <c r="K353" t="str">
        <f>IFERROR(+VLOOKUP(Movimientos_2026[[#This Row],[Codigo]],Plan_cuentas[],6,FALSE)," ")</f>
        <v>4 - FCA - Fiat</v>
      </c>
      <c r="L353" s="51"/>
      <c r="M353" s="52">
        <v>4316068</v>
      </c>
      <c r="N353" s="20">
        <f>+Movimientos_2026[[#This Row],[Ingresos]]-Movimientos_2026[[#This Row],[Egresos]]</f>
        <v>-4316068</v>
      </c>
      <c r="O353" s="20">
        <f>+O352+Movimientos_2026[[#This Row],[Neto]]</f>
        <v>4192682067.0714726</v>
      </c>
    </row>
    <row r="354" spans="1:15" x14ac:dyDescent="0.25">
      <c r="A354" s="13">
        <v>46044</v>
      </c>
      <c r="B354" s="12">
        <f>MONTH(Movimientos_2026[[#This Row],[Fecha]])</f>
        <v>1</v>
      </c>
      <c r="C354" s="12" t="str">
        <f>VLOOKUP((WEEKDAY(Movimientos_2026[[#This Row],[Fecha]],2)),'5. Setup'!$D$6:$E$12,2,FALSE)</f>
        <v>Jue</v>
      </c>
      <c r="D354">
        <v>2014266</v>
      </c>
      <c r="E354" t="str">
        <f>IFERROR(+VLOOKUP(Movimientos_2026[[#This Row],[Codigo]],Plan_cuentas[],2,FALSE)," ")</f>
        <v>EGRESOS</v>
      </c>
      <c r="F354" t="str">
        <f>IFERROR(+VLOOKUP(Movimientos_2026[[#This Row],[Codigo]],Plan_cuentas[],3,FALSE)," ")</f>
        <v>BtoB</v>
      </c>
      <c r="G354" t="str">
        <f>IFERROR(+VLOOKUP(Movimientos_2026[[#This Row],[Codigo]],Plan_cuentas[],4,FALSE)," ")</f>
        <v>Rentas</v>
      </c>
      <c r="H354" t="str">
        <f>IFERROR(+VLOOKUP(Movimientos_2026[[#This Row],[Codigo]],Plan_cuentas[],5,FALSE)," ")</f>
        <v>LA PAMPA</v>
      </c>
      <c r="I354" s="43">
        <v>45992</v>
      </c>
      <c r="J354" s="53" t="s">
        <v>164</v>
      </c>
      <c r="K354" t="str">
        <f>IFERROR(+VLOOKUP(Movimientos_2026[[#This Row],[Codigo]],Plan_cuentas[],6,FALSE)," ")</f>
        <v>6 - FCAtr - Fiat Transf.</v>
      </c>
      <c r="L354" s="51"/>
      <c r="M354" s="52">
        <v>81303.710000000021</v>
      </c>
      <c r="N354" s="20">
        <f>+Movimientos_2026[[#This Row],[Ingresos]]-Movimientos_2026[[#This Row],[Egresos]]</f>
        <v>-81303.710000000021</v>
      </c>
      <c r="O354" s="20">
        <f>+O353+Movimientos_2026[[#This Row],[Neto]]</f>
        <v>4192600763.3614726</v>
      </c>
    </row>
    <row r="355" spans="1:15" x14ac:dyDescent="0.25">
      <c r="A355" s="13">
        <v>46044</v>
      </c>
      <c r="B355" s="12">
        <f>MONTH(Movimientos_2026[[#This Row],[Fecha]])</f>
        <v>1</v>
      </c>
      <c r="C355" s="12" t="str">
        <f>VLOOKUP((WEEKDAY(Movimientos_2026[[#This Row],[Fecha]],2)),'5. Setup'!$D$6:$E$12,2,FALSE)</f>
        <v>Jue</v>
      </c>
      <c r="D355">
        <v>2014264</v>
      </c>
      <c r="E355" t="str">
        <f>IFERROR(+VLOOKUP(Movimientos_2026[[#This Row],[Codigo]],Plan_cuentas[],2,FALSE)," ")</f>
        <v>EGRESOS</v>
      </c>
      <c r="F355" t="str">
        <f>IFERROR(+VLOOKUP(Movimientos_2026[[#This Row],[Codigo]],Plan_cuentas[],3,FALSE)," ")</f>
        <v>BtoB</v>
      </c>
      <c r="G355" t="str">
        <f>IFERROR(+VLOOKUP(Movimientos_2026[[#This Row],[Codigo]],Plan_cuentas[],4,FALSE)," ")</f>
        <v>Rentas</v>
      </c>
      <c r="H355" t="str">
        <f>IFERROR(+VLOOKUP(Movimientos_2026[[#This Row],[Codigo]],Plan_cuentas[],5,FALSE)," ")</f>
        <v>LA PAMPA</v>
      </c>
      <c r="I355" s="43">
        <v>45992</v>
      </c>
      <c r="J355" s="53" t="s">
        <v>164</v>
      </c>
      <c r="K355" t="str">
        <f>IFERROR(+VLOOKUP(Movimientos_2026[[#This Row],[Codigo]],Plan_cuentas[],6,FALSE)," ")</f>
        <v>4 - FCA - Fiat</v>
      </c>
      <c r="L355" s="51"/>
      <c r="M355" s="52">
        <v>4192643.33</v>
      </c>
      <c r="N355" s="20">
        <f>+Movimientos_2026[[#This Row],[Ingresos]]-Movimientos_2026[[#This Row],[Egresos]]</f>
        <v>-4192643.33</v>
      </c>
      <c r="O355" s="20">
        <f>+O354+Movimientos_2026[[#This Row],[Neto]]</f>
        <v>4188408120.0314727</v>
      </c>
    </row>
    <row r="356" spans="1:15" x14ac:dyDescent="0.25">
      <c r="A356" s="13">
        <v>46044</v>
      </c>
      <c r="B356" s="12">
        <f>MONTH(Movimientos_2026[[#This Row],[Fecha]])</f>
        <v>1</v>
      </c>
      <c r="C356" s="12" t="str">
        <f>VLOOKUP((WEEKDAY(Movimientos_2026[[#This Row],[Fecha]],2)),'5. Setup'!$D$6:$E$12,2,FALSE)</f>
        <v>Jue</v>
      </c>
      <c r="D356">
        <v>2044126</v>
      </c>
      <c r="E356" t="str">
        <f>IFERROR(+VLOOKUP(Movimientos_2026[[#This Row],[Codigo]],Plan_cuentas[],2,FALSE)," ")</f>
        <v>EGRESOS</v>
      </c>
      <c r="F356" t="str">
        <f>IFERROR(+VLOOKUP(Movimientos_2026[[#This Row],[Codigo]],Plan_cuentas[],3,FALSE)," ")</f>
        <v>Transferencia</v>
      </c>
      <c r="G356" t="str">
        <f>IFERROR(+VLOOKUP(Movimientos_2026[[#This Row],[Codigo]],Plan_cuentas[],4,FALSE)," ")</f>
        <v>Rentas</v>
      </c>
      <c r="H356" t="str">
        <f>IFERROR(+VLOOKUP(Movimientos_2026[[#This Row],[Codigo]],Plan_cuentas[],5,FALSE)," ")</f>
        <v>BAPRO</v>
      </c>
      <c r="I356" s="43">
        <v>45992</v>
      </c>
      <c r="J356" t="s">
        <v>165</v>
      </c>
      <c r="K356" t="str">
        <f>IFERROR(+VLOOKUP(Movimientos_2026[[#This Row],[Codigo]],Plan_cuentas[],6,FALSE)," ")</f>
        <v>6 - FCAtr - Fiat Transf.</v>
      </c>
      <c r="L356" s="50"/>
      <c r="M356" s="52">
        <v>327477</v>
      </c>
      <c r="N356" s="20">
        <f>+Movimientos_2026[[#This Row],[Ingresos]]-Movimientos_2026[[#This Row],[Egresos]]</f>
        <v>-327477</v>
      </c>
      <c r="O356" s="20">
        <f>+O355+Movimientos_2026[[#This Row],[Neto]]</f>
        <v>4188080643.0314727</v>
      </c>
    </row>
    <row r="357" spans="1:15" x14ac:dyDescent="0.25">
      <c r="A357" s="13">
        <v>46044</v>
      </c>
      <c r="B357" s="12">
        <f>MONTH(Movimientos_2026[[#This Row],[Fecha]])</f>
        <v>1</v>
      </c>
      <c r="C357" s="12" t="str">
        <f>VLOOKUP((WEEKDAY(Movimientos_2026[[#This Row],[Fecha]],2)),'5. Setup'!$D$6:$E$12,2,FALSE)</f>
        <v>Jue</v>
      </c>
      <c r="D357">
        <v>2044126</v>
      </c>
      <c r="E357" t="str">
        <f>IFERROR(+VLOOKUP(Movimientos_2026[[#This Row],[Codigo]],Plan_cuentas[],2,FALSE)," ")</f>
        <v>EGRESOS</v>
      </c>
      <c r="F357" t="str">
        <f>IFERROR(+VLOOKUP(Movimientos_2026[[#This Row],[Codigo]],Plan_cuentas[],3,FALSE)," ")</f>
        <v>Transferencia</v>
      </c>
      <c r="G357" t="str">
        <f>IFERROR(+VLOOKUP(Movimientos_2026[[#This Row],[Codigo]],Plan_cuentas[],4,FALSE)," ")</f>
        <v>Rentas</v>
      </c>
      <c r="H357" t="str">
        <f>IFERROR(+VLOOKUP(Movimientos_2026[[#This Row],[Codigo]],Plan_cuentas[],5,FALSE)," ")</f>
        <v>BAPRO</v>
      </c>
      <c r="I357" s="43">
        <v>45992</v>
      </c>
      <c r="J357" t="s">
        <v>166</v>
      </c>
      <c r="K357" t="str">
        <f>IFERROR(+VLOOKUP(Movimientos_2026[[#This Row],[Codigo]],Plan_cuentas[],6,FALSE)," ")</f>
        <v>6 - FCAtr - Fiat Transf.</v>
      </c>
      <c r="L357" s="50"/>
      <c r="M357" s="52">
        <v>139821</v>
      </c>
      <c r="N357" s="20">
        <f>+Movimientos_2026[[#This Row],[Ingresos]]-Movimientos_2026[[#This Row],[Egresos]]</f>
        <v>-139821</v>
      </c>
      <c r="O357" s="20">
        <f>+O356+Movimientos_2026[[#This Row],[Neto]]</f>
        <v>4187940822.0314727</v>
      </c>
    </row>
    <row r="358" spans="1:15" x14ac:dyDescent="0.25">
      <c r="A358" s="13">
        <v>46044</v>
      </c>
      <c r="B358" s="12">
        <f>MONTH(Movimientos_2026[[#This Row],[Fecha]])</f>
        <v>1</v>
      </c>
      <c r="C358" s="12" t="str">
        <f>VLOOKUP((WEEKDAY(Movimientos_2026[[#This Row],[Fecha]],2)),'5. Setup'!$D$6:$E$12,2,FALSE)</f>
        <v>Jue</v>
      </c>
      <c r="D358">
        <v>2044462</v>
      </c>
      <c r="E358" t="str">
        <f>IFERROR(+VLOOKUP(Movimientos_2026[[#This Row],[Codigo]],Plan_cuentas[],2,FALSE)," ")</f>
        <v>EGRESOS</v>
      </c>
      <c r="F358" t="str">
        <f>IFERROR(+VLOOKUP(Movimientos_2026[[#This Row],[Codigo]],Plan_cuentas[],3,FALSE)," ")</f>
        <v>Transferencia</v>
      </c>
      <c r="G358" t="str">
        <f>IFERROR(+VLOOKUP(Movimientos_2026[[#This Row],[Codigo]],Plan_cuentas[],4,FALSE)," ")</f>
        <v>Rentas</v>
      </c>
      <c r="H358" t="str">
        <f>IFERROR(+VLOOKUP(Movimientos_2026[[#This Row],[Codigo]],Plan_cuentas[],5,FALSE)," ")</f>
        <v>MISIONES</v>
      </c>
      <c r="I358" s="43">
        <v>46023</v>
      </c>
      <c r="J358" t="s">
        <v>167</v>
      </c>
      <c r="K358" t="str">
        <f>IFERROR(+VLOOKUP(Movimientos_2026[[#This Row],[Codigo]],Plan_cuentas[],6,FALSE)," ")</f>
        <v>2 - PR - Plan Rombo</v>
      </c>
      <c r="L358" s="50"/>
      <c r="M358" s="52">
        <v>2525698.13</v>
      </c>
      <c r="N358" s="20">
        <f>+Movimientos_2026[[#This Row],[Ingresos]]-Movimientos_2026[[#This Row],[Egresos]]</f>
        <v>-2525698.13</v>
      </c>
      <c r="O358" s="20">
        <f>+O357+Movimientos_2026[[#This Row],[Neto]]</f>
        <v>4185415123.9014726</v>
      </c>
    </row>
    <row r="359" spans="1:15" x14ac:dyDescent="0.25">
      <c r="A359" s="13">
        <v>46044</v>
      </c>
      <c r="B359" s="12">
        <f>MONTH(Movimientos_2026[[#This Row],[Fecha]])</f>
        <v>1</v>
      </c>
      <c r="C359" s="12" t="str">
        <f>VLOOKUP((WEEKDAY(Movimientos_2026[[#This Row],[Fecha]],2)),'5. Setup'!$D$6:$E$12,2,FALSE)</f>
        <v>Jue</v>
      </c>
      <c r="D359">
        <v>1043155</v>
      </c>
      <c r="E359" t="str">
        <f>IFERROR(+VLOOKUP(Movimientos_2026[[#This Row],[Codigo]],Plan_cuentas[],2,FALSE)," ")</f>
        <v>INGRESOS</v>
      </c>
      <c r="F359" t="str">
        <f>IFERROR(+VLOOKUP(Movimientos_2026[[#This Row],[Codigo]],Plan_cuentas[],3,FALSE)," ")</f>
        <v>Transferencia</v>
      </c>
      <c r="G359" t="str">
        <f>IFERROR(+VLOOKUP(Movimientos_2026[[#This Row],[Codigo]],Plan_cuentas[],4,FALSE)," ")</f>
        <v>Registración</v>
      </c>
      <c r="H359" t="str">
        <f>IFERROR(+VLOOKUP(Movimientos_2026[[#This Row],[Codigo]],Plan_cuentas[],5,FALSE)," ")</f>
        <v>CABA</v>
      </c>
      <c r="I359" s="43">
        <v>45992</v>
      </c>
      <c r="J359" t="s">
        <v>168</v>
      </c>
      <c r="K359" t="str">
        <f>IFERROR(+VLOOKUP(Movimientos_2026[[#This Row],[Codigo]],Plan_cuentas[],6,FALSE)," ")</f>
        <v>5 - YAM - Yamaha</v>
      </c>
      <c r="L359" s="50">
        <v>24634958.780000001</v>
      </c>
      <c r="M359" s="52"/>
      <c r="N359" s="20">
        <f>+Movimientos_2026[[#This Row],[Ingresos]]-Movimientos_2026[[#This Row],[Egresos]]</f>
        <v>24634958.780000001</v>
      </c>
      <c r="O359" s="20">
        <f>+O358+Movimientos_2026[[#This Row],[Neto]]</f>
        <v>4210050082.6814728</v>
      </c>
    </row>
    <row r="360" spans="1:15" x14ac:dyDescent="0.25">
      <c r="A360" s="13">
        <v>46044</v>
      </c>
      <c r="B360" s="12">
        <f>MONTH(Movimientos_2026[[#This Row],[Fecha]])</f>
        <v>1</v>
      </c>
      <c r="C360" s="12" t="str">
        <f>VLOOKUP((WEEKDAY(Movimientos_2026[[#This Row],[Fecha]],2)),'5. Setup'!$D$6:$E$12,2,FALSE)</f>
        <v>Jue</v>
      </c>
      <c r="D360">
        <v>1043175</v>
      </c>
      <c r="E360" t="str">
        <f>IFERROR(+VLOOKUP(Movimientos_2026[[#This Row],[Codigo]],Plan_cuentas[],2,FALSE)," ")</f>
        <v>INGRESOS</v>
      </c>
      <c r="F360" t="str">
        <f>IFERROR(+VLOOKUP(Movimientos_2026[[#This Row],[Codigo]],Plan_cuentas[],3,FALSE)," ")</f>
        <v>Transferencia</v>
      </c>
      <c r="G360" t="str">
        <f>IFERROR(+VLOOKUP(Movimientos_2026[[#This Row],[Codigo]],Plan_cuentas[],4,FALSE)," ")</f>
        <v>Registración</v>
      </c>
      <c r="H360" t="str">
        <f>IFERROR(+VLOOKUP(Movimientos_2026[[#This Row],[Codigo]],Plan_cuentas[],5,FALSE)," ")</f>
        <v>CHUBUT</v>
      </c>
      <c r="I360" s="43">
        <v>45992</v>
      </c>
      <c r="J360" t="s">
        <v>168</v>
      </c>
      <c r="K360" t="str">
        <f>IFERROR(+VLOOKUP(Movimientos_2026[[#This Row],[Codigo]],Plan_cuentas[],6,FALSE)," ")</f>
        <v>5 - YAM - Yamaha</v>
      </c>
      <c r="L360" s="51">
        <v>261213.5</v>
      </c>
      <c r="M360" s="52"/>
      <c r="N360" s="20">
        <f>+Movimientos_2026[[#This Row],[Ingresos]]-Movimientos_2026[[#This Row],[Egresos]]</f>
        <v>261213.5</v>
      </c>
      <c r="O360" s="20">
        <f>+O359+Movimientos_2026[[#This Row],[Neto]]</f>
        <v>4210311296.1814728</v>
      </c>
    </row>
    <row r="361" spans="1:15" x14ac:dyDescent="0.25">
      <c r="A361" s="13">
        <v>46044</v>
      </c>
      <c r="B361" s="12">
        <f>MONTH(Movimientos_2026[[#This Row],[Fecha]])</f>
        <v>1</v>
      </c>
      <c r="C361" s="12" t="str">
        <f>VLOOKUP((WEEKDAY(Movimientos_2026[[#This Row],[Fecha]],2)),'5. Setup'!$D$6:$E$12,2,FALSE)</f>
        <v>Jue</v>
      </c>
      <c r="D361">
        <v>1043385</v>
      </c>
      <c r="E361" t="str">
        <f>IFERROR(+VLOOKUP(Movimientos_2026[[#This Row],[Codigo]],Plan_cuentas[],2,FALSE)," ")</f>
        <v>INGRESOS</v>
      </c>
      <c r="F361" t="str">
        <f>IFERROR(+VLOOKUP(Movimientos_2026[[#This Row],[Codigo]],Plan_cuentas[],3,FALSE)," ")</f>
        <v>Transferencia</v>
      </c>
      <c r="G361" t="str">
        <f>IFERROR(+VLOOKUP(Movimientos_2026[[#This Row],[Codigo]],Plan_cuentas[],4,FALSE)," ")</f>
        <v>Registración</v>
      </c>
      <c r="H361" t="str">
        <f>IFERROR(+VLOOKUP(Movimientos_2026[[#This Row],[Codigo]],Plan_cuentas[],5,FALSE)," ")</f>
        <v>SANTA FE 1° Q</v>
      </c>
      <c r="I361" s="43">
        <v>46023</v>
      </c>
      <c r="J361" t="s">
        <v>168</v>
      </c>
      <c r="K361" t="str">
        <f>IFERROR(+VLOOKUP(Movimientos_2026[[#This Row],[Codigo]],Plan_cuentas[],6,FALSE)," ")</f>
        <v>5 - YAM - Yamaha</v>
      </c>
      <c r="L361" s="50">
        <v>1355527.63</v>
      </c>
      <c r="M361" s="52"/>
      <c r="N361" s="20">
        <f>+Movimientos_2026[[#This Row],[Ingresos]]-Movimientos_2026[[#This Row],[Egresos]]</f>
        <v>1355527.63</v>
      </c>
      <c r="O361" s="20">
        <f>+O360+Movimientos_2026[[#This Row],[Neto]]</f>
        <v>4211666823.8114729</v>
      </c>
    </row>
    <row r="362" spans="1:15" x14ac:dyDescent="0.25">
      <c r="A362" s="13">
        <v>46044</v>
      </c>
      <c r="B362" s="12">
        <f>MONTH(Movimientos_2026[[#This Row],[Fecha]])</f>
        <v>1</v>
      </c>
      <c r="C362" s="12" t="str">
        <f>VLOOKUP((WEEKDAY(Movimientos_2026[[#This Row],[Fecha]],2)),'5. Setup'!$D$6:$E$12,2,FALSE)</f>
        <v>Jue</v>
      </c>
      <c r="D362">
        <v>1043245</v>
      </c>
      <c r="E362" t="str">
        <f>IFERROR(+VLOOKUP(Movimientos_2026[[#This Row],[Codigo]],Plan_cuentas[],2,FALSE)," ")</f>
        <v>INGRESOS</v>
      </c>
      <c r="F362" t="str">
        <f>IFERROR(+VLOOKUP(Movimientos_2026[[#This Row],[Codigo]],Plan_cuentas[],3,FALSE)," ")</f>
        <v>Transferencia</v>
      </c>
      <c r="G362" t="str">
        <f>IFERROR(+VLOOKUP(Movimientos_2026[[#This Row],[Codigo]],Plan_cuentas[],4,FALSE)," ")</f>
        <v>Registración</v>
      </c>
      <c r="H362" t="str">
        <f>IFERROR(+VLOOKUP(Movimientos_2026[[#This Row],[Codigo]],Plan_cuentas[],5,FALSE)," ")</f>
        <v>FORMOSA</v>
      </c>
      <c r="I362" s="43">
        <v>45992</v>
      </c>
      <c r="J362" t="s">
        <v>168</v>
      </c>
      <c r="K362" t="str">
        <f>IFERROR(+VLOOKUP(Movimientos_2026[[#This Row],[Codigo]],Plan_cuentas[],6,FALSE)," ")</f>
        <v>5 - YAM - Yamaha</v>
      </c>
      <c r="L362" s="50">
        <v>87071.17</v>
      </c>
      <c r="M362" s="52"/>
      <c r="N362" s="20">
        <f>+Movimientos_2026[[#This Row],[Ingresos]]-Movimientos_2026[[#This Row],[Egresos]]</f>
        <v>87071.17</v>
      </c>
      <c r="O362" s="20">
        <f>+O361+Movimientos_2026[[#This Row],[Neto]]</f>
        <v>4211753894.981473</v>
      </c>
    </row>
    <row r="363" spans="1:15" x14ac:dyDescent="0.25">
      <c r="A363" s="13">
        <v>46044</v>
      </c>
      <c r="B363" s="12">
        <f>MONTH(Movimientos_2026[[#This Row],[Fecha]])</f>
        <v>1</v>
      </c>
      <c r="C363" s="12" t="str">
        <f>VLOOKUP((WEEKDAY(Movimientos_2026[[#This Row],[Fecha]],2)),'5. Setup'!$D$6:$E$12,2,FALSE)</f>
        <v>Jue</v>
      </c>
      <c r="D363">
        <v>1044235</v>
      </c>
      <c r="E363" t="str">
        <f>IFERROR(+VLOOKUP(Movimientos_2026[[#This Row],[Codigo]],Plan_cuentas[],2,FALSE)," ")</f>
        <v>INGRESOS</v>
      </c>
      <c r="F363" t="str">
        <f>IFERROR(+VLOOKUP(Movimientos_2026[[#This Row],[Codigo]],Plan_cuentas[],3,FALSE)," ")</f>
        <v>Transferencia</v>
      </c>
      <c r="G363" t="str">
        <f>IFERROR(+VLOOKUP(Movimientos_2026[[#This Row],[Codigo]],Plan_cuentas[],4,FALSE)," ")</f>
        <v>Rentas</v>
      </c>
      <c r="H363" t="str">
        <f>IFERROR(+VLOOKUP(Movimientos_2026[[#This Row],[Codigo]],Plan_cuentas[],5,FALSE)," ")</f>
        <v>ENTRE RIOS 2° Q</v>
      </c>
      <c r="I363" s="43">
        <v>45992</v>
      </c>
      <c r="J363" t="s">
        <v>168</v>
      </c>
      <c r="K363" t="str">
        <f>IFERROR(+VLOOKUP(Movimientos_2026[[#This Row],[Codigo]],Plan_cuentas[],6,FALSE)," ")</f>
        <v>5 - YAM - Yamaha</v>
      </c>
      <c r="L363" s="50">
        <v>1666201.21</v>
      </c>
      <c r="M363" s="52"/>
      <c r="N363" s="20">
        <f>+Movimientos_2026[[#This Row],[Ingresos]]-Movimientos_2026[[#This Row],[Egresos]]</f>
        <v>1666201.21</v>
      </c>
      <c r="O363" s="20">
        <f>+O362+Movimientos_2026[[#This Row],[Neto]]</f>
        <v>4213420096.191473</v>
      </c>
    </row>
    <row r="364" spans="1:15" x14ac:dyDescent="0.25">
      <c r="A364" s="13">
        <v>46044</v>
      </c>
      <c r="B364" s="12">
        <f>MONTH(Movimientos_2026[[#This Row],[Fecha]])</f>
        <v>1</v>
      </c>
      <c r="C364" s="12" t="str">
        <f>VLOOKUP((WEEKDAY(Movimientos_2026[[#This Row],[Fecha]],2)),'5. Setup'!$D$6:$E$12,2,FALSE)</f>
        <v>Jue</v>
      </c>
      <c r="D364">
        <v>1044425</v>
      </c>
      <c r="E364" t="str">
        <f>IFERROR(+VLOOKUP(Movimientos_2026[[#This Row],[Codigo]],Plan_cuentas[],2,FALSE)," ")</f>
        <v>INGRESOS</v>
      </c>
      <c r="F364" t="str">
        <f>IFERROR(+VLOOKUP(Movimientos_2026[[#This Row],[Codigo]],Plan_cuentas[],3,FALSE)," ")</f>
        <v>Transferencia</v>
      </c>
      <c r="G364" t="str">
        <f>IFERROR(+VLOOKUP(Movimientos_2026[[#This Row],[Codigo]],Plan_cuentas[],4,FALSE)," ")</f>
        <v>Rentas</v>
      </c>
      <c r="H364" t="str">
        <f>IFERROR(+VLOOKUP(Movimientos_2026[[#This Row],[Codigo]],Plan_cuentas[],5,FALSE)," ")</f>
        <v>TUCUMAN</v>
      </c>
      <c r="I364" s="43">
        <v>45992</v>
      </c>
      <c r="J364" t="s">
        <v>168</v>
      </c>
      <c r="K364" t="str">
        <f>IFERROR(+VLOOKUP(Movimientos_2026[[#This Row],[Codigo]],Plan_cuentas[],6,FALSE)," ")</f>
        <v>5 - YAM - Yamaha</v>
      </c>
      <c r="L364" s="50">
        <v>2441517.9656000002</v>
      </c>
      <c r="M364" s="52"/>
      <c r="N364" s="20">
        <f>+Movimientos_2026[[#This Row],[Ingresos]]-Movimientos_2026[[#This Row],[Egresos]]</f>
        <v>2441517.9656000002</v>
      </c>
      <c r="O364" s="20">
        <f>+O363+Movimientos_2026[[#This Row],[Neto]]</f>
        <v>4215861614.157073</v>
      </c>
    </row>
    <row r="365" spans="1:15" x14ac:dyDescent="0.25">
      <c r="A365" s="13">
        <v>46044</v>
      </c>
      <c r="B365" s="12">
        <f>MONTH(Movimientos_2026[[#This Row],[Fecha]])</f>
        <v>1</v>
      </c>
      <c r="C365" s="12" t="str">
        <f>VLOOKUP((WEEKDAY(Movimientos_2026[[#This Row],[Fecha]],2)),'5. Setup'!$D$6:$E$12,2,FALSE)</f>
        <v>Jue</v>
      </c>
      <c r="D365">
        <v>1044465</v>
      </c>
      <c r="E365" t="str">
        <f>IFERROR(+VLOOKUP(Movimientos_2026[[#This Row],[Codigo]],Plan_cuentas[],2,FALSE)," ")</f>
        <v>INGRESOS</v>
      </c>
      <c r="F365" t="str">
        <f>IFERROR(+VLOOKUP(Movimientos_2026[[#This Row],[Codigo]],Plan_cuentas[],3,FALSE)," ")</f>
        <v>Transferencia</v>
      </c>
      <c r="G365" t="str">
        <f>IFERROR(+VLOOKUP(Movimientos_2026[[#This Row],[Codigo]],Plan_cuentas[],4,FALSE)," ")</f>
        <v>Rentas</v>
      </c>
      <c r="H365" t="str">
        <f>IFERROR(+VLOOKUP(Movimientos_2026[[#This Row],[Codigo]],Plan_cuentas[],5,FALSE)," ")</f>
        <v>MISIONES</v>
      </c>
      <c r="I365" s="43">
        <v>45992</v>
      </c>
      <c r="J365" t="s">
        <v>168</v>
      </c>
      <c r="K365" t="str">
        <f>IFERROR(+VLOOKUP(Movimientos_2026[[#This Row],[Codigo]],Plan_cuentas[],6,FALSE)," ")</f>
        <v>5 - YAM - Yamaha</v>
      </c>
      <c r="L365" s="50">
        <v>663941.6385</v>
      </c>
      <c r="M365" s="52"/>
      <c r="N365" s="20">
        <f>+Movimientos_2026[[#This Row],[Ingresos]]-Movimientos_2026[[#This Row],[Egresos]]</f>
        <v>663941.6385</v>
      </c>
      <c r="O365" s="20">
        <f>+O364+Movimientos_2026[[#This Row],[Neto]]</f>
        <v>4216525555.7955732</v>
      </c>
    </row>
    <row r="366" spans="1:15" x14ac:dyDescent="0.25">
      <c r="A366" s="13">
        <v>46044</v>
      </c>
      <c r="B366" s="12">
        <f>MONTH(Movimientos_2026[[#This Row],[Fecha]])</f>
        <v>1</v>
      </c>
      <c r="C366" s="12" t="str">
        <f>VLOOKUP((WEEKDAY(Movimientos_2026[[#This Row],[Fecha]],2)),'5. Setup'!$D$6:$E$12,2,FALSE)</f>
        <v>Jue</v>
      </c>
      <c r="D366">
        <v>1044325</v>
      </c>
      <c r="E366" t="str">
        <f>IFERROR(+VLOOKUP(Movimientos_2026[[#This Row],[Codigo]],Plan_cuentas[],2,FALSE)," ")</f>
        <v>INGRESOS</v>
      </c>
      <c r="F366" t="str">
        <f>IFERROR(+VLOOKUP(Movimientos_2026[[#This Row],[Codigo]],Plan_cuentas[],3,FALSE)," ")</f>
        <v>Transferencia</v>
      </c>
      <c r="G366" t="str">
        <f>IFERROR(+VLOOKUP(Movimientos_2026[[#This Row],[Codigo]],Plan_cuentas[],4,FALSE)," ")</f>
        <v>Rentas</v>
      </c>
      <c r="H366" t="str">
        <f>IFERROR(+VLOOKUP(Movimientos_2026[[#This Row],[Codigo]],Plan_cuentas[],5,FALSE)," ")</f>
        <v>NEUQUEN 2° Q</v>
      </c>
      <c r="I366" s="43">
        <v>45992</v>
      </c>
      <c r="J366" t="s">
        <v>168</v>
      </c>
      <c r="K366" t="str">
        <f>IFERROR(+VLOOKUP(Movimientos_2026[[#This Row],[Codigo]],Plan_cuentas[],6,FALSE)," ")</f>
        <v>5 - YAM - Yamaha</v>
      </c>
      <c r="L366" s="50">
        <v>590044.4</v>
      </c>
      <c r="M366" s="52"/>
      <c r="N366" s="20">
        <f>+Movimientos_2026[[#This Row],[Ingresos]]-Movimientos_2026[[#This Row],[Egresos]]</f>
        <v>590044.4</v>
      </c>
      <c r="O366" s="20">
        <f>+O365+Movimientos_2026[[#This Row],[Neto]]</f>
        <v>4217115600.1955733</v>
      </c>
    </row>
    <row r="367" spans="1:15" x14ac:dyDescent="0.25">
      <c r="A367" s="13">
        <v>46044</v>
      </c>
      <c r="B367" s="12">
        <f>MONTH(Movimientos_2026[[#This Row],[Fecha]])</f>
        <v>1</v>
      </c>
      <c r="C367" s="12" t="str">
        <f>VLOOKUP((WEEKDAY(Movimientos_2026[[#This Row],[Fecha]],2)),'5. Setup'!$D$6:$E$12,2,FALSE)</f>
        <v>Jue</v>
      </c>
      <c r="D367">
        <v>1044165</v>
      </c>
      <c r="E367" t="str">
        <f>IFERROR(+VLOOKUP(Movimientos_2026[[#This Row],[Codigo]],Plan_cuentas[],2,FALSE)," ")</f>
        <v>INGRESOS</v>
      </c>
      <c r="F367" t="str">
        <f>IFERROR(+VLOOKUP(Movimientos_2026[[#This Row],[Codigo]],Plan_cuentas[],3,FALSE)," ")</f>
        <v>Transferencia</v>
      </c>
      <c r="G367" t="str">
        <f>IFERROR(+VLOOKUP(Movimientos_2026[[#This Row],[Codigo]],Plan_cuentas[],4,FALSE)," ")</f>
        <v>Rentas</v>
      </c>
      <c r="H367" t="str">
        <f>IFERROR(+VLOOKUP(Movimientos_2026[[#This Row],[Codigo]],Plan_cuentas[],5,FALSE)," ")</f>
        <v>CHACO</v>
      </c>
      <c r="I367" s="43">
        <v>45992</v>
      </c>
      <c r="J367" t="s">
        <v>168</v>
      </c>
      <c r="K367" t="str">
        <f>IFERROR(+VLOOKUP(Movimientos_2026[[#This Row],[Codigo]],Plan_cuentas[],6,FALSE)," ")</f>
        <v>5 - YAM - Yamaha</v>
      </c>
      <c r="L367" s="50">
        <v>1454447.79</v>
      </c>
      <c r="M367" s="52"/>
      <c r="N367" s="20">
        <f>+Movimientos_2026[[#This Row],[Ingresos]]-Movimientos_2026[[#This Row],[Egresos]]</f>
        <v>1454447.79</v>
      </c>
      <c r="O367" s="20">
        <f>+O366+Movimientos_2026[[#This Row],[Neto]]</f>
        <v>4218570047.9855733</v>
      </c>
    </row>
    <row r="368" spans="1:15" x14ac:dyDescent="0.25">
      <c r="A368" s="13">
        <v>46044</v>
      </c>
      <c r="B368" s="12">
        <f>MONTH(Movimientos_2026[[#This Row],[Fecha]])</f>
        <v>1</v>
      </c>
      <c r="C368" s="12" t="str">
        <f>VLOOKUP((WEEKDAY(Movimientos_2026[[#This Row],[Fecha]],2)),'5. Setup'!$D$6:$E$12,2,FALSE)</f>
        <v>Jue</v>
      </c>
      <c r="D368">
        <v>1044495</v>
      </c>
      <c r="E368" t="str">
        <f>IFERROR(+VLOOKUP(Movimientos_2026[[#This Row],[Codigo]],Plan_cuentas[],2,FALSE)," ")</f>
        <v>INGRESOS</v>
      </c>
      <c r="F368" t="str">
        <f>IFERROR(+VLOOKUP(Movimientos_2026[[#This Row],[Codigo]],Plan_cuentas[],3,FALSE)," ")</f>
        <v>Transferencia</v>
      </c>
      <c r="G368" t="str">
        <f>IFERROR(+VLOOKUP(Movimientos_2026[[#This Row],[Codigo]],Plan_cuentas[],4,FALSE)," ")</f>
        <v>Rentas</v>
      </c>
      <c r="H368" t="str">
        <f>IFERROR(+VLOOKUP(Movimientos_2026[[#This Row],[Codigo]],Plan_cuentas[],5,FALSE)," ")</f>
        <v>JUJUY</v>
      </c>
      <c r="I368" s="43">
        <v>45992</v>
      </c>
      <c r="J368" t="s">
        <v>168</v>
      </c>
      <c r="K368" t="str">
        <f>IFERROR(+VLOOKUP(Movimientos_2026[[#This Row],[Codigo]],Plan_cuentas[],6,FALSE)," ")</f>
        <v>5 - YAM - Yamaha</v>
      </c>
      <c r="L368" s="50">
        <v>977588.04</v>
      </c>
      <c r="M368" s="52"/>
      <c r="N368" s="20">
        <f>+Movimientos_2026[[#This Row],[Ingresos]]-Movimientos_2026[[#This Row],[Egresos]]</f>
        <v>977588.04</v>
      </c>
      <c r="O368" s="20">
        <f>+O367+Movimientos_2026[[#This Row],[Neto]]</f>
        <v>4219547636.0255733</v>
      </c>
    </row>
    <row r="369" spans="1:15" x14ac:dyDescent="0.25">
      <c r="A369" s="13">
        <v>46044</v>
      </c>
      <c r="B369" s="12">
        <f>MONTH(Movimientos_2026[[#This Row],[Fecha]])</f>
        <v>1</v>
      </c>
      <c r="C369" s="12" t="str">
        <f>VLOOKUP((WEEKDAY(Movimientos_2026[[#This Row],[Fecha]],2)),'5. Setup'!$D$6:$E$12,2,FALSE)</f>
        <v>Jue</v>
      </c>
      <c r="D369">
        <v>1044275</v>
      </c>
      <c r="E369" t="str">
        <f>IFERROR(+VLOOKUP(Movimientos_2026[[#This Row],[Codigo]],Plan_cuentas[],2,FALSE)," ")</f>
        <v>INGRESOS</v>
      </c>
      <c r="F369" t="str">
        <f>IFERROR(+VLOOKUP(Movimientos_2026[[#This Row],[Codigo]],Plan_cuentas[],3,FALSE)," ")</f>
        <v>Transferencia</v>
      </c>
      <c r="G369" t="str">
        <f>IFERROR(+VLOOKUP(Movimientos_2026[[#This Row],[Codigo]],Plan_cuentas[],4,FALSE)," ")</f>
        <v>Rentas</v>
      </c>
      <c r="H369" t="str">
        <f>IFERROR(+VLOOKUP(Movimientos_2026[[#This Row],[Codigo]],Plan_cuentas[],5,FALSE)," ")</f>
        <v>LA RIOJA</v>
      </c>
      <c r="I369" s="43">
        <v>45992</v>
      </c>
      <c r="J369" t="s">
        <v>168</v>
      </c>
      <c r="K369" t="str">
        <f>IFERROR(+VLOOKUP(Movimientos_2026[[#This Row],[Codigo]],Plan_cuentas[],6,FALSE)," ")</f>
        <v>5 - YAM - Yamaha</v>
      </c>
      <c r="L369" s="50">
        <v>1055349.44</v>
      </c>
      <c r="M369" s="52"/>
      <c r="N369" s="20">
        <f>+Movimientos_2026[[#This Row],[Ingresos]]-Movimientos_2026[[#This Row],[Egresos]]</f>
        <v>1055349.44</v>
      </c>
      <c r="O369" s="20">
        <f>+O368+Movimientos_2026[[#This Row],[Neto]]</f>
        <v>4220602985.4655733</v>
      </c>
    </row>
    <row r="370" spans="1:15" x14ac:dyDescent="0.25">
      <c r="A370" s="13">
        <v>46044</v>
      </c>
      <c r="B370" s="12">
        <f>MONTH(Movimientos_2026[[#This Row],[Fecha]])</f>
        <v>1</v>
      </c>
      <c r="C370" s="12" t="str">
        <f>VLOOKUP((WEEKDAY(Movimientos_2026[[#This Row],[Fecha]],2)),'5. Setup'!$D$6:$E$12,2,FALSE)</f>
        <v>Jue</v>
      </c>
      <c r="D370">
        <v>1044285</v>
      </c>
      <c r="E370" t="str">
        <f>IFERROR(+VLOOKUP(Movimientos_2026[[#This Row],[Codigo]],Plan_cuentas[],2,FALSE)," ")</f>
        <v>INGRESOS</v>
      </c>
      <c r="F370" t="str">
        <f>IFERROR(+VLOOKUP(Movimientos_2026[[#This Row],[Codigo]],Plan_cuentas[],3,FALSE)," ")</f>
        <v>Transferencia</v>
      </c>
      <c r="G370" t="str">
        <f>IFERROR(+VLOOKUP(Movimientos_2026[[#This Row],[Codigo]],Plan_cuentas[],4,FALSE)," ")</f>
        <v>Rentas</v>
      </c>
      <c r="H370" t="str">
        <f>IFERROR(+VLOOKUP(Movimientos_2026[[#This Row],[Codigo]],Plan_cuentas[],5,FALSE)," ")</f>
        <v>MENDOZA</v>
      </c>
      <c r="I370" s="43">
        <v>45992</v>
      </c>
      <c r="J370" t="s">
        <v>168</v>
      </c>
      <c r="K370" t="str">
        <f>IFERROR(+VLOOKUP(Movimientos_2026[[#This Row],[Codigo]],Plan_cuentas[],6,FALSE)," ")</f>
        <v>5 - YAM - Yamaha</v>
      </c>
      <c r="L370" s="50">
        <v>928150</v>
      </c>
      <c r="M370" s="52"/>
      <c r="N370" s="20">
        <f>+Movimientos_2026[[#This Row],[Ingresos]]-Movimientos_2026[[#This Row],[Egresos]]</f>
        <v>928150</v>
      </c>
      <c r="O370" s="20">
        <f>+O369+Movimientos_2026[[#This Row],[Neto]]</f>
        <v>4221531135.4655733</v>
      </c>
    </row>
    <row r="371" spans="1:15" x14ac:dyDescent="0.25">
      <c r="A371" s="13">
        <v>46044</v>
      </c>
      <c r="B371" s="12">
        <f>MONTH(Movimientos_2026[[#This Row],[Fecha]])</f>
        <v>1</v>
      </c>
      <c r="C371" s="12" t="str">
        <f>VLOOKUP((WEEKDAY(Movimientos_2026[[#This Row],[Fecha]],2)),'5. Setup'!$D$6:$E$12,2,FALSE)</f>
        <v>Jue</v>
      </c>
      <c r="D371">
        <v>1044485</v>
      </c>
      <c r="E371" t="str">
        <f>IFERROR(+VLOOKUP(Movimientos_2026[[#This Row],[Codigo]],Plan_cuentas[],2,FALSE)," ")</f>
        <v>INGRESOS</v>
      </c>
      <c r="F371" t="str">
        <f>IFERROR(+VLOOKUP(Movimientos_2026[[#This Row],[Codigo]],Plan_cuentas[],3,FALSE)," ")</f>
        <v>Transferencia</v>
      </c>
      <c r="G371" t="str">
        <f>IFERROR(+VLOOKUP(Movimientos_2026[[#This Row],[Codigo]],Plan_cuentas[],4,FALSE)," ")</f>
        <v>Factura</v>
      </c>
      <c r="H371" t="str">
        <f>IFERROR(+VLOOKUP(Movimientos_2026[[#This Row],[Codigo]],Plan_cuentas[],5,FALSE)," ")</f>
        <v>FC TRAMITACION</v>
      </c>
      <c r="I371" s="43">
        <v>45962</v>
      </c>
      <c r="J371" t="s">
        <v>169</v>
      </c>
      <c r="K371" t="str">
        <f>IFERROR(+VLOOKUP(Movimientos_2026[[#This Row],[Codigo]],Plan_cuentas[],6,FALSE)," ")</f>
        <v>5 - YAM - Yamaha</v>
      </c>
      <c r="L371" s="50">
        <v>3177792</v>
      </c>
      <c r="M371" s="52"/>
      <c r="N371" s="20">
        <f>+Movimientos_2026[[#This Row],[Ingresos]]-Movimientos_2026[[#This Row],[Egresos]]</f>
        <v>3177792</v>
      </c>
      <c r="O371" s="20">
        <f>+O370+Movimientos_2026[[#This Row],[Neto]]</f>
        <v>4224708927.4655733</v>
      </c>
    </row>
    <row r="372" spans="1:15" x14ac:dyDescent="0.25">
      <c r="A372" s="13">
        <v>46045</v>
      </c>
      <c r="B372" s="12">
        <f>MONTH(Movimientos_2026[[#This Row],[Fecha]])</f>
        <v>1</v>
      </c>
      <c r="C372" s="12" t="str">
        <f>VLOOKUP((WEEKDAY(Movimientos_2026[[#This Row],[Fecha]],2)),'5. Setup'!$D$6:$E$12,2,FALSE)</f>
        <v>Vie</v>
      </c>
      <c r="D372">
        <v>2014261</v>
      </c>
      <c r="E372" t="str">
        <f>IFERROR(+VLOOKUP(Movimientos_2026[[#This Row],[Codigo]],Plan_cuentas[],2,FALSE)," ")</f>
        <v>EGRESOS</v>
      </c>
      <c r="F372" t="str">
        <f>IFERROR(+VLOOKUP(Movimientos_2026[[#This Row],[Codigo]],Plan_cuentas[],3,FALSE)," ")</f>
        <v>BtoB</v>
      </c>
      <c r="G372" t="str">
        <f>IFERROR(+VLOOKUP(Movimientos_2026[[#This Row],[Codigo]],Plan_cuentas[],4,FALSE)," ")</f>
        <v>Rentas</v>
      </c>
      <c r="H372" t="str">
        <f>IFERROR(+VLOOKUP(Movimientos_2026[[#This Row],[Codigo]],Plan_cuentas[],5,FALSE)," ")</f>
        <v>LA PAMPA</v>
      </c>
      <c r="I372" s="43">
        <v>45992</v>
      </c>
      <c r="J372" s="53" t="s">
        <v>170</v>
      </c>
      <c r="K372" t="str">
        <f>IFERROR(+VLOOKUP(Movimientos_2026[[#This Row],[Codigo]],Plan_cuentas[],6,FALSE)," ")</f>
        <v>1 - VW - Volkswagen</v>
      </c>
      <c r="L372" s="51"/>
      <c r="M372" s="52">
        <v>4071478.97</v>
      </c>
      <c r="N372" s="20">
        <f>+Movimientos_2026[[#This Row],[Ingresos]]-Movimientos_2026[[#This Row],[Egresos]]</f>
        <v>-4071478.97</v>
      </c>
      <c r="O372" s="20">
        <f>+O371+Movimientos_2026[[#This Row],[Neto]]</f>
        <v>4220637448.4955735</v>
      </c>
    </row>
    <row r="373" spans="1:15" x14ac:dyDescent="0.25">
      <c r="A373" s="13">
        <v>46045</v>
      </c>
      <c r="B373" s="12">
        <f>MONTH(Movimientos_2026[[#This Row],[Fecha]])</f>
        <v>1</v>
      </c>
      <c r="C373" s="12" t="str">
        <f>VLOOKUP((WEEKDAY(Movimientos_2026[[#This Row],[Fecha]],2)),'5. Setup'!$D$6:$E$12,2,FALSE)</f>
        <v>Vie</v>
      </c>
      <c r="D373">
        <v>2054381</v>
      </c>
      <c r="E373" t="str">
        <f>IFERROR(+VLOOKUP(Movimientos_2026[[#This Row],[Codigo]],Plan_cuentas[],2,FALSE)," ")</f>
        <v>EGRESOS</v>
      </c>
      <c r="F373" t="str">
        <f>IFERROR(+VLOOKUP(Movimientos_2026[[#This Row],[Codigo]],Plan_cuentas[],3,FALSE)," ")</f>
        <v>VEP</v>
      </c>
      <c r="G373" t="str">
        <f>IFERROR(+VLOOKUP(Movimientos_2026[[#This Row],[Codigo]],Plan_cuentas[],4,FALSE)," ")</f>
        <v>Rentas</v>
      </c>
      <c r="H373" t="str">
        <f>IFERROR(+VLOOKUP(Movimientos_2026[[#This Row],[Codigo]],Plan_cuentas[],5,FALSE)," ")</f>
        <v>SANTA FE 1° Q</v>
      </c>
      <c r="I373" s="43">
        <v>46023</v>
      </c>
      <c r="J373" t="s">
        <v>171</v>
      </c>
      <c r="K373" t="str">
        <f>IFERROR(+VLOOKUP(Movimientos_2026[[#This Row],[Codigo]],Plan_cuentas[],6,FALSE)," ")</f>
        <v>1 - VW - Volkswagen</v>
      </c>
      <c r="L373" s="51"/>
      <c r="M373" s="52">
        <v>11064851.529999999</v>
      </c>
      <c r="N373" s="20">
        <f>+Movimientos_2026[[#This Row],[Ingresos]]-Movimientos_2026[[#This Row],[Egresos]]</f>
        <v>-11064851.529999999</v>
      </c>
      <c r="O373" s="20">
        <f>+O372+Movimientos_2026[[#This Row],[Neto]]</f>
        <v>4209572596.9655733</v>
      </c>
    </row>
    <row r="374" spans="1:15" x14ac:dyDescent="0.25">
      <c r="A374" s="13">
        <v>46045</v>
      </c>
      <c r="B374" s="12">
        <f>MONTH(Movimientos_2026[[#This Row],[Fecha]])</f>
        <v>1</v>
      </c>
      <c r="C374" s="12" t="str">
        <f>VLOOKUP((WEEKDAY(Movimientos_2026[[#This Row],[Fecha]],2)),'5. Setup'!$D$6:$E$12,2,FALSE)</f>
        <v>Vie</v>
      </c>
      <c r="D374">
        <v>2054311</v>
      </c>
      <c r="E374" t="str">
        <f>IFERROR(+VLOOKUP(Movimientos_2026[[#This Row],[Codigo]],Plan_cuentas[],2,FALSE)," ")</f>
        <v>EGRESOS</v>
      </c>
      <c r="F374" t="str">
        <f>IFERROR(+VLOOKUP(Movimientos_2026[[#This Row],[Codigo]],Plan_cuentas[],3,FALSE)," ")</f>
        <v>VEP</v>
      </c>
      <c r="G374" t="str">
        <f>IFERROR(+VLOOKUP(Movimientos_2026[[#This Row],[Codigo]],Plan_cuentas[],4,FALSE)," ")</f>
        <v>Rentas</v>
      </c>
      <c r="H374" t="str">
        <f>IFERROR(+VLOOKUP(Movimientos_2026[[#This Row],[Codigo]],Plan_cuentas[],5,FALSE)," ")</f>
        <v>NEUQUEN 1° Q</v>
      </c>
      <c r="I374" s="43">
        <v>46023</v>
      </c>
      <c r="J374" t="s">
        <v>172</v>
      </c>
      <c r="K374" t="str">
        <f>IFERROR(+VLOOKUP(Movimientos_2026[[#This Row],[Codigo]],Plan_cuentas[],6,FALSE)," ")</f>
        <v>1 - VW - Volkswagen</v>
      </c>
      <c r="L374" s="51"/>
      <c r="M374" s="52">
        <v>29986834.140000001</v>
      </c>
      <c r="N374" s="20">
        <f>+Movimientos_2026[[#This Row],[Ingresos]]-Movimientos_2026[[#This Row],[Egresos]]</f>
        <v>-29986834.140000001</v>
      </c>
      <c r="O374" s="20">
        <f>+O373+Movimientos_2026[[#This Row],[Neto]]</f>
        <v>4179585762.8255734</v>
      </c>
    </row>
    <row r="375" spans="1:15" x14ac:dyDescent="0.25">
      <c r="A375" s="13">
        <v>46045</v>
      </c>
      <c r="B375" s="12">
        <f>MONTH(Movimientos_2026[[#This Row],[Fecha]])</f>
        <v>1</v>
      </c>
      <c r="C375" s="12" t="str">
        <f>VLOOKUP((WEEKDAY(Movimientos_2026[[#This Row],[Fecha]],2)),'5. Setup'!$D$6:$E$12,2,FALSE)</f>
        <v>Vie</v>
      </c>
      <c r="D375">
        <v>2014201</v>
      </c>
      <c r="E375" t="str">
        <f>IFERROR(+VLOOKUP(Movimientos_2026[[#This Row],[Codigo]],Plan_cuentas[],2,FALSE)," ")</f>
        <v>EGRESOS</v>
      </c>
      <c r="F375" t="str">
        <f>IFERROR(+VLOOKUP(Movimientos_2026[[#This Row],[Codigo]],Plan_cuentas[],3,FALSE)," ")</f>
        <v>BtoB</v>
      </c>
      <c r="G375" t="str">
        <f>IFERROR(+VLOOKUP(Movimientos_2026[[#This Row],[Codigo]],Plan_cuentas[],4,FALSE)," ")</f>
        <v>Rentas</v>
      </c>
      <c r="H375" t="str">
        <f>IFERROR(+VLOOKUP(Movimientos_2026[[#This Row],[Codigo]],Plan_cuentas[],5,FALSE)," ")</f>
        <v>CORRIENTES 1° Q</v>
      </c>
      <c r="I375" s="43">
        <v>46023</v>
      </c>
      <c r="J375" t="s">
        <v>173</v>
      </c>
      <c r="K375" t="str">
        <f>IFERROR(+VLOOKUP(Movimientos_2026[[#This Row],[Codigo]],Plan_cuentas[],6,FALSE)," ")</f>
        <v>1 - VW - Volkswagen</v>
      </c>
      <c r="L375" s="51"/>
      <c r="M375" s="52">
        <v>11573382.77</v>
      </c>
      <c r="N375" s="20">
        <f>+Movimientos_2026[[#This Row],[Ingresos]]-Movimientos_2026[[#This Row],[Egresos]]</f>
        <v>-11573382.77</v>
      </c>
      <c r="O375" s="20">
        <f>+O374+Movimientos_2026[[#This Row],[Neto]]</f>
        <v>4168012380.0555735</v>
      </c>
    </row>
    <row r="376" spans="1:15" x14ac:dyDescent="0.25">
      <c r="A376" s="13">
        <v>46048</v>
      </c>
      <c r="B376" s="12">
        <f>MONTH(Movimientos_2026[[#This Row],[Fecha]])</f>
        <v>1</v>
      </c>
      <c r="C376" s="12" t="str">
        <f>VLOOKUP((WEEKDAY(Movimientos_2026[[#This Row],[Fecha]],2)),'5. Setup'!$D$6:$E$12,2,FALSE)</f>
        <v>Lun</v>
      </c>
      <c r="D376">
        <v>2044461</v>
      </c>
      <c r="E376" t="str">
        <f>IFERROR(+VLOOKUP(Movimientos_2026[[#This Row],[Codigo]],Plan_cuentas[],2,FALSE)," ")</f>
        <v>EGRESOS</v>
      </c>
      <c r="F376" t="str">
        <f>IFERROR(+VLOOKUP(Movimientos_2026[[#This Row],[Codigo]],Plan_cuentas[],3,FALSE)," ")</f>
        <v>Transferencia</v>
      </c>
      <c r="G376" t="str">
        <f>IFERROR(+VLOOKUP(Movimientos_2026[[#This Row],[Codigo]],Plan_cuentas[],4,FALSE)," ")</f>
        <v>Rentas</v>
      </c>
      <c r="H376" t="str">
        <f>IFERROR(+VLOOKUP(Movimientos_2026[[#This Row],[Codigo]],Plan_cuentas[],5,FALSE)," ")</f>
        <v>MISIONES</v>
      </c>
      <c r="I376" s="43">
        <v>45992</v>
      </c>
      <c r="J376" t="s">
        <v>174</v>
      </c>
      <c r="K376" t="str">
        <f>IFERROR(+VLOOKUP(Movimientos_2026[[#This Row],[Codigo]],Plan_cuentas[],6,FALSE)," ")</f>
        <v>1 - VW - Volkswagen</v>
      </c>
      <c r="L376" s="51"/>
      <c r="M376" s="52">
        <v>128088.61</v>
      </c>
      <c r="N376" s="20">
        <f>+Movimientos_2026[[#This Row],[Ingresos]]-Movimientos_2026[[#This Row],[Egresos]]</f>
        <v>-128088.61</v>
      </c>
      <c r="O376" s="20">
        <f>+O375+Movimientos_2026[[#This Row],[Neto]]</f>
        <v>4167884291.4455733</v>
      </c>
    </row>
    <row r="377" spans="1:15" x14ac:dyDescent="0.25">
      <c r="A377" s="13">
        <v>46048</v>
      </c>
      <c r="B377" s="12">
        <f>MONTH(Movimientos_2026[[#This Row],[Fecha]])</f>
        <v>1</v>
      </c>
      <c r="C377" s="12" t="str">
        <f>VLOOKUP((WEEKDAY(Movimientos_2026[[#This Row],[Fecha]],2)),'5. Setup'!$D$6:$E$12,2,FALSE)</f>
        <v>Lun</v>
      </c>
      <c r="D377">
        <v>2044121</v>
      </c>
      <c r="E377" t="str">
        <f>IFERROR(+VLOOKUP(Movimientos_2026[[#This Row],[Codigo]],Plan_cuentas[],2,FALSE)," ")</f>
        <v>EGRESOS</v>
      </c>
      <c r="F377" t="str">
        <f>IFERROR(+VLOOKUP(Movimientos_2026[[#This Row],[Codigo]],Plan_cuentas[],3,FALSE)," ")</f>
        <v>Transferencia</v>
      </c>
      <c r="G377" t="str">
        <f>IFERROR(+VLOOKUP(Movimientos_2026[[#This Row],[Codigo]],Plan_cuentas[],4,FALSE)," ")</f>
        <v>Rentas</v>
      </c>
      <c r="H377" t="str">
        <f>IFERROR(+VLOOKUP(Movimientos_2026[[#This Row],[Codigo]],Plan_cuentas[],5,FALSE)," ")</f>
        <v>BAPRO</v>
      </c>
      <c r="I377" s="43">
        <v>45839</v>
      </c>
      <c r="J377" t="s">
        <v>175</v>
      </c>
      <c r="K377" t="str">
        <f>IFERROR(+VLOOKUP(Movimientos_2026[[#This Row],[Codigo]],Plan_cuentas[],6,FALSE)," ")</f>
        <v>1 - VW - Volkswagen</v>
      </c>
      <c r="L377" s="50"/>
      <c r="M377" s="52">
        <v>8869946.5</v>
      </c>
      <c r="N377" s="20">
        <f>+Movimientos_2026[[#This Row],[Ingresos]]-Movimientos_2026[[#This Row],[Egresos]]</f>
        <v>-8869946.5</v>
      </c>
      <c r="O377" s="20">
        <f>+O376+Movimientos_2026[[#This Row],[Neto]]</f>
        <v>4159014344.9455733</v>
      </c>
    </row>
    <row r="378" spans="1:15" x14ac:dyDescent="0.25">
      <c r="A378" s="13">
        <v>46049</v>
      </c>
      <c r="B378" s="12">
        <f>MONTH(Movimientos_2026[[#This Row],[Fecha]])</f>
        <v>1</v>
      </c>
      <c r="C378" s="12" t="str">
        <f>VLOOKUP((WEEKDAY(Movimientos_2026[[#This Row],[Fecha]],2)),'5. Setup'!$D$6:$E$12,2,FALSE)</f>
        <v>Mar</v>
      </c>
      <c r="D378">
        <v>2044121</v>
      </c>
      <c r="E378" t="str">
        <f>IFERROR(+VLOOKUP(Movimientos_2026[[#This Row],[Codigo]],Plan_cuentas[],2,FALSE)," ")</f>
        <v>EGRESOS</v>
      </c>
      <c r="F378" t="str">
        <f>IFERROR(+VLOOKUP(Movimientos_2026[[#This Row],[Codigo]],Plan_cuentas[],3,FALSE)," ")</f>
        <v>Transferencia</v>
      </c>
      <c r="G378" t="str">
        <f>IFERROR(+VLOOKUP(Movimientos_2026[[#This Row],[Codigo]],Plan_cuentas[],4,FALSE)," ")</f>
        <v>Rentas</v>
      </c>
      <c r="H378" t="str">
        <f>IFERROR(+VLOOKUP(Movimientos_2026[[#This Row],[Codigo]],Plan_cuentas[],5,FALSE)," ")</f>
        <v>BAPRO</v>
      </c>
      <c r="I378" s="43">
        <v>45870</v>
      </c>
      <c r="J378" t="s">
        <v>176</v>
      </c>
      <c r="K378" t="str">
        <f>IFERROR(+VLOOKUP(Movimientos_2026[[#This Row],[Codigo]],Plan_cuentas[],6,FALSE)," ")</f>
        <v>1 - VW - Volkswagen</v>
      </c>
      <c r="L378" s="50"/>
      <c r="M378" s="52">
        <v>2290954.7999999998</v>
      </c>
      <c r="N378" s="20">
        <f>+Movimientos_2026[[#This Row],[Ingresos]]-Movimientos_2026[[#This Row],[Egresos]]</f>
        <v>-2290954.7999999998</v>
      </c>
      <c r="O378" s="20">
        <f>+O377+Movimientos_2026[[#This Row],[Neto]]</f>
        <v>4156723390.1455731</v>
      </c>
    </row>
    <row r="379" spans="1:15" x14ac:dyDescent="0.25">
      <c r="A379" s="13">
        <v>46049</v>
      </c>
      <c r="B379" s="12">
        <f>MONTH(Movimientos_2026[[#This Row],[Fecha]])</f>
        <v>1</v>
      </c>
      <c r="C379" s="12" t="str">
        <f>VLOOKUP((WEEKDAY(Movimientos_2026[[#This Row],[Fecha]],2)),'5. Setup'!$D$6:$E$12,2,FALSE)</f>
        <v>Mar</v>
      </c>
      <c r="D379">
        <v>2044121</v>
      </c>
      <c r="E379" t="str">
        <f>IFERROR(+VLOOKUP(Movimientos_2026[[#This Row],[Codigo]],Plan_cuentas[],2,FALSE)," ")</f>
        <v>EGRESOS</v>
      </c>
      <c r="F379" t="str">
        <f>IFERROR(+VLOOKUP(Movimientos_2026[[#This Row],[Codigo]],Plan_cuentas[],3,FALSE)," ")</f>
        <v>Transferencia</v>
      </c>
      <c r="G379" t="str">
        <f>IFERROR(+VLOOKUP(Movimientos_2026[[#This Row],[Codigo]],Plan_cuentas[],4,FALSE)," ")</f>
        <v>Rentas</v>
      </c>
      <c r="H379" t="str">
        <f>IFERROR(+VLOOKUP(Movimientos_2026[[#This Row],[Codigo]],Plan_cuentas[],5,FALSE)," ")</f>
        <v>BAPRO</v>
      </c>
      <c r="I379" s="43">
        <v>45901</v>
      </c>
      <c r="J379" t="s">
        <v>177</v>
      </c>
      <c r="K379" t="str">
        <f>IFERROR(+VLOOKUP(Movimientos_2026[[#This Row],[Codigo]],Plan_cuentas[],6,FALSE)," ")</f>
        <v>1 - VW - Volkswagen</v>
      </c>
      <c r="L379" s="50"/>
      <c r="M379" s="52">
        <v>551878.80000000005</v>
      </c>
      <c r="N379" s="20">
        <f>+Movimientos_2026[[#This Row],[Ingresos]]-Movimientos_2026[[#This Row],[Egresos]]</f>
        <v>-551878.80000000005</v>
      </c>
      <c r="O379" s="20">
        <f>+O378+Movimientos_2026[[#This Row],[Neto]]</f>
        <v>4156171511.3455729</v>
      </c>
    </row>
    <row r="380" spans="1:15" x14ac:dyDescent="0.25">
      <c r="A380" s="13">
        <v>46049</v>
      </c>
      <c r="B380" s="12">
        <f>MONTH(Movimientos_2026[[#This Row],[Fecha]])</f>
        <v>1</v>
      </c>
      <c r="C380" s="12" t="str">
        <f>VLOOKUP((WEEKDAY(Movimientos_2026[[#This Row],[Fecha]],2)),'5. Setup'!$D$6:$E$12,2,FALSE)</f>
        <v>Mar</v>
      </c>
      <c r="D380">
        <v>2044121</v>
      </c>
      <c r="E380" t="str">
        <f>IFERROR(+VLOOKUP(Movimientos_2026[[#This Row],[Codigo]],Plan_cuentas[],2,FALSE)," ")</f>
        <v>EGRESOS</v>
      </c>
      <c r="F380" t="str">
        <f>IFERROR(+VLOOKUP(Movimientos_2026[[#This Row],[Codigo]],Plan_cuentas[],3,FALSE)," ")</f>
        <v>Transferencia</v>
      </c>
      <c r="G380" t="str">
        <f>IFERROR(+VLOOKUP(Movimientos_2026[[#This Row],[Codigo]],Plan_cuentas[],4,FALSE)," ")</f>
        <v>Rentas</v>
      </c>
      <c r="H380" t="str">
        <f>IFERROR(+VLOOKUP(Movimientos_2026[[#This Row],[Codigo]],Plan_cuentas[],5,FALSE)," ")</f>
        <v>BAPRO</v>
      </c>
      <c r="I380" s="43">
        <v>45931</v>
      </c>
      <c r="J380" t="s">
        <v>178</v>
      </c>
      <c r="K380" t="str">
        <f>IFERROR(+VLOOKUP(Movimientos_2026[[#This Row],[Codigo]],Plan_cuentas[],6,FALSE)," ")</f>
        <v>1 - VW - Volkswagen</v>
      </c>
      <c r="L380" s="50"/>
      <c r="M380" s="52">
        <v>1003546.1</v>
      </c>
      <c r="N380" s="20">
        <f>+Movimientos_2026[[#This Row],[Ingresos]]-Movimientos_2026[[#This Row],[Egresos]]</f>
        <v>-1003546.1</v>
      </c>
      <c r="O380" s="20">
        <f>+O379+Movimientos_2026[[#This Row],[Neto]]</f>
        <v>4155167965.245573</v>
      </c>
    </row>
    <row r="381" spans="1:15" x14ac:dyDescent="0.25">
      <c r="A381" s="13">
        <v>46049</v>
      </c>
      <c r="B381" s="12">
        <f>MONTH(Movimientos_2026[[#This Row],[Fecha]])</f>
        <v>1</v>
      </c>
      <c r="C381" s="12" t="str">
        <f>VLOOKUP((WEEKDAY(Movimientos_2026[[#This Row],[Fecha]],2)),'5. Setup'!$D$6:$E$12,2,FALSE)</f>
        <v>Mar</v>
      </c>
      <c r="D381">
        <v>2054311</v>
      </c>
      <c r="E381" t="str">
        <f>IFERROR(+VLOOKUP(Movimientos_2026[[#This Row],[Codigo]],Plan_cuentas[],2,FALSE)," ")</f>
        <v>EGRESOS</v>
      </c>
      <c r="F381" t="str">
        <f>IFERROR(+VLOOKUP(Movimientos_2026[[#This Row],[Codigo]],Plan_cuentas[],3,FALSE)," ")</f>
        <v>VEP</v>
      </c>
      <c r="G381" t="str">
        <f>IFERROR(+VLOOKUP(Movimientos_2026[[#This Row],[Codigo]],Plan_cuentas[],4,FALSE)," ")</f>
        <v>Rentas</v>
      </c>
      <c r="H381" t="str">
        <f>IFERROR(+VLOOKUP(Movimientos_2026[[#This Row],[Codigo]],Plan_cuentas[],5,FALSE)," ")</f>
        <v>NEUQUEN 1° Q</v>
      </c>
      <c r="I381" s="43">
        <v>45717</v>
      </c>
      <c r="J381" t="s">
        <v>179</v>
      </c>
      <c r="K381" t="str">
        <f>IFERROR(+VLOOKUP(Movimientos_2026[[#This Row],[Codigo]],Plan_cuentas[],6,FALSE)," ")</f>
        <v>1 - VW - Volkswagen</v>
      </c>
      <c r="L381" s="50"/>
      <c r="M381" s="52">
        <v>20514895.91</v>
      </c>
      <c r="N381" s="20">
        <f>+Movimientos_2026[[#This Row],[Ingresos]]-Movimientos_2026[[#This Row],[Egresos]]</f>
        <v>-20514895.91</v>
      </c>
      <c r="O381" s="20">
        <f>+O380+Movimientos_2026[[#This Row],[Neto]]</f>
        <v>4134653069.3355732</v>
      </c>
    </row>
    <row r="382" spans="1:15" x14ac:dyDescent="0.25">
      <c r="A382" s="13">
        <v>46049</v>
      </c>
      <c r="B382" s="12">
        <f>MONTH(Movimientos_2026[[#This Row],[Fecha]])</f>
        <v>1</v>
      </c>
      <c r="C382" s="12" t="str">
        <f>VLOOKUP((WEEKDAY(Movimientos_2026[[#This Row],[Fecha]],2)),'5. Setup'!$D$6:$E$12,2,FALSE)</f>
        <v>Mar</v>
      </c>
      <c r="D382">
        <v>2054321</v>
      </c>
      <c r="E382" t="str">
        <f>IFERROR(+VLOOKUP(Movimientos_2026[[#This Row],[Codigo]],Plan_cuentas[],2,FALSE)," ")</f>
        <v>EGRESOS</v>
      </c>
      <c r="F382" t="str">
        <f>IFERROR(+VLOOKUP(Movimientos_2026[[#This Row],[Codigo]],Plan_cuentas[],3,FALSE)," ")</f>
        <v>VEP</v>
      </c>
      <c r="G382" t="str">
        <f>IFERROR(+VLOOKUP(Movimientos_2026[[#This Row],[Codigo]],Plan_cuentas[],4,FALSE)," ")</f>
        <v>Rentas</v>
      </c>
      <c r="H382" t="str">
        <f>IFERROR(+VLOOKUP(Movimientos_2026[[#This Row],[Codigo]],Plan_cuentas[],5,FALSE)," ")</f>
        <v>NEUQUEN 2° Q</v>
      </c>
      <c r="I382" s="43">
        <v>45717</v>
      </c>
      <c r="J382" t="s">
        <v>180</v>
      </c>
      <c r="K382" t="str">
        <f>IFERROR(+VLOOKUP(Movimientos_2026[[#This Row],[Codigo]],Plan_cuentas[],6,FALSE)," ")</f>
        <v>1 - VW - Volkswagen</v>
      </c>
      <c r="L382" s="50"/>
      <c r="M382" s="52">
        <v>6770326.5899999999</v>
      </c>
      <c r="N382" s="20">
        <f>+Movimientos_2026[[#This Row],[Ingresos]]-Movimientos_2026[[#This Row],[Egresos]]</f>
        <v>-6770326.5899999999</v>
      </c>
      <c r="O382" s="20">
        <f>+O381+Movimientos_2026[[#This Row],[Neto]]</f>
        <v>4127882742.745573</v>
      </c>
    </row>
    <row r="383" spans="1:15" x14ac:dyDescent="0.25">
      <c r="A383" s="13">
        <v>46050</v>
      </c>
      <c r="B383" s="12">
        <f>MONTH(Movimientos_2026[[#This Row],[Fecha]])</f>
        <v>1</v>
      </c>
      <c r="C383" s="12" t="str">
        <f>VLOOKUP((WEEKDAY(Movimientos_2026[[#This Row],[Fecha]],2)),'5. Setup'!$D$6:$E$12,2,FALSE)</f>
        <v>Mie</v>
      </c>
      <c r="D383">
        <v>2044463</v>
      </c>
      <c r="E383" t="str">
        <f>IFERROR(+VLOOKUP(Movimientos_2026[[#This Row],[Codigo]],Plan_cuentas[],2,FALSE)," ")</f>
        <v>EGRESOS</v>
      </c>
      <c r="F383" t="str">
        <f>IFERROR(+VLOOKUP(Movimientos_2026[[#This Row],[Codigo]],Plan_cuentas[],3,FALSE)," ")</f>
        <v>Transferencia</v>
      </c>
      <c r="G383" t="str">
        <f>IFERROR(+VLOOKUP(Movimientos_2026[[#This Row],[Codigo]],Plan_cuentas[],4,FALSE)," ")</f>
        <v>Rentas</v>
      </c>
      <c r="H383" t="str">
        <f>IFERROR(+VLOOKUP(Movimientos_2026[[#This Row],[Codigo]],Plan_cuentas[],5,FALSE)," ")</f>
        <v>MISIONES</v>
      </c>
      <c r="I383" s="43">
        <v>46023</v>
      </c>
      <c r="J383" t="s">
        <v>181</v>
      </c>
      <c r="K383" t="str">
        <f>IFERROR(+VLOOKUP(Movimientos_2026[[#This Row],[Codigo]],Plan_cuentas[],6,FALSE)," ")</f>
        <v>3 - GM - Chevrolet</v>
      </c>
      <c r="L383" s="50"/>
      <c r="M383" s="52">
        <v>2283664.62</v>
      </c>
      <c r="N383" s="20">
        <f>+Movimientos_2026[[#This Row],[Ingresos]]-Movimientos_2026[[#This Row],[Egresos]]</f>
        <v>-2283664.62</v>
      </c>
      <c r="O383" s="20">
        <f>+O382+Movimientos_2026[[#This Row],[Neto]]</f>
        <v>4125599078.1255732</v>
      </c>
    </row>
    <row r="384" spans="1:15" x14ac:dyDescent="0.25">
      <c r="A384" s="13">
        <v>46050</v>
      </c>
      <c r="B384" s="12">
        <f>MONTH(Movimientos_2026[[#This Row],[Fecha]])</f>
        <v>1</v>
      </c>
      <c r="C384" s="12" t="str">
        <f>VLOOKUP((WEEKDAY(Movimientos_2026[[#This Row],[Fecha]],2)),'5. Setup'!$D$6:$E$12,2,FALSE)</f>
        <v>Mie</v>
      </c>
      <c r="D384">
        <v>1044312</v>
      </c>
      <c r="E384" t="str">
        <f>IFERROR(+VLOOKUP(Movimientos_2026[[#This Row],[Codigo]],Plan_cuentas[],2,FALSE)," ")</f>
        <v>INGRESOS</v>
      </c>
      <c r="F384" t="str">
        <f>IFERROR(+VLOOKUP(Movimientos_2026[[#This Row],[Codigo]],Plan_cuentas[],3,FALSE)," ")</f>
        <v>Transferencia</v>
      </c>
      <c r="G384" t="str">
        <f>IFERROR(+VLOOKUP(Movimientos_2026[[#This Row],[Codigo]],Plan_cuentas[],4,FALSE)," ")</f>
        <v>Rentas</v>
      </c>
      <c r="H384" t="str">
        <f>IFERROR(+VLOOKUP(Movimientos_2026[[#This Row],[Codigo]],Plan_cuentas[],5,FALSE)," ")</f>
        <v>NEUQUEN 1° Q</v>
      </c>
      <c r="I384" s="43">
        <v>46023</v>
      </c>
      <c r="J384" t="s">
        <v>182</v>
      </c>
      <c r="K384" t="str">
        <f>IFERROR(+VLOOKUP(Movimientos_2026[[#This Row],[Codigo]],Plan_cuentas[],6,FALSE)," ")</f>
        <v>2 - PR - Plan Rombo</v>
      </c>
      <c r="L384" s="50">
        <v>38234732.539999999</v>
      </c>
      <c r="M384" s="52"/>
      <c r="N384" s="20">
        <f>+Movimientos_2026[[#This Row],[Ingresos]]-Movimientos_2026[[#This Row],[Egresos]]</f>
        <v>38234732.539999999</v>
      </c>
      <c r="O384" s="20">
        <f>+O383+Movimientos_2026[[#This Row],[Neto]]</f>
        <v>4163833810.6655731</v>
      </c>
    </row>
    <row r="385" spans="1:15" x14ac:dyDescent="0.25">
      <c r="A385" s="13">
        <v>46050</v>
      </c>
      <c r="B385" s="12">
        <f>MONTH(Movimientos_2026[[#This Row],[Fecha]])</f>
        <v>1</v>
      </c>
      <c r="C385" s="12" t="str">
        <f>VLOOKUP((WEEKDAY(Movimientos_2026[[#This Row],[Fecha]],2)),'5. Setup'!$D$6:$E$12,2,FALSE)</f>
        <v>Mie</v>
      </c>
      <c r="D385">
        <v>1044202</v>
      </c>
      <c r="E385" t="str">
        <f>IFERROR(+VLOOKUP(Movimientos_2026[[#This Row],[Codigo]],Plan_cuentas[],2,FALSE)," ")</f>
        <v>INGRESOS</v>
      </c>
      <c r="F385" t="str">
        <f>IFERROR(+VLOOKUP(Movimientos_2026[[#This Row],[Codigo]],Plan_cuentas[],3,FALSE)," ")</f>
        <v>Transferencia</v>
      </c>
      <c r="G385" t="str">
        <f>IFERROR(+VLOOKUP(Movimientos_2026[[#This Row],[Codigo]],Plan_cuentas[],4,FALSE)," ")</f>
        <v>Rentas</v>
      </c>
      <c r="H385" t="str">
        <f>IFERROR(+VLOOKUP(Movimientos_2026[[#This Row],[Codigo]],Plan_cuentas[],5,FALSE)," ")</f>
        <v>CORRIENTES 1° Q</v>
      </c>
      <c r="I385" s="43">
        <v>46023</v>
      </c>
      <c r="J385" t="s">
        <v>182</v>
      </c>
      <c r="K385" t="str">
        <f>IFERROR(+VLOOKUP(Movimientos_2026[[#This Row],[Codigo]],Plan_cuentas[],6,FALSE)," ")</f>
        <v>2 - PR - Plan Rombo</v>
      </c>
      <c r="L385" s="50">
        <v>2525698.13</v>
      </c>
      <c r="M385" s="52"/>
      <c r="N385" s="20">
        <f>+Movimientos_2026[[#This Row],[Ingresos]]-Movimientos_2026[[#This Row],[Egresos]]</f>
        <v>2525698.13</v>
      </c>
      <c r="O385" s="20">
        <f>+O384+Movimientos_2026[[#This Row],[Neto]]</f>
        <v>4166359508.7955732</v>
      </c>
    </row>
    <row r="386" spans="1:15" x14ac:dyDescent="0.25">
      <c r="A386" s="13">
        <v>46050</v>
      </c>
      <c r="B386" s="12">
        <f>MONTH(Movimientos_2026[[#This Row],[Fecha]])</f>
        <v>1</v>
      </c>
      <c r="C386" s="12" t="str">
        <f>VLOOKUP((WEEKDAY(Movimientos_2026[[#This Row],[Fecha]],2)),'5. Setup'!$D$6:$E$12,2,FALSE)</f>
        <v>Mie</v>
      </c>
      <c r="D386">
        <v>1044462</v>
      </c>
      <c r="E386" t="str">
        <f>IFERROR(+VLOOKUP(Movimientos_2026[[#This Row],[Codigo]],Plan_cuentas[],2,FALSE)," ")</f>
        <v>INGRESOS</v>
      </c>
      <c r="F386" t="str">
        <f>IFERROR(+VLOOKUP(Movimientos_2026[[#This Row],[Codigo]],Plan_cuentas[],3,FALSE)," ")</f>
        <v>Transferencia</v>
      </c>
      <c r="G386" t="str">
        <f>IFERROR(+VLOOKUP(Movimientos_2026[[#This Row],[Codigo]],Plan_cuentas[],4,FALSE)," ")</f>
        <v>Rentas</v>
      </c>
      <c r="H386" t="str">
        <f>IFERROR(+VLOOKUP(Movimientos_2026[[#This Row],[Codigo]],Plan_cuentas[],5,FALSE)," ")</f>
        <v>MISIONES</v>
      </c>
      <c r="I386" s="43">
        <v>46023</v>
      </c>
      <c r="J386" t="s">
        <v>182</v>
      </c>
      <c r="K386" t="str">
        <f>IFERROR(+VLOOKUP(Movimientos_2026[[#This Row],[Codigo]],Plan_cuentas[],6,FALSE)," ")</f>
        <v>2 - PR - Plan Rombo</v>
      </c>
      <c r="L386" s="50">
        <v>12119400</v>
      </c>
      <c r="M386" s="52"/>
      <c r="N386" s="20">
        <f>+Movimientos_2026[[#This Row],[Ingresos]]-Movimientos_2026[[#This Row],[Egresos]]</f>
        <v>12119400</v>
      </c>
      <c r="O386" s="20">
        <f>+O385+Movimientos_2026[[#This Row],[Neto]]</f>
        <v>4178478908.7955732</v>
      </c>
    </row>
    <row r="387" spans="1:15" x14ac:dyDescent="0.25">
      <c r="A387" s="13">
        <v>46050</v>
      </c>
      <c r="B387" s="12">
        <f>MONTH(Movimientos_2026[[#This Row],[Fecha]])</f>
        <v>1</v>
      </c>
      <c r="C387" s="12" t="str">
        <f>VLOOKUP((WEEKDAY(Movimientos_2026[[#This Row],[Fecha]],2)),'5. Setup'!$D$6:$E$12,2,FALSE)</f>
        <v>Mie</v>
      </c>
      <c r="D387">
        <v>1044422</v>
      </c>
      <c r="E387" t="str">
        <f>IFERROR(+VLOOKUP(Movimientos_2026[[#This Row],[Codigo]],Plan_cuentas[],2,FALSE)," ")</f>
        <v>INGRESOS</v>
      </c>
      <c r="F387" t="str">
        <f>IFERROR(+VLOOKUP(Movimientos_2026[[#This Row],[Codigo]],Plan_cuentas[],3,FALSE)," ")</f>
        <v>Transferencia</v>
      </c>
      <c r="G387" t="str">
        <f>IFERROR(+VLOOKUP(Movimientos_2026[[#This Row],[Codigo]],Plan_cuentas[],4,FALSE)," ")</f>
        <v>Rentas</v>
      </c>
      <c r="H387" t="str">
        <f>IFERROR(+VLOOKUP(Movimientos_2026[[#This Row],[Codigo]],Plan_cuentas[],5,FALSE)," ")</f>
        <v>TUCUMAN</v>
      </c>
      <c r="I387" s="43">
        <v>45627</v>
      </c>
      <c r="J387" t="s">
        <v>182</v>
      </c>
      <c r="K387" t="str">
        <f>IFERROR(+VLOOKUP(Movimientos_2026[[#This Row],[Codigo]],Plan_cuentas[],6,FALSE)," ")</f>
        <v>2 - PR - Plan Rombo</v>
      </c>
      <c r="L387" s="50">
        <v>2092573.42</v>
      </c>
      <c r="M387" s="52"/>
      <c r="N387" s="20">
        <f>+Movimientos_2026[[#This Row],[Ingresos]]-Movimientos_2026[[#This Row],[Egresos]]</f>
        <v>2092573.42</v>
      </c>
      <c r="O387" s="20">
        <f>+O386+Movimientos_2026[[#This Row],[Neto]]</f>
        <v>4180571482.2155733</v>
      </c>
    </row>
    <row r="388" spans="1:15" x14ac:dyDescent="0.25">
      <c r="A388" s="13">
        <v>46050</v>
      </c>
      <c r="B388" s="12">
        <f>MONTH(Movimientos_2026[[#This Row],[Fecha]])</f>
        <v>1</v>
      </c>
      <c r="C388" s="12" t="str">
        <f>VLOOKUP((WEEKDAY(Movimientos_2026[[#This Row],[Fecha]],2)),'5. Setup'!$D$6:$E$12,2,FALSE)</f>
        <v>Mie</v>
      </c>
      <c r="D388">
        <v>1044422</v>
      </c>
      <c r="E388" t="str">
        <f>IFERROR(+VLOOKUP(Movimientos_2026[[#This Row],[Codigo]],Plan_cuentas[],2,FALSE)," ")</f>
        <v>INGRESOS</v>
      </c>
      <c r="F388" t="str">
        <f>IFERROR(+VLOOKUP(Movimientos_2026[[#This Row],[Codigo]],Plan_cuentas[],3,FALSE)," ")</f>
        <v>Transferencia</v>
      </c>
      <c r="G388" t="str">
        <f>IFERROR(+VLOOKUP(Movimientos_2026[[#This Row],[Codigo]],Plan_cuentas[],4,FALSE)," ")</f>
        <v>Rentas</v>
      </c>
      <c r="H388" t="str">
        <f>IFERROR(+VLOOKUP(Movimientos_2026[[#This Row],[Codigo]],Plan_cuentas[],5,FALSE)," ")</f>
        <v>TUCUMAN</v>
      </c>
      <c r="I388" s="43">
        <v>45658</v>
      </c>
      <c r="J388" t="s">
        <v>182</v>
      </c>
      <c r="K388" t="str">
        <f>IFERROR(+VLOOKUP(Movimientos_2026[[#This Row],[Codigo]],Plan_cuentas[],6,FALSE)," ")</f>
        <v>2 - PR - Plan Rombo</v>
      </c>
      <c r="L388" s="50">
        <v>1514336.58</v>
      </c>
      <c r="M388" s="52"/>
      <c r="N388" s="20">
        <f>+Movimientos_2026[[#This Row],[Ingresos]]-Movimientos_2026[[#This Row],[Egresos]]</f>
        <v>1514336.58</v>
      </c>
      <c r="O388" s="20">
        <f>+O387+Movimientos_2026[[#This Row],[Neto]]</f>
        <v>4182085818.7955732</v>
      </c>
    </row>
    <row r="389" spans="1:15" x14ac:dyDescent="0.25">
      <c r="A389" s="13">
        <v>46050</v>
      </c>
      <c r="B389" s="12">
        <f>MONTH(Movimientos_2026[[#This Row],[Fecha]])</f>
        <v>1</v>
      </c>
      <c r="C389" s="12" t="str">
        <f>VLOOKUP((WEEKDAY(Movimientos_2026[[#This Row],[Fecha]],2)),'5. Setup'!$D$6:$E$12,2,FALSE)</f>
        <v>Mie</v>
      </c>
      <c r="D389">
        <v>1044422</v>
      </c>
      <c r="E389" t="str">
        <f>IFERROR(+VLOOKUP(Movimientos_2026[[#This Row],[Codigo]],Plan_cuentas[],2,FALSE)," ")</f>
        <v>INGRESOS</v>
      </c>
      <c r="F389" t="str">
        <f>IFERROR(+VLOOKUP(Movimientos_2026[[#This Row],[Codigo]],Plan_cuentas[],3,FALSE)," ")</f>
        <v>Transferencia</v>
      </c>
      <c r="G389" t="str">
        <f>IFERROR(+VLOOKUP(Movimientos_2026[[#This Row],[Codigo]],Plan_cuentas[],4,FALSE)," ")</f>
        <v>Rentas</v>
      </c>
      <c r="H389" t="str">
        <f>IFERROR(+VLOOKUP(Movimientos_2026[[#This Row],[Codigo]],Plan_cuentas[],5,FALSE)," ")</f>
        <v>TUCUMAN</v>
      </c>
      <c r="I389" s="43">
        <v>45689</v>
      </c>
      <c r="J389" t="s">
        <v>182</v>
      </c>
      <c r="K389" t="str">
        <f>IFERROR(+VLOOKUP(Movimientos_2026[[#This Row],[Codigo]],Plan_cuentas[],6,FALSE)," ")</f>
        <v>2 - PR - Plan Rombo</v>
      </c>
      <c r="L389" s="50">
        <v>4230859.34</v>
      </c>
      <c r="M389" s="52"/>
      <c r="N389" s="20">
        <f>+Movimientos_2026[[#This Row],[Ingresos]]-Movimientos_2026[[#This Row],[Egresos]]</f>
        <v>4230859.34</v>
      </c>
      <c r="O389" s="20">
        <f>+O388+Movimientos_2026[[#This Row],[Neto]]</f>
        <v>4186316678.1355734</v>
      </c>
    </row>
    <row r="390" spans="1:15" x14ac:dyDescent="0.25">
      <c r="A390" s="13">
        <v>46050</v>
      </c>
      <c r="B390" s="12">
        <f>MONTH(Movimientos_2026[[#This Row],[Fecha]])</f>
        <v>1</v>
      </c>
      <c r="C390" s="12" t="str">
        <f>VLOOKUP((WEEKDAY(Movimientos_2026[[#This Row],[Fecha]],2)),'5. Setup'!$D$6:$E$12,2,FALSE)</f>
        <v>Mie</v>
      </c>
      <c r="D390">
        <v>1044422</v>
      </c>
      <c r="E390" t="str">
        <f>IFERROR(+VLOOKUP(Movimientos_2026[[#This Row],[Codigo]],Plan_cuentas[],2,FALSE)," ")</f>
        <v>INGRESOS</v>
      </c>
      <c r="F390" t="str">
        <f>IFERROR(+VLOOKUP(Movimientos_2026[[#This Row],[Codigo]],Plan_cuentas[],3,FALSE)," ")</f>
        <v>Transferencia</v>
      </c>
      <c r="G390" t="str">
        <f>IFERROR(+VLOOKUP(Movimientos_2026[[#This Row],[Codigo]],Plan_cuentas[],4,FALSE)," ")</f>
        <v>Rentas</v>
      </c>
      <c r="H390" t="str">
        <f>IFERROR(+VLOOKUP(Movimientos_2026[[#This Row],[Codigo]],Plan_cuentas[],5,FALSE)," ")</f>
        <v>TUCUMAN</v>
      </c>
      <c r="I390" s="43">
        <v>45717</v>
      </c>
      <c r="J390" t="s">
        <v>182</v>
      </c>
      <c r="K390" t="str">
        <f>IFERROR(+VLOOKUP(Movimientos_2026[[#This Row],[Codigo]],Plan_cuentas[],6,FALSE)," ")</f>
        <v>2 - PR - Plan Rombo</v>
      </c>
      <c r="L390" s="50">
        <v>5008605.25</v>
      </c>
      <c r="M390" s="52"/>
      <c r="N390" s="20">
        <f>+Movimientos_2026[[#This Row],[Ingresos]]-Movimientos_2026[[#This Row],[Egresos]]</f>
        <v>5008605.25</v>
      </c>
      <c r="O390" s="20">
        <f>+O389+Movimientos_2026[[#This Row],[Neto]]</f>
        <v>4191325283.3855734</v>
      </c>
    </row>
    <row r="391" spans="1:15" x14ac:dyDescent="0.25">
      <c r="A391" s="13">
        <v>46050</v>
      </c>
      <c r="B391" s="12">
        <f>MONTH(Movimientos_2026[[#This Row],[Fecha]])</f>
        <v>1</v>
      </c>
      <c r="C391" s="12" t="str">
        <f>VLOOKUP((WEEKDAY(Movimientos_2026[[#This Row],[Fecha]],2)),'5. Setup'!$D$6:$E$12,2,FALSE)</f>
        <v>Mie</v>
      </c>
      <c r="D391">
        <v>1044422</v>
      </c>
      <c r="E391" t="str">
        <f>IFERROR(+VLOOKUP(Movimientos_2026[[#This Row],[Codigo]],Plan_cuentas[],2,FALSE)," ")</f>
        <v>INGRESOS</v>
      </c>
      <c r="F391" t="str">
        <f>IFERROR(+VLOOKUP(Movimientos_2026[[#This Row],[Codigo]],Plan_cuentas[],3,FALSE)," ")</f>
        <v>Transferencia</v>
      </c>
      <c r="G391" t="str">
        <f>IFERROR(+VLOOKUP(Movimientos_2026[[#This Row],[Codigo]],Plan_cuentas[],4,FALSE)," ")</f>
        <v>Rentas</v>
      </c>
      <c r="H391" t="str">
        <f>IFERROR(+VLOOKUP(Movimientos_2026[[#This Row],[Codigo]],Plan_cuentas[],5,FALSE)," ")</f>
        <v>TUCUMAN</v>
      </c>
      <c r="I391" s="43">
        <v>45748</v>
      </c>
      <c r="J391" t="s">
        <v>182</v>
      </c>
      <c r="K391" t="str">
        <f>IFERROR(+VLOOKUP(Movimientos_2026[[#This Row],[Codigo]],Plan_cuentas[],6,FALSE)," ")</f>
        <v>2 - PR - Plan Rombo</v>
      </c>
      <c r="L391" s="50">
        <v>1630347.54</v>
      </c>
      <c r="M391" s="52"/>
      <c r="N391" s="20">
        <f>+Movimientos_2026[[#This Row],[Ingresos]]-Movimientos_2026[[#This Row],[Egresos]]</f>
        <v>1630347.54</v>
      </c>
      <c r="O391" s="20">
        <f>+O390+Movimientos_2026[[#This Row],[Neto]]</f>
        <v>4192955630.9255733</v>
      </c>
    </row>
    <row r="392" spans="1:15" x14ac:dyDescent="0.25">
      <c r="A392" s="13">
        <v>46050</v>
      </c>
      <c r="B392" s="12">
        <f>MONTH(Movimientos_2026[[#This Row],[Fecha]])</f>
        <v>1</v>
      </c>
      <c r="C392" s="12" t="str">
        <f>VLOOKUP((WEEKDAY(Movimientos_2026[[#This Row],[Fecha]],2)),'5. Setup'!$D$6:$E$12,2,FALSE)</f>
        <v>Mie</v>
      </c>
      <c r="D392">
        <v>1044422</v>
      </c>
      <c r="E392" t="str">
        <f>IFERROR(+VLOOKUP(Movimientos_2026[[#This Row],[Codigo]],Plan_cuentas[],2,FALSE)," ")</f>
        <v>INGRESOS</v>
      </c>
      <c r="F392" t="str">
        <f>IFERROR(+VLOOKUP(Movimientos_2026[[#This Row],[Codigo]],Plan_cuentas[],3,FALSE)," ")</f>
        <v>Transferencia</v>
      </c>
      <c r="G392" t="str">
        <f>IFERROR(+VLOOKUP(Movimientos_2026[[#This Row],[Codigo]],Plan_cuentas[],4,FALSE)," ")</f>
        <v>Rentas</v>
      </c>
      <c r="H392" t="str">
        <f>IFERROR(+VLOOKUP(Movimientos_2026[[#This Row],[Codigo]],Plan_cuentas[],5,FALSE)," ")</f>
        <v>TUCUMAN</v>
      </c>
      <c r="I392" s="43">
        <v>45778</v>
      </c>
      <c r="J392" t="s">
        <v>182</v>
      </c>
      <c r="K392" t="str">
        <f>IFERROR(+VLOOKUP(Movimientos_2026[[#This Row],[Codigo]],Plan_cuentas[],6,FALSE)," ")</f>
        <v>2 - PR - Plan Rombo</v>
      </c>
      <c r="L392" s="50">
        <v>1474669.73</v>
      </c>
      <c r="M392" s="52"/>
      <c r="N392" s="20">
        <f>+Movimientos_2026[[#This Row],[Ingresos]]-Movimientos_2026[[#This Row],[Egresos]]</f>
        <v>1474669.73</v>
      </c>
      <c r="O392" s="20">
        <f>+O391+Movimientos_2026[[#This Row],[Neto]]</f>
        <v>4194430300.6555734</v>
      </c>
    </row>
    <row r="393" spans="1:15" x14ac:dyDescent="0.25">
      <c r="A393" s="13">
        <v>46050</v>
      </c>
      <c r="B393" s="12">
        <f>MONTH(Movimientos_2026[[#This Row],[Fecha]])</f>
        <v>1</v>
      </c>
      <c r="C393" s="12" t="str">
        <f>VLOOKUP((WEEKDAY(Movimientos_2026[[#This Row],[Fecha]],2)),'5. Setup'!$D$6:$E$12,2,FALSE)</f>
        <v>Mie</v>
      </c>
      <c r="D393">
        <v>1044422</v>
      </c>
      <c r="E393" t="str">
        <f>IFERROR(+VLOOKUP(Movimientos_2026[[#This Row],[Codigo]],Plan_cuentas[],2,FALSE)," ")</f>
        <v>INGRESOS</v>
      </c>
      <c r="F393" t="str">
        <f>IFERROR(+VLOOKUP(Movimientos_2026[[#This Row],[Codigo]],Plan_cuentas[],3,FALSE)," ")</f>
        <v>Transferencia</v>
      </c>
      <c r="G393" t="str">
        <f>IFERROR(+VLOOKUP(Movimientos_2026[[#This Row],[Codigo]],Plan_cuentas[],4,FALSE)," ")</f>
        <v>Rentas</v>
      </c>
      <c r="H393" t="str">
        <f>IFERROR(+VLOOKUP(Movimientos_2026[[#This Row],[Codigo]],Plan_cuentas[],5,FALSE)," ")</f>
        <v>TUCUMAN</v>
      </c>
      <c r="I393" s="43">
        <v>45809</v>
      </c>
      <c r="J393" t="s">
        <v>182</v>
      </c>
      <c r="K393" t="str">
        <f>IFERROR(+VLOOKUP(Movimientos_2026[[#This Row],[Codigo]],Plan_cuentas[],6,FALSE)," ")</f>
        <v>2 - PR - Plan Rombo</v>
      </c>
      <c r="L393" s="50">
        <v>3643730.64</v>
      </c>
      <c r="M393" s="52"/>
      <c r="N393" s="20">
        <f>+Movimientos_2026[[#This Row],[Ingresos]]-Movimientos_2026[[#This Row],[Egresos]]</f>
        <v>3643730.64</v>
      </c>
      <c r="O393" s="20">
        <f>+O392+Movimientos_2026[[#This Row],[Neto]]</f>
        <v>4198074031.2955732</v>
      </c>
    </row>
    <row r="394" spans="1:15" x14ac:dyDescent="0.25">
      <c r="A394" s="13">
        <v>46050</v>
      </c>
      <c r="B394" s="12">
        <f>MONTH(Movimientos_2026[[#This Row],[Fecha]])</f>
        <v>1</v>
      </c>
      <c r="C394" s="12" t="str">
        <f>VLOOKUP((WEEKDAY(Movimientos_2026[[#This Row],[Fecha]],2)),'5. Setup'!$D$6:$E$12,2,FALSE)</f>
        <v>Mie</v>
      </c>
      <c r="D394">
        <v>1044422</v>
      </c>
      <c r="E394" t="str">
        <f>IFERROR(+VLOOKUP(Movimientos_2026[[#This Row],[Codigo]],Plan_cuentas[],2,FALSE)," ")</f>
        <v>INGRESOS</v>
      </c>
      <c r="F394" t="str">
        <f>IFERROR(+VLOOKUP(Movimientos_2026[[#This Row],[Codigo]],Plan_cuentas[],3,FALSE)," ")</f>
        <v>Transferencia</v>
      </c>
      <c r="G394" t="str">
        <f>IFERROR(+VLOOKUP(Movimientos_2026[[#This Row],[Codigo]],Plan_cuentas[],4,FALSE)," ")</f>
        <v>Rentas</v>
      </c>
      <c r="H394" t="str">
        <f>IFERROR(+VLOOKUP(Movimientos_2026[[#This Row],[Codigo]],Plan_cuentas[],5,FALSE)," ")</f>
        <v>TUCUMAN</v>
      </c>
      <c r="I394" s="43">
        <v>45839</v>
      </c>
      <c r="J394" t="s">
        <v>182</v>
      </c>
      <c r="K394" t="str">
        <f>IFERROR(+VLOOKUP(Movimientos_2026[[#This Row],[Codigo]],Plan_cuentas[],6,FALSE)," ")</f>
        <v>2 - PR - Plan Rombo</v>
      </c>
      <c r="L394" s="50">
        <v>6117067.0300000003</v>
      </c>
      <c r="M394" s="50"/>
      <c r="N394" s="20">
        <f>+Movimientos_2026[[#This Row],[Ingresos]]-Movimientos_2026[[#This Row],[Egresos]]</f>
        <v>6117067.0300000003</v>
      </c>
      <c r="O394" s="20">
        <f>+O393+Movimientos_2026[[#This Row],[Neto]]</f>
        <v>4204191098.3255734</v>
      </c>
    </row>
    <row r="395" spans="1:15" x14ac:dyDescent="0.25">
      <c r="A395" s="13">
        <v>46050</v>
      </c>
      <c r="B395" s="12">
        <f>MONTH(Movimientos_2026[[#This Row],[Fecha]])</f>
        <v>1</v>
      </c>
      <c r="C395" s="12" t="str">
        <f>VLOOKUP((WEEKDAY(Movimientos_2026[[#This Row],[Fecha]],2)),'5. Setup'!$D$6:$E$12,2,FALSE)</f>
        <v>Mie</v>
      </c>
      <c r="D395">
        <v>1044422</v>
      </c>
      <c r="E395" t="str">
        <f>IFERROR(+VLOOKUP(Movimientos_2026[[#This Row],[Codigo]],Plan_cuentas[],2,FALSE)," ")</f>
        <v>INGRESOS</v>
      </c>
      <c r="F395" t="str">
        <f>IFERROR(+VLOOKUP(Movimientos_2026[[#This Row],[Codigo]],Plan_cuentas[],3,FALSE)," ")</f>
        <v>Transferencia</v>
      </c>
      <c r="G395" t="str">
        <f>IFERROR(+VLOOKUP(Movimientos_2026[[#This Row],[Codigo]],Plan_cuentas[],4,FALSE)," ")</f>
        <v>Rentas</v>
      </c>
      <c r="H395" t="str">
        <f>IFERROR(+VLOOKUP(Movimientos_2026[[#This Row],[Codigo]],Plan_cuentas[],5,FALSE)," ")</f>
        <v>TUCUMAN</v>
      </c>
      <c r="I395" s="43">
        <v>45901</v>
      </c>
      <c r="J395" t="s">
        <v>182</v>
      </c>
      <c r="K395" t="str">
        <f>IFERROR(+VLOOKUP(Movimientos_2026[[#This Row],[Codigo]],Plan_cuentas[],6,FALSE)," ")</f>
        <v>2 - PR - Plan Rombo</v>
      </c>
      <c r="L395" s="50">
        <v>9057561.4800000004</v>
      </c>
      <c r="M395" s="50"/>
      <c r="N395" s="20">
        <f>+Movimientos_2026[[#This Row],[Ingresos]]-Movimientos_2026[[#This Row],[Egresos]]</f>
        <v>9057561.4800000004</v>
      </c>
      <c r="O395" s="20">
        <f>+O394+Movimientos_2026[[#This Row],[Neto]]</f>
        <v>4213248659.8055735</v>
      </c>
    </row>
    <row r="396" spans="1:15" x14ac:dyDescent="0.25">
      <c r="A396" s="13">
        <v>46050</v>
      </c>
      <c r="B396" s="12">
        <f>MONTH(Movimientos_2026[[#This Row],[Fecha]])</f>
        <v>1</v>
      </c>
      <c r="C396" s="12" t="str">
        <f>VLOOKUP((WEEKDAY(Movimientos_2026[[#This Row],[Fecha]],2)),'5. Setup'!$D$6:$E$12,2,FALSE)</f>
        <v>Mie</v>
      </c>
      <c r="D396">
        <v>1044422</v>
      </c>
      <c r="E396" t="str">
        <f>IFERROR(+VLOOKUP(Movimientos_2026[[#This Row],[Codigo]],Plan_cuentas[],2,FALSE)," ")</f>
        <v>INGRESOS</v>
      </c>
      <c r="F396" t="str">
        <f>IFERROR(+VLOOKUP(Movimientos_2026[[#This Row],[Codigo]],Plan_cuentas[],3,FALSE)," ")</f>
        <v>Transferencia</v>
      </c>
      <c r="G396" t="str">
        <f>IFERROR(+VLOOKUP(Movimientos_2026[[#This Row],[Codigo]],Plan_cuentas[],4,FALSE)," ")</f>
        <v>Rentas</v>
      </c>
      <c r="H396" t="str">
        <f>IFERROR(+VLOOKUP(Movimientos_2026[[#This Row],[Codigo]],Plan_cuentas[],5,FALSE)," ")</f>
        <v>TUCUMAN</v>
      </c>
      <c r="I396" s="43">
        <v>45931</v>
      </c>
      <c r="J396" t="s">
        <v>182</v>
      </c>
      <c r="K396" t="str">
        <f>IFERROR(+VLOOKUP(Movimientos_2026[[#This Row],[Codigo]],Plan_cuentas[],6,FALSE)," ")</f>
        <v>2 - PR - Plan Rombo</v>
      </c>
      <c r="L396" s="50">
        <v>8878772.2400000002</v>
      </c>
      <c r="M396" s="50"/>
      <c r="N396" s="20">
        <f>+Movimientos_2026[[#This Row],[Ingresos]]-Movimientos_2026[[#This Row],[Egresos]]</f>
        <v>8878772.2400000002</v>
      </c>
      <c r="O396" s="20">
        <f>+O395+Movimientos_2026[[#This Row],[Neto]]</f>
        <v>4222127432.0455732</v>
      </c>
    </row>
    <row r="397" spans="1:15" x14ac:dyDescent="0.25">
      <c r="A397" s="13">
        <v>46050</v>
      </c>
      <c r="B397" s="12">
        <f>MONTH(Movimientos_2026[[#This Row],[Fecha]])</f>
        <v>1</v>
      </c>
      <c r="C397" s="12" t="str">
        <f>VLOOKUP((WEEKDAY(Movimientos_2026[[#This Row],[Fecha]],2)),'5. Setup'!$D$6:$E$12,2,FALSE)</f>
        <v>Mie</v>
      </c>
      <c r="D397">
        <v>1044422</v>
      </c>
      <c r="E397" t="str">
        <f>IFERROR(+VLOOKUP(Movimientos_2026[[#This Row],[Codigo]],Plan_cuentas[],2,FALSE)," ")</f>
        <v>INGRESOS</v>
      </c>
      <c r="F397" t="str">
        <f>IFERROR(+VLOOKUP(Movimientos_2026[[#This Row],[Codigo]],Plan_cuentas[],3,FALSE)," ")</f>
        <v>Transferencia</v>
      </c>
      <c r="G397" t="str">
        <f>IFERROR(+VLOOKUP(Movimientos_2026[[#This Row],[Codigo]],Plan_cuentas[],4,FALSE)," ")</f>
        <v>Rentas</v>
      </c>
      <c r="H397" t="str">
        <f>IFERROR(+VLOOKUP(Movimientos_2026[[#This Row],[Codigo]],Plan_cuentas[],5,FALSE)," ")</f>
        <v>TUCUMAN</v>
      </c>
      <c r="I397" s="43">
        <v>45962</v>
      </c>
      <c r="J397" t="s">
        <v>182</v>
      </c>
      <c r="K397" t="str">
        <f>IFERROR(+VLOOKUP(Movimientos_2026[[#This Row],[Codigo]],Plan_cuentas[],6,FALSE)," ")</f>
        <v>2 - PR - Plan Rombo</v>
      </c>
      <c r="L397" s="50">
        <v>8483712.6300000008</v>
      </c>
      <c r="M397" s="50"/>
      <c r="N397" s="20">
        <f>+Movimientos_2026[[#This Row],[Ingresos]]-Movimientos_2026[[#This Row],[Egresos]]</f>
        <v>8483712.6300000008</v>
      </c>
      <c r="O397" s="20">
        <f>+O396+Movimientos_2026[[#This Row],[Neto]]</f>
        <v>4230611144.6755733</v>
      </c>
    </row>
    <row r="398" spans="1:15" x14ac:dyDescent="0.25">
      <c r="A398" s="13">
        <v>46050</v>
      </c>
      <c r="B398" s="12">
        <f>MONTH(Movimientos_2026[[#This Row],[Fecha]])</f>
        <v>1</v>
      </c>
      <c r="C398" s="12" t="str">
        <f>VLOOKUP((WEEKDAY(Movimientos_2026[[#This Row],[Fecha]],2)),'5. Setup'!$D$6:$E$12,2,FALSE)</f>
        <v>Mie</v>
      </c>
      <c r="D398">
        <v>1044422</v>
      </c>
      <c r="E398" t="str">
        <f>IFERROR(+VLOOKUP(Movimientos_2026[[#This Row],[Codigo]],Plan_cuentas[],2,FALSE)," ")</f>
        <v>INGRESOS</v>
      </c>
      <c r="F398" t="str">
        <f>IFERROR(+VLOOKUP(Movimientos_2026[[#This Row],[Codigo]],Plan_cuentas[],3,FALSE)," ")</f>
        <v>Transferencia</v>
      </c>
      <c r="G398" t="str">
        <f>IFERROR(+VLOOKUP(Movimientos_2026[[#This Row],[Codigo]],Plan_cuentas[],4,FALSE)," ")</f>
        <v>Rentas</v>
      </c>
      <c r="H398" t="str">
        <f>IFERROR(+VLOOKUP(Movimientos_2026[[#This Row],[Codigo]],Plan_cuentas[],5,FALSE)," ")</f>
        <v>TUCUMAN</v>
      </c>
      <c r="I398" s="43">
        <v>45992</v>
      </c>
      <c r="J398" t="s">
        <v>182</v>
      </c>
      <c r="K398" t="str">
        <f>IFERROR(+VLOOKUP(Movimientos_2026[[#This Row],[Codigo]],Plan_cuentas[],6,FALSE)," ")</f>
        <v>2 - PR - Plan Rombo</v>
      </c>
      <c r="L398" s="50">
        <v>5647044.1500000004</v>
      </c>
      <c r="M398" s="50"/>
      <c r="N398" s="20">
        <f>+Movimientos_2026[[#This Row],[Ingresos]]-Movimientos_2026[[#This Row],[Egresos]]</f>
        <v>5647044.1500000004</v>
      </c>
      <c r="O398" s="20">
        <f>+O397+Movimientos_2026[[#This Row],[Neto]]</f>
        <v>4236258188.8255734</v>
      </c>
    </row>
    <row r="399" spans="1:15" x14ac:dyDescent="0.25">
      <c r="A399" s="13">
        <v>46050</v>
      </c>
      <c r="B399" s="12">
        <f>MONTH(Movimientos_2026[[#This Row],[Fecha]])</f>
        <v>1</v>
      </c>
      <c r="C399" s="12" t="str">
        <f>VLOOKUP((WEEKDAY(Movimientos_2026[[#This Row],[Fecha]],2)),'5. Setup'!$D$6:$E$12,2,FALSE)</f>
        <v>Mie</v>
      </c>
      <c r="D399">
        <v>1044342</v>
      </c>
      <c r="E399" t="str">
        <f>IFERROR(+VLOOKUP(Movimientos_2026[[#This Row],[Codigo]],Plan_cuentas[],2,FALSE)," ")</f>
        <v>INGRESOS</v>
      </c>
      <c r="F399" t="str">
        <f>IFERROR(+VLOOKUP(Movimientos_2026[[#This Row],[Codigo]],Plan_cuentas[],3,FALSE)," ")</f>
        <v>Transferencia</v>
      </c>
      <c r="G399" t="str">
        <f>IFERROR(+VLOOKUP(Movimientos_2026[[#This Row],[Codigo]],Plan_cuentas[],4,FALSE)," ")</f>
        <v>Rentas</v>
      </c>
      <c r="H399" t="str">
        <f>IFERROR(+VLOOKUP(Movimientos_2026[[#This Row],[Codigo]],Plan_cuentas[],5,FALSE)," ")</f>
        <v>RIO NEGRO</v>
      </c>
      <c r="I399" s="43">
        <v>45992</v>
      </c>
      <c r="J399" t="s">
        <v>182</v>
      </c>
      <c r="K399" t="str">
        <f>IFERROR(+VLOOKUP(Movimientos_2026[[#This Row],[Codigo]],Plan_cuentas[],6,FALSE)," ")</f>
        <v>2 - PR - Plan Rombo</v>
      </c>
      <c r="L399" s="50">
        <v>17953694.030000001</v>
      </c>
      <c r="M399" s="50"/>
      <c r="N399" s="20">
        <f>+Movimientos_2026[[#This Row],[Ingresos]]-Movimientos_2026[[#This Row],[Egresos]]</f>
        <v>17953694.030000001</v>
      </c>
      <c r="O399" s="20">
        <f>+O398+Movimientos_2026[[#This Row],[Neto]]</f>
        <v>4254211882.8555737</v>
      </c>
    </row>
    <row r="400" spans="1:15" x14ac:dyDescent="0.25">
      <c r="A400" s="13">
        <v>46050</v>
      </c>
      <c r="B400" s="12">
        <f>MONTH(Movimientos_2026[[#This Row],[Fecha]])</f>
        <v>1</v>
      </c>
      <c r="C400" s="12" t="str">
        <f>VLOOKUP((WEEKDAY(Movimientos_2026[[#This Row],[Fecha]],2)),'5. Setup'!$D$6:$E$12,2,FALSE)</f>
        <v>Mie</v>
      </c>
      <c r="D400">
        <v>1043342</v>
      </c>
      <c r="E400" t="str">
        <f>IFERROR(+VLOOKUP(Movimientos_2026[[#This Row],[Codigo]],Plan_cuentas[],2,FALSE)," ")</f>
        <v>INGRESOS</v>
      </c>
      <c r="F400" t="str">
        <f>IFERROR(+VLOOKUP(Movimientos_2026[[#This Row],[Codigo]],Plan_cuentas[],3,FALSE)," ")</f>
        <v>Transferencia</v>
      </c>
      <c r="G400" t="str">
        <f>IFERROR(+VLOOKUP(Movimientos_2026[[#This Row],[Codigo]],Plan_cuentas[],4,FALSE)," ")</f>
        <v>Registración</v>
      </c>
      <c r="H400" t="str">
        <f>IFERROR(+VLOOKUP(Movimientos_2026[[#This Row],[Codigo]],Plan_cuentas[],5,FALSE)," ")</f>
        <v>RIO NEGRO</v>
      </c>
      <c r="I400" s="43">
        <v>45962</v>
      </c>
      <c r="J400" t="s">
        <v>182</v>
      </c>
      <c r="K400" t="str">
        <f>IFERROR(+VLOOKUP(Movimientos_2026[[#This Row],[Codigo]],Plan_cuentas[],6,FALSE)," ")</f>
        <v>2 - PR - Plan Rombo</v>
      </c>
      <c r="L400" s="50">
        <v>28139838.260000002</v>
      </c>
      <c r="M400" s="50"/>
      <c r="N400" s="20">
        <f>+Movimientos_2026[[#This Row],[Ingresos]]-Movimientos_2026[[#This Row],[Egresos]]</f>
        <v>28139838.260000002</v>
      </c>
      <c r="O400" s="20">
        <f>+O399+Movimientos_2026[[#This Row],[Neto]]</f>
        <v>4282351721.1155739</v>
      </c>
    </row>
    <row r="401" spans="1:15" x14ac:dyDescent="0.25">
      <c r="A401" s="13">
        <v>46051</v>
      </c>
      <c r="B401" s="12">
        <f>MONTH(Movimientos_2026[[#This Row],[Fecha]])</f>
        <v>1</v>
      </c>
      <c r="C401" s="12" t="str">
        <f>VLOOKUP((WEEKDAY(Movimientos_2026[[#This Row],[Fecha]],2)),'5. Setup'!$D$6:$E$12,2,FALSE)</f>
        <v>Jue</v>
      </c>
      <c r="D401">
        <v>2044461</v>
      </c>
      <c r="E401" t="str">
        <f>IFERROR(+VLOOKUP(Movimientos_2026[[#This Row],[Codigo]],Plan_cuentas[],2,FALSE)," ")</f>
        <v>EGRESOS</v>
      </c>
      <c r="F401" t="str">
        <f>IFERROR(+VLOOKUP(Movimientos_2026[[#This Row],[Codigo]],Plan_cuentas[],3,FALSE)," ")</f>
        <v>Transferencia</v>
      </c>
      <c r="G401" t="str">
        <f>IFERROR(+VLOOKUP(Movimientos_2026[[#This Row],[Codigo]],Plan_cuentas[],4,FALSE)," ")</f>
        <v>Rentas</v>
      </c>
      <c r="H401" t="str">
        <f>IFERROR(+VLOOKUP(Movimientos_2026[[#This Row],[Codigo]],Plan_cuentas[],5,FALSE)," ")</f>
        <v>MISIONES</v>
      </c>
      <c r="I401" s="43">
        <v>46023</v>
      </c>
      <c r="J401" t="s">
        <v>183</v>
      </c>
      <c r="K401" t="str">
        <f>IFERROR(+VLOOKUP(Movimientos_2026[[#This Row],[Codigo]],Plan_cuentas[],6,FALSE)," ")</f>
        <v>1 - VW - Volkswagen</v>
      </c>
      <c r="L401" s="50"/>
      <c r="M401" s="52">
        <v>1461728.5</v>
      </c>
      <c r="N401" s="20">
        <f>+Movimientos_2026[[#This Row],[Ingresos]]-Movimientos_2026[[#This Row],[Egresos]]</f>
        <v>-1461728.5</v>
      </c>
      <c r="O401" s="20">
        <f>+O400+Movimientos_2026[[#This Row],[Neto]]</f>
        <v>4280889992.6155739</v>
      </c>
    </row>
    <row r="402" spans="1:15" x14ac:dyDescent="0.25">
      <c r="A402" s="13">
        <v>46051</v>
      </c>
      <c r="B402" s="12">
        <f>MONTH(Movimientos_2026[[#This Row],[Fecha]])</f>
        <v>1</v>
      </c>
      <c r="C402" s="12" t="str">
        <f>VLOOKUP((WEEKDAY(Movimientos_2026[[#This Row],[Fecha]],2)),'5. Setup'!$D$6:$E$12,2,FALSE)</f>
        <v>Jue</v>
      </c>
      <c r="D402">
        <v>1044463</v>
      </c>
      <c r="E402" t="str">
        <f>IFERROR(+VLOOKUP(Movimientos_2026[[#This Row],[Codigo]],Plan_cuentas[],2,FALSE)," ")</f>
        <v>INGRESOS</v>
      </c>
      <c r="F402" t="str">
        <f>IFERROR(+VLOOKUP(Movimientos_2026[[#This Row],[Codigo]],Plan_cuentas[],3,FALSE)," ")</f>
        <v>Transferencia</v>
      </c>
      <c r="G402" t="str">
        <f>IFERROR(+VLOOKUP(Movimientos_2026[[#This Row],[Codigo]],Plan_cuentas[],4,FALSE)," ")</f>
        <v>Rentas</v>
      </c>
      <c r="H402" t="str">
        <f>IFERROR(+VLOOKUP(Movimientos_2026[[#This Row],[Codigo]],Plan_cuentas[],5,FALSE)," ")</f>
        <v>MISIONES</v>
      </c>
      <c r="I402" s="43">
        <v>45992</v>
      </c>
      <c r="J402" t="s">
        <v>184</v>
      </c>
      <c r="K402" t="str">
        <f>IFERROR(+VLOOKUP(Movimientos_2026[[#This Row],[Codigo]],Plan_cuentas[],6,FALSE)," ")</f>
        <v>3 - GM - Chevrolet</v>
      </c>
      <c r="L402" s="50">
        <v>608167.17000000004</v>
      </c>
      <c r="M402" s="52"/>
      <c r="N402" s="20">
        <f>+Movimientos_2026[[#This Row],[Ingresos]]-Movimientos_2026[[#This Row],[Egresos]]</f>
        <v>608167.17000000004</v>
      </c>
      <c r="O402" s="20">
        <f>+O401+Movimientos_2026[[#This Row],[Neto]]</f>
        <v>4281498159.785574</v>
      </c>
    </row>
    <row r="403" spans="1:15" x14ac:dyDescent="0.25">
      <c r="A403" s="13">
        <v>46051</v>
      </c>
      <c r="B403" s="12">
        <f>MONTH(Movimientos_2026[[#This Row],[Fecha]])</f>
        <v>1</v>
      </c>
      <c r="C403" s="12" t="str">
        <f>VLOOKUP((WEEKDAY(Movimientos_2026[[#This Row],[Fecha]],2)),'5. Setup'!$D$6:$E$12,2,FALSE)</f>
        <v>Jue</v>
      </c>
      <c r="D403">
        <v>1044263</v>
      </c>
      <c r="E403" t="str">
        <f>IFERROR(+VLOOKUP(Movimientos_2026[[#This Row],[Codigo]],Plan_cuentas[],2,FALSE)," ")</f>
        <v>INGRESOS</v>
      </c>
      <c r="F403" t="str">
        <f>IFERROR(+VLOOKUP(Movimientos_2026[[#This Row],[Codigo]],Plan_cuentas[],3,FALSE)," ")</f>
        <v>Transferencia</v>
      </c>
      <c r="G403" t="str">
        <f>IFERROR(+VLOOKUP(Movimientos_2026[[#This Row],[Codigo]],Plan_cuentas[],4,FALSE)," ")</f>
        <v>Rentas</v>
      </c>
      <c r="H403" t="str">
        <f>IFERROR(+VLOOKUP(Movimientos_2026[[#This Row],[Codigo]],Plan_cuentas[],5,FALSE)," ")</f>
        <v>LA PAMPA</v>
      </c>
      <c r="I403" s="43">
        <v>45992</v>
      </c>
      <c r="J403" t="s">
        <v>184</v>
      </c>
      <c r="K403" t="str">
        <f>IFERROR(+VLOOKUP(Movimientos_2026[[#This Row],[Codigo]],Plan_cuentas[],6,FALSE)," ")</f>
        <v>3 - GM - Chevrolet</v>
      </c>
      <c r="L403" s="50">
        <v>1254049.5900000001</v>
      </c>
      <c r="M403" s="52"/>
      <c r="N403" s="20">
        <f>+Movimientos_2026[[#This Row],[Ingresos]]-Movimientos_2026[[#This Row],[Egresos]]</f>
        <v>1254049.5900000001</v>
      </c>
      <c r="O403" s="20">
        <f>+O402+Movimientos_2026[[#This Row],[Neto]]</f>
        <v>4282752209.3755741</v>
      </c>
    </row>
    <row r="404" spans="1:15" x14ac:dyDescent="0.25">
      <c r="A404" s="13">
        <v>46052</v>
      </c>
      <c r="B404" s="12">
        <f>MONTH(Movimientos_2026[[#This Row],[Fecha]])</f>
        <v>1</v>
      </c>
      <c r="C404" s="12" t="str">
        <f>VLOOKUP((WEEKDAY(Movimientos_2026[[#This Row],[Fecha]],2)),'5. Setup'!$D$6:$E$12,2,FALSE)</f>
        <v>Vie</v>
      </c>
      <c r="D404">
        <v>1045474</v>
      </c>
      <c r="E404" t="str">
        <f>IFERROR(+VLOOKUP(Movimientos_2026[[#This Row],[Codigo]],Plan_cuentas[],2,FALSE)," ")</f>
        <v>INGRESOS</v>
      </c>
      <c r="F404" t="str">
        <f>IFERROR(+VLOOKUP(Movimientos_2026[[#This Row],[Codigo]],Plan_cuentas[],3,FALSE)," ")</f>
        <v>Transferencia</v>
      </c>
      <c r="G404" t="str">
        <f>IFERROR(+VLOOKUP(Movimientos_2026[[#This Row],[Codigo]],Plan_cuentas[],4,FALSE)," ")</f>
        <v>Factura</v>
      </c>
      <c r="H404" t="str">
        <f>IFERROR(+VLOOKUP(Movimientos_2026[[#This Row],[Codigo]],Plan_cuentas[],5,FALSE)," ")</f>
        <v>FC HONORARIOS</v>
      </c>
      <c r="I404" s="43">
        <v>45992</v>
      </c>
      <c r="J404" t="s">
        <v>185</v>
      </c>
      <c r="K404" t="str">
        <f>IFERROR(+VLOOKUP(Movimientos_2026[[#This Row],[Codigo]],Plan_cuentas[],6,FALSE)," ")</f>
        <v>4 - FCA - Fiat</v>
      </c>
      <c r="L404" s="50">
        <v>2898085.0010000002</v>
      </c>
      <c r="M404" s="50"/>
      <c r="N404" s="20">
        <f>+Movimientos_2026[[#This Row],[Ingresos]]-Movimientos_2026[[#This Row],[Egresos]]</f>
        <v>2898085.0010000002</v>
      </c>
      <c r="O404" s="20">
        <f>+O403+Movimientos_2026[[#This Row],[Neto]]</f>
        <v>4285650294.376574</v>
      </c>
    </row>
    <row r="405" spans="1:15" x14ac:dyDescent="0.25">
      <c r="A405" s="13">
        <v>46052</v>
      </c>
      <c r="B405" s="12">
        <f>MONTH(Movimientos_2026[[#This Row],[Fecha]])</f>
        <v>1</v>
      </c>
      <c r="C405" s="12" t="str">
        <f>VLOOKUP((WEEKDAY(Movimientos_2026[[#This Row],[Fecha]],2)),'5. Setup'!$D$6:$E$12,2,FALSE)</f>
        <v>Vie</v>
      </c>
      <c r="D405">
        <v>1044486</v>
      </c>
      <c r="E405" t="str">
        <f>IFERROR(+VLOOKUP(Movimientos_2026[[#This Row],[Codigo]],Plan_cuentas[],2,FALSE)," ")</f>
        <v>INGRESOS</v>
      </c>
      <c r="F405" t="str">
        <f>IFERROR(+VLOOKUP(Movimientos_2026[[#This Row],[Codigo]],Plan_cuentas[],3,FALSE)," ")</f>
        <v>Transferencia</v>
      </c>
      <c r="G405" t="str">
        <f>IFERROR(+VLOOKUP(Movimientos_2026[[#This Row],[Codigo]],Plan_cuentas[],4,FALSE)," ")</f>
        <v>Factura</v>
      </c>
      <c r="H405" t="str">
        <f>IFERROR(+VLOOKUP(Movimientos_2026[[#This Row],[Codigo]],Plan_cuentas[],5,FALSE)," ")</f>
        <v>FC TRAMITACION</v>
      </c>
      <c r="I405" s="43">
        <v>45992</v>
      </c>
      <c r="J405" t="s">
        <v>186</v>
      </c>
      <c r="K405" t="str">
        <f>IFERROR(+VLOOKUP(Movimientos_2026[[#This Row],[Codigo]],Plan_cuentas[],6,FALSE)," ")</f>
        <v>6 - FCAtr - Fiat Transf.</v>
      </c>
      <c r="L405" s="50">
        <v>19896637.600000001</v>
      </c>
      <c r="M405" s="50"/>
      <c r="N405" s="20">
        <f>+Movimientos_2026[[#This Row],[Ingresos]]-Movimientos_2026[[#This Row],[Egresos]]</f>
        <v>19896637.600000001</v>
      </c>
      <c r="O405" s="20">
        <f>+O404+Movimientos_2026[[#This Row],[Neto]]</f>
        <v>4305546931.9765739</v>
      </c>
    </row>
    <row r="406" spans="1:15" x14ac:dyDescent="0.25">
      <c r="A406" s="13">
        <v>46052</v>
      </c>
      <c r="B406" s="12">
        <f>MONTH(Movimientos_2026[[#This Row],[Fecha]])</f>
        <v>1</v>
      </c>
      <c r="C406" s="12" t="str">
        <f>VLOOKUP((WEEKDAY(Movimientos_2026[[#This Row],[Fecha]],2)),'5. Setup'!$D$6:$E$12,2,FALSE)</f>
        <v>Vie</v>
      </c>
      <c r="D406">
        <v>1045474</v>
      </c>
      <c r="E406" t="str">
        <f>IFERROR(+VLOOKUP(Movimientos_2026[[#This Row],[Codigo]],Plan_cuentas[],2,FALSE)," ")</f>
        <v>INGRESOS</v>
      </c>
      <c r="F406" t="str">
        <f>IFERROR(+VLOOKUP(Movimientos_2026[[#This Row],[Codigo]],Plan_cuentas[],3,FALSE)," ")</f>
        <v>Transferencia</v>
      </c>
      <c r="G406" t="str">
        <f>IFERROR(+VLOOKUP(Movimientos_2026[[#This Row],[Codigo]],Plan_cuentas[],4,FALSE)," ")</f>
        <v>Factura</v>
      </c>
      <c r="H406" t="str">
        <f>IFERROR(+VLOOKUP(Movimientos_2026[[#This Row],[Codigo]],Plan_cuentas[],5,FALSE)," ")</f>
        <v>FC HONORARIOS</v>
      </c>
      <c r="I406" s="43">
        <v>45992</v>
      </c>
      <c r="J406" t="s">
        <v>187</v>
      </c>
      <c r="K406" t="str">
        <f>IFERROR(+VLOOKUP(Movimientos_2026[[#This Row],[Codigo]],Plan_cuentas[],6,FALSE)," ")</f>
        <v>4 - FCA - Fiat</v>
      </c>
      <c r="L406" s="50">
        <v>1072688.2879999999</v>
      </c>
      <c r="M406" s="50"/>
      <c r="N406" s="20">
        <f>+Movimientos_2026[[#This Row],[Ingresos]]-Movimientos_2026[[#This Row],[Egresos]]</f>
        <v>1072688.2879999999</v>
      </c>
      <c r="O406" s="20">
        <f>+O405+Movimientos_2026[[#This Row],[Neto]]</f>
        <v>4306619620.2645741</v>
      </c>
    </row>
    <row r="407" spans="1:15" x14ac:dyDescent="0.25">
      <c r="A407" s="13">
        <v>46052</v>
      </c>
      <c r="B407" s="12">
        <f>MONTH(Movimientos_2026[[#This Row],[Fecha]])</f>
        <v>1</v>
      </c>
      <c r="C407" s="12" t="str">
        <f>VLOOKUP((WEEKDAY(Movimientos_2026[[#This Row],[Fecha]],2)),'5. Setup'!$D$6:$E$12,2,FALSE)</f>
        <v>Vie</v>
      </c>
      <c r="D407">
        <v>1044126</v>
      </c>
      <c r="E407" t="str">
        <f>IFERROR(+VLOOKUP(Movimientos_2026[[#This Row],[Codigo]],Plan_cuentas[],2,FALSE)," ")</f>
        <v>INGRESOS</v>
      </c>
      <c r="F407" t="str">
        <f>IFERROR(+VLOOKUP(Movimientos_2026[[#This Row],[Codigo]],Plan_cuentas[],3,FALSE)," ")</f>
        <v>Transferencia</v>
      </c>
      <c r="G407" t="str">
        <f>IFERROR(+VLOOKUP(Movimientos_2026[[#This Row],[Codigo]],Plan_cuentas[],4,FALSE)," ")</f>
        <v>Rentas</v>
      </c>
      <c r="H407" t="str">
        <f>IFERROR(+VLOOKUP(Movimientos_2026[[#This Row],[Codigo]],Plan_cuentas[],5,FALSE)," ")</f>
        <v>BAPRO</v>
      </c>
      <c r="I407" s="43">
        <v>45992</v>
      </c>
      <c r="J407" t="s">
        <v>188</v>
      </c>
      <c r="K407" t="str">
        <f>IFERROR(+VLOOKUP(Movimientos_2026[[#This Row],[Codigo]],Plan_cuentas[],6,FALSE)," ")</f>
        <v>6 - FCAtr - Fiat Transf.</v>
      </c>
      <c r="L407" s="50">
        <v>17328871.599999979</v>
      </c>
      <c r="M407" s="50"/>
      <c r="N407" s="20">
        <f>+Movimientos_2026[[#This Row],[Ingresos]]-Movimientos_2026[[#This Row],[Egresos]]</f>
        <v>17328871.599999979</v>
      </c>
      <c r="O407" s="20">
        <f>+O406+Movimientos_2026[[#This Row],[Neto]]</f>
        <v>4323948491.8645744</v>
      </c>
    </row>
    <row r="408" spans="1:15" x14ac:dyDescent="0.25">
      <c r="A408" s="13">
        <v>46052</v>
      </c>
      <c r="B408" s="12">
        <f>MONTH(Movimientos_2026[[#This Row],[Fecha]])</f>
        <v>1</v>
      </c>
      <c r="C408" s="12" t="str">
        <f>VLOOKUP((WEEKDAY(Movimientos_2026[[#This Row],[Fecha]],2)),'5. Setup'!$D$6:$E$12,2,FALSE)</f>
        <v>Vie</v>
      </c>
      <c r="D408">
        <v>1043156</v>
      </c>
      <c r="E408" t="str">
        <f>IFERROR(+VLOOKUP(Movimientos_2026[[#This Row],[Codigo]],Plan_cuentas[],2,FALSE)," ")</f>
        <v>INGRESOS</v>
      </c>
      <c r="F408" t="str">
        <f>IFERROR(+VLOOKUP(Movimientos_2026[[#This Row],[Codigo]],Plan_cuentas[],3,FALSE)," ")</f>
        <v>Transferencia</v>
      </c>
      <c r="G408" t="str">
        <f>IFERROR(+VLOOKUP(Movimientos_2026[[#This Row],[Codigo]],Plan_cuentas[],4,FALSE)," ")</f>
        <v>Registración</v>
      </c>
      <c r="H408" t="str">
        <f>IFERROR(+VLOOKUP(Movimientos_2026[[#This Row],[Codigo]],Plan_cuentas[],5,FALSE)," ")</f>
        <v>CABA</v>
      </c>
      <c r="I408" s="43">
        <v>45992</v>
      </c>
      <c r="J408" t="s">
        <v>188</v>
      </c>
      <c r="K408" t="str">
        <f>IFERROR(+VLOOKUP(Movimientos_2026[[#This Row],[Codigo]],Plan_cuentas[],6,FALSE)," ")</f>
        <v>6 - FCAtr - Fiat Transf.</v>
      </c>
      <c r="L408" s="50">
        <v>7399868.8347999984</v>
      </c>
      <c r="M408" s="50"/>
      <c r="N408" s="20">
        <f>+Movimientos_2026[[#This Row],[Ingresos]]-Movimientos_2026[[#This Row],[Egresos]]</f>
        <v>7399868.8347999984</v>
      </c>
      <c r="O408" s="20">
        <f>+O407+Movimientos_2026[[#This Row],[Neto]]</f>
        <v>4331348360.6993742</v>
      </c>
    </row>
    <row r="409" spans="1:15" x14ac:dyDescent="0.25">
      <c r="A409" s="13">
        <v>46052</v>
      </c>
      <c r="B409" s="12">
        <f>MONTH(Movimientos_2026[[#This Row],[Fecha]])</f>
        <v>1</v>
      </c>
      <c r="C409" s="12" t="str">
        <f>VLOOKUP((WEEKDAY(Movimientos_2026[[#This Row],[Fecha]],2)),'5. Setup'!$D$6:$E$12,2,FALSE)</f>
        <v>Vie</v>
      </c>
      <c r="D409">
        <v>1043176</v>
      </c>
      <c r="E409" t="str">
        <f>IFERROR(+VLOOKUP(Movimientos_2026[[#This Row],[Codigo]],Plan_cuentas[],2,FALSE)," ")</f>
        <v>INGRESOS</v>
      </c>
      <c r="F409" t="str">
        <f>IFERROR(+VLOOKUP(Movimientos_2026[[#This Row],[Codigo]],Plan_cuentas[],3,FALSE)," ")</f>
        <v>Transferencia</v>
      </c>
      <c r="G409" t="str">
        <f>IFERROR(+VLOOKUP(Movimientos_2026[[#This Row],[Codigo]],Plan_cuentas[],4,FALSE)," ")</f>
        <v>Registración</v>
      </c>
      <c r="H409" t="str">
        <f>IFERROR(+VLOOKUP(Movimientos_2026[[#This Row],[Codigo]],Plan_cuentas[],5,FALSE)," ")</f>
        <v>CHUBUT</v>
      </c>
      <c r="I409" s="43">
        <v>45992</v>
      </c>
      <c r="J409" t="s">
        <v>188</v>
      </c>
      <c r="K409" t="str">
        <f>IFERROR(+VLOOKUP(Movimientos_2026[[#This Row],[Codigo]],Plan_cuentas[],6,FALSE)," ")</f>
        <v>6 - FCAtr - Fiat Transf.</v>
      </c>
      <c r="L409" s="50">
        <v>828742.72999999986</v>
      </c>
      <c r="M409" s="50"/>
      <c r="N409" s="20">
        <f>+Movimientos_2026[[#This Row],[Ingresos]]-Movimientos_2026[[#This Row],[Egresos]]</f>
        <v>828742.72999999986</v>
      </c>
      <c r="O409" s="20">
        <f>+O408+Movimientos_2026[[#This Row],[Neto]]</f>
        <v>4332177103.4293737</v>
      </c>
    </row>
    <row r="410" spans="1:15" x14ac:dyDescent="0.25">
      <c r="A410" s="13">
        <v>46052</v>
      </c>
      <c r="B410" s="12">
        <f>MONTH(Movimientos_2026[[#This Row],[Fecha]])</f>
        <v>1</v>
      </c>
      <c r="C410" s="12" t="str">
        <f>VLOOKUP((WEEKDAY(Movimientos_2026[[#This Row],[Fecha]],2)),'5. Setup'!$D$6:$E$12,2,FALSE)</f>
        <v>Vie</v>
      </c>
      <c r="D410">
        <v>1043226</v>
      </c>
      <c r="E410" t="str">
        <f>IFERROR(+VLOOKUP(Movimientos_2026[[#This Row],[Codigo]],Plan_cuentas[],2,FALSE)," ")</f>
        <v>INGRESOS</v>
      </c>
      <c r="F410" t="str">
        <f>IFERROR(+VLOOKUP(Movimientos_2026[[#This Row],[Codigo]],Plan_cuentas[],3,FALSE)," ")</f>
        <v>Transferencia</v>
      </c>
      <c r="G410" t="str">
        <f>IFERROR(+VLOOKUP(Movimientos_2026[[#This Row],[Codigo]],Plan_cuentas[],4,FALSE)," ")</f>
        <v>Registración</v>
      </c>
      <c r="H410" t="str">
        <f>IFERROR(+VLOOKUP(Movimientos_2026[[#This Row],[Codigo]],Plan_cuentas[],5,FALSE)," ")</f>
        <v>ENTRE RIOS 1° Q</v>
      </c>
      <c r="I410" s="43">
        <v>46023</v>
      </c>
      <c r="J410" t="s">
        <v>188</v>
      </c>
      <c r="K410" t="str">
        <f>IFERROR(+VLOOKUP(Movimientos_2026[[#This Row],[Codigo]],Plan_cuentas[],6,FALSE)," ")</f>
        <v>6 - FCAtr - Fiat Transf.</v>
      </c>
      <c r="L410" s="50">
        <v>133747.39000000001</v>
      </c>
      <c r="M410" s="50"/>
      <c r="N410" s="20">
        <f>+Movimientos_2026[[#This Row],[Ingresos]]-Movimientos_2026[[#This Row],[Egresos]]</f>
        <v>133747.39000000001</v>
      </c>
      <c r="O410" s="20">
        <f>+O409+Movimientos_2026[[#This Row],[Neto]]</f>
        <v>4332310850.8193741</v>
      </c>
    </row>
    <row r="411" spans="1:15" x14ac:dyDescent="0.25">
      <c r="A411" s="13">
        <v>46052</v>
      </c>
      <c r="B411" s="12">
        <f>MONTH(Movimientos_2026[[#This Row],[Fecha]])</f>
        <v>1</v>
      </c>
      <c r="C411" s="12" t="str">
        <f>VLOOKUP((WEEKDAY(Movimientos_2026[[#This Row],[Fecha]],2)),'5. Setup'!$D$6:$E$12,2,FALSE)</f>
        <v>Vie</v>
      </c>
      <c r="D411">
        <v>1044246</v>
      </c>
      <c r="E411" t="str">
        <f>IFERROR(+VLOOKUP(Movimientos_2026[[#This Row],[Codigo]],Plan_cuentas[],2,FALSE)," ")</f>
        <v>INGRESOS</v>
      </c>
      <c r="F411" t="str">
        <f>IFERROR(+VLOOKUP(Movimientos_2026[[#This Row],[Codigo]],Plan_cuentas[],3,FALSE)," ")</f>
        <v>Transferencia</v>
      </c>
      <c r="G411" t="str">
        <f>IFERROR(+VLOOKUP(Movimientos_2026[[#This Row],[Codigo]],Plan_cuentas[],4,FALSE)," ")</f>
        <v>Rentas</v>
      </c>
      <c r="H411" t="str">
        <f>IFERROR(+VLOOKUP(Movimientos_2026[[#This Row],[Codigo]],Plan_cuentas[],5,FALSE)," ")</f>
        <v>FORMOSA</v>
      </c>
      <c r="I411" s="43">
        <v>45992</v>
      </c>
      <c r="J411" t="s">
        <v>188</v>
      </c>
      <c r="K411" t="str">
        <f>IFERROR(+VLOOKUP(Movimientos_2026[[#This Row],[Codigo]],Plan_cuentas[],6,FALSE)," ")</f>
        <v>6 - FCAtr - Fiat Transf.</v>
      </c>
      <c r="L411" s="50">
        <v>393102.53</v>
      </c>
      <c r="M411" s="50"/>
      <c r="N411" s="20">
        <f>+Movimientos_2026[[#This Row],[Ingresos]]-Movimientos_2026[[#This Row],[Egresos]]</f>
        <v>393102.53</v>
      </c>
      <c r="O411" s="20">
        <f>+O410+Movimientos_2026[[#This Row],[Neto]]</f>
        <v>4332703953.3493738</v>
      </c>
    </row>
    <row r="412" spans="1:15" x14ac:dyDescent="0.25">
      <c r="A412" s="13">
        <v>46052</v>
      </c>
      <c r="B412" s="12">
        <f>MONTH(Movimientos_2026[[#This Row],[Fecha]])</f>
        <v>1</v>
      </c>
      <c r="C412" s="12" t="str">
        <f>VLOOKUP((WEEKDAY(Movimientos_2026[[#This Row],[Fecha]],2)),'5. Setup'!$D$6:$E$12,2,FALSE)</f>
        <v>Vie</v>
      </c>
      <c r="D412">
        <v>1043376</v>
      </c>
      <c r="E412" t="str">
        <f>IFERROR(+VLOOKUP(Movimientos_2026[[#This Row],[Codigo]],Plan_cuentas[],2,FALSE)," ")</f>
        <v>INGRESOS</v>
      </c>
      <c r="F412" t="str">
        <f>IFERROR(+VLOOKUP(Movimientos_2026[[#This Row],[Codigo]],Plan_cuentas[],3,FALSE)," ")</f>
        <v>Transferencia</v>
      </c>
      <c r="G412" t="str">
        <f>IFERROR(+VLOOKUP(Movimientos_2026[[#This Row],[Codigo]],Plan_cuentas[],4,FALSE)," ")</f>
        <v>Registración</v>
      </c>
      <c r="H412" t="str">
        <f>IFERROR(+VLOOKUP(Movimientos_2026[[#This Row],[Codigo]],Plan_cuentas[],5,FALSE)," ")</f>
        <v>SANTA CRUZ</v>
      </c>
      <c r="I412" s="43">
        <v>45992</v>
      </c>
      <c r="J412" t="s">
        <v>188</v>
      </c>
      <c r="K412" t="str">
        <f>IFERROR(+VLOOKUP(Movimientos_2026[[#This Row],[Codigo]],Plan_cuentas[],6,FALSE)," ")</f>
        <v>6 - FCAtr - Fiat Transf.</v>
      </c>
      <c r="L412" s="50">
        <v>286383.56</v>
      </c>
      <c r="M412" s="50"/>
      <c r="N412" s="20">
        <f>+Movimientos_2026[[#This Row],[Ingresos]]-Movimientos_2026[[#This Row],[Egresos]]</f>
        <v>286383.56</v>
      </c>
      <c r="O412" s="20">
        <f>+O411+Movimientos_2026[[#This Row],[Neto]]</f>
        <v>4332990336.9093742</v>
      </c>
    </row>
    <row r="413" spans="1:15" x14ac:dyDescent="0.25">
      <c r="A413" s="13">
        <v>46052</v>
      </c>
      <c r="B413" s="12">
        <f>MONTH(Movimientos_2026[[#This Row],[Fecha]])</f>
        <v>1</v>
      </c>
      <c r="C413" s="12" t="str">
        <f>VLOOKUP((WEEKDAY(Movimientos_2026[[#This Row],[Fecha]],2)),'5. Setup'!$D$6:$E$12,2,FALSE)</f>
        <v>Vie</v>
      </c>
      <c r="D413">
        <v>1043386</v>
      </c>
      <c r="E413" t="str">
        <f>IFERROR(+VLOOKUP(Movimientos_2026[[#This Row],[Codigo]],Plan_cuentas[],2,FALSE)," ")</f>
        <v>INGRESOS</v>
      </c>
      <c r="F413" t="str">
        <f>IFERROR(+VLOOKUP(Movimientos_2026[[#This Row],[Codigo]],Plan_cuentas[],3,FALSE)," ")</f>
        <v>Transferencia</v>
      </c>
      <c r="G413" t="str">
        <f>IFERROR(+VLOOKUP(Movimientos_2026[[#This Row],[Codigo]],Plan_cuentas[],4,FALSE)," ")</f>
        <v>Registración</v>
      </c>
      <c r="H413" t="str">
        <f>IFERROR(+VLOOKUP(Movimientos_2026[[#This Row],[Codigo]],Plan_cuentas[],5,FALSE)," ")</f>
        <v>SANTA FE 1° Q</v>
      </c>
      <c r="I413" s="43">
        <v>46023</v>
      </c>
      <c r="J413" t="s">
        <v>188</v>
      </c>
      <c r="K413" t="str">
        <f>IFERROR(+VLOOKUP(Movimientos_2026[[#This Row],[Codigo]],Plan_cuentas[],6,FALSE)," ")</f>
        <v>6 - FCAtr - Fiat Transf.</v>
      </c>
      <c r="L413" s="50">
        <v>1319092.790000001</v>
      </c>
      <c r="M413" s="50"/>
      <c r="N413" s="20">
        <f>+Movimientos_2026[[#This Row],[Ingresos]]-Movimientos_2026[[#This Row],[Egresos]]</f>
        <v>1319092.790000001</v>
      </c>
      <c r="O413" s="20">
        <f>+O412+Movimientos_2026[[#This Row],[Neto]]</f>
        <v>4334309429.6993742</v>
      </c>
    </row>
    <row r="414" spans="1:15" x14ac:dyDescent="0.25">
      <c r="A414" s="13">
        <v>46054</v>
      </c>
      <c r="B414" s="12">
        <f>MONTH(Movimientos_2026[[#This Row],[Fecha]])</f>
        <v>2</v>
      </c>
      <c r="C414" s="12" t="str">
        <f>VLOOKUP((WEEKDAY(Movimientos_2026[[#This Row],[Fecha]],2)),'5. Setup'!$D$6:$E$12,2,FALSE)</f>
        <v>Dom</v>
      </c>
      <c r="D414">
        <v>3000000</v>
      </c>
      <c r="E414" t="str">
        <f>IFERROR(+VLOOKUP(Movimientos_2026[[#This Row],[Codigo]],Plan_cuentas[],2,FALSE)," ")</f>
        <v>SALDO INICIAL</v>
      </c>
      <c r="F414" t="str">
        <f>IFERROR(+VLOOKUP(Movimientos_2026[[#This Row],[Codigo]],Plan_cuentas[],3,FALSE)," ")</f>
        <v xml:space="preserve"> </v>
      </c>
      <c r="G414" t="str">
        <f>IFERROR(+VLOOKUP(Movimientos_2026[[#This Row],[Codigo]],Plan_cuentas[],4,FALSE)," ")</f>
        <v xml:space="preserve"> </v>
      </c>
      <c r="H414" t="str">
        <f>IFERROR(+VLOOKUP(Movimientos_2026[[#This Row],[Codigo]],Plan_cuentas[],5,FALSE)," ")</f>
        <v xml:space="preserve"> </v>
      </c>
      <c r="I414" s="43"/>
      <c r="K414" t="str">
        <f>IFERROR(+VLOOKUP(Movimientos_2026[[#This Row],[Codigo]],Plan_cuentas[],6,FALSE)," ")</f>
        <v xml:space="preserve">     </v>
      </c>
      <c r="L414" s="50"/>
      <c r="M414" s="50"/>
      <c r="N414" s="20">
        <f>+Movimientos_2026[[#This Row],[Ingresos]]-Movimientos_2026[[#This Row],[Egresos]]</f>
        <v>0</v>
      </c>
      <c r="O414" s="20">
        <f>+O413+Movimientos_2026[[#This Row],[Neto]]</f>
        <v>4334309429.6993742</v>
      </c>
    </row>
    <row r="415" spans="1:15" x14ac:dyDescent="0.25">
      <c r="A415" s="13">
        <v>46056</v>
      </c>
      <c r="B415" s="12">
        <f>MONTH(Movimientos_2026[[#This Row],[Fecha]])</f>
        <v>2</v>
      </c>
      <c r="C415" s="12" t="str">
        <f>VLOOKUP((WEEKDAY(Movimientos_2026[[#This Row],[Fecha]],2)),'5. Setup'!$D$6:$E$12,2,FALSE)</f>
        <v>Mar</v>
      </c>
      <c r="D415">
        <v>1045451</v>
      </c>
      <c r="E415" t="str">
        <f>IFERROR(+VLOOKUP(Movimientos_2026[[#This Row],[Codigo]],Plan_cuentas[],2,FALSE)," ")</f>
        <v>INGRESOS</v>
      </c>
      <c r="F415" t="str">
        <f>IFERROR(+VLOOKUP(Movimientos_2026[[#This Row],[Codigo]],Plan_cuentas[],3,FALSE)," ")</f>
        <v>Transferencia</v>
      </c>
      <c r="G415" t="str">
        <f>IFERROR(+VLOOKUP(Movimientos_2026[[#This Row],[Codigo]],Plan_cuentas[],4,FALSE)," ")</f>
        <v>Factura</v>
      </c>
      <c r="H415" t="str">
        <f>IFERROR(+VLOOKUP(Movimientos_2026[[#This Row],[Codigo]],Plan_cuentas[],5,FALSE)," ")</f>
        <v>FC DERECHOS</v>
      </c>
      <c r="I415" s="43">
        <v>45689</v>
      </c>
      <c r="J415" t="s">
        <v>189</v>
      </c>
      <c r="K415" t="str">
        <f>IFERROR(+VLOOKUP(Movimientos_2026[[#This Row],[Codigo]],Plan_cuentas[],6,FALSE)," ")</f>
        <v>1 - VW - Volkswagen</v>
      </c>
      <c r="L415" s="50">
        <v>2903451.17</v>
      </c>
      <c r="M415" s="50"/>
      <c r="N415" s="20">
        <f>+Movimientos_2026[[#This Row],[Ingresos]]-Movimientos_2026[[#This Row],[Egresos]]</f>
        <v>2903451.17</v>
      </c>
      <c r="O415" s="20">
        <f>+O414+Movimientos_2026[[#This Row],[Neto]]</f>
        <v>4337212880.8693743</v>
      </c>
    </row>
    <row r="416" spans="1:15" x14ac:dyDescent="0.25">
      <c r="A416" s="13">
        <v>46056</v>
      </c>
      <c r="B416" s="12">
        <f>MONTH(Movimientos_2026[[#This Row],[Fecha]])</f>
        <v>2</v>
      </c>
      <c r="C416" s="12" t="str">
        <f>VLOOKUP((WEEKDAY(Movimientos_2026[[#This Row],[Fecha]],2)),'5. Setup'!$D$6:$E$12,2,FALSE)</f>
        <v>Mar</v>
      </c>
      <c r="D416">
        <v>1045451</v>
      </c>
      <c r="E416" t="str">
        <f>IFERROR(+VLOOKUP(Movimientos_2026[[#This Row],[Codigo]],Plan_cuentas[],2,FALSE)," ")</f>
        <v>INGRESOS</v>
      </c>
      <c r="F416" t="str">
        <f>IFERROR(+VLOOKUP(Movimientos_2026[[#This Row],[Codigo]],Plan_cuentas[],3,FALSE)," ")</f>
        <v>Transferencia</v>
      </c>
      <c r="G416" t="str">
        <f>IFERROR(+VLOOKUP(Movimientos_2026[[#This Row],[Codigo]],Plan_cuentas[],4,FALSE)," ")</f>
        <v>Factura</v>
      </c>
      <c r="H416" t="str">
        <f>IFERROR(+VLOOKUP(Movimientos_2026[[#This Row],[Codigo]],Plan_cuentas[],5,FALSE)," ")</f>
        <v>FC DERECHOS</v>
      </c>
      <c r="I416" s="43">
        <v>45839</v>
      </c>
      <c r="J416" t="s">
        <v>190</v>
      </c>
      <c r="K416" t="str">
        <f>IFERROR(+VLOOKUP(Movimientos_2026[[#This Row],[Codigo]],Plan_cuentas[],6,FALSE)," ")</f>
        <v>1 - VW - Volkswagen</v>
      </c>
      <c r="L416" s="50">
        <v>53205863.07</v>
      </c>
      <c r="M416" s="50"/>
      <c r="N416" s="20">
        <f>+Movimientos_2026[[#This Row],[Ingresos]]-Movimientos_2026[[#This Row],[Egresos]]</f>
        <v>53205863.07</v>
      </c>
      <c r="O416" s="20">
        <f>+O415+Movimientos_2026[[#This Row],[Neto]]</f>
        <v>4390418743.939374</v>
      </c>
    </row>
    <row r="417" spans="1:15" x14ac:dyDescent="0.25">
      <c r="A417" s="13">
        <v>46056</v>
      </c>
      <c r="B417" s="12">
        <f>MONTH(Movimientos_2026[[#This Row],[Fecha]])</f>
        <v>2</v>
      </c>
      <c r="C417" s="12" t="str">
        <f>VLOOKUP((WEEKDAY(Movimientos_2026[[#This Row],[Fecha]],2)),'5. Setup'!$D$6:$E$12,2,FALSE)</f>
        <v>Mar</v>
      </c>
      <c r="D417">
        <v>1045451</v>
      </c>
      <c r="E417" t="str">
        <f>IFERROR(+VLOOKUP(Movimientos_2026[[#This Row],[Codigo]],Plan_cuentas[],2,FALSE)," ")</f>
        <v>INGRESOS</v>
      </c>
      <c r="F417" t="str">
        <f>IFERROR(+VLOOKUP(Movimientos_2026[[#This Row],[Codigo]],Plan_cuentas[],3,FALSE)," ")</f>
        <v>Transferencia</v>
      </c>
      <c r="G417" t="str">
        <f>IFERROR(+VLOOKUP(Movimientos_2026[[#This Row],[Codigo]],Plan_cuentas[],4,FALSE)," ")</f>
        <v>Factura</v>
      </c>
      <c r="H417" t="str">
        <f>IFERROR(+VLOOKUP(Movimientos_2026[[#This Row],[Codigo]],Plan_cuentas[],5,FALSE)," ")</f>
        <v>FC DERECHOS</v>
      </c>
      <c r="I417" s="43">
        <v>45931</v>
      </c>
      <c r="J417" t="s">
        <v>191</v>
      </c>
      <c r="K417" t="str">
        <f>IFERROR(+VLOOKUP(Movimientos_2026[[#This Row],[Codigo]],Plan_cuentas[],6,FALSE)," ")</f>
        <v>1 - VW - Volkswagen</v>
      </c>
      <c r="L417" s="50">
        <v>1824971.36</v>
      </c>
      <c r="M417" s="50"/>
      <c r="N417" s="20">
        <f>+Movimientos_2026[[#This Row],[Ingresos]]-Movimientos_2026[[#This Row],[Egresos]]</f>
        <v>1824971.36</v>
      </c>
      <c r="O417" s="20">
        <f>+O416+Movimientos_2026[[#This Row],[Neto]]</f>
        <v>4392243715.2993736</v>
      </c>
    </row>
    <row r="418" spans="1:15" x14ac:dyDescent="0.25">
      <c r="A418" s="13">
        <v>46056</v>
      </c>
      <c r="B418" s="12">
        <f>MONTH(Movimientos_2026[[#This Row],[Fecha]])</f>
        <v>2</v>
      </c>
      <c r="C418" s="12" t="str">
        <f>VLOOKUP((WEEKDAY(Movimientos_2026[[#This Row],[Fecha]],2)),'5. Setup'!$D$6:$E$12,2,FALSE)</f>
        <v>Mar</v>
      </c>
      <c r="D418">
        <v>1045451</v>
      </c>
      <c r="E418" t="str">
        <f>IFERROR(+VLOOKUP(Movimientos_2026[[#This Row],[Codigo]],Plan_cuentas[],2,FALSE)," ")</f>
        <v>INGRESOS</v>
      </c>
      <c r="F418" t="str">
        <f>IFERROR(+VLOOKUP(Movimientos_2026[[#This Row],[Codigo]],Plan_cuentas[],3,FALSE)," ")</f>
        <v>Transferencia</v>
      </c>
      <c r="G418" t="str">
        <f>IFERROR(+VLOOKUP(Movimientos_2026[[#This Row],[Codigo]],Plan_cuentas[],4,FALSE)," ")</f>
        <v>Factura</v>
      </c>
      <c r="H418" t="str">
        <f>IFERROR(+VLOOKUP(Movimientos_2026[[#This Row],[Codigo]],Plan_cuentas[],5,FALSE)," ")</f>
        <v>FC DERECHOS</v>
      </c>
      <c r="I418" s="43">
        <v>45809</v>
      </c>
      <c r="J418" t="s">
        <v>192</v>
      </c>
      <c r="K418" t="str">
        <f>IFERROR(+VLOOKUP(Movimientos_2026[[#This Row],[Codigo]],Plan_cuentas[],6,FALSE)," ")</f>
        <v>1 - VW - Volkswagen</v>
      </c>
      <c r="L418" s="50">
        <v>69583298.120000005</v>
      </c>
      <c r="M418" s="50"/>
      <c r="N418" s="20">
        <f>+Movimientos_2026[[#This Row],[Ingresos]]-Movimientos_2026[[#This Row],[Egresos]]</f>
        <v>69583298.120000005</v>
      </c>
      <c r="O418" s="20">
        <f>+O417+Movimientos_2026[[#This Row],[Neto]]</f>
        <v>4461827013.4193735</v>
      </c>
    </row>
    <row r="419" spans="1:15" x14ac:dyDescent="0.25">
      <c r="A419" s="13">
        <v>46056</v>
      </c>
      <c r="B419" s="12">
        <f>MONTH(Movimientos_2026[[#This Row],[Fecha]])</f>
        <v>2</v>
      </c>
      <c r="C419" s="12" t="str">
        <f>VLOOKUP((WEEKDAY(Movimientos_2026[[#This Row],[Fecha]],2)),'5. Setup'!$D$6:$E$12,2,FALSE)</f>
        <v>Mar</v>
      </c>
      <c r="D419">
        <v>1043154</v>
      </c>
      <c r="E419" t="str">
        <f>IFERROR(+VLOOKUP(Movimientos_2026[[#This Row],[Codigo]],Plan_cuentas[],2,FALSE)," ")</f>
        <v>INGRESOS</v>
      </c>
      <c r="F419" t="str">
        <f>IFERROR(+VLOOKUP(Movimientos_2026[[#This Row],[Codigo]],Plan_cuentas[],3,FALSE)," ")</f>
        <v>Transferencia</v>
      </c>
      <c r="G419" t="str">
        <f>IFERROR(+VLOOKUP(Movimientos_2026[[#This Row],[Codigo]],Plan_cuentas[],4,FALSE)," ")</f>
        <v>Registración</v>
      </c>
      <c r="H419" t="str">
        <f>IFERROR(+VLOOKUP(Movimientos_2026[[#This Row],[Codigo]],Plan_cuentas[],5,FALSE)," ")</f>
        <v>CABA</v>
      </c>
      <c r="I419" s="43">
        <v>46023</v>
      </c>
      <c r="J419" t="s">
        <v>193</v>
      </c>
      <c r="K419" t="str">
        <f>IFERROR(+VLOOKUP(Movimientos_2026[[#This Row],[Codigo]],Plan_cuentas[],6,FALSE)," ")</f>
        <v>4 - FCA - Fiat</v>
      </c>
      <c r="L419" s="50">
        <v>618349600.42999995</v>
      </c>
      <c r="M419" s="50"/>
      <c r="N419" s="20">
        <f>+Movimientos_2026[[#This Row],[Ingresos]]-Movimientos_2026[[#This Row],[Egresos]]</f>
        <v>618349600.42999995</v>
      </c>
      <c r="O419" s="20">
        <f>+O418+Movimientos_2026[[#This Row],[Neto]]</f>
        <v>5080176613.8493738</v>
      </c>
    </row>
    <row r="420" spans="1:15" x14ac:dyDescent="0.25">
      <c r="A420" s="13">
        <v>46056</v>
      </c>
      <c r="B420" s="12">
        <f>MONTH(Movimientos_2026[[#This Row],[Fecha]])</f>
        <v>2</v>
      </c>
      <c r="C420" s="12" t="str">
        <f>VLOOKUP((WEEKDAY(Movimientos_2026[[#This Row],[Fecha]],2)),'5. Setup'!$D$6:$E$12,2,FALSE)</f>
        <v>Mar</v>
      </c>
      <c r="D420">
        <v>1043394</v>
      </c>
      <c r="E420" t="str">
        <f>IFERROR(+VLOOKUP(Movimientos_2026[[#This Row],[Codigo]],Plan_cuentas[],2,FALSE)," ")</f>
        <v>INGRESOS</v>
      </c>
      <c r="F420" t="str">
        <f>IFERROR(+VLOOKUP(Movimientos_2026[[#This Row],[Codigo]],Plan_cuentas[],3,FALSE)," ")</f>
        <v>Transferencia</v>
      </c>
      <c r="G420" t="str">
        <f>IFERROR(+VLOOKUP(Movimientos_2026[[#This Row],[Codigo]],Plan_cuentas[],4,FALSE)," ")</f>
        <v>Registración</v>
      </c>
      <c r="H420" t="str">
        <f>IFERROR(+VLOOKUP(Movimientos_2026[[#This Row],[Codigo]],Plan_cuentas[],5,FALSE)," ")</f>
        <v>SANTA FE 2° Q</v>
      </c>
      <c r="I420" s="43">
        <v>46023</v>
      </c>
      <c r="J420" t="s">
        <v>193</v>
      </c>
      <c r="K420" t="str">
        <f>IFERROR(+VLOOKUP(Movimientos_2026[[#This Row],[Codigo]],Plan_cuentas[],6,FALSE)," ")</f>
        <v>4 - FCA - Fiat</v>
      </c>
      <c r="L420" s="50">
        <v>80058290.459999993</v>
      </c>
      <c r="M420" s="50"/>
      <c r="N420" s="20">
        <f>+Movimientos_2026[[#This Row],[Ingresos]]-Movimientos_2026[[#This Row],[Egresos]]</f>
        <v>80058290.459999993</v>
      </c>
      <c r="O420" s="20">
        <f>+O419+Movimientos_2026[[#This Row],[Neto]]</f>
        <v>5160234904.3093739</v>
      </c>
    </row>
    <row r="421" spans="1:15" x14ac:dyDescent="0.25">
      <c r="A421" s="13">
        <v>46056</v>
      </c>
      <c r="B421" s="12">
        <f>MONTH(Movimientos_2026[[#This Row],[Fecha]])</f>
        <v>2</v>
      </c>
      <c r="C421" s="12" t="str">
        <f>VLOOKUP((WEEKDAY(Movimientos_2026[[#This Row],[Fecha]],2)),'5. Setup'!$D$6:$E$12,2,FALSE)</f>
        <v>Mar</v>
      </c>
      <c r="D421">
        <v>1044174</v>
      </c>
      <c r="E421" t="str">
        <f>IFERROR(+VLOOKUP(Movimientos_2026[[#This Row],[Codigo]],Plan_cuentas[],2,FALSE)," ")</f>
        <v>INGRESOS</v>
      </c>
      <c r="F421" t="str">
        <f>IFERROR(+VLOOKUP(Movimientos_2026[[#This Row],[Codigo]],Plan_cuentas[],3,FALSE)," ")</f>
        <v>Transferencia</v>
      </c>
      <c r="G421" t="str">
        <f>IFERROR(+VLOOKUP(Movimientos_2026[[#This Row],[Codigo]],Plan_cuentas[],4,FALSE)," ")</f>
        <v>Rentas</v>
      </c>
      <c r="H421" t="str">
        <f>IFERROR(+VLOOKUP(Movimientos_2026[[#This Row],[Codigo]],Plan_cuentas[],5,FALSE)," ")</f>
        <v>CHUBUT</v>
      </c>
      <c r="I421" s="43">
        <v>46023</v>
      </c>
      <c r="J421" t="s">
        <v>193</v>
      </c>
      <c r="K421" t="str">
        <f>IFERROR(+VLOOKUP(Movimientos_2026[[#This Row],[Codigo]],Plan_cuentas[],6,FALSE)," ")</f>
        <v>4 - FCA - Fiat</v>
      </c>
      <c r="L421" s="50">
        <v>20588934</v>
      </c>
      <c r="M421" s="50"/>
      <c r="N421" s="20">
        <f>+Movimientos_2026[[#This Row],[Ingresos]]-Movimientos_2026[[#This Row],[Egresos]]</f>
        <v>20588934</v>
      </c>
      <c r="O421" s="20">
        <f>+O420+Movimientos_2026[[#This Row],[Neto]]</f>
        <v>5180823838.3093739</v>
      </c>
    </row>
    <row r="422" spans="1:15" x14ac:dyDescent="0.25">
      <c r="A422" s="13">
        <v>46056</v>
      </c>
      <c r="B422" s="12">
        <f>MONTH(Movimientos_2026[[#This Row],[Fecha]])</f>
        <v>2</v>
      </c>
      <c r="C422" s="12" t="str">
        <f>VLOOKUP((WEEKDAY(Movimientos_2026[[#This Row],[Fecha]],2)),'5. Setup'!$D$6:$E$12,2,FALSE)</f>
        <v>Mar</v>
      </c>
      <c r="D422">
        <v>1044196</v>
      </c>
      <c r="E422" t="str">
        <f>IFERROR(+VLOOKUP(Movimientos_2026[[#This Row],[Codigo]],Plan_cuentas[],2,FALSE)," ")</f>
        <v>INGRESOS</v>
      </c>
      <c r="F422" t="str">
        <f>IFERROR(+VLOOKUP(Movimientos_2026[[#This Row],[Codigo]],Plan_cuentas[],3,FALSE)," ")</f>
        <v>Transferencia</v>
      </c>
      <c r="G422" t="str">
        <f>IFERROR(+VLOOKUP(Movimientos_2026[[#This Row],[Codigo]],Plan_cuentas[],4,FALSE)," ")</f>
        <v>Rentas</v>
      </c>
      <c r="H422" t="str">
        <f>IFERROR(+VLOOKUP(Movimientos_2026[[#This Row],[Codigo]],Plan_cuentas[],5,FALSE)," ")</f>
        <v>CORDOBA 2° Q</v>
      </c>
      <c r="I422" s="43">
        <v>46023</v>
      </c>
      <c r="J422" t="s">
        <v>193</v>
      </c>
      <c r="K422" t="str">
        <f>IFERROR(+VLOOKUP(Movimientos_2026[[#This Row],[Codigo]],Plan_cuentas[],6,FALSE)," ")</f>
        <v>6 - FCAtr - Fiat Transf.</v>
      </c>
      <c r="L422" s="50">
        <v>11787560.550000019</v>
      </c>
      <c r="M422" s="50"/>
      <c r="N422" s="20">
        <f>+Movimientos_2026[[#This Row],[Ingresos]]-Movimientos_2026[[#This Row],[Egresos]]</f>
        <v>11787560.550000019</v>
      </c>
      <c r="O422" s="20">
        <f>+O421+Movimientos_2026[[#This Row],[Neto]]</f>
        <v>5192611398.859374</v>
      </c>
    </row>
    <row r="423" spans="1:15" x14ac:dyDescent="0.25">
      <c r="A423" s="13">
        <v>46056</v>
      </c>
      <c r="B423" s="12">
        <f>MONTH(Movimientos_2026[[#This Row],[Fecha]])</f>
        <v>2</v>
      </c>
      <c r="C423" s="12" t="str">
        <f>VLOOKUP((WEEKDAY(Movimientos_2026[[#This Row],[Fecha]],2)),'5. Setup'!$D$6:$E$12,2,FALSE)</f>
        <v>Mar</v>
      </c>
      <c r="D423">
        <v>1044214</v>
      </c>
      <c r="E423" t="str">
        <f>IFERROR(+VLOOKUP(Movimientos_2026[[#This Row],[Codigo]],Plan_cuentas[],2,FALSE)," ")</f>
        <v>INGRESOS</v>
      </c>
      <c r="F423" t="str">
        <f>IFERROR(+VLOOKUP(Movimientos_2026[[#This Row],[Codigo]],Plan_cuentas[],3,FALSE)," ")</f>
        <v>Transferencia</v>
      </c>
      <c r="G423" t="str">
        <f>IFERROR(+VLOOKUP(Movimientos_2026[[#This Row],[Codigo]],Plan_cuentas[],4,FALSE)," ")</f>
        <v>Rentas</v>
      </c>
      <c r="H423" t="str">
        <f>IFERROR(+VLOOKUP(Movimientos_2026[[#This Row],[Codigo]],Plan_cuentas[],5,FALSE)," ")</f>
        <v>CORRIENTES 2° Q</v>
      </c>
      <c r="I423" s="43">
        <v>46023</v>
      </c>
      <c r="J423" t="s">
        <v>193</v>
      </c>
      <c r="K423" t="str">
        <f>IFERROR(+VLOOKUP(Movimientos_2026[[#This Row],[Codigo]],Plan_cuentas[],6,FALSE)," ")</f>
        <v>4 - FCA - Fiat</v>
      </c>
      <c r="L423" s="50">
        <v>1433411.36</v>
      </c>
      <c r="M423" s="50"/>
      <c r="N423" s="20">
        <f>+Movimientos_2026[[#This Row],[Ingresos]]-Movimientos_2026[[#This Row],[Egresos]]</f>
        <v>1433411.36</v>
      </c>
      <c r="O423" s="20">
        <f>+O422+Movimientos_2026[[#This Row],[Neto]]</f>
        <v>5194044810.2193737</v>
      </c>
    </row>
    <row r="424" spans="1:15" x14ac:dyDescent="0.25">
      <c r="A424" s="13">
        <v>46056</v>
      </c>
      <c r="B424" s="12">
        <f>MONTH(Movimientos_2026[[#This Row],[Fecha]])</f>
        <v>2</v>
      </c>
      <c r="C424" s="12" t="str">
        <f>VLOOKUP((WEEKDAY(Movimientos_2026[[#This Row],[Fecha]],2)),'5. Setup'!$D$6:$E$12,2,FALSE)</f>
        <v>Mar</v>
      </c>
      <c r="D424">
        <v>1044234</v>
      </c>
      <c r="E424" t="str">
        <f>IFERROR(+VLOOKUP(Movimientos_2026[[#This Row],[Codigo]],Plan_cuentas[],2,FALSE)," ")</f>
        <v>INGRESOS</v>
      </c>
      <c r="F424" t="str">
        <f>IFERROR(+VLOOKUP(Movimientos_2026[[#This Row],[Codigo]],Plan_cuentas[],3,FALSE)," ")</f>
        <v>Transferencia</v>
      </c>
      <c r="G424" t="str">
        <f>IFERROR(+VLOOKUP(Movimientos_2026[[#This Row],[Codigo]],Plan_cuentas[],4,FALSE)," ")</f>
        <v>Rentas</v>
      </c>
      <c r="H424" t="str">
        <f>IFERROR(+VLOOKUP(Movimientos_2026[[#This Row],[Codigo]],Plan_cuentas[],5,FALSE)," ")</f>
        <v>ENTRE RIOS 2° Q</v>
      </c>
      <c r="I424" s="43">
        <v>46023</v>
      </c>
      <c r="J424" t="s">
        <v>193</v>
      </c>
      <c r="K424" t="str">
        <f>IFERROR(+VLOOKUP(Movimientos_2026[[#This Row],[Codigo]],Plan_cuentas[],6,FALSE)," ")</f>
        <v>4 - FCA - Fiat</v>
      </c>
      <c r="L424" s="50">
        <v>23615932.199999999</v>
      </c>
      <c r="M424" s="50"/>
      <c r="N424" s="20">
        <f>+Movimientos_2026[[#This Row],[Ingresos]]-Movimientos_2026[[#This Row],[Egresos]]</f>
        <v>23615932.199999999</v>
      </c>
      <c r="O424" s="20">
        <f>+O423+Movimientos_2026[[#This Row],[Neto]]</f>
        <v>5217660742.4193735</v>
      </c>
    </row>
    <row r="425" spans="1:15" x14ac:dyDescent="0.25">
      <c r="A425" s="13">
        <v>46056</v>
      </c>
      <c r="B425" s="12">
        <f>MONTH(Movimientos_2026[[#This Row],[Fecha]])</f>
        <v>2</v>
      </c>
      <c r="C425" s="12" t="str">
        <f>VLOOKUP((WEEKDAY(Movimientos_2026[[#This Row],[Fecha]],2)),'5. Setup'!$D$6:$E$12,2,FALSE)</f>
        <v>Mar</v>
      </c>
      <c r="D425">
        <v>1044244</v>
      </c>
      <c r="E425" t="str">
        <f>IFERROR(+VLOOKUP(Movimientos_2026[[#This Row],[Codigo]],Plan_cuentas[],2,FALSE)," ")</f>
        <v>INGRESOS</v>
      </c>
      <c r="F425" t="str">
        <f>IFERROR(+VLOOKUP(Movimientos_2026[[#This Row],[Codigo]],Plan_cuentas[],3,FALSE)," ")</f>
        <v>Transferencia</v>
      </c>
      <c r="G425" t="str">
        <f>IFERROR(+VLOOKUP(Movimientos_2026[[#This Row],[Codigo]],Plan_cuentas[],4,FALSE)," ")</f>
        <v>Rentas</v>
      </c>
      <c r="H425" t="str">
        <f>IFERROR(+VLOOKUP(Movimientos_2026[[#This Row],[Codigo]],Plan_cuentas[],5,FALSE)," ")</f>
        <v>FORMOSA</v>
      </c>
      <c r="I425" s="43">
        <v>46023</v>
      </c>
      <c r="J425" t="s">
        <v>193</v>
      </c>
      <c r="K425" t="str">
        <f>IFERROR(+VLOOKUP(Movimientos_2026[[#This Row],[Codigo]],Plan_cuentas[],6,FALSE)," ")</f>
        <v>4 - FCA - Fiat</v>
      </c>
      <c r="L425" s="50">
        <v>16846131.600000001</v>
      </c>
      <c r="M425" s="50"/>
      <c r="N425" s="20">
        <f>+Movimientos_2026[[#This Row],[Ingresos]]-Movimientos_2026[[#This Row],[Egresos]]</f>
        <v>16846131.600000001</v>
      </c>
      <c r="O425" s="20">
        <f>+O424+Movimientos_2026[[#This Row],[Neto]]</f>
        <v>5234506874.0193739</v>
      </c>
    </row>
    <row r="426" spans="1:15" x14ac:dyDescent="0.25">
      <c r="A426" s="13">
        <v>46056</v>
      </c>
      <c r="B426" s="12">
        <f>MONTH(Movimientos_2026[[#This Row],[Fecha]])</f>
        <v>2</v>
      </c>
      <c r="C426" s="12" t="str">
        <f>VLOOKUP((WEEKDAY(Movimientos_2026[[#This Row],[Fecha]],2)),'5. Setup'!$D$6:$E$12,2,FALSE)</f>
        <v>Mar</v>
      </c>
      <c r="D426">
        <v>1044264</v>
      </c>
      <c r="E426" t="str">
        <f>IFERROR(+VLOOKUP(Movimientos_2026[[#This Row],[Codigo]],Plan_cuentas[],2,FALSE)," ")</f>
        <v>INGRESOS</v>
      </c>
      <c r="F426" t="str">
        <f>IFERROR(+VLOOKUP(Movimientos_2026[[#This Row],[Codigo]],Plan_cuentas[],3,FALSE)," ")</f>
        <v>Transferencia</v>
      </c>
      <c r="G426" t="str">
        <f>IFERROR(+VLOOKUP(Movimientos_2026[[#This Row],[Codigo]],Plan_cuentas[],4,FALSE)," ")</f>
        <v>Rentas</v>
      </c>
      <c r="H426" t="str">
        <f>IFERROR(+VLOOKUP(Movimientos_2026[[#This Row],[Codigo]],Plan_cuentas[],5,FALSE)," ")</f>
        <v>LA PAMPA</v>
      </c>
      <c r="I426" s="43">
        <v>46023</v>
      </c>
      <c r="J426" t="s">
        <v>193</v>
      </c>
      <c r="K426" t="str">
        <f>IFERROR(+VLOOKUP(Movimientos_2026[[#This Row],[Codigo]],Plan_cuentas[],6,FALSE)," ")</f>
        <v>4 - FCA - Fiat</v>
      </c>
      <c r="L426" s="50">
        <v>5653250</v>
      </c>
      <c r="M426" s="50"/>
      <c r="N426" s="20">
        <f>+Movimientos_2026[[#This Row],[Ingresos]]-Movimientos_2026[[#This Row],[Egresos]]</f>
        <v>5653250</v>
      </c>
      <c r="O426" s="20">
        <f>+O425+Movimientos_2026[[#This Row],[Neto]]</f>
        <v>5240160124.0193739</v>
      </c>
    </row>
    <row r="427" spans="1:15" x14ac:dyDescent="0.25">
      <c r="A427" s="13">
        <v>46056</v>
      </c>
      <c r="B427" s="12">
        <f>MONTH(Movimientos_2026[[#This Row],[Fecha]])</f>
        <v>2</v>
      </c>
      <c r="C427" s="12" t="str">
        <f>VLOOKUP((WEEKDAY(Movimientos_2026[[#This Row],[Fecha]],2)),'5. Setup'!$D$6:$E$12,2,FALSE)</f>
        <v>Mar</v>
      </c>
      <c r="D427">
        <v>1044266</v>
      </c>
      <c r="E427" t="str">
        <f>IFERROR(+VLOOKUP(Movimientos_2026[[#This Row],[Codigo]],Plan_cuentas[],2,FALSE)," ")</f>
        <v>INGRESOS</v>
      </c>
      <c r="F427" t="str">
        <f>IFERROR(+VLOOKUP(Movimientos_2026[[#This Row],[Codigo]],Plan_cuentas[],3,FALSE)," ")</f>
        <v>Transferencia</v>
      </c>
      <c r="G427" t="str">
        <f>IFERROR(+VLOOKUP(Movimientos_2026[[#This Row],[Codigo]],Plan_cuentas[],4,FALSE)," ")</f>
        <v>Rentas</v>
      </c>
      <c r="H427" t="str">
        <f>IFERROR(+VLOOKUP(Movimientos_2026[[#This Row],[Codigo]],Plan_cuentas[],5,FALSE)," ")</f>
        <v>LA PAMPA</v>
      </c>
      <c r="I427" s="43">
        <v>46023</v>
      </c>
      <c r="J427" t="s">
        <v>193</v>
      </c>
      <c r="K427" t="str">
        <f>IFERROR(+VLOOKUP(Movimientos_2026[[#This Row],[Codigo]],Plan_cuentas[],6,FALSE)," ")</f>
        <v>6 - FCAtr - Fiat Transf.</v>
      </c>
      <c r="L427" s="50">
        <v>360336.36999999988</v>
      </c>
      <c r="M427" s="50"/>
      <c r="N427" s="20">
        <f>+Movimientos_2026[[#This Row],[Ingresos]]-Movimientos_2026[[#This Row],[Egresos]]</f>
        <v>360336.36999999988</v>
      </c>
      <c r="O427" s="20">
        <f>+O426+Movimientos_2026[[#This Row],[Neto]]</f>
        <v>5240520460.3893738</v>
      </c>
    </row>
    <row r="428" spans="1:15" x14ac:dyDescent="0.25">
      <c r="A428" s="13">
        <v>46056</v>
      </c>
      <c r="B428" s="12">
        <f>MONTH(Movimientos_2026[[#This Row],[Fecha]])</f>
        <v>2</v>
      </c>
      <c r="C428" s="12" t="str">
        <f>VLOOKUP((WEEKDAY(Movimientos_2026[[#This Row],[Fecha]],2)),'5. Setup'!$D$6:$E$12,2,FALSE)</f>
        <v>Mar</v>
      </c>
      <c r="D428">
        <v>1044264</v>
      </c>
      <c r="E428" t="str">
        <f>IFERROR(+VLOOKUP(Movimientos_2026[[#This Row],[Codigo]],Plan_cuentas[],2,FALSE)," ")</f>
        <v>INGRESOS</v>
      </c>
      <c r="F428" t="str">
        <f>IFERROR(+VLOOKUP(Movimientos_2026[[#This Row],[Codigo]],Plan_cuentas[],3,FALSE)," ")</f>
        <v>Transferencia</v>
      </c>
      <c r="G428" t="str">
        <f>IFERROR(+VLOOKUP(Movimientos_2026[[#This Row],[Codigo]],Plan_cuentas[],4,FALSE)," ")</f>
        <v>Rentas</v>
      </c>
      <c r="H428" t="str">
        <f>IFERROR(+VLOOKUP(Movimientos_2026[[#This Row],[Codigo]],Plan_cuentas[],5,FALSE)," ")</f>
        <v>LA PAMPA</v>
      </c>
      <c r="I428" s="43">
        <v>46023</v>
      </c>
      <c r="J428" t="s">
        <v>193</v>
      </c>
      <c r="K428" t="str">
        <f>IFERROR(+VLOOKUP(Movimientos_2026[[#This Row],[Codigo]],Plan_cuentas[],6,FALSE)," ")</f>
        <v>4 - FCA - Fiat</v>
      </c>
      <c r="L428" s="50">
        <v>3171503.68</v>
      </c>
      <c r="M428" s="50"/>
      <c r="N428" s="20">
        <f>+Movimientos_2026[[#This Row],[Ingresos]]-Movimientos_2026[[#This Row],[Egresos]]</f>
        <v>3171503.68</v>
      </c>
      <c r="O428" s="20">
        <f>+O427+Movimientos_2026[[#This Row],[Neto]]</f>
        <v>5243691964.0693741</v>
      </c>
    </row>
    <row r="429" spans="1:15" x14ac:dyDescent="0.25">
      <c r="A429" s="13">
        <v>46056</v>
      </c>
      <c r="B429" s="12">
        <f>MONTH(Movimientos_2026[[#This Row],[Fecha]])</f>
        <v>2</v>
      </c>
      <c r="C429" s="12" t="str">
        <f>VLOOKUP((WEEKDAY(Movimientos_2026[[#This Row],[Fecha]],2)),'5. Setup'!$D$6:$E$12,2,FALSE)</f>
        <v>Mar</v>
      </c>
      <c r="D429">
        <v>1044274</v>
      </c>
      <c r="E429" t="str">
        <f>IFERROR(+VLOOKUP(Movimientos_2026[[#This Row],[Codigo]],Plan_cuentas[],2,FALSE)," ")</f>
        <v>INGRESOS</v>
      </c>
      <c r="F429" t="str">
        <f>IFERROR(+VLOOKUP(Movimientos_2026[[#This Row],[Codigo]],Plan_cuentas[],3,FALSE)," ")</f>
        <v>Transferencia</v>
      </c>
      <c r="G429" t="str">
        <f>IFERROR(+VLOOKUP(Movimientos_2026[[#This Row],[Codigo]],Plan_cuentas[],4,FALSE)," ")</f>
        <v>Rentas</v>
      </c>
      <c r="H429" t="str">
        <f>IFERROR(+VLOOKUP(Movimientos_2026[[#This Row],[Codigo]],Plan_cuentas[],5,FALSE)," ")</f>
        <v>LA RIOJA</v>
      </c>
      <c r="I429" s="43">
        <v>46023</v>
      </c>
      <c r="J429" t="s">
        <v>193</v>
      </c>
      <c r="K429" t="str">
        <f>IFERROR(+VLOOKUP(Movimientos_2026[[#This Row],[Codigo]],Plan_cuentas[],6,FALSE)," ")</f>
        <v>4 - FCA - Fiat</v>
      </c>
      <c r="L429" s="50">
        <v>5286981.3899999997</v>
      </c>
      <c r="M429" s="50"/>
      <c r="N429" s="20">
        <f>+Movimientos_2026[[#This Row],[Ingresos]]-Movimientos_2026[[#This Row],[Egresos]]</f>
        <v>5286981.3899999997</v>
      </c>
      <c r="O429" s="20">
        <f>+O428+Movimientos_2026[[#This Row],[Neto]]</f>
        <v>5248978945.4593744</v>
      </c>
    </row>
    <row r="430" spans="1:15" x14ac:dyDescent="0.25">
      <c r="A430" s="13">
        <v>46056</v>
      </c>
      <c r="B430" s="12">
        <f>MONTH(Movimientos_2026[[#This Row],[Fecha]])</f>
        <v>2</v>
      </c>
      <c r="C430" s="12" t="str">
        <f>VLOOKUP((WEEKDAY(Movimientos_2026[[#This Row],[Fecha]],2)),'5. Setup'!$D$6:$E$12,2,FALSE)</f>
        <v>Mar</v>
      </c>
      <c r="D430">
        <v>1044284</v>
      </c>
      <c r="E430" t="str">
        <f>IFERROR(+VLOOKUP(Movimientos_2026[[#This Row],[Codigo]],Plan_cuentas[],2,FALSE)," ")</f>
        <v>INGRESOS</v>
      </c>
      <c r="F430" t="str">
        <f>IFERROR(+VLOOKUP(Movimientos_2026[[#This Row],[Codigo]],Plan_cuentas[],3,FALSE)," ")</f>
        <v>Transferencia</v>
      </c>
      <c r="G430" t="str">
        <f>IFERROR(+VLOOKUP(Movimientos_2026[[#This Row],[Codigo]],Plan_cuentas[],4,FALSE)," ")</f>
        <v>Rentas</v>
      </c>
      <c r="H430" t="str">
        <f>IFERROR(+VLOOKUP(Movimientos_2026[[#This Row],[Codigo]],Plan_cuentas[],5,FALSE)," ")</f>
        <v>MENDOZA</v>
      </c>
      <c r="I430" s="43">
        <v>46023</v>
      </c>
      <c r="J430" t="s">
        <v>193</v>
      </c>
      <c r="K430" t="str">
        <f>IFERROR(+VLOOKUP(Movimientos_2026[[#This Row],[Codigo]],Plan_cuentas[],6,FALSE)," ")</f>
        <v>4 - FCA - Fiat</v>
      </c>
      <c r="L430" s="50">
        <v>156716138</v>
      </c>
      <c r="M430" s="50"/>
      <c r="N430" s="20">
        <f>+Movimientos_2026[[#This Row],[Ingresos]]-Movimientos_2026[[#This Row],[Egresos]]</f>
        <v>156716138</v>
      </c>
      <c r="O430" s="20">
        <f>+O429+Movimientos_2026[[#This Row],[Neto]]</f>
        <v>5405695083.4593744</v>
      </c>
    </row>
    <row r="431" spans="1:15" x14ac:dyDescent="0.25">
      <c r="A431" s="13">
        <v>46056</v>
      </c>
      <c r="B431" s="12">
        <f>MONTH(Movimientos_2026[[#This Row],[Fecha]])</f>
        <v>2</v>
      </c>
      <c r="C431" s="12" t="str">
        <f>VLOOKUP((WEEKDAY(Movimientos_2026[[#This Row],[Fecha]],2)),'5. Setup'!$D$6:$E$12,2,FALSE)</f>
        <v>Mar</v>
      </c>
      <c r="D431">
        <v>1044286</v>
      </c>
      <c r="E431" t="str">
        <f>IFERROR(+VLOOKUP(Movimientos_2026[[#This Row],[Codigo]],Plan_cuentas[],2,FALSE)," ")</f>
        <v>INGRESOS</v>
      </c>
      <c r="F431" t="str">
        <f>IFERROR(+VLOOKUP(Movimientos_2026[[#This Row],[Codigo]],Plan_cuentas[],3,FALSE)," ")</f>
        <v>Transferencia</v>
      </c>
      <c r="G431" t="str">
        <f>IFERROR(+VLOOKUP(Movimientos_2026[[#This Row],[Codigo]],Plan_cuentas[],4,FALSE)," ")</f>
        <v>Rentas</v>
      </c>
      <c r="H431" t="str">
        <f>IFERROR(+VLOOKUP(Movimientos_2026[[#This Row],[Codigo]],Plan_cuentas[],5,FALSE)," ")</f>
        <v>MENDOZA</v>
      </c>
      <c r="I431" s="43">
        <v>46023</v>
      </c>
      <c r="J431" t="s">
        <v>193</v>
      </c>
      <c r="K431" t="str">
        <f>IFERROR(+VLOOKUP(Movimientos_2026[[#This Row],[Codigo]],Plan_cuentas[],6,FALSE)," ")</f>
        <v>6 - FCAtr - Fiat Transf.</v>
      </c>
      <c r="L431" s="50">
        <v>4219698.5299999956</v>
      </c>
      <c r="M431" s="50"/>
      <c r="N431" s="20">
        <f>+Movimientos_2026[[#This Row],[Ingresos]]-Movimientos_2026[[#This Row],[Egresos]]</f>
        <v>4219698.5299999956</v>
      </c>
      <c r="O431" s="20">
        <f>+O430+Movimientos_2026[[#This Row],[Neto]]</f>
        <v>5409914781.9893742</v>
      </c>
    </row>
    <row r="432" spans="1:15" x14ac:dyDescent="0.25">
      <c r="A432" s="13">
        <v>46056</v>
      </c>
      <c r="B432" s="12">
        <f>MONTH(Movimientos_2026[[#This Row],[Fecha]])</f>
        <v>2</v>
      </c>
      <c r="C432" s="12" t="str">
        <f>VLOOKUP((WEEKDAY(Movimientos_2026[[#This Row],[Fecha]],2)),'5. Setup'!$D$6:$E$12,2,FALSE)</f>
        <v>Mar</v>
      </c>
      <c r="D432">
        <v>1044464</v>
      </c>
      <c r="E432" t="str">
        <f>IFERROR(+VLOOKUP(Movimientos_2026[[#This Row],[Codigo]],Plan_cuentas[],2,FALSE)," ")</f>
        <v>INGRESOS</v>
      </c>
      <c r="F432" t="str">
        <f>IFERROR(+VLOOKUP(Movimientos_2026[[#This Row],[Codigo]],Plan_cuentas[],3,FALSE)," ")</f>
        <v>Transferencia</v>
      </c>
      <c r="G432" t="str">
        <f>IFERROR(+VLOOKUP(Movimientos_2026[[#This Row],[Codigo]],Plan_cuentas[],4,FALSE)," ")</f>
        <v>Rentas</v>
      </c>
      <c r="H432" t="str">
        <f>IFERROR(+VLOOKUP(Movimientos_2026[[#This Row],[Codigo]],Plan_cuentas[],5,FALSE)," ")</f>
        <v>MISIONES</v>
      </c>
      <c r="I432" s="43">
        <v>46023</v>
      </c>
      <c r="J432" t="s">
        <v>193</v>
      </c>
      <c r="K432" t="str">
        <f>IFERROR(+VLOOKUP(Movimientos_2026[[#This Row],[Codigo]],Plan_cuentas[],6,FALSE)," ")</f>
        <v>4 - FCA - Fiat</v>
      </c>
      <c r="L432" s="50">
        <v>7048807.29</v>
      </c>
      <c r="M432" s="52"/>
      <c r="N432" s="20">
        <f>+Movimientos_2026[[#This Row],[Ingresos]]-Movimientos_2026[[#This Row],[Egresos]]</f>
        <v>7048807.29</v>
      </c>
      <c r="O432" s="20">
        <f>+O431+Movimientos_2026[[#This Row],[Neto]]</f>
        <v>5416963589.2793741</v>
      </c>
    </row>
    <row r="433" spans="1:15" x14ac:dyDescent="0.25">
      <c r="A433" s="13">
        <v>46056</v>
      </c>
      <c r="B433" s="12">
        <f>MONTH(Movimientos_2026[[#This Row],[Fecha]])</f>
        <v>2</v>
      </c>
      <c r="C433" s="12" t="str">
        <f>VLOOKUP((WEEKDAY(Movimientos_2026[[#This Row],[Fecha]],2)),'5. Setup'!$D$6:$E$12,2,FALSE)</f>
        <v>Mar</v>
      </c>
      <c r="D433">
        <v>1044324</v>
      </c>
      <c r="E433" t="str">
        <f>IFERROR(+VLOOKUP(Movimientos_2026[[#This Row],[Codigo]],Plan_cuentas[],2,FALSE)," ")</f>
        <v>INGRESOS</v>
      </c>
      <c r="F433" t="str">
        <f>IFERROR(+VLOOKUP(Movimientos_2026[[#This Row],[Codigo]],Plan_cuentas[],3,FALSE)," ")</f>
        <v>Transferencia</v>
      </c>
      <c r="G433" t="str">
        <f>IFERROR(+VLOOKUP(Movimientos_2026[[#This Row],[Codigo]],Plan_cuentas[],4,FALSE)," ")</f>
        <v>Rentas</v>
      </c>
      <c r="H433" t="str">
        <f>IFERROR(+VLOOKUP(Movimientos_2026[[#This Row],[Codigo]],Plan_cuentas[],5,FALSE)," ")</f>
        <v>NEUQUEN 2° Q</v>
      </c>
      <c r="I433" s="43">
        <v>46023</v>
      </c>
      <c r="J433" t="s">
        <v>193</v>
      </c>
      <c r="K433" t="str">
        <f>IFERROR(+VLOOKUP(Movimientos_2026[[#This Row],[Codigo]],Plan_cuentas[],6,FALSE)," ")</f>
        <v>4 - FCA - Fiat</v>
      </c>
      <c r="L433" s="50">
        <v>69182480</v>
      </c>
      <c r="M433" s="52"/>
      <c r="N433" s="20">
        <f>+Movimientos_2026[[#This Row],[Ingresos]]-Movimientos_2026[[#This Row],[Egresos]]</f>
        <v>69182480</v>
      </c>
      <c r="O433" s="20">
        <f>+O432+Movimientos_2026[[#This Row],[Neto]]</f>
        <v>5486146069.2793741</v>
      </c>
    </row>
    <row r="434" spans="1:15" x14ac:dyDescent="0.25">
      <c r="A434" s="13">
        <v>46056</v>
      </c>
      <c r="B434" s="12">
        <f>MONTH(Movimientos_2026[[#This Row],[Fecha]])</f>
        <v>2</v>
      </c>
      <c r="C434" s="12" t="str">
        <f>VLOOKUP((WEEKDAY(Movimientos_2026[[#This Row],[Fecha]],2)),'5. Setup'!$D$6:$E$12,2,FALSE)</f>
        <v>Mar</v>
      </c>
      <c r="D434">
        <v>1044326</v>
      </c>
      <c r="E434" t="str">
        <f>IFERROR(+VLOOKUP(Movimientos_2026[[#This Row],[Codigo]],Plan_cuentas[],2,FALSE)," ")</f>
        <v>INGRESOS</v>
      </c>
      <c r="F434" t="str">
        <f>IFERROR(+VLOOKUP(Movimientos_2026[[#This Row],[Codigo]],Plan_cuentas[],3,FALSE)," ")</f>
        <v>Transferencia</v>
      </c>
      <c r="G434" t="str">
        <f>IFERROR(+VLOOKUP(Movimientos_2026[[#This Row],[Codigo]],Plan_cuentas[],4,FALSE)," ")</f>
        <v>Rentas</v>
      </c>
      <c r="H434" t="str">
        <f>IFERROR(+VLOOKUP(Movimientos_2026[[#This Row],[Codigo]],Plan_cuentas[],5,FALSE)," ")</f>
        <v>NEUQUEN 2° Q</v>
      </c>
      <c r="I434" s="43">
        <v>46023</v>
      </c>
      <c r="J434" t="s">
        <v>193</v>
      </c>
      <c r="K434" t="str">
        <f>IFERROR(+VLOOKUP(Movimientos_2026[[#This Row],[Codigo]],Plan_cuentas[],6,FALSE)," ")</f>
        <v>6 - FCAtr - Fiat Transf.</v>
      </c>
      <c r="L434" s="50">
        <v>864344.52000000014</v>
      </c>
      <c r="M434" s="52"/>
      <c r="N434" s="20">
        <f>+Movimientos_2026[[#This Row],[Ingresos]]-Movimientos_2026[[#This Row],[Egresos]]</f>
        <v>864344.52000000014</v>
      </c>
      <c r="O434" s="20">
        <f>+O433+Movimientos_2026[[#This Row],[Neto]]</f>
        <v>5487010413.7993746</v>
      </c>
    </row>
    <row r="435" spans="1:15" x14ac:dyDescent="0.25">
      <c r="A435" s="13">
        <v>46056</v>
      </c>
      <c r="B435" s="12">
        <f>MONTH(Movimientos_2026[[#This Row],[Fecha]])</f>
        <v>2</v>
      </c>
      <c r="C435" s="12" t="str">
        <f>VLOOKUP((WEEKDAY(Movimientos_2026[[#This Row],[Fecha]],2)),'5. Setup'!$D$6:$E$12,2,FALSE)</f>
        <v>Mar</v>
      </c>
      <c r="D435">
        <v>1044354</v>
      </c>
      <c r="E435" t="str">
        <f>IFERROR(+VLOOKUP(Movimientos_2026[[#This Row],[Codigo]],Plan_cuentas[],2,FALSE)," ")</f>
        <v>INGRESOS</v>
      </c>
      <c r="F435" t="str">
        <f>IFERROR(+VLOOKUP(Movimientos_2026[[#This Row],[Codigo]],Plan_cuentas[],3,FALSE)," ")</f>
        <v>Transferencia</v>
      </c>
      <c r="G435" t="str">
        <f>IFERROR(+VLOOKUP(Movimientos_2026[[#This Row],[Codigo]],Plan_cuentas[],4,FALSE)," ")</f>
        <v>Rentas</v>
      </c>
      <c r="H435" t="str">
        <f>IFERROR(+VLOOKUP(Movimientos_2026[[#This Row],[Codigo]],Plan_cuentas[],5,FALSE)," ")</f>
        <v>SAN JUAN</v>
      </c>
      <c r="I435" s="43">
        <v>46023</v>
      </c>
      <c r="J435" t="s">
        <v>193</v>
      </c>
      <c r="K435" t="str">
        <f>IFERROR(+VLOOKUP(Movimientos_2026[[#This Row],[Codigo]],Plan_cuentas[],6,FALSE)," ")</f>
        <v>4 - FCA - Fiat</v>
      </c>
      <c r="L435" s="50">
        <v>6532744</v>
      </c>
      <c r="M435" s="52"/>
      <c r="N435" s="20">
        <f>+Movimientos_2026[[#This Row],[Ingresos]]-Movimientos_2026[[#This Row],[Egresos]]</f>
        <v>6532744</v>
      </c>
      <c r="O435" s="20">
        <f>+O434+Movimientos_2026[[#This Row],[Neto]]</f>
        <v>5493543157.7993746</v>
      </c>
    </row>
    <row r="436" spans="1:15" x14ac:dyDescent="0.25">
      <c r="A436" s="13">
        <v>46056</v>
      </c>
      <c r="B436" s="12">
        <f>MONTH(Movimientos_2026[[#This Row],[Fecha]])</f>
        <v>2</v>
      </c>
      <c r="C436" s="12" t="str">
        <f>VLOOKUP((WEEKDAY(Movimientos_2026[[#This Row],[Fecha]],2)),'5. Setup'!$D$6:$E$12,2,FALSE)</f>
        <v>Mar</v>
      </c>
      <c r="D436">
        <v>1044356</v>
      </c>
      <c r="E436" t="str">
        <f>IFERROR(+VLOOKUP(Movimientos_2026[[#This Row],[Codigo]],Plan_cuentas[],2,FALSE)," ")</f>
        <v>INGRESOS</v>
      </c>
      <c r="F436" t="str">
        <f>IFERROR(+VLOOKUP(Movimientos_2026[[#This Row],[Codigo]],Plan_cuentas[],3,FALSE)," ")</f>
        <v>Transferencia</v>
      </c>
      <c r="G436" t="str">
        <f>IFERROR(+VLOOKUP(Movimientos_2026[[#This Row],[Codigo]],Plan_cuentas[],4,FALSE)," ")</f>
        <v>Rentas</v>
      </c>
      <c r="H436" t="str">
        <f>IFERROR(+VLOOKUP(Movimientos_2026[[#This Row],[Codigo]],Plan_cuentas[],5,FALSE)," ")</f>
        <v>SAN JUAN</v>
      </c>
      <c r="I436" s="43">
        <v>46023</v>
      </c>
      <c r="J436" t="s">
        <v>193</v>
      </c>
      <c r="K436" t="str">
        <f>IFERROR(+VLOOKUP(Movimientos_2026[[#This Row],[Codigo]],Plan_cuentas[],6,FALSE)," ")</f>
        <v>6 - FCAtr - Fiat Transf.</v>
      </c>
      <c r="L436" s="50">
        <v>1705873.83</v>
      </c>
      <c r="M436" s="52"/>
      <c r="N436" s="20">
        <f>+Movimientos_2026[[#This Row],[Ingresos]]-Movimientos_2026[[#This Row],[Egresos]]</f>
        <v>1705873.83</v>
      </c>
      <c r="O436" s="20">
        <f>+O435+Movimientos_2026[[#This Row],[Neto]]</f>
        <v>5495249031.6293745</v>
      </c>
    </row>
    <row r="437" spans="1:15" x14ac:dyDescent="0.25">
      <c r="A437" s="13">
        <v>46056</v>
      </c>
      <c r="B437" s="12">
        <f>MONTH(Movimientos_2026[[#This Row],[Fecha]])</f>
        <v>2</v>
      </c>
      <c r="C437" s="12" t="str">
        <f>VLOOKUP((WEEKDAY(Movimientos_2026[[#This Row],[Fecha]],2)),'5. Setup'!$D$6:$E$12,2,FALSE)</f>
        <v>Mar</v>
      </c>
      <c r="D437">
        <v>1044364</v>
      </c>
      <c r="E437" t="str">
        <f>IFERROR(+VLOOKUP(Movimientos_2026[[#This Row],[Codigo]],Plan_cuentas[],2,FALSE)," ")</f>
        <v>INGRESOS</v>
      </c>
      <c r="F437" t="str">
        <f>IFERROR(+VLOOKUP(Movimientos_2026[[#This Row],[Codigo]],Plan_cuentas[],3,FALSE)," ")</f>
        <v>Transferencia</v>
      </c>
      <c r="G437" t="str">
        <f>IFERROR(+VLOOKUP(Movimientos_2026[[#This Row],[Codigo]],Plan_cuentas[],4,FALSE)," ")</f>
        <v>Rentas</v>
      </c>
      <c r="H437" t="str">
        <f>IFERROR(+VLOOKUP(Movimientos_2026[[#This Row],[Codigo]],Plan_cuentas[],5,FALSE)," ")</f>
        <v>SAN LUIS</v>
      </c>
      <c r="I437" s="43">
        <v>46023</v>
      </c>
      <c r="J437" t="s">
        <v>193</v>
      </c>
      <c r="K437" t="str">
        <f>IFERROR(+VLOOKUP(Movimientos_2026[[#This Row],[Codigo]],Plan_cuentas[],6,FALSE)," ")</f>
        <v>4 - FCA - Fiat</v>
      </c>
      <c r="L437" s="50">
        <v>35738286.310000002</v>
      </c>
      <c r="M437" s="52"/>
      <c r="N437" s="20">
        <f>+Movimientos_2026[[#This Row],[Ingresos]]-Movimientos_2026[[#This Row],[Egresos]]</f>
        <v>35738286.310000002</v>
      </c>
      <c r="O437" s="20">
        <f>+O436+Movimientos_2026[[#This Row],[Neto]]</f>
        <v>5530987317.9393749</v>
      </c>
    </row>
    <row r="438" spans="1:15" x14ac:dyDescent="0.25">
      <c r="A438" s="13">
        <v>46056</v>
      </c>
      <c r="B438" s="12">
        <f>MONTH(Movimientos_2026[[#This Row],[Fecha]])</f>
        <v>2</v>
      </c>
      <c r="C438" s="12" t="str">
        <f>VLOOKUP((WEEKDAY(Movimientos_2026[[#This Row],[Fecha]],2)),'5. Setup'!$D$6:$E$12,2,FALSE)</f>
        <v>Mar</v>
      </c>
      <c r="D438">
        <v>1044374</v>
      </c>
      <c r="E438" t="str">
        <f>IFERROR(+VLOOKUP(Movimientos_2026[[#This Row],[Codigo]],Plan_cuentas[],2,FALSE)," ")</f>
        <v>INGRESOS</v>
      </c>
      <c r="F438" t="str">
        <f>IFERROR(+VLOOKUP(Movimientos_2026[[#This Row],[Codigo]],Plan_cuentas[],3,FALSE)," ")</f>
        <v>Transferencia</v>
      </c>
      <c r="G438" t="str">
        <f>IFERROR(+VLOOKUP(Movimientos_2026[[#This Row],[Codigo]],Plan_cuentas[],4,FALSE)," ")</f>
        <v>Rentas</v>
      </c>
      <c r="H438" t="str">
        <f>IFERROR(+VLOOKUP(Movimientos_2026[[#This Row],[Codigo]],Plan_cuentas[],5,FALSE)," ")</f>
        <v>SANTA CRUZ</v>
      </c>
      <c r="I438" s="43">
        <v>46023</v>
      </c>
      <c r="J438" t="s">
        <v>193</v>
      </c>
      <c r="K438" t="str">
        <f>IFERROR(+VLOOKUP(Movimientos_2026[[#This Row],[Codigo]],Plan_cuentas[],6,FALSE)," ")</f>
        <v>4 - FCA - Fiat</v>
      </c>
      <c r="L438" s="50">
        <v>18167182.920000002</v>
      </c>
      <c r="M438" s="52"/>
      <c r="N438" s="20">
        <f>+Movimientos_2026[[#This Row],[Ingresos]]-Movimientos_2026[[#This Row],[Egresos]]</f>
        <v>18167182.920000002</v>
      </c>
      <c r="O438" s="20">
        <f>+O437+Movimientos_2026[[#This Row],[Neto]]</f>
        <v>5549154500.859375</v>
      </c>
    </row>
    <row r="439" spans="1:15" x14ac:dyDescent="0.25">
      <c r="A439" s="13">
        <v>46056</v>
      </c>
      <c r="B439" s="12">
        <f>MONTH(Movimientos_2026[[#This Row],[Fecha]])</f>
        <v>2</v>
      </c>
      <c r="C439" s="12" t="str">
        <f>VLOOKUP((WEEKDAY(Movimientos_2026[[#This Row],[Fecha]],2)),'5. Setup'!$D$6:$E$12,2,FALSE)</f>
        <v>Mar</v>
      </c>
      <c r="D439">
        <v>1044404</v>
      </c>
      <c r="E439" t="str">
        <f>IFERROR(+VLOOKUP(Movimientos_2026[[#This Row],[Codigo]],Plan_cuentas[],2,FALSE)," ")</f>
        <v>INGRESOS</v>
      </c>
      <c r="F439" t="str">
        <f>IFERROR(+VLOOKUP(Movimientos_2026[[#This Row],[Codigo]],Plan_cuentas[],3,FALSE)," ")</f>
        <v>Transferencia</v>
      </c>
      <c r="G439" t="str">
        <f>IFERROR(+VLOOKUP(Movimientos_2026[[#This Row],[Codigo]],Plan_cuentas[],4,FALSE)," ")</f>
        <v>Rentas</v>
      </c>
      <c r="H439" t="str">
        <f>IFERROR(+VLOOKUP(Movimientos_2026[[#This Row],[Codigo]],Plan_cuentas[],5,FALSE)," ")</f>
        <v>SANTIAGO DEL ESTERO</v>
      </c>
      <c r="I439" s="43">
        <v>46023</v>
      </c>
      <c r="J439" t="s">
        <v>193</v>
      </c>
      <c r="K439" t="str">
        <f>IFERROR(+VLOOKUP(Movimientos_2026[[#This Row],[Codigo]],Plan_cuentas[],6,FALSE)," ")</f>
        <v>4 - FCA - Fiat</v>
      </c>
      <c r="L439" s="50">
        <v>39109191.259999998</v>
      </c>
      <c r="M439" s="52"/>
      <c r="N439" s="20">
        <f>+Movimientos_2026[[#This Row],[Ingresos]]-Movimientos_2026[[#This Row],[Egresos]]</f>
        <v>39109191.259999998</v>
      </c>
      <c r="O439" s="20">
        <f>+O438+Movimientos_2026[[#This Row],[Neto]]</f>
        <v>5588263692.1193752</v>
      </c>
    </row>
    <row r="440" spans="1:15" x14ac:dyDescent="0.25">
      <c r="A440" s="13">
        <v>46056</v>
      </c>
      <c r="B440" s="12">
        <f>MONTH(Movimientos_2026[[#This Row],[Fecha]])</f>
        <v>2</v>
      </c>
      <c r="C440" s="12" t="str">
        <f>VLOOKUP((WEEKDAY(Movimientos_2026[[#This Row],[Fecha]],2)),'5. Setup'!$D$6:$E$12,2,FALSE)</f>
        <v>Mar</v>
      </c>
      <c r="D440">
        <v>1044406</v>
      </c>
      <c r="E440" t="str">
        <f>IFERROR(+VLOOKUP(Movimientos_2026[[#This Row],[Codigo]],Plan_cuentas[],2,FALSE)," ")</f>
        <v>INGRESOS</v>
      </c>
      <c r="F440" t="str">
        <f>IFERROR(+VLOOKUP(Movimientos_2026[[#This Row],[Codigo]],Plan_cuentas[],3,FALSE)," ")</f>
        <v>Transferencia</v>
      </c>
      <c r="G440" t="str">
        <f>IFERROR(+VLOOKUP(Movimientos_2026[[#This Row],[Codigo]],Plan_cuentas[],4,FALSE)," ")</f>
        <v>Rentas</v>
      </c>
      <c r="H440" t="str">
        <f>IFERROR(+VLOOKUP(Movimientos_2026[[#This Row],[Codigo]],Plan_cuentas[],5,FALSE)," ")</f>
        <v>SANTIAGO DEL ESTERO</v>
      </c>
      <c r="I440" s="43">
        <v>46023</v>
      </c>
      <c r="J440" t="s">
        <v>193</v>
      </c>
      <c r="K440" t="str">
        <f>IFERROR(+VLOOKUP(Movimientos_2026[[#This Row],[Codigo]],Plan_cuentas[],6,FALSE)," ")</f>
        <v>6 - FCAtr - Fiat Transf.</v>
      </c>
      <c r="L440" s="50">
        <v>1026787.22</v>
      </c>
      <c r="M440" s="52"/>
      <c r="N440" s="20">
        <f>+Movimientos_2026[[#This Row],[Ingresos]]-Movimientos_2026[[#This Row],[Egresos]]</f>
        <v>1026787.22</v>
      </c>
      <c r="O440" s="20">
        <f>+O439+Movimientos_2026[[#This Row],[Neto]]</f>
        <v>5589290479.3393755</v>
      </c>
    </row>
    <row r="441" spans="1:15" x14ac:dyDescent="0.25">
      <c r="A441" s="13">
        <v>46056</v>
      </c>
      <c r="B441" s="12">
        <f>MONTH(Movimientos_2026[[#This Row],[Fecha]])</f>
        <v>2</v>
      </c>
      <c r="C441" s="12" t="str">
        <f>VLOOKUP((WEEKDAY(Movimientos_2026[[#This Row],[Fecha]],2)),'5. Setup'!$D$6:$E$12,2,FALSE)</f>
        <v>Mar</v>
      </c>
      <c r="D441">
        <v>1044404</v>
      </c>
      <c r="E441" t="str">
        <f>IFERROR(+VLOOKUP(Movimientos_2026[[#This Row],[Codigo]],Plan_cuentas[],2,FALSE)," ")</f>
        <v>INGRESOS</v>
      </c>
      <c r="F441" t="str">
        <f>IFERROR(+VLOOKUP(Movimientos_2026[[#This Row],[Codigo]],Plan_cuentas[],3,FALSE)," ")</f>
        <v>Transferencia</v>
      </c>
      <c r="G441" t="str">
        <f>IFERROR(+VLOOKUP(Movimientos_2026[[#This Row],[Codigo]],Plan_cuentas[],4,FALSE)," ")</f>
        <v>Rentas</v>
      </c>
      <c r="H441" t="str">
        <f>IFERROR(+VLOOKUP(Movimientos_2026[[#This Row],[Codigo]],Plan_cuentas[],5,FALSE)," ")</f>
        <v>SANTIAGO DEL ESTERO</v>
      </c>
      <c r="I441" s="43">
        <v>46023</v>
      </c>
      <c r="J441" t="s">
        <v>193</v>
      </c>
      <c r="K441" t="str">
        <f>IFERROR(+VLOOKUP(Movimientos_2026[[#This Row],[Codigo]],Plan_cuentas[],6,FALSE)," ")</f>
        <v>4 - FCA - Fiat</v>
      </c>
      <c r="L441" s="50">
        <v>19383469.379999999</v>
      </c>
      <c r="M441" s="52"/>
      <c r="N441" s="20">
        <f>+Movimientos_2026[[#This Row],[Ingresos]]-Movimientos_2026[[#This Row],[Egresos]]</f>
        <v>19383469.379999999</v>
      </c>
      <c r="O441" s="20">
        <f>+O440+Movimientos_2026[[#This Row],[Neto]]</f>
        <v>5608673948.7193756</v>
      </c>
    </row>
    <row r="442" spans="1:15" x14ac:dyDescent="0.25">
      <c r="A442" s="13">
        <v>46056</v>
      </c>
      <c r="B442" s="12">
        <f>MONTH(Movimientos_2026[[#This Row],[Fecha]])</f>
        <v>2</v>
      </c>
      <c r="C442" s="12" t="str">
        <f>VLOOKUP((WEEKDAY(Movimientos_2026[[#This Row],[Fecha]],2)),'5. Setup'!$D$6:$E$12,2,FALSE)</f>
        <v>Mar</v>
      </c>
      <c r="D442">
        <v>1044414</v>
      </c>
      <c r="E442" t="str">
        <f>IFERROR(+VLOOKUP(Movimientos_2026[[#This Row],[Codigo]],Plan_cuentas[],2,FALSE)," ")</f>
        <v>INGRESOS</v>
      </c>
      <c r="F442" t="str">
        <f>IFERROR(+VLOOKUP(Movimientos_2026[[#This Row],[Codigo]],Plan_cuentas[],3,FALSE)," ")</f>
        <v>Transferencia</v>
      </c>
      <c r="G442" t="str">
        <f>IFERROR(+VLOOKUP(Movimientos_2026[[#This Row],[Codigo]],Plan_cuentas[],4,FALSE)," ")</f>
        <v>Rentas</v>
      </c>
      <c r="H442" t="str">
        <f>IFERROR(+VLOOKUP(Movimientos_2026[[#This Row],[Codigo]],Plan_cuentas[],5,FALSE)," ")</f>
        <v>TIERRA DEL FUEGO</v>
      </c>
      <c r="I442" s="43">
        <v>46023</v>
      </c>
      <c r="J442" t="s">
        <v>193</v>
      </c>
      <c r="K442" t="str">
        <f>IFERROR(+VLOOKUP(Movimientos_2026[[#This Row],[Codigo]],Plan_cuentas[],6,FALSE)," ")</f>
        <v>4 - FCA - Fiat</v>
      </c>
      <c r="L442" s="50">
        <v>26180739.34</v>
      </c>
      <c r="M442" s="52"/>
      <c r="N442" s="20">
        <f>+Movimientos_2026[[#This Row],[Ingresos]]-Movimientos_2026[[#This Row],[Egresos]]</f>
        <v>26180739.34</v>
      </c>
      <c r="O442" s="20">
        <f>+O441+Movimientos_2026[[#This Row],[Neto]]</f>
        <v>5634854688.0593758</v>
      </c>
    </row>
    <row r="443" spans="1:15" x14ac:dyDescent="0.25">
      <c r="A443" s="13">
        <v>46057</v>
      </c>
      <c r="B443" s="12">
        <f>MONTH(Movimientos_2026[[#This Row],[Fecha]])</f>
        <v>2</v>
      </c>
      <c r="C443" s="12" t="str">
        <f>VLOOKUP((WEEKDAY(Movimientos_2026[[#This Row],[Fecha]],2)),'5. Setup'!$D$6:$E$12,2,FALSE)</f>
        <v>Mie</v>
      </c>
      <c r="D443">
        <v>1044371</v>
      </c>
      <c r="E443" t="str">
        <f>IFERROR(+VLOOKUP(Movimientos_2026[[#This Row],[Codigo]],Plan_cuentas[],2,FALSE)," ")</f>
        <v>INGRESOS</v>
      </c>
      <c r="F443" t="str">
        <f>IFERROR(+VLOOKUP(Movimientos_2026[[#This Row],[Codigo]],Plan_cuentas[],3,FALSE)," ")</f>
        <v>Transferencia</v>
      </c>
      <c r="G443" t="str">
        <f>IFERROR(+VLOOKUP(Movimientos_2026[[#This Row],[Codigo]],Plan_cuentas[],4,FALSE)," ")</f>
        <v>Rentas</v>
      </c>
      <c r="H443" t="str">
        <f>IFERROR(+VLOOKUP(Movimientos_2026[[#This Row],[Codigo]],Plan_cuentas[],5,FALSE)," ")</f>
        <v>SANTA CRUZ</v>
      </c>
      <c r="I443" s="43">
        <v>45536</v>
      </c>
      <c r="J443" t="s">
        <v>194</v>
      </c>
      <c r="K443" t="str">
        <f>IFERROR(+VLOOKUP(Movimientos_2026[[#This Row],[Codigo]],Plan_cuentas[],6,FALSE)," ")</f>
        <v>1 - VW - Volkswagen</v>
      </c>
      <c r="L443" s="50">
        <v>5367316.8099999996</v>
      </c>
      <c r="M443" s="50"/>
      <c r="N443" s="20">
        <f>+Movimientos_2026[[#This Row],[Ingresos]]-Movimientos_2026[[#This Row],[Egresos]]</f>
        <v>5367316.8099999996</v>
      </c>
      <c r="O443" s="20">
        <f>+O442+Movimientos_2026[[#This Row],[Neto]]</f>
        <v>5640222004.8693762</v>
      </c>
    </row>
    <row r="444" spans="1:15" x14ac:dyDescent="0.25">
      <c r="A444" s="13">
        <v>46057</v>
      </c>
      <c r="B444" s="12">
        <f>MONTH(Movimientos_2026[[#This Row],[Fecha]])</f>
        <v>2</v>
      </c>
      <c r="C444" s="12" t="str">
        <f>VLOOKUP((WEEKDAY(Movimientos_2026[[#This Row],[Fecha]],2)),'5. Setup'!$D$6:$E$12,2,FALSE)</f>
        <v>Mie</v>
      </c>
      <c r="D444">
        <v>1044371</v>
      </c>
      <c r="E444" t="str">
        <f>IFERROR(+VLOOKUP(Movimientos_2026[[#This Row],[Codigo]],Plan_cuentas[],2,FALSE)," ")</f>
        <v>INGRESOS</v>
      </c>
      <c r="F444" t="str">
        <f>IFERROR(+VLOOKUP(Movimientos_2026[[#This Row],[Codigo]],Plan_cuentas[],3,FALSE)," ")</f>
        <v>Transferencia</v>
      </c>
      <c r="G444" t="str">
        <f>IFERROR(+VLOOKUP(Movimientos_2026[[#This Row],[Codigo]],Plan_cuentas[],4,FALSE)," ")</f>
        <v>Rentas</v>
      </c>
      <c r="H444" t="str">
        <f>IFERROR(+VLOOKUP(Movimientos_2026[[#This Row],[Codigo]],Plan_cuentas[],5,FALSE)," ")</f>
        <v>SANTA CRUZ</v>
      </c>
      <c r="I444" s="43">
        <v>45689</v>
      </c>
      <c r="J444" t="s">
        <v>194</v>
      </c>
      <c r="K444" t="str">
        <f>IFERROR(+VLOOKUP(Movimientos_2026[[#This Row],[Codigo]],Plan_cuentas[],6,FALSE)," ")</f>
        <v>1 - VW - Volkswagen</v>
      </c>
      <c r="L444" s="50">
        <v>610333.62</v>
      </c>
      <c r="M444" s="52"/>
      <c r="N444" s="20">
        <f>+Movimientos_2026[[#This Row],[Ingresos]]-Movimientos_2026[[#This Row],[Egresos]]</f>
        <v>610333.62</v>
      </c>
      <c r="O444" s="20">
        <f>+O443+Movimientos_2026[[#This Row],[Neto]]</f>
        <v>5640832338.4893761</v>
      </c>
    </row>
    <row r="445" spans="1:15" x14ac:dyDescent="0.25">
      <c r="A445" s="13">
        <v>46057</v>
      </c>
      <c r="B445" s="12">
        <f>MONTH(Movimientos_2026[[#This Row],[Fecha]])</f>
        <v>2</v>
      </c>
      <c r="C445" s="12" t="str">
        <f>VLOOKUP((WEEKDAY(Movimientos_2026[[#This Row],[Fecha]],2)),'5. Setup'!$D$6:$E$12,2,FALSE)</f>
        <v>Mie</v>
      </c>
      <c r="D445">
        <v>1044371</v>
      </c>
      <c r="E445" t="str">
        <f>IFERROR(+VLOOKUP(Movimientos_2026[[#This Row],[Codigo]],Plan_cuentas[],2,FALSE)," ")</f>
        <v>INGRESOS</v>
      </c>
      <c r="F445" t="str">
        <f>IFERROR(+VLOOKUP(Movimientos_2026[[#This Row],[Codigo]],Plan_cuentas[],3,FALSE)," ")</f>
        <v>Transferencia</v>
      </c>
      <c r="G445" t="str">
        <f>IFERROR(+VLOOKUP(Movimientos_2026[[#This Row],[Codigo]],Plan_cuentas[],4,FALSE)," ")</f>
        <v>Rentas</v>
      </c>
      <c r="H445" t="str">
        <f>IFERROR(+VLOOKUP(Movimientos_2026[[#This Row],[Codigo]],Plan_cuentas[],5,FALSE)," ")</f>
        <v>SANTA CRUZ</v>
      </c>
      <c r="I445" s="43">
        <v>45658</v>
      </c>
      <c r="J445" t="s">
        <v>194</v>
      </c>
      <c r="K445" t="str">
        <f>IFERROR(+VLOOKUP(Movimientos_2026[[#This Row],[Codigo]],Plan_cuentas[],6,FALSE)," ")</f>
        <v>1 - VW - Volkswagen</v>
      </c>
      <c r="L445" s="50">
        <v>1867398.18</v>
      </c>
      <c r="M445" s="52"/>
      <c r="N445" s="20">
        <f>+Movimientos_2026[[#This Row],[Ingresos]]-Movimientos_2026[[#This Row],[Egresos]]</f>
        <v>1867398.18</v>
      </c>
      <c r="O445" s="20">
        <f>+O444+Movimientos_2026[[#This Row],[Neto]]</f>
        <v>5642699736.6693764</v>
      </c>
    </row>
    <row r="446" spans="1:15" x14ac:dyDescent="0.25">
      <c r="A446" s="13">
        <v>46058</v>
      </c>
      <c r="B446" s="12">
        <f>MONTH(Movimientos_2026[[#This Row],[Fecha]])</f>
        <v>2</v>
      </c>
      <c r="C446" s="12" t="str">
        <f>VLOOKUP((WEEKDAY(Movimientos_2026[[#This Row],[Fecha]],2)),'5. Setup'!$D$6:$E$12,2,FALSE)</f>
        <v>Jue</v>
      </c>
      <c r="D446">
        <v>2054325</v>
      </c>
      <c r="E446" t="str">
        <f>IFERROR(+VLOOKUP(Movimientos_2026[[#This Row],[Codigo]],Plan_cuentas[],2,FALSE)," ")</f>
        <v>EGRESOS</v>
      </c>
      <c r="F446" t="str">
        <f>IFERROR(+VLOOKUP(Movimientos_2026[[#This Row],[Codigo]],Plan_cuentas[],3,FALSE)," ")</f>
        <v>VEP</v>
      </c>
      <c r="G446" t="str">
        <f>IFERROR(+VLOOKUP(Movimientos_2026[[#This Row],[Codigo]],Plan_cuentas[],4,FALSE)," ")</f>
        <v>Rentas</v>
      </c>
      <c r="H446" t="str">
        <f>IFERROR(+VLOOKUP(Movimientos_2026[[#This Row],[Codigo]],Plan_cuentas[],5,FALSE)," ")</f>
        <v>NEUQUEN 2° Q</v>
      </c>
      <c r="I446" s="43">
        <v>46023</v>
      </c>
      <c r="J446" t="s">
        <v>195</v>
      </c>
      <c r="K446" t="str">
        <f>IFERROR(+VLOOKUP(Movimientos_2026[[#This Row],[Codigo]],Plan_cuentas[],6,FALSE)," ")</f>
        <v>5 - YAM - Yamaha</v>
      </c>
      <c r="L446" s="50"/>
      <c r="M446" s="52">
        <v>370223.7</v>
      </c>
      <c r="N446" s="20">
        <f>+Movimientos_2026[[#This Row],[Ingresos]]-Movimientos_2026[[#This Row],[Egresos]]</f>
        <v>-370223.7</v>
      </c>
      <c r="O446" s="20">
        <f>+O445+Movimientos_2026[[#This Row],[Neto]]</f>
        <v>5642329512.9693766</v>
      </c>
    </row>
    <row r="447" spans="1:15" x14ac:dyDescent="0.25">
      <c r="A447" s="13">
        <v>46058</v>
      </c>
      <c r="B447" s="12">
        <f>MONTH(Movimientos_2026[[#This Row],[Fecha]])</f>
        <v>2</v>
      </c>
      <c r="C447" s="12" t="str">
        <f>VLOOKUP((WEEKDAY(Movimientos_2026[[#This Row],[Fecha]],2)),'5. Setup'!$D$6:$E$12,2,FALSE)</f>
        <v>Jue</v>
      </c>
      <c r="D447">
        <v>2034412</v>
      </c>
      <c r="E447" t="str">
        <f>IFERROR(+VLOOKUP(Movimientos_2026[[#This Row],[Codigo]],Plan_cuentas[],2,FALSE)," ")</f>
        <v>EGRESOS</v>
      </c>
      <c r="F447" t="str">
        <f>IFERROR(+VLOOKUP(Movimientos_2026[[#This Row],[Codigo]],Plan_cuentas[],3,FALSE)," ")</f>
        <v>Pagos Bco. Provincia</v>
      </c>
      <c r="G447" t="str">
        <f>IFERROR(+VLOOKUP(Movimientos_2026[[#This Row],[Codigo]],Plan_cuentas[],4,FALSE)," ")</f>
        <v>Rentas</v>
      </c>
      <c r="H447" t="str">
        <f>IFERROR(+VLOOKUP(Movimientos_2026[[#This Row],[Codigo]],Plan_cuentas[],5,FALSE)," ")</f>
        <v>TIERRA DEL FUEGO</v>
      </c>
      <c r="I447" s="43">
        <v>46023</v>
      </c>
      <c r="J447" t="s">
        <v>196</v>
      </c>
      <c r="K447" t="str">
        <f>IFERROR(+VLOOKUP(Movimientos_2026[[#This Row],[Codigo]],Plan_cuentas[],6,FALSE)," ")</f>
        <v>2 - PR - Plan Rombo</v>
      </c>
      <c r="L447" s="50"/>
      <c r="M447" s="52">
        <v>10986155.310000001</v>
      </c>
      <c r="N447" s="20">
        <f>+Movimientos_2026[[#This Row],[Ingresos]]-Movimientos_2026[[#This Row],[Egresos]]</f>
        <v>-10986155.310000001</v>
      </c>
      <c r="O447" s="20">
        <f>+O446+Movimientos_2026[[#This Row],[Neto]]</f>
        <v>5631343357.6593761</v>
      </c>
    </row>
    <row r="448" spans="1:15" x14ac:dyDescent="0.25">
      <c r="A448" s="13">
        <v>46058</v>
      </c>
      <c r="B448" s="12">
        <f>MONTH(Movimientos_2026[[#This Row],[Fecha]])</f>
        <v>2</v>
      </c>
      <c r="C448" s="12" t="str">
        <f>VLOOKUP((WEEKDAY(Movimientos_2026[[#This Row],[Fecha]],2)),'5. Setup'!$D$6:$E$12,2,FALSE)</f>
        <v>Jue</v>
      </c>
      <c r="D448">
        <v>2034417</v>
      </c>
      <c r="E448" t="str">
        <f>IFERROR(+VLOOKUP(Movimientos_2026[[#This Row],[Codigo]],Plan_cuentas[],2,FALSE)," ")</f>
        <v>EGRESOS</v>
      </c>
      <c r="F448" t="str">
        <f>IFERROR(+VLOOKUP(Movimientos_2026[[#This Row],[Codigo]],Plan_cuentas[],3,FALSE)," ")</f>
        <v>Pagos Bco. Provincia</v>
      </c>
      <c r="G448" t="str">
        <f>IFERROR(+VLOOKUP(Movimientos_2026[[#This Row],[Codigo]],Plan_cuentas[],4,FALSE)," ")</f>
        <v>Rentas</v>
      </c>
      <c r="H448" t="str">
        <f>IFERROR(+VLOOKUP(Movimientos_2026[[#This Row],[Codigo]],Plan_cuentas[],5,FALSE)," ")</f>
        <v>TIERRA DEL FUEGO</v>
      </c>
      <c r="I448" s="43">
        <v>46023</v>
      </c>
      <c r="J448" t="s">
        <v>196</v>
      </c>
      <c r="K448" t="str">
        <f>IFERROR(+VLOOKUP(Movimientos_2026[[#This Row],[Codigo]],Plan_cuentas[],6,FALSE)," ")</f>
        <v>7 - PRtr - Plan Rombo Transf.</v>
      </c>
      <c r="L448" s="50"/>
      <c r="M448" s="52">
        <v>35000</v>
      </c>
      <c r="N448" s="20">
        <f>+Movimientos_2026[[#This Row],[Ingresos]]-Movimientos_2026[[#This Row],[Egresos]]</f>
        <v>-35000</v>
      </c>
      <c r="O448" s="20">
        <f>+O447+Movimientos_2026[[#This Row],[Neto]]</f>
        <v>5631308357.6593761</v>
      </c>
    </row>
    <row r="449" spans="1:15" x14ac:dyDescent="0.25">
      <c r="A449" s="13">
        <v>46058</v>
      </c>
      <c r="B449" s="12">
        <f>MONTH(Movimientos_2026[[#This Row],[Fecha]])</f>
        <v>2</v>
      </c>
      <c r="C449" s="12" t="str">
        <f>VLOOKUP((WEEKDAY(Movimientos_2026[[#This Row],[Fecha]],2)),'5. Setup'!$D$6:$E$12,2,FALSE)</f>
        <v>Jue</v>
      </c>
      <c r="D449">
        <v>2034413</v>
      </c>
      <c r="E449" t="str">
        <f>IFERROR(+VLOOKUP(Movimientos_2026[[#This Row],[Codigo]],Plan_cuentas[],2,FALSE)," ")</f>
        <v>EGRESOS</v>
      </c>
      <c r="F449" t="str">
        <f>IFERROR(+VLOOKUP(Movimientos_2026[[#This Row],[Codigo]],Plan_cuentas[],3,FALSE)," ")</f>
        <v>Pagos Bco. Provincia</v>
      </c>
      <c r="G449" t="str">
        <f>IFERROR(+VLOOKUP(Movimientos_2026[[#This Row],[Codigo]],Plan_cuentas[],4,FALSE)," ")</f>
        <v>Rentas</v>
      </c>
      <c r="H449" t="str">
        <f>IFERROR(+VLOOKUP(Movimientos_2026[[#This Row],[Codigo]],Plan_cuentas[],5,FALSE)," ")</f>
        <v>TIERRA DEL FUEGO</v>
      </c>
      <c r="I449" s="43">
        <v>46023</v>
      </c>
      <c r="J449" t="s">
        <v>197</v>
      </c>
      <c r="K449" t="str">
        <f>IFERROR(+VLOOKUP(Movimientos_2026[[#This Row],[Codigo]],Plan_cuentas[],6,FALSE)," ")</f>
        <v>3 - GM - Chevrolet</v>
      </c>
      <c r="L449" s="50"/>
      <c r="M449" s="52">
        <v>6854318.04</v>
      </c>
      <c r="N449" s="20">
        <f>+Movimientos_2026[[#This Row],[Ingresos]]-Movimientos_2026[[#This Row],[Egresos]]</f>
        <v>-6854318.04</v>
      </c>
      <c r="O449" s="20">
        <f>+O448+Movimientos_2026[[#This Row],[Neto]]</f>
        <v>5624454039.6193762</v>
      </c>
    </row>
    <row r="450" spans="1:15" x14ac:dyDescent="0.25">
      <c r="A450" s="13">
        <v>46058</v>
      </c>
      <c r="B450" s="12">
        <f>MONTH(Movimientos_2026[[#This Row],[Fecha]])</f>
        <v>2</v>
      </c>
      <c r="C450" s="12" t="str">
        <f>VLOOKUP((WEEKDAY(Movimientos_2026[[#This Row],[Fecha]],2)),'5. Setup'!$D$6:$E$12,2,FALSE)</f>
        <v>Jue</v>
      </c>
      <c r="D450">
        <v>2034414</v>
      </c>
      <c r="E450" t="str">
        <f>IFERROR(+VLOOKUP(Movimientos_2026[[#This Row],[Codigo]],Plan_cuentas[],2,FALSE)," ")</f>
        <v>EGRESOS</v>
      </c>
      <c r="F450" t="str">
        <f>IFERROR(+VLOOKUP(Movimientos_2026[[#This Row],[Codigo]],Plan_cuentas[],3,FALSE)," ")</f>
        <v>Pagos Bco. Provincia</v>
      </c>
      <c r="G450" t="str">
        <f>IFERROR(+VLOOKUP(Movimientos_2026[[#This Row],[Codigo]],Plan_cuentas[],4,FALSE)," ")</f>
        <v>Rentas</v>
      </c>
      <c r="H450" t="str">
        <f>IFERROR(+VLOOKUP(Movimientos_2026[[#This Row],[Codigo]],Plan_cuentas[],5,FALSE)," ")</f>
        <v>TIERRA DEL FUEGO</v>
      </c>
      <c r="I450" s="43">
        <v>46023</v>
      </c>
      <c r="J450" t="s">
        <v>198</v>
      </c>
      <c r="K450" t="str">
        <f>IFERROR(+VLOOKUP(Movimientos_2026[[#This Row],[Codigo]],Plan_cuentas[],6,FALSE)," ")</f>
        <v>4 - FCA - Fiat</v>
      </c>
      <c r="L450" s="50"/>
      <c r="M450" s="50">
        <v>26180739.34</v>
      </c>
      <c r="N450" s="20">
        <f>+Movimientos_2026[[#This Row],[Ingresos]]-Movimientos_2026[[#This Row],[Egresos]]</f>
        <v>-26180739.34</v>
      </c>
      <c r="O450" s="20">
        <f>+O449+Movimientos_2026[[#This Row],[Neto]]</f>
        <v>5598273300.279376</v>
      </c>
    </row>
    <row r="451" spans="1:15" x14ac:dyDescent="0.25">
      <c r="A451" s="13">
        <v>46058</v>
      </c>
      <c r="B451" s="12">
        <f>MONTH(Movimientos_2026[[#This Row],[Fecha]])</f>
        <v>2</v>
      </c>
      <c r="C451" s="12" t="str">
        <f>VLOOKUP((WEEKDAY(Movimientos_2026[[#This Row],[Fecha]],2)),'5. Setup'!$D$6:$E$12,2,FALSE)</f>
        <v>Jue</v>
      </c>
      <c r="D451">
        <v>1043151</v>
      </c>
      <c r="E451" t="str">
        <f>IFERROR(+VLOOKUP(Movimientos_2026[[#This Row],[Codigo]],Plan_cuentas[],2,FALSE)," ")</f>
        <v>INGRESOS</v>
      </c>
      <c r="F451" t="str">
        <f>IFERROR(+VLOOKUP(Movimientos_2026[[#This Row],[Codigo]],Plan_cuentas[],3,FALSE)," ")</f>
        <v>Transferencia</v>
      </c>
      <c r="G451" t="str">
        <f>IFERROR(+VLOOKUP(Movimientos_2026[[#This Row],[Codigo]],Plan_cuentas[],4,FALSE)," ")</f>
        <v>Registración</v>
      </c>
      <c r="H451" t="str">
        <f>IFERROR(+VLOOKUP(Movimientos_2026[[#This Row],[Codigo]],Plan_cuentas[],5,FALSE)," ")</f>
        <v>CABA</v>
      </c>
      <c r="I451" s="43">
        <v>45992</v>
      </c>
      <c r="J451" t="s">
        <v>199</v>
      </c>
      <c r="K451" t="str">
        <f>IFERROR(+VLOOKUP(Movimientos_2026[[#This Row],[Codigo]],Plan_cuentas[],6,FALSE)," ")</f>
        <v>1 - VW - Volkswagen</v>
      </c>
      <c r="L451" s="50">
        <v>52314175.490000002</v>
      </c>
      <c r="M451" s="52"/>
      <c r="N451" s="20">
        <f>+Movimientos_2026[[#This Row],[Ingresos]]-Movimientos_2026[[#This Row],[Egresos]]</f>
        <v>52314175.490000002</v>
      </c>
      <c r="O451" s="20">
        <f>+O450+Movimientos_2026[[#This Row],[Neto]]</f>
        <v>5650587475.7693758</v>
      </c>
    </row>
    <row r="452" spans="1:15" x14ac:dyDescent="0.25">
      <c r="A452" s="13">
        <v>46058</v>
      </c>
      <c r="B452" s="12">
        <f>MONTH(Movimientos_2026[[#This Row],[Fecha]])</f>
        <v>2</v>
      </c>
      <c r="C452" s="12" t="str">
        <f>VLOOKUP((WEEKDAY(Movimientos_2026[[#This Row],[Fecha]],2)),'5. Setup'!$D$6:$E$12,2,FALSE)</f>
        <v>Jue</v>
      </c>
      <c r="D452">
        <v>1043221</v>
      </c>
      <c r="E452" t="str">
        <f>IFERROR(+VLOOKUP(Movimientos_2026[[#This Row],[Codigo]],Plan_cuentas[],2,FALSE)," ")</f>
        <v>INGRESOS</v>
      </c>
      <c r="F452" t="str">
        <f>IFERROR(+VLOOKUP(Movimientos_2026[[#This Row],[Codigo]],Plan_cuentas[],3,FALSE)," ")</f>
        <v>Transferencia</v>
      </c>
      <c r="G452" t="str">
        <f>IFERROR(+VLOOKUP(Movimientos_2026[[#This Row],[Codigo]],Plan_cuentas[],4,FALSE)," ")</f>
        <v>Registración</v>
      </c>
      <c r="H452" t="str">
        <f>IFERROR(+VLOOKUP(Movimientos_2026[[#This Row],[Codigo]],Plan_cuentas[],5,FALSE)," ")</f>
        <v>ENTRE RIOS 1° Q</v>
      </c>
      <c r="I452" s="43">
        <v>45992</v>
      </c>
      <c r="J452" t="s">
        <v>199</v>
      </c>
      <c r="K452" t="str">
        <f>IFERROR(+VLOOKUP(Movimientos_2026[[#This Row],[Codigo]],Plan_cuentas[],6,FALSE)," ")</f>
        <v>1 - VW - Volkswagen</v>
      </c>
      <c r="L452" s="50">
        <v>713556</v>
      </c>
      <c r="M452" s="52"/>
      <c r="N452" s="20">
        <f>+Movimientos_2026[[#This Row],[Ingresos]]-Movimientos_2026[[#This Row],[Egresos]]</f>
        <v>713556</v>
      </c>
      <c r="O452" s="20">
        <f>+O451+Movimientos_2026[[#This Row],[Neto]]</f>
        <v>5651301031.7693758</v>
      </c>
    </row>
    <row r="453" spans="1:15" x14ac:dyDescent="0.25">
      <c r="A453" s="13">
        <v>46058</v>
      </c>
      <c r="B453" s="12">
        <f>MONTH(Movimientos_2026[[#This Row],[Fecha]])</f>
        <v>2</v>
      </c>
      <c r="C453" s="12" t="str">
        <f>VLOOKUP((WEEKDAY(Movimientos_2026[[#This Row],[Fecha]],2)),'5. Setup'!$D$6:$E$12,2,FALSE)</f>
        <v>Jue</v>
      </c>
      <c r="D453">
        <v>1043231</v>
      </c>
      <c r="E453" t="str">
        <f>IFERROR(+VLOOKUP(Movimientos_2026[[#This Row],[Codigo]],Plan_cuentas[],2,FALSE)," ")</f>
        <v>INGRESOS</v>
      </c>
      <c r="F453" t="str">
        <f>IFERROR(+VLOOKUP(Movimientos_2026[[#This Row],[Codigo]],Plan_cuentas[],3,FALSE)," ")</f>
        <v>Transferencia</v>
      </c>
      <c r="G453" t="str">
        <f>IFERROR(+VLOOKUP(Movimientos_2026[[#This Row],[Codigo]],Plan_cuentas[],4,FALSE)," ")</f>
        <v>Registración</v>
      </c>
      <c r="H453" t="str">
        <f>IFERROR(+VLOOKUP(Movimientos_2026[[#This Row],[Codigo]],Plan_cuentas[],5,FALSE)," ")</f>
        <v>ENTRE RIOS 2° Q</v>
      </c>
      <c r="I453" s="43">
        <v>45992</v>
      </c>
      <c r="J453" t="s">
        <v>199</v>
      </c>
      <c r="K453" t="str">
        <f>IFERROR(+VLOOKUP(Movimientos_2026[[#This Row],[Codigo]],Plan_cuentas[],6,FALSE)," ")</f>
        <v>1 - VW - Volkswagen</v>
      </c>
      <c r="L453" s="50">
        <v>7564082</v>
      </c>
      <c r="M453" s="50"/>
      <c r="N453" s="20">
        <f>+Movimientos_2026[[#This Row],[Ingresos]]-Movimientos_2026[[#This Row],[Egresos]]</f>
        <v>7564082</v>
      </c>
      <c r="O453" s="20">
        <f>+O452+Movimientos_2026[[#This Row],[Neto]]</f>
        <v>5658865113.7693758</v>
      </c>
    </row>
    <row r="454" spans="1:15" x14ac:dyDescent="0.25">
      <c r="A454" s="13">
        <v>46058</v>
      </c>
      <c r="B454" s="12">
        <f>MONTH(Movimientos_2026[[#This Row],[Fecha]])</f>
        <v>2</v>
      </c>
      <c r="C454" s="12" t="str">
        <f>VLOOKUP((WEEKDAY(Movimientos_2026[[#This Row],[Fecha]],2)),'5. Setup'!$D$6:$E$12,2,FALSE)</f>
        <v>Jue</v>
      </c>
      <c r="D454">
        <v>1043341</v>
      </c>
      <c r="E454" t="str">
        <f>IFERROR(+VLOOKUP(Movimientos_2026[[#This Row],[Codigo]],Plan_cuentas[],2,FALSE)," ")</f>
        <v>INGRESOS</v>
      </c>
      <c r="F454" t="str">
        <f>IFERROR(+VLOOKUP(Movimientos_2026[[#This Row],[Codigo]],Plan_cuentas[],3,FALSE)," ")</f>
        <v>Transferencia</v>
      </c>
      <c r="G454" t="str">
        <f>IFERROR(+VLOOKUP(Movimientos_2026[[#This Row],[Codigo]],Plan_cuentas[],4,FALSE)," ")</f>
        <v>Registración</v>
      </c>
      <c r="H454" t="str">
        <f>IFERROR(+VLOOKUP(Movimientos_2026[[#This Row],[Codigo]],Plan_cuentas[],5,FALSE)," ")</f>
        <v>RIO NEGRO</v>
      </c>
      <c r="I454" s="43">
        <v>45992</v>
      </c>
      <c r="J454" t="s">
        <v>199</v>
      </c>
      <c r="K454" t="str">
        <f>IFERROR(+VLOOKUP(Movimientos_2026[[#This Row],[Codigo]],Plan_cuentas[],6,FALSE)," ")</f>
        <v>1 - VW - Volkswagen</v>
      </c>
      <c r="L454" s="50">
        <v>24353104.699999999</v>
      </c>
      <c r="M454" s="50"/>
      <c r="N454" s="20">
        <f>+Movimientos_2026[[#This Row],[Ingresos]]-Movimientos_2026[[#This Row],[Egresos]]</f>
        <v>24353104.699999999</v>
      </c>
      <c r="O454" s="20">
        <f>+O453+Movimientos_2026[[#This Row],[Neto]]</f>
        <v>5683218218.4693756</v>
      </c>
    </row>
    <row r="455" spans="1:15" x14ac:dyDescent="0.25">
      <c r="A455" s="13">
        <v>46058</v>
      </c>
      <c r="B455" s="12">
        <f>MONTH(Movimientos_2026[[#This Row],[Fecha]])</f>
        <v>2</v>
      </c>
      <c r="C455" s="12" t="str">
        <f>VLOOKUP((WEEKDAY(Movimientos_2026[[#This Row],[Fecha]],2)),'5. Setup'!$D$6:$E$12,2,FALSE)</f>
        <v>Jue</v>
      </c>
      <c r="D455">
        <v>1044161</v>
      </c>
      <c r="E455" t="str">
        <f>IFERROR(+VLOOKUP(Movimientos_2026[[#This Row],[Codigo]],Plan_cuentas[],2,FALSE)," ")</f>
        <v>INGRESOS</v>
      </c>
      <c r="F455" t="str">
        <f>IFERROR(+VLOOKUP(Movimientos_2026[[#This Row],[Codigo]],Plan_cuentas[],3,FALSE)," ")</f>
        <v>Transferencia</v>
      </c>
      <c r="G455" t="str">
        <f>IFERROR(+VLOOKUP(Movimientos_2026[[#This Row],[Codigo]],Plan_cuentas[],4,FALSE)," ")</f>
        <v>Rentas</v>
      </c>
      <c r="H455" t="str">
        <f>IFERROR(+VLOOKUP(Movimientos_2026[[#This Row],[Codigo]],Plan_cuentas[],5,FALSE)," ")</f>
        <v>CHACO</v>
      </c>
      <c r="I455" s="43">
        <v>45992</v>
      </c>
      <c r="J455" t="s">
        <v>199</v>
      </c>
      <c r="K455" t="str">
        <f>IFERROR(+VLOOKUP(Movimientos_2026[[#This Row],[Codigo]],Plan_cuentas[],6,FALSE)," ")</f>
        <v>1 - VW - Volkswagen</v>
      </c>
      <c r="L455" s="50">
        <v>19807507</v>
      </c>
      <c r="M455" s="52"/>
      <c r="N455" s="20">
        <f>+Movimientos_2026[[#This Row],[Ingresos]]-Movimientos_2026[[#This Row],[Egresos]]</f>
        <v>19807507</v>
      </c>
      <c r="O455" s="20">
        <f>+O454+Movimientos_2026[[#This Row],[Neto]]</f>
        <v>5703025725.4693756</v>
      </c>
    </row>
    <row r="456" spans="1:15" x14ac:dyDescent="0.25">
      <c r="A456" s="13">
        <v>46058</v>
      </c>
      <c r="B456" s="12">
        <f>MONTH(Movimientos_2026[[#This Row],[Fecha]])</f>
        <v>2</v>
      </c>
      <c r="C456" s="12" t="str">
        <f>VLOOKUP((WEEKDAY(Movimientos_2026[[#This Row],[Fecha]],2)),'5. Setup'!$D$6:$E$12,2,FALSE)</f>
        <v>Jue</v>
      </c>
      <c r="D456">
        <v>1044171</v>
      </c>
      <c r="E456" t="str">
        <f>IFERROR(+VLOOKUP(Movimientos_2026[[#This Row],[Codigo]],Plan_cuentas[],2,FALSE)," ")</f>
        <v>INGRESOS</v>
      </c>
      <c r="F456" t="str">
        <f>IFERROR(+VLOOKUP(Movimientos_2026[[#This Row],[Codigo]],Plan_cuentas[],3,FALSE)," ")</f>
        <v>Transferencia</v>
      </c>
      <c r="G456" t="str">
        <f>IFERROR(+VLOOKUP(Movimientos_2026[[#This Row],[Codigo]],Plan_cuentas[],4,FALSE)," ")</f>
        <v>Rentas</v>
      </c>
      <c r="H456" t="str">
        <f>IFERROR(+VLOOKUP(Movimientos_2026[[#This Row],[Codigo]],Plan_cuentas[],5,FALSE)," ")</f>
        <v>CHUBUT</v>
      </c>
      <c r="I456" s="43">
        <v>45992</v>
      </c>
      <c r="J456" t="s">
        <v>199</v>
      </c>
      <c r="K456" t="str">
        <f>IFERROR(+VLOOKUP(Movimientos_2026[[#This Row],[Codigo]],Plan_cuentas[],6,FALSE)," ")</f>
        <v>1 - VW - Volkswagen</v>
      </c>
      <c r="L456" s="50">
        <v>7323954.75</v>
      </c>
      <c r="M456" s="52"/>
      <c r="N456" s="20">
        <f>+Movimientos_2026[[#This Row],[Ingresos]]-Movimientos_2026[[#This Row],[Egresos]]</f>
        <v>7323954.75</v>
      </c>
      <c r="O456" s="20">
        <f>+O455+Movimientos_2026[[#This Row],[Neto]]</f>
        <v>5710349680.2193756</v>
      </c>
    </row>
    <row r="457" spans="1:15" x14ac:dyDescent="0.25">
      <c r="A457" s="13">
        <v>46058</v>
      </c>
      <c r="B457" s="12">
        <f>MONTH(Movimientos_2026[[#This Row],[Fecha]])</f>
        <v>2</v>
      </c>
      <c r="C457" s="12" t="str">
        <f>VLOOKUP((WEEKDAY(Movimientos_2026[[#This Row],[Fecha]],2)),'5. Setup'!$D$6:$E$12,2,FALSE)</f>
        <v>Jue</v>
      </c>
      <c r="D457">
        <v>1044211</v>
      </c>
      <c r="E457" t="str">
        <f>IFERROR(+VLOOKUP(Movimientos_2026[[#This Row],[Codigo]],Plan_cuentas[],2,FALSE)," ")</f>
        <v>INGRESOS</v>
      </c>
      <c r="F457" t="str">
        <f>IFERROR(+VLOOKUP(Movimientos_2026[[#This Row],[Codigo]],Plan_cuentas[],3,FALSE)," ")</f>
        <v>Transferencia</v>
      </c>
      <c r="G457" t="str">
        <f>IFERROR(+VLOOKUP(Movimientos_2026[[#This Row],[Codigo]],Plan_cuentas[],4,FALSE)," ")</f>
        <v>Rentas</v>
      </c>
      <c r="H457" t="str">
        <f>IFERROR(+VLOOKUP(Movimientos_2026[[#This Row],[Codigo]],Plan_cuentas[],5,FALSE)," ")</f>
        <v>CORRIENTES 2° Q</v>
      </c>
      <c r="I457" s="43">
        <v>45992</v>
      </c>
      <c r="J457" t="s">
        <v>199</v>
      </c>
      <c r="K457" t="str">
        <f>IFERROR(+VLOOKUP(Movimientos_2026[[#This Row],[Codigo]],Plan_cuentas[],6,FALSE)," ")</f>
        <v>1 - VW - Volkswagen</v>
      </c>
      <c r="L457" s="50">
        <v>5403636</v>
      </c>
      <c r="M457" s="52"/>
      <c r="N457" s="20">
        <f>+Movimientos_2026[[#This Row],[Ingresos]]-Movimientos_2026[[#This Row],[Egresos]]</f>
        <v>5403636</v>
      </c>
      <c r="O457" s="20">
        <f>+O456+Movimientos_2026[[#This Row],[Neto]]</f>
        <v>5715753316.2193756</v>
      </c>
    </row>
    <row r="458" spans="1:15" x14ac:dyDescent="0.25">
      <c r="A458" s="13">
        <v>46058</v>
      </c>
      <c r="B458" s="12">
        <f>MONTH(Movimientos_2026[[#This Row],[Fecha]])</f>
        <v>2</v>
      </c>
      <c r="C458" s="12" t="str">
        <f>VLOOKUP((WEEKDAY(Movimientos_2026[[#This Row],[Fecha]],2)),'5. Setup'!$D$6:$E$12,2,FALSE)</f>
        <v>Jue</v>
      </c>
      <c r="D458">
        <v>1044241</v>
      </c>
      <c r="E458" t="str">
        <f>IFERROR(+VLOOKUP(Movimientos_2026[[#This Row],[Codigo]],Plan_cuentas[],2,FALSE)," ")</f>
        <v>INGRESOS</v>
      </c>
      <c r="F458" t="str">
        <f>IFERROR(+VLOOKUP(Movimientos_2026[[#This Row],[Codigo]],Plan_cuentas[],3,FALSE)," ")</f>
        <v>Transferencia</v>
      </c>
      <c r="G458" t="str">
        <f>IFERROR(+VLOOKUP(Movimientos_2026[[#This Row],[Codigo]],Plan_cuentas[],4,FALSE)," ")</f>
        <v>Rentas</v>
      </c>
      <c r="H458" t="str">
        <f>IFERROR(+VLOOKUP(Movimientos_2026[[#This Row],[Codigo]],Plan_cuentas[],5,FALSE)," ")</f>
        <v>FORMOSA</v>
      </c>
      <c r="I458" s="43">
        <v>45992</v>
      </c>
      <c r="J458" t="s">
        <v>199</v>
      </c>
      <c r="K458" t="str">
        <f>IFERROR(+VLOOKUP(Movimientos_2026[[#This Row],[Codigo]],Plan_cuentas[],6,FALSE)," ")</f>
        <v>1 - VW - Volkswagen</v>
      </c>
      <c r="L458" s="50">
        <v>2786781</v>
      </c>
      <c r="M458" s="52"/>
      <c r="N458" s="20">
        <f>+Movimientos_2026[[#This Row],[Ingresos]]-Movimientos_2026[[#This Row],[Egresos]]</f>
        <v>2786781</v>
      </c>
      <c r="O458" s="20">
        <f>+O457+Movimientos_2026[[#This Row],[Neto]]</f>
        <v>5718540097.2193756</v>
      </c>
    </row>
    <row r="459" spans="1:15" x14ac:dyDescent="0.25">
      <c r="A459" s="13">
        <v>46058</v>
      </c>
      <c r="B459" s="12">
        <f>MONTH(Movimientos_2026[[#This Row],[Fecha]])</f>
        <v>2</v>
      </c>
      <c r="C459" s="12" t="str">
        <f>VLOOKUP((WEEKDAY(Movimientos_2026[[#This Row],[Fecha]],2)),'5. Setup'!$D$6:$E$12,2,FALSE)</f>
        <v>Jue</v>
      </c>
      <c r="D459">
        <v>1044261</v>
      </c>
      <c r="E459" t="str">
        <f>IFERROR(+VLOOKUP(Movimientos_2026[[#This Row],[Codigo]],Plan_cuentas[],2,FALSE)," ")</f>
        <v>INGRESOS</v>
      </c>
      <c r="F459" t="str">
        <f>IFERROR(+VLOOKUP(Movimientos_2026[[#This Row],[Codigo]],Plan_cuentas[],3,FALSE)," ")</f>
        <v>Transferencia</v>
      </c>
      <c r="G459" t="str">
        <f>IFERROR(+VLOOKUP(Movimientos_2026[[#This Row],[Codigo]],Plan_cuentas[],4,FALSE)," ")</f>
        <v>Rentas</v>
      </c>
      <c r="H459" t="str">
        <f>IFERROR(+VLOOKUP(Movimientos_2026[[#This Row],[Codigo]],Plan_cuentas[],5,FALSE)," ")</f>
        <v>LA PAMPA</v>
      </c>
      <c r="I459" s="43">
        <v>45992</v>
      </c>
      <c r="J459" t="s">
        <v>199</v>
      </c>
      <c r="K459" t="str">
        <f>IFERROR(+VLOOKUP(Movimientos_2026[[#This Row],[Codigo]],Plan_cuentas[],6,FALSE)," ")</f>
        <v>1 - VW - Volkswagen</v>
      </c>
      <c r="L459" s="50">
        <v>2279685.2200000002</v>
      </c>
      <c r="M459" s="52"/>
      <c r="N459" s="20">
        <f>+Movimientos_2026[[#This Row],[Ingresos]]-Movimientos_2026[[#This Row],[Egresos]]</f>
        <v>2279685.2200000002</v>
      </c>
      <c r="O459" s="20">
        <f>+O458+Movimientos_2026[[#This Row],[Neto]]</f>
        <v>5720819782.4393759</v>
      </c>
    </row>
    <row r="460" spans="1:15" x14ac:dyDescent="0.25">
      <c r="A460" s="13">
        <v>46058</v>
      </c>
      <c r="B460" s="12">
        <f>MONTH(Movimientos_2026[[#This Row],[Fecha]])</f>
        <v>2</v>
      </c>
      <c r="C460" s="12" t="str">
        <f>VLOOKUP((WEEKDAY(Movimientos_2026[[#This Row],[Fecha]],2)),'5. Setup'!$D$6:$E$12,2,FALSE)</f>
        <v>Jue</v>
      </c>
      <c r="D460">
        <v>1044271</v>
      </c>
      <c r="E460" t="str">
        <f>IFERROR(+VLOOKUP(Movimientos_2026[[#This Row],[Codigo]],Plan_cuentas[],2,FALSE)," ")</f>
        <v>INGRESOS</v>
      </c>
      <c r="F460" t="str">
        <f>IFERROR(+VLOOKUP(Movimientos_2026[[#This Row],[Codigo]],Plan_cuentas[],3,FALSE)," ")</f>
        <v>Transferencia</v>
      </c>
      <c r="G460" t="str">
        <f>IFERROR(+VLOOKUP(Movimientos_2026[[#This Row],[Codigo]],Plan_cuentas[],4,FALSE)," ")</f>
        <v>Rentas</v>
      </c>
      <c r="H460" t="str">
        <f>IFERROR(+VLOOKUP(Movimientos_2026[[#This Row],[Codigo]],Plan_cuentas[],5,FALSE)," ")</f>
        <v>LA RIOJA</v>
      </c>
      <c r="I460" s="43">
        <v>45992</v>
      </c>
      <c r="J460" t="s">
        <v>199</v>
      </c>
      <c r="K460" t="str">
        <f>IFERROR(+VLOOKUP(Movimientos_2026[[#This Row],[Codigo]],Plan_cuentas[],6,FALSE)," ")</f>
        <v>1 - VW - Volkswagen</v>
      </c>
      <c r="L460" s="50">
        <v>13758673</v>
      </c>
      <c r="M460" s="52"/>
      <c r="N460" s="20">
        <f>+Movimientos_2026[[#This Row],[Ingresos]]-Movimientos_2026[[#This Row],[Egresos]]</f>
        <v>13758673</v>
      </c>
      <c r="O460" s="20">
        <f>+O459+Movimientos_2026[[#This Row],[Neto]]</f>
        <v>5734578455.4393759</v>
      </c>
    </row>
    <row r="461" spans="1:15" x14ac:dyDescent="0.25">
      <c r="A461" s="13">
        <v>46058</v>
      </c>
      <c r="B461" s="12">
        <f>MONTH(Movimientos_2026[[#This Row],[Fecha]])</f>
        <v>2</v>
      </c>
      <c r="C461" s="12" t="str">
        <f>VLOOKUP((WEEKDAY(Movimientos_2026[[#This Row],[Fecha]],2)),'5. Setup'!$D$6:$E$12,2,FALSE)</f>
        <v>Jue</v>
      </c>
      <c r="D461">
        <v>1044281</v>
      </c>
      <c r="E461" t="str">
        <f>IFERROR(+VLOOKUP(Movimientos_2026[[#This Row],[Codigo]],Plan_cuentas[],2,FALSE)," ")</f>
        <v>INGRESOS</v>
      </c>
      <c r="F461" t="str">
        <f>IFERROR(+VLOOKUP(Movimientos_2026[[#This Row],[Codigo]],Plan_cuentas[],3,FALSE)," ")</f>
        <v>Transferencia</v>
      </c>
      <c r="G461" t="str">
        <f>IFERROR(+VLOOKUP(Movimientos_2026[[#This Row],[Codigo]],Plan_cuentas[],4,FALSE)," ")</f>
        <v>Rentas</v>
      </c>
      <c r="H461" t="str">
        <f>IFERROR(+VLOOKUP(Movimientos_2026[[#This Row],[Codigo]],Plan_cuentas[],5,FALSE)," ")</f>
        <v>MENDOZA</v>
      </c>
      <c r="I461" s="43">
        <v>45992</v>
      </c>
      <c r="J461" t="s">
        <v>199</v>
      </c>
      <c r="K461" t="str">
        <f>IFERROR(+VLOOKUP(Movimientos_2026[[#This Row],[Codigo]],Plan_cuentas[],6,FALSE)," ")</f>
        <v>1 - VW - Volkswagen</v>
      </c>
      <c r="L461" s="50">
        <v>15879588.862500001</v>
      </c>
      <c r="M461" s="52"/>
      <c r="N461" s="20">
        <f>+Movimientos_2026[[#This Row],[Ingresos]]-Movimientos_2026[[#This Row],[Egresos]]</f>
        <v>15879588.862500001</v>
      </c>
      <c r="O461" s="20">
        <f>+O460+Movimientos_2026[[#This Row],[Neto]]</f>
        <v>5750458044.3018761</v>
      </c>
    </row>
    <row r="462" spans="1:15" x14ac:dyDescent="0.25">
      <c r="A462" s="13">
        <v>46058</v>
      </c>
      <c r="B462" s="12">
        <f>MONTH(Movimientos_2026[[#This Row],[Fecha]])</f>
        <v>2</v>
      </c>
      <c r="C462" s="12" t="str">
        <f>VLOOKUP((WEEKDAY(Movimientos_2026[[#This Row],[Fecha]],2)),'5. Setup'!$D$6:$E$12,2,FALSE)</f>
        <v>Jue</v>
      </c>
      <c r="D462">
        <v>1044461</v>
      </c>
      <c r="E462" t="str">
        <f>IFERROR(+VLOOKUP(Movimientos_2026[[#This Row],[Codigo]],Plan_cuentas[],2,FALSE)," ")</f>
        <v>INGRESOS</v>
      </c>
      <c r="F462" t="str">
        <f>IFERROR(+VLOOKUP(Movimientos_2026[[#This Row],[Codigo]],Plan_cuentas[],3,FALSE)," ")</f>
        <v>Transferencia</v>
      </c>
      <c r="G462" t="str">
        <f>IFERROR(+VLOOKUP(Movimientos_2026[[#This Row],[Codigo]],Plan_cuentas[],4,FALSE)," ")</f>
        <v>Rentas</v>
      </c>
      <c r="H462" t="str">
        <f>IFERROR(+VLOOKUP(Movimientos_2026[[#This Row],[Codigo]],Plan_cuentas[],5,FALSE)," ")</f>
        <v>MISIONES</v>
      </c>
      <c r="I462" s="43">
        <v>45992</v>
      </c>
      <c r="J462" t="s">
        <v>199</v>
      </c>
      <c r="K462" t="str">
        <f>IFERROR(+VLOOKUP(Movimientos_2026[[#This Row],[Codigo]],Plan_cuentas[],6,FALSE)," ")</f>
        <v>1 - VW - Volkswagen</v>
      </c>
      <c r="L462" s="50">
        <v>919591.50599643914</v>
      </c>
      <c r="M462" s="52"/>
      <c r="N462" s="20">
        <f>+Movimientos_2026[[#This Row],[Ingresos]]-Movimientos_2026[[#This Row],[Egresos]]</f>
        <v>919591.50599643914</v>
      </c>
      <c r="O462" s="20">
        <f>+O461+Movimientos_2026[[#This Row],[Neto]]</f>
        <v>5751377635.8078728</v>
      </c>
    </row>
    <row r="463" spans="1:15" x14ac:dyDescent="0.25">
      <c r="A463" s="13">
        <v>46058</v>
      </c>
      <c r="B463" s="12">
        <f>MONTH(Movimientos_2026[[#This Row],[Fecha]])</f>
        <v>2</v>
      </c>
      <c r="C463" s="12" t="str">
        <f>VLOOKUP((WEEKDAY(Movimientos_2026[[#This Row],[Fecha]],2)),'5. Setup'!$D$6:$E$12,2,FALSE)</f>
        <v>Jue</v>
      </c>
      <c r="D463">
        <v>1044311</v>
      </c>
      <c r="E463" t="str">
        <f>IFERROR(+VLOOKUP(Movimientos_2026[[#This Row],[Codigo]],Plan_cuentas[],2,FALSE)," ")</f>
        <v>INGRESOS</v>
      </c>
      <c r="F463" t="str">
        <f>IFERROR(+VLOOKUP(Movimientos_2026[[#This Row],[Codigo]],Plan_cuentas[],3,FALSE)," ")</f>
        <v>Transferencia</v>
      </c>
      <c r="G463" t="str">
        <f>IFERROR(+VLOOKUP(Movimientos_2026[[#This Row],[Codigo]],Plan_cuentas[],4,FALSE)," ")</f>
        <v>Rentas</v>
      </c>
      <c r="H463" t="str">
        <f>IFERROR(+VLOOKUP(Movimientos_2026[[#This Row],[Codigo]],Plan_cuentas[],5,FALSE)," ")</f>
        <v>NEUQUEN 1° Q</v>
      </c>
      <c r="I463" s="43">
        <v>45992</v>
      </c>
      <c r="J463" t="s">
        <v>199</v>
      </c>
      <c r="K463" t="str">
        <f>IFERROR(+VLOOKUP(Movimientos_2026[[#This Row],[Codigo]],Plan_cuentas[],6,FALSE)," ")</f>
        <v>1 - VW - Volkswagen</v>
      </c>
      <c r="L463" s="50">
        <v>1070334</v>
      </c>
      <c r="M463" s="52"/>
      <c r="N463" s="20">
        <f>+Movimientos_2026[[#This Row],[Ingresos]]-Movimientos_2026[[#This Row],[Egresos]]</f>
        <v>1070334</v>
      </c>
      <c r="O463" s="20">
        <f>+O462+Movimientos_2026[[#This Row],[Neto]]</f>
        <v>5752447969.8078728</v>
      </c>
    </row>
    <row r="464" spans="1:15" x14ac:dyDescent="0.25">
      <c r="A464" s="13">
        <v>46058</v>
      </c>
      <c r="B464" s="12">
        <f>MONTH(Movimientos_2026[[#This Row],[Fecha]])</f>
        <v>2</v>
      </c>
      <c r="C464" s="12" t="str">
        <f>VLOOKUP((WEEKDAY(Movimientos_2026[[#This Row],[Fecha]],2)),'5. Setup'!$D$6:$E$12,2,FALSE)</f>
        <v>Jue</v>
      </c>
      <c r="D464">
        <v>1044321</v>
      </c>
      <c r="E464" t="str">
        <f>IFERROR(+VLOOKUP(Movimientos_2026[[#This Row],[Codigo]],Plan_cuentas[],2,FALSE)," ")</f>
        <v>INGRESOS</v>
      </c>
      <c r="F464" t="str">
        <f>IFERROR(+VLOOKUP(Movimientos_2026[[#This Row],[Codigo]],Plan_cuentas[],3,FALSE)," ")</f>
        <v>Transferencia</v>
      </c>
      <c r="G464" t="str">
        <f>IFERROR(+VLOOKUP(Movimientos_2026[[#This Row],[Codigo]],Plan_cuentas[],4,FALSE)," ")</f>
        <v>Rentas</v>
      </c>
      <c r="H464" t="str">
        <f>IFERROR(+VLOOKUP(Movimientos_2026[[#This Row],[Codigo]],Plan_cuentas[],5,FALSE)," ")</f>
        <v>NEUQUEN 2° Q</v>
      </c>
      <c r="I464" s="43">
        <v>45992</v>
      </c>
      <c r="J464" t="s">
        <v>199</v>
      </c>
      <c r="K464" t="str">
        <f>IFERROR(+VLOOKUP(Movimientos_2026[[#This Row],[Codigo]],Plan_cuentas[],6,FALSE)," ")</f>
        <v>1 - VW - Volkswagen</v>
      </c>
      <c r="L464" s="50">
        <v>23242674</v>
      </c>
      <c r="M464" s="52"/>
      <c r="N464" s="20">
        <f>+Movimientos_2026[[#This Row],[Ingresos]]-Movimientos_2026[[#This Row],[Egresos]]</f>
        <v>23242674</v>
      </c>
      <c r="O464" s="20">
        <f>+O463+Movimientos_2026[[#This Row],[Neto]]</f>
        <v>5775690643.8078728</v>
      </c>
    </row>
    <row r="465" spans="1:15" x14ac:dyDescent="0.25">
      <c r="A465" s="13">
        <v>46058</v>
      </c>
      <c r="B465" s="12">
        <f>MONTH(Movimientos_2026[[#This Row],[Fecha]])</f>
        <v>2</v>
      </c>
      <c r="C465" s="12" t="str">
        <f>VLOOKUP((WEEKDAY(Movimientos_2026[[#This Row],[Fecha]],2)),'5. Setup'!$D$6:$E$12,2,FALSE)</f>
        <v>Jue</v>
      </c>
      <c r="D465">
        <v>1044351</v>
      </c>
      <c r="E465" t="str">
        <f>IFERROR(+VLOOKUP(Movimientos_2026[[#This Row],[Codigo]],Plan_cuentas[],2,FALSE)," ")</f>
        <v>INGRESOS</v>
      </c>
      <c r="F465" t="str">
        <f>IFERROR(+VLOOKUP(Movimientos_2026[[#This Row],[Codigo]],Plan_cuentas[],3,FALSE)," ")</f>
        <v>Transferencia</v>
      </c>
      <c r="G465" t="str">
        <f>IFERROR(+VLOOKUP(Movimientos_2026[[#This Row],[Codigo]],Plan_cuentas[],4,FALSE)," ")</f>
        <v>Rentas</v>
      </c>
      <c r="H465" t="str">
        <f>IFERROR(+VLOOKUP(Movimientos_2026[[#This Row],[Codigo]],Plan_cuentas[],5,FALSE)," ")</f>
        <v>SAN JUAN</v>
      </c>
      <c r="I465" s="43">
        <v>45992</v>
      </c>
      <c r="J465" t="s">
        <v>199</v>
      </c>
      <c r="K465" t="str">
        <f>IFERROR(+VLOOKUP(Movimientos_2026[[#This Row],[Codigo]],Plan_cuentas[],6,FALSE)," ")</f>
        <v>1 - VW - Volkswagen</v>
      </c>
      <c r="L465" s="50">
        <v>2672883.8864000002</v>
      </c>
      <c r="M465" s="52"/>
      <c r="N465" s="20">
        <f>+Movimientos_2026[[#This Row],[Ingresos]]-Movimientos_2026[[#This Row],[Egresos]]</f>
        <v>2672883.8864000002</v>
      </c>
      <c r="O465" s="20">
        <f>+O464+Movimientos_2026[[#This Row],[Neto]]</f>
        <v>5778363527.694273</v>
      </c>
    </row>
    <row r="466" spans="1:15" x14ac:dyDescent="0.25">
      <c r="A466" s="13">
        <v>46058</v>
      </c>
      <c r="B466" s="12">
        <f>MONTH(Movimientos_2026[[#This Row],[Fecha]])</f>
        <v>2</v>
      </c>
      <c r="C466" s="12" t="str">
        <f>VLOOKUP((WEEKDAY(Movimientos_2026[[#This Row],[Fecha]],2)),'5. Setup'!$D$6:$E$12,2,FALSE)</f>
        <v>Jue</v>
      </c>
      <c r="D466">
        <v>1044361</v>
      </c>
      <c r="E466" t="str">
        <f>IFERROR(+VLOOKUP(Movimientos_2026[[#This Row],[Codigo]],Plan_cuentas[],2,FALSE)," ")</f>
        <v>INGRESOS</v>
      </c>
      <c r="F466" t="str">
        <f>IFERROR(+VLOOKUP(Movimientos_2026[[#This Row],[Codigo]],Plan_cuentas[],3,FALSE)," ")</f>
        <v>Transferencia</v>
      </c>
      <c r="G466" t="str">
        <f>IFERROR(+VLOOKUP(Movimientos_2026[[#This Row],[Codigo]],Plan_cuentas[],4,FALSE)," ")</f>
        <v>Rentas</v>
      </c>
      <c r="H466" t="str">
        <f>IFERROR(+VLOOKUP(Movimientos_2026[[#This Row],[Codigo]],Plan_cuentas[],5,FALSE)," ")</f>
        <v>SAN LUIS</v>
      </c>
      <c r="I466" s="43">
        <v>45992</v>
      </c>
      <c r="J466" t="s">
        <v>199</v>
      </c>
      <c r="K466" t="str">
        <f>IFERROR(+VLOOKUP(Movimientos_2026[[#This Row],[Codigo]],Plan_cuentas[],6,FALSE)," ")</f>
        <v>1 - VW - Volkswagen</v>
      </c>
      <c r="L466" s="50">
        <v>7224258.527999999</v>
      </c>
      <c r="M466" s="52"/>
      <c r="N466" s="20">
        <f>+Movimientos_2026[[#This Row],[Ingresos]]-Movimientos_2026[[#This Row],[Egresos]]</f>
        <v>7224258.527999999</v>
      </c>
      <c r="O466" s="20">
        <f>+O465+Movimientos_2026[[#This Row],[Neto]]</f>
        <v>5785587786.2222729</v>
      </c>
    </row>
    <row r="467" spans="1:15" x14ac:dyDescent="0.25">
      <c r="A467" s="13">
        <v>46058</v>
      </c>
      <c r="B467" s="12">
        <f>MONTH(Movimientos_2026[[#This Row],[Fecha]])</f>
        <v>2</v>
      </c>
      <c r="C467" s="12" t="str">
        <f>VLOOKUP((WEEKDAY(Movimientos_2026[[#This Row],[Fecha]],2)),'5. Setup'!$D$6:$E$12,2,FALSE)</f>
        <v>Jue</v>
      </c>
      <c r="D467">
        <v>1044371</v>
      </c>
      <c r="E467" t="str">
        <f>IFERROR(+VLOOKUP(Movimientos_2026[[#This Row],[Codigo]],Plan_cuentas[],2,FALSE)," ")</f>
        <v>INGRESOS</v>
      </c>
      <c r="F467" t="str">
        <f>IFERROR(+VLOOKUP(Movimientos_2026[[#This Row],[Codigo]],Plan_cuentas[],3,FALSE)," ")</f>
        <v>Transferencia</v>
      </c>
      <c r="G467" t="str">
        <f>IFERROR(+VLOOKUP(Movimientos_2026[[#This Row],[Codigo]],Plan_cuentas[],4,FALSE)," ")</f>
        <v>Rentas</v>
      </c>
      <c r="H467" t="str">
        <f>IFERROR(+VLOOKUP(Movimientos_2026[[#This Row],[Codigo]],Plan_cuentas[],5,FALSE)," ")</f>
        <v>SANTA CRUZ</v>
      </c>
      <c r="I467" s="43">
        <v>45992</v>
      </c>
      <c r="J467" t="s">
        <v>199</v>
      </c>
      <c r="K467" t="str">
        <f>IFERROR(+VLOOKUP(Movimientos_2026[[#This Row],[Codigo]],Plan_cuentas[],6,FALSE)," ")</f>
        <v>1 - VW - Volkswagen</v>
      </c>
      <c r="L467" s="50">
        <v>16194501.609999999</v>
      </c>
      <c r="M467" s="52"/>
      <c r="N467" s="20">
        <f>+Movimientos_2026[[#This Row],[Ingresos]]-Movimientos_2026[[#This Row],[Egresos]]</f>
        <v>16194501.609999999</v>
      </c>
      <c r="O467" s="20">
        <f>+O466+Movimientos_2026[[#This Row],[Neto]]</f>
        <v>5801782287.8322725</v>
      </c>
    </row>
    <row r="468" spans="1:15" x14ac:dyDescent="0.25">
      <c r="A468" s="13">
        <v>46058</v>
      </c>
      <c r="B468" s="12">
        <f>MONTH(Movimientos_2026[[#This Row],[Fecha]])</f>
        <v>2</v>
      </c>
      <c r="C468" s="12" t="str">
        <f>VLOOKUP((WEEKDAY(Movimientos_2026[[#This Row],[Fecha]],2)),'5. Setup'!$D$6:$E$12,2,FALSE)</f>
        <v>Jue</v>
      </c>
      <c r="D468">
        <v>1044381</v>
      </c>
      <c r="E468" t="str">
        <f>IFERROR(+VLOOKUP(Movimientos_2026[[#This Row],[Codigo]],Plan_cuentas[],2,FALSE)," ")</f>
        <v>INGRESOS</v>
      </c>
      <c r="F468" t="str">
        <f>IFERROR(+VLOOKUP(Movimientos_2026[[#This Row],[Codigo]],Plan_cuentas[],3,FALSE)," ")</f>
        <v>Transferencia</v>
      </c>
      <c r="G468" t="str">
        <f>IFERROR(+VLOOKUP(Movimientos_2026[[#This Row],[Codigo]],Plan_cuentas[],4,FALSE)," ")</f>
        <v>Rentas</v>
      </c>
      <c r="H468" t="str">
        <f>IFERROR(+VLOOKUP(Movimientos_2026[[#This Row],[Codigo]],Plan_cuentas[],5,FALSE)," ")</f>
        <v>SANTA FE 1° Q</v>
      </c>
      <c r="I468" s="43">
        <v>45992</v>
      </c>
      <c r="J468" t="s">
        <v>199</v>
      </c>
      <c r="K468" t="str">
        <f>IFERROR(+VLOOKUP(Movimientos_2026[[#This Row],[Codigo]],Plan_cuentas[],6,FALSE)," ")</f>
        <v>1 - VW - Volkswagen</v>
      </c>
      <c r="L468" s="50">
        <v>2026363.85</v>
      </c>
      <c r="M468" s="52"/>
      <c r="N468" s="20">
        <f>+Movimientos_2026[[#This Row],[Ingresos]]-Movimientos_2026[[#This Row],[Egresos]]</f>
        <v>2026363.85</v>
      </c>
      <c r="O468" s="20">
        <f>+O467+Movimientos_2026[[#This Row],[Neto]]</f>
        <v>5803808651.6822729</v>
      </c>
    </row>
    <row r="469" spans="1:15" x14ac:dyDescent="0.25">
      <c r="A469" s="13">
        <v>46058</v>
      </c>
      <c r="B469" s="12">
        <f>MONTH(Movimientos_2026[[#This Row],[Fecha]])</f>
        <v>2</v>
      </c>
      <c r="C469" s="12" t="str">
        <f>VLOOKUP((WEEKDAY(Movimientos_2026[[#This Row],[Fecha]],2)),'5. Setup'!$D$6:$E$12,2,FALSE)</f>
        <v>Jue</v>
      </c>
      <c r="D469">
        <v>1044391</v>
      </c>
      <c r="E469" t="str">
        <f>IFERROR(+VLOOKUP(Movimientos_2026[[#This Row],[Codigo]],Plan_cuentas[],2,FALSE)," ")</f>
        <v>INGRESOS</v>
      </c>
      <c r="F469" t="str">
        <f>IFERROR(+VLOOKUP(Movimientos_2026[[#This Row],[Codigo]],Plan_cuentas[],3,FALSE)," ")</f>
        <v>Transferencia</v>
      </c>
      <c r="G469" t="str">
        <f>IFERROR(+VLOOKUP(Movimientos_2026[[#This Row],[Codigo]],Plan_cuentas[],4,FALSE)," ")</f>
        <v>Rentas</v>
      </c>
      <c r="H469" t="str">
        <f>IFERROR(+VLOOKUP(Movimientos_2026[[#This Row],[Codigo]],Plan_cuentas[],5,FALSE)," ")</f>
        <v>SANTA FE 2° Q</v>
      </c>
      <c r="I469" s="43">
        <v>45992</v>
      </c>
      <c r="J469" t="s">
        <v>199</v>
      </c>
      <c r="K469" t="str">
        <f>IFERROR(+VLOOKUP(Movimientos_2026[[#This Row],[Codigo]],Plan_cuentas[],6,FALSE)," ")</f>
        <v>1 - VW - Volkswagen</v>
      </c>
      <c r="L469" s="50">
        <v>16672746.75</v>
      </c>
      <c r="M469" s="52"/>
      <c r="N469" s="20">
        <f>+Movimientos_2026[[#This Row],[Ingresos]]-Movimientos_2026[[#This Row],[Egresos]]</f>
        <v>16672746.75</v>
      </c>
      <c r="O469" s="20">
        <f>+O468+Movimientos_2026[[#This Row],[Neto]]</f>
        <v>5820481398.4322729</v>
      </c>
    </row>
    <row r="470" spans="1:15" x14ac:dyDescent="0.25">
      <c r="A470" s="13">
        <v>46058</v>
      </c>
      <c r="B470" s="12">
        <f>MONTH(Movimientos_2026[[#This Row],[Fecha]])</f>
        <v>2</v>
      </c>
      <c r="C470" s="12" t="str">
        <f>VLOOKUP((WEEKDAY(Movimientos_2026[[#This Row],[Fecha]],2)),'5. Setup'!$D$6:$E$12,2,FALSE)</f>
        <v>Jue</v>
      </c>
      <c r="D470">
        <v>1044401</v>
      </c>
      <c r="E470" t="str">
        <f>IFERROR(+VLOOKUP(Movimientos_2026[[#This Row],[Codigo]],Plan_cuentas[],2,FALSE)," ")</f>
        <v>INGRESOS</v>
      </c>
      <c r="F470" t="str">
        <f>IFERROR(+VLOOKUP(Movimientos_2026[[#This Row],[Codigo]],Plan_cuentas[],3,FALSE)," ")</f>
        <v>Transferencia</v>
      </c>
      <c r="G470" t="str">
        <f>IFERROR(+VLOOKUP(Movimientos_2026[[#This Row],[Codigo]],Plan_cuentas[],4,FALSE)," ")</f>
        <v>Rentas</v>
      </c>
      <c r="H470" t="str">
        <f>IFERROR(+VLOOKUP(Movimientos_2026[[#This Row],[Codigo]],Plan_cuentas[],5,FALSE)," ")</f>
        <v>SANTIAGO DEL ESTERO</v>
      </c>
      <c r="I470" s="43">
        <v>45992</v>
      </c>
      <c r="J470" t="s">
        <v>199</v>
      </c>
      <c r="K470" t="str">
        <f>IFERROR(+VLOOKUP(Movimientos_2026[[#This Row],[Codigo]],Plan_cuentas[],6,FALSE)," ")</f>
        <v>1 - VW - Volkswagen</v>
      </c>
      <c r="L470" s="50">
        <v>16567510.5</v>
      </c>
      <c r="M470" s="52"/>
      <c r="N470" s="20">
        <f>+Movimientos_2026[[#This Row],[Ingresos]]-Movimientos_2026[[#This Row],[Egresos]]</f>
        <v>16567510.5</v>
      </c>
      <c r="O470" s="20">
        <f>+O469+Movimientos_2026[[#This Row],[Neto]]</f>
        <v>5837048908.9322729</v>
      </c>
    </row>
    <row r="471" spans="1:15" x14ac:dyDescent="0.25">
      <c r="A471" s="13">
        <v>46058</v>
      </c>
      <c r="B471" s="12">
        <f>MONTH(Movimientos_2026[[#This Row],[Fecha]])</f>
        <v>2</v>
      </c>
      <c r="C471" s="12" t="str">
        <f>VLOOKUP((WEEKDAY(Movimientos_2026[[#This Row],[Fecha]],2)),'5. Setup'!$D$6:$E$12,2,FALSE)</f>
        <v>Jue</v>
      </c>
      <c r="D471">
        <v>1044411</v>
      </c>
      <c r="E471" t="str">
        <f>IFERROR(+VLOOKUP(Movimientos_2026[[#This Row],[Codigo]],Plan_cuentas[],2,FALSE)," ")</f>
        <v>INGRESOS</v>
      </c>
      <c r="F471" t="str">
        <f>IFERROR(+VLOOKUP(Movimientos_2026[[#This Row],[Codigo]],Plan_cuentas[],3,FALSE)," ")</f>
        <v>Transferencia</v>
      </c>
      <c r="G471" t="str">
        <f>IFERROR(+VLOOKUP(Movimientos_2026[[#This Row],[Codigo]],Plan_cuentas[],4,FALSE)," ")</f>
        <v>Rentas</v>
      </c>
      <c r="H471" t="str">
        <f>IFERROR(+VLOOKUP(Movimientos_2026[[#This Row],[Codigo]],Plan_cuentas[],5,FALSE)," ")</f>
        <v>TIERRA DEL FUEGO</v>
      </c>
      <c r="I471" s="43">
        <v>45992</v>
      </c>
      <c r="J471" t="s">
        <v>199</v>
      </c>
      <c r="K471" t="str">
        <f>IFERROR(+VLOOKUP(Movimientos_2026[[#This Row],[Codigo]],Plan_cuentas[],6,FALSE)," ")</f>
        <v>1 - VW - Volkswagen</v>
      </c>
      <c r="L471" s="50">
        <v>7134372</v>
      </c>
      <c r="M471" s="52"/>
      <c r="N471" s="20">
        <f>+Movimientos_2026[[#This Row],[Ingresos]]-Movimientos_2026[[#This Row],[Egresos]]</f>
        <v>7134372</v>
      </c>
      <c r="O471" s="20">
        <f>+O470+Movimientos_2026[[#This Row],[Neto]]</f>
        <v>5844183280.9322729</v>
      </c>
    </row>
    <row r="472" spans="1:15" x14ac:dyDescent="0.25">
      <c r="A472" s="13">
        <v>46058</v>
      </c>
      <c r="B472" s="12">
        <f>MONTH(Movimientos_2026[[#This Row],[Fecha]])</f>
        <v>2</v>
      </c>
      <c r="C472" s="12" t="str">
        <f>VLOOKUP((WEEKDAY(Movimientos_2026[[#This Row],[Fecha]],2)),'5. Setup'!$D$6:$E$12,2,FALSE)</f>
        <v>Jue</v>
      </c>
      <c r="D472">
        <v>1044421</v>
      </c>
      <c r="E472" t="str">
        <f>IFERROR(+VLOOKUP(Movimientos_2026[[#This Row],[Codigo]],Plan_cuentas[],2,FALSE)," ")</f>
        <v>INGRESOS</v>
      </c>
      <c r="F472" t="str">
        <f>IFERROR(+VLOOKUP(Movimientos_2026[[#This Row],[Codigo]],Plan_cuentas[],3,FALSE)," ")</f>
        <v>Transferencia</v>
      </c>
      <c r="G472" t="str">
        <f>IFERROR(+VLOOKUP(Movimientos_2026[[#This Row],[Codigo]],Plan_cuentas[],4,FALSE)," ")</f>
        <v>Rentas</v>
      </c>
      <c r="H472" t="str">
        <f>IFERROR(+VLOOKUP(Movimientos_2026[[#This Row],[Codigo]],Plan_cuentas[],5,FALSE)," ")</f>
        <v>TUCUMAN</v>
      </c>
      <c r="I472" s="43">
        <v>45992</v>
      </c>
      <c r="J472" t="s">
        <v>199</v>
      </c>
      <c r="K472" t="str">
        <f>IFERROR(+VLOOKUP(Movimientos_2026[[#This Row],[Codigo]],Plan_cuentas[],6,FALSE)," ")</f>
        <v>1 - VW - Volkswagen</v>
      </c>
      <c r="L472" s="50">
        <v>36733881.225636981</v>
      </c>
      <c r="M472" s="50"/>
      <c r="N472" s="20">
        <f>+Movimientos_2026[[#This Row],[Ingresos]]-Movimientos_2026[[#This Row],[Egresos]]</f>
        <v>36733881.225636981</v>
      </c>
      <c r="O472" s="20">
        <f>+O471+Movimientos_2026[[#This Row],[Neto]]</f>
        <v>5880917162.1579103</v>
      </c>
    </row>
    <row r="473" spans="1:15" x14ac:dyDescent="0.25">
      <c r="A473" s="13">
        <v>46058</v>
      </c>
      <c r="B473" s="12">
        <f>MONTH(Movimientos_2026[[#This Row],[Fecha]])</f>
        <v>2</v>
      </c>
      <c r="C473" s="12" t="str">
        <f>VLOOKUP((WEEKDAY(Movimientos_2026[[#This Row],[Fecha]],2)),'5. Setup'!$D$6:$E$12,2,FALSE)</f>
        <v>Jue</v>
      </c>
      <c r="D473">
        <v>1043141</v>
      </c>
      <c r="E473" t="str">
        <f>IFERROR(+VLOOKUP(Movimientos_2026[[#This Row],[Codigo]],Plan_cuentas[],2,FALSE)," ")</f>
        <v>INGRESOS</v>
      </c>
      <c r="F473" t="str">
        <f>IFERROR(+VLOOKUP(Movimientos_2026[[#This Row],[Codigo]],Plan_cuentas[],3,FALSE)," ")</f>
        <v>Transferencia</v>
      </c>
      <c r="G473" t="str">
        <f>IFERROR(+VLOOKUP(Movimientos_2026[[#This Row],[Codigo]],Plan_cuentas[],4,FALSE)," ")</f>
        <v>Registración</v>
      </c>
      <c r="H473" t="str">
        <f>IFERROR(+VLOOKUP(Movimientos_2026[[#This Row],[Codigo]],Plan_cuentas[],5,FALSE)," ")</f>
        <v>BUENOS AIRES</v>
      </c>
      <c r="I473" s="43">
        <v>45992</v>
      </c>
      <c r="J473" t="s">
        <v>200</v>
      </c>
      <c r="K473" t="str">
        <f>IFERROR(+VLOOKUP(Movimientos_2026[[#This Row],[Codigo]],Plan_cuentas[],6,FALSE)," ")</f>
        <v>1 - VW - Volkswagen</v>
      </c>
      <c r="L473" s="50">
        <v>72544420.670000002</v>
      </c>
      <c r="M473" s="50"/>
      <c r="N473" s="20">
        <f>+Movimientos_2026[[#This Row],[Ingresos]]-Movimientos_2026[[#This Row],[Egresos]]</f>
        <v>72544420.670000002</v>
      </c>
      <c r="O473" s="20">
        <f>+O472+Movimientos_2026[[#This Row],[Neto]]</f>
        <v>5953461582.8279104</v>
      </c>
    </row>
    <row r="474" spans="1:15" x14ac:dyDescent="0.25">
      <c r="A474" s="13">
        <v>46058</v>
      </c>
      <c r="B474" s="12">
        <f>MONTH(Movimientos_2026[[#This Row],[Fecha]])</f>
        <v>2</v>
      </c>
      <c r="C474" s="12" t="str">
        <f>VLOOKUP((WEEKDAY(Movimientos_2026[[#This Row],[Fecha]],2)),'5. Setup'!$D$6:$E$12,2,FALSE)</f>
        <v>Jue</v>
      </c>
      <c r="D474">
        <v>1042111</v>
      </c>
      <c r="E474" t="str">
        <f>IFERROR(+VLOOKUP(Movimientos_2026[[#This Row],[Codigo]],Plan_cuentas[],2,FALSE)," ")</f>
        <v>INGRESOS</v>
      </c>
      <c r="F474" t="str">
        <f>IFERROR(+VLOOKUP(Movimientos_2026[[#This Row],[Codigo]],Plan_cuentas[],3,FALSE)," ")</f>
        <v>Transferencia</v>
      </c>
      <c r="G474" t="str">
        <f>IFERROR(+VLOOKUP(Movimientos_2026[[#This Row],[Codigo]],Plan_cuentas[],4,FALSE)," ")</f>
        <v>Entidades tercerizadas</v>
      </c>
      <c r="H474" t="str">
        <f>IFERROR(+VLOOKUP(Movimientos_2026[[#This Row],[Codigo]],Plan_cuentas[],5,FALSE)," ")</f>
        <v>APESI</v>
      </c>
      <c r="I474" s="43">
        <v>45992</v>
      </c>
      <c r="J474" t="s">
        <v>200</v>
      </c>
      <c r="K474" t="str">
        <f>IFERROR(+VLOOKUP(Movimientos_2026[[#This Row],[Codigo]],Plan_cuentas[],6,FALSE)," ")</f>
        <v>1 - VW - Volkswagen</v>
      </c>
      <c r="L474" s="50">
        <v>72544420.670000002</v>
      </c>
      <c r="M474" s="50"/>
      <c r="N474" s="20">
        <f>+Movimientos_2026[[#This Row],[Ingresos]]-Movimientos_2026[[#This Row],[Egresos]]</f>
        <v>72544420.670000002</v>
      </c>
      <c r="O474" s="20">
        <f>+O473+Movimientos_2026[[#This Row],[Neto]]</f>
        <v>6026006003.4979105</v>
      </c>
    </row>
    <row r="475" spans="1:15" x14ac:dyDescent="0.25">
      <c r="A475" s="13">
        <v>46058</v>
      </c>
      <c r="B475" s="12">
        <f>MONTH(Movimientos_2026[[#This Row],[Fecha]])</f>
        <v>2</v>
      </c>
      <c r="C475" s="12" t="str">
        <f>VLOOKUP((WEEKDAY(Movimientos_2026[[#This Row],[Fecha]],2)),'5. Setup'!$D$6:$E$12,2,FALSE)</f>
        <v>Jue</v>
      </c>
      <c r="D475">
        <v>1041431</v>
      </c>
      <c r="E475" t="str">
        <f>IFERROR(+VLOOKUP(Movimientos_2026[[#This Row],[Codigo]],Plan_cuentas[],2,FALSE)," ")</f>
        <v>INGRESOS</v>
      </c>
      <c r="F475" t="str">
        <f>IFERROR(+VLOOKUP(Movimientos_2026[[#This Row],[Codigo]],Plan_cuentas[],3,FALSE)," ")</f>
        <v>Transferencia</v>
      </c>
      <c r="G475" t="str">
        <f>IFERROR(+VLOOKUP(Movimientos_2026[[#This Row],[Codigo]],Plan_cuentas[],4,FALSE)," ")</f>
        <v>Entidades co-participadas</v>
      </c>
      <c r="H475" t="str">
        <f>IFERROR(+VLOOKUP(Movimientos_2026[[#This Row],[Codigo]],Plan_cuentas[],5,FALSE)," ")</f>
        <v>UEDA</v>
      </c>
      <c r="I475" s="43">
        <v>45992</v>
      </c>
      <c r="J475" t="s">
        <v>200</v>
      </c>
      <c r="K475" t="str">
        <f>IFERROR(+VLOOKUP(Movimientos_2026[[#This Row],[Codigo]],Plan_cuentas[],6,FALSE)," ")</f>
        <v>1 - VW - Volkswagen</v>
      </c>
      <c r="L475" s="50">
        <v>72544420.670000002</v>
      </c>
      <c r="M475" s="50"/>
      <c r="N475" s="20">
        <f>+Movimientos_2026[[#This Row],[Ingresos]]-Movimientos_2026[[#This Row],[Egresos]]</f>
        <v>72544420.670000002</v>
      </c>
      <c r="O475" s="20">
        <f>+O474+Movimientos_2026[[#This Row],[Neto]]</f>
        <v>6098550424.1679106</v>
      </c>
    </row>
    <row r="476" spans="1:15" x14ac:dyDescent="0.25">
      <c r="A476" s="13">
        <v>46058</v>
      </c>
      <c r="B476" s="12">
        <f>MONTH(Movimientos_2026[[#This Row],[Fecha]])</f>
        <v>2</v>
      </c>
      <c r="C476" s="12" t="str">
        <f>VLOOKUP((WEEKDAY(Movimientos_2026[[#This Row],[Fecha]],2)),'5. Setup'!$D$6:$E$12,2,FALSE)</f>
        <v>Jue</v>
      </c>
      <c r="D476">
        <v>1041441</v>
      </c>
      <c r="E476" t="str">
        <f>IFERROR(+VLOOKUP(Movimientos_2026[[#This Row],[Codigo]],Plan_cuentas[],2,FALSE)," ")</f>
        <v>INGRESOS</v>
      </c>
      <c r="F476" t="str">
        <f>IFERROR(+VLOOKUP(Movimientos_2026[[#This Row],[Codigo]],Plan_cuentas[],3,FALSE)," ")</f>
        <v>Transferencia</v>
      </c>
      <c r="G476" t="str">
        <f>IFERROR(+VLOOKUP(Movimientos_2026[[#This Row],[Codigo]],Plan_cuentas[],4,FALSE)," ")</f>
        <v>Entidades co-participadas</v>
      </c>
      <c r="H476" t="str">
        <f>IFERROR(+VLOOKUP(Movimientos_2026[[#This Row],[Codigo]],Plan_cuentas[],5,FALSE)," ")</f>
        <v>UISCUMARR</v>
      </c>
      <c r="I476" s="43">
        <v>45992</v>
      </c>
      <c r="J476" t="s">
        <v>200</v>
      </c>
      <c r="K476" t="str">
        <f>IFERROR(+VLOOKUP(Movimientos_2026[[#This Row],[Codigo]],Plan_cuentas[],6,FALSE)," ")</f>
        <v>1 - VW - Volkswagen</v>
      </c>
      <c r="L476" s="50">
        <v>72544420.670000002</v>
      </c>
      <c r="M476" s="50"/>
      <c r="N476" s="20">
        <f>+Movimientos_2026[[#This Row],[Ingresos]]-Movimientos_2026[[#This Row],[Egresos]]</f>
        <v>72544420.670000002</v>
      </c>
      <c r="O476" s="20">
        <f>+O475+Movimientos_2026[[#This Row],[Neto]]</f>
        <v>6171094844.8379107</v>
      </c>
    </row>
    <row r="477" spans="1:15" x14ac:dyDescent="0.25">
      <c r="A477" s="13">
        <v>46058</v>
      </c>
      <c r="B477" s="12">
        <f>MONTH(Movimientos_2026[[#This Row],[Fecha]])</f>
        <v>2</v>
      </c>
      <c r="C477" s="12" t="str">
        <f>VLOOKUP((WEEKDAY(Movimientos_2026[[#This Row],[Fecha]],2)),'5. Setup'!$D$6:$E$12,2,FALSE)</f>
        <v>Jue</v>
      </c>
      <c r="D477">
        <v>1044351</v>
      </c>
      <c r="E477" t="str">
        <f>IFERROR(+VLOOKUP(Movimientos_2026[[#This Row],[Codigo]],Plan_cuentas[],2,FALSE)," ")</f>
        <v>INGRESOS</v>
      </c>
      <c r="F477" t="str">
        <f>IFERROR(+VLOOKUP(Movimientos_2026[[#This Row],[Codigo]],Plan_cuentas[],3,FALSE)," ")</f>
        <v>Transferencia</v>
      </c>
      <c r="G477" t="str">
        <f>IFERROR(+VLOOKUP(Movimientos_2026[[#This Row],[Codigo]],Plan_cuentas[],4,FALSE)," ")</f>
        <v>Rentas</v>
      </c>
      <c r="H477" t="str">
        <f>IFERROR(+VLOOKUP(Movimientos_2026[[#This Row],[Codigo]],Plan_cuentas[],5,FALSE)," ")</f>
        <v>SAN JUAN</v>
      </c>
      <c r="I477" s="43">
        <v>45992</v>
      </c>
      <c r="J477" t="s">
        <v>201</v>
      </c>
      <c r="K477" t="str">
        <f>IFERROR(+VLOOKUP(Movimientos_2026[[#This Row],[Codigo]],Plan_cuentas[],6,FALSE)," ")</f>
        <v>1 - VW - Volkswagen</v>
      </c>
      <c r="L477" s="50">
        <v>1298787.8063999999</v>
      </c>
      <c r="M477" s="50"/>
      <c r="N477" s="20">
        <f>+Movimientos_2026[[#This Row],[Ingresos]]-Movimientos_2026[[#This Row],[Egresos]]</f>
        <v>1298787.8063999999</v>
      </c>
      <c r="O477" s="20">
        <f>+O476+Movimientos_2026[[#This Row],[Neto]]</f>
        <v>6172393632.644311</v>
      </c>
    </row>
    <row r="478" spans="1:15" x14ac:dyDescent="0.25">
      <c r="A478" s="13">
        <v>46059</v>
      </c>
      <c r="B478" s="12">
        <f>MONTH(Movimientos_2026[[#This Row],[Fecha]])</f>
        <v>2</v>
      </c>
      <c r="C478" s="12" t="str">
        <f>VLOOKUP((WEEKDAY(Movimientos_2026[[#This Row],[Fecha]],2)),'5. Setup'!$D$6:$E$12,2,FALSE)</f>
        <v>Vie</v>
      </c>
      <c r="D478">
        <v>2044462</v>
      </c>
      <c r="E478" t="str">
        <f>IFERROR(+VLOOKUP(Movimientos_2026[[#This Row],[Codigo]],Plan_cuentas[],2,FALSE)," ")</f>
        <v>EGRESOS</v>
      </c>
      <c r="F478" t="str">
        <f>IFERROR(+VLOOKUP(Movimientos_2026[[#This Row],[Codigo]],Plan_cuentas[],3,FALSE)," ")</f>
        <v>Transferencia</v>
      </c>
      <c r="G478" t="str">
        <f>IFERROR(+VLOOKUP(Movimientos_2026[[#This Row],[Codigo]],Plan_cuentas[],4,FALSE)," ")</f>
        <v>Rentas</v>
      </c>
      <c r="H478" t="str">
        <f>IFERROR(+VLOOKUP(Movimientos_2026[[#This Row],[Codigo]],Plan_cuentas[],5,FALSE)," ")</f>
        <v>MISIONES</v>
      </c>
      <c r="I478" s="43">
        <v>46023</v>
      </c>
      <c r="J478" t="s">
        <v>202</v>
      </c>
      <c r="K478" t="str">
        <f>IFERROR(+VLOOKUP(Movimientos_2026[[#This Row],[Codigo]],Plan_cuentas[],6,FALSE)," ")</f>
        <v>2 - PR - Plan Rombo</v>
      </c>
      <c r="L478" s="50"/>
      <c r="M478" s="50">
        <v>7961506.8799999999</v>
      </c>
      <c r="N478" s="20">
        <f>+Movimientos_2026[[#This Row],[Ingresos]]-Movimientos_2026[[#This Row],[Egresos]]</f>
        <v>-7961506.8799999999</v>
      </c>
      <c r="O478" s="20">
        <f>+O477+Movimientos_2026[[#This Row],[Neto]]</f>
        <v>6164432125.7643108</v>
      </c>
    </row>
    <row r="479" spans="1:15" x14ac:dyDescent="0.25">
      <c r="A479" s="13">
        <v>46059</v>
      </c>
      <c r="B479" s="12">
        <f>MONTH(Movimientos_2026[[#This Row],[Fecha]])</f>
        <v>2</v>
      </c>
      <c r="C479" s="12" t="str">
        <f>VLOOKUP((WEEKDAY(Movimientos_2026[[#This Row],[Fecha]],2)),'5. Setup'!$D$6:$E$12,2,FALSE)</f>
        <v>Vie</v>
      </c>
      <c r="D479">
        <v>2034411</v>
      </c>
      <c r="E479" t="str">
        <f>IFERROR(+VLOOKUP(Movimientos_2026[[#This Row],[Codigo]],Plan_cuentas[],2,FALSE)," ")</f>
        <v>EGRESOS</v>
      </c>
      <c r="F479" t="str">
        <f>IFERROR(+VLOOKUP(Movimientos_2026[[#This Row],[Codigo]],Plan_cuentas[],3,FALSE)," ")</f>
        <v>Pagos Bco. Provincia</v>
      </c>
      <c r="G479" t="str">
        <f>IFERROR(+VLOOKUP(Movimientos_2026[[#This Row],[Codigo]],Plan_cuentas[],4,FALSE)," ")</f>
        <v>Rentas</v>
      </c>
      <c r="H479" t="str">
        <f>IFERROR(+VLOOKUP(Movimientos_2026[[#This Row],[Codigo]],Plan_cuentas[],5,FALSE)," ")</f>
        <v>TIERRA DEL FUEGO</v>
      </c>
      <c r="I479" s="43">
        <v>46023</v>
      </c>
      <c r="J479" t="s">
        <v>203</v>
      </c>
      <c r="K479" t="str">
        <f>IFERROR(+VLOOKUP(Movimientos_2026[[#This Row],[Codigo]],Plan_cuentas[],6,FALSE)," ")</f>
        <v>1 - VW - Volkswagen</v>
      </c>
      <c r="L479" s="50"/>
      <c r="M479" s="50">
        <v>15339362.5</v>
      </c>
      <c r="N479" s="20">
        <f>+Movimientos_2026[[#This Row],[Ingresos]]-Movimientos_2026[[#This Row],[Egresos]]</f>
        <v>-15339362.5</v>
      </c>
      <c r="O479" s="20">
        <f>+O477+Movimientos_2026[[#This Row],[Neto]]</f>
        <v>6157054270.144311</v>
      </c>
    </row>
    <row r="480" spans="1:15" x14ac:dyDescent="0.25">
      <c r="A480" s="13">
        <v>46059</v>
      </c>
      <c r="B480" s="12">
        <f>MONTH(Movimientos_2026[[#This Row],[Fecha]])</f>
        <v>2</v>
      </c>
      <c r="C480" s="12" t="str">
        <f>VLOOKUP((WEEKDAY(Movimientos_2026[[#This Row],[Fecha]],2)),'5. Setup'!$D$6:$E$12,2,FALSE)</f>
        <v>Vie</v>
      </c>
      <c r="D480">
        <v>2054321</v>
      </c>
      <c r="E480" t="str">
        <f>IFERROR(+VLOOKUP(Movimientos_2026[[#This Row],[Codigo]],Plan_cuentas[],2,FALSE)," ")</f>
        <v>EGRESOS</v>
      </c>
      <c r="F480" t="str">
        <f>IFERROR(+VLOOKUP(Movimientos_2026[[#This Row],[Codigo]],Plan_cuentas[],3,FALSE)," ")</f>
        <v>VEP</v>
      </c>
      <c r="G480" t="str">
        <f>IFERROR(+VLOOKUP(Movimientos_2026[[#This Row],[Codigo]],Plan_cuentas[],4,FALSE)," ")</f>
        <v>Rentas</v>
      </c>
      <c r="H480" t="str">
        <f>IFERROR(+VLOOKUP(Movimientos_2026[[#This Row],[Codigo]],Plan_cuentas[],5,FALSE)," ")</f>
        <v>NEUQUEN 2° Q</v>
      </c>
      <c r="I480" s="43">
        <v>46023</v>
      </c>
      <c r="J480" t="s">
        <v>204</v>
      </c>
      <c r="K480" t="str">
        <f>IFERROR(+VLOOKUP(Movimientos_2026[[#This Row],[Codigo]],Plan_cuentas[],6,FALSE)," ")</f>
        <v>1 - VW - Volkswagen</v>
      </c>
      <c r="L480" s="50"/>
      <c r="M480" s="50">
        <v>42145558.5</v>
      </c>
      <c r="N480" s="20">
        <f>+Movimientos_2026[[#This Row],[Ingresos]]-Movimientos_2026[[#This Row],[Egresos]]</f>
        <v>-42145558.5</v>
      </c>
      <c r="O480" s="20">
        <f>+O479+Movimientos_2026[[#This Row],[Neto]]</f>
        <v>6114908711.644311</v>
      </c>
    </row>
    <row r="481" spans="1:15" x14ac:dyDescent="0.25">
      <c r="A481" s="13">
        <v>46059</v>
      </c>
      <c r="B481" s="12">
        <f>MONTH(Movimientos_2026[[#This Row],[Fecha]])</f>
        <v>2</v>
      </c>
      <c r="C481" s="12" t="str">
        <f>VLOOKUP((WEEKDAY(Movimientos_2026[[#This Row],[Fecha]],2)),'5. Setup'!$D$6:$E$12,2,FALSE)</f>
        <v>Vie</v>
      </c>
      <c r="D481">
        <v>2054322</v>
      </c>
      <c r="E481" t="str">
        <f>IFERROR(+VLOOKUP(Movimientos_2026[[#This Row],[Codigo]],Plan_cuentas[],2,FALSE)," ")</f>
        <v>EGRESOS</v>
      </c>
      <c r="F481" t="str">
        <f>IFERROR(+VLOOKUP(Movimientos_2026[[#This Row],[Codigo]],Plan_cuentas[],3,FALSE)," ")</f>
        <v>VEP</v>
      </c>
      <c r="G481" t="str">
        <f>IFERROR(+VLOOKUP(Movimientos_2026[[#This Row],[Codigo]],Plan_cuentas[],4,FALSE)," ")</f>
        <v>Rentas</v>
      </c>
      <c r="H481" t="str">
        <f>IFERROR(+VLOOKUP(Movimientos_2026[[#This Row],[Codigo]],Plan_cuentas[],5,FALSE)," ")</f>
        <v>NEUQUEN 2° Q</v>
      </c>
      <c r="I481" s="43">
        <v>46023</v>
      </c>
      <c r="J481" t="s">
        <v>205</v>
      </c>
      <c r="K481" t="str">
        <f>IFERROR(+VLOOKUP(Movimientos_2026[[#This Row],[Codigo]],Plan_cuentas[],6,FALSE)," ")</f>
        <v>2 - PR - Plan Rombo</v>
      </c>
      <c r="L481" s="50"/>
      <c r="M481" s="50">
        <v>28154300</v>
      </c>
      <c r="N481" s="20">
        <f>+Movimientos_2026[[#This Row],[Ingresos]]-Movimientos_2026[[#This Row],[Egresos]]</f>
        <v>-28154300</v>
      </c>
      <c r="O481" s="20">
        <f>+O480+Movimientos_2026[[#This Row],[Neto]]</f>
        <v>6086754411.644311</v>
      </c>
    </row>
    <row r="482" spans="1:15" x14ac:dyDescent="0.25">
      <c r="A482" s="13">
        <v>46059</v>
      </c>
      <c r="B482" s="12">
        <f>MONTH(Movimientos_2026[[#This Row],[Fecha]])</f>
        <v>2</v>
      </c>
      <c r="C482" s="12" t="str">
        <f>VLOOKUP((WEEKDAY(Movimientos_2026[[#This Row],[Fecha]],2)),'5. Setup'!$D$6:$E$12,2,FALSE)</f>
        <v>Vie</v>
      </c>
      <c r="D482">
        <v>2044495</v>
      </c>
      <c r="E482" t="str">
        <f>IFERROR(+VLOOKUP(Movimientos_2026[[#This Row],[Codigo]],Plan_cuentas[],2,FALSE)," ")</f>
        <v>EGRESOS</v>
      </c>
      <c r="F482" t="str">
        <f>IFERROR(+VLOOKUP(Movimientos_2026[[#This Row],[Codigo]],Plan_cuentas[],3,FALSE)," ")</f>
        <v>Transferencia</v>
      </c>
      <c r="G482" t="str">
        <f>IFERROR(+VLOOKUP(Movimientos_2026[[#This Row],[Codigo]],Plan_cuentas[],4,FALSE)," ")</f>
        <v>Rentas</v>
      </c>
      <c r="H482" t="str">
        <f>IFERROR(+VLOOKUP(Movimientos_2026[[#This Row],[Codigo]],Plan_cuentas[],5,FALSE)," ")</f>
        <v>JUJUY</v>
      </c>
      <c r="I482" s="43">
        <v>46023</v>
      </c>
      <c r="J482" t="s">
        <v>206</v>
      </c>
      <c r="K482" t="str">
        <f>IFERROR(+VLOOKUP(Movimientos_2026[[#This Row],[Codigo]],Plan_cuentas[],6,FALSE)," ")</f>
        <v>5 - YAM - Yamaha</v>
      </c>
      <c r="L482" s="50"/>
      <c r="M482" s="50">
        <v>423809.76</v>
      </c>
      <c r="N482" s="20">
        <f>+Movimientos_2026[[#This Row],[Ingresos]]-Movimientos_2026[[#This Row],[Egresos]]</f>
        <v>-423809.76</v>
      </c>
      <c r="O482" s="20">
        <f>+O481+Movimientos_2026[[#This Row],[Neto]]</f>
        <v>6086330601.8843107</v>
      </c>
    </row>
    <row r="483" spans="1:15" x14ac:dyDescent="0.25">
      <c r="A483" s="13">
        <v>46059</v>
      </c>
      <c r="B483" s="12">
        <f>MONTH(Movimientos_2026[[#This Row],[Fecha]])</f>
        <v>2</v>
      </c>
      <c r="C483" s="12" t="str">
        <f>VLOOKUP((WEEKDAY(Movimientos_2026[[#This Row],[Fecha]],2)),'5. Setup'!$D$6:$E$12,2,FALSE)</f>
        <v>Vie</v>
      </c>
      <c r="D483">
        <v>2054324</v>
      </c>
      <c r="E483" t="str">
        <f>IFERROR(+VLOOKUP(Movimientos_2026[[#This Row],[Codigo]],Plan_cuentas[],2,FALSE)," ")</f>
        <v>EGRESOS</v>
      </c>
      <c r="F483" t="str">
        <f>IFERROR(+VLOOKUP(Movimientos_2026[[#This Row],[Codigo]],Plan_cuentas[],3,FALSE)," ")</f>
        <v>VEP</v>
      </c>
      <c r="G483" t="str">
        <f>IFERROR(+VLOOKUP(Movimientos_2026[[#This Row],[Codigo]],Plan_cuentas[],4,FALSE)," ")</f>
        <v>Rentas</v>
      </c>
      <c r="H483" t="str">
        <f>IFERROR(+VLOOKUP(Movimientos_2026[[#This Row],[Codigo]],Plan_cuentas[],5,FALSE)," ")</f>
        <v>NEUQUEN 2° Q</v>
      </c>
      <c r="I483" s="43">
        <v>46023</v>
      </c>
      <c r="J483" t="s">
        <v>207</v>
      </c>
      <c r="K483" t="str">
        <f>IFERROR(+VLOOKUP(Movimientos_2026[[#This Row],[Codigo]],Plan_cuentas[],6,FALSE)," ")</f>
        <v>4 - FCA - Fiat</v>
      </c>
      <c r="L483" s="50"/>
      <c r="M483" s="50">
        <v>69182480</v>
      </c>
      <c r="N483" s="20">
        <f>+Movimientos_2026[[#This Row],[Ingresos]]-Movimientos_2026[[#This Row],[Egresos]]</f>
        <v>-69182480</v>
      </c>
      <c r="O483" s="20">
        <f>+O482+Movimientos_2026[[#This Row],[Neto]]</f>
        <v>6017148121.8843107</v>
      </c>
    </row>
    <row r="484" spans="1:15" x14ac:dyDescent="0.25">
      <c r="A484" s="13">
        <v>46059</v>
      </c>
      <c r="B484" s="12">
        <f>MONTH(Movimientos_2026[[#This Row],[Fecha]])</f>
        <v>2</v>
      </c>
      <c r="C484" s="12" t="str">
        <f>VLOOKUP((WEEKDAY(Movimientos_2026[[#This Row],[Fecha]],2)),'5. Setup'!$D$6:$E$12,2,FALSE)</f>
        <v>Vie</v>
      </c>
      <c r="D484">
        <v>2054326</v>
      </c>
      <c r="E484" t="str">
        <f>IFERROR(+VLOOKUP(Movimientos_2026[[#This Row],[Codigo]],Plan_cuentas[],2,FALSE)," ")</f>
        <v>EGRESOS</v>
      </c>
      <c r="F484" t="str">
        <f>IFERROR(+VLOOKUP(Movimientos_2026[[#This Row],[Codigo]],Plan_cuentas[],3,FALSE)," ")</f>
        <v>VEP</v>
      </c>
      <c r="G484" t="str">
        <f>IFERROR(+VLOOKUP(Movimientos_2026[[#This Row],[Codigo]],Plan_cuentas[],4,FALSE)," ")</f>
        <v>Rentas</v>
      </c>
      <c r="H484" t="str">
        <f>IFERROR(+VLOOKUP(Movimientos_2026[[#This Row],[Codigo]],Plan_cuentas[],5,FALSE)," ")</f>
        <v>NEUQUEN 2° Q</v>
      </c>
      <c r="I484" s="43">
        <v>46023</v>
      </c>
      <c r="J484" t="s">
        <v>207</v>
      </c>
      <c r="K484" t="str">
        <f>IFERROR(+VLOOKUP(Movimientos_2026[[#This Row],[Codigo]],Plan_cuentas[],6,FALSE)," ")</f>
        <v>6 - FCAtr - Fiat Transf.</v>
      </c>
      <c r="L484" s="50"/>
      <c r="M484" s="50">
        <v>864344.52000000014</v>
      </c>
      <c r="N484" s="20">
        <f>+Movimientos_2026[[#This Row],[Ingresos]]-Movimientos_2026[[#This Row],[Egresos]]</f>
        <v>-864344.52000000014</v>
      </c>
      <c r="O484" s="20">
        <f>+O483+Movimientos_2026[[#This Row],[Neto]]</f>
        <v>6016283777.3643103</v>
      </c>
    </row>
    <row r="485" spans="1:15" x14ac:dyDescent="0.25">
      <c r="A485" s="13">
        <v>46059</v>
      </c>
      <c r="B485" s="12">
        <f>MONTH(Movimientos_2026[[#This Row],[Fecha]])</f>
        <v>2</v>
      </c>
      <c r="C485" s="12" t="str">
        <f>VLOOKUP((WEEKDAY(Movimientos_2026[[#This Row],[Fecha]],2)),'5. Setup'!$D$6:$E$12,2,FALSE)</f>
        <v>Vie</v>
      </c>
      <c r="D485">
        <v>2014422</v>
      </c>
      <c r="E485" t="str">
        <f>IFERROR(+VLOOKUP(Movimientos_2026[[#This Row],[Codigo]],Plan_cuentas[],2,FALSE)," ")</f>
        <v>EGRESOS</v>
      </c>
      <c r="F485" t="str">
        <f>IFERROR(+VLOOKUP(Movimientos_2026[[#This Row],[Codigo]],Plan_cuentas[],3,FALSE)," ")</f>
        <v>BtoB</v>
      </c>
      <c r="G485" t="str">
        <f>IFERROR(+VLOOKUP(Movimientos_2026[[#This Row],[Codigo]],Plan_cuentas[],4,FALSE)," ")</f>
        <v>Rentas</v>
      </c>
      <c r="H485" t="str">
        <f>IFERROR(+VLOOKUP(Movimientos_2026[[#This Row],[Codigo]],Plan_cuentas[],5,FALSE)," ")</f>
        <v>TUCUMAN</v>
      </c>
      <c r="I485" s="43">
        <v>46023</v>
      </c>
      <c r="J485" t="s">
        <v>208</v>
      </c>
      <c r="K485" t="str">
        <f>IFERROR(+VLOOKUP(Movimientos_2026[[#This Row],[Codigo]],Plan_cuentas[],6,FALSE)," ")</f>
        <v>2 - PR - Plan Rombo</v>
      </c>
      <c r="L485" s="50"/>
      <c r="M485" s="50">
        <v>114587133</v>
      </c>
      <c r="N485" s="20">
        <f>+Movimientos_2026[[#This Row],[Ingresos]]-Movimientos_2026[[#This Row],[Egresos]]</f>
        <v>-114587133</v>
      </c>
      <c r="O485" s="20">
        <f>+O484+Movimientos_2026[[#This Row],[Neto]]</f>
        <v>5901696644.3643103</v>
      </c>
    </row>
    <row r="486" spans="1:15" x14ac:dyDescent="0.25">
      <c r="A486" s="13">
        <v>46059</v>
      </c>
      <c r="B486" s="12">
        <f>MONTH(Movimientos_2026[[#This Row],[Fecha]])</f>
        <v>2</v>
      </c>
      <c r="C486" s="12" t="str">
        <f>VLOOKUP((WEEKDAY(Movimientos_2026[[#This Row],[Fecha]],2)),'5. Setup'!$D$6:$E$12,2,FALSE)</f>
        <v>Vie</v>
      </c>
      <c r="D486">
        <v>2014427</v>
      </c>
      <c r="E486" t="str">
        <f>IFERROR(+VLOOKUP(Movimientos_2026[[#This Row],[Codigo]],Plan_cuentas[],2,FALSE)," ")</f>
        <v>EGRESOS</v>
      </c>
      <c r="F486" t="str">
        <f>IFERROR(+VLOOKUP(Movimientos_2026[[#This Row],[Codigo]],Plan_cuentas[],3,FALSE)," ")</f>
        <v>BtoB</v>
      </c>
      <c r="G486" t="str">
        <f>IFERROR(+VLOOKUP(Movimientos_2026[[#This Row],[Codigo]],Plan_cuentas[],4,FALSE)," ")</f>
        <v>Rentas</v>
      </c>
      <c r="H486" t="str">
        <f>IFERROR(+VLOOKUP(Movimientos_2026[[#This Row],[Codigo]],Plan_cuentas[],5,FALSE)," ")</f>
        <v>TUCUMAN</v>
      </c>
      <c r="I486" s="43">
        <v>46023</v>
      </c>
      <c r="J486" t="s">
        <v>208</v>
      </c>
      <c r="K486" t="str">
        <f>IFERROR(+VLOOKUP(Movimientos_2026[[#This Row],[Codigo]],Plan_cuentas[],6,FALSE)," ")</f>
        <v>7 - PRtr - Plan Rombo Transf.</v>
      </c>
      <c r="L486" s="50"/>
      <c r="M486" s="52">
        <v>166</v>
      </c>
      <c r="N486" s="20">
        <f>+Movimientos_2026[[#This Row],[Ingresos]]-Movimientos_2026[[#This Row],[Egresos]]</f>
        <v>-166</v>
      </c>
      <c r="O486" s="20">
        <f>+O485+Movimientos_2026[[#This Row],[Neto]]</f>
        <v>5901696478.3643103</v>
      </c>
    </row>
    <row r="487" spans="1:15" x14ac:dyDescent="0.25">
      <c r="A487" s="13">
        <v>46059</v>
      </c>
      <c r="B487" s="12">
        <f>MONTH(Movimientos_2026[[#This Row],[Fecha]])</f>
        <v>2</v>
      </c>
      <c r="C487" s="12" t="str">
        <f>VLOOKUP((WEEKDAY(Movimientos_2026[[#This Row],[Fecha]],2)),'5. Setup'!$D$6:$E$12,2,FALSE)</f>
        <v>Vie</v>
      </c>
      <c r="D487">
        <v>2014422</v>
      </c>
      <c r="E487" t="str">
        <f>IFERROR(+VLOOKUP(Movimientos_2026[[#This Row],[Codigo]],Plan_cuentas[],2,FALSE)," ")</f>
        <v>EGRESOS</v>
      </c>
      <c r="F487" t="str">
        <f>IFERROR(+VLOOKUP(Movimientos_2026[[#This Row],[Codigo]],Plan_cuentas[],3,FALSE)," ")</f>
        <v>BtoB</v>
      </c>
      <c r="G487" t="str">
        <f>IFERROR(+VLOOKUP(Movimientos_2026[[#This Row],[Codigo]],Plan_cuentas[],4,FALSE)," ")</f>
        <v>Rentas</v>
      </c>
      <c r="H487" t="str">
        <f>IFERROR(+VLOOKUP(Movimientos_2026[[#This Row],[Codigo]],Plan_cuentas[],5,FALSE)," ")</f>
        <v>TUCUMAN</v>
      </c>
      <c r="I487" s="43">
        <v>46023</v>
      </c>
      <c r="J487" t="s">
        <v>208</v>
      </c>
      <c r="K487" t="str">
        <f>IFERROR(+VLOOKUP(Movimientos_2026[[#This Row],[Codigo]],Plan_cuentas[],6,FALSE)," ")</f>
        <v>2 - PR - Plan Rombo</v>
      </c>
      <c r="L487" s="50"/>
      <c r="M487" s="50">
        <v>3294164</v>
      </c>
      <c r="N487" s="20">
        <f>+Movimientos_2026[[#This Row],[Ingresos]]-Movimientos_2026[[#This Row],[Egresos]]</f>
        <v>-3294164</v>
      </c>
      <c r="O487" s="20">
        <f>+O486+Movimientos_2026[[#This Row],[Neto]]</f>
        <v>5898402314.3643103</v>
      </c>
    </row>
    <row r="488" spans="1:15" x14ac:dyDescent="0.25">
      <c r="A488" s="13">
        <v>46059</v>
      </c>
      <c r="B488" s="12">
        <f>MONTH(Movimientos_2026[[#This Row],[Fecha]])</f>
        <v>2</v>
      </c>
      <c r="C488" s="12" t="str">
        <f>VLOOKUP((WEEKDAY(Movimientos_2026[[#This Row],[Fecha]],2)),'5. Setup'!$D$6:$E$12,2,FALSE)</f>
        <v>Vie</v>
      </c>
      <c r="D488">
        <v>2014425</v>
      </c>
      <c r="E488" t="str">
        <f>IFERROR(+VLOOKUP(Movimientos_2026[[#This Row],[Codigo]],Plan_cuentas[],2,FALSE)," ")</f>
        <v>EGRESOS</v>
      </c>
      <c r="F488" t="str">
        <f>IFERROR(+VLOOKUP(Movimientos_2026[[#This Row],[Codigo]],Plan_cuentas[],3,FALSE)," ")</f>
        <v>BtoB</v>
      </c>
      <c r="G488" t="str">
        <f>IFERROR(+VLOOKUP(Movimientos_2026[[#This Row],[Codigo]],Plan_cuentas[],4,FALSE)," ")</f>
        <v>Rentas</v>
      </c>
      <c r="H488" t="str">
        <f>IFERROR(+VLOOKUP(Movimientos_2026[[#This Row],[Codigo]],Plan_cuentas[],5,FALSE)," ")</f>
        <v>TUCUMAN</v>
      </c>
      <c r="I488" s="43">
        <v>46023</v>
      </c>
      <c r="J488" t="s">
        <v>209</v>
      </c>
      <c r="K488" t="str">
        <f>IFERROR(+VLOOKUP(Movimientos_2026[[#This Row],[Codigo]],Plan_cuentas[],6,FALSE)," ")</f>
        <v>5 - YAM - Yamaha</v>
      </c>
      <c r="L488" s="50"/>
      <c r="M488" s="50">
        <v>1536282.6472</v>
      </c>
      <c r="N488" s="20">
        <f>+Movimientos_2026[[#This Row],[Ingresos]]-Movimientos_2026[[#This Row],[Egresos]]</f>
        <v>-1536282.6472</v>
      </c>
      <c r="O488" s="20">
        <f>+O487+Movimientos_2026[[#This Row],[Neto]]</f>
        <v>5896866031.7171106</v>
      </c>
    </row>
    <row r="489" spans="1:15" x14ac:dyDescent="0.25">
      <c r="A489" s="13">
        <v>46059</v>
      </c>
      <c r="B489" s="12">
        <f>MONTH(Movimientos_2026[[#This Row],[Fecha]])</f>
        <v>2</v>
      </c>
      <c r="C489" s="12" t="str">
        <f>VLOOKUP((WEEKDAY(Movimientos_2026[[#This Row],[Fecha]],2)),'5. Setup'!$D$6:$E$12,2,FALSE)</f>
        <v>Vie</v>
      </c>
      <c r="D489">
        <v>2034244</v>
      </c>
      <c r="E489" t="str">
        <f>IFERROR(+VLOOKUP(Movimientos_2026[[#This Row],[Codigo]],Plan_cuentas[],2,FALSE)," ")</f>
        <v>EGRESOS</v>
      </c>
      <c r="F489" t="str">
        <f>IFERROR(+VLOOKUP(Movimientos_2026[[#This Row],[Codigo]],Plan_cuentas[],3,FALSE)," ")</f>
        <v>Pagos Bco. Provincia</v>
      </c>
      <c r="G489" t="str">
        <f>IFERROR(+VLOOKUP(Movimientos_2026[[#This Row],[Codigo]],Plan_cuentas[],4,FALSE)," ")</f>
        <v>Rentas</v>
      </c>
      <c r="H489" t="str">
        <f>IFERROR(+VLOOKUP(Movimientos_2026[[#This Row],[Codigo]],Plan_cuentas[],5,FALSE)," ")</f>
        <v>FORMOSA</v>
      </c>
      <c r="I489" s="43">
        <v>46023</v>
      </c>
      <c r="J489" t="s">
        <v>210</v>
      </c>
      <c r="K489" t="str">
        <f>IFERROR(+VLOOKUP(Movimientos_2026[[#This Row],[Codigo]],Plan_cuentas[],6,FALSE)," ")</f>
        <v>4 - FCA - Fiat</v>
      </c>
      <c r="L489" s="50"/>
      <c r="M489" s="50">
        <v>16846131.600000001</v>
      </c>
      <c r="N489" s="20">
        <f>+Movimientos_2026[[#This Row],[Ingresos]]-Movimientos_2026[[#This Row],[Egresos]]</f>
        <v>-16846131.600000001</v>
      </c>
      <c r="O489" s="20">
        <f>+O488+Movimientos_2026[[#This Row],[Neto]]</f>
        <v>5880019900.1171103</v>
      </c>
    </row>
    <row r="490" spans="1:15" x14ac:dyDescent="0.25">
      <c r="A490" s="13">
        <v>46059</v>
      </c>
      <c r="B490" s="12">
        <f>MONTH(Movimientos_2026[[#This Row],[Fecha]])</f>
        <v>2</v>
      </c>
      <c r="C490" s="12" t="str">
        <f>VLOOKUP((WEEKDAY(Movimientos_2026[[#This Row],[Fecha]],2)),'5. Setup'!$D$6:$E$12,2,FALSE)</f>
        <v>Vie</v>
      </c>
      <c r="D490">
        <v>2054374</v>
      </c>
      <c r="E490" t="str">
        <f>IFERROR(+VLOOKUP(Movimientos_2026[[#This Row],[Codigo]],Plan_cuentas[],2,FALSE)," ")</f>
        <v>EGRESOS</v>
      </c>
      <c r="F490" t="str">
        <f>IFERROR(+VLOOKUP(Movimientos_2026[[#This Row],[Codigo]],Plan_cuentas[],3,FALSE)," ")</f>
        <v>VEP</v>
      </c>
      <c r="G490" t="str">
        <f>IFERROR(+VLOOKUP(Movimientos_2026[[#This Row],[Codigo]],Plan_cuentas[],4,FALSE)," ")</f>
        <v>Rentas</v>
      </c>
      <c r="H490" t="str">
        <f>IFERROR(+VLOOKUP(Movimientos_2026[[#This Row],[Codigo]],Plan_cuentas[],5,FALSE)," ")</f>
        <v>SANTA CRUZ</v>
      </c>
      <c r="I490" s="43">
        <v>46023</v>
      </c>
      <c r="J490" t="s">
        <v>211</v>
      </c>
      <c r="K490" t="str">
        <f>IFERROR(+VLOOKUP(Movimientos_2026[[#This Row],[Codigo]],Plan_cuentas[],6,FALSE)," ")</f>
        <v>4 - FCA - Fiat</v>
      </c>
      <c r="L490" s="50"/>
      <c r="M490" s="50">
        <v>18167182.920000002</v>
      </c>
      <c r="N490" s="20">
        <f>+Movimientos_2026[[#This Row],[Ingresos]]-Movimientos_2026[[#This Row],[Egresos]]</f>
        <v>-18167182.920000002</v>
      </c>
      <c r="O490" s="20">
        <f>+O489+Movimientos_2026[[#This Row],[Neto]]</f>
        <v>5861852717.1971102</v>
      </c>
    </row>
    <row r="491" spans="1:15" x14ac:dyDescent="0.25">
      <c r="A491" s="13">
        <v>46059</v>
      </c>
      <c r="B491" s="12">
        <f>MONTH(Movimientos_2026[[#This Row],[Fecha]])</f>
        <v>2</v>
      </c>
      <c r="C491" s="12" t="str">
        <f>VLOOKUP((WEEKDAY(Movimientos_2026[[#This Row],[Fecha]],2)),'5. Setup'!$D$6:$E$12,2,FALSE)</f>
        <v>Vie</v>
      </c>
      <c r="D491">
        <v>2014274</v>
      </c>
      <c r="E491" t="str">
        <f>IFERROR(+VLOOKUP(Movimientos_2026[[#This Row],[Codigo]],Plan_cuentas[],2,FALSE)," ")</f>
        <v>EGRESOS</v>
      </c>
      <c r="F491" t="str">
        <f>IFERROR(+VLOOKUP(Movimientos_2026[[#This Row],[Codigo]],Plan_cuentas[],3,FALSE)," ")</f>
        <v>BtoB</v>
      </c>
      <c r="G491" t="str">
        <f>IFERROR(+VLOOKUP(Movimientos_2026[[#This Row],[Codigo]],Plan_cuentas[],4,FALSE)," ")</f>
        <v>Rentas</v>
      </c>
      <c r="H491" t="str">
        <f>IFERROR(+VLOOKUP(Movimientos_2026[[#This Row],[Codigo]],Plan_cuentas[],5,FALSE)," ")</f>
        <v>LA RIOJA</v>
      </c>
      <c r="I491" s="43">
        <v>46023</v>
      </c>
      <c r="J491" t="s">
        <v>212</v>
      </c>
      <c r="K491" t="str">
        <f>IFERROR(+VLOOKUP(Movimientos_2026[[#This Row],[Codigo]],Plan_cuentas[],6,FALSE)," ")</f>
        <v>4 - FCA - Fiat</v>
      </c>
      <c r="L491" s="50"/>
      <c r="M491" s="52">
        <v>5260546.41</v>
      </c>
      <c r="N491" s="20">
        <f>+Movimientos_2026[[#This Row],[Ingresos]]-Movimientos_2026[[#This Row],[Egresos]]</f>
        <v>-5260546.41</v>
      </c>
      <c r="O491" s="20">
        <f>+O490+Movimientos_2026[[#This Row],[Neto]]</f>
        <v>5856592170.7871103</v>
      </c>
    </row>
    <row r="492" spans="1:15" x14ac:dyDescent="0.25">
      <c r="A492" s="13">
        <v>46059</v>
      </c>
      <c r="B492" s="12">
        <f>MONTH(Movimientos_2026[[#This Row],[Fecha]])</f>
        <v>2</v>
      </c>
      <c r="C492" s="12" t="str">
        <f>VLOOKUP((WEEKDAY(Movimientos_2026[[#This Row],[Fecha]],2)),'5. Setup'!$D$6:$E$12,2,FALSE)</f>
        <v>Vie</v>
      </c>
      <c r="D492">
        <v>2014275</v>
      </c>
      <c r="E492" t="str">
        <f>IFERROR(+VLOOKUP(Movimientos_2026[[#This Row],[Codigo]],Plan_cuentas[],2,FALSE)," ")</f>
        <v>EGRESOS</v>
      </c>
      <c r="F492" t="str">
        <f>IFERROR(+VLOOKUP(Movimientos_2026[[#This Row],[Codigo]],Plan_cuentas[],3,FALSE)," ")</f>
        <v>BtoB</v>
      </c>
      <c r="G492" t="str">
        <f>IFERROR(+VLOOKUP(Movimientos_2026[[#This Row],[Codigo]],Plan_cuentas[],4,FALSE)," ")</f>
        <v>Rentas</v>
      </c>
      <c r="H492" t="str">
        <f>IFERROR(+VLOOKUP(Movimientos_2026[[#This Row],[Codigo]],Plan_cuentas[],5,FALSE)," ")</f>
        <v>LA RIOJA</v>
      </c>
      <c r="I492" s="43">
        <v>46023</v>
      </c>
      <c r="J492" t="s">
        <v>213</v>
      </c>
      <c r="K492" t="str">
        <f>IFERROR(+VLOOKUP(Movimientos_2026[[#This Row],[Codigo]],Plan_cuentas[],6,FALSE)," ")</f>
        <v>5 - YAM - Yamaha</v>
      </c>
      <c r="L492" s="50"/>
      <c r="M492" s="52">
        <v>239177.67</v>
      </c>
      <c r="N492" s="20">
        <f>+Movimientos_2026[[#This Row],[Ingresos]]-Movimientos_2026[[#This Row],[Egresos]]</f>
        <v>-239177.67</v>
      </c>
      <c r="O492" s="20">
        <f>+O491+Movimientos_2026[[#This Row],[Neto]]</f>
        <v>5856352993.1171103</v>
      </c>
    </row>
    <row r="493" spans="1:15" x14ac:dyDescent="0.25">
      <c r="A493" s="13">
        <v>46059</v>
      </c>
      <c r="B493" s="12">
        <f>MONTH(Movimientos_2026[[#This Row],[Fecha]])</f>
        <v>2</v>
      </c>
      <c r="C493" s="12" t="str">
        <f>VLOOKUP((WEEKDAY(Movimientos_2026[[#This Row],[Fecha]],2)),'5. Setup'!$D$6:$E$12,2,FALSE)</f>
        <v>Vie</v>
      </c>
      <c r="D493">
        <v>2014214</v>
      </c>
      <c r="E493" t="str">
        <f>IFERROR(+VLOOKUP(Movimientos_2026[[#This Row],[Codigo]],Plan_cuentas[],2,FALSE)," ")</f>
        <v>EGRESOS</v>
      </c>
      <c r="F493" t="str">
        <f>IFERROR(+VLOOKUP(Movimientos_2026[[#This Row],[Codigo]],Plan_cuentas[],3,FALSE)," ")</f>
        <v>BtoB</v>
      </c>
      <c r="G493" t="str">
        <f>IFERROR(+VLOOKUP(Movimientos_2026[[#This Row],[Codigo]],Plan_cuentas[],4,FALSE)," ")</f>
        <v>Rentas</v>
      </c>
      <c r="H493" t="str">
        <f>IFERROR(+VLOOKUP(Movimientos_2026[[#This Row],[Codigo]],Plan_cuentas[],5,FALSE)," ")</f>
        <v>CORRIENTES 2° Q</v>
      </c>
      <c r="I493" s="43">
        <v>46023</v>
      </c>
      <c r="J493" t="s">
        <v>214</v>
      </c>
      <c r="K493" t="str">
        <f>IFERROR(+VLOOKUP(Movimientos_2026[[#This Row],[Codigo]],Plan_cuentas[],6,FALSE)," ")</f>
        <v>4 - FCA - Fiat</v>
      </c>
      <c r="L493" s="50"/>
      <c r="M493" s="50">
        <v>1433411.36</v>
      </c>
      <c r="N493" s="20">
        <f>+Movimientos_2026[[#This Row],[Ingresos]]-Movimientos_2026[[#This Row],[Egresos]]</f>
        <v>-1433411.36</v>
      </c>
      <c r="O493" s="20">
        <f>+O492+Movimientos_2026[[#This Row],[Neto]]</f>
        <v>5854919581.7571106</v>
      </c>
    </row>
    <row r="494" spans="1:15" x14ac:dyDescent="0.25">
      <c r="A494" s="13">
        <v>46062</v>
      </c>
      <c r="B494" s="12">
        <f>MONTH(Movimientos_2026[[#This Row],[Fecha]])</f>
        <v>2</v>
      </c>
      <c r="C494" s="12" t="str">
        <f>VLOOKUP((WEEKDAY(Movimientos_2026[[#This Row],[Fecha]],2)),'5. Setup'!$D$6:$E$12,2,FALSE)</f>
        <v>Lun</v>
      </c>
      <c r="D494">
        <v>2023151</v>
      </c>
      <c r="E494" t="str">
        <f>IFERROR(+VLOOKUP(Movimientos_2026[[#This Row],[Codigo]],Plan_cuentas[],2,FALSE)," ")</f>
        <v>EGRESOS</v>
      </c>
      <c r="F494" t="str">
        <f>IFERROR(+VLOOKUP(Movimientos_2026[[#This Row],[Codigo]],Plan_cuentas[],3,FALSE)," ")</f>
        <v>DDJJ</v>
      </c>
      <c r="G494" t="str">
        <f>IFERROR(+VLOOKUP(Movimientos_2026[[#This Row],[Codigo]],Plan_cuentas[],4,FALSE)," ")</f>
        <v>Registración</v>
      </c>
      <c r="H494" t="str">
        <f>IFERROR(+VLOOKUP(Movimientos_2026[[#This Row],[Codigo]],Plan_cuentas[],5,FALSE)," ")</f>
        <v>CABA</v>
      </c>
      <c r="I494" s="43">
        <v>46023</v>
      </c>
      <c r="J494" t="s">
        <v>215</v>
      </c>
      <c r="K494" t="str">
        <f>IFERROR(+VLOOKUP(Movimientos_2026[[#This Row],[Codigo]],Plan_cuentas[],6,FALSE)," ")</f>
        <v>1 - VW - Volkswagen</v>
      </c>
      <c r="L494" s="50"/>
      <c r="M494" s="52">
        <v>101685046.77</v>
      </c>
      <c r="N494" s="20">
        <f>+Movimientos_2026[[#This Row],[Ingresos]]-Movimientos_2026[[#This Row],[Egresos]]</f>
        <v>-101685046.77</v>
      </c>
      <c r="O494" s="20">
        <f>+O493+Movimientos_2026[[#This Row],[Neto]]</f>
        <v>5753234534.9871101</v>
      </c>
    </row>
    <row r="495" spans="1:15" x14ac:dyDescent="0.25">
      <c r="A495" s="13">
        <v>46062</v>
      </c>
      <c r="B495" s="12">
        <f>MONTH(Movimientos_2026[[#This Row],[Fecha]])</f>
        <v>2</v>
      </c>
      <c r="C495" s="12" t="str">
        <f>VLOOKUP((WEEKDAY(Movimientos_2026[[#This Row],[Fecha]],2)),'5. Setup'!$D$6:$E$12,2,FALSE)</f>
        <v>Lun</v>
      </c>
      <c r="D495">
        <v>2023152</v>
      </c>
      <c r="E495" t="str">
        <f>IFERROR(+VLOOKUP(Movimientos_2026[[#This Row],[Codigo]],Plan_cuentas[],2,FALSE)," ")</f>
        <v>EGRESOS</v>
      </c>
      <c r="F495" t="str">
        <f>IFERROR(+VLOOKUP(Movimientos_2026[[#This Row],[Codigo]],Plan_cuentas[],3,FALSE)," ")</f>
        <v>DDJJ</v>
      </c>
      <c r="G495" t="str">
        <f>IFERROR(+VLOOKUP(Movimientos_2026[[#This Row],[Codigo]],Plan_cuentas[],4,FALSE)," ")</f>
        <v>Registración</v>
      </c>
      <c r="H495" t="str">
        <f>IFERROR(+VLOOKUP(Movimientos_2026[[#This Row],[Codigo]],Plan_cuentas[],5,FALSE)," ")</f>
        <v>CABA</v>
      </c>
      <c r="I495" s="43">
        <v>46023</v>
      </c>
      <c r="J495" t="s">
        <v>215</v>
      </c>
      <c r="K495" t="str">
        <f>IFERROR(+VLOOKUP(Movimientos_2026[[#This Row],[Codigo]],Plan_cuentas[],6,FALSE)," ")</f>
        <v>2 - PR - Plan Rombo</v>
      </c>
      <c r="L495" s="50"/>
      <c r="M495" s="52">
        <v>83347274.319999993</v>
      </c>
      <c r="N495" s="20">
        <f>+Movimientos_2026[[#This Row],[Ingresos]]-Movimientos_2026[[#This Row],[Egresos]]</f>
        <v>-83347274.319999993</v>
      </c>
      <c r="O495" s="20">
        <f>+O494+Movimientos_2026[[#This Row],[Neto]]</f>
        <v>5669887260.6671104</v>
      </c>
    </row>
    <row r="496" spans="1:15" x14ac:dyDescent="0.25">
      <c r="A496" s="13">
        <v>46062</v>
      </c>
      <c r="B496" s="12">
        <f>MONTH(Movimientos_2026[[#This Row],[Fecha]])</f>
        <v>2</v>
      </c>
      <c r="C496" s="12" t="str">
        <f>VLOOKUP((WEEKDAY(Movimientos_2026[[#This Row],[Fecha]],2)),'5. Setup'!$D$6:$E$12,2,FALSE)</f>
        <v>Lun</v>
      </c>
      <c r="D496">
        <v>2023153</v>
      </c>
      <c r="E496" t="str">
        <f>IFERROR(+VLOOKUP(Movimientos_2026[[#This Row],[Codigo]],Plan_cuentas[],2,FALSE)," ")</f>
        <v>EGRESOS</v>
      </c>
      <c r="F496" t="str">
        <f>IFERROR(+VLOOKUP(Movimientos_2026[[#This Row],[Codigo]],Plan_cuentas[],3,FALSE)," ")</f>
        <v>DDJJ</v>
      </c>
      <c r="G496" t="str">
        <f>IFERROR(+VLOOKUP(Movimientos_2026[[#This Row],[Codigo]],Plan_cuentas[],4,FALSE)," ")</f>
        <v>Registración</v>
      </c>
      <c r="H496" t="str">
        <f>IFERROR(+VLOOKUP(Movimientos_2026[[#This Row],[Codigo]],Plan_cuentas[],5,FALSE)," ")</f>
        <v>CABA</v>
      </c>
      <c r="I496" s="43">
        <v>46023</v>
      </c>
      <c r="J496" t="s">
        <v>215</v>
      </c>
      <c r="K496" t="str">
        <f>IFERROR(+VLOOKUP(Movimientos_2026[[#This Row],[Codigo]],Plan_cuentas[],6,FALSE)," ")</f>
        <v>3 - GM - Chevrolet</v>
      </c>
      <c r="L496" s="50"/>
      <c r="M496" s="52">
        <v>31550339.989999998</v>
      </c>
      <c r="N496" s="20">
        <f>+Movimientos_2026[[#This Row],[Ingresos]]-Movimientos_2026[[#This Row],[Egresos]]</f>
        <v>-31550339.989999998</v>
      </c>
      <c r="O496" s="20">
        <f>+O495+Movimientos_2026[[#This Row],[Neto]]</f>
        <v>5638336920.6771107</v>
      </c>
    </row>
    <row r="497" spans="1:15" x14ac:dyDescent="0.25">
      <c r="A497" s="13">
        <v>46062</v>
      </c>
      <c r="B497" s="12">
        <f>MONTH(Movimientos_2026[[#This Row],[Fecha]])</f>
        <v>2</v>
      </c>
      <c r="C497" s="12" t="str">
        <f>VLOOKUP((WEEKDAY(Movimientos_2026[[#This Row],[Fecha]],2)),'5. Setup'!$D$6:$E$12,2,FALSE)</f>
        <v>Lun</v>
      </c>
      <c r="D497">
        <v>2023154</v>
      </c>
      <c r="E497" t="str">
        <f>IFERROR(+VLOOKUP(Movimientos_2026[[#This Row],[Codigo]],Plan_cuentas[],2,FALSE)," ")</f>
        <v>EGRESOS</v>
      </c>
      <c r="F497" t="str">
        <f>IFERROR(+VLOOKUP(Movimientos_2026[[#This Row],[Codigo]],Plan_cuentas[],3,FALSE)," ")</f>
        <v>DDJJ</v>
      </c>
      <c r="G497" t="str">
        <f>IFERROR(+VLOOKUP(Movimientos_2026[[#This Row],[Codigo]],Plan_cuentas[],4,FALSE)," ")</f>
        <v>Registración</v>
      </c>
      <c r="H497" t="str">
        <f>IFERROR(+VLOOKUP(Movimientos_2026[[#This Row],[Codigo]],Plan_cuentas[],5,FALSE)," ")</f>
        <v>CABA</v>
      </c>
      <c r="I497" s="43">
        <v>46023</v>
      </c>
      <c r="J497" t="s">
        <v>215</v>
      </c>
      <c r="K497" t="str">
        <f>IFERROR(+VLOOKUP(Movimientos_2026[[#This Row],[Codigo]],Plan_cuentas[],6,FALSE)," ")</f>
        <v>4 - FCA - Fiat</v>
      </c>
      <c r="L497" s="50"/>
      <c r="M497" s="52">
        <v>318482832.38999999</v>
      </c>
      <c r="N497" s="20">
        <f>+Movimientos_2026[[#This Row],[Ingresos]]-Movimientos_2026[[#This Row],[Egresos]]</f>
        <v>-318482832.38999999</v>
      </c>
      <c r="O497" s="20">
        <f>+O496+Movimientos_2026[[#This Row],[Neto]]</f>
        <v>5319854088.2871103</v>
      </c>
    </row>
    <row r="498" spans="1:15" x14ac:dyDescent="0.25">
      <c r="A498" s="13">
        <v>46062</v>
      </c>
      <c r="B498" s="12">
        <f>MONTH(Movimientos_2026[[#This Row],[Fecha]])</f>
        <v>2</v>
      </c>
      <c r="C498" s="12" t="str">
        <f>VLOOKUP((WEEKDAY(Movimientos_2026[[#This Row],[Fecha]],2)),'5. Setup'!$D$6:$E$12,2,FALSE)</f>
        <v>Lun</v>
      </c>
      <c r="D498">
        <v>2023155</v>
      </c>
      <c r="E498" t="str">
        <f>IFERROR(+VLOOKUP(Movimientos_2026[[#This Row],[Codigo]],Plan_cuentas[],2,FALSE)," ")</f>
        <v>EGRESOS</v>
      </c>
      <c r="F498" t="str">
        <f>IFERROR(+VLOOKUP(Movimientos_2026[[#This Row],[Codigo]],Plan_cuentas[],3,FALSE)," ")</f>
        <v>DDJJ</v>
      </c>
      <c r="G498" t="str">
        <f>IFERROR(+VLOOKUP(Movimientos_2026[[#This Row],[Codigo]],Plan_cuentas[],4,FALSE)," ")</f>
        <v>Registración</v>
      </c>
      <c r="H498" t="str">
        <f>IFERROR(+VLOOKUP(Movimientos_2026[[#This Row],[Codigo]],Plan_cuentas[],5,FALSE)," ")</f>
        <v>CABA</v>
      </c>
      <c r="I498" s="43">
        <v>46023</v>
      </c>
      <c r="J498" t="s">
        <v>215</v>
      </c>
      <c r="K498" t="str">
        <f>IFERROR(+VLOOKUP(Movimientos_2026[[#This Row],[Codigo]],Plan_cuentas[],6,FALSE)," ")</f>
        <v>5 - YAM - Yamaha</v>
      </c>
      <c r="L498" s="50"/>
      <c r="M498" s="52">
        <v>24634958.780000001</v>
      </c>
      <c r="N498" s="20">
        <f>+Movimientos_2026[[#This Row],[Ingresos]]-Movimientos_2026[[#This Row],[Egresos]]</f>
        <v>-24634958.780000001</v>
      </c>
      <c r="O498" s="20">
        <f>+O497+Movimientos_2026[[#This Row],[Neto]]</f>
        <v>5295219129.5071106</v>
      </c>
    </row>
    <row r="499" spans="1:15" x14ac:dyDescent="0.25">
      <c r="A499" s="13">
        <v>46062</v>
      </c>
      <c r="B499" s="12">
        <f>MONTH(Movimientos_2026[[#This Row],[Fecha]])</f>
        <v>2</v>
      </c>
      <c r="C499" s="12" t="str">
        <f>VLOOKUP((WEEKDAY(Movimientos_2026[[#This Row],[Fecha]],2)),'5. Setup'!$D$6:$E$12,2,FALSE)</f>
        <v>Lun</v>
      </c>
      <c r="D499">
        <v>2023156</v>
      </c>
      <c r="E499" t="str">
        <f>IFERROR(+VLOOKUP(Movimientos_2026[[#This Row],[Codigo]],Plan_cuentas[],2,FALSE)," ")</f>
        <v>EGRESOS</v>
      </c>
      <c r="F499" t="str">
        <f>IFERROR(+VLOOKUP(Movimientos_2026[[#This Row],[Codigo]],Plan_cuentas[],3,FALSE)," ")</f>
        <v>DDJJ</v>
      </c>
      <c r="G499" t="str">
        <f>IFERROR(+VLOOKUP(Movimientos_2026[[#This Row],[Codigo]],Plan_cuentas[],4,FALSE)," ")</f>
        <v>Registración</v>
      </c>
      <c r="H499" t="str">
        <f>IFERROR(+VLOOKUP(Movimientos_2026[[#This Row],[Codigo]],Plan_cuentas[],5,FALSE)," ")</f>
        <v>CABA</v>
      </c>
      <c r="I499" s="43">
        <v>46023</v>
      </c>
      <c r="J499" t="s">
        <v>215</v>
      </c>
      <c r="K499" t="str">
        <f>IFERROR(+VLOOKUP(Movimientos_2026[[#This Row],[Codigo]],Plan_cuentas[],6,FALSE)," ")</f>
        <v>6 - FCAtr - Fiat Transf.</v>
      </c>
      <c r="L499" s="50"/>
      <c r="M499" s="50">
        <v>11558343.27</v>
      </c>
      <c r="N499" s="20">
        <f>+Movimientos_2026[[#This Row],[Ingresos]]-Movimientos_2026[[#This Row],[Egresos]]</f>
        <v>-11558343.27</v>
      </c>
      <c r="O499" s="20">
        <f>+O498+Movimientos_2026[[#This Row],[Neto]]</f>
        <v>5283660786.2371101</v>
      </c>
    </row>
    <row r="500" spans="1:15" x14ac:dyDescent="0.25">
      <c r="A500" s="13">
        <v>46062</v>
      </c>
      <c r="B500" s="12">
        <f>MONTH(Movimientos_2026[[#This Row],[Fecha]])</f>
        <v>2</v>
      </c>
      <c r="C500" s="12" t="str">
        <f>VLOOKUP((WEEKDAY(Movimientos_2026[[#This Row],[Fecha]],2)),'5. Setup'!$D$6:$E$12,2,FALSE)</f>
        <v>Lun</v>
      </c>
      <c r="D500">
        <v>2023157</v>
      </c>
      <c r="E500" t="str">
        <f>IFERROR(+VLOOKUP(Movimientos_2026[[#This Row],[Codigo]],Plan_cuentas[],2,FALSE)," ")</f>
        <v>EGRESOS</v>
      </c>
      <c r="F500" t="str">
        <f>IFERROR(+VLOOKUP(Movimientos_2026[[#This Row],[Codigo]],Plan_cuentas[],3,FALSE)," ")</f>
        <v>DDJJ</v>
      </c>
      <c r="G500" t="str">
        <f>IFERROR(+VLOOKUP(Movimientos_2026[[#This Row],[Codigo]],Plan_cuentas[],4,FALSE)," ")</f>
        <v>Registración</v>
      </c>
      <c r="H500" t="str">
        <f>IFERROR(+VLOOKUP(Movimientos_2026[[#This Row],[Codigo]],Plan_cuentas[],5,FALSE)," ")</f>
        <v>CABA</v>
      </c>
      <c r="I500" s="43">
        <v>46023</v>
      </c>
      <c r="J500" t="s">
        <v>215</v>
      </c>
      <c r="K500" t="str">
        <f>IFERROR(+VLOOKUP(Movimientos_2026[[#This Row],[Codigo]],Plan_cuentas[],6,FALSE)," ")</f>
        <v>7 - PRtr - Plan Rombo Transf.</v>
      </c>
      <c r="L500" s="50"/>
      <c r="M500" s="52">
        <v>10682.5</v>
      </c>
      <c r="N500" s="20">
        <f>+Movimientos_2026[[#This Row],[Ingresos]]-Movimientos_2026[[#This Row],[Egresos]]</f>
        <v>-10682.5</v>
      </c>
      <c r="O500" s="20">
        <f>+O499+Movimientos_2026[[#This Row],[Neto]]</f>
        <v>5283650103.7371101</v>
      </c>
    </row>
    <row r="501" spans="1:15" x14ac:dyDescent="0.25">
      <c r="A501" s="13">
        <v>46062</v>
      </c>
      <c r="B501" s="12">
        <f>MONTH(Movimientos_2026[[#This Row],[Fecha]])</f>
        <v>2</v>
      </c>
      <c r="C501" s="12" t="str">
        <f>VLOOKUP((WEEKDAY(Movimientos_2026[[#This Row],[Fecha]],2)),'5. Setup'!$D$6:$E$12,2,FALSE)</f>
        <v>Lun</v>
      </c>
      <c r="D501">
        <v>2023231</v>
      </c>
      <c r="E501" t="str">
        <f>IFERROR(+VLOOKUP(Movimientos_2026[[#This Row],[Codigo]],Plan_cuentas[],2,FALSE)," ")</f>
        <v>EGRESOS</v>
      </c>
      <c r="F501" t="str">
        <f>IFERROR(+VLOOKUP(Movimientos_2026[[#This Row],[Codigo]],Plan_cuentas[],3,FALSE)," ")</f>
        <v>DDJJ</v>
      </c>
      <c r="G501" t="str">
        <f>IFERROR(+VLOOKUP(Movimientos_2026[[#This Row],[Codigo]],Plan_cuentas[],4,FALSE)," ")</f>
        <v>Registración</v>
      </c>
      <c r="H501" t="str">
        <f>IFERROR(+VLOOKUP(Movimientos_2026[[#This Row],[Codigo]],Plan_cuentas[],5,FALSE)," ")</f>
        <v>ENTRE RIOS 2° Q</v>
      </c>
      <c r="I501" s="43">
        <v>46023</v>
      </c>
      <c r="J501" t="s">
        <v>216</v>
      </c>
      <c r="K501" t="str">
        <f>IFERROR(+VLOOKUP(Movimientos_2026[[#This Row],[Codigo]],Plan_cuentas[],6,FALSE)," ")</f>
        <v>1 - VW - Volkswagen</v>
      </c>
      <c r="L501" s="50"/>
      <c r="M501" s="52">
        <v>14669476.5</v>
      </c>
      <c r="N501" s="20">
        <f>+Movimientos_2026[[#This Row],[Ingresos]]-Movimientos_2026[[#This Row],[Egresos]]</f>
        <v>-14669476.5</v>
      </c>
      <c r="O501" s="20">
        <f>+O500+Movimientos_2026[[#This Row],[Neto]]</f>
        <v>5268980627.2371101</v>
      </c>
    </row>
    <row r="502" spans="1:15" x14ac:dyDescent="0.25">
      <c r="A502" s="13">
        <v>46062</v>
      </c>
      <c r="B502" s="12">
        <f>MONTH(Movimientos_2026[[#This Row],[Fecha]])</f>
        <v>2</v>
      </c>
      <c r="C502" s="12" t="str">
        <f>VLOOKUP((WEEKDAY(Movimientos_2026[[#This Row],[Fecha]],2)),'5. Setup'!$D$6:$E$12,2,FALSE)</f>
        <v>Lun</v>
      </c>
      <c r="D502">
        <v>2023232</v>
      </c>
      <c r="E502" t="str">
        <f>IFERROR(+VLOOKUP(Movimientos_2026[[#This Row],[Codigo]],Plan_cuentas[],2,FALSE)," ")</f>
        <v>EGRESOS</v>
      </c>
      <c r="F502" t="str">
        <f>IFERROR(+VLOOKUP(Movimientos_2026[[#This Row],[Codigo]],Plan_cuentas[],3,FALSE)," ")</f>
        <v>DDJJ</v>
      </c>
      <c r="G502" t="str">
        <f>IFERROR(+VLOOKUP(Movimientos_2026[[#This Row],[Codigo]],Plan_cuentas[],4,FALSE)," ")</f>
        <v>Registración</v>
      </c>
      <c r="H502" t="str">
        <f>IFERROR(+VLOOKUP(Movimientos_2026[[#This Row],[Codigo]],Plan_cuentas[],5,FALSE)," ")</f>
        <v>ENTRE RIOS 2° Q</v>
      </c>
      <c r="I502" s="43">
        <v>46023</v>
      </c>
      <c r="J502" t="s">
        <v>216</v>
      </c>
      <c r="K502" t="str">
        <f>IFERROR(+VLOOKUP(Movimientos_2026[[#This Row],[Codigo]],Plan_cuentas[],6,FALSE)," ")</f>
        <v>2 - PR - Plan Rombo</v>
      </c>
      <c r="L502" s="50"/>
      <c r="M502" s="52">
        <v>17841155.719999999</v>
      </c>
      <c r="N502" s="20">
        <f>+Movimientos_2026[[#This Row],[Ingresos]]-Movimientos_2026[[#This Row],[Egresos]]</f>
        <v>-17841155.719999999</v>
      </c>
      <c r="O502" s="20">
        <f>+O501+Movimientos_2026[[#This Row],[Neto]]</f>
        <v>5251139471.5171099</v>
      </c>
    </row>
    <row r="503" spans="1:15" x14ac:dyDescent="0.25">
      <c r="A503" s="13">
        <v>46062</v>
      </c>
      <c r="B503" s="12">
        <f>MONTH(Movimientos_2026[[#This Row],[Fecha]])</f>
        <v>2</v>
      </c>
      <c r="C503" s="12" t="str">
        <f>VLOOKUP((WEEKDAY(Movimientos_2026[[#This Row],[Fecha]],2)),'5. Setup'!$D$6:$E$12,2,FALSE)</f>
        <v>Lun</v>
      </c>
      <c r="D503">
        <v>2023233</v>
      </c>
      <c r="E503" t="str">
        <f>IFERROR(+VLOOKUP(Movimientos_2026[[#This Row],[Codigo]],Plan_cuentas[],2,FALSE)," ")</f>
        <v>EGRESOS</v>
      </c>
      <c r="F503" t="str">
        <f>IFERROR(+VLOOKUP(Movimientos_2026[[#This Row],[Codigo]],Plan_cuentas[],3,FALSE)," ")</f>
        <v>DDJJ</v>
      </c>
      <c r="G503" t="str">
        <f>IFERROR(+VLOOKUP(Movimientos_2026[[#This Row],[Codigo]],Plan_cuentas[],4,FALSE)," ")</f>
        <v>Registración</v>
      </c>
      <c r="H503" t="str">
        <f>IFERROR(+VLOOKUP(Movimientos_2026[[#This Row],[Codigo]],Plan_cuentas[],5,FALSE)," ")</f>
        <v>ENTRE RIOS 2° Q</v>
      </c>
      <c r="I503" s="43">
        <v>46023</v>
      </c>
      <c r="J503" t="s">
        <v>216</v>
      </c>
      <c r="K503" t="str">
        <f>IFERROR(+VLOOKUP(Movimientos_2026[[#This Row],[Codigo]],Plan_cuentas[],6,FALSE)," ")</f>
        <v>3 - GM - Chevrolet</v>
      </c>
      <c r="L503" s="50"/>
      <c r="M503" s="52">
        <v>7178926.6699999999</v>
      </c>
      <c r="N503" s="20">
        <f>+Movimientos_2026[[#This Row],[Ingresos]]-Movimientos_2026[[#This Row],[Egresos]]</f>
        <v>-7178926.6699999999</v>
      </c>
      <c r="O503" s="20">
        <f>+O502+Movimientos_2026[[#This Row],[Neto]]</f>
        <v>5243960544.8471098</v>
      </c>
    </row>
    <row r="504" spans="1:15" x14ac:dyDescent="0.25">
      <c r="A504" s="13">
        <v>46062</v>
      </c>
      <c r="B504" s="12">
        <f>MONTH(Movimientos_2026[[#This Row],[Fecha]])</f>
        <v>2</v>
      </c>
      <c r="C504" s="12" t="str">
        <f>VLOOKUP((WEEKDAY(Movimientos_2026[[#This Row],[Fecha]],2)),'5. Setup'!$D$6:$E$12,2,FALSE)</f>
        <v>Lun</v>
      </c>
      <c r="D504">
        <v>2023242</v>
      </c>
      <c r="E504" t="str">
        <f>IFERROR(+VLOOKUP(Movimientos_2026[[#This Row],[Codigo]],Plan_cuentas[],2,FALSE)," ")</f>
        <v>EGRESOS</v>
      </c>
      <c r="F504" t="str">
        <f>IFERROR(+VLOOKUP(Movimientos_2026[[#This Row],[Codigo]],Plan_cuentas[],3,FALSE)," ")</f>
        <v>DDJJ</v>
      </c>
      <c r="G504" t="str">
        <f>IFERROR(+VLOOKUP(Movimientos_2026[[#This Row],[Codigo]],Plan_cuentas[],4,FALSE)," ")</f>
        <v>Registración</v>
      </c>
      <c r="H504" t="str">
        <f>IFERROR(+VLOOKUP(Movimientos_2026[[#This Row],[Codigo]],Plan_cuentas[],5,FALSE)," ")</f>
        <v>FORMOSA</v>
      </c>
      <c r="I504" s="43">
        <v>46023</v>
      </c>
      <c r="J504" t="s">
        <v>217</v>
      </c>
      <c r="K504" t="str">
        <f>IFERROR(+VLOOKUP(Movimientos_2026[[#This Row],[Codigo]],Plan_cuentas[],6,FALSE)," ")</f>
        <v>2 - PR - Plan Rombo</v>
      </c>
      <c r="L504" s="50"/>
      <c r="M504" s="52">
        <v>5261880.43</v>
      </c>
      <c r="N504" s="20">
        <f>+Movimientos_2026[[#This Row],[Ingresos]]-Movimientos_2026[[#This Row],[Egresos]]</f>
        <v>-5261880.43</v>
      </c>
      <c r="O504" s="20">
        <f>+O503+Movimientos_2026[[#This Row],[Neto]]</f>
        <v>5238698664.4171095</v>
      </c>
    </row>
    <row r="505" spans="1:15" x14ac:dyDescent="0.25">
      <c r="A505" s="13">
        <v>46062</v>
      </c>
      <c r="B505" s="12">
        <f>MONTH(Movimientos_2026[[#This Row],[Fecha]])</f>
        <v>2</v>
      </c>
      <c r="C505" s="12" t="str">
        <f>VLOOKUP((WEEKDAY(Movimientos_2026[[#This Row],[Fecha]],2)),'5. Setup'!$D$6:$E$12,2,FALSE)</f>
        <v>Lun</v>
      </c>
      <c r="D505">
        <v>2023246</v>
      </c>
      <c r="E505" t="str">
        <f>IFERROR(+VLOOKUP(Movimientos_2026[[#This Row],[Codigo]],Plan_cuentas[],2,FALSE)," ")</f>
        <v>EGRESOS</v>
      </c>
      <c r="F505" t="str">
        <f>IFERROR(+VLOOKUP(Movimientos_2026[[#This Row],[Codigo]],Plan_cuentas[],3,FALSE)," ")</f>
        <v>DDJJ</v>
      </c>
      <c r="G505" t="str">
        <f>IFERROR(+VLOOKUP(Movimientos_2026[[#This Row],[Codigo]],Plan_cuentas[],4,FALSE)," ")</f>
        <v>Registración</v>
      </c>
      <c r="H505" t="str">
        <f>IFERROR(+VLOOKUP(Movimientos_2026[[#This Row],[Codigo]],Plan_cuentas[],5,FALSE)," ")</f>
        <v>FORMOSA</v>
      </c>
      <c r="I505" s="43">
        <v>46023</v>
      </c>
      <c r="J505" t="s">
        <v>217</v>
      </c>
      <c r="K505" t="str">
        <f>IFERROR(+VLOOKUP(Movimientos_2026[[#This Row],[Codigo]],Plan_cuentas[],6,FALSE)," ")</f>
        <v>6 - FCAtr - Fiat Transf.</v>
      </c>
      <c r="L505" s="50"/>
      <c r="M505" s="52">
        <v>338961</v>
      </c>
      <c r="N505" s="20">
        <f>+Movimientos_2026[[#This Row],[Ingresos]]-Movimientos_2026[[#This Row],[Egresos]]</f>
        <v>-338961</v>
      </c>
      <c r="O505" s="20">
        <f>+O504+Movimientos_2026[[#This Row],[Neto]]</f>
        <v>5238359703.4171095</v>
      </c>
    </row>
    <row r="506" spans="1:15" x14ac:dyDescent="0.25">
      <c r="A506" s="13">
        <v>46062</v>
      </c>
      <c r="B506" s="12">
        <f>MONTH(Movimientos_2026[[#This Row],[Fecha]])</f>
        <v>2</v>
      </c>
      <c r="C506" s="12" t="str">
        <f>VLOOKUP((WEEKDAY(Movimientos_2026[[#This Row],[Fecha]],2)),'5. Setup'!$D$6:$E$12,2,FALSE)</f>
        <v>Lun</v>
      </c>
      <c r="D506">
        <v>2023247</v>
      </c>
      <c r="E506" t="str">
        <f>IFERROR(+VLOOKUP(Movimientos_2026[[#This Row],[Codigo]],Plan_cuentas[],2,FALSE)," ")</f>
        <v>EGRESOS</v>
      </c>
      <c r="F506" t="str">
        <f>IFERROR(+VLOOKUP(Movimientos_2026[[#This Row],[Codigo]],Plan_cuentas[],3,FALSE)," ")</f>
        <v>DDJJ</v>
      </c>
      <c r="G506" t="str">
        <f>IFERROR(+VLOOKUP(Movimientos_2026[[#This Row],[Codigo]],Plan_cuentas[],4,FALSE)," ")</f>
        <v>Registración</v>
      </c>
      <c r="H506" t="str">
        <f>IFERROR(+VLOOKUP(Movimientos_2026[[#This Row],[Codigo]],Plan_cuentas[],5,FALSE)," ")</f>
        <v>FORMOSA</v>
      </c>
      <c r="I506" s="43">
        <v>46023</v>
      </c>
      <c r="J506" t="s">
        <v>217</v>
      </c>
      <c r="K506" t="str">
        <f>IFERROR(+VLOOKUP(Movimientos_2026[[#This Row],[Codigo]],Plan_cuentas[],6,FALSE)," ")</f>
        <v>7 - PRtr - Plan Rombo Transf.</v>
      </c>
      <c r="L506" s="50"/>
      <c r="M506" s="52">
        <v>35500</v>
      </c>
      <c r="N506" s="20">
        <f>+Movimientos_2026[[#This Row],[Ingresos]]-Movimientos_2026[[#This Row],[Egresos]]</f>
        <v>-35500</v>
      </c>
      <c r="O506" s="20">
        <f>+O505+Movimientos_2026[[#This Row],[Neto]]</f>
        <v>5238324203.4171095</v>
      </c>
    </row>
    <row r="507" spans="1:15" x14ac:dyDescent="0.25">
      <c r="A507" s="13">
        <v>46062</v>
      </c>
      <c r="B507" s="12">
        <f>MONTH(Movimientos_2026[[#This Row],[Fecha]])</f>
        <v>2</v>
      </c>
      <c r="C507" s="12" t="str">
        <f>VLOOKUP((WEEKDAY(Movimientos_2026[[#This Row],[Fecha]],2)),'5. Setup'!$D$6:$E$12,2,FALSE)</f>
        <v>Lun</v>
      </c>
      <c r="D507">
        <v>2023245</v>
      </c>
      <c r="E507" t="str">
        <f>IFERROR(+VLOOKUP(Movimientos_2026[[#This Row],[Codigo]],Plan_cuentas[],2,FALSE)," ")</f>
        <v>EGRESOS</v>
      </c>
      <c r="F507" t="str">
        <f>IFERROR(+VLOOKUP(Movimientos_2026[[#This Row],[Codigo]],Plan_cuentas[],3,FALSE)," ")</f>
        <v>DDJJ</v>
      </c>
      <c r="G507" t="str">
        <f>IFERROR(+VLOOKUP(Movimientos_2026[[#This Row],[Codigo]],Plan_cuentas[],4,FALSE)," ")</f>
        <v>Registración</v>
      </c>
      <c r="H507" t="str">
        <f>IFERROR(+VLOOKUP(Movimientos_2026[[#This Row],[Codigo]],Plan_cuentas[],5,FALSE)," ")</f>
        <v>FORMOSA</v>
      </c>
      <c r="I507" s="43">
        <v>46023</v>
      </c>
      <c r="J507" t="s">
        <v>217</v>
      </c>
      <c r="K507" t="str">
        <f>IFERROR(+VLOOKUP(Movimientos_2026[[#This Row],[Codigo]],Plan_cuentas[],6,FALSE)," ")</f>
        <v>5 - YAM - Yamaha</v>
      </c>
      <c r="L507" s="50"/>
      <c r="M507" s="52">
        <v>87071.17</v>
      </c>
      <c r="N507" s="20">
        <f>+Movimientos_2026[[#This Row],[Ingresos]]-Movimientos_2026[[#This Row],[Egresos]]</f>
        <v>-87071.17</v>
      </c>
      <c r="O507" s="20">
        <f>+O506+Movimientos_2026[[#This Row],[Neto]]</f>
        <v>5238237132.2471094</v>
      </c>
    </row>
    <row r="508" spans="1:15" x14ac:dyDescent="0.25">
      <c r="A508" s="13">
        <v>46062</v>
      </c>
      <c r="B508" s="12">
        <f>MONTH(Movimientos_2026[[#This Row],[Fecha]])</f>
        <v>2</v>
      </c>
      <c r="C508" s="12" t="str">
        <f>VLOOKUP((WEEKDAY(Movimientos_2026[[#This Row],[Fecha]],2)),'5. Setup'!$D$6:$E$12,2,FALSE)</f>
        <v>Lun</v>
      </c>
      <c r="D508">
        <v>2023376</v>
      </c>
      <c r="E508" t="str">
        <f>IFERROR(+VLOOKUP(Movimientos_2026[[#This Row],[Codigo]],Plan_cuentas[],2,FALSE)," ")</f>
        <v>EGRESOS</v>
      </c>
      <c r="F508" t="str">
        <f>IFERROR(+VLOOKUP(Movimientos_2026[[#This Row],[Codigo]],Plan_cuentas[],3,FALSE)," ")</f>
        <v>DDJJ</v>
      </c>
      <c r="G508" t="str">
        <f>IFERROR(+VLOOKUP(Movimientos_2026[[#This Row],[Codigo]],Plan_cuentas[],4,FALSE)," ")</f>
        <v>Registración</v>
      </c>
      <c r="H508" t="str">
        <f>IFERROR(+VLOOKUP(Movimientos_2026[[#This Row],[Codigo]],Plan_cuentas[],5,FALSE)," ")</f>
        <v>SANTA CRUZ</v>
      </c>
      <c r="I508" s="43">
        <v>46023</v>
      </c>
      <c r="J508" t="s">
        <v>218</v>
      </c>
      <c r="K508" t="str">
        <f>IFERROR(+VLOOKUP(Movimientos_2026[[#This Row],[Codigo]],Plan_cuentas[],6,FALSE)," ")</f>
        <v>6 - FCAtr - Fiat Transf.</v>
      </c>
      <c r="L508" s="50"/>
      <c r="M508" s="52">
        <v>628799.79</v>
      </c>
      <c r="N508" s="20">
        <f>+Movimientos_2026[[#This Row],[Ingresos]]-Movimientos_2026[[#This Row],[Egresos]]</f>
        <v>-628799.79</v>
      </c>
      <c r="O508" s="20">
        <f>+O507+Movimientos_2026[[#This Row],[Neto]]</f>
        <v>5237608332.4571095</v>
      </c>
    </row>
    <row r="509" spans="1:15" x14ac:dyDescent="0.25">
      <c r="A509" s="13">
        <v>46062</v>
      </c>
      <c r="B509" s="12">
        <f>MONTH(Movimientos_2026[[#This Row],[Fecha]])</f>
        <v>2</v>
      </c>
      <c r="C509" s="12" t="str">
        <f>VLOOKUP((WEEKDAY(Movimientos_2026[[#This Row],[Fecha]],2)),'5. Setup'!$D$6:$E$12,2,FALSE)</f>
        <v>Lun</v>
      </c>
      <c r="D509">
        <v>2023392</v>
      </c>
      <c r="E509" t="str">
        <f>IFERROR(+VLOOKUP(Movimientos_2026[[#This Row],[Codigo]],Plan_cuentas[],2,FALSE)," ")</f>
        <v>EGRESOS</v>
      </c>
      <c r="F509" t="str">
        <f>IFERROR(+VLOOKUP(Movimientos_2026[[#This Row],[Codigo]],Plan_cuentas[],3,FALSE)," ")</f>
        <v>DDJJ</v>
      </c>
      <c r="G509" t="str">
        <f>IFERROR(+VLOOKUP(Movimientos_2026[[#This Row],[Codigo]],Plan_cuentas[],4,FALSE)," ")</f>
        <v>Registración</v>
      </c>
      <c r="H509" t="str">
        <f>IFERROR(+VLOOKUP(Movimientos_2026[[#This Row],[Codigo]],Plan_cuentas[],5,FALSE)," ")</f>
        <v>SANTA FE 2° Q</v>
      </c>
      <c r="I509" s="43">
        <v>46023</v>
      </c>
      <c r="J509" t="s">
        <v>219</v>
      </c>
      <c r="K509" t="str">
        <f>IFERROR(+VLOOKUP(Movimientos_2026[[#This Row],[Codigo]],Plan_cuentas[],6,FALSE)," ")</f>
        <v>2 - PR - Plan Rombo</v>
      </c>
      <c r="L509" s="50"/>
      <c r="M509" s="52">
        <v>30398795.02</v>
      </c>
      <c r="N509" s="20">
        <f>+Movimientos_2026[[#This Row],[Ingresos]]-Movimientos_2026[[#This Row],[Egresos]]</f>
        <v>-30398795.02</v>
      </c>
      <c r="O509" s="20">
        <f>+O508+Movimientos_2026[[#This Row],[Neto]]</f>
        <v>5207209537.437109</v>
      </c>
    </row>
    <row r="510" spans="1:15" x14ac:dyDescent="0.25">
      <c r="A510" s="13">
        <v>46062</v>
      </c>
      <c r="B510" s="12">
        <f>MONTH(Movimientos_2026[[#This Row],[Fecha]])</f>
        <v>2</v>
      </c>
      <c r="C510" s="12" t="str">
        <f>VLOOKUP((WEEKDAY(Movimientos_2026[[#This Row],[Fecha]],2)),'5. Setup'!$D$6:$E$12,2,FALSE)</f>
        <v>Lun</v>
      </c>
      <c r="D510">
        <v>2023393</v>
      </c>
      <c r="E510" t="str">
        <f>IFERROR(+VLOOKUP(Movimientos_2026[[#This Row],[Codigo]],Plan_cuentas[],2,FALSE)," ")</f>
        <v>EGRESOS</v>
      </c>
      <c r="F510" t="str">
        <f>IFERROR(+VLOOKUP(Movimientos_2026[[#This Row],[Codigo]],Plan_cuentas[],3,FALSE)," ")</f>
        <v>DDJJ</v>
      </c>
      <c r="G510" t="str">
        <f>IFERROR(+VLOOKUP(Movimientos_2026[[#This Row],[Codigo]],Plan_cuentas[],4,FALSE)," ")</f>
        <v>Registración</v>
      </c>
      <c r="H510" t="str">
        <f>IFERROR(+VLOOKUP(Movimientos_2026[[#This Row],[Codigo]],Plan_cuentas[],5,FALSE)," ")</f>
        <v>SANTA FE 2° Q</v>
      </c>
      <c r="I510" s="43">
        <v>46023</v>
      </c>
      <c r="J510" t="s">
        <v>219</v>
      </c>
      <c r="K510" t="str">
        <f>IFERROR(+VLOOKUP(Movimientos_2026[[#This Row],[Codigo]],Plan_cuentas[],6,FALSE)," ")</f>
        <v>3 - GM - Chevrolet</v>
      </c>
      <c r="L510" s="50"/>
      <c r="M510" s="52">
        <v>10458698.640000001</v>
      </c>
      <c r="N510" s="20">
        <f>+Movimientos_2026[[#This Row],[Ingresos]]-Movimientos_2026[[#This Row],[Egresos]]</f>
        <v>-10458698.640000001</v>
      </c>
      <c r="O510" s="20">
        <f>+O509+Movimientos_2026[[#This Row],[Neto]]</f>
        <v>5196750838.7971087</v>
      </c>
    </row>
    <row r="511" spans="1:15" x14ac:dyDescent="0.25">
      <c r="A511" s="13">
        <v>46062</v>
      </c>
      <c r="B511" s="12">
        <f>MONTH(Movimientos_2026[[#This Row],[Fecha]])</f>
        <v>2</v>
      </c>
      <c r="C511" s="12" t="str">
        <f>VLOOKUP((WEEKDAY(Movimientos_2026[[#This Row],[Fecha]],2)),'5. Setup'!$D$6:$E$12,2,FALSE)</f>
        <v>Lun</v>
      </c>
      <c r="D511">
        <v>2034234</v>
      </c>
      <c r="E511" t="str">
        <f>IFERROR(+VLOOKUP(Movimientos_2026[[#This Row],[Codigo]],Plan_cuentas[],2,FALSE)," ")</f>
        <v>EGRESOS</v>
      </c>
      <c r="F511" t="str">
        <f>IFERROR(+VLOOKUP(Movimientos_2026[[#This Row],[Codigo]],Plan_cuentas[],3,FALSE)," ")</f>
        <v>Pagos Bco. Provincia</v>
      </c>
      <c r="G511" t="str">
        <f>IFERROR(+VLOOKUP(Movimientos_2026[[#This Row],[Codigo]],Plan_cuentas[],4,FALSE)," ")</f>
        <v>Rentas</v>
      </c>
      <c r="H511" t="str">
        <f>IFERROR(+VLOOKUP(Movimientos_2026[[#This Row],[Codigo]],Plan_cuentas[],5,FALSE)," ")</f>
        <v>ENTRE RIOS 2° Q</v>
      </c>
      <c r="I511" s="43">
        <v>46023</v>
      </c>
      <c r="J511" t="s">
        <v>220</v>
      </c>
      <c r="K511" t="str">
        <f>IFERROR(+VLOOKUP(Movimientos_2026[[#This Row],[Codigo]],Plan_cuentas[],6,FALSE)," ")</f>
        <v>4 - FCA - Fiat</v>
      </c>
      <c r="L511" s="50"/>
      <c r="M511" s="50">
        <v>23615932.199999999</v>
      </c>
      <c r="N511" s="20">
        <f>+Movimientos_2026[[#This Row],[Ingresos]]-Movimientos_2026[[#This Row],[Egresos]]</f>
        <v>-23615932.199999999</v>
      </c>
      <c r="O511" s="20">
        <f>+O510+Movimientos_2026[[#This Row],[Neto]]</f>
        <v>5173134906.5971088</v>
      </c>
    </row>
    <row r="512" spans="1:15" x14ac:dyDescent="0.25">
      <c r="A512" s="13">
        <v>46062</v>
      </c>
      <c r="B512" s="12">
        <f>MONTH(Movimientos_2026[[#This Row],[Fecha]])</f>
        <v>2</v>
      </c>
      <c r="C512" s="12" t="str">
        <f>VLOOKUP((WEEKDAY(Movimientos_2026[[#This Row],[Fecha]],2)),'5. Setup'!$D$6:$E$12,2,FALSE)</f>
        <v>Lun</v>
      </c>
      <c r="D512">
        <v>2034235</v>
      </c>
      <c r="E512" t="str">
        <f>IFERROR(+VLOOKUP(Movimientos_2026[[#This Row],[Codigo]],Plan_cuentas[],2,FALSE)," ")</f>
        <v>EGRESOS</v>
      </c>
      <c r="F512" t="str">
        <f>IFERROR(+VLOOKUP(Movimientos_2026[[#This Row],[Codigo]],Plan_cuentas[],3,FALSE)," ")</f>
        <v>Pagos Bco. Provincia</v>
      </c>
      <c r="G512" t="str">
        <f>IFERROR(+VLOOKUP(Movimientos_2026[[#This Row],[Codigo]],Plan_cuentas[],4,FALSE)," ")</f>
        <v>Rentas</v>
      </c>
      <c r="H512" t="str">
        <f>IFERROR(+VLOOKUP(Movimientos_2026[[#This Row],[Codigo]],Plan_cuentas[],5,FALSE)," ")</f>
        <v>ENTRE RIOS 2° Q</v>
      </c>
      <c r="I512" s="43">
        <v>46023</v>
      </c>
      <c r="J512" t="s">
        <v>221</v>
      </c>
      <c r="K512" t="str">
        <f>IFERROR(+VLOOKUP(Movimientos_2026[[#This Row],[Codigo]],Plan_cuentas[],6,FALSE)," ")</f>
        <v>5 - YAM - Yamaha</v>
      </c>
      <c r="L512" s="50"/>
      <c r="M512" s="50">
        <v>3411781.4</v>
      </c>
      <c r="N512" s="20">
        <f>+Movimientos_2026[[#This Row],[Ingresos]]-Movimientos_2026[[#This Row],[Egresos]]</f>
        <v>-3411781.4</v>
      </c>
      <c r="O512" s="20">
        <f>+O511+Movimientos_2026[[#This Row],[Neto]]</f>
        <v>5169723125.1971092</v>
      </c>
    </row>
    <row r="513" spans="1:15" x14ac:dyDescent="0.25">
      <c r="A513" s="13">
        <v>46062</v>
      </c>
      <c r="B513" s="12">
        <f>MONTH(Movimientos_2026[[#This Row],[Fecha]])</f>
        <v>2</v>
      </c>
      <c r="C513" s="12" t="str">
        <f>VLOOKUP((WEEKDAY(Movimientos_2026[[#This Row],[Fecha]],2)),'5. Setup'!$D$6:$E$12,2,FALSE)</f>
        <v>Lun</v>
      </c>
      <c r="D513">
        <v>2014421</v>
      </c>
      <c r="E513" t="str">
        <f>IFERROR(+VLOOKUP(Movimientos_2026[[#This Row],[Codigo]],Plan_cuentas[],2,FALSE)," ")</f>
        <v>EGRESOS</v>
      </c>
      <c r="F513" t="str">
        <f>IFERROR(+VLOOKUP(Movimientos_2026[[#This Row],[Codigo]],Plan_cuentas[],3,FALSE)," ")</f>
        <v>BtoB</v>
      </c>
      <c r="G513" t="str">
        <f>IFERROR(+VLOOKUP(Movimientos_2026[[#This Row],[Codigo]],Plan_cuentas[],4,FALSE)," ")</f>
        <v>Rentas</v>
      </c>
      <c r="H513" t="str">
        <f>IFERROR(+VLOOKUP(Movimientos_2026[[#This Row],[Codigo]],Plan_cuentas[],5,FALSE)," ")</f>
        <v>TUCUMAN</v>
      </c>
      <c r="I513" s="43">
        <v>46023</v>
      </c>
      <c r="J513" t="s">
        <v>222</v>
      </c>
      <c r="K513" t="str">
        <f>IFERROR(+VLOOKUP(Movimientos_2026[[#This Row],[Codigo]],Plan_cuentas[],6,FALSE)," ")</f>
        <v>1 - VW - Volkswagen</v>
      </c>
      <c r="L513" s="50"/>
      <c r="M513" s="50">
        <v>75609956.510000005</v>
      </c>
      <c r="N513" s="20">
        <f>+Movimientos_2026[[#This Row],[Ingresos]]-Movimientos_2026[[#This Row],[Egresos]]</f>
        <v>-75609956.510000005</v>
      </c>
      <c r="O513" s="20">
        <f>+O512+Movimientos_2026[[#This Row],[Neto]]</f>
        <v>5094113168.687109</v>
      </c>
    </row>
    <row r="514" spans="1:15" x14ac:dyDescent="0.25">
      <c r="A514" s="13">
        <v>46062</v>
      </c>
      <c r="B514" s="12">
        <f>MONTH(Movimientos_2026[[#This Row],[Fecha]])</f>
        <v>2</v>
      </c>
      <c r="C514" s="12" t="str">
        <f>VLOOKUP((WEEKDAY(Movimientos_2026[[#This Row],[Fecha]],2)),'5. Setup'!$D$6:$E$12,2,FALSE)</f>
        <v>Lun</v>
      </c>
      <c r="D514">
        <v>2034241</v>
      </c>
      <c r="E514" t="str">
        <f>IFERROR(+VLOOKUP(Movimientos_2026[[#This Row],[Codigo]],Plan_cuentas[],2,FALSE)," ")</f>
        <v>EGRESOS</v>
      </c>
      <c r="F514" t="str">
        <f>IFERROR(+VLOOKUP(Movimientos_2026[[#This Row],[Codigo]],Plan_cuentas[],3,FALSE)," ")</f>
        <v>Pagos Bco. Provincia</v>
      </c>
      <c r="G514" t="str">
        <f>IFERROR(+VLOOKUP(Movimientos_2026[[#This Row],[Codigo]],Plan_cuentas[],4,FALSE)," ")</f>
        <v>Rentas</v>
      </c>
      <c r="H514" t="str">
        <f>IFERROR(+VLOOKUP(Movimientos_2026[[#This Row],[Codigo]],Plan_cuentas[],5,FALSE)," ")</f>
        <v>FORMOSA</v>
      </c>
      <c r="I514" s="43">
        <v>46023</v>
      </c>
      <c r="J514" t="s">
        <v>223</v>
      </c>
      <c r="K514" t="str">
        <f>IFERROR(+VLOOKUP(Movimientos_2026[[#This Row],[Codigo]],Plan_cuentas[],6,FALSE)," ")</f>
        <v>1 - VW - Volkswagen</v>
      </c>
      <c r="L514" s="50"/>
      <c r="M514" s="50">
        <v>6733647.71</v>
      </c>
      <c r="N514" s="20">
        <f>+Movimientos_2026[[#This Row],[Ingresos]]-Movimientos_2026[[#This Row],[Egresos]]</f>
        <v>-6733647.71</v>
      </c>
      <c r="O514" s="20">
        <f>+O513+Movimientos_2026[[#This Row],[Neto]]</f>
        <v>5087379520.977109</v>
      </c>
    </row>
    <row r="515" spans="1:15" x14ac:dyDescent="0.25">
      <c r="A515" s="13">
        <v>46062</v>
      </c>
      <c r="B515" s="12">
        <f>MONTH(Movimientos_2026[[#This Row],[Fecha]])</f>
        <v>2</v>
      </c>
      <c r="C515" s="12" t="str">
        <f>VLOOKUP((WEEKDAY(Movimientos_2026[[#This Row],[Fecha]],2)),'5. Setup'!$D$6:$E$12,2,FALSE)</f>
        <v>Lun</v>
      </c>
      <c r="D515">
        <v>2034243</v>
      </c>
      <c r="E515" t="str">
        <f>IFERROR(+VLOOKUP(Movimientos_2026[[#This Row],[Codigo]],Plan_cuentas[],2,FALSE)," ")</f>
        <v>EGRESOS</v>
      </c>
      <c r="F515" t="str">
        <f>IFERROR(+VLOOKUP(Movimientos_2026[[#This Row],[Codigo]],Plan_cuentas[],3,FALSE)," ")</f>
        <v>Pagos Bco. Provincia</v>
      </c>
      <c r="G515" t="str">
        <f>IFERROR(+VLOOKUP(Movimientos_2026[[#This Row],[Codigo]],Plan_cuentas[],4,FALSE)," ")</f>
        <v>Rentas</v>
      </c>
      <c r="H515" t="str">
        <f>IFERROR(+VLOOKUP(Movimientos_2026[[#This Row],[Codigo]],Plan_cuentas[],5,FALSE)," ")</f>
        <v>FORMOSA</v>
      </c>
      <c r="I515" s="43">
        <v>46023</v>
      </c>
      <c r="J515" t="s">
        <v>224</v>
      </c>
      <c r="K515" t="str">
        <f>IFERROR(+VLOOKUP(Movimientos_2026[[#This Row],[Codigo]],Plan_cuentas[],6,FALSE)," ")</f>
        <v>3 - GM - Chevrolet</v>
      </c>
      <c r="L515" s="50"/>
      <c r="M515" s="50">
        <v>18431789.719999999</v>
      </c>
      <c r="N515" s="20">
        <f>+Movimientos_2026[[#This Row],[Ingresos]]-Movimientos_2026[[#This Row],[Egresos]]</f>
        <v>-18431789.719999999</v>
      </c>
      <c r="O515" s="20">
        <f>+O514+Movimientos_2026[[#This Row],[Neto]]</f>
        <v>5068947731.2571087</v>
      </c>
    </row>
    <row r="516" spans="1:15" x14ac:dyDescent="0.25">
      <c r="A516" s="13">
        <v>46062</v>
      </c>
      <c r="B516" s="12">
        <f>MONTH(Movimientos_2026[[#This Row],[Fecha]])</f>
        <v>2</v>
      </c>
      <c r="C516" s="12" t="str">
        <f>VLOOKUP((WEEKDAY(Movimientos_2026[[#This Row],[Fecha]],2)),'5. Setup'!$D$6:$E$12,2,FALSE)</f>
        <v>Lun</v>
      </c>
      <c r="D516">
        <v>2054371</v>
      </c>
      <c r="E516" t="str">
        <f>IFERROR(+VLOOKUP(Movimientos_2026[[#This Row],[Codigo]],Plan_cuentas[],2,FALSE)," ")</f>
        <v>EGRESOS</v>
      </c>
      <c r="F516" t="str">
        <f>IFERROR(+VLOOKUP(Movimientos_2026[[#This Row],[Codigo]],Plan_cuentas[],3,FALSE)," ")</f>
        <v>VEP</v>
      </c>
      <c r="G516" t="str">
        <f>IFERROR(+VLOOKUP(Movimientos_2026[[#This Row],[Codigo]],Plan_cuentas[],4,FALSE)," ")</f>
        <v>Rentas</v>
      </c>
      <c r="H516" t="str">
        <f>IFERROR(+VLOOKUP(Movimientos_2026[[#This Row],[Codigo]],Plan_cuentas[],5,FALSE)," ")</f>
        <v>SANTA CRUZ</v>
      </c>
      <c r="I516" s="43">
        <v>46023</v>
      </c>
      <c r="J516" t="s">
        <v>225</v>
      </c>
      <c r="K516" t="str">
        <f>IFERROR(+VLOOKUP(Movimientos_2026[[#This Row],[Codigo]],Plan_cuentas[],6,FALSE)," ")</f>
        <v>1 - VW - Volkswagen</v>
      </c>
      <c r="L516" s="50"/>
      <c r="M516" s="50">
        <v>33612060.490000002</v>
      </c>
      <c r="N516" s="20">
        <f>+Movimientos_2026[[#This Row],[Ingresos]]-Movimientos_2026[[#This Row],[Egresos]]</f>
        <v>-33612060.490000002</v>
      </c>
      <c r="O516" s="20">
        <f>+O515+Movimientos_2026[[#This Row],[Neto]]</f>
        <v>5035335670.7671089</v>
      </c>
    </row>
    <row r="517" spans="1:15" x14ac:dyDescent="0.25">
      <c r="A517" s="13">
        <v>46062</v>
      </c>
      <c r="B517" s="12">
        <f>MONTH(Movimientos_2026[[#This Row],[Fecha]])</f>
        <v>2</v>
      </c>
      <c r="C517" s="12" t="str">
        <f>VLOOKUP((WEEKDAY(Movimientos_2026[[#This Row],[Fecha]],2)),'5. Setup'!$D$6:$E$12,2,FALSE)</f>
        <v>Lun</v>
      </c>
      <c r="D517">
        <v>2054372</v>
      </c>
      <c r="E517" t="str">
        <f>IFERROR(+VLOOKUP(Movimientos_2026[[#This Row],[Codigo]],Plan_cuentas[],2,FALSE)," ")</f>
        <v>EGRESOS</v>
      </c>
      <c r="F517" t="str">
        <f>IFERROR(+VLOOKUP(Movimientos_2026[[#This Row],[Codigo]],Plan_cuentas[],3,FALSE)," ")</f>
        <v>VEP</v>
      </c>
      <c r="G517" t="str">
        <f>IFERROR(+VLOOKUP(Movimientos_2026[[#This Row],[Codigo]],Plan_cuentas[],4,FALSE)," ")</f>
        <v>Rentas</v>
      </c>
      <c r="H517" t="str">
        <f>IFERROR(+VLOOKUP(Movimientos_2026[[#This Row],[Codigo]],Plan_cuentas[],5,FALSE)," ")</f>
        <v>SANTA CRUZ</v>
      </c>
      <c r="I517" s="43">
        <v>46023</v>
      </c>
      <c r="J517" t="s">
        <v>226</v>
      </c>
      <c r="K517" t="str">
        <f>IFERROR(+VLOOKUP(Movimientos_2026[[#This Row],[Codigo]],Plan_cuentas[],6,FALSE)," ")</f>
        <v>2 - PR - Plan Rombo</v>
      </c>
      <c r="L517" s="50"/>
      <c r="M517" s="50">
        <v>39264013.097900003</v>
      </c>
      <c r="N517" s="20">
        <f>+Movimientos_2026[[#This Row],[Ingresos]]-Movimientos_2026[[#This Row],[Egresos]]</f>
        <v>-39264013.097900003</v>
      </c>
      <c r="O517" s="20">
        <f>+O516+Movimientos_2026[[#This Row],[Neto]]</f>
        <v>4996071657.6692085</v>
      </c>
    </row>
    <row r="518" spans="1:15" x14ac:dyDescent="0.25">
      <c r="A518" s="13">
        <v>46062</v>
      </c>
      <c r="B518" s="12">
        <f>MONTH(Movimientos_2026[[#This Row],[Fecha]])</f>
        <v>2</v>
      </c>
      <c r="C518" s="12" t="str">
        <f>VLOOKUP((WEEKDAY(Movimientos_2026[[#This Row],[Fecha]],2)),'5. Setup'!$D$6:$E$12,2,FALSE)</f>
        <v>Lun</v>
      </c>
      <c r="D518">
        <v>2054391</v>
      </c>
      <c r="E518" t="str">
        <f>IFERROR(+VLOOKUP(Movimientos_2026[[#This Row],[Codigo]],Plan_cuentas[],2,FALSE)," ")</f>
        <v>EGRESOS</v>
      </c>
      <c r="F518" t="str">
        <f>IFERROR(+VLOOKUP(Movimientos_2026[[#This Row],[Codigo]],Plan_cuentas[],3,FALSE)," ")</f>
        <v>VEP</v>
      </c>
      <c r="G518" t="str">
        <f>IFERROR(+VLOOKUP(Movimientos_2026[[#This Row],[Codigo]],Plan_cuentas[],4,FALSE)," ")</f>
        <v>Rentas</v>
      </c>
      <c r="H518" t="str">
        <f>IFERROR(+VLOOKUP(Movimientos_2026[[#This Row],[Codigo]],Plan_cuentas[],5,FALSE)," ")</f>
        <v>SANTA FE 2° Q</v>
      </c>
      <c r="I518" s="43">
        <v>46023</v>
      </c>
      <c r="J518" t="s">
        <v>227</v>
      </c>
      <c r="K518" t="str">
        <f>IFERROR(+VLOOKUP(Movimientos_2026[[#This Row],[Codigo]],Plan_cuentas[],6,FALSE)," ")</f>
        <v>1 - VW - Volkswagen</v>
      </c>
      <c r="L518" s="50"/>
      <c r="M518" s="50">
        <v>23751385</v>
      </c>
      <c r="N518" s="20">
        <f>+Movimientos_2026[[#This Row],[Ingresos]]-Movimientos_2026[[#This Row],[Egresos]]</f>
        <v>-23751385</v>
      </c>
      <c r="O518" s="20">
        <f>+O517+Movimientos_2026[[#This Row],[Neto]]</f>
        <v>4972320272.6692085</v>
      </c>
    </row>
    <row r="519" spans="1:15" x14ac:dyDescent="0.25">
      <c r="A519" s="13">
        <v>46062</v>
      </c>
      <c r="B519" s="12">
        <f>MONTH(Movimientos_2026[[#This Row],[Fecha]])</f>
        <v>2</v>
      </c>
      <c r="C519" s="12" t="str">
        <f>VLOOKUP((WEEKDAY(Movimientos_2026[[#This Row],[Fecha]],2)),'5. Setup'!$D$6:$E$12,2,FALSE)</f>
        <v>Lun</v>
      </c>
      <c r="D519">
        <v>2014271</v>
      </c>
      <c r="E519" t="str">
        <f>IFERROR(+VLOOKUP(Movimientos_2026[[#This Row],[Codigo]],Plan_cuentas[],2,FALSE)," ")</f>
        <v>EGRESOS</v>
      </c>
      <c r="F519" t="str">
        <f>IFERROR(+VLOOKUP(Movimientos_2026[[#This Row],[Codigo]],Plan_cuentas[],3,FALSE)," ")</f>
        <v>BtoB</v>
      </c>
      <c r="G519" t="str">
        <f>IFERROR(+VLOOKUP(Movimientos_2026[[#This Row],[Codigo]],Plan_cuentas[],4,FALSE)," ")</f>
        <v>Rentas</v>
      </c>
      <c r="H519" t="str">
        <f>IFERROR(+VLOOKUP(Movimientos_2026[[#This Row],[Codigo]],Plan_cuentas[],5,FALSE)," ")</f>
        <v>LA RIOJA</v>
      </c>
      <c r="I519" s="43">
        <v>46023</v>
      </c>
      <c r="J519" t="s">
        <v>228</v>
      </c>
      <c r="K519" t="str">
        <f>IFERROR(+VLOOKUP(Movimientos_2026[[#This Row],[Codigo]],Plan_cuentas[],6,FALSE)," ")</f>
        <v>1 - VW - Volkswagen</v>
      </c>
      <c r="L519" s="50"/>
      <c r="M519" s="50">
        <v>13344920.1</v>
      </c>
      <c r="N519" s="20">
        <f>+Movimientos_2026[[#This Row],[Ingresos]]-Movimientos_2026[[#This Row],[Egresos]]</f>
        <v>-13344920.1</v>
      </c>
      <c r="O519" s="20">
        <f>+O518+Movimientos_2026[[#This Row],[Neto]]</f>
        <v>4958975352.5692081</v>
      </c>
    </row>
    <row r="520" spans="1:15" x14ac:dyDescent="0.25">
      <c r="A520" s="13">
        <v>46062</v>
      </c>
      <c r="B520" s="12">
        <f>MONTH(Movimientos_2026[[#This Row],[Fecha]])</f>
        <v>2</v>
      </c>
      <c r="C520" s="12" t="str">
        <f>VLOOKUP((WEEKDAY(Movimientos_2026[[#This Row],[Fecha]],2)),'5. Setup'!$D$6:$E$12,2,FALSE)</f>
        <v>Lun</v>
      </c>
      <c r="D520">
        <v>2014272</v>
      </c>
      <c r="E520" t="str">
        <f>IFERROR(+VLOOKUP(Movimientos_2026[[#This Row],[Codigo]],Plan_cuentas[],2,FALSE)," ")</f>
        <v>EGRESOS</v>
      </c>
      <c r="F520" t="str">
        <f>IFERROR(+VLOOKUP(Movimientos_2026[[#This Row],[Codigo]],Plan_cuentas[],3,FALSE)," ")</f>
        <v>BtoB</v>
      </c>
      <c r="G520" t="str">
        <f>IFERROR(+VLOOKUP(Movimientos_2026[[#This Row],[Codigo]],Plan_cuentas[],4,FALSE)," ")</f>
        <v>Rentas</v>
      </c>
      <c r="H520" t="str">
        <f>IFERROR(+VLOOKUP(Movimientos_2026[[#This Row],[Codigo]],Plan_cuentas[],5,FALSE)," ")</f>
        <v>LA RIOJA</v>
      </c>
      <c r="I520" s="43">
        <v>46023</v>
      </c>
      <c r="J520" t="s">
        <v>229</v>
      </c>
      <c r="K520" t="str">
        <f>IFERROR(+VLOOKUP(Movimientos_2026[[#This Row],[Codigo]],Plan_cuentas[],6,FALSE)," ")</f>
        <v>2 - PR - Plan Rombo</v>
      </c>
      <c r="L520" s="50"/>
      <c r="M520" s="52">
        <v>2227180.4900000002</v>
      </c>
      <c r="N520" s="20">
        <f>+Movimientos_2026[[#This Row],[Ingresos]]-Movimientos_2026[[#This Row],[Egresos]]</f>
        <v>-2227180.4900000002</v>
      </c>
      <c r="O520" s="20">
        <f>+O519+Movimientos_2026[[#This Row],[Neto]]</f>
        <v>4956748172.0792084</v>
      </c>
    </row>
    <row r="521" spans="1:15" x14ac:dyDescent="0.25">
      <c r="A521" s="13">
        <v>46062</v>
      </c>
      <c r="B521" s="12">
        <f>MONTH(Movimientos_2026[[#This Row],[Fecha]])</f>
        <v>2</v>
      </c>
      <c r="C521" s="12" t="str">
        <f>VLOOKUP((WEEKDAY(Movimientos_2026[[#This Row],[Fecha]],2)),'5. Setup'!$D$6:$E$12,2,FALSE)</f>
        <v>Lun</v>
      </c>
      <c r="D521">
        <v>2014211</v>
      </c>
      <c r="E521" t="str">
        <f>IFERROR(+VLOOKUP(Movimientos_2026[[#This Row],[Codigo]],Plan_cuentas[],2,FALSE)," ")</f>
        <v>EGRESOS</v>
      </c>
      <c r="F521" t="str">
        <f>IFERROR(+VLOOKUP(Movimientos_2026[[#This Row],[Codigo]],Plan_cuentas[],3,FALSE)," ")</f>
        <v>BtoB</v>
      </c>
      <c r="G521" t="str">
        <f>IFERROR(+VLOOKUP(Movimientos_2026[[#This Row],[Codigo]],Plan_cuentas[],4,FALSE)," ")</f>
        <v>Rentas</v>
      </c>
      <c r="H521" t="str">
        <f>IFERROR(+VLOOKUP(Movimientos_2026[[#This Row],[Codigo]],Plan_cuentas[],5,FALSE)," ")</f>
        <v>CORRIENTES 2° Q</v>
      </c>
      <c r="I521" s="43">
        <v>46023</v>
      </c>
      <c r="J521" t="s">
        <v>230</v>
      </c>
      <c r="K521" t="str">
        <f>IFERROR(+VLOOKUP(Movimientos_2026[[#This Row],[Codigo]],Plan_cuentas[],6,FALSE)," ")</f>
        <v>1 - VW - Volkswagen</v>
      </c>
      <c r="L521" s="50"/>
      <c r="M521" s="52">
        <v>12459331.5</v>
      </c>
      <c r="N521" s="20">
        <f>+Movimientos_2026[[#This Row],[Ingresos]]-Movimientos_2026[[#This Row],[Egresos]]</f>
        <v>-12459331.5</v>
      </c>
      <c r="O521" s="20">
        <f>+O520+Movimientos_2026[[#This Row],[Neto]]</f>
        <v>4944288840.5792084</v>
      </c>
    </row>
    <row r="522" spans="1:15" x14ac:dyDescent="0.25">
      <c r="A522" s="13">
        <v>46062</v>
      </c>
      <c r="B522" s="12">
        <f>MONTH(Movimientos_2026[[#This Row],[Fecha]])</f>
        <v>2</v>
      </c>
      <c r="C522" s="12" t="str">
        <f>VLOOKUP((WEEKDAY(Movimientos_2026[[#This Row],[Fecha]],2)),'5. Setup'!$D$6:$E$12,2,FALSE)</f>
        <v>Lun</v>
      </c>
      <c r="D522">
        <v>2014212</v>
      </c>
      <c r="E522" t="str">
        <f>IFERROR(+VLOOKUP(Movimientos_2026[[#This Row],[Codigo]],Plan_cuentas[],2,FALSE)," ")</f>
        <v>EGRESOS</v>
      </c>
      <c r="F522" t="str">
        <f>IFERROR(+VLOOKUP(Movimientos_2026[[#This Row],[Codigo]],Plan_cuentas[],3,FALSE)," ")</f>
        <v>BtoB</v>
      </c>
      <c r="G522" t="str">
        <f>IFERROR(+VLOOKUP(Movimientos_2026[[#This Row],[Codigo]],Plan_cuentas[],4,FALSE)," ")</f>
        <v>Rentas</v>
      </c>
      <c r="H522" t="str">
        <f>IFERROR(+VLOOKUP(Movimientos_2026[[#This Row],[Codigo]],Plan_cuentas[],5,FALSE)," ")</f>
        <v>CORRIENTES 2° Q</v>
      </c>
      <c r="I522" s="43">
        <v>46023</v>
      </c>
      <c r="J522" t="s">
        <v>231</v>
      </c>
      <c r="K522" t="str">
        <f>IFERROR(+VLOOKUP(Movimientos_2026[[#This Row],[Codigo]],Plan_cuentas[],6,FALSE)," ")</f>
        <v>2 - PR - Plan Rombo</v>
      </c>
      <c r="L522" s="50"/>
      <c r="M522" s="50">
        <v>11937798.9582</v>
      </c>
      <c r="N522" s="20">
        <f>+Movimientos_2026[[#This Row],[Ingresos]]-Movimientos_2026[[#This Row],[Egresos]]</f>
        <v>-11937798.9582</v>
      </c>
      <c r="O522" s="20">
        <f>+O521+Movimientos_2026[[#This Row],[Neto]]</f>
        <v>4932351041.6210079</v>
      </c>
    </row>
    <row r="523" spans="1:15" x14ac:dyDescent="0.25">
      <c r="A523" s="13">
        <v>46062</v>
      </c>
      <c r="B523" s="12">
        <f>MONTH(Movimientos_2026[[#This Row],[Fecha]])</f>
        <v>2</v>
      </c>
      <c r="C523" s="12" t="str">
        <f>VLOOKUP((WEEKDAY(Movimientos_2026[[#This Row],[Fecha]],2)),'5. Setup'!$D$6:$E$12,2,FALSE)</f>
        <v>Lun</v>
      </c>
      <c r="D523">
        <v>2054196</v>
      </c>
      <c r="E523" t="str">
        <f>IFERROR(+VLOOKUP(Movimientos_2026[[#This Row],[Codigo]],Plan_cuentas[],2,FALSE)," ")</f>
        <v>EGRESOS</v>
      </c>
      <c r="F523" t="str">
        <f>IFERROR(+VLOOKUP(Movimientos_2026[[#This Row],[Codigo]],Plan_cuentas[],3,FALSE)," ")</f>
        <v>VEP</v>
      </c>
      <c r="G523" t="str">
        <f>IFERROR(+VLOOKUP(Movimientos_2026[[#This Row],[Codigo]],Plan_cuentas[],4,FALSE)," ")</f>
        <v>Rentas</v>
      </c>
      <c r="H523" t="str">
        <f>IFERROR(+VLOOKUP(Movimientos_2026[[#This Row],[Codigo]],Plan_cuentas[],5,FALSE)," ")</f>
        <v>CORDOBA 2° Q</v>
      </c>
      <c r="I523" s="43">
        <v>46023</v>
      </c>
      <c r="J523" t="s">
        <v>232</v>
      </c>
      <c r="K523" t="str">
        <f>IFERROR(+VLOOKUP(Movimientos_2026[[#This Row],[Codigo]],Plan_cuentas[],6,FALSE)," ")</f>
        <v>6 - FCAtr - Fiat Transf.</v>
      </c>
      <c r="L523" s="50"/>
      <c r="M523" s="50">
        <v>11787560.550000019</v>
      </c>
      <c r="N523" s="20">
        <f>+Movimientos_2026[[#This Row],[Ingresos]]-Movimientos_2026[[#This Row],[Egresos]]</f>
        <v>-11787560.550000019</v>
      </c>
      <c r="O523" s="20">
        <f>+O522+Movimientos_2026[[#This Row],[Neto]]</f>
        <v>4920563481.0710077</v>
      </c>
    </row>
    <row r="524" spans="1:15" x14ac:dyDescent="0.25">
      <c r="A524" s="13">
        <v>46062</v>
      </c>
      <c r="B524" s="12">
        <f>MONTH(Movimientos_2026[[#This Row],[Fecha]])</f>
        <v>2</v>
      </c>
      <c r="C524" s="12" t="str">
        <f>VLOOKUP((WEEKDAY(Movimientos_2026[[#This Row],[Fecha]],2)),'5. Setup'!$D$6:$E$12,2,FALSE)</f>
        <v>Lun</v>
      </c>
      <c r="D524">
        <v>1045454</v>
      </c>
      <c r="E524" t="str">
        <f>IFERROR(+VLOOKUP(Movimientos_2026[[#This Row],[Codigo]],Plan_cuentas[],2,FALSE)," ")</f>
        <v>INGRESOS</v>
      </c>
      <c r="F524" t="str">
        <f>IFERROR(+VLOOKUP(Movimientos_2026[[#This Row],[Codigo]],Plan_cuentas[],3,FALSE)," ")</f>
        <v>Transferencia</v>
      </c>
      <c r="G524" t="str">
        <f>IFERROR(+VLOOKUP(Movimientos_2026[[#This Row],[Codigo]],Plan_cuentas[],4,FALSE)," ")</f>
        <v>Factura</v>
      </c>
      <c r="H524" t="str">
        <f>IFERROR(+VLOOKUP(Movimientos_2026[[#This Row],[Codigo]],Plan_cuentas[],5,FALSE)," ")</f>
        <v>FC DERECHOS</v>
      </c>
      <c r="I524" s="43">
        <v>46023</v>
      </c>
      <c r="J524" t="s">
        <v>233</v>
      </c>
      <c r="K524" t="str">
        <f>IFERROR(+VLOOKUP(Movimientos_2026[[#This Row],[Codigo]],Plan_cuentas[],6,FALSE)," ")</f>
        <v>4 - FCA - Fiat</v>
      </c>
      <c r="L524" s="50">
        <v>213731905.86000001</v>
      </c>
      <c r="M524" s="52"/>
      <c r="N524" s="20">
        <f>+Movimientos_2026[[#This Row],[Ingresos]]-Movimientos_2026[[#This Row],[Egresos]]</f>
        <v>213731905.86000001</v>
      </c>
      <c r="O524" s="20">
        <f>+O523+Movimientos_2026[[#This Row],[Neto]]</f>
        <v>5134295386.9310074</v>
      </c>
    </row>
    <row r="525" spans="1:15" x14ac:dyDescent="0.25">
      <c r="A525" s="13">
        <v>46063</v>
      </c>
      <c r="B525" s="12">
        <f>MONTH(Movimientos_2026[[#This Row],[Fecha]])</f>
        <v>2</v>
      </c>
      <c r="C525" s="12" t="str">
        <f>VLOOKUP((WEEKDAY(Movimientos_2026[[#This Row],[Fecha]],2)),'5. Setup'!$D$6:$E$12,2,FALSE)</f>
        <v>Mar</v>
      </c>
      <c r="D525">
        <v>2054281</v>
      </c>
      <c r="E525" t="str">
        <f>IFERROR(+VLOOKUP(Movimientos_2026[[#This Row],[Codigo]],Plan_cuentas[],2,FALSE)," ")</f>
        <v>EGRESOS</v>
      </c>
      <c r="F525" t="str">
        <f>IFERROR(+VLOOKUP(Movimientos_2026[[#This Row],[Codigo]],Plan_cuentas[],3,FALSE)," ")</f>
        <v>VEP</v>
      </c>
      <c r="G525" t="str">
        <f>IFERROR(+VLOOKUP(Movimientos_2026[[#This Row],[Codigo]],Plan_cuentas[],4,FALSE)," ")</f>
        <v>Rentas</v>
      </c>
      <c r="H525" t="str">
        <f>IFERROR(+VLOOKUP(Movimientos_2026[[#This Row],[Codigo]],Plan_cuentas[],5,FALSE)," ")</f>
        <v>MENDOZA</v>
      </c>
      <c r="I525" s="43">
        <v>46023</v>
      </c>
      <c r="J525" t="s">
        <v>234</v>
      </c>
      <c r="K525" t="str">
        <f>IFERROR(+VLOOKUP(Movimientos_2026[[#This Row],[Codigo]],Plan_cuentas[],6,FALSE)," ")</f>
        <v>1 - VW - Volkswagen</v>
      </c>
      <c r="L525" s="50"/>
      <c r="M525" s="50">
        <v>42720331.420000002</v>
      </c>
      <c r="N525" s="20">
        <f>+Movimientos_2026[[#This Row],[Ingresos]]-Movimientos_2026[[#This Row],[Egresos]]</f>
        <v>-42720331.420000002</v>
      </c>
      <c r="O525" s="20">
        <f>+O524+Movimientos_2026[[#This Row],[Neto]]</f>
        <v>5091575055.5110073</v>
      </c>
    </row>
    <row r="526" spans="1:15" x14ac:dyDescent="0.25">
      <c r="A526" s="13">
        <v>46063</v>
      </c>
      <c r="B526" s="12">
        <f>MONTH(Movimientos_2026[[#This Row],[Fecha]])</f>
        <v>2</v>
      </c>
      <c r="C526" s="12" t="str">
        <f>VLOOKUP((WEEKDAY(Movimientos_2026[[#This Row],[Fecha]],2)),'5. Setup'!$D$6:$E$12,2,FALSE)</f>
        <v>Mar</v>
      </c>
      <c r="D526">
        <v>2054287</v>
      </c>
      <c r="E526" t="str">
        <f>IFERROR(+VLOOKUP(Movimientos_2026[[#This Row],[Codigo]],Plan_cuentas[],2,FALSE)," ")</f>
        <v>EGRESOS</v>
      </c>
      <c r="F526" t="str">
        <f>IFERROR(+VLOOKUP(Movimientos_2026[[#This Row],[Codigo]],Plan_cuentas[],3,FALSE)," ")</f>
        <v>VEP</v>
      </c>
      <c r="G526" t="str">
        <f>IFERROR(+VLOOKUP(Movimientos_2026[[#This Row],[Codigo]],Plan_cuentas[],4,FALSE)," ")</f>
        <v>Rentas</v>
      </c>
      <c r="H526" t="str">
        <f>IFERROR(+VLOOKUP(Movimientos_2026[[#This Row],[Codigo]],Plan_cuentas[],5,FALSE)," ")</f>
        <v>MENDOZA</v>
      </c>
      <c r="I526" s="43">
        <v>46023</v>
      </c>
      <c r="J526" t="s">
        <v>235</v>
      </c>
      <c r="K526" t="str">
        <f>IFERROR(+VLOOKUP(Movimientos_2026[[#This Row],[Codigo]],Plan_cuentas[],6,FALSE)," ")</f>
        <v>7 - PRtr - Plan Rombo Transf.</v>
      </c>
      <c r="L526" s="50"/>
      <c r="M526" s="50">
        <v>2000</v>
      </c>
      <c r="N526" s="20">
        <f>+Movimientos_2026[[#This Row],[Ingresos]]-Movimientos_2026[[#This Row],[Egresos]]</f>
        <v>-2000</v>
      </c>
      <c r="O526" s="20">
        <f>+O525+Movimientos_2026[[#This Row],[Neto]]</f>
        <v>5091573055.5110073</v>
      </c>
    </row>
    <row r="527" spans="1:15" x14ac:dyDescent="0.25">
      <c r="A527" s="13">
        <v>46063</v>
      </c>
      <c r="B527" s="12">
        <f>MONTH(Movimientos_2026[[#This Row],[Fecha]])</f>
        <v>2</v>
      </c>
      <c r="C527" s="12" t="str">
        <f>VLOOKUP((WEEKDAY(Movimientos_2026[[#This Row],[Fecha]],2)),'5. Setup'!$D$6:$E$12,2,FALSE)</f>
        <v>Mar</v>
      </c>
      <c r="D527">
        <v>2054282</v>
      </c>
      <c r="E527" t="str">
        <f>IFERROR(+VLOOKUP(Movimientos_2026[[#This Row],[Codigo]],Plan_cuentas[],2,FALSE)," ")</f>
        <v>EGRESOS</v>
      </c>
      <c r="F527" t="str">
        <f>IFERROR(+VLOOKUP(Movimientos_2026[[#This Row],[Codigo]],Plan_cuentas[],3,FALSE)," ")</f>
        <v>VEP</v>
      </c>
      <c r="G527" t="str">
        <f>IFERROR(+VLOOKUP(Movimientos_2026[[#This Row],[Codigo]],Plan_cuentas[],4,FALSE)," ")</f>
        <v>Rentas</v>
      </c>
      <c r="H527" t="str">
        <f>IFERROR(+VLOOKUP(Movimientos_2026[[#This Row],[Codigo]],Plan_cuentas[],5,FALSE)," ")</f>
        <v>MENDOZA</v>
      </c>
      <c r="I527" s="43">
        <v>46023</v>
      </c>
      <c r="J527" t="s">
        <v>235</v>
      </c>
      <c r="K527" t="str">
        <f>IFERROR(+VLOOKUP(Movimientos_2026[[#This Row],[Codigo]],Plan_cuentas[],6,FALSE)," ")</f>
        <v>2 - PR - Plan Rombo</v>
      </c>
      <c r="L527" s="50"/>
      <c r="M527" s="50">
        <v>48265700</v>
      </c>
      <c r="N527" s="20">
        <f>+Movimientos_2026[[#This Row],[Ingresos]]-Movimientos_2026[[#This Row],[Egresos]]</f>
        <v>-48265700</v>
      </c>
      <c r="O527" s="20">
        <f>+O526+Movimientos_2026[[#This Row],[Neto]]</f>
        <v>5043307355.5110073</v>
      </c>
    </row>
    <row r="528" spans="1:15" x14ac:dyDescent="0.25">
      <c r="A528" s="13">
        <v>46063</v>
      </c>
      <c r="B528" s="12">
        <f>MONTH(Movimientos_2026[[#This Row],[Fecha]])</f>
        <v>2</v>
      </c>
      <c r="C528" s="12" t="str">
        <f>VLOOKUP((WEEKDAY(Movimientos_2026[[#This Row],[Fecha]],2)),'5. Setup'!$D$6:$E$12,2,FALSE)</f>
        <v>Mar</v>
      </c>
      <c r="D528">
        <v>2054284</v>
      </c>
      <c r="E528" t="str">
        <f>IFERROR(+VLOOKUP(Movimientos_2026[[#This Row],[Codigo]],Plan_cuentas[],2,FALSE)," ")</f>
        <v>EGRESOS</v>
      </c>
      <c r="F528" t="str">
        <f>IFERROR(+VLOOKUP(Movimientos_2026[[#This Row],[Codigo]],Plan_cuentas[],3,FALSE)," ")</f>
        <v>VEP</v>
      </c>
      <c r="G528" t="str">
        <f>IFERROR(+VLOOKUP(Movimientos_2026[[#This Row],[Codigo]],Plan_cuentas[],4,FALSE)," ")</f>
        <v>Rentas</v>
      </c>
      <c r="H528" t="str">
        <f>IFERROR(+VLOOKUP(Movimientos_2026[[#This Row],[Codigo]],Plan_cuentas[],5,FALSE)," ")</f>
        <v>MENDOZA</v>
      </c>
      <c r="I528" s="43">
        <v>46023</v>
      </c>
      <c r="J528" t="s">
        <v>236</v>
      </c>
      <c r="K528" t="str">
        <f>IFERROR(+VLOOKUP(Movimientos_2026[[#This Row],[Codigo]],Plan_cuentas[],6,FALSE)," ")</f>
        <v>4 - FCA - Fiat</v>
      </c>
      <c r="L528" s="50"/>
      <c r="M528" s="50">
        <v>156716138</v>
      </c>
      <c r="N528" s="20">
        <f>+Movimientos_2026[[#This Row],[Ingresos]]-Movimientos_2026[[#This Row],[Egresos]]</f>
        <v>-156716138</v>
      </c>
      <c r="O528" s="20">
        <f>+O527+Movimientos_2026[[#This Row],[Neto]]</f>
        <v>4886591217.5110073</v>
      </c>
    </row>
    <row r="529" spans="1:15" x14ac:dyDescent="0.25">
      <c r="A529" s="13">
        <v>46063</v>
      </c>
      <c r="B529" s="12">
        <f>MONTH(Movimientos_2026[[#This Row],[Fecha]])</f>
        <v>2</v>
      </c>
      <c r="C529" s="12" t="str">
        <f>VLOOKUP((WEEKDAY(Movimientos_2026[[#This Row],[Fecha]],2)),'5. Setup'!$D$6:$E$12,2,FALSE)</f>
        <v>Mar</v>
      </c>
      <c r="D529">
        <v>2054286</v>
      </c>
      <c r="E529" t="str">
        <f>IFERROR(+VLOOKUP(Movimientos_2026[[#This Row],[Codigo]],Plan_cuentas[],2,FALSE)," ")</f>
        <v>EGRESOS</v>
      </c>
      <c r="F529" t="str">
        <f>IFERROR(+VLOOKUP(Movimientos_2026[[#This Row],[Codigo]],Plan_cuentas[],3,FALSE)," ")</f>
        <v>VEP</v>
      </c>
      <c r="G529" t="str">
        <f>IFERROR(+VLOOKUP(Movimientos_2026[[#This Row],[Codigo]],Plan_cuentas[],4,FALSE)," ")</f>
        <v>Rentas</v>
      </c>
      <c r="H529" t="str">
        <f>IFERROR(+VLOOKUP(Movimientos_2026[[#This Row],[Codigo]],Plan_cuentas[],5,FALSE)," ")</f>
        <v>MENDOZA</v>
      </c>
      <c r="I529" s="43">
        <v>46023</v>
      </c>
      <c r="J529" t="s">
        <v>236</v>
      </c>
      <c r="K529" t="str">
        <f>IFERROR(+VLOOKUP(Movimientos_2026[[#This Row],[Codigo]],Plan_cuentas[],6,FALSE)," ")</f>
        <v>6 - FCAtr - Fiat Transf.</v>
      </c>
      <c r="L529" s="50"/>
      <c r="M529" s="50">
        <v>4219698.5299999956</v>
      </c>
      <c r="N529" s="20">
        <f>+Movimientos_2026[[#This Row],[Ingresos]]-Movimientos_2026[[#This Row],[Egresos]]</f>
        <v>-4219698.5299999956</v>
      </c>
      <c r="O529" s="20">
        <f>+O528+Movimientos_2026[[#This Row],[Neto]]</f>
        <v>4882371518.9810076</v>
      </c>
    </row>
    <row r="530" spans="1:15" x14ac:dyDescent="0.25">
      <c r="A530" s="13">
        <v>46063</v>
      </c>
      <c r="B530" s="12">
        <f>MONTH(Movimientos_2026[[#This Row],[Fecha]])</f>
        <v>2</v>
      </c>
      <c r="C530" s="12" t="str">
        <f>VLOOKUP((WEEKDAY(Movimientos_2026[[#This Row],[Fecha]],2)),'5. Setup'!$D$6:$E$12,2,FALSE)</f>
        <v>Mar</v>
      </c>
      <c r="D530">
        <v>2054285</v>
      </c>
      <c r="E530" t="str">
        <f>IFERROR(+VLOOKUP(Movimientos_2026[[#This Row],[Codigo]],Plan_cuentas[],2,FALSE)," ")</f>
        <v>EGRESOS</v>
      </c>
      <c r="F530" t="str">
        <f>IFERROR(+VLOOKUP(Movimientos_2026[[#This Row],[Codigo]],Plan_cuentas[],3,FALSE)," ")</f>
        <v>VEP</v>
      </c>
      <c r="G530" t="str">
        <f>IFERROR(+VLOOKUP(Movimientos_2026[[#This Row],[Codigo]],Plan_cuentas[],4,FALSE)," ")</f>
        <v>Rentas</v>
      </c>
      <c r="H530" t="str">
        <f>IFERROR(+VLOOKUP(Movimientos_2026[[#This Row],[Codigo]],Plan_cuentas[],5,FALSE)," ")</f>
        <v>MENDOZA</v>
      </c>
      <c r="I530" s="43">
        <v>46023</v>
      </c>
      <c r="J530" t="s">
        <v>237</v>
      </c>
      <c r="K530" t="str">
        <f>IFERROR(+VLOOKUP(Movimientos_2026[[#This Row],[Codigo]],Plan_cuentas[],6,FALSE)," ")</f>
        <v>5 - YAM - Yamaha</v>
      </c>
      <c r="L530" s="50"/>
      <c r="M530" s="50">
        <v>721600</v>
      </c>
      <c r="N530" s="20">
        <f>+Movimientos_2026[[#This Row],[Ingresos]]-Movimientos_2026[[#This Row],[Egresos]]</f>
        <v>-721600</v>
      </c>
      <c r="O530" s="20">
        <f>+O529+Movimientos_2026[[#This Row],[Neto]]</f>
        <v>4881649918.9810076</v>
      </c>
    </row>
    <row r="531" spans="1:15" x14ac:dyDescent="0.25">
      <c r="A531" s="13">
        <v>46063</v>
      </c>
      <c r="B531" s="12">
        <f>MONTH(Movimientos_2026[[#This Row],[Fecha]])</f>
        <v>2</v>
      </c>
      <c r="C531" s="12" t="str">
        <f>VLOOKUP((WEEKDAY(Movimientos_2026[[#This Row],[Fecha]],2)),'5. Setup'!$D$6:$E$12,2,FALSE)</f>
        <v>Mar</v>
      </c>
      <c r="D531">
        <v>2054197</v>
      </c>
      <c r="E531" t="str">
        <f>IFERROR(+VLOOKUP(Movimientos_2026[[#This Row],[Codigo]],Plan_cuentas[],2,FALSE)," ")</f>
        <v>EGRESOS</v>
      </c>
      <c r="F531" t="str">
        <f>IFERROR(+VLOOKUP(Movimientos_2026[[#This Row],[Codigo]],Plan_cuentas[],3,FALSE)," ")</f>
        <v>VEP</v>
      </c>
      <c r="G531" t="str">
        <f>IFERROR(+VLOOKUP(Movimientos_2026[[#This Row],[Codigo]],Plan_cuentas[],4,FALSE)," ")</f>
        <v>Rentas</v>
      </c>
      <c r="H531" t="str">
        <f>IFERROR(+VLOOKUP(Movimientos_2026[[#This Row],[Codigo]],Plan_cuentas[],5,FALSE)," ")</f>
        <v>CORDOBA 2° Q</v>
      </c>
      <c r="I531" s="43">
        <v>46023</v>
      </c>
      <c r="J531" t="s">
        <v>238</v>
      </c>
      <c r="K531" t="str">
        <f>IFERROR(+VLOOKUP(Movimientos_2026[[#This Row],[Codigo]],Plan_cuentas[],6,FALSE)," ")</f>
        <v>7 - PRtr - Plan Rombo Transf.</v>
      </c>
      <c r="L531" s="50"/>
      <c r="M531" s="50">
        <v>804000</v>
      </c>
      <c r="N531" s="20">
        <f>+Movimientos_2026[[#This Row],[Ingresos]]-Movimientos_2026[[#This Row],[Egresos]]</f>
        <v>-804000</v>
      </c>
      <c r="O531" s="20">
        <f>+O530+Movimientos_2026[[#This Row],[Neto]]</f>
        <v>4880845918.9810076</v>
      </c>
    </row>
    <row r="532" spans="1:15" x14ac:dyDescent="0.25">
      <c r="A532" s="13">
        <v>46064</v>
      </c>
      <c r="B532" s="12">
        <f>MONTH(Movimientos_2026[[#This Row],[Fecha]])</f>
        <v>2</v>
      </c>
      <c r="C532" s="12" t="str">
        <f>VLOOKUP((WEEKDAY(Movimientos_2026[[#This Row],[Fecha]],2)),'5. Setup'!$D$6:$E$12,2,FALSE)</f>
        <v>Mie</v>
      </c>
      <c r="D532">
        <v>1043151</v>
      </c>
      <c r="E532" t="str">
        <f>IFERROR(+VLOOKUP(Movimientos_2026[[#This Row],[Codigo]],Plan_cuentas[],2,FALSE)," ")</f>
        <v>INGRESOS</v>
      </c>
      <c r="F532" t="str">
        <f>IFERROR(+VLOOKUP(Movimientos_2026[[#This Row],[Codigo]],Plan_cuentas[],3,FALSE)," ")</f>
        <v>Transferencia</v>
      </c>
      <c r="G532" t="str">
        <f>IFERROR(+VLOOKUP(Movimientos_2026[[#This Row],[Codigo]],Plan_cuentas[],4,FALSE)," ")</f>
        <v>Registración</v>
      </c>
      <c r="H532" t="str">
        <f>IFERROR(+VLOOKUP(Movimientos_2026[[#This Row],[Codigo]],Plan_cuentas[],5,FALSE)," ")</f>
        <v>CABA</v>
      </c>
      <c r="I532" s="43">
        <v>46023</v>
      </c>
      <c r="J532" t="s">
        <v>239</v>
      </c>
      <c r="K532" t="str">
        <f>IFERROR(+VLOOKUP(Movimientos_2026[[#This Row],[Codigo]],Plan_cuentas[],6,FALSE)," ")</f>
        <v>1 - VW - Volkswagen</v>
      </c>
      <c r="L532" s="50">
        <v>44244555.840000004</v>
      </c>
      <c r="M532" s="50"/>
      <c r="N532" s="20">
        <f>+Movimientos_2026[[#This Row],[Ingresos]]-Movimientos_2026[[#This Row],[Egresos]]</f>
        <v>44244555.840000004</v>
      </c>
      <c r="O532" s="20">
        <f>+O531+Movimientos_2026[[#This Row],[Neto]]</f>
        <v>4925090474.8210077</v>
      </c>
    </row>
    <row r="533" spans="1:15" x14ac:dyDescent="0.25">
      <c r="A533" s="13">
        <v>46064</v>
      </c>
      <c r="B533" s="12">
        <f>MONTH(Movimientos_2026[[#This Row],[Fecha]])</f>
        <v>2</v>
      </c>
      <c r="C533" s="12" t="str">
        <f>VLOOKUP((WEEKDAY(Movimientos_2026[[#This Row],[Fecha]],2)),'5. Setup'!$D$6:$E$12,2,FALSE)</f>
        <v>Mie</v>
      </c>
      <c r="D533">
        <v>1043221</v>
      </c>
      <c r="E533" t="str">
        <f>IFERROR(+VLOOKUP(Movimientos_2026[[#This Row],[Codigo]],Plan_cuentas[],2,FALSE)," ")</f>
        <v>INGRESOS</v>
      </c>
      <c r="F533" t="str">
        <f>IFERROR(+VLOOKUP(Movimientos_2026[[#This Row],[Codigo]],Plan_cuentas[],3,FALSE)," ")</f>
        <v>Transferencia</v>
      </c>
      <c r="G533" t="str">
        <f>IFERROR(+VLOOKUP(Movimientos_2026[[#This Row],[Codigo]],Plan_cuentas[],4,FALSE)," ")</f>
        <v>Registración</v>
      </c>
      <c r="H533" t="str">
        <f>IFERROR(+VLOOKUP(Movimientos_2026[[#This Row],[Codigo]],Plan_cuentas[],5,FALSE)," ")</f>
        <v>ENTRE RIOS 1° Q</v>
      </c>
      <c r="I533" s="43">
        <v>46023</v>
      </c>
      <c r="J533" t="s">
        <v>239</v>
      </c>
      <c r="K533" t="str">
        <f>IFERROR(+VLOOKUP(Movimientos_2026[[#This Row],[Codigo]],Plan_cuentas[],6,FALSE)," ")</f>
        <v>1 - VW - Volkswagen</v>
      </c>
      <c r="L533" s="50">
        <v>6301177.2800000003</v>
      </c>
      <c r="M533" s="50"/>
      <c r="N533" s="20">
        <f>+Movimientos_2026[[#This Row],[Ingresos]]-Movimientos_2026[[#This Row],[Egresos]]</f>
        <v>6301177.2800000003</v>
      </c>
      <c r="O533" s="20">
        <f>+O532+Movimientos_2026[[#This Row],[Neto]]</f>
        <v>4931391652.1010075</v>
      </c>
    </row>
    <row r="534" spans="1:15" x14ac:dyDescent="0.25">
      <c r="A534" s="13">
        <v>46064</v>
      </c>
      <c r="B534" s="12">
        <f>MONTH(Movimientos_2026[[#This Row],[Fecha]])</f>
        <v>2</v>
      </c>
      <c r="C534" s="12" t="str">
        <f>VLOOKUP((WEEKDAY(Movimientos_2026[[#This Row],[Fecha]],2)),'5. Setup'!$D$6:$E$12,2,FALSE)</f>
        <v>Mie</v>
      </c>
      <c r="D534">
        <v>1043231</v>
      </c>
      <c r="E534" t="str">
        <f>IFERROR(+VLOOKUP(Movimientos_2026[[#This Row],[Codigo]],Plan_cuentas[],2,FALSE)," ")</f>
        <v>INGRESOS</v>
      </c>
      <c r="F534" t="str">
        <f>IFERROR(+VLOOKUP(Movimientos_2026[[#This Row],[Codigo]],Plan_cuentas[],3,FALSE)," ")</f>
        <v>Transferencia</v>
      </c>
      <c r="G534" t="str">
        <f>IFERROR(+VLOOKUP(Movimientos_2026[[#This Row],[Codigo]],Plan_cuentas[],4,FALSE)," ")</f>
        <v>Registración</v>
      </c>
      <c r="H534" t="str">
        <f>IFERROR(+VLOOKUP(Movimientos_2026[[#This Row],[Codigo]],Plan_cuentas[],5,FALSE)," ")</f>
        <v>ENTRE RIOS 2° Q</v>
      </c>
      <c r="I534" s="43">
        <v>46023</v>
      </c>
      <c r="J534" t="s">
        <v>239</v>
      </c>
      <c r="K534" t="str">
        <f>IFERROR(+VLOOKUP(Movimientos_2026[[#This Row],[Codigo]],Plan_cuentas[],6,FALSE)," ")</f>
        <v>1 - VW - Volkswagen</v>
      </c>
      <c r="L534" s="50">
        <v>4022377</v>
      </c>
      <c r="M534" s="50"/>
      <c r="N534" s="20">
        <f>+Movimientos_2026[[#This Row],[Ingresos]]-Movimientos_2026[[#This Row],[Egresos]]</f>
        <v>4022377</v>
      </c>
      <c r="O534" s="20">
        <f>+O533+Movimientos_2026[[#This Row],[Neto]]</f>
        <v>4935414029.1010075</v>
      </c>
    </row>
    <row r="535" spans="1:15" x14ac:dyDescent="0.25">
      <c r="A535" s="13">
        <v>46064</v>
      </c>
      <c r="B535" s="12">
        <f>MONTH(Movimientos_2026[[#This Row],[Fecha]])</f>
        <v>2</v>
      </c>
      <c r="C535" s="12" t="str">
        <f>VLOOKUP((WEEKDAY(Movimientos_2026[[#This Row],[Fecha]],2)),'5. Setup'!$D$6:$E$12,2,FALSE)</f>
        <v>Mie</v>
      </c>
      <c r="D535">
        <v>1043341</v>
      </c>
      <c r="E535" t="str">
        <f>IFERROR(+VLOOKUP(Movimientos_2026[[#This Row],[Codigo]],Plan_cuentas[],2,FALSE)," ")</f>
        <v>INGRESOS</v>
      </c>
      <c r="F535" t="str">
        <f>IFERROR(+VLOOKUP(Movimientos_2026[[#This Row],[Codigo]],Plan_cuentas[],3,FALSE)," ")</f>
        <v>Transferencia</v>
      </c>
      <c r="G535" t="str">
        <f>IFERROR(+VLOOKUP(Movimientos_2026[[#This Row],[Codigo]],Plan_cuentas[],4,FALSE)," ")</f>
        <v>Registración</v>
      </c>
      <c r="H535" t="str">
        <f>IFERROR(+VLOOKUP(Movimientos_2026[[#This Row],[Codigo]],Plan_cuentas[],5,FALSE)," ")</f>
        <v>RIO NEGRO</v>
      </c>
      <c r="I535" s="43">
        <v>46023</v>
      </c>
      <c r="J535" t="s">
        <v>239</v>
      </c>
      <c r="K535" t="str">
        <f>IFERROR(+VLOOKUP(Movimientos_2026[[#This Row],[Codigo]],Plan_cuentas[],6,FALSE)," ")</f>
        <v>1 - VW - Volkswagen</v>
      </c>
      <c r="L535" s="50">
        <v>13828470.68</v>
      </c>
      <c r="M535" s="52"/>
      <c r="N535" s="20">
        <f>+Movimientos_2026[[#This Row],[Ingresos]]-Movimientos_2026[[#This Row],[Egresos]]</f>
        <v>13828470.68</v>
      </c>
      <c r="O535" s="20">
        <f>+O534+Movimientos_2026[[#This Row],[Neto]]</f>
        <v>4949242499.7810078</v>
      </c>
    </row>
    <row r="536" spans="1:15" x14ac:dyDescent="0.25">
      <c r="A536" s="13">
        <v>46064</v>
      </c>
      <c r="B536" s="12">
        <f>MONTH(Movimientos_2026[[#This Row],[Fecha]])</f>
        <v>2</v>
      </c>
      <c r="C536" s="12" t="str">
        <f>VLOOKUP((WEEKDAY(Movimientos_2026[[#This Row],[Fecha]],2)),'5. Setup'!$D$6:$E$12,2,FALSE)</f>
        <v>Mie</v>
      </c>
      <c r="D536">
        <v>1044161</v>
      </c>
      <c r="E536" t="str">
        <f>IFERROR(+VLOOKUP(Movimientos_2026[[#This Row],[Codigo]],Plan_cuentas[],2,FALSE)," ")</f>
        <v>INGRESOS</v>
      </c>
      <c r="F536" t="str">
        <f>IFERROR(+VLOOKUP(Movimientos_2026[[#This Row],[Codigo]],Plan_cuentas[],3,FALSE)," ")</f>
        <v>Transferencia</v>
      </c>
      <c r="G536" t="str">
        <f>IFERROR(+VLOOKUP(Movimientos_2026[[#This Row],[Codigo]],Plan_cuentas[],4,FALSE)," ")</f>
        <v>Rentas</v>
      </c>
      <c r="H536" t="str">
        <f>IFERROR(+VLOOKUP(Movimientos_2026[[#This Row],[Codigo]],Plan_cuentas[],5,FALSE)," ")</f>
        <v>CHACO</v>
      </c>
      <c r="I536" s="43">
        <v>46023</v>
      </c>
      <c r="J536" t="s">
        <v>239</v>
      </c>
      <c r="K536" t="str">
        <f>IFERROR(+VLOOKUP(Movimientos_2026[[#This Row],[Codigo]],Plan_cuentas[],6,FALSE)," ")</f>
        <v>1 - VW - Volkswagen</v>
      </c>
      <c r="L536" s="50">
        <v>19980328.670000002</v>
      </c>
      <c r="M536" s="52"/>
      <c r="N536" s="20">
        <f>+Movimientos_2026[[#This Row],[Ingresos]]-Movimientos_2026[[#This Row],[Egresos]]</f>
        <v>19980328.670000002</v>
      </c>
      <c r="O536" s="20">
        <f>+O535+Movimientos_2026[[#This Row],[Neto]]</f>
        <v>4969222828.4510078</v>
      </c>
    </row>
    <row r="537" spans="1:15" x14ac:dyDescent="0.25">
      <c r="A537" s="13">
        <v>46064</v>
      </c>
      <c r="B537" s="12">
        <f>MONTH(Movimientos_2026[[#This Row],[Fecha]])</f>
        <v>2</v>
      </c>
      <c r="C537" s="12" t="str">
        <f>VLOOKUP((WEEKDAY(Movimientos_2026[[#This Row],[Fecha]],2)),'5. Setup'!$D$6:$E$12,2,FALSE)</f>
        <v>Mie</v>
      </c>
      <c r="D537">
        <v>1044171</v>
      </c>
      <c r="E537" t="str">
        <f>IFERROR(+VLOOKUP(Movimientos_2026[[#This Row],[Codigo]],Plan_cuentas[],2,FALSE)," ")</f>
        <v>INGRESOS</v>
      </c>
      <c r="F537" t="str">
        <f>IFERROR(+VLOOKUP(Movimientos_2026[[#This Row],[Codigo]],Plan_cuentas[],3,FALSE)," ")</f>
        <v>Transferencia</v>
      </c>
      <c r="G537" t="str">
        <f>IFERROR(+VLOOKUP(Movimientos_2026[[#This Row],[Codigo]],Plan_cuentas[],4,FALSE)," ")</f>
        <v>Rentas</v>
      </c>
      <c r="H537" t="str">
        <f>IFERROR(+VLOOKUP(Movimientos_2026[[#This Row],[Codigo]],Plan_cuentas[],5,FALSE)," ")</f>
        <v>CHUBUT</v>
      </c>
      <c r="I537" s="43">
        <v>46023</v>
      </c>
      <c r="J537" t="s">
        <v>239</v>
      </c>
      <c r="K537" t="str">
        <f>IFERROR(+VLOOKUP(Movimientos_2026[[#This Row],[Codigo]],Plan_cuentas[],6,FALSE)," ")</f>
        <v>1 - VW - Volkswagen</v>
      </c>
      <c r="L537" s="50">
        <v>8920433.0850000009</v>
      </c>
      <c r="M537" s="52"/>
      <c r="N537" s="20">
        <f>+Movimientos_2026[[#This Row],[Ingresos]]-Movimientos_2026[[#This Row],[Egresos]]</f>
        <v>8920433.0850000009</v>
      </c>
      <c r="O537" s="20">
        <f>+O536+Movimientos_2026[[#This Row],[Neto]]</f>
        <v>4978143261.5360079</v>
      </c>
    </row>
    <row r="538" spans="1:15" x14ac:dyDescent="0.25">
      <c r="A538" s="13">
        <v>46064</v>
      </c>
      <c r="B538" s="12">
        <f>MONTH(Movimientos_2026[[#This Row],[Fecha]])</f>
        <v>2</v>
      </c>
      <c r="C538" s="12" t="str">
        <f>VLOOKUP((WEEKDAY(Movimientos_2026[[#This Row],[Fecha]],2)),'5. Setup'!$D$6:$E$12,2,FALSE)</f>
        <v>Mie</v>
      </c>
      <c r="D538">
        <v>1044201</v>
      </c>
      <c r="E538" t="str">
        <f>IFERROR(+VLOOKUP(Movimientos_2026[[#This Row],[Codigo]],Plan_cuentas[],2,FALSE)," ")</f>
        <v>INGRESOS</v>
      </c>
      <c r="F538" t="str">
        <f>IFERROR(+VLOOKUP(Movimientos_2026[[#This Row],[Codigo]],Plan_cuentas[],3,FALSE)," ")</f>
        <v>Transferencia</v>
      </c>
      <c r="G538" t="str">
        <f>IFERROR(+VLOOKUP(Movimientos_2026[[#This Row],[Codigo]],Plan_cuentas[],4,FALSE)," ")</f>
        <v>Rentas</v>
      </c>
      <c r="H538" t="str">
        <f>IFERROR(+VLOOKUP(Movimientos_2026[[#This Row],[Codigo]],Plan_cuentas[],5,FALSE)," ")</f>
        <v>CORRIENTES 1° Q</v>
      </c>
      <c r="I538" s="43">
        <v>46023</v>
      </c>
      <c r="J538" t="s">
        <v>239</v>
      </c>
      <c r="K538" t="str">
        <f>IFERROR(+VLOOKUP(Movimientos_2026[[#This Row],[Codigo]],Plan_cuentas[],6,FALSE)," ")</f>
        <v>1 - VW - Volkswagen</v>
      </c>
      <c r="L538" s="50">
        <v>11573382.77</v>
      </c>
      <c r="M538" s="52"/>
      <c r="N538" s="20">
        <f>+Movimientos_2026[[#This Row],[Ingresos]]-Movimientos_2026[[#This Row],[Egresos]]</f>
        <v>11573382.77</v>
      </c>
      <c r="O538" s="20">
        <f>+O537+Movimientos_2026[[#This Row],[Neto]]</f>
        <v>4989716644.3060083</v>
      </c>
    </row>
    <row r="539" spans="1:15" x14ac:dyDescent="0.25">
      <c r="A539" s="13">
        <v>46064</v>
      </c>
      <c r="B539" s="12">
        <f>MONTH(Movimientos_2026[[#This Row],[Fecha]])</f>
        <v>2</v>
      </c>
      <c r="C539" s="12" t="str">
        <f>VLOOKUP((WEEKDAY(Movimientos_2026[[#This Row],[Fecha]],2)),'5. Setup'!$D$6:$E$12,2,FALSE)</f>
        <v>Mie</v>
      </c>
      <c r="D539">
        <v>1044211</v>
      </c>
      <c r="E539" t="str">
        <f>IFERROR(+VLOOKUP(Movimientos_2026[[#This Row],[Codigo]],Plan_cuentas[],2,FALSE)," ")</f>
        <v>INGRESOS</v>
      </c>
      <c r="F539" t="str">
        <f>IFERROR(+VLOOKUP(Movimientos_2026[[#This Row],[Codigo]],Plan_cuentas[],3,FALSE)," ")</f>
        <v>Transferencia</v>
      </c>
      <c r="G539" t="str">
        <f>IFERROR(+VLOOKUP(Movimientos_2026[[#This Row],[Codigo]],Plan_cuentas[],4,FALSE)," ")</f>
        <v>Rentas</v>
      </c>
      <c r="H539" t="str">
        <f>IFERROR(+VLOOKUP(Movimientos_2026[[#This Row],[Codigo]],Plan_cuentas[],5,FALSE)," ")</f>
        <v>CORRIENTES 2° Q</v>
      </c>
      <c r="I539" s="43">
        <v>46023</v>
      </c>
      <c r="J539" t="s">
        <v>239</v>
      </c>
      <c r="K539" t="str">
        <f>IFERROR(+VLOOKUP(Movimientos_2026[[#This Row],[Codigo]],Plan_cuentas[],6,FALSE)," ")</f>
        <v>1 - VW - Volkswagen</v>
      </c>
      <c r="L539" s="50">
        <v>1768132.5</v>
      </c>
      <c r="M539" s="52"/>
      <c r="N539" s="20">
        <f>+Movimientos_2026[[#This Row],[Ingresos]]-Movimientos_2026[[#This Row],[Egresos]]</f>
        <v>1768132.5</v>
      </c>
      <c r="O539" s="20">
        <f>+O538+Movimientos_2026[[#This Row],[Neto]]</f>
        <v>4991484776.8060083</v>
      </c>
    </row>
    <row r="540" spans="1:15" x14ac:dyDescent="0.25">
      <c r="A540" s="13">
        <v>46064</v>
      </c>
      <c r="B540" s="12">
        <f>MONTH(Movimientos_2026[[#This Row],[Fecha]])</f>
        <v>2</v>
      </c>
      <c r="C540" s="12" t="str">
        <f>VLOOKUP((WEEKDAY(Movimientos_2026[[#This Row],[Fecha]],2)),'5. Setup'!$D$6:$E$12,2,FALSE)</f>
        <v>Mie</v>
      </c>
      <c r="D540">
        <v>1044241</v>
      </c>
      <c r="E540" t="str">
        <f>IFERROR(+VLOOKUP(Movimientos_2026[[#This Row],[Codigo]],Plan_cuentas[],2,FALSE)," ")</f>
        <v>INGRESOS</v>
      </c>
      <c r="F540" t="str">
        <f>IFERROR(+VLOOKUP(Movimientos_2026[[#This Row],[Codigo]],Plan_cuentas[],3,FALSE)," ")</f>
        <v>Transferencia</v>
      </c>
      <c r="G540" t="str">
        <f>IFERROR(+VLOOKUP(Movimientos_2026[[#This Row],[Codigo]],Plan_cuentas[],4,FALSE)," ")</f>
        <v>Rentas</v>
      </c>
      <c r="H540" t="str">
        <f>IFERROR(+VLOOKUP(Movimientos_2026[[#This Row],[Codigo]],Plan_cuentas[],5,FALSE)," ")</f>
        <v>FORMOSA</v>
      </c>
      <c r="I540" s="43">
        <v>46023</v>
      </c>
      <c r="J540" t="s">
        <v>239</v>
      </c>
      <c r="K540" t="str">
        <f>IFERROR(+VLOOKUP(Movimientos_2026[[#This Row],[Codigo]],Plan_cuentas[],6,FALSE)," ")</f>
        <v>1 - VW - Volkswagen</v>
      </c>
      <c r="L540" s="50">
        <v>3795684.2050000001</v>
      </c>
      <c r="M540" s="52"/>
      <c r="N540" s="20">
        <f>+Movimientos_2026[[#This Row],[Ingresos]]-Movimientos_2026[[#This Row],[Egresos]]</f>
        <v>3795684.2050000001</v>
      </c>
      <c r="O540" s="20">
        <f>+O539+Movimientos_2026[[#This Row],[Neto]]</f>
        <v>4995280461.0110083</v>
      </c>
    </row>
    <row r="541" spans="1:15" x14ac:dyDescent="0.25">
      <c r="A541" s="13">
        <v>46064</v>
      </c>
      <c r="B541" s="12">
        <f>MONTH(Movimientos_2026[[#This Row],[Fecha]])</f>
        <v>2</v>
      </c>
      <c r="C541" s="12" t="str">
        <f>VLOOKUP((WEEKDAY(Movimientos_2026[[#This Row],[Fecha]],2)),'5. Setup'!$D$6:$E$12,2,FALSE)</f>
        <v>Mie</v>
      </c>
      <c r="D541">
        <v>1044261</v>
      </c>
      <c r="E541" t="str">
        <f>IFERROR(+VLOOKUP(Movimientos_2026[[#This Row],[Codigo]],Plan_cuentas[],2,FALSE)," ")</f>
        <v>INGRESOS</v>
      </c>
      <c r="F541" t="str">
        <f>IFERROR(+VLOOKUP(Movimientos_2026[[#This Row],[Codigo]],Plan_cuentas[],3,FALSE)," ")</f>
        <v>Transferencia</v>
      </c>
      <c r="G541" t="str">
        <f>IFERROR(+VLOOKUP(Movimientos_2026[[#This Row],[Codigo]],Plan_cuentas[],4,FALSE)," ")</f>
        <v>Rentas</v>
      </c>
      <c r="H541" t="str">
        <f>IFERROR(+VLOOKUP(Movimientos_2026[[#This Row],[Codigo]],Plan_cuentas[],5,FALSE)," ")</f>
        <v>LA PAMPA</v>
      </c>
      <c r="I541" s="43">
        <v>46023</v>
      </c>
      <c r="J541" t="s">
        <v>239</v>
      </c>
      <c r="K541" t="str">
        <f>IFERROR(+VLOOKUP(Movimientos_2026[[#This Row],[Codigo]],Plan_cuentas[],6,FALSE)," ")</f>
        <v>1 - VW - Volkswagen</v>
      </c>
      <c r="L541" s="50">
        <v>2085231.07</v>
      </c>
      <c r="M541" s="52"/>
      <c r="N541" s="20">
        <f>+Movimientos_2026[[#This Row],[Ingresos]]-Movimientos_2026[[#This Row],[Egresos]]</f>
        <v>2085231.07</v>
      </c>
      <c r="O541" s="20">
        <f>+O540+Movimientos_2026[[#This Row],[Neto]]</f>
        <v>4997365692.081008</v>
      </c>
    </row>
    <row r="542" spans="1:15" x14ac:dyDescent="0.25">
      <c r="A542" s="13">
        <v>46064</v>
      </c>
      <c r="B542" s="12">
        <f>MONTH(Movimientos_2026[[#This Row],[Fecha]])</f>
        <v>2</v>
      </c>
      <c r="C542" s="12" t="str">
        <f>VLOOKUP((WEEKDAY(Movimientos_2026[[#This Row],[Fecha]],2)),'5. Setup'!$D$6:$E$12,2,FALSE)</f>
        <v>Mie</v>
      </c>
      <c r="D542">
        <v>1044271</v>
      </c>
      <c r="E542" t="str">
        <f>IFERROR(+VLOOKUP(Movimientos_2026[[#This Row],[Codigo]],Plan_cuentas[],2,FALSE)," ")</f>
        <v>INGRESOS</v>
      </c>
      <c r="F542" t="str">
        <f>IFERROR(+VLOOKUP(Movimientos_2026[[#This Row],[Codigo]],Plan_cuentas[],3,FALSE)," ")</f>
        <v>Transferencia</v>
      </c>
      <c r="G542" t="str">
        <f>IFERROR(+VLOOKUP(Movimientos_2026[[#This Row],[Codigo]],Plan_cuentas[],4,FALSE)," ")</f>
        <v>Rentas</v>
      </c>
      <c r="H542" t="str">
        <f>IFERROR(+VLOOKUP(Movimientos_2026[[#This Row],[Codigo]],Plan_cuentas[],5,FALSE)," ")</f>
        <v>LA RIOJA</v>
      </c>
      <c r="I542" s="43">
        <v>46023</v>
      </c>
      <c r="J542" t="s">
        <v>239</v>
      </c>
      <c r="K542" t="str">
        <f>IFERROR(+VLOOKUP(Movimientos_2026[[#This Row],[Codigo]],Plan_cuentas[],6,FALSE)," ")</f>
        <v>1 - VW - Volkswagen</v>
      </c>
      <c r="L542" s="50">
        <v>3639135</v>
      </c>
      <c r="M542" s="52"/>
      <c r="N542" s="20">
        <f>+Movimientos_2026[[#This Row],[Ingresos]]-Movimientos_2026[[#This Row],[Egresos]]</f>
        <v>3639135</v>
      </c>
      <c r="O542" s="20">
        <f>+O541+Movimientos_2026[[#This Row],[Neto]]</f>
        <v>5001004827.081008</v>
      </c>
    </row>
    <row r="543" spans="1:15" x14ac:dyDescent="0.25">
      <c r="A543" s="13">
        <v>46064</v>
      </c>
      <c r="B543" s="12">
        <f>MONTH(Movimientos_2026[[#This Row],[Fecha]])</f>
        <v>2</v>
      </c>
      <c r="C543" s="12" t="str">
        <f>VLOOKUP((WEEKDAY(Movimientos_2026[[#This Row],[Fecha]],2)),'5. Setup'!$D$6:$E$12,2,FALSE)</f>
        <v>Mie</v>
      </c>
      <c r="D543">
        <v>1044281</v>
      </c>
      <c r="E543" t="str">
        <f>IFERROR(+VLOOKUP(Movimientos_2026[[#This Row],[Codigo]],Plan_cuentas[],2,FALSE)," ")</f>
        <v>INGRESOS</v>
      </c>
      <c r="F543" t="str">
        <f>IFERROR(+VLOOKUP(Movimientos_2026[[#This Row],[Codigo]],Plan_cuentas[],3,FALSE)," ")</f>
        <v>Transferencia</v>
      </c>
      <c r="G543" t="str">
        <f>IFERROR(+VLOOKUP(Movimientos_2026[[#This Row],[Codigo]],Plan_cuentas[],4,FALSE)," ")</f>
        <v>Rentas</v>
      </c>
      <c r="H543" t="str">
        <f>IFERROR(+VLOOKUP(Movimientos_2026[[#This Row],[Codigo]],Plan_cuentas[],5,FALSE)," ")</f>
        <v>MENDOZA</v>
      </c>
      <c r="I543" s="43">
        <v>46023</v>
      </c>
      <c r="J543" t="s">
        <v>239</v>
      </c>
      <c r="K543" t="str">
        <f>IFERROR(+VLOOKUP(Movimientos_2026[[#This Row],[Codigo]],Plan_cuentas[],6,FALSE)," ")</f>
        <v>1 - VW - Volkswagen</v>
      </c>
      <c r="L543" s="50">
        <v>26509748.024999999</v>
      </c>
      <c r="M543" s="52"/>
      <c r="N543" s="20">
        <f>+Movimientos_2026[[#This Row],[Ingresos]]-Movimientos_2026[[#This Row],[Egresos]]</f>
        <v>26509748.024999999</v>
      </c>
      <c r="O543" s="20">
        <f>+O542+Movimientos_2026[[#This Row],[Neto]]</f>
        <v>5027514575.1060076</v>
      </c>
    </row>
    <row r="544" spans="1:15" x14ac:dyDescent="0.25">
      <c r="A544" s="13">
        <v>46064</v>
      </c>
      <c r="B544" s="12">
        <f>MONTH(Movimientos_2026[[#This Row],[Fecha]])</f>
        <v>2</v>
      </c>
      <c r="C544" s="12" t="str">
        <f>VLOOKUP((WEEKDAY(Movimientos_2026[[#This Row],[Fecha]],2)),'5. Setup'!$D$6:$E$12,2,FALSE)</f>
        <v>Mie</v>
      </c>
      <c r="D544">
        <v>1044461</v>
      </c>
      <c r="E544" t="str">
        <f>IFERROR(+VLOOKUP(Movimientos_2026[[#This Row],[Codigo]],Plan_cuentas[],2,FALSE)," ")</f>
        <v>INGRESOS</v>
      </c>
      <c r="F544" t="str">
        <f>IFERROR(+VLOOKUP(Movimientos_2026[[#This Row],[Codigo]],Plan_cuentas[],3,FALSE)," ")</f>
        <v>Transferencia</v>
      </c>
      <c r="G544" t="str">
        <f>IFERROR(+VLOOKUP(Movimientos_2026[[#This Row],[Codigo]],Plan_cuentas[],4,FALSE)," ")</f>
        <v>Rentas</v>
      </c>
      <c r="H544" t="str">
        <f>IFERROR(+VLOOKUP(Movimientos_2026[[#This Row],[Codigo]],Plan_cuentas[],5,FALSE)," ")</f>
        <v>MISIONES</v>
      </c>
      <c r="I544" s="43">
        <v>46023</v>
      </c>
      <c r="J544" t="s">
        <v>239</v>
      </c>
      <c r="K544" t="str">
        <f>IFERROR(+VLOOKUP(Movimientos_2026[[#This Row],[Codigo]],Plan_cuentas[],6,FALSE)," ")</f>
        <v>1 - VW - Volkswagen</v>
      </c>
      <c r="L544" s="50">
        <v>1461728.5022562521</v>
      </c>
      <c r="M544" s="52"/>
      <c r="N544" s="20">
        <f>+Movimientos_2026[[#This Row],[Ingresos]]-Movimientos_2026[[#This Row],[Egresos]]</f>
        <v>1461728.5022562521</v>
      </c>
      <c r="O544" s="20">
        <f>+O543+Movimientos_2026[[#This Row],[Neto]]</f>
        <v>5028976303.608264</v>
      </c>
    </row>
    <row r="545" spans="1:15" x14ac:dyDescent="0.25">
      <c r="A545" s="13">
        <v>46064</v>
      </c>
      <c r="B545" s="12">
        <f>MONTH(Movimientos_2026[[#This Row],[Fecha]])</f>
        <v>2</v>
      </c>
      <c r="C545" s="12" t="str">
        <f>VLOOKUP((WEEKDAY(Movimientos_2026[[#This Row],[Fecha]],2)),'5. Setup'!$D$6:$E$12,2,FALSE)</f>
        <v>Mie</v>
      </c>
      <c r="D545">
        <v>1044311</v>
      </c>
      <c r="E545" t="str">
        <f>IFERROR(+VLOOKUP(Movimientos_2026[[#This Row],[Codigo]],Plan_cuentas[],2,FALSE)," ")</f>
        <v>INGRESOS</v>
      </c>
      <c r="F545" t="str">
        <f>IFERROR(+VLOOKUP(Movimientos_2026[[#This Row],[Codigo]],Plan_cuentas[],3,FALSE)," ")</f>
        <v>Transferencia</v>
      </c>
      <c r="G545" t="str">
        <f>IFERROR(+VLOOKUP(Movimientos_2026[[#This Row],[Codigo]],Plan_cuentas[],4,FALSE)," ")</f>
        <v>Rentas</v>
      </c>
      <c r="H545" t="str">
        <f>IFERROR(+VLOOKUP(Movimientos_2026[[#This Row],[Codigo]],Plan_cuentas[],5,FALSE)," ")</f>
        <v>NEUQUEN 1° Q</v>
      </c>
      <c r="I545" s="43">
        <v>46023</v>
      </c>
      <c r="J545" t="s">
        <v>239</v>
      </c>
      <c r="K545" t="str">
        <f>IFERROR(+VLOOKUP(Movimientos_2026[[#This Row],[Codigo]],Plan_cuentas[],6,FALSE)," ")</f>
        <v>1 - VW - Volkswagen</v>
      </c>
      <c r="L545" s="50">
        <v>29986834.140000001</v>
      </c>
      <c r="M545" s="52"/>
      <c r="N545" s="20">
        <f>+Movimientos_2026[[#This Row],[Ingresos]]-Movimientos_2026[[#This Row],[Egresos]]</f>
        <v>29986834.140000001</v>
      </c>
      <c r="O545" s="20">
        <f>+O544+Movimientos_2026[[#This Row],[Neto]]</f>
        <v>5058963137.7482643</v>
      </c>
    </row>
    <row r="546" spans="1:15" x14ac:dyDescent="0.25">
      <c r="A546" s="13">
        <v>46064</v>
      </c>
      <c r="B546" s="12">
        <f>MONTH(Movimientos_2026[[#This Row],[Fecha]])</f>
        <v>2</v>
      </c>
      <c r="C546" s="12" t="str">
        <f>VLOOKUP((WEEKDAY(Movimientos_2026[[#This Row],[Fecha]],2)),'5. Setup'!$D$6:$E$12,2,FALSE)</f>
        <v>Mie</v>
      </c>
      <c r="D546">
        <v>1044321</v>
      </c>
      <c r="E546" t="str">
        <f>IFERROR(+VLOOKUP(Movimientos_2026[[#This Row],[Codigo]],Plan_cuentas[],2,FALSE)," ")</f>
        <v>INGRESOS</v>
      </c>
      <c r="F546" t="str">
        <f>IFERROR(+VLOOKUP(Movimientos_2026[[#This Row],[Codigo]],Plan_cuentas[],3,FALSE)," ")</f>
        <v>Transferencia</v>
      </c>
      <c r="G546" t="str">
        <f>IFERROR(+VLOOKUP(Movimientos_2026[[#This Row],[Codigo]],Plan_cuentas[],4,FALSE)," ")</f>
        <v>Rentas</v>
      </c>
      <c r="H546" t="str">
        <f>IFERROR(+VLOOKUP(Movimientos_2026[[#This Row],[Codigo]],Plan_cuentas[],5,FALSE)," ")</f>
        <v>NEUQUEN 2° Q</v>
      </c>
      <c r="I546" s="43">
        <v>46023</v>
      </c>
      <c r="J546" t="s">
        <v>239</v>
      </c>
      <c r="K546" t="str">
        <f>IFERROR(+VLOOKUP(Movimientos_2026[[#This Row],[Codigo]],Plan_cuentas[],6,FALSE)," ")</f>
        <v>1 - VW - Volkswagen</v>
      </c>
      <c r="L546" s="50">
        <v>13704438</v>
      </c>
      <c r="M546" s="52"/>
      <c r="N546" s="20">
        <f>+Movimientos_2026[[#This Row],[Ingresos]]-Movimientos_2026[[#This Row],[Egresos]]</f>
        <v>13704438</v>
      </c>
      <c r="O546" s="20">
        <f>+O545+Movimientos_2026[[#This Row],[Neto]]</f>
        <v>5072667575.7482643</v>
      </c>
    </row>
    <row r="547" spans="1:15" x14ac:dyDescent="0.25">
      <c r="A547" s="13">
        <v>46064</v>
      </c>
      <c r="B547" s="12">
        <f>MONTH(Movimientos_2026[[#This Row],[Fecha]])</f>
        <v>2</v>
      </c>
      <c r="C547" s="12" t="str">
        <f>VLOOKUP((WEEKDAY(Movimientos_2026[[#This Row],[Fecha]],2)),'5. Setup'!$D$6:$E$12,2,FALSE)</f>
        <v>Mie</v>
      </c>
      <c r="D547">
        <v>1044351</v>
      </c>
      <c r="E547" t="str">
        <f>IFERROR(+VLOOKUP(Movimientos_2026[[#This Row],[Codigo]],Plan_cuentas[],2,FALSE)," ")</f>
        <v>INGRESOS</v>
      </c>
      <c r="F547" t="str">
        <f>IFERROR(+VLOOKUP(Movimientos_2026[[#This Row],[Codigo]],Plan_cuentas[],3,FALSE)," ")</f>
        <v>Transferencia</v>
      </c>
      <c r="G547" t="str">
        <f>IFERROR(+VLOOKUP(Movimientos_2026[[#This Row],[Codigo]],Plan_cuentas[],4,FALSE)," ")</f>
        <v>Rentas</v>
      </c>
      <c r="H547" t="str">
        <f>IFERROR(+VLOOKUP(Movimientos_2026[[#This Row],[Codigo]],Plan_cuentas[],5,FALSE)," ")</f>
        <v>SAN JUAN</v>
      </c>
      <c r="I547" s="43">
        <v>46023</v>
      </c>
      <c r="J547" t="s">
        <v>239</v>
      </c>
      <c r="K547" t="str">
        <f>IFERROR(+VLOOKUP(Movimientos_2026[[#This Row],[Codigo]],Plan_cuentas[],6,FALSE)," ")</f>
        <v>1 - VW - Volkswagen</v>
      </c>
      <c r="L547" s="50">
        <v>5205048.2063999996</v>
      </c>
      <c r="M547" s="52"/>
      <c r="N547" s="20">
        <f>+Movimientos_2026[[#This Row],[Ingresos]]-Movimientos_2026[[#This Row],[Egresos]]</f>
        <v>5205048.2063999996</v>
      </c>
      <c r="O547" s="20">
        <f>+O546+Movimientos_2026[[#This Row],[Neto]]</f>
        <v>5077872623.9546642</v>
      </c>
    </row>
    <row r="548" spans="1:15" x14ac:dyDescent="0.25">
      <c r="A548" s="13">
        <v>46064</v>
      </c>
      <c r="B548" s="12">
        <f>MONTH(Movimientos_2026[[#This Row],[Fecha]])</f>
        <v>2</v>
      </c>
      <c r="C548" s="12" t="str">
        <f>VLOOKUP((WEEKDAY(Movimientos_2026[[#This Row],[Fecha]],2)),'5. Setup'!$D$6:$E$12,2,FALSE)</f>
        <v>Mie</v>
      </c>
      <c r="D548">
        <v>1044361</v>
      </c>
      <c r="E548" t="str">
        <f>IFERROR(+VLOOKUP(Movimientos_2026[[#This Row],[Codigo]],Plan_cuentas[],2,FALSE)," ")</f>
        <v>INGRESOS</v>
      </c>
      <c r="F548" t="str">
        <f>IFERROR(+VLOOKUP(Movimientos_2026[[#This Row],[Codigo]],Plan_cuentas[],3,FALSE)," ")</f>
        <v>Transferencia</v>
      </c>
      <c r="G548" t="str">
        <f>IFERROR(+VLOOKUP(Movimientos_2026[[#This Row],[Codigo]],Plan_cuentas[],4,FALSE)," ")</f>
        <v>Rentas</v>
      </c>
      <c r="H548" t="str">
        <f>IFERROR(+VLOOKUP(Movimientos_2026[[#This Row],[Codigo]],Plan_cuentas[],5,FALSE)," ")</f>
        <v>SAN LUIS</v>
      </c>
      <c r="I548" s="43">
        <v>46023</v>
      </c>
      <c r="J548" t="s">
        <v>239</v>
      </c>
      <c r="K548" t="str">
        <f>IFERROR(+VLOOKUP(Movimientos_2026[[#This Row],[Codigo]],Plan_cuentas[],6,FALSE)," ")</f>
        <v>1 - VW - Volkswagen</v>
      </c>
      <c r="L548" s="50">
        <v>2493852.7680000002</v>
      </c>
      <c r="M548" s="52"/>
      <c r="N548" s="20">
        <f>+Movimientos_2026[[#This Row],[Ingresos]]-Movimientos_2026[[#This Row],[Egresos]]</f>
        <v>2493852.7680000002</v>
      </c>
      <c r="O548" s="20">
        <f>+O547+Movimientos_2026[[#This Row],[Neto]]</f>
        <v>5080366476.7226639</v>
      </c>
    </row>
    <row r="549" spans="1:15" x14ac:dyDescent="0.25">
      <c r="A549" s="13">
        <v>46064</v>
      </c>
      <c r="B549" s="12">
        <f>MONTH(Movimientos_2026[[#This Row],[Fecha]])</f>
        <v>2</v>
      </c>
      <c r="C549" s="12" t="str">
        <f>VLOOKUP((WEEKDAY(Movimientos_2026[[#This Row],[Fecha]],2)),'5. Setup'!$D$6:$E$12,2,FALSE)</f>
        <v>Mie</v>
      </c>
      <c r="D549">
        <v>1044371</v>
      </c>
      <c r="E549" t="str">
        <f>IFERROR(+VLOOKUP(Movimientos_2026[[#This Row],[Codigo]],Plan_cuentas[],2,FALSE)," ")</f>
        <v>INGRESOS</v>
      </c>
      <c r="F549" t="str">
        <f>IFERROR(+VLOOKUP(Movimientos_2026[[#This Row],[Codigo]],Plan_cuentas[],3,FALSE)," ")</f>
        <v>Transferencia</v>
      </c>
      <c r="G549" t="str">
        <f>IFERROR(+VLOOKUP(Movimientos_2026[[#This Row],[Codigo]],Plan_cuentas[],4,FALSE)," ")</f>
        <v>Rentas</v>
      </c>
      <c r="H549" t="str">
        <f>IFERROR(+VLOOKUP(Movimientos_2026[[#This Row],[Codigo]],Plan_cuentas[],5,FALSE)," ")</f>
        <v>SANTA CRUZ</v>
      </c>
      <c r="I549" s="43">
        <v>46023</v>
      </c>
      <c r="J549" t="s">
        <v>239</v>
      </c>
      <c r="K549" t="str">
        <f>IFERROR(+VLOOKUP(Movimientos_2026[[#This Row],[Codigo]],Plan_cuentas[],6,FALSE)," ")</f>
        <v>1 - VW - Volkswagen</v>
      </c>
      <c r="L549" s="50">
        <v>15921690.582</v>
      </c>
      <c r="M549" s="52"/>
      <c r="N549" s="20">
        <f>+Movimientos_2026[[#This Row],[Ingresos]]-Movimientos_2026[[#This Row],[Egresos]]</f>
        <v>15921690.582</v>
      </c>
      <c r="O549" s="20">
        <f>+O548+Movimientos_2026[[#This Row],[Neto]]</f>
        <v>5096288167.3046637</v>
      </c>
    </row>
    <row r="550" spans="1:15" x14ac:dyDescent="0.25">
      <c r="A550" s="13">
        <v>46064</v>
      </c>
      <c r="B550" s="12">
        <f>MONTH(Movimientos_2026[[#This Row],[Fecha]])</f>
        <v>2</v>
      </c>
      <c r="C550" s="12" t="str">
        <f>VLOOKUP((WEEKDAY(Movimientos_2026[[#This Row],[Fecha]],2)),'5. Setup'!$D$6:$E$12,2,FALSE)</f>
        <v>Mie</v>
      </c>
      <c r="D550">
        <v>1044381</v>
      </c>
      <c r="E550" t="str">
        <f>IFERROR(+VLOOKUP(Movimientos_2026[[#This Row],[Codigo]],Plan_cuentas[],2,FALSE)," ")</f>
        <v>INGRESOS</v>
      </c>
      <c r="F550" t="str">
        <f>IFERROR(+VLOOKUP(Movimientos_2026[[#This Row],[Codigo]],Plan_cuentas[],3,FALSE)," ")</f>
        <v>Transferencia</v>
      </c>
      <c r="G550" t="str">
        <f>IFERROR(+VLOOKUP(Movimientos_2026[[#This Row],[Codigo]],Plan_cuentas[],4,FALSE)," ")</f>
        <v>Rentas</v>
      </c>
      <c r="H550" t="str">
        <f>IFERROR(+VLOOKUP(Movimientos_2026[[#This Row],[Codigo]],Plan_cuentas[],5,FALSE)," ")</f>
        <v>SANTA FE 1° Q</v>
      </c>
      <c r="I550" s="43">
        <v>46023</v>
      </c>
      <c r="J550" t="s">
        <v>239</v>
      </c>
      <c r="K550" t="str">
        <f>IFERROR(+VLOOKUP(Movimientos_2026[[#This Row],[Codigo]],Plan_cuentas[],6,FALSE)," ")</f>
        <v>1 - VW - Volkswagen</v>
      </c>
      <c r="L550" s="50">
        <v>11064851.525</v>
      </c>
      <c r="M550" s="52"/>
      <c r="N550" s="20">
        <f>+Movimientos_2026[[#This Row],[Ingresos]]-Movimientos_2026[[#This Row],[Egresos]]</f>
        <v>11064851.525</v>
      </c>
      <c r="O550" s="20">
        <f>+O549+Movimientos_2026[[#This Row],[Neto]]</f>
        <v>5107353018.8296633</v>
      </c>
    </row>
    <row r="551" spans="1:15" x14ac:dyDescent="0.25">
      <c r="A551" s="13">
        <v>46064</v>
      </c>
      <c r="B551" s="12">
        <f>MONTH(Movimientos_2026[[#This Row],[Fecha]])</f>
        <v>2</v>
      </c>
      <c r="C551" s="12" t="str">
        <f>VLOOKUP((WEEKDAY(Movimientos_2026[[#This Row],[Fecha]],2)),'5. Setup'!$D$6:$E$12,2,FALSE)</f>
        <v>Mie</v>
      </c>
      <c r="D551">
        <v>1044391</v>
      </c>
      <c r="E551" t="str">
        <f>IFERROR(+VLOOKUP(Movimientos_2026[[#This Row],[Codigo]],Plan_cuentas[],2,FALSE)," ")</f>
        <v>INGRESOS</v>
      </c>
      <c r="F551" t="str">
        <f>IFERROR(+VLOOKUP(Movimientos_2026[[#This Row],[Codigo]],Plan_cuentas[],3,FALSE)," ")</f>
        <v>Transferencia</v>
      </c>
      <c r="G551" t="str">
        <f>IFERROR(+VLOOKUP(Movimientos_2026[[#This Row],[Codigo]],Plan_cuentas[],4,FALSE)," ")</f>
        <v>Rentas</v>
      </c>
      <c r="H551" t="str">
        <f>IFERROR(+VLOOKUP(Movimientos_2026[[#This Row],[Codigo]],Plan_cuentas[],5,FALSE)," ")</f>
        <v>SANTA FE 2° Q</v>
      </c>
      <c r="I551" s="43">
        <v>46023</v>
      </c>
      <c r="J551" t="s">
        <v>239</v>
      </c>
      <c r="K551" t="str">
        <f>IFERROR(+VLOOKUP(Movimientos_2026[[#This Row],[Codigo]],Plan_cuentas[],6,FALSE)," ")</f>
        <v>1 - VW - Volkswagen</v>
      </c>
      <c r="L551" s="50">
        <v>5568865.75</v>
      </c>
      <c r="M551" s="50"/>
      <c r="N551" s="20">
        <f>+Movimientos_2026[[#This Row],[Ingresos]]-Movimientos_2026[[#This Row],[Egresos]]</f>
        <v>5568865.75</v>
      </c>
      <c r="O551" s="20">
        <f>+O550+Movimientos_2026[[#This Row],[Neto]]</f>
        <v>5112921884.5796633</v>
      </c>
    </row>
    <row r="552" spans="1:15" x14ac:dyDescent="0.25">
      <c r="A552" s="13">
        <v>46064</v>
      </c>
      <c r="B552" s="12">
        <f>MONTH(Movimientos_2026[[#This Row],[Fecha]])</f>
        <v>2</v>
      </c>
      <c r="C552" s="12" t="str">
        <f>VLOOKUP((WEEKDAY(Movimientos_2026[[#This Row],[Fecha]],2)),'5. Setup'!$D$6:$E$12,2,FALSE)</f>
        <v>Mie</v>
      </c>
      <c r="D552">
        <v>1044401</v>
      </c>
      <c r="E552" t="str">
        <f>IFERROR(+VLOOKUP(Movimientos_2026[[#This Row],[Codigo]],Plan_cuentas[],2,FALSE)," ")</f>
        <v>INGRESOS</v>
      </c>
      <c r="F552" t="str">
        <f>IFERROR(+VLOOKUP(Movimientos_2026[[#This Row],[Codigo]],Plan_cuentas[],3,FALSE)," ")</f>
        <v>Transferencia</v>
      </c>
      <c r="G552" t="str">
        <f>IFERROR(+VLOOKUP(Movimientos_2026[[#This Row],[Codigo]],Plan_cuentas[],4,FALSE)," ")</f>
        <v>Rentas</v>
      </c>
      <c r="H552" t="str">
        <f>IFERROR(+VLOOKUP(Movimientos_2026[[#This Row],[Codigo]],Plan_cuentas[],5,FALSE)," ")</f>
        <v>SANTIAGO DEL ESTERO</v>
      </c>
      <c r="I552" s="43">
        <v>46023</v>
      </c>
      <c r="J552" t="s">
        <v>239</v>
      </c>
      <c r="K552" t="str">
        <f>IFERROR(+VLOOKUP(Movimientos_2026[[#This Row],[Codigo]],Plan_cuentas[],6,FALSE)," ")</f>
        <v>1 - VW - Volkswagen</v>
      </c>
      <c r="L552" s="50">
        <v>13021738.42</v>
      </c>
      <c r="M552" s="50"/>
      <c r="N552" s="20">
        <f>+Movimientos_2026[[#This Row],[Ingresos]]-Movimientos_2026[[#This Row],[Egresos]]</f>
        <v>13021738.42</v>
      </c>
      <c r="O552" s="20">
        <f>+O551+Movimientos_2026[[#This Row],[Neto]]</f>
        <v>5125943622.9996634</v>
      </c>
    </row>
    <row r="553" spans="1:15" x14ac:dyDescent="0.25">
      <c r="A553" s="13">
        <v>46064</v>
      </c>
      <c r="B553" s="12">
        <f>MONTH(Movimientos_2026[[#This Row],[Fecha]])</f>
        <v>2</v>
      </c>
      <c r="C553" s="12" t="str">
        <f>VLOOKUP((WEEKDAY(Movimientos_2026[[#This Row],[Fecha]],2)),'5. Setup'!$D$6:$E$12,2,FALSE)</f>
        <v>Mie</v>
      </c>
      <c r="D553">
        <v>1044411</v>
      </c>
      <c r="E553" t="str">
        <f>IFERROR(+VLOOKUP(Movimientos_2026[[#This Row],[Codigo]],Plan_cuentas[],2,FALSE)," ")</f>
        <v>INGRESOS</v>
      </c>
      <c r="F553" t="str">
        <f>IFERROR(+VLOOKUP(Movimientos_2026[[#This Row],[Codigo]],Plan_cuentas[],3,FALSE)," ")</f>
        <v>Transferencia</v>
      </c>
      <c r="G553" t="str">
        <f>IFERROR(+VLOOKUP(Movimientos_2026[[#This Row],[Codigo]],Plan_cuentas[],4,FALSE)," ")</f>
        <v>Rentas</v>
      </c>
      <c r="H553" t="str">
        <f>IFERROR(+VLOOKUP(Movimientos_2026[[#This Row],[Codigo]],Plan_cuentas[],5,FALSE)," ")</f>
        <v>TIERRA DEL FUEGO</v>
      </c>
      <c r="I553" s="43">
        <v>46023</v>
      </c>
      <c r="J553" t="s">
        <v>239</v>
      </c>
      <c r="K553" t="str">
        <f>IFERROR(+VLOOKUP(Movimientos_2026[[#This Row],[Codigo]],Plan_cuentas[],6,FALSE)," ")</f>
        <v>1 - VW - Volkswagen</v>
      </c>
      <c r="L553" s="50">
        <v>7601466.5</v>
      </c>
      <c r="M553" s="50"/>
      <c r="N553" s="20">
        <f>+Movimientos_2026[[#This Row],[Ingresos]]-Movimientos_2026[[#This Row],[Egresos]]</f>
        <v>7601466.5</v>
      </c>
      <c r="O553" s="20">
        <f>+O552+Movimientos_2026[[#This Row],[Neto]]</f>
        <v>5133545089.4996634</v>
      </c>
    </row>
    <row r="554" spans="1:15" x14ac:dyDescent="0.25">
      <c r="A554" s="13">
        <v>46064</v>
      </c>
      <c r="B554" s="12">
        <f>MONTH(Movimientos_2026[[#This Row],[Fecha]])</f>
        <v>2</v>
      </c>
      <c r="C554" s="12" t="str">
        <f>VLOOKUP((WEEKDAY(Movimientos_2026[[#This Row],[Fecha]],2)),'5. Setup'!$D$6:$E$12,2,FALSE)</f>
        <v>Mie</v>
      </c>
      <c r="D554">
        <v>1044421</v>
      </c>
      <c r="E554" t="str">
        <f>IFERROR(+VLOOKUP(Movimientos_2026[[#This Row],[Codigo]],Plan_cuentas[],2,FALSE)," ")</f>
        <v>INGRESOS</v>
      </c>
      <c r="F554" t="str">
        <f>IFERROR(+VLOOKUP(Movimientos_2026[[#This Row],[Codigo]],Plan_cuentas[],3,FALSE)," ")</f>
        <v>Transferencia</v>
      </c>
      <c r="G554" t="str">
        <f>IFERROR(+VLOOKUP(Movimientos_2026[[#This Row],[Codigo]],Plan_cuentas[],4,FALSE)," ")</f>
        <v>Rentas</v>
      </c>
      <c r="H554" t="str">
        <f>IFERROR(+VLOOKUP(Movimientos_2026[[#This Row],[Codigo]],Plan_cuentas[],5,FALSE)," ")</f>
        <v>TUCUMAN</v>
      </c>
      <c r="I554" s="43">
        <v>46023</v>
      </c>
      <c r="J554" t="s">
        <v>239</v>
      </c>
      <c r="K554" t="str">
        <f>IFERROR(+VLOOKUP(Movimientos_2026[[#This Row],[Codigo]],Plan_cuentas[],6,FALSE)," ")</f>
        <v>1 - VW - Volkswagen</v>
      </c>
      <c r="L554" s="50">
        <v>33170552.09028</v>
      </c>
      <c r="M554" s="50"/>
      <c r="N554" s="20">
        <f>+Movimientos_2026[[#This Row],[Ingresos]]-Movimientos_2026[[#This Row],[Egresos]]</f>
        <v>33170552.09028</v>
      </c>
      <c r="O554" s="20">
        <f>+O553+Movimientos_2026[[#This Row],[Neto]]</f>
        <v>5166715641.5899429</v>
      </c>
    </row>
    <row r="555" spans="1:15" x14ac:dyDescent="0.25">
      <c r="A555" s="13">
        <v>46064</v>
      </c>
      <c r="B555" s="12">
        <f>MONTH(Movimientos_2026[[#This Row],[Fecha]])</f>
        <v>2</v>
      </c>
      <c r="C555" s="12" t="str">
        <f>VLOOKUP((WEEKDAY(Movimientos_2026[[#This Row],[Fecha]],2)),'5. Setup'!$D$6:$E$12,2,FALSE)</f>
        <v>Mie</v>
      </c>
      <c r="D555">
        <v>1043141</v>
      </c>
      <c r="E555" t="str">
        <f>IFERROR(+VLOOKUP(Movimientos_2026[[#This Row],[Codigo]],Plan_cuentas[],2,FALSE)," ")</f>
        <v>INGRESOS</v>
      </c>
      <c r="F555" t="str">
        <f>IFERROR(+VLOOKUP(Movimientos_2026[[#This Row],[Codigo]],Plan_cuentas[],3,FALSE)," ")</f>
        <v>Transferencia</v>
      </c>
      <c r="G555" t="str">
        <f>IFERROR(+VLOOKUP(Movimientos_2026[[#This Row],[Codigo]],Plan_cuentas[],4,FALSE)," ")</f>
        <v>Registración</v>
      </c>
      <c r="H555" t="str">
        <f>IFERROR(+VLOOKUP(Movimientos_2026[[#This Row],[Codigo]],Plan_cuentas[],5,FALSE)," ")</f>
        <v>BUENOS AIRES</v>
      </c>
      <c r="I555" s="43">
        <v>46023</v>
      </c>
      <c r="J555" t="s">
        <v>239</v>
      </c>
      <c r="K555" t="str">
        <f>IFERROR(+VLOOKUP(Movimientos_2026[[#This Row],[Codigo]],Plan_cuentas[],6,FALSE)," ")</f>
        <v>1 - VW - Volkswagen</v>
      </c>
      <c r="L555" s="50">
        <v>69150692.367749959</v>
      </c>
      <c r="M555" s="50"/>
      <c r="N555" s="20">
        <f>+Movimientos_2026[[#This Row],[Ingresos]]-Movimientos_2026[[#This Row],[Egresos]]</f>
        <v>69150692.367749959</v>
      </c>
      <c r="O555" s="20">
        <f>+O554+Movimientos_2026[[#This Row],[Neto]]</f>
        <v>5235866333.9576931</v>
      </c>
    </row>
    <row r="556" spans="1:15" x14ac:dyDescent="0.25">
      <c r="A556" s="13">
        <v>46064</v>
      </c>
      <c r="B556" s="12">
        <f>MONTH(Movimientos_2026[[#This Row],[Fecha]])</f>
        <v>2</v>
      </c>
      <c r="C556" s="12" t="str">
        <f>VLOOKUP((WEEKDAY(Movimientos_2026[[#This Row],[Fecha]],2)),'5. Setup'!$D$6:$E$12,2,FALSE)</f>
        <v>Mie</v>
      </c>
      <c r="D556">
        <v>1042111</v>
      </c>
      <c r="E556" t="str">
        <f>IFERROR(+VLOOKUP(Movimientos_2026[[#This Row],[Codigo]],Plan_cuentas[],2,FALSE)," ")</f>
        <v>INGRESOS</v>
      </c>
      <c r="F556" t="str">
        <f>IFERROR(+VLOOKUP(Movimientos_2026[[#This Row],[Codigo]],Plan_cuentas[],3,FALSE)," ")</f>
        <v>Transferencia</v>
      </c>
      <c r="G556" t="str">
        <f>IFERROR(+VLOOKUP(Movimientos_2026[[#This Row],[Codigo]],Plan_cuentas[],4,FALSE)," ")</f>
        <v>Entidades tercerizadas</v>
      </c>
      <c r="H556" t="str">
        <f>IFERROR(+VLOOKUP(Movimientos_2026[[#This Row],[Codigo]],Plan_cuentas[],5,FALSE)," ")</f>
        <v>APESI</v>
      </c>
      <c r="I556" s="43">
        <v>46023</v>
      </c>
      <c r="J556" t="s">
        <v>239</v>
      </c>
      <c r="K556" t="str">
        <f>IFERROR(+VLOOKUP(Movimientos_2026[[#This Row],[Codigo]],Plan_cuentas[],6,FALSE)," ")</f>
        <v>1 - VW - Volkswagen</v>
      </c>
      <c r="L556" s="50">
        <v>69150692.367749959</v>
      </c>
      <c r="M556" s="50"/>
      <c r="N556" s="20">
        <f>+Movimientos_2026[[#This Row],[Ingresos]]-Movimientos_2026[[#This Row],[Egresos]]</f>
        <v>69150692.367749959</v>
      </c>
      <c r="O556" s="20">
        <f>+O555+Movimientos_2026[[#This Row],[Neto]]</f>
        <v>5305017026.3254433</v>
      </c>
    </row>
    <row r="557" spans="1:15" x14ac:dyDescent="0.25">
      <c r="A557" s="13">
        <v>46064</v>
      </c>
      <c r="B557" s="12">
        <f>MONTH(Movimientos_2026[[#This Row],[Fecha]])</f>
        <v>2</v>
      </c>
      <c r="C557" s="12" t="str">
        <f>VLOOKUP((WEEKDAY(Movimientos_2026[[#This Row],[Fecha]],2)),'5. Setup'!$D$6:$E$12,2,FALSE)</f>
        <v>Mie</v>
      </c>
      <c r="D557">
        <v>1041431</v>
      </c>
      <c r="E557" t="str">
        <f>IFERROR(+VLOOKUP(Movimientos_2026[[#This Row],[Codigo]],Plan_cuentas[],2,FALSE)," ")</f>
        <v>INGRESOS</v>
      </c>
      <c r="F557" t="str">
        <f>IFERROR(+VLOOKUP(Movimientos_2026[[#This Row],[Codigo]],Plan_cuentas[],3,FALSE)," ")</f>
        <v>Transferencia</v>
      </c>
      <c r="G557" t="str">
        <f>IFERROR(+VLOOKUP(Movimientos_2026[[#This Row],[Codigo]],Plan_cuentas[],4,FALSE)," ")</f>
        <v>Entidades co-participadas</v>
      </c>
      <c r="H557" t="str">
        <f>IFERROR(+VLOOKUP(Movimientos_2026[[#This Row],[Codigo]],Plan_cuentas[],5,FALSE)," ")</f>
        <v>UEDA</v>
      </c>
      <c r="I557" s="43">
        <v>46023</v>
      </c>
      <c r="J557" t="s">
        <v>239</v>
      </c>
      <c r="K557" t="str">
        <f>IFERROR(+VLOOKUP(Movimientos_2026[[#This Row],[Codigo]],Plan_cuentas[],6,FALSE)," ")</f>
        <v>1 - VW - Volkswagen</v>
      </c>
      <c r="L557" s="50">
        <v>69150692.367749959</v>
      </c>
      <c r="M557" s="50"/>
      <c r="N557" s="20">
        <f>+Movimientos_2026[[#This Row],[Ingresos]]-Movimientos_2026[[#This Row],[Egresos]]</f>
        <v>69150692.367749959</v>
      </c>
      <c r="O557" s="20">
        <f>+O556+Movimientos_2026[[#This Row],[Neto]]</f>
        <v>5374167718.6931934</v>
      </c>
    </row>
    <row r="558" spans="1:15" x14ac:dyDescent="0.25">
      <c r="A558" s="13">
        <v>46064</v>
      </c>
      <c r="B558" s="12">
        <f>MONTH(Movimientos_2026[[#This Row],[Fecha]])</f>
        <v>2</v>
      </c>
      <c r="C558" s="12" t="str">
        <f>VLOOKUP((WEEKDAY(Movimientos_2026[[#This Row],[Fecha]],2)),'5. Setup'!$D$6:$E$12,2,FALSE)</f>
        <v>Mie</v>
      </c>
      <c r="D558">
        <v>1041441</v>
      </c>
      <c r="E558" t="str">
        <f>IFERROR(+VLOOKUP(Movimientos_2026[[#This Row],[Codigo]],Plan_cuentas[],2,FALSE)," ")</f>
        <v>INGRESOS</v>
      </c>
      <c r="F558" t="str">
        <f>IFERROR(+VLOOKUP(Movimientos_2026[[#This Row],[Codigo]],Plan_cuentas[],3,FALSE)," ")</f>
        <v>Transferencia</v>
      </c>
      <c r="G558" t="str">
        <f>IFERROR(+VLOOKUP(Movimientos_2026[[#This Row],[Codigo]],Plan_cuentas[],4,FALSE)," ")</f>
        <v>Entidades co-participadas</v>
      </c>
      <c r="H558" t="str">
        <f>IFERROR(+VLOOKUP(Movimientos_2026[[#This Row],[Codigo]],Plan_cuentas[],5,FALSE)," ")</f>
        <v>UISCUMARR</v>
      </c>
      <c r="I558" s="43">
        <v>46023</v>
      </c>
      <c r="J558" t="s">
        <v>239</v>
      </c>
      <c r="K558" t="str">
        <f>IFERROR(+VLOOKUP(Movimientos_2026[[#This Row],[Codigo]],Plan_cuentas[],6,FALSE)," ")</f>
        <v>1 - VW - Volkswagen</v>
      </c>
      <c r="L558" s="50">
        <v>69150692.367749959</v>
      </c>
      <c r="M558" s="50"/>
      <c r="N558" s="20">
        <f>+Movimientos_2026[[#This Row],[Ingresos]]-Movimientos_2026[[#This Row],[Egresos]]</f>
        <v>69150692.367749959</v>
      </c>
      <c r="O558" s="20">
        <f>+O557+Movimientos_2026[[#This Row],[Neto]]</f>
        <v>5443318411.0609436</v>
      </c>
    </row>
    <row r="559" spans="1:15" x14ac:dyDescent="0.25">
      <c r="A559" s="13">
        <v>46064</v>
      </c>
      <c r="B559" s="12">
        <f>MONTH(Movimientos_2026[[#This Row],[Fecha]])</f>
        <v>2</v>
      </c>
      <c r="C559" s="12" t="str">
        <f>VLOOKUP((WEEKDAY(Movimientos_2026[[#This Row],[Fecha]],2)),'5. Setup'!$D$6:$E$12,2,FALSE)</f>
        <v>Mie</v>
      </c>
      <c r="D559">
        <v>1045454</v>
      </c>
      <c r="E559" t="str">
        <f>IFERROR(+VLOOKUP(Movimientos_2026[[#This Row],[Codigo]],Plan_cuentas[],2,FALSE)," ")</f>
        <v>INGRESOS</v>
      </c>
      <c r="F559" t="str">
        <f>IFERROR(+VLOOKUP(Movimientos_2026[[#This Row],[Codigo]],Plan_cuentas[],3,FALSE)," ")</f>
        <v>Transferencia</v>
      </c>
      <c r="G559" t="str">
        <f>IFERROR(+VLOOKUP(Movimientos_2026[[#This Row],[Codigo]],Plan_cuentas[],4,FALSE)," ")</f>
        <v>Factura</v>
      </c>
      <c r="H559" t="str">
        <f>IFERROR(+VLOOKUP(Movimientos_2026[[#This Row],[Codigo]],Plan_cuentas[],5,FALSE)," ")</f>
        <v>FC DERECHOS</v>
      </c>
      <c r="I559" s="43">
        <v>45992</v>
      </c>
      <c r="J559" t="s">
        <v>240</v>
      </c>
      <c r="K559" t="str">
        <f>IFERROR(+VLOOKUP(Movimientos_2026[[#This Row],[Codigo]],Plan_cuentas[],6,FALSE)," ")</f>
        <v>4 - FCA - Fiat</v>
      </c>
      <c r="L559" s="50">
        <v>115370842.81</v>
      </c>
      <c r="M559" s="50"/>
      <c r="N559" s="20">
        <f>+Movimientos_2026[[#This Row],[Ingresos]]-Movimientos_2026[[#This Row],[Egresos]]</f>
        <v>115370842.81</v>
      </c>
      <c r="O559" s="20">
        <f>+O558+Movimientos_2026[[#This Row],[Neto]]</f>
        <v>5558689253.870944</v>
      </c>
    </row>
    <row r="560" spans="1:15" x14ac:dyDescent="0.25">
      <c r="A560" s="13">
        <v>46065</v>
      </c>
      <c r="B560" s="12">
        <f>MONTH(Movimientos_2026[[#This Row],[Fecha]])</f>
        <v>2</v>
      </c>
      <c r="C560" s="12" t="str">
        <f>VLOOKUP((WEEKDAY(Movimientos_2026[[#This Row],[Fecha]],2)),'5. Setup'!$D$6:$E$12,2,FALSE)</f>
        <v>Jue</v>
      </c>
      <c r="D560">
        <v>2044463</v>
      </c>
      <c r="E560" t="str">
        <f>IFERROR(+VLOOKUP(Movimientos_2026[[#This Row],[Codigo]],Plan_cuentas[],2,FALSE)," ")</f>
        <v>EGRESOS</v>
      </c>
      <c r="F560" t="str">
        <f>IFERROR(+VLOOKUP(Movimientos_2026[[#This Row],[Codigo]],Plan_cuentas[],3,FALSE)," ")</f>
        <v>Transferencia</v>
      </c>
      <c r="G560" t="str">
        <f>IFERROR(+VLOOKUP(Movimientos_2026[[#This Row],[Codigo]],Plan_cuentas[],4,FALSE)," ")</f>
        <v>Rentas</v>
      </c>
      <c r="H560" t="str">
        <f>IFERROR(+VLOOKUP(Movimientos_2026[[#This Row],[Codigo]],Plan_cuentas[],5,FALSE)," ")</f>
        <v>MISIONES</v>
      </c>
      <c r="I560" s="43">
        <v>46023</v>
      </c>
      <c r="J560" t="s">
        <v>241</v>
      </c>
      <c r="K560" t="str">
        <f>IFERROR(+VLOOKUP(Movimientos_2026[[#This Row],[Codigo]],Plan_cuentas[],6,FALSE)," ")</f>
        <v>3 - GM - Chevrolet</v>
      </c>
      <c r="L560" s="50"/>
      <c r="M560" s="50">
        <v>2718494.9</v>
      </c>
      <c r="N560" s="20">
        <f>+Movimientos_2026[[#This Row],[Ingresos]]-Movimientos_2026[[#This Row],[Egresos]]</f>
        <v>-2718494.9</v>
      </c>
      <c r="O560" s="20">
        <f>+O559+Movimientos_2026[[#This Row],[Neto]]</f>
        <v>5555970758.9709444</v>
      </c>
    </row>
    <row r="561" spans="1:15" x14ac:dyDescent="0.25">
      <c r="A561" s="13">
        <v>46065</v>
      </c>
      <c r="B561" s="12">
        <f>MONTH(Movimientos_2026[[#This Row],[Fecha]])</f>
        <v>2</v>
      </c>
      <c r="C561" s="12" t="str">
        <f>VLOOKUP((WEEKDAY(Movimientos_2026[[#This Row],[Fecha]],2)),'5. Setup'!$D$6:$E$12,2,FALSE)</f>
        <v>Jue</v>
      </c>
      <c r="D561">
        <v>2014362</v>
      </c>
      <c r="E561" t="str">
        <f>IFERROR(+VLOOKUP(Movimientos_2026[[#This Row],[Codigo]],Plan_cuentas[],2,FALSE)," ")</f>
        <v>EGRESOS</v>
      </c>
      <c r="F561" t="str">
        <f>IFERROR(+VLOOKUP(Movimientos_2026[[#This Row],[Codigo]],Plan_cuentas[],3,FALSE)," ")</f>
        <v>BtoB</v>
      </c>
      <c r="G561" t="str">
        <f>IFERROR(+VLOOKUP(Movimientos_2026[[#This Row],[Codigo]],Plan_cuentas[],4,FALSE)," ")</f>
        <v>Rentas</v>
      </c>
      <c r="H561" t="str">
        <f>IFERROR(+VLOOKUP(Movimientos_2026[[#This Row],[Codigo]],Plan_cuentas[],5,FALSE)," ")</f>
        <v>SAN LUIS</v>
      </c>
      <c r="I561" s="43">
        <v>46023</v>
      </c>
      <c r="J561" t="s">
        <v>242</v>
      </c>
      <c r="K561" t="str">
        <f>IFERROR(+VLOOKUP(Movimientos_2026[[#This Row],[Codigo]],Plan_cuentas[],6,FALSE)," ")</f>
        <v>2 - PR - Plan Rombo</v>
      </c>
      <c r="L561" s="50"/>
      <c r="M561" s="50">
        <v>5424347.21</v>
      </c>
      <c r="N561" s="20">
        <f>+Movimientos_2026[[#This Row],[Ingresos]]-Movimientos_2026[[#This Row],[Egresos]]</f>
        <v>-5424347.21</v>
      </c>
      <c r="O561" s="20">
        <f>+O560+Movimientos_2026[[#This Row],[Neto]]</f>
        <v>5550546411.7609444</v>
      </c>
    </row>
    <row r="562" spans="1:15" x14ac:dyDescent="0.25">
      <c r="A562" s="13">
        <v>46065</v>
      </c>
      <c r="B562" s="12">
        <f>MONTH(Movimientos_2026[[#This Row],[Fecha]])</f>
        <v>2</v>
      </c>
      <c r="C562" s="12" t="str">
        <f>VLOOKUP((WEEKDAY(Movimientos_2026[[#This Row],[Fecha]],2)),'5. Setup'!$D$6:$E$12,2,FALSE)</f>
        <v>Jue</v>
      </c>
      <c r="D562">
        <v>2014364</v>
      </c>
      <c r="E562" t="str">
        <f>IFERROR(+VLOOKUP(Movimientos_2026[[#This Row],[Codigo]],Plan_cuentas[],2,FALSE)," ")</f>
        <v>EGRESOS</v>
      </c>
      <c r="F562" t="str">
        <f>IFERROR(+VLOOKUP(Movimientos_2026[[#This Row],[Codigo]],Plan_cuentas[],3,FALSE)," ")</f>
        <v>BtoB</v>
      </c>
      <c r="G562" t="str">
        <f>IFERROR(+VLOOKUP(Movimientos_2026[[#This Row],[Codigo]],Plan_cuentas[],4,FALSE)," ")</f>
        <v>Rentas</v>
      </c>
      <c r="H562" t="str">
        <f>IFERROR(+VLOOKUP(Movimientos_2026[[#This Row],[Codigo]],Plan_cuentas[],5,FALSE)," ")</f>
        <v>SAN LUIS</v>
      </c>
      <c r="I562" s="43">
        <v>46023</v>
      </c>
      <c r="J562" t="s">
        <v>243</v>
      </c>
      <c r="K562" t="str">
        <f>IFERROR(+VLOOKUP(Movimientos_2026[[#This Row],[Codigo]],Plan_cuentas[],6,FALSE)," ")</f>
        <v>4 - FCA - Fiat</v>
      </c>
      <c r="L562" s="50"/>
      <c r="M562" s="50">
        <v>35738286.310000002</v>
      </c>
      <c r="N562" s="20">
        <f>+Movimientos_2026[[#This Row],[Ingresos]]-Movimientos_2026[[#This Row],[Egresos]]</f>
        <v>-35738286.310000002</v>
      </c>
      <c r="O562" s="20">
        <f>+O561+Movimientos_2026[[#This Row],[Neto]]</f>
        <v>5514808125.4509439</v>
      </c>
    </row>
    <row r="563" spans="1:15" x14ac:dyDescent="0.25">
      <c r="A563" s="13">
        <v>46065</v>
      </c>
      <c r="B563" s="12">
        <f>MONTH(Movimientos_2026[[#This Row],[Fecha]])</f>
        <v>2</v>
      </c>
      <c r="C563" s="12" t="str">
        <f>VLOOKUP((WEEKDAY(Movimientos_2026[[#This Row],[Fecha]],2)),'5. Setup'!$D$6:$E$12,2,FALSE)</f>
        <v>Jue</v>
      </c>
      <c r="D563">
        <v>2044342</v>
      </c>
      <c r="E563" t="str">
        <f>IFERROR(+VLOOKUP(Movimientos_2026[[#This Row],[Codigo]],Plan_cuentas[],2,FALSE)," ")</f>
        <v>EGRESOS</v>
      </c>
      <c r="F563" t="str">
        <f>IFERROR(+VLOOKUP(Movimientos_2026[[#This Row],[Codigo]],Plan_cuentas[],3,FALSE)," ")</f>
        <v>Transferencia</v>
      </c>
      <c r="G563" t="str">
        <f>IFERROR(+VLOOKUP(Movimientos_2026[[#This Row],[Codigo]],Plan_cuentas[],4,FALSE)," ")</f>
        <v>Rentas</v>
      </c>
      <c r="H563" t="str">
        <f>IFERROR(+VLOOKUP(Movimientos_2026[[#This Row],[Codigo]],Plan_cuentas[],5,FALSE)," ")</f>
        <v>RIO NEGRO</v>
      </c>
      <c r="I563" s="43">
        <v>46023</v>
      </c>
      <c r="J563" t="s">
        <v>244</v>
      </c>
      <c r="K563" t="str">
        <f>IFERROR(+VLOOKUP(Movimientos_2026[[#This Row],[Codigo]],Plan_cuentas[],6,FALSE)," ")</f>
        <v>2 - PR - Plan Rombo</v>
      </c>
      <c r="L563" s="50"/>
      <c r="M563" s="50">
        <v>19264815</v>
      </c>
      <c r="N563" s="20">
        <f>+Movimientos_2026[[#This Row],[Ingresos]]-Movimientos_2026[[#This Row],[Egresos]]</f>
        <v>-19264815</v>
      </c>
      <c r="O563" s="20">
        <f>+O562+Movimientos_2026[[#This Row],[Neto]]</f>
        <v>5495543310.4509439</v>
      </c>
    </row>
    <row r="564" spans="1:15" x14ac:dyDescent="0.25">
      <c r="A564" s="13">
        <v>46065</v>
      </c>
      <c r="B564" s="12">
        <f>MONTH(Movimientos_2026[[#This Row],[Fecha]])</f>
        <v>2</v>
      </c>
      <c r="C564" s="12" t="str">
        <f>VLOOKUP((WEEKDAY(Movimientos_2026[[#This Row],[Fecha]],2)),'5. Setup'!$D$6:$E$12,2,FALSE)</f>
        <v>Jue</v>
      </c>
      <c r="D564">
        <v>2014174</v>
      </c>
      <c r="E564" t="str">
        <f>IFERROR(+VLOOKUP(Movimientos_2026[[#This Row],[Codigo]],Plan_cuentas[],2,FALSE)," ")</f>
        <v>EGRESOS</v>
      </c>
      <c r="F564" t="str">
        <f>IFERROR(+VLOOKUP(Movimientos_2026[[#This Row],[Codigo]],Plan_cuentas[],3,FALSE)," ")</f>
        <v>BtoB</v>
      </c>
      <c r="G564" t="str">
        <f>IFERROR(+VLOOKUP(Movimientos_2026[[#This Row],[Codigo]],Plan_cuentas[],4,FALSE)," ")</f>
        <v>Rentas</v>
      </c>
      <c r="H564" t="str">
        <f>IFERROR(+VLOOKUP(Movimientos_2026[[#This Row],[Codigo]],Plan_cuentas[],5,FALSE)," ")</f>
        <v>CHUBUT</v>
      </c>
      <c r="I564" s="43">
        <v>46023</v>
      </c>
      <c r="J564" t="s">
        <v>245</v>
      </c>
      <c r="K564" t="str">
        <f>IFERROR(+VLOOKUP(Movimientos_2026[[#This Row],[Codigo]],Plan_cuentas[],6,FALSE)," ")</f>
        <v>4 - FCA - Fiat</v>
      </c>
      <c r="L564" s="50"/>
      <c r="M564" s="50">
        <v>20588934</v>
      </c>
      <c r="N564" s="20">
        <f>+Movimientos_2026[[#This Row],[Ingresos]]-Movimientos_2026[[#This Row],[Egresos]]</f>
        <v>-20588934</v>
      </c>
      <c r="O564" s="20">
        <f>+O563+Movimientos_2026[[#This Row],[Neto]]</f>
        <v>5474954376.4509439</v>
      </c>
    </row>
    <row r="565" spans="1:15" x14ac:dyDescent="0.25">
      <c r="A565" s="13">
        <v>46065</v>
      </c>
      <c r="B565" s="12">
        <f>MONTH(Movimientos_2026[[#This Row],[Fecha]])</f>
        <v>2</v>
      </c>
      <c r="C565" s="12" t="str">
        <f>VLOOKUP((WEEKDAY(Movimientos_2026[[#This Row],[Fecha]],2)),'5. Setup'!$D$6:$E$12,2,FALSE)</f>
        <v>Jue</v>
      </c>
      <c r="D565">
        <v>2014162</v>
      </c>
      <c r="E565" t="str">
        <f>IFERROR(+VLOOKUP(Movimientos_2026[[#This Row],[Codigo]],Plan_cuentas[],2,FALSE)," ")</f>
        <v>EGRESOS</v>
      </c>
      <c r="F565" t="str">
        <f>IFERROR(+VLOOKUP(Movimientos_2026[[#This Row],[Codigo]],Plan_cuentas[],3,FALSE)," ")</f>
        <v>BtoB</v>
      </c>
      <c r="G565" t="str">
        <f>IFERROR(+VLOOKUP(Movimientos_2026[[#This Row],[Codigo]],Plan_cuentas[],4,FALSE)," ")</f>
        <v>Rentas</v>
      </c>
      <c r="H565" t="str">
        <f>IFERROR(+VLOOKUP(Movimientos_2026[[#This Row],[Codigo]],Plan_cuentas[],5,FALSE)," ")</f>
        <v>CHACO</v>
      </c>
      <c r="I565" s="43">
        <v>46023</v>
      </c>
      <c r="J565" t="s">
        <v>246</v>
      </c>
      <c r="K565" t="str">
        <f>IFERROR(+VLOOKUP(Movimientos_2026[[#This Row],[Codigo]],Plan_cuentas[],6,FALSE)," ")</f>
        <v>2 - PR - Plan Rombo</v>
      </c>
      <c r="L565" s="50"/>
      <c r="M565" s="50">
        <v>1235711.31</v>
      </c>
      <c r="N565" s="20">
        <f>+Movimientos_2026[[#This Row],[Ingresos]]-Movimientos_2026[[#This Row],[Egresos]]</f>
        <v>-1235711.31</v>
      </c>
      <c r="O565" s="20">
        <f>+O564+Movimientos_2026[[#This Row],[Neto]]</f>
        <v>5473718665.1409435</v>
      </c>
    </row>
    <row r="566" spans="1:15" x14ac:dyDescent="0.25">
      <c r="A566" s="13">
        <v>46065</v>
      </c>
      <c r="B566" s="12">
        <f>MONTH(Movimientos_2026[[#This Row],[Fecha]])</f>
        <v>2</v>
      </c>
      <c r="C566" s="12" t="str">
        <f>VLOOKUP((WEEKDAY(Movimientos_2026[[#This Row],[Fecha]],2)),'5. Setup'!$D$6:$E$12,2,FALSE)</f>
        <v>Jue</v>
      </c>
      <c r="D566">
        <v>2014167</v>
      </c>
      <c r="E566" t="str">
        <f>IFERROR(+VLOOKUP(Movimientos_2026[[#This Row],[Codigo]],Plan_cuentas[],2,FALSE)," ")</f>
        <v>EGRESOS</v>
      </c>
      <c r="F566" t="str">
        <f>IFERROR(+VLOOKUP(Movimientos_2026[[#This Row],[Codigo]],Plan_cuentas[],3,FALSE)," ")</f>
        <v>BtoB</v>
      </c>
      <c r="G566" t="str">
        <f>IFERROR(+VLOOKUP(Movimientos_2026[[#This Row],[Codigo]],Plan_cuentas[],4,FALSE)," ")</f>
        <v>Rentas</v>
      </c>
      <c r="H566" t="str">
        <f>IFERROR(+VLOOKUP(Movimientos_2026[[#This Row],[Codigo]],Plan_cuentas[],5,FALSE)," ")</f>
        <v>CHACO</v>
      </c>
      <c r="I566" s="43">
        <v>46023</v>
      </c>
      <c r="J566" t="s">
        <v>246</v>
      </c>
      <c r="K566" t="str">
        <f>IFERROR(+VLOOKUP(Movimientos_2026[[#This Row],[Codigo]],Plan_cuentas[],6,FALSE)," ")</f>
        <v>7 - PRtr - Plan Rombo Transf.</v>
      </c>
      <c r="L566" s="50"/>
      <c r="M566" s="50">
        <v>122452.5</v>
      </c>
      <c r="N566" s="20">
        <f>+Movimientos_2026[[#This Row],[Ingresos]]-Movimientos_2026[[#This Row],[Egresos]]</f>
        <v>-122452.5</v>
      </c>
      <c r="O566" s="20">
        <f>+O565+Movimientos_2026[[#This Row],[Neto]]</f>
        <v>5473596212.6409435</v>
      </c>
    </row>
    <row r="567" spans="1:15" x14ac:dyDescent="0.25">
      <c r="A567" s="13">
        <v>46065</v>
      </c>
      <c r="B567" s="12">
        <f>MONTH(Movimientos_2026[[#This Row],[Fecha]])</f>
        <v>2</v>
      </c>
      <c r="C567" s="12" t="str">
        <f>VLOOKUP((WEEKDAY(Movimientos_2026[[#This Row],[Fecha]],2)),'5. Setup'!$D$6:$E$12,2,FALSE)</f>
        <v>Jue</v>
      </c>
      <c r="D567">
        <v>2014165</v>
      </c>
      <c r="E567" t="str">
        <f>IFERROR(+VLOOKUP(Movimientos_2026[[#This Row],[Codigo]],Plan_cuentas[],2,FALSE)," ")</f>
        <v>EGRESOS</v>
      </c>
      <c r="F567" t="str">
        <f>IFERROR(+VLOOKUP(Movimientos_2026[[#This Row],[Codigo]],Plan_cuentas[],3,FALSE)," ")</f>
        <v>BtoB</v>
      </c>
      <c r="G567" t="str">
        <f>IFERROR(+VLOOKUP(Movimientos_2026[[#This Row],[Codigo]],Plan_cuentas[],4,FALSE)," ")</f>
        <v>Rentas</v>
      </c>
      <c r="H567" t="str">
        <f>IFERROR(+VLOOKUP(Movimientos_2026[[#This Row],[Codigo]],Plan_cuentas[],5,FALSE)," ")</f>
        <v>CHACO</v>
      </c>
      <c r="I567" s="43">
        <v>46023</v>
      </c>
      <c r="J567" t="s">
        <v>247</v>
      </c>
      <c r="K567" t="str">
        <f>IFERROR(+VLOOKUP(Movimientos_2026[[#This Row],[Codigo]],Plan_cuentas[],6,FALSE)," ")</f>
        <v>5 - YAM - Yamaha</v>
      </c>
      <c r="L567" s="50"/>
      <c r="M567" s="52">
        <v>925571.32</v>
      </c>
      <c r="N567" s="20">
        <f>+Movimientos_2026[[#This Row],[Ingresos]]-Movimientos_2026[[#This Row],[Egresos]]</f>
        <v>-925571.32</v>
      </c>
      <c r="O567" s="20">
        <f>+O566+Movimientos_2026[[#This Row],[Neto]]</f>
        <v>5472670641.3209438</v>
      </c>
    </row>
    <row r="568" spans="1:15" x14ac:dyDescent="0.25">
      <c r="A568" s="13">
        <v>46065</v>
      </c>
      <c r="B568" s="12">
        <f>MONTH(Movimientos_2026[[#This Row],[Fecha]])</f>
        <v>2</v>
      </c>
      <c r="C568" s="12" t="str">
        <f>VLOOKUP((WEEKDAY(Movimientos_2026[[#This Row],[Fecha]],2)),'5. Setup'!$D$6:$E$12,2,FALSE)</f>
        <v>Jue</v>
      </c>
      <c r="D568">
        <v>2044404</v>
      </c>
      <c r="E568" t="str">
        <f>IFERROR(+VLOOKUP(Movimientos_2026[[#This Row],[Codigo]],Plan_cuentas[],2,FALSE)," ")</f>
        <v>EGRESOS</v>
      </c>
      <c r="F568" t="str">
        <f>IFERROR(+VLOOKUP(Movimientos_2026[[#This Row],[Codigo]],Plan_cuentas[],3,FALSE)," ")</f>
        <v>Transferencia</v>
      </c>
      <c r="G568" t="str">
        <f>IFERROR(+VLOOKUP(Movimientos_2026[[#This Row],[Codigo]],Plan_cuentas[],4,FALSE)," ")</f>
        <v>Rentas</v>
      </c>
      <c r="H568" t="str">
        <f>IFERROR(+VLOOKUP(Movimientos_2026[[#This Row],[Codigo]],Plan_cuentas[],5,FALSE)," ")</f>
        <v>SANTIAGO DEL ESTERO</v>
      </c>
      <c r="I568" s="43">
        <v>46023</v>
      </c>
      <c r="J568" t="s">
        <v>248</v>
      </c>
      <c r="K568" t="str">
        <f>IFERROR(+VLOOKUP(Movimientos_2026[[#This Row],[Codigo]],Plan_cuentas[],6,FALSE)," ")</f>
        <v>4 - FCA - Fiat</v>
      </c>
      <c r="L568" s="50"/>
      <c r="M568" s="52">
        <v>39109191.259999998</v>
      </c>
      <c r="N568" s="20">
        <f>+Movimientos_2026[[#This Row],[Ingresos]]-Movimientos_2026[[#This Row],[Egresos]]</f>
        <v>-39109191.259999998</v>
      </c>
      <c r="O568" s="20">
        <f>+O567+Movimientos_2026[[#This Row],[Neto]]</f>
        <v>5433561450.0609436</v>
      </c>
    </row>
    <row r="569" spans="1:15" x14ac:dyDescent="0.25">
      <c r="A569" s="13">
        <v>46065</v>
      </c>
      <c r="B569" s="12">
        <f>MONTH(Movimientos_2026[[#This Row],[Fecha]])</f>
        <v>2</v>
      </c>
      <c r="C569" s="12" t="str">
        <f>VLOOKUP((WEEKDAY(Movimientos_2026[[#This Row],[Fecha]],2)),'5. Setup'!$D$6:$E$12,2,FALSE)</f>
        <v>Jue</v>
      </c>
      <c r="D569">
        <v>2044406</v>
      </c>
      <c r="E569" t="str">
        <f>IFERROR(+VLOOKUP(Movimientos_2026[[#This Row],[Codigo]],Plan_cuentas[],2,FALSE)," ")</f>
        <v>EGRESOS</v>
      </c>
      <c r="F569" t="str">
        <f>IFERROR(+VLOOKUP(Movimientos_2026[[#This Row],[Codigo]],Plan_cuentas[],3,FALSE)," ")</f>
        <v>Transferencia</v>
      </c>
      <c r="G569" t="str">
        <f>IFERROR(+VLOOKUP(Movimientos_2026[[#This Row],[Codigo]],Plan_cuentas[],4,FALSE)," ")</f>
        <v>Rentas</v>
      </c>
      <c r="H569" t="str">
        <f>IFERROR(+VLOOKUP(Movimientos_2026[[#This Row],[Codigo]],Plan_cuentas[],5,FALSE)," ")</f>
        <v>SANTIAGO DEL ESTERO</v>
      </c>
      <c r="I569" s="43">
        <v>46023</v>
      </c>
      <c r="J569" t="s">
        <v>248</v>
      </c>
      <c r="K569" t="str">
        <f>IFERROR(+VLOOKUP(Movimientos_2026[[#This Row],[Codigo]],Plan_cuentas[],6,FALSE)," ")</f>
        <v>6 - FCAtr - Fiat Transf.</v>
      </c>
      <c r="L569" s="50"/>
      <c r="M569" s="52">
        <v>1026787.22</v>
      </c>
      <c r="N569" s="20">
        <f>+Movimientos_2026[[#This Row],[Ingresos]]-Movimientos_2026[[#This Row],[Egresos]]</f>
        <v>-1026787.22</v>
      </c>
      <c r="O569" s="20">
        <f>+O568+Movimientos_2026[[#This Row],[Neto]]</f>
        <v>5432534662.8409433</v>
      </c>
    </row>
    <row r="570" spans="1:15" x14ac:dyDescent="0.25">
      <c r="A570" s="13">
        <v>46065</v>
      </c>
      <c r="B570" s="12">
        <f>MONTH(Movimientos_2026[[#This Row],[Fecha]])</f>
        <v>2</v>
      </c>
      <c r="C570" s="12" t="str">
        <f>VLOOKUP((WEEKDAY(Movimientos_2026[[#This Row],[Fecha]],2)),'5. Setup'!$D$6:$E$12,2,FALSE)</f>
        <v>Jue</v>
      </c>
      <c r="D570">
        <v>2044404</v>
      </c>
      <c r="E570" t="str">
        <f>IFERROR(+VLOOKUP(Movimientos_2026[[#This Row],[Codigo]],Plan_cuentas[],2,FALSE)," ")</f>
        <v>EGRESOS</v>
      </c>
      <c r="F570" t="str">
        <f>IFERROR(+VLOOKUP(Movimientos_2026[[#This Row],[Codigo]],Plan_cuentas[],3,FALSE)," ")</f>
        <v>Transferencia</v>
      </c>
      <c r="G570" t="str">
        <f>IFERROR(+VLOOKUP(Movimientos_2026[[#This Row],[Codigo]],Plan_cuentas[],4,FALSE)," ")</f>
        <v>Rentas</v>
      </c>
      <c r="H570" t="str">
        <f>IFERROR(+VLOOKUP(Movimientos_2026[[#This Row],[Codigo]],Plan_cuentas[],5,FALSE)," ")</f>
        <v>SANTIAGO DEL ESTERO</v>
      </c>
      <c r="I570" s="43">
        <v>46023</v>
      </c>
      <c r="J570" t="s">
        <v>248</v>
      </c>
      <c r="K570" t="str">
        <f>IFERROR(+VLOOKUP(Movimientos_2026[[#This Row],[Codigo]],Plan_cuentas[],6,FALSE)," ")</f>
        <v>4 - FCA - Fiat</v>
      </c>
      <c r="L570" s="50"/>
      <c r="M570" s="52">
        <v>19383469.379999999</v>
      </c>
      <c r="N570" s="20">
        <f>+Movimientos_2026[[#This Row],[Ingresos]]-Movimientos_2026[[#This Row],[Egresos]]</f>
        <v>-19383469.379999999</v>
      </c>
      <c r="O570" s="20">
        <f>+O569+Movimientos_2026[[#This Row],[Neto]]</f>
        <v>5413151193.4609432</v>
      </c>
    </row>
    <row r="571" spans="1:15" x14ac:dyDescent="0.25">
      <c r="A571" s="13">
        <v>46065</v>
      </c>
      <c r="B571" s="12">
        <f>MONTH(Movimientos_2026[[#This Row],[Fecha]])</f>
        <v>2</v>
      </c>
      <c r="C571" s="12" t="str">
        <f>VLOOKUP((WEEKDAY(Movimientos_2026[[#This Row],[Fecha]],2)),'5. Setup'!$D$6:$E$12,2,FALSE)</f>
        <v>Jue</v>
      </c>
      <c r="D571">
        <v>2044405</v>
      </c>
      <c r="E571" t="str">
        <f>IFERROR(+VLOOKUP(Movimientos_2026[[#This Row],[Codigo]],Plan_cuentas[],2,FALSE)," ")</f>
        <v>EGRESOS</v>
      </c>
      <c r="F571" t="str">
        <f>IFERROR(+VLOOKUP(Movimientos_2026[[#This Row],[Codigo]],Plan_cuentas[],3,FALSE)," ")</f>
        <v>Transferencia</v>
      </c>
      <c r="G571" t="str">
        <f>IFERROR(+VLOOKUP(Movimientos_2026[[#This Row],[Codigo]],Plan_cuentas[],4,FALSE)," ")</f>
        <v>Rentas</v>
      </c>
      <c r="H571" t="str">
        <f>IFERROR(+VLOOKUP(Movimientos_2026[[#This Row],[Codigo]],Plan_cuentas[],5,FALSE)," ")</f>
        <v>SANTIAGO DEL ESTERO</v>
      </c>
      <c r="I571" s="43">
        <v>46023</v>
      </c>
      <c r="J571" t="s">
        <v>249</v>
      </c>
      <c r="K571" t="str">
        <f>IFERROR(+VLOOKUP(Movimientos_2026[[#This Row],[Codigo]],Plan_cuentas[],6,FALSE)," ")</f>
        <v>5 - YAM - Yamaha</v>
      </c>
      <c r="L571" s="50"/>
      <c r="M571" s="52">
        <v>174142.34</v>
      </c>
      <c r="N571" s="20">
        <f>+Movimientos_2026[[#This Row],[Ingresos]]-Movimientos_2026[[#This Row],[Egresos]]</f>
        <v>-174142.34</v>
      </c>
      <c r="O571" s="20">
        <f>+O570+Movimientos_2026[[#This Row],[Neto]]</f>
        <v>5412977051.1209431</v>
      </c>
    </row>
    <row r="572" spans="1:15" x14ac:dyDescent="0.25">
      <c r="A572" s="13">
        <v>46066</v>
      </c>
      <c r="B572" s="12">
        <f>MONTH(Movimientos_2026[[#This Row],[Fecha]])</f>
        <v>2</v>
      </c>
      <c r="C572" s="12" t="str">
        <f>VLOOKUP((WEEKDAY(Movimientos_2026[[#This Row],[Fecha]],2)),'5. Setup'!$D$6:$E$12,2,FALSE)</f>
        <v>Vie</v>
      </c>
      <c r="D572">
        <v>2014363</v>
      </c>
      <c r="E572" t="str">
        <f>IFERROR(+VLOOKUP(Movimientos_2026[[#This Row],[Codigo]],Plan_cuentas[],2,FALSE)," ")</f>
        <v>EGRESOS</v>
      </c>
      <c r="F572" t="str">
        <f>IFERROR(+VLOOKUP(Movimientos_2026[[#This Row],[Codigo]],Plan_cuentas[],3,FALSE)," ")</f>
        <v>BtoB</v>
      </c>
      <c r="G572" t="str">
        <f>IFERROR(+VLOOKUP(Movimientos_2026[[#This Row],[Codigo]],Plan_cuentas[],4,FALSE)," ")</f>
        <v>Rentas</v>
      </c>
      <c r="H572" t="str">
        <f>IFERROR(+VLOOKUP(Movimientos_2026[[#This Row],[Codigo]],Plan_cuentas[],5,FALSE)," ")</f>
        <v>SAN LUIS</v>
      </c>
      <c r="I572" s="43">
        <v>46023</v>
      </c>
      <c r="J572" t="s">
        <v>250</v>
      </c>
      <c r="K572" t="str">
        <f>IFERROR(+VLOOKUP(Movimientos_2026[[#This Row],[Codigo]],Plan_cuentas[],6,FALSE)," ")</f>
        <v>3 - GM - Chevrolet</v>
      </c>
      <c r="L572" s="50"/>
      <c r="M572" s="50">
        <v>19403744.609999999</v>
      </c>
      <c r="N572" s="20">
        <f>+Movimientos_2026[[#This Row],[Ingresos]]-Movimientos_2026[[#This Row],[Egresos]]</f>
        <v>-19403744.609999999</v>
      </c>
      <c r="O572" s="20">
        <f>+O571+Movimientos_2026[[#This Row],[Neto]]</f>
        <v>5393573306.5109434</v>
      </c>
    </row>
    <row r="573" spans="1:15" x14ac:dyDescent="0.25">
      <c r="A573" s="13">
        <v>46066</v>
      </c>
      <c r="B573" s="12">
        <f>MONTH(Movimientos_2026[[#This Row],[Fecha]])</f>
        <v>2</v>
      </c>
      <c r="C573" s="12" t="str">
        <f>VLOOKUP((WEEKDAY(Movimientos_2026[[#This Row],[Fecha]],2)),'5. Setup'!$D$6:$E$12,2,FALSE)</f>
        <v>Vie</v>
      </c>
      <c r="D573">
        <v>2014173</v>
      </c>
      <c r="E573" t="str">
        <f>IFERROR(+VLOOKUP(Movimientos_2026[[#This Row],[Codigo]],Plan_cuentas[],2,FALSE)," ")</f>
        <v>EGRESOS</v>
      </c>
      <c r="F573" t="str">
        <f>IFERROR(+VLOOKUP(Movimientos_2026[[#This Row],[Codigo]],Plan_cuentas[],3,FALSE)," ")</f>
        <v>BtoB</v>
      </c>
      <c r="G573" t="str">
        <f>IFERROR(+VLOOKUP(Movimientos_2026[[#This Row],[Codigo]],Plan_cuentas[],4,FALSE)," ")</f>
        <v>Rentas</v>
      </c>
      <c r="H573" t="str">
        <f>IFERROR(+VLOOKUP(Movimientos_2026[[#This Row],[Codigo]],Plan_cuentas[],5,FALSE)," ")</f>
        <v>CHUBUT</v>
      </c>
      <c r="I573" s="43">
        <v>46023</v>
      </c>
      <c r="J573" t="s">
        <v>251</v>
      </c>
      <c r="K573" t="str">
        <f>IFERROR(+VLOOKUP(Movimientos_2026[[#This Row],[Codigo]],Plan_cuentas[],6,FALSE)," ")</f>
        <v>3 - GM - Chevrolet</v>
      </c>
      <c r="L573" s="50"/>
      <c r="M573" s="50">
        <v>8768599.3399999999</v>
      </c>
      <c r="N573" s="20">
        <f>+Movimientos_2026[[#This Row],[Ingresos]]-Movimientos_2026[[#This Row],[Egresos]]</f>
        <v>-8768599.3399999999</v>
      </c>
      <c r="O573" s="20">
        <f>+O572+Movimientos_2026[[#This Row],[Neto]]</f>
        <v>5384804707.1709433</v>
      </c>
    </row>
    <row r="574" spans="1:15" x14ac:dyDescent="0.25">
      <c r="A574" s="13">
        <v>46066</v>
      </c>
      <c r="B574" s="12">
        <f>MONTH(Movimientos_2026[[#This Row],[Fecha]])</f>
        <v>2</v>
      </c>
      <c r="C574" s="12" t="str">
        <f>VLOOKUP((WEEKDAY(Movimientos_2026[[#This Row],[Fecha]],2)),'5. Setup'!$D$6:$E$12,2,FALSE)</f>
        <v>Vie</v>
      </c>
      <c r="D574">
        <v>2014163</v>
      </c>
      <c r="E574" t="str">
        <f>IFERROR(+VLOOKUP(Movimientos_2026[[#This Row],[Codigo]],Plan_cuentas[],2,FALSE)," ")</f>
        <v>EGRESOS</v>
      </c>
      <c r="F574" t="str">
        <f>IFERROR(+VLOOKUP(Movimientos_2026[[#This Row],[Codigo]],Plan_cuentas[],3,FALSE)," ")</f>
        <v>BtoB</v>
      </c>
      <c r="G574" t="str">
        <f>IFERROR(+VLOOKUP(Movimientos_2026[[#This Row],[Codigo]],Plan_cuentas[],4,FALSE)," ")</f>
        <v>Rentas</v>
      </c>
      <c r="H574" t="str">
        <f>IFERROR(+VLOOKUP(Movimientos_2026[[#This Row],[Codigo]],Plan_cuentas[],5,FALSE)," ")</f>
        <v>CHACO</v>
      </c>
      <c r="I574" s="43">
        <v>46023</v>
      </c>
      <c r="J574" t="s">
        <v>252</v>
      </c>
      <c r="K574" t="str">
        <f>IFERROR(+VLOOKUP(Movimientos_2026[[#This Row],[Codigo]],Plan_cuentas[],6,FALSE)," ")</f>
        <v>3 - GM - Chevrolet</v>
      </c>
      <c r="L574" s="50"/>
      <c r="M574" s="52">
        <v>48069568.829999998</v>
      </c>
      <c r="N574" s="20">
        <f>+Movimientos_2026[[#This Row],[Ingresos]]-Movimientos_2026[[#This Row],[Egresos]]</f>
        <v>-48069568.829999998</v>
      </c>
      <c r="O574" s="20">
        <f>+O573+Movimientos_2026[[#This Row],[Neto]]</f>
        <v>5336735138.3409433</v>
      </c>
    </row>
    <row r="575" spans="1:15" x14ac:dyDescent="0.25">
      <c r="A575" s="13">
        <v>46066</v>
      </c>
      <c r="B575" s="12">
        <f>MONTH(Movimientos_2026[[#This Row],[Fecha]])</f>
        <v>2</v>
      </c>
      <c r="C575" s="12" t="str">
        <f>VLOOKUP((WEEKDAY(Movimientos_2026[[#This Row],[Fecha]],2)),'5. Setup'!$D$6:$E$12,2,FALSE)</f>
        <v>Vie</v>
      </c>
      <c r="D575">
        <v>2014353</v>
      </c>
      <c r="E575" t="str">
        <f>IFERROR(+VLOOKUP(Movimientos_2026[[#This Row],[Codigo]],Plan_cuentas[],2,FALSE)," ")</f>
        <v>EGRESOS</v>
      </c>
      <c r="F575" t="str">
        <f>IFERROR(+VLOOKUP(Movimientos_2026[[#This Row],[Codigo]],Plan_cuentas[],3,FALSE)," ")</f>
        <v>BtoB</v>
      </c>
      <c r="G575" t="str">
        <f>IFERROR(+VLOOKUP(Movimientos_2026[[#This Row],[Codigo]],Plan_cuentas[],4,FALSE)," ")</f>
        <v>Rentas</v>
      </c>
      <c r="H575" t="str">
        <f>IFERROR(+VLOOKUP(Movimientos_2026[[#This Row],[Codigo]],Plan_cuentas[],5,FALSE)," ")</f>
        <v>SAN JUAN</v>
      </c>
      <c r="I575" s="43">
        <v>46023</v>
      </c>
      <c r="J575" t="s">
        <v>253</v>
      </c>
      <c r="K575" t="str">
        <f>IFERROR(+VLOOKUP(Movimientos_2026[[#This Row],[Codigo]],Plan_cuentas[],6,FALSE)," ")</f>
        <v>3 - GM - Chevrolet</v>
      </c>
      <c r="L575" s="50"/>
      <c r="M575" s="52">
        <v>5490664.6399999997</v>
      </c>
      <c r="N575" s="20">
        <f>+Movimientos_2026[[#This Row],[Ingresos]]-Movimientos_2026[[#This Row],[Egresos]]</f>
        <v>-5490664.6399999997</v>
      </c>
      <c r="O575" s="20">
        <f>+O574+Movimientos_2026[[#This Row],[Neto]]</f>
        <v>5331244473.700943</v>
      </c>
    </row>
    <row r="576" spans="1:15" x14ac:dyDescent="0.25">
      <c r="A576" s="13">
        <v>46066</v>
      </c>
      <c r="B576" s="12">
        <f>MONTH(Movimientos_2026[[#This Row],[Fecha]])</f>
        <v>2</v>
      </c>
      <c r="C576" s="12" t="str">
        <f>VLOOKUP((WEEKDAY(Movimientos_2026[[#This Row],[Fecha]],2)),'5. Setup'!$D$6:$E$12,2,FALSE)</f>
        <v>Vie</v>
      </c>
      <c r="D576">
        <v>2044402</v>
      </c>
      <c r="E576" t="str">
        <f>IFERROR(+VLOOKUP(Movimientos_2026[[#This Row],[Codigo]],Plan_cuentas[],2,FALSE)," ")</f>
        <v>EGRESOS</v>
      </c>
      <c r="F576" t="str">
        <f>IFERROR(+VLOOKUP(Movimientos_2026[[#This Row],[Codigo]],Plan_cuentas[],3,FALSE)," ")</f>
        <v>Transferencia</v>
      </c>
      <c r="G576" t="str">
        <f>IFERROR(+VLOOKUP(Movimientos_2026[[#This Row],[Codigo]],Plan_cuentas[],4,FALSE)," ")</f>
        <v>Rentas</v>
      </c>
      <c r="H576" t="str">
        <f>IFERROR(+VLOOKUP(Movimientos_2026[[#This Row],[Codigo]],Plan_cuentas[],5,FALSE)," ")</f>
        <v>SANTIAGO DEL ESTERO</v>
      </c>
      <c r="I576" s="43">
        <v>46023</v>
      </c>
      <c r="J576" t="s">
        <v>253</v>
      </c>
      <c r="K576" t="str">
        <f>IFERROR(+VLOOKUP(Movimientos_2026[[#This Row],[Codigo]],Plan_cuentas[],6,FALSE)," ")</f>
        <v>2 - PR - Plan Rombo</v>
      </c>
      <c r="L576" s="50"/>
      <c r="M576" s="52">
        <v>28506395.684500009</v>
      </c>
      <c r="N576" s="20">
        <f>+Movimientos_2026[[#This Row],[Ingresos]]-Movimientos_2026[[#This Row],[Egresos]]</f>
        <v>-28506395.684500009</v>
      </c>
      <c r="O576" s="20">
        <f>+O575+Movimientos_2026[[#This Row],[Neto]]</f>
        <v>5302738078.0164433</v>
      </c>
    </row>
    <row r="577" spans="1:15" x14ac:dyDescent="0.25">
      <c r="A577" s="13">
        <v>46066</v>
      </c>
      <c r="B577" s="12">
        <f>MONTH(Movimientos_2026[[#This Row],[Fecha]])</f>
        <v>2</v>
      </c>
      <c r="C577" s="12" t="str">
        <f>VLOOKUP((WEEKDAY(Movimientos_2026[[#This Row],[Fecha]],2)),'5. Setup'!$D$6:$E$12,2,FALSE)</f>
        <v>Vie</v>
      </c>
      <c r="D577">
        <v>2044403</v>
      </c>
      <c r="E577" t="str">
        <f>IFERROR(+VLOOKUP(Movimientos_2026[[#This Row],[Codigo]],Plan_cuentas[],2,FALSE)," ")</f>
        <v>EGRESOS</v>
      </c>
      <c r="F577" t="str">
        <f>IFERROR(+VLOOKUP(Movimientos_2026[[#This Row],[Codigo]],Plan_cuentas[],3,FALSE)," ")</f>
        <v>Transferencia</v>
      </c>
      <c r="G577" t="str">
        <f>IFERROR(+VLOOKUP(Movimientos_2026[[#This Row],[Codigo]],Plan_cuentas[],4,FALSE)," ")</f>
        <v>Rentas</v>
      </c>
      <c r="H577" t="str">
        <f>IFERROR(+VLOOKUP(Movimientos_2026[[#This Row],[Codigo]],Plan_cuentas[],5,FALSE)," ")</f>
        <v>SANTIAGO DEL ESTERO</v>
      </c>
      <c r="I577" s="43">
        <v>46023</v>
      </c>
      <c r="J577" t="s">
        <v>254</v>
      </c>
      <c r="K577" t="str">
        <f>IFERROR(+VLOOKUP(Movimientos_2026[[#This Row],[Codigo]],Plan_cuentas[],6,FALSE)," ")</f>
        <v>3 - GM - Chevrolet</v>
      </c>
      <c r="L577" s="50"/>
      <c r="M577" s="52">
        <v>17142245.010000002</v>
      </c>
      <c r="N577" s="20">
        <f>+Movimientos_2026[[#This Row],[Ingresos]]-Movimientos_2026[[#This Row],[Egresos]]</f>
        <v>-17142245.010000002</v>
      </c>
      <c r="O577" s="20">
        <f>+O576+Movimientos_2026[[#This Row],[Neto]]</f>
        <v>5285595833.006443</v>
      </c>
    </row>
    <row r="578" spans="1:15" x14ac:dyDescent="0.25">
      <c r="A578" s="13">
        <v>46066</v>
      </c>
      <c r="B578" s="12">
        <f>MONTH(Movimientos_2026[[#This Row],[Fecha]])</f>
        <v>2</v>
      </c>
      <c r="C578" s="12" t="str">
        <f>VLOOKUP((WEEKDAY(Movimientos_2026[[#This Row],[Fecha]],2)),'5. Setup'!$D$6:$E$12,2,FALSE)</f>
        <v>Vie</v>
      </c>
      <c r="D578">
        <v>2023172</v>
      </c>
      <c r="E578" t="str">
        <f>IFERROR(+VLOOKUP(Movimientos_2026[[#This Row],[Codigo]],Plan_cuentas[],2,FALSE)," ")</f>
        <v>EGRESOS</v>
      </c>
      <c r="F578" t="str">
        <f>IFERROR(+VLOOKUP(Movimientos_2026[[#This Row],[Codigo]],Plan_cuentas[],3,FALSE)," ")</f>
        <v>DDJJ</v>
      </c>
      <c r="G578" t="str">
        <f>IFERROR(+VLOOKUP(Movimientos_2026[[#This Row],[Codigo]],Plan_cuentas[],4,FALSE)," ")</f>
        <v>Registración</v>
      </c>
      <c r="H578" t="str">
        <f>IFERROR(+VLOOKUP(Movimientos_2026[[#This Row],[Codigo]],Plan_cuentas[],5,FALSE)," ")</f>
        <v>CHUBUT</v>
      </c>
      <c r="I578" s="43">
        <v>46023</v>
      </c>
      <c r="J578" t="s">
        <v>255</v>
      </c>
      <c r="K578" t="str">
        <f>IFERROR(+VLOOKUP(Movimientos_2026[[#This Row],[Codigo]],Plan_cuentas[],6,FALSE)," ")</f>
        <v>2 - PR - Plan Rombo</v>
      </c>
      <c r="L578" s="50"/>
      <c r="M578" s="52">
        <v>22169156.879999999</v>
      </c>
      <c r="N578" s="20">
        <f>+Movimientos_2026[[#This Row],[Ingresos]]-Movimientos_2026[[#This Row],[Egresos]]</f>
        <v>-22169156.879999999</v>
      </c>
      <c r="O578" s="20">
        <f>+O577+Movimientos_2026[[#This Row],[Neto]]</f>
        <v>5263426676.1264429</v>
      </c>
    </row>
    <row r="579" spans="1:15" x14ac:dyDescent="0.25">
      <c r="A579" s="13">
        <v>46066</v>
      </c>
      <c r="B579" s="12">
        <f>MONTH(Movimientos_2026[[#This Row],[Fecha]])</f>
        <v>2</v>
      </c>
      <c r="C579" s="12" t="str">
        <f>VLOOKUP((WEEKDAY(Movimientos_2026[[#This Row],[Fecha]],2)),'5. Setup'!$D$6:$E$12,2,FALSE)</f>
        <v>Vie</v>
      </c>
      <c r="D579">
        <v>2023175</v>
      </c>
      <c r="E579" t="str">
        <f>IFERROR(+VLOOKUP(Movimientos_2026[[#This Row],[Codigo]],Plan_cuentas[],2,FALSE)," ")</f>
        <v>EGRESOS</v>
      </c>
      <c r="F579" t="str">
        <f>IFERROR(+VLOOKUP(Movimientos_2026[[#This Row],[Codigo]],Plan_cuentas[],3,FALSE)," ")</f>
        <v>DDJJ</v>
      </c>
      <c r="G579" t="str">
        <f>IFERROR(+VLOOKUP(Movimientos_2026[[#This Row],[Codigo]],Plan_cuentas[],4,FALSE)," ")</f>
        <v>Registración</v>
      </c>
      <c r="H579" t="str">
        <f>IFERROR(+VLOOKUP(Movimientos_2026[[#This Row],[Codigo]],Plan_cuentas[],5,FALSE)," ")</f>
        <v>CHUBUT</v>
      </c>
      <c r="I579" s="43">
        <v>46023</v>
      </c>
      <c r="J579" t="s">
        <v>255</v>
      </c>
      <c r="K579" t="str">
        <f>IFERROR(+VLOOKUP(Movimientos_2026[[#This Row],[Codigo]],Plan_cuentas[],6,FALSE)," ")</f>
        <v>5 - YAM - Yamaha</v>
      </c>
      <c r="L579" s="50"/>
      <c r="M579" s="52">
        <v>261213.5</v>
      </c>
      <c r="N579" s="20">
        <f>+Movimientos_2026[[#This Row],[Ingresos]]-Movimientos_2026[[#This Row],[Egresos]]</f>
        <v>-261213.5</v>
      </c>
      <c r="O579" s="20">
        <f>+O578+Movimientos_2026[[#This Row],[Neto]]</f>
        <v>5263165462.6264429</v>
      </c>
    </row>
    <row r="580" spans="1:15" x14ac:dyDescent="0.25">
      <c r="A580" s="13">
        <v>46066</v>
      </c>
      <c r="B580" s="12">
        <f>MONTH(Movimientos_2026[[#This Row],[Fecha]])</f>
        <v>2</v>
      </c>
      <c r="C580" s="12" t="str">
        <f>VLOOKUP((WEEKDAY(Movimientos_2026[[#This Row],[Fecha]],2)),'5. Setup'!$D$6:$E$12,2,FALSE)</f>
        <v>Vie</v>
      </c>
      <c r="D580">
        <v>2023176</v>
      </c>
      <c r="E580" t="str">
        <f>IFERROR(+VLOOKUP(Movimientos_2026[[#This Row],[Codigo]],Plan_cuentas[],2,FALSE)," ")</f>
        <v>EGRESOS</v>
      </c>
      <c r="F580" t="str">
        <f>IFERROR(+VLOOKUP(Movimientos_2026[[#This Row],[Codigo]],Plan_cuentas[],3,FALSE)," ")</f>
        <v>DDJJ</v>
      </c>
      <c r="G580" t="str">
        <f>IFERROR(+VLOOKUP(Movimientos_2026[[#This Row],[Codigo]],Plan_cuentas[],4,FALSE)," ")</f>
        <v>Registración</v>
      </c>
      <c r="H580" t="str">
        <f>IFERROR(+VLOOKUP(Movimientos_2026[[#This Row],[Codigo]],Plan_cuentas[],5,FALSE)," ")</f>
        <v>CHUBUT</v>
      </c>
      <c r="I580" s="43">
        <v>46023</v>
      </c>
      <c r="J580" t="s">
        <v>255</v>
      </c>
      <c r="K580" t="str">
        <f>IFERROR(+VLOOKUP(Movimientos_2026[[#This Row],[Codigo]],Plan_cuentas[],6,FALSE)," ")</f>
        <v>6 - FCAtr - Fiat Transf.</v>
      </c>
      <c r="L580" s="50"/>
      <c r="M580" s="52">
        <v>257929.89</v>
      </c>
      <c r="N580" s="20">
        <f>+Movimientos_2026[[#This Row],[Ingresos]]-Movimientos_2026[[#This Row],[Egresos]]</f>
        <v>-257929.89</v>
      </c>
      <c r="O580" s="20">
        <f>+O579+Movimientos_2026[[#This Row],[Neto]]</f>
        <v>5262907532.7364426</v>
      </c>
    </row>
    <row r="581" spans="1:15" x14ac:dyDescent="0.25">
      <c r="A581" s="13">
        <v>46066</v>
      </c>
      <c r="B581" s="12">
        <f>MONTH(Movimientos_2026[[#This Row],[Fecha]])</f>
        <v>2</v>
      </c>
      <c r="C581" s="12" t="str">
        <f>VLOOKUP((WEEKDAY(Movimientos_2026[[#This Row],[Fecha]],2)),'5. Setup'!$D$6:$E$12,2,FALSE)</f>
        <v>Vie</v>
      </c>
      <c r="D581">
        <v>2023177</v>
      </c>
      <c r="E581" t="str">
        <f>IFERROR(+VLOOKUP(Movimientos_2026[[#This Row],[Codigo]],Plan_cuentas[],2,FALSE)," ")</f>
        <v>EGRESOS</v>
      </c>
      <c r="F581" t="str">
        <f>IFERROR(+VLOOKUP(Movimientos_2026[[#This Row],[Codigo]],Plan_cuentas[],3,FALSE)," ")</f>
        <v>DDJJ</v>
      </c>
      <c r="G581" t="str">
        <f>IFERROR(+VLOOKUP(Movimientos_2026[[#This Row],[Codigo]],Plan_cuentas[],4,FALSE)," ")</f>
        <v>Registración</v>
      </c>
      <c r="H581" t="str">
        <f>IFERROR(+VLOOKUP(Movimientos_2026[[#This Row],[Codigo]],Plan_cuentas[],5,FALSE)," ")</f>
        <v>CHUBUT</v>
      </c>
      <c r="I581" s="43">
        <v>46023</v>
      </c>
      <c r="J581" t="s">
        <v>255</v>
      </c>
      <c r="K581" t="str">
        <f>IFERROR(+VLOOKUP(Movimientos_2026[[#This Row],[Codigo]],Plan_cuentas[],6,FALSE)," ")</f>
        <v>7 - PRtr - Plan Rombo Transf.</v>
      </c>
      <c r="L581" s="50"/>
      <c r="M581" s="52">
        <v>509278.81</v>
      </c>
      <c r="N581" s="20">
        <f>+Movimientos_2026[[#This Row],[Ingresos]]-Movimientos_2026[[#This Row],[Egresos]]</f>
        <v>-509278.81</v>
      </c>
      <c r="O581" s="20">
        <f>+O580+Movimientos_2026[[#This Row],[Neto]]</f>
        <v>5262398253.9264421</v>
      </c>
    </row>
    <row r="582" spans="1:15" x14ac:dyDescent="0.25">
      <c r="A582" s="13">
        <v>46066</v>
      </c>
      <c r="B582" s="12">
        <f>MONTH(Movimientos_2026[[#This Row],[Fecha]])</f>
        <v>2</v>
      </c>
      <c r="C582" s="12" t="str">
        <f>VLOOKUP((WEEKDAY(Movimientos_2026[[#This Row],[Fecha]],2)),'5. Setup'!$D$6:$E$12,2,FALSE)</f>
        <v>Vie</v>
      </c>
      <c r="D582">
        <v>2023341</v>
      </c>
      <c r="E582" t="str">
        <f>IFERROR(+VLOOKUP(Movimientos_2026[[#This Row],[Codigo]],Plan_cuentas[],2,FALSE)," ")</f>
        <v>EGRESOS</v>
      </c>
      <c r="F582" t="str">
        <f>IFERROR(+VLOOKUP(Movimientos_2026[[#This Row],[Codigo]],Plan_cuentas[],3,FALSE)," ")</f>
        <v>DDJJ</v>
      </c>
      <c r="G582" t="str">
        <f>IFERROR(+VLOOKUP(Movimientos_2026[[#This Row],[Codigo]],Plan_cuentas[],4,FALSE)," ")</f>
        <v>Registración</v>
      </c>
      <c r="H582" t="str">
        <f>IFERROR(+VLOOKUP(Movimientos_2026[[#This Row],[Codigo]],Plan_cuentas[],5,FALSE)," ")</f>
        <v>RIO NEGRO</v>
      </c>
      <c r="I582" s="43">
        <v>46023</v>
      </c>
      <c r="J582" t="s">
        <v>256</v>
      </c>
      <c r="K582" t="str">
        <f>IFERROR(+VLOOKUP(Movimientos_2026[[#This Row],[Codigo]],Plan_cuentas[],6,FALSE)," ")</f>
        <v>1 - VW - Volkswagen</v>
      </c>
      <c r="L582" s="50"/>
      <c r="M582" s="52">
        <v>50358002.130000003</v>
      </c>
      <c r="N582" s="20">
        <f>+Movimientos_2026[[#This Row],[Ingresos]]-Movimientos_2026[[#This Row],[Egresos]]</f>
        <v>-50358002.130000003</v>
      </c>
      <c r="O582" s="20">
        <f>+O581+Movimientos_2026[[#This Row],[Neto]]</f>
        <v>5212040251.796442</v>
      </c>
    </row>
    <row r="583" spans="1:15" x14ac:dyDescent="0.25">
      <c r="A583" s="13">
        <v>46071</v>
      </c>
      <c r="B583" s="12">
        <f>MONTH(Movimientos_2026[[#This Row],[Fecha]])</f>
        <v>2</v>
      </c>
      <c r="C583" s="12" t="str">
        <f>VLOOKUP((WEEKDAY(Movimientos_2026[[#This Row],[Fecha]],2)),'5. Setup'!$D$6:$E$12,2,FALSE)</f>
        <v>Mie</v>
      </c>
      <c r="D583">
        <v>2014361</v>
      </c>
      <c r="E583" t="str">
        <f>IFERROR(+VLOOKUP(Movimientos_2026[[#This Row],[Codigo]],Plan_cuentas[],2,FALSE)," ")</f>
        <v>EGRESOS</v>
      </c>
      <c r="F583" t="str">
        <f>IFERROR(+VLOOKUP(Movimientos_2026[[#This Row],[Codigo]],Plan_cuentas[],3,FALSE)," ")</f>
        <v>BtoB</v>
      </c>
      <c r="G583" t="str">
        <f>IFERROR(+VLOOKUP(Movimientos_2026[[#This Row],[Codigo]],Plan_cuentas[],4,FALSE)," ")</f>
        <v>Rentas</v>
      </c>
      <c r="H583" t="str">
        <f>IFERROR(+VLOOKUP(Movimientos_2026[[#This Row],[Codigo]],Plan_cuentas[],5,FALSE)," ")</f>
        <v>SAN LUIS</v>
      </c>
      <c r="I583" s="43">
        <v>46023</v>
      </c>
      <c r="J583" t="s">
        <v>257</v>
      </c>
      <c r="K583" t="str">
        <f>IFERROR(+VLOOKUP(Movimientos_2026[[#This Row],[Codigo]],Plan_cuentas[],6,FALSE)," ")</f>
        <v>1 - VW - Volkswagen</v>
      </c>
      <c r="L583" s="50"/>
      <c r="M583" s="50">
        <v>13694804.57</v>
      </c>
      <c r="N583" s="20">
        <f>+Movimientos_2026[[#This Row],[Ingresos]]-Movimientos_2026[[#This Row],[Egresos]]</f>
        <v>-13694804.57</v>
      </c>
      <c r="O583" s="20">
        <f>+O580+Movimientos_2026[[#This Row],[Neto]]</f>
        <v>5249212728.1664429</v>
      </c>
    </row>
    <row r="584" spans="1:15" x14ac:dyDescent="0.25">
      <c r="A584" s="13">
        <v>46071</v>
      </c>
      <c r="B584" s="12">
        <f>MONTH(Movimientos_2026[[#This Row],[Fecha]])</f>
        <v>2</v>
      </c>
      <c r="C584" s="12" t="str">
        <f>VLOOKUP((WEEKDAY(Movimientos_2026[[#This Row],[Fecha]],2)),'5. Setup'!$D$6:$E$12,2,FALSE)</f>
        <v>Mie</v>
      </c>
      <c r="D584">
        <v>2014171</v>
      </c>
      <c r="E584" t="str">
        <f>IFERROR(+VLOOKUP(Movimientos_2026[[#This Row],[Codigo]],Plan_cuentas[],2,FALSE)," ")</f>
        <v>EGRESOS</v>
      </c>
      <c r="F584" t="str">
        <f>IFERROR(+VLOOKUP(Movimientos_2026[[#This Row],[Codigo]],Plan_cuentas[],3,FALSE)," ")</f>
        <v>BtoB</v>
      </c>
      <c r="G584" t="str">
        <f>IFERROR(+VLOOKUP(Movimientos_2026[[#This Row],[Codigo]],Plan_cuentas[],4,FALSE)," ")</f>
        <v>Rentas</v>
      </c>
      <c r="H584" t="str">
        <f>IFERROR(+VLOOKUP(Movimientos_2026[[#This Row],[Codigo]],Plan_cuentas[],5,FALSE)," ")</f>
        <v>CHUBUT</v>
      </c>
      <c r="I584" s="43">
        <v>46023</v>
      </c>
      <c r="J584" t="s">
        <v>258</v>
      </c>
      <c r="K584" t="str">
        <f>IFERROR(+VLOOKUP(Movimientos_2026[[#This Row],[Codigo]],Plan_cuentas[],6,FALSE)," ")</f>
        <v>1 - VW - Volkswagen</v>
      </c>
      <c r="L584" s="50"/>
      <c r="M584" s="50">
        <v>17298637.190000001</v>
      </c>
      <c r="N584" s="20">
        <f>+Movimientos_2026[[#This Row],[Ingresos]]-Movimientos_2026[[#This Row],[Egresos]]</f>
        <v>-17298637.190000001</v>
      </c>
      <c r="O584" s="20">
        <f>+O583+Movimientos_2026[[#This Row],[Neto]]</f>
        <v>5231914090.9764433</v>
      </c>
    </row>
    <row r="585" spans="1:15" x14ac:dyDescent="0.25">
      <c r="A585" s="13">
        <v>46071</v>
      </c>
      <c r="B585" s="12">
        <f>MONTH(Movimientos_2026[[#This Row],[Fecha]])</f>
        <v>2</v>
      </c>
      <c r="C585" s="12" t="str">
        <f>VLOOKUP((WEEKDAY(Movimientos_2026[[#This Row],[Fecha]],2)),'5. Setup'!$D$6:$E$12,2,FALSE)</f>
        <v>Mie</v>
      </c>
      <c r="D585">
        <v>2014161</v>
      </c>
      <c r="E585" t="str">
        <f>IFERROR(+VLOOKUP(Movimientos_2026[[#This Row],[Codigo]],Plan_cuentas[],2,FALSE)," ")</f>
        <v>EGRESOS</v>
      </c>
      <c r="F585" t="str">
        <f>IFERROR(+VLOOKUP(Movimientos_2026[[#This Row],[Codigo]],Plan_cuentas[],3,FALSE)," ")</f>
        <v>BtoB</v>
      </c>
      <c r="G585" t="str">
        <f>IFERROR(+VLOOKUP(Movimientos_2026[[#This Row],[Codigo]],Plan_cuentas[],4,FALSE)," ")</f>
        <v>Rentas</v>
      </c>
      <c r="H585" t="str">
        <f>IFERROR(+VLOOKUP(Movimientos_2026[[#This Row],[Codigo]],Plan_cuentas[],5,FALSE)," ")</f>
        <v>CHACO</v>
      </c>
      <c r="I585" s="43">
        <v>46023</v>
      </c>
      <c r="J585" t="s">
        <v>259</v>
      </c>
      <c r="K585" t="str">
        <f>IFERROR(+VLOOKUP(Movimientos_2026[[#This Row],[Codigo]],Plan_cuentas[],6,FALSE)," ")</f>
        <v>1 - VW - Volkswagen</v>
      </c>
      <c r="L585" s="50"/>
      <c r="M585" s="50">
        <v>37703179.670000002</v>
      </c>
      <c r="N585" s="20">
        <f>+Movimientos_2026[[#This Row],[Ingresos]]-Movimientos_2026[[#This Row],[Egresos]]</f>
        <v>-37703179.670000002</v>
      </c>
      <c r="O585" s="20">
        <f>+O584+Movimientos_2026[[#This Row],[Neto]]</f>
        <v>5194210911.3064432</v>
      </c>
    </row>
    <row r="586" spans="1:15" x14ac:dyDescent="0.25">
      <c r="A586" s="13">
        <v>46071</v>
      </c>
      <c r="B586" s="12">
        <f>MONTH(Movimientos_2026[[#This Row],[Fecha]])</f>
        <v>2</v>
      </c>
      <c r="C586" s="12" t="str">
        <f>VLOOKUP((WEEKDAY(Movimientos_2026[[#This Row],[Fecha]],2)),'5. Setup'!$D$6:$E$12,2,FALSE)</f>
        <v>Mie</v>
      </c>
      <c r="D586">
        <v>2014263</v>
      </c>
      <c r="E586" t="str">
        <f>IFERROR(+VLOOKUP(Movimientos_2026[[#This Row],[Codigo]],Plan_cuentas[],2,FALSE)," ")</f>
        <v>EGRESOS</v>
      </c>
      <c r="F586" t="str">
        <f>IFERROR(+VLOOKUP(Movimientos_2026[[#This Row],[Codigo]],Plan_cuentas[],3,FALSE)," ")</f>
        <v>BtoB</v>
      </c>
      <c r="G586" t="str">
        <f>IFERROR(+VLOOKUP(Movimientos_2026[[#This Row],[Codigo]],Plan_cuentas[],4,FALSE)," ")</f>
        <v>Rentas</v>
      </c>
      <c r="H586" t="str">
        <f>IFERROR(+VLOOKUP(Movimientos_2026[[#This Row],[Codigo]],Plan_cuentas[],5,FALSE)," ")</f>
        <v>LA PAMPA</v>
      </c>
      <c r="I586" s="43">
        <v>46023</v>
      </c>
      <c r="J586" t="s">
        <v>260</v>
      </c>
      <c r="K586" t="str">
        <f>IFERROR(+VLOOKUP(Movimientos_2026[[#This Row],[Codigo]],Plan_cuentas[],6,FALSE)," ")</f>
        <v>3 - GM - Chevrolet</v>
      </c>
      <c r="L586" s="50"/>
      <c r="M586" s="52">
        <v>5896701.8300000001</v>
      </c>
      <c r="N586" s="20">
        <f>+Movimientos_2026[[#This Row],[Ingresos]]-Movimientos_2026[[#This Row],[Egresos]]</f>
        <v>-5896701.8300000001</v>
      </c>
      <c r="O586" s="20">
        <f>+O585+Movimientos_2026[[#This Row],[Neto]]</f>
        <v>5188314209.4764433</v>
      </c>
    </row>
    <row r="587" spans="1:15" x14ac:dyDescent="0.25">
      <c r="A587" s="13">
        <v>46071</v>
      </c>
      <c r="B587" s="12">
        <f>MONTH(Movimientos_2026[[#This Row],[Fecha]])</f>
        <v>2</v>
      </c>
      <c r="C587" s="12" t="str">
        <f>VLOOKUP((WEEKDAY(Movimientos_2026[[#This Row],[Fecha]],2)),'5. Setup'!$D$6:$E$12,2,FALSE)</f>
        <v>Mie</v>
      </c>
      <c r="D587">
        <v>2044401</v>
      </c>
      <c r="E587" t="str">
        <f>IFERROR(+VLOOKUP(Movimientos_2026[[#This Row],[Codigo]],Plan_cuentas[],2,FALSE)," ")</f>
        <v>EGRESOS</v>
      </c>
      <c r="F587" t="str">
        <f>IFERROR(+VLOOKUP(Movimientos_2026[[#This Row],[Codigo]],Plan_cuentas[],3,FALSE)," ")</f>
        <v>Transferencia</v>
      </c>
      <c r="G587" t="str">
        <f>IFERROR(+VLOOKUP(Movimientos_2026[[#This Row],[Codigo]],Plan_cuentas[],4,FALSE)," ")</f>
        <v>Rentas</v>
      </c>
      <c r="H587" t="str">
        <f>IFERROR(+VLOOKUP(Movimientos_2026[[#This Row],[Codigo]],Plan_cuentas[],5,FALSE)," ")</f>
        <v>SANTIAGO DEL ESTERO</v>
      </c>
      <c r="I587" s="43">
        <v>46023</v>
      </c>
      <c r="J587" t="s">
        <v>261</v>
      </c>
      <c r="K587" t="str">
        <f>IFERROR(+VLOOKUP(Movimientos_2026[[#This Row],[Codigo]],Plan_cuentas[],6,FALSE)," ")</f>
        <v>1 - VW - Volkswagen</v>
      </c>
      <c r="L587" s="50"/>
      <c r="M587" s="52">
        <v>36219282.420000002</v>
      </c>
      <c r="N587" s="20">
        <f>+Movimientos_2026[[#This Row],[Ingresos]]-Movimientos_2026[[#This Row],[Egresos]]</f>
        <v>-36219282.420000002</v>
      </c>
      <c r="O587" s="20">
        <f>+O586+Movimientos_2026[[#This Row],[Neto]]</f>
        <v>5152094927.0564432</v>
      </c>
    </row>
    <row r="588" spans="1:15" x14ac:dyDescent="0.25">
      <c r="A588" s="13">
        <v>46071</v>
      </c>
      <c r="B588" s="12">
        <f>MONTH(Movimientos_2026[[#This Row],[Fecha]])</f>
        <v>2</v>
      </c>
      <c r="C588" s="12" t="str">
        <f>VLOOKUP((WEEKDAY(Movimientos_2026[[#This Row],[Fecha]],2)),'5. Setup'!$D$6:$E$12,2,FALSE)</f>
        <v>Mie</v>
      </c>
      <c r="D588">
        <v>2044465</v>
      </c>
      <c r="E588" t="str">
        <f>IFERROR(+VLOOKUP(Movimientos_2026[[#This Row],[Codigo]],Plan_cuentas[],2,FALSE)," ")</f>
        <v>EGRESOS</v>
      </c>
      <c r="F588" t="str">
        <f>IFERROR(+VLOOKUP(Movimientos_2026[[#This Row],[Codigo]],Plan_cuentas[],3,FALSE)," ")</f>
        <v>Transferencia</v>
      </c>
      <c r="G588" t="str">
        <f>IFERROR(+VLOOKUP(Movimientos_2026[[#This Row],[Codigo]],Plan_cuentas[],4,FALSE)," ")</f>
        <v>Rentas</v>
      </c>
      <c r="H588" t="str">
        <f>IFERROR(+VLOOKUP(Movimientos_2026[[#This Row],[Codigo]],Plan_cuentas[],5,FALSE)," ")</f>
        <v>MISIONES</v>
      </c>
      <c r="I588" s="43">
        <v>46023</v>
      </c>
      <c r="J588" t="s">
        <v>262</v>
      </c>
      <c r="K588" t="str">
        <f>IFERROR(+VLOOKUP(Movimientos_2026[[#This Row],[Codigo]],Plan_cuentas[],6,FALSE)," ")</f>
        <v>5 - YAM - Yamaha</v>
      </c>
      <c r="L588" s="50"/>
      <c r="M588" s="52">
        <v>820795.29200000002</v>
      </c>
      <c r="N588" s="20">
        <f>+Movimientos_2026[[#This Row],[Ingresos]]-Movimientos_2026[[#This Row],[Egresos]]</f>
        <v>-820795.29200000002</v>
      </c>
      <c r="O588" s="20">
        <f>+O587+Movimientos_2026[[#This Row],[Neto]]</f>
        <v>5151274131.7644434</v>
      </c>
    </row>
    <row r="589" spans="1:15" x14ac:dyDescent="0.25">
      <c r="A589" s="13">
        <v>46071</v>
      </c>
      <c r="B589" s="12">
        <f>MONTH(Movimientos_2026[[#This Row],[Fecha]])</f>
        <v>2</v>
      </c>
      <c r="C589" s="12" t="str">
        <f>VLOOKUP((WEEKDAY(Movimientos_2026[[#This Row],[Fecha]],2)),'5. Setup'!$D$6:$E$12,2,FALSE)</f>
        <v>Mie</v>
      </c>
      <c r="D589">
        <v>2014352</v>
      </c>
      <c r="E589" t="str">
        <f>IFERROR(+VLOOKUP(Movimientos_2026[[#This Row],[Codigo]],Plan_cuentas[],2,FALSE)," ")</f>
        <v>EGRESOS</v>
      </c>
      <c r="F589" t="str">
        <f>IFERROR(+VLOOKUP(Movimientos_2026[[#This Row],[Codigo]],Plan_cuentas[],3,FALSE)," ")</f>
        <v>BtoB</v>
      </c>
      <c r="G589" t="str">
        <f>IFERROR(+VLOOKUP(Movimientos_2026[[#This Row],[Codigo]],Plan_cuentas[],4,FALSE)," ")</f>
        <v>Rentas</v>
      </c>
      <c r="H589" t="str">
        <f>IFERROR(+VLOOKUP(Movimientos_2026[[#This Row],[Codigo]],Plan_cuentas[],5,FALSE)," ")</f>
        <v>SAN JUAN</v>
      </c>
      <c r="I589" s="43">
        <v>46023</v>
      </c>
      <c r="J589" t="s">
        <v>263</v>
      </c>
      <c r="K589" t="str">
        <f>IFERROR(+VLOOKUP(Movimientos_2026[[#This Row],[Codigo]],Plan_cuentas[],6,FALSE)," ")</f>
        <v>2 - PR - Plan Rombo</v>
      </c>
      <c r="L589" s="50"/>
      <c r="M589" s="50">
        <v>6111429.0300000003</v>
      </c>
      <c r="N589" s="20">
        <f>+Movimientos_2026[[#This Row],[Ingresos]]-Movimientos_2026[[#This Row],[Egresos]]</f>
        <v>-6111429.0300000003</v>
      </c>
      <c r="O589" s="20">
        <f>+O588+Movimientos_2026[[#This Row],[Neto]]</f>
        <v>5145162702.7344437</v>
      </c>
    </row>
    <row r="590" spans="1:15" x14ac:dyDescent="0.25">
      <c r="A590" s="13">
        <v>46071</v>
      </c>
      <c r="B590" s="12">
        <f>MONTH(Movimientos_2026[[#This Row],[Fecha]])</f>
        <v>2</v>
      </c>
      <c r="C590" s="12" t="str">
        <f>VLOOKUP((WEEKDAY(Movimientos_2026[[#This Row],[Fecha]],2)),'5. Setup'!$D$6:$E$12,2,FALSE)</f>
        <v>Mie</v>
      </c>
      <c r="D590">
        <v>2014354</v>
      </c>
      <c r="E590" t="str">
        <f>IFERROR(+VLOOKUP(Movimientos_2026[[#This Row],[Codigo]],Plan_cuentas[],2,FALSE)," ")</f>
        <v>EGRESOS</v>
      </c>
      <c r="F590" t="str">
        <f>IFERROR(+VLOOKUP(Movimientos_2026[[#This Row],[Codigo]],Plan_cuentas[],3,FALSE)," ")</f>
        <v>BtoB</v>
      </c>
      <c r="G590" t="str">
        <f>IFERROR(+VLOOKUP(Movimientos_2026[[#This Row],[Codigo]],Plan_cuentas[],4,FALSE)," ")</f>
        <v>Rentas</v>
      </c>
      <c r="H590" t="str">
        <f>IFERROR(+VLOOKUP(Movimientos_2026[[#This Row],[Codigo]],Plan_cuentas[],5,FALSE)," ")</f>
        <v>SAN JUAN</v>
      </c>
      <c r="I590" s="43">
        <v>46023</v>
      </c>
      <c r="J590" t="s">
        <v>264</v>
      </c>
      <c r="K590" t="str">
        <f>IFERROR(+VLOOKUP(Movimientos_2026[[#This Row],[Codigo]],Plan_cuentas[],6,FALSE)," ")</f>
        <v>4 - FCA - Fiat</v>
      </c>
      <c r="L590" s="50"/>
      <c r="M590" s="51">
        <v>6532744</v>
      </c>
      <c r="N590" s="20">
        <f>+Movimientos_2026[[#This Row],[Ingresos]]-Movimientos_2026[[#This Row],[Egresos]]</f>
        <v>-6532744</v>
      </c>
      <c r="O590" s="20">
        <f>+O589+Movimientos_2026[[#This Row],[Neto]]</f>
        <v>5138629958.7344437</v>
      </c>
    </row>
    <row r="591" spans="1:15" x14ac:dyDescent="0.25">
      <c r="A591" s="13">
        <v>46071</v>
      </c>
      <c r="B591" s="12">
        <f>MONTH(Movimientos_2026[[#This Row],[Fecha]])</f>
        <v>2</v>
      </c>
      <c r="C591" s="12" t="str">
        <f>VLOOKUP((WEEKDAY(Movimientos_2026[[#This Row],[Fecha]],2)),'5. Setup'!$D$6:$E$12,2,FALSE)</f>
        <v>Mie</v>
      </c>
      <c r="D591">
        <v>2014356</v>
      </c>
      <c r="E591" t="str">
        <f>IFERROR(+VLOOKUP(Movimientos_2026[[#This Row],[Codigo]],Plan_cuentas[],2,FALSE)," ")</f>
        <v>EGRESOS</v>
      </c>
      <c r="F591" t="str">
        <f>IFERROR(+VLOOKUP(Movimientos_2026[[#This Row],[Codigo]],Plan_cuentas[],3,FALSE)," ")</f>
        <v>BtoB</v>
      </c>
      <c r="G591" t="str">
        <f>IFERROR(+VLOOKUP(Movimientos_2026[[#This Row],[Codigo]],Plan_cuentas[],4,FALSE)," ")</f>
        <v>Rentas</v>
      </c>
      <c r="H591" t="str">
        <f>IFERROR(+VLOOKUP(Movimientos_2026[[#This Row],[Codigo]],Plan_cuentas[],5,FALSE)," ")</f>
        <v>SAN JUAN</v>
      </c>
      <c r="I591" s="43">
        <v>46023</v>
      </c>
      <c r="J591" t="s">
        <v>264</v>
      </c>
      <c r="K591" t="str">
        <f>IFERROR(+VLOOKUP(Movimientos_2026[[#This Row],[Codigo]],Plan_cuentas[],6,FALSE)," ")</f>
        <v>6 - FCAtr - Fiat Transf.</v>
      </c>
      <c r="L591" s="50"/>
      <c r="M591" s="50">
        <v>1643446.78</v>
      </c>
      <c r="N591" s="20">
        <f>+Movimientos_2026[[#This Row],[Ingresos]]-Movimientos_2026[[#This Row],[Egresos]]</f>
        <v>-1643446.78</v>
      </c>
      <c r="O591" s="20">
        <f>+O590+Movimientos_2026[[#This Row],[Neto]]</f>
        <v>5136986511.9544439</v>
      </c>
    </row>
    <row r="592" spans="1:15" x14ac:dyDescent="0.25">
      <c r="A592" s="13">
        <v>46071</v>
      </c>
      <c r="B592" s="12">
        <f>MONTH(Movimientos_2026[[#This Row],[Fecha]])</f>
        <v>2</v>
      </c>
      <c r="C592" s="12" t="str">
        <f>VLOOKUP((WEEKDAY(Movimientos_2026[[#This Row],[Fecha]],2)),'5. Setup'!$D$6:$E$12,2,FALSE)</f>
        <v>Mie</v>
      </c>
      <c r="D592">
        <v>1045451</v>
      </c>
      <c r="E592" t="str">
        <f>IFERROR(+VLOOKUP(Movimientos_2026[[#This Row],[Codigo]],Plan_cuentas[],2,FALSE)," ")</f>
        <v>INGRESOS</v>
      </c>
      <c r="F592" t="str">
        <f>IFERROR(+VLOOKUP(Movimientos_2026[[#This Row],[Codigo]],Plan_cuentas[],3,FALSE)," ")</f>
        <v>Transferencia</v>
      </c>
      <c r="G592" t="str">
        <f>IFERROR(+VLOOKUP(Movimientos_2026[[#This Row],[Codigo]],Plan_cuentas[],4,FALSE)," ")</f>
        <v>Factura</v>
      </c>
      <c r="H592" t="str">
        <f>IFERROR(+VLOOKUP(Movimientos_2026[[#This Row],[Codigo]],Plan_cuentas[],5,FALSE)," ")</f>
        <v>FC DERECHOS</v>
      </c>
      <c r="I592" s="43">
        <v>45992</v>
      </c>
      <c r="J592" t="s">
        <v>265</v>
      </c>
      <c r="K592" t="str">
        <f>IFERROR(+VLOOKUP(Movimientos_2026[[#This Row],[Codigo]],Plan_cuentas[],6,FALSE)," ")</f>
        <v>1 - VW - Volkswagen</v>
      </c>
      <c r="L592" s="50">
        <v>52231982.880000003</v>
      </c>
      <c r="M592" s="52"/>
      <c r="N592" s="20">
        <f>+Movimientos_2026[[#This Row],[Ingresos]]-Movimientos_2026[[#This Row],[Egresos]]</f>
        <v>52231982.880000003</v>
      </c>
      <c r="O592" s="20">
        <f>+O591+Movimientos_2026[[#This Row],[Neto]]</f>
        <v>5189218494.834444</v>
      </c>
    </row>
    <row r="593" spans="1:15" x14ac:dyDescent="0.25">
      <c r="A593" s="13">
        <v>46071</v>
      </c>
      <c r="B593" s="12">
        <f>MONTH(Movimientos_2026[[#This Row],[Fecha]])</f>
        <v>2</v>
      </c>
      <c r="C593" s="12" t="str">
        <f>VLOOKUP((WEEKDAY(Movimientos_2026[[#This Row],[Fecha]],2)),'5. Setup'!$D$6:$E$12,2,FALSE)</f>
        <v>Mie</v>
      </c>
      <c r="D593">
        <v>1045451</v>
      </c>
      <c r="E593" t="str">
        <f>IFERROR(+VLOOKUP(Movimientos_2026[[#This Row],[Codigo]],Plan_cuentas[],2,FALSE)," ")</f>
        <v>INGRESOS</v>
      </c>
      <c r="F593" t="str">
        <f>IFERROR(+VLOOKUP(Movimientos_2026[[#This Row],[Codigo]],Plan_cuentas[],3,FALSE)," ")</f>
        <v>Transferencia</v>
      </c>
      <c r="G593" t="str">
        <f>IFERROR(+VLOOKUP(Movimientos_2026[[#This Row],[Codigo]],Plan_cuentas[],4,FALSE)," ")</f>
        <v>Factura</v>
      </c>
      <c r="H593" t="str">
        <f>IFERROR(+VLOOKUP(Movimientos_2026[[#This Row],[Codigo]],Plan_cuentas[],5,FALSE)," ")</f>
        <v>FC DERECHOS</v>
      </c>
      <c r="I593" s="43">
        <v>45992</v>
      </c>
      <c r="J593" t="s">
        <v>266</v>
      </c>
      <c r="K593" t="str">
        <f>IFERROR(+VLOOKUP(Movimientos_2026[[#This Row],[Codigo]],Plan_cuentas[],6,FALSE)," ")</f>
        <v>1 - VW - Volkswagen</v>
      </c>
      <c r="L593" s="50">
        <v>39788012.890000001</v>
      </c>
      <c r="M593" s="52"/>
      <c r="N593" s="20">
        <f>+Movimientos_2026[[#This Row],[Ingresos]]-Movimientos_2026[[#This Row],[Egresos]]</f>
        <v>39788012.890000001</v>
      </c>
      <c r="O593" s="20">
        <f>+O592+Movimientos_2026[[#This Row],[Neto]]</f>
        <v>5229006507.7244444</v>
      </c>
    </row>
    <row r="594" spans="1:15" x14ac:dyDescent="0.25">
      <c r="A594" s="13">
        <v>46071</v>
      </c>
      <c r="B594" s="12">
        <f>MONTH(Movimientos_2026[[#This Row],[Fecha]])</f>
        <v>2</v>
      </c>
      <c r="C594" s="12" t="str">
        <f>VLOOKUP((WEEKDAY(Movimientos_2026[[#This Row],[Fecha]],2)),'5. Setup'!$D$6:$E$12,2,FALSE)</f>
        <v>Mie</v>
      </c>
      <c r="D594">
        <v>1045451</v>
      </c>
      <c r="E594" t="str">
        <f>IFERROR(+VLOOKUP(Movimientos_2026[[#This Row],[Codigo]],Plan_cuentas[],2,FALSE)," ")</f>
        <v>INGRESOS</v>
      </c>
      <c r="F594" t="str">
        <f>IFERROR(+VLOOKUP(Movimientos_2026[[#This Row],[Codigo]],Plan_cuentas[],3,FALSE)," ")</f>
        <v>Transferencia</v>
      </c>
      <c r="G594" t="str">
        <f>IFERROR(+VLOOKUP(Movimientos_2026[[#This Row],[Codigo]],Plan_cuentas[],4,FALSE)," ")</f>
        <v>Factura</v>
      </c>
      <c r="H594" t="str">
        <f>IFERROR(+VLOOKUP(Movimientos_2026[[#This Row],[Codigo]],Plan_cuentas[],5,FALSE)," ")</f>
        <v>FC DERECHOS</v>
      </c>
      <c r="I594" s="43">
        <v>46023</v>
      </c>
      <c r="J594" t="s">
        <v>267</v>
      </c>
      <c r="K594" t="str">
        <f>IFERROR(+VLOOKUP(Movimientos_2026[[#This Row],[Codigo]],Plan_cuentas[],6,FALSE)," ")</f>
        <v>1 - VW - Volkswagen</v>
      </c>
      <c r="L594" s="50">
        <v>49788498.5</v>
      </c>
      <c r="M594" s="50"/>
      <c r="N594" s="20">
        <f>+Movimientos_2026[[#This Row],[Ingresos]]-Movimientos_2026[[#This Row],[Egresos]]</f>
        <v>49788498.5</v>
      </c>
      <c r="O594" s="20">
        <f>+O593+Movimientos_2026[[#This Row],[Neto]]</f>
        <v>5278795006.2244444</v>
      </c>
    </row>
    <row r="595" spans="1:15" x14ac:dyDescent="0.25">
      <c r="A595" s="13">
        <v>46071</v>
      </c>
      <c r="B595" s="12">
        <f>MONTH(Movimientos_2026[[#This Row],[Fecha]])</f>
        <v>2</v>
      </c>
      <c r="C595" s="12" t="str">
        <f>VLOOKUP((WEEKDAY(Movimientos_2026[[#This Row],[Fecha]],2)),'5. Setup'!$D$6:$E$12,2,FALSE)</f>
        <v>Mie</v>
      </c>
      <c r="D595">
        <v>1045451</v>
      </c>
      <c r="E595" t="str">
        <f>IFERROR(+VLOOKUP(Movimientos_2026[[#This Row],[Codigo]],Plan_cuentas[],2,FALSE)," ")</f>
        <v>INGRESOS</v>
      </c>
      <c r="F595" t="str">
        <f>IFERROR(+VLOOKUP(Movimientos_2026[[#This Row],[Codigo]],Plan_cuentas[],3,FALSE)," ")</f>
        <v>Transferencia</v>
      </c>
      <c r="G595" t="str">
        <f>IFERROR(+VLOOKUP(Movimientos_2026[[#This Row],[Codigo]],Plan_cuentas[],4,FALSE)," ")</f>
        <v>Factura</v>
      </c>
      <c r="H595" t="str">
        <f>IFERROR(+VLOOKUP(Movimientos_2026[[#This Row],[Codigo]],Plan_cuentas[],5,FALSE)," ")</f>
        <v>FC DERECHOS</v>
      </c>
      <c r="I595" s="43">
        <v>45992</v>
      </c>
      <c r="J595" t="s">
        <v>268</v>
      </c>
      <c r="K595" t="str">
        <f>IFERROR(+VLOOKUP(Movimientos_2026[[#This Row],[Codigo]],Plan_cuentas[],6,FALSE)," ")</f>
        <v>1 - VW - Volkswagen</v>
      </c>
      <c r="L595" s="50">
        <v>2835542.38</v>
      </c>
      <c r="M595" s="50"/>
      <c r="N595" s="20">
        <f>+Movimientos_2026[[#This Row],[Ingresos]]-Movimientos_2026[[#This Row],[Egresos]]</f>
        <v>2835542.38</v>
      </c>
      <c r="O595" s="20">
        <f>+O594+Movimientos_2026[[#This Row],[Neto]]</f>
        <v>5281630548.6044445</v>
      </c>
    </row>
    <row r="596" spans="1:15" x14ac:dyDescent="0.25">
      <c r="A596" s="13">
        <v>46071</v>
      </c>
      <c r="B596" s="12">
        <f>MONTH(Movimientos_2026[[#This Row],[Fecha]])</f>
        <v>2</v>
      </c>
      <c r="C596" s="12" t="str">
        <f>VLOOKUP((WEEKDAY(Movimientos_2026[[#This Row],[Fecha]],2)),'5. Setup'!$D$6:$E$12,2,FALSE)</f>
        <v>Mie</v>
      </c>
      <c r="D596">
        <v>1044212</v>
      </c>
      <c r="E596" t="str">
        <f>IFERROR(+VLOOKUP(Movimientos_2026[[#This Row],[Codigo]],Plan_cuentas[],2,FALSE)," ")</f>
        <v>INGRESOS</v>
      </c>
      <c r="F596" t="str">
        <f>IFERROR(+VLOOKUP(Movimientos_2026[[#This Row],[Codigo]],Plan_cuentas[],3,FALSE)," ")</f>
        <v>Transferencia</v>
      </c>
      <c r="G596" t="str">
        <f>IFERROR(+VLOOKUP(Movimientos_2026[[#This Row],[Codigo]],Plan_cuentas[],4,FALSE)," ")</f>
        <v>Rentas</v>
      </c>
      <c r="H596" t="str">
        <f>IFERROR(+VLOOKUP(Movimientos_2026[[#This Row],[Codigo]],Plan_cuentas[],5,FALSE)," ")</f>
        <v>CORRIENTES 2° Q</v>
      </c>
      <c r="I596" s="43">
        <v>46023</v>
      </c>
      <c r="J596" t="s">
        <v>269</v>
      </c>
      <c r="K596" t="str">
        <f>IFERROR(+VLOOKUP(Movimientos_2026[[#This Row],[Codigo]],Plan_cuentas[],6,FALSE)," ")</f>
        <v>2 - PR - Plan Rombo</v>
      </c>
      <c r="L596" s="50">
        <v>11937798.960000001</v>
      </c>
      <c r="M596" s="52"/>
      <c r="N596" s="20">
        <f>+Movimientos_2026[[#This Row],[Ingresos]]-Movimientos_2026[[#This Row],[Egresos]]</f>
        <v>11937798.960000001</v>
      </c>
      <c r="O596" s="20">
        <f>+O595+Movimientos_2026[[#This Row],[Neto]]</f>
        <v>5293568347.5644445</v>
      </c>
    </row>
    <row r="597" spans="1:15" x14ac:dyDescent="0.25">
      <c r="A597" s="13">
        <v>46071</v>
      </c>
      <c r="B597" s="12">
        <f>MONTH(Movimientos_2026[[#This Row],[Fecha]])</f>
        <v>2</v>
      </c>
      <c r="C597" s="12" t="str">
        <f>VLOOKUP((WEEKDAY(Movimientos_2026[[#This Row],[Fecha]],2)),'5. Setup'!$D$6:$E$12,2,FALSE)</f>
        <v>Mie</v>
      </c>
      <c r="D597">
        <v>1044462</v>
      </c>
      <c r="E597" t="str">
        <f>IFERROR(+VLOOKUP(Movimientos_2026[[#This Row],[Codigo]],Plan_cuentas[],2,FALSE)," ")</f>
        <v>INGRESOS</v>
      </c>
      <c r="F597" t="str">
        <f>IFERROR(+VLOOKUP(Movimientos_2026[[#This Row],[Codigo]],Plan_cuentas[],3,FALSE)," ")</f>
        <v>Transferencia</v>
      </c>
      <c r="G597" t="str">
        <f>IFERROR(+VLOOKUP(Movimientos_2026[[#This Row],[Codigo]],Plan_cuentas[],4,FALSE)," ")</f>
        <v>Rentas</v>
      </c>
      <c r="H597" t="str">
        <f>IFERROR(+VLOOKUP(Movimientos_2026[[#This Row],[Codigo]],Plan_cuentas[],5,FALSE)," ")</f>
        <v>MISIONES</v>
      </c>
      <c r="I597" s="43">
        <v>46023</v>
      </c>
      <c r="J597" t="s">
        <v>269</v>
      </c>
      <c r="K597" t="str">
        <f>IFERROR(+VLOOKUP(Movimientos_2026[[#This Row],[Codigo]],Plan_cuentas[],6,FALSE)," ")</f>
        <v>2 - PR - Plan Rombo</v>
      </c>
      <c r="L597" s="50">
        <v>7961506.8799999999</v>
      </c>
      <c r="M597" s="52"/>
      <c r="N597" s="20">
        <f>+Movimientos_2026[[#This Row],[Ingresos]]-Movimientos_2026[[#This Row],[Egresos]]</f>
        <v>7961506.8799999999</v>
      </c>
      <c r="O597" s="20">
        <f>+O596+Movimientos_2026[[#This Row],[Neto]]</f>
        <v>5301529854.4444447</v>
      </c>
    </row>
    <row r="598" spans="1:15" x14ac:dyDescent="0.25">
      <c r="A598" s="13">
        <v>46071</v>
      </c>
      <c r="B598" s="12">
        <f>MONTH(Movimientos_2026[[#This Row],[Fecha]])</f>
        <v>2</v>
      </c>
      <c r="C598" s="12" t="str">
        <f>VLOOKUP((WEEKDAY(Movimientos_2026[[#This Row],[Fecha]],2)),'5. Setup'!$D$6:$E$12,2,FALSE)</f>
        <v>Mie</v>
      </c>
      <c r="D598">
        <v>1044322</v>
      </c>
      <c r="E598" t="str">
        <f>IFERROR(+VLOOKUP(Movimientos_2026[[#This Row],[Codigo]],Plan_cuentas[],2,FALSE)," ")</f>
        <v>INGRESOS</v>
      </c>
      <c r="F598" t="str">
        <f>IFERROR(+VLOOKUP(Movimientos_2026[[#This Row],[Codigo]],Plan_cuentas[],3,FALSE)," ")</f>
        <v>Transferencia</v>
      </c>
      <c r="G598" t="str">
        <f>IFERROR(+VLOOKUP(Movimientos_2026[[#This Row],[Codigo]],Plan_cuentas[],4,FALSE)," ")</f>
        <v>Rentas</v>
      </c>
      <c r="H598" t="str">
        <f>IFERROR(+VLOOKUP(Movimientos_2026[[#This Row],[Codigo]],Plan_cuentas[],5,FALSE)," ")</f>
        <v>NEUQUEN 2° Q</v>
      </c>
      <c r="I598" s="43">
        <v>46023</v>
      </c>
      <c r="J598" t="s">
        <v>269</v>
      </c>
      <c r="K598" t="str">
        <f>IFERROR(+VLOOKUP(Movimientos_2026[[#This Row],[Codigo]],Plan_cuentas[],6,FALSE)," ")</f>
        <v>2 - PR - Plan Rombo</v>
      </c>
      <c r="L598" s="50">
        <v>28154300</v>
      </c>
      <c r="M598" s="52"/>
      <c r="N598" s="20">
        <f>+Movimientos_2026[[#This Row],[Ingresos]]-Movimientos_2026[[#This Row],[Egresos]]</f>
        <v>28154300</v>
      </c>
      <c r="O598" s="20">
        <f>+O597+Movimientos_2026[[#This Row],[Neto]]</f>
        <v>5329684154.4444447</v>
      </c>
    </row>
    <row r="599" spans="1:15" x14ac:dyDescent="0.25">
      <c r="A599" s="13">
        <v>46071</v>
      </c>
      <c r="B599" s="12">
        <f>MONTH(Movimientos_2026[[#This Row],[Fecha]])</f>
        <v>2</v>
      </c>
      <c r="C599" s="12" t="str">
        <f>VLOOKUP((WEEKDAY(Movimientos_2026[[#This Row],[Fecha]],2)),'5. Setup'!$D$6:$E$12,2,FALSE)</f>
        <v>Mie</v>
      </c>
      <c r="D599">
        <v>1044162</v>
      </c>
      <c r="E599" t="str">
        <f>IFERROR(+VLOOKUP(Movimientos_2026[[#This Row],[Codigo]],Plan_cuentas[],2,FALSE)," ")</f>
        <v>INGRESOS</v>
      </c>
      <c r="F599" t="str">
        <f>IFERROR(+VLOOKUP(Movimientos_2026[[#This Row],[Codigo]],Plan_cuentas[],3,FALSE)," ")</f>
        <v>Transferencia</v>
      </c>
      <c r="G599" t="str">
        <f>IFERROR(+VLOOKUP(Movimientos_2026[[#This Row],[Codigo]],Plan_cuentas[],4,FALSE)," ")</f>
        <v>Rentas</v>
      </c>
      <c r="H599" t="str">
        <f>IFERROR(+VLOOKUP(Movimientos_2026[[#This Row],[Codigo]],Plan_cuentas[],5,FALSE)," ")</f>
        <v>CHACO</v>
      </c>
      <c r="I599" s="43">
        <v>46023</v>
      </c>
      <c r="J599" t="s">
        <v>269</v>
      </c>
      <c r="K599" t="str">
        <f>IFERROR(+VLOOKUP(Movimientos_2026[[#This Row],[Codigo]],Plan_cuentas[],6,FALSE)," ")</f>
        <v>2 - PR - Plan Rombo</v>
      </c>
      <c r="L599" s="50">
        <v>1235711.31</v>
      </c>
      <c r="M599" s="52"/>
      <c r="N599" s="20">
        <f>+Movimientos_2026[[#This Row],[Ingresos]]-Movimientos_2026[[#This Row],[Egresos]]</f>
        <v>1235711.31</v>
      </c>
      <c r="O599" s="20">
        <f>+O598+Movimientos_2026[[#This Row],[Neto]]</f>
        <v>5330919865.7544451</v>
      </c>
    </row>
    <row r="600" spans="1:15" x14ac:dyDescent="0.25">
      <c r="A600" s="13">
        <v>46071</v>
      </c>
      <c r="B600" s="12">
        <f>MONTH(Movimientos_2026[[#This Row],[Fecha]])</f>
        <v>2</v>
      </c>
      <c r="C600" s="12" t="str">
        <f>VLOOKUP((WEEKDAY(Movimientos_2026[[#This Row],[Fecha]],2)),'5. Setup'!$D$6:$E$12,2,FALSE)</f>
        <v>Mie</v>
      </c>
      <c r="D600">
        <v>1044262</v>
      </c>
      <c r="E600" t="str">
        <f>IFERROR(+VLOOKUP(Movimientos_2026[[#This Row],[Codigo]],Plan_cuentas[],2,FALSE)," ")</f>
        <v>INGRESOS</v>
      </c>
      <c r="F600" t="str">
        <f>IFERROR(+VLOOKUP(Movimientos_2026[[#This Row],[Codigo]],Plan_cuentas[],3,FALSE)," ")</f>
        <v>Transferencia</v>
      </c>
      <c r="G600" t="str">
        <f>IFERROR(+VLOOKUP(Movimientos_2026[[#This Row],[Codigo]],Plan_cuentas[],4,FALSE)," ")</f>
        <v>Rentas</v>
      </c>
      <c r="H600" t="str">
        <f>IFERROR(+VLOOKUP(Movimientos_2026[[#This Row],[Codigo]],Plan_cuentas[],5,FALSE)," ")</f>
        <v>LA PAMPA</v>
      </c>
      <c r="I600" s="43">
        <v>46023</v>
      </c>
      <c r="J600" t="s">
        <v>269</v>
      </c>
      <c r="K600" t="str">
        <f>IFERROR(+VLOOKUP(Movimientos_2026[[#This Row],[Codigo]],Plan_cuentas[],6,FALSE)," ")</f>
        <v>2 - PR - Plan Rombo</v>
      </c>
      <c r="L600" s="50">
        <v>7862594.9400000004</v>
      </c>
      <c r="M600" s="52"/>
      <c r="N600" s="20">
        <f>+Movimientos_2026[[#This Row],[Ingresos]]-Movimientos_2026[[#This Row],[Egresos]]</f>
        <v>7862594.9400000004</v>
      </c>
      <c r="O600" s="20">
        <f>+O599+Movimientos_2026[[#This Row],[Neto]]</f>
        <v>5338782460.6944447</v>
      </c>
    </row>
    <row r="601" spans="1:15" x14ac:dyDescent="0.25">
      <c r="A601" s="13">
        <v>46071</v>
      </c>
      <c r="B601" s="12">
        <f>MONTH(Movimientos_2026[[#This Row],[Fecha]])</f>
        <v>2</v>
      </c>
      <c r="C601" s="12" t="str">
        <f>VLOOKUP((WEEKDAY(Movimientos_2026[[#This Row],[Fecha]],2)),'5. Setup'!$D$6:$E$12,2,FALSE)</f>
        <v>Mie</v>
      </c>
      <c r="D601">
        <v>1044272</v>
      </c>
      <c r="E601" t="str">
        <f>IFERROR(+VLOOKUP(Movimientos_2026[[#This Row],[Codigo]],Plan_cuentas[],2,FALSE)," ")</f>
        <v>INGRESOS</v>
      </c>
      <c r="F601" t="str">
        <f>IFERROR(+VLOOKUP(Movimientos_2026[[#This Row],[Codigo]],Plan_cuentas[],3,FALSE)," ")</f>
        <v>Transferencia</v>
      </c>
      <c r="G601" t="str">
        <f>IFERROR(+VLOOKUP(Movimientos_2026[[#This Row],[Codigo]],Plan_cuentas[],4,FALSE)," ")</f>
        <v>Rentas</v>
      </c>
      <c r="H601" t="str">
        <f>IFERROR(+VLOOKUP(Movimientos_2026[[#This Row],[Codigo]],Plan_cuentas[],5,FALSE)," ")</f>
        <v>LA RIOJA</v>
      </c>
      <c r="I601" s="43">
        <v>46023</v>
      </c>
      <c r="J601" t="s">
        <v>269</v>
      </c>
      <c r="K601" t="str">
        <f>IFERROR(+VLOOKUP(Movimientos_2026[[#This Row],[Codigo]],Plan_cuentas[],6,FALSE)," ")</f>
        <v>2 - PR - Plan Rombo</v>
      </c>
      <c r="L601" s="50">
        <v>2238372.35</v>
      </c>
      <c r="M601" s="52"/>
      <c r="N601" s="20">
        <f>+Movimientos_2026[[#This Row],[Ingresos]]-Movimientos_2026[[#This Row],[Egresos]]</f>
        <v>2238372.35</v>
      </c>
      <c r="O601" s="20">
        <f>+O600+Movimientos_2026[[#This Row],[Neto]]</f>
        <v>5341020833.044445</v>
      </c>
    </row>
    <row r="602" spans="1:15" x14ac:dyDescent="0.25">
      <c r="A602" s="13">
        <v>46071</v>
      </c>
      <c r="B602" s="12">
        <f>MONTH(Movimientos_2026[[#This Row],[Fecha]])</f>
        <v>2</v>
      </c>
      <c r="C602" s="12" t="str">
        <f>VLOOKUP((WEEKDAY(Movimientos_2026[[#This Row],[Fecha]],2)),'5. Setup'!$D$6:$E$12,2,FALSE)</f>
        <v>Mie</v>
      </c>
      <c r="D602">
        <v>1044282</v>
      </c>
      <c r="E602" t="str">
        <f>IFERROR(+VLOOKUP(Movimientos_2026[[#This Row],[Codigo]],Plan_cuentas[],2,FALSE)," ")</f>
        <v>INGRESOS</v>
      </c>
      <c r="F602" t="str">
        <f>IFERROR(+VLOOKUP(Movimientos_2026[[#This Row],[Codigo]],Plan_cuentas[],3,FALSE)," ")</f>
        <v>Transferencia</v>
      </c>
      <c r="G602" t="str">
        <f>IFERROR(+VLOOKUP(Movimientos_2026[[#This Row],[Codigo]],Plan_cuentas[],4,FALSE)," ")</f>
        <v>Rentas</v>
      </c>
      <c r="H602" t="str">
        <f>IFERROR(+VLOOKUP(Movimientos_2026[[#This Row],[Codigo]],Plan_cuentas[],5,FALSE)," ")</f>
        <v>MENDOZA</v>
      </c>
      <c r="I602" s="43">
        <v>46023</v>
      </c>
      <c r="J602" t="s">
        <v>269</v>
      </c>
      <c r="K602" t="str">
        <f>IFERROR(+VLOOKUP(Movimientos_2026[[#This Row],[Codigo]],Plan_cuentas[],6,FALSE)," ")</f>
        <v>2 - PR - Plan Rombo</v>
      </c>
      <c r="L602" s="50">
        <v>48265700</v>
      </c>
      <c r="M602" s="50"/>
      <c r="N602" s="20">
        <f>+Movimientos_2026[[#This Row],[Ingresos]]-Movimientos_2026[[#This Row],[Egresos]]</f>
        <v>48265700</v>
      </c>
      <c r="O602" s="20">
        <f>+O601+Movimientos_2026[[#This Row],[Neto]]</f>
        <v>5389286533.044445</v>
      </c>
    </row>
    <row r="603" spans="1:15" x14ac:dyDescent="0.25">
      <c r="A603" s="13">
        <v>46071</v>
      </c>
      <c r="B603" s="12">
        <f>MONTH(Movimientos_2026[[#This Row],[Fecha]])</f>
        <v>2</v>
      </c>
      <c r="C603" s="12" t="str">
        <f>VLOOKUP((WEEKDAY(Movimientos_2026[[#This Row],[Fecha]],2)),'5. Setup'!$D$6:$E$12,2,FALSE)</f>
        <v>Mie</v>
      </c>
      <c r="D603">
        <v>1044342</v>
      </c>
      <c r="E603" t="str">
        <f>IFERROR(+VLOOKUP(Movimientos_2026[[#This Row],[Codigo]],Plan_cuentas[],2,FALSE)," ")</f>
        <v>INGRESOS</v>
      </c>
      <c r="F603" t="str">
        <f>IFERROR(+VLOOKUP(Movimientos_2026[[#This Row],[Codigo]],Plan_cuentas[],3,FALSE)," ")</f>
        <v>Transferencia</v>
      </c>
      <c r="G603" t="str">
        <f>IFERROR(+VLOOKUP(Movimientos_2026[[#This Row],[Codigo]],Plan_cuentas[],4,FALSE)," ")</f>
        <v>Rentas</v>
      </c>
      <c r="H603" t="str">
        <f>IFERROR(+VLOOKUP(Movimientos_2026[[#This Row],[Codigo]],Plan_cuentas[],5,FALSE)," ")</f>
        <v>RIO NEGRO</v>
      </c>
      <c r="I603" s="43">
        <v>46023</v>
      </c>
      <c r="J603" t="s">
        <v>269</v>
      </c>
      <c r="K603" t="str">
        <f>IFERROR(+VLOOKUP(Movimientos_2026[[#This Row],[Codigo]],Plan_cuentas[],6,FALSE)," ")</f>
        <v>2 - PR - Plan Rombo</v>
      </c>
      <c r="L603" s="51">
        <v>19264814.57</v>
      </c>
      <c r="M603" s="50"/>
      <c r="N603" s="20">
        <f>+Movimientos_2026[[#This Row],[Ingresos]]-Movimientos_2026[[#This Row],[Egresos]]</f>
        <v>19264814.57</v>
      </c>
      <c r="O603" s="20">
        <f>+O602+Movimientos_2026[[#This Row],[Neto]]</f>
        <v>5408551347.6144447</v>
      </c>
    </row>
    <row r="604" spans="1:15" x14ac:dyDescent="0.25">
      <c r="A604" s="13">
        <v>46071</v>
      </c>
      <c r="B604" s="12">
        <f>MONTH(Movimientos_2026[[#This Row],[Fecha]])</f>
        <v>2</v>
      </c>
      <c r="C604" s="12" t="str">
        <f>VLOOKUP((WEEKDAY(Movimientos_2026[[#This Row],[Fecha]],2)),'5. Setup'!$D$6:$E$12,2,FALSE)</f>
        <v>Mie</v>
      </c>
      <c r="D604">
        <v>1044352</v>
      </c>
      <c r="E604" t="str">
        <f>IFERROR(+VLOOKUP(Movimientos_2026[[#This Row],[Codigo]],Plan_cuentas[],2,FALSE)," ")</f>
        <v>INGRESOS</v>
      </c>
      <c r="F604" t="str">
        <f>IFERROR(+VLOOKUP(Movimientos_2026[[#This Row],[Codigo]],Plan_cuentas[],3,FALSE)," ")</f>
        <v>Transferencia</v>
      </c>
      <c r="G604" t="str">
        <f>IFERROR(+VLOOKUP(Movimientos_2026[[#This Row],[Codigo]],Plan_cuentas[],4,FALSE)," ")</f>
        <v>Rentas</v>
      </c>
      <c r="H604" t="str">
        <f>IFERROR(+VLOOKUP(Movimientos_2026[[#This Row],[Codigo]],Plan_cuentas[],5,FALSE)," ")</f>
        <v>SAN JUAN</v>
      </c>
      <c r="I604" s="43">
        <v>46023</v>
      </c>
      <c r="J604" t="s">
        <v>269</v>
      </c>
      <c r="K604" t="str">
        <f>IFERROR(+VLOOKUP(Movimientos_2026[[#This Row],[Codigo]],Plan_cuentas[],6,FALSE)," ")</f>
        <v>2 - PR - Plan Rombo</v>
      </c>
      <c r="L604" s="50">
        <v>7129440.6299999999</v>
      </c>
      <c r="M604" s="50"/>
      <c r="N604" s="20">
        <f>+Movimientos_2026[[#This Row],[Ingresos]]-Movimientos_2026[[#This Row],[Egresos]]</f>
        <v>7129440.6299999999</v>
      </c>
      <c r="O604" s="20">
        <f>+O603+Movimientos_2026[[#This Row],[Neto]]</f>
        <v>5415680788.2444448</v>
      </c>
    </row>
    <row r="605" spans="1:15" x14ac:dyDescent="0.25">
      <c r="A605" s="13">
        <v>46071</v>
      </c>
      <c r="B605" s="12">
        <f>MONTH(Movimientos_2026[[#This Row],[Fecha]])</f>
        <v>2</v>
      </c>
      <c r="C605" s="12" t="str">
        <f>VLOOKUP((WEEKDAY(Movimientos_2026[[#This Row],[Fecha]],2)),'5. Setup'!$D$6:$E$12,2,FALSE)</f>
        <v>Mie</v>
      </c>
      <c r="D605">
        <v>1044362</v>
      </c>
      <c r="E605" t="str">
        <f>IFERROR(+VLOOKUP(Movimientos_2026[[#This Row],[Codigo]],Plan_cuentas[],2,FALSE)," ")</f>
        <v>INGRESOS</v>
      </c>
      <c r="F605" t="str">
        <f>IFERROR(+VLOOKUP(Movimientos_2026[[#This Row],[Codigo]],Plan_cuentas[],3,FALSE)," ")</f>
        <v>Transferencia</v>
      </c>
      <c r="G605" t="str">
        <f>IFERROR(+VLOOKUP(Movimientos_2026[[#This Row],[Codigo]],Plan_cuentas[],4,FALSE)," ")</f>
        <v>Rentas</v>
      </c>
      <c r="H605" t="str">
        <f>IFERROR(+VLOOKUP(Movimientos_2026[[#This Row],[Codigo]],Plan_cuentas[],5,FALSE)," ")</f>
        <v>SAN LUIS</v>
      </c>
      <c r="I605" s="43">
        <v>46023</v>
      </c>
      <c r="J605" t="s">
        <v>269</v>
      </c>
      <c r="K605" t="str">
        <f>IFERROR(+VLOOKUP(Movimientos_2026[[#This Row],[Codigo]],Plan_cuentas[],6,FALSE)," ")</f>
        <v>2 - PR - Plan Rombo</v>
      </c>
      <c r="L605" s="50">
        <v>5424347.21</v>
      </c>
      <c r="M605" s="50"/>
      <c r="N605" s="20">
        <f>+Movimientos_2026[[#This Row],[Ingresos]]-Movimientos_2026[[#This Row],[Egresos]]</f>
        <v>5424347.21</v>
      </c>
      <c r="O605" s="20">
        <f>+O604+Movimientos_2026[[#This Row],[Neto]]</f>
        <v>5421105135.4544449</v>
      </c>
    </row>
    <row r="606" spans="1:15" x14ac:dyDescent="0.25">
      <c r="A606" s="13">
        <v>46071</v>
      </c>
      <c r="B606" s="12">
        <f>MONTH(Movimientos_2026[[#This Row],[Fecha]])</f>
        <v>2</v>
      </c>
      <c r="C606" s="12" t="str">
        <f>VLOOKUP((WEEKDAY(Movimientos_2026[[#This Row],[Fecha]],2)),'5. Setup'!$D$6:$E$12,2,FALSE)</f>
        <v>Mie</v>
      </c>
      <c r="D606">
        <v>1044372</v>
      </c>
      <c r="E606" t="str">
        <f>IFERROR(+VLOOKUP(Movimientos_2026[[#This Row],[Codigo]],Plan_cuentas[],2,FALSE)," ")</f>
        <v>INGRESOS</v>
      </c>
      <c r="F606" t="str">
        <f>IFERROR(+VLOOKUP(Movimientos_2026[[#This Row],[Codigo]],Plan_cuentas[],3,FALSE)," ")</f>
        <v>Transferencia</v>
      </c>
      <c r="G606" t="str">
        <f>IFERROR(+VLOOKUP(Movimientos_2026[[#This Row],[Codigo]],Plan_cuentas[],4,FALSE)," ")</f>
        <v>Rentas</v>
      </c>
      <c r="H606" t="str">
        <f>IFERROR(+VLOOKUP(Movimientos_2026[[#This Row],[Codigo]],Plan_cuentas[],5,FALSE)," ")</f>
        <v>SANTA CRUZ</v>
      </c>
      <c r="I606" s="43">
        <v>46023</v>
      </c>
      <c r="J606" t="s">
        <v>269</v>
      </c>
      <c r="K606" t="str">
        <f>IFERROR(+VLOOKUP(Movimientos_2026[[#This Row],[Codigo]],Plan_cuentas[],6,FALSE)," ")</f>
        <v>2 - PR - Plan Rombo</v>
      </c>
      <c r="L606" s="50">
        <v>39264013.100000001</v>
      </c>
      <c r="M606" s="50"/>
      <c r="N606" s="20">
        <f>+Movimientos_2026[[#This Row],[Ingresos]]-Movimientos_2026[[#This Row],[Egresos]]</f>
        <v>39264013.100000001</v>
      </c>
      <c r="O606" s="20">
        <f>+O605+Movimientos_2026[[#This Row],[Neto]]</f>
        <v>5460369148.5544453</v>
      </c>
    </row>
    <row r="607" spans="1:15" x14ac:dyDescent="0.25">
      <c r="A607" s="13">
        <v>46071</v>
      </c>
      <c r="B607" s="12">
        <f>MONTH(Movimientos_2026[[#This Row],[Fecha]])</f>
        <v>2</v>
      </c>
      <c r="C607" s="12" t="str">
        <f>VLOOKUP((WEEKDAY(Movimientos_2026[[#This Row],[Fecha]],2)),'5. Setup'!$D$6:$E$12,2,FALSE)</f>
        <v>Mie</v>
      </c>
      <c r="D607">
        <v>1044402</v>
      </c>
      <c r="E607" t="str">
        <f>IFERROR(+VLOOKUP(Movimientos_2026[[#This Row],[Codigo]],Plan_cuentas[],2,FALSE)," ")</f>
        <v>INGRESOS</v>
      </c>
      <c r="F607" t="str">
        <f>IFERROR(+VLOOKUP(Movimientos_2026[[#This Row],[Codigo]],Plan_cuentas[],3,FALSE)," ")</f>
        <v>Transferencia</v>
      </c>
      <c r="G607" t="str">
        <f>IFERROR(+VLOOKUP(Movimientos_2026[[#This Row],[Codigo]],Plan_cuentas[],4,FALSE)," ")</f>
        <v>Rentas</v>
      </c>
      <c r="H607" t="str">
        <f>IFERROR(+VLOOKUP(Movimientos_2026[[#This Row],[Codigo]],Plan_cuentas[],5,FALSE)," ")</f>
        <v>SANTIAGO DEL ESTERO</v>
      </c>
      <c r="I607" s="43">
        <v>46023</v>
      </c>
      <c r="J607" t="s">
        <v>269</v>
      </c>
      <c r="K607" t="str">
        <f>IFERROR(+VLOOKUP(Movimientos_2026[[#This Row],[Codigo]],Plan_cuentas[],6,FALSE)," ")</f>
        <v>2 - PR - Plan Rombo</v>
      </c>
      <c r="L607" s="50">
        <v>28506395.68</v>
      </c>
      <c r="M607" s="50"/>
      <c r="N607" s="20">
        <f>+Movimientos_2026[[#This Row],[Ingresos]]-Movimientos_2026[[#This Row],[Egresos]]</f>
        <v>28506395.68</v>
      </c>
      <c r="O607" s="20">
        <f>+O606+Movimientos_2026[[#This Row],[Neto]]</f>
        <v>5488875544.2344456</v>
      </c>
    </row>
    <row r="608" spans="1:15" x14ac:dyDescent="0.25">
      <c r="A608" s="13">
        <v>46071</v>
      </c>
      <c r="B608" s="12">
        <f>MONTH(Movimientos_2026[[#This Row],[Fecha]])</f>
        <v>2</v>
      </c>
      <c r="C608" s="12" t="str">
        <f>VLOOKUP((WEEKDAY(Movimientos_2026[[#This Row],[Fecha]],2)),'5. Setup'!$D$6:$E$12,2,FALSE)</f>
        <v>Mie</v>
      </c>
      <c r="D608">
        <v>1044412</v>
      </c>
      <c r="E608" t="str">
        <f>IFERROR(+VLOOKUP(Movimientos_2026[[#This Row],[Codigo]],Plan_cuentas[],2,FALSE)," ")</f>
        <v>INGRESOS</v>
      </c>
      <c r="F608" t="str">
        <f>IFERROR(+VLOOKUP(Movimientos_2026[[#This Row],[Codigo]],Plan_cuentas[],3,FALSE)," ")</f>
        <v>Transferencia</v>
      </c>
      <c r="G608" t="str">
        <f>IFERROR(+VLOOKUP(Movimientos_2026[[#This Row],[Codigo]],Plan_cuentas[],4,FALSE)," ")</f>
        <v>Rentas</v>
      </c>
      <c r="H608" t="str">
        <f>IFERROR(+VLOOKUP(Movimientos_2026[[#This Row],[Codigo]],Plan_cuentas[],5,FALSE)," ")</f>
        <v>TIERRA DEL FUEGO</v>
      </c>
      <c r="I608" s="43">
        <v>46023</v>
      </c>
      <c r="J608" t="s">
        <v>269</v>
      </c>
      <c r="K608" t="str">
        <f>IFERROR(+VLOOKUP(Movimientos_2026[[#This Row],[Codigo]],Plan_cuentas[],6,FALSE)," ")</f>
        <v>2 - PR - Plan Rombo</v>
      </c>
      <c r="L608" s="50">
        <v>10986155.310000001</v>
      </c>
      <c r="M608" s="50"/>
      <c r="N608" s="20">
        <f>+Movimientos_2026[[#This Row],[Ingresos]]-Movimientos_2026[[#This Row],[Egresos]]</f>
        <v>10986155.310000001</v>
      </c>
      <c r="O608" s="20">
        <f>+O607+Movimientos_2026[[#This Row],[Neto]]</f>
        <v>5499861699.544446</v>
      </c>
    </row>
    <row r="609" spans="1:15" x14ac:dyDescent="0.25">
      <c r="A609" s="13">
        <v>46071</v>
      </c>
      <c r="B609" s="12">
        <f>MONTH(Movimientos_2026[[#This Row],[Fecha]])</f>
        <v>2</v>
      </c>
      <c r="C609" s="12" t="str">
        <f>VLOOKUP((WEEKDAY(Movimientos_2026[[#This Row],[Fecha]],2)),'5. Setup'!$D$6:$E$12,2,FALSE)</f>
        <v>Mie</v>
      </c>
      <c r="D609">
        <v>1044422</v>
      </c>
      <c r="E609" t="str">
        <f>IFERROR(+VLOOKUP(Movimientos_2026[[#This Row],[Codigo]],Plan_cuentas[],2,FALSE)," ")</f>
        <v>INGRESOS</v>
      </c>
      <c r="F609" t="str">
        <f>IFERROR(+VLOOKUP(Movimientos_2026[[#This Row],[Codigo]],Plan_cuentas[],3,FALSE)," ")</f>
        <v>Transferencia</v>
      </c>
      <c r="G609" t="str">
        <f>IFERROR(+VLOOKUP(Movimientos_2026[[#This Row],[Codigo]],Plan_cuentas[],4,FALSE)," ")</f>
        <v>Rentas</v>
      </c>
      <c r="H609" t="str">
        <f>IFERROR(+VLOOKUP(Movimientos_2026[[#This Row],[Codigo]],Plan_cuentas[],5,FALSE)," ")</f>
        <v>TUCUMAN</v>
      </c>
      <c r="I609" s="43">
        <v>46023</v>
      </c>
      <c r="J609" t="s">
        <v>269</v>
      </c>
      <c r="K609" t="str">
        <f>IFERROR(+VLOOKUP(Movimientos_2026[[#This Row],[Codigo]],Plan_cuentas[],6,FALSE)," ")</f>
        <v>2 - PR - Plan Rombo</v>
      </c>
      <c r="L609" s="50">
        <v>114608131.16</v>
      </c>
      <c r="M609" s="50"/>
      <c r="N609" s="20">
        <f>+Movimientos_2026[[#This Row],[Ingresos]]-Movimientos_2026[[#This Row],[Egresos]]</f>
        <v>114608131.16</v>
      </c>
      <c r="O609" s="20">
        <f>+O608+Movimientos_2026[[#This Row],[Neto]]</f>
        <v>5614469830.7044458</v>
      </c>
    </row>
    <row r="610" spans="1:15" x14ac:dyDescent="0.25">
      <c r="A610" s="13">
        <v>46071</v>
      </c>
      <c r="B610" s="12">
        <f>MONTH(Movimientos_2026[[#This Row],[Fecha]])</f>
        <v>2</v>
      </c>
      <c r="C610" s="12" t="str">
        <f>VLOOKUP((WEEKDAY(Movimientos_2026[[#This Row],[Fecha]],2)),'5. Setup'!$D$6:$E$12,2,FALSE)</f>
        <v>Mie</v>
      </c>
      <c r="D610">
        <v>1042112</v>
      </c>
      <c r="E610" t="str">
        <f>IFERROR(+VLOOKUP(Movimientos_2026[[#This Row],[Codigo]],Plan_cuentas[],2,FALSE)," ")</f>
        <v>INGRESOS</v>
      </c>
      <c r="F610" t="str">
        <f>IFERROR(+VLOOKUP(Movimientos_2026[[#This Row],[Codigo]],Plan_cuentas[],3,FALSE)," ")</f>
        <v>Transferencia</v>
      </c>
      <c r="G610" t="str">
        <f>IFERROR(+VLOOKUP(Movimientos_2026[[#This Row],[Codigo]],Plan_cuentas[],4,FALSE)," ")</f>
        <v>Entidades tercerizadas</v>
      </c>
      <c r="H610" t="str">
        <f>IFERROR(+VLOOKUP(Movimientos_2026[[#This Row],[Codigo]],Plan_cuentas[],5,FALSE)," ")</f>
        <v>APESI</v>
      </c>
      <c r="I610" s="43">
        <v>46023</v>
      </c>
      <c r="J610" t="s">
        <v>269</v>
      </c>
      <c r="K610" t="str">
        <f>IFERROR(+VLOOKUP(Movimientos_2026[[#This Row],[Codigo]],Plan_cuentas[],6,FALSE)," ")</f>
        <v>2 - PR - Plan Rombo</v>
      </c>
      <c r="L610" s="50">
        <v>33559924.387395017</v>
      </c>
      <c r="M610" s="50"/>
      <c r="N610" s="20">
        <f>+Movimientos_2026[[#This Row],[Ingresos]]-Movimientos_2026[[#This Row],[Egresos]]</f>
        <v>33559924.387395017</v>
      </c>
      <c r="O610" s="20">
        <f>+O609+Movimientos_2026[[#This Row],[Neto]]</f>
        <v>5648029755.0918407</v>
      </c>
    </row>
    <row r="611" spans="1:15" x14ac:dyDescent="0.25">
      <c r="A611" s="13">
        <v>46071</v>
      </c>
      <c r="B611" s="12">
        <f>MONTH(Movimientos_2026[[#This Row],[Fecha]])</f>
        <v>2</v>
      </c>
      <c r="C611" s="12" t="str">
        <f>VLOOKUP((WEEKDAY(Movimientos_2026[[#This Row],[Fecha]],2)),'5. Setup'!$D$6:$E$12,2,FALSE)</f>
        <v>Mie</v>
      </c>
      <c r="D611">
        <v>1043142</v>
      </c>
      <c r="E611" t="str">
        <f>IFERROR(+VLOOKUP(Movimientos_2026[[#This Row],[Codigo]],Plan_cuentas[],2,FALSE)," ")</f>
        <v>INGRESOS</v>
      </c>
      <c r="F611" t="str">
        <f>IFERROR(+VLOOKUP(Movimientos_2026[[#This Row],[Codigo]],Plan_cuentas[],3,FALSE)," ")</f>
        <v>Transferencia</v>
      </c>
      <c r="G611" t="str">
        <f>IFERROR(+VLOOKUP(Movimientos_2026[[#This Row],[Codigo]],Plan_cuentas[],4,FALSE)," ")</f>
        <v>Registración</v>
      </c>
      <c r="H611" t="str">
        <f>IFERROR(+VLOOKUP(Movimientos_2026[[#This Row],[Codigo]],Plan_cuentas[],5,FALSE)," ")</f>
        <v>BUENOS AIRES</v>
      </c>
      <c r="I611" s="43">
        <v>46023</v>
      </c>
      <c r="J611" t="s">
        <v>269</v>
      </c>
      <c r="K611" t="str">
        <f>IFERROR(+VLOOKUP(Movimientos_2026[[#This Row],[Codigo]],Plan_cuentas[],6,FALSE)," ")</f>
        <v>2 - PR - Plan Rombo</v>
      </c>
      <c r="L611" s="50">
        <v>154330315.71394509</v>
      </c>
      <c r="M611" s="50"/>
      <c r="N611" s="20">
        <f>+Movimientos_2026[[#This Row],[Ingresos]]-Movimientos_2026[[#This Row],[Egresos]]</f>
        <v>154330315.71394509</v>
      </c>
      <c r="O611" s="20">
        <f>+O610+Movimientos_2026[[#This Row],[Neto]]</f>
        <v>5802360070.8057861</v>
      </c>
    </row>
    <row r="612" spans="1:15" x14ac:dyDescent="0.25">
      <c r="A612" s="13">
        <v>46071</v>
      </c>
      <c r="B612" s="12">
        <f>MONTH(Movimientos_2026[[#This Row],[Fecha]])</f>
        <v>2</v>
      </c>
      <c r="C612" s="12" t="str">
        <f>VLOOKUP((WEEKDAY(Movimientos_2026[[#This Row],[Fecha]],2)),'5. Setup'!$D$6:$E$12,2,FALSE)</f>
        <v>Mie</v>
      </c>
      <c r="D612">
        <v>1041442</v>
      </c>
      <c r="E612" t="str">
        <f>IFERROR(+VLOOKUP(Movimientos_2026[[#This Row],[Codigo]],Plan_cuentas[],2,FALSE)," ")</f>
        <v>INGRESOS</v>
      </c>
      <c r="F612" t="str">
        <f>IFERROR(+VLOOKUP(Movimientos_2026[[#This Row],[Codigo]],Plan_cuentas[],3,FALSE)," ")</f>
        <v>Transferencia</v>
      </c>
      <c r="G612" t="str">
        <f>IFERROR(+VLOOKUP(Movimientos_2026[[#This Row],[Codigo]],Plan_cuentas[],4,FALSE)," ")</f>
        <v>Entidades co-participadas</v>
      </c>
      <c r="H612" t="str">
        <f>IFERROR(+VLOOKUP(Movimientos_2026[[#This Row],[Codigo]],Plan_cuentas[],5,FALSE)," ")</f>
        <v>UISCUMARR</v>
      </c>
      <c r="I612" s="43">
        <v>46023</v>
      </c>
      <c r="J612" t="s">
        <v>269</v>
      </c>
      <c r="K612" t="str">
        <f>IFERROR(+VLOOKUP(Movimientos_2026[[#This Row],[Codigo]],Plan_cuentas[],6,FALSE)," ")</f>
        <v>2 - PR - Plan Rombo</v>
      </c>
      <c r="L612" s="50">
        <v>62318003.156744979</v>
      </c>
      <c r="M612" s="50"/>
      <c r="N612" s="20">
        <f>+Movimientos_2026[[#This Row],[Ingresos]]-Movimientos_2026[[#This Row],[Egresos]]</f>
        <v>62318003.156744979</v>
      </c>
      <c r="O612" s="20">
        <f>+O611+Movimientos_2026[[#This Row],[Neto]]</f>
        <v>5864678073.9625311</v>
      </c>
    </row>
    <row r="613" spans="1:15" x14ac:dyDescent="0.25">
      <c r="A613" s="13">
        <v>46071</v>
      </c>
      <c r="B613" s="12">
        <f>MONTH(Movimientos_2026[[#This Row],[Fecha]])</f>
        <v>2</v>
      </c>
      <c r="C613" s="12" t="str">
        <f>VLOOKUP((WEEKDAY(Movimientos_2026[[#This Row],[Fecha]],2)),'5. Setup'!$D$6:$E$12,2,FALSE)</f>
        <v>Mie</v>
      </c>
      <c r="D613">
        <v>1042332</v>
      </c>
      <c r="E613" t="str">
        <f>IFERROR(+VLOOKUP(Movimientos_2026[[#This Row],[Codigo]],Plan_cuentas[],2,FALSE)," ")</f>
        <v>INGRESOS</v>
      </c>
      <c r="F613" t="str">
        <f>IFERROR(+VLOOKUP(Movimientos_2026[[#This Row],[Codigo]],Plan_cuentas[],3,FALSE)," ")</f>
        <v>Transferencia</v>
      </c>
      <c r="G613" t="str">
        <f>IFERROR(+VLOOKUP(Movimientos_2026[[#This Row],[Codigo]],Plan_cuentas[],4,FALSE)," ")</f>
        <v>Entidades tercerizadas</v>
      </c>
      <c r="H613" t="str">
        <f>IFERROR(+VLOOKUP(Movimientos_2026[[#This Row],[Codigo]],Plan_cuentas[],5,FALSE)," ")</f>
        <v>QUILMES</v>
      </c>
      <c r="I613" s="43">
        <v>46023</v>
      </c>
      <c r="J613" t="s">
        <v>269</v>
      </c>
      <c r="K613" t="str">
        <f>IFERROR(+VLOOKUP(Movimientos_2026[[#This Row],[Codigo]],Plan_cuentas[],6,FALSE)," ")</f>
        <v>2 - PR - Plan Rombo</v>
      </c>
      <c r="L613" s="50">
        <v>2307426.4887450002</v>
      </c>
      <c r="M613" s="50"/>
      <c r="N613" s="20">
        <f>+Movimientos_2026[[#This Row],[Ingresos]]-Movimientos_2026[[#This Row],[Egresos]]</f>
        <v>2307426.4887450002</v>
      </c>
      <c r="O613" s="20">
        <f>+O612+Movimientos_2026[[#This Row],[Neto]]</f>
        <v>5866985500.4512758</v>
      </c>
    </row>
    <row r="614" spans="1:15" x14ac:dyDescent="0.25">
      <c r="A614" s="13">
        <v>46071</v>
      </c>
      <c r="B614" s="12">
        <f>MONTH(Movimientos_2026[[#This Row],[Fecha]])</f>
        <v>2</v>
      </c>
      <c r="C614" s="12" t="str">
        <f>VLOOKUP((WEEKDAY(Movimientos_2026[[#This Row],[Fecha]],2)),'5. Setup'!$D$6:$E$12,2,FALSE)</f>
        <v>Mie</v>
      </c>
      <c r="D614">
        <v>1045452</v>
      </c>
      <c r="E614" t="str">
        <f>IFERROR(+VLOOKUP(Movimientos_2026[[#This Row],[Codigo]],Plan_cuentas[],2,FALSE)," ")</f>
        <v>INGRESOS</v>
      </c>
      <c r="F614" t="str">
        <f>IFERROR(+VLOOKUP(Movimientos_2026[[#This Row],[Codigo]],Plan_cuentas[],3,FALSE)," ")</f>
        <v>Transferencia</v>
      </c>
      <c r="G614" t="str">
        <f>IFERROR(+VLOOKUP(Movimientos_2026[[#This Row],[Codigo]],Plan_cuentas[],4,FALSE)," ")</f>
        <v>Factura</v>
      </c>
      <c r="H614" t="str">
        <f>IFERROR(+VLOOKUP(Movimientos_2026[[#This Row],[Codigo]],Plan_cuentas[],5,FALSE)," ")</f>
        <v>FC DERECHOS</v>
      </c>
      <c r="I614" s="43">
        <v>46023</v>
      </c>
      <c r="J614" t="s">
        <v>270</v>
      </c>
      <c r="K614" t="str">
        <f>IFERROR(+VLOOKUP(Movimientos_2026[[#This Row],[Codigo]],Plan_cuentas[],6,FALSE)," ")</f>
        <v>2 - PR - Plan Rombo</v>
      </c>
      <c r="L614" s="50">
        <v>44947789.219999999</v>
      </c>
      <c r="M614" s="50"/>
      <c r="N614" s="20">
        <f>+Movimientos_2026[[#This Row],[Ingresos]]-Movimientos_2026[[#This Row],[Egresos]]</f>
        <v>44947789.219999999</v>
      </c>
      <c r="O614" s="20">
        <f>+O613+Movimientos_2026[[#This Row],[Neto]]</f>
        <v>5911933289.6712761</v>
      </c>
    </row>
    <row r="615" spans="1:15" x14ac:dyDescent="0.25">
      <c r="A615" s="13">
        <v>46071</v>
      </c>
      <c r="B615" s="12">
        <f>MONTH(Movimientos_2026[[#This Row],[Fecha]])</f>
        <v>2</v>
      </c>
      <c r="C615" s="12" t="str">
        <f>VLOOKUP((WEEKDAY(Movimientos_2026[[#This Row],[Fecha]],2)),'5. Setup'!$D$6:$E$12,2,FALSE)</f>
        <v>Mie</v>
      </c>
      <c r="D615">
        <v>1043152</v>
      </c>
      <c r="E615" t="str">
        <f>IFERROR(+VLOOKUP(Movimientos_2026[[#This Row],[Codigo]],Plan_cuentas[],2,FALSE)," ")</f>
        <v>INGRESOS</v>
      </c>
      <c r="F615" t="str">
        <f>IFERROR(+VLOOKUP(Movimientos_2026[[#This Row],[Codigo]],Plan_cuentas[],3,FALSE)," ")</f>
        <v>Transferencia</v>
      </c>
      <c r="G615" t="str">
        <f>IFERROR(+VLOOKUP(Movimientos_2026[[#This Row],[Codigo]],Plan_cuentas[],4,FALSE)," ")</f>
        <v>Registración</v>
      </c>
      <c r="H615" t="str">
        <f>IFERROR(+VLOOKUP(Movimientos_2026[[#This Row],[Codigo]],Plan_cuentas[],5,FALSE)," ")</f>
        <v>CABA</v>
      </c>
      <c r="I615" s="43">
        <v>46023</v>
      </c>
      <c r="J615" t="s">
        <v>269</v>
      </c>
      <c r="K615" t="str">
        <f>IFERROR(+VLOOKUP(Movimientos_2026[[#This Row],[Codigo]],Plan_cuentas[],6,FALSE)," ")</f>
        <v>2 - PR - Plan Rombo</v>
      </c>
      <c r="L615" s="50">
        <v>65529355.799999997</v>
      </c>
      <c r="M615" s="50"/>
      <c r="N615" s="20">
        <f>+Movimientos_2026[[#This Row],[Ingresos]]-Movimientos_2026[[#This Row],[Egresos]]</f>
        <v>65529355.799999997</v>
      </c>
      <c r="O615" s="20">
        <f>+O614+Movimientos_2026[[#This Row],[Neto]]</f>
        <v>5977462645.4712763</v>
      </c>
    </row>
    <row r="616" spans="1:15" x14ac:dyDescent="0.25">
      <c r="A616" s="13">
        <v>46071</v>
      </c>
      <c r="B616" s="12">
        <f>MONTH(Movimientos_2026[[#This Row],[Fecha]])</f>
        <v>2</v>
      </c>
      <c r="C616" s="12" t="str">
        <f>VLOOKUP((WEEKDAY(Movimientos_2026[[#This Row],[Fecha]],2)),'5. Setup'!$D$6:$E$12,2,FALSE)</f>
        <v>Mie</v>
      </c>
      <c r="D616">
        <v>1043222</v>
      </c>
      <c r="E616" t="str">
        <f>IFERROR(+VLOOKUP(Movimientos_2026[[#This Row],[Codigo]],Plan_cuentas[],2,FALSE)," ")</f>
        <v>INGRESOS</v>
      </c>
      <c r="F616" t="str">
        <f>IFERROR(+VLOOKUP(Movimientos_2026[[#This Row],[Codigo]],Plan_cuentas[],3,FALSE)," ")</f>
        <v>Transferencia</v>
      </c>
      <c r="G616" t="str">
        <f>IFERROR(+VLOOKUP(Movimientos_2026[[#This Row],[Codigo]],Plan_cuentas[],4,FALSE)," ")</f>
        <v>Registración</v>
      </c>
      <c r="H616" t="str">
        <f>IFERROR(+VLOOKUP(Movimientos_2026[[#This Row],[Codigo]],Plan_cuentas[],5,FALSE)," ")</f>
        <v>ENTRE RIOS 1° Q</v>
      </c>
      <c r="I616" s="43">
        <v>46023</v>
      </c>
      <c r="J616" t="s">
        <v>269</v>
      </c>
      <c r="K616" t="str">
        <f>IFERROR(+VLOOKUP(Movimientos_2026[[#This Row],[Codigo]],Plan_cuentas[],6,FALSE)," ")</f>
        <v>2 - PR - Plan Rombo</v>
      </c>
      <c r="L616" s="50">
        <v>15491664</v>
      </c>
      <c r="M616" s="50"/>
      <c r="N616" s="20">
        <f>+Movimientos_2026[[#This Row],[Ingresos]]-Movimientos_2026[[#This Row],[Egresos]]</f>
        <v>15491664</v>
      </c>
      <c r="O616" s="20">
        <f>+O615+Movimientos_2026[[#This Row],[Neto]]</f>
        <v>5992954309.4712763</v>
      </c>
    </row>
    <row r="617" spans="1:15" x14ac:dyDescent="0.25">
      <c r="A617" s="13">
        <v>46071</v>
      </c>
      <c r="B617" s="12">
        <f>MONTH(Movimientos_2026[[#This Row],[Fecha]])</f>
        <v>2</v>
      </c>
      <c r="C617" s="12" t="str">
        <f>VLOOKUP((WEEKDAY(Movimientos_2026[[#This Row],[Fecha]],2)),'5. Setup'!$D$6:$E$12,2,FALSE)</f>
        <v>Mie</v>
      </c>
      <c r="D617">
        <v>1043242</v>
      </c>
      <c r="E617" t="str">
        <f>IFERROR(+VLOOKUP(Movimientos_2026[[#This Row],[Codigo]],Plan_cuentas[],2,FALSE)," ")</f>
        <v>INGRESOS</v>
      </c>
      <c r="F617" t="str">
        <f>IFERROR(+VLOOKUP(Movimientos_2026[[#This Row],[Codigo]],Plan_cuentas[],3,FALSE)," ")</f>
        <v>Transferencia</v>
      </c>
      <c r="G617" t="str">
        <f>IFERROR(+VLOOKUP(Movimientos_2026[[#This Row],[Codigo]],Plan_cuentas[],4,FALSE)," ")</f>
        <v>Registración</v>
      </c>
      <c r="H617" t="str">
        <f>IFERROR(+VLOOKUP(Movimientos_2026[[#This Row],[Codigo]],Plan_cuentas[],5,FALSE)," ")</f>
        <v>FORMOSA</v>
      </c>
      <c r="I617" s="43">
        <v>46023</v>
      </c>
      <c r="J617" t="s">
        <v>269</v>
      </c>
      <c r="K617" t="str">
        <f>IFERROR(+VLOOKUP(Movimientos_2026[[#This Row],[Codigo]],Plan_cuentas[],6,FALSE)," ")</f>
        <v>2 - PR - Plan Rombo</v>
      </c>
      <c r="L617" s="50">
        <v>2708955.4</v>
      </c>
      <c r="M617" s="50"/>
      <c r="N617" s="20">
        <f>+Movimientos_2026[[#This Row],[Ingresos]]-Movimientos_2026[[#This Row],[Egresos]]</f>
        <v>2708955.4</v>
      </c>
      <c r="O617" s="20">
        <f>+O616+Movimientos_2026[[#This Row],[Neto]]</f>
        <v>5995663264.8712759</v>
      </c>
    </row>
    <row r="618" spans="1:15" x14ac:dyDescent="0.25">
      <c r="A618" s="13">
        <v>46071</v>
      </c>
      <c r="B618" s="12">
        <f>MONTH(Movimientos_2026[[#This Row],[Fecha]])</f>
        <v>2</v>
      </c>
      <c r="C618" s="12" t="str">
        <f>VLOOKUP((WEEKDAY(Movimientos_2026[[#This Row],[Fecha]],2)),'5. Setup'!$D$6:$E$12,2,FALSE)</f>
        <v>Mie</v>
      </c>
      <c r="D618">
        <v>1043382</v>
      </c>
      <c r="E618" t="str">
        <f>IFERROR(+VLOOKUP(Movimientos_2026[[#This Row],[Codigo]],Plan_cuentas[],2,FALSE)," ")</f>
        <v>INGRESOS</v>
      </c>
      <c r="F618" t="str">
        <f>IFERROR(+VLOOKUP(Movimientos_2026[[#This Row],[Codigo]],Plan_cuentas[],3,FALSE)," ")</f>
        <v>Transferencia</v>
      </c>
      <c r="G618" t="str">
        <f>IFERROR(+VLOOKUP(Movimientos_2026[[#This Row],[Codigo]],Plan_cuentas[],4,FALSE)," ")</f>
        <v>Registración</v>
      </c>
      <c r="H618" t="str">
        <f>IFERROR(+VLOOKUP(Movimientos_2026[[#This Row],[Codigo]],Plan_cuentas[],5,FALSE)," ")</f>
        <v>SANTA FE 1° Q</v>
      </c>
      <c r="I618" s="43">
        <v>46023</v>
      </c>
      <c r="J618" t="s">
        <v>269</v>
      </c>
      <c r="K618" t="str">
        <f>IFERROR(+VLOOKUP(Movimientos_2026[[#This Row],[Codigo]],Plan_cuentas[],6,FALSE)," ")</f>
        <v>2 - PR - Plan Rombo</v>
      </c>
      <c r="L618" s="50">
        <v>3941805.6</v>
      </c>
      <c r="M618" s="50"/>
      <c r="N618" s="20">
        <f>+Movimientos_2026[[#This Row],[Ingresos]]-Movimientos_2026[[#This Row],[Egresos]]</f>
        <v>3941805.6</v>
      </c>
      <c r="O618" s="20">
        <f>+O617+Movimientos_2026[[#This Row],[Neto]]</f>
        <v>5999605070.4712763</v>
      </c>
    </row>
    <row r="619" spans="1:15" x14ac:dyDescent="0.25">
      <c r="A619" s="13">
        <v>46071</v>
      </c>
      <c r="B619" s="12">
        <f>MONTH(Movimientos_2026[[#This Row],[Fecha]])</f>
        <v>2</v>
      </c>
      <c r="C619" s="12" t="str">
        <f>VLOOKUP((WEEKDAY(Movimientos_2026[[#This Row],[Fecha]],2)),'5. Setup'!$D$6:$E$12,2,FALSE)</f>
        <v>Mie</v>
      </c>
      <c r="D619">
        <v>1043172</v>
      </c>
      <c r="E619" t="str">
        <f>IFERROR(+VLOOKUP(Movimientos_2026[[#This Row],[Codigo]],Plan_cuentas[],2,FALSE)," ")</f>
        <v>INGRESOS</v>
      </c>
      <c r="F619" t="str">
        <f>IFERROR(+VLOOKUP(Movimientos_2026[[#This Row],[Codigo]],Plan_cuentas[],3,FALSE)," ")</f>
        <v>Transferencia</v>
      </c>
      <c r="G619" t="str">
        <f>IFERROR(+VLOOKUP(Movimientos_2026[[#This Row],[Codigo]],Plan_cuentas[],4,FALSE)," ")</f>
        <v>Registración</v>
      </c>
      <c r="H619" t="str">
        <f>IFERROR(+VLOOKUP(Movimientos_2026[[#This Row],[Codigo]],Plan_cuentas[],5,FALSE)," ")</f>
        <v>CHUBUT</v>
      </c>
      <c r="I619" s="43">
        <v>46023</v>
      </c>
      <c r="J619" t="s">
        <v>269</v>
      </c>
      <c r="K619" t="str">
        <f>IFERROR(+VLOOKUP(Movimientos_2026[[#This Row],[Codigo]],Plan_cuentas[],6,FALSE)," ")</f>
        <v>2 - PR - Plan Rombo</v>
      </c>
      <c r="L619" s="50">
        <v>14174275.800000001</v>
      </c>
      <c r="M619" s="50"/>
      <c r="N619" s="20">
        <f>+Movimientos_2026[[#This Row],[Ingresos]]-Movimientos_2026[[#This Row],[Egresos]]</f>
        <v>14174275.800000001</v>
      </c>
      <c r="O619" s="20">
        <f>+O618+Movimientos_2026[[#This Row],[Neto]]</f>
        <v>6013779346.2712765</v>
      </c>
    </row>
    <row r="620" spans="1:15" x14ac:dyDescent="0.25">
      <c r="A620" s="13">
        <v>46071</v>
      </c>
      <c r="B620" s="12">
        <f>MONTH(Movimientos_2026[[#This Row],[Fecha]])</f>
        <v>2</v>
      </c>
      <c r="C620" s="12" t="str">
        <f>VLOOKUP((WEEKDAY(Movimientos_2026[[#This Row],[Fecha]],2)),'5. Setup'!$D$6:$E$12,2,FALSE)</f>
        <v>Mie</v>
      </c>
      <c r="D620">
        <v>1044482</v>
      </c>
      <c r="E620" t="str">
        <f>IFERROR(+VLOOKUP(Movimientos_2026[[#This Row],[Codigo]],Plan_cuentas[],2,FALSE)," ")</f>
        <v>INGRESOS</v>
      </c>
      <c r="F620" t="str">
        <f>IFERROR(+VLOOKUP(Movimientos_2026[[#This Row],[Codigo]],Plan_cuentas[],3,FALSE)," ")</f>
        <v>Transferencia</v>
      </c>
      <c r="G620" t="str">
        <f>IFERROR(+VLOOKUP(Movimientos_2026[[#This Row],[Codigo]],Plan_cuentas[],4,FALSE)," ")</f>
        <v>Factura</v>
      </c>
      <c r="H620" t="str">
        <f>IFERROR(+VLOOKUP(Movimientos_2026[[#This Row],[Codigo]],Plan_cuentas[],5,FALSE)," ")</f>
        <v>FC TRAMITACION</v>
      </c>
      <c r="I620" s="43">
        <v>46023</v>
      </c>
      <c r="J620" t="s">
        <v>271</v>
      </c>
      <c r="K620" t="str">
        <f>IFERROR(+VLOOKUP(Movimientos_2026[[#This Row],[Codigo]],Plan_cuentas[],6,FALSE)," ")</f>
        <v>2 - PR - Plan Rombo</v>
      </c>
      <c r="L620" s="50">
        <v>914216.86</v>
      </c>
      <c r="M620" s="50"/>
      <c r="N620" s="20">
        <f>+Movimientos_2026[[#This Row],[Ingresos]]-Movimientos_2026[[#This Row],[Egresos]]</f>
        <v>914216.86</v>
      </c>
      <c r="O620" s="20">
        <f>+O619+Movimientos_2026[[#This Row],[Neto]]</f>
        <v>6014693563.1312761</v>
      </c>
    </row>
    <row r="621" spans="1:15" x14ac:dyDescent="0.25">
      <c r="A621" s="13">
        <v>46071</v>
      </c>
      <c r="B621" s="12">
        <f>MONTH(Movimientos_2026[[#This Row],[Fecha]])</f>
        <v>2</v>
      </c>
      <c r="C621" s="12" t="str">
        <f>VLOOKUP((WEEKDAY(Movimientos_2026[[#This Row],[Fecha]],2)),'5. Setup'!$D$6:$E$12,2,FALSE)</f>
        <v>Mie</v>
      </c>
      <c r="D621">
        <v>1044482</v>
      </c>
      <c r="E621" t="str">
        <f>IFERROR(+VLOOKUP(Movimientos_2026[[#This Row],[Codigo]],Plan_cuentas[],2,FALSE)," ")</f>
        <v>INGRESOS</v>
      </c>
      <c r="F621" t="str">
        <f>IFERROR(+VLOOKUP(Movimientos_2026[[#This Row],[Codigo]],Plan_cuentas[],3,FALSE)," ")</f>
        <v>Transferencia</v>
      </c>
      <c r="G621" t="str">
        <f>IFERROR(+VLOOKUP(Movimientos_2026[[#This Row],[Codigo]],Plan_cuentas[],4,FALSE)," ")</f>
        <v>Factura</v>
      </c>
      <c r="H621" t="str">
        <f>IFERROR(+VLOOKUP(Movimientos_2026[[#This Row],[Codigo]],Plan_cuentas[],5,FALSE)," ")</f>
        <v>FC TRAMITACION</v>
      </c>
      <c r="I621" s="43">
        <v>46023</v>
      </c>
      <c r="J621" t="s">
        <v>272</v>
      </c>
      <c r="K621" t="str">
        <f>IFERROR(+VLOOKUP(Movimientos_2026[[#This Row],[Codigo]],Plan_cuentas[],6,FALSE)," ")</f>
        <v>2 - PR - Plan Rombo</v>
      </c>
      <c r="L621" s="50">
        <v>2746150.29</v>
      </c>
      <c r="M621" s="50"/>
      <c r="N621" s="20">
        <f>+Movimientos_2026[[#This Row],[Ingresos]]-Movimientos_2026[[#This Row],[Egresos]]</f>
        <v>2746150.29</v>
      </c>
      <c r="O621" s="20">
        <f>+O620+Movimientos_2026[[#This Row],[Neto]]</f>
        <v>6017439713.4212761</v>
      </c>
    </row>
    <row r="622" spans="1:15" x14ac:dyDescent="0.25">
      <c r="A622" s="13">
        <v>46071</v>
      </c>
      <c r="B622" s="12">
        <f>MONTH(Movimientos_2026[[#This Row],[Fecha]])</f>
        <v>2</v>
      </c>
      <c r="C622" s="12" t="str">
        <f>VLOOKUP((WEEKDAY(Movimientos_2026[[#This Row],[Fecha]],2)),'5. Setup'!$D$6:$E$12,2,FALSE)</f>
        <v>Mie</v>
      </c>
      <c r="D622">
        <v>1043142</v>
      </c>
      <c r="E622" t="str">
        <f>IFERROR(+VLOOKUP(Movimientos_2026[[#This Row],[Codigo]],Plan_cuentas[],2,FALSE)," ")</f>
        <v>INGRESOS</v>
      </c>
      <c r="F622" t="str">
        <f>IFERROR(+VLOOKUP(Movimientos_2026[[#This Row],[Codigo]],Plan_cuentas[],3,FALSE)," ")</f>
        <v>Transferencia</v>
      </c>
      <c r="G622" t="str">
        <f>IFERROR(+VLOOKUP(Movimientos_2026[[#This Row],[Codigo]],Plan_cuentas[],4,FALSE)," ")</f>
        <v>Registración</v>
      </c>
      <c r="H622" t="str">
        <f>IFERROR(+VLOOKUP(Movimientos_2026[[#This Row],[Codigo]],Plan_cuentas[],5,FALSE)," ")</f>
        <v>BUENOS AIRES</v>
      </c>
      <c r="I622" s="43">
        <v>46023</v>
      </c>
      <c r="J622" t="s">
        <v>269</v>
      </c>
      <c r="K622" t="str">
        <f>IFERROR(+VLOOKUP(Movimientos_2026[[#This Row],[Codigo]],Plan_cuentas[],6,FALSE)," ")</f>
        <v>2 - PR - Plan Rombo</v>
      </c>
      <c r="L622" s="50">
        <v>304231038</v>
      </c>
      <c r="M622" s="50"/>
      <c r="N622" s="20">
        <f>+Movimientos_2026[[#This Row],[Ingresos]]-Movimientos_2026[[#This Row],[Egresos]]</f>
        <v>304231038</v>
      </c>
      <c r="O622" s="20">
        <f>+O621+Movimientos_2026[[#This Row],[Neto]]</f>
        <v>6321670751.4212761</v>
      </c>
    </row>
    <row r="623" spans="1:15" x14ac:dyDescent="0.25">
      <c r="A623" s="13">
        <v>46071</v>
      </c>
      <c r="B623" s="12">
        <f>MONTH(Movimientos_2026[[#This Row],[Fecha]])</f>
        <v>2</v>
      </c>
      <c r="C623" s="12" t="str">
        <f>VLOOKUP((WEEKDAY(Movimientos_2026[[#This Row],[Fecha]],2)),'5. Setup'!$D$6:$E$12,2,FALSE)</f>
        <v>Mie</v>
      </c>
      <c r="D623">
        <v>1045452</v>
      </c>
      <c r="E623" t="str">
        <f>IFERROR(+VLOOKUP(Movimientos_2026[[#This Row],[Codigo]],Plan_cuentas[],2,FALSE)," ")</f>
        <v>INGRESOS</v>
      </c>
      <c r="F623" t="str">
        <f>IFERROR(+VLOOKUP(Movimientos_2026[[#This Row],[Codigo]],Plan_cuentas[],3,FALSE)," ")</f>
        <v>Transferencia</v>
      </c>
      <c r="G623" t="str">
        <f>IFERROR(+VLOOKUP(Movimientos_2026[[#This Row],[Codigo]],Plan_cuentas[],4,FALSE)," ")</f>
        <v>Factura</v>
      </c>
      <c r="H623" t="str">
        <f>IFERROR(+VLOOKUP(Movimientos_2026[[#This Row],[Codigo]],Plan_cuentas[],5,FALSE)," ")</f>
        <v>FC DERECHOS</v>
      </c>
      <c r="I623" s="43">
        <v>46023</v>
      </c>
      <c r="J623" t="s">
        <v>273</v>
      </c>
      <c r="K623" t="str">
        <f>IFERROR(+VLOOKUP(Movimientos_2026[[#This Row],[Codigo]],Plan_cuentas[],6,FALSE)," ")</f>
        <v>2 - PR - Plan Rombo</v>
      </c>
      <c r="L623" s="50">
        <v>53283893.229999997</v>
      </c>
      <c r="M623" s="50"/>
      <c r="N623" s="20">
        <f>+Movimientos_2026[[#This Row],[Ingresos]]-Movimientos_2026[[#This Row],[Egresos]]</f>
        <v>53283893.229999997</v>
      </c>
      <c r="O623" s="20">
        <f>+O622+Movimientos_2026[[#This Row],[Neto]]</f>
        <v>6374954644.6512756</v>
      </c>
    </row>
    <row r="624" spans="1:15" x14ac:dyDescent="0.25">
      <c r="A624" s="13">
        <v>46071</v>
      </c>
      <c r="B624" s="12">
        <f>MONTH(Movimientos_2026[[#This Row],[Fecha]])</f>
        <v>2</v>
      </c>
      <c r="C624" s="12" t="str">
        <f>VLOOKUP((WEEKDAY(Movimientos_2026[[#This Row],[Fecha]],2)),'5. Setup'!$D$6:$E$12,2,FALSE)</f>
        <v>Mie</v>
      </c>
      <c r="D624">
        <v>1043152</v>
      </c>
      <c r="E624" t="str">
        <f>IFERROR(+VLOOKUP(Movimientos_2026[[#This Row],[Codigo]],Plan_cuentas[],2,FALSE)," ")</f>
        <v>INGRESOS</v>
      </c>
      <c r="F624" t="str">
        <f>IFERROR(+VLOOKUP(Movimientos_2026[[#This Row],[Codigo]],Plan_cuentas[],3,FALSE)," ")</f>
        <v>Transferencia</v>
      </c>
      <c r="G624" t="str">
        <f>IFERROR(+VLOOKUP(Movimientos_2026[[#This Row],[Codigo]],Plan_cuentas[],4,FALSE)," ")</f>
        <v>Registración</v>
      </c>
      <c r="H624" t="str">
        <f>IFERROR(+VLOOKUP(Movimientos_2026[[#This Row],[Codigo]],Plan_cuentas[],5,FALSE)," ")</f>
        <v>CABA</v>
      </c>
      <c r="I624" s="43">
        <v>46023</v>
      </c>
      <c r="J624" t="s">
        <v>269</v>
      </c>
      <c r="K624" t="str">
        <f>IFERROR(+VLOOKUP(Movimientos_2026[[#This Row],[Codigo]],Plan_cuentas[],6,FALSE)," ")</f>
        <v>2 - PR - Plan Rombo</v>
      </c>
      <c r="L624" s="50">
        <v>48739940</v>
      </c>
      <c r="M624" s="50"/>
      <c r="N624" s="20">
        <f>+Movimientos_2026[[#This Row],[Ingresos]]-Movimientos_2026[[#This Row],[Egresos]]</f>
        <v>48739940</v>
      </c>
      <c r="O624" s="20">
        <f>+O623+Movimientos_2026[[#This Row],[Neto]]</f>
        <v>6423694584.6512756</v>
      </c>
    </row>
    <row r="625" spans="1:15" x14ac:dyDescent="0.25">
      <c r="A625" s="13">
        <v>46071</v>
      </c>
      <c r="B625" s="12">
        <f>MONTH(Movimientos_2026[[#This Row],[Fecha]])</f>
        <v>2</v>
      </c>
      <c r="C625" s="12" t="str">
        <f>VLOOKUP((WEEKDAY(Movimientos_2026[[#This Row],[Fecha]],2)),'5. Setup'!$D$6:$E$12,2,FALSE)</f>
        <v>Mie</v>
      </c>
      <c r="D625">
        <v>1043232</v>
      </c>
      <c r="E625" t="str">
        <f>IFERROR(+VLOOKUP(Movimientos_2026[[#This Row],[Codigo]],Plan_cuentas[],2,FALSE)," ")</f>
        <v>INGRESOS</v>
      </c>
      <c r="F625" t="str">
        <f>IFERROR(+VLOOKUP(Movimientos_2026[[#This Row],[Codigo]],Plan_cuentas[],3,FALSE)," ")</f>
        <v>Transferencia</v>
      </c>
      <c r="G625" t="str">
        <f>IFERROR(+VLOOKUP(Movimientos_2026[[#This Row],[Codigo]],Plan_cuentas[],4,FALSE)," ")</f>
        <v>Registración</v>
      </c>
      <c r="H625" t="str">
        <f>IFERROR(+VLOOKUP(Movimientos_2026[[#This Row],[Codigo]],Plan_cuentas[],5,FALSE)," ")</f>
        <v>ENTRE RIOS 2° Q</v>
      </c>
      <c r="I625" s="43">
        <v>46023</v>
      </c>
      <c r="J625" t="s">
        <v>269</v>
      </c>
      <c r="K625" t="str">
        <f>IFERROR(+VLOOKUP(Movimientos_2026[[#This Row],[Codigo]],Plan_cuentas[],6,FALSE)," ")</f>
        <v>2 - PR - Plan Rombo</v>
      </c>
      <c r="L625" s="50">
        <v>14630017</v>
      </c>
      <c r="M625" s="50"/>
      <c r="N625" s="20">
        <f>+Movimientos_2026[[#This Row],[Ingresos]]-Movimientos_2026[[#This Row],[Egresos]]</f>
        <v>14630017</v>
      </c>
      <c r="O625" s="20">
        <f>+O624+Movimientos_2026[[#This Row],[Neto]]</f>
        <v>6438324601.6512756</v>
      </c>
    </row>
    <row r="626" spans="1:15" x14ac:dyDescent="0.25">
      <c r="A626" s="13">
        <v>46071</v>
      </c>
      <c r="B626" s="12">
        <f>MONTH(Movimientos_2026[[#This Row],[Fecha]])</f>
        <v>2</v>
      </c>
      <c r="C626" s="12" t="str">
        <f>VLOOKUP((WEEKDAY(Movimientos_2026[[#This Row],[Fecha]],2)),'5. Setup'!$D$6:$E$12,2,FALSE)</f>
        <v>Mie</v>
      </c>
      <c r="D626">
        <v>1043242</v>
      </c>
      <c r="E626" t="str">
        <f>IFERROR(+VLOOKUP(Movimientos_2026[[#This Row],[Codigo]],Plan_cuentas[],2,FALSE)," ")</f>
        <v>INGRESOS</v>
      </c>
      <c r="F626" t="str">
        <f>IFERROR(+VLOOKUP(Movimientos_2026[[#This Row],[Codigo]],Plan_cuentas[],3,FALSE)," ")</f>
        <v>Transferencia</v>
      </c>
      <c r="G626" t="str">
        <f>IFERROR(+VLOOKUP(Movimientos_2026[[#This Row],[Codigo]],Plan_cuentas[],4,FALSE)," ")</f>
        <v>Registración</v>
      </c>
      <c r="H626" t="str">
        <f>IFERROR(+VLOOKUP(Movimientos_2026[[#This Row],[Codigo]],Plan_cuentas[],5,FALSE)," ")</f>
        <v>FORMOSA</v>
      </c>
      <c r="I626" s="43">
        <v>46023</v>
      </c>
      <c r="J626" t="s">
        <v>269</v>
      </c>
      <c r="K626" t="str">
        <f>IFERROR(+VLOOKUP(Movimientos_2026[[#This Row],[Codigo]],Plan_cuentas[],6,FALSE)," ")</f>
        <v>2 - PR - Plan Rombo</v>
      </c>
      <c r="L626" s="50">
        <v>4810757</v>
      </c>
      <c r="M626" s="50"/>
      <c r="N626" s="20">
        <f>+Movimientos_2026[[#This Row],[Ingresos]]-Movimientos_2026[[#This Row],[Egresos]]</f>
        <v>4810757</v>
      </c>
      <c r="O626" s="20">
        <f>+O625+Movimientos_2026[[#This Row],[Neto]]</f>
        <v>6443135358.6512756</v>
      </c>
    </row>
    <row r="627" spans="1:15" x14ac:dyDescent="0.25">
      <c r="A627" s="13">
        <v>46071</v>
      </c>
      <c r="B627" s="12">
        <f>MONTH(Movimientos_2026[[#This Row],[Fecha]])</f>
        <v>2</v>
      </c>
      <c r="C627" s="12" t="str">
        <f>VLOOKUP((WEEKDAY(Movimientos_2026[[#This Row],[Fecha]],2)),'5. Setup'!$D$6:$E$12,2,FALSE)</f>
        <v>Mie</v>
      </c>
      <c r="D627">
        <v>1043392</v>
      </c>
      <c r="E627" t="str">
        <f>IFERROR(+VLOOKUP(Movimientos_2026[[#This Row],[Codigo]],Plan_cuentas[],2,FALSE)," ")</f>
        <v>INGRESOS</v>
      </c>
      <c r="F627" t="str">
        <f>IFERROR(+VLOOKUP(Movimientos_2026[[#This Row],[Codigo]],Plan_cuentas[],3,FALSE)," ")</f>
        <v>Transferencia</v>
      </c>
      <c r="G627" t="str">
        <f>IFERROR(+VLOOKUP(Movimientos_2026[[#This Row],[Codigo]],Plan_cuentas[],4,FALSE)," ")</f>
        <v>Registración</v>
      </c>
      <c r="H627" t="str">
        <f>IFERROR(+VLOOKUP(Movimientos_2026[[#This Row],[Codigo]],Plan_cuentas[],5,FALSE)," ")</f>
        <v>SANTA FE 2° Q</v>
      </c>
      <c r="I627" s="43">
        <v>46023</v>
      </c>
      <c r="J627" t="s">
        <v>269</v>
      </c>
      <c r="K627" t="str">
        <f>IFERROR(+VLOOKUP(Movimientos_2026[[#This Row],[Codigo]],Plan_cuentas[],6,FALSE)," ")</f>
        <v>2 - PR - Plan Rombo</v>
      </c>
      <c r="L627" s="50">
        <v>37593586</v>
      </c>
      <c r="M627" s="50"/>
      <c r="N627" s="20">
        <f>+Movimientos_2026[[#This Row],[Ingresos]]-Movimientos_2026[[#This Row],[Egresos]]</f>
        <v>37593586</v>
      </c>
      <c r="O627" s="20">
        <f>+O626+Movimientos_2026[[#This Row],[Neto]]</f>
        <v>6480728944.6512756</v>
      </c>
    </row>
    <row r="628" spans="1:15" x14ac:dyDescent="0.25">
      <c r="A628" s="13">
        <v>46071</v>
      </c>
      <c r="B628" s="12">
        <f>MONTH(Movimientos_2026[[#This Row],[Fecha]])</f>
        <v>2</v>
      </c>
      <c r="C628" s="12" t="str">
        <f>VLOOKUP((WEEKDAY(Movimientos_2026[[#This Row],[Fecha]],2)),'5. Setup'!$D$6:$E$12,2,FALSE)</f>
        <v>Mie</v>
      </c>
      <c r="D628">
        <v>1043172</v>
      </c>
      <c r="E628" t="str">
        <f>IFERROR(+VLOOKUP(Movimientos_2026[[#This Row],[Codigo]],Plan_cuentas[],2,FALSE)," ")</f>
        <v>INGRESOS</v>
      </c>
      <c r="F628" t="str">
        <f>IFERROR(+VLOOKUP(Movimientos_2026[[#This Row],[Codigo]],Plan_cuentas[],3,FALSE)," ")</f>
        <v>Transferencia</v>
      </c>
      <c r="G628" t="str">
        <f>IFERROR(+VLOOKUP(Movimientos_2026[[#This Row],[Codigo]],Plan_cuentas[],4,FALSE)," ")</f>
        <v>Registración</v>
      </c>
      <c r="H628" t="str">
        <f>IFERROR(+VLOOKUP(Movimientos_2026[[#This Row],[Codigo]],Plan_cuentas[],5,FALSE)," ")</f>
        <v>CHUBUT</v>
      </c>
      <c r="I628" s="43">
        <v>46023</v>
      </c>
      <c r="J628" t="s">
        <v>269</v>
      </c>
      <c r="K628" t="str">
        <f>IFERROR(+VLOOKUP(Movimientos_2026[[#This Row],[Codigo]],Plan_cuentas[],6,FALSE)," ")</f>
        <v>2 - PR - Plan Rombo</v>
      </c>
      <c r="L628" s="50">
        <v>11783367</v>
      </c>
      <c r="M628" s="50"/>
      <c r="N628" s="20">
        <f>+Movimientos_2026[[#This Row],[Ingresos]]-Movimientos_2026[[#This Row],[Egresos]]</f>
        <v>11783367</v>
      </c>
      <c r="O628" s="20">
        <f>+O627+Movimientos_2026[[#This Row],[Neto]]</f>
        <v>6492512311.6512756</v>
      </c>
    </row>
    <row r="629" spans="1:15" x14ac:dyDescent="0.25">
      <c r="A629" s="13">
        <v>46071</v>
      </c>
      <c r="B629" s="12">
        <f>MONTH(Movimientos_2026[[#This Row],[Fecha]])</f>
        <v>2</v>
      </c>
      <c r="C629" s="12" t="str">
        <f>VLOOKUP((WEEKDAY(Movimientos_2026[[#This Row],[Fecha]],2)),'5. Setup'!$D$6:$E$12,2,FALSE)</f>
        <v>Mie</v>
      </c>
      <c r="D629">
        <v>1044507</v>
      </c>
      <c r="E629" t="str">
        <f>IFERROR(+VLOOKUP(Movimientos_2026[[#This Row],[Codigo]],Plan_cuentas[],2,FALSE)," ")</f>
        <v>INGRESOS</v>
      </c>
      <c r="F629" t="str">
        <f>IFERROR(+VLOOKUP(Movimientos_2026[[#This Row],[Codigo]],Plan_cuentas[],3,FALSE)," ")</f>
        <v>Transferencia</v>
      </c>
      <c r="G629" t="str">
        <f>IFERROR(+VLOOKUP(Movimientos_2026[[#This Row],[Codigo]],Plan_cuentas[],4,FALSE)," ")</f>
        <v>Rentas</v>
      </c>
      <c r="H629" t="str">
        <f>IFERROR(+VLOOKUP(Movimientos_2026[[#This Row],[Codigo]],Plan_cuentas[],5,FALSE)," ")</f>
        <v>BAPRO</v>
      </c>
      <c r="I629" s="43">
        <v>45992</v>
      </c>
      <c r="J629" t="s">
        <v>274</v>
      </c>
      <c r="K629" t="str">
        <f>IFERROR(+VLOOKUP(Movimientos_2026[[#This Row],[Codigo]],Plan_cuentas[],6,FALSE)," ")</f>
        <v>7 - PRtr - Plan Rombo Transf.</v>
      </c>
      <c r="L629" s="50">
        <v>9590749.3400000054</v>
      </c>
      <c r="M629" s="50"/>
      <c r="N629" s="20">
        <f>+Movimientos_2026[[#This Row],[Ingresos]]-Movimientos_2026[[#This Row],[Egresos]]</f>
        <v>9590749.3400000054</v>
      </c>
      <c r="O629" s="20">
        <f>+O628+Movimientos_2026[[#This Row],[Neto]]</f>
        <v>6502103060.9912758</v>
      </c>
    </row>
    <row r="630" spans="1:15" x14ac:dyDescent="0.25">
      <c r="A630" s="13">
        <v>46071</v>
      </c>
      <c r="B630" s="12">
        <f>MONTH(Movimientos_2026[[#This Row],[Fecha]])</f>
        <v>2</v>
      </c>
      <c r="C630" s="12" t="str">
        <f>VLOOKUP((WEEKDAY(Movimientos_2026[[#This Row],[Fecha]],2)),'5. Setup'!$D$6:$E$12,2,FALSE)</f>
        <v>Mie</v>
      </c>
      <c r="D630">
        <v>1043157</v>
      </c>
      <c r="E630" t="str">
        <f>IFERROR(+VLOOKUP(Movimientos_2026[[#This Row],[Codigo]],Plan_cuentas[],2,FALSE)," ")</f>
        <v>INGRESOS</v>
      </c>
      <c r="F630" t="str">
        <f>IFERROR(+VLOOKUP(Movimientos_2026[[#This Row],[Codigo]],Plan_cuentas[],3,FALSE)," ")</f>
        <v>Transferencia</v>
      </c>
      <c r="G630" t="str">
        <f>IFERROR(+VLOOKUP(Movimientos_2026[[#This Row],[Codigo]],Plan_cuentas[],4,FALSE)," ")</f>
        <v>Registración</v>
      </c>
      <c r="H630" t="str">
        <f>IFERROR(+VLOOKUP(Movimientos_2026[[#This Row],[Codigo]],Plan_cuentas[],5,FALSE)," ")</f>
        <v>CABA</v>
      </c>
      <c r="I630" s="43">
        <v>45992</v>
      </c>
      <c r="J630" t="s">
        <v>274</v>
      </c>
      <c r="K630" t="str">
        <f>IFERROR(+VLOOKUP(Movimientos_2026[[#This Row],[Codigo]],Plan_cuentas[],6,FALSE)," ")</f>
        <v>7 - PRtr - Plan Rombo Transf.</v>
      </c>
      <c r="L630" s="50">
        <v>10682.5</v>
      </c>
      <c r="M630" s="50"/>
      <c r="N630" s="20">
        <f>+Movimientos_2026[[#This Row],[Ingresos]]-Movimientos_2026[[#This Row],[Egresos]]</f>
        <v>10682.5</v>
      </c>
      <c r="O630" s="20">
        <f>+O629+Movimientos_2026[[#This Row],[Neto]]</f>
        <v>6502113743.4912758</v>
      </c>
    </row>
    <row r="631" spans="1:15" x14ac:dyDescent="0.25">
      <c r="A631" s="13">
        <v>46071</v>
      </c>
      <c r="B631" s="12">
        <f>MONTH(Movimientos_2026[[#This Row],[Fecha]])</f>
        <v>2</v>
      </c>
      <c r="C631" s="12" t="str">
        <f>VLOOKUP((WEEKDAY(Movimientos_2026[[#This Row],[Fecha]],2)),'5. Setup'!$D$6:$E$12,2,FALSE)</f>
        <v>Mie</v>
      </c>
      <c r="D631">
        <v>1044167</v>
      </c>
      <c r="E631" t="str">
        <f>IFERROR(+VLOOKUP(Movimientos_2026[[#This Row],[Codigo]],Plan_cuentas[],2,FALSE)," ")</f>
        <v>INGRESOS</v>
      </c>
      <c r="F631" t="str">
        <f>IFERROR(+VLOOKUP(Movimientos_2026[[#This Row],[Codigo]],Plan_cuentas[],3,FALSE)," ")</f>
        <v>Transferencia</v>
      </c>
      <c r="G631" t="str">
        <f>IFERROR(+VLOOKUP(Movimientos_2026[[#This Row],[Codigo]],Plan_cuentas[],4,FALSE)," ")</f>
        <v>Rentas</v>
      </c>
      <c r="H631" t="str">
        <f>IFERROR(+VLOOKUP(Movimientos_2026[[#This Row],[Codigo]],Plan_cuentas[],5,FALSE)," ")</f>
        <v>CHACO</v>
      </c>
      <c r="I631" s="43">
        <v>45992</v>
      </c>
      <c r="J631" t="s">
        <v>274</v>
      </c>
      <c r="K631" t="str">
        <f>IFERROR(+VLOOKUP(Movimientos_2026[[#This Row],[Codigo]],Plan_cuentas[],6,FALSE)," ")</f>
        <v>7 - PRtr - Plan Rombo Transf.</v>
      </c>
      <c r="L631" s="50">
        <v>195420.54</v>
      </c>
      <c r="M631" s="50"/>
      <c r="N631" s="20">
        <f>+Movimientos_2026[[#This Row],[Ingresos]]-Movimientos_2026[[#This Row],[Egresos]]</f>
        <v>195420.54</v>
      </c>
      <c r="O631" s="20">
        <f>+O630+Movimientos_2026[[#This Row],[Neto]]</f>
        <v>6502309164.0312757</v>
      </c>
    </row>
    <row r="632" spans="1:15" x14ac:dyDescent="0.25">
      <c r="A632" s="13">
        <v>46071</v>
      </c>
      <c r="B632" s="12">
        <f>MONTH(Movimientos_2026[[#This Row],[Fecha]])</f>
        <v>2</v>
      </c>
      <c r="C632" s="12" t="str">
        <f>VLOOKUP((WEEKDAY(Movimientos_2026[[#This Row],[Fecha]],2)),'5. Setup'!$D$6:$E$12,2,FALSE)</f>
        <v>Mie</v>
      </c>
      <c r="D632">
        <v>1043177</v>
      </c>
      <c r="E632" t="str">
        <f>IFERROR(+VLOOKUP(Movimientos_2026[[#This Row],[Codigo]],Plan_cuentas[],2,FALSE)," ")</f>
        <v>INGRESOS</v>
      </c>
      <c r="F632" t="str">
        <f>IFERROR(+VLOOKUP(Movimientos_2026[[#This Row],[Codigo]],Plan_cuentas[],3,FALSE)," ")</f>
        <v>Transferencia</v>
      </c>
      <c r="G632" t="str">
        <f>IFERROR(+VLOOKUP(Movimientos_2026[[#This Row],[Codigo]],Plan_cuentas[],4,FALSE)," ")</f>
        <v>Registración</v>
      </c>
      <c r="H632" t="str">
        <f>IFERROR(+VLOOKUP(Movimientos_2026[[#This Row],[Codigo]],Plan_cuentas[],5,FALSE)," ")</f>
        <v>CHUBUT</v>
      </c>
      <c r="I632" s="43">
        <v>45992</v>
      </c>
      <c r="J632" t="s">
        <v>274</v>
      </c>
      <c r="K632" t="str">
        <f>IFERROR(+VLOOKUP(Movimientos_2026[[#This Row],[Codigo]],Plan_cuentas[],6,FALSE)," ")</f>
        <v>7 - PRtr - Plan Rombo Transf.</v>
      </c>
      <c r="L632" s="50">
        <v>509278.81</v>
      </c>
      <c r="M632" s="50"/>
      <c r="N632" s="20">
        <f>+Movimientos_2026[[#This Row],[Ingresos]]-Movimientos_2026[[#This Row],[Egresos]]</f>
        <v>509278.81</v>
      </c>
      <c r="O632" s="20">
        <f>+O631+Movimientos_2026[[#This Row],[Neto]]</f>
        <v>6502818442.8412762</v>
      </c>
    </row>
    <row r="633" spans="1:15" x14ac:dyDescent="0.25">
      <c r="A633" s="13">
        <v>46071</v>
      </c>
      <c r="B633" s="12">
        <f>MONTH(Movimientos_2026[[#This Row],[Fecha]])</f>
        <v>2</v>
      </c>
      <c r="C633" s="12" t="str">
        <f>VLOOKUP((WEEKDAY(Movimientos_2026[[#This Row],[Fecha]],2)),'5. Setup'!$D$6:$E$12,2,FALSE)</f>
        <v>Mie</v>
      </c>
      <c r="D633">
        <v>1044197</v>
      </c>
      <c r="E633" t="str">
        <f>IFERROR(+VLOOKUP(Movimientos_2026[[#This Row],[Codigo]],Plan_cuentas[],2,FALSE)," ")</f>
        <v>INGRESOS</v>
      </c>
      <c r="F633" t="str">
        <f>IFERROR(+VLOOKUP(Movimientos_2026[[#This Row],[Codigo]],Plan_cuentas[],3,FALSE)," ")</f>
        <v>Transferencia</v>
      </c>
      <c r="G633" t="str">
        <f>IFERROR(+VLOOKUP(Movimientos_2026[[#This Row],[Codigo]],Plan_cuentas[],4,FALSE)," ")</f>
        <v>Rentas</v>
      </c>
      <c r="H633" t="str">
        <f>IFERROR(+VLOOKUP(Movimientos_2026[[#This Row],[Codigo]],Plan_cuentas[],5,FALSE)," ")</f>
        <v>CORDOBA 2° Q</v>
      </c>
      <c r="I633" s="43">
        <v>45992</v>
      </c>
      <c r="J633" t="s">
        <v>274</v>
      </c>
      <c r="K633" t="str">
        <f>IFERROR(+VLOOKUP(Movimientos_2026[[#This Row],[Codigo]],Plan_cuentas[],6,FALSE)," ")</f>
        <v>7 - PRtr - Plan Rombo Transf.</v>
      </c>
      <c r="L633" s="50">
        <v>581760</v>
      </c>
      <c r="M633" s="50"/>
      <c r="N633" s="20">
        <f>+Movimientos_2026[[#This Row],[Ingresos]]-Movimientos_2026[[#This Row],[Egresos]]</f>
        <v>581760</v>
      </c>
      <c r="O633" s="20">
        <f>+O632+Movimientos_2026[[#This Row],[Neto]]</f>
        <v>6503400202.8412762</v>
      </c>
    </row>
    <row r="634" spans="1:15" x14ac:dyDescent="0.25">
      <c r="A634" s="13">
        <v>46071</v>
      </c>
      <c r="B634" s="12">
        <f>MONTH(Movimientos_2026[[#This Row],[Fecha]])</f>
        <v>2</v>
      </c>
      <c r="C634" s="12" t="str">
        <f>VLOOKUP((WEEKDAY(Movimientos_2026[[#This Row],[Fecha]],2)),'5. Setup'!$D$6:$E$12,2,FALSE)</f>
        <v>Mie</v>
      </c>
      <c r="D634">
        <v>1043227</v>
      </c>
      <c r="E634" t="str">
        <f>IFERROR(+VLOOKUP(Movimientos_2026[[#This Row],[Codigo]],Plan_cuentas[],2,FALSE)," ")</f>
        <v>INGRESOS</v>
      </c>
      <c r="F634" t="str">
        <f>IFERROR(+VLOOKUP(Movimientos_2026[[#This Row],[Codigo]],Plan_cuentas[],3,FALSE)," ")</f>
        <v>Transferencia</v>
      </c>
      <c r="G634" t="str">
        <f>IFERROR(+VLOOKUP(Movimientos_2026[[#This Row],[Codigo]],Plan_cuentas[],4,FALSE)," ")</f>
        <v>Registración</v>
      </c>
      <c r="H634" t="str">
        <f>IFERROR(+VLOOKUP(Movimientos_2026[[#This Row],[Codigo]],Plan_cuentas[],5,FALSE)," ")</f>
        <v>ENTRE RIOS 1° Q</v>
      </c>
      <c r="I634" s="43">
        <v>45992</v>
      </c>
      <c r="J634" t="s">
        <v>274</v>
      </c>
      <c r="K634" t="str">
        <f>IFERROR(+VLOOKUP(Movimientos_2026[[#This Row],[Codigo]],Plan_cuentas[],6,FALSE)," ")</f>
        <v>7 - PRtr - Plan Rombo Transf.</v>
      </c>
      <c r="L634" s="50">
        <v>15000</v>
      </c>
      <c r="M634" s="50"/>
      <c r="N634" s="20">
        <f>+Movimientos_2026[[#This Row],[Ingresos]]-Movimientos_2026[[#This Row],[Egresos]]</f>
        <v>15000</v>
      </c>
      <c r="O634" s="20">
        <f>+O633+Movimientos_2026[[#This Row],[Neto]]</f>
        <v>6503415202.8412762</v>
      </c>
    </row>
    <row r="635" spans="1:15" x14ac:dyDescent="0.25">
      <c r="A635" s="13">
        <v>46071</v>
      </c>
      <c r="B635" s="12">
        <f>MONTH(Movimientos_2026[[#This Row],[Fecha]])</f>
        <v>2</v>
      </c>
      <c r="C635" s="12" t="str">
        <f>VLOOKUP((WEEKDAY(Movimientos_2026[[#This Row],[Fecha]],2)),'5. Setup'!$D$6:$E$12,2,FALSE)</f>
        <v>Mie</v>
      </c>
      <c r="D635">
        <v>1043247</v>
      </c>
      <c r="E635" t="str">
        <f>IFERROR(+VLOOKUP(Movimientos_2026[[#This Row],[Codigo]],Plan_cuentas[],2,FALSE)," ")</f>
        <v>INGRESOS</v>
      </c>
      <c r="F635" t="str">
        <f>IFERROR(+VLOOKUP(Movimientos_2026[[#This Row],[Codigo]],Plan_cuentas[],3,FALSE)," ")</f>
        <v>Transferencia</v>
      </c>
      <c r="G635" t="str">
        <f>IFERROR(+VLOOKUP(Movimientos_2026[[#This Row],[Codigo]],Plan_cuentas[],4,FALSE)," ")</f>
        <v>Registración</v>
      </c>
      <c r="H635" t="str">
        <f>IFERROR(+VLOOKUP(Movimientos_2026[[#This Row],[Codigo]],Plan_cuentas[],5,FALSE)," ")</f>
        <v>FORMOSA</v>
      </c>
      <c r="I635" s="43">
        <v>45992</v>
      </c>
      <c r="J635" t="s">
        <v>274</v>
      </c>
      <c r="K635" t="str">
        <f>IFERROR(+VLOOKUP(Movimientos_2026[[#This Row],[Codigo]],Plan_cuentas[],6,FALSE)," ")</f>
        <v>7 - PRtr - Plan Rombo Transf.</v>
      </c>
      <c r="L635" s="50">
        <v>35500</v>
      </c>
      <c r="M635" s="50"/>
      <c r="N635" s="20">
        <f>+Movimientos_2026[[#This Row],[Ingresos]]-Movimientos_2026[[#This Row],[Egresos]]</f>
        <v>35500</v>
      </c>
      <c r="O635" s="20">
        <f>+O634+Movimientos_2026[[#This Row],[Neto]]</f>
        <v>6503450702.8412762</v>
      </c>
    </row>
    <row r="636" spans="1:15" x14ac:dyDescent="0.25">
      <c r="A636" s="13">
        <v>46071</v>
      </c>
      <c r="B636" s="12">
        <f>MONTH(Movimientos_2026[[#This Row],[Fecha]])</f>
        <v>2</v>
      </c>
      <c r="C636" s="12" t="str">
        <f>VLOOKUP((WEEKDAY(Movimientos_2026[[#This Row],[Fecha]],2)),'5. Setup'!$D$6:$E$12,2,FALSE)</f>
        <v>Mie</v>
      </c>
      <c r="D636">
        <v>1043267</v>
      </c>
      <c r="E636" t="str">
        <f>IFERROR(+VLOOKUP(Movimientos_2026[[#This Row],[Codigo]],Plan_cuentas[],2,FALSE)," ")</f>
        <v>INGRESOS</v>
      </c>
      <c r="F636" t="str">
        <f>IFERROR(+VLOOKUP(Movimientos_2026[[#This Row],[Codigo]],Plan_cuentas[],3,FALSE)," ")</f>
        <v>Transferencia</v>
      </c>
      <c r="G636" t="str">
        <f>IFERROR(+VLOOKUP(Movimientos_2026[[#This Row],[Codigo]],Plan_cuentas[],4,FALSE)," ")</f>
        <v>Registración</v>
      </c>
      <c r="H636" t="str">
        <f>IFERROR(+VLOOKUP(Movimientos_2026[[#This Row],[Codigo]],Plan_cuentas[],5,FALSE)," ")</f>
        <v>LA PAMPA</v>
      </c>
      <c r="I636" s="43">
        <v>45992</v>
      </c>
      <c r="J636" t="s">
        <v>274</v>
      </c>
      <c r="K636" t="str">
        <f>IFERROR(+VLOOKUP(Movimientos_2026[[#This Row],[Codigo]],Plan_cuentas[],6,FALSE)," ")</f>
        <v>7 - PRtr - Plan Rombo Transf.</v>
      </c>
      <c r="L636" s="50">
        <v>30000</v>
      </c>
      <c r="M636" s="50"/>
      <c r="N636" s="20">
        <f>+Movimientos_2026[[#This Row],[Ingresos]]-Movimientos_2026[[#This Row],[Egresos]]</f>
        <v>30000</v>
      </c>
      <c r="O636" s="20">
        <f>+O635+Movimientos_2026[[#This Row],[Neto]]</f>
        <v>6503480702.8412762</v>
      </c>
    </row>
    <row r="637" spans="1:15" x14ac:dyDescent="0.25">
      <c r="A637" s="13">
        <v>46071</v>
      </c>
      <c r="B637" s="12">
        <f>MONTH(Movimientos_2026[[#This Row],[Fecha]])</f>
        <v>2</v>
      </c>
      <c r="C637" s="12" t="str">
        <f>VLOOKUP((WEEKDAY(Movimientos_2026[[#This Row],[Fecha]],2)),'5. Setup'!$D$6:$E$12,2,FALSE)</f>
        <v>Mie</v>
      </c>
      <c r="D637">
        <v>1044287</v>
      </c>
      <c r="E637" t="str">
        <f>IFERROR(+VLOOKUP(Movimientos_2026[[#This Row],[Codigo]],Plan_cuentas[],2,FALSE)," ")</f>
        <v>INGRESOS</v>
      </c>
      <c r="F637" t="str">
        <f>IFERROR(+VLOOKUP(Movimientos_2026[[#This Row],[Codigo]],Plan_cuentas[],3,FALSE)," ")</f>
        <v>Transferencia</v>
      </c>
      <c r="G637" t="str">
        <f>IFERROR(+VLOOKUP(Movimientos_2026[[#This Row],[Codigo]],Plan_cuentas[],4,FALSE)," ")</f>
        <v>Rentas</v>
      </c>
      <c r="H637" t="str">
        <f>IFERROR(+VLOOKUP(Movimientos_2026[[#This Row],[Codigo]],Plan_cuentas[],5,FALSE)," ")</f>
        <v>MENDOZA</v>
      </c>
      <c r="I637" s="43">
        <v>45992</v>
      </c>
      <c r="J637" t="s">
        <v>274</v>
      </c>
      <c r="K637" t="str">
        <f>IFERROR(+VLOOKUP(Movimientos_2026[[#This Row],[Codigo]],Plan_cuentas[],6,FALSE)," ")</f>
        <v>7 - PRtr - Plan Rombo Transf.</v>
      </c>
      <c r="L637" s="50">
        <v>1500</v>
      </c>
      <c r="M637" s="50"/>
      <c r="N637" s="20">
        <f>+Movimientos_2026[[#This Row],[Ingresos]]-Movimientos_2026[[#This Row],[Egresos]]</f>
        <v>1500</v>
      </c>
      <c r="O637" s="20">
        <f>+O636+Movimientos_2026[[#This Row],[Neto]]</f>
        <v>6503482202.8412762</v>
      </c>
    </row>
    <row r="638" spans="1:15" x14ac:dyDescent="0.25">
      <c r="A638" s="13">
        <v>46071</v>
      </c>
      <c r="B638" s="12">
        <f>MONTH(Movimientos_2026[[#This Row],[Fecha]])</f>
        <v>2</v>
      </c>
      <c r="C638" s="12" t="str">
        <f>VLOOKUP((WEEKDAY(Movimientos_2026[[#This Row],[Fecha]],2)),'5. Setup'!$D$6:$E$12,2,FALSE)</f>
        <v>Mie</v>
      </c>
      <c r="D638">
        <v>1043387</v>
      </c>
      <c r="E638" t="str">
        <f>IFERROR(+VLOOKUP(Movimientos_2026[[#This Row],[Codigo]],Plan_cuentas[],2,FALSE)," ")</f>
        <v>INGRESOS</v>
      </c>
      <c r="F638" t="str">
        <f>IFERROR(+VLOOKUP(Movimientos_2026[[#This Row],[Codigo]],Plan_cuentas[],3,FALSE)," ")</f>
        <v>Transferencia</v>
      </c>
      <c r="G638" t="str">
        <f>IFERROR(+VLOOKUP(Movimientos_2026[[#This Row],[Codigo]],Plan_cuentas[],4,FALSE)," ")</f>
        <v>Registración</v>
      </c>
      <c r="H638" t="str">
        <f>IFERROR(+VLOOKUP(Movimientos_2026[[#This Row],[Codigo]],Plan_cuentas[],5,FALSE)," ")</f>
        <v>SANTA FE 1° Q</v>
      </c>
      <c r="I638" s="43">
        <v>45992</v>
      </c>
      <c r="J638" t="s">
        <v>274</v>
      </c>
      <c r="K638" t="str">
        <f>IFERROR(+VLOOKUP(Movimientos_2026[[#This Row],[Codigo]],Plan_cuentas[],6,FALSE)," ")</f>
        <v>7 - PRtr - Plan Rombo Transf.</v>
      </c>
      <c r="L638" s="50">
        <v>34500</v>
      </c>
      <c r="M638" s="50"/>
      <c r="N638" s="20">
        <f>+Movimientos_2026[[#This Row],[Ingresos]]-Movimientos_2026[[#This Row],[Egresos]]</f>
        <v>34500</v>
      </c>
      <c r="O638" s="20">
        <f>+O637+Movimientos_2026[[#This Row],[Neto]]</f>
        <v>6503516702.8412762</v>
      </c>
    </row>
    <row r="639" spans="1:15" x14ac:dyDescent="0.25">
      <c r="A639" s="13">
        <v>46071</v>
      </c>
      <c r="B639" s="12">
        <f>MONTH(Movimientos_2026[[#This Row],[Fecha]])</f>
        <v>2</v>
      </c>
      <c r="C639" s="12" t="str">
        <f>VLOOKUP((WEEKDAY(Movimientos_2026[[#This Row],[Fecha]],2)),'5. Setup'!$D$6:$E$12,2,FALSE)</f>
        <v>Mie</v>
      </c>
      <c r="D639">
        <v>1044407</v>
      </c>
      <c r="E639" t="str">
        <f>IFERROR(+VLOOKUP(Movimientos_2026[[#This Row],[Codigo]],Plan_cuentas[],2,FALSE)," ")</f>
        <v>INGRESOS</v>
      </c>
      <c r="F639" t="str">
        <f>IFERROR(+VLOOKUP(Movimientos_2026[[#This Row],[Codigo]],Plan_cuentas[],3,FALSE)," ")</f>
        <v>Transferencia</v>
      </c>
      <c r="G639" t="str">
        <f>IFERROR(+VLOOKUP(Movimientos_2026[[#This Row],[Codigo]],Plan_cuentas[],4,FALSE)," ")</f>
        <v>Rentas</v>
      </c>
      <c r="H639" t="str">
        <f>IFERROR(+VLOOKUP(Movimientos_2026[[#This Row],[Codigo]],Plan_cuentas[],5,FALSE)," ")</f>
        <v>SANTIAGO DEL ESTERO</v>
      </c>
      <c r="I639" s="43">
        <v>45992</v>
      </c>
      <c r="J639" t="s">
        <v>274</v>
      </c>
      <c r="K639" t="str">
        <f>IFERROR(+VLOOKUP(Movimientos_2026[[#This Row],[Codigo]],Plan_cuentas[],6,FALSE)," ")</f>
        <v>7 - PRtr - Plan Rombo Transf.</v>
      </c>
      <c r="L639" s="50">
        <v>400</v>
      </c>
      <c r="M639" s="50"/>
      <c r="N639" s="20">
        <f>+Movimientos_2026[[#This Row],[Ingresos]]-Movimientos_2026[[#This Row],[Egresos]]</f>
        <v>400</v>
      </c>
      <c r="O639" s="20">
        <f>+O638+Movimientos_2026[[#This Row],[Neto]]</f>
        <v>6503517102.8412762</v>
      </c>
    </row>
    <row r="640" spans="1:15" x14ac:dyDescent="0.25">
      <c r="A640" s="13">
        <v>46071</v>
      </c>
      <c r="B640" s="12">
        <f>MONTH(Movimientos_2026[[#This Row],[Fecha]])</f>
        <v>2</v>
      </c>
      <c r="C640" s="12" t="str">
        <f>VLOOKUP((WEEKDAY(Movimientos_2026[[#This Row],[Fecha]],2)),'5. Setup'!$D$6:$E$12,2,FALSE)</f>
        <v>Mie</v>
      </c>
      <c r="D640">
        <v>1044427</v>
      </c>
      <c r="E640" t="str">
        <f>IFERROR(+VLOOKUP(Movimientos_2026[[#This Row],[Codigo]],Plan_cuentas[],2,FALSE)," ")</f>
        <v>INGRESOS</v>
      </c>
      <c r="F640" t="str">
        <f>IFERROR(+VLOOKUP(Movimientos_2026[[#This Row],[Codigo]],Plan_cuentas[],3,FALSE)," ")</f>
        <v>Transferencia</v>
      </c>
      <c r="G640" t="str">
        <f>IFERROR(+VLOOKUP(Movimientos_2026[[#This Row],[Codigo]],Plan_cuentas[],4,FALSE)," ")</f>
        <v>Rentas</v>
      </c>
      <c r="H640" t="str">
        <f>IFERROR(+VLOOKUP(Movimientos_2026[[#This Row],[Codigo]],Plan_cuentas[],5,FALSE)," ")</f>
        <v>TUCUMAN</v>
      </c>
      <c r="I640" s="43">
        <v>45992</v>
      </c>
      <c r="J640" t="s">
        <v>274</v>
      </c>
      <c r="K640" t="str">
        <f>IFERROR(+VLOOKUP(Movimientos_2026[[#This Row],[Codigo]],Plan_cuentas[],6,FALSE)," ")</f>
        <v>7 - PRtr - Plan Rombo Transf.</v>
      </c>
      <c r="L640" s="50">
        <v>90</v>
      </c>
      <c r="M640" s="50"/>
      <c r="N640" s="20">
        <f>+Movimientos_2026[[#This Row],[Ingresos]]-Movimientos_2026[[#This Row],[Egresos]]</f>
        <v>90</v>
      </c>
      <c r="O640" s="20">
        <f>+O639+Movimientos_2026[[#This Row],[Neto]]</f>
        <v>6503517192.8412762</v>
      </c>
    </row>
    <row r="641" spans="1:15" x14ac:dyDescent="0.25">
      <c r="A641" s="13">
        <v>46071</v>
      </c>
      <c r="B641" s="12">
        <f>MONTH(Movimientos_2026[[#This Row],[Fecha]])</f>
        <v>2</v>
      </c>
      <c r="C641" s="12" t="str">
        <f>VLOOKUP((WEEKDAY(Movimientos_2026[[#This Row],[Fecha]],2)),'5. Setup'!$D$6:$E$12,2,FALSE)</f>
        <v>Mie</v>
      </c>
      <c r="D641">
        <v>1045477</v>
      </c>
      <c r="E641" t="str">
        <f>IFERROR(+VLOOKUP(Movimientos_2026[[#This Row],[Codigo]],Plan_cuentas[],2,FALSE)," ")</f>
        <v>INGRESOS</v>
      </c>
      <c r="F641" t="str">
        <f>IFERROR(+VLOOKUP(Movimientos_2026[[#This Row],[Codigo]],Plan_cuentas[],3,FALSE)," ")</f>
        <v>Transferencia</v>
      </c>
      <c r="G641" t="str">
        <f>IFERROR(+VLOOKUP(Movimientos_2026[[#This Row],[Codigo]],Plan_cuentas[],4,FALSE)," ")</f>
        <v>Factura</v>
      </c>
      <c r="H641" t="str">
        <f>IFERROR(+VLOOKUP(Movimientos_2026[[#This Row],[Codigo]],Plan_cuentas[],5,FALSE)," ")</f>
        <v>FC HONORARIOS</v>
      </c>
      <c r="I641" s="43">
        <v>45992</v>
      </c>
      <c r="J641" t="s">
        <v>275</v>
      </c>
      <c r="K641" t="str">
        <f>IFERROR(+VLOOKUP(Movimientos_2026[[#This Row],[Codigo]],Plan_cuentas[],6,FALSE)," ")</f>
        <v>7 - PRtr - Plan Rombo Transf.</v>
      </c>
      <c r="L641" s="50">
        <v>11808050.84</v>
      </c>
      <c r="M641" s="50"/>
      <c r="N641" s="20">
        <f>+Movimientos_2026[[#This Row],[Ingresos]]-Movimientos_2026[[#This Row],[Egresos]]</f>
        <v>11808050.84</v>
      </c>
      <c r="O641" s="20">
        <f>+O640+Movimientos_2026[[#This Row],[Neto]]</f>
        <v>6515325243.6812763</v>
      </c>
    </row>
    <row r="642" spans="1:15" x14ac:dyDescent="0.25">
      <c r="A642" s="13">
        <v>46071</v>
      </c>
      <c r="B642" s="12">
        <f>MONTH(Movimientos_2026[[#This Row],[Fecha]])</f>
        <v>2</v>
      </c>
      <c r="C642" s="12" t="str">
        <f>VLOOKUP((WEEKDAY(Movimientos_2026[[#This Row],[Fecha]],2)),'5. Setup'!$D$6:$E$12,2,FALSE)</f>
        <v>Mie</v>
      </c>
      <c r="D642">
        <v>1045453</v>
      </c>
      <c r="E642" t="str">
        <f>IFERROR(+VLOOKUP(Movimientos_2026[[#This Row],[Codigo]],Plan_cuentas[],2,FALSE)," ")</f>
        <v>INGRESOS</v>
      </c>
      <c r="F642" t="str">
        <f>IFERROR(+VLOOKUP(Movimientos_2026[[#This Row],[Codigo]],Plan_cuentas[],3,FALSE)," ")</f>
        <v>Transferencia</v>
      </c>
      <c r="G642" t="str">
        <f>IFERROR(+VLOOKUP(Movimientos_2026[[#This Row],[Codigo]],Plan_cuentas[],4,FALSE)," ")</f>
        <v>Factura</v>
      </c>
      <c r="H642" t="str">
        <f>IFERROR(+VLOOKUP(Movimientos_2026[[#This Row],[Codigo]],Plan_cuentas[],5,FALSE)," ")</f>
        <v>FC DERECHOS</v>
      </c>
      <c r="I642" s="43">
        <v>46023</v>
      </c>
      <c r="J642" t="s">
        <v>276</v>
      </c>
      <c r="K642" t="str">
        <f>IFERROR(+VLOOKUP(Movimientos_2026[[#This Row],[Codigo]],Plan_cuentas[],6,FALSE)," ")</f>
        <v>3 - GM - Chevrolet</v>
      </c>
      <c r="L642" s="50">
        <v>52426937.100000001</v>
      </c>
      <c r="M642" s="50"/>
      <c r="N642" s="20">
        <f>+Movimientos_2026[[#This Row],[Ingresos]]-Movimientos_2026[[#This Row],[Egresos]]</f>
        <v>52426937.100000001</v>
      </c>
      <c r="O642" s="20">
        <f>+O641+Movimientos_2026[[#This Row],[Neto]]</f>
        <v>6567752180.7812767</v>
      </c>
    </row>
    <row r="643" spans="1:15" x14ac:dyDescent="0.25">
      <c r="A643" s="13">
        <v>46072</v>
      </c>
      <c r="B643" s="12">
        <f>MONTH(Movimientos_2026[[#This Row],[Fecha]])</f>
        <v>2</v>
      </c>
      <c r="C643" s="12" t="str">
        <f>VLOOKUP((WEEKDAY(Movimientos_2026[[#This Row],[Fecha]],2)),'5. Setup'!$D$6:$E$12,2,FALSE)</f>
        <v>Jue</v>
      </c>
      <c r="D643">
        <v>2022103</v>
      </c>
      <c r="E643" t="str">
        <f>IFERROR(+VLOOKUP(Movimientos_2026[[#This Row],[Codigo]],Plan_cuentas[],2,FALSE)," ")</f>
        <v>EGRESOS</v>
      </c>
      <c r="F643" t="str">
        <f>IFERROR(+VLOOKUP(Movimientos_2026[[#This Row],[Codigo]],Plan_cuentas[],3,FALSE)," ")</f>
        <v>DDJJ</v>
      </c>
      <c r="G643" t="str">
        <f>IFERROR(+VLOOKUP(Movimientos_2026[[#This Row],[Codigo]],Plan_cuentas[],4,FALSE)," ")</f>
        <v>Entidades tercerizadas</v>
      </c>
      <c r="H643" t="str">
        <f>IFERROR(+VLOOKUP(Movimientos_2026[[#This Row],[Codigo]],Plan_cuentas[],5,FALSE)," ")</f>
        <v>AMN</v>
      </c>
      <c r="I643" s="43">
        <v>46023</v>
      </c>
      <c r="J643" t="s">
        <v>277</v>
      </c>
      <c r="K643" t="str">
        <f>IFERROR(+VLOOKUP(Movimientos_2026[[#This Row],[Codigo]],Plan_cuentas[],6,FALSE)," ")</f>
        <v>3 - GM - Chevrolet</v>
      </c>
      <c r="L643" s="50"/>
      <c r="M643" s="52">
        <v>8129507.4500000002</v>
      </c>
      <c r="N643" s="20">
        <f>+Movimientos_2026[[#This Row],[Ingresos]]-Movimientos_2026[[#This Row],[Egresos]]</f>
        <v>-8129507.4500000002</v>
      </c>
      <c r="O643" s="20">
        <f>+O642+Movimientos_2026[[#This Row],[Neto]]</f>
        <v>6559622673.3312769</v>
      </c>
    </row>
    <row r="644" spans="1:15" x14ac:dyDescent="0.25">
      <c r="A644" s="13">
        <v>46072</v>
      </c>
      <c r="B644" s="12">
        <f>MONTH(Movimientos_2026[[#This Row],[Fecha]])</f>
        <v>2</v>
      </c>
      <c r="C644" s="12" t="str">
        <f>VLOOKUP((WEEKDAY(Movimientos_2026[[#This Row],[Fecha]],2)),'5. Setup'!$D$6:$E$12,2,FALSE)</f>
        <v>Jue</v>
      </c>
      <c r="D644">
        <v>2022104</v>
      </c>
      <c r="E644" t="str">
        <f>IFERROR(+VLOOKUP(Movimientos_2026[[#This Row],[Codigo]],Plan_cuentas[],2,FALSE)," ")</f>
        <v>EGRESOS</v>
      </c>
      <c r="F644" t="str">
        <f>IFERROR(+VLOOKUP(Movimientos_2026[[#This Row],[Codigo]],Plan_cuentas[],3,FALSE)," ")</f>
        <v>DDJJ</v>
      </c>
      <c r="G644" t="str">
        <f>IFERROR(+VLOOKUP(Movimientos_2026[[#This Row],[Codigo]],Plan_cuentas[],4,FALSE)," ")</f>
        <v>Entidades tercerizadas</v>
      </c>
      <c r="H644" t="str">
        <f>IFERROR(+VLOOKUP(Movimientos_2026[[#This Row],[Codigo]],Plan_cuentas[],5,FALSE)," ")</f>
        <v>AMN</v>
      </c>
      <c r="I644" s="43">
        <v>46023</v>
      </c>
      <c r="J644" t="s">
        <v>277</v>
      </c>
      <c r="K644" t="str">
        <f>IFERROR(+VLOOKUP(Movimientos_2026[[#This Row],[Codigo]],Plan_cuentas[],6,FALSE)," ")</f>
        <v>4 - FCA - Fiat</v>
      </c>
      <c r="L644" s="50"/>
      <c r="M644" s="52">
        <v>11007939.26</v>
      </c>
      <c r="N644" s="20">
        <f>+Movimientos_2026[[#This Row],[Ingresos]]-Movimientos_2026[[#This Row],[Egresos]]</f>
        <v>-11007939.26</v>
      </c>
      <c r="O644" s="20">
        <f>+O643+Movimientos_2026[[#This Row],[Neto]]</f>
        <v>6548614734.0712767</v>
      </c>
    </row>
    <row r="645" spans="1:15" x14ac:dyDescent="0.25">
      <c r="A645" s="13">
        <v>46072</v>
      </c>
      <c r="B645" s="12">
        <f>MONTH(Movimientos_2026[[#This Row],[Fecha]])</f>
        <v>2</v>
      </c>
      <c r="C645" s="12" t="str">
        <f>VLOOKUP((WEEKDAY(Movimientos_2026[[#This Row],[Fecha]],2)),'5. Setup'!$D$6:$E$12,2,FALSE)</f>
        <v>Jue</v>
      </c>
      <c r="D645">
        <v>2022111</v>
      </c>
      <c r="E645" t="str">
        <f>IFERROR(+VLOOKUP(Movimientos_2026[[#This Row],[Codigo]],Plan_cuentas[],2,FALSE)," ")</f>
        <v>EGRESOS</v>
      </c>
      <c r="F645" t="str">
        <f>IFERROR(+VLOOKUP(Movimientos_2026[[#This Row],[Codigo]],Plan_cuentas[],3,FALSE)," ")</f>
        <v>DDJJ</v>
      </c>
      <c r="G645" t="str">
        <f>IFERROR(+VLOOKUP(Movimientos_2026[[#This Row],[Codigo]],Plan_cuentas[],4,FALSE)," ")</f>
        <v>Entidades tercerizadas</v>
      </c>
      <c r="H645" t="str">
        <f>IFERROR(+VLOOKUP(Movimientos_2026[[#This Row],[Codigo]],Plan_cuentas[],5,FALSE)," ")</f>
        <v>APESI</v>
      </c>
      <c r="I645" s="43">
        <v>46023</v>
      </c>
      <c r="J645" t="s">
        <v>278</v>
      </c>
      <c r="K645" t="str">
        <f>IFERROR(+VLOOKUP(Movimientos_2026[[#This Row],[Codigo]],Plan_cuentas[],6,FALSE)," ")</f>
        <v>1 - VW - Volkswagen</v>
      </c>
      <c r="L645" s="50"/>
      <c r="M645" s="52">
        <v>3811417.6</v>
      </c>
      <c r="N645" s="20">
        <f>+Movimientos_2026[[#This Row],[Ingresos]]-Movimientos_2026[[#This Row],[Egresos]]</f>
        <v>-3811417.6</v>
      </c>
      <c r="O645" s="20">
        <f>+O644+Movimientos_2026[[#This Row],[Neto]]</f>
        <v>6544803316.4712763</v>
      </c>
    </row>
    <row r="646" spans="1:15" x14ac:dyDescent="0.25">
      <c r="A646" s="13">
        <v>46072</v>
      </c>
      <c r="B646" s="12">
        <f>MONTH(Movimientos_2026[[#This Row],[Fecha]])</f>
        <v>2</v>
      </c>
      <c r="C646" s="12" t="str">
        <f>VLOOKUP((WEEKDAY(Movimientos_2026[[#This Row],[Fecha]],2)),'5. Setup'!$D$6:$E$12,2,FALSE)</f>
        <v>Jue</v>
      </c>
      <c r="D646">
        <v>2022112</v>
      </c>
      <c r="E646" t="str">
        <f>IFERROR(+VLOOKUP(Movimientos_2026[[#This Row],[Codigo]],Plan_cuentas[],2,FALSE)," ")</f>
        <v>EGRESOS</v>
      </c>
      <c r="F646" t="str">
        <f>IFERROR(+VLOOKUP(Movimientos_2026[[#This Row],[Codigo]],Plan_cuentas[],3,FALSE)," ")</f>
        <v>DDJJ</v>
      </c>
      <c r="G646" t="str">
        <f>IFERROR(+VLOOKUP(Movimientos_2026[[#This Row],[Codigo]],Plan_cuentas[],4,FALSE)," ")</f>
        <v>Entidades tercerizadas</v>
      </c>
      <c r="H646" t="str">
        <f>IFERROR(+VLOOKUP(Movimientos_2026[[#This Row],[Codigo]],Plan_cuentas[],5,FALSE)," ")</f>
        <v>APESI</v>
      </c>
      <c r="I646" s="43">
        <v>46023</v>
      </c>
      <c r="J646" t="s">
        <v>278</v>
      </c>
      <c r="K646" t="str">
        <f>IFERROR(+VLOOKUP(Movimientos_2026[[#This Row],[Codigo]],Plan_cuentas[],6,FALSE)," ")</f>
        <v>2 - PR - Plan Rombo</v>
      </c>
      <c r="L646" s="50"/>
      <c r="M646" s="52">
        <v>33559924.390000001</v>
      </c>
      <c r="N646" s="20">
        <f>+Movimientos_2026[[#This Row],[Ingresos]]-Movimientos_2026[[#This Row],[Egresos]]</f>
        <v>-33559924.390000001</v>
      </c>
      <c r="O646" s="20">
        <f>+O645+Movimientos_2026[[#This Row],[Neto]]</f>
        <v>6511243392.0812759</v>
      </c>
    </row>
    <row r="647" spans="1:15" x14ac:dyDescent="0.25">
      <c r="A647" s="13">
        <v>46072</v>
      </c>
      <c r="B647" s="12">
        <f>MONTH(Movimientos_2026[[#This Row],[Fecha]])</f>
        <v>2</v>
      </c>
      <c r="C647" s="12" t="str">
        <f>VLOOKUP((WEEKDAY(Movimientos_2026[[#This Row],[Fecha]],2)),'5. Setup'!$D$6:$E$12,2,FALSE)</f>
        <v>Jue</v>
      </c>
      <c r="D647">
        <v>2022113</v>
      </c>
      <c r="E647" t="str">
        <f>IFERROR(+VLOOKUP(Movimientos_2026[[#This Row],[Codigo]],Plan_cuentas[],2,FALSE)," ")</f>
        <v>EGRESOS</v>
      </c>
      <c r="F647" t="str">
        <f>IFERROR(+VLOOKUP(Movimientos_2026[[#This Row],[Codigo]],Plan_cuentas[],3,FALSE)," ")</f>
        <v>DDJJ</v>
      </c>
      <c r="G647" t="str">
        <f>IFERROR(+VLOOKUP(Movimientos_2026[[#This Row],[Codigo]],Plan_cuentas[],4,FALSE)," ")</f>
        <v>Entidades tercerizadas</v>
      </c>
      <c r="H647" t="str">
        <f>IFERROR(+VLOOKUP(Movimientos_2026[[#This Row],[Codigo]],Plan_cuentas[],5,FALSE)," ")</f>
        <v>APESI</v>
      </c>
      <c r="I647" s="43">
        <v>46023</v>
      </c>
      <c r="J647" t="s">
        <v>278</v>
      </c>
      <c r="K647" t="str">
        <f>IFERROR(+VLOOKUP(Movimientos_2026[[#This Row],[Codigo]],Plan_cuentas[],6,FALSE)," ")</f>
        <v>3 - GM - Chevrolet</v>
      </c>
      <c r="L647" s="50"/>
      <c r="M647" s="52">
        <v>4845161.5</v>
      </c>
      <c r="N647" s="20">
        <f>+Movimientos_2026[[#This Row],[Ingresos]]-Movimientos_2026[[#This Row],[Egresos]]</f>
        <v>-4845161.5</v>
      </c>
      <c r="O647" s="20">
        <f>+O646+Movimientos_2026[[#This Row],[Neto]]</f>
        <v>6506398230.5812759</v>
      </c>
    </row>
    <row r="648" spans="1:15" x14ac:dyDescent="0.25">
      <c r="A648" s="13">
        <v>46072</v>
      </c>
      <c r="B648" s="12">
        <f>MONTH(Movimientos_2026[[#This Row],[Fecha]])</f>
        <v>2</v>
      </c>
      <c r="C648" s="12" t="str">
        <f>VLOOKUP((WEEKDAY(Movimientos_2026[[#This Row],[Fecha]],2)),'5. Setup'!$D$6:$E$12,2,FALSE)</f>
        <v>Jue</v>
      </c>
      <c r="D648">
        <v>2022114</v>
      </c>
      <c r="E648" t="str">
        <f>IFERROR(+VLOOKUP(Movimientos_2026[[#This Row],[Codigo]],Plan_cuentas[],2,FALSE)," ")</f>
        <v>EGRESOS</v>
      </c>
      <c r="F648" t="str">
        <f>IFERROR(+VLOOKUP(Movimientos_2026[[#This Row],[Codigo]],Plan_cuentas[],3,FALSE)," ")</f>
        <v>DDJJ</v>
      </c>
      <c r="G648" t="str">
        <f>IFERROR(+VLOOKUP(Movimientos_2026[[#This Row],[Codigo]],Plan_cuentas[],4,FALSE)," ")</f>
        <v>Entidades tercerizadas</v>
      </c>
      <c r="H648" t="str">
        <f>IFERROR(+VLOOKUP(Movimientos_2026[[#This Row],[Codigo]],Plan_cuentas[],5,FALSE)," ")</f>
        <v>APESI</v>
      </c>
      <c r="I648" s="43">
        <v>46023</v>
      </c>
      <c r="J648" t="s">
        <v>278</v>
      </c>
      <c r="K648" t="str">
        <f>IFERROR(+VLOOKUP(Movimientos_2026[[#This Row],[Codigo]],Plan_cuentas[],6,FALSE)," ")</f>
        <v>4 - FCA - Fiat</v>
      </c>
      <c r="L648" s="50"/>
      <c r="M648" s="52">
        <v>14146482.08</v>
      </c>
      <c r="N648" s="20">
        <f>+Movimientos_2026[[#This Row],[Ingresos]]-Movimientos_2026[[#This Row],[Egresos]]</f>
        <v>-14146482.08</v>
      </c>
      <c r="O648" s="20">
        <f>+O647+Movimientos_2026[[#This Row],[Neto]]</f>
        <v>6492251748.501276</v>
      </c>
    </row>
    <row r="649" spans="1:15" x14ac:dyDescent="0.25">
      <c r="A649" s="13">
        <v>46072</v>
      </c>
      <c r="B649" s="12">
        <f>MONTH(Movimientos_2026[[#This Row],[Fecha]])</f>
        <v>2</v>
      </c>
      <c r="C649" s="12" t="str">
        <f>VLOOKUP((WEEKDAY(Movimientos_2026[[#This Row],[Fecha]],2)),'5. Setup'!$D$6:$E$12,2,FALSE)</f>
        <v>Jue</v>
      </c>
      <c r="D649">
        <v>2021131</v>
      </c>
      <c r="E649" t="str">
        <f>IFERROR(+VLOOKUP(Movimientos_2026[[#This Row],[Codigo]],Plan_cuentas[],2,FALSE)," ")</f>
        <v>EGRESOS</v>
      </c>
      <c r="F649" t="str">
        <f>IFERROR(+VLOOKUP(Movimientos_2026[[#This Row],[Codigo]],Plan_cuentas[],3,FALSE)," ")</f>
        <v>DDJJ</v>
      </c>
      <c r="G649" t="str">
        <f>IFERROR(+VLOOKUP(Movimientos_2026[[#This Row],[Codigo]],Plan_cuentas[],4,FALSE)," ")</f>
        <v>Entidades co-participadas</v>
      </c>
      <c r="H649" t="str">
        <f>IFERROR(+VLOOKUP(Movimientos_2026[[#This Row],[Codigo]],Plan_cuentas[],5,FALSE)," ")</f>
        <v>BCLP</v>
      </c>
      <c r="I649" s="43">
        <v>46023</v>
      </c>
      <c r="J649" t="s">
        <v>279</v>
      </c>
      <c r="K649" t="str">
        <f>IFERROR(+VLOOKUP(Movimientos_2026[[#This Row],[Codigo]],Plan_cuentas[],6,FALSE)," ")</f>
        <v>1 - VW - Volkswagen</v>
      </c>
      <c r="L649" s="50"/>
      <c r="M649" s="52">
        <v>6068820.3700000001</v>
      </c>
      <c r="N649" s="20">
        <f>+Movimientos_2026[[#This Row],[Ingresos]]-Movimientos_2026[[#This Row],[Egresos]]</f>
        <v>-6068820.3700000001</v>
      </c>
      <c r="O649" s="20">
        <f>+O648+Movimientos_2026[[#This Row],[Neto]]</f>
        <v>6486182928.1312761</v>
      </c>
    </row>
    <row r="650" spans="1:15" x14ac:dyDescent="0.25">
      <c r="A650" s="13">
        <v>46072</v>
      </c>
      <c r="B650" s="12">
        <f>MONTH(Movimientos_2026[[#This Row],[Fecha]])</f>
        <v>2</v>
      </c>
      <c r="C650" s="12" t="str">
        <f>VLOOKUP((WEEKDAY(Movimientos_2026[[#This Row],[Fecha]],2)),'5. Setup'!$D$6:$E$12,2,FALSE)</f>
        <v>Jue</v>
      </c>
      <c r="D650">
        <v>2021133</v>
      </c>
      <c r="E650" t="str">
        <f>IFERROR(+VLOOKUP(Movimientos_2026[[#This Row],[Codigo]],Plan_cuentas[],2,FALSE)," ")</f>
        <v>EGRESOS</v>
      </c>
      <c r="F650" t="str">
        <f>IFERROR(+VLOOKUP(Movimientos_2026[[#This Row],[Codigo]],Plan_cuentas[],3,FALSE)," ")</f>
        <v>DDJJ</v>
      </c>
      <c r="G650" t="str">
        <f>IFERROR(+VLOOKUP(Movimientos_2026[[#This Row],[Codigo]],Plan_cuentas[],4,FALSE)," ")</f>
        <v>Entidades co-participadas</v>
      </c>
      <c r="H650" t="str">
        <f>IFERROR(+VLOOKUP(Movimientos_2026[[#This Row],[Codigo]],Plan_cuentas[],5,FALSE)," ")</f>
        <v>BCLP</v>
      </c>
      <c r="I650" s="43">
        <v>46023</v>
      </c>
      <c r="J650" t="s">
        <v>279</v>
      </c>
      <c r="K650" t="str">
        <f>IFERROR(+VLOOKUP(Movimientos_2026[[#This Row],[Codigo]],Plan_cuentas[],6,FALSE)," ")</f>
        <v>3 - GM - Chevrolet</v>
      </c>
      <c r="L650" s="50"/>
      <c r="M650" s="52">
        <v>6825551.2800000003</v>
      </c>
      <c r="N650" s="20">
        <f>+Movimientos_2026[[#This Row],[Ingresos]]-Movimientos_2026[[#This Row],[Egresos]]</f>
        <v>-6825551.2800000003</v>
      </c>
      <c r="O650" s="20">
        <f>+O649+Movimientos_2026[[#This Row],[Neto]]</f>
        <v>6479357376.8512764</v>
      </c>
    </row>
    <row r="651" spans="1:15" x14ac:dyDescent="0.25">
      <c r="A651" s="13">
        <v>46072</v>
      </c>
      <c r="B651" s="12">
        <f>MONTH(Movimientos_2026[[#This Row],[Fecha]])</f>
        <v>2</v>
      </c>
      <c r="C651" s="12" t="str">
        <f>VLOOKUP((WEEKDAY(Movimientos_2026[[#This Row],[Fecha]],2)),'5. Setup'!$D$6:$E$12,2,FALSE)</f>
        <v>Jue</v>
      </c>
      <c r="D651">
        <v>2021134</v>
      </c>
      <c r="E651" t="str">
        <f>IFERROR(+VLOOKUP(Movimientos_2026[[#This Row],[Codigo]],Plan_cuentas[],2,FALSE)," ")</f>
        <v>EGRESOS</v>
      </c>
      <c r="F651" t="str">
        <f>IFERROR(+VLOOKUP(Movimientos_2026[[#This Row],[Codigo]],Plan_cuentas[],3,FALSE)," ")</f>
        <v>DDJJ</v>
      </c>
      <c r="G651" t="str">
        <f>IFERROR(+VLOOKUP(Movimientos_2026[[#This Row],[Codigo]],Plan_cuentas[],4,FALSE)," ")</f>
        <v>Entidades co-participadas</v>
      </c>
      <c r="H651" t="str">
        <f>IFERROR(+VLOOKUP(Movimientos_2026[[#This Row],[Codigo]],Plan_cuentas[],5,FALSE)," ")</f>
        <v>BCLP</v>
      </c>
      <c r="I651" s="43">
        <v>46023</v>
      </c>
      <c r="J651" t="s">
        <v>279</v>
      </c>
      <c r="K651" t="str">
        <f>IFERROR(+VLOOKUP(Movimientos_2026[[#This Row],[Codigo]],Plan_cuentas[],6,FALSE)," ")</f>
        <v>4 - FCA - Fiat</v>
      </c>
      <c r="L651" s="50"/>
      <c r="M651" s="52">
        <v>15385722.41</v>
      </c>
      <c r="N651" s="20">
        <f>+Movimientos_2026[[#This Row],[Ingresos]]-Movimientos_2026[[#This Row],[Egresos]]</f>
        <v>-15385722.41</v>
      </c>
      <c r="O651" s="20">
        <f>+O650+Movimientos_2026[[#This Row],[Neto]]</f>
        <v>6463971654.4412766</v>
      </c>
    </row>
    <row r="652" spans="1:15" x14ac:dyDescent="0.25">
      <c r="A652" s="13">
        <v>46072</v>
      </c>
      <c r="B652" s="12">
        <f>MONTH(Movimientos_2026[[#This Row],[Fecha]])</f>
        <v>2</v>
      </c>
      <c r="C652" s="12" t="str">
        <f>VLOOKUP((WEEKDAY(Movimientos_2026[[#This Row],[Fecha]],2)),'5. Setup'!$D$6:$E$12,2,FALSE)</f>
        <v>Jue</v>
      </c>
      <c r="D652">
        <v>2023141</v>
      </c>
      <c r="E652" t="str">
        <f>IFERROR(+VLOOKUP(Movimientos_2026[[#This Row],[Codigo]],Plan_cuentas[],2,FALSE)," ")</f>
        <v>EGRESOS</v>
      </c>
      <c r="F652" t="str">
        <f>IFERROR(+VLOOKUP(Movimientos_2026[[#This Row],[Codigo]],Plan_cuentas[],3,FALSE)," ")</f>
        <v>DDJJ</v>
      </c>
      <c r="G652" t="str">
        <f>IFERROR(+VLOOKUP(Movimientos_2026[[#This Row],[Codigo]],Plan_cuentas[],4,FALSE)," ")</f>
        <v>Registración</v>
      </c>
      <c r="H652" t="str">
        <f>IFERROR(+VLOOKUP(Movimientos_2026[[#This Row],[Codigo]],Plan_cuentas[],5,FALSE)," ")</f>
        <v>BUENOS AIRES</v>
      </c>
      <c r="I652" s="43">
        <v>46023</v>
      </c>
      <c r="J652" t="s">
        <v>280</v>
      </c>
      <c r="K652" t="str">
        <f>IFERROR(+VLOOKUP(Movimientos_2026[[#This Row],[Codigo]],Plan_cuentas[],6,FALSE)," ")</f>
        <v>1 - VW - Volkswagen</v>
      </c>
      <c r="L652" s="50"/>
      <c r="M652" s="52">
        <v>520797323.00999999</v>
      </c>
      <c r="N652" s="20">
        <f>+Movimientos_2026[[#This Row],[Ingresos]]-Movimientos_2026[[#This Row],[Egresos]]</f>
        <v>-520797323.00999999</v>
      </c>
      <c r="O652" s="20">
        <f>+O651+Movimientos_2026[[#This Row],[Neto]]</f>
        <v>5943174331.4312763</v>
      </c>
    </row>
    <row r="653" spans="1:15" x14ac:dyDescent="0.25">
      <c r="A653" s="13">
        <v>46072</v>
      </c>
      <c r="B653" s="12">
        <f>MONTH(Movimientos_2026[[#This Row],[Fecha]])</f>
        <v>2</v>
      </c>
      <c r="C653" s="12" t="str">
        <f>VLOOKUP((WEEKDAY(Movimientos_2026[[#This Row],[Fecha]],2)),'5. Setup'!$D$6:$E$12,2,FALSE)</f>
        <v>Jue</v>
      </c>
      <c r="D653">
        <v>2023142</v>
      </c>
      <c r="E653" t="str">
        <f>IFERROR(+VLOOKUP(Movimientos_2026[[#This Row],[Codigo]],Plan_cuentas[],2,FALSE)," ")</f>
        <v>EGRESOS</v>
      </c>
      <c r="F653" t="str">
        <f>IFERROR(+VLOOKUP(Movimientos_2026[[#This Row],[Codigo]],Plan_cuentas[],3,FALSE)," ")</f>
        <v>DDJJ</v>
      </c>
      <c r="G653" t="str">
        <f>IFERROR(+VLOOKUP(Movimientos_2026[[#This Row],[Codigo]],Plan_cuentas[],4,FALSE)," ")</f>
        <v>Registración</v>
      </c>
      <c r="H653" t="str">
        <f>IFERROR(+VLOOKUP(Movimientos_2026[[#This Row],[Codigo]],Plan_cuentas[],5,FALSE)," ")</f>
        <v>BUENOS AIRES</v>
      </c>
      <c r="I653" s="43">
        <v>46023</v>
      </c>
      <c r="J653" t="s">
        <v>280</v>
      </c>
      <c r="K653" t="str">
        <f>IFERROR(+VLOOKUP(Movimientos_2026[[#This Row],[Codigo]],Plan_cuentas[],6,FALSE)," ")</f>
        <v>2 - PR - Plan Rombo</v>
      </c>
      <c r="L653" s="50"/>
      <c r="M653" s="52">
        <v>334912849.83999997</v>
      </c>
      <c r="N653" s="20">
        <f>+Movimientos_2026[[#This Row],[Ingresos]]-Movimientos_2026[[#This Row],[Egresos]]</f>
        <v>-334912849.83999997</v>
      </c>
      <c r="O653" s="20">
        <f>+O652+Movimientos_2026[[#This Row],[Neto]]</f>
        <v>5608261481.5912762</v>
      </c>
    </row>
    <row r="654" spans="1:15" x14ac:dyDescent="0.25">
      <c r="A654" s="13">
        <v>46072</v>
      </c>
      <c r="B654" s="12">
        <f>MONTH(Movimientos_2026[[#This Row],[Fecha]])</f>
        <v>2</v>
      </c>
      <c r="C654" s="12" t="str">
        <f>VLOOKUP((WEEKDAY(Movimientos_2026[[#This Row],[Fecha]],2)),'5. Setup'!$D$6:$E$12,2,FALSE)</f>
        <v>Jue</v>
      </c>
      <c r="D654">
        <v>2023143</v>
      </c>
      <c r="E654" t="str">
        <f>IFERROR(+VLOOKUP(Movimientos_2026[[#This Row],[Codigo]],Plan_cuentas[],2,FALSE)," ")</f>
        <v>EGRESOS</v>
      </c>
      <c r="F654" t="str">
        <f>IFERROR(+VLOOKUP(Movimientos_2026[[#This Row],[Codigo]],Plan_cuentas[],3,FALSE)," ")</f>
        <v>DDJJ</v>
      </c>
      <c r="G654" t="str">
        <f>IFERROR(+VLOOKUP(Movimientos_2026[[#This Row],[Codigo]],Plan_cuentas[],4,FALSE)," ")</f>
        <v>Registración</v>
      </c>
      <c r="H654" t="str">
        <f>IFERROR(+VLOOKUP(Movimientos_2026[[#This Row],[Codigo]],Plan_cuentas[],5,FALSE)," ")</f>
        <v>BUENOS AIRES</v>
      </c>
      <c r="I654" s="43">
        <v>46023</v>
      </c>
      <c r="J654" t="s">
        <v>280</v>
      </c>
      <c r="K654" t="str">
        <f>IFERROR(+VLOOKUP(Movimientos_2026[[#This Row],[Codigo]],Plan_cuentas[],6,FALSE)," ")</f>
        <v>3 - GM - Chevrolet</v>
      </c>
      <c r="L654" s="50"/>
      <c r="M654" s="52">
        <v>279460783.79000002</v>
      </c>
      <c r="N654" s="20">
        <f>+Movimientos_2026[[#This Row],[Ingresos]]-Movimientos_2026[[#This Row],[Egresos]]</f>
        <v>-279460783.79000002</v>
      </c>
      <c r="O654" s="20">
        <f>+O653+Movimientos_2026[[#This Row],[Neto]]</f>
        <v>5328800697.8012762</v>
      </c>
    </row>
    <row r="655" spans="1:15" x14ac:dyDescent="0.25">
      <c r="A655" s="13">
        <v>46072</v>
      </c>
      <c r="B655" s="12">
        <f>MONTH(Movimientos_2026[[#This Row],[Fecha]])</f>
        <v>2</v>
      </c>
      <c r="C655" s="12" t="str">
        <f>VLOOKUP((WEEKDAY(Movimientos_2026[[#This Row],[Fecha]],2)),'5. Setup'!$D$6:$E$12,2,FALSE)</f>
        <v>Jue</v>
      </c>
      <c r="D655">
        <v>2023144</v>
      </c>
      <c r="E655" t="str">
        <f>IFERROR(+VLOOKUP(Movimientos_2026[[#This Row],[Codigo]],Plan_cuentas[],2,FALSE)," ")</f>
        <v>EGRESOS</v>
      </c>
      <c r="F655" t="str">
        <f>IFERROR(+VLOOKUP(Movimientos_2026[[#This Row],[Codigo]],Plan_cuentas[],3,FALSE)," ")</f>
        <v>DDJJ</v>
      </c>
      <c r="G655" t="str">
        <f>IFERROR(+VLOOKUP(Movimientos_2026[[#This Row],[Codigo]],Plan_cuentas[],4,FALSE)," ")</f>
        <v>Registración</v>
      </c>
      <c r="H655" t="str">
        <f>IFERROR(+VLOOKUP(Movimientos_2026[[#This Row],[Codigo]],Plan_cuentas[],5,FALSE)," ")</f>
        <v>BUENOS AIRES</v>
      </c>
      <c r="I655" s="43">
        <v>46023</v>
      </c>
      <c r="J655" t="s">
        <v>280</v>
      </c>
      <c r="K655" t="str">
        <f>IFERROR(+VLOOKUP(Movimientos_2026[[#This Row],[Codigo]],Plan_cuentas[],6,FALSE)," ")</f>
        <v>4 - FCA - Fiat</v>
      </c>
      <c r="L655" s="50"/>
      <c r="M655" s="52">
        <v>453526687.13</v>
      </c>
      <c r="N655" s="20">
        <f>+Movimientos_2026[[#This Row],[Ingresos]]-Movimientos_2026[[#This Row],[Egresos]]</f>
        <v>-453526687.13</v>
      </c>
      <c r="O655" s="20">
        <f>+O654+Movimientos_2026[[#This Row],[Neto]]</f>
        <v>4875274010.6712761</v>
      </c>
    </row>
    <row r="656" spans="1:15" x14ac:dyDescent="0.25">
      <c r="A656" s="13">
        <v>46072</v>
      </c>
      <c r="B656" s="12">
        <f>MONTH(Movimientos_2026[[#This Row],[Fecha]])</f>
        <v>2</v>
      </c>
      <c r="C656" s="12" t="str">
        <f>VLOOKUP((WEEKDAY(Movimientos_2026[[#This Row],[Fecha]],2)),'5. Setup'!$D$6:$E$12,2,FALSE)</f>
        <v>Jue</v>
      </c>
      <c r="D656">
        <v>2022332</v>
      </c>
      <c r="E656" t="str">
        <f>IFERROR(+VLOOKUP(Movimientos_2026[[#This Row],[Codigo]],Plan_cuentas[],2,FALSE)," ")</f>
        <v>EGRESOS</v>
      </c>
      <c r="F656" t="str">
        <f>IFERROR(+VLOOKUP(Movimientos_2026[[#This Row],[Codigo]],Plan_cuentas[],3,FALSE)," ")</f>
        <v>DDJJ</v>
      </c>
      <c r="G656" t="str">
        <f>IFERROR(+VLOOKUP(Movimientos_2026[[#This Row],[Codigo]],Plan_cuentas[],4,FALSE)," ")</f>
        <v>Entidades tercerizadas</v>
      </c>
      <c r="H656" t="str">
        <f>IFERROR(+VLOOKUP(Movimientos_2026[[#This Row],[Codigo]],Plan_cuentas[],5,FALSE)," ")</f>
        <v>QUILMES</v>
      </c>
      <c r="I656" s="43">
        <v>46023</v>
      </c>
      <c r="J656" t="s">
        <v>281</v>
      </c>
      <c r="K656" t="str">
        <f>IFERROR(+VLOOKUP(Movimientos_2026[[#This Row],[Codigo]],Plan_cuentas[],6,FALSE)," ")</f>
        <v>2 - PR - Plan Rombo</v>
      </c>
      <c r="L656" s="50"/>
      <c r="M656" s="52">
        <v>2307426.4900000002</v>
      </c>
      <c r="N656" s="20">
        <f>+Movimientos_2026[[#This Row],[Ingresos]]-Movimientos_2026[[#This Row],[Egresos]]</f>
        <v>-2307426.4900000002</v>
      </c>
      <c r="O656" s="20">
        <f>+O655+Movimientos_2026[[#This Row],[Neto]]</f>
        <v>4872966584.1812763</v>
      </c>
    </row>
    <row r="657" spans="1:15" x14ac:dyDescent="0.25">
      <c r="A657" s="13">
        <v>46072</v>
      </c>
      <c r="B657" s="12">
        <f>MONTH(Movimientos_2026[[#This Row],[Fecha]])</f>
        <v>2</v>
      </c>
      <c r="C657" s="12" t="str">
        <f>VLOOKUP((WEEKDAY(Movimientos_2026[[#This Row],[Fecha]],2)),'5. Setup'!$D$6:$E$12,2,FALSE)</f>
        <v>Jue</v>
      </c>
      <c r="D657">
        <v>2021441</v>
      </c>
      <c r="E657" t="str">
        <f>IFERROR(+VLOOKUP(Movimientos_2026[[#This Row],[Codigo]],Plan_cuentas[],2,FALSE)," ")</f>
        <v>EGRESOS</v>
      </c>
      <c r="F657" t="str">
        <f>IFERROR(+VLOOKUP(Movimientos_2026[[#This Row],[Codigo]],Plan_cuentas[],3,FALSE)," ")</f>
        <v>DDJJ</v>
      </c>
      <c r="G657" t="str">
        <f>IFERROR(+VLOOKUP(Movimientos_2026[[#This Row],[Codigo]],Plan_cuentas[],4,FALSE)," ")</f>
        <v>Entidades co-participadas</v>
      </c>
      <c r="H657" t="str">
        <f>IFERROR(+VLOOKUP(Movimientos_2026[[#This Row],[Codigo]],Plan_cuentas[],5,FALSE)," ")</f>
        <v>UISCUMARR</v>
      </c>
      <c r="I657" s="43">
        <v>46023</v>
      </c>
      <c r="J657" t="s">
        <v>282</v>
      </c>
      <c r="K657" t="str">
        <f>IFERROR(+VLOOKUP(Movimientos_2026[[#This Row],[Codigo]],Plan_cuentas[],6,FALSE)," ")</f>
        <v>1 - VW - Volkswagen</v>
      </c>
      <c r="L657" s="50"/>
      <c r="M657" s="52">
        <v>107300862.17</v>
      </c>
      <c r="N657" s="20">
        <f>+Movimientos_2026[[#This Row],[Ingresos]]-Movimientos_2026[[#This Row],[Egresos]]</f>
        <v>-107300862.17</v>
      </c>
      <c r="O657" s="20">
        <f>+O656+Movimientos_2026[[#This Row],[Neto]]</f>
        <v>4765665722.0112762</v>
      </c>
    </row>
    <row r="658" spans="1:15" x14ac:dyDescent="0.25">
      <c r="A658" s="13">
        <v>46072</v>
      </c>
      <c r="B658" s="12">
        <f>MONTH(Movimientos_2026[[#This Row],[Fecha]])</f>
        <v>2</v>
      </c>
      <c r="C658" s="12" t="str">
        <f>VLOOKUP((WEEKDAY(Movimientos_2026[[#This Row],[Fecha]],2)),'5. Setup'!$D$6:$E$12,2,FALSE)</f>
        <v>Jue</v>
      </c>
      <c r="D658">
        <v>2021442</v>
      </c>
      <c r="E658" t="str">
        <f>IFERROR(+VLOOKUP(Movimientos_2026[[#This Row],[Codigo]],Plan_cuentas[],2,FALSE)," ")</f>
        <v>EGRESOS</v>
      </c>
      <c r="F658" t="str">
        <f>IFERROR(+VLOOKUP(Movimientos_2026[[#This Row],[Codigo]],Plan_cuentas[],3,FALSE)," ")</f>
        <v>DDJJ</v>
      </c>
      <c r="G658" t="str">
        <f>IFERROR(+VLOOKUP(Movimientos_2026[[#This Row],[Codigo]],Plan_cuentas[],4,FALSE)," ")</f>
        <v>Entidades co-participadas</v>
      </c>
      <c r="H658" t="str">
        <f>IFERROR(+VLOOKUP(Movimientos_2026[[#This Row],[Codigo]],Plan_cuentas[],5,FALSE)," ")</f>
        <v>UISCUMARR</v>
      </c>
      <c r="I658" s="43">
        <v>46023</v>
      </c>
      <c r="J658" t="s">
        <v>282</v>
      </c>
      <c r="K658" t="str">
        <f>IFERROR(+VLOOKUP(Movimientos_2026[[#This Row],[Codigo]],Plan_cuentas[],6,FALSE)," ")</f>
        <v>2 - PR - Plan Rombo</v>
      </c>
      <c r="L658" s="50"/>
      <c r="M658" s="52">
        <v>62318003.170000002</v>
      </c>
      <c r="N658" s="20">
        <f>+Movimientos_2026[[#This Row],[Ingresos]]-Movimientos_2026[[#This Row],[Egresos]]</f>
        <v>-62318003.170000002</v>
      </c>
      <c r="O658" s="20">
        <f>+O657+Movimientos_2026[[#This Row],[Neto]]</f>
        <v>4703347718.8412762</v>
      </c>
    </row>
    <row r="659" spans="1:15" x14ac:dyDescent="0.25">
      <c r="A659" s="13">
        <v>46072</v>
      </c>
      <c r="B659" s="12">
        <f>MONTH(Movimientos_2026[[#This Row],[Fecha]])</f>
        <v>2</v>
      </c>
      <c r="C659" s="12" t="str">
        <f>VLOOKUP((WEEKDAY(Movimientos_2026[[#This Row],[Fecha]],2)),'5. Setup'!$D$6:$E$12,2,FALSE)</f>
        <v>Jue</v>
      </c>
      <c r="D659">
        <v>2021443</v>
      </c>
      <c r="E659" t="str">
        <f>IFERROR(+VLOOKUP(Movimientos_2026[[#This Row],[Codigo]],Plan_cuentas[],2,FALSE)," ")</f>
        <v>EGRESOS</v>
      </c>
      <c r="F659" t="str">
        <f>IFERROR(+VLOOKUP(Movimientos_2026[[#This Row],[Codigo]],Plan_cuentas[],3,FALSE)," ")</f>
        <v>DDJJ</v>
      </c>
      <c r="G659" t="str">
        <f>IFERROR(+VLOOKUP(Movimientos_2026[[#This Row],[Codigo]],Plan_cuentas[],4,FALSE)," ")</f>
        <v>Entidades co-participadas</v>
      </c>
      <c r="H659" t="str">
        <f>IFERROR(+VLOOKUP(Movimientos_2026[[#This Row],[Codigo]],Plan_cuentas[],5,FALSE)," ")</f>
        <v>UISCUMARR</v>
      </c>
      <c r="I659" s="43">
        <v>46023</v>
      </c>
      <c r="J659" t="s">
        <v>282</v>
      </c>
      <c r="K659" t="str">
        <f>IFERROR(+VLOOKUP(Movimientos_2026[[#This Row],[Codigo]],Plan_cuentas[],6,FALSE)," ")</f>
        <v>3 - GM - Chevrolet</v>
      </c>
      <c r="L659" s="50"/>
      <c r="M659" s="52">
        <v>21120322.949999999</v>
      </c>
      <c r="N659" s="20">
        <f>+Movimientos_2026[[#This Row],[Ingresos]]-Movimientos_2026[[#This Row],[Egresos]]</f>
        <v>-21120322.949999999</v>
      </c>
      <c r="O659" s="20">
        <f>+O658+Movimientos_2026[[#This Row],[Neto]]</f>
        <v>4682227395.8912764</v>
      </c>
    </row>
    <row r="660" spans="1:15" x14ac:dyDescent="0.25">
      <c r="A660" s="13">
        <v>46072</v>
      </c>
      <c r="B660" s="12">
        <f>MONTH(Movimientos_2026[[#This Row],[Fecha]])</f>
        <v>2</v>
      </c>
      <c r="C660" s="12" t="str">
        <f>VLOOKUP((WEEKDAY(Movimientos_2026[[#This Row],[Fecha]],2)),'5. Setup'!$D$6:$E$12,2,FALSE)</f>
        <v>Jue</v>
      </c>
      <c r="D660">
        <v>2021444</v>
      </c>
      <c r="E660" t="str">
        <f>IFERROR(+VLOOKUP(Movimientos_2026[[#This Row],[Codigo]],Plan_cuentas[],2,FALSE)," ")</f>
        <v>EGRESOS</v>
      </c>
      <c r="F660" t="str">
        <f>IFERROR(+VLOOKUP(Movimientos_2026[[#This Row],[Codigo]],Plan_cuentas[],3,FALSE)," ")</f>
        <v>DDJJ</v>
      </c>
      <c r="G660" t="str">
        <f>IFERROR(+VLOOKUP(Movimientos_2026[[#This Row],[Codigo]],Plan_cuentas[],4,FALSE)," ")</f>
        <v>Entidades co-participadas</v>
      </c>
      <c r="H660" t="str">
        <f>IFERROR(+VLOOKUP(Movimientos_2026[[#This Row],[Codigo]],Plan_cuentas[],5,FALSE)," ")</f>
        <v>UISCUMARR</v>
      </c>
      <c r="I660" s="43">
        <v>46023</v>
      </c>
      <c r="J660" t="s">
        <v>282</v>
      </c>
      <c r="K660" t="str">
        <f>IFERROR(+VLOOKUP(Movimientos_2026[[#This Row],[Codigo]],Plan_cuentas[],6,FALSE)," ")</f>
        <v>4 - FCA - Fiat</v>
      </c>
      <c r="L660" s="50"/>
      <c r="M660" s="52">
        <v>150463016.58000001</v>
      </c>
      <c r="N660" s="20">
        <f>+Movimientos_2026[[#This Row],[Ingresos]]-Movimientos_2026[[#This Row],[Egresos]]</f>
        <v>-150463016.58000001</v>
      </c>
      <c r="O660" s="20">
        <f>+O659+Movimientos_2026[[#This Row],[Neto]]</f>
        <v>4531764379.3112764</v>
      </c>
    </row>
    <row r="661" spans="1:15" x14ac:dyDescent="0.25">
      <c r="A661" s="13">
        <v>46072</v>
      </c>
      <c r="B661" s="12">
        <f>MONTH(Movimientos_2026[[#This Row],[Fecha]])</f>
        <v>2</v>
      </c>
      <c r="C661" s="12" t="str">
        <f>VLOOKUP((WEEKDAY(Movimientos_2026[[#This Row],[Fecha]],2)),'5. Setup'!$D$6:$E$12,2,FALSE)</f>
        <v>Jue</v>
      </c>
      <c r="D661">
        <v>1044485</v>
      </c>
      <c r="E661" t="str">
        <f>IFERROR(+VLOOKUP(Movimientos_2026[[#This Row],[Codigo]],Plan_cuentas[],2,FALSE)," ")</f>
        <v>INGRESOS</v>
      </c>
      <c r="F661" t="str">
        <f>IFERROR(+VLOOKUP(Movimientos_2026[[#This Row],[Codigo]],Plan_cuentas[],3,FALSE)," ")</f>
        <v>Transferencia</v>
      </c>
      <c r="G661" t="str">
        <f>IFERROR(+VLOOKUP(Movimientos_2026[[#This Row],[Codigo]],Plan_cuentas[],4,FALSE)," ")</f>
        <v>Factura</v>
      </c>
      <c r="H661" t="str">
        <f>IFERROR(+VLOOKUP(Movimientos_2026[[#This Row],[Codigo]],Plan_cuentas[],5,FALSE)," ")</f>
        <v>FC TRAMITACION</v>
      </c>
      <c r="I661" s="43">
        <v>45992</v>
      </c>
      <c r="J661" t="s">
        <v>283</v>
      </c>
      <c r="K661" t="str">
        <f>IFERROR(+VLOOKUP(Movimientos_2026[[#This Row],[Codigo]],Plan_cuentas[],6,FALSE)," ")</f>
        <v>5 - YAM - Yamaha</v>
      </c>
      <c r="L661" s="50">
        <v>4957944</v>
      </c>
      <c r="M661" s="52"/>
      <c r="N661" s="20">
        <f>+Movimientos_2026[[#This Row],[Ingresos]]-Movimientos_2026[[#This Row],[Egresos]]</f>
        <v>4957944</v>
      </c>
      <c r="O661" s="20">
        <f>+O660+Movimientos_2026[[#This Row],[Neto]]</f>
        <v>4536722323.3112764</v>
      </c>
    </row>
    <row r="662" spans="1:15" x14ac:dyDescent="0.25">
      <c r="A662" s="13">
        <v>46073</v>
      </c>
      <c r="B662" s="12">
        <f>MONTH(Movimientos_2026[[#This Row],[Fecha]])</f>
        <v>2</v>
      </c>
      <c r="C662" s="12" t="str">
        <f>VLOOKUP((WEEKDAY(Movimientos_2026[[#This Row],[Fecha]],2)),'5. Setup'!$D$6:$E$12,2,FALSE)</f>
        <v>Vie</v>
      </c>
      <c r="D662">
        <v>2044464</v>
      </c>
      <c r="E662" t="str">
        <f>IFERROR(+VLOOKUP(Movimientos_2026[[#This Row],[Codigo]],Plan_cuentas[],2,FALSE)," ")</f>
        <v>EGRESOS</v>
      </c>
      <c r="F662" t="str">
        <f>IFERROR(+VLOOKUP(Movimientos_2026[[#This Row],[Codigo]],Plan_cuentas[],3,FALSE)," ")</f>
        <v>Transferencia</v>
      </c>
      <c r="G662" t="str">
        <f>IFERROR(+VLOOKUP(Movimientos_2026[[#This Row],[Codigo]],Plan_cuentas[],4,FALSE)," ")</f>
        <v>Rentas</v>
      </c>
      <c r="H662" t="str">
        <f>IFERROR(+VLOOKUP(Movimientos_2026[[#This Row],[Codigo]],Plan_cuentas[],5,FALSE)," ")</f>
        <v>MISIONES</v>
      </c>
      <c r="I662" s="43">
        <v>46023</v>
      </c>
      <c r="J662" t="s">
        <v>284</v>
      </c>
      <c r="K662" t="str">
        <f>IFERROR(+VLOOKUP(Movimientos_2026[[#This Row],[Codigo]],Plan_cuentas[],6,FALSE)," ")</f>
        <v>4 - FCA - Fiat</v>
      </c>
      <c r="L662" s="50"/>
      <c r="M662" s="52">
        <v>7048807.29</v>
      </c>
      <c r="N662" s="20">
        <f>+Movimientos_2026[[#This Row],[Ingresos]]-Movimientos_2026[[#This Row],[Egresos]]</f>
        <v>-7048807.29</v>
      </c>
      <c r="O662" s="20">
        <f>+O661+Movimientos_2026[[#This Row],[Neto]]</f>
        <v>4529673516.0212765</v>
      </c>
    </row>
    <row r="663" spans="1:15" x14ac:dyDescent="0.25">
      <c r="A663" s="13">
        <v>46073</v>
      </c>
      <c r="B663" s="12">
        <f>MONTH(Movimientos_2026[[#This Row],[Fecha]])</f>
        <v>2</v>
      </c>
      <c r="C663" s="12" t="str">
        <f>VLOOKUP((WEEKDAY(Movimientos_2026[[#This Row],[Fecha]],2)),'5. Setup'!$D$6:$E$12,2,FALSE)</f>
        <v>Vie</v>
      </c>
      <c r="D663">
        <v>2014351</v>
      </c>
      <c r="E663" t="str">
        <f>IFERROR(+VLOOKUP(Movimientos_2026[[#This Row],[Codigo]],Plan_cuentas[],2,FALSE)," ")</f>
        <v>EGRESOS</v>
      </c>
      <c r="F663" t="str">
        <f>IFERROR(+VLOOKUP(Movimientos_2026[[#This Row],[Codigo]],Plan_cuentas[],3,FALSE)," ")</f>
        <v>BtoB</v>
      </c>
      <c r="G663" t="str">
        <f>IFERROR(+VLOOKUP(Movimientos_2026[[#This Row],[Codigo]],Plan_cuentas[],4,FALSE)," ")</f>
        <v>Rentas</v>
      </c>
      <c r="H663" t="str">
        <f>IFERROR(+VLOOKUP(Movimientos_2026[[#This Row],[Codigo]],Plan_cuentas[],5,FALSE)," ")</f>
        <v>SAN JUAN</v>
      </c>
      <c r="I663" s="43">
        <v>46023</v>
      </c>
      <c r="J663" t="s">
        <v>285</v>
      </c>
      <c r="K663" t="str">
        <f>IFERROR(+VLOOKUP(Movimientos_2026[[#This Row],[Codigo]],Plan_cuentas[],6,FALSE)," ")</f>
        <v>1 - VW - Volkswagen</v>
      </c>
      <c r="L663" s="50"/>
      <c r="M663" s="52">
        <v>8236834.0499999998</v>
      </c>
      <c r="N663" s="20">
        <f>+Movimientos_2026[[#This Row],[Ingresos]]-Movimientos_2026[[#This Row],[Egresos]]</f>
        <v>-8236834.0499999998</v>
      </c>
      <c r="O663" s="20">
        <f>+O662+Movimientos_2026[[#This Row],[Neto]]</f>
        <v>4521436681.9712763</v>
      </c>
    </row>
    <row r="664" spans="1:15" x14ac:dyDescent="0.25">
      <c r="A664" s="13">
        <v>46073</v>
      </c>
      <c r="B664" s="12">
        <f>MONTH(Movimientos_2026[[#This Row],[Fecha]])</f>
        <v>2</v>
      </c>
      <c r="C664" s="12" t="str">
        <f>VLOOKUP((WEEKDAY(Movimientos_2026[[#This Row],[Fecha]],2)),'5. Setup'!$D$6:$E$12,2,FALSE)</f>
        <v>Vie</v>
      </c>
      <c r="D664">
        <v>2023221</v>
      </c>
      <c r="E664" t="str">
        <f>IFERROR(+VLOOKUP(Movimientos_2026[[#This Row],[Codigo]],Plan_cuentas[],2,FALSE)," ")</f>
        <v>EGRESOS</v>
      </c>
      <c r="F664" t="str">
        <f>IFERROR(+VLOOKUP(Movimientos_2026[[#This Row],[Codigo]],Plan_cuentas[],3,FALSE)," ")</f>
        <v>DDJJ</v>
      </c>
      <c r="G664" t="str">
        <f>IFERROR(+VLOOKUP(Movimientos_2026[[#This Row],[Codigo]],Plan_cuentas[],4,FALSE)," ")</f>
        <v>Registración</v>
      </c>
      <c r="H664" t="str">
        <f>IFERROR(+VLOOKUP(Movimientos_2026[[#This Row],[Codigo]],Plan_cuentas[],5,FALSE)," ")</f>
        <v>ENTRE RIOS 1° Q</v>
      </c>
      <c r="I664" s="43">
        <v>46054</v>
      </c>
      <c r="J664" t="s">
        <v>286</v>
      </c>
      <c r="K664" t="str">
        <f>IFERROR(+VLOOKUP(Movimientos_2026[[#This Row],[Codigo]],Plan_cuentas[],6,FALSE)," ")</f>
        <v>1 - VW - Volkswagen</v>
      </c>
      <c r="L664" s="50"/>
      <c r="M664" s="52">
        <v>8006468</v>
      </c>
      <c r="N664" s="20">
        <f>+Movimientos_2026[[#This Row],[Ingresos]]-Movimientos_2026[[#This Row],[Egresos]]</f>
        <v>-8006468</v>
      </c>
      <c r="O664" s="20">
        <f>+O663+Movimientos_2026[[#This Row],[Neto]]</f>
        <v>4513430213.9712763</v>
      </c>
    </row>
    <row r="665" spans="1:15" x14ac:dyDescent="0.25">
      <c r="A665" s="13">
        <v>46073</v>
      </c>
      <c r="B665" s="12">
        <f>MONTH(Movimientos_2026[[#This Row],[Fecha]])</f>
        <v>2</v>
      </c>
      <c r="C665" s="12" t="str">
        <f>VLOOKUP((WEEKDAY(Movimientos_2026[[#This Row],[Fecha]],2)),'5. Setup'!$D$6:$E$12,2,FALSE)</f>
        <v>Vie</v>
      </c>
      <c r="D665">
        <v>2023222</v>
      </c>
      <c r="E665" t="str">
        <f>IFERROR(+VLOOKUP(Movimientos_2026[[#This Row],[Codigo]],Plan_cuentas[],2,FALSE)," ")</f>
        <v>EGRESOS</v>
      </c>
      <c r="F665" t="str">
        <f>IFERROR(+VLOOKUP(Movimientos_2026[[#This Row],[Codigo]],Plan_cuentas[],3,FALSE)," ")</f>
        <v>DDJJ</v>
      </c>
      <c r="G665" t="str">
        <f>IFERROR(+VLOOKUP(Movimientos_2026[[#This Row],[Codigo]],Plan_cuentas[],4,FALSE)," ")</f>
        <v>Registración</v>
      </c>
      <c r="H665" t="str">
        <f>IFERROR(+VLOOKUP(Movimientos_2026[[#This Row],[Codigo]],Plan_cuentas[],5,FALSE)," ")</f>
        <v>ENTRE RIOS 1° Q</v>
      </c>
      <c r="I665" s="43">
        <v>46054</v>
      </c>
      <c r="J665" t="s">
        <v>286</v>
      </c>
      <c r="K665" t="str">
        <f>IFERROR(+VLOOKUP(Movimientos_2026[[#This Row],[Codigo]],Plan_cuentas[],6,FALSE)," ")</f>
        <v>2 - PR - Plan Rombo</v>
      </c>
      <c r="L665" s="50"/>
      <c r="M665" s="52">
        <v>14505274.26</v>
      </c>
      <c r="N665" s="20">
        <f>+Movimientos_2026[[#This Row],[Ingresos]]-Movimientos_2026[[#This Row],[Egresos]]</f>
        <v>-14505274.26</v>
      </c>
      <c r="O665" s="20">
        <f>+O664+Movimientos_2026[[#This Row],[Neto]]</f>
        <v>4498924939.7112761</v>
      </c>
    </row>
    <row r="666" spans="1:15" x14ac:dyDescent="0.25">
      <c r="A666" s="13">
        <v>46073</v>
      </c>
      <c r="B666" s="12">
        <f>MONTH(Movimientos_2026[[#This Row],[Fecha]])</f>
        <v>2</v>
      </c>
      <c r="C666" s="12" t="str">
        <f>VLOOKUP((WEEKDAY(Movimientos_2026[[#This Row],[Fecha]],2)),'5. Setup'!$D$6:$E$12,2,FALSE)</f>
        <v>Vie</v>
      </c>
      <c r="D666">
        <v>2023223</v>
      </c>
      <c r="E666" t="str">
        <f>IFERROR(+VLOOKUP(Movimientos_2026[[#This Row],[Codigo]],Plan_cuentas[],2,FALSE)," ")</f>
        <v>EGRESOS</v>
      </c>
      <c r="F666" t="str">
        <f>IFERROR(+VLOOKUP(Movimientos_2026[[#This Row],[Codigo]],Plan_cuentas[],3,FALSE)," ")</f>
        <v>DDJJ</v>
      </c>
      <c r="G666" t="str">
        <f>IFERROR(+VLOOKUP(Movimientos_2026[[#This Row],[Codigo]],Plan_cuentas[],4,FALSE)," ")</f>
        <v>Registración</v>
      </c>
      <c r="H666" t="str">
        <f>IFERROR(+VLOOKUP(Movimientos_2026[[#This Row],[Codigo]],Plan_cuentas[],5,FALSE)," ")</f>
        <v>ENTRE RIOS 1° Q</v>
      </c>
      <c r="I666" s="43">
        <v>46054</v>
      </c>
      <c r="J666" t="s">
        <v>286</v>
      </c>
      <c r="K666" t="str">
        <f>IFERROR(+VLOOKUP(Movimientos_2026[[#This Row],[Codigo]],Plan_cuentas[],6,FALSE)," ")</f>
        <v>3 - GM - Chevrolet</v>
      </c>
      <c r="L666" s="50"/>
      <c r="M666" s="52">
        <v>31348838.789999999</v>
      </c>
      <c r="N666" s="20">
        <f>+Movimientos_2026[[#This Row],[Ingresos]]-Movimientos_2026[[#This Row],[Egresos]]</f>
        <v>-31348838.789999999</v>
      </c>
      <c r="O666" s="20">
        <f>+O665+Movimientos_2026[[#This Row],[Neto]]</f>
        <v>4467576100.9212761</v>
      </c>
    </row>
    <row r="667" spans="1:15" x14ac:dyDescent="0.25">
      <c r="A667" s="13">
        <v>46073</v>
      </c>
      <c r="B667" s="12">
        <f>MONTH(Movimientos_2026[[#This Row],[Fecha]])</f>
        <v>2</v>
      </c>
      <c r="C667" s="12" t="str">
        <f>VLOOKUP((WEEKDAY(Movimientos_2026[[#This Row],[Fecha]],2)),'5. Setup'!$D$6:$E$12,2,FALSE)</f>
        <v>Vie</v>
      </c>
      <c r="D667">
        <v>2023226</v>
      </c>
      <c r="E667" t="str">
        <f>IFERROR(+VLOOKUP(Movimientos_2026[[#This Row],[Codigo]],Plan_cuentas[],2,FALSE)," ")</f>
        <v>EGRESOS</v>
      </c>
      <c r="F667" t="str">
        <f>IFERROR(+VLOOKUP(Movimientos_2026[[#This Row],[Codigo]],Plan_cuentas[],3,FALSE)," ")</f>
        <v>DDJJ</v>
      </c>
      <c r="G667" t="str">
        <f>IFERROR(+VLOOKUP(Movimientos_2026[[#This Row],[Codigo]],Plan_cuentas[],4,FALSE)," ")</f>
        <v>Registración</v>
      </c>
      <c r="H667" t="str">
        <f>IFERROR(+VLOOKUP(Movimientos_2026[[#This Row],[Codigo]],Plan_cuentas[],5,FALSE)," ")</f>
        <v>ENTRE RIOS 1° Q</v>
      </c>
      <c r="I667" s="43">
        <v>46054</v>
      </c>
      <c r="J667" t="s">
        <v>286</v>
      </c>
      <c r="K667" t="str">
        <f>IFERROR(+VLOOKUP(Movimientos_2026[[#This Row],[Codigo]],Plan_cuentas[],6,FALSE)," ")</f>
        <v>6 - FCAtr - Fiat Transf.</v>
      </c>
      <c r="L667" s="50"/>
      <c r="M667" s="52">
        <v>359720.87</v>
      </c>
      <c r="N667" s="20">
        <f>+Movimientos_2026[[#This Row],[Ingresos]]-Movimientos_2026[[#This Row],[Egresos]]</f>
        <v>-359720.87</v>
      </c>
      <c r="O667" s="20">
        <f>+O666+Movimientos_2026[[#This Row],[Neto]]</f>
        <v>4467216380.0512762</v>
      </c>
    </row>
    <row r="668" spans="1:15" x14ac:dyDescent="0.25">
      <c r="A668" s="13">
        <v>46073</v>
      </c>
      <c r="B668" s="12">
        <f>MONTH(Movimientos_2026[[#This Row],[Fecha]])</f>
        <v>2</v>
      </c>
      <c r="C668" s="12" t="str">
        <f>VLOOKUP((WEEKDAY(Movimientos_2026[[#This Row],[Fecha]],2)),'5. Setup'!$D$6:$E$12,2,FALSE)</f>
        <v>Vie</v>
      </c>
      <c r="D668">
        <v>2023382</v>
      </c>
      <c r="E668" t="str">
        <f>IFERROR(+VLOOKUP(Movimientos_2026[[#This Row],[Codigo]],Plan_cuentas[],2,FALSE)," ")</f>
        <v>EGRESOS</v>
      </c>
      <c r="F668" t="str">
        <f>IFERROR(+VLOOKUP(Movimientos_2026[[#This Row],[Codigo]],Plan_cuentas[],3,FALSE)," ")</f>
        <v>DDJJ</v>
      </c>
      <c r="G668" t="str">
        <f>IFERROR(+VLOOKUP(Movimientos_2026[[#This Row],[Codigo]],Plan_cuentas[],4,FALSE)," ")</f>
        <v>Registración</v>
      </c>
      <c r="H668" t="str">
        <f>IFERROR(+VLOOKUP(Movimientos_2026[[#This Row],[Codigo]],Plan_cuentas[],5,FALSE)," ")</f>
        <v>SANTA FE 1° Q</v>
      </c>
      <c r="I668" s="43">
        <v>46054</v>
      </c>
      <c r="J668" t="s">
        <v>287</v>
      </c>
      <c r="K668" t="str">
        <f>IFERROR(+VLOOKUP(Movimientos_2026[[#This Row],[Codigo]],Plan_cuentas[],6,FALSE)," ")</f>
        <v>2 - PR - Plan Rombo</v>
      </c>
      <c r="L668" s="50"/>
      <c r="M668" s="52">
        <v>41398466.740000002</v>
      </c>
      <c r="N668" s="20">
        <f>+Movimientos_2026[[#This Row],[Ingresos]]-Movimientos_2026[[#This Row],[Egresos]]</f>
        <v>-41398466.740000002</v>
      </c>
      <c r="O668" s="20">
        <f>+O667+Movimientos_2026[[#This Row],[Neto]]</f>
        <v>4425817913.3112764</v>
      </c>
    </row>
    <row r="669" spans="1:15" x14ac:dyDescent="0.25">
      <c r="A669" s="13">
        <v>46073</v>
      </c>
      <c r="B669" s="12">
        <f>MONTH(Movimientos_2026[[#This Row],[Fecha]])</f>
        <v>2</v>
      </c>
      <c r="C669" s="12" t="str">
        <f>VLOOKUP((WEEKDAY(Movimientos_2026[[#This Row],[Fecha]],2)),'5. Setup'!$D$6:$E$12,2,FALSE)</f>
        <v>Vie</v>
      </c>
      <c r="D669">
        <v>2023383</v>
      </c>
      <c r="E669" t="str">
        <f>IFERROR(+VLOOKUP(Movimientos_2026[[#This Row],[Codigo]],Plan_cuentas[],2,FALSE)," ")</f>
        <v>EGRESOS</v>
      </c>
      <c r="F669" t="str">
        <f>IFERROR(+VLOOKUP(Movimientos_2026[[#This Row],[Codigo]],Plan_cuentas[],3,FALSE)," ")</f>
        <v>DDJJ</v>
      </c>
      <c r="G669" t="str">
        <f>IFERROR(+VLOOKUP(Movimientos_2026[[#This Row],[Codigo]],Plan_cuentas[],4,FALSE)," ")</f>
        <v>Registración</v>
      </c>
      <c r="H669" t="str">
        <f>IFERROR(+VLOOKUP(Movimientos_2026[[#This Row],[Codigo]],Plan_cuentas[],5,FALSE)," ")</f>
        <v>SANTA FE 1° Q</v>
      </c>
      <c r="I669" s="43">
        <v>46054</v>
      </c>
      <c r="J669" t="s">
        <v>287</v>
      </c>
      <c r="K669" t="str">
        <f>IFERROR(+VLOOKUP(Movimientos_2026[[#This Row],[Codigo]],Plan_cuentas[],6,FALSE)," ")</f>
        <v>3 - GM - Chevrolet</v>
      </c>
      <c r="L669" s="50"/>
      <c r="M669" s="52">
        <v>36997465.649999999</v>
      </c>
      <c r="N669" s="20">
        <f>+Movimientos_2026[[#This Row],[Ingresos]]-Movimientos_2026[[#This Row],[Egresos]]</f>
        <v>-36997465.649999999</v>
      </c>
      <c r="O669" s="20">
        <f>+O668+Movimientos_2026[[#This Row],[Neto]]</f>
        <v>4388820447.6612768</v>
      </c>
    </row>
    <row r="670" spans="1:15" x14ac:dyDescent="0.25">
      <c r="A670" s="13">
        <v>46073</v>
      </c>
      <c r="B670" s="12">
        <f>MONTH(Movimientos_2026[[#This Row],[Fecha]])</f>
        <v>2</v>
      </c>
      <c r="C670" s="12" t="str">
        <f>VLOOKUP((WEEKDAY(Movimientos_2026[[#This Row],[Fecha]],2)),'5. Setup'!$D$6:$E$12,2,FALSE)</f>
        <v>Vie</v>
      </c>
      <c r="D670">
        <v>2023384</v>
      </c>
      <c r="E670" t="str">
        <f>IFERROR(+VLOOKUP(Movimientos_2026[[#This Row],[Codigo]],Plan_cuentas[],2,FALSE)," ")</f>
        <v>EGRESOS</v>
      </c>
      <c r="F670" t="str">
        <f>IFERROR(+VLOOKUP(Movimientos_2026[[#This Row],[Codigo]],Plan_cuentas[],3,FALSE)," ")</f>
        <v>DDJJ</v>
      </c>
      <c r="G670" t="str">
        <f>IFERROR(+VLOOKUP(Movimientos_2026[[#This Row],[Codigo]],Plan_cuentas[],4,FALSE)," ")</f>
        <v>Registración</v>
      </c>
      <c r="H670" t="str">
        <f>IFERROR(+VLOOKUP(Movimientos_2026[[#This Row],[Codigo]],Plan_cuentas[],5,FALSE)," ")</f>
        <v>SANTA FE 1° Q</v>
      </c>
      <c r="I670" s="43">
        <v>46054</v>
      </c>
      <c r="J670" t="s">
        <v>287</v>
      </c>
      <c r="K670" t="str">
        <f>IFERROR(+VLOOKUP(Movimientos_2026[[#This Row],[Codigo]],Plan_cuentas[],6,FALSE)," ")</f>
        <v>4 - FCA - Fiat</v>
      </c>
      <c r="L670" s="50"/>
      <c r="M670" s="52">
        <v>80058290.459999993</v>
      </c>
      <c r="N670" s="20">
        <f>+Movimientos_2026[[#This Row],[Ingresos]]-Movimientos_2026[[#This Row],[Egresos]]</f>
        <v>-80058290.459999993</v>
      </c>
      <c r="O670" s="20">
        <f>+O669+Movimientos_2026[[#This Row],[Neto]]</f>
        <v>4308762157.2012768</v>
      </c>
    </row>
    <row r="671" spans="1:15" x14ac:dyDescent="0.25">
      <c r="A671" s="13">
        <v>46073</v>
      </c>
      <c r="B671" s="12">
        <f>MONTH(Movimientos_2026[[#This Row],[Fecha]])</f>
        <v>2</v>
      </c>
      <c r="C671" s="12" t="str">
        <f>VLOOKUP((WEEKDAY(Movimientos_2026[[#This Row],[Fecha]],2)),'5. Setup'!$D$6:$E$12,2,FALSE)</f>
        <v>Vie</v>
      </c>
      <c r="D671">
        <v>2023385</v>
      </c>
      <c r="E671" t="str">
        <f>IFERROR(+VLOOKUP(Movimientos_2026[[#This Row],[Codigo]],Plan_cuentas[],2,FALSE)," ")</f>
        <v>EGRESOS</v>
      </c>
      <c r="F671" t="str">
        <f>IFERROR(+VLOOKUP(Movimientos_2026[[#This Row],[Codigo]],Plan_cuentas[],3,FALSE)," ")</f>
        <v>DDJJ</v>
      </c>
      <c r="G671" t="str">
        <f>IFERROR(+VLOOKUP(Movimientos_2026[[#This Row],[Codigo]],Plan_cuentas[],4,FALSE)," ")</f>
        <v>Registración</v>
      </c>
      <c r="H671" t="str">
        <f>IFERROR(+VLOOKUP(Movimientos_2026[[#This Row],[Codigo]],Plan_cuentas[],5,FALSE)," ")</f>
        <v>SANTA FE 1° Q</v>
      </c>
      <c r="I671" s="43">
        <v>46054</v>
      </c>
      <c r="J671" t="s">
        <v>287</v>
      </c>
      <c r="K671" t="str">
        <f>IFERROR(+VLOOKUP(Movimientos_2026[[#This Row],[Codigo]],Plan_cuentas[],6,FALSE)," ")</f>
        <v>5 - YAM - Yamaha</v>
      </c>
      <c r="L671" s="50"/>
      <c r="M671" s="52">
        <v>1869155.41</v>
      </c>
      <c r="N671" s="20">
        <f>+Movimientos_2026[[#This Row],[Ingresos]]-Movimientos_2026[[#This Row],[Egresos]]</f>
        <v>-1869155.41</v>
      </c>
      <c r="O671" s="20">
        <f>+O670+Movimientos_2026[[#This Row],[Neto]]</f>
        <v>4306893001.7912769</v>
      </c>
    </row>
    <row r="672" spans="1:15" x14ac:dyDescent="0.25">
      <c r="A672" s="13">
        <v>46073</v>
      </c>
      <c r="B672" s="12">
        <f>MONTH(Movimientos_2026[[#This Row],[Fecha]])</f>
        <v>2</v>
      </c>
      <c r="C672" s="12" t="str">
        <f>VLOOKUP((WEEKDAY(Movimientos_2026[[#This Row],[Fecha]],2)),'5. Setup'!$D$6:$E$12,2,FALSE)</f>
        <v>Vie</v>
      </c>
      <c r="D672">
        <v>2023386</v>
      </c>
      <c r="E672" t="str">
        <f>IFERROR(+VLOOKUP(Movimientos_2026[[#This Row],[Codigo]],Plan_cuentas[],2,FALSE)," ")</f>
        <v>EGRESOS</v>
      </c>
      <c r="F672" t="str">
        <f>IFERROR(+VLOOKUP(Movimientos_2026[[#This Row],[Codigo]],Plan_cuentas[],3,FALSE)," ")</f>
        <v>DDJJ</v>
      </c>
      <c r="G672" t="str">
        <f>IFERROR(+VLOOKUP(Movimientos_2026[[#This Row],[Codigo]],Plan_cuentas[],4,FALSE)," ")</f>
        <v>Registración</v>
      </c>
      <c r="H672" t="str">
        <f>IFERROR(+VLOOKUP(Movimientos_2026[[#This Row],[Codigo]],Plan_cuentas[],5,FALSE)," ")</f>
        <v>SANTA FE 1° Q</v>
      </c>
      <c r="I672" s="43">
        <v>46054</v>
      </c>
      <c r="J672" t="s">
        <v>287</v>
      </c>
      <c r="K672" t="str">
        <f>IFERROR(+VLOOKUP(Movimientos_2026[[#This Row],[Codigo]],Plan_cuentas[],6,FALSE)," ")</f>
        <v>6 - FCAtr - Fiat Transf.</v>
      </c>
      <c r="L672" s="50"/>
      <c r="M672" s="52">
        <v>2315809.16</v>
      </c>
      <c r="N672" s="20">
        <f>+Movimientos_2026[[#This Row],[Ingresos]]-Movimientos_2026[[#This Row],[Egresos]]</f>
        <v>-2315809.16</v>
      </c>
      <c r="O672" s="20">
        <f>+O671+Movimientos_2026[[#This Row],[Neto]]</f>
        <v>4304577192.6312771</v>
      </c>
    </row>
    <row r="673" spans="1:15" x14ac:dyDescent="0.25">
      <c r="A673" s="13">
        <v>46073</v>
      </c>
      <c r="B673" s="12">
        <f>MONTH(Movimientos_2026[[#This Row],[Fecha]])</f>
        <v>2</v>
      </c>
      <c r="C673" s="12" t="str">
        <f>VLOOKUP((WEEKDAY(Movimientos_2026[[#This Row],[Fecha]],2)),'5. Setup'!$D$6:$E$12,2,FALSE)</f>
        <v>Vie</v>
      </c>
      <c r="D673">
        <v>2023387</v>
      </c>
      <c r="E673" t="str">
        <f>IFERROR(+VLOOKUP(Movimientos_2026[[#This Row],[Codigo]],Plan_cuentas[],2,FALSE)," ")</f>
        <v>EGRESOS</v>
      </c>
      <c r="F673" t="str">
        <f>IFERROR(+VLOOKUP(Movimientos_2026[[#This Row],[Codigo]],Plan_cuentas[],3,FALSE)," ")</f>
        <v>DDJJ</v>
      </c>
      <c r="G673" t="str">
        <f>IFERROR(+VLOOKUP(Movimientos_2026[[#This Row],[Codigo]],Plan_cuentas[],4,FALSE)," ")</f>
        <v>Registración</v>
      </c>
      <c r="H673" t="str">
        <f>IFERROR(+VLOOKUP(Movimientos_2026[[#This Row],[Codigo]],Plan_cuentas[],5,FALSE)," ")</f>
        <v>SANTA FE 1° Q</v>
      </c>
      <c r="I673" s="43">
        <v>46054</v>
      </c>
      <c r="J673" t="s">
        <v>287</v>
      </c>
      <c r="K673" t="str">
        <f>IFERROR(+VLOOKUP(Movimientos_2026[[#This Row],[Codigo]],Plan_cuentas[],6,FALSE)," ")</f>
        <v>7 - PRtr - Plan Rombo Transf.</v>
      </c>
      <c r="L673" s="50"/>
      <c r="M673" s="52">
        <v>248706.13</v>
      </c>
      <c r="N673" s="20">
        <f>+Movimientos_2026[[#This Row],[Ingresos]]-Movimientos_2026[[#This Row],[Egresos]]</f>
        <v>-248706.13</v>
      </c>
      <c r="O673" s="20">
        <f>+O672+Movimientos_2026[[#This Row],[Neto]]</f>
        <v>4304328486.501277</v>
      </c>
    </row>
    <row r="674" spans="1:15" x14ac:dyDescent="0.25">
      <c r="A674" s="13">
        <v>46073</v>
      </c>
      <c r="B674" s="12">
        <f>MONTH(Movimientos_2026[[#This Row],[Fecha]])</f>
        <v>2</v>
      </c>
      <c r="C674" s="12" t="str">
        <f>VLOOKUP((WEEKDAY(Movimientos_2026[[#This Row],[Fecha]],2)),'5. Setup'!$D$6:$E$12,2,FALSE)</f>
        <v>Vie</v>
      </c>
      <c r="D674">
        <v>2044126</v>
      </c>
      <c r="E674" t="str">
        <f>IFERROR(+VLOOKUP(Movimientos_2026[[#This Row],[Codigo]],Plan_cuentas[],2,FALSE)," ")</f>
        <v>EGRESOS</v>
      </c>
      <c r="F674" t="str">
        <f>IFERROR(+VLOOKUP(Movimientos_2026[[#This Row],[Codigo]],Plan_cuentas[],3,FALSE)," ")</f>
        <v>Transferencia</v>
      </c>
      <c r="G674" t="str">
        <f>IFERROR(+VLOOKUP(Movimientos_2026[[#This Row],[Codigo]],Plan_cuentas[],4,FALSE)," ")</f>
        <v>Rentas</v>
      </c>
      <c r="H674" t="str">
        <f>IFERROR(+VLOOKUP(Movimientos_2026[[#This Row],[Codigo]],Plan_cuentas[],5,FALSE)," ")</f>
        <v>BAPRO</v>
      </c>
      <c r="I674" s="43">
        <v>46023</v>
      </c>
      <c r="J674" t="s">
        <v>288</v>
      </c>
      <c r="K674" t="str">
        <f>IFERROR(+VLOOKUP(Movimientos_2026[[#This Row],[Codigo]],Plan_cuentas[],6,FALSE)," ")</f>
        <v>6 - FCAtr - Fiat Transf.</v>
      </c>
      <c r="L674" s="50"/>
      <c r="M674" s="52">
        <v>9160364</v>
      </c>
      <c r="N674" s="20">
        <f>+Movimientos_2026[[#This Row],[Ingresos]]-Movimientos_2026[[#This Row],[Egresos]]</f>
        <v>-9160364</v>
      </c>
      <c r="O674" s="20">
        <f>+O673+Movimientos_2026[[#This Row],[Neto]]</f>
        <v>4295168122.501277</v>
      </c>
    </row>
    <row r="675" spans="1:15" x14ac:dyDescent="0.25">
      <c r="A675" s="13">
        <v>46073</v>
      </c>
      <c r="B675" s="12">
        <f>MONTH(Movimientos_2026[[#This Row],[Fecha]])</f>
        <v>2</v>
      </c>
      <c r="C675" s="12" t="str">
        <f>VLOOKUP((WEEKDAY(Movimientos_2026[[#This Row],[Fecha]],2)),'5. Setup'!$D$6:$E$12,2,FALSE)</f>
        <v>Vie</v>
      </c>
      <c r="D675">
        <v>2044126</v>
      </c>
      <c r="E675" t="str">
        <f>IFERROR(+VLOOKUP(Movimientos_2026[[#This Row],[Codigo]],Plan_cuentas[],2,FALSE)," ")</f>
        <v>EGRESOS</v>
      </c>
      <c r="F675" t="str">
        <f>IFERROR(+VLOOKUP(Movimientos_2026[[#This Row],[Codigo]],Plan_cuentas[],3,FALSE)," ")</f>
        <v>Transferencia</v>
      </c>
      <c r="G675" t="str">
        <f>IFERROR(+VLOOKUP(Movimientos_2026[[#This Row],[Codigo]],Plan_cuentas[],4,FALSE)," ")</f>
        <v>Rentas</v>
      </c>
      <c r="H675" t="str">
        <f>IFERROR(+VLOOKUP(Movimientos_2026[[#This Row],[Codigo]],Plan_cuentas[],5,FALSE)," ")</f>
        <v>BAPRO</v>
      </c>
      <c r="I675" s="43">
        <v>46023</v>
      </c>
      <c r="J675" t="s">
        <v>289</v>
      </c>
      <c r="K675" t="str">
        <f>IFERROR(+VLOOKUP(Movimientos_2026[[#This Row],[Codigo]],Plan_cuentas[],6,FALSE)," ")</f>
        <v>6 - FCAtr - Fiat Transf.</v>
      </c>
      <c r="L675" s="50"/>
      <c r="M675" s="50">
        <v>3927367.2</v>
      </c>
      <c r="N675" s="20">
        <f>+Movimientos_2026[[#This Row],[Ingresos]]-Movimientos_2026[[#This Row],[Egresos]]</f>
        <v>-3927367.2</v>
      </c>
      <c r="O675" s="20">
        <f>+O674+Movimientos_2026[[#This Row],[Neto]]</f>
        <v>4291240755.3012772</v>
      </c>
    </row>
    <row r="676" spans="1:15" x14ac:dyDescent="0.25">
      <c r="A676" s="13">
        <v>46073</v>
      </c>
      <c r="B676" s="12">
        <f>MONTH(Movimientos_2026[[#This Row],[Fecha]])</f>
        <v>2</v>
      </c>
      <c r="C676" s="12" t="str">
        <f>VLOOKUP((WEEKDAY(Movimientos_2026[[#This Row],[Fecha]],2)),'5. Setup'!$D$6:$E$12,2,FALSE)</f>
        <v>Vie</v>
      </c>
      <c r="D676">
        <v>2044126</v>
      </c>
      <c r="E676" t="str">
        <f>IFERROR(+VLOOKUP(Movimientos_2026[[#This Row],[Codigo]],Plan_cuentas[],2,FALSE)," ")</f>
        <v>EGRESOS</v>
      </c>
      <c r="F676" t="str">
        <f>IFERROR(+VLOOKUP(Movimientos_2026[[#This Row],[Codigo]],Plan_cuentas[],3,FALSE)," ")</f>
        <v>Transferencia</v>
      </c>
      <c r="G676" t="str">
        <f>IFERROR(+VLOOKUP(Movimientos_2026[[#This Row],[Codigo]],Plan_cuentas[],4,FALSE)," ")</f>
        <v>Rentas</v>
      </c>
      <c r="H676" t="str">
        <f>IFERROR(+VLOOKUP(Movimientos_2026[[#This Row],[Codigo]],Plan_cuentas[],5,FALSE)," ")</f>
        <v>BAPRO</v>
      </c>
      <c r="I676" s="43">
        <v>46023</v>
      </c>
      <c r="J676" t="s">
        <v>290</v>
      </c>
      <c r="K676" t="str">
        <f>IFERROR(+VLOOKUP(Movimientos_2026[[#This Row],[Codigo]],Plan_cuentas[],6,FALSE)," ")</f>
        <v>6 - FCAtr - Fiat Transf.</v>
      </c>
      <c r="L676" s="50"/>
      <c r="M676" s="50">
        <v>1883867.5</v>
      </c>
      <c r="N676" s="20">
        <f>+Movimientos_2026[[#This Row],[Ingresos]]-Movimientos_2026[[#This Row],[Egresos]]</f>
        <v>-1883867.5</v>
      </c>
      <c r="O676" s="20">
        <f>+O675+Movimientos_2026[[#This Row],[Neto]]</f>
        <v>4289356887.8012772</v>
      </c>
    </row>
    <row r="677" spans="1:15" x14ac:dyDescent="0.25">
      <c r="A677" s="13">
        <v>46073</v>
      </c>
      <c r="B677" s="12">
        <f>MONTH(Movimientos_2026[[#This Row],[Fecha]])</f>
        <v>2</v>
      </c>
      <c r="C677" s="12" t="str">
        <f>VLOOKUP((WEEKDAY(Movimientos_2026[[#This Row],[Fecha]],2)),'5. Setup'!$D$6:$E$12,2,FALSE)</f>
        <v>Vie</v>
      </c>
      <c r="D677">
        <v>1044314</v>
      </c>
      <c r="E677" t="str">
        <f>IFERROR(+VLOOKUP(Movimientos_2026[[#This Row],[Codigo]],Plan_cuentas[],2,FALSE)," ")</f>
        <v>INGRESOS</v>
      </c>
      <c r="F677" t="str">
        <f>IFERROR(+VLOOKUP(Movimientos_2026[[#This Row],[Codigo]],Plan_cuentas[],3,FALSE)," ")</f>
        <v>Transferencia</v>
      </c>
      <c r="G677" t="str">
        <f>IFERROR(+VLOOKUP(Movimientos_2026[[#This Row],[Codigo]],Plan_cuentas[],4,FALSE)," ")</f>
        <v>Rentas</v>
      </c>
      <c r="H677" t="str">
        <f>IFERROR(+VLOOKUP(Movimientos_2026[[#This Row],[Codigo]],Plan_cuentas[],5,FALSE)," ")</f>
        <v>NEUQUEN 1° Q</v>
      </c>
      <c r="I677" s="43">
        <v>46054</v>
      </c>
      <c r="J677" t="s">
        <v>291</v>
      </c>
      <c r="K677" t="str">
        <f>IFERROR(+VLOOKUP(Movimientos_2026[[#This Row],[Codigo]],Plan_cuentas[],6,FALSE)," ")</f>
        <v>4 - FCA - Fiat</v>
      </c>
      <c r="L677" s="50">
        <v>28058034</v>
      </c>
      <c r="M677" s="52"/>
      <c r="N677" s="20">
        <f>+Movimientos_2026[[#This Row],[Ingresos]]-Movimientos_2026[[#This Row],[Egresos]]</f>
        <v>28058034</v>
      </c>
      <c r="O677" s="20">
        <f>+O676+Movimientos_2026[[#This Row],[Neto]]</f>
        <v>4317414921.8012772</v>
      </c>
    </row>
    <row r="678" spans="1:15" x14ac:dyDescent="0.25">
      <c r="A678" s="13">
        <v>46073</v>
      </c>
      <c r="B678" s="12">
        <f>MONTH(Movimientos_2026[[#This Row],[Fecha]])</f>
        <v>2</v>
      </c>
      <c r="C678" s="12" t="str">
        <f>VLOOKUP((WEEKDAY(Movimientos_2026[[#This Row],[Fecha]],2)),'5. Setup'!$D$6:$E$12,2,FALSE)</f>
        <v>Vie</v>
      </c>
      <c r="D678">
        <v>1044316</v>
      </c>
      <c r="E678" t="str">
        <f>IFERROR(+VLOOKUP(Movimientos_2026[[#This Row],[Codigo]],Plan_cuentas[],2,FALSE)," ")</f>
        <v>INGRESOS</v>
      </c>
      <c r="F678" t="str">
        <f>IFERROR(+VLOOKUP(Movimientos_2026[[#This Row],[Codigo]],Plan_cuentas[],3,FALSE)," ")</f>
        <v>Transferencia</v>
      </c>
      <c r="G678" t="str">
        <f>IFERROR(+VLOOKUP(Movimientos_2026[[#This Row],[Codigo]],Plan_cuentas[],4,FALSE)," ")</f>
        <v>Rentas</v>
      </c>
      <c r="H678" t="str">
        <f>IFERROR(+VLOOKUP(Movimientos_2026[[#This Row],[Codigo]],Plan_cuentas[],5,FALSE)," ")</f>
        <v>NEUQUEN 1° Q</v>
      </c>
      <c r="I678" s="43">
        <v>46054</v>
      </c>
      <c r="J678" t="s">
        <v>292</v>
      </c>
      <c r="K678" t="str">
        <f>IFERROR(+VLOOKUP(Movimientos_2026[[#This Row],[Codigo]],Plan_cuentas[],6,FALSE)," ")</f>
        <v>6 - FCAtr - Fiat Transf.</v>
      </c>
      <c r="L678" s="50">
        <v>521121.49</v>
      </c>
      <c r="M678" s="50"/>
      <c r="N678" s="20">
        <f>+Movimientos_2026[[#This Row],[Ingresos]]-Movimientos_2026[[#This Row],[Egresos]]</f>
        <v>521121.49</v>
      </c>
      <c r="O678" s="20">
        <f>+O677+Movimientos_2026[[#This Row],[Neto]]</f>
        <v>4317936043.2912769</v>
      </c>
    </row>
    <row r="679" spans="1:15" x14ac:dyDescent="0.25">
      <c r="A679" s="13">
        <v>46076</v>
      </c>
      <c r="B679" s="12">
        <f>MONTH(Movimientos_2026[[#This Row],[Fecha]])</f>
        <v>2</v>
      </c>
      <c r="C679" s="12" t="str">
        <f>VLOOKUP((WEEKDAY(Movimientos_2026[[#This Row],[Fecha]],2)),'5. Setup'!$D$6:$E$12,2,FALSE)</f>
        <v>Lun</v>
      </c>
      <c r="D679">
        <v>2054312</v>
      </c>
      <c r="E679" t="str">
        <f>IFERROR(+VLOOKUP(Movimientos_2026[[#This Row],[Codigo]],Plan_cuentas[],2,FALSE)," ")</f>
        <v>EGRESOS</v>
      </c>
      <c r="F679" t="str">
        <f>IFERROR(+VLOOKUP(Movimientos_2026[[#This Row],[Codigo]],Plan_cuentas[],3,FALSE)," ")</f>
        <v>VEP</v>
      </c>
      <c r="G679" t="str">
        <f>IFERROR(+VLOOKUP(Movimientos_2026[[#This Row],[Codigo]],Plan_cuentas[],4,FALSE)," ")</f>
        <v>Rentas</v>
      </c>
      <c r="H679" t="str">
        <f>IFERROR(+VLOOKUP(Movimientos_2026[[#This Row],[Codigo]],Plan_cuentas[],5,FALSE)," ")</f>
        <v>NEUQUEN 1° Q</v>
      </c>
      <c r="I679" s="43">
        <v>46054</v>
      </c>
      <c r="J679" t="s">
        <v>293</v>
      </c>
      <c r="K679" t="str">
        <f>IFERROR(+VLOOKUP(Movimientos_2026[[#This Row],[Codigo]],Plan_cuentas[],6,FALSE)," ")</f>
        <v>2 - PR - Plan Rombo</v>
      </c>
      <c r="L679" s="50"/>
      <c r="M679" s="50">
        <v>28192900</v>
      </c>
      <c r="N679" s="20">
        <f>+Movimientos_2026[[#This Row],[Ingresos]]-Movimientos_2026[[#This Row],[Egresos]]</f>
        <v>-28192900</v>
      </c>
      <c r="O679" s="20">
        <f>+O678+Movimientos_2026[[#This Row],[Neto]]</f>
        <v>4289743143.2912769</v>
      </c>
    </row>
    <row r="680" spans="1:15" x14ac:dyDescent="0.25">
      <c r="A680" s="13">
        <v>46076</v>
      </c>
      <c r="B680" s="12">
        <f>MONTH(Movimientos_2026[[#This Row],[Fecha]])</f>
        <v>2</v>
      </c>
      <c r="C680" s="12" t="str">
        <f>VLOOKUP((WEEKDAY(Movimientos_2026[[#This Row],[Fecha]],2)),'5. Setup'!$D$6:$E$12,2,FALSE)</f>
        <v>Lun</v>
      </c>
      <c r="D680">
        <v>2054314</v>
      </c>
      <c r="E680" t="str">
        <f>IFERROR(+VLOOKUP(Movimientos_2026[[#This Row],[Codigo]],Plan_cuentas[],2,FALSE)," ")</f>
        <v>EGRESOS</v>
      </c>
      <c r="F680" t="str">
        <f>IFERROR(+VLOOKUP(Movimientos_2026[[#This Row],[Codigo]],Plan_cuentas[],3,FALSE)," ")</f>
        <v>VEP</v>
      </c>
      <c r="G680" t="str">
        <f>IFERROR(+VLOOKUP(Movimientos_2026[[#This Row],[Codigo]],Plan_cuentas[],4,FALSE)," ")</f>
        <v>Rentas</v>
      </c>
      <c r="H680" t="str">
        <f>IFERROR(+VLOOKUP(Movimientos_2026[[#This Row],[Codigo]],Plan_cuentas[],5,FALSE)," ")</f>
        <v>NEUQUEN 1° Q</v>
      </c>
      <c r="I680" s="43">
        <v>46054</v>
      </c>
      <c r="J680" t="s">
        <v>294</v>
      </c>
      <c r="K680" t="str">
        <f>IFERROR(+VLOOKUP(Movimientos_2026[[#This Row],[Codigo]],Plan_cuentas[],6,FALSE)," ")</f>
        <v>4 - FCA - Fiat</v>
      </c>
      <c r="L680" s="50"/>
      <c r="M680" s="50">
        <v>28058034</v>
      </c>
      <c r="N680" s="20">
        <f>+Movimientos_2026[[#This Row],[Ingresos]]-Movimientos_2026[[#This Row],[Egresos]]</f>
        <v>-28058034</v>
      </c>
      <c r="O680" s="20">
        <f>+O679+Movimientos_2026[[#This Row],[Neto]]</f>
        <v>4261685109.2912769</v>
      </c>
    </row>
    <row r="681" spans="1:15" x14ac:dyDescent="0.25">
      <c r="A681" s="13">
        <v>46076</v>
      </c>
      <c r="B681" s="12">
        <f>MONTH(Movimientos_2026[[#This Row],[Fecha]])</f>
        <v>2</v>
      </c>
      <c r="C681" s="12" t="str">
        <f>VLOOKUP((WEEKDAY(Movimientos_2026[[#This Row],[Fecha]],2)),'5. Setup'!$D$6:$E$12,2,FALSE)</f>
        <v>Lun</v>
      </c>
      <c r="D681">
        <v>2054316</v>
      </c>
      <c r="E681" t="str">
        <f>IFERROR(+VLOOKUP(Movimientos_2026[[#This Row],[Codigo]],Plan_cuentas[],2,FALSE)," ")</f>
        <v>EGRESOS</v>
      </c>
      <c r="F681" t="str">
        <f>IFERROR(+VLOOKUP(Movimientos_2026[[#This Row],[Codigo]],Plan_cuentas[],3,FALSE)," ")</f>
        <v>VEP</v>
      </c>
      <c r="G681" t="str">
        <f>IFERROR(+VLOOKUP(Movimientos_2026[[#This Row],[Codigo]],Plan_cuentas[],4,FALSE)," ")</f>
        <v>Rentas</v>
      </c>
      <c r="H681" t="str">
        <f>IFERROR(+VLOOKUP(Movimientos_2026[[#This Row],[Codigo]],Plan_cuentas[],5,FALSE)," ")</f>
        <v>NEUQUEN 1° Q</v>
      </c>
      <c r="I681" s="43">
        <v>46054</v>
      </c>
      <c r="J681" t="s">
        <v>294</v>
      </c>
      <c r="K681" t="str">
        <f>IFERROR(+VLOOKUP(Movimientos_2026[[#This Row],[Codigo]],Plan_cuentas[],6,FALSE)," ")</f>
        <v>6 - FCAtr - Fiat Transf.</v>
      </c>
      <c r="L681" s="50"/>
      <c r="M681" s="50">
        <v>521121.49</v>
      </c>
      <c r="N681" s="20">
        <f>+Movimientos_2026[[#This Row],[Ingresos]]-Movimientos_2026[[#This Row],[Egresos]]</f>
        <v>-521121.49</v>
      </c>
      <c r="O681" s="20">
        <f>+O680+Movimientos_2026[[#This Row],[Neto]]</f>
        <v>4261163987.8012772</v>
      </c>
    </row>
    <row r="682" spans="1:15" x14ac:dyDescent="0.25">
      <c r="A682" s="13">
        <v>46076</v>
      </c>
      <c r="B682" s="12">
        <f>MONTH(Movimientos_2026[[#This Row],[Fecha]])</f>
        <v>2</v>
      </c>
      <c r="C682" s="12" t="str">
        <f>VLOOKUP((WEEKDAY(Movimientos_2026[[#This Row],[Fecha]],2)),'5. Setup'!$D$6:$E$12,2,FALSE)</f>
        <v>Lun</v>
      </c>
      <c r="D682">
        <v>2014202</v>
      </c>
      <c r="E682" t="str">
        <f>IFERROR(+VLOOKUP(Movimientos_2026[[#This Row],[Codigo]],Plan_cuentas[],2,FALSE)," ")</f>
        <v>EGRESOS</v>
      </c>
      <c r="F682" t="str">
        <f>IFERROR(+VLOOKUP(Movimientos_2026[[#This Row],[Codigo]],Plan_cuentas[],3,FALSE)," ")</f>
        <v>BtoB</v>
      </c>
      <c r="G682" t="str">
        <f>IFERROR(+VLOOKUP(Movimientos_2026[[#This Row],[Codigo]],Plan_cuentas[],4,FALSE)," ")</f>
        <v>Rentas</v>
      </c>
      <c r="H682" t="str">
        <f>IFERROR(+VLOOKUP(Movimientos_2026[[#This Row],[Codigo]],Plan_cuentas[],5,FALSE)," ")</f>
        <v>CORRIENTES 1° Q</v>
      </c>
      <c r="I682" s="43">
        <v>46054</v>
      </c>
      <c r="J682" t="s">
        <v>295</v>
      </c>
      <c r="K682" t="str">
        <f>IFERROR(+VLOOKUP(Movimientos_2026[[#This Row],[Codigo]],Plan_cuentas[],6,FALSE)," ")</f>
        <v>2 - PR - Plan Rombo</v>
      </c>
      <c r="L682" s="50"/>
      <c r="M682" s="50">
        <v>57925193.619999997</v>
      </c>
      <c r="N682" s="20">
        <f>+Movimientos_2026[[#This Row],[Ingresos]]-Movimientos_2026[[#This Row],[Egresos]]</f>
        <v>-57925193.619999997</v>
      </c>
      <c r="O682" s="20">
        <f>+O681+Movimientos_2026[[#This Row],[Neto]]</f>
        <v>4203238794.1812773</v>
      </c>
    </row>
    <row r="683" spans="1:15" x14ac:dyDescent="0.25">
      <c r="A683" s="13">
        <v>46076</v>
      </c>
      <c r="B683" s="12">
        <f>MONTH(Movimientos_2026[[#This Row],[Fecha]])</f>
        <v>2</v>
      </c>
      <c r="C683" s="12" t="str">
        <f>VLOOKUP((WEEKDAY(Movimientos_2026[[#This Row],[Fecha]],2)),'5. Setup'!$D$6:$E$12,2,FALSE)</f>
        <v>Lun</v>
      </c>
      <c r="D683">
        <v>2014262</v>
      </c>
      <c r="E683" t="str">
        <f>IFERROR(+VLOOKUP(Movimientos_2026[[#This Row],[Codigo]],Plan_cuentas[],2,FALSE)," ")</f>
        <v>EGRESOS</v>
      </c>
      <c r="F683" t="str">
        <f>IFERROR(+VLOOKUP(Movimientos_2026[[#This Row],[Codigo]],Plan_cuentas[],3,FALSE)," ")</f>
        <v>BtoB</v>
      </c>
      <c r="G683" t="str">
        <f>IFERROR(+VLOOKUP(Movimientos_2026[[#This Row],[Codigo]],Plan_cuentas[],4,FALSE)," ")</f>
        <v>Rentas</v>
      </c>
      <c r="H683" t="str">
        <f>IFERROR(+VLOOKUP(Movimientos_2026[[#This Row],[Codigo]],Plan_cuentas[],5,FALSE)," ")</f>
        <v>LA PAMPA</v>
      </c>
      <c r="I683" s="43">
        <v>46023</v>
      </c>
      <c r="J683" t="s">
        <v>296</v>
      </c>
      <c r="K683" t="str">
        <f>IFERROR(+VLOOKUP(Movimientos_2026[[#This Row],[Codigo]],Plan_cuentas[],6,FALSE)," ")</f>
        <v>2 - PR - Plan Rombo</v>
      </c>
      <c r="L683" s="50"/>
      <c r="M683" s="50">
        <v>7862594.9400000004</v>
      </c>
      <c r="N683" s="20">
        <f>+Movimientos_2026[[#This Row],[Ingresos]]-Movimientos_2026[[#This Row],[Egresos]]</f>
        <v>-7862594.9400000004</v>
      </c>
      <c r="O683" s="20">
        <f>+O682+Movimientos_2026[[#This Row],[Neto]]</f>
        <v>4195376199.2412772</v>
      </c>
    </row>
    <row r="684" spans="1:15" x14ac:dyDescent="0.25">
      <c r="A684" s="13">
        <v>46076</v>
      </c>
      <c r="B684" s="12">
        <f>MONTH(Movimientos_2026[[#This Row],[Fecha]])</f>
        <v>2</v>
      </c>
      <c r="C684" s="12" t="str">
        <f>VLOOKUP((WEEKDAY(Movimientos_2026[[#This Row],[Fecha]],2)),'5. Setup'!$D$6:$E$12,2,FALSE)</f>
        <v>Lun</v>
      </c>
      <c r="D684">
        <v>2014264</v>
      </c>
      <c r="E684" t="str">
        <f>IFERROR(+VLOOKUP(Movimientos_2026[[#This Row],[Codigo]],Plan_cuentas[],2,FALSE)," ")</f>
        <v>EGRESOS</v>
      </c>
      <c r="F684" t="str">
        <f>IFERROR(+VLOOKUP(Movimientos_2026[[#This Row],[Codigo]],Plan_cuentas[],3,FALSE)," ")</f>
        <v>BtoB</v>
      </c>
      <c r="G684" t="str">
        <f>IFERROR(+VLOOKUP(Movimientos_2026[[#This Row],[Codigo]],Plan_cuentas[],4,FALSE)," ")</f>
        <v>Rentas</v>
      </c>
      <c r="H684" t="str">
        <f>IFERROR(+VLOOKUP(Movimientos_2026[[#This Row],[Codigo]],Plan_cuentas[],5,FALSE)," ")</f>
        <v>LA PAMPA</v>
      </c>
      <c r="I684" s="43">
        <v>46023</v>
      </c>
      <c r="J684" t="s">
        <v>297</v>
      </c>
      <c r="K684" t="str">
        <f>IFERROR(+VLOOKUP(Movimientos_2026[[#This Row],[Codigo]],Plan_cuentas[],6,FALSE)," ")</f>
        <v>4 - FCA - Fiat</v>
      </c>
      <c r="L684" s="50"/>
      <c r="M684" s="52">
        <v>5653250</v>
      </c>
      <c r="N684" s="20">
        <f>+Movimientos_2026[[#This Row],[Ingresos]]-Movimientos_2026[[#This Row],[Egresos]]</f>
        <v>-5653250</v>
      </c>
      <c r="O684" s="20">
        <f>+O683+Movimientos_2026[[#This Row],[Neto]]</f>
        <v>4189722949.2412772</v>
      </c>
    </row>
    <row r="685" spans="1:15" x14ac:dyDescent="0.25">
      <c r="A685" s="13">
        <v>46076</v>
      </c>
      <c r="B685" s="12">
        <f>MONTH(Movimientos_2026[[#This Row],[Fecha]])</f>
        <v>2</v>
      </c>
      <c r="C685" s="12" t="str">
        <f>VLOOKUP((WEEKDAY(Movimientos_2026[[#This Row],[Fecha]],2)),'5. Setup'!$D$6:$E$12,2,FALSE)</f>
        <v>Lun</v>
      </c>
      <c r="D685">
        <v>2014266</v>
      </c>
      <c r="E685" t="str">
        <f>IFERROR(+VLOOKUP(Movimientos_2026[[#This Row],[Codigo]],Plan_cuentas[],2,FALSE)," ")</f>
        <v>EGRESOS</v>
      </c>
      <c r="F685" t="str">
        <f>IFERROR(+VLOOKUP(Movimientos_2026[[#This Row],[Codigo]],Plan_cuentas[],3,FALSE)," ")</f>
        <v>BtoB</v>
      </c>
      <c r="G685" t="str">
        <f>IFERROR(+VLOOKUP(Movimientos_2026[[#This Row],[Codigo]],Plan_cuentas[],4,FALSE)," ")</f>
        <v>Rentas</v>
      </c>
      <c r="H685" t="str">
        <f>IFERROR(+VLOOKUP(Movimientos_2026[[#This Row],[Codigo]],Plan_cuentas[],5,FALSE)," ")</f>
        <v>LA PAMPA</v>
      </c>
      <c r="I685" s="43">
        <v>46023</v>
      </c>
      <c r="J685" t="s">
        <v>297</v>
      </c>
      <c r="K685" t="str">
        <f>IFERROR(+VLOOKUP(Movimientos_2026[[#This Row],[Codigo]],Plan_cuentas[],6,FALSE)," ")</f>
        <v>6 - FCAtr - Fiat Transf.</v>
      </c>
      <c r="L685" s="50"/>
      <c r="M685" s="52">
        <v>360336.36999999988</v>
      </c>
      <c r="N685" s="20">
        <f>+Movimientos_2026[[#This Row],[Ingresos]]-Movimientos_2026[[#This Row],[Egresos]]</f>
        <v>-360336.36999999988</v>
      </c>
      <c r="O685" s="20">
        <f>+O684+Movimientos_2026[[#This Row],[Neto]]</f>
        <v>4189362612.8712773</v>
      </c>
    </row>
    <row r="686" spans="1:15" x14ac:dyDescent="0.25">
      <c r="A686" s="13">
        <v>46076</v>
      </c>
      <c r="B686" s="12">
        <f>MONTH(Movimientos_2026[[#This Row],[Fecha]])</f>
        <v>2</v>
      </c>
      <c r="C686" s="12" t="str">
        <f>VLOOKUP((WEEKDAY(Movimientos_2026[[#This Row],[Fecha]],2)),'5. Setup'!$D$6:$E$12,2,FALSE)</f>
        <v>Lun</v>
      </c>
      <c r="D686">
        <v>2014264</v>
      </c>
      <c r="E686" t="str">
        <f>IFERROR(+VLOOKUP(Movimientos_2026[[#This Row],[Codigo]],Plan_cuentas[],2,FALSE)," ")</f>
        <v>EGRESOS</v>
      </c>
      <c r="F686" t="str">
        <f>IFERROR(+VLOOKUP(Movimientos_2026[[#This Row],[Codigo]],Plan_cuentas[],3,FALSE)," ")</f>
        <v>BtoB</v>
      </c>
      <c r="G686" t="str">
        <f>IFERROR(+VLOOKUP(Movimientos_2026[[#This Row],[Codigo]],Plan_cuentas[],4,FALSE)," ")</f>
        <v>Rentas</v>
      </c>
      <c r="H686" t="str">
        <f>IFERROR(+VLOOKUP(Movimientos_2026[[#This Row],[Codigo]],Plan_cuentas[],5,FALSE)," ")</f>
        <v>LA PAMPA</v>
      </c>
      <c r="I686" s="43">
        <v>46023</v>
      </c>
      <c r="J686" t="s">
        <v>297</v>
      </c>
      <c r="K686" t="str">
        <f>IFERROR(+VLOOKUP(Movimientos_2026[[#This Row],[Codigo]],Plan_cuentas[],6,FALSE)," ")</f>
        <v>4 - FCA - Fiat</v>
      </c>
      <c r="L686" s="50"/>
      <c r="M686" s="52">
        <v>3171503.68</v>
      </c>
      <c r="N686" s="20">
        <f>+Movimientos_2026[[#This Row],[Ingresos]]-Movimientos_2026[[#This Row],[Egresos]]</f>
        <v>-3171503.68</v>
      </c>
      <c r="O686" s="20">
        <f>+O685+Movimientos_2026[[#This Row],[Neto]]</f>
        <v>4186191109.1912775</v>
      </c>
    </row>
    <row r="687" spans="1:15" x14ac:dyDescent="0.25">
      <c r="A687" s="13">
        <v>46076</v>
      </c>
      <c r="B687" s="12">
        <f>MONTH(Movimientos_2026[[#This Row],[Fecha]])</f>
        <v>2</v>
      </c>
      <c r="C687" s="12" t="str">
        <f>VLOOKUP((WEEKDAY(Movimientos_2026[[#This Row],[Fecha]],2)),'5. Setup'!$D$6:$E$12,2,FALSE)</f>
        <v>Lun</v>
      </c>
      <c r="D687">
        <v>2044462</v>
      </c>
      <c r="E687" t="str">
        <f>IFERROR(+VLOOKUP(Movimientos_2026[[#This Row],[Codigo]],Plan_cuentas[],2,FALSE)," ")</f>
        <v>EGRESOS</v>
      </c>
      <c r="F687" t="str">
        <f>IFERROR(+VLOOKUP(Movimientos_2026[[#This Row],[Codigo]],Plan_cuentas[],3,FALSE)," ")</f>
        <v>Transferencia</v>
      </c>
      <c r="G687" t="str">
        <f>IFERROR(+VLOOKUP(Movimientos_2026[[#This Row],[Codigo]],Plan_cuentas[],4,FALSE)," ")</f>
        <v>Rentas</v>
      </c>
      <c r="H687" t="str">
        <f>IFERROR(+VLOOKUP(Movimientos_2026[[#This Row],[Codigo]],Plan_cuentas[],5,FALSE)," ")</f>
        <v>MISIONES</v>
      </c>
      <c r="I687" s="43">
        <v>46054</v>
      </c>
      <c r="J687" t="s">
        <v>298</v>
      </c>
      <c r="K687" t="str">
        <f>IFERROR(+VLOOKUP(Movimientos_2026[[#This Row],[Codigo]],Plan_cuentas[],6,FALSE)," ")</f>
        <v>2 - PR - Plan Rombo</v>
      </c>
      <c r="L687" s="50"/>
      <c r="M687" s="52">
        <v>4803431.0999999996</v>
      </c>
      <c r="N687" s="20">
        <f>+Movimientos_2026[[#This Row],[Ingresos]]-Movimientos_2026[[#This Row],[Egresos]]</f>
        <v>-4803431.0999999996</v>
      </c>
      <c r="O687" s="20">
        <f>+O686+Movimientos_2026[[#This Row],[Neto]]</f>
        <v>4181387678.0912776</v>
      </c>
    </row>
    <row r="688" spans="1:15" x14ac:dyDescent="0.25">
      <c r="A688" s="13">
        <v>46076</v>
      </c>
      <c r="B688" s="12">
        <f>MONTH(Movimientos_2026[[#This Row],[Fecha]])</f>
        <v>2</v>
      </c>
      <c r="C688" s="12" t="str">
        <f>VLOOKUP((WEEKDAY(Movimientos_2026[[#This Row],[Fecha]],2)),'5. Setup'!$D$6:$E$12,2,FALSE)</f>
        <v>Lun</v>
      </c>
      <c r="D688">
        <v>2044126</v>
      </c>
      <c r="E688" t="str">
        <f>IFERROR(+VLOOKUP(Movimientos_2026[[#This Row],[Codigo]],Plan_cuentas[],2,FALSE)," ")</f>
        <v>EGRESOS</v>
      </c>
      <c r="F688" t="str">
        <f>IFERROR(+VLOOKUP(Movimientos_2026[[#This Row],[Codigo]],Plan_cuentas[],3,FALSE)," ")</f>
        <v>Transferencia</v>
      </c>
      <c r="G688" t="str">
        <f>IFERROR(+VLOOKUP(Movimientos_2026[[#This Row],[Codigo]],Plan_cuentas[],4,FALSE)," ")</f>
        <v>Rentas</v>
      </c>
      <c r="H688" t="str">
        <f>IFERROR(+VLOOKUP(Movimientos_2026[[#This Row],[Codigo]],Plan_cuentas[],5,FALSE)," ")</f>
        <v>BAPRO</v>
      </c>
      <c r="I688" s="43">
        <v>46023</v>
      </c>
      <c r="J688" t="s">
        <v>299</v>
      </c>
      <c r="K688" t="str">
        <f>IFERROR(+VLOOKUP(Movimientos_2026[[#This Row],[Codigo]],Plan_cuentas[],6,FALSE)," ")</f>
        <v>6 - FCAtr - Fiat Transf.</v>
      </c>
      <c r="L688" s="50"/>
      <c r="M688" s="52">
        <v>5119708.4000000004</v>
      </c>
      <c r="N688" s="20">
        <f>+Movimientos_2026[[#This Row],[Ingresos]]-Movimientos_2026[[#This Row],[Egresos]]</f>
        <v>-5119708.4000000004</v>
      </c>
      <c r="O688" s="20">
        <f>+O687+Movimientos_2026[[#This Row],[Neto]]</f>
        <v>4176267969.6912775</v>
      </c>
    </row>
    <row r="689" spans="1:15" x14ac:dyDescent="0.25">
      <c r="A689" s="13">
        <v>46076</v>
      </c>
      <c r="B689" s="12">
        <f>MONTH(Movimientos_2026[[#This Row],[Fecha]])</f>
        <v>2</v>
      </c>
      <c r="C689" s="12" t="str">
        <f>VLOOKUP((WEEKDAY(Movimientos_2026[[#This Row],[Fecha]],2)),'5. Setup'!$D$6:$E$12,2,FALSE)</f>
        <v>Lun</v>
      </c>
      <c r="D689">
        <v>2044126</v>
      </c>
      <c r="E689" t="str">
        <f>IFERROR(+VLOOKUP(Movimientos_2026[[#This Row],[Codigo]],Plan_cuentas[],2,FALSE)," ")</f>
        <v>EGRESOS</v>
      </c>
      <c r="F689" t="str">
        <f>IFERROR(+VLOOKUP(Movimientos_2026[[#This Row],[Codigo]],Plan_cuentas[],3,FALSE)," ")</f>
        <v>Transferencia</v>
      </c>
      <c r="G689" t="str">
        <f>IFERROR(+VLOOKUP(Movimientos_2026[[#This Row],[Codigo]],Plan_cuentas[],4,FALSE)," ")</f>
        <v>Rentas</v>
      </c>
      <c r="H689" t="str">
        <f>IFERROR(+VLOOKUP(Movimientos_2026[[#This Row],[Codigo]],Plan_cuentas[],5,FALSE)," ")</f>
        <v>BAPRO</v>
      </c>
      <c r="I689" s="43">
        <v>46023</v>
      </c>
      <c r="J689" t="s">
        <v>300</v>
      </c>
      <c r="K689" t="str">
        <f>IFERROR(+VLOOKUP(Movimientos_2026[[#This Row],[Codigo]],Plan_cuentas[],6,FALSE)," ")</f>
        <v>6 - FCAtr - Fiat Transf.</v>
      </c>
      <c r="L689" s="50"/>
      <c r="M689" s="50">
        <v>3023660.7</v>
      </c>
      <c r="N689" s="20">
        <f>+Movimientos_2026[[#This Row],[Ingresos]]-Movimientos_2026[[#This Row],[Egresos]]</f>
        <v>-3023660.7</v>
      </c>
      <c r="O689" s="20">
        <f>+O688+Movimientos_2026[[#This Row],[Neto]]</f>
        <v>4173244308.9912777</v>
      </c>
    </row>
    <row r="690" spans="1:15" x14ac:dyDescent="0.25">
      <c r="A690" s="13">
        <v>46076</v>
      </c>
      <c r="B690" s="12">
        <f>MONTH(Movimientos_2026[[#This Row],[Fecha]])</f>
        <v>2</v>
      </c>
      <c r="C690" s="12" t="str">
        <f>VLOOKUP((WEEKDAY(Movimientos_2026[[#This Row],[Fecha]],2)),'5. Setup'!$D$6:$E$12,2,FALSE)</f>
        <v>Lun</v>
      </c>
      <c r="D690">
        <v>2044126</v>
      </c>
      <c r="E690" t="str">
        <f>IFERROR(+VLOOKUP(Movimientos_2026[[#This Row],[Codigo]],Plan_cuentas[],2,FALSE)," ")</f>
        <v>EGRESOS</v>
      </c>
      <c r="F690" t="str">
        <f>IFERROR(+VLOOKUP(Movimientos_2026[[#This Row],[Codigo]],Plan_cuentas[],3,FALSE)," ")</f>
        <v>Transferencia</v>
      </c>
      <c r="G690" t="str">
        <f>IFERROR(+VLOOKUP(Movimientos_2026[[#This Row],[Codigo]],Plan_cuentas[],4,FALSE)," ")</f>
        <v>Rentas</v>
      </c>
      <c r="H690" t="str">
        <f>IFERROR(+VLOOKUP(Movimientos_2026[[#This Row],[Codigo]],Plan_cuentas[],5,FALSE)," ")</f>
        <v>BAPRO</v>
      </c>
      <c r="I690" s="43">
        <v>46023</v>
      </c>
      <c r="J690" t="s">
        <v>301</v>
      </c>
      <c r="K690" t="str">
        <f>IFERROR(+VLOOKUP(Movimientos_2026[[#This Row],[Codigo]],Plan_cuentas[],6,FALSE)," ")</f>
        <v>6 - FCAtr - Fiat Transf.</v>
      </c>
      <c r="L690" s="50"/>
      <c r="M690" s="50">
        <v>2337884.6</v>
      </c>
      <c r="N690" s="20">
        <f>+Movimientos_2026[[#This Row],[Ingresos]]-Movimientos_2026[[#This Row],[Egresos]]</f>
        <v>-2337884.6</v>
      </c>
      <c r="O690" s="20">
        <f>+O689+Movimientos_2026[[#This Row],[Neto]]</f>
        <v>4170906424.3912778</v>
      </c>
    </row>
    <row r="691" spans="1:15" x14ac:dyDescent="0.25">
      <c r="A691" s="13">
        <v>46076</v>
      </c>
      <c r="B691" s="12">
        <f>MONTH(Movimientos_2026[[#This Row],[Fecha]])</f>
        <v>2</v>
      </c>
      <c r="C691" s="12" t="str">
        <f>VLOOKUP((WEEKDAY(Movimientos_2026[[#This Row],[Fecha]],2)),'5. Setup'!$D$6:$E$12,2,FALSE)</f>
        <v>Lun</v>
      </c>
      <c r="D691">
        <v>2044126</v>
      </c>
      <c r="E691" t="str">
        <f>IFERROR(+VLOOKUP(Movimientos_2026[[#This Row],[Codigo]],Plan_cuentas[],2,FALSE)," ")</f>
        <v>EGRESOS</v>
      </c>
      <c r="F691" t="str">
        <f>IFERROR(+VLOOKUP(Movimientos_2026[[#This Row],[Codigo]],Plan_cuentas[],3,FALSE)," ")</f>
        <v>Transferencia</v>
      </c>
      <c r="G691" t="str">
        <f>IFERROR(+VLOOKUP(Movimientos_2026[[#This Row],[Codigo]],Plan_cuentas[],4,FALSE)," ")</f>
        <v>Rentas</v>
      </c>
      <c r="H691" t="str">
        <f>IFERROR(+VLOOKUP(Movimientos_2026[[#This Row],[Codigo]],Plan_cuentas[],5,FALSE)," ")</f>
        <v>BAPRO</v>
      </c>
      <c r="I691" s="43">
        <v>46023</v>
      </c>
      <c r="J691" t="s">
        <v>302</v>
      </c>
      <c r="K691" t="str">
        <f>IFERROR(+VLOOKUP(Movimientos_2026[[#This Row],[Codigo]],Plan_cuentas[],6,FALSE)," ")</f>
        <v>6 - FCAtr - Fiat Transf.</v>
      </c>
      <c r="L691" s="50"/>
      <c r="M691" s="50">
        <v>1510130.9</v>
      </c>
      <c r="N691" s="20">
        <f>+Movimientos_2026[[#This Row],[Ingresos]]-Movimientos_2026[[#This Row],[Egresos]]</f>
        <v>-1510130.9</v>
      </c>
      <c r="O691" s="20">
        <f>+O690+Movimientos_2026[[#This Row],[Neto]]</f>
        <v>4169396293.4912777</v>
      </c>
    </row>
    <row r="692" spans="1:15" x14ac:dyDescent="0.25">
      <c r="A692" s="13">
        <v>46076</v>
      </c>
      <c r="B692" s="12">
        <f>MONTH(Movimientos_2026[[#This Row],[Fecha]])</f>
        <v>2</v>
      </c>
      <c r="C692" s="12" t="str">
        <f>VLOOKUP((WEEKDAY(Movimientos_2026[[#This Row],[Fecha]],2)),'5. Setup'!$D$6:$E$12,2,FALSE)</f>
        <v>Lun</v>
      </c>
      <c r="D692">
        <v>2044126</v>
      </c>
      <c r="E692" t="str">
        <f>IFERROR(+VLOOKUP(Movimientos_2026[[#This Row],[Codigo]],Plan_cuentas[],2,FALSE)," ")</f>
        <v>EGRESOS</v>
      </c>
      <c r="F692" t="str">
        <f>IFERROR(+VLOOKUP(Movimientos_2026[[#This Row],[Codigo]],Plan_cuentas[],3,FALSE)," ")</f>
        <v>Transferencia</v>
      </c>
      <c r="G692" t="str">
        <f>IFERROR(+VLOOKUP(Movimientos_2026[[#This Row],[Codigo]],Plan_cuentas[],4,FALSE)," ")</f>
        <v>Rentas</v>
      </c>
      <c r="H692" t="str">
        <f>IFERROR(+VLOOKUP(Movimientos_2026[[#This Row],[Codigo]],Plan_cuentas[],5,FALSE)," ")</f>
        <v>BAPRO</v>
      </c>
      <c r="I692" s="43">
        <v>46023</v>
      </c>
      <c r="J692" t="s">
        <v>303</v>
      </c>
      <c r="K692" t="str">
        <f>IFERROR(+VLOOKUP(Movimientos_2026[[#This Row],[Codigo]],Plan_cuentas[],6,FALSE)," ")</f>
        <v>6 - FCAtr - Fiat Transf.</v>
      </c>
      <c r="L692" s="50"/>
      <c r="M692" s="50">
        <v>1194482.7</v>
      </c>
      <c r="N692" s="20">
        <f>+Movimientos_2026[[#This Row],[Ingresos]]-Movimientos_2026[[#This Row],[Egresos]]</f>
        <v>-1194482.7</v>
      </c>
      <c r="O692" s="20">
        <f>+O691+Movimientos_2026[[#This Row],[Neto]]</f>
        <v>4168201810.7912779</v>
      </c>
    </row>
    <row r="693" spans="1:15" x14ac:dyDescent="0.25">
      <c r="A693" s="13">
        <v>46076</v>
      </c>
      <c r="B693" s="12">
        <f>MONTH(Movimientos_2026[[#This Row],[Fecha]])</f>
        <v>2</v>
      </c>
      <c r="C693" s="12" t="str">
        <f>VLOOKUP((WEEKDAY(Movimientos_2026[[#This Row],[Fecha]],2)),'5. Setup'!$D$6:$E$12,2,FALSE)</f>
        <v>Lun</v>
      </c>
      <c r="D693">
        <v>2044126</v>
      </c>
      <c r="E693" t="str">
        <f>IFERROR(+VLOOKUP(Movimientos_2026[[#This Row],[Codigo]],Plan_cuentas[],2,FALSE)," ")</f>
        <v>EGRESOS</v>
      </c>
      <c r="F693" t="str">
        <f>IFERROR(+VLOOKUP(Movimientos_2026[[#This Row],[Codigo]],Plan_cuentas[],3,FALSE)," ")</f>
        <v>Transferencia</v>
      </c>
      <c r="G693" t="str">
        <f>IFERROR(+VLOOKUP(Movimientos_2026[[#This Row],[Codigo]],Plan_cuentas[],4,FALSE)," ")</f>
        <v>Rentas</v>
      </c>
      <c r="H693" t="str">
        <f>IFERROR(+VLOOKUP(Movimientos_2026[[#This Row],[Codigo]],Plan_cuentas[],5,FALSE)," ")</f>
        <v>BAPRO</v>
      </c>
      <c r="I693" s="43">
        <v>46023</v>
      </c>
      <c r="J693" t="s">
        <v>304</v>
      </c>
      <c r="K693" t="str">
        <f>IFERROR(+VLOOKUP(Movimientos_2026[[#This Row],[Codigo]],Plan_cuentas[],6,FALSE)," ")</f>
        <v>6 - FCAtr - Fiat Transf.</v>
      </c>
      <c r="L693" s="50"/>
      <c r="M693" s="50">
        <v>264827.8</v>
      </c>
      <c r="N693" s="20">
        <f>+Movimientos_2026[[#This Row],[Ingresos]]-Movimientos_2026[[#This Row],[Egresos]]</f>
        <v>-264827.8</v>
      </c>
      <c r="O693" s="20">
        <f>+O692+Movimientos_2026[[#This Row],[Neto]]</f>
        <v>4167936982.9912777</v>
      </c>
    </row>
    <row r="694" spans="1:15" x14ac:dyDescent="0.25">
      <c r="A694" s="13">
        <v>46076</v>
      </c>
      <c r="B694" s="12">
        <f>MONTH(Movimientos_2026[[#This Row],[Fecha]])</f>
        <v>2</v>
      </c>
      <c r="C694" s="12" t="str">
        <f>VLOOKUP((WEEKDAY(Movimientos_2026[[#This Row],[Fecha]],2)),'5. Setup'!$D$6:$E$12,2,FALSE)</f>
        <v>Lun</v>
      </c>
      <c r="D694">
        <v>2044126</v>
      </c>
      <c r="E694" t="str">
        <f>IFERROR(+VLOOKUP(Movimientos_2026[[#This Row],[Codigo]],Plan_cuentas[],2,FALSE)," ")</f>
        <v>EGRESOS</v>
      </c>
      <c r="F694" t="str">
        <f>IFERROR(+VLOOKUP(Movimientos_2026[[#This Row],[Codigo]],Plan_cuentas[],3,FALSE)," ")</f>
        <v>Transferencia</v>
      </c>
      <c r="G694" t="str">
        <f>IFERROR(+VLOOKUP(Movimientos_2026[[#This Row],[Codigo]],Plan_cuentas[],4,FALSE)," ")</f>
        <v>Rentas</v>
      </c>
      <c r="H694" t="str">
        <f>IFERROR(+VLOOKUP(Movimientos_2026[[#This Row],[Codigo]],Plan_cuentas[],5,FALSE)," ")</f>
        <v>BAPRO</v>
      </c>
      <c r="I694" s="43">
        <v>46023</v>
      </c>
      <c r="J694" t="s">
        <v>305</v>
      </c>
      <c r="K694" t="str">
        <f>IFERROR(+VLOOKUP(Movimientos_2026[[#This Row],[Codigo]],Plan_cuentas[],6,FALSE)," ")</f>
        <v>6 - FCAtr - Fiat Transf.</v>
      </c>
      <c r="L694" s="50"/>
      <c r="M694" s="50">
        <v>234351.7</v>
      </c>
      <c r="N694" s="20">
        <f>+Movimientos_2026[[#This Row],[Ingresos]]-Movimientos_2026[[#This Row],[Egresos]]</f>
        <v>-234351.7</v>
      </c>
      <c r="O694" s="20">
        <f>+O693+Movimientos_2026[[#This Row],[Neto]]</f>
        <v>4167702631.2912779</v>
      </c>
    </row>
    <row r="695" spans="1:15" x14ac:dyDescent="0.25">
      <c r="A695" s="13">
        <v>46076</v>
      </c>
      <c r="B695" s="12">
        <f>MONTH(Movimientos_2026[[#This Row],[Fecha]])</f>
        <v>2</v>
      </c>
      <c r="C695" s="12" t="str">
        <f>VLOOKUP((WEEKDAY(Movimientos_2026[[#This Row],[Fecha]],2)),'5. Setup'!$D$6:$E$12,2,FALSE)</f>
        <v>Lun</v>
      </c>
      <c r="D695">
        <v>2044126</v>
      </c>
      <c r="E695" t="str">
        <f>IFERROR(+VLOOKUP(Movimientos_2026[[#This Row],[Codigo]],Plan_cuentas[],2,FALSE)," ")</f>
        <v>EGRESOS</v>
      </c>
      <c r="F695" t="str">
        <f>IFERROR(+VLOOKUP(Movimientos_2026[[#This Row],[Codigo]],Plan_cuentas[],3,FALSE)," ")</f>
        <v>Transferencia</v>
      </c>
      <c r="G695" t="str">
        <f>IFERROR(+VLOOKUP(Movimientos_2026[[#This Row],[Codigo]],Plan_cuentas[],4,FALSE)," ")</f>
        <v>Rentas</v>
      </c>
      <c r="H695" t="str">
        <f>IFERROR(+VLOOKUP(Movimientos_2026[[#This Row],[Codigo]],Plan_cuentas[],5,FALSE)," ")</f>
        <v>BAPRO</v>
      </c>
      <c r="I695" s="43">
        <v>46023</v>
      </c>
      <c r="J695" t="s">
        <v>306</v>
      </c>
      <c r="K695" t="str">
        <f>IFERROR(+VLOOKUP(Movimientos_2026[[#This Row],[Codigo]],Plan_cuentas[],6,FALSE)," ")</f>
        <v>6 - FCAtr - Fiat Transf.</v>
      </c>
      <c r="L695" s="50"/>
      <c r="M695" s="50">
        <v>169511.3</v>
      </c>
      <c r="N695" s="20">
        <f>+Movimientos_2026[[#This Row],[Ingresos]]-Movimientos_2026[[#This Row],[Egresos]]</f>
        <v>-169511.3</v>
      </c>
      <c r="O695" s="20">
        <f>+O694+Movimientos_2026[[#This Row],[Neto]]</f>
        <v>4167533119.9912777</v>
      </c>
    </row>
    <row r="696" spans="1:15" x14ac:dyDescent="0.25">
      <c r="A696" s="13">
        <v>46076</v>
      </c>
      <c r="B696" s="12">
        <f>MONTH(Movimientos_2026[[#This Row],[Fecha]])</f>
        <v>2</v>
      </c>
      <c r="C696" s="12" t="str">
        <f>VLOOKUP((WEEKDAY(Movimientos_2026[[#This Row],[Fecha]],2)),'5. Setup'!$D$6:$E$12,2,FALSE)</f>
        <v>Lun</v>
      </c>
      <c r="D696">
        <v>2044126</v>
      </c>
      <c r="E696" t="str">
        <f>IFERROR(+VLOOKUP(Movimientos_2026[[#This Row],[Codigo]],Plan_cuentas[],2,FALSE)," ")</f>
        <v>EGRESOS</v>
      </c>
      <c r="F696" t="str">
        <f>IFERROR(+VLOOKUP(Movimientos_2026[[#This Row],[Codigo]],Plan_cuentas[],3,FALSE)," ")</f>
        <v>Transferencia</v>
      </c>
      <c r="G696" t="str">
        <f>IFERROR(+VLOOKUP(Movimientos_2026[[#This Row],[Codigo]],Plan_cuentas[],4,FALSE)," ")</f>
        <v>Rentas</v>
      </c>
      <c r="H696" t="str">
        <f>IFERROR(+VLOOKUP(Movimientos_2026[[#This Row],[Codigo]],Plan_cuentas[],5,FALSE)," ")</f>
        <v>BAPRO</v>
      </c>
      <c r="I696" s="43">
        <v>46023</v>
      </c>
      <c r="J696" t="s">
        <v>307</v>
      </c>
      <c r="K696" t="str">
        <f>IFERROR(+VLOOKUP(Movimientos_2026[[#This Row],[Codigo]],Plan_cuentas[],6,FALSE)," ")</f>
        <v>6 - FCAtr - Fiat Transf.</v>
      </c>
      <c r="L696" s="50"/>
      <c r="M696" s="50">
        <v>10351.200000000001</v>
      </c>
      <c r="N696" s="20">
        <f>+Movimientos_2026[[#This Row],[Ingresos]]-Movimientos_2026[[#This Row],[Egresos]]</f>
        <v>-10351.200000000001</v>
      </c>
      <c r="O696" s="20">
        <f>+O695+Movimientos_2026[[#This Row],[Neto]]</f>
        <v>4167522768.7912779</v>
      </c>
    </row>
    <row r="697" spans="1:15" x14ac:dyDescent="0.25">
      <c r="A697" s="13">
        <v>46076</v>
      </c>
      <c r="B697" s="12">
        <f>MONTH(Movimientos_2026[[#This Row],[Fecha]])</f>
        <v>2</v>
      </c>
      <c r="C697" s="12" t="str">
        <f>VLOOKUP((WEEKDAY(Movimientos_2026[[#This Row],[Fecha]],2)),'5. Setup'!$D$6:$E$12,2,FALSE)</f>
        <v>Lun</v>
      </c>
      <c r="D697">
        <v>2044126</v>
      </c>
      <c r="E697" t="str">
        <f>IFERROR(+VLOOKUP(Movimientos_2026[[#This Row],[Codigo]],Plan_cuentas[],2,FALSE)," ")</f>
        <v>EGRESOS</v>
      </c>
      <c r="F697" t="str">
        <f>IFERROR(+VLOOKUP(Movimientos_2026[[#This Row],[Codigo]],Plan_cuentas[],3,FALSE)," ")</f>
        <v>Transferencia</v>
      </c>
      <c r="G697" t="str">
        <f>IFERROR(+VLOOKUP(Movimientos_2026[[#This Row],[Codigo]],Plan_cuentas[],4,FALSE)," ")</f>
        <v>Rentas</v>
      </c>
      <c r="H697" t="str">
        <f>IFERROR(+VLOOKUP(Movimientos_2026[[#This Row],[Codigo]],Plan_cuentas[],5,FALSE)," ")</f>
        <v>BAPRO</v>
      </c>
      <c r="I697" s="43">
        <v>46023</v>
      </c>
      <c r="J697" t="s">
        <v>308</v>
      </c>
      <c r="K697" t="str">
        <f>IFERROR(+VLOOKUP(Movimientos_2026[[#This Row],[Codigo]],Plan_cuentas[],6,FALSE)," ")</f>
        <v>6 - FCAtr - Fiat Transf.</v>
      </c>
      <c r="L697" s="50"/>
      <c r="M697" s="50">
        <v>2481493.6</v>
      </c>
      <c r="N697" s="20">
        <f>+Movimientos_2026[[#This Row],[Ingresos]]-Movimientos_2026[[#This Row],[Egresos]]</f>
        <v>-2481493.6</v>
      </c>
      <c r="O697" s="20">
        <f>+O696+Movimientos_2026[[#This Row],[Neto]]</f>
        <v>4165041275.191278</v>
      </c>
    </row>
    <row r="698" spans="1:15" x14ac:dyDescent="0.25">
      <c r="A698" s="13">
        <v>46076</v>
      </c>
      <c r="B698" s="12">
        <f>MONTH(Movimientos_2026[[#This Row],[Fecha]])</f>
        <v>2</v>
      </c>
      <c r="C698" s="12" t="str">
        <f>VLOOKUP((WEEKDAY(Movimientos_2026[[#This Row],[Fecha]],2)),'5. Setup'!$D$6:$E$12,2,FALSE)</f>
        <v>Lun</v>
      </c>
      <c r="D698">
        <v>2044126</v>
      </c>
      <c r="E698" t="str">
        <f>IFERROR(+VLOOKUP(Movimientos_2026[[#This Row],[Codigo]],Plan_cuentas[],2,FALSE)," ")</f>
        <v>EGRESOS</v>
      </c>
      <c r="F698" t="str">
        <f>IFERROR(+VLOOKUP(Movimientos_2026[[#This Row],[Codigo]],Plan_cuentas[],3,FALSE)," ")</f>
        <v>Transferencia</v>
      </c>
      <c r="G698" t="str">
        <f>IFERROR(+VLOOKUP(Movimientos_2026[[#This Row],[Codigo]],Plan_cuentas[],4,FALSE)," ")</f>
        <v>Rentas</v>
      </c>
      <c r="H698" t="str">
        <f>IFERROR(+VLOOKUP(Movimientos_2026[[#This Row],[Codigo]],Plan_cuentas[],5,FALSE)," ")</f>
        <v>BAPRO</v>
      </c>
      <c r="I698" s="43">
        <v>46023</v>
      </c>
      <c r="J698" t="s">
        <v>309</v>
      </c>
      <c r="K698" t="str">
        <f>IFERROR(+VLOOKUP(Movimientos_2026[[#This Row],[Codigo]],Plan_cuentas[],6,FALSE)," ")</f>
        <v>6 - FCAtr - Fiat Transf.</v>
      </c>
      <c r="L698" s="50"/>
      <c r="M698" s="50">
        <v>3801746.8</v>
      </c>
      <c r="N698" s="20">
        <f>+Movimientos_2026[[#This Row],[Ingresos]]-Movimientos_2026[[#This Row],[Egresos]]</f>
        <v>-3801746.8</v>
      </c>
      <c r="O698" s="20">
        <f>+O697+Movimientos_2026[[#This Row],[Neto]]</f>
        <v>4161239528.3912778</v>
      </c>
    </row>
    <row r="699" spans="1:15" x14ac:dyDescent="0.25">
      <c r="A699" s="13">
        <v>46076</v>
      </c>
      <c r="B699" s="12">
        <f>MONTH(Movimientos_2026[[#This Row],[Fecha]])</f>
        <v>2</v>
      </c>
      <c r="C699" s="12" t="str">
        <f>VLOOKUP((WEEKDAY(Movimientos_2026[[#This Row],[Fecha]],2)),'5. Setup'!$D$6:$E$12,2,FALSE)</f>
        <v>Lun</v>
      </c>
      <c r="D699">
        <v>1044422</v>
      </c>
      <c r="E699" t="str">
        <f>IFERROR(+VLOOKUP(Movimientos_2026[[#This Row],[Codigo]],Plan_cuentas[],2,FALSE)," ")</f>
        <v>INGRESOS</v>
      </c>
      <c r="F699" t="str">
        <f>IFERROR(+VLOOKUP(Movimientos_2026[[#This Row],[Codigo]],Plan_cuentas[],3,FALSE)," ")</f>
        <v>Transferencia</v>
      </c>
      <c r="G699" t="str">
        <f>IFERROR(+VLOOKUP(Movimientos_2026[[#This Row],[Codigo]],Plan_cuentas[],4,FALSE)," ")</f>
        <v>Rentas</v>
      </c>
      <c r="H699" t="str">
        <f>IFERROR(+VLOOKUP(Movimientos_2026[[#This Row],[Codigo]],Plan_cuentas[],5,FALSE)," ")</f>
        <v>TUCUMAN</v>
      </c>
      <c r="I699" s="43">
        <v>46023</v>
      </c>
      <c r="J699" t="s">
        <v>310</v>
      </c>
      <c r="K699" t="str">
        <f>IFERROR(+VLOOKUP(Movimientos_2026[[#This Row],[Codigo]],Plan_cuentas[],6,FALSE)," ")</f>
        <v>2 - PR - Plan Rombo</v>
      </c>
      <c r="L699" s="50">
        <v>3294163.79</v>
      </c>
      <c r="M699" s="50"/>
      <c r="N699" s="20">
        <f>+Movimientos_2026[[#This Row],[Ingresos]]-Movimientos_2026[[#This Row],[Egresos]]</f>
        <v>3294163.79</v>
      </c>
      <c r="O699" s="20">
        <f>+O698+Movimientos_2026[[#This Row],[Neto]]</f>
        <v>4164533692.1812778</v>
      </c>
    </row>
    <row r="700" spans="1:15" x14ac:dyDescent="0.25">
      <c r="A700" s="13">
        <v>46077</v>
      </c>
      <c r="B700" s="12">
        <f>MONTH(Movimientos_2026[[#This Row],[Fecha]])</f>
        <v>2</v>
      </c>
      <c r="C700" s="12" t="str">
        <f>VLOOKUP((WEEKDAY(Movimientos_2026[[#This Row],[Fecha]],2)),'5. Setup'!$D$6:$E$12,2,FALSE)</f>
        <v>Mar</v>
      </c>
      <c r="D700">
        <v>2014261</v>
      </c>
      <c r="E700" t="str">
        <f>IFERROR(+VLOOKUP(Movimientos_2026[[#This Row],[Codigo]],Plan_cuentas[],2,FALSE)," ")</f>
        <v>EGRESOS</v>
      </c>
      <c r="F700" t="str">
        <f>IFERROR(+VLOOKUP(Movimientos_2026[[#This Row],[Codigo]],Plan_cuentas[],3,FALSE)," ")</f>
        <v>BtoB</v>
      </c>
      <c r="G700" t="str">
        <f>IFERROR(+VLOOKUP(Movimientos_2026[[#This Row],[Codigo]],Plan_cuentas[],4,FALSE)," ")</f>
        <v>Rentas</v>
      </c>
      <c r="H700" t="str">
        <f>IFERROR(+VLOOKUP(Movimientos_2026[[#This Row],[Codigo]],Plan_cuentas[],5,FALSE)," ")</f>
        <v>LA PAMPA</v>
      </c>
      <c r="I700" s="43">
        <v>46023</v>
      </c>
      <c r="J700" t="s">
        <v>311</v>
      </c>
      <c r="K700" t="str">
        <f>IFERROR(+VLOOKUP(Movimientos_2026[[#This Row],[Codigo]],Plan_cuentas[],6,FALSE)," ")</f>
        <v>1 - VW - Volkswagen</v>
      </c>
      <c r="L700" s="50"/>
      <c r="M700" s="50">
        <v>6754631.5700000003</v>
      </c>
      <c r="N700" s="20">
        <f>+Movimientos_2026[[#This Row],[Ingresos]]-Movimientos_2026[[#This Row],[Egresos]]</f>
        <v>-6754631.5700000003</v>
      </c>
      <c r="O700" s="20">
        <f>+O699+Movimientos_2026[[#This Row],[Neto]]</f>
        <v>4157779060.6112776</v>
      </c>
    </row>
    <row r="701" spans="1:15" x14ac:dyDescent="0.25">
      <c r="A701" s="13">
        <v>46077</v>
      </c>
      <c r="B701" s="12">
        <f>MONTH(Movimientos_2026[[#This Row],[Fecha]])</f>
        <v>2</v>
      </c>
      <c r="C701" s="12" t="str">
        <f>VLOOKUP((WEEKDAY(Movimientos_2026[[#This Row],[Fecha]],2)),'5. Setup'!$D$6:$E$12,2,FALSE)</f>
        <v>Mar</v>
      </c>
      <c r="D701">
        <v>2044127</v>
      </c>
      <c r="E701" t="str">
        <f>IFERROR(+VLOOKUP(Movimientos_2026[[#This Row],[Codigo]],Plan_cuentas[],2,FALSE)," ")</f>
        <v>EGRESOS</v>
      </c>
      <c r="F701" t="str">
        <f>IFERROR(+VLOOKUP(Movimientos_2026[[#This Row],[Codigo]],Plan_cuentas[],3,FALSE)," ")</f>
        <v>Transferencia</v>
      </c>
      <c r="G701" t="str">
        <f>IFERROR(+VLOOKUP(Movimientos_2026[[#This Row],[Codigo]],Plan_cuentas[],4,FALSE)," ")</f>
        <v>Rentas</v>
      </c>
      <c r="H701" t="str">
        <f>IFERROR(+VLOOKUP(Movimientos_2026[[#This Row],[Codigo]],Plan_cuentas[],5,FALSE)," ")</f>
        <v>BAPRO</v>
      </c>
      <c r="I701" s="43">
        <v>46023</v>
      </c>
      <c r="J701" t="s">
        <v>312</v>
      </c>
      <c r="K701" t="str">
        <f>IFERROR(+VLOOKUP(Movimientos_2026[[#This Row],[Codigo]],Plan_cuentas[],6,FALSE)," ")</f>
        <v>7 - PRtr - Plan Rombo Transf.</v>
      </c>
      <c r="L701" s="50"/>
      <c r="M701" s="50">
        <v>2810370.44</v>
      </c>
      <c r="N701" s="20">
        <f>+Movimientos_2026[[#This Row],[Ingresos]]-Movimientos_2026[[#This Row],[Egresos]]</f>
        <v>-2810370.44</v>
      </c>
      <c r="O701" s="20">
        <f>+O700+Movimientos_2026[[#This Row],[Neto]]</f>
        <v>4154968690.1712775</v>
      </c>
    </row>
    <row r="702" spans="1:15" x14ac:dyDescent="0.25">
      <c r="A702" s="13">
        <v>46077</v>
      </c>
      <c r="B702" s="12">
        <f>MONTH(Movimientos_2026[[#This Row],[Fecha]])</f>
        <v>2</v>
      </c>
      <c r="C702" s="12" t="str">
        <f>VLOOKUP((WEEKDAY(Movimientos_2026[[#This Row],[Fecha]],2)),'5. Setup'!$D$6:$E$12,2,FALSE)</f>
        <v>Mar</v>
      </c>
      <c r="D702">
        <v>2044127</v>
      </c>
      <c r="E702" t="str">
        <f>IFERROR(+VLOOKUP(Movimientos_2026[[#This Row],[Codigo]],Plan_cuentas[],2,FALSE)," ")</f>
        <v>EGRESOS</v>
      </c>
      <c r="F702" t="str">
        <f>IFERROR(+VLOOKUP(Movimientos_2026[[#This Row],[Codigo]],Plan_cuentas[],3,FALSE)," ")</f>
        <v>Transferencia</v>
      </c>
      <c r="G702" t="str">
        <f>IFERROR(+VLOOKUP(Movimientos_2026[[#This Row],[Codigo]],Plan_cuentas[],4,FALSE)," ")</f>
        <v>Rentas</v>
      </c>
      <c r="H702" t="str">
        <f>IFERROR(+VLOOKUP(Movimientos_2026[[#This Row],[Codigo]],Plan_cuentas[],5,FALSE)," ")</f>
        <v>BAPRO</v>
      </c>
      <c r="I702" s="43">
        <v>46023</v>
      </c>
      <c r="J702" t="s">
        <v>313</v>
      </c>
      <c r="K702" t="str">
        <f>IFERROR(+VLOOKUP(Movimientos_2026[[#This Row],[Codigo]],Plan_cuentas[],6,FALSE)," ")</f>
        <v>7 - PRtr - Plan Rombo Transf.</v>
      </c>
      <c r="L702" s="50"/>
      <c r="M702" s="50">
        <v>1405042.3</v>
      </c>
      <c r="N702" s="20">
        <f>+Movimientos_2026[[#This Row],[Ingresos]]-Movimientos_2026[[#This Row],[Egresos]]</f>
        <v>-1405042.3</v>
      </c>
      <c r="O702" s="20">
        <f>+O701+Movimientos_2026[[#This Row],[Neto]]</f>
        <v>4153563647.8712773</v>
      </c>
    </row>
    <row r="703" spans="1:15" x14ac:dyDescent="0.25">
      <c r="A703" s="13">
        <v>46077</v>
      </c>
      <c r="B703" s="12">
        <f>MONTH(Movimientos_2026[[#This Row],[Fecha]])</f>
        <v>2</v>
      </c>
      <c r="C703" s="12" t="str">
        <f>VLOOKUP((WEEKDAY(Movimientos_2026[[#This Row],[Fecha]],2)),'5. Setup'!$D$6:$E$12,2,FALSE)</f>
        <v>Mar</v>
      </c>
      <c r="D703">
        <v>2044127</v>
      </c>
      <c r="E703" t="str">
        <f>IFERROR(+VLOOKUP(Movimientos_2026[[#This Row],[Codigo]],Plan_cuentas[],2,FALSE)," ")</f>
        <v>EGRESOS</v>
      </c>
      <c r="F703" t="str">
        <f>IFERROR(+VLOOKUP(Movimientos_2026[[#This Row],[Codigo]],Plan_cuentas[],3,FALSE)," ")</f>
        <v>Transferencia</v>
      </c>
      <c r="G703" t="str">
        <f>IFERROR(+VLOOKUP(Movimientos_2026[[#This Row],[Codigo]],Plan_cuentas[],4,FALSE)," ")</f>
        <v>Rentas</v>
      </c>
      <c r="H703" t="str">
        <f>IFERROR(+VLOOKUP(Movimientos_2026[[#This Row],[Codigo]],Plan_cuentas[],5,FALSE)," ")</f>
        <v>BAPRO</v>
      </c>
      <c r="I703" s="43">
        <v>46023</v>
      </c>
      <c r="J703" t="s">
        <v>314</v>
      </c>
      <c r="K703" t="str">
        <f>IFERROR(+VLOOKUP(Movimientos_2026[[#This Row],[Codigo]],Plan_cuentas[],6,FALSE)," ")</f>
        <v>7 - PRtr - Plan Rombo Transf.</v>
      </c>
      <c r="L703" s="50"/>
      <c r="M703" s="52">
        <v>2202721.6800000002</v>
      </c>
      <c r="N703" s="20">
        <f>+Movimientos_2026[[#This Row],[Ingresos]]-Movimientos_2026[[#This Row],[Egresos]]</f>
        <v>-2202721.6800000002</v>
      </c>
      <c r="O703" s="20">
        <f>+O702+Movimientos_2026[[#This Row],[Neto]]</f>
        <v>4151360926.1912775</v>
      </c>
    </row>
    <row r="704" spans="1:15" x14ac:dyDescent="0.25">
      <c r="A704" s="13">
        <v>46077</v>
      </c>
      <c r="B704" s="12">
        <f>MONTH(Movimientos_2026[[#This Row],[Fecha]])</f>
        <v>2</v>
      </c>
      <c r="C704" s="12" t="str">
        <f>VLOOKUP((WEEKDAY(Movimientos_2026[[#This Row],[Fecha]],2)),'5. Setup'!$D$6:$E$12,2,FALSE)</f>
        <v>Mar</v>
      </c>
      <c r="D704">
        <v>2044127</v>
      </c>
      <c r="E704" t="str">
        <f>IFERROR(+VLOOKUP(Movimientos_2026[[#This Row],[Codigo]],Plan_cuentas[],2,FALSE)," ")</f>
        <v>EGRESOS</v>
      </c>
      <c r="F704" t="str">
        <f>IFERROR(+VLOOKUP(Movimientos_2026[[#This Row],[Codigo]],Plan_cuentas[],3,FALSE)," ")</f>
        <v>Transferencia</v>
      </c>
      <c r="G704" t="str">
        <f>IFERROR(+VLOOKUP(Movimientos_2026[[#This Row],[Codigo]],Plan_cuentas[],4,FALSE)," ")</f>
        <v>Rentas</v>
      </c>
      <c r="H704" t="str">
        <f>IFERROR(+VLOOKUP(Movimientos_2026[[#This Row],[Codigo]],Plan_cuentas[],5,FALSE)," ")</f>
        <v>BAPRO</v>
      </c>
      <c r="I704" s="43">
        <v>46023</v>
      </c>
      <c r="J704" t="s">
        <v>315</v>
      </c>
      <c r="K704" t="str">
        <f>IFERROR(+VLOOKUP(Movimientos_2026[[#This Row],[Codigo]],Plan_cuentas[],6,FALSE)," ")</f>
        <v>7 - PRtr - Plan Rombo Transf.</v>
      </c>
      <c r="L704" s="50"/>
      <c r="M704" s="52">
        <v>2549771.9300000002</v>
      </c>
      <c r="N704" s="20">
        <f>+Movimientos_2026[[#This Row],[Ingresos]]-Movimientos_2026[[#This Row],[Egresos]]</f>
        <v>-2549771.9300000002</v>
      </c>
      <c r="O704" s="20">
        <f>+O703+Movimientos_2026[[#This Row],[Neto]]</f>
        <v>4148811154.2612777</v>
      </c>
    </row>
    <row r="705" spans="1:15" x14ac:dyDescent="0.25">
      <c r="A705" s="13">
        <v>46077</v>
      </c>
      <c r="B705" s="12">
        <f>MONTH(Movimientos_2026[[#This Row],[Fecha]])</f>
        <v>2</v>
      </c>
      <c r="C705" s="12" t="str">
        <f>VLOOKUP((WEEKDAY(Movimientos_2026[[#This Row],[Fecha]],2)),'5. Setup'!$D$6:$E$12,2,FALSE)</f>
        <v>Mar</v>
      </c>
      <c r="D705">
        <v>2044127</v>
      </c>
      <c r="E705" t="str">
        <f>IFERROR(+VLOOKUP(Movimientos_2026[[#This Row],[Codigo]],Plan_cuentas[],2,FALSE)," ")</f>
        <v>EGRESOS</v>
      </c>
      <c r="F705" t="str">
        <f>IFERROR(+VLOOKUP(Movimientos_2026[[#This Row],[Codigo]],Plan_cuentas[],3,FALSE)," ")</f>
        <v>Transferencia</v>
      </c>
      <c r="G705" t="str">
        <f>IFERROR(+VLOOKUP(Movimientos_2026[[#This Row],[Codigo]],Plan_cuentas[],4,FALSE)," ")</f>
        <v>Rentas</v>
      </c>
      <c r="H705" t="str">
        <f>IFERROR(+VLOOKUP(Movimientos_2026[[#This Row],[Codigo]],Plan_cuentas[],5,FALSE)," ")</f>
        <v>BAPRO</v>
      </c>
      <c r="I705" s="43">
        <v>46023</v>
      </c>
      <c r="J705" t="s">
        <v>316</v>
      </c>
      <c r="K705" t="str">
        <f>IFERROR(+VLOOKUP(Movimientos_2026[[#This Row],[Codigo]],Plan_cuentas[],6,FALSE)," ")</f>
        <v>7 - PRtr - Plan Rombo Transf.</v>
      </c>
      <c r="L705" s="50"/>
      <c r="M705" s="52">
        <v>3219124.73</v>
      </c>
      <c r="N705" s="20">
        <f>+Movimientos_2026[[#This Row],[Ingresos]]-Movimientos_2026[[#This Row],[Egresos]]</f>
        <v>-3219124.73</v>
      </c>
      <c r="O705" s="20">
        <f>+O704+Movimientos_2026[[#This Row],[Neto]]</f>
        <v>4145592029.5312777</v>
      </c>
    </row>
    <row r="706" spans="1:15" x14ac:dyDescent="0.25">
      <c r="A706" s="13">
        <v>46077</v>
      </c>
      <c r="B706" s="12">
        <f>MONTH(Movimientos_2026[[#This Row],[Fecha]])</f>
        <v>2</v>
      </c>
      <c r="C706" s="12" t="str">
        <f>VLOOKUP((WEEKDAY(Movimientos_2026[[#This Row],[Fecha]],2)),'5. Setup'!$D$6:$E$12,2,FALSE)</f>
        <v>Mar</v>
      </c>
      <c r="D706">
        <v>2044127</v>
      </c>
      <c r="E706" t="str">
        <f>IFERROR(+VLOOKUP(Movimientos_2026[[#This Row],[Codigo]],Plan_cuentas[],2,FALSE)," ")</f>
        <v>EGRESOS</v>
      </c>
      <c r="F706" t="str">
        <f>IFERROR(+VLOOKUP(Movimientos_2026[[#This Row],[Codigo]],Plan_cuentas[],3,FALSE)," ")</f>
        <v>Transferencia</v>
      </c>
      <c r="G706" t="str">
        <f>IFERROR(+VLOOKUP(Movimientos_2026[[#This Row],[Codigo]],Plan_cuentas[],4,FALSE)," ")</f>
        <v>Rentas</v>
      </c>
      <c r="H706" t="str">
        <f>IFERROR(+VLOOKUP(Movimientos_2026[[#This Row],[Codigo]],Plan_cuentas[],5,FALSE)," ")</f>
        <v>BAPRO</v>
      </c>
      <c r="I706" s="43">
        <v>46023</v>
      </c>
      <c r="J706" t="s">
        <v>317</v>
      </c>
      <c r="K706" t="str">
        <f>IFERROR(+VLOOKUP(Movimientos_2026[[#This Row],[Codigo]],Plan_cuentas[],6,FALSE)," ")</f>
        <v>7 - PRtr - Plan Rombo Transf.</v>
      </c>
      <c r="L706" s="50"/>
      <c r="M706" s="52">
        <v>36086.160000000003</v>
      </c>
      <c r="N706" s="20">
        <f>+Movimientos_2026[[#This Row],[Ingresos]]-Movimientos_2026[[#This Row],[Egresos]]</f>
        <v>-36086.160000000003</v>
      </c>
      <c r="O706" s="20">
        <f>+O705+Movimientos_2026[[#This Row],[Neto]]</f>
        <v>4145555943.3712778</v>
      </c>
    </row>
    <row r="707" spans="1:15" x14ac:dyDescent="0.25">
      <c r="A707" s="13">
        <v>46077</v>
      </c>
      <c r="B707" s="12">
        <f>MONTH(Movimientos_2026[[#This Row],[Fecha]])</f>
        <v>2</v>
      </c>
      <c r="C707" s="12" t="str">
        <f>VLOOKUP((WEEKDAY(Movimientos_2026[[#This Row],[Fecha]],2)),'5. Setup'!$D$6:$E$12,2,FALSE)</f>
        <v>Mar</v>
      </c>
      <c r="D707">
        <v>2044126</v>
      </c>
      <c r="E707" t="str">
        <f>IFERROR(+VLOOKUP(Movimientos_2026[[#This Row],[Codigo]],Plan_cuentas[],2,FALSE)," ")</f>
        <v>EGRESOS</v>
      </c>
      <c r="F707" t="str">
        <f>IFERROR(+VLOOKUP(Movimientos_2026[[#This Row],[Codigo]],Plan_cuentas[],3,FALSE)," ")</f>
        <v>Transferencia</v>
      </c>
      <c r="G707" t="str">
        <f>IFERROR(+VLOOKUP(Movimientos_2026[[#This Row],[Codigo]],Plan_cuentas[],4,FALSE)," ")</f>
        <v>Rentas</v>
      </c>
      <c r="H707" t="str">
        <f>IFERROR(+VLOOKUP(Movimientos_2026[[#This Row],[Codigo]],Plan_cuentas[],5,FALSE)," ")</f>
        <v>BAPRO</v>
      </c>
      <c r="I707" s="43">
        <v>46023</v>
      </c>
      <c r="J707" t="s">
        <v>318</v>
      </c>
      <c r="K707" t="str">
        <f>IFERROR(+VLOOKUP(Movimientos_2026[[#This Row],[Codigo]],Plan_cuentas[],6,FALSE)," ")</f>
        <v>6 - FCAtr - Fiat Transf.</v>
      </c>
      <c r="L707" s="50"/>
      <c r="M707" s="52">
        <v>912690.9</v>
      </c>
      <c r="N707" s="20">
        <f>+Movimientos_2026[[#This Row],[Ingresos]]-Movimientos_2026[[#This Row],[Egresos]]</f>
        <v>-912690.9</v>
      </c>
      <c r="O707" s="20">
        <f>+O706+Movimientos_2026[[#This Row],[Neto]]</f>
        <v>4144643252.4712777</v>
      </c>
    </row>
    <row r="708" spans="1:15" x14ac:dyDescent="0.25">
      <c r="A708" s="13">
        <v>46077</v>
      </c>
      <c r="B708" s="12">
        <f>MONTH(Movimientos_2026[[#This Row],[Fecha]])</f>
        <v>2</v>
      </c>
      <c r="C708" s="12" t="str">
        <f>VLOOKUP((WEEKDAY(Movimientos_2026[[#This Row],[Fecha]],2)),'5. Setup'!$D$6:$E$12,2,FALSE)</f>
        <v>Mar</v>
      </c>
      <c r="D708">
        <v>2044126</v>
      </c>
      <c r="E708" t="str">
        <f>IFERROR(+VLOOKUP(Movimientos_2026[[#This Row],[Codigo]],Plan_cuentas[],2,FALSE)," ")</f>
        <v>EGRESOS</v>
      </c>
      <c r="F708" t="str">
        <f>IFERROR(+VLOOKUP(Movimientos_2026[[#This Row],[Codigo]],Plan_cuentas[],3,FALSE)," ")</f>
        <v>Transferencia</v>
      </c>
      <c r="G708" t="str">
        <f>IFERROR(+VLOOKUP(Movimientos_2026[[#This Row],[Codigo]],Plan_cuentas[],4,FALSE)," ")</f>
        <v>Rentas</v>
      </c>
      <c r="H708" t="str">
        <f>IFERROR(+VLOOKUP(Movimientos_2026[[#This Row],[Codigo]],Plan_cuentas[],5,FALSE)," ")</f>
        <v>BAPRO</v>
      </c>
      <c r="I708" s="43">
        <v>46023</v>
      </c>
      <c r="J708" t="s">
        <v>319</v>
      </c>
      <c r="K708" t="str">
        <f>IFERROR(+VLOOKUP(Movimientos_2026[[#This Row],[Codigo]],Plan_cuentas[],6,FALSE)," ")</f>
        <v>6 - FCAtr - Fiat Transf.</v>
      </c>
      <c r="L708" s="50"/>
      <c r="M708" s="52">
        <v>665564.9</v>
      </c>
      <c r="N708" s="20">
        <f>+Movimientos_2026[[#This Row],[Ingresos]]-Movimientos_2026[[#This Row],[Egresos]]</f>
        <v>-665564.9</v>
      </c>
      <c r="O708" s="20">
        <f>+O707+Movimientos_2026[[#This Row],[Neto]]</f>
        <v>4143977687.5712776</v>
      </c>
    </row>
    <row r="709" spans="1:15" x14ac:dyDescent="0.25">
      <c r="A709" s="13">
        <v>46077</v>
      </c>
      <c r="B709" s="12">
        <f>MONTH(Movimientos_2026[[#This Row],[Fecha]])</f>
        <v>2</v>
      </c>
      <c r="C709" s="12" t="str">
        <f>VLOOKUP((WEEKDAY(Movimientos_2026[[#This Row],[Fecha]],2)),'5. Setup'!$D$6:$E$12,2,FALSE)</f>
        <v>Mar</v>
      </c>
      <c r="D709">
        <v>2044126</v>
      </c>
      <c r="E709" t="str">
        <f>IFERROR(+VLOOKUP(Movimientos_2026[[#This Row],[Codigo]],Plan_cuentas[],2,FALSE)," ")</f>
        <v>EGRESOS</v>
      </c>
      <c r="F709" t="str">
        <f>IFERROR(+VLOOKUP(Movimientos_2026[[#This Row],[Codigo]],Plan_cuentas[],3,FALSE)," ")</f>
        <v>Transferencia</v>
      </c>
      <c r="G709" t="str">
        <f>IFERROR(+VLOOKUP(Movimientos_2026[[#This Row],[Codigo]],Plan_cuentas[],4,FALSE)," ")</f>
        <v>Rentas</v>
      </c>
      <c r="H709" t="str">
        <f>IFERROR(+VLOOKUP(Movimientos_2026[[#This Row],[Codigo]],Plan_cuentas[],5,FALSE)," ")</f>
        <v>BAPRO</v>
      </c>
      <c r="I709" s="43">
        <v>46023</v>
      </c>
      <c r="J709" t="s">
        <v>320</v>
      </c>
      <c r="K709" t="str">
        <f>IFERROR(+VLOOKUP(Movimientos_2026[[#This Row],[Codigo]],Plan_cuentas[],6,FALSE)," ")</f>
        <v>6 - FCAtr - Fiat Transf.</v>
      </c>
      <c r="L709" s="50"/>
      <c r="M709" s="50">
        <v>604922.19999999995</v>
      </c>
      <c r="N709" s="20">
        <f>+Movimientos_2026[[#This Row],[Ingresos]]-Movimientos_2026[[#This Row],[Egresos]]</f>
        <v>-604922.19999999995</v>
      </c>
      <c r="O709" s="20">
        <f>+O708+Movimientos_2026[[#This Row],[Neto]]</f>
        <v>4143372765.3712778</v>
      </c>
    </row>
    <row r="710" spans="1:15" x14ac:dyDescent="0.25">
      <c r="A710" s="13">
        <v>46077</v>
      </c>
      <c r="B710" s="12">
        <f>MONTH(Movimientos_2026[[#This Row],[Fecha]])</f>
        <v>2</v>
      </c>
      <c r="C710" s="12" t="str">
        <f>VLOOKUP((WEEKDAY(Movimientos_2026[[#This Row],[Fecha]],2)),'5. Setup'!$D$6:$E$12,2,FALSE)</f>
        <v>Mar</v>
      </c>
      <c r="D710">
        <v>2044126</v>
      </c>
      <c r="E710" t="str">
        <f>IFERROR(+VLOOKUP(Movimientos_2026[[#This Row],[Codigo]],Plan_cuentas[],2,FALSE)," ")</f>
        <v>EGRESOS</v>
      </c>
      <c r="F710" t="str">
        <f>IFERROR(+VLOOKUP(Movimientos_2026[[#This Row],[Codigo]],Plan_cuentas[],3,FALSE)," ")</f>
        <v>Transferencia</v>
      </c>
      <c r="G710" t="str">
        <f>IFERROR(+VLOOKUP(Movimientos_2026[[#This Row],[Codigo]],Plan_cuentas[],4,FALSE)," ")</f>
        <v>Rentas</v>
      </c>
      <c r="H710" t="str">
        <f>IFERROR(+VLOOKUP(Movimientos_2026[[#This Row],[Codigo]],Plan_cuentas[],5,FALSE)," ")</f>
        <v>BAPRO</v>
      </c>
      <c r="I710" s="43">
        <v>46023</v>
      </c>
      <c r="J710" t="s">
        <v>321</v>
      </c>
      <c r="K710" t="str">
        <f>IFERROR(+VLOOKUP(Movimientos_2026[[#This Row],[Codigo]],Plan_cuentas[],6,FALSE)," ")</f>
        <v>6 - FCAtr - Fiat Transf.</v>
      </c>
      <c r="L710" s="50"/>
      <c r="M710" s="50">
        <v>429914.9</v>
      </c>
      <c r="N710" s="20">
        <f>+Movimientos_2026[[#This Row],[Ingresos]]-Movimientos_2026[[#This Row],[Egresos]]</f>
        <v>-429914.9</v>
      </c>
      <c r="O710" s="20">
        <f>+O709+Movimientos_2026[[#This Row],[Neto]]</f>
        <v>4142942850.4712777</v>
      </c>
    </row>
    <row r="711" spans="1:15" x14ac:dyDescent="0.25">
      <c r="A711" s="13">
        <v>46077</v>
      </c>
      <c r="B711" s="12">
        <f>MONTH(Movimientos_2026[[#This Row],[Fecha]])</f>
        <v>2</v>
      </c>
      <c r="C711" s="12" t="str">
        <f>VLOOKUP((WEEKDAY(Movimientos_2026[[#This Row],[Fecha]],2)),'5. Setup'!$D$6:$E$12,2,FALSE)</f>
        <v>Mar</v>
      </c>
      <c r="D711">
        <v>2044126</v>
      </c>
      <c r="E711" t="str">
        <f>IFERROR(+VLOOKUP(Movimientos_2026[[#This Row],[Codigo]],Plan_cuentas[],2,FALSE)," ")</f>
        <v>EGRESOS</v>
      </c>
      <c r="F711" t="str">
        <f>IFERROR(+VLOOKUP(Movimientos_2026[[#This Row],[Codigo]],Plan_cuentas[],3,FALSE)," ")</f>
        <v>Transferencia</v>
      </c>
      <c r="G711" t="str">
        <f>IFERROR(+VLOOKUP(Movimientos_2026[[#This Row],[Codigo]],Plan_cuentas[],4,FALSE)," ")</f>
        <v>Rentas</v>
      </c>
      <c r="H711" t="str">
        <f>IFERROR(+VLOOKUP(Movimientos_2026[[#This Row],[Codigo]],Plan_cuentas[],5,FALSE)," ")</f>
        <v>BAPRO</v>
      </c>
      <c r="I711" s="43">
        <v>46023</v>
      </c>
      <c r="J711" t="s">
        <v>322</v>
      </c>
      <c r="K711" t="str">
        <f>IFERROR(+VLOOKUP(Movimientos_2026[[#This Row],[Codigo]],Plan_cuentas[],6,FALSE)," ")</f>
        <v>6 - FCAtr - Fiat Transf.</v>
      </c>
      <c r="L711" s="50"/>
      <c r="M711" s="50">
        <v>45860.76</v>
      </c>
      <c r="N711" s="20">
        <f>+Movimientos_2026[[#This Row],[Ingresos]]-Movimientos_2026[[#This Row],[Egresos]]</f>
        <v>-45860.76</v>
      </c>
      <c r="O711" s="20">
        <f>+O710+Movimientos_2026[[#This Row],[Neto]]</f>
        <v>4142896989.7112775</v>
      </c>
    </row>
    <row r="712" spans="1:15" x14ac:dyDescent="0.25">
      <c r="A712" s="13">
        <v>46078</v>
      </c>
      <c r="B712" s="12">
        <f>MONTH(Movimientos_2026[[#This Row],[Fecha]])</f>
        <v>2</v>
      </c>
      <c r="C712" s="12" t="str">
        <f>VLOOKUP((WEEKDAY(Movimientos_2026[[#This Row],[Fecha]],2)),'5. Setup'!$D$6:$E$12,2,FALSE)</f>
        <v>Mie</v>
      </c>
      <c r="D712">
        <v>2054311</v>
      </c>
      <c r="E712" t="str">
        <f>IFERROR(+VLOOKUP(Movimientos_2026[[#This Row],[Codigo]],Plan_cuentas[],2,FALSE)," ")</f>
        <v>EGRESOS</v>
      </c>
      <c r="F712" t="str">
        <f>IFERROR(+VLOOKUP(Movimientos_2026[[#This Row],[Codigo]],Plan_cuentas[],3,FALSE)," ")</f>
        <v>VEP</v>
      </c>
      <c r="G712" t="str">
        <f>IFERROR(+VLOOKUP(Movimientos_2026[[#This Row],[Codigo]],Plan_cuentas[],4,FALSE)," ")</f>
        <v>Rentas</v>
      </c>
      <c r="H712" t="str">
        <f>IFERROR(+VLOOKUP(Movimientos_2026[[#This Row],[Codigo]],Plan_cuentas[],5,FALSE)," ")</f>
        <v>NEUQUEN 1° Q</v>
      </c>
      <c r="I712" s="43">
        <v>46054</v>
      </c>
      <c r="J712" t="s">
        <v>323</v>
      </c>
      <c r="K712" t="str">
        <f>IFERROR(+VLOOKUP(Movimientos_2026[[#This Row],[Codigo]],Plan_cuentas[],6,FALSE)," ")</f>
        <v>1 - VW - Volkswagen</v>
      </c>
      <c r="L712" s="50"/>
      <c r="M712" s="50">
        <v>18099233.620000001</v>
      </c>
      <c r="N712" s="20">
        <f>+Movimientos_2026[[#This Row],[Ingresos]]-Movimientos_2026[[#This Row],[Egresos]]</f>
        <v>-18099233.620000001</v>
      </c>
      <c r="O712" s="20">
        <f>+O711+Movimientos_2026[[#This Row],[Neto]]</f>
        <v>4124797756.0912776</v>
      </c>
    </row>
    <row r="713" spans="1:15" x14ac:dyDescent="0.25">
      <c r="A713" s="13">
        <v>46078</v>
      </c>
      <c r="B713" s="12">
        <f>MONTH(Movimientos_2026[[#This Row],[Fecha]])</f>
        <v>2</v>
      </c>
      <c r="C713" s="12" t="str">
        <f>VLOOKUP((WEEKDAY(Movimientos_2026[[#This Row],[Fecha]],2)),'5. Setup'!$D$6:$E$12,2,FALSE)</f>
        <v>Mie</v>
      </c>
      <c r="D713">
        <v>2054381</v>
      </c>
      <c r="E713" t="str">
        <f>IFERROR(+VLOOKUP(Movimientos_2026[[#This Row],[Codigo]],Plan_cuentas[],2,FALSE)," ")</f>
        <v>EGRESOS</v>
      </c>
      <c r="F713" t="str">
        <f>IFERROR(+VLOOKUP(Movimientos_2026[[#This Row],[Codigo]],Plan_cuentas[],3,FALSE)," ")</f>
        <v>VEP</v>
      </c>
      <c r="G713" t="str">
        <f>IFERROR(+VLOOKUP(Movimientos_2026[[#This Row],[Codigo]],Plan_cuentas[],4,FALSE)," ")</f>
        <v>Rentas</v>
      </c>
      <c r="H713" t="str">
        <f>IFERROR(+VLOOKUP(Movimientos_2026[[#This Row],[Codigo]],Plan_cuentas[],5,FALSE)," ")</f>
        <v>SANTA FE 1° Q</v>
      </c>
      <c r="I713" s="43">
        <v>46054</v>
      </c>
      <c r="J713" t="s">
        <v>324</v>
      </c>
      <c r="K713" t="str">
        <f>IFERROR(+VLOOKUP(Movimientos_2026[[#This Row],[Codigo]],Plan_cuentas[],6,FALSE)," ")</f>
        <v>1 - VW - Volkswagen</v>
      </c>
      <c r="L713" s="50"/>
      <c r="M713" s="50">
        <v>12426250.550000001</v>
      </c>
      <c r="N713" s="20">
        <f>+Movimientos_2026[[#This Row],[Ingresos]]-Movimientos_2026[[#This Row],[Egresos]]</f>
        <v>-12426250.550000001</v>
      </c>
      <c r="O713" s="20">
        <f>+O712+Movimientos_2026[[#This Row],[Neto]]</f>
        <v>4112371505.5412774</v>
      </c>
    </row>
    <row r="714" spans="1:15" x14ac:dyDescent="0.25">
      <c r="A714" s="13">
        <v>46078</v>
      </c>
      <c r="B714" s="12">
        <f>MONTH(Movimientos_2026[[#This Row],[Fecha]])</f>
        <v>2</v>
      </c>
      <c r="C714" s="12" t="str">
        <f>VLOOKUP((WEEKDAY(Movimientos_2026[[#This Row],[Fecha]],2)),'5. Setup'!$D$6:$E$12,2,FALSE)</f>
        <v>Mie</v>
      </c>
      <c r="D714">
        <v>2014201</v>
      </c>
      <c r="E714" t="str">
        <f>IFERROR(+VLOOKUP(Movimientos_2026[[#This Row],[Codigo]],Plan_cuentas[],2,FALSE)," ")</f>
        <v>EGRESOS</v>
      </c>
      <c r="F714" t="str">
        <f>IFERROR(+VLOOKUP(Movimientos_2026[[#This Row],[Codigo]],Plan_cuentas[],3,FALSE)," ")</f>
        <v>BtoB</v>
      </c>
      <c r="G714" t="str">
        <f>IFERROR(+VLOOKUP(Movimientos_2026[[#This Row],[Codigo]],Plan_cuentas[],4,FALSE)," ")</f>
        <v>Rentas</v>
      </c>
      <c r="H714" t="str">
        <f>IFERROR(+VLOOKUP(Movimientos_2026[[#This Row],[Codigo]],Plan_cuentas[],5,FALSE)," ")</f>
        <v>CORRIENTES 1° Q</v>
      </c>
      <c r="I714" s="43">
        <v>46054</v>
      </c>
      <c r="J714" t="s">
        <v>325</v>
      </c>
      <c r="K714" t="str">
        <f>IFERROR(+VLOOKUP(Movimientos_2026[[#This Row],[Codigo]],Plan_cuentas[],6,FALSE)," ")</f>
        <v>1 - VW - Volkswagen</v>
      </c>
      <c r="L714" s="50"/>
      <c r="M714" s="50">
        <v>5657117.7400000002</v>
      </c>
      <c r="N714" s="20">
        <f>+Movimientos_2026[[#This Row],[Ingresos]]-Movimientos_2026[[#This Row],[Egresos]]</f>
        <v>-5657117.7400000002</v>
      </c>
      <c r="O714" s="20">
        <f>+O713+Movimientos_2026[[#This Row],[Neto]]</f>
        <v>4106714387.8012776</v>
      </c>
    </row>
    <row r="715" spans="1:15" x14ac:dyDescent="0.25">
      <c r="A715" s="13">
        <v>46078</v>
      </c>
      <c r="B715" s="12">
        <f>MONTH(Movimientos_2026[[#This Row],[Fecha]])</f>
        <v>2</v>
      </c>
      <c r="C715" s="12" t="str">
        <f>VLOOKUP((WEEKDAY(Movimientos_2026[[#This Row],[Fecha]],2)),'5. Setup'!$D$6:$E$12,2,FALSE)</f>
        <v>Mie</v>
      </c>
      <c r="D715">
        <v>2044461</v>
      </c>
      <c r="E715" t="str">
        <f>IFERROR(+VLOOKUP(Movimientos_2026[[#This Row],[Codigo]],Plan_cuentas[],2,FALSE)," ")</f>
        <v>EGRESOS</v>
      </c>
      <c r="F715" t="str">
        <f>IFERROR(+VLOOKUP(Movimientos_2026[[#This Row],[Codigo]],Plan_cuentas[],3,FALSE)," ")</f>
        <v>Transferencia</v>
      </c>
      <c r="G715" t="str">
        <f>IFERROR(+VLOOKUP(Movimientos_2026[[#This Row],[Codigo]],Plan_cuentas[],4,FALSE)," ")</f>
        <v>Rentas</v>
      </c>
      <c r="H715" t="str">
        <f>IFERROR(+VLOOKUP(Movimientos_2026[[#This Row],[Codigo]],Plan_cuentas[],5,FALSE)," ")</f>
        <v>MISIONES</v>
      </c>
      <c r="I715" s="43">
        <v>46023</v>
      </c>
      <c r="J715" t="s">
        <v>326</v>
      </c>
      <c r="K715" t="str">
        <f>IFERROR(+VLOOKUP(Movimientos_2026[[#This Row],[Codigo]],Plan_cuentas[],6,FALSE)," ")</f>
        <v>1 - VW - Volkswagen</v>
      </c>
      <c r="L715" s="50"/>
      <c r="M715" s="50">
        <v>1712189.48</v>
      </c>
      <c r="N715" s="20">
        <f>+Movimientos_2026[[#This Row],[Ingresos]]-Movimientos_2026[[#This Row],[Egresos]]</f>
        <v>-1712189.48</v>
      </c>
      <c r="O715" s="20">
        <f>+O714+Movimientos_2026[[#This Row],[Neto]]</f>
        <v>4105002198.3212776</v>
      </c>
    </row>
    <row r="716" spans="1:15" x14ac:dyDescent="0.25">
      <c r="A716" s="13">
        <v>46078</v>
      </c>
      <c r="B716" s="12">
        <f>MONTH(Movimientos_2026[[#This Row],[Fecha]])</f>
        <v>2</v>
      </c>
      <c r="C716" s="12" t="str">
        <f>VLOOKUP((WEEKDAY(Movimientos_2026[[#This Row],[Fecha]],2)),'5. Setup'!$D$6:$E$12,2,FALSE)</f>
        <v>Mie</v>
      </c>
      <c r="D716">
        <v>2044463</v>
      </c>
      <c r="E716" t="str">
        <f>IFERROR(+VLOOKUP(Movimientos_2026[[#This Row],[Codigo]],Plan_cuentas[],2,FALSE)," ")</f>
        <v>EGRESOS</v>
      </c>
      <c r="F716" t="str">
        <f>IFERROR(+VLOOKUP(Movimientos_2026[[#This Row],[Codigo]],Plan_cuentas[],3,FALSE)," ")</f>
        <v>Transferencia</v>
      </c>
      <c r="G716" t="str">
        <f>IFERROR(+VLOOKUP(Movimientos_2026[[#This Row],[Codigo]],Plan_cuentas[],4,FALSE)," ")</f>
        <v>Rentas</v>
      </c>
      <c r="H716" t="str">
        <f>IFERROR(+VLOOKUP(Movimientos_2026[[#This Row],[Codigo]],Plan_cuentas[],5,FALSE)," ")</f>
        <v>MISIONES</v>
      </c>
      <c r="I716" s="43">
        <v>46054</v>
      </c>
      <c r="J716" t="s">
        <v>327</v>
      </c>
      <c r="K716" t="str">
        <f>IFERROR(+VLOOKUP(Movimientos_2026[[#This Row],[Codigo]],Plan_cuentas[],6,FALSE)," ")</f>
        <v>3 - GM - Chevrolet</v>
      </c>
      <c r="L716" s="50"/>
      <c r="M716" s="52">
        <v>1662873.64</v>
      </c>
      <c r="N716" s="20">
        <f>+Movimientos_2026[[#This Row],[Ingresos]]-Movimientos_2026[[#This Row],[Egresos]]</f>
        <v>-1662873.64</v>
      </c>
      <c r="O716" s="20">
        <f>+O715+Movimientos_2026[[#This Row],[Neto]]</f>
        <v>4103339324.6812778</v>
      </c>
    </row>
    <row r="717" spans="1:15" x14ac:dyDescent="0.25">
      <c r="A717" s="13">
        <v>46078</v>
      </c>
      <c r="B717" s="12">
        <f>MONTH(Movimientos_2026[[#This Row],[Fecha]])</f>
        <v>2</v>
      </c>
      <c r="C717" s="12" t="str">
        <f>VLOOKUP((WEEKDAY(Movimientos_2026[[#This Row],[Fecha]],2)),'5. Setup'!$D$6:$E$12,2,FALSE)</f>
        <v>Mie</v>
      </c>
      <c r="D717">
        <v>1043153</v>
      </c>
      <c r="E717" t="str">
        <f>IFERROR(+VLOOKUP(Movimientos_2026[[#This Row],[Codigo]],Plan_cuentas[],2,FALSE)," ")</f>
        <v>INGRESOS</v>
      </c>
      <c r="F717" t="str">
        <f>IFERROR(+VLOOKUP(Movimientos_2026[[#This Row],[Codigo]],Plan_cuentas[],3,FALSE)," ")</f>
        <v>Transferencia</v>
      </c>
      <c r="G717" t="str">
        <f>IFERROR(+VLOOKUP(Movimientos_2026[[#This Row],[Codigo]],Plan_cuentas[],4,FALSE)," ")</f>
        <v>Registración</v>
      </c>
      <c r="H717" t="str">
        <f>IFERROR(+VLOOKUP(Movimientos_2026[[#This Row],[Codigo]],Plan_cuentas[],5,FALSE)," ")</f>
        <v>CABA</v>
      </c>
      <c r="I717" s="43">
        <v>46023</v>
      </c>
      <c r="J717" t="s">
        <v>328</v>
      </c>
      <c r="K717" t="str">
        <f>IFERROR(+VLOOKUP(Movimientos_2026[[#This Row],[Codigo]],Plan_cuentas[],6,FALSE)," ")</f>
        <v>3 - GM - Chevrolet</v>
      </c>
      <c r="L717" s="50">
        <v>48656549.859999999</v>
      </c>
      <c r="M717" s="50"/>
      <c r="N717" s="20">
        <f>+Movimientos_2026[[#This Row],[Ingresos]]-Movimientos_2026[[#This Row],[Egresos]]</f>
        <v>48656549.859999999</v>
      </c>
      <c r="O717" s="20">
        <f>+O716+Movimientos_2026[[#This Row],[Neto]]</f>
        <v>4151995874.5412779</v>
      </c>
    </row>
    <row r="718" spans="1:15" x14ac:dyDescent="0.25">
      <c r="A718" s="13">
        <v>46078</v>
      </c>
      <c r="B718" s="12">
        <f>MONTH(Movimientos_2026[[#This Row],[Fecha]])</f>
        <v>2</v>
      </c>
      <c r="C718" s="12" t="str">
        <f>VLOOKUP((WEEKDAY(Movimientos_2026[[#This Row],[Fecha]],2)),'5. Setup'!$D$6:$E$12,2,FALSE)</f>
        <v>Mie</v>
      </c>
      <c r="D718">
        <v>1043223</v>
      </c>
      <c r="E718" t="str">
        <f>IFERROR(+VLOOKUP(Movimientos_2026[[#This Row],[Codigo]],Plan_cuentas[],2,FALSE)," ")</f>
        <v>INGRESOS</v>
      </c>
      <c r="F718" t="str">
        <f>IFERROR(+VLOOKUP(Movimientos_2026[[#This Row],[Codigo]],Plan_cuentas[],3,FALSE)," ")</f>
        <v>Transferencia</v>
      </c>
      <c r="G718" t="str">
        <f>IFERROR(+VLOOKUP(Movimientos_2026[[#This Row],[Codigo]],Plan_cuentas[],4,FALSE)," ")</f>
        <v>Registración</v>
      </c>
      <c r="H718" t="str">
        <f>IFERROR(+VLOOKUP(Movimientos_2026[[#This Row],[Codigo]],Plan_cuentas[],5,FALSE)," ")</f>
        <v>ENTRE RIOS 1° Q</v>
      </c>
      <c r="I718" s="43">
        <v>46023</v>
      </c>
      <c r="J718" t="s">
        <v>328</v>
      </c>
      <c r="K718" t="str">
        <f>IFERROR(+VLOOKUP(Movimientos_2026[[#This Row],[Codigo]],Plan_cuentas[],6,FALSE)," ")</f>
        <v>3 - GM - Chevrolet</v>
      </c>
      <c r="L718" s="50">
        <v>19263882.73</v>
      </c>
      <c r="M718" s="50"/>
      <c r="N718" s="20">
        <f>+Movimientos_2026[[#This Row],[Ingresos]]-Movimientos_2026[[#This Row],[Egresos]]</f>
        <v>19263882.73</v>
      </c>
      <c r="O718" s="20">
        <f>+O717+Movimientos_2026[[#This Row],[Neto]]</f>
        <v>4171259757.2712779</v>
      </c>
    </row>
    <row r="719" spans="1:15" x14ac:dyDescent="0.25">
      <c r="A719" s="13">
        <v>46078</v>
      </c>
      <c r="B719" s="12">
        <f>MONTH(Movimientos_2026[[#This Row],[Fecha]])</f>
        <v>2</v>
      </c>
      <c r="C719" s="12" t="str">
        <f>VLOOKUP((WEEKDAY(Movimientos_2026[[#This Row],[Fecha]],2)),'5. Setup'!$D$6:$E$12,2,FALSE)</f>
        <v>Mie</v>
      </c>
      <c r="D719">
        <v>1043233</v>
      </c>
      <c r="E719" t="str">
        <f>IFERROR(+VLOOKUP(Movimientos_2026[[#This Row],[Codigo]],Plan_cuentas[],2,FALSE)," ")</f>
        <v>INGRESOS</v>
      </c>
      <c r="F719" t="str">
        <f>IFERROR(+VLOOKUP(Movimientos_2026[[#This Row],[Codigo]],Plan_cuentas[],3,FALSE)," ")</f>
        <v>Transferencia</v>
      </c>
      <c r="G719" t="str">
        <f>IFERROR(+VLOOKUP(Movimientos_2026[[#This Row],[Codigo]],Plan_cuentas[],4,FALSE)," ")</f>
        <v>Registración</v>
      </c>
      <c r="H719" t="str">
        <f>IFERROR(+VLOOKUP(Movimientos_2026[[#This Row],[Codigo]],Plan_cuentas[],5,FALSE)," ")</f>
        <v>ENTRE RIOS 2° Q</v>
      </c>
      <c r="I719" s="43">
        <v>46054</v>
      </c>
      <c r="J719" t="s">
        <v>328</v>
      </c>
      <c r="K719" t="str">
        <f>IFERROR(+VLOOKUP(Movimientos_2026[[#This Row],[Codigo]],Plan_cuentas[],6,FALSE)," ")</f>
        <v>3 - GM - Chevrolet</v>
      </c>
      <c r="L719" s="50">
        <v>19263882.73</v>
      </c>
      <c r="M719" s="50"/>
      <c r="N719" s="20">
        <f>+Movimientos_2026[[#This Row],[Ingresos]]-Movimientos_2026[[#This Row],[Egresos]]</f>
        <v>19263882.73</v>
      </c>
      <c r="O719" s="20">
        <f>+O718+Movimientos_2026[[#This Row],[Neto]]</f>
        <v>4190523640.0012779</v>
      </c>
    </row>
    <row r="720" spans="1:15" x14ac:dyDescent="0.25">
      <c r="A720" s="13">
        <v>46078</v>
      </c>
      <c r="B720" s="12">
        <f>MONTH(Movimientos_2026[[#This Row],[Fecha]])</f>
        <v>2</v>
      </c>
      <c r="C720" s="12" t="str">
        <f>VLOOKUP((WEEKDAY(Movimientos_2026[[#This Row],[Fecha]],2)),'5. Setup'!$D$6:$E$12,2,FALSE)</f>
        <v>Mie</v>
      </c>
      <c r="D720">
        <v>1043383</v>
      </c>
      <c r="E720" t="str">
        <f>IFERROR(+VLOOKUP(Movimientos_2026[[#This Row],[Codigo]],Plan_cuentas[],2,FALSE)," ")</f>
        <v>INGRESOS</v>
      </c>
      <c r="F720" t="str">
        <f>IFERROR(+VLOOKUP(Movimientos_2026[[#This Row],[Codigo]],Plan_cuentas[],3,FALSE)," ")</f>
        <v>Transferencia</v>
      </c>
      <c r="G720" t="str">
        <f>IFERROR(+VLOOKUP(Movimientos_2026[[#This Row],[Codigo]],Plan_cuentas[],4,FALSE)," ")</f>
        <v>Registración</v>
      </c>
      <c r="H720" t="str">
        <f>IFERROR(+VLOOKUP(Movimientos_2026[[#This Row],[Codigo]],Plan_cuentas[],5,FALSE)," ")</f>
        <v>SANTA FE 1° Q</v>
      </c>
      <c r="I720" s="43">
        <v>46023</v>
      </c>
      <c r="J720" t="s">
        <v>328</v>
      </c>
      <c r="K720" t="str">
        <f>IFERROR(+VLOOKUP(Movimientos_2026[[#This Row],[Codigo]],Plan_cuentas[],6,FALSE)," ")</f>
        <v>3 - GM - Chevrolet</v>
      </c>
      <c r="L720" s="50">
        <v>24856665.085000001</v>
      </c>
      <c r="M720" s="50"/>
      <c r="N720" s="20">
        <f>+Movimientos_2026[[#This Row],[Ingresos]]-Movimientos_2026[[#This Row],[Egresos]]</f>
        <v>24856665.085000001</v>
      </c>
      <c r="O720" s="20">
        <f>+O719+Movimientos_2026[[#This Row],[Neto]]</f>
        <v>4215380305.086278</v>
      </c>
    </row>
    <row r="721" spans="1:15" x14ac:dyDescent="0.25">
      <c r="A721" s="13">
        <v>46078</v>
      </c>
      <c r="B721" s="12">
        <f>MONTH(Movimientos_2026[[#This Row],[Fecha]])</f>
        <v>2</v>
      </c>
      <c r="C721" s="12" t="str">
        <f>VLOOKUP((WEEKDAY(Movimientos_2026[[#This Row],[Fecha]],2)),'5. Setup'!$D$6:$E$12,2,FALSE)</f>
        <v>Mie</v>
      </c>
      <c r="D721">
        <v>1043393</v>
      </c>
      <c r="E721" t="str">
        <f>IFERROR(+VLOOKUP(Movimientos_2026[[#This Row],[Codigo]],Plan_cuentas[],2,FALSE)," ")</f>
        <v>INGRESOS</v>
      </c>
      <c r="F721" t="str">
        <f>IFERROR(+VLOOKUP(Movimientos_2026[[#This Row],[Codigo]],Plan_cuentas[],3,FALSE)," ")</f>
        <v>Transferencia</v>
      </c>
      <c r="G721" t="str">
        <f>IFERROR(+VLOOKUP(Movimientos_2026[[#This Row],[Codigo]],Plan_cuentas[],4,FALSE)," ")</f>
        <v>Registración</v>
      </c>
      <c r="H721" t="str">
        <f>IFERROR(+VLOOKUP(Movimientos_2026[[#This Row],[Codigo]],Plan_cuentas[],5,FALSE)," ")</f>
        <v>SANTA FE 2° Q</v>
      </c>
      <c r="I721" s="43">
        <v>46023</v>
      </c>
      <c r="J721" t="s">
        <v>328</v>
      </c>
      <c r="K721" t="str">
        <f>IFERROR(+VLOOKUP(Movimientos_2026[[#This Row],[Codigo]],Plan_cuentas[],6,FALSE)," ")</f>
        <v>3 - GM - Chevrolet</v>
      </c>
      <c r="L721" s="50">
        <v>24856665.085000001</v>
      </c>
      <c r="M721" s="50"/>
      <c r="N721" s="20">
        <f>+Movimientos_2026[[#This Row],[Ingresos]]-Movimientos_2026[[#This Row],[Egresos]]</f>
        <v>24856665.085000001</v>
      </c>
      <c r="O721" s="20">
        <f>+O720+Movimientos_2026[[#This Row],[Neto]]</f>
        <v>4240236970.171278</v>
      </c>
    </row>
    <row r="722" spans="1:15" x14ac:dyDescent="0.25">
      <c r="A722" s="13">
        <v>46078</v>
      </c>
      <c r="B722" s="12">
        <f>MONTH(Movimientos_2026[[#This Row],[Fecha]])</f>
        <v>2</v>
      </c>
      <c r="C722" s="12" t="str">
        <f>VLOOKUP((WEEKDAY(Movimientos_2026[[#This Row],[Fecha]],2)),'5. Setup'!$D$6:$E$12,2,FALSE)</f>
        <v>Mie</v>
      </c>
      <c r="D722">
        <v>1044163</v>
      </c>
      <c r="E722" t="str">
        <f>IFERROR(+VLOOKUP(Movimientos_2026[[#This Row],[Codigo]],Plan_cuentas[],2,FALSE)," ")</f>
        <v>INGRESOS</v>
      </c>
      <c r="F722" t="str">
        <f>IFERROR(+VLOOKUP(Movimientos_2026[[#This Row],[Codigo]],Plan_cuentas[],3,FALSE)," ")</f>
        <v>Transferencia</v>
      </c>
      <c r="G722" t="str">
        <f>IFERROR(+VLOOKUP(Movimientos_2026[[#This Row],[Codigo]],Plan_cuentas[],4,FALSE)," ")</f>
        <v>Rentas</v>
      </c>
      <c r="H722" t="str">
        <f>IFERROR(+VLOOKUP(Movimientos_2026[[#This Row],[Codigo]],Plan_cuentas[],5,FALSE)," ")</f>
        <v>CHACO</v>
      </c>
      <c r="I722" s="43">
        <v>46023</v>
      </c>
      <c r="J722" t="s">
        <v>328</v>
      </c>
      <c r="K722" t="str">
        <f>IFERROR(+VLOOKUP(Movimientos_2026[[#This Row],[Codigo]],Plan_cuentas[],6,FALSE)," ")</f>
        <v>3 - GM - Chevrolet</v>
      </c>
      <c r="L722" s="50">
        <v>48069568.829999998</v>
      </c>
      <c r="M722" s="50"/>
      <c r="N722" s="20">
        <f>+Movimientos_2026[[#This Row],[Ingresos]]-Movimientos_2026[[#This Row],[Egresos]]</f>
        <v>48069568.829999998</v>
      </c>
      <c r="O722" s="20">
        <f>+O721+Movimientos_2026[[#This Row],[Neto]]</f>
        <v>4288306539.0012779</v>
      </c>
    </row>
    <row r="723" spans="1:15" x14ac:dyDescent="0.25">
      <c r="A723" s="13">
        <v>46078</v>
      </c>
      <c r="B723" s="12">
        <f>MONTH(Movimientos_2026[[#This Row],[Fecha]])</f>
        <v>2</v>
      </c>
      <c r="C723" s="12" t="str">
        <f>VLOOKUP((WEEKDAY(Movimientos_2026[[#This Row],[Fecha]],2)),'5. Setup'!$D$6:$E$12,2,FALSE)</f>
        <v>Mie</v>
      </c>
      <c r="D723">
        <v>1044173</v>
      </c>
      <c r="E723" t="str">
        <f>IFERROR(+VLOOKUP(Movimientos_2026[[#This Row],[Codigo]],Plan_cuentas[],2,FALSE)," ")</f>
        <v>INGRESOS</v>
      </c>
      <c r="F723" t="str">
        <f>IFERROR(+VLOOKUP(Movimientos_2026[[#This Row],[Codigo]],Plan_cuentas[],3,FALSE)," ")</f>
        <v>Transferencia</v>
      </c>
      <c r="G723" t="str">
        <f>IFERROR(+VLOOKUP(Movimientos_2026[[#This Row],[Codigo]],Plan_cuentas[],4,FALSE)," ")</f>
        <v>Rentas</v>
      </c>
      <c r="H723" t="str">
        <f>IFERROR(+VLOOKUP(Movimientos_2026[[#This Row],[Codigo]],Plan_cuentas[],5,FALSE)," ")</f>
        <v>CHUBUT</v>
      </c>
      <c r="I723" s="43">
        <v>46023</v>
      </c>
      <c r="J723" t="s">
        <v>328</v>
      </c>
      <c r="K723" t="str">
        <f>IFERROR(+VLOOKUP(Movimientos_2026[[#This Row],[Codigo]],Plan_cuentas[],6,FALSE)," ")</f>
        <v>3 - GM - Chevrolet</v>
      </c>
      <c r="L723" s="50">
        <v>8768599.3725000005</v>
      </c>
      <c r="M723" s="50"/>
      <c r="N723" s="20">
        <f>+Movimientos_2026[[#This Row],[Ingresos]]-Movimientos_2026[[#This Row],[Egresos]]</f>
        <v>8768599.3725000005</v>
      </c>
      <c r="O723" s="20">
        <f>+O722+Movimientos_2026[[#This Row],[Neto]]</f>
        <v>4297075138.3737783</v>
      </c>
    </row>
    <row r="724" spans="1:15" x14ac:dyDescent="0.25">
      <c r="A724" s="13">
        <v>46078</v>
      </c>
      <c r="B724" s="12">
        <f>MONTH(Movimientos_2026[[#This Row],[Fecha]])</f>
        <v>2</v>
      </c>
      <c r="C724" s="12" t="str">
        <f>VLOOKUP((WEEKDAY(Movimientos_2026[[#This Row],[Fecha]],2)),'5. Setup'!$D$6:$E$12,2,FALSE)</f>
        <v>Mie</v>
      </c>
      <c r="D724">
        <v>1044243</v>
      </c>
      <c r="E724" t="str">
        <f>IFERROR(+VLOOKUP(Movimientos_2026[[#This Row],[Codigo]],Plan_cuentas[],2,FALSE)," ")</f>
        <v>INGRESOS</v>
      </c>
      <c r="F724" t="str">
        <f>IFERROR(+VLOOKUP(Movimientos_2026[[#This Row],[Codigo]],Plan_cuentas[],3,FALSE)," ")</f>
        <v>Transferencia</v>
      </c>
      <c r="G724" t="str">
        <f>IFERROR(+VLOOKUP(Movimientos_2026[[#This Row],[Codigo]],Plan_cuentas[],4,FALSE)," ")</f>
        <v>Rentas</v>
      </c>
      <c r="H724" t="str">
        <f>IFERROR(+VLOOKUP(Movimientos_2026[[#This Row],[Codigo]],Plan_cuentas[],5,FALSE)," ")</f>
        <v>FORMOSA</v>
      </c>
      <c r="I724" s="43">
        <v>46023</v>
      </c>
      <c r="J724" t="s">
        <v>328</v>
      </c>
      <c r="K724" t="str">
        <f>IFERROR(+VLOOKUP(Movimientos_2026[[#This Row],[Codigo]],Plan_cuentas[],6,FALSE)," ")</f>
        <v>3 - GM - Chevrolet</v>
      </c>
      <c r="L724" s="50">
        <v>18431789.715</v>
      </c>
      <c r="M724" s="50"/>
      <c r="N724" s="20">
        <f>+Movimientos_2026[[#This Row],[Ingresos]]-Movimientos_2026[[#This Row],[Egresos]]</f>
        <v>18431789.715</v>
      </c>
      <c r="O724" s="20">
        <f>+O723+Movimientos_2026[[#This Row],[Neto]]</f>
        <v>4315506928.0887785</v>
      </c>
    </row>
    <row r="725" spans="1:15" x14ac:dyDescent="0.25">
      <c r="A725" s="13">
        <v>46078</v>
      </c>
      <c r="B725" s="12">
        <f>MONTH(Movimientos_2026[[#This Row],[Fecha]])</f>
        <v>2</v>
      </c>
      <c r="C725" s="12" t="str">
        <f>VLOOKUP((WEEKDAY(Movimientos_2026[[#This Row],[Fecha]],2)),'5. Setup'!$D$6:$E$12,2,FALSE)</f>
        <v>Mie</v>
      </c>
      <c r="D725">
        <v>1044263</v>
      </c>
      <c r="E725" t="str">
        <f>IFERROR(+VLOOKUP(Movimientos_2026[[#This Row],[Codigo]],Plan_cuentas[],2,FALSE)," ")</f>
        <v>INGRESOS</v>
      </c>
      <c r="F725" t="str">
        <f>IFERROR(+VLOOKUP(Movimientos_2026[[#This Row],[Codigo]],Plan_cuentas[],3,FALSE)," ")</f>
        <v>Transferencia</v>
      </c>
      <c r="G725" t="str">
        <f>IFERROR(+VLOOKUP(Movimientos_2026[[#This Row],[Codigo]],Plan_cuentas[],4,FALSE)," ")</f>
        <v>Rentas</v>
      </c>
      <c r="H725" t="str">
        <f>IFERROR(+VLOOKUP(Movimientos_2026[[#This Row],[Codigo]],Plan_cuentas[],5,FALSE)," ")</f>
        <v>LA PAMPA</v>
      </c>
      <c r="I725" s="43">
        <v>46023</v>
      </c>
      <c r="J725" t="s">
        <v>328</v>
      </c>
      <c r="K725" t="str">
        <f>IFERROR(+VLOOKUP(Movimientos_2026[[#This Row],[Codigo]],Plan_cuentas[],6,FALSE)," ")</f>
        <v>3 - GM - Chevrolet</v>
      </c>
      <c r="L725" s="50">
        <v>3813499.5</v>
      </c>
      <c r="M725" s="50"/>
      <c r="N725" s="20">
        <f>+Movimientos_2026[[#This Row],[Ingresos]]-Movimientos_2026[[#This Row],[Egresos]]</f>
        <v>3813499.5</v>
      </c>
      <c r="O725" s="20">
        <f>+O724+Movimientos_2026[[#This Row],[Neto]]</f>
        <v>4319320427.5887785</v>
      </c>
    </row>
    <row r="726" spans="1:15" x14ac:dyDescent="0.25">
      <c r="A726" s="13">
        <v>46078</v>
      </c>
      <c r="B726" s="12">
        <f>MONTH(Movimientos_2026[[#This Row],[Fecha]])</f>
        <v>2</v>
      </c>
      <c r="C726" s="12" t="str">
        <f>VLOOKUP((WEEKDAY(Movimientos_2026[[#This Row],[Fecha]],2)),'5. Setup'!$D$6:$E$12,2,FALSE)</f>
        <v>Mie</v>
      </c>
      <c r="D726">
        <v>1044463</v>
      </c>
      <c r="E726" t="str">
        <f>IFERROR(+VLOOKUP(Movimientos_2026[[#This Row],[Codigo]],Plan_cuentas[],2,FALSE)," ")</f>
        <v>INGRESOS</v>
      </c>
      <c r="F726" t="str">
        <f>IFERROR(+VLOOKUP(Movimientos_2026[[#This Row],[Codigo]],Plan_cuentas[],3,FALSE)," ")</f>
        <v>Transferencia</v>
      </c>
      <c r="G726" t="str">
        <f>IFERROR(+VLOOKUP(Movimientos_2026[[#This Row],[Codigo]],Plan_cuentas[],4,FALSE)," ")</f>
        <v>Rentas</v>
      </c>
      <c r="H726" t="str">
        <f>IFERROR(+VLOOKUP(Movimientos_2026[[#This Row],[Codigo]],Plan_cuentas[],5,FALSE)," ")</f>
        <v>MISIONES</v>
      </c>
      <c r="I726" s="43">
        <v>46023</v>
      </c>
      <c r="J726" t="s">
        <v>328</v>
      </c>
      <c r="K726" t="str">
        <f>IFERROR(+VLOOKUP(Movimientos_2026[[#This Row],[Codigo]],Plan_cuentas[],6,FALSE)," ")</f>
        <v>3 - GM - Chevrolet</v>
      </c>
      <c r="L726" s="50">
        <v>4301903.68</v>
      </c>
      <c r="M726" s="50"/>
      <c r="N726" s="20">
        <f>+Movimientos_2026[[#This Row],[Ingresos]]-Movimientos_2026[[#This Row],[Egresos]]</f>
        <v>4301903.68</v>
      </c>
      <c r="O726" s="20">
        <f>+O725+Movimientos_2026[[#This Row],[Neto]]</f>
        <v>4323622331.2687788</v>
      </c>
    </row>
    <row r="727" spans="1:15" x14ac:dyDescent="0.25">
      <c r="A727" s="13">
        <v>46078</v>
      </c>
      <c r="B727" s="12">
        <f>MONTH(Movimientos_2026[[#This Row],[Fecha]])</f>
        <v>2</v>
      </c>
      <c r="C727" s="12" t="str">
        <f>VLOOKUP((WEEKDAY(Movimientos_2026[[#This Row],[Fecha]],2)),'5. Setup'!$D$6:$E$12,2,FALSE)</f>
        <v>Mie</v>
      </c>
      <c r="D727">
        <v>1044353</v>
      </c>
      <c r="E727" t="str">
        <f>IFERROR(+VLOOKUP(Movimientos_2026[[#This Row],[Codigo]],Plan_cuentas[],2,FALSE)," ")</f>
        <v>INGRESOS</v>
      </c>
      <c r="F727" t="str">
        <f>IFERROR(+VLOOKUP(Movimientos_2026[[#This Row],[Codigo]],Plan_cuentas[],3,FALSE)," ")</f>
        <v>Transferencia</v>
      </c>
      <c r="G727" t="str">
        <f>IFERROR(+VLOOKUP(Movimientos_2026[[#This Row],[Codigo]],Plan_cuentas[],4,FALSE)," ")</f>
        <v>Rentas</v>
      </c>
      <c r="H727" t="str">
        <f>IFERROR(+VLOOKUP(Movimientos_2026[[#This Row],[Codigo]],Plan_cuentas[],5,FALSE)," ")</f>
        <v>SAN JUAN</v>
      </c>
      <c r="I727" s="43">
        <v>46023</v>
      </c>
      <c r="J727" t="s">
        <v>328</v>
      </c>
      <c r="K727" t="str">
        <f>IFERROR(+VLOOKUP(Movimientos_2026[[#This Row],[Codigo]],Plan_cuentas[],6,FALSE)," ")</f>
        <v>3 - GM - Chevrolet</v>
      </c>
      <c r="L727" s="50">
        <v>6405775.3871999998</v>
      </c>
      <c r="M727" s="50"/>
      <c r="N727" s="20">
        <f>+Movimientos_2026[[#This Row],[Ingresos]]-Movimientos_2026[[#This Row],[Egresos]]</f>
        <v>6405775.3871999998</v>
      </c>
      <c r="O727" s="20">
        <f>+O726+Movimientos_2026[[#This Row],[Neto]]</f>
        <v>4330028106.6559792</v>
      </c>
    </row>
    <row r="728" spans="1:15" x14ac:dyDescent="0.25">
      <c r="A728" s="13">
        <v>46078</v>
      </c>
      <c r="B728" s="12">
        <f>MONTH(Movimientos_2026[[#This Row],[Fecha]])</f>
        <v>2</v>
      </c>
      <c r="C728" s="12" t="str">
        <f>VLOOKUP((WEEKDAY(Movimientos_2026[[#This Row],[Fecha]],2)),'5. Setup'!$D$6:$E$12,2,FALSE)</f>
        <v>Mie</v>
      </c>
      <c r="D728">
        <v>1044363</v>
      </c>
      <c r="E728" t="str">
        <f>IFERROR(+VLOOKUP(Movimientos_2026[[#This Row],[Codigo]],Plan_cuentas[],2,FALSE)," ")</f>
        <v>INGRESOS</v>
      </c>
      <c r="F728" t="str">
        <f>IFERROR(+VLOOKUP(Movimientos_2026[[#This Row],[Codigo]],Plan_cuentas[],3,FALSE)," ")</f>
        <v>Transferencia</v>
      </c>
      <c r="G728" t="str">
        <f>IFERROR(+VLOOKUP(Movimientos_2026[[#This Row],[Codigo]],Plan_cuentas[],4,FALSE)," ")</f>
        <v>Rentas</v>
      </c>
      <c r="H728" t="str">
        <f>IFERROR(+VLOOKUP(Movimientos_2026[[#This Row],[Codigo]],Plan_cuentas[],5,FALSE)," ")</f>
        <v>SAN LUIS</v>
      </c>
      <c r="I728" s="43">
        <v>46023</v>
      </c>
      <c r="J728" t="s">
        <v>328</v>
      </c>
      <c r="K728" t="str">
        <f>IFERROR(+VLOOKUP(Movimientos_2026[[#This Row],[Codigo]],Plan_cuentas[],6,FALSE)," ")</f>
        <v>3 - GM - Chevrolet</v>
      </c>
      <c r="L728" s="50">
        <v>19403744.616</v>
      </c>
      <c r="M728" s="50"/>
      <c r="N728" s="20">
        <f>+Movimientos_2026[[#This Row],[Ingresos]]-Movimientos_2026[[#This Row],[Egresos]]</f>
        <v>19403744.616</v>
      </c>
      <c r="O728" s="20">
        <f>+O727+Movimientos_2026[[#This Row],[Neto]]</f>
        <v>4349431851.2719793</v>
      </c>
    </row>
    <row r="729" spans="1:15" x14ac:dyDescent="0.25">
      <c r="A729" s="13">
        <v>46078</v>
      </c>
      <c r="B729" s="12">
        <f>MONTH(Movimientos_2026[[#This Row],[Fecha]])</f>
        <v>2</v>
      </c>
      <c r="C729" s="12" t="str">
        <f>VLOOKUP((WEEKDAY(Movimientos_2026[[#This Row],[Fecha]],2)),'5. Setup'!$D$6:$E$12,2,FALSE)</f>
        <v>Mie</v>
      </c>
      <c r="D729">
        <v>1044403</v>
      </c>
      <c r="E729" t="str">
        <f>IFERROR(+VLOOKUP(Movimientos_2026[[#This Row],[Codigo]],Plan_cuentas[],2,FALSE)," ")</f>
        <v>INGRESOS</v>
      </c>
      <c r="F729" t="str">
        <f>IFERROR(+VLOOKUP(Movimientos_2026[[#This Row],[Codigo]],Plan_cuentas[],3,FALSE)," ")</f>
        <v>Transferencia</v>
      </c>
      <c r="G729" t="str">
        <f>IFERROR(+VLOOKUP(Movimientos_2026[[#This Row],[Codigo]],Plan_cuentas[],4,FALSE)," ")</f>
        <v>Rentas</v>
      </c>
      <c r="H729" t="str">
        <f>IFERROR(+VLOOKUP(Movimientos_2026[[#This Row],[Codigo]],Plan_cuentas[],5,FALSE)," ")</f>
        <v>SANTIAGO DEL ESTERO</v>
      </c>
      <c r="I729" s="43">
        <v>46023</v>
      </c>
      <c r="J729" t="s">
        <v>328</v>
      </c>
      <c r="K729" t="str">
        <f>IFERROR(+VLOOKUP(Movimientos_2026[[#This Row],[Codigo]],Plan_cuentas[],6,FALSE)," ")</f>
        <v>3 - GM - Chevrolet</v>
      </c>
      <c r="L729" s="50">
        <v>17142245.010000002</v>
      </c>
      <c r="M729" s="52"/>
      <c r="N729" s="20">
        <f>+Movimientos_2026[[#This Row],[Ingresos]]-Movimientos_2026[[#This Row],[Egresos]]</f>
        <v>17142245.010000002</v>
      </c>
      <c r="O729" s="20">
        <f>+O728+Movimientos_2026[[#This Row],[Neto]]</f>
        <v>4366574096.2819796</v>
      </c>
    </row>
    <row r="730" spans="1:15" x14ac:dyDescent="0.25">
      <c r="A730" s="13">
        <v>46078</v>
      </c>
      <c r="B730" s="12">
        <f>MONTH(Movimientos_2026[[#This Row],[Fecha]])</f>
        <v>2</v>
      </c>
      <c r="C730" s="12" t="str">
        <f>VLOOKUP((WEEKDAY(Movimientos_2026[[#This Row],[Fecha]],2)),'5. Setup'!$D$6:$E$12,2,FALSE)</f>
        <v>Mie</v>
      </c>
      <c r="D730">
        <v>1044413</v>
      </c>
      <c r="E730" t="str">
        <f>IFERROR(+VLOOKUP(Movimientos_2026[[#This Row],[Codigo]],Plan_cuentas[],2,FALSE)," ")</f>
        <v>INGRESOS</v>
      </c>
      <c r="F730" t="str">
        <f>IFERROR(+VLOOKUP(Movimientos_2026[[#This Row],[Codigo]],Plan_cuentas[],3,FALSE)," ")</f>
        <v>Transferencia</v>
      </c>
      <c r="G730" t="str">
        <f>IFERROR(+VLOOKUP(Movimientos_2026[[#This Row],[Codigo]],Plan_cuentas[],4,FALSE)," ")</f>
        <v>Rentas</v>
      </c>
      <c r="H730" t="str">
        <f>IFERROR(+VLOOKUP(Movimientos_2026[[#This Row],[Codigo]],Plan_cuentas[],5,FALSE)," ")</f>
        <v>TIERRA DEL FUEGO</v>
      </c>
      <c r="I730" s="43">
        <v>46023</v>
      </c>
      <c r="J730" t="s">
        <v>328</v>
      </c>
      <c r="K730" t="str">
        <f>IFERROR(+VLOOKUP(Movimientos_2026[[#This Row],[Codigo]],Plan_cuentas[],6,FALSE)," ")</f>
        <v>3 - GM - Chevrolet</v>
      </c>
      <c r="L730" s="50">
        <v>6854318.04</v>
      </c>
      <c r="M730" s="52"/>
      <c r="N730" s="20">
        <f>+Movimientos_2026[[#This Row],[Ingresos]]-Movimientos_2026[[#This Row],[Egresos]]</f>
        <v>6854318.04</v>
      </c>
      <c r="O730" s="20">
        <f>+O729+Movimientos_2026[[#This Row],[Neto]]</f>
        <v>4373428414.3219795</v>
      </c>
    </row>
    <row r="731" spans="1:15" x14ac:dyDescent="0.25">
      <c r="A731" s="13">
        <v>46078</v>
      </c>
      <c r="B731" s="12">
        <f>MONTH(Movimientos_2026[[#This Row],[Fecha]])</f>
        <v>2</v>
      </c>
      <c r="C731" s="12" t="str">
        <f>VLOOKUP((WEEKDAY(Movimientos_2026[[#This Row],[Fecha]],2)),'5. Setup'!$D$6:$E$12,2,FALSE)</f>
        <v>Mie</v>
      </c>
      <c r="D731">
        <v>1041133</v>
      </c>
      <c r="E731" t="str">
        <f>IFERROR(+VLOOKUP(Movimientos_2026[[#This Row],[Codigo]],Plan_cuentas[],2,FALSE)," ")</f>
        <v>INGRESOS</v>
      </c>
      <c r="F731" t="str">
        <f>IFERROR(+VLOOKUP(Movimientos_2026[[#This Row],[Codigo]],Plan_cuentas[],3,FALSE)," ")</f>
        <v>Transferencia</v>
      </c>
      <c r="G731" t="str">
        <f>IFERROR(+VLOOKUP(Movimientos_2026[[#This Row],[Codigo]],Plan_cuentas[],4,FALSE)," ")</f>
        <v>Entidades co-participadas</v>
      </c>
      <c r="H731" t="str">
        <f>IFERROR(+VLOOKUP(Movimientos_2026[[#This Row],[Codigo]],Plan_cuentas[],5,FALSE)," ")</f>
        <v>BCLP</v>
      </c>
      <c r="I731" s="43">
        <v>46023</v>
      </c>
      <c r="J731" t="s">
        <v>328</v>
      </c>
      <c r="K731" t="str">
        <f>IFERROR(+VLOOKUP(Movimientos_2026[[#This Row],[Codigo]],Plan_cuentas[],6,FALSE)," ")</f>
        <v>3 - GM - Chevrolet</v>
      </c>
      <c r="L731" s="50">
        <v>8544010.5500000007</v>
      </c>
      <c r="M731" s="50"/>
      <c r="N731" s="20">
        <f>+Movimientos_2026[[#This Row],[Ingresos]]-Movimientos_2026[[#This Row],[Egresos]]</f>
        <v>8544010.5500000007</v>
      </c>
      <c r="O731" s="20">
        <f>+O730+Movimientos_2026[[#This Row],[Neto]]</f>
        <v>4381972424.8719797</v>
      </c>
    </row>
    <row r="732" spans="1:15" x14ac:dyDescent="0.25">
      <c r="A732" s="13">
        <v>46078</v>
      </c>
      <c r="B732" s="12">
        <f>MONTH(Movimientos_2026[[#This Row],[Fecha]])</f>
        <v>2</v>
      </c>
      <c r="C732" s="12" t="str">
        <f>VLOOKUP((WEEKDAY(Movimientos_2026[[#This Row],[Fecha]],2)),'5. Setup'!$D$6:$E$12,2,FALSE)</f>
        <v>Mie</v>
      </c>
      <c r="D732">
        <v>1041443</v>
      </c>
      <c r="E732" t="str">
        <f>IFERROR(+VLOOKUP(Movimientos_2026[[#This Row],[Codigo]],Plan_cuentas[],2,FALSE)," ")</f>
        <v>INGRESOS</v>
      </c>
      <c r="F732" t="str">
        <f>IFERROR(+VLOOKUP(Movimientos_2026[[#This Row],[Codigo]],Plan_cuentas[],3,FALSE)," ")</f>
        <v>Transferencia</v>
      </c>
      <c r="G732" t="str">
        <f>IFERROR(+VLOOKUP(Movimientos_2026[[#This Row],[Codigo]],Plan_cuentas[],4,FALSE)," ")</f>
        <v>Entidades co-participadas</v>
      </c>
      <c r="H732" t="str">
        <f>IFERROR(+VLOOKUP(Movimientos_2026[[#This Row],[Codigo]],Plan_cuentas[],5,FALSE)," ")</f>
        <v>UISCUMARR</v>
      </c>
      <c r="I732" s="43">
        <v>46023</v>
      </c>
      <c r="J732" t="s">
        <v>328</v>
      </c>
      <c r="K732" t="str">
        <f>IFERROR(+VLOOKUP(Movimientos_2026[[#This Row],[Codigo]],Plan_cuentas[],6,FALSE)," ")</f>
        <v>3 - GM - Chevrolet</v>
      </c>
      <c r="L732" s="50">
        <v>29494215.690000001</v>
      </c>
      <c r="M732" s="52"/>
      <c r="N732" s="20">
        <f>+Movimientos_2026[[#This Row],[Ingresos]]-Movimientos_2026[[#This Row],[Egresos]]</f>
        <v>29494215.690000001</v>
      </c>
      <c r="O732" s="20">
        <f>+O731+Movimientos_2026[[#This Row],[Neto]]</f>
        <v>4411466640.5619793</v>
      </c>
    </row>
    <row r="733" spans="1:15" x14ac:dyDescent="0.25">
      <c r="A733" s="13">
        <v>46078</v>
      </c>
      <c r="B733" s="12">
        <f>MONTH(Movimientos_2026[[#This Row],[Fecha]])</f>
        <v>2</v>
      </c>
      <c r="C733" s="12" t="str">
        <f>VLOOKUP((WEEKDAY(Movimientos_2026[[#This Row],[Fecha]],2)),'5. Setup'!$D$6:$E$12,2,FALSE)</f>
        <v>Mie</v>
      </c>
      <c r="D733">
        <v>1042113</v>
      </c>
      <c r="E733" t="str">
        <f>IFERROR(+VLOOKUP(Movimientos_2026[[#This Row],[Codigo]],Plan_cuentas[],2,FALSE)," ")</f>
        <v>INGRESOS</v>
      </c>
      <c r="F733" t="str">
        <f>IFERROR(+VLOOKUP(Movimientos_2026[[#This Row],[Codigo]],Plan_cuentas[],3,FALSE)," ")</f>
        <v>Transferencia</v>
      </c>
      <c r="G733" t="str">
        <f>IFERROR(+VLOOKUP(Movimientos_2026[[#This Row],[Codigo]],Plan_cuentas[],4,FALSE)," ")</f>
        <v>Entidades tercerizadas</v>
      </c>
      <c r="H733" t="str">
        <f>IFERROR(+VLOOKUP(Movimientos_2026[[#This Row],[Codigo]],Plan_cuentas[],5,FALSE)," ")</f>
        <v>APESI</v>
      </c>
      <c r="I733" s="43">
        <v>46023</v>
      </c>
      <c r="J733" t="s">
        <v>328</v>
      </c>
      <c r="K733" t="str">
        <f>IFERROR(+VLOOKUP(Movimientos_2026[[#This Row],[Codigo]],Plan_cuentas[],6,FALSE)," ")</f>
        <v>3 - GM - Chevrolet</v>
      </c>
      <c r="L733" s="50">
        <v>5184899.5904999999</v>
      </c>
      <c r="M733" s="52"/>
      <c r="N733" s="20">
        <f>+Movimientos_2026[[#This Row],[Ingresos]]-Movimientos_2026[[#This Row],[Egresos]]</f>
        <v>5184899.5904999999</v>
      </c>
      <c r="O733" s="20">
        <f>+O732+Movimientos_2026[[#This Row],[Neto]]</f>
        <v>4416651540.1524792</v>
      </c>
    </row>
    <row r="734" spans="1:15" x14ac:dyDescent="0.25">
      <c r="A734" s="13">
        <v>46078</v>
      </c>
      <c r="B734" s="12">
        <f>MONTH(Movimientos_2026[[#This Row],[Fecha]])</f>
        <v>2</v>
      </c>
      <c r="C734" s="12" t="str">
        <f>VLOOKUP((WEEKDAY(Movimientos_2026[[#This Row],[Fecha]],2)),'5. Setup'!$D$6:$E$12,2,FALSE)</f>
        <v>Mie</v>
      </c>
      <c r="D734">
        <v>1042103</v>
      </c>
      <c r="E734" t="str">
        <f>IFERROR(+VLOOKUP(Movimientos_2026[[#This Row],[Codigo]],Plan_cuentas[],2,FALSE)," ")</f>
        <v>INGRESOS</v>
      </c>
      <c r="F734" t="str">
        <f>IFERROR(+VLOOKUP(Movimientos_2026[[#This Row],[Codigo]],Plan_cuentas[],3,FALSE)," ")</f>
        <v>Transferencia</v>
      </c>
      <c r="G734" t="str">
        <f>IFERROR(+VLOOKUP(Movimientos_2026[[#This Row],[Codigo]],Plan_cuentas[],4,FALSE)," ")</f>
        <v>Entidades tercerizadas</v>
      </c>
      <c r="H734" t="str">
        <f>IFERROR(+VLOOKUP(Movimientos_2026[[#This Row],[Codigo]],Plan_cuentas[],5,FALSE)," ")</f>
        <v>AMN</v>
      </c>
      <c r="I734" s="43">
        <v>46023</v>
      </c>
      <c r="J734" t="s">
        <v>328</v>
      </c>
      <c r="K734" t="str">
        <f>IFERROR(+VLOOKUP(Movimientos_2026[[#This Row],[Codigo]],Plan_cuentas[],6,FALSE)," ")</f>
        <v>3 - GM - Chevrolet</v>
      </c>
      <c r="L734" s="50">
        <v>3587850.8505000002</v>
      </c>
      <c r="M734" s="52"/>
      <c r="N734" s="20">
        <f>+Movimientos_2026[[#This Row],[Ingresos]]-Movimientos_2026[[#This Row],[Egresos]]</f>
        <v>3587850.8505000002</v>
      </c>
      <c r="O734" s="20">
        <f>+O733+Movimientos_2026[[#This Row],[Neto]]</f>
        <v>4420239391.0029793</v>
      </c>
    </row>
    <row r="735" spans="1:15" x14ac:dyDescent="0.25">
      <c r="A735" s="13">
        <v>46078</v>
      </c>
      <c r="B735" s="12">
        <f>MONTH(Movimientos_2026[[#This Row],[Fecha]])</f>
        <v>2</v>
      </c>
      <c r="C735" s="12" t="str">
        <f>VLOOKUP((WEEKDAY(Movimientos_2026[[#This Row],[Fecha]],2)),'5. Setup'!$D$6:$E$12,2,FALSE)</f>
        <v>Mie</v>
      </c>
      <c r="D735">
        <v>1043143</v>
      </c>
      <c r="E735" t="str">
        <f>IFERROR(+VLOOKUP(Movimientos_2026[[#This Row],[Codigo]],Plan_cuentas[],2,FALSE)," ")</f>
        <v>INGRESOS</v>
      </c>
      <c r="F735" t="str">
        <f>IFERROR(+VLOOKUP(Movimientos_2026[[#This Row],[Codigo]],Plan_cuentas[],3,FALSE)," ")</f>
        <v>Transferencia</v>
      </c>
      <c r="G735" t="str">
        <f>IFERROR(+VLOOKUP(Movimientos_2026[[#This Row],[Codigo]],Plan_cuentas[],4,FALSE)," ")</f>
        <v>Registración</v>
      </c>
      <c r="H735" t="str">
        <f>IFERROR(+VLOOKUP(Movimientos_2026[[#This Row],[Codigo]],Plan_cuentas[],5,FALSE)," ")</f>
        <v>BUENOS AIRES</v>
      </c>
      <c r="I735" s="43">
        <v>46023</v>
      </c>
      <c r="J735" t="s">
        <v>328</v>
      </c>
      <c r="K735" t="str">
        <f>IFERROR(+VLOOKUP(Movimientos_2026[[#This Row],[Codigo]],Plan_cuentas[],6,FALSE)," ")</f>
        <v>3 - GM - Chevrolet</v>
      </c>
      <c r="L735" s="50">
        <v>316487093.139</v>
      </c>
      <c r="M735" s="52"/>
      <c r="N735" s="20">
        <f>+Movimientos_2026[[#This Row],[Ingresos]]-Movimientos_2026[[#This Row],[Egresos]]</f>
        <v>316487093.139</v>
      </c>
      <c r="O735" s="20">
        <f>+O734+Movimientos_2026[[#This Row],[Neto]]</f>
        <v>4736726484.1419792</v>
      </c>
    </row>
    <row r="736" spans="1:15" x14ac:dyDescent="0.25">
      <c r="A736" s="13">
        <v>46078</v>
      </c>
      <c r="B736" s="12">
        <f>MONTH(Movimientos_2026[[#This Row],[Fecha]])</f>
        <v>2</v>
      </c>
      <c r="C736" s="12" t="str">
        <f>VLOOKUP((WEEKDAY(Movimientos_2026[[#This Row],[Fecha]],2)),'5. Setup'!$D$6:$E$12,2,FALSE)</f>
        <v>Mie</v>
      </c>
      <c r="D736">
        <v>1043151</v>
      </c>
      <c r="E736" t="str">
        <f>IFERROR(+VLOOKUP(Movimientos_2026[[#This Row],[Codigo]],Plan_cuentas[],2,FALSE)," ")</f>
        <v>INGRESOS</v>
      </c>
      <c r="F736" t="str">
        <f>IFERROR(+VLOOKUP(Movimientos_2026[[#This Row],[Codigo]],Plan_cuentas[],3,FALSE)," ")</f>
        <v>Transferencia</v>
      </c>
      <c r="G736" t="str">
        <f>IFERROR(+VLOOKUP(Movimientos_2026[[#This Row],[Codigo]],Plan_cuentas[],4,FALSE)," ")</f>
        <v>Registración</v>
      </c>
      <c r="H736" t="str">
        <f>IFERROR(+VLOOKUP(Movimientos_2026[[#This Row],[Codigo]],Plan_cuentas[],5,FALSE)," ")</f>
        <v>CABA</v>
      </c>
      <c r="I736" s="43">
        <v>46023</v>
      </c>
      <c r="J736" t="s">
        <v>329</v>
      </c>
      <c r="K736" t="str">
        <f>IFERROR(+VLOOKUP(Movimientos_2026[[#This Row],[Codigo]],Plan_cuentas[],6,FALSE)," ")</f>
        <v>1 - VW - Volkswagen</v>
      </c>
      <c r="L736" s="50">
        <v>41653445.700000003</v>
      </c>
      <c r="M736" s="52"/>
      <c r="N736" s="20">
        <f>+Movimientos_2026[[#This Row],[Ingresos]]-Movimientos_2026[[#This Row],[Egresos]]</f>
        <v>41653445.700000003</v>
      </c>
      <c r="O736" s="20">
        <f>+O735+Movimientos_2026[[#This Row],[Neto]]</f>
        <v>4778379929.841979</v>
      </c>
    </row>
    <row r="737" spans="1:15" x14ac:dyDescent="0.25">
      <c r="A737" s="13">
        <v>46078</v>
      </c>
      <c r="B737" s="12">
        <f>MONTH(Movimientos_2026[[#This Row],[Fecha]])</f>
        <v>2</v>
      </c>
      <c r="C737" s="12" t="str">
        <f>VLOOKUP((WEEKDAY(Movimientos_2026[[#This Row],[Fecha]],2)),'5. Setup'!$D$6:$E$12,2,FALSE)</f>
        <v>Mie</v>
      </c>
      <c r="D737">
        <v>1043221</v>
      </c>
      <c r="E737" t="str">
        <f>IFERROR(+VLOOKUP(Movimientos_2026[[#This Row],[Codigo]],Plan_cuentas[],2,FALSE)," ")</f>
        <v>INGRESOS</v>
      </c>
      <c r="F737" t="str">
        <f>IFERROR(+VLOOKUP(Movimientos_2026[[#This Row],[Codigo]],Plan_cuentas[],3,FALSE)," ")</f>
        <v>Transferencia</v>
      </c>
      <c r="G737" t="str">
        <f>IFERROR(+VLOOKUP(Movimientos_2026[[#This Row],[Codigo]],Plan_cuentas[],4,FALSE)," ")</f>
        <v>Registración</v>
      </c>
      <c r="H737" t="str">
        <f>IFERROR(+VLOOKUP(Movimientos_2026[[#This Row],[Codigo]],Plan_cuentas[],5,FALSE)," ")</f>
        <v>ENTRE RIOS 1° Q</v>
      </c>
      <c r="I737" s="43">
        <v>46023</v>
      </c>
      <c r="J737" t="s">
        <v>329</v>
      </c>
      <c r="K737" t="str">
        <f>IFERROR(+VLOOKUP(Movimientos_2026[[#This Row],[Codigo]],Plan_cuentas[],6,FALSE)," ")</f>
        <v>1 - VW - Volkswagen</v>
      </c>
      <c r="L737" s="50">
        <v>363913.5</v>
      </c>
      <c r="M737" s="52"/>
      <c r="N737" s="20">
        <f>+Movimientos_2026[[#This Row],[Ingresos]]-Movimientos_2026[[#This Row],[Egresos]]</f>
        <v>363913.5</v>
      </c>
      <c r="O737" s="20">
        <f>+O736+Movimientos_2026[[#This Row],[Neto]]</f>
        <v>4778743843.341979</v>
      </c>
    </row>
    <row r="738" spans="1:15" x14ac:dyDescent="0.25">
      <c r="A738" s="13">
        <v>46078</v>
      </c>
      <c r="B738" s="12">
        <f>MONTH(Movimientos_2026[[#This Row],[Fecha]])</f>
        <v>2</v>
      </c>
      <c r="C738" s="12" t="str">
        <f>VLOOKUP((WEEKDAY(Movimientos_2026[[#This Row],[Fecha]],2)),'5. Setup'!$D$6:$E$12,2,FALSE)</f>
        <v>Mie</v>
      </c>
      <c r="D738">
        <v>1043231</v>
      </c>
      <c r="E738" t="str">
        <f>IFERROR(+VLOOKUP(Movimientos_2026[[#This Row],[Codigo]],Plan_cuentas[],2,FALSE)," ")</f>
        <v>INGRESOS</v>
      </c>
      <c r="F738" t="str">
        <f>IFERROR(+VLOOKUP(Movimientos_2026[[#This Row],[Codigo]],Plan_cuentas[],3,FALSE)," ")</f>
        <v>Transferencia</v>
      </c>
      <c r="G738" t="str">
        <f>IFERROR(+VLOOKUP(Movimientos_2026[[#This Row],[Codigo]],Plan_cuentas[],4,FALSE)," ")</f>
        <v>Registración</v>
      </c>
      <c r="H738" t="str">
        <f>IFERROR(+VLOOKUP(Movimientos_2026[[#This Row],[Codigo]],Plan_cuentas[],5,FALSE)," ")</f>
        <v>ENTRE RIOS 2° Q</v>
      </c>
      <c r="I738" s="43">
        <v>46023</v>
      </c>
      <c r="J738" t="s">
        <v>329</v>
      </c>
      <c r="K738" t="str">
        <f>IFERROR(+VLOOKUP(Movimientos_2026[[#This Row],[Codigo]],Plan_cuentas[],6,FALSE)," ")</f>
        <v>1 - VW - Volkswagen</v>
      </c>
      <c r="L738" s="50">
        <v>10684266.5</v>
      </c>
      <c r="M738" s="52"/>
      <c r="N738" s="20">
        <f>+Movimientos_2026[[#This Row],[Ingresos]]-Movimientos_2026[[#This Row],[Egresos]]</f>
        <v>10684266.5</v>
      </c>
      <c r="O738" s="20">
        <f>+O737+Movimientos_2026[[#This Row],[Neto]]</f>
        <v>4789428109.841979</v>
      </c>
    </row>
    <row r="739" spans="1:15" x14ac:dyDescent="0.25">
      <c r="A739" s="13">
        <v>46078</v>
      </c>
      <c r="B739" s="12">
        <f>MONTH(Movimientos_2026[[#This Row],[Fecha]])</f>
        <v>2</v>
      </c>
      <c r="C739" s="12" t="str">
        <f>VLOOKUP((WEEKDAY(Movimientos_2026[[#This Row],[Fecha]],2)),'5. Setup'!$D$6:$E$12,2,FALSE)</f>
        <v>Mie</v>
      </c>
      <c r="D739">
        <v>1043341</v>
      </c>
      <c r="E739" t="str">
        <f>IFERROR(+VLOOKUP(Movimientos_2026[[#This Row],[Codigo]],Plan_cuentas[],2,FALSE)," ")</f>
        <v>INGRESOS</v>
      </c>
      <c r="F739" t="str">
        <f>IFERROR(+VLOOKUP(Movimientos_2026[[#This Row],[Codigo]],Plan_cuentas[],3,FALSE)," ")</f>
        <v>Transferencia</v>
      </c>
      <c r="G739" t="str">
        <f>IFERROR(+VLOOKUP(Movimientos_2026[[#This Row],[Codigo]],Plan_cuentas[],4,FALSE)," ")</f>
        <v>Registración</v>
      </c>
      <c r="H739" t="str">
        <f>IFERROR(+VLOOKUP(Movimientos_2026[[#This Row],[Codigo]],Plan_cuentas[],5,FALSE)," ")</f>
        <v>RIO NEGRO</v>
      </c>
      <c r="I739" s="43">
        <v>46023</v>
      </c>
      <c r="J739" t="s">
        <v>329</v>
      </c>
      <c r="K739" t="str">
        <f>IFERROR(+VLOOKUP(Movimientos_2026[[#This Row],[Codigo]],Plan_cuentas[],6,FALSE)," ")</f>
        <v>1 - VW - Volkswagen</v>
      </c>
      <c r="L739" s="50">
        <v>25799966.82</v>
      </c>
      <c r="M739" s="52"/>
      <c r="N739" s="20">
        <f>+Movimientos_2026[[#This Row],[Ingresos]]-Movimientos_2026[[#This Row],[Egresos]]</f>
        <v>25799966.82</v>
      </c>
      <c r="O739" s="20">
        <f>+O738+Movimientos_2026[[#This Row],[Neto]]</f>
        <v>4815228076.6619787</v>
      </c>
    </row>
    <row r="740" spans="1:15" x14ac:dyDescent="0.25">
      <c r="A740" s="13">
        <v>46078</v>
      </c>
      <c r="B740" s="12">
        <f>MONTH(Movimientos_2026[[#This Row],[Fecha]])</f>
        <v>2</v>
      </c>
      <c r="C740" s="12" t="str">
        <f>VLOOKUP((WEEKDAY(Movimientos_2026[[#This Row],[Fecha]],2)),'5. Setup'!$D$6:$E$12,2,FALSE)</f>
        <v>Mie</v>
      </c>
      <c r="D740">
        <v>1044161</v>
      </c>
      <c r="E740" t="str">
        <f>IFERROR(+VLOOKUP(Movimientos_2026[[#This Row],[Codigo]],Plan_cuentas[],2,FALSE)," ")</f>
        <v>INGRESOS</v>
      </c>
      <c r="F740" t="str">
        <f>IFERROR(+VLOOKUP(Movimientos_2026[[#This Row],[Codigo]],Plan_cuentas[],3,FALSE)," ")</f>
        <v>Transferencia</v>
      </c>
      <c r="G740" t="str">
        <f>IFERROR(+VLOOKUP(Movimientos_2026[[#This Row],[Codigo]],Plan_cuentas[],4,FALSE)," ")</f>
        <v>Rentas</v>
      </c>
      <c r="H740" t="str">
        <f>IFERROR(+VLOOKUP(Movimientos_2026[[#This Row],[Codigo]],Plan_cuentas[],5,FALSE)," ")</f>
        <v>CHACO</v>
      </c>
      <c r="I740" s="43">
        <v>46023</v>
      </c>
      <c r="J740" t="s">
        <v>329</v>
      </c>
      <c r="K740" t="str">
        <f>IFERROR(+VLOOKUP(Movimientos_2026[[#This Row],[Codigo]],Plan_cuentas[],6,FALSE)," ")</f>
        <v>1 - VW - Volkswagen</v>
      </c>
      <c r="L740" s="50">
        <v>17265101</v>
      </c>
      <c r="M740" s="52"/>
      <c r="N740" s="20">
        <f>+Movimientos_2026[[#This Row],[Ingresos]]-Movimientos_2026[[#This Row],[Egresos]]</f>
        <v>17265101</v>
      </c>
      <c r="O740" s="20">
        <f>+O739+Movimientos_2026[[#This Row],[Neto]]</f>
        <v>4832493177.6619787</v>
      </c>
    </row>
    <row r="741" spans="1:15" x14ac:dyDescent="0.25">
      <c r="A741" s="13">
        <v>46078</v>
      </c>
      <c r="B741" s="12">
        <f>MONTH(Movimientos_2026[[#This Row],[Fecha]])</f>
        <v>2</v>
      </c>
      <c r="C741" s="12" t="str">
        <f>VLOOKUP((WEEKDAY(Movimientos_2026[[#This Row],[Fecha]],2)),'5. Setup'!$D$6:$E$12,2,FALSE)</f>
        <v>Mie</v>
      </c>
      <c r="D741">
        <v>1044171</v>
      </c>
      <c r="E741" t="str">
        <f>IFERROR(+VLOOKUP(Movimientos_2026[[#This Row],[Codigo]],Plan_cuentas[],2,FALSE)," ")</f>
        <v>INGRESOS</v>
      </c>
      <c r="F741" t="str">
        <f>IFERROR(+VLOOKUP(Movimientos_2026[[#This Row],[Codigo]],Plan_cuentas[],3,FALSE)," ")</f>
        <v>Transferencia</v>
      </c>
      <c r="G741" t="str">
        <f>IFERROR(+VLOOKUP(Movimientos_2026[[#This Row],[Codigo]],Plan_cuentas[],4,FALSE)," ")</f>
        <v>Rentas</v>
      </c>
      <c r="H741" t="str">
        <f>IFERROR(+VLOOKUP(Movimientos_2026[[#This Row],[Codigo]],Plan_cuentas[],5,FALSE)," ")</f>
        <v>CHUBUT</v>
      </c>
      <c r="I741" s="43">
        <v>46023</v>
      </c>
      <c r="J741" t="s">
        <v>329</v>
      </c>
      <c r="K741" t="str">
        <f>IFERROR(+VLOOKUP(Movimientos_2026[[#This Row],[Codigo]],Plan_cuentas[],6,FALSE)," ")</f>
        <v>1 - VW - Volkswagen</v>
      </c>
      <c r="L741" s="50">
        <v>8105268.75</v>
      </c>
      <c r="M741" s="52"/>
      <c r="N741" s="20">
        <f>+Movimientos_2026[[#This Row],[Ingresos]]-Movimientos_2026[[#This Row],[Egresos]]</f>
        <v>8105268.75</v>
      </c>
      <c r="O741" s="20">
        <f>+O740+Movimientos_2026[[#This Row],[Neto]]</f>
        <v>4840598446.4119787</v>
      </c>
    </row>
    <row r="742" spans="1:15" x14ac:dyDescent="0.25">
      <c r="A742" s="13">
        <v>46078</v>
      </c>
      <c r="B742" s="12">
        <f>MONTH(Movimientos_2026[[#This Row],[Fecha]])</f>
        <v>2</v>
      </c>
      <c r="C742" s="12" t="str">
        <f>VLOOKUP((WEEKDAY(Movimientos_2026[[#This Row],[Fecha]],2)),'5. Setup'!$D$6:$E$12,2,FALSE)</f>
        <v>Mie</v>
      </c>
      <c r="D742">
        <v>1044211</v>
      </c>
      <c r="E742" t="str">
        <f>IFERROR(+VLOOKUP(Movimientos_2026[[#This Row],[Codigo]],Plan_cuentas[],2,FALSE)," ")</f>
        <v>INGRESOS</v>
      </c>
      <c r="F742" t="str">
        <f>IFERROR(+VLOOKUP(Movimientos_2026[[#This Row],[Codigo]],Plan_cuentas[],3,FALSE)," ")</f>
        <v>Transferencia</v>
      </c>
      <c r="G742" t="str">
        <f>IFERROR(+VLOOKUP(Movimientos_2026[[#This Row],[Codigo]],Plan_cuentas[],4,FALSE)," ")</f>
        <v>Rentas</v>
      </c>
      <c r="H742" t="str">
        <f>IFERROR(+VLOOKUP(Movimientos_2026[[#This Row],[Codigo]],Plan_cuentas[],5,FALSE)," ")</f>
        <v>CORRIENTES 2° Q</v>
      </c>
      <c r="I742" s="43">
        <v>46023</v>
      </c>
      <c r="J742" t="s">
        <v>329</v>
      </c>
      <c r="K742" t="str">
        <f>IFERROR(+VLOOKUP(Movimientos_2026[[#This Row],[Codigo]],Plan_cuentas[],6,FALSE)," ")</f>
        <v>1 - VW - Volkswagen</v>
      </c>
      <c r="L742" s="50">
        <v>10691199</v>
      </c>
      <c r="M742" s="50"/>
      <c r="N742" s="20">
        <f>+Movimientos_2026[[#This Row],[Ingresos]]-Movimientos_2026[[#This Row],[Egresos]]</f>
        <v>10691199</v>
      </c>
      <c r="O742" s="20">
        <f>+O741+Movimientos_2026[[#This Row],[Neto]]</f>
        <v>4851289645.4119787</v>
      </c>
    </row>
    <row r="743" spans="1:15" x14ac:dyDescent="0.25">
      <c r="A743" s="13">
        <v>46078</v>
      </c>
      <c r="B743" s="12">
        <f>MONTH(Movimientos_2026[[#This Row],[Fecha]])</f>
        <v>2</v>
      </c>
      <c r="C743" s="12" t="str">
        <f>VLOOKUP((WEEKDAY(Movimientos_2026[[#This Row],[Fecha]],2)),'5. Setup'!$D$6:$E$12,2,FALSE)</f>
        <v>Mie</v>
      </c>
      <c r="D743">
        <v>1044241</v>
      </c>
      <c r="E743" t="str">
        <f>IFERROR(+VLOOKUP(Movimientos_2026[[#This Row],[Codigo]],Plan_cuentas[],2,FALSE)," ")</f>
        <v>INGRESOS</v>
      </c>
      <c r="F743" t="str">
        <f>IFERROR(+VLOOKUP(Movimientos_2026[[#This Row],[Codigo]],Plan_cuentas[],3,FALSE)," ")</f>
        <v>Transferencia</v>
      </c>
      <c r="G743" t="str">
        <f>IFERROR(+VLOOKUP(Movimientos_2026[[#This Row],[Codigo]],Plan_cuentas[],4,FALSE)," ")</f>
        <v>Rentas</v>
      </c>
      <c r="H743" t="str">
        <f>IFERROR(+VLOOKUP(Movimientos_2026[[#This Row],[Codigo]],Plan_cuentas[],5,FALSE)," ")</f>
        <v>FORMOSA</v>
      </c>
      <c r="I743" s="43">
        <v>46023</v>
      </c>
      <c r="J743" t="s">
        <v>329</v>
      </c>
      <c r="K743" t="str">
        <f>IFERROR(+VLOOKUP(Movimientos_2026[[#This Row],[Codigo]],Plan_cuentas[],6,FALSE)," ")</f>
        <v>1 - VW - Volkswagen</v>
      </c>
      <c r="L743" s="50">
        <v>2937963.5</v>
      </c>
      <c r="M743" s="50"/>
      <c r="N743" s="20">
        <f>+Movimientos_2026[[#This Row],[Ingresos]]-Movimientos_2026[[#This Row],[Egresos]]</f>
        <v>2937963.5</v>
      </c>
      <c r="O743" s="20">
        <f>+O742+Movimientos_2026[[#This Row],[Neto]]</f>
        <v>4854227608.9119787</v>
      </c>
    </row>
    <row r="744" spans="1:15" x14ac:dyDescent="0.25">
      <c r="A744" s="13">
        <v>46078</v>
      </c>
      <c r="B744" s="12">
        <f>MONTH(Movimientos_2026[[#This Row],[Fecha]])</f>
        <v>2</v>
      </c>
      <c r="C744" s="12" t="str">
        <f>VLOOKUP((WEEKDAY(Movimientos_2026[[#This Row],[Fecha]],2)),'5. Setup'!$D$6:$E$12,2,FALSE)</f>
        <v>Mie</v>
      </c>
      <c r="D744">
        <v>1044261</v>
      </c>
      <c r="E744" t="str">
        <f>IFERROR(+VLOOKUP(Movimientos_2026[[#This Row],[Codigo]],Plan_cuentas[],2,FALSE)," ")</f>
        <v>INGRESOS</v>
      </c>
      <c r="F744" t="str">
        <f>IFERROR(+VLOOKUP(Movimientos_2026[[#This Row],[Codigo]],Plan_cuentas[],3,FALSE)," ")</f>
        <v>Transferencia</v>
      </c>
      <c r="G744" t="str">
        <f>IFERROR(+VLOOKUP(Movimientos_2026[[#This Row],[Codigo]],Plan_cuentas[],4,FALSE)," ")</f>
        <v>Rentas</v>
      </c>
      <c r="H744" t="str">
        <f>IFERROR(+VLOOKUP(Movimientos_2026[[#This Row],[Codigo]],Plan_cuentas[],5,FALSE)," ")</f>
        <v>LA PAMPA</v>
      </c>
      <c r="I744" s="43">
        <v>46023</v>
      </c>
      <c r="J744" t="s">
        <v>329</v>
      </c>
      <c r="K744" t="str">
        <f>IFERROR(+VLOOKUP(Movimientos_2026[[#This Row],[Codigo]],Plan_cuentas[],6,FALSE)," ")</f>
        <v>1 - VW - Volkswagen</v>
      </c>
      <c r="L744" s="50">
        <v>3468339</v>
      </c>
      <c r="M744" s="50"/>
      <c r="N744" s="20">
        <f>+Movimientos_2026[[#This Row],[Ingresos]]-Movimientos_2026[[#This Row],[Egresos]]</f>
        <v>3468339</v>
      </c>
      <c r="O744" s="20">
        <f>+O743+Movimientos_2026[[#This Row],[Neto]]</f>
        <v>4857695947.9119787</v>
      </c>
    </row>
    <row r="745" spans="1:15" x14ac:dyDescent="0.25">
      <c r="A745" s="13">
        <v>46078</v>
      </c>
      <c r="B745" s="12">
        <f>MONTH(Movimientos_2026[[#This Row],[Fecha]])</f>
        <v>2</v>
      </c>
      <c r="C745" s="12" t="str">
        <f>VLOOKUP((WEEKDAY(Movimientos_2026[[#This Row],[Fecha]],2)),'5. Setup'!$D$6:$E$12,2,FALSE)</f>
        <v>Mie</v>
      </c>
      <c r="D745">
        <v>1044271</v>
      </c>
      <c r="E745" t="str">
        <f>IFERROR(+VLOOKUP(Movimientos_2026[[#This Row],[Codigo]],Plan_cuentas[],2,FALSE)," ")</f>
        <v>INGRESOS</v>
      </c>
      <c r="F745" t="str">
        <f>IFERROR(+VLOOKUP(Movimientos_2026[[#This Row],[Codigo]],Plan_cuentas[],3,FALSE)," ")</f>
        <v>Transferencia</v>
      </c>
      <c r="G745" t="str">
        <f>IFERROR(+VLOOKUP(Movimientos_2026[[#This Row],[Codigo]],Plan_cuentas[],4,FALSE)," ")</f>
        <v>Rentas</v>
      </c>
      <c r="H745" t="str">
        <f>IFERROR(+VLOOKUP(Movimientos_2026[[#This Row],[Codigo]],Plan_cuentas[],5,FALSE)," ")</f>
        <v>LA RIOJA</v>
      </c>
      <c r="I745" s="43">
        <v>46023</v>
      </c>
      <c r="J745" t="s">
        <v>329</v>
      </c>
      <c r="K745" t="str">
        <f>IFERROR(+VLOOKUP(Movimientos_2026[[#This Row],[Codigo]],Plan_cuentas[],6,FALSE)," ")</f>
        <v>1 - VW - Volkswagen</v>
      </c>
      <c r="L745" s="50">
        <v>9772845</v>
      </c>
      <c r="M745" s="50"/>
      <c r="N745" s="20">
        <f>+Movimientos_2026[[#This Row],[Ingresos]]-Movimientos_2026[[#This Row],[Egresos]]</f>
        <v>9772845</v>
      </c>
      <c r="O745" s="20">
        <f>+O744+Movimientos_2026[[#This Row],[Neto]]</f>
        <v>4867468792.9119787</v>
      </c>
    </row>
    <row r="746" spans="1:15" x14ac:dyDescent="0.25">
      <c r="A746" s="13">
        <v>46078</v>
      </c>
      <c r="B746" s="12">
        <f>MONTH(Movimientos_2026[[#This Row],[Fecha]])</f>
        <v>2</v>
      </c>
      <c r="C746" s="12" t="str">
        <f>VLOOKUP((WEEKDAY(Movimientos_2026[[#This Row],[Fecha]],2)),'5. Setup'!$D$6:$E$12,2,FALSE)</f>
        <v>Mie</v>
      </c>
      <c r="D746">
        <v>1044281</v>
      </c>
      <c r="E746" t="str">
        <f>IFERROR(+VLOOKUP(Movimientos_2026[[#This Row],[Codigo]],Plan_cuentas[],2,FALSE)," ")</f>
        <v>INGRESOS</v>
      </c>
      <c r="F746" t="str">
        <f>IFERROR(+VLOOKUP(Movimientos_2026[[#This Row],[Codigo]],Plan_cuentas[],3,FALSE)," ")</f>
        <v>Transferencia</v>
      </c>
      <c r="G746" t="str">
        <f>IFERROR(+VLOOKUP(Movimientos_2026[[#This Row],[Codigo]],Plan_cuentas[],4,FALSE)," ")</f>
        <v>Rentas</v>
      </c>
      <c r="H746" t="str">
        <f>IFERROR(+VLOOKUP(Movimientos_2026[[#This Row],[Codigo]],Plan_cuentas[],5,FALSE)," ")</f>
        <v>MENDOZA</v>
      </c>
      <c r="I746" s="43">
        <v>46023</v>
      </c>
      <c r="J746" t="s">
        <v>329</v>
      </c>
      <c r="K746" t="str">
        <f>IFERROR(+VLOOKUP(Movimientos_2026[[#This Row],[Codigo]],Plan_cuentas[],6,FALSE)," ")</f>
        <v>1 - VW - Volkswagen</v>
      </c>
      <c r="L746" s="50">
        <v>21512533</v>
      </c>
      <c r="M746" s="50"/>
      <c r="N746" s="20">
        <f>+Movimientos_2026[[#This Row],[Ingresos]]-Movimientos_2026[[#This Row],[Egresos]]</f>
        <v>21512533</v>
      </c>
      <c r="O746" s="20">
        <f>+O745+Movimientos_2026[[#This Row],[Neto]]</f>
        <v>4888981325.9119787</v>
      </c>
    </row>
    <row r="747" spans="1:15" x14ac:dyDescent="0.25">
      <c r="A747" s="13">
        <v>46078</v>
      </c>
      <c r="B747" s="12">
        <f>MONTH(Movimientos_2026[[#This Row],[Fecha]])</f>
        <v>2</v>
      </c>
      <c r="C747" s="12" t="str">
        <f>VLOOKUP((WEEKDAY(Movimientos_2026[[#This Row],[Fecha]],2)),'5. Setup'!$D$6:$E$12,2,FALSE)</f>
        <v>Mie</v>
      </c>
      <c r="D747">
        <v>1044461</v>
      </c>
      <c r="E747" t="str">
        <f>IFERROR(+VLOOKUP(Movimientos_2026[[#This Row],[Codigo]],Plan_cuentas[],2,FALSE)," ")</f>
        <v>INGRESOS</v>
      </c>
      <c r="F747" t="str">
        <f>IFERROR(+VLOOKUP(Movimientos_2026[[#This Row],[Codigo]],Plan_cuentas[],3,FALSE)," ")</f>
        <v>Transferencia</v>
      </c>
      <c r="G747" t="str">
        <f>IFERROR(+VLOOKUP(Movimientos_2026[[#This Row],[Codigo]],Plan_cuentas[],4,FALSE)," ")</f>
        <v>Rentas</v>
      </c>
      <c r="H747" t="str">
        <f>IFERROR(+VLOOKUP(Movimientos_2026[[#This Row],[Codigo]],Plan_cuentas[],5,FALSE)," ")</f>
        <v>MISIONES</v>
      </c>
      <c r="I747" s="43">
        <v>46023</v>
      </c>
      <c r="J747" t="s">
        <v>329</v>
      </c>
      <c r="K747" t="str">
        <f>IFERROR(+VLOOKUP(Movimientos_2026[[#This Row],[Codigo]],Plan_cuentas[],6,FALSE)," ")</f>
        <v>1 - VW - Volkswagen</v>
      </c>
      <c r="L747" s="50">
        <v>1712189.4802458959</v>
      </c>
      <c r="M747" s="50"/>
      <c r="N747" s="20">
        <f>+Movimientos_2026[[#This Row],[Ingresos]]-Movimientos_2026[[#This Row],[Egresos]]</f>
        <v>1712189.4802458959</v>
      </c>
      <c r="O747" s="20">
        <f>+O746+Movimientos_2026[[#This Row],[Neto]]</f>
        <v>4890693515.3922243</v>
      </c>
    </row>
    <row r="748" spans="1:15" x14ac:dyDescent="0.25">
      <c r="A748" s="13">
        <v>46078</v>
      </c>
      <c r="B748" s="12">
        <f>MONTH(Movimientos_2026[[#This Row],[Fecha]])</f>
        <v>2</v>
      </c>
      <c r="C748" s="12" t="str">
        <f>VLOOKUP((WEEKDAY(Movimientos_2026[[#This Row],[Fecha]],2)),'5. Setup'!$D$6:$E$12,2,FALSE)</f>
        <v>Mie</v>
      </c>
      <c r="D748">
        <v>1044321</v>
      </c>
      <c r="E748" t="str">
        <f>IFERROR(+VLOOKUP(Movimientos_2026[[#This Row],[Codigo]],Plan_cuentas[],2,FALSE)," ")</f>
        <v>INGRESOS</v>
      </c>
      <c r="F748" t="str">
        <f>IFERROR(+VLOOKUP(Movimientos_2026[[#This Row],[Codigo]],Plan_cuentas[],3,FALSE)," ")</f>
        <v>Transferencia</v>
      </c>
      <c r="G748" t="str">
        <f>IFERROR(+VLOOKUP(Movimientos_2026[[#This Row],[Codigo]],Plan_cuentas[],4,FALSE)," ")</f>
        <v>Rentas</v>
      </c>
      <c r="H748" t="str">
        <f>IFERROR(+VLOOKUP(Movimientos_2026[[#This Row],[Codigo]],Plan_cuentas[],5,FALSE)," ")</f>
        <v>NEUQUEN 2° Q</v>
      </c>
      <c r="I748" s="43">
        <v>46023</v>
      </c>
      <c r="J748" t="s">
        <v>329</v>
      </c>
      <c r="K748" t="str">
        <f>IFERROR(+VLOOKUP(Movimientos_2026[[#This Row],[Codigo]],Plan_cuentas[],6,FALSE)," ")</f>
        <v>1 - VW - Volkswagen</v>
      </c>
      <c r="L748" s="50">
        <v>28441120.5</v>
      </c>
      <c r="M748" s="50"/>
      <c r="N748" s="20">
        <f>+Movimientos_2026[[#This Row],[Ingresos]]-Movimientos_2026[[#This Row],[Egresos]]</f>
        <v>28441120.5</v>
      </c>
      <c r="O748" s="20">
        <f>+O747+Movimientos_2026[[#This Row],[Neto]]</f>
        <v>4919134635.8922243</v>
      </c>
    </row>
    <row r="749" spans="1:15" x14ac:dyDescent="0.25">
      <c r="A749" s="13">
        <v>46078</v>
      </c>
      <c r="B749" s="12">
        <f>MONTH(Movimientos_2026[[#This Row],[Fecha]])</f>
        <v>2</v>
      </c>
      <c r="C749" s="12" t="str">
        <f>VLOOKUP((WEEKDAY(Movimientos_2026[[#This Row],[Fecha]],2)),'5. Setup'!$D$6:$E$12,2,FALSE)</f>
        <v>Mie</v>
      </c>
      <c r="D749">
        <v>1044351</v>
      </c>
      <c r="E749" t="str">
        <f>IFERROR(+VLOOKUP(Movimientos_2026[[#This Row],[Codigo]],Plan_cuentas[],2,FALSE)," ")</f>
        <v>INGRESOS</v>
      </c>
      <c r="F749" t="str">
        <f>IFERROR(+VLOOKUP(Movimientos_2026[[#This Row],[Codigo]],Plan_cuentas[],3,FALSE)," ")</f>
        <v>Transferencia</v>
      </c>
      <c r="G749" t="str">
        <f>IFERROR(+VLOOKUP(Movimientos_2026[[#This Row],[Codigo]],Plan_cuentas[],4,FALSE)," ")</f>
        <v>Rentas</v>
      </c>
      <c r="H749" t="str">
        <f>IFERROR(+VLOOKUP(Movimientos_2026[[#This Row],[Codigo]],Plan_cuentas[],5,FALSE)," ")</f>
        <v>SAN JUAN</v>
      </c>
      <c r="I749" s="43">
        <v>46023</v>
      </c>
      <c r="J749" t="s">
        <v>329</v>
      </c>
      <c r="K749" t="str">
        <f>IFERROR(+VLOOKUP(Movimientos_2026[[#This Row],[Codigo]],Plan_cuentas[],6,FALSE)," ")</f>
        <v>1 - VW - Volkswagen</v>
      </c>
      <c r="L749" s="50">
        <v>2136503.04</v>
      </c>
      <c r="M749" s="50"/>
      <c r="N749" s="20">
        <f>+Movimientos_2026[[#This Row],[Ingresos]]-Movimientos_2026[[#This Row],[Egresos]]</f>
        <v>2136503.04</v>
      </c>
      <c r="O749" s="20">
        <f>+O748+Movimientos_2026[[#This Row],[Neto]]</f>
        <v>4921271138.9322243</v>
      </c>
    </row>
    <row r="750" spans="1:15" x14ac:dyDescent="0.25">
      <c r="A750" s="13">
        <v>46078</v>
      </c>
      <c r="B750" s="12">
        <f>MONTH(Movimientos_2026[[#This Row],[Fecha]])</f>
        <v>2</v>
      </c>
      <c r="C750" s="12" t="str">
        <f>VLOOKUP((WEEKDAY(Movimientos_2026[[#This Row],[Fecha]],2)),'5. Setup'!$D$6:$E$12,2,FALSE)</f>
        <v>Mie</v>
      </c>
      <c r="D750">
        <v>1044361</v>
      </c>
      <c r="E750" t="str">
        <f>IFERROR(+VLOOKUP(Movimientos_2026[[#This Row],[Codigo]],Plan_cuentas[],2,FALSE)," ")</f>
        <v>INGRESOS</v>
      </c>
      <c r="F750" t="str">
        <f>IFERROR(+VLOOKUP(Movimientos_2026[[#This Row],[Codigo]],Plan_cuentas[],3,FALSE)," ")</f>
        <v>Transferencia</v>
      </c>
      <c r="G750" t="str">
        <f>IFERROR(+VLOOKUP(Movimientos_2026[[#This Row],[Codigo]],Plan_cuentas[],4,FALSE)," ")</f>
        <v>Rentas</v>
      </c>
      <c r="H750" t="str">
        <f>IFERROR(+VLOOKUP(Movimientos_2026[[#This Row],[Codigo]],Plan_cuentas[],5,FALSE)," ")</f>
        <v>SAN LUIS</v>
      </c>
      <c r="I750" s="43">
        <v>46023</v>
      </c>
      <c r="J750" t="s">
        <v>329</v>
      </c>
      <c r="K750" t="str">
        <f>IFERROR(+VLOOKUP(Movimientos_2026[[#This Row],[Codigo]],Plan_cuentas[],6,FALSE)," ")</f>
        <v>1 - VW - Volkswagen</v>
      </c>
      <c r="L750" s="50">
        <v>10221930</v>
      </c>
      <c r="M750" s="50"/>
      <c r="N750" s="20">
        <f>+Movimientos_2026[[#This Row],[Ingresos]]-Movimientos_2026[[#This Row],[Egresos]]</f>
        <v>10221930</v>
      </c>
      <c r="O750" s="20">
        <f>+O749+Movimientos_2026[[#This Row],[Neto]]</f>
        <v>4931493068.9322243</v>
      </c>
    </row>
    <row r="751" spans="1:15" x14ac:dyDescent="0.25">
      <c r="A751" s="13">
        <v>46078</v>
      </c>
      <c r="B751" s="12">
        <f>MONTH(Movimientos_2026[[#This Row],[Fecha]])</f>
        <v>2</v>
      </c>
      <c r="C751" s="12" t="str">
        <f>VLOOKUP((WEEKDAY(Movimientos_2026[[#This Row],[Fecha]],2)),'5. Setup'!$D$6:$E$12,2,FALSE)</f>
        <v>Mie</v>
      </c>
      <c r="D751">
        <v>1044371</v>
      </c>
      <c r="E751" t="str">
        <f>IFERROR(+VLOOKUP(Movimientos_2026[[#This Row],[Codigo]],Plan_cuentas[],2,FALSE)," ")</f>
        <v>INGRESOS</v>
      </c>
      <c r="F751" t="str">
        <f>IFERROR(+VLOOKUP(Movimientos_2026[[#This Row],[Codigo]],Plan_cuentas[],3,FALSE)," ")</f>
        <v>Transferencia</v>
      </c>
      <c r="G751" t="str">
        <f>IFERROR(+VLOOKUP(Movimientos_2026[[#This Row],[Codigo]],Plan_cuentas[],4,FALSE)," ")</f>
        <v>Rentas</v>
      </c>
      <c r="H751" t="str">
        <f>IFERROR(+VLOOKUP(Movimientos_2026[[#This Row],[Codigo]],Plan_cuentas[],5,FALSE)," ")</f>
        <v>SANTA CRUZ</v>
      </c>
      <c r="I751" s="43">
        <v>46023</v>
      </c>
      <c r="J751" t="s">
        <v>329</v>
      </c>
      <c r="K751" t="str">
        <f>IFERROR(+VLOOKUP(Movimientos_2026[[#This Row],[Codigo]],Plan_cuentas[],6,FALSE)," ")</f>
        <v>1 - VW - Volkswagen</v>
      </c>
      <c r="L751" s="50">
        <v>17690369.899999999</v>
      </c>
      <c r="M751" s="50"/>
      <c r="N751" s="20">
        <f>+Movimientos_2026[[#This Row],[Ingresos]]-Movimientos_2026[[#This Row],[Egresos]]</f>
        <v>17690369.899999999</v>
      </c>
      <c r="O751" s="20">
        <f>+O750+Movimientos_2026[[#This Row],[Neto]]</f>
        <v>4949183438.8322239</v>
      </c>
    </row>
    <row r="752" spans="1:15" x14ac:dyDescent="0.25">
      <c r="A752" s="13">
        <v>46078</v>
      </c>
      <c r="B752" s="12">
        <f>MONTH(Movimientos_2026[[#This Row],[Fecha]])</f>
        <v>2</v>
      </c>
      <c r="C752" s="12" t="str">
        <f>VLOOKUP((WEEKDAY(Movimientos_2026[[#This Row],[Fecha]],2)),'5. Setup'!$D$6:$E$12,2,FALSE)</f>
        <v>Mie</v>
      </c>
      <c r="D752">
        <v>1044391</v>
      </c>
      <c r="E752" t="str">
        <f>IFERROR(+VLOOKUP(Movimientos_2026[[#This Row],[Codigo]],Plan_cuentas[],2,FALSE)," ")</f>
        <v>INGRESOS</v>
      </c>
      <c r="F752" t="str">
        <f>IFERROR(+VLOOKUP(Movimientos_2026[[#This Row],[Codigo]],Plan_cuentas[],3,FALSE)," ")</f>
        <v>Transferencia</v>
      </c>
      <c r="G752" t="str">
        <f>IFERROR(+VLOOKUP(Movimientos_2026[[#This Row],[Codigo]],Plan_cuentas[],4,FALSE)," ")</f>
        <v>Rentas</v>
      </c>
      <c r="H752" t="str">
        <f>IFERROR(+VLOOKUP(Movimientos_2026[[#This Row],[Codigo]],Plan_cuentas[],5,FALSE)," ")</f>
        <v>SANTA FE 2° Q</v>
      </c>
      <c r="I752" s="43">
        <v>46023</v>
      </c>
      <c r="J752" t="s">
        <v>329</v>
      </c>
      <c r="K752" t="str">
        <f>IFERROR(+VLOOKUP(Movimientos_2026[[#This Row],[Codigo]],Plan_cuentas[],6,FALSE)," ")</f>
        <v>1 - VW - Volkswagen</v>
      </c>
      <c r="L752" s="50">
        <v>18182519.25</v>
      </c>
      <c r="M752" s="50"/>
      <c r="N752" s="20">
        <f>+Movimientos_2026[[#This Row],[Ingresos]]-Movimientos_2026[[#This Row],[Egresos]]</f>
        <v>18182519.25</v>
      </c>
      <c r="O752" s="20">
        <f>+O751+Movimientos_2026[[#This Row],[Neto]]</f>
        <v>4967365958.0822239</v>
      </c>
    </row>
    <row r="753" spans="1:15" x14ac:dyDescent="0.25">
      <c r="A753" s="13">
        <v>46078</v>
      </c>
      <c r="B753" s="12">
        <f>MONTH(Movimientos_2026[[#This Row],[Fecha]])</f>
        <v>2</v>
      </c>
      <c r="C753" s="12" t="str">
        <f>VLOOKUP((WEEKDAY(Movimientos_2026[[#This Row],[Fecha]],2)),'5. Setup'!$D$6:$E$12,2,FALSE)</f>
        <v>Mie</v>
      </c>
      <c r="D753">
        <v>1044401</v>
      </c>
      <c r="E753" t="str">
        <f>IFERROR(+VLOOKUP(Movimientos_2026[[#This Row],[Codigo]],Plan_cuentas[],2,FALSE)," ")</f>
        <v>INGRESOS</v>
      </c>
      <c r="F753" t="str">
        <f>IFERROR(+VLOOKUP(Movimientos_2026[[#This Row],[Codigo]],Plan_cuentas[],3,FALSE)," ")</f>
        <v>Transferencia</v>
      </c>
      <c r="G753" t="str">
        <f>IFERROR(+VLOOKUP(Movimientos_2026[[#This Row],[Codigo]],Plan_cuentas[],4,FALSE)," ")</f>
        <v>Rentas</v>
      </c>
      <c r="H753" t="str">
        <f>IFERROR(+VLOOKUP(Movimientos_2026[[#This Row],[Codigo]],Plan_cuentas[],5,FALSE)," ")</f>
        <v>SANTIAGO DEL ESTERO</v>
      </c>
      <c r="I753" s="43">
        <v>46023</v>
      </c>
      <c r="J753" t="s">
        <v>329</v>
      </c>
      <c r="K753" t="str">
        <f>IFERROR(+VLOOKUP(Movimientos_2026[[#This Row],[Codigo]],Plan_cuentas[],6,FALSE)," ")</f>
        <v>1 - VW - Volkswagen</v>
      </c>
      <c r="L753" s="50">
        <v>21648053.5</v>
      </c>
      <c r="M753" s="50"/>
      <c r="N753" s="20">
        <f>+Movimientos_2026[[#This Row],[Ingresos]]-Movimientos_2026[[#This Row],[Egresos]]</f>
        <v>21648053.5</v>
      </c>
      <c r="O753" s="20">
        <f>+O752+Movimientos_2026[[#This Row],[Neto]]</f>
        <v>4989014011.5822239</v>
      </c>
    </row>
    <row r="754" spans="1:15" x14ac:dyDescent="0.25">
      <c r="A754" s="13">
        <v>46078</v>
      </c>
      <c r="B754" s="12">
        <f>MONTH(Movimientos_2026[[#This Row],[Fecha]])</f>
        <v>2</v>
      </c>
      <c r="C754" s="12" t="str">
        <f>VLOOKUP((WEEKDAY(Movimientos_2026[[#This Row],[Fecha]],2)),'5. Setup'!$D$6:$E$12,2,FALSE)</f>
        <v>Mie</v>
      </c>
      <c r="D754">
        <v>1044411</v>
      </c>
      <c r="E754" t="str">
        <f>IFERROR(+VLOOKUP(Movimientos_2026[[#This Row],[Codigo]],Plan_cuentas[],2,FALSE)," ")</f>
        <v>INGRESOS</v>
      </c>
      <c r="F754" t="str">
        <f>IFERROR(+VLOOKUP(Movimientos_2026[[#This Row],[Codigo]],Plan_cuentas[],3,FALSE)," ")</f>
        <v>Transferencia</v>
      </c>
      <c r="G754" t="str">
        <f>IFERROR(+VLOOKUP(Movimientos_2026[[#This Row],[Codigo]],Plan_cuentas[],4,FALSE)," ")</f>
        <v>Rentas</v>
      </c>
      <c r="H754" t="str">
        <f>IFERROR(+VLOOKUP(Movimientos_2026[[#This Row],[Codigo]],Plan_cuentas[],5,FALSE)," ")</f>
        <v>TIERRA DEL FUEGO</v>
      </c>
      <c r="I754" s="43">
        <v>46023</v>
      </c>
      <c r="J754" t="s">
        <v>329</v>
      </c>
      <c r="K754" t="str">
        <f>IFERROR(+VLOOKUP(Movimientos_2026[[#This Row],[Codigo]],Plan_cuentas[],6,FALSE)," ")</f>
        <v>1 - VW - Volkswagen</v>
      </c>
      <c r="L754" s="50">
        <v>7737896</v>
      </c>
      <c r="M754" s="50"/>
      <c r="N754" s="20">
        <f>+Movimientos_2026[[#This Row],[Ingresos]]-Movimientos_2026[[#This Row],[Egresos]]</f>
        <v>7737896</v>
      </c>
      <c r="O754" s="20">
        <f>+O753+Movimientos_2026[[#This Row],[Neto]]</f>
        <v>4996751907.5822239</v>
      </c>
    </row>
    <row r="755" spans="1:15" x14ac:dyDescent="0.25">
      <c r="A755" s="13">
        <v>46078</v>
      </c>
      <c r="B755" s="12">
        <f>MONTH(Movimientos_2026[[#This Row],[Fecha]])</f>
        <v>2</v>
      </c>
      <c r="C755" s="12" t="str">
        <f>VLOOKUP((WEEKDAY(Movimientos_2026[[#This Row],[Fecha]],2)),'5. Setup'!$D$6:$E$12,2,FALSE)</f>
        <v>Mie</v>
      </c>
      <c r="D755">
        <v>1044421</v>
      </c>
      <c r="E755" t="str">
        <f>IFERROR(+VLOOKUP(Movimientos_2026[[#This Row],[Codigo]],Plan_cuentas[],2,FALSE)," ")</f>
        <v>INGRESOS</v>
      </c>
      <c r="F755" t="str">
        <f>IFERROR(+VLOOKUP(Movimientos_2026[[#This Row],[Codigo]],Plan_cuentas[],3,FALSE)," ")</f>
        <v>Transferencia</v>
      </c>
      <c r="G755" t="str">
        <f>IFERROR(+VLOOKUP(Movimientos_2026[[#This Row],[Codigo]],Plan_cuentas[],4,FALSE)," ")</f>
        <v>Rentas</v>
      </c>
      <c r="H755" t="str">
        <f>IFERROR(+VLOOKUP(Movimientos_2026[[#This Row],[Codigo]],Plan_cuentas[],5,FALSE)," ")</f>
        <v>TUCUMAN</v>
      </c>
      <c r="I755" s="43">
        <v>46023</v>
      </c>
      <c r="J755" t="s">
        <v>329</v>
      </c>
      <c r="K755" t="str">
        <f>IFERROR(+VLOOKUP(Movimientos_2026[[#This Row],[Codigo]],Plan_cuentas[],6,FALSE)," ")</f>
        <v>1 - VW - Volkswagen</v>
      </c>
      <c r="L755" s="50">
        <v>42439404.575980023</v>
      </c>
      <c r="M755" s="50"/>
      <c r="N755" s="20">
        <f>+Movimientos_2026[[#This Row],[Ingresos]]-Movimientos_2026[[#This Row],[Egresos]]</f>
        <v>42439404.575980023</v>
      </c>
      <c r="O755" s="20">
        <f>+O754+Movimientos_2026[[#This Row],[Neto]]</f>
        <v>5039191312.1582041</v>
      </c>
    </row>
    <row r="756" spans="1:15" x14ac:dyDescent="0.25">
      <c r="A756" s="13">
        <v>46078</v>
      </c>
      <c r="B756" s="12">
        <f>MONTH(Movimientos_2026[[#This Row],[Fecha]])</f>
        <v>2</v>
      </c>
      <c r="C756" s="12" t="str">
        <f>VLOOKUP((WEEKDAY(Movimientos_2026[[#This Row],[Fecha]],2)),'5. Setup'!$D$6:$E$12,2,FALSE)</f>
        <v>Mie</v>
      </c>
      <c r="D756">
        <v>1043141</v>
      </c>
      <c r="E756" t="str">
        <f>IFERROR(+VLOOKUP(Movimientos_2026[[#This Row],[Codigo]],Plan_cuentas[],2,FALSE)," ")</f>
        <v>INGRESOS</v>
      </c>
      <c r="F756" t="str">
        <f>IFERROR(+VLOOKUP(Movimientos_2026[[#This Row],[Codigo]],Plan_cuentas[],3,FALSE)," ")</f>
        <v>Transferencia</v>
      </c>
      <c r="G756" t="str">
        <f>IFERROR(+VLOOKUP(Movimientos_2026[[#This Row],[Codigo]],Plan_cuentas[],4,FALSE)," ")</f>
        <v>Registración</v>
      </c>
      <c r="H756" t="str">
        <f>IFERROR(+VLOOKUP(Movimientos_2026[[#This Row],[Codigo]],Plan_cuentas[],5,FALSE)," ")</f>
        <v>BUENOS AIRES</v>
      </c>
      <c r="I756" s="43">
        <v>46023</v>
      </c>
      <c r="J756" t="s">
        <v>329</v>
      </c>
      <c r="K756" t="str">
        <f>IFERROR(+VLOOKUP(Movimientos_2026[[#This Row],[Codigo]],Plan_cuentas[],6,FALSE)," ")</f>
        <v>1 - VW - Volkswagen</v>
      </c>
      <c r="L756" s="50">
        <v>83233880.152500182</v>
      </c>
      <c r="M756" s="50"/>
      <c r="N756" s="20">
        <f>+Movimientos_2026[[#This Row],[Ingresos]]-Movimientos_2026[[#This Row],[Egresos]]</f>
        <v>83233880.152500182</v>
      </c>
      <c r="O756" s="20">
        <f>+O755+Movimientos_2026[[#This Row],[Neto]]</f>
        <v>5122425192.3107042</v>
      </c>
    </row>
    <row r="757" spans="1:15" x14ac:dyDescent="0.25">
      <c r="A757" s="13">
        <v>46078</v>
      </c>
      <c r="B757" s="12">
        <f>MONTH(Movimientos_2026[[#This Row],[Fecha]])</f>
        <v>2</v>
      </c>
      <c r="C757" s="12" t="str">
        <f>VLOOKUP((WEEKDAY(Movimientos_2026[[#This Row],[Fecha]],2)),'5. Setup'!$D$6:$E$12,2,FALSE)</f>
        <v>Mie</v>
      </c>
      <c r="D757">
        <v>1042111</v>
      </c>
      <c r="E757" t="str">
        <f>IFERROR(+VLOOKUP(Movimientos_2026[[#This Row],[Codigo]],Plan_cuentas[],2,FALSE)," ")</f>
        <v>INGRESOS</v>
      </c>
      <c r="F757" t="str">
        <f>IFERROR(+VLOOKUP(Movimientos_2026[[#This Row],[Codigo]],Plan_cuentas[],3,FALSE)," ")</f>
        <v>Transferencia</v>
      </c>
      <c r="G757" t="str">
        <f>IFERROR(+VLOOKUP(Movimientos_2026[[#This Row],[Codigo]],Plan_cuentas[],4,FALSE)," ")</f>
        <v>Entidades tercerizadas</v>
      </c>
      <c r="H757" t="str">
        <f>IFERROR(+VLOOKUP(Movimientos_2026[[#This Row],[Codigo]],Plan_cuentas[],5,FALSE)," ")</f>
        <v>APESI</v>
      </c>
      <c r="I757" s="43">
        <v>46023</v>
      </c>
      <c r="J757" t="s">
        <v>329</v>
      </c>
      <c r="K757" t="str">
        <f>IFERROR(+VLOOKUP(Movimientos_2026[[#This Row],[Codigo]],Plan_cuentas[],6,FALSE)," ")</f>
        <v>1 - VW - Volkswagen</v>
      </c>
      <c r="L757" s="50">
        <v>83233880.152500182</v>
      </c>
      <c r="M757" s="52"/>
      <c r="N757" s="20">
        <f>+Movimientos_2026[[#This Row],[Ingresos]]-Movimientos_2026[[#This Row],[Egresos]]</f>
        <v>83233880.152500182</v>
      </c>
      <c r="O757" s="20">
        <f>+O756+Movimientos_2026[[#This Row],[Neto]]</f>
        <v>5205659072.4632044</v>
      </c>
    </row>
    <row r="758" spans="1:15" x14ac:dyDescent="0.25">
      <c r="A758" s="13">
        <v>46078</v>
      </c>
      <c r="B758" s="12">
        <f>MONTH(Movimientos_2026[[#This Row],[Fecha]])</f>
        <v>2</v>
      </c>
      <c r="C758" s="12" t="str">
        <f>VLOOKUP((WEEKDAY(Movimientos_2026[[#This Row],[Fecha]],2)),'5. Setup'!$D$6:$E$12,2,FALSE)</f>
        <v>Mie</v>
      </c>
      <c r="D758">
        <v>1041431</v>
      </c>
      <c r="E758" t="str">
        <f>IFERROR(+VLOOKUP(Movimientos_2026[[#This Row],[Codigo]],Plan_cuentas[],2,FALSE)," ")</f>
        <v>INGRESOS</v>
      </c>
      <c r="F758" t="str">
        <f>IFERROR(+VLOOKUP(Movimientos_2026[[#This Row],[Codigo]],Plan_cuentas[],3,FALSE)," ")</f>
        <v>Transferencia</v>
      </c>
      <c r="G758" t="str">
        <f>IFERROR(+VLOOKUP(Movimientos_2026[[#This Row],[Codigo]],Plan_cuentas[],4,FALSE)," ")</f>
        <v>Entidades co-participadas</v>
      </c>
      <c r="H758" t="str">
        <f>IFERROR(+VLOOKUP(Movimientos_2026[[#This Row],[Codigo]],Plan_cuentas[],5,FALSE)," ")</f>
        <v>UEDA</v>
      </c>
      <c r="I758" s="43">
        <v>46023</v>
      </c>
      <c r="J758" t="s">
        <v>329</v>
      </c>
      <c r="K758" t="str">
        <f>IFERROR(+VLOOKUP(Movimientos_2026[[#This Row],[Codigo]],Plan_cuentas[],6,FALSE)," ")</f>
        <v>1 - VW - Volkswagen</v>
      </c>
      <c r="L758" s="50">
        <v>83233880.152500182</v>
      </c>
      <c r="M758" s="50"/>
      <c r="N758" s="20">
        <f>+Movimientos_2026[[#This Row],[Ingresos]]-Movimientos_2026[[#This Row],[Egresos]]</f>
        <v>83233880.152500182</v>
      </c>
      <c r="O758" s="20">
        <f>+O757+Movimientos_2026[[#This Row],[Neto]]</f>
        <v>5288892952.6157045</v>
      </c>
    </row>
    <row r="759" spans="1:15" x14ac:dyDescent="0.25">
      <c r="A759" s="13">
        <v>46078</v>
      </c>
      <c r="B759" s="12">
        <f>MONTH(Movimientos_2026[[#This Row],[Fecha]])</f>
        <v>2</v>
      </c>
      <c r="C759" s="12" t="str">
        <f>VLOOKUP((WEEKDAY(Movimientos_2026[[#This Row],[Fecha]],2)),'5. Setup'!$D$6:$E$12,2,FALSE)</f>
        <v>Mie</v>
      </c>
      <c r="D759">
        <v>1041441</v>
      </c>
      <c r="E759" t="str">
        <f>IFERROR(+VLOOKUP(Movimientos_2026[[#This Row],[Codigo]],Plan_cuentas[],2,FALSE)," ")</f>
        <v>INGRESOS</v>
      </c>
      <c r="F759" t="str">
        <f>IFERROR(+VLOOKUP(Movimientos_2026[[#This Row],[Codigo]],Plan_cuentas[],3,FALSE)," ")</f>
        <v>Transferencia</v>
      </c>
      <c r="G759" t="str">
        <f>IFERROR(+VLOOKUP(Movimientos_2026[[#This Row],[Codigo]],Plan_cuentas[],4,FALSE)," ")</f>
        <v>Entidades co-participadas</v>
      </c>
      <c r="H759" t="str">
        <f>IFERROR(+VLOOKUP(Movimientos_2026[[#This Row],[Codigo]],Plan_cuentas[],5,FALSE)," ")</f>
        <v>UISCUMARR</v>
      </c>
      <c r="I759" s="43">
        <v>46023</v>
      </c>
      <c r="J759" t="s">
        <v>329</v>
      </c>
      <c r="K759" t="str">
        <f>IFERROR(+VLOOKUP(Movimientos_2026[[#This Row],[Codigo]],Plan_cuentas[],6,FALSE)," ")</f>
        <v>1 - VW - Volkswagen</v>
      </c>
      <c r="L759" s="50">
        <v>83233880.152500182</v>
      </c>
      <c r="M759" s="52"/>
      <c r="N759" s="20">
        <f>+Movimientos_2026[[#This Row],[Ingresos]]-Movimientos_2026[[#This Row],[Egresos]]</f>
        <v>83233880.152500182</v>
      </c>
      <c r="O759" s="20">
        <f>+O758+Movimientos_2026[[#This Row],[Neto]]</f>
        <v>5372126832.7682047</v>
      </c>
    </row>
    <row r="760" spans="1:15" x14ac:dyDescent="0.25">
      <c r="A760" s="13">
        <v>46078</v>
      </c>
      <c r="B760" s="12">
        <f>MONTH(Movimientos_2026[[#This Row],[Fecha]])</f>
        <v>2</v>
      </c>
      <c r="C760" s="12" t="str">
        <f>VLOOKUP((WEEKDAY(Movimientos_2026[[#This Row],[Fecha]],2)),'5. Setup'!$D$6:$E$12,2,FALSE)</f>
        <v>Mie</v>
      </c>
      <c r="D760">
        <v>1043141</v>
      </c>
      <c r="E760" t="str">
        <f>IFERROR(+VLOOKUP(Movimientos_2026[[#This Row],[Codigo]],Plan_cuentas[],2,FALSE)," ")</f>
        <v>INGRESOS</v>
      </c>
      <c r="F760" t="str">
        <f>IFERROR(+VLOOKUP(Movimientos_2026[[#This Row],[Codigo]],Plan_cuentas[],3,FALSE)," ")</f>
        <v>Transferencia</v>
      </c>
      <c r="G760" t="str">
        <f>IFERROR(+VLOOKUP(Movimientos_2026[[#This Row],[Codigo]],Plan_cuentas[],4,FALSE)," ")</f>
        <v>Registración</v>
      </c>
      <c r="H760" t="str">
        <f>IFERROR(+VLOOKUP(Movimientos_2026[[#This Row],[Codigo]],Plan_cuentas[],5,FALSE)," ")</f>
        <v>BUENOS AIRES</v>
      </c>
      <c r="I760" s="43">
        <v>46023</v>
      </c>
      <c r="J760" t="s">
        <v>330</v>
      </c>
      <c r="K760" t="str">
        <f>IFERROR(+VLOOKUP(Movimientos_2026[[#This Row],[Codigo]],Plan_cuentas[],6,FALSE)," ")</f>
        <v>1 - VW - Volkswagen</v>
      </c>
      <c r="L760" s="50">
        <v>19533491.66</v>
      </c>
      <c r="M760" s="52"/>
      <c r="N760" s="20">
        <f>+Movimientos_2026[[#This Row],[Ingresos]]-Movimientos_2026[[#This Row],[Egresos]]</f>
        <v>19533491.66</v>
      </c>
      <c r="O760" s="20">
        <f>+O759+Movimientos_2026[[#This Row],[Neto]]</f>
        <v>5391660324.4282045</v>
      </c>
    </row>
    <row r="761" spans="1:15" x14ac:dyDescent="0.25">
      <c r="A761" s="13">
        <v>46078</v>
      </c>
      <c r="B761" s="12">
        <f>MONTH(Movimientos_2026[[#This Row],[Fecha]])</f>
        <v>2</v>
      </c>
      <c r="C761" s="12" t="str">
        <f>VLOOKUP((WEEKDAY(Movimientos_2026[[#This Row],[Fecha]],2)),'5. Setup'!$D$6:$E$12,2,FALSE)</f>
        <v>Mie</v>
      </c>
      <c r="D761">
        <v>1044121</v>
      </c>
      <c r="E761" t="str">
        <f>IFERROR(+VLOOKUP(Movimientos_2026[[#This Row],[Codigo]],Plan_cuentas[],2,FALSE)," ")</f>
        <v>INGRESOS</v>
      </c>
      <c r="F761" t="str">
        <f>IFERROR(+VLOOKUP(Movimientos_2026[[#This Row],[Codigo]],Plan_cuentas[],3,FALSE)," ")</f>
        <v>Transferencia</v>
      </c>
      <c r="G761" t="str">
        <f>IFERROR(+VLOOKUP(Movimientos_2026[[#This Row],[Codigo]],Plan_cuentas[],4,FALSE)," ")</f>
        <v>Rentas</v>
      </c>
      <c r="H761" t="str">
        <f>IFERROR(+VLOOKUP(Movimientos_2026[[#This Row],[Codigo]],Plan_cuentas[],5,FALSE)," ")</f>
        <v>BAPRO</v>
      </c>
      <c r="I761" s="43">
        <v>45566</v>
      </c>
      <c r="J761" t="s">
        <v>331</v>
      </c>
      <c r="K761" t="str">
        <f>IFERROR(+VLOOKUP(Movimientos_2026[[#This Row],[Codigo]],Plan_cuentas[],6,FALSE)," ")</f>
        <v>1 - VW - Volkswagen</v>
      </c>
      <c r="L761" s="50">
        <v>1283862.1000000001</v>
      </c>
      <c r="M761" s="52"/>
      <c r="N761" s="20">
        <f>+Movimientos_2026[[#This Row],[Ingresos]]-Movimientos_2026[[#This Row],[Egresos]]</f>
        <v>1283862.1000000001</v>
      </c>
      <c r="O761" s="20">
        <f>+O760+Movimientos_2026[[#This Row],[Neto]]</f>
        <v>5392944186.5282049</v>
      </c>
    </row>
    <row r="762" spans="1:15" x14ac:dyDescent="0.25">
      <c r="A762" s="13">
        <v>46078</v>
      </c>
      <c r="B762" s="12">
        <f>MONTH(Movimientos_2026[[#This Row],[Fecha]])</f>
        <v>2</v>
      </c>
      <c r="C762" s="12" t="str">
        <f>VLOOKUP((WEEKDAY(Movimientos_2026[[#This Row],[Fecha]],2)),'5. Setup'!$D$6:$E$12,2,FALSE)</f>
        <v>Mie</v>
      </c>
      <c r="D762">
        <v>1044121</v>
      </c>
      <c r="E762" t="str">
        <f>IFERROR(+VLOOKUP(Movimientos_2026[[#This Row],[Codigo]],Plan_cuentas[],2,FALSE)," ")</f>
        <v>INGRESOS</v>
      </c>
      <c r="F762" t="str">
        <f>IFERROR(+VLOOKUP(Movimientos_2026[[#This Row],[Codigo]],Plan_cuentas[],3,FALSE)," ")</f>
        <v>Transferencia</v>
      </c>
      <c r="G762" t="str">
        <f>IFERROR(+VLOOKUP(Movimientos_2026[[#This Row],[Codigo]],Plan_cuentas[],4,FALSE)," ")</f>
        <v>Rentas</v>
      </c>
      <c r="H762" t="str">
        <f>IFERROR(+VLOOKUP(Movimientos_2026[[#This Row],[Codigo]],Plan_cuentas[],5,FALSE)," ")</f>
        <v>BAPRO</v>
      </c>
      <c r="I762" s="43">
        <v>45597</v>
      </c>
      <c r="J762" t="s">
        <v>331</v>
      </c>
      <c r="K762" t="str">
        <f>IFERROR(+VLOOKUP(Movimientos_2026[[#This Row],[Codigo]],Plan_cuentas[],6,FALSE)," ")</f>
        <v>1 - VW - Volkswagen</v>
      </c>
      <c r="L762" s="50">
        <v>6697359.0999999996</v>
      </c>
      <c r="M762" s="52"/>
      <c r="N762" s="20">
        <f>+Movimientos_2026[[#This Row],[Ingresos]]-Movimientos_2026[[#This Row],[Egresos]]</f>
        <v>6697359.0999999996</v>
      </c>
      <c r="O762" s="20">
        <f>+O761+Movimientos_2026[[#This Row],[Neto]]</f>
        <v>5399641545.6282053</v>
      </c>
    </row>
    <row r="763" spans="1:15" x14ac:dyDescent="0.25">
      <c r="A763" s="13">
        <v>46078</v>
      </c>
      <c r="B763" s="12">
        <f>MONTH(Movimientos_2026[[#This Row],[Fecha]])</f>
        <v>2</v>
      </c>
      <c r="C763" s="12" t="str">
        <f>VLOOKUP((WEEKDAY(Movimientos_2026[[#This Row],[Fecha]],2)),'5. Setup'!$D$6:$E$12,2,FALSE)</f>
        <v>Mie</v>
      </c>
      <c r="D763">
        <v>1044121</v>
      </c>
      <c r="E763" t="str">
        <f>IFERROR(+VLOOKUP(Movimientos_2026[[#This Row],[Codigo]],Plan_cuentas[],2,FALSE)," ")</f>
        <v>INGRESOS</v>
      </c>
      <c r="F763" t="str">
        <f>IFERROR(+VLOOKUP(Movimientos_2026[[#This Row],[Codigo]],Plan_cuentas[],3,FALSE)," ")</f>
        <v>Transferencia</v>
      </c>
      <c r="G763" t="str">
        <f>IFERROR(+VLOOKUP(Movimientos_2026[[#This Row],[Codigo]],Plan_cuentas[],4,FALSE)," ")</f>
        <v>Rentas</v>
      </c>
      <c r="H763" t="str">
        <f>IFERROR(+VLOOKUP(Movimientos_2026[[#This Row],[Codigo]],Plan_cuentas[],5,FALSE)," ")</f>
        <v>BAPRO</v>
      </c>
      <c r="I763" s="43">
        <v>45689</v>
      </c>
      <c r="J763" t="s">
        <v>331</v>
      </c>
      <c r="K763" t="str">
        <f>IFERROR(+VLOOKUP(Movimientos_2026[[#This Row],[Codigo]],Plan_cuentas[],6,FALSE)," ")</f>
        <v>1 - VW - Volkswagen</v>
      </c>
      <c r="L763" s="50">
        <v>2420089.7000000002</v>
      </c>
      <c r="M763" s="52"/>
      <c r="N763" s="20">
        <f>+Movimientos_2026[[#This Row],[Ingresos]]-Movimientos_2026[[#This Row],[Egresos]]</f>
        <v>2420089.7000000002</v>
      </c>
      <c r="O763" s="20">
        <f>+O762+Movimientos_2026[[#This Row],[Neto]]</f>
        <v>5402061635.3282051</v>
      </c>
    </row>
    <row r="764" spans="1:15" x14ac:dyDescent="0.25">
      <c r="A764" s="13">
        <v>46078</v>
      </c>
      <c r="B764" s="12">
        <f>MONTH(Movimientos_2026[[#This Row],[Fecha]])</f>
        <v>2</v>
      </c>
      <c r="C764" s="12" t="str">
        <f>VLOOKUP((WEEKDAY(Movimientos_2026[[#This Row],[Fecha]],2)),'5. Setup'!$D$6:$E$12,2,FALSE)</f>
        <v>Mie</v>
      </c>
      <c r="D764">
        <v>1044121</v>
      </c>
      <c r="E764" t="str">
        <f>IFERROR(+VLOOKUP(Movimientos_2026[[#This Row],[Codigo]],Plan_cuentas[],2,FALSE)," ")</f>
        <v>INGRESOS</v>
      </c>
      <c r="F764" t="str">
        <f>IFERROR(+VLOOKUP(Movimientos_2026[[#This Row],[Codigo]],Plan_cuentas[],3,FALSE)," ")</f>
        <v>Transferencia</v>
      </c>
      <c r="G764" t="str">
        <f>IFERROR(+VLOOKUP(Movimientos_2026[[#This Row],[Codigo]],Plan_cuentas[],4,FALSE)," ")</f>
        <v>Rentas</v>
      </c>
      <c r="H764" t="str">
        <f>IFERROR(+VLOOKUP(Movimientos_2026[[#This Row],[Codigo]],Plan_cuentas[],5,FALSE)," ")</f>
        <v>BAPRO</v>
      </c>
      <c r="I764" s="43">
        <v>45717</v>
      </c>
      <c r="J764" t="s">
        <v>331</v>
      </c>
      <c r="K764" t="str">
        <f>IFERROR(+VLOOKUP(Movimientos_2026[[#This Row],[Codigo]],Plan_cuentas[],6,FALSE)," ")</f>
        <v>1 - VW - Volkswagen</v>
      </c>
      <c r="L764" s="50">
        <v>15009522.5</v>
      </c>
      <c r="M764" s="52"/>
      <c r="N764" s="20">
        <f>+Movimientos_2026[[#This Row],[Ingresos]]-Movimientos_2026[[#This Row],[Egresos]]</f>
        <v>15009522.5</v>
      </c>
      <c r="O764" s="20">
        <f>+O763+Movimientos_2026[[#This Row],[Neto]]</f>
        <v>5417071157.8282051</v>
      </c>
    </row>
    <row r="765" spans="1:15" x14ac:dyDescent="0.25">
      <c r="A765" s="13">
        <v>46078</v>
      </c>
      <c r="B765" s="12">
        <f>MONTH(Movimientos_2026[[#This Row],[Fecha]])</f>
        <v>2</v>
      </c>
      <c r="C765" s="12" t="str">
        <f>VLOOKUP((WEEKDAY(Movimientos_2026[[#This Row],[Fecha]],2)),'5. Setup'!$D$6:$E$12,2,FALSE)</f>
        <v>Mie</v>
      </c>
      <c r="D765">
        <v>1044121</v>
      </c>
      <c r="E765" t="str">
        <f>IFERROR(+VLOOKUP(Movimientos_2026[[#This Row],[Codigo]],Plan_cuentas[],2,FALSE)," ")</f>
        <v>INGRESOS</v>
      </c>
      <c r="F765" t="str">
        <f>IFERROR(+VLOOKUP(Movimientos_2026[[#This Row],[Codigo]],Plan_cuentas[],3,FALSE)," ")</f>
        <v>Transferencia</v>
      </c>
      <c r="G765" t="str">
        <f>IFERROR(+VLOOKUP(Movimientos_2026[[#This Row],[Codigo]],Plan_cuentas[],4,FALSE)," ")</f>
        <v>Rentas</v>
      </c>
      <c r="H765" t="str">
        <f>IFERROR(+VLOOKUP(Movimientos_2026[[#This Row],[Codigo]],Plan_cuentas[],5,FALSE)," ")</f>
        <v>BAPRO</v>
      </c>
      <c r="I765" s="43">
        <v>45748</v>
      </c>
      <c r="J765" t="s">
        <v>331</v>
      </c>
      <c r="K765" t="str">
        <f>IFERROR(+VLOOKUP(Movimientos_2026[[#This Row],[Codigo]],Plan_cuentas[],6,FALSE)," ")</f>
        <v>1 - VW - Volkswagen</v>
      </c>
      <c r="L765" s="50">
        <v>675695.3</v>
      </c>
      <c r="M765" s="52"/>
      <c r="N765" s="20">
        <f>+Movimientos_2026[[#This Row],[Ingresos]]-Movimientos_2026[[#This Row],[Egresos]]</f>
        <v>675695.3</v>
      </c>
      <c r="O765" s="20">
        <f>+O764+Movimientos_2026[[#This Row],[Neto]]</f>
        <v>5417746853.1282053</v>
      </c>
    </row>
    <row r="766" spans="1:15" x14ac:dyDescent="0.25">
      <c r="A766" s="13">
        <v>46078</v>
      </c>
      <c r="B766" s="12">
        <f>MONTH(Movimientos_2026[[#This Row],[Fecha]])</f>
        <v>2</v>
      </c>
      <c r="C766" s="12" t="str">
        <f>VLOOKUP((WEEKDAY(Movimientos_2026[[#This Row],[Fecha]],2)),'5. Setup'!$D$6:$E$12,2,FALSE)</f>
        <v>Mie</v>
      </c>
      <c r="D766">
        <v>1044121</v>
      </c>
      <c r="E766" t="str">
        <f>IFERROR(+VLOOKUP(Movimientos_2026[[#This Row],[Codigo]],Plan_cuentas[],2,FALSE)," ")</f>
        <v>INGRESOS</v>
      </c>
      <c r="F766" t="str">
        <f>IFERROR(+VLOOKUP(Movimientos_2026[[#This Row],[Codigo]],Plan_cuentas[],3,FALSE)," ")</f>
        <v>Transferencia</v>
      </c>
      <c r="G766" t="str">
        <f>IFERROR(+VLOOKUP(Movimientos_2026[[#This Row],[Codigo]],Plan_cuentas[],4,FALSE)," ")</f>
        <v>Rentas</v>
      </c>
      <c r="H766" t="str">
        <f>IFERROR(+VLOOKUP(Movimientos_2026[[#This Row],[Codigo]],Plan_cuentas[],5,FALSE)," ")</f>
        <v>BAPRO</v>
      </c>
      <c r="I766" s="43">
        <v>45778</v>
      </c>
      <c r="J766" t="s">
        <v>331</v>
      </c>
      <c r="K766" t="str">
        <f>IFERROR(+VLOOKUP(Movimientos_2026[[#This Row],[Codigo]],Plan_cuentas[],6,FALSE)," ")</f>
        <v>1 - VW - Volkswagen</v>
      </c>
      <c r="L766" s="50">
        <v>1211397</v>
      </c>
      <c r="M766" s="52"/>
      <c r="N766" s="20">
        <f>+Movimientos_2026[[#This Row],[Ingresos]]-Movimientos_2026[[#This Row],[Egresos]]</f>
        <v>1211397</v>
      </c>
      <c r="O766" s="20">
        <f>+O765+Movimientos_2026[[#This Row],[Neto]]</f>
        <v>5418958250.1282053</v>
      </c>
    </row>
    <row r="767" spans="1:15" x14ac:dyDescent="0.25">
      <c r="A767" s="13">
        <v>46078</v>
      </c>
      <c r="B767" s="12">
        <f>MONTH(Movimientos_2026[[#This Row],[Fecha]])</f>
        <v>2</v>
      </c>
      <c r="C767" s="12" t="str">
        <f>VLOOKUP((WEEKDAY(Movimientos_2026[[#This Row],[Fecha]],2)),'5. Setup'!$D$6:$E$12,2,FALSE)</f>
        <v>Mie</v>
      </c>
      <c r="D767">
        <v>1044121</v>
      </c>
      <c r="E767" t="str">
        <f>IFERROR(+VLOOKUP(Movimientos_2026[[#This Row],[Codigo]],Plan_cuentas[],2,FALSE)," ")</f>
        <v>INGRESOS</v>
      </c>
      <c r="F767" t="str">
        <f>IFERROR(+VLOOKUP(Movimientos_2026[[#This Row],[Codigo]],Plan_cuentas[],3,FALSE)," ")</f>
        <v>Transferencia</v>
      </c>
      <c r="G767" t="str">
        <f>IFERROR(+VLOOKUP(Movimientos_2026[[#This Row],[Codigo]],Plan_cuentas[],4,FALSE)," ")</f>
        <v>Rentas</v>
      </c>
      <c r="H767" t="str">
        <f>IFERROR(+VLOOKUP(Movimientos_2026[[#This Row],[Codigo]],Plan_cuentas[],5,FALSE)," ")</f>
        <v>BAPRO</v>
      </c>
      <c r="I767" s="43">
        <v>45809</v>
      </c>
      <c r="J767" t="s">
        <v>331</v>
      </c>
      <c r="K767" t="str">
        <f>IFERROR(+VLOOKUP(Movimientos_2026[[#This Row],[Codigo]],Plan_cuentas[],6,FALSE)," ")</f>
        <v>1 - VW - Volkswagen</v>
      </c>
      <c r="L767" s="50">
        <v>12213711.4</v>
      </c>
      <c r="M767" s="52"/>
      <c r="N767" s="20">
        <f>+Movimientos_2026[[#This Row],[Ingresos]]-Movimientos_2026[[#This Row],[Egresos]]</f>
        <v>12213711.4</v>
      </c>
      <c r="O767" s="20">
        <f>+O766+Movimientos_2026[[#This Row],[Neto]]</f>
        <v>5431171961.5282049</v>
      </c>
    </row>
    <row r="768" spans="1:15" x14ac:dyDescent="0.25">
      <c r="A768" s="13">
        <v>46078</v>
      </c>
      <c r="B768" s="12">
        <f>MONTH(Movimientos_2026[[#This Row],[Fecha]])</f>
        <v>2</v>
      </c>
      <c r="C768" s="12" t="str">
        <f>VLOOKUP((WEEKDAY(Movimientos_2026[[#This Row],[Fecha]],2)),'5. Setup'!$D$6:$E$12,2,FALSE)</f>
        <v>Mie</v>
      </c>
      <c r="D768">
        <v>1044121</v>
      </c>
      <c r="E768" t="str">
        <f>IFERROR(+VLOOKUP(Movimientos_2026[[#This Row],[Codigo]],Plan_cuentas[],2,FALSE)," ")</f>
        <v>INGRESOS</v>
      </c>
      <c r="F768" t="str">
        <f>IFERROR(+VLOOKUP(Movimientos_2026[[#This Row],[Codigo]],Plan_cuentas[],3,FALSE)," ")</f>
        <v>Transferencia</v>
      </c>
      <c r="G768" t="str">
        <f>IFERROR(+VLOOKUP(Movimientos_2026[[#This Row],[Codigo]],Plan_cuentas[],4,FALSE)," ")</f>
        <v>Rentas</v>
      </c>
      <c r="H768" t="str">
        <f>IFERROR(+VLOOKUP(Movimientos_2026[[#This Row],[Codigo]],Plan_cuentas[],5,FALSE)," ")</f>
        <v>BAPRO</v>
      </c>
      <c r="I768" s="43">
        <v>45839</v>
      </c>
      <c r="J768" t="s">
        <v>331</v>
      </c>
      <c r="K768" t="str">
        <f>IFERROR(+VLOOKUP(Movimientos_2026[[#This Row],[Codigo]],Plan_cuentas[],6,FALSE)," ")</f>
        <v>1 - VW - Volkswagen</v>
      </c>
      <c r="L768" s="50">
        <v>8869946.5</v>
      </c>
      <c r="M768" s="52"/>
      <c r="N768" s="20">
        <f>+Movimientos_2026[[#This Row],[Ingresos]]-Movimientos_2026[[#This Row],[Egresos]]</f>
        <v>8869946.5</v>
      </c>
      <c r="O768" s="20">
        <f>+O767+Movimientos_2026[[#This Row],[Neto]]</f>
        <v>5440041908.0282049</v>
      </c>
    </row>
    <row r="769" spans="1:15" x14ac:dyDescent="0.25">
      <c r="A769" s="13">
        <v>46078</v>
      </c>
      <c r="B769" s="12">
        <f>MONTH(Movimientos_2026[[#This Row],[Fecha]])</f>
        <v>2</v>
      </c>
      <c r="C769" s="12" t="str">
        <f>VLOOKUP((WEEKDAY(Movimientos_2026[[#This Row],[Fecha]],2)),'5. Setup'!$D$6:$E$12,2,FALSE)</f>
        <v>Mie</v>
      </c>
      <c r="D769">
        <v>1044121</v>
      </c>
      <c r="E769" t="str">
        <f>IFERROR(+VLOOKUP(Movimientos_2026[[#This Row],[Codigo]],Plan_cuentas[],2,FALSE)," ")</f>
        <v>INGRESOS</v>
      </c>
      <c r="F769" t="str">
        <f>IFERROR(+VLOOKUP(Movimientos_2026[[#This Row],[Codigo]],Plan_cuentas[],3,FALSE)," ")</f>
        <v>Transferencia</v>
      </c>
      <c r="G769" t="str">
        <f>IFERROR(+VLOOKUP(Movimientos_2026[[#This Row],[Codigo]],Plan_cuentas[],4,FALSE)," ")</f>
        <v>Rentas</v>
      </c>
      <c r="H769" t="str">
        <f>IFERROR(+VLOOKUP(Movimientos_2026[[#This Row],[Codigo]],Plan_cuentas[],5,FALSE)," ")</f>
        <v>BAPRO</v>
      </c>
      <c r="I769" s="43">
        <v>45870</v>
      </c>
      <c r="J769" t="s">
        <v>331</v>
      </c>
      <c r="K769" t="str">
        <f>IFERROR(+VLOOKUP(Movimientos_2026[[#This Row],[Codigo]],Plan_cuentas[],6,FALSE)," ")</f>
        <v>1 - VW - Volkswagen</v>
      </c>
      <c r="L769" s="50">
        <v>2290954.7999999998</v>
      </c>
      <c r="M769" s="52"/>
      <c r="N769" s="20">
        <f>+Movimientos_2026[[#This Row],[Ingresos]]-Movimientos_2026[[#This Row],[Egresos]]</f>
        <v>2290954.7999999998</v>
      </c>
      <c r="O769" s="20">
        <f>+O768+Movimientos_2026[[#This Row],[Neto]]</f>
        <v>5442332862.8282051</v>
      </c>
    </row>
    <row r="770" spans="1:15" x14ac:dyDescent="0.25">
      <c r="A770" s="13">
        <v>46078</v>
      </c>
      <c r="B770" s="12">
        <f>MONTH(Movimientos_2026[[#This Row],[Fecha]])</f>
        <v>2</v>
      </c>
      <c r="C770" s="12" t="str">
        <f>VLOOKUP((WEEKDAY(Movimientos_2026[[#This Row],[Fecha]],2)),'5. Setup'!$D$6:$E$12,2,FALSE)</f>
        <v>Mie</v>
      </c>
      <c r="D770">
        <v>1044121</v>
      </c>
      <c r="E770" t="str">
        <f>IFERROR(+VLOOKUP(Movimientos_2026[[#This Row],[Codigo]],Plan_cuentas[],2,FALSE)," ")</f>
        <v>INGRESOS</v>
      </c>
      <c r="F770" t="str">
        <f>IFERROR(+VLOOKUP(Movimientos_2026[[#This Row],[Codigo]],Plan_cuentas[],3,FALSE)," ")</f>
        <v>Transferencia</v>
      </c>
      <c r="G770" t="str">
        <f>IFERROR(+VLOOKUP(Movimientos_2026[[#This Row],[Codigo]],Plan_cuentas[],4,FALSE)," ")</f>
        <v>Rentas</v>
      </c>
      <c r="H770" t="str">
        <f>IFERROR(+VLOOKUP(Movimientos_2026[[#This Row],[Codigo]],Plan_cuentas[],5,FALSE)," ")</f>
        <v>BAPRO</v>
      </c>
      <c r="I770" s="43">
        <v>45901</v>
      </c>
      <c r="J770" t="s">
        <v>331</v>
      </c>
      <c r="K770" t="str">
        <f>IFERROR(+VLOOKUP(Movimientos_2026[[#This Row],[Codigo]],Plan_cuentas[],6,FALSE)," ")</f>
        <v>1 - VW - Volkswagen</v>
      </c>
      <c r="L770" s="50">
        <v>551878.80000000005</v>
      </c>
      <c r="M770" s="52"/>
      <c r="N770" s="20">
        <f>+Movimientos_2026[[#This Row],[Ingresos]]-Movimientos_2026[[#This Row],[Egresos]]</f>
        <v>551878.80000000005</v>
      </c>
      <c r="O770" s="20">
        <f>+O769+Movimientos_2026[[#This Row],[Neto]]</f>
        <v>5442884741.6282053</v>
      </c>
    </row>
    <row r="771" spans="1:15" x14ac:dyDescent="0.25">
      <c r="A771" s="13">
        <v>46078</v>
      </c>
      <c r="B771" s="12">
        <f>MONTH(Movimientos_2026[[#This Row],[Fecha]])</f>
        <v>2</v>
      </c>
      <c r="C771" s="12" t="str">
        <f>VLOOKUP((WEEKDAY(Movimientos_2026[[#This Row],[Fecha]],2)),'5. Setup'!$D$6:$E$12,2,FALSE)</f>
        <v>Mie</v>
      </c>
      <c r="D771">
        <v>1044121</v>
      </c>
      <c r="E771" t="str">
        <f>IFERROR(+VLOOKUP(Movimientos_2026[[#This Row],[Codigo]],Plan_cuentas[],2,FALSE)," ")</f>
        <v>INGRESOS</v>
      </c>
      <c r="F771" t="str">
        <f>IFERROR(+VLOOKUP(Movimientos_2026[[#This Row],[Codigo]],Plan_cuentas[],3,FALSE)," ")</f>
        <v>Transferencia</v>
      </c>
      <c r="G771" t="str">
        <f>IFERROR(+VLOOKUP(Movimientos_2026[[#This Row],[Codigo]],Plan_cuentas[],4,FALSE)," ")</f>
        <v>Rentas</v>
      </c>
      <c r="H771" t="str">
        <f>IFERROR(+VLOOKUP(Movimientos_2026[[#This Row],[Codigo]],Plan_cuentas[],5,FALSE)," ")</f>
        <v>BAPRO</v>
      </c>
      <c r="I771" s="43">
        <v>45931</v>
      </c>
      <c r="J771" t="s">
        <v>331</v>
      </c>
      <c r="K771" t="str">
        <f>IFERROR(+VLOOKUP(Movimientos_2026[[#This Row],[Codigo]],Plan_cuentas[],6,FALSE)," ")</f>
        <v>1 - VW - Volkswagen</v>
      </c>
      <c r="L771" s="50">
        <v>1003546.1</v>
      </c>
      <c r="M771" s="52"/>
      <c r="N771" s="20">
        <f>+Movimientos_2026[[#This Row],[Ingresos]]-Movimientos_2026[[#This Row],[Egresos]]</f>
        <v>1003546.1</v>
      </c>
      <c r="O771" s="20">
        <f>+O770+Movimientos_2026[[#This Row],[Neto]]</f>
        <v>5443888287.7282057</v>
      </c>
    </row>
    <row r="772" spans="1:15" x14ac:dyDescent="0.25">
      <c r="A772" s="13">
        <v>46078</v>
      </c>
      <c r="B772" s="12">
        <f>MONTH(Movimientos_2026[[#This Row],[Fecha]])</f>
        <v>2</v>
      </c>
      <c r="C772" s="12" t="str">
        <f>VLOOKUP((WEEKDAY(Movimientos_2026[[#This Row],[Fecha]],2)),'5. Setup'!$D$6:$E$12,2,FALSE)</f>
        <v>Mie</v>
      </c>
      <c r="D772">
        <v>1044311</v>
      </c>
      <c r="E772" t="str">
        <f>IFERROR(+VLOOKUP(Movimientos_2026[[#This Row],[Codigo]],Plan_cuentas[],2,FALSE)," ")</f>
        <v>INGRESOS</v>
      </c>
      <c r="F772" t="str">
        <f>IFERROR(+VLOOKUP(Movimientos_2026[[#This Row],[Codigo]],Plan_cuentas[],3,FALSE)," ")</f>
        <v>Transferencia</v>
      </c>
      <c r="G772" t="str">
        <f>IFERROR(+VLOOKUP(Movimientos_2026[[#This Row],[Codigo]],Plan_cuentas[],4,FALSE)," ")</f>
        <v>Rentas</v>
      </c>
      <c r="H772" t="str">
        <f>IFERROR(+VLOOKUP(Movimientos_2026[[#This Row],[Codigo]],Plan_cuentas[],5,FALSE)," ")</f>
        <v>NEUQUEN 1° Q</v>
      </c>
      <c r="I772" s="43">
        <v>45717</v>
      </c>
      <c r="J772" t="s">
        <v>331</v>
      </c>
      <c r="K772" t="str">
        <f>IFERROR(+VLOOKUP(Movimientos_2026[[#This Row],[Codigo]],Plan_cuentas[],6,FALSE)," ")</f>
        <v>1 - VW - Volkswagen</v>
      </c>
      <c r="L772" s="50">
        <v>20514895.91</v>
      </c>
      <c r="M772" s="52"/>
      <c r="N772" s="20">
        <f>+Movimientos_2026[[#This Row],[Ingresos]]-Movimientos_2026[[#This Row],[Egresos]]</f>
        <v>20514895.91</v>
      </c>
      <c r="O772" s="20">
        <f>+O771+Movimientos_2026[[#This Row],[Neto]]</f>
        <v>5464403183.6382055</v>
      </c>
    </row>
    <row r="773" spans="1:15" x14ac:dyDescent="0.25">
      <c r="A773" s="13">
        <v>46078</v>
      </c>
      <c r="B773" s="12">
        <f>MONTH(Movimientos_2026[[#This Row],[Fecha]])</f>
        <v>2</v>
      </c>
      <c r="C773" s="12" t="str">
        <f>VLOOKUP((WEEKDAY(Movimientos_2026[[#This Row],[Fecha]],2)),'5. Setup'!$D$6:$E$12,2,FALSE)</f>
        <v>Mie</v>
      </c>
      <c r="D773">
        <v>1044321</v>
      </c>
      <c r="E773" t="str">
        <f>IFERROR(+VLOOKUP(Movimientos_2026[[#This Row],[Codigo]],Plan_cuentas[],2,FALSE)," ")</f>
        <v>INGRESOS</v>
      </c>
      <c r="F773" t="str">
        <f>IFERROR(+VLOOKUP(Movimientos_2026[[#This Row],[Codigo]],Plan_cuentas[],3,FALSE)," ")</f>
        <v>Transferencia</v>
      </c>
      <c r="G773" t="str">
        <f>IFERROR(+VLOOKUP(Movimientos_2026[[#This Row],[Codigo]],Plan_cuentas[],4,FALSE)," ")</f>
        <v>Rentas</v>
      </c>
      <c r="H773" t="str">
        <f>IFERROR(+VLOOKUP(Movimientos_2026[[#This Row],[Codigo]],Plan_cuentas[],5,FALSE)," ")</f>
        <v>NEUQUEN 2° Q</v>
      </c>
      <c r="I773" s="43">
        <v>45717</v>
      </c>
      <c r="J773" t="s">
        <v>331</v>
      </c>
      <c r="K773" t="str">
        <f>IFERROR(+VLOOKUP(Movimientos_2026[[#This Row],[Codigo]],Plan_cuentas[],6,FALSE)," ")</f>
        <v>1 - VW - Volkswagen</v>
      </c>
      <c r="L773" s="50">
        <v>6770326.5899999999</v>
      </c>
      <c r="M773" s="52"/>
      <c r="N773" s="20">
        <f>+Movimientos_2026[[#This Row],[Ingresos]]-Movimientos_2026[[#This Row],[Egresos]]</f>
        <v>6770326.5899999999</v>
      </c>
      <c r="O773" s="20">
        <f>+O772+Movimientos_2026[[#This Row],[Neto]]</f>
        <v>5471173510.2282057</v>
      </c>
    </row>
    <row r="774" spans="1:15" x14ac:dyDescent="0.25">
      <c r="A774" s="13">
        <v>46080</v>
      </c>
      <c r="B774" s="12">
        <f>MONTH(Movimientos_2026[[#This Row],[Fecha]])</f>
        <v>2</v>
      </c>
      <c r="C774" s="12" t="str">
        <f>VLOOKUP((WEEKDAY(Movimientos_2026[[#This Row],[Fecha]],2)),'5. Setup'!$D$6:$E$12,2,FALSE)</f>
        <v>Vie</v>
      </c>
      <c r="D774">
        <v>1044281</v>
      </c>
      <c r="E774" t="str">
        <f>IFERROR(+VLOOKUP(Movimientos_2026[[#This Row],[Codigo]],Plan_cuentas[],2,FALSE)," ")</f>
        <v>INGRESOS</v>
      </c>
      <c r="F774" t="str">
        <f>IFERROR(+VLOOKUP(Movimientos_2026[[#This Row],[Codigo]],Plan_cuentas[],3,FALSE)," ")</f>
        <v>Transferencia</v>
      </c>
      <c r="G774" t="str">
        <f>IFERROR(+VLOOKUP(Movimientos_2026[[#This Row],[Codigo]],Plan_cuentas[],4,FALSE)," ")</f>
        <v>Rentas</v>
      </c>
      <c r="H774" t="str">
        <f>IFERROR(+VLOOKUP(Movimientos_2026[[#This Row],[Codigo]],Plan_cuentas[],5,FALSE)," ")</f>
        <v>MENDOZA</v>
      </c>
      <c r="I774" s="43">
        <v>45536</v>
      </c>
      <c r="J774" t="s">
        <v>332</v>
      </c>
      <c r="K774" t="str">
        <f>IFERROR(+VLOOKUP(Movimientos_2026[[#This Row],[Codigo]],Plan_cuentas[],6,FALSE)," ")</f>
        <v>1 - VW - Volkswagen</v>
      </c>
      <c r="L774" s="50">
        <v>29156015.239999998</v>
      </c>
      <c r="M774" s="52"/>
      <c r="N774" s="20">
        <f>+Movimientos_2026[[#This Row],[Ingresos]]-Movimientos_2026[[#This Row],[Egresos]]</f>
        <v>29156015.239999998</v>
      </c>
      <c r="O774" s="20">
        <f>+O773+Movimientos_2026[[#This Row],[Neto]]</f>
        <v>5500329525.4682055</v>
      </c>
    </row>
    <row r="775" spans="1:15" x14ac:dyDescent="0.25">
      <c r="A775" s="13">
        <v>46080</v>
      </c>
      <c r="B775" s="12">
        <f>MONTH(Movimientos_2026[[#This Row],[Fecha]])</f>
        <v>2</v>
      </c>
      <c r="C775" s="12" t="str">
        <f>VLOOKUP((WEEKDAY(Movimientos_2026[[#This Row],[Fecha]],2)),'5. Setup'!$D$6:$E$12,2,FALSE)</f>
        <v>Vie</v>
      </c>
      <c r="D775">
        <v>1044281</v>
      </c>
      <c r="E775" t="str">
        <f>IFERROR(+VLOOKUP(Movimientos_2026[[#This Row],[Codigo]],Plan_cuentas[],2,FALSE)," ")</f>
        <v>INGRESOS</v>
      </c>
      <c r="F775" t="str">
        <f>IFERROR(+VLOOKUP(Movimientos_2026[[#This Row],[Codigo]],Plan_cuentas[],3,FALSE)," ")</f>
        <v>Transferencia</v>
      </c>
      <c r="G775" t="str">
        <f>IFERROR(+VLOOKUP(Movimientos_2026[[#This Row],[Codigo]],Plan_cuentas[],4,FALSE)," ")</f>
        <v>Rentas</v>
      </c>
      <c r="H775" t="str">
        <f>IFERROR(+VLOOKUP(Movimientos_2026[[#This Row],[Codigo]],Plan_cuentas[],5,FALSE)," ")</f>
        <v>MENDOZA</v>
      </c>
      <c r="I775" s="43">
        <v>45566</v>
      </c>
      <c r="J775" t="s">
        <v>332</v>
      </c>
      <c r="K775" t="str">
        <f>IFERROR(+VLOOKUP(Movimientos_2026[[#This Row],[Codigo]],Plan_cuentas[],6,FALSE)," ")</f>
        <v>1 - VW - Volkswagen</v>
      </c>
      <c r="L775" s="50">
        <v>8485618.3800000008</v>
      </c>
      <c r="M775" s="52"/>
      <c r="N775" s="20">
        <f>+Movimientos_2026[[#This Row],[Ingresos]]-Movimientos_2026[[#This Row],[Egresos]]</f>
        <v>8485618.3800000008</v>
      </c>
      <c r="O775" s="20">
        <f>+O774+Movimientos_2026[[#This Row],[Neto]]</f>
        <v>5508815143.8482056</v>
      </c>
    </row>
    <row r="776" spans="1:15" x14ac:dyDescent="0.25">
      <c r="A776" s="13">
        <v>46080</v>
      </c>
      <c r="B776" s="12">
        <f>MONTH(Movimientos_2026[[#This Row],[Fecha]])</f>
        <v>2</v>
      </c>
      <c r="C776" s="12" t="str">
        <f>VLOOKUP((WEEKDAY(Movimientos_2026[[#This Row],[Fecha]],2)),'5. Setup'!$D$6:$E$12,2,FALSE)</f>
        <v>Vie</v>
      </c>
      <c r="D776">
        <v>1044281</v>
      </c>
      <c r="E776" t="str">
        <f>IFERROR(+VLOOKUP(Movimientos_2026[[#This Row],[Codigo]],Plan_cuentas[],2,FALSE)," ")</f>
        <v>INGRESOS</v>
      </c>
      <c r="F776" t="str">
        <f>IFERROR(+VLOOKUP(Movimientos_2026[[#This Row],[Codigo]],Plan_cuentas[],3,FALSE)," ")</f>
        <v>Transferencia</v>
      </c>
      <c r="G776" t="str">
        <f>IFERROR(+VLOOKUP(Movimientos_2026[[#This Row],[Codigo]],Plan_cuentas[],4,FALSE)," ")</f>
        <v>Rentas</v>
      </c>
      <c r="H776" t="str">
        <f>IFERROR(+VLOOKUP(Movimientos_2026[[#This Row],[Codigo]],Plan_cuentas[],5,FALSE)," ")</f>
        <v>MENDOZA</v>
      </c>
      <c r="I776" s="43">
        <v>45597</v>
      </c>
      <c r="J776" t="s">
        <v>332</v>
      </c>
      <c r="K776" t="str">
        <f>IFERROR(+VLOOKUP(Movimientos_2026[[#This Row],[Codigo]],Plan_cuentas[],6,FALSE)," ")</f>
        <v>1 - VW - Volkswagen</v>
      </c>
      <c r="L776" s="50">
        <v>6133679.7300000004</v>
      </c>
      <c r="M776" s="52"/>
      <c r="N776" s="20">
        <f>+Movimientos_2026[[#This Row],[Ingresos]]-Movimientos_2026[[#This Row],[Egresos]]</f>
        <v>6133679.7300000004</v>
      </c>
      <c r="O776" s="20">
        <f>+O775+Movimientos_2026[[#This Row],[Neto]]</f>
        <v>5514948823.5782051</v>
      </c>
    </row>
    <row r="777" spans="1:15" x14ac:dyDescent="0.25">
      <c r="A777" s="13">
        <v>46080</v>
      </c>
      <c r="B777" s="12">
        <f>MONTH(Movimientos_2026[[#This Row],[Fecha]])</f>
        <v>2</v>
      </c>
      <c r="C777" s="12" t="str">
        <f>VLOOKUP((WEEKDAY(Movimientos_2026[[#This Row],[Fecha]],2)),'5. Setup'!$D$6:$E$12,2,FALSE)</f>
        <v>Vie</v>
      </c>
      <c r="D777">
        <v>1043141</v>
      </c>
      <c r="E777" t="str">
        <f>IFERROR(+VLOOKUP(Movimientos_2026[[#This Row],[Codigo]],Plan_cuentas[],2,FALSE)," ")</f>
        <v>INGRESOS</v>
      </c>
      <c r="F777" t="str">
        <f>IFERROR(+VLOOKUP(Movimientos_2026[[#This Row],[Codigo]],Plan_cuentas[],3,FALSE)," ")</f>
        <v>Transferencia</v>
      </c>
      <c r="G777" t="str">
        <f>IFERROR(+VLOOKUP(Movimientos_2026[[#This Row],[Codigo]],Plan_cuentas[],4,FALSE)," ")</f>
        <v>Registración</v>
      </c>
      <c r="H777" t="str">
        <f>IFERROR(+VLOOKUP(Movimientos_2026[[#This Row],[Codigo]],Plan_cuentas[],5,FALSE)," ")</f>
        <v>BUENOS AIRES</v>
      </c>
      <c r="I777" s="43">
        <v>45689</v>
      </c>
      <c r="J777" t="s">
        <v>332</v>
      </c>
      <c r="K777" t="str">
        <f>IFERROR(+VLOOKUP(Movimientos_2026[[#This Row],[Codigo]],Plan_cuentas[],6,FALSE)," ")</f>
        <v>1 - VW - Volkswagen</v>
      </c>
      <c r="L777" s="50">
        <v>16130287.220000001</v>
      </c>
      <c r="M777" s="52"/>
      <c r="N777" s="20">
        <f>+Movimientos_2026[[#This Row],[Ingresos]]-Movimientos_2026[[#This Row],[Egresos]]</f>
        <v>16130287.220000001</v>
      </c>
      <c r="O777" s="20">
        <f>+O776+Movimientos_2026[[#This Row],[Neto]]</f>
        <v>5531079110.7982054</v>
      </c>
    </row>
    <row r="778" spans="1:15" x14ac:dyDescent="0.25">
      <c r="A778" s="13">
        <v>46082</v>
      </c>
      <c r="B778" s="12">
        <f>MONTH(Movimientos_2026[[#This Row],[Fecha]])</f>
        <v>3</v>
      </c>
      <c r="C778" s="12" t="str">
        <f>VLOOKUP((WEEKDAY(Movimientos_2026[[#This Row],[Fecha]],2)),'5. Setup'!$D$6:$E$12,2,FALSE)</f>
        <v>Dom</v>
      </c>
      <c r="D778">
        <v>3000000</v>
      </c>
      <c r="E778" t="str">
        <f>IFERROR(+VLOOKUP(Movimientos_2026[[#This Row],[Codigo]],Plan_cuentas[],2,FALSE)," ")</f>
        <v>SALDO INICIAL</v>
      </c>
      <c r="F778" t="str">
        <f>IFERROR(+VLOOKUP(Movimientos_2026[[#This Row],[Codigo]],Plan_cuentas[],3,FALSE)," ")</f>
        <v xml:space="preserve"> </v>
      </c>
      <c r="G778" t="str">
        <f>IFERROR(+VLOOKUP(Movimientos_2026[[#This Row],[Codigo]],Plan_cuentas[],4,FALSE)," ")</f>
        <v xml:space="preserve"> </v>
      </c>
      <c r="H778" t="str">
        <f>IFERROR(+VLOOKUP(Movimientos_2026[[#This Row],[Codigo]],Plan_cuentas[],5,FALSE)," ")</f>
        <v xml:space="preserve"> </v>
      </c>
      <c r="I778" s="43"/>
      <c r="K778" t="str">
        <f>IFERROR(+VLOOKUP(Movimientos_2026[[#This Row],[Codigo]],Plan_cuentas[],6,FALSE)," ")</f>
        <v xml:space="preserve">     </v>
      </c>
      <c r="L778" s="50"/>
      <c r="M778" s="50"/>
      <c r="N778" s="20">
        <f>+Movimientos_2026[[#This Row],[Ingresos]]-Movimientos_2026[[#This Row],[Egresos]]</f>
        <v>0</v>
      </c>
      <c r="O778" s="20">
        <f>+O777+Movimientos_2026[[#This Row],[Neto]]</f>
        <v>5531079110.7982054</v>
      </c>
    </row>
    <row r="779" spans="1:15" x14ac:dyDescent="0.25">
      <c r="A779" s="13">
        <v>46084</v>
      </c>
      <c r="B779" s="12">
        <f>MONTH(Movimientos_2026[[#This Row],[Fecha]])</f>
        <v>3</v>
      </c>
      <c r="C779" s="12" t="str">
        <f>VLOOKUP((WEEKDAY(Movimientos_2026[[#This Row],[Fecha]],2)),'5. Setup'!$D$6:$E$12,2,FALSE)</f>
        <v>Mar</v>
      </c>
      <c r="D779">
        <v>1045474</v>
      </c>
      <c r="E779" t="str">
        <f>IFERROR(+VLOOKUP(Movimientos_2026[[#This Row],[Codigo]],Plan_cuentas[],2,FALSE)," ")</f>
        <v>INGRESOS</v>
      </c>
      <c r="F779" t="str">
        <f>IFERROR(+VLOOKUP(Movimientos_2026[[#This Row],[Codigo]],Plan_cuentas[],3,FALSE)," ")</f>
        <v>Transferencia</v>
      </c>
      <c r="G779" t="str">
        <f>IFERROR(+VLOOKUP(Movimientos_2026[[#This Row],[Codigo]],Plan_cuentas[],4,FALSE)," ")</f>
        <v>Factura</v>
      </c>
      <c r="H779" t="str">
        <f>IFERROR(+VLOOKUP(Movimientos_2026[[#This Row],[Codigo]],Plan_cuentas[],5,FALSE)," ")</f>
        <v>FC HONORARIOS</v>
      </c>
      <c r="I779" s="43">
        <v>45992</v>
      </c>
      <c r="J779" t="s">
        <v>333</v>
      </c>
      <c r="K779" t="str">
        <f>IFERROR(+VLOOKUP(Movimientos_2026[[#This Row],[Codigo]],Plan_cuentas[],6,FALSE)," ")</f>
        <v>4 - FCA - Fiat</v>
      </c>
      <c r="L779" s="50">
        <v>4086299.889</v>
      </c>
      <c r="M779" s="52"/>
      <c r="N779" s="20">
        <f>+Movimientos_2026[[#This Row],[Ingresos]]-Movimientos_2026[[#This Row],[Egresos]]</f>
        <v>4086299.889</v>
      </c>
      <c r="O779" s="20">
        <f>+O778+Movimientos_2026[[#This Row],[Neto]]</f>
        <v>5535165410.6872053</v>
      </c>
    </row>
    <row r="780" spans="1:15" x14ac:dyDescent="0.25">
      <c r="A780" s="13">
        <v>46084</v>
      </c>
      <c r="B780" s="12">
        <f>MONTH(Movimientos_2026[[#This Row],[Fecha]])</f>
        <v>3</v>
      </c>
      <c r="C780" s="12" t="str">
        <f>VLOOKUP((WEEKDAY(Movimientos_2026[[#This Row],[Fecha]],2)),'5. Setup'!$D$6:$E$12,2,FALSE)</f>
        <v>Mar</v>
      </c>
      <c r="D780">
        <v>1044486</v>
      </c>
      <c r="E780" t="str">
        <f>IFERROR(+VLOOKUP(Movimientos_2026[[#This Row],[Codigo]],Plan_cuentas[],2,FALSE)," ")</f>
        <v>INGRESOS</v>
      </c>
      <c r="F780" t="str">
        <f>IFERROR(+VLOOKUP(Movimientos_2026[[#This Row],[Codigo]],Plan_cuentas[],3,FALSE)," ")</f>
        <v>Transferencia</v>
      </c>
      <c r="G780" t="str">
        <f>IFERROR(+VLOOKUP(Movimientos_2026[[#This Row],[Codigo]],Plan_cuentas[],4,FALSE)," ")</f>
        <v>Factura</v>
      </c>
      <c r="H780" t="str">
        <f>IFERROR(+VLOOKUP(Movimientos_2026[[#This Row],[Codigo]],Plan_cuentas[],5,FALSE)," ")</f>
        <v>FC TRAMITACION</v>
      </c>
      <c r="I780" s="43">
        <v>45992</v>
      </c>
      <c r="J780" t="s">
        <v>334</v>
      </c>
      <c r="K780" t="str">
        <f>IFERROR(+VLOOKUP(Movimientos_2026[[#This Row],[Codigo]],Plan_cuentas[],6,FALSE)," ")</f>
        <v>6 - FCAtr - Fiat Transf.</v>
      </c>
      <c r="L780" s="50">
        <v>90557617.920000002</v>
      </c>
      <c r="M780" s="50"/>
      <c r="N780" s="20">
        <f>+Movimientos_2026[[#This Row],[Ingresos]]-Movimientos_2026[[#This Row],[Egresos]]</f>
        <v>90557617.920000002</v>
      </c>
      <c r="O780" s="20">
        <f>+O779+Movimientos_2026[[#This Row],[Neto]]</f>
        <v>5625723028.6072054</v>
      </c>
    </row>
    <row r="781" spans="1:15" x14ac:dyDescent="0.25">
      <c r="A781" s="13">
        <v>46084</v>
      </c>
      <c r="B781" s="12">
        <f>MONTH(Movimientos_2026[[#This Row],[Fecha]])</f>
        <v>3</v>
      </c>
      <c r="C781" s="12" t="str">
        <f>VLOOKUP((WEEKDAY(Movimientos_2026[[#This Row],[Fecha]],2)),'5. Setup'!$D$6:$E$12,2,FALSE)</f>
        <v>Mar</v>
      </c>
      <c r="D781">
        <v>1045474</v>
      </c>
      <c r="E781" t="str">
        <f>IFERROR(+VLOOKUP(Movimientos_2026[[#This Row],[Codigo]],Plan_cuentas[],2,FALSE)," ")</f>
        <v>INGRESOS</v>
      </c>
      <c r="F781" t="str">
        <f>IFERROR(+VLOOKUP(Movimientos_2026[[#This Row],[Codigo]],Plan_cuentas[],3,FALSE)," ")</f>
        <v>Transferencia</v>
      </c>
      <c r="G781" t="str">
        <f>IFERROR(+VLOOKUP(Movimientos_2026[[#This Row],[Codigo]],Plan_cuentas[],4,FALSE)," ")</f>
        <v>Factura</v>
      </c>
      <c r="H781" t="str">
        <f>IFERROR(+VLOOKUP(Movimientos_2026[[#This Row],[Codigo]],Plan_cuentas[],5,FALSE)," ")</f>
        <v>FC HONORARIOS</v>
      </c>
      <c r="I781" s="43">
        <v>45992</v>
      </c>
      <c r="J781" t="s">
        <v>335</v>
      </c>
      <c r="K781" t="str">
        <f>IFERROR(+VLOOKUP(Movimientos_2026[[#This Row],[Codigo]],Plan_cuentas[],6,FALSE)," ")</f>
        <v>4 - FCA - Fiat</v>
      </c>
      <c r="L781" s="50">
        <v>3634990.59</v>
      </c>
      <c r="M781" s="52"/>
      <c r="N781" s="20">
        <f>+Movimientos_2026[[#This Row],[Ingresos]]-Movimientos_2026[[#This Row],[Egresos]]</f>
        <v>3634990.59</v>
      </c>
      <c r="O781" s="20">
        <f>+O780+Movimientos_2026[[#This Row],[Neto]]</f>
        <v>5629358019.1972055</v>
      </c>
    </row>
    <row r="782" spans="1:15" x14ac:dyDescent="0.25">
      <c r="A782" s="13">
        <v>46084</v>
      </c>
      <c r="B782" s="12">
        <f>MONTH(Movimientos_2026[[#This Row],[Fecha]])</f>
        <v>3</v>
      </c>
      <c r="C782" s="12" t="str">
        <f>VLOOKUP((WEEKDAY(Movimientos_2026[[#This Row],[Fecha]],2)),'5. Setup'!$D$6:$E$12,2,FALSE)</f>
        <v>Mar</v>
      </c>
      <c r="D782">
        <v>1044126</v>
      </c>
      <c r="E782" t="str">
        <f>IFERROR(+VLOOKUP(Movimientos_2026[[#This Row],[Codigo]],Plan_cuentas[],2,FALSE)," ")</f>
        <v>INGRESOS</v>
      </c>
      <c r="F782" t="str">
        <f>IFERROR(+VLOOKUP(Movimientos_2026[[#This Row],[Codigo]],Plan_cuentas[],3,FALSE)," ")</f>
        <v>Transferencia</v>
      </c>
      <c r="G782" t="str">
        <f>IFERROR(+VLOOKUP(Movimientos_2026[[#This Row],[Codigo]],Plan_cuentas[],4,FALSE)," ")</f>
        <v>Rentas</v>
      </c>
      <c r="H782" t="str">
        <f>IFERROR(+VLOOKUP(Movimientos_2026[[#This Row],[Codigo]],Plan_cuentas[],5,FALSE)," ")</f>
        <v>BAPRO</v>
      </c>
      <c r="I782" s="43">
        <v>45992</v>
      </c>
      <c r="J782" t="s">
        <v>336</v>
      </c>
      <c r="K782" t="str">
        <f>IFERROR(+VLOOKUP(Movimientos_2026[[#This Row],[Codigo]],Plan_cuentas[],6,FALSE)," ")</f>
        <v>6 - FCAtr - Fiat Transf.</v>
      </c>
      <c r="L782" s="50">
        <v>49536452.600000001</v>
      </c>
      <c r="M782" s="52"/>
      <c r="N782" s="20">
        <f>+Movimientos_2026[[#This Row],[Ingresos]]-Movimientos_2026[[#This Row],[Egresos]]</f>
        <v>49536452.600000001</v>
      </c>
      <c r="O782" s="20">
        <f>+O781+Movimientos_2026[[#This Row],[Neto]]</f>
        <v>5678894471.7972059</v>
      </c>
    </row>
    <row r="783" spans="1:15" x14ac:dyDescent="0.25">
      <c r="A783" s="13">
        <v>46084</v>
      </c>
      <c r="B783" s="12">
        <f>MONTH(Movimientos_2026[[#This Row],[Fecha]])</f>
        <v>3</v>
      </c>
      <c r="C783" s="12" t="str">
        <f>VLOOKUP((WEEKDAY(Movimientos_2026[[#This Row],[Fecha]],2)),'5. Setup'!$D$6:$E$12,2,FALSE)</f>
        <v>Mar</v>
      </c>
      <c r="D783">
        <v>1043156</v>
      </c>
      <c r="E783" t="str">
        <f>IFERROR(+VLOOKUP(Movimientos_2026[[#This Row],[Codigo]],Plan_cuentas[],2,FALSE)," ")</f>
        <v>INGRESOS</v>
      </c>
      <c r="F783" t="str">
        <f>IFERROR(+VLOOKUP(Movimientos_2026[[#This Row],[Codigo]],Plan_cuentas[],3,FALSE)," ")</f>
        <v>Transferencia</v>
      </c>
      <c r="G783" t="str">
        <f>IFERROR(+VLOOKUP(Movimientos_2026[[#This Row],[Codigo]],Plan_cuentas[],4,FALSE)," ")</f>
        <v>Registración</v>
      </c>
      <c r="H783" t="str">
        <f>IFERROR(+VLOOKUP(Movimientos_2026[[#This Row],[Codigo]],Plan_cuentas[],5,FALSE)," ")</f>
        <v>CABA</v>
      </c>
      <c r="I783" s="43">
        <v>45992</v>
      </c>
      <c r="J783" t="s">
        <v>336</v>
      </c>
      <c r="K783" t="str">
        <f>IFERROR(+VLOOKUP(Movimientos_2026[[#This Row],[Codigo]],Plan_cuentas[],6,FALSE)," ")</f>
        <v>6 - FCAtr - Fiat Transf.</v>
      </c>
      <c r="L783" s="50">
        <v>11558343.27</v>
      </c>
      <c r="M783" s="52"/>
      <c r="N783" s="20">
        <f>+Movimientos_2026[[#This Row],[Ingresos]]-Movimientos_2026[[#This Row],[Egresos]]</f>
        <v>11558343.27</v>
      </c>
      <c r="O783" s="20">
        <f>+O782+Movimientos_2026[[#This Row],[Neto]]</f>
        <v>5690452815.0672064</v>
      </c>
    </row>
    <row r="784" spans="1:15" x14ac:dyDescent="0.25">
      <c r="A784" s="13">
        <v>46084</v>
      </c>
      <c r="B784" s="12">
        <f>MONTH(Movimientos_2026[[#This Row],[Fecha]])</f>
        <v>3</v>
      </c>
      <c r="C784" s="12" t="str">
        <f>VLOOKUP((WEEKDAY(Movimientos_2026[[#This Row],[Fecha]],2)),'5. Setup'!$D$6:$E$12,2,FALSE)</f>
        <v>Mar</v>
      </c>
      <c r="D784">
        <v>1043176</v>
      </c>
      <c r="E784" t="str">
        <f>IFERROR(+VLOOKUP(Movimientos_2026[[#This Row],[Codigo]],Plan_cuentas[],2,FALSE)," ")</f>
        <v>INGRESOS</v>
      </c>
      <c r="F784" t="str">
        <f>IFERROR(+VLOOKUP(Movimientos_2026[[#This Row],[Codigo]],Plan_cuentas[],3,FALSE)," ")</f>
        <v>Transferencia</v>
      </c>
      <c r="G784" t="str">
        <f>IFERROR(+VLOOKUP(Movimientos_2026[[#This Row],[Codigo]],Plan_cuentas[],4,FALSE)," ")</f>
        <v>Registración</v>
      </c>
      <c r="H784" t="str">
        <f>IFERROR(+VLOOKUP(Movimientos_2026[[#This Row],[Codigo]],Plan_cuentas[],5,FALSE)," ")</f>
        <v>CHUBUT</v>
      </c>
      <c r="I784" s="43">
        <v>45992</v>
      </c>
      <c r="J784" t="s">
        <v>336</v>
      </c>
      <c r="K784" t="str">
        <f>IFERROR(+VLOOKUP(Movimientos_2026[[#This Row],[Codigo]],Plan_cuentas[],6,FALSE)," ")</f>
        <v>6 - FCAtr - Fiat Transf.</v>
      </c>
      <c r="L784" s="50">
        <v>257929.89</v>
      </c>
      <c r="M784" s="52"/>
      <c r="N784" s="20">
        <f>+Movimientos_2026[[#This Row],[Ingresos]]-Movimientos_2026[[#This Row],[Egresos]]</f>
        <v>257929.89</v>
      </c>
      <c r="O784" s="20">
        <f>+O783+Movimientos_2026[[#This Row],[Neto]]</f>
        <v>5690710744.9572067</v>
      </c>
    </row>
    <row r="785" spans="1:15" x14ac:dyDescent="0.25">
      <c r="A785" s="13">
        <v>46084</v>
      </c>
      <c r="B785" s="12">
        <f>MONTH(Movimientos_2026[[#This Row],[Fecha]])</f>
        <v>3</v>
      </c>
      <c r="C785" s="12" t="str">
        <f>VLOOKUP((WEEKDAY(Movimientos_2026[[#This Row],[Fecha]],2)),'5. Setup'!$D$6:$E$12,2,FALSE)</f>
        <v>Mar</v>
      </c>
      <c r="D785">
        <v>1043226</v>
      </c>
      <c r="E785" t="str">
        <f>IFERROR(+VLOOKUP(Movimientos_2026[[#This Row],[Codigo]],Plan_cuentas[],2,FALSE)," ")</f>
        <v>INGRESOS</v>
      </c>
      <c r="F785" t="str">
        <f>IFERROR(+VLOOKUP(Movimientos_2026[[#This Row],[Codigo]],Plan_cuentas[],3,FALSE)," ")</f>
        <v>Transferencia</v>
      </c>
      <c r="G785" t="str">
        <f>IFERROR(+VLOOKUP(Movimientos_2026[[#This Row],[Codigo]],Plan_cuentas[],4,FALSE)," ")</f>
        <v>Registración</v>
      </c>
      <c r="H785" t="str">
        <f>IFERROR(+VLOOKUP(Movimientos_2026[[#This Row],[Codigo]],Plan_cuentas[],5,FALSE)," ")</f>
        <v>ENTRE RIOS 1° Q</v>
      </c>
      <c r="I785" s="43">
        <v>45992</v>
      </c>
      <c r="J785" t="s">
        <v>336</v>
      </c>
      <c r="K785" t="str">
        <f>IFERROR(+VLOOKUP(Movimientos_2026[[#This Row],[Codigo]],Plan_cuentas[],6,FALSE)," ")</f>
        <v>6 - FCAtr - Fiat Transf.</v>
      </c>
      <c r="L785" s="50">
        <v>37678.679999999993</v>
      </c>
      <c r="M785" s="52"/>
      <c r="N785" s="20">
        <f>+Movimientos_2026[[#This Row],[Ingresos]]-Movimientos_2026[[#This Row],[Egresos]]</f>
        <v>37678.679999999993</v>
      </c>
      <c r="O785" s="20">
        <f>+O784+Movimientos_2026[[#This Row],[Neto]]</f>
        <v>5690748423.637207</v>
      </c>
    </row>
    <row r="786" spans="1:15" x14ac:dyDescent="0.25">
      <c r="A786" s="13">
        <v>46084</v>
      </c>
      <c r="B786" s="12">
        <f>MONTH(Movimientos_2026[[#This Row],[Fecha]])</f>
        <v>3</v>
      </c>
      <c r="C786" s="12" t="str">
        <f>VLOOKUP((WEEKDAY(Movimientos_2026[[#This Row],[Fecha]],2)),'5. Setup'!$D$6:$E$12,2,FALSE)</f>
        <v>Mar</v>
      </c>
      <c r="D786">
        <v>1044246</v>
      </c>
      <c r="E786" t="str">
        <f>IFERROR(+VLOOKUP(Movimientos_2026[[#This Row],[Codigo]],Plan_cuentas[],2,FALSE)," ")</f>
        <v>INGRESOS</v>
      </c>
      <c r="F786" t="str">
        <f>IFERROR(+VLOOKUP(Movimientos_2026[[#This Row],[Codigo]],Plan_cuentas[],3,FALSE)," ")</f>
        <v>Transferencia</v>
      </c>
      <c r="G786" t="str">
        <f>IFERROR(+VLOOKUP(Movimientos_2026[[#This Row],[Codigo]],Plan_cuentas[],4,FALSE)," ")</f>
        <v>Rentas</v>
      </c>
      <c r="H786" t="str">
        <f>IFERROR(+VLOOKUP(Movimientos_2026[[#This Row],[Codigo]],Plan_cuentas[],5,FALSE)," ")</f>
        <v>FORMOSA</v>
      </c>
      <c r="I786" s="43">
        <v>45992</v>
      </c>
      <c r="J786" t="s">
        <v>336</v>
      </c>
      <c r="K786" t="str">
        <f>IFERROR(+VLOOKUP(Movimientos_2026[[#This Row],[Codigo]],Plan_cuentas[],6,FALSE)," ")</f>
        <v>6 - FCAtr - Fiat Transf.</v>
      </c>
      <c r="L786" s="50">
        <v>338961.4</v>
      </c>
      <c r="M786" s="52"/>
      <c r="N786" s="20">
        <f>+Movimientos_2026[[#This Row],[Ingresos]]-Movimientos_2026[[#This Row],[Egresos]]</f>
        <v>338961.4</v>
      </c>
      <c r="O786" s="20">
        <f>+O785+Movimientos_2026[[#This Row],[Neto]]</f>
        <v>5691087385.0372066</v>
      </c>
    </row>
    <row r="787" spans="1:15" x14ac:dyDescent="0.25">
      <c r="A787" s="13">
        <v>46084</v>
      </c>
      <c r="B787" s="12">
        <f>MONTH(Movimientos_2026[[#This Row],[Fecha]])</f>
        <v>3</v>
      </c>
      <c r="C787" s="12" t="str">
        <f>VLOOKUP((WEEKDAY(Movimientos_2026[[#This Row],[Fecha]],2)),'5. Setup'!$D$6:$E$12,2,FALSE)</f>
        <v>Mar</v>
      </c>
      <c r="D787">
        <v>1043376</v>
      </c>
      <c r="E787" t="str">
        <f>IFERROR(+VLOOKUP(Movimientos_2026[[#This Row],[Codigo]],Plan_cuentas[],2,FALSE)," ")</f>
        <v>INGRESOS</v>
      </c>
      <c r="F787" t="str">
        <f>IFERROR(+VLOOKUP(Movimientos_2026[[#This Row],[Codigo]],Plan_cuentas[],3,FALSE)," ")</f>
        <v>Transferencia</v>
      </c>
      <c r="G787" t="str">
        <f>IFERROR(+VLOOKUP(Movimientos_2026[[#This Row],[Codigo]],Plan_cuentas[],4,FALSE)," ")</f>
        <v>Registración</v>
      </c>
      <c r="H787" t="str">
        <f>IFERROR(+VLOOKUP(Movimientos_2026[[#This Row],[Codigo]],Plan_cuentas[],5,FALSE)," ")</f>
        <v>SANTA CRUZ</v>
      </c>
      <c r="I787" s="43">
        <v>45992</v>
      </c>
      <c r="J787" t="s">
        <v>336</v>
      </c>
      <c r="K787" t="str">
        <f>IFERROR(+VLOOKUP(Movimientos_2026[[#This Row],[Codigo]],Plan_cuentas[],6,FALSE)," ")</f>
        <v>6 - FCAtr - Fiat Transf.</v>
      </c>
      <c r="L787" s="50">
        <v>628799.79</v>
      </c>
      <c r="M787" s="52"/>
      <c r="N787" s="20">
        <f>+Movimientos_2026[[#This Row],[Ingresos]]-Movimientos_2026[[#This Row],[Egresos]]</f>
        <v>628799.79</v>
      </c>
      <c r="O787" s="20">
        <f>+O786+Movimientos_2026[[#This Row],[Neto]]</f>
        <v>5691716184.8272066</v>
      </c>
    </row>
    <row r="788" spans="1:15" x14ac:dyDescent="0.25">
      <c r="A788" s="13">
        <v>46084</v>
      </c>
      <c r="B788" s="12">
        <f>MONTH(Movimientos_2026[[#This Row],[Fecha]])</f>
        <v>3</v>
      </c>
      <c r="C788" s="12" t="str">
        <f>VLOOKUP((WEEKDAY(Movimientos_2026[[#This Row],[Fecha]],2)),'5. Setup'!$D$6:$E$12,2,FALSE)</f>
        <v>Mar</v>
      </c>
      <c r="D788">
        <v>1043386</v>
      </c>
      <c r="E788" t="str">
        <f>IFERROR(+VLOOKUP(Movimientos_2026[[#This Row],[Codigo]],Plan_cuentas[],2,FALSE)," ")</f>
        <v>INGRESOS</v>
      </c>
      <c r="F788" t="str">
        <f>IFERROR(+VLOOKUP(Movimientos_2026[[#This Row],[Codigo]],Plan_cuentas[],3,FALSE)," ")</f>
        <v>Transferencia</v>
      </c>
      <c r="G788" t="str">
        <f>IFERROR(+VLOOKUP(Movimientos_2026[[#This Row],[Codigo]],Plan_cuentas[],4,FALSE)," ")</f>
        <v>Registración</v>
      </c>
      <c r="H788" t="str">
        <f>IFERROR(+VLOOKUP(Movimientos_2026[[#This Row],[Codigo]],Plan_cuentas[],5,FALSE)," ")</f>
        <v>SANTA FE 1° Q</v>
      </c>
      <c r="I788" s="43">
        <v>45992</v>
      </c>
      <c r="J788" t="s">
        <v>336</v>
      </c>
      <c r="K788" t="str">
        <f>IFERROR(+VLOOKUP(Movimientos_2026[[#This Row],[Codigo]],Plan_cuentas[],6,FALSE)," ")</f>
        <v>6 - FCAtr - Fiat Transf.</v>
      </c>
      <c r="L788" s="50">
        <v>2479322.7100000009</v>
      </c>
      <c r="M788" s="52"/>
      <c r="N788" s="20">
        <f>+Movimientos_2026[[#This Row],[Ingresos]]-Movimientos_2026[[#This Row],[Egresos]]</f>
        <v>2479322.7100000009</v>
      </c>
      <c r="O788" s="20">
        <f>+O787+Movimientos_2026[[#This Row],[Neto]]</f>
        <v>5694195507.5372066</v>
      </c>
    </row>
    <row r="789" spans="1:15" x14ac:dyDescent="0.25">
      <c r="A789" s="13">
        <v>46084</v>
      </c>
      <c r="B789" s="12">
        <f>MONTH(Movimientos_2026[[#This Row],[Fecha]])</f>
        <v>3</v>
      </c>
      <c r="C789" s="12" t="str">
        <f>VLOOKUP((WEEKDAY(Movimientos_2026[[#This Row],[Fecha]],2)),'5. Setup'!$D$6:$E$12,2,FALSE)</f>
        <v>Mar</v>
      </c>
      <c r="D789">
        <v>1043155</v>
      </c>
      <c r="E789" t="str">
        <f>IFERROR(+VLOOKUP(Movimientos_2026[[#This Row],[Codigo]],Plan_cuentas[],2,FALSE)," ")</f>
        <v>INGRESOS</v>
      </c>
      <c r="F789" t="str">
        <f>IFERROR(+VLOOKUP(Movimientos_2026[[#This Row],[Codigo]],Plan_cuentas[],3,FALSE)," ")</f>
        <v>Transferencia</v>
      </c>
      <c r="G789" t="str">
        <f>IFERROR(+VLOOKUP(Movimientos_2026[[#This Row],[Codigo]],Plan_cuentas[],4,FALSE)," ")</f>
        <v>Registración</v>
      </c>
      <c r="H789" t="str">
        <f>IFERROR(+VLOOKUP(Movimientos_2026[[#This Row],[Codigo]],Plan_cuentas[],5,FALSE)," ")</f>
        <v>CABA</v>
      </c>
      <c r="I789" s="43">
        <v>46023</v>
      </c>
      <c r="J789" t="s">
        <v>337</v>
      </c>
      <c r="K789" t="str">
        <f>IFERROR(+VLOOKUP(Movimientos_2026[[#This Row],[Codigo]],Plan_cuentas[],6,FALSE)," ")</f>
        <v>5 - YAM - Yamaha</v>
      </c>
      <c r="L789" s="50">
        <v>22934492.25</v>
      </c>
      <c r="M789" s="50"/>
      <c r="N789" s="20">
        <f>+Movimientos_2026[[#This Row],[Ingresos]]-Movimientos_2026[[#This Row],[Egresos]]</f>
        <v>22934492.25</v>
      </c>
      <c r="O789" s="20">
        <f>+O788+Movimientos_2026[[#This Row],[Neto]]</f>
        <v>5717129999.7872066</v>
      </c>
    </row>
    <row r="790" spans="1:15" x14ac:dyDescent="0.25">
      <c r="A790" s="13">
        <v>46084</v>
      </c>
      <c r="B790" s="12">
        <f>MONTH(Movimientos_2026[[#This Row],[Fecha]])</f>
        <v>3</v>
      </c>
      <c r="C790" s="12" t="str">
        <f>VLOOKUP((WEEKDAY(Movimientos_2026[[#This Row],[Fecha]],2)),'5. Setup'!$D$6:$E$12,2,FALSE)</f>
        <v>Mar</v>
      </c>
      <c r="D790">
        <v>1043175</v>
      </c>
      <c r="E790" t="str">
        <f>IFERROR(+VLOOKUP(Movimientos_2026[[#This Row],[Codigo]],Plan_cuentas[],2,FALSE)," ")</f>
        <v>INGRESOS</v>
      </c>
      <c r="F790" t="str">
        <f>IFERROR(+VLOOKUP(Movimientos_2026[[#This Row],[Codigo]],Plan_cuentas[],3,FALSE)," ")</f>
        <v>Transferencia</v>
      </c>
      <c r="G790" t="str">
        <f>IFERROR(+VLOOKUP(Movimientos_2026[[#This Row],[Codigo]],Plan_cuentas[],4,FALSE)," ")</f>
        <v>Registración</v>
      </c>
      <c r="H790" t="str">
        <f>IFERROR(+VLOOKUP(Movimientos_2026[[#This Row],[Codigo]],Plan_cuentas[],5,FALSE)," ")</f>
        <v>CHUBUT</v>
      </c>
      <c r="I790" s="43">
        <v>46023</v>
      </c>
      <c r="J790" t="s">
        <v>337</v>
      </c>
      <c r="K790" t="str">
        <f>IFERROR(+VLOOKUP(Movimientos_2026[[#This Row],[Codigo]],Plan_cuentas[],6,FALSE)," ")</f>
        <v>5 - YAM - Yamaha</v>
      </c>
      <c r="L790" s="50">
        <v>222559.65</v>
      </c>
      <c r="M790" s="52"/>
      <c r="N790" s="20">
        <f>+Movimientos_2026[[#This Row],[Ingresos]]-Movimientos_2026[[#This Row],[Egresos]]</f>
        <v>222559.65</v>
      </c>
      <c r="O790" s="20">
        <f>+O789+Movimientos_2026[[#This Row],[Neto]]</f>
        <v>5717352559.4372063</v>
      </c>
    </row>
    <row r="791" spans="1:15" x14ac:dyDescent="0.25">
      <c r="A791" s="13">
        <v>46084</v>
      </c>
      <c r="B791" s="12">
        <f>MONTH(Movimientos_2026[[#This Row],[Fecha]])</f>
        <v>3</v>
      </c>
      <c r="C791" s="12" t="str">
        <f>VLOOKUP((WEEKDAY(Movimientos_2026[[#This Row],[Fecha]],2)),'5. Setup'!$D$6:$E$12,2,FALSE)</f>
        <v>Mar</v>
      </c>
      <c r="D791">
        <v>1043245</v>
      </c>
      <c r="E791" t="str">
        <f>IFERROR(+VLOOKUP(Movimientos_2026[[#This Row],[Codigo]],Plan_cuentas[],2,FALSE)," ")</f>
        <v>INGRESOS</v>
      </c>
      <c r="F791" t="str">
        <f>IFERROR(+VLOOKUP(Movimientos_2026[[#This Row],[Codigo]],Plan_cuentas[],3,FALSE)," ")</f>
        <v>Transferencia</v>
      </c>
      <c r="G791" t="str">
        <f>IFERROR(+VLOOKUP(Movimientos_2026[[#This Row],[Codigo]],Plan_cuentas[],4,FALSE)," ")</f>
        <v>Registración</v>
      </c>
      <c r="H791" t="str">
        <f>IFERROR(+VLOOKUP(Movimientos_2026[[#This Row],[Codigo]],Plan_cuentas[],5,FALSE)," ")</f>
        <v>FORMOSA</v>
      </c>
      <c r="I791" s="43">
        <v>46023</v>
      </c>
      <c r="J791" t="s">
        <v>337</v>
      </c>
      <c r="K791" t="str">
        <f>IFERROR(+VLOOKUP(Movimientos_2026[[#This Row],[Codigo]],Plan_cuentas[],6,FALSE)," ")</f>
        <v>5 - YAM - Yamaha</v>
      </c>
      <c r="L791" s="50">
        <v>87071.17</v>
      </c>
      <c r="M791" s="52"/>
      <c r="N791" s="20">
        <f>+Movimientos_2026[[#This Row],[Ingresos]]-Movimientos_2026[[#This Row],[Egresos]]</f>
        <v>87071.17</v>
      </c>
      <c r="O791" s="20">
        <f>+O790+Movimientos_2026[[#This Row],[Neto]]</f>
        <v>5717439630.6072063</v>
      </c>
    </row>
    <row r="792" spans="1:15" x14ac:dyDescent="0.25">
      <c r="A792" s="13">
        <v>46084</v>
      </c>
      <c r="B792" s="12">
        <f>MONTH(Movimientos_2026[[#This Row],[Fecha]])</f>
        <v>3</v>
      </c>
      <c r="C792" s="12" t="str">
        <f>VLOOKUP((WEEKDAY(Movimientos_2026[[#This Row],[Fecha]],2)),'5. Setup'!$D$6:$E$12,2,FALSE)</f>
        <v>Mar</v>
      </c>
      <c r="D792">
        <v>1043375</v>
      </c>
      <c r="E792" t="str">
        <f>IFERROR(+VLOOKUP(Movimientos_2026[[#This Row],[Codigo]],Plan_cuentas[],2,FALSE)," ")</f>
        <v>INGRESOS</v>
      </c>
      <c r="F792" t="str">
        <f>IFERROR(+VLOOKUP(Movimientos_2026[[#This Row],[Codigo]],Plan_cuentas[],3,FALSE)," ")</f>
        <v>Transferencia</v>
      </c>
      <c r="G792" t="str">
        <f>IFERROR(+VLOOKUP(Movimientos_2026[[#This Row],[Codigo]],Plan_cuentas[],4,FALSE)," ")</f>
        <v>Registración</v>
      </c>
      <c r="H792" t="str">
        <f>IFERROR(+VLOOKUP(Movimientos_2026[[#This Row],[Codigo]],Plan_cuentas[],5,FALSE)," ")</f>
        <v>SANTA CRUZ</v>
      </c>
      <c r="I792" s="43">
        <v>46023</v>
      </c>
      <c r="J792" t="s">
        <v>337</v>
      </c>
      <c r="K792" t="str">
        <f>IFERROR(+VLOOKUP(Movimientos_2026[[#This Row],[Codigo]],Plan_cuentas[],6,FALSE)," ")</f>
        <v>5 - YAM - Yamaha</v>
      </c>
      <c r="L792" s="50">
        <v>184044.35</v>
      </c>
      <c r="M792" s="52"/>
      <c r="N792" s="20">
        <f>+Movimientos_2026[[#This Row],[Ingresos]]-Movimientos_2026[[#This Row],[Egresos]]</f>
        <v>184044.35</v>
      </c>
      <c r="O792" s="20">
        <f>+O791+Movimientos_2026[[#This Row],[Neto]]</f>
        <v>5717623674.9572067</v>
      </c>
    </row>
    <row r="793" spans="1:15" x14ac:dyDescent="0.25">
      <c r="A793" s="13">
        <v>46084</v>
      </c>
      <c r="B793" s="12">
        <f>MONTH(Movimientos_2026[[#This Row],[Fecha]])</f>
        <v>3</v>
      </c>
      <c r="C793" s="12" t="str">
        <f>VLOOKUP((WEEKDAY(Movimientos_2026[[#This Row],[Fecha]],2)),'5. Setup'!$D$6:$E$12,2,FALSE)</f>
        <v>Mar</v>
      </c>
      <c r="D793">
        <v>1043385</v>
      </c>
      <c r="E793" t="str">
        <f>IFERROR(+VLOOKUP(Movimientos_2026[[#This Row],[Codigo]],Plan_cuentas[],2,FALSE)," ")</f>
        <v>INGRESOS</v>
      </c>
      <c r="F793" t="str">
        <f>IFERROR(+VLOOKUP(Movimientos_2026[[#This Row],[Codigo]],Plan_cuentas[],3,FALSE)," ")</f>
        <v>Transferencia</v>
      </c>
      <c r="G793" t="str">
        <f>IFERROR(+VLOOKUP(Movimientos_2026[[#This Row],[Codigo]],Plan_cuentas[],4,FALSE)," ")</f>
        <v>Registración</v>
      </c>
      <c r="H793" t="str">
        <f>IFERROR(+VLOOKUP(Movimientos_2026[[#This Row],[Codigo]],Plan_cuentas[],5,FALSE)," ")</f>
        <v>SANTA FE 1° Q</v>
      </c>
      <c r="I793" s="43">
        <v>46023</v>
      </c>
      <c r="J793" t="s">
        <v>337</v>
      </c>
      <c r="K793" t="str">
        <f>IFERROR(+VLOOKUP(Movimientos_2026[[#This Row],[Codigo]],Plan_cuentas[],6,FALSE)," ")</f>
        <v>5 - YAM - Yamaha</v>
      </c>
      <c r="L793" s="50">
        <v>1869155.41</v>
      </c>
      <c r="M793" s="52"/>
      <c r="N793" s="20">
        <f>+Movimientos_2026[[#This Row],[Ingresos]]-Movimientos_2026[[#This Row],[Egresos]]</f>
        <v>1869155.41</v>
      </c>
      <c r="O793" s="20">
        <f>+O791+Movimientos_2026[[#This Row],[Neto]]</f>
        <v>5719308786.0172062</v>
      </c>
    </row>
    <row r="794" spans="1:15" x14ac:dyDescent="0.25">
      <c r="A794" s="13">
        <v>46084</v>
      </c>
      <c r="B794" s="12">
        <f>MONTH(Movimientos_2026[[#This Row],[Fecha]])</f>
        <v>3</v>
      </c>
      <c r="C794" s="12" t="str">
        <f>VLOOKUP((WEEKDAY(Movimientos_2026[[#This Row],[Fecha]],2)),'5. Setup'!$D$6:$E$12,2,FALSE)</f>
        <v>Mar</v>
      </c>
      <c r="D794">
        <v>1044165</v>
      </c>
      <c r="E794" t="str">
        <f>IFERROR(+VLOOKUP(Movimientos_2026[[#This Row],[Codigo]],Plan_cuentas[],2,FALSE)," ")</f>
        <v>INGRESOS</v>
      </c>
      <c r="F794" t="str">
        <f>IFERROR(+VLOOKUP(Movimientos_2026[[#This Row],[Codigo]],Plan_cuentas[],3,FALSE)," ")</f>
        <v>Transferencia</v>
      </c>
      <c r="G794" t="str">
        <f>IFERROR(+VLOOKUP(Movimientos_2026[[#This Row],[Codigo]],Plan_cuentas[],4,FALSE)," ")</f>
        <v>Rentas</v>
      </c>
      <c r="H794" t="str">
        <f>IFERROR(+VLOOKUP(Movimientos_2026[[#This Row],[Codigo]],Plan_cuentas[],5,FALSE)," ")</f>
        <v>CHACO</v>
      </c>
      <c r="I794" s="43">
        <v>46023</v>
      </c>
      <c r="J794" t="s">
        <v>337</v>
      </c>
      <c r="K794" t="str">
        <f>IFERROR(+VLOOKUP(Movimientos_2026[[#This Row],[Codigo]],Plan_cuentas[],6,FALSE)," ")</f>
        <v>5 - YAM - Yamaha</v>
      </c>
      <c r="L794" s="50">
        <v>925571.32</v>
      </c>
      <c r="M794" s="52"/>
      <c r="N794" s="20">
        <f>+Movimientos_2026[[#This Row],[Ingresos]]-Movimientos_2026[[#This Row],[Egresos]]</f>
        <v>925571.32</v>
      </c>
      <c r="O794" s="20">
        <f>+O793+Movimientos_2026[[#This Row],[Neto]]</f>
        <v>5720234357.3372059</v>
      </c>
    </row>
    <row r="795" spans="1:15" x14ac:dyDescent="0.25">
      <c r="A795" s="13">
        <v>46084</v>
      </c>
      <c r="B795" s="12">
        <f>MONTH(Movimientos_2026[[#This Row],[Fecha]])</f>
        <v>3</v>
      </c>
      <c r="C795" s="12" t="str">
        <f>VLOOKUP((WEEKDAY(Movimientos_2026[[#This Row],[Fecha]],2)),'5. Setup'!$D$6:$E$12,2,FALSE)</f>
        <v>Mar</v>
      </c>
      <c r="D795">
        <v>1044235</v>
      </c>
      <c r="E795" t="str">
        <f>IFERROR(+VLOOKUP(Movimientos_2026[[#This Row],[Codigo]],Plan_cuentas[],2,FALSE)," ")</f>
        <v>INGRESOS</v>
      </c>
      <c r="F795" t="str">
        <f>IFERROR(+VLOOKUP(Movimientos_2026[[#This Row],[Codigo]],Plan_cuentas[],3,FALSE)," ")</f>
        <v>Transferencia</v>
      </c>
      <c r="G795" t="str">
        <f>IFERROR(+VLOOKUP(Movimientos_2026[[#This Row],[Codigo]],Plan_cuentas[],4,FALSE)," ")</f>
        <v>Rentas</v>
      </c>
      <c r="H795" t="str">
        <f>IFERROR(+VLOOKUP(Movimientos_2026[[#This Row],[Codigo]],Plan_cuentas[],5,FALSE)," ")</f>
        <v>ENTRE RIOS 2° Q</v>
      </c>
      <c r="I795" s="43">
        <v>46023</v>
      </c>
      <c r="J795" t="s">
        <v>337</v>
      </c>
      <c r="K795" t="str">
        <f>IFERROR(+VLOOKUP(Movimientos_2026[[#This Row],[Codigo]],Plan_cuentas[],6,FALSE)," ")</f>
        <v>5 - YAM - Yamaha</v>
      </c>
      <c r="L795" s="50">
        <v>3411781.4</v>
      </c>
      <c r="M795" s="52"/>
      <c r="N795" s="20">
        <f>+Movimientos_2026[[#This Row],[Ingresos]]-Movimientos_2026[[#This Row],[Egresos]]</f>
        <v>3411781.4</v>
      </c>
      <c r="O795" s="20">
        <f>+O794+Movimientos_2026[[#This Row],[Neto]]</f>
        <v>5723646138.7372055</v>
      </c>
    </row>
    <row r="796" spans="1:15" x14ac:dyDescent="0.25">
      <c r="A796" s="13">
        <v>46084</v>
      </c>
      <c r="B796" s="12">
        <f>MONTH(Movimientos_2026[[#This Row],[Fecha]])</f>
        <v>3</v>
      </c>
      <c r="C796" s="12" t="str">
        <f>VLOOKUP((WEEKDAY(Movimientos_2026[[#This Row],[Fecha]],2)),'5. Setup'!$D$6:$E$12,2,FALSE)</f>
        <v>Mar</v>
      </c>
      <c r="D796">
        <v>1044495</v>
      </c>
      <c r="E796" t="str">
        <f>IFERROR(+VLOOKUP(Movimientos_2026[[#This Row],[Codigo]],Plan_cuentas[],2,FALSE)," ")</f>
        <v>INGRESOS</v>
      </c>
      <c r="F796" t="str">
        <f>IFERROR(+VLOOKUP(Movimientos_2026[[#This Row],[Codigo]],Plan_cuentas[],3,FALSE)," ")</f>
        <v>Transferencia</v>
      </c>
      <c r="G796" t="str">
        <f>IFERROR(+VLOOKUP(Movimientos_2026[[#This Row],[Codigo]],Plan_cuentas[],4,FALSE)," ")</f>
        <v>Rentas</v>
      </c>
      <c r="H796" t="str">
        <f>IFERROR(+VLOOKUP(Movimientos_2026[[#This Row],[Codigo]],Plan_cuentas[],5,FALSE)," ")</f>
        <v>JUJUY</v>
      </c>
      <c r="I796" s="43">
        <v>46023</v>
      </c>
      <c r="J796" t="s">
        <v>337</v>
      </c>
      <c r="K796" t="str">
        <f>IFERROR(+VLOOKUP(Movimientos_2026[[#This Row],[Codigo]],Plan_cuentas[],6,FALSE)," ")</f>
        <v>5 - YAM - Yamaha</v>
      </c>
      <c r="L796" s="50">
        <v>423809.76</v>
      </c>
      <c r="M796" s="52"/>
      <c r="N796" s="20">
        <f>+Movimientos_2026[[#This Row],[Ingresos]]-Movimientos_2026[[#This Row],[Egresos]]</f>
        <v>423809.76</v>
      </c>
      <c r="O796" s="20">
        <f>+O795+Movimientos_2026[[#This Row],[Neto]]</f>
        <v>5724069948.4972057</v>
      </c>
    </row>
    <row r="797" spans="1:15" x14ac:dyDescent="0.25">
      <c r="A797" s="13">
        <v>46084</v>
      </c>
      <c r="B797" s="12">
        <f>MONTH(Movimientos_2026[[#This Row],[Fecha]])</f>
        <v>3</v>
      </c>
      <c r="C797" s="12" t="str">
        <f>VLOOKUP((WEEKDAY(Movimientos_2026[[#This Row],[Fecha]],2)),'5. Setup'!$D$6:$E$12,2,FALSE)</f>
        <v>Mar</v>
      </c>
      <c r="D797">
        <v>1044275</v>
      </c>
      <c r="E797" t="str">
        <f>IFERROR(+VLOOKUP(Movimientos_2026[[#This Row],[Codigo]],Plan_cuentas[],2,FALSE)," ")</f>
        <v>INGRESOS</v>
      </c>
      <c r="F797" t="str">
        <f>IFERROR(+VLOOKUP(Movimientos_2026[[#This Row],[Codigo]],Plan_cuentas[],3,FALSE)," ")</f>
        <v>Transferencia</v>
      </c>
      <c r="G797" t="str">
        <f>IFERROR(+VLOOKUP(Movimientos_2026[[#This Row],[Codigo]],Plan_cuentas[],4,FALSE)," ")</f>
        <v>Rentas</v>
      </c>
      <c r="H797" t="str">
        <f>IFERROR(+VLOOKUP(Movimientos_2026[[#This Row],[Codigo]],Plan_cuentas[],5,FALSE)," ")</f>
        <v>LA RIOJA</v>
      </c>
      <c r="I797" s="43">
        <v>46023</v>
      </c>
      <c r="J797" t="s">
        <v>337</v>
      </c>
      <c r="K797" t="str">
        <f>IFERROR(+VLOOKUP(Movimientos_2026[[#This Row],[Codigo]],Plan_cuentas[],6,FALSE)," ")</f>
        <v>5 - YAM - Yamaha</v>
      </c>
      <c r="L797" s="50">
        <v>239177.67</v>
      </c>
      <c r="M797" s="50"/>
      <c r="N797" s="20">
        <f>+Movimientos_2026[[#This Row],[Ingresos]]-Movimientos_2026[[#This Row],[Egresos]]</f>
        <v>239177.67</v>
      </c>
      <c r="O797" s="20">
        <f>+O796+Movimientos_2026[[#This Row],[Neto]]</f>
        <v>5724309126.1672058</v>
      </c>
    </row>
    <row r="798" spans="1:15" x14ac:dyDescent="0.25">
      <c r="A798" s="13">
        <v>46084</v>
      </c>
      <c r="B798" s="12">
        <f>MONTH(Movimientos_2026[[#This Row],[Fecha]])</f>
        <v>3</v>
      </c>
      <c r="C798" s="12" t="str">
        <f>VLOOKUP((WEEKDAY(Movimientos_2026[[#This Row],[Fecha]],2)),'5. Setup'!$D$6:$E$12,2,FALSE)</f>
        <v>Mar</v>
      </c>
      <c r="D798">
        <v>1044285</v>
      </c>
      <c r="E798" t="str">
        <f>IFERROR(+VLOOKUP(Movimientos_2026[[#This Row],[Codigo]],Plan_cuentas[],2,FALSE)," ")</f>
        <v>INGRESOS</v>
      </c>
      <c r="F798" t="str">
        <f>IFERROR(+VLOOKUP(Movimientos_2026[[#This Row],[Codigo]],Plan_cuentas[],3,FALSE)," ")</f>
        <v>Transferencia</v>
      </c>
      <c r="G798" t="str">
        <f>IFERROR(+VLOOKUP(Movimientos_2026[[#This Row],[Codigo]],Plan_cuentas[],4,FALSE)," ")</f>
        <v>Rentas</v>
      </c>
      <c r="H798" t="str">
        <f>IFERROR(+VLOOKUP(Movimientos_2026[[#This Row],[Codigo]],Plan_cuentas[],5,FALSE)," ")</f>
        <v>MENDOZA</v>
      </c>
      <c r="I798" s="43">
        <v>46023</v>
      </c>
      <c r="J798" t="s">
        <v>337</v>
      </c>
      <c r="K798" t="str">
        <f>IFERROR(+VLOOKUP(Movimientos_2026[[#This Row],[Codigo]],Plan_cuentas[],6,FALSE)," ")</f>
        <v>5 - YAM - Yamaha</v>
      </c>
      <c r="L798" s="50">
        <v>721600</v>
      </c>
      <c r="M798" s="50"/>
      <c r="N798" s="20">
        <f>+Movimientos_2026[[#This Row],[Ingresos]]-Movimientos_2026[[#This Row],[Egresos]]</f>
        <v>721600</v>
      </c>
      <c r="O798" s="20">
        <f>+O797+Movimientos_2026[[#This Row],[Neto]]</f>
        <v>5725030726.1672058</v>
      </c>
    </row>
    <row r="799" spans="1:15" x14ac:dyDescent="0.25">
      <c r="A799" s="13">
        <v>46084</v>
      </c>
      <c r="B799" s="12">
        <f>MONTH(Movimientos_2026[[#This Row],[Fecha]])</f>
        <v>3</v>
      </c>
      <c r="C799" s="12" t="str">
        <f>VLOOKUP((WEEKDAY(Movimientos_2026[[#This Row],[Fecha]],2)),'5. Setup'!$D$6:$E$12,2,FALSE)</f>
        <v>Mar</v>
      </c>
      <c r="D799">
        <v>1044465</v>
      </c>
      <c r="E799" t="str">
        <f>IFERROR(+VLOOKUP(Movimientos_2026[[#This Row],[Codigo]],Plan_cuentas[],2,FALSE)," ")</f>
        <v>INGRESOS</v>
      </c>
      <c r="F799" t="str">
        <f>IFERROR(+VLOOKUP(Movimientos_2026[[#This Row],[Codigo]],Plan_cuentas[],3,FALSE)," ")</f>
        <v>Transferencia</v>
      </c>
      <c r="G799" t="str">
        <f>IFERROR(+VLOOKUP(Movimientos_2026[[#This Row],[Codigo]],Plan_cuentas[],4,FALSE)," ")</f>
        <v>Rentas</v>
      </c>
      <c r="H799" t="str">
        <f>IFERROR(+VLOOKUP(Movimientos_2026[[#This Row],[Codigo]],Plan_cuentas[],5,FALSE)," ")</f>
        <v>MISIONES</v>
      </c>
      <c r="I799" s="43">
        <v>46023</v>
      </c>
      <c r="J799" t="s">
        <v>337</v>
      </c>
      <c r="K799" t="str">
        <f>IFERROR(+VLOOKUP(Movimientos_2026[[#This Row],[Codigo]],Plan_cuentas[],6,FALSE)," ")</f>
        <v>5 - YAM - Yamaha</v>
      </c>
      <c r="L799" s="50">
        <v>370223.7</v>
      </c>
      <c r="M799" s="52"/>
      <c r="N799" s="20">
        <f>+Movimientos_2026[[#This Row],[Ingresos]]-Movimientos_2026[[#This Row],[Egresos]]</f>
        <v>370223.7</v>
      </c>
      <c r="O799" s="20">
        <f>+O798+Movimientos_2026[[#This Row],[Neto]]</f>
        <v>5725400949.8672056</v>
      </c>
    </row>
    <row r="800" spans="1:15" x14ac:dyDescent="0.25">
      <c r="A800" s="13">
        <v>46084</v>
      </c>
      <c r="B800" s="12">
        <f>MONTH(Movimientos_2026[[#This Row],[Fecha]])</f>
        <v>3</v>
      </c>
      <c r="C800" s="12" t="str">
        <f>VLOOKUP((WEEKDAY(Movimientos_2026[[#This Row],[Fecha]],2)),'5. Setup'!$D$6:$E$12,2,FALSE)</f>
        <v>Mar</v>
      </c>
      <c r="D800">
        <v>1044405</v>
      </c>
      <c r="E800" t="str">
        <f>IFERROR(+VLOOKUP(Movimientos_2026[[#This Row],[Codigo]],Plan_cuentas[],2,FALSE)," ")</f>
        <v>INGRESOS</v>
      </c>
      <c r="F800" t="str">
        <f>IFERROR(+VLOOKUP(Movimientos_2026[[#This Row],[Codigo]],Plan_cuentas[],3,FALSE)," ")</f>
        <v>Transferencia</v>
      </c>
      <c r="G800" t="str">
        <f>IFERROR(+VLOOKUP(Movimientos_2026[[#This Row],[Codigo]],Plan_cuentas[],4,FALSE)," ")</f>
        <v>Rentas</v>
      </c>
      <c r="H800" t="str">
        <f>IFERROR(+VLOOKUP(Movimientos_2026[[#This Row],[Codigo]],Plan_cuentas[],5,FALSE)," ")</f>
        <v>SANTIAGO DEL ESTERO</v>
      </c>
      <c r="I800" s="43">
        <v>46023</v>
      </c>
      <c r="J800" t="s">
        <v>337</v>
      </c>
      <c r="K800" t="str">
        <f>IFERROR(+VLOOKUP(Movimientos_2026[[#This Row],[Codigo]],Plan_cuentas[],6,FALSE)," ")</f>
        <v>5 - YAM - Yamaha</v>
      </c>
      <c r="L800" s="50">
        <v>174142.34</v>
      </c>
      <c r="M800" s="52"/>
      <c r="N800" s="20">
        <f>+Movimientos_2026[[#This Row],[Ingresos]]-Movimientos_2026[[#This Row],[Egresos]]</f>
        <v>174142.34</v>
      </c>
      <c r="O800" s="20">
        <f>+O799+Movimientos_2026[[#This Row],[Neto]]</f>
        <v>5725575092.2072058</v>
      </c>
    </row>
    <row r="801" spans="1:15" x14ac:dyDescent="0.25">
      <c r="A801" s="13">
        <v>46084</v>
      </c>
      <c r="B801" s="12">
        <f>MONTH(Movimientos_2026[[#This Row],[Fecha]])</f>
        <v>3</v>
      </c>
      <c r="C801" s="12" t="str">
        <f>VLOOKUP((WEEKDAY(Movimientos_2026[[#This Row],[Fecha]],2)),'5. Setup'!$D$6:$E$12,2,FALSE)</f>
        <v>Mar</v>
      </c>
      <c r="D801">
        <v>1044425</v>
      </c>
      <c r="E801" t="str">
        <f>IFERROR(+VLOOKUP(Movimientos_2026[[#This Row],[Codigo]],Plan_cuentas[],2,FALSE)," ")</f>
        <v>INGRESOS</v>
      </c>
      <c r="F801" t="str">
        <f>IFERROR(+VLOOKUP(Movimientos_2026[[#This Row],[Codigo]],Plan_cuentas[],3,FALSE)," ")</f>
        <v>Transferencia</v>
      </c>
      <c r="G801" t="str">
        <f>IFERROR(+VLOOKUP(Movimientos_2026[[#This Row],[Codigo]],Plan_cuentas[],4,FALSE)," ")</f>
        <v>Rentas</v>
      </c>
      <c r="H801" t="str">
        <f>IFERROR(+VLOOKUP(Movimientos_2026[[#This Row],[Codigo]],Plan_cuentas[],5,FALSE)," ")</f>
        <v>TUCUMAN</v>
      </c>
      <c r="I801" s="43">
        <v>46023</v>
      </c>
      <c r="J801" t="s">
        <v>337</v>
      </c>
      <c r="K801" t="str">
        <f>IFERROR(+VLOOKUP(Movimientos_2026[[#This Row],[Codigo]],Plan_cuentas[],6,FALSE)," ")</f>
        <v>5 - YAM - Yamaha</v>
      </c>
      <c r="L801" s="50">
        <v>1536282.6472</v>
      </c>
      <c r="M801" s="50"/>
      <c r="N801" s="20">
        <f>+Movimientos_2026[[#This Row],[Ingresos]]-Movimientos_2026[[#This Row],[Egresos]]</f>
        <v>1536282.6472</v>
      </c>
      <c r="O801" s="20">
        <f>+O800+Movimientos_2026[[#This Row],[Neto]]</f>
        <v>5727111374.8544054</v>
      </c>
    </row>
    <row r="802" spans="1:15" x14ac:dyDescent="0.25">
      <c r="A802" s="13">
        <v>46085</v>
      </c>
      <c r="B802" s="12">
        <f>MONTH(Movimientos_2026[[#This Row],[Fecha]])</f>
        <v>3</v>
      </c>
      <c r="C802" s="12" t="str">
        <f>VLOOKUP((WEEKDAY(Movimientos_2026[[#This Row],[Fecha]],2)),'5. Setup'!$D$6:$E$12,2,FALSE)</f>
        <v>Mie</v>
      </c>
      <c r="D802">
        <v>1044312</v>
      </c>
      <c r="E802" t="str">
        <f>IFERROR(+VLOOKUP(Movimientos_2026[[#This Row],[Codigo]],Plan_cuentas[],2,FALSE)," ")</f>
        <v>INGRESOS</v>
      </c>
      <c r="F802" t="str">
        <f>IFERROR(+VLOOKUP(Movimientos_2026[[#This Row],[Codigo]],Plan_cuentas[],3,FALSE)," ")</f>
        <v>Transferencia</v>
      </c>
      <c r="G802" t="str">
        <f>IFERROR(+VLOOKUP(Movimientos_2026[[#This Row],[Codigo]],Plan_cuentas[],4,FALSE)," ")</f>
        <v>Rentas</v>
      </c>
      <c r="H802" t="str">
        <f>IFERROR(+VLOOKUP(Movimientos_2026[[#This Row],[Codigo]],Plan_cuentas[],5,FALSE)," ")</f>
        <v>NEUQUEN 1° Q</v>
      </c>
      <c r="I802" s="43">
        <v>46054</v>
      </c>
      <c r="J802" t="s">
        <v>338</v>
      </c>
      <c r="K802" t="str">
        <f>IFERROR(+VLOOKUP(Movimientos_2026[[#This Row],[Codigo]],Plan_cuentas[],6,FALSE)," ")</f>
        <v>2 - PR - Plan Rombo</v>
      </c>
      <c r="L802" s="50">
        <v>57925193.619999997</v>
      </c>
      <c r="M802" s="52"/>
      <c r="N802" s="20">
        <f>+Movimientos_2026[[#This Row],[Ingresos]]-Movimientos_2026[[#This Row],[Egresos]]</f>
        <v>57925193.619999997</v>
      </c>
      <c r="O802" s="20">
        <f>+O801+Movimientos_2026[[#This Row],[Neto]]</f>
        <v>5785036568.4744053</v>
      </c>
    </row>
    <row r="803" spans="1:15" x14ac:dyDescent="0.25">
      <c r="A803" s="13">
        <v>46085</v>
      </c>
      <c r="B803" s="12">
        <f>MONTH(Movimientos_2026[[#This Row],[Fecha]])</f>
        <v>3</v>
      </c>
      <c r="C803" s="12" t="str">
        <f>VLOOKUP((WEEKDAY(Movimientos_2026[[#This Row],[Fecha]],2)),'5. Setup'!$D$6:$E$12,2,FALSE)</f>
        <v>Mie</v>
      </c>
      <c r="D803">
        <v>1044202</v>
      </c>
      <c r="E803" t="str">
        <f>IFERROR(+VLOOKUP(Movimientos_2026[[#This Row],[Codigo]],Plan_cuentas[],2,FALSE)," ")</f>
        <v>INGRESOS</v>
      </c>
      <c r="F803" t="str">
        <f>IFERROR(+VLOOKUP(Movimientos_2026[[#This Row],[Codigo]],Plan_cuentas[],3,FALSE)," ")</f>
        <v>Transferencia</v>
      </c>
      <c r="G803" t="str">
        <f>IFERROR(+VLOOKUP(Movimientos_2026[[#This Row],[Codigo]],Plan_cuentas[],4,FALSE)," ")</f>
        <v>Rentas</v>
      </c>
      <c r="H803" t="str">
        <f>IFERROR(+VLOOKUP(Movimientos_2026[[#This Row],[Codigo]],Plan_cuentas[],5,FALSE)," ")</f>
        <v>CORRIENTES 1° Q</v>
      </c>
      <c r="I803" s="43">
        <v>46054</v>
      </c>
      <c r="J803" t="s">
        <v>338</v>
      </c>
      <c r="K803" t="str">
        <f>IFERROR(+VLOOKUP(Movimientos_2026[[#This Row],[Codigo]],Plan_cuentas[],6,FALSE)," ")</f>
        <v>2 - PR - Plan Rombo</v>
      </c>
      <c r="L803" s="50">
        <v>28192900</v>
      </c>
      <c r="M803" s="52"/>
      <c r="N803" s="20">
        <f>+Movimientos_2026[[#This Row],[Ingresos]]-Movimientos_2026[[#This Row],[Egresos]]</f>
        <v>28192900</v>
      </c>
      <c r="O803" s="20">
        <f>+O802+Movimientos_2026[[#This Row],[Neto]]</f>
        <v>5813229468.4744053</v>
      </c>
    </row>
    <row r="804" spans="1:15" x14ac:dyDescent="0.25">
      <c r="A804" s="13">
        <v>46085</v>
      </c>
      <c r="B804" s="12">
        <f>MONTH(Movimientos_2026[[#This Row],[Fecha]])</f>
        <v>3</v>
      </c>
      <c r="C804" s="12" t="str">
        <f>VLOOKUP((WEEKDAY(Movimientos_2026[[#This Row],[Fecha]],2)),'5. Setup'!$D$6:$E$12,2,FALSE)</f>
        <v>Mie</v>
      </c>
      <c r="D804">
        <v>1044462</v>
      </c>
      <c r="E804" t="str">
        <f>IFERROR(+VLOOKUP(Movimientos_2026[[#This Row],[Codigo]],Plan_cuentas[],2,FALSE)," ")</f>
        <v>INGRESOS</v>
      </c>
      <c r="F804" t="str">
        <f>IFERROR(+VLOOKUP(Movimientos_2026[[#This Row],[Codigo]],Plan_cuentas[],3,FALSE)," ")</f>
        <v>Transferencia</v>
      </c>
      <c r="G804" t="str">
        <f>IFERROR(+VLOOKUP(Movimientos_2026[[#This Row],[Codigo]],Plan_cuentas[],4,FALSE)," ")</f>
        <v>Rentas</v>
      </c>
      <c r="H804" t="str">
        <f>IFERROR(+VLOOKUP(Movimientos_2026[[#This Row],[Codigo]],Plan_cuentas[],5,FALSE)," ")</f>
        <v>MISIONES</v>
      </c>
      <c r="I804" s="43">
        <v>46054</v>
      </c>
      <c r="J804" t="s">
        <v>338</v>
      </c>
      <c r="K804" t="str">
        <f>IFERROR(+VLOOKUP(Movimientos_2026[[#This Row],[Codigo]],Plan_cuentas[],6,FALSE)," ")</f>
        <v>2 - PR - Plan Rombo</v>
      </c>
      <c r="L804" s="50">
        <v>4803431.08</v>
      </c>
      <c r="M804" s="52"/>
      <c r="N804" s="20">
        <f>+Movimientos_2026[[#This Row],[Ingresos]]-Movimientos_2026[[#This Row],[Egresos]]</f>
        <v>4803431.08</v>
      </c>
      <c r="O804" s="20">
        <f>+O803+Movimientos_2026[[#This Row],[Neto]]</f>
        <v>5818032899.5544052</v>
      </c>
    </row>
    <row r="805" spans="1:15" x14ac:dyDescent="0.25">
      <c r="A805" s="13">
        <v>46085</v>
      </c>
      <c r="B805" s="12">
        <f>MONTH(Movimientos_2026[[#This Row],[Fecha]])</f>
        <v>3</v>
      </c>
      <c r="C805" s="12" t="str">
        <f>VLOOKUP((WEEKDAY(Movimientos_2026[[#This Row],[Fecha]],2)),'5. Setup'!$D$6:$E$12,2,FALSE)</f>
        <v>Mie</v>
      </c>
      <c r="D805">
        <v>1044312</v>
      </c>
      <c r="E805" t="str">
        <f>IFERROR(+VLOOKUP(Movimientos_2026[[#This Row],[Codigo]],Plan_cuentas[],2,FALSE)," ")</f>
        <v>INGRESOS</v>
      </c>
      <c r="F805" t="str">
        <f>IFERROR(+VLOOKUP(Movimientos_2026[[#This Row],[Codigo]],Plan_cuentas[],3,FALSE)," ")</f>
        <v>Transferencia</v>
      </c>
      <c r="G805" t="str">
        <f>IFERROR(+VLOOKUP(Movimientos_2026[[#This Row],[Codigo]],Plan_cuentas[],4,FALSE)," ")</f>
        <v>Rentas</v>
      </c>
      <c r="H805" t="str">
        <f>IFERROR(+VLOOKUP(Movimientos_2026[[#This Row],[Codigo]],Plan_cuentas[],5,FALSE)," ")</f>
        <v>NEUQUEN 1° Q</v>
      </c>
      <c r="I805" s="43">
        <v>45689</v>
      </c>
      <c r="J805" t="s">
        <v>338</v>
      </c>
      <c r="K805" t="str">
        <f>IFERROR(+VLOOKUP(Movimientos_2026[[#This Row],[Codigo]],Plan_cuentas[],6,FALSE)," ")</f>
        <v>2 - PR - Plan Rombo</v>
      </c>
      <c r="L805" s="50">
        <v>6334416</v>
      </c>
      <c r="M805" s="52"/>
      <c r="N805" s="20">
        <f>+Movimientos_2026[[#This Row],[Ingresos]]-Movimientos_2026[[#This Row],[Egresos]]</f>
        <v>6334416</v>
      </c>
      <c r="O805" s="20">
        <f>+O804+Movimientos_2026[[#This Row],[Neto]]</f>
        <v>5824367315.5544052</v>
      </c>
    </row>
    <row r="806" spans="1:15" x14ac:dyDescent="0.25">
      <c r="A806" s="13">
        <v>46085</v>
      </c>
      <c r="B806" s="12">
        <f>MONTH(Movimientos_2026[[#This Row],[Fecha]])</f>
        <v>3</v>
      </c>
      <c r="C806" s="12" t="str">
        <f>VLOOKUP((WEEKDAY(Movimientos_2026[[#This Row],[Fecha]],2)),'5. Setup'!$D$6:$E$12,2,FALSE)</f>
        <v>Mie</v>
      </c>
      <c r="D806">
        <v>1045451</v>
      </c>
      <c r="E806" t="str">
        <f>IFERROR(+VLOOKUP(Movimientos_2026[[#This Row],[Codigo]],Plan_cuentas[],2,FALSE)," ")</f>
        <v>INGRESOS</v>
      </c>
      <c r="F806" t="str">
        <f>IFERROR(+VLOOKUP(Movimientos_2026[[#This Row],[Codigo]],Plan_cuentas[],3,FALSE)," ")</f>
        <v>Transferencia</v>
      </c>
      <c r="G806" t="str">
        <f>IFERROR(+VLOOKUP(Movimientos_2026[[#This Row],[Codigo]],Plan_cuentas[],4,FALSE)," ")</f>
        <v>Factura</v>
      </c>
      <c r="H806" t="str">
        <f>IFERROR(+VLOOKUP(Movimientos_2026[[#This Row],[Codigo]],Plan_cuentas[],5,FALSE)," ")</f>
        <v>FC DERECHOS</v>
      </c>
      <c r="I806" s="43">
        <v>46023</v>
      </c>
      <c r="J806" t="s">
        <v>339</v>
      </c>
      <c r="K806" t="str">
        <f>IFERROR(+VLOOKUP(Movimientos_2026[[#This Row],[Codigo]],Plan_cuentas[],6,FALSE)," ")</f>
        <v>1 - VW - Volkswagen</v>
      </c>
      <c r="L806" s="50">
        <v>59928393.710000001</v>
      </c>
      <c r="M806" s="52"/>
      <c r="N806" s="20">
        <f>+Movimientos_2026[[#This Row],[Ingresos]]-Movimientos_2026[[#This Row],[Egresos]]</f>
        <v>59928393.710000001</v>
      </c>
      <c r="O806" s="20">
        <f>+O805+Movimientos_2026[[#This Row],[Neto]]</f>
        <v>5884295709.2644053</v>
      </c>
    </row>
    <row r="807" spans="1:15" x14ac:dyDescent="0.25">
      <c r="A807" s="13">
        <v>46085</v>
      </c>
      <c r="B807" s="12">
        <f>MONTH(Movimientos_2026[[#This Row],[Fecha]])</f>
        <v>3</v>
      </c>
      <c r="C807" s="12" t="str">
        <f>VLOOKUP((WEEKDAY(Movimientos_2026[[#This Row],[Fecha]],2)),'5. Setup'!$D$6:$E$12,2,FALSE)</f>
        <v>Mie</v>
      </c>
      <c r="D807">
        <v>1045451</v>
      </c>
      <c r="E807" t="str">
        <f>IFERROR(+VLOOKUP(Movimientos_2026[[#This Row],[Codigo]],Plan_cuentas[],2,FALSE)," ")</f>
        <v>INGRESOS</v>
      </c>
      <c r="F807" t="str">
        <f>IFERROR(+VLOOKUP(Movimientos_2026[[#This Row],[Codigo]],Plan_cuentas[],3,FALSE)," ")</f>
        <v>Transferencia</v>
      </c>
      <c r="G807" t="str">
        <f>IFERROR(+VLOOKUP(Movimientos_2026[[#This Row],[Codigo]],Plan_cuentas[],4,FALSE)," ")</f>
        <v>Factura</v>
      </c>
      <c r="H807" t="str">
        <f>IFERROR(+VLOOKUP(Movimientos_2026[[#This Row],[Codigo]],Plan_cuentas[],5,FALSE)," ")</f>
        <v>FC DERECHOS</v>
      </c>
      <c r="I807" s="43">
        <v>46023</v>
      </c>
      <c r="J807" t="s">
        <v>340</v>
      </c>
      <c r="K807" t="str">
        <f>IFERROR(+VLOOKUP(Movimientos_2026[[#This Row],[Codigo]],Plan_cuentas[],6,FALSE)," ")</f>
        <v>1 - VW - Volkswagen</v>
      </c>
      <c r="L807" s="50">
        <v>8796041.7100000009</v>
      </c>
      <c r="M807" s="52"/>
      <c r="N807" s="20">
        <f>+Movimientos_2026[[#This Row],[Ingresos]]-Movimientos_2026[[#This Row],[Egresos]]</f>
        <v>8796041.7100000009</v>
      </c>
      <c r="O807" s="20">
        <f>+O806+Movimientos_2026[[#This Row],[Neto]]</f>
        <v>5893091750.9744053</v>
      </c>
    </row>
    <row r="808" spans="1:15" x14ac:dyDescent="0.25">
      <c r="A808" s="13">
        <v>46086</v>
      </c>
      <c r="B808" s="12">
        <f>MONTH(Movimientos_2026[[#This Row],[Fecha]])</f>
        <v>3</v>
      </c>
      <c r="C808" s="12" t="str">
        <f>VLOOKUP((WEEKDAY(Movimientos_2026[[#This Row],[Fecha]],2)),'5. Setup'!$D$6:$E$12,2,FALSE)</f>
        <v>Jue</v>
      </c>
      <c r="D808">
        <v>2054322</v>
      </c>
      <c r="E808" t="str">
        <f>IFERROR(+VLOOKUP(Movimientos_2026[[#This Row],[Codigo]],Plan_cuentas[],2,FALSE)," ")</f>
        <v>EGRESOS</v>
      </c>
      <c r="F808" t="str">
        <f>IFERROR(+VLOOKUP(Movimientos_2026[[#This Row],[Codigo]],Plan_cuentas[],3,FALSE)," ")</f>
        <v>VEP</v>
      </c>
      <c r="G808" t="str">
        <f>IFERROR(+VLOOKUP(Movimientos_2026[[#This Row],[Codigo]],Plan_cuentas[],4,FALSE)," ")</f>
        <v>Rentas</v>
      </c>
      <c r="H808" t="str">
        <f>IFERROR(+VLOOKUP(Movimientos_2026[[#This Row],[Codigo]],Plan_cuentas[],5,FALSE)," ")</f>
        <v>NEUQUEN 2° Q</v>
      </c>
      <c r="I808" s="43">
        <v>46054</v>
      </c>
      <c r="J808" t="s">
        <v>341</v>
      </c>
      <c r="K808" t="str">
        <f>IFERROR(+VLOOKUP(Movimientos_2026[[#This Row],[Codigo]],Plan_cuentas[],6,FALSE)," ")</f>
        <v>2 - PR - Plan Rombo</v>
      </c>
      <c r="L808" s="50"/>
      <c r="M808" s="52">
        <v>25191300</v>
      </c>
      <c r="N808" s="20">
        <f>+Movimientos_2026[[#This Row],[Ingresos]]-Movimientos_2026[[#This Row],[Egresos]]</f>
        <v>-25191300</v>
      </c>
      <c r="O808" s="20">
        <f>+O807+Movimientos_2026[[#This Row],[Neto]]</f>
        <v>5867900450.9744053</v>
      </c>
    </row>
    <row r="809" spans="1:15" x14ac:dyDescent="0.25">
      <c r="A809" s="13">
        <v>46086</v>
      </c>
      <c r="B809" s="12">
        <f>MONTH(Movimientos_2026[[#This Row],[Fecha]])</f>
        <v>3</v>
      </c>
      <c r="C809" s="12" t="str">
        <f>VLOOKUP((WEEKDAY(Movimientos_2026[[#This Row],[Fecha]],2)),'5. Setup'!$D$6:$E$12,2,FALSE)</f>
        <v>Jue</v>
      </c>
      <c r="D809">
        <v>2034412</v>
      </c>
      <c r="E809" t="str">
        <f>IFERROR(+VLOOKUP(Movimientos_2026[[#This Row],[Codigo]],Plan_cuentas[],2,FALSE)," ")</f>
        <v>EGRESOS</v>
      </c>
      <c r="F809" t="str">
        <f>IFERROR(+VLOOKUP(Movimientos_2026[[#This Row],[Codigo]],Plan_cuentas[],3,FALSE)," ")</f>
        <v>Pagos Bco. Provincia</v>
      </c>
      <c r="G809" t="str">
        <f>IFERROR(+VLOOKUP(Movimientos_2026[[#This Row],[Codigo]],Plan_cuentas[],4,FALSE)," ")</f>
        <v>Rentas</v>
      </c>
      <c r="H809" t="str">
        <f>IFERROR(+VLOOKUP(Movimientos_2026[[#This Row],[Codigo]],Plan_cuentas[],5,FALSE)," ")</f>
        <v>TIERRA DEL FUEGO</v>
      </c>
      <c r="I809" s="43">
        <v>46054</v>
      </c>
      <c r="J809" t="s">
        <v>342</v>
      </c>
      <c r="K809" t="str">
        <f>IFERROR(+VLOOKUP(Movimientos_2026[[#This Row],[Codigo]],Plan_cuentas[],6,FALSE)," ")</f>
        <v>2 - PR - Plan Rombo</v>
      </c>
      <c r="L809" s="50"/>
      <c r="M809" s="52">
        <v>5547629.5099999998</v>
      </c>
      <c r="N809" s="20">
        <f>+Movimientos_2026[[#This Row],[Ingresos]]-Movimientos_2026[[#This Row],[Egresos]]</f>
        <v>-5547629.5099999998</v>
      </c>
      <c r="O809" s="20">
        <f>+O808+Movimientos_2026[[#This Row],[Neto]]</f>
        <v>5862352821.4644051</v>
      </c>
    </row>
    <row r="810" spans="1:15" x14ac:dyDescent="0.25">
      <c r="A810" s="13">
        <v>46086</v>
      </c>
      <c r="B810" s="12">
        <f>MONTH(Movimientos_2026[[#This Row],[Fecha]])</f>
        <v>3</v>
      </c>
      <c r="C810" s="12" t="str">
        <f>VLOOKUP((WEEKDAY(Movimientos_2026[[#This Row],[Fecha]],2)),'5. Setup'!$D$6:$E$12,2,FALSE)</f>
        <v>Jue</v>
      </c>
      <c r="D810">
        <v>2034413</v>
      </c>
      <c r="E810" t="str">
        <f>IFERROR(+VLOOKUP(Movimientos_2026[[#This Row],[Codigo]],Plan_cuentas[],2,FALSE)," ")</f>
        <v>EGRESOS</v>
      </c>
      <c r="F810" t="str">
        <f>IFERROR(+VLOOKUP(Movimientos_2026[[#This Row],[Codigo]],Plan_cuentas[],3,FALSE)," ")</f>
        <v>Pagos Bco. Provincia</v>
      </c>
      <c r="G810" t="str">
        <f>IFERROR(+VLOOKUP(Movimientos_2026[[#This Row],[Codigo]],Plan_cuentas[],4,FALSE)," ")</f>
        <v>Rentas</v>
      </c>
      <c r="H810" t="str">
        <f>IFERROR(+VLOOKUP(Movimientos_2026[[#This Row],[Codigo]],Plan_cuentas[],5,FALSE)," ")</f>
        <v>TIERRA DEL FUEGO</v>
      </c>
      <c r="I810" s="43">
        <v>46054</v>
      </c>
      <c r="J810" t="s">
        <v>343</v>
      </c>
      <c r="K810" t="str">
        <f>IFERROR(+VLOOKUP(Movimientos_2026[[#This Row],[Codigo]],Plan_cuentas[],6,FALSE)," ")</f>
        <v>3 - GM - Chevrolet</v>
      </c>
      <c r="L810" s="50"/>
      <c r="M810" s="52">
        <v>12592897.08</v>
      </c>
      <c r="N810" s="20">
        <f>+Movimientos_2026[[#This Row],[Ingresos]]-Movimientos_2026[[#This Row],[Egresos]]</f>
        <v>-12592897.08</v>
      </c>
      <c r="O810" s="20">
        <f>+O809+Movimientos_2026[[#This Row],[Neto]]</f>
        <v>5849759924.3844051</v>
      </c>
    </row>
    <row r="811" spans="1:15" x14ac:dyDescent="0.25">
      <c r="A811" s="13">
        <v>46086</v>
      </c>
      <c r="B811" s="12">
        <f>MONTH(Movimientos_2026[[#This Row],[Fecha]])</f>
        <v>3</v>
      </c>
      <c r="C811" s="12" t="str">
        <f>VLOOKUP((WEEKDAY(Movimientos_2026[[#This Row],[Fecha]],2)),'5. Setup'!$D$6:$E$12,2,FALSE)</f>
        <v>Jue</v>
      </c>
      <c r="D811">
        <v>2034414</v>
      </c>
      <c r="E811" t="str">
        <f>IFERROR(+VLOOKUP(Movimientos_2026[[#This Row],[Codigo]],Plan_cuentas[],2,FALSE)," ")</f>
        <v>EGRESOS</v>
      </c>
      <c r="F811" t="str">
        <f>IFERROR(+VLOOKUP(Movimientos_2026[[#This Row],[Codigo]],Plan_cuentas[],3,FALSE)," ")</f>
        <v>Pagos Bco. Provincia</v>
      </c>
      <c r="G811" t="str">
        <f>IFERROR(+VLOOKUP(Movimientos_2026[[#This Row],[Codigo]],Plan_cuentas[],4,FALSE)," ")</f>
        <v>Rentas</v>
      </c>
      <c r="H811" t="str">
        <f>IFERROR(+VLOOKUP(Movimientos_2026[[#This Row],[Codigo]],Plan_cuentas[],5,FALSE)," ")</f>
        <v>TIERRA DEL FUEGO</v>
      </c>
      <c r="I811" s="43">
        <v>46054</v>
      </c>
      <c r="J811" t="s">
        <v>344</v>
      </c>
      <c r="K811" t="str">
        <f>IFERROR(+VLOOKUP(Movimientos_2026[[#This Row],[Codigo]],Plan_cuentas[],6,FALSE)," ")</f>
        <v>4 - FCA - Fiat</v>
      </c>
      <c r="L811" s="50"/>
      <c r="M811" s="52">
        <v>15276800.65</v>
      </c>
      <c r="N811" s="20">
        <f>+Movimientos_2026[[#This Row],[Ingresos]]-Movimientos_2026[[#This Row],[Egresos]]</f>
        <v>-15276800.65</v>
      </c>
      <c r="O811" s="20">
        <f>+O810+Movimientos_2026[[#This Row],[Neto]]</f>
        <v>5834483123.7344055</v>
      </c>
    </row>
    <row r="812" spans="1:15" x14ac:dyDescent="0.25">
      <c r="A812" s="13">
        <v>46086</v>
      </c>
      <c r="B812" s="12">
        <f>MONTH(Movimientos_2026[[#This Row],[Fecha]])</f>
        <v>3</v>
      </c>
      <c r="C812" s="12" t="str">
        <f>VLOOKUP((WEEKDAY(Movimientos_2026[[#This Row],[Fecha]],2)),'5. Setup'!$D$6:$E$12,2,FALSE)</f>
        <v>Jue</v>
      </c>
      <c r="D812">
        <v>2014425</v>
      </c>
      <c r="E812" t="str">
        <f>IFERROR(+VLOOKUP(Movimientos_2026[[#This Row],[Codigo]],Plan_cuentas[],2,FALSE)," ")</f>
        <v>EGRESOS</v>
      </c>
      <c r="F812" t="str">
        <f>IFERROR(+VLOOKUP(Movimientos_2026[[#This Row],[Codigo]],Plan_cuentas[],3,FALSE)," ")</f>
        <v>BtoB</v>
      </c>
      <c r="G812" t="str">
        <f>IFERROR(+VLOOKUP(Movimientos_2026[[#This Row],[Codigo]],Plan_cuentas[],4,FALSE)," ")</f>
        <v>Rentas</v>
      </c>
      <c r="H812" t="str">
        <f>IFERROR(+VLOOKUP(Movimientos_2026[[#This Row],[Codigo]],Plan_cuentas[],5,FALSE)," ")</f>
        <v>TUCUMAN</v>
      </c>
      <c r="I812" s="43">
        <v>46054</v>
      </c>
      <c r="J812" t="s">
        <v>345</v>
      </c>
      <c r="K812" t="str">
        <f>IFERROR(+VLOOKUP(Movimientos_2026[[#This Row],[Codigo]],Plan_cuentas[],6,FALSE)," ")</f>
        <v>5 - YAM - Yamaha</v>
      </c>
      <c r="L812" s="50"/>
      <c r="M812" s="50">
        <v>1470282.34</v>
      </c>
      <c r="N812" s="20">
        <f>+Movimientos_2026[[#This Row],[Ingresos]]-Movimientos_2026[[#This Row],[Egresos]]</f>
        <v>-1470282.34</v>
      </c>
      <c r="O812" s="20">
        <f>+O811+Movimientos_2026[[#This Row],[Neto]]</f>
        <v>5833012841.3944054</v>
      </c>
    </row>
    <row r="813" spans="1:15" x14ac:dyDescent="0.25">
      <c r="A813" s="13">
        <v>46086</v>
      </c>
      <c r="B813" s="12">
        <f>MONTH(Movimientos_2026[[#This Row],[Fecha]])</f>
        <v>3</v>
      </c>
      <c r="C813" s="12" t="str">
        <f>VLOOKUP((WEEKDAY(Movimientos_2026[[#This Row],[Fecha]],2)),'5. Setup'!$D$6:$E$12,2,FALSE)</f>
        <v>Jue</v>
      </c>
      <c r="D813">
        <v>2014275</v>
      </c>
      <c r="E813" t="str">
        <f>IFERROR(+VLOOKUP(Movimientos_2026[[#This Row],[Codigo]],Plan_cuentas[],2,FALSE)," ")</f>
        <v>EGRESOS</v>
      </c>
      <c r="F813" t="str">
        <f>IFERROR(+VLOOKUP(Movimientos_2026[[#This Row],[Codigo]],Plan_cuentas[],3,FALSE)," ")</f>
        <v>BtoB</v>
      </c>
      <c r="G813" t="str">
        <f>IFERROR(+VLOOKUP(Movimientos_2026[[#This Row],[Codigo]],Plan_cuentas[],4,FALSE)," ")</f>
        <v>Rentas</v>
      </c>
      <c r="H813" t="str">
        <f>IFERROR(+VLOOKUP(Movimientos_2026[[#This Row],[Codigo]],Plan_cuentas[],5,FALSE)," ")</f>
        <v>LA RIOJA</v>
      </c>
      <c r="I813" s="43">
        <v>46054</v>
      </c>
      <c r="J813" t="s">
        <v>346</v>
      </c>
      <c r="K813" t="str">
        <f>IFERROR(+VLOOKUP(Movimientos_2026[[#This Row],[Codigo]],Plan_cuentas[],6,FALSE)," ")</f>
        <v>5 - YAM - Yamaha</v>
      </c>
      <c r="L813" s="50"/>
      <c r="M813" s="50">
        <v>616043.11</v>
      </c>
      <c r="N813" s="20">
        <f>+Movimientos_2026[[#This Row],[Ingresos]]-Movimientos_2026[[#This Row],[Egresos]]</f>
        <v>-616043.11</v>
      </c>
      <c r="O813" s="20">
        <f>+O812+Movimientos_2026[[#This Row],[Neto]]</f>
        <v>5832396798.2844057</v>
      </c>
    </row>
    <row r="814" spans="1:15" x14ac:dyDescent="0.25">
      <c r="A814" s="13">
        <v>46086</v>
      </c>
      <c r="B814" s="12">
        <f>MONTH(Movimientos_2026[[#This Row],[Fecha]])</f>
        <v>3</v>
      </c>
      <c r="C814" s="12" t="str">
        <f>VLOOKUP((WEEKDAY(Movimientos_2026[[#This Row],[Fecha]],2)),'5. Setup'!$D$6:$E$12,2,FALSE)</f>
        <v>Jue</v>
      </c>
      <c r="D814">
        <v>1044161</v>
      </c>
      <c r="E814" t="str">
        <f>IFERROR(+VLOOKUP(Movimientos_2026[[#This Row],[Codigo]],Plan_cuentas[],2,FALSE)," ")</f>
        <v>INGRESOS</v>
      </c>
      <c r="F814" t="str">
        <f>IFERROR(+VLOOKUP(Movimientos_2026[[#This Row],[Codigo]],Plan_cuentas[],3,FALSE)," ")</f>
        <v>Transferencia</v>
      </c>
      <c r="G814" t="str">
        <f>IFERROR(+VLOOKUP(Movimientos_2026[[#This Row],[Codigo]],Plan_cuentas[],4,FALSE)," ")</f>
        <v>Rentas</v>
      </c>
      <c r="H814" t="str">
        <f>IFERROR(+VLOOKUP(Movimientos_2026[[#This Row],[Codigo]],Plan_cuentas[],5,FALSE)," ")</f>
        <v>CHACO</v>
      </c>
      <c r="I814" s="43">
        <v>46023</v>
      </c>
      <c r="J814" t="s">
        <v>347</v>
      </c>
      <c r="K814" t="str">
        <f>IFERROR(+VLOOKUP(Movimientos_2026[[#This Row],[Codigo]],Plan_cuentas[],6,FALSE)," ")</f>
        <v>1 - VW - Volkswagen</v>
      </c>
      <c r="L814" s="50">
        <v>457750</v>
      </c>
      <c r="M814" s="50"/>
      <c r="N814" s="20">
        <f>+Movimientos_2026[[#This Row],[Ingresos]]-Movimientos_2026[[#This Row],[Egresos]]</f>
        <v>457750</v>
      </c>
      <c r="O814" s="20">
        <f>+O813+Movimientos_2026[[#This Row],[Neto]]</f>
        <v>5832854548.2844057</v>
      </c>
    </row>
    <row r="815" spans="1:15" x14ac:dyDescent="0.25">
      <c r="A815" s="13">
        <v>46086</v>
      </c>
      <c r="B815" s="12">
        <f>MONTH(Movimientos_2026[[#This Row],[Fecha]])</f>
        <v>3</v>
      </c>
      <c r="C815" s="12" t="str">
        <f>VLOOKUP((WEEKDAY(Movimientos_2026[[#This Row],[Fecha]],2)),'5. Setup'!$D$6:$E$12,2,FALSE)</f>
        <v>Jue</v>
      </c>
      <c r="D815">
        <v>1044171</v>
      </c>
      <c r="E815" t="str">
        <f>IFERROR(+VLOOKUP(Movimientos_2026[[#This Row],[Codigo]],Plan_cuentas[],2,FALSE)," ")</f>
        <v>INGRESOS</v>
      </c>
      <c r="F815" t="str">
        <f>IFERROR(+VLOOKUP(Movimientos_2026[[#This Row],[Codigo]],Plan_cuentas[],3,FALSE)," ")</f>
        <v>Transferencia</v>
      </c>
      <c r="G815" t="str">
        <f>IFERROR(+VLOOKUP(Movimientos_2026[[#This Row],[Codigo]],Plan_cuentas[],4,FALSE)," ")</f>
        <v>Rentas</v>
      </c>
      <c r="H815" t="str">
        <f>IFERROR(+VLOOKUP(Movimientos_2026[[#This Row],[Codigo]],Plan_cuentas[],5,FALSE)," ")</f>
        <v>CHUBUT</v>
      </c>
      <c r="I815" s="43">
        <v>46023</v>
      </c>
      <c r="J815" t="s">
        <v>347</v>
      </c>
      <c r="K815" t="str">
        <f>IFERROR(+VLOOKUP(Movimientos_2026[[#This Row],[Codigo]],Plan_cuentas[],6,FALSE)," ")</f>
        <v>1 - VW - Volkswagen</v>
      </c>
      <c r="L815" s="50">
        <v>272935.13</v>
      </c>
      <c r="M815" s="50"/>
      <c r="N815" s="20">
        <f>+Movimientos_2026[[#This Row],[Ingresos]]-Movimientos_2026[[#This Row],[Egresos]]</f>
        <v>272935.13</v>
      </c>
      <c r="O815" s="20">
        <f>+O814+Movimientos_2026[[#This Row],[Neto]]</f>
        <v>5833127483.4144058</v>
      </c>
    </row>
    <row r="816" spans="1:15" x14ac:dyDescent="0.25">
      <c r="A816" s="13">
        <v>46086</v>
      </c>
      <c r="B816" s="12">
        <f>MONTH(Movimientos_2026[[#This Row],[Fecha]])</f>
        <v>3</v>
      </c>
      <c r="C816" s="12" t="str">
        <f>VLOOKUP((WEEKDAY(Movimientos_2026[[#This Row],[Fecha]],2)),'5. Setup'!$D$6:$E$12,2,FALSE)</f>
        <v>Jue</v>
      </c>
      <c r="D816">
        <v>1044261</v>
      </c>
      <c r="E816" t="str">
        <f>IFERROR(+VLOOKUP(Movimientos_2026[[#This Row],[Codigo]],Plan_cuentas[],2,FALSE)," ")</f>
        <v>INGRESOS</v>
      </c>
      <c r="F816" t="str">
        <f>IFERROR(+VLOOKUP(Movimientos_2026[[#This Row],[Codigo]],Plan_cuentas[],3,FALSE)," ")</f>
        <v>Transferencia</v>
      </c>
      <c r="G816" t="str">
        <f>IFERROR(+VLOOKUP(Movimientos_2026[[#This Row],[Codigo]],Plan_cuentas[],4,FALSE)," ")</f>
        <v>Rentas</v>
      </c>
      <c r="H816" t="str">
        <f>IFERROR(+VLOOKUP(Movimientos_2026[[#This Row],[Codigo]],Plan_cuentas[],5,FALSE)," ")</f>
        <v>LA PAMPA</v>
      </c>
      <c r="I816" s="43">
        <v>46023</v>
      </c>
      <c r="J816" t="s">
        <v>347</v>
      </c>
      <c r="K816" t="str">
        <f>IFERROR(+VLOOKUP(Movimientos_2026[[#This Row],[Codigo]],Plan_cuentas[],6,FALSE)," ")</f>
        <v>1 - VW - Volkswagen</v>
      </c>
      <c r="L816" s="50">
        <v>1201061.5</v>
      </c>
      <c r="M816" s="50"/>
      <c r="N816" s="20">
        <f>+Movimientos_2026[[#This Row],[Ingresos]]-Movimientos_2026[[#This Row],[Egresos]]</f>
        <v>1201061.5</v>
      </c>
      <c r="O816" s="20">
        <f>+O815+Movimientos_2026[[#This Row],[Neto]]</f>
        <v>5834328544.9144058</v>
      </c>
    </row>
    <row r="817" spans="1:15" x14ac:dyDescent="0.25">
      <c r="A817" s="13">
        <v>46086</v>
      </c>
      <c r="B817" s="12">
        <f>MONTH(Movimientos_2026[[#This Row],[Fecha]])</f>
        <v>3</v>
      </c>
      <c r="C817" s="12" t="str">
        <f>VLOOKUP((WEEKDAY(Movimientos_2026[[#This Row],[Fecha]],2)),'5. Setup'!$D$6:$E$12,2,FALSE)</f>
        <v>Jue</v>
      </c>
      <c r="D817">
        <v>1044351</v>
      </c>
      <c r="E817" t="str">
        <f>IFERROR(+VLOOKUP(Movimientos_2026[[#This Row],[Codigo]],Plan_cuentas[],2,FALSE)," ")</f>
        <v>INGRESOS</v>
      </c>
      <c r="F817" t="str">
        <f>IFERROR(+VLOOKUP(Movimientos_2026[[#This Row],[Codigo]],Plan_cuentas[],3,FALSE)," ")</f>
        <v>Transferencia</v>
      </c>
      <c r="G817" t="str">
        <f>IFERROR(+VLOOKUP(Movimientos_2026[[#This Row],[Codigo]],Plan_cuentas[],4,FALSE)," ")</f>
        <v>Rentas</v>
      </c>
      <c r="H817" t="str">
        <f>IFERROR(+VLOOKUP(Movimientos_2026[[#This Row],[Codigo]],Plan_cuentas[],5,FALSE)," ")</f>
        <v>SAN JUAN</v>
      </c>
      <c r="I817" s="43">
        <v>46023</v>
      </c>
      <c r="J817" t="s">
        <v>347</v>
      </c>
      <c r="K817" t="str">
        <f>IFERROR(+VLOOKUP(Movimientos_2026[[#This Row],[Codigo]],Plan_cuentas[],6,FALSE)," ")</f>
        <v>1 - VW - Volkswagen</v>
      </c>
      <c r="L817" s="50">
        <v>1944075.84</v>
      </c>
      <c r="M817" s="50"/>
      <c r="N817" s="20">
        <f>+Movimientos_2026[[#This Row],[Ingresos]]-Movimientos_2026[[#This Row],[Egresos]]</f>
        <v>1944075.84</v>
      </c>
      <c r="O817" s="20">
        <f>+O816+Movimientos_2026[[#This Row],[Neto]]</f>
        <v>5836272620.754406</v>
      </c>
    </row>
    <row r="818" spans="1:15" x14ac:dyDescent="0.25">
      <c r="A818" s="13">
        <v>46086</v>
      </c>
      <c r="B818" s="12">
        <f>MONTH(Movimientos_2026[[#This Row],[Fecha]])</f>
        <v>3</v>
      </c>
      <c r="C818" s="12" t="str">
        <f>VLOOKUP((WEEKDAY(Movimientos_2026[[#This Row],[Fecha]],2)),'5. Setup'!$D$6:$E$12,2,FALSE)</f>
        <v>Jue</v>
      </c>
      <c r="D818">
        <v>1044361</v>
      </c>
      <c r="E818" t="str">
        <f>IFERROR(+VLOOKUP(Movimientos_2026[[#This Row],[Codigo]],Plan_cuentas[],2,FALSE)," ")</f>
        <v>INGRESOS</v>
      </c>
      <c r="F818" t="str">
        <f>IFERROR(+VLOOKUP(Movimientos_2026[[#This Row],[Codigo]],Plan_cuentas[],3,FALSE)," ")</f>
        <v>Transferencia</v>
      </c>
      <c r="G818" t="str">
        <f>IFERROR(+VLOOKUP(Movimientos_2026[[#This Row],[Codigo]],Plan_cuentas[],4,FALSE)," ")</f>
        <v>Rentas</v>
      </c>
      <c r="H818" t="str">
        <f>IFERROR(+VLOOKUP(Movimientos_2026[[#This Row],[Codigo]],Plan_cuentas[],5,FALSE)," ")</f>
        <v>SAN LUIS</v>
      </c>
      <c r="I818" s="43">
        <v>46023</v>
      </c>
      <c r="J818" t="s">
        <v>347</v>
      </c>
      <c r="K818" t="str">
        <f>IFERROR(+VLOOKUP(Movimientos_2026[[#This Row],[Codigo]],Plan_cuentas[],6,FALSE)," ")</f>
        <v>1 - VW - Volkswagen</v>
      </c>
      <c r="L818" s="50">
        <v>979021.8</v>
      </c>
      <c r="M818" s="50"/>
      <c r="N818" s="20">
        <f>+Movimientos_2026[[#This Row],[Ingresos]]-Movimientos_2026[[#This Row],[Egresos]]</f>
        <v>979021.8</v>
      </c>
      <c r="O818" s="20">
        <f>+O817+Movimientos_2026[[#This Row],[Neto]]</f>
        <v>5837251642.5544062</v>
      </c>
    </row>
    <row r="819" spans="1:15" x14ac:dyDescent="0.25">
      <c r="A819" s="13">
        <v>46086</v>
      </c>
      <c r="B819" s="12">
        <f>MONTH(Movimientos_2026[[#This Row],[Fecha]])</f>
        <v>3</v>
      </c>
      <c r="C819" s="12" t="str">
        <f>VLOOKUP((WEEKDAY(Movimientos_2026[[#This Row],[Fecha]],2)),'5. Setup'!$D$6:$E$12,2,FALSE)</f>
        <v>Jue</v>
      </c>
      <c r="D819">
        <v>1044401</v>
      </c>
      <c r="E819" t="str">
        <f>IFERROR(+VLOOKUP(Movimientos_2026[[#This Row],[Codigo]],Plan_cuentas[],2,FALSE)," ")</f>
        <v>INGRESOS</v>
      </c>
      <c r="F819" t="str">
        <f>IFERROR(+VLOOKUP(Movimientos_2026[[#This Row],[Codigo]],Plan_cuentas[],3,FALSE)," ")</f>
        <v>Transferencia</v>
      </c>
      <c r="G819" t="str">
        <f>IFERROR(+VLOOKUP(Movimientos_2026[[#This Row],[Codigo]],Plan_cuentas[],4,FALSE)," ")</f>
        <v>Rentas</v>
      </c>
      <c r="H819" t="str">
        <f>IFERROR(+VLOOKUP(Movimientos_2026[[#This Row],[Codigo]],Plan_cuentas[],5,FALSE)," ")</f>
        <v>SANTIAGO DEL ESTERO</v>
      </c>
      <c r="I819" s="43">
        <v>46023</v>
      </c>
      <c r="J819" t="s">
        <v>347</v>
      </c>
      <c r="K819" t="str">
        <f>IFERROR(+VLOOKUP(Movimientos_2026[[#This Row],[Codigo]],Plan_cuentas[],6,FALSE)," ")</f>
        <v>1 - VW - Volkswagen</v>
      </c>
      <c r="L819" s="50">
        <v>1549490.5</v>
      </c>
      <c r="M819" s="50"/>
      <c r="N819" s="20">
        <f>+Movimientos_2026[[#This Row],[Ingresos]]-Movimientos_2026[[#This Row],[Egresos]]</f>
        <v>1549490.5</v>
      </c>
      <c r="O819" s="20">
        <f>+O818+Movimientos_2026[[#This Row],[Neto]]</f>
        <v>5838801133.0544062</v>
      </c>
    </row>
    <row r="820" spans="1:15" x14ac:dyDescent="0.25">
      <c r="A820" s="13">
        <v>46087</v>
      </c>
      <c r="B820" s="12">
        <f>MONTH(Movimientos_2026[[#This Row],[Fecha]])</f>
        <v>3</v>
      </c>
      <c r="C820" s="12" t="str">
        <f>VLOOKUP((WEEKDAY(Movimientos_2026[[#This Row],[Fecha]],2)),'5. Setup'!$D$6:$E$12,2,FALSE)</f>
        <v>Vie</v>
      </c>
      <c r="D820">
        <v>2054324</v>
      </c>
      <c r="E820" t="str">
        <f>IFERROR(+VLOOKUP(Movimientos_2026[[#This Row],[Codigo]],Plan_cuentas[],2,FALSE)," ")</f>
        <v>EGRESOS</v>
      </c>
      <c r="F820" t="str">
        <f>IFERROR(+VLOOKUP(Movimientos_2026[[#This Row],[Codigo]],Plan_cuentas[],3,FALSE)," ")</f>
        <v>VEP</v>
      </c>
      <c r="G820" t="str">
        <f>IFERROR(+VLOOKUP(Movimientos_2026[[#This Row],[Codigo]],Plan_cuentas[],4,FALSE)," ")</f>
        <v>Rentas</v>
      </c>
      <c r="H820" t="str">
        <f>IFERROR(+VLOOKUP(Movimientos_2026[[#This Row],[Codigo]],Plan_cuentas[],5,FALSE)," ")</f>
        <v>NEUQUEN 2° Q</v>
      </c>
      <c r="I820" s="43">
        <v>46054</v>
      </c>
      <c r="J820" t="s">
        <v>348</v>
      </c>
      <c r="K820" t="str">
        <f>IFERROR(+VLOOKUP(Movimientos_2026[[#This Row],[Codigo]],Plan_cuentas[],6,FALSE)," ")</f>
        <v>4 - FCA - Fiat</v>
      </c>
      <c r="L820" s="50"/>
      <c r="M820" s="52">
        <v>62920200</v>
      </c>
      <c r="N820" s="20">
        <f>+Movimientos_2026[[#This Row],[Ingresos]]-Movimientos_2026[[#This Row],[Egresos]]</f>
        <v>-62920200</v>
      </c>
      <c r="O820" s="20">
        <f>+O819+Movimientos_2026[[#This Row],[Neto]]</f>
        <v>5775880933.0544062</v>
      </c>
    </row>
    <row r="821" spans="1:15" x14ac:dyDescent="0.25">
      <c r="A821" s="13">
        <v>46087</v>
      </c>
      <c r="B821" s="12">
        <f>MONTH(Movimientos_2026[[#This Row],[Fecha]])</f>
        <v>3</v>
      </c>
      <c r="C821" s="12" t="str">
        <f>VLOOKUP((WEEKDAY(Movimientos_2026[[#This Row],[Fecha]],2)),'5. Setup'!$D$6:$E$12,2,FALSE)</f>
        <v>Vie</v>
      </c>
      <c r="D821">
        <v>2054326</v>
      </c>
      <c r="E821" t="str">
        <f>IFERROR(+VLOOKUP(Movimientos_2026[[#This Row],[Codigo]],Plan_cuentas[],2,FALSE)," ")</f>
        <v>EGRESOS</v>
      </c>
      <c r="F821" t="str">
        <f>IFERROR(+VLOOKUP(Movimientos_2026[[#This Row],[Codigo]],Plan_cuentas[],3,FALSE)," ")</f>
        <v>VEP</v>
      </c>
      <c r="G821" t="str">
        <f>IFERROR(+VLOOKUP(Movimientos_2026[[#This Row],[Codigo]],Plan_cuentas[],4,FALSE)," ")</f>
        <v>Rentas</v>
      </c>
      <c r="H821" t="str">
        <f>IFERROR(+VLOOKUP(Movimientos_2026[[#This Row],[Codigo]],Plan_cuentas[],5,FALSE)," ")</f>
        <v>NEUQUEN 2° Q</v>
      </c>
      <c r="I821" s="43">
        <v>46054</v>
      </c>
      <c r="J821" t="s">
        <v>348</v>
      </c>
      <c r="K821" t="str">
        <f>IFERROR(+VLOOKUP(Movimientos_2026[[#This Row],[Codigo]],Plan_cuentas[],6,FALSE)," ")</f>
        <v>6 - FCAtr - Fiat Transf.</v>
      </c>
      <c r="L821" s="50"/>
      <c r="M821" s="52">
        <v>616245.44999999995</v>
      </c>
      <c r="N821" s="20">
        <f>+Movimientos_2026[[#This Row],[Ingresos]]-Movimientos_2026[[#This Row],[Egresos]]</f>
        <v>-616245.44999999995</v>
      </c>
      <c r="O821" s="20">
        <f>+O820+Movimientos_2026[[#This Row],[Neto]]</f>
        <v>5775264687.6044064</v>
      </c>
    </row>
    <row r="822" spans="1:15" x14ac:dyDescent="0.25">
      <c r="A822" s="13">
        <v>46087</v>
      </c>
      <c r="B822" s="12">
        <f>MONTH(Movimientos_2026[[#This Row],[Fecha]])</f>
        <v>3</v>
      </c>
      <c r="C822" s="12" t="str">
        <f>VLOOKUP((WEEKDAY(Movimientos_2026[[#This Row],[Fecha]],2)),'5. Setup'!$D$6:$E$12,2,FALSE)</f>
        <v>Vie</v>
      </c>
      <c r="D822">
        <v>2054321</v>
      </c>
      <c r="E822" t="str">
        <f>IFERROR(+VLOOKUP(Movimientos_2026[[#This Row],[Codigo]],Plan_cuentas[],2,FALSE)," ")</f>
        <v>EGRESOS</v>
      </c>
      <c r="F822" t="str">
        <f>IFERROR(+VLOOKUP(Movimientos_2026[[#This Row],[Codigo]],Plan_cuentas[],3,FALSE)," ")</f>
        <v>VEP</v>
      </c>
      <c r="G822" t="str">
        <f>IFERROR(+VLOOKUP(Movimientos_2026[[#This Row],[Codigo]],Plan_cuentas[],4,FALSE)," ")</f>
        <v>Rentas</v>
      </c>
      <c r="H822" t="str">
        <f>IFERROR(+VLOOKUP(Movimientos_2026[[#This Row],[Codigo]],Plan_cuentas[],5,FALSE)," ")</f>
        <v>NEUQUEN 2° Q</v>
      </c>
      <c r="I822" s="43">
        <v>46054</v>
      </c>
      <c r="J822" t="s">
        <v>349</v>
      </c>
      <c r="K822" t="str">
        <f>IFERROR(+VLOOKUP(Movimientos_2026[[#This Row],[Codigo]],Plan_cuentas[],6,FALSE)," ")</f>
        <v>1 - VW - Volkswagen</v>
      </c>
      <c r="L822" s="50"/>
      <c r="M822" s="52">
        <v>33212856</v>
      </c>
      <c r="N822" s="20">
        <f>+Movimientos_2026[[#This Row],[Ingresos]]-Movimientos_2026[[#This Row],[Egresos]]</f>
        <v>-33212856</v>
      </c>
      <c r="O822" s="20">
        <f>+O821+Movimientos_2026[[#This Row],[Neto]]</f>
        <v>5742051831.6044064</v>
      </c>
    </row>
    <row r="823" spans="1:15" x14ac:dyDescent="0.25">
      <c r="A823" s="13">
        <v>46087</v>
      </c>
      <c r="B823" s="12">
        <f>MONTH(Movimientos_2026[[#This Row],[Fecha]])</f>
        <v>3</v>
      </c>
      <c r="C823" s="12" t="str">
        <f>VLOOKUP((WEEKDAY(Movimientos_2026[[#This Row],[Fecha]],2)),'5. Setup'!$D$6:$E$12,2,FALSE)</f>
        <v>Vie</v>
      </c>
      <c r="D823">
        <v>2034411</v>
      </c>
      <c r="E823" t="str">
        <f>IFERROR(+VLOOKUP(Movimientos_2026[[#This Row],[Codigo]],Plan_cuentas[],2,FALSE)," ")</f>
        <v>EGRESOS</v>
      </c>
      <c r="F823" t="str">
        <f>IFERROR(+VLOOKUP(Movimientos_2026[[#This Row],[Codigo]],Plan_cuentas[],3,FALSE)," ")</f>
        <v>Pagos Bco. Provincia</v>
      </c>
      <c r="G823" t="str">
        <f>IFERROR(+VLOOKUP(Movimientos_2026[[#This Row],[Codigo]],Plan_cuentas[],4,FALSE)," ")</f>
        <v>Rentas</v>
      </c>
      <c r="H823" t="str">
        <f>IFERROR(+VLOOKUP(Movimientos_2026[[#This Row],[Codigo]],Plan_cuentas[],5,FALSE)," ")</f>
        <v>TIERRA DEL FUEGO</v>
      </c>
      <c r="I823" s="43">
        <v>46054</v>
      </c>
      <c r="J823" t="s">
        <v>350</v>
      </c>
      <c r="K823" t="str">
        <f>IFERROR(+VLOOKUP(Movimientos_2026[[#This Row],[Codigo]],Plan_cuentas[],6,FALSE)," ")</f>
        <v>1 - VW - Volkswagen</v>
      </c>
      <c r="L823" s="50"/>
      <c r="M823" s="52">
        <v>5723520.5</v>
      </c>
      <c r="N823" s="20">
        <f>+Movimientos_2026[[#This Row],[Ingresos]]-Movimientos_2026[[#This Row],[Egresos]]</f>
        <v>-5723520.5</v>
      </c>
      <c r="O823" s="20">
        <f>+O822+Movimientos_2026[[#This Row],[Neto]]</f>
        <v>5736328311.1044064</v>
      </c>
    </row>
    <row r="824" spans="1:15" x14ac:dyDescent="0.25">
      <c r="A824" s="13">
        <v>46087</v>
      </c>
      <c r="B824" s="12">
        <f>MONTH(Movimientos_2026[[#This Row],[Fecha]])</f>
        <v>3</v>
      </c>
      <c r="C824" s="12" t="str">
        <f>VLOOKUP((WEEKDAY(Movimientos_2026[[#This Row],[Fecha]],2)),'5. Setup'!$D$6:$E$12,2,FALSE)</f>
        <v>Vie</v>
      </c>
      <c r="D824">
        <v>2034244</v>
      </c>
      <c r="E824" t="str">
        <f>IFERROR(+VLOOKUP(Movimientos_2026[[#This Row],[Codigo]],Plan_cuentas[],2,FALSE)," ")</f>
        <v>EGRESOS</v>
      </c>
      <c r="F824" t="str">
        <f>IFERROR(+VLOOKUP(Movimientos_2026[[#This Row],[Codigo]],Plan_cuentas[],3,FALSE)," ")</f>
        <v>Pagos Bco. Provincia</v>
      </c>
      <c r="G824" t="str">
        <f>IFERROR(+VLOOKUP(Movimientos_2026[[#This Row],[Codigo]],Plan_cuentas[],4,FALSE)," ")</f>
        <v>Rentas</v>
      </c>
      <c r="H824" t="str">
        <f>IFERROR(+VLOOKUP(Movimientos_2026[[#This Row],[Codigo]],Plan_cuentas[],5,FALSE)," ")</f>
        <v>FORMOSA</v>
      </c>
      <c r="I824" s="43">
        <v>46054</v>
      </c>
      <c r="J824" t="s">
        <v>351</v>
      </c>
      <c r="K824" t="str">
        <f>IFERROR(+VLOOKUP(Movimientos_2026[[#This Row],[Codigo]],Plan_cuentas[],6,FALSE)," ")</f>
        <v>4 - FCA - Fiat</v>
      </c>
      <c r="L824" s="50"/>
      <c r="M824" s="50">
        <v>10311415.390000001</v>
      </c>
      <c r="N824" s="20">
        <f>+Movimientos_2026[[#This Row],[Ingresos]]-Movimientos_2026[[#This Row],[Egresos]]</f>
        <v>-10311415.390000001</v>
      </c>
      <c r="O824" s="20">
        <f>+O823+Movimientos_2026[[#This Row],[Neto]]</f>
        <v>5726016895.714406</v>
      </c>
    </row>
    <row r="825" spans="1:15" x14ac:dyDescent="0.25">
      <c r="A825" s="13">
        <v>46087</v>
      </c>
      <c r="B825" s="12">
        <f>MONTH(Movimientos_2026[[#This Row],[Fecha]])</f>
        <v>3</v>
      </c>
      <c r="C825" s="12" t="str">
        <f>VLOOKUP((WEEKDAY(Movimientos_2026[[#This Row],[Fecha]],2)),'5. Setup'!$D$6:$E$12,2,FALSE)</f>
        <v>Vie</v>
      </c>
      <c r="D825">
        <v>2054372</v>
      </c>
      <c r="E825" t="str">
        <f>IFERROR(+VLOOKUP(Movimientos_2026[[#This Row],[Codigo]],Plan_cuentas[],2,FALSE)," ")</f>
        <v>EGRESOS</v>
      </c>
      <c r="F825" t="str">
        <f>IFERROR(+VLOOKUP(Movimientos_2026[[#This Row],[Codigo]],Plan_cuentas[],3,FALSE)," ")</f>
        <v>VEP</v>
      </c>
      <c r="G825" t="str">
        <f>IFERROR(+VLOOKUP(Movimientos_2026[[#This Row],[Codigo]],Plan_cuentas[],4,FALSE)," ")</f>
        <v>Rentas</v>
      </c>
      <c r="H825" t="str">
        <f>IFERROR(+VLOOKUP(Movimientos_2026[[#This Row],[Codigo]],Plan_cuentas[],5,FALSE)," ")</f>
        <v>SANTA CRUZ</v>
      </c>
      <c r="I825" s="43">
        <v>46054</v>
      </c>
      <c r="J825" t="s">
        <v>352</v>
      </c>
      <c r="K825" t="str">
        <f>IFERROR(+VLOOKUP(Movimientos_2026[[#This Row],[Codigo]],Plan_cuentas[],6,FALSE)," ")</f>
        <v>2 - PR - Plan Rombo</v>
      </c>
      <c r="L825" s="50"/>
      <c r="M825" s="50">
        <v>33953519.009999998</v>
      </c>
      <c r="N825" s="20">
        <f>+Movimientos_2026[[#This Row],[Ingresos]]-Movimientos_2026[[#This Row],[Egresos]]</f>
        <v>-33953519.009999998</v>
      </c>
      <c r="O825" s="20">
        <f>+O824+Movimientos_2026[[#This Row],[Neto]]</f>
        <v>5692063376.7044058</v>
      </c>
    </row>
    <row r="826" spans="1:15" x14ac:dyDescent="0.25">
      <c r="A826" s="13">
        <v>46087</v>
      </c>
      <c r="B826" s="12">
        <f>MONTH(Movimientos_2026[[#This Row],[Fecha]])</f>
        <v>3</v>
      </c>
      <c r="C826" s="12" t="str">
        <f>VLOOKUP((WEEKDAY(Movimientos_2026[[#This Row],[Fecha]],2)),'5. Setup'!$D$6:$E$12,2,FALSE)</f>
        <v>Vie</v>
      </c>
      <c r="D826">
        <v>2054374</v>
      </c>
      <c r="E826" t="str">
        <f>IFERROR(+VLOOKUP(Movimientos_2026[[#This Row],[Codigo]],Plan_cuentas[],2,FALSE)," ")</f>
        <v>EGRESOS</v>
      </c>
      <c r="F826" t="str">
        <f>IFERROR(+VLOOKUP(Movimientos_2026[[#This Row],[Codigo]],Plan_cuentas[],3,FALSE)," ")</f>
        <v>VEP</v>
      </c>
      <c r="G826" t="str">
        <f>IFERROR(+VLOOKUP(Movimientos_2026[[#This Row],[Codigo]],Plan_cuentas[],4,FALSE)," ")</f>
        <v>Rentas</v>
      </c>
      <c r="H826" t="str">
        <f>IFERROR(+VLOOKUP(Movimientos_2026[[#This Row],[Codigo]],Plan_cuentas[],5,FALSE)," ")</f>
        <v>SANTA CRUZ</v>
      </c>
      <c r="I826" s="43">
        <v>46054</v>
      </c>
      <c r="J826" t="s">
        <v>353</v>
      </c>
      <c r="K826" t="str">
        <f>IFERROR(+VLOOKUP(Movimientos_2026[[#This Row],[Codigo]],Plan_cuentas[],6,FALSE)," ")</f>
        <v>4 - FCA - Fiat</v>
      </c>
      <c r="L826" s="50"/>
      <c r="M826" s="50">
        <v>25254635.34</v>
      </c>
      <c r="N826" s="20">
        <f>+Movimientos_2026[[#This Row],[Ingresos]]-Movimientos_2026[[#This Row],[Egresos]]</f>
        <v>-25254635.34</v>
      </c>
      <c r="O826" s="20">
        <f>+O825+Movimientos_2026[[#This Row],[Neto]]</f>
        <v>5666808741.3644056</v>
      </c>
    </row>
    <row r="827" spans="1:15" x14ac:dyDescent="0.25">
      <c r="A827" s="13">
        <v>46087</v>
      </c>
      <c r="B827" s="12">
        <f>MONTH(Movimientos_2026[[#This Row],[Fecha]])</f>
        <v>3</v>
      </c>
      <c r="C827" s="12" t="str">
        <f>VLOOKUP((WEEKDAY(Movimientos_2026[[#This Row],[Fecha]],2)),'5. Setup'!$D$6:$E$12,2,FALSE)</f>
        <v>Vie</v>
      </c>
      <c r="D827">
        <v>2014272</v>
      </c>
      <c r="E827" t="str">
        <f>IFERROR(+VLOOKUP(Movimientos_2026[[#This Row],[Codigo]],Plan_cuentas[],2,FALSE)," ")</f>
        <v>EGRESOS</v>
      </c>
      <c r="F827" t="str">
        <f>IFERROR(+VLOOKUP(Movimientos_2026[[#This Row],[Codigo]],Plan_cuentas[],3,FALSE)," ")</f>
        <v>BtoB</v>
      </c>
      <c r="G827" t="str">
        <f>IFERROR(+VLOOKUP(Movimientos_2026[[#This Row],[Codigo]],Plan_cuentas[],4,FALSE)," ")</f>
        <v>Rentas</v>
      </c>
      <c r="H827" t="str">
        <f>IFERROR(+VLOOKUP(Movimientos_2026[[#This Row],[Codigo]],Plan_cuentas[],5,FALSE)," ")</f>
        <v>LA RIOJA</v>
      </c>
      <c r="I827" s="43">
        <v>46054</v>
      </c>
      <c r="J827" t="s">
        <v>354</v>
      </c>
      <c r="K827" t="str">
        <f>IFERROR(+VLOOKUP(Movimientos_2026[[#This Row],[Codigo]],Plan_cuentas[],6,FALSE)," ")</f>
        <v>2 - PR - Plan Rombo</v>
      </c>
      <c r="L827" s="50"/>
      <c r="M827" s="50">
        <v>634695.4</v>
      </c>
      <c r="N827" s="20">
        <f>+Movimientos_2026[[#This Row],[Ingresos]]-Movimientos_2026[[#This Row],[Egresos]]</f>
        <v>-634695.4</v>
      </c>
      <c r="O827" s="20">
        <f>+O826+Movimientos_2026[[#This Row],[Neto]]</f>
        <v>5666174045.964406</v>
      </c>
    </row>
    <row r="828" spans="1:15" x14ac:dyDescent="0.25">
      <c r="A828" s="13">
        <v>46087</v>
      </c>
      <c r="B828" s="12">
        <f>MONTH(Movimientos_2026[[#This Row],[Fecha]])</f>
        <v>3</v>
      </c>
      <c r="C828" s="12" t="str">
        <f>VLOOKUP((WEEKDAY(Movimientos_2026[[#This Row],[Fecha]],2)),'5. Setup'!$D$6:$E$12,2,FALSE)</f>
        <v>Vie</v>
      </c>
      <c r="D828">
        <v>2014274</v>
      </c>
      <c r="E828" t="str">
        <f>IFERROR(+VLOOKUP(Movimientos_2026[[#This Row],[Codigo]],Plan_cuentas[],2,FALSE)," ")</f>
        <v>EGRESOS</v>
      </c>
      <c r="F828" t="str">
        <f>IFERROR(+VLOOKUP(Movimientos_2026[[#This Row],[Codigo]],Plan_cuentas[],3,FALSE)," ")</f>
        <v>BtoB</v>
      </c>
      <c r="G828" t="str">
        <f>IFERROR(+VLOOKUP(Movimientos_2026[[#This Row],[Codigo]],Plan_cuentas[],4,FALSE)," ")</f>
        <v>Rentas</v>
      </c>
      <c r="H828" t="str">
        <f>IFERROR(+VLOOKUP(Movimientos_2026[[#This Row],[Codigo]],Plan_cuentas[],5,FALSE)," ")</f>
        <v>LA RIOJA</v>
      </c>
      <c r="I828" s="43">
        <v>46054</v>
      </c>
      <c r="J828" t="s">
        <v>355</v>
      </c>
      <c r="K828" t="str">
        <f>IFERROR(+VLOOKUP(Movimientos_2026[[#This Row],[Codigo]],Plan_cuentas[],6,FALSE)," ")</f>
        <v>4 - FCA - Fiat</v>
      </c>
      <c r="L828" s="50"/>
      <c r="M828" s="50">
        <v>11021819.550000001</v>
      </c>
      <c r="N828" s="20">
        <f>+Movimientos_2026[[#This Row],[Ingresos]]-Movimientos_2026[[#This Row],[Egresos]]</f>
        <v>-11021819.550000001</v>
      </c>
      <c r="O828" s="20">
        <f>+O827+Movimientos_2026[[#This Row],[Neto]]</f>
        <v>5655152226.4144058</v>
      </c>
    </row>
    <row r="829" spans="1:15" x14ac:dyDescent="0.25">
      <c r="A829" s="13">
        <v>46087</v>
      </c>
      <c r="B829" s="12">
        <f>MONTH(Movimientos_2026[[#This Row],[Fecha]])</f>
        <v>3</v>
      </c>
      <c r="C829" s="12" t="str">
        <f>VLOOKUP((WEEKDAY(Movimientos_2026[[#This Row],[Fecha]],2)),'5. Setup'!$D$6:$E$12,2,FALSE)</f>
        <v>Vie</v>
      </c>
      <c r="D829">
        <v>2014214</v>
      </c>
      <c r="E829" t="str">
        <f>IFERROR(+VLOOKUP(Movimientos_2026[[#This Row],[Codigo]],Plan_cuentas[],2,FALSE)," ")</f>
        <v>EGRESOS</v>
      </c>
      <c r="F829" t="str">
        <f>IFERROR(+VLOOKUP(Movimientos_2026[[#This Row],[Codigo]],Plan_cuentas[],3,FALSE)," ")</f>
        <v>BtoB</v>
      </c>
      <c r="G829" t="str">
        <f>IFERROR(+VLOOKUP(Movimientos_2026[[#This Row],[Codigo]],Plan_cuentas[],4,FALSE)," ")</f>
        <v>Rentas</v>
      </c>
      <c r="H829" t="str">
        <f>IFERROR(+VLOOKUP(Movimientos_2026[[#This Row],[Codigo]],Plan_cuentas[],5,FALSE)," ")</f>
        <v>CORRIENTES 2° Q</v>
      </c>
      <c r="I829" s="43">
        <v>46054</v>
      </c>
      <c r="J829" t="s">
        <v>356</v>
      </c>
      <c r="K829" t="str">
        <f>IFERROR(+VLOOKUP(Movimientos_2026[[#This Row],[Codigo]],Plan_cuentas[],6,FALSE)," ")</f>
        <v>4 - FCA - Fiat</v>
      </c>
      <c r="L829" s="50"/>
      <c r="M829" s="50">
        <v>4070135.95</v>
      </c>
      <c r="N829" s="20">
        <f>+Movimientos_2026[[#This Row],[Ingresos]]-Movimientos_2026[[#This Row],[Egresos]]</f>
        <v>-4070135.95</v>
      </c>
      <c r="O829" s="20">
        <f>+O828+Movimientos_2026[[#This Row],[Neto]]</f>
        <v>5651082090.464406</v>
      </c>
    </row>
    <row r="830" spans="1:15" x14ac:dyDescent="0.25">
      <c r="A830" s="13">
        <v>46087</v>
      </c>
      <c r="B830" s="12">
        <f>MONTH(Movimientos_2026[[#This Row],[Fecha]])</f>
        <v>3</v>
      </c>
      <c r="C830" s="12" t="str">
        <f>VLOOKUP((WEEKDAY(Movimientos_2026[[#This Row],[Fecha]],2)),'5. Setup'!$D$6:$E$12,2,FALSE)</f>
        <v>Vie</v>
      </c>
      <c r="D830">
        <v>2054197</v>
      </c>
      <c r="E830" t="str">
        <f>IFERROR(+VLOOKUP(Movimientos_2026[[#This Row],[Codigo]],Plan_cuentas[],2,FALSE)," ")</f>
        <v>EGRESOS</v>
      </c>
      <c r="F830" t="str">
        <f>IFERROR(+VLOOKUP(Movimientos_2026[[#This Row],[Codigo]],Plan_cuentas[],3,FALSE)," ")</f>
        <v>VEP</v>
      </c>
      <c r="G830" t="str">
        <f>IFERROR(+VLOOKUP(Movimientos_2026[[#This Row],[Codigo]],Plan_cuentas[],4,FALSE)," ")</f>
        <v>Rentas</v>
      </c>
      <c r="H830" t="str">
        <f>IFERROR(+VLOOKUP(Movimientos_2026[[#This Row],[Codigo]],Plan_cuentas[],5,FALSE)," ")</f>
        <v>CORDOBA 2° Q</v>
      </c>
      <c r="I830" s="43">
        <v>46054</v>
      </c>
      <c r="J830" t="s">
        <v>357</v>
      </c>
      <c r="K830" t="str">
        <f>IFERROR(+VLOOKUP(Movimientos_2026[[#This Row],[Codigo]],Plan_cuentas[],6,FALSE)," ")</f>
        <v>7 - PRtr - Plan Rombo Transf.</v>
      </c>
      <c r="L830" s="50"/>
      <c r="M830" s="50">
        <v>418440</v>
      </c>
      <c r="N830" s="20">
        <f>+Movimientos_2026[[#This Row],[Ingresos]]-Movimientos_2026[[#This Row],[Egresos]]</f>
        <v>-418440</v>
      </c>
      <c r="O830" s="20">
        <f>+O829+Movimientos_2026[[#This Row],[Neto]]</f>
        <v>5650663650.464406</v>
      </c>
    </row>
    <row r="831" spans="1:15" x14ac:dyDescent="0.25">
      <c r="A831" s="13">
        <v>46087</v>
      </c>
      <c r="B831" s="12">
        <f>MONTH(Movimientos_2026[[#This Row],[Fecha]])</f>
        <v>3</v>
      </c>
      <c r="C831" s="12" t="str">
        <f>VLOOKUP((WEEKDAY(Movimientos_2026[[#This Row],[Fecha]],2)),'5. Setup'!$D$6:$E$12,2,FALSE)</f>
        <v>Vie</v>
      </c>
      <c r="D831">
        <v>1044482</v>
      </c>
      <c r="E831" t="str">
        <f>IFERROR(+VLOOKUP(Movimientos_2026[[#This Row],[Codigo]],Plan_cuentas[],2,FALSE)," ")</f>
        <v>INGRESOS</v>
      </c>
      <c r="F831" t="str">
        <f>IFERROR(+VLOOKUP(Movimientos_2026[[#This Row],[Codigo]],Plan_cuentas[],3,FALSE)," ")</f>
        <v>Transferencia</v>
      </c>
      <c r="G831" t="str">
        <f>IFERROR(+VLOOKUP(Movimientos_2026[[#This Row],[Codigo]],Plan_cuentas[],4,FALSE)," ")</f>
        <v>Factura</v>
      </c>
      <c r="H831" t="str">
        <f>IFERROR(+VLOOKUP(Movimientos_2026[[#This Row],[Codigo]],Plan_cuentas[],5,FALSE)," ")</f>
        <v>FC TRAMITACION</v>
      </c>
      <c r="I831" s="43">
        <v>45689</v>
      </c>
      <c r="J831" t="s">
        <v>358</v>
      </c>
      <c r="K831" t="str">
        <f>IFERROR(+VLOOKUP(Movimientos_2026[[#This Row],[Codigo]],Plan_cuentas[],6,FALSE)," ")</f>
        <v>2 - PR - Plan Rombo</v>
      </c>
      <c r="L831" s="50">
        <v>506222.6166666667</v>
      </c>
      <c r="M831" s="52"/>
      <c r="N831" s="20">
        <f>+Movimientos_2026[[#This Row],[Ingresos]]-Movimientos_2026[[#This Row],[Egresos]]</f>
        <v>506222.6166666667</v>
      </c>
      <c r="O831" s="20">
        <f>+O830+Movimientos_2026[[#This Row],[Neto]]</f>
        <v>5651169873.0810728</v>
      </c>
    </row>
    <row r="832" spans="1:15" x14ac:dyDescent="0.25">
      <c r="A832" s="13">
        <v>46087</v>
      </c>
      <c r="B832" s="12">
        <f>MONTH(Movimientos_2026[[#This Row],[Fecha]])</f>
        <v>3</v>
      </c>
      <c r="C832" s="12" t="str">
        <f>VLOOKUP((WEEKDAY(Movimientos_2026[[#This Row],[Fecha]],2)),'5. Setup'!$D$6:$E$12,2,FALSE)</f>
        <v>Vie</v>
      </c>
      <c r="D832">
        <v>1044482</v>
      </c>
      <c r="E832" t="str">
        <f>IFERROR(+VLOOKUP(Movimientos_2026[[#This Row],[Codigo]],Plan_cuentas[],2,FALSE)," ")</f>
        <v>INGRESOS</v>
      </c>
      <c r="F832" t="str">
        <f>IFERROR(+VLOOKUP(Movimientos_2026[[#This Row],[Codigo]],Plan_cuentas[],3,FALSE)," ")</f>
        <v>Transferencia</v>
      </c>
      <c r="G832" t="str">
        <f>IFERROR(+VLOOKUP(Movimientos_2026[[#This Row],[Codigo]],Plan_cuentas[],4,FALSE)," ")</f>
        <v>Factura</v>
      </c>
      <c r="H832" t="str">
        <f>IFERROR(+VLOOKUP(Movimientos_2026[[#This Row],[Codigo]],Plan_cuentas[],5,FALSE)," ")</f>
        <v>FC TRAMITACION</v>
      </c>
      <c r="I832" s="43">
        <v>45717</v>
      </c>
      <c r="J832" t="s">
        <v>358</v>
      </c>
      <c r="K832" t="str">
        <f>IFERROR(+VLOOKUP(Movimientos_2026[[#This Row],[Codigo]],Plan_cuentas[],6,FALSE)," ")</f>
        <v>2 - PR - Plan Rombo</v>
      </c>
      <c r="L832" s="50">
        <v>506222.6166666667</v>
      </c>
      <c r="M832" s="50"/>
      <c r="N832" s="20">
        <f>+Movimientos_2026[[#This Row],[Ingresos]]-Movimientos_2026[[#This Row],[Egresos]]</f>
        <v>506222.6166666667</v>
      </c>
      <c r="O832" s="20">
        <f>+O831+Movimientos_2026[[#This Row],[Neto]]</f>
        <v>5651676095.6977396</v>
      </c>
    </row>
    <row r="833" spans="1:15" x14ac:dyDescent="0.25">
      <c r="A833" s="13">
        <v>46087</v>
      </c>
      <c r="B833" s="12">
        <f>MONTH(Movimientos_2026[[#This Row],[Fecha]])</f>
        <v>3</v>
      </c>
      <c r="C833" s="12" t="str">
        <f>VLOOKUP((WEEKDAY(Movimientos_2026[[#This Row],[Fecha]],2)),'5. Setup'!$D$6:$E$12,2,FALSE)</f>
        <v>Vie</v>
      </c>
      <c r="D833">
        <v>1044482</v>
      </c>
      <c r="E833" t="str">
        <f>IFERROR(+VLOOKUP(Movimientos_2026[[#This Row],[Codigo]],Plan_cuentas[],2,FALSE)," ")</f>
        <v>INGRESOS</v>
      </c>
      <c r="F833" t="str">
        <f>IFERROR(+VLOOKUP(Movimientos_2026[[#This Row],[Codigo]],Plan_cuentas[],3,FALSE)," ")</f>
        <v>Transferencia</v>
      </c>
      <c r="G833" t="str">
        <f>IFERROR(+VLOOKUP(Movimientos_2026[[#This Row],[Codigo]],Plan_cuentas[],4,FALSE)," ")</f>
        <v>Factura</v>
      </c>
      <c r="H833" t="str">
        <f>IFERROR(+VLOOKUP(Movimientos_2026[[#This Row],[Codigo]],Plan_cuentas[],5,FALSE)," ")</f>
        <v>FC TRAMITACION</v>
      </c>
      <c r="I833" s="43">
        <v>45748</v>
      </c>
      <c r="J833" t="s">
        <v>358</v>
      </c>
      <c r="K833" t="str">
        <f>IFERROR(+VLOOKUP(Movimientos_2026[[#This Row],[Codigo]],Plan_cuentas[],6,FALSE)," ")</f>
        <v>2 - PR - Plan Rombo</v>
      </c>
      <c r="L833" s="50">
        <v>506222.6166666667</v>
      </c>
      <c r="M833" s="50"/>
      <c r="N833" s="20">
        <f>+Movimientos_2026[[#This Row],[Ingresos]]-Movimientos_2026[[#This Row],[Egresos]]</f>
        <v>506222.6166666667</v>
      </c>
      <c r="O833" s="20">
        <f>+O832+Movimientos_2026[[#This Row],[Neto]]</f>
        <v>5652182318.3144064</v>
      </c>
    </row>
    <row r="834" spans="1:15" x14ac:dyDescent="0.25">
      <c r="A834" s="13">
        <v>46087</v>
      </c>
      <c r="B834" s="12">
        <f>MONTH(Movimientos_2026[[#This Row],[Fecha]])</f>
        <v>3</v>
      </c>
      <c r="C834" s="12" t="str">
        <f>VLOOKUP((WEEKDAY(Movimientos_2026[[#This Row],[Fecha]],2)),'5. Setup'!$D$6:$E$12,2,FALSE)</f>
        <v>Vie</v>
      </c>
      <c r="D834">
        <v>1044122</v>
      </c>
      <c r="E834" t="str">
        <f>IFERROR(+VLOOKUP(Movimientos_2026[[#This Row],[Codigo]],Plan_cuentas[],2,FALSE)," ")</f>
        <v>INGRESOS</v>
      </c>
      <c r="F834" t="str">
        <f>IFERROR(+VLOOKUP(Movimientos_2026[[#This Row],[Codigo]],Plan_cuentas[],3,FALSE)," ")</f>
        <v>Transferencia</v>
      </c>
      <c r="G834" t="str">
        <f>IFERROR(+VLOOKUP(Movimientos_2026[[#This Row],[Codigo]],Plan_cuentas[],4,FALSE)," ")</f>
        <v>Rentas</v>
      </c>
      <c r="H834" t="str">
        <f>IFERROR(+VLOOKUP(Movimientos_2026[[#This Row],[Codigo]],Plan_cuentas[],5,FALSE)," ")</f>
        <v>BAPRO</v>
      </c>
      <c r="I834" s="43">
        <v>45689</v>
      </c>
      <c r="J834" t="s">
        <v>359</v>
      </c>
      <c r="K834" t="str">
        <f>IFERROR(+VLOOKUP(Movimientos_2026[[#This Row],[Codigo]],Plan_cuentas[],6,FALSE)," ")</f>
        <v>2 - PR - Plan Rombo</v>
      </c>
      <c r="L834" s="50">
        <v>4248059.8600000003</v>
      </c>
      <c r="M834" s="50"/>
      <c r="N834" s="20">
        <f>+Movimientos_2026[[#This Row],[Ingresos]]-Movimientos_2026[[#This Row],[Egresos]]</f>
        <v>4248059.8600000003</v>
      </c>
      <c r="O834" s="20">
        <f>+O833+Movimientos_2026[[#This Row],[Neto]]</f>
        <v>5656430378.1744061</v>
      </c>
    </row>
    <row r="835" spans="1:15" x14ac:dyDescent="0.25">
      <c r="A835" s="13">
        <v>46087</v>
      </c>
      <c r="B835" s="12">
        <f>MONTH(Movimientos_2026[[#This Row],[Fecha]])</f>
        <v>3</v>
      </c>
      <c r="C835" s="12" t="str">
        <f>VLOOKUP((WEEKDAY(Movimientos_2026[[#This Row],[Fecha]],2)),'5. Setup'!$D$6:$E$12,2,FALSE)</f>
        <v>Vie</v>
      </c>
      <c r="D835">
        <v>1044122</v>
      </c>
      <c r="E835" t="str">
        <f>IFERROR(+VLOOKUP(Movimientos_2026[[#This Row],[Codigo]],Plan_cuentas[],2,FALSE)," ")</f>
        <v>INGRESOS</v>
      </c>
      <c r="F835" t="str">
        <f>IFERROR(+VLOOKUP(Movimientos_2026[[#This Row],[Codigo]],Plan_cuentas[],3,FALSE)," ")</f>
        <v>Transferencia</v>
      </c>
      <c r="G835" t="str">
        <f>IFERROR(+VLOOKUP(Movimientos_2026[[#This Row],[Codigo]],Plan_cuentas[],4,FALSE)," ")</f>
        <v>Rentas</v>
      </c>
      <c r="H835" t="str">
        <f>IFERROR(+VLOOKUP(Movimientos_2026[[#This Row],[Codigo]],Plan_cuentas[],5,FALSE)," ")</f>
        <v>BAPRO</v>
      </c>
      <c r="I835" s="43">
        <v>45717</v>
      </c>
      <c r="J835" t="s">
        <v>359</v>
      </c>
      <c r="K835" t="str">
        <f>IFERROR(+VLOOKUP(Movimientos_2026[[#This Row],[Codigo]],Plan_cuentas[],6,FALSE)," ")</f>
        <v>2 - PR - Plan Rombo</v>
      </c>
      <c r="L835" s="50">
        <v>5588225.7300000004</v>
      </c>
      <c r="M835" s="50"/>
      <c r="N835" s="20">
        <f>+Movimientos_2026[[#This Row],[Ingresos]]-Movimientos_2026[[#This Row],[Egresos]]</f>
        <v>5588225.7300000004</v>
      </c>
      <c r="O835" s="20">
        <f>+O834+Movimientos_2026[[#This Row],[Neto]]</f>
        <v>5662018603.9044056</v>
      </c>
    </row>
    <row r="836" spans="1:15" x14ac:dyDescent="0.25">
      <c r="A836" s="13">
        <v>46087</v>
      </c>
      <c r="B836" s="12">
        <f>MONTH(Movimientos_2026[[#This Row],[Fecha]])</f>
        <v>3</v>
      </c>
      <c r="C836" s="12" t="str">
        <f>VLOOKUP((WEEKDAY(Movimientos_2026[[#This Row],[Fecha]],2)),'5. Setup'!$D$6:$E$12,2,FALSE)</f>
        <v>Vie</v>
      </c>
      <c r="D836">
        <v>1044122</v>
      </c>
      <c r="E836" t="str">
        <f>IFERROR(+VLOOKUP(Movimientos_2026[[#This Row],[Codigo]],Plan_cuentas[],2,FALSE)," ")</f>
        <v>INGRESOS</v>
      </c>
      <c r="F836" t="str">
        <f>IFERROR(+VLOOKUP(Movimientos_2026[[#This Row],[Codigo]],Plan_cuentas[],3,FALSE)," ")</f>
        <v>Transferencia</v>
      </c>
      <c r="G836" t="str">
        <f>IFERROR(+VLOOKUP(Movimientos_2026[[#This Row],[Codigo]],Plan_cuentas[],4,FALSE)," ")</f>
        <v>Rentas</v>
      </c>
      <c r="H836" t="str">
        <f>IFERROR(+VLOOKUP(Movimientos_2026[[#This Row],[Codigo]],Plan_cuentas[],5,FALSE)," ")</f>
        <v>BAPRO</v>
      </c>
      <c r="I836" s="43">
        <v>45748</v>
      </c>
      <c r="J836" t="s">
        <v>359</v>
      </c>
      <c r="K836" t="str">
        <f>IFERROR(+VLOOKUP(Movimientos_2026[[#This Row],[Codigo]],Plan_cuentas[],6,FALSE)," ")</f>
        <v>2 - PR - Plan Rombo</v>
      </c>
      <c r="L836" s="50">
        <v>6337906.0199999996</v>
      </c>
      <c r="M836" s="50"/>
      <c r="N836" s="20">
        <f>+Movimientos_2026[[#This Row],[Ingresos]]-Movimientos_2026[[#This Row],[Egresos]]</f>
        <v>6337906.0199999996</v>
      </c>
      <c r="O836" s="20">
        <f>+O835+Movimientos_2026[[#This Row],[Neto]]</f>
        <v>5668356509.9244061</v>
      </c>
    </row>
    <row r="837" spans="1:15" x14ac:dyDescent="0.25">
      <c r="A837" s="13">
        <v>46090</v>
      </c>
      <c r="B837" s="12">
        <f>MONTH(Movimientos_2026[[#This Row],[Fecha]])</f>
        <v>3</v>
      </c>
      <c r="C837" s="12" t="str">
        <f>VLOOKUP((WEEKDAY(Movimientos_2026[[#This Row],[Fecha]],2)),'5. Setup'!$D$6:$E$12,2,FALSE)</f>
        <v>Lun</v>
      </c>
      <c r="D837">
        <v>2044495</v>
      </c>
      <c r="E837" t="str">
        <f>IFERROR(+VLOOKUP(Movimientos_2026[[#This Row],[Codigo]],Plan_cuentas[],2,FALSE)," ")</f>
        <v>EGRESOS</v>
      </c>
      <c r="F837" t="str">
        <f>IFERROR(+VLOOKUP(Movimientos_2026[[#This Row],[Codigo]],Plan_cuentas[],3,FALSE)," ")</f>
        <v>Transferencia</v>
      </c>
      <c r="G837" t="str">
        <f>IFERROR(+VLOOKUP(Movimientos_2026[[#This Row],[Codigo]],Plan_cuentas[],4,FALSE)," ")</f>
        <v>Rentas</v>
      </c>
      <c r="H837" t="str">
        <f>IFERROR(+VLOOKUP(Movimientos_2026[[#This Row],[Codigo]],Plan_cuentas[],5,FALSE)," ")</f>
        <v>JUJUY</v>
      </c>
      <c r="I837" s="43">
        <v>46054</v>
      </c>
      <c r="J837" t="s">
        <v>360</v>
      </c>
      <c r="K837" t="str">
        <f>IFERROR(+VLOOKUP(Movimientos_2026[[#This Row],[Codigo]],Plan_cuentas[],6,FALSE)," ")</f>
        <v>5 - YAM - Yamaha</v>
      </c>
      <c r="L837" s="50"/>
      <c r="M837" s="50">
        <v>185042.88</v>
      </c>
      <c r="N837" s="20">
        <f>+Movimientos_2026[[#This Row],[Ingresos]]-Movimientos_2026[[#This Row],[Egresos]]</f>
        <v>-185042.88</v>
      </c>
      <c r="O837" s="20">
        <f>+O836+Movimientos_2026[[#This Row],[Neto]]</f>
        <v>5668171467.0444059</v>
      </c>
    </row>
    <row r="838" spans="1:15" x14ac:dyDescent="0.25">
      <c r="A838" s="13">
        <v>46090</v>
      </c>
      <c r="B838" s="12">
        <f>MONTH(Movimientos_2026[[#This Row],[Fecha]])</f>
        <v>3</v>
      </c>
      <c r="C838" s="12" t="str">
        <f>VLOOKUP((WEEKDAY(Movimientos_2026[[#This Row],[Fecha]],2)),'5. Setup'!$D$6:$E$12,2,FALSE)</f>
        <v>Lun</v>
      </c>
      <c r="D838">
        <v>2054196</v>
      </c>
      <c r="E838" t="str">
        <f>IFERROR(+VLOOKUP(Movimientos_2026[[#This Row],[Codigo]],Plan_cuentas[],2,FALSE)," ")</f>
        <v>EGRESOS</v>
      </c>
      <c r="F838" t="str">
        <f>IFERROR(+VLOOKUP(Movimientos_2026[[#This Row],[Codigo]],Plan_cuentas[],3,FALSE)," ")</f>
        <v>VEP</v>
      </c>
      <c r="G838" t="str">
        <f>IFERROR(+VLOOKUP(Movimientos_2026[[#This Row],[Codigo]],Plan_cuentas[],4,FALSE)," ")</f>
        <v>Rentas</v>
      </c>
      <c r="H838" t="str">
        <f>IFERROR(+VLOOKUP(Movimientos_2026[[#This Row],[Codigo]],Plan_cuentas[],5,FALSE)," ")</f>
        <v>CORDOBA 2° Q</v>
      </c>
      <c r="I838" s="43">
        <v>46054</v>
      </c>
      <c r="J838" t="s">
        <v>361</v>
      </c>
      <c r="K838" t="str">
        <f>IFERROR(+VLOOKUP(Movimientos_2026[[#This Row],[Codigo]],Plan_cuentas[],6,FALSE)," ")</f>
        <v>6 - FCAtr - Fiat Transf.</v>
      </c>
      <c r="L838" s="50"/>
      <c r="M838" s="50">
        <v>10049513.560000001</v>
      </c>
      <c r="N838" s="20">
        <f>+Movimientos_2026[[#This Row],[Ingresos]]-Movimientos_2026[[#This Row],[Egresos]]</f>
        <v>-10049513.560000001</v>
      </c>
      <c r="O838" s="20">
        <f>+O837+Movimientos_2026[[#This Row],[Neto]]</f>
        <v>5658121953.4844055</v>
      </c>
    </row>
    <row r="839" spans="1:15" x14ac:dyDescent="0.25">
      <c r="A839" s="13">
        <v>46090</v>
      </c>
      <c r="B839" s="12">
        <f>MONTH(Movimientos_2026[[#This Row],[Fecha]])</f>
        <v>3</v>
      </c>
      <c r="C839" s="12" t="str">
        <f>VLOOKUP((WEEKDAY(Movimientos_2026[[#This Row],[Fecha]],2)),'5. Setup'!$D$6:$E$12,2,FALSE)</f>
        <v>Lun</v>
      </c>
      <c r="D839">
        <v>2014422</v>
      </c>
      <c r="E839" t="str">
        <f>IFERROR(+VLOOKUP(Movimientos_2026[[#This Row],[Codigo]],Plan_cuentas[],2,FALSE)," ")</f>
        <v>EGRESOS</v>
      </c>
      <c r="F839" t="str">
        <f>IFERROR(+VLOOKUP(Movimientos_2026[[#This Row],[Codigo]],Plan_cuentas[],3,FALSE)," ")</f>
        <v>BtoB</v>
      </c>
      <c r="G839" t="str">
        <f>IFERROR(+VLOOKUP(Movimientos_2026[[#This Row],[Codigo]],Plan_cuentas[],4,FALSE)," ")</f>
        <v>Rentas</v>
      </c>
      <c r="H839" t="str">
        <f>IFERROR(+VLOOKUP(Movimientos_2026[[#This Row],[Codigo]],Plan_cuentas[],5,FALSE)," ")</f>
        <v>TUCUMAN</v>
      </c>
      <c r="I839" s="43">
        <v>46054</v>
      </c>
      <c r="J839" t="s">
        <v>362</v>
      </c>
      <c r="K839" t="str">
        <f>IFERROR(+VLOOKUP(Movimientos_2026[[#This Row],[Codigo]],Plan_cuentas[],6,FALSE)," ")</f>
        <v>2 - PR - Plan Rombo</v>
      </c>
      <c r="L839" s="50"/>
      <c r="M839" s="52">
        <v>75239528</v>
      </c>
      <c r="N839" s="20">
        <f>+Movimientos_2026[[#This Row],[Ingresos]]-Movimientos_2026[[#This Row],[Egresos]]</f>
        <v>-75239528</v>
      </c>
      <c r="O839" s="20">
        <f>+O838+Movimientos_2026[[#This Row],[Neto]]</f>
        <v>5582882425.4844055</v>
      </c>
    </row>
    <row r="840" spans="1:15" x14ac:dyDescent="0.25">
      <c r="A840" s="13">
        <v>46090</v>
      </c>
      <c r="B840" s="12">
        <f>MONTH(Movimientos_2026[[#This Row],[Fecha]])</f>
        <v>3</v>
      </c>
      <c r="C840" s="12" t="str">
        <f>VLOOKUP((WEEKDAY(Movimientos_2026[[#This Row],[Fecha]],2)),'5. Setup'!$D$6:$E$12,2,FALSE)</f>
        <v>Lun</v>
      </c>
      <c r="D840">
        <v>2014427</v>
      </c>
      <c r="E840" t="str">
        <f>IFERROR(+VLOOKUP(Movimientos_2026[[#This Row],[Codigo]],Plan_cuentas[],2,FALSE)," ")</f>
        <v>EGRESOS</v>
      </c>
      <c r="F840" t="str">
        <f>IFERROR(+VLOOKUP(Movimientos_2026[[#This Row],[Codigo]],Plan_cuentas[],3,FALSE)," ")</f>
        <v>BtoB</v>
      </c>
      <c r="G840" t="str">
        <f>IFERROR(+VLOOKUP(Movimientos_2026[[#This Row],[Codigo]],Plan_cuentas[],4,FALSE)," ")</f>
        <v>Rentas</v>
      </c>
      <c r="H840" t="str">
        <f>IFERROR(+VLOOKUP(Movimientos_2026[[#This Row],[Codigo]],Plan_cuentas[],5,FALSE)," ")</f>
        <v>TUCUMAN</v>
      </c>
      <c r="I840" s="43">
        <v>46054</v>
      </c>
      <c r="J840" t="s">
        <v>362</v>
      </c>
      <c r="K840" t="str">
        <f>IFERROR(+VLOOKUP(Movimientos_2026[[#This Row],[Codigo]],Plan_cuentas[],6,FALSE)," ")</f>
        <v>7 - PRtr - Plan Rombo Transf.</v>
      </c>
      <c r="L840" s="50"/>
      <c r="M840" s="52">
        <v>60</v>
      </c>
      <c r="N840" s="20">
        <f>+Movimientos_2026[[#This Row],[Ingresos]]-Movimientos_2026[[#This Row],[Egresos]]</f>
        <v>-60</v>
      </c>
      <c r="O840" s="20">
        <f>+O839+Movimientos_2026[[#This Row],[Neto]]</f>
        <v>5582882365.4844055</v>
      </c>
    </row>
    <row r="841" spans="1:15" x14ac:dyDescent="0.25">
      <c r="A841" s="13">
        <v>46090</v>
      </c>
      <c r="B841" s="12">
        <f>MONTH(Movimientos_2026[[#This Row],[Fecha]])</f>
        <v>3</v>
      </c>
      <c r="C841" s="12" t="str">
        <f>VLOOKUP((WEEKDAY(Movimientos_2026[[#This Row],[Fecha]],2)),'5. Setup'!$D$6:$E$12,2,FALSE)</f>
        <v>Lun</v>
      </c>
      <c r="D841">
        <v>2014422</v>
      </c>
      <c r="E841" t="str">
        <f>IFERROR(+VLOOKUP(Movimientos_2026[[#This Row],[Codigo]],Plan_cuentas[],2,FALSE)," ")</f>
        <v>EGRESOS</v>
      </c>
      <c r="F841" t="str">
        <f>IFERROR(+VLOOKUP(Movimientos_2026[[#This Row],[Codigo]],Plan_cuentas[],3,FALSE)," ")</f>
        <v>BtoB</v>
      </c>
      <c r="G841" t="str">
        <f>IFERROR(+VLOOKUP(Movimientos_2026[[#This Row],[Codigo]],Plan_cuentas[],4,FALSE)," ")</f>
        <v>Rentas</v>
      </c>
      <c r="H841" t="str">
        <f>IFERROR(+VLOOKUP(Movimientos_2026[[#This Row],[Codigo]],Plan_cuentas[],5,FALSE)," ")</f>
        <v>TUCUMAN</v>
      </c>
      <c r="I841" s="43">
        <v>46054</v>
      </c>
      <c r="J841" t="s">
        <v>362</v>
      </c>
      <c r="K841" t="str">
        <f>IFERROR(+VLOOKUP(Movimientos_2026[[#This Row],[Codigo]],Plan_cuentas[],6,FALSE)," ")</f>
        <v>2 - PR - Plan Rombo</v>
      </c>
      <c r="L841" s="50"/>
      <c r="M841" s="52">
        <v>4816201</v>
      </c>
      <c r="N841" s="20">
        <f>+Movimientos_2026[[#This Row],[Ingresos]]-Movimientos_2026[[#This Row],[Egresos]]</f>
        <v>-4816201</v>
      </c>
      <c r="O841" s="20">
        <f>+O840+Movimientos_2026[[#This Row],[Neto]]</f>
        <v>5578066164.4844055</v>
      </c>
    </row>
    <row r="842" spans="1:15" x14ac:dyDescent="0.25">
      <c r="A842" s="13">
        <v>46090</v>
      </c>
      <c r="B842" s="12">
        <f>MONTH(Movimientos_2026[[#This Row],[Fecha]])</f>
        <v>3</v>
      </c>
      <c r="C842" s="12" t="str">
        <f>VLOOKUP((WEEKDAY(Movimientos_2026[[#This Row],[Fecha]],2)),'5. Setup'!$D$6:$E$12,2,FALSE)</f>
        <v>Lun</v>
      </c>
      <c r="D842">
        <v>2034243</v>
      </c>
      <c r="E842" t="str">
        <f>IFERROR(+VLOOKUP(Movimientos_2026[[#This Row],[Codigo]],Plan_cuentas[],2,FALSE)," ")</f>
        <v>EGRESOS</v>
      </c>
      <c r="F842" t="str">
        <f>IFERROR(+VLOOKUP(Movimientos_2026[[#This Row],[Codigo]],Plan_cuentas[],3,FALSE)," ")</f>
        <v>Pagos Bco. Provincia</v>
      </c>
      <c r="G842" t="str">
        <f>IFERROR(+VLOOKUP(Movimientos_2026[[#This Row],[Codigo]],Plan_cuentas[],4,FALSE)," ")</f>
        <v>Rentas</v>
      </c>
      <c r="H842" t="str">
        <f>IFERROR(+VLOOKUP(Movimientos_2026[[#This Row],[Codigo]],Plan_cuentas[],5,FALSE)," ")</f>
        <v>FORMOSA</v>
      </c>
      <c r="I842" s="43">
        <v>46054</v>
      </c>
      <c r="J842" t="s">
        <v>363</v>
      </c>
      <c r="K842" t="str">
        <f>IFERROR(+VLOOKUP(Movimientos_2026[[#This Row],[Codigo]],Plan_cuentas[],6,FALSE)," ")</f>
        <v>3 - GM - Chevrolet</v>
      </c>
      <c r="L842" s="50"/>
      <c r="M842" s="50">
        <v>11613335.560000001</v>
      </c>
      <c r="N842" s="20">
        <f>+Movimientos_2026[[#This Row],[Ingresos]]-Movimientos_2026[[#This Row],[Egresos]]</f>
        <v>-11613335.560000001</v>
      </c>
      <c r="O842" s="20">
        <f>+O841+Movimientos_2026[[#This Row],[Neto]]</f>
        <v>5566452828.9244051</v>
      </c>
    </row>
    <row r="843" spans="1:15" x14ac:dyDescent="0.25">
      <c r="A843" s="13">
        <v>46090</v>
      </c>
      <c r="B843" s="12">
        <f>MONTH(Movimientos_2026[[#This Row],[Fecha]])</f>
        <v>3</v>
      </c>
      <c r="C843" s="12" t="str">
        <f>VLOOKUP((WEEKDAY(Movimientos_2026[[#This Row],[Fecha]],2)),'5. Setup'!$D$6:$E$12,2,FALSE)</f>
        <v>Lun</v>
      </c>
      <c r="D843">
        <v>2023151</v>
      </c>
      <c r="E843" t="str">
        <f>IFERROR(+VLOOKUP(Movimientos_2026[[#This Row],[Codigo]],Plan_cuentas[],2,FALSE)," ")</f>
        <v>EGRESOS</v>
      </c>
      <c r="F843" t="str">
        <f>IFERROR(+VLOOKUP(Movimientos_2026[[#This Row],[Codigo]],Plan_cuentas[],3,FALSE)," ")</f>
        <v>DDJJ</v>
      </c>
      <c r="G843" t="str">
        <f>IFERROR(+VLOOKUP(Movimientos_2026[[#This Row],[Codigo]],Plan_cuentas[],4,FALSE)," ")</f>
        <v>Registración</v>
      </c>
      <c r="H843" t="str">
        <f>IFERROR(+VLOOKUP(Movimientos_2026[[#This Row],[Codigo]],Plan_cuentas[],5,FALSE)," ")</f>
        <v>CABA</v>
      </c>
      <c r="I843" s="43">
        <v>46054</v>
      </c>
      <c r="J843" t="s">
        <v>364</v>
      </c>
      <c r="K843" t="str">
        <f>IFERROR(+VLOOKUP(Movimientos_2026[[#This Row],[Codigo]],Plan_cuentas[],6,FALSE)," ")</f>
        <v>1 - VW - Volkswagen</v>
      </c>
      <c r="L843" s="50"/>
      <c r="M843" s="52">
        <v>69071487.120000005</v>
      </c>
      <c r="N843" s="20">
        <f>+Movimientos_2026[[#This Row],[Ingresos]]-Movimientos_2026[[#This Row],[Egresos]]</f>
        <v>-69071487.120000005</v>
      </c>
      <c r="O843" s="20">
        <f>+O842+Movimientos_2026[[#This Row],[Neto]]</f>
        <v>5497381341.8044052</v>
      </c>
    </row>
    <row r="844" spans="1:15" x14ac:dyDescent="0.25">
      <c r="A844" s="13">
        <v>46090</v>
      </c>
      <c r="B844" s="12">
        <f>MONTH(Movimientos_2026[[#This Row],[Fecha]])</f>
        <v>3</v>
      </c>
      <c r="C844" s="12" t="str">
        <f>VLOOKUP((WEEKDAY(Movimientos_2026[[#This Row],[Fecha]],2)),'5. Setup'!$D$6:$E$12,2,FALSE)</f>
        <v>Lun</v>
      </c>
      <c r="D844">
        <v>2023152</v>
      </c>
      <c r="E844" t="str">
        <f>IFERROR(+VLOOKUP(Movimientos_2026[[#This Row],[Codigo]],Plan_cuentas[],2,FALSE)," ")</f>
        <v>EGRESOS</v>
      </c>
      <c r="F844" t="str">
        <f>IFERROR(+VLOOKUP(Movimientos_2026[[#This Row],[Codigo]],Plan_cuentas[],3,FALSE)," ")</f>
        <v>DDJJ</v>
      </c>
      <c r="G844" t="str">
        <f>IFERROR(+VLOOKUP(Movimientos_2026[[#This Row],[Codigo]],Plan_cuentas[],4,FALSE)," ")</f>
        <v>Registración</v>
      </c>
      <c r="H844" t="str">
        <f>IFERROR(+VLOOKUP(Movimientos_2026[[#This Row],[Codigo]],Plan_cuentas[],5,FALSE)," ")</f>
        <v>CABA</v>
      </c>
      <c r="I844" s="43">
        <v>46054</v>
      </c>
      <c r="J844" t="s">
        <v>364</v>
      </c>
      <c r="K844" t="str">
        <f>IFERROR(+VLOOKUP(Movimientos_2026[[#This Row],[Codigo]],Plan_cuentas[],6,FALSE)," ")</f>
        <v>2 - PR - Plan Rombo</v>
      </c>
      <c r="L844" s="50"/>
      <c r="M844" s="52">
        <v>131025291.03</v>
      </c>
      <c r="N844" s="20">
        <f>+Movimientos_2026[[#This Row],[Ingresos]]-Movimientos_2026[[#This Row],[Egresos]]</f>
        <v>-131025291.03</v>
      </c>
      <c r="O844" s="20">
        <f>+O843+Movimientos_2026[[#This Row],[Neto]]</f>
        <v>5366356050.7744055</v>
      </c>
    </row>
    <row r="845" spans="1:15" x14ac:dyDescent="0.25">
      <c r="A845" s="13">
        <v>46090</v>
      </c>
      <c r="B845" s="12">
        <f>MONTH(Movimientos_2026[[#This Row],[Fecha]])</f>
        <v>3</v>
      </c>
      <c r="C845" s="12" t="str">
        <f>VLOOKUP((WEEKDAY(Movimientos_2026[[#This Row],[Fecha]],2)),'5. Setup'!$D$6:$E$12,2,FALSE)</f>
        <v>Lun</v>
      </c>
      <c r="D845">
        <v>2023153</v>
      </c>
      <c r="E845" t="str">
        <f>IFERROR(+VLOOKUP(Movimientos_2026[[#This Row],[Codigo]],Plan_cuentas[],2,FALSE)," ")</f>
        <v>EGRESOS</v>
      </c>
      <c r="F845" t="str">
        <f>IFERROR(+VLOOKUP(Movimientos_2026[[#This Row],[Codigo]],Plan_cuentas[],3,FALSE)," ")</f>
        <v>DDJJ</v>
      </c>
      <c r="G845" t="str">
        <f>IFERROR(+VLOOKUP(Movimientos_2026[[#This Row],[Codigo]],Plan_cuentas[],4,FALSE)," ")</f>
        <v>Registración</v>
      </c>
      <c r="H845" t="str">
        <f>IFERROR(+VLOOKUP(Movimientos_2026[[#This Row],[Codigo]],Plan_cuentas[],5,FALSE)," ")</f>
        <v>CABA</v>
      </c>
      <c r="I845" s="43">
        <v>46054</v>
      </c>
      <c r="J845" t="s">
        <v>364</v>
      </c>
      <c r="K845" t="str">
        <f>IFERROR(+VLOOKUP(Movimientos_2026[[#This Row],[Codigo]],Plan_cuentas[],6,FALSE)," ")</f>
        <v>3 - GM - Chevrolet</v>
      </c>
      <c r="L845" s="50"/>
      <c r="M845" s="52">
        <v>52481036.270000003</v>
      </c>
      <c r="N845" s="20">
        <f>+Movimientos_2026[[#This Row],[Ingresos]]-Movimientos_2026[[#This Row],[Egresos]]</f>
        <v>-52481036.270000003</v>
      </c>
      <c r="O845" s="20">
        <f>+O844+Movimientos_2026[[#This Row],[Neto]]</f>
        <v>5313875014.504405</v>
      </c>
    </row>
    <row r="846" spans="1:15" x14ac:dyDescent="0.25">
      <c r="A846" s="13">
        <v>46090</v>
      </c>
      <c r="B846" s="12">
        <f>MONTH(Movimientos_2026[[#This Row],[Fecha]])</f>
        <v>3</v>
      </c>
      <c r="C846" s="12" t="str">
        <f>VLOOKUP((WEEKDAY(Movimientos_2026[[#This Row],[Fecha]],2)),'5. Setup'!$D$6:$E$12,2,FALSE)</f>
        <v>Lun</v>
      </c>
      <c r="D846">
        <v>2023154</v>
      </c>
      <c r="E846" t="str">
        <f>IFERROR(+VLOOKUP(Movimientos_2026[[#This Row],[Codigo]],Plan_cuentas[],2,FALSE)," ")</f>
        <v>EGRESOS</v>
      </c>
      <c r="F846" t="str">
        <f>IFERROR(+VLOOKUP(Movimientos_2026[[#This Row],[Codigo]],Plan_cuentas[],3,FALSE)," ")</f>
        <v>DDJJ</v>
      </c>
      <c r="G846" t="str">
        <f>IFERROR(+VLOOKUP(Movimientos_2026[[#This Row],[Codigo]],Plan_cuentas[],4,FALSE)," ")</f>
        <v>Registración</v>
      </c>
      <c r="H846" t="str">
        <f>IFERROR(+VLOOKUP(Movimientos_2026[[#This Row],[Codigo]],Plan_cuentas[],5,FALSE)," ")</f>
        <v>CABA</v>
      </c>
      <c r="I846" s="43">
        <v>46054</v>
      </c>
      <c r="J846" t="s">
        <v>364</v>
      </c>
      <c r="K846" t="str">
        <f>IFERROR(+VLOOKUP(Movimientos_2026[[#This Row],[Codigo]],Plan_cuentas[],6,FALSE)," ")</f>
        <v>4 - FCA - Fiat</v>
      </c>
      <c r="L846" s="50"/>
      <c r="M846" s="52">
        <v>618349600.42999995</v>
      </c>
      <c r="N846" s="20">
        <f>+Movimientos_2026[[#This Row],[Ingresos]]-Movimientos_2026[[#This Row],[Egresos]]</f>
        <v>-618349600.42999995</v>
      </c>
      <c r="O846" s="20">
        <f>+O845+Movimientos_2026[[#This Row],[Neto]]</f>
        <v>4695525414.0744047</v>
      </c>
    </row>
    <row r="847" spans="1:15" x14ac:dyDescent="0.25">
      <c r="A847" s="13">
        <v>46090</v>
      </c>
      <c r="B847" s="12">
        <f>MONTH(Movimientos_2026[[#This Row],[Fecha]])</f>
        <v>3</v>
      </c>
      <c r="C847" s="12" t="str">
        <f>VLOOKUP((WEEKDAY(Movimientos_2026[[#This Row],[Fecha]],2)),'5. Setup'!$D$6:$E$12,2,FALSE)</f>
        <v>Lun</v>
      </c>
      <c r="D847">
        <v>2023155</v>
      </c>
      <c r="E847" t="str">
        <f>IFERROR(+VLOOKUP(Movimientos_2026[[#This Row],[Codigo]],Plan_cuentas[],2,FALSE)," ")</f>
        <v>EGRESOS</v>
      </c>
      <c r="F847" t="str">
        <f>IFERROR(+VLOOKUP(Movimientos_2026[[#This Row],[Codigo]],Plan_cuentas[],3,FALSE)," ")</f>
        <v>DDJJ</v>
      </c>
      <c r="G847" t="str">
        <f>IFERROR(+VLOOKUP(Movimientos_2026[[#This Row],[Codigo]],Plan_cuentas[],4,FALSE)," ")</f>
        <v>Registración</v>
      </c>
      <c r="H847" t="str">
        <f>IFERROR(+VLOOKUP(Movimientos_2026[[#This Row],[Codigo]],Plan_cuentas[],5,FALSE)," ")</f>
        <v>CABA</v>
      </c>
      <c r="I847" s="43">
        <v>46054</v>
      </c>
      <c r="J847" t="s">
        <v>364</v>
      </c>
      <c r="K847" t="str">
        <f>IFERROR(+VLOOKUP(Movimientos_2026[[#This Row],[Codigo]],Plan_cuentas[],6,FALSE)," ")</f>
        <v>5 - YAM - Yamaha</v>
      </c>
      <c r="L847" s="50"/>
      <c r="M847" s="52">
        <v>22934492.219999999</v>
      </c>
      <c r="N847" s="20">
        <f>+Movimientos_2026[[#This Row],[Ingresos]]-Movimientos_2026[[#This Row],[Egresos]]</f>
        <v>-22934492.219999999</v>
      </c>
      <c r="O847" s="20">
        <f>+O846+Movimientos_2026[[#This Row],[Neto]]</f>
        <v>4672590921.8544044</v>
      </c>
    </row>
    <row r="848" spans="1:15" x14ac:dyDescent="0.25">
      <c r="A848" s="13">
        <v>46090</v>
      </c>
      <c r="B848" s="12">
        <f>MONTH(Movimientos_2026[[#This Row],[Fecha]])</f>
        <v>3</v>
      </c>
      <c r="C848" s="12" t="str">
        <f>VLOOKUP((WEEKDAY(Movimientos_2026[[#This Row],[Fecha]],2)),'5. Setup'!$D$6:$E$12,2,FALSE)</f>
        <v>Lun</v>
      </c>
      <c r="D848">
        <v>2023156</v>
      </c>
      <c r="E848" t="str">
        <f>IFERROR(+VLOOKUP(Movimientos_2026[[#This Row],[Codigo]],Plan_cuentas[],2,FALSE)," ")</f>
        <v>EGRESOS</v>
      </c>
      <c r="F848" t="str">
        <f>IFERROR(+VLOOKUP(Movimientos_2026[[#This Row],[Codigo]],Plan_cuentas[],3,FALSE)," ")</f>
        <v>DDJJ</v>
      </c>
      <c r="G848" t="str">
        <f>IFERROR(+VLOOKUP(Movimientos_2026[[#This Row],[Codigo]],Plan_cuentas[],4,FALSE)," ")</f>
        <v>Registración</v>
      </c>
      <c r="H848" t="str">
        <f>IFERROR(+VLOOKUP(Movimientos_2026[[#This Row],[Codigo]],Plan_cuentas[],5,FALSE)," ")</f>
        <v>CABA</v>
      </c>
      <c r="I848" s="43">
        <v>46054</v>
      </c>
      <c r="J848" t="s">
        <v>364</v>
      </c>
      <c r="K848" t="str">
        <f>IFERROR(+VLOOKUP(Movimientos_2026[[#This Row],[Codigo]],Plan_cuentas[],6,FALSE)," ")</f>
        <v>6 - FCAtr - Fiat Transf.</v>
      </c>
      <c r="L848" s="50"/>
      <c r="M848" s="52">
        <v>7160496.2999999998</v>
      </c>
      <c r="N848" s="20">
        <f>+Movimientos_2026[[#This Row],[Ingresos]]-Movimientos_2026[[#This Row],[Egresos]]</f>
        <v>-7160496.2999999998</v>
      </c>
      <c r="O848" s="20">
        <f>+O847+Movimientos_2026[[#This Row],[Neto]]</f>
        <v>4665430425.5544043</v>
      </c>
    </row>
    <row r="849" spans="1:15" x14ac:dyDescent="0.25">
      <c r="A849" s="13">
        <v>46090</v>
      </c>
      <c r="B849" s="12">
        <f>MONTH(Movimientos_2026[[#This Row],[Fecha]])</f>
        <v>3</v>
      </c>
      <c r="C849" s="12" t="str">
        <f>VLOOKUP((WEEKDAY(Movimientos_2026[[#This Row],[Fecha]],2)),'5. Setup'!$D$6:$E$12,2,FALSE)</f>
        <v>Lun</v>
      </c>
      <c r="D849">
        <v>2023157</v>
      </c>
      <c r="E849" t="str">
        <f>IFERROR(+VLOOKUP(Movimientos_2026[[#This Row],[Codigo]],Plan_cuentas[],2,FALSE)," ")</f>
        <v>EGRESOS</v>
      </c>
      <c r="F849" t="str">
        <f>IFERROR(+VLOOKUP(Movimientos_2026[[#This Row],[Codigo]],Plan_cuentas[],3,FALSE)," ")</f>
        <v>DDJJ</v>
      </c>
      <c r="G849" t="str">
        <f>IFERROR(+VLOOKUP(Movimientos_2026[[#This Row],[Codigo]],Plan_cuentas[],4,FALSE)," ")</f>
        <v>Registración</v>
      </c>
      <c r="H849" t="str">
        <f>IFERROR(+VLOOKUP(Movimientos_2026[[#This Row],[Codigo]],Plan_cuentas[],5,FALSE)," ")</f>
        <v>CABA</v>
      </c>
      <c r="I849" s="43">
        <v>46054</v>
      </c>
      <c r="J849" t="s">
        <v>364</v>
      </c>
      <c r="K849" t="str">
        <f>IFERROR(+VLOOKUP(Movimientos_2026[[#This Row],[Codigo]],Plan_cuentas[],6,FALSE)," ")</f>
        <v>7 - PRtr - Plan Rombo Transf.</v>
      </c>
      <c r="L849" s="50"/>
      <c r="M849" s="52">
        <v>19507</v>
      </c>
      <c r="N849" s="20">
        <f>+Movimientos_2026[[#This Row],[Ingresos]]-Movimientos_2026[[#This Row],[Egresos]]</f>
        <v>-19507</v>
      </c>
      <c r="O849" s="20">
        <f>+O848+Movimientos_2026[[#This Row],[Neto]]</f>
        <v>4665410918.5544043</v>
      </c>
    </row>
    <row r="850" spans="1:15" x14ac:dyDescent="0.25">
      <c r="A850" s="13">
        <v>46090</v>
      </c>
      <c r="B850" s="12">
        <f>MONTH(Movimientos_2026[[#This Row],[Fecha]])</f>
        <v>3</v>
      </c>
      <c r="C850" s="12" t="str">
        <f>VLOOKUP((WEEKDAY(Movimientos_2026[[#This Row],[Fecha]],2)),'5. Setup'!$D$6:$E$12,2,FALSE)</f>
        <v>Lun</v>
      </c>
      <c r="D850">
        <v>2023231</v>
      </c>
      <c r="E850" t="str">
        <f>IFERROR(+VLOOKUP(Movimientos_2026[[#This Row],[Codigo]],Plan_cuentas[],2,FALSE)," ")</f>
        <v>EGRESOS</v>
      </c>
      <c r="F850" t="str">
        <f>IFERROR(+VLOOKUP(Movimientos_2026[[#This Row],[Codigo]],Plan_cuentas[],3,FALSE)," ")</f>
        <v>DDJJ</v>
      </c>
      <c r="G850" t="str">
        <f>IFERROR(+VLOOKUP(Movimientos_2026[[#This Row],[Codigo]],Plan_cuentas[],4,FALSE)," ")</f>
        <v>Registración</v>
      </c>
      <c r="H850" t="str">
        <f>IFERROR(+VLOOKUP(Movimientos_2026[[#This Row],[Codigo]],Plan_cuentas[],5,FALSE)," ")</f>
        <v>ENTRE RIOS 2° Q</v>
      </c>
      <c r="I850" s="43">
        <v>46054</v>
      </c>
      <c r="J850" t="s">
        <v>365</v>
      </c>
      <c r="K850" t="str">
        <f>IFERROR(+VLOOKUP(Movimientos_2026[[#This Row],[Codigo]],Plan_cuentas[],6,FALSE)," ")</f>
        <v>1 - VW - Volkswagen</v>
      </c>
      <c r="L850" s="50"/>
      <c r="M850" s="52">
        <v>11160171.5</v>
      </c>
      <c r="N850" s="20">
        <f>+Movimientos_2026[[#This Row],[Ingresos]]-Movimientos_2026[[#This Row],[Egresos]]</f>
        <v>-11160171.5</v>
      </c>
      <c r="O850" s="20">
        <f>+O849+Movimientos_2026[[#This Row],[Neto]]</f>
        <v>4654250747.0544043</v>
      </c>
    </row>
    <row r="851" spans="1:15" x14ac:dyDescent="0.25">
      <c r="A851" s="13">
        <v>46090</v>
      </c>
      <c r="B851" s="12">
        <f>MONTH(Movimientos_2026[[#This Row],[Fecha]])</f>
        <v>3</v>
      </c>
      <c r="C851" s="12" t="str">
        <f>VLOOKUP((WEEKDAY(Movimientos_2026[[#This Row],[Fecha]],2)),'5. Setup'!$D$6:$E$12,2,FALSE)</f>
        <v>Lun</v>
      </c>
      <c r="D851">
        <v>2023232</v>
      </c>
      <c r="E851" t="str">
        <f>IFERROR(+VLOOKUP(Movimientos_2026[[#This Row],[Codigo]],Plan_cuentas[],2,FALSE)," ")</f>
        <v>EGRESOS</v>
      </c>
      <c r="F851" t="str">
        <f>IFERROR(+VLOOKUP(Movimientos_2026[[#This Row],[Codigo]],Plan_cuentas[],3,FALSE)," ")</f>
        <v>DDJJ</v>
      </c>
      <c r="G851" t="str">
        <f>IFERROR(+VLOOKUP(Movimientos_2026[[#This Row],[Codigo]],Plan_cuentas[],4,FALSE)," ")</f>
        <v>Registración</v>
      </c>
      <c r="H851" t="str">
        <f>IFERROR(+VLOOKUP(Movimientos_2026[[#This Row],[Codigo]],Plan_cuentas[],5,FALSE)," ")</f>
        <v>ENTRE RIOS 2° Q</v>
      </c>
      <c r="I851" s="43">
        <v>46054</v>
      </c>
      <c r="J851" t="s">
        <v>365</v>
      </c>
      <c r="K851" t="str">
        <f>IFERROR(+VLOOKUP(Movimientos_2026[[#This Row],[Codigo]],Plan_cuentas[],6,FALSE)," ")</f>
        <v>2 - PR - Plan Rombo</v>
      </c>
      <c r="L851" s="50"/>
      <c r="M851" s="52">
        <v>18163013.379999999</v>
      </c>
      <c r="N851" s="20">
        <f>+Movimientos_2026[[#This Row],[Ingresos]]-Movimientos_2026[[#This Row],[Egresos]]</f>
        <v>-18163013.379999999</v>
      </c>
      <c r="O851" s="20">
        <f>+O850+Movimientos_2026[[#This Row],[Neto]]</f>
        <v>4636087733.6744041</v>
      </c>
    </row>
    <row r="852" spans="1:15" x14ac:dyDescent="0.25">
      <c r="A852" s="13">
        <v>46090</v>
      </c>
      <c r="B852" s="12">
        <f>MONTH(Movimientos_2026[[#This Row],[Fecha]])</f>
        <v>3</v>
      </c>
      <c r="C852" s="12" t="str">
        <f>VLOOKUP((WEEKDAY(Movimientos_2026[[#This Row],[Fecha]],2)),'5. Setup'!$D$6:$E$12,2,FALSE)</f>
        <v>Lun</v>
      </c>
      <c r="D852">
        <v>2023233</v>
      </c>
      <c r="E852" t="str">
        <f>IFERROR(+VLOOKUP(Movimientos_2026[[#This Row],[Codigo]],Plan_cuentas[],2,FALSE)," ")</f>
        <v>EGRESOS</v>
      </c>
      <c r="F852" t="str">
        <f>IFERROR(+VLOOKUP(Movimientos_2026[[#This Row],[Codigo]],Plan_cuentas[],3,FALSE)," ")</f>
        <v>DDJJ</v>
      </c>
      <c r="G852" t="str">
        <f>IFERROR(+VLOOKUP(Movimientos_2026[[#This Row],[Codigo]],Plan_cuentas[],4,FALSE)," ")</f>
        <v>Registración</v>
      </c>
      <c r="H852" t="str">
        <f>IFERROR(+VLOOKUP(Movimientos_2026[[#This Row],[Codigo]],Plan_cuentas[],5,FALSE)," ")</f>
        <v>ENTRE RIOS 2° Q</v>
      </c>
      <c r="I852" s="43">
        <v>46054</v>
      </c>
      <c r="J852" t="s">
        <v>365</v>
      </c>
      <c r="K852" t="str">
        <f>IFERROR(+VLOOKUP(Movimientos_2026[[#This Row],[Codigo]],Plan_cuentas[],6,FALSE)," ")</f>
        <v>3 - GM - Chevrolet</v>
      </c>
      <c r="L852" s="50"/>
      <c r="M852" s="52">
        <v>5953528.7999999998</v>
      </c>
      <c r="N852" s="20">
        <f>+Movimientos_2026[[#This Row],[Ingresos]]-Movimientos_2026[[#This Row],[Egresos]]</f>
        <v>-5953528.7999999998</v>
      </c>
      <c r="O852" s="20">
        <f>+O851+Movimientos_2026[[#This Row],[Neto]]</f>
        <v>4630134204.874404</v>
      </c>
    </row>
    <row r="853" spans="1:15" x14ac:dyDescent="0.25">
      <c r="A853" s="13">
        <v>46090</v>
      </c>
      <c r="B853" s="12">
        <f>MONTH(Movimientos_2026[[#This Row],[Fecha]])</f>
        <v>3</v>
      </c>
      <c r="C853" s="12" t="str">
        <f>VLOOKUP((WEEKDAY(Movimientos_2026[[#This Row],[Fecha]],2)),'5. Setup'!$D$6:$E$12,2,FALSE)</f>
        <v>Lun</v>
      </c>
      <c r="D853">
        <v>2023242</v>
      </c>
      <c r="E853" t="str">
        <f>IFERROR(+VLOOKUP(Movimientos_2026[[#This Row],[Codigo]],Plan_cuentas[],2,FALSE)," ")</f>
        <v>EGRESOS</v>
      </c>
      <c r="F853" t="str">
        <f>IFERROR(+VLOOKUP(Movimientos_2026[[#This Row],[Codigo]],Plan_cuentas[],3,FALSE)," ")</f>
        <v>DDJJ</v>
      </c>
      <c r="G853" t="str">
        <f>IFERROR(+VLOOKUP(Movimientos_2026[[#This Row],[Codigo]],Plan_cuentas[],4,FALSE)," ")</f>
        <v>Registración</v>
      </c>
      <c r="H853" t="str">
        <f>IFERROR(+VLOOKUP(Movimientos_2026[[#This Row],[Codigo]],Plan_cuentas[],5,FALSE)," ")</f>
        <v>FORMOSA</v>
      </c>
      <c r="I853" s="43">
        <v>46054</v>
      </c>
      <c r="J853" t="s">
        <v>366</v>
      </c>
      <c r="K853" t="str">
        <f>IFERROR(+VLOOKUP(Movimientos_2026[[#This Row],[Codigo]],Plan_cuentas[],6,FALSE)," ")</f>
        <v>2 - PR - Plan Rombo</v>
      </c>
      <c r="L853" s="50"/>
      <c r="M853" s="52">
        <v>7379675.7300000004</v>
      </c>
      <c r="N853" s="20">
        <f>+Movimientos_2026[[#This Row],[Ingresos]]-Movimientos_2026[[#This Row],[Egresos]]</f>
        <v>-7379675.7300000004</v>
      </c>
      <c r="O853" s="20">
        <f>+O852+Movimientos_2026[[#This Row],[Neto]]</f>
        <v>4622754529.1444044</v>
      </c>
    </row>
    <row r="854" spans="1:15" x14ac:dyDescent="0.25">
      <c r="A854" s="13">
        <v>46090</v>
      </c>
      <c r="B854" s="12">
        <f>MONTH(Movimientos_2026[[#This Row],[Fecha]])</f>
        <v>3</v>
      </c>
      <c r="C854" s="12" t="str">
        <f>VLOOKUP((WEEKDAY(Movimientos_2026[[#This Row],[Fecha]],2)),'5. Setup'!$D$6:$E$12,2,FALSE)</f>
        <v>Lun</v>
      </c>
      <c r="D854">
        <v>2023246</v>
      </c>
      <c r="E854" t="str">
        <f>IFERROR(+VLOOKUP(Movimientos_2026[[#This Row],[Codigo]],Plan_cuentas[],2,FALSE)," ")</f>
        <v>EGRESOS</v>
      </c>
      <c r="F854" t="str">
        <f>IFERROR(+VLOOKUP(Movimientos_2026[[#This Row],[Codigo]],Plan_cuentas[],3,FALSE)," ")</f>
        <v>DDJJ</v>
      </c>
      <c r="G854" t="str">
        <f>IFERROR(+VLOOKUP(Movimientos_2026[[#This Row],[Codigo]],Plan_cuentas[],4,FALSE)," ")</f>
        <v>Registración</v>
      </c>
      <c r="H854" t="str">
        <f>IFERROR(+VLOOKUP(Movimientos_2026[[#This Row],[Codigo]],Plan_cuentas[],5,FALSE)," ")</f>
        <v>FORMOSA</v>
      </c>
      <c r="I854" s="43">
        <v>46054</v>
      </c>
      <c r="J854" t="s">
        <v>366</v>
      </c>
      <c r="K854" t="str">
        <f>IFERROR(+VLOOKUP(Movimientos_2026[[#This Row],[Codigo]],Plan_cuentas[],6,FALSE)," ")</f>
        <v>6 - FCAtr - Fiat Transf.</v>
      </c>
      <c r="L854" s="50"/>
      <c r="M854" s="52">
        <v>740945.64</v>
      </c>
      <c r="N854" s="20">
        <f>+Movimientos_2026[[#This Row],[Ingresos]]-Movimientos_2026[[#This Row],[Egresos]]</f>
        <v>-740945.64</v>
      </c>
      <c r="O854" s="20">
        <f>+O853+Movimientos_2026[[#This Row],[Neto]]</f>
        <v>4622013583.5044041</v>
      </c>
    </row>
    <row r="855" spans="1:15" x14ac:dyDescent="0.25">
      <c r="A855" s="13">
        <v>46090</v>
      </c>
      <c r="B855" s="12">
        <f>MONTH(Movimientos_2026[[#This Row],[Fecha]])</f>
        <v>3</v>
      </c>
      <c r="C855" s="12" t="str">
        <f>VLOOKUP((WEEKDAY(Movimientos_2026[[#This Row],[Fecha]],2)),'5. Setup'!$D$6:$E$12,2,FALSE)</f>
        <v>Lun</v>
      </c>
      <c r="D855">
        <v>2023247</v>
      </c>
      <c r="E855" t="str">
        <f>IFERROR(+VLOOKUP(Movimientos_2026[[#This Row],[Codigo]],Plan_cuentas[],2,FALSE)," ")</f>
        <v>EGRESOS</v>
      </c>
      <c r="F855" t="str">
        <f>IFERROR(+VLOOKUP(Movimientos_2026[[#This Row],[Codigo]],Plan_cuentas[],3,FALSE)," ")</f>
        <v>DDJJ</v>
      </c>
      <c r="G855" t="str">
        <f>IFERROR(+VLOOKUP(Movimientos_2026[[#This Row],[Codigo]],Plan_cuentas[],4,FALSE)," ")</f>
        <v>Registración</v>
      </c>
      <c r="H855" t="str">
        <f>IFERROR(+VLOOKUP(Movimientos_2026[[#This Row],[Codigo]],Plan_cuentas[],5,FALSE)," ")</f>
        <v>FORMOSA</v>
      </c>
      <c r="I855" s="43">
        <v>46054</v>
      </c>
      <c r="J855" t="s">
        <v>366</v>
      </c>
      <c r="K855" t="str">
        <f>IFERROR(+VLOOKUP(Movimientos_2026[[#This Row],[Codigo]],Plan_cuentas[],6,FALSE)," ")</f>
        <v>7 - PRtr - Plan Rombo Transf.</v>
      </c>
      <c r="L855" s="50"/>
      <c r="M855" s="52">
        <v>28000</v>
      </c>
      <c r="N855" s="20">
        <f>+Movimientos_2026[[#This Row],[Ingresos]]-Movimientos_2026[[#This Row],[Egresos]]</f>
        <v>-28000</v>
      </c>
      <c r="O855" s="20">
        <f>+O854+Movimientos_2026[[#This Row],[Neto]]</f>
        <v>4621985583.5044041</v>
      </c>
    </row>
    <row r="856" spans="1:15" x14ac:dyDescent="0.25">
      <c r="A856" s="13">
        <v>46090</v>
      </c>
      <c r="B856" s="12">
        <f>MONTH(Movimientos_2026[[#This Row],[Fecha]])</f>
        <v>3</v>
      </c>
      <c r="C856" s="12" t="str">
        <f>VLOOKUP((WEEKDAY(Movimientos_2026[[#This Row],[Fecha]],2)),'5. Setup'!$D$6:$E$12,2,FALSE)</f>
        <v>Lun</v>
      </c>
      <c r="D856">
        <v>2023245</v>
      </c>
      <c r="E856" t="str">
        <f>IFERROR(+VLOOKUP(Movimientos_2026[[#This Row],[Codigo]],Plan_cuentas[],2,FALSE)," ")</f>
        <v>EGRESOS</v>
      </c>
      <c r="F856" t="str">
        <f>IFERROR(+VLOOKUP(Movimientos_2026[[#This Row],[Codigo]],Plan_cuentas[],3,FALSE)," ")</f>
        <v>DDJJ</v>
      </c>
      <c r="G856" t="str">
        <f>IFERROR(+VLOOKUP(Movimientos_2026[[#This Row],[Codigo]],Plan_cuentas[],4,FALSE)," ")</f>
        <v>Registración</v>
      </c>
      <c r="H856" t="str">
        <f>IFERROR(+VLOOKUP(Movimientos_2026[[#This Row],[Codigo]],Plan_cuentas[],5,FALSE)," ")</f>
        <v>FORMOSA</v>
      </c>
      <c r="I856" s="43">
        <v>46054</v>
      </c>
      <c r="J856" t="s">
        <v>366</v>
      </c>
      <c r="K856" t="str">
        <f>IFERROR(+VLOOKUP(Movimientos_2026[[#This Row],[Codigo]],Plan_cuentas[],6,FALSE)," ")</f>
        <v>5 - YAM - Yamaha</v>
      </c>
      <c r="L856" s="50"/>
      <c r="M856" s="52">
        <v>87017.17</v>
      </c>
      <c r="N856" s="20">
        <f>+Movimientos_2026[[#This Row],[Ingresos]]-Movimientos_2026[[#This Row],[Egresos]]</f>
        <v>-87017.17</v>
      </c>
      <c r="O856" s="20">
        <f>+O855+Movimientos_2026[[#This Row],[Neto]]</f>
        <v>4621898566.334404</v>
      </c>
    </row>
    <row r="857" spans="1:15" x14ac:dyDescent="0.25">
      <c r="A857" s="13">
        <v>46090</v>
      </c>
      <c r="B857" s="12">
        <f>MONTH(Movimientos_2026[[#This Row],[Fecha]])</f>
        <v>3</v>
      </c>
      <c r="C857" s="12" t="str">
        <f>VLOOKUP((WEEKDAY(Movimientos_2026[[#This Row],[Fecha]],2)),'5. Setup'!$D$6:$E$12,2,FALSE)</f>
        <v>Lun</v>
      </c>
      <c r="D857">
        <v>2023375</v>
      </c>
      <c r="E857" t="str">
        <f>IFERROR(+VLOOKUP(Movimientos_2026[[#This Row],[Codigo]],Plan_cuentas[],2,FALSE)," ")</f>
        <v>EGRESOS</v>
      </c>
      <c r="F857" t="str">
        <f>IFERROR(+VLOOKUP(Movimientos_2026[[#This Row],[Codigo]],Plan_cuentas[],3,FALSE)," ")</f>
        <v>DDJJ</v>
      </c>
      <c r="G857" t="str">
        <f>IFERROR(+VLOOKUP(Movimientos_2026[[#This Row],[Codigo]],Plan_cuentas[],4,FALSE)," ")</f>
        <v>Registración</v>
      </c>
      <c r="H857" t="str">
        <f>IFERROR(+VLOOKUP(Movimientos_2026[[#This Row],[Codigo]],Plan_cuentas[],5,FALSE)," ")</f>
        <v>SANTA CRUZ</v>
      </c>
      <c r="I857" s="43">
        <v>46054</v>
      </c>
      <c r="J857" t="s">
        <v>367</v>
      </c>
      <c r="K857" t="str">
        <f>IFERROR(+VLOOKUP(Movimientos_2026[[#This Row],[Codigo]],Plan_cuentas[],6,FALSE)," ")</f>
        <v>5 - YAM - Yamaha</v>
      </c>
      <c r="L857" s="50"/>
      <c r="M857" s="52">
        <v>184044.35</v>
      </c>
      <c r="N857" s="20">
        <f>+Movimientos_2026[[#This Row],[Ingresos]]-Movimientos_2026[[#This Row],[Egresos]]</f>
        <v>-184044.35</v>
      </c>
      <c r="O857" s="20">
        <f>+O855+Movimientos_2026[[#This Row],[Neto]]</f>
        <v>4621801539.1544037</v>
      </c>
    </row>
    <row r="858" spans="1:15" x14ac:dyDescent="0.25">
      <c r="A858" s="13">
        <v>46090</v>
      </c>
      <c r="B858" s="12">
        <f>MONTH(Movimientos_2026[[#This Row],[Fecha]])</f>
        <v>3</v>
      </c>
      <c r="C858" s="12" t="str">
        <f>VLOOKUP((WEEKDAY(Movimientos_2026[[#This Row],[Fecha]],2)),'5. Setup'!$D$6:$E$12,2,FALSE)</f>
        <v>Lun</v>
      </c>
      <c r="D858">
        <v>2023376</v>
      </c>
      <c r="E858" t="str">
        <f>IFERROR(+VLOOKUP(Movimientos_2026[[#This Row],[Codigo]],Plan_cuentas[],2,FALSE)," ")</f>
        <v>EGRESOS</v>
      </c>
      <c r="F858" t="str">
        <f>IFERROR(+VLOOKUP(Movimientos_2026[[#This Row],[Codigo]],Plan_cuentas[],3,FALSE)," ")</f>
        <v>DDJJ</v>
      </c>
      <c r="G858" t="str">
        <f>IFERROR(+VLOOKUP(Movimientos_2026[[#This Row],[Codigo]],Plan_cuentas[],4,FALSE)," ")</f>
        <v>Registración</v>
      </c>
      <c r="H858" t="str">
        <f>IFERROR(+VLOOKUP(Movimientos_2026[[#This Row],[Codigo]],Plan_cuentas[],5,FALSE)," ")</f>
        <v>SANTA CRUZ</v>
      </c>
      <c r="I858" s="43">
        <v>46054</v>
      </c>
      <c r="J858" t="s">
        <v>367</v>
      </c>
      <c r="K858" t="str">
        <f>IFERROR(+VLOOKUP(Movimientos_2026[[#This Row],[Codigo]],Plan_cuentas[],6,FALSE)," ")</f>
        <v>6 - FCAtr - Fiat Transf.</v>
      </c>
      <c r="L858" s="50"/>
      <c r="M858" s="52">
        <v>248860.94</v>
      </c>
      <c r="N858" s="20">
        <f>+Movimientos_2026[[#This Row],[Ingresos]]-Movimientos_2026[[#This Row],[Egresos]]</f>
        <v>-248860.94</v>
      </c>
      <c r="O858" s="20">
        <f>+O857+Movimientos_2026[[#This Row],[Neto]]</f>
        <v>4621552678.2144041</v>
      </c>
    </row>
    <row r="859" spans="1:15" x14ac:dyDescent="0.25">
      <c r="A859" s="13">
        <v>46090</v>
      </c>
      <c r="B859" s="12">
        <f>MONTH(Movimientos_2026[[#This Row],[Fecha]])</f>
        <v>3</v>
      </c>
      <c r="C859" s="12" t="str">
        <f>VLOOKUP((WEEKDAY(Movimientos_2026[[#This Row],[Fecha]],2)),'5. Setup'!$D$6:$E$12,2,FALSE)</f>
        <v>Lun</v>
      </c>
      <c r="D859">
        <v>2023377</v>
      </c>
      <c r="E859" t="str">
        <f>IFERROR(+VLOOKUP(Movimientos_2026[[#This Row],[Codigo]],Plan_cuentas[],2,FALSE)," ")</f>
        <v>EGRESOS</v>
      </c>
      <c r="F859" t="str">
        <f>IFERROR(+VLOOKUP(Movimientos_2026[[#This Row],[Codigo]],Plan_cuentas[],3,FALSE)," ")</f>
        <v>DDJJ</v>
      </c>
      <c r="G859" t="str">
        <f>IFERROR(+VLOOKUP(Movimientos_2026[[#This Row],[Codigo]],Plan_cuentas[],4,FALSE)," ")</f>
        <v>Registración</v>
      </c>
      <c r="H859" t="str">
        <f>IFERROR(+VLOOKUP(Movimientos_2026[[#This Row],[Codigo]],Plan_cuentas[],5,FALSE)," ")</f>
        <v>SANTA CRUZ</v>
      </c>
      <c r="I859" s="43">
        <v>46054</v>
      </c>
      <c r="J859" t="s">
        <v>367</v>
      </c>
      <c r="K859" t="str">
        <f>IFERROR(+VLOOKUP(Movimientos_2026[[#This Row],[Codigo]],Plan_cuentas[],6,FALSE)," ")</f>
        <v>7 - PRtr - Plan Rombo Transf.</v>
      </c>
      <c r="L859" s="50"/>
      <c r="M859" s="50">
        <v>2802.8</v>
      </c>
      <c r="N859" s="20">
        <f>+Movimientos_2026[[#This Row],[Ingresos]]-Movimientos_2026[[#This Row],[Egresos]]</f>
        <v>-2802.8</v>
      </c>
      <c r="O859" s="20">
        <f>+O858+Movimientos_2026[[#This Row],[Neto]]</f>
        <v>4621549875.4144039</v>
      </c>
    </row>
    <row r="860" spans="1:15" x14ac:dyDescent="0.25">
      <c r="A860" s="13">
        <v>46090</v>
      </c>
      <c r="B860" s="12">
        <f>MONTH(Movimientos_2026[[#This Row],[Fecha]])</f>
        <v>3</v>
      </c>
      <c r="C860" s="12" t="str">
        <f>VLOOKUP((WEEKDAY(Movimientos_2026[[#This Row],[Fecha]],2)),'5. Setup'!$D$6:$E$12,2,FALSE)</f>
        <v>Lun</v>
      </c>
      <c r="D860">
        <v>2023392</v>
      </c>
      <c r="E860" t="str">
        <f>IFERROR(+VLOOKUP(Movimientos_2026[[#This Row],[Codigo]],Plan_cuentas[],2,FALSE)," ")</f>
        <v>EGRESOS</v>
      </c>
      <c r="F860" t="str">
        <f>IFERROR(+VLOOKUP(Movimientos_2026[[#This Row],[Codigo]],Plan_cuentas[],3,FALSE)," ")</f>
        <v>DDJJ</v>
      </c>
      <c r="G860" t="str">
        <f>IFERROR(+VLOOKUP(Movimientos_2026[[#This Row],[Codigo]],Plan_cuentas[],4,FALSE)," ")</f>
        <v>Registración</v>
      </c>
      <c r="H860" t="str">
        <f>IFERROR(+VLOOKUP(Movimientos_2026[[#This Row],[Codigo]],Plan_cuentas[],5,FALSE)," ")</f>
        <v>SANTA FE 2° Q</v>
      </c>
      <c r="I860" s="43">
        <v>46054</v>
      </c>
      <c r="J860" t="s">
        <v>368</v>
      </c>
      <c r="K860" t="str">
        <f>IFERROR(+VLOOKUP(Movimientos_2026[[#This Row],[Codigo]],Plan_cuentas[],6,FALSE)," ")</f>
        <v>2 - PR - Plan Rombo</v>
      </c>
      <c r="L860" s="50"/>
      <c r="M860" s="52">
        <v>31261524.010000002</v>
      </c>
      <c r="N860" s="20">
        <f>+Movimientos_2026[[#This Row],[Ingresos]]-Movimientos_2026[[#This Row],[Egresos]]</f>
        <v>-31261524.010000002</v>
      </c>
      <c r="O860" s="20">
        <f>+O859+Movimientos_2026[[#This Row],[Neto]]</f>
        <v>4590288351.4044037</v>
      </c>
    </row>
    <row r="861" spans="1:15" x14ac:dyDescent="0.25">
      <c r="A861" s="13">
        <v>46090</v>
      </c>
      <c r="B861" s="12">
        <f>MONTH(Movimientos_2026[[#This Row],[Fecha]])</f>
        <v>3</v>
      </c>
      <c r="C861" s="12" t="str">
        <f>VLOOKUP((WEEKDAY(Movimientos_2026[[#This Row],[Fecha]],2)),'5. Setup'!$D$6:$E$12,2,FALSE)</f>
        <v>Lun</v>
      </c>
      <c r="D861">
        <v>2023393</v>
      </c>
      <c r="E861" t="str">
        <f>IFERROR(+VLOOKUP(Movimientos_2026[[#This Row],[Codigo]],Plan_cuentas[],2,FALSE)," ")</f>
        <v>EGRESOS</v>
      </c>
      <c r="F861" t="str">
        <f>IFERROR(+VLOOKUP(Movimientos_2026[[#This Row],[Codigo]],Plan_cuentas[],3,FALSE)," ")</f>
        <v>DDJJ</v>
      </c>
      <c r="G861" t="str">
        <f>IFERROR(+VLOOKUP(Movimientos_2026[[#This Row],[Codigo]],Plan_cuentas[],4,FALSE)," ")</f>
        <v>Registración</v>
      </c>
      <c r="H861" t="str">
        <f>IFERROR(+VLOOKUP(Movimientos_2026[[#This Row],[Codigo]],Plan_cuentas[],5,FALSE)," ")</f>
        <v>SANTA FE 2° Q</v>
      </c>
      <c r="I861" s="43">
        <v>46054</v>
      </c>
      <c r="J861" t="s">
        <v>368</v>
      </c>
      <c r="K861" t="str">
        <f>IFERROR(+VLOOKUP(Movimientos_2026[[#This Row],[Codigo]],Plan_cuentas[],6,FALSE)," ")</f>
        <v>3 - GM - Chevrolet</v>
      </c>
      <c r="L861" s="50"/>
      <c r="M861" s="52">
        <v>8591711.6899999995</v>
      </c>
      <c r="N861" s="20">
        <f>+Movimientos_2026[[#This Row],[Ingresos]]-Movimientos_2026[[#This Row],[Egresos]]</f>
        <v>-8591711.6899999995</v>
      </c>
      <c r="O861" s="20">
        <f>+O860+Movimientos_2026[[#This Row],[Neto]]</f>
        <v>4581696639.7144041</v>
      </c>
    </row>
    <row r="862" spans="1:15" x14ac:dyDescent="0.25">
      <c r="A862" s="13">
        <v>46090</v>
      </c>
      <c r="B862" s="12">
        <f>MONTH(Movimientos_2026[[#This Row],[Fecha]])</f>
        <v>3</v>
      </c>
      <c r="C862" s="12" t="str">
        <f>VLOOKUP((WEEKDAY(Movimientos_2026[[#This Row],[Fecha]],2)),'5. Setup'!$D$6:$E$12,2,FALSE)</f>
        <v>Lun</v>
      </c>
      <c r="D862">
        <v>2034235</v>
      </c>
      <c r="E862" t="str">
        <f>IFERROR(+VLOOKUP(Movimientos_2026[[#This Row],[Codigo]],Plan_cuentas[],2,FALSE)," ")</f>
        <v>EGRESOS</v>
      </c>
      <c r="F862" t="str">
        <f>IFERROR(+VLOOKUP(Movimientos_2026[[#This Row],[Codigo]],Plan_cuentas[],3,FALSE)," ")</f>
        <v>Pagos Bco. Provincia</v>
      </c>
      <c r="G862" t="str">
        <f>IFERROR(+VLOOKUP(Movimientos_2026[[#This Row],[Codigo]],Plan_cuentas[],4,FALSE)," ")</f>
        <v>Rentas</v>
      </c>
      <c r="H862" t="str">
        <f>IFERROR(+VLOOKUP(Movimientos_2026[[#This Row],[Codigo]],Plan_cuentas[],5,FALSE)," ")</f>
        <v>ENTRE RIOS 2° Q</v>
      </c>
      <c r="I862" s="43">
        <v>46054</v>
      </c>
      <c r="J862" t="s">
        <v>369</v>
      </c>
      <c r="K862" t="str">
        <f>IFERROR(+VLOOKUP(Movimientos_2026[[#This Row],[Codigo]],Plan_cuentas[],6,FALSE)," ")</f>
        <v>5 - YAM - Yamaha</v>
      </c>
      <c r="L862" s="50"/>
      <c r="M862" s="50">
        <v>3528652.85</v>
      </c>
      <c r="N862" s="20">
        <f>+Movimientos_2026[[#This Row],[Ingresos]]-Movimientos_2026[[#This Row],[Egresos]]</f>
        <v>-3528652.85</v>
      </c>
      <c r="O862" s="20">
        <f>+O861+Movimientos_2026[[#This Row],[Neto]]</f>
        <v>4578167986.8644037</v>
      </c>
    </row>
    <row r="863" spans="1:15" x14ac:dyDescent="0.25">
      <c r="A863" s="13">
        <v>46090</v>
      </c>
      <c r="B863" s="12">
        <f>MONTH(Movimientos_2026[[#This Row],[Fecha]])</f>
        <v>3</v>
      </c>
      <c r="C863" s="12" t="str">
        <f>VLOOKUP((WEEKDAY(Movimientos_2026[[#This Row],[Fecha]],2)),'5. Setup'!$D$6:$E$12,2,FALSE)</f>
        <v>Lun</v>
      </c>
      <c r="D863">
        <v>1042112</v>
      </c>
      <c r="E863" t="str">
        <f>IFERROR(+VLOOKUP(Movimientos_2026[[#This Row],[Codigo]],Plan_cuentas[],2,FALSE)," ")</f>
        <v>INGRESOS</v>
      </c>
      <c r="F863" t="str">
        <f>IFERROR(+VLOOKUP(Movimientos_2026[[#This Row],[Codigo]],Plan_cuentas[],3,FALSE)," ")</f>
        <v>Transferencia</v>
      </c>
      <c r="G863" t="str">
        <f>IFERROR(+VLOOKUP(Movimientos_2026[[#This Row],[Codigo]],Plan_cuentas[],4,FALSE)," ")</f>
        <v>Entidades tercerizadas</v>
      </c>
      <c r="H863" t="str">
        <f>IFERROR(+VLOOKUP(Movimientos_2026[[#This Row],[Codigo]],Plan_cuentas[],5,FALSE)," ")</f>
        <v>APESI</v>
      </c>
      <c r="I863" s="43">
        <v>46054</v>
      </c>
      <c r="J863" t="s">
        <v>370</v>
      </c>
      <c r="K863" t="str">
        <f>IFERROR(+VLOOKUP(Movimientos_2026[[#This Row],[Codigo]],Plan_cuentas[],6,FALSE)," ")</f>
        <v>2 - PR - Plan Rombo</v>
      </c>
      <c r="L863" s="50">
        <v>35280769.045304999</v>
      </c>
      <c r="M863" s="50"/>
      <c r="N863" s="20">
        <f>+Movimientos_2026[[#This Row],[Ingresos]]-Movimientos_2026[[#This Row],[Egresos]]</f>
        <v>35280769.045304999</v>
      </c>
      <c r="O863" s="20">
        <f>+O862+Movimientos_2026[[#This Row],[Neto]]</f>
        <v>4613448755.909709</v>
      </c>
    </row>
    <row r="864" spans="1:15" x14ac:dyDescent="0.25">
      <c r="A864" s="13">
        <v>46090</v>
      </c>
      <c r="B864" s="12">
        <f>MONTH(Movimientos_2026[[#This Row],[Fecha]])</f>
        <v>3</v>
      </c>
      <c r="C864" s="12" t="str">
        <f>VLOOKUP((WEEKDAY(Movimientos_2026[[#This Row],[Fecha]],2)),'5. Setup'!$D$6:$E$12,2,FALSE)</f>
        <v>Lun</v>
      </c>
      <c r="D864">
        <v>1043142</v>
      </c>
      <c r="E864" t="str">
        <f>IFERROR(+VLOOKUP(Movimientos_2026[[#This Row],[Codigo]],Plan_cuentas[],2,FALSE)," ")</f>
        <v>INGRESOS</v>
      </c>
      <c r="F864" t="str">
        <f>IFERROR(+VLOOKUP(Movimientos_2026[[#This Row],[Codigo]],Plan_cuentas[],3,FALSE)," ")</f>
        <v>Transferencia</v>
      </c>
      <c r="G864" t="str">
        <f>IFERROR(+VLOOKUP(Movimientos_2026[[#This Row],[Codigo]],Plan_cuentas[],4,FALSE)," ")</f>
        <v>Registración</v>
      </c>
      <c r="H864" t="str">
        <f>IFERROR(+VLOOKUP(Movimientos_2026[[#This Row],[Codigo]],Plan_cuentas[],5,FALSE)," ")</f>
        <v>BUENOS AIRES</v>
      </c>
      <c r="I864" s="43">
        <v>46054</v>
      </c>
      <c r="J864" t="s">
        <v>370</v>
      </c>
      <c r="K864" t="str">
        <f>IFERROR(+VLOOKUP(Movimientos_2026[[#This Row],[Codigo]],Plan_cuentas[],6,FALSE)," ")</f>
        <v>2 - PR - Plan Rombo</v>
      </c>
      <c r="L864" s="50">
        <v>292539169.09129602</v>
      </c>
      <c r="M864" s="50"/>
      <c r="N864" s="20">
        <f>+Movimientos_2026[[#This Row],[Ingresos]]-Movimientos_2026[[#This Row],[Egresos]]</f>
        <v>292539169.09129602</v>
      </c>
      <c r="O864" s="20">
        <f>+O863+Movimientos_2026[[#This Row],[Neto]]</f>
        <v>4905987925.0010052</v>
      </c>
    </row>
    <row r="865" spans="1:15" x14ac:dyDescent="0.25">
      <c r="A865" s="13">
        <v>46090</v>
      </c>
      <c r="B865" s="12">
        <f>MONTH(Movimientos_2026[[#This Row],[Fecha]])</f>
        <v>3</v>
      </c>
      <c r="C865" s="12" t="str">
        <f>VLOOKUP((WEEKDAY(Movimientos_2026[[#This Row],[Fecha]],2)),'5. Setup'!$D$6:$E$12,2,FALSE)</f>
        <v>Lun</v>
      </c>
      <c r="D865">
        <v>1045452</v>
      </c>
      <c r="E865" t="str">
        <f>IFERROR(+VLOOKUP(Movimientos_2026[[#This Row],[Codigo]],Plan_cuentas[],2,FALSE)," ")</f>
        <v>INGRESOS</v>
      </c>
      <c r="F865" t="str">
        <f>IFERROR(+VLOOKUP(Movimientos_2026[[#This Row],[Codigo]],Plan_cuentas[],3,FALSE)," ")</f>
        <v>Transferencia</v>
      </c>
      <c r="G865" t="str">
        <f>IFERROR(+VLOOKUP(Movimientos_2026[[#This Row],[Codigo]],Plan_cuentas[],4,FALSE)," ")</f>
        <v>Factura</v>
      </c>
      <c r="H865" t="str">
        <f>IFERROR(+VLOOKUP(Movimientos_2026[[#This Row],[Codigo]],Plan_cuentas[],5,FALSE)," ")</f>
        <v>FC DERECHOS</v>
      </c>
      <c r="I865" s="43">
        <v>46054</v>
      </c>
      <c r="J865" t="s">
        <v>371</v>
      </c>
      <c r="K865" t="str">
        <f>IFERROR(+VLOOKUP(Movimientos_2026[[#This Row],[Codigo]],Plan_cuentas[],6,FALSE)," ")</f>
        <v>2 - PR - Plan Rombo</v>
      </c>
      <c r="L865" s="50">
        <v>57415320.590000004</v>
      </c>
      <c r="M865" s="50"/>
      <c r="N865" s="20">
        <f>+Movimientos_2026[[#This Row],[Ingresos]]-Movimientos_2026[[#This Row],[Egresos]]</f>
        <v>57415320.590000004</v>
      </c>
      <c r="O865" s="20">
        <f>+O864+Movimientos_2026[[#This Row],[Neto]]</f>
        <v>4963403245.5910053</v>
      </c>
    </row>
    <row r="866" spans="1:15" x14ac:dyDescent="0.25">
      <c r="A866" s="13">
        <v>46090</v>
      </c>
      <c r="B866" s="12">
        <f>MONTH(Movimientos_2026[[#This Row],[Fecha]])</f>
        <v>3</v>
      </c>
      <c r="C866" s="12" t="str">
        <f>VLOOKUP((WEEKDAY(Movimientos_2026[[#This Row],[Fecha]],2)),'5. Setup'!$D$6:$E$12,2,FALSE)</f>
        <v>Lun</v>
      </c>
      <c r="D866">
        <v>1043152</v>
      </c>
      <c r="E866" t="str">
        <f>IFERROR(+VLOOKUP(Movimientos_2026[[#This Row],[Codigo]],Plan_cuentas[],2,FALSE)," ")</f>
        <v>INGRESOS</v>
      </c>
      <c r="F866" t="str">
        <f>IFERROR(+VLOOKUP(Movimientos_2026[[#This Row],[Codigo]],Plan_cuentas[],3,FALSE)," ")</f>
        <v>Transferencia</v>
      </c>
      <c r="G866" t="str">
        <f>IFERROR(+VLOOKUP(Movimientos_2026[[#This Row],[Codigo]],Plan_cuentas[],4,FALSE)," ")</f>
        <v>Registración</v>
      </c>
      <c r="H866" t="str">
        <f>IFERROR(+VLOOKUP(Movimientos_2026[[#This Row],[Codigo]],Plan_cuentas[],5,FALSE)," ")</f>
        <v>CABA</v>
      </c>
      <c r="I866" s="43">
        <v>46054</v>
      </c>
      <c r="J866" t="s">
        <v>370</v>
      </c>
      <c r="K866" t="str">
        <f>IFERROR(+VLOOKUP(Movimientos_2026[[#This Row],[Codigo]],Plan_cuentas[],6,FALSE)," ")</f>
        <v>2 - PR - Plan Rombo</v>
      </c>
      <c r="L866" s="50">
        <v>72953059</v>
      </c>
      <c r="M866" s="50"/>
      <c r="N866" s="20">
        <f>+Movimientos_2026[[#This Row],[Ingresos]]-Movimientos_2026[[#This Row],[Egresos]]</f>
        <v>72953059</v>
      </c>
      <c r="O866" s="20">
        <f>+O865+Movimientos_2026[[#This Row],[Neto]]</f>
        <v>5036356304.5910053</v>
      </c>
    </row>
    <row r="867" spans="1:15" x14ac:dyDescent="0.25">
      <c r="A867" s="13">
        <v>46090</v>
      </c>
      <c r="B867" s="12">
        <f>MONTH(Movimientos_2026[[#This Row],[Fecha]])</f>
        <v>3</v>
      </c>
      <c r="C867" s="12" t="str">
        <f>VLOOKUP((WEEKDAY(Movimientos_2026[[#This Row],[Fecha]],2)),'5. Setup'!$D$6:$E$12,2,FALSE)</f>
        <v>Lun</v>
      </c>
      <c r="D867">
        <v>1043222</v>
      </c>
      <c r="E867" t="str">
        <f>IFERROR(+VLOOKUP(Movimientos_2026[[#This Row],[Codigo]],Plan_cuentas[],2,FALSE)," ")</f>
        <v>INGRESOS</v>
      </c>
      <c r="F867" t="str">
        <f>IFERROR(+VLOOKUP(Movimientos_2026[[#This Row],[Codigo]],Plan_cuentas[],3,FALSE)," ")</f>
        <v>Transferencia</v>
      </c>
      <c r="G867" t="str">
        <f>IFERROR(+VLOOKUP(Movimientos_2026[[#This Row],[Codigo]],Plan_cuentas[],4,FALSE)," ")</f>
        <v>Registración</v>
      </c>
      <c r="H867" t="str">
        <f>IFERROR(+VLOOKUP(Movimientos_2026[[#This Row],[Codigo]],Plan_cuentas[],5,FALSE)," ")</f>
        <v>ENTRE RIOS 1° Q</v>
      </c>
      <c r="I867" s="43">
        <v>46054</v>
      </c>
      <c r="J867" t="s">
        <v>370</v>
      </c>
      <c r="K867" t="str">
        <f>IFERROR(+VLOOKUP(Movimientos_2026[[#This Row],[Codigo]],Plan_cuentas[],6,FALSE)," ")</f>
        <v>2 - PR - Plan Rombo</v>
      </c>
      <c r="L867" s="50">
        <v>21588077.300000001</v>
      </c>
      <c r="M867" s="50"/>
      <c r="N867" s="20">
        <f>+Movimientos_2026[[#This Row],[Ingresos]]-Movimientos_2026[[#This Row],[Egresos]]</f>
        <v>21588077.300000001</v>
      </c>
      <c r="O867" s="20">
        <f>+O866+Movimientos_2026[[#This Row],[Neto]]</f>
        <v>5057944381.8910055</v>
      </c>
    </row>
    <row r="868" spans="1:15" x14ac:dyDescent="0.25">
      <c r="A868" s="13">
        <v>46090</v>
      </c>
      <c r="B868" s="12">
        <f>MONTH(Movimientos_2026[[#This Row],[Fecha]])</f>
        <v>3</v>
      </c>
      <c r="C868" s="12" t="str">
        <f>VLOOKUP((WEEKDAY(Movimientos_2026[[#This Row],[Fecha]],2)),'5. Setup'!$D$6:$E$12,2,FALSE)</f>
        <v>Lun</v>
      </c>
      <c r="D868">
        <v>1043242</v>
      </c>
      <c r="E868" t="str">
        <f>IFERROR(+VLOOKUP(Movimientos_2026[[#This Row],[Codigo]],Plan_cuentas[],2,FALSE)," ")</f>
        <v>INGRESOS</v>
      </c>
      <c r="F868" t="str">
        <f>IFERROR(+VLOOKUP(Movimientos_2026[[#This Row],[Codigo]],Plan_cuentas[],3,FALSE)," ")</f>
        <v>Transferencia</v>
      </c>
      <c r="G868" t="str">
        <f>IFERROR(+VLOOKUP(Movimientos_2026[[#This Row],[Codigo]],Plan_cuentas[],4,FALSE)," ")</f>
        <v>Registración</v>
      </c>
      <c r="H868" t="str">
        <f>IFERROR(+VLOOKUP(Movimientos_2026[[#This Row],[Codigo]],Plan_cuentas[],5,FALSE)," ")</f>
        <v>FORMOSA</v>
      </c>
      <c r="I868" s="43">
        <v>46054</v>
      </c>
      <c r="J868" t="s">
        <v>370</v>
      </c>
      <c r="K868" t="str">
        <f>IFERROR(+VLOOKUP(Movimientos_2026[[#This Row],[Codigo]],Plan_cuentas[],6,FALSE)," ")</f>
        <v>2 - PR - Plan Rombo</v>
      </c>
      <c r="L868" s="50">
        <v>3927500</v>
      </c>
      <c r="M868" s="50"/>
      <c r="N868" s="20">
        <f>+Movimientos_2026[[#This Row],[Ingresos]]-Movimientos_2026[[#This Row],[Egresos]]</f>
        <v>3927500</v>
      </c>
      <c r="O868" s="20">
        <f>+O867+Movimientos_2026[[#This Row],[Neto]]</f>
        <v>5061871881.8910055</v>
      </c>
    </row>
    <row r="869" spans="1:15" x14ac:dyDescent="0.25">
      <c r="A869" s="13">
        <v>46090</v>
      </c>
      <c r="B869" s="12">
        <f>MONTH(Movimientos_2026[[#This Row],[Fecha]])</f>
        <v>3</v>
      </c>
      <c r="C869" s="12" t="str">
        <f>VLOOKUP((WEEKDAY(Movimientos_2026[[#This Row],[Fecha]],2)),'5. Setup'!$D$6:$E$12,2,FALSE)</f>
        <v>Lun</v>
      </c>
      <c r="D869">
        <v>1043382</v>
      </c>
      <c r="E869" t="str">
        <f>IFERROR(+VLOOKUP(Movimientos_2026[[#This Row],[Codigo]],Plan_cuentas[],2,FALSE)," ")</f>
        <v>INGRESOS</v>
      </c>
      <c r="F869" t="str">
        <f>IFERROR(+VLOOKUP(Movimientos_2026[[#This Row],[Codigo]],Plan_cuentas[],3,FALSE)," ")</f>
        <v>Transferencia</v>
      </c>
      <c r="G869" t="str">
        <f>IFERROR(+VLOOKUP(Movimientos_2026[[#This Row],[Codigo]],Plan_cuentas[],4,FALSE)," ")</f>
        <v>Registración</v>
      </c>
      <c r="H869" t="str">
        <f>IFERROR(+VLOOKUP(Movimientos_2026[[#This Row],[Codigo]],Plan_cuentas[],5,FALSE)," ")</f>
        <v>SANTA FE 1° Q</v>
      </c>
      <c r="I869" s="43">
        <v>46054</v>
      </c>
      <c r="J869" t="s">
        <v>370</v>
      </c>
      <c r="K869" t="str">
        <f>IFERROR(+VLOOKUP(Movimientos_2026[[#This Row],[Codigo]],Plan_cuentas[],6,FALSE)," ")</f>
        <v>2 - PR - Plan Rombo</v>
      </c>
      <c r="L869" s="50">
        <v>34410114</v>
      </c>
      <c r="M869" s="50"/>
      <c r="N869" s="20">
        <f>+Movimientos_2026[[#This Row],[Ingresos]]-Movimientos_2026[[#This Row],[Egresos]]</f>
        <v>34410114</v>
      </c>
      <c r="O869" s="20">
        <f>+O868+Movimientos_2026[[#This Row],[Neto]]</f>
        <v>5096281995.8910055</v>
      </c>
    </row>
    <row r="870" spans="1:15" x14ac:dyDescent="0.25">
      <c r="A870" s="13">
        <v>46090</v>
      </c>
      <c r="B870" s="12">
        <f>MONTH(Movimientos_2026[[#This Row],[Fecha]])</f>
        <v>3</v>
      </c>
      <c r="C870" s="12" t="str">
        <f>VLOOKUP((WEEKDAY(Movimientos_2026[[#This Row],[Fecha]],2)),'5. Setup'!$D$6:$E$12,2,FALSE)</f>
        <v>Lun</v>
      </c>
      <c r="D870">
        <v>1043172</v>
      </c>
      <c r="E870" t="str">
        <f>IFERROR(+VLOOKUP(Movimientos_2026[[#This Row],[Codigo]],Plan_cuentas[],2,FALSE)," ")</f>
        <v>INGRESOS</v>
      </c>
      <c r="F870" t="str">
        <f>IFERROR(+VLOOKUP(Movimientos_2026[[#This Row],[Codigo]],Plan_cuentas[],3,FALSE)," ")</f>
        <v>Transferencia</v>
      </c>
      <c r="G870" t="str">
        <f>IFERROR(+VLOOKUP(Movimientos_2026[[#This Row],[Codigo]],Plan_cuentas[],4,FALSE)," ")</f>
        <v>Registración</v>
      </c>
      <c r="H870" t="str">
        <f>IFERROR(+VLOOKUP(Movimientos_2026[[#This Row],[Codigo]],Plan_cuentas[],5,FALSE)," ")</f>
        <v>CHUBUT</v>
      </c>
      <c r="I870" s="43">
        <v>46054</v>
      </c>
      <c r="J870" t="s">
        <v>370</v>
      </c>
      <c r="K870" t="str">
        <f>IFERROR(+VLOOKUP(Movimientos_2026[[#This Row],[Codigo]],Plan_cuentas[],6,FALSE)," ")</f>
        <v>2 - PR - Plan Rombo</v>
      </c>
      <c r="L870" s="50">
        <v>9489193.9000000004</v>
      </c>
      <c r="M870" s="50"/>
      <c r="N870" s="20">
        <f>+Movimientos_2026[[#This Row],[Ingresos]]-Movimientos_2026[[#This Row],[Egresos]]</f>
        <v>9489193.9000000004</v>
      </c>
      <c r="O870" s="20">
        <f>+O869+Movimientos_2026[[#This Row],[Neto]]</f>
        <v>5105771189.7910051</v>
      </c>
    </row>
    <row r="871" spans="1:15" x14ac:dyDescent="0.25">
      <c r="A871" s="13">
        <v>46090</v>
      </c>
      <c r="B871" s="12">
        <f>MONTH(Movimientos_2026[[#This Row],[Fecha]])</f>
        <v>3</v>
      </c>
      <c r="C871" s="12" t="str">
        <f>VLOOKUP((WEEKDAY(Movimientos_2026[[#This Row],[Fecha]],2)),'5. Setup'!$D$6:$E$12,2,FALSE)</f>
        <v>Lun</v>
      </c>
      <c r="D871">
        <v>1044482</v>
      </c>
      <c r="E871" t="str">
        <f>IFERROR(+VLOOKUP(Movimientos_2026[[#This Row],[Codigo]],Plan_cuentas[],2,FALSE)," ")</f>
        <v>INGRESOS</v>
      </c>
      <c r="F871" t="str">
        <f>IFERROR(+VLOOKUP(Movimientos_2026[[#This Row],[Codigo]],Plan_cuentas[],3,FALSE)," ")</f>
        <v>Transferencia</v>
      </c>
      <c r="G871" t="str">
        <f>IFERROR(+VLOOKUP(Movimientos_2026[[#This Row],[Codigo]],Plan_cuentas[],4,FALSE)," ")</f>
        <v>Factura</v>
      </c>
      <c r="H871" t="str">
        <f>IFERROR(+VLOOKUP(Movimientos_2026[[#This Row],[Codigo]],Plan_cuentas[],5,FALSE)," ")</f>
        <v>FC TRAMITACION</v>
      </c>
      <c r="I871" s="43">
        <v>46054</v>
      </c>
      <c r="J871" t="s">
        <v>372</v>
      </c>
      <c r="K871" t="str">
        <f>IFERROR(+VLOOKUP(Movimientos_2026[[#This Row],[Codigo]],Plan_cuentas[],6,FALSE)," ")</f>
        <v>2 - PR - Plan Rombo</v>
      </c>
      <c r="L871" s="50">
        <v>519358.47</v>
      </c>
      <c r="M871" s="50"/>
      <c r="N871" s="20">
        <f>+Movimientos_2026[[#This Row],[Ingresos]]-Movimientos_2026[[#This Row],[Egresos]]</f>
        <v>519358.47</v>
      </c>
      <c r="O871" s="20">
        <f>+O870+Movimientos_2026[[#This Row],[Neto]]</f>
        <v>5106290548.2610054</v>
      </c>
    </row>
    <row r="872" spans="1:15" x14ac:dyDescent="0.25">
      <c r="A872" s="13">
        <v>46090</v>
      </c>
      <c r="B872" s="12">
        <f>MONTH(Movimientos_2026[[#This Row],[Fecha]])</f>
        <v>3</v>
      </c>
      <c r="C872" s="12" t="str">
        <f>VLOOKUP((WEEKDAY(Movimientos_2026[[#This Row],[Fecha]],2)),'5. Setup'!$D$6:$E$12,2,FALSE)</f>
        <v>Lun</v>
      </c>
      <c r="E872" t="str">
        <f>IFERROR(+VLOOKUP(Movimientos_2026[[#This Row],[Codigo]],Plan_cuentas[],2,FALSE)," ")</f>
        <v xml:space="preserve"> </v>
      </c>
      <c r="F872" t="str">
        <f>IFERROR(+VLOOKUP(Movimientos_2026[[#This Row],[Codigo]],Plan_cuentas[],3,FALSE)," ")</f>
        <v xml:space="preserve"> </v>
      </c>
      <c r="G872" t="str">
        <f>IFERROR(+VLOOKUP(Movimientos_2026[[#This Row],[Codigo]],Plan_cuentas[],4,FALSE)," ")</f>
        <v xml:space="preserve"> </v>
      </c>
      <c r="H872" t="str">
        <f>IFERROR(+VLOOKUP(Movimientos_2026[[#This Row],[Codigo]],Plan_cuentas[],5,FALSE)," ")</f>
        <v xml:space="preserve"> </v>
      </c>
      <c r="I872" s="43"/>
      <c r="K872" t="str">
        <f>IFERROR(+VLOOKUP(Movimientos_2026[[#This Row],[Codigo]],Plan_cuentas[],6,FALSE)," ")</f>
        <v xml:space="preserve"> </v>
      </c>
      <c r="L872" s="50"/>
      <c r="M872" s="50"/>
      <c r="N872" s="20">
        <f>+Movimientos_2026[[#This Row],[Ingresos]]-Movimientos_2026[[#This Row],[Egresos]]</f>
        <v>0</v>
      </c>
      <c r="O872" s="20">
        <f>+O871+Movimientos_2026[[#This Row],[Neto]]</f>
        <v>5106290548.2610054</v>
      </c>
    </row>
    <row r="873" spans="1:15" x14ac:dyDescent="0.25">
      <c r="A873" s="13">
        <v>46090</v>
      </c>
      <c r="B873" s="12">
        <f>MONTH(Movimientos_2026[[#This Row],[Fecha]])</f>
        <v>3</v>
      </c>
      <c r="C873" s="12" t="str">
        <f>VLOOKUP((WEEKDAY(Movimientos_2026[[#This Row],[Fecha]],2)),'5. Setup'!$D$6:$E$12,2,FALSE)</f>
        <v>Lun</v>
      </c>
      <c r="D873">
        <v>1043142</v>
      </c>
      <c r="E873" t="str">
        <f>IFERROR(+VLOOKUP(Movimientos_2026[[#This Row],[Codigo]],Plan_cuentas[],2,FALSE)," ")</f>
        <v>INGRESOS</v>
      </c>
      <c r="F873" t="str">
        <f>IFERROR(+VLOOKUP(Movimientos_2026[[#This Row],[Codigo]],Plan_cuentas[],3,FALSE)," ")</f>
        <v>Transferencia</v>
      </c>
      <c r="G873" t="str">
        <f>IFERROR(+VLOOKUP(Movimientos_2026[[#This Row],[Codigo]],Plan_cuentas[],4,FALSE)," ")</f>
        <v>Registración</v>
      </c>
      <c r="H873" t="str">
        <f>IFERROR(+VLOOKUP(Movimientos_2026[[#This Row],[Codigo]],Plan_cuentas[],5,FALSE)," ")</f>
        <v>BUENOS AIRES</v>
      </c>
      <c r="I873" s="43">
        <v>46054</v>
      </c>
      <c r="J873" t="s">
        <v>370</v>
      </c>
      <c r="K873" t="str">
        <f>IFERROR(+VLOOKUP(Movimientos_2026[[#This Row],[Codigo]],Plan_cuentas[],6,FALSE)," ")</f>
        <v>2 - PR - Plan Rombo</v>
      </c>
      <c r="L873" s="50">
        <v>228666462</v>
      </c>
      <c r="M873" s="50"/>
      <c r="N873" s="20">
        <f>+Movimientos_2026[[#This Row],[Ingresos]]-Movimientos_2026[[#This Row],[Egresos]]</f>
        <v>228666462</v>
      </c>
      <c r="O873" s="20">
        <f>+O872+Movimientos_2026[[#This Row],[Neto]]</f>
        <v>5334957010.2610054</v>
      </c>
    </row>
    <row r="874" spans="1:15" x14ac:dyDescent="0.25">
      <c r="A874" s="13">
        <v>46090</v>
      </c>
      <c r="B874" s="12">
        <f>MONTH(Movimientos_2026[[#This Row],[Fecha]])</f>
        <v>3</v>
      </c>
      <c r="C874" s="12" t="str">
        <f>VLOOKUP((WEEKDAY(Movimientos_2026[[#This Row],[Fecha]],2)),'5. Setup'!$D$6:$E$12,2,FALSE)</f>
        <v>Lun</v>
      </c>
      <c r="D874">
        <v>1045452</v>
      </c>
      <c r="E874" t="str">
        <f>IFERROR(+VLOOKUP(Movimientos_2026[[#This Row],[Codigo]],Plan_cuentas[],2,FALSE)," ")</f>
        <v>INGRESOS</v>
      </c>
      <c r="F874" t="str">
        <f>IFERROR(+VLOOKUP(Movimientos_2026[[#This Row],[Codigo]],Plan_cuentas[],3,FALSE)," ")</f>
        <v>Transferencia</v>
      </c>
      <c r="G874" t="str">
        <f>IFERROR(+VLOOKUP(Movimientos_2026[[#This Row],[Codigo]],Plan_cuentas[],4,FALSE)," ")</f>
        <v>Factura</v>
      </c>
      <c r="H874" t="str">
        <f>IFERROR(+VLOOKUP(Movimientos_2026[[#This Row],[Codigo]],Plan_cuentas[],5,FALSE)," ")</f>
        <v>FC DERECHOS</v>
      </c>
      <c r="I874" s="43">
        <v>46054</v>
      </c>
      <c r="J874" t="s">
        <v>373</v>
      </c>
      <c r="K874" t="str">
        <f>IFERROR(+VLOOKUP(Movimientos_2026[[#This Row],[Codigo]],Plan_cuentas[],6,FALSE)," ")</f>
        <v>2 - PR - Plan Rombo</v>
      </c>
      <c r="L874" s="50">
        <v>40049297.549999997</v>
      </c>
      <c r="M874" s="50"/>
      <c r="N874" s="20">
        <f>+Movimientos_2026[[#This Row],[Ingresos]]-Movimientos_2026[[#This Row],[Egresos]]</f>
        <v>40049297.549999997</v>
      </c>
      <c r="O874" s="20">
        <f>+O873+Movimientos_2026[[#This Row],[Neto]]</f>
        <v>5375006307.8110056</v>
      </c>
    </row>
    <row r="875" spans="1:15" x14ac:dyDescent="0.25">
      <c r="A875" s="13">
        <v>46090</v>
      </c>
      <c r="B875" s="12">
        <f>MONTH(Movimientos_2026[[#This Row],[Fecha]])</f>
        <v>3</v>
      </c>
      <c r="C875" s="12" t="str">
        <f>VLOOKUP((WEEKDAY(Movimientos_2026[[#This Row],[Fecha]],2)),'5. Setup'!$D$6:$E$12,2,FALSE)</f>
        <v>Lun</v>
      </c>
      <c r="D875">
        <v>1043152</v>
      </c>
      <c r="E875" t="str">
        <f>IFERROR(+VLOOKUP(Movimientos_2026[[#This Row],[Codigo]],Plan_cuentas[],2,FALSE)," ")</f>
        <v>INGRESOS</v>
      </c>
      <c r="F875" t="str">
        <f>IFERROR(+VLOOKUP(Movimientos_2026[[#This Row],[Codigo]],Plan_cuentas[],3,FALSE)," ")</f>
        <v>Transferencia</v>
      </c>
      <c r="G875" t="str">
        <f>IFERROR(+VLOOKUP(Movimientos_2026[[#This Row],[Codigo]],Plan_cuentas[],4,FALSE)," ")</f>
        <v>Registración</v>
      </c>
      <c r="H875" t="str">
        <f>IFERROR(+VLOOKUP(Movimientos_2026[[#This Row],[Codigo]],Plan_cuentas[],5,FALSE)," ")</f>
        <v>CABA</v>
      </c>
      <c r="I875" s="43">
        <v>46054</v>
      </c>
      <c r="J875" t="s">
        <v>370</v>
      </c>
      <c r="K875" t="str">
        <f>IFERROR(+VLOOKUP(Movimientos_2026[[#This Row],[Codigo]],Plan_cuentas[],6,FALSE)," ")</f>
        <v>2 - PR - Plan Rombo</v>
      </c>
      <c r="L875" s="50">
        <v>30743651</v>
      </c>
      <c r="M875" s="50"/>
      <c r="N875" s="20">
        <f>+Movimientos_2026[[#This Row],[Ingresos]]-Movimientos_2026[[#This Row],[Egresos]]</f>
        <v>30743651</v>
      </c>
      <c r="O875" s="20">
        <f>+O874+Movimientos_2026[[#This Row],[Neto]]</f>
        <v>5405749958.8110056</v>
      </c>
    </row>
    <row r="876" spans="1:15" x14ac:dyDescent="0.25">
      <c r="A876" s="13">
        <v>46090</v>
      </c>
      <c r="B876" s="12">
        <f>MONTH(Movimientos_2026[[#This Row],[Fecha]])</f>
        <v>3</v>
      </c>
      <c r="C876" s="12" t="str">
        <f>VLOOKUP((WEEKDAY(Movimientos_2026[[#This Row],[Fecha]],2)),'5. Setup'!$D$6:$E$12,2,FALSE)</f>
        <v>Lun</v>
      </c>
      <c r="D876">
        <v>1043232</v>
      </c>
      <c r="E876" t="str">
        <f>IFERROR(+VLOOKUP(Movimientos_2026[[#This Row],[Codigo]],Plan_cuentas[],2,FALSE)," ")</f>
        <v>INGRESOS</v>
      </c>
      <c r="F876" t="str">
        <f>IFERROR(+VLOOKUP(Movimientos_2026[[#This Row],[Codigo]],Plan_cuentas[],3,FALSE)," ")</f>
        <v>Transferencia</v>
      </c>
      <c r="G876" t="str">
        <f>IFERROR(+VLOOKUP(Movimientos_2026[[#This Row],[Codigo]],Plan_cuentas[],4,FALSE)," ")</f>
        <v>Registración</v>
      </c>
      <c r="H876" t="str">
        <f>IFERROR(+VLOOKUP(Movimientos_2026[[#This Row],[Codigo]],Plan_cuentas[],5,FALSE)," ")</f>
        <v>ENTRE RIOS 2° Q</v>
      </c>
      <c r="I876" s="43">
        <v>46054</v>
      </c>
      <c r="J876" t="s">
        <v>370</v>
      </c>
      <c r="K876" t="str">
        <f>IFERROR(+VLOOKUP(Movimientos_2026[[#This Row],[Codigo]],Plan_cuentas[],6,FALSE)," ")</f>
        <v>2 - PR - Plan Rombo</v>
      </c>
      <c r="L876" s="50">
        <v>12314921</v>
      </c>
      <c r="M876" s="50"/>
      <c r="N876" s="20">
        <f>+Movimientos_2026[[#This Row],[Ingresos]]-Movimientos_2026[[#This Row],[Egresos]]</f>
        <v>12314921</v>
      </c>
      <c r="O876" s="20">
        <f>+O875+Movimientos_2026[[#This Row],[Neto]]</f>
        <v>5418064879.8110056</v>
      </c>
    </row>
    <row r="877" spans="1:15" x14ac:dyDescent="0.25">
      <c r="A877" s="13">
        <v>46090</v>
      </c>
      <c r="B877" s="12">
        <f>MONTH(Movimientos_2026[[#This Row],[Fecha]])</f>
        <v>3</v>
      </c>
      <c r="C877" s="12" t="str">
        <f>VLOOKUP((WEEKDAY(Movimientos_2026[[#This Row],[Fecha]],2)),'5. Setup'!$D$6:$E$12,2,FALSE)</f>
        <v>Lun</v>
      </c>
      <c r="D877">
        <v>1043242</v>
      </c>
      <c r="E877" t="str">
        <f>IFERROR(+VLOOKUP(Movimientos_2026[[#This Row],[Codigo]],Plan_cuentas[],2,FALSE)," ")</f>
        <v>INGRESOS</v>
      </c>
      <c r="F877" t="str">
        <f>IFERROR(+VLOOKUP(Movimientos_2026[[#This Row],[Codigo]],Plan_cuentas[],3,FALSE)," ")</f>
        <v>Transferencia</v>
      </c>
      <c r="G877" t="str">
        <f>IFERROR(+VLOOKUP(Movimientos_2026[[#This Row],[Codigo]],Plan_cuentas[],4,FALSE)," ")</f>
        <v>Registración</v>
      </c>
      <c r="H877" t="str">
        <f>IFERROR(+VLOOKUP(Movimientos_2026[[#This Row],[Codigo]],Plan_cuentas[],5,FALSE)," ")</f>
        <v>FORMOSA</v>
      </c>
      <c r="I877" s="43">
        <v>46054</v>
      </c>
      <c r="J877" t="s">
        <v>370</v>
      </c>
      <c r="K877" t="str">
        <f>IFERROR(+VLOOKUP(Movimientos_2026[[#This Row],[Codigo]],Plan_cuentas[],6,FALSE)," ")</f>
        <v>2 - PR - Plan Rombo</v>
      </c>
      <c r="L877" s="50">
        <v>2035331</v>
      </c>
      <c r="M877" s="50"/>
      <c r="N877" s="20">
        <f>+Movimientos_2026[[#This Row],[Ingresos]]-Movimientos_2026[[#This Row],[Egresos]]</f>
        <v>2035331</v>
      </c>
      <c r="O877" s="20">
        <f>+O876+Movimientos_2026[[#This Row],[Neto]]</f>
        <v>5420100210.8110056</v>
      </c>
    </row>
    <row r="878" spans="1:15" x14ac:dyDescent="0.25">
      <c r="A878" s="13">
        <v>46090</v>
      </c>
      <c r="B878" s="12">
        <f>MONTH(Movimientos_2026[[#This Row],[Fecha]])</f>
        <v>3</v>
      </c>
      <c r="C878" s="12" t="str">
        <f>VLOOKUP((WEEKDAY(Movimientos_2026[[#This Row],[Fecha]],2)),'5. Setup'!$D$6:$E$12,2,FALSE)</f>
        <v>Lun</v>
      </c>
      <c r="D878">
        <v>1043392</v>
      </c>
      <c r="E878" t="str">
        <f>IFERROR(+VLOOKUP(Movimientos_2026[[#This Row],[Codigo]],Plan_cuentas[],2,FALSE)," ")</f>
        <v>INGRESOS</v>
      </c>
      <c r="F878" t="str">
        <f>IFERROR(+VLOOKUP(Movimientos_2026[[#This Row],[Codigo]],Plan_cuentas[],3,FALSE)," ")</f>
        <v>Transferencia</v>
      </c>
      <c r="G878" t="str">
        <f>IFERROR(+VLOOKUP(Movimientos_2026[[#This Row],[Codigo]],Plan_cuentas[],4,FALSE)," ")</f>
        <v>Registración</v>
      </c>
      <c r="H878" t="str">
        <f>IFERROR(+VLOOKUP(Movimientos_2026[[#This Row],[Codigo]],Plan_cuentas[],5,FALSE)," ")</f>
        <v>SANTA FE 2° Q</v>
      </c>
      <c r="I878" s="43">
        <v>46054</v>
      </c>
      <c r="J878" t="s">
        <v>370</v>
      </c>
      <c r="K878" t="str">
        <f>IFERROR(+VLOOKUP(Movimientos_2026[[#This Row],[Codigo]],Plan_cuentas[],6,FALSE)," ")</f>
        <v>2 - PR - Plan Rombo</v>
      </c>
      <c r="L878" s="50">
        <v>28490861</v>
      </c>
      <c r="M878" s="50"/>
      <c r="N878" s="20">
        <f>+Movimientos_2026[[#This Row],[Ingresos]]-Movimientos_2026[[#This Row],[Egresos]]</f>
        <v>28490861</v>
      </c>
      <c r="O878" s="20">
        <f>+O877+Movimientos_2026[[#This Row],[Neto]]</f>
        <v>5448591071.8110056</v>
      </c>
    </row>
    <row r="879" spans="1:15" x14ac:dyDescent="0.25">
      <c r="A879" s="13">
        <v>46090</v>
      </c>
      <c r="B879" s="12">
        <f>MONTH(Movimientos_2026[[#This Row],[Fecha]])</f>
        <v>3</v>
      </c>
      <c r="C879" s="12" t="str">
        <f>VLOOKUP((WEEKDAY(Movimientos_2026[[#This Row],[Fecha]],2)),'5. Setup'!$D$6:$E$12,2,FALSE)</f>
        <v>Lun</v>
      </c>
      <c r="D879">
        <v>1043172</v>
      </c>
      <c r="E879" t="str">
        <f>IFERROR(+VLOOKUP(Movimientos_2026[[#This Row],[Codigo]],Plan_cuentas[],2,FALSE)," ")</f>
        <v>INGRESOS</v>
      </c>
      <c r="F879" t="str">
        <f>IFERROR(+VLOOKUP(Movimientos_2026[[#This Row],[Codigo]],Plan_cuentas[],3,FALSE)," ")</f>
        <v>Transferencia</v>
      </c>
      <c r="G879" t="str">
        <f>IFERROR(+VLOOKUP(Movimientos_2026[[#This Row],[Codigo]],Plan_cuentas[],4,FALSE)," ")</f>
        <v>Registración</v>
      </c>
      <c r="H879" t="str">
        <f>IFERROR(+VLOOKUP(Movimientos_2026[[#This Row],[Codigo]],Plan_cuentas[],5,FALSE)," ")</f>
        <v>CHUBUT</v>
      </c>
      <c r="I879" s="43">
        <v>46054</v>
      </c>
      <c r="J879" t="s">
        <v>370</v>
      </c>
      <c r="K879" t="str">
        <f>IFERROR(+VLOOKUP(Movimientos_2026[[#This Row],[Codigo]],Plan_cuentas[],6,FALSE)," ")</f>
        <v>2 - PR - Plan Rombo</v>
      </c>
      <c r="L879" s="50">
        <v>9916007</v>
      </c>
      <c r="M879" s="50"/>
      <c r="N879" s="20">
        <f>+Movimientos_2026[[#This Row],[Ingresos]]-Movimientos_2026[[#This Row],[Egresos]]</f>
        <v>9916007</v>
      </c>
      <c r="O879" s="20">
        <f>+O878+Movimientos_2026[[#This Row],[Neto]]</f>
        <v>5458507078.8110056</v>
      </c>
    </row>
    <row r="880" spans="1:15" x14ac:dyDescent="0.25">
      <c r="A880" s="13">
        <v>46090</v>
      </c>
      <c r="B880" s="12">
        <f>MONTH(Movimientos_2026[[#This Row],[Fecha]])</f>
        <v>3</v>
      </c>
      <c r="C880" s="12" t="str">
        <f>VLOOKUP((WEEKDAY(Movimientos_2026[[#This Row],[Fecha]],2)),'5. Setup'!$D$6:$E$12,2,FALSE)</f>
        <v>Lun</v>
      </c>
      <c r="D880">
        <v>1044482</v>
      </c>
      <c r="E880" t="str">
        <f>IFERROR(+VLOOKUP(Movimientos_2026[[#This Row],[Codigo]],Plan_cuentas[],2,FALSE)," ")</f>
        <v>INGRESOS</v>
      </c>
      <c r="F880" t="str">
        <f>IFERROR(+VLOOKUP(Movimientos_2026[[#This Row],[Codigo]],Plan_cuentas[],3,FALSE)," ")</f>
        <v>Transferencia</v>
      </c>
      <c r="G880" t="str">
        <f>IFERROR(+VLOOKUP(Movimientos_2026[[#This Row],[Codigo]],Plan_cuentas[],4,FALSE)," ")</f>
        <v>Factura</v>
      </c>
      <c r="H880" t="str">
        <f>IFERROR(+VLOOKUP(Movimientos_2026[[#This Row],[Codigo]],Plan_cuentas[],5,FALSE)," ")</f>
        <v>FC TRAMITACION</v>
      </c>
      <c r="I880" s="43">
        <v>46054</v>
      </c>
      <c r="J880" t="s">
        <v>374</v>
      </c>
      <c r="K880" t="str">
        <f>IFERROR(+VLOOKUP(Movimientos_2026[[#This Row],[Codigo]],Plan_cuentas[],6,FALSE)," ")</f>
        <v>2 - PR - Plan Rombo</v>
      </c>
      <c r="L880" s="50">
        <v>4008904.22</v>
      </c>
      <c r="M880" s="50"/>
      <c r="N880" s="20">
        <f>+Movimientos_2026[[#This Row],[Ingresos]]-Movimientos_2026[[#This Row],[Egresos]]</f>
        <v>4008904.22</v>
      </c>
      <c r="O880" s="20">
        <f>+O879+Movimientos_2026[[#This Row],[Neto]]</f>
        <v>5462515983.0310059</v>
      </c>
    </row>
    <row r="881" spans="1:15" x14ac:dyDescent="0.25">
      <c r="A881" s="13">
        <v>46090</v>
      </c>
      <c r="B881" s="12">
        <f>MONTH(Movimientos_2026[[#This Row],[Fecha]])</f>
        <v>3</v>
      </c>
      <c r="C881" s="12" t="str">
        <f>VLOOKUP((WEEKDAY(Movimientos_2026[[#This Row],[Fecha]],2)),'5. Setup'!$D$6:$E$12,2,FALSE)</f>
        <v>Lun</v>
      </c>
      <c r="D881">
        <v>1044507</v>
      </c>
      <c r="E881" t="str">
        <f>IFERROR(+VLOOKUP(Movimientos_2026[[#This Row],[Codigo]],Plan_cuentas[],2,FALSE)," ")</f>
        <v>INGRESOS</v>
      </c>
      <c r="F881" t="str">
        <f>IFERROR(+VLOOKUP(Movimientos_2026[[#This Row],[Codigo]],Plan_cuentas[],3,FALSE)," ")</f>
        <v>Transferencia</v>
      </c>
      <c r="G881" t="str">
        <f>IFERROR(+VLOOKUP(Movimientos_2026[[#This Row],[Codigo]],Plan_cuentas[],4,FALSE)," ")</f>
        <v>Rentas</v>
      </c>
      <c r="H881" t="str">
        <f>IFERROR(+VLOOKUP(Movimientos_2026[[#This Row],[Codigo]],Plan_cuentas[],5,FALSE)," ")</f>
        <v>BAPRO</v>
      </c>
      <c r="I881" s="43">
        <v>46054</v>
      </c>
      <c r="J881" t="s">
        <v>370</v>
      </c>
      <c r="K881" t="str">
        <f>IFERROR(+VLOOKUP(Movimientos_2026[[#This Row],[Codigo]],Plan_cuentas[],6,FALSE)," ")</f>
        <v>7 - PRtr - Plan Rombo Transf.</v>
      </c>
      <c r="L881" s="50">
        <v>18506357.640000001</v>
      </c>
      <c r="M881" s="50"/>
      <c r="N881" s="20">
        <f>+Movimientos_2026[[#This Row],[Ingresos]]-Movimientos_2026[[#This Row],[Egresos]]</f>
        <v>18506357.640000001</v>
      </c>
      <c r="O881" s="20">
        <f>+O880+Movimientos_2026[[#This Row],[Neto]]</f>
        <v>5481022340.6710062</v>
      </c>
    </row>
    <row r="882" spans="1:15" x14ac:dyDescent="0.25">
      <c r="A882" s="13">
        <v>46090</v>
      </c>
      <c r="B882" s="12">
        <f>MONTH(Movimientos_2026[[#This Row],[Fecha]])</f>
        <v>3</v>
      </c>
      <c r="C882" s="12" t="str">
        <f>VLOOKUP((WEEKDAY(Movimientos_2026[[#This Row],[Fecha]],2)),'5. Setup'!$D$6:$E$12,2,FALSE)</f>
        <v>Lun</v>
      </c>
      <c r="D882">
        <v>1043157</v>
      </c>
      <c r="E882" t="str">
        <f>IFERROR(+VLOOKUP(Movimientos_2026[[#This Row],[Codigo]],Plan_cuentas[],2,FALSE)," ")</f>
        <v>INGRESOS</v>
      </c>
      <c r="F882" t="str">
        <f>IFERROR(+VLOOKUP(Movimientos_2026[[#This Row],[Codigo]],Plan_cuentas[],3,FALSE)," ")</f>
        <v>Transferencia</v>
      </c>
      <c r="G882" t="str">
        <f>IFERROR(+VLOOKUP(Movimientos_2026[[#This Row],[Codigo]],Plan_cuentas[],4,FALSE)," ")</f>
        <v>Registración</v>
      </c>
      <c r="H882" t="str">
        <f>IFERROR(+VLOOKUP(Movimientos_2026[[#This Row],[Codigo]],Plan_cuentas[],5,FALSE)," ")</f>
        <v>CABA</v>
      </c>
      <c r="I882" s="43">
        <v>46054</v>
      </c>
      <c r="J882" t="s">
        <v>370</v>
      </c>
      <c r="K882" t="str">
        <f>IFERROR(+VLOOKUP(Movimientos_2026[[#This Row],[Codigo]],Plan_cuentas[],6,FALSE)," ")</f>
        <v>7 - PRtr - Plan Rombo Transf.</v>
      </c>
      <c r="L882" s="50">
        <v>19507</v>
      </c>
      <c r="M882" s="50"/>
      <c r="N882" s="20">
        <f>+Movimientos_2026[[#This Row],[Ingresos]]-Movimientos_2026[[#This Row],[Egresos]]</f>
        <v>19507</v>
      </c>
      <c r="O882" s="20">
        <f>+O881+Movimientos_2026[[#This Row],[Neto]]</f>
        <v>5481041847.6710062</v>
      </c>
    </row>
    <row r="883" spans="1:15" x14ac:dyDescent="0.25">
      <c r="A883" s="13">
        <v>46090</v>
      </c>
      <c r="B883" s="12">
        <f>MONTH(Movimientos_2026[[#This Row],[Fecha]])</f>
        <v>3</v>
      </c>
      <c r="C883" s="12" t="str">
        <f>VLOOKUP((WEEKDAY(Movimientos_2026[[#This Row],[Fecha]],2)),'5. Setup'!$D$6:$E$12,2,FALSE)</f>
        <v>Lun</v>
      </c>
      <c r="D883">
        <v>1044167</v>
      </c>
      <c r="E883" t="str">
        <f>IFERROR(+VLOOKUP(Movimientos_2026[[#This Row],[Codigo]],Plan_cuentas[],2,FALSE)," ")</f>
        <v>INGRESOS</v>
      </c>
      <c r="F883" t="str">
        <f>IFERROR(+VLOOKUP(Movimientos_2026[[#This Row],[Codigo]],Plan_cuentas[],3,FALSE)," ")</f>
        <v>Transferencia</v>
      </c>
      <c r="G883" t="str">
        <f>IFERROR(+VLOOKUP(Movimientos_2026[[#This Row],[Codigo]],Plan_cuentas[],4,FALSE)," ")</f>
        <v>Rentas</v>
      </c>
      <c r="H883" t="str">
        <f>IFERROR(+VLOOKUP(Movimientos_2026[[#This Row],[Codigo]],Plan_cuentas[],5,FALSE)," ")</f>
        <v>CHACO</v>
      </c>
      <c r="I883" s="43">
        <v>46054</v>
      </c>
      <c r="J883" t="s">
        <v>370</v>
      </c>
      <c r="K883" t="str">
        <f>IFERROR(+VLOOKUP(Movimientos_2026[[#This Row],[Codigo]],Plan_cuentas[],6,FALSE)," ")</f>
        <v>7 - PRtr - Plan Rombo Transf.</v>
      </c>
      <c r="L883" s="50">
        <v>122452.5</v>
      </c>
      <c r="M883" s="50"/>
      <c r="N883" s="20">
        <f>+Movimientos_2026[[#This Row],[Ingresos]]-Movimientos_2026[[#This Row],[Egresos]]</f>
        <v>122452.5</v>
      </c>
      <c r="O883" s="20">
        <f>+O882+Movimientos_2026[[#This Row],[Neto]]</f>
        <v>5481164300.1710062</v>
      </c>
    </row>
    <row r="884" spans="1:15" x14ac:dyDescent="0.25">
      <c r="A884" s="13">
        <v>46090</v>
      </c>
      <c r="B884" s="12">
        <f>MONTH(Movimientos_2026[[#This Row],[Fecha]])</f>
        <v>3</v>
      </c>
      <c r="C884" s="12" t="str">
        <f>VLOOKUP((WEEKDAY(Movimientos_2026[[#This Row],[Fecha]],2)),'5. Setup'!$D$6:$E$12,2,FALSE)</f>
        <v>Lun</v>
      </c>
      <c r="D884">
        <v>1043177</v>
      </c>
      <c r="E884" t="str">
        <f>IFERROR(+VLOOKUP(Movimientos_2026[[#This Row],[Codigo]],Plan_cuentas[],2,FALSE)," ")</f>
        <v>INGRESOS</v>
      </c>
      <c r="F884" t="str">
        <f>IFERROR(+VLOOKUP(Movimientos_2026[[#This Row],[Codigo]],Plan_cuentas[],3,FALSE)," ")</f>
        <v>Transferencia</v>
      </c>
      <c r="G884" t="str">
        <f>IFERROR(+VLOOKUP(Movimientos_2026[[#This Row],[Codigo]],Plan_cuentas[],4,FALSE)," ")</f>
        <v>Registración</v>
      </c>
      <c r="H884" t="str">
        <f>IFERROR(+VLOOKUP(Movimientos_2026[[#This Row],[Codigo]],Plan_cuentas[],5,FALSE)," ")</f>
        <v>CHUBUT</v>
      </c>
      <c r="I884" s="43">
        <v>46054</v>
      </c>
      <c r="J884" t="s">
        <v>370</v>
      </c>
      <c r="K884" t="str">
        <f>IFERROR(+VLOOKUP(Movimientos_2026[[#This Row],[Codigo]],Plan_cuentas[],6,FALSE)," ")</f>
        <v>7 - PRtr - Plan Rombo Transf.</v>
      </c>
      <c r="L884" s="50">
        <v>240185.33</v>
      </c>
      <c r="M884" s="50"/>
      <c r="N884" s="20">
        <f>+Movimientos_2026[[#This Row],[Ingresos]]-Movimientos_2026[[#This Row],[Egresos]]</f>
        <v>240185.33</v>
      </c>
      <c r="O884" s="20">
        <f>+O883+Movimientos_2026[[#This Row],[Neto]]</f>
        <v>5481404485.5010061</v>
      </c>
    </row>
    <row r="885" spans="1:15" x14ac:dyDescent="0.25">
      <c r="A885" s="13">
        <v>46090</v>
      </c>
      <c r="B885" s="12">
        <f>MONTH(Movimientos_2026[[#This Row],[Fecha]])</f>
        <v>3</v>
      </c>
      <c r="C885" s="12" t="str">
        <f>VLOOKUP((WEEKDAY(Movimientos_2026[[#This Row],[Fecha]],2)),'5. Setup'!$D$6:$E$12,2,FALSE)</f>
        <v>Lun</v>
      </c>
      <c r="D885">
        <v>1044197</v>
      </c>
      <c r="E885" t="str">
        <f>IFERROR(+VLOOKUP(Movimientos_2026[[#This Row],[Codigo]],Plan_cuentas[],2,FALSE)," ")</f>
        <v>INGRESOS</v>
      </c>
      <c r="F885" t="str">
        <f>IFERROR(+VLOOKUP(Movimientos_2026[[#This Row],[Codigo]],Plan_cuentas[],3,FALSE)," ")</f>
        <v>Transferencia</v>
      </c>
      <c r="G885" t="str">
        <f>IFERROR(+VLOOKUP(Movimientos_2026[[#This Row],[Codigo]],Plan_cuentas[],4,FALSE)," ")</f>
        <v>Rentas</v>
      </c>
      <c r="H885" t="str">
        <f>IFERROR(+VLOOKUP(Movimientos_2026[[#This Row],[Codigo]],Plan_cuentas[],5,FALSE)," ")</f>
        <v>CORDOBA 2° Q</v>
      </c>
      <c r="I885" s="43">
        <v>46054</v>
      </c>
      <c r="J885" t="s">
        <v>370</v>
      </c>
      <c r="K885" t="str">
        <f>IFERROR(+VLOOKUP(Movimientos_2026[[#This Row],[Codigo]],Plan_cuentas[],6,FALSE)," ")</f>
        <v>7 - PRtr - Plan Rombo Transf.</v>
      </c>
      <c r="L885" s="50">
        <v>804000</v>
      </c>
      <c r="M885" s="50"/>
      <c r="N885" s="20">
        <f>+Movimientos_2026[[#This Row],[Ingresos]]-Movimientos_2026[[#This Row],[Egresos]]</f>
        <v>804000</v>
      </c>
      <c r="O885" s="20">
        <f>+O884+Movimientos_2026[[#This Row],[Neto]]</f>
        <v>5482208485.5010061</v>
      </c>
    </row>
    <row r="886" spans="1:15" x14ac:dyDescent="0.25">
      <c r="A886" s="13">
        <v>46090</v>
      </c>
      <c r="B886" s="12">
        <f>MONTH(Movimientos_2026[[#This Row],[Fecha]])</f>
        <v>3</v>
      </c>
      <c r="C886" s="12" t="str">
        <f>VLOOKUP((WEEKDAY(Movimientos_2026[[#This Row],[Fecha]],2)),'5. Setup'!$D$6:$E$12,2,FALSE)</f>
        <v>Lun</v>
      </c>
      <c r="D886">
        <v>1043247</v>
      </c>
      <c r="E886" t="str">
        <f>IFERROR(+VLOOKUP(Movimientos_2026[[#This Row],[Codigo]],Plan_cuentas[],2,FALSE)," ")</f>
        <v>INGRESOS</v>
      </c>
      <c r="F886" t="str">
        <f>IFERROR(+VLOOKUP(Movimientos_2026[[#This Row],[Codigo]],Plan_cuentas[],3,FALSE)," ")</f>
        <v>Transferencia</v>
      </c>
      <c r="G886" t="str">
        <f>IFERROR(+VLOOKUP(Movimientos_2026[[#This Row],[Codigo]],Plan_cuentas[],4,FALSE)," ")</f>
        <v>Registración</v>
      </c>
      <c r="H886" t="str">
        <f>IFERROR(+VLOOKUP(Movimientos_2026[[#This Row],[Codigo]],Plan_cuentas[],5,FALSE)," ")</f>
        <v>FORMOSA</v>
      </c>
      <c r="I886" s="43">
        <v>46054</v>
      </c>
      <c r="J886" t="s">
        <v>370</v>
      </c>
      <c r="K886" t="str">
        <f>IFERROR(+VLOOKUP(Movimientos_2026[[#This Row],[Codigo]],Plan_cuentas[],6,FALSE)," ")</f>
        <v>7 - PRtr - Plan Rombo Transf.</v>
      </c>
      <c r="L886" s="50">
        <v>28000</v>
      </c>
      <c r="M886" s="50"/>
      <c r="N886" s="20">
        <f>+Movimientos_2026[[#This Row],[Ingresos]]-Movimientos_2026[[#This Row],[Egresos]]</f>
        <v>28000</v>
      </c>
      <c r="O886" s="20">
        <f>+O885+Movimientos_2026[[#This Row],[Neto]]</f>
        <v>5482236485.5010061</v>
      </c>
    </row>
    <row r="887" spans="1:15" x14ac:dyDescent="0.25">
      <c r="A887" s="13">
        <v>46090</v>
      </c>
      <c r="B887" s="12">
        <f>MONTH(Movimientos_2026[[#This Row],[Fecha]])</f>
        <v>3</v>
      </c>
      <c r="C887" s="12" t="str">
        <f>VLOOKUP((WEEKDAY(Movimientos_2026[[#This Row],[Fecha]],2)),'5. Setup'!$D$6:$E$12,2,FALSE)</f>
        <v>Lun</v>
      </c>
      <c r="D887">
        <v>1044287</v>
      </c>
      <c r="E887" t="str">
        <f>IFERROR(+VLOOKUP(Movimientos_2026[[#This Row],[Codigo]],Plan_cuentas[],2,FALSE)," ")</f>
        <v>INGRESOS</v>
      </c>
      <c r="F887" t="str">
        <f>IFERROR(+VLOOKUP(Movimientos_2026[[#This Row],[Codigo]],Plan_cuentas[],3,FALSE)," ")</f>
        <v>Transferencia</v>
      </c>
      <c r="G887" t="str">
        <f>IFERROR(+VLOOKUP(Movimientos_2026[[#This Row],[Codigo]],Plan_cuentas[],4,FALSE)," ")</f>
        <v>Rentas</v>
      </c>
      <c r="H887" t="str">
        <f>IFERROR(+VLOOKUP(Movimientos_2026[[#This Row],[Codigo]],Plan_cuentas[],5,FALSE)," ")</f>
        <v>MENDOZA</v>
      </c>
      <c r="I887" s="43">
        <v>46054</v>
      </c>
      <c r="J887" t="s">
        <v>370</v>
      </c>
      <c r="K887" t="str">
        <f>IFERROR(+VLOOKUP(Movimientos_2026[[#This Row],[Codigo]],Plan_cuentas[],6,FALSE)," ")</f>
        <v>7 - PRtr - Plan Rombo Transf.</v>
      </c>
      <c r="L887" s="50">
        <v>2000</v>
      </c>
      <c r="M887" s="50"/>
      <c r="N887" s="20">
        <f>+Movimientos_2026[[#This Row],[Ingresos]]-Movimientos_2026[[#This Row],[Egresos]]</f>
        <v>2000</v>
      </c>
      <c r="O887" s="20">
        <f>+O886+Movimientos_2026[[#This Row],[Neto]]</f>
        <v>5482238485.5010061</v>
      </c>
    </row>
    <row r="888" spans="1:15" x14ac:dyDescent="0.25">
      <c r="A888" s="13">
        <v>46090</v>
      </c>
      <c r="B888" s="12">
        <f>MONTH(Movimientos_2026[[#This Row],[Fecha]])</f>
        <v>3</v>
      </c>
      <c r="C888" s="12" t="str">
        <f>VLOOKUP((WEEKDAY(Movimientos_2026[[#This Row],[Fecha]],2)),'5. Setup'!$D$6:$E$12,2,FALSE)</f>
        <v>Lun</v>
      </c>
      <c r="D888">
        <v>1043377</v>
      </c>
      <c r="E888" t="str">
        <f>IFERROR(+VLOOKUP(Movimientos_2026[[#This Row],[Codigo]],Plan_cuentas[],2,FALSE)," ")</f>
        <v>INGRESOS</v>
      </c>
      <c r="F888" t="str">
        <f>IFERROR(+VLOOKUP(Movimientos_2026[[#This Row],[Codigo]],Plan_cuentas[],3,FALSE)," ")</f>
        <v>Transferencia</v>
      </c>
      <c r="G888" t="str">
        <f>IFERROR(+VLOOKUP(Movimientos_2026[[#This Row],[Codigo]],Plan_cuentas[],4,FALSE)," ")</f>
        <v>Registración</v>
      </c>
      <c r="H888" t="str">
        <f>IFERROR(+VLOOKUP(Movimientos_2026[[#This Row],[Codigo]],Plan_cuentas[],5,FALSE)," ")</f>
        <v>SANTA CRUZ</v>
      </c>
      <c r="I888" s="43">
        <v>46054</v>
      </c>
      <c r="J888" t="s">
        <v>370</v>
      </c>
      <c r="K888" t="str">
        <f>IFERROR(+VLOOKUP(Movimientos_2026[[#This Row],[Codigo]],Plan_cuentas[],6,FALSE)," ")</f>
        <v>7 - PRtr - Plan Rombo Transf.</v>
      </c>
      <c r="L888" s="50">
        <v>2802.8</v>
      </c>
      <c r="M888" s="50"/>
      <c r="N888" s="20">
        <f>+Movimientos_2026[[#This Row],[Ingresos]]-Movimientos_2026[[#This Row],[Egresos]]</f>
        <v>2802.8</v>
      </c>
      <c r="O888" s="20">
        <f>+O887+Movimientos_2026[[#This Row],[Neto]]</f>
        <v>5482241288.3010063</v>
      </c>
    </row>
    <row r="889" spans="1:15" x14ac:dyDescent="0.25">
      <c r="A889" s="13">
        <v>46090</v>
      </c>
      <c r="B889" s="12">
        <f>MONTH(Movimientos_2026[[#This Row],[Fecha]])</f>
        <v>3</v>
      </c>
      <c r="C889" s="12" t="str">
        <f>VLOOKUP((WEEKDAY(Movimientos_2026[[#This Row],[Fecha]],2)),'5. Setup'!$D$6:$E$12,2,FALSE)</f>
        <v>Lun</v>
      </c>
      <c r="D889">
        <v>1043387</v>
      </c>
      <c r="E889" t="str">
        <f>IFERROR(+VLOOKUP(Movimientos_2026[[#This Row],[Codigo]],Plan_cuentas[],2,FALSE)," ")</f>
        <v>INGRESOS</v>
      </c>
      <c r="F889" t="str">
        <f>IFERROR(+VLOOKUP(Movimientos_2026[[#This Row],[Codigo]],Plan_cuentas[],3,FALSE)," ")</f>
        <v>Transferencia</v>
      </c>
      <c r="G889" t="str">
        <f>IFERROR(+VLOOKUP(Movimientos_2026[[#This Row],[Codigo]],Plan_cuentas[],4,FALSE)," ")</f>
        <v>Registración</v>
      </c>
      <c r="H889" t="str">
        <f>IFERROR(+VLOOKUP(Movimientos_2026[[#This Row],[Codigo]],Plan_cuentas[],5,FALSE)," ")</f>
        <v>SANTA FE 1° Q</v>
      </c>
      <c r="I889" s="43">
        <v>46054</v>
      </c>
      <c r="J889" t="s">
        <v>370</v>
      </c>
      <c r="K889" t="str">
        <f>IFERROR(+VLOOKUP(Movimientos_2026[[#This Row],[Codigo]],Plan_cuentas[],6,FALSE)," ")</f>
        <v>7 - PRtr - Plan Rombo Transf.</v>
      </c>
      <c r="L889" s="50">
        <v>248706.13</v>
      </c>
      <c r="M889" s="50"/>
      <c r="N889" s="20">
        <f>+Movimientos_2026[[#This Row],[Ingresos]]-Movimientos_2026[[#This Row],[Egresos]]</f>
        <v>248706.13</v>
      </c>
      <c r="O889" s="20">
        <f>+O888+Movimientos_2026[[#This Row],[Neto]]</f>
        <v>5482489994.4310064</v>
      </c>
    </row>
    <row r="890" spans="1:15" x14ac:dyDescent="0.25">
      <c r="A890" s="13">
        <v>46090</v>
      </c>
      <c r="B890" s="12">
        <f>MONTH(Movimientos_2026[[#This Row],[Fecha]])</f>
        <v>3</v>
      </c>
      <c r="C890" s="12" t="str">
        <f>VLOOKUP((WEEKDAY(Movimientos_2026[[#This Row],[Fecha]],2)),'5. Setup'!$D$6:$E$12,2,FALSE)</f>
        <v>Lun</v>
      </c>
      <c r="D890">
        <v>1044427</v>
      </c>
      <c r="E890" t="str">
        <f>IFERROR(+VLOOKUP(Movimientos_2026[[#This Row],[Codigo]],Plan_cuentas[],2,FALSE)," ")</f>
        <v>INGRESOS</v>
      </c>
      <c r="F890" t="str">
        <f>IFERROR(+VLOOKUP(Movimientos_2026[[#This Row],[Codigo]],Plan_cuentas[],3,FALSE)," ")</f>
        <v>Transferencia</v>
      </c>
      <c r="G890" t="str">
        <f>IFERROR(+VLOOKUP(Movimientos_2026[[#This Row],[Codigo]],Plan_cuentas[],4,FALSE)," ")</f>
        <v>Rentas</v>
      </c>
      <c r="H890" t="str">
        <f>IFERROR(+VLOOKUP(Movimientos_2026[[#This Row],[Codigo]],Plan_cuentas[],5,FALSE)," ")</f>
        <v>TUCUMAN</v>
      </c>
      <c r="I890" s="43">
        <v>46054</v>
      </c>
      <c r="J890" t="s">
        <v>370</v>
      </c>
      <c r="K890" t="str">
        <f>IFERROR(+VLOOKUP(Movimientos_2026[[#This Row],[Codigo]],Plan_cuentas[],6,FALSE)," ")</f>
        <v>7 - PRtr - Plan Rombo Transf.</v>
      </c>
      <c r="L890" s="50">
        <v>166</v>
      </c>
      <c r="M890" s="50"/>
      <c r="N890" s="20">
        <f>+Movimientos_2026[[#This Row],[Ingresos]]-Movimientos_2026[[#This Row],[Egresos]]</f>
        <v>166</v>
      </c>
      <c r="O890" s="20">
        <f>+O889+Movimientos_2026[[#This Row],[Neto]]</f>
        <v>5482490160.4310064</v>
      </c>
    </row>
    <row r="891" spans="1:15" x14ac:dyDescent="0.25">
      <c r="A891" s="13">
        <v>46090</v>
      </c>
      <c r="B891" s="12">
        <f>MONTH(Movimientos_2026[[#This Row],[Fecha]])</f>
        <v>3</v>
      </c>
      <c r="C891" s="12" t="str">
        <f>VLOOKUP((WEEKDAY(Movimientos_2026[[#This Row],[Fecha]],2)),'5. Setup'!$D$6:$E$12,2,FALSE)</f>
        <v>Lun</v>
      </c>
      <c r="D891">
        <v>1045454</v>
      </c>
      <c r="E891" t="str">
        <f>IFERROR(+VLOOKUP(Movimientos_2026[[#This Row],[Codigo]],Plan_cuentas[],2,FALSE)," ")</f>
        <v>INGRESOS</v>
      </c>
      <c r="F891" t="str">
        <f>IFERROR(+VLOOKUP(Movimientos_2026[[#This Row],[Codigo]],Plan_cuentas[],3,FALSE)," ")</f>
        <v>Transferencia</v>
      </c>
      <c r="G891" t="str">
        <f>IFERROR(+VLOOKUP(Movimientos_2026[[#This Row],[Codigo]],Plan_cuentas[],4,FALSE)," ")</f>
        <v>Factura</v>
      </c>
      <c r="H891" t="str">
        <f>IFERROR(+VLOOKUP(Movimientos_2026[[#This Row],[Codigo]],Plan_cuentas[],5,FALSE)," ")</f>
        <v>FC DERECHOS</v>
      </c>
      <c r="I891" s="43">
        <v>46054</v>
      </c>
      <c r="J891" t="s">
        <v>375</v>
      </c>
      <c r="K891" t="str">
        <f>IFERROR(+VLOOKUP(Movimientos_2026[[#This Row],[Codigo]],Plan_cuentas[],6,FALSE)," ")</f>
        <v>4 - FCA - Fiat</v>
      </c>
      <c r="L891" s="50">
        <v>157493135.27000001</v>
      </c>
      <c r="M891" s="52"/>
      <c r="N891" s="20">
        <f>+Movimientos_2026[[#This Row],[Ingresos]]-Movimientos_2026[[#This Row],[Egresos]]</f>
        <v>157493135.27000001</v>
      </c>
      <c r="O891" s="20">
        <f>+O890+Movimientos_2026[[#This Row],[Neto]]</f>
        <v>5639983295.7010069</v>
      </c>
    </row>
    <row r="892" spans="1:15" x14ac:dyDescent="0.25">
      <c r="A892" s="13">
        <v>46091</v>
      </c>
      <c r="B892" s="12">
        <f>MONTH(Movimientos_2026[[#This Row],[Fecha]])</f>
        <v>3</v>
      </c>
      <c r="C892" s="12" t="str">
        <f>VLOOKUP((WEEKDAY(Movimientos_2026[[#This Row],[Fecha]],2)),'5. Setup'!$D$6:$E$12,2,FALSE)</f>
        <v>Mar</v>
      </c>
      <c r="D892">
        <v>2014211</v>
      </c>
      <c r="E892" t="str">
        <f>IFERROR(+VLOOKUP(Movimientos_2026[[#This Row],[Codigo]],Plan_cuentas[],2,FALSE)," ")</f>
        <v>EGRESOS</v>
      </c>
      <c r="F892" t="str">
        <f>IFERROR(+VLOOKUP(Movimientos_2026[[#This Row],[Codigo]],Plan_cuentas[],3,FALSE)," ")</f>
        <v>BtoB</v>
      </c>
      <c r="G892" t="str">
        <f>IFERROR(+VLOOKUP(Movimientos_2026[[#This Row],[Codigo]],Plan_cuentas[],4,FALSE)," ")</f>
        <v>Rentas</v>
      </c>
      <c r="H892" t="str">
        <f>IFERROR(+VLOOKUP(Movimientos_2026[[#This Row],[Codigo]],Plan_cuentas[],5,FALSE)," ")</f>
        <v>CORRIENTES 2° Q</v>
      </c>
      <c r="I892" s="43">
        <v>46054</v>
      </c>
      <c r="J892" t="s">
        <v>376</v>
      </c>
      <c r="K892" t="str">
        <f>IFERROR(+VLOOKUP(Movimientos_2026[[#This Row],[Codigo]],Plan_cuentas[],6,FALSE)," ")</f>
        <v>1 - VW - Volkswagen</v>
      </c>
      <c r="L892" s="50"/>
      <c r="M892" s="50">
        <v>10081910.5</v>
      </c>
      <c r="N892" s="20">
        <f>+Movimientos_2026[[#This Row],[Ingresos]]-Movimientos_2026[[#This Row],[Egresos]]</f>
        <v>-10081910.5</v>
      </c>
      <c r="O892" s="20">
        <f>+O890+Movimientos_2026[[#This Row],[Neto]]</f>
        <v>5472408249.9310064</v>
      </c>
    </row>
    <row r="893" spans="1:15" x14ac:dyDescent="0.25">
      <c r="A893" s="13">
        <v>46091</v>
      </c>
      <c r="B893" s="12">
        <f>MONTH(Movimientos_2026[[#This Row],[Fecha]])</f>
        <v>3</v>
      </c>
      <c r="C893" s="12" t="str">
        <f>VLOOKUP((WEEKDAY(Movimientos_2026[[#This Row],[Fecha]],2)),'5. Setup'!$D$6:$E$12,2,FALSE)</f>
        <v>Mar</v>
      </c>
      <c r="D893">
        <v>2014212</v>
      </c>
      <c r="E893" t="str">
        <f>IFERROR(+VLOOKUP(Movimientos_2026[[#This Row],[Codigo]],Plan_cuentas[],2,FALSE)," ")</f>
        <v>EGRESOS</v>
      </c>
      <c r="F893" t="str">
        <f>IFERROR(+VLOOKUP(Movimientos_2026[[#This Row],[Codigo]],Plan_cuentas[],3,FALSE)," ")</f>
        <v>BtoB</v>
      </c>
      <c r="G893" t="str">
        <f>IFERROR(+VLOOKUP(Movimientos_2026[[#This Row],[Codigo]],Plan_cuentas[],4,FALSE)," ")</f>
        <v>Rentas</v>
      </c>
      <c r="H893" t="str">
        <f>IFERROR(+VLOOKUP(Movimientos_2026[[#This Row],[Codigo]],Plan_cuentas[],5,FALSE)," ")</f>
        <v>CORRIENTES 2° Q</v>
      </c>
      <c r="I893" s="43">
        <v>46054</v>
      </c>
      <c r="J893" t="s">
        <v>377</v>
      </c>
      <c r="K893" t="str">
        <f>IFERROR(+VLOOKUP(Movimientos_2026[[#This Row],[Codigo]],Plan_cuentas[],6,FALSE)," ")</f>
        <v>2 - PR - Plan Rombo</v>
      </c>
      <c r="L893" s="50"/>
      <c r="M893" s="50">
        <v>5390940.6100000003</v>
      </c>
      <c r="N893" s="20">
        <f>+Movimientos_2026[[#This Row],[Ingresos]]-Movimientos_2026[[#This Row],[Egresos]]</f>
        <v>-5390940.6100000003</v>
      </c>
      <c r="O893" s="20">
        <f>+O892+Movimientos_2026[[#This Row],[Neto]]</f>
        <v>5467017309.3210068</v>
      </c>
    </row>
    <row r="894" spans="1:15" x14ac:dyDescent="0.25">
      <c r="A894" s="13">
        <v>46091</v>
      </c>
      <c r="B894" s="12">
        <f>MONTH(Movimientos_2026[[#This Row],[Fecha]])</f>
        <v>3</v>
      </c>
      <c r="C894" s="12" t="str">
        <f>VLOOKUP((WEEKDAY(Movimientos_2026[[#This Row],[Fecha]],2)),'5. Setup'!$D$6:$E$12,2,FALSE)</f>
        <v>Mar</v>
      </c>
      <c r="D894">
        <v>2014421</v>
      </c>
      <c r="E894" t="str">
        <f>IFERROR(+VLOOKUP(Movimientos_2026[[#This Row],[Codigo]],Plan_cuentas[],2,FALSE)," ")</f>
        <v>EGRESOS</v>
      </c>
      <c r="F894" t="str">
        <f>IFERROR(+VLOOKUP(Movimientos_2026[[#This Row],[Codigo]],Plan_cuentas[],3,FALSE)," ")</f>
        <v>BtoB</v>
      </c>
      <c r="G894" t="str">
        <f>IFERROR(+VLOOKUP(Movimientos_2026[[#This Row],[Codigo]],Plan_cuentas[],4,FALSE)," ")</f>
        <v>Rentas</v>
      </c>
      <c r="H894" t="str">
        <f>IFERROR(+VLOOKUP(Movimientos_2026[[#This Row],[Codigo]],Plan_cuentas[],5,FALSE)," ")</f>
        <v>TUCUMAN</v>
      </c>
      <c r="I894" s="43">
        <v>46054</v>
      </c>
      <c r="J894" t="s">
        <v>378</v>
      </c>
      <c r="K894" t="str">
        <f>IFERROR(+VLOOKUP(Movimientos_2026[[#This Row],[Codigo]],Plan_cuentas[],6,FALSE)," ")</f>
        <v>1 - VW - Volkswagen</v>
      </c>
      <c r="L894" s="50"/>
      <c r="M894" s="52">
        <v>55180333.649999999</v>
      </c>
      <c r="N894" s="20">
        <f>+Movimientos_2026[[#This Row],[Ingresos]]-Movimientos_2026[[#This Row],[Egresos]]</f>
        <v>-55180333.649999999</v>
      </c>
      <c r="O894" s="20">
        <f>+O893+Movimientos_2026[[#This Row],[Neto]]</f>
        <v>5411836975.6710072</v>
      </c>
    </row>
    <row r="895" spans="1:15" x14ac:dyDescent="0.25">
      <c r="A895" s="13">
        <v>46091</v>
      </c>
      <c r="B895" s="12">
        <f>MONTH(Movimientos_2026[[#This Row],[Fecha]])</f>
        <v>3</v>
      </c>
      <c r="C895" s="12" t="str">
        <f>VLOOKUP((WEEKDAY(Movimientos_2026[[#This Row],[Fecha]],2)),'5. Setup'!$D$6:$E$12,2,FALSE)</f>
        <v>Mar</v>
      </c>
      <c r="D895">
        <v>2034241</v>
      </c>
      <c r="E895" t="str">
        <f>IFERROR(+VLOOKUP(Movimientos_2026[[#This Row],[Codigo]],Plan_cuentas[],2,FALSE)," ")</f>
        <v>EGRESOS</v>
      </c>
      <c r="F895" t="str">
        <f>IFERROR(+VLOOKUP(Movimientos_2026[[#This Row],[Codigo]],Plan_cuentas[],3,FALSE)," ")</f>
        <v>Pagos Bco. Provincia</v>
      </c>
      <c r="G895" t="str">
        <f>IFERROR(+VLOOKUP(Movimientos_2026[[#This Row],[Codigo]],Plan_cuentas[],4,FALSE)," ")</f>
        <v>Rentas</v>
      </c>
      <c r="H895" t="str">
        <f>IFERROR(+VLOOKUP(Movimientos_2026[[#This Row],[Codigo]],Plan_cuentas[],5,FALSE)," ")</f>
        <v>FORMOSA</v>
      </c>
      <c r="I895" s="43">
        <v>46054</v>
      </c>
      <c r="J895" t="s">
        <v>379</v>
      </c>
      <c r="K895" t="str">
        <f>IFERROR(+VLOOKUP(Movimientos_2026[[#This Row],[Codigo]],Plan_cuentas[],6,FALSE)," ")</f>
        <v>1 - VW - Volkswagen</v>
      </c>
      <c r="L895" s="50"/>
      <c r="M895" s="50">
        <v>5591498.5</v>
      </c>
      <c r="N895" s="20">
        <f>+Movimientos_2026[[#This Row],[Ingresos]]-Movimientos_2026[[#This Row],[Egresos]]</f>
        <v>-5591498.5</v>
      </c>
      <c r="O895" s="20">
        <f>+O894+Movimientos_2026[[#This Row],[Neto]]</f>
        <v>5406245477.1710072</v>
      </c>
    </row>
    <row r="896" spans="1:15" x14ac:dyDescent="0.25">
      <c r="A896" s="13">
        <v>46091</v>
      </c>
      <c r="B896" s="12">
        <f>MONTH(Movimientos_2026[[#This Row],[Fecha]])</f>
        <v>3</v>
      </c>
      <c r="C896" s="12" t="str">
        <f>VLOOKUP((WEEKDAY(Movimientos_2026[[#This Row],[Fecha]],2)),'5. Setup'!$D$6:$E$12,2,FALSE)</f>
        <v>Mar</v>
      </c>
      <c r="D896">
        <v>2054371</v>
      </c>
      <c r="E896" t="str">
        <f>IFERROR(+VLOOKUP(Movimientos_2026[[#This Row],[Codigo]],Plan_cuentas[],2,FALSE)," ")</f>
        <v>EGRESOS</v>
      </c>
      <c r="F896" t="str">
        <f>IFERROR(+VLOOKUP(Movimientos_2026[[#This Row],[Codigo]],Plan_cuentas[],3,FALSE)," ")</f>
        <v>VEP</v>
      </c>
      <c r="G896" t="str">
        <f>IFERROR(+VLOOKUP(Movimientos_2026[[#This Row],[Codigo]],Plan_cuentas[],4,FALSE)," ")</f>
        <v>Rentas</v>
      </c>
      <c r="H896" t="str">
        <f>IFERROR(+VLOOKUP(Movimientos_2026[[#This Row],[Codigo]],Plan_cuentas[],5,FALSE)," ")</f>
        <v>SANTA CRUZ</v>
      </c>
      <c r="I896" s="43">
        <v>46054</v>
      </c>
      <c r="J896" t="s">
        <v>380</v>
      </c>
      <c r="K896" t="str">
        <f>IFERROR(+VLOOKUP(Movimientos_2026[[#This Row],[Codigo]],Plan_cuentas[],6,FALSE)," ")</f>
        <v>1 - VW - Volkswagen</v>
      </c>
      <c r="L896" s="50"/>
      <c r="M896" s="50">
        <v>36098317.32</v>
      </c>
      <c r="N896" s="20">
        <f>+Movimientos_2026[[#This Row],[Ingresos]]-Movimientos_2026[[#This Row],[Egresos]]</f>
        <v>-36098317.32</v>
      </c>
      <c r="O896" s="20">
        <f>+O895+Movimientos_2026[[#This Row],[Neto]]</f>
        <v>5370147159.8510075</v>
      </c>
    </row>
    <row r="897" spans="1:15" x14ac:dyDescent="0.25">
      <c r="A897" s="13">
        <v>46091</v>
      </c>
      <c r="B897" s="12">
        <f>MONTH(Movimientos_2026[[#This Row],[Fecha]])</f>
        <v>3</v>
      </c>
      <c r="C897" s="12" t="str">
        <f>VLOOKUP((WEEKDAY(Movimientos_2026[[#This Row],[Fecha]],2)),'5. Setup'!$D$6:$E$12,2,FALSE)</f>
        <v>Mar</v>
      </c>
      <c r="D897">
        <v>2054391</v>
      </c>
      <c r="E897" t="str">
        <f>IFERROR(+VLOOKUP(Movimientos_2026[[#This Row],[Codigo]],Plan_cuentas[],2,FALSE)," ")</f>
        <v>EGRESOS</v>
      </c>
      <c r="F897" t="str">
        <f>IFERROR(+VLOOKUP(Movimientos_2026[[#This Row],[Codigo]],Plan_cuentas[],3,FALSE)," ")</f>
        <v>VEP</v>
      </c>
      <c r="G897" t="str">
        <f>IFERROR(+VLOOKUP(Movimientos_2026[[#This Row],[Codigo]],Plan_cuentas[],4,FALSE)," ")</f>
        <v>Rentas</v>
      </c>
      <c r="H897" t="str">
        <f>IFERROR(+VLOOKUP(Movimientos_2026[[#This Row],[Codigo]],Plan_cuentas[],5,FALSE)," ")</f>
        <v>SANTA FE 2° Q</v>
      </c>
      <c r="I897" s="43">
        <v>46054</v>
      </c>
      <c r="J897" t="s">
        <v>381</v>
      </c>
      <c r="K897" t="str">
        <f>IFERROR(+VLOOKUP(Movimientos_2026[[#This Row],[Codigo]],Plan_cuentas[],6,FALSE)," ")</f>
        <v>1 - VW - Volkswagen</v>
      </c>
      <c r="L897" s="50"/>
      <c r="M897" s="50">
        <v>17752426.75</v>
      </c>
      <c r="N897" s="20">
        <f>+Movimientos_2026[[#This Row],[Ingresos]]-Movimientos_2026[[#This Row],[Egresos]]</f>
        <v>-17752426.75</v>
      </c>
      <c r="O897" s="20">
        <f>+O896+Movimientos_2026[[#This Row],[Neto]]</f>
        <v>5352394733.1010075</v>
      </c>
    </row>
    <row r="898" spans="1:15" x14ac:dyDescent="0.25">
      <c r="A898" s="13">
        <v>46091</v>
      </c>
      <c r="B898" s="12">
        <f>MONTH(Movimientos_2026[[#This Row],[Fecha]])</f>
        <v>3</v>
      </c>
      <c r="C898" s="12" t="str">
        <f>VLOOKUP((WEEKDAY(Movimientos_2026[[#This Row],[Fecha]],2)),'5. Setup'!$D$6:$E$12,2,FALSE)</f>
        <v>Mar</v>
      </c>
      <c r="D898">
        <v>2014271</v>
      </c>
      <c r="E898" t="str">
        <f>IFERROR(+VLOOKUP(Movimientos_2026[[#This Row],[Codigo]],Plan_cuentas[],2,FALSE)," ")</f>
        <v>EGRESOS</v>
      </c>
      <c r="F898" t="str">
        <f>IFERROR(+VLOOKUP(Movimientos_2026[[#This Row],[Codigo]],Plan_cuentas[],3,FALSE)," ")</f>
        <v>BtoB</v>
      </c>
      <c r="G898" t="str">
        <f>IFERROR(+VLOOKUP(Movimientos_2026[[#This Row],[Codigo]],Plan_cuentas[],4,FALSE)," ")</f>
        <v>Rentas</v>
      </c>
      <c r="H898" t="str">
        <f>IFERROR(+VLOOKUP(Movimientos_2026[[#This Row],[Codigo]],Plan_cuentas[],5,FALSE)," ")</f>
        <v>LA RIOJA</v>
      </c>
      <c r="I898" s="43">
        <v>46054</v>
      </c>
      <c r="J898" t="s">
        <v>382</v>
      </c>
      <c r="K898" t="str">
        <f>IFERROR(+VLOOKUP(Movimientos_2026[[#This Row],[Codigo]],Plan_cuentas[],6,FALSE)," ")</f>
        <v>1 - VW - Volkswagen</v>
      </c>
      <c r="L898" s="50"/>
      <c r="M898" s="50">
        <v>17678984.16</v>
      </c>
      <c r="N898" s="20">
        <f>+Movimientos_2026[[#This Row],[Ingresos]]-Movimientos_2026[[#This Row],[Egresos]]</f>
        <v>-17678984.16</v>
      </c>
      <c r="O898" s="20">
        <f>+O897+Movimientos_2026[[#This Row],[Neto]]</f>
        <v>5334715748.9410076</v>
      </c>
    </row>
    <row r="899" spans="1:15" x14ac:dyDescent="0.25">
      <c r="A899" s="13">
        <v>46091</v>
      </c>
      <c r="B899" s="12">
        <f>MONTH(Movimientos_2026[[#This Row],[Fecha]])</f>
        <v>3</v>
      </c>
      <c r="C899" s="12" t="str">
        <f>VLOOKUP((WEEKDAY(Movimientos_2026[[#This Row],[Fecha]],2)),'5. Setup'!$D$6:$E$12,2,FALSE)</f>
        <v>Mar</v>
      </c>
      <c r="D899">
        <v>2054281</v>
      </c>
      <c r="E899" t="str">
        <f>IFERROR(+VLOOKUP(Movimientos_2026[[#This Row],[Codigo]],Plan_cuentas[],2,FALSE)," ")</f>
        <v>EGRESOS</v>
      </c>
      <c r="F899" t="str">
        <f>IFERROR(+VLOOKUP(Movimientos_2026[[#This Row],[Codigo]],Plan_cuentas[],3,FALSE)," ")</f>
        <v>VEP</v>
      </c>
      <c r="G899" t="str">
        <f>IFERROR(+VLOOKUP(Movimientos_2026[[#This Row],[Codigo]],Plan_cuentas[],4,FALSE)," ")</f>
        <v>Rentas</v>
      </c>
      <c r="H899" t="str">
        <f>IFERROR(+VLOOKUP(Movimientos_2026[[#This Row],[Codigo]],Plan_cuentas[],5,FALSE)," ")</f>
        <v>MENDOZA</v>
      </c>
      <c r="I899" s="43">
        <v>46054</v>
      </c>
      <c r="J899" t="s">
        <v>383</v>
      </c>
      <c r="K899" t="str">
        <f>IFERROR(+VLOOKUP(Movimientos_2026[[#This Row],[Codigo]],Plan_cuentas[],6,FALSE)," ")</f>
        <v>1 - VW - Volkswagen</v>
      </c>
      <c r="L899" s="50"/>
      <c r="M899" s="50">
        <v>40745807.840000004</v>
      </c>
      <c r="N899" s="20">
        <f>+Movimientos_2026[[#This Row],[Ingresos]]-Movimientos_2026[[#This Row],[Egresos]]</f>
        <v>-40745807.840000004</v>
      </c>
      <c r="O899" s="20">
        <f>+O898+Movimientos_2026[[#This Row],[Neto]]</f>
        <v>5293969941.1010075</v>
      </c>
    </row>
    <row r="900" spans="1:15" x14ac:dyDescent="0.25">
      <c r="A900" s="13">
        <v>46091</v>
      </c>
      <c r="B900" s="12">
        <f>MONTH(Movimientos_2026[[#This Row],[Fecha]])</f>
        <v>3</v>
      </c>
      <c r="C900" s="12" t="str">
        <f>VLOOKUP((WEEKDAY(Movimientos_2026[[#This Row],[Fecha]],2)),'5. Setup'!$D$6:$E$12,2,FALSE)</f>
        <v>Mar</v>
      </c>
      <c r="D900">
        <v>2054282</v>
      </c>
      <c r="E900" t="str">
        <f>IFERROR(+VLOOKUP(Movimientos_2026[[#This Row],[Codigo]],Plan_cuentas[],2,FALSE)," ")</f>
        <v>EGRESOS</v>
      </c>
      <c r="F900" t="str">
        <f>IFERROR(+VLOOKUP(Movimientos_2026[[#This Row],[Codigo]],Plan_cuentas[],3,FALSE)," ")</f>
        <v>VEP</v>
      </c>
      <c r="G900" t="str">
        <f>IFERROR(+VLOOKUP(Movimientos_2026[[#This Row],[Codigo]],Plan_cuentas[],4,FALSE)," ")</f>
        <v>Rentas</v>
      </c>
      <c r="H900" t="str">
        <f>IFERROR(+VLOOKUP(Movimientos_2026[[#This Row],[Codigo]],Plan_cuentas[],5,FALSE)," ")</f>
        <v>MENDOZA</v>
      </c>
      <c r="I900" s="43">
        <v>46054</v>
      </c>
      <c r="J900" t="s">
        <v>384</v>
      </c>
      <c r="K900" t="str">
        <f>IFERROR(+VLOOKUP(Movimientos_2026[[#This Row],[Codigo]],Plan_cuentas[],6,FALSE)," ")</f>
        <v>2 - PR - Plan Rombo</v>
      </c>
      <c r="L900" s="50"/>
      <c r="M900" s="50">
        <v>45209300</v>
      </c>
      <c r="N900" s="20">
        <f>+Movimientos_2026[[#This Row],[Ingresos]]-Movimientos_2026[[#This Row],[Egresos]]</f>
        <v>-45209300</v>
      </c>
      <c r="O900" s="20">
        <f>+O899+Movimientos_2026[[#This Row],[Neto]]</f>
        <v>5248760641.1010075</v>
      </c>
    </row>
    <row r="901" spans="1:15" x14ac:dyDescent="0.25">
      <c r="A901" s="13">
        <v>46091</v>
      </c>
      <c r="B901" s="12">
        <f>MONTH(Movimientos_2026[[#This Row],[Fecha]])</f>
        <v>3</v>
      </c>
      <c r="C901" s="12" t="str">
        <f>VLOOKUP((WEEKDAY(Movimientos_2026[[#This Row],[Fecha]],2)),'5. Setup'!$D$6:$E$12,2,FALSE)</f>
        <v>Mar</v>
      </c>
      <c r="D901">
        <v>2054287</v>
      </c>
      <c r="E901" t="str">
        <f>IFERROR(+VLOOKUP(Movimientos_2026[[#This Row],[Codigo]],Plan_cuentas[],2,FALSE)," ")</f>
        <v>EGRESOS</v>
      </c>
      <c r="F901" t="str">
        <f>IFERROR(+VLOOKUP(Movimientos_2026[[#This Row],[Codigo]],Plan_cuentas[],3,FALSE)," ")</f>
        <v>VEP</v>
      </c>
      <c r="G901" t="str">
        <f>IFERROR(+VLOOKUP(Movimientos_2026[[#This Row],[Codigo]],Plan_cuentas[],4,FALSE)," ")</f>
        <v>Rentas</v>
      </c>
      <c r="H901" t="str">
        <f>IFERROR(+VLOOKUP(Movimientos_2026[[#This Row],[Codigo]],Plan_cuentas[],5,FALSE)," ")</f>
        <v>MENDOZA</v>
      </c>
      <c r="I901" s="43">
        <v>46054</v>
      </c>
      <c r="J901" t="s">
        <v>384</v>
      </c>
      <c r="K901" t="str">
        <f>IFERROR(+VLOOKUP(Movimientos_2026[[#This Row],[Codigo]],Plan_cuentas[],6,FALSE)," ")</f>
        <v>7 - PRtr - Plan Rombo Transf.</v>
      </c>
      <c r="L901" s="50"/>
      <c r="M901" s="50">
        <v>11000</v>
      </c>
      <c r="N901" s="20">
        <f>+Movimientos_2026[[#This Row],[Ingresos]]-Movimientos_2026[[#This Row],[Egresos]]</f>
        <v>-11000</v>
      </c>
      <c r="O901" s="20">
        <f>+O900+Movimientos_2026[[#This Row],[Neto]]</f>
        <v>5248749641.1010075</v>
      </c>
    </row>
    <row r="902" spans="1:15" x14ac:dyDescent="0.25">
      <c r="A902" s="13">
        <v>46091</v>
      </c>
      <c r="B902" s="12">
        <f>MONTH(Movimientos_2026[[#This Row],[Fecha]])</f>
        <v>3</v>
      </c>
      <c r="C902" s="12" t="str">
        <f>VLOOKUP((WEEKDAY(Movimientos_2026[[#This Row],[Fecha]],2)),'5. Setup'!$D$6:$E$12,2,FALSE)</f>
        <v>Mar</v>
      </c>
      <c r="D902">
        <v>2054284</v>
      </c>
      <c r="E902" t="str">
        <f>IFERROR(+VLOOKUP(Movimientos_2026[[#This Row],[Codigo]],Plan_cuentas[],2,FALSE)," ")</f>
        <v>EGRESOS</v>
      </c>
      <c r="F902" t="str">
        <f>IFERROR(+VLOOKUP(Movimientos_2026[[#This Row],[Codigo]],Plan_cuentas[],3,FALSE)," ")</f>
        <v>VEP</v>
      </c>
      <c r="G902" t="str">
        <f>IFERROR(+VLOOKUP(Movimientos_2026[[#This Row],[Codigo]],Plan_cuentas[],4,FALSE)," ")</f>
        <v>Rentas</v>
      </c>
      <c r="H902" t="str">
        <f>IFERROR(+VLOOKUP(Movimientos_2026[[#This Row],[Codigo]],Plan_cuentas[],5,FALSE)," ")</f>
        <v>MENDOZA</v>
      </c>
      <c r="I902" s="43">
        <v>46054</v>
      </c>
      <c r="J902" t="s">
        <v>385</v>
      </c>
      <c r="K902" t="str">
        <f>IFERROR(+VLOOKUP(Movimientos_2026[[#This Row],[Codigo]],Plan_cuentas[],6,FALSE)," ")</f>
        <v>4 - FCA - Fiat</v>
      </c>
      <c r="L902" s="50"/>
      <c r="M902" s="50">
        <v>149456300</v>
      </c>
      <c r="N902" s="20">
        <f>+Movimientos_2026[[#This Row],[Ingresos]]-Movimientos_2026[[#This Row],[Egresos]]</f>
        <v>-149456300</v>
      </c>
      <c r="O902" s="20">
        <f>+O900+Movimientos_2026[[#This Row],[Neto]]</f>
        <v>5099304341.1010075</v>
      </c>
    </row>
    <row r="903" spans="1:15" x14ac:dyDescent="0.25">
      <c r="A903" s="13">
        <v>46091</v>
      </c>
      <c r="B903" s="12">
        <f>MONTH(Movimientos_2026[[#This Row],[Fecha]])</f>
        <v>3</v>
      </c>
      <c r="C903" s="12" t="str">
        <f>VLOOKUP((WEEKDAY(Movimientos_2026[[#This Row],[Fecha]],2)),'5. Setup'!$D$6:$E$12,2,FALSE)</f>
        <v>Mar</v>
      </c>
      <c r="D903">
        <v>2054286</v>
      </c>
      <c r="E903" t="str">
        <f>IFERROR(+VLOOKUP(Movimientos_2026[[#This Row],[Codigo]],Plan_cuentas[],2,FALSE)," ")</f>
        <v>EGRESOS</v>
      </c>
      <c r="F903" t="str">
        <f>IFERROR(+VLOOKUP(Movimientos_2026[[#This Row],[Codigo]],Plan_cuentas[],3,FALSE)," ")</f>
        <v>VEP</v>
      </c>
      <c r="G903" t="str">
        <f>IFERROR(+VLOOKUP(Movimientos_2026[[#This Row],[Codigo]],Plan_cuentas[],4,FALSE)," ")</f>
        <v>Rentas</v>
      </c>
      <c r="H903" t="str">
        <f>IFERROR(+VLOOKUP(Movimientos_2026[[#This Row],[Codigo]],Plan_cuentas[],5,FALSE)," ")</f>
        <v>MENDOZA</v>
      </c>
      <c r="I903" s="43">
        <v>46054</v>
      </c>
      <c r="J903" t="s">
        <v>385</v>
      </c>
      <c r="K903" t="str">
        <f>IFERROR(+VLOOKUP(Movimientos_2026[[#This Row],[Codigo]],Plan_cuentas[],6,FALSE)," ")</f>
        <v>6 - FCAtr - Fiat Transf.</v>
      </c>
      <c r="L903" s="50"/>
      <c r="M903" s="50">
        <v>3057599.79</v>
      </c>
      <c r="N903" s="20">
        <f>+Movimientos_2026[[#This Row],[Ingresos]]-Movimientos_2026[[#This Row],[Egresos]]</f>
        <v>-3057599.79</v>
      </c>
      <c r="O903" s="20">
        <f>+O902+Movimientos_2026[[#This Row],[Neto]]</f>
        <v>5096246741.3110075</v>
      </c>
    </row>
    <row r="904" spans="1:15" x14ac:dyDescent="0.25">
      <c r="A904" s="13">
        <v>46091</v>
      </c>
      <c r="B904" s="12">
        <f>MONTH(Movimientos_2026[[#This Row],[Fecha]])</f>
        <v>3</v>
      </c>
      <c r="C904" s="12" t="str">
        <f>VLOOKUP((WEEKDAY(Movimientos_2026[[#This Row],[Fecha]],2)),'5. Setup'!$D$6:$E$12,2,FALSE)</f>
        <v>Mar</v>
      </c>
      <c r="D904">
        <v>2054285</v>
      </c>
      <c r="E904" t="str">
        <f>IFERROR(+VLOOKUP(Movimientos_2026[[#This Row],[Codigo]],Plan_cuentas[],2,FALSE)," ")</f>
        <v>EGRESOS</v>
      </c>
      <c r="F904" t="str">
        <f>IFERROR(+VLOOKUP(Movimientos_2026[[#This Row],[Codigo]],Plan_cuentas[],3,FALSE)," ")</f>
        <v>VEP</v>
      </c>
      <c r="G904" t="str">
        <f>IFERROR(+VLOOKUP(Movimientos_2026[[#This Row],[Codigo]],Plan_cuentas[],4,FALSE)," ")</f>
        <v>Rentas</v>
      </c>
      <c r="H904" t="str">
        <f>IFERROR(+VLOOKUP(Movimientos_2026[[#This Row],[Codigo]],Plan_cuentas[],5,FALSE)," ")</f>
        <v>MENDOZA</v>
      </c>
      <c r="I904" s="43">
        <v>46054</v>
      </c>
      <c r="J904" t="s">
        <v>386</v>
      </c>
      <c r="K904" t="str">
        <f>IFERROR(+VLOOKUP(Movimientos_2026[[#This Row],[Codigo]],Plan_cuentas[],6,FALSE)," ")</f>
        <v>5 - YAM - Yamaha</v>
      </c>
      <c r="L904" s="50"/>
      <c r="M904" s="50">
        <v>343220</v>
      </c>
      <c r="N904" s="20">
        <f>+Movimientos_2026[[#This Row],[Ingresos]]-Movimientos_2026[[#This Row],[Egresos]]</f>
        <v>-343220</v>
      </c>
      <c r="O904" s="20">
        <f>+O903+Movimientos_2026[[#This Row],[Neto]]</f>
        <v>5095903521.3110075</v>
      </c>
    </row>
    <row r="905" spans="1:15" x14ac:dyDescent="0.25">
      <c r="A905" s="13">
        <v>46091</v>
      </c>
      <c r="B905" s="12">
        <f>MONTH(Movimientos_2026[[#This Row],[Fecha]])</f>
        <v>3</v>
      </c>
      <c r="C905" s="12" t="str">
        <f>VLOOKUP((WEEKDAY(Movimientos_2026[[#This Row],[Fecha]],2)),'5. Setup'!$D$6:$E$12,2,FALSE)</f>
        <v>Mar</v>
      </c>
      <c r="D905">
        <v>2044462</v>
      </c>
      <c r="E905" t="str">
        <f>IFERROR(+VLOOKUP(Movimientos_2026[[#This Row],[Codigo]],Plan_cuentas[],2,FALSE)," ")</f>
        <v>EGRESOS</v>
      </c>
      <c r="F905" t="str">
        <f>IFERROR(+VLOOKUP(Movimientos_2026[[#This Row],[Codigo]],Plan_cuentas[],3,FALSE)," ")</f>
        <v>Transferencia</v>
      </c>
      <c r="G905" t="str">
        <f>IFERROR(+VLOOKUP(Movimientos_2026[[#This Row],[Codigo]],Plan_cuentas[],4,FALSE)," ")</f>
        <v>Rentas</v>
      </c>
      <c r="H905" t="str">
        <f>IFERROR(+VLOOKUP(Movimientos_2026[[#This Row],[Codigo]],Plan_cuentas[],5,FALSE)," ")</f>
        <v>MISIONES</v>
      </c>
      <c r="I905" s="43">
        <v>46054</v>
      </c>
      <c r="J905" t="s">
        <v>387</v>
      </c>
      <c r="K905" t="str">
        <f>IFERROR(+VLOOKUP(Movimientos_2026[[#This Row],[Codigo]],Plan_cuentas[],6,FALSE)," ")</f>
        <v>2 - PR - Plan Rombo</v>
      </c>
      <c r="L905" s="50"/>
      <c r="M905" s="50">
        <v>2649452.61</v>
      </c>
      <c r="N905" s="20">
        <f>+Movimientos_2026[[#This Row],[Ingresos]]-Movimientos_2026[[#This Row],[Egresos]]</f>
        <v>-2649452.61</v>
      </c>
      <c r="O905" s="20">
        <f>+O904+Movimientos_2026[[#This Row],[Neto]]</f>
        <v>5093254068.7010078</v>
      </c>
    </row>
    <row r="906" spans="1:15" x14ac:dyDescent="0.25">
      <c r="A906" s="13">
        <v>46091</v>
      </c>
      <c r="B906" s="12">
        <f>MONTH(Movimientos_2026[[#This Row],[Fecha]])</f>
        <v>3</v>
      </c>
      <c r="C906" s="12" t="str">
        <f>VLOOKUP((WEEKDAY(Movimientos_2026[[#This Row],[Fecha]],2)),'5. Setup'!$D$6:$E$12,2,FALSE)</f>
        <v>Mar</v>
      </c>
      <c r="D906">
        <v>2034234</v>
      </c>
      <c r="E906" t="str">
        <f>IFERROR(+VLOOKUP(Movimientos_2026[[#This Row],[Codigo]],Plan_cuentas[],2,FALSE)," ")</f>
        <v>EGRESOS</v>
      </c>
      <c r="F906" t="str">
        <f>IFERROR(+VLOOKUP(Movimientos_2026[[#This Row],[Codigo]],Plan_cuentas[],3,FALSE)," ")</f>
        <v>Pagos Bco. Provincia</v>
      </c>
      <c r="G906" t="str">
        <f>IFERROR(+VLOOKUP(Movimientos_2026[[#This Row],[Codigo]],Plan_cuentas[],4,FALSE)," ")</f>
        <v>Rentas</v>
      </c>
      <c r="H906" t="str">
        <f>IFERROR(+VLOOKUP(Movimientos_2026[[#This Row],[Codigo]],Plan_cuentas[],5,FALSE)," ")</f>
        <v>ENTRE RIOS 2° Q</v>
      </c>
      <c r="I906" s="43">
        <v>46054</v>
      </c>
      <c r="J906" t="s">
        <v>388</v>
      </c>
      <c r="K906" t="str">
        <f>IFERROR(+VLOOKUP(Movimientos_2026[[#This Row],[Codigo]],Plan_cuentas[],6,FALSE)," ")</f>
        <v>4 - FCA - Fiat</v>
      </c>
      <c r="L906" s="50"/>
      <c r="M906" s="50">
        <v>23611223.399999999</v>
      </c>
      <c r="N906" s="20">
        <f>+Movimientos_2026[[#This Row],[Ingresos]]-Movimientos_2026[[#This Row],[Egresos]]</f>
        <v>-23611223.399999999</v>
      </c>
      <c r="O906" s="20">
        <f>+O904+Movimientos_2026[[#This Row],[Neto]]</f>
        <v>5072292297.9110079</v>
      </c>
    </row>
    <row r="907" spans="1:15" x14ac:dyDescent="0.25">
      <c r="A907" s="13">
        <v>46091</v>
      </c>
      <c r="B907" s="12">
        <f>MONTH(Movimientos_2026[[#This Row],[Fecha]])</f>
        <v>3</v>
      </c>
      <c r="C907" s="12" t="str">
        <f>VLOOKUP((WEEKDAY(Movimientos_2026[[#This Row],[Fecha]],2)),'5. Setup'!$D$6:$E$12,2,FALSE)</f>
        <v>Mar</v>
      </c>
      <c r="D907">
        <v>2044465</v>
      </c>
      <c r="E907" t="str">
        <f>IFERROR(+VLOOKUP(Movimientos_2026[[#This Row],[Codigo]],Plan_cuentas[],2,FALSE)," ")</f>
        <v>EGRESOS</v>
      </c>
      <c r="F907" t="str">
        <f>IFERROR(+VLOOKUP(Movimientos_2026[[#This Row],[Codigo]],Plan_cuentas[],3,FALSE)," ")</f>
        <v>Transferencia</v>
      </c>
      <c r="G907" t="str">
        <f>IFERROR(+VLOOKUP(Movimientos_2026[[#This Row],[Codigo]],Plan_cuentas[],4,FALSE)," ")</f>
        <v>Rentas</v>
      </c>
      <c r="H907" t="str">
        <f>IFERROR(+VLOOKUP(Movimientos_2026[[#This Row],[Codigo]],Plan_cuentas[],5,FALSE)," ")</f>
        <v>MISIONES</v>
      </c>
      <c r="I907" s="43">
        <v>46054</v>
      </c>
      <c r="J907" t="s">
        <v>389</v>
      </c>
      <c r="K907" t="str">
        <f>IFERROR(+VLOOKUP(Movimientos_2026[[#This Row],[Codigo]],Plan_cuentas[],6,FALSE)," ")</f>
        <v>5 - YAM - Yamaha</v>
      </c>
      <c r="L907" s="50"/>
      <c r="M907" s="52">
        <v>952711.35</v>
      </c>
      <c r="N907" s="20">
        <f>+Movimientos_2026[[#This Row],[Ingresos]]-Movimientos_2026[[#This Row],[Egresos]]</f>
        <v>-952711.35</v>
      </c>
      <c r="O907" s="20">
        <f>+O906+Movimientos_2026[[#This Row],[Neto]]</f>
        <v>5071339586.5610075</v>
      </c>
    </row>
    <row r="908" spans="1:15" x14ac:dyDescent="0.25">
      <c r="A908" s="13">
        <v>46092</v>
      </c>
      <c r="B908" s="12">
        <f>MONTH(Movimientos_2026[[#This Row],[Fecha]])</f>
        <v>3</v>
      </c>
      <c r="C908" s="12" t="str">
        <f>VLOOKUP((WEEKDAY(Movimientos_2026[[#This Row],[Fecha]],2)),'5. Setup'!$D$6:$E$12,2,FALSE)</f>
        <v>Mie</v>
      </c>
      <c r="D908">
        <v>2054312</v>
      </c>
      <c r="E908" t="str">
        <f>IFERROR(+VLOOKUP(Movimientos_2026[[#This Row],[Codigo]],Plan_cuentas[],2,FALSE)," ")</f>
        <v>EGRESOS</v>
      </c>
      <c r="F908" t="str">
        <f>IFERROR(+VLOOKUP(Movimientos_2026[[#This Row],[Codigo]],Plan_cuentas[],3,FALSE)," ")</f>
        <v>VEP</v>
      </c>
      <c r="G908" t="str">
        <f>IFERROR(+VLOOKUP(Movimientos_2026[[#This Row],[Codigo]],Plan_cuentas[],4,FALSE)," ")</f>
        <v>Rentas</v>
      </c>
      <c r="H908" t="str">
        <f>IFERROR(+VLOOKUP(Movimientos_2026[[#This Row],[Codigo]],Plan_cuentas[],5,FALSE)," ")</f>
        <v>NEUQUEN 1° Q</v>
      </c>
      <c r="I908" s="43">
        <v>45689</v>
      </c>
      <c r="J908" t="s">
        <v>390</v>
      </c>
      <c r="K908" t="str">
        <f>IFERROR(+VLOOKUP(Movimientos_2026[[#This Row],[Codigo]],Plan_cuentas[],6,FALSE)," ")</f>
        <v>2 - PR - Plan Rombo</v>
      </c>
      <c r="L908" s="50"/>
      <c r="M908" s="50">
        <v>7133786</v>
      </c>
      <c r="N908" s="20">
        <f>+Movimientos_2026[[#This Row],[Ingresos]]-Movimientos_2026[[#This Row],[Egresos]]</f>
        <v>-7133786</v>
      </c>
      <c r="O908" s="20">
        <f>+O907+Movimientos_2026[[#This Row],[Neto]]</f>
        <v>5064205800.5610075</v>
      </c>
    </row>
    <row r="909" spans="1:15" x14ac:dyDescent="0.25">
      <c r="A909" s="13">
        <v>46092</v>
      </c>
      <c r="B909" s="12">
        <f>MONTH(Movimientos_2026[[#This Row],[Fecha]])</f>
        <v>3</v>
      </c>
      <c r="C909" s="12" t="str">
        <f>VLOOKUP((WEEKDAY(Movimientos_2026[[#This Row],[Fecha]],2)),'5. Setup'!$D$6:$E$12,2,FALSE)</f>
        <v>Mie</v>
      </c>
      <c r="D909">
        <v>2044463</v>
      </c>
      <c r="E909" t="str">
        <f>IFERROR(+VLOOKUP(Movimientos_2026[[#This Row],[Codigo]],Plan_cuentas[],2,FALSE)," ")</f>
        <v>EGRESOS</v>
      </c>
      <c r="F909" t="str">
        <f>IFERROR(+VLOOKUP(Movimientos_2026[[#This Row],[Codigo]],Plan_cuentas[],3,FALSE)," ")</f>
        <v>Transferencia</v>
      </c>
      <c r="G909" t="str">
        <f>IFERROR(+VLOOKUP(Movimientos_2026[[#This Row],[Codigo]],Plan_cuentas[],4,FALSE)," ")</f>
        <v>Rentas</v>
      </c>
      <c r="H909" t="str">
        <f>IFERROR(+VLOOKUP(Movimientos_2026[[#This Row],[Codigo]],Plan_cuentas[],5,FALSE)," ")</f>
        <v>MISIONES</v>
      </c>
      <c r="I909" s="43">
        <v>46054</v>
      </c>
      <c r="J909" t="s">
        <v>391</v>
      </c>
      <c r="K909" t="str">
        <f>IFERROR(+VLOOKUP(Movimientos_2026[[#This Row],[Codigo]],Plan_cuentas[],6,FALSE)," ")</f>
        <v>3 - GM - Chevrolet</v>
      </c>
      <c r="L909" s="50"/>
      <c r="M909" s="50">
        <v>2538041.08</v>
      </c>
      <c r="N909" s="20">
        <f>+Movimientos_2026[[#This Row],[Ingresos]]-Movimientos_2026[[#This Row],[Egresos]]</f>
        <v>-2538041.08</v>
      </c>
      <c r="O909" s="20">
        <f>+O908+Movimientos_2026[[#This Row],[Neto]]</f>
        <v>5061667759.4810076</v>
      </c>
    </row>
    <row r="910" spans="1:15" x14ac:dyDescent="0.25">
      <c r="A910" s="13">
        <v>46092</v>
      </c>
      <c r="B910" s="12">
        <f>MONTH(Movimientos_2026[[#This Row],[Fecha]])</f>
        <v>3</v>
      </c>
      <c r="C910" s="12" t="str">
        <f>VLOOKUP((WEEKDAY(Movimientos_2026[[#This Row],[Fecha]],2)),'5. Setup'!$D$6:$E$12,2,FALSE)</f>
        <v>Mie</v>
      </c>
      <c r="D910">
        <v>1043153</v>
      </c>
      <c r="E910" t="str">
        <f>IFERROR(+VLOOKUP(Movimientos_2026[[#This Row],[Codigo]],Plan_cuentas[],2,FALSE)," ")</f>
        <v>INGRESOS</v>
      </c>
      <c r="F910" t="str">
        <f>IFERROR(+VLOOKUP(Movimientos_2026[[#This Row],[Codigo]],Plan_cuentas[],3,FALSE)," ")</f>
        <v>Transferencia</v>
      </c>
      <c r="G910" t="str">
        <f>IFERROR(+VLOOKUP(Movimientos_2026[[#This Row],[Codigo]],Plan_cuentas[],4,FALSE)," ")</f>
        <v>Registración</v>
      </c>
      <c r="H910" t="str">
        <f>IFERROR(+VLOOKUP(Movimientos_2026[[#This Row],[Codigo]],Plan_cuentas[],5,FALSE)," ")</f>
        <v>CABA</v>
      </c>
      <c r="I910" s="43">
        <v>46054</v>
      </c>
      <c r="J910" t="s">
        <v>392</v>
      </c>
      <c r="K910" t="str">
        <f>IFERROR(+VLOOKUP(Movimientos_2026[[#This Row],[Codigo]],Plan_cuentas[],6,FALSE)," ")</f>
        <v>3 - GM - Chevrolet</v>
      </c>
      <c r="L910" s="50">
        <v>45898434.810000002</v>
      </c>
      <c r="M910" s="50"/>
      <c r="N910" s="20">
        <f>+Movimientos_2026[[#This Row],[Ingresos]]-Movimientos_2026[[#This Row],[Egresos]]</f>
        <v>45898434.810000002</v>
      </c>
      <c r="O910" s="20">
        <f>+O909+Movimientos_2026[[#This Row],[Neto]]</f>
        <v>5107566194.291008</v>
      </c>
    </row>
    <row r="911" spans="1:15" x14ac:dyDescent="0.25">
      <c r="A911" s="13">
        <v>46092</v>
      </c>
      <c r="B911" s="12">
        <f>MONTH(Movimientos_2026[[#This Row],[Fecha]])</f>
        <v>3</v>
      </c>
      <c r="C911" s="12" t="str">
        <f>VLOOKUP((WEEKDAY(Movimientos_2026[[#This Row],[Fecha]],2)),'5. Setup'!$D$6:$E$12,2,FALSE)</f>
        <v>Mie</v>
      </c>
      <c r="D911">
        <v>1043223</v>
      </c>
      <c r="E911" t="str">
        <f>IFERROR(+VLOOKUP(Movimientos_2026[[#This Row],[Codigo]],Plan_cuentas[],2,FALSE)," ")</f>
        <v>INGRESOS</v>
      </c>
      <c r="F911" t="str">
        <f>IFERROR(+VLOOKUP(Movimientos_2026[[#This Row],[Codigo]],Plan_cuentas[],3,FALSE)," ")</f>
        <v>Transferencia</v>
      </c>
      <c r="G911" t="str">
        <f>IFERROR(+VLOOKUP(Movimientos_2026[[#This Row],[Codigo]],Plan_cuentas[],4,FALSE)," ")</f>
        <v>Registración</v>
      </c>
      <c r="H911" t="str">
        <f>IFERROR(+VLOOKUP(Movimientos_2026[[#This Row],[Codigo]],Plan_cuentas[],5,FALSE)," ")</f>
        <v>ENTRE RIOS 1° Q</v>
      </c>
      <c r="I911" s="43">
        <v>46054</v>
      </c>
      <c r="J911" t="s">
        <v>392</v>
      </c>
      <c r="K911" t="str">
        <f>IFERROR(+VLOOKUP(Movimientos_2026[[#This Row],[Codigo]],Plan_cuentas[],6,FALSE)," ")</f>
        <v>3 - GM - Chevrolet</v>
      </c>
      <c r="L911" s="50">
        <v>16396231.550000001</v>
      </c>
      <c r="M911" s="50"/>
      <c r="N911" s="20">
        <f>+Movimientos_2026[[#This Row],[Ingresos]]-Movimientos_2026[[#This Row],[Egresos]]</f>
        <v>16396231.550000001</v>
      </c>
      <c r="O911" s="20">
        <f>+O910+Movimientos_2026[[#This Row],[Neto]]</f>
        <v>5123962425.8410082</v>
      </c>
    </row>
    <row r="912" spans="1:15" x14ac:dyDescent="0.25">
      <c r="A912" s="13">
        <v>46092</v>
      </c>
      <c r="B912" s="12">
        <f>MONTH(Movimientos_2026[[#This Row],[Fecha]])</f>
        <v>3</v>
      </c>
      <c r="C912" s="12" t="str">
        <f>VLOOKUP((WEEKDAY(Movimientos_2026[[#This Row],[Fecha]],2)),'5. Setup'!$D$6:$E$12,2,FALSE)</f>
        <v>Mie</v>
      </c>
      <c r="D912">
        <v>1043233</v>
      </c>
      <c r="E912" t="str">
        <f>IFERROR(+VLOOKUP(Movimientos_2026[[#This Row],[Codigo]],Plan_cuentas[],2,FALSE)," ")</f>
        <v>INGRESOS</v>
      </c>
      <c r="F912" t="str">
        <f>IFERROR(+VLOOKUP(Movimientos_2026[[#This Row],[Codigo]],Plan_cuentas[],3,FALSE)," ")</f>
        <v>Transferencia</v>
      </c>
      <c r="G912" t="str">
        <f>IFERROR(+VLOOKUP(Movimientos_2026[[#This Row],[Codigo]],Plan_cuentas[],4,FALSE)," ")</f>
        <v>Registración</v>
      </c>
      <c r="H912" t="str">
        <f>IFERROR(+VLOOKUP(Movimientos_2026[[#This Row],[Codigo]],Plan_cuentas[],5,FALSE)," ")</f>
        <v>ENTRE RIOS 2° Q</v>
      </c>
      <c r="I912" s="43">
        <v>46054</v>
      </c>
      <c r="J912" t="s">
        <v>392</v>
      </c>
      <c r="K912" t="str">
        <f>IFERROR(+VLOOKUP(Movimientos_2026[[#This Row],[Codigo]],Plan_cuentas[],6,FALSE)," ")</f>
        <v>3 - GM - Chevrolet</v>
      </c>
      <c r="L912" s="50">
        <v>16396231.550000001</v>
      </c>
      <c r="M912" s="50"/>
      <c r="N912" s="20">
        <f>+Movimientos_2026[[#This Row],[Ingresos]]-Movimientos_2026[[#This Row],[Egresos]]</f>
        <v>16396231.550000001</v>
      </c>
      <c r="O912" s="20">
        <f>+O911+Movimientos_2026[[#This Row],[Neto]]</f>
        <v>5140358657.3910084</v>
      </c>
    </row>
    <row r="913" spans="1:15" x14ac:dyDescent="0.25">
      <c r="A913" s="13">
        <v>46092</v>
      </c>
      <c r="B913" s="12">
        <f>MONTH(Movimientos_2026[[#This Row],[Fecha]])</f>
        <v>3</v>
      </c>
      <c r="C913" s="12" t="str">
        <f>VLOOKUP((WEEKDAY(Movimientos_2026[[#This Row],[Fecha]],2)),'5. Setup'!$D$6:$E$12,2,FALSE)</f>
        <v>Mie</v>
      </c>
      <c r="D913">
        <v>1043383</v>
      </c>
      <c r="E913" t="str">
        <f>IFERROR(+VLOOKUP(Movimientos_2026[[#This Row],[Codigo]],Plan_cuentas[],2,FALSE)," ")</f>
        <v>INGRESOS</v>
      </c>
      <c r="F913" t="str">
        <f>IFERROR(+VLOOKUP(Movimientos_2026[[#This Row],[Codigo]],Plan_cuentas[],3,FALSE)," ")</f>
        <v>Transferencia</v>
      </c>
      <c r="G913" t="str">
        <f>IFERROR(+VLOOKUP(Movimientos_2026[[#This Row],[Codigo]],Plan_cuentas[],4,FALSE)," ")</f>
        <v>Registración</v>
      </c>
      <c r="H913" t="str">
        <f>IFERROR(+VLOOKUP(Movimientos_2026[[#This Row],[Codigo]],Plan_cuentas[],5,FALSE)," ")</f>
        <v>SANTA FE 1° Q</v>
      </c>
      <c r="I913" s="43">
        <v>46054</v>
      </c>
      <c r="J913" t="s">
        <v>392</v>
      </c>
      <c r="K913" t="str">
        <f>IFERROR(+VLOOKUP(Movimientos_2026[[#This Row],[Codigo]],Plan_cuentas[],6,FALSE)," ")</f>
        <v>3 - GM - Chevrolet</v>
      </c>
      <c r="L913" s="50">
        <v>25190346.932500001</v>
      </c>
      <c r="M913" s="50"/>
      <c r="N913" s="20">
        <f>+Movimientos_2026[[#This Row],[Ingresos]]-Movimientos_2026[[#This Row],[Egresos]]</f>
        <v>25190346.932500001</v>
      </c>
      <c r="O913" s="20">
        <f>+O912+Movimientos_2026[[#This Row],[Neto]]</f>
        <v>5165549004.3235083</v>
      </c>
    </row>
    <row r="914" spans="1:15" x14ac:dyDescent="0.25">
      <c r="A914" s="13">
        <v>46092</v>
      </c>
      <c r="B914" s="12">
        <f>MONTH(Movimientos_2026[[#This Row],[Fecha]])</f>
        <v>3</v>
      </c>
      <c r="C914" s="12" t="str">
        <f>VLOOKUP((WEEKDAY(Movimientos_2026[[#This Row],[Fecha]],2)),'5. Setup'!$D$6:$E$12,2,FALSE)</f>
        <v>Mie</v>
      </c>
      <c r="D914">
        <v>1043393</v>
      </c>
      <c r="E914" t="str">
        <f>IFERROR(+VLOOKUP(Movimientos_2026[[#This Row],[Codigo]],Plan_cuentas[],2,FALSE)," ")</f>
        <v>INGRESOS</v>
      </c>
      <c r="F914" t="str">
        <f>IFERROR(+VLOOKUP(Movimientos_2026[[#This Row],[Codigo]],Plan_cuentas[],3,FALSE)," ")</f>
        <v>Transferencia</v>
      </c>
      <c r="G914" t="str">
        <f>IFERROR(+VLOOKUP(Movimientos_2026[[#This Row],[Codigo]],Plan_cuentas[],4,FALSE)," ")</f>
        <v>Registración</v>
      </c>
      <c r="H914" t="str">
        <f>IFERROR(+VLOOKUP(Movimientos_2026[[#This Row],[Codigo]],Plan_cuentas[],5,FALSE)," ")</f>
        <v>SANTA FE 2° Q</v>
      </c>
      <c r="I914" s="43">
        <v>46054</v>
      </c>
      <c r="J914" t="s">
        <v>392</v>
      </c>
      <c r="K914" t="str">
        <f>IFERROR(+VLOOKUP(Movimientos_2026[[#This Row],[Codigo]],Plan_cuentas[],6,FALSE)," ")</f>
        <v>3 - GM - Chevrolet</v>
      </c>
      <c r="L914" s="50">
        <v>25190346.932500001</v>
      </c>
      <c r="M914" s="50"/>
      <c r="N914" s="20">
        <f>+Movimientos_2026[[#This Row],[Ingresos]]-Movimientos_2026[[#This Row],[Egresos]]</f>
        <v>25190346.932500001</v>
      </c>
      <c r="O914" s="20">
        <f>+O913+Movimientos_2026[[#This Row],[Neto]]</f>
        <v>5190739351.2560081</v>
      </c>
    </row>
    <row r="915" spans="1:15" x14ac:dyDescent="0.25">
      <c r="A915" s="13">
        <v>46092</v>
      </c>
      <c r="B915" s="12">
        <f>MONTH(Movimientos_2026[[#This Row],[Fecha]])</f>
        <v>3</v>
      </c>
      <c r="C915" s="12" t="str">
        <f>VLOOKUP((WEEKDAY(Movimientos_2026[[#This Row],[Fecha]],2)),'5. Setup'!$D$6:$E$12,2,FALSE)</f>
        <v>Mie</v>
      </c>
      <c r="D915">
        <v>1044163</v>
      </c>
      <c r="E915" t="str">
        <f>IFERROR(+VLOOKUP(Movimientos_2026[[#This Row],[Codigo]],Plan_cuentas[],2,FALSE)," ")</f>
        <v>INGRESOS</v>
      </c>
      <c r="F915" t="str">
        <f>IFERROR(+VLOOKUP(Movimientos_2026[[#This Row],[Codigo]],Plan_cuentas[],3,FALSE)," ")</f>
        <v>Transferencia</v>
      </c>
      <c r="G915" t="str">
        <f>IFERROR(+VLOOKUP(Movimientos_2026[[#This Row],[Codigo]],Plan_cuentas[],4,FALSE)," ")</f>
        <v>Rentas</v>
      </c>
      <c r="H915" t="str">
        <f>IFERROR(+VLOOKUP(Movimientos_2026[[#This Row],[Codigo]],Plan_cuentas[],5,FALSE)," ")</f>
        <v>CHACO</v>
      </c>
      <c r="I915" s="43">
        <v>46054</v>
      </c>
      <c r="J915" t="s">
        <v>392</v>
      </c>
      <c r="K915" t="str">
        <f>IFERROR(+VLOOKUP(Movimientos_2026[[#This Row],[Codigo]],Plan_cuentas[],6,FALSE)," ")</f>
        <v>3 - GM - Chevrolet</v>
      </c>
      <c r="L915" s="50">
        <v>45004032.380000003</v>
      </c>
      <c r="M915" s="50"/>
      <c r="N915" s="20">
        <f>+Movimientos_2026[[#This Row],[Ingresos]]-Movimientos_2026[[#This Row],[Egresos]]</f>
        <v>45004032.380000003</v>
      </c>
      <c r="O915" s="20">
        <f>+O914+Movimientos_2026[[#This Row],[Neto]]</f>
        <v>5235743383.6360083</v>
      </c>
    </row>
    <row r="916" spans="1:15" x14ac:dyDescent="0.25">
      <c r="A916" s="13">
        <v>46092</v>
      </c>
      <c r="B916" s="12">
        <f>MONTH(Movimientos_2026[[#This Row],[Fecha]])</f>
        <v>3</v>
      </c>
      <c r="C916" s="12" t="str">
        <f>VLOOKUP((WEEKDAY(Movimientos_2026[[#This Row],[Fecha]],2)),'5. Setup'!$D$6:$E$12,2,FALSE)</f>
        <v>Mie</v>
      </c>
      <c r="D916">
        <v>1044173</v>
      </c>
      <c r="E916" t="str">
        <f>IFERROR(+VLOOKUP(Movimientos_2026[[#This Row],[Codigo]],Plan_cuentas[],2,FALSE)," ")</f>
        <v>INGRESOS</v>
      </c>
      <c r="F916" t="str">
        <f>IFERROR(+VLOOKUP(Movimientos_2026[[#This Row],[Codigo]],Plan_cuentas[],3,FALSE)," ")</f>
        <v>Transferencia</v>
      </c>
      <c r="G916" t="str">
        <f>IFERROR(+VLOOKUP(Movimientos_2026[[#This Row],[Codigo]],Plan_cuentas[],4,FALSE)," ")</f>
        <v>Rentas</v>
      </c>
      <c r="H916" t="str">
        <f>IFERROR(+VLOOKUP(Movimientos_2026[[#This Row],[Codigo]],Plan_cuentas[],5,FALSE)," ")</f>
        <v>CHUBUT</v>
      </c>
      <c r="I916" s="43">
        <v>46054</v>
      </c>
      <c r="J916" t="s">
        <v>392</v>
      </c>
      <c r="K916" t="str">
        <f>IFERROR(+VLOOKUP(Movimientos_2026[[#This Row],[Codigo]],Plan_cuentas[],6,FALSE)," ")</f>
        <v>3 - GM - Chevrolet</v>
      </c>
      <c r="L916" s="50">
        <v>14073140.73</v>
      </c>
      <c r="M916" s="50"/>
      <c r="N916" s="20">
        <f>+Movimientos_2026[[#This Row],[Ingresos]]-Movimientos_2026[[#This Row],[Egresos]]</f>
        <v>14073140.73</v>
      </c>
      <c r="O916" s="20">
        <f>+O915+Movimientos_2026[[#This Row],[Neto]]</f>
        <v>5249816524.3660078</v>
      </c>
    </row>
    <row r="917" spans="1:15" x14ac:dyDescent="0.25">
      <c r="A917" s="13">
        <v>46092</v>
      </c>
      <c r="B917" s="12">
        <f>MONTH(Movimientos_2026[[#This Row],[Fecha]])</f>
        <v>3</v>
      </c>
      <c r="C917" s="12" t="str">
        <f>VLOOKUP((WEEKDAY(Movimientos_2026[[#This Row],[Fecha]],2)),'5. Setup'!$D$6:$E$12,2,FALSE)</f>
        <v>Mie</v>
      </c>
      <c r="D917">
        <v>1044243</v>
      </c>
      <c r="E917" t="str">
        <f>IFERROR(+VLOOKUP(Movimientos_2026[[#This Row],[Codigo]],Plan_cuentas[],2,FALSE)," ")</f>
        <v>INGRESOS</v>
      </c>
      <c r="F917" t="str">
        <f>IFERROR(+VLOOKUP(Movimientos_2026[[#This Row],[Codigo]],Plan_cuentas[],3,FALSE)," ")</f>
        <v>Transferencia</v>
      </c>
      <c r="G917" t="str">
        <f>IFERROR(+VLOOKUP(Movimientos_2026[[#This Row],[Codigo]],Plan_cuentas[],4,FALSE)," ")</f>
        <v>Rentas</v>
      </c>
      <c r="H917" t="str">
        <f>IFERROR(+VLOOKUP(Movimientos_2026[[#This Row],[Codigo]],Plan_cuentas[],5,FALSE)," ")</f>
        <v>FORMOSA</v>
      </c>
      <c r="I917" s="43">
        <v>46054</v>
      </c>
      <c r="J917" t="s">
        <v>392</v>
      </c>
      <c r="K917" t="str">
        <f>IFERROR(+VLOOKUP(Movimientos_2026[[#This Row],[Codigo]],Plan_cuentas[],6,FALSE)," ")</f>
        <v>3 - GM - Chevrolet</v>
      </c>
      <c r="L917" s="50">
        <v>11613335.265000001</v>
      </c>
      <c r="M917" s="50"/>
      <c r="N917" s="20">
        <f>+Movimientos_2026[[#This Row],[Ingresos]]-Movimientos_2026[[#This Row],[Egresos]]</f>
        <v>11613335.265000001</v>
      </c>
      <c r="O917" s="20">
        <f>+O916+Movimientos_2026[[#This Row],[Neto]]</f>
        <v>5261429859.6310081</v>
      </c>
    </row>
    <row r="918" spans="1:15" x14ac:dyDescent="0.25">
      <c r="A918" s="13">
        <v>46092</v>
      </c>
      <c r="B918" s="12">
        <f>MONTH(Movimientos_2026[[#This Row],[Fecha]])</f>
        <v>3</v>
      </c>
      <c r="C918" s="12" t="str">
        <f>VLOOKUP((WEEKDAY(Movimientos_2026[[#This Row],[Fecha]],2)),'5. Setup'!$D$6:$E$12,2,FALSE)</f>
        <v>Mie</v>
      </c>
      <c r="D918">
        <v>1044263</v>
      </c>
      <c r="E918" t="str">
        <f>IFERROR(+VLOOKUP(Movimientos_2026[[#This Row],[Codigo]],Plan_cuentas[],2,FALSE)," ")</f>
        <v>INGRESOS</v>
      </c>
      <c r="F918" t="str">
        <f>IFERROR(+VLOOKUP(Movimientos_2026[[#This Row],[Codigo]],Plan_cuentas[],3,FALSE)," ")</f>
        <v>Transferencia</v>
      </c>
      <c r="G918" t="str">
        <f>IFERROR(+VLOOKUP(Movimientos_2026[[#This Row],[Codigo]],Plan_cuentas[],4,FALSE)," ")</f>
        <v>Rentas</v>
      </c>
      <c r="H918" t="str">
        <f>IFERROR(+VLOOKUP(Movimientos_2026[[#This Row],[Codigo]],Plan_cuentas[],5,FALSE)," ")</f>
        <v>LA PAMPA</v>
      </c>
      <c r="I918" s="43">
        <v>46054</v>
      </c>
      <c r="J918" t="s">
        <v>392</v>
      </c>
      <c r="K918" t="str">
        <f>IFERROR(+VLOOKUP(Movimientos_2026[[#This Row],[Codigo]],Plan_cuentas[],6,FALSE)," ")</f>
        <v>3 - GM - Chevrolet</v>
      </c>
      <c r="L918" s="50">
        <v>3766850.5</v>
      </c>
      <c r="M918" s="50"/>
      <c r="N918" s="20">
        <f>+Movimientos_2026[[#This Row],[Ingresos]]-Movimientos_2026[[#This Row],[Egresos]]</f>
        <v>3766850.5</v>
      </c>
      <c r="O918" s="20">
        <f>+O917+Movimientos_2026[[#This Row],[Neto]]</f>
        <v>5265196710.1310081</v>
      </c>
    </row>
    <row r="919" spans="1:15" x14ac:dyDescent="0.25">
      <c r="A919" s="13">
        <v>46092</v>
      </c>
      <c r="B919" s="12">
        <f>MONTH(Movimientos_2026[[#This Row],[Fecha]])</f>
        <v>3</v>
      </c>
      <c r="C919" s="12" t="str">
        <f>VLOOKUP((WEEKDAY(Movimientos_2026[[#This Row],[Fecha]],2)),'5. Setup'!$D$6:$E$12,2,FALSE)</f>
        <v>Mie</v>
      </c>
      <c r="D919">
        <v>1044463</v>
      </c>
      <c r="E919" t="str">
        <f>IFERROR(+VLOOKUP(Movimientos_2026[[#This Row],[Codigo]],Plan_cuentas[],2,FALSE)," ")</f>
        <v>INGRESOS</v>
      </c>
      <c r="F919" t="str">
        <f>IFERROR(+VLOOKUP(Movimientos_2026[[#This Row],[Codigo]],Plan_cuentas[],3,FALSE)," ")</f>
        <v>Transferencia</v>
      </c>
      <c r="G919" t="str">
        <f>IFERROR(+VLOOKUP(Movimientos_2026[[#This Row],[Codigo]],Plan_cuentas[],4,FALSE)," ")</f>
        <v>Rentas</v>
      </c>
      <c r="H919" t="str">
        <f>IFERROR(+VLOOKUP(Movimientos_2026[[#This Row],[Codigo]],Plan_cuentas[],5,FALSE)," ")</f>
        <v>MISIONES</v>
      </c>
      <c r="I919" s="43">
        <v>46054</v>
      </c>
      <c r="J919" t="s">
        <v>392</v>
      </c>
      <c r="K919" t="str">
        <f>IFERROR(+VLOOKUP(Movimientos_2026[[#This Row],[Codigo]],Plan_cuentas[],6,FALSE)," ")</f>
        <v>3 - GM - Chevrolet</v>
      </c>
      <c r="L919" s="50">
        <v>3626976.145</v>
      </c>
      <c r="M919" s="50"/>
      <c r="N919" s="20">
        <f>+Movimientos_2026[[#This Row],[Ingresos]]-Movimientos_2026[[#This Row],[Egresos]]</f>
        <v>3626976.145</v>
      </c>
      <c r="O919" s="20">
        <f>+O918+Movimientos_2026[[#This Row],[Neto]]</f>
        <v>5268823686.2760086</v>
      </c>
    </row>
    <row r="920" spans="1:15" x14ac:dyDescent="0.25">
      <c r="A920" s="13">
        <v>46092</v>
      </c>
      <c r="B920" s="12">
        <f>MONTH(Movimientos_2026[[#This Row],[Fecha]])</f>
        <v>3</v>
      </c>
      <c r="C920" s="12" t="str">
        <f>VLOOKUP((WEEKDAY(Movimientos_2026[[#This Row],[Fecha]],2)),'5. Setup'!$D$6:$E$12,2,FALSE)</f>
        <v>Mie</v>
      </c>
      <c r="D920">
        <v>1044353</v>
      </c>
      <c r="E920" t="str">
        <f>IFERROR(+VLOOKUP(Movimientos_2026[[#This Row],[Codigo]],Plan_cuentas[],2,FALSE)," ")</f>
        <v>INGRESOS</v>
      </c>
      <c r="F920" t="str">
        <f>IFERROR(+VLOOKUP(Movimientos_2026[[#This Row],[Codigo]],Plan_cuentas[],3,FALSE)," ")</f>
        <v>Transferencia</v>
      </c>
      <c r="G920" t="str">
        <f>IFERROR(+VLOOKUP(Movimientos_2026[[#This Row],[Codigo]],Plan_cuentas[],4,FALSE)," ")</f>
        <v>Rentas</v>
      </c>
      <c r="H920" t="str">
        <f>IFERROR(+VLOOKUP(Movimientos_2026[[#This Row],[Codigo]],Plan_cuentas[],5,FALSE)," ")</f>
        <v>SAN JUAN</v>
      </c>
      <c r="I920" s="43">
        <v>46054</v>
      </c>
      <c r="J920" t="s">
        <v>392</v>
      </c>
      <c r="K920" t="str">
        <f>IFERROR(+VLOOKUP(Movimientos_2026[[#This Row],[Codigo]],Plan_cuentas[],6,FALSE)," ")</f>
        <v>3 - GM - Chevrolet</v>
      </c>
      <c r="L920" s="50">
        <v>7383591.6095999992</v>
      </c>
      <c r="M920" s="50"/>
      <c r="N920" s="20">
        <f>+Movimientos_2026[[#This Row],[Ingresos]]-Movimientos_2026[[#This Row],[Egresos]]</f>
        <v>7383591.6095999992</v>
      </c>
      <c r="O920" s="20">
        <f>+O919+Movimientos_2026[[#This Row],[Neto]]</f>
        <v>5276207277.8856087</v>
      </c>
    </row>
    <row r="921" spans="1:15" x14ac:dyDescent="0.25">
      <c r="A921" s="13">
        <v>46092</v>
      </c>
      <c r="B921" s="12">
        <f>MONTH(Movimientos_2026[[#This Row],[Fecha]])</f>
        <v>3</v>
      </c>
      <c r="C921" s="12" t="str">
        <f>VLOOKUP((WEEKDAY(Movimientos_2026[[#This Row],[Fecha]],2)),'5. Setup'!$D$6:$E$12,2,FALSE)</f>
        <v>Mie</v>
      </c>
      <c r="D921">
        <v>1044363</v>
      </c>
      <c r="E921" t="str">
        <f>IFERROR(+VLOOKUP(Movimientos_2026[[#This Row],[Codigo]],Plan_cuentas[],2,FALSE)," ")</f>
        <v>INGRESOS</v>
      </c>
      <c r="F921" t="str">
        <f>IFERROR(+VLOOKUP(Movimientos_2026[[#This Row],[Codigo]],Plan_cuentas[],3,FALSE)," ")</f>
        <v>Transferencia</v>
      </c>
      <c r="G921" t="str">
        <f>IFERROR(+VLOOKUP(Movimientos_2026[[#This Row],[Codigo]],Plan_cuentas[],4,FALSE)," ")</f>
        <v>Rentas</v>
      </c>
      <c r="H921" t="str">
        <f>IFERROR(+VLOOKUP(Movimientos_2026[[#This Row],[Codigo]],Plan_cuentas[],5,FALSE)," ")</f>
        <v>SAN LUIS</v>
      </c>
      <c r="I921" s="43">
        <v>46054</v>
      </c>
      <c r="J921" t="s">
        <v>392</v>
      </c>
      <c r="K921" t="str">
        <f>IFERROR(+VLOOKUP(Movimientos_2026[[#This Row],[Codigo]],Plan_cuentas[],6,FALSE)," ")</f>
        <v>3 - GM - Chevrolet</v>
      </c>
      <c r="L921" s="50">
        <v>15248546.964</v>
      </c>
      <c r="M921" s="50"/>
      <c r="N921" s="20">
        <f>+Movimientos_2026[[#This Row],[Ingresos]]-Movimientos_2026[[#This Row],[Egresos]]</f>
        <v>15248546.964</v>
      </c>
      <c r="O921" s="20">
        <f>+O920+Movimientos_2026[[#This Row],[Neto]]</f>
        <v>5291455824.8496084</v>
      </c>
    </row>
    <row r="922" spans="1:15" x14ac:dyDescent="0.25">
      <c r="A922" s="13">
        <v>46092</v>
      </c>
      <c r="B922" s="12">
        <f>MONTH(Movimientos_2026[[#This Row],[Fecha]])</f>
        <v>3</v>
      </c>
      <c r="C922" s="12" t="str">
        <f>VLOOKUP((WEEKDAY(Movimientos_2026[[#This Row],[Fecha]],2)),'5. Setup'!$D$6:$E$12,2,FALSE)</f>
        <v>Mie</v>
      </c>
      <c r="D922">
        <v>1044403</v>
      </c>
      <c r="E922" t="str">
        <f>IFERROR(+VLOOKUP(Movimientos_2026[[#This Row],[Codigo]],Plan_cuentas[],2,FALSE)," ")</f>
        <v>INGRESOS</v>
      </c>
      <c r="F922" t="str">
        <f>IFERROR(+VLOOKUP(Movimientos_2026[[#This Row],[Codigo]],Plan_cuentas[],3,FALSE)," ")</f>
        <v>Transferencia</v>
      </c>
      <c r="G922" t="str">
        <f>IFERROR(+VLOOKUP(Movimientos_2026[[#This Row],[Codigo]],Plan_cuentas[],4,FALSE)," ")</f>
        <v>Rentas</v>
      </c>
      <c r="H922" t="str">
        <f>IFERROR(+VLOOKUP(Movimientos_2026[[#This Row],[Codigo]],Plan_cuentas[],5,FALSE)," ")</f>
        <v>SANTIAGO DEL ESTERO</v>
      </c>
      <c r="I922" s="43">
        <v>46054</v>
      </c>
      <c r="J922" t="s">
        <v>392</v>
      </c>
      <c r="K922" t="str">
        <f>IFERROR(+VLOOKUP(Movimientos_2026[[#This Row],[Codigo]],Plan_cuentas[],6,FALSE)," ")</f>
        <v>3 - GM - Chevrolet</v>
      </c>
      <c r="L922" s="50">
        <v>24034190.399999999</v>
      </c>
      <c r="M922" s="50"/>
      <c r="N922" s="20">
        <f>+Movimientos_2026[[#This Row],[Ingresos]]-Movimientos_2026[[#This Row],[Egresos]]</f>
        <v>24034190.399999999</v>
      </c>
      <c r="O922" s="20">
        <f>+O921+Movimientos_2026[[#This Row],[Neto]]</f>
        <v>5315490015.249608</v>
      </c>
    </row>
    <row r="923" spans="1:15" x14ac:dyDescent="0.25">
      <c r="A923" s="13">
        <v>46092</v>
      </c>
      <c r="B923" s="12">
        <f>MONTH(Movimientos_2026[[#This Row],[Fecha]])</f>
        <v>3</v>
      </c>
      <c r="C923" s="12" t="str">
        <f>VLOOKUP((WEEKDAY(Movimientos_2026[[#This Row],[Fecha]],2)),'5. Setup'!$D$6:$E$12,2,FALSE)</f>
        <v>Mie</v>
      </c>
      <c r="D923">
        <v>1044413</v>
      </c>
      <c r="E923" t="str">
        <f>IFERROR(+VLOOKUP(Movimientos_2026[[#This Row],[Codigo]],Plan_cuentas[],2,FALSE)," ")</f>
        <v>INGRESOS</v>
      </c>
      <c r="F923" t="str">
        <f>IFERROR(+VLOOKUP(Movimientos_2026[[#This Row],[Codigo]],Plan_cuentas[],3,FALSE)," ")</f>
        <v>Transferencia</v>
      </c>
      <c r="G923" t="str">
        <f>IFERROR(+VLOOKUP(Movimientos_2026[[#This Row],[Codigo]],Plan_cuentas[],4,FALSE)," ")</f>
        <v>Rentas</v>
      </c>
      <c r="H923" t="str">
        <f>IFERROR(+VLOOKUP(Movimientos_2026[[#This Row],[Codigo]],Plan_cuentas[],5,FALSE)," ")</f>
        <v>TIERRA DEL FUEGO</v>
      </c>
      <c r="I923" s="43">
        <v>46054</v>
      </c>
      <c r="J923" t="s">
        <v>392</v>
      </c>
      <c r="K923" t="str">
        <f>IFERROR(+VLOOKUP(Movimientos_2026[[#This Row],[Codigo]],Plan_cuentas[],6,FALSE)," ")</f>
        <v>3 - GM - Chevrolet</v>
      </c>
      <c r="L923" s="50">
        <v>12592897.08</v>
      </c>
      <c r="M923" s="50"/>
      <c r="N923" s="20">
        <f>+Movimientos_2026[[#This Row],[Ingresos]]-Movimientos_2026[[#This Row],[Egresos]]</f>
        <v>12592897.08</v>
      </c>
      <c r="O923" s="20">
        <f>+O922+Movimientos_2026[[#This Row],[Neto]]</f>
        <v>5328082912.329608</v>
      </c>
    </row>
    <row r="924" spans="1:15" x14ac:dyDescent="0.25">
      <c r="A924" s="13">
        <v>46092</v>
      </c>
      <c r="B924" s="12">
        <f>MONTH(Movimientos_2026[[#This Row],[Fecha]])</f>
        <v>3</v>
      </c>
      <c r="C924" s="12" t="str">
        <f>VLOOKUP((WEEKDAY(Movimientos_2026[[#This Row],[Fecha]],2)),'5. Setup'!$D$6:$E$12,2,FALSE)</f>
        <v>Mie</v>
      </c>
      <c r="D924">
        <v>1041133</v>
      </c>
      <c r="E924" t="str">
        <f>IFERROR(+VLOOKUP(Movimientos_2026[[#This Row],[Codigo]],Plan_cuentas[],2,FALSE)," ")</f>
        <v>INGRESOS</v>
      </c>
      <c r="F924" t="str">
        <f>IFERROR(+VLOOKUP(Movimientos_2026[[#This Row],[Codigo]],Plan_cuentas[],3,FALSE)," ")</f>
        <v>Transferencia</v>
      </c>
      <c r="G924" t="str">
        <f>IFERROR(+VLOOKUP(Movimientos_2026[[#This Row],[Codigo]],Plan_cuentas[],4,FALSE)," ")</f>
        <v>Entidades co-participadas</v>
      </c>
      <c r="H924" t="str">
        <f>IFERROR(+VLOOKUP(Movimientos_2026[[#This Row],[Codigo]],Plan_cuentas[],5,FALSE)," ")</f>
        <v>BCLP</v>
      </c>
      <c r="I924" s="43">
        <v>46054</v>
      </c>
      <c r="J924" t="s">
        <v>392</v>
      </c>
      <c r="K924" t="str">
        <f>IFERROR(+VLOOKUP(Movimientos_2026[[#This Row],[Codigo]],Plan_cuentas[],6,FALSE)," ")</f>
        <v>3 - GM - Chevrolet</v>
      </c>
      <c r="L924" s="50">
        <v>8077090.8799999999</v>
      </c>
      <c r="M924" s="50"/>
      <c r="N924" s="20">
        <f>+Movimientos_2026[[#This Row],[Ingresos]]-Movimientos_2026[[#This Row],[Egresos]]</f>
        <v>8077090.8799999999</v>
      </c>
      <c r="O924" s="20">
        <f>+O923+Movimientos_2026[[#This Row],[Neto]]</f>
        <v>5336160003.2096081</v>
      </c>
    </row>
    <row r="925" spans="1:15" x14ac:dyDescent="0.25">
      <c r="A925" s="13">
        <v>46092</v>
      </c>
      <c r="B925" s="12">
        <f>MONTH(Movimientos_2026[[#This Row],[Fecha]])</f>
        <v>3</v>
      </c>
      <c r="C925" s="12" t="str">
        <f>VLOOKUP((WEEKDAY(Movimientos_2026[[#This Row],[Fecha]],2)),'5. Setup'!$D$6:$E$12,2,FALSE)</f>
        <v>Mie</v>
      </c>
      <c r="D925">
        <v>1041443</v>
      </c>
      <c r="E925" t="str">
        <f>IFERROR(+VLOOKUP(Movimientos_2026[[#This Row],[Codigo]],Plan_cuentas[],2,FALSE)," ")</f>
        <v>INGRESOS</v>
      </c>
      <c r="F925" t="str">
        <f>IFERROR(+VLOOKUP(Movimientos_2026[[#This Row],[Codigo]],Plan_cuentas[],3,FALSE)," ")</f>
        <v>Transferencia</v>
      </c>
      <c r="G925" t="str">
        <f>IFERROR(+VLOOKUP(Movimientos_2026[[#This Row],[Codigo]],Plan_cuentas[],4,FALSE)," ")</f>
        <v>Entidades co-participadas</v>
      </c>
      <c r="H925" t="str">
        <f>IFERROR(+VLOOKUP(Movimientos_2026[[#This Row],[Codigo]],Plan_cuentas[],5,FALSE)," ")</f>
        <v>UISCUMARR</v>
      </c>
      <c r="I925" s="43">
        <v>46054</v>
      </c>
      <c r="J925" t="s">
        <v>392</v>
      </c>
      <c r="K925" t="str">
        <f>IFERROR(+VLOOKUP(Movimientos_2026[[#This Row],[Codigo]],Plan_cuentas[],6,FALSE)," ")</f>
        <v>3 - GM - Chevrolet</v>
      </c>
      <c r="L925" s="50">
        <v>29410274.780000001</v>
      </c>
      <c r="M925" s="50"/>
      <c r="N925" s="20">
        <f>+Movimientos_2026[[#This Row],[Ingresos]]-Movimientos_2026[[#This Row],[Egresos]]</f>
        <v>29410274.780000001</v>
      </c>
      <c r="O925" s="20">
        <f>+O924+Movimientos_2026[[#This Row],[Neto]]</f>
        <v>5365570277.9896078</v>
      </c>
    </row>
    <row r="926" spans="1:15" x14ac:dyDescent="0.25">
      <c r="A926" s="13">
        <v>46092</v>
      </c>
      <c r="B926" s="12">
        <f>MONTH(Movimientos_2026[[#This Row],[Fecha]])</f>
        <v>3</v>
      </c>
      <c r="C926" s="12" t="str">
        <f>VLOOKUP((WEEKDAY(Movimientos_2026[[#This Row],[Fecha]],2)),'5. Setup'!$D$6:$E$12,2,FALSE)</f>
        <v>Mie</v>
      </c>
      <c r="D926">
        <v>1043143</v>
      </c>
      <c r="E926" t="str">
        <f>IFERROR(+VLOOKUP(Movimientos_2026[[#This Row],[Codigo]],Plan_cuentas[],2,FALSE)," ")</f>
        <v>INGRESOS</v>
      </c>
      <c r="F926" t="str">
        <f>IFERROR(+VLOOKUP(Movimientos_2026[[#This Row],[Codigo]],Plan_cuentas[],3,FALSE)," ")</f>
        <v>Transferencia</v>
      </c>
      <c r="G926" t="str">
        <f>IFERROR(+VLOOKUP(Movimientos_2026[[#This Row],[Codigo]],Plan_cuentas[],4,FALSE)," ")</f>
        <v>Registración</v>
      </c>
      <c r="H926" t="str">
        <f>IFERROR(+VLOOKUP(Movimientos_2026[[#This Row],[Codigo]],Plan_cuentas[],5,FALSE)," ")</f>
        <v>BUENOS AIRES</v>
      </c>
      <c r="I926" s="43">
        <v>46054</v>
      </c>
      <c r="J926" t="s">
        <v>392</v>
      </c>
      <c r="K926" t="str">
        <f>IFERROR(+VLOOKUP(Movimientos_2026[[#This Row],[Codigo]],Plan_cuentas[],6,FALSE)," ")</f>
        <v>3 - GM - Chevrolet</v>
      </c>
      <c r="L926" s="50">
        <v>268148752.87200001</v>
      </c>
      <c r="M926" s="50"/>
      <c r="N926" s="20">
        <f>+Movimientos_2026[[#This Row],[Ingresos]]-Movimientos_2026[[#This Row],[Egresos]]</f>
        <v>268148752.87200001</v>
      </c>
      <c r="O926" s="20">
        <f>+O925+Movimientos_2026[[#This Row],[Neto]]</f>
        <v>5633719030.8616076</v>
      </c>
    </row>
    <row r="927" spans="1:15" x14ac:dyDescent="0.25">
      <c r="A927" s="13">
        <v>46093</v>
      </c>
      <c r="B927" s="12">
        <f>MONTH(Movimientos_2026[[#This Row],[Fecha]])</f>
        <v>3</v>
      </c>
      <c r="C927" s="12" t="str">
        <f>VLOOKUP((WEEKDAY(Movimientos_2026[[#This Row],[Fecha]],2)),'5. Setup'!$D$6:$E$12,2,FALSE)</f>
        <v>Jue</v>
      </c>
      <c r="D927">
        <v>2044122</v>
      </c>
      <c r="E927" t="str">
        <f>IFERROR(+VLOOKUP(Movimientos_2026[[#This Row],[Codigo]],Plan_cuentas[],2,FALSE)," ")</f>
        <v>EGRESOS</v>
      </c>
      <c r="F927" t="str">
        <f>IFERROR(+VLOOKUP(Movimientos_2026[[#This Row],[Codigo]],Plan_cuentas[],3,FALSE)," ")</f>
        <v>Transferencia</v>
      </c>
      <c r="G927" t="str">
        <f>IFERROR(+VLOOKUP(Movimientos_2026[[#This Row],[Codigo]],Plan_cuentas[],4,FALSE)," ")</f>
        <v>Rentas</v>
      </c>
      <c r="H927" t="str">
        <f>IFERROR(+VLOOKUP(Movimientos_2026[[#This Row],[Codigo]],Plan_cuentas[],5,FALSE)," ")</f>
        <v>BAPRO</v>
      </c>
      <c r="I927" s="43">
        <v>45689</v>
      </c>
      <c r="J927" t="s">
        <v>393</v>
      </c>
      <c r="K927" t="str">
        <f>IFERROR(+VLOOKUP(Movimientos_2026[[#This Row],[Codigo]],Plan_cuentas[],6,FALSE)," ")</f>
        <v>2 - PR - Plan Rombo</v>
      </c>
      <c r="L927" s="50"/>
      <c r="M927" s="50">
        <v>4314624.87</v>
      </c>
      <c r="N927" s="20">
        <f>+Movimientos_2026[[#This Row],[Ingresos]]-Movimientos_2026[[#This Row],[Egresos]]</f>
        <v>-4314624.87</v>
      </c>
      <c r="O927" s="20">
        <f>+O926+Movimientos_2026[[#This Row],[Neto]]</f>
        <v>5629404405.9916077</v>
      </c>
    </row>
    <row r="928" spans="1:15" x14ac:dyDescent="0.25">
      <c r="A928" s="13">
        <v>46093</v>
      </c>
      <c r="B928" s="12">
        <f>MONTH(Movimientos_2026[[#This Row],[Fecha]])</f>
        <v>3</v>
      </c>
      <c r="C928" s="12" t="str">
        <f>VLOOKUP((WEEKDAY(Movimientos_2026[[#This Row],[Fecha]],2)),'5. Setup'!$D$6:$E$12,2,FALSE)</f>
        <v>Jue</v>
      </c>
      <c r="D928">
        <v>2044122</v>
      </c>
      <c r="E928" t="str">
        <f>IFERROR(+VLOOKUP(Movimientos_2026[[#This Row],[Codigo]],Plan_cuentas[],2,FALSE)," ")</f>
        <v>EGRESOS</v>
      </c>
      <c r="F928" t="str">
        <f>IFERROR(+VLOOKUP(Movimientos_2026[[#This Row],[Codigo]],Plan_cuentas[],3,FALSE)," ")</f>
        <v>Transferencia</v>
      </c>
      <c r="G928" t="str">
        <f>IFERROR(+VLOOKUP(Movimientos_2026[[#This Row],[Codigo]],Plan_cuentas[],4,FALSE)," ")</f>
        <v>Rentas</v>
      </c>
      <c r="H928" t="str">
        <f>IFERROR(+VLOOKUP(Movimientos_2026[[#This Row],[Codigo]],Plan_cuentas[],5,FALSE)," ")</f>
        <v>BAPRO</v>
      </c>
      <c r="I928" s="43">
        <v>45689</v>
      </c>
      <c r="J928" t="s">
        <v>393</v>
      </c>
      <c r="K928" t="str">
        <f>IFERROR(+VLOOKUP(Movimientos_2026[[#This Row],[Codigo]],Plan_cuentas[],6,FALSE)," ")</f>
        <v>2 - PR - Plan Rombo</v>
      </c>
      <c r="L928" s="50"/>
      <c r="M928" s="50">
        <v>5676711.8300000001</v>
      </c>
      <c r="N928" s="20">
        <f>+Movimientos_2026[[#This Row],[Ingresos]]-Movimientos_2026[[#This Row],[Egresos]]</f>
        <v>-5676711.8300000001</v>
      </c>
      <c r="O928" s="20">
        <f>+O927+Movimientos_2026[[#This Row],[Neto]]</f>
        <v>5623727694.1616077</v>
      </c>
    </row>
    <row r="929" spans="1:15" x14ac:dyDescent="0.25">
      <c r="A929" s="13">
        <v>46093</v>
      </c>
      <c r="B929" s="12">
        <f>MONTH(Movimientos_2026[[#This Row],[Fecha]])</f>
        <v>3</v>
      </c>
      <c r="C929" s="12" t="str">
        <f>VLOOKUP((WEEKDAY(Movimientos_2026[[#This Row],[Fecha]],2)),'5. Setup'!$D$6:$E$12,2,FALSE)</f>
        <v>Jue</v>
      </c>
      <c r="D929">
        <v>2044122</v>
      </c>
      <c r="E929" t="str">
        <f>IFERROR(+VLOOKUP(Movimientos_2026[[#This Row],[Codigo]],Plan_cuentas[],2,FALSE)," ")</f>
        <v>EGRESOS</v>
      </c>
      <c r="F929" t="str">
        <f>IFERROR(+VLOOKUP(Movimientos_2026[[#This Row],[Codigo]],Plan_cuentas[],3,FALSE)," ")</f>
        <v>Transferencia</v>
      </c>
      <c r="G929" t="str">
        <f>IFERROR(+VLOOKUP(Movimientos_2026[[#This Row],[Codigo]],Plan_cuentas[],4,FALSE)," ")</f>
        <v>Rentas</v>
      </c>
      <c r="H929" t="str">
        <f>IFERROR(+VLOOKUP(Movimientos_2026[[#This Row],[Codigo]],Plan_cuentas[],5,FALSE)," ")</f>
        <v>BAPRO</v>
      </c>
      <c r="I929" s="43">
        <v>45689</v>
      </c>
      <c r="J929" t="s">
        <v>393</v>
      </c>
      <c r="K929" t="str">
        <f>IFERROR(+VLOOKUP(Movimientos_2026[[#This Row],[Codigo]],Plan_cuentas[],6,FALSE)," ")</f>
        <v>2 - PR - Plan Rombo</v>
      </c>
      <c r="L929" s="50"/>
      <c r="M929" s="50">
        <v>6440779.7999999998</v>
      </c>
      <c r="N929" s="20">
        <f>+Movimientos_2026[[#This Row],[Ingresos]]-Movimientos_2026[[#This Row],[Egresos]]</f>
        <v>-6440779.7999999998</v>
      </c>
      <c r="O929" s="20">
        <f>+O928+Movimientos_2026[[#This Row],[Neto]]</f>
        <v>5617286914.3616076</v>
      </c>
    </row>
    <row r="930" spans="1:15" x14ac:dyDescent="0.25">
      <c r="A930" s="13">
        <v>46093</v>
      </c>
      <c r="B930" s="12">
        <f>MONTH(Movimientos_2026[[#This Row],[Fecha]])</f>
        <v>3</v>
      </c>
      <c r="C930" s="12" t="str">
        <f>VLOOKUP((WEEKDAY(Movimientos_2026[[#This Row],[Fecha]],2)),'5. Setup'!$D$6:$E$12,2,FALSE)</f>
        <v>Jue</v>
      </c>
      <c r="D930">
        <v>2014362</v>
      </c>
      <c r="E930" t="str">
        <f>IFERROR(+VLOOKUP(Movimientos_2026[[#This Row],[Codigo]],Plan_cuentas[],2,FALSE)," ")</f>
        <v>EGRESOS</v>
      </c>
      <c r="F930" t="str">
        <f>IFERROR(+VLOOKUP(Movimientos_2026[[#This Row],[Codigo]],Plan_cuentas[],3,FALSE)," ")</f>
        <v>BtoB</v>
      </c>
      <c r="G930" t="str">
        <f>IFERROR(+VLOOKUP(Movimientos_2026[[#This Row],[Codigo]],Plan_cuentas[],4,FALSE)," ")</f>
        <v>Rentas</v>
      </c>
      <c r="H930" t="str">
        <f>IFERROR(+VLOOKUP(Movimientos_2026[[#This Row],[Codigo]],Plan_cuentas[],5,FALSE)," ")</f>
        <v>SAN LUIS</v>
      </c>
      <c r="I930" s="43">
        <v>46054</v>
      </c>
      <c r="J930" t="s">
        <v>394</v>
      </c>
      <c r="K930" t="str">
        <f>IFERROR(+VLOOKUP(Movimientos_2026[[#This Row],[Codigo]],Plan_cuentas[],6,FALSE)," ")</f>
        <v>2 - PR - Plan Rombo</v>
      </c>
      <c r="L930" s="50"/>
      <c r="M930" s="50">
        <v>7438995.3099999996</v>
      </c>
      <c r="N930" s="20">
        <f>+Movimientos_2026[[#This Row],[Ingresos]]-Movimientos_2026[[#This Row],[Egresos]]</f>
        <v>-7438995.3099999996</v>
      </c>
      <c r="O930" s="20">
        <f>+O929+Movimientos_2026[[#This Row],[Neto]]</f>
        <v>5609847919.0516071</v>
      </c>
    </row>
    <row r="931" spans="1:15" x14ac:dyDescent="0.25">
      <c r="A931" s="13">
        <v>46093</v>
      </c>
      <c r="B931" s="12">
        <f>MONTH(Movimientos_2026[[#This Row],[Fecha]])</f>
        <v>3</v>
      </c>
      <c r="C931" s="12" t="str">
        <f>VLOOKUP((WEEKDAY(Movimientos_2026[[#This Row],[Fecha]],2)),'5. Setup'!$D$6:$E$12,2,FALSE)</f>
        <v>Jue</v>
      </c>
      <c r="D931">
        <v>2014364</v>
      </c>
      <c r="E931" t="str">
        <f>IFERROR(+VLOOKUP(Movimientos_2026[[#This Row],[Codigo]],Plan_cuentas[],2,FALSE)," ")</f>
        <v>EGRESOS</v>
      </c>
      <c r="F931" t="str">
        <f>IFERROR(+VLOOKUP(Movimientos_2026[[#This Row],[Codigo]],Plan_cuentas[],3,FALSE)," ")</f>
        <v>BtoB</v>
      </c>
      <c r="G931" t="str">
        <f>IFERROR(+VLOOKUP(Movimientos_2026[[#This Row],[Codigo]],Plan_cuentas[],4,FALSE)," ")</f>
        <v>Rentas</v>
      </c>
      <c r="H931" t="str">
        <f>IFERROR(+VLOOKUP(Movimientos_2026[[#This Row],[Codigo]],Plan_cuentas[],5,FALSE)," ")</f>
        <v>SAN LUIS</v>
      </c>
      <c r="I931" s="43">
        <v>46054</v>
      </c>
      <c r="J931" t="s">
        <v>395</v>
      </c>
      <c r="K931" t="str">
        <f>IFERROR(+VLOOKUP(Movimientos_2026[[#This Row],[Codigo]],Plan_cuentas[],6,FALSE)," ")</f>
        <v>4 - FCA - Fiat</v>
      </c>
      <c r="L931" s="50"/>
      <c r="M931" s="50">
        <v>32945935.710000001</v>
      </c>
      <c r="N931" s="20">
        <f>+Movimientos_2026[[#This Row],[Ingresos]]-Movimientos_2026[[#This Row],[Egresos]]</f>
        <v>-32945935.710000001</v>
      </c>
      <c r="O931" s="20">
        <f>+O930+Movimientos_2026[[#This Row],[Neto]]</f>
        <v>5576901983.3416071</v>
      </c>
    </row>
    <row r="932" spans="1:15" x14ac:dyDescent="0.25">
      <c r="A932" s="13">
        <v>46093</v>
      </c>
      <c r="B932" s="12">
        <f>MONTH(Movimientos_2026[[#This Row],[Fecha]])</f>
        <v>3</v>
      </c>
      <c r="C932" s="12" t="str">
        <f>VLOOKUP((WEEKDAY(Movimientos_2026[[#This Row],[Fecha]],2)),'5. Setup'!$D$6:$E$12,2,FALSE)</f>
        <v>Jue</v>
      </c>
      <c r="D932">
        <v>2044342</v>
      </c>
      <c r="E932" t="str">
        <f>IFERROR(+VLOOKUP(Movimientos_2026[[#This Row],[Codigo]],Plan_cuentas[],2,FALSE)," ")</f>
        <v>EGRESOS</v>
      </c>
      <c r="F932" t="str">
        <f>IFERROR(+VLOOKUP(Movimientos_2026[[#This Row],[Codigo]],Plan_cuentas[],3,FALSE)," ")</f>
        <v>Transferencia</v>
      </c>
      <c r="G932" t="str">
        <f>IFERROR(+VLOOKUP(Movimientos_2026[[#This Row],[Codigo]],Plan_cuentas[],4,FALSE)," ")</f>
        <v>Rentas</v>
      </c>
      <c r="H932" t="str">
        <f>IFERROR(+VLOOKUP(Movimientos_2026[[#This Row],[Codigo]],Plan_cuentas[],5,FALSE)," ")</f>
        <v>RIO NEGRO</v>
      </c>
      <c r="I932" s="43">
        <v>46054</v>
      </c>
      <c r="J932" t="s">
        <v>396</v>
      </c>
      <c r="K932" t="str">
        <f>IFERROR(+VLOOKUP(Movimientos_2026[[#This Row],[Codigo]],Plan_cuentas[],6,FALSE)," ")</f>
        <v>2 - PR - Plan Rombo</v>
      </c>
      <c r="L932" s="50"/>
      <c r="M932" s="50">
        <v>16959881</v>
      </c>
      <c r="N932" s="20">
        <f>+Movimientos_2026[[#This Row],[Ingresos]]-Movimientos_2026[[#This Row],[Egresos]]</f>
        <v>-16959881</v>
      </c>
      <c r="O932" s="20">
        <f>+O931+Movimientos_2026[[#This Row],[Neto]]</f>
        <v>5559942102.3416071</v>
      </c>
    </row>
    <row r="933" spans="1:15" x14ac:dyDescent="0.25">
      <c r="A933" s="13">
        <v>46093</v>
      </c>
      <c r="B933" s="12">
        <f>MONTH(Movimientos_2026[[#This Row],[Fecha]])</f>
        <v>3</v>
      </c>
      <c r="C933" s="12" t="str">
        <f>VLOOKUP((WEEKDAY(Movimientos_2026[[#This Row],[Fecha]],2)),'5. Setup'!$D$6:$E$12,2,FALSE)</f>
        <v>Jue</v>
      </c>
      <c r="D933">
        <v>2044344</v>
      </c>
      <c r="E933" t="str">
        <f>IFERROR(+VLOOKUP(Movimientos_2026[[#This Row],[Codigo]],Plan_cuentas[],2,FALSE)," ")</f>
        <v>EGRESOS</v>
      </c>
      <c r="F933" t="str">
        <f>IFERROR(+VLOOKUP(Movimientos_2026[[#This Row],[Codigo]],Plan_cuentas[],3,FALSE)," ")</f>
        <v>Transferencia</v>
      </c>
      <c r="G933" t="str">
        <f>IFERROR(+VLOOKUP(Movimientos_2026[[#This Row],[Codigo]],Plan_cuentas[],4,FALSE)," ")</f>
        <v>Rentas</v>
      </c>
      <c r="H933" t="str">
        <f>IFERROR(+VLOOKUP(Movimientos_2026[[#This Row],[Codigo]],Plan_cuentas[],5,FALSE)," ")</f>
        <v>RIO NEGRO</v>
      </c>
      <c r="I933" s="43">
        <v>46054</v>
      </c>
      <c r="J933" t="s">
        <v>397</v>
      </c>
      <c r="K933" t="str">
        <f>IFERROR(+VLOOKUP(Movimientos_2026[[#This Row],[Codigo]],Plan_cuentas[],6,FALSE)," ")</f>
        <v>4 - FCA - Fiat</v>
      </c>
      <c r="L933" s="50"/>
      <c r="M933" s="50">
        <v>758000</v>
      </c>
      <c r="N933" s="20">
        <f>+Movimientos_2026[[#This Row],[Ingresos]]-Movimientos_2026[[#This Row],[Egresos]]</f>
        <v>-758000</v>
      </c>
      <c r="O933" s="20">
        <f>+O932+Movimientos_2026[[#This Row],[Neto]]</f>
        <v>5559184102.3416071</v>
      </c>
    </row>
    <row r="934" spans="1:15" x14ac:dyDescent="0.25">
      <c r="A934" s="13">
        <v>46093</v>
      </c>
      <c r="B934" s="12">
        <f>MONTH(Movimientos_2026[[#This Row],[Fecha]])</f>
        <v>3</v>
      </c>
      <c r="C934" s="12" t="str">
        <f>VLOOKUP((WEEKDAY(Movimientos_2026[[#This Row],[Fecha]],2)),'5. Setup'!$D$6:$E$12,2,FALSE)</f>
        <v>Jue</v>
      </c>
      <c r="D934">
        <v>2014174</v>
      </c>
      <c r="E934" t="str">
        <f>IFERROR(+VLOOKUP(Movimientos_2026[[#This Row],[Codigo]],Plan_cuentas[],2,FALSE)," ")</f>
        <v>EGRESOS</v>
      </c>
      <c r="F934" t="str">
        <f>IFERROR(+VLOOKUP(Movimientos_2026[[#This Row],[Codigo]],Plan_cuentas[],3,FALSE)," ")</f>
        <v>BtoB</v>
      </c>
      <c r="G934" t="str">
        <f>IFERROR(+VLOOKUP(Movimientos_2026[[#This Row],[Codigo]],Plan_cuentas[],4,FALSE)," ")</f>
        <v>Rentas</v>
      </c>
      <c r="H934" t="str">
        <f>IFERROR(+VLOOKUP(Movimientos_2026[[#This Row],[Codigo]],Plan_cuentas[],5,FALSE)," ")</f>
        <v>CHUBUT</v>
      </c>
      <c r="I934" s="43">
        <v>46054</v>
      </c>
      <c r="J934" t="s">
        <v>398</v>
      </c>
      <c r="K934" t="str">
        <f>IFERROR(+VLOOKUP(Movimientos_2026[[#This Row],[Codigo]],Plan_cuentas[],6,FALSE)," ")</f>
        <v>4 - FCA - Fiat</v>
      </c>
      <c r="L934" s="50"/>
      <c r="M934" s="50">
        <v>17751825</v>
      </c>
      <c r="N934" s="20">
        <f>+Movimientos_2026[[#This Row],[Ingresos]]-Movimientos_2026[[#This Row],[Egresos]]</f>
        <v>-17751825</v>
      </c>
      <c r="O934" s="20">
        <f>+O933+Movimientos_2026[[#This Row],[Neto]]</f>
        <v>5541432277.3416071</v>
      </c>
    </row>
    <row r="935" spans="1:15" x14ac:dyDescent="0.25">
      <c r="A935" s="13">
        <v>46093</v>
      </c>
      <c r="B935" s="12">
        <f>MONTH(Movimientos_2026[[#This Row],[Fecha]])</f>
        <v>3</v>
      </c>
      <c r="C935" s="12" t="str">
        <f>VLOOKUP((WEEKDAY(Movimientos_2026[[#This Row],[Fecha]],2)),'5. Setup'!$D$6:$E$12,2,FALSE)</f>
        <v>Jue</v>
      </c>
      <c r="D935">
        <v>2014162</v>
      </c>
      <c r="E935" t="str">
        <f>IFERROR(+VLOOKUP(Movimientos_2026[[#This Row],[Codigo]],Plan_cuentas[],2,FALSE)," ")</f>
        <v>EGRESOS</v>
      </c>
      <c r="F935" t="str">
        <f>IFERROR(+VLOOKUP(Movimientos_2026[[#This Row],[Codigo]],Plan_cuentas[],3,FALSE)," ")</f>
        <v>BtoB</v>
      </c>
      <c r="G935" t="str">
        <f>IFERROR(+VLOOKUP(Movimientos_2026[[#This Row],[Codigo]],Plan_cuentas[],4,FALSE)," ")</f>
        <v>Rentas</v>
      </c>
      <c r="H935" t="str">
        <f>IFERROR(+VLOOKUP(Movimientos_2026[[#This Row],[Codigo]],Plan_cuentas[],5,FALSE)," ")</f>
        <v>CHACO</v>
      </c>
      <c r="I935" s="43">
        <v>46054</v>
      </c>
      <c r="J935" t="s">
        <v>399</v>
      </c>
      <c r="K935" t="str">
        <f>IFERROR(+VLOOKUP(Movimientos_2026[[#This Row],[Codigo]],Plan_cuentas[],6,FALSE)," ")</f>
        <v>2 - PR - Plan Rombo</v>
      </c>
      <c r="L935" s="50"/>
      <c r="M935" s="52">
        <v>2621227.09</v>
      </c>
      <c r="N935" s="20">
        <f>+Movimientos_2026[[#This Row],[Ingresos]]-Movimientos_2026[[#This Row],[Egresos]]</f>
        <v>-2621227.09</v>
      </c>
      <c r="O935" s="20">
        <f>+O934+Movimientos_2026[[#This Row],[Neto]]</f>
        <v>5538811050.2516069</v>
      </c>
    </row>
    <row r="936" spans="1:15" x14ac:dyDescent="0.25">
      <c r="A936" s="13">
        <v>46093</v>
      </c>
      <c r="B936" s="12">
        <f>MONTH(Movimientos_2026[[#This Row],[Fecha]])</f>
        <v>3</v>
      </c>
      <c r="C936" s="12" t="str">
        <f>VLOOKUP((WEEKDAY(Movimientos_2026[[#This Row],[Fecha]],2)),'5. Setup'!$D$6:$E$12,2,FALSE)</f>
        <v>Jue</v>
      </c>
      <c r="D936">
        <v>2014167</v>
      </c>
      <c r="E936" t="str">
        <f>IFERROR(+VLOOKUP(Movimientos_2026[[#This Row],[Codigo]],Plan_cuentas[],2,FALSE)," ")</f>
        <v>EGRESOS</v>
      </c>
      <c r="F936" t="str">
        <f>IFERROR(+VLOOKUP(Movimientos_2026[[#This Row],[Codigo]],Plan_cuentas[],3,FALSE)," ")</f>
        <v>BtoB</v>
      </c>
      <c r="G936" t="str">
        <f>IFERROR(+VLOOKUP(Movimientos_2026[[#This Row],[Codigo]],Plan_cuentas[],4,FALSE)," ")</f>
        <v>Rentas</v>
      </c>
      <c r="H936" t="str">
        <f>IFERROR(+VLOOKUP(Movimientos_2026[[#This Row],[Codigo]],Plan_cuentas[],5,FALSE)," ")</f>
        <v>CHACO</v>
      </c>
      <c r="I936" s="43">
        <v>46054</v>
      </c>
      <c r="J936" t="s">
        <v>399</v>
      </c>
      <c r="K936" t="str">
        <f>IFERROR(+VLOOKUP(Movimientos_2026[[#This Row],[Codigo]],Plan_cuentas[],6,FALSE)," ")</f>
        <v>7 - PRtr - Plan Rombo Transf.</v>
      </c>
      <c r="L936" s="50"/>
      <c r="M936" s="52">
        <v>346386</v>
      </c>
      <c r="N936" s="20">
        <f>+Movimientos_2026[[#This Row],[Ingresos]]-Movimientos_2026[[#This Row],[Egresos]]</f>
        <v>-346386</v>
      </c>
      <c r="O936" s="20">
        <f>+O935+Movimientos_2026[[#This Row],[Neto]]</f>
        <v>5538464664.2516069</v>
      </c>
    </row>
    <row r="937" spans="1:15" x14ac:dyDescent="0.25">
      <c r="A937" s="13">
        <v>46093</v>
      </c>
      <c r="B937" s="12">
        <f>MONTH(Movimientos_2026[[#This Row],[Fecha]])</f>
        <v>3</v>
      </c>
      <c r="C937" s="12" t="str">
        <f>VLOOKUP((WEEKDAY(Movimientos_2026[[#This Row],[Fecha]],2)),'5. Setup'!$D$6:$E$12,2,FALSE)</f>
        <v>Jue</v>
      </c>
      <c r="D937">
        <v>2014165</v>
      </c>
      <c r="E937" t="str">
        <f>IFERROR(+VLOOKUP(Movimientos_2026[[#This Row],[Codigo]],Plan_cuentas[],2,FALSE)," ")</f>
        <v>EGRESOS</v>
      </c>
      <c r="F937" t="str">
        <f>IFERROR(+VLOOKUP(Movimientos_2026[[#This Row],[Codigo]],Plan_cuentas[],3,FALSE)," ")</f>
        <v>BtoB</v>
      </c>
      <c r="G937" t="str">
        <f>IFERROR(+VLOOKUP(Movimientos_2026[[#This Row],[Codigo]],Plan_cuentas[],4,FALSE)," ")</f>
        <v>Rentas</v>
      </c>
      <c r="H937" t="str">
        <f>IFERROR(+VLOOKUP(Movimientos_2026[[#This Row],[Codigo]],Plan_cuentas[],5,FALSE)," ")</f>
        <v>CHACO</v>
      </c>
      <c r="I937" s="43">
        <v>46054</v>
      </c>
      <c r="J937" t="s">
        <v>400</v>
      </c>
      <c r="K937" t="str">
        <f>IFERROR(+VLOOKUP(Movimientos_2026[[#This Row],[Codigo]],Plan_cuentas[],6,FALSE)," ")</f>
        <v>5 - YAM - Yamaha</v>
      </c>
      <c r="L937" s="50"/>
      <c r="M937" s="52">
        <v>1215530.96</v>
      </c>
      <c r="N937" s="20">
        <f>+Movimientos_2026[[#This Row],[Ingresos]]-Movimientos_2026[[#This Row],[Egresos]]</f>
        <v>-1215530.96</v>
      </c>
      <c r="O937" s="20">
        <f>+O936+Movimientos_2026[[#This Row],[Neto]]</f>
        <v>5537249133.2916069</v>
      </c>
    </row>
    <row r="938" spans="1:15" x14ac:dyDescent="0.25">
      <c r="A938" s="13">
        <v>46093</v>
      </c>
      <c r="B938" s="12">
        <f>MONTH(Movimientos_2026[[#This Row],[Fecha]])</f>
        <v>3</v>
      </c>
      <c r="C938" s="12" t="str">
        <f>VLOOKUP((WEEKDAY(Movimientos_2026[[#This Row],[Fecha]],2)),'5. Setup'!$D$6:$E$12,2,FALSE)</f>
        <v>Jue</v>
      </c>
      <c r="D938">
        <v>2044461</v>
      </c>
      <c r="E938" t="str">
        <f>IFERROR(+VLOOKUP(Movimientos_2026[[#This Row],[Codigo]],Plan_cuentas[],2,FALSE)," ")</f>
        <v>EGRESOS</v>
      </c>
      <c r="F938" t="str">
        <f>IFERROR(+VLOOKUP(Movimientos_2026[[#This Row],[Codigo]],Plan_cuentas[],3,FALSE)," ")</f>
        <v>Transferencia</v>
      </c>
      <c r="G938" t="str">
        <f>IFERROR(+VLOOKUP(Movimientos_2026[[#This Row],[Codigo]],Plan_cuentas[],4,FALSE)," ")</f>
        <v>Rentas</v>
      </c>
      <c r="H938" t="str">
        <f>IFERROR(+VLOOKUP(Movimientos_2026[[#This Row],[Codigo]],Plan_cuentas[],5,FALSE)," ")</f>
        <v>MISIONES</v>
      </c>
      <c r="I938" s="43">
        <v>46054</v>
      </c>
      <c r="J938" t="s">
        <v>401</v>
      </c>
      <c r="K938" t="str">
        <f>IFERROR(+VLOOKUP(Movimientos_2026[[#This Row],[Codigo]],Plan_cuentas[],6,FALSE)," ")</f>
        <v>1 - VW - Volkswagen</v>
      </c>
      <c r="L938" s="50"/>
      <c r="M938" s="52">
        <v>2413337.4700000002</v>
      </c>
      <c r="N938" s="20">
        <f>+Movimientos_2026[[#This Row],[Ingresos]]-Movimientos_2026[[#This Row],[Egresos]]</f>
        <v>-2413337.4700000002</v>
      </c>
      <c r="O938" s="20">
        <f>+O937+Movimientos_2026[[#This Row],[Neto]]</f>
        <v>5534835795.8216066</v>
      </c>
    </row>
    <row r="939" spans="1:15" x14ac:dyDescent="0.25">
      <c r="A939" s="13">
        <v>46094</v>
      </c>
      <c r="B939" s="12">
        <f>MONTH(Movimientos_2026[[#This Row],[Fecha]])</f>
        <v>3</v>
      </c>
      <c r="C939" s="12" t="str">
        <f>VLOOKUP((WEEKDAY(Movimientos_2026[[#This Row],[Fecha]],2)),'5. Setup'!$D$6:$E$12,2,FALSE)</f>
        <v>Vie</v>
      </c>
      <c r="D939">
        <v>2014363</v>
      </c>
      <c r="E939" t="str">
        <f>IFERROR(+VLOOKUP(Movimientos_2026[[#This Row],[Codigo]],Plan_cuentas[],2,FALSE)," ")</f>
        <v>EGRESOS</v>
      </c>
      <c r="F939" t="str">
        <f>IFERROR(+VLOOKUP(Movimientos_2026[[#This Row],[Codigo]],Plan_cuentas[],3,FALSE)," ")</f>
        <v>BtoB</v>
      </c>
      <c r="G939" t="str">
        <f>IFERROR(+VLOOKUP(Movimientos_2026[[#This Row],[Codigo]],Plan_cuentas[],4,FALSE)," ")</f>
        <v>Rentas</v>
      </c>
      <c r="H939" t="str">
        <f>IFERROR(+VLOOKUP(Movimientos_2026[[#This Row],[Codigo]],Plan_cuentas[],5,FALSE)," ")</f>
        <v>SAN LUIS</v>
      </c>
      <c r="I939" s="43">
        <v>46054</v>
      </c>
      <c r="J939" t="s">
        <v>402</v>
      </c>
      <c r="K939" t="str">
        <f>IFERROR(+VLOOKUP(Movimientos_2026[[#This Row],[Codigo]],Plan_cuentas[],6,FALSE)," ")</f>
        <v>3 - GM - Chevrolet</v>
      </c>
      <c r="L939" s="50"/>
      <c r="M939" s="50">
        <v>15248546.960000001</v>
      </c>
      <c r="N939" s="20">
        <f>+Movimientos_2026[[#This Row],[Ingresos]]-Movimientos_2026[[#This Row],[Egresos]]</f>
        <v>-15248546.960000001</v>
      </c>
      <c r="O939" s="20">
        <f>+O938+Movimientos_2026[[#This Row],[Neto]]</f>
        <v>5519587248.8616066</v>
      </c>
    </row>
    <row r="940" spans="1:15" x14ac:dyDescent="0.25">
      <c r="A940" s="13">
        <v>46094</v>
      </c>
      <c r="B940" s="12">
        <f>MONTH(Movimientos_2026[[#This Row],[Fecha]])</f>
        <v>3</v>
      </c>
      <c r="C940" s="12" t="str">
        <f>VLOOKUP((WEEKDAY(Movimientos_2026[[#This Row],[Fecha]],2)),'5. Setup'!$D$6:$E$12,2,FALSE)</f>
        <v>Vie</v>
      </c>
      <c r="D940">
        <v>2014173</v>
      </c>
      <c r="E940" t="str">
        <f>IFERROR(+VLOOKUP(Movimientos_2026[[#This Row],[Codigo]],Plan_cuentas[],2,FALSE)," ")</f>
        <v>EGRESOS</v>
      </c>
      <c r="F940" t="str">
        <f>IFERROR(+VLOOKUP(Movimientos_2026[[#This Row],[Codigo]],Plan_cuentas[],3,FALSE)," ")</f>
        <v>BtoB</v>
      </c>
      <c r="G940" t="str">
        <f>IFERROR(+VLOOKUP(Movimientos_2026[[#This Row],[Codigo]],Plan_cuentas[],4,FALSE)," ")</f>
        <v>Rentas</v>
      </c>
      <c r="H940" t="str">
        <f>IFERROR(+VLOOKUP(Movimientos_2026[[#This Row],[Codigo]],Plan_cuentas[],5,FALSE)," ")</f>
        <v>CHUBUT</v>
      </c>
      <c r="I940" s="43">
        <v>46054</v>
      </c>
      <c r="J940" t="s">
        <v>403</v>
      </c>
      <c r="K940" t="str">
        <f>IFERROR(+VLOOKUP(Movimientos_2026[[#This Row],[Codigo]],Plan_cuentas[],6,FALSE)," ")</f>
        <v>3 - GM - Chevrolet</v>
      </c>
      <c r="L940" s="50"/>
      <c r="M940" s="50">
        <v>14073140.65</v>
      </c>
      <c r="N940" s="20">
        <f>+Movimientos_2026[[#This Row],[Ingresos]]-Movimientos_2026[[#This Row],[Egresos]]</f>
        <v>-14073140.65</v>
      </c>
      <c r="O940" s="20">
        <f>+O939+Movimientos_2026[[#This Row],[Neto]]</f>
        <v>5505514108.211607</v>
      </c>
    </row>
    <row r="941" spans="1:15" x14ac:dyDescent="0.25">
      <c r="A941" s="13">
        <v>46094</v>
      </c>
      <c r="B941" s="12">
        <f>MONTH(Movimientos_2026[[#This Row],[Fecha]])</f>
        <v>3</v>
      </c>
      <c r="C941" s="12" t="str">
        <f>VLOOKUP((WEEKDAY(Movimientos_2026[[#This Row],[Fecha]],2)),'5. Setup'!$D$6:$E$12,2,FALSE)</f>
        <v>Vie</v>
      </c>
      <c r="D941">
        <v>2014163</v>
      </c>
      <c r="E941" t="str">
        <f>IFERROR(+VLOOKUP(Movimientos_2026[[#This Row],[Codigo]],Plan_cuentas[],2,FALSE)," ")</f>
        <v>EGRESOS</v>
      </c>
      <c r="F941" t="str">
        <f>IFERROR(+VLOOKUP(Movimientos_2026[[#This Row],[Codigo]],Plan_cuentas[],3,FALSE)," ")</f>
        <v>BtoB</v>
      </c>
      <c r="G941" t="str">
        <f>IFERROR(+VLOOKUP(Movimientos_2026[[#This Row],[Codigo]],Plan_cuentas[],4,FALSE)," ")</f>
        <v>Rentas</v>
      </c>
      <c r="H941" t="str">
        <f>IFERROR(+VLOOKUP(Movimientos_2026[[#This Row],[Codigo]],Plan_cuentas[],5,FALSE)," ")</f>
        <v>CHACO</v>
      </c>
      <c r="I941" s="43">
        <v>46054</v>
      </c>
      <c r="J941" t="s">
        <v>404</v>
      </c>
      <c r="K941" t="str">
        <f>IFERROR(+VLOOKUP(Movimientos_2026[[#This Row],[Codigo]],Plan_cuentas[],6,FALSE)," ")</f>
        <v>3 - GM - Chevrolet</v>
      </c>
      <c r="L941" s="50"/>
      <c r="M941" s="52">
        <v>45004032.380000003</v>
      </c>
      <c r="N941" s="20">
        <f>+Movimientos_2026[[#This Row],[Ingresos]]-Movimientos_2026[[#This Row],[Egresos]]</f>
        <v>-45004032.380000003</v>
      </c>
      <c r="O941" s="20">
        <f>+O939+Movimientos_2026[[#This Row],[Neto]]</f>
        <v>5474583216.4816065</v>
      </c>
    </row>
    <row r="942" spans="1:15" x14ac:dyDescent="0.25">
      <c r="A942" s="13">
        <v>46094</v>
      </c>
      <c r="B942" s="12">
        <f>MONTH(Movimientos_2026[[#This Row],[Fecha]])</f>
        <v>3</v>
      </c>
      <c r="C942" s="12" t="str">
        <f>VLOOKUP((WEEKDAY(Movimientos_2026[[#This Row],[Fecha]],2)),'5. Setup'!$D$6:$E$12,2,FALSE)</f>
        <v>Vie</v>
      </c>
      <c r="D942">
        <v>2023172</v>
      </c>
      <c r="E942" t="str">
        <f>IFERROR(+VLOOKUP(Movimientos_2026[[#This Row],[Codigo]],Plan_cuentas[],2,FALSE)," ")</f>
        <v>EGRESOS</v>
      </c>
      <c r="F942" t="str">
        <f>IFERROR(+VLOOKUP(Movimientos_2026[[#This Row],[Codigo]],Plan_cuentas[],3,FALSE)," ")</f>
        <v>DDJJ</v>
      </c>
      <c r="G942" t="str">
        <f>IFERROR(+VLOOKUP(Movimientos_2026[[#This Row],[Codigo]],Plan_cuentas[],4,FALSE)," ")</f>
        <v>Registración</v>
      </c>
      <c r="H942" t="str">
        <f>IFERROR(+VLOOKUP(Movimientos_2026[[#This Row],[Codigo]],Plan_cuentas[],5,FALSE)," ")</f>
        <v>CHUBUT</v>
      </c>
      <c r="I942" s="43">
        <v>46054</v>
      </c>
      <c r="J942" t="s">
        <v>405</v>
      </c>
      <c r="K942" t="str">
        <f>IFERROR(+VLOOKUP(Movimientos_2026[[#This Row],[Codigo]],Plan_cuentas[],6,FALSE)," ")</f>
        <v>2 - PR - Plan Rombo</v>
      </c>
      <c r="L942" s="50"/>
      <c r="M942" s="52">
        <v>21309480.280000001</v>
      </c>
      <c r="N942" s="20">
        <f>+Movimientos_2026[[#This Row],[Ingresos]]-Movimientos_2026[[#This Row],[Egresos]]</f>
        <v>-21309480.280000001</v>
      </c>
      <c r="O942" s="20">
        <f>+O941+Movimientos_2026[[#This Row],[Neto]]</f>
        <v>5453273736.2016068</v>
      </c>
    </row>
    <row r="943" spans="1:15" x14ac:dyDescent="0.25">
      <c r="A943" s="13">
        <v>46094</v>
      </c>
      <c r="B943" s="12">
        <f>MONTH(Movimientos_2026[[#This Row],[Fecha]])</f>
        <v>3</v>
      </c>
      <c r="C943" s="12" t="str">
        <f>VLOOKUP((WEEKDAY(Movimientos_2026[[#This Row],[Fecha]],2)),'5. Setup'!$D$6:$E$12,2,FALSE)</f>
        <v>Vie</v>
      </c>
      <c r="D943">
        <v>2023175</v>
      </c>
      <c r="E943" t="str">
        <f>IFERROR(+VLOOKUP(Movimientos_2026[[#This Row],[Codigo]],Plan_cuentas[],2,FALSE)," ")</f>
        <v>EGRESOS</v>
      </c>
      <c r="F943" t="str">
        <f>IFERROR(+VLOOKUP(Movimientos_2026[[#This Row],[Codigo]],Plan_cuentas[],3,FALSE)," ")</f>
        <v>DDJJ</v>
      </c>
      <c r="G943" t="str">
        <f>IFERROR(+VLOOKUP(Movimientos_2026[[#This Row],[Codigo]],Plan_cuentas[],4,FALSE)," ")</f>
        <v>Registración</v>
      </c>
      <c r="H943" t="str">
        <f>IFERROR(+VLOOKUP(Movimientos_2026[[#This Row],[Codigo]],Plan_cuentas[],5,FALSE)," ")</f>
        <v>CHUBUT</v>
      </c>
      <c r="I943" s="43">
        <v>46054</v>
      </c>
      <c r="J943" t="s">
        <v>405</v>
      </c>
      <c r="K943" t="str">
        <f>IFERROR(+VLOOKUP(Movimientos_2026[[#This Row],[Codigo]],Plan_cuentas[],6,FALSE)," ")</f>
        <v>5 - YAM - Yamaha</v>
      </c>
      <c r="L943" s="50"/>
      <c r="M943" s="52">
        <v>222559.65</v>
      </c>
      <c r="N943" s="20">
        <f>+Movimientos_2026[[#This Row],[Ingresos]]-Movimientos_2026[[#This Row],[Egresos]]</f>
        <v>-222559.65</v>
      </c>
      <c r="O943" s="20">
        <f>+O942+Movimientos_2026[[#This Row],[Neto]]</f>
        <v>5453051176.5516071</v>
      </c>
    </row>
    <row r="944" spans="1:15" x14ac:dyDescent="0.25">
      <c r="A944" s="13">
        <v>46094</v>
      </c>
      <c r="B944" s="12">
        <f>MONTH(Movimientos_2026[[#This Row],[Fecha]])</f>
        <v>3</v>
      </c>
      <c r="C944" s="12" t="str">
        <f>VLOOKUP((WEEKDAY(Movimientos_2026[[#This Row],[Fecha]],2)),'5. Setup'!$D$6:$E$12,2,FALSE)</f>
        <v>Vie</v>
      </c>
      <c r="D944">
        <v>2023176</v>
      </c>
      <c r="E944" t="str">
        <f>IFERROR(+VLOOKUP(Movimientos_2026[[#This Row],[Codigo]],Plan_cuentas[],2,FALSE)," ")</f>
        <v>EGRESOS</v>
      </c>
      <c r="F944" t="str">
        <f>IFERROR(+VLOOKUP(Movimientos_2026[[#This Row],[Codigo]],Plan_cuentas[],3,FALSE)," ")</f>
        <v>DDJJ</v>
      </c>
      <c r="G944" t="str">
        <f>IFERROR(+VLOOKUP(Movimientos_2026[[#This Row],[Codigo]],Plan_cuentas[],4,FALSE)," ")</f>
        <v>Registración</v>
      </c>
      <c r="H944" t="str">
        <f>IFERROR(+VLOOKUP(Movimientos_2026[[#This Row],[Codigo]],Plan_cuentas[],5,FALSE)," ")</f>
        <v>CHUBUT</v>
      </c>
      <c r="I944" s="43">
        <v>46054</v>
      </c>
      <c r="J944" t="s">
        <v>405</v>
      </c>
      <c r="K944" t="str">
        <f>IFERROR(+VLOOKUP(Movimientos_2026[[#This Row],[Codigo]],Plan_cuentas[],6,FALSE)," ")</f>
        <v>6 - FCAtr - Fiat Transf.</v>
      </c>
      <c r="L944" s="50"/>
      <c r="M944" s="50">
        <v>1547906.28</v>
      </c>
      <c r="N944" s="20">
        <f>+Movimientos_2026[[#This Row],[Ingresos]]-Movimientos_2026[[#This Row],[Egresos]]</f>
        <v>-1547906.28</v>
      </c>
      <c r="O944" s="20">
        <f>+O943+Movimientos_2026[[#This Row],[Neto]]</f>
        <v>5451503270.2716074</v>
      </c>
    </row>
    <row r="945" spans="1:15" x14ac:dyDescent="0.25">
      <c r="A945" s="13">
        <v>46094</v>
      </c>
      <c r="B945" s="12">
        <f>MONTH(Movimientos_2026[[#This Row],[Fecha]])</f>
        <v>3</v>
      </c>
      <c r="C945" s="12" t="str">
        <f>VLOOKUP((WEEKDAY(Movimientos_2026[[#This Row],[Fecha]],2)),'5. Setup'!$D$6:$E$12,2,FALSE)</f>
        <v>Vie</v>
      </c>
      <c r="D945">
        <v>2023177</v>
      </c>
      <c r="E945" t="str">
        <f>IFERROR(+VLOOKUP(Movimientos_2026[[#This Row],[Codigo]],Plan_cuentas[],2,FALSE)," ")</f>
        <v>EGRESOS</v>
      </c>
      <c r="F945" t="str">
        <f>IFERROR(+VLOOKUP(Movimientos_2026[[#This Row],[Codigo]],Plan_cuentas[],3,FALSE)," ")</f>
        <v>DDJJ</v>
      </c>
      <c r="G945" t="str">
        <f>IFERROR(+VLOOKUP(Movimientos_2026[[#This Row],[Codigo]],Plan_cuentas[],4,FALSE)," ")</f>
        <v>Registración</v>
      </c>
      <c r="H945" t="str">
        <f>IFERROR(+VLOOKUP(Movimientos_2026[[#This Row],[Codigo]],Plan_cuentas[],5,FALSE)," ")</f>
        <v>CHUBUT</v>
      </c>
      <c r="I945" s="43">
        <v>46054</v>
      </c>
      <c r="J945" t="s">
        <v>405</v>
      </c>
      <c r="K945" t="str">
        <f>IFERROR(+VLOOKUP(Movimientos_2026[[#This Row],[Codigo]],Plan_cuentas[],6,FALSE)," ")</f>
        <v>7 - PRtr - Plan Rombo Transf.</v>
      </c>
      <c r="L945" s="50"/>
      <c r="M945" s="50">
        <v>240185.33</v>
      </c>
      <c r="N945" s="20">
        <f>+Movimientos_2026[[#This Row],[Ingresos]]-Movimientos_2026[[#This Row],[Egresos]]</f>
        <v>-240185.33</v>
      </c>
      <c r="O945" s="20">
        <f>+O944+Movimientos_2026[[#This Row],[Neto]]</f>
        <v>5451263084.9416075</v>
      </c>
    </row>
    <row r="946" spans="1:15" x14ac:dyDescent="0.25">
      <c r="A946" s="13">
        <v>46094</v>
      </c>
      <c r="B946" s="12">
        <f>MONTH(Movimientos_2026[[#This Row],[Fecha]])</f>
        <v>3</v>
      </c>
      <c r="C946" s="12" t="str">
        <f>VLOOKUP((WEEKDAY(Movimientos_2026[[#This Row],[Fecha]],2)),'5. Setup'!$D$6:$E$12,2,FALSE)</f>
        <v>Vie</v>
      </c>
      <c r="D946">
        <v>2023341</v>
      </c>
      <c r="E946" t="str">
        <f>IFERROR(+VLOOKUP(Movimientos_2026[[#This Row],[Codigo]],Plan_cuentas[],2,FALSE)," ")</f>
        <v>EGRESOS</v>
      </c>
      <c r="F946" t="str">
        <f>IFERROR(+VLOOKUP(Movimientos_2026[[#This Row],[Codigo]],Plan_cuentas[],3,FALSE)," ")</f>
        <v>DDJJ</v>
      </c>
      <c r="G946" t="str">
        <f>IFERROR(+VLOOKUP(Movimientos_2026[[#This Row],[Codigo]],Plan_cuentas[],4,FALSE)," ")</f>
        <v>Registración</v>
      </c>
      <c r="H946" t="str">
        <f>IFERROR(+VLOOKUP(Movimientos_2026[[#This Row],[Codigo]],Plan_cuentas[],5,FALSE)," ")</f>
        <v>RIO NEGRO</v>
      </c>
      <c r="I946" s="43">
        <v>46054</v>
      </c>
      <c r="J946" t="s">
        <v>406</v>
      </c>
      <c r="K946" t="str">
        <f>IFERROR(+VLOOKUP(Movimientos_2026[[#This Row],[Codigo]],Plan_cuentas[],6,FALSE)," ")</f>
        <v>1 - VW - Volkswagen</v>
      </c>
      <c r="L946" s="50"/>
      <c r="M946" s="52">
        <v>38297893.270000003</v>
      </c>
      <c r="N946" s="20">
        <f>+Movimientos_2026[[#This Row],[Ingresos]]-Movimientos_2026[[#This Row],[Egresos]]</f>
        <v>-38297893.270000003</v>
      </c>
      <c r="O946" s="20">
        <f>+O945+Movimientos_2026[[#This Row],[Neto]]</f>
        <v>5412965191.671607</v>
      </c>
    </row>
    <row r="947" spans="1:15" x14ac:dyDescent="0.25">
      <c r="A947" s="13">
        <v>46094</v>
      </c>
      <c r="B947" s="12">
        <f>MONTH(Movimientos_2026[[#This Row],[Fecha]])</f>
        <v>3</v>
      </c>
      <c r="C947" s="12" t="str">
        <f>VLOOKUP((WEEKDAY(Movimientos_2026[[#This Row],[Fecha]],2)),'5. Setup'!$D$6:$E$12,2,FALSE)</f>
        <v>Vie</v>
      </c>
      <c r="D947">
        <v>2044403</v>
      </c>
      <c r="E947" t="str">
        <f>IFERROR(+VLOOKUP(Movimientos_2026[[#This Row],[Codigo]],Plan_cuentas[],2,FALSE)," ")</f>
        <v>EGRESOS</v>
      </c>
      <c r="F947" t="str">
        <f>IFERROR(+VLOOKUP(Movimientos_2026[[#This Row],[Codigo]],Plan_cuentas[],3,FALSE)," ")</f>
        <v>Transferencia</v>
      </c>
      <c r="G947" t="str">
        <f>IFERROR(+VLOOKUP(Movimientos_2026[[#This Row],[Codigo]],Plan_cuentas[],4,FALSE)," ")</f>
        <v>Rentas</v>
      </c>
      <c r="H947" t="str">
        <f>IFERROR(+VLOOKUP(Movimientos_2026[[#This Row],[Codigo]],Plan_cuentas[],5,FALSE)," ")</f>
        <v>SANTIAGO DEL ESTERO</v>
      </c>
      <c r="I947" s="43">
        <v>46054</v>
      </c>
      <c r="J947" t="s">
        <v>407</v>
      </c>
      <c r="K947" t="str">
        <f>IFERROR(+VLOOKUP(Movimientos_2026[[#This Row],[Codigo]],Plan_cuentas[],6,FALSE)," ")</f>
        <v>3 - GM - Chevrolet</v>
      </c>
      <c r="L947" s="50"/>
      <c r="M947" s="52">
        <v>24034190.399999999</v>
      </c>
      <c r="N947" s="20">
        <f>+Movimientos_2026[[#This Row],[Ingresos]]-Movimientos_2026[[#This Row],[Egresos]]</f>
        <v>-24034190.399999999</v>
      </c>
      <c r="O947" s="20">
        <f>+O946+Movimientos_2026[[#This Row],[Neto]]</f>
        <v>5388931001.2716074</v>
      </c>
    </row>
    <row r="948" spans="1:15" x14ac:dyDescent="0.25">
      <c r="A948" s="13">
        <v>46094</v>
      </c>
      <c r="B948" s="12">
        <f>MONTH(Movimientos_2026[[#This Row],[Fecha]])</f>
        <v>3</v>
      </c>
      <c r="C948" s="12" t="str">
        <f>VLOOKUP((WEEKDAY(Movimientos_2026[[#This Row],[Fecha]],2)),'5. Setup'!$D$6:$E$12,2,FALSE)</f>
        <v>Vie</v>
      </c>
      <c r="D948">
        <v>2044405</v>
      </c>
      <c r="E948" t="str">
        <f>IFERROR(+VLOOKUP(Movimientos_2026[[#This Row],[Codigo]],Plan_cuentas[],2,FALSE)," ")</f>
        <v>EGRESOS</v>
      </c>
      <c r="F948" t="str">
        <f>IFERROR(+VLOOKUP(Movimientos_2026[[#This Row],[Codigo]],Plan_cuentas[],3,FALSE)," ")</f>
        <v>Transferencia</v>
      </c>
      <c r="G948" t="str">
        <f>IFERROR(+VLOOKUP(Movimientos_2026[[#This Row],[Codigo]],Plan_cuentas[],4,FALSE)," ")</f>
        <v>Rentas</v>
      </c>
      <c r="H948" t="str">
        <f>IFERROR(+VLOOKUP(Movimientos_2026[[#This Row],[Codigo]],Plan_cuentas[],5,FALSE)," ")</f>
        <v>SANTIAGO DEL ESTERO</v>
      </c>
      <c r="I948" s="43">
        <v>46054</v>
      </c>
      <c r="J948" t="s">
        <v>408</v>
      </c>
      <c r="K948" t="str">
        <f>IFERROR(+VLOOKUP(Movimientos_2026[[#This Row],[Codigo]],Plan_cuentas[],6,FALSE)," ")</f>
        <v>5 - YAM - Yamaha</v>
      </c>
      <c r="L948" s="50"/>
      <c r="M948" s="52">
        <v>174142.34</v>
      </c>
      <c r="N948" s="20">
        <f>+Movimientos_2026[[#This Row],[Ingresos]]-Movimientos_2026[[#This Row],[Egresos]]</f>
        <v>-174142.34</v>
      </c>
      <c r="O948" s="20">
        <f>+O947+Movimientos_2026[[#This Row],[Neto]]</f>
        <v>5388756858.9316072</v>
      </c>
    </row>
    <row r="949" spans="1:15" x14ac:dyDescent="0.25">
      <c r="A949" s="13">
        <v>46094</v>
      </c>
      <c r="B949" s="12">
        <f>MONTH(Movimientos_2026[[#This Row],[Fecha]])</f>
        <v>3</v>
      </c>
      <c r="C949" s="12" t="str">
        <f>VLOOKUP((WEEKDAY(Movimientos_2026[[#This Row],[Fecha]],2)),'5. Setup'!$D$6:$E$12,2,FALSE)</f>
        <v>Vie</v>
      </c>
      <c r="D949">
        <v>2044366</v>
      </c>
      <c r="E949" t="str">
        <f>IFERROR(+VLOOKUP(Movimientos_2026[[#This Row],[Codigo]],Plan_cuentas[],2,FALSE)," ")</f>
        <v>EGRESOS</v>
      </c>
      <c r="F949" t="str">
        <f>IFERROR(+VLOOKUP(Movimientos_2026[[#This Row],[Codigo]],Plan_cuentas[],3,FALSE)," ")</f>
        <v>Transferencia</v>
      </c>
      <c r="G949" t="str">
        <f>IFERROR(+VLOOKUP(Movimientos_2026[[#This Row],[Codigo]],Plan_cuentas[],4,FALSE)," ")</f>
        <v>Rentas</v>
      </c>
      <c r="H949" t="str">
        <f>IFERROR(+VLOOKUP(Movimientos_2026[[#This Row],[Codigo]],Plan_cuentas[],5,FALSE)," ")</f>
        <v>SAN LUIS</v>
      </c>
      <c r="I949" s="43">
        <v>46023</v>
      </c>
      <c r="J949" t="s">
        <v>409</v>
      </c>
      <c r="K949" t="str">
        <f>IFERROR(+VLOOKUP(Movimientos_2026[[#This Row],[Codigo]],Plan_cuentas[],6,FALSE)," ")</f>
        <v>6 - FCAtr - Fiat Transf.</v>
      </c>
      <c r="L949" s="50"/>
      <c r="M949" s="50">
        <v>310638.59999999998</v>
      </c>
      <c r="N949" s="20">
        <f>+Movimientos_2026[[#This Row],[Ingresos]]-Movimientos_2026[[#This Row],[Egresos]]</f>
        <v>-310638.59999999998</v>
      </c>
      <c r="O949" s="20">
        <f>+O948+Movimientos_2026[[#This Row],[Neto]]</f>
        <v>5388446220.3316069</v>
      </c>
    </row>
    <row r="950" spans="1:15" x14ac:dyDescent="0.25">
      <c r="A950" s="13">
        <v>46097</v>
      </c>
      <c r="B950" s="12">
        <f>MONTH(Movimientos_2026[[#This Row],[Fecha]])</f>
        <v>3</v>
      </c>
      <c r="C950" s="12" t="str">
        <f>VLOOKUP((WEEKDAY(Movimientos_2026[[#This Row],[Fecha]],2)),'5. Setup'!$D$6:$E$12,2,FALSE)</f>
        <v>Lun</v>
      </c>
      <c r="D950">
        <v>2014361</v>
      </c>
      <c r="E950" t="str">
        <f>IFERROR(+VLOOKUP(Movimientos_2026[[#This Row],[Codigo]],Plan_cuentas[],2,FALSE)," ")</f>
        <v>EGRESOS</v>
      </c>
      <c r="F950" t="str">
        <f>IFERROR(+VLOOKUP(Movimientos_2026[[#This Row],[Codigo]],Plan_cuentas[],3,FALSE)," ")</f>
        <v>BtoB</v>
      </c>
      <c r="G950" t="str">
        <f>IFERROR(+VLOOKUP(Movimientos_2026[[#This Row],[Codigo]],Plan_cuentas[],4,FALSE)," ")</f>
        <v>Rentas</v>
      </c>
      <c r="H950" t="str">
        <f>IFERROR(+VLOOKUP(Movimientos_2026[[#This Row],[Codigo]],Plan_cuentas[],5,FALSE)," ")</f>
        <v>SAN LUIS</v>
      </c>
      <c r="I950" s="43">
        <v>46054</v>
      </c>
      <c r="J950" t="s">
        <v>410</v>
      </c>
      <c r="K950" t="str">
        <f>IFERROR(+VLOOKUP(Movimientos_2026[[#This Row],[Codigo]],Plan_cuentas[],6,FALSE)," ")</f>
        <v>1 - VW - Volkswagen</v>
      </c>
      <c r="L950" s="50"/>
      <c r="M950" s="50">
        <v>10630634.380000001</v>
      </c>
      <c r="N950" s="20">
        <f>+Movimientos_2026[[#This Row],[Ingresos]]-Movimientos_2026[[#This Row],[Egresos]]</f>
        <v>-10630634.380000001</v>
      </c>
      <c r="O950" s="20">
        <f>+O949+Movimientos_2026[[#This Row],[Neto]]</f>
        <v>5377815585.9516068</v>
      </c>
    </row>
    <row r="951" spans="1:15" x14ac:dyDescent="0.25">
      <c r="A951" s="13">
        <v>46097</v>
      </c>
      <c r="B951" s="12">
        <f>MONTH(Movimientos_2026[[#This Row],[Fecha]])</f>
        <v>3</v>
      </c>
      <c r="C951" s="12" t="str">
        <f>VLOOKUP((WEEKDAY(Movimientos_2026[[#This Row],[Fecha]],2)),'5. Setup'!$D$6:$E$12,2,FALSE)</f>
        <v>Lun</v>
      </c>
      <c r="D951">
        <v>2014171</v>
      </c>
      <c r="E951" t="str">
        <f>IFERROR(+VLOOKUP(Movimientos_2026[[#This Row],[Codigo]],Plan_cuentas[],2,FALSE)," ")</f>
        <v>EGRESOS</v>
      </c>
      <c r="F951" t="str">
        <f>IFERROR(+VLOOKUP(Movimientos_2026[[#This Row],[Codigo]],Plan_cuentas[],3,FALSE)," ")</f>
        <v>BtoB</v>
      </c>
      <c r="G951" t="str">
        <f>IFERROR(+VLOOKUP(Movimientos_2026[[#This Row],[Codigo]],Plan_cuentas[],4,FALSE)," ")</f>
        <v>Rentas</v>
      </c>
      <c r="H951" t="str">
        <f>IFERROR(+VLOOKUP(Movimientos_2026[[#This Row],[Codigo]],Plan_cuentas[],5,FALSE)," ")</f>
        <v>CHUBUT</v>
      </c>
      <c r="I951" s="43">
        <v>46054</v>
      </c>
      <c r="J951" t="s">
        <v>411</v>
      </c>
      <c r="K951" t="str">
        <f>IFERROR(+VLOOKUP(Movimientos_2026[[#This Row],[Codigo]],Plan_cuentas[],6,FALSE)," ")</f>
        <v>1 - VW - Volkswagen</v>
      </c>
      <c r="L951" s="50"/>
      <c r="M951" s="50">
        <v>10446953.76</v>
      </c>
      <c r="N951" s="20">
        <f>+Movimientos_2026[[#This Row],[Ingresos]]-Movimientos_2026[[#This Row],[Egresos]]</f>
        <v>-10446953.76</v>
      </c>
      <c r="O951" s="20">
        <f>+O950+Movimientos_2026[[#This Row],[Neto]]</f>
        <v>5367368632.1916065</v>
      </c>
    </row>
    <row r="952" spans="1:15" x14ac:dyDescent="0.25">
      <c r="A952" s="13">
        <v>46097</v>
      </c>
      <c r="B952" s="12">
        <f>MONTH(Movimientos_2026[[#This Row],[Fecha]])</f>
        <v>3</v>
      </c>
      <c r="C952" s="12" t="str">
        <f>VLOOKUP((WEEKDAY(Movimientos_2026[[#This Row],[Fecha]],2)),'5. Setup'!$D$6:$E$12,2,FALSE)</f>
        <v>Lun</v>
      </c>
      <c r="D952">
        <v>2014161</v>
      </c>
      <c r="E952" t="str">
        <f>IFERROR(+VLOOKUP(Movimientos_2026[[#This Row],[Codigo]],Plan_cuentas[],2,FALSE)," ")</f>
        <v>EGRESOS</v>
      </c>
      <c r="F952" t="str">
        <f>IFERROR(+VLOOKUP(Movimientos_2026[[#This Row],[Codigo]],Plan_cuentas[],3,FALSE)," ")</f>
        <v>BtoB</v>
      </c>
      <c r="G952" t="str">
        <f>IFERROR(+VLOOKUP(Movimientos_2026[[#This Row],[Codigo]],Plan_cuentas[],4,FALSE)," ")</f>
        <v>Rentas</v>
      </c>
      <c r="H952" t="str">
        <f>IFERROR(+VLOOKUP(Movimientos_2026[[#This Row],[Codigo]],Plan_cuentas[],5,FALSE)," ")</f>
        <v>CHACO</v>
      </c>
      <c r="I952" s="43">
        <v>46054</v>
      </c>
      <c r="J952" t="s">
        <v>412</v>
      </c>
      <c r="K952" t="str">
        <f>IFERROR(+VLOOKUP(Movimientos_2026[[#This Row],[Codigo]],Plan_cuentas[],6,FALSE)," ")</f>
        <v>1 - VW - Volkswagen</v>
      </c>
      <c r="L952" s="50"/>
      <c r="M952" s="50">
        <v>29417369.489999998</v>
      </c>
      <c r="N952" s="20">
        <f>+Movimientos_2026[[#This Row],[Ingresos]]-Movimientos_2026[[#This Row],[Egresos]]</f>
        <v>-29417369.489999998</v>
      </c>
      <c r="O952" s="20">
        <f>+O951+Movimientos_2026[[#This Row],[Neto]]</f>
        <v>5337951262.7016068</v>
      </c>
    </row>
    <row r="953" spans="1:15" x14ac:dyDescent="0.25">
      <c r="A953" s="13">
        <v>46097</v>
      </c>
      <c r="B953" s="12">
        <f>MONTH(Movimientos_2026[[#This Row],[Fecha]])</f>
        <v>3</v>
      </c>
      <c r="C953" s="12" t="str">
        <f>VLOOKUP((WEEKDAY(Movimientos_2026[[#This Row],[Fecha]],2)),'5. Setup'!$D$6:$E$12,2,FALSE)</f>
        <v>Lun</v>
      </c>
      <c r="D953">
        <v>2014263</v>
      </c>
      <c r="E953" t="str">
        <f>IFERROR(+VLOOKUP(Movimientos_2026[[#This Row],[Codigo]],Plan_cuentas[],2,FALSE)," ")</f>
        <v>EGRESOS</v>
      </c>
      <c r="F953" t="str">
        <f>IFERROR(+VLOOKUP(Movimientos_2026[[#This Row],[Codigo]],Plan_cuentas[],3,FALSE)," ")</f>
        <v>BtoB</v>
      </c>
      <c r="G953" t="str">
        <f>IFERROR(+VLOOKUP(Movimientos_2026[[#This Row],[Codigo]],Plan_cuentas[],4,FALSE)," ")</f>
        <v>Rentas</v>
      </c>
      <c r="H953" t="str">
        <f>IFERROR(+VLOOKUP(Movimientos_2026[[#This Row],[Codigo]],Plan_cuentas[],5,FALSE)," ")</f>
        <v>LA PAMPA</v>
      </c>
      <c r="I953" s="43">
        <v>46054</v>
      </c>
      <c r="J953" t="s">
        <v>413</v>
      </c>
      <c r="K953" t="str">
        <f>IFERROR(+VLOOKUP(Movimientos_2026[[#This Row],[Codigo]],Plan_cuentas[],6,FALSE)," ")</f>
        <v>3 - GM - Chevrolet</v>
      </c>
      <c r="L953" s="50"/>
      <c r="M953" s="52">
        <v>5958679.71</v>
      </c>
      <c r="N953" s="20">
        <f>+Movimientos_2026[[#This Row],[Ingresos]]-Movimientos_2026[[#This Row],[Egresos]]</f>
        <v>-5958679.71</v>
      </c>
      <c r="O953" s="20">
        <f>+O952+Movimientos_2026[[#This Row],[Neto]]</f>
        <v>5331992582.9916067</v>
      </c>
    </row>
    <row r="954" spans="1:15" x14ac:dyDescent="0.25">
      <c r="A954" s="13">
        <v>46097</v>
      </c>
      <c r="B954" s="12">
        <f>MONTH(Movimientos_2026[[#This Row],[Fecha]])</f>
        <v>3</v>
      </c>
      <c r="C954" s="12" t="str">
        <f>VLOOKUP((WEEKDAY(Movimientos_2026[[#This Row],[Fecha]],2)),'5. Setup'!$D$6:$E$12,2,FALSE)</f>
        <v>Lun</v>
      </c>
      <c r="D954">
        <v>2014353</v>
      </c>
      <c r="E954" t="str">
        <f>IFERROR(+VLOOKUP(Movimientos_2026[[#This Row],[Codigo]],Plan_cuentas[],2,FALSE)," ")</f>
        <v>EGRESOS</v>
      </c>
      <c r="F954" t="str">
        <f>IFERROR(+VLOOKUP(Movimientos_2026[[#This Row],[Codigo]],Plan_cuentas[],3,FALSE)," ")</f>
        <v>BtoB</v>
      </c>
      <c r="G954" t="str">
        <f>IFERROR(+VLOOKUP(Movimientos_2026[[#This Row],[Codigo]],Plan_cuentas[],4,FALSE)," ")</f>
        <v>Rentas</v>
      </c>
      <c r="H954" t="str">
        <f>IFERROR(+VLOOKUP(Movimientos_2026[[#This Row],[Codigo]],Plan_cuentas[],5,FALSE)," ")</f>
        <v>SAN JUAN</v>
      </c>
      <c r="I954" s="43">
        <v>46054</v>
      </c>
      <c r="J954" t="s">
        <v>414</v>
      </c>
      <c r="K954" t="str">
        <f>IFERROR(+VLOOKUP(Movimientos_2026[[#This Row],[Codigo]],Plan_cuentas[],6,FALSE)," ")</f>
        <v>3 - GM - Chevrolet</v>
      </c>
      <c r="L954" s="50"/>
      <c r="M954" s="52">
        <v>7383591.5700000003</v>
      </c>
      <c r="N954" s="20">
        <f>+Movimientos_2026[[#This Row],[Ingresos]]-Movimientos_2026[[#This Row],[Egresos]]</f>
        <v>-7383591.5700000003</v>
      </c>
      <c r="O954" s="20">
        <f>+O953+Movimientos_2026[[#This Row],[Neto]]</f>
        <v>5324608991.421607</v>
      </c>
    </row>
    <row r="955" spans="1:15" x14ac:dyDescent="0.25">
      <c r="A955" s="13">
        <v>46097</v>
      </c>
      <c r="B955" s="12">
        <f>MONTH(Movimientos_2026[[#This Row],[Fecha]])</f>
        <v>3</v>
      </c>
      <c r="C955" s="12" t="str">
        <f>VLOOKUP((WEEKDAY(Movimientos_2026[[#This Row],[Fecha]],2)),'5. Setup'!$D$6:$E$12,2,FALSE)</f>
        <v>Lun</v>
      </c>
      <c r="D955">
        <v>2044401</v>
      </c>
      <c r="E955" t="str">
        <f>IFERROR(+VLOOKUP(Movimientos_2026[[#This Row],[Codigo]],Plan_cuentas[],2,FALSE)," ")</f>
        <v>EGRESOS</v>
      </c>
      <c r="F955" t="str">
        <f>IFERROR(+VLOOKUP(Movimientos_2026[[#This Row],[Codigo]],Plan_cuentas[],3,FALSE)," ")</f>
        <v>Transferencia</v>
      </c>
      <c r="G955" t="str">
        <f>IFERROR(+VLOOKUP(Movimientos_2026[[#This Row],[Codigo]],Plan_cuentas[],4,FALSE)," ")</f>
        <v>Rentas</v>
      </c>
      <c r="H955" t="str">
        <f>IFERROR(+VLOOKUP(Movimientos_2026[[#This Row],[Codigo]],Plan_cuentas[],5,FALSE)," ")</f>
        <v>SANTIAGO DEL ESTERO</v>
      </c>
      <c r="I955" s="43">
        <v>46054</v>
      </c>
      <c r="J955" t="s">
        <v>415</v>
      </c>
      <c r="K955" t="str">
        <f>IFERROR(+VLOOKUP(Movimientos_2026[[#This Row],[Codigo]],Plan_cuentas[],6,FALSE)," ")</f>
        <v>1 - VW - Volkswagen</v>
      </c>
      <c r="L955" s="50"/>
      <c r="M955" s="52">
        <v>29927606.489999998</v>
      </c>
      <c r="N955" s="20">
        <f>+Movimientos_2026[[#This Row],[Ingresos]]-Movimientos_2026[[#This Row],[Egresos]]</f>
        <v>-29927606.489999998</v>
      </c>
      <c r="O955" s="20">
        <f>+O954+Movimientos_2026[[#This Row],[Neto]]</f>
        <v>5294681384.9316072</v>
      </c>
    </row>
    <row r="956" spans="1:15" x14ac:dyDescent="0.25">
      <c r="A956" s="13">
        <v>46097</v>
      </c>
      <c r="B956" s="12">
        <f>MONTH(Movimientos_2026[[#This Row],[Fecha]])</f>
        <v>3</v>
      </c>
      <c r="C956" s="12" t="str">
        <f>VLOOKUP((WEEKDAY(Movimientos_2026[[#This Row],[Fecha]],2)),'5. Setup'!$D$6:$E$12,2,FALSE)</f>
        <v>Lun</v>
      </c>
      <c r="D956">
        <v>2044402</v>
      </c>
      <c r="E956" t="str">
        <f>IFERROR(+VLOOKUP(Movimientos_2026[[#This Row],[Codigo]],Plan_cuentas[],2,FALSE)," ")</f>
        <v>EGRESOS</v>
      </c>
      <c r="F956" t="str">
        <f>IFERROR(+VLOOKUP(Movimientos_2026[[#This Row],[Codigo]],Plan_cuentas[],3,FALSE)," ")</f>
        <v>Transferencia</v>
      </c>
      <c r="G956" t="str">
        <f>IFERROR(+VLOOKUP(Movimientos_2026[[#This Row],[Codigo]],Plan_cuentas[],4,FALSE)," ")</f>
        <v>Rentas</v>
      </c>
      <c r="H956" t="str">
        <f>IFERROR(+VLOOKUP(Movimientos_2026[[#This Row],[Codigo]],Plan_cuentas[],5,FALSE)," ")</f>
        <v>SANTIAGO DEL ESTERO</v>
      </c>
      <c r="I956" s="43">
        <v>46054</v>
      </c>
      <c r="J956" t="s">
        <v>416</v>
      </c>
      <c r="K956" t="str">
        <f>IFERROR(+VLOOKUP(Movimientos_2026[[#This Row],[Codigo]],Plan_cuentas[],6,FALSE)," ")</f>
        <v>2 - PR - Plan Rombo</v>
      </c>
      <c r="L956" s="50"/>
      <c r="M956" s="52">
        <v>22567838.809999999</v>
      </c>
      <c r="N956" s="20">
        <f>+Movimientos_2026[[#This Row],[Ingresos]]-Movimientos_2026[[#This Row],[Egresos]]</f>
        <v>-22567838.809999999</v>
      </c>
      <c r="O956" s="20">
        <f>+O955+Movimientos_2026[[#This Row],[Neto]]</f>
        <v>5272113546.1216068</v>
      </c>
    </row>
    <row r="957" spans="1:15" x14ac:dyDescent="0.25">
      <c r="A957" s="13">
        <v>46097</v>
      </c>
      <c r="B957" s="12">
        <f>MONTH(Movimientos_2026[[#This Row],[Fecha]])</f>
        <v>3</v>
      </c>
      <c r="C957" s="12" t="str">
        <f>VLOOKUP((WEEKDAY(Movimientos_2026[[#This Row],[Fecha]],2)),'5. Setup'!$D$6:$E$12,2,FALSE)</f>
        <v>Lun</v>
      </c>
      <c r="D957">
        <v>2044407</v>
      </c>
      <c r="E957" t="str">
        <f>IFERROR(+VLOOKUP(Movimientos_2026[[#This Row],[Codigo]],Plan_cuentas[],2,FALSE)," ")</f>
        <v>EGRESOS</v>
      </c>
      <c r="F957" t="str">
        <f>IFERROR(+VLOOKUP(Movimientos_2026[[#This Row],[Codigo]],Plan_cuentas[],3,FALSE)," ")</f>
        <v>Transferencia</v>
      </c>
      <c r="G957" t="str">
        <f>IFERROR(+VLOOKUP(Movimientos_2026[[#This Row],[Codigo]],Plan_cuentas[],4,FALSE)," ")</f>
        <v>Rentas</v>
      </c>
      <c r="H957" t="str">
        <f>IFERROR(+VLOOKUP(Movimientos_2026[[#This Row],[Codigo]],Plan_cuentas[],5,FALSE)," ")</f>
        <v>SANTIAGO DEL ESTERO</v>
      </c>
      <c r="I957" s="43">
        <v>46054</v>
      </c>
      <c r="J957" t="s">
        <v>416</v>
      </c>
      <c r="K957" t="str">
        <f>IFERROR(+VLOOKUP(Movimientos_2026[[#This Row],[Codigo]],Plan_cuentas[],6,FALSE)," ")</f>
        <v>7 - PRtr - Plan Rombo Transf.</v>
      </c>
      <c r="L957" s="50"/>
      <c r="M957" s="52">
        <v>100</v>
      </c>
      <c r="N957" s="20">
        <f>+Movimientos_2026[[#This Row],[Ingresos]]-Movimientos_2026[[#This Row],[Egresos]]</f>
        <v>-100</v>
      </c>
      <c r="O957" s="20">
        <f>+O956+Movimientos_2026[[#This Row],[Neto]]</f>
        <v>5272113446.1216068</v>
      </c>
    </row>
    <row r="958" spans="1:15" x14ac:dyDescent="0.25">
      <c r="A958" s="13">
        <v>46097</v>
      </c>
      <c r="B958" s="12">
        <f>MONTH(Movimientos_2026[[#This Row],[Fecha]])</f>
        <v>3</v>
      </c>
      <c r="C958" s="12" t="str">
        <f>VLOOKUP((WEEKDAY(Movimientos_2026[[#This Row],[Fecha]],2)),'5. Setup'!$D$6:$E$12,2,FALSE)</f>
        <v>Lun</v>
      </c>
      <c r="D958">
        <v>2044404</v>
      </c>
      <c r="E958" t="str">
        <f>IFERROR(+VLOOKUP(Movimientos_2026[[#This Row],[Codigo]],Plan_cuentas[],2,FALSE)," ")</f>
        <v>EGRESOS</v>
      </c>
      <c r="F958" t="str">
        <f>IFERROR(+VLOOKUP(Movimientos_2026[[#This Row],[Codigo]],Plan_cuentas[],3,FALSE)," ")</f>
        <v>Transferencia</v>
      </c>
      <c r="G958" t="str">
        <f>IFERROR(+VLOOKUP(Movimientos_2026[[#This Row],[Codigo]],Plan_cuentas[],4,FALSE)," ")</f>
        <v>Rentas</v>
      </c>
      <c r="H958" t="str">
        <f>IFERROR(+VLOOKUP(Movimientos_2026[[#This Row],[Codigo]],Plan_cuentas[],5,FALSE)," ")</f>
        <v>SANTIAGO DEL ESTERO</v>
      </c>
      <c r="I958" s="43">
        <v>46054</v>
      </c>
      <c r="J958" t="s">
        <v>417</v>
      </c>
      <c r="K958" t="str">
        <f>IFERROR(+VLOOKUP(Movimientos_2026[[#This Row],[Codigo]],Plan_cuentas[],6,FALSE)," ")</f>
        <v>4 - FCA - Fiat</v>
      </c>
      <c r="L958" s="50"/>
      <c r="M958" s="52">
        <v>28927172.030000001</v>
      </c>
      <c r="N958" s="20">
        <f>+Movimientos_2026[[#This Row],[Ingresos]]-Movimientos_2026[[#This Row],[Egresos]]</f>
        <v>-28927172.030000001</v>
      </c>
      <c r="O958" s="20">
        <f>+O957+Movimientos_2026[[#This Row],[Neto]]</f>
        <v>5243186274.0916071</v>
      </c>
    </row>
    <row r="959" spans="1:15" x14ac:dyDescent="0.25">
      <c r="A959" s="13">
        <v>46097</v>
      </c>
      <c r="B959" s="12">
        <f>MONTH(Movimientos_2026[[#This Row],[Fecha]])</f>
        <v>3</v>
      </c>
      <c r="C959" s="12" t="str">
        <f>VLOOKUP((WEEKDAY(Movimientos_2026[[#This Row],[Fecha]],2)),'5. Setup'!$D$6:$E$12,2,FALSE)</f>
        <v>Lun</v>
      </c>
      <c r="D959">
        <v>2044406</v>
      </c>
      <c r="E959" t="str">
        <f>IFERROR(+VLOOKUP(Movimientos_2026[[#This Row],[Codigo]],Plan_cuentas[],2,FALSE)," ")</f>
        <v>EGRESOS</v>
      </c>
      <c r="F959" t="str">
        <f>IFERROR(+VLOOKUP(Movimientos_2026[[#This Row],[Codigo]],Plan_cuentas[],3,FALSE)," ")</f>
        <v>Transferencia</v>
      </c>
      <c r="G959" t="str">
        <f>IFERROR(+VLOOKUP(Movimientos_2026[[#This Row],[Codigo]],Plan_cuentas[],4,FALSE)," ")</f>
        <v>Rentas</v>
      </c>
      <c r="H959" t="str">
        <f>IFERROR(+VLOOKUP(Movimientos_2026[[#This Row],[Codigo]],Plan_cuentas[],5,FALSE)," ")</f>
        <v>SANTIAGO DEL ESTERO</v>
      </c>
      <c r="I959" s="43">
        <v>46054</v>
      </c>
      <c r="J959" t="s">
        <v>417</v>
      </c>
      <c r="K959" t="str">
        <f>IFERROR(+VLOOKUP(Movimientos_2026[[#This Row],[Codigo]],Plan_cuentas[],6,FALSE)," ")</f>
        <v>6 - FCAtr - Fiat Transf.</v>
      </c>
      <c r="L959" s="50"/>
      <c r="M959" s="52">
        <v>954252.13</v>
      </c>
      <c r="N959" s="20">
        <f>+Movimientos_2026[[#This Row],[Ingresos]]-Movimientos_2026[[#This Row],[Egresos]]</f>
        <v>-954252.13</v>
      </c>
      <c r="O959" s="20">
        <f>+O958+Movimientos_2026[[#This Row],[Neto]]</f>
        <v>5242232021.961607</v>
      </c>
    </row>
    <row r="960" spans="1:15" x14ac:dyDescent="0.25">
      <c r="A960" s="13">
        <v>46097</v>
      </c>
      <c r="B960" s="12">
        <f>MONTH(Movimientos_2026[[#This Row],[Fecha]])</f>
        <v>3</v>
      </c>
      <c r="C960" s="12" t="str">
        <f>VLOOKUP((WEEKDAY(Movimientos_2026[[#This Row],[Fecha]],2)),'5. Setup'!$D$6:$E$12,2,FALSE)</f>
        <v>Lun</v>
      </c>
      <c r="D960">
        <v>2044404</v>
      </c>
      <c r="E960" t="str">
        <f>IFERROR(+VLOOKUP(Movimientos_2026[[#This Row],[Codigo]],Plan_cuentas[],2,FALSE)," ")</f>
        <v>EGRESOS</v>
      </c>
      <c r="F960" t="str">
        <f>IFERROR(+VLOOKUP(Movimientos_2026[[#This Row],[Codigo]],Plan_cuentas[],3,FALSE)," ")</f>
        <v>Transferencia</v>
      </c>
      <c r="G960" t="str">
        <f>IFERROR(+VLOOKUP(Movimientos_2026[[#This Row],[Codigo]],Plan_cuentas[],4,FALSE)," ")</f>
        <v>Rentas</v>
      </c>
      <c r="H960" t="str">
        <f>IFERROR(+VLOOKUP(Movimientos_2026[[#This Row],[Codigo]],Plan_cuentas[],5,FALSE)," ")</f>
        <v>SANTIAGO DEL ESTERO</v>
      </c>
      <c r="I960" s="43">
        <v>46054</v>
      </c>
      <c r="J960" t="s">
        <v>417</v>
      </c>
      <c r="K960" t="str">
        <f>IFERROR(+VLOOKUP(Movimientos_2026[[#This Row],[Codigo]],Plan_cuentas[],6,FALSE)," ")</f>
        <v>4 - FCA - Fiat</v>
      </c>
      <c r="L960" s="50"/>
      <c r="M960" s="52">
        <v>12098594.439999999</v>
      </c>
      <c r="N960" s="20">
        <f>+Movimientos_2026[[#This Row],[Ingresos]]-Movimientos_2026[[#This Row],[Egresos]]</f>
        <v>-12098594.439999999</v>
      </c>
      <c r="O960" s="20">
        <f>+O959+Movimientos_2026[[#This Row],[Neto]]</f>
        <v>5230133427.5216074</v>
      </c>
    </row>
    <row r="961" spans="1:15" x14ac:dyDescent="0.25">
      <c r="A961" s="13">
        <v>46097</v>
      </c>
      <c r="B961" s="12">
        <f>MONTH(Movimientos_2026[[#This Row],[Fecha]])</f>
        <v>3</v>
      </c>
      <c r="C961" s="12" t="str">
        <f>VLOOKUP((WEEKDAY(Movimientos_2026[[#This Row],[Fecha]],2)),'5. Setup'!$D$6:$E$12,2,FALSE)</f>
        <v>Lun</v>
      </c>
      <c r="D961">
        <v>2044366</v>
      </c>
      <c r="E961" t="str">
        <f>IFERROR(+VLOOKUP(Movimientos_2026[[#This Row],[Codigo]],Plan_cuentas[],2,FALSE)," ")</f>
        <v>EGRESOS</v>
      </c>
      <c r="F961" t="str">
        <f>IFERROR(+VLOOKUP(Movimientos_2026[[#This Row],[Codigo]],Plan_cuentas[],3,FALSE)," ")</f>
        <v>Transferencia</v>
      </c>
      <c r="G961" t="str">
        <f>IFERROR(+VLOOKUP(Movimientos_2026[[#This Row],[Codigo]],Plan_cuentas[],4,FALSE)," ")</f>
        <v>Rentas</v>
      </c>
      <c r="H961" t="str">
        <f>IFERROR(+VLOOKUP(Movimientos_2026[[#This Row],[Codigo]],Plan_cuentas[],5,FALSE)," ")</f>
        <v>SAN LUIS</v>
      </c>
      <c r="I961" s="43">
        <v>46054</v>
      </c>
      <c r="J961" t="s">
        <v>418</v>
      </c>
      <c r="K961" t="str">
        <f>IFERROR(+VLOOKUP(Movimientos_2026[[#This Row],[Codigo]],Plan_cuentas[],6,FALSE)," ")</f>
        <v>6 - FCAtr - Fiat Transf.</v>
      </c>
      <c r="L961" s="50"/>
      <c r="M961" s="50">
        <v>288405.40000000002</v>
      </c>
      <c r="N961" s="20">
        <f>+Movimientos_2026[[#This Row],[Ingresos]]-Movimientos_2026[[#This Row],[Egresos]]</f>
        <v>-288405.40000000002</v>
      </c>
      <c r="O961" s="20">
        <f>+O960+Movimientos_2026[[#This Row],[Neto]]</f>
        <v>5229845022.1216078</v>
      </c>
    </row>
    <row r="962" spans="1:15" x14ac:dyDescent="0.25">
      <c r="A962" s="13">
        <v>46097</v>
      </c>
      <c r="B962" s="12">
        <f>MONTH(Movimientos_2026[[#This Row],[Fecha]])</f>
        <v>3</v>
      </c>
      <c r="C962" s="12" t="str">
        <f>VLOOKUP((WEEKDAY(Movimientos_2026[[#This Row],[Fecha]],2)),'5. Setup'!$D$6:$E$12,2,FALSE)</f>
        <v>Lun</v>
      </c>
      <c r="D962">
        <v>2044126</v>
      </c>
      <c r="E962" t="str">
        <f>IFERROR(+VLOOKUP(Movimientos_2026[[#This Row],[Codigo]],Plan_cuentas[],2,FALSE)," ")</f>
        <v>EGRESOS</v>
      </c>
      <c r="F962" t="str">
        <f>IFERROR(+VLOOKUP(Movimientos_2026[[#This Row],[Codigo]],Plan_cuentas[],3,FALSE)," ")</f>
        <v>Transferencia</v>
      </c>
      <c r="G962" t="str">
        <f>IFERROR(+VLOOKUP(Movimientos_2026[[#This Row],[Codigo]],Plan_cuentas[],4,FALSE)," ")</f>
        <v>Rentas</v>
      </c>
      <c r="H962" t="str">
        <f>IFERROR(+VLOOKUP(Movimientos_2026[[#This Row],[Codigo]],Plan_cuentas[],5,FALSE)," ")</f>
        <v>BAPRO</v>
      </c>
      <c r="I962" s="43">
        <v>46054</v>
      </c>
      <c r="J962" t="s">
        <v>419</v>
      </c>
      <c r="K962" t="str">
        <f>IFERROR(+VLOOKUP(Movimientos_2026[[#This Row],[Codigo]],Plan_cuentas[],6,FALSE)," ")</f>
        <v>6 - FCAtr - Fiat Transf.</v>
      </c>
      <c r="L962" s="50"/>
      <c r="M962" s="50">
        <v>6052476.2999999998</v>
      </c>
      <c r="N962" s="20">
        <f>+Movimientos_2026[[#This Row],[Ingresos]]-Movimientos_2026[[#This Row],[Egresos]]</f>
        <v>-6052476.2999999998</v>
      </c>
      <c r="O962" s="20">
        <f>+O961+Movimientos_2026[[#This Row],[Neto]]</f>
        <v>5223792545.8216076</v>
      </c>
    </row>
    <row r="963" spans="1:15" x14ac:dyDescent="0.25">
      <c r="A963" s="13">
        <v>46097</v>
      </c>
      <c r="B963" s="12">
        <f>MONTH(Movimientos_2026[[#This Row],[Fecha]])</f>
        <v>3</v>
      </c>
      <c r="C963" s="12" t="str">
        <f>VLOOKUP((WEEKDAY(Movimientos_2026[[#This Row],[Fecha]],2)),'5. Setup'!$D$6:$E$12,2,FALSE)</f>
        <v>Lun</v>
      </c>
      <c r="D963">
        <v>2044126</v>
      </c>
      <c r="E963" t="str">
        <f>IFERROR(+VLOOKUP(Movimientos_2026[[#This Row],[Codigo]],Plan_cuentas[],2,FALSE)," ")</f>
        <v>EGRESOS</v>
      </c>
      <c r="F963" t="str">
        <f>IFERROR(+VLOOKUP(Movimientos_2026[[#This Row],[Codigo]],Plan_cuentas[],3,FALSE)," ")</f>
        <v>Transferencia</v>
      </c>
      <c r="G963" t="str">
        <f>IFERROR(+VLOOKUP(Movimientos_2026[[#This Row],[Codigo]],Plan_cuentas[],4,FALSE)," ")</f>
        <v>Rentas</v>
      </c>
      <c r="H963" t="str">
        <f>IFERROR(+VLOOKUP(Movimientos_2026[[#This Row],[Codigo]],Plan_cuentas[],5,FALSE)," ")</f>
        <v>BAPRO</v>
      </c>
      <c r="I963" s="43">
        <v>46054</v>
      </c>
      <c r="J963" t="s">
        <v>420</v>
      </c>
      <c r="K963" t="str">
        <f>IFERROR(+VLOOKUP(Movimientos_2026[[#This Row],[Codigo]],Plan_cuentas[],6,FALSE)," ")</f>
        <v>6 - FCAtr - Fiat Transf.</v>
      </c>
      <c r="L963" s="50"/>
      <c r="M963" s="50">
        <v>182174.9</v>
      </c>
      <c r="N963" s="20">
        <f>+Movimientos_2026[[#This Row],[Ingresos]]-Movimientos_2026[[#This Row],[Egresos]]</f>
        <v>-182174.9</v>
      </c>
      <c r="O963" s="20">
        <f>+O962+Movimientos_2026[[#This Row],[Neto]]</f>
        <v>5223610370.921608</v>
      </c>
    </row>
    <row r="964" spans="1:15" x14ac:dyDescent="0.25">
      <c r="A964" s="13">
        <v>46097</v>
      </c>
      <c r="B964" s="12">
        <f>MONTH(Movimientos_2026[[#This Row],[Fecha]])</f>
        <v>3</v>
      </c>
      <c r="C964" s="12" t="str">
        <f>VLOOKUP((WEEKDAY(Movimientos_2026[[#This Row],[Fecha]],2)),'5. Setup'!$D$6:$E$12,2,FALSE)</f>
        <v>Lun</v>
      </c>
      <c r="D964">
        <v>2044126</v>
      </c>
      <c r="E964" t="str">
        <f>IFERROR(+VLOOKUP(Movimientos_2026[[#This Row],[Codigo]],Plan_cuentas[],2,FALSE)," ")</f>
        <v>EGRESOS</v>
      </c>
      <c r="F964" t="str">
        <f>IFERROR(+VLOOKUP(Movimientos_2026[[#This Row],[Codigo]],Plan_cuentas[],3,FALSE)," ")</f>
        <v>Transferencia</v>
      </c>
      <c r="G964" t="str">
        <f>IFERROR(+VLOOKUP(Movimientos_2026[[#This Row],[Codigo]],Plan_cuentas[],4,FALSE)," ")</f>
        <v>Rentas</v>
      </c>
      <c r="H964" t="str">
        <f>IFERROR(+VLOOKUP(Movimientos_2026[[#This Row],[Codigo]],Plan_cuentas[],5,FALSE)," ")</f>
        <v>BAPRO</v>
      </c>
      <c r="I964" s="43">
        <v>46054</v>
      </c>
      <c r="J964" t="s">
        <v>421</v>
      </c>
      <c r="K964" t="str">
        <f>IFERROR(+VLOOKUP(Movimientos_2026[[#This Row],[Codigo]],Plan_cuentas[],6,FALSE)," ")</f>
        <v>6 - FCAtr - Fiat Transf.</v>
      </c>
      <c r="L964" s="50"/>
      <c r="M964" s="50">
        <v>9993.2999999999993</v>
      </c>
      <c r="N964" s="20">
        <f>+Movimientos_2026[[#This Row],[Ingresos]]-Movimientos_2026[[#This Row],[Egresos]]</f>
        <v>-9993.2999999999993</v>
      </c>
      <c r="O964" s="20">
        <f>+O963+Movimientos_2026[[#This Row],[Neto]]</f>
        <v>5223600377.6216078</v>
      </c>
    </row>
    <row r="965" spans="1:15" x14ac:dyDescent="0.25">
      <c r="A965" s="13">
        <v>46097</v>
      </c>
      <c r="B965" s="12">
        <f>MONTH(Movimientos_2026[[#This Row],[Fecha]])</f>
        <v>3</v>
      </c>
      <c r="C965" s="12" t="str">
        <f>VLOOKUP((WEEKDAY(Movimientos_2026[[#This Row],[Fecha]],2)),'5. Setup'!$D$6:$E$12,2,FALSE)</f>
        <v>Lun</v>
      </c>
      <c r="D965">
        <v>1045487</v>
      </c>
      <c r="E965" t="str">
        <f>IFERROR(+VLOOKUP(Movimientos_2026[[#This Row],[Codigo]],Plan_cuentas[],2,FALSE)," ")</f>
        <v>INGRESOS</v>
      </c>
      <c r="F965" t="str">
        <f>IFERROR(+VLOOKUP(Movimientos_2026[[#This Row],[Codigo]],Plan_cuentas[],3,FALSE)," ")</f>
        <v>Transferencia</v>
      </c>
      <c r="G965" t="str">
        <f>IFERROR(+VLOOKUP(Movimientos_2026[[#This Row],[Codigo]],Plan_cuentas[],4,FALSE)," ")</f>
        <v>Factura</v>
      </c>
      <c r="H965" t="str">
        <f>IFERROR(+VLOOKUP(Movimientos_2026[[#This Row],[Codigo]],Plan_cuentas[],5,FALSE)," ")</f>
        <v>FC TRAMITACION</v>
      </c>
      <c r="I965" s="43">
        <v>46054</v>
      </c>
      <c r="J965" t="s">
        <v>422</v>
      </c>
      <c r="K965" t="str">
        <f>IFERROR(+VLOOKUP(Movimientos_2026[[#This Row],[Codigo]],Plan_cuentas[],6,FALSE)," ")</f>
        <v>7 - PRtr - Plan Rombo Transf.</v>
      </c>
      <c r="L965" s="50">
        <v>14223333.96858</v>
      </c>
      <c r="M965" s="50"/>
      <c r="N965" s="20">
        <f>+Movimientos_2026[[#This Row],[Ingresos]]-Movimientos_2026[[#This Row],[Egresos]]</f>
        <v>14223333.96858</v>
      </c>
      <c r="O965" s="20">
        <f>+O964+Movimientos_2026[[#This Row],[Neto]]</f>
        <v>5237823711.590188</v>
      </c>
    </row>
    <row r="966" spans="1:15" x14ac:dyDescent="0.25">
      <c r="A966" s="13">
        <v>46097</v>
      </c>
      <c r="B966" s="12">
        <f>MONTH(Movimientos_2026[[#This Row],[Fecha]])</f>
        <v>3</v>
      </c>
      <c r="C966" s="12" t="str">
        <f>VLOOKUP((WEEKDAY(Movimientos_2026[[#This Row],[Fecha]],2)),'5. Setup'!$D$6:$E$12,2,FALSE)</f>
        <v>Lun</v>
      </c>
      <c r="D966">
        <v>1044212</v>
      </c>
      <c r="E966" t="str">
        <f>IFERROR(+VLOOKUP(Movimientos_2026[[#This Row],[Codigo]],Plan_cuentas[],2,FALSE)," ")</f>
        <v>INGRESOS</v>
      </c>
      <c r="F966" t="str">
        <f>IFERROR(+VLOOKUP(Movimientos_2026[[#This Row],[Codigo]],Plan_cuentas[],3,FALSE)," ")</f>
        <v>Transferencia</v>
      </c>
      <c r="G966" t="str">
        <f>IFERROR(+VLOOKUP(Movimientos_2026[[#This Row],[Codigo]],Plan_cuentas[],4,FALSE)," ")</f>
        <v>Rentas</v>
      </c>
      <c r="H966" t="str">
        <f>IFERROR(+VLOOKUP(Movimientos_2026[[#This Row],[Codigo]],Plan_cuentas[],5,FALSE)," ")</f>
        <v>CORRIENTES 2° Q</v>
      </c>
      <c r="I966" s="43">
        <v>46054</v>
      </c>
      <c r="J966" t="s">
        <v>423</v>
      </c>
      <c r="K966" t="str">
        <f>IFERROR(+VLOOKUP(Movimientos_2026[[#This Row],[Codigo]],Plan_cuentas[],6,FALSE)," ")</f>
        <v>2 - PR - Plan Rombo</v>
      </c>
      <c r="L966" s="50">
        <v>5390940.5500000017</v>
      </c>
      <c r="M966" s="50"/>
      <c r="N966" s="20">
        <f>+Movimientos_2026[[#This Row],[Ingresos]]-Movimientos_2026[[#This Row],[Egresos]]</f>
        <v>5390940.5500000017</v>
      </c>
      <c r="O966" s="20">
        <f>+O965+Movimientos_2026[[#This Row],[Neto]]</f>
        <v>5243214652.1401882</v>
      </c>
    </row>
    <row r="967" spans="1:15" x14ac:dyDescent="0.25">
      <c r="A967" s="13">
        <v>46097</v>
      </c>
      <c r="B967" s="12">
        <f>MONTH(Movimientos_2026[[#This Row],[Fecha]])</f>
        <v>3</v>
      </c>
      <c r="C967" s="12" t="str">
        <f>VLOOKUP((WEEKDAY(Movimientos_2026[[#This Row],[Fecha]],2)),'5. Setup'!$D$6:$E$12,2,FALSE)</f>
        <v>Lun</v>
      </c>
      <c r="D967">
        <v>1044462</v>
      </c>
      <c r="E967" t="str">
        <f>IFERROR(+VLOOKUP(Movimientos_2026[[#This Row],[Codigo]],Plan_cuentas[],2,FALSE)," ")</f>
        <v>INGRESOS</v>
      </c>
      <c r="F967" t="str">
        <f>IFERROR(+VLOOKUP(Movimientos_2026[[#This Row],[Codigo]],Plan_cuentas[],3,FALSE)," ")</f>
        <v>Transferencia</v>
      </c>
      <c r="G967" t="str">
        <f>IFERROR(+VLOOKUP(Movimientos_2026[[#This Row],[Codigo]],Plan_cuentas[],4,FALSE)," ")</f>
        <v>Rentas</v>
      </c>
      <c r="H967" t="str">
        <f>IFERROR(+VLOOKUP(Movimientos_2026[[#This Row],[Codigo]],Plan_cuentas[],5,FALSE)," ")</f>
        <v>MISIONES</v>
      </c>
      <c r="I967" s="43">
        <v>46054</v>
      </c>
      <c r="J967" t="s">
        <v>423</v>
      </c>
      <c r="K967" t="str">
        <f>IFERROR(+VLOOKUP(Movimientos_2026[[#This Row],[Codigo]],Plan_cuentas[],6,FALSE)," ")</f>
        <v>2 - PR - Plan Rombo</v>
      </c>
      <c r="L967" s="50">
        <v>2649452.6053999998</v>
      </c>
      <c r="M967" s="50"/>
      <c r="N967" s="20">
        <f>+Movimientos_2026[[#This Row],[Ingresos]]-Movimientos_2026[[#This Row],[Egresos]]</f>
        <v>2649452.6053999998</v>
      </c>
      <c r="O967" s="20">
        <f>+O966+Movimientos_2026[[#This Row],[Neto]]</f>
        <v>5245864104.7455883</v>
      </c>
    </row>
    <row r="968" spans="1:15" x14ac:dyDescent="0.25">
      <c r="A968" s="13">
        <v>46097</v>
      </c>
      <c r="B968" s="12">
        <f>MONTH(Movimientos_2026[[#This Row],[Fecha]])</f>
        <v>3</v>
      </c>
      <c r="C968" s="12" t="str">
        <f>VLOOKUP((WEEKDAY(Movimientos_2026[[#This Row],[Fecha]],2)),'5. Setup'!$D$6:$E$12,2,FALSE)</f>
        <v>Lun</v>
      </c>
      <c r="D968">
        <v>1044322</v>
      </c>
      <c r="E968" t="str">
        <f>IFERROR(+VLOOKUP(Movimientos_2026[[#This Row],[Codigo]],Plan_cuentas[],2,FALSE)," ")</f>
        <v>INGRESOS</v>
      </c>
      <c r="F968" t="str">
        <f>IFERROR(+VLOOKUP(Movimientos_2026[[#This Row],[Codigo]],Plan_cuentas[],3,FALSE)," ")</f>
        <v>Transferencia</v>
      </c>
      <c r="G968" t="str">
        <f>IFERROR(+VLOOKUP(Movimientos_2026[[#This Row],[Codigo]],Plan_cuentas[],4,FALSE)," ")</f>
        <v>Rentas</v>
      </c>
      <c r="H968" t="str">
        <f>IFERROR(+VLOOKUP(Movimientos_2026[[#This Row],[Codigo]],Plan_cuentas[],5,FALSE)," ")</f>
        <v>NEUQUEN 2° Q</v>
      </c>
      <c r="I968" s="43">
        <v>46054</v>
      </c>
      <c r="J968" t="s">
        <v>423</v>
      </c>
      <c r="K968" t="str">
        <f>IFERROR(+VLOOKUP(Movimientos_2026[[#This Row],[Codigo]],Plan_cuentas[],6,FALSE)," ")</f>
        <v>2 - PR - Plan Rombo</v>
      </c>
      <c r="L968" s="50">
        <v>25191300</v>
      </c>
      <c r="M968" s="50"/>
      <c r="N968" s="20">
        <f>+Movimientos_2026[[#This Row],[Ingresos]]-Movimientos_2026[[#This Row],[Egresos]]</f>
        <v>25191300</v>
      </c>
      <c r="O968" s="20">
        <f>+O967+Movimientos_2026[[#This Row],[Neto]]</f>
        <v>5271055404.7455883</v>
      </c>
    </row>
    <row r="969" spans="1:15" x14ac:dyDescent="0.25">
      <c r="A969" s="13">
        <v>46097</v>
      </c>
      <c r="B969" s="12">
        <f>MONTH(Movimientos_2026[[#This Row],[Fecha]])</f>
        <v>3</v>
      </c>
      <c r="C969" s="12" t="str">
        <f>VLOOKUP((WEEKDAY(Movimientos_2026[[#This Row],[Fecha]],2)),'5. Setup'!$D$6:$E$12,2,FALSE)</f>
        <v>Lun</v>
      </c>
      <c r="D969">
        <v>1044162</v>
      </c>
      <c r="E969" t="str">
        <f>IFERROR(+VLOOKUP(Movimientos_2026[[#This Row],[Codigo]],Plan_cuentas[],2,FALSE)," ")</f>
        <v>INGRESOS</v>
      </c>
      <c r="F969" t="str">
        <f>IFERROR(+VLOOKUP(Movimientos_2026[[#This Row],[Codigo]],Plan_cuentas[],3,FALSE)," ")</f>
        <v>Transferencia</v>
      </c>
      <c r="G969" t="str">
        <f>IFERROR(+VLOOKUP(Movimientos_2026[[#This Row],[Codigo]],Plan_cuentas[],4,FALSE)," ")</f>
        <v>Rentas</v>
      </c>
      <c r="H969" t="str">
        <f>IFERROR(+VLOOKUP(Movimientos_2026[[#This Row],[Codigo]],Plan_cuentas[],5,FALSE)," ")</f>
        <v>CHACO</v>
      </c>
      <c r="I969" s="43">
        <v>46054</v>
      </c>
      <c r="J969" t="s">
        <v>423</v>
      </c>
      <c r="K969" t="str">
        <f>IFERROR(+VLOOKUP(Movimientos_2026[[#This Row],[Codigo]],Plan_cuentas[],6,FALSE)," ")</f>
        <v>2 - PR - Plan Rombo</v>
      </c>
      <c r="L969" s="51">
        <v>2621227.09</v>
      </c>
      <c r="M969" s="50"/>
      <c r="N969" s="20">
        <f>+Movimientos_2026[[#This Row],[Ingresos]]-Movimientos_2026[[#This Row],[Egresos]]</f>
        <v>2621227.09</v>
      </c>
      <c r="O969" s="20">
        <f>+O968+Movimientos_2026[[#This Row],[Neto]]</f>
        <v>5273676631.8355885</v>
      </c>
    </row>
    <row r="970" spans="1:15" x14ac:dyDescent="0.25">
      <c r="A970" s="13">
        <v>46097</v>
      </c>
      <c r="B970" s="12">
        <f>MONTH(Movimientos_2026[[#This Row],[Fecha]])</f>
        <v>3</v>
      </c>
      <c r="C970" s="12" t="str">
        <f>VLOOKUP((WEEKDAY(Movimientos_2026[[#This Row],[Fecha]],2)),'5. Setup'!$D$6:$E$12,2,FALSE)</f>
        <v>Lun</v>
      </c>
      <c r="D970">
        <v>1044262</v>
      </c>
      <c r="E970" t="str">
        <f>IFERROR(+VLOOKUP(Movimientos_2026[[#This Row],[Codigo]],Plan_cuentas[],2,FALSE)," ")</f>
        <v>INGRESOS</v>
      </c>
      <c r="F970" t="str">
        <f>IFERROR(+VLOOKUP(Movimientos_2026[[#This Row],[Codigo]],Plan_cuentas[],3,FALSE)," ")</f>
        <v>Transferencia</v>
      </c>
      <c r="G970" t="str">
        <f>IFERROR(+VLOOKUP(Movimientos_2026[[#This Row],[Codigo]],Plan_cuentas[],4,FALSE)," ")</f>
        <v>Rentas</v>
      </c>
      <c r="H970" t="str">
        <f>IFERROR(+VLOOKUP(Movimientos_2026[[#This Row],[Codigo]],Plan_cuentas[],5,FALSE)," ")</f>
        <v>LA PAMPA</v>
      </c>
      <c r="I970" s="43">
        <v>46054</v>
      </c>
      <c r="J970" t="s">
        <v>423</v>
      </c>
      <c r="K970" t="str">
        <f>IFERROR(+VLOOKUP(Movimientos_2026[[#This Row],[Codigo]],Plan_cuentas[],6,FALSE)," ")</f>
        <v>2 - PR - Plan Rombo</v>
      </c>
      <c r="L970" s="51">
        <v>7411250</v>
      </c>
      <c r="M970" s="50"/>
      <c r="N970" s="20">
        <f>+Movimientos_2026[[#This Row],[Ingresos]]-Movimientos_2026[[#This Row],[Egresos]]</f>
        <v>7411250</v>
      </c>
      <c r="O970" s="20">
        <f>+O969+Movimientos_2026[[#This Row],[Neto]]</f>
        <v>5281087881.8355885</v>
      </c>
    </row>
    <row r="971" spans="1:15" x14ac:dyDescent="0.25">
      <c r="A971" s="13">
        <v>46097</v>
      </c>
      <c r="B971" s="12">
        <f>MONTH(Movimientos_2026[[#This Row],[Fecha]])</f>
        <v>3</v>
      </c>
      <c r="C971" s="12" t="str">
        <f>VLOOKUP((WEEKDAY(Movimientos_2026[[#This Row],[Fecha]],2)),'5. Setup'!$D$6:$E$12,2,FALSE)</f>
        <v>Lun</v>
      </c>
      <c r="D971">
        <v>1044272</v>
      </c>
      <c r="E971" t="str">
        <f>IFERROR(+VLOOKUP(Movimientos_2026[[#This Row],[Codigo]],Plan_cuentas[],2,FALSE)," ")</f>
        <v>INGRESOS</v>
      </c>
      <c r="F971" t="str">
        <f>IFERROR(+VLOOKUP(Movimientos_2026[[#This Row],[Codigo]],Plan_cuentas[],3,FALSE)," ")</f>
        <v>Transferencia</v>
      </c>
      <c r="G971" t="str">
        <f>IFERROR(+VLOOKUP(Movimientos_2026[[#This Row],[Codigo]],Plan_cuentas[],4,FALSE)," ")</f>
        <v>Rentas</v>
      </c>
      <c r="H971" t="str">
        <f>IFERROR(+VLOOKUP(Movimientos_2026[[#This Row],[Codigo]],Plan_cuentas[],5,FALSE)," ")</f>
        <v>LA RIOJA</v>
      </c>
      <c r="I971" s="43">
        <v>46054</v>
      </c>
      <c r="J971" t="s">
        <v>423</v>
      </c>
      <c r="K971" t="str">
        <f>IFERROR(+VLOOKUP(Movimientos_2026[[#This Row],[Codigo]],Plan_cuentas[],6,FALSE)," ")</f>
        <v>2 - PR - Plan Rombo</v>
      </c>
      <c r="L971" s="51">
        <v>637884.81999999995</v>
      </c>
      <c r="M971" s="50"/>
      <c r="N971" s="20">
        <f>+Movimientos_2026[[#This Row],[Ingresos]]-Movimientos_2026[[#This Row],[Egresos]]</f>
        <v>637884.81999999995</v>
      </c>
      <c r="O971" s="20">
        <f>+O970+Movimientos_2026[[#This Row],[Neto]]</f>
        <v>5281725766.6555882</v>
      </c>
    </row>
    <row r="972" spans="1:15" x14ac:dyDescent="0.25">
      <c r="A972" s="13">
        <v>46097</v>
      </c>
      <c r="B972" s="12">
        <f>MONTH(Movimientos_2026[[#This Row],[Fecha]])</f>
        <v>3</v>
      </c>
      <c r="C972" s="12" t="str">
        <f>VLOOKUP((WEEKDAY(Movimientos_2026[[#This Row],[Fecha]],2)),'5. Setup'!$D$6:$E$12,2,FALSE)</f>
        <v>Lun</v>
      </c>
      <c r="D972">
        <v>1044282</v>
      </c>
      <c r="E972" t="str">
        <f>IFERROR(+VLOOKUP(Movimientos_2026[[#This Row],[Codigo]],Plan_cuentas[],2,FALSE)," ")</f>
        <v>INGRESOS</v>
      </c>
      <c r="F972" t="str">
        <f>IFERROR(+VLOOKUP(Movimientos_2026[[#This Row],[Codigo]],Plan_cuentas[],3,FALSE)," ")</f>
        <v>Transferencia</v>
      </c>
      <c r="G972" t="str">
        <f>IFERROR(+VLOOKUP(Movimientos_2026[[#This Row],[Codigo]],Plan_cuentas[],4,FALSE)," ")</f>
        <v>Rentas</v>
      </c>
      <c r="H972" t="str">
        <f>IFERROR(+VLOOKUP(Movimientos_2026[[#This Row],[Codigo]],Plan_cuentas[],5,FALSE)," ")</f>
        <v>MENDOZA</v>
      </c>
      <c r="I972" s="43">
        <v>46054</v>
      </c>
      <c r="J972" t="s">
        <v>423</v>
      </c>
      <c r="K972" t="str">
        <f>IFERROR(+VLOOKUP(Movimientos_2026[[#This Row],[Codigo]],Plan_cuentas[],6,FALSE)," ")</f>
        <v>2 - PR - Plan Rombo</v>
      </c>
      <c r="L972" s="50">
        <v>45209300</v>
      </c>
      <c r="M972" s="50"/>
      <c r="N972" s="20">
        <f>+Movimientos_2026[[#This Row],[Ingresos]]-Movimientos_2026[[#This Row],[Egresos]]</f>
        <v>45209300</v>
      </c>
      <c r="O972" s="20">
        <f>+O971+Movimientos_2026[[#This Row],[Neto]]</f>
        <v>5326935066.6555882</v>
      </c>
    </row>
    <row r="973" spans="1:15" x14ac:dyDescent="0.25">
      <c r="A973" s="13">
        <v>46097</v>
      </c>
      <c r="B973" s="12">
        <f>MONTH(Movimientos_2026[[#This Row],[Fecha]])</f>
        <v>3</v>
      </c>
      <c r="C973" s="12" t="str">
        <f>VLOOKUP((WEEKDAY(Movimientos_2026[[#This Row],[Fecha]],2)),'5. Setup'!$D$6:$E$12,2,FALSE)</f>
        <v>Lun</v>
      </c>
      <c r="D973">
        <v>1044342</v>
      </c>
      <c r="E973" t="str">
        <f>IFERROR(+VLOOKUP(Movimientos_2026[[#This Row],[Codigo]],Plan_cuentas[],2,FALSE)," ")</f>
        <v>INGRESOS</v>
      </c>
      <c r="F973" t="str">
        <f>IFERROR(+VLOOKUP(Movimientos_2026[[#This Row],[Codigo]],Plan_cuentas[],3,FALSE)," ")</f>
        <v>Transferencia</v>
      </c>
      <c r="G973" t="str">
        <f>IFERROR(+VLOOKUP(Movimientos_2026[[#This Row],[Codigo]],Plan_cuentas[],4,FALSE)," ")</f>
        <v>Rentas</v>
      </c>
      <c r="H973" t="str">
        <f>IFERROR(+VLOOKUP(Movimientos_2026[[#This Row],[Codigo]],Plan_cuentas[],5,FALSE)," ")</f>
        <v>RIO NEGRO</v>
      </c>
      <c r="I973" s="43">
        <v>46054</v>
      </c>
      <c r="J973" t="s">
        <v>423</v>
      </c>
      <c r="K973" t="str">
        <f>IFERROR(+VLOOKUP(Movimientos_2026[[#This Row],[Codigo]],Plan_cuentas[],6,FALSE)," ")</f>
        <v>2 - PR - Plan Rombo</v>
      </c>
      <c r="L973" s="50">
        <v>16959880.5174</v>
      </c>
      <c r="M973" s="50"/>
      <c r="N973" s="20">
        <f>+Movimientos_2026[[#This Row],[Ingresos]]-Movimientos_2026[[#This Row],[Egresos]]</f>
        <v>16959880.5174</v>
      </c>
      <c r="O973" s="20">
        <f>+O972+Movimientos_2026[[#This Row],[Neto]]</f>
        <v>5343894947.1729879</v>
      </c>
    </row>
    <row r="974" spans="1:15" x14ac:dyDescent="0.25">
      <c r="A974" s="13">
        <v>46097</v>
      </c>
      <c r="B974" s="12">
        <f>MONTH(Movimientos_2026[[#This Row],[Fecha]])</f>
        <v>3</v>
      </c>
      <c r="C974" s="12" t="str">
        <f>VLOOKUP((WEEKDAY(Movimientos_2026[[#This Row],[Fecha]],2)),'5. Setup'!$D$6:$E$12,2,FALSE)</f>
        <v>Lun</v>
      </c>
      <c r="D974">
        <v>1044352</v>
      </c>
      <c r="E974" t="str">
        <f>IFERROR(+VLOOKUP(Movimientos_2026[[#This Row],[Codigo]],Plan_cuentas[],2,FALSE)," ")</f>
        <v>INGRESOS</v>
      </c>
      <c r="F974" t="str">
        <f>IFERROR(+VLOOKUP(Movimientos_2026[[#This Row],[Codigo]],Plan_cuentas[],3,FALSE)," ")</f>
        <v>Transferencia</v>
      </c>
      <c r="G974" t="str">
        <f>IFERROR(+VLOOKUP(Movimientos_2026[[#This Row],[Codigo]],Plan_cuentas[],4,FALSE)," ")</f>
        <v>Rentas</v>
      </c>
      <c r="H974" t="str">
        <f>IFERROR(+VLOOKUP(Movimientos_2026[[#This Row],[Codigo]],Plan_cuentas[],5,FALSE)," ")</f>
        <v>SAN JUAN</v>
      </c>
      <c r="I974" s="43">
        <v>46054</v>
      </c>
      <c r="J974" t="s">
        <v>423</v>
      </c>
      <c r="K974" t="str">
        <f>IFERROR(+VLOOKUP(Movimientos_2026[[#This Row],[Codigo]],Plan_cuentas[],6,FALSE)," ")</f>
        <v>2 - PR - Plan Rombo</v>
      </c>
      <c r="L974" s="50">
        <v>7480489.3250880018</v>
      </c>
      <c r="M974" s="50"/>
      <c r="N974" s="20">
        <f>+Movimientos_2026[[#This Row],[Ingresos]]-Movimientos_2026[[#This Row],[Egresos]]</f>
        <v>7480489.3250880018</v>
      </c>
      <c r="O974" s="20">
        <f>+O973+Movimientos_2026[[#This Row],[Neto]]</f>
        <v>5351375436.4980755</v>
      </c>
    </row>
    <row r="975" spans="1:15" x14ac:dyDescent="0.25">
      <c r="A975" s="13">
        <v>46097</v>
      </c>
      <c r="B975" s="12">
        <f>MONTH(Movimientos_2026[[#This Row],[Fecha]])</f>
        <v>3</v>
      </c>
      <c r="C975" s="12" t="str">
        <f>VLOOKUP((WEEKDAY(Movimientos_2026[[#This Row],[Fecha]],2)),'5. Setup'!$D$6:$E$12,2,FALSE)</f>
        <v>Lun</v>
      </c>
      <c r="D975">
        <v>1044362</v>
      </c>
      <c r="E975" t="str">
        <f>IFERROR(+VLOOKUP(Movimientos_2026[[#This Row],[Codigo]],Plan_cuentas[],2,FALSE)," ")</f>
        <v>INGRESOS</v>
      </c>
      <c r="F975" t="str">
        <f>IFERROR(+VLOOKUP(Movimientos_2026[[#This Row],[Codigo]],Plan_cuentas[],3,FALSE)," ")</f>
        <v>Transferencia</v>
      </c>
      <c r="G975" t="str">
        <f>IFERROR(+VLOOKUP(Movimientos_2026[[#This Row],[Codigo]],Plan_cuentas[],4,FALSE)," ")</f>
        <v>Rentas</v>
      </c>
      <c r="H975" t="str">
        <f>IFERROR(+VLOOKUP(Movimientos_2026[[#This Row],[Codigo]],Plan_cuentas[],5,FALSE)," ")</f>
        <v>SAN LUIS</v>
      </c>
      <c r="I975" s="43">
        <v>46054</v>
      </c>
      <c r="J975" t="s">
        <v>423</v>
      </c>
      <c r="K975" t="str">
        <f>IFERROR(+VLOOKUP(Movimientos_2026[[#This Row],[Codigo]],Plan_cuentas[],6,FALSE)," ")</f>
        <v>2 - PR - Plan Rombo</v>
      </c>
      <c r="L975" s="50">
        <v>7438995.3099599993</v>
      </c>
      <c r="M975" s="50"/>
      <c r="N975" s="20">
        <f>+Movimientos_2026[[#This Row],[Ingresos]]-Movimientos_2026[[#This Row],[Egresos]]</f>
        <v>7438995.3099599993</v>
      </c>
      <c r="O975" s="20">
        <f>+O974+Movimientos_2026[[#This Row],[Neto]]</f>
        <v>5358814431.8080359</v>
      </c>
    </row>
    <row r="976" spans="1:15" x14ac:dyDescent="0.25">
      <c r="A976" s="13">
        <v>46097</v>
      </c>
      <c r="B976" s="12">
        <f>MONTH(Movimientos_2026[[#This Row],[Fecha]])</f>
        <v>3</v>
      </c>
      <c r="C976" s="12" t="str">
        <f>VLOOKUP((WEEKDAY(Movimientos_2026[[#This Row],[Fecha]],2)),'5. Setup'!$D$6:$E$12,2,FALSE)</f>
        <v>Lun</v>
      </c>
      <c r="D976">
        <v>1044372</v>
      </c>
      <c r="E976" t="str">
        <f>IFERROR(+VLOOKUP(Movimientos_2026[[#This Row],[Codigo]],Plan_cuentas[],2,FALSE)," ")</f>
        <v>INGRESOS</v>
      </c>
      <c r="F976" t="str">
        <f>IFERROR(+VLOOKUP(Movimientos_2026[[#This Row],[Codigo]],Plan_cuentas[],3,FALSE)," ")</f>
        <v>Transferencia</v>
      </c>
      <c r="G976" t="str">
        <f>IFERROR(+VLOOKUP(Movimientos_2026[[#This Row],[Codigo]],Plan_cuentas[],4,FALSE)," ")</f>
        <v>Rentas</v>
      </c>
      <c r="H976" t="str">
        <f>IFERROR(+VLOOKUP(Movimientos_2026[[#This Row],[Codigo]],Plan_cuentas[],5,FALSE)," ")</f>
        <v>SANTA CRUZ</v>
      </c>
      <c r="I976" s="43">
        <v>46054</v>
      </c>
      <c r="J976" t="s">
        <v>423</v>
      </c>
      <c r="K976" t="str">
        <f>IFERROR(+VLOOKUP(Movimientos_2026[[#This Row],[Codigo]],Plan_cuentas[],6,FALSE)," ")</f>
        <v>2 - PR - Plan Rombo</v>
      </c>
      <c r="L976" s="50">
        <v>33953518.995239973</v>
      </c>
      <c r="M976" s="50"/>
      <c r="N976" s="20">
        <f>+Movimientos_2026[[#This Row],[Ingresos]]-Movimientos_2026[[#This Row],[Egresos]]</f>
        <v>33953518.995239973</v>
      </c>
      <c r="O976" s="20">
        <f>+O975+Movimientos_2026[[#This Row],[Neto]]</f>
        <v>5392767950.8032761</v>
      </c>
    </row>
    <row r="977" spans="1:15" x14ac:dyDescent="0.25">
      <c r="A977" s="13">
        <v>46097</v>
      </c>
      <c r="B977" s="12">
        <f>MONTH(Movimientos_2026[[#This Row],[Fecha]])</f>
        <v>3</v>
      </c>
      <c r="C977" s="12" t="str">
        <f>VLOOKUP((WEEKDAY(Movimientos_2026[[#This Row],[Fecha]],2)),'5. Setup'!$D$6:$E$12,2,FALSE)</f>
        <v>Lun</v>
      </c>
      <c r="D977">
        <v>1044402</v>
      </c>
      <c r="E977" t="str">
        <f>IFERROR(+VLOOKUP(Movimientos_2026[[#This Row],[Codigo]],Plan_cuentas[],2,FALSE)," ")</f>
        <v>INGRESOS</v>
      </c>
      <c r="F977" t="str">
        <f>IFERROR(+VLOOKUP(Movimientos_2026[[#This Row],[Codigo]],Plan_cuentas[],3,FALSE)," ")</f>
        <v>Transferencia</v>
      </c>
      <c r="G977" t="str">
        <f>IFERROR(+VLOOKUP(Movimientos_2026[[#This Row],[Codigo]],Plan_cuentas[],4,FALSE)," ")</f>
        <v>Rentas</v>
      </c>
      <c r="H977" t="str">
        <f>IFERROR(+VLOOKUP(Movimientos_2026[[#This Row],[Codigo]],Plan_cuentas[],5,FALSE)," ")</f>
        <v>SANTIAGO DEL ESTERO</v>
      </c>
      <c r="I977" s="43">
        <v>46054</v>
      </c>
      <c r="J977" t="s">
        <v>423</v>
      </c>
      <c r="K977" t="str">
        <f>IFERROR(+VLOOKUP(Movimientos_2026[[#This Row],[Codigo]],Plan_cuentas[],6,FALSE)," ")</f>
        <v>2 - PR - Plan Rombo</v>
      </c>
      <c r="L977" s="50">
        <v>22567838.79769998</v>
      </c>
      <c r="M977" s="50"/>
      <c r="N977" s="20">
        <f>+Movimientos_2026[[#This Row],[Ingresos]]-Movimientos_2026[[#This Row],[Egresos]]</f>
        <v>22567838.79769998</v>
      </c>
      <c r="O977" s="20">
        <f>+O976+Movimientos_2026[[#This Row],[Neto]]</f>
        <v>5415335789.600976</v>
      </c>
    </row>
    <row r="978" spans="1:15" x14ac:dyDescent="0.25">
      <c r="A978" s="13">
        <v>46097</v>
      </c>
      <c r="B978" s="12">
        <f>MONTH(Movimientos_2026[[#This Row],[Fecha]])</f>
        <v>3</v>
      </c>
      <c r="C978" s="12" t="str">
        <f>VLOOKUP((WEEKDAY(Movimientos_2026[[#This Row],[Fecha]],2)),'5. Setup'!$D$6:$E$12,2,FALSE)</f>
        <v>Lun</v>
      </c>
      <c r="D978">
        <v>1044412</v>
      </c>
      <c r="E978" t="str">
        <f>IFERROR(+VLOOKUP(Movimientos_2026[[#This Row],[Codigo]],Plan_cuentas[],2,FALSE)," ")</f>
        <v>INGRESOS</v>
      </c>
      <c r="F978" t="str">
        <f>IFERROR(+VLOOKUP(Movimientos_2026[[#This Row],[Codigo]],Plan_cuentas[],3,FALSE)," ")</f>
        <v>Transferencia</v>
      </c>
      <c r="G978" t="str">
        <f>IFERROR(+VLOOKUP(Movimientos_2026[[#This Row],[Codigo]],Plan_cuentas[],4,FALSE)," ")</f>
        <v>Rentas</v>
      </c>
      <c r="H978" t="str">
        <f>IFERROR(+VLOOKUP(Movimientos_2026[[#This Row],[Codigo]],Plan_cuentas[],5,FALSE)," ")</f>
        <v>TIERRA DEL FUEGO</v>
      </c>
      <c r="I978" s="43">
        <v>46054</v>
      </c>
      <c r="J978" t="s">
        <v>423</v>
      </c>
      <c r="K978" t="str">
        <f>IFERROR(+VLOOKUP(Movimientos_2026[[#This Row],[Codigo]],Plan_cuentas[],6,FALSE)," ")</f>
        <v>2 - PR - Plan Rombo</v>
      </c>
      <c r="L978" s="50">
        <v>5547629.5062999995</v>
      </c>
      <c r="M978" s="50"/>
      <c r="N978" s="20">
        <f>+Movimientos_2026[[#This Row],[Ingresos]]-Movimientos_2026[[#This Row],[Egresos]]</f>
        <v>5547629.5062999995</v>
      </c>
      <c r="O978" s="20">
        <f>+O977+Movimientos_2026[[#This Row],[Neto]]</f>
        <v>5420883419.107276</v>
      </c>
    </row>
    <row r="979" spans="1:15" x14ac:dyDescent="0.25">
      <c r="A979" s="13">
        <v>46097</v>
      </c>
      <c r="B979" s="12">
        <f>MONTH(Movimientos_2026[[#This Row],[Fecha]])</f>
        <v>3</v>
      </c>
      <c r="C979" s="12" t="str">
        <f>VLOOKUP((WEEKDAY(Movimientos_2026[[#This Row],[Fecha]],2)),'5. Setup'!$D$6:$E$12,2,FALSE)</f>
        <v>Lun</v>
      </c>
      <c r="D979">
        <v>1044422</v>
      </c>
      <c r="E979" t="str">
        <f>IFERROR(+VLOOKUP(Movimientos_2026[[#This Row],[Codigo]],Plan_cuentas[],2,FALSE)," ")</f>
        <v>INGRESOS</v>
      </c>
      <c r="F979" t="str">
        <f>IFERROR(+VLOOKUP(Movimientos_2026[[#This Row],[Codigo]],Plan_cuentas[],3,FALSE)," ")</f>
        <v>Transferencia</v>
      </c>
      <c r="G979" t="str">
        <f>IFERROR(+VLOOKUP(Movimientos_2026[[#This Row],[Codigo]],Plan_cuentas[],4,FALSE)," ")</f>
        <v>Rentas</v>
      </c>
      <c r="H979" t="str">
        <f>IFERROR(+VLOOKUP(Movimientos_2026[[#This Row],[Codigo]],Plan_cuentas[],5,FALSE)," ")</f>
        <v>TUCUMAN</v>
      </c>
      <c r="I979" s="43">
        <v>46054</v>
      </c>
      <c r="J979" t="s">
        <v>423</v>
      </c>
      <c r="K979" t="str">
        <f>IFERROR(+VLOOKUP(Movimientos_2026[[#This Row],[Codigo]],Plan_cuentas[],6,FALSE)," ")</f>
        <v>2 - PR - Plan Rombo</v>
      </c>
      <c r="L979" s="50">
        <v>75239420.273999989</v>
      </c>
      <c r="M979" s="52"/>
      <c r="N979" s="20">
        <f>+Movimientos_2026[[#This Row],[Ingresos]]-Movimientos_2026[[#This Row],[Egresos]]</f>
        <v>75239420.273999989</v>
      </c>
      <c r="O979" s="20">
        <f>+O978+Movimientos_2026[[#This Row],[Neto]]</f>
        <v>5496122839.3812761</v>
      </c>
    </row>
    <row r="980" spans="1:15" x14ac:dyDescent="0.25">
      <c r="A980" s="13">
        <v>46097</v>
      </c>
      <c r="B980" s="12">
        <f>MONTH(Movimientos_2026[[#This Row],[Fecha]])</f>
        <v>3</v>
      </c>
      <c r="C980" s="12" t="str">
        <f>VLOOKUP((WEEKDAY(Movimientos_2026[[#This Row],[Fecha]],2)),'5. Setup'!$D$6:$E$12,2,FALSE)</f>
        <v>Lun</v>
      </c>
      <c r="D980">
        <v>1045453</v>
      </c>
      <c r="E980" t="str">
        <f>IFERROR(+VLOOKUP(Movimientos_2026[[#This Row],[Codigo]],Plan_cuentas[],2,FALSE)," ")</f>
        <v>INGRESOS</v>
      </c>
      <c r="F980" t="str">
        <f>IFERROR(+VLOOKUP(Movimientos_2026[[#This Row],[Codigo]],Plan_cuentas[],3,FALSE)," ")</f>
        <v>Transferencia</v>
      </c>
      <c r="G980" t="str">
        <f>IFERROR(+VLOOKUP(Movimientos_2026[[#This Row],[Codigo]],Plan_cuentas[],4,FALSE)," ")</f>
        <v>Factura</v>
      </c>
      <c r="H980" t="str">
        <f>IFERROR(+VLOOKUP(Movimientos_2026[[#This Row],[Codigo]],Plan_cuentas[],5,FALSE)," ")</f>
        <v>FC DERECHOS</v>
      </c>
      <c r="I980" s="43">
        <v>46023</v>
      </c>
      <c r="J980" t="s">
        <v>424</v>
      </c>
      <c r="K980" t="str">
        <f>IFERROR(+VLOOKUP(Movimientos_2026[[#This Row],[Codigo]],Plan_cuentas[],6,FALSE)," ")</f>
        <v>3 - GM - Chevrolet</v>
      </c>
      <c r="L980" s="50">
        <v>63213864.149999999</v>
      </c>
      <c r="M980" s="50"/>
      <c r="N980" s="20">
        <f>+Movimientos_2026[[#This Row],[Ingresos]]-Movimientos_2026[[#This Row],[Egresos]]</f>
        <v>63213864.149999999</v>
      </c>
      <c r="O980" s="20">
        <f>+O979+Movimientos_2026[[#This Row],[Neto]]</f>
        <v>5559336703.5312757</v>
      </c>
    </row>
    <row r="981" spans="1:15" x14ac:dyDescent="0.25">
      <c r="A981" s="13">
        <v>46098</v>
      </c>
      <c r="B981" s="12">
        <f>MONTH(Movimientos_2026[[#This Row],[Fecha]])</f>
        <v>3</v>
      </c>
      <c r="C981" s="12" t="str">
        <f>VLOOKUP((WEEKDAY(Movimientos_2026[[#This Row],[Fecha]],2)),'5. Setup'!$D$6:$E$12,2,FALSE)</f>
        <v>Mar</v>
      </c>
      <c r="D981">
        <v>2044126</v>
      </c>
      <c r="E981" t="str">
        <f>IFERROR(+VLOOKUP(Movimientos_2026[[#This Row],[Codigo]],Plan_cuentas[],2,FALSE)," ")</f>
        <v>EGRESOS</v>
      </c>
      <c r="F981" t="str">
        <f>IFERROR(+VLOOKUP(Movimientos_2026[[#This Row],[Codigo]],Plan_cuentas[],3,FALSE)," ")</f>
        <v>Transferencia</v>
      </c>
      <c r="G981" t="str">
        <f>IFERROR(+VLOOKUP(Movimientos_2026[[#This Row],[Codigo]],Plan_cuentas[],4,FALSE)," ")</f>
        <v>Rentas</v>
      </c>
      <c r="H981" t="str">
        <f>IFERROR(+VLOOKUP(Movimientos_2026[[#This Row],[Codigo]],Plan_cuentas[],5,FALSE)," ")</f>
        <v>BAPRO</v>
      </c>
      <c r="I981" s="43">
        <v>46054</v>
      </c>
      <c r="J981" t="s">
        <v>425</v>
      </c>
      <c r="K981" t="str">
        <f>IFERROR(+VLOOKUP(Movimientos_2026[[#This Row],[Codigo]],Plan_cuentas[],6,FALSE)," ")</f>
        <v>6 - FCAtr - Fiat Transf.</v>
      </c>
      <c r="L981" s="50">
        <v>7922928.7000000002</v>
      </c>
      <c r="M981" s="52"/>
      <c r="N981" s="20">
        <f>+Movimientos_2026[[#This Row],[Ingresos]]-Movimientos_2026[[#This Row],[Egresos]]</f>
        <v>7922928.7000000002</v>
      </c>
      <c r="O981" s="20">
        <f>+O980+Movimientos_2026[[#This Row],[Neto]]</f>
        <v>5567259632.2312756</v>
      </c>
    </row>
    <row r="982" spans="1:15" x14ac:dyDescent="0.25">
      <c r="A982" s="13">
        <v>46098</v>
      </c>
      <c r="B982" s="12">
        <f>MONTH(Movimientos_2026[[#This Row],[Fecha]])</f>
        <v>3</v>
      </c>
      <c r="C982" s="12" t="str">
        <f>VLOOKUP((WEEKDAY(Movimientos_2026[[#This Row],[Fecha]],2)),'5. Setup'!$D$6:$E$12,2,FALSE)</f>
        <v>Mar</v>
      </c>
      <c r="D982">
        <v>2044126</v>
      </c>
      <c r="E982" t="str">
        <f>IFERROR(+VLOOKUP(Movimientos_2026[[#This Row],[Codigo]],Plan_cuentas[],2,FALSE)," ")</f>
        <v>EGRESOS</v>
      </c>
      <c r="F982" t="str">
        <f>IFERROR(+VLOOKUP(Movimientos_2026[[#This Row],[Codigo]],Plan_cuentas[],3,FALSE)," ")</f>
        <v>Transferencia</v>
      </c>
      <c r="G982" t="str">
        <f>IFERROR(+VLOOKUP(Movimientos_2026[[#This Row],[Codigo]],Plan_cuentas[],4,FALSE)," ")</f>
        <v>Rentas</v>
      </c>
      <c r="H982" t="str">
        <f>IFERROR(+VLOOKUP(Movimientos_2026[[#This Row],[Codigo]],Plan_cuentas[],5,FALSE)," ")</f>
        <v>BAPRO</v>
      </c>
      <c r="I982" s="43">
        <v>46054</v>
      </c>
      <c r="J982" t="s">
        <v>426</v>
      </c>
      <c r="K982" t="str">
        <f>IFERROR(+VLOOKUP(Movimientos_2026[[#This Row],[Codigo]],Plan_cuentas[],6,FALSE)," ")</f>
        <v>6 - FCAtr - Fiat Transf.</v>
      </c>
      <c r="L982" s="50">
        <v>3930631.4</v>
      </c>
      <c r="M982" s="52"/>
      <c r="N982" s="20">
        <f>+Movimientos_2026[[#This Row],[Ingresos]]-Movimientos_2026[[#This Row],[Egresos]]</f>
        <v>3930631.4</v>
      </c>
      <c r="O982" s="20">
        <f>+O981+Movimientos_2026[[#This Row],[Neto]]</f>
        <v>5571190263.6312752</v>
      </c>
    </row>
    <row r="983" spans="1:15" x14ac:dyDescent="0.25">
      <c r="A983" s="13">
        <v>46098</v>
      </c>
      <c r="B983" s="12">
        <f>MONTH(Movimientos_2026[[#This Row],[Fecha]])</f>
        <v>3</v>
      </c>
      <c r="C983" s="12" t="str">
        <f>VLOOKUP((WEEKDAY(Movimientos_2026[[#This Row],[Fecha]],2)),'5. Setup'!$D$6:$E$12,2,FALSE)</f>
        <v>Mar</v>
      </c>
      <c r="D983">
        <v>2044126</v>
      </c>
      <c r="E983" t="str">
        <f>IFERROR(+VLOOKUP(Movimientos_2026[[#This Row],[Codigo]],Plan_cuentas[],2,FALSE)," ")</f>
        <v>EGRESOS</v>
      </c>
      <c r="F983" t="str">
        <f>IFERROR(+VLOOKUP(Movimientos_2026[[#This Row],[Codigo]],Plan_cuentas[],3,FALSE)," ")</f>
        <v>Transferencia</v>
      </c>
      <c r="G983" t="str">
        <f>IFERROR(+VLOOKUP(Movimientos_2026[[#This Row],[Codigo]],Plan_cuentas[],4,FALSE)," ")</f>
        <v>Rentas</v>
      </c>
      <c r="H983" t="str">
        <f>IFERROR(+VLOOKUP(Movimientos_2026[[#This Row],[Codigo]],Plan_cuentas[],5,FALSE)," ")</f>
        <v>BAPRO</v>
      </c>
      <c r="I983" s="43">
        <v>46054</v>
      </c>
      <c r="J983" t="s">
        <v>427</v>
      </c>
      <c r="K983" t="str">
        <f>IFERROR(+VLOOKUP(Movimientos_2026[[#This Row],[Codigo]],Plan_cuentas[],6,FALSE)," ")</f>
        <v>6 - FCAtr - Fiat Transf.</v>
      </c>
      <c r="L983" s="50">
        <v>2566558.2000000002</v>
      </c>
      <c r="M983" s="50"/>
      <c r="N983" s="20">
        <f>+Movimientos_2026[[#This Row],[Ingresos]]-Movimientos_2026[[#This Row],[Egresos]]</f>
        <v>2566558.2000000002</v>
      </c>
      <c r="O983" s="20">
        <f>+O982+Movimientos_2026[[#This Row],[Neto]]</f>
        <v>5573756821.831275</v>
      </c>
    </row>
    <row r="984" spans="1:15" x14ac:dyDescent="0.25">
      <c r="A984" s="13">
        <v>46098</v>
      </c>
      <c r="B984" s="12">
        <f>MONTH(Movimientos_2026[[#This Row],[Fecha]])</f>
        <v>3</v>
      </c>
      <c r="C984" s="12" t="str">
        <f>VLOOKUP((WEEKDAY(Movimientos_2026[[#This Row],[Fecha]],2)),'5. Setup'!$D$6:$E$12,2,FALSE)</f>
        <v>Mar</v>
      </c>
      <c r="D984">
        <v>2044126</v>
      </c>
      <c r="E984" t="str">
        <f>IFERROR(+VLOOKUP(Movimientos_2026[[#This Row],[Codigo]],Plan_cuentas[],2,FALSE)," ")</f>
        <v>EGRESOS</v>
      </c>
      <c r="F984" t="str">
        <f>IFERROR(+VLOOKUP(Movimientos_2026[[#This Row],[Codigo]],Plan_cuentas[],3,FALSE)," ")</f>
        <v>Transferencia</v>
      </c>
      <c r="G984" t="str">
        <f>IFERROR(+VLOOKUP(Movimientos_2026[[#This Row],[Codigo]],Plan_cuentas[],4,FALSE)," ")</f>
        <v>Rentas</v>
      </c>
      <c r="H984" t="str">
        <f>IFERROR(+VLOOKUP(Movimientos_2026[[#This Row],[Codigo]],Plan_cuentas[],5,FALSE)," ")</f>
        <v>BAPRO</v>
      </c>
      <c r="I984" s="43">
        <v>46054</v>
      </c>
      <c r="J984" t="s">
        <v>428</v>
      </c>
      <c r="K984" t="str">
        <f>IFERROR(+VLOOKUP(Movimientos_2026[[#This Row],[Codigo]],Plan_cuentas[],6,FALSE)," ")</f>
        <v>6 - FCAtr - Fiat Transf.</v>
      </c>
      <c r="L984" s="50">
        <v>1645388.7</v>
      </c>
      <c r="M984" s="50"/>
      <c r="N984" s="20">
        <f>+Movimientos_2026[[#This Row],[Ingresos]]-Movimientos_2026[[#This Row],[Egresos]]</f>
        <v>1645388.7</v>
      </c>
      <c r="O984" s="20">
        <f>+O983+Movimientos_2026[[#This Row],[Neto]]</f>
        <v>5575402210.5312748</v>
      </c>
    </row>
    <row r="985" spans="1:15" x14ac:dyDescent="0.25">
      <c r="A985" s="13">
        <v>46099</v>
      </c>
      <c r="B985" s="12">
        <f>MONTH(Movimientos_2026[[#This Row],[Fecha]])</f>
        <v>3</v>
      </c>
      <c r="C985" s="12" t="str">
        <f>VLOOKUP((WEEKDAY(Movimientos_2026[[#This Row],[Fecha]],2)),'5. Setup'!$D$6:$E$12,2,FALSE)</f>
        <v>Mie</v>
      </c>
      <c r="D985">
        <v>2044464</v>
      </c>
      <c r="E985" t="str">
        <f>IFERROR(+VLOOKUP(Movimientos_2026[[#This Row],[Codigo]],Plan_cuentas[],2,FALSE)," ")</f>
        <v>EGRESOS</v>
      </c>
      <c r="F985" t="str">
        <f>IFERROR(+VLOOKUP(Movimientos_2026[[#This Row],[Codigo]],Plan_cuentas[],3,FALSE)," ")</f>
        <v>Transferencia</v>
      </c>
      <c r="G985" t="str">
        <f>IFERROR(+VLOOKUP(Movimientos_2026[[#This Row],[Codigo]],Plan_cuentas[],4,FALSE)," ")</f>
        <v>Rentas</v>
      </c>
      <c r="H985" t="str">
        <f>IFERROR(+VLOOKUP(Movimientos_2026[[#This Row],[Codigo]],Plan_cuentas[],5,FALSE)," ")</f>
        <v>MISIONES</v>
      </c>
      <c r="I985" s="43">
        <v>46054</v>
      </c>
      <c r="J985" t="s">
        <v>429</v>
      </c>
      <c r="K985" t="str">
        <f>IFERROR(+VLOOKUP(Movimientos_2026[[#This Row],[Codigo]],Plan_cuentas[],6,FALSE)," ")</f>
        <v>4 - FCA - Fiat</v>
      </c>
      <c r="L985" s="50"/>
      <c r="M985" s="52">
        <v>6097387.4699999997</v>
      </c>
      <c r="N985" s="20">
        <f>+Movimientos_2026[[#This Row],[Ingresos]]-Movimientos_2026[[#This Row],[Egresos]]</f>
        <v>-6097387.4699999997</v>
      </c>
      <c r="O985" s="20">
        <f>+O984+Movimientos_2026[[#This Row],[Neto]]</f>
        <v>5569304823.0612745</v>
      </c>
    </row>
    <row r="986" spans="1:15" x14ac:dyDescent="0.25">
      <c r="A986" s="13">
        <v>46099</v>
      </c>
      <c r="B986" s="12">
        <f>MONTH(Movimientos_2026[[#This Row],[Fecha]])</f>
        <v>3</v>
      </c>
      <c r="C986" s="12" t="str">
        <f>VLOOKUP((WEEKDAY(Movimientos_2026[[#This Row],[Fecha]],2)),'5. Setup'!$D$6:$E$12,2,FALSE)</f>
        <v>Mie</v>
      </c>
      <c r="D986">
        <v>2014352</v>
      </c>
      <c r="E986" t="str">
        <f>IFERROR(+VLOOKUP(Movimientos_2026[[#This Row],[Codigo]],Plan_cuentas[],2,FALSE)," ")</f>
        <v>EGRESOS</v>
      </c>
      <c r="F986" t="str">
        <f>IFERROR(+VLOOKUP(Movimientos_2026[[#This Row],[Codigo]],Plan_cuentas[],3,FALSE)," ")</f>
        <v>BtoB</v>
      </c>
      <c r="G986" t="str">
        <f>IFERROR(+VLOOKUP(Movimientos_2026[[#This Row],[Codigo]],Plan_cuentas[],4,FALSE)," ")</f>
        <v>Rentas</v>
      </c>
      <c r="H986" t="str">
        <f>IFERROR(+VLOOKUP(Movimientos_2026[[#This Row],[Codigo]],Plan_cuentas[],5,FALSE)," ")</f>
        <v>SAN JUAN</v>
      </c>
      <c r="I986" s="43">
        <v>46054</v>
      </c>
      <c r="J986" t="s">
        <v>430</v>
      </c>
      <c r="K986" t="str">
        <f>IFERROR(+VLOOKUP(Movimientos_2026[[#This Row],[Codigo]],Plan_cuentas[],6,FALSE)," ")</f>
        <v>2 - PR - Plan Rombo</v>
      </c>
      <c r="L986" s="50"/>
      <c r="M986" s="52">
        <v>7480489.3399999999</v>
      </c>
      <c r="N986" s="20">
        <f>+Movimientos_2026[[#This Row],[Ingresos]]-Movimientos_2026[[#This Row],[Egresos]]</f>
        <v>-7480489.3399999999</v>
      </c>
      <c r="O986" s="20">
        <f>+O985+Movimientos_2026[[#This Row],[Neto]]</f>
        <v>5561824333.7212744</v>
      </c>
    </row>
    <row r="987" spans="1:15" x14ac:dyDescent="0.25">
      <c r="A987" s="13">
        <v>46099</v>
      </c>
      <c r="B987" s="12">
        <f>MONTH(Movimientos_2026[[#This Row],[Fecha]])</f>
        <v>3</v>
      </c>
      <c r="C987" s="12" t="str">
        <f>VLOOKUP((WEEKDAY(Movimientos_2026[[#This Row],[Fecha]],2)),'5. Setup'!$D$6:$E$12,2,FALSE)</f>
        <v>Mie</v>
      </c>
      <c r="D987">
        <v>2014354</v>
      </c>
      <c r="E987" t="str">
        <f>IFERROR(+VLOOKUP(Movimientos_2026[[#This Row],[Codigo]],Plan_cuentas[],2,FALSE)," ")</f>
        <v>EGRESOS</v>
      </c>
      <c r="F987" t="str">
        <f>IFERROR(+VLOOKUP(Movimientos_2026[[#This Row],[Codigo]],Plan_cuentas[],3,FALSE)," ")</f>
        <v>BtoB</v>
      </c>
      <c r="G987" t="str">
        <f>IFERROR(+VLOOKUP(Movimientos_2026[[#This Row],[Codigo]],Plan_cuentas[],4,FALSE)," ")</f>
        <v>Rentas</v>
      </c>
      <c r="H987" t="str">
        <f>IFERROR(+VLOOKUP(Movimientos_2026[[#This Row],[Codigo]],Plan_cuentas[],5,FALSE)," ")</f>
        <v>SAN JUAN</v>
      </c>
      <c r="I987" s="43">
        <v>46054</v>
      </c>
      <c r="J987" t="s">
        <v>431</v>
      </c>
      <c r="K987" t="str">
        <f>IFERROR(+VLOOKUP(Movimientos_2026[[#This Row],[Codigo]],Plan_cuentas[],6,FALSE)," ")</f>
        <v>4 - FCA - Fiat</v>
      </c>
      <c r="L987" s="50"/>
      <c r="M987" s="52">
        <v>4232976</v>
      </c>
      <c r="N987" s="20">
        <f>+Movimientos_2026[[#This Row],[Ingresos]]-Movimientos_2026[[#This Row],[Egresos]]</f>
        <v>-4232976</v>
      </c>
      <c r="O987" s="20">
        <f>+O986+Movimientos_2026[[#This Row],[Neto]]</f>
        <v>5557591357.7212744</v>
      </c>
    </row>
    <row r="988" spans="1:15" x14ac:dyDescent="0.25">
      <c r="A988" s="13">
        <v>46099</v>
      </c>
      <c r="B988" s="12">
        <f>MONTH(Movimientos_2026[[#This Row],[Fecha]])</f>
        <v>3</v>
      </c>
      <c r="C988" s="12" t="str">
        <f>VLOOKUP((WEEKDAY(Movimientos_2026[[#This Row],[Fecha]],2)),'5. Setup'!$D$6:$E$12,2,FALSE)</f>
        <v>Mie</v>
      </c>
      <c r="D988">
        <v>2014356</v>
      </c>
      <c r="E988" t="str">
        <f>IFERROR(+VLOOKUP(Movimientos_2026[[#This Row],[Codigo]],Plan_cuentas[],2,FALSE)," ")</f>
        <v>EGRESOS</v>
      </c>
      <c r="F988" t="str">
        <f>IFERROR(+VLOOKUP(Movimientos_2026[[#This Row],[Codigo]],Plan_cuentas[],3,FALSE)," ")</f>
        <v>BtoB</v>
      </c>
      <c r="G988" t="str">
        <f>IFERROR(+VLOOKUP(Movimientos_2026[[#This Row],[Codigo]],Plan_cuentas[],4,FALSE)," ")</f>
        <v>Rentas</v>
      </c>
      <c r="H988" t="str">
        <f>IFERROR(+VLOOKUP(Movimientos_2026[[#This Row],[Codigo]],Plan_cuentas[],5,FALSE)," ")</f>
        <v>SAN JUAN</v>
      </c>
      <c r="I988" s="43">
        <v>46054</v>
      </c>
      <c r="J988" t="s">
        <v>431</v>
      </c>
      <c r="K988" t="str">
        <f>IFERROR(+VLOOKUP(Movimientos_2026[[#This Row],[Codigo]],Plan_cuentas[],6,FALSE)," ")</f>
        <v>6 - FCAtr - Fiat Transf.</v>
      </c>
      <c r="L988" s="50"/>
      <c r="M988" s="52">
        <v>250947.71</v>
      </c>
      <c r="N988" s="20">
        <f>+Movimientos_2026[[#This Row],[Ingresos]]-Movimientos_2026[[#This Row],[Egresos]]</f>
        <v>-250947.71</v>
      </c>
      <c r="O988" s="20">
        <f>+O987+Movimientos_2026[[#This Row],[Neto]]</f>
        <v>5557340410.0112743</v>
      </c>
    </row>
    <row r="989" spans="1:15" x14ac:dyDescent="0.25">
      <c r="A989" s="13">
        <v>46100</v>
      </c>
      <c r="B989" s="12">
        <f>MONTH(Movimientos_2026[[#This Row],[Fecha]])</f>
        <v>3</v>
      </c>
      <c r="C989" s="12" t="str">
        <f>VLOOKUP((WEEKDAY(Movimientos_2026[[#This Row],[Fecha]],2)),'5. Setup'!$D$6:$E$12,2,FALSE)</f>
        <v>Jue</v>
      </c>
      <c r="D989">
        <v>2054312</v>
      </c>
      <c r="E989" t="str">
        <f>IFERROR(+VLOOKUP(Movimientos_2026[[#This Row],[Codigo]],Plan_cuentas[],2,FALSE)," ")</f>
        <v>EGRESOS</v>
      </c>
      <c r="F989" t="str">
        <f>IFERROR(+VLOOKUP(Movimientos_2026[[#This Row],[Codigo]],Plan_cuentas[],3,FALSE)," ")</f>
        <v>VEP</v>
      </c>
      <c r="G989" t="str">
        <f>IFERROR(+VLOOKUP(Movimientos_2026[[#This Row],[Codigo]],Plan_cuentas[],4,FALSE)," ")</f>
        <v>Rentas</v>
      </c>
      <c r="H989" t="str">
        <f>IFERROR(+VLOOKUP(Movimientos_2026[[#This Row],[Codigo]],Plan_cuentas[],5,FALSE)," ")</f>
        <v>NEUQUEN 1° Q</v>
      </c>
      <c r="I989" s="43">
        <v>46082</v>
      </c>
      <c r="J989" t="s">
        <v>432</v>
      </c>
      <c r="K989" t="str">
        <f>IFERROR(+VLOOKUP(Movimientos_2026[[#This Row],[Codigo]],Plan_cuentas[],6,FALSE)," ")</f>
        <v>2 - PR - Plan Rombo</v>
      </c>
      <c r="L989" s="50"/>
      <c r="M989" s="52">
        <v>27597100</v>
      </c>
      <c r="N989" s="20">
        <f>+Movimientos_2026[[#This Row],[Ingresos]]-Movimientos_2026[[#This Row],[Egresos]]</f>
        <v>-27597100</v>
      </c>
      <c r="O989" s="20">
        <f>+O988+Movimientos_2026[[#This Row],[Neto]]</f>
        <v>5529743310.0112743</v>
      </c>
    </row>
    <row r="990" spans="1:15" x14ac:dyDescent="0.25">
      <c r="A990" s="13">
        <v>46100</v>
      </c>
      <c r="B990" s="12">
        <f>MONTH(Movimientos_2026[[#This Row],[Fecha]])</f>
        <v>3</v>
      </c>
      <c r="C990" s="12" t="str">
        <f>VLOOKUP((WEEKDAY(Movimientos_2026[[#This Row],[Fecha]],2)),'5. Setup'!$D$6:$E$12,2,FALSE)</f>
        <v>Jue</v>
      </c>
      <c r="D990">
        <v>2054314</v>
      </c>
      <c r="E990" t="str">
        <f>IFERROR(+VLOOKUP(Movimientos_2026[[#This Row],[Codigo]],Plan_cuentas[],2,FALSE)," ")</f>
        <v>EGRESOS</v>
      </c>
      <c r="F990" t="str">
        <f>IFERROR(+VLOOKUP(Movimientos_2026[[#This Row],[Codigo]],Plan_cuentas[],3,FALSE)," ")</f>
        <v>VEP</v>
      </c>
      <c r="G990" t="str">
        <f>IFERROR(+VLOOKUP(Movimientos_2026[[#This Row],[Codigo]],Plan_cuentas[],4,FALSE)," ")</f>
        <v>Rentas</v>
      </c>
      <c r="H990" t="str">
        <f>IFERROR(+VLOOKUP(Movimientos_2026[[#This Row],[Codigo]],Plan_cuentas[],5,FALSE)," ")</f>
        <v>NEUQUEN 1° Q</v>
      </c>
      <c r="I990" s="43">
        <v>46082</v>
      </c>
      <c r="J990" t="s">
        <v>433</v>
      </c>
      <c r="K990" t="str">
        <f>IFERROR(+VLOOKUP(Movimientos_2026[[#This Row],[Codigo]],Plan_cuentas[],6,FALSE)," ")</f>
        <v>4 - FCA - Fiat</v>
      </c>
      <c r="L990" s="50"/>
      <c r="M990" s="52">
        <v>45146560</v>
      </c>
      <c r="N990" s="20">
        <f>+Movimientos_2026[[#This Row],[Ingresos]]-Movimientos_2026[[#This Row],[Egresos]]</f>
        <v>-45146560</v>
      </c>
      <c r="O990" s="20">
        <f>+O989+Movimientos_2026[[#This Row],[Neto]]</f>
        <v>5484596750.0112743</v>
      </c>
    </row>
    <row r="991" spans="1:15" x14ac:dyDescent="0.25">
      <c r="A991" s="13">
        <v>46100</v>
      </c>
      <c r="B991" s="12">
        <f>MONTH(Movimientos_2026[[#This Row],[Fecha]])</f>
        <v>3</v>
      </c>
      <c r="C991" s="12" t="str">
        <f>VLOOKUP((WEEKDAY(Movimientos_2026[[#This Row],[Fecha]],2)),'5. Setup'!$D$6:$E$12,2,FALSE)</f>
        <v>Jue</v>
      </c>
      <c r="D991">
        <v>2054316</v>
      </c>
      <c r="E991" t="str">
        <f>IFERROR(+VLOOKUP(Movimientos_2026[[#This Row],[Codigo]],Plan_cuentas[],2,FALSE)," ")</f>
        <v>EGRESOS</v>
      </c>
      <c r="F991" t="str">
        <f>IFERROR(+VLOOKUP(Movimientos_2026[[#This Row],[Codigo]],Plan_cuentas[],3,FALSE)," ")</f>
        <v>VEP</v>
      </c>
      <c r="G991" t="str">
        <f>IFERROR(+VLOOKUP(Movimientos_2026[[#This Row],[Codigo]],Plan_cuentas[],4,FALSE)," ")</f>
        <v>Rentas</v>
      </c>
      <c r="H991" t="str">
        <f>IFERROR(+VLOOKUP(Movimientos_2026[[#This Row],[Codigo]],Plan_cuentas[],5,FALSE)," ")</f>
        <v>NEUQUEN 1° Q</v>
      </c>
      <c r="I991" s="43">
        <v>46082</v>
      </c>
      <c r="J991" t="s">
        <v>433</v>
      </c>
      <c r="K991" t="str">
        <f>IFERROR(+VLOOKUP(Movimientos_2026[[#This Row],[Codigo]],Plan_cuentas[],6,FALSE)," ")</f>
        <v>6 - FCAtr - Fiat Transf.</v>
      </c>
      <c r="L991" s="50"/>
      <c r="M991" s="52">
        <v>517611.54</v>
      </c>
      <c r="N991" s="20">
        <f>+Movimientos_2026[[#This Row],[Ingresos]]-Movimientos_2026[[#This Row],[Egresos]]</f>
        <v>-517611.54</v>
      </c>
      <c r="O991" s="20">
        <f>+O990+Movimientos_2026[[#This Row],[Neto]]</f>
        <v>5484079138.4712744</v>
      </c>
    </row>
    <row r="992" spans="1:15" x14ac:dyDescent="0.25">
      <c r="A992" s="13">
        <v>46100</v>
      </c>
      <c r="B992" s="12">
        <f>MONTH(Movimientos_2026[[#This Row],[Fecha]])</f>
        <v>3</v>
      </c>
      <c r="C992" s="12" t="str">
        <f>VLOOKUP((WEEKDAY(Movimientos_2026[[#This Row],[Fecha]],2)),'5. Setup'!$D$6:$E$12,2,FALSE)</f>
        <v>Jue</v>
      </c>
      <c r="D992">
        <v>2014202</v>
      </c>
      <c r="E992" t="str">
        <f>IFERROR(+VLOOKUP(Movimientos_2026[[#This Row],[Codigo]],Plan_cuentas[],2,FALSE)," ")</f>
        <v>EGRESOS</v>
      </c>
      <c r="F992" t="str">
        <f>IFERROR(+VLOOKUP(Movimientos_2026[[#This Row],[Codigo]],Plan_cuentas[],3,FALSE)," ")</f>
        <v>BtoB</v>
      </c>
      <c r="G992" t="str">
        <f>IFERROR(+VLOOKUP(Movimientos_2026[[#This Row],[Codigo]],Plan_cuentas[],4,FALSE)," ")</f>
        <v>Rentas</v>
      </c>
      <c r="H992" t="str">
        <f>IFERROR(+VLOOKUP(Movimientos_2026[[#This Row],[Codigo]],Plan_cuentas[],5,FALSE)," ")</f>
        <v>CORRIENTES 1° Q</v>
      </c>
      <c r="I992" s="43">
        <v>46082</v>
      </c>
      <c r="J992" t="s">
        <v>434</v>
      </c>
      <c r="K992" t="str">
        <f>IFERROR(+VLOOKUP(Movimientos_2026[[#This Row],[Codigo]],Plan_cuentas[],6,FALSE)," ")</f>
        <v>2 - PR - Plan Rombo</v>
      </c>
      <c r="L992" s="50"/>
      <c r="M992" s="50">
        <v>19939606.16</v>
      </c>
      <c r="N992" s="20">
        <f>+Movimientos_2026[[#This Row],[Ingresos]]-Movimientos_2026[[#This Row],[Egresos]]</f>
        <v>-19939606.16</v>
      </c>
      <c r="O992" s="20">
        <f>+O991+Movimientos_2026[[#This Row],[Neto]]</f>
        <v>5464139532.3112745</v>
      </c>
    </row>
    <row r="993" spans="1:15" x14ac:dyDescent="0.25">
      <c r="A993" s="13">
        <v>46100</v>
      </c>
      <c r="B993" s="12">
        <f>MONTH(Movimientos_2026[[#This Row],[Fecha]])</f>
        <v>3</v>
      </c>
      <c r="C993" s="12" t="str">
        <f>VLOOKUP((WEEKDAY(Movimientos_2026[[#This Row],[Fecha]],2)),'5. Setup'!$D$6:$E$12,2,FALSE)</f>
        <v>Jue</v>
      </c>
      <c r="D993">
        <v>2014262</v>
      </c>
      <c r="E993" t="str">
        <f>IFERROR(+VLOOKUP(Movimientos_2026[[#This Row],[Codigo]],Plan_cuentas[],2,FALSE)," ")</f>
        <v>EGRESOS</v>
      </c>
      <c r="F993" t="str">
        <f>IFERROR(+VLOOKUP(Movimientos_2026[[#This Row],[Codigo]],Plan_cuentas[],3,FALSE)," ")</f>
        <v>BtoB</v>
      </c>
      <c r="G993" t="str">
        <f>IFERROR(+VLOOKUP(Movimientos_2026[[#This Row],[Codigo]],Plan_cuentas[],4,FALSE)," ")</f>
        <v>Rentas</v>
      </c>
      <c r="H993" t="str">
        <f>IFERROR(+VLOOKUP(Movimientos_2026[[#This Row],[Codigo]],Plan_cuentas[],5,FALSE)," ")</f>
        <v>LA PAMPA</v>
      </c>
      <c r="I993" s="43">
        <v>46054</v>
      </c>
      <c r="J993" t="s">
        <v>435</v>
      </c>
      <c r="K993" t="str">
        <f>IFERROR(+VLOOKUP(Movimientos_2026[[#This Row],[Codigo]],Plan_cuentas[],6,FALSE)," ")</f>
        <v>2 - PR - Plan Rombo</v>
      </c>
      <c r="L993" s="50"/>
      <c r="M993" s="52">
        <v>7411250</v>
      </c>
      <c r="N993" s="20">
        <f>+Movimientos_2026[[#This Row],[Ingresos]]-Movimientos_2026[[#This Row],[Egresos]]</f>
        <v>-7411250</v>
      </c>
      <c r="O993" s="20">
        <f>+O992+Movimientos_2026[[#This Row],[Neto]]</f>
        <v>5456728282.3112745</v>
      </c>
    </row>
    <row r="994" spans="1:15" x14ac:dyDescent="0.25">
      <c r="A994" s="13">
        <v>46100</v>
      </c>
      <c r="B994" s="12">
        <f>MONTH(Movimientos_2026[[#This Row],[Fecha]])</f>
        <v>3</v>
      </c>
      <c r="C994" s="12" t="str">
        <f>VLOOKUP((WEEKDAY(Movimientos_2026[[#This Row],[Fecha]],2)),'5. Setup'!$D$6:$E$12,2,FALSE)</f>
        <v>Jue</v>
      </c>
      <c r="D994">
        <v>2014264</v>
      </c>
      <c r="E994" t="str">
        <f>IFERROR(+VLOOKUP(Movimientos_2026[[#This Row],[Codigo]],Plan_cuentas[],2,FALSE)," ")</f>
        <v>EGRESOS</v>
      </c>
      <c r="F994" t="str">
        <f>IFERROR(+VLOOKUP(Movimientos_2026[[#This Row],[Codigo]],Plan_cuentas[],3,FALSE)," ")</f>
        <v>BtoB</v>
      </c>
      <c r="G994" t="str">
        <f>IFERROR(+VLOOKUP(Movimientos_2026[[#This Row],[Codigo]],Plan_cuentas[],4,FALSE)," ")</f>
        <v>Rentas</v>
      </c>
      <c r="H994" t="str">
        <f>IFERROR(+VLOOKUP(Movimientos_2026[[#This Row],[Codigo]],Plan_cuentas[],5,FALSE)," ")</f>
        <v>LA PAMPA</v>
      </c>
      <c r="I994" s="43">
        <v>46054</v>
      </c>
      <c r="J994" t="s">
        <v>436</v>
      </c>
      <c r="K994" t="str">
        <f>IFERROR(+VLOOKUP(Movimientos_2026[[#This Row],[Codigo]],Plan_cuentas[],6,FALSE)," ")</f>
        <v>4 - FCA - Fiat</v>
      </c>
      <c r="L994" s="50"/>
      <c r="M994" s="52">
        <v>5163700</v>
      </c>
      <c r="N994" s="20">
        <f>+Movimientos_2026[[#This Row],[Ingresos]]-Movimientos_2026[[#This Row],[Egresos]]</f>
        <v>-5163700</v>
      </c>
      <c r="O994" s="20">
        <f>+O993+Movimientos_2026[[#This Row],[Neto]]</f>
        <v>5451564582.3112745</v>
      </c>
    </row>
    <row r="995" spans="1:15" x14ac:dyDescent="0.25">
      <c r="A995" s="13">
        <v>46100</v>
      </c>
      <c r="B995" s="12">
        <f>MONTH(Movimientos_2026[[#This Row],[Fecha]])</f>
        <v>3</v>
      </c>
      <c r="C995" s="12" t="str">
        <f>VLOOKUP((WEEKDAY(Movimientos_2026[[#This Row],[Fecha]],2)),'5. Setup'!$D$6:$E$12,2,FALSE)</f>
        <v>Jue</v>
      </c>
      <c r="D995">
        <v>2014266</v>
      </c>
      <c r="E995" t="str">
        <f>IFERROR(+VLOOKUP(Movimientos_2026[[#This Row],[Codigo]],Plan_cuentas[],2,FALSE)," ")</f>
        <v>EGRESOS</v>
      </c>
      <c r="F995" t="str">
        <f>IFERROR(+VLOOKUP(Movimientos_2026[[#This Row],[Codigo]],Plan_cuentas[],3,FALSE)," ")</f>
        <v>BtoB</v>
      </c>
      <c r="G995" t="str">
        <f>IFERROR(+VLOOKUP(Movimientos_2026[[#This Row],[Codigo]],Plan_cuentas[],4,FALSE)," ")</f>
        <v>Rentas</v>
      </c>
      <c r="H995" t="str">
        <f>IFERROR(+VLOOKUP(Movimientos_2026[[#This Row],[Codigo]],Plan_cuentas[],5,FALSE)," ")</f>
        <v>LA PAMPA</v>
      </c>
      <c r="I995" s="43">
        <v>46054</v>
      </c>
      <c r="J995" t="s">
        <v>436</v>
      </c>
      <c r="K995" t="str">
        <f>IFERROR(+VLOOKUP(Movimientos_2026[[#This Row],[Codigo]],Plan_cuentas[],6,FALSE)," ")</f>
        <v>6 - FCAtr - Fiat Transf.</v>
      </c>
      <c r="L995" s="50"/>
      <c r="M995" s="52">
        <v>193116.25</v>
      </c>
      <c r="N995" s="20">
        <f>+Movimientos_2026[[#This Row],[Ingresos]]-Movimientos_2026[[#This Row],[Egresos]]</f>
        <v>-193116.25</v>
      </c>
      <c r="O995" s="20">
        <f>+O994+Movimientos_2026[[#This Row],[Neto]]</f>
        <v>5451371466.0612745</v>
      </c>
    </row>
    <row r="996" spans="1:15" x14ac:dyDescent="0.25">
      <c r="A996" s="13">
        <v>46100</v>
      </c>
      <c r="B996" s="12">
        <f>MONTH(Movimientos_2026[[#This Row],[Fecha]])</f>
        <v>3</v>
      </c>
      <c r="C996" s="12" t="str">
        <f>VLOOKUP((WEEKDAY(Movimientos_2026[[#This Row],[Fecha]],2)),'5. Setup'!$D$6:$E$12,2,FALSE)</f>
        <v>Jue</v>
      </c>
      <c r="D996">
        <v>2014264</v>
      </c>
      <c r="E996" t="str">
        <f>IFERROR(+VLOOKUP(Movimientos_2026[[#This Row],[Codigo]],Plan_cuentas[],2,FALSE)," ")</f>
        <v>EGRESOS</v>
      </c>
      <c r="F996" t="str">
        <f>IFERROR(+VLOOKUP(Movimientos_2026[[#This Row],[Codigo]],Plan_cuentas[],3,FALSE)," ")</f>
        <v>BtoB</v>
      </c>
      <c r="G996" t="str">
        <f>IFERROR(+VLOOKUP(Movimientos_2026[[#This Row],[Codigo]],Plan_cuentas[],4,FALSE)," ")</f>
        <v>Rentas</v>
      </c>
      <c r="H996" t="str">
        <f>IFERROR(+VLOOKUP(Movimientos_2026[[#This Row],[Codigo]],Plan_cuentas[],5,FALSE)," ")</f>
        <v>LA PAMPA</v>
      </c>
      <c r="I996" s="43">
        <v>46054</v>
      </c>
      <c r="J996" t="s">
        <v>436</v>
      </c>
      <c r="K996" t="str">
        <f>IFERROR(+VLOOKUP(Movimientos_2026[[#This Row],[Codigo]],Plan_cuentas[],6,FALSE)," ")</f>
        <v>4 - FCA - Fiat</v>
      </c>
      <c r="L996" s="50"/>
      <c r="M996" s="52">
        <v>4541676.43</v>
      </c>
      <c r="N996" s="20">
        <f>+Movimientos_2026[[#This Row],[Ingresos]]-Movimientos_2026[[#This Row],[Egresos]]</f>
        <v>-4541676.43</v>
      </c>
      <c r="O996" s="20">
        <f>+O995+Movimientos_2026[[#This Row],[Neto]]</f>
        <v>5446829789.6312742</v>
      </c>
    </row>
    <row r="997" spans="1:15" x14ac:dyDescent="0.25">
      <c r="A997" s="13">
        <v>46100</v>
      </c>
      <c r="B997" s="12">
        <f>MONTH(Movimientos_2026[[#This Row],[Fecha]])</f>
        <v>3</v>
      </c>
      <c r="C997" s="12" t="str">
        <f>VLOOKUP((WEEKDAY(Movimientos_2026[[#This Row],[Fecha]],2)),'5. Setup'!$D$6:$E$12,2,FALSE)</f>
        <v>Jue</v>
      </c>
      <c r="D997">
        <v>2022111</v>
      </c>
      <c r="E997" t="str">
        <f>IFERROR(+VLOOKUP(Movimientos_2026[[#This Row],[Codigo]],Plan_cuentas[],2,FALSE)," ")</f>
        <v>EGRESOS</v>
      </c>
      <c r="F997" t="str">
        <f>IFERROR(+VLOOKUP(Movimientos_2026[[#This Row],[Codigo]],Plan_cuentas[],3,FALSE)," ")</f>
        <v>DDJJ</v>
      </c>
      <c r="G997" t="str">
        <f>IFERROR(+VLOOKUP(Movimientos_2026[[#This Row],[Codigo]],Plan_cuentas[],4,FALSE)," ")</f>
        <v>Entidades tercerizadas</v>
      </c>
      <c r="H997" t="str">
        <f>IFERROR(+VLOOKUP(Movimientos_2026[[#This Row],[Codigo]],Plan_cuentas[],5,FALSE)," ")</f>
        <v>APESI</v>
      </c>
      <c r="I997" s="43">
        <v>46054</v>
      </c>
      <c r="J997" t="s">
        <v>437</v>
      </c>
      <c r="K997" t="str">
        <f>IFERROR(+VLOOKUP(Movimientos_2026[[#This Row],[Codigo]],Plan_cuentas[],6,FALSE)," ")</f>
        <v>1 - VW - Volkswagen</v>
      </c>
      <c r="L997" s="50"/>
      <c r="M997" s="52">
        <v>1528436.72</v>
      </c>
      <c r="N997" s="20">
        <f>+Movimientos_2026[[#This Row],[Ingresos]]-Movimientos_2026[[#This Row],[Egresos]]</f>
        <v>-1528436.72</v>
      </c>
      <c r="O997" s="20">
        <f>+O996+Movimientos_2026[[#This Row],[Neto]]</f>
        <v>5445301352.911274</v>
      </c>
    </row>
    <row r="998" spans="1:15" x14ac:dyDescent="0.25">
      <c r="A998" s="13">
        <v>46100</v>
      </c>
      <c r="B998" s="12">
        <f>MONTH(Movimientos_2026[[#This Row],[Fecha]])</f>
        <v>3</v>
      </c>
      <c r="C998" s="12" t="str">
        <f>VLOOKUP((WEEKDAY(Movimientos_2026[[#This Row],[Fecha]],2)),'5. Setup'!$D$6:$E$12,2,FALSE)</f>
        <v>Jue</v>
      </c>
      <c r="D998">
        <v>2022112</v>
      </c>
      <c r="E998" t="str">
        <f>IFERROR(+VLOOKUP(Movimientos_2026[[#This Row],[Codigo]],Plan_cuentas[],2,FALSE)," ")</f>
        <v>EGRESOS</v>
      </c>
      <c r="F998" t="str">
        <f>IFERROR(+VLOOKUP(Movimientos_2026[[#This Row],[Codigo]],Plan_cuentas[],3,FALSE)," ")</f>
        <v>DDJJ</v>
      </c>
      <c r="G998" t="str">
        <f>IFERROR(+VLOOKUP(Movimientos_2026[[#This Row],[Codigo]],Plan_cuentas[],4,FALSE)," ")</f>
        <v>Entidades tercerizadas</v>
      </c>
      <c r="H998" t="str">
        <f>IFERROR(+VLOOKUP(Movimientos_2026[[#This Row],[Codigo]],Plan_cuentas[],5,FALSE)," ")</f>
        <v>APESI</v>
      </c>
      <c r="I998" s="43">
        <v>46054</v>
      </c>
      <c r="J998" t="s">
        <v>437</v>
      </c>
      <c r="K998" t="str">
        <f>IFERROR(+VLOOKUP(Movimientos_2026[[#This Row],[Codigo]],Plan_cuentas[],6,FALSE)," ")</f>
        <v>2 - PR - Plan Rombo</v>
      </c>
      <c r="L998" s="50"/>
      <c r="M998" s="52">
        <v>35280769.090000004</v>
      </c>
      <c r="N998" s="20">
        <f>+Movimientos_2026[[#This Row],[Ingresos]]-Movimientos_2026[[#This Row],[Egresos]]</f>
        <v>-35280769.090000004</v>
      </c>
      <c r="O998" s="20">
        <f>+O997+Movimientos_2026[[#This Row],[Neto]]</f>
        <v>5410020583.8212738</v>
      </c>
    </row>
    <row r="999" spans="1:15" x14ac:dyDescent="0.25">
      <c r="A999" s="13">
        <v>46100</v>
      </c>
      <c r="B999" s="12">
        <f>MONTH(Movimientos_2026[[#This Row],[Fecha]])</f>
        <v>3</v>
      </c>
      <c r="C999" s="12" t="str">
        <f>VLOOKUP((WEEKDAY(Movimientos_2026[[#This Row],[Fecha]],2)),'5. Setup'!$D$6:$E$12,2,FALSE)</f>
        <v>Jue</v>
      </c>
      <c r="D999">
        <v>2022113</v>
      </c>
      <c r="E999" t="str">
        <f>IFERROR(+VLOOKUP(Movimientos_2026[[#This Row],[Codigo]],Plan_cuentas[],2,FALSE)," ")</f>
        <v>EGRESOS</v>
      </c>
      <c r="F999" t="str">
        <f>IFERROR(+VLOOKUP(Movimientos_2026[[#This Row],[Codigo]],Plan_cuentas[],3,FALSE)," ")</f>
        <v>DDJJ</v>
      </c>
      <c r="G999" t="str">
        <f>IFERROR(+VLOOKUP(Movimientos_2026[[#This Row],[Codigo]],Plan_cuentas[],4,FALSE)," ")</f>
        <v>Entidades tercerizadas</v>
      </c>
      <c r="H999" t="str">
        <f>IFERROR(+VLOOKUP(Movimientos_2026[[#This Row],[Codigo]],Plan_cuentas[],5,FALSE)," ")</f>
        <v>APESI</v>
      </c>
      <c r="I999" s="43">
        <v>46054</v>
      </c>
      <c r="J999" t="s">
        <v>437</v>
      </c>
      <c r="K999" t="str">
        <f>IFERROR(+VLOOKUP(Movimientos_2026[[#This Row],[Codigo]],Plan_cuentas[],6,FALSE)," ")</f>
        <v>3 - GM - Chevrolet</v>
      </c>
      <c r="L999" s="50"/>
      <c r="M999" s="52">
        <v>3742401.6</v>
      </c>
      <c r="N999" s="20">
        <f>+Movimientos_2026[[#This Row],[Ingresos]]-Movimientos_2026[[#This Row],[Egresos]]</f>
        <v>-3742401.6</v>
      </c>
      <c r="O999" s="20">
        <f>+O998+Movimientos_2026[[#This Row],[Neto]]</f>
        <v>5406278182.2212734</v>
      </c>
    </row>
    <row r="1000" spans="1:15" x14ac:dyDescent="0.25">
      <c r="A1000" s="13">
        <v>46100</v>
      </c>
      <c r="B1000" s="12">
        <f>MONTH(Movimientos_2026[[#This Row],[Fecha]])</f>
        <v>3</v>
      </c>
      <c r="C1000" s="12" t="str">
        <f>VLOOKUP((WEEKDAY(Movimientos_2026[[#This Row],[Fecha]],2)),'5. Setup'!$D$6:$E$12,2,FALSE)</f>
        <v>Jue</v>
      </c>
      <c r="D1000">
        <v>2021131</v>
      </c>
      <c r="E1000" t="str">
        <f>IFERROR(+VLOOKUP(Movimientos_2026[[#This Row],[Codigo]],Plan_cuentas[],2,FALSE)," ")</f>
        <v>EGRESOS</v>
      </c>
      <c r="F1000" t="str">
        <f>IFERROR(+VLOOKUP(Movimientos_2026[[#This Row],[Codigo]],Plan_cuentas[],3,FALSE)," ")</f>
        <v>DDJJ</v>
      </c>
      <c r="G1000" t="str">
        <f>IFERROR(+VLOOKUP(Movimientos_2026[[#This Row],[Codigo]],Plan_cuentas[],4,FALSE)," ")</f>
        <v>Entidades co-participadas</v>
      </c>
      <c r="H1000" t="str">
        <f>IFERROR(+VLOOKUP(Movimientos_2026[[#This Row],[Codigo]],Plan_cuentas[],5,FALSE)," ")</f>
        <v>BCLP</v>
      </c>
      <c r="I1000" s="43">
        <v>46054</v>
      </c>
      <c r="J1000" t="s">
        <v>438</v>
      </c>
      <c r="K1000" t="str">
        <f>IFERROR(+VLOOKUP(Movimientos_2026[[#This Row],[Codigo]],Plan_cuentas[],6,FALSE)," ")</f>
        <v>1 - VW - Volkswagen</v>
      </c>
      <c r="L1000" s="50"/>
      <c r="M1000" s="52">
        <v>8023779.75</v>
      </c>
      <c r="N1000" s="20">
        <f>+Movimientos_2026[[#This Row],[Ingresos]]-Movimientos_2026[[#This Row],[Egresos]]</f>
        <v>-8023779.75</v>
      </c>
      <c r="O1000" s="20">
        <f>+O999+Movimientos_2026[[#This Row],[Neto]]</f>
        <v>5398254402.4712734</v>
      </c>
    </row>
    <row r="1001" spans="1:15" x14ac:dyDescent="0.25">
      <c r="A1001" s="13">
        <v>46100</v>
      </c>
      <c r="B1001" s="12">
        <f>MONTH(Movimientos_2026[[#This Row],[Fecha]])</f>
        <v>3</v>
      </c>
      <c r="C1001" s="12" t="str">
        <f>VLOOKUP((WEEKDAY(Movimientos_2026[[#This Row],[Fecha]],2)),'5. Setup'!$D$6:$E$12,2,FALSE)</f>
        <v>Jue</v>
      </c>
      <c r="D1001">
        <v>2021133</v>
      </c>
      <c r="E1001" t="str">
        <f>IFERROR(+VLOOKUP(Movimientos_2026[[#This Row],[Codigo]],Plan_cuentas[],2,FALSE)," ")</f>
        <v>EGRESOS</v>
      </c>
      <c r="F1001" t="str">
        <f>IFERROR(+VLOOKUP(Movimientos_2026[[#This Row],[Codigo]],Plan_cuentas[],3,FALSE)," ")</f>
        <v>DDJJ</v>
      </c>
      <c r="G1001" t="str">
        <f>IFERROR(+VLOOKUP(Movimientos_2026[[#This Row],[Codigo]],Plan_cuentas[],4,FALSE)," ")</f>
        <v>Entidades co-participadas</v>
      </c>
      <c r="H1001" t="str">
        <f>IFERROR(+VLOOKUP(Movimientos_2026[[#This Row],[Codigo]],Plan_cuentas[],5,FALSE)," ")</f>
        <v>BCLP</v>
      </c>
      <c r="I1001" s="43">
        <v>46054</v>
      </c>
      <c r="J1001" t="s">
        <v>438</v>
      </c>
      <c r="K1001" t="str">
        <f>IFERROR(+VLOOKUP(Movimientos_2026[[#This Row],[Codigo]],Plan_cuentas[],6,FALSE)," ")</f>
        <v>3 - GM - Chevrolet</v>
      </c>
      <c r="L1001" s="50"/>
      <c r="M1001" s="50">
        <v>8544010.5500000007</v>
      </c>
      <c r="N1001" s="20">
        <f>+Movimientos_2026[[#This Row],[Ingresos]]-Movimientos_2026[[#This Row],[Egresos]]</f>
        <v>-8544010.5500000007</v>
      </c>
      <c r="O1001" s="20">
        <f>+O1000+Movimientos_2026[[#This Row],[Neto]]</f>
        <v>5389710391.9212732</v>
      </c>
    </row>
    <row r="1002" spans="1:15" x14ac:dyDescent="0.25">
      <c r="A1002" s="13">
        <v>46100</v>
      </c>
      <c r="B1002" s="12">
        <f>MONTH(Movimientos_2026[[#This Row],[Fecha]])</f>
        <v>3</v>
      </c>
      <c r="C1002" s="12" t="str">
        <f>VLOOKUP((WEEKDAY(Movimientos_2026[[#This Row],[Fecha]],2)),'5. Setup'!$D$6:$E$12,2,FALSE)</f>
        <v>Jue</v>
      </c>
      <c r="D1002">
        <v>2021134</v>
      </c>
      <c r="E1002" t="str">
        <f>IFERROR(+VLOOKUP(Movimientos_2026[[#This Row],[Codigo]],Plan_cuentas[],2,FALSE)," ")</f>
        <v>EGRESOS</v>
      </c>
      <c r="F1002" t="str">
        <f>IFERROR(+VLOOKUP(Movimientos_2026[[#This Row],[Codigo]],Plan_cuentas[],3,FALSE)," ")</f>
        <v>DDJJ</v>
      </c>
      <c r="G1002" t="str">
        <f>IFERROR(+VLOOKUP(Movimientos_2026[[#This Row],[Codigo]],Plan_cuentas[],4,FALSE)," ")</f>
        <v>Entidades co-participadas</v>
      </c>
      <c r="H1002" t="str">
        <f>IFERROR(+VLOOKUP(Movimientos_2026[[#This Row],[Codigo]],Plan_cuentas[],5,FALSE)," ")</f>
        <v>BCLP</v>
      </c>
      <c r="I1002" s="43">
        <v>46054</v>
      </c>
      <c r="J1002" t="s">
        <v>438</v>
      </c>
      <c r="K1002" t="str">
        <f>IFERROR(+VLOOKUP(Movimientos_2026[[#This Row],[Codigo]],Plan_cuentas[],6,FALSE)," ")</f>
        <v>4 - FCA - Fiat</v>
      </c>
      <c r="L1002" s="50"/>
      <c r="M1002" s="50">
        <v>15318452.27</v>
      </c>
      <c r="N1002" s="20">
        <f>+Movimientos_2026[[#This Row],[Ingresos]]-Movimientos_2026[[#This Row],[Egresos]]</f>
        <v>-15318452.27</v>
      </c>
      <c r="O1002" s="20">
        <f>+O1001+Movimientos_2026[[#This Row],[Neto]]</f>
        <v>5374391939.6512728</v>
      </c>
    </row>
    <row r="1003" spans="1:15" x14ac:dyDescent="0.25">
      <c r="A1003" s="13">
        <v>46100</v>
      </c>
      <c r="B1003" s="12">
        <f>MONTH(Movimientos_2026[[#This Row],[Fecha]])</f>
        <v>3</v>
      </c>
      <c r="C1003" s="12" t="str">
        <f>VLOOKUP((WEEKDAY(Movimientos_2026[[#This Row],[Fecha]],2)),'5. Setup'!$D$6:$E$12,2,FALSE)</f>
        <v>Jue</v>
      </c>
      <c r="D1003">
        <v>2023141</v>
      </c>
      <c r="E1003" t="str">
        <f>IFERROR(+VLOOKUP(Movimientos_2026[[#This Row],[Codigo]],Plan_cuentas[],2,FALSE)," ")</f>
        <v>EGRESOS</v>
      </c>
      <c r="F1003" t="str">
        <f>IFERROR(+VLOOKUP(Movimientos_2026[[#This Row],[Codigo]],Plan_cuentas[],3,FALSE)," ")</f>
        <v>DDJJ</v>
      </c>
      <c r="G1003" t="str">
        <f>IFERROR(+VLOOKUP(Movimientos_2026[[#This Row],[Codigo]],Plan_cuentas[],4,FALSE)," ")</f>
        <v>Registración</v>
      </c>
      <c r="H1003" t="str">
        <f>IFERROR(+VLOOKUP(Movimientos_2026[[#This Row],[Codigo]],Plan_cuentas[],5,FALSE)," ")</f>
        <v>BUENOS AIRES</v>
      </c>
      <c r="I1003" s="43">
        <v>46054</v>
      </c>
      <c r="J1003" t="s">
        <v>439</v>
      </c>
      <c r="K1003" t="str">
        <f>IFERROR(+VLOOKUP(Movimientos_2026[[#This Row],[Codigo]],Plan_cuentas[],6,FALSE)," ")</f>
        <v>1 - VW - Volkswagen</v>
      </c>
      <c r="L1003" s="50"/>
      <c r="M1003" s="50">
        <v>362543180.60000002</v>
      </c>
      <c r="N1003" s="20">
        <f>+Movimientos_2026[[#This Row],[Ingresos]]-Movimientos_2026[[#This Row],[Egresos]]</f>
        <v>-362543180.60000002</v>
      </c>
      <c r="O1003" s="20">
        <f>+O1002+Movimientos_2026[[#This Row],[Neto]]</f>
        <v>5011848759.0512724</v>
      </c>
    </row>
    <row r="1004" spans="1:15" x14ac:dyDescent="0.25">
      <c r="A1004" s="13">
        <v>46100</v>
      </c>
      <c r="B1004" s="12">
        <f>MONTH(Movimientos_2026[[#This Row],[Fecha]])</f>
        <v>3</v>
      </c>
      <c r="C1004" s="12" t="str">
        <f>VLOOKUP((WEEKDAY(Movimientos_2026[[#This Row],[Fecha]],2)),'5. Setup'!$D$6:$E$12,2,FALSE)</f>
        <v>Jue</v>
      </c>
      <c r="D1004">
        <v>2023142</v>
      </c>
      <c r="E1004" t="str">
        <f>IFERROR(+VLOOKUP(Movimientos_2026[[#This Row],[Codigo]],Plan_cuentas[],2,FALSE)," ")</f>
        <v>EGRESOS</v>
      </c>
      <c r="F1004" t="str">
        <f>IFERROR(+VLOOKUP(Movimientos_2026[[#This Row],[Codigo]],Plan_cuentas[],3,FALSE)," ")</f>
        <v>DDJJ</v>
      </c>
      <c r="G1004" t="str">
        <f>IFERROR(+VLOOKUP(Movimientos_2026[[#This Row],[Codigo]],Plan_cuentas[],4,FALSE)," ")</f>
        <v>Registración</v>
      </c>
      <c r="H1004" t="str">
        <f>IFERROR(+VLOOKUP(Movimientos_2026[[#This Row],[Codigo]],Plan_cuentas[],5,FALSE)," ")</f>
        <v>BUENOS AIRES</v>
      </c>
      <c r="I1004" s="43">
        <v>46054</v>
      </c>
      <c r="J1004" t="s">
        <v>439</v>
      </c>
      <c r="K1004" t="str">
        <f>IFERROR(+VLOOKUP(Movimientos_2026[[#This Row],[Codigo]],Plan_cuentas[],6,FALSE)," ")</f>
        <v>2 - PR - Plan Rombo</v>
      </c>
      <c r="L1004" s="50"/>
      <c r="M1004" s="50">
        <v>614483804.34000003</v>
      </c>
      <c r="N1004" s="20">
        <f>+Movimientos_2026[[#This Row],[Ingresos]]-Movimientos_2026[[#This Row],[Egresos]]</f>
        <v>-614483804.34000003</v>
      </c>
      <c r="O1004" s="20">
        <f>+O1003+Movimientos_2026[[#This Row],[Neto]]</f>
        <v>4397364954.7112722</v>
      </c>
    </row>
    <row r="1005" spans="1:15" x14ac:dyDescent="0.25">
      <c r="A1005" s="13">
        <v>46100</v>
      </c>
      <c r="B1005" s="12">
        <f>MONTH(Movimientos_2026[[#This Row],[Fecha]])</f>
        <v>3</v>
      </c>
      <c r="C1005" s="12" t="str">
        <f>VLOOKUP((WEEKDAY(Movimientos_2026[[#This Row],[Fecha]],2)),'5. Setup'!$D$6:$E$12,2,FALSE)</f>
        <v>Jue</v>
      </c>
      <c r="D1005">
        <v>2023143</v>
      </c>
      <c r="E1005" t="str">
        <f>IFERROR(+VLOOKUP(Movimientos_2026[[#This Row],[Codigo]],Plan_cuentas[],2,FALSE)," ")</f>
        <v>EGRESOS</v>
      </c>
      <c r="F1005" t="str">
        <f>IFERROR(+VLOOKUP(Movimientos_2026[[#This Row],[Codigo]],Plan_cuentas[],3,FALSE)," ")</f>
        <v>DDJJ</v>
      </c>
      <c r="G1005" t="str">
        <f>IFERROR(+VLOOKUP(Movimientos_2026[[#This Row],[Codigo]],Plan_cuentas[],4,FALSE)," ")</f>
        <v>Registración</v>
      </c>
      <c r="H1005" t="str">
        <f>IFERROR(+VLOOKUP(Movimientos_2026[[#This Row],[Codigo]],Plan_cuentas[],5,FALSE)," ")</f>
        <v>BUENOS AIRES</v>
      </c>
      <c r="I1005" s="43">
        <v>46054</v>
      </c>
      <c r="J1005" t="s">
        <v>439</v>
      </c>
      <c r="K1005" t="str">
        <f>IFERROR(+VLOOKUP(Movimientos_2026[[#This Row],[Codigo]],Plan_cuentas[],6,FALSE)," ")</f>
        <v>3 - GM - Chevrolet</v>
      </c>
      <c r="L1005" s="50"/>
      <c r="M1005" s="50">
        <v>341761955.23000002</v>
      </c>
      <c r="N1005" s="20">
        <f>+Movimientos_2026[[#This Row],[Ingresos]]-Movimientos_2026[[#This Row],[Egresos]]</f>
        <v>-341761955.23000002</v>
      </c>
      <c r="O1005" s="20">
        <f>+O1004+Movimientos_2026[[#This Row],[Neto]]</f>
        <v>4055602999.4812722</v>
      </c>
    </row>
    <row r="1006" spans="1:15" x14ac:dyDescent="0.25">
      <c r="A1006" s="13">
        <v>46100</v>
      </c>
      <c r="B1006" s="12">
        <f>MONTH(Movimientos_2026[[#This Row],[Fecha]])</f>
        <v>3</v>
      </c>
      <c r="C1006" s="12" t="str">
        <f>VLOOKUP((WEEKDAY(Movimientos_2026[[#This Row],[Fecha]],2)),'5. Setup'!$D$6:$E$12,2,FALSE)</f>
        <v>Jue</v>
      </c>
      <c r="D1006">
        <v>2023144</v>
      </c>
      <c r="E1006" t="str">
        <f>IFERROR(+VLOOKUP(Movimientos_2026[[#This Row],[Codigo]],Plan_cuentas[],2,FALSE)," ")</f>
        <v>EGRESOS</v>
      </c>
      <c r="F1006" t="str">
        <f>IFERROR(+VLOOKUP(Movimientos_2026[[#This Row],[Codigo]],Plan_cuentas[],3,FALSE)," ")</f>
        <v>DDJJ</v>
      </c>
      <c r="G1006" t="str">
        <f>IFERROR(+VLOOKUP(Movimientos_2026[[#This Row],[Codigo]],Plan_cuentas[],4,FALSE)," ")</f>
        <v>Registración</v>
      </c>
      <c r="H1006" t="str">
        <f>IFERROR(+VLOOKUP(Movimientos_2026[[#This Row],[Codigo]],Plan_cuentas[],5,FALSE)," ")</f>
        <v>BUENOS AIRES</v>
      </c>
      <c r="I1006" s="43">
        <v>46054</v>
      </c>
      <c r="J1006" t="s">
        <v>439</v>
      </c>
      <c r="K1006" t="str">
        <f>IFERROR(+VLOOKUP(Movimientos_2026[[#This Row],[Codigo]],Plan_cuentas[],6,FALSE)," ")</f>
        <v>4 - FCA - Fiat</v>
      </c>
      <c r="L1006" s="50"/>
      <c r="M1006" s="52">
        <v>1034974996.98</v>
      </c>
      <c r="N1006" s="20">
        <f>+Movimientos_2026[[#This Row],[Ingresos]]-Movimientos_2026[[#This Row],[Egresos]]</f>
        <v>-1034974996.98</v>
      </c>
      <c r="O1006" s="20">
        <f>+O1005+Movimientos_2026[[#This Row],[Neto]]</f>
        <v>3020628002.5012722</v>
      </c>
    </row>
    <row r="1007" spans="1:15" x14ac:dyDescent="0.25">
      <c r="A1007" s="13">
        <v>46100</v>
      </c>
      <c r="B1007" s="12">
        <f>MONTH(Movimientos_2026[[#This Row],[Fecha]])</f>
        <v>3</v>
      </c>
      <c r="C1007" s="12" t="str">
        <f>VLOOKUP((WEEKDAY(Movimientos_2026[[#This Row],[Fecha]],2)),'5. Setup'!$D$6:$E$12,2,FALSE)</f>
        <v>Jue</v>
      </c>
      <c r="D1007">
        <v>2021441</v>
      </c>
      <c r="E1007" t="str">
        <f>IFERROR(+VLOOKUP(Movimientos_2026[[#This Row],[Codigo]],Plan_cuentas[],2,FALSE)," ")</f>
        <v>EGRESOS</v>
      </c>
      <c r="F1007" t="str">
        <f>IFERROR(+VLOOKUP(Movimientos_2026[[#This Row],[Codigo]],Plan_cuentas[],3,FALSE)," ")</f>
        <v>DDJJ</v>
      </c>
      <c r="G1007" t="str">
        <f>IFERROR(+VLOOKUP(Movimientos_2026[[#This Row],[Codigo]],Plan_cuentas[],4,FALSE)," ")</f>
        <v>Entidades co-participadas</v>
      </c>
      <c r="H1007" t="str">
        <f>IFERROR(+VLOOKUP(Movimientos_2026[[#This Row],[Codigo]],Plan_cuentas[],5,FALSE)," ")</f>
        <v>UISCUMARR</v>
      </c>
      <c r="I1007" s="43">
        <v>46054</v>
      </c>
      <c r="J1007" t="s">
        <v>440</v>
      </c>
      <c r="K1007" t="str">
        <f>IFERROR(+VLOOKUP(Movimientos_2026[[#This Row],[Codigo]],Plan_cuentas[],6,FALSE)," ")</f>
        <v>1 - VW - Volkswagen</v>
      </c>
      <c r="L1007" s="50"/>
      <c r="M1007" s="52">
        <v>92564784.290000007</v>
      </c>
      <c r="N1007" s="20">
        <f>+Movimientos_2026[[#This Row],[Ingresos]]-Movimientos_2026[[#This Row],[Egresos]]</f>
        <v>-92564784.290000007</v>
      </c>
      <c r="O1007" s="20">
        <f>+O1006+Movimientos_2026[[#This Row],[Neto]]</f>
        <v>2928063218.2112722</v>
      </c>
    </row>
    <row r="1008" spans="1:15" x14ac:dyDescent="0.25">
      <c r="A1008" s="13">
        <v>46100</v>
      </c>
      <c r="B1008" s="12">
        <f>MONTH(Movimientos_2026[[#This Row],[Fecha]])</f>
        <v>3</v>
      </c>
      <c r="C1008" s="12" t="str">
        <f>VLOOKUP((WEEKDAY(Movimientos_2026[[#This Row],[Fecha]],2)),'5. Setup'!$D$6:$E$12,2,FALSE)</f>
        <v>Jue</v>
      </c>
      <c r="D1008">
        <v>2021443</v>
      </c>
      <c r="E1008" t="str">
        <f>IFERROR(+VLOOKUP(Movimientos_2026[[#This Row],[Codigo]],Plan_cuentas[],2,FALSE)," ")</f>
        <v>EGRESOS</v>
      </c>
      <c r="F1008" t="str">
        <f>IFERROR(+VLOOKUP(Movimientos_2026[[#This Row],[Codigo]],Plan_cuentas[],3,FALSE)," ")</f>
        <v>DDJJ</v>
      </c>
      <c r="G1008" t="str">
        <f>IFERROR(+VLOOKUP(Movimientos_2026[[#This Row],[Codigo]],Plan_cuentas[],4,FALSE)," ")</f>
        <v>Entidades co-participadas</v>
      </c>
      <c r="H1008" t="str">
        <f>IFERROR(+VLOOKUP(Movimientos_2026[[#This Row],[Codigo]],Plan_cuentas[],5,FALSE)," ")</f>
        <v>UISCUMARR</v>
      </c>
      <c r="I1008" s="43">
        <v>46054</v>
      </c>
      <c r="J1008" t="s">
        <v>440</v>
      </c>
      <c r="K1008" t="str">
        <f>IFERROR(+VLOOKUP(Movimientos_2026[[#This Row],[Codigo]],Plan_cuentas[],6,FALSE)," ")</f>
        <v>3 - GM - Chevrolet</v>
      </c>
      <c r="L1008" s="50"/>
      <c r="M1008" s="52">
        <v>29494215.66</v>
      </c>
      <c r="N1008" s="20">
        <f>+Movimientos_2026[[#This Row],[Ingresos]]-Movimientos_2026[[#This Row],[Egresos]]</f>
        <v>-29494215.66</v>
      </c>
      <c r="O1008" s="20">
        <f>+O1007+Movimientos_2026[[#This Row],[Neto]]</f>
        <v>2898569002.5512724</v>
      </c>
    </row>
    <row r="1009" spans="1:15" x14ac:dyDescent="0.25">
      <c r="A1009" s="13">
        <v>46100</v>
      </c>
      <c r="B1009" s="12">
        <f>MONTH(Movimientos_2026[[#This Row],[Fecha]])</f>
        <v>3</v>
      </c>
      <c r="C1009" s="12" t="str">
        <f>VLOOKUP((WEEKDAY(Movimientos_2026[[#This Row],[Fecha]],2)),'5. Setup'!$D$6:$E$12,2,FALSE)</f>
        <v>Jue</v>
      </c>
      <c r="D1009">
        <v>2021444</v>
      </c>
      <c r="E1009" t="str">
        <f>IFERROR(+VLOOKUP(Movimientos_2026[[#This Row],[Codigo]],Plan_cuentas[],2,FALSE)," ")</f>
        <v>EGRESOS</v>
      </c>
      <c r="F1009" t="str">
        <f>IFERROR(+VLOOKUP(Movimientos_2026[[#This Row],[Codigo]],Plan_cuentas[],3,FALSE)," ")</f>
        <v>DDJJ</v>
      </c>
      <c r="G1009" t="str">
        <f>IFERROR(+VLOOKUP(Movimientos_2026[[#This Row],[Codigo]],Plan_cuentas[],4,FALSE)," ")</f>
        <v>Entidades co-participadas</v>
      </c>
      <c r="H1009" t="str">
        <f>IFERROR(+VLOOKUP(Movimientos_2026[[#This Row],[Codigo]],Plan_cuentas[],5,FALSE)," ")</f>
        <v>UISCUMARR</v>
      </c>
      <c r="I1009" s="43">
        <v>46054</v>
      </c>
      <c r="J1009" t="s">
        <v>440</v>
      </c>
      <c r="K1009" t="str">
        <f>IFERROR(+VLOOKUP(Movimientos_2026[[#This Row],[Codigo]],Plan_cuentas[],6,FALSE)," ")</f>
        <v>4 - FCA - Fiat</v>
      </c>
      <c r="L1009" s="50"/>
      <c r="M1009" s="52">
        <v>168048035.13999999</v>
      </c>
      <c r="N1009" s="20">
        <f>+Movimientos_2026[[#This Row],[Ingresos]]-Movimientos_2026[[#This Row],[Egresos]]</f>
        <v>-168048035.13999999</v>
      </c>
      <c r="O1009" s="20">
        <f>+O1008+Movimientos_2026[[#This Row],[Neto]]</f>
        <v>2730520967.4112725</v>
      </c>
    </row>
    <row r="1010" spans="1:15" x14ac:dyDescent="0.25">
      <c r="A1010" s="13">
        <v>46100</v>
      </c>
      <c r="B1010" s="12">
        <f>MONTH(Movimientos_2026[[#This Row],[Fecha]])</f>
        <v>3</v>
      </c>
      <c r="C1010" s="12" t="str">
        <f>VLOOKUP((WEEKDAY(Movimientos_2026[[#This Row],[Fecha]],2)),'5. Setup'!$D$6:$E$12,2,FALSE)</f>
        <v>Jue</v>
      </c>
      <c r="D1010">
        <v>2044126</v>
      </c>
      <c r="E1010" t="str">
        <f>IFERROR(+VLOOKUP(Movimientos_2026[[#This Row],[Codigo]],Plan_cuentas[],2,FALSE)," ")</f>
        <v>EGRESOS</v>
      </c>
      <c r="F1010" t="str">
        <f>IFERROR(+VLOOKUP(Movimientos_2026[[#This Row],[Codigo]],Plan_cuentas[],3,FALSE)," ")</f>
        <v>Transferencia</v>
      </c>
      <c r="G1010" t="str">
        <f>IFERROR(+VLOOKUP(Movimientos_2026[[#This Row],[Codigo]],Plan_cuentas[],4,FALSE)," ")</f>
        <v>Rentas</v>
      </c>
      <c r="H1010" t="str">
        <f>IFERROR(+VLOOKUP(Movimientos_2026[[#This Row],[Codigo]],Plan_cuentas[],5,FALSE)," ")</f>
        <v>BAPRO</v>
      </c>
      <c r="I1010" s="43">
        <v>46054</v>
      </c>
      <c r="J1010" t="s">
        <v>441</v>
      </c>
      <c r="K1010" t="str">
        <f>IFERROR(+VLOOKUP(Movimientos_2026[[#This Row],[Codigo]],Plan_cuentas[],6,FALSE)," ")</f>
        <v>6 - FCAtr - Fiat Transf.</v>
      </c>
      <c r="L1010" s="50"/>
      <c r="M1010" s="50">
        <v>962234.6</v>
      </c>
      <c r="N1010" s="20">
        <f>+Movimientos_2026[[#This Row],[Ingresos]]-Movimientos_2026[[#This Row],[Egresos]]</f>
        <v>-962234.6</v>
      </c>
      <c r="O1010" s="20">
        <f>+O1009+Movimientos_2026[[#This Row],[Neto]]</f>
        <v>2729558732.8112726</v>
      </c>
    </row>
    <row r="1011" spans="1:15" x14ac:dyDescent="0.25">
      <c r="A1011" s="13">
        <v>46100</v>
      </c>
      <c r="B1011" s="12">
        <f>MONTH(Movimientos_2026[[#This Row],[Fecha]])</f>
        <v>3</v>
      </c>
      <c r="C1011" s="12" t="str">
        <f>VLOOKUP((WEEKDAY(Movimientos_2026[[#This Row],[Fecha]],2)),'5. Setup'!$D$6:$E$12,2,FALSE)</f>
        <v>Jue</v>
      </c>
      <c r="D1011">
        <v>2044126</v>
      </c>
      <c r="E1011" t="str">
        <f>IFERROR(+VLOOKUP(Movimientos_2026[[#This Row],[Codigo]],Plan_cuentas[],2,FALSE)," ")</f>
        <v>EGRESOS</v>
      </c>
      <c r="F1011" t="str">
        <f>IFERROR(+VLOOKUP(Movimientos_2026[[#This Row],[Codigo]],Plan_cuentas[],3,FALSE)," ")</f>
        <v>Transferencia</v>
      </c>
      <c r="G1011" t="str">
        <f>IFERROR(+VLOOKUP(Movimientos_2026[[#This Row],[Codigo]],Plan_cuentas[],4,FALSE)," ")</f>
        <v>Rentas</v>
      </c>
      <c r="H1011" t="str">
        <f>IFERROR(+VLOOKUP(Movimientos_2026[[#This Row],[Codigo]],Plan_cuentas[],5,FALSE)," ")</f>
        <v>BAPRO</v>
      </c>
      <c r="I1011" s="43">
        <v>46054</v>
      </c>
      <c r="J1011" t="s">
        <v>442</v>
      </c>
      <c r="K1011" t="str">
        <f>IFERROR(+VLOOKUP(Movimientos_2026[[#This Row],[Codigo]],Plan_cuentas[],6,FALSE)," ")</f>
        <v>6 - FCAtr - Fiat Transf.</v>
      </c>
      <c r="L1011" s="50"/>
      <c r="M1011" s="50">
        <v>528903.30000000005</v>
      </c>
      <c r="N1011" s="20">
        <f>+Movimientos_2026[[#This Row],[Ingresos]]-Movimientos_2026[[#This Row],[Egresos]]</f>
        <v>-528903.30000000005</v>
      </c>
      <c r="O1011" s="20">
        <f>+O1010+Movimientos_2026[[#This Row],[Neto]]</f>
        <v>2729029829.5112724</v>
      </c>
    </row>
    <row r="1012" spans="1:15" x14ac:dyDescent="0.25">
      <c r="A1012" s="13">
        <v>46100</v>
      </c>
      <c r="B1012" s="12">
        <f>MONTH(Movimientos_2026[[#This Row],[Fecha]])</f>
        <v>3</v>
      </c>
      <c r="C1012" s="12" t="str">
        <f>VLOOKUP((WEEKDAY(Movimientos_2026[[#This Row],[Fecha]],2)),'5. Setup'!$D$6:$E$12,2,FALSE)</f>
        <v>Jue</v>
      </c>
      <c r="D1012">
        <v>2044126</v>
      </c>
      <c r="E1012" t="str">
        <f>IFERROR(+VLOOKUP(Movimientos_2026[[#This Row],[Codigo]],Plan_cuentas[],2,FALSE)," ")</f>
        <v>EGRESOS</v>
      </c>
      <c r="F1012" t="str">
        <f>IFERROR(+VLOOKUP(Movimientos_2026[[#This Row],[Codigo]],Plan_cuentas[],3,FALSE)," ")</f>
        <v>Transferencia</v>
      </c>
      <c r="G1012" t="str">
        <f>IFERROR(+VLOOKUP(Movimientos_2026[[#This Row],[Codigo]],Plan_cuentas[],4,FALSE)," ")</f>
        <v>Rentas</v>
      </c>
      <c r="H1012" t="str">
        <f>IFERROR(+VLOOKUP(Movimientos_2026[[#This Row],[Codigo]],Plan_cuentas[],5,FALSE)," ")</f>
        <v>BAPRO</v>
      </c>
      <c r="I1012" s="43">
        <v>46054</v>
      </c>
      <c r="J1012" t="s">
        <v>443</v>
      </c>
      <c r="K1012" t="str">
        <f>IFERROR(+VLOOKUP(Movimientos_2026[[#This Row],[Codigo]],Plan_cuentas[],6,FALSE)," ")</f>
        <v>6 - FCAtr - Fiat Transf.</v>
      </c>
      <c r="L1012" s="50"/>
      <c r="M1012" s="50">
        <v>162237.5</v>
      </c>
      <c r="N1012" s="20">
        <f>+Movimientos_2026[[#This Row],[Ingresos]]-Movimientos_2026[[#This Row],[Egresos]]</f>
        <v>-162237.5</v>
      </c>
      <c r="O1012" s="20">
        <f>+O1011+Movimientos_2026[[#This Row],[Neto]]</f>
        <v>2728867592.0112724</v>
      </c>
    </row>
    <row r="1013" spans="1:15" x14ac:dyDescent="0.25">
      <c r="A1013" s="13">
        <v>46100</v>
      </c>
      <c r="B1013" s="12">
        <f>MONTH(Movimientos_2026[[#This Row],[Fecha]])</f>
        <v>3</v>
      </c>
      <c r="C1013" s="12" t="str">
        <f>VLOOKUP((WEEKDAY(Movimientos_2026[[#This Row],[Fecha]],2)),'5. Setup'!$D$6:$E$12,2,FALSE)</f>
        <v>Jue</v>
      </c>
      <c r="D1013">
        <v>2023221</v>
      </c>
      <c r="E1013" t="str">
        <f>IFERROR(+VLOOKUP(Movimientos_2026[[#This Row],[Codigo]],Plan_cuentas[],2,FALSE)," ")</f>
        <v>EGRESOS</v>
      </c>
      <c r="F1013" t="str">
        <f>IFERROR(+VLOOKUP(Movimientos_2026[[#This Row],[Codigo]],Plan_cuentas[],3,FALSE)," ")</f>
        <v>DDJJ</v>
      </c>
      <c r="G1013" t="str">
        <f>IFERROR(+VLOOKUP(Movimientos_2026[[#This Row],[Codigo]],Plan_cuentas[],4,FALSE)," ")</f>
        <v>Registración</v>
      </c>
      <c r="H1013" t="str">
        <f>IFERROR(+VLOOKUP(Movimientos_2026[[#This Row],[Codigo]],Plan_cuentas[],5,FALSE)," ")</f>
        <v>ENTRE RIOS 1° Q</v>
      </c>
      <c r="I1013" s="43">
        <v>46082</v>
      </c>
      <c r="J1013" t="s">
        <v>444</v>
      </c>
      <c r="K1013" t="str">
        <f>IFERROR(+VLOOKUP(Movimientos_2026[[#This Row],[Codigo]],Plan_cuentas[],6,FALSE)," ")</f>
        <v>1 - VW - Volkswagen</v>
      </c>
      <c r="L1013" s="50"/>
      <c r="M1013" s="52">
        <v>8065381</v>
      </c>
      <c r="N1013" s="20">
        <f>+Movimientos_2026[[#This Row],[Ingresos]]-Movimientos_2026[[#This Row],[Egresos]]</f>
        <v>-8065381</v>
      </c>
      <c r="O1013" s="20">
        <f>+O1012+Movimientos_2026[[#This Row],[Neto]]</f>
        <v>2720802211.0112724</v>
      </c>
    </row>
    <row r="1014" spans="1:15" x14ac:dyDescent="0.25">
      <c r="A1014" s="13">
        <v>46100</v>
      </c>
      <c r="B1014" s="12">
        <f>MONTH(Movimientos_2026[[#This Row],[Fecha]])</f>
        <v>3</v>
      </c>
      <c r="C1014" s="12" t="str">
        <f>VLOOKUP((WEEKDAY(Movimientos_2026[[#This Row],[Fecha]],2)),'5. Setup'!$D$6:$E$12,2,FALSE)</f>
        <v>Jue</v>
      </c>
      <c r="D1014">
        <v>2023222</v>
      </c>
      <c r="E1014" t="str">
        <f>IFERROR(+VLOOKUP(Movimientos_2026[[#This Row],[Codigo]],Plan_cuentas[],2,FALSE)," ")</f>
        <v>EGRESOS</v>
      </c>
      <c r="F1014" t="str">
        <f>IFERROR(+VLOOKUP(Movimientos_2026[[#This Row],[Codigo]],Plan_cuentas[],3,FALSE)," ")</f>
        <v>DDJJ</v>
      </c>
      <c r="G1014" t="str">
        <f>IFERROR(+VLOOKUP(Movimientos_2026[[#This Row],[Codigo]],Plan_cuentas[],4,FALSE)," ")</f>
        <v>Registración</v>
      </c>
      <c r="H1014" t="str">
        <f>IFERROR(+VLOOKUP(Movimientos_2026[[#This Row],[Codigo]],Plan_cuentas[],5,FALSE)," ")</f>
        <v>ENTRE RIOS 1° Q</v>
      </c>
      <c r="I1014" s="43">
        <v>46082</v>
      </c>
      <c r="J1014" t="s">
        <v>444</v>
      </c>
      <c r="K1014" t="str">
        <f>IFERROR(+VLOOKUP(Movimientos_2026[[#This Row],[Codigo]],Plan_cuentas[],6,FALSE)," ")</f>
        <v>2 - PR - Plan Rombo</v>
      </c>
      <c r="L1014" s="50"/>
      <c r="M1014" s="52">
        <v>14132119.57</v>
      </c>
      <c r="N1014" s="20">
        <f>+Movimientos_2026[[#This Row],[Ingresos]]-Movimientos_2026[[#This Row],[Egresos]]</f>
        <v>-14132119.57</v>
      </c>
      <c r="O1014" s="20">
        <f>+O1013+Movimientos_2026[[#This Row],[Neto]]</f>
        <v>2706670091.4412723</v>
      </c>
    </row>
    <row r="1015" spans="1:15" x14ac:dyDescent="0.25">
      <c r="A1015" s="13">
        <v>46100</v>
      </c>
      <c r="B1015" s="12">
        <f>MONTH(Movimientos_2026[[#This Row],[Fecha]])</f>
        <v>3</v>
      </c>
      <c r="C1015" s="12" t="str">
        <f>VLOOKUP((WEEKDAY(Movimientos_2026[[#This Row],[Fecha]],2)),'5. Setup'!$D$6:$E$12,2,FALSE)</f>
        <v>Jue</v>
      </c>
      <c r="D1015">
        <v>2023223</v>
      </c>
      <c r="E1015" t="str">
        <f>IFERROR(+VLOOKUP(Movimientos_2026[[#This Row],[Codigo]],Plan_cuentas[],2,FALSE)," ")</f>
        <v>EGRESOS</v>
      </c>
      <c r="F1015" t="str">
        <f>IFERROR(+VLOOKUP(Movimientos_2026[[#This Row],[Codigo]],Plan_cuentas[],3,FALSE)," ")</f>
        <v>DDJJ</v>
      </c>
      <c r="G1015" t="str">
        <f>IFERROR(+VLOOKUP(Movimientos_2026[[#This Row],[Codigo]],Plan_cuentas[],4,FALSE)," ")</f>
        <v>Registración</v>
      </c>
      <c r="H1015" t="str">
        <f>IFERROR(+VLOOKUP(Movimientos_2026[[#This Row],[Codigo]],Plan_cuentas[],5,FALSE)," ")</f>
        <v>ENTRE RIOS 1° Q</v>
      </c>
      <c r="I1015" s="43">
        <v>46082</v>
      </c>
      <c r="J1015" t="s">
        <v>444</v>
      </c>
      <c r="K1015" t="str">
        <f>IFERROR(+VLOOKUP(Movimientos_2026[[#This Row],[Codigo]],Plan_cuentas[],6,FALSE)," ")</f>
        <v>3 - GM - Chevrolet</v>
      </c>
      <c r="L1015" s="50"/>
      <c r="M1015" s="52">
        <v>26838934.300000001</v>
      </c>
      <c r="N1015" s="20">
        <f>+Movimientos_2026[[#This Row],[Ingresos]]-Movimientos_2026[[#This Row],[Egresos]]</f>
        <v>-26838934.300000001</v>
      </c>
      <c r="O1015" s="20">
        <f>+O1014+Movimientos_2026[[#This Row],[Neto]]</f>
        <v>2679831157.1412721</v>
      </c>
    </row>
    <row r="1016" spans="1:15" x14ac:dyDescent="0.25">
      <c r="A1016" s="13">
        <v>46100</v>
      </c>
      <c r="B1016" s="12">
        <f>MONTH(Movimientos_2026[[#This Row],[Fecha]])</f>
        <v>3</v>
      </c>
      <c r="C1016" s="12" t="str">
        <f>VLOOKUP((WEEKDAY(Movimientos_2026[[#This Row],[Fecha]],2)),'5. Setup'!$D$6:$E$12,2,FALSE)</f>
        <v>Jue</v>
      </c>
      <c r="D1016">
        <v>2023226</v>
      </c>
      <c r="E1016" t="str">
        <f>IFERROR(+VLOOKUP(Movimientos_2026[[#This Row],[Codigo]],Plan_cuentas[],2,FALSE)," ")</f>
        <v>EGRESOS</v>
      </c>
      <c r="F1016" t="str">
        <f>IFERROR(+VLOOKUP(Movimientos_2026[[#This Row],[Codigo]],Plan_cuentas[],3,FALSE)," ")</f>
        <v>DDJJ</v>
      </c>
      <c r="G1016" t="str">
        <f>IFERROR(+VLOOKUP(Movimientos_2026[[#This Row],[Codigo]],Plan_cuentas[],4,FALSE)," ")</f>
        <v>Registración</v>
      </c>
      <c r="H1016" t="str">
        <f>IFERROR(+VLOOKUP(Movimientos_2026[[#This Row],[Codigo]],Plan_cuentas[],5,FALSE)," ")</f>
        <v>ENTRE RIOS 1° Q</v>
      </c>
      <c r="I1016" s="43">
        <v>46082</v>
      </c>
      <c r="J1016" t="s">
        <v>444</v>
      </c>
      <c r="K1016" t="str">
        <f>IFERROR(+VLOOKUP(Movimientos_2026[[#This Row],[Codigo]],Plan_cuentas[],6,FALSE)," ")</f>
        <v>6 - FCAtr - Fiat Transf.</v>
      </c>
      <c r="L1016" s="50"/>
      <c r="M1016" s="52">
        <v>135271.47</v>
      </c>
      <c r="N1016" s="20">
        <f>+Movimientos_2026[[#This Row],[Ingresos]]-Movimientos_2026[[#This Row],[Egresos]]</f>
        <v>-135271.47</v>
      </c>
      <c r="O1016" s="20">
        <f>+O1015+Movimientos_2026[[#This Row],[Neto]]</f>
        <v>2679695885.6712723</v>
      </c>
    </row>
    <row r="1017" spans="1:15" x14ac:dyDescent="0.25">
      <c r="A1017" s="13">
        <v>46100</v>
      </c>
      <c r="B1017" s="12">
        <f>MONTH(Movimientos_2026[[#This Row],[Fecha]])</f>
        <v>3</v>
      </c>
      <c r="C1017" s="12" t="str">
        <f>VLOOKUP((WEEKDAY(Movimientos_2026[[#This Row],[Fecha]],2)),'5. Setup'!$D$6:$E$12,2,FALSE)</f>
        <v>Jue</v>
      </c>
      <c r="D1017">
        <v>2023382</v>
      </c>
      <c r="E1017" t="str">
        <f>IFERROR(+VLOOKUP(Movimientos_2026[[#This Row],[Codigo]],Plan_cuentas[],2,FALSE)," ")</f>
        <v>EGRESOS</v>
      </c>
      <c r="F1017" t="str">
        <f>IFERROR(+VLOOKUP(Movimientos_2026[[#This Row],[Codigo]],Plan_cuentas[],3,FALSE)," ")</f>
        <v>DDJJ</v>
      </c>
      <c r="G1017" t="str">
        <f>IFERROR(+VLOOKUP(Movimientos_2026[[#This Row],[Codigo]],Plan_cuentas[],4,FALSE)," ")</f>
        <v>Registración</v>
      </c>
      <c r="H1017" t="str">
        <f>IFERROR(+VLOOKUP(Movimientos_2026[[#This Row],[Codigo]],Plan_cuentas[],5,FALSE)," ")</f>
        <v>SANTA FE 1° Q</v>
      </c>
      <c r="I1017" s="43">
        <v>46082</v>
      </c>
      <c r="J1017" t="s">
        <v>445</v>
      </c>
      <c r="K1017" t="str">
        <f>IFERROR(+VLOOKUP(Movimientos_2026[[#This Row],[Codigo]],Plan_cuentas[],6,FALSE)," ")</f>
        <v>2 - PR - Plan Rombo</v>
      </c>
      <c r="L1017" s="50"/>
      <c r="M1017" s="52">
        <v>41000161.270000003</v>
      </c>
      <c r="N1017" s="20">
        <f>+Movimientos_2026[[#This Row],[Ingresos]]-Movimientos_2026[[#This Row],[Egresos]]</f>
        <v>-41000161.270000003</v>
      </c>
      <c r="O1017" s="20">
        <f>+O1016+Movimientos_2026[[#This Row],[Neto]]</f>
        <v>2638695724.4012723</v>
      </c>
    </row>
    <row r="1018" spans="1:15" x14ac:dyDescent="0.25">
      <c r="A1018" s="13">
        <v>46100</v>
      </c>
      <c r="B1018" s="12">
        <f>MONTH(Movimientos_2026[[#This Row],[Fecha]])</f>
        <v>3</v>
      </c>
      <c r="C1018" s="12" t="str">
        <f>VLOOKUP((WEEKDAY(Movimientos_2026[[#This Row],[Fecha]],2)),'5. Setup'!$D$6:$E$12,2,FALSE)</f>
        <v>Jue</v>
      </c>
      <c r="D1018">
        <v>2023383</v>
      </c>
      <c r="E1018" t="str">
        <f>IFERROR(+VLOOKUP(Movimientos_2026[[#This Row],[Codigo]],Plan_cuentas[],2,FALSE)," ")</f>
        <v>EGRESOS</v>
      </c>
      <c r="F1018" t="str">
        <f>IFERROR(+VLOOKUP(Movimientos_2026[[#This Row],[Codigo]],Plan_cuentas[],3,FALSE)," ")</f>
        <v>DDJJ</v>
      </c>
      <c r="G1018" t="str">
        <f>IFERROR(+VLOOKUP(Movimientos_2026[[#This Row],[Codigo]],Plan_cuentas[],4,FALSE)," ")</f>
        <v>Registración</v>
      </c>
      <c r="H1018" t="str">
        <f>IFERROR(+VLOOKUP(Movimientos_2026[[#This Row],[Codigo]],Plan_cuentas[],5,FALSE)," ")</f>
        <v>SANTA FE 1° Q</v>
      </c>
      <c r="I1018" s="43">
        <v>46082</v>
      </c>
      <c r="J1018" t="s">
        <v>445</v>
      </c>
      <c r="K1018" t="str">
        <f>IFERROR(+VLOOKUP(Movimientos_2026[[#This Row],[Codigo]],Plan_cuentas[],6,FALSE)," ")</f>
        <v>3 - GM - Chevrolet</v>
      </c>
      <c r="L1018" s="50"/>
      <c r="M1018" s="52">
        <v>38306635.649999999</v>
      </c>
      <c r="N1018" s="20">
        <f>+Movimientos_2026[[#This Row],[Ingresos]]-Movimientos_2026[[#This Row],[Egresos]]</f>
        <v>-38306635.649999999</v>
      </c>
      <c r="O1018" s="20">
        <f>+O1017+Movimientos_2026[[#This Row],[Neto]]</f>
        <v>2600389088.7512722</v>
      </c>
    </row>
    <row r="1019" spans="1:15" x14ac:dyDescent="0.25">
      <c r="A1019" s="13">
        <v>46100</v>
      </c>
      <c r="B1019" s="12">
        <f>MONTH(Movimientos_2026[[#This Row],[Fecha]])</f>
        <v>3</v>
      </c>
      <c r="C1019" s="12" t="str">
        <f>VLOOKUP((WEEKDAY(Movimientos_2026[[#This Row],[Fecha]],2)),'5. Setup'!$D$6:$E$12,2,FALSE)</f>
        <v>Jue</v>
      </c>
      <c r="D1019">
        <v>2023384</v>
      </c>
      <c r="E1019" t="str">
        <f>IFERROR(+VLOOKUP(Movimientos_2026[[#This Row],[Codigo]],Plan_cuentas[],2,FALSE)," ")</f>
        <v>EGRESOS</v>
      </c>
      <c r="F1019" t="str">
        <f>IFERROR(+VLOOKUP(Movimientos_2026[[#This Row],[Codigo]],Plan_cuentas[],3,FALSE)," ")</f>
        <v>DDJJ</v>
      </c>
      <c r="G1019" t="str">
        <f>IFERROR(+VLOOKUP(Movimientos_2026[[#This Row],[Codigo]],Plan_cuentas[],4,FALSE)," ")</f>
        <v>Registración</v>
      </c>
      <c r="H1019" t="str">
        <f>IFERROR(+VLOOKUP(Movimientos_2026[[#This Row],[Codigo]],Plan_cuentas[],5,FALSE)," ")</f>
        <v>SANTA FE 1° Q</v>
      </c>
      <c r="I1019" s="43">
        <v>46082</v>
      </c>
      <c r="J1019" t="s">
        <v>445</v>
      </c>
      <c r="K1019" t="str">
        <f>IFERROR(+VLOOKUP(Movimientos_2026[[#This Row],[Codigo]],Plan_cuentas[],6,FALSE)," ")</f>
        <v>4 - FCA - Fiat</v>
      </c>
      <c r="L1019" s="50"/>
      <c r="M1019" s="52">
        <v>70932340.950000003</v>
      </c>
      <c r="N1019" s="20">
        <f>+Movimientos_2026[[#This Row],[Ingresos]]-Movimientos_2026[[#This Row],[Egresos]]</f>
        <v>-70932340.950000003</v>
      </c>
      <c r="O1019" s="20">
        <f>+O1018+Movimientos_2026[[#This Row],[Neto]]</f>
        <v>2529456747.8012724</v>
      </c>
    </row>
    <row r="1020" spans="1:15" x14ac:dyDescent="0.25">
      <c r="A1020" s="13">
        <v>46100</v>
      </c>
      <c r="B1020" s="12">
        <f>MONTH(Movimientos_2026[[#This Row],[Fecha]])</f>
        <v>3</v>
      </c>
      <c r="C1020" s="12" t="str">
        <f>VLOOKUP((WEEKDAY(Movimientos_2026[[#This Row],[Fecha]],2)),'5. Setup'!$D$6:$E$12,2,FALSE)</f>
        <v>Jue</v>
      </c>
      <c r="D1020">
        <v>2023385</v>
      </c>
      <c r="E1020" t="str">
        <f>IFERROR(+VLOOKUP(Movimientos_2026[[#This Row],[Codigo]],Plan_cuentas[],2,FALSE)," ")</f>
        <v>EGRESOS</v>
      </c>
      <c r="F1020" t="str">
        <f>IFERROR(+VLOOKUP(Movimientos_2026[[#This Row],[Codigo]],Plan_cuentas[],3,FALSE)," ")</f>
        <v>DDJJ</v>
      </c>
      <c r="G1020" t="str">
        <f>IFERROR(+VLOOKUP(Movimientos_2026[[#This Row],[Codigo]],Plan_cuentas[],4,FALSE)," ")</f>
        <v>Registración</v>
      </c>
      <c r="H1020" t="str">
        <f>IFERROR(+VLOOKUP(Movimientos_2026[[#This Row],[Codigo]],Plan_cuentas[],5,FALSE)," ")</f>
        <v>SANTA FE 1° Q</v>
      </c>
      <c r="I1020" s="43">
        <v>46082</v>
      </c>
      <c r="J1020" t="s">
        <v>445</v>
      </c>
      <c r="K1020" t="str">
        <f>IFERROR(+VLOOKUP(Movimientos_2026[[#This Row],[Codigo]],Plan_cuentas[],6,FALSE)," ")</f>
        <v>5 - YAM - Yamaha</v>
      </c>
      <c r="L1020" s="50"/>
      <c r="M1020" s="52">
        <v>801776.14</v>
      </c>
      <c r="N1020" s="20">
        <f>+Movimientos_2026[[#This Row],[Ingresos]]-Movimientos_2026[[#This Row],[Egresos]]</f>
        <v>-801776.14</v>
      </c>
      <c r="O1020" s="20">
        <f>+O1019+Movimientos_2026[[#This Row],[Neto]]</f>
        <v>2528654971.6612725</v>
      </c>
    </row>
    <row r="1021" spans="1:15" x14ac:dyDescent="0.25">
      <c r="A1021" s="13">
        <v>46100</v>
      </c>
      <c r="B1021" s="12">
        <f>MONTH(Movimientos_2026[[#This Row],[Fecha]])</f>
        <v>3</v>
      </c>
      <c r="C1021" s="12" t="str">
        <f>VLOOKUP((WEEKDAY(Movimientos_2026[[#This Row],[Fecha]],2)),'5. Setup'!$D$6:$E$12,2,FALSE)</f>
        <v>Jue</v>
      </c>
      <c r="D1021">
        <v>2023386</v>
      </c>
      <c r="E1021" t="str">
        <f>IFERROR(+VLOOKUP(Movimientos_2026[[#This Row],[Codigo]],Plan_cuentas[],2,FALSE)," ")</f>
        <v>EGRESOS</v>
      </c>
      <c r="F1021" t="str">
        <f>IFERROR(+VLOOKUP(Movimientos_2026[[#This Row],[Codigo]],Plan_cuentas[],3,FALSE)," ")</f>
        <v>DDJJ</v>
      </c>
      <c r="G1021" t="str">
        <f>IFERROR(+VLOOKUP(Movimientos_2026[[#This Row],[Codigo]],Plan_cuentas[],4,FALSE)," ")</f>
        <v>Registración</v>
      </c>
      <c r="H1021" t="str">
        <f>IFERROR(+VLOOKUP(Movimientos_2026[[#This Row],[Codigo]],Plan_cuentas[],5,FALSE)," ")</f>
        <v>SANTA FE 1° Q</v>
      </c>
      <c r="I1021" s="43">
        <v>46082</v>
      </c>
      <c r="J1021" t="s">
        <v>445</v>
      </c>
      <c r="K1021" t="str">
        <f>IFERROR(+VLOOKUP(Movimientos_2026[[#This Row],[Codigo]],Plan_cuentas[],6,FALSE)," ")</f>
        <v>6 - FCAtr - Fiat Transf.</v>
      </c>
      <c r="L1021" s="50"/>
      <c r="M1021" s="52">
        <v>1844133.05</v>
      </c>
      <c r="N1021" s="20">
        <f>+Movimientos_2026[[#This Row],[Ingresos]]-Movimientos_2026[[#This Row],[Egresos]]</f>
        <v>-1844133.05</v>
      </c>
      <c r="O1021" s="20">
        <f>+O1020+Movimientos_2026[[#This Row],[Neto]]</f>
        <v>2526810838.6112723</v>
      </c>
    </row>
    <row r="1022" spans="1:15" x14ac:dyDescent="0.25">
      <c r="A1022" s="13">
        <v>46100</v>
      </c>
      <c r="B1022" s="12">
        <f>MONTH(Movimientos_2026[[#This Row],[Fecha]])</f>
        <v>3</v>
      </c>
      <c r="C1022" s="12" t="str">
        <f>VLOOKUP((WEEKDAY(Movimientos_2026[[#This Row],[Fecha]],2)),'5. Setup'!$D$6:$E$12,2,FALSE)</f>
        <v>Jue</v>
      </c>
      <c r="D1022">
        <v>2023387</v>
      </c>
      <c r="E1022" t="str">
        <f>IFERROR(+VLOOKUP(Movimientos_2026[[#This Row],[Codigo]],Plan_cuentas[],2,FALSE)," ")</f>
        <v>EGRESOS</v>
      </c>
      <c r="F1022" t="str">
        <f>IFERROR(+VLOOKUP(Movimientos_2026[[#This Row],[Codigo]],Plan_cuentas[],3,FALSE)," ")</f>
        <v>DDJJ</v>
      </c>
      <c r="G1022" t="str">
        <f>IFERROR(+VLOOKUP(Movimientos_2026[[#This Row],[Codigo]],Plan_cuentas[],4,FALSE)," ")</f>
        <v>Registración</v>
      </c>
      <c r="H1022" t="str">
        <f>IFERROR(+VLOOKUP(Movimientos_2026[[#This Row],[Codigo]],Plan_cuentas[],5,FALSE)," ")</f>
        <v>SANTA FE 1° Q</v>
      </c>
      <c r="I1022" s="43">
        <v>46082</v>
      </c>
      <c r="J1022" t="s">
        <v>445</v>
      </c>
      <c r="K1022" t="str">
        <f>IFERROR(+VLOOKUP(Movimientos_2026[[#This Row],[Codigo]],Plan_cuentas[],6,FALSE)," ")</f>
        <v>7 - PRtr - Plan Rombo Transf.</v>
      </c>
      <c r="L1022" s="50"/>
      <c r="M1022" s="52">
        <v>134475</v>
      </c>
      <c r="N1022" s="20">
        <f>+Movimientos_2026[[#This Row],[Ingresos]]-Movimientos_2026[[#This Row],[Egresos]]</f>
        <v>-134475</v>
      </c>
      <c r="O1022" s="20">
        <f>+O1021+Movimientos_2026[[#This Row],[Neto]]</f>
        <v>2526676363.6112723</v>
      </c>
    </row>
    <row r="1023" spans="1:15" x14ac:dyDescent="0.25">
      <c r="A1023" s="13">
        <v>46100</v>
      </c>
      <c r="B1023" s="12">
        <f>MONTH(Movimientos_2026[[#This Row],[Fecha]])</f>
        <v>3</v>
      </c>
      <c r="C1023" s="12" t="str">
        <f>VLOOKUP((WEEKDAY(Movimientos_2026[[#This Row],[Fecha]],2)),'5. Setup'!$D$6:$E$12,2,FALSE)</f>
        <v>Jue</v>
      </c>
      <c r="D1023">
        <v>1044485</v>
      </c>
      <c r="E1023" t="str">
        <f>IFERROR(+VLOOKUP(Movimientos_2026[[#This Row],[Codigo]],Plan_cuentas[],2,FALSE)," ")</f>
        <v>INGRESOS</v>
      </c>
      <c r="F1023" t="str">
        <f>IFERROR(+VLOOKUP(Movimientos_2026[[#This Row],[Codigo]],Plan_cuentas[],3,FALSE)," ")</f>
        <v>Transferencia</v>
      </c>
      <c r="G1023" t="str">
        <f>IFERROR(+VLOOKUP(Movimientos_2026[[#This Row],[Codigo]],Plan_cuentas[],4,FALSE)," ")</f>
        <v>Factura</v>
      </c>
      <c r="H1023" t="str">
        <f>IFERROR(+VLOOKUP(Movimientos_2026[[#This Row],[Codigo]],Plan_cuentas[],5,FALSE)," ")</f>
        <v>FC TRAMITACION</v>
      </c>
      <c r="I1023" s="43">
        <v>46023</v>
      </c>
      <c r="J1023" t="s">
        <v>446</v>
      </c>
      <c r="K1023" t="str">
        <f>IFERROR(+VLOOKUP(Movimientos_2026[[#This Row],[Codigo]],Plan_cuentas[],6,FALSE)," ")</f>
        <v>5 - YAM - Yamaha</v>
      </c>
      <c r="L1023" s="50">
        <v>5178624</v>
      </c>
      <c r="M1023" s="52"/>
      <c r="N1023" s="20">
        <f>+Movimientos_2026[[#This Row],[Ingresos]]-Movimientos_2026[[#This Row],[Egresos]]</f>
        <v>5178624</v>
      </c>
      <c r="O1023" s="20">
        <f>+O1022+Movimientos_2026[[#This Row],[Neto]]</f>
        <v>2531854987.6112723</v>
      </c>
    </row>
    <row r="1024" spans="1:15" x14ac:dyDescent="0.25">
      <c r="A1024" s="13">
        <v>46101</v>
      </c>
      <c r="B1024" s="12">
        <f>MONTH(Movimientos_2026[[#This Row],[Fecha]])</f>
        <v>3</v>
      </c>
      <c r="C1024" s="12" t="str">
        <f>VLOOKUP((WEEKDAY(Movimientos_2026[[#This Row],[Fecha]],2)),'5. Setup'!$D$6:$E$12,2,FALSE)</f>
        <v>Vie</v>
      </c>
      <c r="D1024">
        <v>2014351</v>
      </c>
      <c r="E1024" t="str">
        <f>IFERROR(+VLOOKUP(Movimientos_2026[[#This Row],[Codigo]],Plan_cuentas[],2,FALSE)," ")</f>
        <v>EGRESOS</v>
      </c>
      <c r="F1024" t="str">
        <f>IFERROR(+VLOOKUP(Movimientos_2026[[#This Row],[Codigo]],Plan_cuentas[],3,FALSE)," ")</f>
        <v>BtoB</v>
      </c>
      <c r="G1024" t="str">
        <f>IFERROR(+VLOOKUP(Movimientos_2026[[#This Row],[Codigo]],Plan_cuentas[],4,FALSE)," ")</f>
        <v>Rentas</v>
      </c>
      <c r="H1024" t="str">
        <f>IFERROR(+VLOOKUP(Movimientos_2026[[#This Row],[Codigo]],Plan_cuentas[],5,FALSE)," ")</f>
        <v>SAN JUAN</v>
      </c>
      <c r="I1024" s="43">
        <v>46054</v>
      </c>
      <c r="J1024" t="s">
        <v>447</v>
      </c>
      <c r="K1024" t="str">
        <f>IFERROR(+VLOOKUP(Movimientos_2026[[#This Row],[Codigo]],Plan_cuentas[],6,FALSE)," ")</f>
        <v>1 - VW - Volkswagen</v>
      </c>
      <c r="L1024" s="50"/>
      <c r="M1024" s="52">
        <v>6132505.6799999997</v>
      </c>
      <c r="N1024" s="20">
        <f>+Movimientos_2026[[#This Row],[Ingresos]]-Movimientos_2026[[#This Row],[Egresos]]</f>
        <v>-6132505.6799999997</v>
      </c>
      <c r="O1024" s="20">
        <f>+O1023+Movimientos_2026[[#This Row],[Neto]]</f>
        <v>2525722481.9312725</v>
      </c>
    </row>
    <row r="1025" spans="1:15" x14ac:dyDescent="0.25">
      <c r="A1025" s="13">
        <v>46101</v>
      </c>
      <c r="B1025" s="12">
        <f>MONTH(Movimientos_2026[[#This Row],[Fecha]])</f>
        <v>3</v>
      </c>
      <c r="C1025" s="12" t="str">
        <f>VLOOKUP((WEEKDAY(Movimientos_2026[[#This Row],[Fecha]],2)),'5. Setup'!$D$6:$E$12,2,FALSE)</f>
        <v>Vie</v>
      </c>
      <c r="D1025">
        <v>2044127</v>
      </c>
      <c r="E1025" t="str">
        <f>IFERROR(+VLOOKUP(Movimientos_2026[[#This Row],[Codigo]],Plan_cuentas[],2,FALSE)," ")</f>
        <v>EGRESOS</v>
      </c>
      <c r="F1025" t="str">
        <f>IFERROR(+VLOOKUP(Movimientos_2026[[#This Row],[Codigo]],Plan_cuentas[],3,FALSE)," ")</f>
        <v>Transferencia</v>
      </c>
      <c r="G1025" t="str">
        <f>IFERROR(+VLOOKUP(Movimientos_2026[[#This Row],[Codigo]],Plan_cuentas[],4,FALSE)," ")</f>
        <v>Rentas</v>
      </c>
      <c r="H1025" t="str">
        <f>IFERROR(+VLOOKUP(Movimientos_2026[[#This Row],[Codigo]],Plan_cuentas[],5,FALSE)," ")</f>
        <v>BAPRO</v>
      </c>
      <c r="I1025" s="43">
        <v>46054</v>
      </c>
      <c r="J1025" t="s">
        <v>448</v>
      </c>
      <c r="K1025" t="str">
        <f>IFERROR(+VLOOKUP(Movimientos_2026[[#This Row],[Codigo]],Plan_cuentas[],6,FALSE)," ")</f>
        <v>7 - PRtr - Plan Rombo Transf.</v>
      </c>
      <c r="L1025" s="50"/>
      <c r="M1025" s="52">
        <v>904859.4</v>
      </c>
      <c r="N1025" s="20">
        <f>+Movimientos_2026[[#This Row],[Ingresos]]-Movimientos_2026[[#This Row],[Egresos]]</f>
        <v>-904859.4</v>
      </c>
      <c r="O1025" s="20">
        <f>+O1024+Movimientos_2026[[#This Row],[Neto]]</f>
        <v>2524817622.5312724</v>
      </c>
    </row>
    <row r="1026" spans="1:15" x14ac:dyDescent="0.25">
      <c r="A1026" s="13">
        <v>46101</v>
      </c>
      <c r="B1026" s="12">
        <f>MONTH(Movimientos_2026[[#This Row],[Fecha]])</f>
        <v>3</v>
      </c>
      <c r="C1026" s="12" t="str">
        <f>VLOOKUP((WEEKDAY(Movimientos_2026[[#This Row],[Fecha]],2)),'5. Setup'!$D$6:$E$12,2,FALSE)</f>
        <v>Vie</v>
      </c>
      <c r="D1026">
        <v>1044314</v>
      </c>
      <c r="E1026" t="str">
        <f>IFERROR(+VLOOKUP(Movimientos_2026[[#This Row],[Codigo]],Plan_cuentas[],2,FALSE)," ")</f>
        <v>INGRESOS</v>
      </c>
      <c r="F1026" t="str">
        <f>IFERROR(+VLOOKUP(Movimientos_2026[[#This Row],[Codigo]],Plan_cuentas[],3,FALSE)," ")</f>
        <v>Transferencia</v>
      </c>
      <c r="G1026" t="str">
        <f>IFERROR(+VLOOKUP(Movimientos_2026[[#This Row],[Codigo]],Plan_cuentas[],4,FALSE)," ")</f>
        <v>Rentas</v>
      </c>
      <c r="H1026" t="str">
        <f>IFERROR(+VLOOKUP(Movimientos_2026[[#This Row],[Codigo]],Plan_cuentas[],5,FALSE)," ")</f>
        <v>NEUQUEN 1° Q</v>
      </c>
      <c r="I1026" s="43">
        <v>46082</v>
      </c>
      <c r="J1026" t="s">
        <v>449</v>
      </c>
      <c r="K1026" t="str">
        <f>IFERROR(+VLOOKUP(Movimientos_2026[[#This Row],[Codigo]],Plan_cuentas[],6,FALSE)," ")</f>
        <v>4 - FCA - Fiat</v>
      </c>
      <c r="L1026" s="50">
        <v>45146560</v>
      </c>
      <c r="M1026" s="52"/>
      <c r="N1026" s="20">
        <f>+Movimientos_2026[[#This Row],[Ingresos]]-Movimientos_2026[[#This Row],[Egresos]]</f>
        <v>45146560</v>
      </c>
      <c r="O1026" s="20">
        <f>+O1025+Movimientos_2026[[#This Row],[Neto]]</f>
        <v>2569964182.5312724</v>
      </c>
    </row>
    <row r="1027" spans="1:15" x14ac:dyDescent="0.25">
      <c r="A1027" s="13">
        <v>46101</v>
      </c>
      <c r="B1027" s="12">
        <f>MONTH(Movimientos_2026[[#This Row],[Fecha]])</f>
        <v>3</v>
      </c>
      <c r="C1027" s="12" t="str">
        <f>VLOOKUP((WEEKDAY(Movimientos_2026[[#This Row],[Fecha]],2)),'5. Setup'!$D$6:$E$12,2,FALSE)</f>
        <v>Vie</v>
      </c>
      <c r="D1027">
        <v>1044316</v>
      </c>
      <c r="E1027" t="str">
        <f>IFERROR(+VLOOKUP(Movimientos_2026[[#This Row],[Codigo]],Plan_cuentas[],2,FALSE)," ")</f>
        <v>INGRESOS</v>
      </c>
      <c r="F1027" t="str">
        <f>IFERROR(+VLOOKUP(Movimientos_2026[[#This Row],[Codigo]],Plan_cuentas[],3,FALSE)," ")</f>
        <v>Transferencia</v>
      </c>
      <c r="G1027" t="str">
        <f>IFERROR(+VLOOKUP(Movimientos_2026[[#This Row],[Codigo]],Plan_cuentas[],4,FALSE)," ")</f>
        <v>Rentas</v>
      </c>
      <c r="H1027" t="str">
        <f>IFERROR(+VLOOKUP(Movimientos_2026[[#This Row],[Codigo]],Plan_cuentas[],5,FALSE)," ")</f>
        <v>NEUQUEN 1° Q</v>
      </c>
      <c r="I1027" s="43">
        <v>46082</v>
      </c>
      <c r="J1027" t="s">
        <v>450</v>
      </c>
      <c r="K1027" t="str">
        <f>IFERROR(+VLOOKUP(Movimientos_2026[[#This Row],[Codigo]],Plan_cuentas[],6,FALSE)," ")</f>
        <v>6 - FCAtr - Fiat Transf.</v>
      </c>
      <c r="L1027" s="50">
        <v>517611.54</v>
      </c>
      <c r="M1027" s="52"/>
      <c r="N1027" s="20">
        <f>+Movimientos_2026[[#This Row],[Ingresos]]-Movimientos_2026[[#This Row],[Egresos]]</f>
        <v>517611.54</v>
      </c>
      <c r="O1027" s="20">
        <f>+O1026+Movimientos_2026[[#This Row],[Neto]]</f>
        <v>2570481794.0712724</v>
      </c>
    </row>
    <row r="1028" spans="1:15" x14ac:dyDescent="0.25">
      <c r="A1028" s="13">
        <v>46106</v>
      </c>
      <c r="B1028" s="12">
        <f>MONTH(Movimientos_2026[[#This Row],[Fecha]])</f>
        <v>3</v>
      </c>
      <c r="C1028" s="12" t="str">
        <f>VLOOKUP((WEEKDAY(Movimientos_2026[[#This Row],[Fecha]],2)),'5. Setup'!$D$6:$E$12,2,FALSE)</f>
        <v>Mie</v>
      </c>
      <c r="D1028">
        <v>2054311</v>
      </c>
      <c r="E1028" t="str">
        <f>IFERROR(+VLOOKUP(Movimientos_2026[[#This Row],[Codigo]],Plan_cuentas[],2,FALSE)," ")</f>
        <v>EGRESOS</v>
      </c>
      <c r="F1028" t="str">
        <f>IFERROR(+VLOOKUP(Movimientos_2026[[#This Row],[Codigo]],Plan_cuentas[],3,FALSE)," ")</f>
        <v>VEP</v>
      </c>
      <c r="G1028" t="str">
        <f>IFERROR(+VLOOKUP(Movimientos_2026[[#This Row],[Codigo]],Plan_cuentas[],4,FALSE)," ")</f>
        <v>Rentas</v>
      </c>
      <c r="H1028" t="str">
        <f>IFERROR(+VLOOKUP(Movimientos_2026[[#This Row],[Codigo]],Plan_cuentas[],5,FALSE)," ")</f>
        <v>NEUQUEN 1° Q</v>
      </c>
      <c r="I1028" s="43">
        <v>46082</v>
      </c>
      <c r="J1028" t="s">
        <v>451</v>
      </c>
      <c r="K1028" t="str">
        <f>IFERROR(+VLOOKUP(Movimientos_2026[[#This Row],[Codigo]],Plan_cuentas[],6,FALSE)," ")</f>
        <v>1 - VW - Volkswagen</v>
      </c>
      <c r="L1028" s="50"/>
      <c r="M1028" s="52">
        <v>16505510</v>
      </c>
      <c r="N1028" s="20">
        <f>+Movimientos_2026[[#This Row],[Ingresos]]-Movimientos_2026[[#This Row],[Egresos]]</f>
        <v>-16505510</v>
      </c>
      <c r="O1028" s="20">
        <f>+O1027+Movimientos_2026[[#This Row],[Neto]]</f>
        <v>2553976284.0712724</v>
      </c>
    </row>
    <row r="1029" spans="1:15" x14ac:dyDescent="0.25">
      <c r="A1029" s="13">
        <v>46106</v>
      </c>
      <c r="B1029" s="12">
        <f>MONTH(Movimientos_2026[[#This Row],[Fecha]])</f>
        <v>3</v>
      </c>
      <c r="C1029" s="12" t="str">
        <f>VLOOKUP((WEEKDAY(Movimientos_2026[[#This Row],[Fecha]],2)),'5. Setup'!$D$6:$E$12,2,FALSE)</f>
        <v>Mie</v>
      </c>
      <c r="D1029">
        <v>2054381</v>
      </c>
      <c r="E1029" t="str">
        <f>IFERROR(+VLOOKUP(Movimientos_2026[[#This Row],[Codigo]],Plan_cuentas[],2,FALSE)," ")</f>
        <v>EGRESOS</v>
      </c>
      <c r="F1029" t="str">
        <f>IFERROR(+VLOOKUP(Movimientos_2026[[#This Row],[Codigo]],Plan_cuentas[],3,FALSE)," ")</f>
        <v>VEP</v>
      </c>
      <c r="G1029" t="str">
        <f>IFERROR(+VLOOKUP(Movimientos_2026[[#This Row],[Codigo]],Plan_cuentas[],4,FALSE)," ")</f>
        <v>Rentas</v>
      </c>
      <c r="H1029" t="str">
        <f>IFERROR(+VLOOKUP(Movimientos_2026[[#This Row],[Codigo]],Plan_cuentas[],5,FALSE)," ")</f>
        <v>SANTA FE 1° Q</v>
      </c>
      <c r="I1029" s="43">
        <v>46082</v>
      </c>
      <c r="J1029" t="s">
        <v>452</v>
      </c>
      <c r="K1029" t="str">
        <f>IFERROR(+VLOOKUP(Movimientos_2026[[#This Row],[Codigo]],Plan_cuentas[],6,FALSE)," ")</f>
        <v>1 - VW - Volkswagen</v>
      </c>
      <c r="L1029" s="50"/>
      <c r="M1029" s="50">
        <v>9362676</v>
      </c>
      <c r="N1029" s="20">
        <f>+Movimientos_2026[[#This Row],[Ingresos]]-Movimientos_2026[[#This Row],[Egresos]]</f>
        <v>-9362676</v>
      </c>
      <c r="O1029" s="20">
        <f>+O1028+Movimientos_2026[[#This Row],[Neto]]</f>
        <v>2544613608.0712724</v>
      </c>
    </row>
    <row r="1030" spans="1:15" x14ac:dyDescent="0.25">
      <c r="A1030" s="13">
        <v>46106</v>
      </c>
      <c r="B1030" s="12">
        <f>MONTH(Movimientos_2026[[#This Row],[Fecha]])</f>
        <v>3</v>
      </c>
      <c r="C1030" s="12" t="str">
        <f>VLOOKUP((WEEKDAY(Movimientos_2026[[#This Row],[Fecha]],2)),'5. Setup'!$D$6:$E$12,2,FALSE)</f>
        <v>Mie</v>
      </c>
      <c r="D1030">
        <v>2014201</v>
      </c>
      <c r="E1030" t="str">
        <f>IFERROR(+VLOOKUP(Movimientos_2026[[#This Row],[Codigo]],Plan_cuentas[],2,FALSE)," ")</f>
        <v>EGRESOS</v>
      </c>
      <c r="F1030" t="str">
        <f>IFERROR(+VLOOKUP(Movimientos_2026[[#This Row],[Codigo]],Plan_cuentas[],3,FALSE)," ")</f>
        <v>BtoB</v>
      </c>
      <c r="G1030" t="str">
        <f>IFERROR(+VLOOKUP(Movimientos_2026[[#This Row],[Codigo]],Plan_cuentas[],4,FALSE)," ")</f>
        <v>Rentas</v>
      </c>
      <c r="H1030" t="str">
        <f>IFERROR(+VLOOKUP(Movimientos_2026[[#This Row],[Codigo]],Plan_cuentas[],5,FALSE)," ")</f>
        <v>CORRIENTES 1° Q</v>
      </c>
      <c r="I1030" s="43">
        <v>46082</v>
      </c>
      <c r="J1030" t="s">
        <v>453</v>
      </c>
      <c r="K1030" t="str">
        <f>IFERROR(+VLOOKUP(Movimientos_2026[[#This Row],[Codigo]],Plan_cuentas[],6,FALSE)," ")</f>
        <v>1 - VW - Volkswagen</v>
      </c>
      <c r="L1030" s="50"/>
      <c r="M1030" s="50">
        <v>6386564.5</v>
      </c>
      <c r="N1030" s="20">
        <f>+Movimientos_2026[[#This Row],[Ingresos]]-Movimientos_2026[[#This Row],[Egresos]]</f>
        <v>-6386564.5</v>
      </c>
      <c r="O1030" s="20">
        <f>+O1029+Movimientos_2026[[#This Row],[Neto]]</f>
        <v>2538227043.5712724</v>
      </c>
    </row>
    <row r="1031" spans="1:15" x14ac:dyDescent="0.25">
      <c r="A1031" s="13">
        <v>46106</v>
      </c>
      <c r="B1031" s="12">
        <f>MONTH(Movimientos_2026[[#This Row],[Fecha]])</f>
        <v>3</v>
      </c>
      <c r="C1031" s="12" t="str">
        <f>VLOOKUP((WEEKDAY(Movimientos_2026[[#This Row],[Fecha]],2)),'5. Setup'!$D$6:$E$12,2,FALSE)</f>
        <v>Mie</v>
      </c>
      <c r="D1031">
        <v>2014261</v>
      </c>
      <c r="E1031" t="str">
        <f>IFERROR(+VLOOKUP(Movimientos_2026[[#This Row],[Codigo]],Plan_cuentas[],2,FALSE)," ")</f>
        <v>EGRESOS</v>
      </c>
      <c r="F1031" t="str">
        <f>IFERROR(+VLOOKUP(Movimientos_2026[[#This Row],[Codigo]],Plan_cuentas[],3,FALSE)," ")</f>
        <v>BtoB</v>
      </c>
      <c r="G1031" t="str">
        <f>IFERROR(+VLOOKUP(Movimientos_2026[[#This Row],[Codigo]],Plan_cuentas[],4,FALSE)," ")</f>
        <v>Rentas</v>
      </c>
      <c r="H1031" t="str">
        <f>IFERROR(+VLOOKUP(Movimientos_2026[[#This Row],[Codigo]],Plan_cuentas[],5,FALSE)," ")</f>
        <v>LA PAMPA</v>
      </c>
      <c r="I1031" s="43">
        <v>46054</v>
      </c>
      <c r="J1031" t="s">
        <v>454</v>
      </c>
      <c r="K1031" t="str">
        <f>IFERROR(+VLOOKUP(Movimientos_2026[[#This Row],[Codigo]],Plan_cuentas[],6,FALSE)," ")</f>
        <v>1 - VW - Volkswagen</v>
      </c>
      <c r="L1031" s="50"/>
      <c r="M1031" s="52">
        <v>4214898.75</v>
      </c>
      <c r="N1031" s="20">
        <f>+Movimientos_2026[[#This Row],[Ingresos]]-Movimientos_2026[[#This Row],[Egresos]]</f>
        <v>-4214898.75</v>
      </c>
      <c r="O1031" s="20">
        <f>+O1030+Movimientos_2026[[#This Row],[Neto]]</f>
        <v>2534012144.8212724</v>
      </c>
    </row>
    <row r="1032" spans="1:15" x14ac:dyDescent="0.25">
      <c r="A1032" s="13">
        <v>46106</v>
      </c>
      <c r="B1032" s="12">
        <f>MONTH(Movimientos_2026[[#This Row],[Fecha]])</f>
        <v>3</v>
      </c>
      <c r="C1032" s="12" t="str">
        <f>VLOOKUP((WEEKDAY(Movimientos_2026[[#This Row],[Fecha]],2)),'5. Setup'!$D$6:$E$12,2,FALSE)</f>
        <v>Mie</v>
      </c>
      <c r="D1032">
        <v>2044462</v>
      </c>
      <c r="E1032" t="str">
        <f>IFERROR(+VLOOKUP(Movimientos_2026[[#This Row],[Codigo]],Plan_cuentas[],2,FALSE)," ")</f>
        <v>EGRESOS</v>
      </c>
      <c r="F1032" t="str">
        <f>IFERROR(+VLOOKUP(Movimientos_2026[[#This Row],[Codigo]],Plan_cuentas[],3,FALSE)," ")</f>
        <v>Transferencia</v>
      </c>
      <c r="G1032" t="str">
        <f>IFERROR(+VLOOKUP(Movimientos_2026[[#This Row],[Codigo]],Plan_cuentas[],4,FALSE)," ")</f>
        <v>Rentas</v>
      </c>
      <c r="H1032" t="str">
        <f>IFERROR(+VLOOKUP(Movimientos_2026[[#This Row],[Codigo]],Plan_cuentas[],5,FALSE)," ")</f>
        <v>MISIONES</v>
      </c>
      <c r="I1032" s="43">
        <v>46082</v>
      </c>
      <c r="J1032" t="s">
        <v>455</v>
      </c>
      <c r="K1032" t="str">
        <f>IFERROR(+VLOOKUP(Movimientos_2026[[#This Row],[Codigo]],Plan_cuentas[],6,FALSE)," ")</f>
        <v>2 - PR - Plan Rombo</v>
      </c>
      <c r="L1032" s="50"/>
      <c r="M1032" s="52">
        <v>4550852.8600000003</v>
      </c>
      <c r="N1032" s="20">
        <f>+Movimientos_2026[[#This Row],[Ingresos]]-Movimientos_2026[[#This Row],[Egresos]]</f>
        <v>-4550852.8600000003</v>
      </c>
      <c r="O1032" s="20">
        <f>+O1031+Movimientos_2026[[#This Row],[Neto]]</f>
        <v>2529461291.9612722</v>
      </c>
    </row>
    <row r="1033" spans="1:15" x14ac:dyDescent="0.25">
      <c r="A1033" s="13">
        <v>46106</v>
      </c>
      <c r="B1033" s="12">
        <f>MONTH(Movimientos_2026[[#This Row],[Fecha]])</f>
        <v>3</v>
      </c>
      <c r="C1033" s="12" t="str">
        <f>VLOOKUP((WEEKDAY(Movimientos_2026[[#This Row],[Fecha]],2)),'5. Setup'!$D$6:$E$12,2,FALSE)</f>
        <v>Mie</v>
      </c>
      <c r="D1033">
        <v>1043142</v>
      </c>
      <c r="E1033" t="str">
        <f>IFERROR(+VLOOKUP(Movimientos_2026[[#This Row],[Codigo]],Plan_cuentas[],2,FALSE)," ")</f>
        <v>INGRESOS</v>
      </c>
      <c r="F1033" t="str">
        <f>IFERROR(+VLOOKUP(Movimientos_2026[[#This Row],[Codigo]],Plan_cuentas[],3,FALSE)," ")</f>
        <v>Transferencia</v>
      </c>
      <c r="G1033" t="str">
        <f>IFERROR(+VLOOKUP(Movimientos_2026[[#This Row],[Codigo]],Plan_cuentas[],4,FALSE)," ")</f>
        <v>Registración</v>
      </c>
      <c r="H1033" t="str">
        <f>IFERROR(+VLOOKUP(Movimientos_2026[[#This Row],[Codigo]],Plan_cuentas[],5,FALSE)," ")</f>
        <v>BUENOS AIRES</v>
      </c>
      <c r="I1033" s="43">
        <v>46082</v>
      </c>
      <c r="J1033" t="s">
        <v>456</v>
      </c>
      <c r="K1033" t="str">
        <f>IFERROR(+VLOOKUP(Movimientos_2026[[#This Row],[Codigo]],Plan_cuentas[],6,FALSE)," ")</f>
        <v>2 - PR - Plan Rombo</v>
      </c>
      <c r="L1033" s="50">
        <v>295965763</v>
      </c>
      <c r="M1033" s="50"/>
      <c r="N1033" s="20">
        <f>+Movimientos_2026[[#This Row],[Ingresos]]-Movimientos_2026[[#This Row],[Egresos]]</f>
        <v>295965763</v>
      </c>
      <c r="O1033" s="20">
        <f>+O1032+Movimientos_2026[[#This Row],[Neto]]</f>
        <v>2825427054.9612722</v>
      </c>
    </row>
    <row r="1034" spans="1:15" x14ac:dyDescent="0.25">
      <c r="A1034" s="13">
        <v>46106</v>
      </c>
      <c r="B1034" s="12">
        <f>MONTH(Movimientos_2026[[#This Row],[Fecha]])</f>
        <v>3</v>
      </c>
      <c r="C1034" s="12" t="str">
        <f>VLOOKUP((WEEKDAY(Movimientos_2026[[#This Row],[Fecha]],2)),'5. Setup'!$D$6:$E$12,2,FALSE)</f>
        <v>Mie</v>
      </c>
      <c r="D1034">
        <v>1045452</v>
      </c>
      <c r="E1034" t="str">
        <f>IFERROR(+VLOOKUP(Movimientos_2026[[#This Row],[Codigo]],Plan_cuentas[],2,FALSE)," ")</f>
        <v>INGRESOS</v>
      </c>
      <c r="F1034" t="str">
        <f>IFERROR(+VLOOKUP(Movimientos_2026[[#This Row],[Codigo]],Plan_cuentas[],3,FALSE)," ")</f>
        <v>Transferencia</v>
      </c>
      <c r="G1034" t="str">
        <f>IFERROR(+VLOOKUP(Movimientos_2026[[#This Row],[Codigo]],Plan_cuentas[],4,FALSE)," ")</f>
        <v>Factura</v>
      </c>
      <c r="H1034" t="str">
        <f>IFERROR(+VLOOKUP(Movimientos_2026[[#This Row],[Codigo]],Plan_cuentas[],5,FALSE)," ")</f>
        <v>FC DERECHOS</v>
      </c>
      <c r="I1034" s="43">
        <v>46082</v>
      </c>
      <c r="J1034" t="s">
        <v>457</v>
      </c>
      <c r="K1034" t="str">
        <f>IFERROR(+VLOOKUP(Movimientos_2026[[#This Row],[Codigo]],Plan_cuentas[],6,FALSE)," ")</f>
        <v>2 - PR - Plan Rombo</v>
      </c>
      <c r="L1034" s="50">
        <v>51836289.359999999</v>
      </c>
      <c r="M1034" s="50"/>
      <c r="N1034" s="20">
        <f>+Movimientos_2026[[#This Row],[Ingresos]]-Movimientos_2026[[#This Row],[Egresos]]</f>
        <v>51836289.359999999</v>
      </c>
      <c r="O1034" s="20">
        <f>+O1033+Movimientos_2026[[#This Row],[Neto]]</f>
        <v>2877263344.3212724</v>
      </c>
    </row>
    <row r="1035" spans="1:15" x14ac:dyDescent="0.25">
      <c r="A1035" s="13">
        <v>46106</v>
      </c>
      <c r="B1035" s="12">
        <f>MONTH(Movimientos_2026[[#This Row],[Fecha]])</f>
        <v>3</v>
      </c>
      <c r="C1035" s="12" t="str">
        <f>VLOOKUP((WEEKDAY(Movimientos_2026[[#This Row],[Fecha]],2)),'5. Setup'!$D$6:$E$12,2,FALSE)</f>
        <v>Mie</v>
      </c>
      <c r="D1035">
        <v>1043152</v>
      </c>
      <c r="E1035" t="str">
        <f>IFERROR(+VLOOKUP(Movimientos_2026[[#This Row],[Codigo]],Plan_cuentas[],2,FALSE)," ")</f>
        <v>INGRESOS</v>
      </c>
      <c r="F1035" t="str">
        <f>IFERROR(+VLOOKUP(Movimientos_2026[[#This Row],[Codigo]],Plan_cuentas[],3,FALSE)," ")</f>
        <v>Transferencia</v>
      </c>
      <c r="G1035" t="str">
        <f>IFERROR(+VLOOKUP(Movimientos_2026[[#This Row],[Codigo]],Plan_cuentas[],4,FALSE)," ")</f>
        <v>Registración</v>
      </c>
      <c r="H1035" t="str">
        <f>IFERROR(+VLOOKUP(Movimientos_2026[[#This Row],[Codigo]],Plan_cuentas[],5,FALSE)," ")</f>
        <v>CABA</v>
      </c>
      <c r="I1035" s="43">
        <v>46082</v>
      </c>
      <c r="J1035" t="s">
        <v>456</v>
      </c>
      <c r="K1035" t="str">
        <f>IFERROR(+VLOOKUP(Movimientos_2026[[#This Row],[Codigo]],Plan_cuentas[],6,FALSE)," ")</f>
        <v>2 - PR - Plan Rombo</v>
      </c>
      <c r="L1035" s="50">
        <v>61730345</v>
      </c>
      <c r="M1035" s="50"/>
      <c r="N1035" s="20">
        <f>+Movimientos_2026[[#This Row],[Ingresos]]-Movimientos_2026[[#This Row],[Egresos]]</f>
        <v>61730345</v>
      </c>
      <c r="O1035" s="20">
        <f>+O1034+Movimientos_2026[[#This Row],[Neto]]</f>
        <v>2938993689.3212724</v>
      </c>
    </row>
    <row r="1036" spans="1:15" x14ac:dyDescent="0.25">
      <c r="A1036" s="13">
        <v>46106</v>
      </c>
      <c r="B1036" s="12">
        <f>MONTH(Movimientos_2026[[#This Row],[Fecha]])</f>
        <v>3</v>
      </c>
      <c r="C1036" s="12" t="str">
        <f>VLOOKUP((WEEKDAY(Movimientos_2026[[#This Row],[Fecha]],2)),'5. Setup'!$D$6:$E$12,2,FALSE)</f>
        <v>Mie</v>
      </c>
      <c r="D1036">
        <v>1043222</v>
      </c>
      <c r="E1036" t="str">
        <f>IFERROR(+VLOOKUP(Movimientos_2026[[#This Row],[Codigo]],Plan_cuentas[],2,FALSE)," ")</f>
        <v>INGRESOS</v>
      </c>
      <c r="F1036" t="str">
        <f>IFERROR(+VLOOKUP(Movimientos_2026[[#This Row],[Codigo]],Plan_cuentas[],3,FALSE)," ")</f>
        <v>Transferencia</v>
      </c>
      <c r="G1036" t="str">
        <f>IFERROR(+VLOOKUP(Movimientos_2026[[#This Row],[Codigo]],Plan_cuentas[],4,FALSE)," ")</f>
        <v>Registración</v>
      </c>
      <c r="H1036" t="str">
        <f>IFERROR(+VLOOKUP(Movimientos_2026[[#This Row],[Codigo]],Plan_cuentas[],5,FALSE)," ")</f>
        <v>ENTRE RIOS 1° Q</v>
      </c>
      <c r="I1036" s="43">
        <v>46082</v>
      </c>
      <c r="J1036" t="s">
        <v>456</v>
      </c>
      <c r="K1036" t="str">
        <f>IFERROR(+VLOOKUP(Movimientos_2026[[#This Row],[Codigo]],Plan_cuentas[],6,FALSE)," ")</f>
        <v>2 - PR - Plan Rombo</v>
      </c>
      <c r="L1036" s="50">
        <v>12259523</v>
      </c>
      <c r="M1036" s="52"/>
      <c r="N1036" s="20">
        <f>+Movimientos_2026[[#This Row],[Ingresos]]-Movimientos_2026[[#This Row],[Egresos]]</f>
        <v>12259523</v>
      </c>
      <c r="O1036" s="20">
        <f>+O1035+Movimientos_2026[[#This Row],[Neto]]</f>
        <v>2951253212.3212724</v>
      </c>
    </row>
    <row r="1037" spans="1:15" x14ac:dyDescent="0.25">
      <c r="A1037" s="13">
        <v>46106</v>
      </c>
      <c r="B1037" s="12">
        <f>MONTH(Movimientos_2026[[#This Row],[Fecha]])</f>
        <v>3</v>
      </c>
      <c r="C1037" s="12" t="str">
        <f>VLOOKUP((WEEKDAY(Movimientos_2026[[#This Row],[Fecha]],2)),'5. Setup'!$D$6:$E$12,2,FALSE)</f>
        <v>Mie</v>
      </c>
      <c r="D1037">
        <v>1043242</v>
      </c>
      <c r="E1037" t="str">
        <f>IFERROR(+VLOOKUP(Movimientos_2026[[#This Row],[Codigo]],Plan_cuentas[],2,FALSE)," ")</f>
        <v>INGRESOS</v>
      </c>
      <c r="F1037" t="str">
        <f>IFERROR(+VLOOKUP(Movimientos_2026[[#This Row],[Codigo]],Plan_cuentas[],3,FALSE)," ")</f>
        <v>Transferencia</v>
      </c>
      <c r="G1037" t="str">
        <f>IFERROR(+VLOOKUP(Movimientos_2026[[#This Row],[Codigo]],Plan_cuentas[],4,FALSE)," ")</f>
        <v>Registración</v>
      </c>
      <c r="H1037" t="str">
        <f>IFERROR(+VLOOKUP(Movimientos_2026[[#This Row],[Codigo]],Plan_cuentas[],5,FALSE)," ")</f>
        <v>FORMOSA</v>
      </c>
      <c r="I1037" s="43">
        <v>46082</v>
      </c>
      <c r="J1037" t="s">
        <v>456</v>
      </c>
      <c r="K1037" t="str">
        <f>IFERROR(+VLOOKUP(Movimientos_2026[[#This Row],[Codigo]],Plan_cuentas[],6,FALSE)," ")</f>
        <v>2 - PR - Plan Rombo</v>
      </c>
      <c r="L1037" s="50">
        <v>1611597</v>
      </c>
      <c r="M1037" s="50"/>
      <c r="N1037" s="20">
        <f>+Movimientos_2026[[#This Row],[Ingresos]]-Movimientos_2026[[#This Row],[Egresos]]</f>
        <v>1611597</v>
      </c>
      <c r="O1037" s="20">
        <f>+O1036+Movimientos_2026[[#This Row],[Neto]]</f>
        <v>2952864809.3212724</v>
      </c>
    </row>
    <row r="1038" spans="1:15" x14ac:dyDescent="0.25">
      <c r="A1038" s="13">
        <v>46106</v>
      </c>
      <c r="B1038" s="12">
        <f>MONTH(Movimientos_2026[[#This Row],[Fecha]])</f>
        <v>3</v>
      </c>
      <c r="C1038" s="12" t="str">
        <f>VLOOKUP((WEEKDAY(Movimientos_2026[[#This Row],[Fecha]],2)),'5. Setup'!$D$6:$E$12,2,FALSE)</f>
        <v>Mie</v>
      </c>
      <c r="D1038">
        <v>1043382</v>
      </c>
      <c r="E1038" t="str">
        <f>IFERROR(+VLOOKUP(Movimientos_2026[[#This Row],[Codigo]],Plan_cuentas[],2,FALSE)," ")</f>
        <v>INGRESOS</v>
      </c>
      <c r="F1038" t="str">
        <f>IFERROR(+VLOOKUP(Movimientos_2026[[#This Row],[Codigo]],Plan_cuentas[],3,FALSE)," ")</f>
        <v>Transferencia</v>
      </c>
      <c r="G1038" t="str">
        <f>IFERROR(+VLOOKUP(Movimientos_2026[[#This Row],[Codigo]],Plan_cuentas[],4,FALSE)," ")</f>
        <v>Registración</v>
      </c>
      <c r="H1038" t="str">
        <f>IFERROR(+VLOOKUP(Movimientos_2026[[#This Row],[Codigo]],Plan_cuentas[],5,FALSE)," ")</f>
        <v>SANTA FE 1° Q</v>
      </c>
      <c r="I1038" s="43">
        <v>46082</v>
      </c>
      <c r="J1038" t="s">
        <v>456</v>
      </c>
      <c r="K1038" t="str">
        <f>IFERROR(+VLOOKUP(Movimientos_2026[[#This Row],[Codigo]],Plan_cuentas[],6,FALSE)," ")</f>
        <v>2 - PR - Plan Rombo</v>
      </c>
      <c r="L1038" s="50">
        <v>36698658</v>
      </c>
      <c r="M1038" s="52"/>
      <c r="N1038" s="20">
        <f>+Movimientos_2026[[#This Row],[Ingresos]]-Movimientos_2026[[#This Row],[Egresos]]</f>
        <v>36698658</v>
      </c>
      <c r="O1038" s="20">
        <f>+O1037+Movimientos_2026[[#This Row],[Neto]]</f>
        <v>2989563467.3212724</v>
      </c>
    </row>
    <row r="1039" spans="1:15" x14ac:dyDescent="0.25">
      <c r="A1039" s="13">
        <v>46106</v>
      </c>
      <c r="B1039" s="12">
        <f>MONTH(Movimientos_2026[[#This Row],[Fecha]])</f>
        <v>3</v>
      </c>
      <c r="C1039" s="12" t="str">
        <f>VLOOKUP((WEEKDAY(Movimientos_2026[[#This Row],[Fecha]],2)),'5. Setup'!$D$6:$E$12,2,FALSE)</f>
        <v>Mie</v>
      </c>
      <c r="D1039">
        <v>1043172</v>
      </c>
      <c r="E1039" t="str">
        <f>IFERROR(+VLOOKUP(Movimientos_2026[[#This Row],[Codigo]],Plan_cuentas[],2,FALSE)," ")</f>
        <v>INGRESOS</v>
      </c>
      <c r="F1039" t="str">
        <f>IFERROR(+VLOOKUP(Movimientos_2026[[#This Row],[Codigo]],Plan_cuentas[],3,FALSE)," ")</f>
        <v>Transferencia</v>
      </c>
      <c r="G1039" t="str">
        <f>IFERROR(+VLOOKUP(Movimientos_2026[[#This Row],[Codigo]],Plan_cuentas[],4,FALSE)," ")</f>
        <v>Registración</v>
      </c>
      <c r="H1039" t="str">
        <f>IFERROR(+VLOOKUP(Movimientos_2026[[#This Row],[Codigo]],Plan_cuentas[],5,FALSE)," ")</f>
        <v>CHUBUT</v>
      </c>
      <c r="I1039" s="43">
        <v>46082</v>
      </c>
      <c r="J1039" t="s">
        <v>456</v>
      </c>
      <c r="K1039" t="str">
        <f>IFERROR(+VLOOKUP(Movimientos_2026[[#This Row],[Codigo]],Plan_cuentas[],6,FALSE)," ")</f>
        <v>2 - PR - Plan Rombo</v>
      </c>
      <c r="L1039" s="50">
        <v>12257390</v>
      </c>
      <c r="M1039" s="52"/>
      <c r="N1039" s="20">
        <f>+Movimientos_2026[[#This Row],[Ingresos]]-Movimientos_2026[[#This Row],[Egresos]]</f>
        <v>12257390</v>
      </c>
      <c r="O1039" s="20">
        <f>+O1038+Movimientos_2026[[#This Row],[Neto]]</f>
        <v>3001820857.3212724</v>
      </c>
    </row>
    <row r="1040" spans="1:15" x14ac:dyDescent="0.25">
      <c r="A1040" s="13">
        <v>46106</v>
      </c>
      <c r="B1040" s="12">
        <f>MONTH(Movimientos_2026[[#This Row],[Fecha]])</f>
        <v>3</v>
      </c>
      <c r="C1040" s="12" t="str">
        <f>VLOOKUP((WEEKDAY(Movimientos_2026[[#This Row],[Fecha]],2)),'5. Setup'!$D$6:$E$12,2,FALSE)</f>
        <v>Mie</v>
      </c>
      <c r="D1040">
        <v>1044482</v>
      </c>
      <c r="E1040" t="str">
        <f>IFERROR(+VLOOKUP(Movimientos_2026[[#This Row],[Codigo]],Plan_cuentas[],2,FALSE)," ")</f>
        <v>INGRESOS</v>
      </c>
      <c r="F1040" t="str">
        <f>IFERROR(+VLOOKUP(Movimientos_2026[[#This Row],[Codigo]],Plan_cuentas[],3,FALSE)," ")</f>
        <v>Transferencia</v>
      </c>
      <c r="G1040" t="str">
        <f>IFERROR(+VLOOKUP(Movimientos_2026[[#This Row],[Codigo]],Plan_cuentas[],4,FALSE)," ")</f>
        <v>Factura</v>
      </c>
      <c r="H1040" t="str">
        <f>IFERROR(+VLOOKUP(Movimientos_2026[[#This Row],[Codigo]],Plan_cuentas[],5,FALSE)," ")</f>
        <v>FC TRAMITACION</v>
      </c>
      <c r="I1040" s="43">
        <v>46082</v>
      </c>
      <c r="J1040" t="s">
        <v>458</v>
      </c>
      <c r="K1040" t="str">
        <f>IFERROR(+VLOOKUP(Movimientos_2026[[#This Row],[Codigo]],Plan_cuentas[],6,FALSE)," ")</f>
        <v>2 - PR - Plan Rombo</v>
      </c>
      <c r="L1040" s="50">
        <v>953854.44</v>
      </c>
      <c r="M1040" s="50"/>
      <c r="N1040" s="20">
        <f>+Movimientos_2026[[#This Row],[Ingresos]]-Movimientos_2026[[#This Row],[Egresos]]</f>
        <v>953854.44</v>
      </c>
      <c r="O1040" s="20">
        <f>+O1039+Movimientos_2026[[#This Row],[Neto]]</f>
        <v>3002774711.7612724</v>
      </c>
    </row>
    <row r="1041" spans="1:15" x14ac:dyDescent="0.25">
      <c r="A1041" s="13">
        <v>46106</v>
      </c>
      <c r="B1041" s="12">
        <f>MONTH(Movimientos_2026[[#This Row],[Fecha]])</f>
        <v>3</v>
      </c>
      <c r="C1041" s="12" t="str">
        <f>VLOOKUP((WEEKDAY(Movimientos_2026[[#This Row],[Fecha]],2)),'5. Setup'!$D$6:$E$12,2,FALSE)</f>
        <v>Mie</v>
      </c>
      <c r="D1041">
        <v>1044422</v>
      </c>
      <c r="E1041" t="str">
        <f>IFERROR(+VLOOKUP(Movimientos_2026[[#This Row],[Codigo]],Plan_cuentas[],2,FALSE)," ")</f>
        <v>INGRESOS</v>
      </c>
      <c r="F1041" t="str">
        <f>IFERROR(+VLOOKUP(Movimientos_2026[[#This Row],[Codigo]],Plan_cuentas[],3,FALSE)," ")</f>
        <v>Transferencia</v>
      </c>
      <c r="G1041" t="str">
        <f>IFERROR(+VLOOKUP(Movimientos_2026[[#This Row],[Codigo]],Plan_cuentas[],4,FALSE)," ")</f>
        <v>Rentas</v>
      </c>
      <c r="H1041" t="str">
        <f>IFERROR(+VLOOKUP(Movimientos_2026[[#This Row],[Codigo]],Plan_cuentas[],5,FALSE)," ")</f>
        <v>TUCUMAN</v>
      </c>
      <c r="I1041" s="43">
        <v>46054</v>
      </c>
      <c r="J1041" t="s">
        <v>456</v>
      </c>
      <c r="K1041" t="str">
        <f>IFERROR(+VLOOKUP(Movimientos_2026[[#This Row],[Codigo]],Plan_cuentas[],6,FALSE)," ")</f>
        <v>2 - PR - Plan Rombo</v>
      </c>
      <c r="L1041" s="50">
        <v>4816201</v>
      </c>
      <c r="M1041" s="52"/>
      <c r="N1041" s="20">
        <f>+Movimientos_2026[[#This Row],[Ingresos]]-Movimientos_2026[[#This Row],[Egresos]]</f>
        <v>4816201</v>
      </c>
      <c r="O1041" s="20">
        <f>+O1040+Movimientos_2026[[#This Row],[Neto]]</f>
        <v>3007590912.7612724</v>
      </c>
    </row>
    <row r="1042" spans="1:15" x14ac:dyDescent="0.25">
      <c r="A1042" s="13">
        <v>46108</v>
      </c>
      <c r="B1042" s="12">
        <f>MONTH(Movimientos_2026[[#This Row],[Fecha]])</f>
        <v>3</v>
      </c>
      <c r="C1042" s="12" t="str">
        <f>VLOOKUP((WEEKDAY(Movimientos_2026[[#This Row],[Fecha]],2)),'5. Setup'!$D$6:$E$12,2,FALSE)</f>
        <v>Vie</v>
      </c>
      <c r="D1042">
        <v>2044463</v>
      </c>
      <c r="E1042" t="str">
        <f>IFERROR(+VLOOKUP(Movimientos_2026[[#This Row],[Codigo]],Plan_cuentas[],2,FALSE)," ")</f>
        <v>EGRESOS</v>
      </c>
      <c r="F1042" t="str">
        <f>IFERROR(+VLOOKUP(Movimientos_2026[[#This Row],[Codigo]],Plan_cuentas[],3,FALSE)," ")</f>
        <v>Transferencia</v>
      </c>
      <c r="G1042" t="str">
        <f>IFERROR(+VLOOKUP(Movimientos_2026[[#This Row],[Codigo]],Plan_cuentas[],4,FALSE)," ")</f>
        <v>Rentas</v>
      </c>
      <c r="H1042" t="str">
        <f>IFERROR(+VLOOKUP(Movimientos_2026[[#This Row],[Codigo]],Plan_cuentas[],5,FALSE)," ")</f>
        <v>MISIONES</v>
      </c>
      <c r="I1042" s="43">
        <v>46082</v>
      </c>
      <c r="J1042" t="s">
        <v>459</v>
      </c>
      <c r="K1042" t="str">
        <f>IFERROR(+VLOOKUP(Movimientos_2026[[#This Row],[Codigo]],Plan_cuentas[],6,FALSE)," ")</f>
        <v>3 - GM - Chevrolet</v>
      </c>
      <c r="L1042" s="50"/>
      <c r="M1042" s="52">
        <v>2348093.37</v>
      </c>
      <c r="N1042" s="20">
        <f>+Movimientos_2026[[#This Row],[Ingresos]]-Movimientos_2026[[#This Row],[Egresos]]</f>
        <v>-2348093.37</v>
      </c>
      <c r="O1042" s="20">
        <f>+O1041+Movimientos_2026[[#This Row],[Neto]]</f>
        <v>3005242819.3912725</v>
      </c>
    </row>
    <row r="1043" spans="1:15" x14ac:dyDescent="0.25">
      <c r="A1043" s="13">
        <v>46111</v>
      </c>
      <c r="B1043" s="12">
        <f>MONTH(Movimientos_2026[[#This Row],[Fecha]])</f>
        <v>3</v>
      </c>
      <c r="C1043" s="12" t="str">
        <f>VLOOKUP((WEEKDAY(Movimientos_2026[[#This Row],[Fecha]],2)),'5. Setup'!$D$6:$E$12,2,FALSE)</f>
        <v>Lun</v>
      </c>
      <c r="D1043">
        <v>1045474</v>
      </c>
      <c r="E1043" t="str">
        <f>IFERROR(+VLOOKUP(Movimientos_2026[[#This Row],[Codigo]],Plan_cuentas[],2,FALSE)," ")</f>
        <v>INGRESOS</v>
      </c>
      <c r="F1043" t="str">
        <f>IFERROR(+VLOOKUP(Movimientos_2026[[#This Row],[Codigo]],Plan_cuentas[],3,FALSE)," ")</f>
        <v>Transferencia</v>
      </c>
      <c r="G1043" t="str">
        <f>IFERROR(+VLOOKUP(Movimientos_2026[[#This Row],[Codigo]],Plan_cuentas[],4,FALSE)," ")</f>
        <v>Factura</v>
      </c>
      <c r="H1043" t="str">
        <f>IFERROR(+VLOOKUP(Movimientos_2026[[#This Row],[Codigo]],Plan_cuentas[],5,FALSE)," ")</f>
        <v>FC HONORARIOS</v>
      </c>
      <c r="I1043" s="43">
        <v>46054</v>
      </c>
      <c r="J1043" t="s">
        <v>460</v>
      </c>
      <c r="K1043" t="str">
        <f>IFERROR(+VLOOKUP(Movimientos_2026[[#This Row],[Codigo]],Plan_cuentas[],6,FALSE)," ")</f>
        <v>4 - FCA - Fiat</v>
      </c>
      <c r="L1043" s="50">
        <v>4004769.57</v>
      </c>
      <c r="M1043" s="50"/>
      <c r="N1043" s="20">
        <f>+Movimientos_2026[[#This Row],[Ingresos]]-Movimientos_2026[[#This Row],[Egresos]]</f>
        <v>4004769.57</v>
      </c>
      <c r="O1043" s="20">
        <f>+O1042+Movimientos_2026[[#This Row],[Neto]]</f>
        <v>3009247588.9612727</v>
      </c>
    </row>
    <row r="1044" spans="1:15" x14ac:dyDescent="0.25">
      <c r="A1044" s="13">
        <v>46111</v>
      </c>
      <c r="B1044" s="12">
        <f>MONTH(Movimientos_2026[[#This Row],[Fecha]])</f>
        <v>3</v>
      </c>
      <c r="C1044" s="12" t="str">
        <f>VLOOKUP((WEEKDAY(Movimientos_2026[[#This Row],[Fecha]],2)),'5. Setup'!$D$6:$E$12,2,FALSE)</f>
        <v>Lun</v>
      </c>
      <c r="D1044">
        <v>1043153</v>
      </c>
      <c r="E1044" t="str">
        <f>IFERROR(+VLOOKUP(Movimientos_2026[[#This Row],[Codigo]],Plan_cuentas[],2,FALSE)," ")</f>
        <v>INGRESOS</v>
      </c>
      <c r="F1044" t="str">
        <f>IFERROR(+VLOOKUP(Movimientos_2026[[#This Row],[Codigo]],Plan_cuentas[],3,FALSE)," ")</f>
        <v>Transferencia</v>
      </c>
      <c r="G1044" t="str">
        <f>IFERROR(+VLOOKUP(Movimientos_2026[[#This Row],[Codigo]],Plan_cuentas[],4,FALSE)," ")</f>
        <v>Registración</v>
      </c>
      <c r="H1044" t="str">
        <f>IFERROR(+VLOOKUP(Movimientos_2026[[#This Row],[Codigo]],Plan_cuentas[],5,FALSE)," ")</f>
        <v>CABA</v>
      </c>
      <c r="I1044" s="43">
        <v>46054</v>
      </c>
      <c r="J1044" t="s">
        <v>461</v>
      </c>
      <c r="K1044" t="str">
        <f>IFERROR(+VLOOKUP(Movimientos_2026[[#This Row],[Codigo]],Plan_cuentas[],6,FALSE)," ")</f>
        <v>3 - GM - Chevrolet</v>
      </c>
      <c r="L1044" s="50">
        <v>12512.04</v>
      </c>
      <c r="M1044" s="52"/>
      <c r="N1044" s="20">
        <f>+Movimientos_2026[[#This Row],[Ingresos]]-Movimientos_2026[[#This Row],[Egresos]]</f>
        <v>12512.04</v>
      </c>
      <c r="O1044" s="20">
        <f>+O1043+Movimientos_2026[[#This Row],[Neto]]</f>
        <v>3009260101.0012727</v>
      </c>
    </row>
    <row r="1045" spans="1:15" x14ac:dyDescent="0.25">
      <c r="A1045" s="13">
        <v>46111</v>
      </c>
      <c r="B1045" s="12">
        <f>MONTH(Movimientos_2026[[#This Row],[Fecha]])</f>
        <v>3</v>
      </c>
      <c r="C1045" s="12" t="str">
        <f>VLOOKUP((WEEKDAY(Movimientos_2026[[#This Row],[Fecha]],2)),'5. Setup'!$D$6:$E$12,2,FALSE)</f>
        <v>Lun</v>
      </c>
      <c r="D1045">
        <v>1044263</v>
      </c>
      <c r="E1045" t="str">
        <f>IFERROR(+VLOOKUP(Movimientos_2026[[#This Row],[Codigo]],Plan_cuentas[],2,FALSE)," ")</f>
        <v>INGRESOS</v>
      </c>
      <c r="F1045" t="str">
        <f>IFERROR(+VLOOKUP(Movimientos_2026[[#This Row],[Codigo]],Plan_cuentas[],3,FALSE)," ")</f>
        <v>Transferencia</v>
      </c>
      <c r="G1045" t="str">
        <f>IFERROR(+VLOOKUP(Movimientos_2026[[#This Row],[Codigo]],Plan_cuentas[],4,FALSE)," ")</f>
        <v>Rentas</v>
      </c>
      <c r="H1045" t="str">
        <f>IFERROR(+VLOOKUP(Movimientos_2026[[#This Row],[Codigo]],Plan_cuentas[],5,FALSE)," ")</f>
        <v>LA PAMPA</v>
      </c>
      <c r="I1045" s="43">
        <v>46054</v>
      </c>
      <c r="J1045" t="s">
        <v>461</v>
      </c>
      <c r="K1045" t="str">
        <f>IFERROR(+VLOOKUP(Movimientos_2026[[#This Row],[Codigo]],Plan_cuentas[],6,FALSE)," ")</f>
        <v>3 - GM - Chevrolet</v>
      </c>
      <c r="L1045" s="50">
        <v>2191829.21</v>
      </c>
      <c r="M1045" s="50"/>
      <c r="N1045" s="20">
        <f>+Movimientos_2026[[#This Row],[Ingresos]]-Movimientos_2026[[#This Row],[Egresos]]</f>
        <v>2191829.21</v>
      </c>
      <c r="O1045" s="20">
        <f>+O1044+Movimientos_2026[[#This Row],[Neto]]</f>
        <v>3011451930.2112727</v>
      </c>
    </row>
    <row r="1046" spans="1:15" x14ac:dyDescent="0.25">
      <c r="A1046" s="13">
        <v>46111</v>
      </c>
      <c r="B1046" s="12">
        <f>MONTH(Movimientos_2026[[#This Row],[Fecha]])</f>
        <v>3</v>
      </c>
      <c r="C1046" s="12" t="str">
        <f>VLOOKUP((WEEKDAY(Movimientos_2026[[#This Row],[Fecha]],2)),'5. Setup'!$D$6:$E$12,2,FALSE)</f>
        <v>Lun</v>
      </c>
      <c r="D1046">
        <v>1044463</v>
      </c>
      <c r="E1046" t="str">
        <f>IFERROR(+VLOOKUP(Movimientos_2026[[#This Row],[Codigo]],Plan_cuentas[],2,FALSE)," ")</f>
        <v>INGRESOS</v>
      </c>
      <c r="F1046" t="str">
        <f>IFERROR(+VLOOKUP(Movimientos_2026[[#This Row],[Codigo]],Plan_cuentas[],3,FALSE)," ")</f>
        <v>Transferencia</v>
      </c>
      <c r="G1046" t="str">
        <f>IFERROR(+VLOOKUP(Movimientos_2026[[#This Row],[Codigo]],Plan_cuentas[],4,FALSE)," ")</f>
        <v>Rentas</v>
      </c>
      <c r="H1046" t="str">
        <f>IFERROR(+VLOOKUP(Movimientos_2026[[#This Row],[Codigo]],Plan_cuentas[],5,FALSE)," ")</f>
        <v>MISIONES</v>
      </c>
      <c r="I1046" s="43">
        <v>46054</v>
      </c>
      <c r="J1046" t="s">
        <v>461</v>
      </c>
      <c r="K1046" t="str">
        <f>IFERROR(+VLOOKUP(Movimientos_2026[[#This Row],[Codigo]],Plan_cuentas[],6,FALSE)," ")</f>
        <v>3 - GM - Chevrolet</v>
      </c>
      <c r="L1046" s="50">
        <v>573938.57999999996</v>
      </c>
      <c r="M1046" s="52"/>
      <c r="N1046" s="20">
        <f>+Movimientos_2026[[#This Row],[Ingresos]]-Movimientos_2026[[#This Row],[Egresos]]</f>
        <v>573938.57999999996</v>
      </c>
      <c r="O1046" s="20">
        <f>+O1045+Movimientos_2026[[#This Row],[Neto]]</f>
        <v>3012025868.7912726</v>
      </c>
    </row>
    <row r="1047" spans="1:15" x14ac:dyDescent="0.25">
      <c r="A1047" s="13">
        <v>46112</v>
      </c>
      <c r="B1047" s="12">
        <f>MONTH(Movimientos_2026[[#This Row],[Fecha]])</f>
        <v>3</v>
      </c>
      <c r="C1047" s="12" t="str">
        <f>VLOOKUP((WEEKDAY(Movimientos_2026[[#This Row],[Fecha]],2)),'5. Setup'!$D$6:$E$12,2,FALSE)</f>
        <v>Mar</v>
      </c>
      <c r="D1047">
        <v>1044311</v>
      </c>
      <c r="E1047" t="str">
        <f>IFERROR(+VLOOKUP(Movimientos_2026[[#This Row],[Codigo]],Plan_cuentas[],2,FALSE)," ")</f>
        <v>INGRESOS</v>
      </c>
      <c r="F1047" t="str">
        <f>IFERROR(+VLOOKUP(Movimientos_2026[[#This Row],[Codigo]],Plan_cuentas[],3,FALSE)," ")</f>
        <v>Transferencia</v>
      </c>
      <c r="G1047" t="str">
        <f>IFERROR(+VLOOKUP(Movimientos_2026[[#This Row],[Codigo]],Plan_cuentas[],4,FALSE)," ")</f>
        <v>Rentas</v>
      </c>
      <c r="H1047" t="str">
        <f>IFERROR(+VLOOKUP(Movimientos_2026[[#This Row],[Codigo]],Plan_cuentas[],5,FALSE)," ")</f>
        <v>NEUQUEN 1° Q</v>
      </c>
      <c r="I1047" s="43">
        <v>45658</v>
      </c>
      <c r="J1047" t="s">
        <v>462</v>
      </c>
      <c r="K1047" t="str">
        <f>IFERROR(+VLOOKUP(Movimientos_2026[[#This Row],[Codigo]],Plan_cuentas[],6,FALSE)," ")</f>
        <v>1 - VW - Volkswagen</v>
      </c>
      <c r="L1047" s="50">
        <v>12147706.720000001</v>
      </c>
      <c r="M1047" s="52"/>
      <c r="N1047" s="20">
        <f>+Movimientos_2026[[#This Row],[Ingresos]]-Movimientos_2026[[#This Row],[Egresos]]</f>
        <v>12147706.720000001</v>
      </c>
      <c r="O1047" s="20">
        <f>+O1046+Movimientos_2026[[#This Row],[Neto]]</f>
        <v>3024173575.5112724</v>
      </c>
    </row>
    <row r="1048" spans="1:15" x14ac:dyDescent="0.25">
      <c r="A1048" s="13">
        <v>46112</v>
      </c>
      <c r="B1048" s="12">
        <f>MONTH(Movimientos_2026[[#This Row],[Fecha]])</f>
        <v>3</v>
      </c>
      <c r="C1048" s="12" t="str">
        <f>VLOOKUP((WEEKDAY(Movimientos_2026[[#This Row],[Fecha]],2)),'5. Setup'!$D$6:$E$12,2,FALSE)</f>
        <v>Mar</v>
      </c>
      <c r="D1048">
        <v>1044321</v>
      </c>
      <c r="E1048" t="str">
        <f>IFERROR(+VLOOKUP(Movimientos_2026[[#This Row],[Codigo]],Plan_cuentas[],2,FALSE)," ")</f>
        <v>INGRESOS</v>
      </c>
      <c r="F1048" t="str">
        <f>IFERROR(+VLOOKUP(Movimientos_2026[[#This Row],[Codigo]],Plan_cuentas[],3,FALSE)," ")</f>
        <v>Transferencia</v>
      </c>
      <c r="G1048" t="str">
        <f>IFERROR(+VLOOKUP(Movimientos_2026[[#This Row],[Codigo]],Plan_cuentas[],4,FALSE)," ")</f>
        <v>Rentas</v>
      </c>
      <c r="H1048" t="str">
        <f>IFERROR(+VLOOKUP(Movimientos_2026[[#This Row],[Codigo]],Plan_cuentas[],5,FALSE)," ")</f>
        <v>NEUQUEN 2° Q</v>
      </c>
      <c r="I1048" s="43">
        <v>45658</v>
      </c>
      <c r="J1048" t="s">
        <v>462</v>
      </c>
      <c r="K1048" t="str">
        <f>IFERROR(+VLOOKUP(Movimientos_2026[[#This Row],[Codigo]],Plan_cuentas[],6,FALSE)," ")</f>
        <v>1 - VW - Volkswagen</v>
      </c>
      <c r="L1048" s="50">
        <v>19492643.73</v>
      </c>
      <c r="M1048" s="52"/>
      <c r="N1048" s="20">
        <f>+Movimientos_2026[[#This Row],[Ingresos]]-Movimientos_2026[[#This Row],[Egresos]]</f>
        <v>19492643.73</v>
      </c>
      <c r="O1048" s="20">
        <f>+O1047+Movimientos_2026[[#This Row],[Neto]]</f>
        <v>3043666219.2412724</v>
      </c>
    </row>
    <row r="1049" spans="1:15" x14ac:dyDescent="0.25">
      <c r="A1049" s="13">
        <v>46112</v>
      </c>
      <c r="B1049" s="12">
        <f>MONTH(Movimientos_2026[[#This Row],[Fecha]])</f>
        <v>3</v>
      </c>
      <c r="C1049" s="12" t="str">
        <f>VLOOKUP((WEEKDAY(Movimientos_2026[[#This Row],[Fecha]],2)),'5. Setup'!$D$6:$E$12,2,FALSE)</f>
        <v>Mar</v>
      </c>
      <c r="D1049">
        <v>1044321</v>
      </c>
      <c r="E1049" t="str">
        <f>IFERROR(+VLOOKUP(Movimientos_2026[[#This Row],[Codigo]],Plan_cuentas[],2,FALSE)," ")</f>
        <v>INGRESOS</v>
      </c>
      <c r="F1049" t="str">
        <f>IFERROR(+VLOOKUP(Movimientos_2026[[#This Row],[Codigo]],Plan_cuentas[],3,FALSE)," ")</f>
        <v>Transferencia</v>
      </c>
      <c r="G1049" t="str">
        <f>IFERROR(+VLOOKUP(Movimientos_2026[[#This Row],[Codigo]],Plan_cuentas[],4,FALSE)," ")</f>
        <v>Rentas</v>
      </c>
      <c r="H1049" t="str">
        <f>IFERROR(+VLOOKUP(Movimientos_2026[[#This Row],[Codigo]],Plan_cuentas[],5,FALSE)," ")</f>
        <v>NEUQUEN 2° Q</v>
      </c>
      <c r="I1049" s="43">
        <v>45597</v>
      </c>
      <c r="J1049" t="s">
        <v>462</v>
      </c>
      <c r="K1049" t="str">
        <f>IFERROR(+VLOOKUP(Movimientos_2026[[#This Row],[Codigo]],Plan_cuentas[],6,FALSE)," ")</f>
        <v>1 - VW - Volkswagen</v>
      </c>
      <c r="L1049" s="50">
        <v>29427893.239999998</v>
      </c>
      <c r="M1049" s="50"/>
      <c r="N1049" s="20">
        <f>+Movimientos_2026[[#This Row],[Ingresos]]-Movimientos_2026[[#This Row],[Egresos]]</f>
        <v>29427893.239999998</v>
      </c>
      <c r="O1049" s="20">
        <f>+O1048+Movimientos_2026[[#This Row],[Neto]]</f>
        <v>3073094112.4812722</v>
      </c>
    </row>
    <row r="1050" spans="1:15" x14ac:dyDescent="0.25">
      <c r="A1050" s="13">
        <v>46112</v>
      </c>
      <c r="B1050" s="12">
        <f>MONTH(Movimientos_2026[[#This Row],[Fecha]])</f>
        <v>3</v>
      </c>
      <c r="C1050" s="12" t="str">
        <f>VLOOKUP((WEEKDAY(Movimientos_2026[[#This Row],[Fecha]],2)),'5. Setup'!$D$6:$E$12,2,FALSE)</f>
        <v>Mar</v>
      </c>
      <c r="D1050">
        <v>1044321</v>
      </c>
      <c r="E1050" t="str">
        <f>IFERROR(+VLOOKUP(Movimientos_2026[[#This Row],[Codigo]],Plan_cuentas[],2,FALSE)," ")</f>
        <v>INGRESOS</v>
      </c>
      <c r="F1050" t="str">
        <f>IFERROR(+VLOOKUP(Movimientos_2026[[#This Row],[Codigo]],Plan_cuentas[],3,FALSE)," ")</f>
        <v>Transferencia</v>
      </c>
      <c r="G1050" t="str">
        <f>IFERROR(+VLOOKUP(Movimientos_2026[[#This Row],[Codigo]],Plan_cuentas[],4,FALSE)," ")</f>
        <v>Rentas</v>
      </c>
      <c r="H1050" t="str">
        <f>IFERROR(+VLOOKUP(Movimientos_2026[[#This Row],[Codigo]],Plan_cuentas[],5,FALSE)," ")</f>
        <v>NEUQUEN 2° Q</v>
      </c>
      <c r="I1050" s="43">
        <v>45689</v>
      </c>
      <c r="J1050" t="s">
        <v>462</v>
      </c>
      <c r="K1050" t="str">
        <f>IFERROR(+VLOOKUP(Movimientos_2026[[#This Row],[Codigo]],Plan_cuentas[],6,FALSE)," ")</f>
        <v>1 - VW - Volkswagen</v>
      </c>
      <c r="L1050" s="50">
        <v>3216499.3</v>
      </c>
      <c r="M1050" s="50"/>
      <c r="N1050" s="20">
        <f>+Movimientos_2026[[#This Row],[Ingresos]]-Movimientos_2026[[#This Row],[Egresos]]</f>
        <v>3216499.3</v>
      </c>
      <c r="O1050" s="20">
        <f>+O1049+Movimientos_2026[[#This Row],[Neto]]</f>
        <v>3076310611.7812724</v>
      </c>
    </row>
    <row r="1051" spans="1:15" x14ac:dyDescent="0.25">
      <c r="A1051" s="13">
        <v>46113</v>
      </c>
      <c r="B1051" s="12">
        <f>MONTH(Movimientos_2026[[#This Row],[Fecha]])</f>
        <v>4</v>
      </c>
      <c r="C1051" s="12" t="str">
        <f>VLOOKUP((WEEKDAY(Movimientos_2026[[#This Row],[Fecha]],2)),'5. Setup'!$D$6:$E$12,2,FALSE)</f>
        <v>Mie</v>
      </c>
      <c r="D1051">
        <v>3000000</v>
      </c>
      <c r="E1051" t="str">
        <f>IFERROR(+VLOOKUP(Movimientos_2026[[#This Row],[Codigo]],Plan_cuentas[],2,FALSE)," ")</f>
        <v>SALDO INICIAL</v>
      </c>
      <c r="F1051" t="str">
        <f>IFERROR(+VLOOKUP(Movimientos_2026[[#This Row],[Codigo]],Plan_cuentas[],3,FALSE)," ")</f>
        <v xml:space="preserve"> </v>
      </c>
      <c r="G1051" t="str">
        <f>IFERROR(+VLOOKUP(Movimientos_2026[[#This Row],[Codigo]],Plan_cuentas[],4,FALSE)," ")</f>
        <v xml:space="preserve"> </v>
      </c>
      <c r="H1051" t="str">
        <f>IFERROR(+VLOOKUP(Movimientos_2026[[#This Row],[Codigo]],Plan_cuentas[],5,FALSE)," ")</f>
        <v xml:space="preserve"> </v>
      </c>
      <c r="I1051" s="43"/>
      <c r="K1051" t="str">
        <f>IFERROR(+VLOOKUP(Movimientos_2026[[#This Row],[Codigo]],Plan_cuentas[],6,FALSE)," ")</f>
        <v xml:space="preserve">     </v>
      </c>
      <c r="L1051" s="50"/>
      <c r="M1051" s="52"/>
      <c r="N1051" s="20">
        <f>+Movimientos_2026[[#This Row],[Ingresos]]-Movimientos_2026[[#This Row],[Egresos]]</f>
        <v>0</v>
      </c>
      <c r="O1051" s="20">
        <f>+O1050+Movimientos_2026[[#This Row],[Neto]]</f>
        <v>3076310611.7812724</v>
      </c>
    </row>
    <row r="1052" spans="1:15" x14ac:dyDescent="0.25">
      <c r="A1052" s="13">
        <v>46118</v>
      </c>
      <c r="B1052" s="12">
        <f>MONTH(Movimientos_2026[[#This Row],[Fecha]])</f>
        <v>4</v>
      </c>
      <c r="C1052" s="12" t="str">
        <f>VLOOKUP((WEEKDAY(Movimientos_2026[[#This Row],[Fecha]],2)),'5. Setup'!$D$6:$E$12,2,FALSE)</f>
        <v>Lun</v>
      </c>
      <c r="D1052">
        <v>1043155</v>
      </c>
      <c r="E1052" t="str">
        <f>IFERROR(+VLOOKUP(Movimientos_2026[[#This Row],[Codigo]],Plan_cuentas[],2,FALSE)," ")</f>
        <v>INGRESOS</v>
      </c>
      <c r="F1052" t="str">
        <f>IFERROR(+VLOOKUP(Movimientos_2026[[#This Row],[Codigo]],Plan_cuentas[],3,FALSE)," ")</f>
        <v>Transferencia</v>
      </c>
      <c r="G1052" t="str">
        <f>IFERROR(+VLOOKUP(Movimientos_2026[[#This Row],[Codigo]],Plan_cuentas[],4,FALSE)," ")</f>
        <v>Registración</v>
      </c>
      <c r="H1052" t="str">
        <f>IFERROR(+VLOOKUP(Movimientos_2026[[#This Row],[Codigo]],Plan_cuentas[],5,FALSE)," ")</f>
        <v>CABA</v>
      </c>
      <c r="I1052" s="43">
        <v>46054</v>
      </c>
      <c r="J1052" t="s">
        <v>463</v>
      </c>
      <c r="K1052" t="str">
        <f>IFERROR(+VLOOKUP(Movimientos_2026[[#This Row],[Codigo]],Plan_cuentas[],6,FALSE)," ")</f>
        <v>5 - YAM - Yamaha</v>
      </c>
      <c r="L1052" s="50">
        <v>22102666.559999999</v>
      </c>
      <c r="M1052" s="50"/>
      <c r="N1052" s="20">
        <f>+Movimientos_2026[[#This Row],[Ingresos]]-Movimientos_2026[[#This Row],[Egresos]]</f>
        <v>22102666.559999999</v>
      </c>
      <c r="O1052" s="20">
        <f>+O1051+Movimientos_2026[[#This Row],[Neto]]</f>
        <v>3098413278.3412724</v>
      </c>
    </row>
    <row r="1053" spans="1:15" x14ac:dyDescent="0.25">
      <c r="A1053" s="13">
        <v>46118</v>
      </c>
      <c r="B1053" s="12">
        <f>MONTH(Movimientos_2026[[#This Row],[Fecha]])</f>
        <v>4</v>
      </c>
      <c r="C1053" s="12" t="str">
        <f>VLOOKUP((WEEKDAY(Movimientos_2026[[#This Row],[Fecha]],2)),'5. Setup'!$D$6:$E$12,2,FALSE)</f>
        <v>Lun</v>
      </c>
      <c r="D1053">
        <v>1043175</v>
      </c>
      <c r="E1053" t="str">
        <f>IFERROR(+VLOOKUP(Movimientos_2026[[#This Row],[Codigo]],Plan_cuentas[],2,FALSE)," ")</f>
        <v>INGRESOS</v>
      </c>
      <c r="F1053" t="str">
        <f>IFERROR(+VLOOKUP(Movimientos_2026[[#This Row],[Codigo]],Plan_cuentas[],3,FALSE)," ")</f>
        <v>Transferencia</v>
      </c>
      <c r="G1053" t="str">
        <f>IFERROR(+VLOOKUP(Movimientos_2026[[#This Row],[Codigo]],Plan_cuentas[],4,FALSE)," ")</f>
        <v>Registración</v>
      </c>
      <c r="H1053" t="str">
        <f>IFERROR(+VLOOKUP(Movimientos_2026[[#This Row],[Codigo]],Plan_cuentas[],5,FALSE)," ")</f>
        <v>CHUBUT</v>
      </c>
      <c r="I1053" s="43">
        <v>46054</v>
      </c>
      <c r="J1053" t="s">
        <v>463</v>
      </c>
      <c r="K1053" t="str">
        <f>IFERROR(+VLOOKUP(Movimientos_2026[[#This Row],[Codigo]],Plan_cuentas[],6,FALSE)," ")</f>
        <v>5 - YAM - Yamaha</v>
      </c>
      <c r="L1053" s="50">
        <v>336359.26</v>
      </c>
      <c r="M1053" s="50"/>
      <c r="N1053" s="20">
        <f>+Movimientos_2026[[#This Row],[Ingresos]]-Movimientos_2026[[#This Row],[Egresos]]</f>
        <v>336359.26</v>
      </c>
      <c r="O1053" s="20">
        <f>+O1052+Movimientos_2026[[#This Row],[Neto]]</f>
        <v>3098749637.6012726</v>
      </c>
    </row>
    <row r="1054" spans="1:15" x14ac:dyDescent="0.25">
      <c r="A1054" s="13">
        <v>46118</v>
      </c>
      <c r="B1054" s="12">
        <f>MONTH(Movimientos_2026[[#This Row],[Fecha]])</f>
        <v>4</v>
      </c>
      <c r="C1054" s="12" t="str">
        <f>VLOOKUP((WEEKDAY(Movimientos_2026[[#This Row],[Fecha]],2)),'5. Setup'!$D$6:$E$12,2,FALSE)</f>
        <v>Lun</v>
      </c>
      <c r="D1054">
        <v>1043245</v>
      </c>
      <c r="E1054" t="str">
        <f>IFERROR(+VLOOKUP(Movimientos_2026[[#This Row],[Codigo]],Plan_cuentas[],2,FALSE)," ")</f>
        <v>INGRESOS</v>
      </c>
      <c r="F1054" t="str">
        <f>IFERROR(+VLOOKUP(Movimientos_2026[[#This Row],[Codigo]],Plan_cuentas[],3,FALSE)," ")</f>
        <v>Transferencia</v>
      </c>
      <c r="G1054" t="str">
        <f>IFERROR(+VLOOKUP(Movimientos_2026[[#This Row],[Codigo]],Plan_cuentas[],4,FALSE)," ")</f>
        <v>Registración</v>
      </c>
      <c r="H1054" t="str">
        <f>IFERROR(+VLOOKUP(Movimientos_2026[[#This Row],[Codigo]],Plan_cuentas[],5,FALSE)," ")</f>
        <v>FORMOSA</v>
      </c>
      <c r="I1054" s="43">
        <v>46054</v>
      </c>
      <c r="J1054" t="s">
        <v>463</v>
      </c>
      <c r="K1054" t="str">
        <f>IFERROR(+VLOOKUP(Movimientos_2026[[#This Row],[Codigo]],Plan_cuentas[],6,FALSE)," ")</f>
        <v>5 - YAM - Yamaha</v>
      </c>
      <c r="L1054" s="50">
        <v>158734.37</v>
      </c>
      <c r="M1054" s="50"/>
      <c r="N1054" s="20">
        <f>+Movimientos_2026[[#This Row],[Ingresos]]-Movimientos_2026[[#This Row],[Egresos]]</f>
        <v>158734.37</v>
      </c>
      <c r="O1054" s="20">
        <f>+O1053+Movimientos_2026[[#This Row],[Neto]]</f>
        <v>3098908371.9712725</v>
      </c>
    </row>
    <row r="1055" spans="1:15" x14ac:dyDescent="0.25">
      <c r="A1055" s="13">
        <v>46118</v>
      </c>
      <c r="B1055" s="12">
        <f>MONTH(Movimientos_2026[[#This Row],[Fecha]])</f>
        <v>4</v>
      </c>
      <c r="C1055" s="12" t="str">
        <f>VLOOKUP((WEEKDAY(Movimientos_2026[[#This Row],[Fecha]],2)),'5. Setup'!$D$6:$E$12,2,FALSE)</f>
        <v>Lun</v>
      </c>
      <c r="D1055">
        <v>1043375</v>
      </c>
      <c r="E1055" t="str">
        <f>IFERROR(+VLOOKUP(Movimientos_2026[[#This Row],[Codigo]],Plan_cuentas[],2,FALSE)," ")</f>
        <v>INGRESOS</v>
      </c>
      <c r="F1055" t="str">
        <f>IFERROR(+VLOOKUP(Movimientos_2026[[#This Row],[Codigo]],Plan_cuentas[],3,FALSE)," ")</f>
        <v>Transferencia</v>
      </c>
      <c r="G1055" t="str">
        <f>IFERROR(+VLOOKUP(Movimientos_2026[[#This Row],[Codigo]],Plan_cuentas[],4,FALSE)," ")</f>
        <v>Registración</v>
      </c>
      <c r="H1055" t="str">
        <f>IFERROR(+VLOOKUP(Movimientos_2026[[#This Row],[Codigo]],Plan_cuentas[],5,FALSE)," ")</f>
        <v>SANTA CRUZ</v>
      </c>
      <c r="I1055" s="43">
        <v>46054</v>
      </c>
      <c r="J1055" t="s">
        <v>463</v>
      </c>
      <c r="K1055" t="str">
        <f>IFERROR(+VLOOKUP(Movimientos_2026[[#This Row],[Codigo]],Plan_cuentas[],6,FALSE)," ")</f>
        <v>5 - YAM - Yamaha</v>
      </c>
      <c r="L1055" s="50">
        <v>127429.17</v>
      </c>
      <c r="M1055" s="50"/>
      <c r="N1055" s="20">
        <f>+Movimientos_2026[[#This Row],[Ingresos]]-Movimientos_2026[[#This Row],[Egresos]]</f>
        <v>127429.17</v>
      </c>
      <c r="O1055" s="20">
        <f>+O1054+Movimientos_2026[[#This Row],[Neto]]</f>
        <v>3099035801.1412725</v>
      </c>
    </row>
    <row r="1056" spans="1:15" x14ac:dyDescent="0.25">
      <c r="A1056" s="13">
        <v>46118</v>
      </c>
      <c r="B1056" s="12">
        <f>MONTH(Movimientos_2026[[#This Row],[Fecha]])</f>
        <v>4</v>
      </c>
      <c r="C1056" s="12" t="str">
        <f>VLOOKUP((WEEKDAY(Movimientos_2026[[#This Row],[Fecha]],2)),'5. Setup'!$D$6:$E$12,2,FALSE)</f>
        <v>Lun</v>
      </c>
      <c r="D1056">
        <v>1043385</v>
      </c>
      <c r="E1056" t="str">
        <f>IFERROR(+VLOOKUP(Movimientos_2026[[#This Row],[Codigo]],Plan_cuentas[],2,FALSE)," ")</f>
        <v>INGRESOS</v>
      </c>
      <c r="F1056" t="str">
        <f>IFERROR(+VLOOKUP(Movimientos_2026[[#This Row],[Codigo]],Plan_cuentas[],3,FALSE)," ")</f>
        <v>Transferencia</v>
      </c>
      <c r="G1056" t="str">
        <f>IFERROR(+VLOOKUP(Movimientos_2026[[#This Row],[Codigo]],Plan_cuentas[],4,FALSE)," ")</f>
        <v>Registración</v>
      </c>
      <c r="H1056" t="str">
        <f>IFERROR(+VLOOKUP(Movimientos_2026[[#This Row],[Codigo]],Plan_cuentas[],5,FALSE)," ")</f>
        <v>SANTA FE 1° Q</v>
      </c>
      <c r="I1056" s="43">
        <v>46054</v>
      </c>
      <c r="J1056" t="s">
        <v>463</v>
      </c>
      <c r="K1056" t="str">
        <f>IFERROR(+VLOOKUP(Movimientos_2026[[#This Row],[Codigo]],Plan_cuentas[],6,FALSE)," ")</f>
        <v>5 - YAM - Yamaha</v>
      </c>
      <c r="L1056" s="50">
        <v>801776.14</v>
      </c>
      <c r="M1056" s="52"/>
      <c r="N1056" s="20">
        <f>+Movimientos_2026[[#This Row],[Ingresos]]-Movimientos_2026[[#This Row],[Egresos]]</f>
        <v>801776.14</v>
      </c>
      <c r="O1056" s="20">
        <f>+O1055+Movimientos_2026[[#This Row],[Neto]]</f>
        <v>3099837577.2812724</v>
      </c>
    </row>
    <row r="1057" spans="1:15" x14ac:dyDescent="0.25">
      <c r="A1057" s="13">
        <v>46118</v>
      </c>
      <c r="B1057" s="12">
        <f>MONTH(Movimientos_2026[[#This Row],[Fecha]])</f>
        <v>4</v>
      </c>
      <c r="C1057" s="12" t="str">
        <f>VLOOKUP((WEEKDAY(Movimientos_2026[[#This Row],[Fecha]],2)),'5. Setup'!$D$6:$E$12,2,FALSE)</f>
        <v>Lun</v>
      </c>
      <c r="D1057">
        <v>1044165</v>
      </c>
      <c r="E1057" t="str">
        <f>IFERROR(+VLOOKUP(Movimientos_2026[[#This Row],[Codigo]],Plan_cuentas[],2,FALSE)," ")</f>
        <v>INGRESOS</v>
      </c>
      <c r="F1057" t="str">
        <f>IFERROR(+VLOOKUP(Movimientos_2026[[#This Row],[Codigo]],Plan_cuentas[],3,FALSE)," ")</f>
        <v>Transferencia</v>
      </c>
      <c r="G1057" t="str">
        <f>IFERROR(+VLOOKUP(Movimientos_2026[[#This Row],[Codigo]],Plan_cuentas[],4,FALSE)," ")</f>
        <v>Rentas</v>
      </c>
      <c r="H1057" t="str">
        <f>IFERROR(+VLOOKUP(Movimientos_2026[[#This Row],[Codigo]],Plan_cuentas[],5,FALSE)," ")</f>
        <v>CHACO</v>
      </c>
      <c r="I1057" s="43">
        <v>46054</v>
      </c>
      <c r="J1057" t="s">
        <v>463</v>
      </c>
      <c r="K1057" t="str">
        <f>IFERROR(+VLOOKUP(Movimientos_2026[[#This Row],[Codigo]],Plan_cuentas[],6,FALSE)," ")</f>
        <v>5 - YAM - Yamaha</v>
      </c>
      <c r="L1057" s="50">
        <v>1215530.96</v>
      </c>
      <c r="M1057" s="50"/>
      <c r="N1057" s="20">
        <f>+Movimientos_2026[[#This Row],[Ingresos]]-Movimientos_2026[[#This Row],[Egresos]]</f>
        <v>1215530.96</v>
      </c>
      <c r="O1057" s="20">
        <f>+O1056+Movimientos_2026[[#This Row],[Neto]]</f>
        <v>3101053108.2412724</v>
      </c>
    </row>
    <row r="1058" spans="1:15" x14ac:dyDescent="0.25">
      <c r="A1058" s="13">
        <v>46118</v>
      </c>
      <c r="B1058" s="12">
        <f>MONTH(Movimientos_2026[[#This Row],[Fecha]])</f>
        <v>4</v>
      </c>
      <c r="C1058" s="12" t="str">
        <f>VLOOKUP((WEEKDAY(Movimientos_2026[[#This Row],[Fecha]],2)),'5. Setup'!$D$6:$E$12,2,FALSE)</f>
        <v>Lun</v>
      </c>
      <c r="D1058">
        <v>1044235</v>
      </c>
      <c r="E1058" t="str">
        <f>IFERROR(+VLOOKUP(Movimientos_2026[[#This Row],[Codigo]],Plan_cuentas[],2,FALSE)," ")</f>
        <v>INGRESOS</v>
      </c>
      <c r="F1058" t="str">
        <f>IFERROR(+VLOOKUP(Movimientos_2026[[#This Row],[Codigo]],Plan_cuentas[],3,FALSE)," ")</f>
        <v>Transferencia</v>
      </c>
      <c r="G1058" t="str">
        <f>IFERROR(+VLOOKUP(Movimientos_2026[[#This Row],[Codigo]],Plan_cuentas[],4,FALSE)," ")</f>
        <v>Rentas</v>
      </c>
      <c r="H1058" t="str">
        <f>IFERROR(+VLOOKUP(Movimientos_2026[[#This Row],[Codigo]],Plan_cuentas[],5,FALSE)," ")</f>
        <v>ENTRE RIOS 2° Q</v>
      </c>
      <c r="I1058" s="43">
        <v>46054</v>
      </c>
      <c r="J1058" t="s">
        <v>463</v>
      </c>
      <c r="K1058" t="str">
        <f>IFERROR(+VLOOKUP(Movimientos_2026[[#This Row],[Codigo]],Plan_cuentas[],6,FALSE)," ")</f>
        <v>5 - YAM - Yamaha</v>
      </c>
      <c r="L1058" s="50">
        <v>3528652.85</v>
      </c>
      <c r="M1058" s="50"/>
      <c r="N1058" s="20">
        <f>+Movimientos_2026[[#This Row],[Ingresos]]-Movimientos_2026[[#This Row],[Egresos]]</f>
        <v>3528652.85</v>
      </c>
      <c r="O1058" s="20">
        <f>+O1057+Movimientos_2026[[#This Row],[Neto]]</f>
        <v>3104581761.0912724</v>
      </c>
    </row>
    <row r="1059" spans="1:15" x14ac:dyDescent="0.25">
      <c r="A1059" s="13">
        <v>46118</v>
      </c>
      <c r="B1059" s="12">
        <f>MONTH(Movimientos_2026[[#This Row],[Fecha]])</f>
        <v>4</v>
      </c>
      <c r="C1059" s="12" t="str">
        <f>VLOOKUP((WEEKDAY(Movimientos_2026[[#This Row],[Fecha]],2)),'5. Setup'!$D$6:$E$12,2,FALSE)</f>
        <v>Lun</v>
      </c>
      <c r="D1059">
        <v>1044495</v>
      </c>
      <c r="E1059" t="str">
        <f>IFERROR(+VLOOKUP(Movimientos_2026[[#This Row],[Codigo]],Plan_cuentas[],2,FALSE)," ")</f>
        <v>INGRESOS</v>
      </c>
      <c r="F1059" t="str">
        <f>IFERROR(+VLOOKUP(Movimientos_2026[[#This Row],[Codigo]],Plan_cuentas[],3,FALSE)," ")</f>
        <v>Transferencia</v>
      </c>
      <c r="G1059" t="str">
        <f>IFERROR(+VLOOKUP(Movimientos_2026[[#This Row],[Codigo]],Plan_cuentas[],4,FALSE)," ")</f>
        <v>Rentas</v>
      </c>
      <c r="H1059" t="str">
        <f>IFERROR(+VLOOKUP(Movimientos_2026[[#This Row],[Codigo]],Plan_cuentas[],5,FALSE)," ")</f>
        <v>JUJUY</v>
      </c>
      <c r="I1059" s="43">
        <v>46054</v>
      </c>
      <c r="J1059" t="s">
        <v>463</v>
      </c>
      <c r="K1059" t="str">
        <f>IFERROR(+VLOOKUP(Movimientos_2026[[#This Row],[Codigo]],Plan_cuentas[],6,FALSE)," ")</f>
        <v>5 - YAM - Yamaha</v>
      </c>
      <c r="L1059" s="50">
        <v>185042.88</v>
      </c>
      <c r="M1059" s="50"/>
      <c r="N1059" s="20">
        <f>+Movimientos_2026[[#This Row],[Ingresos]]-Movimientos_2026[[#This Row],[Egresos]]</f>
        <v>185042.88</v>
      </c>
      <c r="O1059" s="20">
        <f>+O1058+Movimientos_2026[[#This Row],[Neto]]</f>
        <v>3104766803.9712725</v>
      </c>
    </row>
    <row r="1060" spans="1:15" x14ac:dyDescent="0.25">
      <c r="A1060" s="13">
        <v>46118</v>
      </c>
      <c r="B1060" s="12">
        <f>MONTH(Movimientos_2026[[#This Row],[Fecha]])</f>
        <v>4</v>
      </c>
      <c r="C1060" s="12" t="str">
        <f>VLOOKUP((WEEKDAY(Movimientos_2026[[#This Row],[Fecha]],2)),'5. Setup'!$D$6:$E$12,2,FALSE)</f>
        <v>Lun</v>
      </c>
      <c r="D1060">
        <v>1044275</v>
      </c>
      <c r="E1060" t="str">
        <f>IFERROR(+VLOOKUP(Movimientos_2026[[#This Row],[Codigo]],Plan_cuentas[],2,FALSE)," ")</f>
        <v>INGRESOS</v>
      </c>
      <c r="F1060" t="str">
        <f>IFERROR(+VLOOKUP(Movimientos_2026[[#This Row],[Codigo]],Plan_cuentas[],3,FALSE)," ")</f>
        <v>Transferencia</v>
      </c>
      <c r="G1060" t="str">
        <f>IFERROR(+VLOOKUP(Movimientos_2026[[#This Row],[Codigo]],Plan_cuentas[],4,FALSE)," ")</f>
        <v>Rentas</v>
      </c>
      <c r="H1060" t="str">
        <f>IFERROR(+VLOOKUP(Movimientos_2026[[#This Row],[Codigo]],Plan_cuentas[],5,FALSE)," ")</f>
        <v>LA RIOJA</v>
      </c>
      <c r="I1060" s="43">
        <v>46054</v>
      </c>
      <c r="J1060" t="s">
        <v>463</v>
      </c>
      <c r="K1060" t="str">
        <f>IFERROR(+VLOOKUP(Movimientos_2026[[#This Row],[Codigo]],Plan_cuentas[],6,FALSE)," ")</f>
        <v>5 - YAM - Yamaha</v>
      </c>
      <c r="L1060" s="50">
        <v>616043.11</v>
      </c>
      <c r="M1060" s="50"/>
      <c r="N1060" s="20">
        <f>+Movimientos_2026[[#This Row],[Ingresos]]-Movimientos_2026[[#This Row],[Egresos]]</f>
        <v>616043.11</v>
      </c>
      <c r="O1060" s="20">
        <f>+O1059+Movimientos_2026[[#This Row],[Neto]]</f>
        <v>3105382847.0812726</v>
      </c>
    </row>
    <row r="1061" spans="1:15" x14ac:dyDescent="0.25">
      <c r="A1061" s="13">
        <v>46118</v>
      </c>
      <c r="B1061" s="12">
        <f>MONTH(Movimientos_2026[[#This Row],[Fecha]])</f>
        <v>4</v>
      </c>
      <c r="C1061" s="12" t="str">
        <f>VLOOKUP((WEEKDAY(Movimientos_2026[[#This Row],[Fecha]],2)),'5. Setup'!$D$6:$E$12,2,FALSE)</f>
        <v>Lun</v>
      </c>
      <c r="D1061">
        <v>1044285</v>
      </c>
      <c r="E1061" t="str">
        <f>IFERROR(+VLOOKUP(Movimientos_2026[[#This Row],[Codigo]],Plan_cuentas[],2,FALSE)," ")</f>
        <v>INGRESOS</v>
      </c>
      <c r="F1061" t="str">
        <f>IFERROR(+VLOOKUP(Movimientos_2026[[#This Row],[Codigo]],Plan_cuentas[],3,FALSE)," ")</f>
        <v>Transferencia</v>
      </c>
      <c r="G1061" t="str">
        <f>IFERROR(+VLOOKUP(Movimientos_2026[[#This Row],[Codigo]],Plan_cuentas[],4,FALSE)," ")</f>
        <v>Rentas</v>
      </c>
      <c r="H1061" t="str">
        <f>IFERROR(+VLOOKUP(Movimientos_2026[[#This Row],[Codigo]],Plan_cuentas[],5,FALSE)," ")</f>
        <v>MENDOZA</v>
      </c>
      <c r="I1061" s="43">
        <v>46054</v>
      </c>
      <c r="J1061" t="s">
        <v>463</v>
      </c>
      <c r="K1061" t="str">
        <f>IFERROR(+VLOOKUP(Movimientos_2026[[#This Row],[Codigo]],Plan_cuentas[],6,FALSE)," ")</f>
        <v>5 - YAM - Yamaha</v>
      </c>
      <c r="L1061" s="50">
        <v>343220</v>
      </c>
      <c r="M1061" s="50"/>
      <c r="N1061" s="20">
        <f>+Movimientos_2026[[#This Row],[Ingresos]]-Movimientos_2026[[#This Row],[Egresos]]</f>
        <v>343220</v>
      </c>
      <c r="O1061" s="20">
        <f>+O1060+Movimientos_2026[[#This Row],[Neto]]</f>
        <v>3105726067.0812726</v>
      </c>
    </row>
    <row r="1062" spans="1:15" x14ac:dyDescent="0.25">
      <c r="A1062" s="13">
        <v>46118</v>
      </c>
      <c r="B1062" s="12">
        <f>MONTH(Movimientos_2026[[#This Row],[Fecha]])</f>
        <v>4</v>
      </c>
      <c r="C1062" s="12" t="str">
        <f>VLOOKUP((WEEKDAY(Movimientos_2026[[#This Row],[Fecha]],2)),'5. Setup'!$D$6:$E$12,2,FALSE)</f>
        <v>Lun</v>
      </c>
      <c r="D1062">
        <v>1044465</v>
      </c>
      <c r="E1062" t="str">
        <f>IFERROR(+VLOOKUP(Movimientos_2026[[#This Row],[Codigo]],Plan_cuentas[],2,FALSE)," ")</f>
        <v>INGRESOS</v>
      </c>
      <c r="F1062" t="str">
        <f>IFERROR(+VLOOKUP(Movimientos_2026[[#This Row],[Codigo]],Plan_cuentas[],3,FALSE)," ")</f>
        <v>Transferencia</v>
      </c>
      <c r="G1062" t="str">
        <f>IFERROR(+VLOOKUP(Movimientos_2026[[#This Row],[Codigo]],Plan_cuentas[],4,FALSE)," ")</f>
        <v>Rentas</v>
      </c>
      <c r="H1062" t="str">
        <f>IFERROR(+VLOOKUP(Movimientos_2026[[#This Row],[Codigo]],Plan_cuentas[],5,FALSE)," ")</f>
        <v>MISIONES</v>
      </c>
      <c r="I1062" s="43">
        <v>46054</v>
      </c>
      <c r="J1062" t="s">
        <v>463</v>
      </c>
      <c r="K1062" t="str">
        <f>IFERROR(+VLOOKUP(Movimientos_2026[[#This Row],[Codigo]],Plan_cuentas[],6,FALSE)," ")</f>
        <v>5 - YAM - Yamaha</v>
      </c>
      <c r="L1062" s="50">
        <v>952711.34889999998</v>
      </c>
      <c r="M1062" s="50"/>
      <c r="N1062" s="20">
        <f>+Movimientos_2026[[#This Row],[Ingresos]]-Movimientos_2026[[#This Row],[Egresos]]</f>
        <v>952711.34889999998</v>
      </c>
      <c r="O1062" s="20">
        <f>+O1061+Movimientos_2026[[#This Row],[Neto]]</f>
        <v>3106678778.4301724</v>
      </c>
    </row>
    <row r="1063" spans="1:15" x14ac:dyDescent="0.25">
      <c r="A1063" s="13">
        <v>46118</v>
      </c>
      <c r="B1063" s="12">
        <f>MONTH(Movimientos_2026[[#This Row],[Fecha]])</f>
        <v>4</v>
      </c>
      <c r="C1063" s="12" t="str">
        <f>VLOOKUP((WEEKDAY(Movimientos_2026[[#This Row],[Fecha]],2)),'5. Setup'!$D$6:$E$12,2,FALSE)</f>
        <v>Lun</v>
      </c>
      <c r="D1063">
        <v>1044405</v>
      </c>
      <c r="E1063" t="str">
        <f>IFERROR(+VLOOKUP(Movimientos_2026[[#This Row],[Codigo]],Plan_cuentas[],2,FALSE)," ")</f>
        <v>INGRESOS</v>
      </c>
      <c r="F1063" t="str">
        <f>IFERROR(+VLOOKUP(Movimientos_2026[[#This Row],[Codigo]],Plan_cuentas[],3,FALSE)," ")</f>
        <v>Transferencia</v>
      </c>
      <c r="G1063" t="str">
        <f>IFERROR(+VLOOKUP(Movimientos_2026[[#This Row],[Codigo]],Plan_cuentas[],4,FALSE)," ")</f>
        <v>Rentas</v>
      </c>
      <c r="H1063" t="str">
        <f>IFERROR(+VLOOKUP(Movimientos_2026[[#This Row],[Codigo]],Plan_cuentas[],5,FALSE)," ")</f>
        <v>SANTIAGO DEL ESTERO</v>
      </c>
      <c r="I1063" s="43">
        <v>46054</v>
      </c>
      <c r="J1063" t="s">
        <v>463</v>
      </c>
      <c r="K1063" t="str">
        <f>IFERROR(+VLOOKUP(Movimientos_2026[[#This Row],[Codigo]],Plan_cuentas[],6,FALSE)," ")</f>
        <v>5 - YAM - Yamaha</v>
      </c>
      <c r="L1063" s="50">
        <v>174142.34</v>
      </c>
      <c r="M1063" s="50"/>
      <c r="N1063" s="20">
        <f>+Movimientos_2026[[#This Row],[Ingresos]]-Movimientos_2026[[#This Row],[Egresos]]</f>
        <v>174142.34</v>
      </c>
      <c r="O1063" s="20">
        <f>+O1062+Movimientos_2026[[#This Row],[Neto]]</f>
        <v>3106852920.7701726</v>
      </c>
    </row>
    <row r="1064" spans="1:15" x14ac:dyDescent="0.25">
      <c r="A1064" s="13">
        <v>46118</v>
      </c>
      <c r="B1064" s="12">
        <f>MONTH(Movimientos_2026[[#This Row],[Fecha]])</f>
        <v>4</v>
      </c>
      <c r="C1064" s="12" t="str">
        <f>VLOOKUP((WEEKDAY(Movimientos_2026[[#This Row],[Fecha]],2)),'5. Setup'!$D$6:$E$12,2,FALSE)</f>
        <v>Lun</v>
      </c>
      <c r="D1064">
        <v>1044425</v>
      </c>
      <c r="E1064" t="str">
        <f>IFERROR(+VLOOKUP(Movimientos_2026[[#This Row],[Codigo]],Plan_cuentas[],2,FALSE)," ")</f>
        <v>INGRESOS</v>
      </c>
      <c r="F1064" t="str">
        <f>IFERROR(+VLOOKUP(Movimientos_2026[[#This Row],[Codigo]],Plan_cuentas[],3,FALSE)," ")</f>
        <v>Transferencia</v>
      </c>
      <c r="G1064" t="str">
        <f>IFERROR(+VLOOKUP(Movimientos_2026[[#This Row],[Codigo]],Plan_cuentas[],4,FALSE)," ")</f>
        <v>Rentas</v>
      </c>
      <c r="H1064" t="str">
        <f>IFERROR(+VLOOKUP(Movimientos_2026[[#This Row],[Codigo]],Plan_cuentas[],5,FALSE)," ")</f>
        <v>TUCUMAN</v>
      </c>
      <c r="I1064" s="43">
        <v>46054</v>
      </c>
      <c r="J1064" t="s">
        <v>463</v>
      </c>
      <c r="K1064" t="str">
        <f>IFERROR(+VLOOKUP(Movimientos_2026[[#This Row],[Codigo]],Plan_cuentas[],6,FALSE)," ")</f>
        <v>5 - YAM - Yamaha</v>
      </c>
      <c r="L1064" s="50">
        <v>1470282.34</v>
      </c>
      <c r="M1064" s="50"/>
      <c r="N1064" s="20">
        <f>+Movimientos_2026[[#This Row],[Ingresos]]-Movimientos_2026[[#This Row],[Egresos]]</f>
        <v>1470282.34</v>
      </c>
      <c r="O1064" s="20">
        <f>+O1063+Movimientos_2026[[#This Row],[Neto]]</f>
        <v>3108323203.1101727</v>
      </c>
    </row>
    <row r="1065" spans="1:15" x14ac:dyDescent="0.25">
      <c r="A1065" s="13">
        <v>46118</v>
      </c>
      <c r="B1065" s="12">
        <f>MONTH(Movimientos_2026[[#This Row],[Fecha]])</f>
        <v>4</v>
      </c>
      <c r="C1065" s="12" t="str">
        <f>VLOOKUP((WEEKDAY(Movimientos_2026[[#This Row],[Fecha]],2)),'5. Setup'!$D$6:$E$12,2,FALSE)</f>
        <v>Lun</v>
      </c>
      <c r="D1065">
        <v>1043265</v>
      </c>
      <c r="E1065" t="str">
        <f>IFERROR(+VLOOKUP(Movimientos_2026[[#This Row],[Codigo]],Plan_cuentas[],2,FALSE)," ")</f>
        <v>INGRESOS</v>
      </c>
      <c r="F1065" t="str">
        <f>IFERROR(+VLOOKUP(Movimientos_2026[[#This Row],[Codigo]],Plan_cuentas[],3,FALSE)," ")</f>
        <v>Transferencia</v>
      </c>
      <c r="G1065" t="str">
        <f>IFERROR(+VLOOKUP(Movimientos_2026[[#This Row],[Codigo]],Plan_cuentas[],4,FALSE)," ")</f>
        <v>Registración</v>
      </c>
      <c r="H1065" t="str">
        <f>IFERROR(+VLOOKUP(Movimientos_2026[[#This Row],[Codigo]],Plan_cuentas[],5,FALSE)," ")</f>
        <v>LA PAMPA</v>
      </c>
      <c r="I1065" s="43">
        <v>46054</v>
      </c>
      <c r="J1065" t="s">
        <v>463</v>
      </c>
      <c r="K1065" t="str">
        <f>IFERROR(+VLOOKUP(Movimientos_2026[[#This Row],[Codigo]],Plan_cuentas[],6,FALSE)," ")</f>
        <v>5 - YAM - Yamaha</v>
      </c>
      <c r="L1065" s="50">
        <v>73755.55</v>
      </c>
      <c r="M1065" s="50"/>
      <c r="N1065" s="20">
        <f>+Movimientos_2026[[#This Row],[Ingresos]]-Movimientos_2026[[#This Row],[Egresos]]</f>
        <v>73755.55</v>
      </c>
      <c r="O1065" s="20">
        <f>+O1064+Movimientos_2026[[#This Row],[Neto]]</f>
        <v>3108396958.6601729</v>
      </c>
    </row>
    <row r="1066" spans="1:15" x14ac:dyDescent="0.25">
      <c r="A1066" s="13">
        <v>46118</v>
      </c>
      <c r="B1066" s="12">
        <f>MONTH(Movimientos_2026[[#This Row],[Fecha]])</f>
        <v>4</v>
      </c>
      <c r="C1066" s="12" t="str">
        <f>VLOOKUP((WEEKDAY(Movimientos_2026[[#This Row],[Fecha]],2)),'5. Setup'!$D$6:$E$12,2,FALSE)</f>
        <v>Lun</v>
      </c>
      <c r="D1066">
        <v>1044312</v>
      </c>
      <c r="E1066" t="str">
        <f>IFERROR(+VLOOKUP(Movimientos_2026[[#This Row],[Codigo]],Plan_cuentas[],2,FALSE)," ")</f>
        <v>INGRESOS</v>
      </c>
      <c r="F1066" t="str">
        <f>IFERROR(+VLOOKUP(Movimientos_2026[[#This Row],[Codigo]],Plan_cuentas[],3,FALSE)," ")</f>
        <v>Transferencia</v>
      </c>
      <c r="G1066" t="str">
        <f>IFERROR(+VLOOKUP(Movimientos_2026[[#This Row],[Codigo]],Plan_cuentas[],4,FALSE)," ")</f>
        <v>Rentas</v>
      </c>
      <c r="H1066" t="str">
        <f>IFERROR(+VLOOKUP(Movimientos_2026[[#This Row],[Codigo]],Plan_cuentas[],5,FALSE)," ")</f>
        <v>NEUQUEN 1° Q</v>
      </c>
      <c r="I1066" s="43">
        <v>46082</v>
      </c>
      <c r="J1066" t="s">
        <v>464</v>
      </c>
      <c r="K1066" t="str">
        <f>IFERROR(+VLOOKUP(Movimientos_2026[[#This Row],[Codigo]],Plan_cuentas[],6,FALSE)," ")</f>
        <v>2 - PR - Plan Rombo</v>
      </c>
      <c r="L1066" s="50">
        <v>27597100</v>
      </c>
      <c r="M1066" s="50"/>
      <c r="N1066" s="20">
        <f>+Movimientos_2026[[#This Row],[Ingresos]]-Movimientos_2026[[#This Row],[Egresos]]</f>
        <v>27597100</v>
      </c>
      <c r="O1066" s="20">
        <f>+O1065+Movimientos_2026[[#This Row],[Neto]]</f>
        <v>3135994058.6601729</v>
      </c>
    </row>
    <row r="1067" spans="1:15" x14ac:dyDescent="0.25">
      <c r="A1067" s="13">
        <v>46118</v>
      </c>
      <c r="B1067" s="12">
        <f>MONTH(Movimientos_2026[[#This Row],[Fecha]])</f>
        <v>4</v>
      </c>
      <c r="C1067" s="12" t="str">
        <f>VLOOKUP((WEEKDAY(Movimientos_2026[[#This Row],[Fecha]],2)),'5. Setup'!$D$6:$E$12,2,FALSE)</f>
        <v>Lun</v>
      </c>
      <c r="D1067">
        <v>1044202</v>
      </c>
      <c r="E1067" t="str">
        <f>IFERROR(+VLOOKUP(Movimientos_2026[[#This Row],[Codigo]],Plan_cuentas[],2,FALSE)," ")</f>
        <v>INGRESOS</v>
      </c>
      <c r="F1067" t="str">
        <f>IFERROR(+VLOOKUP(Movimientos_2026[[#This Row],[Codigo]],Plan_cuentas[],3,FALSE)," ")</f>
        <v>Transferencia</v>
      </c>
      <c r="G1067" t="str">
        <f>IFERROR(+VLOOKUP(Movimientos_2026[[#This Row],[Codigo]],Plan_cuentas[],4,FALSE)," ")</f>
        <v>Rentas</v>
      </c>
      <c r="H1067" t="str">
        <f>IFERROR(+VLOOKUP(Movimientos_2026[[#This Row],[Codigo]],Plan_cuentas[],5,FALSE)," ")</f>
        <v>CORRIENTES 1° Q</v>
      </c>
      <c r="I1067" s="43">
        <v>46082</v>
      </c>
      <c r="J1067" t="s">
        <v>464</v>
      </c>
      <c r="K1067" t="str">
        <f>IFERROR(+VLOOKUP(Movimientos_2026[[#This Row],[Codigo]],Plan_cuentas[],6,FALSE)," ")</f>
        <v>2 - PR - Plan Rombo</v>
      </c>
      <c r="L1067" s="50">
        <v>19939606.140900001</v>
      </c>
      <c r="M1067" s="50"/>
      <c r="N1067" s="20">
        <f>+Movimientos_2026[[#This Row],[Ingresos]]-Movimientos_2026[[#This Row],[Egresos]]</f>
        <v>19939606.140900001</v>
      </c>
      <c r="O1067" s="20">
        <f>+O1066+Movimientos_2026[[#This Row],[Neto]]</f>
        <v>3155933664.8010731</v>
      </c>
    </row>
    <row r="1068" spans="1:15" x14ac:dyDescent="0.25">
      <c r="A1068" s="13">
        <v>46118</v>
      </c>
      <c r="B1068" s="12">
        <f>MONTH(Movimientos_2026[[#This Row],[Fecha]])</f>
        <v>4</v>
      </c>
      <c r="C1068" s="12" t="str">
        <f>VLOOKUP((WEEKDAY(Movimientos_2026[[#This Row],[Fecha]],2)),'5. Setup'!$D$6:$E$12,2,FALSE)</f>
        <v>Lun</v>
      </c>
      <c r="D1068">
        <v>1044462</v>
      </c>
      <c r="E1068" t="str">
        <f>IFERROR(+VLOOKUP(Movimientos_2026[[#This Row],[Codigo]],Plan_cuentas[],2,FALSE)," ")</f>
        <v>INGRESOS</v>
      </c>
      <c r="F1068" t="str">
        <f>IFERROR(+VLOOKUP(Movimientos_2026[[#This Row],[Codigo]],Plan_cuentas[],3,FALSE)," ")</f>
        <v>Transferencia</v>
      </c>
      <c r="G1068" t="str">
        <f>IFERROR(+VLOOKUP(Movimientos_2026[[#This Row],[Codigo]],Plan_cuentas[],4,FALSE)," ")</f>
        <v>Rentas</v>
      </c>
      <c r="H1068" t="str">
        <f>IFERROR(+VLOOKUP(Movimientos_2026[[#This Row],[Codigo]],Plan_cuentas[],5,FALSE)," ")</f>
        <v>MISIONES</v>
      </c>
      <c r="I1068" s="43">
        <v>46082</v>
      </c>
      <c r="J1068" t="s">
        <v>464</v>
      </c>
      <c r="K1068" t="str">
        <f>IFERROR(+VLOOKUP(Movimientos_2026[[#This Row],[Codigo]],Plan_cuentas[],6,FALSE)," ")</f>
        <v>2 - PR - Plan Rombo</v>
      </c>
      <c r="L1068" s="50">
        <v>4550852.8600000003</v>
      </c>
      <c r="M1068" s="50"/>
      <c r="N1068" s="20">
        <f>+Movimientos_2026[[#This Row],[Ingresos]]-Movimientos_2026[[#This Row],[Egresos]]</f>
        <v>4550852.8600000003</v>
      </c>
      <c r="O1068" s="20">
        <f>+O1067+Movimientos_2026[[#This Row],[Neto]]</f>
        <v>3160484517.6610732</v>
      </c>
    </row>
    <row r="1069" spans="1:15" x14ac:dyDescent="0.25">
      <c r="A1069" s="13">
        <v>46118</v>
      </c>
      <c r="B1069" s="12">
        <f>MONTH(Movimientos_2026[[#This Row],[Fecha]])</f>
        <v>4</v>
      </c>
      <c r="C1069" s="12" t="str">
        <f>VLOOKUP((WEEKDAY(Movimientos_2026[[#This Row],[Fecha]],2)),'5. Setup'!$D$6:$E$12,2,FALSE)</f>
        <v>Lun</v>
      </c>
      <c r="D1069">
        <v>1043154</v>
      </c>
      <c r="E1069" t="str">
        <f>IFERROR(+VLOOKUP(Movimientos_2026[[#This Row],[Codigo]],Plan_cuentas[],2,FALSE)," ")</f>
        <v>INGRESOS</v>
      </c>
      <c r="F1069" t="str">
        <f>IFERROR(+VLOOKUP(Movimientos_2026[[#This Row],[Codigo]],Plan_cuentas[],3,FALSE)," ")</f>
        <v>Transferencia</v>
      </c>
      <c r="G1069" t="str">
        <f>IFERROR(+VLOOKUP(Movimientos_2026[[#This Row],[Codigo]],Plan_cuentas[],4,FALSE)," ")</f>
        <v>Registración</v>
      </c>
      <c r="H1069" t="str">
        <f>IFERROR(+VLOOKUP(Movimientos_2026[[#This Row],[Codigo]],Plan_cuentas[],5,FALSE)," ")</f>
        <v>CABA</v>
      </c>
      <c r="I1069" s="43">
        <v>46082</v>
      </c>
      <c r="J1069" t="s">
        <v>465</v>
      </c>
      <c r="K1069" t="str">
        <f>IFERROR(+VLOOKUP(Movimientos_2026[[#This Row],[Codigo]],Plan_cuentas[],6,FALSE)," ")</f>
        <v>4 - FCA - Fiat</v>
      </c>
      <c r="L1069" s="50">
        <v>493576864.24000001</v>
      </c>
      <c r="M1069" s="50"/>
      <c r="N1069" s="20">
        <f>+Movimientos_2026[[#This Row],[Ingresos]]-Movimientos_2026[[#This Row],[Egresos]]</f>
        <v>493576864.24000001</v>
      </c>
      <c r="O1069" s="20">
        <f>+O1068+Movimientos_2026[[#This Row],[Neto]]</f>
        <v>3654061381.9010735</v>
      </c>
    </row>
    <row r="1070" spans="1:15" x14ac:dyDescent="0.25">
      <c r="A1070" s="13">
        <v>46118</v>
      </c>
      <c r="B1070" s="12">
        <f>MONTH(Movimientos_2026[[#This Row],[Fecha]])</f>
        <v>4</v>
      </c>
      <c r="C1070" s="12" t="str">
        <f>VLOOKUP((WEEKDAY(Movimientos_2026[[#This Row],[Fecha]],2)),'5. Setup'!$D$6:$E$12,2,FALSE)</f>
        <v>Lun</v>
      </c>
      <c r="D1070">
        <v>1043394</v>
      </c>
      <c r="E1070" t="str">
        <f>IFERROR(+VLOOKUP(Movimientos_2026[[#This Row],[Codigo]],Plan_cuentas[],2,FALSE)," ")</f>
        <v>INGRESOS</v>
      </c>
      <c r="F1070" t="str">
        <f>IFERROR(+VLOOKUP(Movimientos_2026[[#This Row],[Codigo]],Plan_cuentas[],3,FALSE)," ")</f>
        <v>Transferencia</v>
      </c>
      <c r="G1070" t="str">
        <f>IFERROR(+VLOOKUP(Movimientos_2026[[#This Row],[Codigo]],Plan_cuentas[],4,FALSE)," ")</f>
        <v>Registración</v>
      </c>
      <c r="H1070" t="str">
        <f>IFERROR(+VLOOKUP(Movimientos_2026[[#This Row],[Codigo]],Plan_cuentas[],5,FALSE)," ")</f>
        <v>SANTA FE 2° Q</v>
      </c>
      <c r="I1070" s="43">
        <v>46082</v>
      </c>
      <c r="J1070" t="s">
        <v>465</v>
      </c>
      <c r="K1070" t="str">
        <f>IFERROR(+VLOOKUP(Movimientos_2026[[#This Row],[Codigo]],Plan_cuentas[],6,FALSE)," ")</f>
        <v>4 - FCA - Fiat</v>
      </c>
      <c r="L1070" s="50">
        <v>87408218.859999999</v>
      </c>
      <c r="M1070" s="50"/>
      <c r="N1070" s="20">
        <f>+Movimientos_2026[[#This Row],[Ingresos]]-Movimientos_2026[[#This Row],[Egresos]]</f>
        <v>87408218.859999999</v>
      </c>
      <c r="O1070" s="20">
        <f>+O1069+Movimientos_2026[[#This Row],[Neto]]</f>
        <v>3741469600.7610736</v>
      </c>
    </row>
    <row r="1071" spans="1:15" x14ac:dyDescent="0.25">
      <c r="A1071" s="13">
        <v>46118</v>
      </c>
      <c r="B1071" s="12">
        <f>MONTH(Movimientos_2026[[#This Row],[Fecha]])</f>
        <v>4</v>
      </c>
      <c r="C1071" s="12" t="str">
        <f>VLOOKUP((WEEKDAY(Movimientos_2026[[#This Row],[Fecha]],2)),'5. Setup'!$D$6:$E$12,2,FALSE)</f>
        <v>Lun</v>
      </c>
      <c r="D1071">
        <v>1044174</v>
      </c>
      <c r="E1071" t="str">
        <f>IFERROR(+VLOOKUP(Movimientos_2026[[#This Row],[Codigo]],Plan_cuentas[],2,FALSE)," ")</f>
        <v>INGRESOS</v>
      </c>
      <c r="F1071" t="str">
        <f>IFERROR(+VLOOKUP(Movimientos_2026[[#This Row],[Codigo]],Plan_cuentas[],3,FALSE)," ")</f>
        <v>Transferencia</v>
      </c>
      <c r="G1071" t="str">
        <f>IFERROR(+VLOOKUP(Movimientos_2026[[#This Row],[Codigo]],Plan_cuentas[],4,FALSE)," ")</f>
        <v>Rentas</v>
      </c>
      <c r="H1071" t="str">
        <f>IFERROR(+VLOOKUP(Movimientos_2026[[#This Row],[Codigo]],Plan_cuentas[],5,FALSE)," ")</f>
        <v>CHUBUT</v>
      </c>
      <c r="I1071" s="43">
        <v>46082</v>
      </c>
      <c r="J1071" t="s">
        <v>465</v>
      </c>
      <c r="K1071" t="str">
        <f>IFERROR(+VLOOKUP(Movimientos_2026[[#This Row],[Codigo]],Plan_cuentas[],6,FALSE)," ")</f>
        <v>4 - FCA - Fiat</v>
      </c>
      <c r="L1071" s="50">
        <v>15705900</v>
      </c>
      <c r="M1071" s="50"/>
      <c r="N1071" s="20">
        <f>+Movimientos_2026[[#This Row],[Ingresos]]-Movimientos_2026[[#This Row],[Egresos]]</f>
        <v>15705900</v>
      </c>
      <c r="O1071" s="20">
        <f>+O1070+Movimientos_2026[[#This Row],[Neto]]</f>
        <v>3757175500.7610736</v>
      </c>
    </row>
    <row r="1072" spans="1:15" x14ac:dyDescent="0.25">
      <c r="A1072" s="13">
        <v>46118</v>
      </c>
      <c r="B1072" s="12">
        <f>MONTH(Movimientos_2026[[#This Row],[Fecha]])</f>
        <v>4</v>
      </c>
      <c r="C1072" s="12" t="str">
        <f>VLOOKUP((WEEKDAY(Movimientos_2026[[#This Row],[Fecha]],2)),'5. Setup'!$D$6:$E$12,2,FALSE)</f>
        <v>Lun</v>
      </c>
      <c r="D1072">
        <v>1044196</v>
      </c>
      <c r="E1072" t="str">
        <f>IFERROR(+VLOOKUP(Movimientos_2026[[#This Row],[Codigo]],Plan_cuentas[],2,FALSE)," ")</f>
        <v>INGRESOS</v>
      </c>
      <c r="F1072" t="str">
        <f>IFERROR(+VLOOKUP(Movimientos_2026[[#This Row],[Codigo]],Plan_cuentas[],3,FALSE)," ")</f>
        <v>Transferencia</v>
      </c>
      <c r="G1072" t="str">
        <f>IFERROR(+VLOOKUP(Movimientos_2026[[#This Row],[Codigo]],Plan_cuentas[],4,FALSE)," ")</f>
        <v>Rentas</v>
      </c>
      <c r="H1072" t="str">
        <f>IFERROR(+VLOOKUP(Movimientos_2026[[#This Row],[Codigo]],Plan_cuentas[],5,FALSE)," ")</f>
        <v>CORDOBA 2° Q</v>
      </c>
      <c r="I1072" s="43">
        <v>46082</v>
      </c>
      <c r="J1072" t="s">
        <v>465</v>
      </c>
      <c r="K1072" t="str">
        <f>IFERROR(+VLOOKUP(Movimientos_2026[[#This Row],[Codigo]],Plan_cuentas[],6,FALSE)," ")</f>
        <v>6 - FCAtr - Fiat Transf.</v>
      </c>
      <c r="L1072" s="50">
        <v>18778545.9799999</v>
      </c>
      <c r="M1072" s="50"/>
      <c r="N1072" s="20">
        <f>+Movimientos_2026[[#This Row],[Ingresos]]-Movimientos_2026[[#This Row],[Egresos]]</f>
        <v>18778545.9799999</v>
      </c>
      <c r="O1072" s="20">
        <f>+O1071+Movimientos_2026[[#This Row],[Neto]]</f>
        <v>3775954046.7410736</v>
      </c>
    </row>
    <row r="1073" spans="1:15" x14ac:dyDescent="0.25">
      <c r="A1073" s="13">
        <v>46118</v>
      </c>
      <c r="B1073" s="12">
        <f>MONTH(Movimientos_2026[[#This Row],[Fecha]])</f>
        <v>4</v>
      </c>
      <c r="C1073" s="12" t="str">
        <f>VLOOKUP((WEEKDAY(Movimientos_2026[[#This Row],[Fecha]],2)),'5. Setup'!$D$6:$E$12,2,FALSE)</f>
        <v>Lun</v>
      </c>
      <c r="D1073">
        <v>1044214</v>
      </c>
      <c r="E1073" t="str">
        <f>IFERROR(+VLOOKUP(Movimientos_2026[[#This Row],[Codigo]],Plan_cuentas[],2,FALSE)," ")</f>
        <v>INGRESOS</v>
      </c>
      <c r="F1073" t="str">
        <f>IFERROR(+VLOOKUP(Movimientos_2026[[#This Row],[Codigo]],Plan_cuentas[],3,FALSE)," ")</f>
        <v>Transferencia</v>
      </c>
      <c r="G1073" t="str">
        <f>IFERROR(+VLOOKUP(Movimientos_2026[[#This Row],[Codigo]],Plan_cuentas[],4,FALSE)," ")</f>
        <v>Rentas</v>
      </c>
      <c r="H1073" t="str">
        <f>IFERROR(+VLOOKUP(Movimientos_2026[[#This Row],[Codigo]],Plan_cuentas[],5,FALSE)," ")</f>
        <v>CORRIENTES 2° Q</v>
      </c>
      <c r="I1073" s="43">
        <v>46082</v>
      </c>
      <c r="J1073" t="s">
        <v>465</v>
      </c>
      <c r="K1073" t="str">
        <f>IFERROR(+VLOOKUP(Movimientos_2026[[#This Row],[Codigo]],Plan_cuentas[],6,FALSE)," ")</f>
        <v>4 - FCA - Fiat</v>
      </c>
      <c r="L1073" s="50">
        <v>4675823.47</v>
      </c>
      <c r="M1073" s="50"/>
      <c r="N1073" s="20">
        <f>+Movimientos_2026[[#This Row],[Ingresos]]-Movimientos_2026[[#This Row],[Egresos]]</f>
        <v>4675823.47</v>
      </c>
      <c r="O1073" s="20">
        <f>+O1072+Movimientos_2026[[#This Row],[Neto]]</f>
        <v>3780629870.2110734</v>
      </c>
    </row>
    <row r="1074" spans="1:15" x14ac:dyDescent="0.25">
      <c r="A1074" s="13">
        <v>46118</v>
      </c>
      <c r="B1074" s="12">
        <f>MONTH(Movimientos_2026[[#This Row],[Fecha]])</f>
        <v>4</v>
      </c>
      <c r="C1074" s="12" t="str">
        <f>VLOOKUP((WEEKDAY(Movimientos_2026[[#This Row],[Fecha]],2)),'5. Setup'!$D$6:$E$12,2,FALSE)</f>
        <v>Lun</v>
      </c>
      <c r="D1074">
        <v>1044234</v>
      </c>
      <c r="E1074" t="str">
        <f>IFERROR(+VLOOKUP(Movimientos_2026[[#This Row],[Codigo]],Plan_cuentas[],2,FALSE)," ")</f>
        <v>INGRESOS</v>
      </c>
      <c r="F1074" t="str">
        <f>IFERROR(+VLOOKUP(Movimientos_2026[[#This Row],[Codigo]],Plan_cuentas[],3,FALSE)," ")</f>
        <v>Transferencia</v>
      </c>
      <c r="G1074" t="str">
        <f>IFERROR(+VLOOKUP(Movimientos_2026[[#This Row],[Codigo]],Plan_cuentas[],4,FALSE)," ")</f>
        <v>Rentas</v>
      </c>
      <c r="H1074" t="str">
        <f>IFERROR(+VLOOKUP(Movimientos_2026[[#This Row],[Codigo]],Plan_cuentas[],5,FALSE)," ")</f>
        <v>ENTRE RIOS 2° Q</v>
      </c>
      <c r="I1074" s="43">
        <v>46082</v>
      </c>
      <c r="J1074" t="s">
        <v>465</v>
      </c>
      <c r="K1074" t="str">
        <f>IFERROR(+VLOOKUP(Movimientos_2026[[#This Row],[Codigo]],Plan_cuentas[],6,FALSE)," ")</f>
        <v>4 - FCA - Fiat</v>
      </c>
      <c r="L1074" s="50">
        <v>22027223.25</v>
      </c>
      <c r="M1074" s="50"/>
      <c r="N1074" s="20">
        <f>+Movimientos_2026[[#This Row],[Ingresos]]-Movimientos_2026[[#This Row],[Egresos]]</f>
        <v>22027223.25</v>
      </c>
      <c r="O1074" s="20">
        <f>+O1073+Movimientos_2026[[#This Row],[Neto]]</f>
        <v>3802657093.4610734</v>
      </c>
    </row>
    <row r="1075" spans="1:15" x14ac:dyDescent="0.25">
      <c r="A1075" s="13">
        <v>46118</v>
      </c>
      <c r="B1075" s="12">
        <f>MONTH(Movimientos_2026[[#This Row],[Fecha]])</f>
        <v>4</v>
      </c>
      <c r="C1075" s="12" t="str">
        <f>VLOOKUP((WEEKDAY(Movimientos_2026[[#This Row],[Fecha]],2)),'5. Setup'!$D$6:$E$12,2,FALSE)</f>
        <v>Lun</v>
      </c>
      <c r="D1075">
        <v>1044244</v>
      </c>
      <c r="E1075" t="str">
        <f>IFERROR(+VLOOKUP(Movimientos_2026[[#This Row],[Codigo]],Plan_cuentas[],2,FALSE)," ")</f>
        <v>INGRESOS</v>
      </c>
      <c r="F1075" t="str">
        <f>IFERROR(+VLOOKUP(Movimientos_2026[[#This Row],[Codigo]],Plan_cuentas[],3,FALSE)," ")</f>
        <v>Transferencia</v>
      </c>
      <c r="G1075" t="str">
        <f>IFERROR(+VLOOKUP(Movimientos_2026[[#This Row],[Codigo]],Plan_cuentas[],4,FALSE)," ")</f>
        <v>Rentas</v>
      </c>
      <c r="H1075" t="str">
        <f>IFERROR(+VLOOKUP(Movimientos_2026[[#This Row],[Codigo]],Plan_cuentas[],5,FALSE)," ")</f>
        <v>FORMOSA</v>
      </c>
      <c r="I1075" s="43">
        <v>46082</v>
      </c>
      <c r="J1075" t="s">
        <v>465</v>
      </c>
      <c r="K1075" t="str">
        <f>IFERROR(+VLOOKUP(Movimientos_2026[[#This Row],[Codigo]],Plan_cuentas[],6,FALSE)," ")</f>
        <v>4 - FCA - Fiat</v>
      </c>
      <c r="L1075" s="50">
        <v>12503467.810000001</v>
      </c>
      <c r="M1075" s="50"/>
      <c r="N1075" s="20">
        <f>+Movimientos_2026[[#This Row],[Ingresos]]-Movimientos_2026[[#This Row],[Egresos]]</f>
        <v>12503467.810000001</v>
      </c>
      <c r="O1075" s="20">
        <f>+O1074+Movimientos_2026[[#This Row],[Neto]]</f>
        <v>3815160561.2710733</v>
      </c>
    </row>
    <row r="1076" spans="1:15" x14ac:dyDescent="0.25">
      <c r="A1076" s="13">
        <v>46118</v>
      </c>
      <c r="B1076" s="12">
        <f>MONTH(Movimientos_2026[[#This Row],[Fecha]])</f>
        <v>4</v>
      </c>
      <c r="C1076" s="12" t="str">
        <f>VLOOKUP((WEEKDAY(Movimientos_2026[[#This Row],[Fecha]],2)),'5. Setup'!$D$6:$E$12,2,FALSE)</f>
        <v>Lun</v>
      </c>
      <c r="D1076">
        <v>1044264</v>
      </c>
      <c r="E1076" t="str">
        <f>IFERROR(+VLOOKUP(Movimientos_2026[[#This Row],[Codigo]],Plan_cuentas[],2,FALSE)," ")</f>
        <v>INGRESOS</v>
      </c>
      <c r="F1076" t="str">
        <f>IFERROR(+VLOOKUP(Movimientos_2026[[#This Row],[Codigo]],Plan_cuentas[],3,FALSE)," ")</f>
        <v>Transferencia</v>
      </c>
      <c r="G1076" t="str">
        <f>IFERROR(+VLOOKUP(Movimientos_2026[[#This Row],[Codigo]],Plan_cuentas[],4,FALSE)," ")</f>
        <v>Rentas</v>
      </c>
      <c r="H1076" t="str">
        <f>IFERROR(+VLOOKUP(Movimientos_2026[[#This Row],[Codigo]],Plan_cuentas[],5,FALSE)," ")</f>
        <v>LA PAMPA</v>
      </c>
      <c r="I1076" s="43">
        <v>46082</v>
      </c>
      <c r="J1076" t="s">
        <v>465</v>
      </c>
      <c r="K1076" t="str">
        <f>IFERROR(+VLOOKUP(Movimientos_2026[[#This Row],[Codigo]],Plan_cuentas[],6,FALSE)," ")</f>
        <v>4 - FCA - Fiat</v>
      </c>
      <c r="L1076" s="50">
        <v>6267400</v>
      </c>
      <c r="M1076" s="50"/>
      <c r="N1076" s="20">
        <f>+Movimientos_2026[[#This Row],[Ingresos]]-Movimientos_2026[[#This Row],[Egresos]]</f>
        <v>6267400</v>
      </c>
      <c r="O1076" s="20">
        <f>+O1075+Movimientos_2026[[#This Row],[Neto]]</f>
        <v>3821427961.2710733</v>
      </c>
    </row>
    <row r="1077" spans="1:15" x14ac:dyDescent="0.25">
      <c r="A1077" s="13">
        <v>46118</v>
      </c>
      <c r="B1077" s="12">
        <f>MONTH(Movimientos_2026[[#This Row],[Fecha]])</f>
        <v>4</v>
      </c>
      <c r="C1077" s="12" t="str">
        <f>VLOOKUP((WEEKDAY(Movimientos_2026[[#This Row],[Fecha]],2)),'5. Setup'!$D$6:$E$12,2,FALSE)</f>
        <v>Lun</v>
      </c>
      <c r="D1077">
        <v>1044266</v>
      </c>
      <c r="E1077" t="str">
        <f>IFERROR(+VLOOKUP(Movimientos_2026[[#This Row],[Codigo]],Plan_cuentas[],2,FALSE)," ")</f>
        <v>INGRESOS</v>
      </c>
      <c r="F1077" t="str">
        <f>IFERROR(+VLOOKUP(Movimientos_2026[[#This Row],[Codigo]],Plan_cuentas[],3,FALSE)," ")</f>
        <v>Transferencia</v>
      </c>
      <c r="G1077" t="str">
        <f>IFERROR(+VLOOKUP(Movimientos_2026[[#This Row],[Codigo]],Plan_cuentas[],4,FALSE)," ")</f>
        <v>Rentas</v>
      </c>
      <c r="H1077" t="str">
        <f>IFERROR(+VLOOKUP(Movimientos_2026[[#This Row],[Codigo]],Plan_cuentas[],5,FALSE)," ")</f>
        <v>LA PAMPA</v>
      </c>
      <c r="I1077" s="43">
        <v>46082</v>
      </c>
      <c r="J1077" t="s">
        <v>465</v>
      </c>
      <c r="K1077" t="str">
        <f>IFERROR(+VLOOKUP(Movimientos_2026[[#This Row],[Codigo]],Plan_cuentas[],6,FALSE)," ")</f>
        <v>6 - FCAtr - Fiat Transf.</v>
      </c>
      <c r="L1077" s="50">
        <v>378982.74</v>
      </c>
      <c r="M1077" s="50"/>
      <c r="N1077" s="20">
        <f>+Movimientos_2026[[#This Row],[Ingresos]]-Movimientos_2026[[#This Row],[Egresos]]</f>
        <v>378982.74</v>
      </c>
      <c r="O1077" s="20">
        <f>+O1076+Movimientos_2026[[#This Row],[Neto]]</f>
        <v>3821806944.0110731</v>
      </c>
    </row>
    <row r="1078" spans="1:15" x14ac:dyDescent="0.25">
      <c r="A1078" s="13">
        <v>46118</v>
      </c>
      <c r="B1078" s="12">
        <f>MONTH(Movimientos_2026[[#This Row],[Fecha]])</f>
        <v>4</v>
      </c>
      <c r="C1078" s="12" t="str">
        <f>VLOOKUP((WEEKDAY(Movimientos_2026[[#This Row],[Fecha]],2)),'5. Setup'!$D$6:$E$12,2,FALSE)</f>
        <v>Lun</v>
      </c>
      <c r="D1078">
        <v>1044264</v>
      </c>
      <c r="E1078" t="str">
        <f>IFERROR(+VLOOKUP(Movimientos_2026[[#This Row],[Codigo]],Plan_cuentas[],2,FALSE)," ")</f>
        <v>INGRESOS</v>
      </c>
      <c r="F1078" t="str">
        <f>IFERROR(+VLOOKUP(Movimientos_2026[[#This Row],[Codigo]],Plan_cuentas[],3,FALSE)," ")</f>
        <v>Transferencia</v>
      </c>
      <c r="G1078" t="str">
        <f>IFERROR(+VLOOKUP(Movimientos_2026[[#This Row],[Codigo]],Plan_cuentas[],4,FALSE)," ")</f>
        <v>Rentas</v>
      </c>
      <c r="H1078" t="str">
        <f>IFERROR(+VLOOKUP(Movimientos_2026[[#This Row],[Codigo]],Plan_cuentas[],5,FALSE)," ")</f>
        <v>LA PAMPA</v>
      </c>
      <c r="I1078" s="43">
        <v>46082</v>
      </c>
      <c r="J1078" t="s">
        <v>465</v>
      </c>
      <c r="K1078" t="str">
        <f>IFERROR(+VLOOKUP(Movimientos_2026[[#This Row],[Codigo]],Plan_cuentas[],6,FALSE)," ")</f>
        <v>4 - FCA - Fiat</v>
      </c>
      <c r="L1078" s="50">
        <v>3534605.73</v>
      </c>
      <c r="M1078" s="50"/>
      <c r="N1078" s="20">
        <f>+Movimientos_2026[[#This Row],[Ingresos]]-Movimientos_2026[[#This Row],[Egresos]]</f>
        <v>3534605.73</v>
      </c>
      <c r="O1078" s="20">
        <f>+O1077+Movimientos_2026[[#This Row],[Neto]]</f>
        <v>3825341549.7410731</v>
      </c>
    </row>
    <row r="1079" spans="1:15" x14ac:dyDescent="0.25">
      <c r="A1079" s="13">
        <v>46118</v>
      </c>
      <c r="B1079" s="12">
        <f>MONTH(Movimientos_2026[[#This Row],[Fecha]])</f>
        <v>4</v>
      </c>
      <c r="C1079" s="12" t="str">
        <f>VLOOKUP((WEEKDAY(Movimientos_2026[[#This Row],[Fecha]],2)),'5. Setup'!$D$6:$E$12,2,FALSE)</f>
        <v>Lun</v>
      </c>
      <c r="D1079">
        <v>1044274</v>
      </c>
      <c r="E1079" t="str">
        <f>IFERROR(+VLOOKUP(Movimientos_2026[[#This Row],[Codigo]],Plan_cuentas[],2,FALSE)," ")</f>
        <v>INGRESOS</v>
      </c>
      <c r="F1079" t="str">
        <f>IFERROR(+VLOOKUP(Movimientos_2026[[#This Row],[Codigo]],Plan_cuentas[],3,FALSE)," ")</f>
        <v>Transferencia</v>
      </c>
      <c r="G1079" t="str">
        <f>IFERROR(+VLOOKUP(Movimientos_2026[[#This Row],[Codigo]],Plan_cuentas[],4,FALSE)," ")</f>
        <v>Rentas</v>
      </c>
      <c r="H1079" t="str">
        <f>IFERROR(+VLOOKUP(Movimientos_2026[[#This Row],[Codigo]],Plan_cuentas[],5,FALSE)," ")</f>
        <v>LA RIOJA</v>
      </c>
      <c r="I1079" s="43">
        <v>46082</v>
      </c>
      <c r="J1079" t="s">
        <v>465</v>
      </c>
      <c r="K1079" t="str">
        <f>IFERROR(+VLOOKUP(Movimientos_2026[[#This Row],[Codigo]],Plan_cuentas[],6,FALSE)," ")</f>
        <v>4 - FCA - Fiat</v>
      </c>
      <c r="L1079" s="50">
        <v>8732336.0299999993</v>
      </c>
      <c r="M1079" s="50"/>
      <c r="N1079" s="20">
        <f>+Movimientos_2026[[#This Row],[Ingresos]]-Movimientos_2026[[#This Row],[Egresos]]</f>
        <v>8732336.0299999993</v>
      </c>
      <c r="O1079" s="20">
        <f>+O1078+Movimientos_2026[[#This Row],[Neto]]</f>
        <v>3834073885.7710733</v>
      </c>
    </row>
    <row r="1080" spans="1:15" x14ac:dyDescent="0.25">
      <c r="A1080" s="13">
        <v>46118</v>
      </c>
      <c r="B1080" s="12">
        <f>MONTH(Movimientos_2026[[#This Row],[Fecha]])</f>
        <v>4</v>
      </c>
      <c r="C1080" s="12" t="str">
        <f>VLOOKUP((WEEKDAY(Movimientos_2026[[#This Row],[Fecha]],2)),'5. Setup'!$D$6:$E$12,2,FALSE)</f>
        <v>Lun</v>
      </c>
      <c r="D1080">
        <v>1044284</v>
      </c>
      <c r="E1080" t="str">
        <f>IFERROR(+VLOOKUP(Movimientos_2026[[#This Row],[Codigo]],Plan_cuentas[],2,FALSE)," ")</f>
        <v>INGRESOS</v>
      </c>
      <c r="F1080" t="str">
        <f>IFERROR(+VLOOKUP(Movimientos_2026[[#This Row],[Codigo]],Plan_cuentas[],3,FALSE)," ")</f>
        <v>Transferencia</v>
      </c>
      <c r="G1080" t="str">
        <f>IFERROR(+VLOOKUP(Movimientos_2026[[#This Row],[Codigo]],Plan_cuentas[],4,FALSE)," ")</f>
        <v>Rentas</v>
      </c>
      <c r="H1080" t="str">
        <f>IFERROR(+VLOOKUP(Movimientos_2026[[#This Row],[Codigo]],Plan_cuentas[],5,FALSE)," ")</f>
        <v>MENDOZA</v>
      </c>
      <c r="I1080" s="43">
        <v>46082</v>
      </c>
      <c r="J1080" t="s">
        <v>465</v>
      </c>
      <c r="K1080" t="str">
        <f>IFERROR(+VLOOKUP(Movimientos_2026[[#This Row],[Codigo]],Plan_cuentas[],6,FALSE)," ")</f>
        <v>4 - FCA - Fiat</v>
      </c>
      <c r="L1080" s="50">
        <v>152858200</v>
      </c>
      <c r="M1080" s="52"/>
      <c r="N1080" s="20">
        <f>+Movimientos_2026[[#This Row],[Ingresos]]-Movimientos_2026[[#This Row],[Egresos]]</f>
        <v>152858200</v>
      </c>
      <c r="O1080" s="20">
        <f>+O1079+Movimientos_2026[[#This Row],[Neto]]</f>
        <v>3986932085.7710733</v>
      </c>
    </row>
    <row r="1081" spans="1:15" x14ac:dyDescent="0.25">
      <c r="A1081" s="13">
        <v>46118</v>
      </c>
      <c r="B1081" s="12">
        <f>MONTH(Movimientos_2026[[#This Row],[Fecha]])</f>
        <v>4</v>
      </c>
      <c r="C1081" s="12" t="str">
        <f>VLOOKUP((WEEKDAY(Movimientos_2026[[#This Row],[Fecha]],2)),'5. Setup'!$D$6:$E$12,2,FALSE)</f>
        <v>Lun</v>
      </c>
      <c r="D1081">
        <v>1044286</v>
      </c>
      <c r="E1081" t="str">
        <f>IFERROR(+VLOOKUP(Movimientos_2026[[#This Row],[Codigo]],Plan_cuentas[],2,FALSE)," ")</f>
        <v>INGRESOS</v>
      </c>
      <c r="F1081" t="str">
        <f>IFERROR(+VLOOKUP(Movimientos_2026[[#This Row],[Codigo]],Plan_cuentas[],3,FALSE)," ")</f>
        <v>Transferencia</v>
      </c>
      <c r="G1081" t="str">
        <f>IFERROR(+VLOOKUP(Movimientos_2026[[#This Row],[Codigo]],Plan_cuentas[],4,FALSE)," ")</f>
        <v>Rentas</v>
      </c>
      <c r="H1081" t="str">
        <f>IFERROR(+VLOOKUP(Movimientos_2026[[#This Row],[Codigo]],Plan_cuentas[],5,FALSE)," ")</f>
        <v>MENDOZA</v>
      </c>
      <c r="I1081" s="43">
        <v>46082</v>
      </c>
      <c r="J1081" t="s">
        <v>465</v>
      </c>
      <c r="K1081" t="str">
        <f>IFERROR(+VLOOKUP(Movimientos_2026[[#This Row],[Codigo]],Plan_cuentas[],6,FALSE)," ")</f>
        <v>6 - FCAtr - Fiat Transf.</v>
      </c>
      <c r="L1081" s="50">
        <v>2979768.649999998</v>
      </c>
      <c r="M1081" s="52"/>
      <c r="N1081" s="20">
        <f>+Movimientos_2026[[#This Row],[Ingresos]]-Movimientos_2026[[#This Row],[Egresos]]</f>
        <v>2979768.649999998</v>
      </c>
      <c r="O1081" s="20">
        <f>+O1080+Movimientos_2026[[#This Row],[Neto]]</f>
        <v>3989911854.4210734</v>
      </c>
    </row>
    <row r="1082" spans="1:15" x14ac:dyDescent="0.25">
      <c r="A1082" s="13">
        <v>46118</v>
      </c>
      <c r="B1082" s="12">
        <f>MONTH(Movimientos_2026[[#This Row],[Fecha]])</f>
        <v>4</v>
      </c>
      <c r="C1082" s="12" t="str">
        <f>VLOOKUP((WEEKDAY(Movimientos_2026[[#This Row],[Fecha]],2)),'5. Setup'!$D$6:$E$12,2,FALSE)</f>
        <v>Lun</v>
      </c>
      <c r="D1082">
        <v>1044464</v>
      </c>
      <c r="E1082" t="str">
        <f>IFERROR(+VLOOKUP(Movimientos_2026[[#This Row],[Codigo]],Plan_cuentas[],2,FALSE)," ")</f>
        <v>INGRESOS</v>
      </c>
      <c r="F1082" t="str">
        <f>IFERROR(+VLOOKUP(Movimientos_2026[[#This Row],[Codigo]],Plan_cuentas[],3,FALSE)," ")</f>
        <v>Transferencia</v>
      </c>
      <c r="G1082" t="str">
        <f>IFERROR(+VLOOKUP(Movimientos_2026[[#This Row],[Codigo]],Plan_cuentas[],4,FALSE)," ")</f>
        <v>Rentas</v>
      </c>
      <c r="H1082" t="str">
        <f>IFERROR(+VLOOKUP(Movimientos_2026[[#This Row],[Codigo]],Plan_cuentas[],5,FALSE)," ")</f>
        <v>MISIONES</v>
      </c>
      <c r="I1082" s="43">
        <v>46082</v>
      </c>
      <c r="J1082" t="s">
        <v>465</v>
      </c>
      <c r="K1082" t="str">
        <f>IFERROR(+VLOOKUP(Movimientos_2026[[#This Row],[Codigo]],Plan_cuentas[],6,FALSE)," ")</f>
        <v>4 - FCA - Fiat</v>
      </c>
      <c r="L1082" s="50">
        <v>7662359.0099999998</v>
      </c>
      <c r="M1082" s="52"/>
      <c r="N1082" s="20">
        <f>+Movimientos_2026[[#This Row],[Ingresos]]-Movimientos_2026[[#This Row],[Egresos]]</f>
        <v>7662359.0099999998</v>
      </c>
      <c r="O1082" s="20">
        <f>+O1081+Movimientos_2026[[#This Row],[Neto]]</f>
        <v>3997574213.4310737</v>
      </c>
    </row>
    <row r="1083" spans="1:15" x14ac:dyDescent="0.25">
      <c r="A1083" s="13">
        <v>46118</v>
      </c>
      <c r="B1083" s="12">
        <f>MONTH(Movimientos_2026[[#This Row],[Fecha]])</f>
        <v>4</v>
      </c>
      <c r="C1083" s="12" t="str">
        <f>VLOOKUP((WEEKDAY(Movimientos_2026[[#This Row],[Fecha]],2)),'5. Setup'!$D$6:$E$12,2,FALSE)</f>
        <v>Lun</v>
      </c>
      <c r="D1083">
        <v>1044324</v>
      </c>
      <c r="E1083" t="str">
        <f>IFERROR(+VLOOKUP(Movimientos_2026[[#This Row],[Codigo]],Plan_cuentas[],2,FALSE)," ")</f>
        <v>INGRESOS</v>
      </c>
      <c r="F1083" t="str">
        <f>IFERROR(+VLOOKUP(Movimientos_2026[[#This Row],[Codigo]],Plan_cuentas[],3,FALSE)," ")</f>
        <v>Transferencia</v>
      </c>
      <c r="G1083" t="str">
        <f>IFERROR(+VLOOKUP(Movimientos_2026[[#This Row],[Codigo]],Plan_cuentas[],4,FALSE)," ")</f>
        <v>Rentas</v>
      </c>
      <c r="H1083" t="str">
        <f>IFERROR(+VLOOKUP(Movimientos_2026[[#This Row],[Codigo]],Plan_cuentas[],5,FALSE)," ")</f>
        <v>NEUQUEN 2° Q</v>
      </c>
      <c r="I1083" s="43">
        <v>46082</v>
      </c>
      <c r="J1083" t="s">
        <v>465</v>
      </c>
      <c r="K1083" t="str">
        <f>IFERROR(+VLOOKUP(Movimientos_2026[[#This Row],[Codigo]],Plan_cuentas[],6,FALSE)," ")</f>
        <v>4 - FCA - Fiat</v>
      </c>
      <c r="L1083" s="50">
        <v>56962440</v>
      </c>
      <c r="M1083" s="52"/>
      <c r="N1083" s="20">
        <f>+Movimientos_2026[[#This Row],[Ingresos]]-Movimientos_2026[[#This Row],[Egresos]]</f>
        <v>56962440</v>
      </c>
      <c r="O1083" s="20">
        <f>+O1082+Movimientos_2026[[#This Row],[Neto]]</f>
        <v>4054536653.4310737</v>
      </c>
    </row>
    <row r="1084" spans="1:15" x14ac:dyDescent="0.25">
      <c r="A1084" s="13">
        <v>46118</v>
      </c>
      <c r="B1084" s="12">
        <f>MONTH(Movimientos_2026[[#This Row],[Fecha]])</f>
        <v>4</v>
      </c>
      <c r="C1084" s="12" t="str">
        <f>VLOOKUP((WEEKDAY(Movimientos_2026[[#This Row],[Fecha]],2)),'5. Setup'!$D$6:$E$12,2,FALSE)</f>
        <v>Lun</v>
      </c>
      <c r="D1084">
        <v>1044326</v>
      </c>
      <c r="E1084" t="str">
        <f>IFERROR(+VLOOKUP(Movimientos_2026[[#This Row],[Codigo]],Plan_cuentas[],2,FALSE)," ")</f>
        <v>INGRESOS</v>
      </c>
      <c r="F1084" t="str">
        <f>IFERROR(+VLOOKUP(Movimientos_2026[[#This Row],[Codigo]],Plan_cuentas[],3,FALSE)," ")</f>
        <v>Transferencia</v>
      </c>
      <c r="G1084" t="str">
        <f>IFERROR(+VLOOKUP(Movimientos_2026[[#This Row],[Codigo]],Plan_cuentas[],4,FALSE)," ")</f>
        <v>Rentas</v>
      </c>
      <c r="H1084" t="str">
        <f>IFERROR(+VLOOKUP(Movimientos_2026[[#This Row],[Codigo]],Plan_cuentas[],5,FALSE)," ")</f>
        <v>NEUQUEN 2° Q</v>
      </c>
      <c r="I1084" s="43">
        <v>46082</v>
      </c>
      <c r="J1084" t="s">
        <v>465</v>
      </c>
      <c r="K1084" t="str">
        <f>IFERROR(+VLOOKUP(Movimientos_2026[[#This Row],[Codigo]],Plan_cuentas[],6,FALSE)," ")</f>
        <v>6 - FCAtr - Fiat Transf.</v>
      </c>
      <c r="L1084" s="50">
        <v>360045.15</v>
      </c>
      <c r="M1084" s="52"/>
      <c r="N1084" s="20">
        <f>+Movimientos_2026[[#This Row],[Ingresos]]-Movimientos_2026[[#This Row],[Egresos]]</f>
        <v>360045.15</v>
      </c>
      <c r="O1084" s="20">
        <f>+O1083+Movimientos_2026[[#This Row],[Neto]]</f>
        <v>4054896698.5810738</v>
      </c>
    </row>
    <row r="1085" spans="1:15" x14ac:dyDescent="0.25">
      <c r="A1085" s="13">
        <v>46118</v>
      </c>
      <c r="B1085" s="12">
        <f>MONTH(Movimientos_2026[[#This Row],[Fecha]])</f>
        <v>4</v>
      </c>
      <c r="C1085" s="12" t="str">
        <f>VLOOKUP((WEEKDAY(Movimientos_2026[[#This Row],[Fecha]],2)),'5. Setup'!$D$6:$E$12,2,FALSE)</f>
        <v>Lun</v>
      </c>
      <c r="D1085">
        <v>1044344</v>
      </c>
      <c r="E1085" t="str">
        <f>IFERROR(+VLOOKUP(Movimientos_2026[[#This Row],[Codigo]],Plan_cuentas[],2,FALSE)," ")</f>
        <v>INGRESOS</v>
      </c>
      <c r="F1085" t="str">
        <f>IFERROR(+VLOOKUP(Movimientos_2026[[#This Row],[Codigo]],Plan_cuentas[],3,FALSE)," ")</f>
        <v>Transferencia</v>
      </c>
      <c r="G1085" t="str">
        <f>IFERROR(+VLOOKUP(Movimientos_2026[[#This Row],[Codigo]],Plan_cuentas[],4,FALSE)," ")</f>
        <v>Rentas</v>
      </c>
      <c r="H1085" t="str">
        <f>IFERROR(+VLOOKUP(Movimientos_2026[[#This Row],[Codigo]],Plan_cuentas[],5,FALSE)," ")</f>
        <v>RIO NEGRO</v>
      </c>
      <c r="I1085" s="43">
        <v>46082</v>
      </c>
      <c r="J1085" t="s">
        <v>465</v>
      </c>
      <c r="K1085" t="str">
        <f>IFERROR(+VLOOKUP(Movimientos_2026[[#This Row],[Codigo]],Plan_cuentas[],6,FALSE)," ")</f>
        <v>4 - FCA - Fiat</v>
      </c>
      <c r="L1085" s="50">
        <v>972500</v>
      </c>
      <c r="M1085" s="52"/>
      <c r="N1085" s="20">
        <f>+Movimientos_2026[[#This Row],[Ingresos]]-Movimientos_2026[[#This Row],[Egresos]]</f>
        <v>972500</v>
      </c>
      <c r="O1085" s="20">
        <f>+O1084+Movimientos_2026[[#This Row],[Neto]]</f>
        <v>4055869198.5810738</v>
      </c>
    </row>
    <row r="1086" spans="1:15" x14ac:dyDescent="0.25">
      <c r="A1086" s="13">
        <v>46118</v>
      </c>
      <c r="B1086" s="12">
        <f>MONTH(Movimientos_2026[[#This Row],[Fecha]])</f>
        <v>4</v>
      </c>
      <c r="C1086" s="12" t="str">
        <f>VLOOKUP((WEEKDAY(Movimientos_2026[[#This Row],[Fecha]],2)),'5. Setup'!$D$6:$E$12,2,FALSE)</f>
        <v>Lun</v>
      </c>
      <c r="D1086">
        <v>1044354</v>
      </c>
      <c r="E1086" t="str">
        <f>IFERROR(+VLOOKUP(Movimientos_2026[[#This Row],[Codigo]],Plan_cuentas[],2,FALSE)," ")</f>
        <v>INGRESOS</v>
      </c>
      <c r="F1086" t="str">
        <f>IFERROR(+VLOOKUP(Movimientos_2026[[#This Row],[Codigo]],Plan_cuentas[],3,FALSE)," ")</f>
        <v>Transferencia</v>
      </c>
      <c r="G1086" t="str">
        <f>IFERROR(+VLOOKUP(Movimientos_2026[[#This Row],[Codigo]],Plan_cuentas[],4,FALSE)," ")</f>
        <v>Rentas</v>
      </c>
      <c r="H1086" t="str">
        <f>IFERROR(+VLOOKUP(Movimientos_2026[[#This Row],[Codigo]],Plan_cuentas[],5,FALSE)," ")</f>
        <v>SAN JUAN</v>
      </c>
      <c r="I1086" s="43">
        <v>46082</v>
      </c>
      <c r="J1086" t="s">
        <v>465</v>
      </c>
      <c r="K1086" t="str">
        <f>IFERROR(+VLOOKUP(Movimientos_2026[[#This Row],[Codigo]],Plan_cuentas[],6,FALSE)," ")</f>
        <v>4 - FCA - Fiat</v>
      </c>
      <c r="L1086" s="50">
        <v>5934288</v>
      </c>
      <c r="M1086" s="50"/>
      <c r="N1086" s="20">
        <f>+Movimientos_2026[[#This Row],[Ingresos]]-Movimientos_2026[[#This Row],[Egresos]]</f>
        <v>5934288</v>
      </c>
      <c r="O1086" s="20">
        <f>+O1085+Movimientos_2026[[#This Row],[Neto]]</f>
        <v>4061803486.5810738</v>
      </c>
    </row>
    <row r="1087" spans="1:15" x14ac:dyDescent="0.25">
      <c r="A1087" s="13">
        <v>46118</v>
      </c>
      <c r="B1087" s="12">
        <f>MONTH(Movimientos_2026[[#This Row],[Fecha]])</f>
        <v>4</v>
      </c>
      <c r="C1087" s="12" t="str">
        <f>VLOOKUP((WEEKDAY(Movimientos_2026[[#This Row],[Fecha]],2)),'5. Setup'!$D$6:$E$12,2,FALSE)</f>
        <v>Lun</v>
      </c>
      <c r="D1087">
        <v>1044356</v>
      </c>
      <c r="E1087" t="str">
        <f>IFERROR(+VLOOKUP(Movimientos_2026[[#This Row],[Codigo]],Plan_cuentas[],2,FALSE)," ")</f>
        <v>INGRESOS</v>
      </c>
      <c r="F1087" t="str">
        <f>IFERROR(+VLOOKUP(Movimientos_2026[[#This Row],[Codigo]],Plan_cuentas[],3,FALSE)," ")</f>
        <v>Transferencia</v>
      </c>
      <c r="G1087" t="str">
        <f>IFERROR(+VLOOKUP(Movimientos_2026[[#This Row],[Codigo]],Plan_cuentas[],4,FALSE)," ")</f>
        <v>Rentas</v>
      </c>
      <c r="H1087" t="str">
        <f>IFERROR(+VLOOKUP(Movimientos_2026[[#This Row],[Codigo]],Plan_cuentas[],5,FALSE)," ")</f>
        <v>SAN JUAN</v>
      </c>
      <c r="I1087" s="43">
        <v>46082</v>
      </c>
      <c r="J1087" t="s">
        <v>465</v>
      </c>
      <c r="K1087" t="str">
        <f>IFERROR(+VLOOKUP(Movimientos_2026[[#This Row],[Codigo]],Plan_cuentas[],6,FALSE)," ")</f>
        <v>6 - FCAtr - Fiat Transf.</v>
      </c>
      <c r="L1087" s="50">
        <v>752189.72</v>
      </c>
      <c r="M1087" s="50"/>
      <c r="N1087" s="20">
        <f>+Movimientos_2026[[#This Row],[Ingresos]]-Movimientos_2026[[#This Row],[Egresos]]</f>
        <v>752189.72</v>
      </c>
      <c r="O1087" s="20">
        <f>+O1086+Movimientos_2026[[#This Row],[Neto]]</f>
        <v>4062555676.3010736</v>
      </c>
    </row>
    <row r="1088" spans="1:15" x14ac:dyDescent="0.25">
      <c r="A1088" s="13">
        <v>46118</v>
      </c>
      <c r="B1088" s="12">
        <f>MONTH(Movimientos_2026[[#This Row],[Fecha]])</f>
        <v>4</v>
      </c>
      <c r="C1088" s="12" t="str">
        <f>VLOOKUP((WEEKDAY(Movimientos_2026[[#This Row],[Fecha]],2)),'5. Setup'!$D$6:$E$12,2,FALSE)</f>
        <v>Lun</v>
      </c>
      <c r="D1088">
        <v>1044364</v>
      </c>
      <c r="E1088" t="str">
        <f>IFERROR(+VLOOKUP(Movimientos_2026[[#This Row],[Codigo]],Plan_cuentas[],2,FALSE)," ")</f>
        <v>INGRESOS</v>
      </c>
      <c r="F1088" t="str">
        <f>IFERROR(+VLOOKUP(Movimientos_2026[[#This Row],[Codigo]],Plan_cuentas[],3,FALSE)," ")</f>
        <v>Transferencia</v>
      </c>
      <c r="G1088" t="str">
        <f>IFERROR(+VLOOKUP(Movimientos_2026[[#This Row],[Codigo]],Plan_cuentas[],4,FALSE)," ")</f>
        <v>Rentas</v>
      </c>
      <c r="H1088" t="str">
        <f>IFERROR(+VLOOKUP(Movimientos_2026[[#This Row],[Codigo]],Plan_cuentas[],5,FALSE)," ")</f>
        <v>SAN LUIS</v>
      </c>
      <c r="I1088" s="43">
        <v>46082</v>
      </c>
      <c r="J1088" t="s">
        <v>465</v>
      </c>
      <c r="K1088" t="str">
        <f>IFERROR(+VLOOKUP(Movimientos_2026[[#This Row],[Codigo]],Plan_cuentas[],6,FALSE)," ")</f>
        <v>4 - FCA - Fiat</v>
      </c>
      <c r="L1088" s="50">
        <v>28530481.109999999</v>
      </c>
      <c r="M1088" s="50"/>
      <c r="N1088" s="20">
        <f>+Movimientos_2026[[#This Row],[Ingresos]]-Movimientos_2026[[#This Row],[Egresos]]</f>
        <v>28530481.109999999</v>
      </c>
      <c r="O1088" s="20">
        <f>+O1087+Movimientos_2026[[#This Row],[Neto]]</f>
        <v>4091086157.4110737</v>
      </c>
    </row>
    <row r="1089" spans="1:15" x14ac:dyDescent="0.25">
      <c r="A1089" s="13">
        <v>46118</v>
      </c>
      <c r="B1089" s="12">
        <f>MONTH(Movimientos_2026[[#This Row],[Fecha]])</f>
        <v>4</v>
      </c>
      <c r="C1089" s="12" t="str">
        <f>VLOOKUP((WEEKDAY(Movimientos_2026[[#This Row],[Fecha]],2)),'5. Setup'!$D$6:$E$12,2,FALSE)</f>
        <v>Lun</v>
      </c>
      <c r="D1089">
        <v>1044374</v>
      </c>
      <c r="E1089" t="str">
        <f>IFERROR(+VLOOKUP(Movimientos_2026[[#This Row],[Codigo]],Plan_cuentas[],2,FALSE)," ")</f>
        <v>INGRESOS</v>
      </c>
      <c r="F1089" t="str">
        <f>IFERROR(+VLOOKUP(Movimientos_2026[[#This Row],[Codigo]],Plan_cuentas[],3,FALSE)," ")</f>
        <v>Transferencia</v>
      </c>
      <c r="G1089" t="str">
        <f>IFERROR(+VLOOKUP(Movimientos_2026[[#This Row],[Codigo]],Plan_cuentas[],4,FALSE)," ")</f>
        <v>Rentas</v>
      </c>
      <c r="H1089" t="str">
        <f>IFERROR(+VLOOKUP(Movimientos_2026[[#This Row],[Codigo]],Plan_cuentas[],5,FALSE)," ")</f>
        <v>SANTA CRUZ</v>
      </c>
      <c r="I1089" s="43">
        <v>46082</v>
      </c>
      <c r="J1089" t="s">
        <v>465</v>
      </c>
      <c r="K1089" t="str">
        <f>IFERROR(+VLOOKUP(Movimientos_2026[[#This Row],[Codigo]],Plan_cuentas[],6,FALSE)," ")</f>
        <v>4 - FCA - Fiat</v>
      </c>
      <c r="L1089" s="50">
        <v>24361566.510000002</v>
      </c>
      <c r="M1089" s="50"/>
      <c r="N1089" s="20">
        <f>+Movimientos_2026[[#This Row],[Ingresos]]-Movimientos_2026[[#This Row],[Egresos]]</f>
        <v>24361566.510000002</v>
      </c>
      <c r="O1089" s="20">
        <f>+O1088+Movimientos_2026[[#This Row],[Neto]]</f>
        <v>4115447723.9210739</v>
      </c>
    </row>
    <row r="1090" spans="1:15" x14ac:dyDescent="0.25">
      <c r="A1090" s="13">
        <v>46118</v>
      </c>
      <c r="B1090" s="12">
        <f>MONTH(Movimientos_2026[[#This Row],[Fecha]])</f>
        <v>4</v>
      </c>
      <c r="C1090" s="12" t="str">
        <f>VLOOKUP((WEEKDAY(Movimientos_2026[[#This Row],[Fecha]],2)),'5. Setup'!$D$6:$E$12,2,FALSE)</f>
        <v>Lun</v>
      </c>
      <c r="D1090">
        <v>1044404</v>
      </c>
      <c r="E1090" t="str">
        <f>IFERROR(+VLOOKUP(Movimientos_2026[[#This Row],[Codigo]],Plan_cuentas[],2,FALSE)," ")</f>
        <v>INGRESOS</v>
      </c>
      <c r="F1090" t="str">
        <f>IFERROR(+VLOOKUP(Movimientos_2026[[#This Row],[Codigo]],Plan_cuentas[],3,FALSE)," ")</f>
        <v>Transferencia</v>
      </c>
      <c r="G1090" t="str">
        <f>IFERROR(+VLOOKUP(Movimientos_2026[[#This Row],[Codigo]],Plan_cuentas[],4,FALSE)," ")</f>
        <v>Rentas</v>
      </c>
      <c r="H1090" t="str">
        <f>IFERROR(+VLOOKUP(Movimientos_2026[[#This Row],[Codigo]],Plan_cuentas[],5,FALSE)," ")</f>
        <v>SANTIAGO DEL ESTERO</v>
      </c>
      <c r="I1090" s="43">
        <v>46082</v>
      </c>
      <c r="J1090" t="s">
        <v>465</v>
      </c>
      <c r="K1090" t="str">
        <f>IFERROR(+VLOOKUP(Movimientos_2026[[#This Row],[Codigo]],Plan_cuentas[],6,FALSE)," ")</f>
        <v>4 - FCA - Fiat</v>
      </c>
      <c r="L1090" s="50">
        <v>27879631.93</v>
      </c>
      <c r="M1090" s="52"/>
      <c r="N1090" s="20">
        <f>+Movimientos_2026[[#This Row],[Ingresos]]-Movimientos_2026[[#This Row],[Egresos]]</f>
        <v>27879631.93</v>
      </c>
      <c r="O1090" s="20">
        <f>+O1089+Movimientos_2026[[#This Row],[Neto]]</f>
        <v>4143327355.8510737</v>
      </c>
    </row>
    <row r="1091" spans="1:15" x14ac:dyDescent="0.25">
      <c r="A1091" s="13">
        <v>46118</v>
      </c>
      <c r="B1091" s="12">
        <f>MONTH(Movimientos_2026[[#This Row],[Fecha]])</f>
        <v>4</v>
      </c>
      <c r="C1091" s="12" t="str">
        <f>VLOOKUP((WEEKDAY(Movimientos_2026[[#This Row],[Fecha]],2)),'5. Setup'!$D$6:$E$12,2,FALSE)</f>
        <v>Lun</v>
      </c>
      <c r="D1091">
        <v>1044406</v>
      </c>
      <c r="E1091" t="str">
        <f>IFERROR(+VLOOKUP(Movimientos_2026[[#This Row],[Codigo]],Plan_cuentas[],2,FALSE)," ")</f>
        <v>INGRESOS</v>
      </c>
      <c r="F1091" t="str">
        <f>IFERROR(+VLOOKUP(Movimientos_2026[[#This Row],[Codigo]],Plan_cuentas[],3,FALSE)," ")</f>
        <v>Transferencia</v>
      </c>
      <c r="G1091" t="str">
        <f>IFERROR(+VLOOKUP(Movimientos_2026[[#This Row],[Codigo]],Plan_cuentas[],4,FALSE)," ")</f>
        <v>Rentas</v>
      </c>
      <c r="H1091" t="str">
        <f>IFERROR(+VLOOKUP(Movimientos_2026[[#This Row],[Codigo]],Plan_cuentas[],5,FALSE)," ")</f>
        <v>SANTIAGO DEL ESTERO</v>
      </c>
      <c r="I1091" s="43">
        <v>46082</v>
      </c>
      <c r="J1091" t="s">
        <v>465</v>
      </c>
      <c r="K1091" t="str">
        <f>IFERROR(+VLOOKUP(Movimientos_2026[[#This Row],[Codigo]],Plan_cuentas[],6,FALSE)," ")</f>
        <v>6 - FCAtr - Fiat Transf.</v>
      </c>
      <c r="L1091" s="50">
        <v>1128373.03</v>
      </c>
      <c r="M1091" s="52"/>
      <c r="N1091" s="20">
        <f>+Movimientos_2026[[#This Row],[Ingresos]]-Movimientos_2026[[#This Row],[Egresos]]</f>
        <v>1128373.03</v>
      </c>
      <c r="O1091" s="20">
        <f>+O1090+Movimientos_2026[[#This Row],[Neto]]</f>
        <v>4144455728.881074</v>
      </c>
    </row>
    <row r="1092" spans="1:15" x14ac:dyDescent="0.25">
      <c r="A1092" s="13">
        <v>46118</v>
      </c>
      <c r="B1092" s="12">
        <f>MONTH(Movimientos_2026[[#This Row],[Fecha]])</f>
        <v>4</v>
      </c>
      <c r="C1092" s="12" t="str">
        <f>VLOOKUP((WEEKDAY(Movimientos_2026[[#This Row],[Fecha]],2)),'5. Setup'!$D$6:$E$12,2,FALSE)</f>
        <v>Lun</v>
      </c>
      <c r="D1092">
        <v>1044404</v>
      </c>
      <c r="E1092" t="str">
        <f>IFERROR(+VLOOKUP(Movimientos_2026[[#This Row],[Codigo]],Plan_cuentas[],2,FALSE)," ")</f>
        <v>INGRESOS</v>
      </c>
      <c r="F1092" t="str">
        <f>IFERROR(+VLOOKUP(Movimientos_2026[[#This Row],[Codigo]],Plan_cuentas[],3,FALSE)," ")</f>
        <v>Transferencia</v>
      </c>
      <c r="G1092" t="str">
        <f>IFERROR(+VLOOKUP(Movimientos_2026[[#This Row],[Codigo]],Plan_cuentas[],4,FALSE)," ")</f>
        <v>Rentas</v>
      </c>
      <c r="H1092" t="str">
        <f>IFERROR(+VLOOKUP(Movimientos_2026[[#This Row],[Codigo]],Plan_cuentas[],5,FALSE)," ")</f>
        <v>SANTIAGO DEL ESTERO</v>
      </c>
      <c r="I1092" s="43">
        <v>46082</v>
      </c>
      <c r="J1092" t="s">
        <v>465</v>
      </c>
      <c r="K1092" t="str">
        <f>IFERROR(+VLOOKUP(Movimientos_2026[[#This Row],[Codigo]],Plan_cuentas[],6,FALSE)," ")</f>
        <v>4 - FCA - Fiat</v>
      </c>
      <c r="L1092" s="50">
        <v>8074345.3099999996</v>
      </c>
      <c r="M1092" s="52"/>
      <c r="N1092" s="20">
        <f>+Movimientos_2026[[#This Row],[Ingresos]]-Movimientos_2026[[#This Row],[Egresos]]</f>
        <v>8074345.3099999996</v>
      </c>
      <c r="O1092" s="20">
        <f>+O1091+Movimientos_2026[[#This Row],[Neto]]</f>
        <v>4152530074.1910739</v>
      </c>
    </row>
    <row r="1093" spans="1:15" x14ac:dyDescent="0.25">
      <c r="A1093" s="13">
        <v>46118</v>
      </c>
      <c r="B1093" s="12">
        <f>MONTH(Movimientos_2026[[#This Row],[Fecha]])</f>
        <v>4</v>
      </c>
      <c r="C1093" s="12" t="str">
        <f>VLOOKUP((WEEKDAY(Movimientos_2026[[#This Row],[Fecha]],2)),'5. Setup'!$D$6:$E$12,2,FALSE)</f>
        <v>Lun</v>
      </c>
      <c r="D1093">
        <v>1044414</v>
      </c>
      <c r="E1093" t="str">
        <f>IFERROR(+VLOOKUP(Movimientos_2026[[#This Row],[Codigo]],Plan_cuentas[],2,FALSE)," ")</f>
        <v>INGRESOS</v>
      </c>
      <c r="F1093" t="str">
        <f>IFERROR(+VLOOKUP(Movimientos_2026[[#This Row],[Codigo]],Plan_cuentas[],3,FALSE)," ")</f>
        <v>Transferencia</v>
      </c>
      <c r="G1093" t="str">
        <f>IFERROR(+VLOOKUP(Movimientos_2026[[#This Row],[Codigo]],Plan_cuentas[],4,FALSE)," ")</f>
        <v>Rentas</v>
      </c>
      <c r="H1093" t="str">
        <f>IFERROR(+VLOOKUP(Movimientos_2026[[#This Row],[Codigo]],Plan_cuentas[],5,FALSE)," ")</f>
        <v>TIERRA DEL FUEGO</v>
      </c>
      <c r="I1093" s="43">
        <v>46082</v>
      </c>
      <c r="J1093" t="s">
        <v>465</v>
      </c>
      <c r="K1093" t="str">
        <f>IFERROR(+VLOOKUP(Movimientos_2026[[#This Row],[Codigo]],Plan_cuentas[],6,FALSE)," ")</f>
        <v>4 - FCA - Fiat</v>
      </c>
      <c r="L1093" s="50">
        <v>20392447.289999999</v>
      </c>
      <c r="M1093" s="52"/>
      <c r="N1093" s="20">
        <f>+Movimientos_2026[[#This Row],[Ingresos]]-Movimientos_2026[[#This Row],[Egresos]]</f>
        <v>20392447.289999999</v>
      </c>
      <c r="O1093" s="20">
        <f>+O1092+Movimientos_2026[[#This Row],[Neto]]</f>
        <v>4172922521.4810739</v>
      </c>
    </row>
    <row r="1094" spans="1:15" x14ac:dyDescent="0.25">
      <c r="A1094" s="13">
        <v>46119</v>
      </c>
      <c r="B1094" s="12">
        <f>MONTH(Movimientos_2026[[#This Row],[Fecha]])</f>
        <v>4</v>
      </c>
      <c r="C1094" s="12" t="str">
        <f>VLOOKUP((WEEKDAY(Movimientos_2026[[#This Row],[Fecha]],2)),'5. Setup'!$D$6:$E$12,2,FALSE)</f>
        <v>Mar</v>
      </c>
      <c r="D1094">
        <v>2054197</v>
      </c>
      <c r="E1094" t="str">
        <f>IFERROR(+VLOOKUP(Movimientos_2026[[#This Row],[Codigo]],Plan_cuentas[],2,FALSE)," ")</f>
        <v>EGRESOS</v>
      </c>
      <c r="F1094" t="str">
        <f>IFERROR(+VLOOKUP(Movimientos_2026[[#This Row],[Codigo]],Plan_cuentas[],3,FALSE)," ")</f>
        <v>VEP</v>
      </c>
      <c r="G1094" t="str">
        <f>IFERROR(+VLOOKUP(Movimientos_2026[[#This Row],[Codigo]],Plan_cuentas[],4,FALSE)," ")</f>
        <v>Rentas</v>
      </c>
      <c r="H1094" t="str">
        <f>IFERROR(+VLOOKUP(Movimientos_2026[[#This Row],[Codigo]],Plan_cuentas[],5,FALSE)," ")</f>
        <v>CORDOBA 2° Q</v>
      </c>
      <c r="I1094" s="43">
        <v>46082</v>
      </c>
      <c r="J1094" t="s">
        <v>466</v>
      </c>
      <c r="K1094" t="str">
        <f>IFERROR(+VLOOKUP(Movimientos_2026[[#This Row],[Codigo]],Plan_cuentas[],6,FALSE)," ")</f>
        <v>7 - PRtr - Plan Rombo Transf.</v>
      </c>
      <c r="L1094" s="50"/>
      <c r="M1094" s="50">
        <v>748560</v>
      </c>
      <c r="N1094" s="20">
        <f>+Movimientos_2026[[#This Row],[Ingresos]]-Movimientos_2026[[#This Row],[Egresos]]</f>
        <v>-748560</v>
      </c>
      <c r="O1094" s="20">
        <f>+O1093+Movimientos_2026[[#This Row],[Neto]]</f>
        <v>4172173961.4810739</v>
      </c>
    </row>
    <row r="1095" spans="1:15" x14ac:dyDescent="0.25">
      <c r="A1095" s="13">
        <v>46120</v>
      </c>
      <c r="B1095" s="12">
        <f>MONTH(Movimientos_2026[[#This Row],[Fecha]])</f>
        <v>4</v>
      </c>
      <c r="C1095" s="12" t="str">
        <f>VLOOKUP((WEEKDAY(Movimientos_2026[[#This Row],[Fecha]],2)),'5. Setup'!$D$6:$E$12,2,FALSE)</f>
        <v>Mie</v>
      </c>
      <c r="D1095">
        <v>2034411</v>
      </c>
      <c r="E1095" t="str">
        <f>IFERROR(+VLOOKUP(Movimientos_2026[[#This Row],[Codigo]],Plan_cuentas[],2,FALSE)," ")</f>
        <v>EGRESOS</v>
      </c>
      <c r="F1095" t="str">
        <f>IFERROR(+VLOOKUP(Movimientos_2026[[#This Row],[Codigo]],Plan_cuentas[],3,FALSE)," ")</f>
        <v>Pagos Bco. Provincia</v>
      </c>
      <c r="G1095" t="str">
        <f>IFERROR(+VLOOKUP(Movimientos_2026[[#This Row],[Codigo]],Plan_cuentas[],4,FALSE)," ")</f>
        <v>Rentas</v>
      </c>
      <c r="H1095" t="str">
        <f>IFERROR(+VLOOKUP(Movimientos_2026[[#This Row],[Codigo]],Plan_cuentas[],5,FALSE)," ")</f>
        <v>TIERRA DEL FUEGO</v>
      </c>
      <c r="I1095" s="43">
        <v>46082</v>
      </c>
      <c r="J1095" t="s">
        <v>467</v>
      </c>
      <c r="K1095" t="str">
        <f>IFERROR(+VLOOKUP(Movimientos_2026[[#This Row],[Codigo]],Plan_cuentas[],6,FALSE)," ")</f>
        <v>1 - VW - Volkswagen</v>
      </c>
      <c r="L1095" s="50"/>
      <c r="M1095" s="52">
        <v>2460466</v>
      </c>
      <c r="N1095" s="20">
        <f>+Movimientos_2026[[#This Row],[Ingresos]]-Movimientos_2026[[#This Row],[Egresos]]</f>
        <v>-2460466</v>
      </c>
      <c r="O1095" s="20">
        <f>+O1094+Movimientos_2026[[#This Row],[Neto]]</f>
        <v>4169713495.4810739</v>
      </c>
    </row>
    <row r="1096" spans="1:15" x14ac:dyDescent="0.25">
      <c r="A1096" s="13">
        <v>46120</v>
      </c>
      <c r="B1096" s="12">
        <f>MONTH(Movimientos_2026[[#This Row],[Fecha]])</f>
        <v>4</v>
      </c>
      <c r="C1096" s="12" t="str">
        <f>VLOOKUP((WEEKDAY(Movimientos_2026[[#This Row],[Fecha]],2)),'5. Setup'!$D$6:$E$12,2,FALSE)</f>
        <v>Mie</v>
      </c>
      <c r="D1096">
        <v>2034412</v>
      </c>
      <c r="E1096" t="str">
        <f>IFERROR(+VLOOKUP(Movimientos_2026[[#This Row],[Codigo]],Plan_cuentas[],2,FALSE)," ")</f>
        <v>EGRESOS</v>
      </c>
      <c r="F1096" t="str">
        <f>IFERROR(+VLOOKUP(Movimientos_2026[[#This Row],[Codigo]],Plan_cuentas[],3,FALSE)," ")</f>
        <v>Pagos Bco. Provincia</v>
      </c>
      <c r="G1096" t="str">
        <f>IFERROR(+VLOOKUP(Movimientos_2026[[#This Row],[Codigo]],Plan_cuentas[],4,FALSE)," ")</f>
        <v>Rentas</v>
      </c>
      <c r="H1096" t="str">
        <f>IFERROR(+VLOOKUP(Movimientos_2026[[#This Row],[Codigo]],Plan_cuentas[],5,FALSE)," ")</f>
        <v>TIERRA DEL FUEGO</v>
      </c>
      <c r="I1096" s="43">
        <v>46082</v>
      </c>
      <c r="J1096" t="s">
        <v>468</v>
      </c>
      <c r="K1096" t="str">
        <f>IFERROR(+VLOOKUP(Movimientos_2026[[#This Row],[Codigo]],Plan_cuentas[],6,FALSE)," ")</f>
        <v>2 - PR - Plan Rombo</v>
      </c>
      <c r="L1096" s="50"/>
      <c r="M1096" s="52">
        <v>7416598.7199999997</v>
      </c>
      <c r="N1096" s="20">
        <f>+Movimientos_2026[[#This Row],[Ingresos]]-Movimientos_2026[[#This Row],[Egresos]]</f>
        <v>-7416598.7199999997</v>
      </c>
      <c r="O1096" s="20">
        <f>+O1095+Movimientos_2026[[#This Row],[Neto]]</f>
        <v>4162296896.7610741</v>
      </c>
    </row>
    <row r="1097" spans="1:15" x14ac:dyDescent="0.25">
      <c r="A1097" s="13">
        <v>46120</v>
      </c>
      <c r="B1097" s="12">
        <f>MONTH(Movimientos_2026[[#This Row],[Fecha]])</f>
        <v>4</v>
      </c>
      <c r="C1097" s="12" t="str">
        <f>VLOOKUP((WEEKDAY(Movimientos_2026[[#This Row],[Fecha]],2)),'5. Setup'!$D$6:$E$12,2,FALSE)</f>
        <v>Mie</v>
      </c>
      <c r="D1097">
        <v>2034417</v>
      </c>
      <c r="E1097" t="str">
        <f>IFERROR(+VLOOKUP(Movimientos_2026[[#This Row],[Codigo]],Plan_cuentas[],2,FALSE)," ")</f>
        <v>EGRESOS</v>
      </c>
      <c r="F1097" t="str">
        <f>IFERROR(+VLOOKUP(Movimientos_2026[[#This Row],[Codigo]],Plan_cuentas[],3,FALSE)," ")</f>
        <v>Pagos Bco. Provincia</v>
      </c>
      <c r="G1097" t="str">
        <f>IFERROR(+VLOOKUP(Movimientos_2026[[#This Row],[Codigo]],Plan_cuentas[],4,FALSE)," ")</f>
        <v>Rentas</v>
      </c>
      <c r="H1097" t="str">
        <f>IFERROR(+VLOOKUP(Movimientos_2026[[#This Row],[Codigo]],Plan_cuentas[],5,FALSE)," ")</f>
        <v>TIERRA DEL FUEGO</v>
      </c>
      <c r="I1097" s="43">
        <v>46082</v>
      </c>
      <c r="J1097" t="s">
        <v>468</v>
      </c>
      <c r="K1097" t="str">
        <f>IFERROR(+VLOOKUP(Movimientos_2026[[#This Row],[Codigo]],Plan_cuentas[],6,FALSE)," ")</f>
        <v>7 - PRtr - Plan Rombo Transf.</v>
      </c>
      <c r="L1097" s="50"/>
      <c r="M1097" s="52">
        <v>40000</v>
      </c>
      <c r="N1097" s="20">
        <f>+Movimientos_2026[[#This Row],[Ingresos]]-Movimientos_2026[[#This Row],[Egresos]]</f>
        <v>-40000</v>
      </c>
      <c r="O1097" s="20">
        <f>+O1096+Movimientos_2026[[#This Row],[Neto]]</f>
        <v>4162256896.7610741</v>
      </c>
    </row>
    <row r="1098" spans="1:15" x14ac:dyDescent="0.25">
      <c r="A1098" s="13">
        <v>46120</v>
      </c>
      <c r="B1098" s="12">
        <f>MONTH(Movimientos_2026[[#This Row],[Fecha]])</f>
        <v>4</v>
      </c>
      <c r="C1098" s="12" t="str">
        <f>VLOOKUP((WEEKDAY(Movimientos_2026[[#This Row],[Fecha]],2)),'5. Setup'!$D$6:$E$12,2,FALSE)</f>
        <v>Mie</v>
      </c>
      <c r="D1098">
        <v>2034413</v>
      </c>
      <c r="E1098" t="str">
        <f>IFERROR(+VLOOKUP(Movimientos_2026[[#This Row],[Codigo]],Plan_cuentas[],2,FALSE)," ")</f>
        <v>EGRESOS</v>
      </c>
      <c r="F1098" t="str">
        <f>IFERROR(+VLOOKUP(Movimientos_2026[[#This Row],[Codigo]],Plan_cuentas[],3,FALSE)," ")</f>
        <v>Pagos Bco. Provincia</v>
      </c>
      <c r="G1098" t="str">
        <f>IFERROR(+VLOOKUP(Movimientos_2026[[#This Row],[Codigo]],Plan_cuentas[],4,FALSE)," ")</f>
        <v>Rentas</v>
      </c>
      <c r="H1098" t="str">
        <f>IFERROR(+VLOOKUP(Movimientos_2026[[#This Row],[Codigo]],Plan_cuentas[],5,FALSE)," ")</f>
        <v>TIERRA DEL FUEGO</v>
      </c>
      <c r="I1098" s="43">
        <v>46082</v>
      </c>
      <c r="J1098" t="s">
        <v>469</v>
      </c>
      <c r="K1098" t="str">
        <f>IFERROR(+VLOOKUP(Movimientos_2026[[#This Row],[Codigo]],Plan_cuentas[],6,FALSE)," ")</f>
        <v>3 - GM - Chevrolet</v>
      </c>
      <c r="L1098" s="50"/>
      <c r="M1098" s="52">
        <v>10763886.33</v>
      </c>
      <c r="N1098" s="20">
        <f>+Movimientos_2026[[#This Row],[Ingresos]]-Movimientos_2026[[#This Row],[Egresos]]</f>
        <v>-10763886.33</v>
      </c>
      <c r="O1098" s="20">
        <f>+O1097+Movimientos_2026[[#This Row],[Neto]]</f>
        <v>4151493010.4310741</v>
      </c>
    </row>
    <row r="1099" spans="1:15" x14ac:dyDescent="0.25">
      <c r="A1099" s="13">
        <v>46120</v>
      </c>
      <c r="B1099" s="12">
        <f>MONTH(Movimientos_2026[[#This Row],[Fecha]])</f>
        <v>4</v>
      </c>
      <c r="C1099" s="12" t="str">
        <f>VLOOKUP((WEEKDAY(Movimientos_2026[[#This Row],[Fecha]],2)),'5. Setup'!$D$6:$E$12,2,FALSE)</f>
        <v>Mie</v>
      </c>
      <c r="D1099">
        <v>2034414</v>
      </c>
      <c r="E1099" t="str">
        <f>IFERROR(+VLOOKUP(Movimientos_2026[[#This Row],[Codigo]],Plan_cuentas[],2,FALSE)," ")</f>
        <v>EGRESOS</v>
      </c>
      <c r="F1099" t="str">
        <f>IFERROR(+VLOOKUP(Movimientos_2026[[#This Row],[Codigo]],Plan_cuentas[],3,FALSE)," ")</f>
        <v>Pagos Bco. Provincia</v>
      </c>
      <c r="G1099" t="str">
        <f>IFERROR(+VLOOKUP(Movimientos_2026[[#This Row],[Codigo]],Plan_cuentas[],4,FALSE)," ")</f>
        <v>Rentas</v>
      </c>
      <c r="H1099" t="str">
        <f>IFERROR(+VLOOKUP(Movimientos_2026[[#This Row],[Codigo]],Plan_cuentas[],5,FALSE)," ")</f>
        <v>TIERRA DEL FUEGO</v>
      </c>
      <c r="I1099" s="43">
        <v>46082</v>
      </c>
      <c r="J1099" t="s">
        <v>470</v>
      </c>
      <c r="K1099" t="str">
        <f>IFERROR(+VLOOKUP(Movimientos_2026[[#This Row],[Codigo]],Plan_cuentas[],6,FALSE)," ")</f>
        <v>4 - FCA - Fiat</v>
      </c>
      <c r="L1099" s="50"/>
      <c r="M1099" s="52">
        <v>20392447.359999999</v>
      </c>
      <c r="N1099" s="20">
        <f>+Movimientos_2026[[#This Row],[Ingresos]]-Movimientos_2026[[#This Row],[Egresos]]</f>
        <v>-20392447.359999999</v>
      </c>
      <c r="O1099" s="20">
        <f>+O1098+Movimientos_2026[[#This Row],[Neto]]</f>
        <v>4131100563.071074</v>
      </c>
    </row>
    <row r="1100" spans="1:15" x14ac:dyDescent="0.25">
      <c r="A1100" s="13">
        <v>46120</v>
      </c>
      <c r="B1100" s="12">
        <f>MONTH(Movimientos_2026[[#This Row],[Fecha]])</f>
        <v>4</v>
      </c>
      <c r="C1100" s="12" t="str">
        <f>VLOOKUP((WEEKDAY(Movimientos_2026[[#This Row],[Fecha]],2)),'5. Setup'!$D$6:$E$12,2,FALSE)</f>
        <v>Mie</v>
      </c>
      <c r="D1100">
        <v>2054321</v>
      </c>
      <c r="E1100" t="str">
        <f>IFERROR(+VLOOKUP(Movimientos_2026[[#This Row],[Codigo]],Plan_cuentas[],2,FALSE)," ")</f>
        <v>EGRESOS</v>
      </c>
      <c r="F1100" t="str">
        <f>IFERROR(+VLOOKUP(Movimientos_2026[[#This Row],[Codigo]],Plan_cuentas[],3,FALSE)," ")</f>
        <v>VEP</v>
      </c>
      <c r="G1100" t="str">
        <f>IFERROR(+VLOOKUP(Movimientos_2026[[#This Row],[Codigo]],Plan_cuentas[],4,FALSE)," ")</f>
        <v>Rentas</v>
      </c>
      <c r="H1100" t="str">
        <f>IFERROR(+VLOOKUP(Movimientos_2026[[#This Row],[Codigo]],Plan_cuentas[],5,FALSE)," ")</f>
        <v>NEUQUEN 2° Q</v>
      </c>
      <c r="I1100" s="43">
        <v>46082</v>
      </c>
      <c r="J1100" t="s">
        <v>471</v>
      </c>
      <c r="K1100" t="str">
        <f>IFERROR(+VLOOKUP(Movimientos_2026[[#This Row],[Codigo]],Plan_cuentas[],6,FALSE)," ")</f>
        <v>1 - VW - Volkswagen</v>
      </c>
      <c r="L1100" s="50"/>
      <c r="M1100" s="52">
        <v>34834539</v>
      </c>
      <c r="N1100" s="20">
        <f>+Movimientos_2026[[#This Row],[Ingresos]]-Movimientos_2026[[#This Row],[Egresos]]</f>
        <v>-34834539</v>
      </c>
      <c r="O1100" s="20">
        <f>+O1099+Movimientos_2026[[#This Row],[Neto]]</f>
        <v>4096266024.071074</v>
      </c>
    </row>
    <row r="1101" spans="1:15" x14ac:dyDescent="0.25">
      <c r="A1101" s="13">
        <v>46120</v>
      </c>
      <c r="B1101" s="12">
        <f>MONTH(Movimientos_2026[[#This Row],[Fecha]])</f>
        <v>4</v>
      </c>
      <c r="C1101" s="12" t="str">
        <f>VLOOKUP((WEEKDAY(Movimientos_2026[[#This Row],[Fecha]],2)),'5. Setup'!$D$6:$E$12,2,FALSE)</f>
        <v>Mie</v>
      </c>
      <c r="D1101">
        <v>2054322</v>
      </c>
      <c r="E1101" t="str">
        <f>IFERROR(+VLOOKUP(Movimientos_2026[[#This Row],[Codigo]],Plan_cuentas[],2,FALSE)," ")</f>
        <v>EGRESOS</v>
      </c>
      <c r="F1101" t="str">
        <f>IFERROR(+VLOOKUP(Movimientos_2026[[#This Row],[Codigo]],Plan_cuentas[],3,FALSE)," ")</f>
        <v>VEP</v>
      </c>
      <c r="G1101" t="str">
        <f>IFERROR(+VLOOKUP(Movimientos_2026[[#This Row],[Codigo]],Plan_cuentas[],4,FALSE)," ")</f>
        <v>Rentas</v>
      </c>
      <c r="H1101" t="str">
        <f>IFERROR(+VLOOKUP(Movimientos_2026[[#This Row],[Codigo]],Plan_cuentas[],5,FALSE)," ")</f>
        <v>NEUQUEN 2° Q</v>
      </c>
      <c r="I1101" s="43">
        <v>46082</v>
      </c>
      <c r="J1101" t="s">
        <v>472</v>
      </c>
      <c r="K1101" t="str">
        <f>IFERROR(+VLOOKUP(Movimientos_2026[[#This Row],[Codigo]],Plan_cuentas[],6,FALSE)," ")</f>
        <v>2 - PR - Plan Rombo</v>
      </c>
      <c r="L1101" s="50"/>
      <c r="M1101" s="52">
        <v>24936400</v>
      </c>
      <c r="N1101" s="20">
        <f>+Movimientos_2026[[#This Row],[Ingresos]]-Movimientos_2026[[#This Row],[Egresos]]</f>
        <v>-24936400</v>
      </c>
      <c r="O1101" s="20">
        <f>+O1100+Movimientos_2026[[#This Row],[Neto]]</f>
        <v>4071329624.071074</v>
      </c>
    </row>
    <row r="1102" spans="1:15" x14ac:dyDescent="0.25">
      <c r="A1102" s="13">
        <v>46120</v>
      </c>
      <c r="B1102" s="12">
        <f>MONTH(Movimientos_2026[[#This Row],[Fecha]])</f>
        <v>4</v>
      </c>
      <c r="C1102" s="12" t="str">
        <f>VLOOKUP((WEEKDAY(Movimientos_2026[[#This Row],[Fecha]],2)),'5. Setup'!$D$6:$E$12,2,FALSE)</f>
        <v>Mie</v>
      </c>
      <c r="D1102">
        <v>2054325</v>
      </c>
      <c r="E1102" t="str">
        <f>IFERROR(+VLOOKUP(Movimientos_2026[[#This Row],[Codigo]],Plan_cuentas[],2,FALSE)," ")</f>
        <v>EGRESOS</v>
      </c>
      <c r="F1102" t="str">
        <f>IFERROR(+VLOOKUP(Movimientos_2026[[#This Row],[Codigo]],Plan_cuentas[],3,FALSE)," ")</f>
        <v>VEP</v>
      </c>
      <c r="G1102" t="str">
        <f>IFERROR(+VLOOKUP(Movimientos_2026[[#This Row],[Codigo]],Plan_cuentas[],4,FALSE)," ")</f>
        <v>Rentas</v>
      </c>
      <c r="H1102" t="str">
        <f>IFERROR(+VLOOKUP(Movimientos_2026[[#This Row],[Codigo]],Plan_cuentas[],5,FALSE)," ")</f>
        <v>NEUQUEN 2° Q</v>
      </c>
      <c r="I1102" s="43">
        <v>46082</v>
      </c>
      <c r="J1102" t="s">
        <v>473</v>
      </c>
      <c r="K1102" t="str">
        <f>IFERROR(+VLOOKUP(Movimientos_2026[[#This Row],[Codigo]],Plan_cuentas[],6,FALSE)," ")</f>
        <v>5 - YAM - Yamaha</v>
      </c>
      <c r="L1102" s="50"/>
      <c r="M1102" s="52">
        <v>1291527.3799999999</v>
      </c>
      <c r="N1102" s="20">
        <f>+Movimientos_2026[[#This Row],[Ingresos]]-Movimientos_2026[[#This Row],[Egresos]]</f>
        <v>-1291527.3799999999</v>
      </c>
      <c r="O1102" s="20">
        <f>+O1101+Movimientos_2026[[#This Row],[Neto]]</f>
        <v>4070038096.6910739</v>
      </c>
    </row>
    <row r="1103" spans="1:15" x14ac:dyDescent="0.25">
      <c r="A1103" s="13">
        <v>46120</v>
      </c>
      <c r="B1103" s="12">
        <f>MONTH(Movimientos_2026[[#This Row],[Fecha]])</f>
        <v>4</v>
      </c>
      <c r="C1103" s="12" t="str">
        <f>VLOOKUP((WEEKDAY(Movimientos_2026[[#This Row],[Fecha]],2)),'5. Setup'!$D$6:$E$12,2,FALSE)</f>
        <v>Mie</v>
      </c>
      <c r="D1103">
        <v>2014425</v>
      </c>
      <c r="E1103" t="str">
        <f>IFERROR(+VLOOKUP(Movimientos_2026[[#This Row],[Codigo]],Plan_cuentas[],2,FALSE)," ")</f>
        <v>EGRESOS</v>
      </c>
      <c r="F1103" t="str">
        <f>IFERROR(+VLOOKUP(Movimientos_2026[[#This Row],[Codigo]],Plan_cuentas[],3,FALSE)," ")</f>
        <v>BtoB</v>
      </c>
      <c r="G1103" t="str">
        <f>IFERROR(+VLOOKUP(Movimientos_2026[[#This Row],[Codigo]],Plan_cuentas[],4,FALSE)," ")</f>
        <v>Rentas</v>
      </c>
      <c r="H1103" t="str">
        <f>IFERROR(+VLOOKUP(Movimientos_2026[[#This Row],[Codigo]],Plan_cuentas[],5,FALSE)," ")</f>
        <v>TUCUMAN</v>
      </c>
      <c r="I1103" s="43">
        <v>46082</v>
      </c>
      <c r="J1103" t="s">
        <v>474</v>
      </c>
      <c r="K1103" t="str">
        <f>IFERROR(+VLOOKUP(Movimientos_2026[[#This Row],[Codigo]],Plan_cuentas[],6,FALSE)," ")</f>
        <v>5 - YAM - Yamaha</v>
      </c>
      <c r="L1103" s="50"/>
      <c r="M1103" s="52">
        <v>1543393.88</v>
      </c>
      <c r="N1103" s="20">
        <f>+Movimientos_2026[[#This Row],[Ingresos]]-Movimientos_2026[[#This Row],[Egresos]]</f>
        <v>-1543393.88</v>
      </c>
      <c r="O1103" s="20">
        <f>+O1102+Movimientos_2026[[#This Row],[Neto]]</f>
        <v>4068494702.8110738</v>
      </c>
    </row>
    <row r="1104" spans="1:15" x14ac:dyDescent="0.25">
      <c r="A1104" s="13">
        <v>46120</v>
      </c>
      <c r="B1104" s="12">
        <f>MONTH(Movimientos_2026[[#This Row],[Fecha]])</f>
        <v>4</v>
      </c>
      <c r="C1104" s="12" t="str">
        <f>VLOOKUP((WEEKDAY(Movimientos_2026[[#This Row],[Fecha]],2)),'5. Setup'!$D$6:$E$12,2,FALSE)</f>
        <v>Mie</v>
      </c>
      <c r="D1104">
        <v>2054372</v>
      </c>
      <c r="E1104" t="str">
        <f>IFERROR(+VLOOKUP(Movimientos_2026[[#This Row],[Codigo]],Plan_cuentas[],2,FALSE)," ")</f>
        <v>EGRESOS</v>
      </c>
      <c r="F1104" t="str">
        <f>IFERROR(+VLOOKUP(Movimientos_2026[[#This Row],[Codigo]],Plan_cuentas[],3,FALSE)," ")</f>
        <v>VEP</v>
      </c>
      <c r="G1104" t="str">
        <f>IFERROR(+VLOOKUP(Movimientos_2026[[#This Row],[Codigo]],Plan_cuentas[],4,FALSE)," ")</f>
        <v>Rentas</v>
      </c>
      <c r="H1104" t="str">
        <f>IFERROR(+VLOOKUP(Movimientos_2026[[#This Row],[Codigo]],Plan_cuentas[],5,FALSE)," ")</f>
        <v>SANTA CRUZ</v>
      </c>
      <c r="I1104" s="43">
        <v>46082</v>
      </c>
      <c r="J1104" t="s">
        <v>475</v>
      </c>
      <c r="K1104" t="str">
        <f>IFERROR(+VLOOKUP(Movimientos_2026[[#This Row],[Codigo]],Plan_cuentas[],6,FALSE)," ")</f>
        <v>2 - PR - Plan Rombo</v>
      </c>
      <c r="L1104" s="50"/>
      <c r="M1104" s="52">
        <v>53223070.969999999</v>
      </c>
      <c r="N1104" s="20">
        <f>+Movimientos_2026[[#This Row],[Ingresos]]-Movimientos_2026[[#This Row],[Egresos]]</f>
        <v>-53223070.969999999</v>
      </c>
      <c r="O1104" s="20">
        <f>+O1103+Movimientos_2026[[#This Row],[Neto]]</f>
        <v>4015271631.841074</v>
      </c>
    </row>
    <row r="1105" spans="1:15" x14ac:dyDescent="0.25">
      <c r="A1105" s="13">
        <v>46120</v>
      </c>
      <c r="B1105" s="12">
        <f>MONTH(Movimientos_2026[[#This Row],[Fecha]])</f>
        <v>4</v>
      </c>
      <c r="C1105" s="12" t="str">
        <f>VLOOKUP((WEEKDAY(Movimientos_2026[[#This Row],[Fecha]],2)),'5. Setup'!$D$6:$E$12,2,FALSE)</f>
        <v>Mie</v>
      </c>
      <c r="D1105">
        <v>2014272</v>
      </c>
      <c r="E1105" t="str">
        <f>IFERROR(+VLOOKUP(Movimientos_2026[[#This Row],[Codigo]],Plan_cuentas[],2,FALSE)," ")</f>
        <v>EGRESOS</v>
      </c>
      <c r="F1105" t="str">
        <f>IFERROR(+VLOOKUP(Movimientos_2026[[#This Row],[Codigo]],Plan_cuentas[],3,FALSE)," ")</f>
        <v>BtoB</v>
      </c>
      <c r="G1105" t="str">
        <f>IFERROR(+VLOOKUP(Movimientos_2026[[#This Row],[Codigo]],Plan_cuentas[],4,FALSE)," ")</f>
        <v>Rentas</v>
      </c>
      <c r="H1105" t="str">
        <f>IFERROR(+VLOOKUP(Movimientos_2026[[#This Row],[Codigo]],Plan_cuentas[],5,FALSE)," ")</f>
        <v>LA RIOJA</v>
      </c>
      <c r="I1105" s="43">
        <v>46082</v>
      </c>
      <c r="J1105" t="s">
        <v>476</v>
      </c>
      <c r="K1105" t="str">
        <f>IFERROR(+VLOOKUP(Movimientos_2026[[#This Row],[Codigo]],Plan_cuentas[],6,FALSE)," ")</f>
        <v>2 - PR - Plan Rombo</v>
      </c>
      <c r="L1105" s="50"/>
      <c r="M1105" s="52">
        <v>4377132.22</v>
      </c>
      <c r="N1105" s="20">
        <f>+Movimientos_2026[[#This Row],[Ingresos]]-Movimientos_2026[[#This Row],[Egresos]]</f>
        <v>-4377132.22</v>
      </c>
      <c r="O1105" s="20">
        <f>+O1104+Movimientos_2026[[#This Row],[Neto]]</f>
        <v>4010894499.6210742</v>
      </c>
    </row>
    <row r="1106" spans="1:15" x14ac:dyDescent="0.25">
      <c r="A1106" s="13">
        <v>46120</v>
      </c>
      <c r="B1106" s="12">
        <f>MONTH(Movimientos_2026[[#This Row],[Fecha]])</f>
        <v>4</v>
      </c>
      <c r="C1106" s="12" t="str">
        <f>VLOOKUP((WEEKDAY(Movimientos_2026[[#This Row],[Fecha]],2)),'5. Setup'!$D$6:$E$12,2,FALSE)</f>
        <v>Mie</v>
      </c>
      <c r="D1106">
        <v>2014212</v>
      </c>
      <c r="E1106" t="str">
        <f>IFERROR(+VLOOKUP(Movimientos_2026[[#This Row],[Codigo]],Plan_cuentas[],2,FALSE)," ")</f>
        <v>EGRESOS</v>
      </c>
      <c r="F1106" t="str">
        <f>IFERROR(+VLOOKUP(Movimientos_2026[[#This Row],[Codigo]],Plan_cuentas[],3,FALSE)," ")</f>
        <v>BtoB</v>
      </c>
      <c r="G1106" t="str">
        <f>IFERROR(+VLOOKUP(Movimientos_2026[[#This Row],[Codigo]],Plan_cuentas[],4,FALSE)," ")</f>
        <v>Rentas</v>
      </c>
      <c r="H1106" t="str">
        <f>IFERROR(+VLOOKUP(Movimientos_2026[[#This Row],[Codigo]],Plan_cuentas[],5,FALSE)," ")</f>
        <v>CORRIENTES 2° Q</v>
      </c>
      <c r="I1106" s="43">
        <v>46082</v>
      </c>
      <c r="J1106" t="s">
        <v>477</v>
      </c>
      <c r="K1106" t="str">
        <f>IFERROR(+VLOOKUP(Movimientos_2026[[#This Row],[Codigo]],Plan_cuentas[],6,FALSE)," ")</f>
        <v>2 - PR - Plan Rombo</v>
      </c>
      <c r="L1106" s="50"/>
      <c r="M1106" s="52">
        <v>38324734.030000001</v>
      </c>
      <c r="N1106" s="20">
        <f>+Movimientos_2026[[#This Row],[Ingresos]]-Movimientos_2026[[#This Row],[Egresos]]</f>
        <v>-38324734.030000001</v>
      </c>
      <c r="O1106" s="20">
        <f>+O1105+Movimientos_2026[[#This Row],[Neto]]</f>
        <v>3972569765.591074</v>
      </c>
    </row>
    <row r="1107" spans="1:15" x14ac:dyDescent="0.25">
      <c r="A1107" s="13">
        <v>46120</v>
      </c>
      <c r="B1107" s="12">
        <f>MONTH(Movimientos_2026[[#This Row],[Fecha]])</f>
        <v>4</v>
      </c>
      <c r="C1107" s="12" t="str">
        <f>VLOOKUP((WEEKDAY(Movimientos_2026[[#This Row],[Fecha]],2)),'5. Setup'!$D$6:$E$12,2,FALSE)</f>
        <v>Mie</v>
      </c>
      <c r="D1107">
        <v>1043153</v>
      </c>
      <c r="E1107" t="str">
        <f>IFERROR(+VLOOKUP(Movimientos_2026[[#This Row],[Codigo]],Plan_cuentas[],2,FALSE)," ")</f>
        <v>INGRESOS</v>
      </c>
      <c r="F1107" t="str">
        <f>IFERROR(+VLOOKUP(Movimientos_2026[[#This Row],[Codigo]],Plan_cuentas[],3,FALSE)," ")</f>
        <v>Transferencia</v>
      </c>
      <c r="G1107" t="str">
        <f>IFERROR(+VLOOKUP(Movimientos_2026[[#This Row],[Codigo]],Plan_cuentas[],4,FALSE)," ")</f>
        <v>Registración</v>
      </c>
      <c r="H1107" t="str">
        <f>IFERROR(+VLOOKUP(Movimientos_2026[[#This Row],[Codigo]],Plan_cuentas[],5,FALSE)," ")</f>
        <v>CABA</v>
      </c>
      <c r="I1107" s="43">
        <v>46082</v>
      </c>
      <c r="J1107" t="s">
        <v>478</v>
      </c>
      <c r="K1107" t="str">
        <f>IFERROR(+VLOOKUP(Movimientos_2026[[#This Row],[Codigo]],Plan_cuentas[],6,FALSE)," ")</f>
        <v>3 - GM - Chevrolet</v>
      </c>
      <c r="L1107" s="50">
        <v>50887358.240000002</v>
      </c>
      <c r="M1107" s="50"/>
      <c r="N1107" s="20">
        <f>+Movimientos_2026[[#This Row],[Ingresos]]-Movimientos_2026[[#This Row],[Egresos]]</f>
        <v>50887358.240000002</v>
      </c>
      <c r="O1107" s="20">
        <f>+O1106+Movimientos_2026[[#This Row],[Neto]]</f>
        <v>4023457123.8310738</v>
      </c>
    </row>
    <row r="1108" spans="1:15" x14ac:dyDescent="0.25">
      <c r="A1108" s="13">
        <v>46120</v>
      </c>
      <c r="B1108" s="12">
        <f>MONTH(Movimientos_2026[[#This Row],[Fecha]])</f>
        <v>4</v>
      </c>
      <c r="C1108" s="12" t="str">
        <f>VLOOKUP((WEEKDAY(Movimientos_2026[[#This Row],[Fecha]],2)),'5. Setup'!$D$6:$E$12,2,FALSE)</f>
        <v>Mie</v>
      </c>
      <c r="D1108">
        <v>1043223</v>
      </c>
      <c r="E1108" t="str">
        <f>IFERROR(+VLOOKUP(Movimientos_2026[[#This Row],[Codigo]],Plan_cuentas[],2,FALSE)," ")</f>
        <v>INGRESOS</v>
      </c>
      <c r="F1108" t="str">
        <f>IFERROR(+VLOOKUP(Movimientos_2026[[#This Row],[Codigo]],Plan_cuentas[],3,FALSE)," ")</f>
        <v>Transferencia</v>
      </c>
      <c r="G1108" t="str">
        <f>IFERROR(+VLOOKUP(Movimientos_2026[[#This Row],[Codigo]],Plan_cuentas[],4,FALSE)," ")</f>
        <v>Registración</v>
      </c>
      <c r="H1108" t="str">
        <f>IFERROR(+VLOOKUP(Movimientos_2026[[#This Row],[Codigo]],Plan_cuentas[],5,FALSE)," ")</f>
        <v>ENTRE RIOS 1° Q</v>
      </c>
      <c r="I1108" s="43">
        <v>46082</v>
      </c>
      <c r="J1108" t="s">
        <v>478</v>
      </c>
      <c r="K1108" t="str">
        <f>IFERROR(+VLOOKUP(Movimientos_2026[[#This Row],[Codigo]],Plan_cuentas[],6,FALSE)," ")</f>
        <v>3 - GM - Chevrolet</v>
      </c>
      <c r="L1108" s="50">
        <v>22532174.405000001</v>
      </c>
      <c r="M1108" s="50"/>
      <c r="N1108" s="20">
        <f>+Movimientos_2026[[#This Row],[Ingresos]]-Movimientos_2026[[#This Row],[Egresos]]</f>
        <v>22532174.405000001</v>
      </c>
      <c r="O1108" s="20">
        <f>+O1107+Movimientos_2026[[#This Row],[Neto]]</f>
        <v>4045989298.236074</v>
      </c>
    </row>
    <row r="1109" spans="1:15" x14ac:dyDescent="0.25">
      <c r="A1109" s="13">
        <v>46120</v>
      </c>
      <c r="B1109" s="12">
        <f>MONTH(Movimientos_2026[[#This Row],[Fecha]])</f>
        <v>4</v>
      </c>
      <c r="C1109" s="12" t="str">
        <f>VLOOKUP((WEEKDAY(Movimientos_2026[[#This Row],[Fecha]],2)),'5. Setup'!$D$6:$E$12,2,FALSE)</f>
        <v>Mie</v>
      </c>
      <c r="D1109">
        <v>1043233</v>
      </c>
      <c r="E1109" t="str">
        <f>IFERROR(+VLOOKUP(Movimientos_2026[[#This Row],[Codigo]],Plan_cuentas[],2,FALSE)," ")</f>
        <v>INGRESOS</v>
      </c>
      <c r="F1109" t="str">
        <f>IFERROR(+VLOOKUP(Movimientos_2026[[#This Row],[Codigo]],Plan_cuentas[],3,FALSE)," ")</f>
        <v>Transferencia</v>
      </c>
      <c r="G1109" t="str">
        <f>IFERROR(+VLOOKUP(Movimientos_2026[[#This Row],[Codigo]],Plan_cuentas[],4,FALSE)," ")</f>
        <v>Registración</v>
      </c>
      <c r="H1109" t="str">
        <f>IFERROR(+VLOOKUP(Movimientos_2026[[#This Row],[Codigo]],Plan_cuentas[],5,FALSE)," ")</f>
        <v>ENTRE RIOS 2° Q</v>
      </c>
      <c r="I1109" s="43">
        <v>46082</v>
      </c>
      <c r="J1109" t="s">
        <v>478</v>
      </c>
      <c r="K1109" t="str">
        <f>IFERROR(+VLOOKUP(Movimientos_2026[[#This Row],[Codigo]],Plan_cuentas[],6,FALSE)," ")</f>
        <v>3 - GM - Chevrolet</v>
      </c>
      <c r="L1109" s="50">
        <v>22532174.405000001</v>
      </c>
      <c r="M1109" s="50"/>
      <c r="N1109" s="20">
        <f>+Movimientos_2026[[#This Row],[Ingresos]]-Movimientos_2026[[#This Row],[Egresos]]</f>
        <v>22532174.405000001</v>
      </c>
      <c r="O1109" s="20">
        <f>+O1108+Movimientos_2026[[#This Row],[Neto]]</f>
        <v>4068521472.6410742</v>
      </c>
    </row>
    <row r="1110" spans="1:15" x14ac:dyDescent="0.25">
      <c r="A1110" s="13">
        <v>46120</v>
      </c>
      <c r="B1110" s="12">
        <f>MONTH(Movimientos_2026[[#This Row],[Fecha]])</f>
        <v>4</v>
      </c>
      <c r="C1110" s="12" t="str">
        <f>VLOOKUP((WEEKDAY(Movimientos_2026[[#This Row],[Fecha]],2)),'5. Setup'!$D$6:$E$12,2,FALSE)</f>
        <v>Mie</v>
      </c>
      <c r="D1110">
        <v>1043383</v>
      </c>
      <c r="E1110" t="str">
        <f>IFERROR(+VLOOKUP(Movimientos_2026[[#This Row],[Codigo]],Plan_cuentas[],2,FALSE)," ")</f>
        <v>INGRESOS</v>
      </c>
      <c r="F1110" t="str">
        <f>IFERROR(+VLOOKUP(Movimientos_2026[[#This Row],[Codigo]],Plan_cuentas[],3,FALSE)," ")</f>
        <v>Transferencia</v>
      </c>
      <c r="G1110" t="str">
        <f>IFERROR(+VLOOKUP(Movimientos_2026[[#This Row],[Codigo]],Plan_cuentas[],4,FALSE)," ")</f>
        <v>Registración</v>
      </c>
      <c r="H1110" t="str">
        <f>IFERROR(+VLOOKUP(Movimientos_2026[[#This Row],[Codigo]],Plan_cuentas[],5,FALSE)," ")</f>
        <v>SANTA FE 1° Q</v>
      </c>
      <c r="I1110" s="43">
        <v>46082</v>
      </c>
      <c r="J1110" t="s">
        <v>478</v>
      </c>
      <c r="K1110" t="str">
        <f>IFERROR(+VLOOKUP(Movimientos_2026[[#This Row],[Codigo]],Plan_cuentas[],6,FALSE)," ")</f>
        <v>3 - GM - Chevrolet</v>
      </c>
      <c r="L1110" s="50">
        <v>32550557.192499999</v>
      </c>
      <c r="M1110" s="50"/>
      <c r="N1110" s="20">
        <f>+Movimientos_2026[[#This Row],[Ingresos]]-Movimientos_2026[[#This Row],[Egresos]]</f>
        <v>32550557.192499999</v>
      </c>
      <c r="O1110" s="20">
        <f>+O1109+Movimientos_2026[[#This Row],[Neto]]</f>
        <v>4101072029.8335743</v>
      </c>
    </row>
    <row r="1111" spans="1:15" x14ac:dyDescent="0.25">
      <c r="A1111" s="13">
        <v>46120</v>
      </c>
      <c r="B1111" s="12">
        <f>MONTH(Movimientos_2026[[#This Row],[Fecha]])</f>
        <v>4</v>
      </c>
      <c r="C1111" s="12" t="str">
        <f>VLOOKUP((WEEKDAY(Movimientos_2026[[#This Row],[Fecha]],2)),'5. Setup'!$D$6:$E$12,2,FALSE)</f>
        <v>Mie</v>
      </c>
      <c r="D1111">
        <v>1043393</v>
      </c>
      <c r="E1111" t="str">
        <f>IFERROR(+VLOOKUP(Movimientos_2026[[#This Row],[Codigo]],Plan_cuentas[],2,FALSE)," ")</f>
        <v>INGRESOS</v>
      </c>
      <c r="F1111" t="str">
        <f>IFERROR(+VLOOKUP(Movimientos_2026[[#This Row],[Codigo]],Plan_cuentas[],3,FALSE)," ")</f>
        <v>Transferencia</v>
      </c>
      <c r="G1111" t="str">
        <f>IFERROR(+VLOOKUP(Movimientos_2026[[#This Row],[Codigo]],Plan_cuentas[],4,FALSE)," ")</f>
        <v>Registración</v>
      </c>
      <c r="H1111" t="str">
        <f>IFERROR(+VLOOKUP(Movimientos_2026[[#This Row],[Codigo]],Plan_cuentas[],5,FALSE)," ")</f>
        <v>SANTA FE 2° Q</v>
      </c>
      <c r="I1111" s="43">
        <v>46082</v>
      </c>
      <c r="J1111" t="s">
        <v>478</v>
      </c>
      <c r="K1111" t="str">
        <f>IFERROR(+VLOOKUP(Movimientos_2026[[#This Row],[Codigo]],Plan_cuentas[],6,FALSE)," ")</f>
        <v>3 - GM - Chevrolet</v>
      </c>
      <c r="L1111" s="50">
        <v>32550557.192499999</v>
      </c>
      <c r="M1111" s="50"/>
      <c r="N1111" s="20">
        <f>+Movimientos_2026[[#This Row],[Ingresos]]-Movimientos_2026[[#This Row],[Egresos]]</f>
        <v>32550557.192499999</v>
      </c>
      <c r="O1111" s="20">
        <f>+O1110+Movimientos_2026[[#This Row],[Neto]]</f>
        <v>4133622587.0260744</v>
      </c>
    </row>
    <row r="1112" spans="1:15" x14ac:dyDescent="0.25">
      <c r="A1112" s="13">
        <v>46120</v>
      </c>
      <c r="B1112" s="12">
        <f>MONTH(Movimientos_2026[[#This Row],[Fecha]])</f>
        <v>4</v>
      </c>
      <c r="C1112" s="12" t="str">
        <f>VLOOKUP((WEEKDAY(Movimientos_2026[[#This Row],[Fecha]],2)),'5. Setup'!$D$6:$E$12,2,FALSE)</f>
        <v>Mie</v>
      </c>
      <c r="D1112">
        <v>1044163</v>
      </c>
      <c r="E1112" t="str">
        <f>IFERROR(+VLOOKUP(Movimientos_2026[[#This Row],[Codigo]],Plan_cuentas[],2,FALSE)," ")</f>
        <v>INGRESOS</v>
      </c>
      <c r="F1112" t="str">
        <f>IFERROR(+VLOOKUP(Movimientos_2026[[#This Row],[Codigo]],Plan_cuentas[],3,FALSE)," ")</f>
        <v>Transferencia</v>
      </c>
      <c r="G1112" t="str">
        <f>IFERROR(+VLOOKUP(Movimientos_2026[[#This Row],[Codigo]],Plan_cuentas[],4,FALSE)," ")</f>
        <v>Rentas</v>
      </c>
      <c r="H1112" t="str">
        <f>IFERROR(+VLOOKUP(Movimientos_2026[[#This Row],[Codigo]],Plan_cuentas[],5,FALSE)," ")</f>
        <v>CHACO</v>
      </c>
      <c r="I1112" s="43">
        <v>46082</v>
      </c>
      <c r="J1112" t="s">
        <v>478</v>
      </c>
      <c r="K1112" t="str">
        <f>IFERROR(+VLOOKUP(Movimientos_2026[[#This Row],[Codigo]],Plan_cuentas[],6,FALSE)," ")</f>
        <v>3 - GM - Chevrolet</v>
      </c>
      <c r="L1112" s="50">
        <v>39847409.890000001</v>
      </c>
      <c r="M1112" s="50"/>
      <c r="N1112" s="20">
        <f>+Movimientos_2026[[#This Row],[Ingresos]]-Movimientos_2026[[#This Row],[Egresos]]</f>
        <v>39847409.890000001</v>
      </c>
      <c r="O1112" s="20">
        <f>+O1111+Movimientos_2026[[#This Row],[Neto]]</f>
        <v>4173469996.9160743</v>
      </c>
    </row>
    <row r="1113" spans="1:15" x14ac:dyDescent="0.25">
      <c r="A1113" s="13">
        <v>46120</v>
      </c>
      <c r="B1113" s="12">
        <f>MONTH(Movimientos_2026[[#This Row],[Fecha]])</f>
        <v>4</v>
      </c>
      <c r="C1113" s="12" t="str">
        <f>VLOOKUP((WEEKDAY(Movimientos_2026[[#This Row],[Fecha]],2)),'5. Setup'!$D$6:$E$12,2,FALSE)</f>
        <v>Mie</v>
      </c>
      <c r="D1113">
        <v>1044173</v>
      </c>
      <c r="E1113" t="str">
        <f>IFERROR(+VLOOKUP(Movimientos_2026[[#This Row],[Codigo]],Plan_cuentas[],2,FALSE)," ")</f>
        <v>INGRESOS</v>
      </c>
      <c r="F1113" t="str">
        <f>IFERROR(+VLOOKUP(Movimientos_2026[[#This Row],[Codigo]],Plan_cuentas[],3,FALSE)," ")</f>
        <v>Transferencia</v>
      </c>
      <c r="G1113" t="str">
        <f>IFERROR(+VLOOKUP(Movimientos_2026[[#This Row],[Codigo]],Plan_cuentas[],4,FALSE)," ")</f>
        <v>Rentas</v>
      </c>
      <c r="H1113" t="str">
        <f>IFERROR(+VLOOKUP(Movimientos_2026[[#This Row],[Codigo]],Plan_cuentas[],5,FALSE)," ")</f>
        <v>CHUBUT</v>
      </c>
      <c r="I1113" s="43">
        <v>46082</v>
      </c>
      <c r="J1113" t="s">
        <v>478</v>
      </c>
      <c r="K1113" t="str">
        <f>IFERROR(+VLOOKUP(Movimientos_2026[[#This Row],[Codigo]],Plan_cuentas[],6,FALSE)," ")</f>
        <v>3 - GM - Chevrolet</v>
      </c>
      <c r="L1113" s="50">
        <v>8886825.7125000004</v>
      </c>
      <c r="M1113" s="50"/>
      <c r="N1113" s="20">
        <f>+Movimientos_2026[[#This Row],[Ingresos]]-Movimientos_2026[[#This Row],[Egresos]]</f>
        <v>8886825.7125000004</v>
      </c>
      <c r="O1113" s="20">
        <f>+O1112+Movimientos_2026[[#This Row],[Neto]]</f>
        <v>4182356822.6285744</v>
      </c>
    </row>
    <row r="1114" spans="1:15" x14ac:dyDescent="0.25">
      <c r="A1114" s="13">
        <v>46120</v>
      </c>
      <c r="B1114" s="12">
        <f>MONTH(Movimientos_2026[[#This Row],[Fecha]])</f>
        <v>4</v>
      </c>
      <c r="C1114" s="12" t="str">
        <f>VLOOKUP((WEEKDAY(Movimientos_2026[[#This Row],[Fecha]],2)),'5. Setup'!$D$6:$E$12,2,FALSE)</f>
        <v>Mie</v>
      </c>
      <c r="D1114">
        <v>1044243</v>
      </c>
      <c r="E1114" t="str">
        <f>IFERROR(+VLOOKUP(Movimientos_2026[[#This Row],[Codigo]],Plan_cuentas[],2,FALSE)," ")</f>
        <v>INGRESOS</v>
      </c>
      <c r="F1114" t="str">
        <f>IFERROR(+VLOOKUP(Movimientos_2026[[#This Row],[Codigo]],Plan_cuentas[],3,FALSE)," ")</f>
        <v>Transferencia</v>
      </c>
      <c r="G1114" t="str">
        <f>IFERROR(+VLOOKUP(Movimientos_2026[[#This Row],[Codigo]],Plan_cuentas[],4,FALSE)," ")</f>
        <v>Rentas</v>
      </c>
      <c r="H1114" t="str">
        <f>IFERROR(+VLOOKUP(Movimientos_2026[[#This Row],[Codigo]],Plan_cuentas[],5,FALSE)," ")</f>
        <v>FORMOSA</v>
      </c>
      <c r="I1114" s="43">
        <v>46082</v>
      </c>
      <c r="J1114" t="s">
        <v>478</v>
      </c>
      <c r="K1114" t="str">
        <f>IFERROR(+VLOOKUP(Movimientos_2026[[#This Row],[Codigo]],Plan_cuentas[],6,FALSE)," ")</f>
        <v>3 - GM - Chevrolet</v>
      </c>
      <c r="L1114" s="50">
        <v>21551360.055</v>
      </c>
      <c r="M1114" s="50"/>
      <c r="N1114" s="20">
        <f>+Movimientos_2026[[#This Row],[Ingresos]]-Movimientos_2026[[#This Row],[Egresos]]</f>
        <v>21551360.055</v>
      </c>
      <c r="O1114" s="20">
        <f>+O1113+Movimientos_2026[[#This Row],[Neto]]</f>
        <v>4203908182.6835742</v>
      </c>
    </row>
    <row r="1115" spans="1:15" x14ac:dyDescent="0.25">
      <c r="A1115" s="13">
        <v>46120</v>
      </c>
      <c r="B1115" s="12">
        <f>MONTH(Movimientos_2026[[#This Row],[Fecha]])</f>
        <v>4</v>
      </c>
      <c r="C1115" s="12" t="str">
        <f>VLOOKUP((WEEKDAY(Movimientos_2026[[#This Row],[Fecha]],2)),'5. Setup'!$D$6:$E$12,2,FALSE)</f>
        <v>Mie</v>
      </c>
      <c r="D1115">
        <v>1044263</v>
      </c>
      <c r="E1115" t="str">
        <f>IFERROR(+VLOOKUP(Movimientos_2026[[#This Row],[Codigo]],Plan_cuentas[],2,FALSE)," ")</f>
        <v>INGRESOS</v>
      </c>
      <c r="F1115" t="str">
        <f>IFERROR(+VLOOKUP(Movimientos_2026[[#This Row],[Codigo]],Plan_cuentas[],3,FALSE)," ")</f>
        <v>Transferencia</v>
      </c>
      <c r="G1115" t="str">
        <f>IFERROR(+VLOOKUP(Movimientos_2026[[#This Row],[Codigo]],Plan_cuentas[],4,FALSE)," ")</f>
        <v>Rentas</v>
      </c>
      <c r="H1115" t="str">
        <f>IFERROR(+VLOOKUP(Movimientos_2026[[#This Row],[Codigo]],Plan_cuentas[],5,FALSE)," ")</f>
        <v>LA PAMPA</v>
      </c>
      <c r="I1115" s="43">
        <v>46082</v>
      </c>
      <c r="J1115" t="s">
        <v>478</v>
      </c>
      <c r="K1115" t="str">
        <f>IFERROR(+VLOOKUP(Movimientos_2026[[#This Row],[Codigo]],Plan_cuentas[],6,FALSE)," ")</f>
        <v>3 - GM - Chevrolet</v>
      </c>
      <c r="L1115" s="50">
        <v>5819863.5</v>
      </c>
      <c r="M1115" s="50"/>
      <c r="N1115" s="20">
        <f>+Movimientos_2026[[#This Row],[Ingresos]]-Movimientos_2026[[#This Row],[Egresos]]</f>
        <v>5819863.5</v>
      </c>
      <c r="O1115" s="20">
        <f>+O1114+Movimientos_2026[[#This Row],[Neto]]</f>
        <v>4209728046.1835742</v>
      </c>
    </row>
    <row r="1116" spans="1:15" x14ac:dyDescent="0.25">
      <c r="A1116" s="13">
        <v>46120</v>
      </c>
      <c r="B1116" s="12">
        <f>MONTH(Movimientos_2026[[#This Row],[Fecha]])</f>
        <v>4</v>
      </c>
      <c r="C1116" s="12" t="str">
        <f>VLOOKUP((WEEKDAY(Movimientos_2026[[#This Row],[Fecha]],2)),'5. Setup'!$D$6:$E$12,2,FALSE)</f>
        <v>Mie</v>
      </c>
      <c r="D1116">
        <v>1044463</v>
      </c>
      <c r="E1116" t="str">
        <f>IFERROR(+VLOOKUP(Movimientos_2026[[#This Row],[Codigo]],Plan_cuentas[],2,FALSE)," ")</f>
        <v>INGRESOS</v>
      </c>
      <c r="F1116" t="str">
        <f>IFERROR(+VLOOKUP(Movimientos_2026[[#This Row],[Codigo]],Plan_cuentas[],3,FALSE)," ")</f>
        <v>Transferencia</v>
      </c>
      <c r="G1116" t="str">
        <f>IFERROR(+VLOOKUP(Movimientos_2026[[#This Row],[Codigo]],Plan_cuentas[],4,FALSE)," ")</f>
        <v>Rentas</v>
      </c>
      <c r="H1116" t="str">
        <f>IFERROR(+VLOOKUP(Movimientos_2026[[#This Row],[Codigo]],Plan_cuentas[],5,FALSE)," ")</f>
        <v>MISIONES</v>
      </c>
      <c r="I1116" s="43">
        <v>46082</v>
      </c>
      <c r="J1116" t="s">
        <v>478</v>
      </c>
      <c r="K1116" t="str">
        <f>IFERROR(+VLOOKUP(Movimientos_2026[[#This Row],[Codigo]],Plan_cuentas[],6,FALSE)," ")</f>
        <v>3 - GM - Chevrolet</v>
      </c>
      <c r="L1116" s="50">
        <v>4879064.4249999998</v>
      </c>
      <c r="M1116" s="50"/>
      <c r="N1116" s="20">
        <f>+Movimientos_2026[[#This Row],[Ingresos]]-Movimientos_2026[[#This Row],[Egresos]]</f>
        <v>4879064.4249999998</v>
      </c>
      <c r="O1116" s="20">
        <f>+O1115+Movimientos_2026[[#This Row],[Neto]]</f>
        <v>4214607110.6085744</v>
      </c>
    </row>
    <row r="1117" spans="1:15" x14ac:dyDescent="0.25">
      <c r="A1117" s="13">
        <v>46120</v>
      </c>
      <c r="B1117" s="12">
        <f>MONTH(Movimientos_2026[[#This Row],[Fecha]])</f>
        <v>4</v>
      </c>
      <c r="C1117" s="12" t="str">
        <f>VLOOKUP((WEEKDAY(Movimientos_2026[[#This Row],[Fecha]],2)),'5. Setup'!$D$6:$E$12,2,FALSE)</f>
        <v>Mie</v>
      </c>
      <c r="D1117">
        <v>1044353</v>
      </c>
      <c r="E1117" t="str">
        <f>IFERROR(+VLOOKUP(Movimientos_2026[[#This Row],[Codigo]],Plan_cuentas[],2,FALSE)," ")</f>
        <v>INGRESOS</v>
      </c>
      <c r="F1117" t="str">
        <f>IFERROR(+VLOOKUP(Movimientos_2026[[#This Row],[Codigo]],Plan_cuentas[],3,FALSE)," ")</f>
        <v>Transferencia</v>
      </c>
      <c r="G1117" t="str">
        <f>IFERROR(+VLOOKUP(Movimientos_2026[[#This Row],[Codigo]],Plan_cuentas[],4,FALSE)," ")</f>
        <v>Rentas</v>
      </c>
      <c r="H1117" t="str">
        <f>IFERROR(+VLOOKUP(Movimientos_2026[[#This Row],[Codigo]],Plan_cuentas[],5,FALSE)," ")</f>
        <v>SAN JUAN</v>
      </c>
      <c r="I1117" s="43">
        <v>46082</v>
      </c>
      <c r="J1117" t="s">
        <v>478</v>
      </c>
      <c r="K1117" t="str">
        <f>IFERROR(+VLOOKUP(Movimientos_2026[[#This Row],[Codigo]],Plan_cuentas[],6,FALSE)," ")</f>
        <v>3 - GM - Chevrolet</v>
      </c>
      <c r="L1117" s="50">
        <v>10314923.52</v>
      </c>
      <c r="M1117" s="50"/>
      <c r="N1117" s="20">
        <f>+Movimientos_2026[[#This Row],[Ingresos]]-Movimientos_2026[[#This Row],[Egresos]]</f>
        <v>10314923.52</v>
      </c>
      <c r="O1117" s="20">
        <f>+O1116+Movimientos_2026[[#This Row],[Neto]]</f>
        <v>4224922034.1285744</v>
      </c>
    </row>
    <row r="1118" spans="1:15" x14ac:dyDescent="0.25">
      <c r="A1118" s="13">
        <v>46120</v>
      </c>
      <c r="B1118" s="12">
        <f>MONTH(Movimientos_2026[[#This Row],[Fecha]])</f>
        <v>4</v>
      </c>
      <c r="C1118" s="12" t="str">
        <f>VLOOKUP((WEEKDAY(Movimientos_2026[[#This Row],[Fecha]],2)),'5. Setup'!$D$6:$E$12,2,FALSE)</f>
        <v>Mie</v>
      </c>
      <c r="D1118">
        <v>1044363</v>
      </c>
      <c r="E1118" t="str">
        <f>IFERROR(+VLOOKUP(Movimientos_2026[[#This Row],[Codigo]],Plan_cuentas[],2,FALSE)," ")</f>
        <v>INGRESOS</v>
      </c>
      <c r="F1118" t="str">
        <f>IFERROR(+VLOOKUP(Movimientos_2026[[#This Row],[Codigo]],Plan_cuentas[],3,FALSE)," ")</f>
        <v>Transferencia</v>
      </c>
      <c r="G1118" t="str">
        <f>IFERROR(+VLOOKUP(Movimientos_2026[[#This Row],[Codigo]],Plan_cuentas[],4,FALSE)," ")</f>
        <v>Rentas</v>
      </c>
      <c r="H1118" t="str">
        <f>IFERROR(+VLOOKUP(Movimientos_2026[[#This Row],[Codigo]],Plan_cuentas[],5,FALSE)," ")</f>
        <v>SAN LUIS</v>
      </c>
      <c r="I1118" s="43">
        <v>46082</v>
      </c>
      <c r="J1118" t="s">
        <v>478</v>
      </c>
      <c r="K1118" t="str">
        <f>IFERROR(+VLOOKUP(Movimientos_2026[[#This Row],[Codigo]],Plan_cuentas[],6,FALSE)," ")</f>
        <v>3 - GM - Chevrolet</v>
      </c>
      <c r="L1118" s="50">
        <v>12772897.211999999</v>
      </c>
      <c r="M1118" s="50"/>
      <c r="N1118" s="20">
        <f>+Movimientos_2026[[#This Row],[Ingresos]]-Movimientos_2026[[#This Row],[Egresos]]</f>
        <v>12772897.211999999</v>
      </c>
      <c r="O1118" s="20">
        <f>+O1117+Movimientos_2026[[#This Row],[Neto]]</f>
        <v>4237694931.3405743</v>
      </c>
    </row>
    <row r="1119" spans="1:15" x14ac:dyDescent="0.25">
      <c r="A1119" s="13">
        <v>46120</v>
      </c>
      <c r="B1119" s="12">
        <f>MONTH(Movimientos_2026[[#This Row],[Fecha]])</f>
        <v>4</v>
      </c>
      <c r="C1119" s="12" t="str">
        <f>VLOOKUP((WEEKDAY(Movimientos_2026[[#This Row],[Fecha]],2)),'5. Setup'!$D$6:$E$12,2,FALSE)</f>
        <v>Mie</v>
      </c>
      <c r="D1119">
        <v>1044403</v>
      </c>
      <c r="E1119" t="str">
        <f>IFERROR(+VLOOKUP(Movimientos_2026[[#This Row],[Codigo]],Plan_cuentas[],2,FALSE)," ")</f>
        <v>INGRESOS</v>
      </c>
      <c r="F1119" t="str">
        <f>IFERROR(+VLOOKUP(Movimientos_2026[[#This Row],[Codigo]],Plan_cuentas[],3,FALSE)," ")</f>
        <v>Transferencia</v>
      </c>
      <c r="G1119" t="str">
        <f>IFERROR(+VLOOKUP(Movimientos_2026[[#This Row],[Codigo]],Plan_cuentas[],4,FALSE)," ")</f>
        <v>Rentas</v>
      </c>
      <c r="H1119" t="str">
        <f>IFERROR(+VLOOKUP(Movimientos_2026[[#This Row],[Codigo]],Plan_cuentas[],5,FALSE)," ")</f>
        <v>SANTIAGO DEL ESTERO</v>
      </c>
      <c r="I1119" s="43">
        <v>46082</v>
      </c>
      <c r="J1119" t="s">
        <v>478</v>
      </c>
      <c r="K1119" t="str">
        <f>IFERROR(+VLOOKUP(Movimientos_2026[[#This Row],[Codigo]],Plan_cuentas[],6,FALSE)," ")</f>
        <v>3 - GM - Chevrolet</v>
      </c>
      <c r="L1119" s="50">
        <v>22627848.879999999</v>
      </c>
      <c r="M1119" s="50"/>
      <c r="N1119" s="20">
        <f>+Movimientos_2026[[#This Row],[Ingresos]]-Movimientos_2026[[#This Row],[Egresos]]</f>
        <v>22627848.879999999</v>
      </c>
      <c r="O1119" s="20">
        <f>+O1118+Movimientos_2026[[#This Row],[Neto]]</f>
        <v>4260322780.2205744</v>
      </c>
    </row>
    <row r="1120" spans="1:15" x14ac:dyDescent="0.25">
      <c r="A1120" s="13">
        <v>46120</v>
      </c>
      <c r="B1120" s="12">
        <f>MONTH(Movimientos_2026[[#This Row],[Fecha]])</f>
        <v>4</v>
      </c>
      <c r="C1120" s="12" t="str">
        <f>VLOOKUP((WEEKDAY(Movimientos_2026[[#This Row],[Fecha]],2)),'5. Setup'!$D$6:$E$12,2,FALSE)</f>
        <v>Mie</v>
      </c>
      <c r="D1120">
        <v>1044413</v>
      </c>
      <c r="E1120" t="str">
        <f>IFERROR(+VLOOKUP(Movimientos_2026[[#This Row],[Codigo]],Plan_cuentas[],2,FALSE)," ")</f>
        <v>INGRESOS</v>
      </c>
      <c r="F1120" t="str">
        <f>IFERROR(+VLOOKUP(Movimientos_2026[[#This Row],[Codigo]],Plan_cuentas[],3,FALSE)," ")</f>
        <v>Transferencia</v>
      </c>
      <c r="G1120" t="str">
        <f>IFERROR(+VLOOKUP(Movimientos_2026[[#This Row],[Codigo]],Plan_cuentas[],4,FALSE)," ")</f>
        <v>Rentas</v>
      </c>
      <c r="H1120" t="str">
        <f>IFERROR(+VLOOKUP(Movimientos_2026[[#This Row],[Codigo]],Plan_cuentas[],5,FALSE)," ")</f>
        <v>TIERRA DEL FUEGO</v>
      </c>
      <c r="I1120" s="43">
        <v>46082</v>
      </c>
      <c r="J1120" t="s">
        <v>478</v>
      </c>
      <c r="K1120" t="str">
        <f>IFERROR(+VLOOKUP(Movimientos_2026[[#This Row],[Codigo]],Plan_cuentas[],6,FALSE)," ")</f>
        <v>3 - GM - Chevrolet</v>
      </c>
      <c r="L1120" s="50">
        <v>10763886.33</v>
      </c>
      <c r="M1120" s="50"/>
      <c r="N1120" s="20">
        <f>+Movimientos_2026[[#This Row],[Ingresos]]-Movimientos_2026[[#This Row],[Egresos]]</f>
        <v>10763886.33</v>
      </c>
      <c r="O1120" s="20">
        <f>+O1119+Movimientos_2026[[#This Row],[Neto]]</f>
        <v>4271086666.5505743</v>
      </c>
    </row>
    <row r="1121" spans="1:15" x14ac:dyDescent="0.25">
      <c r="A1121" s="13">
        <v>46120</v>
      </c>
      <c r="B1121" s="12">
        <f>MONTH(Movimientos_2026[[#This Row],[Fecha]])</f>
        <v>4</v>
      </c>
      <c r="C1121" s="12" t="str">
        <f>VLOOKUP((WEEKDAY(Movimientos_2026[[#This Row],[Fecha]],2)),'5. Setup'!$D$6:$E$12,2,FALSE)</f>
        <v>Mie</v>
      </c>
      <c r="D1121">
        <v>1041133</v>
      </c>
      <c r="E1121" t="str">
        <f>IFERROR(+VLOOKUP(Movimientos_2026[[#This Row],[Codigo]],Plan_cuentas[],2,FALSE)," ")</f>
        <v>INGRESOS</v>
      </c>
      <c r="F1121" t="str">
        <f>IFERROR(+VLOOKUP(Movimientos_2026[[#This Row],[Codigo]],Plan_cuentas[],3,FALSE)," ")</f>
        <v>Transferencia</v>
      </c>
      <c r="G1121" t="str">
        <f>IFERROR(+VLOOKUP(Movimientos_2026[[#This Row],[Codigo]],Plan_cuentas[],4,FALSE)," ")</f>
        <v>Entidades co-participadas</v>
      </c>
      <c r="H1121" t="str">
        <f>IFERROR(+VLOOKUP(Movimientos_2026[[#This Row],[Codigo]],Plan_cuentas[],5,FALSE)," ")</f>
        <v>BCLP</v>
      </c>
      <c r="I1121" s="43">
        <v>46082</v>
      </c>
      <c r="J1121" t="s">
        <v>478</v>
      </c>
      <c r="K1121" t="str">
        <f>IFERROR(+VLOOKUP(Movimientos_2026[[#This Row],[Codigo]],Plan_cuentas[],6,FALSE)," ")</f>
        <v>3 - GM - Chevrolet</v>
      </c>
      <c r="L1121" s="50">
        <v>7079240.2400000002</v>
      </c>
      <c r="M1121" s="50"/>
      <c r="N1121" s="20">
        <f>+Movimientos_2026[[#This Row],[Ingresos]]-Movimientos_2026[[#This Row],[Egresos]]</f>
        <v>7079240.2400000002</v>
      </c>
      <c r="O1121" s="20">
        <f>+O1120+Movimientos_2026[[#This Row],[Neto]]</f>
        <v>4278165906.7905741</v>
      </c>
    </row>
    <row r="1122" spans="1:15" x14ac:dyDescent="0.25">
      <c r="A1122" s="13">
        <v>46120</v>
      </c>
      <c r="B1122" s="12">
        <f>MONTH(Movimientos_2026[[#This Row],[Fecha]])</f>
        <v>4</v>
      </c>
      <c r="C1122" s="12" t="str">
        <f>VLOOKUP((WEEKDAY(Movimientos_2026[[#This Row],[Fecha]],2)),'5. Setup'!$D$6:$E$12,2,FALSE)</f>
        <v>Mie</v>
      </c>
      <c r="D1122">
        <v>1041443</v>
      </c>
      <c r="E1122" t="str">
        <f>IFERROR(+VLOOKUP(Movimientos_2026[[#This Row],[Codigo]],Plan_cuentas[],2,FALSE)," ")</f>
        <v>INGRESOS</v>
      </c>
      <c r="F1122" t="str">
        <f>IFERROR(+VLOOKUP(Movimientos_2026[[#This Row],[Codigo]],Plan_cuentas[],3,FALSE)," ")</f>
        <v>Transferencia</v>
      </c>
      <c r="G1122" t="str">
        <f>IFERROR(+VLOOKUP(Movimientos_2026[[#This Row],[Codigo]],Plan_cuentas[],4,FALSE)," ")</f>
        <v>Entidades co-participadas</v>
      </c>
      <c r="H1122" t="str">
        <f>IFERROR(+VLOOKUP(Movimientos_2026[[#This Row],[Codigo]],Plan_cuentas[],5,FALSE)," ")</f>
        <v>UISCUMARR</v>
      </c>
      <c r="I1122" s="43">
        <v>46082</v>
      </c>
      <c r="J1122" t="s">
        <v>478</v>
      </c>
      <c r="K1122" t="str">
        <f>IFERROR(+VLOOKUP(Movimientos_2026[[#This Row],[Codigo]],Plan_cuentas[],6,FALSE)," ")</f>
        <v>3 - GM - Chevrolet</v>
      </c>
      <c r="L1122" s="50">
        <v>40532445.210000001</v>
      </c>
      <c r="M1122" s="52"/>
      <c r="N1122" s="20">
        <f>+Movimientos_2026[[#This Row],[Ingresos]]-Movimientos_2026[[#This Row],[Egresos]]</f>
        <v>40532445.210000001</v>
      </c>
      <c r="O1122" s="20">
        <f>+O1121+Movimientos_2026[[#This Row],[Neto]]</f>
        <v>4318698352.0005741</v>
      </c>
    </row>
    <row r="1123" spans="1:15" x14ac:dyDescent="0.25">
      <c r="A1123" s="13">
        <v>46120</v>
      </c>
      <c r="B1123" s="12">
        <f>MONTH(Movimientos_2026[[#This Row],[Fecha]])</f>
        <v>4</v>
      </c>
      <c r="C1123" s="12" t="str">
        <f>VLOOKUP((WEEKDAY(Movimientos_2026[[#This Row],[Fecha]],2)),'5. Setup'!$D$6:$E$12,2,FALSE)</f>
        <v>Mie</v>
      </c>
      <c r="D1123">
        <v>1043143</v>
      </c>
      <c r="E1123" t="str">
        <f>IFERROR(+VLOOKUP(Movimientos_2026[[#This Row],[Codigo]],Plan_cuentas[],2,FALSE)," ")</f>
        <v>INGRESOS</v>
      </c>
      <c r="F1123" t="str">
        <f>IFERROR(+VLOOKUP(Movimientos_2026[[#This Row],[Codigo]],Plan_cuentas[],3,FALSE)," ")</f>
        <v>Transferencia</v>
      </c>
      <c r="G1123" t="str">
        <f>IFERROR(+VLOOKUP(Movimientos_2026[[#This Row],[Codigo]],Plan_cuentas[],4,FALSE)," ")</f>
        <v>Registración</v>
      </c>
      <c r="H1123" t="str">
        <f>IFERROR(+VLOOKUP(Movimientos_2026[[#This Row],[Codigo]],Plan_cuentas[],5,FALSE)," ")</f>
        <v>BUENOS AIRES</v>
      </c>
      <c r="I1123" s="43">
        <v>46082</v>
      </c>
      <c r="J1123" t="s">
        <v>478</v>
      </c>
      <c r="K1123" t="str">
        <f>IFERROR(+VLOOKUP(Movimientos_2026[[#This Row],[Codigo]],Plan_cuentas[],6,FALSE)," ")</f>
        <v>3 - GM - Chevrolet</v>
      </c>
      <c r="L1123" s="50">
        <v>293841552.98400003</v>
      </c>
      <c r="M1123" s="52"/>
      <c r="N1123" s="20">
        <f>+Movimientos_2026[[#This Row],[Ingresos]]-Movimientos_2026[[#This Row],[Egresos]]</f>
        <v>293841552.98400003</v>
      </c>
      <c r="O1123" s="20">
        <f>+O1122+Movimientos_2026[[#This Row],[Neto]]</f>
        <v>4612539904.9845743</v>
      </c>
    </row>
    <row r="1124" spans="1:15" x14ac:dyDescent="0.25">
      <c r="A1124" s="13">
        <v>46121</v>
      </c>
      <c r="B1124" s="12">
        <f>MONTH(Movimientos_2026[[#This Row],[Fecha]])</f>
        <v>4</v>
      </c>
      <c r="C1124" s="12" t="str">
        <f>VLOOKUP((WEEKDAY(Movimientos_2026[[#This Row],[Fecha]],2)),'5. Setup'!$D$6:$E$12,2,FALSE)</f>
        <v>Jue</v>
      </c>
      <c r="D1124">
        <v>2014214</v>
      </c>
      <c r="E1124" t="str">
        <f>IFERROR(+VLOOKUP(Movimientos_2026[[#This Row],[Codigo]],Plan_cuentas[],2,FALSE)," ")</f>
        <v>EGRESOS</v>
      </c>
      <c r="F1124" t="str">
        <f>IFERROR(+VLOOKUP(Movimientos_2026[[#This Row],[Codigo]],Plan_cuentas[],3,FALSE)," ")</f>
        <v>BtoB</v>
      </c>
      <c r="G1124" t="str">
        <f>IFERROR(+VLOOKUP(Movimientos_2026[[#This Row],[Codigo]],Plan_cuentas[],4,FALSE)," ")</f>
        <v>Rentas</v>
      </c>
      <c r="H1124" t="str">
        <f>IFERROR(+VLOOKUP(Movimientos_2026[[#This Row],[Codigo]],Plan_cuentas[],5,FALSE)," ")</f>
        <v>CORRIENTES 2° Q</v>
      </c>
      <c r="I1124" s="43">
        <v>46082</v>
      </c>
      <c r="J1124" t="s">
        <v>479</v>
      </c>
      <c r="K1124" t="str">
        <f>IFERROR(+VLOOKUP(Movimientos_2026[[#This Row],[Codigo]],Plan_cuentas[],6,FALSE)," ")</f>
        <v>4 - FCA - Fiat</v>
      </c>
      <c r="L1124" s="50"/>
      <c r="M1124" s="52">
        <v>4675823.47</v>
      </c>
      <c r="N1124" s="20">
        <f>+Movimientos_2026[[#This Row],[Ingresos]]-Movimientos_2026[[#This Row],[Egresos]]</f>
        <v>-4675823.47</v>
      </c>
      <c r="O1124" s="20">
        <f>+O1123+Movimientos_2026[[#This Row],[Neto]]</f>
        <v>4607864081.5145741</v>
      </c>
    </row>
    <row r="1125" spans="1:15" x14ac:dyDescent="0.25">
      <c r="A1125" s="13">
        <v>46121</v>
      </c>
      <c r="B1125" s="12">
        <f>MONTH(Movimientos_2026[[#This Row],[Fecha]])</f>
        <v>4</v>
      </c>
      <c r="C1125" s="12" t="str">
        <f>VLOOKUP((WEEKDAY(Movimientos_2026[[#This Row],[Fecha]],2)),'5. Setup'!$D$6:$E$12,2,FALSE)</f>
        <v>Jue</v>
      </c>
      <c r="D1125">
        <v>2044462</v>
      </c>
      <c r="E1125" t="str">
        <f>IFERROR(+VLOOKUP(Movimientos_2026[[#This Row],[Codigo]],Plan_cuentas[],2,FALSE)," ")</f>
        <v>EGRESOS</v>
      </c>
      <c r="F1125" t="str">
        <f>IFERROR(+VLOOKUP(Movimientos_2026[[#This Row],[Codigo]],Plan_cuentas[],3,FALSE)," ")</f>
        <v>Transferencia</v>
      </c>
      <c r="G1125" t="str">
        <f>IFERROR(+VLOOKUP(Movimientos_2026[[#This Row],[Codigo]],Plan_cuentas[],4,FALSE)," ")</f>
        <v>Rentas</v>
      </c>
      <c r="H1125" t="str">
        <f>IFERROR(+VLOOKUP(Movimientos_2026[[#This Row],[Codigo]],Plan_cuentas[],5,FALSE)," ")</f>
        <v>MISIONES</v>
      </c>
      <c r="I1125" s="43">
        <v>46082</v>
      </c>
      <c r="J1125" t="s">
        <v>480</v>
      </c>
      <c r="K1125" t="str">
        <f>IFERROR(+VLOOKUP(Movimientos_2026[[#This Row],[Codigo]],Plan_cuentas[],6,FALSE)," ")</f>
        <v>2 - PR - Plan Rombo</v>
      </c>
      <c r="L1125" s="50"/>
      <c r="M1125" s="52">
        <v>1348357.04</v>
      </c>
      <c r="N1125" s="20">
        <f>+Movimientos_2026[[#This Row],[Ingresos]]-Movimientos_2026[[#This Row],[Egresos]]</f>
        <v>-1348357.04</v>
      </c>
      <c r="O1125" s="20">
        <f>+O1124+Movimientos_2026[[#This Row],[Neto]]</f>
        <v>4606515724.4745741</v>
      </c>
    </row>
    <row r="1126" spans="1:15" x14ac:dyDescent="0.25">
      <c r="A1126" s="13">
        <v>46121</v>
      </c>
      <c r="B1126" s="12">
        <f>MONTH(Movimientos_2026[[#This Row],[Fecha]])</f>
        <v>4</v>
      </c>
      <c r="C1126" s="12" t="str">
        <f>VLOOKUP((WEEKDAY(Movimientos_2026[[#This Row],[Fecha]],2)),'5. Setup'!$D$6:$E$12,2,FALSE)</f>
        <v>Jue</v>
      </c>
      <c r="D1126">
        <v>2054196</v>
      </c>
      <c r="E1126" t="str">
        <f>IFERROR(+VLOOKUP(Movimientos_2026[[#This Row],[Codigo]],Plan_cuentas[],2,FALSE)," ")</f>
        <v>EGRESOS</v>
      </c>
      <c r="F1126" t="str">
        <f>IFERROR(+VLOOKUP(Movimientos_2026[[#This Row],[Codigo]],Plan_cuentas[],3,FALSE)," ")</f>
        <v>VEP</v>
      </c>
      <c r="G1126" t="str">
        <f>IFERROR(+VLOOKUP(Movimientos_2026[[#This Row],[Codigo]],Plan_cuentas[],4,FALSE)," ")</f>
        <v>Rentas</v>
      </c>
      <c r="H1126" t="str">
        <f>IFERROR(+VLOOKUP(Movimientos_2026[[#This Row],[Codigo]],Plan_cuentas[],5,FALSE)," ")</f>
        <v>CORDOBA 2° Q</v>
      </c>
      <c r="I1126" s="43">
        <v>46082</v>
      </c>
      <c r="J1126" t="s">
        <v>481</v>
      </c>
      <c r="K1126" t="str">
        <f>IFERROR(+VLOOKUP(Movimientos_2026[[#This Row],[Codigo]],Plan_cuentas[],6,FALSE)," ")</f>
        <v>6 - FCAtr - Fiat Transf.</v>
      </c>
      <c r="L1126" s="50"/>
      <c r="M1126" s="50">
        <v>18778545.9799999</v>
      </c>
      <c r="N1126" s="20">
        <f>+Movimientos_2026[[#This Row],[Ingresos]]-Movimientos_2026[[#This Row],[Egresos]]</f>
        <v>-18778545.9799999</v>
      </c>
      <c r="O1126" s="20">
        <f>+O1124+Movimientos_2026[[#This Row],[Neto]]</f>
        <v>4589085535.5345745</v>
      </c>
    </row>
    <row r="1127" spans="1:15" x14ac:dyDescent="0.25">
      <c r="A1127" s="13">
        <v>46121</v>
      </c>
      <c r="B1127" s="12">
        <f>MONTH(Movimientos_2026[[#This Row],[Fecha]])</f>
        <v>4</v>
      </c>
      <c r="C1127" s="12" t="str">
        <f>VLOOKUP((WEEKDAY(Movimientos_2026[[#This Row],[Fecha]],2)),'5. Setup'!$D$6:$E$12,2,FALSE)</f>
        <v>Jue</v>
      </c>
      <c r="D1127">
        <v>2034234</v>
      </c>
      <c r="E1127" t="str">
        <f>IFERROR(+VLOOKUP(Movimientos_2026[[#This Row],[Codigo]],Plan_cuentas[],2,FALSE)," ")</f>
        <v>EGRESOS</v>
      </c>
      <c r="F1127" t="str">
        <f>IFERROR(+VLOOKUP(Movimientos_2026[[#This Row],[Codigo]],Plan_cuentas[],3,FALSE)," ")</f>
        <v>Pagos Bco. Provincia</v>
      </c>
      <c r="G1127" t="str">
        <f>IFERROR(+VLOOKUP(Movimientos_2026[[#This Row],[Codigo]],Plan_cuentas[],4,FALSE)," ")</f>
        <v>Rentas</v>
      </c>
      <c r="H1127" t="str">
        <f>IFERROR(+VLOOKUP(Movimientos_2026[[#This Row],[Codigo]],Plan_cuentas[],5,FALSE)," ")</f>
        <v>ENTRE RIOS 2° Q</v>
      </c>
      <c r="I1127" s="43">
        <v>46082</v>
      </c>
      <c r="J1127" t="s">
        <v>482</v>
      </c>
      <c r="K1127" t="str">
        <f>IFERROR(+VLOOKUP(Movimientos_2026[[#This Row],[Codigo]],Plan_cuentas[],6,FALSE)," ")</f>
        <v>4 - FCA - Fiat</v>
      </c>
      <c r="L1127" s="50"/>
      <c r="M1127" s="52">
        <v>22027223.25</v>
      </c>
      <c r="N1127" s="20">
        <f>+Movimientos_2026[[#This Row],[Ingresos]]-Movimientos_2026[[#This Row],[Egresos]]</f>
        <v>-22027223.25</v>
      </c>
      <c r="O1127" s="20">
        <f>+O1126+Movimientos_2026[[#This Row],[Neto]]</f>
        <v>4567058312.2845745</v>
      </c>
    </row>
    <row r="1128" spans="1:15" x14ac:dyDescent="0.25">
      <c r="A1128" s="13">
        <v>46121</v>
      </c>
      <c r="B1128" s="12">
        <f>MONTH(Movimientos_2026[[#This Row],[Fecha]])</f>
        <v>4</v>
      </c>
      <c r="C1128" s="12" t="str">
        <f>VLOOKUP((WEEKDAY(Movimientos_2026[[#This Row],[Fecha]],2)),'5. Setup'!$D$6:$E$12,2,FALSE)</f>
        <v>Jue</v>
      </c>
      <c r="D1128">
        <v>2034235</v>
      </c>
      <c r="E1128" t="str">
        <f>IFERROR(+VLOOKUP(Movimientos_2026[[#This Row],[Codigo]],Plan_cuentas[],2,FALSE)," ")</f>
        <v>EGRESOS</v>
      </c>
      <c r="F1128" t="str">
        <f>IFERROR(+VLOOKUP(Movimientos_2026[[#This Row],[Codigo]],Plan_cuentas[],3,FALSE)," ")</f>
        <v>Pagos Bco. Provincia</v>
      </c>
      <c r="G1128" t="str">
        <f>IFERROR(+VLOOKUP(Movimientos_2026[[#This Row],[Codigo]],Plan_cuentas[],4,FALSE)," ")</f>
        <v>Rentas</v>
      </c>
      <c r="H1128" t="str">
        <f>IFERROR(+VLOOKUP(Movimientos_2026[[#This Row],[Codigo]],Plan_cuentas[],5,FALSE)," ")</f>
        <v>ENTRE RIOS 2° Q</v>
      </c>
      <c r="I1128" s="43">
        <v>46082</v>
      </c>
      <c r="J1128" t="s">
        <v>483</v>
      </c>
      <c r="K1128" t="str">
        <f>IFERROR(+VLOOKUP(Movimientos_2026[[#This Row],[Codigo]],Plan_cuentas[],6,FALSE)," ")</f>
        <v>5 - YAM - Yamaha</v>
      </c>
      <c r="L1128" s="50"/>
      <c r="M1128" s="52">
        <v>3844700.29</v>
      </c>
      <c r="N1128" s="20">
        <f>+Movimientos_2026[[#This Row],[Ingresos]]-Movimientos_2026[[#This Row],[Egresos]]</f>
        <v>-3844700.29</v>
      </c>
      <c r="O1128" s="20">
        <f>+O1127+Movimientos_2026[[#This Row],[Neto]]</f>
        <v>4563213611.9945745</v>
      </c>
    </row>
    <row r="1129" spans="1:15" x14ac:dyDescent="0.25">
      <c r="A1129" s="13">
        <v>46121</v>
      </c>
      <c r="B1129" s="12">
        <f>MONTH(Movimientos_2026[[#This Row],[Fecha]])</f>
        <v>4</v>
      </c>
      <c r="C1129" s="12" t="str">
        <f>VLOOKUP((WEEKDAY(Movimientos_2026[[#This Row],[Fecha]],2)),'5. Setup'!$D$6:$E$12,2,FALSE)</f>
        <v>Jue</v>
      </c>
      <c r="D1129">
        <v>2014274</v>
      </c>
      <c r="E1129" t="str">
        <f>IFERROR(+VLOOKUP(Movimientos_2026[[#This Row],[Codigo]],Plan_cuentas[],2,FALSE)," ")</f>
        <v>EGRESOS</v>
      </c>
      <c r="F1129" t="str">
        <f>IFERROR(+VLOOKUP(Movimientos_2026[[#This Row],[Codigo]],Plan_cuentas[],3,FALSE)," ")</f>
        <v>BtoB</v>
      </c>
      <c r="G1129" t="str">
        <f>IFERROR(+VLOOKUP(Movimientos_2026[[#This Row],[Codigo]],Plan_cuentas[],4,FALSE)," ")</f>
        <v>Rentas</v>
      </c>
      <c r="H1129" t="str">
        <f>IFERROR(+VLOOKUP(Movimientos_2026[[#This Row],[Codigo]],Plan_cuentas[],5,FALSE)," ")</f>
        <v>LA RIOJA</v>
      </c>
      <c r="I1129" s="43">
        <v>46082</v>
      </c>
      <c r="J1129" t="s">
        <v>484</v>
      </c>
      <c r="K1129" t="str">
        <f>IFERROR(+VLOOKUP(Movimientos_2026[[#This Row],[Codigo]],Plan_cuentas[],6,FALSE)," ")</f>
        <v>4 - FCA - Fiat</v>
      </c>
      <c r="L1129" s="50"/>
      <c r="M1129" s="52">
        <v>8688674.2699999996</v>
      </c>
      <c r="N1129" s="20">
        <f>+Movimientos_2026[[#This Row],[Ingresos]]-Movimientos_2026[[#This Row],[Egresos]]</f>
        <v>-8688674.2699999996</v>
      </c>
      <c r="O1129" s="20">
        <f>+O1128+Movimientos_2026[[#This Row],[Neto]]</f>
        <v>4554524937.7245741</v>
      </c>
    </row>
    <row r="1130" spans="1:15" x14ac:dyDescent="0.25">
      <c r="A1130" s="13">
        <v>46121</v>
      </c>
      <c r="B1130" s="12">
        <f>MONTH(Movimientos_2026[[#This Row],[Fecha]])</f>
        <v>4</v>
      </c>
      <c r="C1130" s="12" t="str">
        <f>VLOOKUP((WEEKDAY(Movimientos_2026[[#This Row],[Fecha]],2)),'5. Setup'!$D$6:$E$12,2,FALSE)</f>
        <v>Jue</v>
      </c>
      <c r="D1130">
        <v>2054374</v>
      </c>
      <c r="E1130" t="str">
        <f>IFERROR(+VLOOKUP(Movimientos_2026[[#This Row],[Codigo]],Plan_cuentas[],2,FALSE)," ")</f>
        <v>EGRESOS</v>
      </c>
      <c r="F1130" t="str">
        <f>IFERROR(+VLOOKUP(Movimientos_2026[[#This Row],[Codigo]],Plan_cuentas[],3,FALSE)," ")</f>
        <v>VEP</v>
      </c>
      <c r="G1130" t="str">
        <f>IFERROR(+VLOOKUP(Movimientos_2026[[#This Row],[Codigo]],Plan_cuentas[],4,FALSE)," ")</f>
        <v>Rentas</v>
      </c>
      <c r="H1130" t="str">
        <f>IFERROR(+VLOOKUP(Movimientos_2026[[#This Row],[Codigo]],Plan_cuentas[],5,FALSE)," ")</f>
        <v>SANTA CRUZ</v>
      </c>
      <c r="I1130" s="43">
        <v>46082</v>
      </c>
      <c r="J1130" t="s">
        <v>479</v>
      </c>
      <c r="K1130" t="str">
        <f>IFERROR(+VLOOKUP(Movimientos_2026[[#This Row],[Codigo]],Plan_cuentas[],6,FALSE)," ")</f>
        <v>4 - FCA - Fiat</v>
      </c>
      <c r="L1130" s="50"/>
      <c r="M1130" s="52">
        <v>24361566.510000002</v>
      </c>
      <c r="N1130" s="20">
        <f>+Movimientos_2026[[#This Row],[Ingresos]]-Movimientos_2026[[#This Row],[Egresos]]</f>
        <v>-24361566.510000002</v>
      </c>
      <c r="O1130" s="20">
        <f>+O1129+Movimientos_2026[[#This Row],[Neto]]</f>
        <v>4530163371.2145739</v>
      </c>
    </row>
    <row r="1131" spans="1:15" x14ac:dyDescent="0.25">
      <c r="A1131" s="13">
        <v>46121</v>
      </c>
      <c r="B1131" s="12">
        <f>MONTH(Movimientos_2026[[#This Row],[Fecha]])</f>
        <v>4</v>
      </c>
      <c r="C1131" s="12" t="str">
        <f>VLOOKUP((WEEKDAY(Movimientos_2026[[#This Row],[Fecha]],2)),'5. Setup'!$D$6:$E$12,2,FALSE)</f>
        <v>Jue</v>
      </c>
      <c r="D1131">
        <v>2054324</v>
      </c>
      <c r="E1131" t="str">
        <f>IFERROR(+VLOOKUP(Movimientos_2026[[#This Row],[Codigo]],Plan_cuentas[],2,FALSE)," ")</f>
        <v>EGRESOS</v>
      </c>
      <c r="F1131" t="str">
        <f>IFERROR(+VLOOKUP(Movimientos_2026[[#This Row],[Codigo]],Plan_cuentas[],3,FALSE)," ")</f>
        <v>VEP</v>
      </c>
      <c r="G1131" t="str">
        <f>IFERROR(+VLOOKUP(Movimientos_2026[[#This Row],[Codigo]],Plan_cuentas[],4,FALSE)," ")</f>
        <v>Rentas</v>
      </c>
      <c r="H1131" t="str">
        <f>IFERROR(+VLOOKUP(Movimientos_2026[[#This Row],[Codigo]],Plan_cuentas[],5,FALSE)," ")</f>
        <v>NEUQUEN 2° Q</v>
      </c>
      <c r="I1131" s="43">
        <v>46082</v>
      </c>
      <c r="J1131" t="s">
        <v>485</v>
      </c>
      <c r="K1131" t="str">
        <f>IFERROR(+VLOOKUP(Movimientos_2026[[#This Row],[Codigo]],Plan_cuentas[],6,FALSE)," ")</f>
        <v>4 - FCA - Fiat</v>
      </c>
      <c r="L1131" s="50"/>
      <c r="M1131" s="50">
        <v>56962440</v>
      </c>
      <c r="N1131" s="20">
        <f>+Movimientos_2026[[#This Row],[Ingresos]]-Movimientos_2026[[#This Row],[Egresos]]</f>
        <v>-56962440</v>
      </c>
      <c r="O1131" s="20">
        <f>+O1130+Movimientos_2026[[#This Row],[Neto]]</f>
        <v>4473200931.2145739</v>
      </c>
    </row>
    <row r="1132" spans="1:15" x14ac:dyDescent="0.25">
      <c r="A1132" s="13">
        <v>46121</v>
      </c>
      <c r="B1132" s="12">
        <f>MONTH(Movimientos_2026[[#This Row],[Fecha]])</f>
        <v>4</v>
      </c>
      <c r="C1132" s="12" t="str">
        <f>VLOOKUP((WEEKDAY(Movimientos_2026[[#This Row],[Fecha]],2)),'5. Setup'!$D$6:$E$12,2,FALSE)</f>
        <v>Jue</v>
      </c>
      <c r="D1132">
        <v>2054326</v>
      </c>
      <c r="E1132" t="str">
        <f>IFERROR(+VLOOKUP(Movimientos_2026[[#This Row],[Codigo]],Plan_cuentas[],2,FALSE)," ")</f>
        <v>EGRESOS</v>
      </c>
      <c r="F1132" t="str">
        <f>IFERROR(+VLOOKUP(Movimientos_2026[[#This Row],[Codigo]],Plan_cuentas[],3,FALSE)," ")</f>
        <v>VEP</v>
      </c>
      <c r="G1132" t="str">
        <f>IFERROR(+VLOOKUP(Movimientos_2026[[#This Row],[Codigo]],Plan_cuentas[],4,FALSE)," ")</f>
        <v>Rentas</v>
      </c>
      <c r="H1132" t="str">
        <f>IFERROR(+VLOOKUP(Movimientos_2026[[#This Row],[Codigo]],Plan_cuentas[],5,FALSE)," ")</f>
        <v>NEUQUEN 2° Q</v>
      </c>
      <c r="I1132" s="43">
        <v>46082</v>
      </c>
      <c r="J1132" t="s">
        <v>485</v>
      </c>
      <c r="K1132" t="str">
        <f>IFERROR(+VLOOKUP(Movimientos_2026[[#This Row],[Codigo]],Plan_cuentas[],6,FALSE)," ")</f>
        <v>6 - FCAtr - Fiat Transf.</v>
      </c>
      <c r="L1132" s="50"/>
      <c r="M1132" s="52">
        <v>360045.15</v>
      </c>
      <c r="N1132" s="20">
        <f>+Movimientos_2026[[#This Row],[Ingresos]]-Movimientos_2026[[#This Row],[Egresos]]</f>
        <v>-360045.15</v>
      </c>
      <c r="O1132" s="20">
        <f>+O1131+Movimientos_2026[[#This Row],[Neto]]</f>
        <v>4472840886.0645742</v>
      </c>
    </row>
    <row r="1133" spans="1:15" x14ac:dyDescent="0.25">
      <c r="A1133" s="13">
        <v>46121</v>
      </c>
      <c r="B1133" s="12">
        <f>MONTH(Movimientos_2026[[#This Row],[Fecha]])</f>
        <v>4</v>
      </c>
      <c r="C1133" s="12" t="str">
        <f>VLOOKUP((WEEKDAY(Movimientos_2026[[#This Row],[Fecha]],2)),'5. Setup'!$D$6:$E$12,2,FALSE)</f>
        <v>Jue</v>
      </c>
      <c r="D1133">
        <v>2034243</v>
      </c>
      <c r="E1133" t="str">
        <f>IFERROR(+VLOOKUP(Movimientos_2026[[#This Row],[Codigo]],Plan_cuentas[],2,FALSE)," ")</f>
        <v>EGRESOS</v>
      </c>
      <c r="F1133" t="str">
        <f>IFERROR(+VLOOKUP(Movimientos_2026[[#This Row],[Codigo]],Plan_cuentas[],3,FALSE)," ")</f>
        <v>Pagos Bco. Provincia</v>
      </c>
      <c r="G1133" t="str">
        <f>IFERROR(+VLOOKUP(Movimientos_2026[[#This Row],[Codigo]],Plan_cuentas[],4,FALSE)," ")</f>
        <v>Rentas</v>
      </c>
      <c r="H1133" t="str">
        <f>IFERROR(+VLOOKUP(Movimientos_2026[[#This Row],[Codigo]],Plan_cuentas[],5,FALSE)," ")</f>
        <v>FORMOSA</v>
      </c>
      <c r="I1133" s="43">
        <v>46082</v>
      </c>
      <c r="J1133" t="s">
        <v>486</v>
      </c>
      <c r="K1133" t="str">
        <f>IFERROR(+VLOOKUP(Movimientos_2026[[#This Row],[Codigo]],Plan_cuentas[],6,FALSE)," ")</f>
        <v>3 - GM - Chevrolet</v>
      </c>
      <c r="L1133" s="50"/>
      <c r="M1133" s="52">
        <v>21551360.579999998</v>
      </c>
      <c r="N1133" s="20">
        <f>+Movimientos_2026[[#This Row],[Ingresos]]-Movimientos_2026[[#This Row],[Egresos]]</f>
        <v>-21551360.579999998</v>
      </c>
      <c r="O1133" s="20">
        <f>+O1132+Movimientos_2026[[#This Row],[Neto]]</f>
        <v>4451289525.4845743</v>
      </c>
    </row>
    <row r="1134" spans="1:15" x14ac:dyDescent="0.25">
      <c r="A1134" s="13">
        <v>46121</v>
      </c>
      <c r="B1134" s="12">
        <f>MONTH(Movimientos_2026[[#This Row],[Fecha]])</f>
        <v>4</v>
      </c>
      <c r="C1134" s="12" t="str">
        <f>VLOOKUP((WEEKDAY(Movimientos_2026[[#This Row],[Fecha]],2)),'5. Setup'!$D$6:$E$12,2,FALSE)</f>
        <v>Jue</v>
      </c>
      <c r="D1134">
        <v>2034244</v>
      </c>
      <c r="E1134" t="str">
        <f>IFERROR(+VLOOKUP(Movimientos_2026[[#This Row],[Codigo]],Plan_cuentas[],2,FALSE)," ")</f>
        <v>EGRESOS</v>
      </c>
      <c r="F1134" t="str">
        <f>IFERROR(+VLOOKUP(Movimientos_2026[[#This Row],[Codigo]],Plan_cuentas[],3,FALSE)," ")</f>
        <v>Pagos Bco. Provincia</v>
      </c>
      <c r="G1134" t="str">
        <f>IFERROR(+VLOOKUP(Movimientos_2026[[#This Row],[Codigo]],Plan_cuentas[],4,FALSE)," ")</f>
        <v>Rentas</v>
      </c>
      <c r="H1134" t="str">
        <f>IFERROR(+VLOOKUP(Movimientos_2026[[#This Row],[Codigo]],Plan_cuentas[],5,FALSE)," ")</f>
        <v>FORMOSA</v>
      </c>
      <c r="I1134" s="43">
        <v>46082</v>
      </c>
      <c r="J1134" t="s">
        <v>487</v>
      </c>
      <c r="K1134" t="str">
        <f>IFERROR(+VLOOKUP(Movimientos_2026[[#This Row],[Codigo]],Plan_cuentas[],6,FALSE)," ")</f>
        <v>4 - FCA - Fiat</v>
      </c>
      <c r="L1134" s="50"/>
      <c r="M1134" s="52">
        <v>12503467.810000001</v>
      </c>
      <c r="N1134" s="20">
        <f>+Movimientos_2026[[#This Row],[Ingresos]]-Movimientos_2026[[#This Row],[Egresos]]</f>
        <v>-12503467.810000001</v>
      </c>
      <c r="O1134" s="20">
        <f>+O1133+Movimientos_2026[[#This Row],[Neto]]</f>
        <v>4438786057.6745739</v>
      </c>
    </row>
    <row r="1135" spans="1:15" x14ac:dyDescent="0.25">
      <c r="A1135" s="13">
        <v>46121</v>
      </c>
      <c r="B1135" s="12">
        <f>MONTH(Movimientos_2026[[#This Row],[Fecha]])</f>
        <v>4</v>
      </c>
      <c r="C1135" s="12" t="str">
        <f>VLOOKUP((WEEKDAY(Movimientos_2026[[#This Row],[Fecha]],2)),'5. Setup'!$D$6:$E$12,2,FALSE)</f>
        <v>Jue</v>
      </c>
      <c r="D1135">
        <v>2023151</v>
      </c>
      <c r="E1135" t="str">
        <f>IFERROR(+VLOOKUP(Movimientos_2026[[#This Row],[Codigo]],Plan_cuentas[],2,FALSE)," ")</f>
        <v>EGRESOS</v>
      </c>
      <c r="F1135" t="str">
        <f>IFERROR(+VLOOKUP(Movimientos_2026[[#This Row],[Codigo]],Plan_cuentas[],3,FALSE)," ")</f>
        <v>DDJJ</v>
      </c>
      <c r="G1135" t="str">
        <f>IFERROR(+VLOOKUP(Movimientos_2026[[#This Row],[Codigo]],Plan_cuentas[],4,FALSE)," ")</f>
        <v>Registración</v>
      </c>
      <c r="H1135" t="str">
        <f>IFERROR(+VLOOKUP(Movimientos_2026[[#This Row],[Codigo]],Plan_cuentas[],5,FALSE)," ")</f>
        <v>CABA</v>
      </c>
      <c r="I1135" s="43">
        <v>46082</v>
      </c>
      <c r="J1135" t="s">
        <v>488</v>
      </c>
      <c r="K1135" t="str">
        <f>IFERROR(+VLOOKUP(Movimientos_2026[[#This Row],[Codigo]],Plan_cuentas[],6,FALSE)," ")</f>
        <v>1 - VW - Volkswagen</v>
      </c>
      <c r="L1135" s="50"/>
      <c r="M1135" s="52">
        <v>83259426.379999995</v>
      </c>
      <c r="N1135" s="20">
        <f>+Movimientos_2026[[#This Row],[Ingresos]]-Movimientos_2026[[#This Row],[Egresos]]</f>
        <v>-83259426.379999995</v>
      </c>
      <c r="O1135" s="20">
        <f>+O1134+Movimientos_2026[[#This Row],[Neto]]</f>
        <v>4355526631.2945738</v>
      </c>
    </row>
    <row r="1136" spans="1:15" x14ac:dyDescent="0.25">
      <c r="A1136" s="13">
        <v>46121</v>
      </c>
      <c r="B1136" s="12">
        <f>MONTH(Movimientos_2026[[#This Row],[Fecha]])</f>
        <v>4</v>
      </c>
      <c r="C1136" s="12" t="str">
        <f>VLOOKUP((WEEKDAY(Movimientos_2026[[#This Row],[Fecha]],2)),'5. Setup'!$D$6:$E$12,2,FALSE)</f>
        <v>Jue</v>
      </c>
      <c r="D1136">
        <v>2023152</v>
      </c>
      <c r="E1136" t="str">
        <f>IFERROR(+VLOOKUP(Movimientos_2026[[#This Row],[Codigo]],Plan_cuentas[],2,FALSE)," ")</f>
        <v>EGRESOS</v>
      </c>
      <c r="F1136" t="str">
        <f>IFERROR(+VLOOKUP(Movimientos_2026[[#This Row],[Codigo]],Plan_cuentas[],3,FALSE)," ")</f>
        <v>DDJJ</v>
      </c>
      <c r="G1136" t="str">
        <f>IFERROR(+VLOOKUP(Movimientos_2026[[#This Row],[Codigo]],Plan_cuentas[],4,FALSE)," ")</f>
        <v>Registración</v>
      </c>
      <c r="H1136" t="str">
        <f>IFERROR(+VLOOKUP(Movimientos_2026[[#This Row],[Codigo]],Plan_cuentas[],5,FALSE)," ")</f>
        <v>CABA</v>
      </c>
      <c r="I1136" s="43">
        <v>46082</v>
      </c>
      <c r="J1136" t="s">
        <v>488</v>
      </c>
      <c r="K1136" t="str">
        <f>IFERROR(+VLOOKUP(Movimientos_2026[[#This Row],[Codigo]],Plan_cuentas[],6,FALSE)," ")</f>
        <v>2 - PR - Plan Rombo</v>
      </c>
      <c r="L1136" s="50"/>
      <c r="M1136" s="52">
        <v>91552307.680000007</v>
      </c>
      <c r="N1136" s="20">
        <f>+Movimientos_2026[[#This Row],[Ingresos]]-Movimientos_2026[[#This Row],[Egresos]]</f>
        <v>-91552307.680000007</v>
      </c>
      <c r="O1136" s="20">
        <f>+O1135+Movimientos_2026[[#This Row],[Neto]]</f>
        <v>4263974323.614574</v>
      </c>
    </row>
    <row r="1137" spans="1:15" x14ac:dyDescent="0.25">
      <c r="A1137" s="13">
        <v>46121</v>
      </c>
      <c r="B1137" s="12">
        <f>MONTH(Movimientos_2026[[#This Row],[Fecha]])</f>
        <v>4</v>
      </c>
      <c r="C1137" s="12" t="str">
        <f>VLOOKUP((WEEKDAY(Movimientos_2026[[#This Row],[Fecha]],2)),'5. Setup'!$D$6:$E$12,2,FALSE)</f>
        <v>Jue</v>
      </c>
      <c r="D1137">
        <v>2023153</v>
      </c>
      <c r="E1137" t="str">
        <f>IFERROR(+VLOOKUP(Movimientos_2026[[#This Row],[Codigo]],Plan_cuentas[],2,FALSE)," ")</f>
        <v>EGRESOS</v>
      </c>
      <c r="F1137" t="str">
        <f>IFERROR(+VLOOKUP(Movimientos_2026[[#This Row],[Codigo]],Plan_cuentas[],3,FALSE)," ")</f>
        <v>DDJJ</v>
      </c>
      <c r="G1137" t="str">
        <f>IFERROR(+VLOOKUP(Movimientos_2026[[#This Row],[Codigo]],Plan_cuentas[],4,FALSE)," ")</f>
        <v>Registración</v>
      </c>
      <c r="H1137" t="str">
        <f>IFERROR(+VLOOKUP(Movimientos_2026[[#This Row],[Codigo]],Plan_cuentas[],5,FALSE)," ")</f>
        <v>CABA</v>
      </c>
      <c r="I1137" s="43">
        <v>46082</v>
      </c>
      <c r="J1137" t="s">
        <v>488</v>
      </c>
      <c r="K1137" t="str">
        <f>IFERROR(+VLOOKUP(Movimientos_2026[[#This Row],[Codigo]],Plan_cuentas[],6,FALSE)," ")</f>
        <v>3 - GM - Chevrolet</v>
      </c>
      <c r="L1137" s="50"/>
      <c r="M1137" s="52">
        <v>44082800.719999999</v>
      </c>
      <c r="N1137" s="20">
        <f>+Movimientos_2026[[#This Row],[Ingresos]]-Movimientos_2026[[#This Row],[Egresos]]</f>
        <v>-44082800.719999999</v>
      </c>
      <c r="O1137" s="20">
        <f>+O1136+Movimientos_2026[[#This Row],[Neto]]</f>
        <v>4219891522.8945742</v>
      </c>
    </row>
    <row r="1138" spans="1:15" x14ac:dyDescent="0.25">
      <c r="A1138" s="13">
        <v>46121</v>
      </c>
      <c r="B1138" s="12">
        <f>MONTH(Movimientos_2026[[#This Row],[Fecha]])</f>
        <v>4</v>
      </c>
      <c r="C1138" s="12" t="str">
        <f>VLOOKUP((WEEKDAY(Movimientos_2026[[#This Row],[Fecha]],2)),'5. Setup'!$D$6:$E$12,2,FALSE)</f>
        <v>Jue</v>
      </c>
      <c r="D1138">
        <v>2023154</v>
      </c>
      <c r="E1138" t="str">
        <f>IFERROR(+VLOOKUP(Movimientos_2026[[#This Row],[Codigo]],Plan_cuentas[],2,FALSE)," ")</f>
        <v>EGRESOS</v>
      </c>
      <c r="F1138" t="str">
        <f>IFERROR(+VLOOKUP(Movimientos_2026[[#This Row],[Codigo]],Plan_cuentas[],3,FALSE)," ")</f>
        <v>DDJJ</v>
      </c>
      <c r="G1138" t="str">
        <f>IFERROR(+VLOOKUP(Movimientos_2026[[#This Row],[Codigo]],Plan_cuentas[],4,FALSE)," ")</f>
        <v>Registración</v>
      </c>
      <c r="H1138" t="str">
        <f>IFERROR(+VLOOKUP(Movimientos_2026[[#This Row],[Codigo]],Plan_cuentas[],5,FALSE)," ")</f>
        <v>CABA</v>
      </c>
      <c r="I1138" s="43">
        <v>46082</v>
      </c>
      <c r="J1138" t="s">
        <v>488</v>
      </c>
      <c r="K1138" t="str">
        <f>IFERROR(+VLOOKUP(Movimientos_2026[[#This Row],[Codigo]],Plan_cuentas[],6,FALSE)," ")</f>
        <v>4 - FCA - Fiat</v>
      </c>
      <c r="L1138" s="50"/>
      <c r="M1138" s="52">
        <v>483305042.33999997</v>
      </c>
      <c r="N1138" s="20">
        <f>+Movimientos_2026[[#This Row],[Ingresos]]-Movimientos_2026[[#This Row],[Egresos]]</f>
        <v>-483305042.33999997</v>
      </c>
      <c r="O1138" s="20">
        <f>+O1137+Movimientos_2026[[#This Row],[Neto]]</f>
        <v>3736586480.554574</v>
      </c>
    </row>
    <row r="1139" spans="1:15" x14ac:dyDescent="0.25">
      <c r="A1139" s="13">
        <v>46121</v>
      </c>
      <c r="B1139" s="12">
        <f>MONTH(Movimientos_2026[[#This Row],[Fecha]])</f>
        <v>4</v>
      </c>
      <c r="C1139" s="12" t="str">
        <f>VLOOKUP((WEEKDAY(Movimientos_2026[[#This Row],[Fecha]],2)),'5. Setup'!$D$6:$E$12,2,FALSE)</f>
        <v>Jue</v>
      </c>
      <c r="D1139">
        <v>2023155</v>
      </c>
      <c r="E1139" t="str">
        <f>IFERROR(+VLOOKUP(Movimientos_2026[[#This Row],[Codigo]],Plan_cuentas[],2,FALSE)," ")</f>
        <v>EGRESOS</v>
      </c>
      <c r="F1139" t="str">
        <f>IFERROR(+VLOOKUP(Movimientos_2026[[#This Row],[Codigo]],Plan_cuentas[],3,FALSE)," ")</f>
        <v>DDJJ</v>
      </c>
      <c r="G1139" t="str">
        <f>IFERROR(+VLOOKUP(Movimientos_2026[[#This Row],[Codigo]],Plan_cuentas[],4,FALSE)," ")</f>
        <v>Registración</v>
      </c>
      <c r="H1139" t="str">
        <f>IFERROR(+VLOOKUP(Movimientos_2026[[#This Row],[Codigo]],Plan_cuentas[],5,FALSE)," ")</f>
        <v>CABA</v>
      </c>
      <c r="I1139" s="43">
        <v>46082</v>
      </c>
      <c r="J1139" t="s">
        <v>488</v>
      </c>
      <c r="K1139" t="str">
        <f>IFERROR(+VLOOKUP(Movimientos_2026[[#This Row],[Codigo]],Plan_cuentas[],6,FALSE)," ")</f>
        <v>5 - YAM - Yamaha</v>
      </c>
      <c r="L1139" s="50"/>
      <c r="M1139" s="52">
        <v>22102666.559999999</v>
      </c>
      <c r="N1139" s="20">
        <f>+Movimientos_2026[[#This Row],[Ingresos]]-Movimientos_2026[[#This Row],[Egresos]]</f>
        <v>-22102666.559999999</v>
      </c>
      <c r="O1139" s="20">
        <f>+O1138+Movimientos_2026[[#This Row],[Neto]]</f>
        <v>3714483813.9945741</v>
      </c>
    </row>
    <row r="1140" spans="1:15" x14ac:dyDescent="0.25">
      <c r="A1140" s="13">
        <v>46121</v>
      </c>
      <c r="B1140" s="12">
        <f>MONTH(Movimientos_2026[[#This Row],[Fecha]])</f>
        <v>4</v>
      </c>
      <c r="C1140" s="12" t="str">
        <f>VLOOKUP((WEEKDAY(Movimientos_2026[[#This Row],[Fecha]],2)),'5. Setup'!$D$6:$E$12,2,FALSE)</f>
        <v>Jue</v>
      </c>
      <c r="D1140">
        <v>2023156</v>
      </c>
      <c r="E1140" t="str">
        <f>IFERROR(+VLOOKUP(Movimientos_2026[[#This Row],[Codigo]],Plan_cuentas[],2,FALSE)," ")</f>
        <v>EGRESOS</v>
      </c>
      <c r="F1140" t="str">
        <f>IFERROR(+VLOOKUP(Movimientos_2026[[#This Row],[Codigo]],Plan_cuentas[],3,FALSE)," ")</f>
        <v>DDJJ</v>
      </c>
      <c r="G1140" t="str">
        <f>IFERROR(+VLOOKUP(Movimientos_2026[[#This Row],[Codigo]],Plan_cuentas[],4,FALSE)," ")</f>
        <v>Registración</v>
      </c>
      <c r="H1140" t="str">
        <f>IFERROR(+VLOOKUP(Movimientos_2026[[#This Row],[Codigo]],Plan_cuentas[],5,FALSE)," ")</f>
        <v>CABA</v>
      </c>
      <c r="I1140" s="43">
        <v>46082</v>
      </c>
      <c r="J1140" t="s">
        <v>488</v>
      </c>
      <c r="K1140" t="str">
        <f>IFERROR(+VLOOKUP(Movimientos_2026[[#This Row],[Codigo]],Plan_cuentas[],6,FALSE)," ")</f>
        <v>6 - FCAtr - Fiat Transf.</v>
      </c>
      <c r="L1140" s="50"/>
      <c r="M1140" s="52">
        <v>9190451.7899999991</v>
      </c>
      <c r="N1140" s="20">
        <f>+Movimientos_2026[[#This Row],[Ingresos]]-Movimientos_2026[[#This Row],[Egresos]]</f>
        <v>-9190451.7899999991</v>
      </c>
      <c r="O1140" s="20">
        <f>+O1139+Movimientos_2026[[#This Row],[Neto]]</f>
        <v>3705293362.2045741</v>
      </c>
    </row>
    <row r="1141" spans="1:15" x14ac:dyDescent="0.25">
      <c r="A1141" s="13">
        <v>46121</v>
      </c>
      <c r="B1141" s="12">
        <f>MONTH(Movimientos_2026[[#This Row],[Fecha]])</f>
        <v>4</v>
      </c>
      <c r="C1141" s="12" t="str">
        <f>VLOOKUP((WEEKDAY(Movimientos_2026[[#This Row],[Fecha]],2)),'5. Setup'!$D$6:$E$12,2,FALSE)</f>
        <v>Jue</v>
      </c>
      <c r="D1141">
        <v>2023157</v>
      </c>
      <c r="E1141" t="str">
        <f>IFERROR(+VLOOKUP(Movimientos_2026[[#This Row],[Codigo]],Plan_cuentas[],2,FALSE)," ")</f>
        <v>EGRESOS</v>
      </c>
      <c r="F1141" t="str">
        <f>IFERROR(+VLOOKUP(Movimientos_2026[[#This Row],[Codigo]],Plan_cuentas[],3,FALSE)," ")</f>
        <v>DDJJ</v>
      </c>
      <c r="G1141" t="str">
        <f>IFERROR(+VLOOKUP(Movimientos_2026[[#This Row],[Codigo]],Plan_cuentas[],4,FALSE)," ")</f>
        <v>Registración</v>
      </c>
      <c r="H1141" t="str">
        <f>IFERROR(+VLOOKUP(Movimientos_2026[[#This Row],[Codigo]],Plan_cuentas[],5,FALSE)," ")</f>
        <v>CABA</v>
      </c>
      <c r="I1141" s="43">
        <v>46082</v>
      </c>
      <c r="J1141" t="s">
        <v>488</v>
      </c>
      <c r="K1141" t="str">
        <f>IFERROR(+VLOOKUP(Movimientos_2026[[#This Row],[Codigo]],Plan_cuentas[],6,FALSE)," ")</f>
        <v>7 - PRtr - Plan Rombo Transf.</v>
      </c>
      <c r="L1141" s="50"/>
      <c r="M1141" s="52">
        <v>8437</v>
      </c>
      <c r="N1141" s="20">
        <f>+Movimientos_2026[[#This Row],[Ingresos]]-Movimientos_2026[[#This Row],[Egresos]]</f>
        <v>-8437</v>
      </c>
      <c r="O1141" s="20">
        <f>+O1140+Movimientos_2026[[#This Row],[Neto]]</f>
        <v>3705284925.2045741</v>
      </c>
    </row>
    <row r="1142" spans="1:15" x14ac:dyDescent="0.25">
      <c r="A1142" s="13">
        <v>46121</v>
      </c>
      <c r="B1142" s="12">
        <f>MONTH(Movimientos_2026[[#This Row],[Fecha]])</f>
        <v>4</v>
      </c>
      <c r="C1142" s="12" t="str">
        <f>VLOOKUP((WEEKDAY(Movimientos_2026[[#This Row],[Fecha]],2)),'5. Setup'!$D$6:$E$12,2,FALSE)</f>
        <v>Jue</v>
      </c>
      <c r="D1142">
        <v>2023231</v>
      </c>
      <c r="E1142" t="str">
        <f>IFERROR(+VLOOKUP(Movimientos_2026[[#This Row],[Codigo]],Plan_cuentas[],2,FALSE)," ")</f>
        <v>EGRESOS</v>
      </c>
      <c r="F1142" t="str">
        <f>IFERROR(+VLOOKUP(Movimientos_2026[[#This Row],[Codigo]],Plan_cuentas[],3,FALSE)," ")</f>
        <v>DDJJ</v>
      </c>
      <c r="G1142" t="str">
        <f>IFERROR(+VLOOKUP(Movimientos_2026[[#This Row],[Codigo]],Plan_cuentas[],4,FALSE)," ")</f>
        <v>Registración</v>
      </c>
      <c r="H1142" t="str">
        <f>IFERROR(+VLOOKUP(Movimientos_2026[[#This Row],[Codigo]],Plan_cuentas[],5,FALSE)," ")</f>
        <v>ENTRE RIOS 2° Q</v>
      </c>
      <c r="I1142" s="43">
        <v>46082</v>
      </c>
      <c r="J1142" t="s">
        <v>489</v>
      </c>
      <c r="K1142" t="str">
        <f>IFERROR(+VLOOKUP(Movimientos_2026[[#This Row],[Codigo]],Plan_cuentas[],6,FALSE)," ")</f>
        <v>1 - VW - Volkswagen</v>
      </c>
      <c r="L1142" s="50"/>
      <c r="M1142" s="52">
        <v>6727488.5</v>
      </c>
      <c r="N1142" s="20">
        <f>+Movimientos_2026[[#This Row],[Ingresos]]-Movimientos_2026[[#This Row],[Egresos]]</f>
        <v>-6727488.5</v>
      </c>
      <c r="O1142" s="20">
        <f>+O1141+Movimientos_2026[[#This Row],[Neto]]</f>
        <v>3698557436.7045741</v>
      </c>
    </row>
    <row r="1143" spans="1:15" x14ac:dyDescent="0.25">
      <c r="A1143" s="13">
        <v>46121</v>
      </c>
      <c r="B1143" s="12">
        <f>MONTH(Movimientos_2026[[#This Row],[Fecha]])</f>
        <v>4</v>
      </c>
      <c r="C1143" s="12" t="str">
        <f>VLOOKUP((WEEKDAY(Movimientos_2026[[#This Row],[Fecha]],2)),'5. Setup'!$D$6:$E$12,2,FALSE)</f>
        <v>Jue</v>
      </c>
      <c r="D1143">
        <v>2023232</v>
      </c>
      <c r="E1143" t="str">
        <f>IFERROR(+VLOOKUP(Movimientos_2026[[#This Row],[Codigo]],Plan_cuentas[],2,FALSE)," ")</f>
        <v>EGRESOS</v>
      </c>
      <c r="F1143" t="str">
        <f>IFERROR(+VLOOKUP(Movimientos_2026[[#This Row],[Codigo]],Plan_cuentas[],3,FALSE)," ")</f>
        <v>DDJJ</v>
      </c>
      <c r="G1143" t="str">
        <f>IFERROR(+VLOOKUP(Movimientos_2026[[#This Row],[Codigo]],Plan_cuentas[],4,FALSE)," ")</f>
        <v>Registración</v>
      </c>
      <c r="H1143" t="str">
        <f>IFERROR(+VLOOKUP(Movimientos_2026[[#This Row],[Codigo]],Plan_cuentas[],5,FALSE)," ")</f>
        <v>ENTRE RIOS 2° Q</v>
      </c>
      <c r="I1143" s="43">
        <v>46082</v>
      </c>
      <c r="J1143" t="s">
        <v>489</v>
      </c>
      <c r="K1143" t="str">
        <f>IFERROR(+VLOOKUP(Movimientos_2026[[#This Row],[Codigo]],Plan_cuentas[],6,FALSE)," ")</f>
        <v>2 - PR - Plan Rombo</v>
      </c>
      <c r="L1143" s="50"/>
      <c r="M1143" s="52">
        <v>21896757.030000001</v>
      </c>
      <c r="N1143" s="20">
        <f>+Movimientos_2026[[#This Row],[Ingresos]]-Movimientos_2026[[#This Row],[Egresos]]</f>
        <v>-21896757.030000001</v>
      </c>
      <c r="O1143" s="20">
        <f>+O1142+Movimientos_2026[[#This Row],[Neto]]</f>
        <v>3676660679.6745739</v>
      </c>
    </row>
    <row r="1144" spans="1:15" x14ac:dyDescent="0.25">
      <c r="A1144" s="13">
        <v>46121</v>
      </c>
      <c r="B1144" s="12">
        <f>MONTH(Movimientos_2026[[#This Row],[Fecha]])</f>
        <v>4</v>
      </c>
      <c r="C1144" s="12" t="str">
        <f>VLOOKUP((WEEKDAY(Movimientos_2026[[#This Row],[Fecha]],2)),'5. Setup'!$D$6:$E$12,2,FALSE)</f>
        <v>Jue</v>
      </c>
      <c r="D1144">
        <v>2023233</v>
      </c>
      <c r="E1144" t="str">
        <f>IFERROR(+VLOOKUP(Movimientos_2026[[#This Row],[Codigo]],Plan_cuentas[],2,FALSE)," ")</f>
        <v>EGRESOS</v>
      </c>
      <c r="F1144" t="str">
        <f>IFERROR(+VLOOKUP(Movimientos_2026[[#This Row],[Codigo]],Plan_cuentas[],3,FALSE)," ")</f>
        <v>DDJJ</v>
      </c>
      <c r="G1144" t="str">
        <f>IFERROR(+VLOOKUP(Movimientos_2026[[#This Row],[Codigo]],Plan_cuentas[],4,FALSE)," ")</f>
        <v>Registración</v>
      </c>
      <c r="H1144" t="str">
        <f>IFERROR(+VLOOKUP(Movimientos_2026[[#This Row],[Codigo]],Plan_cuentas[],5,FALSE)," ")</f>
        <v>ENTRE RIOS 2° Q</v>
      </c>
      <c r="I1144" s="43">
        <v>46082</v>
      </c>
      <c r="J1144" t="s">
        <v>489</v>
      </c>
      <c r="K1144" t="str">
        <f>IFERROR(+VLOOKUP(Movimientos_2026[[#This Row],[Codigo]],Plan_cuentas[],6,FALSE)," ")</f>
        <v>3 - GM - Chevrolet</v>
      </c>
      <c r="L1144" s="50"/>
      <c r="M1144" s="52">
        <v>17778009.149999999</v>
      </c>
      <c r="N1144" s="20">
        <f>+Movimientos_2026[[#This Row],[Ingresos]]-Movimientos_2026[[#This Row],[Egresos]]</f>
        <v>-17778009.149999999</v>
      </c>
      <c r="O1144" s="20">
        <f>+O1143+Movimientos_2026[[#This Row],[Neto]]</f>
        <v>3658882670.5245738</v>
      </c>
    </row>
    <row r="1145" spans="1:15" x14ac:dyDescent="0.25">
      <c r="A1145" s="13">
        <v>46121</v>
      </c>
      <c r="B1145" s="12">
        <f>MONTH(Movimientos_2026[[#This Row],[Fecha]])</f>
        <v>4</v>
      </c>
      <c r="C1145" s="12" t="str">
        <f>VLOOKUP((WEEKDAY(Movimientos_2026[[#This Row],[Fecha]],2)),'5. Setup'!$D$6:$E$12,2,FALSE)</f>
        <v>Jue</v>
      </c>
      <c r="D1145">
        <v>2023242</v>
      </c>
      <c r="E1145" t="str">
        <f>IFERROR(+VLOOKUP(Movimientos_2026[[#This Row],[Codigo]],Plan_cuentas[],2,FALSE)," ")</f>
        <v>EGRESOS</v>
      </c>
      <c r="F1145" t="str">
        <f>IFERROR(+VLOOKUP(Movimientos_2026[[#This Row],[Codigo]],Plan_cuentas[],3,FALSE)," ")</f>
        <v>DDJJ</v>
      </c>
      <c r="G1145" t="str">
        <f>IFERROR(+VLOOKUP(Movimientos_2026[[#This Row],[Codigo]],Plan_cuentas[],4,FALSE)," ")</f>
        <v>Registración</v>
      </c>
      <c r="H1145" t="str">
        <f>IFERROR(+VLOOKUP(Movimientos_2026[[#This Row],[Codigo]],Plan_cuentas[],5,FALSE)," ")</f>
        <v>FORMOSA</v>
      </c>
      <c r="I1145" s="43">
        <v>46082</v>
      </c>
      <c r="J1145" t="s">
        <v>490</v>
      </c>
      <c r="K1145" t="str">
        <f>IFERROR(+VLOOKUP(Movimientos_2026[[#This Row],[Codigo]],Plan_cuentas[],6,FALSE)," ")</f>
        <v>2 - PR - Plan Rombo</v>
      </c>
      <c r="L1145" s="50"/>
      <c r="M1145" s="52">
        <v>4697094.6900000004</v>
      </c>
      <c r="N1145" s="20">
        <f>+Movimientos_2026[[#This Row],[Ingresos]]-Movimientos_2026[[#This Row],[Egresos]]</f>
        <v>-4697094.6900000004</v>
      </c>
      <c r="O1145" s="20">
        <f>+O1144+Movimientos_2026[[#This Row],[Neto]]</f>
        <v>3654185575.8345737</v>
      </c>
    </row>
    <row r="1146" spans="1:15" x14ac:dyDescent="0.25">
      <c r="A1146" s="13">
        <v>46121</v>
      </c>
      <c r="B1146" s="12">
        <f>MONTH(Movimientos_2026[[#This Row],[Fecha]])</f>
        <v>4</v>
      </c>
      <c r="C1146" s="12" t="str">
        <f>VLOOKUP((WEEKDAY(Movimientos_2026[[#This Row],[Fecha]],2)),'5. Setup'!$D$6:$E$12,2,FALSE)</f>
        <v>Jue</v>
      </c>
      <c r="D1146">
        <v>2023246</v>
      </c>
      <c r="E1146" t="str">
        <f>IFERROR(+VLOOKUP(Movimientos_2026[[#This Row],[Codigo]],Plan_cuentas[],2,FALSE)," ")</f>
        <v>EGRESOS</v>
      </c>
      <c r="F1146" t="str">
        <f>IFERROR(+VLOOKUP(Movimientos_2026[[#This Row],[Codigo]],Plan_cuentas[],3,FALSE)," ")</f>
        <v>DDJJ</v>
      </c>
      <c r="G1146" t="str">
        <f>IFERROR(+VLOOKUP(Movimientos_2026[[#This Row],[Codigo]],Plan_cuentas[],4,FALSE)," ")</f>
        <v>Registración</v>
      </c>
      <c r="H1146" t="str">
        <f>IFERROR(+VLOOKUP(Movimientos_2026[[#This Row],[Codigo]],Plan_cuentas[],5,FALSE)," ")</f>
        <v>FORMOSA</v>
      </c>
      <c r="I1146" s="43">
        <v>46082</v>
      </c>
      <c r="J1146" t="s">
        <v>490</v>
      </c>
      <c r="K1146" t="str">
        <f>IFERROR(+VLOOKUP(Movimientos_2026[[#This Row],[Codigo]],Plan_cuentas[],6,FALSE)," ")</f>
        <v>6 - FCAtr - Fiat Transf.</v>
      </c>
      <c r="L1146" s="50"/>
      <c r="M1146" s="50">
        <v>375324.98</v>
      </c>
      <c r="N1146" s="20">
        <f>+Movimientos_2026[[#This Row],[Ingresos]]-Movimientos_2026[[#This Row],[Egresos]]</f>
        <v>-375324.98</v>
      </c>
      <c r="O1146" s="20">
        <f>+O1145+Movimientos_2026[[#This Row],[Neto]]</f>
        <v>3653810250.8545737</v>
      </c>
    </row>
    <row r="1147" spans="1:15" x14ac:dyDescent="0.25">
      <c r="A1147" s="13">
        <v>46121</v>
      </c>
      <c r="B1147" s="12">
        <f>MONTH(Movimientos_2026[[#This Row],[Fecha]])</f>
        <v>4</v>
      </c>
      <c r="C1147" s="12" t="str">
        <f>VLOOKUP((WEEKDAY(Movimientos_2026[[#This Row],[Fecha]],2)),'5. Setup'!$D$6:$E$12,2,FALSE)</f>
        <v>Jue</v>
      </c>
      <c r="D1147">
        <v>2023247</v>
      </c>
      <c r="E1147" t="str">
        <f>IFERROR(+VLOOKUP(Movimientos_2026[[#This Row],[Codigo]],Plan_cuentas[],2,FALSE)," ")</f>
        <v>EGRESOS</v>
      </c>
      <c r="F1147" t="str">
        <f>IFERROR(+VLOOKUP(Movimientos_2026[[#This Row],[Codigo]],Plan_cuentas[],3,FALSE)," ")</f>
        <v>DDJJ</v>
      </c>
      <c r="G1147" t="str">
        <f>IFERROR(+VLOOKUP(Movimientos_2026[[#This Row],[Codigo]],Plan_cuentas[],4,FALSE)," ")</f>
        <v>Registración</v>
      </c>
      <c r="H1147" t="str">
        <f>IFERROR(+VLOOKUP(Movimientos_2026[[#This Row],[Codigo]],Plan_cuentas[],5,FALSE)," ")</f>
        <v>FORMOSA</v>
      </c>
      <c r="I1147" s="43">
        <v>46082</v>
      </c>
      <c r="J1147" t="s">
        <v>490</v>
      </c>
      <c r="K1147" t="str">
        <f>IFERROR(+VLOOKUP(Movimientos_2026[[#This Row],[Codigo]],Plan_cuentas[],6,FALSE)," ")</f>
        <v>7 - PRtr - Plan Rombo Transf.</v>
      </c>
      <c r="L1147" s="50"/>
      <c r="M1147" s="50">
        <v>10000</v>
      </c>
      <c r="N1147" s="20">
        <f>+Movimientos_2026[[#This Row],[Ingresos]]-Movimientos_2026[[#This Row],[Egresos]]</f>
        <v>-10000</v>
      </c>
      <c r="O1147" s="20">
        <f>+O1146+Movimientos_2026[[#This Row],[Neto]]</f>
        <v>3653800250.8545737</v>
      </c>
    </row>
    <row r="1148" spans="1:15" x14ac:dyDescent="0.25">
      <c r="A1148" s="13">
        <v>46121</v>
      </c>
      <c r="B1148" s="12">
        <f>MONTH(Movimientos_2026[[#This Row],[Fecha]])</f>
        <v>4</v>
      </c>
      <c r="C1148" s="12" t="str">
        <f>VLOOKUP((WEEKDAY(Movimientos_2026[[#This Row],[Fecha]],2)),'5. Setup'!$D$6:$E$12,2,FALSE)</f>
        <v>Jue</v>
      </c>
      <c r="D1148">
        <v>2023245</v>
      </c>
      <c r="E1148" t="str">
        <f>IFERROR(+VLOOKUP(Movimientos_2026[[#This Row],[Codigo]],Plan_cuentas[],2,FALSE)," ")</f>
        <v>EGRESOS</v>
      </c>
      <c r="F1148" t="str">
        <f>IFERROR(+VLOOKUP(Movimientos_2026[[#This Row],[Codigo]],Plan_cuentas[],3,FALSE)," ")</f>
        <v>DDJJ</v>
      </c>
      <c r="G1148" t="str">
        <f>IFERROR(+VLOOKUP(Movimientos_2026[[#This Row],[Codigo]],Plan_cuentas[],4,FALSE)," ")</f>
        <v>Registración</v>
      </c>
      <c r="H1148" t="str">
        <f>IFERROR(+VLOOKUP(Movimientos_2026[[#This Row],[Codigo]],Plan_cuentas[],5,FALSE)," ")</f>
        <v>FORMOSA</v>
      </c>
      <c r="I1148" s="43">
        <v>46082</v>
      </c>
      <c r="J1148" t="s">
        <v>490</v>
      </c>
      <c r="K1148" t="str">
        <f>IFERROR(+VLOOKUP(Movimientos_2026[[#This Row],[Codigo]],Plan_cuentas[],6,FALSE)," ")</f>
        <v>5 - YAM - Yamaha</v>
      </c>
      <c r="L1148" s="50"/>
      <c r="M1148" s="50">
        <v>158734.37</v>
      </c>
      <c r="N1148" s="20">
        <f>+Movimientos_2026[[#This Row],[Ingresos]]-Movimientos_2026[[#This Row],[Egresos]]</f>
        <v>-158734.37</v>
      </c>
      <c r="O1148" s="20">
        <f>+O1147+Movimientos_2026[[#This Row],[Neto]]</f>
        <v>3653641516.4845738</v>
      </c>
    </row>
    <row r="1149" spans="1:15" x14ac:dyDescent="0.25">
      <c r="A1149" s="13">
        <v>46121</v>
      </c>
      <c r="B1149" s="12">
        <f>MONTH(Movimientos_2026[[#This Row],[Fecha]])</f>
        <v>4</v>
      </c>
      <c r="C1149" s="12" t="str">
        <f>VLOOKUP((WEEKDAY(Movimientos_2026[[#This Row],[Fecha]],2)),'5. Setup'!$D$6:$E$12,2,FALSE)</f>
        <v>Jue</v>
      </c>
      <c r="D1149">
        <v>2023375</v>
      </c>
      <c r="E1149" t="str">
        <f>IFERROR(+VLOOKUP(Movimientos_2026[[#This Row],[Codigo]],Plan_cuentas[],2,FALSE)," ")</f>
        <v>EGRESOS</v>
      </c>
      <c r="F1149" t="str">
        <f>IFERROR(+VLOOKUP(Movimientos_2026[[#This Row],[Codigo]],Plan_cuentas[],3,FALSE)," ")</f>
        <v>DDJJ</v>
      </c>
      <c r="G1149" t="str">
        <f>IFERROR(+VLOOKUP(Movimientos_2026[[#This Row],[Codigo]],Plan_cuentas[],4,FALSE)," ")</f>
        <v>Registración</v>
      </c>
      <c r="H1149" t="str">
        <f>IFERROR(+VLOOKUP(Movimientos_2026[[#This Row],[Codigo]],Plan_cuentas[],5,FALSE)," ")</f>
        <v>SANTA CRUZ</v>
      </c>
      <c r="I1149" s="43">
        <v>46082</v>
      </c>
      <c r="J1149" t="s">
        <v>491</v>
      </c>
      <c r="K1149" t="str">
        <f>IFERROR(+VLOOKUP(Movimientos_2026[[#This Row],[Codigo]],Plan_cuentas[],6,FALSE)," ")</f>
        <v>5 - YAM - Yamaha</v>
      </c>
      <c r="L1149" s="50"/>
      <c r="M1149" s="50">
        <v>127429.17</v>
      </c>
      <c r="N1149" s="20">
        <f>+Movimientos_2026[[#This Row],[Ingresos]]-Movimientos_2026[[#This Row],[Egresos]]</f>
        <v>-127429.17</v>
      </c>
      <c r="O1149" s="20">
        <f>+O1148+Movimientos_2026[[#This Row],[Neto]]</f>
        <v>3653514087.3145738</v>
      </c>
    </row>
    <row r="1150" spans="1:15" x14ac:dyDescent="0.25">
      <c r="A1150" s="13">
        <v>46121</v>
      </c>
      <c r="B1150" s="12">
        <f>MONTH(Movimientos_2026[[#This Row],[Fecha]])</f>
        <v>4</v>
      </c>
      <c r="C1150" s="12" t="str">
        <f>VLOOKUP((WEEKDAY(Movimientos_2026[[#This Row],[Fecha]],2)),'5. Setup'!$D$6:$E$12,2,FALSE)</f>
        <v>Jue</v>
      </c>
      <c r="D1150">
        <v>2023376</v>
      </c>
      <c r="E1150" t="str">
        <f>IFERROR(+VLOOKUP(Movimientos_2026[[#This Row],[Codigo]],Plan_cuentas[],2,FALSE)," ")</f>
        <v>EGRESOS</v>
      </c>
      <c r="F1150" t="str">
        <f>IFERROR(+VLOOKUP(Movimientos_2026[[#This Row],[Codigo]],Plan_cuentas[],3,FALSE)," ")</f>
        <v>DDJJ</v>
      </c>
      <c r="G1150" t="str">
        <f>IFERROR(+VLOOKUP(Movimientos_2026[[#This Row],[Codigo]],Plan_cuentas[],4,FALSE)," ")</f>
        <v>Registración</v>
      </c>
      <c r="H1150" t="str">
        <f>IFERROR(+VLOOKUP(Movimientos_2026[[#This Row],[Codigo]],Plan_cuentas[],5,FALSE)," ")</f>
        <v>SANTA CRUZ</v>
      </c>
      <c r="I1150" s="43">
        <v>46082</v>
      </c>
      <c r="J1150" t="s">
        <v>491</v>
      </c>
      <c r="K1150" t="str">
        <f>IFERROR(+VLOOKUP(Movimientos_2026[[#This Row],[Codigo]],Plan_cuentas[],6,FALSE)," ")</f>
        <v>6 - FCAtr - Fiat Transf.</v>
      </c>
      <c r="L1150" s="50"/>
      <c r="M1150" s="50">
        <v>398837.89</v>
      </c>
      <c r="N1150" s="20">
        <f>+Movimientos_2026[[#This Row],[Ingresos]]-Movimientos_2026[[#This Row],[Egresos]]</f>
        <v>-398837.89</v>
      </c>
      <c r="O1150" s="20">
        <f>+O1149+Movimientos_2026[[#This Row],[Neto]]</f>
        <v>3653115249.4245739</v>
      </c>
    </row>
    <row r="1151" spans="1:15" x14ac:dyDescent="0.25">
      <c r="A1151" s="13">
        <v>46121</v>
      </c>
      <c r="B1151" s="12">
        <f>MONTH(Movimientos_2026[[#This Row],[Fecha]])</f>
        <v>4</v>
      </c>
      <c r="C1151" s="12" t="str">
        <f>VLOOKUP((WEEKDAY(Movimientos_2026[[#This Row],[Fecha]],2)),'5. Setup'!$D$6:$E$12,2,FALSE)</f>
        <v>Jue</v>
      </c>
      <c r="D1151">
        <v>2023392</v>
      </c>
      <c r="E1151" t="str">
        <f>IFERROR(+VLOOKUP(Movimientos_2026[[#This Row],[Codigo]],Plan_cuentas[],2,FALSE)," ")</f>
        <v>EGRESOS</v>
      </c>
      <c r="F1151" t="str">
        <f>IFERROR(+VLOOKUP(Movimientos_2026[[#This Row],[Codigo]],Plan_cuentas[],3,FALSE)," ")</f>
        <v>DDJJ</v>
      </c>
      <c r="G1151" t="str">
        <f>IFERROR(+VLOOKUP(Movimientos_2026[[#This Row],[Codigo]],Plan_cuentas[],4,FALSE)," ")</f>
        <v>Registración</v>
      </c>
      <c r="H1151" t="str">
        <f>IFERROR(+VLOOKUP(Movimientos_2026[[#This Row],[Codigo]],Plan_cuentas[],5,FALSE)," ")</f>
        <v>SANTA FE 2° Q</v>
      </c>
      <c r="I1151" s="43">
        <v>46082</v>
      </c>
      <c r="J1151" t="s">
        <v>492</v>
      </c>
      <c r="K1151" t="str">
        <f>IFERROR(+VLOOKUP(Movimientos_2026[[#This Row],[Codigo]],Plan_cuentas[],6,FALSE)," ")</f>
        <v>2 - PR - Plan Rombo</v>
      </c>
      <c r="L1151" s="50"/>
      <c r="M1151" s="50">
        <v>22189780.969999999</v>
      </c>
      <c r="N1151" s="20">
        <f>+Movimientos_2026[[#This Row],[Ingresos]]-Movimientos_2026[[#This Row],[Egresos]]</f>
        <v>-22189780.969999999</v>
      </c>
      <c r="O1151" s="20">
        <f>+O1150+Movimientos_2026[[#This Row],[Neto]]</f>
        <v>3630925468.4545741</v>
      </c>
    </row>
    <row r="1152" spans="1:15" x14ac:dyDescent="0.25">
      <c r="A1152" s="13">
        <v>46121</v>
      </c>
      <c r="B1152" s="12">
        <f>MONTH(Movimientos_2026[[#This Row],[Fecha]])</f>
        <v>4</v>
      </c>
      <c r="C1152" s="12" t="str">
        <f>VLOOKUP((WEEKDAY(Movimientos_2026[[#This Row],[Fecha]],2)),'5. Setup'!$D$6:$E$12,2,FALSE)</f>
        <v>Jue</v>
      </c>
      <c r="D1152">
        <v>2023393</v>
      </c>
      <c r="E1152" t="str">
        <f>IFERROR(+VLOOKUP(Movimientos_2026[[#This Row],[Codigo]],Plan_cuentas[],2,FALSE)," ")</f>
        <v>EGRESOS</v>
      </c>
      <c r="F1152" t="str">
        <f>IFERROR(+VLOOKUP(Movimientos_2026[[#This Row],[Codigo]],Plan_cuentas[],3,FALSE)," ")</f>
        <v>DDJJ</v>
      </c>
      <c r="G1152" t="str">
        <f>IFERROR(+VLOOKUP(Movimientos_2026[[#This Row],[Codigo]],Plan_cuentas[],4,FALSE)," ")</f>
        <v>Registración</v>
      </c>
      <c r="H1152" t="str">
        <f>IFERROR(+VLOOKUP(Movimientos_2026[[#This Row],[Codigo]],Plan_cuentas[],5,FALSE)," ")</f>
        <v>SANTA FE 2° Q</v>
      </c>
      <c r="I1152" s="43">
        <v>46082</v>
      </c>
      <c r="J1152" t="s">
        <v>492</v>
      </c>
      <c r="K1152" t="str">
        <f>IFERROR(+VLOOKUP(Movimientos_2026[[#This Row],[Codigo]],Plan_cuentas[],6,FALSE)," ")</f>
        <v>3 - GM - Chevrolet</v>
      </c>
      <c r="L1152" s="50"/>
      <c r="M1152" s="50">
        <v>11920497.75</v>
      </c>
      <c r="N1152" s="20">
        <f>+Movimientos_2026[[#This Row],[Ingresos]]-Movimientos_2026[[#This Row],[Egresos]]</f>
        <v>-11920497.75</v>
      </c>
      <c r="O1152" s="20">
        <f>+O1151+Movimientos_2026[[#This Row],[Neto]]</f>
        <v>3619004970.7045741</v>
      </c>
    </row>
    <row r="1153" spans="1:15" x14ac:dyDescent="0.25">
      <c r="A1153" s="13">
        <v>46121</v>
      </c>
      <c r="B1153" s="12">
        <f>MONTH(Movimientos_2026[[#This Row],[Fecha]])</f>
        <v>4</v>
      </c>
      <c r="C1153" s="12" t="str">
        <f>VLOOKUP((WEEKDAY(Movimientos_2026[[#This Row],[Fecha]],2)),'5. Setup'!$D$6:$E$12,2,FALSE)</f>
        <v>Jue</v>
      </c>
      <c r="D1153">
        <v>1041134</v>
      </c>
      <c r="E1153" t="str">
        <f>IFERROR(+VLOOKUP(Movimientos_2026[[#This Row],[Codigo]],Plan_cuentas[],2,FALSE)," ")</f>
        <v>INGRESOS</v>
      </c>
      <c r="F1153" t="str">
        <f>IFERROR(+VLOOKUP(Movimientos_2026[[#This Row],[Codigo]],Plan_cuentas[],3,FALSE)," ")</f>
        <v>Transferencia</v>
      </c>
      <c r="G1153" t="str">
        <f>IFERROR(+VLOOKUP(Movimientos_2026[[#This Row],[Codigo]],Plan_cuentas[],4,FALSE)," ")</f>
        <v>Entidades co-participadas</v>
      </c>
      <c r="H1153" t="str">
        <f>IFERROR(+VLOOKUP(Movimientos_2026[[#This Row],[Codigo]],Plan_cuentas[],5,FALSE)," ")</f>
        <v>BCLP</v>
      </c>
      <c r="I1153" s="43">
        <v>46082</v>
      </c>
      <c r="J1153" t="s">
        <v>493</v>
      </c>
      <c r="K1153" t="str">
        <f>IFERROR(+VLOOKUP(Movimientos_2026[[#This Row],[Codigo]],Plan_cuentas[],6,FALSE)," ")</f>
        <v>4 - FCA - Fiat</v>
      </c>
      <c r="L1153" s="50">
        <v>42839318.43</v>
      </c>
      <c r="M1153" s="50"/>
      <c r="N1153" s="20">
        <f>+Movimientos_2026[[#This Row],[Ingresos]]-Movimientos_2026[[#This Row],[Egresos]]</f>
        <v>42839318.43</v>
      </c>
      <c r="O1153" s="20">
        <f>+O1152+Movimientos_2026[[#This Row],[Neto]]</f>
        <v>3661844289.1345739</v>
      </c>
    </row>
    <row r="1154" spans="1:15" x14ac:dyDescent="0.25">
      <c r="A1154" s="13">
        <v>46121</v>
      </c>
      <c r="B1154" s="12">
        <f>MONTH(Movimientos_2026[[#This Row],[Fecha]])</f>
        <v>4</v>
      </c>
      <c r="C1154" s="12" t="str">
        <f>VLOOKUP((WEEKDAY(Movimientos_2026[[#This Row],[Fecha]],2)),'5. Setup'!$D$6:$E$12,2,FALSE)</f>
        <v>Jue</v>
      </c>
      <c r="D1154">
        <v>1041444</v>
      </c>
      <c r="E1154" t="str">
        <f>IFERROR(+VLOOKUP(Movimientos_2026[[#This Row],[Codigo]],Plan_cuentas[],2,FALSE)," ")</f>
        <v>INGRESOS</v>
      </c>
      <c r="F1154" t="str">
        <f>IFERROR(+VLOOKUP(Movimientos_2026[[#This Row],[Codigo]],Plan_cuentas[],3,FALSE)," ")</f>
        <v>Transferencia</v>
      </c>
      <c r="G1154" t="str">
        <f>IFERROR(+VLOOKUP(Movimientos_2026[[#This Row],[Codigo]],Plan_cuentas[],4,FALSE)," ")</f>
        <v>Entidades co-participadas</v>
      </c>
      <c r="H1154" t="str">
        <f>IFERROR(+VLOOKUP(Movimientos_2026[[#This Row],[Codigo]],Plan_cuentas[],5,FALSE)," ")</f>
        <v>UISCUMARR</v>
      </c>
      <c r="I1154" s="43">
        <v>46082</v>
      </c>
      <c r="J1154" t="s">
        <v>493</v>
      </c>
      <c r="K1154" t="str">
        <f>IFERROR(+VLOOKUP(Movimientos_2026[[#This Row],[Codigo]],Plan_cuentas[],6,FALSE)," ")</f>
        <v>4 - FCA - Fiat</v>
      </c>
      <c r="L1154" s="50">
        <v>377992820.33999991</v>
      </c>
      <c r="M1154" s="50"/>
      <c r="N1154" s="20">
        <f>+Movimientos_2026[[#This Row],[Ingresos]]-Movimientos_2026[[#This Row],[Egresos]]</f>
        <v>377992820.33999991</v>
      </c>
      <c r="O1154" s="20">
        <f>+O1153+Movimientos_2026[[#This Row],[Neto]]</f>
        <v>4039837109.4745741</v>
      </c>
    </row>
    <row r="1155" spans="1:15" x14ac:dyDescent="0.25">
      <c r="A1155" s="13">
        <v>46121</v>
      </c>
      <c r="B1155" s="12">
        <f>MONTH(Movimientos_2026[[#This Row],[Fecha]])</f>
        <v>4</v>
      </c>
      <c r="C1155" s="12" t="str">
        <f>VLOOKUP((WEEKDAY(Movimientos_2026[[#This Row],[Fecha]],2)),'5. Setup'!$D$6:$E$12,2,FALSE)</f>
        <v>Jue</v>
      </c>
      <c r="D1155">
        <v>1043144</v>
      </c>
      <c r="E1155" t="str">
        <f>IFERROR(+VLOOKUP(Movimientos_2026[[#This Row],[Codigo]],Plan_cuentas[],2,FALSE)," ")</f>
        <v>INGRESOS</v>
      </c>
      <c r="F1155" t="str">
        <f>IFERROR(+VLOOKUP(Movimientos_2026[[#This Row],[Codigo]],Plan_cuentas[],3,FALSE)," ")</f>
        <v>Transferencia</v>
      </c>
      <c r="G1155" t="str">
        <f>IFERROR(+VLOOKUP(Movimientos_2026[[#This Row],[Codigo]],Plan_cuentas[],4,FALSE)," ")</f>
        <v>Registración</v>
      </c>
      <c r="H1155" t="str">
        <f>IFERROR(+VLOOKUP(Movimientos_2026[[#This Row],[Codigo]],Plan_cuentas[],5,FALSE)," ")</f>
        <v>BUENOS AIRES</v>
      </c>
      <c r="I1155" s="43">
        <v>46082</v>
      </c>
      <c r="J1155" t="s">
        <v>493</v>
      </c>
      <c r="K1155" t="str">
        <f>IFERROR(+VLOOKUP(Movimientos_2026[[#This Row],[Codigo]],Plan_cuentas[],6,FALSE)," ")</f>
        <v>4 - FCA - Fiat</v>
      </c>
      <c r="L1155" s="50">
        <v>540455223.5</v>
      </c>
      <c r="M1155" s="50"/>
      <c r="N1155" s="20">
        <f>+Movimientos_2026[[#This Row],[Ingresos]]-Movimientos_2026[[#This Row],[Egresos]]</f>
        <v>540455223.5</v>
      </c>
      <c r="O1155" s="20">
        <f>+O1154+Movimientos_2026[[#This Row],[Neto]]</f>
        <v>4580292332.9745741</v>
      </c>
    </row>
    <row r="1156" spans="1:15" x14ac:dyDescent="0.25">
      <c r="A1156" s="13">
        <v>46121</v>
      </c>
      <c r="B1156" s="12">
        <f>MONTH(Movimientos_2026[[#This Row],[Fecha]])</f>
        <v>4</v>
      </c>
      <c r="C1156" s="12" t="str">
        <f>VLOOKUP((WEEKDAY(Movimientos_2026[[#This Row],[Fecha]],2)),'5. Setup'!$D$6:$E$12,2,FALSE)</f>
        <v>Jue</v>
      </c>
      <c r="D1156">
        <v>1045454</v>
      </c>
      <c r="E1156" t="str">
        <f>IFERROR(+VLOOKUP(Movimientos_2026[[#This Row],[Codigo]],Plan_cuentas[],2,FALSE)," ")</f>
        <v>INGRESOS</v>
      </c>
      <c r="F1156" t="str">
        <f>IFERROR(+VLOOKUP(Movimientos_2026[[#This Row],[Codigo]],Plan_cuentas[],3,FALSE)," ")</f>
        <v>Transferencia</v>
      </c>
      <c r="G1156" t="str">
        <f>IFERROR(+VLOOKUP(Movimientos_2026[[#This Row],[Codigo]],Plan_cuentas[],4,FALSE)," ")</f>
        <v>Factura</v>
      </c>
      <c r="H1156" t="str">
        <f>IFERROR(+VLOOKUP(Movimientos_2026[[#This Row],[Codigo]],Plan_cuentas[],5,FALSE)," ")</f>
        <v>FC DERECHOS</v>
      </c>
      <c r="I1156" s="43">
        <v>46082</v>
      </c>
      <c r="J1156" t="s">
        <v>494</v>
      </c>
      <c r="K1156" t="str">
        <f>IFERROR(+VLOOKUP(Movimientos_2026[[#This Row],[Codigo]],Plan_cuentas[],6,FALSE)," ")</f>
        <v>4 - FCA - Fiat</v>
      </c>
      <c r="L1156" s="50">
        <v>171383804.02000001</v>
      </c>
      <c r="M1156" s="50"/>
      <c r="N1156" s="20">
        <f>+Movimientos_2026[[#This Row],[Ingresos]]-Movimientos_2026[[#This Row],[Egresos]]</f>
        <v>171383804.02000001</v>
      </c>
      <c r="O1156" s="20">
        <f>+O1155+Movimientos_2026[[#This Row],[Neto]]</f>
        <v>4751676136.9945745</v>
      </c>
    </row>
    <row r="1157" spans="1:15" x14ac:dyDescent="0.25">
      <c r="A1157" s="13">
        <v>46121</v>
      </c>
      <c r="B1157" s="12">
        <f>MONTH(Movimientos_2026[[#This Row],[Fecha]])</f>
        <v>4</v>
      </c>
      <c r="C1157" s="12" t="str">
        <f>VLOOKUP((WEEKDAY(Movimientos_2026[[#This Row],[Fecha]],2)),'5. Setup'!$D$6:$E$12,2,FALSE)</f>
        <v>Jue</v>
      </c>
      <c r="D1157">
        <v>1043151</v>
      </c>
      <c r="E1157" t="str">
        <f>IFERROR(+VLOOKUP(Movimientos_2026[[#This Row],[Codigo]],Plan_cuentas[],2,FALSE)," ")</f>
        <v>INGRESOS</v>
      </c>
      <c r="F1157" t="str">
        <f>IFERROR(+VLOOKUP(Movimientos_2026[[#This Row],[Codigo]],Plan_cuentas[],3,FALSE)," ")</f>
        <v>Transferencia</v>
      </c>
      <c r="G1157" t="str">
        <f>IFERROR(+VLOOKUP(Movimientos_2026[[#This Row],[Codigo]],Plan_cuentas[],4,FALSE)," ")</f>
        <v>Registración</v>
      </c>
      <c r="H1157" t="str">
        <f>IFERROR(+VLOOKUP(Movimientos_2026[[#This Row],[Codigo]],Plan_cuentas[],5,FALSE)," ")</f>
        <v>CABA</v>
      </c>
      <c r="I1157" s="43">
        <v>46054</v>
      </c>
      <c r="J1157" t="s">
        <v>495</v>
      </c>
      <c r="K1157" t="str">
        <f>IFERROR(+VLOOKUP(Movimientos_2026[[#This Row],[Codigo]],Plan_cuentas[],6,FALSE)," ")</f>
        <v>1 - VW - Volkswagen</v>
      </c>
      <c r="L1157" s="50">
        <v>20901873.710000001</v>
      </c>
      <c r="M1157" s="50"/>
      <c r="N1157" s="20">
        <f>+Movimientos_2026[[#This Row],[Ingresos]]-Movimientos_2026[[#This Row],[Egresos]]</f>
        <v>20901873.710000001</v>
      </c>
      <c r="O1157" s="20">
        <f>+O1156+Movimientos_2026[[#This Row],[Neto]]</f>
        <v>4772578010.7045746</v>
      </c>
    </row>
    <row r="1158" spans="1:15" x14ac:dyDescent="0.25">
      <c r="A1158" s="13">
        <v>46121</v>
      </c>
      <c r="B1158" s="12">
        <f>MONTH(Movimientos_2026[[#This Row],[Fecha]])</f>
        <v>4</v>
      </c>
      <c r="C1158" s="12" t="str">
        <f>VLOOKUP((WEEKDAY(Movimientos_2026[[#This Row],[Fecha]],2)),'5. Setup'!$D$6:$E$12,2,FALSE)</f>
        <v>Jue</v>
      </c>
      <c r="D1158">
        <v>1043221</v>
      </c>
      <c r="E1158" t="str">
        <f>IFERROR(+VLOOKUP(Movimientos_2026[[#This Row],[Codigo]],Plan_cuentas[],2,FALSE)," ")</f>
        <v>INGRESOS</v>
      </c>
      <c r="F1158" t="str">
        <f>IFERROR(+VLOOKUP(Movimientos_2026[[#This Row],[Codigo]],Plan_cuentas[],3,FALSE)," ")</f>
        <v>Transferencia</v>
      </c>
      <c r="G1158" t="str">
        <f>IFERROR(+VLOOKUP(Movimientos_2026[[#This Row],[Codigo]],Plan_cuentas[],4,FALSE)," ")</f>
        <v>Registración</v>
      </c>
      <c r="H1158" t="str">
        <f>IFERROR(+VLOOKUP(Movimientos_2026[[#This Row],[Codigo]],Plan_cuentas[],5,FALSE)," ")</f>
        <v>ENTRE RIOS 1° Q</v>
      </c>
      <c r="I1158" s="43">
        <v>46054</v>
      </c>
      <c r="J1158" t="s">
        <v>495</v>
      </c>
      <c r="K1158" t="str">
        <f>IFERROR(+VLOOKUP(Movimientos_2026[[#This Row],[Codigo]],Plan_cuentas[],6,FALSE)," ")</f>
        <v>1 - VW - Volkswagen</v>
      </c>
      <c r="L1158" s="50">
        <v>4565119.5</v>
      </c>
      <c r="M1158" s="50"/>
      <c r="N1158" s="20">
        <f>+Movimientos_2026[[#This Row],[Ingresos]]-Movimientos_2026[[#This Row],[Egresos]]</f>
        <v>4565119.5</v>
      </c>
      <c r="O1158" s="20">
        <f>+O1157+Movimientos_2026[[#This Row],[Neto]]</f>
        <v>4777143130.2045746</v>
      </c>
    </row>
    <row r="1159" spans="1:15" x14ac:dyDescent="0.25">
      <c r="A1159" s="13">
        <v>46121</v>
      </c>
      <c r="B1159" s="12">
        <f>MONTH(Movimientos_2026[[#This Row],[Fecha]])</f>
        <v>4</v>
      </c>
      <c r="C1159" s="12" t="str">
        <f>VLOOKUP((WEEKDAY(Movimientos_2026[[#This Row],[Fecha]],2)),'5. Setup'!$D$6:$E$12,2,FALSE)</f>
        <v>Jue</v>
      </c>
      <c r="D1159">
        <v>1043231</v>
      </c>
      <c r="E1159" t="str">
        <f>IFERROR(+VLOOKUP(Movimientos_2026[[#This Row],[Codigo]],Plan_cuentas[],2,FALSE)," ")</f>
        <v>INGRESOS</v>
      </c>
      <c r="F1159" t="str">
        <f>IFERROR(+VLOOKUP(Movimientos_2026[[#This Row],[Codigo]],Plan_cuentas[],3,FALSE)," ")</f>
        <v>Transferencia</v>
      </c>
      <c r="G1159" t="str">
        <f>IFERROR(+VLOOKUP(Movimientos_2026[[#This Row],[Codigo]],Plan_cuentas[],4,FALSE)," ")</f>
        <v>Registración</v>
      </c>
      <c r="H1159" t="str">
        <f>IFERROR(+VLOOKUP(Movimientos_2026[[#This Row],[Codigo]],Plan_cuentas[],5,FALSE)," ")</f>
        <v>ENTRE RIOS 2° Q</v>
      </c>
      <c r="I1159" s="43">
        <v>46054</v>
      </c>
      <c r="J1159" t="s">
        <v>495</v>
      </c>
      <c r="K1159" t="str">
        <f>IFERROR(+VLOOKUP(Movimientos_2026[[#This Row],[Codigo]],Plan_cuentas[],6,FALSE)," ")</f>
        <v>1 - VW - Volkswagen</v>
      </c>
      <c r="L1159" s="50">
        <v>1306585.5</v>
      </c>
      <c r="M1159" s="50"/>
      <c r="N1159" s="20">
        <f>+Movimientos_2026[[#This Row],[Ingresos]]-Movimientos_2026[[#This Row],[Egresos]]</f>
        <v>1306585.5</v>
      </c>
      <c r="O1159" s="20">
        <f>+O1158+Movimientos_2026[[#This Row],[Neto]]</f>
        <v>4778449715.7045746</v>
      </c>
    </row>
    <row r="1160" spans="1:15" x14ac:dyDescent="0.25">
      <c r="A1160" s="13">
        <v>46121</v>
      </c>
      <c r="B1160" s="12">
        <f>MONTH(Movimientos_2026[[#This Row],[Fecha]])</f>
        <v>4</v>
      </c>
      <c r="C1160" s="12" t="str">
        <f>VLOOKUP((WEEKDAY(Movimientos_2026[[#This Row],[Fecha]],2)),'5. Setup'!$D$6:$E$12,2,FALSE)</f>
        <v>Jue</v>
      </c>
      <c r="D1160">
        <v>1043341</v>
      </c>
      <c r="E1160" t="str">
        <f>IFERROR(+VLOOKUP(Movimientos_2026[[#This Row],[Codigo]],Plan_cuentas[],2,FALSE)," ")</f>
        <v>INGRESOS</v>
      </c>
      <c r="F1160" t="str">
        <f>IFERROR(+VLOOKUP(Movimientos_2026[[#This Row],[Codigo]],Plan_cuentas[],3,FALSE)," ")</f>
        <v>Transferencia</v>
      </c>
      <c r="G1160" t="str">
        <f>IFERROR(+VLOOKUP(Movimientos_2026[[#This Row],[Codigo]],Plan_cuentas[],4,FALSE)," ")</f>
        <v>Registración</v>
      </c>
      <c r="H1160" t="str">
        <f>IFERROR(+VLOOKUP(Movimientos_2026[[#This Row],[Codigo]],Plan_cuentas[],5,FALSE)," ")</f>
        <v>RIO NEGRO</v>
      </c>
      <c r="I1160" s="43">
        <v>46054</v>
      </c>
      <c r="J1160" t="s">
        <v>495</v>
      </c>
      <c r="K1160" t="str">
        <f>IFERROR(+VLOOKUP(Movimientos_2026[[#This Row],[Codigo]],Plan_cuentas[],6,FALSE)," ")</f>
        <v>1 - VW - Volkswagen</v>
      </c>
      <c r="L1160" s="50">
        <v>17446221.260000002</v>
      </c>
      <c r="M1160" s="50"/>
      <c r="N1160" s="20">
        <f>+Movimientos_2026[[#This Row],[Ingresos]]-Movimientos_2026[[#This Row],[Egresos]]</f>
        <v>17446221.260000002</v>
      </c>
      <c r="O1160" s="20">
        <f>+O1159+Movimientos_2026[[#This Row],[Neto]]</f>
        <v>4795895936.9645748</v>
      </c>
    </row>
    <row r="1161" spans="1:15" x14ac:dyDescent="0.25">
      <c r="A1161" s="13">
        <v>46121</v>
      </c>
      <c r="B1161" s="12">
        <f>MONTH(Movimientos_2026[[#This Row],[Fecha]])</f>
        <v>4</v>
      </c>
      <c r="C1161" s="12" t="str">
        <f>VLOOKUP((WEEKDAY(Movimientos_2026[[#This Row],[Fecha]],2)),'5. Setup'!$D$6:$E$12,2,FALSE)</f>
        <v>Jue</v>
      </c>
      <c r="D1161">
        <v>1044161</v>
      </c>
      <c r="E1161" t="str">
        <f>IFERROR(+VLOOKUP(Movimientos_2026[[#This Row],[Codigo]],Plan_cuentas[],2,FALSE)," ")</f>
        <v>INGRESOS</v>
      </c>
      <c r="F1161" t="str">
        <f>IFERROR(+VLOOKUP(Movimientos_2026[[#This Row],[Codigo]],Plan_cuentas[],3,FALSE)," ")</f>
        <v>Transferencia</v>
      </c>
      <c r="G1161" t="str">
        <f>IFERROR(+VLOOKUP(Movimientos_2026[[#This Row],[Codigo]],Plan_cuentas[],4,FALSE)," ")</f>
        <v>Rentas</v>
      </c>
      <c r="H1161" t="str">
        <f>IFERROR(+VLOOKUP(Movimientos_2026[[#This Row],[Codigo]],Plan_cuentas[],5,FALSE)," ")</f>
        <v>CHACO</v>
      </c>
      <c r="I1161" s="43">
        <v>46054</v>
      </c>
      <c r="J1161" t="s">
        <v>495</v>
      </c>
      <c r="K1161" t="str">
        <f>IFERROR(+VLOOKUP(Movimientos_2026[[#This Row],[Codigo]],Plan_cuentas[],6,FALSE)," ")</f>
        <v>1 - VW - Volkswagen</v>
      </c>
      <c r="L1161" s="50">
        <v>12602625.99</v>
      </c>
      <c r="M1161" s="50"/>
      <c r="N1161" s="20">
        <f>+Movimientos_2026[[#This Row],[Ingresos]]-Movimientos_2026[[#This Row],[Egresos]]</f>
        <v>12602625.99</v>
      </c>
      <c r="O1161" s="20">
        <f>+O1160+Movimientos_2026[[#This Row],[Neto]]</f>
        <v>4808498562.9545746</v>
      </c>
    </row>
    <row r="1162" spans="1:15" x14ac:dyDescent="0.25">
      <c r="A1162" s="13">
        <v>46121</v>
      </c>
      <c r="B1162" s="12">
        <f>MONTH(Movimientos_2026[[#This Row],[Fecha]])</f>
        <v>4</v>
      </c>
      <c r="C1162" s="12" t="str">
        <f>VLOOKUP((WEEKDAY(Movimientos_2026[[#This Row],[Fecha]],2)),'5. Setup'!$D$6:$E$12,2,FALSE)</f>
        <v>Jue</v>
      </c>
      <c r="D1162">
        <v>1044171</v>
      </c>
      <c r="E1162" t="str">
        <f>IFERROR(+VLOOKUP(Movimientos_2026[[#This Row],[Codigo]],Plan_cuentas[],2,FALSE)," ")</f>
        <v>INGRESOS</v>
      </c>
      <c r="F1162" t="str">
        <f>IFERROR(+VLOOKUP(Movimientos_2026[[#This Row],[Codigo]],Plan_cuentas[],3,FALSE)," ")</f>
        <v>Transferencia</v>
      </c>
      <c r="G1162" t="str">
        <f>IFERROR(+VLOOKUP(Movimientos_2026[[#This Row],[Codigo]],Plan_cuentas[],4,FALSE)," ")</f>
        <v>Rentas</v>
      </c>
      <c r="H1162" t="str">
        <f>IFERROR(+VLOOKUP(Movimientos_2026[[#This Row],[Codigo]],Plan_cuentas[],5,FALSE)," ")</f>
        <v>CHUBUT</v>
      </c>
      <c r="I1162" s="43">
        <v>46054</v>
      </c>
      <c r="J1162" t="s">
        <v>495</v>
      </c>
      <c r="K1162" t="str">
        <f>IFERROR(+VLOOKUP(Movimientos_2026[[#This Row],[Codigo]],Plan_cuentas[],6,FALSE)," ")</f>
        <v>1 - VW - Volkswagen</v>
      </c>
      <c r="L1162" s="50">
        <v>2711473.4849999999</v>
      </c>
      <c r="M1162" s="50"/>
      <c r="N1162" s="20">
        <f>+Movimientos_2026[[#This Row],[Ingresos]]-Movimientos_2026[[#This Row],[Egresos]]</f>
        <v>2711473.4849999999</v>
      </c>
      <c r="O1162" s="20">
        <f>+O1161+Movimientos_2026[[#This Row],[Neto]]</f>
        <v>4811210036.4395742</v>
      </c>
    </row>
    <row r="1163" spans="1:15" x14ac:dyDescent="0.25">
      <c r="A1163" s="13">
        <v>46121</v>
      </c>
      <c r="B1163" s="12">
        <f>MONTH(Movimientos_2026[[#This Row],[Fecha]])</f>
        <v>4</v>
      </c>
      <c r="C1163" s="12" t="str">
        <f>VLOOKUP((WEEKDAY(Movimientos_2026[[#This Row],[Fecha]],2)),'5. Setup'!$D$6:$E$12,2,FALSE)</f>
        <v>Jue</v>
      </c>
      <c r="D1163">
        <v>1044201</v>
      </c>
      <c r="E1163" t="str">
        <f>IFERROR(+VLOOKUP(Movimientos_2026[[#This Row],[Codigo]],Plan_cuentas[],2,FALSE)," ")</f>
        <v>INGRESOS</v>
      </c>
      <c r="F1163" t="str">
        <f>IFERROR(+VLOOKUP(Movimientos_2026[[#This Row],[Codigo]],Plan_cuentas[],3,FALSE)," ")</f>
        <v>Transferencia</v>
      </c>
      <c r="G1163" t="str">
        <f>IFERROR(+VLOOKUP(Movimientos_2026[[#This Row],[Codigo]],Plan_cuentas[],4,FALSE)," ")</f>
        <v>Rentas</v>
      </c>
      <c r="H1163" t="str">
        <f>IFERROR(+VLOOKUP(Movimientos_2026[[#This Row],[Codigo]],Plan_cuentas[],5,FALSE)," ")</f>
        <v>CORRIENTES 1° Q</v>
      </c>
      <c r="I1163" s="43">
        <v>46054</v>
      </c>
      <c r="J1163" t="s">
        <v>495</v>
      </c>
      <c r="K1163" t="str">
        <f>IFERROR(+VLOOKUP(Movimientos_2026[[#This Row],[Codigo]],Plan_cuentas[],6,FALSE)," ")</f>
        <v>1 - VW - Volkswagen</v>
      </c>
      <c r="L1163" s="50">
        <v>5657117.7400000002</v>
      </c>
      <c r="M1163" s="50"/>
      <c r="N1163" s="20">
        <f>+Movimientos_2026[[#This Row],[Ingresos]]-Movimientos_2026[[#This Row],[Egresos]]</f>
        <v>5657117.7400000002</v>
      </c>
      <c r="O1163" s="20">
        <f>+O1162+Movimientos_2026[[#This Row],[Neto]]</f>
        <v>4816867154.179574</v>
      </c>
    </row>
    <row r="1164" spans="1:15" x14ac:dyDescent="0.25">
      <c r="A1164" s="13">
        <v>46121</v>
      </c>
      <c r="B1164" s="12">
        <f>MONTH(Movimientos_2026[[#This Row],[Fecha]])</f>
        <v>4</v>
      </c>
      <c r="C1164" s="12" t="str">
        <f>VLOOKUP((WEEKDAY(Movimientos_2026[[#This Row],[Fecha]],2)),'5. Setup'!$D$6:$E$12,2,FALSE)</f>
        <v>Jue</v>
      </c>
      <c r="D1164">
        <v>1044211</v>
      </c>
      <c r="E1164" t="str">
        <f>IFERROR(+VLOOKUP(Movimientos_2026[[#This Row],[Codigo]],Plan_cuentas[],2,FALSE)," ")</f>
        <v>INGRESOS</v>
      </c>
      <c r="F1164" t="str">
        <f>IFERROR(+VLOOKUP(Movimientos_2026[[#This Row],[Codigo]],Plan_cuentas[],3,FALSE)," ")</f>
        <v>Transferencia</v>
      </c>
      <c r="G1164" t="str">
        <f>IFERROR(+VLOOKUP(Movimientos_2026[[#This Row],[Codigo]],Plan_cuentas[],4,FALSE)," ")</f>
        <v>Rentas</v>
      </c>
      <c r="H1164" t="str">
        <f>IFERROR(+VLOOKUP(Movimientos_2026[[#This Row],[Codigo]],Plan_cuentas[],5,FALSE)," ")</f>
        <v>CORRIENTES 2° Q</v>
      </c>
      <c r="I1164" s="43">
        <v>46054</v>
      </c>
      <c r="J1164" t="s">
        <v>495</v>
      </c>
      <c r="K1164" t="str">
        <f>IFERROR(+VLOOKUP(Movimientos_2026[[#This Row],[Codigo]],Plan_cuentas[],6,FALSE)," ")</f>
        <v>1 - VW - Volkswagen</v>
      </c>
      <c r="L1164" s="50">
        <v>1102657.5</v>
      </c>
      <c r="M1164" s="50"/>
      <c r="N1164" s="20">
        <f>+Movimientos_2026[[#This Row],[Ingresos]]-Movimientos_2026[[#This Row],[Egresos]]</f>
        <v>1102657.5</v>
      </c>
      <c r="O1164" s="20">
        <f>+O1163+Movimientos_2026[[#This Row],[Neto]]</f>
        <v>4817969811.679574</v>
      </c>
    </row>
    <row r="1165" spans="1:15" x14ac:dyDescent="0.25">
      <c r="A1165" s="13">
        <v>46121</v>
      </c>
      <c r="B1165" s="12">
        <f>MONTH(Movimientos_2026[[#This Row],[Fecha]])</f>
        <v>4</v>
      </c>
      <c r="C1165" s="12" t="str">
        <f>VLOOKUP((WEEKDAY(Movimientos_2026[[#This Row],[Fecha]],2)),'5. Setup'!$D$6:$E$12,2,FALSE)</f>
        <v>Jue</v>
      </c>
      <c r="D1165">
        <v>1044241</v>
      </c>
      <c r="E1165" t="str">
        <f>IFERROR(+VLOOKUP(Movimientos_2026[[#This Row],[Codigo]],Plan_cuentas[],2,FALSE)," ")</f>
        <v>INGRESOS</v>
      </c>
      <c r="F1165" t="str">
        <f>IFERROR(+VLOOKUP(Movimientos_2026[[#This Row],[Codigo]],Plan_cuentas[],3,FALSE)," ")</f>
        <v>Transferencia</v>
      </c>
      <c r="G1165" t="str">
        <f>IFERROR(+VLOOKUP(Movimientos_2026[[#This Row],[Codigo]],Plan_cuentas[],4,FALSE)," ")</f>
        <v>Rentas</v>
      </c>
      <c r="H1165" t="str">
        <f>IFERROR(+VLOOKUP(Movimientos_2026[[#This Row],[Codigo]],Plan_cuentas[],5,FALSE)," ")</f>
        <v>FORMOSA</v>
      </c>
      <c r="I1165" s="43">
        <v>46054</v>
      </c>
      <c r="J1165" t="s">
        <v>495</v>
      </c>
      <c r="K1165" t="str">
        <f>IFERROR(+VLOOKUP(Movimientos_2026[[#This Row],[Codigo]],Plan_cuentas[],6,FALSE)," ")</f>
        <v>1 - VW - Volkswagen</v>
      </c>
      <c r="L1165" s="50">
        <v>2699844.49</v>
      </c>
      <c r="M1165" s="50"/>
      <c r="N1165" s="20">
        <f>+Movimientos_2026[[#This Row],[Ingresos]]-Movimientos_2026[[#This Row],[Egresos]]</f>
        <v>2699844.49</v>
      </c>
      <c r="O1165" s="20">
        <f>+O1164+Movimientos_2026[[#This Row],[Neto]]</f>
        <v>4820669656.1695738</v>
      </c>
    </row>
    <row r="1166" spans="1:15" x14ac:dyDescent="0.25">
      <c r="A1166" s="13">
        <v>46121</v>
      </c>
      <c r="B1166" s="12">
        <f>MONTH(Movimientos_2026[[#This Row],[Fecha]])</f>
        <v>4</v>
      </c>
      <c r="C1166" s="12" t="str">
        <f>VLOOKUP((WEEKDAY(Movimientos_2026[[#This Row],[Fecha]],2)),'5. Setup'!$D$6:$E$12,2,FALSE)</f>
        <v>Jue</v>
      </c>
      <c r="D1166">
        <v>1044261</v>
      </c>
      <c r="E1166" t="str">
        <f>IFERROR(+VLOOKUP(Movimientos_2026[[#This Row],[Codigo]],Plan_cuentas[],2,FALSE)," ")</f>
        <v>INGRESOS</v>
      </c>
      <c r="F1166" t="str">
        <f>IFERROR(+VLOOKUP(Movimientos_2026[[#This Row],[Codigo]],Plan_cuentas[],3,FALSE)," ")</f>
        <v>Transferencia</v>
      </c>
      <c r="G1166" t="str">
        <f>IFERROR(+VLOOKUP(Movimientos_2026[[#This Row],[Codigo]],Plan_cuentas[],4,FALSE)," ")</f>
        <v>Rentas</v>
      </c>
      <c r="H1166" t="str">
        <f>IFERROR(+VLOOKUP(Movimientos_2026[[#This Row],[Codigo]],Plan_cuentas[],5,FALSE)," ")</f>
        <v>LA PAMPA</v>
      </c>
      <c r="I1166" s="43">
        <v>46054</v>
      </c>
      <c r="J1166" t="s">
        <v>495</v>
      </c>
      <c r="K1166" t="str">
        <f>IFERROR(+VLOOKUP(Movimientos_2026[[#This Row],[Codigo]],Plan_cuentas[],6,FALSE)," ")</f>
        <v>1 - VW - Volkswagen</v>
      </c>
      <c r="L1166" s="50">
        <v>367552.5</v>
      </c>
      <c r="M1166" s="50"/>
      <c r="N1166" s="20">
        <f>+Movimientos_2026[[#This Row],[Ingresos]]-Movimientos_2026[[#This Row],[Egresos]]</f>
        <v>367552.5</v>
      </c>
      <c r="O1166" s="20">
        <f>+O1165+Movimientos_2026[[#This Row],[Neto]]</f>
        <v>4821037208.6695738</v>
      </c>
    </row>
    <row r="1167" spans="1:15" x14ac:dyDescent="0.25">
      <c r="A1167" s="13">
        <v>46121</v>
      </c>
      <c r="B1167" s="12">
        <f>MONTH(Movimientos_2026[[#This Row],[Fecha]])</f>
        <v>4</v>
      </c>
      <c r="C1167" s="12" t="str">
        <f>VLOOKUP((WEEKDAY(Movimientos_2026[[#This Row],[Fecha]],2)),'5. Setup'!$D$6:$E$12,2,FALSE)</f>
        <v>Jue</v>
      </c>
      <c r="D1167">
        <v>1044271</v>
      </c>
      <c r="E1167" t="str">
        <f>IFERROR(+VLOOKUP(Movimientos_2026[[#This Row],[Codigo]],Plan_cuentas[],2,FALSE)," ")</f>
        <v>INGRESOS</v>
      </c>
      <c r="F1167" t="str">
        <f>IFERROR(+VLOOKUP(Movimientos_2026[[#This Row],[Codigo]],Plan_cuentas[],3,FALSE)," ")</f>
        <v>Transferencia</v>
      </c>
      <c r="G1167" t="str">
        <f>IFERROR(+VLOOKUP(Movimientos_2026[[#This Row],[Codigo]],Plan_cuentas[],4,FALSE)," ")</f>
        <v>Rentas</v>
      </c>
      <c r="H1167" t="str">
        <f>IFERROR(+VLOOKUP(Movimientos_2026[[#This Row],[Codigo]],Plan_cuentas[],5,FALSE)," ")</f>
        <v>LA RIOJA</v>
      </c>
      <c r="I1167" s="43">
        <v>46054</v>
      </c>
      <c r="J1167" t="s">
        <v>495</v>
      </c>
      <c r="K1167" t="str">
        <f>IFERROR(+VLOOKUP(Movimientos_2026[[#This Row],[Codigo]],Plan_cuentas[],6,FALSE)," ")</f>
        <v>1 - VW - Volkswagen</v>
      </c>
      <c r="L1167" s="50">
        <v>5030967.28</v>
      </c>
      <c r="M1167" s="50"/>
      <c r="N1167" s="20">
        <f>+Movimientos_2026[[#This Row],[Ingresos]]-Movimientos_2026[[#This Row],[Egresos]]</f>
        <v>5030967.28</v>
      </c>
      <c r="O1167" s="20">
        <f>+O1166+Movimientos_2026[[#This Row],[Neto]]</f>
        <v>4826068175.9495735</v>
      </c>
    </row>
    <row r="1168" spans="1:15" x14ac:dyDescent="0.25">
      <c r="A1168" s="13">
        <v>46121</v>
      </c>
      <c r="B1168" s="12">
        <f>MONTH(Movimientos_2026[[#This Row],[Fecha]])</f>
        <v>4</v>
      </c>
      <c r="C1168" s="12" t="str">
        <f>VLOOKUP((WEEKDAY(Movimientos_2026[[#This Row],[Fecha]],2)),'5. Setup'!$D$6:$E$12,2,FALSE)</f>
        <v>Jue</v>
      </c>
      <c r="D1168">
        <v>1044281</v>
      </c>
      <c r="E1168" t="str">
        <f>IFERROR(+VLOOKUP(Movimientos_2026[[#This Row],[Codigo]],Plan_cuentas[],2,FALSE)," ")</f>
        <v>INGRESOS</v>
      </c>
      <c r="F1168" t="str">
        <f>IFERROR(+VLOOKUP(Movimientos_2026[[#This Row],[Codigo]],Plan_cuentas[],3,FALSE)," ")</f>
        <v>Transferencia</v>
      </c>
      <c r="G1168" t="str">
        <f>IFERROR(+VLOOKUP(Movimientos_2026[[#This Row],[Codigo]],Plan_cuentas[],4,FALSE)," ")</f>
        <v>Rentas</v>
      </c>
      <c r="H1168" t="str">
        <f>IFERROR(+VLOOKUP(Movimientos_2026[[#This Row],[Codigo]],Plan_cuentas[],5,FALSE)," ")</f>
        <v>MENDOZA</v>
      </c>
      <c r="I1168" s="43">
        <v>46054</v>
      </c>
      <c r="J1168" t="s">
        <v>495</v>
      </c>
      <c r="K1168" t="str">
        <f>IFERROR(+VLOOKUP(Movimientos_2026[[#This Row],[Codigo]],Plan_cuentas[],6,FALSE)," ")</f>
        <v>1 - VW - Volkswagen</v>
      </c>
      <c r="L1168" s="50">
        <v>12885406.460000001</v>
      </c>
      <c r="M1168" s="50"/>
      <c r="N1168" s="20">
        <f>+Movimientos_2026[[#This Row],[Ingresos]]-Movimientos_2026[[#This Row],[Egresos]]</f>
        <v>12885406.460000001</v>
      </c>
      <c r="O1168" s="20">
        <f>+O1167+Movimientos_2026[[#This Row],[Neto]]</f>
        <v>4838953582.4095736</v>
      </c>
    </row>
    <row r="1169" spans="1:15" x14ac:dyDescent="0.25">
      <c r="A1169" s="13">
        <v>46121</v>
      </c>
      <c r="B1169" s="12">
        <f>MONTH(Movimientos_2026[[#This Row],[Fecha]])</f>
        <v>4</v>
      </c>
      <c r="C1169" s="12" t="str">
        <f>VLOOKUP((WEEKDAY(Movimientos_2026[[#This Row],[Fecha]],2)),'5. Setup'!$D$6:$E$12,2,FALSE)</f>
        <v>Jue</v>
      </c>
      <c r="D1169">
        <v>1044461</v>
      </c>
      <c r="E1169" t="str">
        <f>IFERROR(+VLOOKUP(Movimientos_2026[[#This Row],[Codigo]],Plan_cuentas[],2,FALSE)," ")</f>
        <v>INGRESOS</v>
      </c>
      <c r="F1169" t="str">
        <f>IFERROR(+VLOOKUP(Movimientos_2026[[#This Row],[Codigo]],Plan_cuentas[],3,FALSE)," ")</f>
        <v>Transferencia</v>
      </c>
      <c r="G1169" t="str">
        <f>IFERROR(+VLOOKUP(Movimientos_2026[[#This Row],[Codigo]],Plan_cuentas[],4,FALSE)," ")</f>
        <v>Rentas</v>
      </c>
      <c r="H1169" t="str">
        <f>IFERROR(+VLOOKUP(Movimientos_2026[[#This Row],[Codigo]],Plan_cuentas[],5,FALSE)," ")</f>
        <v>MISIONES</v>
      </c>
      <c r="I1169" s="43">
        <v>46054</v>
      </c>
      <c r="J1169" t="s">
        <v>495</v>
      </c>
      <c r="K1169" t="str">
        <f>IFERROR(+VLOOKUP(Movimientos_2026[[#This Row],[Codigo]],Plan_cuentas[],6,FALSE)," ")</f>
        <v>1 - VW - Volkswagen</v>
      </c>
      <c r="L1169" s="50">
        <v>1303536.277704566</v>
      </c>
      <c r="M1169" s="50"/>
      <c r="N1169" s="20">
        <f>+Movimientos_2026[[#This Row],[Ingresos]]-Movimientos_2026[[#This Row],[Egresos]]</f>
        <v>1303536.277704566</v>
      </c>
      <c r="O1169" s="20">
        <f>+O1168+Movimientos_2026[[#This Row],[Neto]]</f>
        <v>4840257118.6872778</v>
      </c>
    </row>
    <row r="1170" spans="1:15" x14ac:dyDescent="0.25">
      <c r="A1170" s="13">
        <v>46121</v>
      </c>
      <c r="B1170" s="12">
        <f>MONTH(Movimientos_2026[[#This Row],[Fecha]])</f>
        <v>4</v>
      </c>
      <c r="C1170" s="12" t="str">
        <f>VLOOKUP((WEEKDAY(Movimientos_2026[[#This Row],[Fecha]],2)),'5. Setup'!$D$6:$E$12,2,FALSE)</f>
        <v>Jue</v>
      </c>
      <c r="D1170">
        <v>1044311</v>
      </c>
      <c r="E1170" t="str">
        <f>IFERROR(+VLOOKUP(Movimientos_2026[[#This Row],[Codigo]],Plan_cuentas[],2,FALSE)," ")</f>
        <v>INGRESOS</v>
      </c>
      <c r="F1170" t="str">
        <f>IFERROR(+VLOOKUP(Movimientos_2026[[#This Row],[Codigo]],Plan_cuentas[],3,FALSE)," ")</f>
        <v>Transferencia</v>
      </c>
      <c r="G1170" t="str">
        <f>IFERROR(+VLOOKUP(Movimientos_2026[[#This Row],[Codigo]],Plan_cuentas[],4,FALSE)," ")</f>
        <v>Rentas</v>
      </c>
      <c r="H1170" t="str">
        <f>IFERROR(+VLOOKUP(Movimientos_2026[[#This Row],[Codigo]],Plan_cuentas[],5,FALSE)," ")</f>
        <v>NEUQUEN 1° Q</v>
      </c>
      <c r="I1170" s="43">
        <v>46054</v>
      </c>
      <c r="J1170" t="s">
        <v>495</v>
      </c>
      <c r="K1170" t="str">
        <f>IFERROR(+VLOOKUP(Movimientos_2026[[#This Row],[Codigo]],Plan_cuentas[],6,FALSE)," ")</f>
        <v>1 - VW - Volkswagen</v>
      </c>
      <c r="L1170" s="50">
        <v>18099233.620000001</v>
      </c>
      <c r="M1170" s="50"/>
      <c r="N1170" s="20">
        <f>+Movimientos_2026[[#This Row],[Ingresos]]-Movimientos_2026[[#This Row],[Egresos]]</f>
        <v>18099233.620000001</v>
      </c>
      <c r="O1170" s="20">
        <f>+O1169+Movimientos_2026[[#This Row],[Neto]]</f>
        <v>4858356352.3072777</v>
      </c>
    </row>
    <row r="1171" spans="1:15" x14ac:dyDescent="0.25">
      <c r="A1171" s="13">
        <v>46121</v>
      </c>
      <c r="B1171" s="12">
        <f>MONTH(Movimientos_2026[[#This Row],[Fecha]])</f>
        <v>4</v>
      </c>
      <c r="C1171" s="12" t="str">
        <f>VLOOKUP((WEEKDAY(Movimientos_2026[[#This Row],[Fecha]],2)),'5. Setup'!$D$6:$E$12,2,FALSE)</f>
        <v>Jue</v>
      </c>
      <c r="D1171">
        <v>1044321</v>
      </c>
      <c r="E1171" t="str">
        <f>IFERROR(+VLOOKUP(Movimientos_2026[[#This Row],[Codigo]],Plan_cuentas[],2,FALSE)," ")</f>
        <v>INGRESOS</v>
      </c>
      <c r="F1171" t="str">
        <f>IFERROR(+VLOOKUP(Movimientos_2026[[#This Row],[Codigo]],Plan_cuentas[],3,FALSE)," ")</f>
        <v>Transferencia</v>
      </c>
      <c r="G1171" t="str">
        <f>IFERROR(+VLOOKUP(Movimientos_2026[[#This Row],[Codigo]],Plan_cuentas[],4,FALSE)," ")</f>
        <v>Rentas</v>
      </c>
      <c r="H1171" t="str">
        <f>IFERROR(+VLOOKUP(Movimientos_2026[[#This Row],[Codigo]],Plan_cuentas[],5,FALSE)," ")</f>
        <v>NEUQUEN 2° Q</v>
      </c>
      <c r="I1171" s="43">
        <v>46054</v>
      </c>
      <c r="J1171" t="s">
        <v>495</v>
      </c>
      <c r="K1171" t="str">
        <f>IFERROR(+VLOOKUP(Movimientos_2026[[#This Row],[Codigo]],Plan_cuentas[],6,FALSE)," ")</f>
        <v>1 - VW - Volkswagen</v>
      </c>
      <c r="L1171" s="50">
        <v>4481908.5</v>
      </c>
      <c r="M1171" s="50"/>
      <c r="N1171" s="20">
        <f>+Movimientos_2026[[#This Row],[Ingresos]]-Movimientos_2026[[#This Row],[Egresos]]</f>
        <v>4481908.5</v>
      </c>
      <c r="O1171" s="20">
        <f>+O1170+Movimientos_2026[[#This Row],[Neto]]</f>
        <v>4862838260.8072777</v>
      </c>
    </row>
    <row r="1172" spans="1:15" x14ac:dyDescent="0.25">
      <c r="A1172" s="13">
        <v>46121</v>
      </c>
      <c r="B1172" s="12">
        <f>MONTH(Movimientos_2026[[#This Row],[Fecha]])</f>
        <v>4</v>
      </c>
      <c r="C1172" s="12" t="str">
        <f>VLOOKUP((WEEKDAY(Movimientos_2026[[#This Row],[Fecha]],2)),'5. Setup'!$D$6:$E$12,2,FALSE)</f>
        <v>Jue</v>
      </c>
      <c r="D1172">
        <v>1044351</v>
      </c>
      <c r="E1172" t="str">
        <f>IFERROR(+VLOOKUP(Movimientos_2026[[#This Row],[Codigo]],Plan_cuentas[],2,FALSE)," ")</f>
        <v>INGRESOS</v>
      </c>
      <c r="F1172" t="str">
        <f>IFERROR(+VLOOKUP(Movimientos_2026[[#This Row],[Codigo]],Plan_cuentas[],3,FALSE)," ")</f>
        <v>Transferencia</v>
      </c>
      <c r="G1172" t="str">
        <f>IFERROR(+VLOOKUP(Movimientos_2026[[#This Row],[Codigo]],Plan_cuentas[],4,FALSE)," ")</f>
        <v>Rentas</v>
      </c>
      <c r="H1172" t="str">
        <f>IFERROR(+VLOOKUP(Movimientos_2026[[#This Row],[Codigo]],Plan_cuentas[],5,FALSE)," ")</f>
        <v>SAN JUAN</v>
      </c>
      <c r="I1172" s="43">
        <v>46054</v>
      </c>
      <c r="J1172" t="s">
        <v>495</v>
      </c>
      <c r="K1172" t="str">
        <f>IFERROR(+VLOOKUP(Movimientos_2026[[#This Row],[Codigo]],Plan_cuentas[],6,FALSE)," ")</f>
        <v>1 - VW - Volkswagen</v>
      </c>
      <c r="L1172" s="50">
        <v>2320011.84</v>
      </c>
      <c r="M1172" s="50"/>
      <c r="N1172" s="20">
        <f>+Movimientos_2026[[#This Row],[Ingresos]]-Movimientos_2026[[#This Row],[Egresos]]</f>
        <v>2320011.84</v>
      </c>
      <c r="O1172" s="20">
        <f>+O1171+Movimientos_2026[[#This Row],[Neto]]</f>
        <v>4865158272.6472778</v>
      </c>
    </row>
    <row r="1173" spans="1:15" x14ac:dyDescent="0.25">
      <c r="A1173" s="13">
        <v>46121</v>
      </c>
      <c r="B1173" s="12">
        <f>MONTH(Movimientos_2026[[#This Row],[Fecha]])</f>
        <v>4</v>
      </c>
      <c r="C1173" s="12" t="str">
        <f>VLOOKUP((WEEKDAY(Movimientos_2026[[#This Row],[Fecha]],2)),'5. Setup'!$D$6:$E$12,2,FALSE)</f>
        <v>Jue</v>
      </c>
      <c r="D1173">
        <v>1044361</v>
      </c>
      <c r="E1173" t="str">
        <f>IFERROR(+VLOOKUP(Movimientos_2026[[#This Row],[Codigo]],Plan_cuentas[],2,FALSE)," ")</f>
        <v>INGRESOS</v>
      </c>
      <c r="F1173" t="str">
        <f>IFERROR(+VLOOKUP(Movimientos_2026[[#This Row],[Codigo]],Plan_cuentas[],3,FALSE)," ")</f>
        <v>Transferencia</v>
      </c>
      <c r="G1173" t="str">
        <f>IFERROR(+VLOOKUP(Movimientos_2026[[#This Row],[Codigo]],Plan_cuentas[],4,FALSE)," ")</f>
        <v>Rentas</v>
      </c>
      <c r="H1173" t="str">
        <f>IFERROR(+VLOOKUP(Movimientos_2026[[#This Row],[Codigo]],Plan_cuentas[],5,FALSE)," ")</f>
        <v>SAN LUIS</v>
      </c>
      <c r="I1173" s="43">
        <v>46054</v>
      </c>
      <c r="J1173" t="s">
        <v>495</v>
      </c>
      <c r="K1173" t="str">
        <f>IFERROR(+VLOOKUP(Movimientos_2026[[#This Row],[Codigo]],Plan_cuentas[],6,FALSE)," ")</f>
        <v>1 - VW - Volkswagen</v>
      </c>
      <c r="L1173" s="50">
        <v>1572395.9879999999</v>
      </c>
      <c r="M1173" s="50"/>
      <c r="N1173" s="20">
        <f>+Movimientos_2026[[#This Row],[Ingresos]]-Movimientos_2026[[#This Row],[Egresos]]</f>
        <v>1572395.9879999999</v>
      </c>
      <c r="O1173" s="20">
        <f>+O1172+Movimientos_2026[[#This Row],[Neto]]</f>
        <v>4866730668.6352777</v>
      </c>
    </row>
    <row r="1174" spans="1:15" x14ac:dyDescent="0.25">
      <c r="A1174" s="13">
        <v>46121</v>
      </c>
      <c r="B1174" s="12">
        <f>MONTH(Movimientos_2026[[#This Row],[Fecha]])</f>
        <v>4</v>
      </c>
      <c r="C1174" s="12" t="str">
        <f>VLOOKUP((WEEKDAY(Movimientos_2026[[#This Row],[Fecha]],2)),'5. Setup'!$D$6:$E$12,2,FALSE)</f>
        <v>Jue</v>
      </c>
      <c r="D1174">
        <v>1044371</v>
      </c>
      <c r="E1174" t="str">
        <f>IFERROR(+VLOOKUP(Movimientos_2026[[#This Row],[Codigo]],Plan_cuentas[],2,FALSE)," ")</f>
        <v>INGRESOS</v>
      </c>
      <c r="F1174" t="str">
        <f>IFERROR(+VLOOKUP(Movimientos_2026[[#This Row],[Codigo]],Plan_cuentas[],3,FALSE)," ")</f>
        <v>Transferencia</v>
      </c>
      <c r="G1174" t="str">
        <f>IFERROR(+VLOOKUP(Movimientos_2026[[#This Row],[Codigo]],Plan_cuentas[],4,FALSE)," ")</f>
        <v>Rentas</v>
      </c>
      <c r="H1174" t="str">
        <f>IFERROR(+VLOOKUP(Movimientos_2026[[#This Row],[Codigo]],Plan_cuentas[],5,FALSE)," ")</f>
        <v>SANTA CRUZ</v>
      </c>
      <c r="I1174" s="43">
        <v>46054</v>
      </c>
      <c r="J1174" t="s">
        <v>495</v>
      </c>
      <c r="K1174" t="str">
        <f>IFERROR(+VLOOKUP(Movimientos_2026[[#This Row],[Codigo]],Plan_cuentas[],6,FALSE)," ")</f>
        <v>1 - VW - Volkswagen</v>
      </c>
      <c r="L1174" s="50">
        <v>11828576.186000001</v>
      </c>
      <c r="M1174" s="50"/>
      <c r="N1174" s="20">
        <f>+Movimientos_2026[[#This Row],[Ingresos]]-Movimientos_2026[[#This Row],[Egresos]]</f>
        <v>11828576.186000001</v>
      </c>
      <c r="O1174" s="20">
        <f>+O1173+Movimientos_2026[[#This Row],[Neto]]</f>
        <v>4878559244.8212776</v>
      </c>
    </row>
    <row r="1175" spans="1:15" x14ac:dyDescent="0.25">
      <c r="A1175" s="13">
        <v>46121</v>
      </c>
      <c r="B1175" s="12">
        <f>MONTH(Movimientos_2026[[#This Row],[Fecha]])</f>
        <v>4</v>
      </c>
      <c r="C1175" s="12" t="str">
        <f>VLOOKUP((WEEKDAY(Movimientos_2026[[#This Row],[Fecha]],2)),'5. Setup'!$D$6:$E$12,2,FALSE)</f>
        <v>Jue</v>
      </c>
      <c r="D1175">
        <v>1044381</v>
      </c>
      <c r="E1175" t="str">
        <f>IFERROR(+VLOOKUP(Movimientos_2026[[#This Row],[Codigo]],Plan_cuentas[],2,FALSE)," ")</f>
        <v>INGRESOS</v>
      </c>
      <c r="F1175" t="str">
        <f>IFERROR(+VLOOKUP(Movimientos_2026[[#This Row],[Codigo]],Plan_cuentas[],3,FALSE)," ")</f>
        <v>Transferencia</v>
      </c>
      <c r="G1175" t="str">
        <f>IFERROR(+VLOOKUP(Movimientos_2026[[#This Row],[Codigo]],Plan_cuentas[],4,FALSE)," ")</f>
        <v>Rentas</v>
      </c>
      <c r="H1175" t="str">
        <f>IFERROR(+VLOOKUP(Movimientos_2026[[#This Row],[Codigo]],Plan_cuentas[],5,FALSE)," ")</f>
        <v>SANTA FE 1° Q</v>
      </c>
      <c r="I1175" s="43">
        <v>46054</v>
      </c>
      <c r="J1175" t="s">
        <v>495</v>
      </c>
      <c r="K1175" t="str">
        <f>IFERROR(+VLOOKUP(Movimientos_2026[[#This Row],[Codigo]],Plan_cuentas[],6,FALSE)," ")</f>
        <v>1 - VW - Volkswagen</v>
      </c>
      <c r="L1175" s="50">
        <v>12426250.550000001</v>
      </c>
      <c r="M1175" s="50"/>
      <c r="N1175" s="20">
        <f>+Movimientos_2026[[#This Row],[Ingresos]]-Movimientos_2026[[#This Row],[Egresos]]</f>
        <v>12426250.550000001</v>
      </c>
      <c r="O1175" s="20">
        <f>+O1174+Movimientos_2026[[#This Row],[Neto]]</f>
        <v>4890985495.3712778</v>
      </c>
    </row>
    <row r="1176" spans="1:15" x14ac:dyDescent="0.25">
      <c r="A1176" s="13">
        <v>46121</v>
      </c>
      <c r="B1176" s="12">
        <f>MONTH(Movimientos_2026[[#This Row],[Fecha]])</f>
        <v>4</v>
      </c>
      <c r="C1176" s="12" t="str">
        <f>VLOOKUP((WEEKDAY(Movimientos_2026[[#This Row],[Fecha]],2)),'5. Setup'!$D$6:$E$12,2,FALSE)</f>
        <v>Jue</v>
      </c>
      <c r="D1176">
        <v>1044391</v>
      </c>
      <c r="E1176" t="str">
        <f>IFERROR(+VLOOKUP(Movimientos_2026[[#This Row],[Codigo]],Plan_cuentas[],2,FALSE)," ")</f>
        <v>INGRESOS</v>
      </c>
      <c r="F1176" t="str">
        <f>IFERROR(+VLOOKUP(Movimientos_2026[[#This Row],[Codigo]],Plan_cuentas[],3,FALSE)," ")</f>
        <v>Transferencia</v>
      </c>
      <c r="G1176" t="str">
        <f>IFERROR(+VLOOKUP(Movimientos_2026[[#This Row],[Codigo]],Plan_cuentas[],4,FALSE)," ")</f>
        <v>Rentas</v>
      </c>
      <c r="H1176" t="str">
        <f>IFERROR(+VLOOKUP(Movimientos_2026[[#This Row],[Codigo]],Plan_cuentas[],5,FALSE)," ")</f>
        <v>SANTA FE 2° Q</v>
      </c>
      <c r="I1176" s="43">
        <v>46054</v>
      </c>
      <c r="J1176" t="s">
        <v>495</v>
      </c>
      <c r="K1176" t="str">
        <f>IFERROR(+VLOOKUP(Movimientos_2026[[#This Row],[Codigo]],Plan_cuentas[],6,FALSE)," ")</f>
        <v>1 - VW - Volkswagen</v>
      </c>
      <c r="L1176" s="50">
        <v>1293282</v>
      </c>
      <c r="M1176" s="50"/>
      <c r="N1176" s="20">
        <f>+Movimientos_2026[[#This Row],[Ingresos]]-Movimientos_2026[[#This Row],[Egresos]]</f>
        <v>1293282</v>
      </c>
      <c r="O1176" s="20">
        <f>+O1175+Movimientos_2026[[#This Row],[Neto]]</f>
        <v>4892278777.3712778</v>
      </c>
    </row>
    <row r="1177" spans="1:15" x14ac:dyDescent="0.25">
      <c r="A1177" s="13">
        <v>46121</v>
      </c>
      <c r="B1177" s="12">
        <f>MONTH(Movimientos_2026[[#This Row],[Fecha]])</f>
        <v>4</v>
      </c>
      <c r="C1177" s="12" t="str">
        <f>VLOOKUP((WEEKDAY(Movimientos_2026[[#This Row],[Fecha]],2)),'5. Setup'!$D$6:$E$12,2,FALSE)</f>
        <v>Jue</v>
      </c>
      <c r="D1177">
        <v>1044401</v>
      </c>
      <c r="E1177" t="str">
        <f>IFERROR(+VLOOKUP(Movimientos_2026[[#This Row],[Codigo]],Plan_cuentas[],2,FALSE)," ")</f>
        <v>INGRESOS</v>
      </c>
      <c r="F1177" t="str">
        <f>IFERROR(+VLOOKUP(Movimientos_2026[[#This Row],[Codigo]],Plan_cuentas[],3,FALSE)," ")</f>
        <v>Transferencia</v>
      </c>
      <c r="G1177" t="str">
        <f>IFERROR(+VLOOKUP(Movimientos_2026[[#This Row],[Codigo]],Plan_cuentas[],4,FALSE)," ")</f>
        <v>Rentas</v>
      </c>
      <c r="H1177" t="str">
        <f>IFERROR(+VLOOKUP(Movimientos_2026[[#This Row],[Codigo]],Plan_cuentas[],5,FALSE)," ")</f>
        <v>SANTIAGO DEL ESTERO</v>
      </c>
      <c r="I1177" s="43">
        <v>46054</v>
      </c>
      <c r="J1177" t="s">
        <v>495</v>
      </c>
      <c r="K1177" t="str">
        <f>IFERROR(+VLOOKUP(Movimientos_2026[[#This Row],[Codigo]],Plan_cuentas[],6,FALSE)," ")</f>
        <v>1 - VW - Volkswagen</v>
      </c>
      <c r="L1177" s="50">
        <v>8207588.4900000002</v>
      </c>
      <c r="M1177" s="50"/>
      <c r="N1177" s="20">
        <f>+Movimientos_2026[[#This Row],[Ingresos]]-Movimientos_2026[[#This Row],[Egresos]]</f>
        <v>8207588.4900000002</v>
      </c>
      <c r="O1177" s="20">
        <f>+O1176+Movimientos_2026[[#This Row],[Neto]]</f>
        <v>4900486365.8612776</v>
      </c>
    </row>
    <row r="1178" spans="1:15" x14ac:dyDescent="0.25">
      <c r="A1178" s="13">
        <v>46121</v>
      </c>
      <c r="B1178" s="12">
        <f>MONTH(Movimientos_2026[[#This Row],[Fecha]])</f>
        <v>4</v>
      </c>
      <c r="C1178" s="12" t="str">
        <f>VLOOKUP((WEEKDAY(Movimientos_2026[[#This Row],[Fecha]],2)),'5. Setup'!$D$6:$E$12,2,FALSE)</f>
        <v>Jue</v>
      </c>
      <c r="D1178">
        <v>1044411</v>
      </c>
      <c r="E1178" t="str">
        <f>IFERROR(+VLOOKUP(Movimientos_2026[[#This Row],[Codigo]],Plan_cuentas[],2,FALSE)," ")</f>
        <v>INGRESOS</v>
      </c>
      <c r="F1178" t="str">
        <f>IFERROR(+VLOOKUP(Movimientos_2026[[#This Row],[Codigo]],Plan_cuentas[],3,FALSE)," ")</f>
        <v>Transferencia</v>
      </c>
      <c r="G1178" t="str">
        <f>IFERROR(+VLOOKUP(Movimientos_2026[[#This Row],[Codigo]],Plan_cuentas[],4,FALSE)," ")</f>
        <v>Rentas</v>
      </c>
      <c r="H1178" t="str">
        <f>IFERROR(+VLOOKUP(Movimientos_2026[[#This Row],[Codigo]],Plan_cuentas[],5,FALSE)," ")</f>
        <v>TIERRA DEL FUEGO</v>
      </c>
      <c r="I1178" s="43">
        <v>46054</v>
      </c>
      <c r="J1178" t="s">
        <v>495</v>
      </c>
      <c r="K1178" t="str">
        <f>IFERROR(+VLOOKUP(Movimientos_2026[[#This Row],[Codigo]],Plan_cuentas[],6,FALSE)," ")</f>
        <v>1 - VW - Volkswagen</v>
      </c>
      <c r="L1178" s="50">
        <v>3334525.5</v>
      </c>
      <c r="M1178" s="50"/>
      <c r="N1178" s="20">
        <f>+Movimientos_2026[[#This Row],[Ingresos]]-Movimientos_2026[[#This Row],[Egresos]]</f>
        <v>3334525.5</v>
      </c>
      <c r="O1178" s="20">
        <f>+O1177+Movimientos_2026[[#This Row],[Neto]]</f>
        <v>4903820891.3612776</v>
      </c>
    </row>
    <row r="1179" spans="1:15" x14ac:dyDescent="0.25">
      <c r="A1179" s="13">
        <v>46121</v>
      </c>
      <c r="B1179" s="12">
        <f>MONTH(Movimientos_2026[[#This Row],[Fecha]])</f>
        <v>4</v>
      </c>
      <c r="C1179" s="12" t="str">
        <f>VLOOKUP((WEEKDAY(Movimientos_2026[[#This Row],[Fecha]],2)),'5. Setup'!$D$6:$E$12,2,FALSE)</f>
        <v>Jue</v>
      </c>
      <c r="D1179">
        <v>1044421</v>
      </c>
      <c r="E1179" t="str">
        <f>IFERROR(+VLOOKUP(Movimientos_2026[[#This Row],[Codigo]],Plan_cuentas[],2,FALSE)," ")</f>
        <v>INGRESOS</v>
      </c>
      <c r="F1179" t="str">
        <f>IFERROR(+VLOOKUP(Movimientos_2026[[#This Row],[Codigo]],Plan_cuentas[],3,FALSE)," ")</f>
        <v>Transferencia</v>
      </c>
      <c r="G1179" t="str">
        <f>IFERROR(+VLOOKUP(Movimientos_2026[[#This Row],[Codigo]],Plan_cuentas[],4,FALSE)," ")</f>
        <v>Rentas</v>
      </c>
      <c r="H1179" t="str">
        <f>IFERROR(+VLOOKUP(Movimientos_2026[[#This Row],[Codigo]],Plan_cuentas[],5,FALSE)," ")</f>
        <v>TUCUMAN</v>
      </c>
      <c r="I1179" s="43">
        <v>46054</v>
      </c>
      <c r="J1179" t="s">
        <v>495</v>
      </c>
      <c r="K1179" t="str">
        <f>IFERROR(+VLOOKUP(Movimientos_2026[[#This Row],[Codigo]],Plan_cuentas[],6,FALSE)," ")</f>
        <v>1 - VW - Volkswagen</v>
      </c>
      <c r="L1179" s="50">
        <v>19901407.881767798</v>
      </c>
      <c r="M1179" s="50"/>
      <c r="N1179" s="20">
        <f>+Movimientos_2026[[#This Row],[Ingresos]]-Movimientos_2026[[#This Row],[Egresos]]</f>
        <v>19901407.881767798</v>
      </c>
      <c r="O1179" s="20">
        <f>+O1178+Movimientos_2026[[#This Row],[Neto]]</f>
        <v>4923722299.2430458</v>
      </c>
    </row>
    <row r="1180" spans="1:15" x14ac:dyDescent="0.25">
      <c r="A1180" s="13">
        <v>46121</v>
      </c>
      <c r="B1180" s="12">
        <f>MONTH(Movimientos_2026[[#This Row],[Fecha]])</f>
        <v>4</v>
      </c>
      <c r="C1180" s="12" t="str">
        <f>VLOOKUP((WEEKDAY(Movimientos_2026[[#This Row],[Fecha]],2)),'5. Setup'!$D$6:$E$12,2,FALSE)</f>
        <v>Jue</v>
      </c>
      <c r="D1180">
        <v>1043141</v>
      </c>
      <c r="E1180" t="str">
        <f>IFERROR(+VLOOKUP(Movimientos_2026[[#This Row],[Codigo]],Plan_cuentas[],2,FALSE)," ")</f>
        <v>INGRESOS</v>
      </c>
      <c r="F1180" t="str">
        <f>IFERROR(+VLOOKUP(Movimientos_2026[[#This Row],[Codigo]],Plan_cuentas[],3,FALSE)," ")</f>
        <v>Transferencia</v>
      </c>
      <c r="G1180" t="str">
        <f>IFERROR(+VLOOKUP(Movimientos_2026[[#This Row],[Codigo]],Plan_cuentas[],4,FALSE)," ")</f>
        <v>Registración</v>
      </c>
      <c r="H1180" t="str">
        <f>IFERROR(+VLOOKUP(Movimientos_2026[[#This Row],[Codigo]],Plan_cuentas[],5,FALSE)," ")</f>
        <v>BUENOS AIRES</v>
      </c>
      <c r="I1180" s="43">
        <v>46054</v>
      </c>
      <c r="J1180" t="s">
        <v>495</v>
      </c>
      <c r="K1180" t="str">
        <f>IFERROR(+VLOOKUP(Movimientos_2026[[#This Row],[Codigo]],Plan_cuentas[],6,FALSE)," ")</f>
        <v>1 - VW - Volkswagen</v>
      </c>
      <c r="L1180" s="50">
        <v>90576513.725249976</v>
      </c>
      <c r="M1180" s="50"/>
      <c r="N1180" s="20">
        <f>+Movimientos_2026[[#This Row],[Ingresos]]-Movimientos_2026[[#This Row],[Egresos]]</f>
        <v>90576513.725249976</v>
      </c>
      <c r="O1180" s="20">
        <f>+O1179+Movimientos_2026[[#This Row],[Neto]]</f>
        <v>5014298812.9682961</v>
      </c>
    </row>
    <row r="1181" spans="1:15" x14ac:dyDescent="0.25">
      <c r="A1181" s="13">
        <v>46121</v>
      </c>
      <c r="B1181" s="12">
        <f>MONTH(Movimientos_2026[[#This Row],[Fecha]])</f>
        <v>4</v>
      </c>
      <c r="C1181" s="12" t="str">
        <f>VLOOKUP((WEEKDAY(Movimientos_2026[[#This Row],[Fecha]],2)),'5. Setup'!$D$6:$E$12,2,FALSE)</f>
        <v>Jue</v>
      </c>
      <c r="D1181">
        <v>1041441</v>
      </c>
      <c r="E1181" t="str">
        <f>IFERROR(+VLOOKUP(Movimientos_2026[[#This Row],[Codigo]],Plan_cuentas[],2,FALSE)," ")</f>
        <v>INGRESOS</v>
      </c>
      <c r="F1181" t="str">
        <f>IFERROR(+VLOOKUP(Movimientos_2026[[#This Row],[Codigo]],Plan_cuentas[],3,FALSE)," ")</f>
        <v>Transferencia</v>
      </c>
      <c r="G1181" t="str">
        <f>IFERROR(+VLOOKUP(Movimientos_2026[[#This Row],[Codigo]],Plan_cuentas[],4,FALSE)," ")</f>
        <v>Entidades co-participadas</v>
      </c>
      <c r="H1181" t="str">
        <f>IFERROR(+VLOOKUP(Movimientos_2026[[#This Row],[Codigo]],Plan_cuentas[],5,FALSE)," ")</f>
        <v>UISCUMARR</v>
      </c>
      <c r="I1181" s="43">
        <v>46054</v>
      </c>
      <c r="J1181" t="s">
        <v>495</v>
      </c>
      <c r="K1181" t="str">
        <f>IFERROR(+VLOOKUP(Movimientos_2026[[#This Row],[Codigo]],Plan_cuentas[],6,FALSE)," ")</f>
        <v>1 - VW - Volkswagen</v>
      </c>
      <c r="L1181" s="50">
        <v>90576513.725249976</v>
      </c>
      <c r="M1181" s="50"/>
      <c r="N1181" s="20">
        <f>+Movimientos_2026[[#This Row],[Ingresos]]-Movimientos_2026[[#This Row],[Egresos]]</f>
        <v>90576513.725249976</v>
      </c>
      <c r="O1181" s="20">
        <f>+O1180+Movimientos_2026[[#This Row],[Neto]]</f>
        <v>5104875326.6935463</v>
      </c>
    </row>
    <row r="1182" spans="1:15" x14ac:dyDescent="0.25">
      <c r="A1182" s="13">
        <v>46121</v>
      </c>
      <c r="B1182" s="12">
        <f>MONTH(Movimientos_2026[[#This Row],[Fecha]])</f>
        <v>4</v>
      </c>
      <c r="C1182" s="12" t="str">
        <f>VLOOKUP((WEEKDAY(Movimientos_2026[[#This Row],[Fecha]],2)),'5. Setup'!$D$6:$E$12,2,FALSE)</f>
        <v>Jue</v>
      </c>
      <c r="D1182">
        <v>1043151</v>
      </c>
      <c r="E1182" t="str">
        <f>IFERROR(+VLOOKUP(Movimientos_2026[[#This Row],[Codigo]],Plan_cuentas[],2,FALSE)," ")</f>
        <v>INGRESOS</v>
      </c>
      <c r="F1182" t="str">
        <f>IFERROR(+VLOOKUP(Movimientos_2026[[#This Row],[Codigo]],Plan_cuentas[],3,FALSE)," ")</f>
        <v>Transferencia</v>
      </c>
      <c r="G1182" t="str">
        <f>IFERROR(+VLOOKUP(Movimientos_2026[[#This Row],[Codigo]],Plan_cuentas[],4,FALSE)," ")</f>
        <v>Registración</v>
      </c>
      <c r="H1182" t="str">
        <f>IFERROR(+VLOOKUP(Movimientos_2026[[#This Row],[Codigo]],Plan_cuentas[],5,FALSE)," ")</f>
        <v>CABA</v>
      </c>
      <c r="I1182" s="43">
        <v>46054</v>
      </c>
      <c r="J1182" t="s">
        <v>496</v>
      </c>
      <c r="K1182" t="str">
        <f>IFERROR(+VLOOKUP(Movimientos_2026[[#This Row],[Codigo]],Plan_cuentas[],6,FALSE)," ")</f>
        <v>1 - VW - Volkswagen</v>
      </c>
      <c r="L1182" s="50">
        <v>62845768.729999997</v>
      </c>
      <c r="M1182" s="52"/>
      <c r="N1182" s="20">
        <f>+Movimientos_2026[[#This Row],[Ingresos]]-Movimientos_2026[[#This Row],[Egresos]]</f>
        <v>62845768.729999997</v>
      </c>
      <c r="O1182" s="20">
        <f>+O1181+Movimientos_2026[[#This Row],[Neto]]</f>
        <v>5167721095.4235458</v>
      </c>
    </row>
    <row r="1183" spans="1:15" x14ac:dyDescent="0.25">
      <c r="A1183" s="13">
        <v>46121</v>
      </c>
      <c r="B1183" s="12">
        <f>MONTH(Movimientos_2026[[#This Row],[Fecha]])</f>
        <v>4</v>
      </c>
      <c r="C1183" s="12" t="str">
        <f>VLOOKUP((WEEKDAY(Movimientos_2026[[#This Row],[Fecha]],2)),'5. Setup'!$D$6:$E$12,2,FALSE)</f>
        <v>Jue</v>
      </c>
      <c r="D1183">
        <v>1043221</v>
      </c>
      <c r="E1183" t="str">
        <f>IFERROR(+VLOOKUP(Movimientos_2026[[#This Row],[Codigo]],Plan_cuentas[],2,FALSE)," ")</f>
        <v>INGRESOS</v>
      </c>
      <c r="F1183" t="str">
        <f>IFERROR(+VLOOKUP(Movimientos_2026[[#This Row],[Codigo]],Plan_cuentas[],3,FALSE)," ")</f>
        <v>Transferencia</v>
      </c>
      <c r="G1183" t="str">
        <f>IFERROR(+VLOOKUP(Movimientos_2026[[#This Row],[Codigo]],Plan_cuentas[],4,FALSE)," ")</f>
        <v>Registración</v>
      </c>
      <c r="H1183" t="str">
        <f>IFERROR(+VLOOKUP(Movimientos_2026[[#This Row],[Codigo]],Plan_cuentas[],5,FALSE)," ")</f>
        <v>ENTRE RIOS 1° Q</v>
      </c>
      <c r="I1183" s="43">
        <v>46054</v>
      </c>
      <c r="J1183" t="s">
        <v>496</v>
      </c>
      <c r="K1183" t="str">
        <f>IFERROR(+VLOOKUP(Movimientos_2026[[#This Row],[Codigo]],Plan_cuentas[],6,FALSE)," ")</f>
        <v>1 - VW - Volkswagen</v>
      </c>
      <c r="L1183" s="50">
        <v>3361817</v>
      </c>
      <c r="M1183" s="50"/>
      <c r="N1183" s="20">
        <f>+Movimientos_2026[[#This Row],[Ingresos]]-Movimientos_2026[[#This Row],[Egresos]]</f>
        <v>3361817</v>
      </c>
      <c r="O1183" s="20">
        <f>+O1182+Movimientos_2026[[#This Row],[Neto]]</f>
        <v>5171082912.4235458</v>
      </c>
    </row>
    <row r="1184" spans="1:15" x14ac:dyDescent="0.25">
      <c r="A1184" s="13">
        <v>46121</v>
      </c>
      <c r="B1184" s="12">
        <f>MONTH(Movimientos_2026[[#This Row],[Fecha]])</f>
        <v>4</v>
      </c>
      <c r="C1184" s="12" t="str">
        <f>VLOOKUP((WEEKDAY(Movimientos_2026[[#This Row],[Fecha]],2)),'5. Setup'!$D$6:$E$12,2,FALSE)</f>
        <v>Jue</v>
      </c>
      <c r="D1184">
        <v>1043231</v>
      </c>
      <c r="E1184" t="str">
        <f>IFERROR(+VLOOKUP(Movimientos_2026[[#This Row],[Codigo]],Plan_cuentas[],2,FALSE)," ")</f>
        <v>INGRESOS</v>
      </c>
      <c r="F1184" t="str">
        <f>IFERROR(+VLOOKUP(Movimientos_2026[[#This Row],[Codigo]],Plan_cuentas[],3,FALSE)," ")</f>
        <v>Transferencia</v>
      </c>
      <c r="G1184" t="str">
        <f>IFERROR(+VLOOKUP(Movimientos_2026[[#This Row],[Codigo]],Plan_cuentas[],4,FALSE)," ")</f>
        <v>Registración</v>
      </c>
      <c r="H1184" t="str">
        <f>IFERROR(+VLOOKUP(Movimientos_2026[[#This Row],[Codigo]],Plan_cuentas[],5,FALSE)," ")</f>
        <v>ENTRE RIOS 2° Q</v>
      </c>
      <c r="I1184" s="43">
        <v>46054</v>
      </c>
      <c r="J1184" t="s">
        <v>496</v>
      </c>
      <c r="K1184" t="str">
        <f>IFERROR(+VLOOKUP(Movimientos_2026[[#This Row],[Codigo]],Plan_cuentas[],6,FALSE)," ")</f>
        <v>1 - VW - Volkswagen</v>
      </c>
      <c r="L1184" s="50">
        <v>10109519.5</v>
      </c>
      <c r="M1184" s="50"/>
      <c r="N1184" s="20">
        <f>+Movimientos_2026[[#This Row],[Ingresos]]-Movimientos_2026[[#This Row],[Egresos]]</f>
        <v>10109519.5</v>
      </c>
      <c r="O1184" s="20">
        <f>+O1183+Movimientos_2026[[#This Row],[Neto]]</f>
        <v>5181192431.9235458</v>
      </c>
    </row>
    <row r="1185" spans="1:15" x14ac:dyDescent="0.25">
      <c r="A1185" s="13">
        <v>46121</v>
      </c>
      <c r="B1185" s="12">
        <f>MONTH(Movimientos_2026[[#This Row],[Fecha]])</f>
        <v>4</v>
      </c>
      <c r="C1185" s="12" t="str">
        <f>VLOOKUP((WEEKDAY(Movimientos_2026[[#This Row],[Fecha]],2)),'5. Setup'!$D$6:$E$12,2,FALSE)</f>
        <v>Jue</v>
      </c>
      <c r="D1185">
        <v>1043341</v>
      </c>
      <c r="E1185" t="str">
        <f>IFERROR(+VLOOKUP(Movimientos_2026[[#This Row],[Codigo]],Plan_cuentas[],2,FALSE)," ")</f>
        <v>INGRESOS</v>
      </c>
      <c r="F1185" t="str">
        <f>IFERROR(+VLOOKUP(Movimientos_2026[[#This Row],[Codigo]],Plan_cuentas[],3,FALSE)," ")</f>
        <v>Transferencia</v>
      </c>
      <c r="G1185" t="str">
        <f>IFERROR(+VLOOKUP(Movimientos_2026[[#This Row],[Codigo]],Plan_cuentas[],4,FALSE)," ")</f>
        <v>Registración</v>
      </c>
      <c r="H1185" t="str">
        <f>IFERROR(+VLOOKUP(Movimientos_2026[[#This Row],[Codigo]],Plan_cuentas[],5,FALSE)," ")</f>
        <v>RIO NEGRO</v>
      </c>
      <c r="I1185" s="43">
        <v>46054</v>
      </c>
      <c r="J1185" t="s">
        <v>496</v>
      </c>
      <c r="K1185" t="str">
        <f>IFERROR(+VLOOKUP(Movimientos_2026[[#This Row],[Codigo]],Plan_cuentas[],6,FALSE)," ")</f>
        <v>1 - VW - Volkswagen</v>
      </c>
      <c r="L1185" s="50">
        <v>21239256.420000002</v>
      </c>
      <c r="M1185" s="50"/>
      <c r="N1185" s="20">
        <f>+Movimientos_2026[[#This Row],[Ingresos]]-Movimientos_2026[[#This Row],[Egresos]]</f>
        <v>21239256.420000002</v>
      </c>
      <c r="O1185" s="20">
        <f>+O1184+Movimientos_2026[[#This Row],[Neto]]</f>
        <v>5202431688.3435459</v>
      </c>
    </row>
    <row r="1186" spans="1:15" x14ac:dyDescent="0.25">
      <c r="A1186" s="13">
        <v>46121</v>
      </c>
      <c r="B1186" s="12">
        <f>MONTH(Movimientos_2026[[#This Row],[Fecha]])</f>
        <v>4</v>
      </c>
      <c r="C1186" s="12" t="str">
        <f>VLOOKUP((WEEKDAY(Movimientos_2026[[#This Row],[Fecha]],2)),'5. Setup'!$D$6:$E$12,2,FALSE)</f>
        <v>Jue</v>
      </c>
      <c r="D1186">
        <v>1044161</v>
      </c>
      <c r="E1186" t="str">
        <f>IFERROR(+VLOOKUP(Movimientos_2026[[#This Row],[Codigo]],Plan_cuentas[],2,FALSE)," ")</f>
        <v>INGRESOS</v>
      </c>
      <c r="F1186" t="str">
        <f>IFERROR(+VLOOKUP(Movimientos_2026[[#This Row],[Codigo]],Plan_cuentas[],3,FALSE)," ")</f>
        <v>Transferencia</v>
      </c>
      <c r="G1186" t="str">
        <f>IFERROR(+VLOOKUP(Movimientos_2026[[#This Row],[Codigo]],Plan_cuentas[],4,FALSE)," ")</f>
        <v>Rentas</v>
      </c>
      <c r="H1186" t="str">
        <f>IFERROR(+VLOOKUP(Movimientos_2026[[#This Row],[Codigo]],Plan_cuentas[],5,FALSE)," ")</f>
        <v>CHACO</v>
      </c>
      <c r="I1186" s="43">
        <v>46054</v>
      </c>
      <c r="J1186" t="s">
        <v>496</v>
      </c>
      <c r="K1186" t="str">
        <f>IFERROR(+VLOOKUP(Movimientos_2026[[#This Row],[Codigo]],Plan_cuentas[],6,FALSE)," ")</f>
        <v>1 - VW - Volkswagen</v>
      </c>
      <c r="L1186" s="50">
        <v>16447191</v>
      </c>
      <c r="M1186" s="50"/>
      <c r="N1186" s="20">
        <f>+Movimientos_2026[[#This Row],[Ingresos]]-Movimientos_2026[[#This Row],[Egresos]]</f>
        <v>16447191</v>
      </c>
      <c r="O1186" s="20">
        <f>+O1185+Movimientos_2026[[#This Row],[Neto]]</f>
        <v>5218878879.3435459</v>
      </c>
    </row>
    <row r="1187" spans="1:15" x14ac:dyDescent="0.25">
      <c r="A1187" s="13">
        <v>46121</v>
      </c>
      <c r="B1187" s="12">
        <f>MONTH(Movimientos_2026[[#This Row],[Fecha]])</f>
        <v>4</v>
      </c>
      <c r="C1187" s="12" t="str">
        <f>VLOOKUP((WEEKDAY(Movimientos_2026[[#This Row],[Fecha]],2)),'5. Setup'!$D$6:$E$12,2,FALSE)</f>
        <v>Jue</v>
      </c>
      <c r="D1187">
        <v>1044171</v>
      </c>
      <c r="E1187" t="str">
        <f>IFERROR(+VLOOKUP(Movimientos_2026[[#This Row],[Codigo]],Plan_cuentas[],2,FALSE)," ")</f>
        <v>INGRESOS</v>
      </c>
      <c r="F1187" t="str">
        <f>IFERROR(+VLOOKUP(Movimientos_2026[[#This Row],[Codigo]],Plan_cuentas[],3,FALSE)," ")</f>
        <v>Transferencia</v>
      </c>
      <c r="G1187" t="str">
        <f>IFERROR(+VLOOKUP(Movimientos_2026[[#This Row],[Codigo]],Plan_cuentas[],4,FALSE)," ")</f>
        <v>Rentas</v>
      </c>
      <c r="H1187" t="str">
        <f>IFERROR(+VLOOKUP(Movimientos_2026[[#This Row],[Codigo]],Plan_cuentas[],5,FALSE)," ")</f>
        <v>CHUBUT</v>
      </c>
      <c r="I1187" s="43">
        <v>46054</v>
      </c>
      <c r="J1187" t="s">
        <v>496</v>
      </c>
      <c r="K1187" t="str">
        <f>IFERROR(+VLOOKUP(Movimientos_2026[[#This Row],[Codigo]],Plan_cuentas[],6,FALSE)," ")</f>
        <v>1 - VW - Volkswagen</v>
      </c>
      <c r="L1187" s="50">
        <v>7393137</v>
      </c>
      <c r="M1187" s="50"/>
      <c r="N1187" s="20">
        <f>+Movimientos_2026[[#This Row],[Ingresos]]-Movimientos_2026[[#This Row],[Egresos]]</f>
        <v>7393137</v>
      </c>
      <c r="O1187" s="20">
        <f>+O1186+Movimientos_2026[[#This Row],[Neto]]</f>
        <v>5226272016.3435459</v>
      </c>
    </row>
    <row r="1188" spans="1:15" x14ac:dyDescent="0.25">
      <c r="A1188" s="13">
        <v>46121</v>
      </c>
      <c r="B1188" s="12">
        <f>MONTH(Movimientos_2026[[#This Row],[Fecha]])</f>
        <v>4</v>
      </c>
      <c r="C1188" s="12" t="str">
        <f>VLOOKUP((WEEKDAY(Movimientos_2026[[#This Row],[Fecha]],2)),'5. Setup'!$D$6:$E$12,2,FALSE)</f>
        <v>Jue</v>
      </c>
      <c r="D1188">
        <v>1044211</v>
      </c>
      <c r="E1188" t="str">
        <f>IFERROR(+VLOOKUP(Movimientos_2026[[#This Row],[Codigo]],Plan_cuentas[],2,FALSE)," ")</f>
        <v>INGRESOS</v>
      </c>
      <c r="F1188" t="str">
        <f>IFERROR(+VLOOKUP(Movimientos_2026[[#This Row],[Codigo]],Plan_cuentas[],3,FALSE)," ")</f>
        <v>Transferencia</v>
      </c>
      <c r="G1188" t="str">
        <f>IFERROR(+VLOOKUP(Movimientos_2026[[#This Row],[Codigo]],Plan_cuentas[],4,FALSE)," ")</f>
        <v>Rentas</v>
      </c>
      <c r="H1188" t="str">
        <f>IFERROR(+VLOOKUP(Movimientos_2026[[#This Row],[Codigo]],Plan_cuentas[],5,FALSE)," ")</f>
        <v>CORRIENTES 2° Q</v>
      </c>
      <c r="I1188" s="43">
        <v>46054</v>
      </c>
      <c r="J1188" t="s">
        <v>496</v>
      </c>
      <c r="K1188" t="str">
        <f>IFERROR(+VLOOKUP(Movimientos_2026[[#This Row],[Codigo]],Plan_cuentas[],6,FALSE)," ")</f>
        <v>1 - VW - Volkswagen</v>
      </c>
      <c r="L1188" s="51">
        <v>8979253</v>
      </c>
      <c r="M1188" s="50"/>
      <c r="N1188" s="20">
        <f>+Movimientos_2026[[#This Row],[Ingresos]]-Movimientos_2026[[#This Row],[Egresos]]</f>
        <v>8979253</v>
      </c>
      <c r="O1188" s="20">
        <f>+O1187+Movimientos_2026[[#This Row],[Neto]]</f>
        <v>5235251269.3435459</v>
      </c>
    </row>
    <row r="1189" spans="1:15" x14ac:dyDescent="0.25">
      <c r="A1189" s="13">
        <v>46121</v>
      </c>
      <c r="B1189" s="12">
        <f>MONTH(Movimientos_2026[[#This Row],[Fecha]])</f>
        <v>4</v>
      </c>
      <c r="C1189" s="12" t="str">
        <f>VLOOKUP((WEEKDAY(Movimientos_2026[[#This Row],[Fecha]],2)),'5. Setup'!$D$6:$E$12,2,FALSE)</f>
        <v>Jue</v>
      </c>
      <c r="D1189">
        <v>1044241</v>
      </c>
      <c r="E1189" t="str">
        <f>IFERROR(+VLOOKUP(Movimientos_2026[[#This Row],[Codigo]],Plan_cuentas[],2,FALSE)," ")</f>
        <v>INGRESOS</v>
      </c>
      <c r="F1189" t="str">
        <f>IFERROR(+VLOOKUP(Movimientos_2026[[#This Row],[Codigo]],Plan_cuentas[],3,FALSE)," ")</f>
        <v>Transferencia</v>
      </c>
      <c r="G1189" t="str">
        <f>IFERROR(+VLOOKUP(Movimientos_2026[[#This Row],[Codigo]],Plan_cuentas[],4,FALSE)," ")</f>
        <v>Rentas</v>
      </c>
      <c r="H1189" t="str">
        <f>IFERROR(+VLOOKUP(Movimientos_2026[[#This Row],[Codigo]],Plan_cuentas[],5,FALSE)," ")</f>
        <v>FORMOSA</v>
      </c>
      <c r="I1189" s="43">
        <v>46054</v>
      </c>
      <c r="J1189" t="s">
        <v>496</v>
      </c>
      <c r="K1189" t="str">
        <f>IFERROR(+VLOOKUP(Movimientos_2026[[#This Row],[Codigo]],Plan_cuentas[],6,FALSE)," ")</f>
        <v>1 - VW - Volkswagen</v>
      </c>
      <c r="L1189" s="50">
        <v>2891654</v>
      </c>
      <c r="M1189" s="50"/>
      <c r="N1189" s="20">
        <f>+Movimientos_2026[[#This Row],[Ingresos]]-Movimientos_2026[[#This Row],[Egresos]]</f>
        <v>2891654</v>
      </c>
      <c r="O1189" s="20">
        <f>+O1188+Movimientos_2026[[#This Row],[Neto]]</f>
        <v>5238142923.3435459</v>
      </c>
    </row>
    <row r="1190" spans="1:15" x14ac:dyDescent="0.25">
      <c r="A1190" s="13">
        <v>46121</v>
      </c>
      <c r="B1190" s="12">
        <f>MONTH(Movimientos_2026[[#This Row],[Fecha]])</f>
        <v>4</v>
      </c>
      <c r="C1190" s="12" t="str">
        <f>VLOOKUP((WEEKDAY(Movimientos_2026[[#This Row],[Fecha]],2)),'5. Setup'!$D$6:$E$12,2,FALSE)</f>
        <v>Jue</v>
      </c>
      <c r="D1190">
        <v>1044261</v>
      </c>
      <c r="E1190" t="str">
        <f>IFERROR(+VLOOKUP(Movimientos_2026[[#This Row],[Codigo]],Plan_cuentas[],2,FALSE)," ")</f>
        <v>INGRESOS</v>
      </c>
      <c r="F1190" t="str">
        <f>IFERROR(+VLOOKUP(Movimientos_2026[[#This Row],[Codigo]],Plan_cuentas[],3,FALSE)," ")</f>
        <v>Transferencia</v>
      </c>
      <c r="G1190" t="str">
        <f>IFERROR(+VLOOKUP(Movimientos_2026[[#This Row],[Codigo]],Plan_cuentas[],4,FALSE)," ")</f>
        <v>Rentas</v>
      </c>
      <c r="H1190" t="str">
        <f>IFERROR(+VLOOKUP(Movimientos_2026[[#This Row],[Codigo]],Plan_cuentas[],5,FALSE)," ")</f>
        <v>LA PAMPA</v>
      </c>
      <c r="I1190" s="43">
        <v>46054</v>
      </c>
      <c r="J1190" t="s">
        <v>496</v>
      </c>
      <c r="K1190" t="str">
        <f>IFERROR(+VLOOKUP(Movimientos_2026[[#This Row],[Codigo]],Plan_cuentas[],6,FALSE)," ")</f>
        <v>1 - VW - Volkswagen</v>
      </c>
      <c r="L1190" s="50">
        <v>3479793.74</v>
      </c>
      <c r="M1190" s="50"/>
      <c r="N1190" s="20">
        <f>+Movimientos_2026[[#This Row],[Ingresos]]-Movimientos_2026[[#This Row],[Egresos]]</f>
        <v>3479793.74</v>
      </c>
      <c r="O1190" s="20">
        <f>+O1189+Movimientos_2026[[#This Row],[Neto]]</f>
        <v>5241622717.0835457</v>
      </c>
    </row>
    <row r="1191" spans="1:15" x14ac:dyDescent="0.25">
      <c r="A1191" s="13">
        <v>46121</v>
      </c>
      <c r="B1191" s="12">
        <f>MONTH(Movimientos_2026[[#This Row],[Fecha]])</f>
        <v>4</v>
      </c>
      <c r="C1191" s="12" t="str">
        <f>VLOOKUP((WEEKDAY(Movimientos_2026[[#This Row],[Fecha]],2)),'5. Setup'!$D$6:$E$12,2,FALSE)</f>
        <v>Jue</v>
      </c>
      <c r="D1191">
        <v>1044271</v>
      </c>
      <c r="E1191" t="str">
        <f>IFERROR(+VLOOKUP(Movimientos_2026[[#This Row],[Codigo]],Plan_cuentas[],2,FALSE)," ")</f>
        <v>INGRESOS</v>
      </c>
      <c r="F1191" t="str">
        <f>IFERROR(+VLOOKUP(Movimientos_2026[[#This Row],[Codigo]],Plan_cuentas[],3,FALSE)," ")</f>
        <v>Transferencia</v>
      </c>
      <c r="G1191" t="str">
        <f>IFERROR(+VLOOKUP(Movimientos_2026[[#This Row],[Codigo]],Plan_cuentas[],4,FALSE)," ")</f>
        <v>Rentas</v>
      </c>
      <c r="H1191" t="str">
        <f>IFERROR(+VLOOKUP(Movimientos_2026[[#This Row],[Codigo]],Plan_cuentas[],5,FALSE)," ")</f>
        <v>LA RIOJA</v>
      </c>
      <c r="I1191" s="43">
        <v>46054</v>
      </c>
      <c r="J1191" t="s">
        <v>496</v>
      </c>
      <c r="K1191" t="str">
        <f>IFERROR(+VLOOKUP(Movimientos_2026[[#This Row],[Codigo]],Plan_cuentas[],6,FALSE)," ")</f>
        <v>1 - VW - Volkswagen</v>
      </c>
      <c r="L1191" s="50">
        <v>12736856</v>
      </c>
      <c r="M1191" s="50"/>
      <c r="N1191" s="20">
        <f>+Movimientos_2026[[#This Row],[Ingresos]]-Movimientos_2026[[#This Row],[Egresos]]</f>
        <v>12736856</v>
      </c>
      <c r="O1191" s="20">
        <f>+O1190+Movimientos_2026[[#This Row],[Neto]]</f>
        <v>5254359573.0835457</v>
      </c>
    </row>
    <row r="1192" spans="1:15" x14ac:dyDescent="0.25">
      <c r="A1192" s="13">
        <v>46121</v>
      </c>
      <c r="B1192" s="12">
        <f>MONTH(Movimientos_2026[[#This Row],[Fecha]])</f>
        <v>4</v>
      </c>
      <c r="C1192" s="12" t="str">
        <f>VLOOKUP((WEEKDAY(Movimientos_2026[[#This Row],[Fecha]],2)),'5. Setup'!$D$6:$E$12,2,FALSE)</f>
        <v>Jue</v>
      </c>
      <c r="D1192">
        <v>1044281</v>
      </c>
      <c r="E1192" t="str">
        <f>IFERROR(+VLOOKUP(Movimientos_2026[[#This Row],[Codigo]],Plan_cuentas[],2,FALSE)," ")</f>
        <v>INGRESOS</v>
      </c>
      <c r="F1192" t="str">
        <f>IFERROR(+VLOOKUP(Movimientos_2026[[#This Row],[Codigo]],Plan_cuentas[],3,FALSE)," ")</f>
        <v>Transferencia</v>
      </c>
      <c r="G1192" t="str">
        <f>IFERROR(+VLOOKUP(Movimientos_2026[[#This Row],[Codigo]],Plan_cuentas[],4,FALSE)," ")</f>
        <v>Rentas</v>
      </c>
      <c r="H1192" t="str">
        <f>IFERROR(+VLOOKUP(Movimientos_2026[[#This Row],[Codigo]],Plan_cuentas[],5,FALSE)," ")</f>
        <v>MENDOZA</v>
      </c>
      <c r="I1192" s="43">
        <v>46054</v>
      </c>
      <c r="J1192" t="s">
        <v>496</v>
      </c>
      <c r="K1192" t="str">
        <f>IFERROR(+VLOOKUP(Movimientos_2026[[#This Row],[Codigo]],Plan_cuentas[],6,FALSE)," ")</f>
        <v>1 - VW - Volkswagen</v>
      </c>
      <c r="L1192" s="50">
        <v>27860401.379999999</v>
      </c>
      <c r="M1192" s="50"/>
      <c r="N1192" s="20">
        <f>+Movimientos_2026[[#This Row],[Ingresos]]-Movimientos_2026[[#This Row],[Egresos]]</f>
        <v>27860401.379999999</v>
      </c>
      <c r="O1192" s="20">
        <f>+O1191+Movimientos_2026[[#This Row],[Neto]]</f>
        <v>5282219974.4635458</v>
      </c>
    </row>
    <row r="1193" spans="1:15" x14ac:dyDescent="0.25">
      <c r="A1193" s="13">
        <v>46121</v>
      </c>
      <c r="B1193" s="12">
        <f>MONTH(Movimientos_2026[[#This Row],[Fecha]])</f>
        <v>4</v>
      </c>
      <c r="C1193" s="12" t="str">
        <f>VLOOKUP((WEEKDAY(Movimientos_2026[[#This Row],[Fecha]],2)),'5. Setup'!$D$6:$E$12,2,FALSE)</f>
        <v>Jue</v>
      </c>
      <c r="D1193">
        <v>1044461</v>
      </c>
      <c r="E1193" t="str">
        <f>IFERROR(+VLOOKUP(Movimientos_2026[[#This Row],[Codigo]],Plan_cuentas[],2,FALSE)," ")</f>
        <v>INGRESOS</v>
      </c>
      <c r="F1193" t="str">
        <f>IFERROR(+VLOOKUP(Movimientos_2026[[#This Row],[Codigo]],Plan_cuentas[],3,FALSE)," ")</f>
        <v>Transferencia</v>
      </c>
      <c r="G1193" t="str">
        <f>IFERROR(+VLOOKUP(Movimientos_2026[[#This Row],[Codigo]],Plan_cuentas[],4,FALSE)," ")</f>
        <v>Rentas</v>
      </c>
      <c r="H1193" t="str">
        <f>IFERROR(+VLOOKUP(Movimientos_2026[[#This Row],[Codigo]],Plan_cuentas[],5,FALSE)," ")</f>
        <v>MISIONES</v>
      </c>
      <c r="I1193" s="43">
        <v>46054</v>
      </c>
      <c r="J1193" t="s">
        <v>496</v>
      </c>
      <c r="K1193" t="str">
        <f>IFERROR(+VLOOKUP(Movimientos_2026[[#This Row],[Codigo]],Plan_cuentas[],6,FALSE)," ")</f>
        <v>1 - VW - Volkswagen</v>
      </c>
      <c r="L1193" s="50">
        <v>1109801.1957339491</v>
      </c>
      <c r="M1193" s="50"/>
      <c r="N1193" s="20">
        <f>+Movimientos_2026[[#This Row],[Ingresos]]-Movimientos_2026[[#This Row],[Egresos]]</f>
        <v>1109801.1957339491</v>
      </c>
      <c r="O1193" s="20">
        <f>+O1192+Movimientos_2026[[#This Row],[Neto]]</f>
        <v>5283329775.6592798</v>
      </c>
    </row>
    <row r="1194" spans="1:15" x14ac:dyDescent="0.25">
      <c r="A1194" s="13">
        <v>46121</v>
      </c>
      <c r="B1194" s="12">
        <f>MONTH(Movimientos_2026[[#This Row],[Fecha]])</f>
        <v>4</v>
      </c>
      <c r="C1194" s="12" t="str">
        <f>VLOOKUP((WEEKDAY(Movimientos_2026[[#This Row],[Fecha]],2)),'5. Setup'!$D$6:$E$12,2,FALSE)</f>
        <v>Jue</v>
      </c>
      <c r="D1194">
        <v>1044321</v>
      </c>
      <c r="E1194" t="str">
        <f>IFERROR(+VLOOKUP(Movimientos_2026[[#This Row],[Codigo]],Plan_cuentas[],2,FALSE)," ")</f>
        <v>INGRESOS</v>
      </c>
      <c r="F1194" t="str">
        <f>IFERROR(+VLOOKUP(Movimientos_2026[[#This Row],[Codigo]],Plan_cuentas[],3,FALSE)," ")</f>
        <v>Transferencia</v>
      </c>
      <c r="G1194" t="str">
        <f>IFERROR(+VLOOKUP(Movimientos_2026[[#This Row],[Codigo]],Plan_cuentas[],4,FALSE)," ")</f>
        <v>Rentas</v>
      </c>
      <c r="H1194" t="str">
        <f>IFERROR(+VLOOKUP(Movimientos_2026[[#This Row],[Codigo]],Plan_cuentas[],5,FALSE)," ")</f>
        <v>NEUQUEN 2° Q</v>
      </c>
      <c r="I1194" s="43">
        <v>46054</v>
      </c>
      <c r="J1194" t="s">
        <v>496</v>
      </c>
      <c r="K1194" t="str">
        <f>IFERROR(+VLOOKUP(Movimientos_2026[[#This Row],[Codigo]],Plan_cuentas[],6,FALSE)," ")</f>
        <v>1 - VW - Volkswagen</v>
      </c>
      <c r="L1194" s="50">
        <v>28730947.5</v>
      </c>
      <c r="M1194" s="50"/>
      <c r="N1194" s="20">
        <f>+Movimientos_2026[[#This Row],[Ingresos]]-Movimientos_2026[[#This Row],[Egresos]]</f>
        <v>28730947.5</v>
      </c>
      <c r="O1194" s="20">
        <f>+O1193+Movimientos_2026[[#This Row],[Neto]]</f>
        <v>5312060723.1592798</v>
      </c>
    </row>
    <row r="1195" spans="1:15" x14ac:dyDescent="0.25">
      <c r="A1195" s="13">
        <v>46121</v>
      </c>
      <c r="B1195" s="12">
        <f>MONTH(Movimientos_2026[[#This Row],[Fecha]])</f>
        <v>4</v>
      </c>
      <c r="C1195" s="12" t="str">
        <f>VLOOKUP((WEEKDAY(Movimientos_2026[[#This Row],[Fecha]],2)),'5. Setup'!$D$6:$E$12,2,FALSE)</f>
        <v>Jue</v>
      </c>
      <c r="D1195">
        <v>1044351</v>
      </c>
      <c r="E1195" t="str">
        <f>IFERROR(+VLOOKUP(Movimientos_2026[[#This Row],[Codigo]],Plan_cuentas[],2,FALSE)," ")</f>
        <v>INGRESOS</v>
      </c>
      <c r="F1195" t="str">
        <f>IFERROR(+VLOOKUP(Movimientos_2026[[#This Row],[Codigo]],Plan_cuentas[],3,FALSE)," ")</f>
        <v>Transferencia</v>
      </c>
      <c r="G1195" t="str">
        <f>IFERROR(+VLOOKUP(Movimientos_2026[[#This Row],[Codigo]],Plan_cuentas[],4,FALSE)," ")</f>
        <v>Rentas</v>
      </c>
      <c r="H1195" t="str">
        <f>IFERROR(+VLOOKUP(Movimientos_2026[[#This Row],[Codigo]],Plan_cuentas[],5,FALSE)," ")</f>
        <v>SAN JUAN</v>
      </c>
      <c r="I1195" s="43">
        <v>46054</v>
      </c>
      <c r="J1195" t="s">
        <v>496</v>
      </c>
      <c r="K1195" t="str">
        <f>IFERROR(+VLOOKUP(Movimientos_2026[[#This Row],[Codigo]],Plan_cuentas[],6,FALSE)," ")</f>
        <v>1 - VW - Volkswagen</v>
      </c>
      <c r="L1195" s="50">
        <v>3812493.8352000001</v>
      </c>
      <c r="M1195" s="50"/>
      <c r="N1195" s="20">
        <f>+Movimientos_2026[[#This Row],[Ingresos]]-Movimientos_2026[[#This Row],[Egresos]]</f>
        <v>3812493.8352000001</v>
      </c>
      <c r="O1195" s="20">
        <f>+O1194+Movimientos_2026[[#This Row],[Neto]]</f>
        <v>5315873216.9944801</v>
      </c>
    </row>
    <row r="1196" spans="1:15" x14ac:dyDescent="0.25">
      <c r="A1196" s="13">
        <v>46121</v>
      </c>
      <c r="B1196" s="12">
        <f>MONTH(Movimientos_2026[[#This Row],[Fecha]])</f>
        <v>4</v>
      </c>
      <c r="C1196" s="12" t="str">
        <f>VLOOKUP((WEEKDAY(Movimientos_2026[[#This Row],[Fecha]],2)),'5. Setup'!$D$6:$E$12,2,FALSE)</f>
        <v>Jue</v>
      </c>
      <c r="D1196">
        <v>1044361</v>
      </c>
      <c r="E1196" t="str">
        <f>IFERROR(+VLOOKUP(Movimientos_2026[[#This Row],[Codigo]],Plan_cuentas[],2,FALSE)," ")</f>
        <v>INGRESOS</v>
      </c>
      <c r="F1196" t="str">
        <f>IFERROR(+VLOOKUP(Movimientos_2026[[#This Row],[Codigo]],Plan_cuentas[],3,FALSE)," ")</f>
        <v>Transferencia</v>
      </c>
      <c r="G1196" t="str">
        <f>IFERROR(+VLOOKUP(Movimientos_2026[[#This Row],[Codigo]],Plan_cuentas[],4,FALSE)," ")</f>
        <v>Rentas</v>
      </c>
      <c r="H1196" t="str">
        <f>IFERROR(+VLOOKUP(Movimientos_2026[[#This Row],[Codigo]],Plan_cuentas[],5,FALSE)," ")</f>
        <v>SAN LUIS</v>
      </c>
      <c r="I1196" s="43">
        <v>46054</v>
      </c>
      <c r="J1196" t="s">
        <v>496</v>
      </c>
      <c r="K1196" t="str">
        <f>IFERROR(+VLOOKUP(Movimientos_2026[[#This Row],[Codigo]],Plan_cuentas[],6,FALSE)," ")</f>
        <v>1 - VW - Volkswagen</v>
      </c>
      <c r="L1196" s="50">
        <v>8069426.3880000003</v>
      </c>
      <c r="M1196" s="50"/>
      <c r="N1196" s="20">
        <f>+Movimientos_2026[[#This Row],[Ingresos]]-Movimientos_2026[[#This Row],[Egresos]]</f>
        <v>8069426.3880000003</v>
      </c>
      <c r="O1196" s="20">
        <f>+O1195+Movimientos_2026[[#This Row],[Neto]]</f>
        <v>5323942643.3824797</v>
      </c>
    </row>
    <row r="1197" spans="1:15" x14ac:dyDescent="0.25">
      <c r="A1197" s="13">
        <v>46121</v>
      </c>
      <c r="B1197" s="12">
        <f>MONTH(Movimientos_2026[[#This Row],[Fecha]])</f>
        <v>4</v>
      </c>
      <c r="C1197" s="12" t="str">
        <f>VLOOKUP((WEEKDAY(Movimientos_2026[[#This Row],[Fecha]],2)),'5. Setup'!$D$6:$E$12,2,FALSE)</f>
        <v>Jue</v>
      </c>
      <c r="D1197">
        <v>1044371</v>
      </c>
      <c r="E1197" t="str">
        <f>IFERROR(+VLOOKUP(Movimientos_2026[[#This Row],[Codigo]],Plan_cuentas[],2,FALSE)," ")</f>
        <v>INGRESOS</v>
      </c>
      <c r="F1197" t="str">
        <f>IFERROR(+VLOOKUP(Movimientos_2026[[#This Row],[Codigo]],Plan_cuentas[],3,FALSE)," ")</f>
        <v>Transferencia</v>
      </c>
      <c r="G1197" t="str">
        <f>IFERROR(+VLOOKUP(Movimientos_2026[[#This Row],[Codigo]],Plan_cuentas[],4,FALSE)," ")</f>
        <v>Rentas</v>
      </c>
      <c r="H1197" t="str">
        <f>IFERROR(+VLOOKUP(Movimientos_2026[[#This Row],[Codigo]],Plan_cuentas[],5,FALSE)," ")</f>
        <v>SANTA CRUZ</v>
      </c>
      <c r="I1197" s="43">
        <v>46054</v>
      </c>
      <c r="J1197" t="s">
        <v>496</v>
      </c>
      <c r="K1197" t="str">
        <f>IFERROR(+VLOOKUP(Movimientos_2026[[#This Row],[Codigo]],Plan_cuentas[],6,FALSE)," ")</f>
        <v>1 - VW - Volkswagen</v>
      </c>
      <c r="L1197" s="50">
        <v>24269741.131999999</v>
      </c>
      <c r="M1197" s="50"/>
      <c r="N1197" s="20">
        <f>+Movimientos_2026[[#This Row],[Ingresos]]-Movimientos_2026[[#This Row],[Egresos]]</f>
        <v>24269741.131999999</v>
      </c>
      <c r="O1197" s="20">
        <f>+O1196+Movimientos_2026[[#This Row],[Neto]]</f>
        <v>5348212384.5144796</v>
      </c>
    </row>
    <row r="1198" spans="1:15" x14ac:dyDescent="0.25">
      <c r="A1198" s="13">
        <v>46121</v>
      </c>
      <c r="B1198" s="12">
        <f>MONTH(Movimientos_2026[[#This Row],[Fecha]])</f>
        <v>4</v>
      </c>
      <c r="C1198" s="12" t="str">
        <f>VLOOKUP((WEEKDAY(Movimientos_2026[[#This Row],[Fecha]],2)),'5. Setup'!$D$6:$E$12,2,FALSE)</f>
        <v>Jue</v>
      </c>
      <c r="D1198">
        <v>1044391</v>
      </c>
      <c r="E1198" t="str">
        <f>IFERROR(+VLOOKUP(Movimientos_2026[[#This Row],[Codigo]],Plan_cuentas[],2,FALSE)," ")</f>
        <v>INGRESOS</v>
      </c>
      <c r="F1198" t="str">
        <f>IFERROR(+VLOOKUP(Movimientos_2026[[#This Row],[Codigo]],Plan_cuentas[],3,FALSE)," ")</f>
        <v>Transferencia</v>
      </c>
      <c r="G1198" t="str">
        <f>IFERROR(+VLOOKUP(Movimientos_2026[[#This Row],[Codigo]],Plan_cuentas[],4,FALSE)," ")</f>
        <v>Rentas</v>
      </c>
      <c r="H1198" t="str">
        <f>IFERROR(+VLOOKUP(Movimientos_2026[[#This Row],[Codigo]],Plan_cuentas[],5,FALSE)," ")</f>
        <v>SANTA FE 2° Q</v>
      </c>
      <c r="I1198" s="43">
        <v>46054</v>
      </c>
      <c r="J1198" t="s">
        <v>496</v>
      </c>
      <c r="K1198" t="str">
        <f>IFERROR(+VLOOKUP(Movimientos_2026[[#This Row],[Codigo]],Plan_cuentas[],6,FALSE)," ")</f>
        <v>1 - VW - Volkswagen</v>
      </c>
      <c r="L1198" s="50">
        <v>16459144.75</v>
      </c>
      <c r="M1198" s="50"/>
      <c r="N1198" s="20">
        <f>+Movimientos_2026[[#This Row],[Ingresos]]-Movimientos_2026[[#This Row],[Egresos]]</f>
        <v>16459144.75</v>
      </c>
      <c r="O1198" s="20">
        <f>+O1197+Movimientos_2026[[#This Row],[Neto]]</f>
        <v>5364671529.2644796</v>
      </c>
    </row>
    <row r="1199" spans="1:15" x14ac:dyDescent="0.25">
      <c r="A1199" s="13">
        <v>46121</v>
      </c>
      <c r="B1199" s="12">
        <f>MONTH(Movimientos_2026[[#This Row],[Fecha]])</f>
        <v>4</v>
      </c>
      <c r="C1199" s="12" t="str">
        <f>VLOOKUP((WEEKDAY(Movimientos_2026[[#This Row],[Fecha]],2)),'5. Setup'!$D$6:$E$12,2,FALSE)</f>
        <v>Jue</v>
      </c>
      <c r="D1199">
        <v>1044401</v>
      </c>
      <c r="E1199" t="str">
        <f>IFERROR(+VLOOKUP(Movimientos_2026[[#This Row],[Codigo]],Plan_cuentas[],2,FALSE)," ")</f>
        <v>INGRESOS</v>
      </c>
      <c r="F1199" t="str">
        <f>IFERROR(+VLOOKUP(Movimientos_2026[[#This Row],[Codigo]],Plan_cuentas[],3,FALSE)," ")</f>
        <v>Transferencia</v>
      </c>
      <c r="G1199" t="str">
        <f>IFERROR(+VLOOKUP(Movimientos_2026[[#This Row],[Codigo]],Plan_cuentas[],4,FALSE)," ")</f>
        <v>Rentas</v>
      </c>
      <c r="H1199" t="str">
        <f>IFERROR(+VLOOKUP(Movimientos_2026[[#This Row],[Codigo]],Plan_cuentas[],5,FALSE)," ")</f>
        <v>SANTIAGO DEL ESTERO</v>
      </c>
      <c r="I1199" s="43">
        <v>46054</v>
      </c>
      <c r="J1199" t="s">
        <v>496</v>
      </c>
      <c r="K1199" t="str">
        <f>IFERROR(+VLOOKUP(Movimientos_2026[[#This Row],[Codigo]],Plan_cuentas[],6,FALSE)," ")</f>
        <v>1 - VW - Volkswagen</v>
      </c>
      <c r="L1199" s="50">
        <v>21352465.5</v>
      </c>
      <c r="M1199" s="50"/>
      <c r="N1199" s="20">
        <f>+Movimientos_2026[[#This Row],[Ingresos]]-Movimientos_2026[[#This Row],[Egresos]]</f>
        <v>21352465.5</v>
      </c>
      <c r="O1199" s="20">
        <f>+O1198+Movimientos_2026[[#This Row],[Neto]]</f>
        <v>5386023994.7644796</v>
      </c>
    </row>
    <row r="1200" spans="1:15" x14ac:dyDescent="0.25">
      <c r="A1200" s="13">
        <v>46121</v>
      </c>
      <c r="B1200" s="12">
        <f>MONTH(Movimientos_2026[[#This Row],[Fecha]])</f>
        <v>4</v>
      </c>
      <c r="C1200" s="12" t="str">
        <f>VLOOKUP((WEEKDAY(Movimientos_2026[[#This Row],[Fecha]],2)),'5. Setup'!$D$6:$E$12,2,FALSE)</f>
        <v>Jue</v>
      </c>
      <c r="D1200">
        <v>1044411</v>
      </c>
      <c r="E1200" t="str">
        <f>IFERROR(+VLOOKUP(Movimientos_2026[[#This Row],[Codigo]],Plan_cuentas[],2,FALSE)," ")</f>
        <v>INGRESOS</v>
      </c>
      <c r="F1200" t="str">
        <f>IFERROR(+VLOOKUP(Movimientos_2026[[#This Row],[Codigo]],Plan_cuentas[],3,FALSE)," ")</f>
        <v>Transferencia</v>
      </c>
      <c r="G1200" t="str">
        <f>IFERROR(+VLOOKUP(Movimientos_2026[[#This Row],[Codigo]],Plan_cuentas[],4,FALSE)," ")</f>
        <v>Rentas</v>
      </c>
      <c r="H1200" t="str">
        <f>IFERROR(+VLOOKUP(Movimientos_2026[[#This Row],[Codigo]],Plan_cuentas[],5,FALSE)," ")</f>
        <v>TIERRA DEL FUEGO</v>
      </c>
      <c r="I1200" s="43">
        <v>46054</v>
      </c>
      <c r="J1200" t="s">
        <v>496</v>
      </c>
      <c r="K1200" t="str">
        <f>IFERROR(+VLOOKUP(Movimientos_2026[[#This Row],[Codigo]],Plan_cuentas[],6,FALSE)," ")</f>
        <v>1 - VW - Volkswagen</v>
      </c>
      <c r="L1200" s="50">
        <v>2388995</v>
      </c>
      <c r="M1200" s="50"/>
      <c r="N1200" s="20">
        <f>+Movimientos_2026[[#This Row],[Ingresos]]-Movimientos_2026[[#This Row],[Egresos]]</f>
        <v>2388995</v>
      </c>
      <c r="O1200" s="20">
        <f>+O1199+Movimientos_2026[[#This Row],[Neto]]</f>
        <v>5388412989.7644796</v>
      </c>
    </row>
    <row r="1201" spans="1:15" x14ac:dyDescent="0.25">
      <c r="A1201" s="13">
        <v>46121</v>
      </c>
      <c r="B1201" s="12">
        <f>MONTH(Movimientos_2026[[#This Row],[Fecha]])</f>
        <v>4</v>
      </c>
      <c r="C1201" s="12" t="str">
        <f>VLOOKUP((WEEKDAY(Movimientos_2026[[#This Row],[Fecha]],2)),'5. Setup'!$D$6:$E$12,2,FALSE)</f>
        <v>Jue</v>
      </c>
      <c r="D1201">
        <v>1044421</v>
      </c>
      <c r="E1201" t="str">
        <f>IFERROR(+VLOOKUP(Movimientos_2026[[#This Row],[Codigo]],Plan_cuentas[],2,FALSE)," ")</f>
        <v>INGRESOS</v>
      </c>
      <c r="F1201" t="str">
        <f>IFERROR(+VLOOKUP(Movimientos_2026[[#This Row],[Codigo]],Plan_cuentas[],3,FALSE)," ")</f>
        <v>Transferencia</v>
      </c>
      <c r="G1201" t="str">
        <f>IFERROR(+VLOOKUP(Movimientos_2026[[#This Row],[Codigo]],Plan_cuentas[],4,FALSE)," ")</f>
        <v>Rentas</v>
      </c>
      <c r="H1201" t="str">
        <f>IFERROR(+VLOOKUP(Movimientos_2026[[#This Row],[Codigo]],Plan_cuentas[],5,FALSE)," ")</f>
        <v>TUCUMAN</v>
      </c>
      <c r="I1201" s="43">
        <v>46054</v>
      </c>
      <c r="J1201" t="s">
        <v>496</v>
      </c>
      <c r="K1201" t="str">
        <f>IFERROR(+VLOOKUP(Movimientos_2026[[#This Row],[Codigo]],Plan_cuentas[],6,FALSE)," ")</f>
        <v>1 - VW - Volkswagen</v>
      </c>
      <c r="L1201" s="50">
        <v>35278925.720620021</v>
      </c>
      <c r="M1201" s="50"/>
      <c r="N1201" s="20">
        <f>+Movimientos_2026[[#This Row],[Ingresos]]-Movimientos_2026[[#This Row],[Egresos]]</f>
        <v>35278925.720620021</v>
      </c>
      <c r="O1201" s="20">
        <f>+O1200+Movimientos_2026[[#This Row],[Neto]]</f>
        <v>5423691915.4850998</v>
      </c>
    </row>
    <row r="1202" spans="1:15" x14ac:dyDescent="0.25">
      <c r="A1202" s="13">
        <v>46121</v>
      </c>
      <c r="B1202" s="12">
        <f>MONTH(Movimientos_2026[[#This Row],[Fecha]])</f>
        <v>4</v>
      </c>
      <c r="C1202" s="12" t="str">
        <f>VLOOKUP((WEEKDAY(Movimientos_2026[[#This Row],[Fecha]],2)),'5. Setup'!$D$6:$E$12,2,FALSE)</f>
        <v>Jue</v>
      </c>
      <c r="D1202">
        <v>1043141</v>
      </c>
      <c r="E1202" t="str">
        <f>IFERROR(+VLOOKUP(Movimientos_2026[[#This Row],[Codigo]],Plan_cuentas[],2,FALSE)," ")</f>
        <v>INGRESOS</v>
      </c>
      <c r="F1202" t="str">
        <f>IFERROR(+VLOOKUP(Movimientos_2026[[#This Row],[Codigo]],Plan_cuentas[],3,FALSE)," ")</f>
        <v>Transferencia</v>
      </c>
      <c r="G1202" t="str">
        <f>IFERROR(+VLOOKUP(Movimientos_2026[[#This Row],[Codigo]],Plan_cuentas[],4,FALSE)," ")</f>
        <v>Registración</v>
      </c>
      <c r="H1202" t="str">
        <f>IFERROR(+VLOOKUP(Movimientos_2026[[#This Row],[Codigo]],Plan_cuentas[],5,FALSE)," ")</f>
        <v>BUENOS AIRES</v>
      </c>
      <c r="I1202" s="43">
        <v>46054</v>
      </c>
      <c r="J1202" t="s">
        <v>496</v>
      </c>
      <c r="K1202" t="str">
        <f>IFERROR(+VLOOKUP(Movimientos_2026[[#This Row],[Codigo]],Plan_cuentas[],6,FALSE)," ")</f>
        <v>1 - VW - Volkswagen</v>
      </c>
      <c r="L1202" s="50">
        <v>146722305.90150011</v>
      </c>
      <c r="M1202" s="50"/>
      <c r="N1202" s="20">
        <f>+Movimientos_2026[[#This Row],[Ingresos]]-Movimientos_2026[[#This Row],[Egresos]]</f>
        <v>146722305.90150011</v>
      </c>
      <c r="O1202" s="20">
        <f>+O1201+Movimientos_2026[[#This Row],[Neto]]</f>
        <v>5570414221.3865995</v>
      </c>
    </row>
    <row r="1203" spans="1:15" x14ac:dyDescent="0.25">
      <c r="A1203" s="13">
        <v>46121</v>
      </c>
      <c r="B1203" s="12">
        <f>MONTH(Movimientos_2026[[#This Row],[Fecha]])</f>
        <v>4</v>
      </c>
      <c r="C1203" s="12" t="str">
        <f>VLOOKUP((WEEKDAY(Movimientos_2026[[#This Row],[Fecha]],2)),'5. Setup'!$D$6:$E$12,2,FALSE)</f>
        <v>Jue</v>
      </c>
      <c r="D1203">
        <v>1041441</v>
      </c>
      <c r="E1203" t="str">
        <f>IFERROR(+VLOOKUP(Movimientos_2026[[#This Row],[Codigo]],Plan_cuentas[],2,FALSE)," ")</f>
        <v>INGRESOS</v>
      </c>
      <c r="F1203" t="str">
        <f>IFERROR(+VLOOKUP(Movimientos_2026[[#This Row],[Codigo]],Plan_cuentas[],3,FALSE)," ")</f>
        <v>Transferencia</v>
      </c>
      <c r="G1203" t="str">
        <f>IFERROR(+VLOOKUP(Movimientos_2026[[#This Row],[Codigo]],Plan_cuentas[],4,FALSE)," ")</f>
        <v>Entidades co-participadas</v>
      </c>
      <c r="H1203" t="str">
        <f>IFERROR(+VLOOKUP(Movimientos_2026[[#This Row],[Codigo]],Plan_cuentas[],5,FALSE)," ")</f>
        <v>UISCUMARR</v>
      </c>
      <c r="I1203" s="43">
        <v>46054</v>
      </c>
      <c r="J1203" t="s">
        <v>496</v>
      </c>
      <c r="K1203" t="str">
        <f>IFERROR(+VLOOKUP(Movimientos_2026[[#This Row],[Codigo]],Plan_cuentas[],6,FALSE)," ")</f>
        <v>1 - VW - Volkswagen</v>
      </c>
      <c r="L1203" s="50">
        <v>146722305.90150011</v>
      </c>
      <c r="M1203" s="50"/>
      <c r="N1203" s="20">
        <f>+Movimientos_2026[[#This Row],[Ingresos]]-Movimientos_2026[[#This Row],[Egresos]]</f>
        <v>146722305.90150011</v>
      </c>
      <c r="O1203" s="20">
        <f>+O1202+Movimientos_2026[[#This Row],[Neto]]</f>
        <v>5717136527.2880993</v>
      </c>
    </row>
    <row r="1204" spans="1:15" x14ac:dyDescent="0.25">
      <c r="A1204" s="13">
        <v>46121</v>
      </c>
      <c r="B1204" s="12">
        <f>MONTH(Movimientos_2026[[#This Row],[Fecha]])</f>
        <v>4</v>
      </c>
      <c r="C1204" s="12" t="str">
        <f>VLOOKUP((WEEKDAY(Movimientos_2026[[#This Row],[Fecha]],2)),'5. Setup'!$D$6:$E$12,2,FALSE)</f>
        <v>Jue</v>
      </c>
      <c r="D1204">
        <v>1044161</v>
      </c>
      <c r="E1204" t="str">
        <f>IFERROR(+VLOOKUP(Movimientos_2026[[#This Row],[Codigo]],Plan_cuentas[],2,FALSE)," ")</f>
        <v>INGRESOS</v>
      </c>
      <c r="F1204" t="str">
        <f>IFERROR(+VLOOKUP(Movimientos_2026[[#This Row],[Codigo]],Plan_cuentas[],3,FALSE)," ")</f>
        <v>Transferencia</v>
      </c>
      <c r="G1204" t="str">
        <f>IFERROR(+VLOOKUP(Movimientos_2026[[#This Row],[Codigo]],Plan_cuentas[],4,FALSE)," ")</f>
        <v>Rentas</v>
      </c>
      <c r="H1204" t="str">
        <f>IFERROR(+VLOOKUP(Movimientos_2026[[#This Row],[Codigo]],Plan_cuentas[],5,FALSE)," ")</f>
        <v>CHACO</v>
      </c>
      <c r="I1204" s="43">
        <v>46054</v>
      </c>
      <c r="J1204" t="s">
        <v>497</v>
      </c>
      <c r="K1204" t="str">
        <f>IFERROR(+VLOOKUP(Movimientos_2026[[#This Row],[Codigo]],Plan_cuentas[],6,FALSE)," ")</f>
        <v>1 - VW - Volkswagen</v>
      </c>
      <c r="L1204" s="50">
        <v>367552.5</v>
      </c>
      <c r="M1204" s="50"/>
      <c r="N1204" s="20">
        <f>+Movimientos_2026[[#This Row],[Ingresos]]-Movimientos_2026[[#This Row],[Egresos]]</f>
        <v>367552.5</v>
      </c>
      <c r="O1204" s="20">
        <f>+O1203+Movimientos_2026[[#This Row],[Neto]]</f>
        <v>5717504079.7880993</v>
      </c>
    </row>
    <row r="1205" spans="1:15" x14ac:dyDescent="0.25">
      <c r="A1205" s="13">
        <v>46121</v>
      </c>
      <c r="B1205" s="12">
        <f>MONTH(Movimientos_2026[[#This Row],[Fecha]])</f>
        <v>4</v>
      </c>
      <c r="C1205" s="12" t="str">
        <f>VLOOKUP((WEEKDAY(Movimientos_2026[[#This Row],[Fecha]],2)),'5. Setup'!$D$6:$E$12,2,FALSE)</f>
        <v>Jue</v>
      </c>
      <c r="D1205">
        <v>1044171</v>
      </c>
      <c r="E1205" t="str">
        <f>IFERROR(+VLOOKUP(Movimientos_2026[[#This Row],[Codigo]],Plan_cuentas[],2,FALSE)," ")</f>
        <v>INGRESOS</v>
      </c>
      <c r="F1205" t="str">
        <f>IFERROR(+VLOOKUP(Movimientos_2026[[#This Row],[Codigo]],Plan_cuentas[],3,FALSE)," ")</f>
        <v>Transferencia</v>
      </c>
      <c r="G1205" t="str">
        <f>IFERROR(+VLOOKUP(Movimientos_2026[[#This Row],[Codigo]],Plan_cuentas[],4,FALSE)," ")</f>
        <v>Rentas</v>
      </c>
      <c r="H1205" t="str">
        <f>IFERROR(+VLOOKUP(Movimientos_2026[[#This Row],[Codigo]],Plan_cuentas[],5,FALSE)," ")</f>
        <v>CHUBUT</v>
      </c>
      <c r="I1205" s="43">
        <v>46054</v>
      </c>
      <c r="J1205" t="s">
        <v>497</v>
      </c>
      <c r="K1205" t="str">
        <f>IFERROR(+VLOOKUP(Movimientos_2026[[#This Row],[Codigo]],Plan_cuentas[],6,FALSE)," ")</f>
        <v>1 - VW - Volkswagen</v>
      </c>
      <c r="L1205" s="50">
        <v>342343.125</v>
      </c>
      <c r="M1205" s="50"/>
      <c r="N1205" s="20">
        <f>+Movimientos_2026[[#This Row],[Ingresos]]-Movimientos_2026[[#This Row],[Egresos]]</f>
        <v>342343.125</v>
      </c>
      <c r="O1205" s="20">
        <f>+O1204+Movimientos_2026[[#This Row],[Neto]]</f>
        <v>5717846422.9130993</v>
      </c>
    </row>
    <row r="1206" spans="1:15" x14ac:dyDescent="0.25">
      <c r="A1206" s="13">
        <v>46121</v>
      </c>
      <c r="B1206" s="12">
        <f>MONTH(Movimientos_2026[[#This Row],[Fecha]])</f>
        <v>4</v>
      </c>
      <c r="C1206" s="12" t="str">
        <f>VLOOKUP((WEEKDAY(Movimientos_2026[[#This Row],[Fecha]],2)),'5. Setup'!$D$6:$E$12,2,FALSE)</f>
        <v>Jue</v>
      </c>
      <c r="D1206">
        <v>1044261</v>
      </c>
      <c r="E1206" t="str">
        <f>IFERROR(+VLOOKUP(Movimientos_2026[[#This Row],[Codigo]],Plan_cuentas[],2,FALSE)," ")</f>
        <v>INGRESOS</v>
      </c>
      <c r="F1206" t="str">
        <f>IFERROR(+VLOOKUP(Movimientos_2026[[#This Row],[Codigo]],Plan_cuentas[],3,FALSE)," ")</f>
        <v>Transferencia</v>
      </c>
      <c r="G1206" t="str">
        <f>IFERROR(+VLOOKUP(Movimientos_2026[[#This Row],[Codigo]],Plan_cuentas[],4,FALSE)," ")</f>
        <v>Rentas</v>
      </c>
      <c r="H1206" t="str">
        <f>IFERROR(+VLOOKUP(Movimientos_2026[[#This Row],[Codigo]],Plan_cuentas[],5,FALSE)," ")</f>
        <v>LA PAMPA</v>
      </c>
      <c r="I1206" s="43">
        <v>46054</v>
      </c>
      <c r="J1206" t="s">
        <v>497</v>
      </c>
      <c r="K1206" t="str">
        <f>IFERROR(+VLOOKUP(Movimientos_2026[[#This Row],[Codigo]],Plan_cuentas[],6,FALSE)," ")</f>
        <v>1 - VW - Volkswagen</v>
      </c>
      <c r="L1206" s="50">
        <v>367552.5</v>
      </c>
      <c r="M1206" s="50"/>
      <c r="N1206" s="20">
        <f>+Movimientos_2026[[#This Row],[Ingresos]]-Movimientos_2026[[#This Row],[Egresos]]</f>
        <v>367552.5</v>
      </c>
      <c r="O1206" s="20">
        <f>+O1205+Movimientos_2026[[#This Row],[Neto]]</f>
        <v>5718213975.4130993</v>
      </c>
    </row>
    <row r="1207" spans="1:15" x14ac:dyDescent="0.25">
      <c r="A1207" s="13">
        <v>46121</v>
      </c>
      <c r="B1207" s="12">
        <f>MONTH(Movimientos_2026[[#This Row],[Fecha]])</f>
        <v>4</v>
      </c>
      <c r="C1207" s="12" t="str">
        <f>VLOOKUP((WEEKDAY(Movimientos_2026[[#This Row],[Fecha]],2)),'5. Setup'!$D$6:$E$12,2,FALSE)</f>
        <v>Jue</v>
      </c>
      <c r="D1207">
        <v>1044361</v>
      </c>
      <c r="E1207" t="str">
        <f>IFERROR(+VLOOKUP(Movimientos_2026[[#This Row],[Codigo]],Plan_cuentas[],2,FALSE)," ")</f>
        <v>INGRESOS</v>
      </c>
      <c r="F1207" t="str">
        <f>IFERROR(+VLOOKUP(Movimientos_2026[[#This Row],[Codigo]],Plan_cuentas[],3,FALSE)," ")</f>
        <v>Transferencia</v>
      </c>
      <c r="G1207" t="str">
        <f>IFERROR(+VLOOKUP(Movimientos_2026[[#This Row],[Codigo]],Plan_cuentas[],4,FALSE)," ")</f>
        <v>Rentas</v>
      </c>
      <c r="H1207" t="str">
        <f>IFERROR(+VLOOKUP(Movimientos_2026[[#This Row],[Codigo]],Plan_cuentas[],5,FALSE)," ")</f>
        <v>SAN LUIS</v>
      </c>
      <c r="I1207" s="43">
        <v>46054</v>
      </c>
      <c r="J1207" t="s">
        <v>497</v>
      </c>
      <c r="K1207" t="str">
        <f>IFERROR(+VLOOKUP(Movimientos_2026[[#This Row],[Codigo]],Plan_cuentas[],6,FALSE)," ")</f>
        <v>1 - VW - Volkswagen</v>
      </c>
      <c r="L1207" s="50">
        <v>988812</v>
      </c>
      <c r="M1207" s="50"/>
      <c r="N1207" s="20">
        <f>+Movimientos_2026[[#This Row],[Ingresos]]-Movimientos_2026[[#This Row],[Egresos]]</f>
        <v>988812</v>
      </c>
      <c r="O1207" s="20">
        <f>+O1206+Movimientos_2026[[#This Row],[Neto]]</f>
        <v>5719202787.4130993</v>
      </c>
    </row>
    <row r="1208" spans="1:15" x14ac:dyDescent="0.25">
      <c r="A1208" s="13">
        <v>46121</v>
      </c>
      <c r="B1208" s="12">
        <f>MONTH(Movimientos_2026[[#This Row],[Fecha]])</f>
        <v>4</v>
      </c>
      <c r="C1208" s="12" t="str">
        <f>VLOOKUP((WEEKDAY(Movimientos_2026[[#This Row],[Fecha]],2)),'5. Setup'!$D$6:$E$12,2,FALSE)</f>
        <v>Jue</v>
      </c>
      <c r="D1208">
        <v>1044401</v>
      </c>
      <c r="E1208" t="str">
        <f>IFERROR(+VLOOKUP(Movimientos_2026[[#This Row],[Codigo]],Plan_cuentas[],2,FALSE)," ")</f>
        <v>INGRESOS</v>
      </c>
      <c r="F1208" t="str">
        <f>IFERROR(+VLOOKUP(Movimientos_2026[[#This Row],[Codigo]],Plan_cuentas[],3,FALSE)," ")</f>
        <v>Transferencia</v>
      </c>
      <c r="G1208" t="str">
        <f>IFERROR(+VLOOKUP(Movimientos_2026[[#This Row],[Codigo]],Plan_cuentas[],4,FALSE)," ")</f>
        <v>Rentas</v>
      </c>
      <c r="H1208" t="str">
        <f>IFERROR(+VLOOKUP(Movimientos_2026[[#This Row],[Codigo]],Plan_cuentas[],5,FALSE)," ")</f>
        <v>SANTIAGO DEL ESTERO</v>
      </c>
      <c r="I1208" s="43">
        <v>46054</v>
      </c>
      <c r="J1208" t="s">
        <v>497</v>
      </c>
      <c r="K1208" t="str">
        <f>IFERROR(+VLOOKUP(Movimientos_2026[[#This Row],[Codigo]],Plan_cuentas[],6,FALSE)," ")</f>
        <v>1 - VW - Volkswagen</v>
      </c>
      <c r="L1208" s="50">
        <v>367552.5</v>
      </c>
      <c r="M1208" s="50"/>
      <c r="N1208" s="20">
        <f>+Movimientos_2026[[#This Row],[Ingresos]]-Movimientos_2026[[#This Row],[Egresos]]</f>
        <v>367552.5</v>
      </c>
      <c r="O1208" s="20">
        <f>+O1207+Movimientos_2026[[#This Row],[Neto]]</f>
        <v>5719570339.9130993</v>
      </c>
    </row>
    <row r="1209" spans="1:15" x14ac:dyDescent="0.25">
      <c r="A1209" s="13">
        <v>46121</v>
      </c>
      <c r="B1209" s="12">
        <f>MONTH(Movimientos_2026[[#This Row],[Fecha]])</f>
        <v>4</v>
      </c>
      <c r="C1209" s="12" t="str">
        <f>VLOOKUP((WEEKDAY(Movimientos_2026[[#This Row],[Fecha]],2)),'5. Setup'!$D$6:$E$12,2,FALSE)</f>
        <v>Jue</v>
      </c>
      <c r="D1209">
        <v>1043141</v>
      </c>
      <c r="E1209" t="str">
        <f>IFERROR(+VLOOKUP(Movimientos_2026[[#This Row],[Codigo]],Plan_cuentas[],2,FALSE)," ")</f>
        <v>INGRESOS</v>
      </c>
      <c r="F1209" t="str">
        <f>IFERROR(+VLOOKUP(Movimientos_2026[[#This Row],[Codigo]],Plan_cuentas[],3,FALSE)," ")</f>
        <v>Transferencia</v>
      </c>
      <c r="G1209" t="str">
        <f>IFERROR(+VLOOKUP(Movimientos_2026[[#This Row],[Codigo]],Plan_cuentas[],4,FALSE)," ")</f>
        <v>Registración</v>
      </c>
      <c r="H1209" t="str">
        <f>IFERROR(+VLOOKUP(Movimientos_2026[[#This Row],[Codigo]],Plan_cuentas[],5,FALSE)," ")</f>
        <v>BUENOS AIRES</v>
      </c>
      <c r="I1209" s="43">
        <v>46054</v>
      </c>
      <c r="J1209" t="s">
        <v>498</v>
      </c>
      <c r="K1209" t="str">
        <f>IFERROR(+VLOOKUP(Movimientos_2026[[#This Row],[Codigo]],Plan_cuentas[],6,FALSE)," ")</f>
        <v>1 - VW - Volkswagen</v>
      </c>
      <c r="L1209" s="50">
        <v>4254619.05</v>
      </c>
      <c r="M1209" s="50"/>
      <c r="N1209" s="20">
        <f>+Movimientos_2026[[#This Row],[Ingresos]]-Movimientos_2026[[#This Row],[Egresos]]</f>
        <v>4254619.05</v>
      </c>
      <c r="O1209" s="20">
        <f>+O1208+Movimientos_2026[[#This Row],[Neto]]</f>
        <v>5723824958.9630995</v>
      </c>
    </row>
    <row r="1210" spans="1:15" x14ac:dyDescent="0.25">
      <c r="A1210" s="13">
        <v>46122</v>
      </c>
      <c r="B1210" s="12">
        <f>MONTH(Movimientos_2026[[#This Row],[Fecha]])</f>
        <v>4</v>
      </c>
      <c r="C1210" s="12" t="str">
        <f>VLOOKUP((WEEKDAY(Movimientos_2026[[#This Row],[Fecha]],2)),'5. Setup'!$D$6:$E$12,2,FALSE)</f>
        <v>Vie</v>
      </c>
      <c r="D1210">
        <v>2014211</v>
      </c>
      <c r="E1210" t="str">
        <f>IFERROR(+VLOOKUP(Movimientos_2026[[#This Row],[Codigo]],Plan_cuentas[],2,FALSE)," ")</f>
        <v>EGRESOS</v>
      </c>
      <c r="F1210" t="str">
        <f>IFERROR(+VLOOKUP(Movimientos_2026[[#This Row],[Codigo]],Plan_cuentas[],3,FALSE)," ")</f>
        <v>BtoB</v>
      </c>
      <c r="G1210" t="str">
        <f>IFERROR(+VLOOKUP(Movimientos_2026[[#This Row],[Codigo]],Plan_cuentas[],4,FALSE)," ")</f>
        <v>Rentas</v>
      </c>
      <c r="H1210" t="str">
        <f>IFERROR(+VLOOKUP(Movimientos_2026[[#This Row],[Codigo]],Plan_cuentas[],5,FALSE)," ")</f>
        <v>CORRIENTES 2° Q</v>
      </c>
      <c r="I1210" s="43">
        <v>46082</v>
      </c>
      <c r="J1210" t="s">
        <v>499</v>
      </c>
      <c r="K1210" t="str">
        <f>IFERROR(+VLOOKUP(Movimientos_2026[[#This Row],[Codigo]],Plan_cuentas[],6,FALSE)," ")</f>
        <v>1 - VW - Volkswagen</v>
      </c>
      <c r="L1210" s="50"/>
      <c r="M1210" s="52">
        <v>5910795</v>
      </c>
      <c r="N1210" s="20">
        <f>+Movimientos_2026[[#This Row],[Ingresos]]-Movimientos_2026[[#This Row],[Egresos]]</f>
        <v>-5910795</v>
      </c>
      <c r="O1210" s="20">
        <f>+O1209+Movimientos_2026[[#This Row],[Neto]]</f>
        <v>5717914163.9630995</v>
      </c>
    </row>
    <row r="1211" spans="1:15" x14ac:dyDescent="0.25">
      <c r="A1211" s="13">
        <v>46122</v>
      </c>
      <c r="B1211" s="12">
        <f>MONTH(Movimientos_2026[[#This Row],[Fecha]])</f>
        <v>4</v>
      </c>
      <c r="C1211" s="12" t="str">
        <f>VLOOKUP((WEEKDAY(Movimientos_2026[[#This Row],[Fecha]],2)),'5. Setup'!$D$6:$E$12,2,FALSE)</f>
        <v>Vie</v>
      </c>
      <c r="D1211">
        <v>2054371</v>
      </c>
      <c r="E1211" t="str">
        <f>IFERROR(+VLOOKUP(Movimientos_2026[[#This Row],[Codigo]],Plan_cuentas[],2,FALSE)," ")</f>
        <v>EGRESOS</v>
      </c>
      <c r="F1211" t="str">
        <f>IFERROR(+VLOOKUP(Movimientos_2026[[#This Row],[Codigo]],Plan_cuentas[],3,FALSE)," ")</f>
        <v>VEP</v>
      </c>
      <c r="G1211" t="str">
        <f>IFERROR(+VLOOKUP(Movimientos_2026[[#This Row],[Codigo]],Plan_cuentas[],4,FALSE)," ")</f>
        <v>Rentas</v>
      </c>
      <c r="H1211" t="str">
        <f>IFERROR(+VLOOKUP(Movimientos_2026[[#This Row],[Codigo]],Plan_cuentas[],5,FALSE)," ")</f>
        <v>SANTA CRUZ</v>
      </c>
      <c r="I1211" s="43">
        <v>46082</v>
      </c>
      <c r="J1211" t="s">
        <v>500</v>
      </c>
      <c r="K1211" t="str">
        <f>IFERROR(+VLOOKUP(Movimientos_2026[[#This Row],[Codigo]],Plan_cuentas[],6,FALSE)," ")</f>
        <v>1 - VW - Volkswagen</v>
      </c>
      <c r="L1211" s="50"/>
      <c r="M1211" s="52">
        <v>38244712.100000001</v>
      </c>
      <c r="N1211" s="20">
        <f>+Movimientos_2026[[#This Row],[Ingresos]]-Movimientos_2026[[#This Row],[Egresos]]</f>
        <v>-38244712.100000001</v>
      </c>
      <c r="O1211" s="20">
        <f>+O1210+Movimientos_2026[[#This Row],[Neto]]</f>
        <v>5679669451.8630991</v>
      </c>
    </row>
    <row r="1212" spans="1:15" x14ac:dyDescent="0.25">
      <c r="A1212" s="13">
        <v>46122</v>
      </c>
      <c r="B1212" s="12">
        <f>MONTH(Movimientos_2026[[#This Row],[Fecha]])</f>
        <v>4</v>
      </c>
      <c r="C1212" s="12" t="str">
        <f>VLOOKUP((WEEKDAY(Movimientos_2026[[#This Row],[Fecha]],2)),'5. Setup'!$D$6:$E$12,2,FALSE)</f>
        <v>Vie</v>
      </c>
      <c r="D1212">
        <v>2054391</v>
      </c>
      <c r="E1212" t="str">
        <f>IFERROR(+VLOOKUP(Movimientos_2026[[#This Row],[Codigo]],Plan_cuentas[],2,FALSE)," ")</f>
        <v>EGRESOS</v>
      </c>
      <c r="F1212" t="str">
        <f>IFERROR(+VLOOKUP(Movimientos_2026[[#This Row],[Codigo]],Plan_cuentas[],3,FALSE)," ")</f>
        <v>VEP</v>
      </c>
      <c r="G1212" t="str">
        <f>IFERROR(+VLOOKUP(Movimientos_2026[[#This Row],[Codigo]],Plan_cuentas[],4,FALSE)," ")</f>
        <v>Rentas</v>
      </c>
      <c r="H1212" t="str">
        <f>IFERROR(+VLOOKUP(Movimientos_2026[[#This Row],[Codigo]],Plan_cuentas[],5,FALSE)," ")</f>
        <v>SANTA FE 2° Q</v>
      </c>
      <c r="I1212" s="43">
        <v>46082</v>
      </c>
      <c r="J1212" t="s">
        <v>501</v>
      </c>
      <c r="K1212" t="str">
        <f>IFERROR(+VLOOKUP(Movimientos_2026[[#This Row],[Codigo]],Plan_cuentas[],6,FALSE)," ")</f>
        <v>1 - VW - Volkswagen</v>
      </c>
      <c r="L1212" s="50"/>
      <c r="M1212" s="52">
        <v>25711067</v>
      </c>
      <c r="N1212" s="20">
        <f>+Movimientos_2026[[#This Row],[Ingresos]]-Movimientos_2026[[#This Row],[Egresos]]</f>
        <v>-25711067</v>
      </c>
      <c r="O1212" s="20">
        <f>+O1211+Movimientos_2026[[#This Row],[Neto]]</f>
        <v>5653958384.8630991</v>
      </c>
    </row>
    <row r="1213" spans="1:15" x14ac:dyDescent="0.25">
      <c r="A1213" s="13">
        <v>46122</v>
      </c>
      <c r="B1213" s="12">
        <f>MONTH(Movimientos_2026[[#This Row],[Fecha]])</f>
        <v>4</v>
      </c>
      <c r="C1213" s="12" t="str">
        <f>VLOOKUP((WEEKDAY(Movimientos_2026[[#This Row],[Fecha]],2)),'5. Setup'!$D$6:$E$12,2,FALSE)</f>
        <v>Vie</v>
      </c>
      <c r="D1213">
        <v>2014271</v>
      </c>
      <c r="E1213" t="str">
        <f>IFERROR(+VLOOKUP(Movimientos_2026[[#This Row],[Codigo]],Plan_cuentas[],2,FALSE)," ")</f>
        <v>EGRESOS</v>
      </c>
      <c r="F1213" t="str">
        <f>IFERROR(+VLOOKUP(Movimientos_2026[[#This Row],[Codigo]],Plan_cuentas[],3,FALSE)," ")</f>
        <v>BtoB</v>
      </c>
      <c r="G1213" t="str">
        <f>IFERROR(+VLOOKUP(Movimientos_2026[[#This Row],[Codigo]],Plan_cuentas[],4,FALSE)," ")</f>
        <v>Rentas</v>
      </c>
      <c r="H1213" t="str">
        <f>IFERROR(+VLOOKUP(Movimientos_2026[[#This Row],[Codigo]],Plan_cuentas[],5,FALSE)," ")</f>
        <v>LA RIOJA</v>
      </c>
      <c r="I1213" s="43">
        <v>46082</v>
      </c>
      <c r="J1213" t="s">
        <v>502</v>
      </c>
      <c r="K1213" t="str">
        <f>IFERROR(+VLOOKUP(Movimientos_2026[[#This Row],[Codigo]],Plan_cuentas[],6,FALSE)," ")</f>
        <v>1 - VW - Volkswagen</v>
      </c>
      <c r="L1213" s="50"/>
      <c r="M1213" s="52">
        <v>29441115.690000001</v>
      </c>
      <c r="N1213" s="20">
        <f>+Movimientos_2026[[#This Row],[Ingresos]]-Movimientos_2026[[#This Row],[Egresos]]</f>
        <v>-29441115.690000001</v>
      </c>
      <c r="O1213" s="20">
        <f>+O1212+Movimientos_2026[[#This Row],[Neto]]</f>
        <v>5624517269.1730995</v>
      </c>
    </row>
    <row r="1214" spans="1:15" x14ac:dyDescent="0.25">
      <c r="A1214" s="13">
        <v>46122</v>
      </c>
      <c r="B1214" s="12">
        <f>MONTH(Movimientos_2026[[#This Row],[Fecha]])</f>
        <v>4</v>
      </c>
      <c r="C1214" s="12" t="str">
        <f>VLOOKUP((WEEKDAY(Movimientos_2026[[#This Row],[Fecha]],2)),'5. Setup'!$D$6:$E$12,2,FALSE)</f>
        <v>Vie</v>
      </c>
      <c r="D1214">
        <v>2014421</v>
      </c>
      <c r="E1214" t="str">
        <f>IFERROR(+VLOOKUP(Movimientos_2026[[#This Row],[Codigo]],Plan_cuentas[],2,FALSE)," ")</f>
        <v>EGRESOS</v>
      </c>
      <c r="F1214" t="str">
        <f>IFERROR(+VLOOKUP(Movimientos_2026[[#This Row],[Codigo]],Plan_cuentas[],3,FALSE)," ")</f>
        <v>BtoB</v>
      </c>
      <c r="G1214" t="str">
        <f>IFERROR(+VLOOKUP(Movimientos_2026[[#This Row],[Codigo]],Plan_cuentas[],4,FALSE)," ")</f>
        <v>Rentas</v>
      </c>
      <c r="H1214" t="str">
        <f>IFERROR(+VLOOKUP(Movimientos_2026[[#This Row],[Codigo]],Plan_cuentas[],5,FALSE)," ")</f>
        <v>TUCUMAN</v>
      </c>
      <c r="I1214" s="43">
        <v>46082</v>
      </c>
      <c r="J1214" t="s">
        <v>503</v>
      </c>
      <c r="K1214" t="str">
        <f>IFERROR(+VLOOKUP(Movimientos_2026[[#This Row],[Codigo]],Plan_cuentas[],6,FALSE)," ")</f>
        <v>1 - VW - Volkswagen</v>
      </c>
      <c r="L1214" s="50"/>
      <c r="M1214" s="52">
        <v>68110805.71262002</v>
      </c>
      <c r="N1214" s="20">
        <f>+Movimientos_2026[[#This Row],[Ingresos]]-Movimientos_2026[[#This Row],[Egresos]]</f>
        <v>-68110805.71262002</v>
      </c>
      <c r="O1214" s="20">
        <f>+O1213+Movimientos_2026[[#This Row],[Neto]]</f>
        <v>5556406463.4604797</v>
      </c>
    </row>
    <row r="1215" spans="1:15" x14ac:dyDescent="0.25">
      <c r="A1215" s="13">
        <v>46122</v>
      </c>
      <c r="B1215" s="12">
        <f>MONTH(Movimientos_2026[[#This Row],[Fecha]])</f>
        <v>4</v>
      </c>
      <c r="C1215" s="12" t="str">
        <f>VLOOKUP((WEEKDAY(Movimientos_2026[[#This Row],[Fecha]],2)),'5. Setup'!$D$6:$E$12,2,FALSE)</f>
        <v>Vie</v>
      </c>
      <c r="D1215">
        <v>2014422</v>
      </c>
      <c r="E1215" t="str">
        <f>IFERROR(+VLOOKUP(Movimientos_2026[[#This Row],[Codigo]],Plan_cuentas[],2,FALSE)," ")</f>
        <v>EGRESOS</v>
      </c>
      <c r="F1215" t="str">
        <f>IFERROR(+VLOOKUP(Movimientos_2026[[#This Row],[Codigo]],Plan_cuentas[],3,FALSE)," ")</f>
        <v>BtoB</v>
      </c>
      <c r="G1215" t="str">
        <f>IFERROR(+VLOOKUP(Movimientos_2026[[#This Row],[Codigo]],Plan_cuentas[],4,FALSE)," ")</f>
        <v>Rentas</v>
      </c>
      <c r="H1215" t="str">
        <f>IFERROR(+VLOOKUP(Movimientos_2026[[#This Row],[Codigo]],Plan_cuentas[],5,FALSE)," ")</f>
        <v>TUCUMAN</v>
      </c>
      <c r="I1215" s="43">
        <v>46082</v>
      </c>
      <c r="J1215" t="s">
        <v>504</v>
      </c>
      <c r="K1215" t="str">
        <f>IFERROR(+VLOOKUP(Movimientos_2026[[#This Row],[Codigo]],Plan_cuentas[],6,FALSE)," ")</f>
        <v>2 - PR - Plan Rombo</v>
      </c>
      <c r="L1215" s="50"/>
      <c r="M1215" s="52">
        <v>74123383.760000005</v>
      </c>
      <c r="N1215" s="20">
        <f>+Movimientos_2026[[#This Row],[Ingresos]]-Movimientos_2026[[#This Row],[Egresos]]</f>
        <v>-74123383.760000005</v>
      </c>
      <c r="O1215" s="20">
        <f>+O1214+Movimientos_2026[[#This Row],[Neto]]</f>
        <v>5482283079.7004795</v>
      </c>
    </row>
    <row r="1216" spans="1:15" x14ac:dyDescent="0.25">
      <c r="A1216" s="13">
        <v>46122</v>
      </c>
      <c r="B1216" s="12">
        <f>MONTH(Movimientos_2026[[#This Row],[Fecha]])</f>
        <v>4</v>
      </c>
      <c r="C1216" s="12" t="str">
        <f>VLOOKUP((WEEKDAY(Movimientos_2026[[#This Row],[Fecha]],2)),'5. Setup'!$D$6:$E$12,2,FALSE)</f>
        <v>Vie</v>
      </c>
      <c r="D1216">
        <v>2014427</v>
      </c>
      <c r="E1216" t="str">
        <f>IFERROR(+VLOOKUP(Movimientos_2026[[#This Row],[Codigo]],Plan_cuentas[],2,FALSE)," ")</f>
        <v>EGRESOS</v>
      </c>
      <c r="F1216" t="str">
        <f>IFERROR(+VLOOKUP(Movimientos_2026[[#This Row],[Codigo]],Plan_cuentas[],3,FALSE)," ")</f>
        <v>BtoB</v>
      </c>
      <c r="G1216" t="str">
        <f>IFERROR(+VLOOKUP(Movimientos_2026[[#This Row],[Codigo]],Plan_cuentas[],4,FALSE)," ")</f>
        <v>Rentas</v>
      </c>
      <c r="H1216" t="str">
        <f>IFERROR(+VLOOKUP(Movimientos_2026[[#This Row],[Codigo]],Plan_cuentas[],5,FALSE)," ")</f>
        <v>TUCUMAN</v>
      </c>
      <c r="I1216" s="43">
        <v>46082</v>
      </c>
      <c r="J1216" t="s">
        <v>504</v>
      </c>
      <c r="K1216" t="str">
        <f>IFERROR(+VLOOKUP(Movimientos_2026[[#This Row],[Codigo]],Plan_cuentas[],6,FALSE)," ")</f>
        <v>7 - PRtr - Plan Rombo Transf.</v>
      </c>
      <c r="L1216" s="50"/>
      <c r="M1216" s="52">
        <v>110</v>
      </c>
      <c r="N1216" s="20">
        <f>+Movimientos_2026[[#This Row],[Ingresos]]-Movimientos_2026[[#This Row],[Egresos]]</f>
        <v>-110</v>
      </c>
      <c r="O1216" s="20">
        <f>+O1215+Movimientos_2026[[#This Row],[Neto]]</f>
        <v>5482282969.7004795</v>
      </c>
    </row>
    <row r="1217" spans="1:15" x14ac:dyDescent="0.25">
      <c r="A1217" s="13">
        <v>46122</v>
      </c>
      <c r="B1217" s="12">
        <f>MONTH(Movimientos_2026[[#This Row],[Fecha]])</f>
        <v>4</v>
      </c>
      <c r="C1217" s="12" t="str">
        <f>VLOOKUP((WEEKDAY(Movimientos_2026[[#This Row],[Fecha]],2)),'5. Setup'!$D$6:$E$12,2,FALSE)</f>
        <v>Vie</v>
      </c>
      <c r="D1217">
        <v>2014422</v>
      </c>
      <c r="E1217" t="str">
        <f>IFERROR(+VLOOKUP(Movimientos_2026[[#This Row],[Codigo]],Plan_cuentas[],2,FALSE)," ")</f>
        <v>EGRESOS</v>
      </c>
      <c r="F1217" t="str">
        <f>IFERROR(+VLOOKUP(Movimientos_2026[[#This Row],[Codigo]],Plan_cuentas[],3,FALSE)," ")</f>
        <v>BtoB</v>
      </c>
      <c r="G1217" t="str">
        <f>IFERROR(+VLOOKUP(Movimientos_2026[[#This Row],[Codigo]],Plan_cuentas[],4,FALSE)," ")</f>
        <v>Rentas</v>
      </c>
      <c r="H1217" t="str">
        <f>IFERROR(+VLOOKUP(Movimientos_2026[[#This Row],[Codigo]],Plan_cuentas[],5,FALSE)," ")</f>
        <v>TUCUMAN</v>
      </c>
      <c r="I1217" s="43">
        <v>46082</v>
      </c>
      <c r="J1217" t="s">
        <v>504</v>
      </c>
      <c r="K1217" t="str">
        <f>IFERROR(+VLOOKUP(Movimientos_2026[[#This Row],[Codigo]],Plan_cuentas[],6,FALSE)," ")</f>
        <v>2 - PR - Plan Rombo</v>
      </c>
      <c r="L1217" s="50"/>
      <c r="M1217" s="52">
        <v>7528344.2399999946</v>
      </c>
      <c r="N1217" s="20">
        <f>+Movimientos_2026[[#This Row],[Ingresos]]-Movimientos_2026[[#This Row],[Egresos]]</f>
        <v>-7528344.2399999946</v>
      </c>
      <c r="O1217" s="20">
        <f>+O1216+Movimientos_2026[[#This Row],[Neto]]</f>
        <v>5474754625.4604797</v>
      </c>
    </row>
    <row r="1218" spans="1:15" x14ac:dyDescent="0.25">
      <c r="A1218" s="13">
        <v>46122</v>
      </c>
      <c r="B1218" s="12">
        <f>MONTH(Movimientos_2026[[#This Row],[Fecha]])</f>
        <v>4</v>
      </c>
      <c r="C1218" s="12" t="str">
        <f>VLOOKUP((WEEKDAY(Movimientos_2026[[#This Row],[Fecha]],2)),'5. Setup'!$D$6:$E$12,2,FALSE)</f>
        <v>Vie</v>
      </c>
      <c r="D1218">
        <v>2034241</v>
      </c>
      <c r="E1218" t="str">
        <f>IFERROR(+VLOOKUP(Movimientos_2026[[#This Row],[Codigo]],Plan_cuentas[],2,FALSE)," ")</f>
        <v>EGRESOS</v>
      </c>
      <c r="F1218" t="str">
        <f>IFERROR(+VLOOKUP(Movimientos_2026[[#This Row],[Codigo]],Plan_cuentas[],3,FALSE)," ")</f>
        <v>Pagos Bco. Provincia</v>
      </c>
      <c r="G1218" t="str">
        <f>IFERROR(+VLOOKUP(Movimientos_2026[[#This Row],[Codigo]],Plan_cuentas[],4,FALSE)," ")</f>
        <v>Rentas</v>
      </c>
      <c r="H1218" t="str">
        <f>IFERROR(+VLOOKUP(Movimientos_2026[[#This Row],[Codigo]],Plan_cuentas[],5,FALSE)," ")</f>
        <v>FORMOSA</v>
      </c>
      <c r="I1218" s="43">
        <v>46082</v>
      </c>
      <c r="J1218" t="s">
        <v>505</v>
      </c>
      <c r="K1218" t="str">
        <f>IFERROR(+VLOOKUP(Movimientos_2026[[#This Row],[Codigo]],Plan_cuentas[],6,FALSE)," ")</f>
        <v>1 - VW - Volkswagen</v>
      </c>
      <c r="L1218" s="50"/>
      <c r="M1218" s="52">
        <v>5534929</v>
      </c>
      <c r="N1218" s="20">
        <f>+Movimientos_2026[[#This Row],[Ingresos]]-Movimientos_2026[[#This Row],[Egresos]]</f>
        <v>-5534929</v>
      </c>
      <c r="O1218" s="20">
        <f>+O1217+Movimientos_2026[[#This Row],[Neto]]</f>
        <v>5469219696.4604797</v>
      </c>
    </row>
    <row r="1219" spans="1:15" x14ac:dyDescent="0.25">
      <c r="A1219" s="13">
        <v>46122</v>
      </c>
      <c r="B1219" s="12">
        <f>MONTH(Movimientos_2026[[#This Row],[Fecha]])</f>
        <v>4</v>
      </c>
      <c r="C1219" s="12" t="str">
        <f>VLOOKUP((WEEKDAY(Movimientos_2026[[#This Row],[Fecha]],2)),'5. Setup'!$D$6:$E$12,2,FALSE)</f>
        <v>Vie</v>
      </c>
      <c r="D1219">
        <v>2054281</v>
      </c>
      <c r="E1219" t="str">
        <f>IFERROR(+VLOOKUP(Movimientos_2026[[#This Row],[Codigo]],Plan_cuentas[],2,FALSE)," ")</f>
        <v>EGRESOS</v>
      </c>
      <c r="F1219" t="str">
        <f>IFERROR(+VLOOKUP(Movimientos_2026[[#This Row],[Codigo]],Plan_cuentas[],3,FALSE)," ")</f>
        <v>VEP</v>
      </c>
      <c r="G1219" t="str">
        <f>IFERROR(+VLOOKUP(Movimientos_2026[[#This Row],[Codigo]],Plan_cuentas[],4,FALSE)," ")</f>
        <v>Rentas</v>
      </c>
      <c r="H1219" t="str">
        <f>IFERROR(+VLOOKUP(Movimientos_2026[[#This Row],[Codigo]],Plan_cuentas[],5,FALSE)," ")</f>
        <v>MENDOZA</v>
      </c>
      <c r="I1219" s="43">
        <v>46082</v>
      </c>
      <c r="J1219" t="s">
        <v>506</v>
      </c>
      <c r="K1219" t="str">
        <f>IFERROR(+VLOOKUP(Movimientos_2026[[#This Row],[Codigo]],Plan_cuentas[],6,FALSE)," ")</f>
        <v>1 - VW - Volkswagen</v>
      </c>
      <c r="L1219" s="50"/>
      <c r="M1219" s="52">
        <v>30419840</v>
      </c>
      <c r="N1219" s="20">
        <f>+Movimientos_2026[[#This Row],[Ingresos]]-Movimientos_2026[[#This Row],[Egresos]]</f>
        <v>-30419840</v>
      </c>
      <c r="O1219" s="20">
        <f>+O1218+Movimientos_2026[[#This Row],[Neto]]</f>
        <v>5438799856.4604797</v>
      </c>
    </row>
    <row r="1220" spans="1:15" x14ac:dyDescent="0.25">
      <c r="A1220" s="13">
        <v>46122</v>
      </c>
      <c r="B1220" s="12">
        <f>MONTH(Movimientos_2026[[#This Row],[Fecha]])</f>
        <v>4</v>
      </c>
      <c r="C1220" s="12" t="str">
        <f>VLOOKUP((WEEKDAY(Movimientos_2026[[#This Row],[Fecha]],2)),'5. Setup'!$D$6:$E$12,2,FALSE)</f>
        <v>Vie</v>
      </c>
      <c r="D1220">
        <v>2054282</v>
      </c>
      <c r="E1220" t="str">
        <f>IFERROR(+VLOOKUP(Movimientos_2026[[#This Row],[Codigo]],Plan_cuentas[],2,FALSE)," ")</f>
        <v>EGRESOS</v>
      </c>
      <c r="F1220" t="str">
        <f>IFERROR(+VLOOKUP(Movimientos_2026[[#This Row],[Codigo]],Plan_cuentas[],3,FALSE)," ")</f>
        <v>VEP</v>
      </c>
      <c r="G1220" t="str">
        <f>IFERROR(+VLOOKUP(Movimientos_2026[[#This Row],[Codigo]],Plan_cuentas[],4,FALSE)," ")</f>
        <v>Rentas</v>
      </c>
      <c r="H1220" t="str">
        <f>IFERROR(+VLOOKUP(Movimientos_2026[[#This Row],[Codigo]],Plan_cuentas[],5,FALSE)," ")</f>
        <v>MENDOZA</v>
      </c>
      <c r="I1220" s="43">
        <v>46082</v>
      </c>
      <c r="J1220" t="s">
        <v>507</v>
      </c>
      <c r="K1220" t="str">
        <f>IFERROR(+VLOOKUP(Movimientos_2026[[#This Row],[Codigo]],Plan_cuentas[],6,FALSE)," ")</f>
        <v>2 - PR - Plan Rombo</v>
      </c>
      <c r="L1220" s="50"/>
      <c r="M1220" s="52">
        <v>52530294.200000003</v>
      </c>
      <c r="N1220" s="20">
        <f>+Movimientos_2026[[#This Row],[Ingresos]]-Movimientos_2026[[#This Row],[Egresos]]</f>
        <v>-52530294.200000003</v>
      </c>
      <c r="O1220" s="20">
        <f>+O1219+Movimientos_2026[[#This Row],[Neto]]</f>
        <v>5386269562.2604799</v>
      </c>
    </row>
    <row r="1221" spans="1:15" x14ac:dyDescent="0.25">
      <c r="A1221" s="13">
        <v>46122</v>
      </c>
      <c r="B1221" s="12">
        <f>MONTH(Movimientos_2026[[#This Row],[Fecha]])</f>
        <v>4</v>
      </c>
      <c r="C1221" s="12" t="str">
        <f>VLOOKUP((WEEKDAY(Movimientos_2026[[#This Row],[Fecha]],2)),'5. Setup'!$D$6:$E$12,2,FALSE)</f>
        <v>Vie</v>
      </c>
      <c r="D1221">
        <v>2054284</v>
      </c>
      <c r="E1221" t="str">
        <f>IFERROR(+VLOOKUP(Movimientos_2026[[#This Row],[Codigo]],Plan_cuentas[],2,FALSE)," ")</f>
        <v>EGRESOS</v>
      </c>
      <c r="F1221" t="str">
        <f>IFERROR(+VLOOKUP(Movimientos_2026[[#This Row],[Codigo]],Plan_cuentas[],3,FALSE)," ")</f>
        <v>VEP</v>
      </c>
      <c r="G1221" t="str">
        <f>IFERROR(+VLOOKUP(Movimientos_2026[[#This Row],[Codigo]],Plan_cuentas[],4,FALSE)," ")</f>
        <v>Rentas</v>
      </c>
      <c r="H1221" t="str">
        <f>IFERROR(+VLOOKUP(Movimientos_2026[[#This Row],[Codigo]],Plan_cuentas[],5,FALSE)," ")</f>
        <v>MENDOZA</v>
      </c>
      <c r="I1221" s="43">
        <v>46082</v>
      </c>
      <c r="J1221" t="s">
        <v>508</v>
      </c>
      <c r="K1221" t="str">
        <f>IFERROR(+VLOOKUP(Movimientos_2026[[#This Row],[Codigo]],Plan_cuentas[],6,FALSE)," ")</f>
        <v>4 - FCA - Fiat</v>
      </c>
      <c r="L1221" s="50"/>
      <c r="M1221" s="52">
        <v>152858200</v>
      </c>
      <c r="N1221" s="20">
        <f>+Movimientos_2026[[#This Row],[Ingresos]]-Movimientos_2026[[#This Row],[Egresos]]</f>
        <v>-152858200</v>
      </c>
      <c r="O1221" s="20">
        <f>+O1220+Movimientos_2026[[#This Row],[Neto]]</f>
        <v>5233411362.2604799</v>
      </c>
    </row>
    <row r="1222" spans="1:15" x14ac:dyDescent="0.25">
      <c r="A1222" s="13">
        <v>46122</v>
      </c>
      <c r="B1222" s="12">
        <f>MONTH(Movimientos_2026[[#This Row],[Fecha]])</f>
        <v>4</v>
      </c>
      <c r="C1222" s="12" t="str">
        <f>VLOOKUP((WEEKDAY(Movimientos_2026[[#This Row],[Fecha]],2)),'5. Setup'!$D$6:$E$12,2,FALSE)</f>
        <v>Vie</v>
      </c>
      <c r="D1222">
        <v>2054286</v>
      </c>
      <c r="E1222" t="str">
        <f>IFERROR(+VLOOKUP(Movimientos_2026[[#This Row],[Codigo]],Plan_cuentas[],2,FALSE)," ")</f>
        <v>EGRESOS</v>
      </c>
      <c r="F1222" t="str">
        <f>IFERROR(+VLOOKUP(Movimientos_2026[[#This Row],[Codigo]],Plan_cuentas[],3,FALSE)," ")</f>
        <v>VEP</v>
      </c>
      <c r="G1222" t="str">
        <f>IFERROR(+VLOOKUP(Movimientos_2026[[#This Row],[Codigo]],Plan_cuentas[],4,FALSE)," ")</f>
        <v>Rentas</v>
      </c>
      <c r="H1222" t="str">
        <f>IFERROR(+VLOOKUP(Movimientos_2026[[#This Row],[Codigo]],Plan_cuentas[],5,FALSE)," ")</f>
        <v>MENDOZA</v>
      </c>
      <c r="I1222" s="43">
        <v>46082</v>
      </c>
      <c r="J1222" t="s">
        <v>508</v>
      </c>
      <c r="K1222" t="str">
        <f>IFERROR(+VLOOKUP(Movimientos_2026[[#This Row],[Codigo]],Plan_cuentas[],6,FALSE)," ")</f>
        <v>6 - FCAtr - Fiat Transf.</v>
      </c>
      <c r="L1222" s="50"/>
      <c r="M1222" s="52">
        <v>2979768.66</v>
      </c>
      <c r="N1222" s="20">
        <f>+Movimientos_2026[[#This Row],[Ingresos]]-Movimientos_2026[[#This Row],[Egresos]]</f>
        <v>-2979768.66</v>
      </c>
      <c r="O1222" s="20">
        <f>+O1221+Movimientos_2026[[#This Row],[Neto]]</f>
        <v>5230431593.6004801</v>
      </c>
    </row>
    <row r="1223" spans="1:15" x14ac:dyDescent="0.25">
      <c r="A1223" s="13">
        <v>46122</v>
      </c>
      <c r="B1223" s="12">
        <f>MONTH(Movimientos_2026[[#This Row],[Fecha]])</f>
        <v>4</v>
      </c>
      <c r="C1223" s="12" t="str">
        <f>VLOOKUP((WEEKDAY(Movimientos_2026[[#This Row],[Fecha]],2)),'5. Setup'!$D$6:$E$12,2,FALSE)</f>
        <v>Vie</v>
      </c>
      <c r="D1223">
        <v>2054285</v>
      </c>
      <c r="E1223" t="str">
        <f>IFERROR(+VLOOKUP(Movimientos_2026[[#This Row],[Codigo]],Plan_cuentas[],2,FALSE)," ")</f>
        <v>EGRESOS</v>
      </c>
      <c r="F1223" t="str">
        <f>IFERROR(+VLOOKUP(Movimientos_2026[[#This Row],[Codigo]],Plan_cuentas[],3,FALSE)," ")</f>
        <v>VEP</v>
      </c>
      <c r="G1223" t="str">
        <f>IFERROR(+VLOOKUP(Movimientos_2026[[#This Row],[Codigo]],Plan_cuentas[],4,FALSE)," ")</f>
        <v>Rentas</v>
      </c>
      <c r="H1223" t="str">
        <f>IFERROR(+VLOOKUP(Movimientos_2026[[#This Row],[Codigo]],Plan_cuentas[],5,FALSE)," ")</f>
        <v>MENDOZA</v>
      </c>
      <c r="I1223" s="43">
        <v>46082</v>
      </c>
      <c r="J1223" t="s">
        <v>509</v>
      </c>
      <c r="K1223" t="str">
        <f>IFERROR(+VLOOKUP(Movimientos_2026[[#This Row],[Codigo]],Plan_cuentas[],6,FALSE)," ")</f>
        <v>5 - YAM - Yamaha</v>
      </c>
      <c r="L1223" s="50"/>
      <c r="M1223" s="52">
        <v>1280018</v>
      </c>
      <c r="N1223" s="20">
        <f>+Movimientos_2026[[#This Row],[Ingresos]]-Movimientos_2026[[#This Row],[Egresos]]</f>
        <v>-1280018</v>
      </c>
      <c r="O1223" s="20">
        <f>+O1222+Movimientos_2026[[#This Row],[Neto]]</f>
        <v>5229151575.6004801</v>
      </c>
    </row>
    <row r="1224" spans="1:15" x14ac:dyDescent="0.25">
      <c r="A1224" s="13">
        <v>46122</v>
      </c>
      <c r="B1224" s="12">
        <f>MONTH(Movimientos_2026[[#This Row],[Fecha]])</f>
        <v>4</v>
      </c>
      <c r="C1224" s="12" t="str">
        <f>VLOOKUP((WEEKDAY(Movimientos_2026[[#This Row],[Fecha]],2)),'5. Setup'!$D$6:$E$12,2,FALSE)</f>
        <v>Vie</v>
      </c>
      <c r="D1224">
        <v>1044482</v>
      </c>
      <c r="E1224" t="str">
        <f>IFERROR(+VLOOKUP(Movimientos_2026[[#This Row],[Codigo]],Plan_cuentas[],2,FALSE)," ")</f>
        <v>INGRESOS</v>
      </c>
      <c r="F1224" t="str">
        <f>IFERROR(+VLOOKUP(Movimientos_2026[[#This Row],[Codigo]],Plan_cuentas[],3,FALSE)," ")</f>
        <v>Transferencia</v>
      </c>
      <c r="G1224" t="str">
        <f>IFERROR(+VLOOKUP(Movimientos_2026[[#This Row],[Codigo]],Plan_cuentas[],4,FALSE)," ")</f>
        <v>Factura</v>
      </c>
      <c r="H1224" t="str">
        <f>IFERROR(+VLOOKUP(Movimientos_2026[[#This Row],[Codigo]],Plan_cuentas[],5,FALSE)," ")</f>
        <v>FC TRAMITACION</v>
      </c>
      <c r="I1224" s="43">
        <v>46082</v>
      </c>
      <c r="J1224" t="s">
        <v>510</v>
      </c>
      <c r="K1224" t="str">
        <f>IFERROR(+VLOOKUP(Movimientos_2026[[#This Row],[Codigo]],Plan_cuentas[],6,FALSE)," ")</f>
        <v>2 - PR - Plan Rombo</v>
      </c>
      <c r="L1224" s="50">
        <v>9040050.2699999996</v>
      </c>
      <c r="M1224" s="50"/>
      <c r="N1224" s="20">
        <f>+Movimientos_2026[[#This Row],[Ingresos]]-Movimientos_2026[[#This Row],[Egresos]]</f>
        <v>9040050.2699999996</v>
      </c>
      <c r="O1224" s="20">
        <f>+O1223+Movimientos_2026[[#This Row],[Neto]]</f>
        <v>5238191625.8704805</v>
      </c>
    </row>
    <row r="1225" spans="1:15" x14ac:dyDescent="0.25">
      <c r="A1225" s="13">
        <v>46122</v>
      </c>
      <c r="B1225" s="12">
        <f>MONTH(Movimientos_2026[[#This Row],[Fecha]])</f>
        <v>4</v>
      </c>
      <c r="C1225" s="12" t="str">
        <f>VLOOKUP((WEEKDAY(Movimientos_2026[[#This Row],[Fecha]],2)),'5. Setup'!$D$6:$E$12,2,FALSE)</f>
        <v>Vie</v>
      </c>
      <c r="D1225">
        <v>1044482</v>
      </c>
      <c r="E1225" t="str">
        <f>IFERROR(+VLOOKUP(Movimientos_2026[[#This Row],[Codigo]],Plan_cuentas[],2,FALSE)," ")</f>
        <v>INGRESOS</v>
      </c>
      <c r="F1225" t="str">
        <f>IFERROR(+VLOOKUP(Movimientos_2026[[#This Row],[Codigo]],Plan_cuentas[],3,FALSE)," ")</f>
        <v>Transferencia</v>
      </c>
      <c r="G1225" t="str">
        <f>IFERROR(+VLOOKUP(Movimientos_2026[[#This Row],[Codigo]],Plan_cuentas[],4,FALSE)," ")</f>
        <v>Factura</v>
      </c>
      <c r="H1225" t="str">
        <f>IFERROR(+VLOOKUP(Movimientos_2026[[#This Row],[Codigo]],Plan_cuentas[],5,FALSE)," ")</f>
        <v>FC TRAMITACION</v>
      </c>
      <c r="I1225" s="43">
        <v>46113</v>
      </c>
      <c r="J1225" t="s">
        <v>511</v>
      </c>
      <c r="K1225" t="str">
        <f>IFERROR(+VLOOKUP(Movimientos_2026[[#This Row],[Codigo]],Plan_cuentas[],6,FALSE)," ")</f>
        <v>2 - PR - Plan Rombo</v>
      </c>
      <c r="L1225" s="50">
        <v>9044711.5099999998</v>
      </c>
      <c r="M1225" s="50"/>
      <c r="N1225" s="20">
        <f>+Movimientos_2026[[#This Row],[Ingresos]]-Movimientos_2026[[#This Row],[Egresos]]</f>
        <v>9044711.5099999998</v>
      </c>
      <c r="O1225" s="20">
        <f>+O1224+Movimientos_2026[[#This Row],[Neto]]</f>
        <v>5247236337.3804808</v>
      </c>
    </row>
    <row r="1226" spans="1:15" x14ac:dyDescent="0.25">
      <c r="A1226" s="13">
        <v>46122</v>
      </c>
      <c r="B1226" s="12">
        <f>MONTH(Movimientos_2026[[#This Row],[Fecha]])</f>
        <v>4</v>
      </c>
      <c r="C1226" s="12" t="str">
        <f>VLOOKUP((WEEKDAY(Movimientos_2026[[#This Row],[Fecha]],2)),'5. Setup'!$D$6:$E$12,2,FALSE)</f>
        <v>Vie</v>
      </c>
      <c r="D1226">
        <v>1044122</v>
      </c>
      <c r="E1226" t="str">
        <f>IFERROR(+VLOOKUP(Movimientos_2026[[#This Row],[Codigo]],Plan_cuentas[],2,FALSE)," ")</f>
        <v>INGRESOS</v>
      </c>
      <c r="F1226" t="str">
        <f>IFERROR(+VLOOKUP(Movimientos_2026[[#This Row],[Codigo]],Plan_cuentas[],3,FALSE)," ")</f>
        <v>Transferencia</v>
      </c>
      <c r="G1226" t="str">
        <f>IFERROR(+VLOOKUP(Movimientos_2026[[#This Row],[Codigo]],Plan_cuentas[],4,FALSE)," ")</f>
        <v>Rentas</v>
      </c>
      <c r="H1226" t="str">
        <f>IFERROR(+VLOOKUP(Movimientos_2026[[#This Row],[Codigo]],Plan_cuentas[],5,FALSE)," ")</f>
        <v>BAPRO</v>
      </c>
      <c r="I1226" s="43">
        <v>46082</v>
      </c>
      <c r="J1226" t="s">
        <v>512</v>
      </c>
      <c r="K1226" t="str">
        <f>IFERROR(+VLOOKUP(Movimientos_2026[[#This Row],[Codigo]],Plan_cuentas[],6,FALSE)," ")</f>
        <v>2 - PR - Plan Rombo</v>
      </c>
      <c r="L1226" s="50">
        <v>95148803</v>
      </c>
      <c r="M1226" s="50"/>
      <c r="N1226" s="20">
        <f>+Movimientos_2026[[#This Row],[Ingresos]]-Movimientos_2026[[#This Row],[Egresos]]</f>
        <v>95148803</v>
      </c>
      <c r="O1226" s="20">
        <f>+O1225+Movimientos_2026[[#This Row],[Neto]]</f>
        <v>5342385140.3804808</v>
      </c>
    </row>
    <row r="1227" spans="1:15" x14ac:dyDescent="0.25">
      <c r="A1227" s="13">
        <v>46122</v>
      </c>
      <c r="B1227" s="12">
        <f>MONTH(Movimientos_2026[[#This Row],[Fecha]])</f>
        <v>4</v>
      </c>
      <c r="C1227" s="12" t="str">
        <f>VLOOKUP((WEEKDAY(Movimientos_2026[[#This Row],[Fecha]],2)),'5. Setup'!$D$6:$E$12,2,FALSE)</f>
        <v>Vie</v>
      </c>
      <c r="D1227">
        <v>1044122</v>
      </c>
      <c r="E1227" t="str">
        <f>IFERROR(+VLOOKUP(Movimientos_2026[[#This Row],[Codigo]],Plan_cuentas[],2,FALSE)," ")</f>
        <v>INGRESOS</v>
      </c>
      <c r="F1227" t="str">
        <f>IFERROR(+VLOOKUP(Movimientos_2026[[#This Row],[Codigo]],Plan_cuentas[],3,FALSE)," ")</f>
        <v>Transferencia</v>
      </c>
      <c r="G1227" t="str">
        <f>IFERROR(+VLOOKUP(Movimientos_2026[[#This Row],[Codigo]],Plan_cuentas[],4,FALSE)," ")</f>
        <v>Rentas</v>
      </c>
      <c r="H1227" t="str">
        <f>IFERROR(+VLOOKUP(Movimientos_2026[[#This Row],[Codigo]],Plan_cuentas[],5,FALSE)," ")</f>
        <v>BAPRO</v>
      </c>
      <c r="I1227" s="43">
        <v>46113</v>
      </c>
      <c r="J1227" t="s">
        <v>512</v>
      </c>
      <c r="K1227" t="str">
        <f>IFERROR(+VLOOKUP(Movimientos_2026[[#This Row],[Codigo]],Plan_cuentas[],6,FALSE)," ")</f>
        <v>2 - PR - Plan Rombo</v>
      </c>
      <c r="L1227" s="50">
        <v>95455828</v>
      </c>
      <c r="M1227" s="50"/>
      <c r="N1227" s="20">
        <f>+Movimientos_2026[[#This Row],[Ingresos]]-Movimientos_2026[[#This Row],[Egresos]]</f>
        <v>95455828</v>
      </c>
      <c r="O1227" s="20">
        <f>+O1226+Movimientos_2026[[#This Row],[Neto]]</f>
        <v>5437840968.3804808</v>
      </c>
    </row>
    <row r="1228" spans="1:15" x14ac:dyDescent="0.25">
      <c r="A1228" s="13">
        <v>46125</v>
      </c>
      <c r="B1228" s="12">
        <f>MONTH(Movimientos_2026[[#This Row],[Fecha]])</f>
        <v>4</v>
      </c>
      <c r="C1228" s="12" t="str">
        <f>VLOOKUP((WEEKDAY(Movimientos_2026[[#This Row],[Fecha]],2)),'5. Setup'!$D$6:$E$12,2,FALSE)</f>
        <v>Lun</v>
      </c>
      <c r="D1228">
        <v>2044342</v>
      </c>
      <c r="E1228" t="str">
        <f>IFERROR(+VLOOKUP(Movimientos_2026[[#This Row],[Codigo]],Plan_cuentas[],2,FALSE)," ")</f>
        <v>EGRESOS</v>
      </c>
      <c r="F1228" t="str">
        <f>IFERROR(+VLOOKUP(Movimientos_2026[[#This Row],[Codigo]],Plan_cuentas[],3,FALSE)," ")</f>
        <v>Transferencia</v>
      </c>
      <c r="G1228" t="str">
        <f>IFERROR(+VLOOKUP(Movimientos_2026[[#This Row],[Codigo]],Plan_cuentas[],4,FALSE)," ")</f>
        <v>Rentas</v>
      </c>
      <c r="H1228" t="str">
        <f>IFERROR(+VLOOKUP(Movimientos_2026[[#This Row],[Codigo]],Plan_cuentas[],5,FALSE)," ")</f>
        <v>RIO NEGRO</v>
      </c>
      <c r="I1228" s="43">
        <v>46082</v>
      </c>
      <c r="J1228" t="s">
        <v>503</v>
      </c>
      <c r="K1228" t="str">
        <f>IFERROR(+VLOOKUP(Movimientos_2026[[#This Row],[Codigo]],Plan_cuentas[],6,FALSE)," ")</f>
        <v>2 - PR - Plan Rombo</v>
      </c>
      <c r="L1228" s="50"/>
      <c r="M1228" s="52">
        <v>15558799</v>
      </c>
      <c r="N1228" s="20">
        <f>+Movimientos_2026[[#This Row],[Ingresos]]-Movimientos_2026[[#This Row],[Egresos]]</f>
        <v>-15558799</v>
      </c>
      <c r="O1228" s="20">
        <f>+O1227+Movimientos_2026[[#This Row],[Neto]]</f>
        <v>5422282169.3804808</v>
      </c>
    </row>
    <row r="1229" spans="1:15" x14ac:dyDescent="0.25">
      <c r="A1229" s="13">
        <v>46125</v>
      </c>
      <c r="B1229" s="12">
        <f>MONTH(Movimientos_2026[[#This Row],[Fecha]])</f>
        <v>4</v>
      </c>
      <c r="C1229" s="12" t="str">
        <f>VLOOKUP((WEEKDAY(Movimientos_2026[[#This Row],[Fecha]],2)),'5. Setup'!$D$6:$E$12,2,FALSE)</f>
        <v>Lun</v>
      </c>
      <c r="D1229">
        <v>2044344</v>
      </c>
      <c r="E1229" t="str">
        <f>IFERROR(+VLOOKUP(Movimientos_2026[[#This Row],[Codigo]],Plan_cuentas[],2,FALSE)," ")</f>
        <v>EGRESOS</v>
      </c>
      <c r="F1229" t="str">
        <f>IFERROR(+VLOOKUP(Movimientos_2026[[#This Row],[Codigo]],Plan_cuentas[],3,FALSE)," ")</f>
        <v>Transferencia</v>
      </c>
      <c r="G1229" t="str">
        <f>IFERROR(+VLOOKUP(Movimientos_2026[[#This Row],[Codigo]],Plan_cuentas[],4,FALSE)," ")</f>
        <v>Rentas</v>
      </c>
      <c r="H1229" t="str">
        <f>IFERROR(+VLOOKUP(Movimientos_2026[[#This Row],[Codigo]],Plan_cuentas[],5,FALSE)," ")</f>
        <v>RIO NEGRO</v>
      </c>
      <c r="I1229" s="43">
        <v>46082</v>
      </c>
      <c r="J1229" t="s">
        <v>513</v>
      </c>
      <c r="K1229" t="str">
        <f>IFERROR(+VLOOKUP(Movimientos_2026[[#This Row],[Codigo]],Plan_cuentas[],6,FALSE)," ")</f>
        <v>4 - FCA - Fiat</v>
      </c>
      <c r="L1229" s="50"/>
      <c r="M1229" s="52">
        <v>972500</v>
      </c>
      <c r="N1229" s="20">
        <f>+Movimientos_2026[[#This Row],[Ingresos]]-Movimientos_2026[[#This Row],[Egresos]]</f>
        <v>-972500</v>
      </c>
      <c r="O1229" s="20">
        <f>+O1228+Movimientos_2026[[#This Row],[Neto]]</f>
        <v>5421309669.3804808</v>
      </c>
    </row>
    <row r="1230" spans="1:15" x14ac:dyDescent="0.25">
      <c r="A1230" s="13">
        <v>46125</v>
      </c>
      <c r="B1230" s="12">
        <f>MONTH(Movimientos_2026[[#This Row],[Fecha]])</f>
        <v>4</v>
      </c>
      <c r="C1230" s="12" t="str">
        <f>VLOOKUP((WEEKDAY(Movimientos_2026[[#This Row],[Fecha]],2)),'5. Setup'!$D$6:$E$12,2,FALSE)</f>
        <v>Lun</v>
      </c>
      <c r="D1230">
        <v>2014162</v>
      </c>
      <c r="E1230" t="str">
        <f>IFERROR(+VLOOKUP(Movimientos_2026[[#This Row],[Codigo]],Plan_cuentas[],2,FALSE)," ")</f>
        <v>EGRESOS</v>
      </c>
      <c r="F1230" t="str">
        <f>IFERROR(+VLOOKUP(Movimientos_2026[[#This Row],[Codigo]],Plan_cuentas[],3,FALSE)," ")</f>
        <v>BtoB</v>
      </c>
      <c r="G1230" t="str">
        <f>IFERROR(+VLOOKUP(Movimientos_2026[[#This Row],[Codigo]],Plan_cuentas[],4,FALSE)," ")</f>
        <v>Rentas</v>
      </c>
      <c r="H1230" t="str">
        <f>IFERROR(+VLOOKUP(Movimientos_2026[[#This Row],[Codigo]],Plan_cuentas[],5,FALSE)," ")</f>
        <v>CHACO</v>
      </c>
      <c r="I1230" s="43">
        <v>46082</v>
      </c>
      <c r="J1230" t="s">
        <v>514</v>
      </c>
      <c r="K1230" t="str">
        <f>IFERROR(+VLOOKUP(Movimientos_2026[[#This Row],[Codigo]],Plan_cuentas[],6,FALSE)," ")</f>
        <v>2 - PR - Plan Rombo</v>
      </c>
      <c r="L1230" s="50"/>
      <c r="M1230" s="50">
        <v>3317441.39</v>
      </c>
      <c r="N1230" s="20">
        <f>+Movimientos_2026[[#This Row],[Ingresos]]-Movimientos_2026[[#This Row],[Egresos]]</f>
        <v>-3317441.39</v>
      </c>
      <c r="O1230" s="20">
        <f>+O1229+Movimientos_2026[[#This Row],[Neto]]</f>
        <v>5417992227.9904804</v>
      </c>
    </row>
    <row r="1231" spans="1:15" x14ac:dyDescent="0.25">
      <c r="A1231" s="13">
        <v>46125</v>
      </c>
      <c r="B1231" s="12">
        <f>MONTH(Movimientos_2026[[#This Row],[Fecha]])</f>
        <v>4</v>
      </c>
      <c r="C1231" s="12" t="str">
        <f>VLOOKUP((WEEKDAY(Movimientos_2026[[#This Row],[Fecha]],2)),'5. Setup'!$D$6:$E$12,2,FALSE)</f>
        <v>Lun</v>
      </c>
      <c r="D1231">
        <v>2014167</v>
      </c>
      <c r="E1231" t="str">
        <f>IFERROR(+VLOOKUP(Movimientos_2026[[#This Row],[Codigo]],Plan_cuentas[],2,FALSE)," ")</f>
        <v>EGRESOS</v>
      </c>
      <c r="F1231" t="str">
        <f>IFERROR(+VLOOKUP(Movimientos_2026[[#This Row],[Codigo]],Plan_cuentas[],3,FALSE)," ")</f>
        <v>BtoB</v>
      </c>
      <c r="G1231" t="str">
        <f>IFERROR(+VLOOKUP(Movimientos_2026[[#This Row],[Codigo]],Plan_cuentas[],4,FALSE)," ")</f>
        <v>Rentas</v>
      </c>
      <c r="H1231" t="str">
        <f>IFERROR(+VLOOKUP(Movimientos_2026[[#This Row],[Codigo]],Plan_cuentas[],5,FALSE)," ")</f>
        <v>CHACO</v>
      </c>
      <c r="I1231" s="43">
        <v>46082</v>
      </c>
      <c r="J1231" t="s">
        <v>514</v>
      </c>
      <c r="K1231" t="str">
        <f>IFERROR(+VLOOKUP(Movimientos_2026[[#This Row],[Codigo]],Plan_cuentas[],6,FALSE)," ")</f>
        <v>7 - PRtr - Plan Rombo Transf.</v>
      </c>
      <c r="L1231" s="50"/>
      <c r="M1231" s="50">
        <v>913078.39</v>
      </c>
      <c r="N1231" s="20">
        <f>+Movimientos_2026[[#This Row],[Ingresos]]-Movimientos_2026[[#This Row],[Egresos]]</f>
        <v>-913078.39</v>
      </c>
      <c r="O1231" s="20">
        <f>+O1230+Movimientos_2026[[#This Row],[Neto]]</f>
        <v>5417079149.6004801</v>
      </c>
    </row>
    <row r="1232" spans="1:15" x14ac:dyDescent="0.25">
      <c r="A1232" s="13">
        <v>46125</v>
      </c>
      <c r="B1232" s="12">
        <f>MONTH(Movimientos_2026[[#This Row],[Fecha]])</f>
        <v>4</v>
      </c>
      <c r="C1232" s="12" t="str">
        <f>VLOOKUP((WEEKDAY(Movimientos_2026[[#This Row],[Fecha]],2)),'5. Setup'!$D$6:$E$12,2,FALSE)</f>
        <v>Lun</v>
      </c>
      <c r="D1232">
        <v>2014165</v>
      </c>
      <c r="E1232" t="str">
        <f>IFERROR(+VLOOKUP(Movimientos_2026[[#This Row],[Codigo]],Plan_cuentas[],2,FALSE)," ")</f>
        <v>EGRESOS</v>
      </c>
      <c r="F1232" t="str">
        <f>IFERROR(+VLOOKUP(Movimientos_2026[[#This Row],[Codigo]],Plan_cuentas[],3,FALSE)," ")</f>
        <v>BtoB</v>
      </c>
      <c r="G1232" t="str">
        <f>IFERROR(+VLOOKUP(Movimientos_2026[[#This Row],[Codigo]],Plan_cuentas[],4,FALSE)," ")</f>
        <v>Rentas</v>
      </c>
      <c r="H1232" t="str">
        <f>IFERROR(+VLOOKUP(Movimientos_2026[[#This Row],[Codigo]],Plan_cuentas[],5,FALSE)," ")</f>
        <v>CHACO</v>
      </c>
      <c r="I1232" s="43">
        <v>46082</v>
      </c>
      <c r="J1232" t="s">
        <v>515</v>
      </c>
      <c r="K1232" t="str">
        <f>IFERROR(+VLOOKUP(Movimientos_2026[[#This Row],[Codigo]],Plan_cuentas[],6,FALSE)," ")</f>
        <v>5 - YAM - Yamaha</v>
      </c>
      <c r="L1232" s="50"/>
      <c r="M1232" s="50">
        <v>1759487.57</v>
      </c>
      <c r="N1232" s="20">
        <f>+Movimientos_2026[[#This Row],[Ingresos]]-Movimientos_2026[[#This Row],[Egresos]]</f>
        <v>-1759487.57</v>
      </c>
      <c r="O1232" s="20">
        <f>+O1231+Movimientos_2026[[#This Row],[Neto]]</f>
        <v>5415319662.0304804</v>
      </c>
    </row>
    <row r="1233" spans="1:15" x14ac:dyDescent="0.25">
      <c r="A1233" s="13">
        <v>46125</v>
      </c>
      <c r="B1233" s="12">
        <f>MONTH(Movimientos_2026[[#This Row],[Fecha]])</f>
        <v>4</v>
      </c>
      <c r="C1233" s="12" t="str">
        <f>VLOOKUP((WEEKDAY(Movimientos_2026[[#This Row],[Fecha]],2)),'5. Setup'!$D$6:$E$12,2,FALSE)</f>
        <v>Lun</v>
      </c>
      <c r="D1233">
        <v>2044405</v>
      </c>
      <c r="E1233" t="str">
        <f>IFERROR(+VLOOKUP(Movimientos_2026[[#This Row],[Codigo]],Plan_cuentas[],2,FALSE)," ")</f>
        <v>EGRESOS</v>
      </c>
      <c r="F1233" t="str">
        <f>IFERROR(+VLOOKUP(Movimientos_2026[[#This Row],[Codigo]],Plan_cuentas[],3,FALSE)," ")</f>
        <v>Transferencia</v>
      </c>
      <c r="G1233" t="str">
        <f>IFERROR(+VLOOKUP(Movimientos_2026[[#This Row],[Codigo]],Plan_cuentas[],4,FALSE)," ")</f>
        <v>Rentas</v>
      </c>
      <c r="H1233" t="str">
        <f>IFERROR(+VLOOKUP(Movimientos_2026[[#This Row],[Codigo]],Plan_cuentas[],5,FALSE)," ")</f>
        <v>SANTIAGO DEL ESTERO</v>
      </c>
      <c r="I1233" s="43">
        <v>46082</v>
      </c>
      <c r="J1233" t="s">
        <v>516</v>
      </c>
      <c r="K1233" t="str">
        <f>IFERROR(+VLOOKUP(Movimientos_2026[[#This Row],[Codigo]],Plan_cuentas[],6,FALSE)," ")</f>
        <v>5 - YAM - Yamaha</v>
      </c>
      <c r="L1233" s="50"/>
      <c r="M1233" s="50">
        <v>479070.7</v>
      </c>
      <c r="N1233" s="20">
        <f>+Movimientos_2026[[#This Row],[Ingresos]]-Movimientos_2026[[#This Row],[Egresos]]</f>
        <v>-479070.7</v>
      </c>
      <c r="O1233" s="20">
        <f>+O1232+Movimientos_2026[[#This Row],[Neto]]</f>
        <v>5414840591.3304806</v>
      </c>
    </row>
    <row r="1234" spans="1:15" x14ac:dyDescent="0.25">
      <c r="A1234" s="13">
        <v>46125</v>
      </c>
      <c r="B1234" s="12">
        <f>MONTH(Movimientos_2026[[#This Row],[Fecha]])</f>
        <v>4</v>
      </c>
      <c r="C1234" s="12" t="str">
        <f>VLOOKUP((WEEKDAY(Movimientos_2026[[#This Row],[Fecha]],2)),'5. Setup'!$D$6:$E$12,2,FALSE)</f>
        <v>Lun</v>
      </c>
      <c r="D1234">
        <v>1044212</v>
      </c>
      <c r="E1234" t="str">
        <f>IFERROR(+VLOOKUP(Movimientos_2026[[#This Row],[Codigo]],Plan_cuentas[],2,FALSE)," ")</f>
        <v>INGRESOS</v>
      </c>
      <c r="F1234" t="str">
        <f>IFERROR(+VLOOKUP(Movimientos_2026[[#This Row],[Codigo]],Plan_cuentas[],3,FALSE)," ")</f>
        <v>Transferencia</v>
      </c>
      <c r="G1234" t="str">
        <f>IFERROR(+VLOOKUP(Movimientos_2026[[#This Row],[Codigo]],Plan_cuentas[],4,FALSE)," ")</f>
        <v>Rentas</v>
      </c>
      <c r="H1234" t="str">
        <f>IFERROR(+VLOOKUP(Movimientos_2026[[#This Row],[Codigo]],Plan_cuentas[],5,FALSE)," ")</f>
        <v>CORRIENTES 2° Q</v>
      </c>
      <c r="I1234" s="43">
        <v>46082</v>
      </c>
      <c r="J1234" t="s">
        <v>517</v>
      </c>
      <c r="K1234" t="str">
        <f>IFERROR(+VLOOKUP(Movimientos_2026[[#This Row],[Codigo]],Plan_cuentas[],6,FALSE)," ")</f>
        <v>2 - PR - Plan Rombo</v>
      </c>
      <c r="L1234" s="50">
        <v>38324733.939999998</v>
      </c>
      <c r="M1234" s="52"/>
      <c r="N1234" s="20">
        <f>+Movimientos_2026[[#This Row],[Ingresos]]-Movimientos_2026[[#This Row],[Egresos]]</f>
        <v>38324733.939999998</v>
      </c>
      <c r="O1234" s="20">
        <f>+O1233+Movimientos_2026[[#This Row],[Neto]]</f>
        <v>5453165325.2704802</v>
      </c>
    </row>
    <row r="1235" spans="1:15" x14ac:dyDescent="0.25">
      <c r="A1235" s="13">
        <v>46125</v>
      </c>
      <c r="B1235" s="12">
        <f>MONTH(Movimientos_2026[[#This Row],[Fecha]])</f>
        <v>4</v>
      </c>
      <c r="C1235" s="12" t="str">
        <f>VLOOKUP((WEEKDAY(Movimientos_2026[[#This Row],[Fecha]],2)),'5. Setup'!$D$6:$E$12,2,FALSE)</f>
        <v>Lun</v>
      </c>
      <c r="D1235">
        <v>1044462</v>
      </c>
      <c r="E1235" t="str">
        <f>IFERROR(+VLOOKUP(Movimientos_2026[[#This Row],[Codigo]],Plan_cuentas[],2,FALSE)," ")</f>
        <v>INGRESOS</v>
      </c>
      <c r="F1235" t="str">
        <f>IFERROR(+VLOOKUP(Movimientos_2026[[#This Row],[Codigo]],Plan_cuentas[],3,FALSE)," ")</f>
        <v>Transferencia</v>
      </c>
      <c r="G1235" t="str">
        <f>IFERROR(+VLOOKUP(Movimientos_2026[[#This Row],[Codigo]],Plan_cuentas[],4,FALSE)," ")</f>
        <v>Rentas</v>
      </c>
      <c r="H1235" t="str">
        <f>IFERROR(+VLOOKUP(Movimientos_2026[[#This Row],[Codigo]],Plan_cuentas[],5,FALSE)," ")</f>
        <v>MISIONES</v>
      </c>
      <c r="I1235" s="43">
        <v>46082</v>
      </c>
      <c r="J1235" t="s">
        <v>517</v>
      </c>
      <c r="K1235" t="str">
        <f>IFERROR(+VLOOKUP(Movimientos_2026[[#This Row],[Codigo]],Plan_cuentas[],6,FALSE)," ")</f>
        <v>2 - PR - Plan Rombo</v>
      </c>
      <c r="L1235" s="50">
        <v>1348357.04</v>
      </c>
      <c r="M1235" s="52"/>
      <c r="N1235" s="20">
        <f>+Movimientos_2026[[#This Row],[Ingresos]]-Movimientos_2026[[#This Row],[Egresos]]</f>
        <v>1348357.04</v>
      </c>
      <c r="O1235" s="20">
        <f>+O1234+Movimientos_2026[[#This Row],[Neto]]</f>
        <v>5454513682.3104801</v>
      </c>
    </row>
    <row r="1236" spans="1:15" x14ac:dyDescent="0.25">
      <c r="A1236" s="13">
        <v>46125</v>
      </c>
      <c r="B1236" s="12">
        <f>MONTH(Movimientos_2026[[#This Row],[Fecha]])</f>
        <v>4</v>
      </c>
      <c r="C1236" s="12" t="str">
        <f>VLOOKUP((WEEKDAY(Movimientos_2026[[#This Row],[Fecha]],2)),'5. Setup'!$D$6:$E$12,2,FALSE)</f>
        <v>Lun</v>
      </c>
      <c r="D1236">
        <v>1044322</v>
      </c>
      <c r="E1236" t="str">
        <f>IFERROR(+VLOOKUP(Movimientos_2026[[#This Row],[Codigo]],Plan_cuentas[],2,FALSE)," ")</f>
        <v>INGRESOS</v>
      </c>
      <c r="F1236" t="str">
        <f>IFERROR(+VLOOKUP(Movimientos_2026[[#This Row],[Codigo]],Plan_cuentas[],3,FALSE)," ")</f>
        <v>Transferencia</v>
      </c>
      <c r="G1236" t="str">
        <f>IFERROR(+VLOOKUP(Movimientos_2026[[#This Row],[Codigo]],Plan_cuentas[],4,FALSE)," ")</f>
        <v>Rentas</v>
      </c>
      <c r="H1236" t="str">
        <f>IFERROR(+VLOOKUP(Movimientos_2026[[#This Row],[Codigo]],Plan_cuentas[],5,FALSE)," ")</f>
        <v>NEUQUEN 2° Q</v>
      </c>
      <c r="I1236" s="43">
        <v>46082</v>
      </c>
      <c r="J1236" t="s">
        <v>517</v>
      </c>
      <c r="K1236" t="str">
        <f>IFERROR(+VLOOKUP(Movimientos_2026[[#This Row],[Codigo]],Plan_cuentas[],6,FALSE)," ")</f>
        <v>2 - PR - Plan Rombo</v>
      </c>
      <c r="L1236" s="50">
        <v>24936400</v>
      </c>
      <c r="M1236" s="52"/>
      <c r="N1236" s="20">
        <f>+Movimientos_2026[[#This Row],[Ingresos]]-Movimientos_2026[[#This Row],[Egresos]]</f>
        <v>24936400</v>
      </c>
      <c r="O1236" s="20">
        <f>+O1235+Movimientos_2026[[#This Row],[Neto]]</f>
        <v>5479450082.3104801</v>
      </c>
    </row>
    <row r="1237" spans="1:15" x14ac:dyDescent="0.25">
      <c r="A1237" s="13">
        <v>46125</v>
      </c>
      <c r="B1237" s="12">
        <f>MONTH(Movimientos_2026[[#This Row],[Fecha]])</f>
        <v>4</v>
      </c>
      <c r="C1237" s="12" t="str">
        <f>VLOOKUP((WEEKDAY(Movimientos_2026[[#This Row],[Fecha]],2)),'5. Setup'!$D$6:$E$12,2,FALSE)</f>
        <v>Lun</v>
      </c>
      <c r="D1237">
        <v>1044162</v>
      </c>
      <c r="E1237" t="str">
        <f>IFERROR(+VLOOKUP(Movimientos_2026[[#This Row],[Codigo]],Plan_cuentas[],2,FALSE)," ")</f>
        <v>INGRESOS</v>
      </c>
      <c r="F1237" t="str">
        <f>IFERROR(+VLOOKUP(Movimientos_2026[[#This Row],[Codigo]],Plan_cuentas[],3,FALSE)," ")</f>
        <v>Transferencia</v>
      </c>
      <c r="G1237" t="str">
        <f>IFERROR(+VLOOKUP(Movimientos_2026[[#This Row],[Codigo]],Plan_cuentas[],4,FALSE)," ")</f>
        <v>Rentas</v>
      </c>
      <c r="H1237" t="str">
        <f>IFERROR(+VLOOKUP(Movimientos_2026[[#This Row],[Codigo]],Plan_cuentas[],5,FALSE)," ")</f>
        <v>CHACO</v>
      </c>
      <c r="I1237" s="43">
        <v>46082</v>
      </c>
      <c r="J1237" t="s">
        <v>517</v>
      </c>
      <c r="K1237" t="str">
        <f>IFERROR(+VLOOKUP(Movimientos_2026[[#This Row],[Codigo]],Plan_cuentas[],6,FALSE)," ")</f>
        <v>2 - PR - Plan Rombo</v>
      </c>
      <c r="L1237" s="50">
        <v>3317441.39</v>
      </c>
      <c r="M1237" s="52"/>
      <c r="N1237" s="20">
        <f>+Movimientos_2026[[#This Row],[Ingresos]]-Movimientos_2026[[#This Row],[Egresos]]</f>
        <v>3317441.39</v>
      </c>
      <c r="O1237" s="20">
        <f>+O1236+Movimientos_2026[[#This Row],[Neto]]</f>
        <v>5482767523.7004805</v>
      </c>
    </row>
    <row r="1238" spans="1:15" x14ac:dyDescent="0.25">
      <c r="A1238" s="13">
        <v>46125</v>
      </c>
      <c r="B1238" s="12">
        <f>MONTH(Movimientos_2026[[#This Row],[Fecha]])</f>
        <v>4</v>
      </c>
      <c r="C1238" s="12" t="str">
        <f>VLOOKUP((WEEKDAY(Movimientos_2026[[#This Row],[Fecha]],2)),'5. Setup'!$D$6:$E$12,2,FALSE)</f>
        <v>Lun</v>
      </c>
      <c r="D1238">
        <v>1044262</v>
      </c>
      <c r="E1238" t="str">
        <f>IFERROR(+VLOOKUP(Movimientos_2026[[#This Row],[Codigo]],Plan_cuentas[],2,FALSE)," ")</f>
        <v>INGRESOS</v>
      </c>
      <c r="F1238" t="str">
        <f>IFERROR(+VLOOKUP(Movimientos_2026[[#This Row],[Codigo]],Plan_cuentas[],3,FALSE)," ")</f>
        <v>Transferencia</v>
      </c>
      <c r="G1238" t="str">
        <f>IFERROR(+VLOOKUP(Movimientos_2026[[#This Row],[Codigo]],Plan_cuentas[],4,FALSE)," ")</f>
        <v>Rentas</v>
      </c>
      <c r="H1238" t="str">
        <f>IFERROR(+VLOOKUP(Movimientos_2026[[#This Row],[Codigo]],Plan_cuentas[],5,FALSE)," ")</f>
        <v>LA PAMPA</v>
      </c>
      <c r="I1238" s="43">
        <v>46082</v>
      </c>
      <c r="J1238" t="s">
        <v>517</v>
      </c>
      <c r="K1238" t="str">
        <f>IFERROR(+VLOOKUP(Movimientos_2026[[#This Row],[Codigo]],Plan_cuentas[],6,FALSE)," ")</f>
        <v>2 - PR - Plan Rombo</v>
      </c>
      <c r="L1238" s="50">
        <v>8689950</v>
      </c>
      <c r="M1238" s="50"/>
      <c r="N1238" s="20">
        <f>+Movimientos_2026[[#This Row],[Ingresos]]-Movimientos_2026[[#This Row],[Egresos]]</f>
        <v>8689950</v>
      </c>
      <c r="O1238" s="20">
        <f>+O1237+Movimientos_2026[[#This Row],[Neto]]</f>
        <v>5491457473.7004805</v>
      </c>
    </row>
    <row r="1239" spans="1:15" x14ac:dyDescent="0.25">
      <c r="A1239" s="13">
        <v>46125</v>
      </c>
      <c r="B1239" s="12">
        <f>MONTH(Movimientos_2026[[#This Row],[Fecha]])</f>
        <v>4</v>
      </c>
      <c r="C1239" s="12" t="str">
        <f>VLOOKUP((WEEKDAY(Movimientos_2026[[#This Row],[Fecha]],2)),'5. Setup'!$D$6:$E$12,2,FALSE)</f>
        <v>Lun</v>
      </c>
      <c r="D1239">
        <v>1044272</v>
      </c>
      <c r="E1239" t="str">
        <f>IFERROR(+VLOOKUP(Movimientos_2026[[#This Row],[Codigo]],Plan_cuentas[],2,FALSE)," ")</f>
        <v>INGRESOS</v>
      </c>
      <c r="F1239" t="str">
        <f>IFERROR(+VLOOKUP(Movimientos_2026[[#This Row],[Codigo]],Plan_cuentas[],3,FALSE)," ")</f>
        <v>Transferencia</v>
      </c>
      <c r="G1239" t="str">
        <f>IFERROR(+VLOOKUP(Movimientos_2026[[#This Row],[Codigo]],Plan_cuentas[],4,FALSE)," ")</f>
        <v>Rentas</v>
      </c>
      <c r="H1239" t="str">
        <f>IFERROR(+VLOOKUP(Movimientos_2026[[#This Row],[Codigo]],Plan_cuentas[],5,FALSE)," ")</f>
        <v>LA RIOJA</v>
      </c>
      <c r="I1239" s="43">
        <v>46082</v>
      </c>
      <c r="J1239" t="s">
        <v>517</v>
      </c>
      <c r="K1239" t="str">
        <f>IFERROR(+VLOOKUP(Movimientos_2026[[#This Row],[Codigo]],Plan_cuentas[],6,FALSE)," ")</f>
        <v>2 - PR - Plan Rombo</v>
      </c>
      <c r="L1239" s="50">
        <v>4399127.8600000003</v>
      </c>
      <c r="M1239" s="50"/>
      <c r="N1239" s="20">
        <f>+Movimientos_2026[[#This Row],[Ingresos]]-Movimientos_2026[[#This Row],[Egresos]]</f>
        <v>4399127.8600000003</v>
      </c>
      <c r="O1239" s="20">
        <f>+O1238+Movimientos_2026[[#This Row],[Neto]]</f>
        <v>5495856601.5604801</v>
      </c>
    </row>
    <row r="1240" spans="1:15" x14ac:dyDescent="0.25">
      <c r="A1240" s="13">
        <v>46125</v>
      </c>
      <c r="B1240" s="12">
        <f>MONTH(Movimientos_2026[[#This Row],[Fecha]])</f>
        <v>4</v>
      </c>
      <c r="C1240" s="12" t="str">
        <f>VLOOKUP((WEEKDAY(Movimientos_2026[[#This Row],[Fecha]],2)),'5. Setup'!$D$6:$E$12,2,FALSE)</f>
        <v>Lun</v>
      </c>
      <c r="D1240">
        <v>1044282</v>
      </c>
      <c r="E1240" t="str">
        <f>IFERROR(+VLOOKUP(Movimientos_2026[[#This Row],[Codigo]],Plan_cuentas[],2,FALSE)," ")</f>
        <v>INGRESOS</v>
      </c>
      <c r="F1240" t="str">
        <f>IFERROR(+VLOOKUP(Movimientos_2026[[#This Row],[Codigo]],Plan_cuentas[],3,FALSE)," ")</f>
        <v>Transferencia</v>
      </c>
      <c r="G1240" t="str">
        <f>IFERROR(+VLOOKUP(Movimientos_2026[[#This Row],[Codigo]],Plan_cuentas[],4,FALSE)," ")</f>
        <v>Rentas</v>
      </c>
      <c r="H1240" t="str">
        <f>IFERROR(+VLOOKUP(Movimientos_2026[[#This Row],[Codigo]],Plan_cuentas[],5,FALSE)," ")</f>
        <v>MENDOZA</v>
      </c>
      <c r="I1240" s="43">
        <v>46082</v>
      </c>
      <c r="J1240" t="s">
        <v>517</v>
      </c>
      <c r="K1240" t="str">
        <f>IFERROR(+VLOOKUP(Movimientos_2026[[#This Row],[Codigo]],Plan_cuentas[],6,FALSE)," ")</f>
        <v>2 - PR - Plan Rombo</v>
      </c>
      <c r="L1240" s="50">
        <v>52530294.200000003</v>
      </c>
      <c r="M1240" s="50"/>
      <c r="N1240" s="20">
        <f>+Movimientos_2026[[#This Row],[Ingresos]]-Movimientos_2026[[#This Row],[Egresos]]</f>
        <v>52530294.200000003</v>
      </c>
      <c r="O1240" s="20">
        <f>+O1239+Movimientos_2026[[#This Row],[Neto]]</f>
        <v>5548386895.7604799</v>
      </c>
    </row>
    <row r="1241" spans="1:15" x14ac:dyDescent="0.25">
      <c r="A1241" s="13">
        <v>46125</v>
      </c>
      <c r="B1241" s="12">
        <f>MONTH(Movimientos_2026[[#This Row],[Fecha]])</f>
        <v>4</v>
      </c>
      <c r="C1241" s="12" t="str">
        <f>VLOOKUP((WEEKDAY(Movimientos_2026[[#This Row],[Fecha]],2)),'5. Setup'!$D$6:$E$12,2,FALSE)</f>
        <v>Lun</v>
      </c>
      <c r="D1241">
        <v>1044342</v>
      </c>
      <c r="E1241" t="str">
        <f>IFERROR(+VLOOKUP(Movimientos_2026[[#This Row],[Codigo]],Plan_cuentas[],2,FALSE)," ")</f>
        <v>INGRESOS</v>
      </c>
      <c r="F1241" t="str">
        <f>IFERROR(+VLOOKUP(Movimientos_2026[[#This Row],[Codigo]],Plan_cuentas[],3,FALSE)," ")</f>
        <v>Transferencia</v>
      </c>
      <c r="G1241" t="str">
        <f>IFERROR(+VLOOKUP(Movimientos_2026[[#This Row],[Codigo]],Plan_cuentas[],4,FALSE)," ")</f>
        <v>Rentas</v>
      </c>
      <c r="H1241" t="str">
        <f>IFERROR(+VLOOKUP(Movimientos_2026[[#This Row],[Codigo]],Plan_cuentas[],5,FALSE)," ")</f>
        <v>RIO NEGRO</v>
      </c>
      <c r="I1241" s="43">
        <v>46082</v>
      </c>
      <c r="J1241" t="s">
        <v>517</v>
      </c>
      <c r="K1241" t="str">
        <f>IFERROR(+VLOOKUP(Movimientos_2026[[#This Row],[Codigo]],Plan_cuentas[],6,FALSE)," ")</f>
        <v>2 - PR - Plan Rombo</v>
      </c>
      <c r="L1241" s="50">
        <v>15558798.84</v>
      </c>
      <c r="M1241" s="50"/>
      <c r="N1241" s="20">
        <f>+Movimientos_2026[[#This Row],[Ingresos]]-Movimientos_2026[[#This Row],[Egresos]]</f>
        <v>15558798.84</v>
      </c>
      <c r="O1241" s="20">
        <f>+O1240+Movimientos_2026[[#This Row],[Neto]]</f>
        <v>5563945694.6004801</v>
      </c>
    </row>
    <row r="1242" spans="1:15" x14ac:dyDescent="0.25">
      <c r="A1242" s="13">
        <v>46125</v>
      </c>
      <c r="B1242" s="12">
        <f>MONTH(Movimientos_2026[[#This Row],[Fecha]])</f>
        <v>4</v>
      </c>
      <c r="C1242" s="12" t="str">
        <f>VLOOKUP((WEEKDAY(Movimientos_2026[[#This Row],[Fecha]],2)),'5. Setup'!$D$6:$E$12,2,FALSE)</f>
        <v>Lun</v>
      </c>
      <c r="D1242">
        <v>1044352</v>
      </c>
      <c r="E1242" t="str">
        <f>IFERROR(+VLOOKUP(Movimientos_2026[[#This Row],[Codigo]],Plan_cuentas[],2,FALSE)," ")</f>
        <v>INGRESOS</v>
      </c>
      <c r="F1242" t="str">
        <f>IFERROR(+VLOOKUP(Movimientos_2026[[#This Row],[Codigo]],Plan_cuentas[],3,FALSE)," ")</f>
        <v>Transferencia</v>
      </c>
      <c r="G1242" t="str">
        <f>IFERROR(+VLOOKUP(Movimientos_2026[[#This Row],[Codigo]],Plan_cuentas[],4,FALSE)," ")</f>
        <v>Rentas</v>
      </c>
      <c r="H1242" t="str">
        <f>IFERROR(+VLOOKUP(Movimientos_2026[[#This Row],[Codigo]],Plan_cuentas[],5,FALSE)," ")</f>
        <v>SAN JUAN</v>
      </c>
      <c r="I1242" s="43">
        <v>46082</v>
      </c>
      <c r="J1242" t="s">
        <v>517</v>
      </c>
      <c r="K1242" t="str">
        <f>IFERROR(+VLOOKUP(Movimientos_2026[[#This Row],[Codigo]],Plan_cuentas[],6,FALSE)," ")</f>
        <v>2 - PR - Plan Rombo</v>
      </c>
      <c r="L1242" s="50">
        <v>6316103.4400000004</v>
      </c>
      <c r="M1242" s="50"/>
      <c r="N1242" s="20">
        <f>+Movimientos_2026[[#This Row],[Ingresos]]-Movimientos_2026[[#This Row],[Egresos]]</f>
        <v>6316103.4400000004</v>
      </c>
      <c r="O1242" s="20">
        <f>+O1241+Movimientos_2026[[#This Row],[Neto]]</f>
        <v>5570261798.0404797</v>
      </c>
    </row>
    <row r="1243" spans="1:15" x14ac:dyDescent="0.25">
      <c r="A1243" s="13">
        <v>46125</v>
      </c>
      <c r="B1243" s="12">
        <f>MONTH(Movimientos_2026[[#This Row],[Fecha]])</f>
        <v>4</v>
      </c>
      <c r="C1243" s="12" t="str">
        <f>VLOOKUP((WEEKDAY(Movimientos_2026[[#This Row],[Fecha]],2)),'5. Setup'!$D$6:$E$12,2,FALSE)</f>
        <v>Lun</v>
      </c>
      <c r="D1243">
        <v>1044362</v>
      </c>
      <c r="E1243" t="str">
        <f>IFERROR(+VLOOKUP(Movimientos_2026[[#This Row],[Codigo]],Plan_cuentas[],2,FALSE)," ")</f>
        <v>INGRESOS</v>
      </c>
      <c r="F1243" t="str">
        <f>IFERROR(+VLOOKUP(Movimientos_2026[[#This Row],[Codigo]],Plan_cuentas[],3,FALSE)," ")</f>
        <v>Transferencia</v>
      </c>
      <c r="G1243" t="str">
        <f>IFERROR(+VLOOKUP(Movimientos_2026[[#This Row],[Codigo]],Plan_cuentas[],4,FALSE)," ")</f>
        <v>Rentas</v>
      </c>
      <c r="H1243" t="str">
        <f>IFERROR(+VLOOKUP(Movimientos_2026[[#This Row],[Codigo]],Plan_cuentas[],5,FALSE)," ")</f>
        <v>SAN LUIS</v>
      </c>
      <c r="I1243" s="43">
        <v>46082</v>
      </c>
      <c r="J1243" t="s">
        <v>517</v>
      </c>
      <c r="K1243" t="str">
        <f>IFERROR(+VLOOKUP(Movimientos_2026[[#This Row],[Codigo]],Plan_cuentas[],6,FALSE)," ")</f>
        <v>2 - PR - Plan Rombo</v>
      </c>
      <c r="L1243" s="50">
        <v>6759142.6799999997</v>
      </c>
      <c r="M1243" s="50"/>
      <c r="N1243" s="20">
        <f>+Movimientos_2026[[#This Row],[Ingresos]]-Movimientos_2026[[#This Row],[Egresos]]</f>
        <v>6759142.6799999997</v>
      </c>
      <c r="O1243" s="20">
        <f>+O1242+Movimientos_2026[[#This Row],[Neto]]</f>
        <v>5577020940.72048</v>
      </c>
    </row>
    <row r="1244" spans="1:15" x14ac:dyDescent="0.25">
      <c r="A1244" s="13">
        <v>46125</v>
      </c>
      <c r="B1244" s="12">
        <f>MONTH(Movimientos_2026[[#This Row],[Fecha]])</f>
        <v>4</v>
      </c>
      <c r="C1244" s="12" t="str">
        <f>VLOOKUP((WEEKDAY(Movimientos_2026[[#This Row],[Fecha]],2)),'5. Setup'!$D$6:$E$12,2,FALSE)</f>
        <v>Lun</v>
      </c>
      <c r="D1244">
        <v>1044372</v>
      </c>
      <c r="E1244" t="str">
        <f>IFERROR(+VLOOKUP(Movimientos_2026[[#This Row],[Codigo]],Plan_cuentas[],2,FALSE)," ")</f>
        <v>INGRESOS</v>
      </c>
      <c r="F1244" t="str">
        <f>IFERROR(+VLOOKUP(Movimientos_2026[[#This Row],[Codigo]],Plan_cuentas[],3,FALSE)," ")</f>
        <v>Transferencia</v>
      </c>
      <c r="G1244" t="str">
        <f>IFERROR(+VLOOKUP(Movimientos_2026[[#This Row],[Codigo]],Plan_cuentas[],4,FALSE)," ")</f>
        <v>Rentas</v>
      </c>
      <c r="H1244" t="str">
        <f>IFERROR(+VLOOKUP(Movimientos_2026[[#This Row],[Codigo]],Plan_cuentas[],5,FALSE)," ")</f>
        <v>SANTA CRUZ</v>
      </c>
      <c r="I1244" s="43">
        <v>46082</v>
      </c>
      <c r="J1244" t="s">
        <v>517</v>
      </c>
      <c r="K1244" t="str">
        <f>IFERROR(+VLOOKUP(Movimientos_2026[[#This Row],[Codigo]],Plan_cuentas[],6,FALSE)," ")</f>
        <v>2 - PR - Plan Rombo</v>
      </c>
      <c r="L1244" s="50">
        <v>53223072.969999999</v>
      </c>
      <c r="M1244" s="50"/>
      <c r="N1244" s="20">
        <f>+Movimientos_2026[[#This Row],[Ingresos]]-Movimientos_2026[[#This Row],[Egresos]]</f>
        <v>53223072.969999999</v>
      </c>
      <c r="O1244" s="20">
        <f>+O1243+Movimientos_2026[[#This Row],[Neto]]</f>
        <v>5630244013.6904802</v>
      </c>
    </row>
    <row r="1245" spans="1:15" x14ac:dyDescent="0.25">
      <c r="A1245" s="13">
        <v>46125</v>
      </c>
      <c r="B1245" s="12">
        <f>MONTH(Movimientos_2026[[#This Row],[Fecha]])</f>
        <v>4</v>
      </c>
      <c r="C1245" s="12" t="str">
        <f>VLOOKUP((WEEKDAY(Movimientos_2026[[#This Row],[Fecha]],2)),'5. Setup'!$D$6:$E$12,2,FALSE)</f>
        <v>Lun</v>
      </c>
      <c r="D1245">
        <v>1044402</v>
      </c>
      <c r="E1245" t="str">
        <f>IFERROR(+VLOOKUP(Movimientos_2026[[#This Row],[Codigo]],Plan_cuentas[],2,FALSE)," ")</f>
        <v>INGRESOS</v>
      </c>
      <c r="F1245" t="str">
        <f>IFERROR(+VLOOKUP(Movimientos_2026[[#This Row],[Codigo]],Plan_cuentas[],3,FALSE)," ")</f>
        <v>Transferencia</v>
      </c>
      <c r="G1245" t="str">
        <f>IFERROR(+VLOOKUP(Movimientos_2026[[#This Row],[Codigo]],Plan_cuentas[],4,FALSE)," ")</f>
        <v>Rentas</v>
      </c>
      <c r="H1245" t="str">
        <f>IFERROR(+VLOOKUP(Movimientos_2026[[#This Row],[Codigo]],Plan_cuentas[],5,FALSE)," ")</f>
        <v>SANTIAGO DEL ESTERO</v>
      </c>
      <c r="I1245" s="43">
        <v>46082</v>
      </c>
      <c r="J1245" t="s">
        <v>517</v>
      </c>
      <c r="K1245" t="str">
        <f>IFERROR(+VLOOKUP(Movimientos_2026[[#This Row],[Codigo]],Plan_cuentas[],6,FALSE)," ")</f>
        <v>2 - PR - Plan Rombo</v>
      </c>
      <c r="L1245" s="50">
        <v>21166842.399999999</v>
      </c>
      <c r="M1245" s="52"/>
      <c r="N1245" s="20">
        <f>+Movimientos_2026[[#This Row],[Ingresos]]-Movimientos_2026[[#This Row],[Egresos]]</f>
        <v>21166842.399999999</v>
      </c>
      <c r="O1245" s="20">
        <f>+O1244+Movimientos_2026[[#This Row],[Neto]]</f>
        <v>5651410856.0904799</v>
      </c>
    </row>
    <row r="1246" spans="1:15" x14ac:dyDescent="0.25">
      <c r="A1246" s="13">
        <v>46125</v>
      </c>
      <c r="B1246" s="12">
        <f>MONTH(Movimientos_2026[[#This Row],[Fecha]])</f>
        <v>4</v>
      </c>
      <c r="C1246" s="12" t="str">
        <f>VLOOKUP((WEEKDAY(Movimientos_2026[[#This Row],[Fecha]],2)),'5. Setup'!$D$6:$E$12,2,FALSE)</f>
        <v>Lun</v>
      </c>
      <c r="D1246">
        <v>1044412</v>
      </c>
      <c r="E1246" t="str">
        <f>IFERROR(+VLOOKUP(Movimientos_2026[[#This Row],[Codigo]],Plan_cuentas[],2,FALSE)," ")</f>
        <v>INGRESOS</v>
      </c>
      <c r="F1246" t="str">
        <f>IFERROR(+VLOOKUP(Movimientos_2026[[#This Row],[Codigo]],Plan_cuentas[],3,FALSE)," ")</f>
        <v>Transferencia</v>
      </c>
      <c r="G1246" t="str">
        <f>IFERROR(+VLOOKUP(Movimientos_2026[[#This Row],[Codigo]],Plan_cuentas[],4,FALSE)," ")</f>
        <v>Rentas</v>
      </c>
      <c r="H1246" t="str">
        <f>IFERROR(+VLOOKUP(Movimientos_2026[[#This Row],[Codigo]],Plan_cuentas[],5,FALSE)," ")</f>
        <v>TIERRA DEL FUEGO</v>
      </c>
      <c r="I1246" s="43">
        <v>46082</v>
      </c>
      <c r="J1246" t="s">
        <v>517</v>
      </c>
      <c r="K1246" t="str">
        <f>IFERROR(+VLOOKUP(Movimientos_2026[[#This Row],[Codigo]],Plan_cuentas[],6,FALSE)," ")</f>
        <v>2 - PR - Plan Rombo</v>
      </c>
      <c r="L1246" s="50">
        <v>7416598.7199999997</v>
      </c>
      <c r="M1246" s="52"/>
      <c r="N1246" s="20">
        <f>+Movimientos_2026[[#This Row],[Ingresos]]-Movimientos_2026[[#This Row],[Egresos]]</f>
        <v>7416598.7199999997</v>
      </c>
      <c r="O1246" s="20">
        <f>+O1245+Movimientos_2026[[#This Row],[Neto]]</f>
        <v>5658827454.8104801</v>
      </c>
    </row>
    <row r="1247" spans="1:15" x14ac:dyDescent="0.25">
      <c r="A1247" s="13">
        <v>46125</v>
      </c>
      <c r="B1247" s="12">
        <f>MONTH(Movimientos_2026[[#This Row],[Fecha]])</f>
        <v>4</v>
      </c>
      <c r="C1247" s="12" t="str">
        <f>VLOOKUP((WEEKDAY(Movimientos_2026[[#This Row],[Fecha]],2)),'5. Setup'!$D$6:$E$12,2,FALSE)</f>
        <v>Lun</v>
      </c>
      <c r="D1247">
        <v>1044422</v>
      </c>
      <c r="E1247" t="str">
        <f>IFERROR(+VLOOKUP(Movimientos_2026[[#This Row],[Codigo]],Plan_cuentas[],2,FALSE)," ")</f>
        <v>INGRESOS</v>
      </c>
      <c r="F1247" t="str">
        <f>IFERROR(+VLOOKUP(Movimientos_2026[[#This Row],[Codigo]],Plan_cuentas[],3,FALSE)," ")</f>
        <v>Transferencia</v>
      </c>
      <c r="G1247" t="str">
        <f>IFERROR(+VLOOKUP(Movimientos_2026[[#This Row],[Codigo]],Plan_cuentas[],4,FALSE)," ")</f>
        <v>Rentas</v>
      </c>
      <c r="H1247" t="str">
        <f>IFERROR(+VLOOKUP(Movimientos_2026[[#This Row],[Codigo]],Plan_cuentas[],5,FALSE)," ")</f>
        <v>TUCUMAN</v>
      </c>
      <c r="I1247" s="43">
        <v>46082</v>
      </c>
      <c r="J1247" t="s">
        <v>517</v>
      </c>
      <c r="K1247" t="str">
        <f>IFERROR(+VLOOKUP(Movimientos_2026[[#This Row],[Codigo]],Plan_cuentas[],6,FALSE)," ")</f>
        <v>2 - PR - Plan Rombo</v>
      </c>
      <c r="L1247" s="50">
        <v>74124851.140000001</v>
      </c>
      <c r="M1247" s="52"/>
      <c r="N1247" s="20">
        <f>+Movimientos_2026[[#This Row],[Ingresos]]-Movimientos_2026[[#This Row],[Egresos]]</f>
        <v>74124851.140000001</v>
      </c>
      <c r="O1247" s="20">
        <f>+O1246+Movimientos_2026[[#This Row],[Neto]]</f>
        <v>5732952305.9504805</v>
      </c>
    </row>
    <row r="1248" spans="1:15" x14ac:dyDescent="0.25">
      <c r="A1248" s="13">
        <v>46125</v>
      </c>
      <c r="B1248" s="12">
        <f>MONTH(Movimientos_2026[[#This Row],[Fecha]])</f>
        <v>4</v>
      </c>
      <c r="C1248" s="12" t="str">
        <f>VLOOKUP((WEEKDAY(Movimientos_2026[[#This Row],[Fecha]],2)),'5. Setup'!$D$6:$E$12,2,FALSE)</f>
        <v>Lun</v>
      </c>
      <c r="D1248">
        <v>1044122</v>
      </c>
      <c r="E1248" t="str">
        <f>IFERROR(+VLOOKUP(Movimientos_2026[[#This Row],[Codigo]],Plan_cuentas[],2,FALSE)," ")</f>
        <v>INGRESOS</v>
      </c>
      <c r="F1248" t="str">
        <f>IFERROR(+VLOOKUP(Movimientos_2026[[#This Row],[Codigo]],Plan_cuentas[],3,FALSE)," ")</f>
        <v>Transferencia</v>
      </c>
      <c r="G1248" t="str">
        <f>IFERROR(+VLOOKUP(Movimientos_2026[[#This Row],[Codigo]],Plan_cuentas[],4,FALSE)," ")</f>
        <v>Rentas</v>
      </c>
      <c r="H1248" t="str">
        <f>IFERROR(+VLOOKUP(Movimientos_2026[[#This Row],[Codigo]],Plan_cuentas[],5,FALSE)," ")</f>
        <v>BAPRO</v>
      </c>
      <c r="I1248" s="43">
        <v>46082</v>
      </c>
      <c r="J1248" t="s">
        <v>518</v>
      </c>
      <c r="K1248" t="str">
        <f>IFERROR(+VLOOKUP(Movimientos_2026[[#This Row],[Codigo]],Plan_cuentas[],6,FALSE)," ")</f>
        <v>2 - PR - Plan Rombo</v>
      </c>
      <c r="L1248" s="50">
        <v>91350012</v>
      </c>
      <c r="M1248" s="52"/>
      <c r="N1248" s="20">
        <f>+Movimientos_2026[[#This Row],[Ingresos]]-Movimientos_2026[[#This Row],[Egresos]]</f>
        <v>91350012</v>
      </c>
      <c r="O1248" s="20">
        <f>+O1247+Movimientos_2026[[#This Row],[Neto]]</f>
        <v>5824302317.9504805</v>
      </c>
    </row>
    <row r="1249" spans="1:15" x14ac:dyDescent="0.25">
      <c r="A1249" s="13">
        <v>46125</v>
      </c>
      <c r="B1249" s="12">
        <f>MONTH(Movimientos_2026[[#This Row],[Fecha]])</f>
        <v>4</v>
      </c>
      <c r="C1249" s="12" t="str">
        <f>VLOOKUP((WEEKDAY(Movimientos_2026[[#This Row],[Fecha]],2)),'5. Setup'!$D$6:$E$12,2,FALSE)</f>
        <v>Lun</v>
      </c>
      <c r="D1249">
        <v>1044482</v>
      </c>
      <c r="E1249" t="str">
        <f>IFERROR(+VLOOKUP(Movimientos_2026[[#This Row],[Codigo]],Plan_cuentas[],2,FALSE)," ")</f>
        <v>INGRESOS</v>
      </c>
      <c r="F1249" t="str">
        <f>IFERROR(+VLOOKUP(Movimientos_2026[[#This Row],[Codigo]],Plan_cuentas[],3,FALSE)," ")</f>
        <v>Transferencia</v>
      </c>
      <c r="G1249" t="str">
        <f>IFERROR(+VLOOKUP(Movimientos_2026[[#This Row],[Codigo]],Plan_cuentas[],4,FALSE)," ")</f>
        <v>Factura</v>
      </c>
      <c r="H1249" t="str">
        <f>IFERROR(+VLOOKUP(Movimientos_2026[[#This Row],[Codigo]],Plan_cuentas[],5,FALSE)," ")</f>
        <v>FC TRAMITACION</v>
      </c>
      <c r="I1249" s="43">
        <v>46082</v>
      </c>
      <c r="J1249" t="s">
        <v>519</v>
      </c>
      <c r="K1249" t="str">
        <f>IFERROR(+VLOOKUP(Movimientos_2026[[#This Row],[Codigo]],Plan_cuentas[],6,FALSE)," ")</f>
        <v>2 - PR - Plan Rombo</v>
      </c>
      <c r="L1249" s="50">
        <v>8767819.7400000002</v>
      </c>
      <c r="M1249" s="52"/>
      <c r="N1249" s="20">
        <f>+Movimientos_2026[[#This Row],[Ingresos]]-Movimientos_2026[[#This Row],[Egresos]]</f>
        <v>8767819.7400000002</v>
      </c>
      <c r="O1249" s="20">
        <f>+O1248+Movimientos_2026[[#This Row],[Neto]]</f>
        <v>5833070137.6904802</v>
      </c>
    </row>
    <row r="1250" spans="1:15" x14ac:dyDescent="0.25">
      <c r="A1250" s="13">
        <v>46126</v>
      </c>
      <c r="B1250" s="12">
        <f>MONTH(Movimientos_2026[[#This Row],[Fecha]])</f>
        <v>4</v>
      </c>
      <c r="C1250" s="12" t="str">
        <f>VLOOKUP((WEEKDAY(Movimientos_2026[[#This Row],[Fecha]],2)),'5. Setup'!$D$6:$E$12,2,FALSE)</f>
        <v>Mar</v>
      </c>
      <c r="D1250">
        <v>2044403</v>
      </c>
      <c r="E1250" t="str">
        <f>IFERROR(+VLOOKUP(Movimientos_2026[[#This Row],[Codigo]],Plan_cuentas[],2,FALSE)," ")</f>
        <v>EGRESOS</v>
      </c>
      <c r="F1250" t="str">
        <f>IFERROR(+VLOOKUP(Movimientos_2026[[#This Row],[Codigo]],Plan_cuentas[],3,FALSE)," ")</f>
        <v>Transferencia</v>
      </c>
      <c r="G1250" t="str">
        <f>IFERROR(+VLOOKUP(Movimientos_2026[[#This Row],[Codigo]],Plan_cuentas[],4,FALSE)," ")</f>
        <v>Rentas</v>
      </c>
      <c r="H1250" t="str">
        <f>IFERROR(+VLOOKUP(Movimientos_2026[[#This Row],[Codigo]],Plan_cuentas[],5,FALSE)," ")</f>
        <v>SANTIAGO DEL ESTERO</v>
      </c>
      <c r="I1250" s="43">
        <v>46082</v>
      </c>
      <c r="J1250" t="s">
        <v>520</v>
      </c>
      <c r="K1250" t="str">
        <f>IFERROR(+VLOOKUP(Movimientos_2026[[#This Row],[Codigo]],Plan_cuentas[],6,FALSE)," ")</f>
        <v>3 - GM - Chevrolet</v>
      </c>
      <c r="L1250" s="50"/>
      <c r="M1250" s="50">
        <v>22627848.879999999</v>
      </c>
      <c r="N1250" s="20">
        <f>+Movimientos_2026[[#This Row],[Ingresos]]-Movimientos_2026[[#This Row],[Egresos]]</f>
        <v>-22627848.879999999</v>
      </c>
      <c r="O1250" s="20">
        <f>+O1249+Movimientos_2026[[#This Row],[Neto]]</f>
        <v>5810442288.8104801</v>
      </c>
    </row>
    <row r="1251" spans="1:15" x14ac:dyDescent="0.25">
      <c r="A1251" s="13">
        <v>46126</v>
      </c>
      <c r="B1251" s="12">
        <f>MONTH(Movimientos_2026[[#This Row],[Fecha]])</f>
        <v>4</v>
      </c>
      <c r="C1251" s="12" t="str">
        <f>VLOOKUP((WEEKDAY(Movimientos_2026[[#This Row],[Fecha]],2)),'5. Setup'!$D$6:$E$12,2,FALSE)</f>
        <v>Mar</v>
      </c>
      <c r="D1251">
        <v>2044404</v>
      </c>
      <c r="E1251" t="str">
        <f>IFERROR(+VLOOKUP(Movimientos_2026[[#This Row],[Codigo]],Plan_cuentas[],2,FALSE)," ")</f>
        <v>EGRESOS</v>
      </c>
      <c r="F1251" t="str">
        <f>IFERROR(+VLOOKUP(Movimientos_2026[[#This Row],[Codigo]],Plan_cuentas[],3,FALSE)," ")</f>
        <v>Transferencia</v>
      </c>
      <c r="G1251" t="str">
        <f>IFERROR(+VLOOKUP(Movimientos_2026[[#This Row],[Codigo]],Plan_cuentas[],4,FALSE)," ")</f>
        <v>Rentas</v>
      </c>
      <c r="H1251" t="str">
        <f>IFERROR(+VLOOKUP(Movimientos_2026[[#This Row],[Codigo]],Plan_cuentas[],5,FALSE)," ")</f>
        <v>SANTIAGO DEL ESTERO</v>
      </c>
      <c r="I1251" s="43">
        <v>46082</v>
      </c>
      <c r="J1251" t="s">
        <v>521</v>
      </c>
      <c r="K1251" t="str">
        <f>IFERROR(+VLOOKUP(Movimientos_2026[[#This Row],[Codigo]],Plan_cuentas[],6,FALSE)," ")</f>
        <v>4 - FCA - Fiat</v>
      </c>
      <c r="L1251" s="50"/>
      <c r="M1251" s="50">
        <v>27879631.93</v>
      </c>
      <c r="N1251" s="20">
        <f>+Movimientos_2026[[#This Row],[Ingresos]]-Movimientos_2026[[#This Row],[Egresos]]</f>
        <v>-27879631.93</v>
      </c>
      <c r="O1251" s="20">
        <f>+O1250+Movimientos_2026[[#This Row],[Neto]]</f>
        <v>5782562656.8804798</v>
      </c>
    </row>
    <row r="1252" spans="1:15" x14ac:dyDescent="0.25">
      <c r="A1252" s="13">
        <v>46126</v>
      </c>
      <c r="B1252" s="12">
        <f>MONTH(Movimientos_2026[[#This Row],[Fecha]])</f>
        <v>4</v>
      </c>
      <c r="C1252" s="12" t="str">
        <f>VLOOKUP((WEEKDAY(Movimientos_2026[[#This Row],[Fecha]],2)),'5. Setup'!$D$6:$E$12,2,FALSE)</f>
        <v>Mar</v>
      </c>
      <c r="D1252">
        <v>2044406</v>
      </c>
      <c r="E1252" t="str">
        <f>IFERROR(+VLOOKUP(Movimientos_2026[[#This Row],[Codigo]],Plan_cuentas[],2,FALSE)," ")</f>
        <v>EGRESOS</v>
      </c>
      <c r="F1252" t="str">
        <f>IFERROR(+VLOOKUP(Movimientos_2026[[#This Row],[Codigo]],Plan_cuentas[],3,FALSE)," ")</f>
        <v>Transferencia</v>
      </c>
      <c r="G1252" t="str">
        <f>IFERROR(+VLOOKUP(Movimientos_2026[[#This Row],[Codigo]],Plan_cuentas[],4,FALSE)," ")</f>
        <v>Rentas</v>
      </c>
      <c r="H1252" t="str">
        <f>IFERROR(+VLOOKUP(Movimientos_2026[[#This Row],[Codigo]],Plan_cuentas[],5,FALSE)," ")</f>
        <v>SANTIAGO DEL ESTERO</v>
      </c>
      <c r="I1252" s="43">
        <v>46082</v>
      </c>
      <c r="J1252" t="s">
        <v>521</v>
      </c>
      <c r="K1252" t="str">
        <f>IFERROR(+VLOOKUP(Movimientos_2026[[#This Row],[Codigo]],Plan_cuentas[],6,FALSE)," ")</f>
        <v>6 - FCAtr - Fiat Transf.</v>
      </c>
      <c r="L1252" s="50"/>
      <c r="M1252" s="50">
        <v>1128373.03</v>
      </c>
      <c r="N1252" s="20">
        <f>+Movimientos_2026[[#This Row],[Ingresos]]-Movimientos_2026[[#This Row],[Egresos]]</f>
        <v>-1128373.03</v>
      </c>
      <c r="O1252" s="20">
        <f>+O1251+Movimientos_2026[[#This Row],[Neto]]</f>
        <v>5781434283.8504801</v>
      </c>
    </row>
    <row r="1253" spans="1:15" x14ac:dyDescent="0.25">
      <c r="A1253" s="13">
        <v>46126</v>
      </c>
      <c r="B1253" s="12">
        <f>MONTH(Movimientos_2026[[#This Row],[Fecha]])</f>
        <v>4</v>
      </c>
      <c r="C1253" s="12" t="str">
        <f>VLOOKUP((WEEKDAY(Movimientos_2026[[#This Row],[Fecha]],2)),'5. Setup'!$D$6:$E$12,2,FALSE)</f>
        <v>Mar</v>
      </c>
      <c r="D1253">
        <v>2044404</v>
      </c>
      <c r="E1253" t="str">
        <f>IFERROR(+VLOOKUP(Movimientos_2026[[#This Row],[Codigo]],Plan_cuentas[],2,FALSE)," ")</f>
        <v>EGRESOS</v>
      </c>
      <c r="F1253" t="str">
        <f>IFERROR(+VLOOKUP(Movimientos_2026[[#This Row],[Codigo]],Plan_cuentas[],3,FALSE)," ")</f>
        <v>Transferencia</v>
      </c>
      <c r="G1253" t="str">
        <f>IFERROR(+VLOOKUP(Movimientos_2026[[#This Row],[Codigo]],Plan_cuentas[],4,FALSE)," ")</f>
        <v>Rentas</v>
      </c>
      <c r="H1253" t="str">
        <f>IFERROR(+VLOOKUP(Movimientos_2026[[#This Row],[Codigo]],Plan_cuentas[],5,FALSE)," ")</f>
        <v>SANTIAGO DEL ESTERO</v>
      </c>
      <c r="I1253" s="43">
        <v>46082</v>
      </c>
      <c r="J1253" t="s">
        <v>521</v>
      </c>
      <c r="K1253" t="str">
        <f>IFERROR(+VLOOKUP(Movimientos_2026[[#This Row],[Codigo]],Plan_cuentas[],6,FALSE)," ")</f>
        <v>4 - FCA - Fiat</v>
      </c>
      <c r="L1253" s="50"/>
      <c r="M1253" s="50">
        <v>8074345.3099999996</v>
      </c>
      <c r="N1253" s="20">
        <f>+Movimientos_2026[[#This Row],[Ingresos]]-Movimientos_2026[[#This Row],[Egresos]]</f>
        <v>-8074345.3099999996</v>
      </c>
      <c r="O1253" s="20">
        <f>+O1252+Movimientos_2026[[#This Row],[Neto]]</f>
        <v>5773359938.5404797</v>
      </c>
    </row>
    <row r="1254" spans="1:15" x14ac:dyDescent="0.25">
      <c r="A1254" s="13">
        <v>46126</v>
      </c>
      <c r="B1254" s="12">
        <f>MONTH(Movimientos_2026[[#This Row],[Fecha]])</f>
        <v>4</v>
      </c>
      <c r="C1254" s="12" t="str">
        <f>VLOOKUP((WEEKDAY(Movimientos_2026[[#This Row],[Fecha]],2)),'5. Setup'!$D$6:$E$12,2,FALSE)</f>
        <v>Mar</v>
      </c>
      <c r="D1254">
        <v>2044401</v>
      </c>
      <c r="E1254" t="str">
        <f>IFERROR(+VLOOKUP(Movimientos_2026[[#This Row],[Codigo]],Plan_cuentas[],2,FALSE)," ")</f>
        <v>EGRESOS</v>
      </c>
      <c r="F1254" t="str">
        <f>IFERROR(+VLOOKUP(Movimientos_2026[[#This Row],[Codigo]],Plan_cuentas[],3,FALSE)," ")</f>
        <v>Transferencia</v>
      </c>
      <c r="G1254" t="str">
        <f>IFERROR(+VLOOKUP(Movimientos_2026[[#This Row],[Codigo]],Plan_cuentas[],4,FALSE)," ")</f>
        <v>Rentas</v>
      </c>
      <c r="H1254" t="str">
        <f>IFERROR(+VLOOKUP(Movimientos_2026[[#This Row],[Codigo]],Plan_cuentas[],5,FALSE)," ")</f>
        <v>SANTIAGO DEL ESTERO</v>
      </c>
      <c r="I1254" s="43">
        <v>46082</v>
      </c>
      <c r="J1254" t="s">
        <v>522</v>
      </c>
      <c r="K1254" t="str">
        <f>IFERROR(+VLOOKUP(Movimientos_2026[[#This Row],[Codigo]],Plan_cuentas[],6,FALSE)," ")</f>
        <v>1 - VW - Volkswagen</v>
      </c>
      <c r="L1254" s="50"/>
      <c r="M1254" s="50">
        <v>25238893.5</v>
      </c>
      <c r="N1254" s="20">
        <f>+Movimientos_2026[[#This Row],[Ingresos]]-Movimientos_2026[[#This Row],[Egresos]]</f>
        <v>-25238893.5</v>
      </c>
      <c r="O1254" s="20">
        <f>+O1253+Movimientos_2026[[#This Row],[Neto]]</f>
        <v>5748121045.0404797</v>
      </c>
    </row>
    <row r="1255" spans="1:15" x14ac:dyDescent="0.25">
      <c r="A1255" s="13">
        <v>46126</v>
      </c>
      <c r="B1255" s="12">
        <f>MONTH(Movimientos_2026[[#This Row],[Fecha]])</f>
        <v>4</v>
      </c>
      <c r="C1255" s="12" t="str">
        <f>VLOOKUP((WEEKDAY(Movimientos_2026[[#This Row],[Fecha]],2)),'5. Setup'!$D$6:$E$12,2,FALSE)</f>
        <v>Mar</v>
      </c>
      <c r="D1255">
        <v>2044402</v>
      </c>
      <c r="E1255" t="str">
        <f>IFERROR(+VLOOKUP(Movimientos_2026[[#This Row],[Codigo]],Plan_cuentas[],2,FALSE)," ")</f>
        <v>EGRESOS</v>
      </c>
      <c r="F1255" t="str">
        <f>IFERROR(+VLOOKUP(Movimientos_2026[[#This Row],[Codigo]],Plan_cuentas[],3,FALSE)," ")</f>
        <v>Transferencia</v>
      </c>
      <c r="G1255" t="str">
        <f>IFERROR(+VLOOKUP(Movimientos_2026[[#This Row],[Codigo]],Plan_cuentas[],4,FALSE)," ")</f>
        <v>Rentas</v>
      </c>
      <c r="H1255" t="str">
        <f>IFERROR(+VLOOKUP(Movimientos_2026[[#This Row],[Codigo]],Plan_cuentas[],5,FALSE)," ")</f>
        <v>SANTIAGO DEL ESTERO</v>
      </c>
      <c r="I1255" s="43">
        <v>46082</v>
      </c>
      <c r="J1255" t="s">
        <v>523</v>
      </c>
      <c r="K1255" t="str">
        <f>IFERROR(+VLOOKUP(Movimientos_2026[[#This Row],[Codigo]],Plan_cuentas[],6,FALSE)," ")</f>
        <v>2 - PR - Plan Rombo</v>
      </c>
      <c r="L1255" s="50"/>
      <c r="M1255" s="50">
        <v>21166842.403800011</v>
      </c>
      <c r="N1255" s="20">
        <f>+Movimientos_2026[[#This Row],[Ingresos]]-Movimientos_2026[[#This Row],[Egresos]]</f>
        <v>-21166842.403800011</v>
      </c>
      <c r="O1255" s="20">
        <f>+O1254+Movimientos_2026[[#This Row],[Neto]]</f>
        <v>5726954202.6366796</v>
      </c>
    </row>
    <row r="1256" spans="1:15" x14ac:dyDescent="0.25">
      <c r="A1256" s="13">
        <v>46126</v>
      </c>
      <c r="B1256" s="12">
        <f>MONTH(Movimientos_2026[[#This Row],[Fecha]])</f>
        <v>4</v>
      </c>
      <c r="C1256" s="12" t="str">
        <f>VLOOKUP((WEEKDAY(Movimientos_2026[[#This Row],[Fecha]],2)),'5. Setup'!$D$6:$E$12,2,FALSE)</f>
        <v>Mar</v>
      </c>
      <c r="D1256">
        <v>2014361</v>
      </c>
      <c r="E1256" t="str">
        <f>IFERROR(+VLOOKUP(Movimientos_2026[[#This Row],[Codigo]],Plan_cuentas[],2,FALSE)," ")</f>
        <v>EGRESOS</v>
      </c>
      <c r="F1256" t="str">
        <f>IFERROR(+VLOOKUP(Movimientos_2026[[#This Row],[Codigo]],Plan_cuentas[],3,FALSE)," ")</f>
        <v>BtoB</v>
      </c>
      <c r="G1256" t="str">
        <f>IFERROR(+VLOOKUP(Movimientos_2026[[#This Row],[Codigo]],Plan_cuentas[],4,FALSE)," ")</f>
        <v>Rentas</v>
      </c>
      <c r="H1256" t="str">
        <f>IFERROR(+VLOOKUP(Movimientos_2026[[#This Row],[Codigo]],Plan_cuentas[],5,FALSE)," ")</f>
        <v>SAN LUIS</v>
      </c>
      <c r="I1256" s="43">
        <v>46082</v>
      </c>
      <c r="J1256" t="s">
        <v>524</v>
      </c>
      <c r="K1256" t="str">
        <f>IFERROR(+VLOOKUP(Movimientos_2026[[#This Row],[Codigo]],Plan_cuentas[],6,FALSE)," ")</f>
        <v>1 - VW - Volkswagen</v>
      </c>
      <c r="L1256" s="50"/>
      <c r="M1256" s="50">
        <v>10507191.6</v>
      </c>
      <c r="N1256" s="20">
        <f>+Movimientos_2026[[#This Row],[Ingresos]]-Movimientos_2026[[#This Row],[Egresos]]</f>
        <v>-10507191.6</v>
      </c>
      <c r="O1256" s="20">
        <f>+O1255+Movimientos_2026[[#This Row],[Neto]]</f>
        <v>5716447011.0366793</v>
      </c>
    </row>
    <row r="1257" spans="1:15" x14ac:dyDescent="0.25">
      <c r="A1257" s="13">
        <v>46126</v>
      </c>
      <c r="B1257" s="12">
        <f>MONTH(Movimientos_2026[[#This Row],[Fecha]])</f>
        <v>4</v>
      </c>
      <c r="C1257" s="12" t="str">
        <f>VLOOKUP((WEEKDAY(Movimientos_2026[[#This Row],[Fecha]],2)),'5. Setup'!$D$6:$E$12,2,FALSE)</f>
        <v>Mar</v>
      </c>
      <c r="D1257">
        <v>2014363</v>
      </c>
      <c r="E1257" t="str">
        <f>IFERROR(+VLOOKUP(Movimientos_2026[[#This Row],[Codigo]],Plan_cuentas[],2,FALSE)," ")</f>
        <v>EGRESOS</v>
      </c>
      <c r="F1257" t="str">
        <f>IFERROR(+VLOOKUP(Movimientos_2026[[#This Row],[Codigo]],Plan_cuentas[],3,FALSE)," ")</f>
        <v>BtoB</v>
      </c>
      <c r="G1257" t="str">
        <f>IFERROR(+VLOOKUP(Movimientos_2026[[#This Row],[Codigo]],Plan_cuentas[],4,FALSE)," ")</f>
        <v>Rentas</v>
      </c>
      <c r="H1257" t="str">
        <f>IFERROR(+VLOOKUP(Movimientos_2026[[#This Row],[Codigo]],Plan_cuentas[],5,FALSE)," ")</f>
        <v>SAN LUIS</v>
      </c>
      <c r="I1257" s="43">
        <v>46082</v>
      </c>
      <c r="J1257" t="s">
        <v>525</v>
      </c>
      <c r="K1257" t="str">
        <f>IFERROR(+VLOOKUP(Movimientos_2026[[#This Row],[Codigo]],Plan_cuentas[],6,FALSE)," ")</f>
        <v>3 - GM - Chevrolet</v>
      </c>
      <c r="L1257" s="50"/>
      <c r="M1257" s="52">
        <v>12772897.24</v>
      </c>
      <c r="N1257" s="20">
        <f>+Movimientos_2026[[#This Row],[Ingresos]]-Movimientos_2026[[#This Row],[Egresos]]</f>
        <v>-12772897.24</v>
      </c>
      <c r="O1257" s="20">
        <f>+O1256+Movimientos_2026[[#This Row],[Neto]]</f>
        <v>5703674113.7966795</v>
      </c>
    </row>
    <row r="1258" spans="1:15" x14ac:dyDescent="0.25">
      <c r="A1258" s="13">
        <v>46126</v>
      </c>
      <c r="B1258" s="12">
        <f>MONTH(Movimientos_2026[[#This Row],[Fecha]])</f>
        <v>4</v>
      </c>
      <c r="C1258" s="12" t="str">
        <f>VLOOKUP((WEEKDAY(Movimientos_2026[[#This Row],[Fecha]],2)),'5. Setup'!$D$6:$E$12,2,FALSE)</f>
        <v>Mar</v>
      </c>
      <c r="D1258">
        <v>2014364</v>
      </c>
      <c r="E1258" t="str">
        <f>IFERROR(+VLOOKUP(Movimientos_2026[[#This Row],[Codigo]],Plan_cuentas[],2,FALSE)," ")</f>
        <v>EGRESOS</v>
      </c>
      <c r="F1258" t="str">
        <f>IFERROR(+VLOOKUP(Movimientos_2026[[#This Row],[Codigo]],Plan_cuentas[],3,FALSE)," ")</f>
        <v>BtoB</v>
      </c>
      <c r="G1258" t="str">
        <f>IFERROR(+VLOOKUP(Movimientos_2026[[#This Row],[Codigo]],Plan_cuentas[],4,FALSE)," ")</f>
        <v>Rentas</v>
      </c>
      <c r="H1258" t="str">
        <f>IFERROR(+VLOOKUP(Movimientos_2026[[#This Row],[Codigo]],Plan_cuentas[],5,FALSE)," ")</f>
        <v>SAN LUIS</v>
      </c>
      <c r="I1258" s="43">
        <v>46082</v>
      </c>
      <c r="J1258" t="s">
        <v>526</v>
      </c>
      <c r="K1258" t="str">
        <f>IFERROR(+VLOOKUP(Movimientos_2026[[#This Row],[Codigo]],Plan_cuentas[],6,FALSE)," ")</f>
        <v>4 - FCA - Fiat</v>
      </c>
      <c r="L1258" s="50"/>
      <c r="M1258" s="52">
        <v>28530481.109999999</v>
      </c>
      <c r="N1258" s="20">
        <f>+Movimientos_2026[[#This Row],[Ingresos]]-Movimientos_2026[[#This Row],[Egresos]]</f>
        <v>-28530481.109999999</v>
      </c>
      <c r="O1258" s="20">
        <f>+O1257+Movimientos_2026[[#This Row],[Neto]]</f>
        <v>5675143632.6866798</v>
      </c>
    </row>
    <row r="1259" spans="1:15" x14ac:dyDescent="0.25">
      <c r="A1259" s="13">
        <v>46126</v>
      </c>
      <c r="B1259" s="12">
        <f>MONTH(Movimientos_2026[[#This Row],[Fecha]])</f>
        <v>4</v>
      </c>
      <c r="C1259" s="12" t="str">
        <f>VLOOKUP((WEEKDAY(Movimientos_2026[[#This Row],[Fecha]],2)),'5. Setup'!$D$6:$E$12,2,FALSE)</f>
        <v>Mar</v>
      </c>
      <c r="D1259">
        <v>2014171</v>
      </c>
      <c r="E1259" t="str">
        <f>IFERROR(+VLOOKUP(Movimientos_2026[[#This Row],[Codigo]],Plan_cuentas[],2,FALSE)," ")</f>
        <v>EGRESOS</v>
      </c>
      <c r="F1259" t="str">
        <f>IFERROR(+VLOOKUP(Movimientos_2026[[#This Row],[Codigo]],Plan_cuentas[],3,FALSE)," ")</f>
        <v>BtoB</v>
      </c>
      <c r="G1259" t="str">
        <f>IFERROR(+VLOOKUP(Movimientos_2026[[#This Row],[Codigo]],Plan_cuentas[],4,FALSE)," ")</f>
        <v>Rentas</v>
      </c>
      <c r="H1259" t="str">
        <f>IFERROR(+VLOOKUP(Movimientos_2026[[#This Row],[Codigo]],Plan_cuentas[],5,FALSE)," ")</f>
        <v>CHUBUT</v>
      </c>
      <c r="I1259" s="43">
        <v>46082</v>
      </c>
      <c r="J1259" t="s">
        <v>527</v>
      </c>
      <c r="K1259" t="str">
        <f>IFERROR(+VLOOKUP(Movimientos_2026[[#This Row],[Codigo]],Plan_cuentas[],6,FALSE)," ")</f>
        <v>1 - VW - Volkswagen</v>
      </c>
      <c r="L1259" s="50"/>
      <c r="M1259" s="52">
        <v>11359032.560000001</v>
      </c>
      <c r="N1259" s="20">
        <f>+Movimientos_2026[[#This Row],[Ingresos]]-Movimientos_2026[[#This Row],[Egresos]]</f>
        <v>-11359032.560000001</v>
      </c>
      <c r="O1259" s="20">
        <f>+O1258+Movimientos_2026[[#This Row],[Neto]]</f>
        <v>5663784600.1266794</v>
      </c>
    </row>
    <row r="1260" spans="1:15" x14ac:dyDescent="0.25">
      <c r="A1260" s="13">
        <v>46126</v>
      </c>
      <c r="B1260" s="12">
        <f>MONTH(Movimientos_2026[[#This Row],[Fecha]])</f>
        <v>4</v>
      </c>
      <c r="C1260" s="12" t="str">
        <f>VLOOKUP((WEEKDAY(Movimientos_2026[[#This Row],[Fecha]],2)),'5. Setup'!$D$6:$E$12,2,FALSE)</f>
        <v>Mar</v>
      </c>
      <c r="D1260">
        <v>2014173</v>
      </c>
      <c r="E1260" t="str">
        <f>IFERROR(+VLOOKUP(Movimientos_2026[[#This Row],[Codigo]],Plan_cuentas[],2,FALSE)," ")</f>
        <v>EGRESOS</v>
      </c>
      <c r="F1260" t="str">
        <f>IFERROR(+VLOOKUP(Movimientos_2026[[#This Row],[Codigo]],Plan_cuentas[],3,FALSE)," ")</f>
        <v>BtoB</v>
      </c>
      <c r="G1260" t="str">
        <f>IFERROR(+VLOOKUP(Movimientos_2026[[#This Row],[Codigo]],Plan_cuentas[],4,FALSE)," ")</f>
        <v>Rentas</v>
      </c>
      <c r="H1260" t="str">
        <f>IFERROR(+VLOOKUP(Movimientos_2026[[#This Row],[Codigo]],Plan_cuentas[],5,FALSE)," ")</f>
        <v>CHUBUT</v>
      </c>
      <c r="I1260" s="43">
        <v>46082</v>
      </c>
      <c r="J1260" t="s">
        <v>528</v>
      </c>
      <c r="K1260" t="str">
        <f>IFERROR(+VLOOKUP(Movimientos_2026[[#This Row],[Codigo]],Plan_cuentas[],6,FALSE)," ")</f>
        <v>3 - GM - Chevrolet</v>
      </c>
      <c r="L1260" s="50"/>
      <c r="M1260" s="52">
        <v>8886825.7100000009</v>
      </c>
      <c r="N1260" s="20">
        <f>+Movimientos_2026[[#This Row],[Ingresos]]-Movimientos_2026[[#This Row],[Egresos]]</f>
        <v>-8886825.7100000009</v>
      </c>
      <c r="O1260" s="20">
        <f>+O1259+Movimientos_2026[[#This Row],[Neto]]</f>
        <v>5654897774.4166794</v>
      </c>
    </row>
    <row r="1261" spans="1:15" x14ac:dyDescent="0.25">
      <c r="A1261" s="13">
        <v>46126</v>
      </c>
      <c r="B1261" s="12">
        <f>MONTH(Movimientos_2026[[#This Row],[Fecha]])</f>
        <v>4</v>
      </c>
      <c r="C1261" s="12" t="str">
        <f>VLOOKUP((WEEKDAY(Movimientos_2026[[#This Row],[Fecha]],2)),'5. Setup'!$D$6:$E$12,2,FALSE)</f>
        <v>Mar</v>
      </c>
      <c r="D1261">
        <v>2014174</v>
      </c>
      <c r="E1261" t="str">
        <f>IFERROR(+VLOOKUP(Movimientos_2026[[#This Row],[Codigo]],Plan_cuentas[],2,FALSE)," ")</f>
        <v>EGRESOS</v>
      </c>
      <c r="F1261" t="str">
        <f>IFERROR(+VLOOKUP(Movimientos_2026[[#This Row],[Codigo]],Plan_cuentas[],3,FALSE)," ")</f>
        <v>BtoB</v>
      </c>
      <c r="G1261" t="str">
        <f>IFERROR(+VLOOKUP(Movimientos_2026[[#This Row],[Codigo]],Plan_cuentas[],4,FALSE)," ")</f>
        <v>Rentas</v>
      </c>
      <c r="H1261" t="str">
        <f>IFERROR(+VLOOKUP(Movimientos_2026[[#This Row],[Codigo]],Plan_cuentas[],5,FALSE)," ")</f>
        <v>CHUBUT</v>
      </c>
      <c r="I1261" s="43">
        <v>46082</v>
      </c>
      <c r="J1261" t="s">
        <v>529</v>
      </c>
      <c r="K1261" t="str">
        <f>IFERROR(+VLOOKUP(Movimientos_2026[[#This Row],[Codigo]],Plan_cuentas[],6,FALSE)," ")</f>
        <v>4 - FCA - Fiat</v>
      </c>
      <c r="L1261" s="50"/>
      <c r="M1261" s="52">
        <v>15705900</v>
      </c>
      <c r="N1261" s="20">
        <f>+Movimientos_2026[[#This Row],[Ingresos]]-Movimientos_2026[[#This Row],[Egresos]]</f>
        <v>-15705900</v>
      </c>
      <c r="O1261" s="20">
        <f>+O1260+Movimientos_2026[[#This Row],[Neto]]</f>
        <v>5639191874.4166794</v>
      </c>
    </row>
    <row r="1262" spans="1:15" x14ac:dyDescent="0.25">
      <c r="A1262" s="13">
        <v>46126</v>
      </c>
      <c r="B1262" s="12">
        <f>MONTH(Movimientos_2026[[#This Row],[Fecha]])</f>
        <v>4</v>
      </c>
      <c r="C1262" s="12" t="str">
        <f>VLOOKUP((WEEKDAY(Movimientos_2026[[#This Row],[Fecha]],2)),'5. Setup'!$D$6:$E$12,2,FALSE)</f>
        <v>Mar</v>
      </c>
      <c r="D1262">
        <v>2014161</v>
      </c>
      <c r="E1262" t="str">
        <f>IFERROR(+VLOOKUP(Movimientos_2026[[#This Row],[Codigo]],Plan_cuentas[],2,FALSE)," ")</f>
        <v>EGRESOS</v>
      </c>
      <c r="F1262" t="str">
        <f>IFERROR(+VLOOKUP(Movimientos_2026[[#This Row],[Codigo]],Plan_cuentas[],3,FALSE)," ")</f>
        <v>BtoB</v>
      </c>
      <c r="G1262" t="str">
        <f>IFERROR(+VLOOKUP(Movimientos_2026[[#This Row],[Codigo]],Plan_cuentas[],4,FALSE)," ")</f>
        <v>Rentas</v>
      </c>
      <c r="H1262" t="str">
        <f>IFERROR(+VLOOKUP(Movimientos_2026[[#This Row],[Codigo]],Plan_cuentas[],5,FALSE)," ")</f>
        <v>CHACO</v>
      </c>
      <c r="I1262" s="43">
        <v>46082</v>
      </c>
      <c r="J1262" t="s">
        <v>530</v>
      </c>
      <c r="K1262" t="str">
        <f>IFERROR(+VLOOKUP(Movimientos_2026[[#This Row],[Codigo]],Plan_cuentas[],6,FALSE)," ")</f>
        <v>1 - VW - Volkswagen</v>
      </c>
      <c r="L1262" s="50"/>
      <c r="M1262" s="50">
        <v>34735151</v>
      </c>
      <c r="N1262" s="20">
        <f>+Movimientos_2026[[#This Row],[Ingresos]]-Movimientos_2026[[#This Row],[Egresos]]</f>
        <v>-34735151</v>
      </c>
      <c r="O1262" s="20">
        <f>+O1261+Movimientos_2026[[#This Row],[Neto]]</f>
        <v>5604456723.4166794</v>
      </c>
    </row>
    <row r="1263" spans="1:15" x14ac:dyDescent="0.25">
      <c r="A1263" s="13">
        <v>46126</v>
      </c>
      <c r="B1263" s="12">
        <f>MONTH(Movimientos_2026[[#This Row],[Fecha]])</f>
        <v>4</v>
      </c>
      <c r="C1263" s="12" t="str">
        <f>VLOOKUP((WEEKDAY(Movimientos_2026[[#This Row],[Fecha]],2)),'5. Setup'!$D$6:$E$12,2,FALSE)</f>
        <v>Mar</v>
      </c>
      <c r="D1263">
        <v>2014163</v>
      </c>
      <c r="E1263" t="str">
        <f>IFERROR(+VLOOKUP(Movimientos_2026[[#This Row],[Codigo]],Plan_cuentas[],2,FALSE)," ")</f>
        <v>EGRESOS</v>
      </c>
      <c r="F1263" t="str">
        <f>IFERROR(+VLOOKUP(Movimientos_2026[[#This Row],[Codigo]],Plan_cuentas[],3,FALSE)," ")</f>
        <v>BtoB</v>
      </c>
      <c r="G1263" t="str">
        <f>IFERROR(+VLOOKUP(Movimientos_2026[[#This Row],[Codigo]],Plan_cuentas[],4,FALSE)," ")</f>
        <v>Rentas</v>
      </c>
      <c r="H1263" t="str">
        <f>IFERROR(+VLOOKUP(Movimientos_2026[[#This Row],[Codigo]],Plan_cuentas[],5,FALSE)," ")</f>
        <v>CHACO</v>
      </c>
      <c r="I1263" s="43">
        <v>46082</v>
      </c>
      <c r="J1263" t="s">
        <v>531</v>
      </c>
      <c r="K1263" t="str">
        <f>IFERROR(+VLOOKUP(Movimientos_2026[[#This Row],[Codigo]],Plan_cuentas[],6,FALSE)," ")</f>
        <v>3 - GM - Chevrolet</v>
      </c>
      <c r="L1263" s="50"/>
      <c r="M1263" s="50">
        <v>39847409.890000001</v>
      </c>
      <c r="N1263" s="20">
        <f>+Movimientos_2026[[#This Row],[Ingresos]]-Movimientos_2026[[#This Row],[Egresos]]</f>
        <v>-39847409.890000001</v>
      </c>
      <c r="O1263" s="20">
        <f>+O1261+Movimientos_2026[[#This Row],[Neto]]</f>
        <v>5599344464.526679</v>
      </c>
    </row>
    <row r="1264" spans="1:15" x14ac:dyDescent="0.25">
      <c r="A1264" s="13">
        <v>46126</v>
      </c>
      <c r="B1264" s="12">
        <f>MONTH(Movimientos_2026[[#This Row],[Fecha]])</f>
        <v>4</v>
      </c>
      <c r="C1264" s="12" t="str">
        <f>VLOOKUP((WEEKDAY(Movimientos_2026[[#This Row],[Fecha]],2)),'5. Setup'!$D$6:$E$12,2,FALSE)</f>
        <v>Mar</v>
      </c>
      <c r="D1264">
        <v>2023172</v>
      </c>
      <c r="E1264" t="str">
        <f>IFERROR(+VLOOKUP(Movimientos_2026[[#This Row],[Codigo]],Plan_cuentas[],2,FALSE)," ")</f>
        <v>EGRESOS</v>
      </c>
      <c r="F1264" t="str">
        <f>IFERROR(+VLOOKUP(Movimientos_2026[[#This Row],[Codigo]],Plan_cuentas[],3,FALSE)," ")</f>
        <v>DDJJ</v>
      </c>
      <c r="G1264" t="str">
        <f>IFERROR(+VLOOKUP(Movimientos_2026[[#This Row],[Codigo]],Plan_cuentas[],4,FALSE)," ")</f>
        <v>Registración</v>
      </c>
      <c r="H1264" t="str">
        <f>IFERROR(+VLOOKUP(Movimientos_2026[[#This Row],[Codigo]],Plan_cuentas[],5,FALSE)," ")</f>
        <v>CHUBUT</v>
      </c>
      <c r="I1264" s="43">
        <v>46082</v>
      </c>
      <c r="J1264" t="s">
        <v>532</v>
      </c>
      <c r="K1264" t="str">
        <f>IFERROR(+VLOOKUP(Movimientos_2026[[#This Row],[Codigo]],Plan_cuentas[],6,FALSE)," ")</f>
        <v>2 - PR - Plan Rombo</v>
      </c>
      <c r="L1264" s="50"/>
      <c r="M1264" s="52">
        <v>23145683.399999999</v>
      </c>
      <c r="N1264" s="20">
        <f>+Movimientos_2026[[#This Row],[Ingresos]]-Movimientos_2026[[#This Row],[Egresos]]</f>
        <v>-23145683.399999999</v>
      </c>
      <c r="O1264" s="20">
        <f>+O1263+Movimientos_2026[[#This Row],[Neto]]</f>
        <v>5576198781.1266794</v>
      </c>
    </row>
    <row r="1265" spans="1:15" x14ac:dyDescent="0.25">
      <c r="A1265" s="13">
        <v>46126</v>
      </c>
      <c r="B1265" s="12">
        <f>MONTH(Movimientos_2026[[#This Row],[Fecha]])</f>
        <v>4</v>
      </c>
      <c r="C1265" s="12" t="str">
        <f>VLOOKUP((WEEKDAY(Movimientos_2026[[#This Row],[Fecha]],2)),'5. Setup'!$D$6:$E$12,2,FALSE)</f>
        <v>Mar</v>
      </c>
      <c r="D1265">
        <v>2023175</v>
      </c>
      <c r="E1265" t="str">
        <f>IFERROR(+VLOOKUP(Movimientos_2026[[#This Row],[Codigo]],Plan_cuentas[],2,FALSE)," ")</f>
        <v>EGRESOS</v>
      </c>
      <c r="F1265" t="str">
        <f>IFERROR(+VLOOKUP(Movimientos_2026[[#This Row],[Codigo]],Plan_cuentas[],3,FALSE)," ")</f>
        <v>DDJJ</v>
      </c>
      <c r="G1265" t="str">
        <f>IFERROR(+VLOOKUP(Movimientos_2026[[#This Row],[Codigo]],Plan_cuentas[],4,FALSE)," ")</f>
        <v>Registración</v>
      </c>
      <c r="H1265" t="str">
        <f>IFERROR(+VLOOKUP(Movimientos_2026[[#This Row],[Codigo]],Plan_cuentas[],5,FALSE)," ")</f>
        <v>CHUBUT</v>
      </c>
      <c r="I1265" s="43">
        <v>46082</v>
      </c>
      <c r="J1265" t="s">
        <v>532</v>
      </c>
      <c r="K1265" t="str">
        <f>IFERROR(+VLOOKUP(Movimientos_2026[[#This Row],[Codigo]],Plan_cuentas[],6,FALSE)," ")</f>
        <v>5 - YAM - Yamaha</v>
      </c>
      <c r="L1265" s="50"/>
      <c r="M1265" s="52">
        <v>336359.26</v>
      </c>
      <c r="N1265" s="20">
        <f>+Movimientos_2026[[#This Row],[Ingresos]]-Movimientos_2026[[#This Row],[Egresos]]</f>
        <v>-336359.26</v>
      </c>
      <c r="O1265" s="20">
        <f>+O1264+Movimientos_2026[[#This Row],[Neto]]</f>
        <v>5575862421.8666792</v>
      </c>
    </row>
    <row r="1266" spans="1:15" x14ac:dyDescent="0.25">
      <c r="A1266" s="13">
        <v>46126</v>
      </c>
      <c r="B1266" s="12">
        <f>MONTH(Movimientos_2026[[#This Row],[Fecha]])</f>
        <v>4</v>
      </c>
      <c r="C1266" s="12" t="str">
        <f>VLOOKUP((WEEKDAY(Movimientos_2026[[#This Row],[Fecha]],2)),'5. Setup'!$D$6:$E$12,2,FALSE)</f>
        <v>Mar</v>
      </c>
      <c r="D1266">
        <v>2023177</v>
      </c>
      <c r="E1266" t="str">
        <f>IFERROR(+VLOOKUP(Movimientos_2026[[#This Row],[Codigo]],Plan_cuentas[],2,FALSE)," ")</f>
        <v>EGRESOS</v>
      </c>
      <c r="F1266" t="str">
        <f>IFERROR(+VLOOKUP(Movimientos_2026[[#This Row],[Codigo]],Plan_cuentas[],3,FALSE)," ")</f>
        <v>DDJJ</v>
      </c>
      <c r="G1266" t="str">
        <f>IFERROR(+VLOOKUP(Movimientos_2026[[#This Row],[Codigo]],Plan_cuentas[],4,FALSE)," ")</f>
        <v>Registración</v>
      </c>
      <c r="H1266" t="str">
        <f>IFERROR(+VLOOKUP(Movimientos_2026[[#This Row],[Codigo]],Plan_cuentas[],5,FALSE)," ")</f>
        <v>CHUBUT</v>
      </c>
      <c r="I1266" s="43">
        <v>46082</v>
      </c>
      <c r="J1266" t="s">
        <v>532</v>
      </c>
      <c r="K1266" t="str">
        <f>IFERROR(+VLOOKUP(Movimientos_2026[[#This Row],[Codigo]],Plan_cuentas[],6,FALSE)," ")</f>
        <v>7 - PRtr - Plan Rombo Transf.</v>
      </c>
      <c r="L1266" s="50"/>
      <c r="M1266" s="52">
        <v>478120.43</v>
      </c>
      <c r="N1266" s="20">
        <f>+Movimientos_2026[[#This Row],[Ingresos]]-Movimientos_2026[[#This Row],[Egresos]]</f>
        <v>-478120.43</v>
      </c>
      <c r="O1266" s="20">
        <f>+O1265+Movimientos_2026[[#This Row],[Neto]]</f>
        <v>5575384301.4366789</v>
      </c>
    </row>
    <row r="1267" spans="1:15" x14ac:dyDescent="0.25">
      <c r="A1267" s="13">
        <v>46126</v>
      </c>
      <c r="B1267" s="12">
        <f>MONTH(Movimientos_2026[[#This Row],[Fecha]])</f>
        <v>4</v>
      </c>
      <c r="C1267" s="12" t="str">
        <f>VLOOKUP((WEEKDAY(Movimientos_2026[[#This Row],[Fecha]],2)),'5. Setup'!$D$6:$E$12,2,FALSE)</f>
        <v>Mar</v>
      </c>
      <c r="D1267">
        <v>2023341</v>
      </c>
      <c r="E1267" t="str">
        <f>IFERROR(+VLOOKUP(Movimientos_2026[[#This Row],[Codigo]],Plan_cuentas[],2,FALSE)," ")</f>
        <v>EGRESOS</v>
      </c>
      <c r="F1267" t="str">
        <f>IFERROR(+VLOOKUP(Movimientos_2026[[#This Row],[Codigo]],Plan_cuentas[],3,FALSE)," ")</f>
        <v>DDJJ</v>
      </c>
      <c r="G1267" t="str">
        <f>IFERROR(+VLOOKUP(Movimientos_2026[[#This Row],[Codigo]],Plan_cuentas[],4,FALSE)," ")</f>
        <v>Registración</v>
      </c>
      <c r="H1267" t="str">
        <f>IFERROR(+VLOOKUP(Movimientos_2026[[#This Row],[Codigo]],Plan_cuentas[],5,FALSE)," ")</f>
        <v>RIO NEGRO</v>
      </c>
      <c r="I1267" s="43">
        <v>46082</v>
      </c>
      <c r="J1267" t="s">
        <v>533</v>
      </c>
      <c r="K1267" t="str">
        <f>IFERROR(+VLOOKUP(Movimientos_2026[[#This Row],[Codigo]],Plan_cuentas[],6,FALSE)," ")</f>
        <v>1 - VW - Volkswagen</v>
      </c>
      <c r="L1267" s="50"/>
      <c r="M1267" s="50">
        <v>30232116.859999999</v>
      </c>
      <c r="N1267" s="20">
        <f>+Movimientos_2026[[#This Row],[Ingresos]]-Movimientos_2026[[#This Row],[Egresos]]</f>
        <v>-30232116.859999999</v>
      </c>
      <c r="O1267" s="20">
        <f>+O1266+Movimientos_2026[[#This Row],[Neto]]</f>
        <v>5545152184.5766792</v>
      </c>
    </row>
    <row r="1268" spans="1:15" x14ac:dyDescent="0.25">
      <c r="A1268" s="13">
        <v>46127</v>
      </c>
      <c r="B1268" s="12">
        <f>MONTH(Movimientos_2026[[#This Row],[Fecha]])</f>
        <v>4</v>
      </c>
      <c r="C1268" s="12" t="str">
        <f>VLOOKUP((WEEKDAY(Movimientos_2026[[#This Row],[Fecha]],2)),'5. Setup'!$D$6:$E$12,2,FALSE)</f>
        <v>Mie</v>
      </c>
      <c r="D1268">
        <v>2044463</v>
      </c>
      <c r="E1268" t="str">
        <f>IFERROR(+VLOOKUP(Movimientos_2026[[#This Row],[Codigo]],Plan_cuentas[],2,FALSE)," ")</f>
        <v>EGRESOS</v>
      </c>
      <c r="F1268" t="str">
        <f>IFERROR(+VLOOKUP(Movimientos_2026[[#This Row],[Codigo]],Plan_cuentas[],3,FALSE)," ")</f>
        <v>Transferencia</v>
      </c>
      <c r="G1268" t="str">
        <f>IFERROR(+VLOOKUP(Movimientos_2026[[#This Row],[Codigo]],Plan_cuentas[],4,FALSE)," ")</f>
        <v>Rentas</v>
      </c>
      <c r="H1268" t="str">
        <f>IFERROR(+VLOOKUP(Movimientos_2026[[#This Row],[Codigo]],Plan_cuentas[],5,FALSE)," ")</f>
        <v>MISIONES</v>
      </c>
      <c r="I1268" s="43">
        <v>46082</v>
      </c>
      <c r="J1268" t="s">
        <v>534</v>
      </c>
      <c r="K1268" t="str">
        <f>IFERROR(+VLOOKUP(Movimientos_2026[[#This Row],[Codigo]],Plan_cuentas[],6,FALSE)," ")</f>
        <v>3 - GM - Chevrolet</v>
      </c>
      <c r="L1268" s="50"/>
      <c r="M1268" s="50">
        <v>3362259.34</v>
      </c>
      <c r="N1268" s="20">
        <f>+Movimientos_2026[[#This Row],[Ingresos]]-Movimientos_2026[[#This Row],[Egresos]]</f>
        <v>-3362259.34</v>
      </c>
      <c r="O1268" s="20">
        <f>+O1267+Movimientos_2026[[#This Row],[Neto]]</f>
        <v>5541789925.2366791</v>
      </c>
    </row>
    <row r="1269" spans="1:15" x14ac:dyDescent="0.25">
      <c r="A1269" s="13">
        <v>46127</v>
      </c>
      <c r="B1269" s="12">
        <f>MONTH(Movimientos_2026[[#This Row],[Fecha]])</f>
        <v>4</v>
      </c>
      <c r="C1269" s="12" t="str">
        <f>VLOOKUP((WEEKDAY(Movimientos_2026[[#This Row],[Fecha]],2)),'5. Setup'!$D$6:$E$12,2,FALSE)</f>
        <v>Mie</v>
      </c>
      <c r="D1269">
        <v>2014362</v>
      </c>
      <c r="E1269" t="str">
        <f>IFERROR(+VLOOKUP(Movimientos_2026[[#This Row],[Codigo]],Plan_cuentas[],2,FALSE)," ")</f>
        <v>EGRESOS</v>
      </c>
      <c r="F1269" t="str">
        <f>IFERROR(+VLOOKUP(Movimientos_2026[[#This Row],[Codigo]],Plan_cuentas[],3,FALSE)," ")</f>
        <v>BtoB</v>
      </c>
      <c r="G1269" t="str">
        <f>IFERROR(+VLOOKUP(Movimientos_2026[[#This Row],[Codigo]],Plan_cuentas[],4,FALSE)," ")</f>
        <v>Rentas</v>
      </c>
      <c r="H1269" t="str">
        <f>IFERROR(+VLOOKUP(Movimientos_2026[[#This Row],[Codigo]],Plan_cuentas[],5,FALSE)," ")</f>
        <v>SAN LUIS</v>
      </c>
      <c r="I1269" s="43">
        <v>46082</v>
      </c>
      <c r="J1269" t="s">
        <v>535</v>
      </c>
      <c r="K1269" t="str">
        <f>IFERROR(+VLOOKUP(Movimientos_2026[[#This Row],[Codigo]],Plan_cuentas[],6,FALSE)," ")</f>
        <v>2 - PR - Plan Rombo</v>
      </c>
      <c r="L1269" s="50"/>
      <c r="M1269" s="52">
        <v>6759142.6699999999</v>
      </c>
      <c r="N1269" s="20">
        <f>+Movimientos_2026[[#This Row],[Ingresos]]-Movimientos_2026[[#This Row],[Egresos]]</f>
        <v>-6759142.6699999999</v>
      </c>
      <c r="O1269" s="20">
        <f>+O1268+Movimientos_2026[[#This Row],[Neto]]</f>
        <v>5535030782.566679</v>
      </c>
    </row>
    <row r="1270" spans="1:15" x14ac:dyDescent="0.25">
      <c r="A1270" s="13">
        <v>46127</v>
      </c>
      <c r="B1270" s="12">
        <f>MONTH(Movimientos_2026[[#This Row],[Fecha]])</f>
        <v>4</v>
      </c>
      <c r="C1270" s="12" t="str">
        <f>VLOOKUP((WEEKDAY(Movimientos_2026[[#This Row],[Fecha]],2)),'5. Setup'!$D$6:$E$12,2,FALSE)</f>
        <v>Mie</v>
      </c>
      <c r="D1270">
        <v>2044122</v>
      </c>
      <c r="E1270" t="str">
        <f>IFERROR(+VLOOKUP(Movimientos_2026[[#This Row],[Codigo]],Plan_cuentas[],2,FALSE)," ")</f>
        <v>EGRESOS</v>
      </c>
      <c r="F1270" t="str">
        <f>IFERROR(+VLOOKUP(Movimientos_2026[[#This Row],[Codigo]],Plan_cuentas[],3,FALSE)," ")</f>
        <v>Transferencia</v>
      </c>
      <c r="G1270" t="str">
        <f>IFERROR(+VLOOKUP(Movimientos_2026[[#This Row],[Codigo]],Plan_cuentas[],4,FALSE)," ")</f>
        <v>Rentas</v>
      </c>
      <c r="H1270" t="str">
        <f>IFERROR(+VLOOKUP(Movimientos_2026[[#This Row],[Codigo]],Plan_cuentas[],5,FALSE)," ")</f>
        <v>BAPRO</v>
      </c>
      <c r="I1270" s="43">
        <v>46082</v>
      </c>
      <c r="J1270" t="s">
        <v>536</v>
      </c>
      <c r="K1270" t="str">
        <f>IFERROR(+VLOOKUP(Movimientos_2026[[#This Row],[Codigo]],Plan_cuentas[],6,FALSE)," ")</f>
        <v>2 - PR - Plan Rombo</v>
      </c>
      <c r="L1270" s="50"/>
      <c r="M1270" s="50">
        <v>16069881.9</v>
      </c>
      <c r="N1270" s="20">
        <f>+Movimientos_2026[[#This Row],[Ingresos]]-Movimientos_2026[[#This Row],[Egresos]]</f>
        <v>-16069881.9</v>
      </c>
      <c r="O1270" s="20">
        <f>+O1269+Movimientos_2026[[#This Row],[Neto]]</f>
        <v>5518960900.6666794</v>
      </c>
    </row>
    <row r="1271" spans="1:15" x14ac:dyDescent="0.25">
      <c r="A1271" s="13">
        <v>46127</v>
      </c>
      <c r="B1271" s="12">
        <f>MONTH(Movimientos_2026[[#This Row],[Fecha]])</f>
        <v>4</v>
      </c>
      <c r="C1271" s="12" t="str">
        <f>VLOOKUP((WEEKDAY(Movimientos_2026[[#This Row],[Fecha]],2)),'5. Setup'!$D$6:$E$12,2,FALSE)</f>
        <v>Mie</v>
      </c>
      <c r="D1271">
        <v>2044122</v>
      </c>
      <c r="E1271" t="str">
        <f>IFERROR(+VLOOKUP(Movimientos_2026[[#This Row],[Codigo]],Plan_cuentas[],2,FALSE)," ")</f>
        <v>EGRESOS</v>
      </c>
      <c r="F1271" t="str">
        <f>IFERROR(+VLOOKUP(Movimientos_2026[[#This Row],[Codigo]],Plan_cuentas[],3,FALSE)," ")</f>
        <v>Transferencia</v>
      </c>
      <c r="G1271" t="str">
        <f>IFERROR(+VLOOKUP(Movimientos_2026[[#This Row],[Codigo]],Plan_cuentas[],4,FALSE)," ")</f>
        <v>Rentas</v>
      </c>
      <c r="H1271" t="str">
        <f>IFERROR(+VLOOKUP(Movimientos_2026[[#This Row],[Codigo]],Plan_cuentas[],5,FALSE)," ")</f>
        <v>BAPRO</v>
      </c>
      <c r="I1271" s="43">
        <v>46082</v>
      </c>
      <c r="J1271" t="s">
        <v>537</v>
      </c>
      <c r="K1271" t="str">
        <f>IFERROR(+VLOOKUP(Movimientos_2026[[#This Row],[Codigo]],Plan_cuentas[],6,FALSE)," ")</f>
        <v>2 - PR - Plan Rombo</v>
      </c>
      <c r="L1271" s="50"/>
      <c r="M1271" s="50">
        <v>14150321.199999999</v>
      </c>
      <c r="N1271" s="20">
        <f>+Movimientos_2026[[#This Row],[Ingresos]]-Movimientos_2026[[#This Row],[Egresos]]</f>
        <v>-14150321.199999999</v>
      </c>
      <c r="O1271" s="20">
        <f>+O1270+Movimientos_2026[[#This Row],[Neto]]</f>
        <v>5504810579.4666796</v>
      </c>
    </row>
    <row r="1272" spans="1:15" x14ac:dyDescent="0.25">
      <c r="A1272" s="13">
        <v>46128</v>
      </c>
      <c r="B1272" s="12">
        <f>MONTH(Movimientos_2026[[#This Row],[Fecha]])</f>
        <v>4</v>
      </c>
      <c r="C1272" s="12" t="str">
        <f>VLOOKUP((WEEKDAY(Movimientos_2026[[#This Row],[Fecha]],2)),'5. Setup'!$D$6:$E$12,2,FALSE)</f>
        <v>Jue</v>
      </c>
      <c r="D1272">
        <v>2014263</v>
      </c>
      <c r="E1272" t="str">
        <f>IFERROR(+VLOOKUP(Movimientos_2026[[#This Row],[Codigo]],Plan_cuentas[],2,FALSE)," ")</f>
        <v>EGRESOS</v>
      </c>
      <c r="F1272" t="str">
        <f>IFERROR(+VLOOKUP(Movimientos_2026[[#This Row],[Codigo]],Plan_cuentas[],3,FALSE)," ")</f>
        <v>BtoB</v>
      </c>
      <c r="G1272" t="str">
        <f>IFERROR(+VLOOKUP(Movimientos_2026[[#This Row],[Codigo]],Plan_cuentas[],4,FALSE)," ")</f>
        <v>Rentas</v>
      </c>
      <c r="H1272" t="str">
        <f>IFERROR(+VLOOKUP(Movimientos_2026[[#This Row],[Codigo]],Plan_cuentas[],5,FALSE)," ")</f>
        <v>LA PAMPA</v>
      </c>
      <c r="I1272" s="43">
        <v>46082</v>
      </c>
      <c r="J1272" t="s">
        <v>538</v>
      </c>
      <c r="K1272" t="str">
        <f>IFERROR(+VLOOKUP(Movimientos_2026[[#This Row],[Codigo]],Plan_cuentas[],6,FALSE)," ")</f>
        <v>3 - GM - Chevrolet</v>
      </c>
      <c r="L1272" s="50"/>
      <c r="M1272" s="50">
        <v>7877681.4299999997</v>
      </c>
      <c r="N1272" s="20">
        <f>+Movimientos_2026[[#This Row],[Ingresos]]-Movimientos_2026[[#This Row],[Egresos]]</f>
        <v>-7877681.4299999997</v>
      </c>
      <c r="O1272" s="20">
        <f>+O1270+Movimientos_2026[[#This Row],[Neto]]</f>
        <v>5511083219.2366791</v>
      </c>
    </row>
    <row r="1273" spans="1:15" x14ac:dyDescent="0.25">
      <c r="A1273" s="13">
        <v>46128</v>
      </c>
      <c r="B1273" s="12">
        <f>MONTH(Movimientos_2026[[#This Row],[Fecha]])</f>
        <v>4</v>
      </c>
      <c r="C1273" s="12" t="str">
        <f>VLOOKUP((WEEKDAY(Movimientos_2026[[#This Row],[Fecha]],2)),'5. Setup'!$D$6:$E$12,2,FALSE)</f>
        <v>Jue</v>
      </c>
      <c r="D1273">
        <v>2014353</v>
      </c>
      <c r="E1273" t="str">
        <f>IFERROR(+VLOOKUP(Movimientos_2026[[#This Row],[Codigo]],Plan_cuentas[],2,FALSE)," ")</f>
        <v>EGRESOS</v>
      </c>
      <c r="F1273" t="str">
        <f>IFERROR(+VLOOKUP(Movimientos_2026[[#This Row],[Codigo]],Plan_cuentas[],3,FALSE)," ")</f>
        <v>BtoB</v>
      </c>
      <c r="G1273" t="str">
        <f>IFERROR(+VLOOKUP(Movimientos_2026[[#This Row],[Codigo]],Plan_cuentas[],4,FALSE)," ")</f>
        <v>Rentas</v>
      </c>
      <c r="H1273" t="str">
        <f>IFERROR(+VLOOKUP(Movimientos_2026[[#This Row],[Codigo]],Plan_cuentas[],5,FALSE)," ")</f>
        <v>SAN JUAN</v>
      </c>
      <c r="I1273" s="43">
        <v>46082</v>
      </c>
      <c r="J1273" t="s">
        <v>539</v>
      </c>
      <c r="K1273" t="str">
        <f>IFERROR(+VLOOKUP(Movimientos_2026[[#This Row],[Codigo]],Plan_cuentas[],6,FALSE)," ")</f>
        <v>3 - GM - Chevrolet</v>
      </c>
      <c r="L1273" s="50"/>
      <c r="M1273" s="50">
        <v>10314923.52</v>
      </c>
      <c r="N1273" s="20">
        <f>+Movimientos_2026[[#This Row],[Ingresos]]-Movimientos_2026[[#This Row],[Egresos]]</f>
        <v>-10314923.52</v>
      </c>
      <c r="O1273" s="20">
        <f>+O1272+Movimientos_2026[[#This Row],[Neto]]</f>
        <v>5500768295.7166786</v>
      </c>
    </row>
    <row r="1274" spans="1:15" x14ac:dyDescent="0.25">
      <c r="A1274" s="13">
        <v>46128</v>
      </c>
      <c r="B1274" s="12">
        <f>MONTH(Movimientos_2026[[#This Row],[Fecha]])</f>
        <v>4</v>
      </c>
      <c r="C1274" s="12" t="str">
        <f>VLOOKUP((WEEKDAY(Movimientos_2026[[#This Row],[Fecha]],2)),'5. Setup'!$D$6:$E$12,2,FALSE)</f>
        <v>Jue</v>
      </c>
      <c r="D1274">
        <v>2044122</v>
      </c>
      <c r="E1274" t="str">
        <f>IFERROR(+VLOOKUP(Movimientos_2026[[#This Row],[Codigo]],Plan_cuentas[],2,FALSE)," ")</f>
        <v>EGRESOS</v>
      </c>
      <c r="F1274" t="str">
        <f>IFERROR(+VLOOKUP(Movimientos_2026[[#This Row],[Codigo]],Plan_cuentas[],3,FALSE)," ")</f>
        <v>Transferencia</v>
      </c>
      <c r="G1274" t="str">
        <f>IFERROR(+VLOOKUP(Movimientos_2026[[#This Row],[Codigo]],Plan_cuentas[],4,FALSE)," ")</f>
        <v>Rentas</v>
      </c>
      <c r="H1274" t="str">
        <f>IFERROR(+VLOOKUP(Movimientos_2026[[#This Row],[Codigo]],Plan_cuentas[],5,FALSE)," ")</f>
        <v>BAPRO</v>
      </c>
      <c r="I1274" s="43">
        <v>46082</v>
      </c>
      <c r="J1274" t="s">
        <v>540</v>
      </c>
      <c r="K1274" t="str">
        <f>IFERROR(+VLOOKUP(Movimientos_2026[[#This Row],[Codigo]],Plan_cuentas[],6,FALSE)," ")</f>
        <v>2 - PR - Plan Rombo</v>
      </c>
      <c r="L1274" s="50"/>
      <c r="M1274" s="52">
        <v>16917532.199999999</v>
      </c>
      <c r="N1274" s="20">
        <f>+Movimientos_2026[[#This Row],[Ingresos]]-Movimientos_2026[[#This Row],[Egresos]]</f>
        <v>-16917532.199999999</v>
      </c>
      <c r="O1274" s="20">
        <f>+O1273+Movimientos_2026[[#This Row],[Neto]]</f>
        <v>5483850763.5166788</v>
      </c>
    </row>
    <row r="1275" spans="1:15" x14ac:dyDescent="0.25">
      <c r="A1275" s="13">
        <v>46128</v>
      </c>
      <c r="B1275" s="12">
        <f>MONTH(Movimientos_2026[[#This Row],[Fecha]])</f>
        <v>4</v>
      </c>
      <c r="C1275" s="12" t="str">
        <f>VLOOKUP((WEEKDAY(Movimientos_2026[[#This Row],[Fecha]],2)),'5. Setup'!$D$6:$E$12,2,FALSE)</f>
        <v>Jue</v>
      </c>
      <c r="D1275">
        <v>2044122</v>
      </c>
      <c r="E1275" t="str">
        <f>IFERROR(+VLOOKUP(Movimientos_2026[[#This Row],[Codigo]],Plan_cuentas[],2,FALSE)," ")</f>
        <v>EGRESOS</v>
      </c>
      <c r="F1275" t="str">
        <f>IFERROR(+VLOOKUP(Movimientos_2026[[#This Row],[Codigo]],Plan_cuentas[],3,FALSE)," ")</f>
        <v>Transferencia</v>
      </c>
      <c r="G1275" t="str">
        <f>IFERROR(+VLOOKUP(Movimientos_2026[[#This Row],[Codigo]],Plan_cuentas[],4,FALSE)," ")</f>
        <v>Rentas</v>
      </c>
      <c r="H1275" t="str">
        <f>IFERROR(+VLOOKUP(Movimientos_2026[[#This Row],[Codigo]],Plan_cuentas[],5,FALSE)," ")</f>
        <v>BAPRO</v>
      </c>
      <c r="I1275" s="43">
        <v>46082</v>
      </c>
      <c r="J1275" t="s">
        <v>541</v>
      </c>
      <c r="K1275" t="str">
        <f>IFERROR(+VLOOKUP(Movimientos_2026[[#This Row],[Codigo]],Plan_cuentas[],6,FALSE)," ")</f>
        <v>2 - PR - Plan Rombo</v>
      </c>
      <c r="L1275" s="50"/>
      <c r="M1275" s="50">
        <v>15612739.300000001</v>
      </c>
      <c r="N1275" s="20">
        <f>+Movimientos_2026[[#This Row],[Ingresos]]-Movimientos_2026[[#This Row],[Egresos]]</f>
        <v>-15612739.300000001</v>
      </c>
      <c r="O1275" s="20">
        <f>+O1274+Movimientos_2026[[#This Row],[Neto]]</f>
        <v>5468238024.2166786</v>
      </c>
    </row>
    <row r="1276" spans="1:15" x14ac:dyDescent="0.25">
      <c r="A1276" s="13">
        <v>46128</v>
      </c>
      <c r="B1276" s="12">
        <f>MONTH(Movimientos_2026[[#This Row],[Fecha]])</f>
        <v>4</v>
      </c>
      <c r="C1276" s="12" t="str">
        <f>VLOOKUP((WEEKDAY(Movimientos_2026[[#This Row],[Fecha]],2)),'5. Setup'!$D$6:$E$12,2,FALSE)</f>
        <v>Jue</v>
      </c>
      <c r="D1276">
        <v>2044122</v>
      </c>
      <c r="E1276" t="str">
        <f>IFERROR(+VLOOKUP(Movimientos_2026[[#This Row],[Codigo]],Plan_cuentas[],2,FALSE)," ")</f>
        <v>EGRESOS</v>
      </c>
      <c r="F1276" t="str">
        <f>IFERROR(+VLOOKUP(Movimientos_2026[[#This Row],[Codigo]],Plan_cuentas[],3,FALSE)," ")</f>
        <v>Transferencia</v>
      </c>
      <c r="G1276" t="str">
        <f>IFERROR(+VLOOKUP(Movimientos_2026[[#This Row],[Codigo]],Plan_cuentas[],4,FALSE)," ")</f>
        <v>Rentas</v>
      </c>
      <c r="H1276" t="str">
        <f>IFERROR(+VLOOKUP(Movimientos_2026[[#This Row],[Codigo]],Plan_cuentas[],5,FALSE)," ")</f>
        <v>BAPRO</v>
      </c>
      <c r="I1276" s="43">
        <v>46082</v>
      </c>
      <c r="J1276" t="s">
        <v>542</v>
      </c>
      <c r="K1276" t="str">
        <f>IFERROR(+VLOOKUP(Movimientos_2026[[#This Row],[Codigo]],Plan_cuentas[],6,FALSE)," ")</f>
        <v>2 - PR - Plan Rombo</v>
      </c>
      <c r="L1276" s="50"/>
      <c r="M1276" s="50">
        <v>15621504.800000001</v>
      </c>
      <c r="N1276" s="20">
        <f>+Movimientos_2026[[#This Row],[Ingresos]]-Movimientos_2026[[#This Row],[Egresos]]</f>
        <v>-15621504.800000001</v>
      </c>
      <c r="O1276" s="20">
        <f>+O1275+Movimientos_2026[[#This Row],[Neto]]</f>
        <v>5452616519.4166784</v>
      </c>
    </row>
    <row r="1277" spans="1:15" x14ac:dyDescent="0.25">
      <c r="A1277" s="13">
        <v>46128</v>
      </c>
      <c r="B1277" s="12">
        <f>MONTH(Movimientos_2026[[#This Row],[Fecha]])</f>
        <v>4</v>
      </c>
      <c r="C1277" s="12" t="str">
        <f>VLOOKUP((WEEKDAY(Movimientos_2026[[#This Row],[Fecha]],2)),'5. Setup'!$D$6:$E$12,2,FALSE)</f>
        <v>Jue</v>
      </c>
      <c r="D1277">
        <v>2044122</v>
      </c>
      <c r="E1277" t="str">
        <f>IFERROR(+VLOOKUP(Movimientos_2026[[#This Row],[Codigo]],Plan_cuentas[],2,FALSE)," ")</f>
        <v>EGRESOS</v>
      </c>
      <c r="F1277" t="str">
        <f>IFERROR(+VLOOKUP(Movimientos_2026[[#This Row],[Codigo]],Plan_cuentas[],3,FALSE)," ")</f>
        <v>Transferencia</v>
      </c>
      <c r="G1277" t="str">
        <f>IFERROR(+VLOOKUP(Movimientos_2026[[#This Row],[Codigo]],Plan_cuentas[],4,FALSE)," ")</f>
        <v>Rentas</v>
      </c>
      <c r="H1277" t="str">
        <f>IFERROR(+VLOOKUP(Movimientos_2026[[#This Row],[Codigo]],Plan_cuentas[],5,FALSE)," ")</f>
        <v>BAPRO</v>
      </c>
      <c r="I1277" s="43">
        <v>46082</v>
      </c>
      <c r="J1277" t="s">
        <v>543</v>
      </c>
      <c r="K1277" t="str">
        <f>IFERROR(+VLOOKUP(Movimientos_2026[[#This Row],[Codigo]],Plan_cuentas[],6,FALSE)," ")</f>
        <v>2 - PR - Plan Rombo</v>
      </c>
      <c r="L1277" s="50"/>
      <c r="M1277" s="50">
        <v>14569300.6</v>
      </c>
      <c r="N1277" s="20">
        <f>+Movimientos_2026[[#This Row],[Ingresos]]-Movimientos_2026[[#This Row],[Egresos]]</f>
        <v>-14569300.6</v>
      </c>
      <c r="O1277" s="20">
        <f>+O1276+Movimientos_2026[[#This Row],[Neto]]</f>
        <v>5438047218.816678</v>
      </c>
    </row>
    <row r="1278" spans="1:15" x14ac:dyDescent="0.25">
      <c r="A1278" s="13">
        <v>46129</v>
      </c>
      <c r="B1278" s="12">
        <f>MONTH(Movimientos_2026[[#This Row],[Fecha]])</f>
        <v>4</v>
      </c>
      <c r="C1278" s="12" t="str">
        <f>VLOOKUP((WEEKDAY(Movimientos_2026[[#This Row],[Fecha]],2)),'5. Setup'!$D$6:$E$12,2,FALSE)</f>
        <v>Vie</v>
      </c>
      <c r="D1278">
        <v>2021131</v>
      </c>
      <c r="E1278" t="str">
        <f>IFERROR(+VLOOKUP(Movimientos_2026[[#This Row],[Codigo]],Plan_cuentas[],2,FALSE)," ")</f>
        <v>EGRESOS</v>
      </c>
      <c r="F1278" t="str">
        <f>IFERROR(+VLOOKUP(Movimientos_2026[[#This Row],[Codigo]],Plan_cuentas[],3,FALSE)," ")</f>
        <v>DDJJ</v>
      </c>
      <c r="G1278" t="str">
        <f>IFERROR(+VLOOKUP(Movimientos_2026[[#This Row],[Codigo]],Plan_cuentas[],4,FALSE)," ")</f>
        <v>Entidades co-participadas</v>
      </c>
      <c r="H1278" t="str">
        <f>IFERROR(+VLOOKUP(Movimientos_2026[[#This Row],[Codigo]],Plan_cuentas[],5,FALSE)," ")</f>
        <v>BCLP</v>
      </c>
      <c r="I1278" s="43">
        <v>46082</v>
      </c>
      <c r="J1278" t="s">
        <v>544</v>
      </c>
      <c r="K1278" t="str">
        <f>IFERROR(+VLOOKUP(Movimientos_2026[[#This Row],[Codigo]],Plan_cuentas[],6,FALSE)," ")</f>
        <v>1 - VW - Volkswagen</v>
      </c>
      <c r="L1278" s="50"/>
      <c r="M1278" s="50">
        <v>9780863.9299999997</v>
      </c>
      <c r="N1278" s="20">
        <f>+Movimientos_2026[[#This Row],[Ingresos]]-Movimientos_2026[[#This Row],[Egresos]]</f>
        <v>-9780863.9299999997</v>
      </c>
      <c r="O1278" s="20">
        <f>+O1277+Movimientos_2026[[#This Row],[Neto]]</f>
        <v>5428266354.8866777</v>
      </c>
    </row>
    <row r="1279" spans="1:15" x14ac:dyDescent="0.25">
      <c r="A1279" s="13">
        <v>46129</v>
      </c>
      <c r="B1279" s="12">
        <f>MONTH(Movimientos_2026[[#This Row],[Fecha]])</f>
        <v>4</v>
      </c>
      <c r="C1279" s="12" t="str">
        <f>VLOOKUP((WEEKDAY(Movimientos_2026[[#This Row],[Fecha]],2)),'5. Setup'!$D$6:$E$12,2,FALSE)</f>
        <v>Vie</v>
      </c>
      <c r="D1279">
        <v>2021133</v>
      </c>
      <c r="E1279" t="str">
        <f>IFERROR(+VLOOKUP(Movimientos_2026[[#This Row],[Codigo]],Plan_cuentas[],2,FALSE)," ")</f>
        <v>EGRESOS</v>
      </c>
      <c r="F1279" t="str">
        <f>IFERROR(+VLOOKUP(Movimientos_2026[[#This Row],[Codigo]],Plan_cuentas[],3,FALSE)," ")</f>
        <v>DDJJ</v>
      </c>
      <c r="G1279" t="str">
        <f>IFERROR(+VLOOKUP(Movimientos_2026[[#This Row],[Codigo]],Plan_cuentas[],4,FALSE)," ")</f>
        <v>Entidades co-participadas</v>
      </c>
      <c r="H1279" t="str">
        <f>IFERROR(+VLOOKUP(Movimientos_2026[[#This Row],[Codigo]],Plan_cuentas[],5,FALSE)," ")</f>
        <v>BCLP</v>
      </c>
      <c r="I1279" s="43">
        <v>46082</v>
      </c>
      <c r="J1279" t="s">
        <v>544</v>
      </c>
      <c r="K1279" t="str">
        <f>IFERROR(+VLOOKUP(Movimientos_2026[[#This Row],[Codigo]],Plan_cuentas[],6,FALSE)," ")</f>
        <v>3 - GM - Chevrolet</v>
      </c>
      <c r="L1279" s="50"/>
      <c r="M1279" s="52">
        <v>8077090.8899999997</v>
      </c>
      <c r="N1279" s="20">
        <f>+Movimientos_2026[[#This Row],[Ingresos]]-Movimientos_2026[[#This Row],[Egresos]]</f>
        <v>-8077090.8899999997</v>
      </c>
      <c r="O1279" s="20">
        <f>+O1278+Movimientos_2026[[#This Row],[Neto]]</f>
        <v>5420189263.9966774</v>
      </c>
    </row>
    <row r="1280" spans="1:15" x14ac:dyDescent="0.25">
      <c r="A1280" s="13">
        <v>46129</v>
      </c>
      <c r="B1280" s="12">
        <f>MONTH(Movimientos_2026[[#This Row],[Fecha]])</f>
        <v>4</v>
      </c>
      <c r="C1280" s="12" t="str">
        <f>VLOOKUP((WEEKDAY(Movimientos_2026[[#This Row],[Fecha]],2)),'5. Setup'!$D$6:$E$12,2,FALSE)</f>
        <v>Vie</v>
      </c>
      <c r="D1280">
        <v>2021134</v>
      </c>
      <c r="E1280" t="str">
        <f>IFERROR(+VLOOKUP(Movimientos_2026[[#This Row],[Codigo]],Plan_cuentas[],2,FALSE)," ")</f>
        <v>EGRESOS</v>
      </c>
      <c r="F1280" t="str">
        <f>IFERROR(+VLOOKUP(Movimientos_2026[[#This Row],[Codigo]],Plan_cuentas[],3,FALSE)," ")</f>
        <v>DDJJ</v>
      </c>
      <c r="G1280" t="str">
        <f>IFERROR(+VLOOKUP(Movimientos_2026[[#This Row],[Codigo]],Plan_cuentas[],4,FALSE)," ")</f>
        <v>Entidades co-participadas</v>
      </c>
      <c r="H1280" t="str">
        <f>IFERROR(+VLOOKUP(Movimientos_2026[[#This Row],[Codigo]],Plan_cuentas[],5,FALSE)," ")</f>
        <v>BCLP</v>
      </c>
      <c r="I1280" s="43">
        <v>46082</v>
      </c>
      <c r="J1280" t="s">
        <v>544</v>
      </c>
      <c r="K1280" t="str">
        <f>IFERROR(+VLOOKUP(Movimientos_2026[[#This Row],[Codigo]],Plan_cuentas[],6,FALSE)," ")</f>
        <v>4 - FCA - Fiat</v>
      </c>
      <c r="L1280" s="50"/>
      <c r="M1280" s="52">
        <v>13483994.24</v>
      </c>
      <c r="N1280" s="20">
        <f>+Movimientos_2026[[#This Row],[Ingresos]]-Movimientos_2026[[#This Row],[Egresos]]</f>
        <v>-13483994.24</v>
      </c>
      <c r="O1280" s="20">
        <f>+O1279+Movimientos_2026[[#This Row],[Neto]]</f>
        <v>5406705269.7566776</v>
      </c>
    </row>
    <row r="1281" spans="1:15" x14ac:dyDescent="0.25">
      <c r="A1281" s="13">
        <v>46129</v>
      </c>
      <c r="B1281" s="12">
        <f>MONTH(Movimientos_2026[[#This Row],[Fecha]])</f>
        <v>4</v>
      </c>
      <c r="C1281" s="12" t="str">
        <f>VLOOKUP((WEEKDAY(Movimientos_2026[[#This Row],[Fecha]],2)),'5. Setup'!$D$6:$E$12,2,FALSE)</f>
        <v>Vie</v>
      </c>
      <c r="D1281">
        <v>2023141</v>
      </c>
      <c r="E1281" t="str">
        <f>IFERROR(+VLOOKUP(Movimientos_2026[[#This Row],[Codigo]],Plan_cuentas[],2,FALSE)," ")</f>
        <v>EGRESOS</v>
      </c>
      <c r="F1281" t="str">
        <f>IFERROR(+VLOOKUP(Movimientos_2026[[#This Row],[Codigo]],Plan_cuentas[],3,FALSE)," ")</f>
        <v>DDJJ</v>
      </c>
      <c r="G1281" t="str">
        <f>IFERROR(+VLOOKUP(Movimientos_2026[[#This Row],[Codigo]],Plan_cuentas[],4,FALSE)," ")</f>
        <v>Registración</v>
      </c>
      <c r="H1281" t="str">
        <f>IFERROR(+VLOOKUP(Movimientos_2026[[#This Row],[Codigo]],Plan_cuentas[],5,FALSE)," ")</f>
        <v>BUENOS AIRES</v>
      </c>
      <c r="I1281" s="43">
        <v>46082</v>
      </c>
      <c r="J1281" t="s">
        <v>545</v>
      </c>
      <c r="K1281" t="str">
        <f>IFERROR(+VLOOKUP(Movimientos_2026[[#This Row],[Codigo]],Plan_cuentas[],6,FALSE)," ")</f>
        <v>1 - VW - Volkswagen</v>
      </c>
      <c r="L1281" s="50"/>
      <c r="M1281" s="52">
        <v>361092774.5</v>
      </c>
      <c r="N1281" s="20">
        <f>+Movimientos_2026[[#This Row],[Ingresos]]-Movimientos_2026[[#This Row],[Egresos]]</f>
        <v>-361092774.5</v>
      </c>
      <c r="O1281" s="20">
        <f>+O1280+Movimientos_2026[[#This Row],[Neto]]</f>
        <v>5045612495.2566776</v>
      </c>
    </row>
    <row r="1282" spans="1:15" x14ac:dyDescent="0.25">
      <c r="A1282" s="13">
        <v>46129</v>
      </c>
      <c r="B1282" s="12">
        <f>MONTH(Movimientos_2026[[#This Row],[Fecha]])</f>
        <v>4</v>
      </c>
      <c r="C1282" s="12" t="str">
        <f>VLOOKUP((WEEKDAY(Movimientos_2026[[#This Row],[Fecha]],2)),'5. Setup'!$D$6:$E$12,2,FALSE)</f>
        <v>Vie</v>
      </c>
      <c r="D1282">
        <v>2023142</v>
      </c>
      <c r="E1282" t="str">
        <f>IFERROR(+VLOOKUP(Movimientos_2026[[#This Row],[Codigo]],Plan_cuentas[],2,FALSE)," ")</f>
        <v>EGRESOS</v>
      </c>
      <c r="F1282" t="str">
        <f>IFERROR(+VLOOKUP(Movimientos_2026[[#This Row],[Codigo]],Plan_cuentas[],3,FALSE)," ")</f>
        <v>DDJJ</v>
      </c>
      <c r="G1282" t="str">
        <f>IFERROR(+VLOOKUP(Movimientos_2026[[#This Row],[Codigo]],Plan_cuentas[],4,FALSE)," ")</f>
        <v>Registración</v>
      </c>
      <c r="H1282" t="str">
        <f>IFERROR(+VLOOKUP(Movimientos_2026[[#This Row],[Codigo]],Plan_cuentas[],5,FALSE)," ")</f>
        <v>BUENOS AIRES</v>
      </c>
      <c r="I1282" s="43">
        <v>46082</v>
      </c>
      <c r="J1282" t="s">
        <v>545</v>
      </c>
      <c r="K1282" t="str">
        <f>IFERROR(+VLOOKUP(Movimientos_2026[[#This Row],[Codigo]],Plan_cuentas[],6,FALSE)," ")</f>
        <v>2 - PR - Plan Rombo</v>
      </c>
      <c r="L1282" s="50"/>
      <c r="M1282" s="52">
        <v>560911567.04999995</v>
      </c>
      <c r="N1282" s="20">
        <f>+Movimientos_2026[[#This Row],[Ingresos]]-Movimientos_2026[[#This Row],[Egresos]]</f>
        <v>-560911567.04999995</v>
      </c>
      <c r="O1282" s="20">
        <f>+O1281+Movimientos_2026[[#This Row],[Neto]]</f>
        <v>4484700928.2066774</v>
      </c>
    </row>
    <row r="1283" spans="1:15" x14ac:dyDescent="0.25">
      <c r="A1283" s="13">
        <v>46129</v>
      </c>
      <c r="B1283" s="12">
        <f>MONTH(Movimientos_2026[[#This Row],[Fecha]])</f>
        <v>4</v>
      </c>
      <c r="C1283" s="12" t="str">
        <f>VLOOKUP((WEEKDAY(Movimientos_2026[[#This Row],[Fecha]],2)),'5. Setup'!$D$6:$E$12,2,FALSE)</f>
        <v>Vie</v>
      </c>
      <c r="D1283">
        <v>2023143</v>
      </c>
      <c r="E1283" t="str">
        <f>IFERROR(+VLOOKUP(Movimientos_2026[[#This Row],[Codigo]],Plan_cuentas[],2,FALSE)," ")</f>
        <v>EGRESOS</v>
      </c>
      <c r="F1283" t="str">
        <f>IFERROR(+VLOOKUP(Movimientos_2026[[#This Row],[Codigo]],Plan_cuentas[],3,FALSE)," ")</f>
        <v>DDJJ</v>
      </c>
      <c r="G1283" t="str">
        <f>IFERROR(+VLOOKUP(Movimientos_2026[[#This Row],[Codigo]],Plan_cuentas[],4,FALSE)," ")</f>
        <v>Registración</v>
      </c>
      <c r="H1283" t="str">
        <f>IFERROR(+VLOOKUP(Movimientos_2026[[#This Row],[Codigo]],Plan_cuentas[],5,FALSE)," ")</f>
        <v>BUENOS AIRES</v>
      </c>
      <c r="I1283" s="43">
        <v>46082</v>
      </c>
      <c r="J1283" t="s">
        <v>545</v>
      </c>
      <c r="K1283" t="str">
        <f>IFERROR(+VLOOKUP(Movimientos_2026[[#This Row],[Codigo]],Plan_cuentas[],6,FALSE)," ")</f>
        <v>3 - GM - Chevrolet</v>
      </c>
      <c r="L1283" s="50"/>
      <c r="M1283" s="52">
        <v>241557413.72</v>
      </c>
      <c r="N1283" s="20">
        <f>+Movimientos_2026[[#This Row],[Ingresos]]-Movimientos_2026[[#This Row],[Egresos]]</f>
        <v>-241557413.72</v>
      </c>
      <c r="O1283" s="20">
        <f>+O1282+Movimientos_2026[[#This Row],[Neto]]</f>
        <v>4243143514.4866776</v>
      </c>
    </row>
    <row r="1284" spans="1:15" x14ac:dyDescent="0.25">
      <c r="A1284" s="13">
        <v>46129</v>
      </c>
      <c r="B1284" s="12">
        <f>MONTH(Movimientos_2026[[#This Row],[Fecha]])</f>
        <v>4</v>
      </c>
      <c r="C1284" s="12" t="str">
        <f>VLOOKUP((WEEKDAY(Movimientos_2026[[#This Row],[Fecha]],2)),'5. Setup'!$D$6:$E$12,2,FALSE)</f>
        <v>Vie</v>
      </c>
      <c r="D1284">
        <v>2023144</v>
      </c>
      <c r="E1284" t="str">
        <f>IFERROR(+VLOOKUP(Movimientos_2026[[#This Row],[Codigo]],Plan_cuentas[],2,FALSE)," ")</f>
        <v>EGRESOS</v>
      </c>
      <c r="F1284" t="str">
        <f>IFERROR(+VLOOKUP(Movimientos_2026[[#This Row],[Codigo]],Plan_cuentas[],3,FALSE)," ")</f>
        <v>DDJJ</v>
      </c>
      <c r="G1284" t="str">
        <f>IFERROR(+VLOOKUP(Movimientos_2026[[#This Row],[Codigo]],Plan_cuentas[],4,FALSE)," ")</f>
        <v>Registración</v>
      </c>
      <c r="H1284" t="str">
        <f>IFERROR(+VLOOKUP(Movimientos_2026[[#This Row],[Codigo]],Plan_cuentas[],5,FALSE)," ")</f>
        <v>BUENOS AIRES</v>
      </c>
      <c r="I1284" s="43">
        <v>46082</v>
      </c>
      <c r="J1284" t="s">
        <v>545</v>
      </c>
      <c r="K1284" t="str">
        <f>IFERROR(+VLOOKUP(Movimientos_2026[[#This Row],[Codigo]],Plan_cuentas[],6,FALSE)," ")</f>
        <v>4 - FCA - Fiat</v>
      </c>
      <c r="L1284" s="50"/>
      <c r="M1284" s="52">
        <v>720627125.50999999</v>
      </c>
      <c r="N1284" s="20">
        <f>+Movimientos_2026[[#This Row],[Ingresos]]-Movimientos_2026[[#This Row],[Egresos]]</f>
        <v>-720627125.50999999</v>
      </c>
      <c r="O1284" s="20">
        <f>+O1283+Movimientos_2026[[#This Row],[Neto]]</f>
        <v>3522516388.9766779</v>
      </c>
    </row>
    <row r="1285" spans="1:15" x14ac:dyDescent="0.25">
      <c r="A1285" s="13">
        <v>46129</v>
      </c>
      <c r="B1285" s="12">
        <f>MONTH(Movimientos_2026[[#This Row],[Fecha]])</f>
        <v>4</v>
      </c>
      <c r="C1285" s="12" t="str">
        <f>VLOOKUP((WEEKDAY(Movimientos_2026[[#This Row],[Fecha]],2)),'5. Setup'!$D$6:$E$12,2,FALSE)</f>
        <v>Vie</v>
      </c>
      <c r="D1285">
        <v>2021441</v>
      </c>
      <c r="E1285" t="str">
        <f>IFERROR(+VLOOKUP(Movimientos_2026[[#This Row],[Codigo]],Plan_cuentas[],2,FALSE)," ")</f>
        <v>EGRESOS</v>
      </c>
      <c r="F1285" t="str">
        <f>IFERROR(+VLOOKUP(Movimientos_2026[[#This Row],[Codigo]],Plan_cuentas[],3,FALSE)," ")</f>
        <v>DDJJ</v>
      </c>
      <c r="G1285" t="str">
        <f>IFERROR(+VLOOKUP(Movimientos_2026[[#This Row],[Codigo]],Plan_cuentas[],4,FALSE)," ")</f>
        <v>Entidades co-participadas</v>
      </c>
      <c r="H1285" t="str">
        <f>IFERROR(+VLOOKUP(Movimientos_2026[[#This Row],[Codigo]],Plan_cuentas[],5,FALSE)," ")</f>
        <v>UISCUMARR</v>
      </c>
      <c r="I1285" s="43">
        <v>46082</v>
      </c>
      <c r="J1285" t="s">
        <v>546</v>
      </c>
      <c r="K1285" t="str">
        <f>IFERROR(+VLOOKUP(Movimientos_2026[[#This Row],[Codigo]],Plan_cuentas[],6,FALSE)," ")</f>
        <v>1 - VW - Volkswagen</v>
      </c>
      <c r="L1285" s="50"/>
      <c r="M1285" s="50">
        <v>158777558.86000001</v>
      </c>
      <c r="N1285" s="20">
        <f>+Movimientos_2026[[#This Row],[Ingresos]]-Movimientos_2026[[#This Row],[Egresos]]</f>
        <v>-158777558.86000001</v>
      </c>
      <c r="O1285" s="20">
        <f>+O1284+Movimientos_2026[[#This Row],[Neto]]</f>
        <v>3363738830.1166778</v>
      </c>
    </row>
    <row r="1286" spans="1:15" x14ac:dyDescent="0.25">
      <c r="A1286" s="13">
        <v>46129</v>
      </c>
      <c r="B1286" s="12">
        <f>MONTH(Movimientos_2026[[#This Row],[Fecha]])</f>
        <v>4</v>
      </c>
      <c r="C1286" s="12" t="str">
        <f>VLOOKUP((WEEKDAY(Movimientos_2026[[#This Row],[Fecha]],2)),'5. Setup'!$D$6:$E$12,2,FALSE)</f>
        <v>Vie</v>
      </c>
      <c r="D1286">
        <v>2021443</v>
      </c>
      <c r="E1286" t="str">
        <f>IFERROR(+VLOOKUP(Movimientos_2026[[#This Row],[Codigo]],Plan_cuentas[],2,FALSE)," ")</f>
        <v>EGRESOS</v>
      </c>
      <c r="F1286" t="str">
        <f>IFERROR(+VLOOKUP(Movimientos_2026[[#This Row],[Codigo]],Plan_cuentas[],3,FALSE)," ")</f>
        <v>DDJJ</v>
      </c>
      <c r="G1286" t="str">
        <f>IFERROR(+VLOOKUP(Movimientos_2026[[#This Row],[Codigo]],Plan_cuentas[],4,FALSE)," ")</f>
        <v>Entidades co-participadas</v>
      </c>
      <c r="H1286" t="str">
        <f>IFERROR(+VLOOKUP(Movimientos_2026[[#This Row],[Codigo]],Plan_cuentas[],5,FALSE)," ")</f>
        <v>UISCUMARR</v>
      </c>
      <c r="I1286" s="43">
        <v>46082</v>
      </c>
      <c r="J1286" t="s">
        <v>546</v>
      </c>
      <c r="K1286" t="str">
        <f>IFERROR(+VLOOKUP(Movimientos_2026[[#This Row],[Codigo]],Plan_cuentas[],6,FALSE)," ")</f>
        <v>3 - GM - Chevrolet</v>
      </c>
      <c r="L1286" s="50"/>
      <c r="M1286" s="50">
        <v>29410274.760000002</v>
      </c>
      <c r="N1286" s="20">
        <f>+Movimientos_2026[[#This Row],[Ingresos]]-Movimientos_2026[[#This Row],[Egresos]]</f>
        <v>-29410274.760000002</v>
      </c>
      <c r="O1286" s="20">
        <f>+O1285+Movimientos_2026[[#This Row],[Neto]]</f>
        <v>3334328555.3566775</v>
      </c>
    </row>
    <row r="1287" spans="1:15" x14ac:dyDescent="0.25">
      <c r="A1287" s="13">
        <v>46129</v>
      </c>
      <c r="B1287" s="12">
        <f>MONTH(Movimientos_2026[[#This Row],[Fecha]])</f>
        <v>4</v>
      </c>
      <c r="C1287" s="12" t="str">
        <f>VLOOKUP((WEEKDAY(Movimientos_2026[[#This Row],[Fecha]],2)),'5. Setup'!$D$6:$E$12,2,FALSE)</f>
        <v>Vie</v>
      </c>
      <c r="D1287">
        <v>2021444</v>
      </c>
      <c r="E1287" t="str">
        <f>IFERROR(+VLOOKUP(Movimientos_2026[[#This Row],[Codigo]],Plan_cuentas[],2,FALSE)," ")</f>
        <v>EGRESOS</v>
      </c>
      <c r="F1287" t="str">
        <f>IFERROR(+VLOOKUP(Movimientos_2026[[#This Row],[Codigo]],Plan_cuentas[],3,FALSE)," ")</f>
        <v>DDJJ</v>
      </c>
      <c r="G1287" t="str">
        <f>IFERROR(+VLOOKUP(Movimientos_2026[[#This Row],[Codigo]],Plan_cuentas[],4,FALSE)," ")</f>
        <v>Entidades co-participadas</v>
      </c>
      <c r="H1287" t="str">
        <f>IFERROR(+VLOOKUP(Movimientos_2026[[#This Row],[Codigo]],Plan_cuentas[],5,FALSE)," ")</f>
        <v>UISCUMARR</v>
      </c>
      <c r="I1287" s="43">
        <v>46082</v>
      </c>
      <c r="J1287" t="s">
        <v>546</v>
      </c>
      <c r="K1287" t="str">
        <f>IFERROR(+VLOOKUP(Movimientos_2026[[#This Row],[Codigo]],Plan_cuentas[],6,FALSE)," ")</f>
        <v>4 - FCA - Fiat</v>
      </c>
      <c r="L1287" s="50"/>
      <c r="M1287" s="50">
        <v>163651053.74000001</v>
      </c>
      <c r="N1287" s="20">
        <f>+Movimientos_2026[[#This Row],[Ingresos]]-Movimientos_2026[[#This Row],[Egresos]]</f>
        <v>-163651053.74000001</v>
      </c>
      <c r="O1287" s="20">
        <f>+O1286+Movimientos_2026[[#This Row],[Neto]]</f>
        <v>3170677501.6166773</v>
      </c>
    </row>
    <row r="1288" spans="1:15" x14ac:dyDescent="0.25">
      <c r="A1288" s="13">
        <v>46129</v>
      </c>
      <c r="B1288" s="12">
        <f>MONTH(Movimientos_2026[[#This Row],[Fecha]])</f>
        <v>4</v>
      </c>
      <c r="C1288" s="12" t="str">
        <f>VLOOKUP((WEEKDAY(Movimientos_2026[[#This Row],[Fecha]],2)),'5. Setup'!$D$6:$E$12,2,FALSE)</f>
        <v>Vie</v>
      </c>
      <c r="D1288">
        <v>1044486</v>
      </c>
      <c r="E1288" t="str">
        <f>IFERROR(+VLOOKUP(Movimientos_2026[[#This Row],[Codigo]],Plan_cuentas[],2,FALSE)," ")</f>
        <v>INGRESOS</v>
      </c>
      <c r="F1288" t="str">
        <f>IFERROR(+VLOOKUP(Movimientos_2026[[#This Row],[Codigo]],Plan_cuentas[],3,FALSE)," ")</f>
        <v>Transferencia</v>
      </c>
      <c r="G1288" t="str">
        <f>IFERROR(+VLOOKUP(Movimientos_2026[[#This Row],[Codigo]],Plan_cuentas[],4,FALSE)," ")</f>
        <v>Factura</v>
      </c>
      <c r="H1288" t="str">
        <f>IFERROR(+VLOOKUP(Movimientos_2026[[#This Row],[Codigo]],Plan_cuentas[],5,FALSE)," ")</f>
        <v>FC TRAMITACION</v>
      </c>
      <c r="I1288" s="43">
        <v>45992</v>
      </c>
      <c r="J1288" t="s">
        <v>547</v>
      </c>
      <c r="K1288" t="str">
        <f>IFERROR(+VLOOKUP(Movimientos_2026[[#This Row],[Codigo]],Plan_cuentas[],6,FALSE)," ")</f>
        <v>6 - FCAtr - Fiat Transf.</v>
      </c>
      <c r="L1288" s="51">
        <v>23909.16</v>
      </c>
      <c r="M1288" s="50"/>
      <c r="N1288" s="20">
        <f>+Movimientos_2026[[#This Row],[Ingresos]]-Movimientos_2026[[#This Row],[Egresos]]</f>
        <v>23909.16</v>
      </c>
      <c r="O1288" s="20">
        <f>+O1287+Movimientos_2026[[#This Row],[Neto]]</f>
        <v>3170701410.7766771</v>
      </c>
    </row>
    <row r="1289" spans="1:15" x14ac:dyDescent="0.25">
      <c r="A1289" s="13">
        <v>46129</v>
      </c>
      <c r="B1289" s="12">
        <f>MONTH(Movimientos_2026[[#This Row],[Fecha]])</f>
        <v>4</v>
      </c>
      <c r="C1289" s="12" t="str">
        <f>VLOOKUP((WEEKDAY(Movimientos_2026[[#This Row],[Fecha]],2)),'5. Setup'!$D$6:$E$12,2,FALSE)</f>
        <v>Vie</v>
      </c>
      <c r="D1289">
        <v>1044486</v>
      </c>
      <c r="E1289" t="str">
        <f>IFERROR(+VLOOKUP(Movimientos_2026[[#This Row],[Codigo]],Plan_cuentas[],2,FALSE)," ")</f>
        <v>INGRESOS</v>
      </c>
      <c r="F1289" t="str">
        <f>IFERROR(+VLOOKUP(Movimientos_2026[[#This Row],[Codigo]],Plan_cuentas[],3,FALSE)," ")</f>
        <v>Transferencia</v>
      </c>
      <c r="G1289" t="str">
        <f>IFERROR(+VLOOKUP(Movimientos_2026[[#This Row],[Codigo]],Plan_cuentas[],4,FALSE)," ")</f>
        <v>Factura</v>
      </c>
      <c r="H1289" t="str">
        <f>IFERROR(+VLOOKUP(Movimientos_2026[[#This Row],[Codigo]],Plan_cuentas[],5,FALSE)," ")</f>
        <v>FC TRAMITACION</v>
      </c>
      <c r="I1289" s="43">
        <v>46023</v>
      </c>
      <c r="J1289" t="s">
        <v>548</v>
      </c>
      <c r="K1289" t="str">
        <f>IFERROR(+VLOOKUP(Movimientos_2026[[#This Row],[Codigo]],Plan_cuentas[],6,FALSE)," ")</f>
        <v>6 - FCAtr - Fiat Transf.</v>
      </c>
      <c r="L1289" s="50">
        <v>45642586.439999998</v>
      </c>
      <c r="M1289" s="50"/>
      <c r="N1289" s="20">
        <f>+Movimientos_2026[[#This Row],[Ingresos]]-Movimientos_2026[[#This Row],[Egresos]]</f>
        <v>45642586.439999998</v>
      </c>
      <c r="O1289" s="20">
        <f>+O1288+Movimientos_2026[[#This Row],[Neto]]</f>
        <v>3216343997.2166772</v>
      </c>
    </row>
    <row r="1290" spans="1:15" x14ac:dyDescent="0.25">
      <c r="A1290" s="13">
        <v>46129</v>
      </c>
      <c r="B1290" s="12">
        <f>MONTH(Movimientos_2026[[#This Row],[Fecha]])</f>
        <v>4</v>
      </c>
      <c r="C1290" s="12" t="str">
        <f>VLOOKUP((WEEKDAY(Movimientos_2026[[#This Row],[Fecha]],2)),'5. Setup'!$D$6:$E$12,2,FALSE)</f>
        <v>Vie</v>
      </c>
      <c r="D1290">
        <v>1045474</v>
      </c>
      <c r="E1290" t="str">
        <f>IFERROR(+VLOOKUP(Movimientos_2026[[#This Row],[Codigo]],Plan_cuentas[],2,FALSE)," ")</f>
        <v>INGRESOS</v>
      </c>
      <c r="F1290" t="str">
        <f>IFERROR(+VLOOKUP(Movimientos_2026[[#This Row],[Codigo]],Plan_cuentas[],3,FALSE)," ")</f>
        <v>Transferencia</v>
      </c>
      <c r="G1290" t="str">
        <f>IFERROR(+VLOOKUP(Movimientos_2026[[#This Row],[Codigo]],Plan_cuentas[],4,FALSE)," ")</f>
        <v>Factura</v>
      </c>
      <c r="H1290" t="str">
        <f>IFERROR(+VLOOKUP(Movimientos_2026[[#This Row],[Codigo]],Plan_cuentas[],5,FALSE)," ")</f>
        <v>FC HONORARIOS</v>
      </c>
      <c r="I1290" s="43">
        <v>46023</v>
      </c>
      <c r="J1290" t="s">
        <v>549</v>
      </c>
      <c r="K1290" t="str">
        <f>IFERROR(+VLOOKUP(Movimientos_2026[[#This Row],[Codigo]],Plan_cuentas[],6,FALSE)," ")</f>
        <v>4 - FCA - Fiat</v>
      </c>
      <c r="L1290" s="52">
        <v>2582189.2799999998</v>
      </c>
      <c r="M1290" s="52"/>
      <c r="N1290" s="20">
        <f>+Movimientos_2026[[#This Row],[Ingresos]]-Movimientos_2026[[#This Row],[Egresos]]</f>
        <v>2582189.2799999998</v>
      </c>
      <c r="O1290" s="20">
        <f>+O1289+Movimientos_2026[[#This Row],[Neto]]</f>
        <v>3218926186.4966774</v>
      </c>
    </row>
    <row r="1291" spans="1:15" x14ac:dyDescent="0.25">
      <c r="A1291" s="13">
        <v>46129</v>
      </c>
      <c r="B1291" s="12">
        <f>MONTH(Movimientos_2026[[#This Row],[Fecha]])</f>
        <v>4</v>
      </c>
      <c r="C1291" s="12" t="str">
        <f>VLOOKUP((WEEKDAY(Movimientos_2026[[#This Row],[Fecha]],2)),'5. Setup'!$D$6:$E$12,2,FALSE)</f>
        <v>Vie</v>
      </c>
      <c r="D1291">
        <v>1044126</v>
      </c>
      <c r="E1291" t="str">
        <f>IFERROR(+VLOOKUP(Movimientos_2026[[#This Row],[Codigo]],Plan_cuentas[],2,FALSE)," ")</f>
        <v>INGRESOS</v>
      </c>
      <c r="F1291" t="str">
        <f>IFERROR(+VLOOKUP(Movimientos_2026[[#This Row],[Codigo]],Plan_cuentas[],3,FALSE)," ")</f>
        <v>Transferencia</v>
      </c>
      <c r="G1291" t="str">
        <f>IFERROR(+VLOOKUP(Movimientos_2026[[#This Row],[Codigo]],Plan_cuentas[],4,FALSE)," ")</f>
        <v>Rentas</v>
      </c>
      <c r="H1291" t="str">
        <f>IFERROR(+VLOOKUP(Movimientos_2026[[#This Row],[Codigo]],Plan_cuentas[],5,FALSE)," ")</f>
        <v>BAPRO</v>
      </c>
      <c r="I1291" s="43">
        <v>46023</v>
      </c>
      <c r="J1291" t="s">
        <v>550</v>
      </c>
      <c r="K1291" t="str">
        <f>IFERROR(+VLOOKUP(Movimientos_2026[[#This Row],[Codigo]],Plan_cuentas[],6,FALSE)," ")</f>
        <v>6 - FCAtr - Fiat Transf.</v>
      </c>
      <c r="L1291" s="50">
        <v>31495461.66</v>
      </c>
      <c r="M1291" s="52"/>
      <c r="N1291" s="20">
        <f>+Movimientos_2026[[#This Row],[Ingresos]]-Movimientos_2026[[#This Row],[Egresos]]</f>
        <v>31495461.66</v>
      </c>
      <c r="O1291" s="20">
        <f>+O1290+Movimientos_2026[[#This Row],[Neto]]</f>
        <v>3250421648.1566772</v>
      </c>
    </row>
    <row r="1292" spans="1:15" x14ac:dyDescent="0.25">
      <c r="A1292" s="13">
        <v>46129</v>
      </c>
      <c r="B1292" s="12">
        <f>MONTH(Movimientos_2026[[#This Row],[Fecha]])</f>
        <v>4</v>
      </c>
      <c r="C1292" s="12" t="str">
        <f>VLOOKUP((WEEKDAY(Movimientos_2026[[#This Row],[Fecha]],2)),'5. Setup'!$D$6:$E$12,2,FALSE)</f>
        <v>Vie</v>
      </c>
      <c r="D1292">
        <v>1043156</v>
      </c>
      <c r="E1292" t="str">
        <f>IFERROR(+VLOOKUP(Movimientos_2026[[#This Row],[Codigo]],Plan_cuentas[],2,FALSE)," ")</f>
        <v>INGRESOS</v>
      </c>
      <c r="F1292" t="str">
        <f>IFERROR(+VLOOKUP(Movimientos_2026[[#This Row],[Codigo]],Plan_cuentas[],3,FALSE)," ")</f>
        <v>Transferencia</v>
      </c>
      <c r="G1292" t="str">
        <f>IFERROR(+VLOOKUP(Movimientos_2026[[#This Row],[Codigo]],Plan_cuentas[],4,FALSE)," ")</f>
        <v>Registración</v>
      </c>
      <c r="H1292" t="str">
        <f>IFERROR(+VLOOKUP(Movimientos_2026[[#This Row],[Codigo]],Plan_cuentas[],5,FALSE)," ")</f>
        <v>CABA</v>
      </c>
      <c r="I1292" s="43">
        <v>46023</v>
      </c>
      <c r="J1292" t="s">
        <v>550</v>
      </c>
      <c r="K1292" t="str">
        <f>IFERROR(+VLOOKUP(Movimientos_2026[[#This Row],[Codigo]],Plan_cuentas[],6,FALSE)," ")</f>
        <v>6 - FCAtr - Fiat Transf.</v>
      </c>
      <c r="L1292" s="50">
        <v>7150116.7000000002</v>
      </c>
      <c r="M1292" s="52"/>
      <c r="N1292" s="20">
        <f>+Movimientos_2026[[#This Row],[Ingresos]]-Movimientos_2026[[#This Row],[Egresos]]</f>
        <v>7150116.7000000002</v>
      </c>
      <c r="O1292" s="20">
        <f>+O1291+Movimientos_2026[[#This Row],[Neto]]</f>
        <v>3257571764.8566771</v>
      </c>
    </row>
    <row r="1293" spans="1:15" x14ac:dyDescent="0.25">
      <c r="A1293" s="13">
        <v>46129</v>
      </c>
      <c r="B1293" s="12">
        <f>MONTH(Movimientos_2026[[#This Row],[Fecha]])</f>
        <v>4</v>
      </c>
      <c r="C1293" s="12" t="str">
        <f>VLOOKUP((WEEKDAY(Movimientos_2026[[#This Row],[Fecha]],2)),'5. Setup'!$D$6:$E$12,2,FALSE)</f>
        <v>Vie</v>
      </c>
      <c r="D1293">
        <v>1043176</v>
      </c>
      <c r="E1293" t="str">
        <f>IFERROR(+VLOOKUP(Movimientos_2026[[#This Row],[Codigo]],Plan_cuentas[],2,FALSE)," ")</f>
        <v>INGRESOS</v>
      </c>
      <c r="F1293" t="str">
        <f>IFERROR(+VLOOKUP(Movimientos_2026[[#This Row],[Codigo]],Plan_cuentas[],3,FALSE)," ")</f>
        <v>Transferencia</v>
      </c>
      <c r="G1293" t="str">
        <f>IFERROR(+VLOOKUP(Movimientos_2026[[#This Row],[Codigo]],Plan_cuentas[],4,FALSE)," ")</f>
        <v>Registración</v>
      </c>
      <c r="H1293" t="str">
        <f>IFERROR(+VLOOKUP(Movimientos_2026[[#This Row],[Codigo]],Plan_cuentas[],5,FALSE)," ")</f>
        <v>CHUBUT</v>
      </c>
      <c r="I1293" s="43">
        <v>46023</v>
      </c>
      <c r="J1293" t="s">
        <v>550</v>
      </c>
      <c r="K1293" t="str">
        <f>IFERROR(+VLOOKUP(Movimientos_2026[[#This Row],[Codigo]],Plan_cuentas[],6,FALSE)," ")</f>
        <v>6 - FCAtr - Fiat Transf.</v>
      </c>
      <c r="L1293" s="50">
        <v>1547906.28</v>
      </c>
      <c r="M1293" s="52"/>
      <c r="N1293" s="20">
        <f>+Movimientos_2026[[#This Row],[Ingresos]]-Movimientos_2026[[#This Row],[Egresos]]</f>
        <v>1547906.28</v>
      </c>
      <c r="O1293" s="20">
        <f>+O1292+Movimientos_2026[[#This Row],[Neto]]</f>
        <v>3259119671.1366773</v>
      </c>
    </row>
    <row r="1294" spans="1:15" x14ac:dyDescent="0.25">
      <c r="A1294" s="13">
        <v>46129</v>
      </c>
      <c r="B1294" s="12">
        <f>MONTH(Movimientos_2026[[#This Row],[Fecha]])</f>
        <v>4</v>
      </c>
      <c r="C1294" s="12" t="str">
        <f>VLOOKUP((WEEKDAY(Movimientos_2026[[#This Row],[Fecha]],2)),'5. Setup'!$D$6:$E$12,2,FALSE)</f>
        <v>Vie</v>
      </c>
      <c r="D1294">
        <v>1043226</v>
      </c>
      <c r="E1294" t="str">
        <f>IFERROR(+VLOOKUP(Movimientos_2026[[#This Row],[Codigo]],Plan_cuentas[],2,FALSE)," ")</f>
        <v>INGRESOS</v>
      </c>
      <c r="F1294" t="str">
        <f>IFERROR(+VLOOKUP(Movimientos_2026[[#This Row],[Codigo]],Plan_cuentas[],3,FALSE)," ")</f>
        <v>Transferencia</v>
      </c>
      <c r="G1294" t="str">
        <f>IFERROR(+VLOOKUP(Movimientos_2026[[#This Row],[Codigo]],Plan_cuentas[],4,FALSE)," ")</f>
        <v>Registración</v>
      </c>
      <c r="H1294" t="str">
        <f>IFERROR(+VLOOKUP(Movimientos_2026[[#This Row],[Codigo]],Plan_cuentas[],5,FALSE)," ")</f>
        <v>ENTRE RIOS 1° Q</v>
      </c>
      <c r="I1294" s="43">
        <v>46023</v>
      </c>
      <c r="J1294" t="s">
        <v>550</v>
      </c>
      <c r="K1294" t="str">
        <f>IFERROR(+VLOOKUP(Movimientos_2026[[#This Row],[Codigo]],Plan_cuentas[],6,FALSE)," ")</f>
        <v>6 - FCAtr - Fiat Transf.</v>
      </c>
      <c r="L1294" s="50">
        <v>359720.87</v>
      </c>
      <c r="M1294" s="52"/>
      <c r="N1294" s="20">
        <f>+Movimientos_2026[[#This Row],[Ingresos]]-Movimientos_2026[[#This Row],[Egresos]]</f>
        <v>359720.87</v>
      </c>
      <c r="O1294" s="20">
        <f>+O1293+Movimientos_2026[[#This Row],[Neto]]</f>
        <v>3259479392.0066772</v>
      </c>
    </row>
    <row r="1295" spans="1:15" x14ac:dyDescent="0.25">
      <c r="A1295" s="13">
        <v>46129</v>
      </c>
      <c r="B1295" s="12">
        <f>MONTH(Movimientos_2026[[#This Row],[Fecha]])</f>
        <v>4</v>
      </c>
      <c r="C1295" s="12" t="str">
        <f>VLOOKUP((WEEKDAY(Movimientos_2026[[#This Row],[Fecha]],2)),'5. Setup'!$D$6:$E$12,2,FALSE)</f>
        <v>Vie</v>
      </c>
      <c r="D1295">
        <v>1044246</v>
      </c>
      <c r="E1295" t="str">
        <f>IFERROR(+VLOOKUP(Movimientos_2026[[#This Row],[Codigo]],Plan_cuentas[],2,FALSE)," ")</f>
        <v>INGRESOS</v>
      </c>
      <c r="F1295" t="str">
        <f>IFERROR(+VLOOKUP(Movimientos_2026[[#This Row],[Codigo]],Plan_cuentas[],3,FALSE)," ")</f>
        <v>Transferencia</v>
      </c>
      <c r="G1295" t="str">
        <f>IFERROR(+VLOOKUP(Movimientos_2026[[#This Row],[Codigo]],Plan_cuentas[],4,FALSE)," ")</f>
        <v>Rentas</v>
      </c>
      <c r="H1295" t="str">
        <f>IFERROR(+VLOOKUP(Movimientos_2026[[#This Row],[Codigo]],Plan_cuentas[],5,FALSE)," ")</f>
        <v>FORMOSA</v>
      </c>
      <c r="I1295" s="43">
        <v>46023</v>
      </c>
      <c r="J1295" t="s">
        <v>550</v>
      </c>
      <c r="K1295" t="str">
        <f>IFERROR(+VLOOKUP(Movimientos_2026[[#This Row],[Codigo]],Plan_cuentas[],6,FALSE)," ")</f>
        <v>6 - FCAtr - Fiat Transf.</v>
      </c>
      <c r="L1295" s="50">
        <v>740945.64</v>
      </c>
      <c r="M1295" s="52"/>
      <c r="N1295" s="20">
        <f>+Movimientos_2026[[#This Row],[Ingresos]]-Movimientos_2026[[#This Row],[Egresos]]</f>
        <v>740945.64</v>
      </c>
      <c r="O1295" s="20">
        <f>+O1294+Movimientos_2026[[#This Row],[Neto]]</f>
        <v>3260220337.646677</v>
      </c>
    </row>
    <row r="1296" spans="1:15" x14ac:dyDescent="0.25">
      <c r="A1296" s="13">
        <v>46129</v>
      </c>
      <c r="B1296" s="12">
        <f>MONTH(Movimientos_2026[[#This Row],[Fecha]])</f>
        <v>4</v>
      </c>
      <c r="C1296" s="12" t="str">
        <f>VLOOKUP((WEEKDAY(Movimientos_2026[[#This Row],[Fecha]],2)),'5. Setup'!$D$6:$E$12,2,FALSE)</f>
        <v>Vie</v>
      </c>
      <c r="D1296">
        <v>1043376</v>
      </c>
      <c r="E1296" t="str">
        <f>IFERROR(+VLOOKUP(Movimientos_2026[[#This Row],[Codigo]],Plan_cuentas[],2,FALSE)," ")</f>
        <v>INGRESOS</v>
      </c>
      <c r="F1296" t="str">
        <f>IFERROR(+VLOOKUP(Movimientos_2026[[#This Row],[Codigo]],Plan_cuentas[],3,FALSE)," ")</f>
        <v>Transferencia</v>
      </c>
      <c r="G1296" t="str">
        <f>IFERROR(+VLOOKUP(Movimientos_2026[[#This Row],[Codigo]],Plan_cuentas[],4,FALSE)," ")</f>
        <v>Registración</v>
      </c>
      <c r="H1296" t="str">
        <f>IFERROR(+VLOOKUP(Movimientos_2026[[#This Row],[Codigo]],Plan_cuentas[],5,FALSE)," ")</f>
        <v>SANTA CRUZ</v>
      </c>
      <c r="I1296" s="43">
        <v>46023</v>
      </c>
      <c r="J1296" t="s">
        <v>550</v>
      </c>
      <c r="K1296" t="str">
        <f>IFERROR(+VLOOKUP(Movimientos_2026[[#This Row],[Codigo]],Plan_cuentas[],6,FALSE)," ")</f>
        <v>6 - FCAtr - Fiat Transf.</v>
      </c>
      <c r="L1296" s="50">
        <v>248860.94</v>
      </c>
      <c r="M1296" s="50"/>
      <c r="N1296" s="20">
        <f>+Movimientos_2026[[#This Row],[Ingresos]]-Movimientos_2026[[#This Row],[Egresos]]</f>
        <v>248860.94</v>
      </c>
      <c r="O1296" s="20">
        <f>+O1295+Movimientos_2026[[#This Row],[Neto]]</f>
        <v>3260469198.5866771</v>
      </c>
    </row>
    <row r="1297" spans="1:15" x14ac:dyDescent="0.25">
      <c r="A1297" s="13">
        <v>46129</v>
      </c>
      <c r="B1297" s="12">
        <f>MONTH(Movimientos_2026[[#This Row],[Fecha]])</f>
        <v>4</v>
      </c>
      <c r="C1297" s="12" t="str">
        <f>VLOOKUP((WEEKDAY(Movimientos_2026[[#This Row],[Fecha]],2)),'5. Setup'!$D$6:$E$12,2,FALSE)</f>
        <v>Vie</v>
      </c>
      <c r="D1297">
        <v>1043386</v>
      </c>
      <c r="E1297" t="str">
        <f>IFERROR(+VLOOKUP(Movimientos_2026[[#This Row],[Codigo]],Plan_cuentas[],2,FALSE)," ")</f>
        <v>INGRESOS</v>
      </c>
      <c r="F1297" t="str">
        <f>IFERROR(+VLOOKUP(Movimientos_2026[[#This Row],[Codigo]],Plan_cuentas[],3,FALSE)," ")</f>
        <v>Transferencia</v>
      </c>
      <c r="G1297" t="str">
        <f>IFERROR(+VLOOKUP(Movimientos_2026[[#This Row],[Codigo]],Plan_cuentas[],4,FALSE)," ")</f>
        <v>Registración</v>
      </c>
      <c r="H1297" t="str">
        <f>IFERROR(+VLOOKUP(Movimientos_2026[[#This Row],[Codigo]],Plan_cuentas[],5,FALSE)," ")</f>
        <v>SANTA FE 1° Q</v>
      </c>
      <c r="I1297" s="43">
        <v>46023</v>
      </c>
      <c r="J1297" t="s">
        <v>550</v>
      </c>
      <c r="K1297" t="str">
        <f>IFERROR(+VLOOKUP(Movimientos_2026[[#This Row],[Codigo]],Plan_cuentas[],6,FALSE)," ")</f>
        <v>6 - FCAtr - Fiat Transf.</v>
      </c>
      <c r="L1297" s="50">
        <v>2292624.84</v>
      </c>
      <c r="M1297" s="50"/>
      <c r="N1297" s="20">
        <f>+Movimientos_2026[[#This Row],[Ingresos]]-Movimientos_2026[[#This Row],[Egresos]]</f>
        <v>2292624.84</v>
      </c>
      <c r="O1297" s="20">
        <f>+O1296+Movimientos_2026[[#This Row],[Neto]]</f>
        <v>3262761823.4266772</v>
      </c>
    </row>
    <row r="1298" spans="1:15" x14ac:dyDescent="0.25">
      <c r="A1298" s="13">
        <v>46129</v>
      </c>
      <c r="B1298" s="12">
        <f>MONTH(Movimientos_2026[[#This Row],[Fecha]])</f>
        <v>4</v>
      </c>
      <c r="C1298" s="12" t="str">
        <f>VLOOKUP((WEEKDAY(Movimientos_2026[[#This Row],[Fecha]],2)),'5. Setup'!$D$6:$E$12,2,FALSE)</f>
        <v>Vie</v>
      </c>
      <c r="D1298">
        <v>1045453</v>
      </c>
      <c r="E1298" t="str">
        <f>IFERROR(+VLOOKUP(Movimientos_2026[[#This Row],[Codigo]],Plan_cuentas[],2,FALSE)," ")</f>
        <v>INGRESOS</v>
      </c>
      <c r="F1298" t="str">
        <f>IFERROR(+VLOOKUP(Movimientos_2026[[#This Row],[Codigo]],Plan_cuentas[],3,FALSE)," ")</f>
        <v>Transferencia</v>
      </c>
      <c r="G1298" t="str">
        <f>IFERROR(+VLOOKUP(Movimientos_2026[[#This Row],[Codigo]],Plan_cuentas[],4,FALSE)," ")</f>
        <v>Factura</v>
      </c>
      <c r="H1298" t="str">
        <f>IFERROR(+VLOOKUP(Movimientos_2026[[#This Row],[Codigo]],Plan_cuentas[],5,FALSE)," ")</f>
        <v>FC DERECHOS</v>
      </c>
      <c r="I1298" s="43">
        <v>46054</v>
      </c>
      <c r="J1298" t="s">
        <v>551</v>
      </c>
      <c r="K1298" t="str">
        <f>IFERROR(+VLOOKUP(Movimientos_2026[[#This Row],[Codigo]],Plan_cuentas[],6,FALSE)," ")</f>
        <v>3 - GM - Chevrolet</v>
      </c>
      <c r="L1298" s="50">
        <v>53180684.630000003</v>
      </c>
      <c r="M1298" s="52"/>
      <c r="N1298" s="20">
        <f>+Movimientos_2026[[#This Row],[Ingresos]]-Movimientos_2026[[#This Row],[Egresos]]</f>
        <v>53180684.630000003</v>
      </c>
      <c r="O1298" s="20">
        <f>+O1297+Movimientos_2026[[#This Row],[Neto]]</f>
        <v>3315942508.0566773</v>
      </c>
    </row>
    <row r="1299" spans="1:15" x14ac:dyDescent="0.25">
      <c r="A1299" s="13">
        <v>46132</v>
      </c>
      <c r="B1299" s="12">
        <f>MONTH(Movimientos_2026[[#This Row],[Fecha]])</f>
        <v>4</v>
      </c>
      <c r="C1299" s="12" t="str">
        <f>VLOOKUP((WEEKDAY(Movimientos_2026[[#This Row],[Fecha]],2)),'5. Setup'!$D$6:$E$12,2,FALSE)</f>
        <v>Lun</v>
      </c>
      <c r="D1299">
        <v>2044465</v>
      </c>
      <c r="E1299" t="str">
        <f>IFERROR(+VLOOKUP(Movimientos_2026[[#This Row],[Codigo]],Plan_cuentas[],2,FALSE)," ")</f>
        <v>EGRESOS</v>
      </c>
      <c r="F1299" t="str">
        <f>IFERROR(+VLOOKUP(Movimientos_2026[[#This Row],[Codigo]],Plan_cuentas[],3,FALSE)," ")</f>
        <v>Transferencia</v>
      </c>
      <c r="G1299" t="str">
        <f>IFERROR(+VLOOKUP(Movimientos_2026[[#This Row],[Codigo]],Plan_cuentas[],4,FALSE)," ")</f>
        <v>Rentas</v>
      </c>
      <c r="H1299" t="str">
        <f>IFERROR(+VLOOKUP(Movimientos_2026[[#This Row],[Codigo]],Plan_cuentas[],5,FALSE)," ")</f>
        <v>MISIONES</v>
      </c>
      <c r="I1299" s="43">
        <v>46082</v>
      </c>
      <c r="J1299" t="s">
        <v>552</v>
      </c>
      <c r="K1299" t="str">
        <f>IFERROR(+VLOOKUP(Movimientos_2026[[#This Row],[Codigo]],Plan_cuentas[],6,FALSE)," ")</f>
        <v>5 - YAM - Yamaha</v>
      </c>
      <c r="L1299" s="50"/>
      <c r="M1299" s="50">
        <v>1046309.5281</v>
      </c>
      <c r="N1299" s="20">
        <f>+Movimientos_2026[[#This Row],[Ingresos]]-Movimientos_2026[[#This Row],[Egresos]]</f>
        <v>-1046309.5281</v>
      </c>
      <c r="O1299" s="20">
        <f>+O1298+Movimientos_2026[[#This Row],[Neto]]</f>
        <v>3314896198.5285773</v>
      </c>
    </row>
    <row r="1300" spans="1:15" x14ac:dyDescent="0.25">
      <c r="A1300" s="13">
        <v>46132</v>
      </c>
      <c r="B1300" s="12">
        <f>MONTH(Movimientos_2026[[#This Row],[Fecha]])</f>
        <v>4</v>
      </c>
      <c r="C1300" s="12" t="str">
        <f>VLOOKUP((WEEKDAY(Movimientos_2026[[#This Row],[Fecha]],2)),'5. Setup'!$D$6:$E$12,2,FALSE)</f>
        <v>Lun</v>
      </c>
      <c r="D1300">
        <v>2014351</v>
      </c>
      <c r="E1300" t="str">
        <f>IFERROR(+VLOOKUP(Movimientos_2026[[#This Row],[Codigo]],Plan_cuentas[],2,FALSE)," ")</f>
        <v>EGRESOS</v>
      </c>
      <c r="F1300" t="str">
        <f>IFERROR(+VLOOKUP(Movimientos_2026[[#This Row],[Codigo]],Plan_cuentas[],3,FALSE)," ")</f>
        <v>BtoB</v>
      </c>
      <c r="G1300" t="str">
        <f>IFERROR(+VLOOKUP(Movimientos_2026[[#This Row],[Codigo]],Plan_cuentas[],4,FALSE)," ")</f>
        <v>Rentas</v>
      </c>
      <c r="H1300" t="str">
        <f>IFERROR(+VLOOKUP(Movimientos_2026[[#This Row],[Codigo]],Plan_cuentas[],5,FALSE)," ")</f>
        <v>SAN JUAN</v>
      </c>
      <c r="I1300" s="43">
        <v>46082</v>
      </c>
      <c r="J1300" t="s">
        <v>553</v>
      </c>
      <c r="K1300" t="str">
        <f>IFERROR(+VLOOKUP(Movimientos_2026[[#This Row],[Codigo]],Plan_cuentas[],6,FALSE)," ")</f>
        <v>1 - VW - Volkswagen</v>
      </c>
      <c r="L1300" s="50"/>
      <c r="M1300" s="50">
        <v>3573996</v>
      </c>
      <c r="N1300" s="20">
        <f>+Movimientos_2026[[#This Row],[Ingresos]]-Movimientos_2026[[#This Row],[Egresos]]</f>
        <v>-3573996</v>
      </c>
      <c r="O1300" s="20">
        <f>+O1299+Movimientos_2026[[#This Row],[Neto]]</f>
        <v>3311322202.5285773</v>
      </c>
    </row>
    <row r="1301" spans="1:15" x14ac:dyDescent="0.25">
      <c r="A1301" s="13">
        <v>46132</v>
      </c>
      <c r="B1301" s="12">
        <f>MONTH(Movimientos_2026[[#This Row],[Fecha]])</f>
        <v>4</v>
      </c>
      <c r="C1301" s="12" t="str">
        <f>VLOOKUP((WEEKDAY(Movimientos_2026[[#This Row],[Fecha]],2)),'5. Setup'!$D$6:$E$12,2,FALSE)</f>
        <v>Lun</v>
      </c>
      <c r="D1301">
        <v>2014352</v>
      </c>
      <c r="E1301" t="str">
        <f>IFERROR(+VLOOKUP(Movimientos_2026[[#This Row],[Codigo]],Plan_cuentas[],2,FALSE)," ")</f>
        <v>EGRESOS</v>
      </c>
      <c r="F1301" t="str">
        <f>IFERROR(+VLOOKUP(Movimientos_2026[[#This Row],[Codigo]],Plan_cuentas[],3,FALSE)," ")</f>
        <v>BtoB</v>
      </c>
      <c r="G1301" t="str">
        <f>IFERROR(+VLOOKUP(Movimientos_2026[[#This Row],[Codigo]],Plan_cuentas[],4,FALSE)," ")</f>
        <v>Rentas</v>
      </c>
      <c r="H1301" t="str">
        <f>IFERROR(+VLOOKUP(Movimientos_2026[[#This Row],[Codigo]],Plan_cuentas[],5,FALSE)," ")</f>
        <v>SAN JUAN</v>
      </c>
      <c r="I1301" s="43">
        <v>46082</v>
      </c>
      <c r="J1301" t="s">
        <v>554</v>
      </c>
      <c r="K1301" t="str">
        <f>IFERROR(+VLOOKUP(Movimientos_2026[[#This Row],[Codigo]],Plan_cuentas[],6,FALSE)," ")</f>
        <v>2 - PR - Plan Rombo</v>
      </c>
      <c r="L1301" s="50"/>
      <c r="M1301" s="50">
        <v>6316103.4400319988</v>
      </c>
      <c r="N1301" s="20">
        <f>+Movimientos_2026[[#This Row],[Ingresos]]-Movimientos_2026[[#This Row],[Egresos]]</f>
        <v>-6316103.4400319988</v>
      </c>
      <c r="O1301" s="20">
        <f>+O1300+Movimientos_2026[[#This Row],[Neto]]</f>
        <v>3305006099.0885453</v>
      </c>
    </row>
    <row r="1302" spans="1:15" x14ac:dyDescent="0.25">
      <c r="A1302" s="13">
        <v>46132</v>
      </c>
      <c r="B1302" s="12">
        <f>MONTH(Movimientos_2026[[#This Row],[Fecha]])</f>
        <v>4</v>
      </c>
      <c r="C1302" s="12" t="str">
        <f>VLOOKUP((WEEKDAY(Movimientos_2026[[#This Row],[Fecha]],2)),'5. Setup'!$D$6:$E$12,2,FALSE)</f>
        <v>Lun</v>
      </c>
      <c r="D1302">
        <v>2014354</v>
      </c>
      <c r="E1302" t="str">
        <f>IFERROR(+VLOOKUP(Movimientos_2026[[#This Row],[Codigo]],Plan_cuentas[],2,FALSE)," ")</f>
        <v>EGRESOS</v>
      </c>
      <c r="F1302" t="str">
        <f>IFERROR(+VLOOKUP(Movimientos_2026[[#This Row],[Codigo]],Plan_cuentas[],3,FALSE)," ")</f>
        <v>BtoB</v>
      </c>
      <c r="G1302" t="str">
        <f>IFERROR(+VLOOKUP(Movimientos_2026[[#This Row],[Codigo]],Plan_cuentas[],4,FALSE)," ")</f>
        <v>Rentas</v>
      </c>
      <c r="H1302" t="str">
        <f>IFERROR(+VLOOKUP(Movimientos_2026[[#This Row],[Codigo]],Plan_cuentas[],5,FALSE)," ")</f>
        <v>SAN JUAN</v>
      </c>
      <c r="I1302" s="43">
        <v>46082</v>
      </c>
      <c r="J1302" t="s">
        <v>555</v>
      </c>
      <c r="K1302" t="str">
        <f>IFERROR(+VLOOKUP(Movimientos_2026[[#This Row],[Codigo]],Plan_cuentas[],6,FALSE)," ")</f>
        <v>4 - FCA - Fiat</v>
      </c>
      <c r="L1302" s="50"/>
      <c r="M1302" s="50">
        <v>5934288</v>
      </c>
      <c r="N1302" s="20">
        <f>+Movimientos_2026[[#This Row],[Ingresos]]-Movimientos_2026[[#This Row],[Egresos]]</f>
        <v>-5934288</v>
      </c>
      <c r="O1302" s="20">
        <f>+O1301+Movimientos_2026[[#This Row],[Neto]]</f>
        <v>3299071811.0885453</v>
      </c>
    </row>
    <row r="1303" spans="1:15" x14ac:dyDescent="0.25">
      <c r="A1303" s="13">
        <v>46132</v>
      </c>
      <c r="B1303" s="12">
        <f>MONTH(Movimientos_2026[[#This Row],[Fecha]])</f>
        <v>4</v>
      </c>
      <c r="C1303" s="12" t="str">
        <f>VLOOKUP((WEEKDAY(Movimientos_2026[[#This Row],[Fecha]],2)),'5. Setup'!$D$6:$E$12,2,FALSE)</f>
        <v>Lun</v>
      </c>
      <c r="D1303">
        <v>2014356</v>
      </c>
      <c r="E1303" t="str">
        <f>IFERROR(+VLOOKUP(Movimientos_2026[[#This Row],[Codigo]],Plan_cuentas[],2,FALSE)," ")</f>
        <v>EGRESOS</v>
      </c>
      <c r="F1303" t="str">
        <f>IFERROR(+VLOOKUP(Movimientos_2026[[#This Row],[Codigo]],Plan_cuentas[],3,FALSE)," ")</f>
        <v>BtoB</v>
      </c>
      <c r="G1303" t="str">
        <f>IFERROR(+VLOOKUP(Movimientos_2026[[#This Row],[Codigo]],Plan_cuentas[],4,FALSE)," ")</f>
        <v>Rentas</v>
      </c>
      <c r="H1303" t="str">
        <f>IFERROR(+VLOOKUP(Movimientos_2026[[#This Row],[Codigo]],Plan_cuentas[],5,FALSE)," ")</f>
        <v>SAN JUAN</v>
      </c>
      <c r="I1303" s="43">
        <v>46082</v>
      </c>
      <c r="J1303" t="s">
        <v>555</v>
      </c>
      <c r="K1303" t="str">
        <f>IFERROR(+VLOOKUP(Movimientos_2026[[#This Row],[Codigo]],Plan_cuentas[],6,FALSE)," ")</f>
        <v>6 - FCAtr - Fiat Transf.</v>
      </c>
      <c r="L1303" s="50"/>
      <c r="M1303" s="50">
        <v>752189.72</v>
      </c>
      <c r="N1303" s="20">
        <f>+Movimientos_2026[[#This Row],[Ingresos]]-Movimientos_2026[[#This Row],[Egresos]]</f>
        <v>-752189.72</v>
      </c>
      <c r="O1303" s="20">
        <f>+O1302+Movimientos_2026[[#This Row],[Neto]]</f>
        <v>3298319621.3685455</v>
      </c>
    </row>
    <row r="1304" spans="1:15" x14ac:dyDescent="0.25">
      <c r="A1304" s="13">
        <v>46132</v>
      </c>
      <c r="B1304" s="12">
        <f>MONTH(Movimientos_2026[[#This Row],[Fecha]])</f>
        <v>4</v>
      </c>
      <c r="C1304" s="12" t="str">
        <f>VLOOKUP((WEEKDAY(Movimientos_2026[[#This Row],[Fecha]],2)),'5. Setup'!$D$6:$E$12,2,FALSE)</f>
        <v>Lun</v>
      </c>
      <c r="D1304">
        <v>2044126</v>
      </c>
      <c r="E1304" t="str">
        <f>IFERROR(+VLOOKUP(Movimientos_2026[[#This Row],[Codigo]],Plan_cuentas[],2,FALSE)," ")</f>
        <v>EGRESOS</v>
      </c>
      <c r="F1304" t="str">
        <f>IFERROR(+VLOOKUP(Movimientos_2026[[#This Row],[Codigo]],Plan_cuentas[],3,FALSE)," ")</f>
        <v>Transferencia</v>
      </c>
      <c r="G1304" t="str">
        <f>IFERROR(+VLOOKUP(Movimientos_2026[[#This Row],[Codigo]],Plan_cuentas[],4,FALSE)," ")</f>
        <v>Rentas</v>
      </c>
      <c r="H1304" t="str">
        <f>IFERROR(+VLOOKUP(Movimientos_2026[[#This Row],[Codigo]],Plan_cuentas[],5,FALSE)," ")</f>
        <v>BAPRO</v>
      </c>
      <c r="I1304" s="43">
        <v>46082</v>
      </c>
      <c r="J1304" t="s">
        <v>556</v>
      </c>
      <c r="K1304" t="str">
        <f>IFERROR(+VLOOKUP(Movimientos_2026[[#This Row],[Codigo]],Plan_cuentas[],6,FALSE)," ")</f>
        <v>6 - FCAtr - Fiat Transf.</v>
      </c>
      <c r="L1304" s="50"/>
      <c r="M1304" s="50">
        <v>12457351.9</v>
      </c>
      <c r="N1304" s="20">
        <f>+Movimientos_2026[[#This Row],[Ingresos]]-Movimientos_2026[[#This Row],[Egresos]]</f>
        <v>-12457351.9</v>
      </c>
      <c r="O1304" s="20">
        <f>+O1303+Movimientos_2026[[#This Row],[Neto]]</f>
        <v>3285862269.4685454</v>
      </c>
    </row>
    <row r="1305" spans="1:15" x14ac:dyDescent="0.25">
      <c r="A1305" s="13">
        <v>46132</v>
      </c>
      <c r="B1305" s="12">
        <f>MONTH(Movimientos_2026[[#This Row],[Fecha]])</f>
        <v>4</v>
      </c>
      <c r="C1305" s="12" t="str">
        <f>VLOOKUP((WEEKDAY(Movimientos_2026[[#This Row],[Fecha]],2)),'5. Setup'!$D$6:$E$12,2,FALSE)</f>
        <v>Lun</v>
      </c>
      <c r="D1305">
        <v>2044126</v>
      </c>
      <c r="E1305" t="str">
        <f>IFERROR(+VLOOKUP(Movimientos_2026[[#This Row],[Codigo]],Plan_cuentas[],2,FALSE)," ")</f>
        <v>EGRESOS</v>
      </c>
      <c r="F1305" t="str">
        <f>IFERROR(+VLOOKUP(Movimientos_2026[[#This Row],[Codigo]],Plan_cuentas[],3,FALSE)," ")</f>
        <v>Transferencia</v>
      </c>
      <c r="G1305" t="str">
        <f>IFERROR(+VLOOKUP(Movimientos_2026[[#This Row],[Codigo]],Plan_cuentas[],4,FALSE)," ")</f>
        <v>Rentas</v>
      </c>
      <c r="H1305" t="str">
        <f>IFERROR(+VLOOKUP(Movimientos_2026[[#This Row],[Codigo]],Plan_cuentas[],5,FALSE)," ")</f>
        <v>BAPRO</v>
      </c>
      <c r="I1305" s="43">
        <v>46082</v>
      </c>
      <c r="J1305" t="s">
        <v>557</v>
      </c>
      <c r="K1305" t="str">
        <f>IFERROR(+VLOOKUP(Movimientos_2026[[#This Row],[Codigo]],Plan_cuentas[],6,FALSE)," ")</f>
        <v>6 - FCAtr - Fiat Transf.</v>
      </c>
      <c r="L1305" s="50"/>
      <c r="M1305" s="50">
        <v>1419279.9</v>
      </c>
      <c r="N1305" s="20">
        <f>+Movimientos_2026[[#This Row],[Ingresos]]-Movimientos_2026[[#This Row],[Egresos]]</f>
        <v>-1419279.9</v>
      </c>
      <c r="O1305" s="20">
        <f>+O1304+Movimientos_2026[[#This Row],[Neto]]</f>
        <v>3284442989.5685453</v>
      </c>
    </row>
    <row r="1306" spans="1:15" x14ac:dyDescent="0.25">
      <c r="A1306" s="13">
        <v>46132</v>
      </c>
      <c r="B1306" s="12">
        <f>MONTH(Movimientos_2026[[#This Row],[Fecha]])</f>
        <v>4</v>
      </c>
      <c r="C1306" s="12" t="str">
        <f>VLOOKUP((WEEKDAY(Movimientos_2026[[#This Row],[Fecha]],2)),'5. Setup'!$D$6:$E$12,2,FALSE)</f>
        <v>Lun</v>
      </c>
      <c r="D1306">
        <v>2044126</v>
      </c>
      <c r="E1306" t="str">
        <f>IFERROR(+VLOOKUP(Movimientos_2026[[#This Row],[Codigo]],Plan_cuentas[],2,FALSE)," ")</f>
        <v>EGRESOS</v>
      </c>
      <c r="F1306" t="str">
        <f>IFERROR(+VLOOKUP(Movimientos_2026[[#This Row],[Codigo]],Plan_cuentas[],3,FALSE)," ")</f>
        <v>Transferencia</v>
      </c>
      <c r="G1306" t="str">
        <f>IFERROR(+VLOOKUP(Movimientos_2026[[#This Row],[Codigo]],Plan_cuentas[],4,FALSE)," ")</f>
        <v>Rentas</v>
      </c>
      <c r="H1306" t="str">
        <f>IFERROR(+VLOOKUP(Movimientos_2026[[#This Row],[Codigo]],Plan_cuentas[],5,FALSE)," ")</f>
        <v>BAPRO</v>
      </c>
      <c r="I1306" s="43">
        <v>46082</v>
      </c>
      <c r="J1306" t="s">
        <v>558</v>
      </c>
      <c r="K1306" t="str">
        <f>IFERROR(+VLOOKUP(Movimientos_2026[[#This Row],[Codigo]],Plan_cuentas[],6,FALSE)," ")</f>
        <v>6 - FCAtr - Fiat Transf.</v>
      </c>
      <c r="L1306" s="50"/>
      <c r="M1306" s="50">
        <v>1116657.1000000001</v>
      </c>
      <c r="N1306" s="20">
        <f>+Movimientos_2026[[#This Row],[Ingresos]]-Movimientos_2026[[#This Row],[Egresos]]</f>
        <v>-1116657.1000000001</v>
      </c>
      <c r="O1306" s="20">
        <f>+O1305+Movimientos_2026[[#This Row],[Neto]]</f>
        <v>3283326332.4685454</v>
      </c>
    </row>
    <row r="1307" spans="1:15" x14ac:dyDescent="0.25">
      <c r="A1307" s="13">
        <v>46132</v>
      </c>
      <c r="B1307" s="12">
        <f>MONTH(Movimientos_2026[[#This Row],[Fecha]])</f>
        <v>4</v>
      </c>
      <c r="C1307" s="12" t="str">
        <f>VLOOKUP((WEEKDAY(Movimientos_2026[[#This Row],[Fecha]],2)),'5. Setup'!$D$6:$E$12,2,FALSE)</f>
        <v>Lun</v>
      </c>
      <c r="D1307">
        <v>2044126</v>
      </c>
      <c r="E1307" t="str">
        <f>IFERROR(+VLOOKUP(Movimientos_2026[[#This Row],[Codigo]],Plan_cuentas[],2,FALSE)," ")</f>
        <v>EGRESOS</v>
      </c>
      <c r="F1307" t="str">
        <f>IFERROR(+VLOOKUP(Movimientos_2026[[#This Row],[Codigo]],Plan_cuentas[],3,FALSE)," ")</f>
        <v>Transferencia</v>
      </c>
      <c r="G1307" t="str">
        <f>IFERROR(+VLOOKUP(Movimientos_2026[[#This Row],[Codigo]],Plan_cuentas[],4,FALSE)," ")</f>
        <v>Rentas</v>
      </c>
      <c r="H1307" t="str">
        <f>IFERROR(+VLOOKUP(Movimientos_2026[[#This Row],[Codigo]],Plan_cuentas[],5,FALSE)," ")</f>
        <v>BAPRO</v>
      </c>
      <c r="I1307" s="43">
        <v>46082</v>
      </c>
      <c r="J1307" t="s">
        <v>559</v>
      </c>
      <c r="K1307" t="str">
        <f>IFERROR(+VLOOKUP(Movimientos_2026[[#This Row],[Codigo]],Plan_cuentas[],6,FALSE)," ")</f>
        <v>6 - FCAtr - Fiat Transf.</v>
      </c>
      <c r="L1307" s="50"/>
      <c r="M1307" s="50">
        <v>780659.6</v>
      </c>
      <c r="N1307" s="20">
        <f>+Movimientos_2026[[#This Row],[Ingresos]]-Movimientos_2026[[#This Row],[Egresos]]</f>
        <v>-780659.6</v>
      </c>
      <c r="O1307" s="20">
        <f>+O1306+Movimientos_2026[[#This Row],[Neto]]</f>
        <v>3282545672.8685455</v>
      </c>
    </row>
    <row r="1308" spans="1:15" x14ac:dyDescent="0.25">
      <c r="A1308" s="13">
        <v>46132</v>
      </c>
      <c r="B1308" s="12">
        <f>MONTH(Movimientos_2026[[#This Row],[Fecha]])</f>
        <v>4</v>
      </c>
      <c r="C1308" s="12" t="str">
        <f>VLOOKUP((WEEKDAY(Movimientos_2026[[#This Row],[Fecha]],2)),'5. Setup'!$D$6:$E$12,2,FALSE)</f>
        <v>Lun</v>
      </c>
      <c r="D1308">
        <v>2044126</v>
      </c>
      <c r="E1308" t="str">
        <f>IFERROR(+VLOOKUP(Movimientos_2026[[#This Row],[Codigo]],Plan_cuentas[],2,FALSE)," ")</f>
        <v>EGRESOS</v>
      </c>
      <c r="F1308" t="str">
        <f>IFERROR(+VLOOKUP(Movimientos_2026[[#This Row],[Codigo]],Plan_cuentas[],3,FALSE)," ")</f>
        <v>Transferencia</v>
      </c>
      <c r="G1308" t="str">
        <f>IFERROR(+VLOOKUP(Movimientos_2026[[#This Row],[Codigo]],Plan_cuentas[],4,FALSE)," ")</f>
        <v>Rentas</v>
      </c>
      <c r="H1308" t="str">
        <f>IFERROR(+VLOOKUP(Movimientos_2026[[#This Row],[Codigo]],Plan_cuentas[],5,FALSE)," ")</f>
        <v>BAPRO</v>
      </c>
      <c r="I1308" s="43">
        <v>46082</v>
      </c>
      <c r="J1308" t="s">
        <v>560</v>
      </c>
      <c r="K1308" t="str">
        <f>IFERROR(+VLOOKUP(Movimientos_2026[[#This Row],[Codigo]],Plan_cuentas[],6,FALSE)," ")</f>
        <v>6 - FCAtr - Fiat Transf.</v>
      </c>
      <c r="L1308" s="50"/>
      <c r="M1308" s="50">
        <v>470421.9</v>
      </c>
      <c r="N1308" s="20">
        <f>+Movimientos_2026[[#This Row],[Ingresos]]-Movimientos_2026[[#This Row],[Egresos]]</f>
        <v>-470421.9</v>
      </c>
      <c r="O1308" s="20">
        <f>+O1307+Movimientos_2026[[#This Row],[Neto]]</f>
        <v>3282075250.9685454</v>
      </c>
    </row>
    <row r="1309" spans="1:15" x14ac:dyDescent="0.25">
      <c r="A1309" s="13">
        <v>46132</v>
      </c>
      <c r="B1309" s="12">
        <f>MONTH(Movimientos_2026[[#This Row],[Fecha]])</f>
        <v>4</v>
      </c>
      <c r="C1309" s="12" t="str">
        <f>VLOOKUP((WEEKDAY(Movimientos_2026[[#This Row],[Fecha]],2)),'5. Setup'!$D$6:$E$12,2,FALSE)</f>
        <v>Lun</v>
      </c>
      <c r="D1309">
        <v>2044126</v>
      </c>
      <c r="E1309" t="str">
        <f>IFERROR(+VLOOKUP(Movimientos_2026[[#This Row],[Codigo]],Plan_cuentas[],2,FALSE)," ")</f>
        <v>EGRESOS</v>
      </c>
      <c r="F1309" t="str">
        <f>IFERROR(+VLOOKUP(Movimientos_2026[[#This Row],[Codigo]],Plan_cuentas[],3,FALSE)," ")</f>
        <v>Transferencia</v>
      </c>
      <c r="G1309" t="str">
        <f>IFERROR(+VLOOKUP(Movimientos_2026[[#This Row],[Codigo]],Plan_cuentas[],4,FALSE)," ")</f>
        <v>Rentas</v>
      </c>
      <c r="H1309" t="str">
        <f>IFERROR(+VLOOKUP(Movimientos_2026[[#This Row],[Codigo]],Plan_cuentas[],5,FALSE)," ")</f>
        <v>BAPRO</v>
      </c>
      <c r="I1309" s="43">
        <v>46082</v>
      </c>
      <c r="J1309" t="s">
        <v>561</v>
      </c>
      <c r="K1309" t="str">
        <f>IFERROR(+VLOOKUP(Movimientos_2026[[#This Row],[Codigo]],Plan_cuentas[],6,FALSE)," ")</f>
        <v>6 - FCAtr - Fiat Transf.</v>
      </c>
      <c r="L1309" s="50"/>
      <c r="M1309" s="50">
        <v>215184.3</v>
      </c>
      <c r="N1309" s="20">
        <f>+Movimientos_2026[[#This Row],[Ingresos]]-Movimientos_2026[[#This Row],[Egresos]]</f>
        <v>-215184.3</v>
      </c>
      <c r="O1309" s="20">
        <f>+O1308+Movimientos_2026[[#This Row],[Neto]]</f>
        <v>3281860066.6685452</v>
      </c>
    </row>
    <row r="1310" spans="1:15" x14ac:dyDescent="0.25">
      <c r="A1310" s="13">
        <v>46132</v>
      </c>
      <c r="B1310" s="12">
        <f>MONTH(Movimientos_2026[[#This Row],[Fecha]])</f>
        <v>4</v>
      </c>
      <c r="C1310" s="12" t="str">
        <f>VLOOKUP((WEEKDAY(Movimientos_2026[[#This Row],[Fecha]],2)),'5. Setup'!$D$6:$E$12,2,FALSE)</f>
        <v>Lun</v>
      </c>
      <c r="D1310">
        <v>1043142</v>
      </c>
      <c r="E1310" t="str">
        <f>IFERROR(+VLOOKUP(Movimientos_2026[[#This Row],[Codigo]],Plan_cuentas[],2,FALSE)," ")</f>
        <v>INGRESOS</v>
      </c>
      <c r="F1310" t="str">
        <f>IFERROR(+VLOOKUP(Movimientos_2026[[#This Row],[Codigo]],Plan_cuentas[],3,FALSE)," ")</f>
        <v>Transferencia</v>
      </c>
      <c r="G1310" t="str">
        <f>IFERROR(+VLOOKUP(Movimientos_2026[[#This Row],[Codigo]],Plan_cuentas[],4,FALSE)," ")</f>
        <v>Registración</v>
      </c>
      <c r="H1310" t="str">
        <f>IFERROR(+VLOOKUP(Movimientos_2026[[#This Row],[Codigo]],Plan_cuentas[],5,FALSE)," ")</f>
        <v>BUENOS AIRES</v>
      </c>
      <c r="I1310" s="43">
        <v>46082</v>
      </c>
      <c r="J1310" t="s">
        <v>562</v>
      </c>
      <c r="K1310" t="str">
        <f>IFERROR(+VLOOKUP(Movimientos_2026[[#This Row],[Codigo]],Plan_cuentas[],6,FALSE)," ")</f>
        <v>2 - PR - Plan Rombo</v>
      </c>
      <c r="L1310" s="50">
        <v>334546812.89999998</v>
      </c>
      <c r="M1310" s="50"/>
      <c r="N1310" s="20">
        <f>+Movimientos_2026[[#This Row],[Ingresos]]-Movimientos_2026[[#This Row],[Egresos]]</f>
        <v>334546812.89999998</v>
      </c>
      <c r="O1310" s="20">
        <f>+O1309+Movimientos_2026[[#This Row],[Neto]]</f>
        <v>3616406879.5685453</v>
      </c>
    </row>
    <row r="1311" spans="1:15" x14ac:dyDescent="0.25">
      <c r="A1311" s="13">
        <v>46132</v>
      </c>
      <c r="B1311" s="12">
        <f>MONTH(Movimientos_2026[[#This Row],[Fecha]])</f>
        <v>4</v>
      </c>
      <c r="C1311" s="12" t="str">
        <f>VLOOKUP((WEEKDAY(Movimientos_2026[[#This Row],[Fecha]],2)),'5. Setup'!$D$6:$E$12,2,FALSE)</f>
        <v>Lun</v>
      </c>
      <c r="D1311">
        <v>1045452</v>
      </c>
      <c r="E1311" t="str">
        <f>IFERROR(+VLOOKUP(Movimientos_2026[[#This Row],[Codigo]],Plan_cuentas[],2,FALSE)," ")</f>
        <v>INGRESOS</v>
      </c>
      <c r="F1311" t="str">
        <f>IFERROR(+VLOOKUP(Movimientos_2026[[#This Row],[Codigo]],Plan_cuentas[],3,FALSE)," ")</f>
        <v>Transferencia</v>
      </c>
      <c r="G1311" t="str">
        <f>IFERROR(+VLOOKUP(Movimientos_2026[[#This Row],[Codigo]],Plan_cuentas[],4,FALSE)," ")</f>
        <v>Factura</v>
      </c>
      <c r="H1311" t="str">
        <f>IFERROR(+VLOOKUP(Movimientos_2026[[#This Row],[Codigo]],Plan_cuentas[],5,FALSE)," ")</f>
        <v>FC DERECHOS</v>
      </c>
      <c r="I1311" s="43">
        <v>46082</v>
      </c>
      <c r="J1311" t="s">
        <v>563</v>
      </c>
      <c r="K1311" t="str">
        <f>IFERROR(+VLOOKUP(Movimientos_2026[[#This Row],[Codigo]],Plan_cuentas[],6,FALSE)," ")</f>
        <v>2 - PR - Plan Rombo</v>
      </c>
      <c r="L1311" s="50">
        <v>58593484.659999996</v>
      </c>
      <c r="M1311" s="50"/>
      <c r="N1311" s="20">
        <f>+Movimientos_2026[[#This Row],[Ingresos]]-Movimientos_2026[[#This Row],[Egresos]]</f>
        <v>58593484.659999996</v>
      </c>
      <c r="O1311" s="20">
        <f>+O1310+Movimientos_2026[[#This Row],[Neto]]</f>
        <v>3675000364.2285452</v>
      </c>
    </row>
    <row r="1312" spans="1:15" x14ac:dyDescent="0.25">
      <c r="A1312" s="13">
        <v>46132</v>
      </c>
      <c r="B1312" s="12">
        <f>MONTH(Movimientos_2026[[#This Row],[Fecha]])</f>
        <v>4</v>
      </c>
      <c r="C1312" s="12" t="str">
        <f>VLOOKUP((WEEKDAY(Movimientos_2026[[#This Row],[Fecha]],2)),'5. Setup'!$D$6:$E$12,2,FALSE)</f>
        <v>Lun</v>
      </c>
      <c r="D1312">
        <v>1043152</v>
      </c>
      <c r="E1312" t="str">
        <f>IFERROR(+VLOOKUP(Movimientos_2026[[#This Row],[Codigo]],Plan_cuentas[],2,FALSE)," ")</f>
        <v>INGRESOS</v>
      </c>
      <c r="F1312" t="str">
        <f>IFERROR(+VLOOKUP(Movimientos_2026[[#This Row],[Codigo]],Plan_cuentas[],3,FALSE)," ")</f>
        <v>Transferencia</v>
      </c>
      <c r="G1312" t="str">
        <f>IFERROR(+VLOOKUP(Movimientos_2026[[#This Row],[Codigo]],Plan_cuentas[],4,FALSE)," ")</f>
        <v>Registración</v>
      </c>
      <c r="H1312" t="str">
        <f>IFERROR(+VLOOKUP(Movimientos_2026[[#This Row],[Codigo]],Plan_cuentas[],5,FALSE)," ")</f>
        <v>CABA</v>
      </c>
      <c r="I1312" s="43">
        <v>46082</v>
      </c>
      <c r="J1312" t="s">
        <v>562</v>
      </c>
      <c r="K1312" t="str">
        <f>IFERROR(+VLOOKUP(Movimientos_2026[[#This Row],[Codigo]],Plan_cuentas[],6,FALSE)," ")</f>
        <v>2 - PR - Plan Rombo</v>
      </c>
      <c r="L1312" s="50">
        <v>35833452.100000001</v>
      </c>
      <c r="M1312" s="50"/>
      <c r="N1312" s="20">
        <f>+Movimientos_2026[[#This Row],[Ingresos]]-Movimientos_2026[[#This Row],[Egresos]]</f>
        <v>35833452.100000001</v>
      </c>
      <c r="O1312" s="20">
        <f>+O1311+Movimientos_2026[[#This Row],[Neto]]</f>
        <v>3710833816.3285451</v>
      </c>
    </row>
    <row r="1313" spans="1:15" x14ac:dyDescent="0.25">
      <c r="A1313" s="13">
        <v>46132</v>
      </c>
      <c r="B1313" s="12">
        <f>MONTH(Movimientos_2026[[#This Row],[Fecha]])</f>
        <v>4</v>
      </c>
      <c r="C1313" s="12" t="str">
        <f>VLOOKUP((WEEKDAY(Movimientos_2026[[#This Row],[Fecha]],2)),'5. Setup'!$D$6:$E$12,2,FALSE)</f>
        <v>Lun</v>
      </c>
      <c r="D1313">
        <v>1043232</v>
      </c>
      <c r="E1313" t="str">
        <f>IFERROR(+VLOOKUP(Movimientos_2026[[#This Row],[Codigo]],Plan_cuentas[],2,FALSE)," ")</f>
        <v>INGRESOS</v>
      </c>
      <c r="F1313" t="str">
        <f>IFERROR(+VLOOKUP(Movimientos_2026[[#This Row],[Codigo]],Plan_cuentas[],3,FALSE)," ")</f>
        <v>Transferencia</v>
      </c>
      <c r="G1313" t="str">
        <f>IFERROR(+VLOOKUP(Movimientos_2026[[#This Row],[Codigo]],Plan_cuentas[],4,FALSE)," ")</f>
        <v>Registración</v>
      </c>
      <c r="H1313" t="str">
        <f>IFERROR(+VLOOKUP(Movimientos_2026[[#This Row],[Codigo]],Plan_cuentas[],5,FALSE)," ")</f>
        <v>ENTRE RIOS 2° Q</v>
      </c>
      <c r="I1313" s="43">
        <v>46082</v>
      </c>
      <c r="J1313" t="s">
        <v>562</v>
      </c>
      <c r="K1313" t="str">
        <f>IFERROR(+VLOOKUP(Movimientos_2026[[#This Row],[Codigo]],Plan_cuentas[],6,FALSE)," ")</f>
        <v>2 - PR - Plan Rombo</v>
      </c>
      <c r="L1313" s="50">
        <v>28982774.899999999</v>
      </c>
      <c r="M1313" s="50"/>
      <c r="N1313" s="20">
        <f>+Movimientos_2026[[#This Row],[Ingresos]]-Movimientos_2026[[#This Row],[Egresos]]</f>
        <v>28982774.899999999</v>
      </c>
      <c r="O1313" s="20">
        <f>+O1312+Movimientos_2026[[#This Row],[Neto]]</f>
        <v>3739816591.2285452</v>
      </c>
    </row>
    <row r="1314" spans="1:15" x14ac:dyDescent="0.25">
      <c r="A1314" s="13">
        <v>46132</v>
      </c>
      <c r="B1314" s="12">
        <f>MONTH(Movimientos_2026[[#This Row],[Fecha]])</f>
        <v>4</v>
      </c>
      <c r="C1314" s="12" t="str">
        <f>VLOOKUP((WEEKDAY(Movimientos_2026[[#This Row],[Fecha]],2)),'5. Setup'!$D$6:$E$12,2,FALSE)</f>
        <v>Lun</v>
      </c>
      <c r="D1314">
        <v>1043242</v>
      </c>
      <c r="E1314" t="str">
        <f>IFERROR(+VLOOKUP(Movimientos_2026[[#This Row],[Codigo]],Plan_cuentas[],2,FALSE)," ")</f>
        <v>INGRESOS</v>
      </c>
      <c r="F1314" t="str">
        <f>IFERROR(+VLOOKUP(Movimientos_2026[[#This Row],[Codigo]],Plan_cuentas[],3,FALSE)," ")</f>
        <v>Transferencia</v>
      </c>
      <c r="G1314" t="str">
        <f>IFERROR(+VLOOKUP(Movimientos_2026[[#This Row],[Codigo]],Plan_cuentas[],4,FALSE)," ")</f>
        <v>Registración</v>
      </c>
      <c r="H1314" t="str">
        <f>IFERROR(+VLOOKUP(Movimientos_2026[[#This Row],[Codigo]],Plan_cuentas[],5,FALSE)," ")</f>
        <v>FORMOSA</v>
      </c>
      <c r="I1314" s="43">
        <v>46082</v>
      </c>
      <c r="J1314" t="s">
        <v>562</v>
      </c>
      <c r="K1314" t="str">
        <f>IFERROR(+VLOOKUP(Movimientos_2026[[#This Row],[Codigo]],Plan_cuentas[],6,FALSE)," ")</f>
        <v>2 - PR - Plan Rombo</v>
      </c>
      <c r="L1314" s="50">
        <v>3154842.9</v>
      </c>
      <c r="M1314" s="50"/>
      <c r="N1314" s="20">
        <f>+Movimientos_2026[[#This Row],[Ingresos]]-Movimientos_2026[[#This Row],[Egresos]]</f>
        <v>3154842.9</v>
      </c>
      <c r="O1314" s="20">
        <f>+O1313+Movimientos_2026[[#This Row],[Neto]]</f>
        <v>3742971434.1285453</v>
      </c>
    </row>
    <row r="1315" spans="1:15" x14ac:dyDescent="0.25">
      <c r="A1315" s="13">
        <v>46132</v>
      </c>
      <c r="B1315" s="12">
        <f>MONTH(Movimientos_2026[[#This Row],[Fecha]])</f>
        <v>4</v>
      </c>
      <c r="C1315" s="12" t="str">
        <f>VLOOKUP((WEEKDAY(Movimientos_2026[[#This Row],[Fecha]],2)),'5. Setup'!$D$6:$E$12,2,FALSE)</f>
        <v>Lun</v>
      </c>
      <c r="D1315">
        <v>1043392</v>
      </c>
      <c r="E1315" t="str">
        <f>IFERROR(+VLOOKUP(Movimientos_2026[[#This Row],[Codigo]],Plan_cuentas[],2,FALSE)," ")</f>
        <v>INGRESOS</v>
      </c>
      <c r="F1315" t="str">
        <f>IFERROR(+VLOOKUP(Movimientos_2026[[#This Row],[Codigo]],Plan_cuentas[],3,FALSE)," ")</f>
        <v>Transferencia</v>
      </c>
      <c r="G1315" t="str">
        <f>IFERROR(+VLOOKUP(Movimientos_2026[[#This Row],[Codigo]],Plan_cuentas[],4,FALSE)," ")</f>
        <v>Registración</v>
      </c>
      <c r="H1315" t="str">
        <f>IFERROR(+VLOOKUP(Movimientos_2026[[#This Row],[Codigo]],Plan_cuentas[],5,FALSE)," ")</f>
        <v>SANTA FE 2° Q</v>
      </c>
      <c r="I1315" s="43">
        <v>46082</v>
      </c>
      <c r="J1315" t="s">
        <v>562</v>
      </c>
      <c r="K1315" t="str">
        <f>IFERROR(+VLOOKUP(Movimientos_2026[[#This Row],[Codigo]],Plan_cuentas[],6,FALSE)," ")</f>
        <v>2 - PR - Plan Rombo</v>
      </c>
      <c r="L1315" s="50">
        <v>30199380.399999999</v>
      </c>
      <c r="M1315" s="50"/>
      <c r="N1315" s="20">
        <f>+Movimientos_2026[[#This Row],[Ingresos]]-Movimientos_2026[[#This Row],[Egresos]]</f>
        <v>30199380.399999999</v>
      </c>
      <c r="O1315" s="20">
        <f>+O1314+Movimientos_2026[[#This Row],[Neto]]</f>
        <v>3773170814.5285454</v>
      </c>
    </row>
    <row r="1316" spans="1:15" x14ac:dyDescent="0.25">
      <c r="A1316" s="13">
        <v>46132</v>
      </c>
      <c r="B1316" s="12">
        <f>MONTH(Movimientos_2026[[#This Row],[Fecha]])</f>
        <v>4</v>
      </c>
      <c r="C1316" s="12" t="str">
        <f>VLOOKUP((WEEKDAY(Movimientos_2026[[#This Row],[Fecha]],2)),'5. Setup'!$D$6:$E$12,2,FALSE)</f>
        <v>Lun</v>
      </c>
      <c r="D1316">
        <v>1043172</v>
      </c>
      <c r="E1316" t="str">
        <f>IFERROR(+VLOOKUP(Movimientos_2026[[#This Row],[Codigo]],Plan_cuentas[],2,FALSE)," ")</f>
        <v>INGRESOS</v>
      </c>
      <c r="F1316" t="str">
        <f>IFERROR(+VLOOKUP(Movimientos_2026[[#This Row],[Codigo]],Plan_cuentas[],3,FALSE)," ")</f>
        <v>Transferencia</v>
      </c>
      <c r="G1316" t="str">
        <f>IFERROR(+VLOOKUP(Movimientos_2026[[#This Row],[Codigo]],Plan_cuentas[],4,FALSE)," ")</f>
        <v>Registración</v>
      </c>
      <c r="H1316" t="str">
        <f>IFERROR(+VLOOKUP(Movimientos_2026[[#This Row],[Codigo]],Plan_cuentas[],5,FALSE)," ")</f>
        <v>CHUBUT</v>
      </c>
      <c r="I1316" s="43">
        <v>46082</v>
      </c>
      <c r="J1316" t="s">
        <v>562</v>
      </c>
      <c r="K1316" t="str">
        <f>IFERROR(+VLOOKUP(Movimientos_2026[[#This Row],[Codigo]],Plan_cuentas[],6,FALSE)," ")</f>
        <v>2 - PR - Plan Rombo</v>
      </c>
      <c r="L1316" s="50">
        <v>16032177.4</v>
      </c>
      <c r="M1316" s="50"/>
      <c r="N1316" s="20">
        <f>+Movimientos_2026[[#This Row],[Ingresos]]-Movimientos_2026[[#This Row],[Egresos]]</f>
        <v>16032177.4</v>
      </c>
      <c r="O1316" s="20">
        <f>+O1315+Movimientos_2026[[#This Row],[Neto]]</f>
        <v>3789202991.9285455</v>
      </c>
    </row>
    <row r="1317" spans="1:15" x14ac:dyDescent="0.25">
      <c r="A1317" s="13">
        <v>46132</v>
      </c>
      <c r="B1317" s="12">
        <f>MONTH(Movimientos_2026[[#This Row],[Fecha]])</f>
        <v>4</v>
      </c>
      <c r="C1317" s="12" t="str">
        <f>VLOOKUP((WEEKDAY(Movimientos_2026[[#This Row],[Fecha]],2)),'5. Setup'!$D$6:$E$12,2,FALSE)</f>
        <v>Lun</v>
      </c>
      <c r="D1317">
        <v>1044507</v>
      </c>
      <c r="E1317" t="str">
        <f>IFERROR(+VLOOKUP(Movimientos_2026[[#This Row],[Codigo]],Plan_cuentas[],2,FALSE)," ")</f>
        <v>INGRESOS</v>
      </c>
      <c r="F1317" t="str">
        <f>IFERROR(+VLOOKUP(Movimientos_2026[[#This Row],[Codigo]],Plan_cuentas[],3,FALSE)," ")</f>
        <v>Transferencia</v>
      </c>
      <c r="G1317" t="str">
        <f>IFERROR(+VLOOKUP(Movimientos_2026[[#This Row],[Codigo]],Plan_cuentas[],4,FALSE)," ")</f>
        <v>Rentas</v>
      </c>
      <c r="H1317" t="str">
        <f>IFERROR(+VLOOKUP(Movimientos_2026[[#This Row],[Codigo]],Plan_cuentas[],5,FALSE)," ")</f>
        <v>BAPRO</v>
      </c>
      <c r="I1317" s="43">
        <v>46082</v>
      </c>
      <c r="J1317" t="s">
        <v>564</v>
      </c>
      <c r="K1317" t="str">
        <f>IFERROR(+VLOOKUP(Movimientos_2026[[#This Row],[Codigo]],Plan_cuentas[],6,FALSE)," ")</f>
        <v>7 - PRtr - Plan Rombo Transf.</v>
      </c>
      <c r="L1317" s="50">
        <v>7149503.8999999976</v>
      </c>
      <c r="M1317" s="50"/>
      <c r="N1317" s="20">
        <f>+Movimientos_2026[[#This Row],[Ingresos]]-Movimientos_2026[[#This Row],[Egresos]]</f>
        <v>7149503.8999999976</v>
      </c>
      <c r="O1317" s="20">
        <f>+O1316+Movimientos_2026[[#This Row],[Neto]]</f>
        <v>3796352495.8285456</v>
      </c>
    </row>
    <row r="1318" spans="1:15" x14ac:dyDescent="0.25">
      <c r="A1318" s="13">
        <v>46132</v>
      </c>
      <c r="B1318" s="12">
        <f>MONTH(Movimientos_2026[[#This Row],[Fecha]])</f>
        <v>4</v>
      </c>
      <c r="C1318" s="12" t="str">
        <f>VLOOKUP((WEEKDAY(Movimientos_2026[[#This Row],[Fecha]],2)),'5. Setup'!$D$6:$E$12,2,FALSE)</f>
        <v>Lun</v>
      </c>
      <c r="D1318">
        <v>1043157</v>
      </c>
      <c r="E1318" t="str">
        <f>IFERROR(+VLOOKUP(Movimientos_2026[[#This Row],[Codigo]],Plan_cuentas[],2,FALSE)," ")</f>
        <v>INGRESOS</v>
      </c>
      <c r="F1318" t="str">
        <f>IFERROR(+VLOOKUP(Movimientos_2026[[#This Row],[Codigo]],Plan_cuentas[],3,FALSE)," ")</f>
        <v>Transferencia</v>
      </c>
      <c r="G1318" t="str">
        <f>IFERROR(+VLOOKUP(Movimientos_2026[[#This Row],[Codigo]],Plan_cuentas[],4,FALSE)," ")</f>
        <v>Registración</v>
      </c>
      <c r="H1318" t="str">
        <f>IFERROR(+VLOOKUP(Movimientos_2026[[#This Row],[Codigo]],Plan_cuentas[],5,FALSE)," ")</f>
        <v>CABA</v>
      </c>
      <c r="I1318" s="43">
        <v>46082</v>
      </c>
      <c r="J1318" t="s">
        <v>564</v>
      </c>
      <c r="K1318" t="str">
        <f>IFERROR(+VLOOKUP(Movimientos_2026[[#This Row],[Codigo]],Plan_cuentas[],6,FALSE)," ")</f>
        <v>7 - PRtr - Plan Rombo Transf.</v>
      </c>
      <c r="L1318" s="50">
        <v>8437</v>
      </c>
      <c r="M1318" s="50"/>
      <c r="N1318" s="20">
        <f>+Movimientos_2026[[#This Row],[Ingresos]]-Movimientos_2026[[#This Row],[Egresos]]</f>
        <v>8437</v>
      </c>
      <c r="O1318" s="20">
        <f>+O1317+Movimientos_2026[[#This Row],[Neto]]</f>
        <v>3796360932.8285456</v>
      </c>
    </row>
    <row r="1319" spans="1:15" x14ac:dyDescent="0.25">
      <c r="A1319" s="13">
        <v>46132</v>
      </c>
      <c r="B1319" s="12">
        <f>MONTH(Movimientos_2026[[#This Row],[Fecha]])</f>
        <v>4</v>
      </c>
      <c r="C1319" s="12" t="str">
        <f>VLOOKUP((WEEKDAY(Movimientos_2026[[#This Row],[Fecha]],2)),'5. Setup'!$D$6:$E$12,2,FALSE)</f>
        <v>Lun</v>
      </c>
      <c r="D1319">
        <v>1044167</v>
      </c>
      <c r="E1319" t="str">
        <f>IFERROR(+VLOOKUP(Movimientos_2026[[#This Row],[Codigo]],Plan_cuentas[],2,FALSE)," ")</f>
        <v>INGRESOS</v>
      </c>
      <c r="F1319" t="str">
        <f>IFERROR(+VLOOKUP(Movimientos_2026[[#This Row],[Codigo]],Plan_cuentas[],3,FALSE)," ")</f>
        <v>Transferencia</v>
      </c>
      <c r="G1319" t="str">
        <f>IFERROR(+VLOOKUP(Movimientos_2026[[#This Row],[Codigo]],Plan_cuentas[],4,FALSE)," ")</f>
        <v>Rentas</v>
      </c>
      <c r="H1319" t="str">
        <f>IFERROR(+VLOOKUP(Movimientos_2026[[#This Row],[Codigo]],Plan_cuentas[],5,FALSE)," ")</f>
        <v>CHACO</v>
      </c>
      <c r="I1319" s="43">
        <v>46082</v>
      </c>
      <c r="J1319" t="s">
        <v>564</v>
      </c>
      <c r="K1319" t="str">
        <f>IFERROR(+VLOOKUP(Movimientos_2026[[#This Row],[Codigo]],Plan_cuentas[],6,FALSE)," ")</f>
        <v>7 - PRtr - Plan Rombo Transf.</v>
      </c>
      <c r="L1319" s="50">
        <v>346386</v>
      </c>
      <c r="M1319" s="50"/>
      <c r="N1319" s="20">
        <f>+Movimientos_2026[[#This Row],[Ingresos]]-Movimientos_2026[[#This Row],[Egresos]]</f>
        <v>346386</v>
      </c>
      <c r="O1319" s="20">
        <f>+O1318+Movimientos_2026[[#This Row],[Neto]]</f>
        <v>3796707318.8285456</v>
      </c>
    </row>
    <row r="1320" spans="1:15" x14ac:dyDescent="0.25">
      <c r="A1320" s="13">
        <v>46132</v>
      </c>
      <c r="B1320" s="12">
        <f>MONTH(Movimientos_2026[[#This Row],[Fecha]])</f>
        <v>4</v>
      </c>
      <c r="C1320" s="12" t="str">
        <f>VLOOKUP((WEEKDAY(Movimientos_2026[[#This Row],[Fecha]],2)),'5. Setup'!$D$6:$E$12,2,FALSE)</f>
        <v>Lun</v>
      </c>
      <c r="D1320">
        <v>1043177</v>
      </c>
      <c r="E1320" t="str">
        <f>IFERROR(+VLOOKUP(Movimientos_2026[[#This Row],[Codigo]],Plan_cuentas[],2,FALSE)," ")</f>
        <v>INGRESOS</v>
      </c>
      <c r="F1320" t="str">
        <f>IFERROR(+VLOOKUP(Movimientos_2026[[#This Row],[Codigo]],Plan_cuentas[],3,FALSE)," ")</f>
        <v>Transferencia</v>
      </c>
      <c r="G1320" t="str">
        <f>IFERROR(+VLOOKUP(Movimientos_2026[[#This Row],[Codigo]],Plan_cuentas[],4,FALSE)," ")</f>
        <v>Registración</v>
      </c>
      <c r="H1320" t="str">
        <f>IFERROR(+VLOOKUP(Movimientos_2026[[#This Row],[Codigo]],Plan_cuentas[],5,FALSE)," ")</f>
        <v>CHUBUT</v>
      </c>
      <c r="I1320" s="43">
        <v>46082</v>
      </c>
      <c r="J1320" t="s">
        <v>564</v>
      </c>
      <c r="K1320" t="str">
        <f>IFERROR(+VLOOKUP(Movimientos_2026[[#This Row],[Codigo]],Plan_cuentas[],6,FALSE)," ")</f>
        <v>7 - PRtr - Plan Rombo Transf.</v>
      </c>
      <c r="L1320" s="50">
        <v>478120.43</v>
      </c>
      <c r="M1320" s="50"/>
      <c r="N1320" s="20">
        <f>+Movimientos_2026[[#This Row],[Ingresos]]-Movimientos_2026[[#This Row],[Egresos]]</f>
        <v>478120.43</v>
      </c>
      <c r="O1320" s="20">
        <f>+O1319+Movimientos_2026[[#This Row],[Neto]]</f>
        <v>3797185439.2585454</v>
      </c>
    </row>
    <row r="1321" spans="1:15" x14ac:dyDescent="0.25">
      <c r="A1321" s="13">
        <v>46132</v>
      </c>
      <c r="B1321" s="12">
        <f>MONTH(Movimientos_2026[[#This Row],[Fecha]])</f>
        <v>4</v>
      </c>
      <c r="C1321" s="12" t="str">
        <f>VLOOKUP((WEEKDAY(Movimientos_2026[[#This Row],[Fecha]],2)),'5. Setup'!$D$6:$E$12,2,FALSE)</f>
        <v>Lun</v>
      </c>
      <c r="D1321">
        <v>1044197</v>
      </c>
      <c r="E1321" t="str">
        <f>IFERROR(+VLOOKUP(Movimientos_2026[[#This Row],[Codigo]],Plan_cuentas[],2,FALSE)," ")</f>
        <v>INGRESOS</v>
      </c>
      <c r="F1321" t="str">
        <f>IFERROR(+VLOOKUP(Movimientos_2026[[#This Row],[Codigo]],Plan_cuentas[],3,FALSE)," ")</f>
        <v>Transferencia</v>
      </c>
      <c r="G1321" t="str">
        <f>IFERROR(+VLOOKUP(Movimientos_2026[[#This Row],[Codigo]],Plan_cuentas[],4,FALSE)," ")</f>
        <v>Rentas</v>
      </c>
      <c r="H1321" t="str">
        <f>IFERROR(+VLOOKUP(Movimientos_2026[[#This Row],[Codigo]],Plan_cuentas[],5,FALSE)," ")</f>
        <v>CORDOBA 2° Q</v>
      </c>
      <c r="I1321" s="43">
        <v>46082</v>
      </c>
      <c r="J1321" t="s">
        <v>564</v>
      </c>
      <c r="K1321" t="str">
        <f>IFERROR(+VLOOKUP(Movimientos_2026[[#This Row],[Codigo]],Plan_cuentas[],6,FALSE)," ")</f>
        <v>7 - PRtr - Plan Rombo Transf.</v>
      </c>
      <c r="L1321" s="50">
        <v>418440</v>
      </c>
      <c r="M1321" s="50"/>
      <c r="N1321" s="20">
        <f>+Movimientos_2026[[#This Row],[Ingresos]]-Movimientos_2026[[#This Row],[Egresos]]</f>
        <v>418440</v>
      </c>
      <c r="O1321" s="20">
        <f>+O1320+Movimientos_2026[[#This Row],[Neto]]</f>
        <v>3797603879.2585454</v>
      </c>
    </row>
    <row r="1322" spans="1:15" x14ac:dyDescent="0.25">
      <c r="A1322" s="13">
        <v>46132</v>
      </c>
      <c r="B1322" s="12">
        <f>MONTH(Movimientos_2026[[#This Row],[Fecha]])</f>
        <v>4</v>
      </c>
      <c r="C1322" s="12" t="str">
        <f>VLOOKUP((WEEKDAY(Movimientos_2026[[#This Row],[Fecha]],2)),'5. Setup'!$D$6:$E$12,2,FALSE)</f>
        <v>Lun</v>
      </c>
      <c r="D1322">
        <v>1043247</v>
      </c>
      <c r="E1322" t="str">
        <f>IFERROR(+VLOOKUP(Movimientos_2026[[#This Row],[Codigo]],Plan_cuentas[],2,FALSE)," ")</f>
        <v>INGRESOS</v>
      </c>
      <c r="F1322" t="str">
        <f>IFERROR(+VLOOKUP(Movimientos_2026[[#This Row],[Codigo]],Plan_cuentas[],3,FALSE)," ")</f>
        <v>Transferencia</v>
      </c>
      <c r="G1322" t="str">
        <f>IFERROR(+VLOOKUP(Movimientos_2026[[#This Row],[Codigo]],Plan_cuentas[],4,FALSE)," ")</f>
        <v>Registración</v>
      </c>
      <c r="H1322" t="str">
        <f>IFERROR(+VLOOKUP(Movimientos_2026[[#This Row],[Codigo]],Plan_cuentas[],5,FALSE)," ")</f>
        <v>FORMOSA</v>
      </c>
      <c r="I1322" s="43">
        <v>46082</v>
      </c>
      <c r="J1322" t="s">
        <v>564</v>
      </c>
      <c r="K1322" t="str">
        <f>IFERROR(+VLOOKUP(Movimientos_2026[[#This Row],[Codigo]],Plan_cuentas[],6,FALSE)," ")</f>
        <v>7 - PRtr - Plan Rombo Transf.</v>
      </c>
      <c r="L1322" s="50">
        <v>10000</v>
      </c>
      <c r="M1322" s="50"/>
      <c r="N1322" s="20">
        <f>+Movimientos_2026[[#This Row],[Ingresos]]-Movimientos_2026[[#This Row],[Egresos]]</f>
        <v>10000</v>
      </c>
      <c r="O1322" s="20">
        <f>+O1321+Movimientos_2026[[#This Row],[Neto]]</f>
        <v>3797613879.2585454</v>
      </c>
    </row>
    <row r="1323" spans="1:15" x14ac:dyDescent="0.25">
      <c r="A1323" s="13">
        <v>46132</v>
      </c>
      <c r="B1323" s="12">
        <f>MONTH(Movimientos_2026[[#This Row],[Fecha]])</f>
        <v>4</v>
      </c>
      <c r="C1323" s="12" t="str">
        <f>VLOOKUP((WEEKDAY(Movimientos_2026[[#This Row],[Fecha]],2)),'5. Setup'!$D$6:$E$12,2,FALSE)</f>
        <v>Lun</v>
      </c>
      <c r="D1323">
        <v>1043267</v>
      </c>
      <c r="E1323" t="str">
        <f>IFERROR(+VLOOKUP(Movimientos_2026[[#This Row],[Codigo]],Plan_cuentas[],2,FALSE)," ")</f>
        <v>INGRESOS</v>
      </c>
      <c r="F1323" t="str">
        <f>IFERROR(+VLOOKUP(Movimientos_2026[[#This Row],[Codigo]],Plan_cuentas[],3,FALSE)," ")</f>
        <v>Transferencia</v>
      </c>
      <c r="G1323" t="str">
        <f>IFERROR(+VLOOKUP(Movimientos_2026[[#This Row],[Codigo]],Plan_cuentas[],4,FALSE)," ")</f>
        <v>Registración</v>
      </c>
      <c r="H1323" t="str">
        <f>IFERROR(+VLOOKUP(Movimientos_2026[[#This Row],[Codigo]],Plan_cuentas[],5,FALSE)," ")</f>
        <v>LA PAMPA</v>
      </c>
      <c r="I1323" s="43">
        <v>46082</v>
      </c>
      <c r="J1323" t="s">
        <v>564</v>
      </c>
      <c r="K1323" t="str">
        <f>IFERROR(+VLOOKUP(Movimientos_2026[[#This Row],[Codigo]],Plan_cuentas[],6,FALSE)," ")</f>
        <v>7 - PRtr - Plan Rombo Transf.</v>
      </c>
      <c r="L1323" s="50">
        <v>106752.9</v>
      </c>
      <c r="M1323" s="50"/>
      <c r="N1323" s="20">
        <f>+Movimientos_2026[[#This Row],[Ingresos]]-Movimientos_2026[[#This Row],[Egresos]]</f>
        <v>106752.9</v>
      </c>
      <c r="O1323" s="20">
        <f>+O1322+Movimientos_2026[[#This Row],[Neto]]</f>
        <v>3797720632.1585455</v>
      </c>
    </row>
    <row r="1324" spans="1:15" x14ac:dyDescent="0.25">
      <c r="A1324" s="13">
        <v>46132</v>
      </c>
      <c r="B1324" s="12">
        <f>MONTH(Movimientos_2026[[#This Row],[Fecha]])</f>
        <v>4</v>
      </c>
      <c r="C1324" s="12" t="str">
        <f>VLOOKUP((WEEKDAY(Movimientos_2026[[#This Row],[Fecha]],2)),'5. Setup'!$D$6:$E$12,2,FALSE)</f>
        <v>Lun</v>
      </c>
      <c r="D1324">
        <v>1044287</v>
      </c>
      <c r="E1324" t="str">
        <f>IFERROR(+VLOOKUP(Movimientos_2026[[#This Row],[Codigo]],Plan_cuentas[],2,FALSE)," ")</f>
        <v>INGRESOS</v>
      </c>
      <c r="F1324" t="str">
        <f>IFERROR(+VLOOKUP(Movimientos_2026[[#This Row],[Codigo]],Plan_cuentas[],3,FALSE)," ")</f>
        <v>Transferencia</v>
      </c>
      <c r="G1324" t="str">
        <f>IFERROR(+VLOOKUP(Movimientos_2026[[#This Row],[Codigo]],Plan_cuentas[],4,FALSE)," ")</f>
        <v>Rentas</v>
      </c>
      <c r="H1324" t="str">
        <f>IFERROR(+VLOOKUP(Movimientos_2026[[#This Row],[Codigo]],Plan_cuentas[],5,FALSE)," ")</f>
        <v>MENDOZA</v>
      </c>
      <c r="I1324" s="43">
        <v>46082</v>
      </c>
      <c r="J1324" t="s">
        <v>564</v>
      </c>
      <c r="K1324" t="str">
        <f>IFERROR(+VLOOKUP(Movimientos_2026[[#This Row],[Codigo]],Plan_cuentas[],6,FALSE)," ")</f>
        <v>7 - PRtr - Plan Rombo Transf.</v>
      </c>
      <c r="L1324" s="50">
        <v>11000</v>
      </c>
      <c r="M1324" s="50"/>
      <c r="N1324" s="20">
        <f>+Movimientos_2026[[#This Row],[Ingresos]]-Movimientos_2026[[#This Row],[Egresos]]</f>
        <v>11000</v>
      </c>
      <c r="O1324" s="20">
        <f>+O1323+Movimientos_2026[[#This Row],[Neto]]</f>
        <v>3797731632.1585455</v>
      </c>
    </row>
    <row r="1325" spans="1:15" x14ac:dyDescent="0.25">
      <c r="A1325" s="13">
        <v>46132</v>
      </c>
      <c r="B1325" s="12">
        <f>MONTH(Movimientos_2026[[#This Row],[Fecha]])</f>
        <v>4</v>
      </c>
      <c r="C1325" s="12" t="str">
        <f>VLOOKUP((WEEKDAY(Movimientos_2026[[#This Row],[Fecha]],2)),'5. Setup'!$D$6:$E$12,2,FALSE)</f>
        <v>Lun</v>
      </c>
      <c r="D1325">
        <v>1044407</v>
      </c>
      <c r="E1325" t="str">
        <f>IFERROR(+VLOOKUP(Movimientos_2026[[#This Row],[Codigo]],Plan_cuentas[],2,FALSE)," ")</f>
        <v>INGRESOS</v>
      </c>
      <c r="F1325" t="str">
        <f>IFERROR(+VLOOKUP(Movimientos_2026[[#This Row],[Codigo]],Plan_cuentas[],3,FALSE)," ")</f>
        <v>Transferencia</v>
      </c>
      <c r="G1325" t="str">
        <f>IFERROR(+VLOOKUP(Movimientos_2026[[#This Row],[Codigo]],Plan_cuentas[],4,FALSE)," ")</f>
        <v>Rentas</v>
      </c>
      <c r="H1325" t="str">
        <f>IFERROR(+VLOOKUP(Movimientos_2026[[#This Row],[Codigo]],Plan_cuentas[],5,FALSE)," ")</f>
        <v>SANTIAGO DEL ESTERO</v>
      </c>
      <c r="I1325" s="43">
        <v>46082</v>
      </c>
      <c r="J1325" t="s">
        <v>564</v>
      </c>
      <c r="K1325" t="str">
        <f>IFERROR(+VLOOKUP(Movimientos_2026[[#This Row],[Codigo]],Plan_cuentas[],6,FALSE)," ")</f>
        <v>7 - PRtr - Plan Rombo Transf.</v>
      </c>
      <c r="L1325" s="50">
        <v>100</v>
      </c>
      <c r="M1325" s="50"/>
      <c r="N1325" s="20">
        <f>+Movimientos_2026[[#This Row],[Ingresos]]-Movimientos_2026[[#This Row],[Egresos]]</f>
        <v>100</v>
      </c>
      <c r="O1325" s="20">
        <f>+O1324+Movimientos_2026[[#This Row],[Neto]]</f>
        <v>3797731732.1585455</v>
      </c>
    </row>
    <row r="1326" spans="1:15" x14ac:dyDescent="0.25">
      <c r="A1326" s="13">
        <v>46132</v>
      </c>
      <c r="B1326" s="12">
        <f>MONTH(Movimientos_2026[[#This Row],[Fecha]])</f>
        <v>4</v>
      </c>
      <c r="C1326" s="12" t="str">
        <f>VLOOKUP((WEEKDAY(Movimientos_2026[[#This Row],[Fecha]],2)),'5. Setup'!$D$6:$E$12,2,FALSE)</f>
        <v>Lun</v>
      </c>
      <c r="D1326">
        <v>1043387</v>
      </c>
      <c r="E1326" t="str">
        <f>IFERROR(+VLOOKUP(Movimientos_2026[[#This Row],[Codigo]],Plan_cuentas[],2,FALSE)," ")</f>
        <v>INGRESOS</v>
      </c>
      <c r="F1326" t="str">
        <f>IFERROR(+VLOOKUP(Movimientos_2026[[#This Row],[Codigo]],Plan_cuentas[],3,FALSE)," ")</f>
        <v>Transferencia</v>
      </c>
      <c r="G1326" t="str">
        <f>IFERROR(+VLOOKUP(Movimientos_2026[[#This Row],[Codigo]],Plan_cuentas[],4,FALSE)," ")</f>
        <v>Registración</v>
      </c>
      <c r="H1326" t="str">
        <f>IFERROR(+VLOOKUP(Movimientos_2026[[#This Row],[Codigo]],Plan_cuentas[],5,FALSE)," ")</f>
        <v>SANTA FE 1° Q</v>
      </c>
      <c r="I1326" s="43">
        <v>46082</v>
      </c>
      <c r="J1326" t="s">
        <v>564</v>
      </c>
      <c r="K1326" t="str">
        <f>IFERROR(+VLOOKUP(Movimientos_2026[[#This Row],[Codigo]],Plan_cuentas[],6,FALSE)," ")</f>
        <v>7 - PRtr - Plan Rombo Transf.</v>
      </c>
      <c r="L1326" s="50">
        <v>134475</v>
      </c>
      <c r="M1326" s="50"/>
      <c r="N1326" s="20">
        <f>+Movimientos_2026[[#This Row],[Ingresos]]-Movimientos_2026[[#This Row],[Egresos]]</f>
        <v>134475</v>
      </c>
      <c r="O1326" s="20">
        <f>+O1325+Movimientos_2026[[#This Row],[Neto]]</f>
        <v>3797866207.1585455</v>
      </c>
    </row>
    <row r="1327" spans="1:15" x14ac:dyDescent="0.25">
      <c r="A1327" s="13">
        <v>46132</v>
      </c>
      <c r="B1327" s="12">
        <f>MONTH(Movimientos_2026[[#This Row],[Fecha]])</f>
        <v>4</v>
      </c>
      <c r="C1327" s="12" t="str">
        <f>VLOOKUP((WEEKDAY(Movimientos_2026[[#This Row],[Fecha]],2)),'5. Setup'!$D$6:$E$12,2,FALSE)</f>
        <v>Lun</v>
      </c>
      <c r="D1327">
        <v>1044427</v>
      </c>
      <c r="E1327" t="str">
        <f>IFERROR(+VLOOKUP(Movimientos_2026[[#This Row],[Codigo]],Plan_cuentas[],2,FALSE)," ")</f>
        <v>INGRESOS</v>
      </c>
      <c r="F1327" t="str">
        <f>IFERROR(+VLOOKUP(Movimientos_2026[[#This Row],[Codigo]],Plan_cuentas[],3,FALSE)," ")</f>
        <v>Transferencia</v>
      </c>
      <c r="G1327" t="str">
        <f>IFERROR(+VLOOKUP(Movimientos_2026[[#This Row],[Codigo]],Plan_cuentas[],4,FALSE)," ")</f>
        <v>Rentas</v>
      </c>
      <c r="H1327" t="str">
        <f>IFERROR(+VLOOKUP(Movimientos_2026[[#This Row],[Codigo]],Plan_cuentas[],5,FALSE)," ")</f>
        <v>TUCUMAN</v>
      </c>
      <c r="I1327" s="43">
        <v>46082</v>
      </c>
      <c r="J1327" t="s">
        <v>564</v>
      </c>
      <c r="K1327" t="str">
        <f>IFERROR(+VLOOKUP(Movimientos_2026[[#This Row],[Codigo]],Plan_cuentas[],6,FALSE)," ")</f>
        <v>7 - PRtr - Plan Rombo Transf.</v>
      </c>
      <c r="L1327" s="50">
        <v>60</v>
      </c>
      <c r="M1327" s="50"/>
      <c r="N1327" s="20">
        <f>+Movimientos_2026[[#This Row],[Ingresos]]-Movimientos_2026[[#This Row],[Egresos]]</f>
        <v>60</v>
      </c>
      <c r="O1327" s="20">
        <f>+O1326+Movimientos_2026[[#This Row],[Neto]]</f>
        <v>3797866267.1585455</v>
      </c>
    </row>
    <row r="1328" spans="1:15" x14ac:dyDescent="0.25">
      <c r="A1328" s="13">
        <v>46132</v>
      </c>
      <c r="B1328" s="12">
        <f>MONTH(Movimientos_2026[[#This Row],[Fecha]])</f>
        <v>4</v>
      </c>
      <c r="C1328" s="12" t="str">
        <f>VLOOKUP((WEEKDAY(Movimientos_2026[[#This Row],[Fecha]],2)),'5. Setup'!$D$6:$E$12,2,FALSE)</f>
        <v>Lun</v>
      </c>
      <c r="D1328">
        <v>1045477</v>
      </c>
      <c r="E1328" t="str">
        <f>IFERROR(+VLOOKUP(Movimientos_2026[[#This Row],[Codigo]],Plan_cuentas[],2,FALSE)," ")</f>
        <v>INGRESOS</v>
      </c>
      <c r="F1328" t="str">
        <f>IFERROR(+VLOOKUP(Movimientos_2026[[#This Row],[Codigo]],Plan_cuentas[],3,FALSE)," ")</f>
        <v>Transferencia</v>
      </c>
      <c r="G1328" t="str">
        <f>IFERROR(+VLOOKUP(Movimientos_2026[[#This Row],[Codigo]],Plan_cuentas[],4,FALSE)," ")</f>
        <v>Factura</v>
      </c>
      <c r="H1328" t="str">
        <f>IFERROR(+VLOOKUP(Movimientos_2026[[#This Row],[Codigo]],Plan_cuentas[],5,FALSE)," ")</f>
        <v>FC HONORARIOS</v>
      </c>
      <c r="I1328" s="43">
        <v>46082</v>
      </c>
      <c r="J1328" t="s">
        <v>565</v>
      </c>
      <c r="K1328" t="str">
        <f>IFERROR(+VLOOKUP(Movimientos_2026[[#This Row],[Codigo]],Plan_cuentas[],6,FALSE)," ")</f>
        <v>7 - PRtr - Plan Rombo Transf.</v>
      </c>
      <c r="L1328" s="50">
        <v>8294911.7400000002</v>
      </c>
      <c r="M1328" s="50"/>
      <c r="N1328" s="20">
        <f>+Movimientos_2026[[#This Row],[Ingresos]]-Movimientos_2026[[#This Row],[Egresos]]</f>
        <v>8294911.7400000002</v>
      </c>
      <c r="O1328" s="20">
        <f>+O1327+Movimientos_2026[[#This Row],[Neto]]</f>
        <v>3806161178.8985453</v>
      </c>
    </row>
    <row r="1329" spans="1:15" x14ac:dyDescent="0.25">
      <c r="A1329" s="13">
        <v>46133</v>
      </c>
      <c r="B1329" s="12">
        <f>MONTH(Movimientos_2026[[#This Row],[Fecha]])</f>
        <v>4</v>
      </c>
      <c r="C1329" s="12" t="str">
        <f>VLOOKUP((WEEKDAY(Movimientos_2026[[#This Row],[Fecha]],2)),'5. Setup'!$D$6:$E$12,2,FALSE)</f>
        <v>Mar</v>
      </c>
      <c r="D1329">
        <v>2044464</v>
      </c>
      <c r="E1329" t="str">
        <f>IFERROR(+VLOOKUP(Movimientos_2026[[#This Row],[Codigo]],Plan_cuentas[],2,FALSE)," ")</f>
        <v>EGRESOS</v>
      </c>
      <c r="F1329" t="str">
        <f>IFERROR(+VLOOKUP(Movimientos_2026[[#This Row],[Codigo]],Plan_cuentas[],3,FALSE)," ")</f>
        <v>Transferencia</v>
      </c>
      <c r="G1329" t="str">
        <f>IFERROR(+VLOOKUP(Movimientos_2026[[#This Row],[Codigo]],Plan_cuentas[],4,FALSE)," ")</f>
        <v>Rentas</v>
      </c>
      <c r="H1329" t="str">
        <f>IFERROR(+VLOOKUP(Movimientos_2026[[#This Row],[Codigo]],Plan_cuentas[],5,FALSE)," ")</f>
        <v>MISIONES</v>
      </c>
      <c r="I1329" s="43">
        <v>46082</v>
      </c>
      <c r="J1329" t="s">
        <v>566</v>
      </c>
      <c r="K1329" t="str">
        <f>IFERROR(+VLOOKUP(Movimientos_2026[[#This Row],[Codigo]],Plan_cuentas[],6,FALSE)," ")</f>
        <v>4 - FCA - Fiat</v>
      </c>
      <c r="L1329" s="50"/>
      <c r="M1329" s="50">
        <v>7662359.0099999998</v>
      </c>
      <c r="N1329" s="20">
        <f>+Movimientos_2026[[#This Row],[Ingresos]]-Movimientos_2026[[#This Row],[Egresos]]</f>
        <v>-7662359.0099999998</v>
      </c>
      <c r="O1329" s="20">
        <f>+O1328+Movimientos_2026[[#This Row],[Neto]]</f>
        <v>3798498819.888545</v>
      </c>
    </row>
    <row r="1330" spans="1:15" x14ac:dyDescent="0.25">
      <c r="A1330" s="13">
        <v>46133</v>
      </c>
      <c r="B1330" s="12">
        <f>MONTH(Movimientos_2026[[#This Row],[Fecha]])</f>
        <v>4</v>
      </c>
      <c r="C1330" s="12" t="str">
        <f>VLOOKUP((WEEKDAY(Movimientos_2026[[#This Row],[Fecha]],2)),'5. Setup'!$D$6:$E$12,2,FALSE)</f>
        <v>Mar</v>
      </c>
      <c r="D1330">
        <v>2054311</v>
      </c>
      <c r="E1330" t="str">
        <f>IFERROR(+VLOOKUP(Movimientos_2026[[#This Row],[Codigo]],Plan_cuentas[],2,FALSE)," ")</f>
        <v>EGRESOS</v>
      </c>
      <c r="F1330" t="str">
        <f>IFERROR(+VLOOKUP(Movimientos_2026[[#This Row],[Codigo]],Plan_cuentas[],3,FALSE)," ")</f>
        <v>VEP</v>
      </c>
      <c r="G1330" t="str">
        <f>IFERROR(+VLOOKUP(Movimientos_2026[[#This Row],[Codigo]],Plan_cuentas[],4,FALSE)," ")</f>
        <v>Rentas</v>
      </c>
      <c r="H1330" t="str">
        <f>IFERROR(+VLOOKUP(Movimientos_2026[[#This Row],[Codigo]],Plan_cuentas[],5,FALSE)," ")</f>
        <v>NEUQUEN 1° Q</v>
      </c>
      <c r="I1330" s="43">
        <v>46113</v>
      </c>
      <c r="J1330" t="s">
        <v>567</v>
      </c>
      <c r="K1330" t="str">
        <f>IFERROR(+VLOOKUP(Movimientos_2026[[#This Row],[Codigo]],Plan_cuentas[],6,FALSE)," ")</f>
        <v>1 - VW - Volkswagen</v>
      </c>
      <c r="L1330" s="50"/>
      <c r="M1330" s="52">
        <v>15012681</v>
      </c>
      <c r="N1330" s="20">
        <f>+Movimientos_2026[[#This Row],[Ingresos]]-Movimientos_2026[[#This Row],[Egresos]]</f>
        <v>-15012681</v>
      </c>
      <c r="O1330" s="20">
        <f>+O1329+Movimientos_2026[[#This Row],[Neto]]</f>
        <v>3783486138.888545</v>
      </c>
    </row>
    <row r="1331" spans="1:15" x14ac:dyDescent="0.25">
      <c r="A1331" s="13">
        <v>46133</v>
      </c>
      <c r="B1331" s="12">
        <f>MONTH(Movimientos_2026[[#This Row],[Fecha]])</f>
        <v>4</v>
      </c>
      <c r="C1331" s="12" t="str">
        <f>VLOOKUP((WEEKDAY(Movimientos_2026[[#This Row],[Fecha]],2)),'5. Setup'!$D$6:$E$12,2,FALSE)</f>
        <v>Mar</v>
      </c>
      <c r="D1331">
        <v>2054314</v>
      </c>
      <c r="E1331" t="str">
        <f>IFERROR(+VLOOKUP(Movimientos_2026[[#This Row],[Codigo]],Plan_cuentas[],2,FALSE)," ")</f>
        <v>EGRESOS</v>
      </c>
      <c r="F1331" t="str">
        <f>IFERROR(+VLOOKUP(Movimientos_2026[[#This Row],[Codigo]],Plan_cuentas[],3,FALSE)," ")</f>
        <v>VEP</v>
      </c>
      <c r="G1331" t="str">
        <f>IFERROR(+VLOOKUP(Movimientos_2026[[#This Row],[Codigo]],Plan_cuentas[],4,FALSE)," ")</f>
        <v>Rentas</v>
      </c>
      <c r="H1331" t="str">
        <f>IFERROR(+VLOOKUP(Movimientos_2026[[#This Row],[Codigo]],Plan_cuentas[],5,FALSE)," ")</f>
        <v>NEUQUEN 1° Q</v>
      </c>
      <c r="I1331" s="43">
        <v>46113</v>
      </c>
      <c r="J1331" t="s">
        <v>568</v>
      </c>
      <c r="K1331" t="str">
        <f>IFERROR(+VLOOKUP(Movimientos_2026[[#This Row],[Codigo]],Plan_cuentas[],6,FALSE)," ")</f>
        <v>4 - FCA - Fiat</v>
      </c>
      <c r="L1331" s="50"/>
      <c r="M1331" s="52">
        <v>25933480</v>
      </c>
      <c r="N1331" s="20">
        <f>+Movimientos_2026[[#This Row],[Ingresos]]-Movimientos_2026[[#This Row],[Egresos]]</f>
        <v>-25933480</v>
      </c>
      <c r="O1331" s="20">
        <f>+O1330+Movimientos_2026[[#This Row],[Neto]]</f>
        <v>3757552658.888545</v>
      </c>
    </row>
    <row r="1332" spans="1:15" x14ac:dyDescent="0.25">
      <c r="A1332" s="13">
        <v>46133</v>
      </c>
      <c r="B1332" s="12">
        <f>MONTH(Movimientos_2026[[#This Row],[Fecha]])</f>
        <v>4</v>
      </c>
      <c r="C1332" s="12" t="str">
        <f>VLOOKUP((WEEKDAY(Movimientos_2026[[#This Row],[Fecha]],2)),'5. Setup'!$D$6:$E$12,2,FALSE)</f>
        <v>Mar</v>
      </c>
      <c r="D1332">
        <v>2054316</v>
      </c>
      <c r="E1332" t="str">
        <f>IFERROR(+VLOOKUP(Movimientos_2026[[#This Row],[Codigo]],Plan_cuentas[],2,FALSE)," ")</f>
        <v>EGRESOS</v>
      </c>
      <c r="F1332" t="str">
        <f>IFERROR(+VLOOKUP(Movimientos_2026[[#This Row],[Codigo]],Plan_cuentas[],3,FALSE)," ")</f>
        <v>VEP</v>
      </c>
      <c r="G1332" t="str">
        <f>IFERROR(+VLOOKUP(Movimientos_2026[[#This Row],[Codigo]],Plan_cuentas[],4,FALSE)," ")</f>
        <v>Rentas</v>
      </c>
      <c r="H1332" t="str">
        <f>IFERROR(+VLOOKUP(Movimientos_2026[[#This Row],[Codigo]],Plan_cuentas[],5,FALSE)," ")</f>
        <v>NEUQUEN 1° Q</v>
      </c>
      <c r="I1332" s="43">
        <v>46113</v>
      </c>
      <c r="J1332" t="s">
        <v>568</v>
      </c>
      <c r="K1332" t="str">
        <f>IFERROR(+VLOOKUP(Movimientos_2026[[#This Row],[Codigo]],Plan_cuentas[],6,FALSE)," ")</f>
        <v>6 - FCAtr - Fiat Transf.</v>
      </c>
      <c r="L1332" s="50"/>
      <c r="M1332" s="52">
        <v>626053.06999999995</v>
      </c>
      <c r="N1332" s="20">
        <f>+Movimientos_2026[[#This Row],[Ingresos]]-Movimientos_2026[[#This Row],[Egresos]]</f>
        <v>-626053.06999999995</v>
      </c>
      <c r="O1332" s="20">
        <f>+O1331+Movimientos_2026[[#This Row],[Neto]]</f>
        <v>3756926605.8185449</v>
      </c>
    </row>
    <row r="1333" spans="1:15" x14ac:dyDescent="0.25">
      <c r="A1333" s="13">
        <v>46133</v>
      </c>
      <c r="B1333" s="12">
        <f>MONTH(Movimientos_2026[[#This Row],[Fecha]])</f>
        <v>4</v>
      </c>
      <c r="C1333" s="12" t="str">
        <f>VLOOKUP((WEEKDAY(Movimientos_2026[[#This Row],[Fecha]],2)),'5. Setup'!$D$6:$E$12,2,FALSE)</f>
        <v>Mar</v>
      </c>
      <c r="D1333">
        <v>2044495</v>
      </c>
      <c r="E1333" t="str">
        <f>IFERROR(+VLOOKUP(Movimientos_2026[[#This Row],[Codigo]],Plan_cuentas[],2,FALSE)," ")</f>
        <v>EGRESOS</v>
      </c>
      <c r="F1333" t="str">
        <f>IFERROR(+VLOOKUP(Movimientos_2026[[#This Row],[Codigo]],Plan_cuentas[],3,FALSE)," ")</f>
        <v>Transferencia</v>
      </c>
      <c r="G1333" t="str">
        <f>IFERROR(+VLOOKUP(Movimientos_2026[[#This Row],[Codigo]],Plan_cuentas[],4,FALSE)," ")</f>
        <v>Rentas</v>
      </c>
      <c r="H1333" t="str">
        <f>IFERROR(+VLOOKUP(Movimientos_2026[[#This Row],[Codigo]],Plan_cuentas[],5,FALSE)," ")</f>
        <v>JUJUY</v>
      </c>
      <c r="I1333" s="43">
        <v>45352</v>
      </c>
      <c r="J1333" t="s">
        <v>569</v>
      </c>
      <c r="K1333" t="str">
        <f>IFERROR(+VLOOKUP(Movimientos_2026[[#This Row],[Codigo]],Plan_cuentas[],6,FALSE)," ")</f>
        <v>5 - YAM - Yamaha</v>
      </c>
      <c r="L1333" s="50"/>
      <c r="M1333" s="50">
        <v>2188512.48</v>
      </c>
      <c r="N1333" s="20">
        <f>+Movimientos_2026[[#This Row],[Ingresos]]-Movimientos_2026[[#This Row],[Egresos]]</f>
        <v>-2188512.48</v>
      </c>
      <c r="O1333" s="20">
        <f>+O1332+Movimientos_2026[[#This Row],[Neto]]</f>
        <v>3754738093.3385448</v>
      </c>
    </row>
    <row r="1334" spans="1:15" x14ac:dyDescent="0.25">
      <c r="A1334" s="13">
        <v>46133</v>
      </c>
      <c r="B1334" s="12">
        <f>MONTH(Movimientos_2026[[#This Row],[Fecha]])</f>
        <v>4</v>
      </c>
      <c r="C1334" s="12" t="str">
        <f>VLOOKUP((WEEKDAY(Movimientos_2026[[#This Row],[Fecha]],2)),'5. Setup'!$D$6:$E$12,2,FALSE)</f>
        <v>Mar</v>
      </c>
      <c r="D1334">
        <v>2044462</v>
      </c>
      <c r="E1334" t="str">
        <f>IFERROR(+VLOOKUP(Movimientos_2026[[#This Row],[Codigo]],Plan_cuentas[],2,FALSE)," ")</f>
        <v>EGRESOS</v>
      </c>
      <c r="F1334" t="str">
        <f>IFERROR(+VLOOKUP(Movimientos_2026[[#This Row],[Codigo]],Plan_cuentas[],3,FALSE)," ")</f>
        <v>Transferencia</v>
      </c>
      <c r="G1334" t="str">
        <f>IFERROR(+VLOOKUP(Movimientos_2026[[#This Row],[Codigo]],Plan_cuentas[],4,FALSE)," ")</f>
        <v>Rentas</v>
      </c>
      <c r="H1334" t="str">
        <f>IFERROR(+VLOOKUP(Movimientos_2026[[#This Row],[Codigo]],Plan_cuentas[],5,FALSE)," ")</f>
        <v>MISIONES</v>
      </c>
      <c r="I1334" s="43">
        <v>46113</v>
      </c>
      <c r="J1334" t="s">
        <v>570</v>
      </c>
      <c r="K1334" t="str">
        <f>IFERROR(+VLOOKUP(Movimientos_2026[[#This Row],[Codigo]],Plan_cuentas[],6,FALSE)," ")</f>
        <v>2 - PR - Plan Rombo</v>
      </c>
      <c r="L1334" s="50"/>
      <c r="M1334" s="50">
        <v>2894446.03</v>
      </c>
      <c r="N1334" s="20">
        <f>+Movimientos_2026[[#This Row],[Ingresos]]-Movimientos_2026[[#This Row],[Egresos]]</f>
        <v>-2894446.03</v>
      </c>
      <c r="O1334" s="20">
        <f>+O1333+Movimientos_2026[[#This Row],[Neto]]</f>
        <v>3751843647.3085446</v>
      </c>
    </row>
    <row r="1335" spans="1:15" x14ac:dyDescent="0.25">
      <c r="A1335" s="13">
        <v>46133</v>
      </c>
      <c r="B1335" s="12">
        <f>MONTH(Movimientos_2026[[#This Row],[Fecha]])</f>
        <v>4</v>
      </c>
      <c r="C1335" s="12" t="str">
        <f>VLOOKUP((WEEKDAY(Movimientos_2026[[#This Row],[Fecha]],2)),'5. Setup'!$D$6:$E$12,2,FALSE)</f>
        <v>Mar</v>
      </c>
      <c r="D1335">
        <v>2044122</v>
      </c>
      <c r="E1335" t="str">
        <f>IFERROR(+VLOOKUP(Movimientos_2026[[#This Row],[Codigo]],Plan_cuentas[],2,FALSE)," ")</f>
        <v>EGRESOS</v>
      </c>
      <c r="F1335" t="str">
        <f>IFERROR(+VLOOKUP(Movimientos_2026[[#This Row],[Codigo]],Plan_cuentas[],3,FALSE)," ")</f>
        <v>Transferencia</v>
      </c>
      <c r="G1335" t="str">
        <f>IFERROR(+VLOOKUP(Movimientos_2026[[#This Row],[Codigo]],Plan_cuentas[],4,FALSE)," ")</f>
        <v>Rentas</v>
      </c>
      <c r="H1335" t="str">
        <f>IFERROR(+VLOOKUP(Movimientos_2026[[#This Row],[Codigo]],Plan_cuentas[],5,FALSE)," ")</f>
        <v>BAPRO</v>
      </c>
      <c r="I1335" s="43">
        <v>46082</v>
      </c>
      <c r="J1335" t="s">
        <v>571</v>
      </c>
      <c r="K1335" t="str">
        <f>IFERROR(+VLOOKUP(Movimientos_2026[[#This Row],[Codigo]],Plan_cuentas[],6,FALSE)," ")</f>
        <v>2 - PR - Plan Rombo</v>
      </c>
      <c r="L1335" s="50"/>
      <c r="M1335" s="50">
        <v>16126136.300000001</v>
      </c>
      <c r="N1335" s="20">
        <f>+Movimientos_2026[[#This Row],[Ingresos]]-Movimientos_2026[[#This Row],[Egresos]]</f>
        <v>-16126136.300000001</v>
      </c>
      <c r="O1335" s="20">
        <f>+O1334+Movimientos_2026[[#This Row],[Neto]]</f>
        <v>3735717511.0085444</v>
      </c>
    </row>
    <row r="1336" spans="1:15" x14ac:dyDescent="0.25">
      <c r="A1336" s="13">
        <v>46133</v>
      </c>
      <c r="B1336" s="12">
        <f>MONTH(Movimientos_2026[[#This Row],[Fecha]])</f>
        <v>4</v>
      </c>
      <c r="C1336" s="12" t="str">
        <f>VLOOKUP((WEEKDAY(Movimientos_2026[[#This Row],[Fecha]],2)),'5. Setup'!$D$6:$E$12,2,FALSE)</f>
        <v>Mar</v>
      </c>
      <c r="D1336">
        <v>2044122</v>
      </c>
      <c r="E1336" t="str">
        <f>IFERROR(+VLOOKUP(Movimientos_2026[[#This Row],[Codigo]],Plan_cuentas[],2,FALSE)," ")</f>
        <v>EGRESOS</v>
      </c>
      <c r="F1336" t="str">
        <f>IFERROR(+VLOOKUP(Movimientos_2026[[#This Row],[Codigo]],Plan_cuentas[],3,FALSE)," ")</f>
        <v>Transferencia</v>
      </c>
      <c r="G1336" t="str">
        <f>IFERROR(+VLOOKUP(Movimientos_2026[[#This Row],[Codigo]],Plan_cuentas[],4,FALSE)," ")</f>
        <v>Rentas</v>
      </c>
      <c r="H1336" t="str">
        <f>IFERROR(+VLOOKUP(Movimientos_2026[[#This Row],[Codigo]],Plan_cuentas[],5,FALSE)," ")</f>
        <v>BAPRO</v>
      </c>
      <c r="I1336" s="43">
        <v>46082</v>
      </c>
      <c r="J1336" t="s">
        <v>572</v>
      </c>
      <c r="K1336" t="str">
        <f>IFERROR(+VLOOKUP(Movimientos_2026[[#This Row],[Codigo]],Plan_cuentas[],6,FALSE)," ")</f>
        <v>2 - PR - Plan Rombo</v>
      </c>
      <c r="L1336" s="50"/>
      <c r="M1336" s="50">
        <v>15743287.9</v>
      </c>
      <c r="N1336" s="20">
        <f>+Movimientos_2026[[#This Row],[Ingresos]]-Movimientos_2026[[#This Row],[Egresos]]</f>
        <v>-15743287.9</v>
      </c>
      <c r="O1336" s="20">
        <f>+O1335+Movimientos_2026[[#This Row],[Neto]]</f>
        <v>3719974223.1085443</v>
      </c>
    </row>
    <row r="1337" spans="1:15" x14ac:dyDescent="0.25">
      <c r="A1337" s="13">
        <v>46133</v>
      </c>
      <c r="B1337" s="12">
        <f>MONTH(Movimientos_2026[[#This Row],[Fecha]])</f>
        <v>4</v>
      </c>
      <c r="C1337" s="12" t="str">
        <f>VLOOKUP((WEEKDAY(Movimientos_2026[[#This Row],[Fecha]],2)),'5. Setup'!$D$6:$E$12,2,FALSE)</f>
        <v>Mar</v>
      </c>
      <c r="D1337">
        <v>2044126</v>
      </c>
      <c r="E1337" t="str">
        <f>IFERROR(+VLOOKUP(Movimientos_2026[[#This Row],[Codigo]],Plan_cuentas[],2,FALSE)," ")</f>
        <v>EGRESOS</v>
      </c>
      <c r="F1337" t="str">
        <f>IFERROR(+VLOOKUP(Movimientos_2026[[#This Row],[Codigo]],Plan_cuentas[],3,FALSE)," ")</f>
        <v>Transferencia</v>
      </c>
      <c r="G1337" t="str">
        <f>IFERROR(+VLOOKUP(Movimientos_2026[[#This Row],[Codigo]],Plan_cuentas[],4,FALSE)," ")</f>
        <v>Rentas</v>
      </c>
      <c r="H1337" t="str">
        <f>IFERROR(+VLOOKUP(Movimientos_2026[[#This Row],[Codigo]],Plan_cuentas[],5,FALSE)," ")</f>
        <v>BAPRO</v>
      </c>
      <c r="I1337" s="43">
        <v>46082</v>
      </c>
      <c r="J1337" t="s">
        <v>573</v>
      </c>
      <c r="K1337" t="str">
        <f>IFERROR(+VLOOKUP(Movimientos_2026[[#This Row],[Codigo]],Plan_cuentas[],6,FALSE)," ")</f>
        <v>6 - FCAtr - Fiat Transf.</v>
      </c>
      <c r="L1337" s="50"/>
      <c r="M1337" s="50">
        <v>5336355.4000000004</v>
      </c>
      <c r="N1337" s="20">
        <f>+Movimientos_2026[[#This Row],[Ingresos]]-Movimientos_2026[[#This Row],[Egresos]]</f>
        <v>-5336355.4000000004</v>
      </c>
      <c r="O1337" s="20">
        <f>+O1336+Movimientos_2026[[#This Row],[Neto]]</f>
        <v>3714637867.7085443</v>
      </c>
    </row>
    <row r="1338" spans="1:15" x14ac:dyDescent="0.25">
      <c r="A1338" s="13">
        <v>46133</v>
      </c>
      <c r="B1338" s="12">
        <f>MONTH(Movimientos_2026[[#This Row],[Fecha]])</f>
        <v>4</v>
      </c>
      <c r="C1338" s="12" t="str">
        <f>VLOOKUP((WEEKDAY(Movimientos_2026[[#This Row],[Fecha]],2)),'5. Setup'!$D$6:$E$12,2,FALSE)</f>
        <v>Mar</v>
      </c>
      <c r="D1338">
        <v>2044126</v>
      </c>
      <c r="E1338" t="str">
        <f>IFERROR(+VLOOKUP(Movimientos_2026[[#This Row],[Codigo]],Plan_cuentas[],2,FALSE)," ")</f>
        <v>EGRESOS</v>
      </c>
      <c r="F1338" t="str">
        <f>IFERROR(+VLOOKUP(Movimientos_2026[[#This Row],[Codigo]],Plan_cuentas[],3,FALSE)," ")</f>
        <v>Transferencia</v>
      </c>
      <c r="G1338" t="str">
        <f>IFERROR(+VLOOKUP(Movimientos_2026[[#This Row],[Codigo]],Plan_cuentas[],4,FALSE)," ")</f>
        <v>Rentas</v>
      </c>
      <c r="H1338" t="str">
        <f>IFERROR(+VLOOKUP(Movimientos_2026[[#This Row],[Codigo]],Plan_cuentas[],5,FALSE)," ")</f>
        <v>BAPRO</v>
      </c>
      <c r="I1338" s="43">
        <v>46082</v>
      </c>
      <c r="J1338" t="s">
        <v>574</v>
      </c>
      <c r="K1338" t="str">
        <f>IFERROR(+VLOOKUP(Movimientos_2026[[#This Row],[Codigo]],Plan_cuentas[],6,FALSE)," ")</f>
        <v>6 - FCAtr - Fiat Transf.</v>
      </c>
      <c r="L1338" s="50"/>
      <c r="M1338" s="50">
        <v>3973145.6</v>
      </c>
      <c r="N1338" s="20">
        <f>+Movimientos_2026[[#This Row],[Ingresos]]-Movimientos_2026[[#This Row],[Egresos]]</f>
        <v>-3973145.6</v>
      </c>
      <c r="O1338" s="20">
        <f>+O1337+Movimientos_2026[[#This Row],[Neto]]</f>
        <v>3710664722.1085443</v>
      </c>
    </row>
    <row r="1339" spans="1:15" x14ac:dyDescent="0.25">
      <c r="A1339" s="13">
        <v>46133</v>
      </c>
      <c r="B1339" s="12">
        <f>MONTH(Movimientos_2026[[#This Row],[Fecha]])</f>
        <v>4</v>
      </c>
      <c r="C1339" s="12" t="str">
        <f>VLOOKUP((WEEKDAY(Movimientos_2026[[#This Row],[Fecha]],2)),'5. Setup'!$D$6:$E$12,2,FALSE)</f>
        <v>Mar</v>
      </c>
      <c r="D1339">
        <v>2044126</v>
      </c>
      <c r="E1339" t="str">
        <f>IFERROR(+VLOOKUP(Movimientos_2026[[#This Row],[Codigo]],Plan_cuentas[],2,FALSE)," ")</f>
        <v>EGRESOS</v>
      </c>
      <c r="F1339" t="str">
        <f>IFERROR(+VLOOKUP(Movimientos_2026[[#This Row],[Codigo]],Plan_cuentas[],3,FALSE)," ")</f>
        <v>Transferencia</v>
      </c>
      <c r="G1339" t="str">
        <f>IFERROR(+VLOOKUP(Movimientos_2026[[#This Row],[Codigo]],Plan_cuentas[],4,FALSE)," ")</f>
        <v>Rentas</v>
      </c>
      <c r="H1339" t="str">
        <f>IFERROR(+VLOOKUP(Movimientos_2026[[#This Row],[Codigo]],Plan_cuentas[],5,FALSE)," ")</f>
        <v>BAPRO</v>
      </c>
      <c r="I1339" s="43">
        <v>46082</v>
      </c>
      <c r="J1339" t="s">
        <v>575</v>
      </c>
      <c r="K1339" t="str">
        <f>IFERROR(+VLOOKUP(Movimientos_2026[[#This Row],[Codigo]],Plan_cuentas[],6,FALSE)," ")</f>
        <v>6 - FCAtr - Fiat Transf.</v>
      </c>
      <c r="L1339" s="50"/>
      <c r="M1339" s="50">
        <v>3200861.9</v>
      </c>
      <c r="N1339" s="20">
        <f>+Movimientos_2026[[#This Row],[Ingresos]]-Movimientos_2026[[#This Row],[Egresos]]</f>
        <v>-3200861.9</v>
      </c>
      <c r="O1339" s="20">
        <f>+O1338+Movimientos_2026[[#This Row],[Neto]]</f>
        <v>3707463860.2085443</v>
      </c>
    </row>
    <row r="1340" spans="1:15" x14ac:dyDescent="0.25">
      <c r="A1340" s="13">
        <v>46133</v>
      </c>
      <c r="B1340" s="12">
        <f>MONTH(Movimientos_2026[[#This Row],[Fecha]])</f>
        <v>4</v>
      </c>
      <c r="C1340" s="12" t="str">
        <f>VLOOKUP((WEEKDAY(Movimientos_2026[[#This Row],[Fecha]],2)),'5. Setup'!$D$6:$E$12,2,FALSE)</f>
        <v>Mar</v>
      </c>
      <c r="D1340">
        <v>2044126</v>
      </c>
      <c r="E1340" t="str">
        <f>IFERROR(+VLOOKUP(Movimientos_2026[[#This Row],[Codigo]],Plan_cuentas[],2,FALSE)," ")</f>
        <v>EGRESOS</v>
      </c>
      <c r="F1340" t="str">
        <f>IFERROR(+VLOOKUP(Movimientos_2026[[#This Row],[Codigo]],Plan_cuentas[],3,FALSE)," ")</f>
        <v>Transferencia</v>
      </c>
      <c r="G1340" t="str">
        <f>IFERROR(+VLOOKUP(Movimientos_2026[[#This Row],[Codigo]],Plan_cuentas[],4,FALSE)," ")</f>
        <v>Rentas</v>
      </c>
      <c r="H1340" t="str">
        <f>IFERROR(+VLOOKUP(Movimientos_2026[[#This Row],[Codigo]],Plan_cuentas[],5,FALSE)," ")</f>
        <v>BAPRO</v>
      </c>
      <c r="I1340" s="43">
        <v>46082</v>
      </c>
      <c r="J1340" t="s">
        <v>576</v>
      </c>
      <c r="K1340" t="str">
        <f>IFERROR(+VLOOKUP(Movimientos_2026[[#This Row],[Codigo]],Plan_cuentas[],6,FALSE)," ")</f>
        <v>6 - FCAtr - Fiat Transf.</v>
      </c>
      <c r="L1340" s="50"/>
      <c r="M1340" s="50">
        <v>2455392.4</v>
      </c>
      <c r="N1340" s="20">
        <f>+Movimientos_2026[[#This Row],[Ingresos]]-Movimientos_2026[[#This Row],[Egresos]]</f>
        <v>-2455392.4</v>
      </c>
      <c r="O1340" s="20">
        <f>+O1339+Movimientos_2026[[#This Row],[Neto]]</f>
        <v>3705008467.8085442</v>
      </c>
    </row>
    <row r="1341" spans="1:15" x14ac:dyDescent="0.25">
      <c r="A1341" s="13">
        <v>46133</v>
      </c>
      <c r="B1341" s="12">
        <f>MONTH(Movimientos_2026[[#This Row],[Fecha]])</f>
        <v>4</v>
      </c>
      <c r="C1341" s="12" t="str">
        <f>VLOOKUP((WEEKDAY(Movimientos_2026[[#This Row],[Fecha]],2)),'5. Setup'!$D$6:$E$12,2,FALSE)</f>
        <v>Mar</v>
      </c>
      <c r="D1341">
        <v>2044126</v>
      </c>
      <c r="E1341" t="str">
        <f>IFERROR(+VLOOKUP(Movimientos_2026[[#This Row],[Codigo]],Plan_cuentas[],2,FALSE)," ")</f>
        <v>EGRESOS</v>
      </c>
      <c r="F1341" t="str">
        <f>IFERROR(+VLOOKUP(Movimientos_2026[[#This Row],[Codigo]],Plan_cuentas[],3,FALSE)," ")</f>
        <v>Transferencia</v>
      </c>
      <c r="G1341" t="str">
        <f>IFERROR(+VLOOKUP(Movimientos_2026[[#This Row],[Codigo]],Plan_cuentas[],4,FALSE)," ")</f>
        <v>Rentas</v>
      </c>
      <c r="H1341" t="str">
        <f>IFERROR(+VLOOKUP(Movimientos_2026[[#This Row],[Codigo]],Plan_cuentas[],5,FALSE)," ")</f>
        <v>BAPRO</v>
      </c>
      <c r="I1341" s="43">
        <v>46082</v>
      </c>
      <c r="J1341" t="s">
        <v>577</v>
      </c>
      <c r="K1341" t="str">
        <f>IFERROR(+VLOOKUP(Movimientos_2026[[#This Row],[Codigo]],Plan_cuentas[],6,FALSE)," ")</f>
        <v>6 - FCAtr - Fiat Transf.</v>
      </c>
      <c r="L1341" s="50"/>
      <c r="M1341" s="52">
        <v>74289.399999999994</v>
      </c>
      <c r="N1341" s="20">
        <f>+Movimientos_2026[[#This Row],[Ingresos]]-Movimientos_2026[[#This Row],[Egresos]]</f>
        <v>-74289.399999999994</v>
      </c>
      <c r="O1341" s="20">
        <f>+O1340+Movimientos_2026[[#This Row],[Neto]]</f>
        <v>3704934178.4085441</v>
      </c>
    </row>
    <row r="1342" spans="1:15" x14ac:dyDescent="0.25">
      <c r="A1342" s="13">
        <v>46133</v>
      </c>
      <c r="B1342" s="12">
        <f>MONTH(Movimientos_2026[[#This Row],[Fecha]])</f>
        <v>4</v>
      </c>
      <c r="C1342" s="12" t="str">
        <f>VLOOKUP((WEEKDAY(Movimientos_2026[[#This Row],[Fecha]],2)),'5. Setup'!$D$6:$E$12,2,FALSE)</f>
        <v>Mar</v>
      </c>
      <c r="D1342">
        <v>1044485</v>
      </c>
      <c r="E1342" t="str">
        <f>IFERROR(+VLOOKUP(Movimientos_2026[[#This Row],[Codigo]],Plan_cuentas[],2,FALSE)," ")</f>
        <v>INGRESOS</v>
      </c>
      <c r="F1342" t="str">
        <f>IFERROR(+VLOOKUP(Movimientos_2026[[#This Row],[Codigo]],Plan_cuentas[],3,FALSE)," ")</f>
        <v>Transferencia</v>
      </c>
      <c r="G1342" t="str">
        <f>IFERROR(+VLOOKUP(Movimientos_2026[[#This Row],[Codigo]],Plan_cuentas[],4,FALSE)," ")</f>
        <v>Factura</v>
      </c>
      <c r="H1342" t="str">
        <f>IFERROR(+VLOOKUP(Movimientos_2026[[#This Row],[Codigo]],Plan_cuentas[],5,FALSE)," ")</f>
        <v>FC TRAMITACION</v>
      </c>
      <c r="I1342" s="43">
        <v>46054</v>
      </c>
      <c r="J1342" t="s">
        <v>578</v>
      </c>
      <c r="K1342" t="str">
        <f>IFERROR(+VLOOKUP(Movimientos_2026[[#This Row],[Codigo]],Plan_cuentas[],6,FALSE)," ")</f>
        <v>5 - YAM - Yamaha</v>
      </c>
      <c r="L1342" s="50">
        <v>4825536</v>
      </c>
      <c r="M1342" s="50"/>
      <c r="N1342" s="20">
        <f>+Movimientos_2026[[#This Row],[Ingresos]]-Movimientos_2026[[#This Row],[Egresos]]</f>
        <v>4825536</v>
      </c>
      <c r="O1342" s="20">
        <f>+O1341+Movimientos_2026[[#This Row],[Neto]]</f>
        <v>3709759714.4085441</v>
      </c>
    </row>
    <row r="1343" spans="1:15" x14ac:dyDescent="0.25">
      <c r="A1343" s="13">
        <v>46134</v>
      </c>
      <c r="B1343" s="12">
        <f>MONTH(Movimientos_2026[[#This Row],[Fecha]])</f>
        <v>4</v>
      </c>
      <c r="C1343" s="12" t="str">
        <f>VLOOKUP((WEEKDAY(Movimientos_2026[[#This Row],[Fecha]],2)),'5. Setup'!$D$6:$E$12,2,FALSE)</f>
        <v>Mie</v>
      </c>
      <c r="D1343">
        <v>2054312</v>
      </c>
      <c r="E1343" t="str">
        <f>IFERROR(+VLOOKUP(Movimientos_2026[[#This Row],[Codigo]],Plan_cuentas[],2,FALSE)," ")</f>
        <v>EGRESOS</v>
      </c>
      <c r="F1343" t="str">
        <f>IFERROR(+VLOOKUP(Movimientos_2026[[#This Row],[Codigo]],Plan_cuentas[],3,FALSE)," ")</f>
        <v>VEP</v>
      </c>
      <c r="G1343" t="str">
        <f>IFERROR(+VLOOKUP(Movimientos_2026[[#This Row],[Codigo]],Plan_cuentas[],4,FALSE)," ")</f>
        <v>Rentas</v>
      </c>
      <c r="H1343" t="str">
        <f>IFERROR(+VLOOKUP(Movimientos_2026[[#This Row],[Codigo]],Plan_cuentas[],5,FALSE)," ")</f>
        <v>NEUQUEN 1° Q</v>
      </c>
      <c r="I1343" s="43">
        <v>46113</v>
      </c>
      <c r="J1343" t="s">
        <v>579</v>
      </c>
      <c r="K1343" t="str">
        <f>IFERROR(+VLOOKUP(Movimientos_2026[[#This Row],[Codigo]],Plan_cuentas[],6,FALSE)," ")</f>
        <v>2 - PR - Plan Rombo</v>
      </c>
      <c r="L1343" s="50"/>
      <c r="M1343" s="52">
        <v>28375900</v>
      </c>
      <c r="N1343" s="20">
        <f>+Movimientos_2026[[#This Row],[Ingresos]]-Movimientos_2026[[#This Row],[Egresos]]</f>
        <v>-28375900</v>
      </c>
      <c r="O1343" s="20">
        <f>+O1342+Movimientos_2026[[#This Row],[Neto]]</f>
        <v>3681383814.4085441</v>
      </c>
    </row>
    <row r="1344" spans="1:15" x14ac:dyDescent="0.25">
      <c r="A1344" s="13">
        <v>46134</v>
      </c>
      <c r="B1344" s="12">
        <f>MONTH(Movimientos_2026[[#This Row],[Fecha]])</f>
        <v>4</v>
      </c>
      <c r="C1344" s="12" t="str">
        <f>VLOOKUP((WEEKDAY(Movimientos_2026[[#This Row],[Fecha]],2)),'5. Setup'!$D$6:$E$12,2,FALSE)</f>
        <v>Mie</v>
      </c>
      <c r="D1344">
        <v>2023221</v>
      </c>
      <c r="E1344" t="str">
        <f>IFERROR(+VLOOKUP(Movimientos_2026[[#This Row],[Codigo]],Plan_cuentas[],2,FALSE)," ")</f>
        <v>EGRESOS</v>
      </c>
      <c r="F1344" t="str">
        <f>IFERROR(+VLOOKUP(Movimientos_2026[[#This Row],[Codigo]],Plan_cuentas[],3,FALSE)," ")</f>
        <v>DDJJ</v>
      </c>
      <c r="G1344" t="str">
        <f>IFERROR(+VLOOKUP(Movimientos_2026[[#This Row],[Codigo]],Plan_cuentas[],4,FALSE)," ")</f>
        <v>Registración</v>
      </c>
      <c r="H1344" t="str">
        <f>IFERROR(+VLOOKUP(Movimientos_2026[[#This Row],[Codigo]],Plan_cuentas[],5,FALSE)," ")</f>
        <v>ENTRE RIOS 1° Q</v>
      </c>
      <c r="I1344" s="43">
        <v>46113</v>
      </c>
      <c r="J1344" t="s">
        <v>580</v>
      </c>
      <c r="K1344" t="str">
        <f>IFERROR(+VLOOKUP(Movimientos_2026[[#This Row],[Codigo]],Plan_cuentas[],6,FALSE)," ")</f>
        <v>1 - VW - Volkswagen</v>
      </c>
      <c r="L1344" s="50"/>
      <c r="M1344" s="52">
        <v>9160012.5</v>
      </c>
      <c r="N1344" s="20">
        <f>+Movimientos_2026[[#This Row],[Ingresos]]-Movimientos_2026[[#This Row],[Egresos]]</f>
        <v>-9160012.5</v>
      </c>
      <c r="O1344" s="20">
        <f>+O1343+Movimientos_2026[[#This Row],[Neto]]</f>
        <v>3672223801.9085441</v>
      </c>
    </row>
    <row r="1345" spans="1:15" x14ac:dyDescent="0.25">
      <c r="A1345" s="13">
        <v>46134</v>
      </c>
      <c r="B1345" s="12">
        <f>MONTH(Movimientos_2026[[#This Row],[Fecha]])</f>
        <v>4</v>
      </c>
      <c r="C1345" s="12" t="str">
        <f>VLOOKUP((WEEKDAY(Movimientos_2026[[#This Row],[Fecha]],2)),'5. Setup'!$D$6:$E$12,2,FALSE)</f>
        <v>Mie</v>
      </c>
      <c r="D1345">
        <v>2023222</v>
      </c>
      <c r="E1345" t="str">
        <f>IFERROR(+VLOOKUP(Movimientos_2026[[#This Row],[Codigo]],Plan_cuentas[],2,FALSE)," ")</f>
        <v>EGRESOS</v>
      </c>
      <c r="F1345" t="str">
        <f>IFERROR(+VLOOKUP(Movimientos_2026[[#This Row],[Codigo]],Plan_cuentas[],3,FALSE)," ")</f>
        <v>DDJJ</v>
      </c>
      <c r="G1345" t="str">
        <f>IFERROR(+VLOOKUP(Movimientos_2026[[#This Row],[Codigo]],Plan_cuentas[],4,FALSE)," ")</f>
        <v>Registración</v>
      </c>
      <c r="H1345" t="str">
        <f>IFERROR(+VLOOKUP(Movimientos_2026[[#This Row],[Codigo]],Plan_cuentas[],5,FALSE)," ")</f>
        <v>ENTRE RIOS 1° Q</v>
      </c>
      <c r="I1345" s="43">
        <v>46113</v>
      </c>
      <c r="J1345" t="s">
        <v>580</v>
      </c>
      <c r="K1345" t="str">
        <f>IFERROR(+VLOOKUP(Movimientos_2026[[#This Row],[Codigo]],Plan_cuentas[],6,FALSE)," ")</f>
        <v>2 - PR - Plan Rombo</v>
      </c>
      <c r="L1345" s="50"/>
      <c r="M1345" s="52">
        <v>18281278.93</v>
      </c>
      <c r="N1345" s="20">
        <f>+Movimientos_2026[[#This Row],[Ingresos]]-Movimientos_2026[[#This Row],[Egresos]]</f>
        <v>-18281278.93</v>
      </c>
      <c r="O1345" s="20">
        <f>+O1344+Movimientos_2026[[#This Row],[Neto]]</f>
        <v>3653942522.9785442</v>
      </c>
    </row>
    <row r="1346" spans="1:15" x14ac:dyDescent="0.25">
      <c r="A1346" s="13">
        <v>46134</v>
      </c>
      <c r="B1346" s="12">
        <f>MONTH(Movimientos_2026[[#This Row],[Fecha]])</f>
        <v>4</v>
      </c>
      <c r="C1346" s="12" t="str">
        <f>VLOOKUP((WEEKDAY(Movimientos_2026[[#This Row],[Fecha]],2)),'5. Setup'!$D$6:$E$12,2,FALSE)</f>
        <v>Mie</v>
      </c>
      <c r="D1346">
        <v>2023223</v>
      </c>
      <c r="E1346" t="str">
        <f>IFERROR(+VLOOKUP(Movimientos_2026[[#This Row],[Codigo]],Plan_cuentas[],2,FALSE)," ")</f>
        <v>EGRESOS</v>
      </c>
      <c r="F1346" t="str">
        <f>IFERROR(+VLOOKUP(Movimientos_2026[[#This Row],[Codigo]],Plan_cuentas[],3,FALSE)," ")</f>
        <v>DDJJ</v>
      </c>
      <c r="G1346" t="str">
        <f>IFERROR(+VLOOKUP(Movimientos_2026[[#This Row],[Codigo]],Plan_cuentas[],4,FALSE)," ")</f>
        <v>Registración</v>
      </c>
      <c r="H1346" t="str">
        <f>IFERROR(+VLOOKUP(Movimientos_2026[[#This Row],[Codigo]],Plan_cuentas[],5,FALSE)," ")</f>
        <v>ENTRE RIOS 1° Q</v>
      </c>
      <c r="I1346" s="43">
        <v>46113</v>
      </c>
      <c r="J1346" t="s">
        <v>580</v>
      </c>
      <c r="K1346" t="str">
        <f>IFERROR(+VLOOKUP(Movimientos_2026[[#This Row],[Codigo]],Plan_cuentas[],6,FALSE)," ")</f>
        <v>3 - GM - Chevrolet</v>
      </c>
      <c r="L1346" s="50"/>
      <c r="M1346" s="52">
        <v>28945924.059999999</v>
      </c>
      <c r="N1346" s="20">
        <f>+Movimientos_2026[[#This Row],[Ingresos]]-Movimientos_2026[[#This Row],[Egresos]]</f>
        <v>-28945924.059999999</v>
      </c>
      <c r="O1346" s="20">
        <f>+O1345+Movimientos_2026[[#This Row],[Neto]]</f>
        <v>3624996598.9185443</v>
      </c>
    </row>
    <row r="1347" spans="1:15" x14ac:dyDescent="0.25">
      <c r="A1347" s="13">
        <v>46134</v>
      </c>
      <c r="B1347" s="12">
        <f>MONTH(Movimientos_2026[[#This Row],[Fecha]])</f>
        <v>4</v>
      </c>
      <c r="C1347" s="12" t="str">
        <f>VLOOKUP((WEEKDAY(Movimientos_2026[[#This Row],[Fecha]],2)),'5. Setup'!$D$6:$E$12,2,FALSE)</f>
        <v>Mie</v>
      </c>
      <c r="D1347">
        <v>2023226</v>
      </c>
      <c r="E1347" t="str">
        <f>IFERROR(+VLOOKUP(Movimientos_2026[[#This Row],[Codigo]],Plan_cuentas[],2,FALSE)," ")</f>
        <v>EGRESOS</v>
      </c>
      <c r="F1347" t="str">
        <f>IFERROR(+VLOOKUP(Movimientos_2026[[#This Row],[Codigo]],Plan_cuentas[],3,FALSE)," ")</f>
        <v>DDJJ</v>
      </c>
      <c r="G1347" t="str">
        <f>IFERROR(+VLOOKUP(Movimientos_2026[[#This Row],[Codigo]],Plan_cuentas[],4,FALSE)," ")</f>
        <v>Registración</v>
      </c>
      <c r="H1347" t="str">
        <f>IFERROR(+VLOOKUP(Movimientos_2026[[#This Row],[Codigo]],Plan_cuentas[],5,FALSE)," ")</f>
        <v>ENTRE RIOS 1° Q</v>
      </c>
      <c r="I1347" s="43">
        <v>46113</v>
      </c>
      <c r="J1347" t="s">
        <v>580</v>
      </c>
      <c r="K1347" t="str">
        <f>IFERROR(+VLOOKUP(Movimientos_2026[[#This Row],[Codigo]],Plan_cuentas[],6,FALSE)," ")</f>
        <v>6 - FCAtr - Fiat Transf.</v>
      </c>
      <c r="L1347" s="50"/>
      <c r="M1347" s="52">
        <v>448219.47</v>
      </c>
      <c r="N1347" s="20">
        <f>+Movimientos_2026[[#This Row],[Ingresos]]-Movimientos_2026[[#This Row],[Egresos]]</f>
        <v>-448219.47</v>
      </c>
      <c r="O1347" s="20">
        <f>+O1346+Movimientos_2026[[#This Row],[Neto]]</f>
        <v>3624548379.4485445</v>
      </c>
    </row>
    <row r="1348" spans="1:15" x14ac:dyDescent="0.25">
      <c r="A1348" s="13">
        <v>46134</v>
      </c>
      <c r="B1348" s="12">
        <f>MONTH(Movimientos_2026[[#This Row],[Fecha]])</f>
        <v>4</v>
      </c>
      <c r="C1348" s="12" t="str">
        <f>VLOOKUP((WEEKDAY(Movimientos_2026[[#This Row],[Fecha]],2)),'5. Setup'!$D$6:$E$12,2,FALSE)</f>
        <v>Mie</v>
      </c>
      <c r="D1348">
        <v>2023227</v>
      </c>
      <c r="E1348" t="str">
        <f>IFERROR(+VLOOKUP(Movimientos_2026[[#This Row],[Codigo]],Plan_cuentas[],2,FALSE)," ")</f>
        <v>EGRESOS</v>
      </c>
      <c r="F1348" t="str">
        <f>IFERROR(+VLOOKUP(Movimientos_2026[[#This Row],[Codigo]],Plan_cuentas[],3,FALSE)," ")</f>
        <v>DDJJ</v>
      </c>
      <c r="G1348" t="str">
        <f>IFERROR(+VLOOKUP(Movimientos_2026[[#This Row],[Codigo]],Plan_cuentas[],4,FALSE)," ")</f>
        <v>Registración</v>
      </c>
      <c r="H1348" t="str">
        <f>IFERROR(+VLOOKUP(Movimientos_2026[[#This Row],[Codigo]],Plan_cuentas[],5,FALSE)," ")</f>
        <v>ENTRE RIOS 1° Q</v>
      </c>
      <c r="I1348" s="43">
        <v>46113</v>
      </c>
      <c r="J1348" t="s">
        <v>580</v>
      </c>
      <c r="K1348" t="str">
        <f>IFERROR(+VLOOKUP(Movimientos_2026[[#This Row],[Codigo]],Plan_cuentas[],6,FALSE)," ")</f>
        <v>7 - PRtr - Plan Rombo Transf.</v>
      </c>
      <c r="L1348" s="50"/>
      <c r="M1348" s="52">
        <v>40000</v>
      </c>
      <c r="N1348" s="20">
        <f>+Movimientos_2026[[#This Row],[Ingresos]]-Movimientos_2026[[#This Row],[Egresos]]</f>
        <v>-40000</v>
      </c>
      <c r="O1348" s="20">
        <f>+O1347+Movimientos_2026[[#This Row],[Neto]]</f>
        <v>3624508379.4485445</v>
      </c>
    </row>
    <row r="1349" spans="1:15" x14ac:dyDescent="0.25">
      <c r="A1349" s="13">
        <v>46135</v>
      </c>
      <c r="B1349" s="12">
        <f>MONTH(Movimientos_2026[[#This Row],[Fecha]])</f>
        <v>4</v>
      </c>
      <c r="C1349" s="12" t="str">
        <f>VLOOKUP((WEEKDAY(Movimientos_2026[[#This Row],[Fecha]],2)),'5. Setup'!$D$6:$E$12,2,FALSE)</f>
        <v>Jue</v>
      </c>
      <c r="D1349">
        <v>2044127</v>
      </c>
      <c r="E1349" t="str">
        <f>IFERROR(+VLOOKUP(Movimientos_2026[[#This Row],[Codigo]],Plan_cuentas[],2,FALSE)," ")</f>
        <v>EGRESOS</v>
      </c>
      <c r="F1349" t="str">
        <f>IFERROR(+VLOOKUP(Movimientos_2026[[#This Row],[Codigo]],Plan_cuentas[],3,FALSE)," ")</f>
        <v>Transferencia</v>
      </c>
      <c r="G1349" t="str">
        <f>IFERROR(+VLOOKUP(Movimientos_2026[[#This Row],[Codigo]],Plan_cuentas[],4,FALSE)," ")</f>
        <v>Rentas</v>
      </c>
      <c r="H1349" t="str">
        <f>IFERROR(+VLOOKUP(Movimientos_2026[[#This Row],[Codigo]],Plan_cuentas[],5,FALSE)," ")</f>
        <v>BAPRO</v>
      </c>
      <c r="I1349" s="43">
        <v>46082</v>
      </c>
      <c r="J1349" t="s">
        <v>581</v>
      </c>
      <c r="K1349" t="str">
        <f>IFERROR(+VLOOKUP(Movimientos_2026[[#This Row],[Codigo]],Plan_cuentas[],6,FALSE)," ")</f>
        <v>7 - PRtr - Plan Rombo Transf.</v>
      </c>
      <c r="L1349" s="50"/>
      <c r="M1349" s="52">
        <v>2602654.7000000002</v>
      </c>
      <c r="N1349" s="20">
        <f>+Movimientos_2026[[#This Row],[Ingresos]]-Movimientos_2026[[#This Row],[Egresos]]</f>
        <v>-2602654.7000000002</v>
      </c>
      <c r="O1349" s="20">
        <f>+O1348+Movimientos_2026[[#This Row],[Neto]]</f>
        <v>3621905724.7485447</v>
      </c>
    </row>
    <row r="1350" spans="1:15" x14ac:dyDescent="0.25">
      <c r="A1350" s="13">
        <v>46135</v>
      </c>
      <c r="B1350" s="12">
        <f>MONTH(Movimientos_2026[[#This Row],[Fecha]])</f>
        <v>4</v>
      </c>
      <c r="C1350" s="12" t="str">
        <f>VLOOKUP((WEEKDAY(Movimientos_2026[[#This Row],[Fecha]],2)),'5. Setup'!$D$6:$E$12,2,FALSE)</f>
        <v>Jue</v>
      </c>
      <c r="D1350">
        <v>2044127</v>
      </c>
      <c r="E1350" t="str">
        <f>IFERROR(+VLOOKUP(Movimientos_2026[[#This Row],[Codigo]],Plan_cuentas[],2,FALSE)," ")</f>
        <v>EGRESOS</v>
      </c>
      <c r="F1350" t="str">
        <f>IFERROR(+VLOOKUP(Movimientos_2026[[#This Row],[Codigo]],Plan_cuentas[],3,FALSE)," ")</f>
        <v>Transferencia</v>
      </c>
      <c r="G1350" t="str">
        <f>IFERROR(+VLOOKUP(Movimientos_2026[[#This Row],[Codigo]],Plan_cuentas[],4,FALSE)," ")</f>
        <v>Rentas</v>
      </c>
      <c r="H1350" t="str">
        <f>IFERROR(+VLOOKUP(Movimientos_2026[[#This Row],[Codigo]],Plan_cuentas[],5,FALSE)," ")</f>
        <v>BAPRO</v>
      </c>
      <c r="I1350" s="43">
        <v>46082</v>
      </c>
      <c r="J1350" t="s">
        <v>582</v>
      </c>
      <c r="K1350" t="str">
        <f>IFERROR(+VLOOKUP(Movimientos_2026[[#This Row],[Codigo]],Plan_cuentas[],6,FALSE)," ")</f>
        <v>7 - PRtr - Plan Rombo Transf.</v>
      </c>
      <c r="L1350" s="50"/>
      <c r="M1350" s="52">
        <v>1198509.8</v>
      </c>
      <c r="N1350" s="20">
        <f>+Movimientos_2026[[#This Row],[Ingresos]]-Movimientos_2026[[#This Row],[Egresos]]</f>
        <v>-1198509.8</v>
      </c>
      <c r="O1350" s="20">
        <f>+O1349+Movimientos_2026[[#This Row],[Neto]]</f>
        <v>3620707214.9485445</v>
      </c>
    </row>
    <row r="1351" spans="1:15" x14ac:dyDescent="0.25">
      <c r="A1351" s="13">
        <v>46135</v>
      </c>
      <c r="B1351" s="12">
        <f>MONTH(Movimientos_2026[[#This Row],[Fecha]])</f>
        <v>4</v>
      </c>
      <c r="C1351" s="12" t="str">
        <f>VLOOKUP((WEEKDAY(Movimientos_2026[[#This Row],[Fecha]],2)),'5. Setup'!$D$6:$E$12,2,FALSE)</f>
        <v>Jue</v>
      </c>
      <c r="D1351">
        <v>2044127</v>
      </c>
      <c r="E1351" t="str">
        <f>IFERROR(+VLOOKUP(Movimientos_2026[[#This Row],[Codigo]],Plan_cuentas[],2,FALSE)," ")</f>
        <v>EGRESOS</v>
      </c>
      <c r="F1351" t="str">
        <f>IFERROR(+VLOOKUP(Movimientos_2026[[#This Row],[Codigo]],Plan_cuentas[],3,FALSE)," ")</f>
        <v>Transferencia</v>
      </c>
      <c r="G1351" t="str">
        <f>IFERROR(+VLOOKUP(Movimientos_2026[[#This Row],[Codigo]],Plan_cuentas[],4,FALSE)," ")</f>
        <v>Rentas</v>
      </c>
      <c r="H1351" t="str">
        <f>IFERROR(+VLOOKUP(Movimientos_2026[[#This Row],[Codigo]],Plan_cuentas[],5,FALSE)," ")</f>
        <v>BAPRO</v>
      </c>
      <c r="I1351" s="43">
        <v>46082</v>
      </c>
      <c r="J1351" t="s">
        <v>583</v>
      </c>
      <c r="K1351" t="str">
        <f>IFERROR(+VLOOKUP(Movimientos_2026[[#This Row],[Codigo]],Plan_cuentas[],6,FALSE)," ")</f>
        <v>7 - PRtr - Plan Rombo Transf.</v>
      </c>
      <c r="L1351" s="50"/>
      <c r="M1351" s="52">
        <v>344611.5</v>
      </c>
      <c r="N1351" s="20">
        <f>+Movimientos_2026[[#This Row],[Ingresos]]-Movimientos_2026[[#This Row],[Egresos]]</f>
        <v>-344611.5</v>
      </c>
      <c r="O1351" s="20">
        <f>+O1350+Movimientos_2026[[#This Row],[Neto]]</f>
        <v>3620362603.4485445</v>
      </c>
    </row>
    <row r="1352" spans="1:15" x14ac:dyDescent="0.25">
      <c r="A1352" s="13">
        <v>46135</v>
      </c>
      <c r="B1352" s="12">
        <f>MONTH(Movimientos_2026[[#This Row],[Fecha]])</f>
        <v>4</v>
      </c>
      <c r="C1352" s="12" t="str">
        <f>VLOOKUP((WEEKDAY(Movimientos_2026[[#This Row],[Fecha]],2)),'5. Setup'!$D$6:$E$12,2,FALSE)</f>
        <v>Jue</v>
      </c>
      <c r="D1352">
        <v>2044122</v>
      </c>
      <c r="E1352" t="str">
        <f>IFERROR(+VLOOKUP(Movimientos_2026[[#This Row],[Codigo]],Plan_cuentas[],2,FALSE)," ")</f>
        <v>EGRESOS</v>
      </c>
      <c r="F1352" t="str">
        <f>IFERROR(+VLOOKUP(Movimientos_2026[[#This Row],[Codigo]],Plan_cuentas[],3,FALSE)," ")</f>
        <v>Transferencia</v>
      </c>
      <c r="G1352" t="str">
        <f>IFERROR(+VLOOKUP(Movimientos_2026[[#This Row],[Codigo]],Plan_cuentas[],4,FALSE)," ")</f>
        <v>Rentas</v>
      </c>
      <c r="H1352" t="str">
        <f>IFERROR(+VLOOKUP(Movimientos_2026[[#This Row],[Codigo]],Plan_cuentas[],5,FALSE)," ")</f>
        <v>BAPRO</v>
      </c>
      <c r="I1352" s="43">
        <v>46082</v>
      </c>
      <c r="J1352" t="s">
        <v>584</v>
      </c>
      <c r="K1352" t="str">
        <f>IFERROR(+VLOOKUP(Movimientos_2026[[#This Row],[Codigo]],Plan_cuentas[],6,FALSE)," ")</f>
        <v>2 - PR - Plan Rombo</v>
      </c>
      <c r="L1352" s="50"/>
      <c r="M1352" s="52">
        <v>15880989.300000001</v>
      </c>
      <c r="N1352" s="20">
        <f>+Movimientos_2026[[#This Row],[Ingresos]]-Movimientos_2026[[#This Row],[Egresos]]</f>
        <v>-15880989.300000001</v>
      </c>
      <c r="O1352" s="20">
        <f>+O1351+Movimientos_2026[[#This Row],[Neto]]</f>
        <v>3604481614.1485443</v>
      </c>
    </row>
    <row r="1353" spans="1:15" x14ac:dyDescent="0.25">
      <c r="A1353" s="13">
        <v>46135</v>
      </c>
      <c r="B1353" s="12">
        <f>MONTH(Movimientos_2026[[#This Row],[Fecha]])</f>
        <v>4</v>
      </c>
      <c r="C1353" s="12" t="str">
        <f>VLOOKUP((WEEKDAY(Movimientos_2026[[#This Row],[Fecha]],2)),'5. Setup'!$D$6:$E$12,2,FALSE)</f>
        <v>Jue</v>
      </c>
      <c r="D1353">
        <v>2044122</v>
      </c>
      <c r="E1353" t="str">
        <f>IFERROR(+VLOOKUP(Movimientos_2026[[#This Row],[Codigo]],Plan_cuentas[],2,FALSE)," ")</f>
        <v>EGRESOS</v>
      </c>
      <c r="F1353" t="str">
        <f>IFERROR(+VLOOKUP(Movimientos_2026[[#This Row],[Codigo]],Plan_cuentas[],3,FALSE)," ")</f>
        <v>Transferencia</v>
      </c>
      <c r="G1353" t="str">
        <f>IFERROR(+VLOOKUP(Movimientos_2026[[#This Row],[Codigo]],Plan_cuentas[],4,FALSE)," ")</f>
        <v>Rentas</v>
      </c>
      <c r="H1353" t="str">
        <f>IFERROR(+VLOOKUP(Movimientos_2026[[#This Row],[Codigo]],Plan_cuentas[],5,FALSE)," ")</f>
        <v>BAPRO</v>
      </c>
      <c r="I1353" s="43">
        <v>46082</v>
      </c>
      <c r="J1353" t="s">
        <v>585</v>
      </c>
      <c r="K1353" t="str">
        <f>IFERROR(+VLOOKUP(Movimientos_2026[[#This Row],[Codigo]],Plan_cuentas[],6,FALSE)," ")</f>
        <v>2 - PR - Plan Rombo</v>
      </c>
      <c r="L1353" s="50"/>
      <c r="M1353" s="52">
        <v>15570574.1</v>
      </c>
      <c r="N1353" s="20">
        <f>+Movimientos_2026[[#This Row],[Ingresos]]-Movimientos_2026[[#This Row],[Egresos]]</f>
        <v>-15570574.1</v>
      </c>
      <c r="O1353" s="20">
        <f>+O1352+Movimientos_2026[[#This Row],[Neto]]</f>
        <v>3588911040.0485444</v>
      </c>
    </row>
    <row r="1354" spans="1:15" x14ac:dyDescent="0.25">
      <c r="A1354" s="13">
        <v>46135</v>
      </c>
      <c r="B1354" s="12">
        <f>MONTH(Movimientos_2026[[#This Row],[Fecha]])</f>
        <v>4</v>
      </c>
      <c r="C1354" s="12" t="str">
        <f>VLOOKUP((WEEKDAY(Movimientos_2026[[#This Row],[Fecha]],2)),'5. Setup'!$D$6:$E$12,2,FALSE)</f>
        <v>Jue</v>
      </c>
      <c r="D1354">
        <v>1045451</v>
      </c>
      <c r="E1354" t="str">
        <f>IFERROR(+VLOOKUP(Movimientos_2026[[#This Row],[Codigo]],Plan_cuentas[],2,FALSE)," ")</f>
        <v>INGRESOS</v>
      </c>
      <c r="F1354" t="str">
        <f>IFERROR(+VLOOKUP(Movimientos_2026[[#This Row],[Codigo]],Plan_cuentas[],3,FALSE)," ")</f>
        <v>Transferencia</v>
      </c>
      <c r="G1354" t="str">
        <f>IFERROR(+VLOOKUP(Movimientos_2026[[#This Row],[Codigo]],Plan_cuentas[],4,FALSE)," ")</f>
        <v>Factura</v>
      </c>
      <c r="H1354" t="str">
        <f>IFERROR(+VLOOKUP(Movimientos_2026[[#This Row],[Codigo]],Plan_cuentas[],5,FALSE)," ")</f>
        <v>FC DERECHOS</v>
      </c>
      <c r="I1354" s="43">
        <v>46054</v>
      </c>
      <c r="J1354" t="s">
        <v>586</v>
      </c>
      <c r="K1354" t="str">
        <f>IFERROR(+VLOOKUP(Movimientos_2026[[#This Row],[Codigo]],Plan_cuentas[],6,FALSE)," ")</f>
        <v>1 - VW - Volkswagen</v>
      </c>
      <c r="L1354" s="50">
        <v>52820030.119999997</v>
      </c>
      <c r="M1354" s="50"/>
      <c r="N1354" s="20">
        <f>+Movimientos_2026[[#This Row],[Ingresos]]-Movimientos_2026[[#This Row],[Egresos]]</f>
        <v>52820030.119999997</v>
      </c>
      <c r="O1354" s="20">
        <f>+O1353+Movimientos_2026[[#This Row],[Neto]]</f>
        <v>3641731070.1685443</v>
      </c>
    </row>
    <row r="1355" spans="1:15" x14ac:dyDescent="0.25">
      <c r="A1355" s="13">
        <v>46135</v>
      </c>
      <c r="B1355" s="12">
        <f>MONTH(Movimientos_2026[[#This Row],[Fecha]])</f>
        <v>4</v>
      </c>
      <c r="C1355" s="12" t="str">
        <f>VLOOKUP((WEEKDAY(Movimientos_2026[[#This Row],[Fecha]],2)),'5. Setup'!$D$6:$E$12,2,FALSE)</f>
        <v>Jue</v>
      </c>
      <c r="D1355">
        <v>1045451</v>
      </c>
      <c r="E1355" t="str">
        <f>IFERROR(+VLOOKUP(Movimientos_2026[[#This Row],[Codigo]],Plan_cuentas[],2,FALSE)," ")</f>
        <v>INGRESOS</v>
      </c>
      <c r="F1355" t="str">
        <f>IFERROR(+VLOOKUP(Movimientos_2026[[#This Row],[Codigo]],Plan_cuentas[],3,FALSE)," ")</f>
        <v>Transferencia</v>
      </c>
      <c r="G1355" t="str">
        <f>IFERROR(+VLOOKUP(Movimientos_2026[[#This Row],[Codigo]],Plan_cuentas[],4,FALSE)," ")</f>
        <v>Factura</v>
      </c>
      <c r="H1355" t="str">
        <f>IFERROR(+VLOOKUP(Movimientos_2026[[#This Row],[Codigo]],Plan_cuentas[],5,FALSE)," ")</f>
        <v>FC DERECHOS</v>
      </c>
      <c r="I1355" s="43">
        <v>46054</v>
      </c>
      <c r="J1355" t="s">
        <v>587</v>
      </c>
      <c r="K1355" t="str">
        <f>IFERROR(+VLOOKUP(Movimientos_2026[[#This Row],[Codigo]],Plan_cuentas[],6,FALSE)," ")</f>
        <v>1 - VW - Volkswagen</v>
      </c>
      <c r="L1355" s="50">
        <v>32607544.940000001</v>
      </c>
      <c r="M1355" s="50"/>
      <c r="N1355" s="20">
        <f>+Movimientos_2026[[#This Row],[Ingresos]]-Movimientos_2026[[#This Row],[Egresos]]</f>
        <v>32607544.940000001</v>
      </c>
      <c r="O1355" s="20">
        <f>+O1354+Movimientos_2026[[#This Row],[Neto]]</f>
        <v>3674338615.1085443</v>
      </c>
    </row>
    <row r="1356" spans="1:15" x14ac:dyDescent="0.25">
      <c r="A1356" s="13">
        <v>46135</v>
      </c>
      <c r="B1356" s="12">
        <f>MONTH(Movimientos_2026[[#This Row],[Fecha]])</f>
        <v>4</v>
      </c>
      <c r="C1356" s="12" t="str">
        <f>VLOOKUP((WEEKDAY(Movimientos_2026[[#This Row],[Fecha]],2)),'5. Setup'!$D$6:$E$12,2,FALSE)</f>
        <v>Jue</v>
      </c>
      <c r="D1356">
        <v>1045451</v>
      </c>
      <c r="E1356" t="str">
        <f>IFERROR(+VLOOKUP(Movimientos_2026[[#This Row],[Codigo]],Plan_cuentas[],2,FALSE)," ")</f>
        <v>INGRESOS</v>
      </c>
      <c r="F1356" t="str">
        <f>IFERROR(+VLOOKUP(Movimientos_2026[[#This Row],[Codigo]],Plan_cuentas[],3,FALSE)," ")</f>
        <v>Transferencia</v>
      </c>
      <c r="G1356" t="str">
        <f>IFERROR(+VLOOKUP(Movimientos_2026[[#This Row],[Codigo]],Plan_cuentas[],4,FALSE)," ")</f>
        <v>Factura</v>
      </c>
      <c r="H1356" t="str">
        <f>IFERROR(+VLOOKUP(Movimientos_2026[[#This Row],[Codigo]],Plan_cuentas[],5,FALSE)," ")</f>
        <v>FC DERECHOS</v>
      </c>
      <c r="I1356" s="43">
        <v>46054</v>
      </c>
      <c r="J1356" t="s">
        <v>588</v>
      </c>
      <c r="K1356" t="str">
        <f>IFERROR(+VLOOKUP(Movimientos_2026[[#This Row],[Codigo]],Plan_cuentas[],6,FALSE)," ")</f>
        <v>1 - VW - Volkswagen</v>
      </c>
      <c r="L1356" s="50">
        <v>765831.43</v>
      </c>
      <c r="M1356" s="50"/>
      <c r="N1356" s="20">
        <f>+Movimientos_2026[[#This Row],[Ingresos]]-Movimientos_2026[[#This Row],[Egresos]]</f>
        <v>765831.43</v>
      </c>
      <c r="O1356" s="20">
        <f>+O1355+Movimientos_2026[[#This Row],[Neto]]</f>
        <v>3675104446.5385442</v>
      </c>
    </row>
    <row r="1357" spans="1:15" x14ac:dyDescent="0.25">
      <c r="A1357" s="13">
        <v>46135</v>
      </c>
      <c r="B1357" s="12">
        <f>MONTH(Movimientos_2026[[#This Row],[Fecha]])</f>
        <v>4</v>
      </c>
      <c r="C1357" s="12" t="str">
        <f>VLOOKUP((WEEKDAY(Movimientos_2026[[#This Row],[Fecha]],2)),'5. Setup'!$D$6:$E$12,2,FALSE)</f>
        <v>Jue</v>
      </c>
      <c r="D1357">
        <v>1044314</v>
      </c>
      <c r="E1357" t="str">
        <f>IFERROR(+VLOOKUP(Movimientos_2026[[#This Row],[Codigo]],Plan_cuentas[],2,FALSE)," ")</f>
        <v>INGRESOS</v>
      </c>
      <c r="F1357" t="str">
        <f>IFERROR(+VLOOKUP(Movimientos_2026[[#This Row],[Codigo]],Plan_cuentas[],3,FALSE)," ")</f>
        <v>Transferencia</v>
      </c>
      <c r="G1357" t="str">
        <f>IFERROR(+VLOOKUP(Movimientos_2026[[#This Row],[Codigo]],Plan_cuentas[],4,FALSE)," ")</f>
        <v>Rentas</v>
      </c>
      <c r="H1357" t="str">
        <f>IFERROR(+VLOOKUP(Movimientos_2026[[#This Row],[Codigo]],Plan_cuentas[],5,FALSE)," ")</f>
        <v>NEUQUEN 1° Q</v>
      </c>
      <c r="I1357" s="43">
        <v>46113</v>
      </c>
      <c r="J1357" t="s">
        <v>589</v>
      </c>
      <c r="K1357" t="str">
        <f>IFERROR(+VLOOKUP(Movimientos_2026[[#This Row],[Codigo]],Plan_cuentas[],6,FALSE)," ")</f>
        <v>4 - FCA - Fiat</v>
      </c>
      <c r="L1357" s="50">
        <v>25933480</v>
      </c>
      <c r="M1357" s="50"/>
      <c r="N1357" s="20">
        <f>+Movimientos_2026[[#This Row],[Ingresos]]-Movimientos_2026[[#This Row],[Egresos]]</f>
        <v>25933480</v>
      </c>
      <c r="O1357" s="20">
        <f>+O1356+Movimientos_2026[[#This Row],[Neto]]</f>
        <v>3701037926.5385442</v>
      </c>
    </row>
    <row r="1358" spans="1:15" x14ac:dyDescent="0.25">
      <c r="A1358" s="13">
        <v>46135</v>
      </c>
      <c r="B1358" s="12">
        <f>MONTH(Movimientos_2026[[#This Row],[Fecha]])</f>
        <v>4</v>
      </c>
      <c r="C1358" s="12" t="str">
        <f>VLOOKUP((WEEKDAY(Movimientos_2026[[#This Row],[Fecha]],2)),'5. Setup'!$D$6:$E$12,2,FALSE)</f>
        <v>Jue</v>
      </c>
      <c r="D1358">
        <v>1044316</v>
      </c>
      <c r="E1358" t="str">
        <f>IFERROR(+VLOOKUP(Movimientos_2026[[#This Row],[Codigo]],Plan_cuentas[],2,FALSE)," ")</f>
        <v>INGRESOS</v>
      </c>
      <c r="F1358" t="str">
        <f>IFERROR(+VLOOKUP(Movimientos_2026[[#This Row],[Codigo]],Plan_cuentas[],3,FALSE)," ")</f>
        <v>Transferencia</v>
      </c>
      <c r="G1358" t="str">
        <f>IFERROR(+VLOOKUP(Movimientos_2026[[#This Row],[Codigo]],Plan_cuentas[],4,FALSE)," ")</f>
        <v>Rentas</v>
      </c>
      <c r="H1358" t="str">
        <f>IFERROR(+VLOOKUP(Movimientos_2026[[#This Row],[Codigo]],Plan_cuentas[],5,FALSE)," ")</f>
        <v>NEUQUEN 1° Q</v>
      </c>
      <c r="I1358" s="43">
        <v>46113</v>
      </c>
      <c r="J1358" t="s">
        <v>590</v>
      </c>
      <c r="K1358" t="str">
        <f>IFERROR(+VLOOKUP(Movimientos_2026[[#This Row],[Codigo]],Plan_cuentas[],6,FALSE)," ")</f>
        <v>6 - FCAtr - Fiat Transf.</v>
      </c>
      <c r="L1358" s="50">
        <v>626053.06999999995</v>
      </c>
      <c r="M1358" s="50"/>
      <c r="N1358" s="20">
        <f>+Movimientos_2026[[#This Row],[Ingresos]]-Movimientos_2026[[#This Row],[Egresos]]</f>
        <v>626053.06999999995</v>
      </c>
      <c r="O1358" s="20">
        <f>+O1357+Movimientos_2026[[#This Row],[Neto]]</f>
        <v>3701663979.6085443</v>
      </c>
    </row>
    <row r="1359" spans="1:15" x14ac:dyDescent="0.25">
      <c r="A1359" s="13">
        <v>46136</v>
      </c>
      <c r="B1359" s="12">
        <f>MONTH(Movimientos_2026[[#This Row],[Fecha]])</f>
        <v>4</v>
      </c>
      <c r="C1359" s="12" t="str">
        <f>VLOOKUP((WEEKDAY(Movimientos_2026[[#This Row],[Fecha]],2)),'5. Setup'!$D$6:$E$12,2,FALSE)</f>
        <v>Vie</v>
      </c>
      <c r="D1359">
        <v>2014202</v>
      </c>
      <c r="E1359" t="str">
        <f>IFERROR(+VLOOKUP(Movimientos_2026[[#This Row],[Codigo]],Plan_cuentas[],2,FALSE)," ")</f>
        <v>EGRESOS</v>
      </c>
      <c r="F1359" t="str">
        <f>IFERROR(+VLOOKUP(Movimientos_2026[[#This Row],[Codigo]],Plan_cuentas[],3,FALSE)," ")</f>
        <v>BtoB</v>
      </c>
      <c r="G1359" t="str">
        <f>IFERROR(+VLOOKUP(Movimientos_2026[[#This Row],[Codigo]],Plan_cuentas[],4,FALSE)," ")</f>
        <v>Rentas</v>
      </c>
      <c r="H1359" t="str">
        <f>IFERROR(+VLOOKUP(Movimientos_2026[[#This Row],[Codigo]],Plan_cuentas[],5,FALSE)," ")</f>
        <v>CORRIENTES 1° Q</v>
      </c>
      <c r="I1359" s="43">
        <v>46113</v>
      </c>
      <c r="J1359" t="s">
        <v>591</v>
      </c>
      <c r="K1359" t="str">
        <f>IFERROR(+VLOOKUP(Movimientos_2026[[#This Row],[Codigo]],Plan_cuentas[],6,FALSE)," ")</f>
        <v>2 - PR - Plan Rombo</v>
      </c>
      <c r="L1359" s="50"/>
      <c r="M1359" s="50">
        <v>30706345.629999999</v>
      </c>
      <c r="N1359" s="20">
        <f>+Movimientos_2026[[#This Row],[Ingresos]]-Movimientos_2026[[#This Row],[Egresos]]</f>
        <v>-30706345.629999999</v>
      </c>
      <c r="O1359" s="20">
        <f>+O1358+Movimientos_2026[[#This Row],[Neto]]</f>
        <v>3670957633.9785442</v>
      </c>
    </row>
    <row r="1360" spans="1:15" x14ac:dyDescent="0.25">
      <c r="A1360" s="13">
        <v>46136</v>
      </c>
      <c r="B1360" s="12">
        <f>MONTH(Movimientos_2026[[#This Row],[Fecha]])</f>
        <v>4</v>
      </c>
      <c r="C1360" s="12" t="str">
        <f>VLOOKUP((WEEKDAY(Movimientos_2026[[#This Row],[Fecha]],2)),'5. Setup'!$D$6:$E$12,2,FALSE)</f>
        <v>Vie</v>
      </c>
      <c r="D1360">
        <v>2014261</v>
      </c>
      <c r="E1360" t="str">
        <f>IFERROR(+VLOOKUP(Movimientos_2026[[#This Row],[Codigo]],Plan_cuentas[],2,FALSE)," ")</f>
        <v>EGRESOS</v>
      </c>
      <c r="F1360" t="str">
        <f>IFERROR(+VLOOKUP(Movimientos_2026[[#This Row],[Codigo]],Plan_cuentas[],3,FALSE)," ")</f>
        <v>BtoB</v>
      </c>
      <c r="G1360" t="str">
        <f>IFERROR(+VLOOKUP(Movimientos_2026[[#This Row],[Codigo]],Plan_cuentas[],4,FALSE)," ")</f>
        <v>Rentas</v>
      </c>
      <c r="H1360" t="str">
        <f>IFERROR(+VLOOKUP(Movimientos_2026[[#This Row],[Codigo]],Plan_cuentas[],5,FALSE)," ")</f>
        <v>LA PAMPA</v>
      </c>
      <c r="I1360" s="43">
        <v>46082</v>
      </c>
      <c r="J1360" t="s">
        <v>592</v>
      </c>
      <c r="K1360" t="str">
        <f>IFERROR(+VLOOKUP(Movimientos_2026[[#This Row],[Codigo]],Plan_cuentas[],6,FALSE)," ")</f>
        <v>1 - VW - Volkswagen</v>
      </c>
      <c r="L1360" s="50"/>
      <c r="M1360" s="50">
        <v>4240305</v>
      </c>
      <c r="N1360" s="20">
        <f>+Movimientos_2026[[#This Row],[Ingresos]]-Movimientos_2026[[#This Row],[Egresos]]</f>
        <v>-4240305</v>
      </c>
      <c r="O1360" s="20">
        <f>+O1359+Movimientos_2026[[#This Row],[Neto]]</f>
        <v>3666717328.9785442</v>
      </c>
    </row>
    <row r="1361" spans="1:15" x14ac:dyDescent="0.25">
      <c r="A1361" s="13">
        <v>46136</v>
      </c>
      <c r="B1361" s="12">
        <f>MONTH(Movimientos_2026[[#This Row],[Fecha]])</f>
        <v>4</v>
      </c>
      <c r="C1361" s="12" t="str">
        <f>VLOOKUP((WEEKDAY(Movimientos_2026[[#This Row],[Fecha]],2)),'5. Setup'!$D$6:$E$12,2,FALSE)</f>
        <v>Vie</v>
      </c>
      <c r="D1361">
        <v>2014262</v>
      </c>
      <c r="E1361" t="str">
        <f>IFERROR(+VLOOKUP(Movimientos_2026[[#This Row],[Codigo]],Plan_cuentas[],2,FALSE)," ")</f>
        <v>EGRESOS</v>
      </c>
      <c r="F1361" t="str">
        <f>IFERROR(+VLOOKUP(Movimientos_2026[[#This Row],[Codigo]],Plan_cuentas[],3,FALSE)," ")</f>
        <v>BtoB</v>
      </c>
      <c r="G1361" t="str">
        <f>IFERROR(+VLOOKUP(Movimientos_2026[[#This Row],[Codigo]],Plan_cuentas[],4,FALSE)," ")</f>
        <v>Rentas</v>
      </c>
      <c r="H1361" t="str">
        <f>IFERROR(+VLOOKUP(Movimientos_2026[[#This Row],[Codigo]],Plan_cuentas[],5,FALSE)," ")</f>
        <v>LA PAMPA</v>
      </c>
      <c r="I1361" s="43">
        <v>46082</v>
      </c>
      <c r="J1361" t="s">
        <v>593</v>
      </c>
      <c r="K1361" t="str">
        <f>IFERROR(+VLOOKUP(Movimientos_2026[[#This Row],[Codigo]],Plan_cuentas[],6,FALSE)," ")</f>
        <v>2 - PR - Plan Rombo</v>
      </c>
      <c r="L1361" s="50"/>
      <c r="M1361" s="50">
        <v>8689950</v>
      </c>
      <c r="N1361" s="20">
        <f>+Movimientos_2026[[#This Row],[Ingresos]]-Movimientos_2026[[#This Row],[Egresos]]</f>
        <v>-8689950</v>
      </c>
      <c r="O1361" s="20">
        <f>+O1360+Movimientos_2026[[#This Row],[Neto]]</f>
        <v>3658027378.9785442</v>
      </c>
    </row>
    <row r="1362" spans="1:15" x14ac:dyDescent="0.25">
      <c r="A1362" s="13">
        <v>46136</v>
      </c>
      <c r="B1362" s="12">
        <f>MONTH(Movimientos_2026[[#This Row],[Fecha]])</f>
        <v>4</v>
      </c>
      <c r="C1362" s="12" t="str">
        <f>VLOOKUP((WEEKDAY(Movimientos_2026[[#This Row],[Fecha]],2)),'5. Setup'!$D$6:$E$12,2,FALSE)</f>
        <v>Vie</v>
      </c>
      <c r="D1362">
        <v>2014264</v>
      </c>
      <c r="E1362" t="str">
        <f>IFERROR(+VLOOKUP(Movimientos_2026[[#This Row],[Codigo]],Plan_cuentas[],2,FALSE)," ")</f>
        <v>EGRESOS</v>
      </c>
      <c r="F1362" t="str">
        <f>IFERROR(+VLOOKUP(Movimientos_2026[[#This Row],[Codigo]],Plan_cuentas[],3,FALSE)," ")</f>
        <v>BtoB</v>
      </c>
      <c r="G1362" t="str">
        <f>IFERROR(+VLOOKUP(Movimientos_2026[[#This Row],[Codigo]],Plan_cuentas[],4,FALSE)," ")</f>
        <v>Rentas</v>
      </c>
      <c r="H1362" t="str">
        <f>IFERROR(+VLOOKUP(Movimientos_2026[[#This Row],[Codigo]],Plan_cuentas[],5,FALSE)," ")</f>
        <v>LA PAMPA</v>
      </c>
      <c r="I1362" s="43">
        <v>46082</v>
      </c>
      <c r="J1362" t="s">
        <v>594</v>
      </c>
      <c r="K1362" t="str">
        <f>IFERROR(+VLOOKUP(Movimientos_2026[[#This Row],[Codigo]],Plan_cuentas[],6,FALSE)," ")</f>
        <v>4 - FCA - Fiat</v>
      </c>
      <c r="L1362" s="50"/>
      <c r="M1362" s="50">
        <v>6267400</v>
      </c>
      <c r="N1362" s="20">
        <f>+Movimientos_2026[[#This Row],[Ingresos]]-Movimientos_2026[[#This Row],[Egresos]]</f>
        <v>-6267400</v>
      </c>
      <c r="O1362" s="20">
        <f>+O1361+Movimientos_2026[[#This Row],[Neto]]</f>
        <v>3651759978.9785442</v>
      </c>
    </row>
    <row r="1363" spans="1:15" x14ac:dyDescent="0.25">
      <c r="A1363" s="13">
        <v>46136</v>
      </c>
      <c r="B1363" s="12">
        <f>MONTH(Movimientos_2026[[#This Row],[Fecha]])</f>
        <v>4</v>
      </c>
      <c r="C1363" s="12" t="str">
        <f>VLOOKUP((WEEKDAY(Movimientos_2026[[#This Row],[Fecha]],2)),'5. Setup'!$D$6:$E$12,2,FALSE)</f>
        <v>Vie</v>
      </c>
      <c r="D1363">
        <v>2014266</v>
      </c>
      <c r="E1363" t="str">
        <f>IFERROR(+VLOOKUP(Movimientos_2026[[#This Row],[Codigo]],Plan_cuentas[],2,FALSE)," ")</f>
        <v>EGRESOS</v>
      </c>
      <c r="F1363" t="str">
        <f>IFERROR(+VLOOKUP(Movimientos_2026[[#This Row],[Codigo]],Plan_cuentas[],3,FALSE)," ")</f>
        <v>BtoB</v>
      </c>
      <c r="G1363" t="str">
        <f>IFERROR(+VLOOKUP(Movimientos_2026[[#This Row],[Codigo]],Plan_cuentas[],4,FALSE)," ")</f>
        <v>Rentas</v>
      </c>
      <c r="H1363" t="str">
        <f>IFERROR(+VLOOKUP(Movimientos_2026[[#This Row],[Codigo]],Plan_cuentas[],5,FALSE)," ")</f>
        <v>LA PAMPA</v>
      </c>
      <c r="I1363" s="43">
        <v>46082</v>
      </c>
      <c r="J1363" t="s">
        <v>594</v>
      </c>
      <c r="K1363" t="str">
        <f>IFERROR(+VLOOKUP(Movimientos_2026[[#This Row],[Codigo]],Plan_cuentas[],6,FALSE)," ")</f>
        <v>6 - FCAtr - Fiat Transf.</v>
      </c>
      <c r="L1363" s="50"/>
      <c r="M1363" s="50">
        <v>378982.74</v>
      </c>
      <c r="N1363" s="20">
        <f>+Movimientos_2026[[#This Row],[Ingresos]]-Movimientos_2026[[#This Row],[Egresos]]</f>
        <v>-378982.74</v>
      </c>
      <c r="O1363" s="20">
        <f>+O1362+Movimientos_2026[[#This Row],[Neto]]</f>
        <v>3651380996.2385445</v>
      </c>
    </row>
    <row r="1364" spans="1:15" x14ac:dyDescent="0.25">
      <c r="A1364" s="13">
        <v>46136</v>
      </c>
      <c r="B1364" s="12">
        <f>MONTH(Movimientos_2026[[#This Row],[Fecha]])</f>
        <v>4</v>
      </c>
      <c r="C1364" s="12" t="str">
        <f>VLOOKUP((WEEKDAY(Movimientos_2026[[#This Row],[Fecha]],2)),'5. Setup'!$D$6:$E$12,2,FALSE)</f>
        <v>Vie</v>
      </c>
      <c r="D1364">
        <v>2014264</v>
      </c>
      <c r="E1364" t="str">
        <f>IFERROR(+VLOOKUP(Movimientos_2026[[#This Row],[Codigo]],Plan_cuentas[],2,FALSE)," ")</f>
        <v>EGRESOS</v>
      </c>
      <c r="F1364" t="str">
        <f>IFERROR(+VLOOKUP(Movimientos_2026[[#This Row],[Codigo]],Plan_cuentas[],3,FALSE)," ")</f>
        <v>BtoB</v>
      </c>
      <c r="G1364" t="str">
        <f>IFERROR(+VLOOKUP(Movimientos_2026[[#This Row],[Codigo]],Plan_cuentas[],4,FALSE)," ")</f>
        <v>Rentas</v>
      </c>
      <c r="H1364" t="str">
        <f>IFERROR(+VLOOKUP(Movimientos_2026[[#This Row],[Codigo]],Plan_cuentas[],5,FALSE)," ")</f>
        <v>LA PAMPA</v>
      </c>
      <c r="I1364" s="43">
        <v>46082</v>
      </c>
      <c r="J1364" t="s">
        <v>594</v>
      </c>
      <c r="K1364" t="str">
        <f>IFERROR(+VLOOKUP(Movimientos_2026[[#This Row],[Codigo]],Plan_cuentas[],6,FALSE)," ")</f>
        <v>4 - FCA - Fiat</v>
      </c>
      <c r="L1364" s="50"/>
      <c r="M1364" s="50">
        <v>3534605.73</v>
      </c>
      <c r="N1364" s="20">
        <f>+Movimientos_2026[[#This Row],[Ingresos]]-Movimientos_2026[[#This Row],[Egresos]]</f>
        <v>-3534605.73</v>
      </c>
      <c r="O1364" s="20">
        <f>+O1363+Movimientos_2026[[#This Row],[Neto]]</f>
        <v>3647846390.5085444</v>
      </c>
    </row>
    <row r="1365" spans="1:15" x14ac:dyDescent="0.25">
      <c r="A1365" s="13">
        <v>46136</v>
      </c>
      <c r="B1365" s="12">
        <f>MONTH(Movimientos_2026[[#This Row],[Fecha]])</f>
        <v>4</v>
      </c>
      <c r="C1365" s="12" t="str">
        <f>VLOOKUP((WEEKDAY(Movimientos_2026[[#This Row],[Fecha]],2)),'5. Setup'!$D$6:$E$12,2,FALSE)</f>
        <v>Vie</v>
      </c>
      <c r="D1365">
        <v>2023382</v>
      </c>
      <c r="E1365" t="str">
        <f>IFERROR(+VLOOKUP(Movimientos_2026[[#This Row],[Codigo]],Plan_cuentas[],2,FALSE)," ")</f>
        <v>EGRESOS</v>
      </c>
      <c r="F1365" t="str">
        <f>IFERROR(+VLOOKUP(Movimientos_2026[[#This Row],[Codigo]],Plan_cuentas[],3,FALSE)," ")</f>
        <v>DDJJ</v>
      </c>
      <c r="G1365" t="str">
        <f>IFERROR(+VLOOKUP(Movimientos_2026[[#This Row],[Codigo]],Plan_cuentas[],4,FALSE)," ")</f>
        <v>Registración</v>
      </c>
      <c r="H1365" t="str">
        <f>IFERROR(+VLOOKUP(Movimientos_2026[[#This Row],[Codigo]],Plan_cuentas[],5,FALSE)," ")</f>
        <v>SANTA FE 1° Q</v>
      </c>
      <c r="I1365" s="43">
        <v>46113</v>
      </c>
      <c r="J1365" t="s">
        <v>595</v>
      </c>
      <c r="K1365" t="str">
        <f>IFERROR(+VLOOKUP(Movimientos_2026[[#This Row],[Codigo]],Plan_cuentas[],6,FALSE)," ")</f>
        <v>2 - PR - Plan Rombo</v>
      </c>
      <c r="L1365" s="50"/>
      <c r="M1365" s="50">
        <v>35251797.229999997</v>
      </c>
      <c r="N1365" s="20">
        <f>+Movimientos_2026[[#This Row],[Ingresos]]-Movimientos_2026[[#This Row],[Egresos]]</f>
        <v>-35251797.229999997</v>
      </c>
      <c r="O1365" s="20">
        <f>+O1364+Movimientos_2026[[#This Row],[Neto]]</f>
        <v>3612594593.2785444</v>
      </c>
    </row>
    <row r="1366" spans="1:15" x14ac:dyDescent="0.25">
      <c r="A1366" s="13">
        <v>46136</v>
      </c>
      <c r="B1366" s="12">
        <f>MONTH(Movimientos_2026[[#This Row],[Fecha]])</f>
        <v>4</v>
      </c>
      <c r="C1366" s="12" t="str">
        <f>VLOOKUP((WEEKDAY(Movimientos_2026[[#This Row],[Fecha]],2)),'5. Setup'!$D$6:$E$12,2,FALSE)</f>
        <v>Vie</v>
      </c>
      <c r="D1366">
        <v>2023383</v>
      </c>
      <c r="E1366" t="str">
        <f>IFERROR(+VLOOKUP(Movimientos_2026[[#This Row],[Codigo]],Plan_cuentas[],2,FALSE)," ")</f>
        <v>EGRESOS</v>
      </c>
      <c r="F1366" t="str">
        <f>IFERROR(+VLOOKUP(Movimientos_2026[[#This Row],[Codigo]],Plan_cuentas[],3,FALSE)," ")</f>
        <v>DDJJ</v>
      </c>
      <c r="G1366" t="str">
        <f>IFERROR(+VLOOKUP(Movimientos_2026[[#This Row],[Codigo]],Plan_cuentas[],4,FALSE)," ")</f>
        <v>Registración</v>
      </c>
      <c r="H1366" t="str">
        <f>IFERROR(+VLOOKUP(Movimientos_2026[[#This Row],[Codigo]],Plan_cuentas[],5,FALSE)," ")</f>
        <v>SANTA FE 1° Q</v>
      </c>
      <c r="I1366" s="43">
        <v>46113</v>
      </c>
      <c r="J1366" t="s">
        <v>595</v>
      </c>
      <c r="K1366" t="str">
        <f>IFERROR(+VLOOKUP(Movimientos_2026[[#This Row],[Codigo]],Plan_cuentas[],6,FALSE)," ")</f>
        <v>3 - GM - Chevrolet</v>
      </c>
      <c r="L1366" s="50"/>
      <c r="M1366" s="50">
        <v>41117264.689999998</v>
      </c>
      <c r="N1366" s="20">
        <f>+Movimientos_2026[[#This Row],[Ingresos]]-Movimientos_2026[[#This Row],[Egresos]]</f>
        <v>-41117264.689999998</v>
      </c>
      <c r="O1366" s="20">
        <f>+O1365+Movimientos_2026[[#This Row],[Neto]]</f>
        <v>3571477328.5885444</v>
      </c>
    </row>
    <row r="1367" spans="1:15" x14ac:dyDescent="0.25">
      <c r="A1367" s="13">
        <v>46136</v>
      </c>
      <c r="B1367" s="12">
        <f>MONTH(Movimientos_2026[[#This Row],[Fecha]])</f>
        <v>4</v>
      </c>
      <c r="C1367" s="12" t="str">
        <f>VLOOKUP((WEEKDAY(Movimientos_2026[[#This Row],[Fecha]],2)),'5. Setup'!$D$6:$E$12,2,FALSE)</f>
        <v>Vie</v>
      </c>
      <c r="D1367">
        <v>2023384</v>
      </c>
      <c r="E1367" t="str">
        <f>IFERROR(+VLOOKUP(Movimientos_2026[[#This Row],[Codigo]],Plan_cuentas[],2,FALSE)," ")</f>
        <v>EGRESOS</v>
      </c>
      <c r="F1367" t="str">
        <f>IFERROR(+VLOOKUP(Movimientos_2026[[#This Row],[Codigo]],Plan_cuentas[],3,FALSE)," ")</f>
        <v>DDJJ</v>
      </c>
      <c r="G1367" t="str">
        <f>IFERROR(+VLOOKUP(Movimientos_2026[[#This Row],[Codigo]],Plan_cuentas[],4,FALSE)," ")</f>
        <v>Registración</v>
      </c>
      <c r="H1367" t="str">
        <f>IFERROR(+VLOOKUP(Movimientos_2026[[#This Row],[Codigo]],Plan_cuentas[],5,FALSE)," ")</f>
        <v>SANTA FE 1° Q</v>
      </c>
      <c r="I1367" s="43">
        <v>46113</v>
      </c>
      <c r="J1367" t="s">
        <v>595</v>
      </c>
      <c r="K1367" t="str">
        <f>IFERROR(+VLOOKUP(Movimientos_2026[[#This Row],[Codigo]],Plan_cuentas[],6,FALSE)," ")</f>
        <v>4 - FCA - Fiat</v>
      </c>
      <c r="L1367" s="50"/>
      <c r="M1367" s="50">
        <v>87408218.859999999</v>
      </c>
      <c r="N1367" s="20">
        <f>+Movimientos_2026[[#This Row],[Ingresos]]-Movimientos_2026[[#This Row],[Egresos]]</f>
        <v>-87408218.859999999</v>
      </c>
      <c r="O1367" s="20">
        <f>+O1366+Movimientos_2026[[#This Row],[Neto]]</f>
        <v>3484069109.7285442</v>
      </c>
    </row>
    <row r="1368" spans="1:15" x14ac:dyDescent="0.25">
      <c r="A1368" s="13">
        <v>46136</v>
      </c>
      <c r="B1368" s="12">
        <f>MONTH(Movimientos_2026[[#This Row],[Fecha]])</f>
        <v>4</v>
      </c>
      <c r="C1368" s="12" t="str">
        <f>VLOOKUP((WEEKDAY(Movimientos_2026[[#This Row],[Fecha]],2)),'5. Setup'!$D$6:$E$12,2,FALSE)</f>
        <v>Vie</v>
      </c>
      <c r="D1368">
        <v>2023385</v>
      </c>
      <c r="E1368" t="str">
        <f>IFERROR(+VLOOKUP(Movimientos_2026[[#This Row],[Codigo]],Plan_cuentas[],2,FALSE)," ")</f>
        <v>EGRESOS</v>
      </c>
      <c r="F1368" t="str">
        <f>IFERROR(+VLOOKUP(Movimientos_2026[[#This Row],[Codigo]],Plan_cuentas[],3,FALSE)," ")</f>
        <v>DDJJ</v>
      </c>
      <c r="G1368" t="str">
        <f>IFERROR(+VLOOKUP(Movimientos_2026[[#This Row],[Codigo]],Plan_cuentas[],4,FALSE)," ")</f>
        <v>Registración</v>
      </c>
      <c r="H1368" t="str">
        <f>IFERROR(+VLOOKUP(Movimientos_2026[[#This Row],[Codigo]],Plan_cuentas[],5,FALSE)," ")</f>
        <v>SANTA FE 1° Q</v>
      </c>
      <c r="I1368" s="43">
        <v>46113</v>
      </c>
      <c r="J1368" t="s">
        <v>595</v>
      </c>
      <c r="K1368" t="str">
        <f>IFERROR(+VLOOKUP(Movimientos_2026[[#This Row],[Codigo]],Plan_cuentas[],6,FALSE)," ")</f>
        <v>5 - YAM - Yamaha</v>
      </c>
      <c r="L1368" s="50"/>
      <c r="M1368" s="50">
        <v>1840436.41</v>
      </c>
      <c r="N1368" s="20">
        <f>+Movimientos_2026[[#This Row],[Ingresos]]-Movimientos_2026[[#This Row],[Egresos]]</f>
        <v>-1840436.41</v>
      </c>
      <c r="O1368" s="20">
        <f>+O1367+Movimientos_2026[[#This Row],[Neto]]</f>
        <v>3482228673.3185444</v>
      </c>
    </row>
    <row r="1369" spans="1:15" x14ac:dyDescent="0.25">
      <c r="A1369" s="13">
        <v>46136</v>
      </c>
      <c r="B1369" s="12">
        <f>MONTH(Movimientos_2026[[#This Row],[Fecha]])</f>
        <v>4</v>
      </c>
      <c r="C1369" s="12" t="str">
        <f>VLOOKUP((WEEKDAY(Movimientos_2026[[#This Row],[Fecha]],2)),'5. Setup'!$D$6:$E$12,2,FALSE)</f>
        <v>Vie</v>
      </c>
      <c r="D1369">
        <v>2023386</v>
      </c>
      <c r="E1369" t="str">
        <f>IFERROR(+VLOOKUP(Movimientos_2026[[#This Row],[Codigo]],Plan_cuentas[],2,FALSE)," ")</f>
        <v>EGRESOS</v>
      </c>
      <c r="F1369" t="str">
        <f>IFERROR(+VLOOKUP(Movimientos_2026[[#This Row],[Codigo]],Plan_cuentas[],3,FALSE)," ")</f>
        <v>DDJJ</v>
      </c>
      <c r="G1369" t="str">
        <f>IFERROR(+VLOOKUP(Movimientos_2026[[#This Row],[Codigo]],Plan_cuentas[],4,FALSE)," ")</f>
        <v>Registración</v>
      </c>
      <c r="H1369" t="str">
        <f>IFERROR(+VLOOKUP(Movimientos_2026[[#This Row],[Codigo]],Plan_cuentas[],5,FALSE)," ")</f>
        <v>SANTA FE 1° Q</v>
      </c>
      <c r="I1369" s="43">
        <v>46113</v>
      </c>
      <c r="J1369" t="s">
        <v>595</v>
      </c>
      <c r="K1369" t="str">
        <f>IFERROR(+VLOOKUP(Movimientos_2026[[#This Row],[Codigo]],Plan_cuentas[],6,FALSE)," ")</f>
        <v>6 - FCAtr - Fiat Transf.</v>
      </c>
      <c r="L1369" s="50"/>
      <c r="M1369" s="50">
        <v>1996375.37</v>
      </c>
      <c r="N1369" s="20">
        <f>+Movimientos_2026[[#This Row],[Ingresos]]-Movimientos_2026[[#This Row],[Egresos]]</f>
        <v>-1996375.37</v>
      </c>
      <c r="O1369" s="20">
        <f>+O1368+Movimientos_2026[[#This Row],[Neto]]</f>
        <v>3480232297.9485445</v>
      </c>
    </row>
    <row r="1370" spans="1:15" x14ac:dyDescent="0.25">
      <c r="A1370" s="13">
        <v>46136</v>
      </c>
      <c r="B1370" s="12">
        <f>MONTH(Movimientos_2026[[#This Row],[Fecha]])</f>
        <v>4</v>
      </c>
      <c r="C1370" s="12" t="str">
        <f>VLOOKUP((WEEKDAY(Movimientos_2026[[#This Row],[Fecha]],2)),'5. Setup'!$D$6:$E$12,2,FALSE)</f>
        <v>Vie</v>
      </c>
      <c r="D1370">
        <v>2023387</v>
      </c>
      <c r="E1370" t="str">
        <f>IFERROR(+VLOOKUP(Movimientos_2026[[#This Row],[Codigo]],Plan_cuentas[],2,FALSE)," ")</f>
        <v>EGRESOS</v>
      </c>
      <c r="F1370" t="str">
        <f>IFERROR(+VLOOKUP(Movimientos_2026[[#This Row],[Codigo]],Plan_cuentas[],3,FALSE)," ")</f>
        <v>DDJJ</v>
      </c>
      <c r="G1370" t="str">
        <f>IFERROR(+VLOOKUP(Movimientos_2026[[#This Row],[Codigo]],Plan_cuentas[],4,FALSE)," ")</f>
        <v>Registración</v>
      </c>
      <c r="H1370" t="str">
        <f>IFERROR(+VLOOKUP(Movimientos_2026[[#This Row],[Codigo]],Plan_cuentas[],5,FALSE)," ")</f>
        <v>SANTA FE 1° Q</v>
      </c>
      <c r="I1370" s="43">
        <v>46113</v>
      </c>
      <c r="J1370" t="s">
        <v>595</v>
      </c>
      <c r="K1370" t="str">
        <f>IFERROR(+VLOOKUP(Movimientos_2026[[#This Row],[Codigo]],Plan_cuentas[],6,FALSE)," ")</f>
        <v>7 - PRtr - Plan Rombo Transf.</v>
      </c>
      <c r="L1370" s="50"/>
      <c r="M1370" s="50">
        <v>96575</v>
      </c>
      <c r="N1370" s="20">
        <f>+Movimientos_2026[[#This Row],[Ingresos]]-Movimientos_2026[[#This Row],[Egresos]]</f>
        <v>-96575</v>
      </c>
      <c r="O1370" s="20">
        <f>+O1369+Movimientos_2026[[#This Row],[Neto]]</f>
        <v>3480135722.9485445</v>
      </c>
    </row>
    <row r="1371" spans="1:15" x14ac:dyDescent="0.25">
      <c r="A1371" s="13">
        <v>46136</v>
      </c>
      <c r="B1371" s="12">
        <f>MONTH(Movimientos_2026[[#This Row],[Fecha]])</f>
        <v>4</v>
      </c>
      <c r="C1371" s="12" t="str">
        <f>VLOOKUP((WEEKDAY(Movimientos_2026[[#This Row],[Fecha]],2)),'5. Setup'!$D$6:$E$12,2,FALSE)</f>
        <v>Vie</v>
      </c>
      <c r="D1371">
        <v>2044122</v>
      </c>
      <c r="E1371" t="str">
        <f>IFERROR(+VLOOKUP(Movimientos_2026[[#This Row],[Codigo]],Plan_cuentas[],2,FALSE)," ")</f>
        <v>EGRESOS</v>
      </c>
      <c r="F1371" t="str">
        <f>IFERROR(+VLOOKUP(Movimientos_2026[[#This Row],[Codigo]],Plan_cuentas[],3,FALSE)," ")</f>
        <v>Transferencia</v>
      </c>
      <c r="G1371" t="str">
        <f>IFERROR(+VLOOKUP(Movimientos_2026[[#This Row],[Codigo]],Plan_cuentas[],4,FALSE)," ")</f>
        <v>Rentas</v>
      </c>
      <c r="H1371" t="str">
        <f>IFERROR(+VLOOKUP(Movimientos_2026[[#This Row],[Codigo]],Plan_cuentas[],5,FALSE)," ")</f>
        <v>BAPRO</v>
      </c>
      <c r="I1371" s="43">
        <v>46082</v>
      </c>
      <c r="J1371" t="s">
        <v>596</v>
      </c>
      <c r="K1371" t="str">
        <f>IFERROR(+VLOOKUP(Movimientos_2026[[#This Row],[Codigo]],Plan_cuentas[],6,FALSE)," ")</f>
        <v>2 - PR - Plan Rombo</v>
      </c>
      <c r="L1371" s="50"/>
      <c r="M1371" s="52">
        <v>18080987.699999999</v>
      </c>
      <c r="N1371" s="20">
        <f>+Movimientos_2026[[#This Row],[Ingresos]]-Movimientos_2026[[#This Row],[Egresos]]</f>
        <v>-18080987.699999999</v>
      </c>
      <c r="O1371" s="20">
        <f>+O1370+Movimientos_2026[[#This Row],[Neto]]</f>
        <v>3462054735.2485447</v>
      </c>
    </row>
    <row r="1372" spans="1:15" x14ac:dyDescent="0.25">
      <c r="A1372" s="13">
        <v>46136</v>
      </c>
      <c r="B1372" s="12">
        <f>MONTH(Movimientos_2026[[#This Row],[Fecha]])</f>
        <v>4</v>
      </c>
      <c r="C1372" s="12" t="str">
        <f>VLOOKUP((WEEKDAY(Movimientos_2026[[#This Row],[Fecha]],2)),'5. Setup'!$D$6:$E$12,2,FALSE)</f>
        <v>Vie</v>
      </c>
      <c r="D1372">
        <v>2044122</v>
      </c>
      <c r="E1372" t="str">
        <f>IFERROR(+VLOOKUP(Movimientos_2026[[#This Row],[Codigo]],Plan_cuentas[],2,FALSE)," ")</f>
        <v>EGRESOS</v>
      </c>
      <c r="F1372" t="str">
        <f>IFERROR(+VLOOKUP(Movimientos_2026[[#This Row],[Codigo]],Plan_cuentas[],3,FALSE)," ")</f>
        <v>Transferencia</v>
      </c>
      <c r="G1372" t="str">
        <f>IFERROR(+VLOOKUP(Movimientos_2026[[#This Row],[Codigo]],Plan_cuentas[],4,FALSE)," ")</f>
        <v>Rentas</v>
      </c>
      <c r="H1372" t="str">
        <f>IFERROR(+VLOOKUP(Movimientos_2026[[#This Row],[Codigo]],Plan_cuentas[],5,FALSE)," ")</f>
        <v>BAPRO</v>
      </c>
      <c r="I1372" s="43">
        <v>46082</v>
      </c>
      <c r="J1372" t="s">
        <v>597</v>
      </c>
      <c r="K1372" t="str">
        <f>IFERROR(+VLOOKUP(Movimientos_2026[[#This Row],[Codigo]],Plan_cuentas[],6,FALSE)," ")</f>
        <v>2 - PR - Plan Rombo</v>
      </c>
      <c r="L1372" s="50"/>
      <c r="M1372" s="52">
        <v>14136184.800000001</v>
      </c>
      <c r="N1372" s="20">
        <f>+Movimientos_2026[[#This Row],[Ingresos]]-Movimientos_2026[[#This Row],[Egresos]]</f>
        <v>-14136184.800000001</v>
      </c>
      <c r="O1372" s="20">
        <f>+O1371+Movimientos_2026[[#This Row],[Neto]]</f>
        <v>3447918550.4485445</v>
      </c>
    </row>
    <row r="1373" spans="1:15" x14ac:dyDescent="0.25">
      <c r="A1373" s="13">
        <v>46136</v>
      </c>
      <c r="B1373" s="12">
        <f>MONTH(Movimientos_2026[[#This Row],[Fecha]])</f>
        <v>4</v>
      </c>
      <c r="C1373" s="12" t="str">
        <f>VLOOKUP((WEEKDAY(Movimientos_2026[[#This Row],[Fecha]],2)),'5. Setup'!$D$6:$E$12,2,FALSE)</f>
        <v>Vie</v>
      </c>
      <c r="D1373">
        <v>2044461</v>
      </c>
      <c r="E1373" t="str">
        <f>IFERROR(+VLOOKUP(Movimientos_2026[[#This Row],[Codigo]],Plan_cuentas[],2,FALSE)," ")</f>
        <v>EGRESOS</v>
      </c>
      <c r="F1373" t="str">
        <f>IFERROR(+VLOOKUP(Movimientos_2026[[#This Row],[Codigo]],Plan_cuentas[],3,FALSE)," ")</f>
        <v>Transferencia</v>
      </c>
      <c r="G1373" t="str">
        <f>IFERROR(+VLOOKUP(Movimientos_2026[[#This Row],[Codigo]],Plan_cuentas[],4,FALSE)," ")</f>
        <v>Rentas</v>
      </c>
      <c r="H1373" t="str">
        <f>IFERROR(+VLOOKUP(Movimientos_2026[[#This Row],[Codigo]],Plan_cuentas[],5,FALSE)," ")</f>
        <v>MISIONES</v>
      </c>
      <c r="I1373" s="43">
        <v>46082</v>
      </c>
      <c r="J1373" t="s">
        <v>598</v>
      </c>
      <c r="K1373" t="str">
        <f>IFERROR(+VLOOKUP(Movimientos_2026[[#This Row],[Codigo]],Plan_cuentas[],6,FALSE)," ")</f>
        <v>1 - VW - Volkswagen</v>
      </c>
      <c r="L1373" s="50"/>
      <c r="M1373" s="52">
        <v>1334139.55</v>
      </c>
      <c r="N1373" s="20">
        <f>+Movimientos_2026[[#This Row],[Ingresos]]-Movimientos_2026[[#This Row],[Egresos]]</f>
        <v>-1334139.55</v>
      </c>
      <c r="O1373" s="20">
        <f>+O1372+Movimientos_2026[[#This Row],[Neto]]</f>
        <v>3446584410.8985443</v>
      </c>
    </row>
    <row r="1374" spans="1:15" x14ac:dyDescent="0.25">
      <c r="A1374" s="13">
        <v>46136</v>
      </c>
      <c r="B1374" s="12">
        <f>MONTH(Movimientos_2026[[#This Row],[Fecha]])</f>
        <v>4</v>
      </c>
      <c r="C1374" s="12" t="str">
        <f>VLOOKUP((WEEKDAY(Movimientos_2026[[#This Row],[Fecha]],2)),'5. Setup'!$D$6:$E$12,2,FALSE)</f>
        <v>Vie</v>
      </c>
      <c r="D1374">
        <v>2044463</v>
      </c>
      <c r="E1374" t="str">
        <f>IFERROR(+VLOOKUP(Movimientos_2026[[#This Row],[Codigo]],Plan_cuentas[],2,FALSE)," ")</f>
        <v>EGRESOS</v>
      </c>
      <c r="F1374" t="str">
        <f>IFERROR(+VLOOKUP(Movimientos_2026[[#This Row],[Codigo]],Plan_cuentas[],3,FALSE)," ")</f>
        <v>Transferencia</v>
      </c>
      <c r="G1374" t="str">
        <f>IFERROR(+VLOOKUP(Movimientos_2026[[#This Row],[Codigo]],Plan_cuentas[],4,FALSE)," ")</f>
        <v>Rentas</v>
      </c>
      <c r="H1374" t="str">
        <f>IFERROR(+VLOOKUP(Movimientos_2026[[#This Row],[Codigo]],Plan_cuentas[],5,FALSE)," ")</f>
        <v>MISIONES</v>
      </c>
      <c r="I1374" s="43">
        <v>46082</v>
      </c>
      <c r="J1374" t="s">
        <v>599</v>
      </c>
      <c r="K1374" t="str">
        <f>IFERROR(+VLOOKUP(Movimientos_2026[[#This Row],[Codigo]],Plan_cuentas[],6,FALSE)," ")</f>
        <v>3 - GM - Chevrolet</v>
      </c>
      <c r="L1374" s="50"/>
      <c r="M1374" s="52">
        <v>1924764.03</v>
      </c>
      <c r="N1374" s="20">
        <f>+Movimientos_2026[[#This Row],[Ingresos]]-Movimientos_2026[[#This Row],[Egresos]]</f>
        <v>-1924764.03</v>
      </c>
      <c r="O1374" s="20">
        <f>+O1373+Movimientos_2026[[#This Row],[Neto]]</f>
        <v>3444659646.8685441</v>
      </c>
    </row>
    <row r="1375" spans="1:15" x14ac:dyDescent="0.25">
      <c r="A1375" s="13">
        <v>46139</v>
      </c>
      <c r="B1375" s="12">
        <f>MONTH(Movimientos_2026[[#This Row],[Fecha]])</f>
        <v>4</v>
      </c>
      <c r="C1375" s="12" t="str">
        <f>VLOOKUP((WEEKDAY(Movimientos_2026[[#This Row],[Fecha]],2)),'5. Setup'!$D$6:$E$12,2,FALSE)</f>
        <v>Lun</v>
      </c>
      <c r="D1375">
        <v>2054381</v>
      </c>
      <c r="E1375" t="str">
        <f>IFERROR(+VLOOKUP(Movimientos_2026[[#This Row],[Codigo]],Plan_cuentas[],2,FALSE)," ")</f>
        <v>EGRESOS</v>
      </c>
      <c r="F1375" t="str">
        <f>IFERROR(+VLOOKUP(Movimientos_2026[[#This Row],[Codigo]],Plan_cuentas[],3,FALSE)," ")</f>
        <v>VEP</v>
      </c>
      <c r="G1375" t="str">
        <f>IFERROR(+VLOOKUP(Movimientos_2026[[#This Row],[Codigo]],Plan_cuentas[],4,FALSE)," ")</f>
        <v>Rentas</v>
      </c>
      <c r="H1375" t="str">
        <f>IFERROR(+VLOOKUP(Movimientos_2026[[#This Row],[Codigo]],Plan_cuentas[],5,FALSE)," ")</f>
        <v>SANTA FE 1° Q</v>
      </c>
      <c r="I1375" s="43">
        <v>46113</v>
      </c>
      <c r="J1375" t="s">
        <v>600</v>
      </c>
      <c r="K1375" t="str">
        <f>IFERROR(+VLOOKUP(Movimientos_2026[[#This Row],[Codigo]],Plan_cuentas[],6,FALSE)," ")</f>
        <v>1 - VW - Volkswagen</v>
      </c>
      <c r="L1375" s="50"/>
      <c r="M1375" s="52">
        <v>12156414</v>
      </c>
      <c r="N1375" s="20">
        <f>+Movimientos_2026[[#This Row],[Ingresos]]-Movimientos_2026[[#This Row],[Egresos]]</f>
        <v>-12156414</v>
      </c>
      <c r="O1375" s="20">
        <f>+O1374+Movimientos_2026[[#This Row],[Neto]]</f>
        <v>3432503232.8685441</v>
      </c>
    </row>
    <row r="1376" spans="1:15" x14ac:dyDescent="0.25">
      <c r="A1376" s="13">
        <v>46139</v>
      </c>
      <c r="B1376" s="12">
        <f>MONTH(Movimientos_2026[[#This Row],[Fecha]])</f>
        <v>4</v>
      </c>
      <c r="C1376" s="12" t="str">
        <f>VLOOKUP((WEEKDAY(Movimientos_2026[[#This Row],[Fecha]],2)),'5. Setup'!$D$6:$E$12,2,FALSE)</f>
        <v>Lun</v>
      </c>
      <c r="D1376">
        <v>2014201</v>
      </c>
      <c r="E1376" t="str">
        <f>IFERROR(+VLOOKUP(Movimientos_2026[[#This Row],[Codigo]],Plan_cuentas[],2,FALSE)," ")</f>
        <v>EGRESOS</v>
      </c>
      <c r="F1376" t="str">
        <f>IFERROR(+VLOOKUP(Movimientos_2026[[#This Row],[Codigo]],Plan_cuentas[],3,FALSE)," ")</f>
        <v>BtoB</v>
      </c>
      <c r="G1376" t="str">
        <f>IFERROR(+VLOOKUP(Movimientos_2026[[#This Row],[Codigo]],Plan_cuentas[],4,FALSE)," ")</f>
        <v>Rentas</v>
      </c>
      <c r="H1376" t="str">
        <f>IFERROR(+VLOOKUP(Movimientos_2026[[#This Row],[Codigo]],Plan_cuentas[],5,FALSE)," ")</f>
        <v>CORRIENTES 1° Q</v>
      </c>
      <c r="I1376" s="43">
        <v>46113</v>
      </c>
      <c r="J1376" t="s">
        <v>601</v>
      </c>
      <c r="K1376" t="str">
        <f>IFERROR(+VLOOKUP(Movimientos_2026[[#This Row],[Codigo]],Plan_cuentas[],6,FALSE)," ")</f>
        <v>1 - VW - Volkswagen</v>
      </c>
      <c r="L1376" s="50"/>
      <c r="M1376" s="50">
        <v>4922319.5</v>
      </c>
      <c r="N1376" s="20">
        <f>+Movimientos_2026[[#This Row],[Ingresos]]-Movimientos_2026[[#This Row],[Egresos]]</f>
        <v>-4922319.5</v>
      </c>
      <c r="O1376" s="20">
        <f>+O1375+Movimientos_2026[[#This Row],[Neto]]</f>
        <v>3427580913.3685441</v>
      </c>
    </row>
    <row r="1377" spans="1:15" x14ac:dyDescent="0.25">
      <c r="A1377" s="13">
        <v>46139</v>
      </c>
      <c r="B1377" s="12">
        <f>MONTH(Movimientos_2026[[#This Row],[Fecha]])</f>
        <v>4</v>
      </c>
      <c r="C1377" s="12" t="str">
        <f>VLOOKUP((WEEKDAY(Movimientos_2026[[#This Row],[Fecha]],2)),'5. Setup'!$D$6:$E$12,2,FALSE)</f>
        <v>Lun</v>
      </c>
      <c r="D1377">
        <v>2044122</v>
      </c>
      <c r="E1377" t="str">
        <f>IFERROR(+VLOOKUP(Movimientos_2026[[#This Row],[Codigo]],Plan_cuentas[],2,FALSE)," ")</f>
        <v>EGRESOS</v>
      </c>
      <c r="F1377" t="str">
        <f>IFERROR(+VLOOKUP(Movimientos_2026[[#This Row],[Codigo]],Plan_cuentas[],3,FALSE)," ")</f>
        <v>Transferencia</v>
      </c>
      <c r="G1377" t="str">
        <f>IFERROR(+VLOOKUP(Movimientos_2026[[#This Row],[Codigo]],Plan_cuentas[],4,FALSE)," ")</f>
        <v>Rentas</v>
      </c>
      <c r="H1377" t="str">
        <f>IFERROR(+VLOOKUP(Movimientos_2026[[#This Row],[Codigo]],Plan_cuentas[],5,FALSE)," ")</f>
        <v>BAPRO</v>
      </c>
      <c r="I1377" s="43">
        <v>46082</v>
      </c>
      <c r="J1377" t="s">
        <v>602</v>
      </c>
      <c r="K1377" t="str">
        <f>IFERROR(+VLOOKUP(Movimientos_2026[[#This Row],[Codigo]],Plan_cuentas[],6,FALSE)," ")</f>
        <v>2 - PR - Plan Rombo</v>
      </c>
      <c r="L1377" s="50"/>
      <c r="M1377" s="50">
        <v>15964668.6</v>
      </c>
      <c r="N1377" s="20">
        <f>+Movimientos_2026[[#This Row],[Ingresos]]-Movimientos_2026[[#This Row],[Egresos]]</f>
        <v>-15964668.6</v>
      </c>
      <c r="O1377" s="20">
        <f>+O1376+Movimientos_2026[[#This Row],[Neto]]</f>
        <v>3411616244.7685442</v>
      </c>
    </row>
    <row r="1378" spans="1:15" x14ac:dyDescent="0.25">
      <c r="A1378" s="13">
        <v>46139</v>
      </c>
      <c r="B1378" s="12">
        <f>MONTH(Movimientos_2026[[#This Row],[Fecha]])</f>
        <v>4</v>
      </c>
      <c r="C1378" s="12" t="str">
        <f>VLOOKUP((WEEKDAY(Movimientos_2026[[#This Row],[Fecha]],2)),'5. Setup'!$D$6:$E$12,2,FALSE)</f>
        <v>Lun</v>
      </c>
      <c r="D1378">
        <v>2044122</v>
      </c>
      <c r="E1378" t="str">
        <f>IFERROR(+VLOOKUP(Movimientos_2026[[#This Row],[Codigo]],Plan_cuentas[],2,FALSE)," ")</f>
        <v>EGRESOS</v>
      </c>
      <c r="F1378" t="str">
        <f>IFERROR(+VLOOKUP(Movimientos_2026[[#This Row],[Codigo]],Plan_cuentas[],3,FALSE)," ")</f>
        <v>Transferencia</v>
      </c>
      <c r="G1378" t="str">
        <f>IFERROR(+VLOOKUP(Movimientos_2026[[#This Row],[Codigo]],Plan_cuentas[],4,FALSE)," ")</f>
        <v>Rentas</v>
      </c>
      <c r="H1378" t="str">
        <f>IFERROR(+VLOOKUP(Movimientos_2026[[#This Row],[Codigo]],Plan_cuentas[],5,FALSE)," ")</f>
        <v>BAPRO</v>
      </c>
      <c r="I1378" s="43">
        <v>46082</v>
      </c>
      <c r="J1378" t="s">
        <v>603</v>
      </c>
      <c r="K1378" t="str">
        <f>IFERROR(+VLOOKUP(Movimientos_2026[[#This Row],[Codigo]],Plan_cuentas[],6,FALSE)," ")</f>
        <v>2 - PR - Plan Rombo</v>
      </c>
      <c r="L1378" s="50"/>
      <c r="M1378" s="50">
        <v>16662748.199999999</v>
      </c>
      <c r="N1378" s="20">
        <f>+Movimientos_2026[[#This Row],[Ingresos]]-Movimientos_2026[[#This Row],[Egresos]]</f>
        <v>-16662748.199999999</v>
      </c>
      <c r="O1378" s="20">
        <f>+O1377+Movimientos_2026[[#This Row],[Neto]]</f>
        <v>3394953496.5685444</v>
      </c>
    </row>
    <row r="1379" spans="1:15" x14ac:dyDescent="0.25">
      <c r="A1379" s="13">
        <v>46139</v>
      </c>
      <c r="B1379" s="12">
        <f>MONTH(Movimientos_2026[[#This Row],[Fecha]])</f>
        <v>4</v>
      </c>
      <c r="C1379" s="12" t="str">
        <f>VLOOKUP((WEEKDAY(Movimientos_2026[[#This Row],[Fecha]],2)),'5. Setup'!$D$6:$E$12,2,FALSE)</f>
        <v>Lun</v>
      </c>
      <c r="D1379">
        <v>1043141</v>
      </c>
      <c r="E1379" t="str">
        <f>IFERROR(+VLOOKUP(Movimientos_2026[[#This Row],[Codigo]],Plan_cuentas[],2,FALSE)," ")</f>
        <v>INGRESOS</v>
      </c>
      <c r="F1379" t="str">
        <f>IFERROR(+VLOOKUP(Movimientos_2026[[#This Row],[Codigo]],Plan_cuentas[],3,FALSE)," ")</f>
        <v>Transferencia</v>
      </c>
      <c r="G1379" t="str">
        <f>IFERROR(+VLOOKUP(Movimientos_2026[[#This Row],[Codigo]],Plan_cuentas[],4,FALSE)," ")</f>
        <v>Registración</v>
      </c>
      <c r="H1379" t="str">
        <f>IFERROR(+VLOOKUP(Movimientos_2026[[#This Row],[Codigo]],Plan_cuentas[],5,FALSE)," ")</f>
        <v>BUENOS AIRES</v>
      </c>
      <c r="I1379" s="43">
        <v>46082</v>
      </c>
      <c r="J1379" t="s">
        <v>604</v>
      </c>
      <c r="K1379" t="str">
        <f>IFERROR(+VLOOKUP(Movimientos_2026[[#This Row],[Codigo]],Plan_cuentas[],6,FALSE)," ")</f>
        <v>1 - VW - Volkswagen</v>
      </c>
      <c r="L1379" s="50">
        <v>53386870.857500002</v>
      </c>
      <c r="M1379" s="52"/>
      <c r="N1379" s="20">
        <f>+Movimientos_2026[[#This Row],[Ingresos]]-Movimientos_2026[[#This Row],[Egresos]]</f>
        <v>53386870.857500002</v>
      </c>
      <c r="O1379" s="20">
        <f>+O1378+Movimientos_2026[[#This Row],[Neto]]</f>
        <v>3448340367.4260445</v>
      </c>
    </row>
    <row r="1380" spans="1:15" x14ac:dyDescent="0.25">
      <c r="A1380" s="13">
        <v>46139</v>
      </c>
      <c r="B1380" s="12">
        <f>MONTH(Movimientos_2026[[#This Row],[Fecha]])</f>
        <v>4</v>
      </c>
      <c r="C1380" s="12" t="str">
        <f>VLOOKUP((WEEKDAY(Movimientos_2026[[#This Row],[Fecha]],2)),'5. Setup'!$D$6:$E$12,2,FALSE)</f>
        <v>Lun</v>
      </c>
      <c r="D1380">
        <v>1042111</v>
      </c>
      <c r="E1380" t="str">
        <f>IFERROR(+VLOOKUP(Movimientos_2026[[#This Row],[Codigo]],Plan_cuentas[],2,FALSE)," ")</f>
        <v>INGRESOS</v>
      </c>
      <c r="F1380" t="str">
        <f>IFERROR(+VLOOKUP(Movimientos_2026[[#This Row],[Codigo]],Plan_cuentas[],3,FALSE)," ")</f>
        <v>Transferencia</v>
      </c>
      <c r="G1380" t="str">
        <f>IFERROR(+VLOOKUP(Movimientos_2026[[#This Row],[Codigo]],Plan_cuentas[],4,FALSE)," ")</f>
        <v>Entidades tercerizadas</v>
      </c>
      <c r="H1380" t="str">
        <f>IFERROR(+VLOOKUP(Movimientos_2026[[#This Row],[Codigo]],Plan_cuentas[],5,FALSE)," ")</f>
        <v>APESI</v>
      </c>
      <c r="I1380" s="43">
        <v>46082</v>
      </c>
      <c r="J1380" t="s">
        <v>604</v>
      </c>
      <c r="K1380" t="str">
        <f>IFERROR(+VLOOKUP(Movimientos_2026[[#This Row],[Codigo]],Plan_cuentas[],6,FALSE)," ")</f>
        <v>1 - VW - Volkswagen</v>
      </c>
      <c r="L1380" s="50">
        <v>53386870.857500002</v>
      </c>
      <c r="M1380" s="52"/>
      <c r="N1380" s="20">
        <f>+Movimientos_2026[[#This Row],[Ingresos]]-Movimientos_2026[[#This Row],[Egresos]]</f>
        <v>53386870.857500002</v>
      </c>
      <c r="O1380" s="20">
        <f>+O1379+Movimientos_2026[[#This Row],[Neto]]</f>
        <v>3501727238.2835445</v>
      </c>
    </row>
    <row r="1381" spans="1:15" x14ac:dyDescent="0.25">
      <c r="A1381" s="13">
        <v>46139</v>
      </c>
      <c r="B1381" s="12">
        <f>MONTH(Movimientos_2026[[#This Row],[Fecha]])</f>
        <v>4</v>
      </c>
      <c r="C1381" s="12" t="str">
        <f>VLOOKUP((WEEKDAY(Movimientos_2026[[#This Row],[Fecha]],2)),'5. Setup'!$D$6:$E$12,2,FALSE)</f>
        <v>Lun</v>
      </c>
      <c r="D1381">
        <v>1041431</v>
      </c>
      <c r="E1381" t="str">
        <f>IFERROR(+VLOOKUP(Movimientos_2026[[#This Row],[Codigo]],Plan_cuentas[],2,FALSE)," ")</f>
        <v>INGRESOS</v>
      </c>
      <c r="F1381" t="str">
        <f>IFERROR(+VLOOKUP(Movimientos_2026[[#This Row],[Codigo]],Plan_cuentas[],3,FALSE)," ")</f>
        <v>Transferencia</v>
      </c>
      <c r="G1381" t="str">
        <f>IFERROR(+VLOOKUP(Movimientos_2026[[#This Row],[Codigo]],Plan_cuentas[],4,FALSE)," ")</f>
        <v>Entidades co-participadas</v>
      </c>
      <c r="H1381" t="str">
        <f>IFERROR(+VLOOKUP(Movimientos_2026[[#This Row],[Codigo]],Plan_cuentas[],5,FALSE)," ")</f>
        <v>UEDA</v>
      </c>
      <c r="I1381" s="43">
        <v>46082</v>
      </c>
      <c r="J1381" t="s">
        <v>604</v>
      </c>
      <c r="K1381" t="str">
        <f>IFERROR(+VLOOKUP(Movimientos_2026[[#This Row],[Codigo]],Plan_cuentas[],6,FALSE)," ")</f>
        <v>1 - VW - Volkswagen</v>
      </c>
      <c r="L1381" s="50">
        <v>53386870.857500002</v>
      </c>
      <c r="M1381" s="52"/>
      <c r="N1381" s="20">
        <f>+Movimientos_2026[[#This Row],[Ingresos]]-Movimientos_2026[[#This Row],[Egresos]]</f>
        <v>53386870.857500002</v>
      </c>
      <c r="O1381" s="20">
        <f>+O1380+Movimientos_2026[[#This Row],[Neto]]</f>
        <v>3555114109.1410446</v>
      </c>
    </row>
    <row r="1382" spans="1:15" x14ac:dyDescent="0.25">
      <c r="A1382" s="13">
        <v>46139</v>
      </c>
      <c r="B1382" s="12">
        <f>MONTH(Movimientos_2026[[#This Row],[Fecha]])</f>
        <v>4</v>
      </c>
      <c r="C1382" s="12" t="str">
        <f>VLOOKUP((WEEKDAY(Movimientos_2026[[#This Row],[Fecha]],2)),'5. Setup'!$D$6:$E$12,2,FALSE)</f>
        <v>Lun</v>
      </c>
      <c r="D1382">
        <v>1041441</v>
      </c>
      <c r="E1382" t="str">
        <f>IFERROR(+VLOOKUP(Movimientos_2026[[#This Row],[Codigo]],Plan_cuentas[],2,FALSE)," ")</f>
        <v>INGRESOS</v>
      </c>
      <c r="F1382" t="str">
        <f>IFERROR(+VLOOKUP(Movimientos_2026[[#This Row],[Codigo]],Plan_cuentas[],3,FALSE)," ")</f>
        <v>Transferencia</v>
      </c>
      <c r="G1382" t="str">
        <f>IFERROR(+VLOOKUP(Movimientos_2026[[#This Row],[Codigo]],Plan_cuentas[],4,FALSE)," ")</f>
        <v>Entidades co-participadas</v>
      </c>
      <c r="H1382" t="str">
        <f>IFERROR(+VLOOKUP(Movimientos_2026[[#This Row],[Codigo]],Plan_cuentas[],5,FALSE)," ")</f>
        <v>UISCUMARR</v>
      </c>
      <c r="I1382" s="43">
        <v>46082</v>
      </c>
      <c r="J1382" t="s">
        <v>604</v>
      </c>
      <c r="K1382" t="str">
        <f>IFERROR(+VLOOKUP(Movimientos_2026[[#This Row],[Codigo]],Plan_cuentas[],6,FALSE)," ")</f>
        <v>1 - VW - Volkswagen</v>
      </c>
      <c r="L1382" s="50">
        <v>53386870.857500002</v>
      </c>
      <c r="M1382" s="50"/>
      <c r="N1382" s="20">
        <f>+Movimientos_2026[[#This Row],[Ingresos]]-Movimientos_2026[[#This Row],[Egresos]]</f>
        <v>53386870.857500002</v>
      </c>
      <c r="O1382" s="20">
        <f>+O1381+Movimientos_2026[[#This Row],[Neto]]</f>
        <v>3608500979.9985447</v>
      </c>
    </row>
    <row r="1383" spans="1:15" x14ac:dyDescent="0.25">
      <c r="A1383" s="13">
        <v>46139</v>
      </c>
      <c r="B1383" s="12">
        <f>MONTH(Movimientos_2026[[#This Row],[Fecha]])</f>
        <v>4</v>
      </c>
      <c r="C1383" s="12" t="str">
        <f>VLOOKUP((WEEKDAY(Movimientos_2026[[#This Row],[Fecha]],2)),'5. Setup'!$D$6:$E$12,2,FALSE)</f>
        <v>Lun</v>
      </c>
      <c r="D1383">
        <v>1043141</v>
      </c>
      <c r="E1383" t="str">
        <f>IFERROR(+VLOOKUP(Movimientos_2026[[#This Row],[Codigo]],Plan_cuentas[],2,FALSE)," ")</f>
        <v>INGRESOS</v>
      </c>
      <c r="F1383" t="str">
        <f>IFERROR(+VLOOKUP(Movimientos_2026[[#This Row],[Codigo]],Plan_cuentas[],3,FALSE)," ")</f>
        <v>Transferencia</v>
      </c>
      <c r="G1383" t="str">
        <f>IFERROR(+VLOOKUP(Movimientos_2026[[#This Row],[Codigo]],Plan_cuentas[],4,FALSE)," ")</f>
        <v>Registración</v>
      </c>
      <c r="H1383" t="str">
        <f>IFERROR(+VLOOKUP(Movimientos_2026[[#This Row],[Codigo]],Plan_cuentas[],5,FALSE)," ")</f>
        <v>BUENOS AIRES</v>
      </c>
      <c r="I1383" s="43">
        <v>46082</v>
      </c>
      <c r="J1383" t="s">
        <v>604</v>
      </c>
      <c r="K1383" t="str">
        <f>IFERROR(+VLOOKUP(Movimientos_2026[[#This Row],[Codigo]],Plan_cuentas[],6,FALSE)," ")</f>
        <v>1 - VW - Volkswagen</v>
      </c>
      <c r="L1383" s="50">
        <v>84533185.670000002</v>
      </c>
      <c r="M1383" s="50"/>
      <c r="N1383" s="20">
        <f>+Movimientos_2026[[#This Row],[Ingresos]]-Movimientos_2026[[#This Row],[Egresos]]</f>
        <v>84533185.670000002</v>
      </c>
      <c r="O1383" s="20">
        <f>+O1382+Movimientos_2026[[#This Row],[Neto]]</f>
        <v>3693034165.6685448</v>
      </c>
    </row>
    <row r="1384" spans="1:15" x14ac:dyDescent="0.25">
      <c r="A1384" s="13">
        <v>46139</v>
      </c>
      <c r="B1384" s="12">
        <f>MONTH(Movimientos_2026[[#This Row],[Fecha]])</f>
        <v>4</v>
      </c>
      <c r="C1384" s="12" t="str">
        <f>VLOOKUP((WEEKDAY(Movimientos_2026[[#This Row],[Fecha]],2)),'5. Setup'!$D$6:$E$12,2,FALSE)</f>
        <v>Lun</v>
      </c>
      <c r="D1384">
        <v>1042111</v>
      </c>
      <c r="E1384" t="str">
        <f>IFERROR(+VLOOKUP(Movimientos_2026[[#This Row],[Codigo]],Plan_cuentas[],2,FALSE)," ")</f>
        <v>INGRESOS</v>
      </c>
      <c r="F1384" t="str">
        <f>IFERROR(+VLOOKUP(Movimientos_2026[[#This Row],[Codigo]],Plan_cuentas[],3,FALSE)," ")</f>
        <v>Transferencia</v>
      </c>
      <c r="G1384" t="str">
        <f>IFERROR(+VLOOKUP(Movimientos_2026[[#This Row],[Codigo]],Plan_cuentas[],4,FALSE)," ")</f>
        <v>Entidades tercerizadas</v>
      </c>
      <c r="H1384" t="str">
        <f>IFERROR(+VLOOKUP(Movimientos_2026[[#This Row],[Codigo]],Plan_cuentas[],5,FALSE)," ")</f>
        <v>APESI</v>
      </c>
      <c r="I1384" s="43">
        <v>46082</v>
      </c>
      <c r="J1384" t="s">
        <v>604</v>
      </c>
      <c r="K1384" t="str">
        <f>IFERROR(+VLOOKUP(Movimientos_2026[[#This Row],[Codigo]],Plan_cuentas[],6,FALSE)," ")</f>
        <v>1 - VW - Volkswagen</v>
      </c>
      <c r="L1384" s="50">
        <v>84533185.670000002</v>
      </c>
      <c r="M1384" s="50"/>
      <c r="N1384" s="20">
        <f>+Movimientos_2026[[#This Row],[Ingresos]]-Movimientos_2026[[#This Row],[Egresos]]</f>
        <v>84533185.670000002</v>
      </c>
      <c r="O1384" s="20">
        <f>+O1383+Movimientos_2026[[#This Row],[Neto]]</f>
        <v>3777567351.3385448</v>
      </c>
    </row>
    <row r="1385" spans="1:15" x14ac:dyDescent="0.25">
      <c r="A1385" s="13">
        <v>46139</v>
      </c>
      <c r="B1385" s="12">
        <f>MONTH(Movimientos_2026[[#This Row],[Fecha]])</f>
        <v>4</v>
      </c>
      <c r="C1385" s="12" t="str">
        <f>VLOOKUP((WEEKDAY(Movimientos_2026[[#This Row],[Fecha]],2)),'5. Setup'!$D$6:$E$12,2,FALSE)</f>
        <v>Lun</v>
      </c>
      <c r="D1385">
        <v>1041431</v>
      </c>
      <c r="E1385" t="str">
        <f>IFERROR(+VLOOKUP(Movimientos_2026[[#This Row],[Codigo]],Plan_cuentas[],2,FALSE)," ")</f>
        <v>INGRESOS</v>
      </c>
      <c r="F1385" t="str">
        <f>IFERROR(+VLOOKUP(Movimientos_2026[[#This Row],[Codigo]],Plan_cuentas[],3,FALSE)," ")</f>
        <v>Transferencia</v>
      </c>
      <c r="G1385" t="str">
        <f>IFERROR(+VLOOKUP(Movimientos_2026[[#This Row],[Codigo]],Plan_cuentas[],4,FALSE)," ")</f>
        <v>Entidades co-participadas</v>
      </c>
      <c r="H1385" t="str">
        <f>IFERROR(+VLOOKUP(Movimientos_2026[[#This Row],[Codigo]],Plan_cuentas[],5,FALSE)," ")</f>
        <v>UEDA</v>
      </c>
      <c r="I1385" s="43">
        <v>46082</v>
      </c>
      <c r="J1385" t="s">
        <v>604</v>
      </c>
      <c r="K1385" t="str">
        <f>IFERROR(+VLOOKUP(Movimientos_2026[[#This Row],[Codigo]],Plan_cuentas[],6,FALSE)," ")</f>
        <v>1 - VW - Volkswagen</v>
      </c>
      <c r="L1385" s="50">
        <v>84533185.670000002</v>
      </c>
      <c r="M1385" s="50"/>
      <c r="N1385" s="20">
        <f>+Movimientos_2026[[#This Row],[Ingresos]]-Movimientos_2026[[#This Row],[Egresos]]</f>
        <v>84533185.670000002</v>
      </c>
      <c r="O1385" s="20">
        <f>+O1384+Movimientos_2026[[#This Row],[Neto]]</f>
        <v>3862100537.0085449</v>
      </c>
    </row>
    <row r="1386" spans="1:15" x14ac:dyDescent="0.25">
      <c r="A1386" s="13">
        <v>46139</v>
      </c>
      <c r="B1386" s="12">
        <f>MONTH(Movimientos_2026[[#This Row],[Fecha]])</f>
        <v>4</v>
      </c>
      <c r="C1386" s="12" t="str">
        <f>VLOOKUP((WEEKDAY(Movimientos_2026[[#This Row],[Fecha]],2)),'5. Setup'!$D$6:$E$12,2,FALSE)</f>
        <v>Lun</v>
      </c>
      <c r="D1386">
        <v>1041441</v>
      </c>
      <c r="E1386" t="str">
        <f>IFERROR(+VLOOKUP(Movimientos_2026[[#This Row],[Codigo]],Plan_cuentas[],2,FALSE)," ")</f>
        <v>INGRESOS</v>
      </c>
      <c r="F1386" t="str">
        <f>IFERROR(+VLOOKUP(Movimientos_2026[[#This Row],[Codigo]],Plan_cuentas[],3,FALSE)," ")</f>
        <v>Transferencia</v>
      </c>
      <c r="G1386" t="str">
        <f>IFERROR(+VLOOKUP(Movimientos_2026[[#This Row],[Codigo]],Plan_cuentas[],4,FALSE)," ")</f>
        <v>Entidades co-participadas</v>
      </c>
      <c r="H1386" t="str">
        <f>IFERROR(+VLOOKUP(Movimientos_2026[[#This Row],[Codigo]],Plan_cuentas[],5,FALSE)," ")</f>
        <v>UISCUMARR</v>
      </c>
      <c r="I1386" s="43">
        <v>46082</v>
      </c>
      <c r="J1386" t="s">
        <v>604</v>
      </c>
      <c r="K1386" t="str">
        <f>IFERROR(+VLOOKUP(Movimientos_2026[[#This Row],[Codigo]],Plan_cuentas[],6,FALSE)," ")</f>
        <v>1 - VW - Volkswagen</v>
      </c>
      <c r="L1386" s="50">
        <v>84533185.670000002</v>
      </c>
      <c r="M1386" s="50"/>
      <c r="N1386" s="20">
        <f>+Movimientos_2026[[#This Row],[Ingresos]]-Movimientos_2026[[#This Row],[Egresos]]</f>
        <v>84533185.670000002</v>
      </c>
      <c r="O1386" s="20">
        <f>+O1385+Movimientos_2026[[#This Row],[Neto]]</f>
        <v>3946633722.678545</v>
      </c>
    </row>
    <row r="1387" spans="1:15" x14ac:dyDescent="0.25">
      <c r="A1387" s="13">
        <v>46139</v>
      </c>
      <c r="B1387" s="12">
        <f>MONTH(Movimientos_2026[[#This Row],[Fecha]])</f>
        <v>4</v>
      </c>
      <c r="C1387" s="12" t="str">
        <f>VLOOKUP((WEEKDAY(Movimientos_2026[[#This Row],[Fecha]],2)),'5. Setup'!$D$6:$E$12,2,FALSE)</f>
        <v>Lun</v>
      </c>
      <c r="D1387">
        <v>1043141</v>
      </c>
      <c r="E1387" t="str">
        <f>IFERROR(+VLOOKUP(Movimientos_2026[[#This Row],[Codigo]],Plan_cuentas[],2,FALSE)," ")</f>
        <v>INGRESOS</v>
      </c>
      <c r="F1387" t="str">
        <f>IFERROR(+VLOOKUP(Movimientos_2026[[#This Row],[Codigo]],Plan_cuentas[],3,FALSE)," ")</f>
        <v>Transferencia</v>
      </c>
      <c r="G1387" t="str">
        <f>IFERROR(+VLOOKUP(Movimientos_2026[[#This Row],[Codigo]],Plan_cuentas[],4,FALSE)," ")</f>
        <v>Registración</v>
      </c>
      <c r="H1387" t="str">
        <f>IFERROR(+VLOOKUP(Movimientos_2026[[#This Row],[Codigo]],Plan_cuentas[],5,FALSE)," ")</f>
        <v>BUENOS AIRES</v>
      </c>
      <c r="I1387" s="43">
        <v>46082</v>
      </c>
      <c r="J1387" t="s">
        <v>604</v>
      </c>
      <c r="K1387" t="str">
        <f>IFERROR(+VLOOKUP(Movimientos_2026[[#This Row],[Codigo]],Plan_cuentas[],6,FALSE)," ")</f>
        <v>1 - VW - Volkswagen</v>
      </c>
      <c r="L1387" s="50">
        <v>9758022.1899999995</v>
      </c>
      <c r="M1387" s="50"/>
      <c r="N1387" s="20">
        <f>+Movimientos_2026[[#This Row],[Ingresos]]-Movimientos_2026[[#This Row],[Egresos]]</f>
        <v>9758022.1899999995</v>
      </c>
      <c r="O1387" s="20">
        <f>+O1386+Movimientos_2026[[#This Row],[Neto]]</f>
        <v>3956391744.8685451</v>
      </c>
    </row>
    <row r="1388" spans="1:15" x14ac:dyDescent="0.25">
      <c r="A1388" s="13">
        <v>46140</v>
      </c>
      <c r="B1388" s="12">
        <f>MONTH(Movimientos_2026[[#This Row],[Fecha]])</f>
        <v>4</v>
      </c>
      <c r="C1388" s="12" t="str">
        <f>VLOOKUP((WEEKDAY(Movimientos_2026[[#This Row],[Fecha]],2)),'5. Setup'!$D$6:$E$12,2,FALSE)</f>
        <v>Mar</v>
      </c>
      <c r="D1388">
        <v>2044122</v>
      </c>
      <c r="E1388" t="str">
        <f>IFERROR(+VLOOKUP(Movimientos_2026[[#This Row],[Codigo]],Plan_cuentas[],2,FALSE)," ")</f>
        <v>EGRESOS</v>
      </c>
      <c r="F1388" t="str">
        <f>IFERROR(+VLOOKUP(Movimientos_2026[[#This Row],[Codigo]],Plan_cuentas[],3,FALSE)," ")</f>
        <v>Transferencia</v>
      </c>
      <c r="G1388" t="str">
        <f>IFERROR(+VLOOKUP(Movimientos_2026[[#This Row],[Codigo]],Plan_cuentas[],4,FALSE)," ")</f>
        <v>Rentas</v>
      </c>
      <c r="H1388" t="str">
        <f>IFERROR(+VLOOKUP(Movimientos_2026[[#This Row],[Codigo]],Plan_cuentas[],5,FALSE)," ")</f>
        <v>BAPRO</v>
      </c>
      <c r="I1388" s="43">
        <v>46082</v>
      </c>
      <c r="J1388" t="s">
        <v>605</v>
      </c>
      <c r="K1388" t="str">
        <f>IFERROR(+VLOOKUP(Movimientos_2026[[#This Row],[Codigo]],Plan_cuentas[],6,FALSE)," ")</f>
        <v>2 - PR - Plan Rombo</v>
      </c>
      <c r="L1388" s="50"/>
      <c r="M1388" s="52">
        <v>17018874.100000001</v>
      </c>
      <c r="N1388" s="20">
        <f>+Movimientos_2026[[#This Row],[Ingresos]]-Movimientos_2026[[#This Row],[Egresos]]</f>
        <v>-17018874.100000001</v>
      </c>
      <c r="O1388" s="20">
        <f>+O1387+Movimientos_2026[[#This Row],[Neto]]</f>
        <v>3939372870.7685452</v>
      </c>
    </row>
    <row r="1389" spans="1:15" x14ac:dyDescent="0.25">
      <c r="A1389" s="13">
        <v>46140</v>
      </c>
      <c r="B1389" s="12">
        <f>MONTH(Movimientos_2026[[#This Row],[Fecha]])</f>
        <v>4</v>
      </c>
      <c r="C1389" s="12" t="str">
        <f>VLOOKUP((WEEKDAY(Movimientos_2026[[#This Row],[Fecha]],2)),'5. Setup'!$D$6:$E$12,2,FALSE)</f>
        <v>Mar</v>
      </c>
      <c r="D1389">
        <v>2044122</v>
      </c>
      <c r="E1389" t="str">
        <f>IFERROR(+VLOOKUP(Movimientos_2026[[#This Row],[Codigo]],Plan_cuentas[],2,FALSE)," ")</f>
        <v>EGRESOS</v>
      </c>
      <c r="F1389" t="str">
        <f>IFERROR(+VLOOKUP(Movimientos_2026[[#This Row],[Codigo]],Plan_cuentas[],3,FALSE)," ")</f>
        <v>Transferencia</v>
      </c>
      <c r="G1389" t="str">
        <f>IFERROR(+VLOOKUP(Movimientos_2026[[#This Row],[Codigo]],Plan_cuentas[],4,FALSE)," ")</f>
        <v>Rentas</v>
      </c>
      <c r="H1389" t="str">
        <f>IFERROR(+VLOOKUP(Movimientos_2026[[#This Row],[Codigo]],Plan_cuentas[],5,FALSE)," ")</f>
        <v>BAPRO</v>
      </c>
      <c r="I1389" s="43">
        <v>46082</v>
      </c>
      <c r="J1389" t="s">
        <v>606</v>
      </c>
      <c r="K1389" t="str">
        <f>IFERROR(+VLOOKUP(Movimientos_2026[[#This Row],[Codigo]],Plan_cuentas[],6,FALSE)," ")</f>
        <v>2 - PR - Plan Rombo</v>
      </c>
      <c r="L1389" s="50"/>
      <c r="M1389" s="52">
        <v>17181028.699999999</v>
      </c>
      <c r="N1389" s="20">
        <f>+Movimientos_2026[[#This Row],[Ingresos]]-Movimientos_2026[[#This Row],[Egresos]]</f>
        <v>-17181028.699999999</v>
      </c>
      <c r="O1389" s="20">
        <f>+O1388+Movimientos_2026[[#This Row],[Neto]]</f>
        <v>3922191842.0685453</v>
      </c>
    </row>
    <row r="1390" spans="1:15" x14ac:dyDescent="0.25">
      <c r="A1390" s="13">
        <v>46141</v>
      </c>
      <c r="B1390" s="12">
        <f>MONTH(Movimientos_2026[[#This Row],[Fecha]])</f>
        <v>4</v>
      </c>
      <c r="C1390" s="12" t="str">
        <f>VLOOKUP((WEEKDAY(Movimientos_2026[[#This Row],[Fecha]],2)),'5. Setup'!$D$6:$E$12,2,FALSE)</f>
        <v>Mie</v>
      </c>
      <c r="D1390">
        <v>2044122</v>
      </c>
      <c r="E1390" t="str">
        <f>IFERROR(+VLOOKUP(Movimientos_2026[[#This Row],[Codigo]],Plan_cuentas[],2,FALSE)," ")</f>
        <v>EGRESOS</v>
      </c>
      <c r="F1390" t="str">
        <f>IFERROR(+VLOOKUP(Movimientos_2026[[#This Row],[Codigo]],Plan_cuentas[],3,FALSE)," ")</f>
        <v>Transferencia</v>
      </c>
      <c r="G1390" t="str">
        <f>IFERROR(+VLOOKUP(Movimientos_2026[[#This Row],[Codigo]],Plan_cuentas[],4,FALSE)," ")</f>
        <v>Rentas</v>
      </c>
      <c r="H1390" t="str">
        <f>IFERROR(+VLOOKUP(Movimientos_2026[[#This Row],[Codigo]],Plan_cuentas[],5,FALSE)," ")</f>
        <v>BAPRO</v>
      </c>
      <c r="I1390" s="43">
        <v>46082</v>
      </c>
      <c r="J1390" t="s">
        <v>607</v>
      </c>
      <c r="K1390" t="str">
        <f>IFERROR(+VLOOKUP(Movimientos_2026[[#This Row],[Codigo]],Plan_cuentas[],6,FALSE)," ")</f>
        <v>2 - PR - Plan Rombo</v>
      </c>
      <c r="L1390" s="50"/>
      <c r="M1390" s="50">
        <v>17007727</v>
      </c>
      <c r="N1390" s="20">
        <f>+Movimientos_2026[[#This Row],[Ingresos]]-Movimientos_2026[[#This Row],[Egresos]]</f>
        <v>-17007727</v>
      </c>
      <c r="O1390" s="20">
        <f>+O1389+Movimientos_2026[[#This Row],[Neto]]</f>
        <v>3905184115.0685453</v>
      </c>
    </row>
    <row r="1391" spans="1:15" x14ac:dyDescent="0.25">
      <c r="A1391" s="13">
        <v>46141</v>
      </c>
      <c r="B1391" s="12">
        <f>MONTH(Movimientos_2026[[#This Row],[Fecha]])</f>
        <v>4</v>
      </c>
      <c r="C1391" s="12" t="str">
        <f>VLOOKUP((WEEKDAY(Movimientos_2026[[#This Row],[Fecha]],2)),'5. Setup'!$D$6:$E$12,2,FALSE)</f>
        <v>Mie</v>
      </c>
      <c r="D1391">
        <v>2044122</v>
      </c>
      <c r="E1391" t="str">
        <f>IFERROR(+VLOOKUP(Movimientos_2026[[#This Row],[Codigo]],Plan_cuentas[],2,FALSE)," ")</f>
        <v>EGRESOS</v>
      </c>
      <c r="F1391" t="str">
        <f>IFERROR(+VLOOKUP(Movimientos_2026[[#This Row],[Codigo]],Plan_cuentas[],3,FALSE)," ")</f>
        <v>Transferencia</v>
      </c>
      <c r="G1391" t="str">
        <f>IFERROR(+VLOOKUP(Movimientos_2026[[#This Row],[Codigo]],Plan_cuentas[],4,FALSE)," ")</f>
        <v>Rentas</v>
      </c>
      <c r="H1391" t="str">
        <f>IFERROR(+VLOOKUP(Movimientos_2026[[#This Row],[Codigo]],Plan_cuentas[],5,FALSE)," ")</f>
        <v>BAPRO</v>
      </c>
      <c r="I1391" s="43">
        <v>46082</v>
      </c>
      <c r="J1391" t="s">
        <v>608</v>
      </c>
      <c r="K1391" t="str">
        <f>IFERROR(+VLOOKUP(Movimientos_2026[[#This Row],[Codigo]],Plan_cuentas[],6,FALSE)," ")</f>
        <v>2 - PR - Plan Rombo</v>
      </c>
      <c r="L1391" s="50"/>
      <c r="M1391" s="50">
        <v>14454133.6</v>
      </c>
      <c r="N1391" s="20">
        <f>+Movimientos_2026[[#This Row],[Ingresos]]-Movimientos_2026[[#This Row],[Egresos]]</f>
        <v>-14454133.6</v>
      </c>
      <c r="O1391" s="20">
        <f>+O1390+Movimientos_2026[[#This Row],[Neto]]</f>
        <v>3890729981.4685454</v>
      </c>
    </row>
    <row r="1392" spans="1:15" x14ac:dyDescent="0.25">
      <c r="A1392" s="13">
        <v>46142</v>
      </c>
      <c r="B1392" s="12">
        <f>MONTH(Movimientos_2026[[#This Row],[Fecha]])</f>
        <v>4</v>
      </c>
      <c r="C1392" s="12" t="str">
        <f>VLOOKUP((WEEKDAY(Movimientos_2026[[#This Row],[Fecha]],2)),'5. Setup'!$D$6:$E$12,2,FALSE)</f>
        <v>Jue</v>
      </c>
      <c r="D1392">
        <v>2044122</v>
      </c>
      <c r="E1392" t="str">
        <f>IFERROR(+VLOOKUP(Movimientos_2026[[#This Row],[Codigo]],Plan_cuentas[],2,FALSE)," ")</f>
        <v>EGRESOS</v>
      </c>
      <c r="F1392" t="str">
        <f>IFERROR(+VLOOKUP(Movimientos_2026[[#This Row],[Codigo]],Plan_cuentas[],3,FALSE)," ")</f>
        <v>Transferencia</v>
      </c>
      <c r="G1392" t="str">
        <f>IFERROR(+VLOOKUP(Movimientos_2026[[#This Row],[Codigo]],Plan_cuentas[],4,FALSE)," ")</f>
        <v>Rentas</v>
      </c>
      <c r="H1392" t="str">
        <f>IFERROR(+VLOOKUP(Movimientos_2026[[#This Row],[Codigo]],Plan_cuentas[],5,FALSE)," ")</f>
        <v>BAPRO</v>
      </c>
      <c r="I1392" s="43">
        <v>46082</v>
      </c>
      <c r="J1392" t="s">
        <v>609</v>
      </c>
      <c r="K1392" t="str">
        <f>IFERROR(+VLOOKUP(Movimientos_2026[[#This Row],[Codigo]],Plan_cuentas[],6,FALSE)," ")</f>
        <v>2 - PR - Plan Rombo</v>
      </c>
      <c r="L1392" s="50"/>
      <c r="M1392" s="52">
        <v>14314152.300000001</v>
      </c>
      <c r="N1392" s="20">
        <f>+Movimientos_2026[[#This Row],[Ingresos]]-Movimientos_2026[[#This Row],[Egresos]]</f>
        <v>-14314152.300000001</v>
      </c>
      <c r="O1392" s="20">
        <f>+O1391+Movimientos_2026[[#This Row],[Neto]]</f>
        <v>3876415829.1685452</v>
      </c>
    </row>
    <row r="1393" spans="1:15" x14ac:dyDescent="0.25">
      <c r="A1393" s="13">
        <v>46142</v>
      </c>
      <c r="B1393" s="12">
        <f>MONTH(Movimientos_2026[[#This Row],[Fecha]])</f>
        <v>4</v>
      </c>
      <c r="C1393" s="12" t="str">
        <f>VLOOKUP((WEEKDAY(Movimientos_2026[[#This Row],[Fecha]],2)),'5. Setup'!$D$6:$E$12,2,FALSE)</f>
        <v>Jue</v>
      </c>
      <c r="D1393">
        <v>2044462</v>
      </c>
      <c r="E1393" t="str">
        <f>IFERROR(+VLOOKUP(Movimientos_2026[[#This Row],[Codigo]],Plan_cuentas[],2,FALSE)," ")</f>
        <v>EGRESOS</v>
      </c>
      <c r="F1393" t="str">
        <f>IFERROR(+VLOOKUP(Movimientos_2026[[#This Row],[Codigo]],Plan_cuentas[],3,FALSE)," ")</f>
        <v>Transferencia</v>
      </c>
      <c r="G1393" t="str">
        <f>IFERROR(+VLOOKUP(Movimientos_2026[[#This Row],[Codigo]],Plan_cuentas[],4,FALSE)," ")</f>
        <v>Rentas</v>
      </c>
      <c r="H1393" t="str">
        <f>IFERROR(+VLOOKUP(Movimientos_2026[[#This Row],[Codigo]],Plan_cuentas[],5,FALSE)," ")</f>
        <v>MISIONES</v>
      </c>
      <c r="I1393" s="43">
        <v>46113</v>
      </c>
      <c r="J1393" t="s">
        <v>610</v>
      </c>
      <c r="K1393" t="str">
        <f>IFERROR(+VLOOKUP(Movimientos_2026[[#This Row],[Codigo]],Plan_cuentas[],6,FALSE)," ")</f>
        <v>2 - PR - Plan Rombo</v>
      </c>
      <c r="L1393" s="50"/>
      <c r="M1393" s="52">
        <v>7629</v>
      </c>
      <c r="N1393" s="20">
        <f>+Movimientos_2026[[#This Row],[Ingresos]]-Movimientos_2026[[#This Row],[Egresos]]</f>
        <v>-7629</v>
      </c>
      <c r="O1393" s="20">
        <f>+O1392+Movimientos_2026[[#This Row],[Neto]]</f>
        <v>3876408200.1685452</v>
      </c>
    </row>
    <row r="1394" spans="1:15" x14ac:dyDescent="0.25">
      <c r="A1394" s="13">
        <v>46142</v>
      </c>
      <c r="B1394" s="12">
        <f>MONTH(Movimientos_2026[[#This Row],[Fecha]])</f>
        <v>4</v>
      </c>
      <c r="C1394" s="12" t="str">
        <f>VLOOKUP((WEEKDAY(Movimientos_2026[[#This Row],[Fecha]],2)),'5. Setup'!$D$6:$E$12,2,FALSE)</f>
        <v>Jue</v>
      </c>
      <c r="D1394">
        <v>2044462</v>
      </c>
      <c r="E1394" t="str">
        <f>IFERROR(+VLOOKUP(Movimientos_2026[[#This Row],[Codigo]],Plan_cuentas[],2,FALSE)," ")</f>
        <v>EGRESOS</v>
      </c>
      <c r="F1394" t="str">
        <f>IFERROR(+VLOOKUP(Movimientos_2026[[#This Row],[Codigo]],Plan_cuentas[],3,FALSE)," ")</f>
        <v>Transferencia</v>
      </c>
      <c r="G1394" t="str">
        <f>IFERROR(+VLOOKUP(Movimientos_2026[[#This Row],[Codigo]],Plan_cuentas[],4,FALSE)," ")</f>
        <v>Rentas</v>
      </c>
      <c r="H1394" t="str">
        <f>IFERROR(+VLOOKUP(Movimientos_2026[[#This Row],[Codigo]],Plan_cuentas[],5,FALSE)," ")</f>
        <v>MISIONES</v>
      </c>
      <c r="I1394" s="43">
        <v>46082</v>
      </c>
      <c r="J1394" t="s">
        <v>611</v>
      </c>
      <c r="K1394" t="str">
        <f>IFERROR(+VLOOKUP(Movimientos_2026[[#This Row],[Codigo]],Plan_cuentas[],6,FALSE)," ")</f>
        <v>2 - PR - Plan Rombo</v>
      </c>
      <c r="L1394" s="50"/>
      <c r="M1394" s="52">
        <v>15479181.9</v>
      </c>
      <c r="N1394" s="20">
        <f>+Movimientos_2026[[#This Row],[Ingresos]]-Movimientos_2026[[#This Row],[Egresos]]</f>
        <v>-15479181.9</v>
      </c>
      <c r="O1394" s="20">
        <f>+O1393+Movimientos_2026[[#This Row],[Neto]]</f>
        <v>3860929018.2685452</v>
      </c>
    </row>
    <row r="1395" spans="1:15" x14ac:dyDescent="0.25">
      <c r="A1395" s="13">
        <v>46142</v>
      </c>
      <c r="B1395" s="12">
        <f>MONTH(Movimientos_2026[[#This Row],[Fecha]])</f>
        <v>4</v>
      </c>
      <c r="C1395" s="12" t="str">
        <f>VLOOKUP((WEEKDAY(Movimientos_2026[[#This Row],[Fecha]],2)),'5. Setup'!$D$6:$E$12,2,FALSE)</f>
        <v>Jue</v>
      </c>
      <c r="D1395">
        <v>1045474</v>
      </c>
      <c r="E1395" t="str">
        <f>IFERROR(+VLOOKUP(Movimientos_2026[[#This Row],[Codigo]],Plan_cuentas[],2,FALSE)," ")</f>
        <v>INGRESOS</v>
      </c>
      <c r="F1395" t="str">
        <f>IFERROR(+VLOOKUP(Movimientos_2026[[#This Row],[Codigo]],Plan_cuentas[],3,FALSE)," ")</f>
        <v>Transferencia</v>
      </c>
      <c r="G1395" t="str">
        <f>IFERROR(+VLOOKUP(Movimientos_2026[[#This Row],[Codigo]],Plan_cuentas[],4,FALSE)," ")</f>
        <v>Factura</v>
      </c>
      <c r="H1395" t="str">
        <f>IFERROR(+VLOOKUP(Movimientos_2026[[#This Row],[Codigo]],Plan_cuentas[],5,FALSE)," ")</f>
        <v>FC HONORARIOS</v>
      </c>
      <c r="I1395" s="43">
        <v>46054</v>
      </c>
      <c r="J1395" t="s">
        <v>612</v>
      </c>
      <c r="K1395" t="str">
        <f>IFERROR(+VLOOKUP(Movimientos_2026[[#This Row],[Codigo]],Plan_cuentas[],6,FALSE)," ")</f>
        <v>4 - FCA - Fiat</v>
      </c>
      <c r="L1395" s="50">
        <v>1984460.28</v>
      </c>
      <c r="M1395" s="52"/>
      <c r="N1395" s="20">
        <f>+Movimientos_2026[[#This Row],[Ingresos]]-Movimientos_2026[[#This Row],[Egresos]]</f>
        <v>1984460.28</v>
      </c>
      <c r="O1395" s="20">
        <f>+O1394+Movimientos_2026[[#This Row],[Neto]]</f>
        <v>3862913478.5485454</v>
      </c>
    </row>
    <row r="1396" spans="1:15" x14ac:dyDescent="0.25">
      <c r="A1396" s="13">
        <v>46142</v>
      </c>
      <c r="B1396" s="12">
        <f>MONTH(Movimientos_2026[[#This Row],[Fecha]])</f>
        <v>4</v>
      </c>
      <c r="C1396" s="12" t="str">
        <f>VLOOKUP((WEEKDAY(Movimientos_2026[[#This Row],[Fecha]],2)),'5. Setup'!$D$6:$E$12,2,FALSE)</f>
        <v>Jue</v>
      </c>
      <c r="D1396">
        <v>1044486</v>
      </c>
      <c r="E1396" t="str">
        <f>IFERROR(+VLOOKUP(Movimientos_2026[[#This Row],[Codigo]],Plan_cuentas[],2,FALSE)," ")</f>
        <v>INGRESOS</v>
      </c>
      <c r="F1396" t="str">
        <f>IFERROR(+VLOOKUP(Movimientos_2026[[#This Row],[Codigo]],Plan_cuentas[],3,FALSE)," ")</f>
        <v>Transferencia</v>
      </c>
      <c r="G1396" t="str">
        <f>IFERROR(+VLOOKUP(Movimientos_2026[[#This Row],[Codigo]],Plan_cuentas[],4,FALSE)," ")</f>
        <v>Factura</v>
      </c>
      <c r="H1396" t="str">
        <f>IFERROR(+VLOOKUP(Movimientos_2026[[#This Row],[Codigo]],Plan_cuentas[],5,FALSE)," ")</f>
        <v>FC TRAMITACION</v>
      </c>
      <c r="I1396" s="43">
        <v>46054</v>
      </c>
      <c r="J1396" t="s">
        <v>613</v>
      </c>
      <c r="K1396" t="str">
        <f>IFERROR(+VLOOKUP(Movimientos_2026[[#This Row],[Codigo]],Plan_cuentas[],6,FALSE)," ")</f>
        <v>6 - FCAtr - Fiat Transf.</v>
      </c>
      <c r="L1396" s="50">
        <v>27830262.239999998</v>
      </c>
      <c r="M1396" s="52"/>
      <c r="N1396" s="20">
        <f>+Movimientos_2026[[#This Row],[Ingresos]]-Movimientos_2026[[#This Row],[Egresos]]</f>
        <v>27830262.239999998</v>
      </c>
      <c r="O1396" s="20">
        <f>+O1395+Movimientos_2026[[#This Row],[Neto]]</f>
        <v>3890743740.7885451</v>
      </c>
    </row>
    <row r="1397" spans="1:15" x14ac:dyDescent="0.25">
      <c r="A1397" s="13">
        <v>46142</v>
      </c>
      <c r="B1397" s="12">
        <f>MONTH(Movimientos_2026[[#This Row],[Fecha]])</f>
        <v>4</v>
      </c>
      <c r="C1397" s="12" t="str">
        <f>VLOOKUP((WEEKDAY(Movimientos_2026[[#This Row],[Fecha]],2)),'5. Setup'!$D$6:$E$12,2,FALSE)</f>
        <v>Jue</v>
      </c>
      <c r="D1397">
        <v>1045474</v>
      </c>
      <c r="E1397" t="str">
        <f>IFERROR(+VLOOKUP(Movimientos_2026[[#This Row],[Codigo]],Plan_cuentas[],2,FALSE)," ")</f>
        <v>INGRESOS</v>
      </c>
      <c r="F1397" t="str">
        <f>IFERROR(+VLOOKUP(Movimientos_2026[[#This Row],[Codigo]],Plan_cuentas[],3,FALSE)," ")</f>
        <v>Transferencia</v>
      </c>
      <c r="G1397" t="str">
        <f>IFERROR(+VLOOKUP(Movimientos_2026[[#This Row],[Codigo]],Plan_cuentas[],4,FALSE)," ")</f>
        <v>Factura</v>
      </c>
      <c r="H1397" t="str">
        <f>IFERROR(+VLOOKUP(Movimientos_2026[[#This Row],[Codigo]],Plan_cuentas[],5,FALSE)," ")</f>
        <v>FC HONORARIOS</v>
      </c>
      <c r="I1397" s="43">
        <v>46054</v>
      </c>
      <c r="J1397" t="s">
        <v>614</v>
      </c>
      <c r="K1397" t="str">
        <f>IFERROR(+VLOOKUP(Movimientos_2026[[#This Row],[Codigo]],Plan_cuentas[],6,FALSE)," ")</f>
        <v>4 - FCA - Fiat</v>
      </c>
      <c r="L1397" s="50">
        <v>4004769.57</v>
      </c>
      <c r="M1397" s="50"/>
      <c r="N1397" s="20">
        <f>+Movimientos_2026[[#This Row],[Ingresos]]-Movimientos_2026[[#This Row],[Egresos]]</f>
        <v>4004769.57</v>
      </c>
      <c r="O1397" s="20">
        <f>+O1396+Movimientos_2026[[#This Row],[Neto]]</f>
        <v>3894748510.3585453</v>
      </c>
    </row>
    <row r="1398" spans="1:15" x14ac:dyDescent="0.25">
      <c r="A1398" s="13">
        <v>46142</v>
      </c>
      <c r="B1398" s="12">
        <f>MONTH(Movimientos_2026[[#This Row],[Fecha]])</f>
        <v>4</v>
      </c>
      <c r="C1398" s="12" t="str">
        <f>VLOOKUP((WEEKDAY(Movimientos_2026[[#This Row],[Fecha]],2)),'5. Setup'!$D$6:$E$12,2,FALSE)</f>
        <v>Jue</v>
      </c>
      <c r="D1398">
        <v>1044126</v>
      </c>
      <c r="E1398" t="str">
        <f>IFERROR(+VLOOKUP(Movimientos_2026[[#This Row],[Codigo]],Plan_cuentas[],2,FALSE)," ")</f>
        <v>INGRESOS</v>
      </c>
      <c r="F1398" t="str">
        <f>IFERROR(+VLOOKUP(Movimientos_2026[[#This Row],[Codigo]],Plan_cuentas[],3,FALSE)," ")</f>
        <v>Transferencia</v>
      </c>
      <c r="G1398" t="str">
        <f>IFERROR(+VLOOKUP(Movimientos_2026[[#This Row],[Codigo]],Plan_cuentas[],4,FALSE)," ")</f>
        <v>Rentas</v>
      </c>
      <c r="H1398" t="str">
        <f>IFERROR(+VLOOKUP(Movimientos_2026[[#This Row],[Codigo]],Plan_cuentas[],5,FALSE)," ")</f>
        <v>BAPRO</v>
      </c>
      <c r="I1398" s="43">
        <v>46054</v>
      </c>
      <c r="J1398" t="s">
        <v>615</v>
      </c>
      <c r="K1398" t="str">
        <f>IFERROR(+VLOOKUP(Movimientos_2026[[#This Row],[Codigo]],Plan_cuentas[],6,FALSE)," ")</f>
        <v>6 - FCAtr - Fiat Transf.</v>
      </c>
      <c r="L1398" s="50">
        <v>17718882.399999999</v>
      </c>
      <c r="M1398" s="50"/>
      <c r="N1398" s="20">
        <f>+Movimientos_2026[[#This Row],[Ingresos]]-Movimientos_2026[[#This Row],[Egresos]]</f>
        <v>17718882.399999999</v>
      </c>
      <c r="O1398" s="20">
        <f>+O1397+Movimientos_2026[[#This Row],[Neto]]</f>
        <v>3912467392.7585454</v>
      </c>
    </row>
    <row r="1399" spans="1:15" x14ac:dyDescent="0.25">
      <c r="A1399" s="13">
        <v>46142</v>
      </c>
      <c r="B1399" s="12">
        <f>MONTH(Movimientos_2026[[#This Row],[Fecha]])</f>
        <v>4</v>
      </c>
      <c r="C1399" s="12" t="str">
        <f>VLOOKUP((WEEKDAY(Movimientos_2026[[#This Row],[Fecha]],2)),'5. Setup'!$D$6:$E$12,2,FALSE)</f>
        <v>Jue</v>
      </c>
      <c r="D1399">
        <v>1043156</v>
      </c>
      <c r="E1399" t="str">
        <f>IFERROR(+VLOOKUP(Movimientos_2026[[#This Row],[Codigo]],Plan_cuentas[],2,FALSE)," ")</f>
        <v>INGRESOS</v>
      </c>
      <c r="F1399" t="str">
        <f>IFERROR(+VLOOKUP(Movimientos_2026[[#This Row],[Codigo]],Plan_cuentas[],3,FALSE)," ")</f>
        <v>Transferencia</v>
      </c>
      <c r="G1399" t="str">
        <f>IFERROR(+VLOOKUP(Movimientos_2026[[#This Row],[Codigo]],Plan_cuentas[],4,FALSE)," ")</f>
        <v>Registración</v>
      </c>
      <c r="H1399" t="str">
        <f>IFERROR(+VLOOKUP(Movimientos_2026[[#This Row],[Codigo]],Plan_cuentas[],5,FALSE)," ")</f>
        <v>CABA</v>
      </c>
      <c r="I1399" s="43">
        <v>46054</v>
      </c>
      <c r="J1399" t="s">
        <v>615</v>
      </c>
      <c r="K1399" t="str">
        <f>IFERROR(+VLOOKUP(Movimientos_2026[[#This Row],[Codigo]],Plan_cuentas[],6,FALSE)," ")</f>
        <v>6 - FCAtr - Fiat Transf.</v>
      </c>
      <c r="L1399" s="50">
        <v>9190451.7899999991</v>
      </c>
      <c r="M1399" s="50"/>
      <c r="N1399" s="20">
        <f>+Movimientos_2026[[#This Row],[Ingresos]]-Movimientos_2026[[#This Row],[Egresos]]</f>
        <v>9190451.7899999991</v>
      </c>
      <c r="O1399" s="20">
        <f>+O1398+Movimientos_2026[[#This Row],[Neto]]</f>
        <v>3921657844.5485454</v>
      </c>
    </row>
    <row r="1400" spans="1:15" x14ac:dyDescent="0.25">
      <c r="A1400" s="13">
        <v>46142</v>
      </c>
      <c r="B1400" s="12">
        <f>MONTH(Movimientos_2026[[#This Row],[Fecha]])</f>
        <v>4</v>
      </c>
      <c r="C1400" s="12" t="str">
        <f>VLOOKUP((WEEKDAY(Movimientos_2026[[#This Row],[Fecha]],2)),'5. Setup'!$D$6:$E$12,2,FALSE)</f>
        <v>Jue</v>
      </c>
      <c r="D1400">
        <v>1043176</v>
      </c>
      <c r="E1400" t="str">
        <f>IFERROR(+VLOOKUP(Movimientos_2026[[#This Row],[Codigo]],Plan_cuentas[],2,FALSE)," ")</f>
        <v>INGRESOS</v>
      </c>
      <c r="F1400" t="str">
        <f>IFERROR(+VLOOKUP(Movimientos_2026[[#This Row],[Codigo]],Plan_cuentas[],3,FALSE)," ")</f>
        <v>Transferencia</v>
      </c>
      <c r="G1400" t="str">
        <f>IFERROR(+VLOOKUP(Movimientos_2026[[#This Row],[Codigo]],Plan_cuentas[],4,FALSE)," ")</f>
        <v>Registración</v>
      </c>
      <c r="H1400" t="str">
        <f>IFERROR(+VLOOKUP(Movimientos_2026[[#This Row],[Codigo]],Plan_cuentas[],5,FALSE)," ")</f>
        <v>CHUBUT</v>
      </c>
      <c r="I1400" s="43">
        <v>46054</v>
      </c>
      <c r="J1400" t="s">
        <v>615</v>
      </c>
      <c r="K1400" t="str">
        <f>IFERROR(+VLOOKUP(Movimientos_2026[[#This Row],[Codigo]],Plan_cuentas[],6,FALSE)," ")</f>
        <v>6 - FCAtr - Fiat Transf.</v>
      </c>
      <c r="L1400" s="50">
        <v>572943.52</v>
      </c>
      <c r="M1400" s="50"/>
      <c r="N1400" s="20">
        <f>+Movimientos_2026[[#This Row],[Ingresos]]-Movimientos_2026[[#This Row],[Egresos]]</f>
        <v>572943.52</v>
      </c>
      <c r="O1400" s="20">
        <f>+O1399+Movimientos_2026[[#This Row],[Neto]]</f>
        <v>3922230788.0685453</v>
      </c>
    </row>
    <row r="1401" spans="1:15" x14ac:dyDescent="0.25">
      <c r="A1401" s="13">
        <v>46142</v>
      </c>
      <c r="B1401" s="12">
        <f>MONTH(Movimientos_2026[[#This Row],[Fecha]])</f>
        <v>4</v>
      </c>
      <c r="C1401" s="12" t="str">
        <f>VLOOKUP((WEEKDAY(Movimientos_2026[[#This Row],[Fecha]],2)),'5. Setup'!$D$6:$E$12,2,FALSE)</f>
        <v>Jue</v>
      </c>
      <c r="D1401">
        <v>1043226</v>
      </c>
      <c r="E1401" t="str">
        <f>IFERROR(+VLOOKUP(Movimientos_2026[[#This Row],[Codigo]],Plan_cuentas[],2,FALSE)," ")</f>
        <v>INGRESOS</v>
      </c>
      <c r="F1401" t="str">
        <f>IFERROR(+VLOOKUP(Movimientos_2026[[#This Row],[Codigo]],Plan_cuentas[],3,FALSE)," ")</f>
        <v>Transferencia</v>
      </c>
      <c r="G1401" t="str">
        <f>IFERROR(+VLOOKUP(Movimientos_2026[[#This Row],[Codigo]],Plan_cuentas[],4,FALSE)," ")</f>
        <v>Registración</v>
      </c>
      <c r="H1401" t="str">
        <f>IFERROR(+VLOOKUP(Movimientos_2026[[#This Row],[Codigo]],Plan_cuentas[],5,FALSE)," ")</f>
        <v>ENTRE RIOS 1° Q</v>
      </c>
      <c r="I1401" s="43">
        <v>46082</v>
      </c>
      <c r="J1401" t="s">
        <v>615</v>
      </c>
      <c r="K1401" t="str">
        <f>IFERROR(+VLOOKUP(Movimientos_2026[[#This Row],[Codigo]],Plan_cuentas[],6,FALSE)," ")</f>
        <v>6 - FCAtr - Fiat Transf.</v>
      </c>
      <c r="L1401" s="50">
        <v>135271.47</v>
      </c>
      <c r="M1401" s="50"/>
      <c r="N1401" s="20">
        <f>+Movimientos_2026[[#This Row],[Ingresos]]-Movimientos_2026[[#This Row],[Egresos]]</f>
        <v>135271.47</v>
      </c>
      <c r="O1401" s="20">
        <f>+O1400+Movimientos_2026[[#This Row],[Neto]]</f>
        <v>3922366059.5385451</v>
      </c>
    </row>
    <row r="1402" spans="1:15" x14ac:dyDescent="0.25">
      <c r="A1402" s="13">
        <v>46142</v>
      </c>
      <c r="B1402" s="12">
        <f>MONTH(Movimientos_2026[[#This Row],[Fecha]])</f>
        <v>4</v>
      </c>
      <c r="C1402" s="12" t="str">
        <f>VLOOKUP((WEEKDAY(Movimientos_2026[[#This Row],[Fecha]],2)),'5. Setup'!$D$6:$E$12,2,FALSE)</f>
        <v>Jue</v>
      </c>
      <c r="D1402">
        <v>1044246</v>
      </c>
      <c r="E1402" t="str">
        <f>IFERROR(+VLOOKUP(Movimientos_2026[[#This Row],[Codigo]],Plan_cuentas[],2,FALSE)," ")</f>
        <v>INGRESOS</v>
      </c>
      <c r="F1402" t="str">
        <f>IFERROR(+VLOOKUP(Movimientos_2026[[#This Row],[Codigo]],Plan_cuentas[],3,FALSE)," ")</f>
        <v>Transferencia</v>
      </c>
      <c r="G1402" t="str">
        <f>IFERROR(+VLOOKUP(Movimientos_2026[[#This Row],[Codigo]],Plan_cuentas[],4,FALSE)," ")</f>
        <v>Rentas</v>
      </c>
      <c r="H1402" t="str">
        <f>IFERROR(+VLOOKUP(Movimientos_2026[[#This Row],[Codigo]],Plan_cuentas[],5,FALSE)," ")</f>
        <v>FORMOSA</v>
      </c>
      <c r="I1402" s="43">
        <v>46054</v>
      </c>
      <c r="J1402" t="s">
        <v>615</v>
      </c>
      <c r="K1402" t="str">
        <f>IFERROR(+VLOOKUP(Movimientos_2026[[#This Row],[Codigo]],Plan_cuentas[],6,FALSE)," ")</f>
        <v>6 - FCAtr - Fiat Transf.</v>
      </c>
      <c r="L1402" s="50">
        <v>375324.98</v>
      </c>
      <c r="M1402" s="50"/>
      <c r="N1402" s="20">
        <f>+Movimientos_2026[[#This Row],[Ingresos]]-Movimientos_2026[[#This Row],[Egresos]]</f>
        <v>375324.98</v>
      </c>
      <c r="O1402" s="20">
        <f>+O1401+Movimientos_2026[[#This Row],[Neto]]</f>
        <v>3922741384.5185452</v>
      </c>
    </row>
    <row r="1403" spans="1:15" x14ac:dyDescent="0.25">
      <c r="A1403" s="13">
        <v>46142</v>
      </c>
      <c r="B1403" s="12">
        <f>MONTH(Movimientos_2026[[#This Row],[Fecha]])</f>
        <v>4</v>
      </c>
      <c r="C1403" s="12" t="str">
        <f>VLOOKUP((WEEKDAY(Movimientos_2026[[#This Row],[Fecha]],2)),'5. Setup'!$D$6:$E$12,2,FALSE)</f>
        <v>Jue</v>
      </c>
      <c r="D1403">
        <v>1044366</v>
      </c>
      <c r="E1403" t="str">
        <f>IFERROR(+VLOOKUP(Movimientos_2026[[#This Row],[Codigo]],Plan_cuentas[],2,FALSE)," ")</f>
        <v>INGRESOS</v>
      </c>
      <c r="F1403" t="str">
        <f>IFERROR(+VLOOKUP(Movimientos_2026[[#This Row],[Codigo]],Plan_cuentas[],3,FALSE)," ")</f>
        <v>Transferencia</v>
      </c>
      <c r="G1403" t="str">
        <f>IFERROR(+VLOOKUP(Movimientos_2026[[#This Row],[Codigo]],Plan_cuentas[],4,FALSE)," ")</f>
        <v>Rentas</v>
      </c>
      <c r="H1403" t="str">
        <f>IFERROR(+VLOOKUP(Movimientos_2026[[#This Row],[Codigo]],Plan_cuentas[],5,FALSE)," ")</f>
        <v>SAN LUIS</v>
      </c>
      <c r="I1403" s="43">
        <v>46054</v>
      </c>
      <c r="J1403" t="s">
        <v>615</v>
      </c>
      <c r="K1403" t="str">
        <f>IFERROR(+VLOOKUP(Movimientos_2026[[#This Row],[Codigo]],Plan_cuentas[],6,FALSE)," ")</f>
        <v>6 - FCAtr - Fiat Transf.</v>
      </c>
      <c r="L1403" s="50">
        <v>599044</v>
      </c>
      <c r="M1403" s="50"/>
      <c r="N1403" s="20">
        <f>+Movimientos_2026[[#This Row],[Ingresos]]-Movimientos_2026[[#This Row],[Egresos]]</f>
        <v>599044</v>
      </c>
      <c r="O1403" s="20">
        <f>+O1402+Movimientos_2026[[#This Row],[Neto]]</f>
        <v>3923340428.5185452</v>
      </c>
    </row>
    <row r="1404" spans="1:15" x14ac:dyDescent="0.25">
      <c r="A1404" s="13">
        <v>46142</v>
      </c>
      <c r="B1404" s="12">
        <f>MONTH(Movimientos_2026[[#This Row],[Fecha]])</f>
        <v>4</v>
      </c>
      <c r="C1404" s="12" t="str">
        <f>VLOOKUP((WEEKDAY(Movimientos_2026[[#This Row],[Fecha]],2)),'5. Setup'!$D$6:$E$12,2,FALSE)</f>
        <v>Jue</v>
      </c>
      <c r="D1404">
        <v>1043376</v>
      </c>
      <c r="E1404" t="str">
        <f>IFERROR(+VLOOKUP(Movimientos_2026[[#This Row],[Codigo]],Plan_cuentas[],2,FALSE)," ")</f>
        <v>INGRESOS</v>
      </c>
      <c r="F1404" t="str">
        <f>IFERROR(+VLOOKUP(Movimientos_2026[[#This Row],[Codigo]],Plan_cuentas[],3,FALSE)," ")</f>
        <v>Transferencia</v>
      </c>
      <c r="G1404" t="str">
        <f>IFERROR(+VLOOKUP(Movimientos_2026[[#This Row],[Codigo]],Plan_cuentas[],4,FALSE)," ")</f>
        <v>Registración</v>
      </c>
      <c r="H1404" t="str">
        <f>IFERROR(+VLOOKUP(Movimientos_2026[[#This Row],[Codigo]],Plan_cuentas[],5,FALSE)," ")</f>
        <v>SANTA CRUZ</v>
      </c>
      <c r="I1404" s="43">
        <v>46054</v>
      </c>
      <c r="J1404" t="s">
        <v>615</v>
      </c>
      <c r="K1404" t="str">
        <f>IFERROR(+VLOOKUP(Movimientos_2026[[#This Row],[Codigo]],Plan_cuentas[],6,FALSE)," ")</f>
        <v>6 - FCAtr - Fiat Transf.</v>
      </c>
      <c r="L1404" s="50">
        <v>398837.89</v>
      </c>
      <c r="M1404" s="50"/>
      <c r="N1404" s="20">
        <f>+Movimientos_2026[[#This Row],[Ingresos]]-Movimientos_2026[[#This Row],[Egresos]]</f>
        <v>398837.89</v>
      </c>
      <c r="O1404" s="20">
        <f>+O1403+Movimientos_2026[[#This Row],[Neto]]</f>
        <v>3923739266.408545</v>
      </c>
    </row>
    <row r="1405" spans="1:15" x14ac:dyDescent="0.25">
      <c r="A1405" s="13">
        <v>46142</v>
      </c>
      <c r="B1405" s="12">
        <f>MONTH(Movimientos_2026[[#This Row],[Fecha]])</f>
        <v>4</v>
      </c>
      <c r="C1405" s="12" t="str">
        <f>VLOOKUP((WEEKDAY(Movimientos_2026[[#This Row],[Fecha]],2)),'5. Setup'!$D$6:$E$12,2,FALSE)</f>
        <v>Jue</v>
      </c>
      <c r="D1405">
        <v>1043386</v>
      </c>
      <c r="E1405" t="str">
        <f>IFERROR(+VLOOKUP(Movimientos_2026[[#This Row],[Codigo]],Plan_cuentas[],2,FALSE)," ")</f>
        <v>INGRESOS</v>
      </c>
      <c r="F1405" t="str">
        <f>IFERROR(+VLOOKUP(Movimientos_2026[[#This Row],[Codigo]],Plan_cuentas[],3,FALSE)," ")</f>
        <v>Transferencia</v>
      </c>
      <c r="G1405" t="str">
        <f>IFERROR(+VLOOKUP(Movimientos_2026[[#This Row],[Codigo]],Plan_cuentas[],4,FALSE)," ")</f>
        <v>Registración</v>
      </c>
      <c r="H1405" t="str">
        <f>IFERROR(+VLOOKUP(Movimientos_2026[[#This Row],[Codigo]],Plan_cuentas[],5,FALSE)," ")</f>
        <v>SANTA FE 1° Q</v>
      </c>
      <c r="I1405" s="43">
        <v>46082</v>
      </c>
      <c r="J1405" t="s">
        <v>615</v>
      </c>
      <c r="K1405" t="str">
        <f>IFERROR(+VLOOKUP(Movimientos_2026[[#This Row],[Codigo]],Plan_cuentas[],6,FALSE)," ")</f>
        <v>6 - FCAtr - Fiat Transf.</v>
      </c>
      <c r="L1405" s="50">
        <v>1844133.05</v>
      </c>
      <c r="M1405" s="50"/>
      <c r="N1405" s="20">
        <f>+Movimientos_2026[[#This Row],[Ingresos]]-Movimientos_2026[[#This Row],[Egresos]]</f>
        <v>1844133.05</v>
      </c>
      <c r="O1405" s="20">
        <f>+O1404+Movimientos_2026[[#This Row],[Neto]]</f>
        <v>3925583399.4585452</v>
      </c>
    </row>
    <row r="1406" spans="1:15" x14ac:dyDescent="0.25">
      <c r="A1406" s="13">
        <v>46143</v>
      </c>
      <c r="B1406" s="12">
        <f>MONTH(Movimientos_2026[[#This Row],[Fecha]])</f>
        <v>5</v>
      </c>
      <c r="C1406" s="12" t="str">
        <f>VLOOKUP((WEEKDAY(Movimientos_2026[[#This Row],[Fecha]],2)),'5. Setup'!$D$6:$E$12,2,FALSE)</f>
        <v>Vie</v>
      </c>
      <c r="D1406">
        <v>3000000</v>
      </c>
      <c r="E1406" t="str">
        <f>IFERROR(+VLOOKUP(Movimientos_2026[[#This Row],[Codigo]],Plan_cuentas[],2,FALSE)," ")</f>
        <v>SALDO INICIAL</v>
      </c>
      <c r="F1406" t="str">
        <f>IFERROR(+VLOOKUP(Movimientos_2026[[#This Row],[Codigo]],Plan_cuentas[],3,FALSE)," ")</f>
        <v xml:space="preserve"> </v>
      </c>
      <c r="G1406" t="str">
        <f>IFERROR(+VLOOKUP(Movimientos_2026[[#This Row],[Codigo]],Plan_cuentas[],4,FALSE)," ")</f>
        <v xml:space="preserve"> </v>
      </c>
      <c r="I1406" s="43"/>
      <c r="K1406" t="str">
        <f>IFERROR(+VLOOKUP(Movimientos_2026[[#This Row],[Codigo]],Plan_cuentas[],6,FALSE)," ")</f>
        <v xml:space="preserve">     </v>
      </c>
      <c r="L1406" s="50"/>
      <c r="M1406" s="52"/>
      <c r="N1406" s="20">
        <f>+Movimientos_2026[[#This Row],[Ingresos]]-Movimientos_2026[[#This Row],[Egresos]]</f>
        <v>0</v>
      </c>
      <c r="O1406" s="20">
        <f>+O1405+Movimientos_2026[[#This Row],[Neto]]</f>
        <v>3925583399.4585452</v>
      </c>
    </row>
    <row r="1407" spans="1:15" x14ac:dyDescent="0.25">
      <c r="A1407" s="13">
        <v>46146</v>
      </c>
      <c r="B1407" s="12">
        <f>MONTH(Movimientos_2026[[#This Row],[Fecha]])</f>
        <v>5</v>
      </c>
      <c r="C1407" s="12" t="str">
        <f>VLOOKUP((WEEKDAY(Movimientos_2026[[#This Row],[Fecha]],2)),'5. Setup'!$D$6:$E$12,2,FALSE)</f>
        <v>Lun</v>
      </c>
      <c r="D1407">
        <v>2044122</v>
      </c>
      <c r="E1407" t="str">
        <f>IFERROR(+VLOOKUP(Movimientos_2026[[#This Row],[Codigo]],Plan_cuentas[],2,FALSE)," ")</f>
        <v>EGRESOS</v>
      </c>
      <c r="F1407" t="str">
        <f>IFERROR(+VLOOKUP(Movimientos_2026[[#This Row],[Codigo]],Plan_cuentas[],3,FALSE)," ")</f>
        <v>Transferencia</v>
      </c>
      <c r="G1407" t="str">
        <f>IFERROR(+VLOOKUP(Movimientos_2026[[#This Row],[Codigo]],Plan_cuentas[],4,FALSE)," ")</f>
        <v>Rentas</v>
      </c>
      <c r="H1407" t="str">
        <f>IFERROR(+VLOOKUP(Movimientos_2026[[#This Row],[Codigo]],Plan_cuentas[],5,FALSE)," ")</f>
        <v>BAPRO</v>
      </c>
      <c r="I1407" s="43">
        <v>46082</v>
      </c>
      <c r="J1407" t="s">
        <v>616</v>
      </c>
      <c r="K1407" t="str">
        <f>IFERROR(+VLOOKUP(Movimientos_2026[[#This Row],[Codigo]],Plan_cuentas[],6,FALSE)," ")</f>
        <v>2 - PR - Plan Rombo</v>
      </c>
      <c r="L1407" s="50"/>
      <c r="M1407" s="52">
        <v>16061005.4</v>
      </c>
      <c r="N1407" s="20">
        <f>+Movimientos_2026[[#This Row],[Ingresos]]-Movimientos_2026[[#This Row],[Egresos]]</f>
        <v>-16061005.4</v>
      </c>
      <c r="O1407" s="20">
        <f>+O1406+Movimientos_2026[[#This Row],[Neto]]</f>
        <v>3909522394.0585451</v>
      </c>
    </row>
    <row r="1408" spans="1:15" x14ac:dyDescent="0.25">
      <c r="A1408" s="13">
        <v>46146</v>
      </c>
      <c r="B1408" s="12">
        <f>MONTH(Movimientos_2026[[#This Row],[Fecha]])</f>
        <v>5</v>
      </c>
      <c r="C1408" s="12" t="str">
        <f>VLOOKUP((WEEKDAY(Movimientos_2026[[#This Row],[Fecha]],2)),'5. Setup'!$D$6:$E$12,2,FALSE)</f>
        <v>Lun</v>
      </c>
      <c r="D1408">
        <v>2044122</v>
      </c>
      <c r="E1408" t="str">
        <f>IFERROR(+VLOOKUP(Movimientos_2026[[#This Row],[Codigo]],Plan_cuentas[],2,FALSE)," ")</f>
        <v>EGRESOS</v>
      </c>
      <c r="F1408" t="str">
        <f>IFERROR(+VLOOKUP(Movimientos_2026[[#This Row],[Codigo]],Plan_cuentas[],3,FALSE)," ")</f>
        <v>Transferencia</v>
      </c>
      <c r="G1408" t="str">
        <f>IFERROR(+VLOOKUP(Movimientos_2026[[#This Row],[Codigo]],Plan_cuentas[],4,FALSE)," ")</f>
        <v>Rentas</v>
      </c>
      <c r="H1408" t="str">
        <f>IFERROR(+VLOOKUP(Movimientos_2026[[#This Row],[Codigo]],Plan_cuentas[],5,FALSE)," ")</f>
        <v>BAPRO</v>
      </c>
      <c r="I1408" s="43">
        <v>46082</v>
      </c>
      <c r="J1408" t="s">
        <v>617</v>
      </c>
      <c r="K1408" t="str">
        <f>IFERROR(+VLOOKUP(Movimientos_2026[[#This Row],[Codigo]],Plan_cuentas[],6,FALSE)," ")</f>
        <v>2 - PR - Plan Rombo</v>
      </c>
      <c r="L1408" s="50"/>
      <c r="M1408" s="52">
        <v>14737690.5</v>
      </c>
      <c r="N1408" s="20">
        <f>+Movimientos_2026[[#This Row],[Ingresos]]-Movimientos_2026[[#This Row],[Egresos]]</f>
        <v>-14737690.5</v>
      </c>
      <c r="O1408" s="20">
        <f>+O1407+Movimientos_2026[[#This Row],[Neto]]</f>
        <v>3894784703.5585451</v>
      </c>
    </row>
    <row r="1409" spans="1:15" x14ac:dyDescent="0.25">
      <c r="A1409" s="13">
        <v>46146</v>
      </c>
      <c r="B1409" s="12">
        <f>MONTH(Movimientos_2026[[#This Row],[Fecha]])</f>
        <v>5</v>
      </c>
      <c r="C1409" s="12" t="str">
        <f>VLOOKUP((WEEKDAY(Movimientos_2026[[#This Row],[Fecha]],2)),'5. Setup'!$D$6:$E$12,2,FALSE)</f>
        <v>Lun</v>
      </c>
      <c r="D1409">
        <v>1043142</v>
      </c>
      <c r="E1409" t="str">
        <f>IFERROR(+VLOOKUP(Movimientos_2026[[#This Row],[Codigo]],Plan_cuentas[],2,FALSE)," ")</f>
        <v>INGRESOS</v>
      </c>
      <c r="F1409" t="str">
        <f>IFERROR(+VLOOKUP(Movimientos_2026[[#This Row],[Codigo]],Plan_cuentas[],3,FALSE)," ")</f>
        <v>Transferencia</v>
      </c>
      <c r="G1409" t="str">
        <f>IFERROR(+VLOOKUP(Movimientos_2026[[#This Row],[Codigo]],Plan_cuentas[],4,FALSE)," ")</f>
        <v>Registración</v>
      </c>
      <c r="H1409" t="str">
        <f>IFERROR(+VLOOKUP(Movimientos_2026[[#This Row],[Codigo]],Plan_cuentas[],5,FALSE)," ")</f>
        <v>BUENOS AIRES</v>
      </c>
      <c r="I1409" s="43">
        <v>46113</v>
      </c>
      <c r="J1409" t="s">
        <v>618</v>
      </c>
      <c r="K1409" t="str">
        <f>IFERROR(+VLOOKUP(Movimientos_2026[[#This Row],[Codigo]],Plan_cuentas[],6,FALSE)," ")</f>
        <v>2 - PR - Plan Rombo</v>
      </c>
      <c r="L1409" s="50">
        <v>234059886.5</v>
      </c>
      <c r="M1409" s="50"/>
      <c r="N1409" s="20">
        <f>+Movimientos_2026[[#This Row],[Ingresos]]-Movimientos_2026[[#This Row],[Egresos]]</f>
        <v>234059886.5</v>
      </c>
      <c r="O1409" s="20">
        <f>+O1408+Movimientos_2026[[#This Row],[Neto]]</f>
        <v>4128844590.0585451</v>
      </c>
    </row>
    <row r="1410" spans="1:15" x14ac:dyDescent="0.25">
      <c r="A1410" s="13">
        <v>46146</v>
      </c>
      <c r="B1410" s="12">
        <f>MONTH(Movimientos_2026[[#This Row],[Fecha]])</f>
        <v>5</v>
      </c>
      <c r="C1410" s="12" t="str">
        <f>VLOOKUP((WEEKDAY(Movimientos_2026[[#This Row],[Fecha]],2)),'5. Setup'!$D$6:$E$12,2,FALSE)</f>
        <v>Lun</v>
      </c>
      <c r="D1410">
        <v>1045452</v>
      </c>
      <c r="E1410" t="str">
        <f>IFERROR(+VLOOKUP(Movimientos_2026[[#This Row],[Codigo]],Plan_cuentas[],2,FALSE)," ")</f>
        <v>INGRESOS</v>
      </c>
      <c r="F1410" t="str">
        <f>IFERROR(+VLOOKUP(Movimientos_2026[[#This Row],[Codigo]],Plan_cuentas[],3,FALSE)," ")</f>
        <v>Transferencia</v>
      </c>
      <c r="G1410" t="str">
        <f>IFERROR(+VLOOKUP(Movimientos_2026[[#This Row],[Codigo]],Plan_cuentas[],4,FALSE)," ")</f>
        <v>Factura</v>
      </c>
      <c r="H1410" t="str">
        <f>IFERROR(+VLOOKUP(Movimientos_2026[[#This Row],[Codigo]],Plan_cuentas[],5,FALSE)," ")</f>
        <v>FC DERECHOS</v>
      </c>
      <c r="I1410" s="43">
        <v>46113</v>
      </c>
      <c r="J1410" t="s">
        <v>619</v>
      </c>
      <c r="K1410" t="str">
        <f>IFERROR(+VLOOKUP(Movimientos_2026[[#This Row],[Codigo]],Plan_cuentas[],6,FALSE)," ")</f>
        <v>2 - PR - Plan Rombo</v>
      </c>
      <c r="L1410" s="50">
        <v>40993917.259999998</v>
      </c>
      <c r="M1410" s="52"/>
      <c r="N1410" s="20">
        <f>+Movimientos_2026[[#This Row],[Ingresos]]-Movimientos_2026[[#This Row],[Egresos]]</f>
        <v>40993917.259999998</v>
      </c>
      <c r="O1410" s="20">
        <f>+O1409+Movimientos_2026[[#This Row],[Neto]]</f>
        <v>4169838507.3185453</v>
      </c>
    </row>
    <row r="1411" spans="1:15" x14ac:dyDescent="0.25">
      <c r="A1411" s="13">
        <v>46146</v>
      </c>
      <c r="B1411" s="12">
        <f>MONTH(Movimientos_2026[[#This Row],[Fecha]])</f>
        <v>5</v>
      </c>
      <c r="C1411" s="12" t="str">
        <f>VLOOKUP((WEEKDAY(Movimientos_2026[[#This Row],[Fecha]],2)),'5. Setup'!$D$6:$E$12,2,FALSE)</f>
        <v>Lun</v>
      </c>
      <c r="D1411">
        <v>1043152</v>
      </c>
      <c r="E1411" t="str">
        <f>IFERROR(+VLOOKUP(Movimientos_2026[[#This Row],[Codigo]],Plan_cuentas[],2,FALSE)," ")</f>
        <v>INGRESOS</v>
      </c>
      <c r="F1411" t="str">
        <f>IFERROR(+VLOOKUP(Movimientos_2026[[#This Row],[Codigo]],Plan_cuentas[],3,FALSE)," ")</f>
        <v>Transferencia</v>
      </c>
      <c r="G1411" t="str">
        <f>IFERROR(+VLOOKUP(Movimientos_2026[[#This Row],[Codigo]],Plan_cuentas[],4,FALSE)," ")</f>
        <v>Registración</v>
      </c>
      <c r="H1411" t="str">
        <f>IFERROR(+VLOOKUP(Movimientos_2026[[#This Row],[Codigo]],Plan_cuentas[],5,FALSE)," ")</f>
        <v>CABA</v>
      </c>
      <c r="I1411" s="43">
        <v>46113</v>
      </c>
      <c r="J1411" t="s">
        <v>618</v>
      </c>
      <c r="K1411" t="str">
        <f>IFERROR(+VLOOKUP(Movimientos_2026[[#This Row],[Codigo]],Plan_cuentas[],6,FALSE)," ")</f>
        <v>2 - PR - Plan Rombo</v>
      </c>
      <c r="L1411" s="50">
        <v>53302065.299999997</v>
      </c>
      <c r="M1411" s="52"/>
      <c r="N1411" s="20">
        <f>+Movimientos_2026[[#This Row],[Ingresos]]-Movimientos_2026[[#This Row],[Egresos]]</f>
        <v>53302065.299999997</v>
      </c>
      <c r="O1411" s="20">
        <f>+O1410+Movimientos_2026[[#This Row],[Neto]]</f>
        <v>4223140572.6185455</v>
      </c>
    </row>
    <row r="1412" spans="1:15" x14ac:dyDescent="0.25">
      <c r="A1412" s="13">
        <v>46146</v>
      </c>
      <c r="B1412" s="12">
        <f>MONTH(Movimientos_2026[[#This Row],[Fecha]])</f>
        <v>5</v>
      </c>
      <c r="C1412" s="12" t="str">
        <f>VLOOKUP((WEEKDAY(Movimientos_2026[[#This Row],[Fecha]],2)),'5. Setup'!$D$6:$E$12,2,FALSE)</f>
        <v>Lun</v>
      </c>
      <c r="D1412">
        <v>1043222</v>
      </c>
      <c r="E1412" t="str">
        <f>IFERROR(+VLOOKUP(Movimientos_2026[[#This Row],[Codigo]],Plan_cuentas[],2,FALSE)," ")</f>
        <v>INGRESOS</v>
      </c>
      <c r="F1412" t="str">
        <f>IFERROR(+VLOOKUP(Movimientos_2026[[#This Row],[Codigo]],Plan_cuentas[],3,FALSE)," ")</f>
        <v>Transferencia</v>
      </c>
      <c r="G1412" t="str">
        <f>IFERROR(+VLOOKUP(Movimientos_2026[[#This Row],[Codigo]],Plan_cuentas[],4,FALSE)," ")</f>
        <v>Registración</v>
      </c>
      <c r="H1412" t="str">
        <f>IFERROR(+VLOOKUP(Movimientos_2026[[#This Row],[Codigo]],Plan_cuentas[],5,FALSE)," ")</f>
        <v>ENTRE RIOS 1° Q</v>
      </c>
      <c r="I1412" s="43">
        <v>46113</v>
      </c>
      <c r="J1412" t="s">
        <v>618</v>
      </c>
      <c r="K1412" t="str">
        <f>IFERROR(+VLOOKUP(Movimientos_2026[[#This Row],[Codigo]],Plan_cuentas[],6,FALSE)," ")</f>
        <v>2 - PR - Plan Rombo</v>
      </c>
      <c r="L1412" s="50">
        <v>13905003.5</v>
      </c>
      <c r="M1412" s="52"/>
      <c r="N1412" s="20">
        <f>+Movimientos_2026[[#This Row],[Ingresos]]-Movimientos_2026[[#This Row],[Egresos]]</f>
        <v>13905003.5</v>
      </c>
      <c r="O1412" s="20">
        <f>+O1411+Movimientos_2026[[#This Row],[Neto]]</f>
        <v>4237045576.1185455</v>
      </c>
    </row>
    <row r="1413" spans="1:15" x14ac:dyDescent="0.25">
      <c r="A1413" s="13">
        <v>46146</v>
      </c>
      <c r="B1413" s="12">
        <f>MONTH(Movimientos_2026[[#This Row],[Fecha]])</f>
        <v>5</v>
      </c>
      <c r="C1413" s="12" t="str">
        <f>VLOOKUP((WEEKDAY(Movimientos_2026[[#This Row],[Fecha]],2)),'5. Setup'!$D$6:$E$12,2,FALSE)</f>
        <v>Lun</v>
      </c>
      <c r="D1413">
        <v>1043242</v>
      </c>
      <c r="E1413" t="str">
        <f>IFERROR(+VLOOKUP(Movimientos_2026[[#This Row],[Codigo]],Plan_cuentas[],2,FALSE)," ")</f>
        <v>INGRESOS</v>
      </c>
      <c r="F1413" t="str">
        <f>IFERROR(+VLOOKUP(Movimientos_2026[[#This Row],[Codigo]],Plan_cuentas[],3,FALSE)," ")</f>
        <v>Transferencia</v>
      </c>
      <c r="G1413" t="str">
        <f>IFERROR(+VLOOKUP(Movimientos_2026[[#This Row],[Codigo]],Plan_cuentas[],4,FALSE)," ")</f>
        <v>Registración</v>
      </c>
      <c r="H1413" t="str">
        <f>IFERROR(+VLOOKUP(Movimientos_2026[[#This Row],[Codigo]],Plan_cuentas[],5,FALSE)," ")</f>
        <v>FORMOSA</v>
      </c>
      <c r="I1413" s="43">
        <v>46113</v>
      </c>
      <c r="J1413" t="s">
        <v>618</v>
      </c>
      <c r="K1413" t="str">
        <f>IFERROR(+VLOOKUP(Movimientos_2026[[#This Row],[Codigo]],Plan_cuentas[],6,FALSE)," ")</f>
        <v>2 - PR - Plan Rombo</v>
      </c>
      <c r="L1413" s="50">
        <v>4328303</v>
      </c>
      <c r="M1413" s="52"/>
      <c r="N1413" s="20">
        <f>+Movimientos_2026[[#This Row],[Ingresos]]-Movimientos_2026[[#This Row],[Egresos]]</f>
        <v>4328303</v>
      </c>
      <c r="O1413" s="20">
        <f>+O1412+Movimientos_2026[[#This Row],[Neto]]</f>
        <v>4241373879.1185455</v>
      </c>
    </row>
    <row r="1414" spans="1:15" x14ac:dyDescent="0.25">
      <c r="A1414" s="13">
        <v>46146</v>
      </c>
      <c r="B1414" s="12">
        <f>MONTH(Movimientos_2026[[#This Row],[Fecha]])</f>
        <v>5</v>
      </c>
      <c r="C1414" s="12" t="str">
        <f>VLOOKUP((WEEKDAY(Movimientos_2026[[#This Row],[Fecha]],2)),'5. Setup'!$D$6:$E$12,2,FALSE)</f>
        <v>Lun</v>
      </c>
      <c r="D1414">
        <v>1043382</v>
      </c>
      <c r="E1414" t="str">
        <f>IFERROR(+VLOOKUP(Movimientos_2026[[#This Row],[Codigo]],Plan_cuentas[],2,FALSE)," ")</f>
        <v>INGRESOS</v>
      </c>
      <c r="F1414" t="str">
        <f>IFERROR(+VLOOKUP(Movimientos_2026[[#This Row],[Codigo]],Plan_cuentas[],3,FALSE)," ")</f>
        <v>Transferencia</v>
      </c>
      <c r="G1414" t="str">
        <f>IFERROR(+VLOOKUP(Movimientos_2026[[#This Row],[Codigo]],Plan_cuentas[],4,FALSE)," ")</f>
        <v>Registración</v>
      </c>
      <c r="H1414" t="str">
        <f>IFERROR(+VLOOKUP(Movimientos_2026[[#This Row],[Codigo]],Plan_cuentas[],5,FALSE)," ")</f>
        <v>SANTA FE 1° Q</v>
      </c>
      <c r="I1414" s="43">
        <v>46113</v>
      </c>
      <c r="J1414" t="s">
        <v>618</v>
      </c>
      <c r="K1414" t="str">
        <f>IFERROR(+VLOOKUP(Movimientos_2026[[#This Row],[Codigo]],Plan_cuentas[],6,FALSE)," ")</f>
        <v>2 - PR - Plan Rombo</v>
      </c>
      <c r="L1414" s="50">
        <v>37316768.299999997</v>
      </c>
      <c r="M1414" s="52"/>
      <c r="N1414" s="20">
        <f>+Movimientos_2026[[#This Row],[Ingresos]]-Movimientos_2026[[#This Row],[Egresos]]</f>
        <v>37316768.299999997</v>
      </c>
      <c r="O1414" s="20">
        <f>+O1413+Movimientos_2026[[#This Row],[Neto]]</f>
        <v>4278690647.4185457</v>
      </c>
    </row>
    <row r="1415" spans="1:15" x14ac:dyDescent="0.25">
      <c r="A1415" s="13">
        <v>46146</v>
      </c>
      <c r="B1415" s="12">
        <f>MONTH(Movimientos_2026[[#This Row],[Fecha]])</f>
        <v>5</v>
      </c>
      <c r="C1415" s="12" t="str">
        <f>VLOOKUP((WEEKDAY(Movimientos_2026[[#This Row],[Fecha]],2)),'5. Setup'!$D$6:$E$12,2,FALSE)</f>
        <v>Lun</v>
      </c>
      <c r="D1415">
        <v>1043172</v>
      </c>
      <c r="E1415" t="str">
        <f>IFERROR(+VLOOKUP(Movimientos_2026[[#This Row],[Codigo]],Plan_cuentas[],2,FALSE)," ")</f>
        <v>INGRESOS</v>
      </c>
      <c r="F1415" t="str">
        <f>IFERROR(+VLOOKUP(Movimientos_2026[[#This Row],[Codigo]],Plan_cuentas[],3,FALSE)," ")</f>
        <v>Transferencia</v>
      </c>
      <c r="G1415" t="str">
        <f>IFERROR(+VLOOKUP(Movimientos_2026[[#This Row],[Codigo]],Plan_cuentas[],4,FALSE)," ")</f>
        <v>Registración</v>
      </c>
      <c r="H1415" t="str">
        <f>IFERROR(+VLOOKUP(Movimientos_2026[[#This Row],[Codigo]],Plan_cuentas[],5,FALSE)," ")</f>
        <v>CHUBUT</v>
      </c>
      <c r="I1415" s="43">
        <v>46113</v>
      </c>
      <c r="J1415" t="s">
        <v>618</v>
      </c>
      <c r="K1415" t="str">
        <f>IFERROR(+VLOOKUP(Movimientos_2026[[#This Row],[Codigo]],Plan_cuentas[],6,FALSE)," ")</f>
        <v>2 - PR - Plan Rombo</v>
      </c>
      <c r="L1415" s="50">
        <v>12458395.1</v>
      </c>
      <c r="M1415" s="52"/>
      <c r="N1415" s="20">
        <f>+Movimientos_2026[[#This Row],[Ingresos]]-Movimientos_2026[[#This Row],[Egresos]]</f>
        <v>12458395.1</v>
      </c>
      <c r="O1415" s="20">
        <f>+O1414+Movimientos_2026[[#This Row],[Neto]]</f>
        <v>4291149042.5185456</v>
      </c>
    </row>
    <row r="1416" spans="1:15" x14ac:dyDescent="0.25">
      <c r="A1416" s="13">
        <v>46146</v>
      </c>
      <c r="B1416" s="12">
        <f>MONTH(Movimientos_2026[[#This Row],[Fecha]])</f>
        <v>5</v>
      </c>
      <c r="C1416" s="12" t="str">
        <f>VLOOKUP((WEEKDAY(Movimientos_2026[[#This Row],[Fecha]],2)),'5. Setup'!$D$6:$E$12,2,FALSE)</f>
        <v>Lun</v>
      </c>
      <c r="D1416">
        <v>1044482</v>
      </c>
      <c r="E1416" t="str">
        <f>IFERROR(+VLOOKUP(Movimientos_2026[[#This Row],[Codigo]],Plan_cuentas[],2,FALSE)," ")</f>
        <v>INGRESOS</v>
      </c>
      <c r="F1416" t="str">
        <f>IFERROR(+VLOOKUP(Movimientos_2026[[#This Row],[Codigo]],Plan_cuentas[],3,FALSE)," ")</f>
        <v>Transferencia</v>
      </c>
      <c r="G1416" t="str">
        <f>IFERROR(+VLOOKUP(Movimientos_2026[[#This Row],[Codigo]],Plan_cuentas[],4,FALSE)," ")</f>
        <v>Factura</v>
      </c>
      <c r="H1416" t="str">
        <f>IFERROR(+VLOOKUP(Movimientos_2026[[#This Row],[Codigo]],Plan_cuentas[],5,FALSE)," ")</f>
        <v>FC TRAMITACION</v>
      </c>
      <c r="I1416" s="43">
        <v>46113</v>
      </c>
      <c r="J1416" t="s">
        <v>620</v>
      </c>
      <c r="K1416" t="str">
        <f>IFERROR(+VLOOKUP(Movimientos_2026[[#This Row],[Codigo]],Plan_cuentas[],6,FALSE)," ")</f>
        <v>2 - PR - Plan Rombo</v>
      </c>
      <c r="L1416" s="50">
        <v>597431.96</v>
      </c>
      <c r="M1416" s="52"/>
      <c r="N1416" s="20">
        <f>+Movimientos_2026[[#This Row],[Ingresos]]-Movimientos_2026[[#This Row],[Egresos]]</f>
        <v>597431.96</v>
      </c>
      <c r="O1416" s="20">
        <f>+O1415+Movimientos_2026[[#This Row],[Neto]]</f>
        <v>4291746474.4785457</v>
      </c>
    </row>
    <row r="1417" spans="1:15" x14ac:dyDescent="0.25">
      <c r="A1417" s="13">
        <v>46146</v>
      </c>
      <c r="B1417" s="12">
        <f>MONTH(Movimientos_2026[[#This Row],[Fecha]])</f>
        <v>5</v>
      </c>
      <c r="C1417" s="12" t="str">
        <f>VLOOKUP((WEEKDAY(Movimientos_2026[[#This Row],[Fecha]],2)),'5. Setup'!$D$6:$E$12,2,FALSE)</f>
        <v>Lun</v>
      </c>
      <c r="D1417">
        <v>1044482</v>
      </c>
      <c r="E1417" t="str">
        <f>IFERROR(+VLOOKUP(Movimientos_2026[[#This Row],[Codigo]],Plan_cuentas[],2,FALSE)," ")</f>
        <v>INGRESOS</v>
      </c>
      <c r="F1417" t="str">
        <f>IFERROR(+VLOOKUP(Movimientos_2026[[#This Row],[Codigo]],Plan_cuentas[],3,FALSE)," ")</f>
        <v>Transferencia</v>
      </c>
      <c r="G1417" t="str">
        <f>IFERROR(+VLOOKUP(Movimientos_2026[[#This Row],[Codigo]],Plan_cuentas[],4,FALSE)," ")</f>
        <v>Factura</v>
      </c>
      <c r="H1417" t="str">
        <f>IFERROR(+VLOOKUP(Movimientos_2026[[#This Row],[Codigo]],Plan_cuentas[],5,FALSE)," ")</f>
        <v>FC TRAMITACION</v>
      </c>
      <c r="I1417" s="43">
        <v>46082</v>
      </c>
      <c r="J1417" t="s">
        <v>621</v>
      </c>
      <c r="K1417" t="str">
        <f>IFERROR(+VLOOKUP(Movimientos_2026[[#This Row],[Codigo]],Plan_cuentas[],6,FALSE)," ")</f>
        <v>2 - PR - Plan Rombo</v>
      </c>
      <c r="L1417" s="50">
        <v>8794457.0800000001</v>
      </c>
      <c r="M1417" s="52"/>
      <c r="N1417" s="20">
        <f>+Movimientos_2026[[#This Row],[Ingresos]]-Movimientos_2026[[#This Row],[Egresos]]</f>
        <v>8794457.0800000001</v>
      </c>
      <c r="O1417" s="20">
        <f>+O1416+Movimientos_2026[[#This Row],[Neto]]</f>
        <v>4300540931.5585461</v>
      </c>
    </row>
    <row r="1418" spans="1:15" x14ac:dyDescent="0.25">
      <c r="A1418" s="13">
        <v>46146</v>
      </c>
      <c r="B1418" s="12">
        <f>MONTH(Movimientos_2026[[#This Row],[Fecha]])</f>
        <v>5</v>
      </c>
      <c r="C1418" s="12" t="str">
        <f>VLOOKUP((WEEKDAY(Movimientos_2026[[#This Row],[Fecha]],2)),'5. Setup'!$D$6:$E$12,2,FALSE)</f>
        <v>Lun</v>
      </c>
      <c r="D1418">
        <v>1044482</v>
      </c>
      <c r="E1418" t="str">
        <f>IFERROR(+VLOOKUP(Movimientos_2026[[#This Row],[Codigo]],Plan_cuentas[],2,FALSE)," ")</f>
        <v>INGRESOS</v>
      </c>
      <c r="F1418" t="str">
        <f>IFERROR(+VLOOKUP(Movimientos_2026[[#This Row],[Codigo]],Plan_cuentas[],3,FALSE)," ")</f>
        <v>Transferencia</v>
      </c>
      <c r="G1418" t="str">
        <f>IFERROR(+VLOOKUP(Movimientos_2026[[#This Row],[Codigo]],Plan_cuentas[],4,FALSE)," ")</f>
        <v>Factura</v>
      </c>
      <c r="H1418" t="str">
        <f>IFERROR(+VLOOKUP(Movimientos_2026[[#This Row],[Codigo]],Plan_cuentas[],5,FALSE)," ")</f>
        <v>FC TRAMITACION</v>
      </c>
      <c r="I1418" s="43">
        <v>46082</v>
      </c>
      <c r="J1418" t="s">
        <v>622</v>
      </c>
      <c r="K1418" t="str">
        <f>IFERROR(+VLOOKUP(Movimientos_2026[[#This Row],[Codigo]],Plan_cuentas[],6,FALSE)," ")</f>
        <v>2 - PR - Plan Rombo</v>
      </c>
      <c r="L1418" s="50">
        <v>8632490.0600000005</v>
      </c>
      <c r="M1418" s="52"/>
      <c r="N1418" s="20">
        <f>+Movimientos_2026[[#This Row],[Ingresos]]-Movimientos_2026[[#This Row],[Egresos]]</f>
        <v>8632490.0600000005</v>
      </c>
      <c r="O1418" s="20">
        <f>+O1417+Movimientos_2026[[#This Row],[Neto]]</f>
        <v>4309173421.6185465</v>
      </c>
    </row>
    <row r="1419" spans="1:15" x14ac:dyDescent="0.25">
      <c r="A1419" s="13">
        <v>46146</v>
      </c>
      <c r="B1419" s="12">
        <f>MONTH(Movimientos_2026[[#This Row],[Fecha]])</f>
        <v>5</v>
      </c>
      <c r="C1419" s="12" t="str">
        <f>VLOOKUP((WEEKDAY(Movimientos_2026[[#This Row],[Fecha]],2)),'5. Setup'!$D$6:$E$12,2,FALSE)</f>
        <v>Lun</v>
      </c>
      <c r="D1419">
        <v>1044482</v>
      </c>
      <c r="E1419" t="str">
        <f>IFERROR(+VLOOKUP(Movimientos_2026[[#This Row],[Codigo]],Plan_cuentas[],2,FALSE)," ")</f>
        <v>INGRESOS</v>
      </c>
      <c r="F1419" t="str">
        <f>IFERROR(+VLOOKUP(Movimientos_2026[[#This Row],[Codigo]],Plan_cuentas[],3,FALSE)," ")</f>
        <v>Transferencia</v>
      </c>
      <c r="G1419" t="str">
        <f>IFERROR(+VLOOKUP(Movimientos_2026[[#This Row],[Codigo]],Plan_cuentas[],4,FALSE)," ")</f>
        <v>Factura</v>
      </c>
      <c r="H1419" t="str">
        <f>IFERROR(+VLOOKUP(Movimientos_2026[[#This Row],[Codigo]],Plan_cuentas[],5,FALSE)," ")</f>
        <v>FC TRAMITACION</v>
      </c>
      <c r="I1419" s="43">
        <v>46082</v>
      </c>
      <c r="J1419" t="s">
        <v>623</v>
      </c>
      <c r="K1419" t="str">
        <f>IFERROR(+VLOOKUP(Movimientos_2026[[#This Row],[Codigo]],Plan_cuentas[],6,FALSE)," ")</f>
        <v>2 - PR - Plan Rombo</v>
      </c>
      <c r="L1419" s="50">
        <v>2993948.76</v>
      </c>
      <c r="M1419" s="52"/>
      <c r="N1419" s="20">
        <f>+Movimientos_2026[[#This Row],[Ingresos]]-Movimientos_2026[[#This Row],[Egresos]]</f>
        <v>2993948.76</v>
      </c>
      <c r="O1419" s="20">
        <f>+O1418+Movimientos_2026[[#This Row],[Neto]]</f>
        <v>4312167370.3785467</v>
      </c>
    </row>
    <row r="1420" spans="1:15" x14ac:dyDescent="0.25">
      <c r="A1420" s="13">
        <v>46146</v>
      </c>
      <c r="B1420" s="12">
        <f>MONTH(Movimientos_2026[[#This Row],[Fecha]])</f>
        <v>5</v>
      </c>
      <c r="C1420" s="12" t="str">
        <f>VLOOKUP((WEEKDAY(Movimientos_2026[[#This Row],[Fecha]],2)),'5. Setup'!$D$6:$E$12,2,FALSE)</f>
        <v>Lun</v>
      </c>
      <c r="D1420">
        <v>1044122</v>
      </c>
      <c r="E1420" t="str">
        <f>IFERROR(+VLOOKUP(Movimientos_2026[[#This Row],[Codigo]],Plan_cuentas[],2,FALSE)," ")</f>
        <v>INGRESOS</v>
      </c>
      <c r="F1420" t="str">
        <f>IFERROR(+VLOOKUP(Movimientos_2026[[#This Row],[Codigo]],Plan_cuentas[],3,FALSE)," ")</f>
        <v>Transferencia</v>
      </c>
      <c r="G1420" t="str">
        <f>IFERROR(+VLOOKUP(Movimientos_2026[[#This Row],[Codigo]],Plan_cuentas[],4,FALSE)," ")</f>
        <v>Rentas</v>
      </c>
      <c r="H1420" t="str">
        <f>IFERROR(+VLOOKUP(Movimientos_2026[[#This Row],[Codigo]],Plan_cuentas[],5,FALSE)," ")</f>
        <v>BAPRO</v>
      </c>
      <c r="I1420" s="43">
        <v>46082</v>
      </c>
      <c r="J1420" t="s">
        <v>618</v>
      </c>
      <c r="K1420" t="str">
        <f>IFERROR(+VLOOKUP(Movimientos_2026[[#This Row],[Codigo]],Plan_cuentas[],6,FALSE)," ")</f>
        <v>2 - PR - Plan Rombo</v>
      </c>
      <c r="L1420" s="50">
        <v>90932992</v>
      </c>
      <c r="M1420" s="52"/>
      <c r="N1420" s="20">
        <f>+Movimientos_2026[[#This Row],[Ingresos]]-Movimientos_2026[[#This Row],[Egresos]]</f>
        <v>90932992</v>
      </c>
      <c r="O1420" s="20">
        <f>+O1419+Movimientos_2026[[#This Row],[Neto]]</f>
        <v>4403100362.3785467</v>
      </c>
    </row>
    <row r="1421" spans="1:15" x14ac:dyDescent="0.25">
      <c r="A1421" s="13">
        <v>46146</v>
      </c>
      <c r="B1421" s="12">
        <f>MONTH(Movimientos_2026[[#This Row],[Fecha]])</f>
        <v>5</v>
      </c>
      <c r="C1421" s="12" t="str">
        <f>VLOOKUP((WEEKDAY(Movimientos_2026[[#This Row],[Fecha]],2)),'5. Setup'!$D$6:$E$12,2,FALSE)</f>
        <v>Lun</v>
      </c>
      <c r="D1421">
        <v>1044122</v>
      </c>
      <c r="E1421" t="str">
        <f>IFERROR(+VLOOKUP(Movimientos_2026[[#This Row],[Codigo]],Plan_cuentas[],2,FALSE)," ")</f>
        <v>INGRESOS</v>
      </c>
      <c r="F1421" t="str">
        <f>IFERROR(+VLOOKUP(Movimientos_2026[[#This Row],[Codigo]],Plan_cuentas[],3,FALSE)," ")</f>
        <v>Transferencia</v>
      </c>
      <c r="G1421" t="str">
        <f>IFERROR(+VLOOKUP(Movimientos_2026[[#This Row],[Codigo]],Plan_cuentas[],4,FALSE)," ")</f>
        <v>Rentas</v>
      </c>
      <c r="H1421" t="str">
        <f>IFERROR(+VLOOKUP(Movimientos_2026[[#This Row],[Codigo]],Plan_cuentas[],5,FALSE)," ")</f>
        <v>BAPRO</v>
      </c>
      <c r="I1421" s="43">
        <v>46082</v>
      </c>
      <c r="J1421" t="s">
        <v>618</v>
      </c>
      <c r="K1421" t="str">
        <f>IFERROR(+VLOOKUP(Movimientos_2026[[#This Row],[Codigo]],Plan_cuentas[],6,FALSE)," ")</f>
        <v>2 - PR - Plan Rombo</v>
      </c>
      <c r="L1421" s="50">
        <v>94232233.200000003</v>
      </c>
      <c r="M1421" s="52"/>
      <c r="N1421" s="20">
        <f>+Movimientos_2026[[#This Row],[Ingresos]]-Movimientos_2026[[#This Row],[Egresos]]</f>
        <v>94232233.200000003</v>
      </c>
      <c r="O1421" s="20">
        <f>+O1420+Movimientos_2026[[#This Row],[Neto]]</f>
        <v>4497332595.5785465</v>
      </c>
    </row>
    <row r="1422" spans="1:15" x14ac:dyDescent="0.25">
      <c r="A1422" s="13">
        <v>46146</v>
      </c>
      <c r="B1422" s="12">
        <f>MONTH(Movimientos_2026[[#This Row],[Fecha]])</f>
        <v>5</v>
      </c>
      <c r="C1422" s="12" t="str">
        <f>VLOOKUP((WEEKDAY(Movimientos_2026[[#This Row],[Fecha]],2)),'5. Setup'!$D$6:$E$12,2,FALSE)</f>
        <v>Lun</v>
      </c>
      <c r="D1422">
        <v>1044312</v>
      </c>
      <c r="E1422" t="str">
        <f>IFERROR(+VLOOKUP(Movimientos_2026[[#This Row],[Codigo]],Plan_cuentas[],2,FALSE)," ")</f>
        <v>INGRESOS</v>
      </c>
      <c r="F1422" t="str">
        <f>IFERROR(+VLOOKUP(Movimientos_2026[[#This Row],[Codigo]],Plan_cuentas[],3,FALSE)," ")</f>
        <v>Transferencia</v>
      </c>
      <c r="G1422" t="str">
        <f>IFERROR(+VLOOKUP(Movimientos_2026[[#This Row],[Codigo]],Plan_cuentas[],4,FALSE)," ")</f>
        <v>Rentas</v>
      </c>
      <c r="H1422" t="str">
        <f>IFERROR(+VLOOKUP(Movimientos_2026[[#This Row],[Codigo]],Plan_cuentas[],5,FALSE)," ")</f>
        <v>NEUQUEN 1° Q</v>
      </c>
      <c r="I1422" s="43">
        <v>46113</v>
      </c>
      <c r="J1422" t="s">
        <v>618</v>
      </c>
      <c r="K1422" t="str">
        <f>IFERROR(+VLOOKUP(Movimientos_2026[[#This Row],[Codigo]],Plan_cuentas[],6,FALSE)," ")</f>
        <v>2 - PR - Plan Rombo</v>
      </c>
      <c r="L1422" s="50">
        <v>28375900</v>
      </c>
      <c r="M1422" s="52"/>
      <c r="N1422" s="20">
        <f>+Movimientos_2026[[#This Row],[Ingresos]]-Movimientos_2026[[#This Row],[Egresos]]</f>
        <v>28375900</v>
      </c>
      <c r="O1422" s="20">
        <f>+O1421+Movimientos_2026[[#This Row],[Neto]]</f>
        <v>4525708495.5785465</v>
      </c>
    </row>
    <row r="1423" spans="1:15" x14ac:dyDescent="0.25">
      <c r="A1423" s="13">
        <v>46146</v>
      </c>
      <c r="B1423" s="12">
        <f>MONTH(Movimientos_2026[[#This Row],[Fecha]])</f>
        <v>5</v>
      </c>
      <c r="C1423" s="12" t="str">
        <f>VLOOKUP((WEEKDAY(Movimientos_2026[[#This Row],[Fecha]],2)),'5. Setup'!$D$6:$E$12,2,FALSE)</f>
        <v>Lun</v>
      </c>
      <c r="D1423">
        <v>1044202</v>
      </c>
      <c r="E1423" t="str">
        <f>IFERROR(+VLOOKUP(Movimientos_2026[[#This Row],[Codigo]],Plan_cuentas[],2,FALSE)," ")</f>
        <v>INGRESOS</v>
      </c>
      <c r="F1423" t="str">
        <f>IFERROR(+VLOOKUP(Movimientos_2026[[#This Row],[Codigo]],Plan_cuentas[],3,FALSE)," ")</f>
        <v>Transferencia</v>
      </c>
      <c r="G1423" t="str">
        <f>IFERROR(+VLOOKUP(Movimientos_2026[[#This Row],[Codigo]],Plan_cuentas[],4,FALSE)," ")</f>
        <v>Rentas</v>
      </c>
      <c r="H1423" t="str">
        <f>IFERROR(+VLOOKUP(Movimientos_2026[[#This Row],[Codigo]],Plan_cuentas[],5,FALSE)," ")</f>
        <v>CORRIENTES 1° Q</v>
      </c>
      <c r="I1423" s="43">
        <v>46113</v>
      </c>
      <c r="J1423" t="s">
        <v>618</v>
      </c>
      <c r="K1423" t="str">
        <f>IFERROR(+VLOOKUP(Movimientos_2026[[#This Row],[Codigo]],Plan_cuentas[],6,FALSE)," ")</f>
        <v>2 - PR - Plan Rombo</v>
      </c>
      <c r="L1423" s="50">
        <v>30706345.550000001</v>
      </c>
      <c r="M1423" s="52"/>
      <c r="N1423" s="20">
        <f>+Movimientos_2026[[#This Row],[Ingresos]]-Movimientos_2026[[#This Row],[Egresos]]</f>
        <v>30706345.550000001</v>
      </c>
      <c r="O1423" s="20">
        <f>+O1422+Movimientos_2026[[#This Row],[Neto]]</f>
        <v>4556414841.1285467</v>
      </c>
    </row>
    <row r="1424" spans="1:15" x14ac:dyDescent="0.25">
      <c r="A1424" s="13">
        <v>46146</v>
      </c>
      <c r="B1424" s="12">
        <f>MONTH(Movimientos_2026[[#This Row],[Fecha]])</f>
        <v>5</v>
      </c>
      <c r="C1424" s="12" t="str">
        <f>VLOOKUP((WEEKDAY(Movimientos_2026[[#This Row],[Fecha]],2)),'5. Setup'!$D$6:$E$12,2,FALSE)</f>
        <v>Lun</v>
      </c>
      <c r="D1424">
        <v>1044462</v>
      </c>
      <c r="E1424" t="str">
        <f>IFERROR(+VLOOKUP(Movimientos_2026[[#This Row],[Codigo]],Plan_cuentas[],2,FALSE)," ")</f>
        <v>INGRESOS</v>
      </c>
      <c r="F1424" t="str">
        <f>IFERROR(+VLOOKUP(Movimientos_2026[[#This Row],[Codigo]],Plan_cuentas[],3,FALSE)," ")</f>
        <v>Transferencia</v>
      </c>
      <c r="G1424" t="str">
        <f>IFERROR(+VLOOKUP(Movimientos_2026[[#This Row],[Codigo]],Plan_cuentas[],4,FALSE)," ")</f>
        <v>Rentas</v>
      </c>
      <c r="H1424" t="str">
        <f>IFERROR(+VLOOKUP(Movimientos_2026[[#This Row],[Codigo]],Plan_cuentas[],5,FALSE)," ")</f>
        <v>MISIONES</v>
      </c>
      <c r="I1424" s="43">
        <v>46113</v>
      </c>
      <c r="J1424" t="s">
        <v>618</v>
      </c>
      <c r="K1424" t="str">
        <f>IFERROR(+VLOOKUP(Movimientos_2026[[#This Row],[Codigo]],Plan_cuentas[],6,FALSE)," ")</f>
        <v>2 - PR - Plan Rombo</v>
      </c>
      <c r="L1424" s="50">
        <v>2894446.03</v>
      </c>
      <c r="M1424" s="50"/>
      <c r="N1424" s="20">
        <f>+Movimientos_2026[[#This Row],[Ingresos]]-Movimientos_2026[[#This Row],[Egresos]]</f>
        <v>2894446.03</v>
      </c>
      <c r="O1424" s="20">
        <f>+O1423+Movimientos_2026[[#This Row],[Neto]]</f>
        <v>4559309287.1585464</v>
      </c>
    </row>
    <row r="1425" spans="1:15" x14ac:dyDescent="0.25">
      <c r="A1425" s="13">
        <v>46146</v>
      </c>
      <c r="B1425" s="12">
        <f>MONTH(Movimientos_2026[[#This Row],[Fecha]])</f>
        <v>5</v>
      </c>
      <c r="C1425" s="12" t="str">
        <f>VLOOKUP((WEEKDAY(Movimientos_2026[[#This Row],[Fecha]],2)),'5. Setup'!$D$6:$E$12,2,FALSE)</f>
        <v>Lun</v>
      </c>
      <c r="D1425">
        <v>1043154</v>
      </c>
      <c r="E1425" t="str">
        <f>IFERROR(+VLOOKUP(Movimientos_2026[[#This Row],[Codigo]],Plan_cuentas[],2,FALSE)," ")</f>
        <v>INGRESOS</v>
      </c>
      <c r="F1425" t="str">
        <f>IFERROR(+VLOOKUP(Movimientos_2026[[#This Row],[Codigo]],Plan_cuentas[],3,FALSE)," ")</f>
        <v>Transferencia</v>
      </c>
      <c r="G1425" t="str">
        <f>IFERROR(+VLOOKUP(Movimientos_2026[[#This Row],[Codigo]],Plan_cuentas[],4,FALSE)," ")</f>
        <v>Registración</v>
      </c>
      <c r="H1425" t="str">
        <f>IFERROR(+VLOOKUP(Movimientos_2026[[#This Row],[Codigo]],Plan_cuentas[],5,FALSE)," ")</f>
        <v>CABA</v>
      </c>
      <c r="I1425" s="43">
        <v>46113</v>
      </c>
      <c r="J1425" t="s">
        <v>624</v>
      </c>
      <c r="K1425" t="str">
        <f>IFERROR(+VLOOKUP(Movimientos_2026[[#This Row],[Codigo]],Plan_cuentas[],6,FALSE)," ")</f>
        <v>4 - FCA - Fiat</v>
      </c>
      <c r="L1425" s="50">
        <v>461941360.73000002</v>
      </c>
      <c r="M1425" s="50"/>
      <c r="N1425" s="20">
        <f>+Movimientos_2026[[#This Row],[Ingresos]]-Movimientos_2026[[#This Row],[Egresos]]</f>
        <v>461941360.73000002</v>
      </c>
      <c r="O1425" s="20">
        <f>+O1424+Movimientos_2026[[#This Row],[Neto]]</f>
        <v>5021250647.888546</v>
      </c>
    </row>
    <row r="1426" spans="1:15" x14ac:dyDescent="0.25">
      <c r="A1426" s="13">
        <v>46146</v>
      </c>
      <c r="B1426" s="12">
        <f>MONTH(Movimientos_2026[[#This Row],[Fecha]])</f>
        <v>5</v>
      </c>
      <c r="C1426" s="12" t="str">
        <f>VLOOKUP((WEEKDAY(Movimientos_2026[[#This Row],[Fecha]],2)),'5. Setup'!$D$6:$E$12,2,FALSE)</f>
        <v>Lun</v>
      </c>
      <c r="D1426">
        <v>1043394</v>
      </c>
      <c r="E1426" t="str">
        <f>IFERROR(+VLOOKUP(Movimientos_2026[[#This Row],[Codigo]],Plan_cuentas[],2,FALSE)," ")</f>
        <v>INGRESOS</v>
      </c>
      <c r="F1426" t="str">
        <f>IFERROR(+VLOOKUP(Movimientos_2026[[#This Row],[Codigo]],Plan_cuentas[],3,FALSE)," ")</f>
        <v>Transferencia</v>
      </c>
      <c r="G1426" t="str">
        <f>IFERROR(+VLOOKUP(Movimientos_2026[[#This Row],[Codigo]],Plan_cuentas[],4,FALSE)," ")</f>
        <v>Registración</v>
      </c>
      <c r="H1426" t="str">
        <f>IFERROR(+VLOOKUP(Movimientos_2026[[#This Row],[Codigo]],Plan_cuentas[],5,FALSE)," ")</f>
        <v>SANTA FE 2° Q</v>
      </c>
      <c r="I1426" s="43">
        <v>46113</v>
      </c>
      <c r="J1426" t="s">
        <v>624</v>
      </c>
      <c r="K1426" t="str">
        <f>IFERROR(+VLOOKUP(Movimientos_2026[[#This Row],[Codigo]],Plan_cuentas[],6,FALSE)," ")</f>
        <v>4 - FCA - Fiat</v>
      </c>
      <c r="L1426" s="50">
        <v>90746727.519999996</v>
      </c>
      <c r="M1426" s="50"/>
      <c r="N1426" s="20">
        <f>+Movimientos_2026[[#This Row],[Ingresos]]-Movimientos_2026[[#This Row],[Egresos]]</f>
        <v>90746727.519999996</v>
      </c>
      <c r="O1426" s="20">
        <f>+O1425+Movimientos_2026[[#This Row],[Neto]]</f>
        <v>5111997375.4085464</v>
      </c>
    </row>
    <row r="1427" spans="1:15" x14ac:dyDescent="0.25">
      <c r="A1427" s="13">
        <v>46146</v>
      </c>
      <c r="B1427" s="12">
        <f>MONTH(Movimientos_2026[[#This Row],[Fecha]])</f>
        <v>5</v>
      </c>
      <c r="C1427" s="12" t="str">
        <f>VLOOKUP((WEEKDAY(Movimientos_2026[[#This Row],[Fecha]],2)),'5. Setup'!$D$6:$E$12,2,FALSE)</f>
        <v>Lun</v>
      </c>
      <c r="D1427">
        <v>1044174</v>
      </c>
      <c r="E1427" t="str">
        <f>IFERROR(+VLOOKUP(Movimientos_2026[[#This Row],[Codigo]],Plan_cuentas[],2,FALSE)," ")</f>
        <v>INGRESOS</v>
      </c>
      <c r="F1427" t="str">
        <f>IFERROR(+VLOOKUP(Movimientos_2026[[#This Row],[Codigo]],Plan_cuentas[],3,FALSE)," ")</f>
        <v>Transferencia</v>
      </c>
      <c r="G1427" t="str">
        <f>IFERROR(+VLOOKUP(Movimientos_2026[[#This Row],[Codigo]],Plan_cuentas[],4,FALSE)," ")</f>
        <v>Rentas</v>
      </c>
      <c r="H1427" t="str">
        <f>IFERROR(+VLOOKUP(Movimientos_2026[[#This Row],[Codigo]],Plan_cuentas[],5,FALSE)," ")</f>
        <v>CHUBUT</v>
      </c>
      <c r="I1427" s="43">
        <v>46113</v>
      </c>
      <c r="J1427" t="s">
        <v>624</v>
      </c>
      <c r="K1427" t="str">
        <f>IFERROR(+VLOOKUP(Movimientos_2026[[#This Row],[Codigo]],Plan_cuentas[],6,FALSE)," ")</f>
        <v>4 - FCA - Fiat</v>
      </c>
      <c r="L1427" s="50">
        <v>25850100</v>
      </c>
      <c r="M1427" s="50"/>
      <c r="N1427" s="20">
        <f>+Movimientos_2026[[#This Row],[Ingresos]]-Movimientos_2026[[#This Row],[Egresos]]</f>
        <v>25850100</v>
      </c>
      <c r="O1427" s="20">
        <f>+O1426+Movimientos_2026[[#This Row],[Neto]]</f>
        <v>5137847475.4085464</v>
      </c>
    </row>
    <row r="1428" spans="1:15" x14ac:dyDescent="0.25">
      <c r="A1428" s="13">
        <v>46146</v>
      </c>
      <c r="B1428" s="12">
        <f>MONTH(Movimientos_2026[[#This Row],[Fecha]])</f>
        <v>5</v>
      </c>
      <c r="C1428" s="12" t="str">
        <f>VLOOKUP((WEEKDAY(Movimientos_2026[[#This Row],[Fecha]],2)),'5. Setup'!$D$6:$E$12,2,FALSE)</f>
        <v>Lun</v>
      </c>
      <c r="D1428">
        <v>1044196</v>
      </c>
      <c r="E1428" t="str">
        <f>IFERROR(+VLOOKUP(Movimientos_2026[[#This Row],[Codigo]],Plan_cuentas[],2,FALSE)," ")</f>
        <v>INGRESOS</v>
      </c>
      <c r="F1428" t="str">
        <f>IFERROR(+VLOOKUP(Movimientos_2026[[#This Row],[Codigo]],Plan_cuentas[],3,FALSE)," ")</f>
        <v>Transferencia</v>
      </c>
      <c r="G1428" t="str">
        <f>IFERROR(+VLOOKUP(Movimientos_2026[[#This Row],[Codigo]],Plan_cuentas[],4,FALSE)," ")</f>
        <v>Rentas</v>
      </c>
      <c r="H1428" t="str">
        <f>IFERROR(+VLOOKUP(Movimientos_2026[[#This Row],[Codigo]],Plan_cuentas[],5,FALSE)," ")</f>
        <v>CORDOBA 2° Q</v>
      </c>
      <c r="I1428" s="43">
        <v>46113</v>
      </c>
      <c r="J1428" t="s">
        <v>624</v>
      </c>
      <c r="K1428" t="str">
        <f>IFERROR(+VLOOKUP(Movimientos_2026[[#This Row],[Codigo]],Plan_cuentas[],6,FALSE)," ")</f>
        <v>6 - FCAtr - Fiat Transf.</v>
      </c>
      <c r="L1428" s="50">
        <v>16610947.619999999</v>
      </c>
      <c r="M1428" s="50"/>
      <c r="N1428" s="20">
        <f>+Movimientos_2026[[#This Row],[Ingresos]]-Movimientos_2026[[#This Row],[Egresos]]</f>
        <v>16610947.619999999</v>
      </c>
      <c r="O1428" s="20">
        <f>+O1427+Movimientos_2026[[#This Row],[Neto]]</f>
        <v>5154458423.0285463</v>
      </c>
    </row>
    <row r="1429" spans="1:15" x14ac:dyDescent="0.25">
      <c r="A1429" s="13">
        <v>46146</v>
      </c>
      <c r="B1429" s="12">
        <f>MONTH(Movimientos_2026[[#This Row],[Fecha]])</f>
        <v>5</v>
      </c>
      <c r="C1429" s="12" t="str">
        <f>VLOOKUP((WEEKDAY(Movimientos_2026[[#This Row],[Fecha]],2)),'5. Setup'!$D$6:$E$12,2,FALSE)</f>
        <v>Lun</v>
      </c>
      <c r="D1429">
        <v>1044214</v>
      </c>
      <c r="E1429" t="str">
        <f>IFERROR(+VLOOKUP(Movimientos_2026[[#This Row],[Codigo]],Plan_cuentas[],2,FALSE)," ")</f>
        <v>INGRESOS</v>
      </c>
      <c r="F1429" t="str">
        <f>IFERROR(+VLOOKUP(Movimientos_2026[[#This Row],[Codigo]],Plan_cuentas[],3,FALSE)," ")</f>
        <v>Transferencia</v>
      </c>
      <c r="G1429" t="str">
        <f>IFERROR(+VLOOKUP(Movimientos_2026[[#This Row],[Codigo]],Plan_cuentas[],4,FALSE)," ")</f>
        <v>Rentas</v>
      </c>
      <c r="H1429" t="str">
        <f>IFERROR(+VLOOKUP(Movimientos_2026[[#This Row],[Codigo]],Plan_cuentas[],5,FALSE)," ")</f>
        <v>CORRIENTES 2° Q</v>
      </c>
      <c r="I1429" s="43">
        <v>46113</v>
      </c>
      <c r="J1429" t="s">
        <v>624</v>
      </c>
      <c r="K1429" t="str">
        <f>IFERROR(+VLOOKUP(Movimientos_2026[[#This Row],[Codigo]],Plan_cuentas[],6,FALSE)," ")</f>
        <v>4 - FCA - Fiat</v>
      </c>
      <c r="L1429" s="50">
        <v>9020728.6699999999</v>
      </c>
      <c r="M1429" s="50"/>
      <c r="N1429" s="20">
        <f>+Movimientos_2026[[#This Row],[Ingresos]]-Movimientos_2026[[#This Row],[Egresos]]</f>
        <v>9020728.6699999999</v>
      </c>
      <c r="O1429" s="20">
        <f>+O1428+Movimientos_2026[[#This Row],[Neto]]</f>
        <v>5163479151.6985464</v>
      </c>
    </row>
    <row r="1430" spans="1:15" x14ac:dyDescent="0.25">
      <c r="A1430" s="13">
        <v>46146</v>
      </c>
      <c r="B1430" s="12">
        <f>MONTH(Movimientos_2026[[#This Row],[Fecha]])</f>
        <v>5</v>
      </c>
      <c r="C1430" s="12" t="str">
        <f>VLOOKUP((WEEKDAY(Movimientos_2026[[#This Row],[Fecha]],2)),'5. Setup'!$D$6:$E$12,2,FALSE)</f>
        <v>Lun</v>
      </c>
      <c r="D1430">
        <v>1044234</v>
      </c>
      <c r="E1430" t="str">
        <f>IFERROR(+VLOOKUP(Movimientos_2026[[#This Row],[Codigo]],Plan_cuentas[],2,FALSE)," ")</f>
        <v>INGRESOS</v>
      </c>
      <c r="F1430" t="str">
        <f>IFERROR(+VLOOKUP(Movimientos_2026[[#This Row],[Codigo]],Plan_cuentas[],3,FALSE)," ")</f>
        <v>Transferencia</v>
      </c>
      <c r="G1430" t="str">
        <f>IFERROR(+VLOOKUP(Movimientos_2026[[#This Row],[Codigo]],Plan_cuentas[],4,FALSE)," ")</f>
        <v>Rentas</v>
      </c>
      <c r="H1430" t="str">
        <f>IFERROR(+VLOOKUP(Movimientos_2026[[#This Row],[Codigo]],Plan_cuentas[],5,FALSE)," ")</f>
        <v>ENTRE RIOS 2° Q</v>
      </c>
      <c r="I1430" s="43">
        <v>46113</v>
      </c>
      <c r="J1430" t="s">
        <v>624</v>
      </c>
      <c r="K1430" t="str">
        <f>IFERROR(+VLOOKUP(Movimientos_2026[[#This Row],[Codigo]],Plan_cuentas[],6,FALSE)," ")</f>
        <v>4 - FCA - Fiat</v>
      </c>
      <c r="L1430" s="50">
        <v>30210305.440000001</v>
      </c>
      <c r="M1430" s="50"/>
      <c r="N1430" s="20">
        <f>+Movimientos_2026[[#This Row],[Ingresos]]-Movimientos_2026[[#This Row],[Egresos]]</f>
        <v>30210305.440000001</v>
      </c>
      <c r="O1430" s="20">
        <f>+O1429+Movimientos_2026[[#This Row],[Neto]]</f>
        <v>5193689457.138546</v>
      </c>
    </row>
    <row r="1431" spans="1:15" x14ac:dyDescent="0.25">
      <c r="A1431" s="13">
        <v>46146</v>
      </c>
      <c r="B1431" s="12">
        <f>MONTH(Movimientos_2026[[#This Row],[Fecha]])</f>
        <v>5</v>
      </c>
      <c r="C1431" s="12" t="str">
        <f>VLOOKUP((WEEKDAY(Movimientos_2026[[#This Row],[Fecha]],2)),'5. Setup'!$D$6:$E$12,2,FALSE)</f>
        <v>Lun</v>
      </c>
      <c r="D1431">
        <v>1044244</v>
      </c>
      <c r="E1431" t="str">
        <f>IFERROR(+VLOOKUP(Movimientos_2026[[#This Row],[Codigo]],Plan_cuentas[],2,FALSE)," ")</f>
        <v>INGRESOS</v>
      </c>
      <c r="F1431" t="str">
        <f>IFERROR(+VLOOKUP(Movimientos_2026[[#This Row],[Codigo]],Plan_cuentas[],3,FALSE)," ")</f>
        <v>Transferencia</v>
      </c>
      <c r="G1431" t="str">
        <f>IFERROR(+VLOOKUP(Movimientos_2026[[#This Row],[Codigo]],Plan_cuentas[],4,FALSE)," ")</f>
        <v>Rentas</v>
      </c>
      <c r="H1431" t="str">
        <f>IFERROR(+VLOOKUP(Movimientos_2026[[#This Row],[Codigo]],Plan_cuentas[],5,FALSE)," ")</f>
        <v>FORMOSA</v>
      </c>
      <c r="I1431" s="43">
        <v>46113</v>
      </c>
      <c r="J1431" t="s">
        <v>624</v>
      </c>
      <c r="K1431" t="str">
        <f>IFERROR(+VLOOKUP(Movimientos_2026[[#This Row],[Codigo]],Plan_cuentas[],6,FALSE)," ")</f>
        <v>4 - FCA - Fiat</v>
      </c>
      <c r="L1431" s="50">
        <v>12078540.83</v>
      </c>
      <c r="M1431" s="50"/>
      <c r="N1431" s="20">
        <f>+Movimientos_2026[[#This Row],[Ingresos]]-Movimientos_2026[[#This Row],[Egresos]]</f>
        <v>12078540.83</v>
      </c>
      <c r="O1431" s="20">
        <f>+O1430+Movimientos_2026[[#This Row],[Neto]]</f>
        <v>5205767997.9685459</v>
      </c>
    </row>
    <row r="1432" spans="1:15" x14ac:dyDescent="0.25">
      <c r="A1432" s="13">
        <v>46146</v>
      </c>
      <c r="B1432" s="12">
        <f>MONTH(Movimientos_2026[[#This Row],[Fecha]])</f>
        <v>5</v>
      </c>
      <c r="C1432" s="12" t="str">
        <f>VLOOKUP((WEEKDAY(Movimientos_2026[[#This Row],[Fecha]],2)),'5. Setup'!$D$6:$E$12,2,FALSE)</f>
        <v>Lun</v>
      </c>
      <c r="D1432">
        <v>1044264</v>
      </c>
      <c r="E1432" t="str">
        <f>IFERROR(+VLOOKUP(Movimientos_2026[[#This Row],[Codigo]],Plan_cuentas[],2,FALSE)," ")</f>
        <v>INGRESOS</v>
      </c>
      <c r="F1432" t="str">
        <f>IFERROR(+VLOOKUP(Movimientos_2026[[#This Row],[Codigo]],Plan_cuentas[],3,FALSE)," ")</f>
        <v>Transferencia</v>
      </c>
      <c r="G1432" t="str">
        <f>IFERROR(+VLOOKUP(Movimientos_2026[[#This Row],[Codigo]],Plan_cuentas[],4,FALSE)," ")</f>
        <v>Rentas</v>
      </c>
      <c r="H1432" t="str">
        <f>IFERROR(+VLOOKUP(Movimientos_2026[[#This Row],[Codigo]],Plan_cuentas[],5,FALSE)," ")</f>
        <v>LA PAMPA</v>
      </c>
      <c r="I1432" s="43">
        <v>46113</v>
      </c>
      <c r="J1432" t="s">
        <v>624</v>
      </c>
      <c r="K1432" t="str">
        <f>IFERROR(+VLOOKUP(Movimientos_2026[[#This Row],[Codigo]],Plan_cuentas[],6,FALSE)," ")</f>
        <v>4 - FCA - Fiat</v>
      </c>
      <c r="L1432" s="50">
        <v>3821300</v>
      </c>
      <c r="M1432" s="50"/>
      <c r="N1432" s="20">
        <f>+Movimientos_2026[[#This Row],[Ingresos]]-Movimientos_2026[[#This Row],[Egresos]]</f>
        <v>3821300</v>
      </c>
      <c r="O1432" s="20">
        <f>+O1431+Movimientos_2026[[#This Row],[Neto]]</f>
        <v>5209589297.9685459</v>
      </c>
    </row>
    <row r="1433" spans="1:15" x14ac:dyDescent="0.25">
      <c r="A1433" s="13">
        <v>46146</v>
      </c>
      <c r="B1433" s="12">
        <f>MONTH(Movimientos_2026[[#This Row],[Fecha]])</f>
        <v>5</v>
      </c>
      <c r="C1433" s="12" t="str">
        <f>VLOOKUP((WEEKDAY(Movimientos_2026[[#This Row],[Fecha]],2)),'5. Setup'!$D$6:$E$12,2,FALSE)</f>
        <v>Lun</v>
      </c>
      <c r="D1433">
        <v>1044266</v>
      </c>
      <c r="E1433" t="str">
        <f>IFERROR(+VLOOKUP(Movimientos_2026[[#This Row],[Codigo]],Plan_cuentas[],2,FALSE)," ")</f>
        <v>INGRESOS</v>
      </c>
      <c r="F1433" t="str">
        <f>IFERROR(+VLOOKUP(Movimientos_2026[[#This Row],[Codigo]],Plan_cuentas[],3,FALSE)," ")</f>
        <v>Transferencia</v>
      </c>
      <c r="G1433" t="str">
        <f>IFERROR(+VLOOKUP(Movimientos_2026[[#This Row],[Codigo]],Plan_cuentas[],4,FALSE)," ")</f>
        <v>Rentas</v>
      </c>
      <c r="H1433" t="str">
        <f>IFERROR(+VLOOKUP(Movimientos_2026[[#This Row],[Codigo]],Plan_cuentas[],5,FALSE)," ")</f>
        <v>LA PAMPA</v>
      </c>
      <c r="I1433" s="43">
        <v>46113</v>
      </c>
      <c r="J1433" t="s">
        <v>624</v>
      </c>
      <c r="K1433" t="str">
        <f>IFERROR(+VLOOKUP(Movimientos_2026[[#This Row],[Codigo]],Plan_cuentas[],6,FALSE)," ")</f>
        <v>6 - FCAtr - Fiat Transf.</v>
      </c>
      <c r="L1433" s="50">
        <v>5685514.7400000002</v>
      </c>
      <c r="M1433" s="50"/>
      <c r="N1433" s="20">
        <f>+Movimientos_2026[[#This Row],[Ingresos]]-Movimientos_2026[[#This Row],[Egresos]]</f>
        <v>5685514.7400000002</v>
      </c>
      <c r="O1433" s="20">
        <f>+O1432+Movimientos_2026[[#This Row],[Neto]]</f>
        <v>5215274812.7085457</v>
      </c>
    </row>
    <row r="1434" spans="1:15" x14ac:dyDescent="0.25">
      <c r="A1434" s="13">
        <v>46146</v>
      </c>
      <c r="B1434" s="12">
        <f>MONTH(Movimientos_2026[[#This Row],[Fecha]])</f>
        <v>5</v>
      </c>
      <c r="C1434" s="12" t="str">
        <f>VLOOKUP((WEEKDAY(Movimientos_2026[[#This Row],[Fecha]],2)),'5. Setup'!$D$6:$E$12,2,FALSE)</f>
        <v>Lun</v>
      </c>
      <c r="D1434">
        <v>1044264</v>
      </c>
      <c r="E1434" t="str">
        <f>IFERROR(+VLOOKUP(Movimientos_2026[[#This Row],[Codigo]],Plan_cuentas[],2,FALSE)," ")</f>
        <v>INGRESOS</v>
      </c>
      <c r="F1434" t="str">
        <f>IFERROR(+VLOOKUP(Movimientos_2026[[#This Row],[Codigo]],Plan_cuentas[],3,FALSE)," ")</f>
        <v>Transferencia</v>
      </c>
      <c r="G1434" t="str">
        <f>IFERROR(+VLOOKUP(Movimientos_2026[[#This Row],[Codigo]],Plan_cuentas[],4,FALSE)," ")</f>
        <v>Rentas</v>
      </c>
      <c r="H1434" t="str">
        <f>IFERROR(+VLOOKUP(Movimientos_2026[[#This Row],[Codigo]],Plan_cuentas[],5,FALSE)," ")</f>
        <v>LA PAMPA</v>
      </c>
      <c r="I1434" s="43">
        <v>46113</v>
      </c>
      <c r="J1434" t="s">
        <v>624</v>
      </c>
      <c r="K1434" t="str">
        <f>IFERROR(+VLOOKUP(Movimientos_2026[[#This Row],[Codigo]],Plan_cuentas[],6,FALSE)," ")</f>
        <v>4 - FCA - Fiat</v>
      </c>
      <c r="L1434" s="50">
        <v>60203.57</v>
      </c>
      <c r="M1434" s="50"/>
      <c r="N1434" s="20">
        <f>+Movimientos_2026[[#This Row],[Ingresos]]-Movimientos_2026[[#This Row],[Egresos]]</f>
        <v>60203.57</v>
      </c>
      <c r="O1434" s="20">
        <f>+O1433+Movimientos_2026[[#This Row],[Neto]]</f>
        <v>5215335016.2785454</v>
      </c>
    </row>
    <row r="1435" spans="1:15" x14ac:dyDescent="0.25">
      <c r="A1435" s="13">
        <v>46146</v>
      </c>
      <c r="B1435" s="12">
        <f>MONTH(Movimientos_2026[[#This Row],[Fecha]])</f>
        <v>5</v>
      </c>
      <c r="C1435" s="12" t="str">
        <f>VLOOKUP((WEEKDAY(Movimientos_2026[[#This Row],[Fecha]],2)),'5. Setup'!$D$6:$E$12,2,FALSE)</f>
        <v>Lun</v>
      </c>
      <c r="D1435">
        <v>1044274</v>
      </c>
      <c r="E1435" t="str">
        <f>IFERROR(+VLOOKUP(Movimientos_2026[[#This Row],[Codigo]],Plan_cuentas[],2,FALSE)," ")</f>
        <v>INGRESOS</v>
      </c>
      <c r="F1435" t="str">
        <f>IFERROR(+VLOOKUP(Movimientos_2026[[#This Row],[Codigo]],Plan_cuentas[],3,FALSE)," ")</f>
        <v>Transferencia</v>
      </c>
      <c r="G1435" t="str">
        <f>IFERROR(+VLOOKUP(Movimientos_2026[[#This Row],[Codigo]],Plan_cuentas[],4,FALSE)," ")</f>
        <v>Rentas</v>
      </c>
      <c r="H1435" t="str">
        <f>IFERROR(+VLOOKUP(Movimientos_2026[[#This Row],[Codigo]],Plan_cuentas[],5,FALSE)," ")</f>
        <v>LA RIOJA</v>
      </c>
      <c r="I1435" s="43">
        <v>46113</v>
      </c>
      <c r="J1435" t="s">
        <v>624</v>
      </c>
      <c r="K1435" t="str">
        <f>IFERROR(+VLOOKUP(Movimientos_2026[[#This Row],[Codigo]],Plan_cuentas[],6,FALSE)," ")</f>
        <v>4 - FCA - Fiat</v>
      </c>
      <c r="L1435" s="50">
        <v>12227165.449999999</v>
      </c>
      <c r="M1435" s="50"/>
      <c r="N1435" s="20">
        <f>+Movimientos_2026[[#This Row],[Ingresos]]-Movimientos_2026[[#This Row],[Egresos]]</f>
        <v>12227165.449999999</v>
      </c>
      <c r="O1435" s="20">
        <f>+O1434+Movimientos_2026[[#This Row],[Neto]]</f>
        <v>5227562181.7285452</v>
      </c>
    </row>
    <row r="1436" spans="1:15" x14ac:dyDescent="0.25">
      <c r="A1436" s="13">
        <v>46146</v>
      </c>
      <c r="B1436" s="12">
        <f>MONTH(Movimientos_2026[[#This Row],[Fecha]])</f>
        <v>5</v>
      </c>
      <c r="C1436" s="12" t="str">
        <f>VLOOKUP((WEEKDAY(Movimientos_2026[[#This Row],[Fecha]],2)),'5. Setup'!$D$6:$E$12,2,FALSE)</f>
        <v>Lun</v>
      </c>
      <c r="D1436">
        <v>1044284</v>
      </c>
      <c r="E1436" t="str">
        <f>IFERROR(+VLOOKUP(Movimientos_2026[[#This Row],[Codigo]],Plan_cuentas[],2,FALSE)," ")</f>
        <v>INGRESOS</v>
      </c>
      <c r="F1436" t="str">
        <f>IFERROR(+VLOOKUP(Movimientos_2026[[#This Row],[Codigo]],Plan_cuentas[],3,FALSE)," ")</f>
        <v>Transferencia</v>
      </c>
      <c r="G1436" t="str">
        <f>IFERROR(+VLOOKUP(Movimientos_2026[[#This Row],[Codigo]],Plan_cuentas[],4,FALSE)," ")</f>
        <v>Rentas</v>
      </c>
      <c r="H1436" t="str">
        <f>IFERROR(+VLOOKUP(Movimientos_2026[[#This Row],[Codigo]],Plan_cuentas[],5,FALSE)," ")</f>
        <v>MENDOZA</v>
      </c>
      <c r="I1436" s="43">
        <v>46113</v>
      </c>
      <c r="J1436" t="s">
        <v>624</v>
      </c>
      <c r="K1436" t="str">
        <f>IFERROR(+VLOOKUP(Movimientos_2026[[#This Row],[Codigo]],Plan_cuentas[],6,FALSE)," ")</f>
        <v>4 - FCA - Fiat</v>
      </c>
      <c r="L1436" s="50">
        <v>131146600</v>
      </c>
      <c r="M1436" s="50"/>
      <c r="N1436" s="20">
        <f>+Movimientos_2026[[#This Row],[Ingresos]]-Movimientos_2026[[#This Row],[Egresos]]</f>
        <v>131146600</v>
      </c>
      <c r="O1436" s="20">
        <f>+O1435+Movimientos_2026[[#This Row],[Neto]]</f>
        <v>5358708781.7285452</v>
      </c>
    </row>
    <row r="1437" spans="1:15" x14ac:dyDescent="0.25">
      <c r="A1437" s="13">
        <v>46146</v>
      </c>
      <c r="B1437" s="12">
        <f>MONTH(Movimientos_2026[[#This Row],[Fecha]])</f>
        <v>5</v>
      </c>
      <c r="C1437" s="12" t="str">
        <f>VLOOKUP((WEEKDAY(Movimientos_2026[[#This Row],[Fecha]],2)),'5. Setup'!$D$6:$E$12,2,FALSE)</f>
        <v>Lun</v>
      </c>
      <c r="D1437">
        <v>1044286</v>
      </c>
      <c r="E1437" t="str">
        <f>IFERROR(+VLOOKUP(Movimientos_2026[[#This Row],[Codigo]],Plan_cuentas[],2,FALSE)," ")</f>
        <v>INGRESOS</v>
      </c>
      <c r="F1437" t="str">
        <f>IFERROR(+VLOOKUP(Movimientos_2026[[#This Row],[Codigo]],Plan_cuentas[],3,FALSE)," ")</f>
        <v>Transferencia</v>
      </c>
      <c r="G1437" t="str">
        <f>IFERROR(+VLOOKUP(Movimientos_2026[[#This Row],[Codigo]],Plan_cuentas[],4,FALSE)," ")</f>
        <v>Rentas</v>
      </c>
      <c r="H1437" t="str">
        <f>IFERROR(+VLOOKUP(Movimientos_2026[[#This Row],[Codigo]],Plan_cuentas[],5,FALSE)," ")</f>
        <v>MENDOZA</v>
      </c>
      <c r="I1437" s="43">
        <v>46113</v>
      </c>
      <c r="J1437" t="s">
        <v>624</v>
      </c>
      <c r="K1437" t="str">
        <f>IFERROR(+VLOOKUP(Movimientos_2026[[#This Row],[Codigo]],Plan_cuentas[],6,FALSE)," ")</f>
        <v>6 - FCAtr - Fiat Transf.</v>
      </c>
      <c r="L1437" s="50">
        <v>8313588.2300000004</v>
      </c>
      <c r="M1437" s="50"/>
      <c r="N1437" s="20">
        <f>+Movimientos_2026[[#This Row],[Ingresos]]-Movimientos_2026[[#This Row],[Egresos]]</f>
        <v>8313588.2300000004</v>
      </c>
      <c r="O1437" s="20">
        <f>+O1436+Movimientos_2026[[#This Row],[Neto]]</f>
        <v>5367022369.9585447</v>
      </c>
    </row>
    <row r="1438" spans="1:15" x14ac:dyDescent="0.25">
      <c r="A1438" s="13">
        <v>46146</v>
      </c>
      <c r="B1438" s="12">
        <f>MONTH(Movimientos_2026[[#This Row],[Fecha]])</f>
        <v>5</v>
      </c>
      <c r="C1438" s="12" t="str">
        <f>VLOOKUP((WEEKDAY(Movimientos_2026[[#This Row],[Fecha]],2)),'5. Setup'!$D$6:$E$12,2,FALSE)</f>
        <v>Lun</v>
      </c>
      <c r="D1438">
        <v>1044464</v>
      </c>
      <c r="E1438" t="str">
        <f>IFERROR(+VLOOKUP(Movimientos_2026[[#This Row],[Codigo]],Plan_cuentas[],2,FALSE)," ")</f>
        <v>INGRESOS</v>
      </c>
      <c r="F1438" t="str">
        <f>IFERROR(+VLOOKUP(Movimientos_2026[[#This Row],[Codigo]],Plan_cuentas[],3,FALSE)," ")</f>
        <v>Transferencia</v>
      </c>
      <c r="G1438" t="str">
        <f>IFERROR(+VLOOKUP(Movimientos_2026[[#This Row],[Codigo]],Plan_cuentas[],4,FALSE)," ")</f>
        <v>Rentas</v>
      </c>
      <c r="H1438" t="str">
        <f>IFERROR(+VLOOKUP(Movimientos_2026[[#This Row],[Codigo]],Plan_cuentas[],5,FALSE)," ")</f>
        <v>MISIONES</v>
      </c>
      <c r="I1438" s="43">
        <v>46113</v>
      </c>
      <c r="J1438" t="s">
        <v>624</v>
      </c>
      <c r="K1438" t="str">
        <f>IFERROR(+VLOOKUP(Movimientos_2026[[#This Row],[Codigo]],Plan_cuentas[],6,FALSE)," ")</f>
        <v>4 - FCA - Fiat</v>
      </c>
      <c r="L1438" s="50">
        <v>7444682.4000000004</v>
      </c>
      <c r="M1438" s="50"/>
      <c r="N1438" s="20">
        <f>+Movimientos_2026[[#This Row],[Ingresos]]-Movimientos_2026[[#This Row],[Egresos]]</f>
        <v>7444682.4000000004</v>
      </c>
      <c r="O1438" s="20">
        <f>+O1437+Movimientos_2026[[#This Row],[Neto]]</f>
        <v>5374467052.3585443</v>
      </c>
    </row>
    <row r="1439" spans="1:15" x14ac:dyDescent="0.25">
      <c r="A1439" s="13">
        <v>46146</v>
      </c>
      <c r="B1439" s="12">
        <f>MONTH(Movimientos_2026[[#This Row],[Fecha]])</f>
        <v>5</v>
      </c>
      <c r="C1439" s="12" t="str">
        <f>VLOOKUP((WEEKDAY(Movimientos_2026[[#This Row],[Fecha]],2)),'5. Setup'!$D$6:$E$12,2,FALSE)</f>
        <v>Lun</v>
      </c>
      <c r="D1439">
        <v>1044324</v>
      </c>
      <c r="E1439" t="str">
        <f>IFERROR(+VLOOKUP(Movimientos_2026[[#This Row],[Codigo]],Plan_cuentas[],2,FALSE)," ")</f>
        <v>INGRESOS</v>
      </c>
      <c r="F1439" t="str">
        <f>IFERROR(+VLOOKUP(Movimientos_2026[[#This Row],[Codigo]],Plan_cuentas[],3,FALSE)," ")</f>
        <v>Transferencia</v>
      </c>
      <c r="G1439" t="str">
        <f>IFERROR(+VLOOKUP(Movimientos_2026[[#This Row],[Codigo]],Plan_cuentas[],4,FALSE)," ")</f>
        <v>Rentas</v>
      </c>
      <c r="H1439" t="str">
        <f>IFERROR(+VLOOKUP(Movimientos_2026[[#This Row],[Codigo]],Plan_cuentas[],5,FALSE)," ")</f>
        <v>NEUQUEN 2° Q</v>
      </c>
      <c r="I1439" s="43">
        <v>46113</v>
      </c>
      <c r="J1439" t="s">
        <v>624</v>
      </c>
      <c r="K1439" t="str">
        <f>IFERROR(+VLOOKUP(Movimientos_2026[[#This Row],[Codigo]],Plan_cuentas[],6,FALSE)," ")</f>
        <v>4 - FCA - Fiat</v>
      </c>
      <c r="L1439" s="50">
        <v>67038680</v>
      </c>
      <c r="M1439" s="50"/>
      <c r="N1439" s="20">
        <f>+Movimientos_2026[[#This Row],[Ingresos]]-Movimientos_2026[[#This Row],[Egresos]]</f>
        <v>67038680</v>
      </c>
      <c r="O1439" s="20">
        <f>+O1438+Movimientos_2026[[#This Row],[Neto]]</f>
        <v>5441505732.3585443</v>
      </c>
    </row>
    <row r="1440" spans="1:15" x14ac:dyDescent="0.25">
      <c r="A1440" s="13">
        <v>46146</v>
      </c>
      <c r="B1440" s="12">
        <f>MONTH(Movimientos_2026[[#This Row],[Fecha]])</f>
        <v>5</v>
      </c>
      <c r="C1440" s="12" t="str">
        <f>VLOOKUP((WEEKDAY(Movimientos_2026[[#This Row],[Fecha]],2)),'5. Setup'!$D$6:$E$12,2,FALSE)</f>
        <v>Lun</v>
      </c>
      <c r="D1440">
        <v>1044326</v>
      </c>
      <c r="E1440" t="str">
        <f>IFERROR(+VLOOKUP(Movimientos_2026[[#This Row],[Codigo]],Plan_cuentas[],2,FALSE)," ")</f>
        <v>INGRESOS</v>
      </c>
      <c r="F1440" t="str">
        <f>IFERROR(+VLOOKUP(Movimientos_2026[[#This Row],[Codigo]],Plan_cuentas[],3,FALSE)," ")</f>
        <v>Transferencia</v>
      </c>
      <c r="G1440" t="str">
        <f>IFERROR(+VLOOKUP(Movimientos_2026[[#This Row],[Codigo]],Plan_cuentas[],4,FALSE)," ")</f>
        <v>Rentas</v>
      </c>
      <c r="H1440" t="str">
        <f>IFERROR(+VLOOKUP(Movimientos_2026[[#This Row],[Codigo]],Plan_cuentas[],5,FALSE)," ")</f>
        <v>NEUQUEN 2° Q</v>
      </c>
      <c r="I1440" s="43">
        <v>46113</v>
      </c>
      <c r="J1440" t="s">
        <v>624</v>
      </c>
      <c r="K1440" t="str">
        <f>IFERROR(+VLOOKUP(Movimientos_2026[[#This Row],[Codigo]],Plan_cuentas[],6,FALSE)," ")</f>
        <v>6 - FCAtr - Fiat Transf.</v>
      </c>
      <c r="L1440" s="50">
        <v>610382.82999999996</v>
      </c>
      <c r="M1440" s="52"/>
      <c r="N1440" s="20">
        <f>+Movimientos_2026[[#This Row],[Ingresos]]-Movimientos_2026[[#This Row],[Egresos]]</f>
        <v>610382.82999999996</v>
      </c>
      <c r="O1440" s="20">
        <f>+O1439+Movimientos_2026[[#This Row],[Neto]]</f>
        <v>5442116115.1885443</v>
      </c>
    </row>
    <row r="1441" spans="1:15" x14ac:dyDescent="0.25">
      <c r="A1441" s="13">
        <v>46146</v>
      </c>
      <c r="B1441" s="12">
        <f>MONTH(Movimientos_2026[[#This Row],[Fecha]])</f>
        <v>5</v>
      </c>
      <c r="C1441" s="12" t="str">
        <f>VLOOKUP((WEEKDAY(Movimientos_2026[[#This Row],[Fecha]],2)),'5. Setup'!$D$6:$E$12,2,FALSE)</f>
        <v>Lun</v>
      </c>
      <c r="D1441">
        <v>1044344</v>
      </c>
      <c r="E1441" t="str">
        <f>IFERROR(+VLOOKUP(Movimientos_2026[[#This Row],[Codigo]],Plan_cuentas[],2,FALSE)," ")</f>
        <v>INGRESOS</v>
      </c>
      <c r="F1441" t="str">
        <f>IFERROR(+VLOOKUP(Movimientos_2026[[#This Row],[Codigo]],Plan_cuentas[],3,FALSE)," ")</f>
        <v>Transferencia</v>
      </c>
      <c r="G1441" t="str">
        <f>IFERROR(+VLOOKUP(Movimientos_2026[[#This Row],[Codigo]],Plan_cuentas[],4,FALSE)," ")</f>
        <v>Rentas</v>
      </c>
      <c r="H1441" t="str">
        <f>IFERROR(+VLOOKUP(Movimientos_2026[[#This Row],[Codigo]],Plan_cuentas[],5,FALSE)," ")</f>
        <v>RIO NEGRO</v>
      </c>
      <c r="I1441" s="43">
        <v>46113</v>
      </c>
      <c r="J1441" t="s">
        <v>624</v>
      </c>
      <c r="K1441" t="str">
        <f>IFERROR(+VLOOKUP(Movimientos_2026[[#This Row],[Codigo]],Plan_cuentas[],6,FALSE)," ")</f>
        <v>4 - FCA - Fiat</v>
      </c>
      <c r="L1441" s="50">
        <v>299300</v>
      </c>
      <c r="M1441" s="52"/>
      <c r="N1441" s="20">
        <f>+Movimientos_2026[[#This Row],[Ingresos]]-Movimientos_2026[[#This Row],[Egresos]]</f>
        <v>299300</v>
      </c>
      <c r="O1441" s="20">
        <f>+O1440+Movimientos_2026[[#This Row],[Neto]]</f>
        <v>5442415415.1885443</v>
      </c>
    </row>
    <row r="1442" spans="1:15" x14ac:dyDescent="0.25">
      <c r="A1442" s="13">
        <v>46146</v>
      </c>
      <c r="B1442" s="12">
        <f>MONTH(Movimientos_2026[[#This Row],[Fecha]])</f>
        <v>5</v>
      </c>
      <c r="C1442" s="12" t="str">
        <f>VLOOKUP((WEEKDAY(Movimientos_2026[[#This Row],[Fecha]],2)),'5. Setup'!$D$6:$E$12,2,FALSE)</f>
        <v>Lun</v>
      </c>
      <c r="D1442">
        <v>1044354</v>
      </c>
      <c r="E1442" t="str">
        <f>IFERROR(+VLOOKUP(Movimientos_2026[[#This Row],[Codigo]],Plan_cuentas[],2,FALSE)," ")</f>
        <v>INGRESOS</v>
      </c>
      <c r="F1442" t="str">
        <f>IFERROR(+VLOOKUP(Movimientos_2026[[#This Row],[Codigo]],Plan_cuentas[],3,FALSE)," ")</f>
        <v>Transferencia</v>
      </c>
      <c r="G1442" t="str">
        <f>IFERROR(+VLOOKUP(Movimientos_2026[[#This Row],[Codigo]],Plan_cuentas[],4,FALSE)," ")</f>
        <v>Rentas</v>
      </c>
      <c r="H1442" t="str">
        <f>IFERROR(+VLOOKUP(Movimientos_2026[[#This Row],[Codigo]],Plan_cuentas[],5,FALSE)," ")</f>
        <v>SAN JUAN</v>
      </c>
      <c r="I1442" s="43">
        <v>46113</v>
      </c>
      <c r="J1442" t="s">
        <v>624</v>
      </c>
      <c r="K1442" t="str">
        <f>IFERROR(+VLOOKUP(Movimientos_2026[[#This Row],[Codigo]],Plan_cuentas[],6,FALSE)," ")</f>
        <v>4 - FCA - Fiat</v>
      </c>
      <c r="L1442" s="50">
        <v>6285840</v>
      </c>
      <c r="M1442" s="52"/>
      <c r="N1442" s="20">
        <f>+Movimientos_2026[[#This Row],[Ingresos]]-Movimientos_2026[[#This Row],[Egresos]]</f>
        <v>6285840</v>
      </c>
      <c r="O1442" s="20">
        <f>+O1441+Movimientos_2026[[#This Row],[Neto]]</f>
        <v>5448701255.1885443</v>
      </c>
    </row>
    <row r="1443" spans="1:15" x14ac:dyDescent="0.25">
      <c r="A1443" s="13">
        <v>46146</v>
      </c>
      <c r="B1443" s="12">
        <f>MONTH(Movimientos_2026[[#This Row],[Fecha]])</f>
        <v>5</v>
      </c>
      <c r="C1443" s="12" t="str">
        <f>VLOOKUP((WEEKDAY(Movimientos_2026[[#This Row],[Fecha]],2)),'5. Setup'!$D$6:$E$12,2,FALSE)</f>
        <v>Lun</v>
      </c>
      <c r="D1443">
        <v>1044356</v>
      </c>
      <c r="E1443" t="str">
        <f>IFERROR(+VLOOKUP(Movimientos_2026[[#This Row],[Codigo]],Plan_cuentas[],2,FALSE)," ")</f>
        <v>INGRESOS</v>
      </c>
      <c r="F1443" t="str">
        <f>IFERROR(+VLOOKUP(Movimientos_2026[[#This Row],[Codigo]],Plan_cuentas[],3,FALSE)," ")</f>
        <v>Transferencia</v>
      </c>
      <c r="G1443" t="str">
        <f>IFERROR(+VLOOKUP(Movimientos_2026[[#This Row],[Codigo]],Plan_cuentas[],4,FALSE)," ")</f>
        <v>Rentas</v>
      </c>
      <c r="H1443" t="str">
        <f>IFERROR(+VLOOKUP(Movimientos_2026[[#This Row],[Codigo]],Plan_cuentas[],5,FALSE)," ")</f>
        <v>SAN JUAN</v>
      </c>
      <c r="I1443" s="43">
        <v>46113</v>
      </c>
      <c r="J1443" t="s">
        <v>624</v>
      </c>
      <c r="K1443" t="str">
        <f>IFERROR(+VLOOKUP(Movimientos_2026[[#This Row],[Codigo]],Plan_cuentas[],6,FALSE)," ")</f>
        <v>6 - FCAtr - Fiat Transf.</v>
      </c>
      <c r="L1443" s="50">
        <v>5688920.75</v>
      </c>
      <c r="M1443" s="52"/>
      <c r="N1443" s="20">
        <f>+Movimientos_2026[[#This Row],[Ingresos]]-Movimientos_2026[[#This Row],[Egresos]]</f>
        <v>5688920.75</v>
      </c>
      <c r="O1443" s="20">
        <f>+O1442+Movimientos_2026[[#This Row],[Neto]]</f>
        <v>5454390175.9385443</v>
      </c>
    </row>
    <row r="1444" spans="1:15" x14ac:dyDescent="0.25">
      <c r="A1444" s="13">
        <v>46146</v>
      </c>
      <c r="B1444" s="12">
        <f>MONTH(Movimientos_2026[[#This Row],[Fecha]])</f>
        <v>5</v>
      </c>
      <c r="C1444" s="12" t="str">
        <f>VLOOKUP((WEEKDAY(Movimientos_2026[[#This Row],[Fecha]],2)),'5. Setup'!$D$6:$E$12,2,FALSE)</f>
        <v>Lun</v>
      </c>
      <c r="D1444">
        <v>1044364</v>
      </c>
      <c r="E1444" t="str">
        <f>IFERROR(+VLOOKUP(Movimientos_2026[[#This Row],[Codigo]],Plan_cuentas[],2,FALSE)," ")</f>
        <v>INGRESOS</v>
      </c>
      <c r="F1444" t="str">
        <f>IFERROR(+VLOOKUP(Movimientos_2026[[#This Row],[Codigo]],Plan_cuentas[],3,FALSE)," ")</f>
        <v>Transferencia</v>
      </c>
      <c r="G1444" t="str">
        <f>IFERROR(+VLOOKUP(Movimientos_2026[[#This Row],[Codigo]],Plan_cuentas[],4,FALSE)," ")</f>
        <v>Rentas</v>
      </c>
      <c r="H1444" t="str">
        <f>IFERROR(+VLOOKUP(Movimientos_2026[[#This Row],[Codigo]],Plan_cuentas[],5,FALSE)," ")</f>
        <v>SAN LUIS</v>
      </c>
      <c r="I1444" s="43">
        <v>46113</v>
      </c>
      <c r="J1444" t="s">
        <v>624</v>
      </c>
      <c r="K1444" t="str">
        <f>IFERROR(+VLOOKUP(Movimientos_2026[[#This Row],[Codigo]],Plan_cuentas[],6,FALSE)," ")</f>
        <v>4 - FCA - Fiat</v>
      </c>
      <c r="L1444" s="50">
        <v>35282711.990000002</v>
      </c>
      <c r="M1444" s="52"/>
      <c r="N1444" s="20">
        <f>+Movimientos_2026[[#This Row],[Ingresos]]-Movimientos_2026[[#This Row],[Egresos]]</f>
        <v>35282711.990000002</v>
      </c>
      <c r="O1444" s="20">
        <f>+O1443+Movimientos_2026[[#This Row],[Neto]]</f>
        <v>5489672887.928544</v>
      </c>
    </row>
    <row r="1445" spans="1:15" x14ac:dyDescent="0.25">
      <c r="A1445" s="13">
        <v>46146</v>
      </c>
      <c r="B1445" s="12">
        <f>MONTH(Movimientos_2026[[#This Row],[Fecha]])</f>
        <v>5</v>
      </c>
      <c r="C1445" s="12" t="str">
        <f>VLOOKUP((WEEKDAY(Movimientos_2026[[#This Row],[Fecha]],2)),'5. Setup'!$D$6:$E$12,2,FALSE)</f>
        <v>Lun</v>
      </c>
      <c r="D1445">
        <v>1044374</v>
      </c>
      <c r="E1445" t="str">
        <f>IFERROR(+VLOOKUP(Movimientos_2026[[#This Row],[Codigo]],Plan_cuentas[],2,FALSE)," ")</f>
        <v>INGRESOS</v>
      </c>
      <c r="F1445" t="str">
        <f>IFERROR(+VLOOKUP(Movimientos_2026[[#This Row],[Codigo]],Plan_cuentas[],3,FALSE)," ")</f>
        <v>Transferencia</v>
      </c>
      <c r="G1445" t="str">
        <f>IFERROR(+VLOOKUP(Movimientos_2026[[#This Row],[Codigo]],Plan_cuentas[],4,FALSE)," ")</f>
        <v>Rentas</v>
      </c>
      <c r="H1445" t="str">
        <f>IFERROR(+VLOOKUP(Movimientos_2026[[#This Row],[Codigo]],Plan_cuentas[],5,FALSE)," ")</f>
        <v>SANTA CRUZ</v>
      </c>
      <c r="I1445" s="43">
        <v>46113</v>
      </c>
      <c r="J1445" t="s">
        <v>624</v>
      </c>
      <c r="K1445" t="str">
        <f>IFERROR(+VLOOKUP(Movimientos_2026[[#This Row],[Codigo]],Plan_cuentas[],6,FALSE)," ")</f>
        <v>4 - FCA - Fiat</v>
      </c>
      <c r="L1445" s="50">
        <v>26414708.420000002</v>
      </c>
      <c r="M1445" s="52"/>
      <c r="N1445" s="20">
        <f>+Movimientos_2026[[#This Row],[Ingresos]]-Movimientos_2026[[#This Row],[Egresos]]</f>
        <v>26414708.420000002</v>
      </c>
      <c r="O1445" s="20">
        <f>+O1444+Movimientos_2026[[#This Row],[Neto]]</f>
        <v>5516087596.3485441</v>
      </c>
    </row>
    <row r="1446" spans="1:15" x14ac:dyDescent="0.25">
      <c r="A1446" s="13">
        <v>46146</v>
      </c>
      <c r="B1446" s="12">
        <f>MONTH(Movimientos_2026[[#This Row],[Fecha]])</f>
        <v>5</v>
      </c>
      <c r="C1446" s="12" t="str">
        <f>VLOOKUP((WEEKDAY(Movimientos_2026[[#This Row],[Fecha]],2)),'5. Setup'!$D$6:$E$12,2,FALSE)</f>
        <v>Lun</v>
      </c>
      <c r="D1446">
        <v>1044404</v>
      </c>
      <c r="E1446" t="str">
        <f>IFERROR(+VLOOKUP(Movimientos_2026[[#This Row],[Codigo]],Plan_cuentas[],2,FALSE)," ")</f>
        <v>INGRESOS</v>
      </c>
      <c r="F1446" t="str">
        <f>IFERROR(+VLOOKUP(Movimientos_2026[[#This Row],[Codigo]],Plan_cuentas[],3,FALSE)," ")</f>
        <v>Transferencia</v>
      </c>
      <c r="G1446" t="str">
        <f>IFERROR(+VLOOKUP(Movimientos_2026[[#This Row],[Codigo]],Plan_cuentas[],4,FALSE)," ")</f>
        <v>Rentas</v>
      </c>
      <c r="H1446" t="str">
        <f>IFERROR(+VLOOKUP(Movimientos_2026[[#This Row],[Codigo]],Plan_cuentas[],5,FALSE)," ")</f>
        <v>SANTIAGO DEL ESTERO</v>
      </c>
      <c r="I1446" s="43">
        <v>46113</v>
      </c>
      <c r="J1446" t="s">
        <v>624</v>
      </c>
      <c r="K1446" t="str">
        <f>IFERROR(+VLOOKUP(Movimientos_2026[[#This Row],[Codigo]],Plan_cuentas[],6,FALSE)," ")</f>
        <v>4 - FCA - Fiat</v>
      </c>
      <c r="L1446" s="50">
        <v>25988975.75</v>
      </c>
      <c r="M1446" s="52"/>
      <c r="N1446" s="20">
        <f>+Movimientos_2026[[#This Row],[Ingresos]]-Movimientos_2026[[#This Row],[Egresos]]</f>
        <v>25988975.75</v>
      </c>
      <c r="O1446" s="20">
        <f>+O1445+Movimientos_2026[[#This Row],[Neto]]</f>
        <v>5542076572.0985441</v>
      </c>
    </row>
    <row r="1447" spans="1:15" x14ac:dyDescent="0.25">
      <c r="A1447" s="13">
        <v>46146</v>
      </c>
      <c r="B1447" s="12">
        <f>MONTH(Movimientos_2026[[#This Row],[Fecha]])</f>
        <v>5</v>
      </c>
      <c r="C1447" s="12" t="str">
        <f>VLOOKUP((WEEKDAY(Movimientos_2026[[#This Row],[Fecha]],2)),'5. Setup'!$D$6:$E$12,2,FALSE)</f>
        <v>Lun</v>
      </c>
      <c r="D1447">
        <v>1044406</v>
      </c>
      <c r="E1447" t="str">
        <f>IFERROR(+VLOOKUP(Movimientos_2026[[#This Row],[Codigo]],Plan_cuentas[],2,FALSE)," ")</f>
        <v>INGRESOS</v>
      </c>
      <c r="F1447" t="str">
        <f>IFERROR(+VLOOKUP(Movimientos_2026[[#This Row],[Codigo]],Plan_cuentas[],3,FALSE)," ")</f>
        <v>Transferencia</v>
      </c>
      <c r="G1447" t="str">
        <f>IFERROR(+VLOOKUP(Movimientos_2026[[#This Row],[Codigo]],Plan_cuentas[],4,FALSE)," ")</f>
        <v>Rentas</v>
      </c>
      <c r="H1447" t="str">
        <f>IFERROR(+VLOOKUP(Movimientos_2026[[#This Row],[Codigo]],Plan_cuentas[],5,FALSE)," ")</f>
        <v>SANTIAGO DEL ESTERO</v>
      </c>
      <c r="I1447" s="43">
        <v>46113</v>
      </c>
      <c r="J1447" t="s">
        <v>624</v>
      </c>
      <c r="K1447" t="str">
        <f>IFERROR(+VLOOKUP(Movimientos_2026[[#This Row],[Codigo]],Plan_cuentas[],6,FALSE)," ")</f>
        <v>6 - FCAtr - Fiat Transf.</v>
      </c>
      <c r="L1447" s="50">
        <v>899004.72</v>
      </c>
      <c r="M1447" s="52"/>
      <c r="N1447" s="20">
        <f>+Movimientos_2026[[#This Row],[Ingresos]]-Movimientos_2026[[#This Row],[Egresos]]</f>
        <v>899004.72</v>
      </c>
      <c r="O1447" s="20">
        <f>+O1446+Movimientos_2026[[#This Row],[Neto]]</f>
        <v>5542975576.8185444</v>
      </c>
    </row>
    <row r="1448" spans="1:15" x14ac:dyDescent="0.25">
      <c r="A1448" s="13">
        <v>46146</v>
      </c>
      <c r="B1448" s="12">
        <f>MONTH(Movimientos_2026[[#This Row],[Fecha]])</f>
        <v>5</v>
      </c>
      <c r="C1448" s="12" t="str">
        <f>VLOOKUP((WEEKDAY(Movimientos_2026[[#This Row],[Fecha]],2)),'5. Setup'!$D$6:$E$12,2,FALSE)</f>
        <v>Lun</v>
      </c>
      <c r="D1448">
        <v>1044404</v>
      </c>
      <c r="E1448" t="str">
        <f>IFERROR(+VLOOKUP(Movimientos_2026[[#This Row],[Codigo]],Plan_cuentas[],2,FALSE)," ")</f>
        <v>INGRESOS</v>
      </c>
      <c r="F1448" t="str">
        <f>IFERROR(+VLOOKUP(Movimientos_2026[[#This Row],[Codigo]],Plan_cuentas[],3,FALSE)," ")</f>
        <v>Transferencia</v>
      </c>
      <c r="G1448" t="str">
        <f>IFERROR(+VLOOKUP(Movimientos_2026[[#This Row],[Codigo]],Plan_cuentas[],4,FALSE)," ")</f>
        <v>Rentas</v>
      </c>
      <c r="H1448" t="str">
        <f>IFERROR(+VLOOKUP(Movimientos_2026[[#This Row],[Codigo]],Plan_cuentas[],5,FALSE)," ")</f>
        <v>SANTIAGO DEL ESTERO</v>
      </c>
      <c r="I1448" s="43">
        <v>46113</v>
      </c>
      <c r="J1448" t="s">
        <v>624</v>
      </c>
      <c r="K1448" t="str">
        <f>IFERROR(+VLOOKUP(Movimientos_2026[[#This Row],[Codigo]],Plan_cuentas[],6,FALSE)," ")</f>
        <v>4 - FCA - Fiat</v>
      </c>
      <c r="L1448" s="50">
        <v>15416961.9</v>
      </c>
      <c r="M1448" s="50"/>
      <c r="N1448" s="20">
        <f>+Movimientos_2026[[#This Row],[Ingresos]]-Movimientos_2026[[#This Row],[Egresos]]</f>
        <v>15416961.9</v>
      </c>
      <c r="O1448" s="20">
        <f>+O1447+Movimientos_2026[[#This Row],[Neto]]</f>
        <v>5558392538.718544</v>
      </c>
    </row>
    <row r="1449" spans="1:15" x14ac:dyDescent="0.25">
      <c r="A1449" s="13">
        <v>46146</v>
      </c>
      <c r="B1449" s="12">
        <f>MONTH(Movimientos_2026[[#This Row],[Fecha]])</f>
        <v>5</v>
      </c>
      <c r="C1449" s="12" t="str">
        <f>VLOOKUP((WEEKDAY(Movimientos_2026[[#This Row],[Fecha]],2)),'5. Setup'!$D$6:$E$12,2,FALSE)</f>
        <v>Lun</v>
      </c>
      <c r="D1449">
        <v>1044414</v>
      </c>
      <c r="E1449" t="str">
        <f>IFERROR(+VLOOKUP(Movimientos_2026[[#This Row],[Codigo]],Plan_cuentas[],2,FALSE)," ")</f>
        <v>INGRESOS</v>
      </c>
      <c r="F1449" t="str">
        <f>IFERROR(+VLOOKUP(Movimientos_2026[[#This Row],[Codigo]],Plan_cuentas[],3,FALSE)," ")</f>
        <v>Transferencia</v>
      </c>
      <c r="G1449" t="str">
        <f>IFERROR(+VLOOKUP(Movimientos_2026[[#This Row],[Codigo]],Plan_cuentas[],4,FALSE)," ")</f>
        <v>Rentas</v>
      </c>
      <c r="H1449" t="str">
        <f>IFERROR(+VLOOKUP(Movimientos_2026[[#This Row],[Codigo]],Plan_cuentas[],5,FALSE)," ")</f>
        <v>TIERRA DEL FUEGO</v>
      </c>
      <c r="I1449" s="43">
        <v>46113</v>
      </c>
      <c r="J1449" t="s">
        <v>624</v>
      </c>
      <c r="K1449" t="str">
        <f>IFERROR(+VLOOKUP(Movimientos_2026[[#This Row],[Codigo]],Plan_cuentas[],6,FALSE)," ")</f>
        <v>4 - FCA - Fiat</v>
      </c>
      <c r="L1449" s="50">
        <v>14625434.949999999</v>
      </c>
      <c r="M1449" s="50"/>
      <c r="N1449" s="20">
        <f>+Movimientos_2026[[#This Row],[Ingresos]]-Movimientos_2026[[#This Row],[Egresos]]</f>
        <v>14625434.949999999</v>
      </c>
      <c r="O1449" s="20">
        <f>+O1448+Movimientos_2026[[#This Row],[Neto]]</f>
        <v>5573017973.6685438</v>
      </c>
    </row>
    <row r="1450" spans="1:15" x14ac:dyDescent="0.25">
      <c r="A1450" s="13">
        <v>46147</v>
      </c>
      <c r="B1450" s="12">
        <f>MONTH(Movimientos_2026[[#This Row],[Fecha]])</f>
        <v>5</v>
      </c>
      <c r="C1450" s="12" t="str">
        <f>VLOOKUP((WEEKDAY(Movimientos_2026[[#This Row],[Fecha]],2)),'5. Setup'!$D$6:$E$12,2,FALSE)</f>
        <v>Mar</v>
      </c>
      <c r="D1450">
        <v>2044122</v>
      </c>
      <c r="E1450" t="str">
        <f>IFERROR(+VLOOKUP(Movimientos_2026[[#This Row],[Codigo]],Plan_cuentas[],2,FALSE)," ")</f>
        <v>EGRESOS</v>
      </c>
      <c r="F1450" t="str">
        <f>IFERROR(+VLOOKUP(Movimientos_2026[[#This Row],[Codigo]],Plan_cuentas[],3,FALSE)," ")</f>
        <v>Transferencia</v>
      </c>
      <c r="G1450" t="str">
        <f>IFERROR(+VLOOKUP(Movimientos_2026[[#This Row],[Codigo]],Plan_cuentas[],4,FALSE)," ")</f>
        <v>Rentas</v>
      </c>
      <c r="H1450" t="str">
        <f>IFERROR(+VLOOKUP(Movimientos_2026[[#This Row],[Codigo]],Plan_cuentas[],5,FALSE)," ")</f>
        <v>BAPRO</v>
      </c>
      <c r="I1450" s="43">
        <v>46082</v>
      </c>
      <c r="J1450" t="s">
        <v>625</v>
      </c>
      <c r="K1450" t="str">
        <f>IFERROR(+VLOOKUP(Movimientos_2026[[#This Row],[Codigo]],Plan_cuentas[],6,FALSE)," ")</f>
        <v>2 - PR - Plan Rombo</v>
      </c>
      <c r="L1450" s="50"/>
      <c r="M1450" s="52">
        <v>15528904.4</v>
      </c>
      <c r="N1450" s="20">
        <f>+Movimientos_2026[[#This Row],[Ingresos]]-Movimientos_2026[[#This Row],[Egresos]]</f>
        <v>-15528904.4</v>
      </c>
      <c r="O1450" s="20">
        <f>+O1449+Movimientos_2026[[#This Row],[Neto]]</f>
        <v>5557489069.2685442</v>
      </c>
    </row>
    <row r="1451" spans="1:15" x14ac:dyDescent="0.25">
      <c r="A1451" s="13">
        <v>46147</v>
      </c>
      <c r="B1451" s="12">
        <f>MONTH(Movimientos_2026[[#This Row],[Fecha]])</f>
        <v>5</v>
      </c>
      <c r="C1451" s="12" t="str">
        <f>VLOOKUP((WEEKDAY(Movimientos_2026[[#This Row],[Fecha]],2)),'5. Setup'!$D$6:$E$12,2,FALSE)</f>
        <v>Mar</v>
      </c>
      <c r="D1451">
        <v>2044122</v>
      </c>
      <c r="E1451" t="str">
        <f>IFERROR(+VLOOKUP(Movimientos_2026[[#This Row],[Codigo]],Plan_cuentas[],2,FALSE)," ")</f>
        <v>EGRESOS</v>
      </c>
      <c r="F1451" t="str">
        <f>IFERROR(+VLOOKUP(Movimientos_2026[[#This Row],[Codigo]],Plan_cuentas[],3,FALSE)," ")</f>
        <v>Transferencia</v>
      </c>
      <c r="G1451" t="str">
        <f>IFERROR(+VLOOKUP(Movimientos_2026[[#This Row],[Codigo]],Plan_cuentas[],4,FALSE)," ")</f>
        <v>Rentas</v>
      </c>
      <c r="H1451" t="str">
        <f>IFERROR(+VLOOKUP(Movimientos_2026[[#This Row],[Codigo]],Plan_cuentas[],5,FALSE)," ")</f>
        <v>BAPRO</v>
      </c>
      <c r="I1451" s="43">
        <v>46082</v>
      </c>
      <c r="J1451" t="s">
        <v>626</v>
      </c>
      <c r="K1451" t="str">
        <f>IFERROR(+VLOOKUP(Movimientos_2026[[#This Row],[Codigo]],Plan_cuentas[],6,FALSE)," ")</f>
        <v>2 - PR - Plan Rombo</v>
      </c>
      <c r="L1451" s="50"/>
      <c r="M1451" s="52">
        <v>14263481.9</v>
      </c>
      <c r="N1451" s="20">
        <f>+Movimientos_2026[[#This Row],[Ingresos]]-Movimientos_2026[[#This Row],[Egresos]]</f>
        <v>-14263481.9</v>
      </c>
      <c r="O1451" s="20">
        <f>+O1450+Movimientos_2026[[#This Row],[Neto]]</f>
        <v>5543225587.3685446</v>
      </c>
    </row>
    <row r="1452" spans="1:15" x14ac:dyDescent="0.25">
      <c r="A1452" s="13">
        <v>46147</v>
      </c>
      <c r="B1452" s="12">
        <f>MONTH(Movimientos_2026[[#This Row],[Fecha]])</f>
        <v>5</v>
      </c>
      <c r="C1452" s="12" t="str">
        <f>VLOOKUP((WEEKDAY(Movimientos_2026[[#This Row],[Fecha]],2)),'5. Setup'!$D$6:$E$12,2,FALSE)</f>
        <v>Mar</v>
      </c>
      <c r="D1452">
        <v>1043155</v>
      </c>
      <c r="E1452" t="str">
        <f>IFERROR(+VLOOKUP(Movimientos_2026[[#This Row],[Codigo]],Plan_cuentas[],2,FALSE)," ")</f>
        <v>INGRESOS</v>
      </c>
      <c r="F1452" t="str">
        <f>IFERROR(+VLOOKUP(Movimientos_2026[[#This Row],[Codigo]],Plan_cuentas[],3,FALSE)," ")</f>
        <v>Transferencia</v>
      </c>
      <c r="G1452" t="str">
        <f>IFERROR(+VLOOKUP(Movimientos_2026[[#This Row],[Codigo]],Plan_cuentas[],4,FALSE)," ")</f>
        <v>Registración</v>
      </c>
      <c r="H1452" t="str">
        <f>IFERROR(+VLOOKUP(Movimientos_2026[[#This Row],[Codigo]],Plan_cuentas[],5,FALSE)," ")</f>
        <v>CABA</v>
      </c>
      <c r="I1452" s="43">
        <v>46082</v>
      </c>
      <c r="J1452" t="s">
        <v>627</v>
      </c>
      <c r="K1452" t="str">
        <f>IFERROR(+VLOOKUP(Movimientos_2026[[#This Row],[Codigo]],Plan_cuentas[],6,FALSE)," ")</f>
        <v>5 - YAM - Yamaha</v>
      </c>
      <c r="L1452" s="50">
        <v>31572309.469999999</v>
      </c>
      <c r="M1452" s="50"/>
      <c r="N1452" s="20">
        <f>+Movimientos_2026[[#This Row],[Ingresos]]-Movimientos_2026[[#This Row],[Egresos]]</f>
        <v>31572309.469999999</v>
      </c>
      <c r="O1452" s="20">
        <f>+O1451+Movimientos_2026[[#This Row],[Neto]]</f>
        <v>5574797896.8385448</v>
      </c>
    </row>
    <row r="1453" spans="1:15" x14ac:dyDescent="0.25">
      <c r="A1453" s="13">
        <v>46147</v>
      </c>
      <c r="B1453" s="12">
        <f>MONTH(Movimientos_2026[[#This Row],[Fecha]])</f>
        <v>5</v>
      </c>
      <c r="C1453" s="12" t="str">
        <f>VLOOKUP((WEEKDAY(Movimientos_2026[[#This Row],[Fecha]],2)),'5. Setup'!$D$6:$E$12,2,FALSE)</f>
        <v>Mar</v>
      </c>
      <c r="D1453">
        <v>1043175</v>
      </c>
      <c r="E1453" t="str">
        <f>IFERROR(+VLOOKUP(Movimientos_2026[[#This Row],[Codigo]],Plan_cuentas[],2,FALSE)," ")</f>
        <v>INGRESOS</v>
      </c>
      <c r="F1453" t="str">
        <f>IFERROR(+VLOOKUP(Movimientos_2026[[#This Row],[Codigo]],Plan_cuentas[],3,FALSE)," ")</f>
        <v>Transferencia</v>
      </c>
      <c r="G1453" t="str">
        <f>IFERROR(+VLOOKUP(Movimientos_2026[[#This Row],[Codigo]],Plan_cuentas[],4,FALSE)," ")</f>
        <v>Registración</v>
      </c>
      <c r="H1453" t="str">
        <f>IFERROR(+VLOOKUP(Movimientos_2026[[#This Row],[Codigo]],Plan_cuentas[],5,FALSE)," ")</f>
        <v>CHUBUT</v>
      </c>
      <c r="I1453" s="43">
        <v>46082</v>
      </c>
      <c r="J1453" t="s">
        <v>627</v>
      </c>
      <c r="K1453" t="str">
        <f>IFERROR(+VLOOKUP(Movimientos_2026[[#This Row],[Codigo]],Plan_cuentas[],6,FALSE)," ")</f>
        <v>5 - YAM - Yamaha</v>
      </c>
      <c r="L1453" s="50">
        <v>92863.53</v>
      </c>
      <c r="M1453" s="50"/>
      <c r="N1453" s="20">
        <f>+Movimientos_2026[[#This Row],[Ingresos]]-Movimientos_2026[[#This Row],[Egresos]]</f>
        <v>92863.53</v>
      </c>
      <c r="O1453" s="20">
        <f>+O1452+Movimientos_2026[[#This Row],[Neto]]</f>
        <v>5574890760.3685446</v>
      </c>
    </row>
    <row r="1454" spans="1:15" x14ac:dyDescent="0.25">
      <c r="A1454" s="13">
        <v>46147</v>
      </c>
      <c r="B1454" s="12">
        <f>MONTH(Movimientos_2026[[#This Row],[Fecha]])</f>
        <v>5</v>
      </c>
      <c r="C1454" s="12" t="str">
        <f>VLOOKUP((WEEKDAY(Movimientos_2026[[#This Row],[Fecha]],2)),'5. Setup'!$D$6:$E$12,2,FALSE)</f>
        <v>Mar</v>
      </c>
      <c r="D1454">
        <v>1043245</v>
      </c>
      <c r="E1454" t="str">
        <f>IFERROR(+VLOOKUP(Movimientos_2026[[#This Row],[Codigo]],Plan_cuentas[],2,FALSE)," ")</f>
        <v>INGRESOS</v>
      </c>
      <c r="F1454" t="str">
        <f>IFERROR(+VLOOKUP(Movimientos_2026[[#This Row],[Codigo]],Plan_cuentas[],3,FALSE)," ")</f>
        <v>Transferencia</v>
      </c>
      <c r="G1454" t="str">
        <f>IFERROR(+VLOOKUP(Movimientos_2026[[#This Row],[Codigo]],Plan_cuentas[],4,FALSE)," ")</f>
        <v>Registración</v>
      </c>
      <c r="H1454" t="str">
        <f>IFERROR(+VLOOKUP(Movimientos_2026[[#This Row],[Codigo]],Plan_cuentas[],5,FALSE)," ")</f>
        <v>FORMOSA</v>
      </c>
      <c r="I1454" s="43">
        <v>46082</v>
      </c>
      <c r="J1454" t="s">
        <v>627</v>
      </c>
      <c r="K1454" t="str">
        <f>IFERROR(+VLOOKUP(Movimientos_2026[[#This Row],[Codigo]],Plan_cuentas[],6,FALSE)," ")</f>
        <v>5 - YAM - Yamaha</v>
      </c>
      <c r="L1454" s="50">
        <v>784219.05</v>
      </c>
      <c r="M1454" s="50"/>
      <c r="N1454" s="20">
        <f>+Movimientos_2026[[#This Row],[Ingresos]]-Movimientos_2026[[#This Row],[Egresos]]</f>
        <v>784219.05</v>
      </c>
      <c r="O1454" s="20">
        <f>+O1453+Movimientos_2026[[#This Row],[Neto]]</f>
        <v>5575674979.4185448</v>
      </c>
    </row>
    <row r="1455" spans="1:15" x14ac:dyDescent="0.25">
      <c r="A1455" s="13">
        <v>46147</v>
      </c>
      <c r="B1455" s="12">
        <f>MONTH(Movimientos_2026[[#This Row],[Fecha]])</f>
        <v>5</v>
      </c>
      <c r="C1455" s="12" t="str">
        <f>VLOOKUP((WEEKDAY(Movimientos_2026[[#This Row],[Fecha]],2)),'5. Setup'!$D$6:$E$12,2,FALSE)</f>
        <v>Mar</v>
      </c>
      <c r="D1455">
        <v>1043385</v>
      </c>
      <c r="E1455" t="str">
        <f>IFERROR(+VLOOKUP(Movimientos_2026[[#This Row],[Codigo]],Plan_cuentas[],2,FALSE)," ")</f>
        <v>INGRESOS</v>
      </c>
      <c r="F1455" t="str">
        <f>IFERROR(+VLOOKUP(Movimientos_2026[[#This Row],[Codigo]],Plan_cuentas[],3,FALSE)," ")</f>
        <v>Transferencia</v>
      </c>
      <c r="G1455" t="str">
        <f>IFERROR(+VLOOKUP(Movimientos_2026[[#This Row],[Codigo]],Plan_cuentas[],4,FALSE)," ")</f>
        <v>Registración</v>
      </c>
      <c r="H1455" t="str">
        <f>IFERROR(+VLOOKUP(Movimientos_2026[[#This Row],[Codigo]],Plan_cuentas[],5,FALSE)," ")</f>
        <v>SANTA FE 1° Q</v>
      </c>
      <c r="I1455" s="43">
        <v>46082</v>
      </c>
      <c r="J1455" t="s">
        <v>627</v>
      </c>
      <c r="K1455" t="str">
        <f>IFERROR(+VLOOKUP(Movimientos_2026[[#This Row],[Codigo]],Plan_cuentas[],6,FALSE)," ")</f>
        <v>5 - YAM - Yamaha</v>
      </c>
      <c r="L1455" s="50">
        <v>1840436.41</v>
      </c>
      <c r="M1455" s="50"/>
      <c r="N1455" s="20">
        <f>+Movimientos_2026[[#This Row],[Ingresos]]-Movimientos_2026[[#This Row],[Egresos]]</f>
        <v>1840436.41</v>
      </c>
      <c r="O1455" s="20">
        <f>+O1454+Movimientos_2026[[#This Row],[Neto]]</f>
        <v>5577515415.8285446</v>
      </c>
    </row>
    <row r="1456" spans="1:15" x14ac:dyDescent="0.25">
      <c r="A1456" s="13">
        <v>46147</v>
      </c>
      <c r="B1456" s="12">
        <f>MONTH(Movimientos_2026[[#This Row],[Fecha]])</f>
        <v>5</v>
      </c>
      <c r="C1456" s="12" t="str">
        <f>VLOOKUP((WEEKDAY(Movimientos_2026[[#This Row],[Fecha]],2)),'5. Setup'!$D$6:$E$12,2,FALSE)</f>
        <v>Mar</v>
      </c>
      <c r="D1456">
        <v>1044165</v>
      </c>
      <c r="E1456" t="str">
        <f>IFERROR(+VLOOKUP(Movimientos_2026[[#This Row],[Codigo]],Plan_cuentas[],2,FALSE)," ")</f>
        <v>INGRESOS</v>
      </c>
      <c r="F1456" t="str">
        <f>IFERROR(+VLOOKUP(Movimientos_2026[[#This Row],[Codigo]],Plan_cuentas[],3,FALSE)," ")</f>
        <v>Transferencia</v>
      </c>
      <c r="G1456" t="str">
        <f>IFERROR(+VLOOKUP(Movimientos_2026[[#This Row],[Codigo]],Plan_cuentas[],4,FALSE)," ")</f>
        <v>Rentas</v>
      </c>
      <c r="H1456" t="str">
        <f>IFERROR(+VLOOKUP(Movimientos_2026[[#This Row],[Codigo]],Plan_cuentas[],5,FALSE)," ")</f>
        <v>CHACO</v>
      </c>
      <c r="I1456" s="43">
        <v>46082</v>
      </c>
      <c r="J1456" t="s">
        <v>627</v>
      </c>
      <c r="K1456" t="str">
        <f>IFERROR(+VLOOKUP(Movimientos_2026[[#This Row],[Codigo]],Plan_cuentas[],6,FALSE)," ")</f>
        <v>5 - YAM - Yamaha</v>
      </c>
      <c r="L1456" s="50">
        <v>1759487.57</v>
      </c>
      <c r="M1456" s="50"/>
      <c r="N1456" s="20">
        <f>+Movimientos_2026[[#This Row],[Ingresos]]-Movimientos_2026[[#This Row],[Egresos]]</f>
        <v>1759487.57</v>
      </c>
      <c r="O1456" s="20">
        <f>+O1455+Movimientos_2026[[#This Row],[Neto]]</f>
        <v>5579274903.3985443</v>
      </c>
    </row>
    <row r="1457" spans="1:15" x14ac:dyDescent="0.25">
      <c r="A1457" s="13">
        <v>46147</v>
      </c>
      <c r="B1457" s="12">
        <f>MONTH(Movimientos_2026[[#This Row],[Fecha]])</f>
        <v>5</v>
      </c>
      <c r="C1457" s="12" t="str">
        <f>VLOOKUP((WEEKDAY(Movimientos_2026[[#This Row],[Fecha]],2)),'5. Setup'!$D$6:$E$12,2,FALSE)</f>
        <v>Mar</v>
      </c>
      <c r="D1457">
        <v>1044235</v>
      </c>
      <c r="E1457" t="str">
        <f>IFERROR(+VLOOKUP(Movimientos_2026[[#This Row],[Codigo]],Plan_cuentas[],2,FALSE)," ")</f>
        <v>INGRESOS</v>
      </c>
      <c r="F1457" t="str">
        <f>IFERROR(+VLOOKUP(Movimientos_2026[[#This Row],[Codigo]],Plan_cuentas[],3,FALSE)," ")</f>
        <v>Transferencia</v>
      </c>
      <c r="G1457" t="str">
        <f>IFERROR(+VLOOKUP(Movimientos_2026[[#This Row],[Codigo]],Plan_cuentas[],4,FALSE)," ")</f>
        <v>Rentas</v>
      </c>
      <c r="H1457" t="str">
        <f>IFERROR(+VLOOKUP(Movimientos_2026[[#This Row],[Codigo]],Plan_cuentas[],5,FALSE)," ")</f>
        <v>ENTRE RIOS 2° Q</v>
      </c>
      <c r="I1457" s="43">
        <v>46082</v>
      </c>
      <c r="J1457" t="s">
        <v>627</v>
      </c>
      <c r="K1457" t="str">
        <f>IFERROR(+VLOOKUP(Movimientos_2026[[#This Row],[Codigo]],Plan_cuentas[],6,FALSE)," ")</f>
        <v>5 - YAM - Yamaha</v>
      </c>
      <c r="L1457" s="50">
        <v>3844700.32</v>
      </c>
      <c r="M1457" s="50"/>
      <c r="N1457" s="20">
        <f>+Movimientos_2026[[#This Row],[Ingresos]]-Movimientos_2026[[#This Row],[Egresos]]</f>
        <v>3844700.32</v>
      </c>
      <c r="O1457" s="20">
        <f>+O1456+Movimientos_2026[[#This Row],[Neto]]</f>
        <v>5583119603.718544</v>
      </c>
    </row>
    <row r="1458" spans="1:15" x14ac:dyDescent="0.25">
      <c r="A1458" s="13">
        <v>46147</v>
      </c>
      <c r="B1458" s="12">
        <f>MONTH(Movimientos_2026[[#This Row],[Fecha]])</f>
        <v>5</v>
      </c>
      <c r="C1458" s="12" t="str">
        <f>VLOOKUP((WEEKDAY(Movimientos_2026[[#This Row],[Fecha]],2)),'5. Setup'!$D$6:$E$12,2,FALSE)</f>
        <v>Mar</v>
      </c>
      <c r="D1458">
        <v>1044495</v>
      </c>
      <c r="E1458" t="str">
        <f>IFERROR(+VLOOKUP(Movimientos_2026[[#This Row],[Codigo]],Plan_cuentas[],2,FALSE)," ")</f>
        <v>INGRESOS</v>
      </c>
      <c r="F1458" t="str">
        <f>IFERROR(+VLOOKUP(Movimientos_2026[[#This Row],[Codigo]],Plan_cuentas[],3,FALSE)," ")</f>
        <v>Transferencia</v>
      </c>
      <c r="G1458" t="str">
        <f>IFERROR(+VLOOKUP(Movimientos_2026[[#This Row],[Codigo]],Plan_cuentas[],4,FALSE)," ")</f>
        <v>Rentas</v>
      </c>
      <c r="H1458" t="str">
        <f>IFERROR(+VLOOKUP(Movimientos_2026[[#This Row],[Codigo]],Plan_cuentas[],5,FALSE)," ")</f>
        <v>JUJUY</v>
      </c>
      <c r="I1458" s="43">
        <v>46082</v>
      </c>
      <c r="J1458" t="s">
        <v>627</v>
      </c>
      <c r="K1458" t="str">
        <f>IFERROR(+VLOOKUP(Movimientos_2026[[#This Row],[Codigo]],Plan_cuentas[],6,FALSE)," ")</f>
        <v>5 - YAM - Yamaha</v>
      </c>
      <c r="L1458" s="50">
        <v>2188512.48</v>
      </c>
      <c r="M1458" s="50"/>
      <c r="N1458" s="20">
        <f>+Movimientos_2026[[#This Row],[Ingresos]]-Movimientos_2026[[#This Row],[Egresos]]</f>
        <v>2188512.48</v>
      </c>
      <c r="O1458" s="20">
        <f>+O1457+Movimientos_2026[[#This Row],[Neto]]</f>
        <v>5585308116.1985435</v>
      </c>
    </row>
    <row r="1459" spans="1:15" x14ac:dyDescent="0.25">
      <c r="A1459" s="13">
        <v>46147</v>
      </c>
      <c r="B1459" s="12">
        <f>MONTH(Movimientos_2026[[#This Row],[Fecha]])</f>
        <v>5</v>
      </c>
      <c r="C1459" s="12" t="str">
        <f>VLOOKUP((WEEKDAY(Movimientos_2026[[#This Row],[Fecha]],2)),'5. Setup'!$D$6:$E$12,2,FALSE)</f>
        <v>Mar</v>
      </c>
      <c r="D1459">
        <v>1044325</v>
      </c>
      <c r="E1459" t="str">
        <f>IFERROR(+VLOOKUP(Movimientos_2026[[#This Row],[Codigo]],Plan_cuentas[],2,FALSE)," ")</f>
        <v>INGRESOS</v>
      </c>
      <c r="F1459" t="str">
        <f>IFERROR(+VLOOKUP(Movimientos_2026[[#This Row],[Codigo]],Plan_cuentas[],3,FALSE)," ")</f>
        <v>Transferencia</v>
      </c>
      <c r="G1459" t="str">
        <f>IFERROR(+VLOOKUP(Movimientos_2026[[#This Row],[Codigo]],Plan_cuentas[],4,FALSE)," ")</f>
        <v>Rentas</v>
      </c>
      <c r="H1459" t="str">
        <f>IFERROR(+VLOOKUP(Movimientos_2026[[#This Row],[Codigo]],Plan_cuentas[],5,FALSE)," ")</f>
        <v>NEUQUEN 2° Q</v>
      </c>
      <c r="I1459" s="43">
        <v>46082</v>
      </c>
      <c r="J1459" t="s">
        <v>627</v>
      </c>
      <c r="K1459" t="str">
        <f>IFERROR(+VLOOKUP(Movimientos_2026[[#This Row],[Codigo]],Plan_cuentas[],6,FALSE)," ")</f>
        <v>5 - YAM - Yamaha</v>
      </c>
      <c r="L1459" s="50">
        <v>1291527.3799999999</v>
      </c>
      <c r="M1459" s="50"/>
      <c r="N1459" s="20">
        <f>+Movimientos_2026[[#This Row],[Ingresos]]-Movimientos_2026[[#This Row],[Egresos]]</f>
        <v>1291527.3799999999</v>
      </c>
      <c r="O1459" s="20">
        <f>+O1458+Movimientos_2026[[#This Row],[Neto]]</f>
        <v>5586599643.5785437</v>
      </c>
    </row>
    <row r="1460" spans="1:15" x14ac:dyDescent="0.25">
      <c r="A1460" s="13">
        <v>46147</v>
      </c>
      <c r="B1460" s="12">
        <f>MONTH(Movimientos_2026[[#This Row],[Fecha]])</f>
        <v>5</v>
      </c>
      <c r="C1460" s="12" t="str">
        <f>VLOOKUP((WEEKDAY(Movimientos_2026[[#This Row],[Fecha]],2)),'5. Setup'!$D$6:$E$12,2,FALSE)</f>
        <v>Mar</v>
      </c>
      <c r="D1460">
        <v>1044285</v>
      </c>
      <c r="E1460" t="str">
        <f>IFERROR(+VLOOKUP(Movimientos_2026[[#This Row],[Codigo]],Plan_cuentas[],2,FALSE)," ")</f>
        <v>INGRESOS</v>
      </c>
      <c r="F1460" t="str">
        <f>IFERROR(+VLOOKUP(Movimientos_2026[[#This Row],[Codigo]],Plan_cuentas[],3,FALSE)," ")</f>
        <v>Transferencia</v>
      </c>
      <c r="G1460" t="str">
        <f>IFERROR(+VLOOKUP(Movimientos_2026[[#This Row],[Codigo]],Plan_cuentas[],4,FALSE)," ")</f>
        <v>Rentas</v>
      </c>
      <c r="H1460" t="str">
        <f>IFERROR(+VLOOKUP(Movimientos_2026[[#This Row],[Codigo]],Plan_cuentas[],5,FALSE)," ")</f>
        <v>MENDOZA</v>
      </c>
      <c r="I1460" s="43">
        <v>46082</v>
      </c>
      <c r="J1460" t="s">
        <v>627</v>
      </c>
      <c r="K1460" t="str">
        <f>IFERROR(+VLOOKUP(Movimientos_2026[[#This Row],[Codigo]],Plan_cuentas[],6,FALSE)," ")</f>
        <v>5 - YAM - Yamaha</v>
      </c>
      <c r="L1460" s="50">
        <v>1280018</v>
      </c>
      <c r="M1460" s="50"/>
      <c r="N1460" s="20">
        <f>+Movimientos_2026[[#This Row],[Ingresos]]-Movimientos_2026[[#This Row],[Egresos]]</f>
        <v>1280018</v>
      </c>
      <c r="O1460" s="20">
        <f>+O1459+Movimientos_2026[[#This Row],[Neto]]</f>
        <v>5587879661.5785437</v>
      </c>
    </row>
    <row r="1461" spans="1:15" x14ac:dyDescent="0.25">
      <c r="A1461" s="13">
        <v>46147</v>
      </c>
      <c r="B1461" s="12">
        <f>MONTH(Movimientos_2026[[#This Row],[Fecha]])</f>
        <v>5</v>
      </c>
      <c r="C1461" s="12" t="str">
        <f>VLOOKUP((WEEKDAY(Movimientos_2026[[#This Row],[Fecha]],2)),'5. Setup'!$D$6:$E$12,2,FALSE)</f>
        <v>Mar</v>
      </c>
      <c r="D1461">
        <v>1044465</v>
      </c>
      <c r="E1461" t="str">
        <f>IFERROR(+VLOOKUP(Movimientos_2026[[#This Row],[Codigo]],Plan_cuentas[],2,FALSE)," ")</f>
        <v>INGRESOS</v>
      </c>
      <c r="F1461" t="str">
        <f>IFERROR(+VLOOKUP(Movimientos_2026[[#This Row],[Codigo]],Plan_cuentas[],3,FALSE)," ")</f>
        <v>Transferencia</v>
      </c>
      <c r="G1461" t="str">
        <f>IFERROR(+VLOOKUP(Movimientos_2026[[#This Row],[Codigo]],Plan_cuentas[],4,FALSE)," ")</f>
        <v>Rentas</v>
      </c>
      <c r="H1461" t="str">
        <f>IFERROR(+VLOOKUP(Movimientos_2026[[#This Row],[Codigo]],Plan_cuentas[],5,FALSE)," ")</f>
        <v>MISIONES</v>
      </c>
      <c r="I1461" s="43">
        <v>46082</v>
      </c>
      <c r="J1461" t="s">
        <v>627</v>
      </c>
      <c r="K1461" t="str">
        <f>IFERROR(+VLOOKUP(Movimientos_2026[[#This Row],[Codigo]],Plan_cuentas[],6,FALSE)," ")</f>
        <v>5 - YAM - Yamaha</v>
      </c>
      <c r="L1461" s="50">
        <v>1046309.5281</v>
      </c>
      <c r="M1461" s="50"/>
      <c r="N1461" s="20">
        <f>+Movimientos_2026[[#This Row],[Ingresos]]-Movimientos_2026[[#This Row],[Egresos]]</f>
        <v>1046309.5281</v>
      </c>
      <c r="O1461" s="20">
        <f>+O1460+Movimientos_2026[[#This Row],[Neto]]</f>
        <v>5588925971.1066437</v>
      </c>
    </row>
    <row r="1462" spans="1:15" x14ac:dyDescent="0.25">
      <c r="A1462" s="13">
        <v>46147</v>
      </c>
      <c r="B1462" s="12">
        <f>MONTH(Movimientos_2026[[#This Row],[Fecha]])</f>
        <v>5</v>
      </c>
      <c r="C1462" s="12" t="str">
        <f>VLOOKUP((WEEKDAY(Movimientos_2026[[#This Row],[Fecha]],2)),'5. Setup'!$D$6:$E$12,2,FALSE)</f>
        <v>Mar</v>
      </c>
      <c r="D1462">
        <v>1044405</v>
      </c>
      <c r="E1462" t="str">
        <f>IFERROR(+VLOOKUP(Movimientos_2026[[#This Row],[Codigo]],Plan_cuentas[],2,FALSE)," ")</f>
        <v>INGRESOS</v>
      </c>
      <c r="F1462" t="str">
        <f>IFERROR(+VLOOKUP(Movimientos_2026[[#This Row],[Codigo]],Plan_cuentas[],3,FALSE)," ")</f>
        <v>Transferencia</v>
      </c>
      <c r="G1462" t="str">
        <f>IFERROR(+VLOOKUP(Movimientos_2026[[#This Row],[Codigo]],Plan_cuentas[],4,FALSE)," ")</f>
        <v>Rentas</v>
      </c>
      <c r="H1462" t="str">
        <f>IFERROR(+VLOOKUP(Movimientos_2026[[#This Row],[Codigo]],Plan_cuentas[],5,FALSE)," ")</f>
        <v>SANTIAGO DEL ESTERO</v>
      </c>
      <c r="I1462" s="43">
        <v>46082</v>
      </c>
      <c r="J1462" t="s">
        <v>627</v>
      </c>
      <c r="K1462" t="str">
        <f>IFERROR(+VLOOKUP(Movimientos_2026[[#This Row],[Codigo]],Plan_cuentas[],6,FALSE)," ")</f>
        <v>5 - YAM - Yamaha</v>
      </c>
      <c r="L1462" s="50">
        <v>479070.7</v>
      </c>
      <c r="M1462" s="50"/>
      <c r="N1462" s="20">
        <f>+Movimientos_2026[[#This Row],[Ingresos]]-Movimientos_2026[[#This Row],[Egresos]]</f>
        <v>479070.7</v>
      </c>
      <c r="O1462" s="20">
        <f>+O1461+Movimientos_2026[[#This Row],[Neto]]</f>
        <v>5589405041.8066435</v>
      </c>
    </row>
    <row r="1463" spans="1:15" x14ac:dyDescent="0.25">
      <c r="A1463" s="13">
        <v>46147</v>
      </c>
      <c r="B1463" s="12">
        <f>MONTH(Movimientos_2026[[#This Row],[Fecha]])</f>
        <v>5</v>
      </c>
      <c r="C1463" s="12" t="str">
        <f>VLOOKUP((WEEKDAY(Movimientos_2026[[#This Row],[Fecha]],2)),'5. Setup'!$D$6:$E$12,2,FALSE)</f>
        <v>Mar</v>
      </c>
      <c r="D1463">
        <v>1044425</v>
      </c>
      <c r="E1463" t="str">
        <f>IFERROR(+VLOOKUP(Movimientos_2026[[#This Row],[Codigo]],Plan_cuentas[],2,FALSE)," ")</f>
        <v>INGRESOS</v>
      </c>
      <c r="F1463" t="str">
        <f>IFERROR(+VLOOKUP(Movimientos_2026[[#This Row],[Codigo]],Plan_cuentas[],3,FALSE)," ")</f>
        <v>Transferencia</v>
      </c>
      <c r="G1463" t="str">
        <f>IFERROR(+VLOOKUP(Movimientos_2026[[#This Row],[Codigo]],Plan_cuentas[],4,FALSE)," ")</f>
        <v>Rentas</v>
      </c>
      <c r="H1463" t="str">
        <f>IFERROR(+VLOOKUP(Movimientos_2026[[#This Row],[Codigo]],Plan_cuentas[],5,FALSE)," ")</f>
        <v>TUCUMAN</v>
      </c>
      <c r="I1463" s="43">
        <v>46082</v>
      </c>
      <c r="J1463" t="s">
        <v>627</v>
      </c>
      <c r="K1463" t="str">
        <f>IFERROR(+VLOOKUP(Movimientos_2026[[#This Row],[Codigo]],Plan_cuentas[],6,FALSE)," ")</f>
        <v>5 - YAM - Yamaha</v>
      </c>
      <c r="L1463" s="50">
        <v>1543393.8424</v>
      </c>
      <c r="M1463" s="50"/>
      <c r="N1463" s="20">
        <f>+Movimientos_2026[[#This Row],[Ingresos]]-Movimientos_2026[[#This Row],[Egresos]]</f>
        <v>1543393.8424</v>
      </c>
      <c r="O1463" s="20">
        <f>+O1462+Movimientos_2026[[#This Row],[Neto]]</f>
        <v>5590948435.6490431</v>
      </c>
    </row>
    <row r="1464" spans="1:15" x14ac:dyDescent="0.25">
      <c r="A1464" s="13">
        <v>46148</v>
      </c>
      <c r="B1464" s="12">
        <f>MONTH(Movimientos_2026[[#This Row],[Fecha]])</f>
        <v>5</v>
      </c>
      <c r="C1464" s="12" t="str">
        <f>VLOOKUP((WEEKDAY(Movimientos_2026[[#This Row],[Fecha]],2)),'5. Setup'!$D$6:$E$12,2,FALSE)</f>
        <v>Mie</v>
      </c>
      <c r="D1464">
        <v>2044122</v>
      </c>
      <c r="E1464" t="str">
        <f>IFERROR(+VLOOKUP(Movimientos_2026[[#This Row],[Codigo]],Plan_cuentas[],2,FALSE)," ")</f>
        <v>EGRESOS</v>
      </c>
      <c r="F1464" t="str">
        <f>IFERROR(+VLOOKUP(Movimientos_2026[[#This Row],[Codigo]],Plan_cuentas[],3,FALSE)," ")</f>
        <v>Transferencia</v>
      </c>
      <c r="G1464" t="str">
        <f>IFERROR(+VLOOKUP(Movimientos_2026[[#This Row],[Codigo]],Plan_cuentas[],4,FALSE)," ")</f>
        <v>Rentas</v>
      </c>
      <c r="H1464" t="str">
        <f>IFERROR(+VLOOKUP(Movimientos_2026[[#This Row],[Codigo]],Plan_cuentas[],5,FALSE)," ")</f>
        <v>BAPRO</v>
      </c>
      <c r="I1464" s="43">
        <v>46082</v>
      </c>
      <c r="J1464" t="s">
        <v>626</v>
      </c>
      <c r="K1464" t="str">
        <f>IFERROR(+VLOOKUP(Movimientos_2026[[#This Row],[Codigo]],Plan_cuentas[],6,FALSE)," ")</f>
        <v>2 - PR - Plan Rombo</v>
      </c>
      <c r="L1464" s="50"/>
      <c r="M1464" s="52">
        <v>16193304.800000001</v>
      </c>
      <c r="N1464" s="20">
        <f>+Movimientos_2026[[#This Row],[Ingresos]]-Movimientos_2026[[#This Row],[Egresos]]</f>
        <v>-16193304.800000001</v>
      </c>
      <c r="O1464" s="20">
        <f>+O1463+Movimientos_2026[[#This Row],[Neto]]</f>
        <v>5574755130.8490429</v>
      </c>
    </row>
    <row r="1465" spans="1:15" x14ac:dyDescent="0.25">
      <c r="A1465" s="13">
        <v>46148</v>
      </c>
      <c r="B1465" s="12">
        <f>MONTH(Movimientos_2026[[#This Row],[Fecha]])</f>
        <v>5</v>
      </c>
      <c r="C1465" s="12" t="str">
        <f>VLOOKUP((WEEKDAY(Movimientos_2026[[#This Row],[Fecha]],2)),'5. Setup'!$D$6:$E$12,2,FALSE)</f>
        <v>Mie</v>
      </c>
      <c r="D1465">
        <v>2044122</v>
      </c>
      <c r="E1465" t="str">
        <f>IFERROR(+VLOOKUP(Movimientos_2026[[#This Row],[Codigo]],Plan_cuentas[],2,FALSE)," ")</f>
        <v>EGRESOS</v>
      </c>
      <c r="F1465" t="str">
        <f>IFERROR(+VLOOKUP(Movimientos_2026[[#This Row],[Codigo]],Plan_cuentas[],3,FALSE)," ")</f>
        <v>Transferencia</v>
      </c>
      <c r="G1465" t="str">
        <f>IFERROR(+VLOOKUP(Movimientos_2026[[#This Row],[Codigo]],Plan_cuentas[],4,FALSE)," ")</f>
        <v>Rentas</v>
      </c>
      <c r="H1465" t="str">
        <f>IFERROR(+VLOOKUP(Movimientos_2026[[#This Row],[Codigo]],Plan_cuentas[],5,FALSE)," ")</f>
        <v>BAPRO</v>
      </c>
      <c r="I1465" s="43">
        <v>46082</v>
      </c>
      <c r="J1465" t="s">
        <v>626</v>
      </c>
      <c r="K1465" t="str">
        <f>IFERROR(+VLOOKUP(Movimientos_2026[[#This Row],[Codigo]],Plan_cuentas[],6,FALSE)," ")</f>
        <v>2 - PR - Plan Rombo</v>
      </c>
      <c r="L1465" s="50"/>
      <c r="M1465" s="52">
        <v>15304315.300000001</v>
      </c>
      <c r="N1465" s="20">
        <f>+Movimientos_2026[[#This Row],[Ingresos]]-Movimientos_2026[[#This Row],[Egresos]]</f>
        <v>-15304315.300000001</v>
      </c>
      <c r="O1465" s="20">
        <f>+O1464+Movimientos_2026[[#This Row],[Neto]]</f>
        <v>5559450815.5490427</v>
      </c>
    </row>
    <row r="1466" spans="1:15" x14ac:dyDescent="0.25">
      <c r="A1466" s="13">
        <v>46148</v>
      </c>
      <c r="B1466" s="12">
        <f>MONTH(Movimientos_2026[[#This Row],[Fecha]])</f>
        <v>5</v>
      </c>
      <c r="C1466" s="12" t="str">
        <f>VLOOKUP((WEEKDAY(Movimientos_2026[[#This Row],[Fecha]],2)),'5. Setup'!$D$6:$E$12,2,FALSE)</f>
        <v>Mie</v>
      </c>
      <c r="D1466">
        <v>2054325</v>
      </c>
      <c r="E1466" t="str">
        <f>IFERROR(+VLOOKUP(Movimientos_2026[[#This Row],[Codigo]],Plan_cuentas[],2,FALSE)," ")</f>
        <v>EGRESOS</v>
      </c>
      <c r="F1466" t="str">
        <f>IFERROR(+VLOOKUP(Movimientos_2026[[#This Row],[Codigo]],Plan_cuentas[],3,FALSE)," ")</f>
        <v>VEP</v>
      </c>
      <c r="G1466" t="str">
        <f>IFERROR(+VLOOKUP(Movimientos_2026[[#This Row],[Codigo]],Plan_cuentas[],4,FALSE)," ")</f>
        <v>Rentas</v>
      </c>
      <c r="H1466" t="str">
        <f>IFERROR(+VLOOKUP(Movimientos_2026[[#This Row],[Codigo]],Plan_cuentas[],5,FALSE)," ")</f>
        <v>NEUQUEN 2° Q</v>
      </c>
      <c r="I1466" s="43">
        <v>46113</v>
      </c>
      <c r="J1466" t="s">
        <v>628</v>
      </c>
      <c r="K1466" t="str">
        <f>IFERROR(+VLOOKUP(Movimientos_2026[[#This Row],[Codigo]],Plan_cuentas[],6,FALSE)," ")</f>
        <v>5 - YAM - Yamaha</v>
      </c>
      <c r="L1466" s="50"/>
      <c r="M1466" s="52">
        <v>494623.8</v>
      </c>
      <c r="N1466" s="20">
        <f>+Movimientos_2026[[#This Row],[Ingresos]]-Movimientos_2026[[#This Row],[Egresos]]</f>
        <v>-494623.8</v>
      </c>
      <c r="O1466" s="20">
        <f>+O1465+Movimientos_2026[[#This Row],[Neto]]</f>
        <v>5558956191.7490425</v>
      </c>
    </row>
    <row r="1467" spans="1:15" x14ac:dyDescent="0.25">
      <c r="A1467" s="13">
        <v>46148</v>
      </c>
      <c r="B1467" s="12">
        <f>MONTH(Movimientos_2026[[#This Row],[Fecha]])</f>
        <v>5</v>
      </c>
      <c r="C1467" s="12" t="str">
        <f>VLOOKUP((WEEKDAY(Movimientos_2026[[#This Row],[Fecha]],2)),'5. Setup'!$D$6:$E$12,2,FALSE)</f>
        <v>Mie</v>
      </c>
      <c r="D1467">
        <v>2014425</v>
      </c>
      <c r="E1467" t="str">
        <f>IFERROR(+VLOOKUP(Movimientos_2026[[#This Row],[Codigo]],Plan_cuentas[],2,FALSE)," ")</f>
        <v>EGRESOS</v>
      </c>
      <c r="F1467" t="str">
        <f>IFERROR(+VLOOKUP(Movimientos_2026[[#This Row],[Codigo]],Plan_cuentas[],3,FALSE)," ")</f>
        <v>BtoB</v>
      </c>
      <c r="G1467" t="str">
        <f>IFERROR(+VLOOKUP(Movimientos_2026[[#This Row],[Codigo]],Plan_cuentas[],4,FALSE)," ")</f>
        <v>Rentas</v>
      </c>
      <c r="H1467" t="str">
        <f>IFERROR(+VLOOKUP(Movimientos_2026[[#This Row],[Codigo]],Plan_cuentas[],5,FALSE)," ")</f>
        <v>TUCUMAN</v>
      </c>
      <c r="I1467" s="43">
        <v>46113</v>
      </c>
      <c r="J1467" t="s">
        <v>629</v>
      </c>
      <c r="K1467" t="str">
        <f>IFERROR(+VLOOKUP(Movimientos_2026[[#This Row],[Codigo]],Plan_cuentas[],6,FALSE)," ")</f>
        <v>5 - YAM - Yamaha</v>
      </c>
      <c r="L1467" s="50"/>
      <c r="M1467" s="52">
        <v>2189989.34</v>
      </c>
      <c r="N1467" s="20">
        <f>+Movimientos_2026[[#This Row],[Ingresos]]-Movimientos_2026[[#This Row],[Egresos]]</f>
        <v>-2189989.34</v>
      </c>
      <c r="O1467" s="20">
        <f>+O1466+Movimientos_2026[[#This Row],[Neto]]</f>
        <v>5556766202.4090424</v>
      </c>
    </row>
    <row r="1468" spans="1:15" x14ac:dyDescent="0.25">
      <c r="A1468" s="13">
        <v>46149</v>
      </c>
      <c r="B1468" s="12">
        <f>MONTH(Movimientos_2026[[#This Row],[Fecha]])</f>
        <v>5</v>
      </c>
      <c r="C1468" s="12" t="str">
        <f>VLOOKUP((WEEKDAY(Movimientos_2026[[#This Row],[Fecha]],2)),'5. Setup'!$D$6:$E$12,2,FALSE)</f>
        <v>Jue</v>
      </c>
      <c r="D1468">
        <v>2044495</v>
      </c>
      <c r="E1468" t="str">
        <f>IFERROR(+VLOOKUP(Movimientos_2026[[#This Row],[Codigo]],Plan_cuentas[],2,FALSE)," ")</f>
        <v>EGRESOS</v>
      </c>
      <c r="F1468" t="str">
        <f>IFERROR(+VLOOKUP(Movimientos_2026[[#This Row],[Codigo]],Plan_cuentas[],3,FALSE)," ")</f>
        <v>Transferencia</v>
      </c>
      <c r="G1468" t="str">
        <f>IFERROR(+VLOOKUP(Movimientos_2026[[#This Row],[Codigo]],Plan_cuentas[],4,FALSE)," ")</f>
        <v>Rentas</v>
      </c>
      <c r="H1468" t="str">
        <f>IFERROR(+VLOOKUP(Movimientos_2026[[#This Row],[Codigo]],Plan_cuentas[],5,FALSE)," ")</f>
        <v>JUJUY</v>
      </c>
      <c r="I1468" s="43">
        <v>46113</v>
      </c>
      <c r="J1468" t="s">
        <v>630</v>
      </c>
      <c r="K1468" t="str">
        <f>IFERROR(+VLOOKUP(Movimientos_2026[[#This Row],[Codigo]],Plan_cuentas[],6,FALSE)," ")</f>
        <v>5 - YAM - Yamaha</v>
      </c>
      <c r="L1468" s="50"/>
      <c r="M1468" s="52">
        <v>733448.76</v>
      </c>
      <c r="N1468" s="20">
        <f>+Movimientos_2026[[#This Row],[Ingresos]]-Movimientos_2026[[#This Row],[Egresos]]</f>
        <v>-733448.76</v>
      </c>
      <c r="O1468" s="20">
        <f>+O1467+Movimientos_2026[[#This Row],[Neto]]</f>
        <v>5556032753.6490421</v>
      </c>
    </row>
    <row r="1469" spans="1:15" x14ac:dyDescent="0.25">
      <c r="A1469" s="13">
        <v>46149</v>
      </c>
      <c r="B1469" s="12">
        <f>MONTH(Movimientos_2026[[#This Row],[Fecha]])</f>
        <v>5</v>
      </c>
      <c r="C1469" s="12" t="str">
        <f>VLOOKUP((WEEKDAY(Movimientos_2026[[#This Row],[Fecha]],2)),'5. Setup'!$D$6:$E$12,2,FALSE)</f>
        <v>Jue</v>
      </c>
      <c r="D1469">
        <v>2034412</v>
      </c>
      <c r="E1469" t="str">
        <f>IFERROR(+VLOOKUP(Movimientos_2026[[#This Row],[Codigo]],Plan_cuentas[],2,FALSE)," ")</f>
        <v>EGRESOS</v>
      </c>
      <c r="F1469" t="str">
        <f>IFERROR(+VLOOKUP(Movimientos_2026[[#This Row],[Codigo]],Plan_cuentas[],3,FALSE)," ")</f>
        <v>Pagos Bco. Provincia</v>
      </c>
      <c r="G1469" t="str">
        <f>IFERROR(+VLOOKUP(Movimientos_2026[[#This Row],[Codigo]],Plan_cuentas[],4,FALSE)," ")</f>
        <v>Rentas</v>
      </c>
      <c r="H1469" t="str">
        <f>IFERROR(+VLOOKUP(Movimientos_2026[[#This Row],[Codigo]],Plan_cuentas[],5,FALSE)," ")</f>
        <v>TIERRA DEL FUEGO</v>
      </c>
      <c r="I1469" s="43">
        <v>46113</v>
      </c>
      <c r="J1469" t="s">
        <v>631</v>
      </c>
      <c r="K1469" t="str">
        <f>IFERROR(+VLOOKUP(Movimientos_2026[[#This Row],[Codigo]],Plan_cuentas[],6,FALSE)," ")</f>
        <v>2 - PR - Plan Rombo</v>
      </c>
      <c r="L1469" s="50"/>
      <c r="M1469" s="52">
        <v>12142675.32</v>
      </c>
      <c r="N1469" s="20">
        <f>+Movimientos_2026[[#This Row],[Ingresos]]-Movimientos_2026[[#This Row],[Egresos]]</f>
        <v>-12142675.32</v>
      </c>
      <c r="O1469" s="20">
        <f>+O1468+Movimientos_2026[[#This Row],[Neto]]</f>
        <v>5543890078.3290424</v>
      </c>
    </row>
    <row r="1470" spans="1:15" x14ac:dyDescent="0.25">
      <c r="A1470" s="13">
        <v>46149</v>
      </c>
      <c r="B1470" s="12">
        <f>MONTH(Movimientos_2026[[#This Row],[Fecha]])</f>
        <v>5</v>
      </c>
      <c r="C1470" s="12" t="str">
        <f>VLOOKUP((WEEKDAY(Movimientos_2026[[#This Row],[Fecha]],2)),'5. Setup'!$D$6:$E$12,2,FALSE)</f>
        <v>Jue</v>
      </c>
      <c r="D1470">
        <v>2034413</v>
      </c>
      <c r="E1470" t="str">
        <f>IFERROR(+VLOOKUP(Movimientos_2026[[#This Row],[Codigo]],Plan_cuentas[],2,FALSE)," ")</f>
        <v>EGRESOS</v>
      </c>
      <c r="F1470" t="str">
        <f>IFERROR(+VLOOKUP(Movimientos_2026[[#This Row],[Codigo]],Plan_cuentas[],3,FALSE)," ")</f>
        <v>Pagos Bco. Provincia</v>
      </c>
      <c r="G1470" t="str">
        <f>IFERROR(+VLOOKUP(Movimientos_2026[[#This Row],[Codigo]],Plan_cuentas[],4,FALSE)," ")</f>
        <v>Rentas</v>
      </c>
      <c r="H1470" t="str">
        <f>IFERROR(+VLOOKUP(Movimientos_2026[[#This Row],[Codigo]],Plan_cuentas[],5,FALSE)," ")</f>
        <v>TIERRA DEL FUEGO</v>
      </c>
      <c r="I1470" s="43">
        <v>46113</v>
      </c>
      <c r="J1470" t="s">
        <v>632</v>
      </c>
      <c r="K1470" t="str">
        <f>IFERROR(+VLOOKUP(Movimientos_2026[[#This Row],[Codigo]],Plan_cuentas[],6,FALSE)," ")</f>
        <v>3 - GM - Chevrolet</v>
      </c>
      <c r="L1470" s="50"/>
      <c r="M1470" s="50">
        <v>8773958.8499999996</v>
      </c>
      <c r="N1470" s="20">
        <f>+Movimientos_2026[[#This Row],[Ingresos]]-Movimientos_2026[[#This Row],[Egresos]]</f>
        <v>-8773958.8499999996</v>
      </c>
      <c r="O1470" s="20">
        <f>+O1469+Movimientos_2026[[#This Row],[Neto]]</f>
        <v>5535116119.4790421</v>
      </c>
    </row>
    <row r="1471" spans="1:15" x14ac:dyDescent="0.25">
      <c r="A1471" s="13">
        <v>46149</v>
      </c>
      <c r="B1471" s="12">
        <f>MONTH(Movimientos_2026[[#This Row],[Fecha]])</f>
        <v>5</v>
      </c>
      <c r="C1471" s="12" t="str">
        <f>VLOOKUP((WEEKDAY(Movimientos_2026[[#This Row],[Fecha]],2)),'5. Setup'!$D$6:$E$12,2,FALSE)</f>
        <v>Jue</v>
      </c>
      <c r="D1471">
        <v>2034414</v>
      </c>
      <c r="E1471" t="str">
        <f>IFERROR(+VLOOKUP(Movimientos_2026[[#This Row],[Codigo]],Plan_cuentas[],2,FALSE)," ")</f>
        <v>EGRESOS</v>
      </c>
      <c r="F1471" t="str">
        <f>IFERROR(+VLOOKUP(Movimientos_2026[[#This Row],[Codigo]],Plan_cuentas[],3,FALSE)," ")</f>
        <v>Pagos Bco. Provincia</v>
      </c>
      <c r="G1471" t="str">
        <f>IFERROR(+VLOOKUP(Movimientos_2026[[#This Row],[Codigo]],Plan_cuentas[],4,FALSE)," ")</f>
        <v>Rentas</v>
      </c>
      <c r="H1471" t="str">
        <f>IFERROR(+VLOOKUP(Movimientos_2026[[#This Row],[Codigo]],Plan_cuentas[],5,FALSE)," ")</f>
        <v>TIERRA DEL FUEGO</v>
      </c>
      <c r="I1471" s="43">
        <v>46113</v>
      </c>
      <c r="J1471" t="s">
        <v>633</v>
      </c>
      <c r="K1471" t="str">
        <f>IFERROR(+VLOOKUP(Movimientos_2026[[#This Row],[Codigo]],Plan_cuentas[],6,FALSE)," ")</f>
        <v>4 - FCA - Fiat</v>
      </c>
      <c r="L1471" s="50"/>
      <c r="M1471" s="50">
        <v>14625434.029999999</v>
      </c>
      <c r="N1471" s="20">
        <f>+Movimientos_2026[[#This Row],[Ingresos]]-Movimientos_2026[[#This Row],[Egresos]]</f>
        <v>-14625434.029999999</v>
      </c>
      <c r="O1471" s="20">
        <f>+O1470+Movimientos_2026[[#This Row],[Neto]]</f>
        <v>5520490685.4490423</v>
      </c>
    </row>
    <row r="1472" spans="1:15" x14ac:dyDescent="0.25">
      <c r="A1472" s="13">
        <v>46149</v>
      </c>
      <c r="B1472" s="12">
        <f>MONTH(Movimientos_2026[[#This Row],[Fecha]])</f>
        <v>5</v>
      </c>
      <c r="C1472" s="12" t="str">
        <f>VLOOKUP((WEEKDAY(Movimientos_2026[[#This Row],[Fecha]],2)),'5. Setup'!$D$6:$E$12,2,FALSE)</f>
        <v>Jue</v>
      </c>
      <c r="D1472">
        <v>2054322</v>
      </c>
      <c r="E1472" t="str">
        <f>IFERROR(+VLOOKUP(Movimientos_2026[[#This Row],[Codigo]],Plan_cuentas[],2,FALSE)," ")</f>
        <v>EGRESOS</v>
      </c>
      <c r="F1472" t="str">
        <f>IFERROR(+VLOOKUP(Movimientos_2026[[#This Row],[Codigo]],Plan_cuentas[],3,FALSE)," ")</f>
        <v>VEP</v>
      </c>
      <c r="G1472" t="str">
        <f>IFERROR(+VLOOKUP(Movimientos_2026[[#This Row],[Codigo]],Plan_cuentas[],4,FALSE)," ")</f>
        <v>Rentas</v>
      </c>
      <c r="H1472" t="str">
        <f>IFERROR(+VLOOKUP(Movimientos_2026[[#This Row],[Codigo]],Plan_cuentas[],5,FALSE)," ")</f>
        <v>NEUQUEN 2° Q</v>
      </c>
      <c r="I1472" s="43">
        <v>46113</v>
      </c>
      <c r="J1472" t="s">
        <v>634</v>
      </c>
      <c r="K1472" t="str">
        <f>IFERROR(+VLOOKUP(Movimientos_2026[[#This Row],[Codigo]],Plan_cuentas[],6,FALSE)," ")</f>
        <v>2 - PR - Plan Rombo</v>
      </c>
      <c r="L1472" s="50"/>
      <c r="M1472" s="52">
        <v>23271900</v>
      </c>
      <c r="N1472" s="20">
        <f>+Movimientos_2026[[#This Row],[Ingresos]]-Movimientos_2026[[#This Row],[Egresos]]</f>
        <v>-23271900</v>
      </c>
      <c r="O1472" s="20">
        <f>+O1471+Movimientos_2026[[#This Row],[Neto]]</f>
        <v>5497218785.4490423</v>
      </c>
    </row>
    <row r="1473" spans="1:15" x14ac:dyDescent="0.25">
      <c r="A1473" s="13">
        <v>46149</v>
      </c>
      <c r="B1473" s="12">
        <f>MONTH(Movimientos_2026[[#This Row],[Fecha]])</f>
        <v>5</v>
      </c>
      <c r="C1473" s="12" t="str">
        <f>VLOOKUP((WEEKDAY(Movimientos_2026[[#This Row],[Fecha]],2)),'5. Setup'!$D$6:$E$12,2,FALSE)</f>
        <v>Jue</v>
      </c>
      <c r="D1473">
        <v>2054327</v>
      </c>
      <c r="E1473" t="str">
        <f>IFERROR(+VLOOKUP(Movimientos_2026[[#This Row],[Codigo]],Plan_cuentas[],2,FALSE)," ")</f>
        <v>EGRESOS</v>
      </c>
      <c r="F1473" t="str">
        <f>IFERROR(+VLOOKUP(Movimientos_2026[[#This Row],[Codigo]],Plan_cuentas[],3,FALSE)," ")</f>
        <v>VEP</v>
      </c>
      <c r="G1473" t="str">
        <f>IFERROR(+VLOOKUP(Movimientos_2026[[#This Row],[Codigo]],Plan_cuentas[],4,FALSE)," ")</f>
        <v>Rentas</v>
      </c>
      <c r="H1473" t="str">
        <f>IFERROR(+VLOOKUP(Movimientos_2026[[#This Row],[Codigo]],Plan_cuentas[],5,FALSE)," ")</f>
        <v>NEUQUEN 2° Q</v>
      </c>
      <c r="I1473" s="43">
        <v>46113</v>
      </c>
      <c r="J1473" t="s">
        <v>634</v>
      </c>
      <c r="K1473" t="str">
        <f>IFERROR(+VLOOKUP(Movimientos_2026[[#This Row],[Codigo]],Plan_cuentas[],6,FALSE)," ")</f>
        <v>7 - PRtr - Plan Rombo Transf.</v>
      </c>
      <c r="L1473" s="50"/>
      <c r="M1473" s="52">
        <v>5100</v>
      </c>
      <c r="N1473" s="20">
        <f>+Movimientos_2026[[#This Row],[Ingresos]]-Movimientos_2026[[#This Row],[Egresos]]</f>
        <v>-5100</v>
      </c>
      <c r="O1473" s="20">
        <f>+O1472+Movimientos_2026[[#This Row],[Neto]]</f>
        <v>5497213685.4490423</v>
      </c>
    </row>
    <row r="1474" spans="1:15" x14ac:dyDescent="0.25">
      <c r="A1474" s="13">
        <v>46149</v>
      </c>
      <c r="B1474" s="12">
        <f>MONTH(Movimientos_2026[[#This Row],[Fecha]])</f>
        <v>5</v>
      </c>
      <c r="C1474" s="12" t="str">
        <f>VLOOKUP((WEEKDAY(Movimientos_2026[[#This Row],[Fecha]],2)),'5. Setup'!$D$6:$E$12,2,FALSE)</f>
        <v>Jue</v>
      </c>
      <c r="D1474">
        <v>2054324</v>
      </c>
      <c r="E1474" t="str">
        <f>IFERROR(+VLOOKUP(Movimientos_2026[[#This Row],[Codigo]],Plan_cuentas[],2,FALSE)," ")</f>
        <v>EGRESOS</v>
      </c>
      <c r="F1474" t="str">
        <f>IFERROR(+VLOOKUP(Movimientos_2026[[#This Row],[Codigo]],Plan_cuentas[],3,FALSE)," ")</f>
        <v>VEP</v>
      </c>
      <c r="G1474" t="str">
        <f>IFERROR(+VLOOKUP(Movimientos_2026[[#This Row],[Codigo]],Plan_cuentas[],4,FALSE)," ")</f>
        <v>Rentas</v>
      </c>
      <c r="H1474" t="str">
        <f>IFERROR(+VLOOKUP(Movimientos_2026[[#This Row],[Codigo]],Plan_cuentas[],5,FALSE)," ")</f>
        <v>NEUQUEN 2° Q</v>
      </c>
      <c r="I1474" s="43">
        <v>46113</v>
      </c>
      <c r="J1474" t="s">
        <v>635</v>
      </c>
      <c r="K1474" t="str">
        <f>IFERROR(+VLOOKUP(Movimientos_2026[[#This Row],[Codigo]],Plan_cuentas[],6,FALSE)," ")</f>
        <v>4 - FCA - Fiat</v>
      </c>
      <c r="L1474" s="50"/>
      <c r="M1474" s="52">
        <v>67038680</v>
      </c>
      <c r="N1474" s="20">
        <f>+Movimientos_2026[[#This Row],[Ingresos]]-Movimientos_2026[[#This Row],[Egresos]]</f>
        <v>-67038680</v>
      </c>
      <c r="O1474" s="20">
        <f>+O1473+Movimientos_2026[[#This Row],[Neto]]</f>
        <v>5430175005.4490423</v>
      </c>
    </row>
    <row r="1475" spans="1:15" x14ac:dyDescent="0.25">
      <c r="A1475" s="13">
        <v>46149</v>
      </c>
      <c r="B1475" s="12">
        <f>MONTH(Movimientos_2026[[#This Row],[Fecha]])</f>
        <v>5</v>
      </c>
      <c r="C1475" s="12" t="str">
        <f>VLOOKUP((WEEKDAY(Movimientos_2026[[#This Row],[Fecha]],2)),'5. Setup'!$D$6:$E$12,2,FALSE)</f>
        <v>Jue</v>
      </c>
      <c r="D1475">
        <v>2054326</v>
      </c>
      <c r="E1475" t="str">
        <f>IFERROR(+VLOOKUP(Movimientos_2026[[#This Row],[Codigo]],Plan_cuentas[],2,FALSE)," ")</f>
        <v>EGRESOS</v>
      </c>
      <c r="F1475" t="str">
        <f>IFERROR(+VLOOKUP(Movimientos_2026[[#This Row],[Codigo]],Plan_cuentas[],3,FALSE)," ")</f>
        <v>VEP</v>
      </c>
      <c r="G1475" t="str">
        <f>IFERROR(+VLOOKUP(Movimientos_2026[[#This Row],[Codigo]],Plan_cuentas[],4,FALSE)," ")</f>
        <v>Rentas</v>
      </c>
      <c r="H1475" t="str">
        <f>IFERROR(+VLOOKUP(Movimientos_2026[[#This Row],[Codigo]],Plan_cuentas[],5,FALSE)," ")</f>
        <v>NEUQUEN 2° Q</v>
      </c>
      <c r="I1475" s="43">
        <v>46113</v>
      </c>
      <c r="J1475" t="s">
        <v>635</v>
      </c>
      <c r="K1475" t="str">
        <f>IFERROR(+VLOOKUP(Movimientos_2026[[#This Row],[Codigo]],Plan_cuentas[],6,FALSE)," ")</f>
        <v>6 - FCAtr - Fiat Transf.</v>
      </c>
      <c r="L1475" s="50"/>
      <c r="M1475" s="52">
        <v>610382.82999999996</v>
      </c>
      <c r="N1475" s="20">
        <f>+Movimientos_2026[[#This Row],[Ingresos]]-Movimientos_2026[[#This Row],[Egresos]]</f>
        <v>-610382.82999999996</v>
      </c>
      <c r="O1475" s="20">
        <f>+O1474+Movimientos_2026[[#This Row],[Neto]]</f>
        <v>5429564622.6190424</v>
      </c>
    </row>
    <row r="1476" spans="1:15" x14ac:dyDescent="0.25">
      <c r="A1476" s="13">
        <v>46149</v>
      </c>
      <c r="B1476" s="12">
        <f>MONTH(Movimientos_2026[[#This Row],[Fecha]])</f>
        <v>5</v>
      </c>
      <c r="C1476" s="12" t="str">
        <f>VLOOKUP((WEEKDAY(Movimientos_2026[[#This Row],[Fecha]],2)),'5. Setup'!$D$6:$E$12,2,FALSE)</f>
        <v>Jue</v>
      </c>
      <c r="D1476">
        <v>1041134</v>
      </c>
      <c r="E1476" t="str">
        <f>IFERROR(+VLOOKUP(Movimientos_2026[[#This Row],[Codigo]],Plan_cuentas[],2,FALSE)," ")</f>
        <v>INGRESOS</v>
      </c>
      <c r="F1476" t="str">
        <f>IFERROR(+VLOOKUP(Movimientos_2026[[#This Row],[Codigo]],Plan_cuentas[],3,FALSE)," ")</f>
        <v>Transferencia</v>
      </c>
      <c r="G1476" t="str">
        <f>IFERROR(+VLOOKUP(Movimientos_2026[[#This Row],[Codigo]],Plan_cuentas[],4,FALSE)," ")</f>
        <v>Entidades co-participadas</v>
      </c>
      <c r="H1476" t="str">
        <f>IFERROR(+VLOOKUP(Movimientos_2026[[#This Row],[Codigo]],Plan_cuentas[],5,FALSE)," ")</f>
        <v>BCLP</v>
      </c>
      <c r="I1476" s="43">
        <v>46113</v>
      </c>
      <c r="J1476" t="s">
        <v>636</v>
      </c>
      <c r="K1476" t="str">
        <f>IFERROR(+VLOOKUP(Movimientos_2026[[#This Row],[Codigo]],Plan_cuentas[],6,FALSE)," ")</f>
        <v>4 - FCA - Fiat</v>
      </c>
      <c r="L1476" s="50">
        <v>13723075.75</v>
      </c>
      <c r="M1476" s="50"/>
      <c r="N1476" s="20">
        <f>+Movimientos_2026[[#This Row],[Ingresos]]-Movimientos_2026[[#This Row],[Egresos]]</f>
        <v>13723075.75</v>
      </c>
      <c r="O1476" s="20">
        <f>+O1475+Movimientos_2026[[#This Row],[Neto]]</f>
        <v>5443287698.3690424</v>
      </c>
    </row>
    <row r="1477" spans="1:15" x14ac:dyDescent="0.25">
      <c r="A1477" s="13">
        <v>46149</v>
      </c>
      <c r="B1477" s="12">
        <f>MONTH(Movimientos_2026[[#This Row],[Fecha]])</f>
        <v>5</v>
      </c>
      <c r="C1477" s="12" t="str">
        <f>VLOOKUP((WEEKDAY(Movimientos_2026[[#This Row],[Fecha]],2)),'5. Setup'!$D$6:$E$12,2,FALSE)</f>
        <v>Jue</v>
      </c>
      <c r="D1477">
        <v>1041444</v>
      </c>
      <c r="E1477" t="str">
        <f>IFERROR(+VLOOKUP(Movimientos_2026[[#This Row],[Codigo]],Plan_cuentas[],2,FALSE)," ")</f>
        <v>INGRESOS</v>
      </c>
      <c r="F1477" t="str">
        <f>IFERROR(+VLOOKUP(Movimientos_2026[[#This Row],[Codigo]],Plan_cuentas[],3,FALSE)," ")</f>
        <v>Transferencia</v>
      </c>
      <c r="G1477" t="str">
        <f>IFERROR(+VLOOKUP(Movimientos_2026[[#This Row],[Codigo]],Plan_cuentas[],4,FALSE)," ")</f>
        <v>Entidades co-participadas</v>
      </c>
      <c r="H1477" t="str">
        <f>IFERROR(+VLOOKUP(Movimientos_2026[[#This Row],[Codigo]],Plan_cuentas[],5,FALSE)," ")</f>
        <v>UISCUMARR</v>
      </c>
      <c r="I1477" s="43">
        <v>46113</v>
      </c>
      <c r="J1477" t="s">
        <v>636</v>
      </c>
      <c r="K1477" t="str">
        <f>IFERROR(+VLOOKUP(Movimientos_2026[[#This Row],[Codigo]],Plan_cuentas[],6,FALSE)," ")</f>
        <v>4 - FCA - Fiat</v>
      </c>
      <c r="L1477" s="50">
        <v>157002007.69999999</v>
      </c>
      <c r="M1477" s="50"/>
      <c r="N1477" s="20">
        <f>+Movimientos_2026[[#This Row],[Ingresos]]-Movimientos_2026[[#This Row],[Egresos]]</f>
        <v>157002007.69999999</v>
      </c>
      <c r="O1477" s="20">
        <f>+O1476+Movimientos_2026[[#This Row],[Neto]]</f>
        <v>5600289706.0690422</v>
      </c>
    </row>
    <row r="1478" spans="1:15" x14ac:dyDescent="0.25">
      <c r="A1478" s="13">
        <v>46149</v>
      </c>
      <c r="B1478" s="12">
        <f>MONTH(Movimientos_2026[[#This Row],[Fecha]])</f>
        <v>5</v>
      </c>
      <c r="C1478" s="12" t="str">
        <f>VLOOKUP((WEEKDAY(Movimientos_2026[[#This Row],[Fecha]],2)),'5. Setup'!$D$6:$E$12,2,FALSE)</f>
        <v>Jue</v>
      </c>
      <c r="D1478">
        <v>1043144</v>
      </c>
      <c r="E1478" t="str">
        <f>IFERROR(+VLOOKUP(Movimientos_2026[[#This Row],[Codigo]],Plan_cuentas[],2,FALSE)," ")</f>
        <v>INGRESOS</v>
      </c>
      <c r="F1478" t="str">
        <f>IFERROR(+VLOOKUP(Movimientos_2026[[#This Row],[Codigo]],Plan_cuentas[],3,FALSE)," ")</f>
        <v>Transferencia</v>
      </c>
      <c r="G1478" t="str">
        <f>IFERROR(+VLOOKUP(Movimientos_2026[[#This Row],[Codigo]],Plan_cuentas[],4,FALSE)," ")</f>
        <v>Registración</v>
      </c>
      <c r="H1478" t="str">
        <f>IFERROR(+VLOOKUP(Movimientos_2026[[#This Row],[Codigo]],Plan_cuentas[],5,FALSE)," ")</f>
        <v>BUENOS AIRES</v>
      </c>
      <c r="I1478" s="43">
        <v>46113</v>
      </c>
      <c r="J1478" t="s">
        <v>636</v>
      </c>
      <c r="K1478" t="str">
        <f>IFERROR(+VLOOKUP(Movimientos_2026[[#This Row],[Codigo]],Plan_cuentas[],6,FALSE)," ")</f>
        <v>4 - FCA - Fiat</v>
      </c>
      <c r="L1478" s="50">
        <v>716639708.31000006</v>
      </c>
      <c r="M1478" s="50"/>
      <c r="N1478" s="20">
        <f>+Movimientos_2026[[#This Row],[Ingresos]]-Movimientos_2026[[#This Row],[Egresos]]</f>
        <v>716639708.31000006</v>
      </c>
      <c r="O1478" s="20">
        <f>+O1477+Movimientos_2026[[#This Row],[Neto]]</f>
        <v>6316929414.3790426</v>
      </c>
    </row>
    <row r="1479" spans="1:15" x14ac:dyDescent="0.25">
      <c r="A1479" s="13">
        <v>46149</v>
      </c>
      <c r="B1479" s="12">
        <f>MONTH(Movimientos_2026[[#This Row],[Fecha]])</f>
        <v>5</v>
      </c>
      <c r="C1479" s="12" t="str">
        <f>VLOOKUP((WEEKDAY(Movimientos_2026[[#This Row],[Fecha]],2)),'5. Setup'!$D$6:$E$12,2,FALSE)</f>
        <v>Jue</v>
      </c>
      <c r="D1479">
        <v>1045454</v>
      </c>
      <c r="E1479" t="str">
        <f>IFERROR(+VLOOKUP(Movimientos_2026[[#This Row],[Codigo]],Plan_cuentas[],2,FALSE)," ")</f>
        <v>INGRESOS</v>
      </c>
      <c r="F1479" t="str">
        <f>IFERROR(+VLOOKUP(Movimientos_2026[[#This Row],[Codigo]],Plan_cuentas[],3,FALSE)," ")</f>
        <v>Transferencia</v>
      </c>
      <c r="G1479" t="str">
        <f>IFERROR(+VLOOKUP(Movimientos_2026[[#This Row],[Codigo]],Plan_cuentas[],4,FALSE)," ")</f>
        <v>Factura</v>
      </c>
      <c r="H1479" t="str">
        <f>IFERROR(+VLOOKUP(Movimientos_2026[[#This Row],[Codigo]],Plan_cuentas[],5,FALSE)," ")</f>
        <v>FC DERECHOS</v>
      </c>
      <c r="I1479" s="43">
        <v>46113</v>
      </c>
      <c r="J1479" t="s">
        <v>637</v>
      </c>
      <c r="K1479" t="str">
        <f>IFERROR(+VLOOKUP(Movimientos_2026[[#This Row],[Codigo]],Plan_cuentas[],6,FALSE)," ")</f>
        <v>4 - FCA - Fiat</v>
      </c>
      <c r="L1479" s="50">
        <v>158204465.72999999</v>
      </c>
      <c r="M1479" s="50"/>
      <c r="N1479" s="20">
        <f>+Movimientos_2026[[#This Row],[Ingresos]]-Movimientos_2026[[#This Row],[Egresos]]</f>
        <v>158204465.72999999</v>
      </c>
      <c r="O1479" s="20">
        <f>+O1478+Movimientos_2026[[#This Row],[Neto]]</f>
        <v>6475133880.1090422</v>
      </c>
    </row>
    <row r="1480" spans="1:15" x14ac:dyDescent="0.25">
      <c r="A1480" s="13">
        <v>46150</v>
      </c>
      <c r="B1480" s="12">
        <f>MONTH(Movimientos_2026[[#This Row],[Fecha]])</f>
        <v>5</v>
      </c>
      <c r="C1480" s="12" t="str">
        <f>VLOOKUP((WEEKDAY(Movimientos_2026[[#This Row],[Fecha]],2)),'5. Setup'!$D$6:$E$12,2,FALSE)</f>
        <v>Vie</v>
      </c>
      <c r="D1480">
        <v>2034411</v>
      </c>
      <c r="E1480" t="str">
        <f>IFERROR(+VLOOKUP(Movimientos_2026[[#This Row],[Codigo]],Plan_cuentas[],2,FALSE)," ")</f>
        <v>EGRESOS</v>
      </c>
      <c r="F1480" t="str">
        <f>IFERROR(+VLOOKUP(Movimientos_2026[[#This Row],[Codigo]],Plan_cuentas[],3,FALSE)," ")</f>
        <v>Pagos Bco. Provincia</v>
      </c>
      <c r="G1480" t="str">
        <f>IFERROR(+VLOOKUP(Movimientos_2026[[#This Row],[Codigo]],Plan_cuentas[],4,FALSE)," ")</f>
        <v>Rentas</v>
      </c>
      <c r="H1480" t="str">
        <f>IFERROR(+VLOOKUP(Movimientos_2026[[#This Row],[Codigo]],Plan_cuentas[],5,FALSE)," ")</f>
        <v>TIERRA DEL FUEGO</v>
      </c>
      <c r="I1480" s="43">
        <v>46113</v>
      </c>
      <c r="J1480" t="s">
        <v>638</v>
      </c>
      <c r="K1480" t="str">
        <f>IFERROR(+VLOOKUP(Movimientos_2026[[#This Row],[Codigo]],Plan_cuentas[],6,FALSE)," ")</f>
        <v>1 - VW - Volkswagen</v>
      </c>
      <c r="L1480" s="50"/>
      <c r="M1480" s="52">
        <v>8268405</v>
      </c>
      <c r="N1480" s="20">
        <f>+Movimientos_2026[[#This Row],[Ingresos]]-Movimientos_2026[[#This Row],[Egresos]]</f>
        <v>-8268405</v>
      </c>
      <c r="O1480" s="20">
        <f>+O1479+Movimientos_2026[[#This Row],[Neto]]</f>
        <v>6466865475.1090422</v>
      </c>
    </row>
    <row r="1481" spans="1:15" x14ac:dyDescent="0.25">
      <c r="A1481" s="13">
        <v>46150</v>
      </c>
      <c r="B1481" s="12">
        <f>MONTH(Movimientos_2026[[#This Row],[Fecha]])</f>
        <v>5</v>
      </c>
      <c r="C1481" s="12" t="str">
        <f>VLOOKUP((WEEKDAY(Movimientos_2026[[#This Row],[Fecha]],2)),'5. Setup'!$D$6:$E$12,2,FALSE)</f>
        <v>Vie</v>
      </c>
      <c r="D1481">
        <v>2054321</v>
      </c>
      <c r="E1481" t="str">
        <f>IFERROR(+VLOOKUP(Movimientos_2026[[#This Row],[Codigo]],Plan_cuentas[],2,FALSE)," ")</f>
        <v>EGRESOS</v>
      </c>
      <c r="F1481" t="str">
        <f>IFERROR(+VLOOKUP(Movimientos_2026[[#This Row],[Codigo]],Plan_cuentas[],3,FALSE)," ")</f>
        <v>VEP</v>
      </c>
      <c r="G1481" t="str">
        <f>IFERROR(+VLOOKUP(Movimientos_2026[[#This Row],[Codigo]],Plan_cuentas[],4,FALSE)," ")</f>
        <v>Rentas</v>
      </c>
      <c r="H1481" t="str">
        <f>IFERROR(+VLOOKUP(Movimientos_2026[[#This Row],[Codigo]],Plan_cuentas[],5,FALSE)," ")</f>
        <v>NEUQUEN 2° Q</v>
      </c>
      <c r="I1481" s="43">
        <v>46113</v>
      </c>
      <c r="J1481" t="s">
        <v>639</v>
      </c>
      <c r="K1481" t="str">
        <f>IFERROR(+VLOOKUP(Movimientos_2026[[#This Row],[Codigo]],Plan_cuentas[],6,FALSE)," ")</f>
        <v>1 - VW - Volkswagen</v>
      </c>
      <c r="L1481" s="50"/>
      <c r="M1481" s="52">
        <v>30214347</v>
      </c>
      <c r="N1481" s="20">
        <f>+Movimientos_2026[[#This Row],[Ingresos]]-Movimientos_2026[[#This Row],[Egresos]]</f>
        <v>-30214347</v>
      </c>
      <c r="O1481" s="20">
        <f>+O1480+Movimientos_2026[[#This Row],[Neto]]</f>
        <v>6436651128.1090422</v>
      </c>
    </row>
    <row r="1482" spans="1:15" x14ac:dyDescent="0.25">
      <c r="A1482" s="13">
        <v>46150</v>
      </c>
      <c r="B1482" s="12">
        <f>MONTH(Movimientos_2026[[#This Row],[Fecha]])</f>
        <v>5</v>
      </c>
      <c r="C1482" s="12" t="str">
        <f>VLOOKUP((WEEKDAY(Movimientos_2026[[#This Row],[Fecha]],2)),'5. Setup'!$D$6:$E$12,2,FALSE)</f>
        <v>Vie</v>
      </c>
      <c r="D1482">
        <v>2014422</v>
      </c>
      <c r="E1482" t="str">
        <f>IFERROR(+VLOOKUP(Movimientos_2026[[#This Row],[Codigo]],Plan_cuentas[],2,FALSE)," ")</f>
        <v>EGRESOS</v>
      </c>
      <c r="F1482" t="str">
        <f>IFERROR(+VLOOKUP(Movimientos_2026[[#This Row],[Codigo]],Plan_cuentas[],3,FALSE)," ")</f>
        <v>BtoB</v>
      </c>
      <c r="G1482" t="str">
        <f>IFERROR(+VLOOKUP(Movimientos_2026[[#This Row],[Codigo]],Plan_cuentas[],4,FALSE)," ")</f>
        <v>Rentas</v>
      </c>
      <c r="H1482" t="str">
        <f>IFERROR(+VLOOKUP(Movimientos_2026[[#This Row],[Codigo]],Plan_cuentas[],5,FALSE)," ")</f>
        <v>TUCUMAN</v>
      </c>
      <c r="I1482" s="43">
        <v>46113</v>
      </c>
      <c r="J1482" t="s">
        <v>640</v>
      </c>
      <c r="K1482" t="str">
        <f>IFERROR(+VLOOKUP(Movimientos_2026[[#This Row],[Codigo]],Plan_cuentas[],6,FALSE)," ")</f>
        <v>2 - PR - Plan Rombo</v>
      </c>
      <c r="L1482" s="50"/>
      <c r="M1482" s="52">
        <v>63051557</v>
      </c>
      <c r="N1482" s="20">
        <f>+Movimientos_2026[[#This Row],[Ingresos]]-Movimientos_2026[[#This Row],[Egresos]]</f>
        <v>-63051557</v>
      </c>
      <c r="O1482" s="20">
        <f>+O1481+Movimientos_2026[[#This Row],[Neto]]</f>
        <v>6373599571.1090422</v>
      </c>
    </row>
    <row r="1483" spans="1:15" x14ac:dyDescent="0.25">
      <c r="A1483" s="13">
        <v>46150</v>
      </c>
      <c r="B1483" s="12">
        <f>MONTH(Movimientos_2026[[#This Row],[Fecha]])</f>
        <v>5</v>
      </c>
      <c r="C1483" s="12" t="str">
        <f>VLOOKUP((WEEKDAY(Movimientos_2026[[#This Row],[Fecha]],2)),'5. Setup'!$D$6:$E$12,2,FALSE)</f>
        <v>Vie</v>
      </c>
      <c r="D1483">
        <v>2014427</v>
      </c>
      <c r="E1483" t="str">
        <f>IFERROR(+VLOOKUP(Movimientos_2026[[#This Row],[Codigo]],Plan_cuentas[],2,FALSE)," ")</f>
        <v>EGRESOS</v>
      </c>
      <c r="F1483" t="str">
        <f>IFERROR(+VLOOKUP(Movimientos_2026[[#This Row],[Codigo]],Plan_cuentas[],3,FALSE)," ")</f>
        <v>BtoB</v>
      </c>
      <c r="G1483" t="str">
        <f>IFERROR(+VLOOKUP(Movimientos_2026[[#This Row],[Codigo]],Plan_cuentas[],4,FALSE)," ")</f>
        <v>Rentas</v>
      </c>
      <c r="H1483" t="str">
        <f>IFERROR(+VLOOKUP(Movimientos_2026[[#This Row],[Codigo]],Plan_cuentas[],5,FALSE)," ")</f>
        <v>TUCUMAN</v>
      </c>
      <c r="I1483" s="43">
        <v>46113</v>
      </c>
      <c r="J1483" t="s">
        <v>640</v>
      </c>
      <c r="K1483" t="str">
        <f>IFERROR(+VLOOKUP(Movimientos_2026[[#This Row],[Codigo]],Plan_cuentas[],6,FALSE)," ")</f>
        <v>7 - PRtr - Plan Rombo Transf.</v>
      </c>
      <c r="L1483" s="50"/>
      <c r="M1483" s="52">
        <v>250</v>
      </c>
      <c r="N1483" s="20">
        <f>+Movimientos_2026[[#This Row],[Ingresos]]-Movimientos_2026[[#This Row],[Egresos]]</f>
        <v>-250</v>
      </c>
      <c r="O1483" s="20">
        <f>+O1482+Movimientos_2026[[#This Row],[Neto]]</f>
        <v>6373599321.1090422</v>
      </c>
    </row>
    <row r="1484" spans="1:15" x14ac:dyDescent="0.25">
      <c r="A1484" s="13">
        <v>46150</v>
      </c>
      <c r="B1484" s="12">
        <f>MONTH(Movimientos_2026[[#This Row],[Fecha]])</f>
        <v>5</v>
      </c>
      <c r="C1484" s="12" t="str">
        <f>VLOOKUP((WEEKDAY(Movimientos_2026[[#This Row],[Fecha]],2)),'5. Setup'!$D$6:$E$12,2,FALSE)</f>
        <v>Vie</v>
      </c>
      <c r="D1484">
        <v>2014422</v>
      </c>
      <c r="E1484" t="str">
        <f>IFERROR(+VLOOKUP(Movimientos_2026[[#This Row],[Codigo]],Plan_cuentas[],2,FALSE)," ")</f>
        <v>EGRESOS</v>
      </c>
      <c r="F1484" t="str">
        <f>IFERROR(+VLOOKUP(Movimientos_2026[[#This Row],[Codigo]],Plan_cuentas[],3,FALSE)," ")</f>
        <v>BtoB</v>
      </c>
      <c r="G1484" t="str">
        <f>IFERROR(+VLOOKUP(Movimientos_2026[[#This Row],[Codigo]],Plan_cuentas[],4,FALSE)," ")</f>
        <v>Rentas</v>
      </c>
      <c r="H1484" t="str">
        <f>IFERROR(+VLOOKUP(Movimientos_2026[[#This Row],[Codigo]],Plan_cuentas[],5,FALSE)," ")</f>
        <v>TUCUMAN</v>
      </c>
      <c r="I1484" s="43">
        <v>46113</v>
      </c>
      <c r="J1484" t="s">
        <v>640</v>
      </c>
      <c r="K1484" t="str">
        <f>IFERROR(+VLOOKUP(Movimientos_2026[[#This Row],[Codigo]],Plan_cuentas[],6,FALSE)," ")</f>
        <v>2 - PR - Plan Rombo</v>
      </c>
      <c r="L1484" s="50"/>
      <c r="M1484" s="52">
        <v>6252685</v>
      </c>
      <c r="N1484" s="20">
        <f>+Movimientos_2026[[#This Row],[Ingresos]]-Movimientos_2026[[#This Row],[Egresos]]</f>
        <v>-6252685</v>
      </c>
      <c r="O1484" s="20">
        <f>+O1483+Movimientos_2026[[#This Row],[Neto]]</f>
        <v>6367346636.1090422</v>
      </c>
    </row>
    <row r="1485" spans="1:15" x14ac:dyDescent="0.25">
      <c r="A1485" s="13">
        <v>46150</v>
      </c>
      <c r="B1485" s="12">
        <f>MONTH(Movimientos_2026[[#This Row],[Fecha]])</f>
        <v>5</v>
      </c>
      <c r="C1485" s="12" t="str">
        <f>VLOOKUP((WEEKDAY(Movimientos_2026[[#This Row],[Fecha]],2)),'5. Setup'!$D$6:$E$12,2,FALSE)</f>
        <v>Vie</v>
      </c>
      <c r="D1485">
        <v>2034244</v>
      </c>
      <c r="E1485" t="str">
        <f>IFERROR(+VLOOKUP(Movimientos_2026[[#This Row],[Codigo]],Plan_cuentas[],2,FALSE)," ")</f>
        <v>EGRESOS</v>
      </c>
      <c r="F1485" t="str">
        <f>IFERROR(+VLOOKUP(Movimientos_2026[[#This Row],[Codigo]],Plan_cuentas[],3,FALSE)," ")</f>
        <v>Pagos Bco. Provincia</v>
      </c>
      <c r="G1485" t="str">
        <f>IFERROR(+VLOOKUP(Movimientos_2026[[#This Row],[Codigo]],Plan_cuentas[],4,FALSE)," ")</f>
        <v>Rentas</v>
      </c>
      <c r="H1485" t="str">
        <f>IFERROR(+VLOOKUP(Movimientos_2026[[#This Row],[Codigo]],Plan_cuentas[],5,FALSE)," ")</f>
        <v>FORMOSA</v>
      </c>
      <c r="I1485" s="43">
        <v>46113</v>
      </c>
      <c r="J1485" t="s">
        <v>641</v>
      </c>
      <c r="K1485" t="str">
        <f>IFERROR(+VLOOKUP(Movimientos_2026[[#This Row],[Codigo]],Plan_cuentas[],6,FALSE)," ")</f>
        <v>4 - FCA - Fiat</v>
      </c>
      <c r="L1485" s="50"/>
      <c r="M1485" s="50">
        <v>12078540.83</v>
      </c>
      <c r="N1485" s="20">
        <f>+Movimientos_2026[[#This Row],[Ingresos]]-Movimientos_2026[[#This Row],[Egresos]]</f>
        <v>-12078540.83</v>
      </c>
      <c r="O1485" s="20">
        <f>+O1484+Movimientos_2026[[#This Row],[Neto]]</f>
        <v>6355268095.2790422</v>
      </c>
    </row>
    <row r="1486" spans="1:15" x14ac:dyDescent="0.25">
      <c r="A1486" s="13">
        <v>46150</v>
      </c>
      <c r="B1486" s="12">
        <f>MONTH(Movimientos_2026[[#This Row],[Fecha]])</f>
        <v>5</v>
      </c>
      <c r="C1486" s="12" t="str">
        <f>VLOOKUP((WEEKDAY(Movimientos_2026[[#This Row],[Fecha]],2)),'5. Setup'!$D$6:$E$12,2,FALSE)</f>
        <v>Vie</v>
      </c>
      <c r="D1486">
        <v>2054372</v>
      </c>
      <c r="E1486" t="str">
        <f>IFERROR(+VLOOKUP(Movimientos_2026[[#This Row],[Codigo]],Plan_cuentas[],2,FALSE)," ")</f>
        <v>EGRESOS</v>
      </c>
      <c r="F1486" t="str">
        <f>IFERROR(+VLOOKUP(Movimientos_2026[[#This Row],[Codigo]],Plan_cuentas[],3,FALSE)," ")</f>
        <v>VEP</v>
      </c>
      <c r="G1486" t="str">
        <f>IFERROR(+VLOOKUP(Movimientos_2026[[#This Row],[Codigo]],Plan_cuentas[],4,FALSE)," ")</f>
        <v>Rentas</v>
      </c>
      <c r="H1486" t="str">
        <f>IFERROR(+VLOOKUP(Movimientos_2026[[#This Row],[Codigo]],Plan_cuentas[],5,FALSE)," ")</f>
        <v>SANTA CRUZ</v>
      </c>
      <c r="I1486" s="43">
        <v>46113</v>
      </c>
      <c r="J1486" t="s">
        <v>642</v>
      </c>
      <c r="K1486" t="str">
        <f>IFERROR(+VLOOKUP(Movimientos_2026[[#This Row],[Codigo]],Plan_cuentas[],6,FALSE)," ")</f>
        <v>2 - PR - Plan Rombo</v>
      </c>
      <c r="L1486" s="50"/>
      <c r="M1486" s="50">
        <v>37802784.25</v>
      </c>
      <c r="N1486" s="20">
        <f>+Movimientos_2026[[#This Row],[Ingresos]]-Movimientos_2026[[#This Row],[Egresos]]</f>
        <v>-37802784.25</v>
      </c>
      <c r="O1486" s="20">
        <f>+O1485+Movimientos_2026[[#This Row],[Neto]]</f>
        <v>6317465311.0290422</v>
      </c>
    </row>
    <row r="1487" spans="1:15" x14ac:dyDescent="0.25">
      <c r="A1487" s="13">
        <v>46150</v>
      </c>
      <c r="B1487" s="12">
        <f>MONTH(Movimientos_2026[[#This Row],[Fecha]])</f>
        <v>5</v>
      </c>
      <c r="C1487" s="12" t="str">
        <f>VLOOKUP((WEEKDAY(Movimientos_2026[[#This Row],[Fecha]],2)),'5. Setup'!$D$6:$E$12,2,FALSE)</f>
        <v>Vie</v>
      </c>
      <c r="D1487">
        <v>2054374</v>
      </c>
      <c r="E1487" t="str">
        <f>IFERROR(+VLOOKUP(Movimientos_2026[[#This Row],[Codigo]],Plan_cuentas[],2,FALSE)," ")</f>
        <v>EGRESOS</v>
      </c>
      <c r="F1487" t="str">
        <f>IFERROR(+VLOOKUP(Movimientos_2026[[#This Row],[Codigo]],Plan_cuentas[],3,FALSE)," ")</f>
        <v>VEP</v>
      </c>
      <c r="G1487" t="str">
        <f>IFERROR(+VLOOKUP(Movimientos_2026[[#This Row],[Codigo]],Plan_cuentas[],4,FALSE)," ")</f>
        <v>Rentas</v>
      </c>
      <c r="H1487" t="str">
        <f>IFERROR(+VLOOKUP(Movimientos_2026[[#This Row],[Codigo]],Plan_cuentas[],5,FALSE)," ")</f>
        <v>SANTA CRUZ</v>
      </c>
      <c r="I1487" s="43">
        <v>46113</v>
      </c>
      <c r="J1487" t="s">
        <v>643</v>
      </c>
      <c r="K1487" t="str">
        <f>IFERROR(+VLOOKUP(Movimientos_2026[[#This Row],[Codigo]],Plan_cuentas[],6,FALSE)," ")</f>
        <v>4 - FCA - Fiat</v>
      </c>
      <c r="L1487" s="50"/>
      <c r="M1487" s="50">
        <v>26414708.420000002</v>
      </c>
      <c r="N1487" s="20">
        <f>+Movimientos_2026[[#This Row],[Ingresos]]-Movimientos_2026[[#This Row],[Egresos]]</f>
        <v>-26414708.420000002</v>
      </c>
      <c r="O1487" s="20">
        <f>+O1486+Movimientos_2026[[#This Row],[Neto]]</f>
        <v>6291050602.6090422</v>
      </c>
    </row>
    <row r="1488" spans="1:15" x14ac:dyDescent="0.25">
      <c r="A1488" s="13">
        <v>46150</v>
      </c>
      <c r="B1488" s="12">
        <f>MONTH(Movimientos_2026[[#This Row],[Fecha]])</f>
        <v>5</v>
      </c>
      <c r="C1488" s="12" t="str">
        <f>VLOOKUP((WEEKDAY(Movimientos_2026[[#This Row],[Fecha]],2)),'5. Setup'!$D$6:$E$12,2,FALSE)</f>
        <v>Vie</v>
      </c>
      <c r="D1488">
        <v>2014274</v>
      </c>
      <c r="E1488" t="str">
        <f>IFERROR(+VLOOKUP(Movimientos_2026[[#This Row],[Codigo]],Plan_cuentas[],2,FALSE)," ")</f>
        <v>EGRESOS</v>
      </c>
      <c r="F1488" t="str">
        <f>IFERROR(+VLOOKUP(Movimientos_2026[[#This Row],[Codigo]],Plan_cuentas[],3,FALSE)," ")</f>
        <v>BtoB</v>
      </c>
      <c r="G1488" t="str">
        <f>IFERROR(+VLOOKUP(Movimientos_2026[[#This Row],[Codigo]],Plan_cuentas[],4,FALSE)," ")</f>
        <v>Rentas</v>
      </c>
      <c r="H1488" t="str">
        <f>IFERROR(+VLOOKUP(Movimientos_2026[[#This Row],[Codigo]],Plan_cuentas[],5,FALSE)," ")</f>
        <v>LA RIOJA</v>
      </c>
      <c r="I1488" s="43">
        <v>46113</v>
      </c>
      <c r="J1488" t="s">
        <v>644</v>
      </c>
      <c r="K1488" t="str">
        <f>IFERROR(+VLOOKUP(Movimientos_2026[[#This Row],[Codigo]],Plan_cuentas[],6,FALSE)," ")</f>
        <v>4 - FCA - Fiat</v>
      </c>
      <c r="L1488" s="50"/>
      <c r="M1488" s="50">
        <v>12166029.33</v>
      </c>
      <c r="N1488" s="20">
        <f>+Movimientos_2026[[#This Row],[Ingresos]]-Movimientos_2026[[#This Row],[Egresos]]</f>
        <v>-12166029.33</v>
      </c>
      <c r="O1488" s="20">
        <f>+O1487+Movimientos_2026[[#This Row],[Neto]]</f>
        <v>6278884573.2790422</v>
      </c>
    </row>
    <row r="1489" spans="1:15" x14ac:dyDescent="0.25">
      <c r="A1489" s="13">
        <v>46150</v>
      </c>
      <c r="B1489" s="12">
        <f>MONTH(Movimientos_2026[[#This Row],[Fecha]])</f>
        <v>5</v>
      </c>
      <c r="C1489" s="12" t="str">
        <f>VLOOKUP((WEEKDAY(Movimientos_2026[[#This Row],[Fecha]],2)),'5. Setup'!$D$6:$E$12,2,FALSE)</f>
        <v>Vie</v>
      </c>
      <c r="D1489">
        <v>2014212</v>
      </c>
      <c r="E1489" t="str">
        <f>IFERROR(+VLOOKUP(Movimientos_2026[[#This Row],[Codigo]],Plan_cuentas[],2,FALSE)," ")</f>
        <v>EGRESOS</v>
      </c>
      <c r="F1489" t="str">
        <f>IFERROR(+VLOOKUP(Movimientos_2026[[#This Row],[Codigo]],Plan_cuentas[],3,FALSE)," ")</f>
        <v>BtoB</v>
      </c>
      <c r="G1489" t="str">
        <f>IFERROR(+VLOOKUP(Movimientos_2026[[#This Row],[Codigo]],Plan_cuentas[],4,FALSE)," ")</f>
        <v>Rentas</v>
      </c>
      <c r="H1489" t="str">
        <f>IFERROR(+VLOOKUP(Movimientos_2026[[#This Row],[Codigo]],Plan_cuentas[],5,FALSE)," ")</f>
        <v>CORRIENTES 2° Q</v>
      </c>
      <c r="I1489" s="43">
        <v>46113</v>
      </c>
      <c r="J1489" t="s">
        <v>645</v>
      </c>
      <c r="K1489" t="str">
        <f>IFERROR(+VLOOKUP(Movimientos_2026[[#This Row],[Codigo]],Plan_cuentas[],6,FALSE)," ")</f>
        <v>2 - PR - Plan Rombo</v>
      </c>
      <c r="L1489" s="50"/>
      <c r="M1489" s="50">
        <v>9377270.1500000004</v>
      </c>
      <c r="N1489" s="20">
        <f>+Movimientos_2026[[#This Row],[Ingresos]]-Movimientos_2026[[#This Row],[Egresos]]</f>
        <v>-9377270.1500000004</v>
      </c>
      <c r="O1489" s="20">
        <f>+O1488+Movimientos_2026[[#This Row],[Neto]]</f>
        <v>6269507303.1290426</v>
      </c>
    </row>
    <row r="1490" spans="1:15" x14ac:dyDescent="0.25">
      <c r="A1490" s="13">
        <v>46150</v>
      </c>
      <c r="B1490" s="12">
        <f>MONTH(Movimientos_2026[[#This Row],[Fecha]])</f>
        <v>5</v>
      </c>
      <c r="C1490" s="12" t="str">
        <f>VLOOKUP((WEEKDAY(Movimientos_2026[[#This Row],[Fecha]],2)),'5. Setup'!$D$6:$E$12,2,FALSE)</f>
        <v>Vie</v>
      </c>
      <c r="D1490">
        <v>2054196</v>
      </c>
      <c r="E1490" t="str">
        <f>IFERROR(+VLOOKUP(Movimientos_2026[[#This Row],[Codigo]],Plan_cuentas[],2,FALSE)," ")</f>
        <v>EGRESOS</v>
      </c>
      <c r="F1490" t="str">
        <f>IFERROR(+VLOOKUP(Movimientos_2026[[#This Row],[Codigo]],Plan_cuentas[],3,FALSE)," ")</f>
        <v>VEP</v>
      </c>
      <c r="G1490" t="str">
        <f>IFERROR(+VLOOKUP(Movimientos_2026[[#This Row],[Codigo]],Plan_cuentas[],4,FALSE)," ")</f>
        <v>Rentas</v>
      </c>
      <c r="H1490" t="str">
        <f>IFERROR(+VLOOKUP(Movimientos_2026[[#This Row],[Codigo]],Plan_cuentas[],5,FALSE)," ")</f>
        <v>CORDOBA 2° Q</v>
      </c>
      <c r="I1490" s="43">
        <v>46113</v>
      </c>
      <c r="J1490" t="s">
        <v>646</v>
      </c>
      <c r="K1490" t="str">
        <f>IFERROR(+VLOOKUP(Movimientos_2026[[#This Row],[Codigo]],Plan_cuentas[],6,FALSE)," ")</f>
        <v>6 - FCAtr - Fiat Transf.</v>
      </c>
      <c r="L1490" s="50"/>
      <c r="M1490" s="52">
        <v>16610947.619999999</v>
      </c>
      <c r="N1490" s="20">
        <f>+Movimientos_2026[[#This Row],[Ingresos]]-Movimientos_2026[[#This Row],[Egresos]]</f>
        <v>-16610947.619999999</v>
      </c>
      <c r="O1490" s="20">
        <f>+O1489+Movimientos_2026[[#This Row],[Neto]]</f>
        <v>6252896355.5090427</v>
      </c>
    </row>
    <row r="1491" spans="1:15" x14ac:dyDescent="0.25">
      <c r="A1491" s="13">
        <v>46150</v>
      </c>
      <c r="B1491" s="12">
        <f>MONTH(Movimientos_2026[[#This Row],[Fecha]])</f>
        <v>5</v>
      </c>
      <c r="C1491" s="12" t="str">
        <f>VLOOKUP((WEEKDAY(Movimientos_2026[[#This Row],[Fecha]],2)),'5. Setup'!$D$6:$E$12,2,FALSE)</f>
        <v>Vie</v>
      </c>
      <c r="D1491">
        <v>2034234</v>
      </c>
      <c r="E1491" t="str">
        <f>IFERROR(+VLOOKUP(Movimientos_2026[[#This Row],[Codigo]],Plan_cuentas[],2,FALSE)," ")</f>
        <v>EGRESOS</v>
      </c>
      <c r="F1491" t="str">
        <f>IFERROR(+VLOOKUP(Movimientos_2026[[#This Row],[Codigo]],Plan_cuentas[],3,FALSE)," ")</f>
        <v>Pagos Bco. Provincia</v>
      </c>
      <c r="G1491" t="str">
        <f>IFERROR(+VLOOKUP(Movimientos_2026[[#This Row],[Codigo]],Plan_cuentas[],4,FALSE)," ")</f>
        <v>Rentas</v>
      </c>
      <c r="H1491" t="str">
        <f>IFERROR(+VLOOKUP(Movimientos_2026[[#This Row],[Codigo]],Plan_cuentas[],5,FALSE)," ")</f>
        <v>ENTRE RIOS 2° Q</v>
      </c>
      <c r="I1491" s="43">
        <v>46113</v>
      </c>
      <c r="J1491" t="s">
        <v>647</v>
      </c>
      <c r="K1491" t="str">
        <f>IFERROR(+VLOOKUP(Movimientos_2026[[#This Row],[Codigo]],Plan_cuentas[],6,FALSE)," ")</f>
        <v>4 - FCA - Fiat</v>
      </c>
      <c r="L1491" s="50"/>
      <c r="M1491" s="50">
        <v>30210305.440000001</v>
      </c>
      <c r="N1491" s="20">
        <f>+Movimientos_2026[[#This Row],[Ingresos]]-Movimientos_2026[[#This Row],[Egresos]]</f>
        <v>-30210305.440000001</v>
      </c>
      <c r="O1491" s="20">
        <f>+O1490+Movimientos_2026[[#This Row],[Neto]]</f>
        <v>6222686050.0690432</v>
      </c>
    </row>
    <row r="1492" spans="1:15" x14ac:dyDescent="0.25">
      <c r="A1492" s="13">
        <v>46150</v>
      </c>
      <c r="B1492" s="12">
        <f>MONTH(Movimientos_2026[[#This Row],[Fecha]])</f>
        <v>5</v>
      </c>
      <c r="C1492" s="12" t="str">
        <f>VLOOKUP((WEEKDAY(Movimientos_2026[[#This Row],[Fecha]],2)),'5. Setup'!$D$6:$E$12,2,FALSE)</f>
        <v>Vie</v>
      </c>
      <c r="D1492">
        <v>2034235</v>
      </c>
      <c r="E1492" t="str">
        <f>IFERROR(+VLOOKUP(Movimientos_2026[[#This Row],[Codigo]],Plan_cuentas[],2,FALSE)," ")</f>
        <v>EGRESOS</v>
      </c>
      <c r="F1492" t="str">
        <f>IFERROR(+VLOOKUP(Movimientos_2026[[#This Row],[Codigo]],Plan_cuentas[],3,FALSE)," ")</f>
        <v>Pagos Bco. Provincia</v>
      </c>
      <c r="G1492" t="str">
        <f>IFERROR(+VLOOKUP(Movimientos_2026[[#This Row],[Codigo]],Plan_cuentas[],4,FALSE)," ")</f>
        <v>Rentas</v>
      </c>
      <c r="H1492" t="str">
        <f>IFERROR(+VLOOKUP(Movimientos_2026[[#This Row],[Codigo]],Plan_cuentas[],5,FALSE)," ")</f>
        <v>ENTRE RIOS 2° Q</v>
      </c>
      <c r="I1492" s="43">
        <v>46113</v>
      </c>
      <c r="J1492" t="s">
        <v>648</v>
      </c>
      <c r="K1492" t="str">
        <f>IFERROR(+VLOOKUP(Movimientos_2026[[#This Row],[Codigo]],Plan_cuentas[],6,FALSE)," ")</f>
        <v>5 - YAM - Yamaha</v>
      </c>
      <c r="L1492" s="50"/>
      <c r="M1492" s="50">
        <v>3234834.97</v>
      </c>
      <c r="N1492" s="20">
        <f>+Movimientos_2026[[#This Row],[Ingresos]]-Movimientos_2026[[#This Row],[Egresos]]</f>
        <v>-3234834.97</v>
      </c>
      <c r="O1492" s="20">
        <f>+O1491+Movimientos_2026[[#This Row],[Neto]]</f>
        <v>6219451215.0990429</v>
      </c>
    </row>
    <row r="1493" spans="1:15" x14ac:dyDescent="0.25">
      <c r="A1493" s="13">
        <v>46150</v>
      </c>
      <c r="B1493" s="12">
        <f>MONTH(Movimientos_2026[[#This Row],[Fecha]])</f>
        <v>5</v>
      </c>
      <c r="C1493" s="12" t="str">
        <f>VLOOKUP((WEEKDAY(Movimientos_2026[[#This Row],[Fecha]],2)),'5. Setup'!$D$6:$E$12,2,FALSE)</f>
        <v>Vie</v>
      </c>
      <c r="D1493">
        <v>2034243</v>
      </c>
      <c r="E1493" t="str">
        <f>IFERROR(+VLOOKUP(Movimientos_2026[[#This Row],[Codigo]],Plan_cuentas[],2,FALSE)," ")</f>
        <v>EGRESOS</v>
      </c>
      <c r="F1493" t="str">
        <f>IFERROR(+VLOOKUP(Movimientos_2026[[#This Row],[Codigo]],Plan_cuentas[],3,FALSE)," ")</f>
        <v>Pagos Bco. Provincia</v>
      </c>
      <c r="G1493" t="str">
        <f>IFERROR(+VLOOKUP(Movimientos_2026[[#This Row],[Codigo]],Plan_cuentas[],4,FALSE)," ")</f>
        <v>Rentas</v>
      </c>
      <c r="H1493" t="str">
        <f>IFERROR(+VLOOKUP(Movimientos_2026[[#This Row],[Codigo]],Plan_cuentas[],5,FALSE)," ")</f>
        <v>FORMOSA</v>
      </c>
      <c r="I1493" s="43">
        <v>46113</v>
      </c>
      <c r="J1493" t="s">
        <v>649</v>
      </c>
      <c r="K1493" t="str">
        <f>IFERROR(+VLOOKUP(Movimientos_2026[[#This Row],[Codigo]],Plan_cuentas[],6,FALSE)," ")</f>
        <v>3 - GM - Chevrolet</v>
      </c>
      <c r="L1493" s="50"/>
      <c r="M1493" s="50">
        <v>16006484.92</v>
      </c>
      <c r="N1493" s="20">
        <f>+Movimientos_2026[[#This Row],[Ingresos]]-Movimientos_2026[[#This Row],[Egresos]]</f>
        <v>-16006484.92</v>
      </c>
      <c r="O1493" s="20">
        <f>+O1492+Movimientos_2026[[#This Row],[Neto]]</f>
        <v>6203444730.1790428</v>
      </c>
    </row>
    <row r="1494" spans="1:15" x14ac:dyDescent="0.25">
      <c r="A1494" s="13">
        <v>46150</v>
      </c>
      <c r="B1494" s="12">
        <f>MONTH(Movimientos_2026[[#This Row],[Fecha]])</f>
        <v>5</v>
      </c>
      <c r="C1494" s="12" t="str">
        <f>VLOOKUP((WEEKDAY(Movimientos_2026[[#This Row],[Fecha]],2)),'5. Setup'!$D$6:$E$12,2,FALSE)</f>
        <v>Vie</v>
      </c>
      <c r="D1494">
        <v>2014272</v>
      </c>
      <c r="E1494" t="str">
        <f>IFERROR(+VLOOKUP(Movimientos_2026[[#This Row],[Codigo]],Plan_cuentas[],2,FALSE)," ")</f>
        <v>EGRESOS</v>
      </c>
      <c r="F1494" t="str">
        <f>IFERROR(+VLOOKUP(Movimientos_2026[[#This Row],[Codigo]],Plan_cuentas[],3,FALSE)," ")</f>
        <v>BtoB</v>
      </c>
      <c r="G1494" t="str">
        <f>IFERROR(+VLOOKUP(Movimientos_2026[[#This Row],[Codigo]],Plan_cuentas[],4,FALSE)," ")</f>
        <v>Rentas</v>
      </c>
      <c r="H1494" t="str">
        <f>IFERROR(+VLOOKUP(Movimientos_2026[[#This Row],[Codigo]],Plan_cuentas[],5,FALSE)," ")</f>
        <v>LA RIOJA</v>
      </c>
      <c r="I1494" s="43">
        <v>46113</v>
      </c>
      <c r="J1494" t="s">
        <v>645</v>
      </c>
      <c r="K1494" t="str">
        <f>IFERROR(+VLOOKUP(Movimientos_2026[[#This Row],[Codigo]],Plan_cuentas[],6,FALSE)," ")</f>
        <v>2 - PR - Plan Rombo</v>
      </c>
      <c r="L1494" s="50"/>
      <c r="M1494" s="50">
        <v>4712657.22</v>
      </c>
      <c r="N1494" s="20">
        <f>+Movimientos_2026[[#This Row],[Ingresos]]-Movimientos_2026[[#This Row],[Egresos]]</f>
        <v>-4712657.22</v>
      </c>
      <c r="O1494" s="20">
        <f>+O1493+Movimientos_2026[[#This Row],[Neto]]</f>
        <v>6198732072.9590425</v>
      </c>
    </row>
    <row r="1495" spans="1:15" x14ac:dyDescent="0.25">
      <c r="A1495" s="13">
        <v>46150</v>
      </c>
      <c r="B1495" s="12">
        <f>MONTH(Movimientos_2026[[#This Row],[Fecha]])</f>
        <v>5</v>
      </c>
      <c r="C1495" s="12" t="str">
        <f>VLOOKUP((WEEKDAY(Movimientos_2026[[#This Row],[Fecha]],2)),'5. Setup'!$D$6:$E$12,2,FALSE)</f>
        <v>Vie</v>
      </c>
      <c r="D1495">
        <v>2014214</v>
      </c>
      <c r="E1495" t="str">
        <f>IFERROR(+VLOOKUP(Movimientos_2026[[#This Row],[Codigo]],Plan_cuentas[],2,FALSE)," ")</f>
        <v>EGRESOS</v>
      </c>
      <c r="F1495" t="str">
        <f>IFERROR(+VLOOKUP(Movimientos_2026[[#This Row],[Codigo]],Plan_cuentas[],3,FALSE)," ")</f>
        <v>BtoB</v>
      </c>
      <c r="G1495" t="str">
        <f>IFERROR(+VLOOKUP(Movimientos_2026[[#This Row],[Codigo]],Plan_cuentas[],4,FALSE)," ")</f>
        <v>Rentas</v>
      </c>
      <c r="H1495" t="str">
        <f>IFERROR(+VLOOKUP(Movimientos_2026[[#This Row],[Codigo]],Plan_cuentas[],5,FALSE)," ")</f>
        <v>CORRIENTES 2° Q</v>
      </c>
      <c r="I1495" s="43">
        <v>46113</v>
      </c>
      <c r="J1495" t="s">
        <v>650</v>
      </c>
      <c r="K1495" t="str">
        <f>IFERROR(+VLOOKUP(Movimientos_2026[[#This Row],[Codigo]],Plan_cuentas[],6,FALSE)," ")</f>
        <v>4 - FCA - Fiat</v>
      </c>
      <c r="L1495" s="50"/>
      <c r="M1495" s="50">
        <v>9020728.6699999999</v>
      </c>
      <c r="N1495" s="20">
        <f>+Movimientos_2026[[#This Row],[Ingresos]]-Movimientos_2026[[#This Row],[Egresos]]</f>
        <v>-9020728.6699999999</v>
      </c>
      <c r="O1495" s="20">
        <f>+O1494+Movimientos_2026[[#This Row],[Neto]]</f>
        <v>6189711344.2890425</v>
      </c>
    </row>
    <row r="1496" spans="1:15" x14ac:dyDescent="0.25">
      <c r="A1496" s="13">
        <v>46150</v>
      </c>
      <c r="B1496" s="12">
        <f>MONTH(Movimientos_2026[[#This Row],[Fecha]])</f>
        <v>5</v>
      </c>
      <c r="C1496" s="12" t="str">
        <f>VLOOKUP((WEEKDAY(Movimientos_2026[[#This Row],[Fecha]],2)),'5. Setup'!$D$6:$E$12,2,FALSE)</f>
        <v>Vie</v>
      </c>
      <c r="D1496">
        <v>2023151</v>
      </c>
      <c r="E1496" t="str">
        <f>IFERROR(+VLOOKUP(Movimientos_2026[[#This Row],[Codigo]],Plan_cuentas[],2,FALSE)," ")</f>
        <v>EGRESOS</v>
      </c>
      <c r="F1496" t="str">
        <f>IFERROR(+VLOOKUP(Movimientos_2026[[#This Row],[Codigo]],Plan_cuentas[],3,FALSE)," ")</f>
        <v>DDJJ</v>
      </c>
      <c r="G1496" t="str">
        <f>IFERROR(+VLOOKUP(Movimientos_2026[[#This Row],[Codigo]],Plan_cuentas[],4,FALSE)," ")</f>
        <v>Registración</v>
      </c>
      <c r="H1496" t="str">
        <f>IFERROR(+VLOOKUP(Movimientos_2026[[#This Row],[Codigo]],Plan_cuentas[],5,FALSE)," ")</f>
        <v>CABA</v>
      </c>
      <c r="I1496" s="43">
        <v>46113</v>
      </c>
      <c r="J1496" t="s">
        <v>651</v>
      </c>
      <c r="K1496" t="str">
        <f>IFERROR(+VLOOKUP(Movimientos_2026[[#This Row],[Codigo]],Plan_cuentas[],6,FALSE)," ")</f>
        <v>1 - VW - Volkswagen</v>
      </c>
      <c r="L1496" s="50"/>
      <c r="M1496" s="52">
        <v>71205541.349999994</v>
      </c>
      <c r="N1496" s="20">
        <f>+Movimientos_2026[[#This Row],[Ingresos]]-Movimientos_2026[[#This Row],[Egresos]]</f>
        <v>-71205541.349999994</v>
      </c>
      <c r="O1496" s="20">
        <f>+O1495+Movimientos_2026[[#This Row],[Neto]]</f>
        <v>6118505802.9390421</v>
      </c>
    </row>
    <row r="1497" spans="1:15" x14ac:dyDescent="0.25">
      <c r="A1497" s="13">
        <v>46150</v>
      </c>
      <c r="B1497" s="12">
        <f>MONTH(Movimientos_2026[[#This Row],[Fecha]])</f>
        <v>5</v>
      </c>
      <c r="C1497" s="12" t="str">
        <f>VLOOKUP((WEEKDAY(Movimientos_2026[[#This Row],[Fecha]],2)),'5. Setup'!$D$6:$E$12,2,FALSE)</f>
        <v>Vie</v>
      </c>
      <c r="D1497">
        <v>2023152</v>
      </c>
      <c r="E1497" t="str">
        <f>IFERROR(+VLOOKUP(Movimientos_2026[[#This Row],[Codigo]],Plan_cuentas[],2,FALSE)," ")</f>
        <v>EGRESOS</v>
      </c>
      <c r="F1497" t="str">
        <f>IFERROR(+VLOOKUP(Movimientos_2026[[#This Row],[Codigo]],Plan_cuentas[],3,FALSE)," ")</f>
        <v>DDJJ</v>
      </c>
      <c r="G1497" t="str">
        <f>IFERROR(+VLOOKUP(Movimientos_2026[[#This Row],[Codigo]],Plan_cuentas[],4,FALSE)," ")</f>
        <v>Registración</v>
      </c>
      <c r="H1497" t="str">
        <f>IFERROR(+VLOOKUP(Movimientos_2026[[#This Row],[Codigo]],Plan_cuentas[],5,FALSE)," ")</f>
        <v>CABA</v>
      </c>
      <c r="I1497" s="43">
        <v>46113</v>
      </c>
      <c r="J1497" t="s">
        <v>651</v>
      </c>
      <c r="K1497" t="str">
        <f>IFERROR(+VLOOKUP(Movimientos_2026[[#This Row],[Codigo]],Plan_cuentas[],6,FALSE)," ")</f>
        <v>2 - PR - Plan Rombo</v>
      </c>
      <c r="L1497" s="50"/>
      <c r="M1497" s="50">
        <v>88213054.469999999</v>
      </c>
      <c r="N1497" s="20">
        <f>+Movimientos_2026[[#This Row],[Ingresos]]-Movimientos_2026[[#This Row],[Egresos]]</f>
        <v>-88213054.469999999</v>
      </c>
      <c r="O1497" s="20">
        <f>+O1496+Movimientos_2026[[#This Row],[Neto]]</f>
        <v>6030292748.4690418</v>
      </c>
    </row>
    <row r="1498" spans="1:15" x14ac:dyDescent="0.25">
      <c r="A1498" s="13">
        <v>46150</v>
      </c>
      <c r="B1498" s="12">
        <f>MONTH(Movimientos_2026[[#This Row],[Fecha]])</f>
        <v>5</v>
      </c>
      <c r="C1498" s="12" t="str">
        <f>VLOOKUP((WEEKDAY(Movimientos_2026[[#This Row],[Fecha]],2)),'5. Setup'!$D$6:$E$12,2,FALSE)</f>
        <v>Vie</v>
      </c>
      <c r="D1498">
        <v>2023153</v>
      </c>
      <c r="E1498" t="str">
        <f>IFERROR(+VLOOKUP(Movimientos_2026[[#This Row],[Codigo]],Plan_cuentas[],2,FALSE)," ")</f>
        <v>EGRESOS</v>
      </c>
      <c r="F1498" t="str">
        <f>IFERROR(+VLOOKUP(Movimientos_2026[[#This Row],[Codigo]],Plan_cuentas[],3,FALSE)," ")</f>
        <v>DDJJ</v>
      </c>
      <c r="G1498" t="str">
        <f>IFERROR(+VLOOKUP(Movimientos_2026[[#This Row],[Codigo]],Plan_cuentas[],4,FALSE)," ")</f>
        <v>Registración</v>
      </c>
      <c r="H1498" t="str">
        <f>IFERROR(+VLOOKUP(Movimientos_2026[[#This Row],[Codigo]],Plan_cuentas[],5,FALSE)," ")</f>
        <v>CABA</v>
      </c>
      <c r="I1498" s="43">
        <v>46113</v>
      </c>
      <c r="J1498" t="s">
        <v>651</v>
      </c>
      <c r="K1498" t="str">
        <f>IFERROR(+VLOOKUP(Movimientos_2026[[#This Row],[Codigo]],Plan_cuentas[],6,FALSE)," ")</f>
        <v>3 - GM - Chevrolet</v>
      </c>
      <c r="L1498" s="50"/>
      <c r="M1498" s="52">
        <v>65561512.43</v>
      </c>
      <c r="N1498" s="20">
        <f>+Movimientos_2026[[#This Row],[Ingresos]]-Movimientos_2026[[#This Row],[Egresos]]</f>
        <v>-65561512.43</v>
      </c>
      <c r="O1498" s="20">
        <f>+O1497+Movimientos_2026[[#This Row],[Neto]]</f>
        <v>5964731236.0390415</v>
      </c>
    </row>
    <row r="1499" spans="1:15" x14ac:dyDescent="0.25">
      <c r="A1499" s="13">
        <v>46150</v>
      </c>
      <c r="B1499" s="12">
        <f>MONTH(Movimientos_2026[[#This Row],[Fecha]])</f>
        <v>5</v>
      </c>
      <c r="C1499" s="12" t="str">
        <f>VLOOKUP((WEEKDAY(Movimientos_2026[[#This Row],[Fecha]],2)),'5. Setup'!$D$6:$E$12,2,FALSE)</f>
        <v>Vie</v>
      </c>
      <c r="D1499">
        <v>2023154</v>
      </c>
      <c r="E1499" t="str">
        <f>IFERROR(+VLOOKUP(Movimientos_2026[[#This Row],[Codigo]],Plan_cuentas[],2,FALSE)," ")</f>
        <v>EGRESOS</v>
      </c>
      <c r="F1499" t="str">
        <f>IFERROR(+VLOOKUP(Movimientos_2026[[#This Row],[Codigo]],Plan_cuentas[],3,FALSE)," ")</f>
        <v>DDJJ</v>
      </c>
      <c r="G1499" t="str">
        <f>IFERROR(+VLOOKUP(Movimientos_2026[[#This Row],[Codigo]],Plan_cuentas[],4,FALSE)," ")</f>
        <v>Registración</v>
      </c>
      <c r="H1499" t="str">
        <f>IFERROR(+VLOOKUP(Movimientos_2026[[#This Row],[Codigo]],Plan_cuentas[],5,FALSE)," ")</f>
        <v>CABA</v>
      </c>
      <c r="I1499" s="43">
        <v>46113</v>
      </c>
      <c r="J1499" t="s">
        <v>651</v>
      </c>
      <c r="K1499" t="str">
        <f>IFERROR(+VLOOKUP(Movimientos_2026[[#This Row],[Codigo]],Plan_cuentas[],6,FALSE)," ")</f>
        <v>4 - FCA - Fiat</v>
      </c>
      <c r="L1499" s="50"/>
      <c r="M1499" s="52">
        <v>493576864.24000001</v>
      </c>
      <c r="N1499" s="20">
        <f>+Movimientos_2026[[#This Row],[Ingresos]]-Movimientos_2026[[#This Row],[Egresos]]</f>
        <v>-493576864.24000001</v>
      </c>
      <c r="O1499" s="20">
        <f>+O1498+Movimientos_2026[[#This Row],[Neto]]</f>
        <v>5471154371.7990417</v>
      </c>
    </row>
    <row r="1500" spans="1:15" x14ac:dyDescent="0.25">
      <c r="A1500" s="13">
        <v>46150</v>
      </c>
      <c r="B1500" s="12">
        <f>MONTH(Movimientos_2026[[#This Row],[Fecha]])</f>
        <v>5</v>
      </c>
      <c r="C1500" s="12" t="str">
        <f>VLOOKUP((WEEKDAY(Movimientos_2026[[#This Row],[Fecha]],2)),'5. Setup'!$D$6:$E$12,2,FALSE)</f>
        <v>Vie</v>
      </c>
      <c r="D1500">
        <v>2023155</v>
      </c>
      <c r="E1500" t="str">
        <f>IFERROR(+VLOOKUP(Movimientos_2026[[#This Row],[Codigo]],Plan_cuentas[],2,FALSE)," ")</f>
        <v>EGRESOS</v>
      </c>
      <c r="F1500" t="str">
        <f>IFERROR(+VLOOKUP(Movimientos_2026[[#This Row],[Codigo]],Plan_cuentas[],3,FALSE)," ")</f>
        <v>DDJJ</v>
      </c>
      <c r="G1500" t="str">
        <f>IFERROR(+VLOOKUP(Movimientos_2026[[#This Row],[Codigo]],Plan_cuentas[],4,FALSE)," ")</f>
        <v>Registración</v>
      </c>
      <c r="H1500" t="str">
        <f>IFERROR(+VLOOKUP(Movimientos_2026[[#This Row],[Codigo]],Plan_cuentas[],5,FALSE)," ")</f>
        <v>CABA</v>
      </c>
      <c r="I1500" s="43">
        <v>46113</v>
      </c>
      <c r="J1500" t="s">
        <v>651</v>
      </c>
      <c r="K1500" t="str">
        <f>IFERROR(+VLOOKUP(Movimientos_2026[[#This Row],[Codigo]],Plan_cuentas[],6,FALSE)," ")</f>
        <v>5 - YAM - Yamaha</v>
      </c>
      <c r="L1500" s="50"/>
      <c r="M1500" s="52">
        <v>31572309.609999999</v>
      </c>
      <c r="N1500" s="20">
        <f>+Movimientos_2026[[#This Row],[Ingresos]]-Movimientos_2026[[#This Row],[Egresos]]</f>
        <v>-31572309.609999999</v>
      </c>
      <c r="O1500" s="20">
        <f>+O1499+Movimientos_2026[[#This Row],[Neto]]</f>
        <v>5439582062.1890421</v>
      </c>
    </row>
    <row r="1501" spans="1:15" x14ac:dyDescent="0.25">
      <c r="A1501" s="13">
        <v>46150</v>
      </c>
      <c r="B1501" s="12">
        <f>MONTH(Movimientos_2026[[#This Row],[Fecha]])</f>
        <v>5</v>
      </c>
      <c r="C1501" s="12" t="str">
        <f>VLOOKUP((WEEKDAY(Movimientos_2026[[#This Row],[Fecha]],2)),'5. Setup'!$D$6:$E$12,2,FALSE)</f>
        <v>Vie</v>
      </c>
      <c r="D1501">
        <v>2023156</v>
      </c>
      <c r="E1501" t="str">
        <f>IFERROR(+VLOOKUP(Movimientos_2026[[#This Row],[Codigo]],Plan_cuentas[],2,FALSE)," ")</f>
        <v>EGRESOS</v>
      </c>
      <c r="F1501" t="str">
        <f>IFERROR(+VLOOKUP(Movimientos_2026[[#This Row],[Codigo]],Plan_cuentas[],3,FALSE)," ")</f>
        <v>DDJJ</v>
      </c>
      <c r="G1501" t="str">
        <f>IFERROR(+VLOOKUP(Movimientos_2026[[#This Row],[Codigo]],Plan_cuentas[],4,FALSE)," ")</f>
        <v>Registración</v>
      </c>
      <c r="H1501" t="str">
        <f>IFERROR(+VLOOKUP(Movimientos_2026[[#This Row],[Codigo]],Plan_cuentas[],5,FALSE)," ")</f>
        <v>CABA</v>
      </c>
      <c r="I1501" s="43">
        <v>46113</v>
      </c>
      <c r="J1501" t="s">
        <v>651</v>
      </c>
      <c r="K1501" t="str">
        <f>IFERROR(+VLOOKUP(Movimientos_2026[[#This Row],[Codigo]],Plan_cuentas[],6,FALSE)," ")</f>
        <v>6 - FCAtr - Fiat Transf.</v>
      </c>
      <c r="L1501" s="50"/>
      <c r="M1501" s="52">
        <v>10273059.84</v>
      </c>
      <c r="N1501" s="20">
        <f>+Movimientos_2026[[#This Row],[Ingresos]]-Movimientos_2026[[#This Row],[Egresos]]</f>
        <v>-10273059.84</v>
      </c>
      <c r="O1501" s="20">
        <f>+O1500+Movimientos_2026[[#This Row],[Neto]]</f>
        <v>5429309002.3490419</v>
      </c>
    </row>
    <row r="1502" spans="1:15" x14ac:dyDescent="0.25">
      <c r="A1502" s="13">
        <v>46150</v>
      </c>
      <c r="B1502" s="12">
        <f>MONTH(Movimientos_2026[[#This Row],[Fecha]])</f>
        <v>5</v>
      </c>
      <c r="C1502" s="12" t="str">
        <f>VLOOKUP((WEEKDAY(Movimientos_2026[[#This Row],[Fecha]],2)),'5. Setup'!$D$6:$E$12,2,FALSE)</f>
        <v>Vie</v>
      </c>
      <c r="D1502">
        <v>2023157</v>
      </c>
      <c r="E1502" t="str">
        <f>IFERROR(+VLOOKUP(Movimientos_2026[[#This Row],[Codigo]],Plan_cuentas[],2,FALSE)," ")</f>
        <v>EGRESOS</v>
      </c>
      <c r="F1502" t="str">
        <f>IFERROR(+VLOOKUP(Movimientos_2026[[#This Row],[Codigo]],Plan_cuentas[],3,FALSE)," ")</f>
        <v>DDJJ</v>
      </c>
      <c r="G1502" t="str">
        <f>IFERROR(+VLOOKUP(Movimientos_2026[[#This Row],[Codigo]],Plan_cuentas[],4,FALSE)," ")</f>
        <v>Registración</v>
      </c>
      <c r="H1502" t="str">
        <f>IFERROR(+VLOOKUP(Movimientos_2026[[#This Row],[Codigo]],Plan_cuentas[],5,FALSE)," ")</f>
        <v>CABA</v>
      </c>
      <c r="I1502" s="43">
        <v>46113</v>
      </c>
      <c r="J1502" t="s">
        <v>651</v>
      </c>
      <c r="K1502" t="str">
        <f>IFERROR(+VLOOKUP(Movimientos_2026[[#This Row],[Codigo]],Plan_cuentas[],6,FALSE)," ")</f>
        <v>7 - PRtr - Plan Rombo Transf.</v>
      </c>
      <c r="L1502" s="50"/>
      <c r="M1502" s="52">
        <v>4325</v>
      </c>
      <c r="N1502" s="20">
        <f>+Movimientos_2026[[#This Row],[Ingresos]]-Movimientos_2026[[#This Row],[Egresos]]</f>
        <v>-4325</v>
      </c>
      <c r="O1502" s="20">
        <f>+O1501+Movimientos_2026[[#This Row],[Neto]]</f>
        <v>5429304677.3490419</v>
      </c>
    </row>
    <row r="1503" spans="1:15" x14ac:dyDescent="0.25">
      <c r="A1503" s="13">
        <v>46150</v>
      </c>
      <c r="B1503" s="12">
        <f>MONTH(Movimientos_2026[[#This Row],[Fecha]])</f>
        <v>5</v>
      </c>
      <c r="C1503" s="12" t="str">
        <f>VLOOKUP((WEEKDAY(Movimientos_2026[[#This Row],[Fecha]],2)),'5. Setup'!$D$6:$E$12,2,FALSE)</f>
        <v>Vie</v>
      </c>
      <c r="D1503">
        <v>2023245</v>
      </c>
      <c r="E1503" t="str">
        <f>IFERROR(+VLOOKUP(Movimientos_2026[[#This Row],[Codigo]],Plan_cuentas[],2,FALSE)," ")</f>
        <v>EGRESOS</v>
      </c>
      <c r="F1503" t="str">
        <f>IFERROR(+VLOOKUP(Movimientos_2026[[#This Row],[Codigo]],Plan_cuentas[],3,FALSE)," ")</f>
        <v>DDJJ</v>
      </c>
      <c r="G1503" t="str">
        <f>IFERROR(+VLOOKUP(Movimientos_2026[[#This Row],[Codigo]],Plan_cuentas[],4,FALSE)," ")</f>
        <v>Registración</v>
      </c>
      <c r="H1503" t="str">
        <f>IFERROR(+VLOOKUP(Movimientos_2026[[#This Row],[Codigo]],Plan_cuentas[],5,FALSE)," ")</f>
        <v>FORMOSA</v>
      </c>
      <c r="I1503" s="43">
        <v>46113</v>
      </c>
      <c r="J1503" t="s">
        <v>652</v>
      </c>
      <c r="K1503" t="str">
        <f>IFERROR(+VLOOKUP(Movimientos_2026[[#This Row],[Codigo]],Plan_cuentas[],6,FALSE)," ")</f>
        <v>5 - YAM - Yamaha</v>
      </c>
      <c r="L1503" s="50"/>
      <c r="M1503" s="52">
        <v>784219.05</v>
      </c>
      <c r="N1503" s="20">
        <f>+Movimientos_2026[[#This Row],[Ingresos]]-Movimientos_2026[[#This Row],[Egresos]]</f>
        <v>-784219.05</v>
      </c>
      <c r="O1503" s="20">
        <f>+O1502+Movimientos_2026[[#This Row],[Neto]]</f>
        <v>5428520458.2990417</v>
      </c>
    </row>
    <row r="1504" spans="1:15" x14ac:dyDescent="0.25">
      <c r="A1504" s="13">
        <v>46150</v>
      </c>
      <c r="B1504" s="12">
        <f>MONTH(Movimientos_2026[[#This Row],[Fecha]])</f>
        <v>5</v>
      </c>
      <c r="C1504" s="12" t="str">
        <f>VLOOKUP((WEEKDAY(Movimientos_2026[[#This Row],[Fecha]],2)),'5. Setup'!$D$6:$E$12,2,FALSE)</f>
        <v>Vie</v>
      </c>
      <c r="D1504">
        <v>2023231</v>
      </c>
      <c r="E1504" t="str">
        <f>IFERROR(+VLOOKUP(Movimientos_2026[[#This Row],[Codigo]],Plan_cuentas[],2,FALSE)," ")</f>
        <v>EGRESOS</v>
      </c>
      <c r="F1504" t="str">
        <f>IFERROR(+VLOOKUP(Movimientos_2026[[#This Row],[Codigo]],Plan_cuentas[],3,FALSE)," ")</f>
        <v>DDJJ</v>
      </c>
      <c r="G1504" t="str">
        <f>IFERROR(+VLOOKUP(Movimientos_2026[[#This Row],[Codigo]],Plan_cuentas[],4,FALSE)," ")</f>
        <v>Registración</v>
      </c>
      <c r="H1504" t="str">
        <f>IFERROR(+VLOOKUP(Movimientos_2026[[#This Row],[Codigo]],Plan_cuentas[],5,FALSE)," ")</f>
        <v>ENTRE RIOS 2° Q</v>
      </c>
      <c r="I1504" s="43">
        <v>46113</v>
      </c>
      <c r="J1504" t="s">
        <v>653</v>
      </c>
      <c r="K1504" t="str">
        <f>IFERROR(+VLOOKUP(Movimientos_2026[[#This Row],[Codigo]],Plan_cuentas[],6,FALSE)," ")</f>
        <v>1 - VW - Volkswagen</v>
      </c>
      <c r="L1504" s="50"/>
      <c r="M1504" s="52">
        <v>9603091</v>
      </c>
      <c r="N1504" s="20">
        <f>+Movimientos_2026[[#This Row],[Ingresos]]-Movimientos_2026[[#This Row],[Egresos]]</f>
        <v>-9603091</v>
      </c>
      <c r="O1504" s="20">
        <f>+O1503+Movimientos_2026[[#This Row],[Neto]]</f>
        <v>5418917367.2990417</v>
      </c>
    </row>
    <row r="1505" spans="1:15" x14ac:dyDescent="0.25">
      <c r="A1505" s="13">
        <v>46150</v>
      </c>
      <c r="B1505" s="12">
        <f>MONTH(Movimientos_2026[[#This Row],[Fecha]])</f>
        <v>5</v>
      </c>
      <c r="C1505" s="12" t="str">
        <f>VLOOKUP((WEEKDAY(Movimientos_2026[[#This Row],[Fecha]],2)),'5. Setup'!$D$6:$E$12,2,FALSE)</f>
        <v>Vie</v>
      </c>
      <c r="D1505">
        <v>2023232</v>
      </c>
      <c r="E1505" t="str">
        <f>IFERROR(+VLOOKUP(Movimientos_2026[[#This Row],[Codigo]],Plan_cuentas[],2,FALSE)," ")</f>
        <v>EGRESOS</v>
      </c>
      <c r="F1505" t="str">
        <f>IFERROR(+VLOOKUP(Movimientos_2026[[#This Row],[Codigo]],Plan_cuentas[],3,FALSE)," ")</f>
        <v>DDJJ</v>
      </c>
      <c r="G1505" t="str">
        <f>IFERROR(+VLOOKUP(Movimientos_2026[[#This Row],[Codigo]],Plan_cuentas[],4,FALSE)," ")</f>
        <v>Registración</v>
      </c>
      <c r="H1505" t="str">
        <f>IFERROR(+VLOOKUP(Movimientos_2026[[#This Row],[Codigo]],Plan_cuentas[],5,FALSE)," ")</f>
        <v>ENTRE RIOS 2° Q</v>
      </c>
      <c r="I1505" s="43">
        <v>46113</v>
      </c>
      <c r="J1505" t="s">
        <v>653</v>
      </c>
      <c r="K1505" t="str">
        <f>IFERROR(+VLOOKUP(Movimientos_2026[[#This Row],[Codigo]],Plan_cuentas[],6,FALSE)," ")</f>
        <v>2 - PR - Plan Rombo</v>
      </c>
      <c r="L1505" s="50"/>
      <c r="M1505" s="52">
        <v>20585847.75</v>
      </c>
      <c r="N1505" s="20">
        <f>+Movimientos_2026[[#This Row],[Ingresos]]-Movimientos_2026[[#This Row],[Egresos]]</f>
        <v>-20585847.75</v>
      </c>
      <c r="O1505" s="20">
        <f>+O1504+Movimientos_2026[[#This Row],[Neto]]</f>
        <v>5398331519.5490417</v>
      </c>
    </row>
    <row r="1506" spans="1:15" x14ac:dyDescent="0.25">
      <c r="A1506" s="13">
        <v>46150</v>
      </c>
      <c r="B1506" s="12">
        <f>MONTH(Movimientos_2026[[#This Row],[Fecha]])</f>
        <v>5</v>
      </c>
      <c r="C1506" s="12" t="str">
        <f>VLOOKUP((WEEKDAY(Movimientos_2026[[#This Row],[Fecha]],2)),'5. Setup'!$D$6:$E$12,2,FALSE)</f>
        <v>Vie</v>
      </c>
      <c r="D1506">
        <v>2023233</v>
      </c>
      <c r="E1506" t="str">
        <f>IFERROR(+VLOOKUP(Movimientos_2026[[#This Row],[Codigo]],Plan_cuentas[],2,FALSE)," ")</f>
        <v>EGRESOS</v>
      </c>
      <c r="F1506" t="str">
        <f>IFERROR(+VLOOKUP(Movimientos_2026[[#This Row],[Codigo]],Plan_cuentas[],3,FALSE)," ")</f>
        <v>DDJJ</v>
      </c>
      <c r="G1506" t="str">
        <f>IFERROR(+VLOOKUP(Movimientos_2026[[#This Row],[Codigo]],Plan_cuentas[],4,FALSE)," ")</f>
        <v>Registración</v>
      </c>
      <c r="H1506" t="str">
        <f>IFERROR(+VLOOKUP(Movimientos_2026[[#This Row],[Codigo]],Plan_cuentas[],5,FALSE)," ")</f>
        <v>ENTRE RIOS 2° Q</v>
      </c>
      <c r="I1506" s="43">
        <v>46113</v>
      </c>
      <c r="J1506" t="s">
        <v>653</v>
      </c>
      <c r="K1506" t="str">
        <f>IFERROR(+VLOOKUP(Movimientos_2026[[#This Row],[Codigo]],Plan_cuentas[],6,FALSE)," ")</f>
        <v>3 - GM - Chevrolet</v>
      </c>
      <c r="L1506" s="50"/>
      <c r="M1506" s="52">
        <v>4149780.76</v>
      </c>
      <c r="N1506" s="20">
        <f>+Movimientos_2026[[#This Row],[Ingresos]]-Movimientos_2026[[#This Row],[Egresos]]</f>
        <v>-4149780.76</v>
      </c>
      <c r="O1506" s="20">
        <f>+O1505+Movimientos_2026[[#This Row],[Neto]]</f>
        <v>5394181738.7890415</v>
      </c>
    </row>
    <row r="1507" spans="1:15" x14ac:dyDescent="0.25">
      <c r="A1507" s="13">
        <v>46150</v>
      </c>
      <c r="B1507" s="12">
        <f>MONTH(Movimientos_2026[[#This Row],[Fecha]])</f>
        <v>5</v>
      </c>
      <c r="C1507" s="12" t="str">
        <f>VLOOKUP((WEEKDAY(Movimientos_2026[[#This Row],[Fecha]],2)),'5. Setup'!$D$6:$E$12,2,FALSE)</f>
        <v>Vie</v>
      </c>
      <c r="D1507">
        <v>2023242</v>
      </c>
      <c r="E1507" t="str">
        <f>IFERROR(+VLOOKUP(Movimientos_2026[[#This Row],[Codigo]],Plan_cuentas[],2,FALSE)," ")</f>
        <v>EGRESOS</v>
      </c>
      <c r="F1507" t="str">
        <f>IFERROR(+VLOOKUP(Movimientos_2026[[#This Row],[Codigo]],Plan_cuentas[],3,FALSE)," ")</f>
        <v>DDJJ</v>
      </c>
      <c r="G1507" t="str">
        <f>IFERROR(+VLOOKUP(Movimientos_2026[[#This Row],[Codigo]],Plan_cuentas[],4,FALSE)," ")</f>
        <v>Registración</v>
      </c>
      <c r="H1507" t="str">
        <f>IFERROR(+VLOOKUP(Movimientos_2026[[#This Row],[Codigo]],Plan_cuentas[],5,FALSE)," ")</f>
        <v>FORMOSA</v>
      </c>
      <c r="I1507" s="43">
        <v>46113</v>
      </c>
      <c r="J1507" t="s">
        <v>652</v>
      </c>
      <c r="K1507" t="str">
        <f>IFERROR(+VLOOKUP(Movimientos_2026[[#This Row],[Codigo]],Plan_cuentas[],6,FALSE)," ")</f>
        <v>2 - PR - Plan Rombo</v>
      </c>
      <c r="L1507" s="50"/>
      <c r="M1507" s="52">
        <v>7494299.7999999998</v>
      </c>
      <c r="N1507" s="20">
        <f>+Movimientos_2026[[#This Row],[Ingresos]]-Movimientos_2026[[#This Row],[Egresos]]</f>
        <v>-7494299.7999999998</v>
      </c>
      <c r="O1507" s="20">
        <f>+O1506+Movimientos_2026[[#This Row],[Neto]]</f>
        <v>5386687438.9890413</v>
      </c>
    </row>
    <row r="1508" spans="1:15" x14ac:dyDescent="0.25">
      <c r="A1508" s="13">
        <v>46150</v>
      </c>
      <c r="B1508" s="12">
        <f>MONTH(Movimientos_2026[[#This Row],[Fecha]])</f>
        <v>5</v>
      </c>
      <c r="C1508" s="12" t="str">
        <f>VLOOKUP((WEEKDAY(Movimientos_2026[[#This Row],[Fecha]],2)),'5. Setup'!$D$6:$E$12,2,FALSE)</f>
        <v>Vie</v>
      </c>
      <c r="D1508">
        <v>2023246</v>
      </c>
      <c r="E1508" t="str">
        <f>IFERROR(+VLOOKUP(Movimientos_2026[[#This Row],[Codigo]],Plan_cuentas[],2,FALSE)," ")</f>
        <v>EGRESOS</v>
      </c>
      <c r="F1508" t="str">
        <f>IFERROR(+VLOOKUP(Movimientos_2026[[#This Row],[Codigo]],Plan_cuentas[],3,FALSE)," ")</f>
        <v>DDJJ</v>
      </c>
      <c r="G1508" t="str">
        <f>IFERROR(+VLOOKUP(Movimientos_2026[[#This Row],[Codigo]],Plan_cuentas[],4,FALSE)," ")</f>
        <v>Registración</v>
      </c>
      <c r="H1508" t="str">
        <f>IFERROR(+VLOOKUP(Movimientos_2026[[#This Row],[Codigo]],Plan_cuentas[],5,FALSE)," ")</f>
        <v>FORMOSA</v>
      </c>
      <c r="I1508" s="43">
        <v>46113</v>
      </c>
      <c r="J1508" t="s">
        <v>652</v>
      </c>
      <c r="K1508" t="str">
        <f>IFERROR(+VLOOKUP(Movimientos_2026[[#This Row],[Codigo]],Plan_cuentas[],6,FALSE)," ")</f>
        <v>6 - FCAtr - Fiat Transf.</v>
      </c>
      <c r="L1508" s="50"/>
      <c r="M1508" s="52">
        <v>1089836.8700000001</v>
      </c>
      <c r="N1508" s="20">
        <f>+Movimientos_2026[[#This Row],[Ingresos]]-Movimientos_2026[[#This Row],[Egresos]]</f>
        <v>-1089836.8700000001</v>
      </c>
      <c r="O1508" s="20">
        <f>+O1507+Movimientos_2026[[#This Row],[Neto]]</f>
        <v>5385597602.1190414</v>
      </c>
    </row>
    <row r="1509" spans="1:15" x14ac:dyDescent="0.25">
      <c r="A1509" s="13">
        <v>46150</v>
      </c>
      <c r="B1509" s="12">
        <f>MONTH(Movimientos_2026[[#This Row],[Fecha]])</f>
        <v>5</v>
      </c>
      <c r="C1509" s="12" t="str">
        <f>VLOOKUP((WEEKDAY(Movimientos_2026[[#This Row],[Fecha]],2)),'5. Setup'!$D$6:$E$12,2,FALSE)</f>
        <v>Vie</v>
      </c>
      <c r="D1509">
        <v>2023247</v>
      </c>
      <c r="E1509" t="str">
        <f>IFERROR(+VLOOKUP(Movimientos_2026[[#This Row],[Codigo]],Plan_cuentas[],2,FALSE)," ")</f>
        <v>EGRESOS</v>
      </c>
      <c r="F1509" t="str">
        <f>IFERROR(+VLOOKUP(Movimientos_2026[[#This Row],[Codigo]],Plan_cuentas[],3,FALSE)," ")</f>
        <v>DDJJ</v>
      </c>
      <c r="G1509" t="str">
        <f>IFERROR(+VLOOKUP(Movimientos_2026[[#This Row],[Codigo]],Plan_cuentas[],4,FALSE)," ")</f>
        <v>Registración</v>
      </c>
      <c r="H1509" t="str">
        <f>IFERROR(+VLOOKUP(Movimientos_2026[[#This Row],[Codigo]],Plan_cuentas[],5,FALSE)," ")</f>
        <v>FORMOSA</v>
      </c>
      <c r="I1509" s="43">
        <v>46113</v>
      </c>
      <c r="J1509" t="s">
        <v>652</v>
      </c>
      <c r="K1509" t="str">
        <f>IFERROR(+VLOOKUP(Movimientos_2026[[#This Row],[Codigo]],Plan_cuentas[],6,FALSE)," ")</f>
        <v>7 - PRtr - Plan Rombo Transf.</v>
      </c>
      <c r="L1509" s="50"/>
      <c r="M1509" s="52">
        <v>193000</v>
      </c>
      <c r="N1509" s="20">
        <f>+Movimientos_2026[[#This Row],[Ingresos]]-Movimientos_2026[[#This Row],[Egresos]]</f>
        <v>-193000</v>
      </c>
      <c r="O1509" s="20">
        <f>+O1508+Movimientos_2026[[#This Row],[Neto]]</f>
        <v>5385404602.1190414</v>
      </c>
    </row>
    <row r="1510" spans="1:15" x14ac:dyDescent="0.25">
      <c r="A1510" s="13">
        <v>46150</v>
      </c>
      <c r="B1510" s="12">
        <f>MONTH(Movimientos_2026[[#This Row],[Fecha]])</f>
        <v>5</v>
      </c>
      <c r="C1510" s="12" t="str">
        <f>VLOOKUP((WEEKDAY(Movimientos_2026[[#This Row],[Fecha]],2)),'5. Setup'!$D$6:$E$12,2,FALSE)</f>
        <v>Vie</v>
      </c>
      <c r="D1510">
        <v>2023376</v>
      </c>
      <c r="E1510" t="str">
        <f>IFERROR(+VLOOKUP(Movimientos_2026[[#This Row],[Codigo]],Plan_cuentas[],2,FALSE)," ")</f>
        <v>EGRESOS</v>
      </c>
      <c r="F1510" t="str">
        <f>IFERROR(+VLOOKUP(Movimientos_2026[[#This Row],[Codigo]],Plan_cuentas[],3,FALSE)," ")</f>
        <v>DDJJ</v>
      </c>
      <c r="G1510" t="str">
        <f>IFERROR(+VLOOKUP(Movimientos_2026[[#This Row],[Codigo]],Plan_cuentas[],4,FALSE)," ")</f>
        <v>Registración</v>
      </c>
      <c r="H1510" t="str">
        <f>IFERROR(+VLOOKUP(Movimientos_2026[[#This Row],[Codigo]],Plan_cuentas[],5,FALSE)," ")</f>
        <v>SANTA CRUZ</v>
      </c>
      <c r="I1510" s="43">
        <v>46113</v>
      </c>
      <c r="J1510" t="s">
        <v>654</v>
      </c>
      <c r="K1510" t="str">
        <f>IFERROR(+VLOOKUP(Movimientos_2026[[#This Row],[Codigo]],Plan_cuentas[],6,FALSE)," ")</f>
        <v>6 - FCAtr - Fiat Transf.</v>
      </c>
      <c r="L1510" s="50"/>
      <c r="M1510" s="52">
        <v>768243.83</v>
      </c>
      <c r="N1510" s="20">
        <f>+Movimientos_2026[[#This Row],[Ingresos]]-Movimientos_2026[[#This Row],[Egresos]]</f>
        <v>-768243.83</v>
      </c>
      <c r="O1510" s="20">
        <f>+O1509+Movimientos_2026[[#This Row],[Neto]]</f>
        <v>5384636358.2890415</v>
      </c>
    </row>
    <row r="1511" spans="1:15" x14ac:dyDescent="0.25">
      <c r="A1511" s="13">
        <v>46150</v>
      </c>
      <c r="B1511" s="12">
        <f>MONTH(Movimientos_2026[[#This Row],[Fecha]])</f>
        <v>5</v>
      </c>
      <c r="C1511" s="12" t="str">
        <f>VLOOKUP((WEEKDAY(Movimientos_2026[[#This Row],[Fecha]],2)),'5. Setup'!$D$6:$E$12,2,FALSE)</f>
        <v>Vie</v>
      </c>
      <c r="D1511">
        <v>2023377</v>
      </c>
      <c r="E1511" t="str">
        <f>IFERROR(+VLOOKUP(Movimientos_2026[[#This Row],[Codigo]],Plan_cuentas[],2,FALSE)," ")</f>
        <v>EGRESOS</v>
      </c>
      <c r="F1511" t="str">
        <f>IFERROR(+VLOOKUP(Movimientos_2026[[#This Row],[Codigo]],Plan_cuentas[],3,FALSE)," ")</f>
        <v>DDJJ</v>
      </c>
      <c r="G1511" t="str">
        <f>IFERROR(+VLOOKUP(Movimientos_2026[[#This Row],[Codigo]],Plan_cuentas[],4,FALSE)," ")</f>
        <v>Registración</v>
      </c>
      <c r="H1511" t="str">
        <f>IFERROR(+VLOOKUP(Movimientos_2026[[#This Row],[Codigo]],Plan_cuentas[],5,FALSE)," ")</f>
        <v>SANTA CRUZ</v>
      </c>
      <c r="I1511" s="43">
        <v>46113</v>
      </c>
      <c r="J1511" t="s">
        <v>654</v>
      </c>
      <c r="K1511" t="str">
        <f>IFERROR(+VLOOKUP(Movimientos_2026[[#This Row],[Codigo]],Plan_cuentas[],6,FALSE)," ")</f>
        <v>7 - PRtr - Plan Rombo Transf.</v>
      </c>
      <c r="L1511" s="50"/>
      <c r="M1511" s="52">
        <v>2800</v>
      </c>
      <c r="N1511" s="20">
        <f>+Movimientos_2026[[#This Row],[Ingresos]]-Movimientos_2026[[#This Row],[Egresos]]</f>
        <v>-2800</v>
      </c>
      <c r="O1511" s="20">
        <f>+O1510+Movimientos_2026[[#This Row],[Neto]]</f>
        <v>5384633558.2890415</v>
      </c>
    </row>
    <row r="1512" spans="1:15" x14ac:dyDescent="0.25">
      <c r="A1512" s="13">
        <v>46150</v>
      </c>
      <c r="B1512" s="12">
        <f>MONTH(Movimientos_2026[[#This Row],[Fecha]])</f>
        <v>5</v>
      </c>
      <c r="C1512" s="12" t="str">
        <f>VLOOKUP((WEEKDAY(Movimientos_2026[[#This Row],[Fecha]],2)),'5. Setup'!$D$6:$E$12,2,FALSE)</f>
        <v>Vie</v>
      </c>
      <c r="D1512">
        <v>2023392</v>
      </c>
      <c r="E1512" t="str">
        <f>IFERROR(+VLOOKUP(Movimientos_2026[[#This Row],[Codigo]],Plan_cuentas[],2,FALSE)," ")</f>
        <v>EGRESOS</v>
      </c>
      <c r="F1512" t="str">
        <f>IFERROR(+VLOOKUP(Movimientos_2026[[#This Row],[Codigo]],Plan_cuentas[],3,FALSE)," ")</f>
        <v>DDJJ</v>
      </c>
      <c r="G1512" t="str">
        <f>IFERROR(+VLOOKUP(Movimientos_2026[[#This Row],[Codigo]],Plan_cuentas[],4,FALSE)," ")</f>
        <v>Registración</v>
      </c>
      <c r="H1512" t="str">
        <f>IFERROR(+VLOOKUP(Movimientos_2026[[#This Row],[Codigo]],Plan_cuentas[],5,FALSE)," ")</f>
        <v>SANTA FE 2° Q</v>
      </c>
      <c r="I1512" s="43">
        <v>46113</v>
      </c>
      <c r="J1512" t="s">
        <v>655</v>
      </c>
      <c r="K1512" t="str">
        <f>IFERROR(+VLOOKUP(Movimientos_2026[[#This Row],[Codigo]],Plan_cuentas[],6,FALSE)," ")</f>
        <v>2 - PR - Plan Rombo</v>
      </c>
      <c r="L1512" s="50"/>
      <c r="M1512" s="52">
        <v>38669298.200000003</v>
      </c>
      <c r="N1512" s="20">
        <f>+Movimientos_2026[[#This Row],[Ingresos]]-Movimientos_2026[[#This Row],[Egresos]]</f>
        <v>-38669298.200000003</v>
      </c>
      <c r="O1512" s="20">
        <f>+O1511+Movimientos_2026[[#This Row],[Neto]]</f>
        <v>5345964260.0890417</v>
      </c>
    </row>
    <row r="1513" spans="1:15" x14ac:dyDescent="0.25">
      <c r="A1513" s="13">
        <v>46150</v>
      </c>
      <c r="B1513" s="12">
        <f>MONTH(Movimientos_2026[[#This Row],[Fecha]])</f>
        <v>5</v>
      </c>
      <c r="C1513" s="12" t="str">
        <f>VLOOKUP((WEEKDAY(Movimientos_2026[[#This Row],[Fecha]],2)),'5. Setup'!$D$6:$E$12,2,FALSE)</f>
        <v>Vie</v>
      </c>
      <c r="D1513">
        <v>2023393</v>
      </c>
      <c r="E1513" t="str">
        <f>IFERROR(+VLOOKUP(Movimientos_2026[[#This Row],[Codigo]],Plan_cuentas[],2,FALSE)," ")</f>
        <v>EGRESOS</v>
      </c>
      <c r="F1513" t="str">
        <f>IFERROR(+VLOOKUP(Movimientos_2026[[#This Row],[Codigo]],Plan_cuentas[],3,FALSE)," ")</f>
        <v>DDJJ</v>
      </c>
      <c r="G1513" t="str">
        <f>IFERROR(+VLOOKUP(Movimientos_2026[[#This Row],[Codigo]],Plan_cuentas[],4,FALSE)," ")</f>
        <v>Registración</v>
      </c>
      <c r="H1513" t="str">
        <f>IFERROR(+VLOOKUP(Movimientos_2026[[#This Row],[Codigo]],Plan_cuentas[],5,FALSE)," ")</f>
        <v>SANTA FE 2° Q</v>
      </c>
      <c r="I1513" s="43">
        <v>46113</v>
      </c>
      <c r="J1513" t="s">
        <v>655</v>
      </c>
      <c r="K1513" t="str">
        <f>IFERROR(+VLOOKUP(Movimientos_2026[[#This Row],[Codigo]],Plan_cuentas[],6,FALSE)," ")</f>
        <v>3 - GM - Chevrolet</v>
      </c>
      <c r="L1513" s="50"/>
      <c r="M1513" s="52">
        <v>25428697.449999999</v>
      </c>
      <c r="N1513" s="20">
        <f>+Movimientos_2026[[#This Row],[Ingresos]]-Movimientos_2026[[#This Row],[Egresos]]</f>
        <v>-25428697.449999999</v>
      </c>
      <c r="O1513" s="20">
        <f>+O1512+Movimientos_2026[[#This Row],[Neto]]</f>
        <v>5320535562.6390419</v>
      </c>
    </row>
    <row r="1514" spans="1:15" x14ac:dyDescent="0.25">
      <c r="A1514" s="13">
        <v>46153</v>
      </c>
      <c r="B1514" s="12">
        <f>MONTH(Movimientos_2026[[#This Row],[Fecha]])</f>
        <v>5</v>
      </c>
      <c r="C1514" s="12" t="str">
        <f>VLOOKUP((WEEKDAY(Movimientos_2026[[#This Row],[Fecha]],2)),'5. Setup'!$D$6:$E$12,2,FALSE)</f>
        <v>Lun</v>
      </c>
      <c r="D1514">
        <v>2044462</v>
      </c>
      <c r="E1514" t="str">
        <f>IFERROR(+VLOOKUP(Movimientos_2026[[#This Row],[Codigo]],Plan_cuentas[],2,FALSE)," ")</f>
        <v>EGRESOS</v>
      </c>
      <c r="F1514" t="str">
        <f>IFERROR(+VLOOKUP(Movimientos_2026[[#This Row],[Codigo]],Plan_cuentas[],3,FALSE)," ")</f>
        <v>Transferencia</v>
      </c>
      <c r="G1514" t="str">
        <f>IFERROR(+VLOOKUP(Movimientos_2026[[#This Row],[Codigo]],Plan_cuentas[],4,FALSE)," ")</f>
        <v>Rentas</v>
      </c>
      <c r="H1514" t="str">
        <f>IFERROR(+VLOOKUP(Movimientos_2026[[#This Row],[Codigo]],Plan_cuentas[],5,FALSE)," ")</f>
        <v>MISIONES</v>
      </c>
      <c r="I1514" s="43">
        <v>46113</v>
      </c>
      <c r="J1514" t="s">
        <v>656</v>
      </c>
      <c r="K1514" t="str">
        <f>IFERROR(+VLOOKUP(Movimientos_2026[[#This Row],[Codigo]],Plan_cuentas[],6,FALSE)," ")</f>
        <v>2 - PR - Plan Rombo</v>
      </c>
      <c r="L1514" s="50"/>
      <c r="M1514" s="52">
        <v>2801224.57</v>
      </c>
      <c r="N1514" s="20">
        <f>+Movimientos_2026[[#This Row],[Ingresos]]-Movimientos_2026[[#This Row],[Egresos]]</f>
        <v>-2801224.57</v>
      </c>
      <c r="O1514" s="20">
        <f>+O1513+Movimientos_2026[[#This Row],[Neto]]</f>
        <v>5317734338.0690422</v>
      </c>
    </row>
    <row r="1515" spans="1:15" x14ac:dyDescent="0.25">
      <c r="A1515" s="13">
        <v>46153</v>
      </c>
      <c r="B1515" s="12">
        <f>MONTH(Movimientos_2026[[#This Row],[Fecha]])</f>
        <v>5</v>
      </c>
      <c r="C1515" s="12" t="str">
        <f>VLOOKUP((WEEKDAY(Movimientos_2026[[#This Row],[Fecha]],2)),'5. Setup'!$D$6:$E$12,2,FALSE)</f>
        <v>Lun</v>
      </c>
      <c r="D1515">
        <v>2014421</v>
      </c>
      <c r="E1515" t="str">
        <f>IFERROR(+VLOOKUP(Movimientos_2026[[#This Row],[Codigo]],Plan_cuentas[],2,FALSE)," ")</f>
        <v>EGRESOS</v>
      </c>
      <c r="F1515" t="str">
        <f>IFERROR(+VLOOKUP(Movimientos_2026[[#This Row],[Codigo]],Plan_cuentas[],3,FALSE)," ")</f>
        <v>BtoB</v>
      </c>
      <c r="G1515" t="str">
        <f>IFERROR(+VLOOKUP(Movimientos_2026[[#This Row],[Codigo]],Plan_cuentas[],4,FALSE)," ")</f>
        <v>Rentas</v>
      </c>
      <c r="H1515" t="str">
        <f>IFERROR(+VLOOKUP(Movimientos_2026[[#This Row],[Codigo]],Plan_cuentas[],5,FALSE)," ")</f>
        <v>TUCUMAN</v>
      </c>
      <c r="I1515" s="43">
        <v>46113</v>
      </c>
      <c r="J1515" t="s">
        <v>657</v>
      </c>
      <c r="K1515" t="str">
        <f>IFERROR(+VLOOKUP(Movimientos_2026[[#This Row],[Codigo]],Plan_cuentas[],6,FALSE)," ")</f>
        <v>1 - VW - Volkswagen</v>
      </c>
      <c r="L1515" s="50"/>
      <c r="M1515" s="52">
        <v>43723835.380000003</v>
      </c>
      <c r="N1515" s="20">
        <f>+Movimientos_2026[[#This Row],[Ingresos]]-Movimientos_2026[[#This Row],[Egresos]]</f>
        <v>-43723835.380000003</v>
      </c>
      <c r="O1515" s="20">
        <f>+O1514+Movimientos_2026[[#This Row],[Neto]]</f>
        <v>5274010502.6890421</v>
      </c>
    </row>
    <row r="1516" spans="1:15" x14ac:dyDescent="0.25">
      <c r="A1516" s="13">
        <v>46153</v>
      </c>
      <c r="B1516" s="12">
        <f>MONTH(Movimientos_2026[[#This Row],[Fecha]])</f>
        <v>5</v>
      </c>
      <c r="C1516" s="12" t="str">
        <f>VLOOKUP((WEEKDAY(Movimientos_2026[[#This Row],[Fecha]],2)),'5. Setup'!$D$6:$E$12,2,FALSE)</f>
        <v>Lun</v>
      </c>
      <c r="D1516">
        <v>2034241</v>
      </c>
      <c r="E1516" t="str">
        <f>IFERROR(+VLOOKUP(Movimientos_2026[[#This Row],[Codigo]],Plan_cuentas[],2,FALSE)," ")</f>
        <v>EGRESOS</v>
      </c>
      <c r="F1516" t="str">
        <f>IFERROR(+VLOOKUP(Movimientos_2026[[#This Row],[Codigo]],Plan_cuentas[],3,FALSE)," ")</f>
        <v>Pagos Bco. Provincia</v>
      </c>
      <c r="G1516" t="str">
        <f>IFERROR(+VLOOKUP(Movimientos_2026[[#This Row],[Codigo]],Plan_cuentas[],4,FALSE)," ")</f>
        <v>Rentas</v>
      </c>
      <c r="H1516" t="str">
        <f>IFERROR(+VLOOKUP(Movimientos_2026[[#This Row],[Codigo]],Plan_cuentas[],5,FALSE)," ")</f>
        <v>FORMOSA</v>
      </c>
      <c r="I1516" s="43">
        <v>46113</v>
      </c>
      <c r="J1516" t="s">
        <v>658</v>
      </c>
      <c r="K1516" t="str">
        <f>IFERROR(+VLOOKUP(Movimientos_2026[[#This Row],[Codigo]],Plan_cuentas[],6,FALSE)," ")</f>
        <v>1 - VW - Volkswagen</v>
      </c>
      <c r="L1516" s="50"/>
      <c r="M1516" s="50">
        <v>7024155.5</v>
      </c>
      <c r="N1516" s="20">
        <f>+Movimientos_2026[[#This Row],[Ingresos]]-Movimientos_2026[[#This Row],[Egresos]]</f>
        <v>-7024155.5</v>
      </c>
      <c r="O1516" s="20">
        <f>+O1515+Movimientos_2026[[#This Row],[Neto]]</f>
        <v>5266986347.1890421</v>
      </c>
    </row>
    <row r="1517" spans="1:15" x14ac:dyDescent="0.25">
      <c r="A1517" s="13">
        <v>46153</v>
      </c>
      <c r="B1517" s="12">
        <f>MONTH(Movimientos_2026[[#This Row],[Fecha]])</f>
        <v>5</v>
      </c>
      <c r="C1517" s="12" t="str">
        <f>VLOOKUP((WEEKDAY(Movimientos_2026[[#This Row],[Fecha]],2)),'5. Setup'!$D$6:$E$12,2,FALSE)</f>
        <v>Lun</v>
      </c>
      <c r="D1517">
        <v>2054371</v>
      </c>
      <c r="E1517" t="str">
        <f>IFERROR(+VLOOKUP(Movimientos_2026[[#This Row],[Codigo]],Plan_cuentas[],2,FALSE)," ")</f>
        <v>EGRESOS</v>
      </c>
      <c r="F1517" t="str">
        <f>IFERROR(+VLOOKUP(Movimientos_2026[[#This Row],[Codigo]],Plan_cuentas[],3,FALSE)," ")</f>
        <v>VEP</v>
      </c>
      <c r="G1517" t="str">
        <f>IFERROR(+VLOOKUP(Movimientos_2026[[#This Row],[Codigo]],Plan_cuentas[],4,FALSE)," ")</f>
        <v>Rentas</v>
      </c>
      <c r="H1517" t="str">
        <f>IFERROR(+VLOOKUP(Movimientos_2026[[#This Row],[Codigo]],Plan_cuentas[],5,FALSE)," ")</f>
        <v>SANTA CRUZ</v>
      </c>
      <c r="I1517" s="43">
        <v>46113</v>
      </c>
      <c r="J1517" t="s">
        <v>659</v>
      </c>
      <c r="K1517" t="str">
        <f>IFERROR(+VLOOKUP(Movimientos_2026[[#This Row],[Codigo]],Plan_cuentas[],6,FALSE)," ")</f>
        <v>1 - VW - Volkswagen</v>
      </c>
      <c r="L1517" s="50"/>
      <c r="M1517" s="50">
        <v>28007206.5</v>
      </c>
      <c r="N1517" s="20">
        <f>+Movimientos_2026[[#This Row],[Ingresos]]-Movimientos_2026[[#This Row],[Egresos]]</f>
        <v>-28007206.5</v>
      </c>
      <c r="O1517" s="20">
        <f>+O1516+Movimientos_2026[[#This Row],[Neto]]</f>
        <v>5238979140.6890421</v>
      </c>
    </row>
    <row r="1518" spans="1:15" x14ac:dyDescent="0.25">
      <c r="A1518" s="13">
        <v>46153</v>
      </c>
      <c r="B1518" s="12">
        <f>MONTH(Movimientos_2026[[#This Row],[Fecha]])</f>
        <v>5</v>
      </c>
      <c r="C1518" s="12" t="str">
        <f>VLOOKUP((WEEKDAY(Movimientos_2026[[#This Row],[Fecha]],2)),'5. Setup'!$D$6:$E$12,2,FALSE)</f>
        <v>Lun</v>
      </c>
      <c r="D1518">
        <v>2014271</v>
      </c>
      <c r="E1518" t="str">
        <f>IFERROR(+VLOOKUP(Movimientos_2026[[#This Row],[Codigo]],Plan_cuentas[],2,FALSE)," ")</f>
        <v>EGRESOS</v>
      </c>
      <c r="F1518" t="str">
        <f>IFERROR(+VLOOKUP(Movimientos_2026[[#This Row],[Codigo]],Plan_cuentas[],3,FALSE)," ")</f>
        <v>BtoB</v>
      </c>
      <c r="G1518" t="str">
        <f>IFERROR(+VLOOKUP(Movimientos_2026[[#This Row],[Codigo]],Plan_cuentas[],4,FALSE)," ")</f>
        <v>Rentas</v>
      </c>
      <c r="H1518" t="str">
        <f>IFERROR(+VLOOKUP(Movimientos_2026[[#This Row],[Codigo]],Plan_cuentas[],5,FALSE)," ")</f>
        <v>LA RIOJA</v>
      </c>
      <c r="I1518" s="43">
        <v>46113</v>
      </c>
      <c r="J1518" t="s">
        <v>660</v>
      </c>
      <c r="K1518" t="str">
        <f>IFERROR(+VLOOKUP(Movimientos_2026[[#This Row],[Codigo]],Plan_cuentas[],6,FALSE)," ")</f>
        <v>1 - VW - Volkswagen</v>
      </c>
      <c r="L1518" s="50"/>
      <c r="M1518" s="50">
        <v>20749536.969999999</v>
      </c>
      <c r="N1518" s="20">
        <f>+Movimientos_2026[[#This Row],[Ingresos]]-Movimientos_2026[[#This Row],[Egresos]]</f>
        <v>-20749536.969999999</v>
      </c>
      <c r="O1518" s="20">
        <f>+O1517+Movimientos_2026[[#This Row],[Neto]]</f>
        <v>5218229603.7190418</v>
      </c>
    </row>
    <row r="1519" spans="1:15" x14ac:dyDescent="0.25">
      <c r="A1519" s="13">
        <v>46153</v>
      </c>
      <c r="B1519" s="12">
        <f>MONTH(Movimientos_2026[[#This Row],[Fecha]])</f>
        <v>5</v>
      </c>
      <c r="C1519" s="12" t="str">
        <f>VLOOKUP((WEEKDAY(Movimientos_2026[[#This Row],[Fecha]],2)),'5. Setup'!$D$6:$E$12,2,FALSE)</f>
        <v>Lun</v>
      </c>
      <c r="D1519">
        <v>2014211</v>
      </c>
      <c r="E1519" t="str">
        <f>IFERROR(+VLOOKUP(Movimientos_2026[[#This Row],[Codigo]],Plan_cuentas[],2,FALSE)," ")</f>
        <v>EGRESOS</v>
      </c>
      <c r="F1519" t="str">
        <f>IFERROR(+VLOOKUP(Movimientos_2026[[#This Row],[Codigo]],Plan_cuentas[],3,FALSE)," ")</f>
        <v>BtoB</v>
      </c>
      <c r="G1519" t="str">
        <f>IFERROR(+VLOOKUP(Movimientos_2026[[#This Row],[Codigo]],Plan_cuentas[],4,FALSE)," ")</f>
        <v>Rentas</v>
      </c>
      <c r="H1519" t="str">
        <f>IFERROR(+VLOOKUP(Movimientos_2026[[#This Row],[Codigo]],Plan_cuentas[],5,FALSE)," ")</f>
        <v>CORRIENTES 2° Q</v>
      </c>
      <c r="I1519" s="43">
        <v>46113</v>
      </c>
      <c r="J1519" t="s">
        <v>661</v>
      </c>
      <c r="K1519" t="str">
        <f>IFERROR(+VLOOKUP(Movimientos_2026[[#This Row],[Codigo]],Plan_cuentas[],6,FALSE)," ")</f>
        <v>1 - VW - Volkswagen</v>
      </c>
      <c r="L1519" s="50"/>
      <c r="M1519" s="50">
        <v>9890442.5</v>
      </c>
      <c r="N1519" s="20">
        <f>+Movimientos_2026[[#This Row],[Ingresos]]-Movimientos_2026[[#This Row],[Egresos]]</f>
        <v>-9890442.5</v>
      </c>
      <c r="O1519" s="20">
        <f>+O1518+Movimientos_2026[[#This Row],[Neto]]</f>
        <v>5208339161.2190418</v>
      </c>
    </row>
    <row r="1520" spans="1:15" x14ac:dyDescent="0.25">
      <c r="A1520" s="13">
        <v>46153</v>
      </c>
      <c r="B1520" s="12">
        <f>MONTH(Movimientos_2026[[#This Row],[Fecha]])</f>
        <v>5</v>
      </c>
      <c r="C1520" s="12" t="str">
        <f>VLOOKUP((WEEKDAY(Movimientos_2026[[#This Row],[Fecha]],2)),'5. Setup'!$D$6:$E$12,2,FALSE)</f>
        <v>Lun</v>
      </c>
      <c r="D1520">
        <v>2054197</v>
      </c>
      <c r="E1520" t="str">
        <f>IFERROR(+VLOOKUP(Movimientos_2026[[#This Row],[Codigo]],Plan_cuentas[],2,FALSE)," ")</f>
        <v>EGRESOS</v>
      </c>
      <c r="F1520" t="str">
        <f>IFERROR(+VLOOKUP(Movimientos_2026[[#This Row],[Codigo]],Plan_cuentas[],3,FALSE)," ")</f>
        <v>VEP</v>
      </c>
      <c r="G1520" t="str">
        <f>IFERROR(+VLOOKUP(Movimientos_2026[[#This Row],[Codigo]],Plan_cuentas[],4,FALSE)," ")</f>
        <v>Rentas</v>
      </c>
      <c r="H1520" t="str">
        <f>IFERROR(+VLOOKUP(Movimientos_2026[[#This Row],[Codigo]],Plan_cuentas[],5,FALSE)," ")</f>
        <v>CORDOBA 2° Q</v>
      </c>
      <c r="I1520" s="43">
        <v>46113</v>
      </c>
      <c r="J1520" t="s">
        <v>662</v>
      </c>
      <c r="K1520" t="str">
        <f>IFERROR(+VLOOKUP(Movimientos_2026[[#This Row],[Codigo]],Plan_cuentas[],6,FALSE)," ")</f>
        <v>7 - PRtr - Plan Rombo Transf.</v>
      </c>
      <c r="L1520" s="50"/>
      <c r="M1520" s="52">
        <v>703800</v>
      </c>
      <c r="N1520" s="20">
        <f>+Movimientos_2026[[#This Row],[Ingresos]]-Movimientos_2026[[#This Row],[Egresos]]</f>
        <v>-703800</v>
      </c>
      <c r="O1520" s="20">
        <f>+O1519+Movimientos_2026[[#This Row],[Neto]]</f>
        <v>5207635361.2190418</v>
      </c>
    </row>
    <row r="1521" spans="1:15" x14ac:dyDescent="0.25">
      <c r="A1521" s="13">
        <v>46153</v>
      </c>
      <c r="B1521" s="12">
        <f>MONTH(Movimientos_2026[[#This Row],[Fecha]])</f>
        <v>5</v>
      </c>
      <c r="C1521" s="12" t="str">
        <f>VLOOKUP((WEEKDAY(Movimientos_2026[[#This Row],[Fecha]],2)),'5. Setup'!$D$6:$E$12,2,FALSE)</f>
        <v>Lun</v>
      </c>
      <c r="D1521">
        <v>2054282</v>
      </c>
      <c r="E1521" t="str">
        <f>IFERROR(+VLOOKUP(Movimientos_2026[[#This Row],[Codigo]],Plan_cuentas[],2,FALSE)," ")</f>
        <v>EGRESOS</v>
      </c>
      <c r="F1521" t="str">
        <f>IFERROR(+VLOOKUP(Movimientos_2026[[#This Row],[Codigo]],Plan_cuentas[],3,FALSE)," ")</f>
        <v>VEP</v>
      </c>
      <c r="G1521" t="str">
        <f>IFERROR(+VLOOKUP(Movimientos_2026[[#This Row],[Codigo]],Plan_cuentas[],4,FALSE)," ")</f>
        <v>Rentas</v>
      </c>
      <c r="H1521" t="str">
        <f>IFERROR(+VLOOKUP(Movimientos_2026[[#This Row],[Codigo]],Plan_cuentas[],5,FALSE)," ")</f>
        <v>MENDOZA</v>
      </c>
      <c r="I1521" s="43">
        <v>46113</v>
      </c>
      <c r="J1521" t="s">
        <v>663</v>
      </c>
      <c r="K1521" t="str">
        <f>IFERROR(+VLOOKUP(Movimientos_2026[[#This Row],[Codigo]],Plan_cuentas[],6,FALSE)," ")</f>
        <v>2 - PR - Plan Rombo</v>
      </c>
      <c r="L1521" s="50"/>
      <c r="M1521" s="50">
        <v>42821200</v>
      </c>
      <c r="N1521" s="20">
        <f>+Movimientos_2026[[#This Row],[Ingresos]]-Movimientos_2026[[#This Row],[Egresos]]</f>
        <v>-42821200</v>
      </c>
      <c r="O1521" s="20">
        <f>+O1520+Movimientos_2026[[#This Row],[Neto]]</f>
        <v>5164814161.2190418</v>
      </c>
    </row>
    <row r="1522" spans="1:15" x14ac:dyDescent="0.25">
      <c r="A1522" s="13">
        <v>46153</v>
      </c>
      <c r="B1522" s="12">
        <f>MONTH(Movimientos_2026[[#This Row],[Fecha]])</f>
        <v>5</v>
      </c>
      <c r="C1522" s="12" t="str">
        <f>VLOOKUP((WEEKDAY(Movimientos_2026[[#This Row],[Fecha]],2)),'5. Setup'!$D$6:$E$12,2,FALSE)</f>
        <v>Lun</v>
      </c>
      <c r="D1522">
        <v>2054284</v>
      </c>
      <c r="E1522" t="str">
        <f>IFERROR(+VLOOKUP(Movimientos_2026[[#This Row],[Codigo]],Plan_cuentas[],2,FALSE)," ")</f>
        <v>EGRESOS</v>
      </c>
      <c r="F1522" t="str">
        <f>IFERROR(+VLOOKUP(Movimientos_2026[[#This Row],[Codigo]],Plan_cuentas[],3,FALSE)," ")</f>
        <v>VEP</v>
      </c>
      <c r="G1522" t="str">
        <f>IFERROR(+VLOOKUP(Movimientos_2026[[#This Row],[Codigo]],Plan_cuentas[],4,FALSE)," ")</f>
        <v>Rentas</v>
      </c>
      <c r="H1522" t="str">
        <f>IFERROR(+VLOOKUP(Movimientos_2026[[#This Row],[Codigo]],Plan_cuentas[],5,FALSE)," ")</f>
        <v>MENDOZA</v>
      </c>
      <c r="I1522" s="43">
        <v>46113</v>
      </c>
      <c r="J1522" t="s">
        <v>664</v>
      </c>
      <c r="K1522" t="str">
        <f>IFERROR(+VLOOKUP(Movimientos_2026[[#This Row],[Codigo]],Plan_cuentas[],6,FALSE)," ")</f>
        <v>4 - FCA - Fiat</v>
      </c>
      <c r="L1522" s="50"/>
      <c r="M1522" s="50">
        <v>131520600</v>
      </c>
      <c r="N1522" s="20">
        <f>+Movimientos_2026[[#This Row],[Ingresos]]-Movimientos_2026[[#This Row],[Egresos]]</f>
        <v>-131520600</v>
      </c>
      <c r="O1522" s="20">
        <f>+O1521+Movimientos_2026[[#This Row],[Neto]]</f>
        <v>5033293561.2190418</v>
      </c>
    </row>
    <row r="1523" spans="1:15" x14ac:dyDescent="0.25">
      <c r="A1523" s="13">
        <v>46153</v>
      </c>
      <c r="B1523" s="12">
        <f>MONTH(Movimientos_2026[[#This Row],[Fecha]])</f>
        <v>5</v>
      </c>
      <c r="C1523" s="12" t="str">
        <f>VLOOKUP((WEEKDAY(Movimientos_2026[[#This Row],[Fecha]],2)),'5. Setup'!$D$6:$E$12,2,FALSE)</f>
        <v>Lun</v>
      </c>
      <c r="D1523">
        <v>2054286</v>
      </c>
      <c r="E1523" t="str">
        <f>IFERROR(+VLOOKUP(Movimientos_2026[[#This Row],[Codigo]],Plan_cuentas[],2,FALSE)," ")</f>
        <v>EGRESOS</v>
      </c>
      <c r="F1523" t="str">
        <f>IFERROR(+VLOOKUP(Movimientos_2026[[#This Row],[Codigo]],Plan_cuentas[],3,FALSE)," ")</f>
        <v>VEP</v>
      </c>
      <c r="G1523" t="str">
        <f>IFERROR(+VLOOKUP(Movimientos_2026[[#This Row],[Codigo]],Plan_cuentas[],4,FALSE)," ")</f>
        <v>Rentas</v>
      </c>
      <c r="H1523" t="str">
        <f>IFERROR(+VLOOKUP(Movimientos_2026[[#This Row],[Codigo]],Plan_cuentas[],5,FALSE)," ")</f>
        <v>MENDOZA</v>
      </c>
      <c r="I1523" s="43">
        <v>46113</v>
      </c>
      <c r="J1523" t="s">
        <v>664</v>
      </c>
      <c r="K1523" t="str">
        <f>IFERROR(+VLOOKUP(Movimientos_2026[[#This Row],[Codigo]],Plan_cuentas[],6,FALSE)," ")</f>
        <v>6 - FCAtr - Fiat Transf.</v>
      </c>
      <c r="L1523" s="50"/>
      <c r="M1523" s="52">
        <v>7939588.2300000004</v>
      </c>
      <c r="N1523" s="20">
        <f>+Movimientos_2026[[#This Row],[Ingresos]]-Movimientos_2026[[#This Row],[Egresos]]</f>
        <v>-7939588.2300000004</v>
      </c>
      <c r="O1523" s="20">
        <f>+O1522+Movimientos_2026[[#This Row],[Neto]]</f>
        <v>5025353972.9890423</v>
      </c>
    </row>
    <row r="1524" spans="1:15" x14ac:dyDescent="0.25">
      <c r="A1524" s="13">
        <v>46153</v>
      </c>
      <c r="B1524" s="12">
        <f>MONTH(Movimientos_2026[[#This Row],[Fecha]])</f>
        <v>5</v>
      </c>
      <c r="C1524" s="12" t="str">
        <f>VLOOKUP((WEEKDAY(Movimientos_2026[[#This Row],[Fecha]],2)),'5. Setup'!$D$6:$E$12,2,FALSE)</f>
        <v>Lun</v>
      </c>
      <c r="D1524">
        <v>2054285</v>
      </c>
      <c r="E1524" t="str">
        <f>IFERROR(+VLOOKUP(Movimientos_2026[[#This Row],[Codigo]],Plan_cuentas[],2,FALSE)," ")</f>
        <v>EGRESOS</v>
      </c>
      <c r="F1524" t="str">
        <f>IFERROR(+VLOOKUP(Movimientos_2026[[#This Row],[Codigo]],Plan_cuentas[],3,FALSE)," ")</f>
        <v>VEP</v>
      </c>
      <c r="G1524" t="str">
        <f>IFERROR(+VLOOKUP(Movimientos_2026[[#This Row],[Codigo]],Plan_cuentas[],4,FALSE)," ")</f>
        <v>Rentas</v>
      </c>
      <c r="H1524" t="str">
        <f>IFERROR(+VLOOKUP(Movimientos_2026[[#This Row],[Codigo]],Plan_cuentas[],5,FALSE)," ")</f>
        <v>MENDOZA</v>
      </c>
      <c r="I1524" s="43">
        <v>46113</v>
      </c>
      <c r="J1524" t="s">
        <v>665</v>
      </c>
      <c r="K1524" t="str">
        <f>IFERROR(+VLOOKUP(Movimientos_2026[[#This Row],[Codigo]],Plan_cuentas[],6,FALSE)," ")</f>
        <v>5 - YAM - Yamaha</v>
      </c>
      <c r="L1524" s="50"/>
      <c r="M1524" s="52">
        <v>1263590</v>
      </c>
      <c r="N1524" s="20">
        <f>+Movimientos_2026[[#This Row],[Ingresos]]-Movimientos_2026[[#This Row],[Egresos]]</f>
        <v>-1263590</v>
      </c>
      <c r="O1524" s="20">
        <f>+O1523+Movimientos_2026[[#This Row],[Neto]]</f>
        <v>5024090382.9890423</v>
      </c>
    </row>
    <row r="1525" spans="1:15" x14ac:dyDescent="0.25">
      <c r="A1525" s="13">
        <v>46153</v>
      </c>
      <c r="B1525" s="12">
        <f>MONTH(Movimientos_2026[[#This Row],[Fecha]])</f>
        <v>5</v>
      </c>
      <c r="C1525" s="12" t="str">
        <f>VLOOKUP((WEEKDAY(Movimientos_2026[[#This Row],[Fecha]],2)),'5. Setup'!$D$6:$E$12,2,FALSE)</f>
        <v>Lun</v>
      </c>
      <c r="D1525">
        <v>2054391</v>
      </c>
      <c r="E1525" t="str">
        <f>IFERROR(+VLOOKUP(Movimientos_2026[[#This Row],[Codigo]],Plan_cuentas[],2,FALSE)," ")</f>
        <v>EGRESOS</v>
      </c>
      <c r="F1525" t="str">
        <f>IFERROR(+VLOOKUP(Movimientos_2026[[#This Row],[Codigo]],Plan_cuentas[],3,FALSE)," ")</f>
        <v>VEP</v>
      </c>
      <c r="G1525" t="str">
        <f>IFERROR(+VLOOKUP(Movimientos_2026[[#This Row],[Codigo]],Plan_cuentas[],4,FALSE)," ")</f>
        <v>Rentas</v>
      </c>
      <c r="H1525" t="str">
        <f>IFERROR(+VLOOKUP(Movimientos_2026[[#This Row],[Codigo]],Plan_cuentas[],5,FALSE)," ")</f>
        <v>SANTA FE 2° Q</v>
      </c>
      <c r="I1525" s="43">
        <v>46113</v>
      </c>
      <c r="J1525" t="s">
        <v>666</v>
      </c>
      <c r="K1525" t="str">
        <f>IFERROR(+VLOOKUP(Movimientos_2026[[#This Row],[Codigo]],Plan_cuentas[],6,FALSE)," ")</f>
        <v>1 - VW - Volkswagen</v>
      </c>
      <c r="L1525" s="50"/>
      <c r="M1525" s="50">
        <v>22772315.5</v>
      </c>
      <c r="N1525" s="20">
        <f>+Movimientos_2026[[#This Row],[Ingresos]]-Movimientos_2026[[#This Row],[Egresos]]</f>
        <v>-22772315.5</v>
      </c>
      <c r="O1525" s="20">
        <f>+O1524+Movimientos_2026[[#This Row],[Neto]]</f>
        <v>5001318067.4890423</v>
      </c>
    </row>
    <row r="1526" spans="1:15" x14ac:dyDescent="0.25">
      <c r="A1526" s="13">
        <v>46153</v>
      </c>
      <c r="B1526" s="12">
        <f>MONTH(Movimientos_2026[[#This Row],[Fecha]])</f>
        <v>5</v>
      </c>
      <c r="C1526" s="12" t="str">
        <f>VLOOKUP((WEEKDAY(Movimientos_2026[[#This Row],[Fecha]],2)),'5. Setup'!$D$6:$E$12,2,FALSE)</f>
        <v>Lun</v>
      </c>
      <c r="D1526">
        <v>1043151</v>
      </c>
      <c r="E1526" t="str">
        <f>IFERROR(+VLOOKUP(Movimientos_2026[[#This Row],[Codigo]],Plan_cuentas[],2,FALSE)," ")</f>
        <v>INGRESOS</v>
      </c>
      <c r="F1526" t="str">
        <f>IFERROR(+VLOOKUP(Movimientos_2026[[#This Row],[Codigo]],Plan_cuentas[],3,FALSE)," ")</f>
        <v>Transferencia</v>
      </c>
      <c r="G1526" t="str">
        <f>IFERROR(+VLOOKUP(Movimientos_2026[[#This Row],[Codigo]],Plan_cuentas[],4,FALSE)," ")</f>
        <v>Registración</v>
      </c>
      <c r="H1526" t="str">
        <f>IFERROR(+VLOOKUP(Movimientos_2026[[#This Row],[Codigo]],Plan_cuentas[],5,FALSE)," ")</f>
        <v>CABA</v>
      </c>
      <c r="I1526" s="43">
        <v>46082</v>
      </c>
      <c r="J1526" t="s">
        <v>667</v>
      </c>
      <c r="K1526" t="str">
        <f>IFERROR(+VLOOKUP(Movimientos_2026[[#This Row],[Codigo]],Plan_cuentas[],6,FALSE)," ")</f>
        <v>1 - VW - Volkswagen</v>
      </c>
      <c r="L1526" s="50">
        <v>36910401.420000002</v>
      </c>
      <c r="M1526" s="52"/>
      <c r="N1526" s="20">
        <f>+Movimientos_2026[[#This Row],[Ingresos]]-Movimientos_2026[[#This Row],[Egresos]]</f>
        <v>36910401.420000002</v>
      </c>
      <c r="O1526" s="20">
        <f>+O1525+Movimientos_2026[[#This Row],[Neto]]</f>
        <v>5038228468.9090424</v>
      </c>
    </row>
    <row r="1527" spans="1:15" x14ac:dyDescent="0.25">
      <c r="A1527" s="13">
        <v>46153</v>
      </c>
      <c r="B1527" s="12">
        <f>MONTH(Movimientos_2026[[#This Row],[Fecha]])</f>
        <v>5</v>
      </c>
      <c r="C1527" s="12" t="str">
        <f>VLOOKUP((WEEKDAY(Movimientos_2026[[#This Row],[Fecha]],2)),'5. Setup'!$D$6:$E$12,2,FALSE)</f>
        <v>Lun</v>
      </c>
      <c r="D1527">
        <v>1043221</v>
      </c>
      <c r="E1527" t="str">
        <f>IFERROR(+VLOOKUP(Movimientos_2026[[#This Row],[Codigo]],Plan_cuentas[],2,FALSE)," ")</f>
        <v>INGRESOS</v>
      </c>
      <c r="F1527" t="str">
        <f>IFERROR(+VLOOKUP(Movimientos_2026[[#This Row],[Codigo]],Plan_cuentas[],3,FALSE)," ")</f>
        <v>Transferencia</v>
      </c>
      <c r="G1527" t="str">
        <f>IFERROR(+VLOOKUP(Movimientos_2026[[#This Row],[Codigo]],Plan_cuentas[],4,FALSE)," ")</f>
        <v>Registración</v>
      </c>
      <c r="H1527" t="str">
        <f>IFERROR(+VLOOKUP(Movimientos_2026[[#This Row],[Codigo]],Plan_cuentas[],5,FALSE)," ")</f>
        <v>ENTRE RIOS 1° Q</v>
      </c>
      <c r="I1527" s="43">
        <v>46082</v>
      </c>
      <c r="J1527" t="s">
        <v>667</v>
      </c>
      <c r="K1527" t="str">
        <f>IFERROR(+VLOOKUP(Movimientos_2026[[#This Row],[Codigo]],Plan_cuentas[],6,FALSE)," ")</f>
        <v>1 - VW - Volkswagen</v>
      </c>
      <c r="L1527" s="50">
        <v>4655197.5</v>
      </c>
      <c r="M1527" s="52"/>
      <c r="N1527" s="20">
        <f>+Movimientos_2026[[#This Row],[Ingresos]]-Movimientos_2026[[#This Row],[Egresos]]</f>
        <v>4655197.5</v>
      </c>
      <c r="O1527" s="20">
        <f>+O1526+Movimientos_2026[[#This Row],[Neto]]</f>
        <v>5042883666.4090424</v>
      </c>
    </row>
    <row r="1528" spans="1:15" x14ac:dyDescent="0.25">
      <c r="A1528" s="13">
        <v>46153</v>
      </c>
      <c r="B1528" s="12">
        <f>MONTH(Movimientos_2026[[#This Row],[Fecha]])</f>
        <v>5</v>
      </c>
      <c r="C1528" s="12" t="str">
        <f>VLOOKUP((WEEKDAY(Movimientos_2026[[#This Row],[Fecha]],2)),'5. Setup'!$D$6:$E$12,2,FALSE)</f>
        <v>Lun</v>
      </c>
      <c r="D1528">
        <v>1043231</v>
      </c>
      <c r="E1528" t="str">
        <f>IFERROR(+VLOOKUP(Movimientos_2026[[#This Row],[Codigo]],Plan_cuentas[],2,FALSE)," ")</f>
        <v>INGRESOS</v>
      </c>
      <c r="F1528" t="str">
        <f>IFERROR(+VLOOKUP(Movimientos_2026[[#This Row],[Codigo]],Plan_cuentas[],3,FALSE)," ")</f>
        <v>Transferencia</v>
      </c>
      <c r="G1528" t="str">
        <f>IFERROR(+VLOOKUP(Movimientos_2026[[#This Row],[Codigo]],Plan_cuentas[],4,FALSE)," ")</f>
        <v>Registración</v>
      </c>
      <c r="H1528" t="str">
        <f>IFERROR(+VLOOKUP(Movimientos_2026[[#This Row],[Codigo]],Plan_cuentas[],5,FALSE)," ")</f>
        <v>ENTRE RIOS 2° Q</v>
      </c>
      <c r="I1528" s="43">
        <v>46082</v>
      </c>
      <c r="J1528" t="s">
        <v>667</v>
      </c>
      <c r="K1528" t="str">
        <f>IFERROR(+VLOOKUP(Movimientos_2026[[#This Row],[Codigo]],Plan_cuentas[],6,FALSE)," ")</f>
        <v>1 - VW - Volkswagen</v>
      </c>
      <c r="L1528" s="50">
        <v>829880</v>
      </c>
      <c r="M1528" s="52"/>
      <c r="N1528" s="20">
        <f>+Movimientos_2026[[#This Row],[Ingresos]]-Movimientos_2026[[#This Row],[Egresos]]</f>
        <v>829880</v>
      </c>
      <c r="O1528" s="20">
        <f>+O1527+Movimientos_2026[[#This Row],[Neto]]</f>
        <v>5043713546.4090424</v>
      </c>
    </row>
    <row r="1529" spans="1:15" x14ac:dyDescent="0.25">
      <c r="A1529" s="13">
        <v>46153</v>
      </c>
      <c r="B1529" s="12">
        <f>MONTH(Movimientos_2026[[#This Row],[Fecha]])</f>
        <v>5</v>
      </c>
      <c r="C1529" s="12" t="str">
        <f>VLOOKUP((WEEKDAY(Movimientos_2026[[#This Row],[Fecha]],2)),'5. Setup'!$D$6:$E$12,2,FALSE)</f>
        <v>Lun</v>
      </c>
      <c r="D1529">
        <v>1043341</v>
      </c>
      <c r="E1529" t="str">
        <f>IFERROR(+VLOOKUP(Movimientos_2026[[#This Row],[Codigo]],Plan_cuentas[],2,FALSE)," ")</f>
        <v>INGRESOS</v>
      </c>
      <c r="F1529" t="str">
        <f>IFERROR(+VLOOKUP(Movimientos_2026[[#This Row],[Codigo]],Plan_cuentas[],3,FALSE)," ")</f>
        <v>Transferencia</v>
      </c>
      <c r="G1529" t="str">
        <f>IFERROR(+VLOOKUP(Movimientos_2026[[#This Row],[Codigo]],Plan_cuentas[],4,FALSE)," ")</f>
        <v>Registración</v>
      </c>
      <c r="H1529" t="str">
        <f>IFERROR(+VLOOKUP(Movimientos_2026[[#This Row],[Codigo]],Plan_cuentas[],5,FALSE)," ")</f>
        <v>RIO NEGRO</v>
      </c>
      <c r="I1529" s="43">
        <v>46082</v>
      </c>
      <c r="J1529" t="s">
        <v>667</v>
      </c>
      <c r="K1529" t="str">
        <f>IFERROR(+VLOOKUP(Movimientos_2026[[#This Row],[Codigo]],Plan_cuentas[],6,FALSE)," ")</f>
        <v>1 - VW - Volkswagen</v>
      </c>
      <c r="L1529" s="50">
        <v>13317921.17</v>
      </c>
      <c r="M1529" s="52"/>
      <c r="N1529" s="20">
        <f>+Movimientos_2026[[#This Row],[Ingresos]]-Movimientos_2026[[#This Row],[Egresos]]</f>
        <v>13317921.17</v>
      </c>
      <c r="O1529" s="20">
        <f>+O1528+Movimientos_2026[[#This Row],[Neto]]</f>
        <v>5057031467.5790424</v>
      </c>
    </row>
    <row r="1530" spans="1:15" x14ac:dyDescent="0.25">
      <c r="A1530" s="13">
        <v>46153</v>
      </c>
      <c r="B1530" s="12">
        <f>MONTH(Movimientos_2026[[#This Row],[Fecha]])</f>
        <v>5</v>
      </c>
      <c r="C1530" s="12" t="str">
        <f>VLOOKUP((WEEKDAY(Movimientos_2026[[#This Row],[Fecha]],2)),'5. Setup'!$D$6:$E$12,2,FALSE)</f>
        <v>Lun</v>
      </c>
      <c r="D1530">
        <v>1044161</v>
      </c>
      <c r="E1530" t="str">
        <f>IFERROR(+VLOOKUP(Movimientos_2026[[#This Row],[Codigo]],Plan_cuentas[],2,FALSE)," ")</f>
        <v>INGRESOS</v>
      </c>
      <c r="F1530" t="str">
        <f>IFERROR(+VLOOKUP(Movimientos_2026[[#This Row],[Codigo]],Plan_cuentas[],3,FALSE)," ")</f>
        <v>Transferencia</v>
      </c>
      <c r="G1530" t="str">
        <f>IFERROR(+VLOOKUP(Movimientos_2026[[#This Row],[Codigo]],Plan_cuentas[],4,FALSE)," ")</f>
        <v>Rentas</v>
      </c>
      <c r="H1530" t="str">
        <f>IFERROR(+VLOOKUP(Movimientos_2026[[#This Row],[Codigo]],Plan_cuentas[],5,FALSE)," ")</f>
        <v>CHACO</v>
      </c>
      <c r="I1530" s="43">
        <v>46082</v>
      </c>
      <c r="J1530" t="s">
        <v>667</v>
      </c>
      <c r="K1530" t="str">
        <f>IFERROR(+VLOOKUP(Movimientos_2026[[#This Row],[Codigo]],Plan_cuentas[],6,FALSE)," ")</f>
        <v>1 - VW - Volkswagen</v>
      </c>
      <c r="L1530" s="50">
        <v>10365997.5</v>
      </c>
      <c r="M1530" s="52"/>
      <c r="N1530" s="20">
        <f>+Movimientos_2026[[#This Row],[Ingresos]]-Movimientos_2026[[#This Row],[Egresos]]</f>
        <v>10365997.5</v>
      </c>
      <c r="O1530" s="20">
        <f>+O1529+Movimientos_2026[[#This Row],[Neto]]</f>
        <v>5067397465.0790424</v>
      </c>
    </row>
    <row r="1531" spans="1:15" x14ac:dyDescent="0.25">
      <c r="A1531" s="13">
        <v>46153</v>
      </c>
      <c r="B1531" s="12">
        <f>MONTH(Movimientos_2026[[#This Row],[Fecha]])</f>
        <v>5</v>
      </c>
      <c r="C1531" s="12" t="str">
        <f>VLOOKUP((WEEKDAY(Movimientos_2026[[#This Row],[Fecha]],2)),'5. Setup'!$D$6:$E$12,2,FALSE)</f>
        <v>Lun</v>
      </c>
      <c r="D1531">
        <v>1044171</v>
      </c>
      <c r="E1531" t="str">
        <f>IFERROR(+VLOOKUP(Movimientos_2026[[#This Row],[Codigo]],Plan_cuentas[],2,FALSE)," ")</f>
        <v>INGRESOS</v>
      </c>
      <c r="F1531" t="str">
        <f>IFERROR(+VLOOKUP(Movimientos_2026[[#This Row],[Codigo]],Plan_cuentas[],3,FALSE)," ")</f>
        <v>Transferencia</v>
      </c>
      <c r="G1531" t="str">
        <f>IFERROR(+VLOOKUP(Movimientos_2026[[#This Row],[Codigo]],Plan_cuentas[],4,FALSE)," ")</f>
        <v>Rentas</v>
      </c>
      <c r="H1531" t="str">
        <f>IFERROR(+VLOOKUP(Movimientos_2026[[#This Row],[Codigo]],Plan_cuentas[],5,FALSE)," ")</f>
        <v>CHUBUT</v>
      </c>
      <c r="I1531" s="43">
        <v>46082</v>
      </c>
      <c r="J1531" t="s">
        <v>667</v>
      </c>
      <c r="K1531" t="str">
        <f>IFERROR(+VLOOKUP(Movimientos_2026[[#This Row],[Codigo]],Plan_cuentas[],6,FALSE)," ")</f>
        <v>1 - VW - Volkswagen</v>
      </c>
      <c r="L1531" s="50">
        <v>3574819.5</v>
      </c>
      <c r="M1531" s="52"/>
      <c r="N1531" s="20">
        <f>+Movimientos_2026[[#This Row],[Ingresos]]-Movimientos_2026[[#This Row],[Egresos]]</f>
        <v>3574819.5</v>
      </c>
      <c r="O1531" s="20">
        <f>+O1530+Movimientos_2026[[#This Row],[Neto]]</f>
        <v>5070972284.5790424</v>
      </c>
    </row>
    <row r="1532" spans="1:15" x14ac:dyDescent="0.25">
      <c r="A1532" s="13">
        <v>46153</v>
      </c>
      <c r="B1532" s="12">
        <f>MONTH(Movimientos_2026[[#This Row],[Fecha]])</f>
        <v>5</v>
      </c>
      <c r="C1532" s="12" t="str">
        <f>VLOOKUP((WEEKDAY(Movimientos_2026[[#This Row],[Fecha]],2)),'5. Setup'!$D$6:$E$12,2,FALSE)</f>
        <v>Lun</v>
      </c>
      <c r="D1532">
        <v>1044201</v>
      </c>
      <c r="E1532" t="str">
        <f>IFERROR(+VLOOKUP(Movimientos_2026[[#This Row],[Codigo]],Plan_cuentas[],2,FALSE)," ")</f>
        <v>INGRESOS</v>
      </c>
      <c r="F1532" t="str">
        <f>IFERROR(+VLOOKUP(Movimientos_2026[[#This Row],[Codigo]],Plan_cuentas[],3,FALSE)," ")</f>
        <v>Transferencia</v>
      </c>
      <c r="G1532" t="str">
        <f>IFERROR(+VLOOKUP(Movimientos_2026[[#This Row],[Codigo]],Plan_cuentas[],4,FALSE)," ")</f>
        <v>Rentas</v>
      </c>
      <c r="H1532" t="str">
        <f>IFERROR(+VLOOKUP(Movimientos_2026[[#This Row],[Codigo]],Plan_cuentas[],5,FALSE)," ")</f>
        <v>CORRIENTES 1° Q</v>
      </c>
      <c r="I1532" s="43">
        <v>46082</v>
      </c>
      <c r="J1532" t="s">
        <v>667</v>
      </c>
      <c r="K1532" t="str">
        <f>IFERROR(+VLOOKUP(Movimientos_2026[[#This Row],[Codigo]],Plan_cuentas[],6,FALSE)," ")</f>
        <v>1 - VW - Volkswagen</v>
      </c>
      <c r="L1532" s="50">
        <v>6386564.5</v>
      </c>
      <c r="M1532" s="52"/>
      <c r="N1532" s="20">
        <f>+Movimientos_2026[[#This Row],[Ingresos]]-Movimientos_2026[[#This Row],[Egresos]]</f>
        <v>6386564.5</v>
      </c>
      <c r="O1532" s="20">
        <f>+O1531+Movimientos_2026[[#This Row],[Neto]]</f>
        <v>5077358849.0790424</v>
      </c>
    </row>
    <row r="1533" spans="1:15" x14ac:dyDescent="0.25">
      <c r="A1533" s="13">
        <v>46153</v>
      </c>
      <c r="B1533" s="12">
        <f>MONTH(Movimientos_2026[[#This Row],[Fecha]])</f>
        <v>5</v>
      </c>
      <c r="C1533" s="12" t="str">
        <f>VLOOKUP((WEEKDAY(Movimientos_2026[[#This Row],[Fecha]],2)),'5. Setup'!$D$6:$E$12,2,FALSE)</f>
        <v>Lun</v>
      </c>
      <c r="D1533">
        <v>1044211</v>
      </c>
      <c r="E1533" t="str">
        <f>IFERROR(+VLOOKUP(Movimientos_2026[[#This Row],[Codigo]],Plan_cuentas[],2,FALSE)," ")</f>
        <v>INGRESOS</v>
      </c>
      <c r="F1533" t="str">
        <f>IFERROR(+VLOOKUP(Movimientos_2026[[#This Row],[Codigo]],Plan_cuentas[],3,FALSE)," ")</f>
        <v>Transferencia</v>
      </c>
      <c r="G1533" t="str">
        <f>IFERROR(+VLOOKUP(Movimientos_2026[[#This Row],[Codigo]],Plan_cuentas[],4,FALSE)," ")</f>
        <v>Rentas</v>
      </c>
      <c r="H1533" t="str">
        <f>IFERROR(+VLOOKUP(Movimientos_2026[[#This Row],[Codigo]],Plan_cuentas[],5,FALSE)," ")</f>
        <v>CORRIENTES 2° Q</v>
      </c>
      <c r="I1533" s="43">
        <v>46082</v>
      </c>
      <c r="J1533" t="s">
        <v>667</v>
      </c>
      <c r="K1533" t="str">
        <f>IFERROR(+VLOOKUP(Movimientos_2026[[#This Row],[Codigo]],Plan_cuentas[],6,FALSE)," ")</f>
        <v>1 - VW - Volkswagen</v>
      </c>
      <c r="L1533" s="50">
        <v>1470210</v>
      </c>
      <c r="M1533" s="52"/>
      <c r="N1533" s="20">
        <f>+Movimientos_2026[[#This Row],[Ingresos]]-Movimientos_2026[[#This Row],[Egresos]]</f>
        <v>1470210</v>
      </c>
      <c r="O1533" s="20">
        <f>+O1532+Movimientos_2026[[#This Row],[Neto]]</f>
        <v>5078829059.0790424</v>
      </c>
    </row>
    <row r="1534" spans="1:15" x14ac:dyDescent="0.25">
      <c r="A1534" s="13">
        <v>46153</v>
      </c>
      <c r="B1534" s="12">
        <f>MONTH(Movimientos_2026[[#This Row],[Fecha]])</f>
        <v>5</v>
      </c>
      <c r="C1534" s="12" t="str">
        <f>VLOOKUP((WEEKDAY(Movimientos_2026[[#This Row],[Fecha]],2)),'5. Setup'!$D$6:$E$12,2,FALSE)</f>
        <v>Lun</v>
      </c>
      <c r="D1534">
        <v>1044241</v>
      </c>
      <c r="E1534" t="str">
        <f>IFERROR(+VLOOKUP(Movimientos_2026[[#This Row],[Codigo]],Plan_cuentas[],2,FALSE)," ")</f>
        <v>INGRESOS</v>
      </c>
      <c r="F1534" t="str">
        <f>IFERROR(+VLOOKUP(Movimientos_2026[[#This Row],[Codigo]],Plan_cuentas[],3,FALSE)," ")</f>
        <v>Transferencia</v>
      </c>
      <c r="G1534" t="str">
        <f>IFERROR(+VLOOKUP(Movimientos_2026[[#This Row],[Codigo]],Plan_cuentas[],4,FALSE)," ")</f>
        <v>Rentas</v>
      </c>
      <c r="H1534" t="str">
        <f>IFERROR(+VLOOKUP(Movimientos_2026[[#This Row],[Codigo]],Plan_cuentas[],5,FALSE)," ")</f>
        <v>FORMOSA</v>
      </c>
      <c r="I1534" s="43">
        <v>46082</v>
      </c>
      <c r="J1534" t="s">
        <v>667</v>
      </c>
      <c r="K1534" t="str">
        <f>IFERROR(+VLOOKUP(Movimientos_2026[[#This Row],[Codigo]],Plan_cuentas[],6,FALSE)," ")</f>
        <v>1 - VW - Volkswagen</v>
      </c>
      <c r="L1534" s="50">
        <v>3060591</v>
      </c>
      <c r="M1534" s="52"/>
      <c r="N1534" s="20">
        <f>+Movimientos_2026[[#This Row],[Ingresos]]-Movimientos_2026[[#This Row],[Egresos]]</f>
        <v>3060591</v>
      </c>
      <c r="O1534" s="20">
        <f>+O1533+Movimientos_2026[[#This Row],[Neto]]</f>
        <v>5081889650.0790424</v>
      </c>
    </row>
    <row r="1535" spans="1:15" x14ac:dyDescent="0.25">
      <c r="A1535" s="13">
        <v>46153</v>
      </c>
      <c r="B1535" s="12">
        <f>MONTH(Movimientos_2026[[#This Row],[Fecha]])</f>
        <v>5</v>
      </c>
      <c r="C1535" s="12" t="str">
        <f>VLOOKUP((WEEKDAY(Movimientos_2026[[#This Row],[Fecha]],2)),'5. Setup'!$D$6:$E$12,2,FALSE)</f>
        <v>Lun</v>
      </c>
      <c r="D1535">
        <v>1044261</v>
      </c>
      <c r="E1535" t="str">
        <f>IFERROR(+VLOOKUP(Movimientos_2026[[#This Row],[Codigo]],Plan_cuentas[],2,FALSE)," ")</f>
        <v>INGRESOS</v>
      </c>
      <c r="F1535" t="str">
        <f>IFERROR(+VLOOKUP(Movimientos_2026[[#This Row],[Codigo]],Plan_cuentas[],3,FALSE)," ")</f>
        <v>Transferencia</v>
      </c>
      <c r="G1535" t="str">
        <f>IFERROR(+VLOOKUP(Movimientos_2026[[#This Row],[Codigo]],Plan_cuentas[],4,FALSE)," ")</f>
        <v>Rentas</v>
      </c>
      <c r="H1535" t="str">
        <f>IFERROR(+VLOOKUP(Movimientos_2026[[#This Row],[Codigo]],Plan_cuentas[],5,FALSE)," ")</f>
        <v>LA PAMPA</v>
      </c>
      <c r="I1535" s="43">
        <v>46082</v>
      </c>
      <c r="J1535" t="s">
        <v>667</v>
      </c>
      <c r="K1535" t="str">
        <f>IFERROR(+VLOOKUP(Movimientos_2026[[#This Row],[Codigo]],Plan_cuentas[],6,FALSE)," ")</f>
        <v>1 - VW - Volkswagen</v>
      </c>
      <c r="L1535" s="50">
        <v>1944676.25</v>
      </c>
      <c r="M1535" s="52"/>
      <c r="N1535" s="20">
        <f>+Movimientos_2026[[#This Row],[Ingresos]]-Movimientos_2026[[#This Row],[Egresos]]</f>
        <v>1944676.25</v>
      </c>
      <c r="O1535" s="20">
        <f>+O1534+Movimientos_2026[[#This Row],[Neto]]</f>
        <v>5083834326.3290424</v>
      </c>
    </row>
    <row r="1536" spans="1:15" x14ac:dyDescent="0.25">
      <c r="A1536" s="13">
        <v>46153</v>
      </c>
      <c r="B1536" s="12">
        <f>MONTH(Movimientos_2026[[#This Row],[Fecha]])</f>
        <v>5</v>
      </c>
      <c r="C1536" s="12" t="str">
        <f>VLOOKUP((WEEKDAY(Movimientos_2026[[#This Row],[Fecha]],2)),'5. Setup'!$D$6:$E$12,2,FALSE)</f>
        <v>Lun</v>
      </c>
      <c r="D1536">
        <v>1044271</v>
      </c>
      <c r="E1536" t="str">
        <f>IFERROR(+VLOOKUP(Movimientos_2026[[#This Row],[Codigo]],Plan_cuentas[],2,FALSE)," ")</f>
        <v>INGRESOS</v>
      </c>
      <c r="F1536" t="str">
        <f>IFERROR(+VLOOKUP(Movimientos_2026[[#This Row],[Codigo]],Plan_cuentas[],3,FALSE)," ")</f>
        <v>Transferencia</v>
      </c>
      <c r="G1536" t="str">
        <f>IFERROR(+VLOOKUP(Movimientos_2026[[#This Row],[Codigo]],Plan_cuentas[],4,FALSE)," ")</f>
        <v>Rentas</v>
      </c>
      <c r="H1536" t="str">
        <f>IFERROR(+VLOOKUP(Movimientos_2026[[#This Row],[Codigo]],Plan_cuentas[],5,FALSE)," ")</f>
        <v>LA RIOJA</v>
      </c>
      <c r="I1536" s="43">
        <v>46082</v>
      </c>
      <c r="J1536" t="s">
        <v>667</v>
      </c>
      <c r="K1536" t="str">
        <f>IFERROR(+VLOOKUP(Movimientos_2026[[#This Row],[Codigo]],Plan_cuentas[],6,FALSE)," ")</f>
        <v>1 - VW - Volkswagen</v>
      </c>
      <c r="L1536" s="50">
        <v>10105800</v>
      </c>
      <c r="M1536" s="52"/>
      <c r="N1536" s="20">
        <f>+Movimientos_2026[[#This Row],[Ingresos]]-Movimientos_2026[[#This Row],[Egresos]]</f>
        <v>10105800</v>
      </c>
      <c r="O1536" s="20">
        <f>+O1535+Movimientos_2026[[#This Row],[Neto]]</f>
        <v>5093940126.3290424</v>
      </c>
    </row>
    <row r="1537" spans="1:15" x14ac:dyDescent="0.25">
      <c r="A1537" s="13">
        <v>46153</v>
      </c>
      <c r="B1537" s="12">
        <f>MONTH(Movimientos_2026[[#This Row],[Fecha]])</f>
        <v>5</v>
      </c>
      <c r="C1537" s="12" t="str">
        <f>VLOOKUP((WEEKDAY(Movimientos_2026[[#This Row],[Fecha]],2)),'5. Setup'!$D$6:$E$12,2,FALSE)</f>
        <v>Lun</v>
      </c>
      <c r="D1537">
        <v>1044281</v>
      </c>
      <c r="E1537" t="str">
        <f>IFERROR(+VLOOKUP(Movimientos_2026[[#This Row],[Codigo]],Plan_cuentas[],2,FALSE)," ")</f>
        <v>INGRESOS</v>
      </c>
      <c r="F1537" t="str">
        <f>IFERROR(+VLOOKUP(Movimientos_2026[[#This Row],[Codigo]],Plan_cuentas[],3,FALSE)," ")</f>
        <v>Transferencia</v>
      </c>
      <c r="G1537" t="str">
        <f>IFERROR(+VLOOKUP(Movimientos_2026[[#This Row],[Codigo]],Plan_cuentas[],4,FALSE)," ")</f>
        <v>Rentas</v>
      </c>
      <c r="H1537" t="str">
        <f>IFERROR(+VLOOKUP(Movimientos_2026[[#This Row],[Codigo]],Plan_cuentas[],5,FALSE)," ")</f>
        <v>MENDOZA</v>
      </c>
      <c r="I1537" s="43">
        <v>46082</v>
      </c>
      <c r="J1537" t="s">
        <v>667</v>
      </c>
      <c r="K1537" t="str">
        <f>IFERROR(+VLOOKUP(Movimientos_2026[[#This Row],[Codigo]],Plan_cuentas[],6,FALSE)," ")</f>
        <v>1 - VW - Volkswagen</v>
      </c>
      <c r="L1537" s="50">
        <v>10207970</v>
      </c>
      <c r="M1537" s="50"/>
      <c r="N1537" s="20">
        <f>+Movimientos_2026[[#This Row],[Ingresos]]-Movimientos_2026[[#This Row],[Egresos]]</f>
        <v>10207970</v>
      </c>
      <c r="O1537" s="20">
        <f>+O1536+Movimientos_2026[[#This Row],[Neto]]</f>
        <v>5104148096.3290424</v>
      </c>
    </row>
    <row r="1538" spans="1:15" x14ac:dyDescent="0.25">
      <c r="A1538" s="13">
        <v>46153</v>
      </c>
      <c r="B1538" s="12">
        <f>MONTH(Movimientos_2026[[#This Row],[Fecha]])</f>
        <v>5</v>
      </c>
      <c r="C1538" s="12" t="str">
        <f>VLOOKUP((WEEKDAY(Movimientos_2026[[#This Row],[Fecha]],2)),'5. Setup'!$D$6:$E$12,2,FALSE)</f>
        <v>Lun</v>
      </c>
      <c r="D1538">
        <v>1044461</v>
      </c>
      <c r="E1538" t="str">
        <f>IFERROR(+VLOOKUP(Movimientos_2026[[#This Row],[Codigo]],Plan_cuentas[],2,FALSE)," ")</f>
        <v>INGRESOS</v>
      </c>
      <c r="F1538" t="str">
        <f>IFERROR(+VLOOKUP(Movimientos_2026[[#This Row],[Codigo]],Plan_cuentas[],3,FALSE)," ")</f>
        <v>Transferencia</v>
      </c>
      <c r="G1538" t="str">
        <f>IFERROR(+VLOOKUP(Movimientos_2026[[#This Row],[Codigo]],Plan_cuentas[],4,FALSE)," ")</f>
        <v>Rentas</v>
      </c>
      <c r="H1538" t="str">
        <f>IFERROR(+VLOOKUP(Movimientos_2026[[#This Row],[Codigo]],Plan_cuentas[],5,FALSE)," ")</f>
        <v>MISIONES</v>
      </c>
      <c r="I1538" s="43">
        <v>46082</v>
      </c>
      <c r="J1538" t="s">
        <v>667</v>
      </c>
      <c r="K1538" t="str">
        <f>IFERROR(+VLOOKUP(Movimientos_2026[[#This Row],[Codigo]],Plan_cuentas[],6,FALSE)," ")</f>
        <v>1 - VW - Volkswagen</v>
      </c>
      <c r="L1538" s="50">
        <v>2115666.964796477</v>
      </c>
      <c r="M1538" s="52"/>
      <c r="N1538" s="20">
        <f>+Movimientos_2026[[#This Row],[Ingresos]]-Movimientos_2026[[#This Row],[Egresos]]</f>
        <v>2115666.964796477</v>
      </c>
      <c r="O1538" s="20">
        <f>+O1537+Movimientos_2026[[#This Row],[Neto]]</f>
        <v>5106263763.2938385</v>
      </c>
    </row>
    <row r="1539" spans="1:15" x14ac:dyDescent="0.25">
      <c r="A1539" s="13">
        <v>46153</v>
      </c>
      <c r="B1539" s="12">
        <f>MONTH(Movimientos_2026[[#This Row],[Fecha]])</f>
        <v>5</v>
      </c>
      <c r="C1539" s="12" t="str">
        <f>VLOOKUP((WEEKDAY(Movimientos_2026[[#This Row],[Fecha]],2)),'5. Setup'!$D$6:$E$12,2,FALSE)</f>
        <v>Lun</v>
      </c>
      <c r="D1539">
        <v>1044311</v>
      </c>
      <c r="E1539" t="str">
        <f>IFERROR(+VLOOKUP(Movimientos_2026[[#This Row],[Codigo]],Plan_cuentas[],2,FALSE)," ")</f>
        <v>INGRESOS</v>
      </c>
      <c r="F1539" t="str">
        <f>IFERROR(+VLOOKUP(Movimientos_2026[[#This Row],[Codigo]],Plan_cuentas[],3,FALSE)," ")</f>
        <v>Transferencia</v>
      </c>
      <c r="G1539" t="str">
        <f>IFERROR(+VLOOKUP(Movimientos_2026[[#This Row],[Codigo]],Plan_cuentas[],4,FALSE)," ")</f>
        <v>Rentas</v>
      </c>
      <c r="H1539" t="str">
        <f>IFERROR(+VLOOKUP(Movimientos_2026[[#This Row],[Codigo]],Plan_cuentas[],5,FALSE)," ")</f>
        <v>NEUQUEN 1° Q</v>
      </c>
      <c r="I1539" s="43">
        <v>46082</v>
      </c>
      <c r="J1539" t="s">
        <v>667</v>
      </c>
      <c r="K1539" t="str">
        <f>IFERROR(+VLOOKUP(Movimientos_2026[[#This Row],[Codigo]],Plan_cuentas[],6,FALSE)," ")</f>
        <v>1 - VW - Volkswagen</v>
      </c>
      <c r="L1539" s="50">
        <v>16505510</v>
      </c>
      <c r="M1539" s="52"/>
      <c r="N1539" s="20">
        <f>+Movimientos_2026[[#This Row],[Ingresos]]-Movimientos_2026[[#This Row],[Egresos]]</f>
        <v>16505510</v>
      </c>
      <c r="O1539" s="20">
        <f>+O1538+Movimientos_2026[[#This Row],[Neto]]</f>
        <v>5122769273.2938385</v>
      </c>
    </row>
    <row r="1540" spans="1:15" x14ac:dyDescent="0.25">
      <c r="A1540" s="13">
        <v>46153</v>
      </c>
      <c r="B1540" s="12">
        <f>MONTH(Movimientos_2026[[#This Row],[Fecha]])</f>
        <v>5</v>
      </c>
      <c r="C1540" s="12" t="str">
        <f>VLOOKUP((WEEKDAY(Movimientos_2026[[#This Row],[Fecha]],2)),'5. Setup'!$D$6:$E$12,2,FALSE)</f>
        <v>Lun</v>
      </c>
      <c r="D1540">
        <v>1044321</v>
      </c>
      <c r="E1540" t="str">
        <f>IFERROR(+VLOOKUP(Movimientos_2026[[#This Row],[Codigo]],Plan_cuentas[],2,FALSE)," ")</f>
        <v>INGRESOS</v>
      </c>
      <c r="F1540" t="str">
        <f>IFERROR(+VLOOKUP(Movimientos_2026[[#This Row],[Codigo]],Plan_cuentas[],3,FALSE)," ")</f>
        <v>Transferencia</v>
      </c>
      <c r="G1540" t="str">
        <f>IFERROR(+VLOOKUP(Movimientos_2026[[#This Row],[Codigo]],Plan_cuentas[],4,FALSE)," ")</f>
        <v>Rentas</v>
      </c>
      <c r="H1540" t="str">
        <f>IFERROR(+VLOOKUP(Movimientos_2026[[#This Row],[Codigo]],Plan_cuentas[],5,FALSE)," ")</f>
        <v>NEUQUEN 2° Q</v>
      </c>
      <c r="I1540" s="43">
        <v>46082</v>
      </c>
      <c r="J1540" t="s">
        <v>667</v>
      </c>
      <c r="K1540" t="str">
        <f>IFERROR(+VLOOKUP(Movimientos_2026[[#This Row],[Codigo]],Plan_cuentas[],6,FALSE)," ")</f>
        <v>1 - VW - Volkswagen</v>
      </c>
      <c r="L1540" s="50">
        <v>5495661</v>
      </c>
      <c r="M1540" s="52"/>
      <c r="N1540" s="20">
        <f>+Movimientos_2026[[#This Row],[Ingresos]]-Movimientos_2026[[#This Row],[Egresos]]</f>
        <v>5495661</v>
      </c>
      <c r="O1540" s="20">
        <f>+O1539+Movimientos_2026[[#This Row],[Neto]]</f>
        <v>5128264934.2938385</v>
      </c>
    </row>
    <row r="1541" spans="1:15" x14ac:dyDescent="0.25">
      <c r="A1541" s="13">
        <v>46153</v>
      </c>
      <c r="B1541" s="12">
        <f>MONTH(Movimientos_2026[[#This Row],[Fecha]])</f>
        <v>5</v>
      </c>
      <c r="C1541" s="12" t="str">
        <f>VLOOKUP((WEEKDAY(Movimientos_2026[[#This Row],[Fecha]],2)),'5. Setup'!$D$6:$E$12,2,FALSE)</f>
        <v>Lun</v>
      </c>
      <c r="D1541">
        <v>1044351</v>
      </c>
      <c r="E1541" t="str">
        <f>IFERROR(+VLOOKUP(Movimientos_2026[[#This Row],[Codigo]],Plan_cuentas[],2,FALSE)," ")</f>
        <v>INGRESOS</v>
      </c>
      <c r="F1541" t="str">
        <f>IFERROR(+VLOOKUP(Movimientos_2026[[#This Row],[Codigo]],Plan_cuentas[],3,FALSE)," ")</f>
        <v>Transferencia</v>
      </c>
      <c r="G1541" t="str">
        <f>IFERROR(+VLOOKUP(Movimientos_2026[[#This Row],[Codigo]],Plan_cuentas[],4,FALSE)," ")</f>
        <v>Rentas</v>
      </c>
      <c r="H1541" t="str">
        <f>IFERROR(+VLOOKUP(Movimientos_2026[[#This Row],[Codigo]],Plan_cuentas[],5,FALSE)," ")</f>
        <v>SAN JUAN</v>
      </c>
      <c r="I1541" s="43">
        <v>46082</v>
      </c>
      <c r="J1541" t="s">
        <v>667</v>
      </c>
      <c r="K1541" t="str">
        <f>IFERROR(+VLOOKUP(Movimientos_2026[[#This Row],[Codigo]],Plan_cuentas[],6,FALSE)," ")</f>
        <v>1 - VW - Volkswagen</v>
      </c>
      <c r="L1541" s="50">
        <v>1456893.6</v>
      </c>
      <c r="M1541" s="52"/>
      <c r="N1541" s="20">
        <f>+Movimientos_2026[[#This Row],[Ingresos]]-Movimientos_2026[[#This Row],[Egresos]]</f>
        <v>1456893.6</v>
      </c>
      <c r="O1541" s="20">
        <f>+O1540+Movimientos_2026[[#This Row],[Neto]]</f>
        <v>5129721827.8938389</v>
      </c>
    </row>
    <row r="1542" spans="1:15" x14ac:dyDescent="0.25">
      <c r="A1542" s="13">
        <v>46153</v>
      </c>
      <c r="B1542" s="12">
        <f>MONTH(Movimientos_2026[[#This Row],[Fecha]])</f>
        <v>5</v>
      </c>
      <c r="C1542" s="12" t="str">
        <f>VLOOKUP((WEEKDAY(Movimientos_2026[[#This Row],[Fecha]],2)),'5. Setup'!$D$6:$E$12,2,FALSE)</f>
        <v>Lun</v>
      </c>
      <c r="D1542">
        <v>1044361</v>
      </c>
      <c r="E1542" t="str">
        <f>IFERROR(+VLOOKUP(Movimientos_2026[[#This Row],[Codigo]],Plan_cuentas[],2,FALSE)," ")</f>
        <v>INGRESOS</v>
      </c>
      <c r="F1542" t="str">
        <f>IFERROR(+VLOOKUP(Movimientos_2026[[#This Row],[Codigo]],Plan_cuentas[],3,FALSE)," ")</f>
        <v>Transferencia</v>
      </c>
      <c r="G1542" t="str">
        <f>IFERROR(+VLOOKUP(Movimientos_2026[[#This Row],[Codigo]],Plan_cuentas[],4,FALSE)," ")</f>
        <v>Rentas</v>
      </c>
      <c r="H1542" t="str">
        <f>IFERROR(+VLOOKUP(Movimientos_2026[[#This Row],[Codigo]],Plan_cuentas[],5,FALSE)," ")</f>
        <v>SAN LUIS</v>
      </c>
      <c r="I1542" s="43">
        <v>46082</v>
      </c>
      <c r="J1542" t="s">
        <v>667</v>
      </c>
      <c r="K1542" t="str">
        <f>IFERROR(+VLOOKUP(Movimientos_2026[[#This Row],[Codigo]],Plan_cuentas[],6,FALSE)," ")</f>
        <v>1 - VW - Volkswagen</v>
      </c>
      <c r="L1542" s="50">
        <v>4111893.6</v>
      </c>
      <c r="M1542" s="52"/>
      <c r="N1542" s="20">
        <f>+Movimientos_2026[[#This Row],[Ingresos]]-Movimientos_2026[[#This Row],[Egresos]]</f>
        <v>4111893.6</v>
      </c>
      <c r="O1542" s="20">
        <f>+O1541+Movimientos_2026[[#This Row],[Neto]]</f>
        <v>5133833721.4938393</v>
      </c>
    </row>
    <row r="1543" spans="1:15" x14ac:dyDescent="0.25">
      <c r="A1543" s="13">
        <v>46153</v>
      </c>
      <c r="B1543" s="12">
        <f>MONTH(Movimientos_2026[[#This Row],[Fecha]])</f>
        <v>5</v>
      </c>
      <c r="C1543" s="12" t="str">
        <f>VLOOKUP((WEEKDAY(Movimientos_2026[[#This Row],[Fecha]],2)),'5. Setup'!$D$6:$E$12,2,FALSE)</f>
        <v>Lun</v>
      </c>
      <c r="D1543">
        <v>1044371</v>
      </c>
      <c r="E1543" t="str">
        <f>IFERROR(+VLOOKUP(Movimientos_2026[[#This Row],[Codigo]],Plan_cuentas[],2,FALSE)," ")</f>
        <v>INGRESOS</v>
      </c>
      <c r="F1543" t="str">
        <f>IFERROR(+VLOOKUP(Movimientos_2026[[#This Row],[Codigo]],Plan_cuentas[],3,FALSE)," ")</f>
        <v>Transferencia</v>
      </c>
      <c r="G1543" t="str">
        <f>IFERROR(+VLOOKUP(Movimientos_2026[[#This Row],[Codigo]],Plan_cuentas[],4,FALSE)," ")</f>
        <v>Rentas</v>
      </c>
      <c r="H1543" t="str">
        <f>IFERROR(+VLOOKUP(Movimientos_2026[[#This Row],[Codigo]],Plan_cuentas[],5,FALSE)," ")</f>
        <v>SANTA CRUZ</v>
      </c>
      <c r="I1543" s="43">
        <v>46082</v>
      </c>
      <c r="J1543" t="s">
        <v>667</v>
      </c>
      <c r="K1543" t="str">
        <f>IFERROR(+VLOOKUP(Movimientos_2026[[#This Row],[Codigo]],Plan_cuentas[],6,FALSE)," ")</f>
        <v>1 - VW - Volkswagen</v>
      </c>
      <c r="L1543" s="50">
        <v>12111517.6</v>
      </c>
      <c r="M1543" s="52"/>
      <c r="N1543" s="20">
        <f>+Movimientos_2026[[#This Row],[Ingresos]]-Movimientos_2026[[#This Row],[Egresos]]</f>
        <v>12111517.6</v>
      </c>
      <c r="O1543" s="20">
        <f>+O1542+Movimientos_2026[[#This Row],[Neto]]</f>
        <v>5145945239.0938396</v>
      </c>
    </row>
    <row r="1544" spans="1:15" x14ac:dyDescent="0.25">
      <c r="A1544" s="13">
        <v>46153</v>
      </c>
      <c r="B1544" s="12">
        <f>MONTH(Movimientos_2026[[#This Row],[Fecha]])</f>
        <v>5</v>
      </c>
      <c r="C1544" s="12" t="str">
        <f>VLOOKUP((WEEKDAY(Movimientos_2026[[#This Row],[Fecha]],2)),'5. Setup'!$D$6:$E$12,2,FALSE)</f>
        <v>Lun</v>
      </c>
      <c r="D1544">
        <v>1044381</v>
      </c>
      <c r="E1544" t="str">
        <f>IFERROR(+VLOOKUP(Movimientos_2026[[#This Row],[Codigo]],Plan_cuentas[],2,FALSE)," ")</f>
        <v>INGRESOS</v>
      </c>
      <c r="F1544" t="str">
        <f>IFERROR(+VLOOKUP(Movimientos_2026[[#This Row],[Codigo]],Plan_cuentas[],3,FALSE)," ")</f>
        <v>Transferencia</v>
      </c>
      <c r="G1544" t="str">
        <f>IFERROR(+VLOOKUP(Movimientos_2026[[#This Row],[Codigo]],Plan_cuentas[],4,FALSE)," ")</f>
        <v>Rentas</v>
      </c>
      <c r="H1544" t="str">
        <f>IFERROR(+VLOOKUP(Movimientos_2026[[#This Row],[Codigo]],Plan_cuentas[],5,FALSE)," ")</f>
        <v>SANTA FE 1° Q</v>
      </c>
      <c r="I1544" s="43">
        <v>46082</v>
      </c>
      <c r="J1544" t="s">
        <v>667</v>
      </c>
      <c r="K1544" t="str">
        <f>IFERROR(+VLOOKUP(Movimientos_2026[[#This Row],[Codigo]],Plan_cuentas[],6,FALSE)," ")</f>
        <v>1 - VW - Volkswagen</v>
      </c>
      <c r="L1544" s="50">
        <v>9362676</v>
      </c>
      <c r="M1544" s="52"/>
      <c r="N1544" s="20">
        <f>+Movimientos_2026[[#This Row],[Ingresos]]-Movimientos_2026[[#This Row],[Egresos]]</f>
        <v>9362676</v>
      </c>
      <c r="O1544" s="20">
        <f>+O1543+Movimientos_2026[[#This Row],[Neto]]</f>
        <v>5155307915.0938396</v>
      </c>
    </row>
    <row r="1545" spans="1:15" x14ac:dyDescent="0.25">
      <c r="A1545" s="13">
        <v>46153</v>
      </c>
      <c r="B1545" s="12">
        <f>MONTH(Movimientos_2026[[#This Row],[Fecha]])</f>
        <v>5</v>
      </c>
      <c r="C1545" s="12" t="str">
        <f>VLOOKUP((WEEKDAY(Movimientos_2026[[#This Row],[Fecha]],2)),'5. Setup'!$D$6:$E$12,2,FALSE)</f>
        <v>Lun</v>
      </c>
      <c r="D1545">
        <v>1044391</v>
      </c>
      <c r="E1545" t="str">
        <f>IFERROR(+VLOOKUP(Movimientos_2026[[#This Row],[Codigo]],Plan_cuentas[],2,FALSE)," ")</f>
        <v>INGRESOS</v>
      </c>
      <c r="F1545" t="str">
        <f>IFERROR(+VLOOKUP(Movimientos_2026[[#This Row],[Codigo]],Plan_cuentas[],3,FALSE)," ")</f>
        <v>Transferencia</v>
      </c>
      <c r="G1545" t="str">
        <f>IFERROR(+VLOOKUP(Movimientos_2026[[#This Row],[Codigo]],Plan_cuentas[],4,FALSE)," ")</f>
        <v>Rentas</v>
      </c>
      <c r="H1545" t="str">
        <f>IFERROR(+VLOOKUP(Movimientos_2026[[#This Row],[Codigo]],Plan_cuentas[],5,FALSE)," ")</f>
        <v>SANTA FE 2° Q</v>
      </c>
      <c r="I1545" s="43">
        <v>46082</v>
      </c>
      <c r="J1545" t="s">
        <v>667</v>
      </c>
      <c r="K1545" t="str">
        <f>IFERROR(+VLOOKUP(Movimientos_2026[[#This Row],[Codigo]],Plan_cuentas[],6,FALSE)," ")</f>
        <v>1 - VW - Volkswagen</v>
      </c>
      <c r="L1545" s="50">
        <v>2572251.5</v>
      </c>
      <c r="M1545" s="52"/>
      <c r="N1545" s="20">
        <f>+Movimientos_2026[[#This Row],[Ingresos]]-Movimientos_2026[[#This Row],[Egresos]]</f>
        <v>2572251.5</v>
      </c>
      <c r="O1545" s="20">
        <f>+O1544+Movimientos_2026[[#This Row],[Neto]]</f>
        <v>5157880166.5938396</v>
      </c>
    </row>
    <row r="1546" spans="1:15" x14ac:dyDescent="0.25">
      <c r="A1546" s="13">
        <v>46153</v>
      </c>
      <c r="B1546" s="12">
        <f>MONTH(Movimientos_2026[[#This Row],[Fecha]])</f>
        <v>5</v>
      </c>
      <c r="C1546" s="12" t="str">
        <f>VLOOKUP((WEEKDAY(Movimientos_2026[[#This Row],[Fecha]],2)),'5. Setup'!$D$6:$E$12,2,FALSE)</f>
        <v>Lun</v>
      </c>
      <c r="D1546">
        <v>1044401</v>
      </c>
      <c r="E1546" t="str">
        <f>IFERROR(+VLOOKUP(Movimientos_2026[[#This Row],[Codigo]],Plan_cuentas[],2,FALSE)," ")</f>
        <v>INGRESOS</v>
      </c>
      <c r="F1546" t="str">
        <f>IFERROR(+VLOOKUP(Movimientos_2026[[#This Row],[Codigo]],Plan_cuentas[],3,FALSE)," ")</f>
        <v>Transferencia</v>
      </c>
      <c r="G1546" t="str">
        <f>IFERROR(+VLOOKUP(Movimientos_2026[[#This Row],[Codigo]],Plan_cuentas[],4,FALSE)," ")</f>
        <v>Rentas</v>
      </c>
      <c r="H1546" t="str">
        <f>IFERROR(+VLOOKUP(Movimientos_2026[[#This Row],[Codigo]],Plan_cuentas[],5,FALSE)," ")</f>
        <v>SANTIAGO DEL ESTERO</v>
      </c>
      <c r="I1546" s="43">
        <v>46082</v>
      </c>
      <c r="J1546" t="s">
        <v>667</v>
      </c>
      <c r="K1546" t="str">
        <f>IFERROR(+VLOOKUP(Movimientos_2026[[#This Row],[Codigo]],Plan_cuentas[],6,FALSE)," ")</f>
        <v>1 - VW - Volkswagen</v>
      </c>
      <c r="L1546" s="50">
        <v>10155555.5</v>
      </c>
      <c r="M1546" s="52"/>
      <c r="N1546" s="20">
        <f>+Movimientos_2026[[#This Row],[Ingresos]]-Movimientos_2026[[#This Row],[Egresos]]</f>
        <v>10155555.5</v>
      </c>
      <c r="O1546" s="20">
        <f>+O1545+Movimientos_2026[[#This Row],[Neto]]</f>
        <v>5168035722.0938396</v>
      </c>
    </row>
    <row r="1547" spans="1:15" x14ac:dyDescent="0.25">
      <c r="A1547" s="13">
        <v>46153</v>
      </c>
      <c r="B1547" s="12">
        <f>MONTH(Movimientos_2026[[#This Row],[Fecha]])</f>
        <v>5</v>
      </c>
      <c r="C1547" s="12" t="str">
        <f>VLOOKUP((WEEKDAY(Movimientos_2026[[#This Row],[Fecha]],2)),'5. Setup'!$D$6:$E$12,2,FALSE)</f>
        <v>Lun</v>
      </c>
      <c r="D1547">
        <v>1044411</v>
      </c>
      <c r="E1547" t="str">
        <f>IFERROR(+VLOOKUP(Movimientos_2026[[#This Row],[Codigo]],Plan_cuentas[],2,FALSE)," ")</f>
        <v>INGRESOS</v>
      </c>
      <c r="F1547" t="str">
        <f>IFERROR(+VLOOKUP(Movimientos_2026[[#This Row],[Codigo]],Plan_cuentas[],3,FALSE)," ")</f>
        <v>Transferencia</v>
      </c>
      <c r="G1547" t="str">
        <f>IFERROR(+VLOOKUP(Movimientos_2026[[#This Row],[Codigo]],Plan_cuentas[],4,FALSE)," ")</f>
        <v>Rentas</v>
      </c>
      <c r="H1547" t="str">
        <f>IFERROR(+VLOOKUP(Movimientos_2026[[#This Row],[Codigo]],Plan_cuentas[],5,FALSE)," ")</f>
        <v>TIERRA DEL FUEGO</v>
      </c>
      <c r="I1547" s="43">
        <v>46082</v>
      </c>
      <c r="J1547" t="s">
        <v>667</v>
      </c>
      <c r="K1547" t="str">
        <f>IFERROR(+VLOOKUP(Movimientos_2026[[#This Row],[Codigo]],Plan_cuentas[],6,FALSE)," ")</f>
        <v>1 - VW - Volkswagen</v>
      </c>
      <c r="L1547" s="50">
        <v>2092913.5</v>
      </c>
      <c r="M1547" s="52"/>
      <c r="N1547" s="20">
        <f>+Movimientos_2026[[#This Row],[Ingresos]]-Movimientos_2026[[#This Row],[Egresos]]</f>
        <v>2092913.5</v>
      </c>
      <c r="O1547" s="20">
        <f>+O1546+Movimientos_2026[[#This Row],[Neto]]</f>
        <v>5170128635.5938396</v>
      </c>
    </row>
    <row r="1548" spans="1:15" x14ac:dyDescent="0.25">
      <c r="A1548" s="13">
        <v>46153</v>
      </c>
      <c r="B1548" s="12">
        <f>MONTH(Movimientos_2026[[#This Row],[Fecha]])</f>
        <v>5</v>
      </c>
      <c r="C1548" s="12" t="str">
        <f>VLOOKUP((WEEKDAY(Movimientos_2026[[#This Row],[Fecha]],2)),'5. Setup'!$D$6:$E$12,2,FALSE)</f>
        <v>Lun</v>
      </c>
      <c r="D1548">
        <v>1044421</v>
      </c>
      <c r="E1548" t="str">
        <f>IFERROR(+VLOOKUP(Movimientos_2026[[#This Row],[Codigo]],Plan_cuentas[],2,FALSE)," ")</f>
        <v>INGRESOS</v>
      </c>
      <c r="F1548" t="str">
        <f>IFERROR(+VLOOKUP(Movimientos_2026[[#This Row],[Codigo]],Plan_cuentas[],3,FALSE)," ")</f>
        <v>Transferencia</v>
      </c>
      <c r="G1548" t="str">
        <f>IFERROR(+VLOOKUP(Movimientos_2026[[#This Row],[Codigo]],Plan_cuentas[],4,FALSE)," ")</f>
        <v>Rentas</v>
      </c>
      <c r="H1548" t="str">
        <f>IFERROR(+VLOOKUP(Movimientos_2026[[#This Row],[Codigo]],Plan_cuentas[],5,FALSE)," ")</f>
        <v>TUCUMAN</v>
      </c>
      <c r="I1548" s="43">
        <v>46082</v>
      </c>
      <c r="J1548" t="s">
        <v>667</v>
      </c>
      <c r="K1548" t="str">
        <f>IFERROR(+VLOOKUP(Movimientos_2026[[#This Row],[Codigo]],Plan_cuentas[],6,FALSE)," ")</f>
        <v>1 - VW - Volkswagen</v>
      </c>
      <c r="L1548" s="50">
        <v>29288184.333190002</v>
      </c>
      <c r="M1548" s="52"/>
      <c r="N1548" s="20">
        <f>+Movimientos_2026[[#This Row],[Ingresos]]-Movimientos_2026[[#This Row],[Egresos]]</f>
        <v>29288184.333190002</v>
      </c>
      <c r="O1548" s="20">
        <f>+O1547+Movimientos_2026[[#This Row],[Neto]]</f>
        <v>5199416819.9270296</v>
      </c>
    </row>
    <row r="1549" spans="1:15" x14ac:dyDescent="0.25">
      <c r="A1549" s="13">
        <v>46153</v>
      </c>
      <c r="B1549" s="12">
        <f>MONTH(Movimientos_2026[[#This Row],[Fecha]])</f>
        <v>5</v>
      </c>
      <c r="C1549" s="12" t="str">
        <f>VLOOKUP((WEEKDAY(Movimientos_2026[[#This Row],[Fecha]],2)),'5. Setup'!$D$6:$E$12,2,FALSE)</f>
        <v>Lun</v>
      </c>
      <c r="D1549">
        <v>1043151</v>
      </c>
      <c r="E1549" t="str">
        <f>IFERROR(+VLOOKUP(Movimientos_2026[[#This Row],[Codigo]],Plan_cuentas[],2,FALSE)," ")</f>
        <v>INGRESOS</v>
      </c>
      <c r="F1549" t="str">
        <f>IFERROR(+VLOOKUP(Movimientos_2026[[#This Row],[Codigo]],Plan_cuentas[],3,FALSE)," ")</f>
        <v>Transferencia</v>
      </c>
      <c r="G1549" t="str">
        <f>IFERROR(+VLOOKUP(Movimientos_2026[[#This Row],[Codigo]],Plan_cuentas[],4,FALSE)," ")</f>
        <v>Registración</v>
      </c>
      <c r="H1549" t="str">
        <f>IFERROR(+VLOOKUP(Movimientos_2026[[#This Row],[Codigo]],Plan_cuentas[],5,FALSE)," ")</f>
        <v>CABA</v>
      </c>
      <c r="I1549" s="43">
        <v>46082</v>
      </c>
      <c r="J1549" t="s">
        <v>667</v>
      </c>
      <c r="K1549" t="str">
        <f>IFERROR(+VLOOKUP(Movimientos_2026[[#This Row],[Codigo]],Plan_cuentas[],6,FALSE)," ")</f>
        <v>1 - VW - Volkswagen</v>
      </c>
      <c r="L1549" s="50">
        <v>53372161.450000003</v>
      </c>
      <c r="M1549" s="52"/>
      <c r="N1549" s="20">
        <f>+Movimientos_2026[[#This Row],[Ingresos]]-Movimientos_2026[[#This Row],[Egresos]]</f>
        <v>53372161.450000003</v>
      </c>
      <c r="O1549" s="20">
        <f>+O1548+Movimientos_2026[[#This Row],[Neto]]</f>
        <v>5252788981.3770294</v>
      </c>
    </row>
    <row r="1550" spans="1:15" x14ac:dyDescent="0.25">
      <c r="A1550" s="13">
        <v>46153</v>
      </c>
      <c r="B1550" s="12">
        <f>MONTH(Movimientos_2026[[#This Row],[Fecha]])</f>
        <v>5</v>
      </c>
      <c r="C1550" s="12" t="str">
        <f>VLOOKUP((WEEKDAY(Movimientos_2026[[#This Row],[Fecha]],2)),'5. Setup'!$D$6:$E$12,2,FALSE)</f>
        <v>Lun</v>
      </c>
      <c r="D1550">
        <v>1043221</v>
      </c>
      <c r="E1550" t="str">
        <f>IFERROR(+VLOOKUP(Movimientos_2026[[#This Row],[Codigo]],Plan_cuentas[],2,FALSE)," ")</f>
        <v>INGRESOS</v>
      </c>
      <c r="F1550" t="str">
        <f>IFERROR(+VLOOKUP(Movimientos_2026[[#This Row],[Codigo]],Plan_cuentas[],3,FALSE)," ")</f>
        <v>Transferencia</v>
      </c>
      <c r="G1550" t="str">
        <f>IFERROR(+VLOOKUP(Movimientos_2026[[#This Row],[Codigo]],Plan_cuentas[],4,FALSE)," ")</f>
        <v>Registración</v>
      </c>
      <c r="H1550" t="str">
        <f>IFERROR(+VLOOKUP(Movimientos_2026[[#This Row],[Codigo]],Plan_cuentas[],5,FALSE)," ")</f>
        <v>ENTRE RIOS 1° Q</v>
      </c>
      <c r="I1550" s="43">
        <v>46082</v>
      </c>
      <c r="J1550" t="s">
        <v>667</v>
      </c>
      <c r="K1550" t="str">
        <f>IFERROR(+VLOOKUP(Movimientos_2026[[#This Row],[Codigo]],Plan_cuentas[],6,FALSE)," ")</f>
        <v>1 - VW - Volkswagen</v>
      </c>
      <c r="L1550" s="50">
        <v>2840149</v>
      </c>
      <c r="M1550" s="52"/>
      <c r="N1550" s="20">
        <f>+Movimientos_2026[[#This Row],[Ingresos]]-Movimientos_2026[[#This Row],[Egresos]]</f>
        <v>2840149</v>
      </c>
      <c r="O1550" s="20">
        <f>+O1549+Movimientos_2026[[#This Row],[Neto]]</f>
        <v>5255629130.3770294</v>
      </c>
    </row>
    <row r="1551" spans="1:15" x14ac:dyDescent="0.25">
      <c r="A1551" s="13">
        <v>46153</v>
      </c>
      <c r="B1551" s="12">
        <f>MONTH(Movimientos_2026[[#This Row],[Fecha]])</f>
        <v>5</v>
      </c>
      <c r="C1551" s="12" t="str">
        <f>VLOOKUP((WEEKDAY(Movimientos_2026[[#This Row],[Fecha]],2)),'5. Setup'!$D$6:$E$12,2,FALSE)</f>
        <v>Lun</v>
      </c>
      <c r="D1551">
        <v>1043231</v>
      </c>
      <c r="E1551" t="str">
        <f>IFERROR(+VLOOKUP(Movimientos_2026[[#This Row],[Codigo]],Plan_cuentas[],2,FALSE)," ")</f>
        <v>INGRESOS</v>
      </c>
      <c r="F1551" t="str">
        <f>IFERROR(+VLOOKUP(Movimientos_2026[[#This Row],[Codigo]],Plan_cuentas[],3,FALSE)," ")</f>
        <v>Transferencia</v>
      </c>
      <c r="G1551" t="str">
        <f>IFERROR(+VLOOKUP(Movimientos_2026[[#This Row],[Codigo]],Plan_cuentas[],4,FALSE)," ")</f>
        <v>Registración</v>
      </c>
      <c r="H1551" t="str">
        <f>IFERROR(+VLOOKUP(Movimientos_2026[[#This Row],[Codigo]],Plan_cuentas[],5,FALSE)," ")</f>
        <v>ENTRE RIOS 2° Q</v>
      </c>
      <c r="I1551" s="43">
        <v>46082</v>
      </c>
      <c r="J1551" t="s">
        <v>667</v>
      </c>
      <c r="K1551" t="str">
        <f>IFERROR(+VLOOKUP(Movimientos_2026[[#This Row],[Codigo]],Plan_cuentas[],6,FALSE)," ")</f>
        <v>1 - VW - Volkswagen</v>
      </c>
      <c r="L1551" s="50">
        <v>6691663.5</v>
      </c>
      <c r="M1551" s="52"/>
      <c r="N1551" s="20">
        <f>+Movimientos_2026[[#This Row],[Ingresos]]-Movimientos_2026[[#This Row],[Egresos]]</f>
        <v>6691663.5</v>
      </c>
      <c r="O1551" s="20">
        <f>+O1550+Movimientos_2026[[#This Row],[Neto]]</f>
        <v>5262320793.8770294</v>
      </c>
    </row>
    <row r="1552" spans="1:15" x14ac:dyDescent="0.25">
      <c r="A1552" s="13">
        <v>46153</v>
      </c>
      <c r="B1552" s="12">
        <f>MONTH(Movimientos_2026[[#This Row],[Fecha]])</f>
        <v>5</v>
      </c>
      <c r="C1552" s="12" t="str">
        <f>VLOOKUP((WEEKDAY(Movimientos_2026[[#This Row],[Fecha]],2)),'5. Setup'!$D$6:$E$12,2,FALSE)</f>
        <v>Lun</v>
      </c>
      <c r="D1552">
        <v>1043341</v>
      </c>
      <c r="E1552" t="str">
        <f>IFERROR(+VLOOKUP(Movimientos_2026[[#This Row],[Codigo]],Plan_cuentas[],2,FALSE)," ")</f>
        <v>INGRESOS</v>
      </c>
      <c r="F1552" t="str">
        <f>IFERROR(+VLOOKUP(Movimientos_2026[[#This Row],[Codigo]],Plan_cuentas[],3,FALSE)," ")</f>
        <v>Transferencia</v>
      </c>
      <c r="G1552" t="str">
        <f>IFERROR(+VLOOKUP(Movimientos_2026[[#This Row],[Codigo]],Plan_cuentas[],4,FALSE)," ")</f>
        <v>Registración</v>
      </c>
      <c r="H1552" t="str">
        <f>IFERROR(+VLOOKUP(Movimientos_2026[[#This Row],[Codigo]],Plan_cuentas[],5,FALSE)," ")</f>
        <v>RIO NEGRO</v>
      </c>
      <c r="I1552" s="43">
        <v>46082</v>
      </c>
      <c r="J1552" t="s">
        <v>667</v>
      </c>
      <c r="K1552" t="str">
        <f>IFERROR(+VLOOKUP(Movimientos_2026[[#This Row],[Codigo]],Plan_cuentas[],6,FALSE)," ")</f>
        <v>1 - VW - Volkswagen</v>
      </c>
      <c r="L1552" s="50">
        <v>22787533.109999999</v>
      </c>
      <c r="M1552" s="52"/>
      <c r="N1552" s="20">
        <f>+Movimientos_2026[[#This Row],[Ingresos]]-Movimientos_2026[[#This Row],[Egresos]]</f>
        <v>22787533.109999999</v>
      </c>
      <c r="O1552" s="20">
        <f>+O1551+Movimientos_2026[[#This Row],[Neto]]</f>
        <v>5285108326.9870291</v>
      </c>
    </row>
    <row r="1553" spans="1:15" x14ac:dyDescent="0.25">
      <c r="A1553" s="13">
        <v>46153</v>
      </c>
      <c r="B1553" s="12">
        <f>MONTH(Movimientos_2026[[#This Row],[Fecha]])</f>
        <v>5</v>
      </c>
      <c r="C1553" s="12" t="str">
        <f>VLOOKUP((WEEKDAY(Movimientos_2026[[#This Row],[Fecha]],2)),'5. Setup'!$D$6:$E$12,2,FALSE)</f>
        <v>Lun</v>
      </c>
      <c r="D1553">
        <v>1044161</v>
      </c>
      <c r="E1553" t="str">
        <f>IFERROR(+VLOOKUP(Movimientos_2026[[#This Row],[Codigo]],Plan_cuentas[],2,FALSE)," ")</f>
        <v>INGRESOS</v>
      </c>
      <c r="F1553" t="str">
        <f>IFERROR(+VLOOKUP(Movimientos_2026[[#This Row],[Codigo]],Plan_cuentas[],3,FALSE)," ")</f>
        <v>Transferencia</v>
      </c>
      <c r="G1553" t="str">
        <f>IFERROR(+VLOOKUP(Movimientos_2026[[#This Row],[Codigo]],Plan_cuentas[],4,FALSE)," ")</f>
        <v>Rentas</v>
      </c>
      <c r="H1553" t="str">
        <f>IFERROR(+VLOOKUP(Movimientos_2026[[#This Row],[Codigo]],Plan_cuentas[],5,FALSE)," ")</f>
        <v>CHACO</v>
      </c>
      <c r="I1553" s="43">
        <v>46082</v>
      </c>
      <c r="J1553" t="s">
        <v>667</v>
      </c>
      <c r="K1553" t="str">
        <f>IFERROR(+VLOOKUP(Movimientos_2026[[#This Row],[Codigo]],Plan_cuentas[],6,FALSE)," ")</f>
        <v>1 - VW - Volkswagen</v>
      </c>
      <c r="L1553" s="50">
        <v>24369153.5</v>
      </c>
      <c r="M1553" s="52"/>
      <c r="N1553" s="20">
        <f>+Movimientos_2026[[#This Row],[Ingresos]]-Movimientos_2026[[#This Row],[Egresos]]</f>
        <v>24369153.5</v>
      </c>
      <c r="O1553" s="20">
        <f>+O1552+Movimientos_2026[[#This Row],[Neto]]</f>
        <v>5309477480.4870291</v>
      </c>
    </row>
    <row r="1554" spans="1:15" x14ac:dyDescent="0.25">
      <c r="A1554" s="13">
        <v>46153</v>
      </c>
      <c r="B1554" s="12">
        <f>MONTH(Movimientos_2026[[#This Row],[Fecha]])</f>
        <v>5</v>
      </c>
      <c r="C1554" s="12" t="str">
        <f>VLOOKUP((WEEKDAY(Movimientos_2026[[#This Row],[Fecha]],2)),'5. Setup'!$D$6:$E$12,2,FALSE)</f>
        <v>Lun</v>
      </c>
      <c r="D1554">
        <v>1044171</v>
      </c>
      <c r="E1554" t="str">
        <f>IFERROR(+VLOOKUP(Movimientos_2026[[#This Row],[Codigo]],Plan_cuentas[],2,FALSE)," ")</f>
        <v>INGRESOS</v>
      </c>
      <c r="F1554" t="str">
        <f>IFERROR(+VLOOKUP(Movimientos_2026[[#This Row],[Codigo]],Plan_cuentas[],3,FALSE)," ")</f>
        <v>Transferencia</v>
      </c>
      <c r="G1554" t="str">
        <f>IFERROR(+VLOOKUP(Movimientos_2026[[#This Row],[Codigo]],Plan_cuentas[],4,FALSE)," ")</f>
        <v>Rentas</v>
      </c>
      <c r="H1554" t="str">
        <f>IFERROR(+VLOOKUP(Movimientos_2026[[#This Row],[Codigo]],Plan_cuentas[],5,FALSE)," ")</f>
        <v>CHUBUT</v>
      </c>
      <c r="I1554" s="43">
        <v>46082</v>
      </c>
      <c r="J1554" t="s">
        <v>667</v>
      </c>
      <c r="K1554" t="str">
        <f>IFERROR(+VLOOKUP(Movimientos_2026[[#This Row],[Codigo]],Plan_cuentas[],6,FALSE)," ")</f>
        <v>1 - VW - Volkswagen</v>
      </c>
      <c r="L1554" s="50">
        <v>7784212.875</v>
      </c>
      <c r="M1554" s="52"/>
      <c r="N1554" s="20">
        <f>+Movimientos_2026[[#This Row],[Ingresos]]-Movimientos_2026[[#This Row],[Egresos]]</f>
        <v>7784212.875</v>
      </c>
      <c r="O1554" s="20">
        <f>+O1553+Movimientos_2026[[#This Row],[Neto]]</f>
        <v>5317261693.3620291</v>
      </c>
    </row>
    <row r="1555" spans="1:15" x14ac:dyDescent="0.25">
      <c r="A1555" s="13">
        <v>46153</v>
      </c>
      <c r="B1555" s="12">
        <f>MONTH(Movimientos_2026[[#This Row],[Fecha]])</f>
        <v>5</v>
      </c>
      <c r="C1555" s="12" t="str">
        <f>VLOOKUP((WEEKDAY(Movimientos_2026[[#This Row],[Fecha]],2)),'5. Setup'!$D$6:$E$12,2,FALSE)</f>
        <v>Lun</v>
      </c>
      <c r="D1555">
        <v>1044211</v>
      </c>
      <c r="E1555" t="str">
        <f>IFERROR(+VLOOKUP(Movimientos_2026[[#This Row],[Codigo]],Plan_cuentas[],2,FALSE)," ")</f>
        <v>INGRESOS</v>
      </c>
      <c r="F1555" t="str">
        <f>IFERROR(+VLOOKUP(Movimientos_2026[[#This Row],[Codigo]],Plan_cuentas[],3,FALSE)," ")</f>
        <v>Transferencia</v>
      </c>
      <c r="G1555" t="str">
        <f>IFERROR(+VLOOKUP(Movimientos_2026[[#This Row],[Codigo]],Plan_cuentas[],4,FALSE)," ")</f>
        <v>Rentas</v>
      </c>
      <c r="H1555" t="str">
        <f>IFERROR(+VLOOKUP(Movimientos_2026[[#This Row],[Codigo]],Plan_cuentas[],5,FALSE)," ")</f>
        <v>CORRIENTES 2° Q</v>
      </c>
      <c r="I1555" s="43">
        <v>46082</v>
      </c>
      <c r="J1555" t="s">
        <v>667</v>
      </c>
      <c r="K1555" t="str">
        <f>IFERROR(+VLOOKUP(Movimientos_2026[[#This Row],[Codigo]],Plan_cuentas[],6,FALSE)," ")</f>
        <v>1 - VW - Volkswagen</v>
      </c>
      <c r="L1555" s="50">
        <v>9077175.5</v>
      </c>
      <c r="M1555" s="52"/>
      <c r="N1555" s="20">
        <f>+Movimientos_2026[[#This Row],[Ingresos]]-Movimientos_2026[[#This Row],[Egresos]]</f>
        <v>9077175.5</v>
      </c>
      <c r="O1555" s="20">
        <f>+O1554+Movimientos_2026[[#This Row],[Neto]]</f>
        <v>5326338868.8620291</v>
      </c>
    </row>
    <row r="1556" spans="1:15" x14ac:dyDescent="0.25">
      <c r="A1556" s="13">
        <v>46153</v>
      </c>
      <c r="B1556" s="12">
        <f>MONTH(Movimientos_2026[[#This Row],[Fecha]])</f>
        <v>5</v>
      </c>
      <c r="C1556" s="12" t="str">
        <f>VLOOKUP((WEEKDAY(Movimientos_2026[[#This Row],[Fecha]],2)),'5. Setup'!$D$6:$E$12,2,FALSE)</f>
        <v>Lun</v>
      </c>
      <c r="D1556">
        <v>1044241</v>
      </c>
      <c r="E1556" t="str">
        <f>IFERROR(+VLOOKUP(Movimientos_2026[[#This Row],[Codigo]],Plan_cuentas[],2,FALSE)," ")</f>
        <v>INGRESOS</v>
      </c>
      <c r="F1556" t="str">
        <f>IFERROR(+VLOOKUP(Movimientos_2026[[#This Row],[Codigo]],Plan_cuentas[],3,FALSE)," ")</f>
        <v>Transferencia</v>
      </c>
      <c r="G1556" t="str">
        <f>IFERROR(+VLOOKUP(Movimientos_2026[[#This Row],[Codigo]],Plan_cuentas[],4,FALSE)," ")</f>
        <v>Rentas</v>
      </c>
      <c r="H1556" t="str">
        <f>IFERROR(+VLOOKUP(Movimientos_2026[[#This Row],[Codigo]],Plan_cuentas[],5,FALSE)," ")</f>
        <v>FORMOSA</v>
      </c>
      <c r="I1556" s="43">
        <v>46082</v>
      </c>
      <c r="J1556" t="s">
        <v>667</v>
      </c>
      <c r="K1556" t="str">
        <f>IFERROR(+VLOOKUP(Movimientos_2026[[#This Row],[Codigo]],Plan_cuentas[],6,FALSE)," ")</f>
        <v>1 - VW - Volkswagen</v>
      </c>
      <c r="L1556" s="50">
        <v>2474338</v>
      </c>
      <c r="M1556" s="52"/>
      <c r="N1556" s="20">
        <f>+Movimientos_2026[[#This Row],[Ingresos]]-Movimientos_2026[[#This Row],[Egresos]]</f>
        <v>2474338</v>
      </c>
      <c r="O1556" s="20">
        <f>+O1555+Movimientos_2026[[#This Row],[Neto]]</f>
        <v>5328813206.8620291</v>
      </c>
    </row>
    <row r="1557" spans="1:15" x14ac:dyDescent="0.25">
      <c r="A1557" s="13">
        <v>46153</v>
      </c>
      <c r="B1557" s="12">
        <f>MONTH(Movimientos_2026[[#This Row],[Fecha]])</f>
        <v>5</v>
      </c>
      <c r="C1557" s="12" t="str">
        <f>VLOOKUP((WEEKDAY(Movimientos_2026[[#This Row],[Fecha]],2)),'5. Setup'!$D$6:$E$12,2,FALSE)</f>
        <v>Lun</v>
      </c>
      <c r="D1557">
        <v>1044261</v>
      </c>
      <c r="E1557" t="str">
        <f>IFERROR(+VLOOKUP(Movimientos_2026[[#This Row],[Codigo]],Plan_cuentas[],2,FALSE)," ")</f>
        <v>INGRESOS</v>
      </c>
      <c r="F1557" t="str">
        <f>IFERROR(+VLOOKUP(Movimientos_2026[[#This Row],[Codigo]],Plan_cuentas[],3,FALSE)," ")</f>
        <v>Transferencia</v>
      </c>
      <c r="G1557" t="str">
        <f>IFERROR(+VLOOKUP(Movimientos_2026[[#This Row],[Codigo]],Plan_cuentas[],4,FALSE)," ")</f>
        <v>Rentas</v>
      </c>
      <c r="H1557" t="str">
        <f>IFERROR(+VLOOKUP(Movimientos_2026[[#This Row],[Codigo]],Plan_cuentas[],5,FALSE)," ")</f>
        <v>LA PAMPA</v>
      </c>
      <c r="I1557" s="43">
        <v>46082</v>
      </c>
      <c r="J1557" t="s">
        <v>667</v>
      </c>
      <c r="K1557" t="str">
        <f>IFERROR(+VLOOKUP(Movimientos_2026[[#This Row],[Codigo]],Plan_cuentas[],6,FALSE)," ")</f>
        <v>1 - VW - Volkswagen</v>
      </c>
      <c r="L1557" s="50">
        <v>2754306.25</v>
      </c>
      <c r="M1557" s="52"/>
      <c r="N1557" s="20">
        <f>+Movimientos_2026[[#This Row],[Ingresos]]-Movimientos_2026[[#This Row],[Egresos]]</f>
        <v>2754306.25</v>
      </c>
      <c r="O1557" s="20">
        <f>+O1556+Movimientos_2026[[#This Row],[Neto]]</f>
        <v>5331567513.1120291</v>
      </c>
    </row>
    <row r="1558" spans="1:15" x14ac:dyDescent="0.25">
      <c r="A1558" s="13">
        <v>46153</v>
      </c>
      <c r="B1558" s="12">
        <f>MONTH(Movimientos_2026[[#This Row],[Fecha]])</f>
        <v>5</v>
      </c>
      <c r="C1558" s="12" t="str">
        <f>VLOOKUP((WEEKDAY(Movimientos_2026[[#This Row],[Fecha]],2)),'5. Setup'!$D$6:$E$12,2,FALSE)</f>
        <v>Lun</v>
      </c>
      <c r="D1558">
        <v>1044271</v>
      </c>
      <c r="E1558" t="str">
        <f>IFERROR(+VLOOKUP(Movimientos_2026[[#This Row],[Codigo]],Plan_cuentas[],2,FALSE)," ")</f>
        <v>INGRESOS</v>
      </c>
      <c r="F1558" t="str">
        <f>IFERROR(+VLOOKUP(Movimientos_2026[[#This Row],[Codigo]],Plan_cuentas[],3,FALSE)," ")</f>
        <v>Transferencia</v>
      </c>
      <c r="G1558" t="str">
        <f>IFERROR(+VLOOKUP(Movimientos_2026[[#This Row],[Codigo]],Plan_cuentas[],4,FALSE)," ")</f>
        <v>Rentas</v>
      </c>
      <c r="H1558" t="str">
        <f>IFERROR(+VLOOKUP(Movimientos_2026[[#This Row],[Codigo]],Plan_cuentas[],5,FALSE)," ")</f>
        <v>LA RIOJA</v>
      </c>
      <c r="I1558" s="43">
        <v>46082</v>
      </c>
      <c r="J1558" t="s">
        <v>667</v>
      </c>
      <c r="K1558" t="str">
        <f>IFERROR(+VLOOKUP(Movimientos_2026[[#This Row],[Codigo]],Plan_cuentas[],6,FALSE)," ")</f>
        <v>1 - VW - Volkswagen</v>
      </c>
      <c r="L1558" s="50">
        <v>20550858</v>
      </c>
      <c r="M1558" s="52"/>
      <c r="N1558" s="20">
        <f>+Movimientos_2026[[#This Row],[Ingresos]]-Movimientos_2026[[#This Row],[Egresos]]</f>
        <v>20550858</v>
      </c>
      <c r="O1558" s="20">
        <f>+O1557+Movimientos_2026[[#This Row],[Neto]]</f>
        <v>5352118371.1120291</v>
      </c>
    </row>
    <row r="1559" spans="1:15" x14ac:dyDescent="0.25">
      <c r="A1559" s="13">
        <v>46153</v>
      </c>
      <c r="B1559" s="12">
        <f>MONTH(Movimientos_2026[[#This Row],[Fecha]])</f>
        <v>5</v>
      </c>
      <c r="C1559" s="12" t="str">
        <f>VLOOKUP((WEEKDAY(Movimientos_2026[[#This Row],[Fecha]],2)),'5. Setup'!$D$6:$E$12,2,FALSE)</f>
        <v>Lun</v>
      </c>
      <c r="D1559">
        <v>1044281</v>
      </c>
      <c r="E1559" t="str">
        <f>IFERROR(+VLOOKUP(Movimientos_2026[[#This Row],[Codigo]],Plan_cuentas[],2,FALSE)," ")</f>
        <v>INGRESOS</v>
      </c>
      <c r="F1559" t="str">
        <f>IFERROR(+VLOOKUP(Movimientos_2026[[#This Row],[Codigo]],Plan_cuentas[],3,FALSE)," ")</f>
        <v>Transferencia</v>
      </c>
      <c r="G1559" t="str">
        <f>IFERROR(+VLOOKUP(Movimientos_2026[[#This Row],[Codigo]],Plan_cuentas[],4,FALSE)," ")</f>
        <v>Rentas</v>
      </c>
      <c r="H1559" t="str">
        <f>IFERROR(+VLOOKUP(Movimientos_2026[[#This Row],[Codigo]],Plan_cuentas[],5,FALSE)," ")</f>
        <v>MENDOZA</v>
      </c>
      <c r="I1559" s="43">
        <v>46082</v>
      </c>
      <c r="J1559" t="s">
        <v>667</v>
      </c>
      <c r="K1559" t="str">
        <f>IFERROR(+VLOOKUP(Movimientos_2026[[#This Row],[Codigo]],Plan_cuentas[],6,FALSE)," ")</f>
        <v>1 - VW - Volkswagen</v>
      </c>
      <c r="L1559" s="50">
        <v>20211870</v>
      </c>
      <c r="M1559" s="52"/>
      <c r="N1559" s="20">
        <f>+Movimientos_2026[[#This Row],[Ingresos]]-Movimientos_2026[[#This Row],[Egresos]]</f>
        <v>20211870</v>
      </c>
      <c r="O1559" s="20">
        <f>+O1558+Movimientos_2026[[#This Row],[Neto]]</f>
        <v>5372330241.1120291</v>
      </c>
    </row>
    <row r="1560" spans="1:15" x14ac:dyDescent="0.25">
      <c r="A1560" s="13">
        <v>46153</v>
      </c>
      <c r="B1560" s="12">
        <f>MONTH(Movimientos_2026[[#This Row],[Fecha]])</f>
        <v>5</v>
      </c>
      <c r="C1560" s="12" t="str">
        <f>VLOOKUP((WEEKDAY(Movimientos_2026[[#This Row],[Fecha]],2)),'5. Setup'!$D$6:$E$12,2,FALSE)</f>
        <v>Lun</v>
      </c>
      <c r="D1560">
        <v>1044461</v>
      </c>
      <c r="E1560" t="str">
        <f>IFERROR(+VLOOKUP(Movimientos_2026[[#This Row],[Codigo]],Plan_cuentas[],2,FALSE)," ")</f>
        <v>INGRESOS</v>
      </c>
      <c r="F1560" t="str">
        <f>IFERROR(+VLOOKUP(Movimientos_2026[[#This Row],[Codigo]],Plan_cuentas[],3,FALSE)," ")</f>
        <v>Transferencia</v>
      </c>
      <c r="G1560" t="str">
        <f>IFERROR(+VLOOKUP(Movimientos_2026[[#This Row],[Codigo]],Plan_cuentas[],4,FALSE)," ")</f>
        <v>Rentas</v>
      </c>
      <c r="H1560" t="str">
        <f>IFERROR(+VLOOKUP(Movimientos_2026[[#This Row],[Codigo]],Plan_cuentas[],5,FALSE)," ")</f>
        <v>MISIONES</v>
      </c>
      <c r="I1560" s="43">
        <v>46082</v>
      </c>
      <c r="J1560" t="s">
        <v>667</v>
      </c>
      <c r="K1560" t="str">
        <f>IFERROR(+VLOOKUP(Movimientos_2026[[#This Row],[Codigo]],Plan_cuentas[],6,FALSE)," ")</f>
        <v>1 - VW - Volkswagen</v>
      </c>
      <c r="L1560" s="50">
        <v>2132002.4062178149</v>
      </c>
      <c r="M1560" s="52"/>
      <c r="N1560" s="20">
        <f>+Movimientos_2026[[#This Row],[Ingresos]]-Movimientos_2026[[#This Row],[Egresos]]</f>
        <v>2132002.4062178149</v>
      </c>
      <c r="O1560" s="20">
        <f>+O1559+Movimientos_2026[[#This Row],[Neto]]</f>
        <v>5374462243.5182467</v>
      </c>
    </row>
    <row r="1561" spans="1:15" x14ac:dyDescent="0.25">
      <c r="A1561" s="13">
        <v>46153</v>
      </c>
      <c r="B1561" s="12">
        <f>MONTH(Movimientos_2026[[#This Row],[Fecha]])</f>
        <v>5</v>
      </c>
      <c r="C1561" s="12" t="str">
        <f>VLOOKUP((WEEKDAY(Movimientos_2026[[#This Row],[Fecha]],2)),'5. Setup'!$D$6:$E$12,2,FALSE)</f>
        <v>Lun</v>
      </c>
      <c r="D1561">
        <v>1044321</v>
      </c>
      <c r="E1561" t="str">
        <f>IFERROR(+VLOOKUP(Movimientos_2026[[#This Row],[Codigo]],Plan_cuentas[],2,FALSE)," ")</f>
        <v>INGRESOS</v>
      </c>
      <c r="F1561" t="str">
        <f>IFERROR(+VLOOKUP(Movimientos_2026[[#This Row],[Codigo]],Plan_cuentas[],3,FALSE)," ")</f>
        <v>Transferencia</v>
      </c>
      <c r="G1561" t="str">
        <f>IFERROR(+VLOOKUP(Movimientos_2026[[#This Row],[Codigo]],Plan_cuentas[],4,FALSE)," ")</f>
        <v>Rentas</v>
      </c>
      <c r="H1561" t="str">
        <f>IFERROR(+VLOOKUP(Movimientos_2026[[#This Row],[Codigo]],Plan_cuentas[],5,FALSE)," ")</f>
        <v>NEUQUEN 2° Q</v>
      </c>
      <c r="I1561" s="43">
        <v>46082</v>
      </c>
      <c r="J1561" t="s">
        <v>667</v>
      </c>
      <c r="K1561" t="str">
        <f>IFERROR(+VLOOKUP(Movimientos_2026[[#This Row],[Codigo]],Plan_cuentas[],6,FALSE)," ")</f>
        <v>1 - VW - Volkswagen</v>
      </c>
      <c r="L1561" s="50">
        <v>29338878</v>
      </c>
      <c r="M1561" s="52"/>
      <c r="N1561" s="20">
        <f>+Movimientos_2026[[#This Row],[Ingresos]]-Movimientos_2026[[#This Row],[Egresos]]</f>
        <v>29338878</v>
      </c>
      <c r="O1561" s="20">
        <f>+O1560+Movimientos_2026[[#This Row],[Neto]]</f>
        <v>5403801121.5182467</v>
      </c>
    </row>
    <row r="1562" spans="1:15" x14ac:dyDescent="0.25">
      <c r="A1562" s="13">
        <v>46153</v>
      </c>
      <c r="B1562" s="12">
        <f>MONTH(Movimientos_2026[[#This Row],[Fecha]])</f>
        <v>5</v>
      </c>
      <c r="C1562" s="12" t="str">
        <f>VLOOKUP((WEEKDAY(Movimientos_2026[[#This Row],[Fecha]],2)),'5. Setup'!$D$6:$E$12,2,FALSE)</f>
        <v>Lun</v>
      </c>
      <c r="D1562">
        <v>1044351</v>
      </c>
      <c r="E1562" t="str">
        <f>IFERROR(+VLOOKUP(Movimientos_2026[[#This Row],[Codigo]],Plan_cuentas[],2,FALSE)," ")</f>
        <v>INGRESOS</v>
      </c>
      <c r="F1562" t="str">
        <f>IFERROR(+VLOOKUP(Movimientos_2026[[#This Row],[Codigo]],Plan_cuentas[],3,FALSE)," ")</f>
        <v>Transferencia</v>
      </c>
      <c r="G1562" t="str">
        <f>IFERROR(+VLOOKUP(Movimientos_2026[[#This Row],[Codigo]],Plan_cuentas[],4,FALSE)," ")</f>
        <v>Rentas</v>
      </c>
      <c r="H1562" t="str">
        <f>IFERROR(+VLOOKUP(Movimientos_2026[[#This Row],[Codigo]],Plan_cuentas[],5,FALSE)," ")</f>
        <v>SAN JUAN</v>
      </c>
      <c r="I1562" s="43">
        <v>46082</v>
      </c>
      <c r="J1562" t="s">
        <v>667</v>
      </c>
      <c r="K1562" t="str">
        <f>IFERROR(+VLOOKUP(Movimientos_2026[[#This Row],[Codigo]],Plan_cuentas[],6,FALSE)," ")</f>
        <v>1 - VW - Volkswagen</v>
      </c>
      <c r="L1562" s="50">
        <v>1587826.8</v>
      </c>
      <c r="M1562" s="52"/>
      <c r="N1562" s="20">
        <f>+Movimientos_2026[[#This Row],[Ingresos]]-Movimientos_2026[[#This Row],[Egresos]]</f>
        <v>1587826.8</v>
      </c>
      <c r="O1562" s="20">
        <f>+O1561+Movimientos_2026[[#This Row],[Neto]]</f>
        <v>5405388948.3182468</v>
      </c>
    </row>
    <row r="1563" spans="1:15" x14ac:dyDescent="0.25">
      <c r="A1563" s="13">
        <v>46153</v>
      </c>
      <c r="B1563" s="12">
        <f>MONTH(Movimientos_2026[[#This Row],[Fecha]])</f>
        <v>5</v>
      </c>
      <c r="C1563" s="12" t="str">
        <f>VLOOKUP((WEEKDAY(Movimientos_2026[[#This Row],[Fecha]],2)),'5. Setup'!$D$6:$E$12,2,FALSE)</f>
        <v>Lun</v>
      </c>
      <c r="D1563">
        <v>1044361</v>
      </c>
      <c r="E1563" t="str">
        <f>IFERROR(+VLOOKUP(Movimientos_2026[[#This Row],[Codigo]],Plan_cuentas[],2,FALSE)," ")</f>
        <v>INGRESOS</v>
      </c>
      <c r="F1563" t="str">
        <f>IFERROR(+VLOOKUP(Movimientos_2026[[#This Row],[Codigo]],Plan_cuentas[],3,FALSE)," ")</f>
        <v>Transferencia</v>
      </c>
      <c r="G1563" t="str">
        <f>IFERROR(+VLOOKUP(Movimientos_2026[[#This Row],[Codigo]],Plan_cuentas[],4,FALSE)," ")</f>
        <v>Rentas</v>
      </c>
      <c r="H1563" t="str">
        <f>IFERROR(+VLOOKUP(Movimientos_2026[[#This Row],[Codigo]],Plan_cuentas[],5,FALSE)," ")</f>
        <v>SAN LUIS</v>
      </c>
      <c r="I1563" s="43">
        <v>46082</v>
      </c>
      <c r="J1563" t="s">
        <v>667</v>
      </c>
      <c r="K1563" t="str">
        <f>IFERROR(+VLOOKUP(Movimientos_2026[[#This Row],[Codigo]],Plan_cuentas[],6,FALSE)," ")</f>
        <v>1 - VW - Volkswagen</v>
      </c>
      <c r="L1563" s="50">
        <v>6395298</v>
      </c>
      <c r="M1563" s="52"/>
      <c r="N1563" s="20">
        <f>+Movimientos_2026[[#This Row],[Ingresos]]-Movimientos_2026[[#This Row],[Egresos]]</f>
        <v>6395298</v>
      </c>
      <c r="O1563" s="20">
        <f>+O1562+Movimientos_2026[[#This Row],[Neto]]</f>
        <v>5411784246.3182468</v>
      </c>
    </row>
    <row r="1564" spans="1:15" x14ac:dyDescent="0.25">
      <c r="A1564" s="13">
        <v>46153</v>
      </c>
      <c r="B1564" s="12">
        <f>MONTH(Movimientos_2026[[#This Row],[Fecha]])</f>
        <v>5</v>
      </c>
      <c r="C1564" s="12" t="str">
        <f>VLOOKUP((WEEKDAY(Movimientos_2026[[#This Row],[Fecha]],2)),'5. Setup'!$D$6:$E$12,2,FALSE)</f>
        <v>Lun</v>
      </c>
      <c r="D1564">
        <v>1044371</v>
      </c>
      <c r="E1564" t="str">
        <f>IFERROR(+VLOOKUP(Movimientos_2026[[#This Row],[Codigo]],Plan_cuentas[],2,FALSE)," ")</f>
        <v>INGRESOS</v>
      </c>
      <c r="F1564" t="str">
        <f>IFERROR(+VLOOKUP(Movimientos_2026[[#This Row],[Codigo]],Plan_cuentas[],3,FALSE)," ")</f>
        <v>Transferencia</v>
      </c>
      <c r="G1564" t="str">
        <f>IFERROR(+VLOOKUP(Movimientos_2026[[#This Row],[Codigo]],Plan_cuentas[],4,FALSE)," ")</f>
        <v>Rentas</v>
      </c>
      <c r="H1564" t="str">
        <f>IFERROR(+VLOOKUP(Movimientos_2026[[#This Row],[Codigo]],Plan_cuentas[],5,FALSE)," ")</f>
        <v>SANTA CRUZ</v>
      </c>
      <c r="I1564" s="43">
        <v>46082</v>
      </c>
      <c r="J1564" t="s">
        <v>667</v>
      </c>
      <c r="K1564" t="str">
        <f>IFERROR(+VLOOKUP(Movimientos_2026[[#This Row],[Codigo]],Plan_cuentas[],6,FALSE)," ")</f>
        <v>1 - VW - Volkswagen</v>
      </c>
      <c r="L1564" s="50">
        <v>26133194.5</v>
      </c>
      <c r="M1564" s="52"/>
      <c r="N1564" s="20">
        <f>+Movimientos_2026[[#This Row],[Ingresos]]-Movimientos_2026[[#This Row],[Egresos]]</f>
        <v>26133194.5</v>
      </c>
      <c r="O1564" s="20">
        <f>+O1563+Movimientos_2026[[#This Row],[Neto]]</f>
        <v>5437917440.8182468</v>
      </c>
    </row>
    <row r="1565" spans="1:15" x14ac:dyDescent="0.25">
      <c r="A1565" s="13">
        <v>46153</v>
      </c>
      <c r="B1565" s="12">
        <f>MONTH(Movimientos_2026[[#This Row],[Fecha]])</f>
        <v>5</v>
      </c>
      <c r="C1565" s="12" t="str">
        <f>VLOOKUP((WEEKDAY(Movimientos_2026[[#This Row],[Fecha]],2)),'5. Setup'!$D$6:$E$12,2,FALSE)</f>
        <v>Lun</v>
      </c>
      <c r="D1565">
        <v>1044391</v>
      </c>
      <c r="E1565" t="str">
        <f>IFERROR(+VLOOKUP(Movimientos_2026[[#This Row],[Codigo]],Plan_cuentas[],2,FALSE)," ")</f>
        <v>INGRESOS</v>
      </c>
      <c r="F1565" t="str">
        <f>IFERROR(+VLOOKUP(Movimientos_2026[[#This Row],[Codigo]],Plan_cuentas[],3,FALSE)," ")</f>
        <v>Transferencia</v>
      </c>
      <c r="G1565" t="str">
        <f>IFERROR(+VLOOKUP(Movimientos_2026[[#This Row],[Codigo]],Plan_cuentas[],4,FALSE)," ")</f>
        <v>Rentas</v>
      </c>
      <c r="H1565" t="str">
        <f>IFERROR(+VLOOKUP(Movimientos_2026[[#This Row],[Codigo]],Plan_cuentas[],5,FALSE)," ")</f>
        <v>SANTA FE 2° Q</v>
      </c>
      <c r="I1565" s="43">
        <v>46082</v>
      </c>
      <c r="J1565" t="s">
        <v>667</v>
      </c>
      <c r="K1565" t="str">
        <f>IFERROR(+VLOOKUP(Movimientos_2026[[#This Row],[Codigo]],Plan_cuentas[],6,FALSE)," ")</f>
        <v>1 - VW - Volkswagen</v>
      </c>
      <c r="L1565" s="50">
        <v>23138815.5</v>
      </c>
      <c r="M1565" s="52"/>
      <c r="N1565" s="20">
        <f>+Movimientos_2026[[#This Row],[Ingresos]]-Movimientos_2026[[#This Row],[Egresos]]</f>
        <v>23138815.5</v>
      </c>
      <c r="O1565" s="20">
        <f>+O1564+Movimientos_2026[[#This Row],[Neto]]</f>
        <v>5461056256.3182468</v>
      </c>
    </row>
    <row r="1566" spans="1:15" x14ac:dyDescent="0.25">
      <c r="A1566" s="13">
        <v>46153</v>
      </c>
      <c r="B1566" s="12">
        <f>MONTH(Movimientos_2026[[#This Row],[Fecha]])</f>
        <v>5</v>
      </c>
      <c r="C1566" s="12" t="str">
        <f>VLOOKUP((WEEKDAY(Movimientos_2026[[#This Row],[Fecha]],2)),'5. Setup'!$D$6:$E$12,2,FALSE)</f>
        <v>Lun</v>
      </c>
      <c r="D1566">
        <v>1044401</v>
      </c>
      <c r="E1566" t="str">
        <f>IFERROR(+VLOOKUP(Movimientos_2026[[#This Row],[Codigo]],Plan_cuentas[],2,FALSE)," ")</f>
        <v>INGRESOS</v>
      </c>
      <c r="F1566" t="str">
        <f>IFERROR(+VLOOKUP(Movimientos_2026[[#This Row],[Codigo]],Plan_cuentas[],3,FALSE)," ")</f>
        <v>Transferencia</v>
      </c>
      <c r="G1566" t="str">
        <f>IFERROR(+VLOOKUP(Movimientos_2026[[#This Row],[Codigo]],Plan_cuentas[],4,FALSE)," ")</f>
        <v>Rentas</v>
      </c>
      <c r="H1566" t="str">
        <f>IFERROR(+VLOOKUP(Movimientos_2026[[#This Row],[Codigo]],Plan_cuentas[],5,FALSE)," ")</f>
        <v>SANTIAGO DEL ESTERO</v>
      </c>
      <c r="I1566" s="43">
        <v>46082</v>
      </c>
      <c r="J1566" t="s">
        <v>667</v>
      </c>
      <c r="K1566" t="str">
        <f>IFERROR(+VLOOKUP(Movimientos_2026[[#This Row],[Codigo]],Plan_cuentas[],6,FALSE)," ")</f>
        <v>1 - VW - Volkswagen</v>
      </c>
      <c r="L1566" s="50">
        <v>15083338</v>
      </c>
      <c r="M1566" s="52"/>
      <c r="N1566" s="20">
        <f>+Movimientos_2026[[#This Row],[Ingresos]]-Movimientos_2026[[#This Row],[Egresos]]</f>
        <v>15083338</v>
      </c>
      <c r="O1566" s="20">
        <f>+O1565+Movimientos_2026[[#This Row],[Neto]]</f>
        <v>5476139594.3182468</v>
      </c>
    </row>
    <row r="1567" spans="1:15" x14ac:dyDescent="0.25">
      <c r="A1567" s="13">
        <v>46153</v>
      </c>
      <c r="B1567" s="12">
        <f>MONTH(Movimientos_2026[[#This Row],[Fecha]])</f>
        <v>5</v>
      </c>
      <c r="C1567" s="12" t="str">
        <f>VLOOKUP((WEEKDAY(Movimientos_2026[[#This Row],[Fecha]],2)),'5. Setup'!$D$6:$E$12,2,FALSE)</f>
        <v>Lun</v>
      </c>
      <c r="D1567">
        <v>1044411</v>
      </c>
      <c r="E1567" t="str">
        <f>IFERROR(+VLOOKUP(Movimientos_2026[[#This Row],[Codigo]],Plan_cuentas[],2,FALSE)," ")</f>
        <v>INGRESOS</v>
      </c>
      <c r="F1567" t="str">
        <f>IFERROR(+VLOOKUP(Movimientos_2026[[#This Row],[Codigo]],Plan_cuentas[],3,FALSE)," ")</f>
        <v>Transferencia</v>
      </c>
      <c r="G1567" t="str">
        <f>IFERROR(+VLOOKUP(Movimientos_2026[[#This Row],[Codigo]],Plan_cuentas[],4,FALSE)," ")</f>
        <v>Rentas</v>
      </c>
      <c r="H1567" t="str">
        <f>IFERROR(+VLOOKUP(Movimientos_2026[[#This Row],[Codigo]],Plan_cuentas[],5,FALSE)," ")</f>
        <v>TIERRA DEL FUEGO</v>
      </c>
      <c r="I1567" s="43">
        <v>46082</v>
      </c>
      <c r="J1567" t="s">
        <v>667</v>
      </c>
      <c r="K1567" t="str">
        <f>IFERROR(+VLOOKUP(Movimientos_2026[[#This Row],[Codigo]],Plan_cuentas[],6,FALSE)," ")</f>
        <v>1 - VW - Volkswagen</v>
      </c>
      <c r="L1567" s="50">
        <v>367552.5</v>
      </c>
      <c r="M1567" s="52"/>
      <c r="N1567" s="20">
        <f>+Movimientos_2026[[#This Row],[Ingresos]]-Movimientos_2026[[#This Row],[Egresos]]</f>
        <v>367552.5</v>
      </c>
      <c r="O1567" s="20">
        <f>+O1566+Movimientos_2026[[#This Row],[Neto]]</f>
        <v>5476507146.8182468</v>
      </c>
    </row>
    <row r="1568" spans="1:15" x14ac:dyDescent="0.25">
      <c r="A1568" s="13">
        <v>46153</v>
      </c>
      <c r="B1568" s="12">
        <f>MONTH(Movimientos_2026[[#This Row],[Fecha]])</f>
        <v>5</v>
      </c>
      <c r="C1568" s="12" t="str">
        <f>VLOOKUP((WEEKDAY(Movimientos_2026[[#This Row],[Fecha]],2)),'5. Setup'!$D$6:$E$12,2,FALSE)</f>
        <v>Lun</v>
      </c>
      <c r="D1568">
        <v>1044421</v>
      </c>
      <c r="E1568" t="str">
        <f>IFERROR(+VLOOKUP(Movimientos_2026[[#This Row],[Codigo]],Plan_cuentas[],2,FALSE)," ")</f>
        <v>INGRESOS</v>
      </c>
      <c r="F1568" t="str">
        <f>IFERROR(+VLOOKUP(Movimientos_2026[[#This Row],[Codigo]],Plan_cuentas[],3,FALSE)," ")</f>
        <v>Transferencia</v>
      </c>
      <c r="G1568" t="str">
        <f>IFERROR(+VLOOKUP(Movimientos_2026[[#This Row],[Codigo]],Plan_cuentas[],4,FALSE)," ")</f>
        <v>Rentas</v>
      </c>
      <c r="H1568" t="str">
        <f>IFERROR(+VLOOKUP(Movimientos_2026[[#This Row],[Codigo]],Plan_cuentas[],5,FALSE)," ")</f>
        <v>TUCUMAN</v>
      </c>
      <c r="I1568" s="43">
        <v>46082</v>
      </c>
      <c r="J1568" t="s">
        <v>667</v>
      </c>
      <c r="K1568" t="str">
        <f>IFERROR(+VLOOKUP(Movimientos_2026[[#This Row],[Codigo]],Plan_cuentas[],6,FALSE)," ")</f>
        <v>1 - VW - Volkswagen</v>
      </c>
      <c r="L1568" s="50">
        <v>38822621.379430033</v>
      </c>
      <c r="M1568" s="52"/>
      <c r="N1568" s="20">
        <f>+Movimientos_2026[[#This Row],[Ingresos]]-Movimientos_2026[[#This Row],[Egresos]]</f>
        <v>38822621.379430033</v>
      </c>
      <c r="O1568" s="20">
        <f>+O1567+Movimientos_2026[[#This Row],[Neto]]</f>
        <v>5515329768.1976767</v>
      </c>
    </row>
    <row r="1569" spans="1:15" x14ac:dyDescent="0.25">
      <c r="A1569" s="13">
        <v>46154</v>
      </c>
      <c r="B1569" s="12">
        <f>MONTH(Movimientos_2026[[#This Row],[Fecha]])</f>
        <v>5</v>
      </c>
      <c r="C1569" s="12" t="str">
        <f>VLOOKUP((WEEKDAY(Movimientos_2026[[#This Row],[Fecha]],2)),'5. Setup'!$D$6:$E$12,2,FALSE)</f>
        <v>Mar</v>
      </c>
      <c r="D1569">
        <v>2044126</v>
      </c>
      <c r="E1569" t="str">
        <f>IFERROR(+VLOOKUP(Movimientos_2026[[#This Row],[Codigo]],Plan_cuentas[],2,FALSE)," ")</f>
        <v>EGRESOS</v>
      </c>
      <c r="F1569" t="str">
        <f>IFERROR(+VLOOKUP(Movimientos_2026[[#This Row],[Codigo]],Plan_cuentas[],3,FALSE)," ")</f>
        <v>Transferencia</v>
      </c>
      <c r="G1569" t="str">
        <f>IFERROR(+VLOOKUP(Movimientos_2026[[#This Row],[Codigo]],Plan_cuentas[],4,FALSE)," ")</f>
        <v>Rentas</v>
      </c>
      <c r="H1569" t="str">
        <f>IFERROR(+VLOOKUP(Movimientos_2026[[#This Row],[Codigo]],Plan_cuentas[],5,FALSE)," ")</f>
        <v>BAPRO</v>
      </c>
      <c r="I1569" s="43">
        <v>46113</v>
      </c>
      <c r="J1569" t="s">
        <v>668</v>
      </c>
      <c r="K1569" t="str">
        <f>IFERROR(+VLOOKUP(Movimientos_2026[[#This Row],[Codigo]],Plan_cuentas[],6,FALSE)," ")</f>
        <v>6 - FCAtr - Fiat Transf.</v>
      </c>
      <c r="L1569" s="50"/>
      <c r="M1569" s="52">
        <v>7003921.7999999998</v>
      </c>
      <c r="N1569" s="20">
        <f>+Movimientos_2026[[#This Row],[Ingresos]]-Movimientos_2026[[#This Row],[Egresos]]</f>
        <v>-7003921.7999999998</v>
      </c>
      <c r="O1569" s="20">
        <f>+O1568+Movimientos_2026[[#This Row],[Neto]]</f>
        <v>5508325846.3976765</v>
      </c>
    </row>
    <row r="1570" spans="1:15" x14ac:dyDescent="0.25">
      <c r="A1570" s="13">
        <v>46154</v>
      </c>
      <c r="B1570" s="12">
        <f>MONTH(Movimientos_2026[[#This Row],[Fecha]])</f>
        <v>5</v>
      </c>
      <c r="C1570" s="12" t="str">
        <f>VLOOKUP((WEEKDAY(Movimientos_2026[[#This Row],[Fecha]],2)),'5. Setup'!$D$6:$E$12,2,FALSE)</f>
        <v>Mar</v>
      </c>
      <c r="D1570">
        <v>2044126</v>
      </c>
      <c r="E1570" t="str">
        <f>IFERROR(+VLOOKUP(Movimientos_2026[[#This Row],[Codigo]],Plan_cuentas[],2,FALSE)," ")</f>
        <v>EGRESOS</v>
      </c>
      <c r="F1570" t="str">
        <f>IFERROR(+VLOOKUP(Movimientos_2026[[#This Row],[Codigo]],Plan_cuentas[],3,FALSE)," ")</f>
        <v>Transferencia</v>
      </c>
      <c r="G1570" t="str">
        <f>IFERROR(+VLOOKUP(Movimientos_2026[[#This Row],[Codigo]],Plan_cuentas[],4,FALSE)," ")</f>
        <v>Rentas</v>
      </c>
      <c r="H1570" t="str">
        <f>IFERROR(+VLOOKUP(Movimientos_2026[[#This Row],[Codigo]],Plan_cuentas[],5,FALSE)," ")</f>
        <v>BAPRO</v>
      </c>
      <c r="I1570" s="43">
        <v>46113</v>
      </c>
      <c r="J1570" t="s">
        <v>669</v>
      </c>
      <c r="K1570" t="str">
        <f>IFERROR(+VLOOKUP(Movimientos_2026[[#This Row],[Codigo]],Plan_cuentas[],6,FALSE)," ")</f>
        <v>6 - FCAtr - Fiat Transf.</v>
      </c>
      <c r="L1570" s="50"/>
      <c r="M1570" s="52">
        <v>868695.7</v>
      </c>
      <c r="N1570" s="20">
        <f>+Movimientos_2026[[#This Row],[Ingresos]]-Movimientos_2026[[#This Row],[Egresos]]</f>
        <v>-868695.7</v>
      </c>
      <c r="O1570" s="20">
        <f>+O1569+Movimientos_2026[[#This Row],[Neto]]</f>
        <v>5507457150.6976767</v>
      </c>
    </row>
    <row r="1571" spans="1:15" x14ac:dyDescent="0.25">
      <c r="A1571" s="13">
        <v>46154</v>
      </c>
      <c r="B1571" s="12">
        <f>MONTH(Movimientos_2026[[#This Row],[Fecha]])</f>
        <v>5</v>
      </c>
      <c r="C1571" s="12" t="str">
        <f>VLOOKUP((WEEKDAY(Movimientos_2026[[#This Row],[Fecha]],2)),'5. Setup'!$D$6:$E$12,2,FALSE)</f>
        <v>Mar</v>
      </c>
      <c r="D1571">
        <v>2044126</v>
      </c>
      <c r="E1571" t="str">
        <f>IFERROR(+VLOOKUP(Movimientos_2026[[#This Row],[Codigo]],Plan_cuentas[],2,FALSE)," ")</f>
        <v>EGRESOS</v>
      </c>
      <c r="F1571" t="str">
        <f>IFERROR(+VLOOKUP(Movimientos_2026[[#This Row],[Codigo]],Plan_cuentas[],3,FALSE)," ")</f>
        <v>Transferencia</v>
      </c>
      <c r="G1571" t="str">
        <f>IFERROR(+VLOOKUP(Movimientos_2026[[#This Row],[Codigo]],Plan_cuentas[],4,FALSE)," ")</f>
        <v>Rentas</v>
      </c>
      <c r="H1571" t="str">
        <f>IFERROR(+VLOOKUP(Movimientos_2026[[#This Row],[Codigo]],Plan_cuentas[],5,FALSE)," ")</f>
        <v>BAPRO</v>
      </c>
      <c r="I1571" s="43">
        <v>46113</v>
      </c>
      <c r="J1571" t="s">
        <v>670</v>
      </c>
      <c r="K1571" t="str">
        <f>IFERROR(+VLOOKUP(Movimientos_2026[[#This Row],[Codigo]],Plan_cuentas[],6,FALSE)," ")</f>
        <v>6 - FCAtr - Fiat Transf.</v>
      </c>
      <c r="L1571" s="50"/>
      <c r="M1571" s="52">
        <v>796944.5</v>
      </c>
      <c r="N1571" s="20">
        <f>+Movimientos_2026[[#This Row],[Ingresos]]-Movimientos_2026[[#This Row],[Egresos]]</f>
        <v>-796944.5</v>
      </c>
      <c r="O1571" s="20">
        <f>+O1570+Movimientos_2026[[#This Row],[Neto]]</f>
        <v>5506660206.1976767</v>
      </c>
    </row>
    <row r="1572" spans="1:15" x14ac:dyDescent="0.25">
      <c r="A1572" s="13">
        <v>46154</v>
      </c>
      <c r="B1572" s="12">
        <f>MONTH(Movimientos_2026[[#This Row],[Fecha]])</f>
        <v>5</v>
      </c>
      <c r="C1572" s="12" t="str">
        <f>VLOOKUP((WEEKDAY(Movimientos_2026[[#This Row],[Fecha]],2)),'5. Setup'!$D$6:$E$12,2,FALSE)</f>
        <v>Mar</v>
      </c>
      <c r="D1572">
        <v>2044126</v>
      </c>
      <c r="E1572" t="str">
        <f>IFERROR(+VLOOKUP(Movimientos_2026[[#This Row],[Codigo]],Plan_cuentas[],2,FALSE)," ")</f>
        <v>EGRESOS</v>
      </c>
      <c r="F1572" t="str">
        <f>IFERROR(+VLOOKUP(Movimientos_2026[[#This Row],[Codigo]],Plan_cuentas[],3,FALSE)," ")</f>
        <v>Transferencia</v>
      </c>
      <c r="G1572" t="str">
        <f>IFERROR(+VLOOKUP(Movimientos_2026[[#This Row],[Codigo]],Plan_cuentas[],4,FALSE)," ")</f>
        <v>Rentas</v>
      </c>
      <c r="H1572" t="str">
        <f>IFERROR(+VLOOKUP(Movimientos_2026[[#This Row],[Codigo]],Plan_cuentas[],5,FALSE)," ")</f>
        <v>BAPRO</v>
      </c>
      <c r="I1572" s="43">
        <v>46113</v>
      </c>
      <c r="J1572" t="s">
        <v>671</v>
      </c>
      <c r="K1572" t="str">
        <f>IFERROR(+VLOOKUP(Movimientos_2026[[#This Row],[Codigo]],Plan_cuentas[],6,FALSE)," ")</f>
        <v>6 - FCAtr - Fiat Transf.</v>
      </c>
      <c r="L1572" s="50"/>
      <c r="M1572" s="52">
        <v>728985.4</v>
      </c>
      <c r="N1572" s="20">
        <f>+Movimientos_2026[[#This Row],[Ingresos]]-Movimientos_2026[[#This Row],[Egresos]]</f>
        <v>-728985.4</v>
      </c>
      <c r="O1572" s="20">
        <f>+O1571+Movimientos_2026[[#This Row],[Neto]]</f>
        <v>5505931220.797677</v>
      </c>
    </row>
    <row r="1573" spans="1:15" x14ac:dyDescent="0.25">
      <c r="A1573" s="13">
        <v>46154</v>
      </c>
      <c r="B1573" s="12">
        <f>MONTH(Movimientos_2026[[#This Row],[Fecha]])</f>
        <v>5</v>
      </c>
      <c r="C1573" s="12" t="str">
        <f>VLOOKUP((WEEKDAY(Movimientos_2026[[#This Row],[Fecha]],2)),'5. Setup'!$D$6:$E$12,2,FALSE)</f>
        <v>Mar</v>
      </c>
      <c r="D1573">
        <v>2014364</v>
      </c>
      <c r="E1573" t="str">
        <f>IFERROR(+VLOOKUP(Movimientos_2026[[#This Row],[Codigo]],Plan_cuentas[],2,FALSE)," ")</f>
        <v>EGRESOS</v>
      </c>
      <c r="F1573" t="str">
        <f>IFERROR(+VLOOKUP(Movimientos_2026[[#This Row],[Codigo]],Plan_cuentas[],3,FALSE)," ")</f>
        <v>BtoB</v>
      </c>
      <c r="G1573" t="str">
        <f>IFERROR(+VLOOKUP(Movimientos_2026[[#This Row],[Codigo]],Plan_cuentas[],4,FALSE)," ")</f>
        <v>Rentas</v>
      </c>
      <c r="H1573" t="str">
        <f>IFERROR(+VLOOKUP(Movimientos_2026[[#This Row],[Codigo]],Plan_cuentas[],5,FALSE)," ")</f>
        <v>SAN LUIS</v>
      </c>
      <c r="I1573" s="43">
        <v>46113</v>
      </c>
      <c r="J1573" t="s">
        <v>672</v>
      </c>
      <c r="K1573" t="str">
        <f>IFERROR(+VLOOKUP(Movimientos_2026[[#This Row],[Codigo]],Plan_cuentas[],6,FALSE)," ")</f>
        <v>4 - FCA - Fiat</v>
      </c>
      <c r="L1573" s="50"/>
      <c r="M1573" s="50">
        <v>35282711.090000004</v>
      </c>
      <c r="N1573" s="20">
        <f>+Movimientos_2026[[#This Row],[Ingresos]]-Movimientos_2026[[#This Row],[Egresos]]</f>
        <v>-35282711.090000004</v>
      </c>
      <c r="O1573" s="20">
        <f>+O1572+Movimientos_2026[[#This Row],[Neto]]</f>
        <v>5470648509.7076769</v>
      </c>
    </row>
    <row r="1574" spans="1:15" x14ac:dyDescent="0.25">
      <c r="A1574" s="13">
        <v>46154</v>
      </c>
      <c r="B1574" s="12">
        <f>MONTH(Movimientos_2026[[#This Row],[Fecha]])</f>
        <v>5</v>
      </c>
      <c r="C1574" s="12" t="str">
        <f>VLOOKUP((WEEKDAY(Movimientos_2026[[#This Row],[Fecha]],2)),'5. Setup'!$D$6:$E$12,2,FALSE)</f>
        <v>Mar</v>
      </c>
      <c r="D1574">
        <v>2054281</v>
      </c>
      <c r="E1574" t="str">
        <f>IFERROR(+VLOOKUP(Movimientos_2026[[#This Row],[Codigo]],Plan_cuentas[],2,FALSE)," ")</f>
        <v>EGRESOS</v>
      </c>
      <c r="F1574" t="str">
        <f>IFERROR(+VLOOKUP(Movimientos_2026[[#This Row],[Codigo]],Plan_cuentas[],3,FALSE)," ")</f>
        <v>VEP</v>
      </c>
      <c r="G1574" t="str">
        <f>IFERROR(+VLOOKUP(Movimientos_2026[[#This Row],[Codigo]],Plan_cuentas[],4,FALSE)," ")</f>
        <v>Rentas</v>
      </c>
      <c r="H1574" t="str">
        <f>IFERROR(+VLOOKUP(Movimientos_2026[[#This Row],[Codigo]],Plan_cuentas[],5,FALSE)," ")</f>
        <v>MENDOZA</v>
      </c>
      <c r="I1574" s="43">
        <v>46113</v>
      </c>
      <c r="J1574" t="s">
        <v>673</v>
      </c>
      <c r="K1574" t="str">
        <f>IFERROR(+VLOOKUP(Movimientos_2026[[#This Row],[Codigo]],Plan_cuentas[],6,FALSE)," ")</f>
        <v>1 - VW - Volkswagen</v>
      </c>
      <c r="L1574" s="50"/>
      <c r="M1574" s="50">
        <v>12303973.5</v>
      </c>
      <c r="N1574" s="20">
        <f>+Movimientos_2026[[#This Row],[Ingresos]]-Movimientos_2026[[#This Row],[Egresos]]</f>
        <v>-12303973.5</v>
      </c>
      <c r="O1574" s="20">
        <f>+O1573+Movimientos_2026[[#This Row],[Neto]]</f>
        <v>5458344536.2076769</v>
      </c>
    </row>
    <row r="1575" spans="1:15" x14ac:dyDescent="0.25">
      <c r="A1575" s="13">
        <v>46154</v>
      </c>
      <c r="B1575" s="12">
        <f>MONTH(Movimientos_2026[[#This Row],[Fecha]])</f>
        <v>5</v>
      </c>
      <c r="C1575" s="12" t="str">
        <f>VLOOKUP((WEEKDAY(Movimientos_2026[[#This Row],[Fecha]],2)),'5. Setup'!$D$6:$E$12,2,FALSE)</f>
        <v>Mar</v>
      </c>
      <c r="D1575">
        <v>2044342</v>
      </c>
      <c r="E1575" t="str">
        <f>IFERROR(+VLOOKUP(Movimientos_2026[[#This Row],[Codigo]],Plan_cuentas[],2,FALSE)," ")</f>
        <v>EGRESOS</v>
      </c>
      <c r="F1575" t="str">
        <f>IFERROR(+VLOOKUP(Movimientos_2026[[#This Row],[Codigo]],Plan_cuentas[],3,FALSE)," ")</f>
        <v>Transferencia</v>
      </c>
      <c r="G1575" t="str">
        <f>IFERROR(+VLOOKUP(Movimientos_2026[[#This Row],[Codigo]],Plan_cuentas[],4,FALSE)," ")</f>
        <v>Rentas</v>
      </c>
      <c r="H1575" t="str">
        <f>IFERROR(+VLOOKUP(Movimientos_2026[[#This Row],[Codigo]],Plan_cuentas[],5,FALSE)," ")</f>
        <v>RIO NEGRO</v>
      </c>
      <c r="I1575" s="43">
        <v>46113</v>
      </c>
      <c r="J1575" t="s">
        <v>674</v>
      </c>
      <c r="K1575" t="str">
        <f>IFERROR(+VLOOKUP(Movimientos_2026[[#This Row],[Codigo]],Plan_cuentas[],6,FALSE)," ")</f>
        <v>2 - PR - Plan Rombo</v>
      </c>
      <c r="L1575" s="50"/>
      <c r="M1575" s="50">
        <v>12824556.4</v>
      </c>
      <c r="N1575" s="20">
        <f>+Movimientos_2026[[#This Row],[Ingresos]]-Movimientos_2026[[#This Row],[Egresos]]</f>
        <v>-12824556.4</v>
      </c>
      <c r="O1575" s="20">
        <f>+O1574+Movimientos_2026[[#This Row],[Neto]]</f>
        <v>5445519979.8076773</v>
      </c>
    </row>
    <row r="1576" spans="1:15" x14ac:dyDescent="0.25">
      <c r="A1576" s="13">
        <v>46154</v>
      </c>
      <c r="B1576" s="12">
        <f>MONTH(Movimientos_2026[[#This Row],[Fecha]])</f>
        <v>5</v>
      </c>
      <c r="C1576" s="12" t="str">
        <f>VLOOKUP((WEEKDAY(Movimientos_2026[[#This Row],[Fecha]],2)),'5. Setup'!$D$6:$E$12,2,FALSE)</f>
        <v>Mar</v>
      </c>
      <c r="D1576">
        <v>2044344</v>
      </c>
      <c r="E1576" t="str">
        <f>IFERROR(+VLOOKUP(Movimientos_2026[[#This Row],[Codigo]],Plan_cuentas[],2,FALSE)," ")</f>
        <v>EGRESOS</v>
      </c>
      <c r="F1576" t="str">
        <f>IFERROR(+VLOOKUP(Movimientos_2026[[#This Row],[Codigo]],Plan_cuentas[],3,FALSE)," ")</f>
        <v>Transferencia</v>
      </c>
      <c r="G1576" t="str">
        <f>IFERROR(+VLOOKUP(Movimientos_2026[[#This Row],[Codigo]],Plan_cuentas[],4,FALSE)," ")</f>
        <v>Rentas</v>
      </c>
      <c r="H1576" t="str">
        <f>IFERROR(+VLOOKUP(Movimientos_2026[[#This Row],[Codigo]],Plan_cuentas[],5,FALSE)," ")</f>
        <v>RIO NEGRO</v>
      </c>
      <c r="I1576" s="43">
        <v>46113</v>
      </c>
      <c r="J1576" t="s">
        <v>675</v>
      </c>
      <c r="K1576" t="str">
        <f>IFERROR(+VLOOKUP(Movimientos_2026[[#This Row],[Codigo]],Plan_cuentas[],6,FALSE)," ")</f>
        <v>4 - FCA - Fiat</v>
      </c>
      <c r="L1576" s="50"/>
      <c r="M1576" s="50">
        <v>299300</v>
      </c>
      <c r="N1576" s="20">
        <f>+Movimientos_2026[[#This Row],[Ingresos]]-Movimientos_2026[[#This Row],[Egresos]]</f>
        <v>-299300</v>
      </c>
      <c r="O1576" s="20">
        <f>+O1575+Movimientos_2026[[#This Row],[Neto]]</f>
        <v>5445220679.8076773</v>
      </c>
    </row>
    <row r="1577" spans="1:15" x14ac:dyDescent="0.25">
      <c r="A1577" s="13">
        <v>46154</v>
      </c>
      <c r="B1577" s="12">
        <f>MONTH(Movimientos_2026[[#This Row],[Fecha]])</f>
        <v>5</v>
      </c>
      <c r="C1577" s="12" t="str">
        <f>VLOOKUP((WEEKDAY(Movimientos_2026[[#This Row],[Fecha]],2)),'5. Setup'!$D$6:$E$12,2,FALSE)</f>
        <v>Mar</v>
      </c>
      <c r="D1577">
        <v>2014174</v>
      </c>
      <c r="E1577" t="str">
        <f>IFERROR(+VLOOKUP(Movimientos_2026[[#This Row],[Codigo]],Plan_cuentas[],2,FALSE)," ")</f>
        <v>EGRESOS</v>
      </c>
      <c r="F1577" t="str">
        <f>IFERROR(+VLOOKUP(Movimientos_2026[[#This Row],[Codigo]],Plan_cuentas[],3,FALSE)," ")</f>
        <v>BtoB</v>
      </c>
      <c r="G1577" t="str">
        <f>IFERROR(+VLOOKUP(Movimientos_2026[[#This Row],[Codigo]],Plan_cuentas[],4,FALSE)," ")</f>
        <v>Rentas</v>
      </c>
      <c r="H1577" t="str">
        <f>IFERROR(+VLOOKUP(Movimientos_2026[[#This Row],[Codigo]],Plan_cuentas[],5,FALSE)," ")</f>
        <v>CHUBUT</v>
      </c>
      <c r="I1577" s="43">
        <v>46113</v>
      </c>
      <c r="J1577" t="s">
        <v>676</v>
      </c>
      <c r="K1577" t="str">
        <f>IFERROR(+VLOOKUP(Movimientos_2026[[#This Row],[Codigo]],Plan_cuentas[],6,FALSE)," ")</f>
        <v>4 - FCA - Fiat</v>
      </c>
      <c r="L1577" s="50"/>
      <c r="M1577" s="50">
        <v>25850100</v>
      </c>
      <c r="N1577" s="20">
        <f>+Movimientos_2026[[#This Row],[Ingresos]]-Movimientos_2026[[#This Row],[Egresos]]</f>
        <v>-25850100</v>
      </c>
      <c r="O1577" s="20">
        <f>+O1576+Movimientos_2026[[#This Row],[Neto]]</f>
        <v>5419370579.8076773</v>
      </c>
    </row>
    <row r="1578" spans="1:15" x14ac:dyDescent="0.25">
      <c r="A1578" s="13">
        <v>46154</v>
      </c>
      <c r="B1578" s="12">
        <f>MONTH(Movimientos_2026[[#This Row],[Fecha]])</f>
        <v>5</v>
      </c>
      <c r="C1578" s="12" t="str">
        <f>VLOOKUP((WEEKDAY(Movimientos_2026[[#This Row],[Fecha]],2)),'5. Setup'!$D$6:$E$12,2,FALSE)</f>
        <v>Mar</v>
      </c>
      <c r="D1578">
        <v>2014162</v>
      </c>
      <c r="E1578" t="str">
        <f>IFERROR(+VLOOKUP(Movimientos_2026[[#This Row],[Codigo]],Plan_cuentas[],2,FALSE)," ")</f>
        <v>EGRESOS</v>
      </c>
      <c r="F1578" t="str">
        <f>IFERROR(+VLOOKUP(Movimientos_2026[[#This Row],[Codigo]],Plan_cuentas[],3,FALSE)," ")</f>
        <v>BtoB</v>
      </c>
      <c r="G1578" t="str">
        <f>IFERROR(+VLOOKUP(Movimientos_2026[[#This Row],[Codigo]],Plan_cuentas[],4,FALSE)," ")</f>
        <v>Rentas</v>
      </c>
      <c r="H1578" t="str">
        <f>IFERROR(+VLOOKUP(Movimientos_2026[[#This Row],[Codigo]],Plan_cuentas[],5,FALSE)," ")</f>
        <v>CHACO</v>
      </c>
      <c r="I1578" s="43">
        <v>46113</v>
      </c>
      <c r="J1578" t="s">
        <v>677</v>
      </c>
      <c r="K1578" t="str">
        <f>IFERROR(+VLOOKUP(Movimientos_2026[[#This Row],[Codigo]],Plan_cuentas[],6,FALSE)," ")</f>
        <v>2 - PR - Plan Rombo</v>
      </c>
      <c r="L1578" s="50"/>
      <c r="M1578" s="50">
        <v>2454901.84</v>
      </c>
      <c r="N1578" s="20">
        <f>+Movimientos_2026[[#This Row],[Ingresos]]-Movimientos_2026[[#This Row],[Egresos]]</f>
        <v>-2454901.84</v>
      </c>
      <c r="O1578" s="20">
        <f>+O1577+Movimientos_2026[[#This Row],[Neto]]</f>
        <v>5416915677.9676771</v>
      </c>
    </row>
    <row r="1579" spans="1:15" x14ac:dyDescent="0.25">
      <c r="A1579" s="13">
        <v>46154</v>
      </c>
      <c r="B1579" s="12">
        <f>MONTH(Movimientos_2026[[#This Row],[Fecha]])</f>
        <v>5</v>
      </c>
      <c r="C1579" s="12" t="str">
        <f>VLOOKUP((WEEKDAY(Movimientos_2026[[#This Row],[Fecha]],2)),'5. Setup'!$D$6:$E$12,2,FALSE)</f>
        <v>Mar</v>
      </c>
      <c r="D1579">
        <v>2014167</v>
      </c>
      <c r="E1579" t="str">
        <f>IFERROR(+VLOOKUP(Movimientos_2026[[#This Row],[Codigo]],Plan_cuentas[],2,FALSE)," ")</f>
        <v>EGRESOS</v>
      </c>
      <c r="F1579" t="str">
        <f>IFERROR(+VLOOKUP(Movimientos_2026[[#This Row],[Codigo]],Plan_cuentas[],3,FALSE)," ")</f>
        <v>BtoB</v>
      </c>
      <c r="G1579" t="str">
        <f>IFERROR(+VLOOKUP(Movimientos_2026[[#This Row],[Codigo]],Plan_cuentas[],4,FALSE)," ")</f>
        <v>Rentas</v>
      </c>
      <c r="H1579" t="str">
        <f>IFERROR(+VLOOKUP(Movimientos_2026[[#This Row],[Codigo]],Plan_cuentas[],5,FALSE)," ")</f>
        <v>CHACO</v>
      </c>
      <c r="I1579" s="43">
        <v>46113</v>
      </c>
      <c r="J1579" t="s">
        <v>677</v>
      </c>
      <c r="K1579" t="str">
        <f>IFERROR(+VLOOKUP(Movimientos_2026[[#This Row],[Codigo]],Plan_cuentas[],6,FALSE)," ")</f>
        <v>7 - PRtr - Plan Rombo Transf.</v>
      </c>
      <c r="L1579" s="50"/>
      <c r="M1579" s="50">
        <v>1219659.22</v>
      </c>
      <c r="N1579" s="20">
        <f>+Movimientos_2026[[#This Row],[Ingresos]]-Movimientos_2026[[#This Row],[Egresos]]</f>
        <v>-1219659.22</v>
      </c>
      <c r="O1579" s="20">
        <f>+O1578+Movimientos_2026[[#This Row],[Neto]]</f>
        <v>5415696018.7476768</v>
      </c>
    </row>
    <row r="1580" spans="1:15" x14ac:dyDescent="0.25">
      <c r="A1580" s="13">
        <v>46154</v>
      </c>
      <c r="B1580" s="12">
        <f>MONTH(Movimientos_2026[[#This Row],[Fecha]])</f>
        <v>5</v>
      </c>
      <c r="C1580" s="12" t="str">
        <f>VLOOKUP((WEEKDAY(Movimientos_2026[[#This Row],[Fecha]],2)),'5. Setup'!$D$6:$E$12,2,FALSE)</f>
        <v>Mar</v>
      </c>
      <c r="D1580">
        <v>2014165</v>
      </c>
      <c r="E1580" t="str">
        <f>IFERROR(+VLOOKUP(Movimientos_2026[[#This Row],[Codigo]],Plan_cuentas[],2,FALSE)," ")</f>
        <v>EGRESOS</v>
      </c>
      <c r="F1580" t="str">
        <f>IFERROR(+VLOOKUP(Movimientos_2026[[#This Row],[Codigo]],Plan_cuentas[],3,FALSE)," ")</f>
        <v>BtoB</v>
      </c>
      <c r="G1580" t="str">
        <f>IFERROR(+VLOOKUP(Movimientos_2026[[#This Row],[Codigo]],Plan_cuentas[],4,FALSE)," ")</f>
        <v>Rentas</v>
      </c>
      <c r="H1580" t="str">
        <f>IFERROR(+VLOOKUP(Movimientos_2026[[#This Row],[Codigo]],Plan_cuentas[],5,FALSE)," ")</f>
        <v>CHACO</v>
      </c>
      <c r="I1580" s="43">
        <v>46113</v>
      </c>
      <c r="J1580" t="s">
        <v>678</v>
      </c>
      <c r="K1580" t="str">
        <f>IFERROR(+VLOOKUP(Movimientos_2026[[#This Row],[Codigo]],Plan_cuentas[],6,FALSE)," ")</f>
        <v>5 - YAM - Yamaha</v>
      </c>
      <c r="L1580" s="50"/>
      <c r="M1580" s="50">
        <v>736030.3</v>
      </c>
      <c r="N1580" s="20">
        <f>+Movimientos_2026[[#This Row],[Ingresos]]-Movimientos_2026[[#This Row],[Egresos]]</f>
        <v>-736030.3</v>
      </c>
      <c r="O1580" s="20">
        <f>+O1579+Movimientos_2026[[#This Row],[Neto]]</f>
        <v>5414959988.4476767</v>
      </c>
    </row>
    <row r="1581" spans="1:15" x14ac:dyDescent="0.25">
      <c r="A1581" s="13">
        <v>46154</v>
      </c>
      <c r="B1581" s="12">
        <f>MONTH(Movimientos_2026[[#This Row],[Fecha]])</f>
        <v>5</v>
      </c>
      <c r="C1581" s="12" t="str">
        <f>VLOOKUP((WEEKDAY(Movimientos_2026[[#This Row],[Fecha]],2)),'5. Setup'!$D$6:$E$12,2,FALSE)</f>
        <v>Mar</v>
      </c>
      <c r="D1581">
        <v>2044402</v>
      </c>
      <c r="E1581" t="str">
        <f>IFERROR(+VLOOKUP(Movimientos_2026[[#This Row],[Codigo]],Plan_cuentas[],2,FALSE)," ")</f>
        <v>EGRESOS</v>
      </c>
      <c r="F1581" t="str">
        <f>IFERROR(+VLOOKUP(Movimientos_2026[[#This Row],[Codigo]],Plan_cuentas[],3,FALSE)," ")</f>
        <v>Transferencia</v>
      </c>
      <c r="G1581" t="str">
        <f>IFERROR(+VLOOKUP(Movimientos_2026[[#This Row],[Codigo]],Plan_cuentas[],4,FALSE)," ")</f>
        <v>Rentas</v>
      </c>
      <c r="H1581" t="str">
        <f>IFERROR(+VLOOKUP(Movimientos_2026[[#This Row],[Codigo]],Plan_cuentas[],5,FALSE)," ")</f>
        <v>SANTIAGO DEL ESTERO</v>
      </c>
      <c r="I1581" s="43">
        <v>46113</v>
      </c>
      <c r="J1581" t="s">
        <v>679</v>
      </c>
      <c r="K1581" t="str">
        <f>IFERROR(+VLOOKUP(Movimientos_2026[[#This Row],[Codigo]],Plan_cuentas[],6,FALSE)," ")</f>
        <v>2 - PR - Plan Rombo</v>
      </c>
      <c r="L1581" s="50"/>
      <c r="M1581" s="50">
        <v>20705937.760000002</v>
      </c>
      <c r="N1581" s="20">
        <f>+Movimientos_2026[[#This Row],[Ingresos]]-Movimientos_2026[[#This Row],[Egresos]]</f>
        <v>-20705937.760000002</v>
      </c>
      <c r="O1581" s="20">
        <f>+O1580+Movimientos_2026[[#This Row],[Neto]]</f>
        <v>5394254050.6876764</v>
      </c>
    </row>
    <row r="1582" spans="1:15" x14ac:dyDescent="0.25">
      <c r="A1582" s="13">
        <v>46154</v>
      </c>
      <c r="B1582" s="12">
        <f>MONTH(Movimientos_2026[[#This Row],[Fecha]])</f>
        <v>5</v>
      </c>
      <c r="C1582" s="12" t="str">
        <f>VLOOKUP((WEEKDAY(Movimientos_2026[[#This Row],[Fecha]],2)),'5. Setup'!$D$6:$E$12,2,FALSE)</f>
        <v>Mar</v>
      </c>
      <c r="D1582">
        <v>2044405</v>
      </c>
      <c r="E1582" t="str">
        <f>IFERROR(+VLOOKUP(Movimientos_2026[[#This Row],[Codigo]],Plan_cuentas[],2,FALSE)," ")</f>
        <v>EGRESOS</v>
      </c>
      <c r="F1582" t="str">
        <f>IFERROR(+VLOOKUP(Movimientos_2026[[#This Row],[Codigo]],Plan_cuentas[],3,FALSE)," ")</f>
        <v>Transferencia</v>
      </c>
      <c r="G1582" t="str">
        <f>IFERROR(+VLOOKUP(Movimientos_2026[[#This Row],[Codigo]],Plan_cuentas[],4,FALSE)," ")</f>
        <v>Rentas</v>
      </c>
      <c r="H1582" t="str">
        <f>IFERROR(+VLOOKUP(Movimientos_2026[[#This Row],[Codigo]],Plan_cuentas[],5,FALSE)," ")</f>
        <v>SANTIAGO DEL ESTERO</v>
      </c>
      <c r="I1582" s="43">
        <v>46113</v>
      </c>
      <c r="J1582" t="s">
        <v>680</v>
      </c>
      <c r="K1582" t="str">
        <f>IFERROR(+VLOOKUP(Movimientos_2026[[#This Row],[Codigo]],Plan_cuentas[],6,FALSE)," ")</f>
        <v>5 - YAM - Yamaha</v>
      </c>
      <c r="L1582" s="50"/>
      <c r="M1582" s="50">
        <v>448490.44</v>
      </c>
      <c r="N1582" s="20">
        <f>+Movimientos_2026[[#This Row],[Ingresos]]-Movimientos_2026[[#This Row],[Egresos]]</f>
        <v>-448490.44</v>
      </c>
      <c r="O1582" s="20">
        <f>+O1581+Movimientos_2026[[#This Row],[Neto]]</f>
        <v>5393805560.2476768</v>
      </c>
    </row>
    <row r="1583" spans="1:15" x14ac:dyDescent="0.25">
      <c r="A1583" s="13">
        <v>46154</v>
      </c>
      <c r="B1583" s="12">
        <f>MONTH(Movimientos_2026[[#This Row],[Fecha]])</f>
        <v>5</v>
      </c>
      <c r="C1583" s="12" t="str">
        <f>VLOOKUP((WEEKDAY(Movimientos_2026[[#This Row],[Fecha]],2)),'5. Setup'!$D$6:$E$12,2,FALSE)</f>
        <v>Mar</v>
      </c>
      <c r="D1583">
        <v>2023172</v>
      </c>
      <c r="E1583" t="str">
        <f>IFERROR(+VLOOKUP(Movimientos_2026[[#This Row],[Codigo]],Plan_cuentas[],2,FALSE)," ")</f>
        <v>EGRESOS</v>
      </c>
      <c r="F1583" t="str">
        <f>IFERROR(+VLOOKUP(Movimientos_2026[[#This Row],[Codigo]],Plan_cuentas[],3,FALSE)," ")</f>
        <v>DDJJ</v>
      </c>
      <c r="G1583" t="str">
        <f>IFERROR(+VLOOKUP(Movimientos_2026[[#This Row],[Codigo]],Plan_cuentas[],4,FALSE)," ")</f>
        <v>Registración</v>
      </c>
      <c r="H1583" t="str">
        <f>IFERROR(+VLOOKUP(Movimientos_2026[[#This Row],[Codigo]],Plan_cuentas[],5,FALSE)," ")</f>
        <v>CHUBUT</v>
      </c>
      <c r="I1583" s="43">
        <v>46113</v>
      </c>
      <c r="J1583" t="s">
        <v>681</v>
      </c>
      <c r="K1583" t="str">
        <f>IFERROR(+VLOOKUP(Movimientos_2026[[#This Row],[Codigo]],Plan_cuentas[],6,FALSE)," ")</f>
        <v>2 - PR - Plan Rombo</v>
      </c>
      <c r="L1583" s="50"/>
      <c r="M1583" s="52">
        <v>36039875.009999998</v>
      </c>
      <c r="N1583" s="20">
        <f>+Movimientos_2026[[#This Row],[Ingresos]]-Movimientos_2026[[#This Row],[Egresos]]</f>
        <v>-36039875.009999998</v>
      </c>
      <c r="O1583" s="20">
        <f>+O1582+Movimientos_2026[[#This Row],[Neto]]</f>
        <v>5357765685.2376766</v>
      </c>
    </row>
    <row r="1584" spans="1:15" x14ac:dyDescent="0.25">
      <c r="A1584" s="13">
        <v>46154</v>
      </c>
      <c r="B1584" s="12">
        <f>MONTH(Movimientos_2026[[#This Row],[Fecha]])</f>
        <v>5</v>
      </c>
      <c r="C1584" s="12" t="str">
        <f>VLOOKUP((WEEKDAY(Movimientos_2026[[#This Row],[Fecha]],2)),'5. Setup'!$D$6:$E$12,2,FALSE)</f>
        <v>Mar</v>
      </c>
      <c r="D1584">
        <v>2023175</v>
      </c>
      <c r="E1584" t="str">
        <f>IFERROR(+VLOOKUP(Movimientos_2026[[#This Row],[Codigo]],Plan_cuentas[],2,FALSE)," ")</f>
        <v>EGRESOS</v>
      </c>
      <c r="F1584" t="str">
        <f>IFERROR(+VLOOKUP(Movimientos_2026[[#This Row],[Codigo]],Plan_cuentas[],3,FALSE)," ")</f>
        <v>DDJJ</v>
      </c>
      <c r="G1584" t="str">
        <f>IFERROR(+VLOOKUP(Movimientos_2026[[#This Row],[Codigo]],Plan_cuentas[],4,FALSE)," ")</f>
        <v>Registración</v>
      </c>
      <c r="H1584" t="str">
        <f>IFERROR(+VLOOKUP(Movimientos_2026[[#This Row],[Codigo]],Plan_cuentas[],5,FALSE)," ")</f>
        <v>CHUBUT</v>
      </c>
      <c r="I1584" s="43">
        <v>46113</v>
      </c>
      <c r="J1584" t="s">
        <v>681</v>
      </c>
      <c r="K1584" t="str">
        <f>IFERROR(+VLOOKUP(Movimientos_2026[[#This Row],[Codigo]],Plan_cuentas[],6,FALSE)," ")</f>
        <v>5 - YAM - Yamaha</v>
      </c>
      <c r="L1584" s="50"/>
      <c r="M1584" s="52">
        <v>92863.53</v>
      </c>
      <c r="N1584" s="20">
        <f>+Movimientos_2026[[#This Row],[Ingresos]]-Movimientos_2026[[#This Row],[Egresos]]</f>
        <v>-92863.53</v>
      </c>
      <c r="O1584" s="20">
        <f>+O1583+Movimientos_2026[[#This Row],[Neto]]</f>
        <v>5357672821.7076769</v>
      </c>
    </row>
    <row r="1585" spans="1:15" x14ac:dyDescent="0.25">
      <c r="A1585" s="13">
        <v>46154</v>
      </c>
      <c r="B1585" s="12">
        <f>MONTH(Movimientos_2026[[#This Row],[Fecha]])</f>
        <v>5</v>
      </c>
      <c r="C1585" s="12" t="str">
        <f>VLOOKUP((WEEKDAY(Movimientos_2026[[#This Row],[Fecha]],2)),'5. Setup'!$D$6:$E$12,2,FALSE)</f>
        <v>Mar</v>
      </c>
      <c r="D1585">
        <v>2023176</v>
      </c>
      <c r="E1585" t="str">
        <f>IFERROR(+VLOOKUP(Movimientos_2026[[#This Row],[Codigo]],Plan_cuentas[],2,FALSE)," ")</f>
        <v>EGRESOS</v>
      </c>
      <c r="F1585" t="str">
        <f>IFERROR(+VLOOKUP(Movimientos_2026[[#This Row],[Codigo]],Plan_cuentas[],3,FALSE)," ")</f>
        <v>DDJJ</v>
      </c>
      <c r="G1585" t="str">
        <f>IFERROR(+VLOOKUP(Movimientos_2026[[#This Row],[Codigo]],Plan_cuentas[],4,FALSE)," ")</f>
        <v>Registración</v>
      </c>
      <c r="H1585" t="str">
        <f>IFERROR(+VLOOKUP(Movimientos_2026[[#This Row],[Codigo]],Plan_cuentas[],5,FALSE)," ")</f>
        <v>CHUBUT</v>
      </c>
      <c r="I1585" s="43">
        <v>46113</v>
      </c>
      <c r="J1585" t="s">
        <v>681</v>
      </c>
      <c r="K1585" t="str">
        <f>IFERROR(+VLOOKUP(Movimientos_2026[[#This Row],[Codigo]],Plan_cuentas[],6,FALSE)," ")</f>
        <v>6 - FCAtr - Fiat Transf.</v>
      </c>
      <c r="L1585" s="50"/>
      <c r="M1585" s="52">
        <v>565990.09</v>
      </c>
      <c r="N1585" s="20">
        <f>+Movimientos_2026[[#This Row],[Ingresos]]-Movimientos_2026[[#This Row],[Egresos]]</f>
        <v>-565990.09</v>
      </c>
      <c r="O1585" s="20">
        <f>+O1584+Movimientos_2026[[#This Row],[Neto]]</f>
        <v>5357106831.6176767</v>
      </c>
    </row>
    <row r="1586" spans="1:15" x14ac:dyDescent="0.25">
      <c r="A1586" s="13">
        <v>46154</v>
      </c>
      <c r="B1586" s="12">
        <f>MONTH(Movimientos_2026[[#This Row],[Fecha]])</f>
        <v>5</v>
      </c>
      <c r="C1586" s="12" t="str">
        <f>VLOOKUP((WEEKDAY(Movimientos_2026[[#This Row],[Fecha]],2)),'5. Setup'!$D$6:$E$12,2,FALSE)</f>
        <v>Mar</v>
      </c>
      <c r="D1586">
        <v>2023177</v>
      </c>
      <c r="E1586" t="str">
        <f>IFERROR(+VLOOKUP(Movimientos_2026[[#This Row],[Codigo]],Plan_cuentas[],2,FALSE)," ")</f>
        <v>EGRESOS</v>
      </c>
      <c r="F1586" t="str">
        <f>IFERROR(+VLOOKUP(Movimientos_2026[[#This Row],[Codigo]],Plan_cuentas[],3,FALSE)," ")</f>
        <v>DDJJ</v>
      </c>
      <c r="G1586" t="str">
        <f>IFERROR(+VLOOKUP(Movimientos_2026[[#This Row],[Codigo]],Plan_cuentas[],4,FALSE)," ")</f>
        <v>Registración</v>
      </c>
      <c r="H1586" t="str">
        <f>IFERROR(+VLOOKUP(Movimientos_2026[[#This Row],[Codigo]],Plan_cuentas[],5,FALSE)," ")</f>
        <v>CHUBUT</v>
      </c>
      <c r="I1586" s="43">
        <v>46113</v>
      </c>
      <c r="J1586" t="s">
        <v>681</v>
      </c>
      <c r="K1586" t="str">
        <f>IFERROR(+VLOOKUP(Movimientos_2026[[#This Row],[Codigo]],Plan_cuentas[],6,FALSE)," ")</f>
        <v>7 - PRtr - Plan Rombo Transf.</v>
      </c>
      <c r="L1586" s="50"/>
      <c r="M1586" s="52">
        <v>120000</v>
      </c>
      <c r="N1586" s="20">
        <f>+Movimientos_2026[[#This Row],[Ingresos]]-Movimientos_2026[[#This Row],[Egresos]]</f>
        <v>-120000</v>
      </c>
      <c r="O1586" s="20">
        <f>+O1585+Movimientos_2026[[#This Row],[Neto]]</f>
        <v>5356986831.6176767</v>
      </c>
    </row>
    <row r="1587" spans="1:15" x14ac:dyDescent="0.25">
      <c r="A1587" s="13">
        <v>46154</v>
      </c>
      <c r="B1587" s="12">
        <f>MONTH(Movimientos_2026[[#This Row],[Fecha]])</f>
        <v>5</v>
      </c>
      <c r="C1587" s="12" t="str">
        <f>VLOOKUP((WEEKDAY(Movimientos_2026[[#This Row],[Fecha]],2)),'5. Setup'!$D$6:$E$12,2,FALSE)</f>
        <v>Mar</v>
      </c>
      <c r="D1587">
        <v>2023341</v>
      </c>
      <c r="E1587" t="str">
        <f>IFERROR(+VLOOKUP(Movimientos_2026[[#This Row],[Codigo]],Plan_cuentas[],2,FALSE)," ")</f>
        <v>EGRESOS</v>
      </c>
      <c r="F1587" t="str">
        <f>IFERROR(+VLOOKUP(Movimientos_2026[[#This Row],[Codigo]],Plan_cuentas[],3,FALSE)," ")</f>
        <v>DDJJ</v>
      </c>
      <c r="G1587" t="str">
        <f>IFERROR(+VLOOKUP(Movimientos_2026[[#This Row],[Codigo]],Plan_cuentas[],4,FALSE)," ")</f>
        <v>Registración</v>
      </c>
      <c r="H1587" t="str">
        <f>IFERROR(+VLOOKUP(Movimientos_2026[[#This Row],[Codigo]],Plan_cuentas[],5,FALSE)," ")</f>
        <v>RIO NEGRO</v>
      </c>
      <c r="I1587" s="43">
        <v>46113</v>
      </c>
      <c r="J1587" t="s">
        <v>682</v>
      </c>
      <c r="K1587" t="str">
        <f>IFERROR(+VLOOKUP(Movimientos_2026[[#This Row],[Codigo]],Plan_cuentas[],6,FALSE)," ")</f>
        <v>1 - VW - Volkswagen</v>
      </c>
      <c r="L1587" s="50"/>
      <c r="M1587" s="52">
        <v>32962488.109999999</v>
      </c>
      <c r="N1587" s="20">
        <f>+Movimientos_2026[[#This Row],[Ingresos]]-Movimientos_2026[[#This Row],[Egresos]]</f>
        <v>-32962488.109999999</v>
      </c>
      <c r="O1587" s="20">
        <f>+O1586+Movimientos_2026[[#This Row],[Neto]]</f>
        <v>5324024343.5076771</v>
      </c>
    </row>
    <row r="1588" spans="1:15" x14ac:dyDescent="0.25">
      <c r="A1588" s="13">
        <v>46155</v>
      </c>
      <c r="B1588" s="12">
        <f>MONTH(Movimientos_2026[[#This Row],[Fecha]])</f>
        <v>5</v>
      </c>
      <c r="C1588" s="12" t="str">
        <f>VLOOKUP((WEEKDAY(Movimientos_2026[[#This Row],[Fecha]],2)),'5. Setup'!$D$6:$E$12,2,FALSE)</f>
        <v>Mie</v>
      </c>
      <c r="D1588">
        <v>2044366</v>
      </c>
      <c r="E1588" t="str">
        <f>IFERROR(+VLOOKUP(Movimientos_2026[[#This Row],[Codigo]],Plan_cuentas[],2,FALSE)," ")</f>
        <v>EGRESOS</v>
      </c>
      <c r="F1588" t="str">
        <f>IFERROR(+VLOOKUP(Movimientos_2026[[#This Row],[Codigo]],Plan_cuentas[],3,FALSE)," ")</f>
        <v>Transferencia</v>
      </c>
      <c r="G1588" t="str">
        <f>IFERROR(+VLOOKUP(Movimientos_2026[[#This Row],[Codigo]],Plan_cuentas[],4,FALSE)," ")</f>
        <v>Rentas</v>
      </c>
      <c r="H1588" t="str">
        <f>IFERROR(+VLOOKUP(Movimientos_2026[[#This Row],[Codigo]],Plan_cuentas[],5,FALSE)," ")</f>
        <v>SAN LUIS</v>
      </c>
      <c r="I1588" s="43">
        <v>46113</v>
      </c>
      <c r="J1588" t="s">
        <v>683</v>
      </c>
      <c r="K1588" t="str">
        <f>IFERROR(+VLOOKUP(Movimientos_2026[[#This Row],[Codigo]],Plan_cuentas[],6,FALSE)," ")</f>
        <v>6 - FCAtr - Fiat Transf.</v>
      </c>
      <c r="L1588" s="50"/>
      <c r="M1588" s="52">
        <v>193432.84</v>
      </c>
      <c r="N1588" s="20">
        <f>+Movimientos_2026[[#This Row],[Ingresos]]-Movimientos_2026[[#This Row],[Egresos]]</f>
        <v>-193432.84</v>
      </c>
      <c r="O1588" s="20">
        <f>+O1587+Movimientos_2026[[#This Row],[Neto]]</f>
        <v>5323830910.6676769</v>
      </c>
    </row>
    <row r="1589" spans="1:15" x14ac:dyDescent="0.25">
      <c r="A1589" s="13">
        <v>46155</v>
      </c>
      <c r="B1589" s="12">
        <f>MONTH(Movimientos_2026[[#This Row],[Fecha]])</f>
        <v>5</v>
      </c>
      <c r="C1589" s="12" t="str">
        <f>VLOOKUP((WEEKDAY(Movimientos_2026[[#This Row],[Fecha]],2)),'5. Setup'!$D$6:$E$12,2,FALSE)</f>
        <v>Mie</v>
      </c>
      <c r="D1589">
        <v>2044461</v>
      </c>
      <c r="E1589" t="str">
        <f>IFERROR(+VLOOKUP(Movimientos_2026[[#This Row],[Codigo]],Plan_cuentas[],2,FALSE)," ")</f>
        <v>EGRESOS</v>
      </c>
      <c r="F1589" t="str">
        <f>IFERROR(+VLOOKUP(Movimientos_2026[[#This Row],[Codigo]],Plan_cuentas[],3,FALSE)," ")</f>
        <v>Transferencia</v>
      </c>
      <c r="G1589" t="str">
        <f>IFERROR(+VLOOKUP(Movimientos_2026[[#This Row],[Codigo]],Plan_cuentas[],4,FALSE)," ")</f>
        <v>Rentas</v>
      </c>
      <c r="H1589" t="str">
        <f>IFERROR(+VLOOKUP(Movimientos_2026[[#This Row],[Codigo]],Plan_cuentas[],5,FALSE)," ")</f>
        <v>MISIONES</v>
      </c>
      <c r="I1589" s="43">
        <v>46082</v>
      </c>
      <c r="J1589" t="s">
        <v>684</v>
      </c>
      <c r="K1589" t="str">
        <f>IFERROR(+VLOOKUP(Movimientos_2026[[#This Row],[Codigo]],Plan_cuentas[],6,FALSE)," ")</f>
        <v>1 - VW - Volkswagen</v>
      </c>
      <c r="L1589" s="50"/>
      <c r="M1589" s="52">
        <v>2913529.83</v>
      </c>
      <c r="N1589" s="20">
        <f>+Movimientos_2026[[#This Row],[Ingresos]]-Movimientos_2026[[#This Row],[Egresos]]</f>
        <v>-2913529.83</v>
      </c>
      <c r="O1589" s="20">
        <f>+O1588+Movimientos_2026[[#This Row],[Neto]]</f>
        <v>5320917380.837677</v>
      </c>
    </row>
    <row r="1590" spans="1:15" x14ac:dyDescent="0.25">
      <c r="A1590" s="13">
        <v>46155</v>
      </c>
      <c r="B1590" s="12">
        <f>MONTH(Movimientos_2026[[#This Row],[Fecha]])</f>
        <v>5</v>
      </c>
      <c r="C1590" s="12" t="str">
        <f>VLOOKUP((WEEKDAY(Movimientos_2026[[#This Row],[Fecha]],2)),'5. Setup'!$D$6:$E$12,2,FALSE)</f>
        <v>Mie</v>
      </c>
      <c r="D1590">
        <v>2014363</v>
      </c>
      <c r="E1590" t="str">
        <f>IFERROR(+VLOOKUP(Movimientos_2026[[#This Row],[Codigo]],Plan_cuentas[],2,FALSE)," ")</f>
        <v>EGRESOS</v>
      </c>
      <c r="F1590" t="str">
        <f>IFERROR(+VLOOKUP(Movimientos_2026[[#This Row],[Codigo]],Plan_cuentas[],3,FALSE)," ")</f>
        <v>BtoB</v>
      </c>
      <c r="G1590" t="str">
        <f>IFERROR(+VLOOKUP(Movimientos_2026[[#This Row],[Codigo]],Plan_cuentas[],4,FALSE)," ")</f>
        <v>Rentas</v>
      </c>
      <c r="H1590" t="str">
        <f>IFERROR(+VLOOKUP(Movimientos_2026[[#This Row],[Codigo]],Plan_cuentas[],5,FALSE)," ")</f>
        <v>SAN LUIS</v>
      </c>
      <c r="I1590" s="43">
        <v>46113</v>
      </c>
      <c r="J1590" t="s">
        <v>685</v>
      </c>
      <c r="K1590" t="str">
        <f>IFERROR(+VLOOKUP(Movimientos_2026[[#This Row],[Codigo]],Plan_cuentas[],6,FALSE)," ")</f>
        <v>3 - GM - Chevrolet</v>
      </c>
      <c r="L1590" s="50"/>
      <c r="M1590" s="50">
        <v>14821133.119999999</v>
      </c>
      <c r="N1590" s="20">
        <f>+Movimientos_2026[[#This Row],[Ingresos]]-Movimientos_2026[[#This Row],[Egresos]]</f>
        <v>-14821133.119999999</v>
      </c>
      <c r="O1590" s="20">
        <f>+O1589+Movimientos_2026[[#This Row],[Neto]]</f>
        <v>5306096247.7176771</v>
      </c>
    </row>
    <row r="1591" spans="1:15" x14ac:dyDescent="0.25">
      <c r="A1591" s="13">
        <v>46155</v>
      </c>
      <c r="B1591" s="12">
        <f>MONTH(Movimientos_2026[[#This Row],[Fecha]])</f>
        <v>5</v>
      </c>
      <c r="C1591" s="12" t="str">
        <f>VLOOKUP((WEEKDAY(Movimientos_2026[[#This Row],[Fecha]],2)),'5. Setup'!$D$6:$E$12,2,FALSE)</f>
        <v>Mie</v>
      </c>
      <c r="D1591">
        <v>2014173</v>
      </c>
      <c r="E1591" t="str">
        <f>IFERROR(+VLOOKUP(Movimientos_2026[[#This Row],[Codigo]],Plan_cuentas[],2,FALSE)," ")</f>
        <v>EGRESOS</v>
      </c>
      <c r="F1591" t="str">
        <f>IFERROR(+VLOOKUP(Movimientos_2026[[#This Row],[Codigo]],Plan_cuentas[],3,FALSE)," ")</f>
        <v>BtoB</v>
      </c>
      <c r="G1591" t="str">
        <f>IFERROR(+VLOOKUP(Movimientos_2026[[#This Row],[Codigo]],Plan_cuentas[],4,FALSE)," ")</f>
        <v>Rentas</v>
      </c>
      <c r="H1591" t="str">
        <f>IFERROR(+VLOOKUP(Movimientos_2026[[#This Row],[Codigo]],Plan_cuentas[],5,FALSE)," ")</f>
        <v>CHUBUT</v>
      </c>
      <c r="I1591" s="43">
        <v>46113</v>
      </c>
      <c r="J1591" t="s">
        <v>686</v>
      </c>
      <c r="K1591" t="str">
        <f>IFERROR(+VLOOKUP(Movimientos_2026[[#This Row],[Codigo]],Plan_cuentas[],6,FALSE)," ")</f>
        <v>3 - GM - Chevrolet</v>
      </c>
      <c r="L1591" s="50"/>
      <c r="M1591" s="50">
        <v>9032633.4499999993</v>
      </c>
      <c r="N1591" s="20">
        <f>+Movimientos_2026[[#This Row],[Ingresos]]-Movimientos_2026[[#This Row],[Egresos]]</f>
        <v>-9032633.4499999993</v>
      </c>
      <c r="O1591" s="20">
        <f>+O1590+Movimientos_2026[[#This Row],[Neto]]</f>
        <v>5297063614.2676773</v>
      </c>
    </row>
    <row r="1592" spans="1:15" x14ac:dyDescent="0.25">
      <c r="A1592" s="13">
        <v>46155</v>
      </c>
      <c r="B1592" s="12">
        <f>MONTH(Movimientos_2026[[#This Row],[Fecha]])</f>
        <v>5</v>
      </c>
      <c r="C1592" s="12" t="str">
        <f>VLOOKUP((WEEKDAY(Movimientos_2026[[#This Row],[Fecha]],2)),'5. Setup'!$D$6:$E$12,2,FALSE)</f>
        <v>Mie</v>
      </c>
      <c r="D1592">
        <v>2014163</v>
      </c>
      <c r="E1592" t="str">
        <f>IFERROR(+VLOOKUP(Movimientos_2026[[#This Row],[Codigo]],Plan_cuentas[],2,FALSE)," ")</f>
        <v>EGRESOS</v>
      </c>
      <c r="F1592" t="str">
        <f>IFERROR(+VLOOKUP(Movimientos_2026[[#This Row],[Codigo]],Plan_cuentas[],3,FALSE)," ")</f>
        <v>BtoB</v>
      </c>
      <c r="G1592" t="str">
        <f>IFERROR(+VLOOKUP(Movimientos_2026[[#This Row],[Codigo]],Plan_cuentas[],4,FALSE)," ")</f>
        <v>Rentas</v>
      </c>
      <c r="H1592" t="str">
        <f>IFERROR(+VLOOKUP(Movimientos_2026[[#This Row],[Codigo]],Plan_cuentas[],5,FALSE)," ")</f>
        <v>CHACO</v>
      </c>
      <c r="I1592" s="43">
        <v>46113</v>
      </c>
      <c r="J1592" t="s">
        <v>687</v>
      </c>
      <c r="K1592" t="str">
        <f>IFERROR(+VLOOKUP(Movimientos_2026[[#This Row],[Codigo]],Plan_cuentas[],6,FALSE)," ")</f>
        <v>3 - GM - Chevrolet</v>
      </c>
      <c r="L1592" s="50"/>
      <c r="M1592" s="50">
        <v>43673144.119999997</v>
      </c>
      <c r="N1592" s="20">
        <f>+Movimientos_2026[[#This Row],[Ingresos]]-Movimientos_2026[[#This Row],[Egresos]]</f>
        <v>-43673144.119999997</v>
      </c>
      <c r="O1592" s="20">
        <f>+O1591+Movimientos_2026[[#This Row],[Neto]]</f>
        <v>5253390470.1476774</v>
      </c>
    </row>
    <row r="1593" spans="1:15" x14ac:dyDescent="0.25">
      <c r="A1593" s="13">
        <v>46155</v>
      </c>
      <c r="B1593" s="12">
        <f>MONTH(Movimientos_2026[[#This Row],[Fecha]])</f>
        <v>5</v>
      </c>
      <c r="C1593" s="12" t="str">
        <f>VLOOKUP((WEEKDAY(Movimientos_2026[[#This Row],[Fecha]],2)),'5. Setup'!$D$6:$E$12,2,FALSE)</f>
        <v>Mie</v>
      </c>
      <c r="D1593">
        <v>2044403</v>
      </c>
      <c r="E1593" t="str">
        <f>IFERROR(+VLOOKUP(Movimientos_2026[[#This Row],[Codigo]],Plan_cuentas[],2,FALSE)," ")</f>
        <v>EGRESOS</v>
      </c>
      <c r="F1593" t="str">
        <f>IFERROR(+VLOOKUP(Movimientos_2026[[#This Row],[Codigo]],Plan_cuentas[],3,FALSE)," ")</f>
        <v>Transferencia</v>
      </c>
      <c r="G1593" t="str">
        <f>IFERROR(+VLOOKUP(Movimientos_2026[[#This Row],[Codigo]],Plan_cuentas[],4,FALSE)," ")</f>
        <v>Rentas</v>
      </c>
      <c r="H1593" t="str">
        <f>IFERROR(+VLOOKUP(Movimientos_2026[[#This Row],[Codigo]],Plan_cuentas[],5,FALSE)," ")</f>
        <v>SANTIAGO DEL ESTERO</v>
      </c>
      <c r="I1593" s="43">
        <v>46113</v>
      </c>
      <c r="J1593" t="s">
        <v>688</v>
      </c>
      <c r="K1593" t="str">
        <f>IFERROR(+VLOOKUP(Movimientos_2026[[#This Row],[Codigo]],Plan_cuentas[],6,FALSE)," ")</f>
        <v>3 - GM - Chevrolet</v>
      </c>
      <c r="L1593" s="50"/>
      <c r="M1593" s="50">
        <v>17534459.399999999</v>
      </c>
      <c r="N1593" s="20">
        <f>+Movimientos_2026[[#This Row],[Ingresos]]-Movimientos_2026[[#This Row],[Egresos]]</f>
        <v>-17534459.399999999</v>
      </c>
      <c r="O1593" s="20">
        <f>+O1592+Movimientos_2026[[#This Row],[Neto]]</f>
        <v>5235856010.7476778</v>
      </c>
    </row>
    <row r="1594" spans="1:15" x14ac:dyDescent="0.25">
      <c r="A1594" s="13">
        <v>46155</v>
      </c>
      <c r="B1594" s="12">
        <f>MONTH(Movimientos_2026[[#This Row],[Fecha]])</f>
        <v>5</v>
      </c>
      <c r="C1594" s="12" t="str">
        <f>VLOOKUP((WEEKDAY(Movimientos_2026[[#This Row],[Fecha]],2)),'5. Setup'!$D$6:$E$12,2,FALSE)</f>
        <v>Mie</v>
      </c>
      <c r="D1594">
        <v>2044404</v>
      </c>
      <c r="E1594" t="str">
        <f>IFERROR(+VLOOKUP(Movimientos_2026[[#This Row],[Codigo]],Plan_cuentas[],2,FALSE)," ")</f>
        <v>EGRESOS</v>
      </c>
      <c r="F1594" t="str">
        <f>IFERROR(+VLOOKUP(Movimientos_2026[[#This Row],[Codigo]],Plan_cuentas[],3,FALSE)," ")</f>
        <v>Transferencia</v>
      </c>
      <c r="G1594" t="str">
        <f>IFERROR(+VLOOKUP(Movimientos_2026[[#This Row],[Codigo]],Plan_cuentas[],4,FALSE)," ")</f>
        <v>Rentas</v>
      </c>
      <c r="H1594" t="str">
        <f>IFERROR(+VLOOKUP(Movimientos_2026[[#This Row],[Codigo]],Plan_cuentas[],5,FALSE)," ")</f>
        <v>SANTIAGO DEL ESTERO</v>
      </c>
      <c r="I1594" s="43">
        <v>46113</v>
      </c>
      <c r="J1594" t="s">
        <v>689</v>
      </c>
      <c r="K1594" t="str">
        <f>IFERROR(+VLOOKUP(Movimientos_2026[[#This Row],[Codigo]],Plan_cuentas[],6,FALSE)," ")</f>
        <v>4 - FCA - Fiat</v>
      </c>
      <c r="L1594" s="50"/>
      <c r="M1594" s="50">
        <v>25988975.75</v>
      </c>
      <c r="N1594" s="20">
        <f>+Movimientos_2026[[#This Row],[Ingresos]]-Movimientos_2026[[#This Row],[Egresos]]</f>
        <v>-25988975.75</v>
      </c>
      <c r="O1594" s="20">
        <f>+O1593+Movimientos_2026[[#This Row],[Neto]]</f>
        <v>5209867034.9976778</v>
      </c>
    </row>
    <row r="1595" spans="1:15" x14ac:dyDescent="0.25">
      <c r="A1595" s="13">
        <v>46155</v>
      </c>
      <c r="B1595" s="12">
        <f>MONTH(Movimientos_2026[[#This Row],[Fecha]])</f>
        <v>5</v>
      </c>
      <c r="C1595" s="12" t="str">
        <f>VLOOKUP((WEEKDAY(Movimientos_2026[[#This Row],[Fecha]],2)),'5. Setup'!$D$6:$E$12,2,FALSE)</f>
        <v>Mie</v>
      </c>
      <c r="D1595">
        <v>2044406</v>
      </c>
      <c r="E1595" t="str">
        <f>IFERROR(+VLOOKUP(Movimientos_2026[[#This Row],[Codigo]],Plan_cuentas[],2,FALSE)," ")</f>
        <v>EGRESOS</v>
      </c>
      <c r="F1595" t="str">
        <f>IFERROR(+VLOOKUP(Movimientos_2026[[#This Row],[Codigo]],Plan_cuentas[],3,FALSE)," ")</f>
        <v>Transferencia</v>
      </c>
      <c r="G1595" t="str">
        <f>IFERROR(+VLOOKUP(Movimientos_2026[[#This Row],[Codigo]],Plan_cuentas[],4,FALSE)," ")</f>
        <v>Rentas</v>
      </c>
      <c r="H1595" t="str">
        <f>IFERROR(+VLOOKUP(Movimientos_2026[[#This Row],[Codigo]],Plan_cuentas[],5,FALSE)," ")</f>
        <v>SANTIAGO DEL ESTERO</v>
      </c>
      <c r="I1595" s="43">
        <v>46113</v>
      </c>
      <c r="J1595" t="s">
        <v>689</v>
      </c>
      <c r="K1595" t="str">
        <f>IFERROR(+VLOOKUP(Movimientos_2026[[#This Row],[Codigo]],Plan_cuentas[],6,FALSE)," ")</f>
        <v>6 - FCAtr - Fiat Transf.</v>
      </c>
      <c r="L1595" s="50"/>
      <c r="M1595" s="50">
        <v>899004.72</v>
      </c>
      <c r="N1595" s="20">
        <f>+Movimientos_2026[[#This Row],[Ingresos]]-Movimientos_2026[[#This Row],[Egresos]]</f>
        <v>-899004.72</v>
      </c>
      <c r="O1595" s="20">
        <f>+O1594+Movimientos_2026[[#This Row],[Neto]]</f>
        <v>5208968030.2776775</v>
      </c>
    </row>
    <row r="1596" spans="1:15" x14ac:dyDescent="0.25">
      <c r="A1596" s="13">
        <v>46155</v>
      </c>
      <c r="B1596" s="12">
        <f>MONTH(Movimientos_2026[[#This Row],[Fecha]])</f>
        <v>5</v>
      </c>
      <c r="C1596" s="12" t="str">
        <f>VLOOKUP((WEEKDAY(Movimientos_2026[[#This Row],[Fecha]],2)),'5. Setup'!$D$6:$E$12,2,FALSE)</f>
        <v>Mie</v>
      </c>
      <c r="D1596">
        <v>2044404</v>
      </c>
      <c r="E1596" t="str">
        <f>IFERROR(+VLOOKUP(Movimientos_2026[[#This Row],[Codigo]],Plan_cuentas[],2,FALSE)," ")</f>
        <v>EGRESOS</v>
      </c>
      <c r="F1596" t="str">
        <f>IFERROR(+VLOOKUP(Movimientos_2026[[#This Row],[Codigo]],Plan_cuentas[],3,FALSE)," ")</f>
        <v>Transferencia</v>
      </c>
      <c r="G1596" t="str">
        <f>IFERROR(+VLOOKUP(Movimientos_2026[[#This Row],[Codigo]],Plan_cuentas[],4,FALSE)," ")</f>
        <v>Rentas</v>
      </c>
      <c r="H1596" t="str">
        <f>IFERROR(+VLOOKUP(Movimientos_2026[[#This Row],[Codigo]],Plan_cuentas[],5,FALSE)," ")</f>
        <v>SANTIAGO DEL ESTERO</v>
      </c>
      <c r="I1596" s="43">
        <v>46113</v>
      </c>
      <c r="J1596" t="s">
        <v>689</v>
      </c>
      <c r="K1596" t="str">
        <f>IFERROR(+VLOOKUP(Movimientos_2026[[#This Row],[Codigo]],Plan_cuentas[],6,FALSE)," ")</f>
        <v>4 - FCA - Fiat</v>
      </c>
      <c r="L1596" s="50"/>
      <c r="M1596" s="50">
        <v>15416961.9</v>
      </c>
      <c r="N1596" s="20">
        <f>+Movimientos_2026[[#This Row],[Ingresos]]-Movimientos_2026[[#This Row],[Egresos]]</f>
        <v>-15416961.9</v>
      </c>
      <c r="O1596" s="20">
        <f>+O1595+Movimientos_2026[[#This Row],[Neto]]</f>
        <v>5193551068.3776779</v>
      </c>
    </row>
    <row r="1597" spans="1:15" x14ac:dyDescent="0.25">
      <c r="A1597" s="13">
        <v>46156</v>
      </c>
      <c r="B1597" s="12">
        <f>MONTH(Movimientos_2026[[#This Row],[Fecha]])</f>
        <v>5</v>
      </c>
      <c r="C1597" s="12" t="str">
        <f>VLOOKUP((WEEKDAY(Movimientos_2026[[#This Row],[Fecha]],2)),'5. Setup'!$D$6:$E$12,2,FALSE)</f>
        <v>Jue</v>
      </c>
      <c r="D1597">
        <v>2014362</v>
      </c>
      <c r="E1597" t="str">
        <f>IFERROR(+VLOOKUP(Movimientos_2026[[#This Row],[Codigo]],Plan_cuentas[],2,FALSE)," ")</f>
        <v>EGRESOS</v>
      </c>
      <c r="F1597" t="str">
        <f>IFERROR(+VLOOKUP(Movimientos_2026[[#This Row],[Codigo]],Plan_cuentas[],3,FALSE)," ")</f>
        <v>BtoB</v>
      </c>
      <c r="G1597" t="str">
        <f>IFERROR(+VLOOKUP(Movimientos_2026[[#This Row],[Codigo]],Plan_cuentas[],4,FALSE)," ")</f>
        <v>Rentas</v>
      </c>
      <c r="H1597" t="str">
        <f>IFERROR(+VLOOKUP(Movimientos_2026[[#This Row],[Codigo]],Plan_cuentas[],5,FALSE)," ")</f>
        <v>SAN LUIS</v>
      </c>
      <c r="I1597" s="43">
        <v>46113</v>
      </c>
      <c r="J1597" t="s">
        <v>690</v>
      </c>
      <c r="K1597" t="str">
        <f>IFERROR(+VLOOKUP(Movimientos_2026[[#This Row],[Codigo]],Plan_cuentas[],6,FALSE)," ")</f>
        <v>2 - PR - Plan Rombo</v>
      </c>
      <c r="L1597" s="50"/>
      <c r="M1597" s="50">
        <v>12765486.779999999</v>
      </c>
      <c r="N1597" s="20">
        <f>+Movimientos_2026[[#This Row],[Ingresos]]-Movimientos_2026[[#This Row],[Egresos]]</f>
        <v>-12765486.779999999</v>
      </c>
      <c r="O1597" s="20">
        <f>+O1596+Movimientos_2026[[#This Row],[Neto]]</f>
        <v>5180785581.5976782</v>
      </c>
    </row>
    <row r="1598" spans="1:15" x14ac:dyDescent="0.25">
      <c r="A1598" s="13">
        <v>46156</v>
      </c>
      <c r="B1598" s="12">
        <f>MONTH(Movimientos_2026[[#This Row],[Fecha]])</f>
        <v>5</v>
      </c>
      <c r="C1598" s="12" t="str">
        <f>VLOOKUP((WEEKDAY(Movimientos_2026[[#This Row],[Fecha]],2)),'5. Setup'!$D$6:$E$12,2,FALSE)</f>
        <v>Jue</v>
      </c>
      <c r="D1598">
        <v>2044126</v>
      </c>
      <c r="E1598" t="str">
        <f>IFERROR(+VLOOKUP(Movimientos_2026[[#This Row],[Codigo]],Plan_cuentas[],2,FALSE)," ")</f>
        <v>EGRESOS</v>
      </c>
      <c r="F1598" t="str">
        <f>IFERROR(+VLOOKUP(Movimientos_2026[[#This Row],[Codigo]],Plan_cuentas[],3,FALSE)," ")</f>
        <v>Transferencia</v>
      </c>
      <c r="G1598" t="str">
        <f>IFERROR(+VLOOKUP(Movimientos_2026[[#This Row],[Codigo]],Plan_cuentas[],4,FALSE)," ")</f>
        <v>Rentas</v>
      </c>
      <c r="H1598" t="str">
        <f>IFERROR(+VLOOKUP(Movimientos_2026[[#This Row],[Codigo]],Plan_cuentas[],5,FALSE)," ")</f>
        <v>BAPRO</v>
      </c>
      <c r="I1598" s="43">
        <v>46113</v>
      </c>
      <c r="J1598" t="s">
        <v>691</v>
      </c>
      <c r="K1598" t="str">
        <f>IFERROR(+VLOOKUP(Movimientos_2026[[#This Row],[Codigo]],Plan_cuentas[],6,FALSE)," ")</f>
        <v>6 - FCAtr - Fiat Transf.</v>
      </c>
      <c r="L1598" s="50"/>
      <c r="M1598" s="52">
        <v>5663040.0999999996</v>
      </c>
      <c r="N1598" s="20">
        <f>+Movimientos_2026[[#This Row],[Ingresos]]-Movimientos_2026[[#This Row],[Egresos]]</f>
        <v>-5663040.0999999996</v>
      </c>
      <c r="O1598" s="20">
        <f>+O1597+Movimientos_2026[[#This Row],[Neto]]</f>
        <v>5175122541.4976778</v>
      </c>
    </row>
    <row r="1599" spans="1:15" x14ac:dyDescent="0.25">
      <c r="A1599" s="13">
        <v>46156</v>
      </c>
      <c r="B1599" s="12">
        <f>MONTH(Movimientos_2026[[#This Row],[Fecha]])</f>
        <v>5</v>
      </c>
      <c r="C1599" s="12" t="str">
        <f>VLOOKUP((WEEKDAY(Movimientos_2026[[#This Row],[Fecha]],2)),'5. Setup'!$D$6:$E$12,2,FALSE)</f>
        <v>Jue</v>
      </c>
      <c r="D1599">
        <v>2044126</v>
      </c>
      <c r="E1599" t="str">
        <f>IFERROR(+VLOOKUP(Movimientos_2026[[#This Row],[Codigo]],Plan_cuentas[],2,FALSE)," ")</f>
        <v>EGRESOS</v>
      </c>
      <c r="F1599" t="str">
        <f>IFERROR(+VLOOKUP(Movimientos_2026[[#This Row],[Codigo]],Plan_cuentas[],3,FALSE)," ")</f>
        <v>Transferencia</v>
      </c>
      <c r="G1599" t="str">
        <f>IFERROR(+VLOOKUP(Movimientos_2026[[#This Row],[Codigo]],Plan_cuentas[],4,FALSE)," ")</f>
        <v>Rentas</v>
      </c>
      <c r="H1599" t="str">
        <f>IFERROR(+VLOOKUP(Movimientos_2026[[#This Row],[Codigo]],Plan_cuentas[],5,FALSE)," ")</f>
        <v>BAPRO</v>
      </c>
      <c r="I1599" s="43">
        <v>46113</v>
      </c>
      <c r="J1599" t="s">
        <v>692</v>
      </c>
      <c r="K1599" t="str">
        <f>IFERROR(+VLOOKUP(Movimientos_2026[[#This Row],[Codigo]],Plan_cuentas[],6,FALSE)," ")</f>
        <v>6 - FCAtr - Fiat Transf.</v>
      </c>
      <c r="L1599" s="50"/>
      <c r="M1599" s="52">
        <v>650500.6</v>
      </c>
      <c r="N1599" s="20">
        <f>+Movimientos_2026[[#This Row],[Ingresos]]-Movimientos_2026[[#This Row],[Egresos]]</f>
        <v>-650500.6</v>
      </c>
      <c r="O1599" s="20">
        <f>+O1598+Movimientos_2026[[#This Row],[Neto]]</f>
        <v>5174472040.8976774</v>
      </c>
    </row>
    <row r="1600" spans="1:15" x14ac:dyDescent="0.25">
      <c r="A1600" s="13">
        <v>46156</v>
      </c>
      <c r="B1600" s="12">
        <f>MONTH(Movimientos_2026[[#This Row],[Fecha]])</f>
        <v>5</v>
      </c>
      <c r="C1600" s="12" t="str">
        <f>VLOOKUP((WEEKDAY(Movimientos_2026[[#This Row],[Fecha]],2)),'5. Setup'!$D$6:$E$12,2,FALSE)</f>
        <v>Jue</v>
      </c>
      <c r="D1600">
        <v>2044126</v>
      </c>
      <c r="E1600" t="str">
        <f>IFERROR(+VLOOKUP(Movimientos_2026[[#This Row],[Codigo]],Plan_cuentas[],2,FALSE)," ")</f>
        <v>EGRESOS</v>
      </c>
      <c r="F1600" t="str">
        <f>IFERROR(+VLOOKUP(Movimientos_2026[[#This Row],[Codigo]],Plan_cuentas[],3,FALSE)," ")</f>
        <v>Transferencia</v>
      </c>
      <c r="G1600" t="str">
        <f>IFERROR(+VLOOKUP(Movimientos_2026[[#This Row],[Codigo]],Plan_cuentas[],4,FALSE)," ")</f>
        <v>Rentas</v>
      </c>
      <c r="H1600" t="str">
        <f>IFERROR(+VLOOKUP(Movimientos_2026[[#This Row],[Codigo]],Plan_cuentas[],5,FALSE)," ")</f>
        <v>BAPRO</v>
      </c>
      <c r="I1600" s="43">
        <v>46113</v>
      </c>
      <c r="J1600" t="s">
        <v>693</v>
      </c>
      <c r="K1600" t="str">
        <f>IFERROR(+VLOOKUP(Movimientos_2026[[#This Row],[Codigo]],Plan_cuentas[],6,FALSE)," ")</f>
        <v>6 - FCAtr - Fiat Transf.</v>
      </c>
      <c r="L1600" s="50"/>
      <c r="M1600" s="52">
        <v>554564.80000000005</v>
      </c>
      <c r="N1600" s="20">
        <f>+Movimientos_2026[[#This Row],[Ingresos]]-Movimientos_2026[[#This Row],[Egresos]]</f>
        <v>-554564.80000000005</v>
      </c>
      <c r="O1600" s="20">
        <f>+O1599+Movimientos_2026[[#This Row],[Neto]]</f>
        <v>5173917476.0976772</v>
      </c>
    </row>
    <row r="1601" spans="1:15" x14ac:dyDescent="0.25">
      <c r="A1601" s="13">
        <v>46156</v>
      </c>
      <c r="B1601" s="12">
        <f>MONTH(Movimientos_2026[[#This Row],[Fecha]])</f>
        <v>5</v>
      </c>
      <c r="C1601" s="12" t="str">
        <f>VLOOKUP((WEEKDAY(Movimientos_2026[[#This Row],[Fecha]],2)),'5. Setup'!$D$6:$E$12,2,FALSE)</f>
        <v>Jue</v>
      </c>
      <c r="D1601">
        <v>2044126</v>
      </c>
      <c r="E1601" t="str">
        <f>IFERROR(+VLOOKUP(Movimientos_2026[[#This Row],[Codigo]],Plan_cuentas[],2,FALSE)," ")</f>
        <v>EGRESOS</v>
      </c>
      <c r="F1601" t="str">
        <f>IFERROR(+VLOOKUP(Movimientos_2026[[#This Row],[Codigo]],Plan_cuentas[],3,FALSE)," ")</f>
        <v>Transferencia</v>
      </c>
      <c r="G1601" t="str">
        <f>IFERROR(+VLOOKUP(Movimientos_2026[[#This Row],[Codigo]],Plan_cuentas[],4,FALSE)," ")</f>
        <v>Rentas</v>
      </c>
      <c r="H1601" t="str">
        <f>IFERROR(+VLOOKUP(Movimientos_2026[[#This Row],[Codigo]],Plan_cuentas[],5,FALSE)," ")</f>
        <v>BAPRO</v>
      </c>
      <c r="I1601" s="43">
        <v>46113</v>
      </c>
      <c r="J1601" t="s">
        <v>694</v>
      </c>
      <c r="K1601" t="str">
        <f>IFERROR(+VLOOKUP(Movimientos_2026[[#This Row],[Codigo]],Plan_cuentas[],6,FALSE)," ")</f>
        <v>6 - FCAtr - Fiat Transf.</v>
      </c>
      <c r="L1601" s="50"/>
      <c r="M1601" s="52">
        <v>464976.8</v>
      </c>
      <c r="N1601" s="20">
        <f>+Movimientos_2026[[#This Row],[Ingresos]]-Movimientos_2026[[#This Row],[Egresos]]</f>
        <v>-464976.8</v>
      </c>
      <c r="O1601" s="20">
        <f>+O1600+Movimientos_2026[[#This Row],[Neto]]</f>
        <v>5173452499.297677</v>
      </c>
    </row>
    <row r="1602" spans="1:15" x14ac:dyDescent="0.25">
      <c r="A1602" s="13">
        <v>46156</v>
      </c>
      <c r="B1602" s="12">
        <f>MONTH(Movimientos_2026[[#This Row],[Fecha]])</f>
        <v>5</v>
      </c>
      <c r="C1602" s="12" t="str">
        <f>VLOOKUP((WEEKDAY(Movimientos_2026[[#This Row],[Fecha]],2)),'5. Setup'!$D$6:$E$12,2,FALSE)</f>
        <v>Jue</v>
      </c>
      <c r="D1602">
        <v>2044126</v>
      </c>
      <c r="E1602" t="str">
        <f>IFERROR(+VLOOKUP(Movimientos_2026[[#This Row],[Codigo]],Plan_cuentas[],2,FALSE)," ")</f>
        <v>EGRESOS</v>
      </c>
      <c r="F1602" t="str">
        <f>IFERROR(+VLOOKUP(Movimientos_2026[[#This Row],[Codigo]],Plan_cuentas[],3,FALSE)," ")</f>
        <v>Transferencia</v>
      </c>
      <c r="G1602" t="str">
        <f>IFERROR(+VLOOKUP(Movimientos_2026[[#This Row],[Codigo]],Plan_cuentas[],4,FALSE)," ")</f>
        <v>Rentas</v>
      </c>
      <c r="H1602" t="str">
        <f>IFERROR(+VLOOKUP(Movimientos_2026[[#This Row],[Codigo]],Plan_cuentas[],5,FALSE)," ")</f>
        <v>BAPRO</v>
      </c>
      <c r="I1602" s="43">
        <v>46113</v>
      </c>
      <c r="J1602" t="s">
        <v>695</v>
      </c>
      <c r="K1602" t="str">
        <f>IFERROR(+VLOOKUP(Movimientos_2026[[#This Row],[Codigo]],Plan_cuentas[],6,FALSE)," ")</f>
        <v>6 - FCAtr - Fiat Transf.</v>
      </c>
      <c r="L1602" s="50"/>
      <c r="M1602" s="50">
        <v>368821.2</v>
      </c>
      <c r="N1602" s="20">
        <f>+Movimientos_2026[[#This Row],[Ingresos]]-Movimientos_2026[[#This Row],[Egresos]]</f>
        <v>-368821.2</v>
      </c>
      <c r="O1602" s="20">
        <f>+O1601+Movimientos_2026[[#This Row],[Neto]]</f>
        <v>5173083678.0976772</v>
      </c>
    </row>
    <row r="1603" spans="1:15" x14ac:dyDescent="0.25">
      <c r="A1603" s="13">
        <v>46156</v>
      </c>
      <c r="B1603" s="12">
        <f>MONTH(Movimientos_2026[[#This Row],[Fecha]])</f>
        <v>5</v>
      </c>
      <c r="C1603" s="12" t="str">
        <f>VLOOKUP((WEEKDAY(Movimientos_2026[[#This Row],[Fecha]],2)),'5. Setup'!$D$6:$E$12,2,FALSE)</f>
        <v>Jue</v>
      </c>
      <c r="D1603">
        <v>2044126</v>
      </c>
      <c r="E1603" t="str">
        <f>IFERROR(+VLOOKUP(Movimientos_2026[[#This Row],[Codigo]],Plan_cuentas[],2,FALSE)," ")</f>
        <v>EGRESOS</v>
      </c>
      <c r="F1603" t="str">
        <f>IFERROR(+VLOOKUP(Movimientos_2026[[#This Row],[Codigo]],Plan_cuentas[],3,FALSE)," ")</f>
        <v>Transferencia</v>
      </c>
      <c r="G1603" t="str">
        <f>IFERROR(+VLOOKUP(Movimientos_2026[[#This Row],[Codigo]],Plan_cuentas[],4,FALSE)," ")</f>
        <v>Rentas</v>
      </c>
      <c r="H1603" t="str">
        <f>IFERROR(+VLOOKUP(Movimientos_2026[[#This Row],[Codigo]],Plan_cuentas[],5,FALSE)," ")</f>
        <v>BAPRO</v>
      </c>
      <c r="I1603" s="43">
        <v>46113</v>
      </c>
      <c r="J1603" t="s">
        <v>696</v>
      </c>
      <c r="K1603" t="str">
        <f>IFERROR(+VLOOKUP(Movimientos_2026[[#This Row],[Codigo]],Plan_cuentas[],6,FALSE)," ")</f>
        <v>6 - FCAtr - Fiat Transf.</v>
      </c>
      <c r="L1603" s="50"/>
      <c r="M1603" s="50">
        <v>302387.8</v>
      </c>
      <c r="N1603" s="20">
        <f>+Movimientos_2026[[#This Row],[Ingresos]]-Movimientos_2026[[#This Row],[Egresos]]</f>
        <v>-302387.8</v>
      </c>
      <c r="O1603" s="20">
        <f>+O1602+Movimientos_2026[[#This Row],[Neto]]</f>
        <v>5172781290.297677</v>
      </c>
    </row>
    <row r="1604" spans="1:15" x14ac:dyDescent="0.25">
      <c r="A1604" s="13">
        <v>46156</v>
      </c>
      <c r="B1604" s="12">
        <f>MONTH(Movimientos_2026[[#This Row],[Fecha]])</f>
        <v>5</v>
      </c>
      <c r="C1604" s="12" t="str">
        <f>VLOOKUP((WEEKDAY(Movimientos_2026[[#This Row],[Fecha]],2)),'5. Setup'!$D$6:$E$12,2,FALSE)</f>
        <v>Jue</v>
      </c>
      <c r="D1604">
        <v>2044126</v>
      </c>
      <c r="E1604" t="str">
        <f>IFERROR(+VLOOKUP(Movimientos_2026[[#This Row],[Codigo]],Plan_cuentas[],2,FALSE)," ")</f>
        <v>EGRESOS</v>
      </c>
      <c r="F1604" t="str">
        <f>IFERROR(+VLOOKUP(Movimientos_2026[[#This Row],[Codigo]],Plan_cuentas[],3,FALSE)," ")</f>
        <v>Transferencia</v>
      </c>
      <c r="G1604" t="str">
        <f>IFERROR(+VLOOKUP(Movimientos_2026[[#This Row],[Codigo]],Plan_cuentas[],4,FALSE)," ")</f>
        <v>Rentas</v>
      </c>
      <c r="H1604" t="str">
        <f>IFERROR(+VLOOKUP(Movimientos_2026[[#This Row],[Codigo]],Plan_cuentas[],5,FALSE)," ")</f>
        <v>BAPRO</v>
      </c>
      <c r="I1604" s="43">
        <v>46113</v>
      </c>
      <c r="J1604" t="s">
        <v>697</v>
      </c>
      <c r="K1604" t="str">
        <f>IFERROR(+VLOOKUP(Movimientos_2026[[#This Row],[Codigo]],Plan_cuentas[],6,FALSE)," ")</f>
        <v>6 - FCAtr - Fiat Transf.</v>
      </c>
      <c r="L1604" s="50"/>
      <c r="M1604" s="50">
        <v>253650.8</v>
      </c>
      <c r="N1604" s="20">
        <f>+Movimientos_2026[[#This Row],[Ingresos]]-Movimientos_2026[[#This Row],[Egresos]]</f>
        <v>-253650.8</v>
      </c>
      <c r="O1604" s="20">
        <f>+O1603+Movimientos_2026[[#This Row],[Neto]]</f>
        <v>5172527639.4976768</v>
      </c>
    </row>
    <row r="1605" spans="1:15" x14ac:dyDescent="0.25">
      <c r="A1605" s="13">
        <v>46156</v>
      </c>
      <c r="B1605" s="12">
        <f>MONTH(Movimientos_2026[[#This Row],[Fecha]])</f>
        <v>5</v>
      </c>
      <c r="C1605" s="12" t="str">
        <f>VLOOKUP((WEEKDAY(Movimientos_2026[[#This Row],[Fecha]],2)),'5. Setup'!$D$6:$E$12,2,FALSE)</f>
        <v>Jue</v>
      </c>
      <c r="D1605">
        <v>2044366</v>
      </c>
      <c r="E1605" t="str">
        <f>IFERROR(+VLOOKUP(Movimientos_2026[[#This Row],[Codigo]],Plan_cuentas[],2,FALSE)," ")</f>
        <v>EGRESOS</v>
      </c>
      <c r="F1605" t="str">
        <f>IFERROR(+VLOOKUP(Movimientos_2026[[#This Row],[Codigo]],Plan_cuentas[],3,FALSE)," ")</f>
        <v>Transferencia</v>
      </c>
      <c r="G1605" t="str">
        <f>IFERROR(+VLOOKUP(Movimientos_2026[[#This Row],[Codigo]],Plan_cuentas[],4,FALSE)," ")</f>
        <v>Rentas</v>
      </c>
      <c r="H1605" t="str">
        <f>IFERROR(+VLOOKUP(Movimientos_2026[[#This Row],[Codigo]],Plan_cuentas[],5,FALSE)," ")</f>
        <v>SAN LUIS</v>
      </c>
      <c r="I1605" s="43">
        <v>45962</v>
      </c>
      <c r="J1605" t="s">
        <v>698</v>
      </c>
      <c r="K1605" t="str">
        <f>IFERROR(+VLOOKUP(Movimientos_2026[[#This Row],[Codigo]],Plan_cuentas[],6,FALSE)," ")</f>
        <v>6 - FCAtr - Fiat Transf.</v>
      </c>
      <c r="L1605" s="50"/>
      <c r="M1605" s="50">
        <v>354720.52</v>
      </c>
      <c r="N1605" s="20">
        <f>+Movimientos_2026[[#This Row],[Ingresos]]-Movimientos_2026[[#This Row],[Egresos]]</f>
        <v>-354720.52</v>
      </c>
      <c r="O1605" s="20">
        <f>+O1604+Movimientos_2026[[#This Row],[Neto]]</f>
        <v>5172172918.9776764</v>
      </c>
    </row>
    <row r="1606" spans="1:15" x14ac:dyDescent="0.25">
      <c r="A1606" s="13">
        <v>46156</v>
      </c>
      <c r="B1606" s="12">
        <f>MONTH(Movimientos_2026[[#This Row],[Fecha]])</f>
        <v>5</v>
      </c>
      <c r="C1606" s="12" t="str">
        <f>VLOOKUP((WEEKDAY(Movimientos_2026[[#This Row],[Fecha]],2)),'5. Setup'!$D$6:$E$12,2,FALSE)</f>
        <v>Jue</v>
      </c>
      <c r="D1606">
        <v>1043153</v>
      </c>
      <c r="E1606" t="str">
        <f>IFERROR(+VLOOKUP(Movimientos_2026[[#This Row],[Codigo]],Plan_cuentas[],2,FALSE)," ")</f>
        <v>INGRESOS</v>
      </c>
      <c r="F1606" t="str">
        <f>IFERROR(+VLOOKUP(Movimientos_2026[[#This Row],[Codigo]],Plan_cuentas[],3,FALSE)," ")</f>
        <v>Transferencia</v>
      </c>
      <c r="G1606" t="str">
        <f>IFERROR(+VLOOKUP(Movimientos_2026[[#This Row],[Codigo]],Plan_cuentas[],4,FALSE)," ")</f>
        <v>Registración</v>
      </c>
      <c r="H1606" t="str">
        <f>IFERROR(+VLOOKUP(Movimientos_2026[[#This Row],[Codigo]],Plan_cuentas[],5,FALSE)," ")</f>
        <v>CABA</v>
      </c>
      <c r="I1606" s="43">
        <v>46113</v>
      </c>
      <c r="J1606" t="s">
        <v>699</v>
      </c>
      <c r="K1606" t="str">
        <f>IFERROR(+VLOOKUP(Movimientos_2026[[#This Row],[Codigo]],Plan_cuentas[],6,FALSE)," ")</f>
        <v>3 - GM - Chevrolet</v>
      </c>
      <c r="L1606" s="50">
        <v>50186461.68</v>
      </c>
      <c r="M1606" s="50"/>
      <c r="N1606" s="20">
        <f>+Movimientos_2026[[#This Row],[Ingresos]]-Movimientos_2026[[#This Row],[Egresos]]</f>
        <v>50186461.68</v>
      </c>
      <c r="O1606" s="20">
        <f>+O1605+Movimientos_2026[[#This Row],[Neto]]</f>
        <v>5222359380.6576767</v>
      </c>
    </row>
    <row r="1607" spans="1:15" x14ac:dyDescent="0.25">
      <c r="A1607" s="13">
        <v>46156</v>
      </c>
      <c r="B1607" s="12">
        <f>MONTH(Movimientos_2026[[#This Row],[Fecha]])</f>
        <v>5</v>
      </c>
      <c r="C1607" s="12" t="str">
        <f>VLOOKUP((WEEKDAY(Movimientos_2026[[#This Row],[Fecha]],2)),'5. Setup'!$D$6:$E$12,2,FALSE)</f>
        <v>Jue</v>
      </c>
      <c r="D1607">
        <v>1043223</v>
      </c>
      <c r="E1607" t="str">
        <f>IFERROR(+VLOOKUP(Movimientos_2026[[#This Row],[Codigo]],Plan_cuentas[],2,FALSE)," ")</f>
        <v>INGRESOS</v>
      </c>
      <c r="F1607" t="str">
        <f>IFERROR(+VLOOKUP(Movimientos_2026[[#This Row],[Codigo]],Plan_cuentas[],3,FALSE)," ")</f>
        <v>Transferencia</v>
      </c>
      <c r="G1607" t="str">
        <f>IFERROR(+VLOOKUP(Movimientos_2026[[#This Row],[Codigo]],Plan_cuentas[],4,FALSE)," ")</f>
        <v>Registración</v>
      </c>
      <c r="H1607" t="str">
        <f>IFERROR(+VLOOKUP(Movimientos_2026[[#This Row],[Codigo]],Plan_cuentas[],5,FALSE)," ")</f>
        <v>ENTRE RIOS 1° Q</v>
      </c>
      <c r="I1607" s="43">
        <v>46113</v>
      </c>
      <c r="J1607" t="s">
        <v>699</v>
      </c>
      <c r="K1607" t="str">
        <f>IFERROR(+VLOOKUP(Movimientos_2026[[#This Row],[Codigo]],Plan_cuentas[],6,FALSE)," ")</f>
        <v>3 - GM - Chevrolet</v>
      </c>
      <c r="L1607" s="50">
        <v>11809248.380000001</v>
      </c>
      <c r="M1607" s="50"/>
      <c r="N1607" s="20">
        <f>+Movimientos_2026[[#This Row],[Ingresos]]-Movimientos_2026[[#This Row],[Egresos]]</f>
        <v>11809248.380000001</v>
      </c>
      <c r="O1607" s="20">
        <f>+O1606+Movimientos_2026[[#This Row],[Neto]]</f>
        <v>5234168629.0376768</v>
      </c>
    </row>
    <row r="1608" spans="1:15" x14ac:dyDescent="0.25">
      <c r="A1608" s="13">
        <v>46156</v>
      </c>
      <c r="B1608" s="12">
        <f>MONTH(Movimientos_2026[[#This Row],[Fecha]])</f>
        <v>5</v>
      </c>
      <c r="C1608" s="12" t="str">
        <f>VLOOKUP((WEEKDAY(Movimientos_2026[[#This Row],[Fecha]],2)),'5. Setup'!$D$6:$E$12,2,FALSE)</f>
        <v>Jue</v>
      </c>
      <c r="D1608">
        <v>1043233</v>
      </c>
      <c r="E1608" t="str">
        <f>IFERROR(+VLOOKUP(Movimientos_2026[[#This Row],[Codigo]],Plan_cuentas[],2,FALSE)," ")</f>
        <v>INGRESOS</v>
      </c>
      <c r="F1608" t="str">
        <f>IFERROR(+VLOOKUP(Movimientos_2026[[#This Row],[Codigo]],Plan_cuentas[],3,FALSE)," ")</f>
        <v>Transferencia</v>
      </c>
      <c r="G1608" t="str">
        <f>IFERROR(+VLOOKUP(Movimientos_2026[[#This Row],[Codigo]],Plan_cuentas[],4,FALSE)," ")</f>
        <v>Registración</v>
      </c>
      <c r="H1608" t="str">
        <f>IFERROR(+VLOOKUP(Movimientos_2026[[#This Row],[Codigo]],Plan_cuentas[],5,FALSE)," ")</f>
        <v>ENTRE RIOS 2° Q</v>
      </c>
      <c r="I1608" s="43">
        <v>46113</v>
      </c>
      <c r="J1608" t="s">
        <v>699</v>
      </c>
      <c r="K1608" t="str">
        <f>IFERROR(+VLOOKUP(Movimientos_2026[[#This Row],[Codigo]],Plan_cuentas[],6,FALSE)," ")</f>
        <v>3 - GM - Chevrolet</v>
      </c>
      <c r="L1608" s="50">
        <v>11809248.380000001</v>
      </c>
      <c r="M1608" s="50"/>
      <c r="N1608" s="20">
        <f>+Movimientos_2026[[#This Row],[Ingresos]]-Movimientos_2026[[#This Row],[Egresos]]</f>
        <v>11809248.380000001</v>
      </c>
      <c r="O1608" s="20">
        <f>+O1607+Movimientos_2026[[#This Row],[Neto]]</f>
        <v>5245977877.4176769</v>
      </c>
    </row>
    <row r="1609" spans="1:15" x14ac:dyDescent="0.25">
      <c r="A1609" s="13">
        <v>46156</v>
      </c>
      <c r="B1609" s="12">
        <f>MONTH(Movimientos_2026[[#This Row],[Fecha]])</f>
        <v>5</v>
      </c>
      <c r="C1609" s="12" t="str">
        <f>VLOOKUP((WEEKDAY(Movimientos_2026[[#This Row],[Fecha]],2)),'5. Setup'!$D$6:$E$12,2,FALSE)</f>
        <v>Jue</v>
      </c>
      <c r="D1609">
        <v>1043383</v>
      </c>
      <c r="E1609" t="str">
        <f>IFERROR(+VLOOKUP(Movimientos_2026[[#This Row],[Codigo]],Plan_cuentas[],2,FALSE)," ")</f>
        <v>INGRESOS</v>
      </c>
      <c r="F1609" t="str">
        <f>IFERROR(+VLOOKUP(Movimientos_2026[[#This Row],[Codigo]],Plan_cuentas[],3,FALSE)," ")</f>
        <v>Transferencia</v>
      </c>
      <c r="G1609" t="str">
        <f>IFERROR(+VLOOKUP(Movimientos_2026[[#This Row],[Codigo]],Plan_cuentas[],4,FALSE)," ")</f>
        <v>Registración</v>
      </c>
      <c r="H1609" t="str">
        <f>IFERROR(+VLOOKUP(Movimientos_2026[[#This Row],[Codigo]],Plan_cuentas[],5,FALSE)," ")</f>
        <v>SANTA FE 1° Q</v>
      </c>
      <c r="I1609" s="43">
        <v>46113</v>
      </c>
      <c r="J1609" t="s">
        <v>699</v>
      </c>
      <c r="K1609" t="str">
        <f>IFERROR(+VLOOKUP(Movimientos_2026[[#This Row],[Codigo]],Plan_cuentas[],6,FALSE)," ")</f>
        <v>3 - GM - Chevrolet</v>
      </c>
      <c r="L1609" s="50">
        <v>20925066.565000001</v>
      </c>
      <c r="M1609" s="50"/>
      <c r="N1609" s="20">
        <f>+Movimientos_2026[[#This Row],[Ingresos]]-Movimientos_2026[[#This Row],[Egresos]]</f>
        <v>20925066.565000001</v>
      </c>
      <c r="O1609" s="20">
        <f>+O1608+Movimientos_2026[[#This Row],[Neto]]</f>
        <v>5266902943.9826765</v>
      </c>
    </row>
    <row r="1610" spans="1:15" x14ac:dyDescent="0.25">
      <c r="A1610" s="13">
        <v>46156</v>
      </c>
      <c r="B1610" s="12">
        <f>MONTH(Movimientos_2026[[#This Row],[Fecha]])</f>
        <v>5</v>
      </c>
      <c r="C1610" s="12" t="str">
        <f>VLOOKUP((WEEKDAY(Movimientos_2026[[#This Row],[Fecha]],2)),'5. Setup'!$D$6:$E$12,2,FALSE)</f>
        <v>Jue</v>
      </c>
      <c r="D1610">
        <v>1043393</v>
      </c>
      <c r="E1610" t="str">
        <f>IFERROR(+VLOOKUP(Movimientos_2026[[#This Row],[Codigo]],Plan_cuentas[],2,FALSE)," ")</f>
        <v>INGRESOS</v>
      </c>
      <c r="F1610" t="str">
        <f>IFERROR(+VLOOKUP(Movimientos_2026[[#This Row],[Codigo]],Plan_cuentas[],3,FALSE)," ")</f>
        <v>Transferencia</v>
      </c>
      <c r="G1610" t="str">
        <f>IFERROR(+VLOOKUP(Movimientos_2026[[#This Row],[Codigo]],Plan_cuentas[],4,FALSE)," ")</f>
        <v>Registración</v>
      </c>
      <c r="H1610" t="str">
        <f>IFERROR(+VLOOKUP(Movimientos_2026[[#This Row],[Codigo]],Plan_cuentas[],5,FALSE)," ")</f>
        <v>SANTA FE 2° Q</v>
      </c>
      <c r="I1610" s="43">
        <v>46113</v>
      </c>
      <c r="J1610" t="s">
        <v>699</v>
      </c>
      <c r="K1610" t="str">
        <f>IFERROR(+VLOOKUP(Movimientos_2026[[#This Row],[Codigo]],Plan_cuentas[],6,FALSE)," ")</f>
        <v>3 - GM - Chevrolet</v>
      </c>
      <c r="L1610" s="50">
        <v>20925066.565000001</v>
      </c>
      <c r="M1610" s="50"/>
      <c r="N1610" s="20">
        <f>+Movimientos_2026[[#This Row],[Ingresos]]-Movimientos_2026[[#This Row],[Egresos]]</f>
        <v>20925066.565000001</v>
      </c>
      <c r="O1610" s="20">
        <f>+O1609+Movimientos_2026[[#This Row],[Neto]]</f>
        <v>5287828010.5476761</v>
      </c>
    </row>
    <row r="1611" spans="1:15" x14ac:dyDescent="0.25">
      <c r="A1611" s="13">
        <v>46156</v>
      </c>
      <c r="B1611" s="12">
        <f>MONTH(Movimientos_2026[[#This Row],[Fecha]])</f>
        <v>5</v>
      </c>
      <c r="C1611" s="12" t="str">
        <f>VLOOKUP((WEEKDAY(Movimientos_2026[[#This Row],[Fecha]],2)),'5. Setup'!$D$6:$E$12,2,FALSE)</f>
        <v>Jue</v>
      </c>
      <c r="D1611">
        <v>1044163</v>
      </c>
      <c r="E1611" t="str">
        <f>IFERROR(+VLOOKUP(Movimientos_2026[[#This Row],[Codigo]],Plan_cuentas[],2,FALSE)," ")</f>
        <v>INGRESOS</v>
      </c>
      <c r="F1611" t="str">
        <f>IFERROR(+VLOOKUP(Movimientos_2026[[#This Row],[Codigo]],Plan_cuentas[],3,FALSE)," ")</f>
        <v>Transferencia</v>
      </c>
      <c r="G1611" t="str">
        <f>IFERROR(+VLOOKUP(Movimientos_2026[[#This Row],[Codigo]],Plan_cuentas[],4,FALSE)," ")</f>
        <v>Rentas</v>
      </c>
      <c r="H1611" t="str">
        <f>IFERROR(+VLOOKUP(Movimientos_2026[[#This Row],[Codigo]],Plan_cuentas[],5,FALSE)," ")</f>
        <v>CHACO</v>
      </c>
      <c r="I1611" s="43">
        <v>46113</v>
      </c>
      <c r="J1611" t="s">
        <v>699</v>
      </c>
      <c r="K1611" t="str">
        <f>IFERROR(+VLOOKUP(Movimientos_2026[[#This Row],[Codigo]],Plan_cuentas[],6,FALSE)," ")</f>
        <v>3 - GM - Chevrolet</v>
      </c>
      <c r="L1611" s="50">
        <v>39957549.890000001</v>
      </c>
      <c r="M1611" s="50"/>
      <c r="N1611" s="20">
        <f>+Movimientos_2026[[#This Row],[Ingresos]]-Movimientos_2026[[#This Row],[Egresos]]</f>
        <v>39957549.890000001</v>
      </c>
      <c r="O1611" s="20">
        <f>+O1610+Movimientos_2026[[#This Row],[Neto]]</f>
        <v>5327785560.4376764</v>
      </c>
    </row>
    <row r="1612" spans="1:15" x14ac:dyDescent="0.25">
      <c r="A1612" s="13">
        <v>46156</v>
      </c>
      <c r="B1612" s="12">
        <f>MONTH(Movimientos_2026[[#This Row],[Fecha]])</f>
        <v>5</v>
      </c>
      <c r="C1612" s="12" t="str">
        <f>VLOOKUP((WEEKDAY(Movimientos_2026[[#This Row],[Fecha]],2)),'5. Setup'!$D$6:$E$12,2,FALSE)</f>
        <v>Jue</v>
      </c>
      <c r="D1612">
        <v>1044173</v>
      </c>
      <c r="E1612" t="str">
        <f>IFERROR(+VLOOKUP(Movimientos_2026[[#This Row],[Codigo]],Plan_cuentas[],2,FALSE)," ")</f>
        <v>INGRESOS</v>
      </c>
      <c r="F1612" t="str">
        <f>IFERROR(+VLOOKUP(Movimientos_2026[[#This Row],[Codigo]],Plan_cuentas[],3,FALSE)," ")</f>
        <v>Transferencia</v>
      </c>
      <c r="G1612" t="str">
        <f>IFERROR(+VLOOKUP(Movimientos_2026[[#This Row],[Codigo]],Plan_cuentas[],4,FALSE)," ")</f>
        <v>Rentas</v>
      </c>
      <c r="H1612" t="str">
        <f>IFERROR(+VLOOKUP(Movimientos_2026[[#This Row],[Codigo]],Plan_cuentas[],5,FALSE)," ")</f>
        <v>CHUBUT</v>
      </c>
      <c r="I1612" s="43">
        <v>46113</v>
      </c>
      <c r="J1612" t="s">
        <v>699</v>
      </c>
      <c r="K1612" t="str">
        <f>IFERROR(+VLOOKUP(Movimientos_2026[[#This Row],[Codigo]],Plan_cuentas[],6,FALSE)," ")</f>
        <v>3 - GM - Chevrolet</v>
      </c>
      <c r="L1612" s="50">
        <v>8756311.0274999999</v>
      </c>
      <c r="M1612" s="50"/>
      <c r="N1612" s="20">
        <f>+Movimientos_2026[[#This Row],[Ingresos]]-Movimientos_2026[[#This Row],[Egresos]]</f>
        <v>8756311.0274999999</v>
      </c>
      <c r="O1612" s="20">
        <f>+O1611+Movimientos_2026[[#This Row],[Neto]]</f>
        <v>5336541871.4651766</v>
      </c>
    </row>
    <row r="1613" spans="1:15" x14ac:dyDescent="0.25">
      <c r="A1613" s="13">
        <v>46156</v>
      </c>
      <c r="B1613" s="12">
        <f>MONTH(Movimientos_2026[[#This Row],[Fecha]])</f>
        <v>5</v>
      </c>
      <c r="C1613" s="12" t="str">
        <f>VLOOKUP((WEEKDAY(Movimientos_2026[[#This Row],[Fecha]],2)),'5. Setup'!$D$6:$E$12,2,FALSE)</f>
        <v>Jue</v>
      </c>
      <c r="D1613">
        <v>1044243</v>
      </c>
      <c r="E1613" t="str">
        <f>IFERROR(+VLOOKUP(Movimientos_2026[[#This Row],[Codigo]],Plan_cuentas[],2,FALSE)," ")</f>
        <v>INGRESOS</v>
      </c>
      <c r="F1613" t="str">
        <f>IFERROR(+VLOOKUP(Movimientos_2026[[#This Row],[Codigo]],Plan_cuentas[],3,FALSE)," ")</f>
        <v>Transferencia</v>
      </c>
      <c r="G1613" t="str">
        <f>IFERROR(+VLOOKUP(Movimientos_2026[[#This Row],[Codigo]],Plan_cuentas[],4,FALSE)," ")</f>
        <v>Rentas</v>
      </c>
      <c r="H1613" t="str">
        <f>IFERROR(+VLOOKUP(Movimientos_2026[[#This Row],[Codigo]],Plan_cuentas[],5,FALSE)," ")</f>
        <v>FORMOSA</v>
      </c>
      <c r="I1613" s="43">
        <v>46113</v>
      </c>
      <c r="J1613" t="s">
        <v>699</v>
      </c>
      <c r="K1613" t="str">
        <f>IFERROR(+VLOOKUP(Movimientos_2026[[#This Row],[Codigo]],Plan_cuentas[],6,FALSE)," ")</f>
        <v>3 - GM - Chevrolet</v>
      </c>
      <c r="L1613" s="50">
        <v>13381008.49</v>
      </c>
      <c r="M1613" s="50"/>
      <c r="N1613" s="20">
        <f>+Movimientos_2026[[#This Row],[Ingresos]]-Movimientos_2026[[#This Row],[Egresos]]</f>
        <v>13381008.49</v>
      </c>
      <c r="O1613" s="20">
        <f>+O1612+Movimientos_2026[[#This Row],[Neto]]</f>
        <v>5349922879.9551764</v>
      </c>
    </row>
    <row r="1614" spans="1:15" x14ac:dyDescent="0.25">
      <c r="A1614" s="13">
        <v>46156</v>
      </c>
      <c r="B1614" s="12">
        <f>MONTH(Movimientos_2026[[#This Row],[Fecha]])</f>
        <v>5</v>
      </c>
      <c r="C1614" s="12" t="str">
        <f>VLOOKUP((WEEKDAY(Movimientos_2026[[#This Row],[Fecha]],2)),'5. Setup'!$D$6:$E$12,2,FALSE)</f>
        <v>Jue</v>
      </c>
      <c r="D1614">
        <v>1044263</v>
      </c>
      <c r="E1614" t="str">
        <f>IFERROR(+VLOOKUP(Movimientos_2026[[#This Row],[Codigo]],Plan_cuentas[],2,FALSE)," ")</f>
        <v>INGRESOS</v>
      </c>
      <c r="F1614" t="str">
        <f>IFERROR(+VLOOKUP(Movimientos_2026[[#This Row],[Codigo]],Plan_cuentas[],3,FALSE)," ")</f>
        <v>Transferencia</v>
      </c>
      <c r="G1614" t="str">
        <f>IFERROR(+VLOOKUP(Movimientos_2026[[#This Row],[Codigo]],Plan_cuentas[],4,FALSE)," ")</f>
        <v>Rentas</v>
      </c>
      <c r="H1614" t="str">
        <f>IFERROR(+VLOOKUP(Movimientos_2026[[#This Row],[Codigo]],Plan_cuentas[],5,FALSE)," ")</f>
        <v>LA PAMPA</v>
      </c>
      <c r="I1614" s="43">
        <v>46113</v>
      </c>
      <c r="J1614" t="s">
        <v>699</v>
      </c>
      <c r="K1614" t="str">
        <f>IFERROR(+VLOOKUP(Movimientos_2026[[#This Row],[Codigo]],Plan_cuentas[],6,FALSE)," ")</f>
        <v>3 - GM - Chevrolet</v>
      </c>
      <c r="L1614" s="50">
        <v>3552585</v>
      </c>
      <c r="M1614" s="50"/>
      <c r="N1614" s="20">
        <f>+Movimientos_2026[[#This Row],[Ingresos]]-Movimientos_2026[[#This Row],[Egresos]]</f>
        <v>3552585</v>
      </c>
      <c r="O1614" s="20">
        <f>+O1613+Movimientos_2026[[#This Row],[Neto]]</f>
        <v>5353475464.9551764</v>
      </c>
    </row>
    <row r="1615" spans="1:15" x14ac:dyDescent="0.25">
      <c r="A1615" s="13">
        <v>46156</v>
      </c>
      <c r="B1615" s="12">
        <f>MONTH(Movimientos_2026[[#This Row],[Fecha]])</f>
        <v>5</v>
      </c>
      <c r="C1615" s="12" t="str">
        <f>VLOOKUP((WEEKDAY(Movimientos_2026[[#This Row],[Fecha]],2)),'5. Setup'!$D$6:$E$12,2,FALSE)</f>
        <v>Jue</v>
      </c>
      <c r="D1615">
        <v>1044463</v>
      </c>
      <c r="E1615" t="str">
        <f>IFERROR(+VLOOKUP(Movimientos_2026[[#This Row],[Codigo]],Plan_cuentas[],2,FALSE)," ")</f>
        <v>INGRESOS</v>
      </c>
      <c r="F1615" t="str">
        <f>IFERROR(+VLOOKUP(Movimientos_2026[[#This Row],[Codigo]],Plan_cuentas[],3,FALSE)," ")</f>
        <v>Transferencia</v>
      </c>
      <c r="G1615" t="str">
        <f>IFERROR(+VLOOKUP(Movimientos_2026[[#This Row],[Codigo]],Plan_cuentas[],4,FALSE)," ")</f>
        <v>Rentas</v>
      </c>
      <c r="H1615" t="str">
        <f>IFERROR(+VLOOKUP(Movimientos_2026[[#This Row],[Codigo]],Plan_cuentas[],5,FALSE)," ")</f>
        <v>MISIONES</v>
      </c>
      <c r="I1615" s="43">
        <v>46113</v>
      </c>
      <c r="J1615" t="s">
        <v>699</v>
      </c>
      <c r="K1615" t="str">
        <f>IFERROR(+VLOOKUP(Movimientos_2026[[#This Row],[Codigo]],Plan_cuentas[],6,FALSE)," ")</f>
        <v>3 - GM - Chevrolet</v>
      </c>
      <c r="L1615" s="50">
        <v>4382879.3849999998</v>
      </c>
      <c r="M1615" s="50"/>
      <c r="N1615" s="20">
        <f>+Movimientos_2026[[#This Row],[Ingresos]]-Movimientos_2026[[#This Row],[Egresos]]</f>
        <v>4382879.3849999998</v>
      </c>
      <c r="O1615" s="20">
        <f>+O1614+Movimientos_2026[[#This Row],[Neto]]</f>
        <v>5357858344.3401766</v>
      </c>
    </row>
    <row r="1616" spans="1:15" x14ac:dyDescent="0.25">
      <c r="A1616" s="13">
        <v>46156</v>
      </c>
      <c r="B1616" s="12">
        <f>MONTH(Movimientos_2026[[#This Row],[Fecha]])</f>
        <v>5</v>
      </c>
      <c r="C1616" s="12" t="str">
        <f>VLOOKUP((WEEKDAY(Movimientos_2026[[#This Row],[Fecha]],2)),'5. Setup'!$D$6:$E$12,2,FALSE)</f>
        <v>Jue</v>
      </c>
      <c r="D1616">
        <v>1044353</v>
      </c>
      <c r="E1616" t="str">
        <f>IFERROR(+VLOOKUP(Movimientos_2026[[#This Row],[Codigo]],Plan_cuentas[],2,FALSE)," ")</f>
        <v>INGRESOS</v>
      </c>
      <c r="F1616" t="str">
        <f>IFERROR(+VLOOKUP(Movimientos_2026[[#This Row],[Codigo]],Plan_cuentas[],3,FALSE)," ")</f>
        <v>Transferencia</v>
      </c>
      <c r="G1616" t="str">
        <f>IFERROR(+VLOOKUP(Movimientos_2026[[#This Row],[Codigo]],Plan_cuentas[],4,FALSE)," ")</f>
        <v>Rentas</v>
      </c>
      <c r="H1616" t="str">
        <f>IFERROR(+VLOOKUP(Movimientos_2026[[#This Row],[Codigo]],Plan_cuentas[],5,FALSE)," ")</f>
        <v>SAN JUAN</v>
      </c>
      <c r="I1616" s="43">
        <v>46113</v>
      </c>
      <c r="J1616" t="s">
        <v>699</v>
      </c>
      <c r="K1616" t="str">
        <f>IFERROR(+VLOOKUP(Movimientos_2026[[#This Row],[Codigo]],Plan_cuentas[],6,FALSE)," ")</f>
        <v>3 - GM - Chevrolet</v>
      </c>
      <c r="L1616" s="50">
        <v>8274922.0991999991</v>
      </c>
      <c r="M1616" s="52"/>
      <c r="N1616" s="20">
        <f>+Movimientos_2026[[#This Row],[Ingresos]]-Movimientos_2026[[#This Row],[Egresos]]</f>
        <v>8274922.0991999991</v>
      </c>
      <c r="O1616" s="20">
        <f>+O1615+Movimientos_2026[[#This Row],[Neto]]</f>
        <v>5366133266.4393768</v>
      </c>
    </row>
    <row r="1617" spans="1:15" x14ac:dyDescent="0.25">
      <c r="A1617" s="13">
        <v>46156</v>
      </c>
      <c r="B1617" s="12">
        <f>MONTH(Movimientos_2026[[#This Row],[Fecha]])</f>
        <v>5</v>
      </c>
      <c r="C1617" s="12" t="str">
        <f>VLOOKUP((WEEKDAY(Movimientos_2026[[#This Row],[Fecha]],2)),'5. Setup'!$D$6:$E$12,2,FALSE)</f>
        <v>Jue</v>
      </c>
      <c r="D1617">
        <v>1044363</v>
      </c>
      <c r="E1617" t="str">
        <f>IFERROR(+VLOOKUP(Movimientos_2026[[#This Row],[Codigo]],Plan_cuentas[],2,FALSE)," ")</f>
        <v>INGRESOS</v>
      </c>
      <c r="F1617" t="str">
        <f>IFERROR(+VLOOKUP(Movimientos_2026[[#This Row],[Codigo]],Plan_cuentas[],3,FALSE)," ")</f>
        <v>Transferencia</v>
      </c>
      <c r="G1617" t="str">
        <f>IFERROR(+VLOOKUP(Movimientos_2026[[#This Row],[Codigo]],Plan_cuentas[],4,FALSE)," ")</f>
        <v>Rentas</v>
      </c>
      <c r="H1617" t="str">
        <f>IFERROR(+VLOOKUP(Movimientos_2026[[#This Row],[Codigo]],Plan_cuentas[],5,FALSE)," ")</f>
        <v>SAN LUIS</v>
      </c>
      <c r="I1617" s="43">
        <v>46113</v>
      </c>
      <c r="J1617" t="s">
        <v>699</v>
      </c>
      <c r="K1617" t="str">
        <f>IFERROR(+VLOOKUP(Movimientos_2026[[#This Row],[Codigo]],Plan_cuentas[],6,FALSE)," ")</f>
        <v>3 - GM - Chevrolet</v>
      </c>
      <c r="L1617" s="50">
        <v>13936901.124</v>
      </c>
      <c r="M1617" s="52"/>
      <c r="N1617" s="20">
        <f>+Movimientos_2026[[#This Row],[Ingresos]]-Movimientos_2026[[#This Row],[Egresos]]</f>
        <v>13936901.124</v>
      </c>
      <c r="O1617" s="20">
        <f>+O1616+Movimientos_2026[[#This Row],[Neto]]</f>
        <v>5380070167.5633764</v>
      </c>
    </row>
    <row r="1618" spans="1:15" x14ac:dyDescent="0.25">
      <c r="A1618" s="13">
        <v>46156</v>
      </c>
      <c r="B1618" s="12">
        <f>MONTH(Movimientos_2026[[#This Row],[Fecha]])</f>
        <v>5</v>
      </c>
      <c r="C1618" s="12" t="str">
        <f>VLOOKUP((WEEKDAY(Movimientos_2026[[#This Row],[Fecha]],2)),'5. Setup'!$D$6:$E$12,2,FALSE)</f>
        <v>Jue</v>
      </c>
      <c r="D1618">
        <v>1044403</v>
      </c>
      <c r="E1618" t="str">
        <f>IFERROR(+VLOOKUP(Movimientos_2026[[#This Row],[Codigo]],Plan_cuentas[],2,FALSE)," ")</f>
        <v>INGRESOS</v>
      </c>
      <c r="F1618" t="str">
        <f>IFERROR(+VLOOKUP(Movimientos_2026[[#This Row],[Codigo]],Plan_cuentas[],3,FALSE)," ")</f>
        <v>Transferencia</v>
      </c>
      <c r="G1618" t="str">
        <f>IFERROR(+VLOOKUP(Movimientos_2026[[#This Row],[Codigo]],Plan_cuentas[],4,FALSE)," ")</f>
        <v>Rentas</v>
      </c>
      <c r="H1618" t="str">
        <f>IFERROR(+VLOOKUP(Movimientos_2026[[#This Row],[Codigo]],Plan_cuentas[],5,FALSE)," ")</f>
        <v>SANTIAGO DEL ESTERO</v>
      </c>
      <c r="I1618" s="43">
        <v>46113</v>
      </c>
      <c r="J1618" t="s">
        <v>699</v>
      </c>
      <c r="K1618" t="str">
        <f>IFERROR(+VLOOKUP(Movimientos_2026[[#This Row],[Codigo]],Plan_cuentas[],6,FALSE)," ")</f>
        <v>3 - GM - Chevrolet</v>
      </c>
      <c r="L1618" s="50">
        <v>16246731.33</v>
      </c>
      <c r="M1618" s="52"/>
      <c r="N1618" s="20">
        <f>+Movimientos_2026[[#This Row],[Ingresos]]-Movimientos_2026[[#This Row],[Egresos]]</f>
        <v>16246731.33</v>
      </c>
      <c r="O1618" s="20">
        <f>+O1617+Movimientos_2026[[#This Row],[Neto]]</f>
        <v>5396316898.8933764</v>
      </c>
    </row>
    <row r="1619" spans="1:15" x14ac:dyDescent="0.25">
      <c r="A1619" s="13">
        <v>46156</v>
      </c>
      <c r="B1619" s="12">
        <f>MONTH(Movimientos_2026[[#This Row],[Fecha]])</f>
        <v>5</v>
      </c>
      <c r="C1619" s="12" t="str">
        <f>VLOOKUP((WEEKDAY(Movimientos_2026[[#This Row],[Fecha]],2)),'5. Setup'!$D$6:$E$12,2,FALSE)</f>
        <v>Jue</v>
      </c>
      <c r="D1619">
        <v>1044413</v>
      </c>
      <c r="E1619" t="str">
        <f>IFERROR(+VLOOKUP(Movimientos_2026[[#This Row],[Codigo]],Plan_cuentas[],2,FALSE)," ")</f>
        <v>INGRESOS</v>
      </c>
      <c r="F1619" t="str">
        <f>IFERROR(+VLOOKUP(Movimientos_2026[[#This Row],[Codigo]],Plan_cuentas[],3,FALSE)," ")</f>
        <v>Transferencia</v>
      </c>
      <c r="G1619" t="str">
        <f>IFERROR(+VLOOKUP(Movimientos_2026[[#This Row],[Codigo]],Plan_cuentas[],4,FALSE)," ")</f>
        <v>Rentas</v>
      </c>
      <c r="H1619" t="str">
        <f>IFERROR(+VLOOKUP(Movimientos_2026[[#This Row],[Codigo]],Plan_cuentas[],5,FALSE)," ")</f>
        <v>TIERRA DEL FUEGO</v>
      </c>
      <c r="I1619" s="43">
        <v>46113</v>
      </c>
      <c r="J1619" t="s">
        <v>699</v>
      </c>
      <c r="K1619" t="str">
        <f>IFERROR(+VLOOKUP(Movimientos_2026[[#This Row],[Codigo]],Plan_cuentas[],6,FALSE)," ")</f>
        <v>3 - GM - Chevrolet</v>
      </c>
      <c r="L1619" s="50">
        <v>8405528.8599999994</v>
      </c>
      <c r="M1619" s="52"/>
      <c r="N1619" s="20">
        <f>+Movimientos_2026[[#This Row],[Ingresos]]-Movimientos_2026[[#This Row],[Egresos]]</f>
        <v>8405528.8599999994</v>
      </c>
      <c r="O1619" s="20">
        <f>+O1618+Movimientos_2026[[#This Row],[Neto]]</f>
        <v>5404722427.753376</v>
      </c>
    </row>
    <row r="1620" spans="1:15" x14ac:dyDescent="0.25">
      <c r="A1620" s="13">
        <v>46156</v>
      </c>
      <c r="B1620" s="12">
        <f>MONTH(Movimientos_2026[[#This Row],[Fecha]])</f>
        <v>5</v>
      </c>
      <c r="C1620" s="12" t="str">
        <f>VLOOKUP((WEEKDAY(Movimientos_2026[[#This Row],[Fecha]],2)),'5. Setup'!$D$6:$E$12,2,FALSE)</f>
        <v>Jue</v>
      </c>
      <c r="D1620">
        <v>1043143</v>
      </c>
      <c r="E1620" t="str">
        <f>IFERROR(+VLOOKUP(Movimientos_2026[[#This Row],[Codigo]],Plan_cuentas[],2,FALSE)," ")</f>
        <v>INGRESOS</v>
      </c>
      <c r="F1620" t="str">
        <f>IFERROR(+VLOOKUP(Movimientos_2026[[#This Row],[Codigo]],Plan_cuentas[],3,FALSE)," ")</f>
        <v>Transferencia</v>
      </c>
      <c r="G1620" t="str">
        <f>IFERROR(+VLOOKUP(Movimientos_2026[[#This Row],[Codigo]],Plan_cuentas[],4,FALSE)," ")</f>
        <v>Registración</v>
      </c>
      <c r="H1620" t="str">
        <f>IFERROR(+VLOOKUP(Movimientos_2026[[#This Row],[Codigo]],Plan_cuentas[],5,FALSE)," ")</f>
        <v>BUENOS AIRES</v>
      </c>
      <c r="I1620" s="43">
        <v>46113</v>
      </c>
      <c r="J1620" t="s">
        <v>699</v>
      </c>
      <c r="K1620" t="str">
        <f>IFERROR(+VLOOKUP(Movimientos_2026[[#This Row],[Codigo]],Plan_cuentas[],6,FALSE)," ")</f>
        <v>3 - GM - Chevrolet</v>
      </c>
      <c r="L1620" s="50">
        <v>257845699.29300001</v>
      </c>
      <c r="M1620" s="52"/>
      <c r="N1620" s="20">
        <f>+Movimientos_2026[[#This Row],[Ingresos]]-Movimientos_2026[[#This Row],[Egresos]]</f>
        <v>257845699.29300001</v>
      </c>
      <c r="O1620" s="20">
        <f>+O1619+Movimientos_2026[[#This Row],[Neto]]</f>
        <v>5662568127.0463762</v>
      </c>
    </row>
    <row r="1621" spans="1:15" x14ac:dyDescent="0.25">
      <c r="A1621" s="13">
        <v>46156</v>
      </c>
      <c r="B1621" s="12">
        <f>MONTH(Movimientos_2026[[#This Row],[Fecha]])</f>
        <v>5</v>
      </c>
      <c r="C1621" s="12" t="str">
        <f>VLOOKUP((WEEKDAY(Movimientos_2026[[#This Row],[Fecha]],2)),'5. Setup'!$D$6:$E$12,2,FALSE)</f>
        <v>Jue</v>
      </c>
      <c r="D1621">
        <v>1041133</v>
      </c>
      <c r="E1621" t="str">
        <f>IFERROR(+VLOOKUP(Movimientos_2026[[#This Row],[Codigo]],Plan_cuentas[],2,FALSE)," ")</f>
        <v>INGRESOS</v>
      </c>
      <c r="F1621" t="str">
        <f>IFERROR(+VLOOKUP(Movimientos_2026[[#This Row],[Codigo]],Plan_cuentas[],3,FALSE)," ")</f>
        <v>Transferencia</v>
      </c>
      <c r="G1621" t="str">
        <f>IFERROR(+VLOOKUP(Movimientos_2026[[#This Row],[Codigo]],Plan_cuentas[],4,FALSE)," ")</f>
        <v>Entidades co-participadas</v>
      </c>
      <c r="H1621" t="str">
        <f>IFERROR(+VLOOKUP(Movimientos_2026[[#This Row],[Codigo]],Plan_cuentas[],5,FALSE)," ")</f>
        <v>BCLP</v>
      </c>
      <c r="I1621" s="43">
        <v>46113</v>
      </c>
      <c r="J1621" t="s">
        <v>699</v>
      </c>
      <c r="K1621" t="str">
        <f>IFERROR(+VLOOKUP(Movimientos_2026[[#This Row],[Codigo]],Plan_cuentas[],6,FALSE)," ")</f>
        <v>3 - GM - Chevrolet</v>
      </c>
      <c r="L1621" s="50">
        <v>26400641.410500001</v>
      </c>
      <c r="M1621" s="52"/>
      <c r="N1621" s="20">
        <f>+Movimientos_2026[[#This Row],[Ingresos]]-Movimientos_2026[[#This Row],[Egresos]]</f>
        <v>26400641.410500001</v>
      </c>
      <c r="O1621" s="20">
        <f>+O1620+Movimientos_2026[[#This Row],[Neto]]</f>
        <v>5688968768.4568758</v>
      </c>
    </row>
    <row r="1622" spans="1:15" x14ac:dyDescent="0.25">
      <c r="A1622" s="13">
        <v>46157</v>
      </c>
      <c r="B1622" s="12">
        <f>MONTH(Movimientos_2026[[#This Row],[Fecha]])</f>
        <v>5</v>
      </c>
      <c r="C1622" s="12" t="str">
        <f>VLOOKUP((WEEKDAY(Movimientos_2026[[#This Row],[Fecha]],2)),'5. Setup'!$D$6:$E$12,2,FALSE)</f>
        <v>Vie</v>
      </c>
      <c r="D1622">
        <v>2014361</v>
      </c>
      <c r="E1622" t="str">
        <f>IFERROR(+VLOOKUP(Movimientos_2026[[#This Row],[Codigo]],Plan_cuentas[],2,FALSE)," ")</f>
        <v>EGRESOS</v>
      </c>
      <c r="F1622" t="str">
        <f>IFERROR(+VLOOKUP(Movimientos_2026[[#This Row],[Codigo]],Plan_cuentas[],3,FALSE)," ")</f>
        <v>BtoB</v>
      </c>
      <c r="G1622" t="str">
        <f>IFERROR(+VLOOKUP(Movimientos_2026[[#This Row],[Codigo]],Plan_cuentas[],4,FALSE)," ")</f>
        <v>Rentas</v>
      </c>
      <c r="H1622" t="str">
        <f>IFERROR(+VLOOKUP(Movimientos_2026[[#This Row],[Codigo]],Plan_cuentas[],5,FALSE)," ")</f>
        <v>SAN LUIS</v>
      </c>
      <c r="I1622" s="43">
        <v>46113</v>
      </c>
      <c r="J1622" t="s">
        <v>700</v>
      </c>
      <c r="K1622" t="str">
        <f>IFERROR(+VLOOKUP(Movimientos_2026[[#This Row],[Codigo]],Plan_cuentas[],6,FALSE)," ")</f>
        <v>1 - VW - Volkswagen</v>
      </c>
      <c r="L1622" s="50"/>
      <c r="M1622" s="52">
        <v>17540886.600000001</v>
      </c>
      <c r="N1622" s="20">
        <f>+Movimientos_2026[[#This Row],[Ingresos]]-Movimientos_2026[[#This Row],[Egresos]]</f>
        <v>-17540886.600000001</v>
      </c>
      <c r="O1622" s="20">
        <f>+O1621+Movimientos_2026[[#This Row],[Neto]]</f>
        <v>5671427881.8568754</v>
      </c>
    </row>
    <row r="1623" spans="1:15" x14ac:dyDescent="0.25">
      <c r="A1623" s="13">
        <v>46157</v>
      </c>
      <c r="B1623" s="12">
        <f>MONTH(Movimientos_2026[[#This Row],[Fecha]])</f>
        <v>5</v>
      </c>
      <c r="C1623" s="12" t="str">
        <f>VLOOKUP((WEEKDAY(Movimientos_2026[[#This Row],[Fecha]],2)),'5. Setup'!$D$6:$E$12,2,FALSE)</f>
        <v>Vie</v>
      </c>
      <c r="D1623">
        <v>2014171</v>
      </c>
      <c r="E1623" t="str">
        <f>IFERROR(+VLOOKUP(Movimientos_2026[[#This Row],[Codigo]],Plan_cuentas[],2,FALSE)," ")</f>
        <v>EGRESOS</v>
      </c>
      <c r="F1623" t="str">
        <f>IFERROR(+VLOOKUP(Movimientos_2026[[#This Row],[Codigo]],Plan_cuentas[],3,FALSE)," ")</f>
        <v>BtoB</v>
      </c>
      <c r="G1623" t="str">
        <f>IFERROR(+VLOOKUP(Movimientos_2026[[#This Row],[Codigo]],Plan_cuentas[],4,FALSE)," ")</f>
        <v>Rentas</v>
      </c>
      <c r="H1623" t="str">
        <f>IFERROR(+VLOOKUP(Movimientos_2026[[#This Row],[Codigo]],Plan_cuentas[],5,FALSE)," ")</f>
        <v>CHUBUT</v>
      </c>
      <c r="I1623" s="43">
        <v>46113</v>
      </c>
      <c r="J1623" t="s">
        <v>701</v>
      </c>
      <c r="K1623" t="str">
        <f>IFERROR(+VLOOKUP(Movimientos_2026[[#This Row],[Codigo]],Plan_cuentas[],6,FALSE)," ")</f>
        <v>1 - VW - Volkswagen</v>
      </c>
      <c r="L1623" s="50"/>
      <c r="M1623" s="50">
        <v>12045827.83</v>
      </c>
      <c r="N1623" s="20">
        <f>+Movimientos_2026[[#This Row],[Ingresos]]-Movimientos_2026[[#This Row],[Egresos]]</f>
        <v>-12045827.83</v>
      </c>
      <c r="O1623" s="20">
        <f>+O1622+Movimientos_2026[[#This Row],[Neto]]</f>
        <v>5659382054.0268755</v>
      </c>
    </row>
    <row r="1624" spans="1:15" x14ac:dyDescent="0.25">
      <c r="A1624" s="13">
        <v>46157</v>
      </c>
      <c r="B1624" s="12">
        <f>MONTH(Movimientos_2026[[#This Row],[Fecha]])</f>
        <v>5</v>
      </c>
      <c r="C1624" s="12" t="str">
        <f>VLOOKUP((WEEKDAY(Movimientos_2026[[#This Row],[Fecha]],2)),'5. Setup'!$D$6:$E$12,2,FALSE)</f>
        <v>Vie</v>
      </c>
      <c r="D1624">
        <v>2014161</v>
      </c>
      <c r="E1624" t="str">
        <f>IFERROR(+VLOOKUP(Movimientos_2026[[#This Row],[Codigo]],Plan_cuentas[],2,FALSE)," ")</f>
        <v>EGRESOS</v>
      </c>
      <c r="F1624" t="str">
        <f>IFERROR(+VLOOKUP(Movimientos_2026[[#This Row],[Codigo]],Plan_cuentas[],3,FALSE)," ")</f>
        <v>BtoB</v>
      </c>
      <c r="G1624" t="str">
        <f>IFERROR(+VLOOKUP(Movimientos_2026[[#This Row],[Codigo]],Plan_cuentas[],4,FALSE)," ")</f>
        <v>Rentas</v>
      </c>
      <c r="H1624" t="str">
        <f>IFERROR(+VLOOKUP(Movimientos_2026[[#This Row],[Codigo]],Plan_cuentas[],5,FALSE)," ")</f>
        <v>CHACO</v>
      </c>
      <c r="I1624" s="43">
        <v>46113</v>
      </c>
      <c r="J1624" t="s">
        <v>702</v>
      </c>
      <c r="K1624" t="str">
        <f>IFERROR(+VLOOKUP(Movimientos_2026[[#This Row],[Codigo]],Plan_cuentas[],6,FALSE)," ")</f>
        <v>1 - VW - Volkswagen</v>
      </c>
      <c r="L1624" s="50"/>
      <c r="M1624" s="50">
        <v>25239977.5</v>
      </c>
      <c r="N1624" s="20">
        <f>+Movimientos_2026[[#This Row],[Ingresos]]-Movimientos_2026[[#This Row],[Egresos]]</f>
        <v>-25239977.5</v>
      </c>
      <c r="O1624" s="20">
        <f>+O1623+Movimientos_2026[[#This Row],[Neto]]</f>
        <v>5634142076.5268755</v>
      </c>
    </row>
    <row r="1625" spans="1:15" x14ac:dyDescent="0.25">
      <c r="A1625" s="13">
        <v>46157</v>
      </c>
      <c r="B1625" s="12">
        <f>MONTH(Movimientos_2026[[#This Row],[Fecha]])</f>
        <v>5</v>
      </c>
      <c r="C1625" s="12" t="str">
        <f>VLOOKUP((WEEKDAY(Movimientos_2026[[#This Row],[Fecha]],2)),'5. Setup'!$D$6:$E$12,2,FALSE)</f>
        <v>Vie</v>
      </c>
      <c r="D1625">
        <v>2044401</v>
      </c>
      <c r="E1625" t="str">
        <f>IFERROR(+VLOOKUP(Movimientos_2026[[#This Row],[Codigo]],Plan_cuentas[],2,FALSE)," ")</f>
        <v>EGRESOS</v>
      </c>
      <c r="F1625" t="str">
        <f>IFERROR(+VLOOKUP(Movimientos_2026[[#This Row],[Codigo]],Plan_cuentas[],3,FALSE)," ")</f>
        <v>Transferencia</v>
      </c>
      <c r="G1625" t="str">
        <f>IFERROR(+VLOOKUP(Movimientos_2026[[#This Row],[Codigo]],Plan_cuentas[],4,FALSE)," ")</f>
        <v>Rentas</v>
      </c>
      <c r="H1625" t="str">
        <f>IFERROR(+VLOOKUP(Movimientos_2026[[#This Row],[Codigo]],Plan_cuentas[],5,FALSE)," ")</f>
        <v>SANTIAGO DEL ESTERO</v>
      </c>
      <c r="I1625" s="43">
        <v>46113</v>
      </c>
      <c r="J1625" t="s">
        <v>703</v>
      </c>
      <c r="K1625" t="str">
        <f>IFERROR(+VLOOKUP(Movimientos_2026[[#This Row],[Codigo]],Plan_cuentas[],6,FALSE)," ")</f>
        <v>1 - VW - Volkswagen</v>
      </c>
      <c r="L1625" s="50"/>
      <c r="M1625" s="50">
        <v>24327678</v>
      </c>
      <c r="N1625" s="20">
        <f>+Movimientos_2026[[#This Row],[Ingresos]]-Movimientos_2026[[#This Row],[Egresos]]</f>
        <v>-24327678</v>
      </c>
      <c r="O1625" s="20">
        <f>+O1624+Movimientos_2026[[#This Row],[Neto]]</f>
        <v>5609814398.5268755</v>
      </c>
    </row>
    <row r="1626" spans="1:15" x14ac:dyDescent="0.25">
      <c r="A1626" s="13">
        <v>46157</v>
      </c>
      <c r="B1626" s="12">
        <f>MONTH(Movimientos_2026[[#This Row],[Fecha]])</f>
        <v>5</v>
      </c>
      <c r="C1626" s="12" t="str">
        <f>VLOOKUP((WEEKDAY(Movimientos_2026[[#This Row],[Fecha]],2)),'5. Setup'!$D$6:$E$12,2,FALSE)</f>
        <v>Vie</v>
      </c>
      <c r="D1626">
        <v>2014263</v>
      </c>
      <c r="E1626" t="str">
        <f>IFERROR(+VLOOKUP(Movimientos_2026[[#This Row],[Codigo]],Plan_cuentas[],2,FALSE)," ")</f>
        <v>EGRESOS</v>
      </c>
      <c r="F1626" t="str">
        <f>IFERROR(+VLOOKUP(Movimientos_2026[[#This Row],[Codigo]],Plan_cuentas[],3,FALSE)," ")</f>
        <v>BtoB</v>
      </c>
      <c r="G1626" t="str">
        <f>IFERROR(+VLOOKUP(Movimientos_2026[[#This Row],[Codigo]],Plan_cuentas[],4,FALSE)," ")</f>
        <v>Rentas</v>
      </c>
      <c r="H1626" t="str">
        <f>IFERROR(+VLOOKUP(Movimientos_2026[[#This Row],[Codigo]],Plan_cuentas[],5,FALSE)," ")</f>
        <v>LA PAMPA</v>
      </c>
      <c r="I1626" s="43">
        <v>46113</v>
      </c>
      <c r="J1626" t="s">
        <v>704</v>
      </c>
      <c r="K1626" t="str">
        <f>IFERROR(+VLOOKUP(Movimientos_2026[[#This Row],[Codigo]],Plan_cuentas[],6,FALSE)," ")</f>
        <v>3 - GM - Chevrolet</v>
      </c>
      <c r="L1626" s="50"/>
      <c r="M1626" s="50">
        <v>5581608</v>
      </c>
      <c r="N1626" s="20">
        <f>+Movimientos_2026[[#This Row],[Ingresos]]-Movimientos_2026[[#This Row],[Egresos]]</f>
        <v>-5581608</v>
      </c>
      <c r="O1626" s="20">
        <f>+O1625+Movimientos_2026[[#This Row],[Neto]]</f>
        <v>5604232790.5268755</v>
      </c>
    </row>
    <row r="1627" spans="1:15" x14ac:dyDescent="0.25">
      <c r="A1627" s="13">
        <v>46157</v>
      </c>
      <c r="B1627" s="12">
        <f>MONTH(Movimientos_2026[[#This Row],[Fecha]])</f>
        <v>5</v>
      </c>
      <c r="C1627" s="12" t="str">
        <f>VLOOKUP((WEEKDAY(Movimientos_2026[[#This Row],[Fecha]],2)),'5. Setup'!$D$6:$E$12,2,FALSE)</f>
        <v>Vie</v>
      </c>
      <c r="D1627">
        <v>2014353</v>
      </c>
      <c r="E1627" t="str">
        <f>IFERROR(+VLOOKUP(Movimientos_2026[[#This Row],[Codigo]],Plan_cuentas[],2,FALSE)," ")</f>
        <v>EGRESOS</v>
      </c>
      <c r="F1627" t="str">
        <f>IFERROR(+VLOOKUP(Movimientos_2026[[#This Row],[Codigo]],Plan_cuentas[],3,FALSE)," ")</f>
        <v>BtoB</v>
      </c>
      <c r="G1627" t="str">
        <f>IFERROR(+VLOOKUP(Movimientos_2026[[#This Row],[Codigo]],Plan_cuentas[],4,FALSE)," ")</f>
        <v>Rentas</v>
      </c>
      <c r="H1627" t="str">
        <f>IFERROR(+VLOOKUP(Movimientos_2026[[#This Row],[Codigo]],Plan_cuentas[],5,FALSE)," ")</f>
        <v>SAN JUAN</v>
      </c>
      <c r="I1627" s="43">
        <v>46113</v>
      </c>
      <c r="J1627" t="s">
        <v>705</v>
      </c>
      <c r="K1627" t="str">
        <f>IFERROR(+VLOOKUP(Movimientos_2026[[#This Row],[Codigo]],Plan_cuentas[],6,FALSE)," ")</f>
        <v>3 - GM - Chevrolet</v>
      </c>
      <c r="L1627" s="50"/>
      <c r="M1627" s="50">
        <v>8451813.8100000005</v>
      </c>
      <c r="N1627" s="20">
        <f>+Movimientos_2026[[#This Row],[Ingresos]]-Movimientos_2026[[#This Row],[Egresos]]</f>
        <v>-8451813.8100000005</v>
      </c>
      <c r="O1627" s="20">
        <f>+O1626+Movimientos_2026[[#This Row],[Neto]]</f>
        <v>5595780976.7168751</v>
      </c>
    </row>
    <row r="1628" spans="1:15" x14ac:dyDescent="0.25">
      <c r="A1628" s="13">
        <v>46157</v>
      </c>
      <c r="B1628" s="12">
        <f>MONTH(Movimientos_2026[[#This Row],[Fecha]])</f>
        <v>5</v>
      </c>
      <c r="C1628" s="12" t="str">
        <f>VLOOKUP((WEEKDAY(Movimientos_2026[[#This Row],[Fecha]],2)),'5. Setup'!$D$6:$E$12,2,FALSE)</f>
        <v>Vie</v>
      </c>
      <c r="D1628">
        <v>2044465</v>
      </c>
      <c r="E1628" t="str">
        <f>IFERROR(+VLOOKUP(Movimientos_2026[[#This Row],[Codigo]],Plan_cuentas[],2,FALSE)," ")</f>
        <v>EGRESOS</v>
      </c>
      <c r="F1628" t="str">
        <f>IFERROR(+VLOOKUP(Movimientos_2026[[#This Row],[Codigo]],Plan_cuentas[],3,FALSE)," ")</f>
        <v>Transferencia</v>
      </c>
      <c r="G1628" t="str">
        <f>IFERROR(+VLOOKUP(Movimientos_2026[[#This Row],[Codigo]],Plan_cuentas[],4,FALSE)," ")</f>
        <v>Rentas</v>
      </c>
      <c r="H1628" t="str">
        <f>IFERROR(+VLOOKUP(Movimientos_2026[[#This Row],[Codigo]],Plan_cuentas[],5,FALSE)," ")</f>
        <v>MISIONES</v>
      </c>
      <c r="I1628" s="43">
        <v>46113</v>
      </c>
      <c r="J1628" t="s">
        <v>706</v>
      </c>
      <c r="K1628" t="str">
        <f>IFERROR(+VLOOKUP(Movimientos_2026[[#This Row],[Codigo]],Plan_cuentas[],6,FALSE)," ")</f>
        <v>5 - YAM - Yamaha</v>
      </c>
      <c r="L1628" s="50"/>
      <c r="M1628" s="50">
        <v>998211.64</v>
      </c>
      <c r="N1628" s="20">
        <f>+Movimientos_2026[[#This Row],[Ingresos]]-Movimientos_2026[[#This Row],[Egresos]]</f>
        <v>-998211.64</v>
      </c>
      <c r="O1628" s="20">
        <f>+O1627+Movimientos_2026[[#This Row],[Neto]]</f>
        <v>5594782765.0768747</v>
      </c>
    </row>
    <row r="1629" spans="1:15" x14ac:dyDescent="0.25">
      <c r="A1629" s="13">
        <v>46157</v>
      </c>
      <c r="B1629" s="12">
        <f>MONTH(Movimientos_2026[[#This Row],[Fecha]])</f>
        <v>5</v>
      </c>
      <c r="C1629" s="12" t="str">
        <f>VLOOKUP((WEEKDAY(Movimientos_2026[[#This Row],[Fecha]],2)),'5. Setup'!$D$6:$E$12,2,FALSE)</f>
        <v>Vie</v>
      </c>
      <c r="D1629">
        <v>2044126</v>
      </c>
      <c r="E1629" t="str">
        <f>IFERROR(+VLOOKUP(Movimientos_2026[[#This Row],[Codigo]],Plan_cuentas[],2,FALSE)," ")</f>
        <v>EGRESOS</v>
      </c>
      <c r="F1629" t="str">
        <f>IFERROR(+VLOOKUP(Movimientos_2026[[#This Row],[Codigo]],Plan_cuentas[],3,FALSE)," ")</f>
        <v>Transferencia</v>
      </c>
      <c r="G1629" t="str">
        <f>IFERROR(+VLOOKUP(Movimientos_2026[[#This Row],[Codigo]],Plan_cuentas[],4,FALSE)," ")</f>
        <v>Rentas</v>
      </c>
      <c r="H1629" t="str">
        <f>IFERROR(+VLOOKUP(Movimientos_2026[[#This Row],[Codigo]],Plan_cuentas[],5,FALSE)," ")</f>
        <v>BAPRO</v>
      </c>
      <c r="I1629" s="43">
        <v>46113</v>
      </c>
      <c r="J1629" t="s">
        <v>707</v>
      </c>
      <c r="K1629" t="str">
        <f>IFERROR(+VLOOKUP(Movimientos_2026[[#This Row],[Codigo]],Plan_cuentas[],6,FALSE)," ")</f>
        <v>6 - FCAtr - Fiat Transf.</v>
      </c>
      <c r="L1629" s="50"/>
      <c r="M1629" s="52">
        <v>3928966</v>
      </c>
      <c r="N1629" s="20">
        <f>+Movimientos_2026[[#This Row],[Ingresos]]-Movimientos_2026[[#This Row],[Egresos]]</f>
        <v>-3928966</v>
      </c>
      <c r="O1629" s="20">
        <f>+O1628+Movimientos_2026[[#This Row],[Neto]]</f>
        <v>5590853799.0768747</v>
      </c>
    </row>
    <row r="1630" spans="1:15" x14ac:dyDescent="0.25">
      <c r="A1630" s="13">
        <v>46157</v>
      </c>
      <c r="B1630" s="12">
        <f>MONTH(Movimientos_2026[[#This Row],[Fecha]])</f>
        <v>5</v>
      </c>
      <c r="C1630" s="12" t="str">
        <f>VLOOKUP((WEEKDAY(Movimientos_2026[[#This Row],[Fecha]],2)),'5. Setup'!$D$6:$E$12,2,FALSE)</f>
        <v>Vie</v>
      </c>
      <c r="D1630">
        <v>2044126</v>
      </c>
      <c r="E1630" t="str">
        <f>IFERROR(+VLOOKUP(Movimientos_2026[[#This Row],[Codigo]],Plan_cuentas[],2,FALSE)," ")</f>
        <v>EGRESOS</v>
      </c>
      <c r="F1630" t="str">
        <f>IFERROR(+VLOOKUP(Movimientos_2026[[#This Row],[Codigo]],Plan_cuentas[],3,FALSE)," ")</f>
        <v>Transferencia</v>
      </c>
      <c r="G1630" t="str">
        <f>IFERROR(+VLOOKUP(Movimientos_2026[[#This Row],[Codigo]],Plan_cuentas[],4,FALSE)," ")</f>
        <v>Rentas</v>
      </c>
      <c r="H1630" t="str">
        <f>IFERROR(+VLOOKUP(Movimientos_2026[[#This Row],[Codigo]],Plan_cuentas[],5,FALSE)," ")</f>
        <v>BAPRO</v>
      </c>
      <c r="I1630" s="43">
        <v>46113</v>
      </c>
      <c r="J1630" t="s">
        <v>708</v>
      </c>
      <c r="K1630" t="str">
        <f>IFERROR(+VLOOKUP(Movimientos_2026[[#This Row],[Codigo]],Plan_cuentas[],6,FALSE)," ")</f>
        <v>6 - FCAtr - Fiat Transf.</v>
      </c>
      <c r="L1630" s="50"/>
      <c r="M1630" s="52">
        <v>3256739.6</v>
      </c>
      <c r="N1630" s="20">
        <f>+Movimientos_2026[[#This Row],[Ingresos]]-Movimientos_2026[[#This Row],[Egresos]]</f>
        <v>-3256739.6</v>
      </c>
      <c r="O1630" s="20">
        <f>+O1629+Movimientos_2026[[#This Row],[Neto]]</f>
        <v>5587597059.4768744</v>
      </c>
    </row>
    <row r="1631" spans="1:15" x14ac:dyDescent="0.25">
      <c r="A1631" s="13">
        <v>46157</v>
      </c>
      <c r="B1631" s="12">
        <f>MONTH(Movimientos_2026[[#This Row],[Fecha]])</f>
        <v>5</v>
      </c>
      <c r="C1631" s="12" t="str">
        <f>VLOOKUP((WEEKDAY(Movimientos_2026[[#This Row],[Fecha]],2)),'5. Setup'!$D$6:$E$12,2,FALSE)</f>
        <v>Vie</v>
      </c>
      <c r="D1631">
        <v>2044126</v>
      </c>
      <c r="E1631" t="str">
        <f>IFERROR(+VLOOKUP(Movimientos_2026[[#This Row],[Codigo]],Plan_cuentas[],2,FALSE)," ")</f>
        <v>EGRESOS</v>
      </c>
      <c r="F1631" t="str">
        <f>IFERROR(+VLOOKUP(Movimientos_2026[[#This Row],[Codigo]],Plan_cuentas[],3,FALSE)," ")</f>
        <v>Transferencia</v>
      </c>
      <c r="G1631" t="str">
        <f>IFERROR(+VLOOKUP(Movimientos_2026[[#This Row],[Codigo]],Plan_cuentas[],4,FALSE)," ")</f>
        <v>Rentas</v>
      </c>
      <c r="H1631" t="str">
        <f>IFERROR(+VLOOKUP(Movimientos_2026[[#This Row],[Codigo]],Plan_cuentas[],5,FALSE)," ")</f>
        <v>BAPRO</v>
      </c>
      <c r="I1631" s="43">
        <v>46113</v>
      </c>
      <c r="J1631" t="s">
        <v>709</v>
      </c>
      <c r="K1631" t="str">
        <f>IFERROR(+VLOOKUP(Movimientos_2026[[#This Row],[Codigo]],Plan_cuentas[],6,FALSE)," ")</f>
        <v>6 - FCAtr - Fiat Transf.</v>
      </c>
      <c r="L1631" s="50"/>
      <c r="M1631" s="52">
        <v>2814990.8</v>
      </c>
      <c r="N1631" s="20">
        <f>+Movimientos_2026[[#This Row],[Ingresos]]-Movimientos_2026[[#This Row],[Egresos]]</f>
        <v>-2814990.8</v>
      </c>
      <c r="O1631" s="20">
        <f>+O1630+Movimientos_2026[[#This Row],[Neto]]</f>
        <v>5584782068.6768742</v>
      </c>
    </row>
    <row r="1632" spans="1:15" x14ac:dyDescent="0.25">
      <c r="A1632" s="13">
        <v>46157</v>
      </c>
      <c r="B1632" s="12">
        <f>MONTH(Movimientos_2026[[#This Row],[Fecha]])</f>
        <v>5</v>
      </c>
      <c r="C1632" s="12" t="str">
        <f>VLOOKUP((WEEKDAY(Movimientos_2026[[#This Row],[Fecha]],2)),'5. Setup'!$D$6:$E$12,2,FALSE)</f>
        <v>Vie</v>
      </c>
      <c r="D1632">
        <v>2044126</v>
      </c>
      <c r="E1632" t="str">
        <f>IFERROR(+VLOOKUP(Movimientos_2026[[#This Row],[Codigo]],Plan_cuentas[],2,FALSE)," ")</f>
        <v>EGRESOS</v>
      </c>
      <c r="F1632" t="str">
        <f>IFERROR(+VLOOKUP(Movimientos_2026[[#This Row],[Codigo]],Plan_cuentas[],3,FALSE)," ")</f>
        <v>Transferencia</v>
      </c>
      <c r="G1632" t="str">
        <f>IFERROR(+VLOOKUP(Movimientos_2026[[#This Row],[Codigo]],Plan_cuentas[],4,FALSE)," ")</f>
        <v>Rentas</v>
      </c>
      <c r="H1632" t="str">
        <f>IFERROR(+VLOOKUP(Movimientos_2026[[#This Row],[Codigo]],Plan_cuentas[],5,FALSE)," ")</f>
        <v>BAPRO</v>
      </c>
      <c r="I1632" s="43">
        <v>46113</v>
      </c>
      <c r="J1632" t="s">
        <v>710</v>
      </c>
      <c r="K1632" t="str">
        <f>IFERROR(+VLOOKUP(Movimientos_2026[[#This Row],[Codigo]],Plan_cuentas[],6,FALSE)," ")</f>
        <v>6 - FCAtr - Fiat Transf.</v>
      </c>
      <c r="L1632" s="50"/>
      <c r="M1632" s="52">
        <v>2530526.9</v>
      </c>
      <c r="N1632" s="20">
        <f>+Movimientos_2026[[#This Row],[Ingresos]]-Movimientos_2026[[#This Row],[Egresos]]</f>
        <v>-2530526.9</v>
      </c>
      <c r="O1632" s="20">
        <f>+O1631+Movimientos_2026[[#This Row],[Neto]]</f>
        <v>5582251541.7768745</v>
      </c>
    </row>
    <row r="1633" spans="1:15" x14ac:dyDescent="0.25">
      <c r="A1633" s="13">
        <v>46157</v>
      </c>
      <c r="B1633" s="12">
        <f>MONTH(Movimientos_2026[[#This Row],[Fecha]])</f>
        <v>5</v>
      </c>
      <c r="C1633" s="12" t="str">
        <f>VLOOKUP((WEEKDAY(Movimientos_2026[[#This Row],[Fecha]],2)),'5. Setup'!$D$6:$E$12,2,FALSE)</f>
        <v>Vie</v>
      </c>
      <c r="D1633">
        <v>2044126</v>
      </c>
      <c r="E1633" t="str">
        <f>IFERROR(+VLOOKUP(Movimientos_2026[[#This Row],[Codigo]],Plan_cuentas[],2,FALSE)," ")</f>
        <v>EGRESOS</v>
      </c>
      <c r="F1633" t="str">
        <f>IFERROR(+VLOOKUP(Movimientos_2026[[#This Row],[Codigo]],Plan_cuentas[],3,FALSE)," ")</f>
        <v>Transferencia</v>
      </c>
      <c r="G1633" t="str">
        <f>IFERROR(+VLOOKUP(Movimientos_2026[[#This Row],[Codigo]],Plan_cuentas[],4,FALSE)," ")</f>
        <v>Rentas</v>
      </c>
      <c r="H1633" t="str">
        <f>IFERROR(+VLOOKUP(Movimientos_2026[[#This Row],[Codigo]],Plan_cuentas[],5,FALSE)," ")</f>
        <v>BAPRO</v>
      </c>
      <c r="I1633" s="43">
        <v>46113</v>
      </c>
      <c r="J1633" t="s">
        <v>711</v>
      </c>
      <c r="K1633" t="str">
        <f>IFERROR(+VLOOKUP(Movimientos_2026[[#This Row],[Codigo]],Plan_cuentas[],6,FALSE)," ")</f>
        <v>6 - FCAtr - Fiat Transf.</v>
      </c>
      <c r="L1633" s="50"/>
      <c r="M1633" s="52">
        <v>2226513.9</v>
      </c>
      <c r="N1633" s="20">
        <f>+Movimientos_2026[[#This Row],[Ingresos]]-Movimientos_2026[[#This Row],[Egresos]]</f>
        <v>-2226513.9</v>
      </c>
      <c r="O1633" s="20">
        <f>+O1632+Movimientos_2026[[#This Row],[Neto]]</f>
        <v>5580025027.8768749</v>
      </c>
    </row>
    <row r="1634" spans="1:15" x14ac:dyDescent="0.25">
      <c r="A1634" s="13">
        <v>46157</v>
      </c>
      <c r="B1634" s="12">
        <f>MONTH(Movimientos_2026[[#This Row],[Fecha]])</f>
        <v>5</v>
      </c>
      <c r="C1634" s="12" t="str">
        <f>VLOOKUP((WEEKDAY(Movimientos_2026[[#This Row],[Fecha]],2)),'5. Setup'!$D$6:$E$12,2,FALSE)</f>
        <v>Vie</v>
      </c>
      <c r="D1634">
        <v>2044126</v>
      </c>
      <c r="E1634" t="str">
        <f>IFERROR(+VLOOKUP(Movimientos_2026[[#This Row],[Codigo]],Plan_cuentas[],2,FALSE)," ")</f>
        <v>EGRESOS</v>
      </c>
      <c r="F1634" t="str">
        <f>IFERROR(+VLOOKUP(Movimientos_2026[[#This Row],[Codigo]],Plan_cuentas[],3,FALSE)," ")</f>
        <v>Transferencia</v>
      </c>
      <c r="G1634" t="str">
        <f>IFERROR(+VLOOKUP(Movimientos_2026[[#This Row],[Codigo]],Plan_cuentas[],4,FALSE)," ")</f>
        <v>Rentas</v>
      </c>
      <c r="H1634" t="str">
        <f>IFERROR(+VLOOKUP(Movimientos_2026[[#This Row],[Codigo]],Plan_cuentas[],5,FALSE)," ")</f>
        <v>BAPRO</v>
      </c>
      <c r="I1634" s="43">
        <v>46113</v>
      </c>
      <c r="J1634" t="s">
        <v>712</v>
      </c>
      <c r="K1634" t="str">
        <f>IFERROR(+VLOOKUP(Movimientos_2026[[#This Row],[Codigo]],Plan_cuentas[],6,FALSE)," ")</f>
        <v>6 - FCAtr - Fiat Transf.</v>
      </c>
      <c r="L1634" s="50"/>
      <c r="M1634" s="52">
        <v>223542.8</v>
      </c>
      <c r="N1634" s="20">
        <f>+Movimientos_2026[[#This Row],[Ingresos]]-Movimientos_2026[[#This Row],[Egresos]]</f>
        <v>-223542.8</v>
      </c>
      <c r="O1634" s="20">
        <f>+O1633+Movimientos_2026[[#This Row],[Neto]]</f>
        <v>5579801485.0768747</v>
      </c>
    </row>
    <row r="1635" spans="1:15" x14ac:dyDescent="0.25">
      <c r="A1635" s="13">
        <v>46157</v>
      </c>
      <c r="B1635" s="12">
        <f>MONTH(Movimientos_2026[[#This Row],[Fecha]])</f>
        <v>5</v>
      </c>
      <c r="C1635" s="12" t="str">
        <f>VLOOKUP((WEEKDAY(Movimientos_2026[[#This Row],[Fecha]],2)),'5. Setup'!$D$6:$E$12,2,FALSE)</f>
        <v>Vie</v>
      </c>
      <c r="D1635">
        <v>2044126</v>
      </c>
      <c r="E1635" t="str">
        <f>IFERROR(+VLOOKUP(Movimientos_2026[[#This Row],[Codigo]],Plan_cuentas[],2,FALSE)," ")</f>
        <v>EGRESOS</v>
      </c>
      <c r="F1635" t="str">
        <f>IFERROR(+VLOOKUP(Movimientos_2026[[#This Row],[Codigo]],Plan_cuentas[],3,FALSE)," ")</f>
        <v>Transferencia</v>
      </c>
      <c r="G1635" t="str">
        <f>IFERROR(+VLOOKUP(Movimientos_2026[[#This Row],[Codigo]],Plan_cuentas[],4,FALSE)," ")</f>
        <v>Rentas</v>
      </c>
      <c r="H1635" t="str">
        <f>IFERROR(+VLOOKUP(Movimientos_2026[[#This Row],[Codigo]],Plan_cuentas[],5,FALSE)," ")</f>
        <v>BAPRO</v>
      </c>
      <c r="I1635" s="43">
        <v>46113</v>
      </c>
      <c r="J1635" t="s">
        <v>713</v>
      </c>
      <c r="K1635" t="str">
        <f>IFERROR(+VLOOKUP(Movimientos_2026[[#This Row],[Codigo]],Plan_cuentas[],6,FALSE)," ")</f>
        <v>6 - FCAtr - Fiat Transf.</v>
      </c>
      <c r="L1635" s="50"/>
      <c r="M1635" s="52">
        <v>197914.6</v>
      </c>
      <c r="N1635" s="20">
        <f>+Movimientos_2026[[#This Row],[Ingresos]]-Movimientos_2026[[#This Row],[Egresos]]</f>
        <v>-197914.6</v>
      </c>
      <c r="O1635" s="20">
        <f>+O1634+Movimientos_2026[[#This Row],[Neto]]</f>
        <v>5579603570.4768744</v>
      </c>
    </row>
    <row r="1636" spans="1:15" x14ac:dyDescent="0.25">
      <c r="A1636" s="13">
        <v>46157</v>
      </c>
      <c r="B1636" s="12">
        <f>MONTH(Movimientos_2026[[#This Row],[Fecha]])</f>
        <v>5</v>
      </c>
      <c r="C1636" s="12" t="str">
        <f>VLOOKUP((WEEKDAY(Movimientos_2026[[#This Row],[Fecha]],2)),'5. Setup'!$D$6:$E$12,2,FALSE)</f>
        <v>Vie</v>
      </c>
      <c r="D1636">
        <v>2044463</v>
      </c>
      <c r="E1636" t="str">
        <f>IFERROR(+VLOOKUP(Movimientos_2026[[#This Row],[Codigo]],Plan_cuentas[],2,FALSE)," ")</f>
        <v>EGRESOS</v>
      </c>
      <c r="F1636" t="str">
        <f>IFERROR(+VLOOKUP(Movimientos_2026[[#This Row],[Codigo]],Plan_cuentas[],3,FALSE)," ")</f>
        <v>Transferencia</v>
      </c>
      <c r="G1636" t="str">
        <f>IFERROR(+VLOOKUP(Movimientos_2026[[#This Row],[Codigo]],Plan_cuentas[],4,FALSE)," ")</f>
        <v>Rentas</v>
      </c>
      <c r="H1636" t="str">
        <f>IFERROR(+VLOOKUP(Movimientos_2026[[#This Row],[Codigo]],Plan_cuentas[],5,FALSE)," ")</f>
        <v>MISIONES</v>
      </c>
      <c r="I1636" s="43">
        <v>46113</v>
      </c>
      <c r="J1636" t="s">
        <v>714</v>
      </c>
      <c r="K1636" t="str">
        <f>IFERROR(+VLOOKUP(Movimientos_2026[[#This Row],[Codigo]],Plan_cuentas[],6,FALSE)," ")</f>
        <v>3 - GM - Chevrolet</v>
      </c>
      <c r="L1636" s="50"/>
      <c r="M1636" s="50">
        <v>3564686.87</v>
      </c>
      <c r="N1636" s="20">
        <f>+Movimientos_2026[[#This Row],[Ingresos]]-Movimientos_2026[[#This Row],[Egresos]]</f>
        <v>-3564686.87</v>
      </c>
      <c r="O1636" s="20">
        <f>+O1635+Movimientos_2026[[#This Row],[Neto]]</f>
        <v>5576038883.6068745</v>
      </c>
    </row>
    <row r="1637" spans="1:15" x14ac:dyDescent="0.25">
      <c r="A1637" s="13">
        <v>46160</v>
      </c>
      <c r="B1637" s="12">
        <f>MONTH(Movimientos_2026[[#This Row],[Fecha]])</f>
        <v>5</v>
      </c>
      <c r="C1637" s="12" t="str">
        <f>VLOOKUP((WEEKDAY(Movimientos_2026[[#This Row],[Fecha]],2)),'5. Setup'!$D$6:$E$12,2,FALSE)</f>
        <v>Lun</v>
      </c>
      <c r="D1637">
        <v>2014352</v>
      </c>
      <c r="E1637" t="str">
        <f>IFERROR(+VLOOKUP(Movimientos_2026[[#This Row],[Codigo]],Plan_cuentas[],2,FALSE)," ")</f>
        <v>EGRESOS</v>
      </c>
      <c r="F1637" t="str">
        <f>IFERROR(+VLOOKUP(Movimientos_2026[[#This Row],[Codigo]],Plan_cuentas[],3,FALSE)," ")</f>
        <v>BtoB</v>
      </c>
      <c r="G1637" t="str">
        <f>IFERROR(+VLOOKUP(Movimientos_2026[[#This Row],[Codigo]],Plan_cuentas[],4,FALSE)," ")</f>
        <v>Rentas</v>
      </c>
      <c r="H1637" t="str">
        <f>IFERROR(+VLOOKUP(Movimientos_2026[[#This Row],[Codigo]],Plan_cuentas[],5,FALSE)," ")</f>
        <v>SAN JUAN</v>
      </c>
      <c r="I1637" s="43">
        <v>46113</v>
      </c>
      <c r="J1637" t="s">
        <v>715</v>
      </c>
      <c r="K1637" t="str">
        <f>IFERROR(+VLOOKUP(Movimientos_2026[[#This Row],[Codigo]],Plan_cuentas[],6,FALSE)," ")</f>
        <v>2 - PR - Plan Rombo</v>
      </c>
      <c r="L1637" s="50"/>
      <c r="M1637" s="50">
        <v>5735960.5300000003</v>
      </c>
      <c r="N1637" s="20">
        <f>+Movimientos_2026[[#This Row],[Ingresos]]-Movimientos_2026[[#This Row],[Egresos]]</f>
        <v>-5735960.5300000003</v>
      </c>
      <c r="O1637" s="20">
        <f>+O1636+Movimientos_2026[[#This Row],[Neto]]</f>
        <v>5570302923.0768747</v>
      </c>
    </row>
    <row r="1638" spans="1:15" x14ac:dyDescent="0.25">
      <c r="A1638" s="13">
        <v>46160</v>
      </c>
      <c r="B1638" s="12">
        <f>MONTH(Movimientos_2026[[#This Row],[Fecha]])</f>
        <v>5</v>
      </c>
      <c r="C1638" s="12" t="str">
        <f>VLOOKUP((WEEKDAY(Movimientos_2026[[#This Row],[Fecha]],2)),'5. Setup'!$D$6:$E$12,2,FALSE)</f>
        <v>Lun</v>
      </c>
      <c r="D1638">
        <v>2014354</v>
      </c>
      <c r="E1638" t="str">
        <f>IFERROR(+VLOOKUP(Movimientos_2026[[#This Row],[Codigo]],Plan_cuentas[],2,FALSE)," ")</f>
        <v>EGRESOS</v>
      </c>
      <c r="F1638" t="str">
        <f>IFERROR(+VLOOKUP(Movimientos_2026[[#This Row],[Codigo]],Plan_cuentas[],3,FALSE)," ")</f>
        <v>BtoB</v>
      </c>
      <c r="G1638" t="str">
        <f>IFERROR(+VLOOKUP(Movimientos_2026[[#This Row],[Codigo]],Plan_cuentas[],4,FALSE)," ")</f>
        <v>Rentas</v>
      </c>
      <c r="H1638" t="str">
        <f>IFERROR(+VLOOKUP(Movimientos_2026[[#This Row],[Codigo]],Plan_cuentas[],5,FALSE)," ")</f>
        <v>SAN JUAN</v>
      </c>
      <c r="I1638" s="43">
        <v>46113</v>
      </c>
      <c r="J1638" t="s">
        <v>716</v>
      </c>
      <c r="K1638" t="str">
        <f>IFERROR(+VLOOKUP(Movimientos_2026[[#This Row],[Codigo]],Plan_cuentas[],6,FALSE)," ")</f>
        <v>4 - FCA - Fiat</v>
      </c>
      <c r="L1638" s="50"/>
      <c r="M1638" s="50">
        <v>6285840</v>
      </c>
      <c r="N1638" s="20">
        <f>+Movimientos_2026[[#This Row],[Ingresos]]-Movimientos_2026[[#This Row],[Egresos]]</f>
        <v>-6285840</v>
      </c>
      <c r="O1638" s="20">
        <f>+O1637+Movimientos_2026[[#This Row],[Neto]]</f>
        <v>5564017083.0768747</v>
      </c>
    </row>
    <row r="1639" spans="1:15" x14ac:dyDescent="0.25">
      <c r="A1639" s="13">
        <v>46160</v>
      </c>
      <c r="B1639" s="12">
        <f>MONTH(Movimientos_2026[[#This Row],[Fecha]])</f>
        <v>5</v>
      </c>
      <c r="C1639" s="12" t="str">
        <f>VLOOKUP((WEEKDAY(Movimientos_2026[[#This Row],[Fecha]],2)),'5. Setup'!$D$6:$E$12,2,FALSE)</f>
        <v>Lun</v>
      </c>
      <c r="D1639">
        <v>2014356</v>
      </c>
      <c r="E1639" t="str">
        <f>IFERROR(+VLOOKUP(Movimientos_2026[[#This Row],[Codigo]],Plan_cuentas[],2,FALSE)," ")</f>
        <v>EGRESOS</v>
      </c>
      <c r="F1639" t="str">
        <f>IFERROR(+VLOOKUP(Movimientos_2026[[#This Row],[Codigo]],Plan_cuentas[],3,FALSE)," ")</f>
        <v>BtoB</v>
      </c>
      <c r="G1639" t="str">
        <f>IFERROR(+VLOOKUP(Movimientos_2026[[#This Row],[Codigo]],Plan_cuentas[],4,FALSE)," ")</f>
        <v>Rentas</v>
      </c>
      <c r="H1639" t="str">
        <f>IFERROR(+VLOOKUP(Movimientos_2026[[#This Row],[Codigo]],Plan_cuentas[],5,FALSE)," ")</f>
        <v>SAN JUAN</v>
      </c>
      <c r="I1639" s="43">
        <v>46113</v>
      </c>
      <c r="J1639" t="s">
        <v>716</v>
      </c>
      <c r="K1639" t="str">
        <f>IFERROR(+VLOOKUP(Movimientos_2026[[#This Row],[Codigo]],Plan_cuentas[],6,FALSE)," ")</f>
        <v>6 - FCAtr - Fiat Transf.</v>
      </c>
      <c r="L1639" s="50"/>
      <c r="M1639" s="50">
        <v>5688920.75</v>
      </c>
      <c r="N1639" s="20">
        <f>+Movimientos_2026[[#This Row],[Ingresos]]-Movimientos_2026[[#This Row],[Egresos]]</f>
        <v>-5688920.75</v>
      </c>
      <c r="O1639" s="20">
        <f>+O1638+Movimientos_2026[[#This Row],[Neto]]</f>
        <v>5558328162.3268747</v>
      </c>
    </row>
    <row r="1640" spans="1:15" x14ac:dyDescent="0.25">
      <c r="A1640" s="13">
        <v>46160</v>
      </c>
      <c r="B1640" s="12">
        <f>MONTH(Movimientos_2026[[#This Row],[Fecha]])</f>
        <v>5</v>
      </c>
      <c r="C1640" s="12" t="str">
        <f>VLOOKUP((WEEKDAY(Movimientos_2026[[#This Row],[Fecha]],2)),'5. Setup'!$D$6:$E$12,2,FALSE)</f>
        <v>Lun</v>
      </c>
      <c r="D1640">
        <v>2044126</v>
      </c>
      <c r="E1640" t="str">
        <f>IFERROR(+VLOOKUP(Movimientos_2026[[#This Row],[Codigo]],Plan_cuentas[],2,FALSE)," ")</f>
        <v>EGRESOS</v>
      </c>
      <c r="F1640" t="str">
        <f>IFERROR(+VLOOKUP(Movimientos_2026[[#This Row],[Codigo]],Plan_cuentas[],3,FALSE)," ")</f>
        <v>Transferencia</v>
      </c>
      <c r="G1640" t="str">
        <f>IFERROR(+VLOOKUP(Movimientos_2026[[#This Row],[Codigo]],Plan_cuentas[],4,FALSE)," ")</f>
        <v>Rentas</v>
      </c>
      <c r="H1640" t="str">
        <f>IFERROR(+VLOOKUP(Movimientos_2026[[#This Row],[Codigo]],Plan_cuentas[],5,FALSE)," ")</f>
        <v>BAPRO</v>
      </c>
      <c r="I1640" s="43">
        <v>46113</v>
      </c>
      <c r="J1640" t="s">
        <v>717</v>
      </c>
      <c r="K1640" t="str">
        <f>IFERROR(+VLOOKUP(Movimientos_2026[[#This Row],[Codigo]],Plan_cuentas[],6,FALSE)," ")</f>
        <v>6 - FCAtr - Fiat Transf.</v>
      </c>
      <c r="L1640" s="50"/>
      <c r="M1640" s="50">
        <v>4696447.5</v>
      </c>
      <c r="N1640" s="20">
        <f>+Movimientos_2026[[#This Row],[Ingresos]]-Movimientos_2026[[#This Row],[Egresos]]</f>
        <v>-4696447.5</v>
      </c>
      <c r="O1640" s="20">
        <f>+O1639+Movimientos_2026[[#This Row],[Neto]]</f>
        <v>5553631714.8268747</v>
      </c>
    </row>
    <row r="1641" spans="1:15" x14ac:dyDescent="0.25">
      <c r="A1641" s="13">
        <v>46160</v>
      </c>
      <c r="B1641" s="12">
        <f>MONTH(Movimientos_2026[[#This Row],[Fecha]])</f>
        <v>5</v>
      </c>
      <c r="C1641" s="12" t="str">
        <f>VLOOKUP((WEEKDAY(Movimientos_2026[[#This Row],[Fecha]],2)),'5. Setup'!$D$6:$E$12,2,FALSE)</f>
        <v>Lun</v>
      </c>
      <c r="D1641">
        <v>2044126</v>
      </c>
      <c r="E1641" t="str">
        <f>IFERROR(+VLOOKUP(Movimientos_2026[[#This Row],[Codigo]],Plan_cuentas[],2,FALSE)," ")</f>
        <v>EGRESOS</v>
      </c>
      <c r="F1641" t="str">
        <f>IFERROR(+VLOOKUP(Movimientos_2026[[#This Row],[Codigo]],Plan_cuentas[],3,FALSE)," ")</f>
        <v>Transferencia</v>
      </c>
      <c r="G1641" t="str">
        <f>IFERROR(+VLOOKUP(Movimientos_2026[[#This Row],[Codigo]],Plan_cuentas[],4,FALSE)," ")</f>
        <v>Rentas</v>
      </c>
      <c r="H1641" t="str">
        <f>IFERROR(+VLOOKUP(Movimientos_2026[[#This Row],[Codigo]],Plan_cuentas[],5,FALSE)," ")</f>
        <v>BAPRO</v>
      </c>
      <c r="I1641" s="43">
        <v>46113</v>
      </c>
      <c r="J1641" t="s">
        <v>718</v>
      </c>
      <c r="K1641" t="str">
        <f>IFERROR(+VLOOKUP(Movimientos_2026[[#This Row],[Codigo]],Plan_cuentas[],6,FALSE)," ")</f>
        <v>6 - FCAtr - Fiat Transf.</v>
      </c>
      <c r="L1641" s="50"/>
      <c r="M1641" s="50">
        <v>2071784.6</v>
      </c>
      <c r="N1641" s="20">
        <f>+Movimientos_2026[[#This Row],[Ingresos]]-Movimientos_2026[[#This Row],[Egresos]]</f>
        <v>-2071784.6</v>
      </c>
      <c r="O1641" s="20">
        <f>+O1640+Movimientos_2026[[#This Row],[Neto]]</f>
        <v>5551559930.2268744</v>
      </c>
    </row>
    <row r="1642" spans="1:15" x14ac:dyDescent="0.25">
      <c r="A1642" s="13">
        <v>46160</v>
      </c>
      <c r="B1642" s="12">
        <f>MONTH(Movimientos_2026[[#This Row],[Fecha]])</f>
        <v>5</v>
      </c>
      <c r="C1642" s="12" t="str">
        <f>VLOOKUP((WEEKDAY(Movimientos_2026[[#This Row],[Fecha]],2)),'5. Setup'!$D$6:$E$12,2,FALSE)</f>
        <v>Lun</v>
      </c>
      <c r="D1642">
        <v>2044126</v>
      </c>
      <c r="E1642" t="str">
        <f>IFERROR(+VLOOKUP(Movimientos_2026[[#This Row],[Codigo]],Plan_cuentas[],2,FALSE)," ")</f>
        <v>EGRESOS</v>
      </c>
      <c r="F1642" t="str">
        <f>IFERROR(+VLOOKUP(Movimientos_2026[[#This Row],[Codigo]],Plan_cuentas[],3,FALSE)," ")</f>
        <v>Transferencia</v>
      </c>
      <c r="G1642" t="str">
        <f>IFERROR(+VLOOKUP(Movimientos_2026[[#This Row],[Codigo]],Plan_cuentas[],4,FALSE)," ")</f>
        <v>Rentas</v>
      </c>
      <c r="H1642" t="str">
        <f>IFERROR(+VLOOKUP(Movimientos_2026[[#This Row],[Codigo]],Plan_cuentas[],5,FALSE)," ")</f>
        <v>BAPRO</v>
      </c>
      <c r="I1642" s="43">
        <v>46113</v>
      </c>
      <c r="J1642" t="s">
        <v>719</v>
      </c>
      <c r="K1642" t="str">
        <f>IFERROR(+VLOOKUP(Movimientos_2026[[#This Row],[Codigo]],Plan_cuentas[],6,FALSE)," ")</f>
        <v>6 - FCAtr - Fiat Transf.</v>
      </c>
      <c r="L1642" s="50"/>
      <c r="M1642" s="50">
        <v>1884894.7</v>
      </c>
      <c r="N1642" s="20">
        <f>+Movimientos_2026[[#This Row],[Ingresos]]-Movimientos_2026[[#This Row],[Egresos]]</f>
        <v>-1884894.7</v>
      </c>
      <c r="O1642" s="20">
        <f>+O1641+Movimientos_2026[[#This Row],[Neto]]</f>
        <v>5549675035.5268745</v>
      </c>
    </row>
    <row r="1643" spans="1:15" x14ac:dyDescent="0.25">
      <c r="A1643" s="13">
        <v>46160</v>
      </c>
      <c r="B1643" s="12">
        <f>MONTH(Movimientos_2026[[#This Row],[Fecha]])</f>
        <v>5</v>
      </c>
      <c r="C1643" s="12" t="str">
        <f>VLOOKUP((WEEKDAY(Movimientos_2026[[#This Row],[Fecha]],2)),'5. Setup'!$D$6:$E$12,2,FALSE)</f>
        <v>Lun</v>
      </c>
      <c r="D1643">
        <v>2044126</v>
      </c>
      <c r="E1643" t="str">
        <f>IFERROR(+VLOOKUP(Movimientos_2026[[#This Row],[Codigo]],Plan_cuentas[],2,FALSE)," ")</f>
        <v>EGRESOS</v>
      </c>
      <c r="F1643" t="str">
        <f>IFERROR(+VLOOKUP(Movimientos_2026[[#This Row],[Codigo]],Plan_cuentas[],3,FALSE)," ")</f>
        <v>Transferencia</v>
      </c>
      <c r="G1643" t="str">
        <f>IFERROR(+VLOOKUP(Movimientos_2026[[#This Row],[Codigo]],Plan_cuentas[],4,FALSE)," ")</f>
        <v>Rentas</v>
      </c>
      <c r="H1643" t="str">
        <f>IFERROR(+VLOOKUP(Movimientos_2026[[#This Row],[Codigo]],Plan_cuentas[],5,FALSE)," ")</f>
        <v>BAPRO</v>
      </c>
      <c r="I1643" s="43">
        <v>46113</v>
      </c>
      <c r="J1643" t="s">
        <v>720</v>
      </c>
      <c r="K1643" t="str">
        <f>IFERROR(+VLOOKUP(Movimientos_2026[[#This Row],[Codigo]],Plan_cuentas[],6,FALSE)," ")</f>
        <v>6 - FCAtr - Fiat Transf.</v>
      </c>
      <c r="L1643" s="50"/>
      <c r="M1643" s="50">
        <v>1787976.5</v>
      </c>
      <c r="N1643" s="20">
        <f>+Movimientos_2026[[#This Row],[Ingresos]]-Movimientos_2026[[#This Row],[Egresos]]</f>
        <v>-1787976.5</v>
      </c>
      <c r="O1643" s="20">
        <f>+O1642+Movimientos_2026[[#This Row],[Neto]]</f>
        <v>5547887059.0268745</v>
      </c>
    </row>
    <row r="1644" spans="1:15" x14ac:dyDescent="0.25">
      <c r="A1644" s="13">
        <v>46160</v>
      </c>
      <c r="B1644" s="12">
        <f>MONTH(Movimientos_2026[[#This Row],[Fecha]])</f>
        <v>5</v>
      </c>
      <c r="C1644" s="12" t="str">
        <f>VLOOKUP((WEEKDAY(Movimientos_2026[[#This Row],[Fecha]],2)),'5. Setup'!$D$6:$E$12,2,FALSE)</f>
        <v>Lun</v>
      </c>
      <c r="D1644">
        <v>2044126</v>
      </c>
      <c r="E1644" t="str">
        <f>IFERROR(+VLOOKUP(Movimientos_2026[[#This Row],[Codigo]],Plan_cuentas[],2,FALSE)," ")</f>
        <v>EGRESOS</v>
      </c>
      <c r="F1644" t="str">
        <f>IFERROR(+VLOOKUP(Movimientos_2026[[#This Row],[Codigo]],Plan_cuentas[],3,FALSE)," ")</f>
        <v>Transferencia</v>
      </c>
      <c r="G1644" t="str">
        <f>IFERROR(+VLOOKUP(Movimientos_2026[[#This Row],[Codigo]],Plan_cuentas[],4,FALSE)," ")</f>
        <v>Rentas</v>
      </c>
      <c r="H1644" t="str">
        <f>IFERROR(+VLOOKUP(Movimientos_2026[[#This Row],[Codigo]],Plan_cuentas[],5,FALSE)," ")</f>
        <v>BAPRO</v>
      </c>
      <c r="I1644" s="43">
        <v>46113</v>
      </c>
      <c r="J1644" t="s">
        <v>721</v>
      </c>
      <c r="K1644" t="str">
        <f>IFERROR(+VLOOKUP(Movimientos_2026[[#This Row],[Codigo]],Plan_cuentas[],6,FALSE)," ")</f>
        <v>6 - FCAtr - Fiat Transf.</v>
      </c>
      <c r="L1644" s="50"/>
      <c r="M1644" s="50">
        <v>1641812.9</v>
      </c>
      <c r="N1644" s="20">
        <f>+Movimientos_2026[[#This Row],[Ingresos]]-Movimientos_2026[[#This Row],[Egresos]]</f>
        <v>-1641812.9</v>
      </c>
      <c r="O1644" s="20">
        <f>+O1643+Movimientos_2026[[#This Row],[Neto]]</f>
        <v>5546245246.1268749</v>
      </c>
    </row>
    <row r="1645" spans="1:15" x14ac:dyDescent="0.25">
      <c r="A1645" s="13">
        <v>46160</v>
      </c>
      <c r="B1645" s="12">
        <f>MONTH(Movimientos_2026[[#This Row],[Fecha]])</f>
        <v>5</v>
      </c>
      <c r="C1645" s="12" t="str">
        <f>VLOOKUP((WEEKDAY(Movimientos_2026[[#This Row],[Fecha]],2)),'5. Setup'!$D$6:$E$12,2,FALSE)</f>
        <v>Lun</v>
      </c>
      <c r="D1645">
        <v>2044126</v>
      </c>
      <c r="E1645" t="str">
        <f>IFERROR(+VLOOKUP(Movimientos_2026[[#This Row],[Codigo]],Plan_cuentas[],2,FALSE)," ")</f>
        <v>EGRESOS</v>
      </c>
      <c r="F1645" t="str">
        <f>IFERROR(+VLOOKUP(Movimientos_2026[[#This Row],[Codigo]],Plan_cuentas[],3,FALSE)," ")</f>
        <v>Transferencia</v>
      </c>
      <c r="G1645" t="str">
        <f>IFERROR(+VLOOKUP(Movimientos_2026[[#This Row],[Codigo]],Plan_cuentas[],4,FALSE)," ")</f>
        <v>Rentas</v>
      </c>
      <c r="H1645" t="str">
        <f>IFERROR(+VLOOKUP(Movimientos_2026[[#This Row],[Codigo]],Plan_cuentas[],5,FALSE)," ")</f>
        <v>BAPRO</v>
      </c>
      <c r="I1645" s="43">
        <v>46113</v>
      </c>
      <c r="J1645" t="s">
        <v>722</v>
      </c>
      <c r="K1645" t="str">
        <f>IFERROR(+VLOOKUP(Movimientos_2026[[#This Row],[Codigo]],Plan_cuentas[],6,FALSE)," ")</f>
        <v>6 - FCAtr - Fiat Transf.</v>
      </c>
      <c r="L1645" s="50"/>
      <c r="M1645" s="50">
        <v>1481555</v>
      </c>
      <c r="N1645" s="20">
        <f>+Movimientos_2026[[#This Row],[Ingresos]]-Movimientos_2026[[#This Row],[Egresos]]</f>
        <v>-1481555</v>
      </c>
      <c r="O1645" s="20">
        <f>+O1644+Movimientos_2026[[#This Row],[Neto]]</f>
        <v>5544763691.1268749</v>
      </c>
    </row>
    <row r="1646" spans="1:15" x14ac:dyDescent="0.25">
      <c r="A1646" s="13">
        <v>46160</v>
      </c>
      <c r="B1646" s="12">
        <f>MONTH(Movimientos_2026[[#This Row],[Fecha]])</f>
        <v>5</v>
      </c>
      <c r="C1646" s="12" t="str">
        <f>VLOOKUP((WEEKDAY(Movimientos_2026[[#This Row],[Fecha]],2)),'5. Setup'!$D$6:$E$12,2,FALSE)</f>
        <v>Lun</v>
      </c>
      <c r="D1646">
        <v>2044126</v>
      </c>
      <c r="E1646" t="str">
        <f>IFERROR(+VLOOKUP(Movimientos_2026[[#This Row],[Codigo]],Plan_cuentas[],2,FALSE)," ")</f>
        <v>EGRESOS</v>
      </c>
      <c r="F1646" t="str">
        <f>IFERROR(+VLOOKUP(Movimientos_2026[[#This Row],[Codigo]],Plan_cuentas[],3,FALSE)," ")</f>
        <v>Transferencia</v>
      </c>
      <c r="G1646" t="str">
        <f>IFERROR(+VLOOKUP(Movimientos_2026[[#This Row],[Codigo]],Plan_cuentas[],4,FALSE)," ")</f>
        <v>Rentas</v>
      </c>
      <c r="H1646" t="str">
        <f>IFERROR(+VLOOKUP(Movimientos_2026[[#This Row],[Codigo]],Plan_cuentas[],5,FALSE)," ")</f>
        <v>BAPRO</v>
      </c>
      <c r="I1646" s="43">
        <v>46113</v>
      </c>
      <c r="J1646" t="s">
        <v>723</v>
      </c>
      <c r="K1646" t="str">
        <f>IFERROR(+VLOOKUP(Movimientos_2026[[#This Row],[Codigo]],Plan_cuentas[],6,FALSE)," ")</f>
        <v>6 - FCAtr - Fiat Transf.</v>
      </c>
      <c r="L1646" s="50"/>
      <c r="M1646" s="50">
        <v>1381999.5</v>
      </c>
      <c r="N1646" s="20">
        <f>+Movimientos_2026[[#This Row],[Ingresos]]-Movimientos_2026[[#This Row],[Egresos]]</f>
        <v>-1381999.5</v>
      </c>
      <c r="O1646" s="20">
        <f>+O1645+Movimientos_2026[[#This Row],[Neto]]</f>
        <v>5543381691.6268749</v>
      </c>
    </row>
    <row r="1647" spans="1:15" x14ac:dyDescent="0.25">
      <c r="A1647" s="13">
        <v>46160</v>
      </c>
      <c r="B1647" s="12">
        <f>MONTH(Movimientos_2026[[#This Row],[Fecha]])</f>
        <v>5</v>
      </c>
      <c r="C1647" s="12" t="str">
        <f>VLOOKUP((WEEKDAY(Movimientos_2026[[#This Row],[Fecha]],2)),'5. Setup'!$D$6:$E$12,2,FALSE)</f>
        <v>Lun</v>
      </c>
      <c r="D1647">
        <v>2044126</v>
      </c>
      <c r="E1647" t="str">
        <f>IFERROR(+VLOOKUP(Movimientos_2026[[#This Row],[Codigo]],Plan_cuentas[],2,FALSE)," ")</f>
        <v>EGRESOS</v>
      </c>
      <c r="F1647" t="str">
        <f>IFERROR(+VLOOKUP(Movimientos_2026[[#This Row],[Codigo]],Plan_cuentas[],3,FALSE)," ")</f>
        <v>Transferencia</v>
      </c>
      <c r="G1647" t="str">
        <f>IFERROR(+VLOOKUP(Movimientos_2026[[#This Row],[Codigo]],Plan_cuentas[],4,FALSE)," ")</f>
        <v>Rentas</v>
      </c>
      <c r="H1647" t="str">
        <f>IFERROR(+VLOOKUP(Movimientos_2026[[#This Row],[Codigo]],Plan_cuentas[],5,FALSE)," ")</f>
        <v>BAPRO</v>
      </c>
      <c r="I1647" s="43">
        <v>46113</v>
      </c>
      <c r="J1647" t="s">
        <v>724</v>
      </c>
      <c r="K1647" t="str">
        <f>IFERROR(+VLOOKUP(Movimientos_2026[[#This Row],[Codigo]],Plan_cuentas[],6,FALSE)," ")</f>
        <v>6 - FCAtr - Fiat Transf.</v>
      </c>
      <c r="L1647" s="50"/>
      <c r="M1647" s="50">
        <v>1268029.2</v>
      </c>
      <c r="N1647" s="20">
        <f>+Movimientos_2026[[#This Row],[Ingresos]]-Movimientos_2026[[#This Row],[Egresos]]</f>
        <v>-1268029.2</v>
      </c>
      <c r="O1647" s="20">
        <f>+O1646+Movimientos_2026[[#This Row],[Neto]]</f>
        <v>5542113662.4268751</v>
      </c>
    </row>
    <row r="1648" spans="1:15" x14ac:dyDescent="0.25">
      <c r="A1648" s="13">
        <v>46161</v>
      </c>
      <c r="B1648" s="12">
        <f>MONTH(Movimientos_2026[[#This Row],[Fecha]])</f>
        <v>5</v>
      </c>
      <c r="C1648" s="12" t="str">
        <f>VLOOKUP((WEEKDAY(Movimientos_2026[[#This Row],[Fecha]],2)),'5. Setup'!$D$6:$E$12,2,FALSE)</f>
        <v>Mar</v>
      </c>
      <c r="D1648">
        <v>2044126</v>
      </c>
      <c r="E1648" t="str">
        <f>IFERROR(+VLOOKUP(Movimientos_2026[[#This Row],[Codigo]],Plan_cuentas[],2,FALSE)," ")</f>
        <v>EGRESOS</v>
      </c>
      <c r="F1648" t="str">
        <f>IFERROR(+VLOOKUP(Movimientos_2026[[#This Row],[Codigo]],Plan_cuentas[],3,FALSE)," ")</f>
        <v>Transferencia</v>
      </c>
      <c r="G1648" t="str">
        <f>IFERROR(+VLOOKUP(Movimientos_2026[[#This Row],[Codigo]],Plan_cuentas[],4,FALSE)," ")</f>
        <v>Rentas</v>
      </c>
      <c r="H1648" t="str">
        <f>IFERROR(+VLOOKUP(Movimientos_2026[[#This Row],[Codigo]],Plan_cuentas[],5,FALSE)," ")</f>
        <v>BAPRO</v>
      </c>
      <c r="I1648" s="43">
        <v>46113</v>
      </c>
      <c r="J1648" t="s">
        <v>725</v>
      </c>
      <c r="K1648" t="str">
        <f>IFERROR(+VLOOKUP(Movimientos_2026[[#This Row],[Codigo]],Plan_cuentas[],6,FALSE)," ")</f>
        <v>6 - FCAtr - Fiat Transf.</v>
      </c>
      <c r="L1648" s="50"/>
      <c r="M1648" s="50">
        <v>165836.6</v>
      </c>
      <c r="N1648" s="20">
        <f>+Movimientos_2026[[#This Row],[Ingresos]]-Movimientos_2026[[#This Row],[Egresos]]</f>
        <v>-165836.6</v>
      </c>
      <c r="O1648" s="20">
        <f>+O1647+Movimientos_2026[[#This Row],[Neto]]</f>
        <v>5541947825.8268747</v>
      </c>
    </row>
    <row r="1649" spans="1:15" x14ac:dyDescent="0.25">
      <c r="A1649" s="13">
        <v>46161</v>
      </c>
      <c r="B1649" s="12">
        <f>MONTH(Movimientos_2026[[#This Row],[Fecha]])</f>
        <v>5</v>
      </c>
      <c r="C1649" s="12" t="str">
        <f>VLOOKUP((WEEKDAY(Movimientos_2026[[#This Row],[Fecha]],2)),'5. Setup'!$D$6:$E$12,2,FALSE)</f>
        <v>Mar</v>
      </c>
      <c r="D1649">
        <v>2044126</v>
      </c>
      <c r="E1649" t="str">
        <f>IFERROR(+VLOOKUP(Movimientos_2026[[#This Row],[Codigo]],Plan_cuentas[],2,FALSE)," ")</f>
        <v>EGRESOS</v>
      </c>
      <c r="F1649" t="str">
        <f>IFERROR(+VLOOKUP(Movimientos_2026[[#This Row],[Codigo]],Plan_cuentas[],3,FALSE)," ")</f>
        <v>Transferencia</v>
      </c>
      <c r="G1649" t="str">
        <f>IFERROR(+VLOOKUP(Movimientos_2026[[#This Row],[Codigo]],Plan_cuentas[],4,FALSE)," ")</f>
        <v>Rentas</v>
      </c>
      <c r="H1649" t="str">
        <f>IFERROR(+VLOOKUP(Movimientos_2026[[#This Row],[Codigo]],Plan_cuentas[],5,FALSE)," ")</f>
        <v>BAPRO</v>
      </c>
      <c r="I1649" s="43">
        <v>46113</v>
      </c>
      <c r="J1649" t="s">
        <v>726</v>
      </c>
      <c r="K1649" t="str">
        <f>IFERROR(+VLOOKUP(Movimientos_2026[[#This Row],[Codigo]],Plan_cuentas[],6,FALSE)," ")</f>
        <v>6 - FCAtr - Fiat Transf.</v>
      </c>
      <c r="L1649" s="50"/>
      <c r="M1649" s="50">
        <v>146562.9</v>
      </c>
      <c r="N1649" s="20">
        <f>+Movimientos_2026[[#This Row],[Ingresos]]-Movimientos_2026[[#This Row],[Egresos]]</f>
        <v>-146562.9</v>
      </c>
      <c r="O1649" s="20">
        <f>+O1648+Movimientos_2026[[#This Row],[Neto]]</f>
        <v>5541801262.9268751</v>
      </c>
    </row>
    <row r="1650" spans="1:15" x14ac:dyDescent="0.25">
      <c r="A1650" s="13">
        <v>46161</v>
      </c>
      <c r="B1650" s="12">
        <f>MONTH(Movimientos_2026[[#This Row],[Fecha]])</f>
        <v>5</v>
      </c>
      <c r="C1650" s="12" t="str">
        <f>VLOOKUP((WEEKDAY(Movimientos_2026[[#This Row],[Fecha]],2)),'5. Setup'!$D$6:$E$12,2,FALSE)</f>
        <v>Mar</v>
      </c>
      <c r="D1650">
        <v>2044126</v>
      </c>
      <c r="E1650" t="str">
        <f>IFERROR(+VLOOKUP(Movimientos_2026[[#This Row],[Codigo]],Plan_cuentas[],2,FALSE)," ")</f>
        <v>EGRESOS</v>
      </c>
      <c r="F1650" t="str">
        <f>IFERROR(+VLOOKUP(Movimientos_2026[[#This Row],[Codigo]],Plan_cuentas[],3,FALSE)," ")</f>
        <v>Transferencia</v>
      </c>
      <c r="G1650" t="str">
        <f>IFERROR(+VLOOKUP(Movimientos_2026[[#This Row],[Codigo]],Plan_cuentas[],4,FALSE)," ")</f>
        <v>Rentas</v>
      </c>
      <c r="H1650" t="str">
        <f>IFERROR(+VLOOKUP(Movimientos_2026[[#This Row],[Codigo]],Plan_cuentas[],5,FALSE)," ")</f>
        <v>BAPRO</v>
      </c>
      <c r="I1650" s="43">
        <v>46113</v>
      </c>
      <c r="J1650" t="s">
        <v>727</v>
      </c>
      <c r="K1650" t="str">
        <f>IFERROR(+VLOOKUP(Movimientos_2026[[#This Row],[Codigo]],Plan_cuentas[],6,FALSE)," ")</f>
        <v>6 - FCAtr - Fiat Transf.</v>
      </c>
      <c r="L1650" s="50"/>
      <c r="M1650" s="50">
        <v>130933.8</v>
      </c>
      <c r="N1650" s="20">
        <f>+Movimientos_2026[[#This Row],[Ingresos]]-Movimientos_2026[[#This Row],[Egresos]]</f>
        <v>-130933.8</v>
      </c>
      <c r="O1650" s="20">
        <f>+O1649+Movimientos_2026[[#This Row],[Neto]]</f>
        <v>5541670329.1268749</v>
      </c>
    </row>
    <row r="1651" spans="1:15" x14ac:dyDescent="0.25">
      <c r="A1651" s="13">
        <v>46161</v>
      </c>
      <c r="B1651" s="12">
        <f>MONTH(Movimientos_2026[[#This Row],[Fecha]])</f>
        <v>5</v>
      </c>
      <c r="C1651" s="12" t="str">
        <f>VLOOKUP((WEEKDAY(Movimientos_2026[[#This Row],[Fecha]],2)),'5. Setup'!$D$6:$E$12,2,FALSE)</f>
        <v>Mar</v>
      </c>
      <c r="D1651">
        <v>2044126</v>
      </c>
      <c r="E1651" t="str">
        <f>IFERROR(+VLOOKUP(Movimientos_2026[[#This Row],[Codigo]],Plan_cuentas[],2,FALSE)," ")</f>
        <v>EGRESOS</v>
      </c>
      <c r="F1651" t="str">
        <f>IFERROR(+VLOOKUP(Movimientos_2026[[#This Row],[Codigo]],Plan_cuentas[],3,FALSE)," ")</f>
        <v>Transferencia</v>
      </c>
      <c r="G1651" t="str">
        <f>IFERROR(+VLOOKUP(Movimientos_2026[[#This Row],[Codigo]],Plan_cuentas[],4,FALSE)," ")</f>
        <v>Rentas</v>
      </c>
      <c r="H1651" t="str">
        <f>IFERROR(+VLOOKUP(Movimientos_2026[[#This Row],[Codigo]],Plan_cuentas[],5,FALSE)," ")</f>
        <v>BAPRO</v>
      </c>
      <c r="I1651" s="43">
        <v>46113</v>
      </c>
      <c r="J1651" t="s">
        <v>728</v>
      </c>
      <c r="K1651" t="str">
        <f>IFERROR(+VLOOKUP(Movimientos_2026[[#This Row],[Codigo]],Plan_cuentas[],6,FALSE)," ")</f>
        <v>6 - FCAtr - Fiat Transf.</v>
      </c>
      <c r="L1651" s="50"/>
      <c r="M1651" s="50">
        <v>112911.1</v>
      </c>
      <c r="N1651" s="20">
        <f>+Movimientos_2026[[#This Row],[Ingresos]]-Movimientos_2026[[#This Row],[Egresos]]</f>
        <v>-112911.1</v>
      </c>
      <c r="O1651" s="20">
        <f>+O1650+Movimientos_2026[[#This Row],[Neto]]</f>
        <v>5541557418.0268745</v>
      </c>
    </row>
    <row r="1652" spans="1:15" x14ac:dyDescent="0.25">
      <c r="A1652" s="13">
        <v>46161</v>
      </c>
      <c r="B1652" s="12">
        <f>MONTH(Movimientos_2026[[#This Row],[Fecha]])</f>
        <v>5</v>
      </c>
      <c r="C1652" s="12" t="str">
        <f>VLOOKUP((WEEKDAY(Movimientos_2026[[#This Row],[Fecha]],2)),'5. Setup'!$D$6:$E$12,2,FALSE)</f>
        <v>Mar</v>
      </c>
      <c r="D1652">
        <v>2044126</v>
      </c>
      <c r="E1652" t="str">
        <f>IFERROR(+VLOOKUP(Movimientos_2026[[#This Row],[Codigo]],Plan_cuentas[],2,FALSE)," ")</f>
        <v>EGRESOS</v>
      </c>
      <c r="F1652" t="str">
        <f>IFERROR(+VLOOKUP(Movimientos_2026[[#This Row],[Codigo]],Plan_cuentas[],3,FALSE)," ")</f>
        <v>Transferencia</v>
      </c>
      <c r="G1652" t="str">
        <f>IFERROR(+VLOOKUP(Movimientos_2026[[#This Row],[Codigo]],Plan_cuentas[],4,FALSE)," ")</f>
        <v>Rentas</v>
      </c>
      <c r="H1652" t="str">
        <f>IFERROR(+VLOOKUP(Movimientos_2026[[#This Row],[Codigo]],Plan_cuentas[],5,FALSE)," ")</f>
        <v>BAPRO</v>
      </c>
      <c r="I1652" s="43">
        <v>46113</v>
      </c>
      <c r="J1652" t="s">
        <v>729</v>
      </c>
      <c r="K1652" t="str">
        <f>IFERROR(+VLOOKUP(Movimientos_2026[[#This Row],[Codigo]],Plan_cuentas[],6,FALSE)," ")</f>
        <v>6 - FCAtr - Fiat Transf.</v>
      </c>
      <c r="L1652" s="50"/>
      <c r="M1652" s="50">
        <v>98253.5</v>
      </c>
      <c r="N1652" s="20">
        <f>+Movimientos_2026[[#This Row],[Ingresos]]-Movimientos_2026[[#This Row],[Egresos]]</f>
        <v>-98253.5</v>
      </c>
      <c r="O1652" s="20">
        <f>+O1651+Movimientos_2026[[#This Row],[Neto]]</f>
        <v>5541459164.5268745</v>
      </c>
    </row>
    <row r="1653" spans="1:15" x14ac:dyDescent="0.25">
      <c r="A1653" s="13">
        <v>46161</v>
      </c>
      <c r="B1653" s="12">
        <f>MONTH(Movimientos_2026[[#This Row],[Fecha]])</f>
        <v>5</v>
      </c>
      <c r="C1653" s="12" t="str">
        <f>VLOOKUP((WEEKDAY(Movimientos_2026[[#This Row],[Fecha]],2)),'5. Setup'!$D$6:$E$12,2,FALSE)</f>
        <v>Mar</v>
      </c>
      <c r="D1653">
        <v>2044126</v>
      </c>
      <c r="E1653" t="str">
        <f>IFERROR(+VLOOKUP(Movimientos_2026[[#This Row],[Codigo]],Plan_cuentas[],2,FALSE)," ")</f>
        <v>EGRESOS</v>
      </c>
      <c r="F1653" t="str">
        <f>IFERROR(+VLOOKUP(Movimientos_2026[[#This Row],[Codigo]],Plan_cuentas[],3,FALSE)," ")</f>
        <v>Transferencia</v>
      </c>
      <c r="G1653" t="str">
        <f>IFERROR(+VLOOKUP(Movimientos_2026[[#This Row],[Codigo]],Plan_cuentas[],4,FALSE)," ")</f>
        <v>Rentas</v>
      </c>
      <c r="H1653" t="str">
        <f>IFERROR(+VLOOKUP(Movimientos_2026[[#This Row],[Codigo]],Plan_cuentas[],5,FALSE)," ")</f>
        <v>BAPRO</v>
      </c>
      <c r="I1653" s="43">
        <v>46113</v>
      </c>
      <c r="J1653" t="s">
        <v>730</v>
      </c>
      <c r="K1653" t="str">
        <f>IFERROR(+VLOOKUP(Movimientos_2026[[#This Row],[Codigo]],Plan_cuentas[],6,FALSE)," ")</f>
        <v>6 - FCAtr - Fiat Transf.</v>
      </c>
      <c r="L1653" s="50"/>
      <c r="M1653" s="50">
        <v>85107.1</v>
      </c>
      <c r="N1653" s="20">
        <f>+Movimientos_2026[[#This Row],[Ingresos]]-Movimientos_2026[[#This Row],[Egresos]]</f>
        <v>-85107.1</v>
      </c>
      <c r="O1653" s="20">
        <f>+O1652+Movimientos_2026[[#This Row],[Neto]]</f>
        <v>5541374057.4268742</v>
      </c>
    </row>
    <row r="1654" spans="1:15" x14ac:dyDescent="0.25">
      <c r="A1654" s="13">
        <v>46161</v>
      </c>
      <c r="B1654" s="12">
        <f>MONTH(Movimientos_2026[[#This Row],[Fecha]])</f>
        <v>5</v>
      </c>
      <c r="C1654" s="12" t="str">
        <f>VLOOKUP((WEEKDAY(Movimientos_2026[[#This Row],[Fecha]],2)),'5. Setup'!$D$6:$E$12,2,FALSE)</f>
        <v>Mar</v>
      </c>
      <c r="D1654">
        <v>2044126</v>
      </c>
      <c r="E1654" t="str">
        <f>IFERROR(+VLOOKUP(Movimientos_2026[[#This Row],[Codigo]],Plan_cuentas[],2,FALSE)," ")</f>
        <v>EGRESOS</v>
      </c>
      <c r="F1654" t="str">
        <f>IFERROR(+VLOOKUP(Movimientos_2026[[#This Row],[Codigo]],Plan_cuentas[],3,FALSE)," ")</f>
        <v>Transferencia</v>
      </c>
      <c r="G1654" t="str">
        <f>IFERROR(+VLOOKUP(Movimientos_2026[[#This Row],[Codigo]],Plan_cuentas[],4,FALSE)," ")</f>
        <v>Rentas</v>
      </c>
      <c r="H1654" t="str">
        <f>IFERROR(+VLOOKUP(Movimientos_2026[[#This Row],[Codigo]],Plan_cuentas[],5,FALSE)," ")</f>
        <v>BAPRO</v>
      </c>
      <c r="I1654" s="43">
        <v>46113</v>
      </c>
      <c r="J1654" t="s">
        <v>731</v>
      </c>
      <c r="K1654" t="str">
        <f>IFERROR(+VLOOKUP(Movimientos_2026[[#This Row],[Codigo]],Plan_cuentas[],6,FALSE)," ")</f>
        <v>6 - FCAtr - Fiat Transf.</v>
      </c>
      <c r="L1654" s="50"/>
      <c r="M1654" s="50">
        <v>68627.3</v>
      </c>
      <c r="N1654" s="20">
        <f>+Movimientos_2026[[#This Row],[Ingresos]]-Movimientos_2026[[#This Row],[Egresos]]</f>
        <v>-68627.3</v>
      </c>
      <c r="O1654" s="20">
        <f>+O1653+Movimientos_2026[[#This Row],[Neto]]</f>
        <v>5541305430.126874</v>
      </c>
    </row>
    <row r="1655" spans="1:15" x14ac:dyDescent="0.25">
      <c r="A1655" s="13">
        <v>46161</v>
      </c>
      <c r="B1655" s="12">
        <f>MONTH(Movimientos_2026[[#This Row],[Fecha]])</f>
        <v>5</v>
      </c>
      <c r="C1655" s="12" t="str">
        <f>VLOOKUP((WEEKDAY(Movimientos_2026[[#This Row],[Fecha]],2)),'5. Setup'!$D$6:$E$12,2,FALSE)</f>
        <v>Mar</v>
      </c>
      <c r="D1655">
        <v>2044126</v>
      </c>
      <c r="E1655" t="str">
        <f>IFERROR(+VLOOKUP(Movimientos_2026[[#This Row],[Codigo]],Plan_cuentas[],2,FALSE)," ")</f>
        <v>EGRESOS</v>
      </c>
      <c r="F1655" t="str">
        <f>IFERROR(+VLOOKUP(Movimientos_2026[[#This Row],[Codigo]],Plan_cuentas[],3,FALSE)," ")</f>
        <v>Transferencia</v>
      </c>
      <c r="G1655" t="str">
        <f>IFERROR(+VLOOKUP(Movimientos_2026[[#This Row],[Codigo]],Plan_cuentas[],4,FALSE)," ")</f>
        <v>Rentas</v>
      </c>
      <c r="H1655" t="str">
        <f>IFERROR(+VLOOKUP(Movimientos_2026[[#This Row],[Codigo]],Plan_cuentas[],5,FALSE)," ")</f>
        <v>BAPRO</v>
      </c>
      <c r="I1655" s="43">
        <v>46113</v>
      </c>
      <c r="J1655" t="s">
        <v>732</v>
      </c>
      <c r="K1655" t="str">
        <f>IFERROR(+VLOOKUP(Movimientos_2026[[#This Row],[Codigo]],Plan_cuentas[],6,FALSE)," ")</f>
        <v>6 - FCAtr - Fiat Transf.</v>
      </c>
      <c r="L1655" s="50"/>
      <c r="M1655" s="50">
        <v>55024.7</v>
      </c>
      <c r="N1655" s="20">
        <f>+Movimientos_2026[[#This Row],[Ingresos]]-Movimientos_2026[[#This Row],[Egresos]]</f>
        <v>-55024.7</v>
      </c>
      <c r="O1655" s="20">
        <f>+O1654+Movimientos_2026[[#This Row],[Neto]]</f>
        <v>5541250405.4268742</v>
      </c>
    </row>
    <row r="1656" spans="1:15" x14ac:dyDescent="0.25">
      <c r="A1656" s="13">
        <v>46161</v>
      </c>
      <c r="B1656" s="12">
        <f>MONTH(Movimientos_2026[[#This Row],[Fecha]])</f>
        <v>5</v>
      </c>
      <c r="C1656" s="12" t="str">
        <f>VLOOKUP((WEEKDAY(Movimientos_2026[[#This Row],[Fecha]],2)),'5. Setup'!$D$6:$E$12,2,FALSE)</f>
        <v>Mar</v>
      </c>
      <c r="D1656">
        <v>2044126</v>
      </c>
      <c r="E1656" t="str">
        <f>IFERROR(+VLOOKUP(Movimientos_2026[[#This Row],[Codigo]],Plan_cuentas[],2,FALSE)," ")</f>
        <v>EGRESOS</v>
      </c>
      <c r="F1656" t="str">
        <f>IFERROR(+VLOOKUP(Movimientos_2026[[#This Row],[Codigo]],Plan_cuentas[],3,FALSE)," ")</f>
        <v>Transferencia</v>
      </c>
      <c r="G1656" t="str">
        <f>IFERROR(+VLOOKUP(Movimientos_2026[[#This Row],[Codigo]],Plan_cuentas[],4,FALSE)," ")</f>
        <v>Rentas</v>
      </c>
      <c r="H1656" t="str">
        <f>IFERROR(+VLOOKUP(Movimientos_2026[[#This Row],[Codigo]],Plan_cuentas[],5,FALSE)," ")</f>
        <v>BAPRO</v>
      </c>
      <c r="I1656" s="43">
        <v>46113</v>
      </c>
      <c r="J1656" t="s">
        <v>733</v>
      </c>
      <c r="K1656" t="str">
        <f>IFERROR(+VLOOKUP(Movimientos_2026[[#This Row],[Codigo]],Plan_cuentas[],6,FALSE)," ")</f>
        <v>6 - FCAtr - Fiat Transf.</v>
      </c>
      <c r="L1656" s="50"/>
      <c r="M1656" s="50">
        <v>33400.800000000003</v>
      </c>
      <c r="N1656" s="20">
        <f>+Movimientos_2026[[#This Row],[Ingresos]]-Movimientos_2026[[#This Row],[Egresos]]</f>
        <v>-33400.800000000003</v>
      </c>
      <c r="O1656" s="20">
        <f>+O1655+Movimientos_2026[[#This Row],[Neto]]</f>
        <v>5541217004.626874</v>
      </c>
    </row>
    <row r="1657" spans="1:15" x14ac:dyDescent="0.25">
      <c r="A1657" s="13">
        <v>46161</v>
      </c>
      <c r="B1657" s="12">
        <f>MONTH(Movimientos_2026[[#This Row],[Fecha]])</f>
        <v>5</v>
      </c>
      <c r="C1657" s="12" t="str">
        <f>VLOOKUP((WEEKDAY(Movimientos_2026[[#This Row],[Fecha]],2)),'5. Setup'!$D$6:$E$12,2,FALSE)</f>
        <v>Mar</v>
      </c>
      <c r="D1657">
        <v>2044126</v>
      </c>
      <c r="E1657" t="str">
        <f>IFERROR(+VLOOKUP(Movimientos_2026[[#This Row],[Codigo]],Plan_cuentas[],2,FALSE)," ")</f>
        <v>EGRESOS</v>
      </c>
      <c r="F1657" t="str">
        <f>IFERROR(+VLOOKUP(Movimientos_2026[[#This Row],[Codigo]],Plan_cuentas[],3,FALSE)," ")</f>
        <v>Transferencia</v>
      </c>
      <c r="G1657" t="str">
        <f>IFERROR(+VLOOKUP(Movimientos_2026[[#This Row],[Codigo]],Plan_cuentas[],4,FALSE)," ")</f>
        <v>Rentas</v>
      </c>
      <c r="H1657" t="str">
        <f>IFERROR(+VLOOKUP(Movimientos_2026[[#This Row],[Codigo]],Plan_cuentas[],5,FALSE)," ")</f>
        <v>BAPRO</v>
      </c>
      <c r="I1657" s="43">
        <v>46113</v>
      </c>
      <c r="J1657" t="s">
        <v>734</v>
      </c>
      <c r="K1657" t="str">
        <f>IFERROR(+VLOOKUP(Movimientos_2026[[#This Row],[Codigo]],Plan_cuentas[],6,FALSE)," ")</f>
        <v>6 - FCAtr - Fiat Transf.</v>
      </c>
      <c r="L1657" s="50"/>
      <c r="M1657" s="50">
        <v>12623351.6</v>
      </c>
      <c r="N1657" s="20">
        <f>+Movimientos_2026[[#This Row],[Ingresos]]-Movimientos_2026[[#This Row],[Egresos]]</f>
        <v>-12623351.6</v>
      </c>
      <c r="O1657" s="20">
        <f>+O1656+Movimientos_2026[[#This Row],[Neto]]</f>
        <v>5528593653.0268736</v>
      </c>
    </row>
    <row r="1658" spans="1:15" x14ac:dyDescent="0.25">
      <c r="A1658" s="13">
        <v>46161</v>
      </c>
      <c r="B1658" s="12">
        <f>MONTH(Movimientos_2026[[#This Row],[Fecha]])</f>
        <v>5</v>
      </c>
      <c r="C1658" s="12" t="str">
        <f>VLOOKUP((WEEKDAY(Movimientos_2026[[#This Row],[Fecha]],2)),'5. Setup'!$D$6:$E$12,2,FALSE)</f>
        <v>Mar</v>
      </c>
      <c r="D1658">
        <v>2023141</v>
      </c>
      <c r="E1658" t="str">
        <f>IFERROR(+VLOOKUP(Movimientos_2026[[#This Row],[Codigo]],Plan_cuentas[],2,FALSE)," ")</f>
        <v>EGRESOS</v>
      </c>
      <c r="F1658" t="str">
        <f>IFERROR(+VLOOKUP(Movimientos_2026[[#This Row],[Codigo]],Plan_cuentas[],3,FALSE)," ")</f>
        <v>DDJJ</v>
      </c>
      <c r="G1658" t="str">
        <f>IFERROR(+VLOOKUP(Movimientos_2026[[#This Row],[Codigo]],Plan_cuentas[],4,FALSE)," ")</f>
        <v>Registración</v>
      </c>
      <c r="H1658" t="str">
        <f>IFERROR(+VLOOKUP(Movimientos_2026[[#This Row],[Codigo]],Plan_cuentas[],5,FALSE)," ")</f>
        <v>BUENOS AIRES</v>
      </c>
      <c r="I1658" s="43">
        <v>46113</v>
      </c>
      <c r="J1658" t="s">
        <v>735</v>
      </c>
      <c r="K1658" t="str">
        <f>IFERROR(+VLOOKUP(Movimientos_2026[[#This Row],[Codigo]],Plan_cuentas[],6,FALSE)," ")</f>
        <v>1 - VW - Volkswagen</v>
      </c>
      <c r="L1658" s="50"/>
      <c r="M1658" s="52">
        <v>341901293.56</v>
      </c>
      <c r="N1658" s="20">
        <f>+Movimientos_2026[[#This Row],[Ingresos]]-Movimientos_2026[[#This Row],[Egresos]]</f>
        <v>-341901293.56</v>
      </c>
      <c r="O1658" s="20">
        <f>+O1657+Movimientos_2026[[#This Row],[Neto]]</f>
        <v>5186692359.4668732</v>
      </c>
    </row>
    <row r="1659" spans="1:15" x14ac:dyDescent="0.25">
      <c r="A1659" s="13">
        <v>46161</v>
      </c>
      <c r="B1659" s="12">
        <f>MONTH(Movimientos_2026[[#This Row],[Fecha]])</f>
        <v>5</v>
      </c>
      <c r="C1659" s="12" t="str">
        <f>VLOOKUP((WEEKDAY(Movimientos_2026[[#This Row],[Fecha]],2)),'5. Setup'!$D$6:$E$12,2,FALSE)</f>
        <v>Mar</v>
      </c>
      <c r="D1659">
        <v>2023142</v>
      </c>
      <c r="E1659" t="str">
        <f>IFERROR(+VLOOKUP(Movimientos_2026[[#This Row],[Codigo]],Plan_cuentas[],2,FALSE)," ")</f>
        <v>EGRESOS</v>
      </c>
      <c r="F1659" t="str">
        <f>IFERROR(+VLOOKUP(Movimientos_2026[[#This Row],[Codigo]],Plan_cuentas[],3,FALSE)," ")</f>
        <v>DDJJ</v>
      </c>
      <c r="G1659" t="str">
        <f>IFERROR(+VLOOKUP(Movimientos_2026[[#This Row],[Codigo]],Plan_cuentas[],4,FALSE)," ")</f>
        <v>Registración</v>
      </c>
      <c r="H1659" t="str">
        <f>IFERROR(+VLOOKUP(Movimientos_2026[[#This Row],[Codigo]],Plan_cuentas[],5,FALSE)," ")</f>
        <v>BUENOS AIRES</v>
      </c>
      <c r="I1659" s="43">
        <v>46113</v>
      </c>
      <c r="J1659" t="s">
        <v>735</v>
      </c>
      <c r="K1659" t="str">
        <f>IFERROR(+VLOOKUP(Movimientos_2026[[#This Row],[Codigo]],Plan_cuentas[],6,FALSE)," ")</f>
        <v>2 - PR - Plan Rombo</v>
      </c>
      <c r="L1659" s="50"/>
      <c r="M1659" s="52">
        <v>590752958.79999995</v>
      </c>
      <c r="N1659" s="20">
        <f>+Movimientos_2026[[#This Row],[Ingresos]]-Movimientos_2026[[#This Row],[Egresos]]</f>
        <v>-590752958.79999995</v>
      </c>
      <c r="O1659" s="20">
        <f>+O1658+Movimientos_2026[[#This Row],[Neto]]</f>
        <v>4595939400.666873</v>
      </c>
    </row>
    <row r="1660" spans="1:15" x14ac:dyDescent="0.25">
      <c r="A1660" s="13">
        <v>46161</v>
      </c>
      <c r="B1660" s="12">
        <f>MONTH(Movimientos_2026[[#This Row],[Fecha]])</f>
        <v>5</v>
      </c>
      <c r="C1660" s="12" t="str">
        <f>VLOOKUP((WEEKDAY(Movimientos_2026[[#This Row],[Fecha]],2)),'5. Setup'!$D$6:$E$12,2,FALSE)</f>
        <v>Mar</v>
      </c>
      <c r="D1660">
        <v>2023143</v>
      </c>
      <c r="E1660" t="str">
        <f>IFERROR(+VLOOKUP(Movimientos_2026[[#This Row],[Codigo]],Plan_cuentas[],2,FALSE)," ")</f>
        <v>EGRESOS</v>
      </c>
      <c r="F1660" t="str">
        <f>IFERROR(+VLOOKUP(Movimientos_2026[[#This Row],[Codigo]],Plan_cuentas[],3,FALSE)," ")</f>
        <v>DDJJ</v>
      </c>
      <c r="G1660" t="str">
        <f>IFERROR(+VLOOKUP(Movimientos_2026[[#This Row],[Codigo]],Plan_cuentas[],4,FALSE)," ")</f>
        <v>Registración</v>
      </c>
      <c r="H1660" t="str">
        <f>IFERROR(+VLOOKUP(Movimientos_2026[[#This Row],[Codigo]],Plan_cuentas[],5,FALSE)," ")</f>
        <v>BUENOS AIRES</v>
      </c>
      <c r="I1660" s="43">
        <v>46113</v>
      </c>
      <c r="J1660" t="s">
        <v>735</v>
      </c>
      <c r="K1660" t="str">
        <f>IFERROR(+VLOOKUP(Movimientos_2026[[#This Row],[Codigo]],Plan_cuentas[],6,FALSE)," ")</f>
        <v>3 - GM - Chevrolet</v>
      </c>
      <c r="L1660" s="50"/>
      <c r="M1660" s="52">
        <v>271316547.68000001</v>
      </c>
      <c r="N1660" s="20">
        <f>+Movimientos_2026[[#This Row],[Ingresos]]-Movimientos_2026[[#This Row],[Egresos]]</f>
        <v>-271316547.68000001</v>
      </c>
      <c r="O1660" s="20">
        <f>+O1659+Movimientos_2026[[#This Row],[Neto]]</f>
        <v>4324622852.9868727</v>
      </c>
    </row>
    <row r="1661" spans="1:15" x14ac:dyDescent="0.25">
      <c r="A1661" s="13">
        <v>46161</v>
      </c>
      <c r="B1661" s="12">
        <f>MONTH(Movimientos_2026[[#This Row],[Fecha]])</f>
        <v>5</v>
      </c>
      <c r="C1661" s="12" t="str">
        <f>VLOOKUP((WEEKDAY(Movimientos_2026[[#This Row],[Fecha]],2)),'5. Setup'!$D$6:$E$12,2,FALSE)</f>
        <v>Mar</v>
      </c>
      <c r="D1661">
        <v>2023144</v>
      </c>
      <c r="E1661" t="str">
        <f>IFERROR(+VLOOKUP(Movimientos_2026[[#This Row],[Codigo]],Plan_cuentas[],2,FALSE)," ")</f>
        <v>EGRESOS</v>
      </c>
      <c r="F1661" t="str">
        <f>IFERROR(+VLOOKUP(Movimientos_2026[[#This Row],[Codigo]],Plan_cuentas[],3,FALSE)," ")</f>
        <v>DDJJ</v>
      </c>
      <c r="G1661" t="str">
        <f>IFERROR(+VLOOKUP(Movimientos_2026[[#This Row],[Codigo]],Plan_cuentas[],4,FALSE)," ")</f>
        <v>Registración</v>
      </c>
      <c r="H1661" t="str">
        <f>IFERROR(+VLOOKUP(Movimientos_2026[[#This Row],[Codigo]],Plan_cuentas[],5,FALSE)," ")</f>
        <v>BUENOS AIRES</v>
      </c>
      <c r="I1661" s="43">
        <v>46113</v>
      </c>
      <c r="J1661" t="s">
        <v>735</v>
      </c>
      <c r="K1661" t="str">
        <f>IFERROR(+VLOOKUP(Movimientos_2026[[#This Row],[Codigo]],Plan_cuentas[],6,FALSE)," ")</f>
        <v>4 - FCA - Fiat</v>
      </c>
      <c r="L1661" s="50"/>
      <c r="M1661" s="52">
        <v>796272569.92999995</v>
      </c>
      <c r="N1661" s="20">
        <f>+Movimientos_2026[[#This Row],[Ingresos]]-Movimientos_2026[[#This Row],[Egresos]]</f>
        <v>-796272569.92999995</v>
      </c>
      <c r="O1661" s="20">
        <f>+O1660+Movimientos_2026[[#This Row],[Neto]]</f>
        <v>3528350283.0568728</v>
      </c>
    </row>
    <row r="1662" spans="1:15" x14ac:dyDescent="0.25">
      <c r="A1662" s="13">
        <v>46161</v>
      </c>
      <c r="B1662" s="12">
        <f>MONTH(Movimientos_2026[[#This Row],[Fecha]])</f>
        <v>5</v>
      </c>
      <c r="C1662" s="12" t="str">
        <f>VLOOKUP((WEEKDAY(Movimientos_2026[[#This Row],[Fecha]],2)),'5. Setup'!$D$6:$E$12,2,FALSE)</f>
        <v>Mar</v>
      </c>
      <c r="D1662">
        <v>2021131</v>
      </c>
      <c r="E1662" t="str">
        <f>IFERROR(+VLOOKUP(Movimientos_2026[[#This Row],[Codigo]],Plan_cuentas[],2,FALSE)," ")</f>
        <v>EGRESOS</v>
      </c>
      <c r="F1662" t="str">
        <f>IFERROR(+VLOOKUP(Movimientos_2026[[#This Row],[Codigo]],Plan_cuentas[],3,FALSE)," ")</f>
        <v>DDJJ</v>
      </c>
      <c r="G1662" t="str">
        <f>IFERROR(+VLOOKUP(Movimientos_2026[[#This Row],[Codigo]],Plan_cuentas[],4,FALSE)," ")</f>
        <v>Entidades co-participadas</v>
      </c>
      <c r="H1662" t="str">
        <f>IFERROR(+VLOOKUP(Movimientos_2026[[#This Row],[Codigo]],Plan_cuentas[],5,FALSE)," ")</f>
        <v>BCLP</v>
      </c>
      <c r="I1662" s="43">
        <v>46113</v>
      </c>
      <c r="J1662" t="s">
        <v>736</v>
      </c>
      <c r="K1662" t="str">
        <f>IFERROR(+VLOOKUP(Movimientos_2026[[#This Row],[Codigo]],Plan_cuentas[],6,FALSE)," ")</f>
        <v>1 - VW - Volkswagen</v>
      </c>
      <c r="L1662" s="50"/>
      <c r="M1662" s="52">
        <v>6822539.8499999996</v>
      </c>
      <c r="N1662" s="20">
        <f>+Movimientos_2026[[#This Row],[Ingresos]]-Movimientos_2026[[#This Row],[Egresos]]</f>
        <v>-6822539.8499999996</v>
      </c>
      <c r="O1662" s="20">
        <f>+O1661+Movimientos_2026[[#This Row],[Neto]]</f>
        <v>3521527743.2068729</v>
      </c>
    </row>
    <row r="1663" spans="1:15" x14ac:dyDescent="0.25">
      <c r="A1663" s="13">
        <v>46161</v>
      </c>
      <c r="B1663" s="12">
        <f>MONTH(Movimientos_2026[[#This Row],[Fecha]])</f>
        <v>5</v>
      </c>
      <c r="C1663" s="12" t="str">
        <f>VLOOKUP((WEEKDAY(Movimientos_2026[[#This Row],[Fecha]],2)),'5. Setup'!$D$6:$E$12,2,FALSE)</f>
        <v>Mar</v>
      </c>
      <c r="D1663">
        <v>2021133</v>
      </c>
      <c r="E1663" t="str">
        <f>IFERROR(+VLOOKUP(Movimientos_2026[[#This Row],[Codigo]],Plan_cuentas[],2,FALSE)," ")</f>
        <v>EGRESOS</v>
      </c>
      <c r="F1663" t="str">
        <f>IFERROR(+VLOOKUP(Movimientos_2026[[#This Row],[Codigo]],Plan_cuentas[],3,FALSE)," ")</f>
        <v>DDJJ</v>
      </c>
      <c r="G1663" t="str">
        <f>IFERROR(+VLOOKUP(Movimientos_2026[[#This Row],[Codigo]],Plan_cuentas[],4,FALSE)," ")</f>
        <v>Entidades co-participadas</v>
      </c>
      <c r="H1663" t="str">
        <f>IFERROR(+VLOOKUP(Movimientos_2026[[#This Row],[Codigo]],Plan_cuentas[],5,FALSE)," ")</f>
        <v>BCLP</v>
      </c>
      <c r="I1663" s="43">
        <v>46113</v>
      </c>
      <c r="J1663" t="s">
        <v>736</v>
      </c>
      <c r="K1663" t="str">
        <f>IFERROR(+VLOOKUP(Movimientos_2026[[#This Row],[Codigo]],Plan_cuentas[],6,FALSE)," ")</f>
        <v>3 - GM - Chevrolet</v>
      </c>
      <c r="L1663" s="50"/>
      <c r="M1663" s="52">
        <v>7079240.2400000002</v>
      </c>
      <c r="N1663" s="20">
        <f>+Movimientos_2026[[#This Row],[Ingresos]]-Movimientos_2026[[#This Row],[Egresos]]</f>
        <v>-7079240.2400000002</v>
      </c>
      <c r="O1663" s="20">
        <f>+O1662+Movimientos_2026[[#This Row],[Neto]]</f>
        <v>3514448502.9668732</v>
      </c>
    </row>
    <row r="1664" spans="1:15" x14ac:dyDescent="0.25">
      <c r="A1664" s="13">
        <v>46161</v>
      </c>
      <c r="B1664" s="12">
        <f>MONTH(Movimientos_2026[[#This Row],[Fecha]])</f>
        <v>5</v>
      </c>
      <c r="C1664" s="12" t="str">
        <f>VLOOKUP((WEEKDAY(Movimientos_2026[[#This Row],[Fecha]],2)),'5. Setup'!$D$6:$E$12,2,FALSE)</f>
        <v>Mar</v>
      </c>
      <c r="D1664">
        <v>2021134</v>
      </c>
      <c r="E1664" t="str">
        <f>IFERROR(+VLOOKUP(Movimientos_2026[[#This Row],[Codigo]],Plan_cuentas[],2,FALSE)," ")</f>
        <v>EGRESOS</v>
      </c>
      <c r="F1664" t="str">
        <f>IFERROR(+VLOOKUP(Movimientos_2026[[#This Row],[Codigo]],Plan_cuentas[],3,FALSE)," ")</f>
        <v>DDJJ</v>
      </c>
      <c r="G1664" t="str">
        <f>IFERROR(+VLOOKUP(Movimientos_2026[[#This Row],[Codigo]],Plan_cuentas[],4,FALSE)," ")</f>
        <v>Entidades co-participadas</v>
      </c>
      <c r="H1664" t="str">
        <f>IFERROR(+VLOOKUP(Movimientos_2026[[#This Row],[Codigo]],Plan_cuentas[],5,FALSE)," ")</f>
        <v>BCLP</v>
      </c>
      <c r="I1664" s="43">
        <v>46113</v>
      </c>
      <c r="J1664" t="s">
        <v>736</v>
      </c>
      <c r="K1664" t="str">
        <f>IFERROR(+VLOOKUP(Movimientos_2026[[#This Row],[Codigo]],Plan_cuentas[],6,FALSE)," ")</f>
        <v>4 - FCA - Fiat</v>
      </c>
      <c r="L1664" s="50"/>
      <c r="M1664" s="52">
        <v>14936657.390000001</v>
      </c>
      <c r="N1664" s="20">
        <f>+Movimientos_2026[[#This Row],[Ingresos]]-Movimientos_2026[[#This Row],[Egresos]]</f>
        <v>-14936657.390000001</v>
      </c>
      <c r="O1664" s="20">
        <f>+O1663+Movimientos_2026[[#This Row],[Neto]]</f>
        <v>3499511845.5768733</v>
      </c>
    </row>
    <row r="1665" spans="1:15" x14ac:dyDescent="0.25">
      <c r="A1665" s="13">
        <v>46161</v>
      </c>
      <c r="B1665" s="12">
        <f>MONTH(Movimientos_2026[[#This Row],[Fecha]])</f>
        <v>5</v>
      </c>
      <c r="C1665" s="12" t="str">
        <f>VLOOKUP((WEEKDAY(Movimientos_2026[[#This Row],[Fecha]],2)),'5. Setup'!$D$6:$E$12,2,FALSE)</f>
        <v>Mar</v>
      </c>
      <c r="D1665">
        <v>2021441</v>
      </c>
      <c r="E1665" t="str">
        <f>IFERROR(+VLOOKUP(Movimientos_2026[[#This Row],[Codigo]],Plan_cuentas[],2,FALSE)," ")</f>
        <v>EGRESOS</v>
      </c>
      <c r="F1665" t="str">
        <f>IFERROR(+VLOOKUP(Movimientos_2026[[#This Row],[Codigo]],Plan_cuentas[],3,FALSE)," ")</f>
        <v>DDJJ</v>
      </c>
      <c r="G1665" t="str">
        <f>IFERROR(+VLOOKUP(Movimientos_2026[[#This Row],[Codigo]],Plan_cuentas[],4,FALSE)," ")</f>
        <v>Entidades co-participadas</v>
      </c>
      <c r="H1665" t="str">
        <f>IFERROR(+VLOOKUP(Movimientos_2026[[#This Row],[Codigo]],Plan_cuentas[],5,FALSE)," ")</f>
        <v>UISCUMARR</v>
      </c>
      <c r="I1665" s="43">
        <v>46113</v>
      </c>
      <c r="J1665" t="s">
        <v>737</v>
      </c>
      <c r="K1665" t="str">
        <f>IFERROR(+VLOOKUP(Movimientos_2026[[#This Row],[Codigo]],Plan_cuentas[],6,FALSE)," ")</f>
        <v>1 - VW - Volkswagen</v>
      </c>
      <c r="L1665" s="50"/>
      <c r="M1665" s="52">
        <v>95715593.319999993</v>
      </c>
      <c r="N1665" s="20">
        <f>+Movimientos_2026[[#This Row],[Ingresos]]-Movimientos_2026[[#This Row],[Egresos]]</f>
        <v>-95715593.319999993</v>
      </c>
      <c r="O1665" s="20">
        <f>+O1664+Movimientos_2026[[#This Row],[Neto]]</f>
        <v>3403796252.2568731</v>
      </c>
    </row>
    <row r="1666" spans="1:15" x14ac:dyDescent="0.25">
      <c r="A1666" s="13">
        <v>46161</v>
      </c>
      <c r="B1666" s="12">
        <f>MONTH(Movimientos_2026[[#This Row],[Fecha]])</f>
        <v>5</v>
      </c>
      <c r="C1666" s="12" t="str">
        <f>VLOOKUP((WEEKDAY(Movimientos_2026[[#This Row],[Fecha]],2)),'5. Setup'!$D$6:$E$12,2,FALSE)</f>
        <v>Mar</v>
      </c>
      <c r="D1666">
        <v>2021443</v>
      </c>
      <c r="E1666" t="str">
        <f>IFERROR(+VLOOKUP(Movimientos_2026[[#This Row],[Codigo]],Plan_cuentas[],2,FALSE)," ")</f>
        <v>EGRESOS</v>
      </c>
      <c r="F1666" t="str">
        <f>IFERROR(+VLOOKUP(Movimientos_2026[[#This Row],[Codigo]],Plan_cuentas[],3,FALSE)," ")</f>
        <v>DDJJ</v>
      </c>
      <c r="G1666" t="str">
        <f>IFERROR(+VLOOKUP(Movimientos_2026[[#This Row],[Codigo]],Plan_cuentas[],4,FALSE)," ")</f>
        <v>Entidades co-participadas</v>
      </c>
      <c r="H1666" t="str">
        <f>IFERROR(+VLOOKUP(Movimientos_2026[[#This Row],[Codigo]],Plan_cuentas[],5,FALSE)," ")</f>
        <v>UISCUMARR</v>
      </c>
      <c r="I1666" s="43">
        <v>46113</v>
      </c>
      <c r="J1666" t="s">
        <v>737</v>
      </c>
      <c r="K1666" t="str">
        <f>IFERROR(+VLOOKUP(Movimientos_2026[[#This Row],[Codigo]],Plan_cuentas[],6,FALSE)," ")</f>
        <v>3 - GM - Chevrolet</v>
      </c>
      <c r="L1666" s="50"/>
      <c r="M1666" s="52">
        <v>40532445.109999999</v>
      </c>
      <c r="N1666" s="20">
        <f>+Movimientos_2026[[#This Row],[Ingresos]]-Movimientos_2026[[#This Row],[Egresos]]</f>
        <v>-40532445.109999999</v>
      </c>
      <c r="O1666" s="20">
        <f>+O1665+Movimientos_2026[[#This Row],[Neto]]</f>
        <v>3363263807.146873</v>
      </c>
    </row>
    <row r="1667" spans="1:15" x14ac:dyDescent="0.25">
      <c r="A1667" s="13">
        <v>46161</v>
      </c>
      <c r="B1667" s="12">
        <f>MONTH(Movimientos_2026[[#This Row],[Fecha]])</f>
        <v>5</v>
      </c>
      <c r="C1667" s="12" t="str">
        <f>VLOOKUP((WEEKDAY(Movimientos_2026[[#This Row],[Fecha]],2)),'5. Setup'!$D$6:$E$12,2,FALSE)</f>
        <v>Mar</v>
      </c>
      <c r="D1667">
        <v>2021444</v>
      </c>
      <c r="E1667" t="str">
        <f>IFERROR(+VLOOKUP(Movimientos_2026[[#This Row],[Codigo]],Plan_cuentas[],2,FALSE)," ")</f>
        <v>EGRESOS</v>
      </c>
      <c r="F1667" t="str">
        <f>IFERROR(+VLOOKUP(Movimientos_2026[[#This Row],[Codigo]],Plan_cuentas[],3,FALSE)," ")</f>
        <v>DDJJ</v>
      </c>
      <c r="G1667" t="str">
        <f>IFERROR(+VLOOKUP(Movimientos_2026[[#This Row],[Codigo]],Plan_cuentas[],4,FALSE)," ")</f>
        <v>Entidades co-participadas</v>
      </c>
      <c r="H1667" t="str">
        <f>IFERROR(+VLOOKUP(Movimientos_2026[[#This Row],[Codigo]],Plan_cuentas[],5,FALSE)," ")</f>
        <v>UISCUMARR</v>
      </c>
      <c r="I1667" s="43">
        <v>46113</v>
      </c>
      <c r="J1667" t="s">
        <v>737</v>
      </c>
      <c r="K1667" t="str">
        <f>IFERROR(+VLOOKUP(Movimientos_2026[[#This Row],[Codigo]],Plan_cuentas[],6,FALSE)," ")</f>
        <v>4 - FCA - Fiat</v>
      </c>
      <c r="L1667" s="50"/>
      <c r="M1667" s="52">
        <v>150078136.66</v>
      </c>
      <c r="N1667" s="20">
        <f>+Movimientos_2026[[#This Row],[Ingresos]]-Movimientos_2026[[#This Row],[Egresos]]</f>
        <v>-150078136.66</v>
      </c>
      <c r="O1667" s="20">
        <f>+O1666+Movimientos_2026[[#This Row],[Neto]]</f>
        <v>3213185670.4868731</v>
      </c>
    </row>
    <row r="1668" spans="1:15" x14ac:dyDescent="0.25">
      <c r="A1668" s="13">
        <v>46161</v>
      </c>
      <c r="B1668" s="12">
        <f>MONTH(Movimientos_2026[[#This Row],[Fecha]])</f>
        <v>5</v>
      </c>
      <c r="C1668" s="12" t="str">
        <f>VLOOKUP((WEEKDAY(Movimientos_2026[[#This Row],[Fecha]],2)),'5. Setup'!$D$6:$E$12,2,FALSE)</f>
        <v>Mar</v>
      </c>
      <c r="D1668">
        <v>1044212</v>
      </c>
      <c r="E1668" t="str">
        <f>IFERROR(+VLOOKUP(Movimientos_2026[[#This Row],[Codigo]],Plan_cuentas[],2,FALSE)," ")</f>
        <v>INGRESOS</v>
      </c>
      <c r="F1668" t="str">
        <f>IFERROR(+VLOOKUP(Movimientos_2026[[#This Row],[Codigo]],Plan_cuentas[],3,FALSE)," ")</f>
        <v>Transferencia</v>
      </c>
      <c r="G1668" t="str">
        <f>IFERROR(+VLOOKUP(Movimientos_2026[[#This Row],[Codigo]],Plan_cuentas[],4,FALSE)," ")</f>
        <v>Rentas</v>
      </c>
      <c r="H1668" t="str">
        <f>IFERROR(+VLOOKUP(Movimientos_2026[[#This Row],[Codigo]],Plan_cuentas[],5,FALSE)," ")</f>
        <v>CORRIENTES 2° Q</v>
      </c>
      <c r="I1668" s="43">
        <v>46113</v>
      </c>
      <c r="J1668" t="s">
        <v>738</v>
      </c>
      <c r="K1668" t="str">
        <f>IFERROR(+VLOOKUP(Movimientos_2026[[#This Row],[Codigo]],Plan_cuentas[],6,FALSE)," ")</f>
        <v>2 - PR - Plan Rombo</v>
      </c>
      <c r="L1668" s="50">
        <v>9377270.1500000004</v>
      </c>
      <c r="M1668" s="50"/>
      <c r="N1668" s="20">
        <f>+Movimientos_2026[[#This Row],[Ingresos]]-Movimientos_2026[[#This Row],[Egresos]]</f>
        <v>9377270.1500000004</v>
      </c>
      <c r="O1668" s="20">
        <f>+O1667+Movimientos_2026[[#This Row],[Neto]]</f>
        <v>3222562940.6368732</v>
      </c>
    </row>
    <row r="1669" spans="1:15" x14ac:dyDescent="0.25">
      <c r="A1669" s="13">
        <v>46161</v>
      </c>
      <c r="B1669" s="12">
        <f>MONTH(Movimientos_2026[[#This Row],[Fecha]])</f>
        <v>5</v>
      </c>
      <c r="C1669" s="12" t="str">
        <f>VLOOKUP((WEEKDAY(Movimientos_2026[[#This Row],[Fecha]],2)),'5. Setup'!$D$6:$E$12,2,FALSE)</f>
        <v>Mar</v>
      </c>
      <c r="D1669">
        <v>1044462</v>
      </c>
      <c r="E1669" t="str">
        <f>IFERROR(+VLOOKUP(Movimientos_2026[[#This Row],[Codigo]],Plan_cuentas[],2,FALSE)," ")</f>
        <v>INGRESOS</v>
      </c>
      <c r="F1669" t="str">
        <f>IFERROR(+VLOOKUP(Movimientos_2026[[#This Row],[Codigo]],Plan_cuentas[],3,FALSE)," ")</f>
        <v>Transferencia</v>
      </c>
      <c r="G1669" t="str">
        <f>IFERROR(+VLOOKUP(Movimientos_2026[[#This Row],[Codigo]],Plan_cuentas[],4,FALSE)," ")</f>
        <v>Rentas</v>
      </c>
      <c r="H1669" t="str">
        <f>IFERROR(+VLOOKUP(Movimientos_2026[[#This Row],[Codigo]],Plan_cuentas[],5,FALSE)," ")</f>
        <v>MISIONES</v>
      </c>
      <c r="I1669" s="43">
        <v>46113</v>
      </c>
      <c r="J1669" t="s">
        <v>738</v>
      </c>
      <c r="K1669" t="str">
        <f>IFERROR(+VLOOKUP(Movimientos_2026[[#This Row],[Codigo]],Plan_cuentas[],6,FALSE)," ")</f>
        <v>2 - PR - Plan Rombo</v>
      </c>
      <c r="L1669" s="50">
        <v>2801224.57</v>
      </c>
      <c r="M1669" s="50"/>
      <c r="N1669" s="20">
        <f>+Movimientos_2026[[#This Row],[Ingresos]]-Movimientos_2026[[#This Row],[Egresos]]</f>
        <v>2801224.57</v>
      </c>
      <c r="O1669" s="20">
        <f>+O1668+Movimientos_2026[[#This Row],[Neto]]</f>
        <v>3225364165.2068734</v>
      </c>
    </row>
    <row r="1670" spans="1:15" x14ac:dyDescent="0.25">
      <c r="A1670" s="13">
        <v>46161</v>
      </c>
      <c r="B1670" s="12">
        <f>MONTH(Movimientos_2026[[#This Row],[Fecha]])</f>
        <v>5</v>
      </c>
      <c r="C1670" s="12" t="str">
        <f>VLOOKUP((WEEKDAY(Movimientos_2026[[#This Row],[Fecha]],2)),'5. Setup'!$D$6:$E$12,2,FALSE)</f>
        <v>Mar</v>
      </c>
      <c r="D1670">
        <v>1044322</v>
      </c>
      <c r="E1670" t="str">
        <f>IFERROR(+VLOOKUP(Movimientos_2026[[#This Row],[Codigo]],Plan_cuentas[],2,FALSE)," ")</f>
        <v>INGRESOS</v>
      </c>
      <c r="F1670" t="str">
        <f>IFERROR(+VLOOKUP(Movimientos_2026[[#This Row],[Codigo]],Plan_cuentas[],3,FALSE)," ")</f>
        <v>Transferencia</v>
      </c>
      <c r="G1670" t="str">
        <f>IFERROR(+VLOOKUP(Movimientos_2026[[#This Row],[Codigo]],Plan_cuentas[],4,FALSE)," ")</f>
        <v>Rentas</v>
      </c>
      <c r="H1670" t="str">
        <f>IFERROR(+VLOOKUP(Movimientos_2026[[#This Row],[Codigo]],Plan_cuentas[],5,FALSE)," ")</f>
        <v>NEUQUEN 2° Q</v>
      </c>
      <c r="I1670" s="43">
        <v>46113</v>
      </c>
      <c r="J1670" t="s">
        <v>738</v>
      </c>
      <c r="K1670" t="str">
        <f>IFERROR(+VLOOKUP(Movimientos_2026[[#This Row],[Codigo]],Plan_cuentas[],6,FALSE)," ")</f>
        <v>2 - PR - Plan Rombo</v>
      </c>
      <c r="L1670" s="50">
        <v>23271900</v>
      </c>
      <c r="M1670" s="50"/>
      <c r="N1670" s="20">
        <f>+Movimientos_2026[[#This Row],[Ingresos]]-Movimientos_2026[[#This Row],[Egresos]]</f>
        <v>23271900</v>
      </c>
      <c r="O1670" s="20">
        <f>+O1669+Movimientos_2026[[#This Row],[Neto]]</f>
        <v>3248636065.2068734</v>
      </c>
    </row>
    <row r="1671" spans="1:15" x14ac:dyDescent="0.25">
      <c r="A1671" s="13">
        <v>46161</v>
      </c>
      <c r="B1671" s="12">
        <f>MONTH(Movimientos_2026[[#This Row],[Fecha]])</f>
        <v>5</v>
      </c>
      <c r="C1671" s="12" t="str">
        <f>VLOOKUP((WEEKDAY(Movimientos_2026[[#This Row],[Fecha]],2)),'5. Setup'!$D$6:$E$12,2,FALSE)</f>
        <v>Mar</v>
      </c>
      <c r="D1671">
        <v>1044162</v>
      </c>
      <c r="E1671" t="str">
        <f>IFERROR(+VLOOKUP(Movimientos_2026[[#This Row],[Codigo]],Plan_cuentas[],2,FALSE)," ")</f>
        <v>INGRESOS</v>
      </c>
      <c r="F1671" t="str">
        <f>IFERROR(+VLOOKUP(Movimientos_2026[[#This Row],[Codigo]],Plan_cuentas[],3,FALSE)," ")</f>
        <v>Transferencia</v>
      </c>
      <c r="G1671" t="str">
        <f>IFERROR(+VLOOKUP(Movimientos_2026[[#This Row],[Codigo]],Plan_cuentas[],4,FALSE)," ")</f>
        <v>Rentas</v>
      </c>
      <c r="H1671" t="str">
        <f>IFERROR(+VLOOKUP(Movimientos_2026[[#This Row],[Codigo]],Plan_cuentas[],5,FALSE)," ")</f>
        <v>CHACO</v>
      </c>
      <c r="I1671" s="43">
        <v>46113</v>
      </c>
      <c r="J1671" t="s">
        <v>738</v>
      </c>
      <c r="K1671" t="str">
        <f>IFERROR(+VLOOKUP(Movimientos_2026[[#This Row],[Codigo]],Plan_cuentas[],6,FALSE)," ")</f>
        <v>2 - PR - Plan Rombo</v>
      </c>
      <c r="L1671" s="50">
        <v>2454901.8199999998</v>
      </c>
      <c r="M1671" s="50"/>
      <c r="N1671" s="20">
        <f>+Movimientos_2026[[#This Row],[Ingresos]]-Movimientos_2026[[#This Row],[Egresos]]</f>
        <v>2454901.8199999998</v>
      </c>
      <c r="O1671" s="20">
        <f>+O1670+Movimientos_2026[[#This Row],[Neto]]</f>
        <v>3251090967.0268736</v>
      </c>
    </row>
    <row r="1672" spans="1:15" x14ac:dyDescent="0.25">
      <c r="A1672" s="13">
        <v>46161</v>
      </c>
      <c r="B1672" s="12">
        <f>MONTH(Movimientos_2026[[#This Row],[Fecha]])</f>
        <v>5</v>
      </c>
      <c r="C1672" s="12" t="str">
        <f>VLOOKUP((WEEKDAY(Movimientos_2026[[#This Row],[Fecha]],2)),'5. Setup'!$D$6:$E$12,2,FALSE)</f>
        <v>Mar</v>
      </c>
      <c r="D1672">
        <v>1044262</v>
      </c>
      <c r="E1672" t="str">
        <f>IFERROR(+VLOOKUP(Movimientos_2026[[#This Row],[Codigo]],Plan_cuentas[],2,FALSE)," ")</f>
        <v>INGRESOS</v>
      </c>
      <c r="F1672" t="str">
        <f>IFERROR(+VLOOKUP(Movimientos_2026[[#This Row],[Codigo]],Plan_cuentas[],3,FALSE)," ")</f>
        <v>Transferencia</v>
      </c>
      <c r="G1672" t="str">
        <f>IFERROR(+VLOOKUP(Movimientos_2026[[#This Row],[Codigo]],Plan_cuentas[],4,FALSE)," ")</f>
        <v>Rentas</v>
      </c>
      <c r="H1672" t="str">
        <f>IFERROR(+VLOOKUP(Movimientos_2026[[#This Row],[Codigo]],Plan_cuentas[],5,FALSE)," ")</f>
        <v>LA PAMPA</v>
      </c>
      <c r="I1672" s="43">
        <v>46113</v>
      </c>
      <c r="J1672" t="s">
        <v>738</v>
      </c>
      <c r="K1672" t="str">
        <f>IFERROR(+VLOOKUP(Movimientos_2026[[#This Row],[Codigo]],Plan_cuentas[],6,FALSE)," ")</f>
        <v>2 - PR - Plan Rombo</v>
      </c>
      <c r="L1672" s="50">
        <v>6450700</v>
      </c>
      <c r="M1672" s="50"/>
      <c r="N1672" s="20">
        <f>+Movimientos_2026[[#This Row],[Ingresos]]-Movimientos_2026[[#This Row],[Egresos]]</f>
        <v>6450700</v>
      </c>
      <c r="O1672" s="20">
        <f>+O1671+Movimientos_2026[[#This Row],[Neto]]</f>
        <v>3257541667.0268736</v>
      </c>
    </row>
    <row r="1673" spans="1:15" x14ac:dyDescent="0.25">
      <c r="A1673" s="13">
        <v>46161</v>
      </c>
      <c r="B1673" s="12">
        <f>MONTH(Movimientos_2026[[#This Row],[Fecha]])</f>
        <v>5</v>
      </c>
      <c r="C1673" s="12" t="str">
        <f>VLOOKUP((WEEKDAY(Movimientos_2026[[#This Row],[Fecha]],2)),'5. Setup'!$D$6:$E$12,2,FALSE)</f>
        <v>Mar</v>
      </c>
      <c r="D1673">
        <v>1044282</v>
      </c>
      <c r="E1673" t="str">
        <f>IFERROR(+VLOOKUP(Movimientos_2026[[#This Row],[Codigo]],Plan_cuentas[],2,FALSE)," ")</f>
        <v>INGRESOS</v>
      </c>
      <c r="F1673" t="str">
        <f>IFERROR(+VLOOKUP(Movimientos_2026[[#This Row],[Codigo]],Plan_cuentas[],3,FALSE)," ")</f>
        <v>Transferencia</v>
      </c>
      <c r="G1673" t="str">
        <f>IFERROR(+VLOOKUP(Movimientos_2026[[#This Row],[Codigo]],Plan_cuentas[],4,FALSE)," ")</f>
        <v>Rentas</v>
      </c>
      <c r="H1673" t="str">
        <f>IFERROR(+VLOOKUP(Movimientos_2026[[#This Row],[Codigo]],Plan_cuentas[],5,FALSE)," ")</f>
        <v>MENDOZA</v>
      </c>
      <c r="I1673" s="43">
        <v>46113</v>
      </c>
      <c r="J1673" t="s">
        <v>738</v>
      </c>
      <c r="K1673" t="str">
        <f>IFERROR(+VLOOKUP(Movimientos_2026[[#This Row],[Codigo]],Plan_cuentas[],6,FALSE)," ")</f>
        <v>2 - PR - Plan Rombo</v>
      </c>
      <c r="L1673" s="50">
        <v>42817200</v>
      </c>
      <c r="M1673" s="50"/>
      <c r="N1673" s="20">
        <f>+Movimientos_2026[[#This Row],[Ingresos]]-Movimientos_2026[[#This Row],[Egresos]]</f>
        <v>42817200</v>
      </c>
      <c r="O1673" s="20">
        <f>+O1672+Movimientos_2026[[#This Row],[Neto]]</f>
        <v>3300358867.0268736</v>
      </c>
    </row>
    <row r="1674" spans="1:15" x14ac:dyDescent="0.25">
      <c r="A1674" s="13">
        <v>46161</v>
      </c>
      <c r="B1674" s="12">
        <f>MONTH(Movimientos_2026[[#This Row],[Fecha]])</f>
        <v>5</v>
      </c>
      <c r="C1674" s="12" t="str">
        <f>VLOOKUP((WEEKDAY(Movimientos_2026[[#This Row],[Fecha]],2)),'5. Setup'!$D$6:$E$12,2,FALSE)</f>
        <v>Mar</v>
      </c>
      <c r="D1674">
        <v>1044342</v>
      </c>
      <c r="E1674" t="str">
        <f>IFERROR(+VLOOKUP(Movimientos_2026[[#This Row],[Codigo]],Plan_cuentas[],2,FALSE)," ")</f>
        <v>INGRESOS</v>
      </c>
      <c r="F1674" t="str">
        <f>IFERROR(+VLOOKUP(Movimientos_2026[[#This Row],[Codigo]],Plan_cuentas[],3,FALSE)," ")</f>
        <v>Transferencia</v>
      </c>
      <c r="G1674" t="str">
        <f>IFERROR(+VLOOKUP(Movimientos_2026[[#This Row],[Codigo]],Plan_cuentas[],4,FALSE)," ")</f>
        <v>Rentas</v>
      </c>
      <c r="H1674" t="str">
        <f>IFERROR(+VLOOKUP(Movimientos_2026[[#This Row],[Codigo]],Plan_cuentas[],5,FALSE)," ")</f>
        <v>RIO NEGRO</v>
      </c>
      <c r="I1674" s="43">
        <v>46113</v>
      </c>
      <c r="J1674" t="s">
        <v>738</v>
      </c>
      <c r="K1674" t="str">
        <f>IFERROR(+VLOOKUP(Movimientos_2026[[#This Row],[Codigo]],Plan_cuentas[],6,FALSE)," ")</f>
        <v>2 - PR - Plan Rombo</v>
      </c>
      <c r="L1674" s="50">
        <v>12824556.380000001</v>
      </c>
      <c r="M1674" s="50"/>
      <c r="N1674" s="20">
        <f>+Movimientos_2026[[#This Row],[Ingresos]]-Movimientos_2026[[#This Row],[Egresos]]</f>
        <v>12824556.380000001</v>
      </c>
      <c r="O1674" s="20">
        <f>+O1673+Movimientos_2026[[#This Row],[Neto]]</f>
        <v>3313183423.4068737</v>
      </c>
    </row>
    <row r="1675" spans="1:15" x14ac:dyDescent="0.25">
      <c r="A1675" s="13">
        <v>46161</v>
      </c>
      <c r="B1675" s="12">
        <f>MONTH(Movimientos_2026[[#This Row],[Fecha]])</f>
        <v>5</v>
      </c>
      <c r="C1675" s="12" t="str">
        <f>VLOOKUP((WEEKDAY(Movimientos_2026[[#This Row],[Fecha]],2)),'5. Setup'!$D$6:$E$12,2,FALSE)</f>
        <v>Mar</v>
      </c>
      <c r="D1675">
        <v>1044352</v>
      </c>
      <c r="E1675" t="str">
        <f>IFERROR(+VLOOKUP(Movimientos_2026[[#This Row],[Codigo]],Plan_cuentas[],2,FALSE)," ")</f>
        <v>INGRESOS</v>
      </c>
      <c r="F1675" t="str">
        <f>IFERROR(+VLOOKUP(Movimientos_2026[[#This Row],[Codigo]],Plan_cuentas[],3,FALSE)," ")</f>
        <v>Transferencia</v>
      </c>
      <c r="G1675" t="str">
        <f>IFERROR(+VLOOKUP(Movimientos_2026[[#This Row],[Codigo]],Plan_cuentas[],4,FALSE)," ")</f>
        <v>Rentas</v>
      </c>
      <c r="H1675" t="str">
        <f>IFERROR(+VLOOKUP(Movimientos_2026[[#This Row],[Codigo]],Plan_cuentas[],5,FALSE)," ")</f>
        <v>SAN JUAN</v>
      </c>
      <c r="I1675" s="43">
        <v>46113</v>
      </c>
      <c r="J1675" t="s">
        <v>738</v>
      </c>
      <c r="K1675" t="str">
        <f>IFERROR(+VLOOKUP(Movimientos_2026[[#This Row],[Codigo]],Plan_cuentas[],6,FALSE)," ")</f>
        <v>2 - PR - Plan Rombo</v>
      </c>
      <c r="L1675" s="50">
        <v>5735960.5999999996</v>
      </c>
      <c r="M1675" s="50"/>
      <c r="N1675" s="20">
        <f>+Movimientos_2026[[#This Row],[Ingresos]]-Movimientos_2026[[#This Row],[Egresos]]</f>
        <v>5735960.5999999996</v>
      </c>
      <c r="O1675" s="20">
        <f>+O1674+Movimientos_2026[[#This Row],[Neto]]</f>
        <v>3318919384.0068736</v>
      </c>
    </row>
    <row r="1676" spans="1:15" x14ac:dyDescent="0.25">
      <c r="A1676" s="13">
        <v>46161</v>
      </c>
      <c r="B1676" s="12">
        <f>MONTH(Movimientos_2026[[#This Row],[Fecha]])</f>
        <v>5</v>
      </c>
      <c r="C1676" s="12" t="str">
        <f>VLOOKUP((WEEKDAY(Movimientos_2026[[#This Row],[Fecha]],2)),'5. Setup'!$D$6:$E$12,2,FALSE)</f>
        <v>Mar</v>
      </c>
      <c r="D1676">
        <v>1044362</v>
      </c>
      <c r="E1676" t="str">
        <f>IFERROR(+VLOOKUP(Movimientos_2026[[#This Row],[Codigo]],Plan_cuentas[],2,FALSE)," ")</f>
        <v>INGRESOS</v>
      </c>
      <c r="F1676" t="str">
        <f>IFERROR(+VLOOKUP(Movimientos_2026[[#This Row],[Codigo]],Plan_cuentas[],3,FALSE)," ")</f>
        <v>Transferencia</v>
      </c>
      <c r="G1676" t="str">
        <f>IFERROR(+VLOOKUP(Movimientos_2026[[#This Row],[Codigo]],Plan_cuentas[],4,FALSE)," ")</f>
        <v>Rentas</v>
      </c>
      <c r="H1676" t="str">
        <f>IFERROR(+VLOOKUP(Movimientos_2026[[#This Row],[Codigo]],Plan_cuentas[],5,FALSE)," ")</f>
        <v>SAN LUIS</v>
      </c>
      <c r="I1676" s="43">
        <v>46113</v>
      </c>
      <c r="J1676" t="s">
        <v>738</v>
      </c>
      <c r="K1676" t="str">
        <f>IFERROR(+VLOOKUP(Movimientos_2026[[#This Row],[Codigo]],Plan_cuentas[],6,FALSE)," ")</f>
        <v>2 - PR - Plan Rombo</v>
      </c>
      <c r="L1676" s="50">
        <v>12765486.779999999</v>
      </c>
      <c r="M1676" s="50"/>
      <c r="N1676" s="20">
        <f>+Movimientos_2026[[#This Row],[Ingresos]]-Movimientos_2026[[#This Row],[Egresos]]</f>
        <v>12765486.779999999</v>
      </c>
      <c r="O1676" s="20">
        <f>+O1675+Movimientos_2026[[#This Row],[Neto]]</f>
        <v>3331684870.7868738</v>
      </c>
    </row>
    <row r="1677" spans="1:15" x14ac:dyDescent="0.25">
      <c r="A1677" s="13">
        <v>46161</v>
      </c>
      <c r="B1677" s="12">
        <f>MONTH(Movimientos_2026[[#This Row],[Fecha]])</f>
        <v>5</v>
      </c>
      <c r="C1677" s="12" t="str">
        <f>VLOOKUP((WEEKDAY(Movimientos_2026[[#This Row],[Fecha]],2)),'5. Setup'!$D$6:$E$12,2,FALSE)</f>
        <v>Mar</v>
      </c>
      <c r="D1677">
        <v>1044372</v>
      </c>
      <c r="E1677" t="str">
        <f>IFERROR(+VLOOKUP(Movimientos_2026[[#This Row],[Codigo]],Plan_cuentas[],2,FALSE)," ")</f>
        <v>INGRESOS</v>
      </c>
      <c r="F1677" t="str">
        <f>IFERROR(+VLOOKUP(Movimientos_2026[[#This Row],[Codigo]],Plan_cuentas[],3,FALSE)," ")</f>
        <v>Transferencia</v>
      </c>
      <c r="G1677" t="str">
        <f>IFERROR(+VLOOKUP(Movimientos_2026[[#This Row],[Codigo]],Plan_cuentas[],4,FALSE)," ")</f>
        <v>Rentas</v>
      </c>
      <c r="H1677" t="str">
        <f>IFERROR(+VLOOKUP(Movimientos_2026[[#This Row],[Codigo]],Plan_cuentas[],5,FALSE)," ")</f>
        <v>SANTA CRUZ</v>
      </c>
      <c r="I1677" s="43">
        <v>46113</v>
      </c>
      <c r="J1677" t="s">
        <v>738</v>
      </c>
      <c r="K1677" t="str">
        <f>IFERROR(+VLOOKUP(Movimientos_2026[[#This Row],[Codigo]],Plan_cuentas[],6,FALSE)," ")</f>
        <v>2 - PR - Plan Rombo</v>
      </c>
      <c r="L1677" s="50">
        <v>37802784.25</v>
      </c>
      <c r="M1677" s="50"/>
      <c r="N1677" s="20">
        <f>+Movimientos_2026[[#This Row],[Ingresos]]-Movimientos_2026[[#This Row],[Egresos]]</f>
        <v>37802784.25</v>
      </c>
      <c r="O1677" s="20">
        <f>+O1676+Movimientos_2026[[#This Row],[Neto]]</f>
        <v>3369487655.0368738</v>
      </c>
    </row>
    <row r="1678" spans="1:15" x14ac:dyDescent="0.25">
      <c r="A1678" s="13">
        <v>46161</v>
      </c>
      <c r="B1678" s="12">
        <f>MONTH(Movimientos_2026[[#This Row],[Fecha]])</f>
        <v>5</v>
      </c>
      <c r="C1678" s="12" t="str">
        <f>VLOOKUP((WEEKDAY(Movimientos_2026[[#This Row],[Fecha]],2)),'5. Setup'!$D$6:$E$12,2,FALSE)</f>
        <v>Mar</v>
      </c>
      <c r="D1678">
        <v>1044402</v>
      </c>
      <c r="E1678" t="str">
        <f>IFERROR(+VLOOKUP(Movimientos_2026[[#This Row],[Codigo]],Plan_cuentas[],2,FALSE)," ")</f>
        <v>INGRESOS</v>
      </c>
      <c r="F1678" t="str">
        <f>IFERROR(+VLOOKUP(Movimientos_2026[[#This Row],[Codigo]],Plan_cuentas[],3,FALSE)," ")</f>
        <v>Transferencia</v>
      </c>
      <c r="G1678" t="str">
        <f>IFERROR(+VLOOKUP(Movimientos_2026[[#This Row],[Codigo]],Plan_cuentas[],4,FALSE)," ")</f>
        <v>Rentas</v>
      </c>
      <c r="H1678" t="str">
        <f>IFERROR(+VLOOKUP(Movimientos_2026[[#This Row],[Codigo]],Plan_cuentas[],5,FALSE)," ")</f>
        <v>SANTIAGO DEL ESTERO</v>
      </c>
      <c r="I1678" s="43">
        <v>46113</v>
      </c>
      <c r="J1678" t="s">
        <v>738</v>
      </c>
      <c r="K1678" t="str">
        <f>IFERROR(+VLOOKUP(Movimientos_2026[[#This Row],[Codigo]],Plan_cuentas[],6,FALSE)," ")</f>
        <v>2 - PR - Plan Rombo</v>
      </c>
      <c r="L1678" s="50">
        <v>20705937.760000002</v>
      </c>
      <c r="M1678" s="50"/>
      <c r="N1678" s="20">
        <f>+Movimientos_2026[[#This Row],[Ingresos]]-Movimientos_2026[[#This Row],[Egresos]]</f>
        <v>20705937.760000002</v>
      </c>
      <c r="O1678" s="20">
        <f>+O1677+Movimientos_2026[[#This Row],[Neto]]</f>
        <v>3390193592.796874</v>
      </c>
    </row>
    <row r="1679" spans="1:15" x14ac:dyDescent="0.25">
      <c r="A1679" s="13">
        <v>46161</v>
      </c>
      <c r="B1679" s="12">
        <f>MONTH(Movimientos_2026[[#This Row],[Fecha]])</f>
        <v>5</v>
      </c>
      <c r="C1679" s="12" t="str">
        <f>VLOOKUP((WEEKDAY(Movimientos_2026[[#This Row],[Fecha]],2)),'5. Setup'!$D$6:$E$12,2,FALSE)</f>
        <v>Mar</v>
      </c>
      <c r="D1679">
        <v>1044412</v>
      </c>
      <c r="E1679" t="str">
        <f>IFERROR(+VLOOKUP(Movimientos_2026[[#This Row],[Codigo]],Plan_cuentas[],2,FALSE)," ")</f>
        <v>INGRESOS</v>
      </c>
      <c r="F1679" t="str">
        <f>IFERROR(+VLOOKUP(Movimientos_2026[[#This Row],[Codigo]],Plan_cuentas[],3,FALSE)," ")</f>
        <v>Transferencia</v>
      </c>
      <c r="G1679" t="str">
        <f>IFERROR(+VLOOKUP(Movimientos_2026[[#This Row],[Codigo]],Plan_cuentas[],4,FALSE)," ")</f>
        <v>Rentas</v>
      </c>
      <c r="H1679" t="str">
        <f>IFERROR(+VLOOKUP(Movimientos_2026[[#This Row],[Codigo]],Plan_cuentas[],5,FALSE)," ")</f>
        <v>TIERRA DEL FUEGO</v>
      </c>
      <c r="I1679" s="43">
        <v>46113</v>
      </c>
      <c r="J1679" t="s">
        <v>738</v>
      </c>
      <c r="K1679" t="str">
        <f>IFERROR(+VLOOKUP(Movimientos_2026[[#This Row],[Codigo]],Plan_cuentas[],6,FALSE)," ")</f>
        <v>2 - PR - Plan Rombo</v>
      </c>
      <c r="L1679" s="50">
        <v>12142675.32</v>
      </c>
      <c r="M1679" s="50"/>
      <c r="N1679" s="20">
        <f>+Movimientos_2026[[#This Row],[Ingresos]]-Movimientos_2026[[#This Row],[Egresos]]</f>
        <v>12142675.32</v>
      </c>
      <c r="O1679" s="20">
        <f>+O1678+Movimientos_2026[[#This Row],[Neto]]</f>
        <v>3402336268.1168742</v>
      </c>
    </row>
    <row r="1680" spans="1:15" x14ac:dyDescent="0.25">
      <c r="A1680" s="13">
        <v>46161</v>
      </c>
      <c r="B1680" s="12">
        <f>MONTH(Movimientos_2026[[#This Row],[Fecha]])</f>
        <v>5</v>
      </c>
      <c r="C1680" s="12" t="str">
        <f>VLOOKUP((WEEKDAY(Movimientos_2026[[#This Row],[Fecha]],2)),'5. Setup'!$D$6:$E$12,2,FALSE)</f>
        <v>Mar</v>
      </c>
      <c r="D1680">
        <v>1044422</v>
      </c>
      <c r="E1680" t="str">
        <f>IFERROR(+VLOOKUP(Movimientos_2026[[#This Row],[Codigo]],Plan_cuentas[],2,FALSE)," ")</f>
        <v>INGRESOS</v>
      </c>
      <c r="F1680" t="str">
        <f>IFERROR(+VLOOKUP(Movimientos_2026[[#This Row],[Codigo]],Plan_cuentas[],3,FALSE)," ")</f>
        <v>Transferencia</v>
      </c>
      <c r="G1680" t="str">
        <f>IFERROR(+VLOOKUP(Movimientos_2026[[#This Row],[Codigo]],Plan_cuentas[],4,FALSE)," ")</f>
        <v>Rentas</v>
      </c>
      <c r="H1680" t="str">
        <f>IFERROR(+VLOOKUP(Movimientos_2026[[#This Row],[Codigo]],Plan_cuentas[],5,FALSE)," ")</f>
        <v>TUCUMAN</v>
      </c>
      <c r="I1680" s="43">
        <v>46113</v>
      </c>
      <c r="J1680" t="s">
        <v>738</v>
      </c>
      <c r="K1680" t="str">
        <f>IFERROR(+VLOOKUP(Movimientos_2026[[#This Row],[Codigo]],Plan_cuentas[],6,FALSE)," ")</f>
        <v>2 - PR - Plan Rombo</v>
      </c>
      <c r="L1680" s="50">
        <v>63051584.810000002</v>
      </c>
      <c r="M1680" s="50"/>
      <c r="N1680" s="20">
        <f>+Movimientos_2026[[#This Row],[Ingresos]]-Movimientos_2026[[#This Row],[Egresos]]</f>
        <v>63051584.810000002</v>
      </c>
      <c r="O1680" s="20">
        <f>+O1679+Movimientos_2026[[#This Row],[Neto]]</f>
        <v>3465387852.9268742</v>
      </c>
    </row>
    <row r="1681" spans="1:15" x14ac:dyDescent="0.25">
      <c r="A1681" s="13">
        <v>46162</v>
      </c>
      <c r="B1681" s="12">
        <f>MONTH(Movimientos_2026[[#This Row],[Fecha]])</f>
        <v>5</v>
      </c>
      <c r="C1681" s="12" t="str">
        <f>VLOOKUP((WEEKDAY(Movimientos_2026[[#This Row],[Fecha]],2)),'5. Setup'!$D$6:$E$12,2,FALSE)</f>
        <v>Mie</v>
      </c>
      <c r="D1681">
        <v>2014351</v>
      </c>
      <c r="E1681" t="str">
        <f>IFERROR(+VLOOKUP(Movimientos_2026[[#This Row],[Codigo]],Plan_cuentas[],2,FALSE)," ")</f>
        <v>EGRESOS</v>
      </c>
      <c r="F1681" t="str">
        <f>IFERROR(+VLOOKUP(Movimientos_2026[[#This Row],[Codigo]],Plan_cuentas[],3,FALSE)," ")</f>
        <v>BtoB</v>
      </c>
      <c r="G1681" t="str">
        <f>IFERROR(+VLOOKUP(Movimientos_2026[[#This Row],[Codigo]],Plan_cuentas[],4,FALSE)," ")</f>
        <v>Rentas</v>
      </c>
      <c r="H1681" t="str">
        <f>IFERROR(+VLOOKUP(Movimientos_2026[[#This Row],[Codigo]],Plan_cuentas[],5,FALSE)," ")</f>
        <v>SAN JUAN</v>
      </c>
      <c r="I1681" s="43">
        <v>46113</v>
      </c>
      <c r="J1681" t="s">
        <v>739</v>
      </c>
      <c r="K1681" t="str">
        <f>IFERROR(+VLOOKUP(Movimientos_2026[[#This Row],[Codigo]],Plan_cuentas[],6,FALSE)," ")</f>
        <v>1 - VW - Volkswagen</v>
      </c>
      <c r="L1681" s="50"/>
      <c r="M1681" s="50">
        <v>3123738.48</v>
      </c>
      <c r="N1681" s="20">
        <f>+Movimientos_2026[[#This Row],[Ingresos]]-Movimientos_2026[[#This Row],[Egresos]]</f>
        <v>-3123738.48</v>
      </c>
      <c r="O1681" s="20">
        <f>+O1680+Movimientos_2026[[#This Row],[Neto]]</f>
        <v>3462264114.4468741</v>
      </c>
    </row>
    <row r="1682" spans="1:15" x14ac:dyDescent="0.25">
      <c r="A1682" s="13">
        <v>46162</v>
      </c>
      <c r="B1682" s="12">
        <f>MONTH(Movimientos_2026[[#This Row],[Fecha]])</f>
        <v>5</v>
      </c>
      <c r="C1682" s="12" t="str">
        <f>VLOOKUP((WEEKDAY(Movimientos_2026[[#This Row],[Fecha]],2)),'5. Setup'!$D$6:$E$12,2,FALSE)</f>
        <v>Mie</v>
      </c>
      <c r="D1682">
        <v>2054312</v>
      </c>
      <c r="E1682" t="str">
        <f>IFERROR(+VLOOKUP(Movimientos_2026[[#This Row],[Codigo]],Plan_cuentas[],2,FALSE)," ")</f>
        <v>EGRESOS</v>
      </c>
      <c r="F1682" t="str">
        <f>IFERROR(+VLOOKUP(Movimientos_2026[[#This Row],[Codigo]],Plan_cuentas[],3,FALSE)," ")</f>
        <v>VEP</v>
      </c>
      <c r="G1682" t="str">
        <f>IFERROR(+VLOOKUP(Movimientos_2026[[#This Row],[Codigo]],Plan_cuentas[],4,FALSE)," ")</f>
        <v>Rentas</v>
      </c>
      <c r="H1682" t="str">
        <f>IFERROR(+VLOOKUP(Movimientos_2026[[#This Row],[Codigo]],Plan_cuentas[],5,FALSE)," ")</f>
        <v>NEUQUEN 1° Q</v>
      </c>
      <c r="I1682" s="43">
        <v>46143</v>
      </c>
      <c r="J1682" t="s">
        <v>740</v>
      </c>
      <c r="K1682" t="str">
        <f>IFERROR(+VLOOKUP(Movimientos_2026[[#This Row],[Codigo]],Plan_cuentas[],6,FALSE)," ")</f>
        <v>2 - PR - Plan Rombo</v>
      </c>
      <c r="L1682" s="50"/>
      <c r="M1682" s="52">
        <v>15645100</v>
      </c>
      <c r="N1682" s="20">
        <f>+Movimientos_2026[[#This Row],[Ingresos]]-Movimientos_2026[[#This Row],[Egresos]]</f>
        <v>-15645100</v>
      </c>
      <c r="O1682" s="20">
        <f>+O1681+Movimientos_2026[[#This Row],[Neto]]</f>
        <v>3446619014.4468741</v>
      </c>
    </row>
    <row r="1683" spans="1:15" x14ac:dyDescent="0.25">
      <c r="A1683" s="13">
        <v>46162</v>
      </c>
      <c r="B1683" s="12">
        <f>MONTH(Movimientos_2026[[#This Row],[Fecha]])</f>
        <v>5</v>
      </c>
      <c r="C1683" s="12" t="str">
        <f>VLOOKUP((WEEKDAY(Movimientos_2026[[#This Row],[Fecha]],2)),'5. Setup'!$D$6:$E$12,2,FALSE)</f>
        <v>Mie</v>
      </c>
      <c r="D1683">
        <v>2044464</v>
      </c>
      <c r="E1683" t="str">
        <f>IFERROR(+VLOOKUP(Movimientos_2026[[#This Row],[Codigo]],Plan_cuentas[],2,FALSE)," ")</f>
        <v>EGRESOS</v>
      </c>
      <c r="F1683" t="str">
        <f>IFERROR(+VLOOKUP(Movimientos_2026[[#This Row],[Codigo]],Plan_cuentas[],3,FALSE)," ")</f>
        <v>Transferencia</v>
      </c>
      <c r="G1683" t="str">
        <f>IFERROR(+VLOOKUP(Movimientos_2026[[#This Row],[Codigo]],Plan_cuentas[],4,FALSE)," ")</f>
        <v>Rentas</v>
      </c>
      <c r="H1683" t="str">
        <f>IFERROR(+VLOOKUP(Movimientos_2026[[#This Row],[Codigo]],Plan_cuentas[],5,FALSE)," ")</f>
        <v>MISIONES</v>
      </c>
      <c r="I1683" s="43">
        <v>46113</v>
      </c>
      <c r="J1683" t="s">
        <v>741</v>
      </c>
      <c r="K1683" t="str">
        <f>IFERROR(+VLOOKUP(Movimientos_2026[[#This Row],[Codigo]],Plan_cuentas[],6,FALSE)," ")</f>
        <v>4 - FCA - Fiat</v>
      </c>
      <c r="L1683" s="50"/>
      <c r="M1683" s="50">
        <v>7444682.4000000004</v>
      </c>
      <c r="N1683" s="20">
        <f>+Movimientos_2026[[#This Row],[Ingresos]]-Movimientos_2026[[#This Row],[Egresos]]</f>
        <v>-7444682.4000000004</v>
      </c>
      <c r="O1683" s="20">
        <f>+O1682+Movimientos_2026[[#This Row],[Neto]]</f>
        <v>3439174332.046874</v>
      </c>
    </row>
    <row r="1684" spans="1:15" x14ac:dyDescent="0.25">
      <c r="A1684" s="13">
        <v>46162</v>
      </c>
      <c r="B1684" s="12">
        <f>MONTH(Movimientos_2026[[#This Row],[Fecha]])</f>
        <v>5</v>
      </c>
      <c r="C1684" s="12" t="str">
        <f>VLOOKUP((WEEKDAY(Movimientos_2026[[#This Row],[Fecha]],2)),'5. Setup'!$D$6:$E$12,2,FALSE)</f>
        <v>Mie</v>
      </c>
      <c r="D1684">
        <v>2044462</v>
      </c>
      <c r="E1684" t="str">
        <f>IFERROR(+VLOOKUP(Movimientos_2026[[#This Row],[Codigo]],Plan_cuentas[],2,FALSE)," ")</f>
        <v>EGRESOS</v>
      </c>
      <c r="F1684" t="str">
        <f>IFERROR(+VLOOKUP(Movimientos_2026[[#This Row],[Codigo]],Plan_cuentas[],3,FALSE)," ")</f>
        <v>Transferencia</v>
      </c>
      <c r="G1684" t="str">
        <f>IFERROR(+VLOOKUP(Movimientos_2026[[#This Row],[Codigo]],Plan_cuentas[],4,FALSE)," ")</f>
        <v>Rentas</v>
      </c>
      <c r="H1684" t="str">
        <f>IFERROR(+VLOOKUP(Movimientos_2026[[#This Row],[Codigo]],Plan_cuentas[],5,FALSE)," ")</f>
        <v>MISIONES</v>
      </c>
      <c r="I1684" s="43">
        <v>46143</v>
      </c>
      <c r="J1684" t="s">
        <v>742</v>
      </c>
      <c r="K1684" t="str">
        <f>IFERROR(+VLOOKUP(Movimientos_2026[[#This Row],[Codigo]],Plan_cuentas[],6,FALSE)," ")</f>
        <v>2 - PR - Plan Rombo</v>
      </c>
      <c r="L1684" s="50"/>
      <c r="M1684" s="50">
        <v>2341874.77</v>
      </c>
      <c r="N1684" s="20">
        <f>+Movimientos_2026[[#This Row],[Ingresos]]-Movimientos_2026[[#This Row],[Egresos]]</f>
        <v>-2341874.77</v>
      </c>
      <c r="O1684" s="20">
        <f>+O1683+Movimientos_2026[[#This Row],[Neto]]</f>
        <v>3436832457.2768741</v>
      </c>
    </row>
    <row r="1685" spans="1:15" x14ac:dyDescent="0.25">
      <c r="A1685" s="13">
        <v>46162</v>
      </c>
      <c r="B1685" s="12">
        <f>MONTH(Movimientos_2026[[#This Row],[Fecha]])</f>
        <v>5</v>
      </c>
      <c r="C1685" s="12" t="str">
        <f>VLOOKUP((WEEKDAY(Movimientos_2026[[#This Row],[Fecha]],2)),'5. Setup'!$D$6:$E$12,2,FALSE)</f>
        <v>Mie</v>
      </c>
      <c r="D1685">
        <v>2044127</v>
      </c>
      <c r="E1685" t="str">
        <f>IFERROR(+VLOOKUP(Movimientos_2026[[#This Row],[Codigo]],Plan_cuentas[],2,FALSE)," ")</f>
        <v>EGRESOS</v>
      </c>
      <c r="F1685" t="str">
        <f>IFERROR(+VLOOKUP(Movimientos_2026[[#This Row],[Codigo]],Plan_cuentas[],3,FALSE)," ")</f>
        <v>Transferencia</v>
      </c>
      <c r="G1685" t="str">
        <f>IFERROR(+VLOOKUP(Movimientos_2026[[#This Row],[Codigo]],Plan_cuentas[],4,FALSE)," ")</f>
        <v>Rentas</v>
      </c>
      <c r="H1685" t="str">
        <f>IFERROR(+VLOOKUP(Movimientos_2026[[#This Row],[Codigo]],Plan_cuentas[],5,FALSE)," ")</f>
        <v>BAPRO</v>
      </c>
      <c r="I1685" s="43">
        <v>46113</v>
      </c>
      <c r="J1685" t="s">
        <v>743</v>
      </c>
      <c r="K1685" t="str">
        <f>IFERROR(+VLOOKUP(Movimientos_2026[[#This Row],[Codigo]],Plan_cuentas[],6,FALSE)," ")</f>
        <v>7 - PRtr - Plan Rombo Transf.</v>
      </c>
      <c r="L1685" s="50"/>
      <c r="M1685" s="50">
        <v>1606711.75</v>
      </c>
      <c r="N1685" s="20">
        <f>+Movimientos_2026[[#This Row],[Ingresos]]-Movimientos_2026[[#This Row],[Egresos]]</f>
        <v>-1606711.75</v>
      </c>
      <c r="O1685" s="20">
        <f>+O1684+Movimientos_2026[[#This Row],[Neto]]</f>
        <v>3435225745.5268741</v>
      </c>
    </row>
    <row r="1686" spans="1:15" x14ac:dyDescent="0.25">
      <c r="A1686" s="13">
        <v>46162</v>
      </c>
      <c r="B1686" s="12">
        <f>MONTH(Movimientos_2026[[#This Row],[Fecha]])</f>
        <v>5</v>
      </c>
      <c r="C1686" s="12" t="str">
        <f>VLOOKUP((WEEKDAY(Movimientos_2026[[#This Row],[Fecha]],2)),'5. Setup'!$D$6:$E$12,2,FALSE)</f>
        <v>Mie</v>
      </c>
      <c r="D1686">
        <v>2044127</v>
      </c>
      <c r="E1686" t="str">
        <f>IFERROR(+VLOOKUP(Movimientos_2026[[#This Row],[Codigo]],Plan_cuentas[],2,FALSE)," ")</f>
        <v>EGRESOS</v>
      </c>
      <c r="F1686" t="str">
        <f>IFERROR(+VLOOKUP(Movimientos_2026[[#This Row],[Codigo]],Plan_cuentas[],3,FALSE)," ")</f>
        <v>Transferencia</v>
      </c>
      <c r="G1686" t="str">
        <f>IFERROR(+VLOOKUP(Movimientos_2026[[#This Row],[Codigo]],Plan_cuentas[],4,FALSE)," ")</f>
        <v>Rentas</v>
      </c>
      <c r="H1686" t="str">
        <f>IFERROR(+VLOOKUP(Movimientos_2026[[#This Row],[Codigo]],Plan_cuentas[],5,FALSE)," ")</f>
        <v>BAPRO</v>
      </c>
      <c r="I1686" s="43">
        <v>46113</v>
      </c>
      <c r="J1686" t="s">
        <v>744</v>
      </c>
      <c r="K1686" t="str">
        <f>IFERROR(+VLOOKUP(Movimientos_2026[[#This Row],[Codigo]],Plan_cuentas[],6,FALSE)," ")</f>
        <v>7 - PRtr - Plan Rombo Transf.</v>
      </c>
      <c r="L1686" s="50"/>
      <c r="M1686" s="50">
        <v>2702931</v>
      </c>
      <c r="N1686" s="20">
        <f>+Movimientos_2026[[#This Row],[Ingresos]]-Movimientos_2026[[#This Row],[Egresos]]</f>
        <v>-2702931</v>
      </c>
      <c r="O1686" s="20">
        <f>+O1685+Movimientos_2026[[#This Row],[Neto]]</f>
        <v>3432522814.5268741</v>
      </c>
    </row>
    <row r="1687" spans="1:15" x14ac:dyDescent="0.25">
      <c r="A1687" s="13">
        <v>46162</v>
      </c>
      <c r="B1687" s="12">
        <f>MONTH(Movimientos_2026[[#This Row],[Fecha]])</f>
        <v>5</v>
      </c>
      <c r="C1687" s="12" t="str">
        <f>VLOOKUP((WEEKDAY(Movimientos_2026[[#This Row],[Fecha]],2)),'5. Setup'!$D$6:$E$12,2,FALSE)</f>
        <v>Mie</v>
      </c>
      <c r="D1687">
        <v>2044127</v>
      </c>
      <c r="E1687" t="str">
        <f>IFERROR(+VLOOKUP(Movimientos_2026[[#This Row],[Codigo]],Plan_cuentas[],2,FALSE)," ")</f>
        <v>EGRESOS</v>
      </c>
      <c r="F1687" t="str">
        <f>IFERROR(+VLOOKUP(Movimientos_2026[[#This Row],[Codigo]],Plan_cuentas[],3,FALSE)," ")</f>
        <v>Transferencia</v>
      </c>
      <c r="G1687" t="str">
        <f>IFERROR(+VLOOKUP(Movimientos_2026[[#This Row],[Codigo]],Plan_cuentas[],4,FALSE)," ")</f>
        <v>Rentas</v>
      </c>
      <c r="H1687" t="str">
        <f>IFERROR(+VLOOKUP(Movimientos_2026[[#This Row],[Codigo]],Plan_cuentas[],5,FALSE)," ")</f>
        <v>BAPRO</v>
      </c>
      <c r="I1687" s="43">
        <v>46113</v>
      </c>
      <c r="J1687" t="s">
        <v>745</v>
      </c>
      <c r="K1687" t="str">
        <f>IFERROR(+VLOOKUP(Movimientos_2026[[#This Row],[Codigo]],Plan_cuentas[],6,FALSE)," ")</f>
        <v>7 - PRtr - Plan Rombo Transf.</v>
      </c>
      <c r="L1687" s="50"/>
      <c r="M1687" s="50">
        <v>2047962.65</v>
      </c>
      <c r="N1687" s="20">
        <f>+Movimientos_2026[[#This Row],[Ingresos]]-Movimientos_2026[[#This Row],[Egresos]]</f>
        <v>-2047962.65</v>
      </c>
      <c r="O1687" s="20">
        <f>+O1686+Movimientos_2026[[#This Row],[Neto]]</f>
        <v>3430474851.876874</v>
      </c>
    </row>
    <row r="1688" spans="1:15" x14ac:dyDescent="0.25">
      <c r="A1688" s="13">
        <v>46162</v>
      </c>
      <c r="B1688" s="12">
        <f>MONTH(Movimientos_2026[[#This Row],[Fecha]])</f>
        <v>5</v>
      </c>
      <c r="C1688" s="12" t="str">
        <f>VLOOKUP((WEEKDAY(Movimientos_2026[[#This Row],[Fecha]],2)),'5. Setup'!$D$6:$E$12,2,FALSE)</f>
        <v>Mie</v>
      </c>
      <c r="D1688">
        <v>2044126</v>
      </c>
      <c r="E1688" t="str">
        <f>IFERROR(+VLOOKUP(Movimientos_2026[[#This Row],[Codigo]],Plan_cuentas[],2,FALSE)," ")</f>
        <v>EGRESOS</v>
      </c>
      <c r="F1688" t="str">
        <f>IFERROR(+VLOOKUP(Movimientos_2026[[#This Row],[Codigo]],Plan_cuentas[],3,FALSE)," ")</f>
        <v>Transferencia</v>
      </c>
      <c r="G1688" t="str">
        <f>IFERROR(+VLOOKUP(Movimientos_2026[[#This Row],[Codigo]],Plan_cuentas[],4,FALSE)," ")</f>
        <v>Rentas</v>
      </c>
      <c r="H1688" t="str">
        <f>IFERROR(+VLOOKUP(Movimientos_2026[[#This Row],[Codigo]],Plan_cuentas[],5,FALSE)," ")</f>
        <v>BAPRO</v>
      </c>
      <c r="I1688" s="43">
        <v>46113</v>
      </c>
      <c r="J1688" t="s">
        <v>746</v>
      </c>
      <c r="K1688" t="str">
        <f>IFERROR(+VLOOKUP(Movimientos_2026[[#This Row],[Codigo]],Plan_cuentas[],6,FALSE)," ")</f>
        <v>6 - FCAtr - Fiat Transf.</v>
      </c>
      <c r="L1688" s="50"/>
      <c r="M1688" s="50">
        <v>1153811.8</v>
      </c>
      <c r="N1688" s="20">
        <f>+Movimientos_2026[[#This Row],[Ingresos]]-Movimientos_2026[[#This Row],[Egresos]]</f>
        <v>-1153811.8</v>
      </c>
      <c r="O1688" s="20">
        <f>+O1687+Movimientos_2026[[#This Row],[Neto]]</f>
        <v>3429321040.0768738</v>
      </c>
    </row>
    <row r="1689" spans="1:15" x14ac:dyDescent="0.25">
      <c r="A1689" s="13">
        <v>46162</v>
      </c>
      <c r="B1689" s="12">
        <f>MONTH(Movimientos_2026[[#This Row],[Fecha]])</f>
        <v>5</v>
      </c>
      <c r="C1689" s="12" t="str">
        <f>VLOOKUP((WEEKDAY(Movimientos_2026[[#This Row],[Fecha]],2)),'5. Setup'!$D$6:$E$12,2,FALSE)</f>
        <v>Mie</v>
      </c>
      <c r="D1689">
        <v>2044126</v>
      </c>
      <c r="E1689" t="str">
        <f>IFERROR(+VLOOKUP(Movimientos_2026[[#This Row],[Codigo]],Plan_cuentas[],2,FALSE)," ")</f>
        <v>EGRESOS</v>
      </c>
      <c r="F1689" t="str">
        <f>IFERROR(+VLOOKUP(Movimientos_2026[[#This Row],[Codigo]],Plan_cuentas[],3,FALSE)," ")</f>
        <v>Transferencia</v>
      </c>
      <c r="G1689" t="str">
        <f>IFERROR(+VLOOKUP(Movimientos_2026[[#This Row],[Codigo]],Plan_cuentas[],4,FALSE)," ")</f>
        <v>Rentas</v>
      </c>
      <c r="H1689" t="str">
        <f>IFERROR(+VLOOKUP(Movimientos_2026[[#This Row],[Codigo]],Plan_cuentas[],5,FALSE)," ")</f>
        <v>BAPRO</v>
      </c>
      <c r="I1689" s="43">
        <v>46113</v>
      </c>
      <c r="J1689" t="s">
        <v>747</v>
      </c>
      <c r="K1689" t="str">
        <f>IFERROR(+VLOOKUP(Movimientos_2026[[#This Row],[Codigo]],Plan_cuentas[],6,FALSE)," ")</f>
        <v>6 - FCAtr - Fiat Transf.</v>
      </c>
      <c r="L1689" s="50"/>
      <c r="M1689" s="50">
        <v>1063065.3</v>
      </c>
      <c r="N1689" s="20">
        <f>+Movimientos_2026[[#This Row],[Ingresos]]-Movimientos_2026[[#This Row],[Egresos]]</f>
        <v>-1063065.3</v>
      </c>
      <c r="O1689" s="20">
        <f>+O1688+Movimientos_2026[[#This Row],[Neto]]</f>
        <v>3428257974.7768736</v>
      </c>
    </row>
    <row r="1690" spans="1:15" x14ac:dyDescent="0.25">
      <c r="A1690" s="13">
        <v>46162</v>
      </c>
      <c r="B1690" s="12">
        <f>MONTH(Movimientos_2026[[#This Row],[Fecha]])</f>
        <v>5</v>
      </c>
      <c r="C1690" s="12" t="str">
        <f>VLOOKUP((WEEKDAY(Movimientos_2026[[#This Row],[Fecha]],2)),'5. Setup'!$D$6:$E$12,2,FALSE)</f>
        <v>Mie</v>
      </c>
      <c r="D1690">
        <v>2044126</v>
      </c>
      <c r="E1690" t="str">
        <f>IFERROR(+VLOOKUP(Movimientos_2026[[#This Row],[Codigo]],Plan_cuentas[],2,FALSE)," ")</f>
        <v>EGRESOS</v>
      </c>
      <c r="F1690" t="str">
        <f>IFERROR(+VLOOKUP(Movimientos_2026[[#This Row],[Codigo]],Plan_cuentas[],3,FALSE)," ")</f>
        <v>Transferencia</v>
      </c>
      <c r="G1690" t="str">
        <f>IFERROR(+VLOOKUP(Movimientos_2026[[#This Row],[Codigo]],Plan_cuentas[],4,FALSE)," ")</f>
        <v>Rentas</v>
      </c>
      <c r="H1690" t="str">
        <f>IFERROR(+VLOOKUP(Movimientos_2026[[#This Row],[Codigo]],Plan_cuentas[],5,FALSE)," ")</f>
        <v>BAPRO</v>
      </c>
      <c r="I1690" s="43">
        <v>46113</v>
      </c>
      <c r="J1690" t="s">
        <v>748</v>
      </c>
      <c r="K1690" t="str">
        <f>IFERROR(+VLOOKUP(Movimientos_2026[[#This Row],[Codigo]],Plan_cuentas[],6,FALSE)," ")</f>
        <v>6 - FCAtr - Fiat Transf.</v>
      </c>
      <c r="L1690" s="50"/>
      <c r="M1690" s="50">
        <v>1002392.4</v>
      </c>
      <c r="N1690" s="20">
        <f>+Movimientos_2026[[#This Row],[Ingresos]]-Movimientos_2026[[#This Row],[Egresos]]</f>
        <v>-1002392.4</v>
      </c>
      <c r="O1690" s="20">
        <f>+O1689+Movimientos_2026[[#This Row],[Neto]]</f>
        <v>3427255582.3768735</v>
      </c>
    </row>
    <row r="1691" spans="1:15" x14ac:dyDescent="0.25">
      <c r="A1691" s="13">
        <v>46162</v>
      </c>
      <c r="B1691" s="12">
        <f>MONTH(Movimientos_2026[[#This Row],[Fecha]])</f>
        <v>5</v>
      </c>
      <c r="C1691" s="12" t="str">
        <f>VLOOKUP((WEEKDAY(Movimientos_2026[[#This Row],[Fecha]],2)),'5. Setup'!$D$6:$E$12,2,FALSE)</f>
        <v>Mie</v>
      </c>
      <c r="D1691">
        <v>2044126</v>
      </c>
      <c r="E1691" t="str">
        <f>IFERROR(+VLOOKUP(Movimientos_2026[[#This Row],[Codigo]],Plan_cuentas[],2,FALSE)," ")</f>
        <v>EGRESOS</v>
      </c>
      <c r="F1691" t="str">
        <f>IFERROR(+VLOOKUP(Movimientos_2026[[#This Row],[Codigo]],Plan_cuentas[],3,FALSE)," ")</f>
        <v>Transferencia</v>
      </c>
      <c r="G1691" t="str">
        <f>IFERROR(+VLOOKUP(Movimientos_2026[[#This Row],[Codigo]],Plan_cuentas[],4,FALSE)," ")</f>
        <v>Rentas</v>
      </c>
      <c r="H1691" t="str">
        <f>IFERROR(+VLOOKUP(Movimientos_2026[[#This Row],[Codigo]],Plan_cuentas[],5,FALSE)," ")</f>
        <v>BAPRO</v>
      </c>
      <c r="I1691" s="43">
        <v>46113</v>
      </c>
      <c r="J1691" t="s">
        <v>749</v>
      </c>
      <c r="K1691" t="str">
        <f>IFERROR(+VLOOKUP(Movimientos_2026[[#This Row],[Codigo]],Plan_cuentas[],6,FALSE)," ")</f>
        <v>6 - FCAtr - Fiat Transf.</v>
      </c>
      <c r="L1691" s="50"/>
      <c r="M1691" s="50">
        <v>929641.3</v>
      </c>
      <c r="N1691" s="20">
        <f>+Movimientos_2026[[#This Row],[Ingresos]]-Movimientos_2026[[#This Row],[Egresos]]</f>
        <v>-929641.3</v>
      </c>
      <c r="O1691" s="20">
        <f>+O1690+Movimientos_2026[[#This Row],[Neto]]</f>
        <v>3426325941.0768733</v>
      </c>
    </row>
    <row r="1692" spans="1:15" x14ac:dyDescent="0.25">
      <c r="A1692" s="13">
        <v>46163</v>
      </c>
      <c r="B1692" s="12">
        <f>MONTH(Movimientos_2026[[#This Row],[Fecha]])</f>
        <v>5</v>
      </c>
      <c r="C1692" s="12" t="str">
        <f>VLOOKUP((WEEKDAY(Movimientos_2026[[#This Row],[Fecha]],2)),'5. Setup'!$D$6:$E$12,2,FALSE)</f>
        <v>Jue</v>
      </c>
      <c r="D1692">
        <v>2014202</v>
      </c>
      <c r="E1692" t="str">
        <f>IFERROR(+VLOOKUP(Movimientos_2026[[#This Row],[Codigo]],Plan_cuentas[],2,FALSE)," ")</f>
        <v>EGRESOS</v>
      </c>
      <c r="F1692" t="str">
        <f>IFERROR(+VLOOKUP(Movimientos_2026[[#This Row],[Codigo]],Plan_cuentas[],3,FALSE)," ")</f>
        <v>BtoB</v>
      </c>
      <c r="G1692" t="str">
        <f>IFERROR(+VLOOKUP(Movimientos_2026[[#This Row],[Codigo]],Plan_cuentas[],4,FALSE)," ")</f>
        <v>Rentas</v>
      </c>
      <c r="H1692" t="str">
        <f>IFERROR(+VLOOKUP(Movimientos_2026[[#This Row],[Codigo]],Plan_cuentas[],5,FALSE)," ")</f>
        <v>CORRIENTES 1° Q</v>
      </c>
      <c r="I1692" s="43">
        <v>46143</v>
      </c>
      <c r="J1692" t="s">
        <v>750</v>
      </c>
      <c r="K1692" t="str">
        <f>IFERROR(+VLOOKUP(Movimientos_2026[[#This Row],[Codigo]],Plan_cuentas[],6,FALSE)," ")</f>
        <v>2 - PR - Plan Rombo</v>
      </c>
      <c r="L1692" s="50"/>
      <c r="M1692" s="52">
        <v>27590289.25</v>
      </c>
      <c r="N1692" s="20">
        <f>+Movimientos_2026[[#This Row],[Ingresos]]-Movimientos_2026[[#This Row],[Egresos]]</f>
        <v>-27590289.25</v>
      </c>
      <c r="O1692" s="20">
        <f>+O1691+Movimientos_2026[[#This Row],[Neto]]</f>
        <v>3398735651.8268733</v>
      </c>
    </row>
    <row r="1693" spans="1:15" x14ac:dyDescent="0.25">
      <c r="A1693" s="13">
        <v>46163</v>
      </c>
      <c r="B1693" s="12">
        <f>MONTH(Movimientos_2026[[#This Row],[Fecha]])</f>
        <v>5</v>
      </c>
      <c r="C1693" s="12" t="str">
        <f>VLOOKUP((WEEKDAY(Movimientos_2026[[#This Row],[Fecha]],2)),'5. Setup'!$D$6:$E$12,2,FALSE)</f>
        <v>Jue</v>
      </c>
      <c r="D1693">
        <v>2023221</v>
      </c>
      <c r="E1693" t="str">
        <f>IFERROR(+VLOOKUP(Movimientos_2026[[#This Row],[Codigo]],Plan_cuentas[],2,FALSE)," ")</f>
        <v>EGRESOS</v>
      </c>
      <c r="F1693" t="str">
        <f>IFERROR(+VLOOKUP(Movimientos_2026[[#This Row],[Codigo]],Plan_cuentas[],3,FALSE)," ")</f>
        <v>DDJJ</v>
      </c>
      <c r="G1693" t="str">
        <f>IFERROR(+VLOOKUP(Movimientos_2026[[#This Row],[Codigo]],Plan_cuentas[],4,FALSE)," ")</f>
        <v>Registración</v>
      </c>
      <c r="H1693" t="str">
        <f>IFERROR(+VLOOKUP(Movimientos_2026[[#This Row],[Codigo]],Plan_cuentas[],5,FALSE)," ")</f>
        <v>ENTRE RIOS 1° Q</v>
      </c>
      <c r="I1693" s="43">
        <v>46143</v>
      </c>
      <c r="J1693" t="s">
        <v>751</v>
      </c>
      <c r="K1693" t="str">
        <f>IFERROR(+VLOOKUP(Movimientos_2026[[#This Row],[Codigo]],Plan_cuentas[],6,FALSE)," ")</f>
        <v>1 - VW - Volkswagen</v>
      </c>
      <c r="L1693" s="50"/>
      <c r="M1693" s="52">
        <v>14841389</v>
      </c>
      <c r="N1693" s="20">
        <f>+Movimientos_2026[[#This Row],[Ingresos]]-Movimientos_2026[[#This Row],[Egresos]]</f>
        <v>-14841389</v>
      </c>
      <c r="O1693" s="20">
        <f>+O1692+Movimientos_2026[[#This Row],[Neto]]</f>
        <v>3383894262.8268733</v>
      </c>
    </row>
    <row r="1694" spans="1:15" x14ac:dyDescent="0.25">
      <c r="A1694" s="13">
        <v>46163</v>
      </c>
      <c r="B1694" s="12">
        <f>MONTH(Movimientos_2026[[#This Row],[Fecha]])</f>
        <v>5</v>
      </c>
      <c r="C1694" s="12" t="str">
        <f>VLOOKUP((WEEKDAY(Movimientos_2026[[#This Row],[Fecha]],2)),'5. Setup'!$D$6:$E$12,2,FALSE)</f>
        <v>Jue</v>
      </c>
      <c r="D1694">
        <v>2023222</v>
      </c>
      <c r="E1694" t="str">
        <f>IFERROR(+VLOOKUP(Movimientos_2026[[#This Row],[Codigo]],Plan_cuentas[],2,FALSE)," ")</f>
        <v>EGRESOS</v>
      </c>
      <c r="F1694" t="str">
        <f>IFERROR(+VLOOKUP(Movimientos_2026[[#This Row],[Codigo]],Plan_cuentas[],3,FALSE)," ")</f>
        <v>DDJJ</v>
      </c>
      <c r="G1694" t="str">
        <f>IFERROR(+VLOOKUP(Movimientos_2026[[#This Row],[Codigo]],Plan_cuentas[],4,FALSE)," ")</f>
        <v>Registración</v>
      </c>
      <c r="H1694" t="str">
        <f>IFERROR(+VLOOKUP(Movimientos_2026[[#This Row],[Codigo]],Plan_cuentas[],5,FALSE)," ")</f>
        <v>ENTRE RIOS 1° Q</v>
      </c>
      <c r="I1694" s="43">
        <v>46143</v>
      </c>
      <c r="J1694" t="s">
        <v>751</v>
      </c>
      <c r="K1694" t="str">
        <f>IFERROR(+VLOOKUP(Movimientos_2026[[#This Row],[Codigo]],Plan_cuentas[],6,FALSE)," ")</f>
        <v>2 - PR - Plan Rombo</v>
      </c>
      <c r="L1694" s="50"/>
      <c r="M1694" s="52">
        <v>20679880.030000001</v>
      </c>
      <c r="N1694" s="20">
        <f>+Movimientos_2026[[#This Row],[Ingresos]]-Movimientos_2026[[#This Row],[Egresos]]</f>
        <v>-20679880.030000001</v>
      </c>
      <c r="O1694" s="20">
        <f>+O1693+Movimientos_2026[[#This Row],[Neto]]</f>
        <v>3363214382.7968731</v>
      </c>
    </row>
    <row r="1695" spans="1:15" x14ac:dyDescent="0.25">
      <c r="A1695" s="13">
        <v>46163</v>
      </c>
      <c r="B1695" s="12">
        <f>MONTH(Movimientos_2026[[#This Row],[Fecha]])</f>
        <v>5</v>
      </c>
      <c r="C1695" s="12" t="str">
        <f>VLOOKUP((WEEKDAY(Movimientos_2026[[#This Row],[Fecha]],2)),'5. Setup'!$D$6:$E$12,2,FALSE)</f>
        <v>Jue</v>
      </c>
      <c r="D1695">
        <v>2023223</v>
      </c>
      <c r="E1695" t="str">
        <f>IFERROR(+VLOOKUP(Movimientos_2026[[#This Row],[Codigo]],Plan_cuentas[],2,FALSE)," ")</f>
        <v>EGRESOS</v>
      </c>
      <c r="F1695" t="str">
        <f>IFERROR(+VLOOKUP(Movimientos_2026[[#This Row],[Codigo]],Plan_cuentas[],3,FALSE)," ")</f>
        <v>DDJJ</v>
      </c>
      <c r="G1695" t="str">
        <f>IFERROR(+VLOOKUP(Movimientos_2026[[#This Row],[Codigo]],Plan_cuentas[],4,FALSE)," ")</f>
        <v>Registración</v>
      </c>
      <c r="H1695" t="str">
        <f>IFERROR(+VLOOKUP(Movimientos_2026[[#This Row],[Codigo]],Plan_cuentas[],5,FALSE)," ")</f>
        <v>ENTRE RIOS 1° Q</v>
      </c>
      <c r="I1695" s="43">
        <v>46143</v>
      </c>
      <c r="J1695" t="s">
        <v>751</v>
      </c>
      <c r="K1695" t="str">
        <f>IFERROR(+VLOOKUP(Movimientos_2026[[#This Row],[Codigo]],Plan_cuentas[],6,FALSE)," ")</f>
        <v>3 - GM - Chevrolet</v>
      </c>
      <c r="L1695" s="50"/>
      <c r="M1695" s="52">
        <v>25219342.210000001</v>
      </c>
      <c r="N1695" s="20">
        <f>+Movimientos_2026[[#This Row],[Ingresos]]-Movimientos_2026[[#This Row],[Egresos]]</f>
        <v>-25219342.210000001</v>
      </c>
      <c r="O1695" s="20">
        <f>+O1694+Movimientos_2026[[#This Row],[Neto]]</f>
        <v>3337995040.5868731</v>
      </c>
    </row>
    <row r="1696" spans="1:15" x14ac:dyDescent="0.25">
      <c r="A1696" s="13">
        <v>46163</v>
      </c>
      <c r="B1696" s="12">
        <f>MONTH(Movimientos_2026[[#This Row],[Fecha]])</f>
        <v>5</v>
      </c>
      <c r="C1696" s="12" t="str">
        <f>VLOOKUP((WEEKDAY(Movimientos_2026[[#This Row],[Fecha]],2)),'5. Setup'!$D$6:$E$12,2,FALSE)</f>
        <v>Jue</v>
      </c>
      <c r="D1696">
        <v>2023226</v>
      </c>
      <c r="E1696" t="str">
        <f>IFERROR(+VLOOKUP(Movimientos_2026[[#This Row],[Codigo]],Plan_cuentas[],2,FALSE)," ")</f>
        <v>EGRESOS</v>
      </c>
      <c r="F1696" t="str">
        <f>IFERROR(+VLOOKUP(Movimientos_2026[[#This Row],[Codigo]],Plan_cuentas[],3,FALSE)," ")</f>
        <v>DDJJ</v>
      </c>
      <c r="G1696" t="str">
        <f>IFERROR(+VLOOKUP(Movimientos_2026[[#This Row],[Codigo]],Plan_cuentas[],4,FALSE)," ")</f>
        <v>Registración</v>
      </c>
      <c r="H1696" t="str">
        <f>IFERROR(+VLOOKUP(Movimientos_2026[[#This Row],[Codigo]],Plan_cuentas[],5,FALSE)," ")</f>
        <v>ENTRE RIOS 1° Q</v>
      </c>
      <c r="I1696" s="43">
        <v>46143</v>
      </c>
      <c r="J1696" t="s">
        <v>751</v>
      </c>
      <c r="K1696" t="str">
        <f>IFERROR(+VLOOKUP(Movimientos_2026[[#This Row],[Codigo]],Plan_cuentas[],6,FALSE)," ")</f>
        <v>6 - FCAtr - Fiat Transf.</v>
      </c>
      <c r="L1696" s="50"/>
      <c r="M1696" s="52">
        <v>392653.48</v>
      </c>
      <c r="N1696" s="20">
        <f>+Movimientos_2026[[#This Row],[Ingresos]]-Movimientos_2026[[#This Row],[Egresos]]</f>
        <v>-392653.48</v>
      </c>
      <c r="O1696" s="20">
        <f>+O1695+Movimientos_2026[[#This Row],[Neto]]</f>
        <v>3337602387.106873</v>
      </c>
    </row>
    <row r="1697" spans="1:15" x14ac:dyDescent="0.25">
      <c r="A1697" s="13">
        <v>46163</v>
      </c>
      <c r="B1697" s="12">
        <f>MONTH(Movimientos_2026[[#This Row],[Fecha]])</f>
        <v>5</v>
      </c>
      <c r="C1697" s="12" t="str">
        <f>VLOOKUP((WEEKDAY(Movimientos_2026[[#This Row],[Fecha]],2)),'5. Setup'!$D$6:$E$12,2,FALSE)</f>
        <v>Jue</v>
      </c>
      <c r="D1697">
        <v>2023227</v>
      </c>
      <c r="E1697" t="str">
        <f>IFERROR(+VLOOKUP(Movimientos_2026[[#This Row],[Codigo]],Plan_cuentas[],2,FALSE)," ")</f>
        <v>EGRESOS</v>
      </c>
      <c r="F1697" t="str">
        <f>IFERROR(+VLOOKUP(Movimientos_2026[[#This Row],[Codigo]],Plan_cuentas[],3,FALSE)," ")</f>
        <v>DDJJ</v>
      </c>
      <c r="G1697" t="str">
        <f>IFERROR(+VLOOKUP(Movimientos_2026[[#This Row],[Codigo]],Plan_cuentas[],4,FALSE)," ")</f>
        <v>Registración</v>
      </c>
      <c r="H1697" t="str">
        <f>IFERROR(+VLOOKUP(Movimientos_2026[[#This Row],[Codigo]],Plan_cuentas[],5,FALSE)," ")</f>
        <v>ENTRE RIOS 1° Q</v>
      </c>
      <c r="I1697" s="43">
        <v>46143</v>
      </c>
      <c r="J1697" t="s">
        <v>751</v>
      </c>
      <c r="K1697" t="str">
        <f>IFERROR(+VLOOKUP(Movimientos_2026[[#This Row],[Codigo]],Plan_cuentas[],6,FALSE)," ")</f>
        <v>7 - PRtr - Plan Rombo Transf.</v>
      </c>
      <c r="L1697" s="50"/>
      <c r="M1697" s="52">
        <v>25000</v>
      </c>
      <c r="N1697" s="20">
        <f>+Movimientos_2026[[#This Row],[Ingresos]]-Movimientos_2026[[#This Row],[Egresos]]</f>
        <v>-25000</v>
      </c>
      <c r="O1697" s="20">
        <f>+O1696+Movimientos_2026[[#This Row],[Neto]]</f>
        <v>3337577387.106873</v>
      </c>
    </row>
    <row r="1698" spans="1:15" x14ac:dyDescent="0.25">
      <c r="A1698" s="13">
        <v>46163</v>
      </c>
      <c r="B1698" s="12">
        <f>MONTH(Movimientos_2026[[#This Row],[Fecha]])</f>
        <v>5</v>
      </c>
      <c r="C1698" s="12" t="str">
        <f>VLOOKUP((WEEKDAY(Movimientos_2026[[#This Row],[Fecha]],2)),'5. Setup'!$D$6:$E$12,2,FALSE)</f>
        <v>Jue</v>
      </c>
      <c r="D1698">
        <v>2023382</v>
      </c>
      <c r="E1698" t="str">
        <f>IFERROR(+VLOOKUP(Movimientos_2026[[#This Row],[Codigo]],Plan_cuentas[],2,FALSE)," ")</f>
        <v>EGRESOS</v>
      </c>
      <c r="F1698" t="str">
        <f>IFERROR(+VLOOKUP(Movimientos_2026[[#This Row],[Codigo]],Plan_cuentas[],3,FALSE)," ")</f>
        <v>DDJJ</v>
      </c>
      <c r="G1698" t="str">
        <f>IFERROR(+VLOOKUP(Movimientos_2026[[#This Row],[Codigo]],Plan_cuentas[],4,FALSE)," ")</f>
        <v>Registración</v>
      </c>
      <c r="H1698" t="str">
        <f>IFERROR(+VLOOKUP(Movimientos_2026[[#This Row],[Codigo]],Plan_cuentas[],5,FALSE)," ")</f>
        <v>SANTA FE 1° Q</v>
      </c>
      <c r="I1698" s="43">
        <v>46143</v>
      </c>
      <c r="J1698" t="s">
        <v>752</v>
      </c>
      <c r="K1698" t="str">
        <f>IFERROR(+VLOOKUP(Movimientos_2026[[#This Row],[Codigo]],Plan_cuentas[],6,FALSE)," ")</f>
        <v>2 - PR - Plan Rombo</v>
      </c>
      <c r="L1698" s="50"/>
      <c r="M1698" s="52">
        <v>40023574.5</v>
      </c>
      <c r="N1698" s="20">
        <f>+Movimientos_2026[[#This Row],[Ingresos]]-Movimientos_2026[[#This Row],[Egresos]]</f>
        <v>-40023574.5</v>
      </c>
      <c r="O1698" s="20">
        <f>+O1697+Movimientos_2026[[#This Row],[Neto]]</f>
        <v>3297553812.606873</v>
      </c>
    </row>
    <row r="1699" spans="1:15" x14ac:dyDescent="0.25">
      <c r="A1699" s="13">
        <v>46163</v>
      </c>
      <c r="B1699" s="12">
        <f>MONTH(Movimientos_2026[[#This Row],[Fecha]])</f>
        <v>5</v>
      </c>
      <c r="C1699" s="12" t="str">
        <f>VLOOKUP((WEEKDAY(Movimientos_2026[[#This Row],[Fecha]],2)),'5. Setup'!$D$6:$E$12,2,FALSE)</f>
        <v>Jue</v>
      </c>
      <c r="D1699">
        <v>2023383</v>
      </c>
      <c r="E1699" t="str">
        <f>IFERROR(+VLOOKUP(Movimientos_2026[[#This Row],[Codigo]],Plan_cuentas[],2,FALSE)," ")</f>
        <v>EGRESOS</v>
      </c>
      <c r="F1699" t="str">
        <f>IFERROR(+VLOOKUP(Movimientos_2026[[#This Row],[Codigo]],Plan_cuentas[],3,FALSE)," ")</f>
        <v>DDJJ</v>
      </c>
      <c r="G1699" t="str">
        <f>IFERROR(+VLOOKUP(Movimientos_2026[[#This Row],[Codigo]],Plan_cuentas[],4,FALSE)," ")</f>
        <v>Registración</v>
      </c>
      <c r="H1699" t="str">
        <f>IFERROR(+VLOOKUP(Movimientos_2026[[#This Row],[Codigo]],Plan_cuentas[],5,FALSE)," ")</f>
        <v>SANTA FE 1° Q</v>
      </c>
      <c r="I1699" s="43">
        <v>46143</v>
      </c>
      <c r="J1699" t="s">
        <v>752</v>
      </c>
      <c r="K1699" t="str">
        <f>IFERROR(+VLOOKUP(Movimientos_2026[[#This Row],[Codigo]],Plan_cuentas[],6,FALSE)," ")</f>
        <v>3 - GM - Chevrolet</v>
      </c>
      <c r="L1699" s="50"/>
      <c r="M1699" s="52">
        <v>17798645.969999999</v>
      </c>
      <c r="N1699" s="20">
        <f>+Movimientos_2026[[#This Row],[Ingresos]]-Movimientos_2026[[#This Row],[Egresos]]</f>
        <v>-17798645.969999999</v>
      </c>
      <c r="O1699" s="20">
        <f>+O1698+Movimientos_2026[[#This Row],[Neto]]</f>
        <v>3279755166.6368732</v>
      </c>
    </row>
    <row r="1700" spans="1:15" x14ac:dyDescent="0.25">
      <c r="A1700" s="13">
        <v>46163</v>
      </c>
      <c r="B1700" s="12">
        <f>MONTH(Movimientos_2026[[#This Row],[Fecha]])</f>
        <v>5</v>
      </c>
      <c r="C1700" s="12" t="str">
        <f>VLOOKUP((WEEKDAY(Movimientos_2026[[#This Row],[Fecha]],2)),'5. Setup'!$D$6:$E$12,2,FALSE)</f>
        <v>Jue</v>
      </c>
      <c r="D1700">
        <v>2023384</v>
      </c>
      <c r="E1700" t="str">
        <f>IFERROR(+VLOOKUP(Movimientos_2026[[#This Row],[Codigo]],Plan_cuentas[],2,FALSE)," ")</f>
        <v>EGRESOS</v>
      </c>
      <c r="F1700" t="str">
        <f>IFERROR(+VLOOKUP(Movimientos_2026[[#This Row],[Codigo]],Plan_cuentas[],3,FALSE)," ")</f>
        <v>DDJJ</v>
      </c>
      <c r="G1700" t="str">
        <f>IFERROR(+VLOOKUP(Movimientos_2026[[#This Row],[Codigo]],Plan_cuentas[],4,FALSE)," ")</f>
        <v>Registración</v>
      </c>
      <c r="H1700" t="str">
        <f>IFERROR(+VLOOKUP(Movimientos_2026[[#This Row],[Codigo]],Plan_cuentas[],5,FALSE)," ")</f>
        <v>SANTA FE 1° Q</v>
      </c>
      <c r="I1700" s="43">
        <v>46143</v>
      </c>
      <c r="J1700" t="s">
        <v>752</v>
      </c>
      <c r="K1700" t="str">
        <f>IFERROR(+VLOOKUP(Movimientos_2026[[#This Row],[Codigo]],Plan_cuentas[],6,FALSE)," ")</f>
        <v>4 - FCA - Fiat</v>
      </c>
      <c r="L1700" s="50"/>
      <c r="M1700" s="52">
        <v>90746727.519999996</v>
      </c>
      <c r="N1700" s="20">
        <f>+Movimientos_2026[[#This Row],[Ingresos]]-Movimientos_2026[[#This Row],[Egresos]]</f>
        <v>-90746727.519999996</v>
      </c>
      <c r="O1700" s="20">
        <f>+O1699+Movimientos_2026[[#This Row],[Neto]]</f>
        <v>3189008439.1168733</v>
      </c>
    </row>
    <row r="1701" spans="1:15" x14ac:dyDescent="0.25">
      <c r="A1701" s="13">
        <v>46163</v>
      </c>
      <c r="B1701" s="12">
        <f>MONTH(Movimientos_2026[[#This Row],[Fecha]])</f>
        <v>5</v>
      </c>
      <c r="C1701" s="12" t="str">
        <f>VLOOKUP((WEEKDAY(Movimientos_2026[[#This Row],[Fecha]],2)),'5. Setup'!$D$6:$E$12,2,FALSE)</f>
        <v>Jue</v>
      </c>
      <c r="D1701">
        <v>2023385</v>
      </c>
      <c r="E1701" t="str">
        <f>IFERROR(+VLOOKUP(Movimientos_2026[[#This Row],[Codigo]],Plan_cuentas[],2,FALSE)," ")</f>
        <v>EGRESOS</v>
      </c>
      <c r="F1701" t="str">
        <f>IFERROR(+VLOOKUP(Movimientos_2026[[#This Row],[Codigo]],Plan_cuentas[],3,FALSE)," ")</f>
        <v>DDJJ</v>
      </c>
      <c r="G1701" t="str">
        <f>IFERROR(+VLOOKUP(Movimientos_2026[[#This Row],[Codigo]],Plan_cuentas[],4,FALSE)," ")</f>
        <v>Registración</v>
      </c>
      <c r="H1701" t="str">
        <f>IFERROR(+VLOOKUP(Movimientos_2026[[#This Row],[Codigo]],Plan_cuentas[],5,FALSE)," ")</f>
        <v>SANTA FE 1° Q</v>
      </c>
      <c r="I1701" s="43">
        <v>46143</v>
      </c>
      <c r="J1701" t="s">
        <v>752</v>
      </c>
      <c r="K1701" t="str">
        <f>IFERROR(+VLOOKUP(Movimientos_2026[[#This Row],[Codigo]],Plan_cuentas[],6,FALSE)," ")</f>
        <v>5 - YAM - Yamaha</v>
      </c>
      <c r="L1701" s="50"/>
      <c r="M1701" s="52">
        <v>1235552.1100000001</v>
      </c>
      <c r="N1701" s="20">
        <f>+Movimientos_2026[[#This Row],[Ingresos]]-Movimientos_2026[[#This Row],[Egresos]]</f>
        <v>-1235552.1100000001</v>
      </c>
      <c r="O1701" s="20">
        <f>+O1700+Movimientos_2026[[#This Row],[Neto]]</f>
        <v>3187772887.0068731</v>
      </c>
    </row>
    <row r="1702" spans="1:15" x14ac:dyDescent="0.25">
      <c r="A1702" s="13">
        <v>46163</v>
      </c>
      <c r="B1702" s="12">
        <f>MONTH(Movimientos_2026[[#This Row],[Fecha]])</f>
        <v>5</v>
      </c>
      <c r="C1702" s="12" t="str">
        <f>VLOOKUP((WEEKDAY(Movimientos_2026[[#This Row],[Fecha]],2)),'5. Setup'!$D$6:$E$12,2,FALSE)</f>
        <v>Jue</v>
      </c>
      <c r="D1702">
        <v>2023386</v>
      </c>
      <c r="E1702" t="str">
        <f>IFERROR(+VLOOKUP(Movimientos_2026[[#This Row],[Codigo]],Plan_cuentas[],2,FALSE)," ")</f>
        <v>EGRESOS</v>
      </c>
      <c r="F1702" t="str">
        <f>IFERROR(+VLOOKUP(Movimientos_2026[[#This Row],[Codigo]],Plan_cuentas[],3,FALSE)," ")</f>
        <v>DDJJ</v>
      </c>
      <c r="G1702" t="str">
        <f>IFERROR(+VLOOKUP(Movimientos_2026[[#This Row],[Codigo]],Plan_cuentas[],4,FALSE)," ")</f>
        <v>Registración</v>
      </c>
      <c r="H1702" t="str">
        <f>IFERROR(+VLOOKUP(Movimientos_2026[[#This Row],[Codigo]],Plan_cuentas[],5,FALSE)," ")</f>
        <v>SANTA FE 1° Q</v>
      </c>
      <c r="I1702" s="43">
        <v>46143</v>
      </c>
      <c r="J1702" t="s">
        <v>752</v>
      </c>
      <c r="K1702" t="str">
        <f>IFERROR(+VLOOKUP(Movimientos_2026[[#This Row],[Codigo]],Plan_cuentas[],6,FALSE)," ")</f>
        <v>6 - FCAtr - Fiat Transf.</v>
      </c>
      <c r="L1702" s="50"/>
      <c r="M1702" s="52">
        <v>3210291.3</v>
      </c>
      <c r="N1702" s="20">
        <f>+Movimientos_2026[[#This Row],[Ingresos]]-Movimientos_2026[[#This Row],[Egresos]]</f>
        <v>-3210291.3</v>
      </c>
      <c r="O1702" s="20">
        <f>+O1701+Movimientos_2026[[#This Row],[Neto]]</f>
        <v>3184562595.7068729</v>
      </c>
    </row>
    <row r="1703" spans="1:15" x14ac:dyDescent="0.25">
      <c r="A1703" s="13">
        <v>46163</v>
      </c>
      <c r="B1703" s="12">
        <f>MONTH(Movimientos_2026[[#This Row],[Fecha]])</f>
        <v>5</v>
      </c>
      <c r="C1703" s="12" t="str">
        <f>VLOOKUP((WEEKDAY(Movimientos_2026[[#This Row],[Fecha]],2)),'5. Setup'!$D$6:$E$12,2,FALSE)</f>
        <v>Jue</v>
      </c>
      <c r="D1703">
        <v>2023387</v>
      </c>
      <c r="E1703" t="str">
        <f>IFERROR(+VLOOKUP(Movimientos_2026[[#This Row],[Codigo]],Plan_cuentas[],2,FALSE)," ")</f>
        <v>EGRESOS</v>
      </c>
      <c r="F1703" t="str">
        <f>IFERROR(+VLOOKUP(Movimientos_2026[[#This Row],[Codigo]],Plan_cuentas[],3,FALSE)," ")</f>
        <v>DDJJ</v>
      </c>
      <c r="G1703" t="str">
        <f>IFERROR(+VLOOKUP(Movimientos_2026[[#This Row],[Codigo]],Plan_cuentas[],4,FALSE)," ")</f>
        <v>Registración</v>
      </c>
      <c r="H1703" t="str">
        <f>IFERROR(+VLOOKUP(Movimientos_2026[[#This Row],[Codigo]],Plan_cuentas[],5,FALSE)," ")</f>
        <v>SANTA FE 1° Q</v>
      </c>
      <c r="I1703" s="43">
        <v>46143</v>
      </c>
      <c r="J1703" t="s">
        <v>752</v>
      </c>
      <c r="K1703" t="str">
        <f>IFERROR(+VLOOKUP(Movimientos_2026[[#This Row],[Codigo]],Plan_cuentas[],6,FALSE)," ")</f>
        <v>7 - PRtr - Plan Rombo Transf.</v>
      </c>
      <c r="L1703" s="50"/>
      <c r="M1703" s="52">
        <v>47390</v>
      </c>
      <c r="N1703" s="20">
        <f>+Movimientos_2026[[#This Row],[Ingresos]]-Movimientos_2026[[#This Row],[Egresos]]</f>
        <v>-47390</v>
      </c>
      <c r="O1703" s="20">
        <f>+O1702+Movimientos_2026[[#This Row],[Neto]]</f>
        <v>3184515205.7068729</v>
      </c>
    </row>
    <row r="1704" spans="1:15" x14ac:dyDescent="0.25">
      <c r="A1704" s="13">
        <v>46163</v>
      </c>
      <c r="B1704" s="12">
        <f>MONTH(Movimientos_2026[[#This Row],[Fecha]])</f>
        <v>5</v>
      </c>
      <c r="C1704" s="12" t="str">
        <f>VLOOKUP((WEEKDAY(Movimientos_2026[[#This Row],[Fecha]],2)),'5. Setup'!$D$6:$E$12,2,FALSE)</f>
        <v>Jue</v>
      </c>
      <c r="D1704">
        <v>2014264</v>
      </c>
      <c r="E1704" t="str">
        <f>IFERROR(+VLOOKUP(Movimientos_2026[[#This Row],[Codigo]],Plan_cuentas[],2,FALSE)," ")</f>
        <v>EGRESOS</v>
      </c>
      <c r="F1704" t="str">
        <f>IFERROR(+VLOOKUP(Movimientos_2026[[#This Row],[Codigo]],Plan_cuentas[],3,FALSE)," ")</f>
        <v>BtoB</v>
      </c>
      <c r="G1704" t="str">
        <f>IFERROR(+VLOOKUP(Movimientos_2026[[#This Row],[Codigo]],Plan_cuentas[],4,FALSE)," ")</f>
        <v>Rentas</v>
      </c>
      <c r="H1704" t="str">
        <f>IFERROR(+VLOOKUP(Movimientos_2026[[#This Row],[Codigo]],Plan_cuentas[],5,FALSE)," ")</f>
        <v>LA PAMPA</v>
      </c>
      <c r="I1704" s="43">
        <v>46113</v>
      </c>
      <c r="J1704" t="s">
        <v>753</v>
      </c>
      <c r="K1704" t="str">
        <f>IFERROR(+VLOOKUP(Movimientos_2026[[#This Row],[Codigo]],Plan_cuentas[],6,FALSE)," ")</f>
        <v>4 - FCA - Fiat</v>
      </c>
      <c r="L1704" s="50"/>
      <c r="M1704" s="50">
        <v>3821300</v>
      </c>
      <c r="N1704" s="20">
        <f>+Movimientos_2026[[#This Row],[Ingresos]]-Movimientos_2026[[#This Row],[Egresos]]</f>
        <v>-3821300</v>
      </c>
      <c r="O1704" s="20">
        <f>+O1703+Movimientos_2026[[#This Row],[Neto]]</f>
        <v>3180693905.7068729</v>
      </c>
    </row>
    <row r="1705" spans="1:15" x14ac:dyDescent="0.25">
      <c r="A1705" s="13">
        <v>46163</v>
      </c>
      <c r="B1705" s="12">
        <f>MONTH(Movimientos_2026[[#This Row],[Fecha]])</f>
        <v>5</v>
      </c>
      <c r="C1705" s="12" t="str">
        <f>VLOOKUP((WEEKDAY(Movimientos_2026[[#This Row],[Fecha]],2)),'5. Setup'!$D$6:$E$12,2,FALSE)</f>
        <v>Jue</v>
      </c>
      <c r="D1705">
        <v>2014266</v>
      </c>
      <c r="E1705" t="str">
        <f>IFERROR(+VLOOKUP(Movimientos_2026[[#This Row],[Codigo]],Plan_cuentas[],2,FALSE)," ")</f>
        <v>EGRESOS</v>
      </c>
      <c r="F1705" t="str">
        <f>IFERROR(+VLOOKUP(Movimientos_2026[[#This Row],[Codigo]],Plan_cuentas[],3,FALSE)," ")</f>
        <v>BtoB</v>
      </c>
      <c r="G1705" t="str">
        <f>IFERROR(+VLOOKUP(Movimientos_2026[[#This Row],[Codigo]],Plan_cuentas[],4,FALSE)," ")</f>
        <v>Rentas</v>
      </c>
      <c r="H1705" t="str">
        <f>IFERROR(+VLOOKUP(Movimientos_2026[[#This Row],[Codigo]],Plan_cuentas[],5,FALSE)," ")</f>
        <v>LA PAMPA</v>
      </c>
      <c r="I1705" s="43">
        <v>46113</v>
      </c>
      <c r="J1705" t="s">
        <v>753</v>
      </c>
      <c r="K1705" t="str">
        <f>IFERROR(+VLOOKUP(Movimientos_2026[[#This Row],[Codigo]],Plan_cuentas[],6,FALSE)," ")</f>
        <v>6 - FCAtr - Fiat Transf.</v>
      </c>
      <c r="L1705" s="50"/>
      <c r="M1705" s="50">
        <v>5685514.7400000002</v>
      </c>
      <c r="N1705" s="20">
        <f>+Movimientos_2026[[#This Row],[Ingresos]]-Movimientos_2026[[#This Row],[Egresos]]</f>
        <v>-5685514.7400000002</v>
      </c>
      <c r="O1705" s="20">
        <f>+O1704+Movimientos_2026[[#This Row],[Neto]]</f>
        <v>3175008390.9668732</v>
      </c>
    </row>
    <row r="1706" spans="1:15" x14ac:dyDescent="0.25">
      <c r="A1706" s="13">
        <v>46163</v>
      </c>
      <c r="B1706" s="12">
        <f>MONTH(Movimientos_2026[[#This Row],[Fecha]])</f>
        <v>5</v>
      </c>
      <c r="C1706" s="12" t="str">
        <f>VLOOKUP((WEEKDAY(Movimientos_2026[[#This Row],[Fecha]],2)),'5. Setup'!$D$6:$E$12,2,FALSE)</f>
        <v>Jue</v>
      </c>
      <c r="D1706">
        <v>2014264</v>
      </c>
      <c r="E1706" t="str">
        <f>IFERROR(+VLOOKUP(Movimientos_2026[[#This Row],[Codigo]],Plan_cuentas[],2,FALSE)," ")</f>
        <v>EGRESOS</v>
      </c>
      <c r="F1706" t="str">
        <f>IFERROR(+VLOOKUP(Movimientos_2026[[#This Row],[Codigo]],Plan_cuentas[],3,FALSE)," ")</f>
        <v>BtoB</v>
      </c>
      <c r="G1706" t="str">
        <f>IFERROR(+VLOOKUP(Movimientos_2026[[#This Row],[Codigo]],Plan_cuentas[],4,FALSE)," ")</f>
        <v>Rentas</v>
      </c>
      <c r="H1706" t="str">
        <f>IFERROR(+VLOOKUP(Movimientos_2026[[#This Row],[Codigo]],Plan_cuentas[],5,FALSE)," ")</f>
        <v>LA PAMPA</v>
      </c>
      <c r="I1706" s="43">
        <v>46113</v>
      </c>
      <c r="J1706" t="s">
        <v>753</v>
      </c>
      <c r="K1706" t="str">
        <f>IFERROR(+VLOOKUP(Movimientos_2026[[#This Row],[Codigo]],Plan_cuentas[],6,FALSE)," ")</f>
        <v>4 - FCA - Fiat</v>
      </c>
      <c r="L1706" s="50"/>
      <c r="M1706" s="50">
        <v>60203.57</v>
      </c>
      <c r="N1706" s="20">
        <f>+Movimientos_2026[[#This Row],[Ingresos]]-Movimientos_2026[[#This Row],[Egresos]]</f>
        <v>-60203.57</v>
      </c>
      <c r="O1706" s="20">
        <f>+O1705+Movimientos_2026[[#This Row],[Neto]]</f>
        <v>3174948187.396873</v>
      </c>
    </row>
    <row r="1707" spans="1:15" x14ac:dyDescent="0.25">
      <c r="A1707" s="13">
        <v>46163</v>
      </c>
      <c r="B1707" s="12">
        <f>MONTH(Movimientos_2026[[#This Row],[Fecha]])</f>
        <v>5</v>
      </c>
      <c r="C1707" s="12" t="str">
        <f>VLOOKUP((WEEKDAY(Movimientos_2026[[#This Row],[Fecha]],2)),'5. Setup'!$D$6:$E$12,2,FALSE)</f>
        <v>Jue</v>
      </c>
      <c r="D1707">
        <v>2014262</v>
      </c>
      <c r="E1707" t="str">
        <f>IFERROR(+VLOOKUP(Movimientos_2026[[#This Row],[Codigo]],Plan_cuentas[],2,FALSE)," ")</f>
        <v>EGRESOS</v>
      </c>
      <c r="F1707" t="str">
        <f>IFERROR(+VLOOKUP(Movimientos_2026[[#This Row],[Codigo]],Plan_cuentas[],3,FALSE)," ")</f>
        <v>BtoB</v>
      </c>
      <c r="G1707" t="str">
        <f>IFERROR(+VLOOKUP(Movimientos_2026[[#This Row],[Codigo]],Plan_cuentas[],4,FALSE)," ")</f>
        <v>Rentas</v>
      </c>
      <c r="H1707" t="str">
        <f>IFERROR(+VLOOKUP(Movimientos_2026[[#This Row],[Codigo]],Plan_cuentas[],5,FALSE)," ")</f>
        <v>LA PAMPA</v>
      </c>
      <c r="I1707" s="43">
        <v>46113</v>
      </c>
      <c r="J1707" t="s">
        <v>754</v>
      </c>
      <c r="K1707" t="str">
        <f>IFERROR(+VLOOKUP(Movimientos_2026[[#This Row],[Codigo]],Plan_cuentas[],6,FALSE)," ")</f>
        <v>2 - PR - Plan Rombo</v>
      </c>
      <c r="L1707" s="50"/>
      <c r="M1707" s="50">
        <v>6450700</v>
      </c>
      <c r="N1707" s="20">
        <f>+Movimientos_2026[[#This Row],[Ingresos]]-Movimientos_2026[[#This Row],[Egresos]]</f>
        <v>-6450700</v>
      </c>
      <c r="O1707" s="20">
        <f>+O1706+Movimientos_2026[[#This Row],[Neto]]</f>
        <v>3168497487.396873</v>
      </c>
    </row>
    <row r="1708" spans="1:15" x14ac:dyDescent="0.25">
      <c r="A1708" s="13">
        <v>46163</v>
      </c>
      <c r="B1708" s="12">
        <f>MONTH(Movimientos_2026[[#This Row],[Fecha]])</f>
        <v>5</v>
      </c>
      <c r="C1708" s="12" t="str">
        <f>VLOOKUP((WEEKDAY(Movimientos_2026[[#This Row],[Fecha]],2)),'5. Setup'!$D$6:$E$12,2,FALSE)</f>
        <v>Jue</v>
      </c>
      <c r="D1708">
        <v>1044314</v>
      </c>
      <c r="E1708" t="str">
        <f>IFERROR(+VLOOKUP(Movimientos_2026[[#This Row],[Codigo]],Plan_cuentas[],2,FALSE)," ")</f>
        <v>INGRESOS</v>
      </c>
      <c r="F1708" t="str">
        <f>IFERROR(+VLOOKUP(Movimientos_2026[[#This Row],[Codigo]],Plan_cuentas[],3,FALSE)," ")</f>
        <v>Transferencia</v>
      </c>
      <c r="G1708" t="str">
        <f>IFERROR(+VLOOKUP(Movimientos_2026[[#This Row],[Codigo]],Plan_cuentas[],4,FALSE)," ")</f>
        <v>Rentas</v>
      </c>
      <c r="H1708" t="str">
        <f>IFERROR(+VLOOKUP(Movimientos_2026[[#This Row],[Codigo]],Plan_cuentas[],5,FALSE)," ")</f>
        <v>NEUQUEN 1° Q</v>
      </c>
      <c r="I1708" s="43">
        <v>46143</v>
      </c>
      <c r="J1708" t="s">
        <v>755</v>
      </c>
      <c r="K1708" t="str">
        <f>IFERROR(+VLOOKUP(Movimientos_2026[[#This Row],[Codigo]],Plan_cuentas[],6,FALSE)," ")</f>
        <v>4 - FCA - Fiat</v>
      </c>
      <c r="L1708" s="50">
        <v>33603280</v>
      </c>
      <c r="M1708" s="50"/>
      <c r="N1708" s="20">
        <f>+Movimientos_2026[[#This Row],[Ingresos]]-Movimientos_2026[[#This Row],[Egresos]]</f>
        <v>33603280</v>
      </c>
      <c r="O1708" s="20">
        <f>+O1707+Movimientos_2026[[#This Row],[Neto]]</f>
        <v>3202100767.396873</v>
      </c>
    </row>
    <row r="1709" spans="1:15" x14ac:dyDescent="0.25">
      <c r="A1709" s="13">
        <v>46163</v>
      </c>
      <c r="B1709" s="12">
        <f>MONTH(Movimientos_2026[[#This Row],[Fecha]])</f>
        <v>5</v>
      </c>
      <c r="C1709" s="12" t="str">
        <f>VLOOKUP((WEEKDAY(Movimientos_2026[[#This Row],[Fecha]],2)),'5. Setup'!$D$6:$E$12,2,FALSE)</f>
        <v>Jue</v>
      </c>
      <c r="D1709">
        <v>1044316</v>
      </c>
      <c r="E1709" t="str">
        <f>IFERROR(+VLOOKUP(Movimientos_2026[[#This Row],[Codigo]],Plan_cuentas[],2,FALSE)," ")</f>
        <v>INGRESOS</v>
      </c>
      <c r="F1709" t="str">
        <f>IFERROR(+VLOOKUP(Movimientos_2026[[#This Row],[Codigo]],Plan_cuentas[],3,FALSE)," ")</f>
        <v>Transferencia</v>
      </c>
      <c r="G1709" t="str">
        <f>IFERROR(+VLOOKUP(Movimientos_2026[[#This Row],[Codigo]],Plan_cuentas[],4,FALSE)," ")</f>
        <v>Rentas</v>
      </c>
      <c r="H1709" t="str">
        <f>IFERROR(+VLOOKUP(Movimientos_2026[[#This Row],[Codigo]],Plan_cuentas[],5,FALSE)," ")</f>
        <v>NEUQUEN 1° Q</v>
      </c>
      <c r="I1709" s="43">
        <v>46143</v>
      </c>
      <c r="J1709" t="s">
        <v>756</v>
      </c>
      <c r="K1709" t="str">
        <f>IFERROR(+VLOOKUP(Movimientos_2026[[#This Row],[Codigo]],Plan_cuentas[],6,FALSE)," ")</f>
        <v>6 - FCAtr - Fiat Transf.</v>
      </c>
      <c r="L1709" s="50">
        <v>848207.07</v>
      </c>
      <c r="M1709" s="50"/>
      <c r="N1709" s="20">
        <f>+Movimientos_2026[[#This Row],[Ingresos]]-Movimientos_2026[[#This Row],[Egresos]]</f>
        <v>848207.07</v>
      </c>
      <c r="O1709" s="20">
        <f>+O1708+Movimientos_2026[[#This Row],[Neto]]</f>
        <v>3202948974.4668732</v>
      </c>
    </row>
    <row r="1710" spans="1:15" x14ac:dyDescent="0.25">
      <c r="A1710" s="13">
        <v>46164</v>
      </c>
      <c r="B1710" s="12">
        <f>MONTH(Movimientos_2026[[#This Row],[Fecha]])</f>
        <v>5</v>
      </c>
      <c r="C1710" s="12" t="str">
        <f>VLOOKUP((WEEKDAY(Movimientos_2026[[#This Row],[Fecha]],2)),'5. Setup'!$D$6:$E$12,2,FALSE)</f>
        <v>Vie</v>
      </c>
      <c r="D1710">
        <v>2054311</v>
      </c>
      <c r="E1710" t="str">
        <f>IFERROR(+VLOOKUP(Movimientos_2026[[#This Row],[Codigo]],Plan_cuentas[],2,FALSE)," ")</f>
        <v>EGRESOS</v>
      </c>
      <c r="F1710" t="str">
        <f>IFERROR(+VLOOKUP(Movimientos_2026[[#This Row],[Codigo]],Plan_cuentas[],3,FALSE)," ")</f>
        <v>VEP</v>
      </c>
      <c r="G1710" t="str">
        <f>IFERROR(+VLOOKUP(Movimientos_2026[[#This Row],[Codigo]],Plan_cuentas[],4,FALSE)," ")</f>
        <v>Rentas</v>
      </c>
      <c r="H1710" t="str">
        <f>IFERROR(+VLOOKUP(Movimientos_2026[[#This Row],[Codigo]],Plan_cuentas[],5,FALSE)," ")</f>
        <v>NEUQUEN 1° Q</v>
      </c>
      <c r="I1710" s="43">
        <v>46143</v>
      </c>
      <c r="J1710" t="s">
        <v>757</v>
      </c>
      <c r="K1710" t="str">
        <f>IFERROR(+VLOOKUP(Movimientos_2026[[#This Row],[Codigo]],Plan_cuentas[],6,FALSE)," ")</f>
        <v>1 - VW - Volkswagen</v>
      </c>
      <c r="L1710" s="50"/>
      <c r="M1710" s="52">
        <v>22501878.600000001</v>
      </c>
      <c r="N1710" s="20">
        <f>+Movimientos_2026[[#This Row],[Ingresos]]-Movimientos_2026[[#This Row],[Egresos]]</f>
        <v>-22501878.600000001</v>
      </c>
      <c r="O1710" s="20">
        <f>+O1709+Movimientos_2026[[#This Row],[Neto]]</f>
        <v>3180447095.8668733</v>
      </c>
    </row>
    <row r="1711" spans="1:15" x14ac:dyDescent="0.25">
      <c r="A1711" s="13">
        <v>46164</v>
      </c>
      <c r="B1711" s="12">
        <f>MONTH(Movimientos_2026[[#This Row],[Fecha]])</f>
        <v>5</v>
      </c>
      <c r="C1711" s="12" t="str">
        <f>VLOOKUP((WEEKDAY(Movimientos_2026[[#This Row],[Fecha]],2)),'5. Setup'!$D$6:$E$12,2,FALSE)</f>
        <v>Vie</v>
      </c>
      <c r="D1711">
        <v>2054314</v>
      </c>
      <c r="E1711" t="str">
        <f>IFERROR(+VLOOKUP(Movimientos_2026[[#This Row],[Codigo]],Plan_cuentas[],2,FALSE)," ")</f>
        <v>EGRESOS</v>
      </c>
      <c r="F1711" t="str">
        <f>IFERROR(+VLOOKUP(Movimientos_2026[[#This Row],[Codigo]],Plan_cuentas[],3,FALSE)," ")</f>
        <v>VEP</v>
      </c>
      <c r="G1711" t="str">
        <f>IFERROR(+VLOOKUP(Movimientos_2026[[#This Row],[Codigo]],Plan_cuentas[],4,FALSE)," ")</f>
        <v>Rentas</v>
      </c>
      <c r="H1711" t="str">
        <f>IFERROR(+VLOOKUP(Movimientos_2026[[#This Row],[Codigo]],Plan_cuentas[],5,FALSE)," ")</f>
        <v>NEUQUEN 1° Q</v>
      </c>
      <c r="I1711" s="43">
        <v>46143</v>
      </c>
      <c r="J1711" t="s">
        <v>758</v>
      </c>
      <c r="K1711" t="str">
        <f>IFERROR(+VLOOKUP(Movimientos_2026[[#This Row],[Codigo]],Plan_cuentas[],6,FALSE)," ")</f>
        <v>4 - FCA - Fiat</v>
      </c>
      <c r="L1711" s="50"/>
      <c r="M1711" s="52">
        <v>33603280</v>
      </c>
      <c r="N1711" s="20">
        <f>+Movimientos_2026[[#This Row],[Ingresos]]-Movimientos_2026[[#This Row],[Egresos]]</f>
        <v>-33603280</v>
      </c>
      <c r="O1711" s="20">
        <f>+O1710+Movimientos_2026[[#This Row],[Neto]]</f>
        <v>3146843815.8668733</v>
      </c>
    </row>
    <row r="1712" spans="1:15" x14ac:dyDescent="0.25">
      <c r="A1712" s="13">
        <v>46164</v>
      </c>
      <c r="B1712" s="12">
        <f>MONTH(Movimientos_2026[[#This Row],[Fecha]])</f>
        <v>5</v>
      </c>
      <c r="C1712" s="12" t="str">
        <f>VLOOKUP((WEEKDAY(Movimientos_2026[[#This Row],[Fecha]],2)),'5. Setup'!$D$6:$E$12,2,FALSE)</f>
        <v>Vie</v>
      </c>
      <c r="D1712">
        <v>2054316</v>
      </c>
      <c r="E1712" t="str">
        <f>IFERROR(+VLOOKUP(Movimientos_2026[[#This Row],[Codigo]],Plan_cuentas[],2,FALSE)," ")</f>
        <v>EGRESOS</v>
      </c>
      <c r="F1712" t="str">
        <f>IFERROR(+VLOOKUP(Movimientos_2026[[#This Row],[Codigo]],Plan_cuentas[],3,FALSE)," ")</f>
        <v>VEP</v>
      </c>
      <c r="G1712" t="str">
        <f>IFERROR(+VLOOKUP(Movimientos_2026[[#This Row],[Codigo]],Plan_cuentas[],4,FALSE)," ")</f>
        <v>Rentas</v>
      </c>
      <c r="H1712" t="str">
        <f>IFERROR(+VLOOKUP(Movimientos_2026[[#This Row],[Codigo]],Plan_cuentas[],5,FALSE)," ")</f>
        <v>NEUQUEN 1° Q</v>
      </c>
      <c r="I1712" s="43">
        <v>46143</v>
      </c>
      <c r="J1712" t="s">
        <v>758</v>
      </c>
      <c r="K1712" t="str">
        <f>IFERROR(+VLOOKUP(Movimientos_2026[[#This Row],[Codigo]],Plan_cuentas[],6,FALSE)," ")</f>
        <v>6 - FCAtr - Fiat Transf.</v>
      </c>
      <c r="L1712" s="50"/>
      <c r="M1712" s="52">
        <v>848207.0700000003</v>
      </c>
      <c r="N1712" s="20">
        <f>+Movimientos_2026[[#This Row],[Ingresos]]-Movimientos_2026[[#This Row],[Egresos]]</f>
        <v>-848207.0700000003</v>
      </c>
      <c r="O1712" s="20">
        <f>+O1711+Movimientos_2026[[#This Row],[Neto]]</f>
        <v>3145995608.7968731</v>
      </c>
    </row>
    <row r="1713" spans="1:15" x14ac:dyDescent="0.25">
      <c r="A1713" s="13">
        <v>46164</v>
      </c>
      <c r="B1713" s="12">
        <f>MONTH(Movimientos_2026[[#This Row],[Fecha]])</f>
        <v>5</v>
      </c>
      <c r="C1713" s="12" t="str">
        <f>VLOOKUP((WEEKDAY(Movimientos_2026[[#This Row],[Fecha]],2)),'5. Setup'!$D$6:$E$12,2,FALSE)</f>
        <v>Vie</v>
      </c>
      <c r="D1713">
        <v>2014261</v>
      </c>
      <c r="E1713" t="str">
        <f>IFERROR(+VLOOKUP(Movimientos_2026[[#This Row],[Codigo]],Plan_cuentas[],2,FALSE)," ")</f>
        <v>EGRESOS</v>
      </c>
      <c r="F1713" t="str">
        <f>IFERROR(+VLOOKUP(Movimientos_2026[[#This Row],[Codigo]],Plan_cuentas[],3,FALSE)," ")</f>
        <v>BtoB</v>
      </c>
      <c r="G1713" t="str">
        <f>IFERROR(+VLOOKUP(Movimientos_2026[[#This Row],[Codigo]],Plan_cuentas[],4,FALSE)," ")</f>
        <v>Rentas</v>
      </c>
      <c r="H1713" t="str">
        <f>IFERROR(+VLOOKUP(Movimientos_2026[[#This Row],[Codigo]],Plan_cuentas[],5,FALSE)," ")</f>
        <v>LA PAMPA</v>
      </c>
      <c r="I1713" s="43">
        <v>46113</v>
      </c>
      <c r="J1713" t="s">
        <v>759</v>
      </c>
      <c r="K1713" t="str">
        <f>IFERROR(+VLOOKUP(Movimientos_2026[[#This Row],[Codigo]],Plan_cuentas[],6,FALSE)," ")</f>
        <v>1 - VW - Volkswagen</v>
      </c>
      <c r="L1713" s="50"/>
      <c r="M1713" s="50">
        <v>4713051</v>
      </c>
      <c r="N1713" s="20">
        <f>+Movimientos_2026[[#This Row],[Ingresos]]-Movimientos_2026[[#This Row],[Egresos]]</f>
        <v>-4713051</v>
      </c>
      <c r="O1713" s="20">
        <f>+O1712+Movimientos_2026[[#This Row],[Neto]]</f>
        <v>3141282557.7968731</v>
      </c>
    </row>
    <row r="1714" spans="1:15" x14ac:dyDescent="0.25">
      <c r="A1714" s="13">
        <v>46164</v>
      </c>
      <c r="B1714" s="12">
        <f>MONTH(Movimientos_2026[[#This Row],[Fecha]])</f>
        <v>5</v>
      </c>
      <c r="C1714" s="12" t="str">
        <f>VLOOKUP((WEEKDAY(Movimientos_2026[[#This Row],[Fecha]],2)),'5. Setup'!$D$6:$E$12,2,FALSE)</f>
        <v>Vie</v>
      </c>
      <c r="D1714">
        <v>2044126</v>
      </c>
      <c r="E1714" t="str">
        <f>IFERROR(+VLOOKUP(Movimientos_2026[[#This Row],[Codigo]],Plan_cuentas[],2,FALSE)," ")</f>
        <v>EGRESOS</v>
      </c>
      <c r="F1714" t="str">
        <f>IFERROR(+VLOOKUP(Movimientos_2026[[#This Row],[Codigo]],Plan_cuentas[],3,FALSE)," ")</f>
        <v>Transferencia</v>
      </c>
      <c r="G1714" t="str">
        <f>IFERROR(+VLOOKUP(Movimientos_2026[[#This Row],[Codigo]],Plan_cuentas[],4,FALSE)," ")</f>
        <v>Rentas</v>
      </c>
      <c r="H1714" t="str">
        <f>IFERROR(+VLOOKUP(Movimientos_2026[[#This Row],[Codigo]],Plan_cuentas[],5,FALSE)," ")</f>
        <v>BAPRO</v>
      </c>
      <c r="I1714" s="43">
        <v>46113</v>
      </c>
      <c r="J1714" t="s">
        <v>760</v>
      </c>
      <c r="K1714" t="str">
        <f>IFERROR(+VLOOKUP(Movimientos_2026[[#This Row],[Codigo]],Plan_cuentas[],6,FALSE)," ")</f>
        <v>6 - FCAtr - Fiat Transf.</v>
      </c>
      <c r="L1714" s="50"/>
      <c r="M1714" s="52">
        <v>3008945.1</v>
      </c>
      <c r="N1714" s="20">
        <f>+Movimientos_2026[[#This Row],[Ingresos]]-Movimientos_2026[[#This Row],[Egresos]]</f>
        <v>-3008945.1</v>
      </c>
      <c r="O1714" s="20">
        <f>+O1713+Movimientos_2026[[#This Row],[Neto]]</f>
        <v>3138273612.6968732</v>
      </c>
    </row>
    <row r="1715" spans="1:15" x14ac:dyDescent="0.25">
      <c r="A1715" s="13">
        <v>46164</v>
      </c>
      <c r="B1715" s="12">
        <f>MONTH(Movimientos_2026[[#This Row],[Fecha]])</f>
        <v>5</v>
      </c>
      <c r="C1715" s="12" t="str">
        <f>VLOOKUP((WEEKDAY(Movimientos_2026[[#This Row],[Fecha]],2)),'5. Setup'!$D$6:$E$12,2,FALSE)</f>
        <v>Vie</v>
      </c>
      <c r="D1715">
        <v>2044126</v>
      </c>
      <c r="E1715" t="str">
        <f>IFERROR(+VLOOKUP(Movimientos_2026[[#This Row],[Codigo]],Plan_cuentas[],2,FALSE)," ")</f>
        <v>EGRESOS</v>
      </c>
      <c r="F1715" t="str">
        <f>IFERROR(+VLOOKUP(Movimientos_2026[[#This Row],[Codigo]],Plan_cuentas[],3,FALSE)," ")</f>
        <v>Transferencia</v>
      </c>
      <c r="G1715" t="str">
        <f>IFERROR(+VLOOKUP(Movimientos_2026[[#This Row],[Codigo]],Plan_cuentas[],4,FALSE)," ")</f>
        <v>Rentas</v>
      </c>
      <c r="H1715" t="str">
        <f>IFERROR(+VLOOKUP(Movimientos_2026[[#This Row],[Codigo]],Plan_cuentas[],5,FALSE)," ")</f>
        <v>BAPRO</v>
      </c>
      <c r="I1715" s="43">
        <v>46113</v>
      </c>
      <c r="J1715" t="s">
        <v>761</v>
      </c>
      <c r="K1715" t="str">
        <f>IFERROR(+VLOOKUP(Movimientos_2026[[#This Row],[Codigo]],Plan_cuentas[],6,FALSE)," ")</f>
        <v>6 - FCAtr - Fiat Transf.</v>
      </c>
      <c r="L1715" s="50"/>
      <c r="M1715" s="50">
        <v>622125.80000000005</v>
      </c>
      <c r="N1715" s="20">
        <f>+Movimientos_2026[[#This Row],[Ingresos]]-Movimientos_2026[[#This Row],[Egresos]]</f>
        <v>-622125.80000000005</v>
      </c>
      <c r="O1715" s="20">
        <f>+O1714+Movimientos_2026[[#This Row],[Neto]]</f>
        <v>3137651486.896873</v>
      </c>
    </row>
    <row r="1716" spans="1:15" x14ac:dyDescent="0.25">
      <c r="A1716" s="13">
        <v>46164</v>
      </c>
      <c r="B1716" s="12">
        <f>MONTH(Movimientos_2026[[#This Row],[Fecha]])</f>
        <v>5</v>
      </c>
      <c r="C1716" s="12" t="str">
        <f>VLOOKUP((WEEKDAY(Movimientos_2026[[#This Row],[Fecha]],2)),'5. Setup'!$D$6:$E$12,2,FALSE)</f>
        <v>Vie</v>
      </c>
      <c r="D1716">
        <v>2044463</v>
      </c>
      <c r="E1716" t="str">
        <f>IFERROR(+VLOOKUP(Movimientos_2026[[#This Row],[Codigo]],Plan_cuentas[],2,FALSE)," ")</f>
        <v>EGRESOS</v>
      </c>
      <c r="F1716" t="str">
        <f>IFERROR(+VLOOKUP(Movimientos_2026[[#This Row],[Codigo]],Plan_cuentas[],3,FALSE)," ")</f>
        <v>Transferencia</v>
      </c>
      <c r="G1716" t="str">
        <f>IFERROR(+VLOOKUP(Movimientos_2026[[#This Row],[Codigo]],Plan_cuentas[],4,FALSE)," ")</f>
        <v>Rentas</v>
      </c>
      <c r="H1716" t="str">
        <f>IFERROR(+VLOOKUP(Movimientos_2026[[#This Row],[Codigo]],Plan_cuentas[],5,FALSE)," ")</f>
        <v>MISIONES</v>
      </c>
      <c r="I1716" s="43">
        <v>46143</v>
      </c>
      <c r="J1716" t="s">
        <v>762</v>
      </c>
      <c r="K1716" t="str">
        <f>IFERROR(+VLOOKUP(Movimientos_2026[[#This Row],[Codigo]],Plan_cuentas[],6,FALSE)," ")</f>
        <v>3 - GM - Chevrolet</v>
      </c>
      <c r="L1716" s="50"/>
      <c r="M1716" s="50">
        <v>1733689.68</v>
      </c>
      <c r="N1716" s="20">
        <f>+Movimientos_2026[[#This Row],[Ingresos]]-Movimientos_2026[[#This Row],[Egresos]]</f>
        <v>-1733689.68</v>
      </c>
      <c r="O1716" s="20">
        <f>+O1715+Movimientos_2026[[#This Row],[Neto]]</f>
        <v>3135917797.2168732</v>
      </c>
    </row>
    <row r="1717" spans="1:15" x14ac:dyDescent="0.25">
      <c r="A1717" s="13">
        <v>46168</v>
      </c>
      <c r="B1717" s="12">
        <f>MONTH(Movimientos_2026[[#This Row],[Fecha]])</f>
        <v>5</v>
      </c>
      <c r="C1717" s="12" t="str">
        <f>VLOOKUP((WEEKDAY(Movimientos_2026[[#This Row],[Fecha]],2)),'5. Setup'!$D$6:$E$12,2,FALSE)</f>
        <v>Mar</v>
      </c>
      <c r="D1717">
        <v>2054381</v>
      </c>
      <c r="E1717" t="str">
        <f>IFERROR(+VLOOKUP(Movimientos_2026[[#This Row],[Codigo]],Plan_cuentas[],2,FALSE)," ")</f>
        <v>EGRESOS</v>
      </c>
      <c r="F1717" t="str">
        <f>IFERROR(+VLOOKUP(Movimientos_2026[[#This Row],[Codigo]],Plan_cuentas[],3,FALSE)," ")</f>
        <v>VEP</v>
      </c>
      <c r="G1717" t="str">
        <f>IFERROR(+VLOOKUP(Movimientos_2026[[#This Row],[Codigo]],Plan_cuentas[],4,FALSE)," ")</f>
        <v>Rentas</v>
      </c>
      <c r="H1717" t="str">
        <f>IFERROR(+VLOOKUP(Movimientos_2026[[#This Row],[Codigo]],Plan_cuentas[],5,FALSE)," ")</f>
        <v>SANTA FE 1° Q</v>
      </c>
      <c r="I1717" s="43">
        <v>46143</v>
      </c>
      <c r="J1717" t="s">
        <v>763</v>
      </c>
      <c r="K1717" t="str">
        <f>IFERROR(+VLOOKUP(Movimientos_2026[[#This Row],[Codigo]],Plan_cuentas[],6,FALSE)," ")</f>
        <v>1 - VW - Volkswagen</v>
      </c>
      <c r="L1717" s="50"/>
      <c r="M1717" s="50">
        <v>9997292.3499999996</v>
      </c>
      <c r="N1717" s="20">
        <f>+Movimientos_2026[[#This Row],[Ingresos]]-Movimientos_2026[[#This Row],[Egresos]]</f>
        <v>-9997292.3499999996</v>
      </c>
      <c r="O1717" s="20">
        <f>+O1716+Movimientos_2026[[#This Row],[Neto]]</f>
        <v>3125920504.8668733</v>
      </c>
    </row>
    <row r="1718" spans="1:15" x14ac:dyDescent="0.25">
      <c r="A1718" s="13">
        <v>46168</v>
      </c>
      <c r="B1718" s="12">
        <f>MONTH(Movimientos_2026[[#This Row],[Fecha]])</f>
        <v>5</v>
      </c>
      <c r="C1718" s="12" t="str">
        <f>VLOOKUP((WEEKDAY(Movimientos_2026[[#This Row],[Fecha]],2)),'5. Setup'!$D$6:$E$12,2,FALSE)</f>
        <v>Mar</v>
      </c>
      <c r="D1718">
        <v>2014201</v>
      </c>
      <c r="E1718" t="str">
        <f>IFERROR(+VLOOKUP(Movimientos_2026[[#This Row],[Codigo]],Plan_cuentas[],2,FALSE)," ")</f>
        <v>EGRESOS</v>
      </c>
      <c r="F1718" t="str">
        <f>IFERROR(+VLOOKUP(Movimientos_2026[[#This Row],[Codigo]],Plan_cuentas[],3,FALSE)," ")</f>
        <v>BtoB</v>
      </c>
      <c r="G1718" t="str">
        <f>IFERROR(+VLOOKUP(Movimientos_2026[[#This Row],[Codigo]],Plan_cuentas[],4,FALSE)," ")</f>
        <v>Rentas</v>
      </c>
      <c r="H1718" t="str">
        <f>IFERROR(+VLOOKUP(Movimientos_2026[[#This Row],[Codigo]],Plan_cuentas[],5,FALSE)," ")</f>
        <v>CORRIENTES 1° Q</v>
      </c>
      <c r="I1718" s="43">
        <v>46143</v>
      </c>
      <c r="J1718" t="s">
        <v>764</v>
      </c>
      <c r="K1718" t="str">
        <f>IFERROR(+VLOOKUP(Movimientos_2026[[#This Row],[Codigo]],Plan_cuentas[],6,FALSE)," ")</f>
        <v>1 - VW - Volkswagen</v>
      </c>
      <c r="L1718" s="50"/>
      <c r="M1718" s="50">
        <v>4657150.5</v>
      </c>
      <c r="N1718" s="20">
        <f>+Movimientos_2026[[#This Row],[Ingresos]]-Movimientos_2026[[#This Row],[Egresos]]</f>
        <v>-4657150.5</v>
      </c>
      <c r="O1718" s="20">
        <f>+O1717+Movimientos_2026[[#This Row],[Neto]]</f>
        <v>3121263354.3668733</v>
      </c>
    </row>
    <row r="1719" spans="1:15" x14ac:dyDescent="0.25">
      <c r="A1719" s="13">
        <v>46168</v>
      </c>
      <c r="B1719" s="12">
        <f>MONTH(Movimientos_2026[[#This Row],[Fecha]])</f>
        <v>5</v>
      </c>
      <c r="C1719" s="12" t="str">
        <f>VLOOKUP((WEEKDAY(Movimientos_2026[[#This Row],[Fecha]],2)),'5. Setup'!$D$6:$E$12,2,FALSE)</f>
        <v>Mar</v>
      </c>
      <c r="D1719">
        <v>1045453</v>
      </c>
      <c r="E1719" t="str">
        <f>IFERROR(+VLOOKUP(Movimientos_2026[[#This Row],[Codigo]],Plan_cuentas[],2,FALSE)," ")</f>
        <v>INGRESOS</v>
      </c>
      <c r="F1719" t="str">
        <f>IFERROR(+VLOOKUP(Movimientos_2026[[#This Row],[Codigo]],Plan_cuentas[],3,FALSE)," ")</f>
        <v>Transferencia</v>
      </c>
      <c r="G1719" t="str">
        <f>IFERROR(+VLOOKUP(Movimientos_2026[[#This Row],[Codigo]],Plan_cuentas[],4,FALSE)," ")</f>
        <v>Factura</v>
      </c>
      <c r="H1719" t="str">
        <f>IFERROR(+VLOOKUP(Movimientos_2026[[#This Row],[Codigo]],Plan_cuentas[],5,FALSE)," ")</f>
        <v>FC DERECHOS</v>
      </c>
      <c r="I1719" s="43">
        <v>46082</v>
      </c>
      <c r="J1719" t="s">
        <v>765</v>
      </c>
      <c r="K1719" t="str">
        <f>IFERROR(+VLOOKUP(Movimientos_2026[[#This Row],[Codigo]],Plan_cuentas[],6,FALSE)," ")</f>
        <v>3 - GM - Chevrolet</v>
      </c>
      <c r="L1719" s="50">
        <v>59412863.479999997</v>
      </c>
      <c r="M1719" s="50"/>
      <c r="N1719" s="20">
        <f>+Movimientos_2026[[#This Row],[Ingresos]]-Movimientos_2026[[#This Row],[Egresos]]</f>
        <v>59412863.479999997</v>
      </c>
      <c r="O1719" s="20">
        <f>+O1718+Movimientos_2026[[#This Row],[Neto]]</f>
        <v>3180676217.8468733</v>
      </c>
    </row>
    <row r="1720" spans="1:15" x14ac:dyDescent="0.25">
      <c r="A1720" s="13">
        <v>46168</v>
      </c>
      <c r="B1720" s="12">
        <f>MONTH(Movimientos_2026[[#This Row],[Fecha]])</f>
        <v>5</v>
      </c>
      <c r="C1720" s="12" t="str">
        <f>VLOOKUP((WEEKDAY(Movimientos_2026[[#This Row],[Fecha]],2)),'5. Setup'!$D$6:$E$12,2,FALSE)</f>
        <v>Mar</v>
      </c>
      <c r="D1720">
        <v>1043153</v>
      </c>
      <c r="E1720" t="str">
        <f>IFERROR(+VLOOKUP(Movimientos_2026[[#This Row],[Codigo]],Plan_cuentas[],2,FALSE)," ")</f>
        <v>INGRESOS</v>
      </c>
      <c r="F1720" t="str">
        <f>IFERROR(+VLOOKUP(Movimientos_2026[[#This Row],[Codigo]],Plan_cuentas[],3,FALSE)," ")</f>
        <v>Transferencia</v>
      </c>
      <c r="G1720" t="str">
        <f>IFERROR(+VLOOKUP(Movimientos_2026[[#This Row],[Codigo]],Plan_cuentas[],4,FALSE)," ")</f>
        <v>Registración</v>
      </c>
      <c r="H1720" t="str">
        <f>IFERROR(+VLOOKUP(Movimientos_2026[[#This Row],[Codigo]],Plan_cuentas[],5,FALSE)," ")</f>
        <v>CABA</v>
      </c>
      <c r="I1720" s="43">
        <v>46113</v>
      </c>
      <c r="J1720" t="s">
        <v>766</v>
      </c>
      <c r="K1720" t="str">
        <f>IFERROR(+VLOOKUP(Movimientos_2026[[#This Row],[Codigo]],Plan_cuentas[],6,FALSE)," ")</f>
        <v>3 - GM - Chevrolet</v>
      </c>
      <c r="L1720" s="50">
        <v>1900897.4</v>
      </c>
      <c r="M1720" s="50"/>
      <c r="N1720" s="20">
        <f>+Movimientos_2026[[#This Row],[Ingresos]]-Movimientos_2026[[#This Row],[Egresos]]</f>
        <v>1900897.4</v>
      </c>
      <c r="O1720" s="20">
        <f>+O1719+Movimientos_2026[[#This Row],[Neto]]</f>
        <v>3182577115.2468734</v>
      </c>
    </row>
    <row r="1721" spans="1:15" x14ac:dyDescent="0.25">
      <c r="A1721" s="13">
        <v>46168</v>
      </c>
      <c r="B1721" s="12">
        <f>MONTH(Movimientos_2026[[#This Row],[Fecha]])</f>
        <v>5</v>
      </c>
      <c r="C1721" s="12" t="str">
        <f>VLOOKUP((WEEKDAY(Movimientos_2026[[#This Row],[Fecha]],2)),'5. Setup'!$D$6:$E$12,2,FALSE)</f>
        <v>Mar</v>
      </c>
      <c r="D1721">
        <v>1043143</v>
      </c>
      <c r="E1721" t="str">
        <f>IFERROR(+VLOOKUP(Movimientos_2026[[#This Row],[Codigo]],Plan_cuentas[],2,FALSE)," ")</f>
        <v>INGRESOS</v>
      </c>
      <c r="F1721" t="str">
        <f>IFERROR(+VLOOKUP(Movimientos_2026[[#This Row],[Codigo]],Plan_cuentas[],3,FALSE)," ")</f>
        <v>Transferencia</v>
      </c>
      <c r="G1721" t="str">
        <f>IFERROR(+VLOOKUP(Movimientos_2026[[#This Row],[Codigo]],Plan_cuentas[],4,FALSE)," ")</f>
        <v>Registración</v>
      </c>
      <c r="H1721" t="str">
        <f>IFERROR(+VLOOKUP(Movimientos_2026[[#This Row],[Codigo]],Plan_cuentas[],5,FALSE)," ")</f>
        <v>BUENOS AIRES</v>
      </c>
      <c r="I1721" s="43">
        <v>46113</v>
      </c>
      <c r="J1721" t="s">
        <v>766</v>
      </c>
      <c r="K1721" t="str">
        <f>IFERROR(+VLOOKUP(Movimientos_2026[[#This Row],[Codigo]],Plan_cuentas[],6,FALSE)," ")</f>
        <v>3 - GM - Chevrolet</v>
      </c>
      <c r="L1721" s="50">
        <v>18316219.77</v>
      </c>
      <c r="M1721" s="50"/>
      <c r="N1721" s="20">
        <f>+Movimientos_2026[[#This Row],[Ingresos]]-Movimientos_2026[[#This Row],[Egresos]]</f>
        <v>18316219.77</v>
      </c>
      <c r="O1721" s="20">
        <f>+O1720+Movimientos_2026[[#This Row],[Neto]]</f>
        <v>3200893335.0168734</v>
      </c>
    </row>
    <row r="1722" spans="1:15" x14ac:dyDescent="0.25">
      <c r="A1722" s="13">
        <v>46168</v>
      </c>
      <c r="B1722" s="12">
        <f>MONTH(Movimientos_2026[[#This Row],[Fecha]])</f>
        <v>5</v>
      </c>
      <c r="C1722" s="12" t="str">
        <f>VLOOKUP((WEEKDAY(Movimientos_2026[[#This Row],[Fecha]],2)),'5. Setup'!$D$6:$E$12,2,FALSE)</f>
        <v>Mar</v>
      </c>
      <c r="D1722">
        <v>1043383</v>
      </c>
      <c r="E1722" t="str">
        <f>IFERROR(+VLOOKUP(Movimientos_2026[[#This Row],[Codigo]],Plan_cuentas[],2,FALSE)," ")</f>
        <v>INGRESOS</v>
      </c>
      <c r="F1722" t="str">
        <f>IFERROR(+VLOOKUP(Movimientos_2026[[#This Row],[Codigo]],Plan_cuentas[],3,FALSE)," ")</f>
        <v>Transferencia</v>
      </c>
      <c r="G1722" t="str">
        <f>IFERROR(+VLOOKUP(Movimientos_2026[[#This Row],[Codigo]],Plan_cuentas[],4,FALSE)," ")</f>
        <v>Registración</v>
      </c>
      <c r="H1722" t="str">
        <f>IFERROR(+VLOOKUP(Movimientos_2026[[#This Row],[Codigo]],Plan_cuentas[],5,FALSE)," ")</f>
        <v>SANTA FE 1° Q</v>
      </c>
      <c r="I1722" s="43">
        <v>46113</v>
      </c>
      <c r="J1722" t="s">
        <v>766</v>
      </c>
      <c r="K1722" t="str">
        <f>IFERROR(+VLOOKUP(Movimientos_2026[[#This Row],[Codigo]],Plan_cuentas[],6,FALSE)," ")</f>
        <v>3 - GM - Chevrolet</v>
      </c>
      <c r="L1722" s="50">
        <v>1377210.29</v>
      </c>
      <c r="M1722" s="50"/>
      <c r="N1722" s="20">
        <f>+Movimientos_2026[[#This Row],[Ingresos]]-Movimientos_2026[[#This Row],[Egresos]]</f>
        <v>1377210.29</v>
      </c>
      <c r="O1722" s="20">
        <f>+O1721+Movimientos_2026[[#This Row],[Neto]]</f>
        <v>3202270545.3068733</v>
      </c>
    </row>
    <row r="1723" spans="1:15" x14ac:dyDescent="0.25">
      <c r="A1723" s="13">
        <v>46168</v>
      </c>
      <c r="B1723" s="12">
        <f>MONTH(Movimientos_2026[[#This Row],[Fecha]])</f>
        <v>5</v>
      </c>
      <c r="C1723" s="12" t="str">
        <f>VLOOKUP((WEEKDAY(Movimientos_2026[[#This Row],[Fecha]],2)),'5. Setup'!$D$6:$E$12,2,FALSE)</f>
        <v>Mar</v>
      </c>
      <c r="D1723">
        <v>1043223</v>
      </c>
      <c r="E1723" t="str">
        <f>IFERROR(+VLOOKUP(Movimientos_2026[[#This Row],[Codigo]],Plan_cuentas[],2,FALSE)," ")</f>
        <v>INGRESOS</v>
      </c>
      <c r="F1723" t="str">
        <f>IFERROR(+VLOOKUP(Movimientos_2026[[#This Row],[Codigo]],Plan_cuentas[],3,FALSE)," ")</f>
        <v>Transferencia</v>
      </c>
      <c r="G1723" t="str">
        <f>IFERROR(+VLOOKUP(Movimientos_2026[[#This Row],[Codigo]],Plan_cuentas[],4,FALSE)," ")</f>
        <v>Registración</v>
      </c>
      <c r="H1723" t="str">
        <f>IFERROR(+VLOOKUP(Movimientos_2026[[#This Row],[Codigo]],Plan_cuentas[],5,FALSE)," ")</f>
        <v>ENTRE RIOS 1° Q</v>
      </c>
      <c r="I1723" s="43">
        <v>46113</v>
      </c>
      <c r="J1723" t="s">
        <v>766</v>
      </c>
      <c r="K1723" t="str">
        <f>IFERROR(+VLOOKUP(Movimientos_2026[[#This Row],[Codigo]],Plan_cuentas[],6,FALSE)," ")</f>
        <v>3 - GM - Chevrolet</v>
      </c>
      <c r="L1723" s="50">
        <v>7410210.6100000003</v>
      </c>
      <c r="M1723" s="50"/>
      <c r="N1723" s="20">
        <f>+Movimientos_2026[[#This Row],[Ingresos]]-Movimientos_2026[[#This Row],[Egresos]]</f>
        <v>7410210.6100000003</v>
      </c>
      <c r="O1723" s="20">
        <f>+O1722+Movimientos_2026[[#This Row],[Neto]]</f>
        <v>3209680755.9168735</v>
      </c>
    </row>
    <row r="1724" spans="1:15" x14ac:dyDescent="0.25">
      <c r="A1724" s="13">
        <v>46168</v>
      </c>
      <c r="B1724" s="12">
        <f>MONTH(Movimientos_2026[[#This Row],[Fecha]])</f>
        <v>5</v>
      </c>
      <c r="C1724" s="12" t="str">
        <f>VLOOKUP((WEEKDAY(Movimientos_2026[[#This Row],[Fecha]],2)),'5. Setup'!$D$6:$E$12,2,FALSE)</f>
        <v>Mar</v>
      </c>
      <c r="D1724">
        <v>1044163</v>
      </c>
      <c r="E1724" t="str">
        <f>IFERROR(+VLOOKUP(Movimientos_2026[[#This Row],[Codigo]],Plan_cuentas[],2,FALSE)," ")</f>
        <v>INGRESOS</v>
      </c>
      <c r="F1724" t="str">
        <f>IFERROR(+VLOOKUP(Movimientos_2026[[#This Row],[Codigo]],Plan_cuentas[],3,FALSE)," ")</f>
        <v>Transferencia</v>
      </c>
      <c r="G1724" t="str">
        <f>IFERROR(+VLOOKUP(Movimientos_2026[[#This Row],[Codigo]],Plan_cuentas[],4,FALSE)," ")</f>
        <v>Rentas</v>
      </c>
      <c r="H1724" t="str">
        <f>IFERROR(+VLOOKUP(Movimientos_2026[[#This Row],[Codigo]],Plan_cuentas[],5,FALSE)," ")</f>
        <v>CHACO</v>
      </c>
      <c r="I1724" s="43">
        <v>46113</v>
      </c>
      <c r="J1724" t="s">
        <v>766</v>
      </c>
      <c r="K1724" t="str">
        <f>IFERROR(+VLOOKUP(Movimientos_2026[[#This Row],[Codigo]],Plan_cuentas[],6,FALSE)," ")</f>
        <v>3 - GM - Chevrolet</v>
      </c>
      <c r="L1724" s="50">
        <v>3715594.23</v>
      </c>
      <c r="M1724" s="50"/>
      <c r="N1724" s="20">
        <f>+Movimientos_2026[[#This Row],[Ingresos]]-Movimientos_2026[[#This Row],[Egresos]]</f>
        <v>3715594.23</v>
      </c>
      <c r="O1724" s="20">
        <f>+O1723+Movimientos_2026[[#This Row],[Neto]]</f>
        <v>3213396350.1468735</v>
      </c>
    </row>
    <row r="1725" spans="1:15" x14ac:dyDescent="0.25">
      <c r="A1725" s="13">
        <v>46168</v>
      </c>
      <c r="B1725" s="12">
        <f>MONTH(Movimientos_2026[[#This Row],[Fecha]])</f>
        <v>5</v>
      </c>
      <c r="C1725" s="12" t="str">
        <f>VLOOKUP((WEEKDAY(Movimientos_2026[[#This Row],[Fecha]],2)),'5. Setup'!$D$6:$E$12,2,FALSE)</f>
        <v>Mar</v>
      </c>
      <c r="D1725">
        <v>1044173</v>
      </c>
      <c r="E1725" t="str">
        <f>IFERROR(+VLOOKUP(Movimientos_2026[[#This Row],[Codigo]],Plan_cuentas[],2,FALSE)," ")</f>
        <v>INGRESOS</v>
      </c>
      <c r="F1725" t="str">
        <f>IFERROR(+VLOOKUP(Movimientos_2026[[#This Row],[Codigo]],Plan_cuentas[],3,FALSE)," ")</f>
        <v>Transferencia</v>
      </c>
      <c r="G1725" t="str">
        <f>IFERROR(+VLOOKUP(Movimientos_2026[[#This Row],[Codigo]],Plan_cuentas[],4,FALSE)," ")</f>
        <v>Rentas</v>
      </c>
      <c r="H1725" t="str">
        <f>IFERROR(+VLOOKUP(Movimientos_2026[[#This Row],[Codigo]],Plan_cuentas[],5,FALSE)," ")</f>
        <v>CHUBUT</v>
      </c>
      <c r="I1725" s="43">
        <v>46113</v>
      </c>
      <c r="J1725" t="s">
        <v>766</v>
      </c>
      <c r="K1725" t="str">
        <f>IFERROR(+VLOOKUP(Movimientos_2026[[#This Row],[Codigo]],Plan_cuentas[],6,FALSE)," ")</f>
        <v>3 - GM - Chevrolet</v>
      </c>
      <c r="L1725" s="50">
        <v>276322.42</v>
      </c>
      <c r="M1725" s="50"/>
      <c r="N1725" s="20">
        <f>+Movimientos_2026[[#This Row],[Ingresos]]-Movimientos_2026[[#This Row],[Egresos]]</f>
        <v>276322.42</v>
      </c>
      <c r="O1725" s="20">
        <f>+O1724+Movimientos_2026[[#This Row],[Neto]]</f>
        <v>3213672672.5668736</v>
      </c>
    </row>
    <row r="1726" spans="1:15" x14ac:dyDescent="0.25">
      <c r="A1726" s="13">
        <v>46168</v>
      </c>
      <c r="B1726" s="12">
        <f>MONTH(Movimientos_2026[[#This Row],[Fecha]])</f>
        <v>5</v>
      </c>
      <c r="C1726" s="12" t="str">
        <f>VLOOKUP((WEEKDAY(Movimientos_2026[[#This Row],[Fecha]],2)),'5. Setup'!$D$6:$E$12,2,FALSE)</f>
        <v>Mar</v>
      </c>
      <c r="D1726">
        <v>1044243</v>
      </c>
      <c r="E1726" t="str">
        <f>IFERROR(+VLOOKUP(Movimientos_2026[[#This Row],[Codigo]],Plan_cuentas[],2,FALSE)," ")</f>
        <v>INGRESOS</v>
      </c>
      <c r="F1726" t="str">
        <f>IFERROR(+VLOOKUP(Movimientos_2026[[#This Row],[Codigo]],Plan_cuentas[],3,FALSE)," ")</f>
        <v>Transferencia</v>
      </c>
      <c r="G1726" t="str">
        <f>IFERROR(+VLOOKUP(Movimientos_2026[[#This Row],[Codigo]],Plan_cuentas[],4,FALSE)," ")</f>
        <v>Rentas</v>
      </c>
      <c r="H1726" t="str">
        <f>IFERROR(+VLOOKUP(Movimientos_2026[[#This Row],[Codigo]],Plan_cuentas[],5,FALSE)," ")</f>
        <v>FORMOSA</v>
      </c>
      <c r="I1726" s="43">
        <v>46113</v>
      </c>
      <c r="J1726" t="s">
        <v>766</v>
      </c>
      <c r="K1726" t="str">
        <f>IFERROR(+VLOOKUP(Movimientos_2026[[#This Row],[Codigo]],Plan_cuentas[],6,FALSE)," ")</f>
        <v>3 - GM - Chevrolet</v>
      </c>
      <c r="L1726" s="50">
        <v>2625476.4300000002</v>
      </c>
      <c r="M1726" s="50"/>
      <c r="N1726" s="20">
        <f>+Movimientos_2026[[#This Row],[Ingresos]]-Movimientos_2026[[#This Row],[Egresos]]</f>
        <v>2625476.4300000002</v>
      </c>
      <c r="O1726" s="20">
        <f>+O1725+Movimientos_2026[[#This Row],[Neto]]</f>
        <v>3216298148.9968734</v>
      </c>
    </row>
    <row r="1727" spans="1:15" x14ac:dyDescent="0.25">
      <c r="A1727" s="13">
        <v>46168</v>
      </c>
      <c r="B1727" s="12">
        <f>MONTH(Movimientos_2026[[#This Row],[Fecha]])</f>
        <v>5</v>
      </c>
      <c r="C1727" s="12" t="str">
        <f>VLOOKUP((WEEKDAY(Movimientos_2026[[#This Row],[Fecha]],2)),'5. Setup'!$D$6:$E$12,2,FALSE)</f>
        <v>Mar</v>
      </c>
      <c r="D1727">
        <v>1044263</v>
      </c>
      <c r="E1727" t="str">
        <f>IFERROR(+VLOOKUP(Movimientos_2026[[#This Row],[Codigo]],Plan_cuentas[],2,FALSE)," ")</f>
        <v>INGRESOS</v>
      </c>
      <c r="F1727" t="str">
        <f>IFERROR(+VLOOKUP(Movimientos_2026[[#This Row],[Codigo]],Plan_cuentas[],3,FALSE)," ")</f>
        <v>Transferencia</v>
      </c>
      <c r="G1727" t="str">
        <f>IFERROR(+VLOOKUP(Movimientos_2026[[#This Row],[Codigo]],Plan_cuentas[],4,FALSE)," ")</f>
        <v>Rentas</v>
      </c>
      <c r="H1727" t="str">
        <f>IFERROR(+VLOOKUP(Movimientos_2026[[#This Row],[Codigo]],Plan_cuentas[],5,FALSE)," ")</f>
        <v>LA PAMPA</v>
      </c>
      <c r="I1727" s="43">
        <v>46113</v>
      </c>
      <c r="J1727" t="s">
        <v>766</v>
      </c>
      <c r="K1727" t="str">
        <f>IFERROR(+VLOOKUP(Movimientos_2026[[#This Row],[Codigo]],Plan_cuentas[],6,FALSE)," ")</f>
        <v>3 - GM - Chevrolet</v>
      </c>
      <c r="L1727" s="50">
        <v>2029023</v>
      </c>
      <c r="M1727" s="50"/>
      <c r="N1727" s="20">
        <f>+Movimientos_2026[[#This Row],[Ingresos]]-Movimientos_2026[[#This Row],[Egresos]]</f>
        <v>2029023</v>
      </c>
      <c r="O1727" s="20">
        <f>+O1726+Movimientos_2026[[#This Row],[Neto]]</f>
        <v>3218327171.9968734</v>
      </c>
    </row>
    <row r="1728" spans="1:15" x14ac:dyDescent="0.25">
      <c r="A1728" s="13">
        <v>46168</v>
      </c>
      <c r="B1728" s="12">
        <f>MONTH(Movimientos_2026[[#This Row],[Fecha]])</f>
        <v>5</v>
      </c>
      <c r="C1728" s="12" t="str">
        <f>VLOOKUP((WEEKDAY(Movimientos_2026[[#This Row],[Fecha]],2)),'5. Setup'!$D$6:$E$12,2,FALSE)</f>
        <v>Mar</v>
      </c>
      <c r="D1728">
        <v>1044463</v>
      </c>
      <c r="E1728" t="str">
        <f>IFERROR(+VLOOKUP(Movimientos_2026[[#This Row],[Codigo]],Plan_cuentas[],2,FALSE)," ")</f>
        <v>INGRESOS</v>
      </c>
      <c r="F1728" t="str">
        <f>IFERROR(+VLOOKUP(Movimientos_2026[[#This Row],[Codigo]],Plan_cuentas[],3,FALSE)," ")</f>
        <v>Transferencia</v>
      </c>
      <c r="G1728" t="str">
        <f>IFERROR(+VLOOKUP(Movimientos_2026[[#This Row],[Codigo]],Plan_cuentas[],4,FALSE)," ")</f>
        <v>Rentas</v>
      </c>
      <c r="H1728" t="str">
        <f>IFERROR(+VLOOKUP(Movimientos_2026[[#This Row],[Codigo]],Plan_cuentas[],5,FALSE)," ")</f>
        <v>MISIONES</v>
      </c>
      <c r="I1728" s="43">
        <v>46113</v>
      </c>
      <c r="J1728" t="s">
        <v>766</v>
      </c>
      <c r="K1728" t="str">
        <f>IFERROR(+VLOOKUP(Movimientos_2026[[#This Row],[Codigo]],Plan_cuentas[],6,FALSE)," ")</f>
        <v>3 - GM - Chevrolet</v>
      </c>
      <c r="L1728" s="50">
        <v>1106571.52</v>
      </c>
      <c r="M1728" s="50"/>
      <c r="N1728" s="20">
        <f>+Movimientos_2026[[#This Row],[Ingresos]]-Movimientos_2026[[#This Row],[Egresos]]</f>
        <v>1106571.52</v>
      </c>
      <c r="O1728" s="20">
        <f>+O1727+Movimientos_2026[[#This Row],[Neto]]</f>
        <v>3219433743.5168734</v>
      </c>
    </row>
    <row r="1729" spans="1:15" x14ac:dyDescent="0.25">
      <c r="A1729" s="13">
        <v>46168</v>
      </c>
      <c r="B1729" s="12">
        <f>MONTH(Movimientos_2026[[#This Row],[Fecha]])</f>
        <v>5</v>
      </c>
      <c r="C1729" s="12" t="str">
        <f>VLOOKUP((WEEKDAY(Movimientos_2026[[#This Row],[Fecha]],2)),'5. Setup'!$D$6:$E$12,2,FALSE)</f>
        <v>Mar</v>
      </c>
      <c r="D1729">
        <v>1044353</v>
      </c>
      <c r="E1729" t="str">
        <f>IFERROR(+VLOOKUP(Movimientos_2026[[#This Row],[Codigo]],Plan_cuentas[],2,FALSE)," ")</f>
        <v>INGRESOS</v>
      </c>
      <c r="F1729" t="str">
        <f>IFERROR(+VLOOKUP(Movimientos_2026[[#This Row],[Codigo]],Plan_cuentas[],3,FALSE)," ")</f>
        <v>Transferencia</v>
      </c>
      <c r="G1729" t="str">
        <f>IFERROR(+VLOOKUP(Movimientos_2026[[#This Row],[Codigo]],Plan_cuentas[],4,FALSE)," ")</f>
        <v>Rentas</v>
      </c>
      <c r="H1729" t="str">
        <f>IFERROR(+VLOOKUP(Movimientos_2026[[#This Row],[Codigo]],Plan_cuentas[],5,FALSE)," ")</f>
        <v>SAN JUAN</v>
      </c>
      <c r="I1729" s="43">
        <v>46113</v>
      </c>
      <c r="J1729" t="s">
        <v>766</v>
      </c>
      <c r="K1729" t="str">
        <f>IFERROR(+VLOOKUP(Movimientos_2026[[#This Row],[Codigo]],Plan_cuentas[],6,FALSE)," ")</f>
        <v>3 - GM - Chevrolet</v>
      </c>
      <c r="L1729" s="50">
        <v>176891.71</v>
      </c>
      <c r="M1729" s="50"/>
      <c r="N1729" s="20">
        <f>+Movimientos_2026[[#This Row],[Ingresos]]-Movimientos_2026[[#This Row],[Egresos]]</f>
        <v>176891.71</v>
      </c>
      <c r="O1729" s="20">
        <f>+O1728+Movimientos_2026[[#This Row],[Neto]]</f>
        <v>3219610635.2268734</v>
      </c>
    </row>
    <row r="1730" spans="1:15" x14ac:dyDescent="0.25">
      <c r="A1730" s="13">
        <v>46168</v>
      </c>
      <c r="B1730" s="12">
        <f>MONTH(Movimientos_2026[[#This Row],[Fecha]])</f>
        <v>5</v>
      </c>
      <c r="C1730" s="12" t="str">
        <f>VLOOKUP((WEEKDAY(Movimientos_2026[[#This Row],[Fecha]],2)),'5. Setup'!$D$6:$E$12,2,FALSE)</f>
        <v>Mar</v>
      </c>
      <c r="D1730">
        <v>1044363</v>
      </c>
      <c r="E1730" t="str">
        <f>IFERROR(+VLOOKUP(Movimientos_2026[[#This Row],[Codigo]],Plan_cuentas[],2,FALSE)," ")</f>
        <v>INGRESOS</v>
      </c>
      <c r="F1730" t="str">
        <f>IFERROR(+VLOOKUP(Movimientos_2026[[#This Row],[Codigo]],Plan_cuentas[],3,FALSE)," ")</f>
        <v>Transferencia</v>
      </c>
      <c r="G1730" t="str">
        <f>IFERROR(+VLOOKUP(Movimientos_2026[[#This Row],[Codigo]],Plan_cuentas[],4,FALSE)," ")</f>
        <v>Rentas</v>
      </c>
      <c r="H1730" t="str">
        <f>IFERROR(+VLOOKUP(Movimientos_2026[[#This Row],[Codigo]],Plan_cuentas[],5,FALSE)," ")</f>
        <v>SAN LUIS</v>
      </c>
      <c r="I1730" s="43">
        <v>46113</v>
      </c>
      <c r="J1730" t="s">
        <v>766</v>
      </c>
      <c r="K1730" t="str">
        <f>IFERROR(+VLOOKUP(Movimientos_2026[[#This Row],[Codigo]],Plan_cuentas[],6,FALSE)," ")</f>
        <v>3 - GM - Chevrolet</v>
      </c>
      <c r="L1730" s="50">
        <v>884232</v>
      </c>
      <c r="M1730" s="50"/>
      <c r="N1730" s="20">
        <f>+Movimientos_2026[[#This Row],[Ingresos]]-Movimientos_2026[[#This Row],[Egresos]]</f>
        <v>884232</v>
      </c>
      <c r="O1730" s="20">
        <f>+O1729+Movimientos_2026[[#This Row],[Neto]]</f>
        <v>3220494867.2268734</v>
      </c>
    </row>
    <row r="1731" spans="1:15" x14ac:dyDescent="0.25">
      <c r="A1731" s="13">
        <v>46168</v>
      </c>
      <c r="B1731" s="12">
        <f>MONTH(Movimientos_2026[[#This Row],[Fecha]])</f>
        <v>5</v>
      </c>
      <c r="C1731" s="12" t="str">
        <f>VLOOKUP((WEEKDAY(Movimientos_2026[[#This Row],[Fecha]],2)),'5. Setup'!$D$6:$E$12,2,FALSE)</f>
        <v>Mar</v>
      </c>
      <c r="D1731">
        <v>1044403</v>
      </c>
      <c r="E1731" t="str">
        <f>IFERROR(+VLOOKUP(Movimientos_2026[[#This Row],[Codigo]],Plan_cuentas[],2,FALSE)," ")</f>
        <v>INGRESOS</v>
      </c>
      <c r="F1731" t="str">
        <f>IFERROR(+VLOOKUP(Movimientos_2026[[#This Row],[Codigo]],Plan_cuentas[],3,FALSE)," ")</f>
        <v>Transferencia</v>
      </c>
      <c r="G1731" t="str">
        <f>IFERROR(+VLOOKUP(Movimientos_2026[[#This Row],[Codigo]],Plan_cuentas[],4,FALSE)," ")</f>
        <v>Rentas</v>
      </c>
      <c r="H1731" t="str">
        <f>IFERROR(+VLOOKUP(Movimientos_2026[[#This Row],[Codigo]],Plan_cuentas[],5,FALSE)," ")</f>
        <v>SANTIAGO DEL ESTERO</v>
      </c>
      <c r="I1731" s="43">
        <v>46113</v>
      </c>
      <c r="J1731" t="s">
        <v>766</v>
      </c>
      <c r="K1731" t="str">
        <f>IFERROR(+VLOOKUP(Movimientos_2026[[#This Row],[Codigo]],Plan_cuentas[],6,FALSE)," ")</f>
        <v>3 - GM - Chevrolet</v>
      </c>
      <c r="L1731" s="50">
        <v>1287728.07</v>
      </c>
      <c r="M1731" s="50"/>
      <c r="N1731" s="20">
        <f>+Movimientos_2026[[#This Row],[Ingresos]]-Movimientos_2026[[#This Row],[Egresos]]</f>
        <v>1287728.07</v>
      </c>
      <c r="O1731" s="20">
        <f>+O1730+Movimientos_2026[[#This Row],[Neto]]</f>
        <v>3221782595.2968736</v>
      </c>
    </row>
    <row r="1732" spans="1:15" x14ac:dyDescent="0.25">
      <c r="A1732" s="13">
        <v>46168</v>
      </c>
      <c r="B1732" s="12">
        <f>MONTH(Movimientos_2026[[#This Row],[Fecha]])</f>
        <v>5</v>
      </c>
      <c r="C1732" s="12" t="str">
        <f>VLOOKUP((WEEKDAY(Movimientos_2026[[#This Row],[Fecha]],2)),'5. Setup'!$D$6:$E$12,2,FALSE)</f>
        <v>Mar</v>
      </c>
      <c r="D1732">
        <v>1044413</v>
      </c>
      <c r="E1732" t="str">
        <f>IFERROR(+VLOOKUP(Movimientos_2026[[#This Row],[Codigo]],Plan_cuentas[],2,FALSE)," ")</f>
        <v>INGRESOS</v>
      </c>
      <c r="F1732" t="str">
        <f>IFERROR(+VLOOKUP(Movimientos_2026[[#This Row],[Codigo]],Plan_cuentas[],3,FALSE)," ")</f>
        <v>Transferencia</v>
      </c>
      <c r="G1732" t="str">
        <f>IFERROR(+VLOOKUP(Movimientos_2026[[#This Row],[Codigo]],Plan_cuentas[],4,FALSE)," ")</f>
        <v>Rentas</v>
      </c>
      <c r="H1732" t="str">
        <f>IFERROR(+VLOOKUP(Movimientos_2026[[#This Row],[Codigo]],Plan_cuentas[],5,FALSE)," ")</f>
        <v>TIERRA DEL FUEGO</v>
      </c>
      <c r="I1732" s="43">
        <v>46113</v>
      </c>
      <c r="J1732" t="s">
        <v>766</v>
      </c>
      <c r="K1732" t="str">
        <f>IFERROR(+VLOOKUP(Movimientos_2026[[#This Row],[Codigo]],Plan_cuentas[],6,FALSE)," ")</f>
        <v>3 - GM - Chevrolet</v>
      </c>
      <c r="L1732" s="50">
        <v>368429.99</v>
      </c>
      <c r="M1732" s="50"/>
      <c r="N1732" s="20">
        <f>+Movimientos_2026[[#This Row],[Ingresos]]-Movimientos_2026[[#This Row],[Egresos]]</f>
        <v>368429.99</v>
      </c>
      <c r="O1732" s="20">
        <f>+O1731+Movimientos_2026[[#This Row],[Neto]]</f>
        <v>3222151025.2868733</v>
      </c>
    </row>
    <row r="1733" spans="1:15" x14ac:dyDescent="0.25">
      <c r="A1733" s="13">
        <v>46171</v>
      </c>
      <c r="B1733" s="12">
        <f>MONTH(Movimientos_2026[[#This Row],[Fecha]])</f>
        <v>5</v>
      </c>
      <c r="C1733" s="12" t="str">
        <f>VLOOKUP((WEEKDAY(Movimientos_2026[[#This Row],[Fecha]],2)),'5. Setup'!$D$6:$E$12,2,FALSE)</f>
        <v>Vie</v>
      </c>
      <c r="D1733">
        <v>1045451</v>
      </c>
      <c r="E1733" t="str">
        <f>IFERROR(+VLOOKUP(Movimientos_2026[[#This Row],[Codigo]],Plan_cuentas[],2,FALSE)," ")</f>
        <v>INGRESOS</v>
      </c>
      <c r="F1733" t="str">
        <f>IFERROR(+VLOOKUP(Movimientos_2026[[#This Row],[Codigo]],Plan_cuentas[],3,FALSE)," ")</f>
        <v>Transferencia</v>
      </c>
      <c r="G1733" t="str">
        <f>IFERROR(+VLOOKUP(Movimientos_2026[[#This Row],[Codigo]],Plan_cuentas[],4,FALSE)," ")</f>
        <v>Factura</v>
      </c>
      <c r="H1733" t="str">
        <f>IFERROR(+VLOOKUP(Movimientos_2026[[#This Row],[Codigo]],Plan_cuentas[],5,FALSE)," ")</f>
        <v>FC DERECHOS</v>
      </c>
      <c r="I1733" s="43">
        <v>46082</v>
      </c>
      <c r="J1733" t="s">
        <v>767</v>
      </c>
      <c r="K1733" t="str">
        <f>IFERROR(+VLOOKUP(Movimientos_2026[[#This Row],[Codigo]],Plan_cuentas[],6,FALSE)," ")</f>
        <v>1 - VW - Volkswagen</v>
      </c>
      <c r="L1733" s="50">
        <v>59656276.75</v>
      </c>
      <c r="M1733" s="50"/>
      <c r="N1733" s="20">
        <f>+Movimientos_2026[[#This Row],[Ingresos]]-Movimientos_2026[[#This Row],[Egresos]]</f>
        <v>59656276.75</v>
      </c>
      <c r="O1733" s="20">
        <f>+O1732+Movimientos_2026[[#This Row],[Neto]]</f>
        <v>3281807302.0368733</v>
      </c>
    </row>
    <row r="1734" spans="1:15" x14ac:dyDescent="0.25">
      <c r="A1734" s="13">
        <v>46171</v>
      </c>
      <c r="B1734" s="12">
        <f>MONTH(Movimientos_2026[[#This Row],[Fecha]])</f>
        <v>5</v>
      </c>
      <c r="C1734" s="12" t="str">
        <f>VLOOKUP((WEEKDAY(Movimientos_2026[[#This Row],[Fecha]],2)),'5. Setup'!$D$6:$E$12,2,FALSE)</f>
        <v>Vie</v>
      </c>
      <c r="D1734">
        <v>1045451</v>
      </c>
      <c r="E1734" t="str">
        <f>IFERROR(+VLOOKUP(Movimientos_2026[[#This Row],[Codigo]],Plan_cuentas[],2,FALSE)," ")</f>
        <v>INGRESOS</v>
      </c>
      <c r="F1734" t="str">
        <f>IFERROR(+VLOOKUP(Movimientos_2026[[#This Row],[Codigo]],Plan_cuentas[],3,FALSE)," ")</f>
        <v>Transferencia</v>
      </c>
      <c r="G1734" t="str">
        <f>IFERROR(+VLOOKUP(Movimientos_2026[[#This Row],[Codigo]],Plan_cuentas[],4,FALSE)," ")</f>
        <v>Factura</v>
      </c>
      <c r="H1734" t="str">
        <f>IFERROR(+VLOOKUP(Movimientos_2026[[#This Row],[Codigo]],Plan_cuentas[],5,FALSE)," ")</f>
        <v>FC DERECHOS</v>
      </c>
      <c r="I1734" s="43">
        <v>46082</v>
      </c>
      <c r="J1734" t="s">
        <v>768</v>
      </c>
      <c r="K1734" t="str">
        <f>IFERROR(+VLOOKUP(Movimientos_2026[[#This Row],[Codigo]],Plan_cuentas[],6,FALSE)," ")</f>
        <v>1 - VW - Volkswagen</v>
      </c>
      <c r="L1734" s="50">
        <v>37672715.590000004</v>
      </c>
      <c r="M1734" s="50"/>
      <c r="N1734" s="20">
        <f>+Movimientos_2026[[#This Row],[Ingresos]]-Movimientos_2026[[#This Row],[Egresos]]</f>
        <v>37672715.590000004</v>
      </c>
      <c r="O1734" s="20">
        <f>+O1733+Movimientos_2026[[#This Row],[Neto]]</f>
        <v>3319480017.6268735</v>
      </c>
    </row>
    <row r="1735" spans="1:15" x14ac:dyDescent="0.25">
      <c r="A1735" s="13">
        <v>46171</v>
      </c>
      <c r="B1735" s="12">
        <f>MONTH(Movimientos_2026[[#This Row],[Fecha]])</f>
        <v>5</v>
      </c>
      <c r="C1735" s="12" t="str">
        <f>VLOOKUP((WEEKDAY(Movimientos_2026[[#This Row],[Fecha]],2)),'5. Setup'!$D$6:$E$12,2,FALSE)</f>
        <v>Vie</v>
      </c>
      <c r="D1735">
        <v>1045451</v>
      </c>
      <c r="E1735" t="str">
        <f>IFERROR(+VLOOKUP(Movimientos_2026[[#This Row],[Codigo]],Plan_cuentas[],2,FALSE)," ")</f>
        <v>INGRESOS</v>
      </c>
      <c r="F1735" t="str">
        <f>IFERROR(+VLOOKUP(Movimientos_2026[[#This Row],[Codigo]],Plan_cuentas[],3,FALSE)," ")</f>
        <v>Transferencia</v>
      </c>
      <c r="G1735" t="str">
        <f>IFERROR(+VLOOKUP(Movimientos_2026[[#This Row],[Codigo]],Plan_cuentas[],4,FALSE)," ")</f>
        <v>Factura</v>
      </c>
      <c r="H1735" t="str">
        <f>IFERROR(+VLOOKUP(Movimientos_2026[[#This Row],[Codigo]],Plan_cuentas[],5,FALSE)," ")</f>
        <v>FC DERECHOS</v>
      </c>
      <c r="I1735" s="43">
        <v>46082</v>
      </c>
      <c r="J1735" t="s">
        <v>769</v>
      </c>
      <c r="K1735" t="str">
        <f>IFERROR(+VLOOKUP(Movimientos_2026[[#This Row],[Codigo]],Plan_cuentas[],6,FALSE)," ")</f>
        <v>1 - VW - Volkswagen</v>
      </c>
      <c r="L1735" s="50">
        <v>1721593.92</v>
      </c>
      <c r="M1735" s="50"/>
      <c r="N1735" s="20">
        <f>+Movimientos_2026[[#This Row],[Ingresos]]-Movimientos_2026[[#This Row],[Egresos]]</f>
        <v>1721593.92</v>
      </c>
      <c r="O1735" s="20">
        <f>+O1734+Movimientos_2026[[#This Row],[Neto]]</f>
        <v>3321201611.5468736</v>
      </c>
    </row>
    <row r="1736" spans="1:15" x14ac:dyDescent="0.25">
      <c r="A1736" s="13">
        <v>46171</v>
      </c>
      <c r="B1736" s="12">
        <f>MONTH(Movimientos_2026[[#This Row],[Fecha]])</f>
        <v>5</v>
      </c>
      <c r="C1736" s="12" t="str">
        <f>VLOOKUP((WEEKDAY(Movimientos_2026[[#This Row],[Fecha]],2)),'5. Setup'!$D$6:$E$12,2,FALSE)</f>
        <v>Vie</v>
      </c>
      <c r="D1736">
        <v>2044461</v>
      </c>
      <c r="E1736" t="str">
        <f>IFERROR(+VLOOKUP(Movimientos_2026[[#This Row],[Codigo]],Plan_cuentas[],2,FALSE)," ")</f>
        <v>EGRESOS</v>
      </c>
      <c r="F1736" t="str">
        <f>IFERROR(+VLOOKUP(Movimientos_2026[[#This Row],[Codigo]],Plan_cuentas[],3,FALSE)," ")</f>
        <v>Transferencia</v>
      </c>
      <c r="G1736" t="str">
        <f>IFERROR(+VLOOKUP(Movimientos_2026[[#This Row],[Codigo]],Plan_cuentas[],4,FALSE)," ")</f>
        <v>Rentas</v>
      </c>
      <c r="H1736" t="str">
        <f>IFERROR(+VLOOKUP(Movimientos_2026[[#This Row],[Codigo]],Plan_cuentas[],5,FALSE)," ")</f>
        <v>MISIONES</v>
      </c>
      <c r="I1736" s="43">
        <v>46113</v>
      </c>
      <c r="J1736" t="s">
        <v>770</v>
      </c>
      <c r="K1736" t="str">
        <f>IFERROR(+VLOOKUP(Movimientos_2026[[#This Row],[Codigo]],Plan_cuentas[],6,FALSE)," ")</f>
        <v>1 - VW - Volkswagen</v>
      </c>
      <c r="L1736" s="50"/>
      <c r="M1736" s="50">
        <v>2883200</v>
      </c>
      <c r="N1736" s="20">
        <f>+Movimientos_2026[[#This Row],[Ingresos]]-Movimientos_2026[[#This Row],[Egresos]]</f>
        <v>-2883200</v>
      </c>
      <c r="O1736" s="20">
        <f>+O1735+Movimientos_2026[[#This Row],[Neto]]</f>
        <v>3318318411.5468736</v>
      </c>
    </row>
    <row r="1737" spans="1:15" x14ac:dyDescent="0.25">
      <c r="A1737" s="13">
        <v>46171</v>
      </c>
      <c r="B1737" s="12">
        <f>MONTH(Movimientos_2026[[#This Row],[Fecha]])</f>
        <v>5</v>
      </c>
      <c r="C1737" s="12" t="str">
        <f>VLOOKUP((WEEKDAY(Movimientos_2026[[#This Row],[Fecha]],2)),'5. Setup'!$D$6:$E$12,2,FALSE)</f>
        <v>Vie</v>
      </c>
      <c r="D1737">
        <v>1045474</v>
      </c>
      <c r="E1737" t="str">
        <f>IFERROR(+VLOOKUP(Movimientos_2026[[#This Row],[Codigo]],Plan_cuentas[],2,FALSE)," ")</f>
        <v>INGRESOS</v>
      </c>
      <c r="F1737" t="str">
        <f>IFERROR(+VLOOKUP(Movimientos_2026[[#This Row],[Codigo]],Plan_cuentas[],3,FALSE)," ")</f>
        <v>Transferencia</v>
      </c>
      <c r="G1737" t="str">
        <f>IFERROR(+VLOOKUP(Movimientos_2026[[#This Row],[Codigo]],Plan_cuentas[],4,FALSE)," ")</f>
        <v>Factura</v>
      </c>
      <c r="H1737" t="str">
        <f>IFERROR(+VLOOKUP(Movimientos_2026[[#This Row],[Codigo]],Plan_cuentas[],5,FALSE)," ")</f>
        <v>FC HONORARIOS</v>
      </c>
      <c r="I1737" s="43">
        <v>46082</v>
      </c>
      <c r="J1737" t="s">
        <v>771</v>
      </c>
      <c r="K1737" t="str">
        <f>IFERROR(+VLOOKUP(Movimientos_2026[[#This Row],[Codigo]],Plan_cuentas[],6,FALSE)," ")</f>
        <v>4 - FCA - Fiat</v>
      </c>
      <c r="L1737" s="50">
        <v>4069993.83</v>
      </c>
      <c r="M1737" s="50"/>
      <c r="N1737" s="20">
        <f>+Movimientos_2026[[#This Row],[Ingresos]]-Movimientos_2026[[#This Row],[Egresos]]</f>
        <v>4069993.83</v>
      </c>
      <c r="O1737" s="20">
        <f>+O1736+Movimientos_2026[[#This Row],[Neto]]</f>
        <v>3322388405.3768735</v>
      </c>
    </row>
    <row r="1738" spans="1:15" x14ac:dyDescent="0.25">
      <c r="A1738" s="13">
        <v>46171</v>
      </c>
      <c r="B1738" s="12">
        <f>MONTH(Movimientos_2026[[#This Row],[Fecha]])</f>
        <v>5</v>
      </c>
      <c r="C1738" s="12" t="str">
        <f>VLOOKUP((WEEKDAY(Movimientos_2026[[#This Row],[Fecha]],2)),'5. Setup'!$D$6:$E$12,2,FALSE)</f>
        <v>Vie</v>
      </c>
      <c r="D1738">
        <v>1044486</v>
      </c>
      <c r="E1738" t="str">
        <f>IFERROR(+VLOOKUP(Movimientos_2026[[#This Row],[Codigo]],Plan_cuentas[],2,FALSE)," ")</f>
        <v>INGRESOS</v>
      </c>
      <c r="F1738" t="str">
        <f>IFERROR(+VLOOKUP(Movimientos_2026[[#This Row],[Codigo]],Plan_cuentas[],3,FALSE)," ")</f>
        <v>Transferencia</v>
      </c>
      <c r="G1738" t="str">
        <f>IFERROR(+VLOOKUP(Movimientos_2026[[#This Row],[Codigo]],Plan_cuentas[],4,FALSE)," ")</f>
        <v>Factura</v>
      </c>
      <c r="H1738" t="str">
        <f>IFERROR(+VLOOKUP(Movimientos_2026[[#This Row],[Codigo]],Plan_cuentas[],5,FALSE)," ")</f>
        <v>FC TRAMITACION</v>
      </c>
      <c r="I1738" s="43">
        <v>46082</v>
      </c>
      <c r="J1738" t="s">
        <v>772</v>
      </c>
      <c r="K1738" t="str">
        <f>IFERROR(+VLOOKUP(Movimientos_2026[[#This Row],[Codigo]],Plan_cuentas[],6,FALSE)," ")</f>
        <v>6 - FCAtr - Fiat Transf.</v>
      </c>
      <c r="L1738" s="50">
        <v>41963613.119999997</v>
      </c>
      <c r="M1738" s="50"/>
      <c r="N1738" s="20">
        <f>+Movimientos_2026[[#This Row],[Ingresos]]-Movimientos_2026[[#This Row],[Egresos]]</f>
        <v>41963613.119999997</v>
      </c>
      <c r="O1738" s="20">
        <f>+O1737+Movimientos_2026[[#This Row],[Neto]]</f>
        <v>3364352018.4968734</v>
      </c>
    </row>
    <row r="1739" spans="1:15" x14ac:dyDescent="0.25">
      <c r="A1739" s="13">
        <v>46171</v>
      </c>
      <c r="B1739" s="12">
        <f>MONTH(Movimientos_2026[[#This Row],[Fecha]])</f>
        <v>5</v>
      </c>
      <c r="C1739" s="12" t="str">
        <f>VLOOKUP((WEEKDAY(Movimientos_2026[[#This Row],[Fecha]],2)),'5. Setup'!$D$6:$E$12,2,FALSE)</f>
        <v>Vie</v>
      </c>
      <c r="D1739">
        <v>1045474</v>
      </c>
      <c r="E1739" t="str">
        <f>IFERROR(+VLOOKUP(Movimientos_2026[[#This Row],[Codigo]],Plan_cuentas[],2,FALSE)," ")</f>
        <v>INGRESOS</v>
      </c>
      <c r="F1739" t="str">
        <f>IFERROR(+VLOOKUP(Movimientos_2026[[#This Row],[Codigo]],Plan_cuentas[],3,FALSE)," ")</f>
        <v>Transferencia</v>
      </c>
      <c r="G1739" t="str">
        <f>IFERROR(+VLOOKUP(Movimientos_2026[[#This Row],[Codigo]],Plan_cuentas[],4,FALSE)," ")</f>
        <v>Factura</v>
      </c>
      <c r="H1739" t="str">
        <f>IFERROR(+VLOOKUP(Movimientos_2026[[#This Row],[Codigo]],Plan_cuentas[],5,FALSE)," ")</f>
        <v>FC HONORARIOS</v>
      </c>
      <c r="I1739" s="43">
        <v>46082</v>
      </c>
      <c r="J1739" t="s">
        <v>773</v>
      </c>
      <c r="K1739" t="str">
        <f>IFERROR(+VLOOKUP(Movimientos_2026[[#This Row],[Codigo]],Plan_cuentas[],6,FALSE)," ")</f>
        <v>4 - FCA - Fiat</v>
      </c>
      <c r="L1739" s="50">
        <v>2842931.52</v>
      </c>
      <c r="M1739" s="50"/>
      <c r="N1739" s="20">
        <f>+Movimientos_2026[[#This Row],[Ingresos]]-Movimientos_2026[[#This Row],[Egresos]]</f>
        <v>2842931.52</v>
      </c>
      <c r="O1739" s="20">
        <f>+O1738+Movimientos_2026[[#This Row],[Neto]]</f>
        <v>3367194950.0168734</v>
      </c>
    </row>
    <row r="1740" spans="1:15" x14ac:dyDescent="0.25">
      <c r="A1740" s="13">
        <v>46171</v>
      </c>
      <c r="B1740" s="12">
        <f>MONTH(Movimientos_2026[[#This Row],[Fecha]])</f>
        <v>5</v>
      </c>
      <c r="C1740" s="12" t="str">
        <f>VLOOKUP((WEEKDAY(Movimientos_2026[[#This Row],[Fecha]],2)),'5. Setup'!$D$6:$E$12,2,FALSE)</f>
        <v>Vie</v>
      </c>
      <c r="D1740">
        <v>1044126</v>
      </c>
      <c r="E1740" t="str">
        <f>IFERROR(+VLOOKUP(Movimientos_2026[[#This Row],[Codigo]],Plan_cuentas[],2,FALSE)," ")</f>
        <v>INGRESOS</v>
      </c>
      <c r="F1740" t="str">
        <f>IFERROR(+VLOOKUP(Movimientos_2026[[#This Row],[Codigo]],Plan_cuentas[],3,FALSE)," ")</f>
        <v>Transferencia</v>
      </c>
      <c r="G1740" t="str">
        <f>IFERROR(+VLOOKUP(Movimientos_2026[[#This Row],[Codigo]],Plan_cuentas[],4,FALSE)," ")</f>
        <v>Rentas</v>
      </c>
      <c r="H1740" t="str">
        <f>IFERROR(+VLOOKUP(Movimientos_2026[[#This Row],[Codigo]],Plan_cuentas[],5,FALSE)," ")</f>
        <v>BAPRO</v>
      </c>
      <c r="I1740" s="43">
        <v>46082</v>
      </c>
      <c r="J1740" t="s">
        <v>774</v>
      </c>
      <c r="K1740" t="str">
        <f>IFERROR(+VLOOKUP(Movimientos_2026[[#This Row],[Codigo]],Plan_cuentas[],6,FALSE)," ")</f>
        <v>6 - FCAtr - Fiat Transf.</v>
      </c>
      <c r="L1740" s="50">
        <v>36125168.99999997</v>
      </c>
      <c r="M1740" s="50"/>
      <c r="N1740" s="20">
        <f>+Movimientos_2026[[#This Row],[Ingresos]]-Movimientos_2026[[#This Row],[Egresos]]</f>
        <v>36125168.99999997</v>
      </c>
      <c r="O1740" s="20">
        <f>+O1739+Movimientos_2026[[#This Row],[Neto]]</f>
        <v>3403320119.0168734</v>
      </c>
    </row>
    <row r="1741" spans="1:15" x14ac:dyDescent="0.25">
      <c r="A1741" s="13">
        <v>46171</v>
      </c>
      <c r="B1741" s="12">
        <f>MONTH(Movimientos_2026[[#This Row],[Fecha]])</f>
        <v>5</v>
      </c>
      <c r="C1741" s="12" t="str">
        <f>VLOOKUP((WEEKDAY(Movimientos_2026[[#This Row],[Fecha]],2)),'5. Setup'!$D$6:$E$12,2,FALSE)</f>
        <v>Vie</v>
      </c>
      <c r="D1741">
        <v>1043156</v>
      </c>
      <c r="E1741" t="str">
        <f>IFERROR(+VLOOKUP(Movimientos_2026[[#This Row],[Codigo]],Plan_cuentas[],2,FALSE)," ")</f>
        <v>INGRESOS</v>
      </c>
      <c r="F1741" t="str">
        <f>IFERROR(+VLOOKUP(Movimientos_2026[[#This Row],[Codigo]],Plan_cuentas[],3,FALSE)," ")</f>
        <v>Transferencia</v>
      </c>
      <c r="G1741" t="str">
        <f>IFERROR(+VLOOKUP(Movimientos_2026[[#This Row],[Codigo]],Plan_cuentas[],4,FALSE)," ")</f>
        <v>Registración</v>
      </c>
      <c r="H1741" t="str">
        <f>IFERROR(+VLOOKUP(Movimientos_2026[[#This Row],[Codigo]],Plan_cuentas[],5,FALSE)," ")</f>
        <v>CABA</v>
      </c>
      <c r="I1741" s="43">
        <v>46082</v>
      </c>
      <c r="J1741" t="s">
        <v>774</v>
      </c>
      <c r="K1741" t="str">
        <f>IFERROR(+VLOOKUP(Movimientos_2026[[#This Row],[Codigo]],Plan_cuentas[],6,FALSE)," ")</f>
        <v>6 - FCAtr - Fiat Transf.</v>
      </c>
      <c r="L1741" s="50">
        <v>10273059.84</v>
      </c>
      <c r="M1741" s="50"/>
      <c r="N1741" s="20">
        <f>+Movimientos_2026[[#This Row],[Ingresos]]-Movimientos_2026[[#This Row],[Egresos]]</f>
        <v>10273059.84</v>
      </c>
      <c r="O1741" s="20">
        <f>+O1740+Movimientos_2026[[#This Row],[Neto]]</f>
        <v>3413593178.8568735</v>
      </c>
    </row>
    <row r="1742" spans="1:15" x14ac:dyDescent="0.25">
      <c r="A1742" s="13">
        <v>46171</v>
      </c>
      <c r="B1742" s="12">
        <f>MONTH(Movimientos_2026[[#This Row],[Fecha]])</f>
        <v>5</v>
      </c>
      <c r="C1742" s="12" t="str">
        <f>VLOOKUP((WEEKDAY(Movimientos_2026[[#This Row],[Fecha]],2)),'5. Setup'!$D$6:$E$12,2,FALSE)</f>
        <v>Vie</v>
      </c>
      <c r="D1742">
        <v>1043176</v>
      </c>
      <c r="E1742" t="str">
        <f>IFERROR(+VLOOKUP(Movimientos_2026[[#This Row],[Codigo]],Plan_cuentas[],2,FALSE)," ")</f>
        <v>INGRESOS</v>
      </c>
      <c r="F1742" t="str">
        <f>IFERROR(+VLOOKUP(Movimientos_2026[[#This Row],[Codigo]],Plan_cuentas[],3,FALSE)," ")</f>
        <v>Transferencia</v>
      </c>
      <c r="G1742" t="str">
        <f>IFERROR(+VLOOKUP(Movimientos_2026[[#This Row],[Codigo]],Plan_cuentas[],4,FALSE)," ")</f>
        <v>Registración</v>
      </c>
      <c r="H1742" t="str">
        <f>IFERROR(+VLOOKUP(Movimientos_2026[[#This Row],[Codigo]],Plan_cuentas[],5,FALSE)," ")</f>
        <v>CHUBUT</v>
      </c>
      <c r="I1742" s="43">
        <v>46082</v>
      </c>
      <c r="J1742" t="s">
        <v>774</v>
      </c>
      <c r="K1742" t="str">
        <f>IFERROR(+VLOOKUP(Movimientos_2026[[#This Row],[Codigo]],Plan_cuentas[],6,FALSE)," ")</f>
        <v>6 - FCAtr - Fiat Transf.</v>
      </c>
      <c r="L1742" s="50">
        <v>565990.09</v>
      </c>
      <c r="M1742" s="50"/>
      <c r="N1742" s="20">
        <f>+Movimientos_2026[[#This Row],[Ingresos]]-Movimientos_2026[[#This Row],[Egresos]]</f>
        <v>565990.09</v>
      </c>
      <c r="O1742" s="20">
        <f>+O1741+Movimientos_2026[[#This Row],[Neto]]</f>
        <v>3414159168.9468737</v>
      </c>
    </row>
    <row r="1743" spans="1:15" x14ac:dyDescent="0.25">
      <c r="A1743" s="13">
        <v>46171</v>
      </c>
      <c r="B1743" s="12">
        <f>MONTH(Movimientos_2026[[#This Row],[Fecha]])</f>
        <v>5</v>
      </c>
      <c r="C1743" s="12" t="str">
        <f>VLOOKUP((WEEKDAY(Movimientos_2026[[#This Row],[Fecha]],2)),'5. Setup'!$D$6:$E$12,2,FALSE)</f>
        <v>Vie</v>
      </c>
      <c r="D1743">
        <v>1043226</v>
      </c>
      <c r="E1743" t="str">
        <f>IFERROR(+VLOOKUP(Movimientos_2026[[#This Row],[Codigo]],Plan_cuentas[],2,FALSE)," ")</f>
        <v>INGRESOS</v>
      </c>
      <c r="F1743" t="str">
        <f>IFERROR(+VLOOKUP(Movimientos_2026[[#This Row],[Codigo]],Plan_cuentas[],3,FALSE)," ")</f>
        <v>Transferencia</v>
      </c>
      <c r="G1743" t="str">
        <f>IFERROR(+VLOOKUP(Movimientos_2026[[#This Row],[Codigo]],Plan_cuentas[],4,FALSE)," ")</f>
        <v>Registración</v>
      </c>
      <c r="H1743" t="str">
        <f>IFERROR(+VLOOKUP(Movimientos_2026[[#This Row],[Codigo]],Plan_cuentas[],5,FALSE)," ")</f>
        <v>ENTRE RIOS 1° Q</v>
      </c>
      <c r="I1743" s="43">
        <v>46113</v>
      </c>
      <c r="J1743" t="s">
        <v>774</v>
      </c>
      <c r="K1743" t="str">
        <f>IFERROR(+VLOOKUP(Movimientos_2026[[#This Row],[Codigo]],Plan_cuentas[],6,FALSE)," ")</f>
        <v>6 - FCAtr - Fiat Transf.</v>
      </c>
      <c r="L1743" s="50">
        <v>448219.46999999991</v>
      </c>
      <c r="M1743" s="50"/>
      <c r="N1743" s="20">
        <f>+Movimientos_2026[[#This Row],[Ingresos]]-Movimientos_2026[[#This Row],[Egresos]]</f>
        <v>448219.46999999991</v>
      </c>
      <c r="O1743" s="20">
        <f>+O1742+Movimientos_2026[[#This Row],[Neto]]</f>
        <v>3414607388.4168735</v>
      </c>
    </row>
    <row r="1744" spans="1:15" x14ac:dyDescent="0.25">
      <c r="A1744" s="13">
        <v>46171</v>
      </c>
      <c r="B1744" s="12">
        <f>MONTH(Movimientos_2026[[#This Row],[Fecha]])</f>
        <v>5</v>
      </c>
      <c r="C1744" s="12" t="str">
        <f>VLOOKUP((WEEKDAY(Movimientos_2026[[#This Row],[Fecha]],2)),'5. Setup'!$D$6:$E$12,2,FALSE)</f>
        <v>Vie</v>
      </c>
      <c r="D1744">
        <v>1044246</v>
      </c>
      <c r="E1744" t="str">
        <f>IFERROR(+VLOOKUP(Movimientos_2026[[#This Row],[Codigo]],Plan_cuentas[],2,FALSE)," ")</f>
        <v>INGRESOS</v>
      </c>
      <c r="F1744" t="str">
        <f>IFERROR(+VLOOKUP(Movimientos_2026[[#This Row],[Codigo]],Plan_cuentas[],3,FALSE)," ")</f>
        <v>Transferencia</v>
      </c>
      <c r="G1744" t="str">
        <f>IFERROR(+VLOOKUP(Movimientos_2026[[#This Row],[Codigo]],Plan_cuentas[],4,FALSE)," ")</f>
        <v>Rentas</v>
      </c>
      <c r="H1744" t="str">
        <f>IFERROR(+VLOOKUP(Movimientos_2026[[#This Row],[Codigo]],Plan_cuentas[],5,FALSE)," ")</f>
        <v>FORMOSA</v>
      </c>
      <c r="I1744" s="43">
        <v>46082</v>
      </c>
      <c r="J1744" t="s">
        <v>774</v>
      </c>
      <c r="K1744" t="str">
        <f>IFERROR(+VLOOKUP(Movimientos_2026[[#This Row],[Codigo]],Plan_cuentas[],6,FALSE)," ")</f>
        <v>6 - FCAtr - Fiat Transf.</v>
      </c>
      <c r="L1744" s="50">
        <v>1089836.8700000001</v>
      </c>
      <c r="M1744" s="50"/>
      <c r="N1744" s="20">
        <f>+Movimientos_2026[[#This Row],[Ingresos]]-Movimientos_2026[[#This Row],[Egresos]]</f>
        <v>1089836.8700000001</v>
      </c>
      <c r="O1744" s="20">
        <f>+O1743+Movimientos_2026[[#This Row],[Neto]]</f>
        <v>3415697225.2868733</v>
      </c>
    </row>
    <row r="1745" spans="1:15" x14ac:dyDescent="0.25">
      <c r="A1745" s="13">
        <v>46171</v>
      </c>
      <c r="B1745" s="12">
        <f>MONTH(Movimientos_2026[[#This Row],[Fecha]])</f>
        <v>5</v>
      </c>
      <c r="C1745" s="12" t="str">
        <f>VLOOKUP((WEEKDAY(Movimientos_2026[[#This Row],[Fecha]],2)),'5. Setup'!$D$6:$E$12,2,FALSE)</f>
        <v>Vie</v>
      </c>
      <c r="D1745">
        <v>1043376</v>
      </c>
      <c r="E1745" t="str">
        <f>IFERROR(+VLOOKUP(Movimientos_2026[[#This Row],[Codigo]],Plan_cuentas[],2,FALSE)," ")</f>
        <v>INGRESOS</v>
      </c>
      <c r="F1745" t="str">
        <f>IFERROR(+VLOOKUP(Movimientos_2026[[#This Row],[Codigo]],Plan_cuentas[],3,FALSE)," ")</f>
        <v>Transferencia</v>
      </c>
      <c r="G1745" t="str">
        <f>IFERROR(+VLOOKUP(Movimientos_2026[[#This Row],[Codigo]],Plan_cuentas[],4,FALSE)," ")</f>
        <v>Registración</v>
      </c>
      <c r="H1745" t="str">
        <f>IFERROR(+VLOOKUP(Movimientos_2026[[#This Row],[Codigo]],Plan_cuentas[],5,FALSE)," ")</f>
        <v>SANTA CRUZ</v>
      </c>
      <c r="I1745" s="43">
        <v>46082</v>
      </c>
      <c r="J1745" t="s">
        <v>774</v>
      </c>
      <c r="K1745" t="str">
        <f>IFERROR(+VLOOKUP(Movimientos_2026[[#This Row],[Codigo]],Plan_cuentas[],6,FALSE)," ")</f>
        <v>6 - FCAtr - Fiat Transf.</v>
      </c>
      <c r="L1745" s="50">
        <v>768243.83000000007</v>
      </c>
      <c r="M1745" s="50"/>
      <c r="N1745" s="20">
        <f>+Movimientos_2026[[#This Row],[Ingresos]]-Movimientos_2026[[#This Row],[Egresos]]</f>
        <v>768243.83000000007</v>
      </c>
      <c r="O1745" s="20">
        <f>+O1744+Movimientos_2026[[#This Row],[Neto]]</f>
        <v>3416465469.1168733</v>
      </c>
    </row>
    <row r="1746" spans="1:15" x14ac:dyDescent="0.25">
      <c r="A1746" s="13">
        <v>46171</v>
      </c>
      <c r="B1746" s="12">
        <f>MONTH(Movimientos_2026[[#This Row],[Fecha]])</f>
        <v>5</v>
      </c>
      <c r="C1746" s="12" t="str">
        <f>VLOOKUP((WEEKDAY(Movimientos_2026[[#This Row],[Fecha]],2)),'5. Setup'!$D$6:$E$12,2,FALSE)</f>
        <v>Vie</v>
      </c>
      <c r="D1746">
        <v>1043386</v>
      </c>
      <c r="E1746" t="str">
        <f>IFERROR(+VLOOKUP(Movimientos_2026[[#This Row],[Codigo]],Plan_cuentas[],2,FALSE)," ")</f>
        <v>INGRESOS</v>
      </c>
      <c r="F1746" t="str">
        <f>IFERROR(+VLOOKUP(Movimientos_2026[[#This Row],[Codigo]],Plan_cuentas[],3,FALSE)," ")</f>
        <v>Transferencia</v>
      </c>
      <c r="G1746" t="str">
        <f>IFERROR(+VLOOKUP(Movimientos_2026[[#This Row],[Codigo]],Plan_cuentas[],4,FALSE)," ")</f>
        <v>Registración</v>
      </c>
      <c r="H1746" t="str">
        <f>IFERROR(+VLOOKUP(Movimientos_2026[[#This Row],[Codigo]],Plan_cuentas[],5,FALSE)," ")</f>
        <v>SANTA FE 1° Q</v>
      </c>
      <c r="I1746" s="43">
        <v>46113</v>
      </c>
      <c r="J1746" t="s">
        <v>774</v>
      </c>
      <c r="K1746" t="str">
        <f>IFERROR(+VLOOKUP(Movimientos_2026[[#This Row],[Codigo]],Plan_cuentas[],6,FALSE)," ")</f>
        <v>6 - FCAtr - Fiat Transf.</v>
      </c>
      <c r="L1746" s="50">
        <v>1996375.37</v>
      </c>
      <c r="M1746" s="50"/>
      <c r="N1746" s="20">
        <f>+Movimientos_2026[[#This Row],[Ingresos]]-Movimientos_2026[[#This Row],[Egresos]]</f>
        <v>1996375.37</v>
      </c>
      <c r="O1746" s="20">
        <f>+O1745+Movimientos_2026[[#This Row],[Neto]]</f>
        <v>3418461844.4868731</v>
      </c>
    </row>
    <row r="1747" spans="1:15" x14ac:dyDescent="0.25">
      <c r="A1747" s="13">
        <v>46174</v>
      </c>
      <c r="B1747" s="12">
        <f>MONTH(Movimientos_2026[[#This Row],[Fecha]])</f>
        <v>6</v>
      </c>
      <c r="C1747" s="12" t="str">
        <f>VLOOKUP((WEEKDAY(Movimientos_2026[[#This Row],[Fecha]],2)),'5. Setup'!$D$6:$E$12,2,FALSE)</f>
        <v>Lun</v>
      </c>
      <c r="D1747">
        <v>3000000</v>
      </c>
      <c r="E1747" t="str">
        <f>IFERROR(+VLOOKUP(Movimientos_2026[[#This Row],[Codigo]],Plan_cuentas[],2,FALSE)," ")</f>
        <v>SALDO INICIAL</v>
      </c>
      <c r="F1747" t="str">
        <f>IFERROR(+VLOOKUP(Movimientos_2026[[#This Row],[Codigo]],Plan_cuentas[],3,FALSE)," ")</f>
        <v xml:space="preserve"> </v>
      </c>
      <c r="G1747" t="str">
        <f>IFERROR(+VLOOKUP(Movimientos_2026[[#This Row],[Codigo]],Plan_cuentas[],4,FALSE)," ")</f>
        <v xml:space="preserve"> </v>
      </c>
      <c r="H1747" t="str">
        <f>IFERROR(+VLOOKUP(Movimientos_2026[[#This Row],[Codigo]],Plan_cuentas[],5,FALSE)," ")</f>
        <v xml:space="preserve"> </v>
      </c>
      <c r="I1747" s="43"/>
      <c r="K1747" t="str">
        <f>IFERROR(+VLOOKUP(Movimientos_2026[[#This Row],[Codigo]],Plan_cuentas[],6,FALSE)," ")</f>
        <v xml:space="preserve">     </v>
      </c>
      <c r="L1747" s="50"/>
      <c r="M1747" s="52"/>
      <c r="N1747" s="20">
        <f>+Movimientos_2026[[#This Row],[Ingresos]]-Movimientos_2026[[#This Row],[Egresos]]</f>
        <v>0</v>
      </c>
      <c r="O1747" s="20">
        <f>+O1746+Movimientos_2026[[#This Row],[Neto]]</f>
        <v>3418461844.4868731</v>
      </c>
    </row>
    <row r="1748" spans="1:15" x14ac:dyDescent="0.25">
      <c r="A1748" s="13">
        <v>46174</v>
      </c>
      <c r="B1748" s="12">
        <f>MONTH(Movimientos_2026[[#This Row],[Fecha]])</f>
        <v>6</v>
      </c>
      <c r="C1748" s="12" t="str">
        <f>VLOOKUP((WEEKDAY(Movimientos_2026[[#This Row],[Fecha]],2)),'5. Setup'!$D$6:$E$12,2,FALSE)</f>
        <v>Lun</v>
      </c>
      <c r="D1748">
        <v>1043152</v>
      </c>
      <c r="E1748" t="str">
        <f>IFERROR(+VLOOKUP(Movimientos_2026[[#This Row],[Codigo]],Plan_cuentas[],2,FALSE)," ")</f>
        <v>INGRESOS</v>
      </c>
      <c r="F1748" t="str">
        <f>IFERROR(+VLOOKUP(Movimientos_2026[[#This Row],[Codigo]],Plan_cuentas[],3,FALSE)," ")</f>
        <v>Transferencia</v>
      </c>
      <c r="G1748" t="str">
        <f>IFERROR(+VLOOKUP(Movimientos_2026[[#This Row],[Codigo]],Plan_cuentas[],4,FALSE)," ")</f>
        <v>Registración</v>
      </c>
      <c r="H1748" t="str">
        <f>IFERROR(+VLOOKUP(Movimientos_2026[[#This Row],[Codigo]],Plan_cuentas[],5,FALSE)," ")</f>
        <v>CABA</v>
      </c>
      <c r="I1748" s="43">
        <v>46113</v>
      </c>
      <c r="J1748" t="s">
        <v>775</v>
      </c>
      <c r="K1748" t="str">
        <f>IFERROR(+VLOOKUP(Movimientos_2026[[#This Row],[Codigo]],Plan_cuentas[],6,FALSE)," ")</f>
        <v>2 - PR - Plan Rombo</v>
      </c>
      <c r="L1748" s="50">
        <v>28057566</v>
      </c>
      <c r="M1748" s="50"/>
      <c r="N1748" s="20">
        <f>+Movimientos_2026[[#This Row],[Ingresos]]-Movimientos_2026[[#This Row],[Egresos]]</f>
        <v>28057566</v>
      </c>
      <c r="O1748" s="20">
        <f>+O1747+Movimientos_2026[[#This Row],[Neto]]</f>
        <v>3446519410.4868731</v>
      </c>
    </row>
    <row r="1749" spans="1:15" x14ac:dyDescent="0.25">
      <c r="A1749" s="13">
        <v>46174</v>
      </c>
      <c r="B1749" s="12">
        <f>MONTH(Movimientos_2026[[#This Row],[Fecha]])</f>
        <v>6</v>
      </c>
      <c r="C1749" s="12" t="str">
        <f>VLOOKUP((WEEKDAY(Movimientos_2026[[#This Row],[Fecha]],2)),'5. Setup'!$D$6:$E$12,2,FALSE)</f>
        <v>Lun</v>
      </c>
      <c r="D1749">
        <v>1043232</v>
      </c>
      <c r="E1749" t="str">
        <f>IFERROR(+VLOOKUP(Movimientos_2026[[#This Row],[Codigo]],Plan_cuentas[],2,FALSE)," ")</f>
        <v>INGRESOS</v>
      </c>
      <c r="F1749" t="str">
        <f>IFERROR(+VLOOKUP(Movimientos_2026[[#This Row],[Codigo]],Plan_cuentas[],3,FALSE)," ")</f>
        <v>Transferencia</v>
      </c>
      <c r="G1749" t="str">
        <f>IFERROR(+VLOOKUP(Movimientos_2026[[#This Row],[Codigo]],Plan_cuentas[],4,FALSE)," ")</f>
        <v>Registración</v>
      </c>
      <c r="H1749" t="str">
        <f>IFERROR(+VLOOKUP(Movimientos_2026[[#This Row],[Codigo]],Plan_cuentas[],5,FALSE)," ")</f>
        <v>ENTRE RIOS 2° Q</v>
      </c>
      <c r="I1749" s="43">
        <v>46113</v>
      </c>
      <c r="J1749" t="s">
        <v>775</v>
      </c>
      <c r="K1749" t="str">
        <f>IFERROR(+VLOOKUP(Movimientos_2026[[#This Row],[Codigo]],Plan_cuentas[],6,FALSE)," ")</f>
        <v>2 - PR - Plan Rombo</v>
      </c>
      <c r="L1749" s="50">
        <v>20166772</v>
      </c>
      <c r="M1749" s="50"/>
      <c r="N1749" s="20">
        <f>+Movimientos_2026[[#This Row],[Ingresos]]-Movimientos_2026[[#This Row],[Egresos]]</f>
        <v>20166772</v>
      </c>
      <c r="O1749" s="20">
        <f>+O1748+Movimientos_2026[[#This Row],[Neto]]</f>
        <v>3466686182.4868731</v>
      </c>
    </row>
    <row r="1750" spans="1:15" x14ac:dyDescent="0.25">
      <c r="A1750" s="13">
        <v>46174</v>
      </c>
      <c r="B1750" s="12">
        <f>MONTH(Movimientos_2026[[#This Row],[Fecha]])</f>
        <v>6</v>
      </c>
      <c r="C1750" s="12" t="str">
        <f>VLOOKUP((WEEKDAY(Movimientos_2026[[#This Row],[Fecha]],2)),'5. Setup'!$D$6:$E$12,2,FALSE)</f>
        <v>Lun</v>
      </c>
      <c r="D1750">
        <v>1043242</v>
      </c>
      <c r="E1750" t="str">
        <f>IFERROR(+VLOOKUP(Movimientos_2026[[#This Row],[Codigo]],Plan_cuentas[],2,FALSE)," ")</f>
        <v>INGRESOS</v>
      </c>
      <c r="F1750" t="str">
        <f>IFERROR(+VLOOKUP(Movimientos_2026[[#This Row],[Codigo]],Plan_cuentas[],3,FALSE)," ")</f>
        <v>Transferencia</v>
      </c>
      <c r="G1750" t="str">
        <f>IFERROR(+VLOOKUP(Movimientos_2026[[#This Row],[Codigo]],Plan_cuentas[],4,FALSE)," ")</f>
        <v>Registración</v>
      </c>
      <c r="H1750" t="str">
        <f>IFERROR(+VLOOKUP(Movimientos_2026[[#This Row],[Codigo]],Plan_cuentas[],5,FALSE)," ")</f>
        <v>FORMOSA</v>
      </c>
      <c r="I1750" s="43">
        <v>46113</v>
      </c>
      <c r="J1750" t="s">
        <v>775</v>
      </c>
      <c r="K1750" t="str">
        <f>IFERROR(+VLOOKUP(Movimientos_2026[[#This Row],[Codigo]],Plan_cuentas[],6,FALSE)," ")</f>
        <v>2 - PR - Plan Rombo</v>
      </c>
      <c r="L1750" s="50">
        <v>2255661</v>
      </c>
      <c r="M1750" s="50"/>
      <c r="N1750" s="20">
        <f>+Movimientos_2026[[#This Row],[Ingresos]]-Movimientos_2026[[#This Row],[Egresos]]</f>
        <v>2255661</v>
      </c>
      <c r="O1750" s="20">
        <f>+O1749+Movimientos_2026[[#This Row],[Neto]]</f>
        <v>3468941843.4868731</v>
      </c>
    </row>
    <row r="1751" spans="1:15" x14ac:dyDescent="0.25">
      <c r="A1751" s="13">
        <v>46174</v>
      </c>
      <c r="B1751" s="12">
        <f>MONTH(Movimientos_2026[[#This Row],[Fecha]])</f>
        <v>6</v>
      </c>
      <c r="C1751" s="12" t="str">
        <f>VLOOKUP((WEEKDAY(Movimientos_2026[[#This Row],[Fecha]],2)),'5. Setup'!$D$6:$E$12,2,FALSE)</f>
        <v>Lun</v>
      </c>
      <c r="D1751">
        <v>1043392</v>
      </c>
      <c r="E1751" t="str">
        <f>IFERROR(+VLOOKUP(Movimientos_2026[[#This Row],[Codigo]],Plan_cuentas[],2,FALSE)," ")</f>
        <v>INGRESOS</v>
      </c>
      <c r="F1751" t="str">
        <f>IFERROR(+VLOOKUP(Movimientos_2026[[#This Row],[Codigo]],Plan_cuentas[],3,FALSE)," ")</f>
        <v>Transferencia</v>
      </c>
      <c r="G1751" t="str">
        <f>IFERROR(+VLOOKUP(Movimientos_2026[[#This Row],[Codigo]],Plan_cuentas[],4,FALSE)," ")</f>
        <v>Registración</v>
      </c>
      <c r="H1751" t="str">
        <f>IFERROR(+VLOOKUP(Movimientos_2026[[#This Row],[Codigo]],Plan_cuentas[],5,FALSE)," ")</f>
        <v>SANTA FE 2° Q</v>
      </c>
      <c r="I1751" s="43">
        <v>46113</v>
      </c>
      <c r="J1751" t="s">
        <v>775</v>
      </c>
      <c r="K1751" t="str">
        <f>IFERROR(+VLOOKUP(Movimientos_2026[[#This Row],[Codigo]],Plan_cuentas[],6,FALSE)," ")</f>
        <v>2 - PR - Plan Rombo</v>
      </c>
      <c r="L1751" s="50">
        <v>31327963</v>
      </c>
      <c r="M1751" s="50"/>
      <c r="N1751" s="20">
        <f>+Movimientos_2026[[#This Row],[Ingresos]]-Movimientos_2026[[#This Row],[Egresos]]</f>
        <v>31327963</v>
      </c>
      <c r="O1751" s="20">
        <f>+O1750+Movimientos_2026[[#This Row],[Neto]]</f>
        <v>3500269806.4868731</v>
      </c>
    </row>
    <row r="1752" spans="1:15" x14ac:dyDescent="0.25">
      <c r="A1752" s="13">
        <v>46174</v>
      </c>
      <c r="B1752" s="12">
        <f>MONTH(Movimientos_2026[[#This Row],[Fecha]])</f>
        <v>6</v>
      </c>
      <c r="C1752" s="12" t="str">
        <f>VLOOKUP((WEEKDAY(Movimientos_2026[[#This Row],[Fecha]],2)),'5. Setup'!$D$6:$E$12,2,FALSE)</f>
        <v>Lun</v>
      </c>
      <c r="D1752">
        <v>1043172</v>
      </c>
      <c r="E1752" t="str">
        <f>IFERROR(+VLOOKUP(Movimientos_2026[[#This Row],[Codigo]],Plan_cuentas[],2,FALSE)," ")</f>
        <v>INGRESOS</v>
      </c>
      <c r="F1752" t="str">
        <f>IFERROR(+VLOOKUP(Movimientos_2026[[#This Row],[Codigo]],Plan_cuentas[],3,FALSE)," ")</f>
        <v>Transferencia</v>
      </c>
      <c r="G1752" t="str">
        <f>IFERROR(+VLOOKUP(Movimientos_2026[[#This Row],[Codigo]],Plan_cuentas[],4,FALSE)," ")</f>
        <v>Registración</v>
      </c>
      <c r="H1752" t="str">
        <f>IFERROR(+VLOOKUP(Movimientos_2026[[#This Row],[Codigo]],Plan_cuentas[],5,FALSE)," ")</f>
        <v>CHUBUT</v>
      </c>
      <c r="I1752" s="43">
        <v>46113</v>
      </c>
      <c r="J1752" t="s">
        <v>775</v>
      </c>
      <c r="K1752" t="str">
        <f>IFERROR(+VLOOKUP(Movimientos_2026[[#This Row],[Codigo]],Plan_cuentas[],6,FALSE)," ")</f>
        <v>2 - PR - Plan Rombo</v>
      </c>
      <c r="L1752" s="50">
        <v>17192112</v>
      </c>
      <c r="M1752" s="50"/>
      <c r="N1752" s="20">
        <f>+Movimientos_2026[[#This Row],[Ingresos]]-Movimientos_2026[[#This Row],[Egresos]]</f>
        <v>17192112</v>
      </c>
      <c r="O1752" s="20">
        <f>+O1751+Movimientos_2026[[#This Row],[Neto]]</f>
        <v>3517461918.4868731</v>
      </c>
    </row>
    <row r="1753" spans="1:15" x14ac:dyDescent="0.25">
      <c r="A1753" s="13">
        <v>46174</v>
      </c>
      <c r="B1753" s="12">
        <f>MONTH(Movimientos_2026[[#This Row],[Fecha]])</f>
        <v>6</v>
      </c>
      <c r="C1753" s="12" t="str">
        <f>VLOOKUP((WEEKDAY(Movimientos_2026[[#This Row],[Fecha]],2)),'5. Setup'!$D$6:$E$12,2,FALSE)</f>
        <v>Lun</v>
      </c>
      <c r="D1753">
        <v>1044482</v>
      </c>
      <c r="E1753" t="str">
        <f>IFERROR(+VLOOKUP(Movimientos_2026[[#This Row],[Codigo]],Plan_cuentas[],2,FALSE)," ")</f>
        <v>INGRESOS</v>
      </c>
      <c r="F1753" t="str">
        <f>IFERROR(+VLOOKUP(Movimientos_2026[[#This Row],[Codigo]],Plan_cuentas[],3,FALSE)," ")</f>
        <v>Transferencia</v>
      </c>
      <c r="G1753" t="str">
        <f>IFERROR(+VLOOKUP(Movimientos_2026[[#This Row],[Codigo]],Plan_cuentas[],4,FALSE)," ")</f>
        <v>Factura</v>
      </c>
      <c r="H1753" t="str">
        <f>IFERROR(+VLOOKUP(Movimientos_2026[[#This Row],[Codigo]],Plan_cuentas[],5,FALSE)," ")</f>
        <v>FC TRAMITACION</v>
      </c>
      <c r="I1753" s="43">
        <v>46113</v>
      </c>
      <c r="J1753" t="s">
        <v>776</v>
      </c>
      <c r="K1753" t="str">
        <f>IFERROR(+VLOOKUP(Movimientos_2026[[#This Row],[Codigo]],Plan_cuentas[],6,FALSE)," ")</f>
        <v>2 - PR - Plan Rombo</v>
      </c>
      <c r="L1753" s="50">
        <v>4365616.8099999996</v>
      </c>
      <c r="M1753" s="50"/>
      <c r="N1753" s="20">
        <f>+Movimientos_2026[[#This Row],[Ingresos]]-Movimientos_2026[[#This Row],[Egresos]]</f>
        <v>4365616.8099999996</v>
      </c>
      <c r="O1753" s="20">
        <f>+O1752+Movimientos_2026[[#This Row],[Neto]]</f>
        <v>3521827535.2968731</v>
      </c>
    </row>
    <row r="1754" spans="1:15" x14ac:dyDescent="0.25">
      <c r="A1754" s="13">
        <v>46174</v>
      </c>
      <c r="B1754" s="12">
        <f>MONTH(Movimientos_2026[[#This Row],[Fecha]])</f>
        <v>6</v>
      </c>
      <c r="C1754" s="12" t="str">
        <f>VLOOKUP((WEEKDAY(Movimientos_2026[[#This Row],[Fecha]],2)),'5. Setup'!$D$6:$E$12,2,FALSE)</f>
        <v>Lun</v>
      </c>
      <c r="D1754">
        <v>1044507</v>
      </c>
      <c r="E1754" t="str">
        <f>IFERROR(+VLOOKUP(Movimientos_2026[[#This Row],[Codigo]],Plan_cuentas[],2,FALSE)," ")</f>
        <v>INGRESOS</v>
      </c>
      <c r="F1754" t="str">
        <f>IFERROR(+VLOOKUP(Movimientos_2026[[#This Row],[Codigo]],Plan_cuentas[],3,FALSE)," ")</f>
        <v>Transferencia</v>
      </c>
      <c r="G1754" t="str">
        <f>IFERROR(+VLOOKUP(Movimientos_2026[[#This Row],[Codigo]],Plan_cuentas[],4,FALSE)," ")</f>
        <v>Rentas</v>
      </c>
      <c r="H1754" t="str">
        <f>IFERROR(+VLOOKUP(Movimientos_2026[[#This Row],[Codigo]],Plan_cuentas[],5,FALSE)," ")</f>
        <v>BAPRO</v>
      </c>
      <c r="I1754" s="43">
        <v>46113</v>
      </c>
      <c r="J1754" t="s">
        <v>777</v>
      </c>
      <c r="K1754" t="str">
        <f>IFERROR(+VLOOKUP(Movimientos_2026[[#This Row],[Codigo]],Plan_cuentas[],6,FALSE)," ")</f>
        <v>7 - PRtr - Plan Rombo Transf.</v>
      </c>
      <c r="L1754" s="50">
        <v>9751129.2999999989</v>
      </c>
      <c r="M1754" s="50"/>
      <c r="N1754" s="20">
        <f>+Movimientos_2026[[#This Row],[Ingresos]]-Movimientos_2026[[#This Row],[Egresos]]</f>
        <v>9751129.2999999989</v>
      </c>
      <c r="O1754" s="20">
        <f>+O1753+Movimientos_2026[[#This Row],[Neto]]</f>
        <v>3531578664.5968733</v>
      </c>
    </row>
    <row r="1755" spans="1:15" x14ac:dyDescent="0.25">
      <c r="A1755" s="13">
        <v>46174</v>
      </c>
      <c r="B1755" s="12">
        <f>MONTH(Movimientos_2026[[#This Row],[Fecha]])</f>
        <v>6</v>
      </c>
      <c r="C1755" s="12" t="str">
        <f>VLOOKUP((WEEKDAY(Movimientos_2026[[#This Row],[Fecha]],2)),'5. Setup'!$D$6:$E$12,2,FALSE)</f>
        <v>Lun</v>
      </c>
      <c r="D1755">
        <v>1043157</v>
      </c>
      <c r="E1755" t="str">
        <f>IFERROR(+VLOOKUP(Movimientos_2026[[#This Row],[Codigo]],Plan_cuentas[],2,FALSE)," ")</f>
        <v>INGRESOS</v>
      </c>
      <c r="F1755" t="str">
        <f>IFERROR(+VLOOKUP(Movimientos_2026[[#This Row],[Codigo]],Plan_cuentas[],3,FALSE)," ")</f>
        <v>Transferencia</v>
      </c>
      <c r="G1755" t="str">
        <f>IFERROR(+VLOOKUP(Movimientos_2026[[#This Row],[Codigo]],Plan_cuentas[],4,FALSE)," ")</f>
        <v>Registración</v>
      </c>
      <c r="H1755" t="str">
        <f>IFERROR(+VLOOKUP(Movimientos_2026[[#This Row],[Codigo]],Plan_cuentas[],5,FALSE)," ")</f>
        <v>CABA</v>
      </c>
      <c r="I1755" s="43">
        <v>46113</v>
      </c>
      <c r="J1755" t="s">
        <v>777</v>
      </c>
      <c r="K1755" t="str">
        <f>IFERROR(+VLOOKUP(Movimientos_2026[[#This Row],[Codigo]],Plan_cuentas[],6,FALSE)," ")</f>
        <v>7 - PRtr - Plan Rombo Transf.</v>
      </c>
      <c r="L1755" s="50">
        <v>4325</v>
      </c>
      <c r="M1755" s="50"/>
      <c r="N1755" s="20">
        <f>+Movimientos_2026[[#This Row],[Ingresos]]-Movimientos_2026[[#This Row],[Egresos]]</f>
        <v>4325</v>
      </c>
      <c r="O1755" s="20">
        <f>+O1754+Movimientos_2026[[#This Row],[Neto]]</f>
        <v>3531582989.5968733</v>
      </c>
    </row>
    <row r="1756" spans="1:15" x14ac:dyDescent="0.25">
      <c r="A1756" s="13">
        <v>46174</v>
      </c>
      <c r="B1756" s="12">
        <f>MONTH(Movimientos_2026[[#This Row],[Fecha]])</f>
        <v>6</v>
      </c>
      <c r="C1756" s="12" t="str">
        <f>VLOOKUP((WEEKDAY(Movimientos_2026[[#This Row],[Fecha]],2)),'5. Setup'!$D$6:$E$12,2,FALSE)</f>
        <v>Lun</v>
      </c>
      <c r="D1756">
        <v>1044167</v>
      </c>
      <c r="E1756" t="str">
        <f>IFERROR(+VLOOKUP(Movimientos_2026[[#This Row],[Codigo]],Plan_cuentas[],2,FALSE)," ")</f>
        <v>INGRESOS</v>
      </c>
      <c r="F1756" t="str">
        <f>IFERROR(+VLOOKUP(Movimientos_2026[[#This Row],[Codigo]],Plan_cuentas[],3,FALSE)," ")</f>
        <v>Transferencia</v>
      </c>
      <c r="G1756" t="str">
        <f>IFERROR(+VLOOKUP(Movimientos_2026[[#This Row],[Codigo]],Plan_cuentas[],4,FALSE)," ")</f>
        <v>Rentas</v>
      </c>
      <c r="H1756" t="str">
        <f>IFERROR(+VLOOKUP(Movimientos_2026[[#This Row],[Codigo]],Plan_cuentas[],5,FALSE)," ")</f>
        <v>CHACO</v>
      </c>
      <c r="I1756" s="43">
        <v>46113</v>
      </c>
      <c r="J1756" t="s">
        <v>777</v>
      </c>
      <c r="K1756" t="str">
        <f>IFERROR(+VLOOKUP(Movimientos_2026[[#This Row],[Codigo]],Plan_cuentas[],6,FALSE)," ")</f>
        <v>7 - PRtr - Plan Rombo Transf.</v>
      </c>
      <c r="L1756" s="50">
        <v>913078.39</v>
      </c>
      <c r="M1756" s="50"/>
      <c r="N1756" s="20">
        <f>+Movimientos_2026[[#This Row],[Ingresos]]-Movimientos_2026[[#This Row],[Egresos]]</f>
        <v>913078.39</v>
      </c>
      <c r="O1756" s="20">
        <f>+O1755+Movimientos_2026[[#This Row],[Neto]]</f>
        <v>3532496067.9868731</v>
      </c>
    </row>
    <row r="1757" spans="1:15" x14ac:dyDescent="0.25">
      <c r="A1757" s="13">
        <v>46174</v>
      </c>
      <c r="B1757" s="12">
        <f>MONTH(Movimientos_2026[[#This Row],[Fecha]])</f>
        <v>6</v>
      </c>
      <c r="C1757" s="12" t="str">
        <f>VLOOKUP((WEEKDAY(Movimientos_2026[[#This Row],[Fecha]],2)),'5. Setup'!$D$6:$E$12,2,FALSE)</f>
        <v>Lun</v>
      </c>
      <c r="D1757">
        <v>1043177</v>
      </c>
      <c r="E1757" t="str">
        <f>IFERROR(+VLOOKUP(Movimientos_2026[[#This Row],[Codigo]],Plan_cuentas[],2,FALSE)," ")</f>
        <v>INGRESOS</v>
      </c>
      <c r="F1757" t="str">
        <f>IFERROR(+VLOOKUP(Movimientos_2026[[#This Row],[Codigo]],Plan_cuentas[],3,FALSE)," ")</f>
        <v>Transferencia</v>
      </c>
      <c r="G1757" t="str">
        <f>IFERROR(+VLOOKUP(Movimientos_2026[[#This Row],[Codigo]],Plan_cuentas[],4,FALSE)," ")</f>
        <v>Registración</v>
      </c>
      <c r="H1757" t="str">
        <f>IFERROR(+VLOOKUP(Movimientos_2026[[#This Row],[Codigo]],Plan_cuentas[],5,FALSE)," ")</f>
        <v>CHUBUT</v>
      </c>
      <c r="I1757" s="43">
        <v>46113</v>
      </c>
      <c r="J1757" t="s">
        <v>777</v>
      </c>
      <c r="K1757" t="str">
        <f>IFERROR(+VLOOKUP(Movimientos_2026[[#This Row],[Codigo]],Plan_cuentas[],6,FALSE)," ")</f>
        <v>7 - PRtr - Plan Rombo Transf.</v>
      </c>
      <c r="L1757" s="50">
        <v>120000</v>
      </c>
      <c r="M1757" s="50"/>
      <c r="N1757" s="20">
        <f>+Movimientos_2026[[#This Row],[Ingresos]]-Movimientos_2026[[#This Row],[Egresos]]</f>
        <v>120000</v>
      </c>
      <c r="O1757" s="20">
        <f>+O1756+Movimientos_2026[[#This Row],[Neto]]</f>
        <v>3532616067.9868731</v>
      </c>
    </row>
    <row r="1758" spans="1:15" x14ac:dyDescent="0.25">
      <c r="A1758" s="13">
        <v>46174</v>
      </c>
      <c r="B1758" s="12">
        <f>MONTH(Movimientos_2026[[#This Row],[Fecha]])</f>
        <v>6</v>
      </c>
      <c r="C1758" s="12" t="str">
        <f>VLOOKUP((WEEKDAY(Movimientos_2026[[#This Row],[Fecha]],2)),'5. Setup'!$D$6:$E$12,2,FALSE)</f>
        <v>Lun</v>
      </c>
      <c r="D1758">
        <v>1044197</v>
      </c>
      <c r="E1758" t="str">
        <f>IFERROR(+VLOOKUP(Movimientos_2026[[#This Row],[Codigo]],Plan_cuentas[],2,FALSE)," ")</f>
        <v>INGRESOS</v>
      </c>
      <c r="F1758" t="str">
        <f>IFERROR(+VLOOKUP(Movimientos_2026[[#This Row],[Codigo]],Plan_cuentas[],3,FALSE)," ")</f>
        <v>Transferencia</v>
      </c>
      <c r="G1758" t="str">
        <f>IFERROR(+VLOOKUP(Movimientos_2026[[#This Row],[Codigo]],Plan_cuentas[],4,FALSE)," ")</f>
        <v>Rentas</v>
      </c>
      <c r="H1758" t="str">
        <f>IFERROR(+VLOOKUP(Movimientos_2026[[#This Row],[Codigo]],Plan_cuentas[],5,FALSE)," ")</f>
        <v>CORDOBA 2° Q</v>
      </c>
      <c r="I1758" s="43">
        <v>46113</v>
      </c>
      <c r="J1758" t="s">
        <v>777</v>
      </c>
      <c r="K1758" t="str">
        <f>IFERROR(+VLOOKUP(Movimientos_2026[[#This Row],[Codigo]],Plan_cuentas[],6,FALSE)," ")</f>
        <v>7 - PRtr - Plan Rombo Transf.</v>
      </c>
      <c r="L1758" s="50">
        <v>748560</v>
      </c>
      <c r="M1758" s="50"/>
      <c r="N1758" s="20">
        <f>+Movimientos_2026[[#This Row],[Ingresos]]-Movimientos_2026[[#This Row],[Egresos]]</f>
        <v>748560</v>
      </c>
      <c r="O1758" s="20">
        <f>+O1757+Movimientos_2026[[#This Row],[Neto]]</f>
        <v>3533364627.9868731</v>
      </c>
    </row>
    <row r="1759" spans="1:15" x14ac:dyDescent="0.25">
      <c r="A1759" s="13">
        <v>46174</v>
      </c>
      <c r="B1759" s="12">
        <f>MONTH(Movimientos_2026[[#This Row],[Fecha]])</f>
        <v>6</v>
      </c>
      <c r="C1759" s="12" t="str">
        <f>VLOOKUP((WEEKDAY(Movimientos_2026[[#This Row],[Fecha]],2)),'5. Setup'!$D$6:$E$12,2,FALSE)</f>
        <v>Lun</v>
      </c>
      <c r="D1759">
        <v>1043227</v>
      </c>
      <c r="E1759" t="str">
        <f>IFERROR(+VLOOKUP(Movimientos_2026[[#This Row],[Codigo]],Plan_cuentas[],2,FALSE)," ")</f>
        <v>INGRESOS</v>
      </c>
      <c r="F1759" t="str">
        <f>IFERROR(+VLOOKUP(Movimientos_2026[[#This Row],[Codigo]],Plan_cuentas[],3,FALSE)," ")</f>
        <v>Transferencia</v>
      </c>
      <c r="G1759" t="str">
        <f>IFERROR(+VLOOKUP(Movimientos_2026[[#This Row],[Codigo]],Plan_cuentas[],4,FALSE)," ")</f>
        <v>Registración</v>
      </c>
      <c r="H1759" t="str">
        <f>IFERROR(+VLOOKUP(Movimientos_2026[[#This Row],[Codigo]],Plan_cuentas[],5,FALSE)," ")</f>
        <v>ENTRE RIOS 1° Q</v>
      </c>
      <c r="I1759" s="43">
        <v>46113</v>
      </c>
      <c r="J1759" t="s">
        <v>777</v>
      </c>
      <c r="K1759" t="str">
        <f>IFERROR(+VLOOKUP(Movimientos_2026[[#This Row],[Codigo]],Plan_cuentas[],6,FALSE)," ")</f>
        <v>7 - PRtr - Plan Rombo Transf.</v>
      </c>
      <c r="L1759" s="50">
        <v>40000</v>
      </c>
      <c r="M1759" s="50"/>
      <c r="N1759" s="20">
        <f>+Movimientos_2026[[#This Row],[Ingresos]]-Movimientos_2026[[#This Row],[Egresos]]</f>
        <v>40000</v>
      </c>
      <c r="O1759" s="20">
        <f>+O1758+Movimientos_2026[[#This Row],[Neto]]</f>
        <v>3533404627.9868731</v>
      </c>
    </row>
    <row r="1760" spans="1:15" x14ac:dyDescent="0.25">
      <c r="A1760" s="13">
        <v>46174</v>
      </c>
      <c r="B1760" s="12">
        <f>MONTH(Movimientos_2026[[#This Row],[Fecha]])</f>
        <v>6</v>
      </c>
      <c r="C1760" s="12" t="str">
        <f>VLOOKUP((WEEKDAY(Movimientos_2026[[#This Row],[Fecha]],2)),'5. Setup'!$D$6:$E$12,2,FALSE)</f>
        <v>Lun</v>
      </c>
      <c r="D1760">
        <v>1043247</v>
      </c>
      <c r="E1760" t="str">
        <f>IFERROR(+VLOOKUP(Movimientos_2026[[#This Row],[Codigo]],Plan_cuentas[],2,FALSE)," ")</f>
        <v>INGRESOS</v>
      </c>
      <c r="F1760" t="str">
        <f>IFERROR(+VLOOKUP(Movimientos_2026[[#This Row],[Codigo]],Plan_cuentas[],3,FALSE)," ")</f>
        <v>Transferencia</v>
      </c>
      <c r="G1760" t="str">
        <f>IFERROR(+VLOOKUP(Movimientos_2026[[#This Row],[Codigo]],Plan_cuentas[],4,FALSE)," ")</f>
        <v>Registración</v>
      </c>
      <c r="H1760" t="str">
        <f>IFERROR(+VLOOKUP(Movimientos_2026[[#This Row],[Codigo]],Plan_cuentas[],5,FALSE)," ")</f>
        <v>FORMOSA</v>
      </c>
      <c r="I1760" s="43">
        <v>46113</v>
      </c>
      <c r="J1760" t="s">
        <v>777</v>
      </c>
      <c r="K1760" t="str">
        <f>IFERROR(+VLOOKUP(Movimientos_2026[[#This Row],[Codigo]],Plan_cuentas[],6,FALSE)," ")</f>
        <v>7 - PRtr - Plan Rombo Transf.</v>
      </c>
      <c r="L1760" s="50">
        <v>193000</v>
      </c>
      <c r="M1760" s="50"/>
      <c r="N1760" s="20">
        <f>+Movimientos_2026[[#This Row],[Ingresos]]-Movimientos_2026[[#This Row],[Egresos]]</f>
        <v>193000</v>
      </c>
      <c r="O1760" s="20">
        <f>+O1759+Movimientos_2026[[#This Row],[Neto]]</f>
        <v>3533597627.9868731</v>
      </c>
    </row>
    <row r="1761" spans="1:15" x14ac:dyDescent="0.25">
      <c r="A1761" s="13">
        <v>46174</v>
      </c>
      <c r="B1761" s="12">
        <f>MONTH(Movimientos_2026[[#This Row],[Fecha]])</f>
        <v>6</v>
      </c>
      <c r="C1761" s="12" t="str">
        <f>VLOOKUP((WEEKDAY(Movimientos_2026[[#This Row],[Fecha]],2)),'5. Setup'!$D$6:$E$12,2,FALSE)</f>
        <v>Lun</v>
      </c>
      <c r="D1761">
        <v>1043267</v>
      </c>
      <c r="E1761" t="str">
        <f>IFERROR(+VLOOKUP(Movimientos_2026[[#This Row],[Codigo]],Plan_cuentas[],2,FALSE)," ")</f>
        <v>INGRESOS</v>
      </c>
      <c r="F1761" t="str">
        <f>IFERROR(+VLOOKUP(Movimientos_2026[[#This Row],[Codigo]],Plan_cuentas[],3,FALSE)," ")</f>
        <v>Transferencia</v>
      </c>
      <c r="G1761" t="str">
        <f>IFERROR(+VLOOKUP(Movimientos_2026[[#This Row],[Codigo]],Plan_cuentas[],4,FALSE)," ")</f>
        <v>Registración</v>
      </c>
      <c r="H1761" t="str">
        <f>IFERROR(+VLOOKUP(Movimientos_2026[[#This Row],[Codigo]],Plan_cuentas[],5,FALSE)," ")</f>
        <v>LA PAMPA</v>
      </c>
      <c r="I1761" s="43">
        <v>46113</v>
      </c>
      <c r="J1761" t="s">
        <v>777</v>
      </c>
      <c r="K1761" t="str">
        <f>IFERROR(+VLOOKUP(Movimientos_2026[[#This Row],[Codigo]],Plan_cuentas[],6,FALSE)," ")</f>
        <v>7 - PRtr - Plan Rombo Transf.</v>
      </c>
      <c r="L1761" s="50">
        <v>18000</v>
      </c>
      <c r="M1761" s="50"/>
      <c r="N1761" s="20">
        <f>+Movimientos_2026[[#This Row],[Ingresos]]-Movimientos_2026[[#This Row],[Egresos]]</f>
        <v>18000</v>
      </c>
      <c r="O1761" s="20">
        <f>+O1760+Movimientos_2026[[#This Row],[Neto]]</f>
        <v>3533615627.9868731</v>
      </c>
    </row>
    <row r="1762" spans="1:15" x14ac:dyDescent="0.25">
      <c r="A1762" s="13">
        <v>46174</v>
      </c>
      <c r="B1762" s="12">
        <f>MONTH(Movimientos_2026[[#This Row],[Fecha]])</f>
        <v>6</v>
      </c>
      <c r="C1762" s="12" t="str">
        <f>VLOOKUP((WEEKDAY(Movimientos_2026[[#This Row],[Fecha]],2)),'5. Setup'!$D$6:$E$12,2,FALSE)</f>
        <v>Lun</v>
      </c>
      <c r="D1762">
        <v>1043377</v>
      </c>
      <c r="E1762" t="str">
        <f>IFERROR(+VLOOKUP(Movimientos_2026[[#This Row],[Codigo]],Plan_cuentas[],2,FALSE)," ")</f>
        <v>INGRESOS</v>
      </c>
      <c r="F1762" t="str">
        <f>IFERROR(+VLOOKUP(Movimientos_2026[[#This Row],[Codigo]],Plan_cuentas[],3,FALSE)," ")</f>
        <v>Transferencia</v>
      </c>
      <c r="G1762" t="str">
        <f>IFERROR(+VLOOKUP(Movimientos_2026[[#This Row],[Codigo]],Plan_cuentas[],4,FALSE)," ")</f>
        <v>Registración</v>
      </c>
      <c r="H1762" t="str">
        <f>IFERROR(+VLOOKUP(Movimientos_2026[[#This Row],[Codigo]],Plan_cuentas[],5,FALSE)," ")</f>
        <v>SANTA CRUZ</v>
      </c>
      <c r="I1762" s="43">
        <v>46113</v>
      </c>
      <c r="J1762" t="s">
        <v>777</v>
      </c>
      <c r="K1762" t="str">
        <f>IFERROR(+VLOOKUP(Movimientos_2026[[#This Row],[Codigo]],Plan_cuentas[],6,FALSE)," ")</f>
        <v>7 - PRtr - Plan Rombo Transf.</v>
      </c>
      <c r="L1762" s="50">
        <v>2800</v>
      </c>
      <c r="M1762" s="50"/>
      <c r="N1762" s="20">
        <f>+Movimientos_2026[[#This Row],[Ingresos]]-Movimientos_2026[[#This Row],[Egresos]]</f>
        <v>2800</v>
      </c>
      <c r="O1762" s="20">
        <f>+O1761+Movimientos_2026[[#This Row],[Neto]]</f>
        <v>3533618427.9868731</v>
      </c>
    </row>
    <row r="1763" spans="1:15" x14ac:dyDescent="0.25">
      <c r="A1763" s="13">
        <v>46174</v>
      </c>
      <c r="B1763" s="12">
        <f>MONTH(Movimientos_2026[[#This Row],[Fecha]])</f>
        <v>6</v>
      </c>
      <c r="C1763" s="12" t="str">
        <f>VLOOKUP((WEEKDAY(Movimientos_2026[[#This Row],[Fecha]],2)),'5. Setup'!$D$6:$E$12,2,FALSE)</f>
        <v>Lun</v>
      </c>
      <c r="D1763">
        <v>1043387</v>
      </c>
      <c r="E1763" t="str">
        <f>IFERROR(+VLOOKUP(Movimientos_2026[[#This Row],[Codigo]],Plan_cuentas[],2,FALSE)," ")</f>
        <v>INGRESOS</v>
      </c>
      <c r="F1763" t="str">
        <f>IFERROR(+VLOOKUP(Movimientos_2026[[#This Row],[Codigo]],Plan_cuentas[],3,FALSE)," ")</f>
        <v>Transferencia</v>
      </c>
      <c r="G1763" t="str">
        <f>IFERROR(+VLOOKUP(Movimientos_2026[[#This Row],[Codigo]],Plan_cuentas[],4,FALSE)," ")</f>
        <v>Registración</v>
      </c>
      <c r="H1763" t="str">
        <f>IFERROR(+VLOOKUP(Movimientos_2026[[#This Row],[Codigo]],Plan_cuentas[],5,FALSE)," ")</f>
        <v>SANTA FE 1° Q</v>
      </c>
      <c r="I1763" s="43">
        <v>46113</v>
      </c>
      <c r="J1763" t="s">
        <v>777</v>
      </c>
      <c r="K1763" t="str">
        <f>IFERROR(+VLOOKUP(Movimientos_2026[[#This Row],[Codigo]],Plan_cuentas[],6,FALSE)," ")</f>
        <v>7 - PRtr - Plan Rombo Transf.</v>
      </c>
      <c r="L1763" s="50">
        <v>96575</v>
      </c>
      <c r="M1763" s="50"/>
      <c r="N1763" s="20">
        <f>+Movimientos_2026[[#This Row],[Ingresos]]-Movimientos_2026[[#This Row],[Egresos]]</f>
        <v>96575</v>
      </c>
      <c r="O1763" s="20">
        <f>+O1762+Movimientos_2026[[#This Row],[Neto]]</f>
        <v>3533715002.9868731</v>
      </c>
    </row>
    <row r="1764" spans="1:15" x14ac:dyDescent="0.25">
      <c r="A1764" s="13">
        <v>46174</v>
      </c>
      <c r="B1764" s="12">
        <f>MONTH(Movimientos_2026[[#This Row],[Fecha]])</f>
        <v>6</v>
      </c>
      <c r="C1764" s="12" t="str">
        <f>VLOOKUP((WEEKDAY(Movimientos_2026[[#This Row],[Fecha]],2)),'5. Setup'!$D$6:$E$12,2,FALSE)</f>
        <v>Lun</v>
      </c>
      <c r="D1764">
        <v>1044417</v>
      </c>
      <c r="E1764" t="str">
        <f>IFERROR(+VLOOKUP(Movimientos_2026[[#This Row],[Codigo]],Plan_cuentas[],2,FALSE)," ")</f>
        <v>INGRESOS</v>
      </c>
      <c r="F1764" t="str">
        <f>IFERROR(+VLOOKUP(Movimientos_2026[[#This Row],[Codigo]],Plan_cuentas[],3,FALSE)," ")</f>
        <v>Transferencia</v>
      </c>
      <c r="G1764" t="str">
        <f>IFERROR(+VLOOKUP(Movimientos_2026[[#This Row],[Codigo]],Plan_cuentas[],4,FALSE)," ")</f>
        <v>Rentas</v>
      </c>
      <c r="H1764" t="str">
        <f>IFERROR(+VLOOKUP(Movimientos_2026[[#This Row],[Codigo]],Plan_cuentas[],5,FALSE)," ")</f>
        <v>TIERRA DEL FUEGO</v>
      </c>
      <c r="I1764" s="43">
        <v>46113</v>
      </c>
      <c r="J1764" t="s">
        <v>777</v>
      </c>
      <c r="K1764" t="str">
        <f>IFERROR(+VLOOKUP(Movimientos_2026[[#This Row],[Codigo]],Plan_cuentas[],6,FALSE)," ")</f>
        <v>7 - PRtr - Plan Rombo Transf.</v>
      </c>
      <c r="L1764" s="50">
        <v>40000</v>
      </c>
      <c r="M1764" s="50"/>
      <c r="N1764" s="20">
        <f>+Movimientos_2026[[#This Row],[Ingresos]]-Movimientos_2026[[#This Row],[Egresos]]</f>
        <v>40000</v>
      </c>
      <c r="O1764" s="20">
        <f>+O1763+Movimientos_2026[[#This Row],[Neto]]</f>
        <v>3533755002.9868731</v>
      </c>
    </row>
    <row r="1765" spans="1:15" x14ac:dyDescent="0.25">
      <c r="A1765" s="13">
        <v>46174</v>
      </c>
      <c r="B1765" s="12">
        <f>MONTH(Movimientos_2026[[#This Row],[Fecha]])</f>
        <v>6</v>
      </c>
      <c r="C1765" s="12" t="str">
        <f>VLOOKUP((WEEKDAY(Movimientos_2026[[#This Row],[Fecha]],2)),'5. Setup'!$D$6:$E$12,2,FALSE)</f>
        <v>Lun</v>
      </c>
      <c r="D1765">
        <v>1044427</v>
      </c>
      <c r="E1765" t="str">
        <f>IFERROR(+VLOOKUP(Movimientos_2026[[#This Row],[Codigo]],Plan_cuentas[],2,FALSE)," ")</f>
        <v>INGRESOS</v>
      </c>
      <c r="F1765" t="str">
        <f>IFERROR(+VLOOKUP(Movimientos_2026[[#This Row],[Codigo]],Plan_cuentas[],3,FALSE)," ")</f>
        <v>Transferencia</v>
      </c>
      <c r="G1765" t="str">
        <f>IFERROR(+VLOOKUP(Movimientos_2026[[#This Row],[Codigo]],Plan_cuentas[],4,FALSE)," ")</f>
        <v>Rentas</v>
      </c>
      <c r="H1765" t="str">
        <f>IFERROR(+VLOOKUP(Movimientos_2026[[#This Row],[Codigo]],Plan_cuentas[],5,FALSE)," ")</f>
        <v>TUCUMAN</v>
      </c>
      <c r="I1765" s="43">
        <v>46113</v>
      </c>
      <c r="J1765" t="s">
        <v>777</v>
      </c>
      <c r="K1765" t="str">
        <f>IFERROR(+VLOOKUP(Movimientos_2026[[#This Row],[Codigo]],Plan_cuentas[],6,FALSE)," ")</f>
        <v>7 - PRtr - Plan Rombo Transf.</v>
      </c>
      <c r="L1765" s="50">
        <v>110</v>
      </c>
      <c r="M1765" s="50"/>
      <c r="N1765" s="20">
        <f>+Movimientos_2026[[#This Row],[Ingresos]]-Movimientos_2026[[#This Row],[Egresos]]</f>
        <v>110</v>
      </c>
      <c r="O1765" s="20">
        <f>+O1764+Movimientos_2026[[#This Row],[Neto]]</f>
        <v>3533755112.9868731</v>
      </c>
    </row>
    <row r="1766" spans="1:15" x14ac:dyDescent="0.25">
      <c r="A1766" s="13">
        <v>46174</v>
      </c>
      <c r="B1766" s="12">
        <f>MONTH(Movimientos_2026[[#This Row],[Fecha]])</f>
        <v>6</v>
      </c>
      <c r="C1766" s="12" t="str">
        <f>VLOOKUP((WEEKDAY(Movimientos_2026[[#This Row],[Fecha]],2)),'5. Setup'!$D$6:$E$12,2,FALSE)</f>
        <v>Lun</v>
      </c>
      <c r="D1766">
        <v>1045477</v>
      </c>
      <c r="E1766" t="str">
        <f>IFERROR(+VLOOKUP(Movimientos_2026[[#This Row],[Codigo]],Plan_cuentas[],2,FALSE)," ")</f>
        <v>INGRESOS</v>
      </c>
      <c r="F1766" t="str">
        <f>IFERROR(+VLOOKUP(Movimientos_2026[[#This Row],[Codigo]],Plan_cuentas[],3,FALSE)," ")</f>
        <v>Transferencia</v>
      </c>
      <c r="G1766" t="str">
        <f>IFERROR(+VLOOKUP(Movimientos_2026[[#This Row],[Codigo]],Plan_cuentas[],4,FALSE)," ")</f>
        <v>Factura</v>
      </c>
      <c r="H1766" t="str">
        <f>IFERROR(+VLOOKUP(Movimientos_2026[[#This Row],[Codigo]],Plan_cuentas[],5,FALSE)," ")</f>
        <v>FC HONORARIOS</v>
      </c>
      <c r="I1766" s="43">
        <v>46113</v>
      </c>
      <c r="J1766" s="53" t="s">
        <v>778</v>
      </c>
      <c r="K1766" t="str">
        <f>IFERROR(+VLOOKUP(Movimientos_2026[[#This Row],[Codigo]],Plan_cuentas[],6,FALSE)," ")</f>
        <v>7 - PRtr - Plan Rombo Transf.</v>
      </c>
      <c r="L1766" s="50">
        <v>12780340.9</v>
      </c>
      <c r="M1766" s="50"/>
      <c r="N1766" s="20">
        <f>+Movimientos_2026[[#This Row],[Ingresos]]-Movimientos_2026[[#This Row],[Egresos]]</f>
        <v>12780340.9</v>
      </c>
      <c r="O1766" s="20">
        <f>+O1765+Movimientos_2026[[#This Row],[Neto]]</f>
        <v>3546535453.8868732</v>
      </c>
    </row>
    <row r="1767" spans="1:15" x14ac:dyDescent="0.25">
      <c r="A1767" s="13">
        <v>46174</v>
      </c>
      <c r="B1767" s="12">
        <f>MONTH(Movimientos_2026[[#This Row],[Fecha]])</f>
        <v>6</v>
      </c>
      <c r="C1767" s="12" t="str">
        <f>VLOOKUP((WEEKDAY(Movimientos_2026[[#This Row],[Fecha]],2)),'5. Setup'!$D$6:$E$12,2,FALSE)</f>
        <v>Lun</v>
      </c>
      <c r="D1767">
        <v>1044312</v>
      </c>
      <c r="E1767" t="str">
        <f>IFERROR(+VLOOKUP(Movimientos_2026[[#This Row],[Codigo]],Plan_cuentas[],2,FALSE)," ")</f>
        <v>INGRESOS</v>
      </c>
      <c r="F1767" t="str">
        <f>IFERROR(+VLOOKUP(Movimientos_2026[[#This Row],[Codigo]],Plan_cuentas[],3,FALSE)," ")</f>
        <v>Transferencia</v>
      </c>
      <c r="G1767" t="str">
        <f>IFERROR(+VLOOKUP(Movimientos_2026[[#This Row],[Codigo]],Plan_cuentas[],4,FALSE)," ")</f>
        <v>Rentas</v>
      </c>
      <c r="H1767" t="str">
        <f>IFERROR(+VLOOKUP(Movimientos_2026[[#This Row],[Codigo]],Plan_cuentas[],5,FALSE)," ")</f>
        <v>NEUQUEN 1° Q</v>
      </c>
      <c r="I1767" s="43">
        <v>46143</v>
      </c>
      <c r="J1767" t="s">
        <v>775</v>
      </c>
      <c r="K1767" t="str">
        <f>IFERROR(+VLOOKUP(Movimientos_2026[[#This Row],[Codigo]],Plan_cuentas[],6,FALSE)," ")</f>
        <v>2 - PR - Plan Rombo</v>
      </c>
      <c r="L1767" s="50">
        <v>15645100</v>
      </c>
      <c r="M1767" s="50"/>
      <c r="N1767" s="20">
        <f>+Movimientos_2026[[#This Row],[Ingresos]]-Movimientos_2026[[#This Row],[Egresos]]</f>
        <v>15645100</v>
      </c>
      <c r="O1767" s="20">
        <f>+O1766+Movimientos_2026[[#This Row],[Neto]]</f>
        <v>3562180553.8868732</v>
      </c>
    </row>
    <row r="1768" spans="1:15" x14ac:dyDescent="0.25">
      <c r="A1768" s="13">
        <v>46174</v>
      </c>
      <c r="B1768" s="12">
        <f>MONTH(Movimientos_2026[[#This Row],[Fecha]])</f>
        <v>6</v>
      </c>
      <c r="C1768" s="12" t="str">
        <f>VLOOKUP((WEEKDAY(Movimientos_2026[[#This Row],[Fecha]],2)),'5. Setup'!$D$6:$E$12,2,FALSE)</f>
        <v>Lun</v>
      </c>
      <c r="D1768">
        <v>1044202</v>
      </c>
      <c r="E1768" t="str">
        <f>IFERROR(+VLOOKUP(Movimientos_2026[[#This Row],[Codigo]],Plan_cuentas[],2,FALSE)," ")</f>
        <v>INGRESOS</v>
      </c>
      <c r="F1768" t="str">
        <f>IFERROR(+VLOOKUP(Movimientos_2026[[#This Row],[Codigo]],Plan_cuentas[],3,FALSE)," ")</f>
        <v>Transferencia</v>
      </c>
      <c r="G1768" t="str">
        <f>IFERROR(+VLOOKUP(Movimientos_2026[[#This Row],[Codigo]],Plan_cuentas[],4,FALSE)," ")</f>
        <v>Rentas</v>
      </c>
      <c r="H1768" t="str">
        <f>IFERROR(+VLOOKUP(Movimientos_2026[[#This Row],[Codigo]],Plan_cuentas[],5,FALSE)," ")</f>
        <v>CORRIENTES 1° Q</v>
      </c>
      <c r="I1768" s="43">
        <v>46143</v>
      </c>
      <c r="J1768" t="s">
        <v>775</v>
      </c>
      <c r="K1768" t="str">
        <f>IFERROR(+VLOOKUP(Movimientos_2026[[#This Row],[Codigo]],Plan_cuentas[],6,FALSE)," ")</f>
        <v>2 - PR - Plan Rombo</v>
      </c>
      <c r="L1768" s="50">
        <v>27590289.25</v>
      </c>
      <c r="M1768" s="50"/>
      <c r="N1768" s="20">
        <f>+Movimientos_2026[[#This Row],[Ingresos]]-Movimientos_2026[[#This Row],[Egresos]]</f>
        <v>27590289.25</v>
      </c>
      <c r="O1768" s="20">
        <f>+O1767+Movimientos_2026[[#This Row],[Neto]]</f>
        <v>3589770843.1368732</v>
      </c>
    </row>
    <row r="1769" spans="1:15" x14ac:dyDescent="0.25">
      <c r="A1769" s="13">
        <v>46174</v>
      </c>
      <c r="B1769" s="12">
        <f>MONTH(Movimientos_2026[[#This Row],[Fecha]])</f>
        <v>6</v>
      </c>
      <c r="C1769" s="12" t="str">
        <f>VLOOKUP((WEEKDAY(Movimientos_2026[[#This Row],[Fecha]],2)),'5. Setup'!$D$6:$E$12,2,FALSE)</f>
        <v>Lun</v>
      </c>
      <c r="D1769">
        <v>1044462</v>
      </c>
      <c r="E1769" t="str">
        <f>IFERROR(+VLOOKUP(Movimientos_2026[[#This Row],[Codigo]],Plan_cuentas[],2,FALSE)," ")</f>
        <v>INGRESOS</v>
      </c>
      <c r="F1769" t="str">
        <f>IFERROR(+VLOOKUP(Movimientos_2026[[#This Row],[Codigo]],Plan_cuentas[],3,FALSE)," ")</f>
        <v>Transferencia</v>
      </c>
      <c r="G1769" t="str">
        <f>IFERROR(+VLOOKUP(Movimientos_2026[[#This Row],[Codigo]],Plan_cuentas[],4,FALSE)," ")</f>
        <v>Rentas</v>
      </c>
      <c r="H1769" t="str">
        <f>IFERROR(+VLOOKUP(Movimientos_2026[[#This Row],[Codigo]],Plan_cuentas[],5,FALSE)," ")</f>
        <v>MISIONES</v>
      </c>
      <c r="I1769" s="43">
        <v>46143</v>
      </c>
      <c r="J1769" t="s">
        <v>775</v>
      </c>
      <c r="K1769" t="str">
        <f>IFERROR(+VLOOKUP(Movimientos_2026[[#This Row],[Codigo]],Plan_cuentas[],6,FALSE)," ")</f>
        <v>2 - PR - Plan Rombo</v>
      </c>
      <c r="L1769" s="50">
        <v>2341874.77</v>
      </c>
      <c r="M1769" s="50"/>
      <c r="N1769" s="20">
        <f>+Movimientos_2026[[#This Row],[Ingresos]]-Movimientos_2026[[#This Row],[Egresos]]</f>
        <v>2341874.77</v>
      </c>
      <c r="O1769" s="20">
        <f>+O1768+Movimientos_2026[[#This Row],[Neto]]</f>
        <v>3592112717.9068732</v>
      </c>
    </row>
    <row r="1770" spans="1:15" x14ac:dyDescent="0.25">
      <c r="A1770" s="13">
        <v>46174</v>
      </c>
      <c r="B1770" s="12">
        <f>MONTH(Movimientos_2026[[#This Row],[Fecha]])</f>
        <v>6</v>
      </c>
      <c r="C1770" s="12" t="str">
        <f>VLOOKUP((WEEKDAY(Movimientos_2026[[#This Row],[Fecha]],2)),'5. Setup'!$D$6:$E$12,2,FALSE)</f>
        <v>Lun</v>
      </c>
      <c r="D1770">
        <v>1044122</v>
      </c>
      <c r="E1770" t="str">
        <f>IFERROR(+VLOOKUP(Movimientos_2026[[#This Row],[Codigo]],Plan_cuentas[],2,FALSE)," ")</f>
        <v>INGRESOS</v>
      </c>
      <c r="F1770" t="str">
        <f>IFERROR(+VLOOKUP(Movimientos_2026[[#This Row],[Codigo]],Plan_cuentas[],3,FALSE)," ")</f>
        <v>Transferencia</v>
      </c>
      <c r="G1770" t="str">
        <f>IFERROR(+VLOOKUP(Movimientos_2026[[#This Row],[Codigo]],Plan_cuentas[],4,FALSE)," ")</f>
        <v>Rentas</v>
      </c>
      <c r="H1770" t="str">
        <f>IFERROR(+VLOOKUP(Movimientos_2026[[#This Row],[Codigo]],Plan_cuentas[],5,FALSE)," ")</f>
        <v>BAPRO</v>
      </c>
      <c r="I1770" s="43">
        <v>46082</v>
      </c>
      <c r="J1770" t="s">
        <v>775</v>
      </c>
      <c r="K1770" t="str">
        <f>IFERROR(+VLOOKUP(Movimientos_2026[[#This Row],[Codigo]],Plan_cuentas[],6,FALSE)," ")</f>
        <v>2 - PR - Plan Rombo</v>
      </c>
      <c r="L1770" s="50">
        <v>126357815</v>
      </c>
      <c r="M1770" s="50"/>
      <c r="N1770" s="20">
        <f>+Movimientos_2026[[#This Row],[Ingresos]]-Movimientos_2026[[#This Row],[Egresos]]</f>
        <v>126357815</v>
      </c>
      <c r="O1770" s="20">
        <f>+O1769+Movimientos_2026[[#This Row],[Neto]]</f>
        <v>3718470532.9068732</v>
      </c>
    </row>
    <row r="1771" spans="1:15" x14ac:dyDescent="0.25">
      <c r="A1771" s="13">
        <v>46174</v>
      </c>
      <c r="B1771" s="12">
        <f>MONTH(Movimientos_2026[[#This Row],[Fecha]])</f>
        <v>6</v>
      </c>
      <c r="C1771" s="12" t="str">
        <f>VLOOKUP((WEEKDAY(Movimientos_2026[[#This Row],[Fecha]],2)),'5. Setup'!$D$6:$E$12,2,FALSE)</f>
        <v>Lun</v>
      </c>
      <c r="D1771">
        <v>1044482</v>
      </c>
      <c r="E1771" t="str">
        <f>IFERROR(+VLOOKUP(Movimientos_2026[[#This Row],[Codigo]],Plan_cuentas[],2,FALSE)," ")</f>
        <v>INGRESOS</v>
      </c>
      <c r="F1771" t="str">
        <f>IFERROR(+VLOOKUP(Movimientos_2026[[#This Row],[Codigo]],Plan_cuentas[],3,FALSE)," ")</f>
        <v>Transferencia</v>
      </c>
      <c r="G1771" t="str">
        <f>IFERROR(+VLOOKUP(Movimientos_2026[[#This Row],[Codigo]],Plan_cuentas[],4,FALSE)," ")</f>
        <v>Factura</v>
      </c>
      <c r="H1771" t="str">
        <f>IFERROR(+VLOOKUP(Movimientos_2026[[#This Row],[Codigo]],Plan_cuentas[],5,FALSE)," ")</f>
        <v>FC TRAMITACION</v>
      </c>
      <c r="I1771" s="43">
        <v>46082</v>
      </c>
      <c r="J1771" t="s">
        <v>779</v>
      </c>
      <c r="K1771" t="str">
        <f>IFERROR(+VLOOKUP(Movimientos_2026[[#This Row],[Codigo]],Plan_cuentas[],6,FALSE)," ")</f>
        <v>2 - PR - Plan Rombo</v>
      </c>
      <c r="L1771" s="50">
        <v>11473268.550000001</v>
      </c>
      <c r="M1771" s="50"/>
      <c r="N1771" s="20">
        <f>+Movimientos_2026[[#This Row],[Ingresos]]-Movimientos_2026[[#This Row],[Egresos]]</f>
        <v>11473268.550000001</v>
      </c>
      <c r="O1771" s="20">
        <f>+O1770+Movimientos_2026[[#This Row],[Neto]]</f>
        <v>3729943801.4568734</v>
      </c>
    </row>
    <row r="1772" spans="1:15" x14ac:dyDescent="0.25">
      <c r="A1772" s="13">
        <v>46174</v>
      </c>
      <c r="B1772" s="12">
        <f>MONTH(Movimientos_2026[[#This Row],[Fecha]])</f>
        <v>6</v>
      </c>
      <c r="C1772" s="12" t="str">
        <f>VLOOKUP((WEEKDAY(Movimientos_2026[[#This Row],[Fecha]],2)),'5. Setup'!$D$6:$E$12,2,FALSE)</f>
        <v>Lun</v>
      </c>
      <c r="D1772">
        <v>1043142</v>
      </c>
      <c r="E1772" t="str">
        <f>IFERROR(+VLOOKUP(Movimientos_2026[[#This Row],[Codigo]],Plan_cuentas[],2,FALSE)," ")</f>
        <v>INGRESOS</v>
      </c>
      <c r="F1772" t="str">
        <f>IFERROR(+VLOOKUP(Movimientos_2026[[#This Row],[Codigo]],Plan_cuentas[],3,FALSE)," ")</f>
        <v>Transferencia</v>
      </c>
      <c r="G1772" t="str">
        <f>IFERROR(+VLOOKUP(Movimientos_2026[[#This Row],[Codigo]],Plan_cuentas[],4,FALSE)," ")</f>
        <v>Registración</v>
      </c>
      <c r="H1772" t="str">
        <f>IFERROR(+VLOOKUP(Movimientos_2026[[#This Row],[Codigo]],Plan_cuentas[],5,FALSE)," ")</f>
        <v>BUENOS AIRES</v>
      </c>
      <c r="I1772" s="43">
        <v>46113</v>
      </c>
      <c r="J1772" t="s">
        <v>775</v>
      </c>
      <c r="K1772" t="str">
        <f>IFERROR(+VLOOKUP(Movimientos_2026[[#This Row],[Codigo]],Plan_cuentas[],6,FALSE)," ")</f>
        <v>2 - PR - Plan Rombo</v>
      </c>
      <c r="L1772" s="50">
        <v>268756834</v>
      </c>
      <c r="M1772" s="50"/>
      <c r="N1772" s="20">
        <f>+Movimientos_2026[[#This Row],[Ingresos]]-Movimientos_2026[[#This Row],[Egresos]]</f>
        <v>268756834</v>
      </c>
      <c r="O1772" s="20">
        <f>+O1771+Movimientos_2026[[#This Row],[Neto]]</f>
        <v>3998700635.4568734</v>
      </c>
    </row>
    <row r="1773" spans="1:15" x14ac:dyDescent="0.25">
      <c r="A1773" s="13">
        <v>46174</v>
      </c>
      <c r="B1773" s="12">
        <f>MONTH(Movimientos_2026[[#This Row],[Fecha]])</f>
        <v>6</v>
      </c>
      <c r="C1773" s="12" t="str">
        <f>VLOOKUP((WEEKDAY(Movimientos_2026[[#This Row],[Fecha]],2)),'5. Setup'!$D$6:$E$12,2,FALSE)</f>
        <v>Lun</v>
      </c>
      <c r="D1773">
        <v>1045452</v>
      </c>
      <c r="E1773" t="str">
        <f>IFERROR(+VLOOKUP(Movimientos_2026[[#This Row],[Codigo]],Plan_cuentas[],2,FALSE)," ")</f>
        <v>INGRESOS</v>
      </c>
      <c r="F1773" t="str">
        <f>IFERROR(+VLOOKUP(Movimientos_2026[[#This Row],[Codigo]],Plan_cuentas[],3,FALSE)," ")</f>
        <v>Transferencia</v>
      </c>
      <c r="G1773" t="str">
        <f>IFERROR(+VLOOKUP(Movimientos_2026[[#This Row],[Codigo]],Plan_cuentas[],4,FALSE)," ")</f>
        <v>Factura</v>
      </c>
      <c r="H1773" t="str">
        <f>IFERROR(+VLOOKUP(Movimientos_2026[[#This Row],[Codigo]],Plan_cuentas[],5,FALSE)," ")</f>
        <v>FC DERECHOS</v>
      </c>
      <c r="I1773" s="43">
        <v>46113</v>
      </c>
      <c r="J1773" t="s">
        <v>780</v>
      </c>
      <c r="K1773" t="str">
        <f>IFERROR(+VLOOKUP(Movimientos_2026[[#This Row],[Codigo]],Plan_cuentas[],6,FALSE)," ")</f>
        <v>2 - PR - Plan Rombo</v>
      </c>
      <c r="L1773" s="50">
        <v>47147627.579999998</v>
      </c>
      <c r="M1773" s="50"/>
      <c r="N1773" s="20">
        <f>+Movimientos_2026[[#This Row],[Ingresos]]-Movimientos_2026[[#This Row],[Egresos]]</f>
        <v>47147627.579999998</v>
      </c>
      <c r="O1773" s="20">
        <f>+O1772+Movimientos_2026[[#This Row],[Neto]]</f>
        <v>4045848263.0368733</v>
      </c>
    </row>
    <row r="1774" spans="1:15" x14ac:dyDescent="0.25">
      <c r="A1774" s="13">
        <v>46175</v>
      </c>
      <c r="B1774" s="12">
        <f>MONTH(Movimientos_2026[[#This Row],[Fecha]])</f>
        <v>6</v>
      </c>
      <c r="C1774" s="12" t="str">
        <f>VLOOKUP((WEEKDAY(Movimientos_2026[[#This Row],[Fecha]],2)),'5. Setup'!$D$6:$E$12,2,FALSE)</f>
        <v>Mar</v>
      </c>
      <c r="D1774">
        <v>2044122</v>
      </c>
      <c r="E1774" t="str">
        <f>IFERROR(+VLOOKUP(Movimientos_2026[[#This Row],[Codigo]],Plan_cuentas[],2,FALSE)," ")</f>
        <v>EGRESOS</v>
      </c>
      <c r="F1774" t="str">
        <f>IFERROR(+VLOOKUP(Movimientos_2026[[#This Row],[Codigo]],Plan_cuentas[],3,FALSE)," ")</f>
        <v>Transferencia</v>
      </c>
      <c r="G1774" t="str">
        <f>IFERROR(+VLOOKUP(Movimientos_2026[[#This Row],[Codigo]],Plan_cuentas[],4,FALSE)," ")</f>
        <v>Rentas</v>
      </c>
      <c r="H1774" t="str">
        <f>IFERROR(+VLOOKUP(Movimientos_2026[[#This Row],[Codigo]],Plan_cuentas[],5,FALSE)," ")</f>
        <v>BAPRO</v>
      </c>
      <c r="I1774" s="43">
        <v>46082</v>
      </c>
      <c r="J1774" t="s">
        <v>781</v>
      </c>
      <c r="K1774" t="str">
        <f>IFERROR(+VLOOKUP(Movimientos_2026[[#This Row],[Codigo]],Plan_cuentas[],6,FALSE)," ")</f>
        <v>2 - PR - Plan Rombo</v>
      </c>
      <c r="L1774" s="50"/>
      <c r="M1774" s="50">
        <v>16218329.699999999</v>
      </c>
      <c r="N1774" s="20">
        <f>+Movimientos_2026[[#This Row],[Ingresos]]-Movimientos_2026[[#This Row],[Egresos]]</f>
        <v>-16218329.699999999</v>
      </c>
      <c r="O1774" s="20">
        <f>+O1773+Movimientos_2026[[#This Row],[Neto]]</f>
        <v>4029629933.3368735</v>
      </c>
    </row>
    <row r="1775" spans="1:15" x14ac:dyDescent="0.25">
      <c r="A1775" s="13">
        <v>46175</v>
      </c>
      <c r="B1775" s="12">
        <f>MONTH(Movimientos_2026[[#This Row],[Fecha]])</f>
        <v>6</v>
      </c>
      <c r="C1775" s="12" t="str">
        <f>VLOOKUP((WEEKDAY(Movimientos_2026[[#This Row],[Fecha]],2)),'5. Setup'!$D$6:$E$12,2,FALSE)</f>
        <v>Mar</v>
      </c>
      <c r="D1775">
        <v>2044122</v>
      </c>
      <c r="E1775" t="str">
        <f>IFERROR(+VLOOKUP(Movimientos_2026[[#This Row],[Codigo]],Plan_cuentas[],2,FALSE)," ")</f>
        <v>EGRESOS</v>
      </c>
      <c r="F1775" t="str">
        <f>IFERROR(+VLOOKUP(Movimientos_2026[[#This Row],[Codigo]],Plan_cuentas[],3,FALSE)," ")</f>
        <v>Transferencia</v>
      </c>
      <c r="G1775" t="str">
        <f>IFERROR(+VLOOKUP(Movimientos_2026[[#This Row],[Codigo]],Plan_cuentas[],4,FALSE)," ")</f>
        <v>Rentas</v>
      </c>
      <c r="H1775" t="str">
        <f>IFERROR(+VLOOKUP(Movimientos_2026[[#This Row],[Codigo]],Plan_cuentas[],5,FALSE)," ")</f>
        <v>BAPRO</v>
      </c>
      <c r="I1775" s="43">
        <v>46082</v>
      </c>
      <c r="J1775" t="s">
        <v>782</v>
      </c>
      <c r="K1775" t="str">
        <f>IFERROR(+VLOOKUP(Movimientos_2026[[#This Row],[Codigo]],Plan_cuentas[],6,FALSE)," ")</f>
        <v>2 - PR - Plan Rombo</v>
      </c>
      <c r="L1775" s="50"/>
      <c r="M1775" s="50">
        <v>14443940.800000001</v>
      </c>
      <c r="N1775" s="20">
        <f>+Movimientos_2026[[#This Row],[Ingresos]]-Movimientos_2026[[#This Row],[Egresos]]</f>
        <v>-14443940.800000001</v>
      </c>
      <c r="O1775" s="20">
        <f>+O1774+Movimientos_2026[[#This Row],[Neto]]</f>
        <v>4015185992.5368733</v>
      </c>
    </row>
    <row r="1776" spans="1:15" x14ac:dyDescent="0.25">
      <c r="A1776" s="13">
        <v>46176</v>
      </c>
      <c r="B1776" s="12">
        <f>MONTH(Movimientos_2026[[#This Row],[Fecha]])</f>
        <v>6</v>
      </c>
      <c r="C1776" s="12" t="str">
        <f>VLOOKUP((WEEKDAY(Movimientos_2026[[#This Row],[Fecha]],2)),'5. Setup'!$D$6:$E$12,2,FALSE)</f>
        <v>Mie</v>
      </c>
      <c r="D1776">
        <v>2044461</v>
      </c>
      <c r="E1776" t="str">
        <f>IFERROR(+VLOOKUP(Movimientos_2026[[#This Row],[Codigo]],Plan_cuentas[],2,FALSE)," ")</f>
        <v>EGRESOS</v>
      </c>
      <c r="F1776" t="str">
        <f>IFERROR(+VLOOKUP(Movimientos_2026[[#This Row],[Codigo]],Plan_cuentas[],3,FALSE)," ")</f>
        <v>Transferencia</v>
      </c>
      <c r="G1776" t="str">
        <f>IFERROR(+VLOOKUP(Movimientos_2026[[#This Row],[Codigo]],Plan_cuentas[],4,FALSE)," ")</f>
        <v>Rentas</v>
      </c>
      <c r="H1776" t="str">
        <f>IFERROR(+VLOOKUP(Movimientos_2026[[#This Row],[Codigo]],Plan_cuentas[],5,FALSE)," ")</f>
        <v>MISIONES</v>
      </c>
      <c r="I1776" s="43">
        <v>46143</v>
      </c>
      <c r="J1776" t="s">
        <v>783</v>
      </c>
      <c r="K1776" t="str">
        <f>IFERROR(+VLOOKUP(Movimientos_2026[[#This Row],[Codigo]],Plan_cuentas[],6,FALSE)," ")</f>
        <v>1 - VW - Volkswagen</v>
      </c>
      <c r="L1776" s="50"/>
      <c r="M1776" s="50">
        <v>1677249.95</v>
      </c>
      <c r="N1776" s="20">
        <f>+Movimientos_2026[[#This Row],[Ingresos]]-Movimientos_2026[[#This Row],[Egresos]]</f>
        <v>-1677249.95</v>
      </c>
      <c r="O1776" s="20">
        <f>+O1775+Movimientos_2026[[#This Row],[Neto]]</f>
        <v>4013508742.5868735</v>
      </c>
    </row>
    <row r="1777" spans="1:15" x14ac:dyDescent="0.25">
      <c r="A1777" s="13">
        <v>46176</v>
      </c>
      <c r="B1777" s="12">
        <f>MONTH(Movimientos_2026[[#This Row],[Fecha]])</f>
        <v>6</v>
      </c>
      <c r="C1777" s="12" t="str">
        <f>VLOOKUP((WEEKDAY(Movimientos_2026[[#This Row],[Fecha]],2)),'5. Setup'!$D$6:$E$12,2,FALSE)</f>
        <v>Mie</v>
      </c>
      <c r="D1777">
        <v>2044122</v>
      </c>
      <c r="E1777" t="str">
        <f>IFERROR(+VLOOKUP(Movimientos_2026[[#This Row],[Codigo]],Plan_cuentas[],2,FALSE)," ")</f>
        <v>EGRESOS</v>
      </c>
      <c r="F1777" t="str">
        <f>IFERROR(+VLOOKUP(Movimientos_2026[[#This Row],[Codigo]],Plan_cuentas[],3,FALSE)," ")</f>
        <v>Transferencia</v>
      </c>
      <c r="G1777" t="str">
        <f>IFERROR(+VLOOKUP(Movimientos_2026[[#This Row],[Codigo]],Plan_cuentas[],4,FALSE)," ")</f>
        <v>Rentas</v>
      </c>
      <c r="H1777" t="str">
        <f>IFERROR(+VLOOKUP(Movimientos_2026[[#This Row],[Codigo]],Plan_cuentas[],5,FALSE)," ")</f>
        <v>BAPRO</v>
      </c>
      <c r="I1777" s="43">
        <v>46082</v>
      </c>
      <c r="J1777" t="s">
        <v>784</v>
      </c>
      <c r="K1777" t="str">
        <f>IFERROR(+VLOOKUP(Movimientos_2026[[#This Row],[Codigo]],Plan_cuentas[],6,FALSE)," ")</f>
        <v>2 - PR - Plan Rombo</v>
      </c>
      <c r="L1777" s="50"/>
      <c r="M1777" s="50">
        <v>16420026.800000001</v>
      </c>
      <c r="N1777" s="20">
        <f>+Movimientos_2026[[#This Row],[Ingresos]]-Movimientos_2026[[#This Row],[Egresos]]</f>
        <v>-16420026.800000001</v>
      </c>
      <c r="O1777" s="20">
        <f>+O1776+Movimientos_2026[[#This Row],[Neto]]</f>
        <v>3997088715.7868733</v>
      </c>
    </row>
    <row r="1778" spans="1:15" x14ac:dyDescent="0.25">
      <c r="A1778" s="13">
        <v>46176</v>
      </c>
      <c r="B1778" s="12">
        <f>MONTH(Movimientos_2026[[#This Row],[Fecha]])</f>
        <v>6</v>
      </c>
      <c r="C1778" s="12" t="str">
        <f>VLOOKUP((WEEKDAY(Movimientos_2026[[#This Row],[Fecha]],2)),'5. Setup'!$D$6:$E$12,2,FALSE)</f>
        <v>Mie</v>
      </c>
      <c r="D1778">
        <v>2044122</v>
      </c>
      <c r="E1778" t="str">
        <f>IFERROR(+VLOOKUP(Movimientos_2026[[#This Row],[Codigo]],Plan_cuentas[],2,FALSE)," ")</f>
        <v>EGRESOS</v>
      </c>
      <c r="F1778" t="str">
        <f>IFERROR(+VLOOKUP(Movimientos_2026[[#This Row],[Codigo]],Plan_cuentas[],3,FALSE)," ")</f>
        <v>Transferencia</v>
      </c>
      <c r="G1778" t="str">
        <f>IFERROR(+VLOOKUP(Movimientos_2026[[#This Row],[Codigo]],Plan_cuentas[],4,FALSE)," ")</f>
        <v>Rentas</v>
      </c>
      <c r="H1778" t="str">
        <f>IFERROR(+VLOOKUP(Movimientos_2026[[#This Row],[Codigo]],Plan_cuentas[],5,FALSE)," ")</f>
        <v>BAPRO</v>
      </c>
      <c r="I1778" s="43">
        <v>46082</v>
      </c>
      <c r="J1778" t="s">
        <v>785</v>
      </c>
      <c r="K1778" t="str">
        <f>IFERROR(+VLOOKUP(Movimientos_2026[[#This Row],[Codigo]],Plan_cuentas[],6,FALSE)," ")</f>
        <v>2 - PR - Plan Rombo</v>
      </c>
      <c r="L1778" s="50"/>
      <c r="M1778" s="50">
        <v>15135767.300000001</v>
      </c>
      <c r="N1778" s="20">
        <f>+Movimientos_2026[[#This Row],[Ingresos]]-Movimientos_2026[[#This Row],[Egresos]]</f>
        <v>-15135767.300000001</v>
      </c>
      <c r="O1778" s="20">
        <f>+O1777+Movimientos_2026[[#This Row],[Neto]]</f>
        <v>3981952948.4868731</v>
      </c>
    </row>
    <row r="1779" spans="1:15" x14ac:dyDescent="0.25">
      <c r="A1779" s="13">
        <v>46176</v>
      </c>
      <c r="B1779" s="12">
        <f>MONTH(Movimientos_2026[[#This Row],[Fecha]])</f>
        <v>6</v>
      </c>
      <c r="C1779" s="12" t="str">
        <f>VLOOKUP((WEEKDAY(Movimientos_2026[[#This Row],[Fecha]],2)),'5. Setup'!$D$6:$E$12,2,FALSE)</f>
        <v>Mie</v>
      </c>
      <c r="D1779">
        <v>2044122</v>
      </c>
      <c r="E1779" t="str">
        <f>IFERROR(+VLOOKUP(Movimientos_2026[[#This Row],[Codigo]],Plan_cuentas[],2,FALSE)," ")</f>
        <v>EGRESOS</v>
      </c>
      <c r="F1779" t="str">
        <f>IFERROR(+VLOOKUP(Movimientos_2026[[#This Row],[Codigo]],Plan_cuentas[],3,FALSE)," ")</f>
        <v>Transferencia</v>
      </c>
      <c r="G1779" t="str">
        <f>IFERROR(+VLOOKUP(Movimientos_2026[[#This Row],[Codigo]],Plan_cuentas[],4,FALSE)," ")</f>
        <v>Rentas</v>
      </c>
      <c r="H1779" t="str">
        <f>IFERROR(+VLOOKUP(Movimientos_2026[[#This Row],[Codigo]],Plan_cuentas[],5,FALSE)," ")</f>
        <v>BAPRO</v>
      </c>
      <c r="I1779" s="43">
        <v>46082</v>
      </c>
      <c r="J1779" t="s">
        <v>786</v>
      </c>
      <c r="K1779" t="str">
        <f>IFERROR(+VLOOKUP(Movimientos_2026[[#This Row],[Codigo]],Plan_cuentas[],6,FALSE)," ")</f>
        <v>2 - PR - Plan Rombo</v>
      </c>
      <c r="L1779" s="50"/>
      <c r="M1779" s="50">
        <v>16723807.1</v>
      </c>
      <c r="N1779" s="20">
        <f>+Movimientos_2026[[#This Row],[Ingresos]]-Movimientos_2026[[#This Row],[Egresos]]</f>
        <v>-16723807.1</v>
      </c>
      <c r="O1779" s="20">
        <f>+O1778+Movimientos_2026[[#This Row],[Neto]]</f>
        <v>3965229141.3868732</v>
      </c>
    </row>
    <row r="1780" spans="1:15" x14ac:dyDescent="0.25">
      <c r="A1780" s="13">
        <v>46176</v>
      </c>
      <c r="B1780" s="12">
        <f>MONTH(Movimientos_2026[[#This Row],[Fecha]])</f>
        <v>6</v>
      </c>
      <c r="C1780" s="12" t="str">
        <f>VLOOKUP((WEEKDAY(Movimientos_2026[[#This Row],[Fecha]],2)),'5. Setup'!$D$6:$E$12,2,FALSE)</f>
        <v>Mie</v>
      </c>
      <c r="D1780">
        <v>1043154</v>
      </c>
      <c r="E1780" t="str">
        <f>IFERROR(+VLOOKUP(Movimientos_2026[[#This Row],[Codigo]],Plan_cuentas[],2,FALSE)," ")</f>
        <v>INGRESOS</v>
      </c>
      <c r="F1780" t="str">
        <f>IFERROR(+VLOOKUP(Movimientos_2026[[#This Row],[Codigo]],Plan_cuentas[],3,FALSE)," ")</f>
        <v>Transferencia</v>
      </c>
      <c r="G1780" t="str">
        <f>IFERROR(+VLOOKUP(Movimientos_2026[[#This Row],[Codigo]],Plan_cuentas[],4,FALSE)," ")</f>
        <v>Registración</v>
      </c>
      <c r="H1780" t="str">
        <f>IFERROR(+VLOOKUP(Movimientos_2026[[#This Row],[Codigo]],Plan_cuentas[],5,FALSE)," ")</f>
        <v>CABA</v>
      </c>
      <c r="I1780" s="43">
        <v>46143</v>
      </c>
      <c r="J1780" t="s">
        <v>787</v>
      </c>
      <c r="K1780" t="str">
        <f>IFERROR(+VLOOKUP(Movimientos_2026[[#This Row],[Codigo]],Plan_cuentas[],6,FALSE)," ")</f>
        <v>4 - FCA - Fiat</v>
      </c>
      <c r="L1780" s="50">
        <v>418627650.56</v>
      </c>
      <c r="M1780" s="50"/>
      <c r="N1780" s="20">
        <f>+Movimientos_2026[[#This Row],[Ingresos]]-Movimientos_2026[[#This Row],[Egresos]]</f>
        <v>418627650.56</v>
      </c>
      <c r="O1780" s="20">
        <f>+O1779+Movimientos_2026[[#This Row],[Neto]]</f>
        <v>4383856791.9468737</v>
      </c>
    </row>
    <row r="1781" spans="1:15" x14ac:dyDescent="0.25">
      <c r="A1781" s="13">
        <v>46176</v>
      </c>
      <c r="B1781" s="12">
        <f>MONTH(Movimientos_2026[[#This Row],[Fecha]])</f>
        <v>6</v>
      </c>
      <c r="C1781" s="12" t="str">
        <f>VLOOKUP((WEEKDAY(Movimientos_2026[[#This Row],[Fecha]],2)),'5. Setup'!$D$6:$E$12,2,FALSE)</f>
        <v>Mie</v>
      </c>
      <c r="D1781">
        <v>1043394</v>
      </c>
      <c r="E1781" t="str">
        <f>IFERROR(+VLOOKUP(Movimientos_2026[[#This Row],[Codigo]],Plan_cuentas[],2,FALSE)," ")</f>
        <v>INGRESOS</v>
      </c>
      <c r="F1781" t="str">
        <f>IFERROR(+VLOOKUP(Movimientos_2026[[#This Row],[Codigo]],Plan_cuentas[],3,FALSE)," ")</f>
        <v>Transferencia</v>
      </c>
      <c r="G1781" t="str">
        <f>IFERROR(+VLOOKUP(Movimientos_2026[[#This Row],[Codigo]],Plan_cuentas[],4,FALSE)," ")</f>
        <v>Registración</v>
      </c>
      <c r="H1781" t="str">
        <f>IFERROR(+VLOOKUP(Movimientos_2026[[#This Row],[Codigo]],Plan_cuentas[],5,FALSE)," ")</f>
        <v>SANTA FE 2° Q</v>
      </c>
      <c r="I1781" s="43">
        <v>46143</v>
      </c>
      <c r="J1781" t="s">
        <v>787</v>
      </c>
      <c r="K1781" t="str">
        <f>IFERROR(+VLOOKUP(Movimientos_2026[[#This Row],[Codigo]],Plan_cuentas[],6,FALSE)," ")</f>
        <v>4 - FCA - Fiat</v>
      </c>
      <c r="L1781" s="50">
        <v>76913469.010000005</v>
      </c>
      <c r="M1781" s="50"/>
      <c r="N1781" s="20">
        <f>+Movimientos_2026[[#This Row],[Ingresos]]-Movimientos_2026[[#This Row],[Egresos]]</f>
        <v>76913469.010000005</v>
      </c>
      <c r="O1781" s="20">
        <f>+O1780+Movimientos_2026[[#This Row],[Neto]]</f>
        <v>4460770260.9568739</v>
      </c>
    </row>
    <row r="1782" spans="1:15" x14ac:dyDescent="0.25">
      <c r="A1782" s="13">
        <v>46176</v>
      </c>
      <c r="B1782" s="12">
        <f>MONTH(Movimientos_2026[[#This Row],[Fecha]])</f>
        <v>6</v>
      </c>
      <c r="C1782" s="12" t="str">
        <f>VLOOKUP((WEEKDAY(Movimientos_2026[[#This Row],[Fecha]],2)),'5. Setup'!$D$6:$E$12,2,FALSE)</f>
        <v>Mie</v>
      </c>
      <c r="D1782">
        <v>1044174</v>
      </c>
      <c r="E1782" t="str">
        <f>IFERROR(+VLOOKUP(Movimientos_2026[[#This Row],[Codigo]],Plan_cuentas[],2,FALSE)," ")</f>
        <v>INGRESOS</v>
      </c>
      <c r="F1782" t="str">
        <f>IFERROR(+VLOOKUP(Movimientos_2026[[#This Row],[Codigo]],Plan_cuentas[],3,FALSE)," ")</f>
        <v>Transferencia</v>
      </c>
      <c r="G1782" t="str">
        <f>IFERROR(+VLOOKUP(Movimientos_2026[[#This Row],[Codigo]],Plan_cuentas[],4,FALSE)," ")</f>
        <v>Rentas</v>
      </c>
      <c r="H1782" t="str">
        <f>IFERROR(+VLOOKUP(Movimientos_2026[[#This Row],[Codigo]],Plan_cuentas[],5,FALSE)," ")</f>
        <v>CHUBUT</v>
      </c>
      <c r="I1782" s="43">
        <v>46143</v>
      </c>
      <c r="J1782" t="s">
        <v>787</v>
      </c>
      <c r="K1782" t="str">
        <f>IFERROR(+VLOOKUP(Movimientos_2026[[#This Row],[Codigo]],Plan_cuentas[],6,FALSE)," ")</f>
        <v>4 - FCA - Fiat</v>
      </c>
      <c r="L1782" s="50">
        <v>25212000</v>
      </c>
      <c r="M1782" s="50"/>
      <c r="N1782" s="20">
        <f>+Movimientos_2026[[#This Row],[Ingresos]]-Movimientos_2026[[#This Row],[Egresos]]</f>
        <v>25212000</v>
      </c>
      <c r="O1782" s="20">
        <f>+O1781+Movimientos_2026[[#This Row],[Neto]]</f>
        <v>4485982260.9568739</v>
      </c>
    </row>
    <row r="1783" spans="1:15" x14ac:dyDescent="0.25">
      <c r="A1783" s="13">
        <v>46176</v>
      </c>
      <c r="B1783" s="12">
        <f>MONTH(Movimientos_2026[[#This Row],[Fecha]])</f>
        <v>6</v>
      </c>
      <c r="C1783" s="12" t="str">
        <f>VLOOKUP((WEEKDAY(Movimientos_2026[[#This Row],[Fecha]],2)),'5. Setup'!$D$6:$E$12,2,FALSE)</f>
        <v>Mie</v>
      </c>
      <c r="D1783">
        <v>1044196</v>
      </c>
      <c r="E1783" t="str">
        <f>IFERROR(+VLOOKUP(Movimientos_2026[[#This Row],[Codigo]],Plan_cuentas[],2,FALSE)," ")</f>
        <v>INGRESOS</v>
      </c>
      <c r="F1783" t="str">
        <f>IFERROR(+VLOOKUP(Movimientos_2026[[#This Row],[Codigo]],Plan_cuentas[],3,FALSE)," ")</f>
        <v>Transferencia</v>
      </c>
      <c r="G1783" t="str">
        <f>IFERROR(+VLOOKUP(Movimientos_2026[[#This Row],[Codigo]],Plan_cuentas[],4,FALSE)," ")</f>
        <v>Rentas</v>
      </c>
      <c r="H1783" t="str">
        <f>IFERROR(+VLOOKUP(Movimientos_2026[[#This Row],[Codigo]],Plan_cuentas[],5,FALSE)," ")</f>
        <v>CORDOBA 2° Q</v>
      </c>
      <c r="I1783" s="43">
        <v>46143</v>
      </c>
      <c r="J1783" t="s">
        <v>787</v>
      </c>
      <c r="K1783" t="str">
        <f>IFERROR(+VLOOKUP(Movimientos_2026[[#This Row],[Codigo]],Plan_cuentas[],6,FALSE)," ")</f>
        <v>6 - FCAtr - Fiat Transf.</v>
      </c>
      <c r="L1783" s="50">
        <v>14547461.430000011</v>
      </c>
      <c r="M1783" s="50"/>
      <c r="N1783" s="20">
        <f>+Movimientos_2026[[#This Row],[Ingresos]]-Movimientos_2026[[#This Row],[Egresos]]</f>
        <v>14547461.430000011</v>
      </c>
      <c r="O1783" s="20">
        <f>+O1782+Movimientos_2026[[#This Row],[Neto]]</f>
        <v>4500529722.3868742</v>
      </c>
    </row>
    <row r="1784" spans="1:15" x14ac:dyDescent="0.25">
      <c r="A1784" s="13">
        <v>46176</v>
      </c>
      <c r="B1784" s="12">
        <f>MONTH(Movimientos_2026[[#This Row],[Fecha]])</f>
        <v>6</v>
      </c>
      <c r="C1784" s="12" t="str">
        <f>VLOOKUP((WEEKDAY(Movimientos_2026[[#This Row],[Fecha]],2)),'5. Setup'!$D$6:$E$12,2,FALSE)</f>
        <v>Mie</v>
      </c>
      <c r="D1784">
        <v>1044214</v>
      </c>
      <c r="E1784" t="str">
        <f>IFERROR(+VLOOKUP(Movimientos_2026[[#This Row],[Codigo]],Plan_cuentas[],2,FALSE)," ")</f>
        <v>INGRESOS</v>
      </c>
      <c r="F1784" t="str">
        <f>IFERROR(+VLOOKUP(Movimientos_2026[[#This Row],[Codigo]],Plan_cuentas[],3,FALSE)," ")</f>
        <v>Transferencia</v>
      </c>
      <c r="G1784" t="str">
        <f>IFERROR(+VLOOKUP(Movimientos_2026[[#This Row],[Codigo]],Plan_cuentas[],4,FALSE)," ")</f>
        <v>Rentas</v>
      </c>
      <c r="H1784" t="str">
        <f>IFERROR(+VLOOKUP(Movimientos_2026[[#This Row],[Codigo]],Plan_cuentas[],5,FALSE)," ")</f>
        <v>CORRIENTES 2° Q</v>
      </c>
      <c r="I1784" s="43">
        <v>46143</v>
      </c>
      <c r="J1784" t="s">
        <v>787</v>
      </c>
      <c r="K1784" t="str">
        <f>IFERROR(+VLOOKUP(Movimientos_2026[[#This Row],[Codigo]],Plan_cuentas[],6,FALSE)," ")</f>
        <v>4 - FCA - Fiat</v>
      </c>
      <c r="L1784" s="50">
        <v>13361384.75</v>
      </c>
      <c r="M1784" s="50"/>
      <c r="N1784" s="20">
        <f>+Movimientos_2026[[#This Row],[Ingresos]]-Movimientos_2026[[#This Row],[Egresos]]</f>
        <v>13361384.75</v>
      </c>
      <c r="O1784" s="20">
        <f>+O1783+Movimientos_2026[[#This Row],[Neto]]</f>
        <v>4513891107.1368742</v>
      </c>
    </row>
    <row r="1785" spans="1:15" x14ac:dyDescent="0.25">
      <c r="A1785" s="13">
        <v>46176</v>
      </c>
      <c r="B1785" s="12">
        <f>MONTH(Movimientos_2026[[#This Row],[Fecha]])</f>
        <v>6</v>
      </c>
      <c r="C1785" s="12" t="str">
        <f>VLOOKUP((WEEKDAY(Movimientos_2026[[#This Row],[Fecha]],2)),'5. Setup'!$D$6:$E$12,2,FALSE)</f>
        <v>Mie</v>
      </c>
      <c r="D1785">
        <v>1044234</v>
      </c>
      <c r="E1785" t="str">
        <f>IFERROR(+VLOOKUP(Movimientos_2026[[#This Row],[Codigo]],Plan_cuentas[],2,FALSE)," ")</f>
        <v>INGRESOS</v>
      </c>
      <c r="F1785" t="str">
        <f>IFERROR(+VLOOKUP(Movimientos_2026[[#This Row],[Codigo]],Plan_cuentas[],3,FALSE)," ")</f>
        <v>Transferencia</v>
      </c>
      <c r="G1785" t="str">
        <f>IFERROR(+VLOOKUP(Movimientos_2026[[#This Row],[Codigo]],Plan_cuentas[],4,FALSE)," ")</f>
        <v>Rentas</v>
      </c>
      <c r="H1785" t="str">
        <f>IFERROR(+VLOOKUP(Movimientos_2026[[#This Row],[Codigo]],Plan_cuentas[],5,FALSE)," ")</f>
        <v>ENTRE RIOS 2° Q</v>
      </c>
      <c r="I1785" s="43">
        <v>46143</v>
      </c>
      <c r="J1785" t="s">
        <v>787</v>
      </c>
      <c r="K1785" t="str">
        <f>IFERROR(+VLOOKUP(Movimientos_2026[[#This Row],[Codigo]],Plan_cuentas[],6,FALSE)," ")</f>
        <v>4 - FCA - Fiat</v>
      </c>
      <c r="L1785" s="50">
        <v>26262799.149999999</v>
      </c>
      <c r="M1785" s="50"/>
      <c r="N1785" s="20">
        <f>+Movimientos_2026[[#This Row],[Ingresos]]-Movimientos_2026[[#This Row],[Egresos]]</f>
        <v>26262799.149999999</v>
      </c>
      <c r="O1785" s="20">
        <f>+O1784+Movimientos_2026[[#This Row],[Neto]]</f>
        <v>4540153906.2868738</v>
      </c>
    </row>
    <row r="1786" spans="1:15" x14ac:dyDescent="0.25">
      <c r="A1786" s="13">
        <v>46176</v>
      </c>
      <c r="B1786" s="12">
        <f>MONTH(Movimientos_2026[[#This Row],[Fecha]])</f>
        <v>6</v>
      </c>
      <c r="C1786" s="12" t="str">
        <f>VLOOKUP((WEEKDAY(Movimientos_2026[[#This Row],[Fecha]],2)),'5. Setup'!$D$6:$E$12,2,FALSE)</f>
        <v>Mie</v>
      </c>
      <c r="D1786">
        <v>1044244</v>
      </c>
      <c r="E1786" t="str">
        <f>IFERROR(+VLOOKUP(Movimientos_2026[[#This Row],[Codigo]],Plan_cuentas[],2,FALSE)," ")</f>
        <v>INGRESOS</v>
      </c>
      <c r="F1786" t="str">
        <f>IFERROR(+VLOOKUP(Movimientos_2026[[#This Row],[Codigo]],Plan_cuentas[],3,FALSE)," ")</f>
        <v>Transferencia</v>
      </c>
      <c r="G1786" t="str">
        <f>IFERROR(+VLOOKUP(Movimientos_2026[[#This Row],[Codigo]],Plan_cuentas[],4,FALSE)," ")</f>
        <v>Rentas</v>
      </c>
      <c r="H1786" t="str">
        <f>IFERROR(+VLOOKUP(Movimientos_2026[[#This Row],[Codigo]],Plan_cuentas[],5,FALSE)," ")</f>
        <v>FORMOSA</v>
      </c>
      <c r="I1786" s="43">
        <v>46143</v>
      </c>
      <c r="J1786" t="s">
        <v>787</v>
      </c>
      <c r="K1786" t="str">
        <f>IFERROR(+VLOOKUP(Movimientos_2026[[#This Row],[Codigo]],Plan_cuentas[],6,FALSE)," ")</f>
        <v>4 - FCA - Fiat</v>
      </c>
      <c r="L1786" s="50">
        <v>10066986.91</v>
      </c>
      <c r="M1786" s="50"/>
      <c r="N1786" s="20">
        <f>+Movimientos_2026[[#This Row],[Ingresos]]-Movimientos_2026[[#This Row],[Egresos]]</f>
        <v>10066986.91</v>
      </c>
      <c r="O1786" s="20">
        <f>+O1785+Movimientos_2026[[#This Row],[Neto]]</f>
        <v>4550220893.1968737</v>
      </c>
    </row>
    <row r="1787" spans="1:15" x14ac:dyDescent="0.25">
      <c r="A1787" s="13">
        <v>46176</v>
      </c>
      <c r="B1787" s="12">
        <f>MONTH(Movimientos_2026[[#This Row],[Fecha]])</f>
        <v>6</v>
      </c>
      <c r="C1787" s="12" t="str">
        <f>VLOOKUP((WEEKDAY(Movimientos_2026[[#This Row],[Fecha]],2)),'5. Setup'!$D$6:$E$12,2,FALSE)</f>
        <v>Mie</v>
      </c>
      <c r="D1787">
        <v>1044264</v>
      </c>
      <c r="E1787" t="str">
        <f>IFERROR(+VLOOKUP(Movimientos_2026[[#This Row],[Codigo]],Plan_cuentas[],2,FALSE)," ")</f>
        <v>INGRESOS</v>
      </c>
      <c r="F1787" t="str">
        <f>IFERROR(+VLOOKUP(Movimientos_2026[[#This Row],[Codigo]],Plan_cuentas[],3,FALSE)," ")</f>
        <v>Transferencia</v>
      </c>
      <c r="G1787" t="str">
        <f>IFERROR(+VLOOKUP(Movimientos_2026[[#This Row],[Codigo]],Plan_cuentas[],4,FALSE)," ")</f>
        <v>Rentas</v>
      </c>
      <c r="H1787" t="str">
        <f>IFERROR(+VLOOKUP(Movimientos_2026[[#This Row],[Codigo]],Plan_cuentas[],5,FALSE)," ")</f>
        <v>LA PAMPA</v>
      </c>
      <c r="I1787" s="43">
        <v>46143</v>
      </c>
      <c r="J1787" t="s">
        <v>787</v>
      </c>
      <c r="K1787" t="str">
        <f>IFERROR(+VLOOKUP(Movimientos_2026[[#This Row],[Codigo]],Plan_cuentas[],6,FALSE)," ")</f>
        <v>4 - FCA - Fiat</v>
      </c>
      <c r="L1787" s="50">
        <v>4605800</v>
      </c>
      <c r="M1787" s="50"/>
      <c r="N1787" s="20">
        <f>+Movimientos_2026[[#This Row],[Ingresos]]-Movimientos_2026[[#This Row],[Egresos]]</f>
        <v>4605800</v>
      </c>
      <c r="O1787" s="20">
        <f>+O1786+Movimientos_2026[[#This Row],[Neto]]</f>
        <v>4554826693.1968737</v>
      </c>
    </row>
    <row r="1788" spans="1:15" x14ac:dyDescent="0.25">
      <c r="A1788" s="13">
        <v>46176</v>
      </c>
      <c r="B1788" s="12">
        <f>MONTH(Movimientos_2026[[#This Row],[Fecha]])</f>
        <v>6</v>
      </c>
      <c r="C1788" s="12" t="str">
        <f>VLOOKUP((WEEKDAY(Movimientos_2026[[#This Row],[Fecha]],2)),'5. Setup'!$D$6:$E$12,2,FALSE)</f>
        <v>Mie</v>
      </c>
      <c r="D1788">
        <v>1044266</v>
      </c>
      <c r="E1788" t="str">
        <f>IFERROR(+VLOOKUP(Movimientos_2026[[#This Row],[Codigo]],Plan_cuentas[],2,FALSE)," ")</f>
        <v>INGRESOS</v>
      </c>
      <c r="F1788" t="str">
        <f>IFERROR(+VLOOKUP(Movimientos_2026[[#This Row],[Codigo]],Plan_cuentas[],3,FALSE)," ")</f>
        <v>Transferencia</v>
      </c>
      <c r="G1788" t="str">
        <f>IFERROR(+VLOOKUP(Movimientos_2026[[#This Row],[Codigo]],Plan_cuentas[],4,FALSE)," ")</f>
        <v>Rentas</v>
      </c>
      <c r="H1788" t="str">
        <f>IFERROR(+VLOOKUP(Movimientos_2026[[#This Row],[Codigo]],Plan_cuentas[],5,FALSE)," ")</f>
        <v>LA PAMPA</v>
      </c>
      <c r="I1788" s="43">
        <v>46143</v>
      </c>
      <c r="J1788" t="s">
        <v>787</v>
      </c>
      <c r="K1788" t="str">
        <f>IFERROR(+VLOOKUP(Movimientos_2026[[#This Row],[Codigo]],Plan_cuentas[],6,FALSE)," ")</f>
        <v>6 - FCAtr - Fiat Transf.</v>
      </c>
      <c r="L1788" s="50">
        <v>153192.56000000011</v>
      </c>
      <c r="M1788" s="50"/>
      <c r="N1788" s="20">
        <f>+Movimientos_2026[[#This Row],[Ingresos]]-Movimientos_2026[[#This Row],[Egresos]]</f>
        <v>153192.56000000011</v>
      </c>
      <c r="O1788" s="20">
        <f>+O1787+Movimientos_2026[[#This Row],[Neto]]</f>
        <v>4554979885.7568741</v>
      </c>
    </row>
    <row r="1789" spans="1:15" x14ac:dyDescent="0.25">
      <c r="A1789" s="13">
        <v>46176</v>
      </c>
      <c r="B1789" s="12">
        <f>MONTH(Movimientos_2026[[#This Row],[Fecha]])</f>
        <v>6</v>
      </c>
      <c r="C1789" s="12" t="str">
        <f>VLOOKUP((WEEKDAY(Movimientos_2026[[#This Row],[Fecha]],2)),'5. Setup'!$D$6:$E$12,2,FALSE)</f>
        <v>Mie</v>
      </c>
      <c r="D1789">
        <v>1044264</v>
      </c>
      <c r="E1789" t="str">
        <f>IFERROR(+VLOOKUP(Movimientos_2026[[#This Row],[Codigo]],Plan_cuentas[],2,FALSE)," ")</f>
        <v>INGRESOS</v>
      </c>
      <c r="F1789" t="str">
        <f>IFERROR(+VLOOKUP(Movimientos_2026[[#This Row],[Codigo]],Plan_cuentas[],3,FALSE)," ")</f>
        <v>Transferencia</v>
      </c>
      <c r="G1789" t="str">
        <f>IFERROR(+VLOOKUP(Movimientos_2026[[#This Row],[Codigo]],Plan_cuentas[],4,FALSE)," ")</f>
        <v>Rentas</v>
      </c>
      <c r="H1789" t="str">
        <f>IFERROR(+VLOOKUP(Movimientos_2026[[#This Row],[Codigo]],Plan_cuentas[],5,FALSE)," ")</f>
        <v>LA PAMPA</v>
      </c>
      <c r="I1789" s="43">
        <v>46143</v>
      </c>
      <c r="J1789" t="s">
        <v>787</v>
      </c>
      <c r="K1789" t="str">
        <f>IFERROR(+VLOOKUP(Movimientos_2026[[#This Row],[Codigo]],Plan_cuentas[],6,FALSE)," ")</f>
        <v>4 - FCA - Fiat</v>
      </c>
      <c r="L1789" s="50">
        <v>2846930.6099999989</v>
      </c>
      <c r="M1789" s="50"/>
      <c r="N1789" s="20">
        <f>+Movimientos_2026[[#This Row],[Ingresos]]-Movimientos_2026[[#This Row],[Egresos]]</f>
        <v>2846930.6099999989</v>
      </c>
      <c r="O1789" s="20">
        <f>+O1788+Movimientos_2026[[#This Row],[Neto]]</f>
        <v>4557826816.3668737</v>
      </c>
    </row>
    <row r="1790" spans="1:15" x14ac:dyDescent="0.25">
      <c r="A1790" s="13">
        <v>46176</v>
      </c>
      <c r="B1790" s="12">
        <f>MONTH(Movimientos_2026[[#This Row],[Fecha]])</f>
        <v>6</v>
      </c>
      <c r="C1790" s="12" t="str">
        <f>VLOOKUP((WEEKDAY(Movimientos_2026[[#This Row],[Fecha]],2)),'5. Setup'!$D$6:$E$12,2,FALSE)</f>
        <v>Mie</v>
      </c>
      <c r="D1790">
        <v>1044274</v>
      </c>
      <c r="E1790" t="str">
        <f>IFERROR(+VLOOKUP(Movimientos_2026[[#This Row],[Codigo]],Plan_cuentas[],2,FALSE)," ")</f>
        <v>INGRESOS</v>
      </c>
      <c r="F1790" t="str">
        <f>IFERROR(+VLOOKUP(Movimientos_2026[[#This Row],[Codigo]],Plan_cuentas[],3,FALSE)," ")</f>
        <v>Transferencia</v>
      </c>
      <c r="G1790" t="str">
        <f>IFERROR(+VLOOKUP(Movimientos_2026[[#This Row],[Codigo]],Plan_cuentas[],4,FALSE)," ")</f>
        <v>Rentas</v>
      </c>
      <c r="H1790" t="str">
        <f>IFERROR(+VLOOKUP(Movimientos_2026[[#This Row],[Codigo]],Plan_cuentas[],5,FALSE)," ")</f>
        <v>LA RIOJA</v>
      </c>
      <c r="I1790" s="43">
        <v>46143</v>
      </c>
      <c r="J1790" t="s">
        <v>787</v>
      </c>
      <c r="K1790" t="str">
        <f>IFERROR(+VLOOKUP(Movimientos_2026[[#This Row],[Codigo]],Plan_cuentas[],6,FALSE)," ")</f>
        <v>4 - FCA - Fiat</v>
      </c>
      <c r="L1790" s="50">
        <v>4638413.0199999996</v>
      </c>
      <c r="M1790" s="50"/>
      <c r="N1790" s="20">
        <f>+Movimientos_2026[[#This Row],[Ingresos]]-Movimientos_2026[[#This Row],[Egresos]]</f>
        <v>4638413.0199999996</v>
      </c>
      <c r="O1790" s="20">
        <f>+O1789+Movimientos_2026[[#This Row],[Neto]]</f>
        <v>4562465229.3868742</v>
      </c>
    </row>
    <row r="1791" spans="1:15" x14ac:dyDescent="0.25">
      <c r="A1791" s="13">
        <v>46176</v>
      </c>
      <c r="B1791" s="12">
        <f>MONTH(Movimientos_2026[[#This Row],[Fecha]])</f>
        <v>6</v>
      </c>
      <c r="C1791" s="12" t="str">
        <f>VLOOKUP((WEEKDAY(Movimientos_2026[[#This Row],[Fecha]],2)),'5. Setup'!$D$6:$E$12,2,FALSE)</f>
        <v>Mie</v>
      </c>
      <c r="D1791">
        <v>1044284</v>
      </c>
      <c r="E1791" t="str">
        <f>IFERROR(+VLOOKUP(Movimientos_2026[[#This Row],[Codigo]],Plan_cuentas[],2,FALSE)," ")</f>
        <v>INGRESOS</v>
      </c>
      <c r="F1791" t="str">
        <f>IFERROR(+VLOOKUP(Movimientos_2026[[#This Row],[Codigo]],Plan_cuentas[],3,FALSE)," ")</f>
        <v>Transferencia</v>
      </c>
      <c r="G1791" t="str">
        <f>IFERROR(+VLOOKUP(Movimientos_2026[[#This Row],[Codigo]],Plan_cuentas[],4,FALSE)," ")</f>
        <v>Rentas</v>
      </c>
      <c r="H1791" t="str">
        <f>IFERROR(+VLOOKUP(Movimientos_2026[[#This Row],[Codigo]],Plan_cuentas[],5,FALSE)," ")</f>
        <v>MENDOZA</v>
      </c>
      <c r="I1791" s="43">
        <v>46143</v>
      </c>
      <c r="J1791" t="s">
        <v>787</v>
      </c>
      <c r="K1791" t="str">
        <f>IFERROR(+VLOOKUP(Movimientos_2026[[#This Row],[Codigo]],Plan_cuentas[],6,FALSE)," ")</f>
        <v>4 - FCA - Fiat</v>
      </c>
      <c r="L1791" s="50">
        <v>113575800</v>
      </c>
      <c r="M1791" s="50"/>
      <c r="N1791" s="20">
        <f>+Movimientos_2026[[#This Row],[Ingresos]]-Movimientos_2026[[#This Row],[Egresos]]</f>
        <v>113575800</v>
      </c>
      <c r="O1791" s="20">
        <f>+O1790+Movimientos_2026[[#This Row],[Neto]]</f>
        <v>4676041029.3868742</v>
      </c>
    </row>
    <row r="1792" spans="1:15" x14ac:dyDescent="0.25">
      <c r="A1792" s="13">
        <v>46176</v>
      </c>
      <c r="B1792" s="12">
        <f>MONTH(Movimientos_2026[[#This Row],[Fecha]])</f>
        <v>6</v>
      </c>
      <c r="C1792" s="12" t="str">
        <f>VLOOKUP((WEEKDAY(Movimientos_2026[[#This Row],[Fecha]],2)),'5. Setup'!$D$6:$E$12,2,FALSE)</f>
        <v>Mie</v>
      </c>
      <c r="D1792">
        <v>1044286</v>
      </c>
      <c r="E1792" t="str">
        <f>IFERROR(+VLOOKUP(Movimientos_2026[[#This Row],[Codigo]],Plan_cuentas[],2,FALSE)," ")</f>
        <v>INGRESOS</v>
      </c>
      <c r="F1792" t="str">
        <f>IFERROR(+VLOOKUP(Movimientos_2026[[#This Row],[Codigo]],Plan_cuentas[],3,FALSE)," ")</f>
        <v>Transferencia</v>
      </c>
      <c r="G1792" t="str">
        <f>IFERROR(+VLOOKUP(Movimientos_2026[[#This Row],[Codigo]],Plan_cuentas[],4,FALSE)," ")</f>
        <v>Rentas</v>
      </c>
      <c r="H1792" t="str">
        <f>IFERROR(+VLOOKUP(Movimientos_2026[[#This Row],[Codigo]],Plan_cuentas[],5,FALSE)," ")</f>
        <v>MENDOZA</v>
      </c>
      <c r="I1792" s="43">
        <v>46143</v>
      </c>
      <c r="J1792" t="s">
        <v>787</v>
      </c>
      <c r="K1792" t="str">
        <f>IFERROR(+VLOOKUP(Movimientos_2026[[#This Row],[Codigo]],Plan_cuentas[],6,FALSE)," ")</f>
        <v>6 - FCAtr - Fiat Transf.</v>
      </c>
      <c r="L1792" s="50">
        <v>4571083.6200000066</v>
      </c>
      <c r="M1792" s="50"/>
      <c r="N1792" s="20">
        <f>+Movimientos_2026[[#This Row],[Ingresos]]-Movimientos_2026[[#This Row],[Egresos]]</f>
        <v>4571083.6200000066</v>
      </c>
      <c r="O1792" s="20">
        <f>+O1791+Movimientos_2026[[#This Row],[Neto]]</f>
        <v>4680612113.0068741</v>
      </c>
    </row>
    <row r="1793" spans="1:15" x14ac:dyDescent="0.25">
      <c r="A1793" s="13">
        <v>46176</v>
      </c>
      <c r="B1793" s="12">
        <f>MONTH(Movimientos_2026[[#This Row],[Fecha]])</f>
        <v>6</v>
      </c>
      <c r="C1793" s="12" t="str">
        <f>VLOOKUP((WEEKDAY(Movimientos_2026[[#This Row],[Fecha]],2)),'5. Setup'!$D$6:$E$12,2,FALSE)</f>
        <v>Mie</v>
      </c>
      <c r="D1793">
        <v>1044464</v>
      </c>
      <c r="E1793" t="str">
        <f>IFERROR(+VLOOKUP(Movimientos_2026[[#This Row],[Codigo]],Plan_cuentas[],2,FALSE)," ")</f>
        <v>INGRESOS</v>
      </c>
      <c r="F1793" t="str">
        <f>IFERROR(+VLOOKUP(Movimientos_2026[[#This Row],[Codigo]],Plan_cuentas[],3,FALSE)," ")</f>
        <v>Transferencia</v>
      </c>
      <c r="G1793" t="str">
        <f>IFERROR(+VLOOKUP(Movimientos_2026[[#This Row],[Codigo]],Plan_cuentas[],4,FALSE)," ")</f>
        <v>Rentas</v>
      </c>
      <c r="H1793" t="str">
        <f>IFERROR(+VLOOKUP(Movimientos_2026[[#This Row],[Codigo]],Plan_cuentas[],5,FALSE)," ")</f>
        <v>MISIONES</v>
      </c>
      <c r="I1793" s="43">
        <v>46143</v>
      </c>
      <c r="J1793" t="s">
        <v>787</v>
      </c>
      <c r="K1793" t="str">
        <f>IFERROR(+VLOOKUP(Movimientos_2026[[#This Row],[Codigo]],Plan_cuentas[],6,FALSE)," ")</f>
        <v>4 - FCA - Fiat</v>
      </c>
      <c r="L1793" s="50">
        <v>6908697.1799999997</v>
      </c>
      <c r="M1793" s="50"/>
      <c r="N1793" s="20">
        <f>+Movimientos_2026[[#This Row],[Ingresos]]-Movimientos_2026[[#This Row],[Egresos]]</f>
        <v>6908697.1799999997</v>
      </c>
      <c r="O1793" s="20">
        <f>+O1792+Movimientos_2026[[#This Row],[Neto]]</f>
        <v>4687520810.1868744</v>
      </c>
    </row>
    <row r="1794" spans="1:15" x14ac:dyDescent="0.25">
      <c r="A1794" s="13">
        <v>46176</v>
      </c>
      <c r="B1794" s="12">
        <f>MONTH(Movimientos_2026[[#This Row],[Fecha]])</f>
        <v>6</v>
      </c>
      <c r="C1794" s="12" t="str">
        <f>VLOOKUP((WEEKDAY(Movimientos_2026[[#This Row],[Fecha]],2)),'5. Setup'!$D$6:$E$12,2,FALSE)</f>
        <v>Mie</v>
      </c>
      <c r="D1794">
        <v>1044324</v>
      </c>
      <c r="E1794" t="str">
        <f>IFERROR(+VLOOKUP(Movimientos_2026[[#This Row],[Codigo]],Plan_cuentas[],2,FALSE)," ")</f>
        <v>INGRESOS</v>
      </c>
      <c r="F1794" t="str">
        <f>IFERROR(+VLOOKUP(Movimientos_2026[[#This Row],[Codigo]],Plan_cuentas[],3,FALSE)," ")</f>
        <v>Transferencia</v>
      </c>
      <c r="G1794" t="str">
        <f>IFERROR(+VLOOKUP(Movimientos_2026[[#This Row],[Codigo]],Plan_cuentas[],4,FALSE)," ")</f>
        <v>Rentas</v>
      </c>
      <c r="H1794" t="str">
        <f>IFERROR(+VLOOKUP(Movimientos_2026[[#This Row],[Codigo]],Plan_cuentas[],5,FALSE)," ")</f>
        <v>NEUQUEN 2° Q</v>
      </c>
      <c r="I1794" s="43">
        <v>46143</v>
      </c>
      <c r="J1794" t="s">
        <v>787</v>
      </c>
      <c r="K1794" t="str">
        <f>IFERROR(+VLOOKUP(Movimientos_2026[[#This Row],[Codigo]],Plan_cuentas[],6,FALSE)," ")</f>
        <v>4 - FCA - Fiat</v>
      </c>
      <c r="L1794" s="50">
        <v>65494440</v>
      </c>
      <c r="M1794" s="50"/>
      <c r="N1794" s="20">
        <f>+Movimientos_2026[[#This Row],[Ingresos]]-Movimientos_2026[[#This Row],[Egresos]]</f>
        <v>65494440</v>
      </c>
      <c r="O1794" s="20">
        <f>+O1793+Movimientos_2026[[#This Row],[Neto]]</f>
        <v>4753015250.1868744</v>
      </c>
    </row>
    <row r="1795" spans="1:15" x14ac:dyDescent="0.25">
      <c r="A1795" s="13">
        <v>46176</v>
      </c>
      <c r="B1795" s="12">
        <f>MONTH(Movimientos_2026[[#This Row],[Fecha]])</f>
        <v>6</v>
      </c>
      <c r="C1795" s="12" t="str">
        <f>VLOOKUP((WEEKDAY(Movimientos_2026[[#This Row],[Fecha]],2)),'5. Setup'!$D$6:$E$12,2,FALSE)</f>
        <v>Mie</v>
      </c>
      <c r="D1795">
        <v>1044326</v>
      </c>
      <c r="E1795" t="str">
        <f>IFERROR(+VLOOKUP(Movimientos_2026[[#This Row],[Codigo]],Plan_cuentas[],2,FALSE)," ")</f>
        <v>INGRESOS</v>
      </c>
      <c r="F1795" t="str">
        <f>IFERROR(+VLOOKUP(Movimientos_2026[[#This Row],[Codigo]],Plan_cuentas[],3,FALSE)," ")</f>
        <v>Transferencia</v>
      </c>
      <c r="G1795" t="str">
        <f>IFERROR(+VLOOKUP(Movimientos_2026[[#This Row],[Codigo]],Plan_cuentas[],4,FALSE)," ")</f>
        <v>Rentas</v>
      </c>
      <c r="H1795" t="str">
        <f>IFERROR(+VLOOKUP(Movimientos_2026[[#This Row],[Codigo]],Plan_cuentas[],5,FALSE)," ")</f>
        <v>NEUQUEN 2° Q</v>
      </c>
      <c r="I1795" s="43">
        <v>46143</v>
      </c>
      <c r="J1795" t="s">
        <v>787</v>
      </c>
      <c r="K1795" t="str">
        <f>IFERROR(+VLOOKUP(Movimientos_2026[[#This Row],[Codigo]],Plan_cuentas[],6,FALSE)," ")</f>
        <v>6 - FCAtr - Fiat Transf.</v>
      </c>
      <c r="L1795" s="50">
        <v>978699.20000000007</v>
      </c>
      <c r="M1795" s="50"/>
      <c r="N1795" s="20">
        <f>+Movimientos_2026[[#This Row],[Ingresos]]-Movimientos_2026[[#This Row],[Egresos]]</f>
        <v>978699.20000000007</v>
      </c>
      <c r="O1795" s="20">
        <f>+O1794+Movimientos_2026[[#This Row],[Neto]]</f>
        <v>4753993949.3868742</v>
      </c>
    </row>
    <row r="1796" spans="1:15" x14ac:dyDescent="0.25">
      <c r="A1796" s="13">
        <v>46176</v>
      </c>
      <c r="B1796" s="12">
        <f>MONTH(Movimientos_2026[[#This Row],[Fecha]])</f>
        <v>6</v>
      </c>
      <c r="C1796" s="12" t="str">
        <f>VLOOKUP((WEEKDAY(Movimientos_2026[[#This Row],[Fecha]],2)),'5. Setup'!$D$6:$E$12,2,FALSE)</f>
        <v>Mie</v>
      </c>
      <c r="D1796">
        <v>1044344</v>
      </c>
      <c r="E1796" t="str">
        <f>IFERROR(+VLOOKUP(Movimientos_2026[[#This Row],[Codigo]],Plan_cuentas[],2,FALSE)," ")</f>
        <v>INGRESOS</v>
      </c>
      <c r="F1796" t="str">
        <f>IFERROR(+VLOOKUP(Movimientos_2026[[#This Row],[Codigo]],Plan_cuentas[],3,FALSE)," ")</f>
        <v>Transferencia</v>
      </c>
      <c r="G1796" t="str">
        <f>IFERROR(+VLOOKUP(Movimientos_2026[[#This Row],[Codigo]],Plan_cuentas[],4,FALSE)," ")</f>
        <v>Rentas</v>
      </c>
      <c r="H1796" t="str">
        <f>IFERROR(+VLOOKUP(Movimientos_2026[[#This Row],[Codigo]],Plan_cuentas[],5,FALSE)," ")</f>
        <v>RIO NEGRO</v>
      </c>
      <c r="I1796" s="43">
        <v>46143</v>
      </c>
      <c r="J1796" t="s">
        <v>787</v>
      </c>
      <c r="K1796" t="str">
        <f>IFERROR(+VLOOKUP(Movimientos_2026[[#This Row],[Codigo]],Plan_cuentas[],6,FALSE)," ")</f>
        <v>4 - FCA - Fiat</v>
      </c>
      <c r="L1796" s="50">
        <v>1627200</v>
      </c>
      <c r="M1796" s="50"/>
      <c r="N1796" s="20">
        <f>+Movimientos_2026[[#This Row],[Ingresos]]-Movimientos_2026[[#This Row],[Egresos]]</f>
        <v>1627200</v>
      </c>
      <c r="O1796" s="20">
        <f>+O1795+Movimientos_2026[[#This Row],[Neto]]</f>
        <v>4755621149.3868742</v>
      </c>
    </row>
    <row r="1797" spans="1:15" x14ac:dyDescent="0.25">
      <c r="A1797" s="13">
        <v>46176</v>
      </c>
      <c r="B1797" s="12">
        <f>MONTH(Movimientos_2026[[#This Row],[Fecha]])</f>
        <v>6</v>
      </c>
      <c r="C1797" s="12" t="str">
        <f>VLOOKUP((WEEKDAY(Movimientos_2026[[#This Row],[Fecha]],2)),'5. Setup'!$D$6:$E$12,2,FALSE)</f>
        <v>Mie</v>
      </c>
      <c r="D1797">
        <v>1044354</v>
      </c>
      <c r="E1797" t="str">
        <f>IFERROR(+VLOOKUP(Movimientos_2026[[#This Row],[Codigo]],Plan_cuentas[],2,FALSE)," ")</f>
        <v>INGRESOS</v>
      </c>
      <c r="F1797" t="str">
        <f>IFERROR(+VLOOKUP(Movimientos_2026[[#This Row],[Codigo]],Plan_cuentas[],3,FALSE)," ")</f>
        <v>Transferencia</v>
      </c>
      <c r="G1797" t="str">
        <f>IFERROR(+VLOOKUP(Movimientos_2026[[#This Row],[Codigo]],Plan_cuentas[],4,FALSE)," ")</f>
        <v>Rentas</v>
      </c>
      <c r="H1797" t="str">
        <f>IFERROR(+VLOOKUP(Movimientos_2026[[#This Row],[Codigo]],Plan_cuentas[],5,FALSE)," ")</f>
        <v>SAN JUAN</v>
      </c>
      <c r="I1797" s="43">
        <v>46143</v>
      </c>
      <c r="J1797" t="s">
        <v>787</v>
      </c>
      <c r="K1797" t="str">
        <f>IFERROR(+VLOOKUP(Movimientos_2026[[#This Row],[Codigo]],Plan_cuentas[],6,FALSE)," ")</f>
        <v>4 - FCA - Fiat</v>
      </c>
      <c r="L1797" s="50">
        <v>6109824</v>
      </c>
      <c r="M1797" s="50"/>
      <c r="N1797" s="20">
        <f>+Movimientos_2026[[#This Row],[Ingresos]]-Movimientos_2026[[#This Row],[Egresos]]</f>
        <v>6109824</v>
      </c>
      <c r="O1797" s="20">
        <f>+O1796+Movimientos_2026[[#This Row],[Neto]]</f>
        <v>4761730973.3868742</v>
      </c>
    </row>
    <row r="1798" spans="1:15" x14ac:dyDescent="0.25">
      <c r="A1798" s="13">
        <v>46176</v>
      </c>
      <c r="B1798" s="12">
        <f>MONTH(Movimientos_2026[[#This Row],[Fecha]])</f>
        <v>6</v>
      </c>
      <c r="C1798" s="12" t="str">
        <f>VLOOKUP((WEEKDAY(Movimientos_2026[[#This Row],[Fecha]],2)),'5. Setup'!$D$6:$E$12,2,FALSE)</f>
        <v>Mie</v>
      </c>
      <c r="D1798">
        <v>1044356</v>
      </c>
      <c r="E1798" t="str">
        <f>IFERROR(+VLOOKUP(Movimientos_2026[[#This Row],[Codigo]],Plan_cuentas[],2,FALSE)," ")</f>
        <v>INGRESOS</v>
      </c>
      <c r="F1798" t="str">
        <f>IFERROR(+VLOOKUP(Movimientos_2026[[#This Row],[Codigo]],Plan_cuentas[],3,FALSE)," ")</f>
        <v>Transferencia</v>
      </c>
      <c r="G1798" t="str">
        <f>IFERROR(+VLOOKUP(Movimientos_2026[[#This Row],[Codigo]],Plan_cuentas[],4,FALSE)," ")</f>
        <v>Rentas</v>
      </c>
      <c r="H1798" t="str">
        <f>IFERROR(+VLOOKUP(Movimientos_2026[[#This Row],[Codigo]],Plan_cuentas[],5,FALSE)," ")</f>
        <v>SAN JUAN</v>
      </c>
      <c r="I1798" s="43">
        <v>46143</v>
      </c>
      <c r="J1798" t="s">
        <v>787</v>
      </c>
      <c r="K1798" t="str">
        <f>IFERROR(+VLOOKUP(Movimientos_2026[[#This Row],[Codigo]],Plan_cuentas[],6,FALSE)," ")</f>
        <v>6 - FCAtr - Fiat Transf.</v>
      </c>
      <c r="L1798" s="50">
        <v>978699.20000000007</v>
      </c>
      <c r="M1798" s="50"/>
      <c r="N1798" s="20">
        <f>+Movimientos_2026[[#This Row],[Ingresos]]-Movimientos_2026[[#This Row],[Egresos]]</f>
        <v>978699.20000000007</v>
      </c>
      <c r="O1798" s="20">
        <f>+O1797+Movimientos_2026[[#This Row],[Neto]]</f>
        <v>4762709672.586874</v>
      </c>
    </row>
    <row r="1799" spans="1:15" x14ac:dyDescent="0.25">
      <c r="A1799" s="13">
        <v>46176</v>
      </c>
      <c r="B1799" s="12">
        <f>MONTH(Movimientos_2026[[#This Row],[Fecha]])</f>
        <v>6</v>
      </c>
      <c r="C1799" s="12" t="str">
        <f>VLOOKUP((WEEKDAY(Movimientos_2026[[#This Row],[Fecha]],2)),'5. Setup'!$D$6:$E$12,2,FALSE)</f>
        <v>Mie</v>
      </c>
      <c r="D1799">
        <v>1044364</v>
      </c>
      <c r="E1799" t="str">
        <f>IFERROR(+VLOOKUP(Movimientos_2026[[#This Row],[Codigo]],Plan_cuentas[],2,FALSE)," ")</f>
        <v>INGRESOS</v>
      </c>
      <c r="F1799" t="str">
        <f>IFERROR(+VLOOKUP(Movimientos_2026[[#This Row],[Codigo]],Plan_cuentas[],3,FALSE)," ")</f>
        <v>Transferencia</v>
      </c>
      <c r="G1799" t="str">
        <f>IFERROR(+VLOOKUP(Movimientos_2026[[#This Row],[Codigo]],Plan_cuentas[],4,FALSE)," ")</f>
        <v>Rentas</v>
      </c>
      <c r="H1799" t="str">
        <f>IFERROR(+VLOOKUP(Movimientos_2026[[#This Row],[Codigo]],Plan_cuentas[],5,FALSE)," ")</f>
        <v>SAN LUIS</v>
      </c>
      <c r="I1799" s="43">
        <v>46143</v>
      </c>
      <c r="J1799" t="s">
        <v>787</v>
      </c>
      <c r="K1799" t="str">
        <f>IFERROR(+VLOOKUP(Movimientos_2026[[#This Row],[Codigo]],Plan_cuentas[],6,FALSE)," ")</f>
        <v>4 - FCA - Fiat</v>
      </c>
      <c r="L1799" s="50">
        <v>43421780.310000002</v>
      </c>
      <c r="M1799" s="50"/>
      <c r="N1799" s="20">
        <f>+Movimientos_2026[[#This Row],[Ingresos]]-Movimientos_2026[[#This Row],[Egresos]]</f>
        <v>43421780.310000002</v>
      </c>
      <c r="O1799" s="20">
        <f>+O1798+Movimientos_2026[[#This Row],[Neto]]</f>
        <v>4806131452.8968744</v>
      </c>
    </row>
    <row r="1800" spans="1:15" x14ac:dyDescent="0.25">
      <c r="A1800" s="13">
        <v>46176</v>
      </c>
      <c r="B1800" s="12">
        <f>MONTH(Movimientos_2026[[#This Row],[Fecha]])</f>
        <v>6</v>
      </c>
      <c r="C1800" s="12" t="str">
        <f>VLOOKUP((WEEKDAY(Movimientos_2026[[#This Row],[Fecha]],2)),'5. Setup'!$D$6:$E$12,2,FALSE)</f>
        <v>Mie</v>
      </c>
      <c r="D1800">
        <v>1044374</v>
      </c>
      <c r="E1800" t="str">
        <f>IFERROR(+VLOOKUP(Movimientos_2026[[#This Row],[Codigo]],Plan_cuentas[],2,FALSE)," ")</f>
        <v>INGRESOS</v>
      </c>
      <c r="F1800" t="str">
        <f>IFERROR(+VLOOKUP(Movimientos_2026[[#This Row],[Codigo]],Plan_cuentas[],3,FALSE)," ")</f>
        <v>Transferencia</v>
      </c>
      <c r="G1800" t="str">
        <f>IFERROR(+VLOOKUP(Movimientos_2026[[#This Row],[Codigo]],Plan_cuentas[],4,FALSE)," ")</f>
        <v>Rentas</v>
      </c>
      <c r="H1800" t="str">
        <f>IFERROR(+VLOOKUP(Movimientos_2026[[#This Row],[Codigo]],Plan_cuentas[],5,FALSE)," ")</f>
        <v>SANTA CRUZ</v>
      </c>
      <c r="I1800" s="43">
        <v>46143</v>
      </c>
      <c r="J1800" t="s">
        <v>787</v>
      </c>
      <c r="K1800" t="str">
        <f>IFERROR(+VLOOKUP(Movimientos_2026[[#This Row],[Codigo]],Plan_cuentas[],6,FALSE)," ")</f>
        <v>4 - FCA - Fiat</v>
      </c>
      <c r="L1800" s="50">
        <v>17143778.43</v>
      </c>
      <c r="M1800" s="50"/>
      <c r="N1800" s="20">
        <f>+Movimientos_2026[[#This Row],[Ingresos]]-Movimientos_2026[[#This Row],[Egresos]]</f>
        <v>17143778.43</v>
      </c>
      <c r="O1800" s="20">
        <f>+O1799+Movimientos_2026[[#This Row],[Neto]]</f>
        <v>4823275231.3268747</v>
      </c>
    </row>
    <row r="1801" spans="1:15" x14ac:dyDescent="0.25">
      <c r="A1801" s="13">
        <v>46176</v>
      </c>
      <c r="B1801" s="12">
        <f>MONTH(Movimientos_2026[[#This Row],[Fecha]])</f>
        <v>6</v>
      </c>
      <c r="C1801" s="12" t="str">
        <f>VLOOKUP((WEEKDAY(Movimientos_2026[[#This Row],[Fecha]],2)),'5. Setup'!$D$6:$E$12,2,FALSE)</f>
        <v>Mie</v>
      </c>
      <c r="D1801">
        <v>1044404</v>
      </c>
      <c r="E1801" t="str">
        <f>IFERROR(+VLOOKUP(Movimientos_2026[[#This Row],[Codigo]],Plan_cuentas[],2,FALSE)," ")</f>
        <v>INGRESOS</v>
      </c>
      <c r="F1801" t="str">
        <f>IFERROR(+VLOOKUP(Movimientos_2026[[#This Row],[Codigo]],Plan_cuentas[],3,FALSE)," ")</f>
        <v>Transferencia</v>
      </c>
      <c r="G1801" t="str">
        <f>IFERROR(+VLOOKUP(Movimientos_2026[[#This Row],[Codigo]],Plan_cuentas[],4,FALSE)," ")</f>
        <v>Rentas</v>
      </c>
      <c r="H1801" t="str">
        <f>IFERROR(+VLOOKUP(Movimientos_2026[[#This Row],[Codigo]],Plan_cuentas[],5,FALSE)," ")</f>
        <v>SANTIAGO DEL ESTERO</v>
      </c>
      <c r="I1801" s="43">
        <v>46143</v>
      </c>
      <c r="J1801" t="s">
        <v>787</v>
      </c>
      <c r="K1801" t="str">
        <f>IFERROR(+VLOOKUP(Movimientos_2026[[#This Row],[Codigo]],Plan_cuentas[],6,FALSE)," ")</f>
        <v>4 - FCA - Fiat</v>
      </c>
      <c r="L1801" s="50">
        <v>25002725.199999999</v>
      </c>
      <c r="M1801" s="50"/>
      <c r="N1801" s="20">
        <f>+Movimientos_2026[[#This Row],[Ingresos]]-Movimientos_2026[[#This Row],[Egresos]]</f>
        <v>25002725.199999999</v>
      </c>
      <c r="O1801" s="20">
        <f>+O1800+Movimientos_2026[[#This Row],[Neto]]</f>
        <v>4848277956.5268745</v>
      </c>
    </row>
    <row r="1802" spans="1:15" x14ac:dyDescent="0.25">
      <c r="A1802" s="13">
        <v>46176</v>
      </c>
      <c r="B1802" s="12">
        <f>MONTH(Movimientos_2026[[#This Row],[Fecha]])</f>
        <v>6</v>
      </c>
      <c r="C1802" s="12" t="str">
        <f>VLOOKUP((WEEKDAY(Movimientos_2026[[#This Row],[Fecha]],2)),'5. Setup'!$D$6:$E$12,2,FALSE)</f>
        <v>Mie</v>
      </c>
      <c r="D1802">
        <v>1044406</v>
      </c>
      <c r="E1802" t="str">
        <f>IFERROR(+VLOOKUP(Movimientos_2026[[#This Row],[Codigo]],Plan_cuentas[],2,FALSE)," ")</f>
        <v>INGRESOS</v>
      </c>
      <c r="F1802" t="str">
        <f>IFERROR(+VLOOKUP(Movimientos_2026[[#This Row],[Codigo]],Plan_cuentas[],3,FALSE)," ")</f>
        <v>Transferencia</v>
      </c>
      <c r="G1802" t="str">
        <f>IFERROR(+VLOOKUP(Movimientos_2026[[#This Row],[Codigo]],Plan_cuentas[],4,FALSE)," ")</f>
        <v>Rentas</v>
      </c>
      <c r="H1802" t="str">
        <f>IFERROR(+VLOOKUP(Movimientos_2026[[#This Row],[Codigo]],Plan_cuentas[],5,FALSE)," ")</f>
        <v>SANTIAGO DEL ESTERO</v>
      </c>
      <c r="I1802" s="43">
        <v>46143</v>
      </c>
      <c r="J1802" t="s">
        <v>787</v>
      </c>
      <c r="K1802" t="str">
        <f>IFERROR(+VLOOKUP(Movimientos_2026[[#This Row],[Codigo]],Plan_cuentas[],6,FALSE)," ")</f>
        <v>6 - FCAtr - Fiat Transf.</v>
      </c>
      <c r="L1802" s="50">
        <v>570288.00999999989</v>
      </c>
      <c r="M1802" s="50"/>
      <c r="N1802" s="20">
        <f>+Movimientos_2026[[#This Row],[Ingresos]]-Movimientos_2026[[#This Row],[Egresos]]</f>
        <v>570288.00999999989</v>
      </c>
      <c r="O1802" s="20">
        <f>+O1801+Movimientos_2026[[#This Row],[Neto]]</f>
        <v>4848848244.5368748</v>
      </c>
    </row>
    <row r="1803" spans="1:15" x14ac:dyDescent="0.25">
      <c r="A1803" s="13">
        <v>46176</v>
      </c>
      <c r="B1803" s="12">
        <f>MONTH(Movimientos_2026[[#This Row],[Fecha]])</f>
        <v>6</v>
      </c>
      <c r="C1803" s="12" t="str">
        <f>VLOOKUP((WEEKDAY(Movimientos_2026[[#This Row],[Fecha]],2)),'5. Setup'!$D$6:$E$12,2,FALSE)</f>
        <v>Mie</v>
      </c>
      <c r="D1803">
        <v>1044404</v>
      </c>
      <c r="E1803" t="str">
        <f>IFERROR(+VLOOKUP(Movimientos_2026[[#This Row],[Codigo]],Plan_cuentas[],2,FALSE)," ")</f>
        <v>INGRESOS</v>
      </c>
      <c r="F1803" t="str">
        <f>IFERROR(+VLOOKUP(Movimientos_2026[[#This Row],[Codigo]],Plan_cuentas[],3,FALSE)," ")</f>
        <v>Transferencia</v>
      </c>
      <c r="G1803" t="str">
        <f>IFERROR(+VLOOKUP(Movimientos_2026[[#This Row],[Codigo]],Plan_cuentas[],4,FALSE)," ")</f>
        <v>Rentas</v>
      </c>
      <c r="H1803" t="str">
        <f>IFERROR(+VLOOKUP(Movimientos_2026[[#This Row],[Codigo]],Plan_cuentas[],5,FALSE)," ")</f>
        <v>SANTIAGO DEL ESTERO</v>
      </c>
      <c r="I1803" s="43">
        <v>46143</v>
      </c>
      <c r="J1803" t="s">
        <v>787</v>
      </c>
      <c r="K1803" t="str">
        <f>IFERROR(+VLOOKUP(Movimientos_2026[[#This Row],[Codigo]],Plan_cuentas[],6,FALSE)," ")</f>
        <v>4 - FCA - Fiat</v>
      </c>
      <c r="L1803" s="50">
        <v>6892327.1399999997</v>
      </c>
      <c r="M1803" s="50"/>
      <c r="N1803" s="20">
        <f>+Movimientos_2026[[#This Row],[Ingresos]]-Movimientos_2026[[#This Row],[Egresos]]</f>
        <v>6892327.1399999997</v>
      </c>
      <c r="O1803" s="20">
        <f>+O1802+Movimientos_2026[[#This Row],[Neto]]</f>
        <v>4855740571.6768751</v>
      </c>
    </row>
    <row r="1804" spans="1:15" x14ac:dyDescent="0.25">
      <c r="A1804" s="13">
        <v>46176</v>
      </c>
      <c r="B1804" s="12">
        <f>MONTH(Movimientos_2026[[#This Row],[Fecha]])</f>
        <v>6</v>
      </c>
      <c r="C1804" s="12" t="str">
        <f>VLOOKUP((WEEKDAY(Movimientos_2026[[#This Row],[Fecha]],2)),'5. Setup'!$D$6:$E$12,2,FALSE)</f>
        <v>Mie</v>
      </c>
      <c r="D1804">
        <v>1044414</v>
      </c>
      <c r="E1804" t="str">
        <f>IFERROR(+VLOOKUP(Movimientos_2026[[#This Row],[Codigo]],Plan_cuentas[],2,FALSE)," ")</f>
        <v>INGRESOS</v>
      </c>
      <c r="F1804" t="str">
        <f>IFERROR(+VLOOKUP(Movimientos_2026[[#This Row],[Codigo]],Plan_cuentas[],3,FALSE)," ")</f>
        <v>Transferencia</v>
      </c>
      <c r="G1804" t="str">
        <f>IFERROR(+VLOOKUP(Movimientos_2026[[#This Row],[Codigo]],Plan_cuentas[],4,FALSE)," ")</f>
        <v>Rentas</v>
      </c>
      <c r="H1804" t="str">
        <f>IFERROR(+VLOOKUP(Movimientos_2026[[#This Row],[Codigo]],Plan_cuentas[],5,FALSE)," ")</f>
        <v>TIERRA DEL FUEGO</v>
      </c>
      <c r="I1804" s="43">
        <v>46143</v>
      </c>
      <c r="J1804" t="s">
        <v>787</v>
      </c>
      <c r="K1804" t="str">
        <f>IFERROR(+VLOOKUP(Movimientos_2026[[#This Row],[Codigo]],Plan_cuentas[],6,FALSE)," ")</f>
        <v>4 - FCA - Fiat</v>
      </c>
      <c r="L1804" s="50">
        <v>19191854.98</v>
      </c>
      <c r="M1804" s="50"/>
      <c r="N1804" s="20">
        <f>+Movimientos_2026[[#This Row],[Ingresos]]-Movimientos_2026[[#This Row],[Egresos]]</f>
        <v>19191854.98</v>
      </c>
      <c r="O1804" s="20">
        <f>+O1803+Movimientos_2026[[#This Row],[Neto]]</f>
        <v>4874932426.6568747</v>
      </c>
    </row>
    <row r="1805" spans="1:15" x14ac:dyDescent="0.25">
      <c r="A1805" s="13">
        <v>46177</v>
      </c>
      <c r="B1805" s="12">
        <f>MONTH(Movimientos_2026[[#This Row],[Fecha]])</f>
        <v>6</v>
      </c>
      <c r="C1805" s="12" t="str">
        <f>VLOOKUP((WEEKDAY(Movimientos_2026[[#This Row],[Fecha]],2)),'5. Setup'!$D$6:$E$12,2,FALSE)</f>
        <v>Jue</v>
      </c>
      <c r="D1805">
        <v>2034412</v>
      </c>
      <c r="E1805" t="str">
        <f>IFERROR(+VLOOKUP(Movimientos_2026[[#This Row],[Codigo]],Plan_cuentas[],2,FALSE)," ")</f>
        <v>EGRESOS</v>
      </c>
      <c r="F1805" t="str">
        <f>IFERROR(+VLOOKUP(Movimientos_2026[[#This Row],[Codigo]],Plan_cuentas[],3,FALSE)," ")</f>
        <v>Pagos Bco. Provincia</v>
      </c>
      <c r="G1805" t="str">
        <f>IFERROR(+VLOOKUP(Movimientos_2026[[#This Row],[Codigo]],Plan_cuentas[],4,FALSE)," ")</f>
        <v>Rentas</v>
      </c>
      <c r="H1805" t="str">
        <f>IFERROR(+VLOOKUP(Movimientos_2026[[#This Row],[Codigo]],Plan_cuentas[],5,FALSE)," ")</f>
        <v>TIERRA DEL FUEGO</v>
      </c>
      <c r="I1805" s="43">
        <v>46143</v>
      </c>
      <c r="J1805" t="s">
        <v>788</v>
      </c>
      <c r="K1805" t="str">
        <f>IFERROR(+VLOOKUP(Movimientos_2026[[#This Row],[Codigo]],Plan_cuentas[],6,FALSE)," ")</f>
        <v>2 - PR - Plan Rombo</v>
      </c>
      <c r="L1805" s="50"/>
      <c r="M1805" s="50">
        <v>4365000.53</v>
      </c>
      <c r="N1805" s="20">
        <f>+Movimientos_2026[[#This Row],[Ingresos]]-Movimientos_2026[[#This Row],[Egresos]]</f>
        <v>-4365000.53</v>
      </c>
      <c r="O1805" s="20">
        <f>+O1804+Movimientos_2026[[#This Row],[Neto]]</f>
        <v>4870567426.1268749</v>
      </c>
    </row>
    <row r="1806" spans="1:15" x14ac:dyDescent="0.25">
      <c r="A1806" s="13">
        <v>46177</v>
      </c>
      <c r="B1806" s="12">
        <f>MONTH(Movimientos_2026[[#This Row],[Fecha]])</f>
        <v>6</v>
      </c>
      <c r="C1806" s="12" t="str">
        <f>VLOOKUP((WEEKDAY(Movimientos_2026[[#This Row],[Fecha]],2)),'5. Setup'!$D$6:$E$12,2,FALSE)</f>
        <v>Jue</v>
      </c>
      <c r="D1806">
        <v>2034417</v>
      </c>
      <c r="E1806" t="str">
        <f>IFERROR(+VLOOKUP(Movimientos_2026[[#This Row],[Codigo]],Plan_cuentas[],2,FALSE)," ")</f>
        <v>EGRESOS</v>
      </c>
      <c r="F1806" t="str">
        <f>IFERROR(+VLOOKUP(Movimientos_2026[[#This Row],[Codigo]],Plan_cuentas[],3,FALSE)," ")</f>
        <v>Pagos Bco. Provincia</v>
      </c>
      <c r="G1806" t="str">
        <f>IFERROR(+VLOOKUP(Movimientos_2026[[#This Row],[Codigo]],Plan_cuentas[],4,FALSE)," ")</f>
        <v>Rentas</v>
      </c>
      <c r="H1806" t="str">
        <f>IFERROR(+VLOOKUP(Movimientos_2026[[#This Row],[Codigo]],Plan_cuentas[],5,FALSE)," ")</f>
        <v>TIERRA DEL FUEGO</v>
      </c>
      <c r="I1806" s="43">
        <v>46143</v>
      </c>
      <c r="J1806" t="s">
        <v>788</v>
      </c>
      <c r="K1806" t="str">
        <f>IFERROR(+VLOOKUP(Movimientos_2026[[#This Row],[Codigo]],Plan_cuentas[],6,FALSE)," ")</f>
        <v>7 - PRtr - Plan Rombo Transf.</v>
      </c>
      <c r="L1806" s="50"/>
      <c r="M1806" s="50">
        <v>45000</v>
      </c>
      <c r="N1806" s="20">
        <f>+Movimientos_2026[[#This Row],[Ingresos]]-Movimientos_2026[[#This Row],[Egresos]]</f>
        <v>-45000</v>
      </c>
      <c r="O1806" s="20">
        <f>+O1805+Movimientos_2026[[#This Row],[Neto]]</f>
        <v>4870522426.1268749</v>
      </c>
    </row>
    <row r="1807" spans="1:15" x14ac:dyDescent="0.25">
      <c r="A1807" s="13">
        <v>46177</v>
      </c>
      <c r="B1807" s="12">
        <f>MONTH(Movimientos_2026[[#This Row],[Fecha]])</f>
        <v>6</v>
      </c>
      <c r="C1807" s="12" t="str">
        <f>VLOOKUP((WEEKDAY(Movimientos_2026[[#This Row],[Fecha]],2)),'5. Setup'!$D$6:$E$12,2,FALSE)</f>
        <v>Jue</v>
      </c>
      <c r="D1807">
        <v>2034414</v>
      </c>
      <c r="E1807" t="str">
        <f>IFERROR(+VLOOKUP(Movimientos_2026[[#This Row],[Codigo]],Plan_cuentas[],2,FALSE)," ")</f>
        <v>EGRESOS</v>
      </c>
      <c r="F1807" t="str">
        <f>IFERROR(+VLOOKUP(Movimientos_2026[[#This Row],[Codigo]],Plan_cuentas[],3,FALSE)," ")</f>
        <v>Pagos Bco. Provincia</v>
      </c>
      <c r="G1807" t="str">
        <f>IFERROR(+VLOOKUP(Movimientos_2026[[#This Row],[Codigo]],Plan_cuentas[],4,FALSE)," ")</f>
        <v>Rentas</v>
      </c>
      <c r="H1807" t="str">
        <f>IFERROR(+VLOOKUP(Movimientos_2026[[#This Row],[Codigo]],Plan_cuentas[],5,FALSE)," ")</f>
        <v>TIERRA DEL FUEGO</v>
      </c>
      <c r="I1807" s="43">
        <v>46143</v>
      </c>
      <c r="J1807" s="53" t="s">
        <v>789</v>
      </c>
      <c r="K1807" t="str">
        <f>IFERROR(+VLOOKUP(Movimientos_2026[[#This Row],[Codigo]],Plan_cuentas[],6,FALSE)," ")</f>
        <v>4 - FCA - Fiat</v>
      </c>
      <c r="L1807" s="50"/>
      <c r="M1807" s="50">
        <v>19191855.02</v>
      </c>
      <c r="N1807" s="20">
        <f>+Movimientos_2026[[#This Row],[Ingresos]]-Movimientos_2026[[#This Row],[Egresos]]</f>
        <v>-19191855.02</v>
      </c>
      <c r="O1807" s="20">
        <f>+O1806+Movimientos_2026[[#This Row],[Neto]]</f>
        <v>4851330571.1068745</v>
      </c>
    </row>
    <row r="1808" spans="1:15" x14ac:dyDescent="0.25">
      <c r="A1808" s="13">
        <v>46177</v>
      </c>
      <c r="B1808" s="12">
        <f>MONTH(Movimientos_2026[[#This Row],[Fecha]])</f>
        <v>6</v>
      </c>
      <c r="C1808" s="12" t="str">
        <f>VLOOKUP((WEEKDAY(Movimientos_2026[[#This Row],[Fecha]],2)),'5. Setup'!$D$6:$E$12,2,FALSE)</f>
        <v>Jue</v>
      </c>
      <c r="D1808">
        <v>2044122</v>
      </c>
      <c r="E1808" t="str">
        <f>IFERROR(+VLOOKUP(Movimientos_2026[[#This Row],[Codigo]],Plan_cuentas[],2,FALSE)," ")</f>
        <v>EGRESOS</v>
      </c>
      <c r="F1808" t="str">
        <f>IFERROR(+VLOOKUP(Movimientos_2026[[#This Row],[Codigo]],Plan_cuentas[],3,FALSE)," ")</f>
        <v>Transferencia</v>
      </c>
      <c r="G1808" t="str">
        <f>IFERROR(+VLOOKUP(Movimientos_2026[[#This Row],[Codigo]],Plan_cuentas[],4,FALSE)," ")</f>
        <v>Rentas</v>
      </c>
      <c r="H1808" t="str">
        <f>IFERROR(+VLOOKUP(Movimientos_2026[[#This Row],[Codigo]],Plan_cuentas[],5,FALSE)," ")</f>
        <v>BAPRO</v>
      </c>
      <c r="I1808" s="43">
        <v>46113</v>
      </c>
      <c r="J1808" t="s">
        <v>790</v>
      </c>
      <c r="K1808" t="str">
        <f>IFERROR(+VLOOKUP(Movimientos_2026[[#This Row],[Codigo]],Plan_cuentas[],6,FALSE)," ")</f>
        <v>2 - PR - Plan Rombo</v>
      </c>
      <c r="L1808" s="50"/>
      <c r="M1808" s="50">
        <v>14881856.4</v>
      </c>
      <c r="N1808" s="20">
        <f>+Movimientos_2026[[#This Row],[Ingresos]]-Movimientos_2026[[#This Row],[Egresos]]</f>
        <v>-14881856.4</v>
      </c>
      <c r="O1808" s="20">
        <f>+O1807+Movimientos_2026[[#This Row],[Neto]]</f>
        <v>4836448714.7068748</v>
      </c>
    </row>
    <row r="1809" spans="1:15" x14ac:dyDescent="0.25">
      <c r="A1809" s="13">
        <v>46177</v>
      </c>
      <c r="B1809" s="12">
        <f>MONTH(Movimientos_2026[[#This Row],[Fecha]])</f>
        <v>6</v>
      </c>
      <c r="C1809" s="12" t="str">
        <f>VLOOKUP((WEEKDAY(Movimientos_2026[[#This Row],[Fecha]],2)),'5. Setup'!$D$6:$E$12,2,FALSE)</f>
        <v>Jue</v>
      </c>
      <c r="D1809">
        <v>2044122</v>
      </c>
      <c r="E1809" t="str">
        <f>IFERROR(+VLOOKUP(Movimientos_2026[[#This Row],[Codigo]],Plan_cuentas[],2,FALSE)," ")</f>
        <v>EGRESOS</v>
      </c>
      <c r="F1809" t="str">
        <f>IFERROR(+VLOOKUP(Movimientos_2026[[#This Row],[Codigo]],Plan_cuentas[],3,FALSE)," ")</f>
        <v>Transferencia</v>
      </c>
      <c r="G1809" t="str">
        <f>IFERROR(+VLOOKUP(Movimientos_2026[[#This Row],[Codigo]],Plan_cuentas[],4,FALSE)," ")</f>
        <v>Rentas</v>
      </c>
      <c r="H1809" t="str">
        <f>IFERROR(+VLOOKUP(Movimientos_2026[[#This Row],[Codigo]],Plan_cuentas[],5,FALSE)," ")</f>
        <v>BAPRO</v>
      </c>
      <c r="I1809" s="43">
        <v>46113</v>
      </c>
      <c r="J1809" t="s">
        <v>791</v>
      </c>
      <c r="K1809" t="str">
        <f>IFERROR(+VLOOKUP(Movimientos_2026[[#This Row],[Codigo]],Plan_cuentas[],6,FALSE)," ")</f>
        <v>2 - PR - Plan Rombo</v>
      </c>
      <c r="L1809" s="50"/>
      <c r="M1809" s="50">
        <v>16994393.5</v>
      </c>
      <c r="N1809" s="20">
        <f>+Movimientos_2026[[#This Row],[Ingresos]]-Movimientos_2026[[#This Row],[Egresos]]</f>
        <v>-16994393.5</v>
      </c>
      <c r="O1809" s="20">
        <f>+O1808+Movimientos_2026[[#This Row],[Neto]]</f>
        <v>4819454321.2068748</v>
      </c>
    </row>
    <row r="1810" spans="1:15" x14ac:dyDescent="0.25">
      <c r="A1810" s="13">
        <v>46177</v>
      </c>
      <c r="B1810" s="12">
        <f>MONTH(Movimientos_2026[[#This Row],[Fecha]])</f>
        <v>6</v>
      </c>
      <c r="C1810" s="12" t="str">
        <f>VLOOKUP((WEEKDAY(Movimientos_2026[[#This Row],[Fecha]],2)),'5. Setup'!$D$6:$E$12,2,FALSE)</f>
        <v>Jue</v>
      </c>
      <c r="D1810">
        <v>2044122</v>
      </c>
      <c r="E1810" t="str">
        <f>IFERROR(+VLOOKUP(Movimientos_2026[[#This Row],[Codigo]],Plan_cuentas[],2,FALSE)," ")</f>
        <v>EGRESOS</v>
      </c>
      <c r="F1810" t="str">
        <f>IFERROR(+VLOOKUP(Movimientos_2026[[#This Row],[Codigo]],Plan_cuentas[],3,FALSE)," ")</f>
        <v>Transferencia</v>
      </c>
      <c r="G1810" t="str">
        <f>IFERROR(+VLOOKUP(Movimientos_2026[[#This Row],[Codigo]],Plan_cuentas[],4,FALSE)," ")</f>
        <v>Rentas</v>
      </c>
      <c r="H1810" t="str">
        <f>IFERROR(+VLOOKUP(Movimientos_2026[[#This Row],[Codigo]],Plan_cuentas[],5,FALSE)," ")</f>
        <v>BAPRO</v>
      </c>
      <c r="I1810" s="43">
        <v>46113</v>
      </c>
      <c r="J1810" t="s">
        <v>792</v>
      </c>
      <c r="K1810" t="str">
        <f>IFERROR(+VLOOKUP(Movimientos_2026[[#This Row],[Codigo]],Plan_cuentas[],6,FALSE)," ")</f>
        <v>2 - PR - Plan Rombo</v>
      </c>
      <c r="L1810" s="50"/>
      <c r="M1810" s="50">
        <v>1901314.9</v>
      </c>
      <c r="N1810" s="20">
        <f>+Movimientos_2026[[#This Row],[Ingresos]]-Movimientos_2026[[#This Row],[Egresos]]</f>
        <v>-1901314.9</v>
      </c>
      <c r="O1810" s="20">
        <f>+O1809+Movimientos_2026[[#This Row],[Neto]]</f>
        <v>4817553006.3068752</v>
      </c>
    </row>
    <row r="1811" spans="1:15" x14ac:dyDescent="0.25">
      <c r="A1811" s="13">
        <v>46177</v>
      </c>
      <c r="B1811" s="12">
        <f>MONTH(Movimientos_2026[[#This Row],[Fecha]])</f>
        <v>6</v>
      </c>
      <c r="C1811" s="12" t="str">
        <f>VLOOKUP((WEEKDAY(Movimientos_2026[[#This Row],[Fecha]],2)),'5. Setup'!$D$6:$E$12,2,FALSE)</f>
        <v>Jue</v>
      </c>
      <c r="D1811">
        <v>2044122</v>
      </c>
      <c r="E1811" t="str">
        <f>IFERROR(+VLOOKUP(Movimientos_2026[[#This Row],[Codigo]],Plan_cuentas[],2,FALSE)," ")</f>
        <v>EGRESOS</v>
      </c>
      <c r="F1811" t="str">
        <f>IFERROR(+VLOOKUP(Movimientos_2026[[#This Row],[Codigo]],Plan_cuentas[],3,FALSE)," ")</f>
        <v>Transferencia</v>
      </c>
      <c r="G1811" t="str">
        <f>IFERROR(+VLOOKUP(Movimientos_2026[[#This Row],[Codigo]],Plan_cuentas[],4,FALSE)," ")</f>
        <v>Rentas</v>
      </c>
      <c r="H1811" t="str">
        <f>IFERROR(+VLOOKUP(Movimientos_2026[[#This Row],[Codigo]],Plan_cuentas[],5,FALSE)," ")</f>
        <v>BAPRO</v>
      </c>
      <c r="I1811" s="43">
        <v>46113</v>
      </c>
      <c r="J1811" t="s">
        <v>793</v>
      </c>
      <c r="K1811" t="str">
        <f>IFERROR(+VLOOKUP(Movimientos_2026[[#This Row],[Codigo]],Plan_cuentas[],6,FALSE)," ")</f>
        <v>2 - PR - Plan Rombo</v>
      </c>
      <c r="L1811" s="50"/>
      <c r="M1811" s="50">
        <v>16247222.9</v>
      </c>
      <c r="N1811" s="20">
        <f>+Movimientos_2026[[#This Row],[Ingresos]]-Movimientos_2026[[#This Row],[Egresos]]</f>
        <v>-16247222.9</v>
      </c>
      <c r="O1811" s="20">
        <f>+O1810+Movimientos_2026[[#This Row],[Neto]]</f>
        <v>4801305783.4068756</v>
      </c>
    </row>
    <row r="1812" spans="1:15" ht="14.25" customHeight="1" x14ac:dyDescent="0.25">
      <c r="A1812" s="13">
        <v>46177</v>
      </c>
      <c r="B1812" s="12">
        <f>MONTH(Movimientos_2026[[#This Row],[Fecha]])</f>
        <v>6</v>
      </c>
      <c r="C1812" s="12" t="str">
        <f>VLOOKUP((WEEKDAY(Movimientos_2026[[#This Row],[Fecha]],2)),'5. Setup'!$D$6:$E$12,2,FALSE)</f>
        <v>Jue</v>
      </c>
      <c r="D1812">
        <v>1043155</v>
      </c>
      <c r="E1812" t="str">
        <f>IFERROR(+VLOOKUP(Movimientos_2026[[#This Row],[Codigo]],Plan_cuentas[],2,FALSE)," ")</f>
        <v>INGRESOS</v>
      </c>
      <c r="F1812" t="str">
        <f>IFERROR(+VLOOKUP(Movimientos_2026[[#This Row],[Codigo]],Plan_cuentas[],3,FALSE)," ")</f>
        <v>Transferencia</v>
      </c>
      <c r="G1812" t="str">
        <f>IFERROR(+VLOOKUP(Movimientos_2026[[#This Row],[Codigo]],Plan_cuentas[],4,FALSE)," ")</f>
        <v>Registración</v>
      </c>
      <c r="H1812" t="str">
        <f>IFERROR(+VLOOKUP(Movimientos_2026[[#This Row],[Codigo]],Plan_cuentas[],5,FALSE)," ")</f>
        <v>CABA</v>
      </c>
      <c r="I1812" s="43">
        <v>46113</v>
      </c>
      <c r="J1812" t="s">
        <v>794</v>
      </c>
      <c r="K1812" t="str">
        <f>IFERROR(+VLOOKUP(Movimientos_2026[[#This Row],[Codigo]],Plan_cuentas[],6,FALSE)," ")</f>
        <v>5 - YAM - Yamaha</v>
      </c>
      <c r="L1812" s="50">
        <v>17897552.859999999</v>
      </c>
      <c r="M1812" s="50"/>
      <c r="N1812" s="20">
        <f>+Movimientos_2026[[#This Row],[Ingresos]]-Movimientos_2026[[#This Row],[Egresos]]</f>
        <v>17897552.859999999</v>
      </c>
      <c r="O1812" s="20">
        <f>+O1811+Movimientos_2026[[#This Row],[Neto]]</f>
        <v>4819203336.2668753</v>
      </c>
    </row>
    <row r="1813" spans="1:15" x14ac:dyDescent="0.25">
      <c r="A1813" s="13">
        <v>46177</v>
      </c>
      <c r="B1813" s="12">
        <f>MONTH(Movimientos_2026[[#This Row],[Fecha]])</f>
        <v>6</v>
      </c>
      <c r="C1813" s="12" t="str">
        <f>VLOOKUP((WEEKDAY(Movimientos_2026[[#This Row],[Fecha]],2)),'5. Setup'!$D$6:$E$12,2,FALSE)</f>
        <v>Jue</v>
      </c>
      <c r="D1813">
        <v>1043175</v>
      </c>
      <c r="E1813" t="str">
        <f>IFERROR(+VLOOKUP(Movimientos_2026[[#This Row],[Codigo]],Plan_cuentas[],2,FALSE)," ")</f>
        <v>INGRESOS</v>
      </c>
      <c r="F1813" t="str">
        <f>IFERROR(+VLOOKUP(Movimientos_2026[[#This Row],[Codigo]],Plan_cuentas[],3,FALSE)," ")</f>
        <v>Transferencia</v>
      </c>
      <c r="G1813" t="str">
        <f>IFERROR(+VLOOKUP(Movimientos_2026[[#This Row],[Codigo]],Plan_cuentas[],4,FALSE)," ")</f>
        <v>Registración</v>
      </c>
      <c r="H1813" t="str">
        <f>IFERROR(+VLOOKUP(Movimientos_2026[[#This Row],[Codigo]],Plan_cuentas[],5,FALSE)," ")</f>
        <v>CHUBUT</v>
      </c>
      <c r="I1813" s="43">
        <v>46113</v>
      </c>
      <c r="J1813" t="s">
        <v>794</v>
      </c>
      <c r="K1813" t="str">
        <f>IFERROR(+VLOOKUP(Movimientos_2026[[#This Row],[Codigo]],Plan_cuentas[],6,FALSE)," ")</f>
        <v>5 - YAM - Yamaha</v>
      </c>
      <c r="L1813" s="50">
        <v>201486.45</v>
      </c>
      <c r="M1813" s="50"/>
      <c r="N1813" s="20">
        <f>+Movimientos_2026[[#This Row],[Ingresos]]-Movimientos_2026[[#This Row],[Egresos]]</f>
        <v>201486.45</v>
      </c>
      <c r="O1813" s="20">
        <f>+O1812+Movimientos_2026[[#This Row],[Neto]]</f>
        <v>4819404822.7168751</v>
      </c>
    </row>
    <row r="1814" spans="1:15" x14ac:dyDescent="0.25">
      <c r="A1814" s="13">
        <v>46177</v>
      </c>
      <c r="B1814" s="12">
        <f>MONTH(Movimientos_2026[[#This Row],[Fecha]])</f>
        <v>6</v>
      </c>
      <c r="C1814" s="12" t="str">
        <f>VLOOKUP((WEEKDAY(Movimientos_2026[[#This Row],[Fecha]],2)),'5. Setup'!$D$6:$E$12,2,FALSE)</f>
        <v>Jue</v>
      </c>
      <c r="D1814">
        <v>1043245</v>
      </c>
      <c r="E1814" t="str">
        <f>IFERROR(+VLOOKUP(Movimientos_2026[[#This Row],[Codigo]],Plan_cuentas[],2,FALSE)," ")</f>
        <v>INGRESOS</v>
      </c>
      <c r="F1814" t="str">
        <f>IFERROR(+VLOOKUP(Movimientos_2026[[#This Row],[Codigo]],Plan_cuentas[],3,FALSE)," ")</f>
        <v>Transferencia</v>
      </c>
      <c r="G1814" t="str">
        <f>IFERROR(+VLOOKUP(Movimientos_2026[[#This Row],[Codigo]],Plan_cuentas[],4,FALSE)," ")</f>
        <v>Registración</v>
      </c>
      <c r="H1814" t="str">
        <f>IFERROR(+VLOOKUP(Movimientos_2026[[#This Row],[Codigo]],Plan_cuentas[],5,FALSE)," ")</f>
        <v>FORMOSA</v>
      </c>
      <c r="I1814" s="43">
        <v>46113</v>
      </c>
      <c r="J1814" t="s">
        <v>794</v>
      </c>
      <c r="K1814" t="str">
        <f>IFERROR(+VLOOKUP(Movimientos_2026[[#This Row],[Codigo]],Plan_cuentas[],6,FALSE)," ")</f>
        <v>5 - YAM - Yamaha</v>
      </c>
      <c r="L1814" s="50">
        <v>379667.73</v>
      </c>
      <c r="M1814" s="50"/>
      <c r="N1814" s="20">
        <f>+Movimientos_2026[[#This Row],[Ingresos]]-Movimientos_2026[[#This Row],[Egresos]]</f>
        <v>379667.73</v>
      </c>
      <c r="O1814" s="20">
        <f>+O1813+Movimientos_2026[[#This Row],[Neto]]</f>
        <v>4819784490.4468746</v>
      </c>
    </row>
    <row r="1815" spans="1:15" x14ac:dyDescent="0.25">
      <c r="A1815" s="13">
        <v>46177</v>
      </c>
      <c r="B1815" s="12">
        <f>MONTH(Movimientos_2026[[#This Row],[Fecha]])</f>
        <v>6</v>
      </c>
      <c r="C1815" s="12" t="str">
        <f>VLOOKUP((WEEKDAY(Movimientos_2026[[#This Row],[Fecha]],2)),'5. Setup'!$D$6:$E$12,2,FALSE)</f>
        <v>Jue</v>
      </c>
      <c r="D1815">
        <v>1043375</v>
      </c>
      <c r="E1815" t="str">
        <f>IFERROR(+VLOOKUP(Movimientos_2026[[#This Row],[Codigo]],Plan_cuentas[],2,FALSE)," ")</f>
        <v>INGRESOS</v>
      </c>
      <c r="F1815" t="str">
        <f>IFERROR(+VLOOKUP(Movimientos_2026[[#This Row],[Codigo]],Plan_cuentas[],3,FALSE)," ")</f>
        <v>Transferencia</v>
      </c>
      <c r="G1815" t="str">
        <f>IFERROR(+VLOOKUP(Movimientos_2026[[#This Row],[Codigo]],Plan_cuentas[],4,FALSE)," ")</f>
        <v>Registración</v>
      </c>
      <c r="H1815" t="str">
        <f>IFERROR(+VLOOKUP(Movimientos_2026[[#This Row],[Codigo]],Plan_cuentas[],5,FALSE)," ")</f>
        <v>SANTA CRUZ</v>
      </c>
      <c r="I1815" s="43">
        <v>46113</v>
      </c>
      <c r="J1815" t="s">
        <v>794</v>
      </c>
      <c r="K1815" t="str">
        <f>IFERROR(+VLOOKUP(Movimientos_2026[[#This Row],[Codigo]],Plan_cuentas[],6,FALSE)," ")</f>
        <v>5 - YAM - Yamaha</v>
      </c>
      <c r="L1815" s="50">
        <v>248678.86</v>
      </c>
      <c r="M1815" s="50"/>
      <c r="N1815" s="20">
        <f>+Movimientos_2026[[#This Row],[Ingresos]]-Movimientos_2026[[#This Row],[Egresos]]</f>
        <v>248678.86</v>
      </c>
      <c r="O1815" s="20">
        <f>+O1814+Movimientos_2026[[#This Row],[Neto]]</f>
        <v>4820033169.3068743</v>
      </c>
    </row>
    <row r="1816" spans="1:15" x14ac:dyDescent="0.25">
      <c r="A1816" s="13">
        <v>46177</v>
      </c>
      <c r="B1816" s="12">
        <f>MONTH(Movimientos_2026[[#This Row],[Fecha]])</f>
        <v>6</v>
      </c>
      <c r="C1816" s="12" t="str">
        <f>VLOOKUP((WEEKDAY(Movimientos_2026[[#This Row],[Fecha]],2)),'5. Setup'!$D$6:$E$12,2,FALSE)</f>
        <v>Jue</v>
      </c>
      <c r="D1816">
        <v>1043385</v>
      </c>
      <c r="E1816" t="str">
        <f>IFERROR(+VLOOKUP(Movimientos_2026[[#This Row],[Codigo]],Plan_cuentas[],2,FALSE)," ")</f>
        <v>INGRESOS</v>
      </c>
      <c r="F1816" t="str">
        <f>IFERROR(+VLOOKUP(Movimientos_2026[[#This Row],[Codigo]],Plan_cuentas[],3,FALSE)," ")</f>
        <v>Transferencia</v>
      </c>
      <c r="G1816" t="str">
        <f>IFERROR(+VLOOKUP(Movimientos_2026[[#This Row],[Codigo]],Plan_cuentas[],4,FALSE)," ")</f>
        <v>Registración</v>
      </c>
      <c r="H1816" t="str">
        <f>IFERROR(+VLOOKUP(Movimientos_2026[[#This Row],[Codigo]],Plan_cuentas[],5,FALSE)," ")</f>
        <v>SANTA FE 1° Q</v>
      </c>
      <c r="I1816" s="43">
        <v>46113</v>
      </c>
      <c r="J1816" t="s">
        <v>794</v>
      </c>
      <c r="K1816" t="str">
        <f>IFERROR(+VLOOKUP(Movimientos_2026[[#This Row],[Codigo]],Plan_cuentas[],6,FALSE)," ")</f>
        <v>5 - YAM - Yamaha</v>
      </c>
      <c r="L1816" s="50">
        <v>1235552.1100000001</v>
      </c>
      <c r="M1816" s="50"/>
      <c r="N1816" s="20">
        <f>+Movimientos_2026[[#This Row],[Ingresos]]-Movimientos_2026[[#This Row],[Egresos]]</f>
        <v>1235552.1100000001</v>
      </c>
      <c r="O1816" s="20">
        <f>+O1815+Movimientos_2026[[#This Row],[Neto]]</f>
        <v>4821268721.4168739</v>
      </c>
    </row>
    <row r="1817" spans="1:15" x14ac:dyDescent="0.25">
      <c r="A1817" s="13">
        <v>46177</v>
      </c>
      <c r="B1817" s="12">
        <f>MONTH(Movimientos_2026[[#This Row],[Fecha]])</f>
        <v>6</v>
      </c>
      <c r="C1817" s="12" t="str">
        <f>VLOOKUP((WEEKDAY(Movimientos_2026[[#This Row],[Fecha]],2)),'5. Setup'!$D$6:$E$12,2,FALSE)</f>
        <v>Jue</v>
      </c>
      <c r="D1817">
        <v>1044165</v>
      </c>
      <c r="E1817" t="str">
        <f>IFERROR(+VLOOKUP(Movimientos_2026[[#This Row],[Codigo]],Plan_cuentas[],2,FALSE)," ")</f>
        <v>INGRESOS</v>
      </c>
      <c r="F1817" t="str">
        <f>IFERROR(+VLOOKUP(Movimientos_2026[[#This Row],[Codigo]],Plan_cuentas[],3,FALSE)," ")</f>
        <v>Transferencia</v>
      </c>
      <c r="G1817" t="str">
        <f>IFERROR(+VLOOKUP(Movimientos_2026[[#This Row],[Codigo]],Plan_cuentas[],4,FALSE)," ")</f>
        <v>Rentas</v>
      </c>
      <c r="H1817" t="str">
        <f>IFERROR(+VLOOKUP(Movimientos_2026[[#This Row],[Codigo]],Plan_cuentas[],5,FALSE)," ")</f>
        <v>CHACO</v>
      </c>
      <c r="I1817" s="43">
        <v>46113</v>
      </c>
      <c r="J1817" t="s">
        <v>794</v>
      </c>
      <c r="K1817" t="str">
        <f>IFERROR(+VLOOKUP(Movimientos_2026[[#This Row],[Codigo]],Plan_cuentas[],6,FALSE)," ")</f>
        <v>5 - YAM - Yamaha</v>
      </c>
      <c r="L1817" s="50">
        <v>736030.3</v>
      </c>
      <c r="M1817" s="50"/>
      <c r="N1817" s="20">
        <f>+Movimientos_2026[[#This Row],[Ingresos]]-Movimientos_2026[[#This Row],[Egresos]]</f>
        <v>736030.3</v>
      </c>
      <c r="O1817" s="20">
        <f>+O1816+Movimientos_2026[[#This Row],[Neto]]</f>
        <v>4822004751.7168741</v>
      </c>
    </row>
    <row r="1818" spans="1:15" x14ac:dyDescent="0.25">
      <c r="A1818" s="13">
        <v>46177</v>
      </c>
      <c r="B1818" s="12">
        <f>MONTH(Movimientos_2026[[#This Row],[Fecha]])</f>
        <v>6</v>
      </c>
      <c r="C1818" s="12" t="str">
        <f>VLOOKUP((WEEKDAY(Movimientos_2026[[#This Row],[Fecha]],2)),'5. Setup'!$D$6:$E$12,2,FALSE)</f>
        <v>Jue</v>
      </c>
      <c r="D1818">
        <v>1044235</v>
      </c>
      <c r="E1818" t="str">
        <f>IFERROR(+VLOOKUP(Movimientos_2026[[#This Row],[Codigo]],Plan_cuentas[],2,FALSE)," ")</f>
        <v>INGRESOS</v>
      </c>
      <c r="F1818" t="str">
        <f>IFERROR(+VLOOKUP(Movimientos_2026[[#This Row],[Codigo]],Plan_cuentas[],3,FALSE)," ")</f>
        <v>Transferencia</v>
      </c>
      <c r="G1818" t="str">
        <f>IFERROR(+VLOOKUP(Movimientos_2026[[#This Row],[Codigo]],Plan_cuentas[],4,FALSE)," ")</f>
        <v>Rentas</v>
      </c>
      <c r="H1818" t="str">
        <f>IFERROR(+VLOOKUP(Movimientos_2026[[#This Row],[Codigo]],Plan_cuentas[],5,FALSE)," ")</f>
        <v>ENTRE RIOS 2° Q</v>
      </c>
      <c r="I1818" s="43">
        <v>46113</v>
      </c>
      <c r="J1818" t="s">
        <v>794</v>
      </c>
      <c r="K1818" t="str">
        <f>IFERROR(+VLOOKUP(Movimientos_2026[[#This Row],[Codigo]],Plan_cuentas[],6,FALSE)," ")</f>
        <v>5 - YAM - Yamaha</v>
      </c>
      <c r="L1818" s="50">
        <v>3234834.97</v>
      </c>
      <c r="M1818" s="50"/>
      <c r="N1818" s="20">
        <f>+Movimientos_2026[[#This Row],[Ingresos]]-Movimientos_2026[[#This Row],[Egresos]]</f>
        <v>3234834.97</v>
      </c>
      <c r="O1818" s="20">
        <f>+O1817+Movimientos_2026[[#This Row],[Neto]]</f>
        <v>4825239586.6868744</v>
      </c>
    </row>
    <row r="1819" spans="1:15" x14ac:dyDescent="0.25">
      <c r="A1819" s="13">
        <v>46177</v>
      </c>
      <c r="B1819" s="12">
        <f>MONTH(Movimientos_2026[[#This Row],[Fecha]])</f>
        <v>6</v>
      </c>
      <c r="C1819" s="12" t="str">
        <f>VLOOKUP((WEEKDAY(Movimientos_2026[[#This Row],[Fecha]],2)),'5. Setup'!$D$6:$E$12,2,FALSE)</f>
        <v>Jue</v>
      </c>
      <c r="D1819">
        <v>1044495</v>
      </c>
      <c r="E1819" t="str">
        <f>IFERROR(+VLOOKUP(Movimientos_2026[[#This Row],[Codigo]],Plan_cuentas[],2,FALSE)," ")</f>
        <v>INGRESOS</v>
      </c>
      <c r="F1819" t="str">
        <f>IFERROR(+VLOOKUP(Movimientos_2026[[#This Row],[Codigo]],Plan_cuentas[],3,FALSE)," ")</f>
        <v>Transferencia</v>
      </c>
      <c r="G1819" t="str">
        <f>IFERROR(+VLOOKUP(Movimientos_2026[[#This Row],[Codigo]],Plan_cuentas[],4,FALSE)," ")</f>
        <v>Rentas</v>
      </c>
      <c r="H1819" t="str">
        <f>IFERROR(+VLOOKUP(Movimientos_2026[[#This Row],[Codigo]],Plan_cuentas[],5,FALSE)," ")</f>
        <v>JUJUY</v>
      </c>
      <c r="I1819" s="43">
        <v>46113</v>
      </c>
      <c r="J1819" t="s">
        <v>794</v>
      </c>
      <c r="K1819" t="str">
        <f>IFERROR(+VLOOKUP(Movimientos_2026[[#This Row],[Codigo]],Plan_cuentas[],6,FALSE)," ")</f>
        <v>5 - YAM - Yamaha</v>
      </c>
      <c r="L1819" s="50">
        <v>733448.76</v>
      </c>
      <c r="M1819" s="50"/>
      <c r="N1819" s="20">
        <f>+Movimientos_2026[[#This Row],[Ingresos]]-Movimientos_2026[[#This Row],[Egresos]]</f>
        <v>733448.76</v>
      </c>
      <c r="O1819" s="20">
        <f>+O1818+Movimientos_2026[[#This Row],[Neto]]</f>
        <v>4825973035.4468746</v>
      </c>
    </row>
    <row r="1820" spans="1:15" x14ac:dyDescent="0.25">
      <c r="A1820" s="13">
        <v>46177</v>
      </c>
      <c r="B1820" s="12">
        <f>MONTH(Movimientos_2026[[#This Row],[Fecha]])</f>
        <v>6</v>
      </c>
      <c r="C1820" s="12" t="str">
        <f>VLOOKUP((WEEKDAY(Movimientos_2026[[#This Row],[Fecha]],2)),'5. Setup'!$D$6:$E$12,2,FALSE)</f>
        <v>Jue</v>
      </c>
      <c r="D1820">
        <v>1044285</v>
      </c>
      <c r="E1820" t="str">
        <f>IFERROR(+VLOOKUP(Movimientos_2026[[#This Row],[Codigo]],Plan_cuentas[],2,FALSE)," ")</f>
        <v>INGRESOS</v>
      </c>
      <c r="F1820" t="str">
        <f>IFERROR(+VLOOKUP(Movimientos_2026[[#This Row],[Codigo]],Plan_cuentas[],3,FALSE)," ")</f>
        <v>Transferencia</v>
      </c>
      <c r="G1820" t="str">
        <f>IFERROR(+VLOOKUP(Movimientos_2026[[#This Row],[Codigo]],Plan_cuentas[],4,FALSE)," ")</f>
        <v>Rentas</v>
      </c>
      <c r="H1820" t="str">
        <f>IFERROR(+VLOOKUP(Movimientos_2026[[#This Row],[Codigo]],Plan_cuentas[],5,FALSE)," ")</f>
        <v>MENDOZA</v>
      </c>
      <c r="I1820" s="43">
        <v>46113</v>
      </c>
      <c r="J1820" t="s">
        <v>794</v>
      </c>
      <c r="K1820" t="str">
        <f>IFERROR(+VLOOKUP(Movimientos_2026[[#This Row],[Codigo]],Plan_cuentas[],6,FALSE)," ")</f>
        <v>5 - YAM - Yamaha</v>
      </c>
      <c r="L1820" s="50">
        <v>1263590</v>
      </c>
      <c r="M1820" s="50"/>
      <c r="N1820" s="20">
        <f>+Movimientos_2026[[#This Row],[Ingresos]]-Movimientos_2026[[#This Row],[Egresos]]</f>
        <v>1263590</v>
      </c>
      <c r="O1820" s="20">
        <f>+O1819+Movimientos_2026[[#This Row],[Neto]]</f>
        <v>4827236625.4468746</v>
      </c>
    </row>
    <row r="1821" spans="1:15" x14ac:dyDescent="0.25">
      <c r="A1821" s="13">
        <v>46177</v>
      </c>
      <c r="B1821" s="12">
        <f>MONTH(Movimientos_2026[[#This Row],[Fecha]])</f>
        <v>6</v>
      </c>
      <c r="C1821" s="12" t="str">
        <f>VLOOKUP((WEEKDAY(Movimientos_2026[[#This Row],[Fecha]],2)),'5. Setup'!$D$6:$E$12,2,FALSE)</f>
        <v>Jue</v>
      </c>
      <c r="D1821">
        <v>1044465</v>
      </c>
      <c r="E1821" t="str">
        <f>IFERROR(+VLOOKUP(Movimientos_2026[[#This Row],[Codigo]],Plan_cuentas[],2,FALSE)," ")</f>
        <v>INGRESOS</v>
      </c>
      <c r="F1821" t="str">
        <f>IFERROR(+VLOOKUP(Movimientos_2026[[#This Row],[Codigo]],Plan_cuentas[],3,FALSE)," ")</f>
        <v>Transferencia</v>
      </c>
      <c r="G1821" t="str">
        <f>IFERROR(+VLOOKUP(Movimientos_2026[[#This Row],[Codigo]],Plan_cuentas[],4,FALSE)," ")</f>
        <v>Rentas</v>
      </c>
      <c r="H1821" t="str">
        <f>IFERROR(+VLOOKUP(Movimientos_2026[[#This Row],[Codigo]],Plan_cuentas[],5,FALSE)," ")</f>
        <v>MISIONES</v>
      </c>
      <c r="I1821" s="43">
        <v>46113</v>
      </c>
      <c r="J1821" t="s">
        <v>794</v>
      </c>
      <c r="K1821" t="str">
        <f>IFERROR(+VLOOKUP(Movimientos_2026[[#This Row],[Codigo]],Plan_cuentas[],6,FALSE)," ")</f>
        <v>5 - YAM - Yamaha</v>
      </c>
      <c r="L1821" s="50">
        <v>998211.64</v>
      </c>
      <c r="M1821" s="50"/>
      <c r="N1821" s="20">
        <f>+Movimientos_2026[[#This Row],[Ingresos]]-Movimientos_2026[[#This Row],[Egresos]]</f>
        <v>998211.64</v>
      </c>
      <c r="O1821" s="20">
        <f>+O1820+Movimientos_2026[[#This Row],[Neto]]</f>
        <v>4828234837.086875</v>
      </c>
    </row>
    <row r="1822" spans="1:15" x14ac:dyDescent="0.25">
      <c r="A1822" s="13">
        <v>46177</v>
      </c>
      <c r="B1822" s="12">
        <f>MONTH(Movimientos_2026[[#This Row],[Fecha]])</f>
        <v>6</v>
      </c>
      <c r="C1822" s="12" t="str">
        <f>VLOOKUP((WEEKDAY(Movimientos_2026[[#This Row],[Fecha]],2)),'5. Setup'!$D$6:$E$12,2,FALSE)</f>
        <v>Jue</v>
      </c>
      <c r="D1822">
        <v>1044405</v>
      </c>
      <c r="E1822" t="str">
        <f>IFERROR(+VLOOKUP(Movimientos_2026[[#This Row],[Codigo]],Plan_cuentas[],2,FALSE)," ")</f>
        <v>INGRESOS</v>
      </c>
      <c r="F1822" t="str">
        <f>IFERROR(+VLOOKUP(Movimientos_2026[[#This Row],[Codigo]],Plan_cuentas[],3,FALSE)," ")</f>
        <v>Transferencia</v>
      </c>
      <c r="G1822" t="str">
        <f>IFERROR(+VLOOKUP(Movimientos_2026[[#This Row],[Codigo]],Plan_cuentas[],4,FALSE)," ")</f>
        <v>Rentas</v>
      </c>
      <c r="H1822" t="str">
        <f>IFERROR(+VLOOKUP(Movimientos_2026[[#This Row],[Codigo]],Plan_cuentas[],5,FALSE)," ")</f>
        <v>SANTIAGO DEL ESTERO</v>
      </c>
      <c r="I1822" s="43">
        <v>46113</v>
      </c>
      <c r="J1822" t="s">
        <v>794</v>
      </c>
      <c r="K1822" t="str">
        <f>IFERROR(+VLOOKUP(Movimientos_2026[[#This Row],[Codigo]],Plan_cuentas[],6,FALSE)," ")</f>
        <v>5 - YAM - Yamaha</v>
      </c>
      <c r="L1822" s="50">
        <v>448490.44</v>
      </c>
      <c r="M1822" s="50"/>
      <c r="N1822" s="20">
        <f>+Movimientos_2026[[#This Row],[Ingresos]]-Movimientos_2026[[#This Row],[Egresos]]</f>
        <v>448490.44</v>
      </c>
      <c r="O1822" s="20">
        <f>+O1821+Movimientos_2026[[#This Row],[Neto]]</f>
        <v>4828683327.5268745</v>
      </c>
    </row>
    <row r="1823" spans="1:15" x14ac:dyDescent="0.25">
      <c r="A1823" s="13">
        <v>46177</v>
      </c>
      <c r="B1823" s="12">
        <f>MONTH(Movimientos_2026[[#This Row],[Fecha]])</f>
        <v>6</v>
      </c>
      <c r="C1823" s="12" t="str">
        <f>VLOOKUP((WEEKDAY(Movimientos_2026[[#This Row],[Fecha]],2)),'5. Setup'!$D$6:$E$12,2,FALSE)</f>
        <v>Jue</v>
      </c>
      <c r="D1823">
        <v>1044425</v>
      </c>
      <c r="E1823" t="str">
        <f>IFERROR(+VLOOKUP(Movimientos_2026[[#This Row],[Codigo]],Plan_cuentas[],2,FALSE)," ")</f>
        <v>INGRESOS</v>
      </c>
      <c r="F1823" t="str">
        <f>IFERROR(+VLOOKUP(Movimientos_2026[[#This Row],[Codigo]],Plan_cuentas[],3,FALSE)," ")</f>
        <v>Transferencia</v>
      </c>
      <c r="G1823" t="str">
        <f>IFERROR(+VLOOKUP(Movimientos_2026[[#This Row],[Codigo]],Plan_cuentas[],4,FALSE)," ")</f>
        <v>Rentas</v>
      </c>
      <c r="H1823" t="str">
        <f>IFERROR(+VLOOKUP(Movimientos_2026[[#This Row],[Codigo]],Plan_cuentas[],5,FALSE)," ")</f>
        <v>TUCUMAN</v>
      </c>
      <c r="I1823" s="43">
        <v>46113</v>
      </c>
      <c r="J1823" t="s">
        <v>794</v>
      </c>
      <c r="K1823" t="str">
        <f>IFERROR(+VLOOKUP(Movimientos_2026[[#This Row],[Codigo]],Plan_cuentas[],6,FALSE)," ")</f>
        <v>5 - YAM - Yamaha</v>
      </c>
      <c r="L1823" s="50">
        <v>2189989.34</v>
      </c>
      <c r="M1823" s="50"/>
      <c r="N1823" s="20">
        <f>+Movimientos_2026[[#This Row],[Ingresos]]-Movimientos_2026[[#This Row],[Egresos]]</f>
        <v>2189989.34</v>
      </c>
      <c r="O1823" s="20">
        <f>+O1822+Movimientos_2026[[#This Row],[Neto]]</f>
        <v>4830873316.8668747</v>
      </c>
    </row>
    <row r="1824" spans="1:15" x14ac:dyDescent="0.25">
      <c r="A1824" s="13">
        <v>46177</v>
      </c>
      <c r="B1824" s="12">
        <f>MONTH(Movimientos_2026[[#This Row],[Fecha]])</f>
        <v>6</v>
      </c>
      <c r="C1824" s="12" t="str">
        <f>VLOOKUP((WEEKDAY(Movimientos_2026[[#This Row],[Fecha]],2)),'5. Setup'!$D$6:$E$12,2,FALSE)</f>
        <v>Jue</v>
      </c>
      <c r="D1824">
        <v>1044325</v>
      </c>
      <c r="E1824" t="str">
        <f>IFERROR(+VLOOKUP(Movimientos_2026[[#This Row],[Codigo]],Plan_cuentas[],2,FALSE)," ")</f>
        <v>INGRESOS</v>
      </c>
      <c r="F1824" t="str">
        <f>IFERROR(+VLOOKUP(Movimientos_2026[[#This Row],[Codigo]],Plan_cuentas[],3,FALSE)," ")</f>
        <v>Transferencia</v>
      </c>
      <c r="G1824" t="str">
        <f>IFERROR(+VLOOKUP(Movimientos_2026[[#This Row],[Codigo]],Plan_cuentas[],4,FALSE)," ")</f>
        <v>Rentas</v>
      </c>
      <c r="H1824" t="str">
        <f>IFERROR(+VLOOKUP(Movimientos_2026[[#This Row],[Codigo]],Plan_cuentas[],5,FALSE)," ")</f>
        <v>NEUQUEN 2° Q</v>
      </c>
      <c r="I1824" s="43">
        <v>46113</v>
      </c>
      <c r="J1824" t="s">
        <v>794</v>
      </c>
      <c r="K1824" t="str">
        <f>IFERROR(+VLOOKUP(Movimientos_2026[[#This Row],[Codigo]],Plan_cuentas[],6,FALSE)," ")</f>
        <v>5 - YAM - Yamaha</v>
      </c>
      <c r="L1824" s="50">
        <v>494623.8</v>
      </c>
      <c r="M1824" s="50"/>
      <c r="N1824" s="20">
        <f>+Movimientos_2026[[#This Row],[Ingresos]]-Movimientos_2026[[#This Row],[Egresos]]</f>
        <v>494623.8</v>
      </c>
      <c r="O1824" s="20">
        <f>+O1823+Movimientos_2026[[#This Row],[Neto]]</f>
        <v>4831367940.6668749</v>
      </c>
    </row>
    <row r="1825" spans="1:15" x14ac:dyDescent="0.25">
      <c r="A1825" s="13">
        <v>46177</v>
      </c>
      <c r="B1825" s="12">
        <f>MONTH(Movimientos_2026[[#This Row],[Fecha]])</f>
        <v>6</v>
      </c>
      <c r="C1825" s="12" t="str">
        <f>VLOOKUP((WEEKDAY(Movimientos_2026[[#This Row],[Fecha]],2)),'5. Setup'!$D$6:$E$12,2,FALSE)</f>
        <v>Jue</v>
      </c>
      <c r="D1825">
        <v>1043345</v>
      </c>
      <c r="E1825" t="str">
        <f>IFERROR(+VLOOKUP(Movimientos_2026[[#This Row],[Codigo]],Plan_cuentas[],2,FALSE)," ")</f>
        <v>INGRESOS</v>
      </c>
      <c r="F1825" t="str">
        <f>IFERROR(+VLOOKUP(Movimientos_2026[[#This Row],[Codigo]],Plan_cuentas[],3,FALSE)," ")</f>
        <v>Transferencia</v>
      </c>
      <c r="G1825" t="str">
        <f>IFERROR(+VLOOKUP(Movimientos_2026[[#This Row],[Codigo]],Plan_cuentas[],4,FALSE)," ")</f>
        <v>Registración</v>
      </c>
      <c r="H1825" t="str">
        <f>IFERROR(+VLOOKUP(Movimientos_2026[[#This Row],[Codigo]],Plan_cuentas[],5,FALSE)," ")</f>
        <v>RIO NEGRO</v>
      </c>
      <c r="I1825" s="43">
        <v>46113</v>
      </c>
      <c r="J1825" t="s">
        <v>794</v>
      </c>
      <c r="K1825" t="str">
        <f>IFERROR(+VLOOKUP(Movimientos_2026[[#This Row],[Codigo]],Plan_cuentas[],6,FALSE)," ")</f>
        <v>5 - YAM - Yamaha</v>
      </c>
      <c r="L1825" s="50">
        <v>135431.34</v>
      </c>
      <c r="M1825" s="50"/>
      <c r="N1825" s="20">
        <f>+Movimientos_2026[[#This Row],[Ingresos]]-Movimientos_2026[[#This Row],[Egresos]]</f>
        <v>135431.34</v>
      </c>
      <c r="O1825" s="20">
        <f>+O1824+Movimientos_2026[[#This Row],[Neto]]</f>
        <v>4831503372.006875</v>
      </c>
    </row>
    <row r="1826" spans="1:15" x14ac:dyDescent="0.25">
      <c r="A1826" s="13">
        <v>46178</v>
      </c>
      <c r="B1826" s="12">
        <f>MONTH(Movimientos_2026[[#This Row],[Fecha]])</f>
        <v>6</v>
      </c>
      <c r="C1826" s="12" t="str">
        <f>VLOOKUP((WEEKDAY(Movimientos_2026[[#This Row],[Fecha]],2)),'5. Setup'!$D$6:$E$12,2,FALSE)</f>
        <v>Vie</v>
      </c>
      <c r="D1826">
        <v>2034411</v>
      </c>
      <c r="E1826" t="str">
        <f>IFERROR(+VLOOKUP(Movimientos_2026[[#This Row],[Codigo]],Plan_cuentas[],2,FALSE)," ")</f>
        <v>EGRESOS</v>
      </c>
      <c r="F1826" t="str">
        <f>IFERROR(+VLOOKUP(Movimientos_2026[[#This Row],[Codigo]],Plan_cuentas[],3,FALSE)," ")</f>
        <v>Pagos Bco. Provincia</v>
      </c>
      <c r="G1826" t="str">
        <f>IFERROR(+VLOOKUP(Movimientos_2026[[#This Row],[Codigo]],Plan_cuentas[],4,FALSE)," ")</f>
        <v>Rentas</v>
      </c>
      <c r="H1826" t="str">
        <f>IFERROR(+VLOOKUP(Movimientos_2026[[#This Row],[Codigo]],Plan_cuentas[],5,FALSE)," ")</f>
        <v>TIERRA DEL FUEGO</v>
      </c>
      <c r="I1826" s="43">
        <v>46143</v>
      </c>
      <c r="J1826" t="s">
        <v>795</v>
      </c>
      <c r="K1826" t="str">
        <f>IFERROR(+VLOOKUP(Movimientos_2026[[#This Row],[Codigo]],Plan_cuentas[],6,FALSE)," ")</f>
        <v>1 - VW - Volkswagen</v>
      </c>
      <c r="L1826" s="50"/>
      <c r="M1826" s="50">
        <v>9384697</v>
      </c>
      <c r="N1826" s="20">
        <f>+Movimientos_2026[[#This Row],[Ingresos]]-Movimientos_2026[[#This Row],[Egresos]]</f>
        <v>-9384697</v>
      </c>
      <c r="O1826" s="20">
        <f>+O1825+Movimientos_2026[[#This Row],[Neto]]</f>
        <v>4822118675.006875</v>
      </c>
    </row>
    <row r="1827" spans="1:15" x14ac:dyDescent="0.25">
      <c r="A1827" s="13">
        <v>46178</v>
      </c>
      <c r="B1827" s="12">
        <f>MONTH(Movimientos_2026[[#This Row],[Fecha]])</f>
        <v>6</v>
      </c>
      <c r="C1827" s="12" t="str">
        <f>VLOOKUP((WEEKDAY(Movimientos_2026[[#This Row],[Fecha]],2)),'5. Setup'!$D$6:$E$12,2,FALSE)</f>
        <v>Vie</v>
      </c>
      <c r="D1827">
        <v>2034413</v>
      </c>
      <c r="E1827" t="str">
        <f>IFERROR(+VLOOKUP(Movimientos_2026[[#This Row],[Codigo]],Plan_cuentas[],2,FALSE)," ")</f>
        <v>EGRESOS</v>
      </c>
      <c r="F1827" t="str">
        <f>IFERROR(+VLOOKUP(Movimientos_2026[[#This Row],[Codigo]],Plan_cuentas[],3,FALSE)," ")</f>
        <v>Pagos Bco. Provincia</v>
      </c>
      <c r="G1827" t="str">
        <f>IFERROR(+VLOOKUP(Movimientos_2026[[#This Row],[Codigo]],Plan_cuentas[],4,FALSE)," ")</f>
        <v>Rentas</v>
      </c>
      <c r="H1827" t="str">
        <f>IFERROR(+VLOOKUP(Movimientos_2026[[#This Row],[Codigo]],Plan_cuentas[],5,FALSE)," ")</f>
        <v>TIERRA DEL FUEGO</v>
      </c>
      <c r="I1827" s="43">
        <v>46143</v>
      </c>
      <c r="J1827" s="53" t="s">
        <v>796</v>
      </c>
      <c r="K1827" t="str">
        <f>IFERROR(+VLOOKUP(Movimientos_2026[[#This Row],[Codigo]],Plan_cuentas[],6,FALSE)," ")</f>
        <v>3 - GM - Chevrolet</v>
      </c>
      <c r="L1827" s="50"/>
      <c r="M1827" s="50">
        <v>12508132.83</v>
      </c>
      <c r="N1827" s="20">
        <f>+Movimientos_2026[[#This Row],[Ingresos]]-Movimientos_2026[[#This Row],[Egresos]]</f>
        <v>-12508132.83</v>
      </c>
      <c r="O1827" s="20">
        <f>+O1826+Movimientos_2026[[#This Row],[Neto]]</f>
        <v>4809610542.1768751</v>
      </c>
    </row>
    <row r="1828" spans="1:15" x14ac:dyDescent="0.25">
      <c r="A1828" s="13">
        <v>46178</v>
      </c>
      <c r="B1828" s="12">
        <f>MONTH(Movimientos_2026[[#This Row],[Fecha]])</f>
        <v>6</v>
      </c>
      <c r="C1828" s="12" t="str">
        <f>VLOOKUP((WEEKDAY(Movimientos_2026[[#This Row],[Fecha]],2)),'5. Setup'!$D$6:$E$12,2,FALSE)</f>
        <v>Vie</v>
      </c>
      <c r="D1828">
        <v>2054322</v>
      </c>
      <c r="E1828" t="str">
        <f>IFERROR(+VLOOKUP(Movimientos_2026[[#This Row],[Codigo]],Plan_cuentas[],2,FALSE)," ")</f>
        <v>EGRESOS</v>
      </c>
      <c r="F1828" t="str">
        <f>IFERROR(+VLOOKUP(Movimientos_2026[[#This Row],[Codigo]],Plan_cuentas[],3,FALSE)," ")</f>
        <v>VEP</v>
      </c>
      <c r="G1828" t="str">
        <f>IFERROR(+VLOOKUP(Movimientos_2026[[#This Row],[Codigo]],Plan_cuentas[],4,FALSE)," ")</f>
        <v>Rentas</v>
      </c>
      <c r="H1828" t="str">
        <f>IFERROR(+VLOOKUP(Movimientos_2026[[#This Row],[Codigo]],Plan_cuentas[],5,FALSE)," ")</f>
        <v>NEUQUEN 2° Q</v>
      </c>
      <c r="I1828" s="43">
        <v>46143</v>
      </c>
      <c r="J1828" s="53" t="s">
        <v>797</v>
      </c>
      <c r="K1828" t="str">
        <f>IFERROR(+VLOOKUP(Movimientos_2026[[#This Row],[Codigo]],Plan_cuentas[],6,FALSE)," ")</f>
        <v>2 - PR - Plan Rombo</v>
      </c>
      <c r="L1828" s="50"/>
      <c r="M1828" s="50">
        <v>19087700</v>
      </c>
      <c r="N1828" s="20">
        <f>+Movimientos_2026[[#This Row],[Ingresos]]-Movimientos_2026[[#This Row],[Egresos]]</f>
        <v>-19087700</v>
      </c>
      <c r="O1828" s="20">
        <f>+O1827+Movimientos_2026[[#This Row],[Neto]]</f>
        <v>4790522842.1768751</v>
      </c>
    </row>
    <row r="1829" spans="1:15" x14ac:dyDescent="0.25">
      <c r="A1829" s="13">
        <v>46178</v>
      </c>
      <c r="B1829" s="12">
        <f>MONTH(Movimientos_2026[[#This Row],[Fecha]])</f>
        <v>6</v>
      </c>
      <c r="C1829" s="12" t="str">
        <f>VLOOKUP((WEEKDAY(Movimientos_2026[[#This Row],[Fecha]],2)),'5. Setup'!$D$6:$E$12,2,FALSE)</f>
        <v>Vie</v>
      </c>
      <c r="D1829">
        <v>2054325</v>
      </c>
      <c r="E1829" t="str">
        <f>IFERROR(+VLOOKUP(Movimientos_2026[[#This Row],[Codigo]],Plan_cuentas[],2,FALSE)," ")</f>
        <v>EGRESOS</v>
      </c>
      <c r="F1829" t="str">
        <f>IFERROR(+VLOOKUP(Movimientos_2026[[#This Row],[Codigo]],Plan_cuentas[],3,FALSE)," ")</f>
        <v>VEP</v>
      </c>
      <c r="G1829" t="str">
        <f>IFERROR(+VLOOKUP(Movimientos_2026[[#This Row],[Codigo]],Plan_cuentas[],4,FALSE)," ")</f>
        <v>Rentas</v>
      </c>
      <c r="H1829" t="str">
        <f>IFERROR(+VLOOKUP(Movimientos_2026[[#This Row],[Codigo]],Plan_cuentas[],5,FALSE)," ")</f>
        <v>NEUQUEN 2° Q</v>
      </c>
      <c r="I1829" s="43">
        <v>46143</v>
      </c>
      <c r="J1829" t="s">
        <v>798</v>
      </c>
      <c r="K1829" t="str">
        <f>IFERROR(+VLOOKUP(Movimientos_2026[[#This Row],[Codigo]],Plan_cuentas[],6,FALSE)," ")</f>
        <v>5 - YAM - Yamaha</v>
      </c>
      <c r="L1829" s="50"/>
      <c r="M1829" s="50">
        <v>1134084.6000000001</v>
      </c>
      <c r="N1829" s="20">
        <f>+Movimientos_2026[[#This Row],[Ingresos]]-Movimientos_2026[[#This Row],[Egresos]]</f>
        <v>-1134084.6000000001</v>
      </c>
      <c r="O1829" s="20">
        <f>+O1828+Movimientos_2026[[#This Row],[Neto]]</f>
        <v>4789388757.5768747</v>
      </c>
    </row>
    <row r="1830" spans="1:15" x14ac:dyDescent="0.25">
      <c r="A1830" s="13">
        <v>46181</v>
      </c>
      <c r="B1830" s="12">
        <f>MONTH(Movimientos_2026[[#This Row],[Fecha]])</f>
        <v>6</v>
      </c>
      <c r="C1830" s="12" t="str">
        <f>VLOOKUP((WEEKDAY(Movimientos_2026[[#This Row],[Fecha]],2)),'5. Setup'!$D$6:$E$12,2,FALSE)</f>
        <v>Lun</v>
      </c>
      <c r="D1830">
        <v>2054324</v>
      </c>
      <c r="E1830" t="str">
        <f>IFERROR(+VLOOKUP(Movimientos_2026[[#This Row],[Codigo]],Plan_cuentas[],2,FALSE)," ")</f>
        <v>EGRESOS</v>
      </c>
      <c r="F1830" t="str">
        <f>IFERROR(+VLOOKUP(Movimientos_2026[[#This Row],[Codigo]],Plan_cuentas[],3,FALSE)," ")</f>
        <v>VEP</v>
      </c>
      <c r="G1830" t="str">
        <f>IFERROR(+VLOOKUP(Movimientos_2026[[#This Row],[Codigo]],Plan_cuentas[],4,FALSE)," ")</f>
        <v>Rentas</v>
      </c>
      <c r="H1830" t="str">
        <f>IFERROR(+VLOOKUP(Movimientos_2026[[#This Row],[Codigo]],Plan_cuentas[],5,FALSE)," ")</f>
        <v>NEUQUEN 2° Q</v>
      </c>
      <c r="I1830" s="43">
        <v>46143</v>
      </c>
      <c r="J1830" s="53" t="s">
        <v>799</v>
      </c>
      <c r="K1830" t="str">
        <f>IFERROR(+VLOOKUP(Movimientos_2026[[#This Row],[Codigo]],Plan_cuentas[],6,FALSE)," ")</f>
        <v>4 - FCA - Fiat</v>
      </c>
      <c r="L1830" s="50"/>
      <c r="M1830" s="50">
        <v>65494440</v>
      </c>
      <c r="N1830" s="20">
        <f>+Movimientos_2026[[#This Row],[Ingresos]]-Movimientos_2026[[#This Row],[Egresos]]</f>
        <v>-65494440</v>
      </c>
      <c r="O1830" s="20">
        <f>+O1829+Movimientos_2026[[#This Row],[Neto]]</f>
        <v>4723894317.5768747</v>
      </c>
    </row>
    <row r="1831" spans="1:15" x14ac:dyDescent="0.25">
      <c r="A1831" s="13">
        <v>46181</v>
      </c>
      <c r="B1831" s="12">
        <f>MONTH(Movimientos_2026[[#This Row],[Fecha]])</f>
        <v>6</v>
      </c>
      <c r="C1831" s="12" t="str">
        <f>VLOOKUP((WEEKDAY(Movimientos_2026[[#This Row],[Fecha]],2)),'5. Setup'!$D$6:$E$12,2,FALSE)</f>
        <v>Lun</v>
      </c>
      <c r="D1831">
        <v>2054326</v>
      </c>
      <c r="E1831" t="str">
        <f>IFERROR(+VLOOKUP(Movimientos_2026[[#This Row],[Codigo]],Plan_cuentas[],2,FALSE)," ")</f>
        <v>EGRESOS</v>
      </c>
      <c r="F1831" t="str">
        <f>IFERROR(+VLOOKUP(Movimientos_2026[[#This Row],[Codigo]],Plan_cuentas[],3,FALSE)," ")</f>
        <v>VEP</v>
      </c>
      <c r="G1831" t="str">
        <f>IFERROR(+VLOOKUP(Movimientos_2026[[#This Row],[Codigo]],Plan_cuentas[],4,FALSE)," ")</f>
        <v>Rentas</v>
      </c>
      <c r="H1831" t="str">
        <f>IFERROR(+VLOOKUP(Movimientos_2026[[#This Row],[Codigo]],Plan_cuentas[],5,FALSE)," ")</f>
        <v>NEUQUEN 2° Q</v>
      </c>
      <c r="I1831" s="43">
        <v>46143</v>
      </c>
      <c r="J1831" s="53" t="s">
        <v>799</v>
      </c>
      <c r="K1831" t="str">
        <f>IFERROR(+VLOOKUP(Movimientos_2026[[#This Row],[Codigo]],Plan_cuentas[],6,FALSE)," ")</f>
        <v>6 - FCAtr - Fiat Transf.</v>
      </c>
      <c r="L1831" s="50"/>
      <c r="M1831" s="50">
        <v>796080.89</v>
      </c>
      <c r="N1831" s="20">
        <f>+Movimientos_2026[[#This Row],[Ingresos]]-Movimientos_2026[[#This Row],[Egresos]]</f>
        <v>-796080.89</v>
      </c>
      <c r="O1831" s="20">
        <f>+O1830+Movimientos_2026[[#This Row],[Neto]]</f>
        <v>4723098236.6868744</v>
      </c>
    </row>
    <row r="1832" spans="1:15" x14ac:dyDescent="0.25">
      <c r="A1832" s="13">
        <v>46181</v>
      </c>
      <c r="B1832" s="12">
        <f>MONTH(Movimientos_2026[[#This Row],[Fecha]])</f>
        <v>6</v>
      </c>
      <c r="C1832" s="12" t="str">
        <f>VLOOKUP((WEEKDAY(Movimientos_2026[[#This Row],[Fecha]],2)),'5. Setup'!$D$6:$E$12,2,FALSE)</f>
        <v>Lun</v>
      </c>
      <c r="D1832">
        <v>2014425</v>
      </c>
      <c r="E1832" t="str">
        <f>IFERROR(+VLOOKUP(Movimientos_2026[[#This Row],[Codigo]],Plan_cuentas[],2,FALSE)," ")</f>
        <v>EGRESOS</v>
      </c>
      <c r="F1832" t="str">
        <f>IFERROR(+VLOOKUP(Movimientos_2026[[#This Row],[Codigo]],Plan_cuentas[],3,FALSE)," ")</f>
        <v>BtoB</v>
      </c>
      <c r="G1832" t="str">
        <f>IFERROR(+VLOOKUP(Movimientos_2026[[#This Row],[Codigo]],Plan_cuentas[],4,FALSE)," ")</f>
        <v>Rentas</v>
      </c>
      <c r="H1832" t="str">
        <f>IFERROR(+VLOOKUP(Movimientos_2026[[#This Row],[Codigo]],Plan_cuentas[],5,FALSE)," ")</f>
        <v>TUCUMAN</v>
      </c>
      <c r="I1832" s="43">
        <v>46143</v>
      </c>
      <c r="J1832" t="s">
        <v>800</v>
      </c>
      <c r="K1832" t="str">
        <f>IFERROR(+VLOOKUP(Movimientos_2026[[#This Row],[Codigo]],Plan_cuentas[],6,FALSE)," ")</f>
        <v>5 - YAM - Yamaha</v>
      </c>
      <c r="L1832" s="50"/>
      <c r="M1832" s="50">
        <v>715827.65</v>
      </c>
      <c r="N1832" s="20">
        <f>+Movimientos_2026[[#This Row],[Ingresos]]-Movimientos_2026[[#This Row],[Egresos]]</f>
        <v>-715827.65</v>
      </c>
      <c r="O1832" s="20">
        <f>+O1831+Movimientos_2026[[#This Row],[Neto]]</f>
        <v>4722382409.0368748</v>
      </c>
    </row>
    <row r="1833" spans="1:15" x14ac:dyDescent="0.25">
      <c r="A1833" s="13">
        <v>46181</v>
      </c>
      <c r="B1833" s="12">
        <f>MONTH(Movimientos_2026[[#This Row],[Fecha]])</f>
        <v>6</v>
      </c>
      <c r="C1833" s="12" t="str">
        <f>VLOOKUP((WEEKDAY(Movimientos_2026[[#This Row],[Fecha]],2)),'5. Setup'!$D$6:$E$12,2,FALSE)</f>
        <v>Lun</v>
      </c>
      <c r="D1833">
        <v>2034243</v>
      </c>
      <c r="E1833" t="str">
        <f>IFERROR(+VLOOKUP(Movimientos_2026[[#This Row],[Codigo]],Plan_cuentas[],2,FALSE)," ")</f>
        <v>EGRESOS</v>
      </c>
      <c r="F1833" t="str">
        <f>IFERROR(+VLOOKUP(Movimientos_2026[[#This Row],[Codigo]],Plan_cuentas[],3,FALSE)," ")</f>
        <v>Pagos Bco. Provincia</v>
      </c>
      <c r="G1833" t="str">
        <f>IFERROR(+VLOOKUP(Movimientos_2026[[#This Row],[Codigo]],Plan_cuentas[],4,FALSE)," ")</f>
        <v>Rentas</v>
      </c>
      <c r="H1833" t="str">
        <f>IFERROR(+VLOOKUP(Movimientos_2026[[#This Row],[Codigo]],Plan_cuentas[],5,FALSE)," ")</f>
        <v>FORMOSA</v>
      </c>
      <c r="I1833" s="43">
        <v>46143</v>
      </c>
      <c r="J1833" t="s">
        <v>801</v>
      </c>
      <c r="K1833" t="str">
        <f>IFERROR(+VLOOKUP(Movimientos_2026[[#This Row],[Codigo]],Plan_cuentas[],6,FALSE)," ")</f>
        <v>3 - GM - Chevrolet</v>
      </c>
      <c r="L1833" s="50"/>
      <c r="M1833" s="50">
        <v>11080757.460000001</v>
      </c>
      <c r="N1833" s="20">
        <f>+Movimientos_2026[[#This Row],[Ingresos]]-Movimientos_2026[[#This Row],[Egresos]]</f>
        <v>-11080757.460000001</v>
      </c>
      <c r="O1833" s="20">
        <f>+O1832+Movimientos_2026[[#This Row],[Neto]]</f>
        <v>4711301651.5768747</v>
      </c>
    </row>
    <row r="1834" spans="1:15" x14ac:dyDescent="0.25">
      <c r="A1834" s="13">
        <v>46181</v>
      </c>
      <c r="B1834" s="12">
        <f>MONTH(Movimientos_2026[[#This Row],[Fecha]])</f>
        <v>6</v>
      </c>
      <c r="C1834" s="12" t="str">
        <f>VLOOKUP((WEEKDAY(Movimientos_2026[[#This Row],[Fecha]],2)),'5. Setup'!$D$6:$E$12,2,FALSE)</f>
        <v>Lun</v>
      </c>
      <c r="D1834">
        <v>2034244</v>
      </c>
      <c r="E1834" t="str">
        <f>IFERROR(+VLOOKUP(Movimientos_2026[[#This Row],[Codigo]],Plan_cuentas[],2,FALSE)," ")</f>
        <v>EGRESOS</v>
      </c>
      <c r="F1834" t="str">
        <f>IFERROR(+VLOOKUP(Movimientos_2026[[#This Row],[Codigo]],Plan_cuentas[],3,FALSE)," ")</f>
        <v>Pagos Bco. Provincia</v>
      </c>
      <c r="G1834" t="str">
        <f>IFERROR(+VLOOKUP(Movimientos_2026[[#This Row],[Codigo]],Plan_cuentas[],4,FALSE)," ")</f>
        <v>Rentas</v>
      </c>
      <c r="H1834" t="str">
        <f>IFERROR(+VLOOKUP(Movimientos_2026[[#This Row],[Codigo]],Plan_cuentas[],5,FALSE)," ")</f>
        <v>FORMOSA</v>
      </c>
      <c r="I1834" s="43">
        <v>46143</v>
      </c>
      <c r="J1834" t="s">
        <v>802</v>
      </c>
      <c r="K1834" t="str">
        <f>IFERROR(+VLOOKUP(Movimientos_2026[[#This Row],[Codigo]],Plan_cuentas[],6,FALSE)," ")</f>
        <v>4 - FCA - Fiat</v>
      </c>
      <c r="L1834" s="50"/>
      <c r="M1834" s="50">
        <v>10066986.91</v>
      </c>
      <c r="N1834" s="20">
        <f>+Movimientos_2026[[#This Row],[Ingresos]]-Movimientos_2026[[#This Row],[Egresos]]</f>
        <v>-10066986.91</v>
      </c>
      <c r="O1834" s="20">
        <f>+O1833+Movimientos_2026[[#This Row],[Neto]]</f>
        <v>4701234664.6668749</v>
      </c>
    </row>
    <row r="1835" spans="1:15" x14ac:dyDescent="0.25">
      <c r="A1835" s="13">
        <v>46181</v>
      </c>
      <c r="B1835" s="12">
        <f>MONTH(Movimientos_2026[[#This Row],[Fecha]])</f>
        <v>6</v>
      </c>
      <c r="C1835" s="12" t="str">
        <f>VLOOKUP((WEEKDAY(Movimientos_2026[[#This Row],[Fecha]],2)),'5. Setup'!$D$6:$E$12,2,FALSE)</f>
        <v>Lun</v>
      </c>
      <c r="D1835">
        <v>2054372</v>
      </c>
      <c r="E1835" s="55" t="str">
        <f>IFERROR(+VLOOKUP(Movimientos_2026[[#This Row],[Codigo]],Plan_cuentas[],2,FALSE)," ")</f>
        <v>EGRESOS</v>
      </c>
      <c r="F1835" t="str">
        <f>IFERROR(+VLOOKUP(Movimientos_2026[[#This Row],[Codigo]],Plan_cuentas[],3,FALSE)," ")</f>
        <v>VEP</v>
      </c>
      <c r="G1835" t="str">
        <f>IFERROR(+VLOOKUP(Movimientos_2026[[#This Row],[Codigo]],Plan_cuentas[],4,FALSE)," ")</f>
        <v>Rentas</v>
      </c>
      <c r="H1835" t="str">
        <f>IFERROR(+VLOOKUP(Movimientos_2026[[#This Row],[Codigo]],Plan_cuentas[],5,FALSE)," ")</f>
        <v>SANTA CRUZ</v>
      </c>
      <c r="I1835" s="43">
        <v>46143</v>
      </c>
      <c r="J1835" t="s">
        <v>803</v>
      </c>
      <c r="K1835" t="str">
        <f>IFERROR(+VLOOKUP(Movimientos_2026[[#This Row],[Codigo]],Plan_cuentas[],6,FALSE)," ")</f>
        <v>2 - PR - Plan Rombo</v>
      </c>
      <c r="L1835" s="50"/>
      <c r="M1835" s="52">
        <v>30955022.670000002</v>
      </c>
      <c r="N1835" s="20">
        <f>+Movimientos_2026[[#This Row],[Ingresos]]-Movimientos_2026[[#This Row],[Egresos]]</f>
        <v>-30955022.670000002</v>
      </c>
      <c r="O1835" s="20">
        <f>+O1834+Movimientos_2026[[#This Row],[Neto]]</f>
        <v>4670279641.9968748</v>
      </c>
    </row>
    <row r="1836" spans="1:15" x14ac:dyDescent="0.25">
      <c r="A1836" s="13">
        <v>46181</v>
      </c>
      <c r="B1836" s="12">
        <f>MONTH(Movimientos_2026[[#This Row],[Fecha]])</f>
        <v>6</v>
      </c>
      <c r="C1836" s="12" t="str">
        <f>VLOOKUP((WEEKDAY(Movimientos_2026[[#This Row],[Fecha]],2)),'5. Setup'!$D$6:$E$12,2,FALSE)</f>
        <v>Lun</v>
      </c>
      <c r="D1836">
        <v>2054374</v>
      </c>
      <c r="E1836" t="str">
        <f>IFERROR(+VLOOKUP(Movimientos_2026[[#This Row],[Codigo]],Plan_cuentas[],2,FALSE)," ")</f>
        <v>EGRESOS</v>
      </c>
      <c r="F1836" t="str">
        <f>IFERROR(+VLOOKUP(Movimientos_2026[[#This Row],[Codigo]],Plan_cuentas[],3,FALSE)," ")</f>
        <v>VEP</v>
      </c>
      <c r="G1836" t="str">
        <f>IFERROR(+VLOOKUP(Movimientos_2026[[#This Row],[Codigo]],Plan_cuentas[],4,FALSE)," ")</f>
        <v>Rentas</v>
      </c>
      <c r="H1836" t="str">
        <f>IFERROR(+VLOOKUP(Movimientos_2026[[#This Row],[Codigo]],Plan_cuentas[],5,FALSE)," ")</f>
        <v>SANTA CRUZ</v>
      </c>
      <c r="I1836" s="43">
        <v>46143</v>
      </c>
      <c r="J1836" t="s">
        <v>804</v>
      </c>
      <c r="K1836" t="str">
        <f>IFERROR(+VLOOKUP(Movimientos_2026[[#This Row],[Codigo]],Plan_cuentas[],6,FALSE)," ")</f>
        <v>4 - FCA - Fiat</v>
      </c>
      <c r="L1836" s="50"/>
      <c r="M1836" s="50">
        <v>17143778.43</v>
      </c>
      <c r="N1836" s="20">
        <f>+Movimientos_2026[[#This Row],[Ingresos]]-Movimientos_2026[[#This Row],[Egresos]]</f>
        <v>-17143778.43</v>
      </c>
      <c r="O1836" s="20">
        <f>+O1835+Movimientos_2026[[#This Row],[Neto]]</f>
        <v>4653135863.5668745</v>
      </c>
    </row>
    <row r="1837" spans="1:15" x14ac:dyDescent="0.25">
      <c r="A1837" s="13">
        <v>46181</v>
      </c>
      <c r="B1837" s="12">
        <f>MONTH(Movimientos_2026[[#This Row],[Fecha]])</f>
        <v>6</v>
      </c>
      <c r="C1837" s="12" t="str">
        <f>VLOOKUP((WEEKDAY(Movimientos_2026[[#This Row],[Fecha]],2)),'5. Setup'!$D$6:$E$12,2,FALSE)</f>
        <v>Lun</v>
      </c>
      <c r="D1837">
        <v>2014272</v>
      </c>
      <c r="E1837" t="str">
        <f>IFERROR(+VLOOKUP(Movimientos_2026[[#This Row],[Codigo]],Plan_cuentas[],2,FALSE)," ")</f>
        <v>EGRESOS</v>
      </c>
      <c r="F1837" t="str">
        <f>IFERROR(+VLOOKUP(Movimientos_2026[[#This Row],[Codigo]],Plan_cuentas[],3,FALSE)," ")</f>
        <v>BtoB</v>
      </c>
      <c r="G1837" t="str">
        <f>IFERROR(+VLOOKUP(Movimientos_2026[[#This Row],[Codigo]],Plan_cuentas[],4,FALSE)," ")</f>
        <v>Rentas</v>
      </c>
      <c r="H1837" t="str">
        <f>IFERROR(+VLOOKUP(Movimientos_2026[[#This Row],[Codigo]],Plan_cuentas[],5,FALSE)," ")</f>
        <v>LA RIOJA</v>
      </c>
      <c r="I1837" s="43">
        <v>46143</v>
      </c>
      <c r="J1837" t="s">
        <v>805</v>
      </c>
      <c r="K1837" t="str">
        <f>IFERROR(+VLOOKUP(Movimientos_2026[[#This Row],[Codigo]],Plan_cuentas[],6,FALSE)," ")</f>
        <v>2 - PR - Plan Rombo</v>
      </c>
      <c r="L1837" s="50"/>
      <c r="M1837" s="50">
        <v>5034504.1100000003</v>
      </c>
      <c r="N1837" s="20">
        <f>+Movimientos_2026[[#This Row],[Ingresos]]-Movimientos_2026[[#This Row],[Egresos]]</f>
        <v>-5034504.1100000003</v>
      </c>
      <c r="O1837" s="20">
        <f>+O1836+Movimientos_2026[[#This Row],[Neto]]</f>
        <v>4648101359.4568748</v>
      </c>
    </row>
    <row r="1838" spans="1:15" x14ac:dyDescent="0.25">
      <c r="A1838" s="13">
        <v>46181</v>
      </c>
      <c r="B1838" s="12">
        <f>MONTH(Movimientos_2026[[#This Row],[Fecha]])</f>
        <v>6</v>
      </c>
      <c r="C1838" s="12" t="str">
        <f>VLOOKUP((WEEKDAY(Movimientos_2026[[#This Row],[Fecha]],2)),'5. Setup'!$D$6:$E$12,2,FALSE)</f>
        <v>Lun</v>
      </c>
      <c r="D1838">
        <v>2014274</v>
      </c>
      <c r="E1838" t="str">
        <f>IFERROR(+VLOOKUP(Movimientos_2026[[#This Row],[Codigo]],Plan_cuentas[],2,FALSE)," ")</f>
        <v>EGRESOS</v>
      </c>
      <c r="F1838" t="str">
        <f>IFERROR(+VLOOKUP(Movimientos_2026[[#This Row],[Codigo]],Plan_cuentas[],3,FALSE)," ")</f>
        <v>BtoB</v>
      </c>
      <c r="G1838" t="str">
        <f>IFERROR(+VLOOKUP(Movimientos_2026[[#This Row],[Codigo]],Plan_cuentas[],4,FALSE)," ")</f>
        <v>Rentas</v>
      </c>
      <c r="H1838" t="str">
        <f>IFERROR(+VLOOKUP(Movimientos_2026[[#This Row],[Codigo]],Plan_cuentas[],5,FALSE)," ")</f>
        <v>LA RIOJA</v>
      </c>
      <c r="I1838" s="43">
        <v>46143</v>
      </c>
      <c r="J1838" t="s">
        <v>806</v>
      </c>
      <c r="K1838" t="str">
        <f>IFERROR(+VLOOKUP(Movimientos_2026[[#This Row],[Codigo]],Plan_cuentas[],6,FALSE)," ")</f>
        <v>4 - FCA - Fiat</v>
      </c>
      <c r="L1838" s="50"/>
      <c r="M1838" s="50">
        <v>4615220.74</v>
      </c>
      <c r="N1838" s="20">
        <f>+Movimientos_2026[[#This Row],[Ingresos]]-Movimientos_2026[[#This Row],[Egresos]]</f>
        <v>-4615220.74</v>
      </c>
      <c r="O1838" s="20">
        <f>+O1837+Movimientos_2026[[#This Row],[Neto]]</f>
        <v>4643486138.7168751</v>
      </c>
    </row>
    <row r="1839" spans="1:15" x14ac:dyDescent="0.25">
      <c r="A1839" s="13">
        <v>46181</v>
      </c>
      <c r="B1839" s="12">
        <f>MONTH(Movimientos_2026[[#This Row],[Fecha]])</f>
        <v>6</v>
      </c>
      <c r="C1839" s="12" t="str">
        <f>VLOOKUP((WEEKDAY(Movimientos_2026[[#This Row],[Fecha]],2)),'5. Setup'!$D$6:$E$12,2,FALSE)</f>
        <v>Lun</v>
      </c>
      <c r="D1839">
        <v>2014275</v>
      </c>
      <c r="E1839" t="str">
        <f>IFERROR(+VLOOKUP(Movimientos_2026[[#This Row],[Codigo]],Plan_cuentas[],2,FALSE)," ")</f>
        <v>EGRESOS</v>
      </c>
      <c r="F1839" t="str">
        <f>IFERROR(+VLOOKUP(Movimientos_2026[[#This Row],[Codigo]],Plan_cuentas[],3,FALSE)," ")</f>
        <v>BtoB</v>
      </c>
      <c r="G1839" t="str">
        <f>IFERROR(+VLOOKUP(Movimientos_2026[[#This Row],[Codigo]],Plan_cuentas[],4,FALSE)," ")</f>
        <v>Rentas</v>
      </c>
      <c r="H1839" t="str">
        <f>IFERROR(+VLOOKUP(Movimientos_2026[[#This Row],[Codigo]],Plan_cuentas[],5,FALSE)," ")</f>
        <v>LA RIOJA</v>
      </c>
      <c r="I1839" s="43">
        <v>46143</v>
      </c>
      <c r="J1839" t="s">
        <v>807</v>
      </c>
      <c r="K1839" t="str">
        <f>IFERROR(+VLOOKUP(Movimientos_2026[[#This Row],[Codigo]],Plan_cuentas[],6,FALSE)," ")</f>
        <v>5 - YAM - Yamaha</v>
      </c>
      <c r="L1839" s="50"/>
      <c r="M1839" s="50">
        <v>353479.24</v>
      </c>
      <c r="N1839" s="20">
        <f>+Movimientos_2026[[#This Row],[Ingresos]]-Movimientos_2026[[#This Row],[Egresos]]</f>
        <v>-353479.24</v>
      </c>
      <c r="O1839" s="20">
        <f>+O1838+Movimientos_2026[[#This Row],[Neto]]</f>
        <v>4643132659.4768753</v>
      </c>
    </row>
    <row r="1840" spans="1:15" x14ac:dyDescent="0.25">
      <c r="A1840" s="13">
        <v>46181</v>
      </c>
      <c r="B1840" s="12">
        <f>MONTH(Movimientos_2026[[#This Row],[Fecha]])</f>
        <v>6</v>
      </c>
      <c r="C1840" s="12" t="str">
        <f>VLOOKUP((WEEKDAY(Movimientos_2026[[#This Row],[Fecha]],2)),'5. Setup'!$D$6:$E$12,2,FALSE)</f>
        <v>Lun</v>
      </c>
      <c r="D1840">
        <v>2014212</v>
      </c>
      <c r="E1840" t="str">
        <f>IFERROR(+VLOOKUP(Movimientos_2026[[#This Row],[Codigo]],Plan_cuentas[],2,FALSE)," ")</f>
        <v>EGRESOS</v>
      </c>
      <c r="F1840" t="str">
        <f>IFERROR(+VLOOKUP(Movimientos_2026[[#This Row],[Codigo]],Plan_cuentas[],3,FALSE)," ")</f>
        <v>BtoB</v>
      </c>
      <c r="G1840" t="str">
        <f>IFERROR(+VLOOKUP(Movimientos_2026[[#This Row],[Codigo]],Plan_cuentas[],4,FALSE)," ")</f>
        <v>Rentas</v>
      </c>
      <c r="H1840" t="str">
        <f>IFERROR(+VLOOKUP(Movimientos_2026[[#This Row],[Codigo]],Plan_cuentas[],5,FALSE)," ")</f>
        <v>CORRIENTES 2° Q</v>
      </c>
      <c r="I1840" s="43">
        <v>46143</v>
      </c>
      <c r="J1840" t="s">
        <v>808</v>
      </c>
      <c r="K1840" t="str">
        <f>IFERROR(+VLOOKUP(Movimientos_2026[[#This Row],[Codigo]],Plan_cuentas[],6,FALSE)," ")</f>
        <v>2 - PR - Plan Rombo</v>
      </c>
      <c r="L1840" s="50"/>
      <c r="M1840" s="50">
        <v>11109323.4</v>
      </c>
      <c r="N1840" s="20">
        <f>+Movimientos_2026[[#This Row],[Ingresos]]-Movimientos_2026[[#This Row],[Egresos]]</f>
        <v>-11109323.4</v>
      </c>
      <c r="O1840" s="20">
        <f>+O1839+Movimientos_2026[[#This Row],[Neto]]</f>
        <v>4632023336.0768757</v>
      </c>
    </row>
    <row r="1841" spans="1:15" x14ac:dyDescent="0.25">
      <c r="A1841" s="13">
        <v>46181</v>
      </c>
      <c r="B1841" s="12">
        <f>MONTH(Movimientos_2026[[#This Row],[Fecha]])</f>
        <v>6</v>
      </c>
      <c r="C1841" s="12" t="str">
        <f>VLOOKUP((WEEKDAY(Movimientos_2026[[#This Row],[Fecha]],2)),'5. Setup'!$D$6:$E$12,2,FALSE)</f>
        <v>Lun</v>
      </c>
      <c r="D1841">
        <v>2014214</v>
      </c>
      <c r="E1841" t="str">
        <f>IFERROR(+VLOOKUP(Movimientos_2026[[#This Row],[Codigo]],Plan_cuentas[],2,FALSE)," ")</f>
        <v>EGRESOS</v>
      </c>
      <c r="F1841" t="str">
        <f>IFERROR(+VLOOKUP(Movimientos_2026[[#This Row],[Codigo]],Plan_cuentas[],3,FALSE)," ")</f>
        <v>BtoB</v>
      </c>
      <c r="G1841" t="str">
        <f>IFERROR(+VLOOKUP(Movimientos_2026[[#This Row],[Codigo]],Plan_cuentas[],4,FALSE)," ")</f>
        <v>Rentas</v>
      </c>
      <c r="H1841" t="str">
        <f>IFERROR(+VLOOKUP(Movimientos_2026[[#This Row],[Codigo]],Plan_cuentas[],5,FALSE)," ")</f>
        <v>CORRIENTES 2° Q</v>
      </c>
      <c r="I1841" s="43">
        <v>46143</v>
      </c>
      <c r="J1841" t="s">
        <v>809</v>
      </c>
      <c r="K1841" t="str">
        <f>IFERROR(+VLOOKUP(Movimientos_2026[[#This Row],[Codigo]],Plan_cuentas[],6,FALSE)," ")</f>
        <v>4 - FCA - Fiat</v>
      </c>
      <c r="L1841" s="50"/>
      <c r="M1841" s="50">
        <v>13361384.75</v>
      </c>
      <c r="N1841" s="20">
        <f>+Movimientos_2026[[#This Row],[Ingresos]]-Movimientos_2026[[#This Row],[Egresos]]</f>
        <v>-13361384.75</v>
      </c>
      <c r="O1841" s="20">
        <f>+O1840+Movimientos_2026[[#This Row],[Neto]]</f>
        <v>4618661951.3268757</v>
      </c>
    </row>
    <row r="1842" spans="1:15" x14ac:dyDescent="0.25">
      <c r="A1842" s="13">
        <v>46181</v>
      </c>
      <c r="B1842" s="12">
        <f>MONTH(Movimientos_2026[[#This Row],[Fecha]])</f>
        <v>6</v>
      </c>
      <c r="C1842" s="12" t="str">
        <f>VLOOKUP((WEEKDAY(Movimientos_2026[[#This Row],[Fecha]],2)),'5. Setup'!$D$6:$E$12,2,FALSE)</f>
        <v>Lun</v>
      </c>
      <c r="D1842">
        <v>2054197</v>
      </c>
      <c r="E1842" t="str">
        <f>IFERROR(+VLOOKUP(Movimientos_2026[[#This Row],[Codigo]],Plan_cuentas[],2,FALSE)," ")</f>
        <v>EGRESOS</v>
      </c>
      <c r="F1842" t="str">
        <f>IFERROR(+VLOOKUP(Movimientos_2026[[#This Row],[Codigo]],Plan_cuentas[],3,FALSE)," ")</f>
        <v>VEP</v>
      </c>
      <c r="G1842" t="str">
        <f>IFERROR(+VLOOKUP(Movimientos_2026[[#This Row],[Codigo]],Plan_cuentas[],4,FALSE)," ")</f>
        <v>Rentas</v>
      </c>
      <c r="H1842" t="str">
        <f>IFERROR(+VLOOKUP(Movimientos_2026[[#This Row],[Codigo]],Plan_cuentas[],5,FALSE)," ")</f>
        <v>CORDOBA 2° Q</v>
      </c>
      <c r="I1842" s="43">
        <v>46143</v>
      </c>
      <c r="J1842" t="s">
        <v>810</v>
      </c>
      <c r="K1842" t="str">
        <f>IFERROR(+VLOOKUP(Movimientos_2026[[#This Row],[Codigo]],Plan_cuentas[],6,FALSE)," ")</f>
        <v>7 - PRtr - Plan Rombo Transf.</v>
      </c>
      <c r="L1842" s="50"/>
      <c r="M1842" s="50">
        <v>514800</v>
      </c>
      <c r="N1842" s="20">
        <f>+Movimientos_2026[[#This Row],[Ingresos]]-Movimientos_2026[[#This Row],[Egresos]]</f>
        <v>-514800</v>
      </c>
      <c r="O1842" s="20">
        <f>+O1841+Movimientos_2026[[#This Row],[Neto]]</f>
        <v>4618147151.3268757</v>
      </c>
    </row>
    <row r="1843" spans="1:15" x14ac:dyDescent="0.25">
      <c r="A1843" s="13">
        <v>46181</v>
      </c>
      <c r="B1843" s="12">
        <f>MONTH(Movimientos_2026[[#This Row],[Fecha]])</f>
        <v>6</v>
      </c>
      <c r="C1843" s="12" t="str">
        <f>VLOOKUP((WEEKDAY(Movimientos_2026[[#This Row],[Fecha]],2)),'5. Setup'!$D$6:$E$12,2,FALSE)</f>
        <v>Lun</v>
      </c>
      <c r="D1843">
        <v>2054282</v>
      </c>
      <c r="E1843" t="str">
        <f>IFERROR(+VLOOKUP(Movimientos_2026[[#This Row],[Codigo]],Plan_cuentas[],2,FALSE)," ")</f>
        <v>EGRESOS</v>
      </c>
      <c r="F1843" t="str">
        <f>IFERROR(+VLOOKUP(Movimientos_2026[[#This Row],[Codigo]],Plan_cuentas[],3,FALSE)," ")</f>
        <v>VEP</v>
      </c>
      <c r="G1843" t="str">
        <f>IFERROR(+VLOOKUP(Movimientos_2026[[#This Row],[Codigo]],Plan_cuentas[],4,FALSE)," ")</f>
        <v>Rentas</v>
      </c>
      <c r="H1843" t="str">
        <f>IFERROR(+VLOOKUP(Movimientos_2026[[#This Row],[Codigo]],Plan_cuentas[],5,FALSE)," ")</f>
        <v>MENDOZA</v>
      </c>
      <c r="I1843" s="43">
        <v>46143</v>
      </c>
      <c r="J1843" t="s">
        <v>811</v>
      </c>
      <c r="K1843" t="str">
        <f>IFERROR(+VLOOKUP(Movimientos_2026[[#This Row],[Codigo]],Plan_cuentas[],6,FALSE)," ")</f>
        <v>2 - PR - Plan Rombo</v>
      </c>
      <c r="L1843" s="50"/>
      <c r="M1843" s="50">
        <v>37808700</v>
      </c>
      <c r="N1843" s="20">
        <f>+Movimientos_2026[[#This Row],[Ingresos]]-Movimientos_2026[[#This Row],[Egresos]]</f>
        <v>-37808700</v>
      </c>
      <c r="O1843" s="20">
        <f>+O1842+Movimientos_2026[[#This Row],[Neto]]</f>
        <v>4580338451.3268757</v>
      </c>
    </row>
    <row r="1844" spans="1:15" x14ac:dyDescent="0.25">
      <c r="A1844" s="13">
        <v>46181</v>
      </c>
      <c r="B1844" s="12">
        <f>MONTH(Movimientos_2026[[#This Row],[Fecha]])</f>
        <v>6</v>
      </c>
      <c r="C1844" s="12" t="str">
        <f>VLOOKUP((WEEKDAY(Movimientos_2026[[#This Row],[Fecha]],2)),'5. Setup'!$D$6:$E$12,2,FALSE)</f>
        <v>Lun</v>
      </c>
      <c r="D1844">
        <v>2054285</v>
      </c>
      <c r="E1844" t="str">
        <f>IFERROR(+VLOOKUP(Movimientos_2026[[#This Row],[Codigo]],Plan_cuentas[],2,FALSE)," ")</f>
        <v>EGRESOS</v>
      </c>
      <c r="F1844" t="str">
        <f>IFERROR(+VLOOKUP(Movimientos_2026[[#This Row],[Codigo]],Plan_cuentas[],3,FALSE)," ")</f>
        <v>VEP</v>
      </c>
      <c r="G1844" t="str">
        <f>IFERROR(+VLOOKUP(Movimientos_2026[[#This Row],[Codigo]],Plan_cuentas[],4,FALSE)," ")</f>
        <v>Rentas</v>
      </c>
      <c r="H1844" t="str">
        <f>IFERROR(+VLOOKUP(Movimientos_2026[[#This Row],[Codigo]],Plan_cuentas[],5,FALSE)," ")</f>
        <v>MENDOZA</v>
      </c>
      <c r="I1844" s="43">
        <v>46143</v>
      </c>
      <c r="J1844" t="s">
        <v>812</v>
      </c>
      <c r="K1844" t="str">
        <f>IFERROR(+VLOOKUP(Movimientos_2026[[#This Row],[Codigo]],Plan_cuentas[],6,FALSE)," ")</f>
        <v>5 - YAM - Yamaha</v>
      </c>
      <c r="L1844" s="50"/>
      <c r="M1844" s="50">
        <v>1319580</v>
      </c>
      <c r="N1844" s="20">
        <f>+Movimientos_2026[[#This Row],[Ingresos]]-Movimientos_2026[[#This Row],[Egresos]]</f>
        <v>-1319580</v>
      </c>
      <c r="O1844" s="20">
        <f>+O1843+Movimientos_2026[[#This Row],[Neto]]</f>
        <v>4579018871.3268757</v>
      </c>
    </row>
    <row r="1845" spans="1:15" x14ac:dyDescent="0.25">
      <c r="A1845" s="13">
        <v>46181</v>
      </c>
      <c r="B1845" s="12">
        <f>MONTH(Movimientos_2026[[#This Row],[Fecha]])</f>
        <v>6</v>
      </c>
      <c r="C1845" s="12" t="str">
        <f>VLOOKUP((WEEKDAY(Movimientos_2026[[#This Row],[Fecha]],2)),'5. Setup'!$D$6:$E$12,2,FALSE)</f>
        <v>Lun</v>
      </c>
      <c r="D1845">
        <v>2034235</v>
      </c>
      <c r="E1845" t="str">
        <f>IFERROR(+VLOOKUP(Movimientos_2026[[#This Row],[Codigo]],Plan_cuentas[],2,FALSE)," ")</f>
        <v>EGRESOS</v>
      </c>
      <c r="F1845" t="str">
        <f>IFERROR(+VLOOKUP(Movimientos_2026[[#This Row],[Codigo]],Plan_cuentas[],3,FALSE)," ")</f>
        <v>Pagos Bco. Provincia</v>
      </c>
      <c r="G1845" t="str">
        <f>IFERROR(+VLOOKUP(Movimientos_2026[[#This Row],[Codigo]],Plan_cuentas[],4,FALSE)," ")</f>
        <v>Rentas</v>
      </c>
      <c r="H1845" t="str">
        <f>IFERROR(+VLOOKUP(Movimientos_2026[[#This Row],[Codigo]],Plan_cuentas[],5,FALSE)," ")</f>
        <v>ENTRE RIOS 2° Q</v>
      </c>
      <c r="I1845" s="43">
        <v>46143</v>
      </c>
      <c r="J1845" t="s">
        <v>813</v>
      </c>
      <c r="K1845" t="str">
        <f>IFERROR(+VLOOKUP(Movimientos_2026[[#This Row],[Codigo]],Plan_cuentas[],6,FALSE)," ")</f>
        <v>5 - YAM - Yamaha</v>
      </c>
      <c r="L1845" s="50"/>
      <c r="M1845" s="50">
        <v>1607477.64</v>
      </c>
      <c r="N1845" s="20">
        <f>+Movimientos_2026[[#This Row],[Ingresos]]-Movimientos_2026[[#This Row],[Egresos]]</f>
        <v>-1607477.64</v>
      </c>
      <c r="O1845" s="20">
        <f>+O1844+Movimientos_2026[[#This Row],[Neto]]</f>
        <v>4577411393.6868753</v>
      </c>
    </row>
    <row r="1846" spans="1:15" x14ac:dyDescent="0.25">
      <c r="A1846" s="13">
        <v>46181</v>
      </c>
      <c r="B1846" s="12">
        <f>MONTH(Movimientos_2026[[#This Row],[Fecha]])</f>
        <v>6</v>
      </c>
      <c r="C1846" s="12" t="str">
        <f>VLOOKUP((WEEKDAY(Movimientos_2026[[#This Row],[Fecha]],2)),'5. Setup'!$D$6:$E$12,2,FALSE)</f>
        <v>Lun</v>
      </c>
      <c r="D1846">
        <v>2054287</v>
      </c>
      <c r="E1846" t="str">
        <f>IFERROR(+VLOOKUP(Movimientos_2026[[#This Row],[Codigo]],Plan_cuentas[],2,FALSE)," ")</f>
        <v>EGRESOS</v>
      </c>
      <c r="F1846" t="str">
        <f>IFERROR(+VLOOKUP(Movimientos_2026[[#This Row],[Codigo]],Plan_cuentas[],3,FALSE)," ")</f>
        <v>VEP</v>
      </c>
      <c r="G1846" t="str">
        <f>IFERROR(+VLOOKUP(Movimientos_2026[[#This Row],[Codigo]],Plan_cuentas[],4,FALSE)," ")</f>
        <v>Rentas</v>
      </c>
      <c r="H1846" t="str">
        <f>IFERROR(+VLOOKUP(Movimientos_2026[[#This Row],[Codigo]],Plan_cuentas[],5,FALSE)," ")</f>
        <v>MENDOZA</v>
      </c>
      <c r="I1846" s="43">
        <v>46143</v>
      </c>
      <c r="J1846" t="s">
        <v>811</v>
      </c>
      <c r="K1846" t="str">
        <f>IFERROR(+VLOOKUP(Movimientos_2026[[#This Row],[Codigo]],Plan_cuentas[],6,FALSE)," ")</f>
        <v>7 - PRtr - Plan Rombo Transf.</v>
      </c>
      <c r="L1846" s="50"/>
      <c r="M1846" s="50">
        <v>2000</v>
      </c>
      <c r="N1846" s="20">
        <f>+Movimientos_2026[[#This Row],[Ingresos]]-Movimientos_2026[[#This Row],[Egresos]]</f>
        <v>-2000</v>
      </c>
      <c r="O1846" s="20">
        <f>+O1845+Movimientos_2026[[#This Row],[Neto]]</f>
        <v>4577409393.6868753</v>
      </c>
    </row>
    <row r="1847" spans="1:15" x14ac:dyDescent="0.25">
      <c r="A1847" s="13">
        <v>46181</v>
      </c>
      <c r="B1847" s="12">
        <f>MONTH(Movimientos_2026[[#This Row],[Fecha]])</f>
        <v>6</v>
      </c>
      <c r="C1847" s="12" t="str">
        <f>VLOOKUP((WEEKDAY(Movimientos_2026[[#This Row],[Fecha]],2)),'5. Setup'!$D$6:$E$12,2,FALSE)</f>
        <v>Lun</v>
      </c>
      <c r="D1847">
        <v>2044495</v>
      </c>
      <c r="E1847" t="str">
        <f>IFERROR(+VLOOKUP(Movimientos_2026[[#This Row],[Codigo]],Plan_cuentas[],2,FALSE)," ")</f>
        <v>EGRESOS</v>
      </c>
      <c r="F1847" t="str">
        <f>IFERROR(+VLOOKUP(Movimientos_2026[[#This Row],[Codigo]],Plan_cuentas[],3,FALSE)," ")</f>
        <v>Transferencia</v>
      </c>
      <c r="G1847" t="str">
        <f>IFERROR(+VLOOKUP(Movimientos_2026[[#This Row],[Codigo]],Plan_cuentas[],4,FALSE)," ")</f>
        <v>Rentas</v>
      </c>
      <c r="H1847" t="str">
        <f>IFERROR(+VLOOKUP(Movimientos_2026[[#This Row],[Codigo]],Plan_cuentas[],5,FALSE)," ")</f>
        <v>JUJUY</v>
      </c>
      <c r="I1847" s="43">
        <v>46143</v>
      </c>
      <c r="J1847" t="s">
        <v>814</v>
      </c>
      <c r="K1847" t="str">
        <f>IFERROR(+VLOOKUP(Movimientos_2026[[#This Row],[Codigo]],Plan_cuentas[],6,FALSE)," ")</f>
        <v>5 - YAM - Yamaha</v>
      </c>
      <c r="L1847" s="50"/>
      <c r="M1847" s="50">
        <v>638676.72</v>
      </c>
      <c r="N1847" s="20">
        <f>+Movimientos_2026[[#This Row],[Ingresos]]-Movimientos_2026[[#This Row],[Egresos]]</f>
        <v>-638676.72</v>
      </c>
      <c r="O1847" s="20">
        <f>+O1846+Movimientos_2026[[#This Row],[Neto]]</f>
        <v>4576770716.9668751</v>
      </c>
    </row>
    <row r="1848" spans="1:15" x14ac:dyDescent="0.25">
      <c r="A1848" s="13">
        <v>46181</v>
      </c>
      <c r="B1848" s="12">
        <f>MONTH(Movimientos_2026[[#This Row],[Fecha]])</f>
        <v>6</v>
      </c>
      <c r="C1848" s="12" t="str">
        <f>VLOOKUP((WEEKDAY(Movimientos_2026[[#This Row],[Fecha]],2)),'5. Setup'!$D$6:$E$12,2,FALSE)</f>
        <v>Lun</v>
      </c>
      <c r="D1848">
        <v>2034234</v>
      </c>
      <c r="E1848" t="str">
        <f>IFERROR(+VLOOKUP(Movimientos_2026[[#This Row],[Codigo]],Plan_cuentas[],2,FALSE)," ")</f>
        <v>EGRESOS</v>
      </c>
      <c r="F1848" t="str">
        <f>IFERROR(+VLOOKUP(Movimientos_2026[[#This Row],[Codigo]],Plan_cuentas[],3,FALSE)," ")</f>
        <v>Pagos Bco. Provincia</v>
      </c>
      <c r="G1848" t="str">
        <f>IFERROR(+VLOOKUP(Movimientos_2026[[#This Row],[Codigo]],Plan_cuentas[],4,FALSE)," ")</f>
        <v>Rentas</v>
      </c>
      <c r="H1848" t="str">
        <f>IFERROR(+VLOOKUP(Movimientos_2026[[#This Row],[Codigo]],Plan_cuentas[],5,FALSE)," ")</f>
        <v>ENTRE RIOS 2° Q</v>
      </c>
      <c r="I1848" s="43">
        <v>46143</v>
      </c>
      <c r="J1848" t="s">
        <v>815</v>
      </c>
      <c r="K1848" t="str">
        <f>IFERROR(+VLOOKUP(Movimientos_2026[[#This Row],[Codigo]],Plan_cuentas[],6,FALSE)," ")</f>
        <v>4 - FCA - Fiat</v>
      </c>
      <c r="L1848" s="50"/>
      <c r="M1848" s="50">
        <v>26262799.149999999</v>
      </c>
      <c r="N1848" s="20">
        <f>+Movimientos_2026[[#This Row],[Ingresos]]-Movimientos_2026[[#This Row],[Egresos]]</f>
        <v>-26262799.149999999</v>
      </c>
      <c r="O1848" s="20">
        <f>+O1847+Movimientos_2026[[#This Row],[Neto]]</f>
        <v>4550507917.8168755</v>
      </c>
    </row>
    <row r="1849" spans="1:15" x14ac:dyDescent="0.25">
      <c r="A1849" s="13">
        <v>46181</v>
      </c>
      <c r="B1849" s="12">
        <f>MONTH(Movimientos_2026[[#This Row],[Fecha]])</f>
        <v>6</v>
      </c>
      <c r="C1849" s="12" t="str">
        <f>VLOOKUP((WEEKDAY(Movimientos_2026[[#This Row],[Fecha]],2)),'5. Setup'!$D$6:$E$12,2,FALSE)</f>
        <v>Lun</v>
      </c>
      <c r="D1849">
        <v>1045454</v>
      </c>
      <c r="E1849" t="str">
        <f>IFERROR(+VLOOKUP(Movimientos_2026[[#This Row],[Codigo]],Plan_cuentas[],2,FALSE)," ")</f>
        <v>INGRESOS</v>
      </c>
      <c r="F1849" t="str">
        <f>IFERROR(+VLOOKUP(Movimientos_2026[[#This Row],[Codigo]],Plan_cuentas[],3,FALSE)," ")</f>
        <v>Transferencia</v>
      </c>
      <c r="G1849" t="str">
        <f>IFERROR(+VLOOKUP(Movimientos_2026[[#This Row],[Codigo]],Plan_cuentas[],4,FALSE)," ")</f>
        <v>Factura</v>
      </c>
      <c r="H1849" t="str">
        <f>IFERROR(+VLOOKUP(Movimientos_2026[[#This Row],[Codigo]],Plan_cuentas[],5,FALSE)," ")</f>
        <v>FC DERECHOS</v>
      </c>
      <c r="I1849" s="43">
        <v>46143</v>
      </c>
      <c r="J1849" t="s">
        <v>816</v>
      </c>
      <c r="K1849" t="str">
        <f>IFERROR(+VLOOKUP(Movimientos_2026[[#This Row],[Codigo]],Plan_cuentas[],6,FALSE)," ")</f>
        <v>4 - FCA - Fiat</v>
      </c>
      <c r="L1849" s="50">
        <v>161067982.19</v>
      </c>
      <c r="M1849" s="50"/>
      <c r="N1849" s="20">
        <f>+Movimientos_2026[[#This Row],[Ingresos]]-Movimientos_2026[[#This Row],[Egresos]]</f>
        <v>161067982.19</v>
      </c>
      <c r="O1849" s="20">
        <f>+O1848+Movimientos_2026[[#This Row],[Neto]]</f>
        <v>4711575900.006875</v>
      </c>
    </row>
    <row r="1850" spans="1:15" x14ac:dyDescent="0.25">
      <c r="A1850" s="13">
        <v>46181</v>
      </c>
      <c r="B1850" s="12">
        <f>MONTH(Movimientos_2026[[#This Row],[Fecha]])</f>
        <v>6</v>
      </c>
      <c r="C1850" s="12" t="str">
        <f>VLOOKUP((WEEKDAY(Movimientos_2026[[#This Row],[Fecha]],2)),'5. Setup'!$D$6:$E$12,2,FALSE)</f>
        <v>Lun</v>
      </c>
      <c r="D1850">
        <v>1043144</v>
      </c>
      <c r="E1850" t="str">
        <f>IFERROR(+VLOOKUP(Movimientos_2026[[#This Row],[Codigo]],Plan_cuentas[],2,FALSE)," ")</f>
        <v>INGRESOS</v>
      </c>
      <c r="F1850" t="str">
        <f>IFERROR(+VLOOKUP(Movimientos_2026[[#This Row],[Codigo]],Plan_cuentas[],3,FALSE)," ")</f>
        <v>Transferencia</v>
      </c>
      <c r="G1850" t="str">
        <f>IFERROR(+VLOOKUP(Movimientos_2026[[#This Row],[Codigo]],Plan_cuentas[],4,FALSE)," ")</f>
        <v>Registración</v>
      </c>
      <c r="H1850" t="str">
        <f>IFERROR(+VLOOKUP(Movimientos_2026[[#This Row],[Codigo]],Plan_cuentas[],5,FALSE)," ")</f>
        <v>BUENOS AIRES</v>
      </c>
      <c r="I1850" s="43">
        <v>46143</v>
      </c>
      <c r="J1850" t="s">
        <v>817</v>
      </c>
      <c r="K1850" t="str">
        <f>IFERROR(+VLOOKUP(Movimientos_2026[[#This Row],[Codigo]],Plan_cuentas[],6,FALSE)," ")</f>
        <v>4 - FCA - Fiat</v>
      </c>
      <c r="L1850" s="50">
        <v>476533485.16000003</v>
      </c>
      <c r="M1850" s="50"/>
      <c r="N1850" s="20">
        <f>+Movimientos_2026[[#This Row],[Ingresos]]-Movimientos_2026[[#This Row],[Egresos]]</f>
        <v>476533485.16000003</v>
      </c>
      <c r="O1850" s="20">
        <f>+O1849+Movimientos_2026[[#This Row],[Neto]]</f>
        <v>5188109385.1668749</v>
      </c>
    </row>
    <row r="1851" spans="1:15" x14ac:dyDescent="0.25">
      <c r="A1851" s="13">
        <v>46181</v>
      </c>
      <c r="B1851" s="12">
        <f>MONTH(Movimientos_2026[[#This Row],[Fecha]])</f>
        <v>6</v>
      </c>
      <c r="C1851" s="12" t="str">
        <f>VLOOKUP((WEEKDAY(Movimientos_2026[[#This Row],[Fecha]],2)),'5. Setup'!$D$6:$E$12,2,FALSE)</f>
        <v>Lun</v>
      </c>
      <c r="D1851">
        <v>1041444</v>
      </c>
      <c r="E1851" t="str">
        <f>IFERROR(+VLOOKUP(Movimientos_2026[[#This Row],[Codigo]],Plan_cuentas[],2,FALSE)," ")</f>
        <v>INGRESOS</v>
      </c>
      <c r="F1851" t="str">
        <f>IFERROR(+VLOOKUP(Movimientos_2026[[#This Row],[Codigo]],Plan_cuentas[],3,FALSE)," ")</f>
        <v>Transferencia</v>
      </c>
      <c r="G1851" t="str">
        <f>IFERROR(+VLOOKUP(Movimientos_2026[[#This Row],[Codigo]],Plan_cuentas[],4,FALSE)," ")</f>
        <v>Entidades co-participadas</v>
      </c>
      <c r="H1851" t="str">
        <f>IFERROR(+VLOOKUP(Movimientos_2026[[#This Row],[Codigo]],Plan_cuentas[],5,FALSE)," ")</f>
        <v>UISCUMARR</v>
      </c>
      <c r="I1851" s="43">
        <v>46143</v>
      </c>
      <c r="J1851" t="s">
        <v>817</v>
      </c>
      <c r="K1851" t="str">
        <f>IFERROR(+VLOOKUP(Movimientos_2026[[#This Row],[Codigo]],Plan_cuentas[],6,FALSE)," ")</f>
        <v>4 - FCA - Fiat</v>
      </c>
      <c r="L1851" s="50">
        <v>402962499.60000002</v>
      </c>
      <c r="M1851" s="50"/>
      <c r="N1851" s="20">
        <f>+Movimientos_2026[[#This Row],[Ingresos]]-Movimientos_2026[[#This Row],[Egresos]]</f>
        <v>402962499.60000002</v>
      </c>
      <c r="O1851" s="20">
        <f>+O1850+Movimientos_2026[[#This Row],[Neto]]</f>
        <v>5591071884.7668753</v>
      </c>
    </row>
    <row r="1852" spans="1:15" x14ac:dyDescent="0.25">
      <c r="A1852" s="13">
        <v>46181</v>
      </c>
      <c r="B1852" s="12">
        <f>MONTH(Movimientos_2026[[#This Row],[Fecha]])</f>
        <v>6</v>
      </c>
      <c r="C1852" s="12" t="str">
        <f>VLOOKUP((WEEKDAY(Movimientos_2026[[#This Row],[Fecha]],2)),'5. Setup'!$D$6:$E$12,2,FALSE)</f>
        <v>Lun</v>
      </c>
      <c r="D1852">
        <v>1041134</v>
      </c>
      <c r="E1852" t="str">
        <f>IFERROR(+VLOOKUP(Movimientos_2026[[#This Row],[Codigo]],Plan_cuentas[],2,FALSE)," ")</f>
        <v>INGRESOS</v>
      </c>
      <c r="F1852" t="str">
        <f>IFERROR(+VLOOKUP(Movimientos_2026[[#This Row],[Codigo]],Plan_cuentas[],3,FALSE)," ")</f>
        <v>Transferencia</v>
      </c>
      <c r="G1852" t="str">
        <f>IFERROR(+VLOOKUP(Movimientos_2026[[#This Row],[Codigo]],Plan_cuentas[],4,FALSE)," ")</f>
        <v>Entidades co-participadas</v>
      </c>
      <c r="H1852" t="str">
        <f>IFERROR(+VLOOKUP(Movimientos_2026[[#This Row],[Codigo]],Plan_cuentas[],5,FALSE)," ")</f>
        <v>BCLP</v>
      </c>
      <c r="I1852" s="43">
        <v>46143</v>
      </c>
      <c r="J1852" t="s">
        <v>817</v>
      </c>
      <c r="K1852" t="str">
        <f>IFERROR(+VLOOKUP(Movimientos_2026[[#This Row],[Codigo]],Plan_cuentas[],6,FALSE)," ")</f>
        <v>4 - FCA - Fiat</v>
      </c>
      <c r="L1852" s="50">
        <v>38643978.859999999</v>
      </c>
      <c r="M1852" s="50"/>
      <c r="N1852" s="20">
        <f>+Movimientos_2026[[#This Row],[Ingresos]]-Movimientos_2026[[#This Row],[Egresos]]</f>
        <v>38643978.859999999</v>
      </c>
      <c r="O1852" s="20">
        <f>+O1851+Movimientos_2026[[#This Row],[Neto]]</f>
        <v>5629715863.6268749</v>
      </c>
    </row>
    <row r="1853" spans="1:15" x14ac:dyDescent="0.25">
      <c r="A1853" s="13">
        <v>46181</v>
      </c>
      <c r="B1853" s="12">
        <f>MONTH(Movimientos_2026[[#This Row],[Fecha]])</f>
        <v>6</v>
      </c>
      <c r="C1853" s="12" t="str">
        <f>VLOOKUP((WEEKDAY(Movimientos_2026[[#This Row],[Fecha]],2)),'5. Setup'!$D$6:$E$12,2,FALSE)</f>
        <v>Lun</v>
      </c>
      <c r="D1853">
        <v>1043142</v>
      </c>
      <c r="E1853" t="str">
        <f>IFERROR(+VLOOKUP(Movimientos_2026[[#This Row],[Codigo]],Plan_cuentas[],2,FALSE)," ")</f>
        <v>INGRESOS</v>
      </c>
      <c r="F1853" t="str">
        <f>IFERROR(+VLOOKUP(Movimientos_2026[[#This Row],[Codigo]],Plan_cuentas[],3,FALSE)," ")</f>
        <v>Transferencia</v>
      </c>
      <c r="G1853" t="str">
        <f>IFERROR(+VLOOKUP(Movimientos_2026[[#This Row],[Codigo]],Plan_cuentas[],4,FALSE)," ")</f>
        <v>Registración</v>
      </c>
      <c r="H1853" t="str">
        <f>IFERROR(+VLOOKUP(Movimientos_2026[[#This Row],[Codigo]],Plan_cuentas[],5,FALSE)," ")</f>
        <v>BUENOS AIRES</v>
      </c>
      <c r="I1853" s="43">
        <v>46143</v>
      </c>
      <c r="J1853" t="s">
        <v>818</v>
      </c>
      <c r="K1853" t="str">
        <f>IFERROR(+VLOOKUP(Movimientos_2026[[#This Row],[Codigo]],Plan_cuentas[],6,FALSE)," ")</f>
        <v>2 - PR - Plan Rombo</v>
      </c>
      <c r="L1853" s="50">
        <v>250383275</v>
      </c>
      <c r="M1853" s="50"/>
      <c r="N1853" s="20">
        <f>+Movimientos_2026[[#This Row],[Ingresos]]-Movimientos_2026[[#This Row],[Egresos]]</f>
        <v>250383275</v>
      </c>
      <c r="O1853" s="20">
        <f>+O1852+Movimientos_2026[[#This Row],[Neto]]</f>
        <v>5880099138.6268749</v>
      </c>
    </row>
    <row r="1854" spans="1:15" x14ac:dyDescent="0.25">
      <c r="A1854" s="13">
        <v>46181</v>
      </c>
      <c r="B1854" s="12">
        <f>MONTH(Movimientos_2026[[#This Row],[Fecha]])</f>
        <v>6</v>
      </c>
      <c r="C1854" s="12" t="str">
        <f>VLOOKUP((WEEKDAY(Movimientos_2026[[#This Row],[Fecha]],2)),'5. Setup'!$D$6:$E$12,2,FALSE)</f>
        <v>Lun</v>
      </c>
      <c r="D1854">
        <v>1043152</v>
      </c>
      <c r="E1854" t="str">
        <f>IFERROR(+VLOOKUP(Movimientos_2026[[#This Row],[Codigo]],Plan_cuentas[],2,FALSE)," ")</f>
        <v>INGRESOS</v>
      </c>
      <c r="F1854" t="str">
        <f>IFERROR(+VLOOKUP(Movimientos_2026[[#This Row],[Codigo]],Plan_cuentas[],3,FALSE)," ")</f>
        <v>Transferencia</v>
      </c>
      <c r="G1854" t="str">
        <f>IFERROR(+VLOOKUP(Movimientos_2026[[#This Row],[Codigo]],Plan_cuentas[],4,FALSE)," ")</f>
        <v>Registración</v>
      </c>
      <c r="H1854" t="str">
        <f>IFERROR(+VLOOKUP(Movimientos_2026[[#This Row],[Codigo]],Plan_cuentas[],5,FALSE)," ")</f>
        <v>CABA</v>
      </c>
      <c r="I1854" s="43">
        <v>46143</v>
      </c>
      <c r="J1854" t="s">
        <v>818</v>
      </c>
      <c r="K1854" t="str">
        <f>IFERROR(+VLOOKUP(Movimientos_2026[[#This Row],[Codigo]],Plan_cuentas[],6,FALSE)," ")</f>
        <v>2 - PR - Plan Rombo</v>
      </c>
      <c r="L1854" s="50">
        <v>36179430</v>
      </c>
      <c r="M1854" s="50"/>
      <c r="N1854" s="20">
        <f>+Movimientos_2026[[#This Row],[Ingresos]]-Movimientos_2026[[#This Row],[Egresos]]</f>
        <v>36179430</v>
      </c>
      <c r="O1854" s="20">
        <f>+O1853+Movimientos_2026[[#This Row],[Neto]]</f>
        <v>5916278568.6268749</v>
      </c>
    </row>
    <row r="1855" spans="1:15" x14ac:dyDescent="0.25">
      <c r="A1855" s="13">
        <v>46181</v>
      </c>
      <c r="B1855" s="12">
        <f>MONTH(Movimientos_2026[[#This Row],[Fecha]])</f>
        <v>6</v>
      </c>
      <c r="C1855" s="12" t="str">
        <f>VLOOKUP((WEEKDAY(Movimientos_2026[[#This Row],[Fecha]],2)),'5. Setup'!$D$6:$E$12,2,FALSE)</f>
        <v>Lun</v>
      </c>
      <c r="D1855">
        <v>1043222</v>
      </c>
      <c r="E1855" t="str">
        <f>IFERROR(+VLOOKUP(Movimientos_2026[[#This Row],[Codigo]],Plan_cuentas[],2,FALSE)," ")</f>
        <v>INGRESOS</v>
      </c>
      <c r="F1855" t="str">
        <f>IFERROR(+VLOOKUP(Movimientos_2026[[#This Row],[Codigo]],Plan_cuentas[],3,FALSE)," ")</f>
        <v>Transferencia</v>
      </c>
      <c r="G1855" t="str">
        <f>IFERROR(+VLOOKUP(Movimientos_2026[[#This Row],[Codigo]],Plan_cuentas[],4,FALSE)," ")</f>
        <v>Registración</v>
      </c>
      <c r="H1855" t="str">
        <f>IFERROR(+VLOOKUP(Movimientos_2026[[#This Row],[Codigo]],Plan_cuentas[],5,FALSE)," ")</f>
        <v>ENTRE RIOS 1° Q</v>
      </c>
      <c r="I1855" s="43">
        <v>46143</v>
      </c>
      <c r="J1855" t="s">
        <v>818</v>
      </c>
      <c r="K1855" t="str">
        <f>IFERROR(+VLOOKUP(Movimientos_2026[[#This Row],[Codigo]],Plan_cuentas[],6,FALSE)," ")</f>
        <v>2 - PR - Plan Rombo</v>
      </c>
      <c r="L1855" s="50">
        <v>18939743</v>
      </c>
      <c r="M1855" s="50"/>
      <c r="N1855" s="20">
        <f>+Movimientos_2026[[#This Row],[Ingresos]]-Movimientos_2026[[#This Row],[Egresos]]</f>
        <v>18939743</v>
      </c>
      <c r="O1855" s="20">
        <f>+O1854+Movimientos_2026[[#This Row],[Neto]]</f>
        <v>5935218311.6268749</v>
      </c>
    </row>
    <row r="1856" spans="1:15" x14ac:dyDescent="0.25">
      <c r="A1856" s="13">
        <v>46181</v>
      </c>
      <c r="B1856" s="12">
        <f>MONTH(Movimientos_2026[[#This Row],[Fecha]])</f>
        <v>6</v>
      </c>
      <c r="C1856" s="12" t="str">
        <f>VLOOKUP((WEEKDAY(Movimientos_2026[[#This Row],[Fecha]],2)),'5. Setup'!$D$6:$E$12,2,FALSE)</f>
        <v>Lun</v>
      </c>
      <c r="D1856">
        <v>1043242</v>
      </c>
      <c r="E1856" t="str">
        <f>IFERROR(+VLOOKUP(Movimientos_2026[[#This Row],[Codigo]],Plan_cuentas[],2,FALSE)," ")</f>
        <v>INGRESOS</v>
      </c>
      <c r="F1856" t="str">
        <f>IFERROR(+VLOOKUP(Movimientos_2026[[#This Row],[Codigo]],Plan_cuentas[],3,FALSE)," ")</f>
        <v>Transferencia</v>
      </c>
      <c r="G1856" t="str">
        <f>IFERROR(+VLOOKUP(Movimientos_2026[[#This Row],[Codigo]],Plan_cuentas[],4,FALSE)," ")</f>
        <v>Registración</v>
      </c>
      <c r="H1856" t="str">
        <f>IFERROR(+VLOOKUP(Movimientos_2026[[#This Row],[Codigo]],Plan_cuentas[],5,FALSE)," ")</f>
        <v>FORMOSA</v>
      </c>
      <c r="I1856" s="43">
        <v>46143</v>
      </c>
      <c r="J1856" t="s">
        <v>818</v>
      </c>
      <c r="K1856" t="str">
        <f>IFERROR(+VLOOKUP(Movimientos_2026[[#This Row],[Codigo]],Plan_cuentas[],6,FALSE)," ")</f>
        <v>2 - PR - Plan Rombo</v>
      </c>
      <c r="L1856" s="50">
        <v>3287435</v>
      </c>
      <c r="M1856" s="50"/>
      <c r="N1856" s="20">
        <f>+Movimientos_2026[[#This Row],[Ingresos]]-Movimientos_2026[[#This Row],[Egresos]]</f>
        <v>3287435</v>
      </c>
      <c r="O1856" s="20">
        <f>+O1855+Movimientos_2026[[#This Row],[Neto]]</f>
        <v>5938505746.6268749</v>
      </c>
    </row>
    <row r="1857" spans="1:15" x14ac:dyDescent="0.25">
      <c r="A1857" s="13">
        <v>46181</v>
      </c>
      <c r="B1857" s="12">
        <f>MONTH(Movimientos_2026[[#This Row],[Fecha]])</f>
        <v>6</v>
      </c>
      <c r="C1857" s="12" t="str">
        <f>VLOOKUP((WEEKDAY(Movimientos_2026[[#This Row],[Fecha]],2)),'5. Setup'!$D$6:$E$12,2,FALSE)</f>
        <v>Lun</v>
      </c>
      <c r="D1857">
        <v>1043382</v>
      </c>
      <c r="E1857" t="str">
        <f>IFERROR(+VLOOKUP(Movimientos_2026[[#This Row],[Codigo]],Plan_cuentas[],2,FALSE)," ")</f>
        <v>INGRESOS</v>
      </c>
      <c r="F1857" t="str">
        <f>IFERROR(+VLOOKUP(Movimientos_2026[[#This Row],[Codigo]],Plan_cuentas[],3,FALSE)," ")</f>
        <v>Transferencia</v>
      </c>
      <c r="G1857" t="str">
        <f>IFERROR(+VLOOKUP(Movimientos_2026[[#This Row],[Codigo]],Plan_cuentas[],4,FALSE)," ")</f>
        <v>Registración</v>
      </c>
      <c r="H1857" t="str">
        <f>IFERROR(+VLOOKUP(Movimientos_2026[[#This Row],[Codigo]],Plan_cuentas[],5,FALSE)," ")</f>
        <v>SANTA FE 1° Q</v>
      </c>
      <c r="I1857" s="43">
        <v>46143</v>
      </c>
      <c r="J1857" t="s">
        <v>818</v>
      </c>
      <c r="K1857" t="str">
        <f>IFERROR(+VLOOKUP(Movimientos_2026[[#This Row],[Codigo]],Plan_cuentas[],6,FALSE)," ")</f>
        <v>2 - PR - Plan Rombo</v>
      </c>
      <c r="L1857" s="50">
        <v>38216390</v>
      </c>
      <c r="M1857" s="50"/>
      <c r="N1857" s="20">
        <f>+Movimientos_2026[[#This Row],[Ingresos]]-Movimientos_2026[[#This Row],[Egresos]]</f>
        <v>38216390</v>
      </c>
      <c r="O1857" s="20">
        <f>+O1856+Movimientos_2026[[#This Row],[Neto]]</f>
        <v>5976722136.6268749</v>
      </c>
    </row>
    <row r="1858" spans="1:15" x14ac:dyDescent="0.25">
      <c r="A1858" s="13">
        <v>46181</v>
      </c>
      <c r="B1858" s="12">
        <f>MONTH(Movimientos_2026[[#This Row],[Fecha]])</f>
        <v>6</v>
      </c>
      <c r="C1858" s="12" t="str">
        <f>VLOOKUP((WEEKDAY(Movimientos_2026[[#This Row],[Fecha]],2)),'5. Setup'!$D$6:$E$12,2,FALSE)</f>
        <v>Lun</v>
      </c>
      <c r="D1858">
        <v>1043172</v>
      </c>
      <c r="E1858" t="str">
        <f>IFERROR(+VLOOKUP(Movimientos_2026[[#This Row],[Codigo]],Plan_cuentas[],2,FALSE)," ")</f>
        <v>INGRESOS</v>
      </c>
      <c r="F1858" t="str">
        <f>IFERROR(+VLOOKUP(Movimientos_2026[[#This Row],[Codigo]],Plan_cuentas[],3,FALSE)," ")</f>
        <v>Transferencia</v>
      </c>
      <c r="G1858" t="str">
        <f>IFERROR(+VLOOKUP(Movimientos_2026[[#This Row],[Codigo]],Plan_cuentas[],4,FALSE)," ")</f>
        <v>Registración</v>
      </c>
      <c r="H1858" t="str">
        <f>IFERROR(+VLOOKUP(Movimientos_2026[[#This Row],[Codigo]],Plan_cuentas[],5,FALSE)," ")</f>
        <v>CHUBUT</v>
      </c>
      <c r="I1858" s="43">
        <v>46143</v>
      </c>
      <c r="J1858" t="s">
        <v>818</v>
      </c>
      <c r="K1858" t="str">
        <f>IFERROR(+VLOOKUP(Movimientos_2026[[#This Row],[Codigo]],Plan_cuentas[],6,FALSE)," ")</f>
        <v>2 - PR - Plan Rombo</v>
      </c>
      <c r="L1858" s="50">
        <v>11855958</v>
      </c>
      <c r="M1858" s="50"/>
      <c r="N1858" s="20">
        <f>+Movimientos_2026[[#This Row],[Ingresos]]-Movimientos_2026[[#This Row],[Egresos]]</f>
        <v>11855958</v>
      </c>
      <c r="O1858" s="20">
        <f>+O1857+Movimientos_2026[[#This Row],[Neto]]</f>
        <v>5988578094.6268749</v>
      </c>
    </row>
    <row r="1859" spans="1:15" x14ac:dyDescent="0.25">
      <c r="A1859" s="13">
        <v>46181</v>
      </c>
      <c r="B1859" s="12">
        <f>MONTH(Movimientos_2026[[#This Row],[Fecha]])</f>
        <v>6</v>
      </c>
      <c r="C1859" s="12" t="str">
        <f>VLOOKUP((WEEKDAY(Movimientos_2026[[#This Row],[Fecha]],2)),'5. Setup'!$D$6:$E$12,2,FALSE)</f>
        <v>Lun</v>
      </c>
      <c r="D1859">
        <v>1044482</v>
      </c>
      <c r="E1859" t="str">
        <f>IFERROR(+VLOOKUP(Movimientos_2026[[#This Row],[Codigo]],Plan_cuentas[],2,FALSE)," ")</f>
        <v>INGRESOS</v>
      </c>
      <c r="F1859" t="str">
        <f>IFERROR(+VLOOKUP(Movimientos_2026[[#This Row],[Codigo]],Plan_cuentas[],3,FALSE)," ")</f>
        <v>Transferencia</v>
      </c>
      <c r="G1859" t="str">
        <f>IFERROR(+VLOOKUP(Movimientos_2026[[#This Row],[Codigo]],Plan_cuentas[],4,FALSE)," ")</f>
        <v>Factura</v>
      </c>
      <c r="H1859" t="str">
        <f>IFERROR(+VLOOKUP(Movimientos_2026[[#This Row],[Codigo]],Plan_cuentas[],5,FALSE)," ")</f>
        <v>FC TRAMITACION</v>
      </c>
      <c r="I1859" s="43">
        <v>46143</v>
      </c>
      <c r="J1859" t="s">
        <v>819</v>
      </c>
      <c r="K1859" t="str">
        <f>IFERROR(+VLOOKUP(Movimientos_2026[[#This Row],[Codigo]],Plan_cuentas[],6,FALSE)," ")</f>
        <v>2 - PR - Plan Rombo</v>
      </c>
      <c r="L1859" s="50">
        <v>656207.21</v>
      </c>
      <c r="M1859" s="50"/>
      <c r="N1859" s="20">
        <f>+Movimientos_2026[[#This Row],[Ingresos]]-Movimientos_2026[[#This Row],[Egresos]]</f>
        <v>656207.21</v>
      </c>
      <c r="O1859" s="20">
        <f>+O1858+Movimientos_2026[[#This Row],[Neto]]</f>
        <v>5989234301.836875</v>
      </c>
    </row>
    <row r="1860" spans="1:15" x14ac:dyDescent="0.25">
      <c r="A1860" s="13">
        <v>46181</v>
      </c>
      <c r="B1860" s="12">
        <f>MONTH(Movimientos_2026[[#This Row],[Fecha]])</f>
        <v>6</v>
      </c>
      <c r="C1860" s="12" t="str">
        <f>VLOOKUP((WEEKDAY(Movimientos_2026[[#This Row],[Fecha]],2)),'5. Setup'!$D$6:$E$12,2,FALSE)</f>
        <v>Lun</v>
      </c>
      <c r="D1860">
        <v>1044482</v>
      </c>
      <c r="E1860" t="str">
        <f>IFERROR(+VLOOKUP(Movimientos_2026[[#This Row],[Codigo]],Plan_cuentas[],2,FALSE)," ")</f>
        <v>INGRESOS</v>
      </c>
      <c r="F1860" t="str">
        <f>IFERROR(+VLOOKUP(Movimientos_2026[[#This Row],[Codigo]],Plan_cuentas[],3,FALSE)," ")</f>
        <v>Transferencia</v>
      </c>
      <c r="G1860" t="str">
        <f>IFERROR(+VLOOKUP(Movimientos_2026[[#This Row],[Codigo]],Plan_cuentas[],4,FALSE)," ")</f>
        <v>Factura</v>
      </c>
      <c r="H1860" t="str">
        <f>IFERROR(+VLOOKUP(Movimientos_2026[[#This Row],[Codigo]],Plan_cuentas[],5,FALSE)," ")</f>
        <v>FC TRAMITACION</v>
      </c>
      <c r="I1860" s="43">
        <v>46082</v>
      </c>
      <c r="J1860" t="s">
        <v>820</v>
      </c>
      <c r="K1860" t="str">
        <f>IFERROR(+VLOOKUP(Movimientos_2026[[#This Row],[Codigo]],Plan_cuentas[],6,FALSE)," ")</f>
        <v>2 - PR - Plan Rombo</v>
      </c>
      <c r="L1860" s="50">
        <v>8995446.1099999994</v>
      </c>
      <c r="M1860" s="50"/>
      <c r="N1860" s="20">
        <f>+Movimientos_2026[[#This Row],[Ingresos]]-Movimientos_2026[[#This Row],[Egresos]]</f>
        <v>8995446.1099999994</v>
      </c>
      <c r="O1860" s="20">
        <f>+O1859+Movimientos_2026[[#This Row],[Neto]]</f>
        <v>5998229747.9468746</v>
      </c>
    </row>
    <row r="1861" spans="1:15" x14ac:dyDescent="0.25">
      <c r="A1861" s="13">
        <v>46181</v>
      </c>
      <c r="B1861" s="12">
        <f>MONTH(Movimientos_2026[[#This Row],[Fecha]])</f>
        <v>6</v>
      </c>
      <c r="C1861" s="12" t="str">
        <f>VLOOKUP((WEEKDAY(Movimientos_2026[[#This Row],[Fecha]],2)),'5. Setup'!$D$6:$E$12,2,FALSE)</f>
        <v>Lun</v>
      </c>
      <c r="D1861">
        <v>1044122</v>
      </c>
      <c r="E1861" t="str">
        <f>IFERROR(+VLOOKUP(Movimientos_2026[[#This Row],[Codigo]],Plan_cuentas[],2,FALSE)," ")</f>
        <v>INGRESOS</v>
      </c>
      <c r="F1861" t="str">
        <f>IFERROR(+VLOOKUP(Movimientos_2026[[#This Row],[Codigo]],Plan_cuentas[],3,FALSE)," ")</f>
        <v>Transferencia</v>
      </c>
      <c r="G1861" t="str">
        <f>IFERROR(+VLOOKUP(Movimientos_2026[[#This Row],[Codigo]],Plan_cuentas[],4,FALSE)," ")</f>
        <v>Rentas</v>
      </c>
      <c r="H1861" t="str">
        <f>IFERROR(+VLOOKUP(Movimientos_2026[[#This Row],[Codigo]],Plan_cuentas[],5,FALSE)," ")</f>
        <v>BAPRO</v>
      </c>
      <c r="I1861" s="43">
        <v>46082</v>
      </c>
      <c r="J1861" t="s">
        <v>818</v>
      </c>
      <c r="K1861" t="str">
        <f>IFERROR(+VLOOKUP(Movimientos_2026[[#This Row],[Codigo]],Plan_cuentas[],6,FALSE)," ")</f>
        <v>2 - PR - Plan Rombo</v>
      </c>
      <c r="L1861" s="50">
        <v>99110010</v>
      </c>
      <c r="M1861" s="50"/>
      <c r="N1861" s="20">
        <f>+Movimientos_2026[[#This Row],[Ingresos]]-Movimientos_2026[[#This Row],[Egresos]]</f>
        <v>99110010</v>
      </c>
      <c r="O1861" s="20">
        <f>+O1860+Movimientos_2026[[#This Row],[Neto]]</f>
        <v>6097339757.9468746</v>
      </c>
    </row>
    <row r="1862" spans="1:15" x14ac:dyDescent="0.25">
      <c r="A1862" s="13">
        <v>46182</v>
      </c>
      <c r="B1862" s="12">
        <f>MONTH(Movimientos_2026[[#This Row],[Fecha]])</f>
        <v>6</v>
      </c>
      <c r="C1862" s="12" t="str">
        <f>VLOOKUP((WEEKDAY(Movimientos_2026[[#This Row],[Fecha]],2)),'5. Setup'!$D$6:$E$12,2,FALSE)</f>
        <v>Mar</v>
      </c>
      <c r="D1862">
        <v>2054196</v>
      </c>
      <c r="E1862" t="str">
        <f>IFERROR(+VLOOKUP(Movimientos_2026[[#This Row],[Codigo]],Plan_cuentas[],2,FALSE)," ")</f>
        <v>EGRESOS</v>
      </c>
      <c r="F1862" t="str">
        <f>IFERROR(+VLOOKUP(Movimientos_2026[[#This Row],[Codigo]],Plan_cuentas[],3,FALSE)," ")</f>
        <v>VEP</v>
      </c>
      <c r="G1862" t="str">
        <f>IFERROR(+VLOOKUP(Movimientos_2026[[#This Row],[Codigo]],Plan_cuentas[],4,FALSE)," ")</f>
        <v>Rentas</v>
      </c>
      <c r="H1862" t="str">
        <f>IFERROR(+VLOOKUP(Movimientos_2026[[#This Row],[Codigo]],Plan_cuentas[],5,FALSE)," ")</f>
        <v>CORDOBA 2° Q</v>
      </c>
      <c r="I1862" s="43">
        <v>46143</v>
      </c>
      <c r="J1862" t="s">
        <v>821</v>
      </c>
      <c r="K1862" t="str">
        <f>IFERROR(+VLOOKUP(Movimientos_2026[[#This Row],[Codigo]],Plan_cuentas[],6,FALSE)," ")</f>
        <v>6 - FCAtr - Fiat Transf.</v>
      </c>
      <c r="L1862" s="50"/>
      <c r="M1862" s="50">
        <v>14547461.43</v>
      </c>
      <c r="N1862" s="20">
        <f>+Movimientos_2026[[#This Row],[Ingresos]]-Movimientos_2026[[#This Row],[Egresos]]</f>
        <v>-14547461.43</v>
      </c>
      <c r="O1862" s="20">
        <f>+O1861+Movimientos_2026[[#This Row],[Neto]]</f>
        <v>6082792296.5168743</v>
      </c>
    </row>
    <row r="1863" spans="1:15" x14ac:dyDescent="0.25">
      <c r="A1863" s="13">
        <v>46182</v>
      </c>
      <c r="B1863" s="12">
        <f>MONTH(Movimientos_2026[[#This Row],[Fecha]])</f>
        <v>6</v>
      </c>
      <c r="C1863" s="12" t="str">
        <f>VLOOKUP((WEEKDAY(Movimientos_2026[[#This Row],[Fecha]],2)),'5. Setup'!$D$6:$E$12,2,FALSE)</f>
        <v>Mar</v>
      </c>
      <c r="D1863">
        <v>2054284</v>
      </c>
      <c r="E1863" t="str">
        <f>IFERROR(+VLOOKUP(Movimientos_2026[[#This Row],[Codigo]],Plan_cuentas[],2,FALSE)," ")</f>
        <v>EGRESOS</v>
      </c>
      <c r="F1863" t="str">
        <f>IFERROR(+VLOOKUP(Movimientos_2026[[#This Row],[Codigo]],Plan_cuentas[],3,FALSE)," ")</f>
        <v>VEP</v>
      </c>
      <c r="G1863" t="str">
        <f>IFERROR(+VLOOKUP(Movimientos_2026[[#This Row],[Codigo]],Plan_cuentas[],4,FALSE)," ")</f>
        <v>Rentas</v>
      </c>
      <c r="H1863" t="str">
        <f>IFERROR(+VLOOKUP(Movimientos_2026[[#This Row],[Codigo]],Plan_cuentas[],5,FALSE)," ")</f>
        <v>MENDOZA</v>
      </c>
      <c r="I1863" s="43">
        <v>46143</v>
      </c>
      <c r="J1863" t="s">
        <v>822</v>
      </c>
      <c r="K1863" t="str">
        <f>IFERROR(+VLOOKUP(Movimientos_2026[[#This Row],[Codigo]],Plan_cuentas[],6,FALSE)," ")</f>
        <v>4 - FCA - Fiat</v>
      </c>
      <c r="L1863" s="50"/>
      <c r="M1863" s="50">
        <v>113575800</v>
      </c>
      <c r="N1863" s="20">
        <f>+Movimientos_2026[[#This Row],[Ingresos]]-Movimientos_2026[[#This Row],[Egresos]]</f>
        <v>-113575800</v>
      </c>
      <c r="O1863" s="20">
        <f>+O1862+Movimientos_2026[[#This Row],[Neto]]</f>
        <v>5969216496.5168743</v>
      </c>
    </row>
    <row r="1864" spans="1:15" x14ac:dyDescent="0.25">
      <c r="A1864" s="13">
        <v>46182</v>
      </c>
      <c r="B1864" s="12">
        <f>MONTH(Movimientos_2026[[#This Row],[Fecha]])</f>
        <v>6</v>
      </c>
      <c r="C1864" s="12" t="str">
        <f>VLOOKUP((WEEKDAY(Movimientos_2026[[#This Row],[Fecha]],2)),'5. Setup'!$D$6:$E$12,2,FALSE)</f>
        <v>Mar</v>
      </c>
      <c r="D1864">
        <v>2054286</v>
      </c>
      <c r="E1864" t="str">
        <f>IFERROR(+VLOOKUP(Movimientos_2026[[#This Row],[Codigo]],Plan_cuentas[],2,FALSE)," ")</f>
        <v>EGRESOS</v>
      </c>
      <c r="F1864" t="str">
        <f>IFERROR(+VLOOKUP(Movimientos_2026[[#This Row],[Codigo]],Plan_cuentas[],3,FALSE)," ")</f>
        <v>VEP</v>
      </c>
      <c r="G1864" t="str">
        <f>IFERROR(+VLOOKUP(Movimientos_2026[[#This Row],[Codigo]],Plan_cuentas[],4,FALSE)," ")</f>
        <v>Rentas</v>
      </c>
      <c r="H1864" t="str">
        <f>IFERROR(+VLOOKUP(Movimientos_2026[[#This Row],[Codigo]],Plan_cuentas[],5,FALSE)," ")</f>
        <v>MENDOZA</v>
      </c>
      <c r="I1864" s="43">
        <v>46143</v>
      </c>
      <c r="J1864" t="s">
        <v>822</v>
      </c>
      <c r="K1864" t="str">
        <f>IFERROR(+VLOOKUP(Movimientos_2026[[#This Row],[Codigo]],Plan_cuentas[],6,FALSE)," ")</f>
        <v>6 - FCAtr - Fiat Transf.</v>
      </c>
      <c r="L1864" s="50"/>
      <c r="M1864" s="50">
        <v>4571083.62</v>
      </c>
      <c r="N1864" s="20">
        <f>+Movimientos_2026[[#This Row],[Ingresos]]-Movimientos_2026[[#This Row],[Egresos]]</f>
        <v>-4571083.62</v>
      </c>
      <c r="O1864" s="20">
        <f>+O1863+Movimientos_2026[[#This Row],[Neto]]</f>
        <v>5964645412.8968744</v>
      </c>
    </row>
    <row r="1865" spans="1:15" x14ac:dyDescent="0.25">
      <c r="A1865" s="13">
        <v>46182</v>
      </c>
      <c r="B1865" s="12">
        <f>MONTH(Movimientos_2026[[#This Row],[Fecha]])</f>
        <v>6</v>
      </c>
      <c r="C1865" s="12" t="str">
        <f>VLOOKUP((WEEKDAY(Movimientos_2026[[#This Row],[Fecha]],2)),'5. Setup'!$D$6:$E$12,2,FALSE)</f>
        <v>Mar</v>
      </c>
      <c r="D1865">
        <v>2034241</v>
      </c>
      <c r="E1865" t="str">
        <f>IFERROR(+VLOOKUP(Movimientos_2026[[#This Row],[Codigo]],Plan_cuentas[],2,FALSE)," ")</f>
        <v>EGRESOS</v>
      </c>
      <c r="F1865" t="str">
        <f>IFERROR(+VLOOKUP(Movimientos_2026[[#This Row],[Codigo]],Plan_cuentas[],3,FALSE)," ")</f>
        <v>Pagos Bco. Provincia</v>
      </c>
      <c r="G1865" t="str">
        <f>IFERROR(+VLOOKUP(Movimientos_2026[[#This Row],[Codigo]],Plan_cuentas[],4,FALSE)," ")</f>
        <v>Rentas</v>
      </c>
      <c r="H1865" t="str">
        <f>IFERROR(+VLOOKUP(Movimientos_2026[[#This Row],[Codigo]],Plan_cuentas[],5,FALSE)," ")</f>
        <v>FORMOSA</v>
      </c>
      <c r="I1865" s="43">
        <v>46143</v>
      </c>
      <c r="J1865" t="s">
        <v>823</v>
      </c>
      <c r="K1865" t="str">
        <f>IFERROR(+VLOOKUP(Movimientos_2026[[#This Row],[Codigo]],Plan_cuentas[],6,FALSE)," ")</f>
        <v>1 - VW - Volkswagen</v>
      </c>
      <c r="L1865" s="50"/>
      <c r="M1865" s="50">
        <v>4060966.5</v>
      </c>
      <c r="N1865" s="20">
        <f>+Movimientos_2026[[#This Row],[Ingresos]]-Movimientos_2026[[#This Row],[Egresos]]</f>
        <v>-4060966.5</v>
      </c>
      <c r="O1865" s="20">
        <f>+O1864+Movimientos_2026[[#This Row],[Neto]]</f>
        <v>5960584446.3968744</v>
      </c>
    </row>
    <row r="1866" spans="1:15" x14ac:dyDescent="0.25">
      <c r="A1866" s="13">
        <v>46182</v>
      </c>
      <c r="B1866" s="12">
        <f>MONTH(Movimientos_2026[[#This Row],[Fecha]])</f>
        <v>6</v>
      </c>
      <c r="C1866" s="12" t="str">
        <f>VLOOKUP((WEEKDAY(Movimientos_2026[[#This Row],[Fecha]],2)),'5. Setup'!$D$6:$E$12,2,FALSE)</f>
        <v>Mar</v>
      </c>
      <c r="D1866">
        <v>2054371</v>
      </c>
      <c r="E1866" t="str">
        <f>IFERROR(+VLOOKUP(Movimientos_2026[[#This Row],[Codigo]],Plan_cuentas[],2,FALSE)," ")</f>
        <v>EGRESOS</v>
      </c>
      <c r="F1866" t="str">
        <f>IFERROR(+VLOOKUP(Movimientos_2026[[#This Row],[Codigo]],Plan_cuentas[],3,FALSE)," ")</f>
        <v>VEP</v>
      </c>
      <c r="G1866" t="str">
        <f>IFERROR(+VLOOKUP(Movimientos_2026[[#This Row],[Codigo]],Plan_cuentas[],4,FALSE)," ")</f>
        <v>Rentas</v>
      </c>
      <c r="H1866" t="str">
        <f>IFERROR(+VLOOKUP(Movimientos_2026[[#This Row],[Codigo]],Plan_cuentas[],5,FALSE)," ")</f>
        <v>SANTA CRUZ</v>
      </c>
      <c r="I1866" s="43">
        <v>46143</v>
      </c>
      <c r="J1866" t="s">
        <v>824</v>
      </c>
      <c r="K1866" t="str">
        <f>IFERROR(+VLOOKUP(Movimientos_2026[[#This Row],[Codigo]],Plan_cuentas[],6,FALSE)," ")</f>
        <v>1 - VW - Volkswagen</v>
      </c>
      <c r="L1866" s="50"/>
      <c r="M1866" s="50">
        <v>25324146.399999999</v>
      </c>
      <c r="N1866" s="20">
        <f>+Movimientos_2026[[#This Row],[Ingresos]]-Movimientos_2026[[#This Row],[Egresos]]</f>
        <v>-25324146.399999999</v>
      </c>
      <c r="O1866" s="20">
        <f>+O1865+Movimientos_2026[[#This Row],[Neto]]</f>
        <v>5935260299.9968748</v>
      </c>
    </row>
    <row r="1867" spans="1:15" x14ac:dyDescent="0.25">
      <c r="A1867" s="13">
        <v>46182</v>
      </c>
      <c r="B1867" s="12">
        <f>MONTH(Movimientos_2026[[#This Row],[Fecha]])</f>
        <v>6</v>
      </c>
      <c r="C1867" s="12" t="str">
        <f>VLOOKUP((WEEKDAY(Movimientos_2026[[#This Row],[Fecha]],2)),'5. Setup'!$D$6:$E$12,2,FALSE)</f>
        <v>Mar</v>
      </c>
      <c r="D1867">
        <v>2054321</v>
      </c>
      <c r="E1867" t="str">
        <f>IFERROR(+VLOOKUP(Movimientos_2026[[#This Row],[Codigo]],Plan_cuentas[],2,FALSE)," ")</f>
        <v>EGRESOS</v>
      </c>
      <c r="F1867" t="str">
        <f>IFERROR(+VLOOKUP(Movimientos_2026[[#This Row],[Codigo]],Plan_cuentas[],3,FALSE)," ")</f>
        <v>VEP</v>
      </c>
      <c r="G1867" t="str">
        <f>IFERROR(+VLOOKUP(Movimientos_2026[[#This Row],[Codigo]],Plan_cuentas[],4,FALSE)," ")</f>
        <v>Rentas</v>
      </c>
      <c r="H1867" t="str">
        <f>IFERROR(+VLOOKUP(Movimientos_2026[[#This Row],[Codigo]],Plan_cuentas[],5,FALSE)," ")</f>
        <v>NEUQUEN 2° Q</v>
      </c>
      <c r="I1867" s="43">
        <v>46143</v>
      </c>
      <c r="J1867" s="53" t="s">
        <v>825</v>
      </c>
      <c r="K1867" t="str">
        <f>IFERROR(+VLOOKUP(Movimientos_2026[[#This Row],[Codigo]],Plan_cuentas[],6,FALSE)," ")</f>
        <v>1 - VW - Volkswagen</v>
      </c>
      <c r="L1867" s="50"/>
      <c r="M1867" s="50">
        <v>37508993</v>
      </c>
      <c r="N1867" s="20">
        <f>+Movimientos_2026[[#This Row],[Ingresos]]-Movimientos_2026[[#This Row],[Egresos]]</f>
        <v>-37508993</v>
      </c>
      <c r="O1867" s="20">
        <f>+O1866+Movimientos_2026[[#This Row],[Neto]]</f>
        <v>5897751306.9968748</v>
      </c>
    </row>
    <row r="1868" spans="1:15" x14ac:dyDescent="0.25">
      <c r="A1868" s="13">
        <v>46182</v>
      </c>
      <c r="B1868" s="12">
        <f>MONTH(Movimientos_2026[[#This Row],[Fecha]])</f>
        <v>6</v>
      </c>
      <c r="C1868" s="12" t="str">
        <f>VLOOKUP((WEEKDAY(Movimientos_2026[[#This Row],[Fecha]],2)),'5. Setup'!$D$6:$E$12,2,FALSE)</f>
        <v>Mar</v>
      </c>
      <c r="D1868">
        <v>2014421</v>
      </c>
      <c r="E1868" t="str">
        <f>IFERROR(+VLOOKUP(Movimientos_2026[[#This Row],[Codigo]],Plan_cuentas[],2,FALSE)," ")</f>
        <v>EGRESOS</v>
      </c>
      <c r="F1868" t="str">
        <f>IFERROR(+VLOOKUP(Movimientos_2026[[#This Row],[Codigo]],Plan_cuentas[],3,FALSE)," ")</f>
        <v>BtoB</v>
      </c>
      <c r="G1868" t="str">
        <f>IFERROR(+VLOOKUP(Movimientos_2026[[#This Row],[Codigo]],Plan_cuentas[],4,FALSE)," ")</f>
        <v>Rentas</v>
      </c>
      <c r="H1868" t="str">
        <f>IFERROR(+VLOOKUP(Movimientos_2026[[#This Row],[Codigo]],Plan_cuentas[],5,FALSE)," ")</f>
        <v>TUCUMAN</v>
      </c>
      <c r="I1868" s="43">
        <v>46143</v>
      </c>
      <c r="J1868" t="s">
        <v>826</v>
      </c>
      <c r="K1868" t="str">
        <f>IFERROR(+VLOOKUP(Movimientos_2026[[#This Row],[Codigo]],Plan_cuentas[],6,FALSE)," ")</f>
        <v>1 - VW - Volkswagen</v>
      </c>
      <c r="L1868" s="50"/>
      <c r="M1868" s="50">
        <v>42808344.869999997</v>
      </c>
      <c r="N1868" s="20">
        <f>+Movimientos_2026[[#This Row],[Ingresos]]-Movimientos_2026[[#This Row],[Egresos]]</f>
        <v>-42808344.869999997</v>
      </c>
      <c r="O1868" s="20">
        <f>+O1867+Movimientos_2026[[#This Row],[Neto]]</f>
        <v>5854942962.1268749</v>
      </c>
    </row>
    <row r="1869" spans="1:15" x14ac:dyDescent="0.25">
      <c r="A1869" s="13">
        <v>46182</v>
      </c>
      <c r="B1869" s="12">
        <f>MONTH(Movimientos_2026[[#This Row],[Fecha]])</f>
        <v>6</v>
      </c>
      <c r="C1869" s="12" t="str">
        <f>VLOOKUP((WEEKDAY(Movimientos_2026[[#This Row],[Fecha]],2)),'5. Setup'!$D$6:$E$12,2,FALSE)</f>
        <v>Mar</v>
      </c>
      <c r="D1869">
        <v>2014422</v>
      </c>
      <c r="E1869" t="str">
        <f>IFERROR(+VLOOKUP(Movimientos_2026[[#This Row],[Codigo]],Plan_cuentas[],2,FALSE)," ")</f>
        <v>EGRESOS</v>
      </c>
      <c r="F1869" t="str">
        <f>IFERROR(+VLOOKUP(Movimientos_2026[[#This Row],[Codigo]],Plan_cuentas[],3,FALSE)," ")</f>
        <v>BtoB</v>
      </c>
      <c r="G1869" t="str">
        <f>IFERROR(+VLOOKUP(Movimientos_2026[[#This Row],[Codigo]],Plan_cuentas[],4,FALSE)," ")</f>
        <v>Rentas</v>
      </c>
      <c r="H1869" t="str">
        <f>IFERROR(+VLOOKUP(Movimientos_2026[[#This Row],[Codigo]],Plan_cuentas[],5,FALSE)," ")</f>
        <v>TUCUMAN</v>
      </c>
      <c r="I1869" s="43">
        <v>46143</v>
      </c>
      <c r="J1869" t="s">
        <v>827</v>
      </c>
      <c r="K1869" t="str">
        <f>IFERROR(+VLOOKUP(Movimientos_2026[[#This Row],[Codigo]],Plan_cuentas[],6,FALSE)," ")</f>
        <v>2 - PR - Plan Rombo</v>
      </c>
      <c r="L1869" s="50"/>
      <c r="M1869" s="50">
        <v>53127539</v>
      </c>
      <c r="N1869" s="20">
        <f>+Movimientos_2026[[#This Row],[Ingresos]]-Movimientos_2026[[#This Row],[Egresos]]</f>
        <v>-53127539</v>
      </c>
      <c r="O1869" s="20">
        <f>+O1868+Movimientos_2026[[#This Row],[Neto]]</f>
        <v>5801815423.1268749</v>
      </c>
    </row>
    <row r="1870" spans="1:15" x14ac:dyDescent="0.25">
      <c r="A1870" s="13">
        <v>46182</v>
      </c>
      <c r="B1870" s="12">
        <f>MONTH(Movimientos_2026[[#This Row],[Fecha]])</f>
        <v>6</v>
      </c>
      <c r="C1870" s="12" t="str">
        <f>VLOOKUP((WEEKDAY(Movimientos_2026[[#This Row],[Fecha]],2)),'5. Setup'!$D$6:$E$12,2,FALSE)</f>
        <v>Mar</v>
      </c>
      <c r="D1870">
        <v>2014427</v>
      </c>
      <c r="E1870" t="str">
        <f>IFERROR(+VLOOKUP(Movimientos_2026[[#This Row],[Codigo]],Plan_cuentas[],2,FALSE)," ")</f>
        <v>EGRESOS</v>
      </c>
      <c r="F1870" t="str">
        <f>IFERROR(+VLOOKUP(Movimientos_2026[[#This Row],[Codigo]],Plan_cuentas[],3,FALSE)," ")</f>
        <v>BtoB</v>
      </c>
      <c r="G1870" t="str">
        <f>IFERROR(+VLOOKUP(Movimientos_2026[[#This Row],[Codigo]],Plan_cuentas[],4,FALSE)," ")</f>
        <v>Rentas</v>
      </c>
      <c r="H1870" t="str">
        <f>IFERROR(+VLOOKUP(Movimientos_2026[[#This Row],[Codigo]],Plan_cuentas[],5,FALSE)," ")</f>
        <v>TUCUMAN</v>
      </c>
      <c r="I1870" s="43">
        <v>46143</v>
      </c>
      <c r="J1870" t="s">
        <v>827</v>
      </c>
      <c r="K1870" t="str">
        <f>IFERROR(+VLOOKUP(Movimientos_2026[[#This Row],[Codigo]],Plan_cuentas[],6,FALSE)," ")</f>
        <v>7 - PRtr - Plan Rombo Transf.</v>
      </c>
      <c r="L1870" s="50"/>
      <c r="M1870" s="50">
        <v>130</v>
      </c>
      <c r="N1870" s="20">
        <f>+Movimientos_2026[[#This Row],[Ingresos]]-Movimientos_2026[[#This Row],[Egresos]]</f>
        <v>-130</v>
      </c>
      <c r="O1870" s="20">
        <f>+O1869+Movimientos_2026[[#This Row],[Neto]]</f>
        <v>5801815293.1268749</v>
      </c>
    </row>
    <row r="1871" spans="1:15" x14ac:dyDescent="0.25">
      <c r="A1871" s="13">
        <v>46182</v>
      </c>
      <c r="B1871" s="12">
        <f>MONTH(Movimientos_2026[[#This Row],[Fecha]])</f>
        <v>6</v>
      </c>
      <c r="C1871" s="12" t="str">
        <f>VLOOKUP((WEEKDAY(Movimientos_2026[[#This Row],[Fecha]],2)),'5. Setup'!$D$6:$E$12,2,FALSE)</f>
        <v>Mar</v>
      </c>
      <c r="D1871">
        <v>2014422</v>
      </c>
      <c r="E1871" t="str">
        <f>IFERROR(+VLOOKUP(Movimientos_2026[[#This Row],[Codigo]],Plan_cuentas[],2,FALSE)," ")</f>
        <v>EGRESOS</v>
      </c>
      <c r="F1871" t="str">
        <f>IFERROR(+VLOOKUP(Movimientos_2026[[#This Row],[Codigo]],Plan_cuentas[],3,FALSE)," ")</f>
        <v>BtoB</v>
      </c>
      <c r="G1871" t="str">
        <f>IFERROR(+VLOOKUP(Movimientos_2026[[#This Row],[Codigo]],Plan_cuentas[],4,FALSE)," ")</f>
        <v>Rentas</v>
      </c>
      <c r="H1871" t="str">
        <f>IFERROR(+VLOOKUP(Movimientos_2026[[#This Row],[Codigo]],Plan_cuentas[],5,FALSE)," ")</f>
        <v>TUCUMAN</v>
      </c>
      <c r="I1871" s="43">
        <v>46143</v>
      </c>
      <c r="J1871" t="s">
        <v>827</v>
      </c>
      <c r="K1871" t="str">
        <f>IFERROR(+VLOOKUP(Movimientos_2026[[#This Row],[Codigo]],Plan_cuentas[],6,FALSE)," ")</f>
        <v>2 - PR - Plan Rombo</v>
      </c>
      <c r="L1871" s="50"/>
      <c r="M1871" s="50">
        <v>4144663</v>
      </c>
      <c r="N1871" s="20">
        <f>+Movimientos_2026[[#This Row],[Ingresos]]-Movimientos_2026[[#This Row],[Egresos]]</f>
        <v>-4144663</v>
      </c>
      <c r="O1871" s="20">
        <f>+O1870+Movimientos_2026[[#This Row],[Neto]]</f>
        <v>5797670630.1268749</v>
      </c>
    </row>
    <row r="1872" spans="1:15" x14ac:dyDescent="0.25">
      <c r="A1872" s="13">
        <v>46182</v>
      </c>
      <c r="B1872" s="12">
        <f>MONTH(Movimientos_2026[[#This Row],[Fecha]])</f>
        <v>6</v>
      </c>
      <c r="C1872" s="12" t="str">
        <f>VLOOKUP((WEEKDAY(Movimientos_2026[[#This Row],[Fecha]],2)),'5. Setup'!$D$6:$E$12,2,FALSE)</f>
        <v>Mar</v>
      </c>
      <c r="D1872">
        <v>2023151</v>
      </c>
      <c r="E1872" t="str">
        <f>IFERROR(+VLOOKUP(Movimientos_2026[[#This Row],[Codigo]],Plan_cuentas[],2,FALSE)," ")</f>
        <v>EGRESOS</v>
      </c>
      <c r="F1872" t="str">
        <f>IFERROR(+VLOOKUP(Movimientos_2026[[#This Row],[Codigo]],Plan_cuentas[],3,FALSE)," ")</f>
        <v>DDJJ</v>
      </c>
      <c r="G1872" t="str">
        <f>IFERROR(+VLOOKUP(Movimientos_2026[[#This Row],[Codigo]],Plan_cuentas[],4,FALSE)," ")</f>
        <v>Registración</v>
      </c>
      <c r="H1872" t="str">
        <f>IFERROR(+VLOOKUP(Movimientos_2026[[#This Row],[Codigo]],Plan_cuentas[],5,FALSE)," ")</f>
        <v>CABA</v>
      </c>
      <c r="I1872" s="43">
        <v>46143</v>
      </c>
      <c r="J1872" t="s">
        <v>828</v>
      </c>
      <c r="K1872" t="str">
        <f>IFERROR(+VLOOKUP(Movimientos_2026[[#This Row],[Codigo]],Plan_cuentas[],6,FALSE)," ")</f>
        <v>1 - VW - Volkswagen</v>
      </c>
      <c r="L1872" s="50"/>
      <c r="M1872" s="50">
        <v>99005233.299999997</v>
      </c>
      <c r="N1872" s="20">
        <f>+Movimientos_2026[[#This Row],[Ingresos]]-Movimientos_2026[[#This Row],[Egresos]]</f>
        <v>-99005233.299999997</v>
      </c>
      <c r="O1872" s="20">
        <f>+O1871+Movimientos_2026[[#This Row],[Neto]]</f>
        <v>5698665396.8268747</v>
      </c>
    </row>
    <row r="1873" spans="1:15" x14ac:dyDescent="0.25">
      <c r="A1873" s="13">
        <v>46182</v>
      </c>
      <c r="B1873" s="12">
        <f>MONTH(Movimientos_2026[[#This Row],[Fecha]])</f>
        <v>6</v>
      </c>
      <c r="C1873" s="12" t="str">
        <f>VLOOKUP((WEEKDAY(Movimientos_2026[[#This Row],[Fecha]],2)),'5. Setup'!$D$6:$E$12,2,FALSE)</f>
        <v>Mar</v>
      </c>
      <c r="D1873">
        <v>2023152</v>
      </c>
      <c r="E1873" t="str">
        <f>IFERROR(+VLOOKUP(Movimientos_2026[[#This Row],[Codigo]],Plan_cuentas[],2,FALSE)," ")</f>
        <v>EGRESOS</v>
      </c>
      <c r="F1873" t="str">
        <f>IFERROR(+VLOOKUP(Movimientos_2026[[#This Row],[Codigo]],Plan_cuentas[],3,FALSE)," ")</f>
        <v>DDJJ</v>
      </c>
      <c r="G1873" t="str">
        <f>IFERROR(+VLOOKUP(Movimientos_2026[[#This Row],[Codigo]],Plan_cuentas[],4,FALSE)," ")</f>
        <v>Registración</v>
      </c>
      <c r="H1873" t="str">
        <f>IFERROR(+VLOOKUP(Movimientos_2026[[#This Row],[Codigo]],Plan_cuentas[],5,FALSE)," ")</f>
        <v>CABA</v>
      </c>
      <c r="I1873" s="43">
        <v>46143</v>
      </c>
      <c r="J1873" t="s">
        <v>828</v>
      </c>
      <c r="K1873" t="str">
        <f>IFERROR(+VLOOKUP(Movimientos_2026[[#This Row],[Codigo]],Plan_cuentas[],6,FALSE)," ")</f>
        <v>2 - PR - Plan Rombo</v>
      </c>
      <c r="L1873" s="50"/>
      <c r="M1873" s="50">
        <v>59201501.659999996</v>
      </c>
      <c r="N1873" s="20">
        <f>+Movimientos_2026[[#This Row],[Ingresos]]-Movimientos_2026[[#This Row],[Egresos]]</f>
        <v>-59201501.659999996</v>
      </c>
      <c r="O1873" s="20">
        <f>+O1872+Movimientos_2026[[#This Row],[Neto]]</f>
        <v>5639463895.1668749</v>
      </c>
    </row>
    <row r="1874" spans="1:15" x14ac:dyDescent="0.25">
      <c r="A1874" s="13">
        <v>46182</v>
      </c>
      <c r="B1874" s="12">
        <f>MONTH(Movimientos_2026[[#This Row],[Fecha]])</f>
        <v>6</v>
      </c>
      <c r="C1874" s="12" t="str">
        <f>VLOOKUP((WEEKDAY(Movimientos_2026[[#This Row],[Fecha]],2)),'5. Setup'!$D$6:$E$12,2,FALSE)</f>
        <v>Mar</v>
      </c>
      <c r="D1874">
        <v>2023153</v>
      </c>
      <c r="E1874" t="str">
        <f>IFERROR(+VLOOKUP(Movimientos_2026[[#This Row],[Codigo]],Plan_cuentas[],2,FALSE)," ")</f>
        <v>EGRESOS</v>
      </c>
      <c r="F1874" t="str">
        <f>IFERROR(+VLOOKUP(Movimientos_2026[[#This Row],[Codigo]],Plan_cuentas[],3,FALSE)," ")</f>
        <v>DDJJ</v>
      </c>
      <c r="G1874" t="str">
        <f>IFERROR(+VLOOKUP(Movimientos_2026[[#This Row],[Codigo]],Plan_cuentas[],4,FALSE)," ")</f>
        <v>Registración</v>
      </c>
      <c r="H1874" t="str">
        <f>IFERROR(+VLOOKUP(Movimientos_2026[[#This Row],[Codigo]],Plan_cuentas[],5,FALSE)," ")</f>
        <v>CABA</v>
      </c>
      <c r="I1874" s="43">
        <v>46143</v>
      </c>
      <c r="J1874" t="s">
        <v>828</v>
      </c>
      <c r="K1874" t="str">
        <f>IFERROR(+VLOOKUP(Movimientos_2026[[#This Row],[Codigo]],Plan_cuentas[],6,FALSE)," ")</f>
        <v>3 - GM - Chevrolet</v>
      </c>
      <c r="L1874" s="50"/>
      <c r="M1874" s="50">
        <v>37835171.770000003</v>
      </c>
      <c r="N1874" s="20">
        <f>+Movimientos_2026[[#This Row],[Ingresos]]-Movimientos_2026[[#This Row],[Egresos]]</f>
        <v>-37835171.770000003</v>
      </c>
      <c r="O1874" s="20">
        <f>+O1873+Movimientos_2026[[#This Row],[Neto]]</f>
        <v>5601628723.3968744</v>
      </c>
    </row>
    <row r="1875" spans="1:15" x14ac:dyDescent="0.25">
      <c r="A1875" s="13">
        <v>46182</v>
      </c>
      <c r="B1875" s="12">
        <f>MONTH(Movimientos_2026[[#This Row],[Fecha]])</f>
        <v>6</v>
      </c>
      <c r="C1875" s="12" t="str">
        <f>VLOOKUP((WEEKDAY(Movimientos_2026[[#This Row],[Fecha]],2)),'5. Setup'!$D$6:$E$12,2,FALSE)</f>
        <v>Mar</v>
      </c>
      <c r="D1875">
        <v>2023154</v>
      </c>
      <c r="E1875" t="str">
        <f>IFERROR(+VLOOKUP(Movimientos_2026[[#This Row],[Codigo]],Plan_cuentas[],2,FALSE)," ")</f>
        <v>EGRESOS</v>
      </c>
      <c r="F1875" t="str">
        <f>IFERROR(+VLOOKUP(Movimientos_2026[[#This Row],[Codigo]],Plan_cuentas[],3,FALSE)," ")</f>
        <v>DDJJ</v>
      </c>
      <c r="G1875" t="str">
        <f>IFERROR(+VLOOKUP(Movimientos_2026[[#This Row],[Codigo]],Plan_cuentas[],4,FALSE)," ")</f>
        <v>Registración</v>
      </c>
      <c r="H1875" t="str">
        <f>IFERROR(+VLOOKUP(Movimientos_2026[[#This Row],[Codigo]],Plan_cuentas[],5,FALSE)," ")</f>
        <v>CABA</v>
      </c>
      <c r="I1875" s="43">
        <v>46143</v>
      </c>
      <c r="J1875" t="s">
        <v>828</v>
      </c>
      <c r="K1875" t="str">
        <f>IFERROR(+VLOOKUP(Movimientos_2026[[#This Row],[Codigo]],Plan_cuentas[],6,FALSE)," ")</f>
        <v>4 - FCA - Fiat</v>
      </c>
      <c r="L1875" s="50"/>
      <c r="M1875" s="50">
        <v>461941360.73000002</v>
      </c>
      <c r="N1875" s="20">
        <f>+Movimientos_2026[[#This Row],[Ingresos]]-Movimientos_2026[[#This Row],[Egresos]]</f>
        <v>-461941360.73000002</v>
      </c>
      <c r="O1875" s="20">
        <f>+O1874+Movimientos_2026[[#This Row],[Neto]]</f>
        <v>5139687362.6668739</v>
      </c>
    </row>
    <row r="1876" spans="1:15" x14ac:dyDescent="0.25">
      <c r="A1876" s="13">
        <v>46182</v>
      </c>
      <c r="B1876" s="12">
        <f>MONTH(Movimientos_2026[[#This Row],[Fecha]])</f>
        <v>6</v>
      </c>
      <c r="C1876" s="12" t="str">
        <f>VLOOKUP((WEEKDAY(Movimientos_2026[[#This Row],[Fecha]],2)),'5. Setup'!$D$6:$E$12,2,FALSE)</f>
        <v>Mar</v>
      </c>
      <c r="D1876">
        <v>2023155</v>
      </c>
      <c r="E1876" t="str">
        <f>IFERROR(+VLOOKUP(Movimientos_2026[[#This Row],[Codigo]],Plan_cuentas[],2,FALSE)," ")</f>
        <v>EGRESOS</v>
      </c>
      <c r="F1876" t="str">
        <f>IFERROR(+VLOOKUP(Movimientos_2026[[#This Row],[Codigo]],Plan_cuentas[],3,FALSE)," ")</f>
        <v>DDJJ</v>
      </c>
      <c r="G1876" t="str">
        <f>IFERROR(+VLOOKUP(Movimientos_2026[[#This Row],[Codigo]],Plan_cuentas[],4,FALSE)," ")</f>
        <v>Registración</v>
      </c>
      <c r="H1876" t="str">
        <f>IFERROR(+VLOOKUP(Movimientos_2026[[#This Row],[Codigo]],Plan_cuentas[],5,FALSE)," ")</f>
        <v>CABA</v>
      </c>
      <c r="I1876" s="43">
        <v>46143</v>
      </c>
      <c r="J1876" t="s">
        <v>828</v>
      </c>
      <c r="K1876" t="str">
        <f>IFERROR(+VLOOKUP(Movimientos_2026[[#This Row],[Codigo]],Plan_cuentas[],6,FALSE)," ")</f>
        <v>5 - YAM - Yamaha</v>
      </c>
      <c r="L1876" s="50"/>
      <c r="M1876" s="50">
        <v>17897552.859999999</v>
      </c>
      <c r="N1876" s="20">
        <f>+Movimientos_2026[[#This Row],[Ingresos]]-Movimientos_2026[[#This Row],[Egresos]]</f>
        <v>-17897552.859999999</v>
      </c>
      <c r="O1876" s="20">
        <f>+O1875+Movimientos_2026[[#This Row],[Neto]]</f>
        <v>5121789809.8068743</v>
      </c>
    </row>
    <row r="1877" spans="1:15" x14ac:dyDescent="0.25">
      <c r="A1877" s="13">
        <v>46182</v>
      </c>
      <c r="B1877" s="12">
        <f>MONTH(Movimientos_2026[[#This Row],[Fecha]])</f>
        <v>6</v>
      </c>
      <c r="C1877" s="12" t="str">
        <f>VLOOKUP((WEEKDAY(Movimientos_2026[[#This Row],[Fecha]],2)),'5. Setup'!$D$6:$E$12,2,FALSE)</f>
        <v>Mar</v>
      </c>
      <c r="D1877">
        <v>2023156</v>
      </c>
      <c r="E1877" t="str">
        <f>IFERROR(+VLOOKUP(Movimientos_2026[[#This Row],[Codigo]],Plan_cuentas[],2,FALSE)," ")</f>
        <v>EGRESOS</v>
      </c>
      <c r="F1877" t="str">
        <f>IFERROR(+VLOOKUP(Movimientos_2026[[#This Row],[Codigo]],Plan_cuentas[],3,FALSE)," ")</f>
        <v>DDJJ</v>
      </c>
      <c r="G1877" t="str">
        <f>IFERROR(+VLOOKUP(Movimientos_2026[[#This Row],[Codigo]],Plan_cuentas[],4,FALSE)," ")</f>
        <v>Registración</v>
      </c>
      <c r="H1877" t="str">
        <f>IFERROR(+VLOOKUP(Movimientos_2026[[#This Row],[Codigo]],Plan_cuentas[],5,FALSE)," ")</f>
        <v>CABA</v>
      </c>
      <c r="I1877" s="43">
        <v>46143</v>
      </c>
      <c r="J1877" t="s">
        <v>828</v>
      </c>
      <c r="K1877" t="str">
        <f>IFERROR(+VLOOKUP(Movimientos_2026[[#This Row],[Codigo]],Plan_cuentas[],6,FALSE)," ")</f>
        <v>6 - FCAtr - Fiat Transf.</v>
      </c>
      <c r="L1877" s="50"/>
      <c r="M1877" s="50">
        <v>17231032.809999999</v>
      </c>
      <c r="N1877" s="20">
        <f>+Movimientos_2026[[#This Row],[Ingresos]]-Movimientos_2026[[#This Row],[Egresos]]</f>
        <v>-17231032.809999999</v>
      </c>
      <c r="O1877" s="20">
        <f>+O1876+Movimientos_2026[[#This Row],[Neto]]</f>
        <v>5104558776.9968739</v>
      </c>
    </row>
    <row r="1878" spans="1:15" x14ac:dyDescent="0.25">
      <c r="A1878" s="13">
        <v>46182</v>
      </c>
      <c r="B1878" s="12">
        <f>MONTH(Movimientos_2026[[#This Row],[Fecha]])</f>
        <v>6</v>
      </c>
      <c r="C1878" s="12" t="str">
        <f>VLOOKUP((WEEKDAY(Movimientos_2026[[#This Row],[Fecha]],2)),'5. Setup'!$D$6:$E$12,2,FALSE)</f>
        <v>Mar</v>
      </c>
      <c r="D1878">
        <v>2023157</v>
      </c>
      <c r="E1878" t="str">
        <f>IFERROR(+VLOOKUP(Movimientos_2026[[#This Row],[Codigo]],Plan_cuentas[],2,FALSE)," ")</f>
        <v>EGRESOS</v>
      </c>
      <c r="F1878" t="str">
        <f>IFERROR(+VLOOKUP(Movimientos_2026[[#This Row],[Codigo]],Plan_cuentas[],3,FALSE)," ")</f>
        <v>DDJJ</v>
      </c>
      <c r="G1878" t="str">
        <f>IFERROR(+VLOOKUP(Movimientos_2026[[#This Row],[Codigo]],Plan_cuentas[],4,FALSE)," ")</f>
        <v>Registración</v>
      </c>
      <c r="H1878" t="str">
        <f>IFERROR(+VLOOKUP(Movimientos_2026[[#This Row],[Codigo]],Plan_cuentas[],5,FALSE)," ")</f>
        <v>CABA</v>
      </c>
      <c r="I1878" s="43">
        <v>46143</v>
      </c>
      <c r="J1878" t="s">
        <v>828</v>
      </c>
      <c r="K1878" t="str">
        <f>IFERROR(+VLOOKUP(Movimientos_2026[[#This Row],[Codigo]],Plan_cuentas[],6,FALSE)," ")</f>
        <v>7 - PRtr - Plan Rombo Transf.</v>
      </c>
      <c r="L1878" s="50"/>
      <c r="M1878" s="50">
        <v>10861.48</v>
      </c>
      <c r="N1878" s="20">
        <f>+Movimientos_2026[[#This Row],[Ingresos]]-Movimientos_2026[[#This Row],[Egresos]]</f>
        <v>-10861.48</v>
      </c>
      <c r="O1878" s="20">
        <f>+O1877+Movimientos_2026[[#This Row],[Neto]]</f>
        <v>5104547915.5168743</v>
      </c>
    </row>
    <row r="1879" spans="1:15" x14ac:dyDescent="0.25">
      <c r="A1879" s="13">
        <v>46182</v>
      </c>
      <c r="B1879" s="12">
        <f>MONTH(Movimientos_2026[[#This Row],[Fecha]])</f>
        <v>6</v>
      </c>
      <c r="C1879" s="12" t="str">
        <f>VLOOKUP((WEEKDAY(Movimientos_2026[[#This Row],[Fecha]],2)),'5. Setup'!$D$6:$E$12,2,FALSE)</f>
        <v>Mar</v>
      </c>
      <c r="D1879">
        <v>2023231</v>
      </c>
      <c r="E1879" t="str">
        <f>IFERROR(+VLOOKUP(Movimientos_2026[[#This Row],[Codigo]],Plan_cuentas[],2,FALSE)," ")</f>
        <v>EGRESOS</v>
      </c>
      <c r="F1879" t="str">
        <f>IFERROR(+VLOOKUP(Movimientos_2026[[#This Row],[Codigo]],Plan_cuentas[],3,FALSE)," ")</f>
        <v>DDJJ</v>
      </c>
      <c r="G1879" t="str">
        <f>IFERROR(+VLOOKUP(Movimientos_2026[[#This Row],[Codigo]],Plan_cuentas[],4,FALSE)," ")</f>
        <v>Registración</v>
      </c>
      <c r="H1879" t="str">
        <f>IFERROR(+VLOOKUP(Movimientos_2026[[#This Row],[Codigo]],Plan_cuentas[],5,FALSE)," ")</f>
        <v>ENTRE RIOS 2° Q</v>
      </c>
      <c r="I1879" s="43">
        <v>46143</v>
      </c>
      <c r="J1879" t="s">
        <v>829</v>
      </c>
      <c r="K1879" t="str">
        <f>IFERROR(+VLOOKUP(Movimientos_2026[[#This Row],[Codigo]],Plan_cuentas[],6,FALSE)," ")</f>
        <v>1 - VW - Volkswagen</v>
      </c>
      <c r="L1879" s="50"/>
      <c r="M1879" s="50">
        <v>11898033.5</v>
      </c>
      <c r="N1879" s="20">
        <f>+Movimientos_2026[[#This Row],[Ingresos]]-Movimientos_2026[[#This Row],[Egresos]]</f>
        <v>-11898033.5</v>
      </c>
      <c r="O1879" s="20">
        <f>+O1878+Movimientos_2026[[#This Row],[Neto]]</f>
        <v>5092649882.0168743</v>
      </c>
    </row>
    <row r="1880" spans="1:15" x14ac:dyDescent="0.25">
      <c r="A1880" s="13">
        <v>46182</v>
      </c>
      <c r="B1880" s="12">
        <f>MONTH(Movimientos_2026[[#This Row],[Fecha]])</f>
        <v>6</v>
      </c>
      <c r="C1880" s="12" t="str">
        <f>VLOOKUP((WEEKDAY(Movimientos_2026[[#This Row],[Fecha]],2)),'5. Setup'!$D$6:$E$12,2,FALSE)</f>
        <v>Mar</v>
      </c>
      <c r="D1880">
        <v>2023232</v>
      </c>
      <c r="E1880" t="str">
        <f>IFERROR(+VLOOKUP(Movimientos_2026[[#This Row],[Codigo]],Plan_cuentas[],2,FALSE)," ")</f>
        <v>EGRESOS</v>
      </c>
      <c r="F1880" t="str">
        <f>IFERROR(+VLOOKUP(Movimientos_2026[[#This Row],[Codigo]],Plan_cuentas[],3,FALSE)," ")</f>
        <v>DDJJ</v>
      </c>
      <c r="G1880" t="str">
        <f>IFERROR(+VLOOKUP(Movimientos_2026[[#This Row],[Codigo]],Plan_cuentas[],4,FALSE)," ")</f>
        <v>Registración</v>
      </c>
      <c r="H1880" t="str">
        <f>IFERROR(+VLOOKUP(Movimientos_2026[[#This Row],[Codigo]],Plan_cuentas[],5,FALSE)," ")</f>
        <v>ENTRE RIOS 2° Q</v>
      </c>
      <c r="I1880" s="43">
        <v>46143</v>
      </c>
      <c r="J1880" t="s">
        <v>829</v>
      </c>
      <c r="K1880" t="str">
        <f>IFERROR(+VLOOKUP(Movimientos_2026[[#This Row],[Codigo]],Plan_cuentas[],6,FALSE)," ")</f>
        <v>2 - PR - Plan Rombo</v>
      </c>
      <c r="L1880" s="50"/>
      <c r="M1880" s="50">
        <v>13929795.48</v>
      </c>
      <c r="N1880" s="20">
        <f>+Movimientos_2026[[#This Row],[Ingresos]]-Movimientos_2026[[#This Row],[Egresos]]</f>
        <v>-13929795.48</v>
      </c>
      <c r="O1880" s="20">
        <f>+O1879+Movimientos_2026[[#This Row],[Neto]]</f>
        <v>5078720086.5368748</v>
      </c>
    </row>
    <row r="1881" spans="1:15" x14ac:dyDescent="0.25">
      <c r="A1881" s="13">
        <v>46182</v>
      </c>
      <c r="B1881" s="12">
        <f>MONTH(Movimientos_2026[[#This Row],[Fecha]])</f>
        <v>6</v>
      </c>
      <c r="C1881" s="12" t="str">
        <f>VLOOKUP((WEEKDAY(Movimientos_2026[[#This Row],[Fecha]],2)),'5. Setup'!$D$6:$E$12,2,FALSE)</f>
        <v>Mar</v>
      </c>
      <c r="D1881">
        <v>2023233</v>
      </c>
      <c r="E1881" t="str">
        <f>IFERROR(+VLOOKUP(Movimientos_2026[[#This Row],[Codigo]],Plan_cuentas[],2,FALSE)," ")</f>
        <v>EGRESOS</v>
      </c>
      <c r="F1881" t="str">
        <f>IFERROR(+VLOOKUP(Movimientos_2026[[#This Row],[Codigo]],Plan_cuentas[],3,FALSE)," ")</f>
        <v>DDJJ</v>
      </c>
      <c r="G1881" t="str">
        <f>IFERROR(+VLOOKUP(Movimientos_2026[[#This Row],[Codigo]],Plan_cuentas[],4,FALSE)," ")</f>
        <v>Registración</v>
      </c>
      <c r="H1881" t="str">
        <f>IFERROR(+VLOOKUP(Movimientos_2026[[#This Row],[Codigo]],Plan_cuentas[],5,FALSE)," ")</f>
        <v>ENTRE RIOS 2° Q</v>
      </c>
      <c r="I1881" s="43">
        <v>46143</v>
      </c>
      <c r="J1881" t="s">
        <v>829</v>
      </c>
      <c r="K1881" t="str">
        <f>IFERROR(+VLOOKUP(Movimientos_2026[[#This Row],[Codigo]],Plan_cuentas[],6,FALSE)," ")</f>
        <v>3 - GM - Chevrolet</v>
      </c>
      <c r="L1881" s="50"/>
      <c r="M1881" s="50">
        <v>8591570.0399999991</v>
      </c>
      <c r="N1881" s="20">
        <f>+Movimientos_2026[[#This Row],[Ingresos]]-Movimientos_2026[[#This Row],[Egresos]]</f>
        <v>-8591570.0399999991</v>
      </c>
      <c r="O1881" s="20">
        <f>+O1880+Movimientos_2026[[#This Row],[Neto]]</f>
        <v>5070128516.4968748</v>
      </c>
    </row>
    <row r="1882" spans="1:15" x14ac:dyDescent="0.25">
      <c r="A1882" s="13">
        <v>46182</v>
      </c>
      <c r="B1882" s="12">
        <f>MONTH(Movimientos_2026[[#This Row],[Fecha]])</f>
        <v>6</v>
      </c>
      <c r="C1882" s="12" t="str">
        <f>VLOOKUP((WEEKDAY(Movimientos_2026[[#This Row],[Fecha]],2)),'5. Setup'!$D$6:$E$12,2,FALSE)</f>
        <v>Mar</v>
      </c>
      <c r="D1882">
        <v>2023242</v>
      </c>
      <c r="E1882" t="str">
        <f>IFERROR(+VLOOKUP(Movimientos_2026[[#This Row],[Codigo]],Plan_cuentas[],2,FALSE)," ")</f>
        <v>EGRESOS</v>
      </c>
      <c r="F1882" t="str">
        <f>IFERROR(+VLOOKUP(Movimientos_2026[[#This Row],[Codigo]],Plan_cuentas[],3,FALSE)," ")</f>
        <v>DDJJ</v>
      </c>
      <c r="G1882" t="str">
        <f>IFERROR(+VLOOKUP(Movimientos_2026[[#This Row],[Codigo]],Plan_cuentas[],4,FALSE)," ")</f>
        <v>Registración</v>
      </c>
      <c r="H1882" t="str">
        <f>IFERROR(+VLOOKUP(Movimientos_2026[[#This Row],[Codigo]],Plan_cuentas[],5,FALSE)," ")</f>
        <v>FORMOSA</v>
      </c>
      <c r="I1882" s="43">
        <v>46143</v>
      </c>
      <c r="J1882" t="s">
        <v>830</v>
      </c>
      <c r="K1882" t="str">
        <f>IFERROR(+VLOOKUP(Movimientos_2026[[#This Row],[Codigo]],Plan_cuentas[],6,FALSE)," ")</f>
        <v>2 - PR - Plan Rombo</v>
      </c>
      <c r="L1882" s="50"/>
      <c r="M1882" s="50">
        <v>6036310</v>
      </c>
      <c r="N1882" s="20">
        <f>+Movimientos_2026[[#This Row],[Ingresos]]-Movimientos_2026[[#This Row],[Egresos]]</f>
        <v>-6036310</v>
      </c>
      <c r="O1882" s="20">
        <f>+O1881+Movimientos_2026[[#This Row],[Neto]]</f>
        <v>5064092206.4968748</v>
      </c>
    </row>
    <row r="1883" spans="1:15" x14ac:dyDescent="0.25">
      <c r="A1883" s="13">
        <v>46182</v>
      </c>
      <c r="B1883" s="12">
        <f>MONTH(Movimientos_2026[[#This Row],[Fecha]])</f>
        <v>6</v>
      </c>
      <c r="C1883" s="12" t="str">
        <f>VLOOKUP((WEEKDAY(Movimientos_2026[[#This Row],[Fecha]],2)),'5. Setup'!$D$6:$E$12,2,FALSE)</f>
        <v>Mar</v>
      </c>
      <c r="D1883">
        <v>2023246</v>
      </c>
      <c r="E1883" t="str">
        <f>IFERROR(+VLOOKUP(Movimientos_2026[[#This Row],[Codigo]],Plan_cuentas[],2,FALSE)," ")</f>
        <v>EGRESOS</v>
      </c>
      <c r="F1883" t="str">
        <f>IFERROR(+VLOOKUP(Movimientos_2026[[#This Row],[Codigo]],Plan_cuentas[],3,FALSE)," ")</f>
        <v>DDJJ</v>
      </c>
      <c r="G1883" t="str">
        <f>IFERROR(+VLOOKUP(Movimientos_2026[[#This Row],[Codigo]],Plan_cuentas[],4,FALSE)," ")</f>
        <v>Registración</v>
      </c>
      <c r="H1883" t="str">
        <f>IFERROR(+VLOOKUP(Movimientos_2026[[#This Row],[Codigo]],Plan_cuentas[],5,FALSE)," ")</f>
        <v>FORMOSA</v>
      </c>
      <c r="I1883" s="43">
        <v>46143</v>
      </c>
      <c r="J1883" t="s">
        <v>830</v>
      </c>
      <c r="K1883" t="str">
        <f>IFERROR(+VLOOKUP(Movimientos_2026[[#This Row],[Codigo]],Plan_cuentas[],6,FALSE)," ")</f>
        <v>6 - FCAtr - Fiat Transf.</v>
      </c>
      <c r="L1883" s="50"/>
      <c r="M1883" s="50">
        <v>826791.85</v>
      </c>
      <c r="N1883" s="20">
        <f>+Movimientos_2026[[#This Row],[Ingresos]]-Movimientos_2026[[#This Row],[Egresos]]</f>
        <v>-826791.85</v>
      </c>
      <c r="O1883" s="20">
        <f>+O1882+Movimientos_2026[[#This Row],[Neto]]</f>
        <v>5063265414.6468744</v>
      </c>
    </row>
    <row r="1884" spans="1:15" x14ac:dyDescent="0.25">
      <c r="A1884" s="13">
        <v>46182</v>
      </c>
      <c r="B1884" s="12">
        <f>MONTH(Movimientos_2026[[#This Row],[Fecha]])</f>
        <v>6</v>
      </c>
      <c r="C1884" s="12" t="str">
        <f>VLOOKUP((WEEKDAY(Movimientos_2026[[#This Row],[Fecha]],2)),'5. Setup'!$D$6:$E$12,2,FALSE)</f>
        <v>Mar</v>
      </c>
      <c r="D1884">
        <v>2023247</v>
      </c>
      <c r="E1884" t="str">
        <f>IFERROR(+VLOOKUP(Movimientos_2026[[#This Row],[Codigo]],Plan_cuentas[],2,FALSE)," ")</f>
        <v>EGRESOS</v>
      </c>
      <c r="F1884" t="str">
        <f>IFERROR(+VLOOKUP(Movimientos_2026[[#This Row],[Codigo]],Plan_cuentas[],3,FALSE)," ")</f>
        <v>DDJJ</v>
      </c>
      <c r="G1884" t="str">
        <f>IFERROR(+VLOOKUP(Movimientos_2026[[#This Row],[Codigo]],Plan_cuentas[],4,FALSE)," ")</f>
        <v>Registración</v>
      </c>
      <c r="H1884" t="str">
        <f>IFERROR(+VLOOKUP(Movimientos_2026[[#This Row],[Codigo]],Plan_cuentas[],5,FALSE)," ")</f>
        <v>FORMOSA</v>
      </c>
      <c r="I1884" s="43">
        <v>46143</v>
      </c>
      <c r="J1884" t="s">
        <v>830</v>
      </c>
      <c r="K1884" t="str">
        <f>IFERROR(+VLOOKUP(Movimientos_2026[[#This Row],[Codigo]],Plan_cuentas[],6,FALSE)," ")</f>
        <v>7 - PRtr - Plan Rombo Transf.</v>
      </c>
      <c r="L1884" s="50"/>
      <c r="M1884" s="50">
        <v>96500</v>
      </c>
      <c r="N1884" s="20">
        <f>+Movimientos_2026[[#This Row],[Ingresos]]-Movimientos_2026[[#This Row],[Egresos]]</f>
        <v>-96500</v>
      </c>
      <c r="O1884" s="20">
        <f>+O1883+Movimientos_2026[[#This Row],[Neto]]</f>
        <v>5063168914.6468744</v>
      </c>
    </row>
    <row r="1885" spans="1:15" x14ac:dyDescent="0.25">
      <c r="A1885" s="13">
        <v>46182</v>
      </c>
      <c r="B1885" s="12">
        <f>MONTH(Movimientos_2026[[#This Row],[Fecha]])</f>
        <v>6</v>
      </c>
      <c r="C1885" s="12" t="str">
        <f>VLOOKUP((WEEKDAY(Movimientos_2026[[#This Row],[Fecha]],2)),'5. Setup'!$D$6:$E$12,2,FALSE)</f>
        <v>Mar</v>
      </c>
      <c r="D1885">
        <v>2023375</v>
      </c>
      <c r="E1885" t="str">
        <f>IFERROR(+VLOOKUP(Movimientos_2026[[#This Row],[Codigo]],Plan_cuentas[],2,FALSE)," ")</f>
        <v>EGRESOS</v>
      </c>
      <c r="F1885" t="str">
        <f>IFERROR(+VLOOKUP(Movimientos_2026[[#This Row],[Codigo]],Plan_cuentas[],3,FALSE)," ")</f>
        <v>DDJJ</v>
      </c>
      <c r="G1885" t="str">
        <f>IFERROR(+VLOOKUP(Movimientos_2026[[#This Row],[Codigo]],Plan_cuentas[],4,FALSE)," ")</f>
        <v>Registración</v>
      </c>
      <c r="H1885" t="str">
        <f>IFERROR(+VLOOKUP(Movimientos_2026[[#This Row],[Codigo]],Plan_cuentas[],5,FALSE)," ")</f>
        <v>SANTA CRUZ</v>
      </c>
      <c r="I1885" s="43">
        <v>46143</v>
      </c>
      <c r="J1885" t="s">
        <v>831</v>
      </c>
      <c r="K1885" t="str">
        <f>IFERROR(+VLOOKUP(Movimientos_2026[[#This Row],[Codigo]],Plan_cuentas[],6,FALSE)," ")</f>
        <v>5 - YAM - Yamaha</v>
      </c>
      <c r="L1885" s="50"/>
      <c r="M1885" s="50">
        <v>248678.86</v>
      </c>
      <c r="N1885" s="20">
        <f>+Movimientos_2026[[#This Row],[Ingresos]]-Movimientos_2026[[#This Row],[Egresos]]</f>
        <v>-248678.86</v>
      </c>
      <c r="O1885" s="20">
        <f>+O1884+Movimientos_2026[[#This Row],[Neto]]</f>
        <v>5062920235.7868748</v>
      </c>
    </row>
    <row r="1886" spans="1:15" x14ac:dyDescent="0.25">
      <c r="A1886" s="13">
        <v>46182</v>
      </c>
      <c r="B1886" s="12">
        <f>MONTH(Movimientos_2026[[#This Row],[Fecha]])</f>
        <v>6</v>
      </c>
      <c r="C1886" s="12" t="str">
        <f>VLOOKUP((WEEKDAY(Movimientos_2026[[#This Row],[Fecha]],2)),'5. Setup'!$D$6:$E$12,2,FALSE)</f>
        <v>Mar</v>
      </c>
      <c r="D1886">
        <v>2023376</v>
      </c>
      <c r="E1886" t="str">
        <f>IFERROR(+VLOOKUP(Movimientos_2026[[#This Row],[Codigo]],Plan_cuentas[],2,FALSE)," ")</f>
        <v>EGRESOS</v>
      </c>
      <c r="F1886" t="str">
        <f>IFERROR(+VLOOKUP(Movimientos_2026[[#This Row],[Codigo]],Plan_cuentas[],3,FALSE)," ")</f>
        <v>DDJJ</v>
      </c>
      <c r="G1886" t="str">
        <f>IFERROR(+VLOOKUP(Movimientos_2026[[#This Row],[Codigo]],Plan_cuentas[],4,FALSE)," ")</f>
        <v>Registración</v>
      </c>
      <c r="H1886" t="str">
        <f>IFERROR(+VLOOKUP(Movimientos_2026[[#This Row],[Codigo]],Plan_cuentas[],5,FALSE)," ")</f>
        <v>SANTA CRUZ</v>
      </c>
      <c r="I1886" s="43">
        <v>46143</v>
      </c>
      <c r="J1886" t="s">
        <v>831</v>
      </c>
      <c r="K1886" t="str">
        <f>IFERROR(+VLOOKUP(Movimientos_2026[[#This Row],[Codigo]],Plan_cuentas[],6,FALSE)," ")</f>
        <v>6 - FCAtr - Fiat Transf.</v>
      </c>
      <c r="L1886" s="50"/>
      <c r="M1886" s="50">
        <v>604691.31999999995</v>
      </c>
      <c r="N1886" s="20">
        <f>+Movimientos_2026[[#This Row],[Ingresos]]-Movimientos_2026[[#This Row],[Egresos]]</f>
        <v>-604691.31999999995</v>
      </c>
      <c r="O1886" s="20">
        <f>+O1885+Movimientos_2026[[#This Row],[Neto]]</f>
        <v>5062315544.4668751</v>
      </c>
    </row>
    <row r="1887" spans="1:15" x14ac:dyDescent="0.25">
      <c r="A1887" s="13">
        <v>46182</v>
      </c>
      <c r="B1887" s="12">
        <f>MONTH(Movimientos_2026[[#This Row],[Fecha]])</f>
        <v>6</v>
      </c>
      <c r="C1887" s="12" t="str">
        <f>VLOOKUP((WEEKDAY(Movimientos_2026[[#This Row],[Fecha]],2)),'5. Setup'!$D$6:$E$12,2,FALSE)</f>
        <v>Mar</v>
      </c>
      <c r="D1887">
        <v>2023392</v>
      </c>
      <c r="E1887" t="str">
        <f>IFERROR(+VLOOKUP(Movimientos_2026[[#This Row],[Codigo]],Plan_cuentas[],2,FALSE)," ")</f>
        <v>EGRESOS</v>
      </c>
      <c r="F1887" t="str">
        <f>IFERROR(+VLOOKUP(Movimientos_2026[[#This Row],[Codigo]],Plan_cuentas[],3,FALSE)," ")</f>
        <v>DDJJ</v>
      </c>
      <c r="G1887" t="str">
        <f>IFERROR(+VLOOKUP(Movimientos_2026[[#This Row],[Codigo]],Plan_cuentas[],4,FALSE)," ")</f>
        <v>Registración</v>
      </c>
      <c r="H1887" t="str">
        <f>IFERROR(+VLOOKUP(Movimientos_2026[[#This Row],[Codigo]],Plan_cuentas[],5,FALSE)," ")</f>
        <v>SANTA FE 2° Q</v>
      </c>
      <c r="I1887" s="43">
        <v>46143</v>
      </c>
      <c r="J1887" t="s">
        <v>832</v>
      </c>
      <c r="K1887" t="str">
        <f>IFERROR(+VLOOKUP(Movimientos_2026[[#This Row],[Codigo]],Plan_cuentas[],6,FALSE)," ")</f>
        <v>2 - PR - Plan Rombo</v>
      </c>
      <c r="L1887" s="50"/>
      <c r="M1887" s="50">
        <v>19397050.190000001</v>
      </c>
      <c r="N1887" s="20">
        <f>+Movimientos_2026[[#This Row],[Ingresos]]-Movimientos_2026[[#This Row],[Egresos]]</f>
        <v>-19397050.190000001</v>
      </c>
      <c r="O1887" s="20">
        <f>+O1886+Movimientos_2026[[#This Row],[Neto]]</f>
        <v>5042918494.2768755</v>
      </c>
    </row>
    <row r="1888" spans="1:15" x14ac:dyDescent="0.25">
      <c r="A1888" s="13">
        <v>46182</v>
      </c>
      <c r="B1888" s="12">
        <f>MONTH(Movimientos_2026[[#This Row],[Fecha]])</f>
        <v>6</v>
      </c>
      <c r="C1888" s="12" t="str">
        <f>VLOOKUP((WEEKDAY(Movimientos_2026[[#This Row],[Fecha]],2)),'5. Setup'!$D$6:$E$12,2,FALSE)</f>
        <v>Mar</v>
      </c>
      <c r="D1888">
        <v>2023393</v>
      </c>
      <c r="E1888" t="str">
        <f>IFERROR(+VLOOKUP(Movimientos_2026[[#This Row],[Codigo]],Plan_cuentas[],2,FALSE)," ")</f>
        <v>EGRESOS</v>
      </c>
      <c r="F1888" t="str">
        <f>IFERROR(+VLOOKUP(Movimientos_2026[[#This Row],[Codigo]],Plan_cuentas[],3,FALSE)," ")</f>
        <v>DDJJ</v>
      </c>
      <c r="G1888" t="str">
        <f>IFERROR(+VLOOKUP(Movimientos_2026[[#This Row],[Codigo]],Plan_cuentas[],4,FALSE)," ")</f>
        <v>Registración</v>
      </c>
      <c r="H1888" t="str">
        <f>IFERROR(+VLOOKUP(Movimientos_2026[[#This Row],[Codigo]],Plan_cuentas[],5,FALSE)," ")</f>
        <v>SANTA FE 2° Q</v>
      </c>
      <c r="I1888" s="43">
        <v>46143</v>
      </c>
      <c r="J1888" t="s">
        <v>832</v>
      </c>
      <c r="K1888" t="str">
        <f>IFERROR(+VLOOKUP(Movimientos_2026[[#This Row],[Codigo]],Plan_cuentas[],6,FALSE)," ")</f>
        <v>3 - GM - Chevrolet</v>
      </c>
      <c r="L1888" s="50"/>
      <c r="M1888" s="50">
        <v>29370762.75</v>
      </c>
      <c r="N1888" s="20">
        <f>+Movimientos_2026[[#This Row],[Ingresos]]-Movimientos_2026[[#This Row],[Egresos]]</f>
        <v>-29370762.75</v>
      </c>
      <c r="O1888" s="20">
        <f>+O1887+Movimientos_2026[[#This Row],[Neto]]</f>
        <v>5013547731.5268755</v>
      </c>
    </row>
    <row r="1889" spans="1:15" x14ac:dyDescent="0.25">
      <c r="A1889" s="13">
        <v>46182</v>
      </c>
      <c r="B1889" s="12">
        <f>MONTH(Movimientos_2026[[#This Row],[Fecha]])</f>
        <v>6</v>
      </c>
      <c r="C1889" s="12" t="str">
        <f>VLOOKUP((WEEKDAY(Movimientos_2026[[#This Row],[Fecha]],2)),'5. Setup'!$D$6:$E$12,2,FALSE)</f>
        <v>Mar</v>
      </c>
      <c r="D1889">
        <v>2023247</v>
      </c>
      <c r="E1889" t="str">
        <f>IFERROR(+VLOOKUP(Movimientos_2026[[#This Row],[Codigo]],Plan_cuentas[],2,FALSE)," ")</f>
        <v>EGRESOS</v>
      </c>
      <c r="F1889" t="str">
        <f>IFERROR(+VLOOKUP(Movimientos_2026[[#This Row],[Codigo]],Plan_cuentas[],3,FALSE)," ")</f>
        <v>DDJJ</v>
      </c>
      <c r="G1889" t="str">
        <f>IFERROR(+VLOOKUP(Movimientos_2026[[#This Row],[Codigo]],Plan_cuentas[],4,FALSE)," ")</f>
        <v>Registración</v>
      </c>
      <c r="H1889" t="str">
        <f>IFERROR(+VLOOKUP(Movimientos_2026[[#This Row],[Codigo]],Plan_cuentas[],5,FALSE)," ")</f>
        <v>FORMOSA</v>
      </c>
      <c r="I1889" s="43">
        <v>46143</v>
      </c>
      <c r="J1889" t="s">
        <v>830</v>
      </c>
      <c r="K1889" t="str">
        <f>IFERROR(+VLOOKUP(Movimientos_2026[[#This Row],[Codigo]],Plan_cuentas[],6,FALSE)," ")</f>
        <v>7 - PRtr - Plan Rombo Transf.</v>
      </c>
      <c r="L1889" s="50"/>
      <c r="M1889" s="50">
        <v>379667.73</v>
      </c>
      <c r="N1889" s="20">
        <f>+Movimientos_2026[[#This Row],[Ingresos]]-Movimientos_2026[[#This Row],[Egresos]]</f>
        <v>-379667.73</v>
      </c>
      <c r="O1889" s="20">
        <f>+O1888+Movimientos_2026[[#This Row],[Neto]]</f>
        <v>5013168063.796876</v>
      </c>
    </row>
    <row r="1890" spans="1:15" x14ac:dyDescent="0.25">
      <c r="A1890" s="13">
        <v>46183</v>
      </c>
      <c r="B1890" s="12">
        <f>MONTH(Movimientos_2026[[#This Row],[Fecha]])</f>
        <v>6</v>
      </c>
      <c r="C1890" s="12" t="str">
        <f>VLOOKUP((WEEKDAY(Movimientos_2026[[#This Row],[Fecha]],2)),'5. Setup'!$D$6:$E$12,2,FALSE)</f>
        <v>Mie</v>
      </c>
      <c r="D1890">
        <v>2054281</v>
      </c>
      <c r="E1890" t="str">
        <f>IFERROR(+VLOOKUP(Movimientos_2026[[#This Row],[Codigo]],Plan_cuentas[],2,FALSE)," ")</f>
        <v>EGRESOS</v>
      </c>
      <c r="F1890" t="str">
        <f>IFERROR(+VLOOKUP(Movimientos_2026[[#This Row],[Codigo]],Plan_cuentas[],3,FALSE)," ")</f>
        <v>VEP</v>
      </c>
      <c r="G1890" t="str">
        <f>IFERROR(+VLOOKUP(Movimientos_2026[[#This Row],[Codigo]],Plan_cuentas[],4,FALSE)," ")</f>
        <v>Rentas</v>
      </c>
      <c r="H1890" t="str">
        <f>IFERROR(+VLOOKUP(Movimientos_2026[[#This Row],[Codigo]],Plan_cuentas[],5,FALSE)," ")</f>
        <v>MENDOZA</v>
      </c>
      <c r="I1890" s="43">
        <v>46143</v>
      </c>
      <c r="J1890" t="s">
        <v>833</v>
      </c>
      <c r="K1890" t="str">
        <f>IFERROR(+VLOOKUP(Movimientos_2026[[#This Row],[Codigo]],Plan_cuentas[],6,FALSE)," ")</f>
        <v>1 - VW - Volkswagen</v>
      </c>
      <c r="L1890" s="50"/>
      <c r="M1890" s="50">
        <v>15177828.5</v>
      </c>
      <c r="N1890" s="20">
        <f>+Movimientos_2026[[#This Row],[Ingresos]]-Movimientos_2026[[#This Row],[Egresos]]</f>
        <v>-15177828.5</v>
      </c>
      <c r="O1890" s="20">
        <f>+O1889+Movimientos_2026[[#This Row],[Neto]]</f>
        <v>4997990235.296876</v>
      </c>
    </row>
    <row r="1891" spans="1:15" x14ac:dyDescent="0.25">
      <c r="A1891" s="13">
        <v>46183</v>
      </c>
      <c r="B1891" s="12">
        <f>MONTH(Movimientos_2026[[#This Row],[Fecha]])</f>
        <v>6</v>
      </c>
      <c r="C1891" s="12" t="str">
        <f>VLOOKUP((WEEKDAY(Movimientos_2026[[#This Row],[Fecha]],2)),'5. Setup'!$D$6:$E$12,2,FALSE)</f>
        <v>Mie</v>
      </c>
      <c r="D1891">
        <v>2054391</v>
      </c>
      <c r="E1891" t="str">
        <f>IFERROR(+VLOOKUP(Movimientos_2026[[#This Row],[Codigo]],Plan_cuentas[],2,FALSE)," ")</f>
        <v>EGRESOS</v>
      </c>
      <c r="F1891" t="str">
        <f>IFERROR(+VLOOKUP(Movimientos_2026[[#This Row],[Codigo]],Plan_cuentas[],3,FALSE)," ")</f>
        <v>VEP</v>
      </c>
      <c r="G1891" t="str">
        <f>IFERROR(+VLOOKUP(Movimientos_2026[[#This Row],[Codigo]],Plan_cuentas[],4,FALSE)," ")</f>
        <v>Rentas</v>
      </c>
      <c r="H1891" t="str">
        <f>IFERROR(+VLOOKUP(Movimientos_2026[[#This Row],[Codigo]],Plan_cuentas[],5,FALSE)," ")</f>
        <v>SANTA FE 2° Q</v>
      </c>
      <c r="I1891" s="43">
        <v>46143</v>
      </c>
      <c r="J1891" t="s">
        <v>834</v>
      </c>
      <c r="K1891" t="str">
        <f>IFERROR(+VLOOKUP(Movimientos_2026[[#This Row],[Codigo]],Plan_cuentas[],6,FALSE)," ")</f>
        <v>1 - VW - Volkswagen</v>
      </c>
      <c r="L1891" s="50"/>
      <c r="M1891" s="50">
        <v>20553900.5</v>
      </c>
      <c r="N1891" s="20">
        <f>+Movimientos_2026[[#This Row],[Ingresos]]-Movimientos_2026[[#This Row],[Egresos]]</f>
        <v>-20553900.5</v>
      </c>
      <c r="O1891" s="20">
        <f>+O1890+Movimientos_2026[[#This Row],[Neto]]</f>
        <v>4977436334.796876</v>
      </c>
    </row>
    <row r="1892" spans="1:15" x14ac:dyDescent="0.25">
      <c r="A1892" s="13">
        <v>46183</v>
      </c>
      <c r="B1892" s="12">
        <f>MONTH(Movimientos_2026[[#This Row],[Fecha]])</f>
        <v>6</v>
      </c>
      <c r="C1892" s="12" t="str">
        <f>VLOOKUP((WEEKDAY(Movimientos_2026[[#This Row],[Fecha]],2)),'5. Setup'!$D$6:$E$12,2,FALSE)</f>
        <v>Mie</v>
      </c>
      <c r="D1892">
        <v>2014271</v>
      </c>
      <c r="E1892" t="str">
        <f>IFERROR(+VLOOKUP(Movimientos_2026[[#This Row],[Codigo]],Plan_cuentas[],2,FALSE)," ")</f>
        <v>EGRESOS</v>
      </c>
      <c r="F1892" t="str">
        <f>IFERROR(+VLOOKUP(Movimientos_2026[[#This Row],[Codigo]],Plan_cuentas[],3,FALSE)," ")</f>
        <v>BtoB</v>
      </c>
      <c r="G1892" t="str">
        <f>IFERROR(+VLOOKUP(Movimientos_2026[[#This Row],[Codigo]],Plan_cuentas[],4,FALSE)," ")</f>
        <v>Rentas</v>
      </c>
      <c r="H1892" t="str">
        <f>IFERROR(+VLOOKUP(Movimientos_2026[[#This Row],[Codigo]],Plan_cuentas[],5,FALSE)," ")</f>
        <v>LA RIOJA</v>
      </c>
      <c r="I1892" s="43">
        <v>46143</v>
      </c>
      <c r="J1892" t="s">
        <v>835</v>
      </c>
      <c r="K1892" t="str">
        <f>IFERROR(+VLOOKUP(Movimientos_2026[[#This Row],[Codigo]],Plan_cuentas[],6,FALSE)," ")</f>
        <v>1 - VW - Volkswagen</v>
      </c>
      <c r="L1892" s="50"/>
      <c r="M1892" s="50">
        <v>22288925.350000001</v>
      </c>
      <c r="N1892" s="20">
        <f>+Movimientos_2026[[#This Row],[Ingresos]]-Movimientos_2026[[#This Row],[Egresos]]</f>
        <v>-22288925.350000001</v>
      </c>
      <c r="O1892" s="20">
        <f>+O1891+Movimientos_2026[[#This Row],[Neto]]</f>
        <v>4955147409.4468756</v>
      </c>
    </row>
    <row r="1893" spans="1:15" x14ac:dyDescent="0.25">
      <c r="A1893" s="13">
        <v>46183</v>
      </c>
      <c r="B1893" s="12">
        <f>MONTH(Movimientos_2026[[#This Row],[Fecha]])</f>
        <v>6</v>
      </c>
      <c r="C1893" s="12" t="str">
        <f>VLOOKUP((WEEKDAY(Movimientos_2026[[#This Row],[Fecha]],2)),'5. Setup'!$D$6:$E$12,2,FALSE)</f>
        <v>Mie</v>
      </c>
      <c r="D1893">
        <v>2014211</v>
      </c>
      <c r="E1893" t="str">
        <f>IFERROR(+VLOOKUP(Movimientos_2026[[#This Row],[Codigo]],Plan_cuentas[],2,FALSE)," ")</f>
        <v>EGRESOS</v>
      </c>
      <c r="F1893" t="str">
        <f>IFERROR(+VLOOKUP(Movimientos_2026[[#This Row],[Codigo]],Plan_cuentas[],3,FALSE)," ")</f>
        <v>BtoB</v>
      </c>
      <c r="G1893" t="str">
        <f>IFERROR(+VLOOKUP(Movimientos_2026[[#This Row],[Codigo]],Plan_cuentas[],4,FALSE)," ")</f>
        <v>Rentas</v>
      </c>
      <c r="H1893" t="str">
        <f>IFERROR(+VLOOKUP(Movimientos_2026[[#This Row],[Codigo]],Plan_cuentas[],5,FALSE)," ")</f>
        <v>CORRIENTES 2° Q</v>
      </c>
      <c r="I1893" s="43">
        <v>46143</v>
      </c>
      <c r="J1893" t="s">
        <v>836</v>
      </c>
      <c r="K1893" t="str">
        <f>IFERROR(+VLOOKUP(Movimientos_2026[[#This Row],[Codigo]],Plan_cuentas[],6,FALSE)," ")</f>
        <v>1 - VW - Volkswagen</v>
      </c>
      <c r="L1893" s="50"/>
      <c r="M1893" s="50">
        <v>10569691.5</v>
      </c>
      <c r="N1893" s="20">
        <f>+Movimientos_2026[[#This Row],[Ingresos]]-Movimientos_2026[[#This Row],[Egresos]]</f>
        <v>-10569691.5</v>
      </c>
      <c r="O1893" s="20">
        <f>+O1892+Movimientos_2026[[#This Row],[Neto]]</f>
        <v>4944577717.9468756</v>
      </c>
    </row>
    <row r="1894" spans="1:15" x14ac:dyDescent="0.25">
      <c r="A1894" s="13">
        <v>46184</v>
      </c>
      <c r="B1894" s="12">
        <f>MONTH(Movimientos_2026[[#This Row],[Fecha]])</f>
        <v>6</v>
      </c>
      <c r="C1894" s="12" t="str">
        <f>VLOOKUP((WEEKDAY(Movimientos_2026[[#This Row],[Fecha]],2)),'5. Setup'!$D$6:$E$12,2,FALSE)</f>
        <v>Jue</v>
      </c>
      <c r="D1894">
        <v>2044342</v>
      </c>
      <c r="E1894" t="str">
        <f>IFERROR(+VLOOKUP(Movimientos_2026[[#This Row],[Codigo]],Plan_cuentas[],2,FALSE)," ")</f>
        <v>EGRESOS</v>
      </c>
      <c r="F1894" t="str">
        <f>IFERROR(+VLOOKUP(Movimientos_2026[[#This Row],[Codigo]],Plan_cuentas[],3,FALSE)," ")</f>
        <v>Transferencia</v>
      </c>
      <c r="G1894" t="str">
        <f>IFERROR(+VLOOKUP(Movimientos_2026[[#This Row],[Codigo]],Plan_cuentas[],4,FALSE)," ")</f>
        <v>Rentas</v>
      </c>
      <c r="H1894" t="str">
        <f>IFERROR(+VLOOKUP(Movimientos_2026[[#This Row],[Codigo]],Plan_cuentas[],5,FALSE)," ")</f>
        <v>RIO NEGRO</v>
      </c>
      <c r="I1894" s="43">
        <v>46143</v>
      </c>
      <c r="J1894" t="s">
        <v>837</v>
      </c>
      <c r="K1894" t="str">
        <f>IFERROR(+VLOOKUP(Movimientos_2026[[#This Row],[Codigo]],Plan_cuentas[],6,FALSE)," ")</f>
        <v>2 - PR - Plan Rombo</v>
      </c>
      <c r="L1894" s="50"/>
      <c r="M1894" s="50">
        <v>17311061.66</v>
      </c>
      <c r="N1894" s="20">
        <f>+Movimientos_2026[[#This Row],[Ingresos]]-Movimientos_2026[[#This Row],[Egresos]]</f>
        <v>-17311061.66</v>
      </c>
      <c r="O1894" s="20">
        <f>+O1893+Movimientos_2026[[#This Row],[Neto]]</f>
        <v>4927266656.2868757</v>
      </c>
    </row>
    <row r="1895" spans="1:15" x14ac:dyDescent="0.25">
      <c r="A1895" s="13">
        <v>46184</v>
      </c>
      <c r="B1895" s="12">
        <f>MONTH(Movimientos_2026[[#This Row],[Fecha]])</f>
        <v>6</v>
      </c>
      <c r="C1895" s="12" t="str">
        <f>VLOOKUP((WEEKDAY(Movimientos_2026[[#This Row],[Fecha]],2)),'5. Setup'!$D$6:$E$12,2,FALSE)</f>
        <v>Jue</v>
      </c>
      <c r="D1895">
        <v>2044344</v>
      </c>
      <c r="E1895" t="str">
        <f>IFERROR(+VLOOKUP(Movimientos_2026[[#This Row],[Codigo]],Plan_cuentas[],2,FALSE)," ")</f>
        <v>EGRESOS</v>
      </c>
      <c r="F1895" t="str">
        <f>IFERROR(+VLOOKUP(Movimientos_2026[[#This Row],[Codigo]],Plan_cuentas[],3,FALSE)," ")</f>
        <v>Transferencia</v>
      </c>
      <c r="G1895" t="str">
        <f>IFERROR(+VLOOKUP(Movimientos_2026[[#This Row],[Codigo]],Plan_cuentas[],4,FALSE)," ")</f>
        <v>Rentas</v>
      </c>
      <c r="H1895" t="str">
        <f>IFERROR(+VLOOKUP(Movimientos_2026[[#This Row],[Codigo]],Plan_cuentas[],5,FALSE)," ")</f>
        <v>RIO NEGRO</v>
      </c>
      <c r="I1895" s="43">
        <v>46143</v>
      </c>
      <c r="J1895" t="s">
        <v>838</v>
      </c>
      <c r="K1895" t="str">
        <f>IFERROR(+VLOOKUP(Movimientos_2026[[#This Row],[Codigo]],Plan_cuentas[],6,FALSE)," ")</f>
        <v>4 - FCA - Fiat</v>
      </c>
      <c r="L1895" s="50"/>
      <c r="M1895" s="50">
        <v>1627200</v>
      </c>
      <c r="N1895" s="20">
        <f>+Movimientos_2026[[#This Row],[Ingresos]]-Movimientos_2026[[#This Row],[Egresos]]</f>
        <v>-1627200</v>
      </c>
      <c r="O1895" s="20">
        <f>+O1894+Movimientos_2026[[#This Row],[Neto]]</f>
        <v>4925639456.2868757</v>
      </c>
    </row>
    <row r="1896" spans="1:15" x14ac:dyDescent="0.25">
      <c r="A1896" s="13">
        <v>46184</v>
      </c>
      <c r="B1896" s="12">
        <f>MONTH(Movimientos_2026[[#This Row],[Fecha]])</f>
        <v>6</v>
      </c>
      <c r="C1896" s="12" t="str">
        <f>VLOOKUP((WEEKDAY(Movimientos_2026[[#This Row],[Fecha]],2)),'5. Setup'!$D$6:$E$12,2,FALSE)</f>
        <v>Jue</v>
      </c>
      <c r="D1896">
        <v>2014174</v>
      </c>
      <c r="E1896" t="str">
        <f>IFERROR(+VLOOKUP(Movimientos_2026[[#This Row],[Codigo]],Plan_cuentas[],2,FALSE)," ")</f>
        <v>EGRESOS</v>
      </c>
      <c r="F1896" t="str">
        <f>IFERROR(+VLOOKUP(Movimientos_2026[[#This Row],[Codigo]],Plan_cuentas[],3,FALSE)," ")</f>
        <v>BtoB</v>
      </c>
      <c r="G1896" t="str">
        <f>IFERROR(+VLOOKUP(Movimientos_2026[[#This Row],[Codigo]],Plan_cuentas[],4,FALSE)," ")</f>
        <v>Rentas</v>
      </c>
      <c r="H1896" t="str">
        <f>IFERROR(+VLOOKUP(Movimientos_2026[[#This Row],[Codigo]],Plan_cuentas[],5,FALSE)," ")</f>
        <v>CHUBUT</v>
      </c>
      <c r="I1896" s="43">
        <v>46143</v>
      </c>
      <c r="J1896" t="s">
        <v>839</v>
      </c>
      <c r="K1896" t="str">
        <f>IFERROR(+VLOOKUP(Movimientos_2026[[#This Row],[Codigo]],Plan_cuentas[],6,FALSE)," ")</f>
        <v>4 - FCA - Fiat</v>
      </c>
      <c r="L1896" s="50"/>
      <c r="M1896" s="50">
        <v>25212000</v>
      </c>
      <c r="N1896" s="20">
        <f>+Movimientos_2026[[#This Row],[Ingresos]]-Movimientos_2026[[#This Row],[Egresos]]</f>
        <v>-25212000</v>
      </c>
      <c r="O1896" s="20">
        <f>+O1895+Movimientos_2026[[#This Row],[Neto]]</f>
        <v>4900427456.2868757</v>
      </c>
    </row>
    <row r="1897" spans="1:15" x14ac:dyDescent="0.25">
      <c r="A1897" s="13">
        <v>46184</v>
      </c>
      <c r="B1897" s="12">
        <f>MONTH(Movimientos_2026[[#This Row],[Fecha]])</f>
        <v>6</v>
      </c>
      <c r="C1897" s="12" t="str">
        <f>VLOOKUP((WEEKDAY(Movimientos_2026[[#This Row],[Fecha]],2)),'5. Setup'!$D$6:$E$12,2,FALSE)</f>
        <v>Jue</v>
      </c>
      <c r="D1897">
        <v>2014162</v>
      </c>
      <c r="E1897" t="str">
        <f>IFERROR(+VLOOKUP(Movimientos_2026[[#This Row],[Codigo]],Plan_cuentas[],2,FALSE)," ")</f>
        <v>EGRESOS</v>
      </c>
      <c r="F1897" t="str">
        <f>IFERROR(+VLOOKUP(Movimientos_2026[[#This Row],[Codigo]],Plan_cuentas[],3,FALSE)," ")</f>
        <v>BtoB</v>
      </c>
      <c r="G1897" t="str">
        <f>IFERROR(+VLOOKUP(Movimientos_2026[[#This Row],[Codigo]],Plan_cuentas[],4,FALSE)," ")</f>
        <v>Rentas</v>
      </c>
      <c r="H1897" t="str">
        <f>IFERROR(+VLOOKUP(Movimientos_2026[[#This Row],[Codigo]],Plan_cuentas[],5,FALSE)," ")</f>
        <v>CHACO</v>
      </c>
      <c r="I1897" s="43">
        <v>46143</v>
      </c>
      <c r="J1897" t="s">
        <v>840</v>
      </c>
      <c r="K1897" t="str">
        <f>IFERROR(+VLOOKUP(Movimientos_2026[[#This Row],[Codigo]],Plan_cuentas[],6,FALSE)," ")</f>
        <v>2 - PR - Plan Rombo</v>
      </c>
      <c r="L1897" s="50"/>
      <c r="M1897" s="50">
        <v>1791015.73</v>
      </c>
      <c r="N1897" s="20">
        <f>+Movimientos_2026[[#This Row],[Ingresos]]-Movimientos_2026[[#This Row],[Egresos]]</f>
        <v>-1791015.73</v>
      </c>
      <c r="O1897" s="20">
        <f>+O1896+Movimientos_2026[[#This Row],[Neto]]</f>
        <v>4898636440.5568762</v>
      </c>
    </row>
    <row r="1898" spans="1:15" x14ac:dyDescent="0.25">
      <c r="A1898" s="13">
        <v>46184</v>
      </c>
      <c r="B1898" s="12">
        <f>MONTH(Movimientos_2026[[#This Row],[Fecha]])</f>
        <v>6</v>
      </c>
      <c r="C1898" s="12" t="str">
        <f>VLOOKUP((WEEKDAY(Movimientos_2026[[#This Row],[Fecha]],2)),'5. Setup'!$D$6:$E$12,2,FALSE)</f>
        <v>Jue</v>
      </c>
      <c r="D1898">
        <v>2014165</v>
      </c>
      <c r="E1898" t="str">
        <f>IFERROR(+VLOOKUP(Movimientos_2026[[#This Row],[Codigo]],Plan_cuentas[],2,FALSE)," ")</f>
        <v>EGRESOS</v>
      </c>
      <c r="F1898" t="str">
        <f>IFERROR(+VLOOKUP(Movimientos_2026[[#This Row],[Codigo]],Plan_cuentas[],3,FALSE)," ")</f>
        <v>BtoB</v>
      </c>
      <c r="G1898" t="str">
        <f>IFERROR(+VLOOKUP(Movimientos_2026[[#This Row],[Codigo]],Plan_cuentas[],4,FALSE)," ")</f>
        <v>Rentas</v>
      </c>
      <c r="H1898" t="str">
        <f>IFERROR(+VLOOKUP(Movimientos_2026[[#This Row],[Codigo]],Plan_cuentas[],5,FALSE)," ")</f>
        <v>CHACO</v>
      </c>
      <c r="I1898" s="43">
        <v>46143</v>
      </c>
      <c r="J1898" t="s">
        <v>841</v>
      </c>
      <c r="K1898" t="str">
        <f>IFERROR(+VLOOKUP(Movimientos_2026[[#This Row],[Codigo]],Plan_cuentas[],6,FALSE)," ")</f>
        <v>5 - YAM - Yamaha</v>
      </c>
      <c r="L1898" s="50"/>
      <c r="M1898" s="50">
        <v>812566.64</v>
      </c>
      <c r="N1898" s="20">
        <f>+Movimientos_2026[[#This Row],[Ingresos]]-Movimientos_2026[[#This Row],[Egresos]]</f>
        <v>-812566.64</v>
      </c>
      <c r="O1898" s="20">
        <f>+O1897+Movimientos_2026[[#This Row],[Neto]]</f>
        <v>4897823873.9168758</v>
      </c>
    </row>
    <row r="1899" spans="1:15" x14ac:dyDescent="0.25">
      <c r="A1899" s="13">
        <v>46184</v>
      </c>
      <c r="B1899" s="12">
        <f>MONTH(Movimientos_2026[[#This Row],[Fecha]])</f>
        <v>6</v>
      </c>
      <c r="C1899" s="12" t="str">
        <f>VLOOKUP((WEEKDAY(Movimientos_2026[[#This Row],[Fecha]],2)),'5. Setup'!$D$6:$E$12,2,FALSE)</f>
        <v>Jue</v>
      </c>
      <c r="D1899">
        <v>2044402</v>
      </c>
      <c r="E1899" t="str">
        <f>IFERROR(+VLOOKUP(Movimientos_2026[[#This Row],[Codigo]],Plan_cuentas[],2,FALSE)," ")</f>
        <v>EGRESOS</v>
      </c>
      <c r="F1899" t="str">
        <f>IFERROR(+VLOOKUP(Movimientos_2026[[#This Row],[Codigo]],Plan_cuentas[],3,FALSE)," ")</f>
        <v>Transferencia</v>
      </c>
      <c r="G1899" t="str">
        <f>IFERROR(+VLOOKUP(Movimientos_2026[[#This Row],[Codigo]],Plan_cuentas[],4,FALSE)," ")</f>
        <v>Rentas</v>
      </c>
      <c r="H1899" t="str">
        <f>IFERROR(+VLOOKUP(Movimientos_2026[[#This Row],[Codigo]],Plan_cuentas[],5,FALSE)," ")</f>
        <v>SANTIAGO DEL ESTERO</v>
      </c>
      <c r="I1899" s="43">
        <v>46143</v>
      </c>
      <c r="J1899" t="s">
        <v>842</v>
      </c>
      <c r="K1899" t="str">
        <f>IFERROR(+VLOOKUP(Movimientos_2026[[#This Row],[Codigo]],Plan_cuentas[],6,FALSE)," ")</f>
        <v>2 - PR - Plan Rombo</v>
      </c>
      <c r="L1899" s="50"/>
      <c r="M1899" s="50">
        <v>21468619.32</v>
      </c>
      <c r="N1899" s="20">
        <f>+Movimientos_2026[[#This Row],[Ingresos]]-Movimientos_2026[[#This Row],[Egresos]]</f>
        <v>-21468619.32</v>
      </c>
      <c r="O1899" s="20">
        <f>+O1898+Movimientos_2026[[#This Row],[Neto]]</f>
        <v>4876355254.5968761</v>
      </c>
    </row>
    <row r="1900" spans="1:15" x14ac:dyDescent="0.25">
      <c r="A1900" s="13">
        <v>46184</v>
      </c>
      <c r="B1900" s="12">
        <f>MONTH(Movimientos_2026[[#This Row],[Fecha]])</f>
        <v>6</v>
      </c>
      <c r="C1900" s="12" t="str">
        <f>VLOOKUP((WEEKDAY(Movimientos_2026[[#This Row],[Fecha]],2)),'5. Setup'!$D$6:$E$12,2,FALSE)</f>
        <v>Jue</v>
      </c>
      <c r="D1900">
        <v>2044407</v>
      </c>
      <c r="E1900" t="str">
        <f>IFERROR(+VLOOKUP(Movimientos_2026[[#This Row],[Codigo]],Plan_cuentas[],2,FALSE)," ")</f>
        <v>EGRESOS</v>
      </c>
      <c r="F1900" t="str">
        <f>IFERROR(+VLOOKUP(Movimientos_2026[[#This Row],[Codigo]],Plan_cuentas[],3,FALSE)," ")</f>
        <v>Transferencia</v>
      </c>
      <c r="G1900" t="str">
        <f>IFERROR(+VLOOKUP(Movimientos_2026[[#This Row],[Codigo]],Plan_cuentas[],4,FALSE)," ")</f>
        <v>Rentas</v>
      </c>
      <c r="H1900" t="str">
        <f>IFERROR(+VLOOKUP(Movimientos_2026[[#This Row],[Codigo]],Plan_cuentas[],5,FALSE)," ")</f>
        <v>SANTIAGO DEL ESTERO</v>
      </c>
      <c r="I1900" s="43">
        <v>46143</v>
      </c>
      <c r="J1900" t="s">
        <v>842</v>
      </c>
      <c r="K1900" t="str">
        <f>IFERROR(+VLOOKUP(Movimientos_2026[[#This Row],[Codigo]],Plan_cuentas[],6,FALSE)," ")</f>
        <v>7 - PRtr - Plan Rombo Transf.</v>
      </c>
      <c r="L1900" s="50"/>
      <c r="M1900" s="50">
        <v>800</v>
      </c>
      <c r="N1900" s="20">
        <f>+Movimientos_2026[[#This Row],[Ingresos]]-Movimientos_2026[[#This Row],[Egresos]]</f>
        <v>-800</v>
      </c>
      <c r="O1900" s="20">
        <f>+O1899+Movimientos_2026[[#This Row],[Neto]]</f>
        <v>4876354454.5968761</v>
      </c>
    </row>
    <row r="1901" spans="1:15" x14ac:dyDescent="0.25">
      <c r="A1901" s="13">
        <v>46184</v>
      </c>
      <c r="B1901" s="12">
        <f>MONTH(Movimientos_2026[[#This Row],[Fecha]])</f>
        <v>6</v>
      </c>
      <c r="C1901" s="12" t="str">
        <f>VLOOKUP((WEEKDAY(Movimientos_2026[[#This Row],[Fecha]],2)),'5. Setup'!$D$6:$E$12,2,FALSE)</f>
        <v>Jue</v>
      </c>
      <c r="D1901">
        <v>2044465</v>
      </c>
      <c r="E1901" t="str">
        <f>IFERROR(+VLOOKUP(Movimientos_2026[[#This Row],[Codigo]],Plan_cuentas[],2,FALSE)," ")</f>
        <v>EGRESOS</v>
      </c>
      <c r="F1901" t="str">
        <f>IFERROR(+VLOOKUP(Movimientos_2026[[#This Row],[Codigo]],Plan_cuentas[],3,FALSE)," ")</f>
        <v>Transferencia</v>
      </c>
      <c r="G1901" t="str">
        <f>IFERROR(+VLOOKUP(Movimientos_2026[[#This Row],[Codigo]],Plan_cuentas[],4,FALSE)," ")</f>
        <v>Rentas</v>
      </c>
      <c r="H1901" t="str">
        <f>IFERROR(+VLOOKUP(Movimientos_2026[[#This Row],[Codigo]],Plan_cuentas[],5,FALSE)," ")</f>
        <v>MISIONES</v>
      </c>
      <c r="I1901" s="43">
        <v>46143</v>
      </c>
      <c r="J1901" t="s">
        <v>843</v>
      </c>
      <c r="K1901" t="str">
        <f>IFERROR(+VLOOKUP(Movimientos_2026[[#This Row],[Codigo]],Plan_cuentas[],6,FALSE)," ")</f>
        <v>5 - YAM - Yamaha</v>
      </c>
      <c r="L1901" s="50"/>
      <c r="M1901" s="50">
        <v>549360.24</v>
      </c>
      <c r="N1901" s="20">
        <f>+Movimientos_2026[[#This Row],[Ingresos]]-Movimientos_2026[[#This Row],[Egresos]]</f>
        <v>-549360.24</v>
      </c>
      <c r="O1901" s="20">
        <f>+O1900+Movimientos_2026[[#This Row],[Neto]]</f>
        <v>4875805094.3568764</v>
      </c>
    </row>
    <row r="1902" spans="1:15" x14ac:dyDescent="0.25">
      <c r="A1902" s="13">
        <v>46184</v>
      </c>
      <c r="B1902" s="12">
        <f>MONTH(Movimientos_2026[[#This Row],[Fecha]])</f>
        <v>6</v>
      </c>
      <c r="C1902" s="12" t="str">
        <f>VLOOKUP((WEEKDAY(Movimientos_2026[[#This Row],[Fecha]],2)),'5. Setup'!$D$6:$E$12,2,FALSE)</f>
        <v>Jue</v>
      </c>
      <c r="D1902">
        <v>2044463</v>
      </c>
      <c r="E1902" t="str">
        <f>IFERROR(+VLOOKUP(Movimientos_2026[[#This Row],[Codigo]],Plan_cuentas[],2,FALSE)," ")</f>
        <v>EGRESOS</v>
      </c>
      <c r="F1902" t="str">
        <f>IFERROR(+VLOOKUP(Movimientos_2026[[#This Row],[Codigo]],Plan_cuentas[],3,FALSE)," ")</f>
        <v>Transferencia</v>
      </c>
      <c r="G1902" t="str">
        <f>IFERROR(+VLOOKUP(Movimientos_2026[[#This Row],[Codigo]],Plan_cuentas[],4,FALSE)," ")</f>
        <v>Rentas</v>
      </c>
      <c r="H1902" t="str">
        <f>IFERROR(+VLOOKUP(Movimientos_2026[[#This Row],[Codigo]],Plan_cuentas[],5,FALSE)," ")</f>
        <v>MISIONES</v>
      </c>
      <c r="I1902" s="43">
        <v>46143</v>
      </c>
      <c r="J1902" t="s">
        <v>844</v>
      </c>
      <c r="K1902" t="str">
        <f>IFERROR(+VLOOKUP(Movimientos_2026[[#This Row],[Codigo]],Plan_cuentas[],6,FALSE)," ")</f>
        <v>3 - GM - Chevrolet</v>
      </c>
      <c r="L1902" s="50"/>
      <c r="M1902" s="50">
        <v>2515869.9900000002</v>
      </c>
      <c r="N1902" s="20">
        <f>+Movimientos_2026[[#This Row],[Ingresos]]-Movimientos_2026[[#This Row],[Egresos]]</f>
        <v>-2515869.9900000002</v>
      </c>
      <c r="O1902" s="20">
        <f>+O1901+Movimientos_2026[[#This Row],[Neto]]</f>
        <v>4873289224.3668766</v>
      </c>
    </row>
    <row r="1903" spans="1:15" x14ac:dyDescent="0.25">
      <c r="A1903" s="13">
        <v>46184</v>
      </c>
      <c r="B1903" s="12">
        <f>MONTH(Movimientos_2026[[#This Row],[Fecha]])</f>
        <v>6</v>
      </c>
      <c r="C1903" s="12" t="str">
        <f>VLOOKUP((WEEKDAY(Movimientos_2026[[#This Row],[Fecha]],2)),'5. Setup'!$D$6:$E$12,2,FALSE)</f>
        <v>Jue</v>
      </c>
      <c r="D1903">
        <v>2044122</v>
      </c>
      <c r="E1903" t="str">
        <f>IFERROR(+VLOOKUP(Movimientos_2026[[#This Row],[Codigo]],Plan_cuentas[],2,FALSE)," ")</f>
        <v>EGRESOS</v>
      </c>
      <c r="F1903" t="str">
        <f>IFERROR(+VLOOKUP(Movimientos_2026[[#This Row],[Codigo]],Plan_cuentas[],3,FALSE)," ")</f>
        <v>Transferencia</v>
      </c>
      <c r="G1903" t="str">
        <f>IFERROR(+VLOOKUP(Movimientos_2026[[#This Row],[Codigo]],Plan_cuentas[],4,FALSE)," ")</f>
        <v>Rentas</v>
      </c>
      <c r="H1903" t="str">
        <f>IFERROR(+VLOOKUP(Movimientos_2026[[#This Row],[Codigo]],Plan_cuentas[],5,FALSE)," ")</f>
        <v>BAPRO</v>
      </c>
      <c r="I1903" s="43">
        <v>46082</v>
      </c>
      <c r="J1903" t="s">
        <v>845</v>
      </c>
      <c r="K1903" t="str">
        <f>IFERROR(+VLOOKUP(Movimientos_2026[[#This Row],[Codigo]],Plan_cuentas[],6,FALSE)," ")</f>
        <v>2 - PR - Plan Rombo</v>
      </c>
      <c r="L1903" s="50"/>
      <c r="M1903" s="50">
        <v>16304345</v>
      </c>
      <c r="N1903" s="20">
        <f>+Movimientos_2026[[#This Row],[Ingresos]]-Movimientos_2026[[#This Row],[Egresos]]</f>
        <v>-16304345</v>
      </c>
      <c r="O1903" s="20">
        <f>+O1902+Movimientos_2026[[#This Row],[Neto]]</f>
        <v>4856984879.3668766</v>
      </c>
    </row>
    <row r="1904" spans="1:15" x14ac:dyDescent="0.25">
      <c r="A1904" s="13">
        <v>46184</v>
      </c>
      <c r="B1904" s="12">
        <f>MONTH(Movimientos_2026[[#This Row],[Fecha]])</f>
        <v>6</v>
      </c>
      <c r="C1904" s="12" t="str">
        <f>VLOOKUP((WEEKDAY(Movimientos_2026[[#This Row],[Fecha]],2)),'5. Setup'!$D$6:$E$12,2,FALSE)</f>
        <v>Jue</v>
      </c>
      <c r="D1904">
        <v>2044122</v>
      </c>
      <c r="E1904" t="str">
        <f>IFERROR(+VLOOKUP(Movimientos_2026[[#This Row],[Codigo]],Plan_cuentas[],2,FALSE)," ")</f>
        <v>EGRESOS</v>
      </c>
      <c r="F1904" t="str">
        <f>IFERROR(+VLOOKUP(Movimientos_2026[[#This Row],[Codigo]],Plan_cuentas[],3,FALSE)," ")</f>
        <v>Transferencia</v>
      </c>
      <c r="G1904" t="str">
        <f>IFERROR(+VLOOKUP(Movimientos_2026[[#This Row],[Codigo]],Plan_cuentas[],4,FALSE)," ")</f>
        <v>Rentas</v>
      </c>
      <c r="H1904" t="str">
        <f>IFERROR(+VLOOKUP(Movimientos_2026[[#This Row],[Codigo]],Plan_cuentas[],5,FALSE)," ")</f>
        <v>BAPRO</v>
      </c>
      <c r="I1904" s="43">
        <v>46082</v>
      </c>
      <c r="J1904" t="s">
        <v>846</v>
      </c>
      <c r="K1904" t="str">
        <f>IFERROR(+VLOOKUP(Movimientos_2026[[#This Row],[Codigo]],Plan_cuentas[],6,FALSE)," ")</f>
        <v>2 - PR - Plan Rombo</v>
      </c>
      <c r="L1904" s="50"/>
      <c r="M1904" s="50">
        <v>17480669.800000001</v>
      </c>
      <c r="N1904" s="20">
        <f>+Movimientos_2026[[#This Row],[Ingresos]]-Movimientos_2026[[#This Row],[Egresos]]</f>
        <v>-17480669.800000001</v>
      </c>
      <c r="O1904" s="20">
        <f>+O1903+Movimientos_2026[[#This Row],[Neto]]</f>
        <v>4839504209.5668764</v>
      </c>
    </row>
    <row r="1905" spans="1:15" x14ac:dyDescent="0.25">
      <c r="A1905" s="13">
        <v>46184</v>
      </c>
      <c r="B1905" s="12">
        <f>MONTH(Movimientos_2026[[#This Row],[Fecha]])</f>
        <v>6</v>
      </c>
      <c r="C1905" s="12" t="str">
        <f>VLOOKUP((WEEKDAY(Movimientos_2026[[#This Row],[Fecha]],2)),'5. Setup'!$D$6:$E$12,2,FALSE)</f>
        <v>Jue</v>
      </c>
      <c r="D1905">
        <v>2044122</v>
      </c>
      <c r="E1905" t="str">
        <f>IFERROR(+VLOOKUP(Movimientos_2026[[#This Row],[Codigo]],Plan_cuentas[],2,FALSE)," ")</f>
        <v>EGRESOS</v>
      </c>
      <c r="F1905" t="str">
        <f>IFERROR(+VLOOKUP(Movimientos_2026[[#This Row],[Codigo]],Plan_cuentas[],3,FALSE)," ")</f>
        <v>Transferencia</v>
      </c>
      <c r="G1905" t="str">
        <f>IFERROR(+VLOOKUP(Movimientos_2026[[#This Row],[Codigo]],Plan_cuentas[],4,FALSE)," ")</f>
        <v>Rentas</v>
      </c>
      <c r="H1905" t="str">
        <f>IFERROR(+VLOOKUP(Movimientos_2026[[#This Row],[Codigo]],Plan_cuentas[],5,FALSE)," ")</f>
        <v>BAPRO</v>
      </c>
      <c r="I1905" s="43">
        <v>46082</v>
      </c>
      <c r="J1905" t="s">
        <v>847</v>
      </c>
      <c r="K1905" t="str">
        <f>IFERROR(+VLOOKUP(Movimientos_2026[[#This Row],[Codigo]],Plan_cuentas[],6,FALSE)," ")</f>
        <v>2 - PR - Plan Rombo</v>
      </c>
      <c r="L1905" s="50"/>
      <c r="M1905" s="50">
        <v>17546144.600000001</v>
      </c>
      <c r="N1905" s="20">
        <f>+Movimientos_2026[[#This Row],[Ingresos]]-Movimientos_2026[[#This Row],[Egresos]]</f>
        <v>-17546144.600000001</v>
      </c>
      <c r="O1905" s="20">
        <f>+O1904+Movimientos_2026[[#This Row],[Neto]]</f>
        <v>4821958064.966876</v>
      </c>
    </row>
    <row r="1906" spans="1:15" x14ac:dyDescent="0.25">
      <c r="A1906" s="13">
        <v>46184</v>
      </c>
      <c r="B1906" s="12">
        <f>MONTH(Movimientos_2026[[#This Row],[Fecha]])</f>
        <v>6</v>
      </c>
      <c r="C1906" s="12" t="str">
        <f>VLOOKUP((WEEKDAY(Movimientos_2026[[#This Row],[Fecha]],2)),'5. Setup'!$D$6:$E$12,2,FALSE)</f>
        <v>Jue</v>
      </c>
      <c r="D1906">
        <v>1044485</v>
      </c>
      <c r="E1906" t="str">
        <f>IFERROR(+VLOOKUP(Movimientos_2026[[#This Row],[Codigo]],Plan_cuentas[],2,FALSE)," ")</f>
        <v>INGRESOS</v>
      </c>
      <c r="F1906" t="str">
        <f>IFERROR(+VLOOKUP(Movimientos_2026[[#This Row],[Codigo]],Plan_cuentas[],3,FALSE)," ")</f>
        <v>Transferencia</v>
      </c>
      <c r="G1906" t="str">
        <f>IFERROR(+VLOOKUP(Movimientos_2026[[#This Row],[Codigo]],Plan_cuentas[],4,FALSE)," ")</f>
        <v>Factura</v>
      </c>
      <c r="H1906" t="str">
        <f>IFERROR(+VLOOKUP(Movimientos_2026[[#This Row],[Codigo]],Plan_cuentas[],5,FALSE)," ")</f>
        <v>FC TRAMITACION</v>
      </c>
      <c r="I1906" s="43">
        <v>46082</v>
      </c>
      <c r="J1906" t="s">
        <v>848</v>
      </c>
      <c r="K1906" t="str">
        <f>IFERROR(+VLOOKUP(Movimientos_2026[[#This Row],[Codigo]],Plan_cuentas[],6,FALSE)," ")</f>
        <v>5 - YAM - Yamaha</v>
      </c>
      <c r="L1906" s="50">
        <v>5531712</v>
      </c>
      <c r="M1906" s="50"/>
      <c r="N1906" s="20">
        <f>+Movimientos_2026[[#This Row],[Ingresos]]-Movimientos_2026[[#This Row],[Egresos]]</f>
        <v>5531712</v>
      </c>
      <c r="O1906" s="20">
        <f>+O1905+Movimientos_2026[[#This Row],[Neto]]</f>
        <v>4827489776.966876</v>
      </c>
    </row>
    <row r="1907" spans="1:15" x14ac:dyDescent="0.25">
      <c r="A1907" s="13">
        <v>46184</v>
      </c>
      <c r="B1907" s="12">
        <f>MONTH(Movimientos_2026[[#This Row],[Fecha]])</f>
        <v>6</v>
      </c>
      <c r="C1907" s="12" t="str">
        <f>VLOOKUP((WEEKDAY(Movimientos_2026[[#This Row],[Fecha]],2)),'5. Setup'!$D$6:$E$12,2,FALSE)</f>
        <v>Jue</v>
      </c>
      <c r="D1907">
        <v>1044485</v>
      </c>
      <c r="E1907" t="str">
        <f>IFERROR(+VLOOKUP(Movimientos_2026[[#This Row],[Codigo]],Plan_cuentas[],2,FALSE)," ")</f>
        <v>INGRESOS</v>
      </c>
      <c r="F1907" t="str">
        <f>IFERROR(+VLOOKUP(Movimientos_2026[[#This Row],[Codigo]],Plan_cuentas[],3,FALSE)," ")</f>
        <v>Transferencia</v>
      </c>
      <c r="G1907" t="str">
        <f>IFERROR(+VLOOKUP(Movimientos_2026[[#This Row],[Codigo]],Plan_cuentas[],4,FALSE)," ")</f>
        <v>Factura</v>
      </c>
      <c r="H1907" t="str">
        <f>IFERROR(+VLOOKUP(Movimientos_2026[[#This Row],[Codigo]],Plan_cuentas[],5,FALSE)," ")</f>
        <v>FC TRAMITACION</v>
      </c>
      <c r="I1907" s="43">
        <v>46113</v>
      </c>
      <c r="J1907" t="s">
        <v>849</v>
      </c>
      <c r="K1907" t="str">
        <f>IFERROR(+VLOOKUP(Movimientos_2026[[#This Row],[Codigo]],Plan_cuentas[],6,FALSE)," ")</f>
        <v>5 - YAM - Yamaha</v>
      </c>
      <c r="L1907" s="50">
        <v>4825536</v>
      </c>
      <c r="M1907" s="50"/>
      <c r="N1907" s="20">
        <f>+Movimientos_2026[[#This Row],[Ingresos]]-Movimientos_2026[[#This Row],[Egresos]]</f>
        <v>4825536</v>
      </c>
      <c r="O1907" s="20">
        <f>+O1906+Movimientos_2026[[#This Row],[Neto]]</f>
        <v>4832315312.966876</v>
      </c>
    </row>
    <row r="1908" spans="1:15" x14ac:dyDescent="0.25">
      <c r="A1908" s="13">
        <v>46185</v>
      </c>
      <c r="B1908" s="12">
        <f>MONTH(Movimientos_2026[[#This Row],[Fecha]])</f>
        <v>6</v>
      </c>
      <c r="C1908" s="12" t="str">
        <f>VLOOKUP((WEEKDAY(Movimientos_2026[[#This Row],[Fecha]],2)),'5. Setup'!$D$6:$E$12,2,FALSE)</f>
        <v>Vie</v>
      </c>
      <c r="D1908">
        <v>2014362</v>
      </c>
      <c r="E1908" t="str">
        <f>IFERROR(+VLOOKUP(Movimientos_2026[[#This Row],[Codigo]],Plan_cuentas[],2,FALSE)," ")</f>
        <v>EGRESOS</v>
      </c>
      <c r="F1908" t="str">
        <f>IFERROR(+VLOOKUP(Movimientos_2026[[#This Row],[Codigo]],Plan_cuentas[],3,FALSE)," ")</f>
        <v>BtoB</v>
      </c>
      <c r="G1908" t="str">
        <f>IFERROR(+VLOOKUP(Movimientos_2026[[#This Row],[Codigo]],Plan_cuentas[],4,FALSE)," ")</f>
        <v>Rentas</v>
      </c>
      <c r="H1908" t="str">
        <f>IFERROR(+VLOOKUP(Movimientos_2026[[#This Row],[Codigo]],Plan_cuentas[],5,FALSE)," ")</f>
        <v>SAN LUIS</v>
      </c>
      <c r="I1908" s="43">
        <v>46143</v>
      </c>
      <c r="J1908" t="s">
        <v>850</v>
      </c>
      <c r="K1908" t="str">
        <f>IFERROR(+VLOOKUP(Movimientos_2026[[#This Row],[Codigo]],Plan_cuentas[],6,FALSE)," ")</f>
        <v>2 - PR - Plan Rombo</v>
      </c>
      <c r="L1908" s="50"/>
      <c r="M1908" s="50">
        <v>6948873.7699999996</v>
      </c>
      <c r="N1908" s="20">
        <f>+Movimientos_2026[[#This Row],[Ingresos]]-Movimientos_2026[[#This Row],[Egresos]]</f>
        <v>-6948873.7699999996</v>
      </c>
      <c r="O1908" s="20">
        <f>+O1907+Movimientos_2026[[#This Row],[Neto]]</f>
        <v>4825366439.1968756</v>
      </c>
    </row>
    <row r="1909" spans="1:15" x14ac:dyDescent="0.25">
      <c r="A1909" s="13">
        <v>46185</v>
      </c>
      <c r="B1909" s="12">
        <f>MONTH(Movimientos_2026[[#This Row],[Fecha]])</f>
        <v>6</v>
      </c>
      <c r="C1909" s="12" t="str">
        <f>VLOOKUP((WEEKDAY(Movimientos_2026[[#This Row],[Fecha]],2)),'5. Setup'!$D$6:$E$12,2,FALSE)</f>
        <v>Vie</v>
      </c>
      <c r="D1909">
        <v>2014363</v>
      </c>
      <c r="E1909" t="str">
        <f>IFERROR(+VLOOKUP(Movimientos_2026[[#This Row],[Codigo]],Plan_cuentas[],2,FALSE)," ")</f>
        <v>EGRESOS</v>
      </c>
      <c r="F1909" t="str">
        <f>IFERROR(+VLOOKUP(Movimientos_2026[[#This Row],[Codigo]],Plan_cuentas[],3,FALSE)," ")</f>
        <v>BtoB</v>
      </c>
      <c r="G1909" t="str">
        <f>IFERROR(+VLOOKUP(Movimientos_2026[[#This Row],[Codigo]],Plan_cuentas[],4,FALSE)," ")</f>
        <v>Rentas</v>
      </c>
      <c r="H1909" t="str">
        <f>IFERROR(+VLOOKUP(Movimientos_2026[[#This Row],[Codigo]],Plan_cuentas[],5,FALSE)," ")</f>
        <v>SAN LUIS</v>
      </c>
      <c r="I1909" s="43">
        <v>46143</v>
      </c>
      <c r="J1909" t="s">
        <v>851</v>
      </c>
      <c r="K1909" t="str">
        <f>IFERROR(+VLOOKUP(Movimientos_2026[[#This Row],[Codigo]],Plan_cuentas[],6,FALSE)," ")</f>
        <v>3 - GM - Chevrolet</v>
      </c>
      <c r="L1909" s="50"/>
      <c r="M1909" s="50">
        <v>13548372.5</v>
      </c>
      <c r="N1909" s="20">
        <f>+Movimientos_2026[[#This Row],[Ingresos]]-Movimientos_2026[[#This Row],[Egresos]]</f>
        <v>-13548372.5</v>
      </c>
      <c r="O1909" s="20">
        <f>+O1908+Movimientos_2026[[#This Row],[Neto]]</f>
        <v>4811818066.6968756</v>
      </c>
    </row>
    <row r="1910" spans="1:15" x14ac:dyDescent="0.25">
      <c r="A1910" s="13">
        <v>46185</v>
      </c>
      <c r="B1910" s="12">
        <f>MONTH(Movimientos_2026[[#This Row],[Fecha]])</f>
        <v>6</v>
      </c>
      <c r="C1910" s="12" t="str">
        <f>VLOOKUP((WEEKDAY(Movimientos_2026[[#This Row],[Fecha]],2)),'5. Setup'!$D$6:$E$12,2,FALSE)</f>
        <v>Vie</v>
      </c>
      <c r="D1910">
        <v>2014173</v>
      </c>
      <c r="E1910" t="str">
        <f>IFERROR(+VLOOKUP(Movimientos_2026[[#This Row],[Codigo]],Plan_cuentas[],2,FALSE)," ")</f>
        <v>EGRESOS</v>
      </c>
      <c r="F1910" t="str">
        <f>IFERROR(+VLOOKUP(Movimientos_2026[[#This Row],[Codigo]],Plan_cuentas[],3,FALSE)," ")</f>
        <v>BtoB</v>
      </c>
      <c r="G1910" t="str">
        <f>IFERROR(+VLOOKUP(Movimientos_2026[[#This Row],[Codigo]],Plan_cuentas[],4,FALSE)," ")</f>
        <v>Rentas</v>
      </c>
      <c r="H1910" t="str">
        <f>IFERROR(+VLOOKUP(Movimientos_2026[[#This Row],[Codigo]],Plan_cuentas[],5,FALSE)," ")</f>
        <v>CHUBUT</v>
      </c>
      <c r="I1910" s="43">
        <v>46143</v>
      </c>
      <c r="J1910" t="s">
        <v>852</v>
      </c>
      <c r="K1910" t="str">
        <f>IFERROR(+VLOOKUP(Movimientos_2026[[#This Row],[Codigo]],Plan_cuentas[],6,FALSE)," ")</f>
        <v>3 - GM - Chevrolet</v>
      </c>
      <c r="L1910" s="50"/>
      <c r="M1910" s="50">
        <v>7222108.46</v>
      </c>
      <c r="N1910" s="20">
        <f>+Movimientos_2026[[#This Row],[Ingresos]]-Movimientos_2026[[#This Row],[Egresos]]</f>
        <v>-7222108.46</v>
      </c>
      <c r="O1910" s="20">
        <f>+O1909+Movimientos_2026[[#This Row],[Neto]]</f>
        <v>4804595958.2368755</v>
      </c>
    </row>
    <row r="1911" spans="1:15" x14ac:dyDescent="0.25">
      <c r="A1911" s="13">
        <v>46185</v>
      </c>
      <c r="B1911" s="12">
        <f>MONTH(Movimientos_2026[[#This Row],[Fecha]])</f>
        <v>6</v>
      </c>
      <c r="C1911" s="12" t="str">
        <f>VLOOKUP((WEEKDAY(Movimientos_2026[[#This Row],[Fecha]],2)),'5. Setup'!$D$6:$E$12,2,FALSE)</f>
        <v>Vie</v>
      </c>
      <c r="D1911">
        <v>2014163</v>
      </c>
      <c r="E1911" t="str">
        <f>IFERROR(+VLOOKUP(Movimientos_2026[[#This Row],[Codigo]],Plan_cuentas[],2,FALSE)," ")</f>
        <v>EGRESOS</v>
      </c>
      <c r="F1911" t="str">
        <f>IFERROR(+VLOOKUP(Movimientos_2026[[#This Row],[Codigo]],Plan_cuentas[],3,FALSE)," ")</f>
        <v>BtoB</v>
      </c>
      <c r="G1911" t="str">
        <f>IFERROR(+VLOOKUP(Movimientos_2026[[#This Row],[Codigo]],Plan_cuentas[],4,FALSE)," ")</f>
        <v>Rentas</v>
      </c>
      <c r="H1911" t="str">
        <f>IFERROR(+VLOOKUP(Movimientos_2026[[#This Row],[Codigo]],Plan_cuentas[],5,FALSE)," ")</f>
        <v>CHACO</v>
      </c>
      <c r="I1911" s="43">
        <v>46143</v>
      </c>
      <c r="J1911" t="s">
        <v>853</v>
      </c>
      <c r="K1911" t="str">
        <f>IFERROR(+VLOOKUP(Movimientos_2026[[#This Row],[Codigo]],Plan_cuentas[],6,FALSE)," ")</f>
        <v>3 - GM - Chevrolet</v>
      </c>
      <c r="L1911" s="50"/>
      <c r="M1911" s="50">
        <v>37426307.579999998</v>
      </c>
      <c r="N1911" s="20">
        <f>+Movimientos_2026[[#This Row],[Ingresos]]-Movimientos_2026[[#This Row],[Egresos]]</f>
        <v>-37426307.579999998</v>
      </c>
      <c r="O1911" s="20">
        <f>+O1910+Movimientos_2026[[#This Row],[Neto]]</f>
        <v>4767169650.6568756</v>
      </c>
    </row>
    <row r="1912" spans="1:15" x14ac:dyDescent="0.25">
      <c r="A1912" s="13">
        <v>46185</v>
      </c>
      <c r="B1912" s="12">
        <f>MONTH(Movimientos_2026[[#This Row],[Fecha]])</f>
        <v>6</v>
      </c>
      <c r="C1912" s="12" t="str">
        <f>VLOOKUP((WEEKDAY(Movimientos_2026[[#This Row],[Fecha]],2)),'5. Setup'!$D$6:$E$12,2,FALSE)</f>
        <v>Vie</v>
      </c>
      <c r="D1912">
        <v>2044403</v>
      </c>
      <c r="E1912" t="str">
        <f>IFERROR(+VLOOKUP(Movimientos_2026[[#This Row],[Codigo]],Plan_cuentas[],2,FALSE)," ")</f>
        <v>EGRESOS</v>
      </c>
      <c r="F1912" t="str">
        <f>IFERROR(+VLOOKUP(Movimientos_2026[[#This Row],[Codigo]],Plan_cuentas[],3,FALSE)," ")</f>
        <v>Transferencia</v>
      </c>
      <c r="G1912" t="str">
        <f>IFERROR(+VLOOKUP(Movimientos_2026[[#This Row],[Codigo]],Plan_cuentas[],4,FALSE)," ")</f>
        <v>Rentas</v>
      </c>
      <c r="H1912" t="str">
        <f>IFERROR(+VLOOKUP(Movimientos_2026[[#This Row],[Codigo]],Plan_cuentas[],5,FALSE)," ")</f>
        <v>SANTIAGO DEL ESTERO</v>
      </c>
      <c r="I1912" s="43">
        <v>46143</v>
      </c>
      <c r="J1912" t="s">
        <v>854</v>
      </c>
      <c r="K1912" t="str">
        <f>IFERROR(+VLOOKUP(Movimientos_2026[[#This Row],[Codigo]],Plan_cuentas[],6,FALSE)," ")</f>
        <v>3 - GM - Chevrolet</v>
      </c>
      <c r="L1912" s="50"/>
      <c r="M1912" s="50">
        <v>21401761.100000001</v>
      </c>
      <c r="N1912" s="20">
        <f>+Movimientos_2026[[#This Row],[Ingresos]]-Movimientos_2026[[#This Row],[Egresos]]</f>
        <v>-21401761.100000001</v>
      </c>
      <c r="O1912" s="20">
        <f>+O1911+Movimientos_2026[[#This Row],[Neto]]</f>
        <v>4745767889.5568752</v>
      </c>
    </row>
    <row r="1913" spans="1:15" x14ac:dyDescent="0.25">
      <c r="A1913" s="13">
        <v>46187</v>
      </c>
      <c r="B1913" s="12">
        <f>MONTH(Movimientos_2026[[#This Row],[Fecha]])</f>
        <v>6</v>
      </c>
      <c r="C1913" s="12" t="str">
        <f>VLOOKUP((WEEKDAY(Movimientos_2026[[#This Row],[Fecha]],2)),'5. Setup'!$D$6:$E$12,2,FALSE)</f>
        <v>Dom</v>
      </c>
      <c r="D1913">
        <v>2023172</v>
      </c>
      <c r="E1913" t="str">
        <f>IFERROR(+VLOOKUP(Movimientos_2026[[#This Row],[Codigo]],Plan_cuentas[],2,FALSE)," ")</f>
        <v>EGRESOS</v>
      </c>
      <c r="F1913" t="str">
        <f>IFERROR(+VLOOKUP(Movimientos_2026[[#This Row],[Codigo]],Plan_cuentas[],3,FALSE)," ")</f>
        <v>DDJJ</v>
      </c>
      <c r="G1913" t="str">
        <f>IFERROR(+VLOOKUP(Movimientos_2026[[#This Row],[Codigo]],Plan_cuentas[],4,FALSE)," ")</f>
        <v>Registración</v>
      </c>
      <c r="H1913" t="str">
        <f>IFERROR(+VLOOKUP(Movimientos_2026[[#This Row],[Codigo]],Plan_cuentas[],5,FALSE)," ")</f>
        <v>CHUBUT</v>
      </c>
      <c r="I1913" s="43">
        <v>46143</v>
      </c>
      <c r="J1913" t="s">
        <v>855</v>
      </c>
      <c r="K1913" t="str">
        <f>IFERROR(+VLOOKUP(Movimientos_2026[[#This Row],[Codigo]],Plan_cuentas[],6,FALSE)," ")</f>
        <v>2 - PR - Plan Rombo</v>
      </c>
      <c r="L1913" s="50"/>
      <c r="M1913" s="50">
        <v>23074938.370000001</v>
      </c>
      <c r="N1913" s="20">
        <f>+Movimientos_2026[[#This Row],[Ingresos]]-Movimientos_2026[[#This Row],[Egresos]]</f>
        <v>-23074938.370000001</v>
      </c>
      <c r="O1913" s="20">
        <f>+O1912+Movimientos_2026[[#This Row],[Neto]]</f>
        <v>4722692951.1868753</v>
      </c>
    </row>
    <row r="1914" spans="1:15" x14ac:dyDescent="0.25">
      <c r="A1914" s="13">
        <v>46187</v>
      </c>
      <c r="B1914" s="12">
        <f>MONTH(Movimientos_2026[[#This Row],[Fecha]])</f>
        <v>6</v>
      </c>
      <c r="C1914" s="12" t="str">
        <f>VLOOKUP((WEEKDAY(Movimientos_2026[[#This Row],[Fecha]],2)),'5. Setup'!$D$6:$E$12,2,FALSE)</f>
        <v>Dom</v>
      </c>
      <c r="D1914">
        <v>2023175</v>
      </c>
      <c r="E1914" t="str">
        <f>IFERROR(+VLOOKUP(Movimientos_2026[[#This Row],[Codigo]],Plan_cuentas[],2,FALSE)," ")</f>
        <v>EGRESOS</v>
      </c>
      <c r="F1914" t="str">
        <f>IFERROR(+VLOOKUP(Movimientos_2026[[#This Row],[Codigo]],Plan_cuentas[],3,FALSE)," ")</f>
        <v>DDJJ</v>
      </c>
      <c r="G1914" t="str">
        <f>IFERROR(+VLOOKUP(Movimientos_2026[[#This Row],[Codigo]],Plan_cuentas[],4,FALSE)," ")</f>
        <v>Registración</v>
      </c>
      <c r="H1914" t="str">
        <f>IFERROR(+VLOOKUP(Movimientos_2026[[#This Row],[Codigo]],Plan_cuentas[],5,FALSE)," ")</f>
        <v>CHUBUT</v>
      </c>
      <c r="I1914" s="43">
        <v>46143</v>
      </c>
      <c r="J1914" t="s">
        <v>855</v>
      </c>
      <c r="K1914" t="str">
        <f>IFERROR(+VLOOKUP(Movimientos_2026[[#This Row],[Codigo]],Plan_cuentas[],6,FALSE)," ")</f>
        <v>5 - YAM - Yamaha</v>
      </c>
      <c r="L1914" s="50"/>
      <c r="M1914" s="50">
        <v>201486.45</v>
      </c>
      <c r="N1914" s="20">
        <f>+Movimientos_2026[[#This Row],[Ingresos]]-Movimientos_2026[[#This Row],[Egresos]]</f>
        <v>-201486.45</v>
      </c>
      <c r="O1914" s="20">
        <f>+O1913+Movimientos_2026[[#This Row],[Neto]]</f>
        <v>4722491464.7368755</v>
      </c>
    </row>
    <row r="1915" spans="1:15" x14ac:dyDescent="0.25">
      <c r="A1915" s="13">
        <v>46187</v>
      </c>
      <c r="B1915" s="12">
        <f>MONTH(Movimientos_2026[[#This Row],[Fecha]])</f>
        <v>6</v>
      </c>
      <c r="C1915" s="12" t="str">
        <f>VLOOKUP((WEEKDAY(Movimientos_2026[[#This Row],[Fecha]],2)),'5. Setup'!$D$6:$E$12,2,FALSE)</f>
        <v>Dom</v>
      </c>
      <c r="D1915">
        <v>2023176</v>
      </c>
      <c r="E1915" t="str">
        <f>IFERROR(+VLOOKUP(Movimientos_2026[[#This Row],[Codigo]],Plan_cuentas[],2,FALSE)," ")</f>
        <v>EGRESOS</v>
      </c>
      <c r="F1915" t="str">
        <f>IFERROR(+VLOOKUP(Movimientos_2026[[#This Row],[Codigo]],Plan_cuentas[],3,FALSE)," ")</f>
        <v>DDJJ</v>
      </c>
      <c r="G1915" t="str">
        <f>IFERROR(+VLOOKUP(Movimientos_2026[[#This Row],[Codigo]],Plan_cuentas[],4,FALSE)," ")</f>
        <v>Registración</v>
      </c>
      <c r="H1915" t="str">
        <f>IFERROR(+VLOOKUP(Movimientos_2026[[#This Row],[Codigo]],Plan_cuentas[],5,FALSE)," ")</f>
        <v>CHUBUT</v>
      </c>
      <c r="I1915" s="43">
        <v>46143</v>
      </c>
      <c r="J1915" t="s">
        <v>855</v>
      </c>
      <c r="K1915" t="str">
        <f>IFERROR(+VLOOKUP(Movimientos_2026[[#This Row],[Codigo]],Plan_cuentas[],6,FALSE)," ")</f>
        <v>6 - FCAtr - Fiat Transf.</v>
      </c>
      <c r="L1915" s="50"/>
      <c r="M1915" s="50">
        <v>1766607.71</v>
      </c>
      <c r="N1915" s="20">
        <f>+Movimientos_2026[[#This Row],[Ingresos]]-Movimientos_2026[[#This Row],[Egresos]]</f>
        <v>-1766607.71</v>
      </c>
      <c r="O1915" s="20">
        <f>+O1914+Movimientos_2026[[#This Row],[Neto]]</f>
        <v>4720724857.0268755</v>
      </c>
    </row>
    <row r="1916" spans="1:15" x14ac:dyDescent="0.25">
      <c r="A1916" s="13">
        <v>46187</v>
      </c>
      <c r="B1916" s="12">
        <f>MONTH(Movimientos_2026[[#This Row],[Fecha]])</f>
        <v>6</v>
      </c>
      <c r="C1916" s="12" t="str">
        <f>VLOOKUP((WEEKDAY(Movimientos_2026[[#This Row],[Fecha]],2)),'5. Setup'!$D$6:$E$12,2,FALSE)</f>
        <v>Dom</v>
      </c>
      <c r="D1916">
        <v>2023177</v>
      </c>
      <c r="E1916" t="str">
        <f>IFERROR(+VLOOKUP(Movimientos_2026[[#This Row],[Codigo]],Plan_cuentas[],2,FALSE)," ")</f>
        <v>EGRESOS</v>
      </c>
      <c r="F1916" t="str">
        <f>IFERROR(+VLOOKUP(Movimientos_2026[[#This Row],[Codigo]],Plan_cuentas[],3,FALSE)," ")</f>
        <v>DDJJ</v>
      </c>
      <c r="G1916" t="str">
        <f>IFERROR(+VLOOKUP(Movimientos_2026[[#This Row],[Codigo]],Plan_cuentas[],4,FALSE)," ")</f>
        <v>Registración</v>
      </c>
      <c r="H1916" t="str">
        <f>IFERROR(+VLOOKUP(Movimientos_2026[[#This Row],[Codigo]],Plan_cuentas[],5,FALSE)," ")</f>
        <v>CHUBUT</v>
      </c>
      <c r="I1916" s="43">
        <v>46143</v>
      </c>
      <c r="J1916" t="s">
        <v>855</v>
      </c>
      <c r="K1916" t="str">
        <f>IFERROR(+VLOOKUP(Movimientos_2026[[#This Row],[Codigo]],Plan_cuentas[],6,FALSE)," ")</f>
        <v>7 - PRtr - Plan Rombo Transf.</v>
      </c>
      <c r="L1916" s="50"/>
      <c r="M1916" s="50">
        <v>237836.66</v>
      </c>
      <c r="N1916" s="20">
        <f>+Movimientos_2026[[#This Row],[Ingresos]]-Movimientos_2026[[#This Row],[Egresos]]</f>
        <v>-237836.66</v>
      </c>
      <c r="O1916" s="20">
        <f>+O1915+Movimientos_2026[[#This Row],[Neto]]</f>
        <v>4720487020.3668756</v>
      </c>
    </row>
    <row r="1917" spans="1:15" x14ac:dyDescent="0.25">
      <c r="A1917" s="13">
        <v>46187</v>
      </c>
      <c r="B1917" s="12">
        <f>MONTH(Movimientos_2026[[#This Row],[Fecha]])</f>
        <v>6</v>
      </c>
      <c r="C1917" s="12" t="str">
        <f>VLOOKUP((WEEKDAY(Movimientos_2026[[#This Row],[Fecha]],2)),'5. Setup'!$D$6:$E$12,2,FALSE)</f>
        <v>Dom</v>
      </c>
      <c r="D1917">
        <v>2023341</v>
      </c>
      <c r="E1917" t="str">
        <f>IFERROR(+VLOOKUP(Movimientos_2026[[#This Row],[Codigo]],Plan_cuentas[],2,FALSE)," ")</f>
        <v>EGRESOS</v>
      </c>
      <c r="F1917" t="str">
        <f>IFERROR(+VLOOKUP(Movimientos_2026[[#This Row],[Codigo]],Plan_cuentas[],3,FALSE)," ")</f>
        <v>DDJJ</v>
      </c>
      <c r="G1917" t="str">
        <f>IFERROR(+VLOOKUP(Movimientos_2026[[#This Row],[Codigo]],Plan_cuentas[],4,FALSE)," ")</f>
        <v>Registración</v>
      </c>
      <c r="H1917" t="str">
        <f>IFERROR(+VLOOKUP(Movimientos_2026[[#This Row],[Codigo]],Plan_cuentas[],5,FALSE)," ")</f>
        <v>RIO NEGRO</v>
      </c>
      <c r="I1917" s="43">
        <v>46143</v>
      </c>
      <c r="J1917" t="s">
        <v>856</v>
      </c>
      <c r="K1917" t="str">
        <f>IFERROR(+VLOOKUP(Movimientos_2026[[#This Row],[Codigo]],Plan_cuentas[],6,FALSE)," ")</f>
        <v>1 - VW - Volkswagen</v>
      </c>
      <c r="L1917" s="50"/>
      <c r="M1917" s="50">
        <v>51822003.049999997</v>
      </c>
      <c r="N1917" s="20">
        <f>+Movimientos_2026[[#This Row],[Ingresos]]-Movimientos_2026[[#This Row],[Egresos]]</f>
        <v>-51822003.049999997</v>
      </c>
      <c r="O1917" s="20">
        <f>+O1916+Movimientos_2026[[#This Row],[Neto]]</f>
        <v>4668665017.3168755</v>
      </c>
    </row>
    <row r="1918" spans="1:15" x14ac:dyDescent="0.25">
      <c r="A1918" s="13">
        <v>46187</v>
      </c>
      <c r="B1918" s="12">
        <f>MONTH(Movimientos_2026[[#This Row],[Fecha]])</f>
        <v>6</v>
      </c>
      <c r="C1918" s="12" t="str">
        <f>VLOOKUP((WEEKDAY(Movimientos_2026[[#This Row],[Fecha]],2)),'5. Setup'!$D$6:$E$12,2,FALSE)</f>
        <v>Dom</v>
      </c>
      <c r="D1918">
        <v>2023345</v>
      </c>
      <c r="E1918" t="str">
        <f>IFERROR(+VLOOKUP(Movimientos_2026[[#This Row],[Codigo]],Plan_cuentas[],2,FALSE)," ")</f>
        <v>EGRESOS</v>
      </c>
      <c r="F1918" t="str">
        <f>IFERROR(+VLOOKUP(Movimientos_2026[[#This Row],[Codigo]],Plan_cuentas[],3,FALSE)," ")</f>
        <v>DDJJ</v>
      </c>
      <c r="G1918" t="str">
        <f>IFERROR(+VLOOKUP(Movimientos_2026[[#This Row],[Codigo]],Plan_cuentas[],4,FALSE)," ")</f>
        <v>Registración</v>
      </c>
      <c r="H1918" t="str">
        <f>IFERROR(+VLOOKUP(Movimientos_2026[[#This Row],[Codigo]],Plan_cuentas[],5,FALSE)," ")</f>
        <v>RIO NEGRO</v>
      </c>
      <c r="I1918" s="43">
        <v>46143</v>
      </c>
      <c r="J1918" t="s">
        <v>856</v>
      </c>
      <c r="K1918" t="str">
        <f>IFERROR(+VLOOKUP(Movimientos_2026[[#This Row],[Codigo]],Plan_cuentas[],6,FALSE)," ")</f>
        <v>5 - YAM - Yamaha</v>
      </c>
      <c r="L1918" s="50"/>
      <c r="M1918" s="50">
        <v>135431.34</v>
      </c>
      <c r="N1918" s="20">
        <f>+Movimientos_2026[[#This Row],[Ingresos]]-Movimientos_2026[[#This Row],[Egresos]]</f>
        <v>-135431.34</v>
      </c>
      <c r="O1918" s="20">
        <f>+O1917+Movimientos_2026[[#This Row],[Neto]]</f>
        <v>4668529585.9768753</v>
      </c>
    </row>
    <row r="1919" spans="1:15" x14ac:dyDescent="0.25">
      <c r="A1919" s="13">
        <v>46189</v>
      </c>
      <c r="B1919" s="12">
        <f>MONTH(Movimientos_2026[[#This Row],[Fecha]])</f>
        <v>6</v>
      </c>
      <c r="C1919" s="12" t="str">
        <f>VLOOKUP((WEEKDAY(Movimientos_2026[[#This Row],[Fecha]],2)),'5. Setup'!$D$6:$E$12,2,FALSE)</f>
        <v>Mar</v>
      </c>
      <c r="D1919">
        <v>2014361</v>
      </c>
      <c r="E1919" t="str">
        <f>IFERROR(+VLOOKUP(Movimientos_2026[[#This Row],[Codigo]],Plan_cuentas[],2,FALSE)," ")</f>
        <v>EGRESOS</v>
      </c>
      <c r="F1919" t="str">
        <f>IFERROR(+VLOOKUP(Movimientos_2026[[#This Row],[Codigo]],Plan_cuentas[],3,FALSE)," ")</f>
        <v>BtoB</v>
      </c>
      <c r="G1919" t="str">
        <f>IFERROR(+VLOOKUP(Movimientos_2026[[#This Row],[Codigo]],Plan_cuentas[],4,FALSE)," ")</f>
        <v>Rentas</v>
      </c>
      <c r="H1919" t="str">
        <f>IFERROR(+VLOOKUP(Movimientos_2026[[#This Row],[Codigo]],Plan_cuentas[],5,FALSE)," ")</f>
        <v>SAN LUIS</v>
      </c>
      <c r="I1919" s="43">
        <v>46143</v>
      </c>
      <c r="J1919" t="s">
        <v>857</v>
      </c>
      <c r="K1919" t="str">
        <f>IFERROR(+VLOOKUP(Movimientos_2026[[#This Row],[Codigo]],Plan_cuentas[],6,FALSE)," ")</f>
        <v>1 - VW - Volkswagen</v>
      </c>
      <c r="L1919" s="50"/>
      <c r="M1919" s="50">
        <v>120599740.2</v>
      </c>
      <c r="N1919" s="20">
        <f>+Movimientos_2026[[#This Row],[Ingresos]]-Movimientos_2026[[#This Row],[Egresos]]</f>
        <v>-120599740.2</v>
      </c>
      <c r="O1919" s="20">
        <f>+O1918+Movimientos_2026[[#This Row],[Neto]]</f>
        <v>4547929845.7768755</v>
      </c>
    </row>
    <row r="1920" spans="1:15" x14ac:dyDescent="0.25">
      <c r="A1920" s="13">
        <v>46189</v>
      </c>
      <c r="B1920" s="12">
        <f>MONTH(Movimientos_2026[[#This Row],[Fecha]])</f>
        <v>6</v>
      </c>
      <c r="C1920" s="12" t="str">
        <f>VLOOKUP((WEEKDAY(Movimientos_2026[[#This Row],[Fecha]],2)),'5. Setup'!$D$6:$E$12,2,FALSE)</f>
        <v>Mar</v>
      </c>
      <c r="D1920">
        <v>2014364</v>
      </c>
      <c r="E1920" t="str">
        <f>IFERROR(+VLOOKUP(Movimientos_2026[[#This Row],[Codigo]],Plan_cuentas[],2,FALSE)," ")</f>
        <v>EGRESOS</v>
      </c>
      <c r="F1920" t="str">
        <f>IFERROR(+VLOOKUP(Movimientos_2026[[#This Row],[Codigo]],Plan_cuentas[],3,FALSE)," ")</f>
        <v>BtoB</v>
      </c>
      <c r="G1920" t="str">
        <f>IFERROR(+VLOOKUP(Movimientos_2026[[#This Row],[Codigo]],Plan_cuentas[],4,FALSE)," ")</f>
        <v>Rentas</v>
      </c>
      <c r="H1920" t="str">
        <f>IFERROR(+VLOOKUP(Movimientos_2026[[#This Row],[Codigo]],Plan_cuentas[],5,FALSE)," ")</f>
        <v>SAN LUIS</v>
      </c>
      <c r="I1920" s="43">
        <v>46143</v>
      </c>
      <c r="J1920" t="s">
        <v>858</v>
      </c>
      <c r="K1920" t="str">
        <f>IFERROR(+VLOOKUP(Movimientos_2026[[#This Row],[Codigo]],Plan_cuentas[],6,FALSE)," ")</f>
        <v>4 - FCA - Fiat</v>
      </c>
      <c r="L1920" s="50"/>
      <c r="M1920" s="50">
        <v>43421780.310000002</v>
      </c>
      <c r="N1920" s="20">
        <f>+Movimientos_2026[[#This Row],[Ingresos]]-Movimientos_2026[[#This Row],[Egresos]]</f>
        <v>-43421780.310000002</v>
      </c>
      <c r="O1920" s="20">
        <f>+O1919+Movimientos_2026[[#This Row],[Neto]]</f>
        <v>4504508065.4668751</v>
      </c>
    </row>
    <row r="1921" spans="1:15" x14ac:dyDescent="0.25">
      <c r="A1921" s="13">
        <v>46189</v>
      </c>
      <c r="B1921" s="12">
        <f>MONTH(Movimientos_2026[[#This Row],[Fecha]])</f>
        <v>6</v>
      </c>
      <c r="C1921" s="12" t="str">
        <f>VLOOKUP((WEEKDAY(Movimientos_2026[[#This Row],[Fecha]],2)),'5. Setup'!$D$6:$E$12,2,FALSE)</f>
        <v>Mar</v>
      </c>
      <c r="D1921">
        <v>2014171</v>
      </c>
      <c r="E1921" t="str">
        <f>IFERROR(+VLOOKUP(Movimientos_2026[[#This Row],[Codigo]],Plan_cuentas[],2,FALSE)," ")</f>
        <v>EGRESOS</v>
      </c>
      <c r="F1921" t="str">
        <f>IFERROR(+VLOOKUP(Movimientos_2026[[#This Row],[Codigo]],Plan_cuentas[],3,FALSE)," ")</f>
        <v>BtoB</v>
      </c>
      <c r="G1921" t="str">
        <f>IFERROR(+VLOOKUP(Movimientos_2026[[#This Row],[Codigo]],Plan_cuentas[],4,FALSE)," ")</f>
        <v>Rentas</v>
      </c>
      <c r="H1921" t="str">
        <f>IFERROR(+VLOOKUP(Movimientos_2026[[#This Row],[Codigo]],Plan_cuentas[],5,FALSE)," ")</f>
        <v>CHUBUT</v>
      </c>
      <c r="I1921" s="43">
        <v>46143</v>
      </c>
      <c r="J1921" t="s">
        <v>859</v>
      </c>
      <c r="K1921" t="str">
        <f>IFERROR(+VLOOKUP(Movimientos_2026[[#This Row],[Codigo]],Plan_cuentas[],6,FALSE)," ")</f>
        <v>1 - VW - Volkswagen</v>
      </c>
      <c r="L1921" s="50"/>
      <c r="M1921" s="50">
        <v>15959376.99</v>
      </c>
      <c r="N1921" s="20">
        <f>+Movimientos_2026[[#This Row],[Ingresos]]-Movimientos_2026[[#This Row],[Egresos]]</f>
        <v>-15959376.99</v>
      </c>
      <c r="O1921" s="20">
        <f>+O1920+Movimientos_2026[[#This Row],[Neto]]</f>
        <v>4488548688.4768753</v>
      </c>
    </row>
    <row r="1922" spans="1:15" x14ac:dyDescent="0.25">
      <c r="A1922" s="13">
        <v>46189</v>
      </c>
      <c r="B1922" s="12">
        <f>MONTH(Movimientos_2026[[#This Row],[Fecha]])</f>
        <v>6</v>
      </c>
      <c r="C1922" s="12" t="str">
        <f>VLOOKUP((WEEKDAY(Movimientos_2026[[#This Row],[Fecha]],2)),'5. Setup'!$D$6:$E$12,2,FALSE)</f>
        <v>Mar</v>
      </c>
      <c r="D1922">
        <v>2014161</v>
      </c>
      <c r="E1922" t="str">
        <f>IFERROR(+VLOOKUP(Movimientos_2026[[#This Row],[Codigo]],Plan_cuentas[],2,FALSE)," ")</f>
        <v>EGRESOS</v>
      </c>
      <c r="F1922" t="str">
        <f>IFERROR(+VLOOKUP(Movimientos_2026[[#This Row],[Codigo]],Plan_cuentas[],3,FALSE)," ")</f>
        <v>BtoB</v>
      </c>
      <c r="G1922" t="str">
        <f>IFERROR(+VLOOKUP(Movimientos_2026[[#This Row],[Codigo]],Plan_cuentas[],4,FALSE)," ")</f>
        <v>Rentas</v>
      </c>
      <c r="H1922" t="str">
        <f>IFERROR(+VLOOKUP(Movimientos_2026[[#This Row],[Codigo]],Plan_cuentas[],5,FALSE)," ")</f>
        <v>CHACO</v>
      </c>
      <c r="I1922" s="43">
        <v>46143</v>
      </c>
      <c r="J1922" t="s">
        <v>860</v>
      </c>
      <c r="K1922" t="str">
        <f>IFERROR(+VLOOKUP(Movimientos_2026[[#This Row],[Codigo]],Plan_cuentas[],6,FALSE)," ")</f>
        <v>1 - VW - Volkswagen</v>
      </c>
      <c r="L1922" s="50"/>
      <c r="M1922" s="50">
        <v>26643510.199999999</v>
      </c>
      <c r="N1922" s="20">
        <f>+Movimientos_2026[[#This Row],[Ingresos]]-Movimientos_2026[[#This Row],[Egresos]]</f>
        <v>-26643510.199999999</v>
      </c>
      <c r="O1922" s="20">
        <f>+O1921+Movimientos_2026[[#This Row],[Neto]]</f>
        <v>4461905178.2768755</v>
      </c>
    </row>
    <row r="1923" spans="1:15" x14ac:dyDescent="0.25">
      <c r="A1923" s="13">
        <v>46189</v>
      </c>
      <c r="B1923" s="12">
        <f>MONTH(Movimientos_2026[[#This Row],[Fecha]])</f>
        <v>6</v>
      </c>
      <c r="C1923" s="12" t="str">
        <f>VLOOKUP((WEEKDAY(Movimientos_2026[[#This Row],[Fecha]],2)),'5. Setup'!$D$6:$E$12,2,FALSE)</f>
        <v>Mar</v>
      </c>
      <c r="D1923">
        <v>2014263</v>
      </c>
      <c r="E1923" t="str">
        <f>IFERROR(+VLOOKUP(Movimientos_2026[[#This Row],[Codigo]],Plan_cuentas[],2,FALSE)," ")</f>
        <v>EGRESOS</v>
      </c>
      <c r="F1923" t="str">
        <f>IFERROR(+VLOOKUP(Movimientos_2026[[#This Row],[Codigo]],Plan_cuentas[],3,FALSE)," ")</f>
        <v>BtoB</v>
      </c>
      <c r="G1923" t="str">
        <f>IFERROR(+VLOOKUP(Movimientos_2026[[#This Row],[Codigo]],Plan_cuentas[],4,FALSE)," ")</f>
        <v>Rentas</v>
      </c>
      <c r="H1923" t="str">
        <f>IFERROR(+VLOOKUP(Movimientos_2026[[#This Row],[Codigo]],Plan_cuentas[],5,FALSE)," ")</f>
        <v>LA PAMPA</v>
      </c>
      <c r="I1923" s="43">
        <v>46143</v>
      </c>
      <c r="J1923" t="s">
        <v>861</v>
      </c>
      <c r="K1923" t="str">
        <f>IFERROR(+VLOOKUP(Movimientos_2026[[#This Row],[Codigo]],Plan_cuentas[],6,FALSE)," ")</f>
        <v>3 - GM - Chevrolet</v>
      </c>
      <c r="L1923" s="50"/>
      <c r="M1923" s="50">
        <v>3150308.58</v>
      </c>
      <c r="N1923" s="20">
        <f>+Movimientos_2026[[#This Row],[Ingresos]]-Movimientos_2026[[#This Row],[Egresos]]</f>
        <v>-3150308.58</v>
      </c>
      <c r="O1923" s="20">
        <f>+O1922+Movimientos_2026[[#This Row],[Neto]]</f>
        <v>4458754869.6968756</v>
      </c>
    </row>
    <row r="1924" spans="1:15" x14ac:dyDescent="0.25">
      <c r="A1924" s="13">
        <v>46189</v>
      </c>
      <c r="B1924" s="12">
        <f>MONTH(Movimientos_2026[[#This Row],[Fecha]])</f>
        <v>6</v>
      </c>
      <c r="C1924" s="12" t="str">
        <f>VLOOKUP((WEEKDAY(Movimientos_2026[[#This Row],[Fecha]],2)),'5. Setup'!$D$6:$E$12,2,FALSE)</f>
        <v>Mar</v>
      </c>
      <c r="D1924">
        <v>2014353</v>
      </c>
      <c r="E1924" t="str">
        <f>IFERROR(+VLOOKUP(Movimientos_2026[[#This Row],[Codigo]],Plan_cuentas[],2,FALSE)," ")</f>
        <v>EGRESOS</v>
      </c>
      <c r="F1924" t="str">
        <f>IFERROR(+VLOOKUP(Movimientos_2026[[#This Row],[Codigo]],Plan_cuentas[],3,FALSE)," ")</f>
        <v>BtoB</v>
      </c>
      <c r="G1924" t="str">
        <f>IFERROR(+VLOOKUP(Movimientos_2026[[#This Row],[Codigo]],Plan_cuentas[],4,FALSE)," ")</f>
        <v>Rentas</v>
      </c>
      <c r="H1924" t="str">
        <f>IFERROR(+VLOOKUP(Movimientos_2026[[#This Row],[Codigo]],Plan_cuentas[],5,FALSE)," ")</f>
        <v>SAN JUAN</v>
      </c>
      <c r="I1924" s="43">
        <v>46143</v>
      </c>
      <c r="J1924" t="s">
        <v>862</v>
      </c>
      <c r="K1924" t="str">
        <f>IFERROR(+VLOOKUP(Movimientos_2026[[#This Row],[Codigo]],Plan_cuentas[],6,FALSE)," ")</f>
        <v>3 - GM - Chevrolet</v>
      </c>
      <c r="L1924" s="50"/>
      <c r="M1924" s="50">
        <v>10045739.210000001</v>
      </c>
      <c r="N1924" s="20">
        <f>+Movimientos_2026[[#This Row],[Ingresos]]-Movimientos_2026[[#This Row],[Egresos]]</f>
        <v>-10045739.210000001</v>
      </c>
      <c r="O1924" s="20">
        <f>+O1923+Movimientos_2026[[#This Row],[Neto]]</f>
        <v>4448709130.4868755</v>
      </c>
    </row>
    <row r="1925" spans="1:15" x14ac:dyDescent="0.25">
      <c r="A1925" s="13">
        <v>46189</v>
      </c>
      <c r="B1925" s="12">
        <f>MONTH(Movimientos_2026[[#This Row],[Fecha]])</f>
        <v>6</v>
      </c>
      <c r="C1925" s="12" t="str">
        <f>VLOOKUP((WEEKDAY(Movimientos_2026[[#This Row],[Fecha]],2)),'5. Setup'!$D$6:$E$12,2,FALSE)</f>
        <v>Mar</v>
      </c>
      <c r="D1925">
        <v>2044401</v>
      </c>
      <c r="E1925" t="str">
        <f>IFERROR(+VLOOKUP(Movimientos_2026[[#This Row],[Codigo]],Plan_cuentas[],2,FALSE)," ")</f>
        <v>EGRESOS</v>
      </c>
      <c r="F1925" t="str">
        <f>IFERROR(+VLOOKUP(Movimientos_2026[[#This Row],[Codigo]],Plan_cuentas[],3,FALSE)," ")</f>
        <v>Transferencia</v>
      </c>
      <c r="G1925" t="str">
        <f>IFERROR(+VLOOKUP(Movimientos_2026[[#This Row],[Codigo]],Plan_cuentas[],4,FALSE)," ")</f>
        <v>Rentas</v>
      </c>
      <c r="H1925" t="str">
        <f>IFERROR(+VLOOKUP(Movimientos_2026[[#This Row],[Codigo]],Plan_cuentas[],5,FALSE)," ")</f>
        <v>SANTIAGO DEL ESTERO</v>
      </c>
      <c r="I1925" s="43">
        <v>46143</v>
      </c>
      <c r="J1925" t="s">
        <v>863</v>
      </c>
      <c r="K1925" t="str">
        <f>IFERROR(+VLOOKUP(Movimientos_2026[[#This Row],[Codigo]],Plan_cuentas[],6,FALSE)," ")</f>
        <v>1 - VW - Volkswagen</v>
      </c>
      <c r="L1925" s="50"/>
      <c r="M1925" s="50">
        <v>26686020</v>
      </c>
      <c r="N1925" s="20">
        <f>+Movimientos_2026[[#This Row],[Ingresos]]-Movimientos_2026[[#This Row],[Egresos]]</f>
        <v>-26686020</v>
      </c>
      <c r="O1925" s="20">
        <f>+O1924+Movimientos_2026[[#This Row],[Neto]]</f>
        <v>4422023110.4868755</v>
      </c>
    </row>
    <row r="1926" spans="1:15" x14ac:dyDescent="0.25">
      <c r="A1926" s="13">
        <v>46189</v>
      </c>
      <c r="B1926" s="12">
        <f>MONTH(Movimientos_2026[[#This Row],[Fecha]])</f>
        <v>6</v>
      </c>
      <c r="C1926" s="12" t="str">
        <f>VLOOKUP((WEEKDAY(Movimientos_2026[[#This Row],[Fecha]],2)),'5. Setup'!$D$6:$E$12,2,FALSE)</f>
        <v>Mar</v>
      </c>
      <c r="D1926">
        <v>2044404</v>
      </c>
      <c r="E1926" t="str">
        <f>IFERROR(+VLOOKUP(Movimientos_2026[[#This Row],[Codigo]],Plan_cuentas[],2,FALSE)," ")</f>
        <v>EGRESOS</v>
      </c>
      <c r="F1926" t="str">
        <f>IFERROR(+VLOOKUP(Movimientos_2026[[#This Row],[Codigo]],Plan_cuentas[],3,FALSE)," ")</f>
        <v>Transferencia</v>
      </c>
      <c r="G1926" t="str">
        <f>IFERROR(+VLOOKUP(Movimientos_2026[[#This Row],[Codigo]],Plan_cuentas[],4,FALSE)," ")</f>
        <v>Rentas</v>
      </c>
      <c r="H1926" t="str">
        <f>IFERROR(+VLOOKUP(Movimientos_2026[[#This Row],[Codigo]],Plan_cuentas[],5,FALSE)," ")</f>
        <v>SANTIAGO DEL ESTERO</v>
      </c>
      <c r="I1926" s="43">
        <v>46143</v>
      </c>
      <c r="J1926" t="s">
        <v>864</v>
      </c>
      <c r="K1926" t="str">
        <f>IFERROR(+VLOOKUP(Movimientos_2026[[#This Row],[Codigo]],Plan_cuentas[],6,FALSE)," ")</f>
        <v>4 - FCA - Fiat</v>
      </c>
      <c r="L1926" s="50"/>
      <c r="M1926" s="50">
        <v>25002725.199999999</v>
      </c>
      <c r="N1926" s="20">
        <f>+Movimientos_2026[[#This Row],[Ingresos]]-Movimientos_2026[[#This Row],[Egresos]]</f>
        <v>-25002725.199999999</v>
      </c>
      <c r="O1926" s="20">
        <f>+O1925+Movimientos_2026[[#This Row],[Neto]]</f>
        <v>4397020385.2868757</v>
      </c>
    </row>
    <row r="1927" spans="1:15" x14ac:dyDescent="0.25">
      <c r="A1927" s="13">
        <v>46189</v>
      </c>
      <c r="B1927" s="12">
        <f>MONTH(Movimientos_2026[[#This Row],[Fecha]])</f>
        <v>6</v>
      </c>
      <c r="C1927" s="12" t="str">
        <f>VLOOKUP((WEEKDAY(Movimientos_2026[[#This Row],[Fecha]],2)),'5. Setup'!$D$6:$E$12,2,FALSE)</f>
        <v>Mar</v>
      </c>
      <c r="D1927">
        <v>2044406</v>
      </c>
      <c r="E1927" t="str">
        <f>IFERROR(+VLOOKUP(Movimientos_2026[[#This Row],[Codigo]],Plan_cuentas[],2,FALSE)," ")</f>
        <v>EGRESOS</v>
      </c>
      <c r="F1927" t="str">
        <f>IFERROR(+VLOOKUP(Movimientos_2026[[#This Row],[Codigo]],Plan_cuentas[],3,FALSE)," ")</f>
        <v>Transferencia</v>
      </c>
      <c r="G1927" t="str">
        <f>IFERROR(+VLOOKUP(Movimientos_2026[[#This Row],[Codigo]],Plan_cuentas[],4,FALSE)," ")</f>
        <v>Rentas</v>
      </c>
      <c r="H1927" t="str">
        <f>IFERROR(+VLOOKUP(Movimientos_2026[[#This Row],[Codigo]],Plan_cuentas[],5,FALSE)," ")</f>
        <v>SANTIAGO DEL ESTERO</v>
      </c>
      <c r="I1927" s="43">
        <v>46143</v>
      </c>
      <c r="J1927" t="s">
        <v>864</v>
      </c>
      <c r="K1927" t="str">
        <f>IFERROR(+VLOOKUP(Movimientos_2026[[#This Row],[Codigo]],Plan_cuentas[],6,FALSE)," ")</f>
        <v>6 - FCAtr - Fiat Transf.</v>
      </c>
      <c r="L1927" s="50"/>
      <c r="M1927" s="50">
        <v>570288.00999999989</v>
      </c>
      <c r="N1927" s="20">
        <f>+Movimientos_2026[[#This Row],[Ingresos]]-Movimientos_2026[[#This Row],[Egresos]]</f>
        <v>-570288.00999999989</v>
      </c>
      <c r="O1927" s="20">
        <f>+O1926+Movimientos_2026[[#This Row],[Neto]]</f>
        <v>4396450097.2768755</v>
      </c>
    </row>
    <row r="1928" spans="1:15" x14ac:dyDescent="0.25">
      <c r="A1928" s="13">
        <v>46189</v>
      </c>
      <c r="B1928" s="12">
        <f>MONTH(Movimientos_2026[[#This Row],[Fecha]])</f>
        <v>6</v>
      </c>
      <c r="C1928" s="12" t="str">
        <f>VLOOKUP((WEEKDAY(Movimientos_2026[[#This Row],[Fecha]],2)),'5. Setup'!$D$6:$E$12,2,FALSE)</f>
        <v>Mar</v>
      </c>
      <c r="D1928">
        <v>2044404</v>
      </c>
      <c r="E1928" t="str">
        <f>IFERROR(+VLOOKUP(Movimientos_2026[[#This Row],[Codigo]],Plan_cuentas[],2,FALSE)," ")</f>
        <v>EGRESOS</v>
      </c>
      <c r="F1928" t="str">
        <f>IFERROR(+VLOOKUP(Movimientos_2026[[#This Row],[Codigo]],Plan_cuentas[],3,FALSE)," ")</f>
        <v>Transferencia</v>
      </c>
      <c r="G1928" t="str">
        <f>IFERROR(+VLOOKUP(Movimientos_2026[[#This Row],[Codigo]],Plan_cuentas[],4,FALSE)," ")</f>
        <v>Rentas</v>
      </c>
      <c r="H1928" t="str">
        <f>IFERROR(+VLOOKUP(Movimientos_2026[[#This Row],[Codigo]],Plan_cuentas[],5,FALSE)," ")</f>
        <v>SANTIAGO DEL ESTERO</v>
      </c>
      <c r="I1928" s="43">
        <v>46143</v>
      </c>
      <c r="J1928" t="s">
        <v>864</v>
      </c>
      <c r="K1928" t="str">
        <f>IFERROR(+VLOOKUP(Movimientos_2026[[#This Row],[Codigo]],Plan_cuentas[],6,FALSE)," ")</f>
        <v>4 - FCA - Fiat</v>
      </c>
      <c r="L1928" s="50"/>
      <c r="M1928" s="50">
        <v>6892327.1399999997</v>
      </c>
      <c r="N1928" s="20">
        <f>+Movimientos_2026[[#This Row],[Ingresos]]-Movimientos_2026[[#This Row],[Egresos]]</f>
        <v>-6892327.1399999997</v>
      </c>
      <c r="O1928" s="20">
        <f>+O1927+Movimientos_2026[[#This Row],[Neto]]</f>
        <v>4389557770.1368752</v>
      </c>
    </row>
    <row r="1929" spans="1:15" x14ac:dyDescent="0.25">
      <c r="A1929" s="13">
        <v>46189</v>
      </c>
      <c r="B1929" s="12">
        <f>MONTH(Movimientos_2026[[#This Row],[Fecha]])</f>
        <v>6</v>
      </c>
      <c r="C1929" s="12" t="str">
        <f>VLOOKUP((WEEKDAY(Movimientos_2026[[#This Row],[Fecha]],2)),'5. Setup'!$D$6:$E$12,2,FALSE)</f>
        <v>Mar</v>
      </c>
      <c r="D1929">
        <v>2044126</v>
      </c>
      <c r="E1929" t="str">
        <f>IFERROR(+VLOOKUP(Movimientos_2026[[#This Row],[Codigo]],Plan_cuentas[],2,FALSE)," ")</f>
        <v>EGRESOS</v>
      </c>
      <c r="F1929" t="str">
        <f>IFERROR(+VLOOKUP(Movimientos_2026[[#This Row],[Codigo]],Plan_cuentas[],3,FALSE)," ")</f>
        <v>Transferencia</v>
      </c>
      <c r="G1929" t="str">
        <f>IFERROR(+VLOOKUP(Movimientos_2026[[#This Row],[Codigo]],Plan_cuentas[],4,FALSE)," ")</f>
        <v>Rentas</v>
      </c>
      <c r="H1929" t="str">
        <f>IFERROR(+VLOOKUP(Movimientos_2026[[#This Row],[Codigo]],Plan_cuentas[],5,FALSE)," ")</f>
        <v>BAPRO</v>
      </c>
      <c r="I1929" s="43">
        <v>46143</v>
      </c>
      <c r="J1929" t="s">
        <v>865</v>
      </c>
      <c r="K1929" t="str">
        <f>IFERROR(+VLOOKUP(Movimientos_2026[[#This Row],[Codigo]],Plan_cuentas[],6,FALSE)," ")</f>
        <v>6 - FCAtr - Fiat Transf.</v>
      </c>
      <c r="L1929" s="50"/>
      <c r="M1929" s="50">
        <v>9397683.9100000001</v>
      </c>
      <c r="N1929" s="20">
        <f>+Movimientos_2026[[#This Row],[Ingresos]]-Movimientos_2026[[#This Row],[Egresos]]</f>
        <v>-9397683.9100000001</v>
      </c>
      <c r="O1929" s="20">
        <f>+O1928+Movimientos_2026[[#This Row],[Neto]]</f>
        <v>4380160086.2268753</v>
      </c>
    </row>
    <row r="1930" spans="1:15" x14ac:dyDescent="0.25">
      <c r="A1930" s="13">
        <v>46189</v>
      </c>
      <c r="B1930" s="12">
        <f>MONTH(Movimientos_2026[[#This Row],[Fecha]])</f>
        <v>6</v>
      </c>
      <c r="C1930" s="12" t="str">
        <f>VLOOKUP((WEEKDAY(Movimientos_2026[[#This Row],[Fecha]],2)),'5. Setup'!$D$6:$E$12,2,FALSE)</f>
        <v>Mar</v>
      </c>
      <c r="D1930">
        <v>2044126</v>
      </c>
      <c r="E1930" t="str">
        <f>IFERROR(+VLOOKUP(Movimientos_2026[[#This Row],[Codigo]],Plan_cuentas[],2,FALSE)," ")</f>
        <v>EGRESOS</v>
      </c>
      <c r="F1930" t="str">
        <f>IFERROR(+VLOOKUP(Movimientos_2026[[#This Row],[Codigo]],Plan_cuentas[],3,FALSE)," ")</f>
        <v>Transferencia</v>
      </c>
      <c r="G1930" t="str">
        <f>IFERROR(+VLOOKUP(Movimientos_2026[[#This Row],[Codigo]],Plan_cuentas[],4,FALSE)," ")</f>
        <v>Rentas</v>
      </c>
      <c r="H1930" t="str">
        <f>IFERROR(+VLOOKUP(Movimientos_2026[[#This Row],[Codigo]],Plan_cuentas[],5,FALSE)," ")</f>
        <v>BAPRO</v>
      </c>
      <c r="I1930" s="43">
        <v>46143</v>
      </c>
      <c r="J1930" t="s">
        <v>866</v>
      </c>
      <c r="K1930" t="str">
        <f>IFERROR(+VLOOKUP(Movimientos_2026[[#This Row],[Codigo]],Plan_cuentas[],6,FALSE)," ")</f>
        <v>6 - FCAtr - Fiat Transf.</v>
      </c>
      <c r="L1930" s="50"/>
      <c r="M1930" s="50">
        <v>5115318.47</v>
      </c>
      <c r="N1930" s="20">
        <f>+Movimientos_2026[[#This Row],[Ingresos]]-Movimientos_2026[[#This Row],[Egresos]]</f>
        <v>-5115318.47</v>
      </c>
      <c r="O1930" s="20">
        <f>+O1929+Movimientos_2026[[#This Row],[Neto]]</f>
        <v>4375044767.756875</v>
      </c>
    </row>
    <row r="1931" spans="1:15" x14ac:dyDescent="0.25">
      <c r="A1931" s="13">
        <v>46189</v>
      </c>
      <c r="B1931" s="12">
        <f>MONTH(Movimientos_2026[[#This Row],[Fecha]])</f>
        <v>6</v>
      </c>
      <c r="C1931" s="12" t="str">
        <f>VLOOKUP((WEEKDAY(Movimientos_2026[[#This Row],[Fecha]],2)),'5. Setup'!$D$6:$E$12,2,FALSE)</f>
        <v>Mar</v>
      </c>
      <c r="D1931">
        <v>2044126</v>
      </c>
      <c r="E1931" t="str">
        <f>IFERROR(+VLOOKUP(Movimientos_2026[[#This Row],[Codigo]],Plan_cuentas[],2,FALSE)," ")</f>
        <v>EGRESOS</v>
      </c>
      <c r="F1931" t="str">
        <f>IFERROR(+VLOOKUP(Movimientos_2026[[#This Row],[Codigo]],Plan_cuentas[],3,FALSE)," ")</f>
        <v>Transferencia</v>
      </c>
      <c r="G1931" t="str">
        <f>IFERROR(+VLOOKUP(Movimientos_2026[[#This Row],[Codigo]],Plan_cuentas[],4,FALSE)," ")</f>
        <v>Rentas</v>
      </c>
      <c r="H1931" t="str">
        <f>IFERROR(+VLOOKUP(Movimientos_2026[[#This Row],[Codigo]],Plan_cuentas[],5,FALSE)," ")</f>
        <v>BAPRO</v>
      </c>
      <c r="I1931" s="43">
        <v>46143</v>
      </c>
      <c r="J1931" t="s">
        <v>867</v>
      </c>
      <c r="K1931" t="str">
        <f>IFERROR(+VLOOKUP(Movimientos_2026[[#This Row],[Codigo]],Plan_cuentas[],6,FALSE)," ")</f>
        <v>6 - FCAtr - Fiat Transf.</v>
      </c>
      <c r="L1931" s="50"/>
      <c r="M1931" s="50">
        <v>725783.2</v>
      </c>
      <c r="N1931" s="20">
        <f>+Movimientos_2026[[#This Row],[Ingresos]]-Movimientos_2026[[#This Row],[Egresos]]</f>
        <v>-725783.2</v>
      </c>
      <c r="O1931" s="20">
        <f>+O1930+Movimientos_2026[[#This Row],[Neto]]</f>
        <v>4374318984.5568752</v>
      </c>
    </row>
    <row r="1932" spans="1:15" x14ac:dyDescent="0.25">
      <c r="A1932" s="13">
        <v>46189</v>
      </c>
      <c r="B1932" s="12">
        <f>MONTH(Movimientos_2026[[#This Row],[Fecha]])</f>
        <v>6</v>
      </c>
      <c r="C1932" s="12" t="str">
        <f>VLOOKUP((WEEKDAY(Movimientos_2026[[#This Row],[Fecha]],2)),'5. Setup'!$D$6:$E$12,2,FALSE)</f>
        <v>Mar</v>
      </c>
      <c r="D1932">
        <v>2044126</v>
      </c>
      <c r="E1932" t="str">
        <f>IFERROR(+VLOOKUP(Movimientos_2026[[#This Row],[Codigo]],Plan_cuentas[],2,FALSE)," ")</f>
        <v>EGRESOS</v>
      </c>
      <c r="F1932" t="str">
        <f>IFERROR(+VLOOKUP(Movimientos_2026[[#This Row],[Codigo]],Plan_cuentas[],3,FALSE)," ")</f>
        <v>Transferencia</v>
      </c>
      <c r="G1932" t="str">
        <f>IFERROR(+VLOOKUP(Movimientos_2026[[#This Row],[Codigo]],Plan_cuentas[],4,FALSE)," ")</f>
        <v>Rentas</v>
      </c>
      <c r="H1932" t="str">
        <f>IFERROR(+VLOOKUP(Movimientos_2026[[#This Row],[Codigo]],Plan_cuentas[],5,FALSE)," ")</f>
        <v>BAPRO</v>
      </c>
      <c r="I1932" s="43">
        <v>46143</v>
      </c>
      <c r="J1932" t="s">
        <v>868</v>
      </c>
      <c r="K1932" t="str">
        <f>IFERROR(+VLOOKUP(Movimientos_2026[[#This Row],[Codigo]],Plan_cuentas[],6,FALSE)," ")</f>
        <v>6 - FCAtr - Fiat Transf.</v>
      </c>
      <c r="L1932" s="50"/>
      <c r="M1932" s="50">
        <v>562526.80000000005</v>
      </c>
      <c r="N1932" s="20">
        <f>+Movimientos_2026[[#This Row],[Ingresos]]-Movimientos_2026[[#This Row],[Egresos]]</f>
        <v>-562526.80000000005</v>
      </c>
      <c r="O1932" s="20">
        <f>+O1931+Movimientos_2026[[#This Row],[Neto]]</f>
        <v>4373756457.756875</v>
      </c>
    </row>
    <row r="1933" spans="1:15" x14ac:dyDescent="0.25">
      <c r="A1933" s="13">
        <v>46189</v>
      </c>
      <c r="B1933" s="12">
        <f>MONTH(Movimientos_2026[[#This Row],[Fecha]])</f>
        <v>6</v>
      </c>
      <c r="C1933" s="12" t="str">
        <f>VLOOKUP((WEEKDAY(Movimientos_2026[[#This Row],[Fecha]],2)),'5. Setup'!$D$6:$E$12,2,FALSE)</f>
        <v>Mar</v>
      </c>
      <c r="D1933">
        <v>2044416</v>
      </c>
      <c r="E1933" t="str">
        <f>IFERROR(+VLOOKUP(Movimientos_2026[[#This Row],[Codigo]],Plan_cuentas[],2,FALSE)," ")</f>
        <v>EGRESOS</v>
      </c>
      <c r="F1933" t="str">
        <f>IFERROR(+VLOOKUP(Movimientos_2026[[#This Row],[Codigo]],Plan_cuentas[],3,FALSE)," ")</f>
        <v>Transferencia</v>
      </c>
      <c r="G1933" t="str">
        <f>IFERROR(+VLOOKUP(Movimientos_2026[[#This Row],[Codigo]],Plan_cuentas[],4,FALSE)," ")</f>
        <v>Rentas</v>
      </c>
      <c r="H1933" t="str">
        <f>IFERROR(+VLOOKUP(Movimientos_2026[[#This Row],[Codigo]],Plan_cuentas[],5,FALSE)," ")</f>
        <v>TIERRA DEL FUEGO</v>
      </c>
      <c r="I1933" s="43">
        <v>46082</v>
      </c>
      <c r="J1933" t="s">
        <v>869</v>
      </c>
      <c r="K1933" t="str">
        <f>IFERROR(+VLOOKUP(Movimientos_2026[[#This Row],[Codigo]],Plan_cuentas[],6,FALSE)," ")</f>
        <v>6 - FCAtr - Fiat Transf.</v>
      </c>
      <c r="L1933" s="50"/>
      <c r="M1933" s="50">
        <v>55778.14</v>
      </c>
      <c r="N1933" s="20">
        <f>+Movimientos_2026[[#This Row],[Ingresos]]-Movimientos_2026[[#This Row],[Egresos]]</f>
        <v>-55778.14</v>
      </c>
      <c r="O1933" s="20">
        <f>+O1932+Movimientos_2026[[#This Row],[Neto]]</f>
        <v>4373700679.6168747</v>
      </c>
    </row>
    <row r="1934" spans="1:15" x14ac:dyDescent="0.25">
      <c r="A1934" s="13">
        <v>46189</v>
      </c>
      <c r="B1934" s="12">
        <f>MONTH(Movimientos_2026[[#This Row],[Fecha]])</f>
        <v>6</v>
      </c>
      <c r="C1934" s="12" t="str">
        <f>VLOOKUP((WEEKDAY(Movimientos_2026[[#This Row],[Fecha]],2)),'5. Setup'!$D$6:$E$12,2,FALSE)</f>
        <v>Mar</v>
      </c>
      <c r="D1934">
        <v>2044366</v>
      </c>
      <c r="E1934" t="str">
        <f>IFERROR(+VLOOKUP(Movimientos_2026[[#This Row],[Codigo]],Plan_cuentas[],2,FALSE)," ")</f>
        <v>EGRESOS</v>
      </c>
      <c r="F1934" t="str">
        <f>IFERROR(+VLOOKUP(Movimientos_2026[[#This Row],[Codigo]],Plan_cuentas[],3,FALSE)," ")</f>
        <v>Transferencia</v>
      </c>
      <c r="G1934" t="str">
        <f>IFERROR(+VLOOKUP(Movimientos_2026[[#This Row],[Codigo]],Plan_cuentas[],4,FALSE)," ")</f>
        <v>Rentas</v>
      </c>
      <c r="H1934" t="str">
        <f>IFERROR(+VLOOKUP(Movimientos_2026[[#This Row],[Codigo]],Plan_cuentas[],5,FALSE)," ")</f>
        <v>SAN LUIS</v>
      </c>
      <c r="I1934" s="43">
        <v>46054</v>
      </c>
      <c r="J1934" t="s">
        <v>870</v>
      </c>
      <c r="K1934" t="str">
        <f>IFERROR(+VLOOKUP(Movimientos_2026[[#This Row],[Codigo]],Plan_cuentas[],6,FALSE)," ")</f>
        <v>6 - FCAtr - Fiat Transf.</v>
      </c>
      <c r="L1934" s="50"/>
      <c r="M1934" s="50">
        <v>19580.16</v>
      </c>
      <c r="N1934" s="20">
        <f>+Movimientos_2026[[#This Row],[Ingresos]]-Movimientos_2026[[#This Row],[Egresos]]</f>
        <v>-19580.16</v>
      </c>
      <c r="O1934" s="20">
        <f>+O1933+Movimientos_2026[[#This Row],[Neto]]</f>
        <v>4373681099.4568748</v>
      </c>
    </row>
    <row r="1935" spans="1:15" x14ac:dyDescent="0.25">
      <c r="A1935" s="13">
        <v>46189</v>
      </c>
      <c r="B1935" s="12">
        <f>MONTH(Movimientos_2026[[#This Row],[Fecha]])</f>
        <v>6</v>
      </c>
      <c r="C1935" s="12" t="str">
        <f>VLOOKUP((WEEKDAY(Movimientos_2026[[#This Row],[Fecha]],2)),'5. Setup'!$D$6:$E$12,2,FALSE)</f>
        <v>Mar</v>
      </c>
      <c r="D1935">
        <v>2044366</v>
      </c>
      <c r="E1935" t="str">
        <f>IFERROR(+VLOOKUP(Movimientos_2026[[#This Row],[Codigo]],Plan_cuentas[],2,FALSE)," ")</f>
        <v>EGRESOS</v>
      </c>
      <c r="F1935" t="str">
        <f>IFERROR(+VLOOKUP(Movimientos_2026[[#This Row],[Codigo]],Plan_cuentas[],3,FALSE)," ")</f>
        <v>Transferencia</v>
      </c>
      <c r="G1935" t="str">
        <f>IFERROR(+VLOOKUP(Movimientos_2026[[#This Row],[Codigo]],Plan_cuentas[],4,FALSE)," ")</f>
        <v>Rentas</v>
      </c>
      <c r="H1935" t="str">
        <f>IFERROR(+VLOOKUP(Movimientos_2026[[#This Row],[Codigo]],Plan_cuentas[],5,FALSE)," ")</f>
        <v>SAN LUIS</v>
      </c>
      <c r="I1935" s="43">
        <v>46082</v>
      </c>
      <c r="J1935" t="s">
        <v>871</v>
      </c>
      <c r="K1935" t="str">
        <f>IFERROR(+VLOOKUP(Movimientos_2026[[#This Row],[Codigo]],Plan_cuentas[],6,FALSE)," ")</f>
        <v>6 - FCAtr - Fiat Transf.</v>
      </c>
      <c r="L1935" s="50"/>
      <c r="M1935" s="50">
        <v>558933.69999999995</v>
      </c>
      <c r="N1935" s="20">
        <f>+Movimientos_2026[[#This Row],[Ingresos]]-Movimientos_2026[[#This Row],[Egresos]]</f>
        <v>-558933.69999999995</v>
      </c>
      <c r="O1935" s="20">
        <f>+O1934+Movimientos_2026[[#This Row],[Neto]]</f>
        <v>4373122165.756875</v>
      </c>
    </row>
    <row r="1936" spans="1:15" x14ac:dyDescent="0.25">
      <c r="A1936" s="13">
        <v>46189</v>
      </c>
      <c r="B1936" s="12">
        <f>MONTH(Movimientos_2026[[#This Row],[Fecha]])</f>
        <v>6</v>
      </c>
      <c r="C1936" s="12" t="str">
        <f>VLOOKUP((WEEKDAY(Movimientos_2026[[#This Row],[Fecha]],2)),'5. Setup'!$D$6:$E$12,2,FALSE)</f>
        <v>Mar</v>
      </c>
      <c r="D1936">
        <v>2044366</v>
      </c>
      <c r="E1936" t="str">
        <f>IFERROR(+VLOOKUP(Movimientos_2026[[#This Row],[Codigo]],Plan_cuentas[],2,FALSE)," ")</f>
        <v>EGRESOS</v>
      </c>
      <c r="F1936" t="str">
        <f>IFERROR(+VLOOKUP(Movimientos_2026[[#This Row],[Codigo]],Plan_cuentas[],3,FALSE)," ")</f>
        <v>Transferencia</v>
      </c>
      <c r="G1936" t="str">
        <f>IFERROR(+VLOOKUP(Movimientos_2026[[#This Row],[Codigo]],Plan_cuentas[],4,FALSE)," ")</f>
        <v>Rentas</v>
      </c>
      <c r="H1936" t="str">
        <f>IFERROR(+VLOOKUP(Movimientos_2026[[#This Row],[Codigo]],Plan_cuentas[],5,FALSE)," ")</f>
        <v>SAN LUIS</v>
      </c>
      <c r="I1936" s="43">
        <v>46113</v>
      </c>
      <c r="J1936" t="s">
        <v>872</v>
      </c>
      <c r="K1936" t="str">
        <f>IFERROR(+VLOOKUP(Movimientos_2026[[#This Row],[Codigo]],Plan_cuentas[],6,FALSE)," ")</f>
        <v>6 - FCAtr - Fiat Transf.</v>
      </c>
      <c r="L1936" s="50"/>
      <c r="M1936" s="50">
        <v>146102.18</v>
      </c>
      <c r="N1936" s="20">
        <f>+Movimientos_2026[[#This Row],[Ingresos]]-Movimientos_2026[[#This Row],[Egresos]]</f>
        <v>-146102.18</v>
      </c>
      <c r="O1936" s="20">
        <f>+O1935+Movimientos_2026[[#This Row],[Neto]]</f>
        <v>4372976063.5768747</v>
      </c>
    </row>
    <row r="1937" spans="1:15" x14ac:dyDescent="0.25">
      <c r="A1937" s="13">
        <v>46189</v>
      </c>
      <c r="B1937" s="12">
        <f>MONTH(Movimientos_2026[[#This Row],[Fecha]])</f>
        <v>6</v>
      </c>
      <c r="C1937" s="12" t="str">
        <f>VLOOKUP((WEEKDAY(Movimientos_2026[[#This Row],[Fecha]],2)),'5. Setup'!$D$6:$E$12,2,FALSE)</f>
        <v>Mar</v>
      </c>
      <c r="D1937">
        <v>2014216</v>
      </c>
      <c r="E1937" t="str">
        <f>IFERROR(+VLOOKUP(Movimientos_2026[[#This Row],[Codigo]],Plan_cuentas[],2,FALSE)," ")</f>
        <v>EGRESOS</v>
      </c>
      <c r="F1937" t="str">
        <f>IFERROR(+VLOOKUP(Movimientos_2026[[#This Row],[Codigo]],Plan_cuentas[],3,FALSE)," ")</f>
        <v>BtoB</v>
      </c>
      <c r="G1937" t="str">
        <f>IFERROR(+VLOOKUP(Movimientos_2026[[#This Row],[Codigo]],Plan_cuentas[],4,FALSE)," ")</f>
        <v>Rentas</v>
      </c>
      <c r="H1937" t="str">
        <f>IFERROR(+VLOOKUP(Movimientos_2026[[#This Row],[Codigo]],Plan_cuentas[],5,FALSE)," ")</f>
        <v>CORRIENTES 2° Q</v>
      </c>
      <c r="I1937" s="43">
        <v>45839</v>
      </c>
      <c r="J1937" t="s">
        <v>873</v>
      </c>
      <c r="K1937" t="str">
        <f>IFERROR(+VLOOKUP(Movimientos_2026[[#This Row],[Codigo]],Plan_cuentas[],6,FALSE)," ")</f>
        <v>6 - FCAtr - Fiat Transf.</v>
      </c>
      <c r="L1937" s="50"/>
      <c r="M1937" s="50">
        <v>8037.91</v>
      </c>
      <c r="N1937" s="20">
        <f>+Movimientos_2026[[#This Row],[Ingresos]]-Movimientos_2026[[#This Row],[Egresos]]</f>
        <v>-8037.91</v>
      </c>
      <c r="O1937" s="20">
        <f>+O1936+Movimientos_2026[[#This Row],[Neto]]</f>
        <v>4372968025.6668749</v>
      </c>
    </row>
    <row r="1938" spans="1:15" x14ac:dyDescent="0.25">
      <c r="A1938" s="13">
        <v>46189</v>
      </c>
      <c r="B1938" s="12">
        <f>MONTH(Movimientos_2026[[#This Row],[Fecha]])</f>
        <v>6</v>
      </c>
      <c r="C1938" s="12" t="str">
        <f>VLOOKUP((WEEKDAY(Movimientos_2026[[#This Row],[Fecha]],2)),'5. Setup'!$D$6:$E$12,2,FALSE)</f>
        <v>Mar</v>
      </c>
      <c r="D1938">
        <v>1045453</v>
      </c>
      <c r="E1938" t="str">
        <f>IFERROR(+VLOOKUP(Movimientos_2026[[#This Row],[Codigo]],Plan_cuentas[],2,FALSE)," ")</f>
        <v>INGRESOS</v>
      </c>
      <c r="F1938" t="str">
        <f>IFERROR(+VLOOKUP(Movimientos_2026[[#This Row],[Codigo]],Plan_cuentas[],3,FALSE)," ")</f>
        <v>Transferencia</v>
      </c>
      <c r="G1938" t="str">
        <f>IFERROR(+VLOOKUP(Movimientos_2026[[#This Row],[Codigo]],Plan_cuentas[],4,FALSE)," ")</f>
        <v>Factura</v>
      </c>
      <c r="H1938" t="str">
        <f>IFERROR(+VLOOKUP(Movimientos_2026[[#This Row],[Codigo]],Plan_cuentas[],5,FALSE)," ")</f>
        <v>FC DERECHOS</v>
      </c>
      <c r="I1938" s="43">
        <v>46113</v>
      </c>
      <c r="J1938" t="s">
        <v>874</v>
      </c>
      <c r="K1938" t="str">
        <f>IFERROR(+VLOOKUP(Movimientos_2026[[#This Row],[Codigo]],Plan_cuentas[],6,FALSE)," ")</f>
        <v>3 - GM - Chevrolet</v>
      </c>
      <c r="L1938" s="50">
        <v>49540076.549999997</v>
      </c>
      <c r="M1938" s="50"/>
      <c r="N1938" s="20">
        <f>+Movimientos_2026[[#This Row],[Ingresos]]-Movimientos_2026[[#This Row],[Egresos]]</f>
        <v>49540076.549999997</v>
      </c>
      <c r="O1938" s="20">
        <f>+O1937+Movimientos_2026[[#This Row],[Neto]]</f>
        <v>4422508102.2168751</v>
      </c>
    </row>
    <row r="1939" spans="1:15" x14ac:dyDescent="0.25">
      <c r="A1939" s="13">
        <v>46189</v>
      </c>
      <c r="B1939" s="12">
        <f>MONTH(Movimientos_2026[[#This Row],[Fecha]])</f>
        <v>6</v>
      </c>
      <c r="C1939" s="12" t="str">
        <f>VLOOKUP((WEEKDAY(Movimientos_2026[[#This Row],[Fecha]],2)),'5. Setup'!$D$6:$E$12,2,FALSE)</f>
        <v>Mar</v>
      </c>
      <c r="D1939">
        <v>1045452</v>
      </c>
      <c r="E1939" t="str">
        <f>IFERROR(+VLOOKUP(Movimientos_2026[[#This Row],[Codigo]],Plan_cuentas[],2,FALSE)," ")</f>
        <v>INGRESOS</v>
      </c>
      <c r="F1939" t="str">
        <f>IFERROR(+VLOOKUP(Movimientos_2026[[#This Row],[Codigo]],Plan_cuentas[],3,FALSE)," ")</f>
        <v>Transferencia</v>
      </c>
      <c r="G1939" t="str">
        <f>IFERROR(+VLOOKUP(Movimientos_2026[[#This Row],[Codigo]],Plan_cuentas[],4,FALSE)," ")</f>
        <v>Factura</v>
      </c>
      <c r="H1939" t="str">
        <f>IFERROR(+VLOOKUP(Movimientos_2026[[#This Row],[Codigo]],Plan_cuentas[],5,FALSE)," ")</f>
        <v>FC DERECHOS</v>
      </c>
      <c r="I1939" s="43">
        <v>46143</v>
      </c>
      <c r="J1939" t="s">
        <v>875</v>
      </c>
      <c r="K1939" t="str">
        <f>IFERROR(+VLOOKUP(Movimientos_2026[[#This Row],[Codigo]],Plan_cuentas[],6,FALSE)," ")</f>
        <v>2 - PR - Plan Rombo</v>
      </c>
      <c r="L1939" s="50">
        <v>43924380.369999997</v>
      </c>
      <c r="M1939" s="50"/>
      <c r="N1939" s="20">
        <f>+Movimientos_2026[[#This Row],[Ingresos]]-Movimientos_2026[[#This Row],[Egresos]]</f>
        <v>43924380.369999997</v>
      </c>
      <c r="O1939" s="20">
        <f>+O1938+Movimientos_2026[[#This Row],[Neto]]</f>
        <v>4466432482.586875</v>
      </c>
    </row>
    <row r="1940" spans="1:15" x14ac:dyDescent="0.25">
      <c r="A1940" s="13">
        <v>46189</v>
      </c>
      <c r="B1940" s="12">
        <f>MONTH(Movimientos_2026[[#This Row],[Fecha]])</f>
        <v>6</v>
      </c>
      <c r="C1940" s="12" t="str">
        <f>VLOOKUP((WEEKDAY(Movimientos_2026[[#This Row],[Fecha]],2)),'5. Setup'!$D$6:$E$12,2,FALSE)</f>
        <v>Mar</v>
      </c>
      <c r="D1940">
        <v>1044212</v>
      </c>
      <c r="E1940" t="str">
        <f>IFERROR(+VLOOKUP(Movimientos_2026[[#This Row],[Codigo]],Plan_cuentas[],2,FALSE)," ")</f>
        <v>INGRESOS</v>
      </c>
      <c r="F1940" t="str">
        <f>IFERROR(+VLOOKUP(Movimientos_2026[[#This Row],[Codigo]],Plan_cuentas[],3,FALSE)," ")</f>
        <v>Transferencia</v>
      </c>
      <c r="G1940" t="str">
        <f>IFERROR(+VLOOKUP(Movimientos_2026[[#This Row],[Codigo]],Plan_cuentas[],4,FALSE)," ")</f>
        <v>Rentas</v>
      </c>
      <c r="H1940" t="str">
        <f>IFERROR(+VLOOKUP(Movimientos_2026[[#This Row],[Codigo]],Plan_cuentas[],5,FALSE)," ")</f>
        <v>CORRIENTES 2° Q</v>
      </c>
      <c r="I1940" s="43">
        <v>46143</v>
      </c>
      <c r="J1940" t="s">
        <v>876</v>
      </c>
      <c r="K1940" t="str">
        <f>IFERROR(+VLOOKUP(Movimientos_2026[[#This Row],[Codigo]],Plan_cuentas[],6,FALSE)," ")</f>
        <v>2 - PR - Plan Rombo</v>
      </c>
      <c r="L1940" s="50">
        <v>11109323.43</v>
      </c>
      <c r="M1940" s="50"/>
      <c r="N1940" s="20">
        <f>+Movimientos_2026[[#This Row],[Ingresos]]-Movimientos_2026[[#This Row],[Egresos]]</f>
        <v>11109323.43</v>
      </c>
      <c r="O1940" s="20">
        <f>+O1939+Movimientos_2026[[#This Row],[Neto]]</f>
        <v>4477541806.0168753</v>
      </c>
    </row>
    <row r="1941" spans="1:15" x14ac:dyDescent="0.25">
      <c r="A1941" s="13">
        <v>46189</v>
      </c>
      <c r="B1941" s="12">
        <f>MONTH(Movimientos_2026[[#This Row],[Fecha]])</f>
        <v>6</v>
      </c>
      <c r="C1941" s="12" t="str">
        <f>VLOOKUP((WEEKDAY(Movimientos_2026[[#This Row],[Fecha]],2)),'5. Setup'!$D$6:$E$12,2,FALSE)</f>
        <v>Mar</v>
      </c>
      <c r="D1941">
        <v>1044462</v>
      </c>
      <c r="E1941" t="str">
        <f>IFERROR(+VLOOKUP(Movimientos_2026[[#This Row],[Codigo]],Plan_cuentas[],2,FALSE)," ")</f>
        <v>INGRESOS</v>
      </c>
      <c r="F1941" t="str">
        <f>IFERROR(+VLOOKUP(Movimientos_2026[[#This Row],[Codigo]],Plan_cuentas[],3,FALSE)," ")</f>
        <v>Transferencia</v>
      </c>
      <c r="G1941" t="str">
        <f>IFERROR(+VLOOKUP(Movimientos_2026[[#This Row],[Codigo]],Plan_cuentas[],4,FALSE)," ")</f>
        <v>Rentas</v>
      </c>
      <c r="H1941" t="str">
        <f>IFERROR(+VLOOKUP(Movimientos_2026[[#This Row],[Codigo]],Plan_cuentas[],5,FALSE)," ")</f>
        <v>MISIONES</v>
      </c>
      <c r="I1941" s="43">
        <v>46143</v>
      </c>
      <c r="J1941" t="s">
        <v>876</v>
      </c>
      <c r="K1941" t="str">
        <f>IFERROR(+VLOOKUP(Movimientos_2026[[#This Row],[Codigo]],Plan_cuentas[],6,FALSE)," ")</f>
        <v>2 - PR - Plan Rombo</v>
      </c>
      <c r="L1941" s="50">
        <v>1677249.93</v>
      </c>
      <c r="M1941" s="50"/>
      <c r="N1941" s="20">
        <f>+Movimientos_2026[[#This Row],[Ingresos]]-Movimientos_2026[[#This Row],[Egresos]]</f>
        <v>1677249.93</v>
      </c>
      <c r="O1941" s="20">
        <f>+O1940+Movimientos_2026[[#This Row],[Neto]]</f>
        <v>4479219055.9468756</v>
      </c>
    </row>
    <row r="1942" spans="1:15" x14ac:dyDescent="0.25">
      <c r="A1942" s="13">
        <v>46189</v>
      </c>
      <c r="B1942" s="12">
        <f>MONTH(Movimientos_2026[[#This Row],[Fecha]])</f>
        <v>6</v>
      </c>
      <c r="C1942" s="12" t="str">
        <f>VLOOKUP((WEEKDAY(Movimientos_2026[[#This Row],[Fecha]],2)),'5. Setup'!$D$6:$E$12,2,FALSE)</f>
        <v>Mar</v>
      </c>
      <c r="D1942">
        <v>1044322</v>
      </c>
      <c r="E1942" t="str">
        <f>IFERROR(+VLOOKUP(Movimientos_2026[[#This Row],[Codigo]],Plan_cuentas[],2,FALSE)," ")</f>
        <v>INGRESOS</v>
      </c>
      <c r="F1942" t="str">
        <f>IFERROR(+VLOOKUP(Movimientos_2026[[#This Row],[Codigo]],Plan_cuentas[],3,FALSE)," ")</f>
        <v>Transferencia</v>
      </c>
      <c r="G1942" t="str">
        <f>IFERROR(+VLOOKUP(Movimientos_2026[[#This Row],[Codigo]],Plan_cuentas[],4,FALSE)," ")</f>
        <v>Rentas</v>
      </c>
      <c r="H1942" t="str">
        <f>IFERROR(+VLOOKUP(Movimientos_2026[[#This Row],[Codigo]],Plan_cuentas[],5,FALSE)," ")</f>
        <v>NEUQUEN 2° Q</v>
      </c>
      <c r="I1942" s="43">
        <v>46143</v>
      </c>
      <c r="J1942" t="s">
        <v>876</v>
      </c>
      <c r="K1942" t="str">
        <f>IFERROR(+VLOOKUP(Movimientos_2026[[#This Row],[Codigo]],Plan_cuentas[],6,FALSE)," ")</f>
        <v>2 - PR - Plan Rombo</v>
      </c>
      <c r="L1942" s="50">
        <v>19087700</v>
      </c>
      <c r="M1942" s="50"/>
      <c r="N1942" s="20">
        <f>+Movimientos_2026[[#This Row],[Ingresos]]-Movimientos_2026[[#This Row],[Egresos]]</f>
        <v>19087700</v>
      </c>
      <c r="O1942" s="20">
        <f>+O1941+Movimientos_2026[[#This Row],[Neto]]</f>
        <v>4498306755.9468756</v>
      </c>
    </row>
    <row r="1943" spans="1:15" x14ac:dyDescent="0.25">
      <c r="A1943" s="13">
        <v>46189</v>
      </c>
      <c r="B1943" s="12">
        <f>MONTH(Movimientos_2026[[#This Row],[Fecha]])</f>
        <v>6</v>
      </c>
      <c r="C1943" s="12" t="str">
        <f>VLOOKUP((WEEKDAY(Movimientos_2026[[#This Row],[Fecha]],2)),'5. Setup'!$D$6:$E$12,2,FALSE)</f>
        <v>Mar</v>
      </c>
      <c r="D1943">
        <v>1044162</v>
      </c>
      <c r="E1943" t="str">
        <f>IFERROR(+VLOOKUP(Movimientos_2026[[#This Row],[Codigo]],Plan_cuentas[],2,FALSE)," ")</f>
        <v>INGRESOS</v>
      </c>
      <c r="F1943" t="str">
        <f>IFERROR(+VLOOKUP(Movimientos_2026[[#This Row],[Codigo]],Plan_cuentas[],3,FALSE)," ")</f>
        <v>Transferencia</v>
      </c>
      <c r="G1943" t="str">
        <f>IFERROR(+VLOOKUP(Movimientos_2026[[#This Row],[Codigo]],Plan_cuentas[],4,FALSE)," ")</f>
        <v>Rentas</v>
      </c>
      <c r="H1943" t="str">
        <f>IFERROR(+VLOOKUP(Movimientos_2026[[#This Row],[Codigo]],Plan_cuentas[],5,FALSE)," ")</f>
        <v>CHACO</v>
      </c>
      <c r="I1943" s="43">
        <v>46143</v>
      </c>
      <c r="J1943" t="s">
        <v>876</v>
      </c>
      <c r="K1943" t="str">
        <f>IFERROR(+VLOOKUP(Movimientos_2026[[#This Row],[Codigo]],Plan_cuentas[],6,FALSE)," ")</f>
        <v>2 - PR - Plan Rombo</v>
      </c>
      <c r="L1943" s="50">
        <v>1630109.2</v>
      </c>
      <c r="M1943" s="50"/>
      <c r="N1943" s="20">
        <f>+Movimientos_2026[[#This Row],[Ingresos]]-Movimientos_2026[[#This Row],[Egresos]]</f>
        <v>1630109.2</v>
      </c>
      <c r="O1943" s="20">
        <f>+O1942+Movimientos_2026[[#This Row],[Neto]]</f>
        <v>4499936865.1468754</v>
      </c>
    </row>
    <row r="1944" spans="1:15" x14ac:dyDescent="0.25">
      <c r="A1944" s="13">
        <v>46189</v>
      </c>
      <c r="B1944" s="12">
        <f>MONTH(Movimientos_2026[[#This Row],[Fecha]])</f>
        <v>6</v>
      </c>
      <c r="C1944" s="12" t="str">
        <f>VLOOKUP((WEEKDAY(Movimientos_2026[[#This Row],[Fecha]],2)),'5. Setup'!$D$6:$E$12,2,FALSE)</f>
        <v>Mar</v>
      </c>
      <c r="D1944">
        <v>1044262</v>
      </c>
      <c r="E1944" t="str">
        <f>IFERROR(+VLOOKUP(Movimientos_2026[[#This Row],[Codigo]],Plan_cuentas[],2,FALSE)," ")</f>
        <v>INGRESOS</v>
      </c>
      <c r="F1944" t="str">
        <f>IFERROR(+VLOOKUP(Movimientos_2026[[#This Row],[Codigo]],Plan_cuentas[],3,FALSE)," ")</f>
        <v>Transferencia</v>
      </c>
      <c r="G1944" t="str">
        <f>IFERROR(+VLOOKUP(Movimientos_2026[[#This Row],[Codigo]],Plan_cuentas[],4,FALSE)," ")</f>
        <v>Rentas</v>
      </c>
      <c r="H1944" t="str">
        <f>IFERROR(+VLOOKUP(Movimientos_2026[[#This Row],[Codigo]],Plan_cuentas[],5,FALSE)," ")</f>
        <v>LA PAMPA</v>
      </c>
      <c r="I1944" s="43">
        <v>46143</v>
      </c>
      <c r="J1944" t="s">
        <v>876</v>
      </c>
      <c r="K1944" t="str">
        <f>IFERROR(+VLOOKUP(Movimientos_2026[[#This Row],[Codigo]],Plan_cuentas[],6,FALSE)," ")</f>
        <v>2 - PR - Plan Rombo</v>
      </c>
      <c r="L1944" s="50">
        <v>6392650</v>
      </c>
      <c r="M1944" s="50"/>
      <c r="N1944" s="20">
        <f>+Movimientos_2026[[#This Row],[Ingresos]]-Movimientos_2026[[#This Row],[Egresos]]</f>
        <v>6392650</v>
      </c>
      <c r="O1944" s="20">
        <f>+O1943+Movimientos_2026[[#This Row],[Neto]]</f>
        <v>4506329515.1468754</v>
      </c>
    </row>
    <row r="1945" spans="1:15" x14ac:dyDescent="0.25">
      <c r="A1945" s="13">
        <v>46189</v>
      </c>
      <c r="B1945" s="12">
        <f>MONTH(Movimientos_2026[[#This Row],[Fecha]])</f>
        <v>6</v>
      </c>
      <c r="C1945" s="12" t="str">
        <f>VLOOKUP((WEEKDAY(Movimientos_2026[[#This Row],[Fecha]],2)),'5. Setup'!$D$6:$E$12,2,FALSE)</f>
        <v>Mar</v>
      </c>
      <c r="D1945">
        <v>1044272</v>
      </c>
      <c r="E1945" t="str">
        <f>IFERROR(+VLOOKUP(Movimientos_2026[[#This Row],[Codigo]],Plan_cuentas[],2,FALSE)," ")</f>
        <v>INGRESOS</v>
      </c>
      <c r="F1945" t="str">
        <f>IFERROR(+VLOOKUP(Movimientos_2026[[#This Row],[Codigo]],Plan_cuentas[],3,FALSE)," ")</f>
        <v>Transferencia</v>
      </c>
      <c r="G1945" t="str">
        <f>IFERROR(+VLOOKUP(Movimientos_2026[[#This Row],[Codigo]],Plan_cuentas[],4,FALSE)," ")</f>
        <v>Rentas</v>
      </c>
      <c r="H1945" t="str">
        <f>IFERROR(+VLOOKUP(Movimientos_2026[[#This Row],[Codigo]],Plan_cuentas[],5,FALSE)," ")</f>
        <v>LA RIOJA</v>
      </c>
      <c r="I1945" s="43">
        <v>46143</v>
      </c>
      <c r="J1945" t="s">
        <v>876</v>
      </c>
      <c r="K1945" t="str">
        <f>IFERROR(+VLOOKUP(Movimientos_2026[[#This Row],[Codigo]],Plan_cuentas[],6,FALSE)," ")</f>
        <v>2 - PR - Plan Rombo</v>
      </c>
      <c r="L1945" s="50">
        <v>5059803.13</v>
      </c>
      <c r="M1945" s="50"/>
      <c r="N1945" s="20">
        <f>+Movimientos_2026[[#This Row],[Ingresos]]-Movimientos_2026[[#This Row],[Egresos]]</f>
        <v>5059803.13</v>
      </c>
      <c r="O1945" s="20">
        <f>+O1944+Movimientos_2026[[#This Row],[Neto]]</f>
        <v>4511389318.2768755</v>
      </c>
    </row>
    <row r="1946" spans="1:15" x14ac:dyDescent="0.25">
      <c r="A1946" s="13">
        <v>46189</v>
      </c>
      <c r="B1946" s="12">
        <f>MONTH(Movimientos_2026[[#This Row],[Fecha]])</f>
        <v>6</v>
      </c>
      <c r="C1946" s="12" t="str">
        <f>VLOOKUP((WEEKDAY(Movimientos_2026[[#This Row],[Fecha]],2)),'5. Setup'!$D$6:$E$12,2,FALSE)</f>
        <v>Mar</v>
      </c>
      <c r="D1946">
        <v>1044282</v>
      </c>
      <c r="E1946" t="str">
        <f>IFERROR(+VLOOKUP(Movimientos_2026[[#This Row],[Codigo]],Plan_cuentas[],2,FALSE)," ")</f>
        <v>INGRESOS</v>
      </c>
      <c r="F1946" t="str">
        <f>IFERROR(+VLOOKUP(Movimientos_2026[[#This Row],[Codigo]],Plan_cuentas[],3,FALSE)," ")</f>
        <v>Transferencia</v>
      </c>
      <c r="G1946" t="str">
        <f>IFERROR(+VLOOKUP(Movimientos_2026[[#This Row],[Codigo]],Plan_cuentas[],4,FALSE)," ")</f>
        <v>Rentas</v>
      </c>
      <c r="H1946" t="str">
        <f>IFERROR(+VLOOKUP(Movimientos_2026[[#This Row],[Codigo]],Plan_cuentas[],5,FALSE)," ")</f>
        <v>MENDOZA</v>
      </c>
      <c r="I1946" s="43">
        <v>46143</v>
      </c>
      <c r="J1946" t="s">
        <v>876</v>
      </c>
      <c r="K1946" t="str">
        <f>IFERROR(+VLOOKUP(Movimientos_2026[[#This Row],[Codigo]],Plan_cuentas[],6,FALSE)," ")</f>
        <v>2 - PR - Plan Rombo</v>
      </c>
      <c r="L1946" s="50">
        <v>37808700</v>
      </c>
      <c r="M1946" s="50"/>
      <c r="N1946" s="20">
        <f>+Movimientos_2026[[#This Row],[Ingresos]]-Movimientos_2026[[#This Row],[Egresos]]</f>
        <v>37808700</v>
      </c>
      <c r="O1946" s="20">
        <f>+O1945+Movimientos_2026[[#This Row],[Neto]]</f>
        <v>4549198018.2768755</v>
      </c>
    </row>
    <row r="1947" spans="1:15" x14ac:dyDescent="0.25">
      <c r="A1947" s="13">
        <v>46189</v>
      </c>
      <c r="B1947" s="12">
        <f>MONTH(Movimientos_2026[[#This Row],[Fecha]])</f>
        <v>6</v>
      </c>
      <c r="C1947" s="12" t="str">
        <f>VLOOKUP((WEEKDAY(Movimientos_2026[[#This Row],[Fecha]],2)),'5. Setup'!$D$6:$E$12,2,FALSE)</f>
        <v>Mar</v>
      </c>
      <c r="D1947">
        <v>1044342</v>
      </c>
      <c r="E1947" t="str">
        <f>IFERROR(+VLOOKUP(Movimientos_2026[[#This Row],[Codigo]],Plan_cuentas[],2,FALSE)," ")</f>
        <v>INGRESOS</v>
      </c>
      <c r="F1947" t="str">
        <f>IFERROR(+VLOOKUP(Movimientos_2026[[#This Row],[Codigo]],Plan_cuentas[],3,FALSE)," ")</f>
        <v>Transferencia</v>
      </c>
      <c r="G1947" t="str">
        <f>IFERROR(+VLOOKUP(Movimientos_2026[[#This Row],[Codigo]],Plan_cuentas[],4,FALSE)," ")</f>
        <v>Rentas</v>
      </c>
      <c r="H1947" t="str">
        <f>IFERROR(+VLOOKUP(Movimientos_2026[[#This Row],[Codigo]],Plan_cuentas[],5,FALSE)," ")</f>
        <v>RIO NEGRO</v>
      </c>
      <c r="I1947" s="43">
        <v>46143</v>
      </c>
      <c r="J1947" t="s">
        <v>876</v>
      </c>
      <c r="K1947" t="str">
        <f>IFERROR(+VLOOKUP(Movimientos_2026[[#This Row],[Codigo]],Plan_cuentas[],6,FALSE)," ")</f>
        <v>2 - PR - Plan Rombo</v>
      </c>
      <c r="L1947" s="51">
        <v>17311061.66</v>
      </c>
      <c r="M1947" s="50"/>
      <c r="N1947" s="20">
        <f>+Movimientos_2026[[#This Row],[Ingresos]]-Movimientos_2026[[#This Row],[Egresos]]</f>
        <v>17311061.66</v>
      </c>
      <c r="O1947" s="20">
        <f>+O1946+Movimientos_2026[[#This Row],[Neto]]</f>
        <v>4566509079.9368753</v>
      </c>
    </row>
    <row r="1948" spans="1:15" x14ac:dyDescent="0.25">
      <c r="A1948" s="13">
        <v>46189</v>
      </c>
      <c r="B1948" s="12">
        <f>MONTH(Movimientos_2026[[#This Row],[Fecha]])</f>
        <v>6</v>
      </c>
      <c r="C1948" s="12" t="str">
        <f>VLOOKUP((WEEKDAY(Movimientos_2026[[#This Row],[Fecha]],2)),'5. Setup'!$D$6:$E$12,2,FALSE)</f>
        <v>Mar</v>
      </c>
      <c r="D1948">
        <v>1044352</v>
      </c>
      <c r="E1948" t="str">
        <f>IFERROR(+VLOOKUP(Movimientos_2026[[#This Row],[Codigo]],Plan_cuentas[],2,FALSE)," ")</f>
        <v>INGRESOS</v>
      </c>
      <c r="F1948" t="str">
        <f>IFERROR(+VLOOKUP(Movimientos_2026[[#This Row],[Codigo]],Plan_cuentas[],3,FALSE)," ")</f>
        <v>Transferencia</v>
      </c>
      <c r="G1948" t="str">
        <f>IFERROR(+VLOOKUP(Movimientos_2026[[#This Row],[Codigo]],Plan_cuentas[],4,FALSE)," ")</f>
        <v>Rentas</v>
      </c>
      <c r="H1948" t="str">
        <f>IFERROR(+VLOOKUP(Movimientos_2026[[#This Row],[Codigo]],Plan_cuentas[],5,FALSE)," ")</f>
        <v>SAN JUAN</v>
      </c>
      <c r="I1948" s="43">
        <v>46143</v>
      </c>
      <c r="J1948" t="s">
        <v>876</v>
      </c>
      <c r="K1948" t="str">
        <f>IFERROR(+VLOOKUP(Movimientos_2026[[#This Row],[Codigo]],Plan_cuentas[],6,FALSE)," ")</f>
        <v>2 - PR - Plan Rombo</v>
      </c>
      <c r="L1948" s="50">
        <v>6616458.2000000002</v>
      </c>
      <c r="M1948" s="50"/>
      <c r="N1948" s="20">
        <f>+Movimientos_2026[[#This Row],[Ingresos]]-Movimientos_2026[[#This Row],[Egresos]]</f>
        <v>6616458.2000000002</v>
      </c>
      <c r="O1948" s="20">
        <f>+O1947+Movimientos_2026[[#This Row],[Neto]]</f>
        <v>4573125538.1368752</v>
      </c>
    </row>
    <row r="1949" spans="1:15" x14ac:dyDescent="0.25">
      <c r="A1949" s="13">
        <v>46189</v>
      </c>
      <c r="B1949" s="12">
        <f>MONTH(Movimientos_2026[[#This Row],[Fecha]])</f>
        <v>6</v>
      </c>
      <c r="C1949" s="12" t="str">
        <f>VLOOKUP((WEEKDAY(Movimientos_2026[[#This Row],[Fecha]],2)),'5. Setup'!$D$6:$E$12,2,FALSE)</f>
        <v>Mar</v>
      </c>
      <c r="D1949">
        <v>1044362</v>
      </c>
      <c r="E1949" t="str">
        <f>IFERROR(+VLOOKUP(Movimientos_2026[[#This Row],[Codigo]],Plan_cuentas[],2,FALSE)," ")</f>
        <v>INGRESOS</v>
      </c>
      <c r="F1949" t="str">
        <f>IFERROR(+VLOOKUP(Movimientos_2026[[#This Row],[Codigo]],Plan_cuentas[],3,FALSE)," ")</f>
        <v>Transferencia</v>
      </c>
      <c r="G1949" t="str">
        <f>IFERROR(+VLOOKUP(Movimientos_2026[[#This Row],[Codigo]],Plan_cuentas[],4,FALSE)," ")</f>
        <v>Rentas</v>
      </c>
      <c r="H1949" t="str">
        <f>IFERROR(+VLOOKUP(Movimientos_2026[[#This Row],[Codigo]],Plan_cuentas[],5,FALSE)," ")</f>
        <v>SAN LUIS</v>
      </c>
      <c r="I1949" s="43">
        <v>46143</v>
      </c>
      <c r="J1949" t="s">
        <v>876</v>
      </c>
      <c r="K1949" t="str">
        <f>IFERROR(+VLOOKUP(Movimientos_2026[[#This Row],[Codigo]],Plan_cuentas[],6,FALSE)," ")</f>
        <v>2 - PR - Plan Rombo</v>
      </c>
      <c r="L1949" s="50">
        <v>6948873.7699999996</v>
      </c>
      <c r="M1949" s="50"/>
      <c r="N1949" s="20">
        <f>+Movimientos_2026[[#This Row],[Ingresos]]-Movimientos_2026[[#This Row],[Egresos]]</f>
        <v>6948873.7699999996</v>
      </c>
      <c r="O1949" s="20">
        <f>+O1948+Movimientos_2026[[#This Row],[Neto]]</f>
        <v>4580074411.9068756</v>
      </c>
    </row>
    <row r="1950" spans="1:15" x14ac:dyDescent="0.25">
      <c r="A1950" s="13">
        <v>46189</v>
      </c>
      <c r="B1950" s="12">
        <f>MONTH(Movimientos_2026[[#This Row],[Fecha]])</f>
        <v>6</v>
      </c>
      <c r="C1950" s="12" t="str">
        <f>VLOOKUP((WEEKDAY(Movimientos_2026[[#This Row],[Fecha]],2)),'5. Setup'!$D$6:$E$12,2,FALSE)</f>
        <v>Mar</v>
      </c>
      <c r="D1950">
        <v>1044372</v>
      </c>
      <c r="E1950" t="str">
        <f>IFERROR(+VLOOKUP(Movimientos_2026[[#This Row],[Codigo]],Plan_cuentas[],2,FALSE)," ")</f>
        <v>INGRESOS</v>
      </c>
      <c r="F1950" t="str">
        <f>IFERROR(+VLOOKUP(Movimientos_2026[[#This Row],[Codigo]],Plan_cuentas[],3,FALSE)," ")</f>
        <v>Transferencia</v>
      </c>
      <c r="G1950" t="str">
        <f>IFERROR(+VLOOKUP(Movimientos_2026[[#This Row],[Codigo]],Plan_cuentas[],4,FALSE)," ")</f>
        <v>Rentas</v>
      </c>
      <c r="H1950" t="str">
        <f>IFERROR(+VLOOKUP(Movimientos_2026[[#This Row],[Codigo]],Plan_cuentas[],5,FALSE)," ")</f>
        <v>SANTA CRUZ</v>
      </c>
      <c r="I1950" s="43">
        <v>46143</v>
      </c>
      <c r="J1950" t="s">
        <v>876</v>
      </c>
      <c r="K1950" t="str">
        <f>IFERROR(+VLOOKUP(Movimientos_2026[[#This Row],[Codigo]],Plan_cuentas[],6,FALSE)," ")</f>
        <v>2 - PR - Plan Rombo</v>
      </c>
      <c r="L1950" s="50">
        <v>30955022.670000002</v>
      </c>
      <c r="M1950" s="50"/>
      <c r="N1950" s="20">
        <f>+Movimientos_2026[[#This Row],[Ingresos]]-Movimientos_2026[[#This Row],[Egresos]]</f>
        <v>30955022.670000002</v>
      </c>
      <c r="O1950" s="20">
        <f>+O1949+Movimientos_2026[[#This Row],[Neto]]</f>
        <v>4611029434.5768757</v>
      </c>
    </row>
    <row r="1951" spans="1:15" x14ac:dyDescent="0.25">
      <c r="A1951" s="13">
        <v>46189</v>
      </c>
      <c r="B1951" s="12">
        <f>MONTH(Movimientos_2026[[#This Row],[Fecha]])</f>
        <v>6</v>
      </c>
      <c r="C1951" s="12" t="str">
        <f>VLOOKUP((WEEKDAY(Movimientos_2026[[#This Row],[Fecha]],2)),'5. Setup'!$D$6:$E$12,2,FALSE)</f>
        <v>Mar</v>
      </c>
      <c r="D1951">
        <v>1044402</v>
      </c>
      <c r="E1951" t="str">
        <f>IFERROR(+VLOOKUP(Movimientos_2026[[#This Row],[Codigo]],Plan_cuentas[],2,FALSE)," ")</f>
        <v>INGRESOS</v>
      </c>
      <c r="F1951" t="str">
        <f>IFERROR(+VLOOKUP(Movimientos_2026[[#This Row],[Codigo]],Plan_cuentas[],3,FALSE)," ")</f>
        <v>Transferencia</v>
      </c>
      <c r="G1951" t="str">
        <f>IFERROR(+VLOOKUP(Movimientos_2026[[#This Row],[Codigo]],Plan_cuentas[],4,FALSE)," ")</f>
        <v>Rentas</v>
      </c>
      <c r="H1951" t="str">
        <f>IFERROR(+VLOOKUP(Movimientos_2026[[#This Row],[Codigo]],Plan_cuentas[],5,FALSE)," ")</f>
        <v>SANTIAGO DEL ESTERO</v>
      </c>
      <c r="I1951" s="43">
        <v>46143</v>
      </c>
      <c r="J1951" t="s">
        <v>876</v>
      </c>
      <c r="K1951" t="str">
        <f>IFERROR(+VLOOKUP(Movimientos_2026[[#This Row],[Codigo]],Plan_cuentas[],6,FALSE)," ")</f>
        <v>2 - PR - Plan Rombo</v>
      </c>
      <c r="L1951" s="50">
        <v>21468619.32</v>
      </c>
      <c r="M1951" s="50"/>
      <c r="N1951" s="20">
        <f>+Movimientos_2026[[#This Row],[Ingresos]]-Movimientos_2026[[#This Row],[Egresos]]</f>
        <v>21468619.32</v>
      </c>
      <c r="O1951" s="20">
        <f>+O1950+Movimientos_2026[[#This Row],[Neto]]</f>
        <v>4632498053.8968754</v>
      </c>
    </row>
    <row r="1952" spans="1:15" x14ac:dyDescent="0.25">
      <c r="A1952" s="13">
        <v>46189</v>
      </c>
      <c r="B1952" s="12">
        <f>MONTH(Movimientos_2026[[#This Row],[Fecha]])</f>
        <v>6</v>
      </c>
      <c r="C1952" s="12" t="str">
        <f>VLOOKUP((WEEKDAY(Movimientos_2026[[#This Row],[Fecha]],2)),'5. Setup'!$D$6:$E$12,2,FALSE)</f>
        <v>Mar</v>
      </c>
      <c r="D1952">
        <v>1044412</v>
      </c>
      <c r="E1952" t="str">
        <f>IFERROR(+VLOOKUP(Movimientos_2026[[#This Row],[Codigo]],Plan_cuentas[],2,FALSE)," ")</f>
        <v>INGRESOS</v>
      </c>
      <c r="F1952" t="str">
        <f>IFERROR(+VLOOKUP(Movimientos_2026[[#This Row],[Codigo]],Plan_cuentas[],3,FALSE)," ")</f>
        <v>Transferencia</v>
      </c>
      <c r="G1952" t="str">
        <f>IFERROR(+VLOOKUP(Movimientos_2026[[#This Row],[Codigo]],Plan_cuentas[],4,FALSE)," ")</f>
        <v>Rentas</v>
      </c>
      <c r="H1952" t="str">
        <f>IFERROR(+VLOOKUP(Movimientos_2026[[#This Row],[Codigo]],Plan_cuentas[],5,FALSE)," ")</f>
        <v>TIERRA DEL FUEGO</v>
      </c>
      <c r="I1952" s="43">
        <v>46143</v>
      </c>
      <c r="J1952" t="s">
        <v>876</v>
      </c>
      <c r="K1952" t="str">
        <f>IFERROR(+VLOOKUP(Movimientos_2026[[#This Row],[Codigo]],Plan_cuentas[],6,FALSE)," ")</f>
        <v>2 - PR - Plan Rombo</v>
      </c>
      <c r="L1952" s="50">
        <v>4365000.53</v>
      </c>
      <c r="M1952" s="50"/>
      <c r="N1952" s="20">
        <f>+Movimientos_2026[[#This Row],[Ingresos]]-Movimientos_2026[[#This Row],[Egresos]]</f>
        <v>4365000.53</v>
      </c>
      <c r="O1952" s="20">
        <f>+O1951+Movimientos_2026[[#This Row],[Neto]]</f>
        <v>4636863054.4268751</v>
      </c>
    </row>
    <row r="1953" spans="1:15" x14ac:dyDescent="0.25">
      <c r="A1953" s="13">
        <v>46189</v>
      </c>
      <c r="B1953" s="12">
        <f>MONTH(Movimientos_2026[[#This Row],[Fecha]])</f>
        <v>6</v>
      </c>
      <c r="C1953" s="12" t="str">
        <f>VLOOKUP((WEEKDAY(Movimientos_2026[[#This Row],[Fecha]],2)),'5. Setup'!$D$6:$E$12,2,FALSE)</f>
        <v>Mar</v>
      </c>
      <c r="D1953">
        <v>1044422</v>
      </c>
      <c r="E1953" t="str">
        <f>IFERROR(+VLOOKUP(Movimientos_2026[[#This Row],[Codigo]],Plan_cuentas[],2,FALSE)," ")</f>
        <v>INGRESOS</v>
      </c>
      <c r="F1953" t="str">
        <f>IFERROR(+VLOOKUP(Movimientos_2026[[#This Row],[Codigo]],Plan_cuentas[],3,FALSE)," ")</f>
        <v>Transferencia</v>
      </c>
      <c r="G1953" t="str">
        <f>IFERROR(+VLOOKUP(Movimientos_2026[[#This Row],[Codigo]],Plan_cuentas[],4,FALSE)," ")</f>
        <v>Rentas</v>
      </c>
      <c r="H1953" t="str">
        <f>IFERROR(+VLOOKUP(Movimientos_2026[[#This Row],[Codigo]],Plan_cuentas[],5,FALSE)," ")</f>
        <v>TUCUMAN</v>
      </c>
      <c r="I1953" s="43">
        <v>46143</v>
      </c>
      <c r="J1953" t="s">
        <v>876</v>
      </c>
      <c r="K1953" t="str">
        <f>IFERROR(+VLOOKUP(Movimientos_2026[[#This Row],[Codigo]],Plan_cuentas[],6,FALSE)," ")</f>
        <v>2 - PR - Plan Rombo</v>
      </c>
      <c r="L1953" s="50">
        <v>53127426.899999999</v>
      </c>
      <c r="M1953" s="50"/>
      <c r="N1953" s="20">
        <f>+Movimientos_2026[[#This Row],[Ingresos]]-Movimientos_2026[[#This Row],[Egresos]]</f>
        <v>53127426.899999999</v>
      </c>
      <c r="O1953" s="20">
        <f>+O1952+Movimientos_2026[[#This Row],[Neto]]</f>
        <v>4689990481.3268747</v>
      </c>
    </row>
    <row r="1954" spans="1:15" x14ac:dyDescent="0.25">
      <c r="A1954" s="13">
        <v>46189</v>
      </c>
      <c r="B1954" s="12">
        <f>MONTH(Movimientos_2026[[#This Row],[Fecha]])</f>
        <v>6</v>
      </c>
      <c r="C1954" s="12" t="str">
        <f>VLOOKUP((WEEKDAY(Movimientos_2026[[#This Row],[Fecha]],2)),'5. Setup'!$D$6:$E$12,2,FALSE)</f>
        <v>Mar</v>
      </c>
      <c r="D1954">
        <v>1043151</v>
      </c>
      <c r="E1954" t="str">
        <f>IFERROR(+VLOOKUP(Movimientos_2026[[#This Row],[Codigo]],Plan_cuentas[],2,FALSE)," ")</f>
        <v>INGRESOS</v>
      </c>
      <c r="F1954" t="str">
        <f>IFERROR(+VLOOKUP(Movimientos_2026[[#This Row],[Codigo]],Plan_cuentas[],3,FALSE)," ")</f>
        <v>Transferencia</v>
      </c>
      <c r="G1954" t="str">
        <f>IFERROR(+VLOOKUP(Movimientos_2026[[#This Row],[Codigo]],Plan_cuentas[],4,FALSE)," ")</f>
        <v>Registración</v>
      </c>
      <c r="H1954" t="str">
        <f>IFERROR(+VLOOKUP(Movimientos_2026[[#This Row],[Codigo]],Plan_cuentas[],5,FALSE)," ")</f>
        <v>CABA</v>
      </c>
      <c r="I1954" s="43">
        <v>46113</v>
      </c>
      <c r="J1954" t="s">
        <v>877</v>
      </c>
      <c r="K1954" t="str">
        <f>IFERROR(+VLOOKUP(Movimientos_2026[[#This Row],[Codigo]],Plan_cuentas[],6,FALSE)," ")</f>
        <v>1 - VW - Volkswagen</v>
      </c>
      <c r="L1954" s="50">
        <v>19258257.5</v>
      </c>
      <c r="M1954" s="50"/>
      <c r="N1954" s="20">
        <f>+Movimientos_2026[[#This Row],[Ingresos]]-Movimientos_2026[[#This Row],[Egresos]]</f>
        <v>19258257.5</v>
      </c>
      <c r="O1954" s="20">
        <f>+O1953+Movimientos_2026[[#This Row],[Neto]]</f>
        <v>4709248738.8268747</v>
      </c>
    </row>
    <row r="1955" spans="1:15" x14ac:dyDescent="0.25">
      <c r="A1955" s="13">
        <v>46189</v>
      </c>
      <c r="B1955" s="12">
        <f>MONTH(Movimientos_2026[[#This Row],[Fecha]])</f>
        <v>6</v>
      </c>
      <c r="C1955" s="12" t="str">
        <f>VLOOKUP((WEEKDAY(Movimientos_2026[[#This Row],[Fecha]],2)),'5. Setup'!$D$6:$E$12,2,FALSE)</f>
        <v>Mar</v>
      </c>
      <c r="D1955">
        <v>1043221</v>
      </c>
      <c r="E1955" t="str">
        <f>IFERROR(+VLOOKUP(Movimientos_2026[[#This Row],[Codigo]],Plan_cuentas[],2,FALSE)," ")</f>
        <v>INGRESOS</v>
      </c>
      <c r="F1955" t="str">
        <f>IFERROR(+VLOOKUP(Movimientos_2026[[#This Row],[Codigo]],Plan_cuentas[],3,FALSE)," ")</f>
        <v>Transferencia</v>
      </c>
      <c r="G1955" t="str">
        <f>IFERROR(+VLOOKUP(Movimientos_2026[[#This Row],[Codigo]],Plan_cuentas[],4,FALSE)," ")</f>
        <v>Registración</v>
      </c>
      <c r="H1955" t="str">
        <f>IFERROR(+VLOOKUP(Movimientos_2026[[#This Row],[Codigo]],Plan_cuentas[],5,FALSE)," ")</f>
        <v>ENTRE RIOS 1° Q</v>
      </c>
      <c r="I1955" s="43">
        <v>46113</v>
      </c>
      <c r="J1955" t="s">
        <v>877</v>
      </c>
      <c r="K1955" t="str">
        <f>IFERROR(+VLOOKUP(Movimientos_2026[[#This Row],[Codigo]],Plan_cuentas[],6,FALSE)," ")</f>
        <v>1 - VW - Volkswagen</v>
      </c>
      <c r="L1955" s="50">
        <v>7065476.5</v>
      </c>
      <c r="M1955" s="50"/>
      <c r="N1955" s="20">
        <f>+Movimientos_2026[[#This Row],[Ingresos]]-Movimientos_2026[[#This Row],[Egresos]]</f>
        <v>7065476.5</v>
      </c>
      <c r="O1955" s="20">
        <f>+O1954+Movimientos_2026[[#This Row],[Neto]]</f>
        <v>4716314215.3268747</v>
      </c>
    </row>
    <row r="1956" spans="1:15" x14ac:dyDescent="0.25">
      <c r="A1956" s="13">
        <v>46189</v>
      </c>
      <c r="B1956" s="12">
        <f>MONTH(Movimientos_2026[[#This Row],[Fecha]])</f>
        <v>6</v>
      </c>
      <c r="C1956" s="12" t="str">
        <f>VLOOKUP((WEEKDAY(Movimientos_2026[[#This Row],[Fecha]],2)),'5. Setup'!$D$6:$E$12,2,FALSE)</f>
        <v>Mar</v>
      </c>
      <c r="D1956">
        <v>1043231</v>
      </c>
      <c r="E1956" t="str">
        <f>IFERROR(+VLOOKUP(Movimientos_2026[[#This Row],[Codigo]],Plan_cuentas[],2,FALSE)," ")</f>
        <v>INGRESOS</v>
      </c>
      <c r="F1956" t="str">
        <f>IFERROR(+VLOOKUP(Movimientos_2026[[#This Row],[Codigo]],Plan_cuentas[],3,FALSE)," ")</f>
        <v>Transferencia</v>
      </c>
      <c r="G1956" t="str">
        <f>IFERROR(+VLOOKUP(Movimientos_2026[[#This Row],[Codigo]],Plan_cuentas[],4,FALSE)," ")</f>
        <v>Registración</v>
      </c>
      <c r="H1956" t="str">
        <f>IFERROR(+VLOOKUP(Movimientos_2026[[#This Row],[Codigo]],Plan_cuentas[],5,FALSE)," ")</f>
        <v>ENTRE RIOS 2° Q</v>
      </c>
      <c r="I1956" s="43">
        <v>46113</v>
      </c>
      <c r="J1956" t="s">
        <v>877</v>
      </c>
      <c r="K1956" t="str">
        <f>IFERROR(+VLOOKUP(Movimientos_2026[[#This Row],[Codigo]],Plan_cuentas[],6,FALSE)," ")</f>
        <v>1 - VW - Volkswagen</v>
      </c>
      <c r="L1956" s="50">
        <v>824010</v>
      </c>
      <c r="M1956" s="50"/>
      <c r="N1956" s="20">
        <f>+Movimientos_2026[[#This Row],[Ingresos]]-Movimientos_2026[[#This Row],[Egresos]]</f>
        <v>824010</v>
      </c>
      <c r="O1956" s="20">
        <f>+O1955+Movimientos_2026[[#This Row],[Neto]]</f>
        <v>4717138225.3268747</v>
      </c>
    </row>
    <row r="1957" spans="1:15" x14ac:dyDescent="0.25">
      <c r="A1957" s="13">
        <v>46189</v>
      </c>
      <c r="B1957" s="12">
        <f>MONTH(Movimientos_2026[[#This Row],[Fecha]])</f>
        <v>6</v>
      </c>
      <c r="C1957" s="12" t="str">
        <f>VLOOKUP((WEEKDAY(Movimientos_2026[[#This Row],[Fecha]],2)),'5. Setup'!$D$6:$E$12,2,FALSE)</f>
        <v>Mar</v>
      </c>
      <c r="D1957">
        <v>1043341</v>
      </c>
      <c r="E1957" t="str">
        <f>IFERROR(+VLOOKUP(Movimientos_2026[[#This Row],[Codigo]],Plan_cuentas[],2,FALSE)," ")</f>
        <v>INGRESOS</v>
      </c>
      <c r="F1957" t="str">
        <f>IFERROR(+VLOOKUP(Movimientos_2026[[#This Row],[Codigo]],Plan_cuentas[],3,FALSE)," ")</f>
        <v>Transferencia</v>
      </c>
      <c r="G1957" t="str">
        <f>IFERROR(+VLOOKUP(Movimientos_2026[[#This Row],[Codigo]],Plan_cuentas[],4,FALSE)," ")</f>
        <v>Registración</v>
      </c>
      <c r="H1957" t="str">
        <f>IFERROR(+VLOOKUP(Movimientos_2026[[#This Row],[Codigo]],Plan_cuentas[],5,FALSE)," ")</f>
        <v>RIO NEGRO</v>
      </c>
      <c r="I1957" s="43">
        <v>46113</v>
      </c>
      <c r="J1957" t="s">
        <v>877</v>
      </c>
      <c r="K1957" t="str">
        <f>IFERROR(+VLOOKUP(Movimientos_2026[[#This Row],[Codigo]],Plan_cuentas[],6,FALSE)," ")</f>
        <v>1 - VW - Volkswagen</v>
      </c>
      <c r="L1957" s="50">
        <v>11329301.779999999</v>
      </c>
      <c r="M1957" s="50"/>
      <c r="N1957" s="20">
        <f>+Movimientos_2026[[#This Row],[Ingresos]]-Movimientos_2026[[#This Row],[Egresos]]</f>
        <v>11329301.779999999</v>
      </c>
      <c r="O1957" s="20">
        <f>+O1956+Movimientos_2026[[#This Row],[Neto]]</f>
        <v>4728467527.1068745</v>
      </c>
    </row>
    <row r="1958" spans="1:15" x14ac:dyDescent="0.25">
      <c r="A1958" s="13">
        <v>46189</v>
      </c>
      <c r="B1958" s="12">
        <f>MONTH(Movimientos_2026[[#This Row],[Fecha]])</f>
        <v>6</v>
      </c>
      <c r="C1958" s="12" t="str">
        <f>VLOOKUP((WEEKDAY(Movimientos_2026[[#This Row],[Fecha]],2)),'5. Setup'!$D$6:$E$12,2,FALSE)</f>
        <v>Mar</v>
      </c>
      <c r="D1958">
        <v>1044161</v>
      </c>
      <c r="E1958" t="str">
        <f>IFERROR(+VLOOKUP(Movimientos_2026[[#This Row],[Codigo]],Plan_cuentas[],2,FALSE)," ")</f>
        <v>INGRESOS</v>
      </c>
      <c r="F1958" t="str">
        <f>IFERROR(+VLOOKUP(Movimientos_2026[[#This Row],[Codigo]],Plan_cuentas[],3,FALSE)," ")</f>
        <v>Transferencia</v>
      </c>
      <c r="G1958" t="str">
        <f>IFERROR(+VLOOKUP(Movimientos_2026[[#This Row],[Codigo]],Plan_cuentas[],4,FALSE)," ")</f>
        <v>Rentas</v>
      </c>
      <c r="H1958" t="str">
        <f>IFERROR(+VLOOKUP(Movimientos_2026[[#This Row],[Codigo]],Plan_cuentas[],5,FALSE)," ")</f>
        <v>CHACO</v>
      </c>
      <c r="I1958" s="43">
        <v>46113</v>
      </c>
      <c r="J1958" t="s">
        <v>877</v>
      </c>
      <c r="K1958" t="str">
        <f>IFERROR(+VLOOKUP(Movimientos_2026[[#This Row],[Codigo]],Plan_cuentas[],6,FALSE)," ")</f>
        <v>1 - VW - Volkswagen</v>
      </c>
      <c r="L1958" s="50">
        <v>7167177.5</v>
      </c>
      <c r="M1958" s="50"/>
      <c r="N1958" s="20">
        <f>+Movimientos_2026[[#This Row],[Ingresos]]-Movimientos_2026[[#This Row],[Egresos]]</f>
        <v>7167177.5</v>
      </c>
      <c r="O1958" s="20">
        <f>+O1957+Movimientos_2026[[#This Row],[Neto]]</f>
        <v>4735634704.6068745</v>
      </c>
    </row>
    <row r="1959" spans="1:15" x14ac:dyDescent="0.25">
      <c r="A1959" s="13">
        <v>46189</v>
      </c>
      <c r="B1959" s="12">
        <f>MONTH(Movimientos_2026[[#This Row],[Fecha]])</f>
        <v>6</v>
      </c>
      <c r="C1959" s="12" t="str">
        <f>VLOOKUP((WEEKDAY(Movimientos_2026[[#This Row],[Fecha]],2)),'5. Setup'!$D$6:$E$12,2,FALSE)</f>
        <v>Mar</v>
      </c>
      <c r="D1959">
        <v>1044171</v>
      </c>
      <c r="E1959" t="str">
        <f>IFERROR(+VLOOKUP(Movimientos_2026[[#This Row],[Codigo]],Plan_cuentas[],2,FALSE)," ")</f>
        <v>INGRESOS</v>
      </c>
      <c r="F1959" t="str">
        <f>IFERROR(+VLOOKUP(Movimientos_2026[[#This Row],[Codigo]],Plan_cuentas[],3,FALSE)," ")</f>
        <v>Transferencia</v>
      </c>
      <c r="G1959" t="str">
        <f>IFERROR(+VLOOKUP(Movimientos_2026[[#This Row],[Codigo]],Plan_cuentas[],4,FALSE)," ")</f>
        <v>Rentas</v>
      </c>
      <c r="H1959" t="str">
        <f>IFERROR(+VLOOKUP(Movimientos_2026[[#This Row],[Codigo]],Plan_cuentas[],5,FALSE)," ")</f>
        <v>CHUBUT</v>
      </c>
      <c r="I1959" s="43">
        <v>46113</v>
      </c>
      <c r="J1959" t="s">
        <v>877</v>
      </c>
      <c r="K1959" t="str">
        <f>IFERROR(+VLOOKUP(Movimientos_2026[[#This Row],[Codigo]],Plan_cuentas[],6,FALSE)," ")</f>
        <v>1 - VW - Volkswagen</v>
      </c>
      <c r="L1959" s="50">
        <v>3716994.375</v>
      </c>
      <c r="M1959" s="50"/>
      <c r="N1959" s="20">
        <f>+Movimientos_2026[[#This Row],[Ingresos]]-Movimientos_2026[[#This Row],[Egresos]]</f>
        <v>3716994.375</v>
      </c>
      <c r="O1959" s="20">
        <f>+O1958+Movimientos_2026[[#This Row],[Neto]]</f>
        <v>4739351698.9818745</v>
      </c>
    </row>
    <row r="1960" spans="1:15" ht="14.25" customHeight="1" x14ac:dyDescent="0.25">
      <c r="A1960" s="13">
        <v>46189</v>
      </c>
      <c r="B1960" s="12">
        <f>MONTH(Movimientos_2026[[#This Row],[Fecha]])</f>
        <v>6</v>
      </c>
      <c r="C1960" s="12" t="str">
        <f>VLOOKUP((WEEKDAY(Movimientos_2026[[#This Row],[Fecha]],2)),'5. Setup'!$D$6:$E$12,2,FALSE)</f>
        <v>Mar</v>
      </c>
      <c r="D1960">
        <v>1044201</v>
      </c>
      <c r="E1960" t="str">
        <f>IFERROR(+VLOOKUP(Movimientos_2026[[#This Row],[Codigo]],Plan_cuentas[],2,FALSE)," ")</f>
        <v>INGRESOS</v>
      </c>
      <c r="F1960" t="str">
        <f>IFERROR(+VLOOKUP(Movimientos_2026[[#This Row],[Codigo]],Plan_cuentas[],3,FALSE)," ")</f>
        <v>Transferencia</v>
      </c>
      <c r="G1960" t="str">
        <f>IFERROR(+VLOOKUP(Movimientos_2026[[#This Row],[Codigo]],Plan_cuentas[],4,FALSE)," ")</f>
        <v>Rentas</v>
      </c>
      <c r="H1960" t="str">
        <f>IFERROR(+VLOOKUP(Movimientos_2026[[#This Row],[Codigo]],Plan_cuentas[],5,FALSE)," ")</f>
        <v>CORRIENTES 1° Q</v>
      </c>
      <c r="I1960" s="43">
        <v>46113</v>
      </c>
      <c r="J1960" t="s">
        <v>877</v>
      </c>
      <c r="K1960" t="str">
        <f>IFERROR(+VLOOKUP(Movimientos_2026[[#This Row],[Codigo]],Plan_cuentas[],6,FALSE)," ")</f>
        <v>1 - VW - Volkswagen</v>
      </c>
      <c r="L1960" s="50">
        <v>4388521</v>
      </c>
      <c r="M1960" s="50"/>
      <c r="N1960" s="20">
        <f>+Movimientos_2026[[#This Row],[Ingresos]]-Movimientos_2026[[#This Row],[Egresos]]</f>
        <v>4388521</v>
      </c>
      <c r="O1960" s="20">
        <f>+O1959+Movimientos_2026[[#This Row],[Neto]]</f>
        <v>4743740219.9818745</v>
      </c>
    </row>
    <row r="1961" spans="1:15" ht="14.25" customHeight="1" x14ac:dyDescent="0.25">
      <c r="A1961" s="13">
        <v>46189</v>
      </c>
      <c r="B1961" s="12">
        <f>MONTH(Movimientos_2026[[#This Row],[Fecha]])</f>
        <v>6</v>
      </c>
      <c r="C1961" s="12" t="str">
        <f>VLOOKUP((WEEKDAY(Movimientos_2026[[#This Row],[Fecha]],2)),'5. Setup'!$D$6:$E$12,2,FALSE)</f>
        <v>Mar</v>
      </c>
      <c r="D1961">
        <v>1044211</v>
      </c>
      <c r="E1961" t="str">
        <f>IFERROR(+VLOOKUP(Movimientos_2026[[#This Row],[Codigo]],Plan_cuentas[],2,FALSE)," ")</f>
        <v>INGRESOS</v>
      </c>
      <c r="F1961" t="str">
        <f>IFERROR(+VLOOKUP(Movimientos_2026[[#This Row],[Codigo]],Plan_cuentas[],3,FALSE)," ")</f>
        <v>Transferencia</v>
      </c>
      <c r="G1961" t="str">
        <f>IFERROR(+VLOOKUP(Movimientos_2026[[#This Row],[Codigo]],Plan_cuentas[],4,FALSE)," ")</f>
        <v>Rentas</v>
      </c>
      <c r="H1961" t="str">
        <f>IFERROR(+VLOOKUP(Movimientos_2026[[#This Row],[Codigo]],Plan_cuentas[],5,FALSE)," ")</f>
        <v>CORRIENTES 2° Q</v>
      </c>
      <c r="I1961" s="43">
        <v>46113</v>
      </c>
      <c r="J1961" t="s">
        <v>877</v>
      </c>
      <c r="K1961" t="str">
        <f>IFERROR(+VLOOKUP(Movimientos_2026[[#This Row],[Codigo]],Plan_cuentas[],6,FALSE)," ")</f>
        <v>1 - VW - Volkswagen</v>
      </c>
      <c r="L1961" s="50">
        <v>549802.5</v>
      </c>
      <c r="M1961" s="50"/>
      <c r="N1961" s="20">
        <f>+Movimientos_2026[[#This Row],[Ingresos]]-Movimientos_2026[[#This Row],[Egresos]]</f>
        <v>549802.5</v>
      </c>
      <c r="O1961" s="20">
        <f>+O1960+Movimientos_2026[[#This Row],[Neto]]</f>
        <v>4744290022.4818745</v>
      </c>
    </row>
    <row r="1962" spans="1:15" x14ac:dyDescent="0.25">
      <c r="A1962" s="13">
        <v>46189</v>
      </c>
      <c r="B1962" s="12">
        <f>MONTH(Movimientos_2026[[#This Row],[Fecha]])</f>
        <v>6</v>
      </c>
      <c r="C1962" s="12" t="str">
        <f>VLOOKUP((WEEKDAY(Movimientos_2026[[#This Row],[Fecha]],2)),'5. Setup'!$D$6:$E$12,2,FALSE)</f>
        <v>Mar</v>
      </c>
      <c r="D1962">
        <v>1044241</v>
      </c>
      <c r="E1962" t="str">
        <f>IFERROR(+VLOOKUP(Movimientos_2026[[#This Row],[Codigo]],Plan_cuentas[],2,FALSE)," ")</f>
        <v>INGRESOS</v>
      </c>
      <c r="F1962" t="str">
        <f>IFERROR(+VLOOKUP(Movimientos_2026[[#This Row],[Codigo]],Plan_cuentas[],3,FALSE)," ")</f>
        <v>Transferencia</v>
      </c>
      <c r="G1962" t="str">
        <f>IFERROR(+VLOOKUP(Movimientos_2026[[#This Row],[Codigo]],Plan_cuentas[],4,FALSE)," ")</f>
        <v>Rentas</v>
      </c>
      <c r="H1962" t="str">
        <f>IFERROR(+VLOOKUP(Movimientos_2026[[#This Row],[Codigo]],Plan_cuentas[],5,FALSE)," ")</f>
        <v>FORMOSA</v>
      </c>
      <c r="I1962" s="43">
        <v>46113</v>
      </c>
      <c r="J1962" t="s">
        <v>877</v>
      </c>
      <c r="K1962" t="str">
        <f>IFERROR(+VLOOKUP(Movimientos_2026[[#This Row],[Codigo]],Plan_cuentas[],6,FALSE)," ")</f>
        <v>1 - VW - Volkswagen</v>
      </c>
      <c r="L1962" s="50">
        <v>3879630.25</v>
      </c>
      <c r="M1962" s="50"/>
      <c r="N1962" s="20">
        <f>+Movimientos_2026[[#This Row],[Ingresos]]-Movimientos_2026[[#This Row],[Egresos]]</f>
        <v>3879630.25</v>
      </c>
      <c r="O1962" s="20">
        <f>+O1961+Movimientos_2026[[#This Row],[Neto]]</f>
        <v>4748169652.7318745</v>
      </c>
    </row>
    <row r="1963" spans="1:15" x14ac:dyDescent="0.25">
      <c r="A1963" s="13">
        <v>46189</v>
      </c>
      <c r="B1963" s="12">
        <f>MONTH(Movimientos_2026[[#This Row],[Fecha]])</f>
        <v>6</v>
      </c>
      <c r="C1963" s="12" t="str">
        <f>VLOOKUP((WEEKDAY(Movimientos_2026[[#This Row],[Fecha]],2)),'5. Setup'!$D$6:$E$12,2,FALSE)</f>
        <v>Mar</v>
      </c>
      <c r="D1963">
        <v>1044261</v>
      </c>
      <c r="E1963" t="str">
        <f>IFERROR(+VLOOKUP(Movimientos_2026[[#This Row],[Codigo]],Plan_cuentas[],2,FALSE)," ")</f>
        <v>INGRESOS</v>
      </c>
      <c r="F1963" t="str">
        <f>IFERROR(+VLOOKUP(Movimientos_2026[[#This Row],[Codigo]],Plan_cuentas[],3,FALSE)," ")</f>
        <v>Transferencia</v>
      </c>
      <c r="G1963" t="str">
        <f>IFERROR(+VLOOKUP(Movimientos_2026[[#This Row],[Codigo]],Plan_cuentas[],4,FALSE)," ")</f>
        <v>Rentas</v>
      </c>
      <c r="H1963" t="str">
        <f>IFERROR(+VLOOKUP(Movimientos_2026[[#This Row],[Codigo]],Plan_cuentas[],5,FALSE)," ")</f>
        <v>LA PAMPA</v>
      </c>
      <c r="I1963" s="43">
        <v>46113</v>
      </c>
      <c r="J1963" t="s">
        <v>877</v>
      </c>
      <c r="K1963" t="str">
        <f>IFERROR(+VLOOKUP(Movimientos_2026[[#This Row],[Codigo]],Plan_cuentas[],6,FALSE)," ")</f>
        <v>1 - VW - Volkswagen</v>
      </c>
      <c r="L1963" s="50">
        <v>1551806.75</v>
      </c>
      <c r="M1963" s="50"/>
      <c r="N1963" s="20">
        <f>+Movimientos_2026[[#This Row],[Ingresos]]-Movimientos_2026[[#This Row],[Egresos]]</f>
        <v>1551806.75</v>
      </c>
      <c r="O1963" s="20">
        <f>+O1962+Movimientos_2026[[#This Row],[Neto]]</f>
        <v>4749721459.4818745</v>
      </c>
    </row>
    <row r="1964" spans="1:15" x14ac:dyDescent="0.25">
      <c r="A1964" s="13">
        <v>46189</v>
      </c>
      <c r="B1964" s="12">
        <f>MONTH(Movimientos_2026[[#This Row],[Fecha]])</f>
        <v>6</v>
      </c>
      <c r="C1964" s="12" t="str">
        <f>VLOOKUP((WEEKDAY(Movimientos_2026[[#This Row],[Fecha]],2)),'5. Setup'!$D$6:$E$12,2,FALSE)</f>
        <v>Mar</v>
      </c>
      <c r="D1964">
        <v>1044271</v>
      </c>
      <c r="E1964" t="str">
        <f>IFERROR(+VLOOKUP(Movimientos_2026[[#This Row],[Codigo]],Plan_cuentas[],2,FALSE)," ")</f>
        <v>INGRESOS</v>
      </c>
      <c r="F1964" t="str">
        <f>IFERROR(+VLOOKUP(Movimientos_2026[[#This Row],[Codigo]],Plan_cuentas[],3,FALSE)," ")</f>
        <v>Transferencia</v>
      </c>
      <c r="G1964" t="str">
        <f>IFERROR(+VLOOKUP(Movimientos_2026[[#This Row],[Codigo]],Plan_cuentas[],4,FALSE)," ")</f>
        <v>Rentas</v>
      </c>
      <c r="H1964" t="str">
        <f>IFERROR(+VLOOKUP(Movimientos_2026[[#This Row],[Codigo]],Plan_cuentas[],5,FALSE)," ")</f>
        <v>LA RIOJA</v>
      </c>
      <c r="I1964" s="43">
        <v>46113</v>
      </c>
      <c r="J1964" t="s">
        <v>877</v>
      </c>
      <c r="K1964" t="str">
        <f>IFERROR(+VLOOKUP(Movimientos_2026[[#This Row],[Codigo]],Plan_cuentas[],6,FALSE)," ")</f>
        <v>1 - VW - Volkswagen</v>
      </c>
      <c r="L1964" s="50">
        <v>4743122</v>
      </c>
      <c r="M1964" s="50"/>
      <c r="N1964" s="20">
        <f>+Movimientos_2026[[#This Row],[Ingresos]]-Movimientos_2026[[#This Row],[Egresos]]</f>
        <v>4743122</v>
      </c>
      <c r="O1964" s="20">
        <f>+O1963+Movimientos_2026[[#This Row],[Neto]]</f>
        <v>4754464581.4818745</v>
      </c>
    </row>
    <row r="1965" spans="1:15" x14ac:dyDescent="0.25">
      <c r="A1965" s="13">
        <v>46189</v>
      </c>
      <c r="B1965" s="12">
        <f>MONTH(Movimientos_2026[[#This Row],[Fecha]])</f>
        <v>6</v>
      </c>
      <c r="C1965" s="12" t="str">
        <f>VLOOKUP((WEEKDAY(Movimientos_2026[[#This Row],[Fecha]],2)),'5. Setup'!$D$6:$E$12,2,FALSE)</f>
        <v>Mar</v>
      </c>
      <c r="D1965">
        <v>1044281</v>
      </c>
      <c r="E1965" t="str">
        <f>IFERROR(+VLOOKUP(Movimientos_2026[[#This Row],[Codigo]],Plan_cuentas[],2,FALSE)," ")</f>
        <v>INGRESOS</v>
      </c>
      <c r="F1965" t="str">
        <f>IFERROR(+VLOOKUP(Movimientos_2026[[#This Row],[Codigo]],Plan_cuentas[],3,FALSE)," ")</f>
        <v>Transferencia</v>
      </c>
      <c r="G1965" t="str">
        <f>IFERROR(+VLOOKUP(Movimientos_2026[[#This Row],[Codigo]],Plan_cuentas[],4,FALSE)," ")</f>
        <v>Rentas</v>
      </c>
      <c r="H1965" t="str">
        <f>IFERROR(+VLOOKUP(Movimientos_2026[[#This Row],[Codigo]],Plan_cuentas[],5,FALSE)," ")</f>
        <v>MENDOZA</v>
      </c>
      <c r="I1965" s="43">
        <v>46113</v>
      </c>
      <c r="J1965" t="s">
        <v>877</v>
      </c>
      <c r="K1965" t="str">
        <f>IFERROR(+VLOOKUP(Movimientos_2026[[#This Row],[Codigo]],Plan_cuentas[],6,FALSE)," ")</f>
        <v>1 - VW - Volkswagen</v>
      </c>
      <c r="L1965" s="50">
        <v>10997192</v>
      </c>
      <c r="M1965" s="50"/>
      <c r="N1965" s="20">
        <f>+Movimientos_2026[[#This Row],[Ingresos]]-Movimientos_2026[[#This Row],[Egresos]]</f>
        <v>10997192</v>
      </c>
      <c r="O1965" s="20">
        <f>+O1964+Movimientos_2026[[#This Row],[Neto]]</f>
        <v>4765461773.4818745</v>
      </c>
    </row>
    <row r="1966" spans="1:15" x14ac:dyDescent="0.25">
      <c r="A1966" s="13">
        <v>46189</v>
      </c>
      <c r="B1966" s="12">
        <f>MONTH(Movimientos_2026[[#This Row],[Fecha]])</f>
        <v>6</v>
      </c>
      <c r="C1966" s="12" t="str">
        <f>VLOOKUP((WEEKDAY(Movimientos_2026[[#This Row],[Fecha]],2)),'5. Setup'!$D$6:$E$12,2,FALSE)</f>
        <v>Mar</v>
      </c>
      <c r="D1966">
        <v>1044461</v>
      </c>
      <c r="E1966" t="str">
        <f>IFERROR(+VLOOKUP(Movimientos_2026[[#This Row],[Codigo]],Plan_cuentas[],2,FALSE)," ")</f>
        <v>INGRESOS</v>
      </c>
      <c r="F1966" t="str">
        <f>IFERROR(+VLOOKUP(Movimientos_2026[[#This Row],[Codigo]],Plan_cuentas[],3,FALSE)," ")</f>
        <v>Transferencia</v>
      </c>
      <c r="G1966" t="str">
        <f>IFERROR(+VLOOKUP(Movimientos_2026[[#This Row],[Codigo]],Plan_cuentas[],4,FALSE)," ")</f>
        <v>Rentas</v>
      </c>
      <c r="H1966" t="str">
        <f>IFERROR(+VLOOKUP(Movimientos_2026[[#This Row],[Codigo]],Plan_cuentas[],5,FALSE)," ")</f>
        <v>MISIONES</v>
      </c>
      <c r="I1966" s="43">
        <v>46113</v>
      </c>
      <c r="J1966" t="s">
        <v>877</v>
      </c>
      <c r="K1966" t="str">
        <f>IFERROR(+VLOOKUP(Movimientos_2026[[#This Row],[Codigo]],Plan_cuentas[],6,FALSE)," ")</f>
        <v>1 - VW - Volkswagen</v>
      </c>
      <c r="L1966" s="50">
        <v>772032.38588696346</v>
      </c>
      <c r="M1966" s="50"/>
      <c r="N1966" s="20">
        <f>+Movimientos_2026[[#This Row],[Ingresos]]-Movimientos_2026[[#This Row],[Egresos]]</f>
        <v>772032.38588696346</v>
      </c>
      <c r="O1966" s="20">
        <f>+O1965+Movimientos_2026[[#This Row],[Neto]]</f>
        <v>4766233805.8677616</v>
      </c>
    </row>
    <row r="1967" spans="1:15" x14ac:dyDescent="0.25">
      <c r="A1967" s="13">
        <v>46189</v>
      </c>
      <c r="B1967" s="12">
        <f>MONTH(Movimientos_2026[[#This Row],[Fecha]])</f>
        <v>6</v>
      </c>
      <c r="C1967" s="12" t="str">
        <f>VLOOKUP((WEEKDAY(Movimientos_2026[[#This Row],[Fecha]],2)),'5. Setup'!$D$6:$E$12,2,FALSE)</f>
        <v>Mar</v>
      </c>
      <c r="D1967">
        <v>1044311</v>
      </c>
      <c r="E1967" t="str">
        <f>IFERROR(+VLOOKUP(Movimientos_2026[[#This Row],[Codigo]],Plan_cuentas[],2,FALSE)," ")</f>
        <v>INGRESOS</v>
      </c>
      <c r="F1967" t="str">
        <f>IFERROR(+VLOOKUP(Movimientos_2026[[#This Row],[Codigo]],Plan_cuentas[],3,FALSE)," ")</f>
        <v>Transferencia</v>
      </c>
      <c r="G1967" t="str">
        <f>IFERROR(+VLOOKUP(Movimientos_2026[[#This Row],[Codigo]],Plan_cuentas[],4,FALSE)," ")</f>
        <v>Rentas</v>
      </c>
      <c r="H1967" t="str">
        <f>IFERROR(+VLOOKUP(Movimientos_2026[[#This Row],[Codigo]],Plan_cuentas[],5,FALSE)," ")</f>
        <v>NEUQUEN 1° Q</v>
      </c>
      <c r="I1967" s="43">
        <v>46113</v>
      </c>
      <c r="J1967" t="s">
        <v>877</v>
      </c>
      <c r="K1967" t="str">
        <f>IFERROR(+VLOOKUP(Movimientos_2026[[#This Row],[Codigo]],Plan_cuentas[],6,FALSE)," ")</f>
        <v>1 - VW - Volkswagen</v>
      </c>
      <c r="L1967" s="50">
        <v>15012681</v>
      </c>
      <c r="M1967" s="50"/>
      <c r="N1967" s="20">
        <f>+Movimientos_2026[[#This Row],[Ingresos]]-Movimientos_2026[[#This Row],[Egresos]]</f>
        <v>15012681</v>
      </c>
      <c r="O1967" s="20">
        <f>+O1966+Movimientos_2026[[#This Row],[Neto]]</f>
        <v>4781246486.8677616</v>
      </c>
    </row>
    <row r="1968" spans="1:15" x14ac:dyDescent="0.25">
      <c r="A1968" s="13">
        <v>46189</v>
      </c>
      <c r="B1968" s="12">
        <f>MONTH(Movimientos_2026[[#This Row],[Fecha]])</f>
        <v>6</v>
      </c>
      <c r="C1968" s="12" t="str">
        <f>VLOOKUP((WEEKDAY(Movimientos_2026[[#This Row],[Fecha]],2)),'5. Setup'!$D$6:$E$12,2,FALSE)</f>
        <v>Mar</v>
      </c>
      <c r="D1968">
        <v>1044321</v>
      </c>
      <c r="E1968" t="str">
        <f>IFERROR(+VLOOKUP(Movimientos_2026[[#This Row],[Codigo]],Plan_cuentas[],2,FALSE)," ")</f>
        <v>INGRESOS</v>
      </c>
      <c r="F1968" t="str">
        <f>IFERROR(+VLOOKUP(Movimientos_2026[[#This Row],[Codigo]],Plan_cuentas[],3,FALSE)," ")</f>
        <v>Transferencia</v>
      </c>
      <c r="G1968" t="str">
        <f>IFERROR(+VLOOKUP(Movimientos_2026[[#This Row],[Codigo]],Plan_cuentas[],4,FALSE)," ")</f>
        <v>Rentas</v>
      </c>
      <c r="H1968" t="str">
        <f>IFERROR(+VLOOKUP(Movimientos_2026[[#This Row],[Codigo]],Plan_cuentas[],5,FALSE)," ")</f>
        <v>NEUQUEN 2° Q</v>
      </c>
      <c r="I1968" s="43">
        <v>46113</v>
      </c>
      <c r="J1968" t="s">
        <v>877</v>
      </c>
      <c r="K1968" t="str">
        <f>IFERROR(+VLOOKUP(Movimientos_2026[[#This Row],[Codigo]],Plan_cuentas[],6,FALSE)," ")</f>
        <v>1 - VW - Volkswagen</v>
      </c>
      <c r="L1968" s="50">
        <v>2840149</v>
      </c>
      <c r="M1968" s="50"/>
      <c r="N1968" s="20">
        <f>+Movimientos_2026[[#This Row],[Ingresos]]-Movimientos_2026[[#This Row],[Egresos]]</f>
        <v>2840149</v>
      </c>
      <c r="O1968" s="20">
        <f>+O1967+Movimientos_2026[[#This Row],[Neto]]</f>
        <v>4784086635.8677616</v>
      </c>
    </row>
    <row r="1969" spans="1:15" x14ac:dyDescent="0.25">
      <c r="A1969" s="13">
        <v>46189</v>
      </c>
      <c r="B1969" s="12">
        <f>MONTH(Movimientos_2026[[#This Row],[Fecha]])</f>
        <v>6</v>
      </c>
      <c r="C1969" s="12" t="str">
        <f>VLOOKUP((WEEKDAY(Movimientos_2026[[#This Row],[Fecha]],2)),'5. Setup'!$D$6:$E$12,2,FALSE)</f>
        <v>Mar</v>
      </c>
      <c r="D1969">
        <v>1044351</v>
      </c>
      <c r="E1969" t="str">
        <f>IFERROR(+VLOOKUP(Movimientos_2026[[#This Row],[Codigo]],Plan_cuentas[],2,FALSE)," ")</f>
        <v>INGRESOS</v>
      </c>
      <c r="F1969" t="str">
        <f>IFERROR(+VLOOKUP(Movimientos_2026[[#This Row],[Codigo]],Plan_cuentas[],3,FALSE)," ")</f>
        <v>Transferencia</v>
      </c>
      <c r="G1969" t="str">
        <f>IFERROR(+VLOOKUP(Movimientos_2026[[#This Row],[Codigo]],Plan_cuentas[],4,FALSE)," ")</f>
        <v>Rentas</v>
      </c>
      <c r="H1969" t="str">
        <f>IFERROR(+VLOOKUP(Movimientos_2026[[#This Row],[Codigo]],Plan_cuentas[],5,FALSE)," ")</f>
        <v>SAN JUAN</v>
      </c>
      <c r="I1969" s="43">
        <v>46113</v>
      </c>
      <c r="J1969" t="s">
        <v>877</v>
      </c>
      <c r="K1969" t="str">
        <f>IFERROR(+VLOOKUP(Movimientos_2026[[#This Row],[Codigo]],Plan_cuentas[],6,FALSE)," ")</f>
        <v>1 - VW - Volkswagen</v>
      </c>
      <c r="L1969" s="50">
        <v>1245663.3600000001</v>
      </c>
      <c r="M1969" s="50"/>
      <c r="N1969" s="20">
        <f>+Movimientos_2026[[#This Row],[Ingresos]]-Movimientos_2026[[#This Row],[Egresos]]</f>
        <v>1245663.3600000001</v>
      </c>
      <c r="O1969" s="20">
        <f>+O1968+Movimientos_2026[[#This Row],[Neto]]</f>
        <v>4785332299.2277613</v>
      </c>
    </row>
    <row r="1970" spans="1:15" x14ac:dyDescent="0.25">
      <c r="A1970" s="13">
        <v>46189</v>
      </c>
      <c r="B1970" s="12">
        <f>MONTH(Movimientos_2026[[#This Row],[Fecha]])</f>
        <v>6</v>
      </c>
      <c r="C1970" s="12" t="str">
        <f>VLOOKUP((WEEKDAY(Movimientos_2026[[#This Row],[Fecha]],2)),'5. Setup'!$D$6:$E$12,2,FALSE)</f>
        <v>Mar</v>
      </c>
      <c r="D1970">
        <v>1044361</v>
      </c>
      <c r="E1970" t="str">
        <f>IFERROR(+VLOOKUP(Movimientos_2026[[#This Row],[Codigo]],Plan_cuentas[],2,FALSE)," ")</f>
        <v>INGRESOS</v>
      </c>
      <c r="F1970" t="str">
        <f>IFERROR(+VLOOKUP(Movimientos_2026[[#This Row],[Codigo]],Plan_cuentas[],3,FALSE)," ")</f>
        <v>Transferencia</v>
      </c>
      <c r="G1970" t="str">
        <f>IFERROR(+VLOOKUP(Movimientos_2026[[#This Row],[Codigo]],Plan_cuentas[],4,FALSE)," ")</f>
        <v>Rentas</v>
      </c>
      <c r="H1970" t="str">
        <f>IFERROR(+VLOOKUP(Movimientos_2026[[#This Row],[Codigo]],Plan_cuentas[],5,FALSE)," ")</f>
        <v>SAN LUIS</v>
      </c>
      <c r="I1970" s="43">
        <v>46113</v>
      </c>
      <c r="J1970" t="s">
        <v>877</v>
      </c>
      <c r="K1970" t="str">
        <f>IFERROR(+VLOOKUP(Movimientos_2026[[#This Row],[Codigo]],Plan_cuentas[],6,FALSE)," ")</f>
        <v>1 - VW - Volkswagen</v>
      </c>
      <c r="L1970" s="50">
        <v>4638558.5999999996</v>
      </c>
      <c r="M1970" s="50"/>
      <c r="N1970" s="20">
        <f>+Movimientos_2026[[#This Row],[Ingresos]]-Movimientos_2026[[#This Row],[Egresos]]</f>
        <v>4638558.5999999996</v>
      </c>
      <c r="O1970" s="20">
        <f>+O1969+Movimientos_2026[[#This Row],[Neto]]</f>
        <v>4789970857.8277617</v>
      </c>
    </row>
    <row r="1971" spans="1:15" x14ac:dyDescent="0.25">
      <c r="A1971" s="13">
        <v>46189</v>
      </c>
      <c r="B1971" s="12">
        <f>MONTH(Movimientos_2026[[#This Row],[Fecha]])</f>
        <v>6</v>
      </c>
      <c r="C1971" s="12" t="str">
        <f>VLOOKUP((WEEKDAY(Movimientos_2026[[#This Row],[Fecha]],2)),'5. Setup'!$D$6:$E$12,2,FALSE)</f>
        <v>Mar</v>
      </c>
      <c r="D1971">
        <v>1044371</v>
      </c>
      <c r="E1971" t="str">
        <f>IFERROR(+VLOOKUP(Movimientos_2026[[#This Row],[Codigo]],Plan_cuentas[],2,FALSE)," ")</f>
        <v>INGRESOS</v>
      </c>
      <c r="F1971" t="str">
        <f>IFERROR(+VLOOKUP(Movimientos_2026[[#This Row],[Codigo]],Plan_cuentas[],3,FALSE)," ")</f>
        <v>Transferencia</v>
      </c>
      <c r="G1971" t="str">
        <f>IFERROR(+VLOOKUP(Movimientos_2026[[#This Row],[Codigo]],Plan_cuentas[],4,FALSE)," ")</f>
        <v>Rentas</v>
      </c>
      <c r="H1971" t="str">
        <f>IFERROR(+VLOOKUP(Movimientos_2026[[#This Row],[Codigo]],Plan_cuentas[],5,FALSE)," ")</f>
        <v>SANTA CRUZ</v>
      </c>
      <c r="I1971" s="43">
        <v>46113</v>
      </c>
      <c r="J1971" t="s">
        <v>877</v>
      </c>
      <c r="K1971" t="str">
        <f>IFERROR(+VLOOKUP(Movimientos_2026[[#This Row],[Codigo]],Plan_cuentas[],6,FALSE)," ")</f>
        <v>1 - VW - Volkswagen</v>
      </c>
      <c r="L1971" s="50">
        <v>4737167.4000000004</v>
      </c>
      <c r="M1971" s="50"/>
      <c r="N1971" s="20">
        <f>+Movimientos_2026[[#This Row],[Ingresos]]-Movimientos_2026[[#This Row],[Egresos]]</f>
        <v>4737167.4000000004</v>
      </c>
      <c r="O1971" s="20">
        <f>+O1970+Movimientos_2026[[#This Row],[Neto]]</f>
        <v>4794708025.2277613</v>
      </c>
    </row>
    <row r="1972" spans="1:15" x14ac:dyDescent="0.25">
      <c r="A1972" s="13">
        <v>46189</v>
      </c>
      <c r="B1972" s="12">
        <f>MONTH(Movimientos_2026[[#This Row],[Fecha]])</f>
        <v>6</v>
      </c>
      <c r="C1972" s="12" t="str">
        <f>VLOOKUP((WEEKDAY(Movimientos_2026[[#This Row],[Fecha]],2)),'5. Setup'!$D$6:$E$12,2,FALSE)</f>
        <v>Mar</v>
      </c>
      <c r="D1972">
        <v>1044381</v>
      </c>
      <c r="E1972" t="str">
        <f>IFERROR(+VLOOKUP(Movimientos_2026[[#This Row],[Codigo]],Plan_cuentas[],2,FALSE)," ")</f>
        <v>INGRESOS</v>
      </c>
      <c r="F1972" t="str">
        <f>IFERROR(+VLOOKUP(Movimientos_2026[[#This Row],[Codigo]],Plan_cuentas[],3,FALSE)," ")</f>
        <v>Transferencia</v>
      </c>
      <c r="G1972" t="str">
        <f>IFERROR(+VLOOKUP(Movimientos_2026[[#This Row],[Codigo]],Plan_cuentas[],4,FALSE)," ")</f>
        <v>Rentas</v>
      </c>
      <c r="H1972" t="str">
        <f>IFERROR(+VLOOKUP(Movimientos_2026[[#This Row],[Codigo]],Plan_cuentas[],5,FALSE)," ")</f>
        <v>SANTA FE 1° Q</v>
      </c>
      <c r="I1972" s="43">
        <v>46113</v>
      </c>
      <c r="J1972" t="s">
        <v>877</v>
      </c>
      <c r="K1972" t="str">
        <f>IFERROR(+VLOOKUP(Movimientos_2026[[#This Row],[Codigo]],Plan_cuentas[],6,FALSE)," ")</f>
        <v>1 - VW - Volkswagen</v>
      </c>
      <c r="L1972" s="50">
        <v>10336993</v>
      </c>
      <c r="M1972" s="50"/>
      <c r="N1972" s="20">
        <f>+Movimientos_2026[[#This Row],[Ingresos]]-Movimientos_2026[[#This Row],[Egresos]]</f>
        <v>10336993</v>
      </c>
      <c r="O1972" s="20">
        <f>+O1971+Movimientos_2026[[#This Row],[Neto]]</f>
        <v>4805045018.2277613</v>
      </c>
    </row>
    <row r="1973" spans="1:15" x14ac:dyDescent="0.25">
      <c r="A1973" s="13">
        <v>46189</v>
      </c>
      <c r="B1973" s="12">
        <f>MONTH(Movimientos_2026[[#This Row],[Fecha]])</f>
        <v>6</v>
      </c>
      <c r="C1973" s="12" t="str">
        <f>VLOOKUP((WEEKDAY(Movimientos_2026[[#This Row],[Fecha]],2)),'5. Setup'!$D$6:$E$12,2,FALSE)</f>
        <v>Mar</v>
      </c>
      <c r="D1973">
        <v>1044391</v>
      </c>
      <c r="E1973" t="str">
        <f>IFERROR(+VLOOKUP(Movimientos_2026[[#This Row],[Codigo]],Plan_cuentas[],2,FALSE)," ")</f>
        <v>INGRESOS</v>
      </c>
      <c r="F1973" t="str">
        <f>IFERROR(+VLOOKUP(Movimientos_2026[[#This Row],[Codigo]],Plan_cuentas[],3,FALSE)," ")</f>
        <v>Transferencia</v>
      </c>
      <c r="G1973" t="str">
        <f>IFERROR(+VLOOKUP(Movimientos_2026[[#This Row],[Codigo]],Plan_cuentas[],4,FALSE)," ")</f>
        <v>Rentas</v>
      </c>
      <c r="H1973" t="str">
        <f>IFERROR(+VLOOKUP(Movimientos_2026[[#This Row],[Codigo]],Plan_cuentas[],5,FALSE)," ")</f>
        <v>SANTA FE 2° Q</v>
      </c>
      <c r="I1973" s="43">
        <v>46113</v>
      </c>
      <c r="J1973" t="s">
        <v>877</v>
      </c>
      <c r="K1973" t="str">
        <f>IFERROR(+VLOOKUP(Movimientos_2026[[#This Row],[Codigo]],Plan_cuentas[],6,FALSE)," ")</f>
        <v>1 - VW - Volkswagen</v>
      </c>
      <c r="L1973" s="50">
        <v>2303220.25</v>
      </c>
      <c r="M1973" s="50"/>
      <c r="N1973" s="20">
        <f>+Movimientos_2026[[#This Row],[Ingresos]]-Movimientos_2026[[#This Row],[Egresos]]</f>
        <v>2303220.25</v>
      </c>
      <c r="O1973" s="20">
        <f>+O1972+Movimientos_2026[[#This Row],[Neto]]</f>
        <v>4807348238.4777613</v>
      </c>
    </row>
    <row r="1974" spans="1:15" x14ac:dyDescent="0.25">
      <c r="A1974" s="13">
        <v>46189</v>
      </c>
      <c r="B1974" s="12">
        <f>MONTH(Movimientos_2026[[#This Row],[Fecha]])</f>
        <v>6</v>
      </c>
      <c r="C1974" s="12" t="str">
        <f>VLOOKUP((WEEKDAY(Movimientos_2026[[#This Row],[Fecha]],2)),'5. Setup'!$D$6:$E$12,2,FALSE)</f>
        <v>Mar</v>
      </c>
      <c r="D1974">
        <v>1044401</v>
      </c>
      <c r="E1974" t="str">
        <f>IFERROR(+VLOOKUP(Movimientos_2026[[#This Row],[Codigo]],Plan_cuentas[],2,FALSE)," ")</f>
        <v>INGRESOS</v>
      </c>
      <c r="F1974" t="str">
        <f>IFERROR(+VLOOKUP(Movimientos_2026[[#This Row],[Codigo]],Plan_cuentas[],3,FALSE)," ")</f>
        <v>Transferencia</v>
      </c>
      <c r="G1974" t="str">
        <f>IFERROR(+VLOOKUP(Movimientos_2026[[#This Row],[Codigo]],Plan_cuentas[],4,FALSE)," ")</f>
        <v>Rentas</v>
      </c>
      <c r="H1974" t="str">
        <f>IFERROR(+VLOOKUP(Movimientos_2026[[#This Row],[Codigo]],Plan_cuentas[],5,FALSE)," ")</f>
        <v>SANTIAGO DEL ESTERO</v>
      </c>
      <c r="I1974" s="43">
        <v>46113</v>
      </c>
      <c r="J1974" t="s">
        <v>877</v>
      </c>
      <c r="K1974" t="str">
        <f>IFERROR(+VLOOKUP(Movimientos_2026[[#This Row],[Codigo]],Plan_cuentas[],6,FALSE)," ")</f>
        <v>1 - VW - Volkswagen</v>
      </c>
      <c r="L1974" s="50">
        <v>5424580.5</v>
      </c>
      <c r="M1974" s="50"/>
      <c r="N1974" s="20">
        <f>+Movimientos_2026[[#This Row],[Ingresos]]-Movimientos_2026[[#This Row],[Egresos]]</f>
        <v>5424580.5</v>
      </c>
      <c r="O1974" s="20">
        <f>+O1973+Movimientos_2026[[#This Row],[Neto]]</f>
        <v>4812772818.9777613</v>
      </c>
    </row>
    <row r="1975" spans="1:15" x14ac:dyDescent="0.25">
      <c r="A1975" s="13">
        <v>46189</v>
      </c>
      <c r="B1975" s="12">
        <f>MONTH(Movimientos_2026[[#This Row],[Fecha]])</f>
        <v>6</v>
      </c>
      <c r="C1975" s="12" t="str">
        <f>VLOOKUP((WEEKDAY(Movimientos_2026[[#This Row],[Fecha]],2)),'5. Setup'!$D$6:$E$12,2,FALSE)</f>
        <v>Mar</v>
      </c>
      <c r="D1975">
        <v>1044411</v>
      </c>
      <c r="E1975" t="str">
        <f>IFERROR(+VLOOKUP(Movimientos_2026[[#This Row],[Codigo]],Plan_cuentas[],2,FALSE)," ")</f>
        <v>INGRESOS</v>
      </c>
      <c r="F1975" t="str">
        <f>IFERROR(+VLOOKUP(Movimientos_2026[[#This Row],[Codigo]],Plan_cuentas[],3,FALSE)," ")</f>
        <v>Transferencia</v>
      </c>
      <c r="G1975" t="str">
        <f>IFERROR(+VLOOKUP(Movimientos_2026[[#This Row],[Codigo]],Plan_cuentas[],4,FALSE)," ")</f>
        <v>Rentas</v>
      </c>
      <c r="H1975" t="str">
        <f>IFERROR(+VLOOKUP(Movimientos_2026[[#This Row],[Codigo]],Plan_cuentas[],5,FALSE)," ")</f>
        <v>TIERRA DEL FUEGO</v>
      </c>
      <c r="I1975" s="43">
        <v>46113</v>
      </c>
      <c r="J1975" t="s">
        <v>877</v>
      </c>
      <c r="K1975" t="str">
        <f>IFERROR(+VLOOKUP(Movimientos_2026[[#This Row],[Codigo]],Plan_cuentas[],6,FALSE)," ")</f>
        <v>1 - VW - Volkswagen</v>
      </c>
      <c r="L1975" s="50">
        <v>2387565</v>
      </c>
      <c r="M1975" s="50"/>
      <c r="N1975" s="20">
        <f>+Movimientos_2026[[#This Row],[Ingresos]]-Movimientos_2026[[#This Row],[Egresos]]</f>
        <v>2387565</v>
      </c>
      <c r="O1975" s="20">
        <f>+O1974+Movimientos_2026[[#This Row],[Neto]]</f>
        <v>4815160383.9777613</v>
      </c>
    </row>
    <row r="1976" spans="1:15" x14ac:dyDescent="0.25">
      <c r="A1976" s="13">
        <v>46189</v>
      </c>
      <c r="B1976" s="12">
        <f>MONTH(Movimientos_2026[[#This Row],[Fecha]])</f>
        <v>6</v>
      </c>
      <c r="C1976" s="12" t="str">
        <f>VLOOKUP((WEEKDAY(Movimientos_2026[[#This Row],[Fecha]],2)),'5. Setup'!$D$6:$E$12,2,FALSE)</f>
        <v>Mar</v>
      </c>
      <c r="D1976">
        <v>1044421</v>
      </c>
      <c r="E1976" t="str">
        <f>IFERROR(+VLOOKUP(Movimientos_2026[[#This Row],[Codigo]],Plan_cuentas[],2,FALSE)," ")</f>
        <v>INGRESOS</v>
      </c>
      <c r="F1976" t="str">
        <f>IFERROR(+VLOOKUP(Movimientos_2026[[#This Row],[Codigo]],Plan_cuentas[],3,FALSE)," ")</f>
        <v>Transferencia</v>
      </c>
      <c r="G1976" t="str">
        <f>IFERROR(+VLOOKUP(Movimientos_2026[[#This Row],[Codigo]],Plan_cuentas[],4,FALSE)," ")</f>
        <v>Rentas</v>
      </c>
      <c r="H1976" t="str">
        <f>IFERROR(+VLOOKUP(Movimientos_2026[[#This Row],[Codigo]],Plan_cuentas[],5,FALSE)," ")</f>
        <v>TUCUMAN</v>
      </c>
      <c r="I1976" s="43">
        <v>46113</v>
      </c>
      <c r="J1976" t="s">
        <v>877</v>
      </c>
      <c r="K1976" t="str">
        <f>IFERROR(+VLOOKUP(Movimientos_2026[[#This Row],[Codigo]],Plan_cuentas[],6,FALSE)," ")</f>
        <v>1 - VW - Volkswagen</v>
      </c>
      <c r="L1976" s="50">
        <v>10008912.68196</v>
      </c>
      <c r="M1976" s="50"/>
      <c r="N1976" s="20">
        <f>+Movimientos_2026[[#This Row],[Ingresos]]-Movimientos_2026[[#This Row],[Egresos]]</f>
        <v>10008912.68196</v>
      </c>
      <c r="O1976" s="20">
        <f>+O1975+Movimientos_2026[[#This Row],[Neto]]</f>
        <v>4825169296.6597214</v>
      </c>
    </row>
    <row r="1977" spans="1:15" x14ac:dyDescent="0.25">
      <c r="A1977" s="13">
        <v>46189</v>
      </c>
      <c r="B1977" s="12">
        <f>MONTH(Movimientos_2026[[#This Row],[Fecha]])</f>
        <v>6</v>
      </c>
      <c r="C1977" s="12" t="str">
        <f>VLOOKUP((WEEKDAY(Movimientos_2026[[#This Row],[Fecha]],2)),'5. Setup'!$D$6:$E$12,2,FALSE)</f>
        <v>Mar</v>
      </c>
      <c r="D1977">
        <v>1043141</v>
      </c>
      <c r="E1977" t="str">
        <f>IFERROR(+VLOOKUP(Movimientos_2026[[#This Row],[Codigo]],Plan_cuentas[],2,FALSE)," ")</f>
        <v>INGRESOS</v>
      </c>
      <c r="F1977" t="str">
        <f>IFERROR(+VLOOKUP(Movimientos_2026[[#This Row],[Codigo]],Plan_cuentas[],3,FALSE)," ")</f>
        <v>Transferencia</v>
      </c>
      <c r="G1977" t="str">
        <f>IFERROR(+VLOOKUP(Movimientos_2026[[#This Row],[Codigo]],Plan_cuentas[],4,FALSE)," ")</f>
        <v>Registración</v>
      </c>
      <c r="H1977" t="str">
        <f>IFERROR(+VLOOKUP(Movimientos_2026[[#This Row],[Codigo]],Plan_cuentas[],5,FALSE)," ")</f>
        <v>BUENOS AIRES</v>
      </c>
      <c r="I1977" s="43">
        <v>46113</v>
      </c>
      <c r="J1977" t="s">
        <v>877</v>
      </c>
      <c r="K1977" t="str">
        <f>IFERROR(+VLOOKUP(Movimientos_2026[[#This Row],[Codigo]],Plan_cuentas[],6,FALSE)," ")</f>
        <v>1 - VW - Volkswagen</v>
      </c>
      <c r="L1977" s="50">
        <v>41289511.549999997</v>
      </c>
      <c r="M1977" s="50"/>
      <c r="N1977" s="20">
        <f>+Movimientos_2026[[#This Row],[Ingresos]]-Movimientos_2026[[#This Row],[Egresos]]</f>
        <v>41289511.549999997</v>
      </c>
      <c r="O1977" s="20">
        <f>+O1976+Movimientos_2026[[#This Row],[Neto]]</f>
        <v>4866458808.2097216</v>
      </c>
    </row>
    <row r="1978" spans="1:15" x14ac:dyDescent="0.25">
      <c r="A1978" s="13">
        <v>46189</v>
      </c>
      <c r="B1978" s="12">
        <f>MONTH(Movimientos_2026[[#This Row],[Fecha]])</f>
        <v>6</v>
      </c>
      <c r="C1978" s="12" t="str">
        <f>VLOOKUP((WEEKDAY(Movimientos_2026[[#This Row],[Fecha]],2)),'5. Setup'!$D$6:$E$12,2,FALSE)</f>
        <v>Mar</v>
      </c>
      <c r="D1978">
        <v>1041131</v>
      </c>
      <c r="E1978" t="str">
        <f>IFERROR(+VLOOKUP(Movimientos_2026[[#This Row],[Codigo]],Plan_cuentas[],2,FALSE)," ")</f>
        <v>INGRESOS</v>
      </c>
      <c r="F1978" t="str">
        <f>IFERROR(+VLOOKUP(Movimientos_2026[[#This Row],[Codigo]],Plan_cuentas[],3,FALSE)," ")</f>
        <v>Transferencia</v>
      </c>
      <c r="G1978" t="str">
        <f>IFERROR(+VLOOKUP(Movimientos_2026[[#This Row],[Codigo]],Plan_cuentas[],4,FALSE)," ")</f>
        <v>Entidades co-participadas</v>
      </c>
      <c r="H1978" t="str">
        <f>IFERROR(+VLOOKUP(Movimientos_2026[[#This Row],[Codigo]],Plan_cuentas[],5,FALSE)," ")</f>
        <v>BCLP</v>
      </c>
      <c r="I1978" s="43">
        <v>46113</v>
      </c>
      <c r="J1978" t="s">
        <v>877</v>
      </c>
      <c r="K1978" t="str">
        <f>IFERROR(+VLOOKUP(Movimientos_2026[[#This Row],[Codigo]],Plan_cuentas[],6,FALSE)," ")</f>
        <v>1 - VW - Volkswagen</v>
      </c>
      <c r="L1978" s="50">
        <v>41289511.549999997</v>
      </c>
      <c r="M1978" s="50"/>
      <c r="N1978" s="20">
        <f>+Movimientos_2026[[#This Row],[Ingresos]]-Movimientos_2026[[#This Row],[Egresos]]</f>
        <v>41289511.549999997</v>
      </c>
      <c r="O1978" s="20">
        <f>+O1977+Movimientos_2026[[#This Row],[Neto]]</f>
        <v>4907748319.7597218</v>
      </c>
    </row>
    <row r="1979" spans="1:15" x14ac:dyDescent="0.25">
      <c r="A1979" s="13">
        <v>46189</v>
      </c>
      <c r="B1979" s="12">
        <f>MONTH(Movimientos_2026[[#This Row],[Fecha]])</f>
        <v>6</v>
      </c>
      <c r="C1979" s="12" t="str">
        <f>VLOOKUP((WEEKDAY(Movimientos_2026[[#This Row],[Fecha]],2)),'5. Setup'!$D$6:$E$12,2,FALSE)</f>
        <v>Mar</v>
      </c>
      <c r="D1979">
        <v>1041441</v>
      </c>
      <c r="E1979" t="str">
        <f>IFERROR(+VLOOKUP(Movimientos_2026[[#This Row],[Codigo]],Plan_cuentas[],2,FALSE)," ")</f>
        <v>INGRESOS</v>
      </c>
      <c r="F1979" t="str">
        <f>IFERROR(+VLOOKUP(Movimientos_2026[[#This Row],[Codigo]],Plan_cuentas[],3,FALSE)," ")</f>
        <v>Transferencia</v>
      </c>
      <c r="G1979" t="str">
        <f>IFERROR(+VLOOKUP(Movimientos_2026[[#This Row],[Codigo]],Plan_cuentas[],4,FALSE)," ")</f>
        <v>Entidades co-participadas</v>
      </c>
      <c r="H1979" t="str">
        <f>IFERROR(+VLOOKUP(Movimientos_2026[[#This Row],[Codigo]],Plan_cuentas[],5,FALSE)," ")</f>
        <v>UISCUMARR</v>
      </c>
      <c r="I1979" s="43">
        <v>46113</v>
      </c>
      <c r="J1979" t="s">
        <v>877</v>
      </c>
      <c r="K1979" t="str">
        <f>IFERROR(+VLOOKUP(Movimientos_2026[[#This Row],[Codigo]],Plan_cuentas[],6,FALSE)," ")</f>
        <v>1 - VW - Volkswagen</v>
      </c>
      <c r="L1979" s="50">
        <v>41289511.549999997</v>
      </c>
      <c r="M1979" s="50"/>
      <c r="N1979" s="20">
        <f>+Movimientos_2026[[#This Row],[Ingresos]]-Movimientos_2026[[#This Row],[Egresos]]</f>
        <v>41289511.549999997</v>
      </c>
      <c r="O1979" s="20">
        <f>+O1978+Movimientos_2026[[#This Row],[Neto]]</f>
        <v>4949037831.3097219</v>
      </c>
    </row>
    <row r="1980" spans="1:15" x14ac:dyDescent="0.25">
      <c r="A1980" s="13">
        <v>46189</v>
      </c>
      <c r="B1980" s="12">
        <f>MONTH(Movimientos_2026[[#This Row],[Fecha]])</f>
        <v>6</v>
      </c>
      <c r="C1980" s="12" t="str">
        <f>VLOOKUP((WEEKDAY(Movimientos_2026[[#This Row],[Fecha]],2)),'5. Setup'!$D$6:$E$12,2,FALSE)</f>
        <v>Mar</v>
      </c>
      <c r="D1980">
        <v>1043151</v>
      </c>
      <c r="E1980" t="str">
        <f>IFERROR(+VLOOKUP(Movimientos_2026[[#This Row],[Codigo]],Plan_cuentas[],2,FALSE)," ")</f>
        <v>INGRESOS</v>
      </c>
      <c r="F1980" t="str">
        <f>IFERROR(+VLOOKUP(Movimientos_2026[[#This Row],[Codigo]],Plan_cuentas[],3,FALSE)," ")</f>
        <v>Transferencia</v>
      </c>
      <c r="G1980" t="str">
        <f>IFERROR(+VLOOKUP(Movimientos_2026[[#This Row],[Codigo]],Plan_cuentas[],4,FALSE)," ")</f>
        <v>Registración</v>
      </c>
      <c r="H1980" t="str">
        <f>IFERROR(+VLOOKUP(Movimientos_2026[[#This Row],[Codigo]],Plan_cuentas[],5,FALSE)," ")</f>
        <v>CABA</v>
      </c>
      <c r="I1980" s="43">
        <v>46113</v>
      </c>
      <c r="J1980" t="s">
        <v>878</v>
      </c>
      <c r="K1980" t="str">
        <f>IFERROR(+VLOOKUP(Movimientos_2026[[#This Row],[Codigo]],Plan_cuentas[],6,FALSE)," ")</f>
        <v>1 - VW - Volkswagen</v>
      </c>
      <c r="L1980" s="50">
        <v>68518798.290000007</v>
      </c>
      <c r="M1980" s="50"/>
      <c r="N1980" s="20">
        <f>+Movimientos_2026[[#This Row],[Ingresos]]-Movimientos_2026[[#This Row],[Egresos]]</f>
        <v>68518798.290000007</v>
      </c>
      <c r="O1980" s="20">
        <f>+O1979+Movimientos_2026[[#This Row],[Neto]]</f>
        <v>5017556629.5997219</v>
      </c>
    </row>
    <row r="1981" spans="1:15" x14ac:dyDescent="0.25">
      <c r="A1981" s="13">
        <v>46189</v>
      </c>
      <c r="B1981" s="12">
        <f>MONTH(Movimientos_2026[[#This Row],[Fecha]])</f>
        <v>6</v>
      </c>
      <c r="C1981" s="12" t="str">
        <f>VLOOKUP((WEEKDAY(Movimientos_2026[[#This Row],[Fecha]],2)),'5. Setup'!$D$6:$E$12,2,FALSE)</f>
        <v>Mar</v>
      </c>
      <c r="D1981">
        <v>1043221</v>
      </c>
      <c r="E1981" t="str">
        <f>IFERROR(+VLOOKUP(Movimientos_2026[[#This Row],[Codigo]],Plan_cuentas[],2,FALSE)," ")</f>
        <v>INGRESOS</v>
      </c>
      <c r="F1981" t="str">
        <f>IFERROR(+VLOOKUP(Movimientos_2026[[#This Row],[Codigo]],Plan_cuentas[],3,FALSE)," ")</f>
        <v>Transferencia</v>
      </c>
      <c r="G1981" t="str">
        <f>IFERROR(+VLOOKUP(Movimientos_2026[[#This Row],[Codigo]],Plan_cuentas[],4,FALSE)," ")</f>
        <v>Registración</v>
      </c>
      <c r="H1981" t="str">
        <f>IFERROR(+VLOOKUP(Movimientos_2026[[#This Row],[Codigo]],Plan_cuentas[],5,FALSE)," ")</f>
        <v>ENTRE RIOS 1° Q</v>
      </c>
      <c r="I1981" s="43">
        <v>46113</v>
      </c>
      <c r="J1981" t="s">
        <v>878</v>
      </c>
      <c r="K1981" t="str">
        <f>IFERROR(+VLOOKUP(Movimientos_2026[[#This Row],[Codigo]],Plan_cuentas[],6,FALSE)," ")</f>
        <v>1 - VW - Volkswagen</v>
      </c>
      <c r="L1981" s="50">
        <v>824010</v>
      </c>
      <c r="M1981" s="50"/>
      <c r="N1981" s="20">
        <f>+Movimientos_2026[[#This Row],[Ingresos]]-Movimientos_2026[[#This Row],[Egresos]]</f>
        <v>824010</v>
      </c>
      <c r="O1981" s="20">
        <f>+O1980+Movimientos_2026[[#This Row],[Neto]]</f>
        <v>5018380639.5997219</v>
      </c>
    </row>
    <row r="1982" spans="1:15" x14ac:dyDescent="0.25">
      <c r="A1982" s="13">
        <v>46189</v>
      </c>
      <c r="B1982" s="12">
        <f>MONTH(Movimientos_2026[[#This Row],[Fecha]])</f>
        <v>6</v>
      </c>
      <c r="C1982" s="12" t="str">
        <f>VLOOKUP((WEEKDAY(Movimientos_2026[[#This Row],[Fecha]],2)),'5. Setup'!$D$6:$E$12,2,FALSE)</f>
        <v>Mar</v>
      </c>
      <c r="D1982">
        <v>1043231</v>
      </c>
      <c r="E1982" t="str">
        <f>IFERROR(+VLOOKUP(Movimientos_2026[[#This Row],[Codigo]],Plan_cuentas[],2,FALSE)," ")</f>
        <v>INGRESOS</v>
      </c>
      <c r="F1982" t="str">
        <f>IFERROR(+VLOOKUP(Movimientos_2026[[#This Row],[Codigo]],Plan_cuentas[],3,FALSE)," ")</f>
        <v>Transferencia</v>
      </c>
      <c r="G1982" t="str">
        <f>IFERROR(+VLOOKUP(Movimientos_2026[[#This Row],[Codigo]],Plan_cuentas[],4,FALSE)," ")</f>
        <v>Registración</v>
      </c>
      <c r="H1982" t="str">
        <f>IFERROR(+VLOOKUP(Movimientos_2026[[#This Row],[Codigo]],Plan_cuentas[],5,FALSE)," ")</f>
        <v>ENTRE RIOS 2° Q</v>
      </c>
      <c r="I1982" s="43">
        <v>46113</v>
      </c>
      <c r="J1982" t="s">
        <v>878</v>
      </c>
      <c r="K1982" t="str">
        <f>IFERROR(+VLOOKUP(Movimientos_2026[[#This Row],[Codigo]],Plan_cuentas[],6,FALSE)," ")</f>
        <v>1 - VW - Volkswagen</v>
      </c>
      <c r="L1982" s="50">
        <v>14897210.5</v>
      </c>
      <c r="M1982" s="50"/>
      <c r="N1982" s="20">
        <f>+Movimientos_2026[[#This Row],[Ingresos]]-Movimientos_2026[[#This Row],[Egresos]]</f>
        <v>14897210.5</v>
      </c>
      <c r="O1982" s="20">
        <f>+O1981+Movimientos_2026[[#This Row],[Neto]]</f>
        <v>5033277850.0997219</v>
      </c>
    </row>
    <row r="1983" spans="1:15" x14ac:dyDescent="0.25">
      <c r="A1983" s="13">
        <v>46189</v>
      </c>
      <c r="B1983" s="12">
        <f>MONTH(Movimientos_2026[[#This Row],[Fecha]])</f>
        <v>6</v>
      </c>
      <c r="C1983" s="12" t="str">
        <f>VLOOKUP((WEEKDAY(Movimientos_2026[[#This Row],[Fecha]],2)),'5. Setup'!$D$6:$E$12,2,FALSE)</f>
        <v>Mar</v>
      </c>
      <c r="D1983">
        <v>1043341</v>
      </c>
      <c r="E1983" t="str">
        <f>IFERROR(+VLOOKUP(Movimientos_2026[[#This Row],[Codigo]],Plan_cuentas[],2,FALSE)," ")</f>
        <v>INGRESOS</v>
      </c>
      <c r="F1983" t="str">
        <f>IFERROR(+VLOOKUP(Movimientos_2026[[#This Row],[Codigo]],Plan_cuentas[],3,FALSE)," ")</f>
        <v>Transferencia</v>
      </c>
      <c r="G1983" t="str">
        <f>IFERROR(+VLOOKUP(Movimientos_2026[[#This Row],[Codigo]],Plan_cuentas[],4,FALSE)," ")</f>
        <v>Registración</v>
      </c>
      <c r="H1983" t="str">
        <f>IFERROR(+VLOOKUP(Movimientos_2026[[#This Row],[Codigo]],Plan_cuentas[],5,FALSE)," ")</f>
        <v>RIO NEGRO</v>
      </c>
      <c r="I1983" s="43">
        <v>46113</v>
      </c>
      <c r="J1983" t="s">
        <v>878</v>
      </c>
      <c r="K1983" t="str">
        <f>IFERROR(+VLOOKUP(Movimientos_2026[[#This Row],[Codigo]],Plan_cuentas[],6,FALSE)," ")</f>
        <v>1 - VW - Volkswagen</v>
      </c>
      <c r="L1983" s="50">
        <v>27514476.870000001</v>
      </c>
      <c r="M1983" s="50"/>
      <c r="N1983" s="20">
        <f>+Movimientos_2026[[#This Row],[Ingresos]]-Movimientos_2026[[#This Row],[Egresos]]</f>
        <v>27514476.870000001</v>
      </c>
      <c r="O1983" s="20">
        <f>+O1982+Movimientos_2026[[#This Row],[Neto]]</f>
        <v>5060792326.9697218</v>
      </c>
    </row>
    <row r="1984" spans="1:15" x14ac:dyDescent="0.25">
      <c r="A1984" s="13">
        <v>46189</v>
      </c>
      <c r="B1984" s="12">
        <f>MONTH(Movimientos_2026[[#This Row],[Fecha]])</f>
        <v>6</v>
      </c>
      <c r="C1984" s="12" t="str">
        <f>VLOOKUP((WEEKDAY(Movimientos_2026[[#This Row],[Fecha]],2)),'5. Setup'!$D$6:$E$12,2,FALSE)</f>
        <v>Mar</v>
      </c>
      <c r="D1984">
        <v>1044161</v>
      </c>
      <c r="E1984" t="str">
        <f>IFERROR(+VLOOKUP(Movimientos_2026[[#This Row],[Codigo]],Plan_cuentas[],2,FALSE)," ")</f>
        <v>INGRESOS</v>
      </c>
      <c r="F1984" t="str">
        <f>IFERROR(+VLOOKUP(Movimientos_2026[[#This Row],[Codigo]],Plan_cuentas[],3,FALSE)," ")</f>
        <v>Transferencia</v>
      </c>
      <c r="G1984" t="str">
        <f>IFERROR(+VLOOKUP(Movimientos_2026[[#This Row],[Codigo]],Plan_cuentas[],4,FALSE)," ")</f>
        <v>Rentas</v>
      </c>
      <c r="H1984" t="str">
        <f>IFERROR(+VLOOKUP(Movimientos_2026[[#This Row],[Codigo]],Plan_cuentas[],5,FALSE)," ")</f>
        <v>CHACO</v>
      </c>
      <c r="I1984" s="43">
        <v>46113</v>
      </c>
      <c r="J1984" t="s">
        <v>878</v>
      </c>
      <c r="K1984" t="str">
        <f>IFERROR(+VLOOKUP(Movimientos_2026[[#This Row],[Codigo]],Plan_cuentas[],6,FALSE)," ")</f>
        <v>1 - VW - Volkswagen</v>
      </c>
      <c r="L1984" s="50">
        <v>18072800</v>
      </c>
      <c r="M1984" s="50"/>
      <c r="N1984" s="20">
        <f>+Movimientos_2026[[#This Row],[Ingresos]]-Movimientos_2026[[#This Row],[Egresos]]</f>
        <v>18072800</v>
      </c>
      <c r="O1984" s="20">
        <f>+O1983+Movimientos_2026[[#This Row],[Neto]]</f>
        <v>5078865126.9697218</v>
      </c>
    </row>
    <row r="1985" spans="1:15" x14ac:dyDescent="0.25">
      <c r="A1985" s="13">
        <v>46189</v>
      </c>
      <c r="B1985" s="12">
        <f>MONTH(Movimientos_2026[[#This Row],[Fecha]])</f>
        <v>6</v>
      </c>
      <c r="C1985" s="12" t="str">
        <f>VLOOKUP((WEEKDAY(Movimientos_2026[[#This Row],[Fecha]],2)),'5. Setup'!$D$6:$E$12,2,FALSE)</f>
        <v>Mar</v>
      </c>
      <c r="D1985">
        <v>1044171</v>
      </c>
      <c r="E1985" t="str">
        <f>IFERROR(+VLOOKUP(Movimientos_2026[[#This Row],[Codigo]],Plan_cuentas[],2,FALSE)," ")</f>
        <v>INGRESOS</v>
      </c>
      <c r="F1985" t="str">
        <f>IFERROR(+VLOOKUP(Movimientos_2026[[#This Row],[Codigo]],Plan_cuentas[],3,FALSE)," ")</f>
        <v>Transferencia</v>
      </c>
      <c r="G1985" t="str">
        <f>IFERROR(+VLOOKUP(Movimientos_2026[[#This Row],[Codigo]],Plan_cuentas[],4,FALSE)," ")</f>
        <v>Rentas</v>
      </c>
      <c r="H1985" t="str">
        <f>IFERROR(+VLOOKUP(Movimientos_2026[[#This Row],[Codigo]],Plan_cuentas[],5,FALSE)," ")</f>
        <v>CHUBUT</v>
      </c>
      <c r="I1985" s="43">
        <v>46113</v>
      </c>
      <c r="J1985" t="s">
        <v>878</v>
      </c>
      <c r="K1985" t="str">
        <f>IFERROR(+VLOOKUP(Movimientos_2026[[#This Row],[Codigo]],Plan_cuentas[],6,FALSE)," ")</f>
        <v>1 - VW - Volkswagen</v>
      </c>
      <c r="L1985" s="50">
        <v>9840512.625</v>
      </c>
      <c r="M1985" s="50"/>
      <c r="N1985" s="20">
        <f>+Movimientos_2026[[#This Row],[Ingresos]]-Movimientos_2026[[#This Row],[Egresos]]</f>
        <v>9840512.625</v>
      </c>
      <c r="O1985" s="20">
        <f>+O1984+Movimientos_2026[[#This Row],[Neto]]</f>
        <v>5088705639.5947218</v>
      </c>
    </row>
    <row r="1986" spans="1:15" x14ac:dyDescent="0.25">
      <c r="A1986" s="13">
        <v>46189</v>
      </c>
      <c r="B1986" s="12">
        <f>MONTH(Movimientos_2026[[#This Row],[Fecha]])</f>
        <v>6</v>
      </c>
      <c r="C1986" s="12" t="str">
        <f>VLOOKUP((WEEKDAY(Movimientos_2026[[#This Row],[Fecha]],2)),'5. Setup'!$D$6:$E$12,2,FALSE)</f>
        <v>Mar</v>
      </c>
      <c r="D1986">
        <v>1044201</v>
      </c>
      <c r="E1986" t="str">
        <f>IFERROR(+VLOOKUP(Movimientos_2026[[#This Row],[Codigo]],Plan_cuentas[],2,FALSE)," ")</f>
        <v>INGRESOS</v>
      </c>
      <c r="F1986" t="str">
        <f>IFERROR(+VLOOKUP(Movimientos_2026[[#This Row],[Codigo]],Plan_cuentas[],3,FALSE)," ")</f>
        <v>Transferencia</v>
      </c>
      <c r="G1986" t="str">
        <f>IFERROR(+VLOOKUP(Movimientos_2026[[#This Row],[Codigo]],Plan_cuentas[],4,FALSE)," ")</f>
        <v>Rentas</v>
      </c>
      <c r="H1986" t="str">
        <f>IFERROR(+VLOOKUP(Movimientos_2026[[#This Row],[Codigo]],Plan_cuentas[],5,FALSE)," ")</f>
        <v>CORRIENTES 1° Q</v>
      </c>
      <c r="I1986" s="43">
        <v>46113</v>
      </c>
      <c r="J1986" t="s">
        <v>878</v>
      </c>
      <c r="K1986" t="str">
        <f>IFERROR(+VLOOKUP(Movimientos_2026[[#This Row],[Codigo]],Plan_cuentas[],6,FALSE)," ")</f>
        <v>1 - VW - Volkswagen</v>
      </c>
      <c r="L1986" s="50">
        <v>533798.5</v>
      </c>
      <c r="M1986" s="50"/>
      <c r="N1986" s="20">
        <f>+Movimientos_2026[[#This Row],[Ingresos]]-Movimientos_2026[[#This Row],[Egresos]]</f>
        <v>533798.5</v>
      </c>
      <c r="O1986" s="20">
        <f>+O1985+Movimientos_2026[[#This Row],[Neto]]</f>
        <v>5089239438.0947218</v>
      </c>
    </row>
    <row r="1987" spans="1:15" x14ac:dyDescent="0.25">
      <c r="A1987" s="13">
        <v>46189</v>
      </c>
      <c r="B1987" s="12">
        <f>MONTH(Movimientos_2026[[#This Row],[Fecha]])</f>
        <v>6</v>
      </c>
      <c r="C1987" s="12" t="str">
        <f>VLOOKUP((WEEKDAY(Movimientos_2026[[#This Row],[Fecha]],2)),'5. Setup'!$D$6:$E$12,2,FALSE)</f>
        <v>Mar</v>
      </c>
      <c r="D1987">
        <v>1044211</v>
      </c>
      <c r="E1987" t="str">
        <f>IFERROR(+VLOOKUP(Movimientos_2026[[#This Row],[Codigo]],Plan_cuentas[],2,FALSE)," ")</f>
        <v>INGRESOS</v>
      </c>
      <c r="F1987" t="str">
        <f>IFERROR(+VLOOKUP(Movimientos_2026[[#This Row],[Codigo]],Plan_cuentas[],3,FALSE)," ")</f>
        <v>Transferencia</v>
      </c>
      <c r="G1987" t="str">
        <f>IFERROR(+VLOOKUP(Movimientos_2026[[#This Row],[Codigo]],Plan_cuentas[],4,FALSE)," ")</f>
        <v>Rentas</v>
      </c>
      <c r="H1987" t="str">
        <f>IFERROR(+VLOOKUP(Movimientos_2026[[#This Row],[Codigo]],Plan_cuentas[],5,FALSE)," ")</f>
        <v>CORRIENTES 2° Q</v>
      </c>
      <c r="I1987" s="43">
        <v>46113</v>
      </c>
      <c r="J1987" t="s">
        <v>878</v>
      </c>
      <c r="K1987" t="str">
        <f>IFERROR(+VLOOKUP(Movimientos_2026[[#This Row],[Codigo]],Plan_cuentas[],6,FALSE)," ")</f>
        <v>1 - VW - Volkswagen</v>
      </c>
      <c r="L1987" s="50">
        <v>9340640</v>
      </c>
      <c r="M1987" s="50"/>
      <c r="N1987" s="20">
        <f>+Movimientos_2026[[#This Row],[Ingresos]]-Movimientos_2026[[#This Row],[Egresos]]</f>
        <v>9340640</v>
      </c>
      <c r="O1987" s="20">
        <f>+O1986+Movimientos_2026[[#This Row],[Neto]]</f>
        <v>5098580078.0947218</v>
      </c>
    </row>
    <row r="1988" spans="1:15" x14ac:dyDescent="0.25">
      <c r="A1988" s="13">
        <v>46189</v>
      </c>
      <c r="B1988" s="12">
        <f>MONTH(Movimientos_2026[[#This Row],[Fecha]])</f>
        <v>6</v>
      </c>
      <c r="C1988" s="12" t="str">
        <f>VLOOKUP((WEEKDAY(Movimientos_2026[[#This Row],[Fecha]],2)),'5. Setup'!$D$6:$E$12,2,FALSE)</f>
        <v>Mar</v>
      </c>
      <c r="D1988">
        <v>1044241</v>
      </c>
      <c r="E1988" t="str">
        <f>IFERROR(+VLOOKUP(Movimientos_2026[[#This Row],[Codigo]],Plan_cuentas[],2,FALSE)," ")</f>
        <v>INGRESOS</v>
      </c>
      <c r="F1988" t="str">
        <f>IFERROR(+VLOOKUP(Movimientos_2026[[#This Row],[Codigo]],Plan_cuentas[],3,FALSE)," ")</f>
        <v>Transferencia</v>
      </c>
      <c r="G1988" t="str">
        <f>IFERROR(+VLOOKUP(Movimientos_2026[[#This Row],[Codigo]],Plan_cuentas[],4,FALSE)," ")</f>
        <v>Rentas</v>
      </c>
      <c r="H1988" t="str">
        <f>IFERROR(+VLOOKUP(Movimientos_2026[[#This Row],[Codigo]],Plan_cuentas[],5,FALSE)," ")</f>
        <v>FORMOSA</v>
      </c>
      <c r="I1988" s="43">
        <v>46113</v>
      </c>
      <c r="J1988" t="s">
        <v>878</v>
      </c>
      <c r="K1988" t="str">
        <f>IFERROR(+VLOOKUP(Movimientos_2026[[#This Row],[Codigo]],Plan_cuentas[],6,FALSE)," ")</f>
        <v>1 - VW - Volkswagen</v>
      </c>
      <c r="L1988" s="50">
        <v>3328301.5</v>
      </c>
      <c r="M1988" s="50"/>
      <c r="N1988" s="20">
        <f>+Movimientos_2026[[#This Row],[Ingresos]]-Movimientos_2026[[#This Row],[Egresos]]</f>
        <v>3328301.5</v>
      </c>
      <c r="O1988" s="20">
        <f>+O1987+Movimientos_2026[[#This Row],[Neto]]</f>
        <v>5101908379.5947218</v>
      </c>
    </row>
    <row r="1989" spans="1:15" x14ac:dyDescent="0.25">
      <c r="A1989" s="13">
        <v>46189</v>
      </c>
      <c r="B1989" s="12">
        <f>MONTH(Movimientos_2026[[#This Row],[Fecha]])</f>
        <v>6</v>
      </c>
      <c r="C1989" s="12" t="str">
        <f>VLOOKUP((WEEKDAY(Movimientos_2026[[#This Row],[Fecha]],2)),'5. Setup'!$D$6:$E$12,2,FALSE)</f>
        <v>Mar</v>
      </c>
      <c r="D1989">
        <v>1044261</v>
      </c>
      <c r="E1989" t="str">
        <f>IFERROR(+VLOOKUP(Movimientos_2026[[#This Row],[Codigo]],Plan_cuentas[],2,FALSE)," ")</f>
        <v>INGRESOS</v>
      </c>
      <c r="F1989" t="str">
        <f>IFERROR(+VLOOKUP(Movimientos_2026[[#This Row],[Codigo]],Plan_cuentas[],3,FALSE)," ")</f>
        <v>Transferencia</v>
      </c>
      <c r="G1989" t="str">
        <f>IFERROR(+VLOOKUP(Movimientos_2026[[#This Row],[Codigo]],Plan_cuentas[],4,FALSE)," ")</f>
        <v>Rentas</v>
      </c>
      <c r="H1989" t="str">
        <f>IFERROR(+VLOOKUP(Movimientos_2026[[#This Row],[Codigo]],Plan_cuentas[],5,FALSE)," ")</f>
        <v>LA PAMPA</v>
      </c>
      <c r="I1989" s="43">
        <v>46113</v>
      </c>
      <c r="J1989" t="s">
        <v>878</v>
      </c>
      <c r="K1989" t="str">
        <f>IFERROR(+VLOOKUP(Movimientos_2026[[#This Row],[Codigo]],Plan_cuentas[],6,FALSE)," ")</f>
        <v>1 - VW - Volkswagen</v>
      </c>
      <c r="L1989" s="50">
        <v>3161244.25</v>
      </c>
      <c r="M1989" s="50"/>
      <c r="N1989" s="20">
        <f>+Movimientos_2026[[#This Row],[Ingresos]]-Movimientos_2026[[#This Row],[Egresos]]</f>
        <v>3161244.25</v>
      </c>
      <c r="O1989" s="20">
        <f>+O1988+Movimientos_2026[[#This Row],[Neto]]</f>
        <v>5105069623.8447218</v>
      </c>
    </row>
    <row r="1990" spans="1:15" x14ac:dyDescent="0.25">
      <c r="A1990" s="13">
        <v>46189</v>
      </c>
      <c r="B1990" s="12">
        <f>MONTH(Movimientos_2026[[#This Row],[Fecha]])</f>
        <v>6</v>
      </c>
      <c r="C1990" s="12" t="str">
        <f>VLOOKUP((WEEKDAY(Movimientos_2026[[#This Row],[Fecha]],2)),'5. Setup'!$D$6:$E$12,2,FALSE)</f>
        <v>Mar</v>
      </c>
      <c r="D1990">
        <v>1044271</v>
      </c>
      <c r="E1990" t="str">
        <f>IFERROR(+VLOOKUP(Movimientos_2026[[#This Row],[Codigo]],Plan_cuentas[],2,FALSE)," ")</f>
        <v>INGRESOS</v>
      </c>
      <c r="F1990" t="str">
        <f>IFERROR(+VLOOKUP(Movimientos_2026[[#This Row],[Codigo]],Plan_cuentas[],3,FALSE)," ")</f>
        <v>Transferencia</v>
      </c>
      <c r="G1990" t="str">
        <f>IFERROR(+VLOOKUP(Movimientos_2026[[#This Row],[Codigo]],Plan_cuentas[],4,FALSE)," ")</f>
        <v>Rentas</v>
      </c>
      <c r="H1990" t="str">
        <f>IFERROR(+VLOOKUP(Movimientos_2026[[#This Row],[Codigo]],Plan_cuentas[],5,FALSE)," ")</f>
        <v>LA RIOJA</v>
      </c>
      <c r="I1990" s="43">
        <v>46113</v>
      </c>
      <c r="J1990" t="s">
        <v>878</v>
      </c>
      <c r="K1990" t="str">
        <f>IFERROR(+VLOOKUP(Movimientos_2026[[#This Row],[Codigo]],Plan_cuentas[],6,FALSE)," ")</f>
        <v>1 - VW - Volkswagen</v>
      </c>
      <c r="L1990" s="50">
        <v>16110684</v>
      </c>
      <c r="M1990" s="50"/>
      <c r="N1990" s="20">
        <f>+Movimientos_2026[[#This Row],[Ingresos]]-Movimientos_2026[[#This Row],[Egresos]]</f>
        <v>16110684</v>
      </c>
      <c r="O1990" s="20">
        <f>+O1989+Movimientos_2026[[#This Row],[Neto]]</f>
        <v>5121180307.8447218</v>
      </c>
    </row>
    <row r="1991" spans="1:15" x14ac:dyDescent="0.25">
      <c r="A1991" s="13">
        <v>46189</v>
      </c>
      <c r="B1991" s="12">
        <f>MONTH(Movimientos_2026[[#This Row],[Fecha]])</f>
        <v>6</v>
      </c>
      <c r="C1991" s="12" t="str">
        <f>VLOOKUP((WEEKDAY(Movimientos_2026[[#This Row],[Fecha]],2)),'5. Setup'!$D$6:$E$12,2,FALSE)</f>
        <v>Mar</v>
      </c>
      <c r="D1991">
        <v>1044281</v>
      </c>
      <c r="E1991" t="str">
        <f>IFERROR(+VLOOKUP(Movimientos_2026[[#This Row],[Codigo]],Plan_cuentas[],2,FALSE)," ")</f>
        <v>INGRESOS</v>
      </c>
      <c r="F1991" t="str">
        <f>IFERROR(+VLOOKUP(Movimientos_2026[[#This Row],[Codigo]],Plan_cuentas[],3,FALSE)," ")</f>
        <v>Transferencia</v>
      </c>
      <c r="G1991" t="str">
        <f>IFERROR(+VLOOKUP(Movimientos_2026[[#This Row],[Codigo]],Plan_cuentas[],4,FALSE)," ")</f>
        <v>Rentas</v>
      </c>
      <c r="H1991" t="str">
        <f>IFERROR(+VLOOKUP(Movimientos_2026[[#This Row],[Codigo]],Plan_cuentas[],5,FALSE)," ")</f>
        <v>MENDOZA</v>
      </c>
      <c r="I1991" s="43">
        <v>46113</v>
      </c>
      <c r="J1991" t="s">
        <v>878</v>
      </c>
      <c r="K1991" t="str">
        <f>IFERROR(+VLOOKUP(Movimientos_2026[[#This Row],[Codigo]],Plan_cuentas[],6,FALSE)," ")</f>
        <v>1 - VW - Volkswagen</v>
      </c>
      <c r="L1991" s="50">
        <v>9268778.5</v>
      </c>
      <c r="M1991" s="50"/>
      <c r="N1991" s="20">
        <f>+Movimientos_2026[[#This Row],[Ingresos]]-Movimientos_2026[[#This Row],[Egresos]]</f>
        <v>9268778.5</v>
      </c>
      <c r="O1991" s="20">
        <f>+O1990+Movimientos_2026[[#This Row],[Neto]]</f>
        <v>5130449086.3447218</v>
      </c>
    </row>
    <row r="1992" spans="1:15" x14ac:dyDescent="0.25">
      <c r="A1992" s="13">
        <v>46189</v>
      </c>
      <c r="B1992" s="12">
        <f>MONTH(Movimientos_2026[[#This Row],[Fecha]])</f>
        <v>6</v>
      </c>
      <c r="C1992" s="12" t="str">
        <f>VLOOKUP((WEEKDAY(Movimientos_2026[[#This Row],[Fecha]],2)),'5. Setup'!$D$6:$E$12,2,FALSE)</f>
        <v>Mar</v>
      </c>
      <c r="D1992">
        <v>1044461</v>
      </c>
      <c r="E1992" t="str">
        <f>IFERROR(+VLOOKUP(Movimientos_2026[[#This Row],[Codigo]],Plan_cuentas[],2,FALSE)," ")</f>
        <v>INGRESOS</v>
      </c>
      <c r="F1992" t="str">
        <f>IFERROR(+VLOOKUP(Movimientos_2026[[#This Row],[Codigo]],Plan_cuentas[],3,FALSE)," ")</f>
        <v>Transferencia</v>
      </c>
      <c r="G1992" t="str">
        <f>IFERROR(+VLOOKUP(Movimientos_2026[[#This Row],[Codigo]],Plan_cuentas[],4,FALSE)," ")</f>
        <v>Rentas</v>
      </c>
      <c r="H1992" t="str">
        <f>IFERROR(+VLOOKUP(Movimientos_2026[[#This Row],[Codigo]],Plan_cuentas[],5,FALSE)," ")</f>
        <v>MISIONES</v>
      </c>
      <c r="I1992" s="43">
        <v>46113</v>
      </c>
      <c r="J1992" t="s">
        <v>878</v>
      </c>
      <c r="K1992" t="str">
        <f>IFERROR(+VLOOKUP(Movimientos_2026[[#This Row],[Codigo]],Plan_cuentas[],6,FALSE)," ")</f>
        <v>1 - VW - Volkswagen</v>
      </c>
      <c r="L1992" s="50">
        <v>2111167.6187359812</v>
      </c>
      <c r="M1992" s="50"/>
      <c r="N1992" s="20">
        <f>+Movimientos_2026[[#This Row],[Ingresos]]-Movimientos_2026[[#This Row],[Egresos]]</f>
        <v>2111167.6187359812</v>
      </c>
      <c r="O1992" s="20">
        <f>+O1991+Movimientos_2026[[#This Row],[Neto]]</f>
        <v>5132560253.9634581</v>
      </c>
    </row>
    <row r="1993" spans="1:15" x14ac:dyDescent="0.25">
      <c r="A1993" s="13">
        <v>46189</v>
      </c>
      <c r="B1993" s="12">
        <f>MONTH(Movimientos_2026[[#This Row],[Fecha]])</f>
        <v>6</v>
      </c>
      <c r="C1993" s="12" t="str">
        <f>VLOOKUP((WEEKDAY(Movimientos_2026[[#This Row],[Fecha]],2)),'5. Setup'!$D$6:$E$12,2,FALSE)</f>
        <v>Mar</v>
      </c>
      <c r="D1993">
        <v>1044321</v>
      </c>
      <c r="E1993" t="str">
        <f>IFERROR(+VLOOKUP(Movimientos_2026[[#This Row],[Codigo]],Plan_cuentas[],2,FALSE)," ")</f>
        <v>INGRESOS</v>
      </c>
      <c r="F1993" t="str">
        <f>IFERROR(+VLOOKUP(Movimientos_2026[[#This Row],[Codigo]],Plan_cuentas[],3,FALSE)," ")</f>
        <v>Transferencia</v>
      </c>
      <c r="G1993" t="str">
        <f>IFERROR(+VLOOKUP(Movimientos_2026[[#This Row],[Codigo]],Plan_cuentas[],4,FALSE)," ")</f>
        <v>Rentas</v>
      </c>
      <c r="H1993" t="str">
        <f>IFERROR(+VLOOKUP(Movimientos_2026[[#This Row],[Codigo]],Plan_cuentas[],5,FALSE)," ")</f>
        <v>NEUQUEN 2° Q</v>
      </c>
      <c r="I1993" s="43">
        <v>46113</v>
      </c>
      <c r="J1993" t="s">
        <v>878</v>
      </c>
      <c r="K1993" t="str">
        <f>IFERROR(+VLOOKUP(Movimientos_2026[[#This Row],[Codigo]],Plan_cuentas[],6,FALSE)," ")</f>
        <v>1 - VW - Volkswagen</v>
      </c>
      <c r="L1993" s="50">
        <v>28275549</v>
      </c>
      <c r="M1993" s="50"/>
      <c r="N1993" s="20">
        <f>+Movimientos_2026[[#This Row],[Ingresos]]-Movimientos_2026[[#This Row],[Egresos]]</f>
        <v>28275549</v>
      </c>
      <c r="O1993" s="20">
        <f>+O1992+Movimientos_2026[[#This Row],[Neto]]</f>
        <v>5160835802.9634581</v>
      </c>
    </row>
    <row r="1994" spans="1:15" x14ac:dyDescent="0.25">
      <c r="A1994" s="13">
        <v>46189</v>
      </c>
      <c r="B1994" s="12">
        <f>MONTH(Movimientos_2026[[#This Row],[Fecha]])</f>
        <v>6</v>
      </c>
      <c r="C1994" s="12" t="str">
        <f>VLOOKUP((WEEKDAY(Movimientos_2026[[#This Row],[Fecha]],2)),'5. Setup'!$D$6:$E$12,2,FALSE)</f>
        <v>Mar</v>
      </c>
      <c r="D1994">
        <v>1044351</v>
      </c>
      <c r="E1994" t="str">
        <f>IFERROR(+VLOOKUP(Movimientos_2026[[#This Row],[Codigo]],Plan_cuentas[],2,FALSE)," ")</f>
        <v>INGRESOS</v>
      </c>
      <c r="F1994" t="str">
        <f>IFERROR(+VLOOKUP(Movimientos_2026[[#This Row],[Codigo]],Plan_cuentas[],3,FALSE)," ")</f>
        <v>Transferencia</v>
      </c>
      <c r="G1994" t="str">
        <f>IFERROR(+VLOOKUP(Movimientos_2026[[#This Row],[Codigo]],Plan_cuentas[],4,FALSE)," ")</f>
        <v>Rentas</v>
      </c>
      <c r="H1994" t="str">
        <f>IFERROR(+VLOOKUP(Movimientos_2026[[#This Row],[Codigo]],Plan_cuentas[],5,FALSE)," ")</f>
        <v>SAN JUAN</v>
      </c>
      <c r="I1994" s="43">
        <v>46113</v>
      </c>
      <c r="J1994" t="s">
        <v>878</v>
      </c>
      <c r="K1994" t="str">
        <f>IFERROR(+VLOOKUP(Movimientos_2026[[#This Row],[Codigo]],Plan_cuentas[],6,FALSE)," ")</f>
        <v>1 - VW - Volkswagen</v>
      </c>
      <c r="L1994" s="50">
        <v>1878075.12</v>
      </c>
      <c r="M1994" s="50"/>
      <c r="N1994" s="20">
        <f>+Movimientos_2026[[#This Row],[Ingresos]]-Movimientos_2026[[#This Row],[Egresos]]</f>
        <v>1878075.12</v>
      </c>
      <c r="O1994" s="20">
        <f>+O1993+Movimientos_2026[[#This Row],[Neto]]</f>
        <v>5162713878.0834579</v>
      </c>
    </row>
    <row r="1995" spans="1:15" x14ac:dyDescent="0.25">
      <c r="A1995" s="13">
        <v>46189</v>
      </c>
      <c r="B1995" s="12">
        <f>MONTH(Movimientos_2026[[#This Row],[Fecha]])</f>
        <v>6</v>
      </c>
      <c r="C1995" s="12" t="str">
        <f>VLOOKUP((WEEKDAY(Movimientos_2026[[#This Row],[Fecha]],2)),'5. Setup'!$D$6:$E$12,2,FALSE)</f>
        <v>Mar</v>
      </c>
      <c r="D1995">
        <v>1044361</v>
      </c>
      <c r="E1995" t="str">
        <f>IFERROR(+VLOOKUP(Movimientos_2026[[#This Row],[Codigo]],Plan_cuentas[],2,FALSE)," ")</f>
        <v>INGRESOS</v>
      </c>
      <c r="F1995" t="str">
        <f>IFERROR(+VLOOKUP(Movimientos_2026[[#This Row],[Codigo]],Plan_cuentas[],3,FALSE)," ")</f>
        <v>Transferencia</v>
      </c>
      <c r="G1995" t="str">
        <f>IFERROR(+VLOOKUP(Movimientos_2026[[#This Row],[Codigo]],Plan_cuentas[],4,FALSE)," ")</f>
        <v>Rentas</v>
      </c>
      <c r="H1995" t="str">
        <f>IFERROR(+VLOOKUP(Movimientos_2026[[#This Row],[Codigo]],Plan_cuentas[],5,FALSE)," ")</f>
        <v>SAN LUIS</v>
      </c>
      <c r="I1995" s="43">
        <v>46113</v>
      </c>
      <c r="J1995" t="s">
        <v>878</v>
      </c>
      <c r="K1995" t="str">
        <f>IFERROR(+VLOOKUP(Movimientos_2026[[#This Row],[Codigo]],Plan_cuentas[],6,FALSE)," ")</f>
        <v>1 - VW - Volkswagen</v>
      </c>
      <c r="L1995" s="50">
        <v>13343391</v>
      </c>
      <c r="M1995" s="50"/>
      <c r="N1995" s="20">
        <f>+Movimientos_2026[[#This Row],[Ingresos]]-Movimientos_2026[[#This Row],[Egresos]]</f>
        <v>13343391</v>
      </c>
      <c r="O1995" s="20">
        <f>+O1994+Movimientos_2026[[#This Row],[Neto]]</f>
        <v>5176057269.0834579</v>
      </c>
    </row>
    <row r="1996" spans="1:15" x14ac:dyDescent="0.25">
      <c r="A1996" s="13">
        <v>46189</v>
      </c>
      <c r="B1996" s="12">
        <f>MONTH(Movimientos_2026[[#This Row],[Fecha]])</f>
        <v>6</v>
      </c>
      <c r="C1996" s="12" t="str">
        <f>VLOOKUP((WEEKDAY(Movimientos_2026[[#This Row],[Fecha]],2)),'5. Setup'!$D$6:$E$12,2,FALSE)</f>
        <v>Mar</v>
      </c>
      <c r="D1996">
        <v>1044371</v>
      </c>
      <c r="E1996" t="str">
        <f>IFERROR(+VLOOKUP(Movimientos_2026[[#This Row],[Codigo]],Plan_cuentas[],2,FALSE)," ")</f>
        <v>INGRESOS</v>
      </c>
      <c r="F1996" t="str">
        <f>IFERROR(+VLOOKUP(Movimientos_2026[[#This Row],[Codigo]],Plan_cuentas[],3,FALSE)," ")</f>
        <v>Transferencia</v>
      </c>
      <c r="G1996" t="str">
        <f>IFERROR(+VLOOKUP(Movimientos_2026[[#This Row],[Codigo]],Plan_cuentas[],4,FALSE)," ")</f>
        <v>Rentas</v>
      </c>
      <c r="H1996" t="str">
        <f>IFERROR(+VLOOKUP(Movimientos_2026[[#This Row],[Codigo]],Plan_cuentas[],5,FALSE)," ")</f>
        <v>SANTA CRUZ</v>
      </c>
      <c r="I1996" s="43">
        <v>46113</v>
      </c>
      <c r="J1996" t="s">
        <v>878</v>
      </c>
      <c r="K1996" t="str">
        <f>IFERROR(+VLOOKUP(Movimientos_2026[[#This Row],[Codigo]],Plan_cuentas[],6,FALSE)," ")</f>
        <v>1 - VW - Volkswagen</v>
      </c>
      <c r="L1996" s="50">
        <v>23270039.100000001</v>
      </c>
      <c r="M1996" s="50"/>
      <c r="N1996" s="20">
        <f>+Movimientos_2026[[#This Row],[Ingresos]]-Movimientos_2026[[#This Row],[Egresos]]</f>
        <v>23270039.100000001</v>
      </c>
      <c r="O1996" s="20">
        <f>+O1995+Movimientos_2026[[#This Row],[Neto]]</f>
        <v>5199327308.1834583</v>
      </c>
    </row>
    <row r="1997" spans="1:15" x14ac:dyDescent="0.25">
      <c r="A1997" s="13">
        <v>46189</v>
      </c>
      <c r="B1997" s="12">
        <f>MONTH(Movimientos_2026[[#This Row],[Fecha]])</f>
        <v>6</v>
      </c>
      <c r="C1997" s="12" t="str">
        <f>VLOOKUP((WEEKDAY(Movimientos_2026[[#This Row],[Fecha]],2)),'5. Setup'!$D$6:$E$12,2,FALSE)</f>
        <v>Mar</v>
      </c>
      <c r="D1997">
        <v>1044381</v>
      </c>
      <c r="E1997" t="str">
        <f>IFERROR(+VLOOKUP(Movimientos_2026[[#This Row],[Codigo]],Plan_cuentas[],2,FALSE)," ")</f>
        <v>INGRESOS</v>
      </c>
      <c r="F1997" t="str">
        <f>IFERROR(+VLOOKUP(Movimientos_2026[[#This Row],[Codigo]],Plan_cuentas[],3,FALSE)," ")</f>
        <v>Transferencia</v>
      </c>
      <c r="G1997" t="str">
        <f>IFERROR(+VLOOKUP(Movimientos_2026[[#This Row],[Codigo]],Plan_cuentas[],4,FALSE)," ")</f>
        <v>Rentas</v>
      </c>
      <c r="H1997" t="str">
        <f>IFERROR(+VLOOKUP(Movimientos_2026[[#This Row],[Codigo]],Plan_cuentas[],5,FALSE)," ")</f>
        <v>SANTA FE 1° Q</v>
      </c>
      <c r="I1997" s="43">
        <v>46113</v>
      </c>
      <c r="J1997" t="s">
        <v>878</v>
      </c>
      <c r="K1997" t="str">
        <f>IFERROR(+VLOOKUP(Movimientos_2026[[#This Row],[Codigo]],Plan_cuentas[],6,FALSE)," ")</f>
        <v>1 - VW - Volkswagen</v>
      </c>
      <c r="L1997" s="50">
        <v>2003197.25</v>
      </c>
      <c r="M1997" s="50"/>
      <c r="N1997" s="20">
        <f>+Movimientos_2026[[#This Row],[Ingresos]]-Movimientos_2026[[#This Row],[Egresos]]</f>
        <v>2003197.25</v>
      </c>
      <c r="O1997" s="20">
        <f>+O1996+Movimientos_2026[[#This Row],[Neto]]</f>
        <v>5201330505.4334583</v>
      </c>
    </row>
    <row r="1998" spans="1:15" x14ac:dyDescent="0.25">
      <c r="A1998" s="13">
        <v>46189</v>
      </c>
      <c r="B1998" s="12">
        <f>MONTH(Movimientos_2026[[#This Row],[Fecha]])</f>
        <v>6</v>
      </c>
      <c r="C1998" s="12" t="str">
        <f>VLOOKUP((WEEKDAY(Movimientos_2026[[#This Row],[Fecha]],2)),'5. Setup'!$D$6:$E$12,2,FALSE)</f>
        <v>Mar</v>
      </c>
      <c r="D1998">
        <v>1044391</v>
      </c>
      <c r="E1998" t="str">
        <f>IFERROR(+VLOOKUP(Movimientos_2026[[#This Row],[Codigo]],Plan_cuentas[],2,FALSE)," ")</f>
        <v>INGRESOS</v>
      </c>
      <c r="F1998" t="str">
        <f>IFERROR(+VLOOKUP(Movimientos_2026[[#This Row],[Codigo]],Plan_cuentas[],3,FALSE)," ")</f>
        <v>Transferencia</v>
      </c>
      <c r="G1998" t="str">
        <f>IFERROR(+VLOOKUP(Movimientos_2026[[#This Row],[Codigo]],Plan_cuentas[],4,FALSE)," ")</f>
        <v>Rentas</v>
      </c>
      <c r="H1998" t="str">
        <f>IFERROR(+VLOOKUP(Movimientos_2026[[#This Row],[Codigo]],Plan_cuentas[],5,FALSE)," ")</f>
        <v>SANTA FE 2° Q</v>
      </c>
      <c r="I1998" s="43">
        <v>46113</v>
      </c>
      <c r="J1998" t="s">
        <v>878</v>
      </c>
      <c r="K1998" t="str">
        <f>IFERROR(+VLOOKUP(Movimientos_2026[[#This Row],[Codigo]],Plan_cuentas[],6,FALSE)," ")</f>
        <v>1 - VW - Volkswagen</v>
      </c>
      <c r="L1998" s="50">
        <v>21067811.5</v>
      </c>
      <c r="M1998" s="50"/>
      <c r="N1998" s="20">
        <f>+Movimientos_2026[[#This Row],[Ingresos]]-Movimientos_2026[[#This Row],[Egresos]]</f>
        <v>21067811.5</v>
      </c>
      <c r="O1998" s="20">
        <f>+O1997+Movimientos_2026[[#This Row],[Neto]]</f>
        <v>5222398316.9334583</v>
      </c>
    </row>
    <row r="1999" spans="1:15" x14ac:dyDescent="0.25">
      <c r="A1999" s="13">
        <v>46189</v>
      </c>
      <c r="B1999" s="12">
        <f>MONTH(Movimientos_2026[[#This Row],[Fecha]])</f>
        <v>6</v>
      </c>
      <c r="C1999" s="12" t="str">
        <f>VLOOKUP((WEEKDAY(Movimientos_2026[[#This Row],[Fecha]],2)),'5. Setup'!$D$6:$E$12,2,FALSE)</f>
        <v>Mar</v>
      </c>
      <c r="D1999">
        <v>1044401</v>
      </c>
      <c r="E1999" t="str">
        <f>IFERROR(+VLOOKUP(Movimientos_2026[[#This Row],[Codigo]],Plan_cuentas[],2,FALSE)," ")</f>
        <v>INGRESOS</v>
      </c>
      <c r="F1999" t="str">
        <f>IFERROR(+VLOOKUP(Movimientos_2026[[#This Row],[Codigo]],Plan_cuentas[],3,FALSE)," ")</f>
        <v>Transferencia</v>
      </c>
      <c r="G1999" t="str">
        <f>IFERROR(+VLOOKUP(Movimientos_2026[[#This Row],[Codigo]],Plan_cuentas[],4,FALSE)," ")</f>
        <v>Rentas</v>
      </c>
      <c r="H1999" t="str">
        <f>IFERROR(+VLOOKUP(Movimientos_2026[[#This Row],[Codigo]],Plan_cuentas[],5,FALSE)," ")</f>
        <v>SANTIAGO DEL ESTERO</v>
      </c>
      <c r="I1999" s="43">
        <v>46113</v>
      </c>
      <c r="J1999" t="s">
        <v>878</v>
      </c>
      <c r="K1999" t="str">
        <f>IFERROR(+VLOOKUP(Movimientos_2026[[#This Row],[Codigo]],Plan_cuentas[],6,FALSE)," ")</f>
        <v>1 - VW - Volkswagen</v>
      </c>
      <c r="L1999" s="50">
        <v>19478217</v>
      </c>
      <c r="M1999" s="50"/>
      <c r="N1999" s="20">
        <f>+Movimientos_2026[[#This Row],[Ingresos]]-Movimientos_2026[[#This Row],[Egresos]]</f>
        <v>19478217</v>
      </c>
      <c r="O1999" s="20">
        <f>+O1998+Movimientos_2026[[#This Row],[Neto]]</f>
        <v>5241876533.9334583</v>
      </c>
    </row>
    <row r="2000" spans="1:15" x14ac:dyDescent="0.25">
      <c r="A2000" s="13">
        <v>46189</v>
      </c>
      <c r="B2000" s="12">
        <f>MONTH(Movimientos_2026[[#This Row],[Fecha]])</f>
        <v>6</v>
      </c>
      <c r="C2000" s="12" t="str">
        <f>VLOOKUP((WEEKDAY(Movimientos_2026[[#This Row],[Fecha]],2)),'5. Setup'!$D$6:$E$12,2,FALSE)</f>
        <v>Mar</v>
      </c>
      <c r="D2000">
        <v>1044411</v>
      </c>
      <c r="E2000" t="str">
        <f>IFERROR(+VLOOKUP(Movimientos_2026[[#This Row],[Codigo]],Plan_cuentas[],2,FALSE)," ")</f>
        <v>INGRESOS</v>
      </c>
      <c r="F2000" t="str">
        <f>IFERROR(+VLOOKUP(Movimientos_2026[[#This Row],[Codigo]],Plan_cuentas[],3,FALSE)," ")</f>
        <v>Transferencia</v>
      </c>
      <c r="G2000" t="str">
        <f>IFERROR(+VLOOKUP(Movimientos_2026[[#This Row],[Codigo]],Plan_cuentas[],4,FALSE)," ")</f>
        <v>Rentas</v>
      </c>
      <c r="H2000" t="str">
        <f>IFERROR(+VLOOKUP(Movimientos_2026[[#This Row],[Codigo]],Plan_cuentas[],5,FALSE)," ")</f>
        <v>TIERRA DEL FUEGO</v>
      </c>
      <c r="I2000" s="43">
        <v>46113</v>
      </c>
      <c r="J2000" t="s">
        <v>878</v>
      </c>
      <c r="K2000" t="str">
        <f>IFERROR(+VLOOKUP(Movimientos_2026[[#This Row],[Codigo]],Plan_cuentas[],6,FALSE)," ")</f>
        <v>1 - VW - Volkswagen</v>
      </c>
      <c r="L2000" s="50">
        <v>5880840</v>
      </c>
      <c r="M2000" s="50"/>
      <c r="N2000" s="20">
        <f>+Movimientos_2026[[#This Row],[Ingresos]]-Movimientos_2026[[#This Row],[Egresos]]</f>
        <v>5880840</v>
      </c>
      <c r="O2000" s="20">
        <f>+O1999+Movimientos_2026[[#This Row],[Neto]]</f>
        <v>5247757373.9334583</v>
      </c>
    </row>
    <row r="2001" spans="1:15" x14ac:dyDescent="0.25">
      <c r="A2001" s="13">
        <v>46189</v>
      </c>
      <c r="B2001" s="12">
        <f>MONTH(Movimientos_2026[[#This Row],[Fecha]])</f>
        <v>6</v>
      </c>
      <c r="C2001" s="12" t="str">
        <f>VLOOKUP((WEEKDAY(Movimientos_2026[[#This Row],[Fecha]],2)),'5. Setup'!$D$6:$E$12,2,FALSE)</f>
        <v>Mar</v>
      </c>
      <c r="D2001">
        <v>1044421</v>
      </c>
      <c r="E2001" t="str">
        <f>IFERROR(+VLOOKUP(Movimientos_2026[[#This Row],[Codigo]],Plan_cuentas[],2,FALSE)," ")</f>
        <v>INGRESOS</v>
      </c>
      <c r="F2001" t="str">
        <f>IFERROR(+VLOOKUP(Movimientos_2026[[#This Row],[Codigo]],Plan_cuentas[],3,FALSE)," ")</f>
        <v>Transferencia</v>
      </c>
      <c r="G2001" t="str">
        <f>IFERROR(+VLOOKUP(Movimientos_2026[[#This Row],[Codigo]],Plan_cuentas[],4,FALSE)," ")</f>
        <v>Rentas</v>
      </c>
      <c r="H2001" t="str">
        <f>IFERROR(+VLOOKUP(Movimientos_2026[[#This Row],[Codigo]],Plan_cuentas[],5,FALSE)," ")</f>
        <v>TUCUMAN</v>
      </c>
      <c r="I2001" s="43">
        <v>46113</v>
      </c>
      <c r="J2001" t="s">
        <v>878</v>
      </c>
      <c r="K2001" t="str">
        <f>IFERROR(+VLOOKUP(Movimientos_2026[[#This Row],[Codigo]],Plan_cuentas[],6,FALSE)," ")</f>
        <v>1 - VW - Volkswagen</v>
      </c>
      <c r="L2001" s="50">
        <v>34552927.747649997</v>
      </c>
      <c r="M2001" s="50"/>
      <c r="N2001" s="20">
        <f>+Movimientos_2026[[#This Row],[Ingresos]]-Movimientos_2026[[#This Row],[Egresos]]</f>
        <v>34552927.747649997</v>
      </c>
      <c r="O2001" s="20">
        <f>+O2000+Movimientos_2026[[#This Row],[Neto]]</f>
        <v>5282310301.6811085</v>
      </c>
    </row>
    <row r="2002" spans="1:15" x14ac:dyDescent="0.25">
      <c r="A2002" s="13">
        <v>46189</v>
      </c>
      <c r="B2002" s="12">
        <f>MONTH(Movimientos_2026[[#This Row],[Fecha]])</f>
        <v>6</v>
      </c>
      <c r="C2002" s="12" t="str">
        <f>VLOOKUP((WEEKDAY(Movimientos_2026[[#This Row],[Fecha]],2)),'5. Setup'!$D$6:$E$12,2,FALSE)</f>
        <v>Mar</v>
      </c>
      <c r="D2002">
        <v>1043141</v>
      </c>
      <c r="E2002" t="str">
        <f>IFERROR(+VLOOKUP(Movimientos_2026[[#This Row],[Codigo]],Plan_cuentas[],2,FALSE)," ")</f>
        <v>INGRESOS</v>
      </c>
      <c r="F2002" t="str">
        <f>IFERROR(+VLOOKUP(Movimientos_2026[[#This Row],[Codigo]],Plan_cuentas[],3,FALSE)," ")</f>
        <v>Transferencia</v>
      </c>
      <c r="G2002" t="str">
        <f>IFERROR(+VLOOKUP(Movimientos_2026[[#This Row],[Codigo]],Plan_cuentas[],4,FALSE)," ")</f>
        <v>Registración</v>
      </c>
      <c r="H2002" t="str">
        <f>IFERROR(+VLOOKUP(Movimientos_2026[[#This Row],[Codigo]],Plan_cuentas[],5,FALSE)," ")</f>
        <v>BUENOS AIRES</v>
      </c>
      <c r="I2002" s="43">
        <v>46113</v>
      </c>
      <c r="J2002" t="s">
        <v>878</v>
      </c>
      <c r="K2002" t="str">
        <f>IFERROR(+VLOOKUP(Movimientos_2026[[#This Row],[Codigo]],Plan_cuentas[],6,FALSE)," ")</f>
        <v>1 - VW - Volkswagen</v>
      </c>
      <c r="L2002" s="50">
        <v>122543350.3</v>
      </c>
      <c r="M2002" s="50"/>
      <c r="N2002" s="20">
        <f>+Movimientos_2026[[#This Row],[Ingresos]]-Movimientos_2026[[#This Row],[Egresos]]</f>
        <v>122543350.3</v>
      </c>
      <c r="O2002" s="20">
        <f>+O2001+Movimientos_2026[[#This Row],[Neto]]</f>
        <v>5404853651.9811087</v>
      </c>
    </row>
    <row r="2003" spans="1:15" x14ac:dyDescent="0.25">
      <c r="A2003" s="13">
        <v>46189</v>
      </c>
      <c r="B2003" s="12">
        <f>MONTH(Movimientos_2026[[#This Row],[Fecha]])</f>
        <v>6</v>
      </c>
      <c r="C2003" s="12" t="str">
        <f>VLOOKUP((WEEKDAY(Movimientos_2026[[#This Row],[Fecha]],2)),'5. Setup'!$D$6:$E$12,2,FALSE)</f>
        <v>Mar</v>
      </c>
      <c r="D2003">
        <v>1041131</v>
      </c>
      <c r="E2003" t="str">
        <f>IFERROR(+VLOOKUP(Movimientos_2026[[#This Row],[Codigo]],Plan_cuentas[],2,FALSE)," ")</f>
        <v>INGRESOS</v>
      </c>
      <c r="F2003" t="str">
        <f>IFERROR(+VLOOKUP(Movimientos_2026[[#This Row],[Codigo]],Plan_cuentas[],3,FALSE)," ")</f>
        <v>Transferencia</v>
      </c>
      <c r="G2003" t="str">
        <f>IFERROR(+VLOOKUP(Movimientos_2026[[#This Row],[Codigo]],Plan_cuentas[],4,FALSE)," ")</f>
        <v>Entidades co-participadas</v>
      </c>
      <c r="H2003" t="str">
        <f>IFERROR(+VLOOKUP(Movimientos_2026[[#This Row],[Codigo]],Plan_cuentas[],5,FALSE)," ")</f>
        <v>BCLP</v>
      </c>
      <c r="I2003" s="43">
        <v>46113</v>
      </c>
      <c r="J2003" t="s">
        <v>878</v>
      </c>
      <c r="K2003" t="str">
        <f>IFERROR(+VLOOKUP(Movimientos_2026[[#This Row],[Codigo]],Plan_cuentas[],6,FALSE)," ")</f>
        <v>1 - VW - Volkswagen</v>
      </c>
      <c r="L2003" s="50">
        <v>122543350.3</v>
      </c>
      <c r="M2003" s="50"/>
      <c r="N2003" s="20">
        <f>+Movimientos_2026[[#This Row],[Ingresos]]-Movimientos_2026[[#This Row],[Egresos]]</f>
        <v>122543350.3</v>
      </c>
      <c r="O2003" s="20">
        <f>+O2002+Movimientos_2026[[#This Row],[Neto]]</f>
        <v>5527397002.2811089</v>
      </c>
    </row>
    <row r="2004" spans="1:15" x14ac:dyDescent="0.25">
      <c r="A2004" s="13">
        <v>46189</v>
      </c>
      <c r="B2004" s="12">
        <f>MONTH(Movimientos_2026[[#This Row],[Fecha]])</f>
        <v>6</v>
      </c>
      <c r="C2004" s="12" t="str">
        <f>VLOOKUP((WEEKDAY(Movimientos_2026[[#This Row],[Fecha]],2)),'5. Setup'!$D$6:$E$12,2,FALSE)</f>
        <v>Mar</v>
      </c>
      <c r="D2004">
        <v>1041441</v>
      </c>
      <c r="E2004" t="str">
        <f>IFERROR(+VLOOKUP(Movimientos_2026[[#This Row],[Codigo]],Plan_cuentas[],2,FALSE)," ")</f>
        <v>INGRESOS</v>
      </c>
      <c r="F2004" t="str">
        <f>IFERROR(+VLOOKUP(Movimientos_2026[[#This Row],[Codigo]],Plan_cuentas[],3,FALSE)," ")</f>
        <v>Transferencia</v>
      </c>
      <c r="G2004" t="str">
        <f>IFERROR(+VLOOKUP(Movimientos_2026[[#This Row],[Codigo]],Plan_cuentas[],4,FALSE)," ")</f>
        <v>Entidades co-participadas</v>
      </c>
      <c r="H2004" t="str">
        <f>IFERROR(+VLOOKUP(Movimientos_2026[[#This Row],[Codigo]],Plan_cuentas[],5,FALSE)," ")</f>
        <v>UISCUMARR</v>
      </c>
      <c r="I2004" s="43">
        <v>46113</v>
      </c>
      <c r="J2004" t="s">
        <v>878</v>
      </c>
      <c r="K2004" t="str">
        <f>IFERROR(+VLOOKUP(Movimientos_2026[[#This Row],[Codigo]],Plan_cuentas[],6,FALSE)," ")</f>
        <v>1 - VW - Volkswagen</v>
      </c>
      <c r="L2004" s="50">
        <v>122543350.3</v>
      </c>
      <c r="M2004" s="50"/>
      <c r="N2004" s="20">
        <f>+Movimientos_2026[[#This Row],[Ingresos]]-Movimientos_2026[[#This Row],[Egresos]]</f>
        <v>122543350.3</v>
      </c>
      <c r="O2004" s="20">
        <f>+O2003+Movimientos_2026[[#This Row],[Neto]]</f>
        <v>5649940352.581109</v>
      </c>
    </row>
    <row r="2005" spans="1:15" x14ac:dyDescent="0.25">
      <c r="A2005" s="13">
        <v>46189</v>
      </c>
      <c r="B2005" s="12">
        <f>MONTH(Movimientos_2026[[#This Row],[Fecha]])</f>
        <v>6</v>
      </c>
      <c r="C2005" s="12" t="str">
        <f>VLOOKUP((WEEKDAY(Movimientos_2026[[#This Row],[Fecha]],2)),'5. Setup'!$D$6:$E$12,2,FALSE)</f>
        <v>Mar</v>
      </c>
      <c r="D2005">
        <v>1043151</v>
      </c>
      <c r="E2005" t="str">
        <f>IFERROR(+VLOOKUP(Movimientos_2026[[#This Row],[Codigo]],Plan_cuentas[],2,FALSE)," ")</f>
        <v>INGRESOS</v>
      </c>
      <c r="F2005" t="str">
        <f>IFERROR(+VLOOKUP(Movimientos_2026[[#This Row],[Codigo]],Plan_cuentas[],3,FALSE)," ")</f>
        <v>Transferencia</v>
      </c>
      <c r="G2005" t="str">
        <f>IFERROR(+VLOOKUP(Movimientos_2026[[#This Row],[Codigo]],Plan_cuentas[],4,FALSE)," ")</f>
        <v>Registración</v>
      </c>
      <c r="H2005" t="str">
        <f>IFERROR(+VLOOKUP(Movimientos_2026[[#This Row],[Codigo]],Plan_cuentas[],5,FALSE)," ")</f>
        <v>CABA</v>
      </c>
      <c r="I2005" s="43">
        <v>46143</v>
      </c>
      <c r="J2005" t="s">
        <v>879</v>
      </c>
      <c r="K2005" t="str">
        <f>IFERROR(+VLOOKUP(Movimientos_2026[[#This Row],[Codigo]],Plan_cuentas[],6,FALSE)," ")</f>
        <v>1 - VW - Volkswagen</v>
      </c>
      <c r="L2005" s="50">
        <v>47805975.740000002</v>
      </c>
      <c r="M2005" s="50"/>
      <c r="N2005" s="20">
        <f>+Movimientos_2026[[#This Row],[Ingresos]]-Movimientos_2026[[#This Row],[Egresos]]</f>
        <v>47805975.740000002</v>
      </c>
      <c r="O2005" s="20">
        <f>+O2004+Movimientos_2026[[#This Row],[Neto]]</f>
        <v>5697746328.3211088</v>
      </c>
    </row>
    <row r="2006" spans="1:15" x14ac:dyDescent="0.25">
      <c r="A2006" s="13">
        <v>46189</v>
      </c>
      <c r="B2006" s="12">
        <f>MONTH(Movimientos_2026[[#This Row],[Fecha]])</f>
        <v>6</v>
      </c>
      <c r="C2006" s="12" t="str">
        <f>VLOOKUP((WEEKDAY(Movimientos_2026[[#This Row],[Fecha]],2)),'5. Setup'!$D$6:$E$12,2,FALSE)</f>
        <v>Mar</v>
      </c>
      <c r="D2006">
        <v>1043221</v>
      </c>
      <c r="E2006" t="str">
        <f>IFERROR(+VLOOKUP(Movimientos_2026[[#This Row],[Codigo]],Plan_cuentas[],2,FALSE)," ")</f>
        <v>INGRESOS</v>
      </c>
      <c r="F2006" t="str">
        <f>IFERROR(+VLOOKUP(Movimientos_2026[[#This Row],[Codigo]],Plan_cuentas[],3,FALSE)," ")</f>
        <v>Transferencia</v>
      </c>
      <c r="G2006" t="str">
        <f>IFERROR(+VLOOKUP(Movimientos_2026[[#This Row],[Codigo]],Plan_cuentas[],4,FALSE)," ")</f>
        <v>Registración</v>
      </c>
      <c r="H2006" t="str">
        <f>IFERROR(+VLOOKUP(Movimientos_2026[[#This Row],[Codigo]],Plan_cuentas[],5,FALSE)," ")</f>
        <v>ENTRE RIOS 1° Q</v>
      </c>
      <c r="I2006" s="43">
        <v>46143</v>
      </c>
      <c r="J2006" t="s">
        <v>879</v>
      </c>
      <c r="K2006" t="str">
        <f>IFERROR(+VLOOKUP(Movimientos_2026[[#This Row],[Codigo]],Plan_cuentas[],6,FALSE)," ")</f>
        <v>1 - VW - Volkswagen</v>
      </c>
      <c r="L2006" s="50">
        <v>6893380</v>
      </c>
      <c r="M2006" s="50"/>
      <c r="N2006" s="20">
        <f>+Movimientos_2026[[#This Row],[Ingresos]]-Movimientos_2026[[#This Row],[Egresos]]</f>
        <v>6893380</v>
      </c>
      <c r="O2006" s="20">
        <f>+O2005+Movimientos_2026[[#This Row],[Neto]]</f>
        <v>5704639708.3211088</v>
      </c>
    </row>
    <row r="2007" spans="1:15" x14ac:dyDescent="0.25">
      <c r="A2007" s="13">
        <v>46189</v>
      </c>
      <c r="B2007" s="12">
        <f>MONTH(Movimientos_2026[[#This Row],[Fecha]])</f>
        <v>6</v>
      </c>
      <c r="C2007" s="12" t="str">
        <f>VLOOKUP((WEEKDAY(Movimientos_2026[[#This Row],[Fecha]],2)),'5. Setup'!$D$6:$E$12,2,FALSE)</f>
        <v>Mar</v>
      </c>
      <c r="D2007">
        <v>1043231</v>
      </c>
      <c r="E2007" t="str">
        <f>IFERROR(+VLOOKUP(Movimientos_2026[[#This Row],[Codigo]],Plan_cuentas[],2,FALSE)," ")</f>
        <v>INGRESOS</v>
      </c>
      <c r="F2007" t="str">
        <f>IFERROR(+VLOOKUP(Movimientos_2026[[#This Row],[Codigo]],Plan_cuentas[],3,FALSE)," ")</f>
        <v>Transferencia</v>
      </c>
      <c r="G2007" t="str">
        <f>IFERROR(+VLOOKUP(Movimientos_2026[[#This Row],[Codigo]],Plan_cuentas[],4,FALSE)," ")</f>
        <v>Registración</v>
      </c>
      <c r="H2007" t="str">
        <f>IFERROR(+VLOOKUP(Movimientos_2026[[#This Row],[Codigo]],Plan_cuentas[],5,FALSE)," ")</f>
        <v>ENTRE RIOS 2° Q</v>
      </c>
      <c r="I2007" s="43">
        <v>46143</v>
      </c>
      <c r="J2007" t="s">
        <v>879</v>
      </c>
      <c r="K2007" t="str">
        <f>IFERROR(+VLOOKUP(Movimientos_2026[[#This Row],[Codigo]],Plan_cuentas[],6,FALSE)," ")</f>
        <v>1 - VW - Volkswagen</v>
      </c>
      <c r="L2007" s="50">
        <v>10421563</v>
      </c>
      <c r="M2007" s="50"/>
      <c r="N2007" s="20">
        <f>+Movimientos_2026[[#This Row],[Ingresos]]-Movimientos_2026[[#This Row],[Egresos]]</f>
        <v>10421563</v>
      </c>
      <c r="O2007" s="20">
        <f>+O2006+Movimientos_2026[[#This Row],[Neto]]</f>
        <v>5715061271.3211088</v>
      </c>
    </row>
    <row r="2008" spans="1:15" x14ac:dyDescent="0.25">
      <c r="A2008" s="13">
        <v>46189</v>
      </c>
      <c r="B2008" s="12">
        <f>MONTH(Movimientos_2026[[#This Row],[Fecha]])</f>
        <v>6</v>
      </c>
      <c r="C2008" s="12" t="str">
        <f>VLOOKUP((WEEKDAY(Movimientos_2026[[#This Row],[Fecha]],2)),'5. Setup'!$D$6:$E$12,2,FALSE)</f>
        <v>Mar</v>
      </c>
      <c r="D2008">
        <v>1043341</v>
      </c>
      <c r="E2008" t="str">
        <f>IFERROR(+VLOOKUP(Movimientos_2026[[#This Row],[Codigo]],Plan_cuentas[],2,FALSE)," ")</f>
        <v>INGRESOS</v>
      </c>
      <c r="F2008" t="str">
        <f>IFERROR(+VLOOKUP(Movimientos_2026[[#This Row],[Codigo]],Plan_cuentas[],3,FALSE)," ")</f>
        <v>Transferencia</v>
      </c>
      <c r="G2008" t="str">
        <f>IFERROR(+VLOOKUP(Movimientos_2026[[#This Row],[Codigo]],Plan_cuentas[],4,FALSE)," ")</f>
        <v>Registración</v>
      </c>
      <c r="H2008" t="str">
        <f>IFERROR(+VLOOKUP(Movimientos_2026[[#This Row],[Codigo]],Plan_cuentas[],5,FALSE)," ")</f>
        <v>RIO NEGRO</v>
      </c>
      <c r="I2008" s="43">
        <v>46143</v>
      </c>
      <c r="J2008" t="s">
        <v>879</v>
      </c>
      <c r="K2008" t="str">
        <f>IFERROR(+VLOOKUP(Movimientos_2026[[#This Row],[Codigo]],Plan_cuentas[],6,FALSE)," ")</f>
        <v>1 - VW - Volkswagen</v>
      </c>
      <c r="L2008" s="50">
        <v>32007076.280000001</v>
      </c>
      <c r="M2008" s="50"/>
      <c r="N2008" s="20">
        <f>+Movimientos_2026[[#This Row],[Ingresos]]-Movimientos_2026[[#This Row],[Egresos]]</f>
        <v>32007076.280000001</v>
      </c>
      <c r="O2008" s="20">
        <f>+O2007+Movimientos_2026[[#This Row],[Neto]]</f>
        <v>5747068347.6011086</v>
      </c>
    </row>
    <row r="2009" spans="1:15" x14ac:dyDescent="0.25">
      <c r="A2009" s="13">
        <v>46189</v>
      </c>
      <c r="B2009" s="12">
        <f>MONTH(Movimientos_2026[[#This Row],[Fecha]])</f>
        <v>6</v>
      </c>
      <c r="C2009" s="12" t="str">
        <f>VLOOKUP((WEEKDAY(Movimientos_2026[[#This Row],[Fecha]],2)),'5. Setup'!$D$6:$E$12,2,FALSE)</f>
        <v>Mar</v>
      </c>
      <c r="D2009">
        <v>1044161</v>
      </c>
      <c r="E2009" t="str">
        <f>IFERROR(+VLOOKUP(Movimientos_2026[[#This Row],[Codigo]],Plan_cuentas[],2,FALSE)," ")</f>
        <v>INGRESOS</v>
      </c>
      <c r="F2009" t="str">
        <f>IFERROR(+VLOOKUP(Movimientos_2026[[#This Row],[Codigo]],Plan_cuentas[],3,FALSE)," ")</f>
        <v>Transferencia</v>
      </c>
      <c r="G2009" t="str">
        <f>IFERROR(+VLOOKUP(Movimientos_2026[[#This Row],[Codigo]],Plan_cuentas[],4,FALSE)," ")</f>
        <v>Rentas</v>
      </c>
      <c r="H2009" t="str">
        <f>IFERROR(+VLOOKUP(Movimientos_2026[[#This Row],[Codigo]],Plan_cuentas[],5,FALSE)," ")</f>
        <v>CHACO</v>
      </c>
      <c r="I2009" s="43">
        <v>46143</v>
      </c>
      <c r="J2009" t="s">
        <v>879</v>
      </c>
      <c r="K2009" t="str">
        <f>IFERROR(+VLOOKUP(Movimientos_2026[[#This Row],[Codigo]],Plan_cuentas[],6,FALSE)," ")</f>
        <v>1 - VW - Volkswagen</v>
      </c>
      <c r="L2009" s="50">
        <v>21602675.199999999</v>
      </c>
      <c r="M2009" s="50"/>
      <c r="N2009" s="20">
        <f>+Movimientos_2026[[#This Row],[Ingresos]]-Movimientos_2026[[#This Row],[Egresos]]</f>
        <v>21602675.199999999</v>
      </c>
      <c r="O2009" s="20">
        <f>+O2008+Movimientos_2026[[#This Row],[Neto]]</f>
        <v>5768671022.8011084</v>
      </c>
    </row>
    <row r="2010" spans="1:15" x14ac:dyDescent="0.25">
      <c r="A2010" s="13">
        <v>46189</v>
      </c>
      <c r="B2010" s="12">
        <f>MONTH(Movimientos_2026[[#This Row],[Fecha]])</f>
        <v>6</v>
      </c>
      <c r="C2010" s="12" t="str">
        <f>VLOOKUP((WEEKDAY(Movimientos_2026[[#This Row],[Fecha]],2)),'5. Setup'!$D$6:$E$12,2,FALSE)</f>
        <v>Mar</v>
      </c>
      <c r="D2010">
        <v>1044171</v>
      </c>
      <c r="E2010" t="str">
        <f>IFERROR(+VLOOKUP(Movimientos_2026[[#This Row],[Codigo]],Plan_cuentas[],2,FALSE)," ")</f>
        <v>INGRESOS</v>
      </c>
      <c r="F2010" t="str">
        <f>IFERROR(+VLOOKUP(Movimientos_2026[[#This Row],[Codigo]],Plan_cuentas[],3,FALSE)," ")</f>
        <v>Transferencia</v>
      </c>
      <c r="G2010" t="str">
        <f>IFERROR(+VLOOKUP(Movimientos_2026[[#This Row],[Codigo]],Plan_cuentas[],4,FALSE)," ")</f>
        <v>Rentas</v>
      </c>
      <c r="H2010" t="str">
        <f>IFERROR(+VLOOKUP(Movimientos_2026[[#This Row],[Codigo]],Plan_cuentas[],5,FALSE)," ")</f>
        <v>CHUBUT</v>
      </c>
      <c r="I2010" s="43">
        <v>46143</v>
      </c>
      <c r="J2010" t="s">
        <v>879</v>
      </c>
      <c r="K2010" t="str">
        <f>IFERROR(+VLOOKUP(Movimientos_2026[[#This Row],[Codigo]],Plan_cuentas[],6,FALSE)," ")</f>
        <v>1 - VW - Volkswagen</v>
      </c>
      <c r="L2010" s="50">
        <v>12718030.5</v>
      </c>
      <c r="M2010" s="50"/>
      <c r="N2010" s="20">
        <f>+Movimientos_2026[[#This Row],[Ingresos]]-Movimientos_2026[[#This Row],[Egresos]]</f>
        <v>12718030.5</v>
      </c>
      <c r="O2010" s="20">
        <f>+O2009+Movimientos_2026[[#This Row],[Neto]]</f>
        <v>5781389053.3011084</v>
      </c>
    </row>
    <row r="2011" spans="1:15" x14ac:dyDescent="0.25">
      <c r="A2011" s="13">
        <v>46189</v>
      </c>
      <c r="B2011" s="12">
        <f>MONTH(Movimientos_2026[[#This Row],[Fecha]])</f>
        <v>6</v>
      </c>
      <c r="C2011" s="12" t="str">
        <f>VLOOKUP((WEEKDAY(Movimientos_2026[[#This Row],[Fecha]],2)),'5. Setup'!$D$6:$E$12,2,FALSE)</f>
        <v>Mar</v>
      </c>
      <c r="D2011">
        <v>1044201</v>
      </c>
      <c r="E2011" t="str">
        <f>IFERROR(+VLOOKUP(Movimientos_2026[[#This Row],[Codigo]],Plan_cuentas[],2,FALSE)," ")</f>
        <v>INGRESOS</v>
      </c>
      <c r="F2011" t="str">
        <f>IFERROR(+VLOOKUP(Movimientos_2026[[#This Row],[Codigo]],Plan_cuentas[],3,FALSE)," ")</f>
        <v>Transferencia</v>
      </c>
      <c r="G2011" t="str">
        <f>IFERROR(+VLOOKUP(Movimientos_2026[[#This Row],[Codigo]],Plan_cuentas[],4,FALSE)," ")</f>
        <v>Rentas</v>
      </c>
      <c r="H2011" t="str">
        <f>IFERROR(+VLOOKUP(Movimientos_2026[[#This Row],[Codigo]],Plan_cuentas[],5,FALSE)," ")</f>
        <v>CORRIENTES 1° Q</v>
      </c>
      <c r="I2011" s="43">
        <v>46143</v>
      </c>
      <c r="J2011" t="s">
        <v>879</v>
      </c>
      <c r="K2011" t="str">
        <f>IFERROR(+VLOOKUP(Movimientos_2026[[#This Row],[Codigo]],Plan_cuentas[],6,FALSE)," ")</f>
        <v>1 - VW - Volkswagen</v>
      </c>
      <c r="L2011" s="50">
        <v>4657150.5</v>
      </c>
      <c r="M2011" s="50"/>
      <c r="N2011" s="20">
        <f>+Movimientos_2026[[#This Row],[Ingresos]]-Movimientos_2026[[#This Row],[Egresos]]</f>
        <v>4657150.5</v>
      </c>
      <c r="O2011" s="20">
        <f>+O2010+Movimientos_2026[[#This Row],[Neto]]</f>
        <v>5786046203.8011084</v>
      </c>
    </row>
    <row r="2012" spans="1:15" x14ac:dyDescent="0.25">
      <c r="A2012" s="13">
        <v>46189</v>
      </c>
      <c r="B2012" s="12">
        <f>MONTH(Movimientos_2026[[#This Row],[Fecha]])</f>
        <v>6</v>
      </c>
      <c r="C2012" s="12" t="str">
        <f>VLOOKUP((WEEKDAY(Movimientos_2026[[#This Row],[Fecha]],2)),'5. Setup'!$D$6:$E$12,2,FALSE)</f>
        <v>Mar</v>
      </c>
      <c r="D2012">
        <v>1044211</v>
      </c>
      <c r="E2012" t="str">
        <f>IFERROR(+VLOOKUP(Movimientos_2026[[#This Row],[Codigo]],Plan_cuentas[],2,FALSE)," ")</f>
        <v>INGRESOS</v>
      </c>
      <c r="F2012" t="str">
        <f>IFERROR(+VLOOKUP(Movimientos_2026[[#This Row],[Codigo]],Plan_cuentas[],3,FALSE)," ")</f>
        <v>Transferencia</v>
      </c>
      <c r="G2012" t="str">
        <f>IFERROR(+VLOOKUP(Movimientos_2026[[#This Row],[Codigo]],Plan_cuentas[],4,FALSE)," ")</f>
        <v>Rentas</v>
      </c>
      <c r="H2012" t="str">
        <f>IFERROR(+VLOOKUP(Movimientos_2026[[#This Row],[Codigo]],Plan_cuentas[],5,FALSE)," ")</f>
        <v>CORRIENTES 2° Q</v>
      </c>
      <c r="I2012" s="43">
        <v>46143</v>
      </c>
      <c r="J2012" t="s">
        <v>879</v>
      </c>
      <c r="K2012" t="str">
        <f>IFERROR(+VLOOKUP(Movimientos_2026[[#This Row],[Codigo]],Plan_cuentas[],6,FALSE)," ")</f>
        <v>1 - VW - Volkswagen</v>
      </c>
      <c r="L2012" s="50">
        <v>5944405.5</v>
      </c>
      <c r="M2012" s="50"/>
      <c r="N2012" s="20">
        <f>+Movimientos_2026[[#This Row],[Ingresos]]-Movimientos_2026[[#This Row],[Egresos]]</f>
        <v>5944405.5</v>
      </c>
      <c r="O2012" s="20">
        <f>+O2011+Movimientos_2026[[#This Row],[Neto]]</f>
        <v>5791990609.3011084</v>
      </c>
    </row>
    <row r="2013" spans="1:15" x14ac:dyDescent="0.25">
      <c r="A2013" s="13">
        <v>46189</v>
      </c>
      <c r="B2013" s="12">
        <f>MONTH(Movimientos_2026[[#This Row],[Fecha]])</f>
        <v>6</v>
      </c>
      <c r="C2013" s="12" t="str">
        <f>VLOOKUP((WEEKDAY(Movimientos_2026[[#This Row],[Fecha]],2)),'5. Setup'!$D$6:$E$12,2,FALSE)</f>
        <v>Mar</v>
      </c>
      <c r="D2013">
        <v>1044241</v>
      </c>
      <c r="E2013" t="str">
        <f>IFERROR(+VLOOKUP(Movimientos_2026[[#This Row],[Codigo]],Plan_cuentas[],2,FALSE)," ")</f>
        <v>INGRESOS</v>
      </c>
      <c r="F2013" t="str">
        <f>IFERROR(+VLOOKUP(Movimientos_2026[[#This Row],[Codigo]],Plan_cuentas[],3,FALSE)," ")</f>
        <v>Transferencia</v>
      </c>
      <c r="G2013" t="str">
        <f>IFERROR(+VLOOKUP(Movimientos_2026[[#This Row],[Codigo]],Plan_cuentas[],4,FALSE)," ")</f>
        <v>Rentas</v>
      </c>
      <c r="H2013" t="str">
        <f>IFERROR(+VLOOKUP(Movimientos_2026[[#This Row],[Codigo]],Plan_cuentas[],5,FALSE)," ")</f>
        <v>FORMOSA</v>
      </c>
      <c r="I2013" s="43">
        <v>46143</v>
      </c>
      <c r="J2013" t="s">
        <v>879</v>
      </c>
      <c r="K2013" t="str">
        <f>IFERROR(+VLOOKUP(Movimientos_2026[[#This Row],[Codigo]],Plan_cuentas[],6,FALSE)," ")</f>
        <v>1 - VW - Volkswagen</v>
      </c>
      <c r="L2013" s="50">
        <v>3360598.5</v>
      </c>
      <c r="M2013" s="50"/>
      <c r="N2013" s="20">
        <f>+Movimientos_2026[[#This Row],[Ingresos]]-Movimientos_2026[[#This Row],[Egresos]]</f>
        <v>3360598.5</v>
      </c>
      <c r="O2013" s="20">
        <f>+O2012+Movimientos_2026[[#This Row],[Neto]]</f>
        <v>5795351207.8011084</v>
      </c>
    </row>
    <row r="2014" spans="1:15" x14ac:dyDescent="0.25">
      <c r="A2014" s="13">
        <v>46189</v>
      </c>
      <c r="B2014" s="12">
        <f>MONTH(Movimientos_2026[[#This Row],[Fecha]])</f>
        <v>6</v>
      </c>
      <c r="C2014" s="12" t="str">
        <f>VLOOKUP((WEEKDAY(Movimientos_2026[[#This Row],[Fecha]],2)),'5. Setup'!$D$6:$E$12,2,FALSE)</f>
        <v>Mar</v>
      </c>
      <c r="D2014">
        <v>1044261</v>
      </c>
      <c r="E2014" t="str">
        <f>IFERROR(+VLOOKUP(Movimientos_2026[[#This Row],[Codigo]],Plan_cuentas[],2,FALSE)," ")</f>
        <v>INGRESOS</v>
      </c>
      <c r="F2014" t="str">
        <f>IFERROR(+VLOOKUP(Movimientos_2026[[#This Row],[Codigo]],Plan_cuentas[],3,FALSE)," ")</f>
        <v>Transferencia</v>
      </c>
      <c r="G2014" t="str">
        <f>IFERROR(+VLOOKUP(Movimientos_2026[[#This Row],[Codigo]],Plan_cuentas[],4,FALSE)," ")</f>
        <v>Rentas</v>
      </c>
      <c r="H2014" t="str">
        <f>IFERROR(+VLOOKUP(Movimientos_2026[[#This Row],[Codigo]],Plan_cuentas[],5,FALSE)," ")</f>
        <v>LA PAMPA</v>
      </c>
      <c r="I2014" s="43">
        <v>46143</v>
      </c>
      <c r="J2014" t="s">
        <v>879</v>
      </c>
      <c r="K2014" t="str">
        <f>IFERROR(+VLOOKUP(Movimientos_2026[[#This Row],[Codigo]],Plan_cuentas[],6,FALSE)," ")</f>
        <v>1 - VW - Volkswagen</v>
      </c>
      <c r="L2014" s="50">
        <v>4891576.5</v>
      </c>
      <c r="M2014" s="50"/>
      <c r="N2014" s="20">
        <f>+Movimientos_2026[[#This Row],[Ingresos]]-Movimientos_2026[[#This Row],[Egresos]]</f>
        <v>4891576.5</v>
      </c>
      <c r="O2014" s="20">
        <f>+O2013+Movimientos_2026[[#This Row],[Neto]]</f>
        <v>5800242784.3011084</v>
      </c>
    </row>
    <row r="2015" spans="1:15" x14ac:dyDescent="0.25">
      <c r="A2015" s="13">
        <v>46189</v>
      </c>
      <c r="B2015" s="12">
        <f>MONTH(Movimientos_2026[[#This Row],[Fecha]])</f>
        <v>6</v>
      </c>
      <c r="C2015" s="12" t="str">
        <f>VLOOKUP((WEEKDAY(Movimientos_2026[[#This Row],[Fecha]],2)),'5. Setup'!$D$6:$E$12,2,FALSE)</f>
        <v>Mar</v>
      </c>
      <c r="D2015">
        <v>1044271</v>
      </c>
      <c r="E2015" t="str">
        <f>IFERROR(+VLOOKUP(Movimientos_2026[[#This Row],[Codigo]],Plan_cuentas[],2,FALSE)," ")</f>
        <v>INGRESOS</v>
      </c>
      <c r="F2015" t="str">
        <f>IFERROR(+VLOOKUP(Movimientos_2026[[#This Row],[Codigo]],Plan_cuentas[],3,FALSE)," ")</f>
        <v>Transferencia</v>
      </c>
      <c r="G2015" t="str">
        <f>IFERROR(+VLOOKUP(Movimientos_2026[[#This Row],[Codigo]],Plan_cuentas[],4,FALSE)," ")</f>
        <v>Rentas</v>
      </c>
      <c r="H2015" t="str">
        <f>IFERROR(+VLOOKUP(Movimientos_2026[[#This Row],[Codigo]],Plan_cuentas[],5,FALSE)," ")</f>
        <v>LA RIOJA</v>
      </c>
      <c r="I2015" s="43">
        <v>46143</v>
      </c>
      <c r="J2015" t="s">
        <v>879</v>
      </c>
      <c r="K2015" t="str">
        <f>IFERROR(+VLOOKUP(Movimientos_2026[[#This Row],[Codigo]],Plan_cuentas[],6,FALSE)," ")</f>
        <v>1 - VW - Volkswagen</v>
      </c>
      <c r="L2015" s="50">
        <v>16036954</v>
      </c>
      <c r="M2015" s="50"/>
      <c r="N2015" s="20">
        <f>+Movimientos_2026[[#This Row],[Ingresos]]-Movimientos_2026[[#This Row],[Egresos]]</f>
        <v>16036954</v>
      </c>
      <c r="O2015" s="20">
        <f>+O2014+Movimientos_2026[[#This Row],[Neto]]</f>
        <v>5816279738.3011084</v>
      </c>
    </row>
    <row r="2016" spans="1:15" x14ac:dyDescent="0.25">
      <c r="A2016" s="13">
        <v>46189</v>
      </c>
      <c r="B2016" s="12">
        <f>MONTH(Movimientos_2026[[#This Row],[Fecha]])</f>
        <v>6</v>
      </c>
      <c r="C2016" s="12" t="str">
        <f>VLOOKUP((WEEKDAY(Movimientos_2026[[#This Row],[Fecha]],2)),'5. Setup'!$D$6:$E$12,2,FALSE)</f>
        <v>Mar</v>
      </c>
      <c r="D2016">
        <v>1044281</v>
      </c>
      <c r="E2016" t="str">
        <f>IFERROR(+VLOOKUP(Movimientos_2026[[#This Row],[Codigo]],Plan_cuentas[],2,FALSE)," ")</f>
        <v>INGRESOS</v>
      </c>
      <c r="F2016" t="str">
        <f>IFERROR(+VLOOKUP(Movimientos_2026[[#This Row],[Codigo]],Plan_cuentas[],3,FALSE)," ")</f>
        <v>Transferencia</v>
      </c>
      <c r="G2016" t="str">
        <f>IFERROR(+VLOOKUP(Movimientos_2026[[#This Row],[Codigo]],Plan_cuentas[],4,FALSE)," ")</f>
        <v>Rentas</v>
      </c>
      <c r="H2016" t="str">
        <f>IFERROR(+VLOOKUP(Movimientos_2026[[#This Row],[Codigo]],Plan_cuentas[],5,FALSE)," ")</f>
        <v>MENDOZA</v>
      </c>
      <c r="I2016" s="43">
        <v>46143</v>
      </c>
      <c r="J2016" t="s">
        <v>879</v>
      </c>
      <c r="K2016" t="str">
        <f>IFERROR(+VLOOKUP(Movimientos_2026[[#This Row],[Codigo]],Plan_cuentas[],6,FALSE)," ")</f>
        <v>1 - VW - Volkswagen</v>
      </c>
      <c r="L2016" s="50">
        <v>12669022.5</v>
      </c>
      <c r="M2016" s="50"/>
      <c r="N2016" s="20">
        <f>+Movimientos_2026[[#This Row],[Ingresos]]-Movimientos_2026[[#This Row],[Egresos]]</f>
        <v>12669022.5</v>
      </c>
      <c r="O2016" s="20">
        <f>+O2015+Movimientos_2026[[#This Row],[Neto]]</f>
        <v>5828948760.8011084</v>
      </c>
    </row>
    <row r="2017" spans="1:15" x14ac:dyDescent="0.25">
      <c r="A2017" s="13">
        <v>46189</v>
      </c>
      <c r="B2017" s="12">
        <f>MONTH(Movimientos_2026[[#This Row],[Fecha]])</f>
        <v>6</v>
      </c>
      <c r="C2017" s="12" t="str">
        <f>VLOOKUP((WEEKDAY(Movimientos_2026[[#This Row],[Fecha]],2)),'5. Setup'!$D$6:$E$12,2,FALSE)</f>
        <v>Mar</v>
      </c>
      <c r="D2017">
        <v>1044461</v>
      </c>
      <c r="E2017" t="str">
        <f>IFERROR(+VLOOKUP(Movimientos_2026[[#This Row],[Codigo]],Plan_cuentas[],2,FALSE)," ")</f>
        <v>INGRESOS</v>
      </c>
      <c r="F2017" t="str">
        <f>IFERROR(+VLOOKUP(Movimientos_2026[[#This Row],[Codigo]],Plan_cuentas[],3,FALSE)," ")</f>
        <v>Transferencia</v>
      </c>
      <c r="G2017" t="str">
        <f>IFERROR(+VLOOKUP(Movimientos_2026[[#This Row],[Codigo]],Plan_cuentas[],4,FALSE)," ")</f>
        <v>Rentas</v>
      </c>
      <c r="H2017" t="str">
        <f>IFERROR(+VLOOKUP(Movimientos_2026[[#This Row],[Codigo]],Plan_cuentas[],5,FALSE)," ")</f>
        <v>MISIONES</v>
      </c>
      <c r="I2017" s="43">
        <v>46143</v>
      </c>
      <c r="J2017" t="s">
        <v>879</v>
      </c>
      <c r="K2017" t="str">
        <f>IFERROR(+VLOOKUP(Movimientos_2026[[#This Row],[Codigo]],Plan_cuentas[],6,FALSE)," ")</f>
        <v>1 - VW - Volkswagen</v>
      </c>
      <c r="L2017" s="50">
        <v>2221047.846042241</v>
      </c>
      <c r="M2017" s="50"/>
      <c r="N2017" s="20">
        <f>+Movimientos_2026[[#This Row],[Ingresos]]-Movimientos_2026[[#This Row],[Egresos]]</f>
        <v>2221047.846042241</v>
      </c>
      <c r="O2017" s="20">
        <f>+O2016+Movimientos_2026[[#This Row],[Neto]]</f>
        <v>5831169808.647151</v>
      </c>
    </row>
    <row r="2018" spans="1:15" x14ac:dyDescent="0.25">
      <c r="A2018" s="13">
        <v>46189</v>
      </c>
      <c r="B2018" s="12">
        <f>MONTH(Movimientos_2026[[#This Row],[Fecha]])</f>
        <v>6</v>
      </c>
      <c r="C2018" s="12" t="str">
        <f>VLOOKUP((WEEKDAY(Movimientos_2026[[#This Row],[Fecha]],2)),'5. Setup'!$D$6:$E$12,2,FALSE)</f>
        <v>Mar</v>
      </c>
      <c r="D2018">
        <v>1044311</v>
      </c>
      <c r="E2018" t="str">
        <f>IFERROR(+VLOOKUP(Movimientos_2026[[#This Row],[Codigo]],Plan_cuentas[],2,FALSE)," ")</f>
        <v>INGRESOS</v>
      </c>
      <c r="F2018" t="str">
        <f>IFERROR(+VLOOKUP(Movimientos_2026[[#This Row],[Codigo]],Plan_cuentas[],3,FALSE)," ")</f>
        <v>Transferencia</v>
      </c>
      <c r="G2018" t="str">
        <f>IFERROR(+VLOOKUP(Movimientos_2026[[#This Row],[Codigo]],Plan_cuentas[],4,FALSE)," ")</f>
        <v>Rentas</v>
      </c>
      <c r="H2018" t="str">
        <f>IFERROR(+VLOOKUP(Movimientos_2026[[#This Row],[Codigo]],Plan_cuentas[],5,FALSE)," ")</f>
        <v>NEUQUEN 1° Q</v>
      </c>
      <c r="I2018" s="43">
        <v>46143</v>
      </c>
      <c r="J2018" t="s">
        <v>879</v>
      </c>
      <c r="K2018" t="str">
        <f>IFERROR(+VLOOKUP(Movimientos_2026[[#This Row],[Codigo]],Plan_cuentas[],6,FALSE)," ")</f>
        <v>1 - VW - Volkswagen</v>
      </c>
      <c r="L2018" s="50">
        <v>22501878.600000001</v>
      </c>
      <c r="M2018" s="50"/>
      <c r="N2018" s="20">
        <f>+Movimientos_2026[[#This Row],[Ingresos]]-Movimientos_2026[[#This Row],[Egresos]]</f>
        <v>22501878.600000001</v>
      </c>
      <c r="O2018" s="20">
        <f>+O2017+Movimientos_2026[[#This Row],[Neto]]</f>
        <v>5853671687.2471514</v>
      </c>
    </row>
    <row r="2019" spans="1:15" x14ac:dyDescent="0.25">
      <c r="A2019" s="13">
        <v>46189</v>
      </c>
      <c r="B2019" s="12">
        <f>MONTH(Movimientos_2026[[#This Row],[Fecha]])</f>
        <v>6</v>
      </c>
      <c r="C2019" s="12" t="str">
        <f>VLOOKUP((WEEKDAY(Movimientos_2026[[#This Row],[Fecha]],2)),'5. Setup'!$D$6:$E$12,2,FALSE)</f>
        <v>Mar</v>
      </c>
      <c r="D2019">
        <v>1044321</v>
      </c>
      <c r="E2019" t="str">
        <f>IFERROR(+VLOOKUP(Movimientos_2026[[#This Row],[Codigo]],Plan_cuentas[],2,FALSE)," ")</f>
        <v>INGRESOS</v>
      </c>
      <c r="F2019" t="str">
        <f>IFERROR(+VLOOKUP(Movimientos_2026[[#This Row],[Codigo]],Plan_cuentas[],3,FALSE)," ")</f>
        <v>Transferencia</v>
      </c>
      <c r="G2019" t="str">
        <f>IFERROR(+VLOOKUP(Movimientos_2026[[#This Row],[Codigo]],Plan_cuentas[],4,FALSE)," ")</f>
        <v>Rentas</v>
      </c>
      <c r="H2019" t="str">
        <f>IFERROR(+VLOOKUP(Movimientos_2026[[#This Row],[Codigo]],Plan_cuentas[],5,FALSE)," ")</f>
        <v>NEUQUEN 2° Q</v>
      </c>
      <c r="I2019" s="43">
        <v>46143</v>
      </c>
      <c r="J2019" t="s">
        <v>879</v>
      </c>
      <c r="K2019" t="str">
        <f>IFERROR(+VLOOKUP(Movimientos_2026[[#This Row],[Codigo]],Plan_cuentas[],6,FALSE)," ")</f>
        <v>1 - VW - Volkswagen</v>
      </c>
      <c r="L2019" s="50">
        <v>25230796.5</v>
      </c>
      <c r="M2019" s="50"/>
      <c r="N2019" s="20">
        <f>+Movimientos_2026[[#This Row],[Ingresos]]-Movimientos_2026[[#This Row],[Egresos]]</f>
        <v>25230796.5</v>
      </c>
      <c r="O2019" s="20">
        <f>+O2018+Movimientos_2026[[#This Row],[Neto]]</f>
        <v>5878902483.7471514</v>
      </c>
    </row>
    <row r="2020" spans="1:15" x14ac:dyDescent="0.25">
      <c r="A2020" s="13">
        <v>46189</v>
      </c>
      <c r="B2020" s="12">
        <f>MONTH(Movimientos_2026[[#This Row],[Fecha]])</f>
        <v>6</v>
      </c>
      <c r="C2020" s="12" t="str">
        <f>VLOOKUP((WEEKDAY(Movimientos_2026[[#This Row],[Fecha]],2)),'5. Setup'!$D$6:$E$12,2,FALSE)</f>
        <v>Mar</v>
      </c>
      <c r="D2020">
        <v>1044351</v>
      </c>
      <c r="E2020" t="str">
        <f>IFERROR(+VLOOKUP(Movimientos_2026[[#This Row],[Codigo]],Plan_cuentas[],2,FALSE)," ")</f>
        <v>INGRESOS</v>
      </c>
      <c r="F2020" t="str">
        <f>IFERROR(+VLOOKUP(Movimientos_2026[[#This Row],[Codigo]],Plan_cuentas[],3,FALSE)," ")</f>
        <v>Transferencia</v>
      </c>
      <c r="G2020" t="str">
        <f>IFERROR(+VLOOKUP(Movimientos_2026[[#This Row],[Codigo]],Plan_cuentas[],4,FALSE)," ")</f>
        <v>Rentas</v>
      </c>
      <c r="H2020" t="str">
        <f>IFERROR(+VLOOKUP(Movimientos_2026[[#This Row],[Codigo]],Plan_cuentas[],5,FALSE)," ")</f>
        <v>SAN JUAN</v>
      </c>
      <c r="I2020" s="43">
        <v>46143</v>
      </c>
      <c r="J2020" t="s">
        <v>879</v>
      </c>
      <c r="K2020" t="str">
        <f>IFERROR(+VLOOKUP(Movimientos_2026[[#This Row],[Codigo]],Plan_cuentas[],6,FALSE)," ")</f>
        <v>1 - VW - Volkswagen</v>
      </c>
      <c r="L2020" s="50">
        <v>3187399.5359999989</v>
      </c>
      <c r="M2020" s="50"/>
      <c r="N2020" s="20">
        <f>+Movimientos_2026[[#This Row],[Ingresos]]-Movimientos_2026[[#This Row],[Egresos]]</f>
        <v>3187399.5359999989</v>
      </c>
      <c r="O2020" s="20">
        <f>+O2019+Movimientos_2026[[#This Row],[Neto]]</f>
        <v>5882089883.2831516</v>
      </c>
    </row>
    <row r="2021" spans="1:15" x14ac:dyDescent="0.25">
      <c r="A2021" s="13">
        <v>46189</v>
      </c>
      <c r="B2021" s="12">
        <f>MONTH(Movimientos_2026[[#This Row],[Fecha]])</f>
        <v>6</v>
      </c>
      <c r="C2021" s="12" t="str">
        <f>VLOOKUP((WEEKDAY(Movimientos_2026[[#This Row],[Fecha]],2)),'5. Setup'!$D$6:$E$12,2,FALSE)</f>
        <v>Mar</v>
      </c>
      <c r="D2021">
        <v>1044361</v>
      </c>
      <c r="E2021" t="str">
        <f>IFERROR(+VLOOKUP(Movimientos_2026[[#This Row],[Codigo]],Plan_cuentas[],2,FALSE)," ")</f>
        <v>INGRESOS</v>
      </c>
      <c r="F2021" t="str">
        <f>IFERROR(+VLOOKUP(Movimientos_2026[[#This Row],[Codigo]],Plan_cuentas[],3,FALSE)," ")</f>
        <v>Transferencia</v>
      </c>
      <c r="G2021" t="str">
        <f>IFERROR(+VLOOKUP(Movimientos_2026[[#This Row],[Codigo]],Plan_cuentas[],4,FALSE)," ")</f>
        <v>Rentas</v>
      </c>
      <c r="H2021" t="str">
        <f>IFERROR(+VLOOKUP(Movimientos_2026[[#This Row],[Codigo]],Plan_cuentas[],5,FALSE)," ")</f>
        <v>SAN LUIS</v>
      </c>
      <c r="I2021" s="43">
        <v>46143</v>
      </c>
      <c r="J2021" t="s">
        <v>879</v>
      </c>
      <c r="K2021" t="str">
        <f>IFERROR(+VLOOKUP(Movimientos_2026[[#This Row],[Codigo]],Plan_cuentas[],6,FALSE)," ")</f>
        <v>1 - VW - Volkswagen</v>
      </c>
      <c r="L2021" s="50">
        <v>7996463.4000000004</v>
      </c>
      <c r="M2021" s="50"/>
      <c r="N2021" s="20">
        <f>+Movimientos_2026[[#This Row],[Ingresos]]-Movimientos_2026[[#This Row],[Egresos]]</f>
        <v>7996463.4000000004</v>
      </c>
      <c r="O2021" s="20">
        <f>+O2020+Movimientos_2026[[#This Row],[Neto]]</f>
        <v>5890086346.6831512</v>
      </c>
    </row>
    <row r="2022" spans="1:15" x14ac:dyDescent="0.25">
      <c r="A2022" s="13">
        <v>46189</v>
      </c>
      <c r="B2022" s="12">
        <f>MONTH(Movimientos_2026[[#This Row],[Fecha]])</f>
        <v>6</v>
      </c>
      <c r="C2022" s="12" t="str">
        <f>VLOOKUP((WEEKDAY(Movimientos_2026[[#This Row],[Fecha]],2)),'5. Setup'!$D$6:$E$12,2,FALSE)</f>
        <v>Mar</v>
      </c>
      <c r="D2022">
        <v>1044371</v>
      </c>
      <c r="E2022" t="str">
        <f>IFERROR(+VLOOKUP(Movimientos_2026[[#This Row],[Codigo]],Plan_cuentas[],2,FALSE)," ")</f>
        <v>INGRESOS</v>
      </c>
      <c r="F2022" t="str">
        <f>IFERROR(+VLOOKUP(Movimientos_2026[[#This Row],[Codigo]],Plan_cuentas[],3,FALSE)," ")</f>
        <v>Transferencia</v>
      </c>
      <c r="G2022" t="str">
        <f>IFERROR(+VLOOKUP(Movimientos_2026[[#This Row],[Codigo]],Plan_cuentas[],4,FALSE)," ")</f>
        <v>Rentas</v>
      </c>
      <c r="H2022" t="str">
        <f>IFERROR(+VLOOKUP(Movimientos_2026[[#This Row],[Codigo]],Plan_cuentas[],5,FALSE)," ")</f>
        <v>SANTA CRUZ</v>
      </c>
      <c r="I2022" s="43">
        <v>46143</v>
      </c>
      <c r="J2022" t="s">
        <v>879</v>
      </c>
      <c r="K2022" t="str">
        <f>IFERROR(+VLOOKUP(Movimientos_2026[[#This Row],[Codigo]],Plan_cuentas[],6,FALSE)," ")</f>
        <v>1 - VW - Volkswagen</v>
      </c>
      <c r="L2022" s="50">
        <v>20567233.399999999</v>
      </c>
      <c r="M2022" s="50"/>
      <c r="N2022" s="20">
        <f>+Movimientos_2026[[#This Row],[Ingresos]]-Movimientos_2026[[#This Row],[Egresos]]</f>
        <v>20567233.399999999</v>
      </c>
      <c r="O2022" s="20">
        <f>+O2021+Movimientos_2026[[#This Row],[Neto]]</f>
        <v>5910653580.0831509</v>
      </c>
    </row>
    <row r="2023" spans="1:15" x14ac:dyDescent="0.25">
      <c r="A2023" s="13">
        <v>46189</v>
      </c>
      <c r="B2023" s="12">
        <f>MONTH(Movimientos_2026[[#This Row],[Fecha]])</f>
        <v>6</v>
      </c>
      <c r="C2023" s="12" t="str">
        <f>VLOOKUP((WEEKDAY(Movimientos_2026[[#This Row],[Fecha]],2)),'5. Setup'!$D$6:$E$12,2,FALSE)</f>
        <v>Mar</v>
      </c>
      <c r="D2023">
        <v>1044381</v>
      </c>
      <c r="E2023" t="str">
        <f>IFERROR(+VLOOKUP(Movimientos_2026[[#This Row],[Codigo]],Plan_cuentas[],2,FALSE)," ")</f>
        <v>INGRESOS</v>
      </c>
      <c r="F2023" t="str">
        <f>IFERROR(+VLOOKUP(Movimientos_2026[[#This Row],[Codigo]],Plan_cuentas[],3,FALSE)," ")</f>
        <v>Transferencia</v>
      </c>
      <c r="G2023" t="str">
        <f>IFERROR(+VLOOKUP(Movimientos_2026[[#This Row],[Codigo]],Plan_cuentas[],4,FALSE)," ")</f>
        <v>Rentas</v>
      </c>
      <c r="H2023" t="str">
        <f>IFERROR(+VLOOKUP(Movimientos_2026[[#This Row],[Codigo]],Plan_cuentas[],5,FALSE)," ")</f>
        <v>SANTA FE 1° Q</v>
      </c>
      <c r="I2023" s="43">
        <v>46143</v>
      </c>
      <c r="J2023" t="s">
        <v>879</v>
      </c>
      <c r="K2023" t="str">
        <f>IFERROR(+VLOOKUP(Movimientos_2026[[#This Row],[Codigo]],Plan_cuentas[],6,FALSE)," ")</f>
        <v>1 - VW - Volkswagen</v>
      </c>
      <c r="L2023" s="50">
        <v>9997292.3499999996</v>
      </c>
      <c r="M2023" s="50"/>
      <c r="N2023" s="20">
        <f>+Movimientos_2026[[#This Row],[Ingresos]]-Movimientos_2026[[#This Row],[Egresos]]</f>
        <v>9997292.3499999996</v>
      </c>
      <c r="O2023" s="20">
        <f>+O2022+Movimientos_2026[[#This Row],[Neto]]</f>
        <v>5920650872.4331512</v>
      </c>
    </row>
    <row r="2024" spans="1:15" x14ac:dyDescent="0.25">
      <c r="A2024" s="13">
        <v>46189</v>
      </c>
      <c r="B2024" s="12">
        <f>MONTH(Movimientos_2026[[#This Row],[Fecha]])</f>
        <v>6</v>
      </c>
      <c r="C2024" s="12" t="str">
        <f>VLOOKUP((WEEKDAY(Movimientos_2026[[#This Row],[Fecha]],2)),'5. Setup'!$D$6:$E$12,2,FALSE)</f>
        <v>Mar</v>
      </c>
      <c r="D2024">
        <v>1044391</v>
      </c>
      <c r="E2024" t="str">
        <f>IFERROR(+VLOOKUP(Movimientos_2026[[#This Row],[Codigo]],Plan_cuentas[],2,FALSE)," ")</f>
        <v>INGRESOS</v>
      </c>
      <c r="F2024" t="str">
        <f>IFERROR(+VLOOKUP(Movimientos_2026[[#This Row],[Codigo]],Plan_cuentas[],3,FALSE)," ")</f>
        <v>Transferencia</v>
      </c>
      <c r="G2024" t="str">
        <f>IFERROR(+VLOOKUP(Movimientos_2026[[#This Row],[Codigo]],Plan_cuentas[],4,FALSE)," ")</f>
        <v>Rentas</v>
      </c>
      <c r="H2024" t="str">
        <f>IFERROR(+VLOOKUP(Movimientos_2026[[#This Row],[Codigo]],Plan_cuentas[],5,FALSE)," ")</f>
        <v>SANTA FE 2° Q</v>
      </c>
      <c r="I2024" s="43">
        <v>46143</v>
      </c>
      <c r="J2024" t="s">
        <v>879</v>
      </c>
      <c r="K2024" t="str">
        <f>IFERROR(+VLOOKUP(Movimientos_2026[[#This Row],[Codigo]],Plan_cuentas[],6,FALSE)," ")</f>
        <v>1 - VW - Volkswagen</v>
      </c>
      <c r="L2024" s="50">
        <v>12515724.75</v>
      </c>
      <c r="M2024" s="50"/>
      <c r="N2024" s="20">
        <f>+Movimientos_2026[[#This Row],[Ingresos]]-Movimientos_2026[[#This Row],[Egresos]]</f>
        <v>12515724.75</v>
      </c>
      <c r="O2024" s="20">
        <f>+O2023+Movimientos_2026[[#This Row],[Neto]]</f>
        <v>5933166597.1831512</v>
      </c>
    </row>
    <row r="2025" spans="1:15" x14ac:dyDescent="0.25">
      <c r="A2025" s="13">
        <v>46189</v>
      </c>
      <c r="B2025" s="12">
        <f>MONTH(Movimientos_2026[[#This Row],[Fecha]])</f>
        <v>6</v>
      </c>
      <c r="C2025" s="12" t="str">
        <f>VLOOKUP((WEEKDAY(Movimientos_2026[[#This Row],[Fecha]],2)),'5. Setup'!$D$6:$E$12,2,FALSE)</f>
        <v>Mar</v>
      </c>
      <c r="D2025">
        <v>1044401</v>
      </c>
      <c r="E2025" t="str">
        <f>IFERROR(+VLOOKUP(Movimientos_2026[[#This Row],[Codigo]],Plan_cuentas[],2,FALSE)," ")</f>
        <v>INGRESOS</v>
      </c>
      <c r="F2025" t="str">
        <f>IFERROR(+VLOOKUP(Movimientos_2026[[#This Row],[Codigo]],Plan_cuentas[],3,FALSE)," ")</f>
        <v>Transferencia</v>
      </c>
      <c r="G2025" t="str">
        <f>IFERROR(+VLOOKUP(Movimientos_2026[[#This Row],[Codigo]],Plan_cuentas[],4,FALSE)," ")</f>
        <v>Rentas</v>
      </c>
      <c r="H2025" t="str">
        <f>IFERROR(+VLOOKUP(Movimientos_2026[[#This Row],[Codigo]],Plan_cuentas[],5,FALSE)," ")</f>
        <v>SANTIAGO DEL ESTERO</v>
      </c>
      <c r="I2025" s="43">
        <v>46143</v>
      </c>
      <c r="J2025" t="s">
        <v>879</v>
      </c>
      <c r="K2025" t="str">
        <f>IFERROR(+VLOOKUP(Movimientos_2026[[#This Row],[Codigo]],Plan_cuentas[],6,FALSE)," ")</f>
        <v>1 - VW - Volkswagen</v>
      </c>
      <c r="L2025" s="50">
        <v>23243939.5</v>
      </c>
      <c r="M2025" s="50"/>
      <c r="N2025" s="20">
        <f>+Movimientos_2026[[#This Row],[Ingresos]]-Movimientos_2026[[#This Row],[Egresos]]</f>
        <v>23243939.5</v>
      </c>
      <c r="O2025" s="20">
        <f>+O2024+Movimientos_2026[[#This Row],[Neto]]</f>
        <v>5956410536.6831512</v>
      </c>
    </row>
    <row r="2026" spans="1:15" x14ac:dyDescent="0.25">
      <c r="A2026" s="13">
        <v>46189</v>
      </c>
      <c r="B2026" s="12">
        <f>MONTH(Movimientos_2026[[#This Row],[Fecha]])</f>
        <v>6</v>
      </c>
      <c r="C2026" s="12" t="str">
        <f>VLOOKUP((WEEKDAY(Movimientos_2026[[#This Row],[Fecha]],2)),'5. Setup'!$D$6:$E$12,2,FALSE)</f>
        <v>Mar</v>
      </c>
      <c r="D2026">
        <v>1044411</v>
      </c>
      <c r="E2026" t="str">
        <f>IFERROR(+VLOOKUP(Movimientos_2026[[#This Row],[Codigo]],Plan_cuentas[],2,FALSE)," ")</f>
        <v>INGRESOS</v>
      </c>
      <c r="F2026" t="str">
        <f>IFERROR(+VLOOKUP(Movimientos_2026[[#This Row],[Codigo]],Plan_cuentas[],3,FALSE)," ")</f>
        <v>Transferencia</v>
      </c>
      <c r="G2026" t="str">
        <f>IFERROR(+VLOOKUP(Movimientos_2026[[#This Row],[Codigo]],Plan_cuentas[],4,FALSE)," ")</f>
        <v>Rentas</v>
      </c>
      <c r="H2026" t="str">
        <f>IFERROR(+VLOOKUP(Movimientos_2026[[#This Row],[Codigo]],Plan_cuentas[],5,FALSE)," ")</f>
        <v>TIERRA DEL FUEGO</v>
      </c>
      <c r="I2026" s="43">
        <v>46143</v>
      </c>
      <c r="J2026" t="s">
        <v>879</v>
      </c>
      <c r="K2026" t="str">
        <f>IFERROR(+VLOOKUP(Movimientos_2026[[#This Row],[Codigo]],Plan_cuentas[],6,FALSE)," ")</f>
        <v>1 - VW - Volkswagen</v>
      </c>
      <c r="L2026" s="50">
        <v>4706950</v>
      </c>
      <c r="M2026" s="50"/>
      <c r="N2026" s="20">
        <f>+Movimientos_2026[[#This Row],[Ingresos]]-Movimientos_2026[[#This Row],[Egresos]]</f>
        <v>4706950</v>
      </c>
      <c r="O2026" s="20">
        <f>+O2025+Movimientos_2026[[#This Row],[Neto]]</f>
        <v>5961117486.6831512</v>
      </c>
    </row>
    <row r="2027" spans="1:15" x14ac:dyDescent="0.25">
      <c r="A2027" s="13">
        <v>46189</v>
      </c>
      <c r="B2027" s="12">
        <f>MONTH(Movimientos_2026[[#This Row],[Fecha]])</f>
        <v>6</v>
      </c>
      <c r="C2027" s="12" t="str">
        <f>VLOOKUP((WEEKDAY(Movimientos_2026[[#This Row],[Fecha]],2)),'5. Setup'!$D$6:$E$12,2,FALSE)</f>
        <v>Mar</v>
      </c>
      <c r="D2027">
        <v>1044421</v>
      </c>
      <c r="E2027" t="str">
        <f>IFERROR(+VLOOKUP(Movimientos_2026[[#This Row],[Codigo]],Plan_cuentas[],2,FALSE)," ")</f>
        <v>INGRESOS</v>
      </c>
      <c r="F2027" t="str">
        <f>IFERROR(+VLOOKUP(Movimientos_2026[[#This Row],[Codigo]],Plan_cuentas[],3,FALSE)," ")</f>
        <v>Transferencia</v>
      </c>
      <c r="G2027" t="str">
        <f>IFERROR(+VLOOKUP(Movimientos_2026[[#This Row],[Codigo]],Plan_cuentas[],4,FALSE)," ")</f>
        <v>Rentas</v>
      </c>
      <c r="H2027" t="str">
        <f>IFERROR(+VLOOKUP(Movimientos_2026[[#This Row],[Codigo]],Plan_cuentas[],5,FALSE)," ")</f>
        <v>TUCUMAN</v>
      </c>
      <c r="I2027" s="43">
        <v>46143</v>
      </c>
      <c r="J2027" t="s">
        <v>879</v>
      </c>
      <c r="K2027" t="str">
        <f>IFERROR(+VLOOKUP(Movimientos_2026[[#This Row],[Codigo]],Plan_cuentas[],6,FALSE)," ")</f>
        <v>1 - VW - Volkswagen</v>
      </c>
      <c r="L2027" s="50">
        <v>32691963.97671001</v>
      </c>
      <c r="M2027" s="50"/>
      <c r="N2027" s="20">
        <f>+Movimientos_2026[[#This Row],[Ingresos]]-Movimientos_2026[[#This Row],[Egresos]]</f>
        <v>32691963.97671001</v>
      </c>
      <c r="O2027" s="20">
        <f>+O2026+Movimientos_2026[[#This Row],[Neto]]</f>
        <v>5993809450.6598616</v>
      </c>
    </row>
    <row r="2028" spans="1:15" x14ac:dyDescent="0.25">
      <c r="A2028" s="13">
        <v>46189</v>
      </c>
      <c r="B2028" s="12">
        <f>MONTH(Movimientos_2026[[#This Row],[Fecha]])</f>
        <v>6</v>
      </c>
      <c r="C2028" s="12" t="str">
        <f>VLOOKUP((WEEKDAY(Movimientos_2026[[#This Row],[Fecha]],2)),'5. Setup'!$D$6:$E$12,2,FALSE)</f>
        <v>Mar</v>
      </c>
      <c r="D2028">
        <v>1043141</v>
      </c>
      <c r="E2028" t="str">
        <f>IFERROR(+VLOOKUP(Movimientos_2026[[#This Row],[Codigo]],Plan_cuentas[],2,FALSE)," ")</f>
        <v>INGRESOS</v>
      </c>
      <c r="F2028" t="str">
        <f>IFERROR(+VLOOKUP(Movimientos_2026[[#This Row],[Codigo]],Plan_cuentas[],3,FALSE)," ")</f>
        <v>Transferencia</v>
      </c>
      <c r="G2028" t="str">
        <f>IFERROR(+VLOOKUP(Movimientos_2026[[#This Row],[Codigo]],Plan_cuentas[],4,FALSE)," ")</f>
        <v>Registración</v>
      </c>
      <c r="H2028" t="str">
        <f>IFERROR(+VLOOKUP(Movimientos_2026[[#This Row],[Codigo]],Plan_cuentas[],5,FALSE)," ")</f>
        <v>BUENOS AIRES</v>
      </c>
      <c r="I2028" s="43">
        <v>46143</v>
      </c>
      <c r="J2028" t="s">
        <v>879</v>
      </c>
      <c r="K2028" t="str">
        <f>IFERROR(+VLOOKUP(Movimientos_2026[[#This Row],[Codigo]],Plan_cuentas[],6,FALSE)," ")</f>
        <v>1 - VW - Volkswagen</v>
      </c>
      <c r="L2028" s="50">
        <v>115096810.395</v>
      </c>
      <c r="M2028" s="50"/>
      <c r="N2028" s="20">
        <f>+Movimientos_2026[[#This Row],[Ingresos]]-Movimientos_2026[[#This Row],[Egresos]]</f>
        <v>115096810.395</v>
      </c>
      <c r="O2028" s="20">
        <f>+O2027+Movimientos_2026[[#This Row],[Neto]]</f>
        <v>6108906261.054862</v>
      </c>
    </row>
    <row r="2029" spans="1:15" x14ac:dyDescent="0.25">
      <c r="A2029" s="13">
        <v>46189</v>
      </c>
      <c r="B2029" s="12">
        <f>MONTH(Movimientos_2026[[#This Row],[Fecha]])</f>
        <v>6</v>
      </c>
      <c r="C2029" s="12" t="str">
        <f>VLOOKUP((WEEKDAY(Movimientos_2026[[#This Row],[Fecha]],2)),'5. Setup'!$D$6:$E$12,2,FALSE)</f>
        <v>Mar</v>
      </c>
      <c r="D2029">
        <v>1041131</v>
      </c>
      <c r="E2029" t="str">
        <f>IFERROR(+VLOOKUP(Movimientos_2026[[#This Row],[Codigo]],Plan_cuentas[],2,FALSE)," ")</f>
        <v>INGRESOS</v>
      </c>
      <c r="F2029" t="str">
        <f>IFERROR(+VLOOKUP(Movimientos_2026[[#This Row],[Codigo]],Plan_cuentas[],3,FALSE)," ")</f>
        <v>Transferencia</v>
      </c>
      <c r="G2029" t="str">
        <f>IFERROR(+VLOOKUP(Movimientos_2026[[#This Row],[Codigo]],Plan_cuentas[],4,FALSE)," ")</f>
        <v>Entidades co-participadas</v>
      </c>
      <c r="H2029" t="str">
        <f>IFERROR(+VLOOKUP(Movimientos_2026[[#This Row],[Codigo]],Plan_cuentas[],5,FALSE)," ")</f>
        <v>BCLP</v>
      </c>
      <c r="I2029" s="43">
        <v>46143</v>
      </c>
      <c r="J2029" t="s">
        <v>879</v>
      </c>
      <c r="K2029" t="str">
        <f>IFERROR(+VLOOKUP(Movimientos_2026[[#This Row],[Codigo]],Plan_cuentas[],6,FALSE)," ")</f>
        <v>1 - VW - Volkswagen</v>
      </c>
      <c r="L2029" s="50">
        <v>115096810.395</v>
      </c>
      <c r="M2029" s="50"/>
      <c r="N2029" s="20">
        <f>+Movimientos_2026[[#This Row],[Ingresos]]-Movimientos_2026[[#This Row],[Egresos]]</f>
        <v>115096810.395</v>
      </c>
      <c r="O2029" s="20">
        <f>+O2028+Movimientos_2026[[#This Row],[Neto]]</f>
        <v>6224003071.4498625</v>
      </c>
    </row>
    <row r="2030" spans="1:15" x14ac:dyDescent="0.25">
      <c r="A2030" s="13">
        <v>46189</v>
      </c>
      <c r="B2030" s="12">
        <f>MONTH(Movimientos_2026[[#This Row],[Fecha]])</f>
        <v>6</v>
      </c>
      <c r="C2030" s="12" t="str">
        <f>VLOOKUP((WEEKDAY(Movimientos_2026[[#This Row],[Fecha]],2)),'5. Setup'!$D$6:$E$12,2,FALSE)</f>
        <v>Mar</v>
      </c>
      <c r="D2030">
        <v>1041441</v>
      </c>
      <c r="E2030" t="str">
        <f>IFERROR(+VLOOKUP(Movimientos_2026[[#This Row],[Codigo]],Plan_cuentas[],2,FALSE)," ")</f>
        <v>INGRESOS</v>
      </c>
      <c r="F2030" t="str">
        <f>IFERROR(+VLOOKUP(Movimientos_2026[[#This Row],[Codigo]],Plan_cuentas[],3,FALSE)," ")</f>
        <v>Transferencia</v>
      </c>
      <c r="G2030" t="str">
        <f>IFERROR(+VLOOKUP(Movimientos_2026[[#This Row],[Codigo]],Plan_cuentas[],4,FALSE)," ")</f>
        <v>Entidades co-participadas</v>
      </c>
      <c r="H2030" t="str">
        <f>IFERROR(+VLOOKUP(Movimientos_2026[[#This Row],[Codigo]],Plan_cuentas[],5,FALSE)," ")</f>
        <v>UISCUMARR</v>
      </c>
      <c r="I2030" s="43">
        <v>46143</v>
      </c>
      <c r="J2030" t="s">
        <v>879</v>
      </c>
      <c r="K2030" t="str">
        <f>IFERROR(+VLOOKUP(Movimientos_2026[[#This Row],[Codigo]],Plan_cuentas[],6,FALSE)," ")</f>
        <v>1 - VW - Volkswagen</v>
      </c>
      <c r="L2030" s="50">
        <v>115096810.395</v>
      </c>
      <c r="M2030" s="50"/>
      <c r="N2030" s="20">
        <f>+Movimientos_2026[[#This Row],[Ingresos]]-Movimientos_2026[[#This Row],[Egresos]]</f>
        <v>115096810.395</v>
      </c>
      <c r="O2030" s="20">
        <f>+O2029+Movimientos_2026[[#This Row],[Neto]]</f>
        <v>6339099881.8448629</v>
      </c>
    </row>
    <row r="2031" spans="1:15" x14ac:dyDescent="0.25">
      <c r="A2031" s="13">
        <v>46190</v>
      </c>
      <c r="B2031" s="12">
        <f>MONTH(Movimientos_2026[[#This Row],[Fecha]])</f>
        <v>6</v>
      </c>
      <c r="C2031" s="12" t="str">
        <f>VLOOKUP((WEEKDAY(Movimientos_2026[[#This Row],[Fecha]],2)),'5. Setup'!$D$6:$E$12,2,FALSE)</f>
        <v>Mie</v>
      </c>
      <c r="D2031">
        <v>2044122</v>
      </c>
      <c r="E2031" t="str">
        <f>IFERROR(+VLOOKUP(Movimientos_2026[[#This Row],[Codigo]],Plan_cuentas[],2,FALSE)," ")</f>
        <v>EGRESOS</v>
      </c>
      <c r="F2031" t="str">
        <f>IFERROR(+VLOOKUP(Movimientos_2026[[#This Row],[Codigo]],Plan_cuentas[],3,FALSE)," ")</f>
        <v>Transferencia</v>
      </c>
      <c r="G2031" t="str">
        <f>IFERROR(+VLOOKUP(Movimientos_2026[[#This Row],[Codigo]],Plan_cuentas[],4,FALSE)," ")</f>
        <v>Rentas</v>
      </c>
      <c r="H2031" t="str">
        <f>IFERROR(+VLOOKUP(Movimientos_2026[[#This Row],[Codigo]],Plan_cuentas[],5,FALSE)," ")</f>
        <v>BAPRO</v>
      </c>
      <c r="I2031" s="43">
        <v>46082</v>
      </c>
      <c r="J2031" t="s">
        <v>880</v>
      </c>
      <c r="K2031" t="str">
        <f>IFERROR(+VLOOKUP(Movimientos_2026[[#This Row],[Codigo]],Plan_cuentas[],6,FALSE)," ")</f>
        <v>2 - PR - Plan Rombo</v>
      </c>
      <c r="L2031" s="50"/>
      <c r="M2031" s="50">
        <v>18197019.399999999</v>
      </c>
      <c r="N2031" s="20">
        <f>+Movimientos_2026[[#This Row],[Ingresos]]-Movimientos_2026[[#This Row],[Egresos]]</f>
        <v>-18197019.399999999</v>
      </c>
      <c r="O2031" s="20">
        <f>+O2030+Movimientos_2026[[#This Row],[Neto]]</f>
        <v>6320902862.4448633</v>
      </c>
    </row>
    <row r="2032" spans="1:15" x14ac:dyDescent="0.25">
      <c r="A2032" s="13">
        <v>46190</v>
      </c>
      <c r="B2032" s="12">
        <f>MONTH(Movimientos_2026[[#This Row],[Fecha]])</f>
        <v>6</v>
      </c>
      <c r="C2032" s="12" t="str">
        <f>VLOOKUP((WEEKDAY(Movimientos_2026[[#This Row],[Fecha]],2)),'5. Setup'!$D$6:$E$12,2,FALSE)</f>
        <v>Mie</v>
      </c>
      <c r="D2032">
        <v>2044122</v>
      </c>
      <c r="E2032" t="str">
        <f>IFERROR(+VLOOKUP(Movimientos_2026[[#This Row],[Codigo]],Plan_cuentas[],2,FALSE)," ")</f>
        <v>EGRESOS</v>
      </c>
      <c r="F2032" t="str">
        <f>IFERROR(+VLOOKUP(Movimientos_2026[[#This Row],[Codigo]],Plan_cuentas[],3,FALSE)," ")</f>
        <v>Transferencia</v>
      </c>
      <c r="G2032" t="str">
        <f>IFERROR(+VLOOKUP(Movimientos_2026[[#This Row],[Codigo]],Plan_cuentas[],4,FALSE)," ")</f>
        <v>Rentas</v>
      </c>
      <c r="H2032" t="str">
        <f>IFERROR(+VLOOKUP(Movimientos_2026[[#This Row],[Codigo]],Plan_cuentas[],5,FALSE)," ")</f>
        <v>BAPRO</v>
      </c>
      <c r="I2032" s="43">
        <v>46082</v>
      </c>
      <c r="J2032" t="s">
        <v>881</v>
      </c>
      <c r="K2032" t="str">
        <f>IFERROR(+VLOOKUP(Movimientos_2026[[#This Row],[Codigo]],Plan_cuentas[],6,FALSE)," ")</f>
        <v>2 - PR - Plan Rombo</v>
      </c>
      <c r="L2032" s="50"/>
      <c r="M2032" s="50">
        <v>16830467.899999999</v>
      </c>
      <c r="N2032" s="20">
        <f>+Movimientos_2026[[#This Row],[Ingresos]]-Movimientos_2026[[#This Row],[Egresos]]</f>
        <v>-16830467.899999999</v>
      </c>
      <c r="O2032" s="20">
        <f>+O2031+Movimientos_2026[[#This Row],[Neto]]</f>
        <v>6304072394.5448637</v>
      </c>
    </row>
    <row r="2033" spans="1:15" x14ac:dyDescent="0.25">
      <c r="A2033" s="13">
        <v>46191</v>
      </c>
      <c r="B2033" s="12">
        <f>MONTH(Movimientos_2026[[#This Row],[Fecha]])</f>
        <v>6</v>
      </c>
      <c r="C2033" s="12" t="str">
        <f>VLOOKUP((WEEKDAY(Movimientos_2026[[#This Row],[Fecha]],2)),'5. Setup'!$D$6:$E$12,2,FALSE)</f>
        <v>Jue</v>
      </c>
      <c r="D2033">
        <v>2014352</v>
      </c>
      <c r="E2033" t="str">
        <f>IFERROR(+VLOOKUP(Movimientos_2026[[#This Row],[Codigo]],Plan_cuentas[],2,FALSE)," ")</f>
        <v>EGRESOS</v>
      </c>
      <c r="F2033" t="str">
        <f>IFERROR(+VLOOKUP(Movimientos_2026[[#This Row],[Codigo]],Plan_cuentas[],3,FALSE)," ")</f>
        <v>BtoB</v>
      </c>
      <c r="G2033" t="str">
        <f>IFERROR(+VLOOKUP(Movimientos_2026[[#This Row],[Codigo]],Plan_cuentas[],4,FALSE)," ")</f>
        <v>Rentas</v>
      </c>
      <c r="H2033" t="str">
        <f>IFERROR(+VLOOKUP(Movimientos_2026[[#This Row],[Codigo]],Plan_cuentas[],5,FALSE)," ")</f>
        <v>SAN JUAN</v>
      </c>
      <c r="I2033" s="43">
        <v>46143</v>
      </c>
      <c r="J2033" t="s">
        <v>882</v>
      </c>
      <c r="K2033" t="str">
        <f>IFERROR(+VLOOKUP(Movimientos_2026[[#This Row],[Codigo]],Plan_cuentas[],6,FALSE)," ")</f>
        <v>2 - PR - Plan Rombo</v>
      </c>
      <c r="L2033" s="50"/>
      <c r="M2033" s="50">
        <v>6616938.1900000004</v>
      </c>
      <c r="N2033" s="20">
        <f>+Movimientos_2026[[#This Row],[Ingresos]]-Movimientos_2026[[#This Row],[Egresos]]</f>
        <v>-6616938.1900000004</v>
      </c>
      <c r="O2033" s="20">
        <f>+O2032+Movimientos_2026[[#This Row],[Neto]]</f>
        <v>6297455456.3548641</v>
      </c>
    </row>
    <row r="2034" spans="1:15" x14ac:dyDescent="0.25">
      <c r="A2034" s="13">
        <v>46191</v>
      </c>
      <c r="B2034" s="12">
        <f>MONTH(Movimientos_2026[[#This Row],[Fecha]])</f>
        <v>6</v>
      </c>
      <c r="C2034" s="12" t="str">
        <f>VLOOKUP((WEEKDAY(Movimientos_2026[[#This Row],[Fecha]],2)),'5. Setup'!$D$6:$E$12,2,FALSE)</f>
        <v>Jue</v>
      </c>
      <c r="D2034">
        <v>2014354</v>
      </c>
      <c r="E2034" t="str">
        <f>IFERROR(+VLOOKUP(Movimientos_2026[[#This Row],[Codigo]],Plan_cuentas[],2,FALSE)," ")</f>
        <v>EGRESOS</v>
      </c>
      <c r="F2034" t="str">
        <f>IFERROR(+VLOOKUP(Movimientos_2026[[#This Row],[Codigo]],Plan_cuentas[],3,FALSE)," ")</f>
        <v>BtoB</v>
      </c>
      <c r="G2034" t="str">
        <f>IFERROR(+VLOOKUP(Movimientos_2026[[#This Row],[Codigo]],Plan_cuentas[],4,FALSE)," ")</f>
        <v>Rentas</v>
      </c>
      <c r="H2034" t="str">
        <f>IFERROR(+VLOOKUP(Movimientos_2026[[#This Row],[Codigo]],Plan_cuentas[],5,FALSE)," ")</f>
        <v>SAN JUAN</v>
      </c>
      <c r="I2034" s="43">
        <v>46143</v>
      </c>
      <c r="J2034" t="s">
        <v>883</v>
      </c>
      <c r="K2034" t="str">
        <f>IFERROR(+VLOOKUP(Movimientos_2026[[#This Row],[Codigo]],Plan_cuentas[],6,FALSE)," ")</f>
        <v>4 - FCA - Fiat</v>
      </c>
      <c r="L2034" s="50"/>
      <c r="M2034" s="50">
        <v>6109824</v>
      </c>
      <c r="N2034" s="20">
        <f>+Movimientos_2026[[#This Row],[Ingresos]]-Movimientos_2026[[#This Row],[Egresos]]</f>
        <v>-6109824</v>
      </c>
      <c r="O2034" s="20">
        <f>+O2033+Movimientos_2026[[#This Row],[Neto]]</f>
        <v>6291345632.3548641</v>
      </c>
    </row>
    <row r="2035" spans="1:15" x14ac:dyDescent="0.25">
      <c r="A2035" s="13">
        <v>46191</v>
      </c>
      <c r="B2035" s="12">
        <f>MONTH(Movimientos_2026[[#This Row],[Fecha]])</f>
        <v>6</v>
      </c>
      <c r="C2035" s="12" t="str">
        <f>VLOOKUP((WEEKDAY(Movimientos_2026[[#This Row],[Fecha]],2)),'5. Setup'!$D$6:$E$12,2,FALSE)</f>
        <v>Jue</v>
      </c>
      <c r="D2035">
        <v>2014356</v>
      </c>
      <c r="E2035" t="str">
        <f>IFERROR(+VLOOKUP(Movimientos_2026[[#This Row],[Codigo]],Plan_cuentas[],2,FALSE)," ")</f>
        <v>EGRESOS</v>
      </c>
      <c r="F2035" t="str">
        <f>IFERROR(+VLOOKUP(Movimientos_2026[[#This Row],[Codigo]],Plan_cuentas[],3,FALSE)," ")</f>
        <v>BtoB</v>
      </c>
      <c r="G2035" t="str">
        <f>IFERROR(+VLOOKUP(Movimientos_2026[[#This Row],[Codigo]],Plan_cuentas[],4,FALSE)," ")</f>
        <v>Rentas</v>
      </c>
      <c r="H2035" t="str">
        <f>IFERROR(+VLOOKUP(Movimientos_2026[[#This Row],[Codigo]],Plan_cuentas[],5,FALSE)," ")</f>
        <v>SAN JUAN</v>
      </c>
      <c r="I2035" s="43">
        <v>46143</v>
      </c>
      <c r="J2035" t="s">
        <v>883</v>
      </c>
      <c r="K2035" t="str">
        <f>IFERROR(+VLOOKUP(Movimientos_2026[[#This Row],[Codigo]],Plan_cuentas[],6,FALSE)," ")</f>
        <v>6 - FCAtr - Fiat Transf.</v>
      </c>
      <c r="L2035" s="50"/>
      <c r="M2035" s="50">
        <v>1037827.87</v>
      </c>
      <c r="N2035" s="20">
        <f>+Movimientos_2026[[#This Row],[Ingresos]]-Movimientos_2026[[#This Row],[Egresos]]</f>
        <v>-1037827.87</v>
      </c>
      <c r="O2035" s="20">
        <f>+O2034+Movimientos_2026[[#This Row],[Neto]]</f>
        <v>6290307804.4848642</v>
      </c>
    </row>
    <row r="2036" spans="1:15" x14ac:dyDescent="0.25">
      <c r="A2036" s="13">
        <v>46191</v>
      </c>
      <c r="B2036" s="12">
        <f>MONTH(Movimientos_2026[[#This Row],[Fecha]])</f>
        <v>6</v>
      </c>
      <c r="C2036" s="12" t="str">
        <f>VLOOKUP((WEEKDAY(Movimientos_2026[[#This Row],[Fecha]],2)),'5. Setup'!$D$6:$E$12,2,FALSE)</f>
        <v>Jue</v>
      </c>
      <c r="D2036">
        <v>2021441</v>
      </c>
      <c r="E2036" t="str">
        <f>IFERROR(+VLOOKUP(Movimientos_2026[[#This Row],[Codigo]],Plan_cuentas[],2,FALSE)," ")</f>
        <v>EGRESOS</v>
      </c>
      <c r="F2036" t="str">
        <f>IFERROR(+VLOOKUP(Movimientos_2026[[#This Row],[Codigo]],Plan_cuentas[],3,FALSE)," ")</f>
        <v>DDJJ</v>
      </c>
      <c r="G2036" t="str">
        <f>IFERROR(+VLOOKUP(Movimientos_2026[[#This Row],[Codigo]],Plan_cuentas[],4,FALSE)," ")</f>
        <v>Entidades co-participadas</v>
      </c>
      <c r="H2036" t="str">
        <f>IFERROR(+VLOOKUP(Movimientos_2026[[#This Row],[Codigo]],Plan_cuentas[],5,FALSE)," ")</f>
        <v>UISCUMARR</v>
      </c>
      <c r="I2036" s="43">
        <v>46143</v>
      </c>
      <c r="J2036" t="s">
        <v>884</v>
      </c>
      <c r="K2036" t="str">
        <f>IFERROR(+VLOOKUP(Movimientos_2026[[#This Row],[Codigo]],Plan_cuentas[],6,FALSE)," ")</f>
        <v>1 - VW - Volkswagen</v>
      </c>
      <c r="L2036" s="50"/>
      <c r="M2036" s="50">
        <v>138466813.69999999</v>
      </c>
      <c r="N2036" s="20">
        <f>+Movimientos_2026[[#This Row],[Ingresos]]-Movimientos_2026[[#This Row],[Egresos]]</f>
        <v>-138466813.69999999</v>
      </c>
      <c r="O2036" s="20">
        <f>+O2035+Movimientos_2026[[#This Row],[Neto]]</f>
        <v>6151840990.7848644</v>
      </c>
    </row>
    <row r="2037" spans="1:15" x14ac:dyDescent="0.25">
      <c r="A2037" s="13">
        <v>46191</v>
      </c>
      <c r="B2037" s="12">
        <f>MONTH(Movimientos_2026[[#This Row],[Fecha]])</f>
        <v>6</v>
      </c>
      <c r="C2037" s="12" t="str">
        <f>VLOOKUP((WEEKDAY(Movimientos_2026[[#This Row],[Fecha]],2)),'5. Setup'!$D$6:$E$12,2,FALSE)</f>
        <v>Jue</v>
      </c>
      <c r="D2037">
        <v>2021443</v>
      </c>
      <c r="E2037" t="str">
        <f>IFERROR(+VLOOKUP(Movimientos_2026[[#This Row],[Codigo]],Plan_cuentas[],2,FALSE)," ")</f>
        <v>EGRESOS</v>
      </c>
      <c r="F2037" t="str">
        <f>IFERROR(+VLOOKUP(Movimientos_2026[[#This Row],[Codigo]],Plan_cuentas[],3,FALSE)," ")</f>
        <v>DDJJ</v>
      </c>
      <c r="G2037" t="str">
        <f>IFERROR(+VLOOKUP(Movimientos_2026[[#This Row],[Codigo]],Plan_cuentas[],4,FALSE)," ")</f>
        <v>Entidades co-participadas</v>
      </c>
      <c r="H2037" t="str">
        <f>IFERROR(+VLOOKUP(Movimientos_2026[[#This Row],[Codigo]],Plan_cuentas[],5,FALSE)," ")</f>
        <v>UISCUMARR</v>
      </c>
      <c r="I2037" s="43">
        <v>46143</v>
      </c>
      <c r="J2037" t="s">
        <v>884</v>
      </c>
      <c r="K2037" t="str">
        <f>IFERROR(+VLOOKUP(Movimientos_2026[[#This Row],[Codigo]],Plan_cuentas[],6,FALSE)," ")</f>
        <v>3 - GM - Chevrolet</v>
      </c>
      <c r="L2037" s="50"/>
      <c r="M2037" s="50">
        <v>20640240.370000001</v>
      </c>
      <c r="N2037" s="20">
        <f>+Movimientos_2026[[#This Row],[Ingresos]]-Movimientos_2026[[#This Row],[Egresos]]</f>
        <v>-20640240.370000001</v>
      </c>
      <c r="O2037" s="20">
        <f>+O2036+Movimientos_2026[[#This Row],[Neto]]</f>
        <v>6131200750.4148645</v>
      </c>
    </row>
    <row r="2038" spans="1:15" x14ac:dyDescent="0.25">
      <c r="A2038" s="13">
        <v>46191</v>
      </c>
      <c r="B2038" s="12">
        <f>MONTH(Movimientos_2026[[#This Row],[Fecha]])</f>
        <v>6</v>
      </c>
      <c r="C2038" s="12" t="str">
        <f>VLOOKUP((WEEKDAY(Movimientos_2026[[#This Row],[Fecha]],2)),'5. Setup'!$D$6:$E$12,2,FALSE)</f>
        <v>Jue</v>
      </c>
      <c r="D2038">
        <v>2021444</v>
      </c>
      <c r="E2038" t="str">
        <f>IFERROR(+VLOOKUP(Movimientos_2026[[#This Row],[Codigo]],Plan_cuentas[],2,FALSE)," ")</f>
        <v>EGRESOS</v>
      </c>
      <c r="F2038" t="str">
        <f>IFERROR(+VLOOKUP(Movimientos_2026[[#This Row],[Codigo]],Plan_cuentas[],3,FALSE)," ")</f>
        <v>DDJJ</v>
      </c>
      <c r="G2038" t="str">
        <f>IFERROR(+VLOOKUP(Movimientos_2026[[#This Row],[Codigo]],Plan_cuentas[],4,FALSE)," ")</f>
        <v>Entidades co-participadas</v>
      </c>
      <c r="H2038" t="str">
        <f>IFERROR(+VLOOKUP(Movimientos_2026[[#This Row],[Codigo]],Plan_cuentas[],5,FALSE)," ")</f>
        <v>UISCUMARR</v>
      </c>
      <c r="I2038" s="43">
        <v>46143</v>
      </c>
      <c r="J2038" t="s">
        <v>884</v>
      </c>
      <c r="K2038" t="str">
        <f>IFERROR(+VLOOKUP(Movimientos_2026[[#This Row],[Codigo]],Plan_cuentas[],6,FALSE)," ")</f>
        <v>4 - FCA - Fiat</v>
      </c>
      <c r="L2038" s="50"/>
      <c r="M2038" s="50">
        <v>157002008.19</v>
      </c>
      <c r="N2038" s="20">
        <f>+Movimientos_2026[[#This Row],[Ingresos]]-Movimientos_2026[[#This Row],[Egresos]]</f>
        <v>-157002008.19</v>
      </c>
      <c r="O2038" s="20">
        <f>+O2037+Movimientos_2026[[#This Row],[Neto]]</f>
        <v>5974198742.224865</v>
      </c>
    </row>
    <row r="2039" spans="1:15" x14ac:dyDescent="0.25">
      <c r="A2039" s="13">
        <v>46191</v>
      </c>
      <c r="B2039" s="12">
        <f>MONTH(Movimientos_2026[[#This Row],[Fecha]])</f>
        <v>6</v>
      </c>
      <c r="C2039" s="12" t="str">
        <f>VLOOKUP((WEEKDAY(Movimientos_2026[[#This Row],[Fecha]],2)),'5. Setup'!$D$6:$E$12,2,FALSE)</f>
        <v>Jue</v>
      </c>
      <c r="D2039">
        <v>2044126</v>
      </c>
      <c r="E2039" t="str">
        <f>IFERROR(+VLOOKUP(Movimientos_2026[[#This Row],[Codigo]],Plan_cuentas[],2,FALSE)," ")</f>
        <v>EGRESOS</v>
      </c>
      <c r="F2039" t="str">
        <f>IFERROR(+VLOOKUP(Movimientos_2026[[#This Row],[Codigo]],Plan_cuentas[],3,FALSE)," ")</f>
        <v>Transferencia</v>
      </c>
      <c r="G2039" t="str">
        <f>IFERROR(+VLOOKUP(Movimientos_2026[[#This Row],[Codigo]],Plan_cuentas[],4,FALSE)," ")</f>
        <v>Rentas</v>
      </c>
      <c r="H2039" t="str">
        <f>IFERROR(+VLOOKUP(Movimientos_2026[[#This Row],[Codigo]],Plan_cuentas[],5,FALSE)," ")</f>
        <v>BAPRO</v>
      </c>
      <c r="I2039" s="43">
        <v>46143</v>
      </c>
      <c r="J2039" t="s">
        <v>885</v>
      </c>
      <c r="K2039" t="str">
        <f>IFERROR(+VLOOKUP(Movimientos_2026[[#This Row],[Codigo]],Plan_cuentas[],6,FALSE)," ")</f>
        <v>6 - FCAtr - Fiat Transf.</v>
      </c>
      <c r="L2039" s="50"/>
      <c r="M2039" s="50">
        <v>3896166</v>
      </c>
      <c r="N2039" s="20">
        <f>+Movimientos_2026[[#This Row],[Ingresos]]-Movimientos_2026[[#This Row],[Egresos]]</f>
        <v>-3896166</v>
      </c>
      <c r="O2039" s="20">
        <f>+O2038+Movimientos_2026[[#This Row],[Neto]]</f>
        <v>5970302576.224865</v>
      </c>
    </row>
    <row r="2040" spans="1:15" x14ac:dyDescent="0.25">
      <c r="A2040" s="13">
        <v>46191</v>
      </c>
      <c r="B2040" s="12">
        <f>MONTH(Movimientos_2026[[#This Row],[Fecha]])</f>
        <v>6</v>
      </c>
      <c r="C2040" s="12" t="str">
        <f>VLOOKUP((WEEKDAY(Movimientos_2026[[#This Row],[Fecha]],2)),'5. Setup'!$D$6:$E$12,2,FALSE)</f>
        <v>Jue</v>
      </c>
      <c r="D2040">
        <v>2044126</v>
      </c>
      <c r="E2040" t="str">
        <f>IFERROR(+VLOOKUP(Movimientos_2026[[#This Row],[Codigo]],Plan_cuentas[],2,FALSE)," ")</f>
        <v>EGRESOS</v>
      </c>
      <c r="F2040" t="str">
        <f>IFERROR(+VLOOKUP(Movimientos_2026[[#This Row],[Codigo]],Plan_cuentas[],3,FALSE)," ")</f>
        <v>Transferencia</v>
      </c>
      <c r="G2040" t="str">
        <f>IFERROR(+VLOOKUP(Movimientos_2026[[#This Row],[Codigo]],Plan_cuentas[],4,FALSE)," ")</f>
        <v>Rentas</v>
      </c>
      <c r="H2040" t="str">
        <f>IFERROR(+VLOOKUP(Movimientos_2026[[#This Row],[Codigo]],Plan_cuentas[],5,FALSE)," ")</f>
        <v>BAPRO</v>
      </c>
      <c r="I2040" s="43">
        <v>46143</v>
      </c>
      <c r="J2040" t="s">
        <v>886</v>
      </c>
      <c r="K2040" t="str">
        <f>IFERROR(+VLOOKUP(Movimientos_2026[[#This Row],[Codigo]],Plan_cuentas[],6,FALSE)," ")</f>
        <v>6 - FCAtr - Fiat Transf.</v>
      </c>
      <c r="L2040" s="50"/>
      <c r="M2040" s="50">
        <v>3017442</v>
      </c>
      <c r="N2040" s="20">
        <f>+Movimientos_2026[[#This Row],[Ingresos]]-Movimientos_2026[[#This Row],[Egresos]]</f>
        <v>-3017442</v>
      </c>
      <c r="O2040" s="20">
        <f>+O2039+Movimientos_2026[[#This Row],[Neto]]</f>
        <v>5967285134.224865</v>
      </c>
    </row>
    <row r="2041" spans="1:15" x14ac:dyDescent="0.25">
      <c r="A2041" s="13">
        <v>46191</v>
      </c>
      <c r="B2041" s="12">
        <f>MONTH(Movimientos_2026[[#This Row],[Fecha]])</f>
        <v>6</v>
      </c>
      <c r="C2041" s="12" t="str">
        <f>VLOOKUP((WEEKDAY(Movimientos_2026[[#This Row],[Fecha]],2)),'5. Setup'!$D$6:$E$12,2,FALSE)</f>
        <v>Jue</v>
      </c>
      <c r="D2041">
        <v>2044126</v>
      </c>
      <c r="E2041" t="str">
        <f>IFERROR(+VLOOKUP(Movimientos_2026[[#This Row],[Codigo]],Plan_cuentas[],2,FALSE)," ")</f>
        <v>EGRESOS</v>
      </c>
      <c r="F2041" t="str">
        <f>IFERROR(+VLOOKUP(Movimientos_2026[[#This Row],[Codigo]],Plan_cuentas[],3,FALSE)," ")</f>
        <v>Transferencia</v>
      </c>
      <c r="G2041" t="str">
        <f>IFERROR(+VLOOKUP(Movimientos_2026[[#This Row],[Codigo]],Plan_cuentas[],4,FALSE)," ")</f>
        <v>Rentas</v>
      </c>
      <c r="H2041" t="str">
        <f>IFERROR(+VLOOKUP(Movimientos_2026[[#This Row],[Codigo]],Plan_cuentas[],5,FALSE)," ")</f>
        <v>BAPRO</v>
      </c>
      <c r="I2041" s="43">
        <v>46143</v>
      </c>
      <c r="J2041" t="s">
        <v>887</v>
      </c>
      <c r="K2041" t="str">
        <f>IFERROR(+VLOOKUP(Movimientos_2026[[#This Row],[Codigo]],Plan_cuentas[],6,FALSE)," ")</f>
        <v>6 - FCAtr - Fiat Transf.</v>
      </c>
      <c r="L2041" s="50"/>
      <c r="M2041" s="50">
        <v>2450776.27</v>
      </c>
      <c r="N2041" s="20">
        <f>+Movimientos_2026[[#This Row],[Ingresos]]-Movimientos_2026[[#This Row],[Egresos]]</f>
        <v>-2450776.27</v>
      </c>
      <c r="O2041" s="20">
        <f>+O2040+Movimientos_2026[[#This Row],[Neto]]</f>
        <v>5964834357.9548645</v>
      </c>
    </row>
    <row r="2042" spans="1:15" x14ac:dyDescent="0.25">
      <c r="A2042" s="13">
        <v>46191</v>
      </c>
      <c r="B2042" s="12">
        <f>MONTH(Movimientos_2026[[#This Row],[Fecha]])</f>
        <v>6</v>
      </c>
      <c r="C2042" s="12" t="str">
        <f>VLOOKUP((WEEKDAY(Movimientos_2026[[#This Row],[Fecha]],2)),'5. Setup'!$D$6:$E$12,2,FALSE)</f>
        <v>Jue</v>
      </c>
      <c r="D2042">
        <v>2044126</v>
      </c>
      <c r="E2042" t="str">
        <f>IFERROR(+VLOOKUP(Movimientos_2026[[#This Row],[Codigo]],Plan_cuentas[],2,FALSE)," ")</f>
        <v>EGRESOS</v>
      </c>
      <c r="F2042" t="str">
        <f>IFERROR(+VLOOKUP(Movimientos_2026[[#This Row],[Codigo]],Plan_cuentas[],3,FALSE)," ")</f>
        <v>Transferencia</v>
      </c>
      <c r="G2042" t="str">
        <f>IFERROR(+VLOOKUP(Movimientos_2026[[#This Row],[Codigo]],Plan_cuentas[],4,FALSE)," ")</f>
        <v>Rentas</v>
      </c>
      <c r="H2042" t="str">
        <f>IFERROR(+VLOOKUP(Movimientos_2026[[#This Row],[Codigo]],Plan_cuentas[],5,FALSE)," ")</f>
        <v>BAPRO</v>
      </c>
      <c r="I2042" s="43">
        <v>46143</v>
      </c>
      <c r="J2042" t="s">
        <v>888</v>
      </c>
      <c r="K2042" t="str">
        <f>IFERROR(+VLOOKUP(Movimientos_2026[[#This Row],[Codigo]],Plan_cuentas[],6,FALSE)," ")</f>
        <v>6 - FCAtr - Fiat Transf.</v>
      </c>
      <c r="L2042" s="50"/>
      <c r="M2042" s="50">
        <v>1893205.5</v>
      </c>
      <c r="N2042" s="20">
        <f>+Movimientos_2026[[#This Row],[Ingresos]]-Movimientos_2026[[#This Row],[Egresos]]</f>
        <v>-1893205.5</v>
      </c>
      <c r="O2042" s="20">
        <f>+O2041+Movimientos_2026[[#This Row],[Neto]]</f>
        <v>5962941152.4548645</v>
      </c>
    </row>
    <row r="2043" spans="1:15" x14ac:dyDescent="0.25">
      <c r="A2043" s="13">
        <v>46191</v>
      </c>
      <c r="B2043" s="12">
        <f>MONTH(Movimientos_2026[[#This Row],[Fecha]])</f>
        <v>6</v>
      </c>
      <c r="C2043" s="12" t="str">
        <f>VLOOKUP((WEEKDAY(Movimientos_2026[[#This Row],[Fecha]],2)),'5. Setup'!$D$6:$E$12,2,FALSE)</f>
        <v>Jue</v>
      </c>
      <c r="D2043">
        <v>2044126</v>
      </c>
      <c r="E2043" t="str">
        <f>IFERROR(+VLOOKUP(Movimientos_2026[[#This Row],[Codigo]],Plan_cuentas[],2,FALSE)," ")</f>
        <v>EGRESOS</v>
      </c>
      <c r="F2043" t="str">
        <f>IFERROR(+VLOOKUP(Movimientos_2026[[#This Row],[Codigo]],Plan_cuentas[],3,FALSE)," ")</f>
        <v>Transferencia</v>
      </c>
      <c r="G2043" t="str">
        <f>IFERROR(+VLOOKUP(Movimientos_2026[[#This Row],[Codigo]],Plan_cuentas[],4,FALSE)," ")</f>
        <v>Rentas</v>
      </c>
      <c r="H2043" t="str">
        <f>IFERROR(+VLOOKUP(Movimientos_2026[[#This Row],[Codigo]],Plan_cuentas[],5,FALSE)," ")</f>
        <v>BAPRO</v>
      </c>
      <c r="I2043" s="43">
        <v>46143</v>
      </c>
      <c r="J2043" t="s">
        <v>889</v>
      </c>
      <c r="K2043" t="str">
        <f>IFERROR(+VLOOKUP(Movimientos_2026[[#This Row],[Codigo]],Plan_cuentas[],6,FALSE)," ")</f>
        <v>6 - FCAtr - Fiat Transf.</v>
      </c>
      <c r="L2043" s="50"/>
      <c r="M2043" s="50">
        <v>1366381.4</v>
      </c>
      <c r="N2043" s="20">
        <f>+Movimientos_2026[[#This Row],[Ingresos]]-Movimientos_2026[[#This Row],[Egresos]]</f>
        <v>-1366381.4</v>
      </c>
      <c r="O2043" s="20">
        <f>+O2042+Movimientos_2026[[#This Row],[Neto]]</f>
        <v>5961574771.0548649</v>
      </c>
    </row>
    <row r="2044" spans="1:15" x14ac:dyDescent="0.25">
      <c r="A2044" s="13">
        <v>46191</v>
      </c>
      <c r="B2044" s="12">
        <f>MONTH(Movimientos_2026[[#This Row],[Fecha]])</f>
        <v>6</v>
      </c>
      <c r="C2044" s="12" t="str">
        <f>VLOOKUP((WEEKDAY(Movimientos_2026[[#This Row],[Fecha]],2)),'5. Setup'!$D$6:$E$12,2,FALSE)</f>
        <v>Jue</v>
      </c>
      <c r="D2044">
        <v>2044126</v>
      </c>
      <c r="E2044" t="str">
        <f>IFERROR(+VLOOKUP(Movimientos_2026[[#This Row],[Codigo]],Plan_cuentas[],2,FALSE)," ")</f>
        <v>EGRESOS</v>
      </c>
      <c r="F2044" t="str">
        <f>IFERROR(+VLOOKUP(Movimientos_2026[[#This Row],[Codigo]],Plan_cuentas[],3,FALSE)," ")</f>
        <v>Transferencia</v>
      </c>
      <c r="G2044" t="str">
        <f>IFERROR(+VLOOKUP(Movimientos_2026[[#This Row],[Codigo]],Plan_cuentas[],4,FALSE)," ")</f>
        <v>Rentas</v>
      </c>
      <c r="H2044" t="str">
        <f>IFERROR(+VLOOKUP(Movimientos_2026[[#This Row],[Codigo]],Plan_cuentas[],5,FALSE)," ")</f>
        <v>BAPRO</v>
      </c>
      <c r="I2044" s="43">
        <v>46143</v>
      </c>
      <c r="J2044" t="s">
        <v>890</v>
      </c>
      <c r="K2044" t="str">
        <f>IFERROR(+VLOOKUP(Movimientos_2026[[#This Row],[Codigo]],Plan_cuentas[],6,FALSE)," ")</f>
        <v>6 - FCAtr - Fiat Transf.</v>
      </c>
      <c r="L2044" s="50"/>
      <c r="M2044" s="50">
        <v>982017.4</v>
      </c>
      <c r="N2044" s="20">
        <f>+Movimientos_2026[[#This Row],[Ingresos]]-Movimientos_2026[[#This Row],[Egresos]]</f>
        <v>-982017.4</v>
      </c>
      <c r="O2044" s="20">
        <f>+O2043+Movimientos_2026[[#This Row],[Neto]]</f>
        <v>5960592753.6548653</v>
      </c>
    </row>
    <row r="2045" spans="1:15" x14ac:dyDescent="0.25">
      <c r="A2045" s="13">
        <v>46191</v>
      </c>
      <c r="B2045" s="12">
        <f>MONTH(Movimientos_2026[[#This Row],[Fecha]])</f>
        <v>6</v>
      </c>
      <c r="C2045" s="12" t="str">
        <f>VLOOKUP((WEEKDAY(Movimientos_2026[[#This Row],[Fecha]],2)),'5. Setup'!$D$6:$E$12,2,FALSE)</f>
        <v>Jue</v>
      </c>
      <c r="D2045">
        <v>2044127</v>
      </c>
      <c r="E2045" t="str">
        <f>IFERROR(+VLOOKUP(Movimientos_2026[[#This Row],[Codigo]],Plan_cuentas[],2,FALSE)," ")</f>
        <v>EGRESOS</v>
      </c>
      <c r="F2045" t="str">
        <f>IFERROR(+VLOOKUP(Movimientos_2026[[#This Row],[Codigo]],Plan_cuentas[],3,FALSE)," ")</f>
        <v>Transferencia</v>
      </c>
      <c r="G2045" t="str">
        <f>IFERROR(+VLOOKUP(Movimientos_2026[[#This Row],[Codigo]],Plan_cuentas[],4,FALSE)," ")</f>
        <v>Rentas</v>
      </c>
      <c r="H2045" t="str">
        <f>IFERROR(+VLOOKUP(Movimientos_2026[[#This Row],[Codigo]],Plan_cuentas[],5,FALSE)," ")</f>
        <v>BAPRO</v>
      </c>
      <c r="I2045" s="43">
        <v>46143</v>
      </c>
      <c r="J2045" t="s">
        <v>891</v>
      </c>
      <c r="K2045" t="str">
        <f>IFERROR(+VLOOKUP(Movimientos_2026[[#This Row],[Codigo]],Plan_cuentas[],6,FALSE)," ")</f>
        <v>7 - PRtr - Plan Rombo Transf.</v>
      </c>
      <c r="L2045" s="50"/>
      <c r="M2045" s="50">
        <v>2360423.0299999998</v>
      </c>
      <c r="N2045" s="20">
        <f>+Movimientos_2026[[#This Row],[Ingresos]]-Movimientos_2026[[#This Row],[Egresos]]</f>
        <v>-2360423.0299999998</v>
      </c>
      <c r="O2045" s="20">
        <f>+O2044+Movimientos_2026[[#This Row],[Neto]]</f>
        <v>5958232330.6248655</v>
      </c>
    </row>
    <row r="2046" spans="1:15" x14ac:dyDescent="0.25">
      <c r="A2046" s="13">
        <v>46192</v>
      </c>
      <c r="B2046" s="12">
        <f>MONTH(Movimientos_2026[[#This Row],[Fecha]])</f>
        <v>6</v>
      </c>
      <c r="C2046" s="12" t="str">
        <f>VLOOKUP((WEEKDAY(Movimientos_2026[[#This Row],[Fecha]],2)),'5. Setup'!$D$6:$E$12,2,FALSE)</f>
        <v>Vie</v>
      </c>
      <c r="D2046">
        <v>2044464</v>
      </c>
      <c r="E2046" t="str">
        <f>IFERROR(+VLOOKUP(Movimientos_2026[[#This Row],[Codigo]],Plan_cuentas[],2,FALSE)," ")</f>
        <v>EGRESOS</v>
      </c>
      <c r="F2046" t="str">
        <f>IFERROR(+VLOOKUP(Movimientos_2026[[#This Row],[Codigo]],Plan_cuentas[],3,FALSE)," ")</f>
        <v>Transferencia</v>
      </c>
      <c r="G2046" t="str">
        <f>IFERROR(+VLOOKUP(Movimientos_2026[[#This Row],[Codigo]],Plan_cuentas[],4,FALSE)," ")</f>
        <v>Rentas</v>
      </c>
      <c r="H2046" t="str">
        <f>IFERROR(+VLOOKUP(Movimientos_2026[[#This Row],[Codigo]],Plan_cuentas[],5,FALSE)," ")</f>
        <v>MISIONES</v>
      </c>
      <c r="I2046" s="43">
        <v>46143</v>
      </c>
      <c r="J2046" t="s">
        <v>892</v>
      </c>
      <c r="K2046" t="str">
        <f>IFERROR(+VLOOKUP(Movimientos_2026[[#This Row],[Codigo]],Plan_cuentas[],6,FALSE)," ")</f>
        <v>4 - FCA - Fiat</v>
      </c>
      <c r="L2046" s="50"/>
      <c r="M2046" s="50">
        <v>6908697.1799999997</v>
      </c>
      <c r="N2046" s="20">
        <f>+Movimientos_2026[[#This Row],[Ingresos]]-Movimientos_2026[[#This Row],[Egresos]]</f>
        <v>-6908697.1799999997</v>
      </c>
      <c r="O2046" s="20">
        <f>+O2045+Movimientos_2026[[#This Row],[Neto]]</f>
        <v>5951323633.4448652</v>
      </c>
    </row>
    <row r="2047" spans="1:15" x14ac:dyDescent="0.25">
      <c r="A2047" s="13">
        <v>46192</v>
      </c>
      <c r="B2047" s="12">
        <f>MONTH(Movimientos_2026[[#This Row],[Fecha]])</f>
        <v>6</v>
      </c>
      <c r="C2047" s="12" t="str">
        <f>VLOOKUP((WEEKDAY(Movimientos_2026[[#This Row],[Fecha]],2)),'5. Setup'!$D$6:$E$12,2,FALSE)</f>
        <v>Vie</v>
      </c>
      <c r="D2047">
        <v>2021131</v>
      </c>
      <c r="E2047" t="str">
        <f>IFERROR(+VLOOKUP(Movimientos_2026[[#This Row],[Codigo]],Plan_cuentas[],2,FALSE)," ")</f>
        <v>EGRESOS</v>
      </c>
      <c r="F2047" t="str">
        <f>IFERROR(+VLOOKUP(Movimientos_2026[[#This Row],[Codigo]],Plan_cuentas[],3,FALSE)," ")</f>
        <v>DDJJ</v>
      </c>
      <c r="G2047" t="str">
        <f>IFERROR(+VLOOKUP(Movimientos_2026[[#This Row],[Codigo]],Plan_cuentas[],4,FALSE)," ")</f>
        <v>Entidades co-participadas</v>
      </c>
      <c r="H2047" t="str">
        <f>IFERROR(+VLOOKUP(Movimientos_2026[[#This Row],[Codigo]],Plan_cuentas[],5,FALSE)," ")</f>
        <v>BCLP</v>
      </c>
      <c r="I2047" s="43">
        <v>46143</v>
      </c>
      <c r="J2047" t="s">
        <v>893</v>
      </c>
      <c r="K2047" t="str">
        <f>IFERROR(+VLOOKUP(Movimientos_2026[[#This Row],[Codigo]],Plan_cuentas[],6,FALSE)," ")</f>
        <v>1 - VW - Volkswagen</v>
      </c>
      <c r="L2047" s="50"/>
      <c r="M2047" s="50">
        <v>10266788.699999999</v>
      </c>
      <c r="N2047" s="20">
        <f>+Movimientos_2026[[#This Row],[Ingresos]]-Movimientos_2026[[#This Row],[Egresos]]</f>
        <v>-10266788.699999999</v>
      </c>
      <c r="O2047" s="20">
        <f>+O2046+Movimientos_2026[[#This Row],[Neto]]</f>
        <v>5941056844.7448654</v>
      </c>
    </row>
    <row r="2048" spans="1:15" x14ac:dyDescent="0.25">
      <c r="A2048" s="13">
        <v>46192</v>
      </c>
      <c r="B2048" s="12">
        <f>MONTH(Movimientos_2026[[#This Row],[Fecha]])</f>
        <v>6</v>
      </c>
      <c r="C2048" s="12" t="str">
        <f>VLOOKUP((WEEKDAY(Movimientos_2026[[#This Row],[Fecha]],2)),'5. Setup'!$D$6:$E$12,2,FALSE)</f>
        <v>Vie</v>
      </c>
      <c r="D2048">
        <v>2021133</v>
      </c>
      <c r="E2048" t="str">
        <f>IFERROR(+VLOOKUP(Movimientos_2026[[#This Row],[Codigo]],Plan_cuentas[],2,FALSE)," ")</f>
        <v>EGRESOS</v>
      </c>
      <c r="F2048" t="str">
        <f>IFERROR(+VLOOKUP(Movimientos_2026[[#This Row],[Codigo]],Plan_cuentas[],3,FALSE)," ")</f>
        <v>DDJJ</v>
      </c>
      <c r="G2048" t="str">
        <f>IFERROR(+VLOOKUP(Movimientos_2026[[#This Row],[Codigo]],Plan_cuentas[],4,FALSE)," ")</f>
        <v>Entidades co-participadas</v>
      </c>
      <c r="H2048" t="str">
        <f>IFERROR(+VLOOKUP(Movimientos_2026[[#This Row],[Codigo]],Plan_cuentas[],5,FALSE)," ")</f>
        <v>BCLP</v>
      </c>
      <c r="I2048" s="43">
        <v>46143</v>
      </c>
      <c r="J2048" t="s">
        <v>893</v>
      </c>
      <c r="K2048" t="str">
        <f>IFERROR(+VLOOKUP(Movimientos_2026[[#This Row],[Codigo]],Plan_cuentas[],6,FALSE)," ")</f>
        <v>3 - GM - Chevrolet</v>
      </c>
      <c r="L2048" s="50"/>
      <c r="M2048" s="50">
        <v>5760401.0199999996</v>
      </c>
      <c r="N2048" s="20">
        <f>+Movimientos_2026[[#This Row],[Ingresos]]-Movimientos_2026[[#This Row],[Egresos]]</f>
        <v>-5760401.0199999996</v>
      </c>
      <c r="O2048" s="20">
        <f>+O2047+Movimientos_2026[[#This Row],[Neto]]</f>
        <v>5935296443.724865</v>
      </c>
    </row>
    <row r="2049" spans="1:15" x14ac:dyDescent="0.25">
      <c r="A2049" s="13">
        <v>46192</v>
      </c>
      <c r="B2049" s="12">
        <f>MONTH(Movimientos_2026[[#This Row],[Fecha]])</f>
        <v>6</v>
      </c>
      <c r="C2049" s="12" t="str">
        <f>VLOOKUP((WEEKDAY(Movimientos_2026[[#This Row],[Fecha]],2)),'5. Setup'!$D$6:$E$12,2,FALSE)</f>
        <v>Vie</v>
      </c>
      <c r="D2049">
        <v>2021134</v>
      </c>
      <c r="E2049" t="str">
        <f>IFERROR(+VLOOKUP(Movimientos_2026[[#This Row],[Codigo]],Plan_cuentas[],2,FALSE)," ")</f>
        <v>EGRESOS</v>
      </c>
      <c r="F2049" t="str">
        <f>IFERROR(+VLOOKUP(Movimientos_2026[[#This Row],[Codigo]],Plan_cuentas[],3,FALSE)," ")</f>
        <v>DDJJ</v>
      </c>
      <c r="G2049" t="str">
        <f>IFERROR(+VLOOKUP(Movimientos_2026[[#This Row],[Codigo]],Plan_cuentas[],4,FALSE)," ")</f>
        <v>Entidades co-participadas</v>
      </c>
      <c r="H2049" t="str">
        <f>IFERROR(+VLOOKUP(Movimientos_2026[[#This Row],[Codigo]],Plan_cuentas[],5,FALSE)," ")</f>
        <v>BCLP</v>
      </c>
      <c r="I2049" s="43">
        <v>46143</v>
      </c>
      <c r="J2049" t="s">
        <v>893</v>
      </c>
      <c r="K2049" t="str">
        <f>IFERROR(+VLOOKUP(Movimientos_2026[[#This Row],[Codigo]],Plan_cuentas[],6,FALSE)," ")</f>
        <v>4 - FCA - Fiat</v>
      </c>
      <c r="L2049" s="50"/>
      <c r="M2049" s="50">
        <v>13723075.75</v>
      </c>
      <c r="N2049" s="20">
        <f>+Movimientos_2026[[#This Row],[Ingresos]]-Movimientos_2026[[#This Row],[Egresos]]</f>
        <v>-13723075.75</v>
      </c>
      <c r="O2049" s="20">
        <f>+O2048+Movimientos_2026[[#This Row],[Neto]]</f>
        <v>5921573367.974865</v>
      </c>
    </row>
    <row r="2050" spans="1:15" x14ac:dyDescent="0.25">
      <c r="A2050" s="13">
        <v>46192</v>
      </c>
      <c r="B2050" s="12">
        <f>MONTH(Movimientos_2026[[#This Row],[Fecha]])</f>
        <v>6</v>
      </c>
      <c r="C2050" s="12" t="str">
        <f>VLOOKUP((WEEKDAY(Movimientos_2026[[#This Row],[Fecha]],2)),'5. Setup'!$D$6:$E$12,2,FALSE)</f>
        <v>Vie</v>
      </c>
      <c r="D2050">
        <v>2023141</v>
      </c>
      <c r="E2050" t="str">
        <f>IFERROR(+VLOOKUP(Movimientos_2026[[#This Row],[Codigo]],Plan_cuentas[],2,FALSE)," ")</f>
        <v>EGRESOS</v>
      </c>
      <c r="F2050" t="str">
        <f>IFERROR(+VLOOKUP(Movimientos_2026[[#This Row],[Codigo]],Plan_cuentas[],3,FALSE)," ")</f>
        <v>DDJJ</v>
      </c>
      <c r="G2050" t="str">
        <f>IFERROR(+VLOOKUP(Movimientos_2026[[#This Row],[Codigo]],Plan_cuentas[],4,FALSE)," ")</f>
        <v>Registración</v>
      </c>
      <c r="H2050" t="str">
        <f>IFERROR(+VLOOKUP(Movimientos_2026[[#This Row],[Codigo]],Plan_cuentas[],5,FALSE)," ")</f>
        <v>BUENOS AIRES</v>
      </c>
      <c r="I2050" s="43">
        <v>46143</v>
      </c>
      <c r="J2050" t="s">
        <v>894</v>
      </c>
      <c r="K2050" t="str">
        <f>IFERROR(+VLOOKUP(Movimientos_2026[[#This Row],[Codigo]],Plan_cuentas[],6,FALSE)," ")</f>
        <v>1 - VW - Volkswagen</v>
      </c>
      <c r="L2050" s="50"/>
      <c r="M2050" s="50">
        <v>341941879.76999998</v>
      </c>
      <c r="N2050" s="20">
        <f>+Movimientos_2026[[#This Row],[Ingresos]]-Movimientos_2026[[#This Row],[Egresos]]</f>
        <v>-341941879.76999998</v>
      </c>
      <c r="O2050" s="20">
        <f>+O2049+Movimientos_2026[[#This Row],[Neto]]</f>
        <v>5579631488.2048645</v>
      </c>
    </row>
    <row r="2051" spans="1:15" x14ac:dyDescent="0.25">
      <c r="A2051" s="13">
        <v>46192</v>
      </c>
      <c r="B2051" s="12">
        <f>MONTH(Movimientos_2026[[#This Row],[Fecha]])</f>
        <v>6</v>
      </c>
      <c r="C2051" s="12" t="str">
        <f>VLOOKUP((WEEKDAY(Movimientos_2026[[#This Row],[Fecha]],2)),'5. Setup'!$D$6:$E$12,2,FALSE)</f>
        <v>Vie</v>
      </c>
      <c r="D2051">
        <v>2023142</v>
      </c>
      <c r="E2051" t="str">
        <f>IFERROR(+VLOOKUP(Movimientos_2026[[#This Row],[Codigo]],Plan_cuentas[],2,FALSE)," ")</f>
        <v>EGRESOS</v>
      </c>
      <c r="F2051" t="str">
        <f>IFERROR(+VLOOKUP(Movimientos_2026[[#This Row],[Codigo]],Plan_cuentas[],3,FALSE)," ")</f>
        <v>DDJJ</v>
      </c>
      <c r="G2051" t="str">
        <f>IFERROR(+VLOOKUP(Movimientos_2026[[#This Row],[Codigo]],Plan_cuentas[],4,FALSE)," ")</f>
        <v>Registración</v>
      </c>
      <c r="H2051" t="str">
        <f>IFERROR(+VLOOKUP(Movimientos_2026[[#This Row],[Codigo]],Plan_cuentas[],5,FALSE)," ")</f>
        <v>BUENOS AIRES</v>
      </c>
      <c r="I2051" s="43">
        <v>46143</v>
      </c>
      <c r="J2051" t="s">
        <v>894</v>
      </c>
      <c r="K2051" t="str">
        <f>IFERROR(+VLOOKUP(Movimientos_2026[[#This Row],[Codigo]],Plan_cuentas[],6,FALSE)," ")</f>
        <v>2 - PR - Plan Rombo</v>
      </c>
      <c r="L2051" s="50"/>
      <c r="M2051" s="50">
        <v>458944391.35000002</v>
      </c>
      <c r="N2051" s="20">
        <f>+Movimientos_2026[[#This Row],[Ingresos]]-Movimientos_2026[[#This Row],[Egresos]]</f>
        <v>-458944391.35000002</v>
      </c>
      <c r="O2051" s="20">
        <f>+O2050+Movimientos_2026[[#This Row],[Neto]]</f>
        <v>5120687096.8548641</v>
      </c>
    </row>
    <row r="2052" spans="1:15" x14ac:dyDescent="0.25">
      <c r="A2052" s="13">
        <v>46192</v>
      </c>
      <c r="B2052" s="12">
        <f>MONTH(Movimientos_2026[[#This Row],[Fecha]])</f>
        <v>6</v>
      </c>
      <c r="C2052" s="12" t="str">
        <f>VLOOKUP((WEEKDAY(Movimientos_2026[[#This Row],[Fecha]],2)),'5. Setup'!$D$6:$E$12,2,FALSE)</f>
        <v>Vie</v>
      </c>
      <c r="D2052">
        <v>2023143</v>
      </c>
      <c r="E2052" t="str">
        <f>IFERROR(+VLOOKUP(Movimientos_2026[[#This Row],[Codigo]],Plan_cuentas[],2,FALSE)," ")</f>
        <v>EGRESOS</v>
      </c>
      <c r="F2052" t="str">
        <f>IFERROR(+VLOOKUP(Movimientos_2026[[#This Row],[Codigo]],Plan_cuentas[],3,FALSE)," ")</f>
        <v>DDJJ</v>
      </c>
      <c r="G2052" t="str">
        <f>IFERROR(+VLOOKUP(Movimientos_2026[[#This Row],[Codigo]],Plan_cuentas[],4,FALSE)," ")</f>
        <v>Registración</v>
      </c>
      <c r="H2052" t="str">
        <f>IFERROR(+VLOOKUP(Movimientos_2026[[#This Row],[Codigo]],Plan_cuentas[],5,FALSE)," ")</f>
        <v>BUENOS AIRES</v>
      </c>
      <c r="I2052" s="43">
        <v>46143</v>
      </c>
      <c r="J2052" t="s">
        <v>894</v>
      </c>
      <c r="K2052" t="str">
        <f>IFERROR(+VLOOKUP(Movimientos_2026[[#This Row],[Codigo]],Plan_cuentas[],6,FALSE)," ")</f>
        <v>3 - GM - Chevrolet</v>
      </c>
      <c r="L2052" s="50"/>
      <c r="M2052" s="50">
        <v>292404313.38999999</v>
      </c>
      <c r="N2052" s="20">
        <f>+Movimientos_2026[[#This Row],[Ingresos]]-Movimientos_2026[[#This Row],[Egresos]]</f>
        <v>-292404313.38999999</v>
      </c>
      <c r="O2052" s="20">
        <f>+O2051+Movimientos_2026[[#This Row],[Neto]]</f>
        <v>4828282783.4648638</v>
      </c>
    </row>
    <row r="2053" spans="1:15" x14ac:dyDescent="0.25">
      <c r="A2053" s="13">
        <v>46192</v>
      </c>
      <c r="B2053" s="12">
        <f>MONTH(Movimientos_2026[[#This Row],[Fecha]])</f>
        <v>6</v>
      </c>
      <c r="C2053" s="12" t="str">
        <f>VLOOKUP((WEEKDAY(Movimientos_2026[[#This Row],[Fecha]],2)),'5. Setup'!$D$6:$E$12,2,FALSE)</f>
        <v>Vie</v>
      </c>
      <c r="D2053">
        <v>2023144</v>
      </c>
      <c r="E2053" t="str">
        <f>IFERROR(+VLOOKUP(Movimientos_2026[[#This Row],[Codigo]],Plan_cuentas[],2,FALSE)," ")</f>
        <v>EGRESOS</v>
      </c>
      <c r="F2053" t="str">
        <f>IFERROR(+VLOOKUP(Movimientos_2026[[#This Row],[Codigo]],Plan_cuentas[],3,FALSE)," ")</f>
        <v>DDJJ</v>
      </c>
      <c r="G2053" t="str">
        <f>IFERROR(+VLOOKUP(Movimientos_2026[[#This Row],[Codigo]],Plan_cuentas[],4,FALSE)," ")</f>
        <v>Registración</v>
      </c>
      <c r="H2053" t="str">
        <f>IFERROR(+VLOOKUP(Movimientos_2026[[#This Row],[Codigo]],Plan_cuentas[],5,FALSE)," ")</f>
        <v>BUENOS AIRES</v>
      </c>
      <c r="I2053" s="43">
        <v>46143</v>
      </c>
      <c r="J2053" t="s">
        <v>894</v>
      </c>
      <c r="K2053" t="str">
        <f>IFERROR(+VLOOKUP(Movimientos_2026[[#This Row],[Codigo]],Plan_cuentas[],6,FALSE)," ")</f>
        <v>4 - FCA - Fiat</v>
      </c>
      <c r="L2053" s="50"/>
      <c r="M2053" s="50">
        <v>715707234.90999997</v>
      </c>
      <c r="N2053" s="20">
        <f>+Movimientos_2026[[#This Row],[Ingresos]]-Movimientos_2026[[#This Row],[Egresos]]</f>
        <v>-715707234.90999997</v>
      </c>
      <c r="O2053" s="20">
        <f>+O2052+Movimientos_2026[[#This Row],[Neto]]</f>
        <v>4112575548.5548639</v>
      </c>
    </row>
    <row r="2054" spans="1:15" x14ac:dyDescent="0.25">
      <c r="A2054" s="13">
        <v>46192</v>
      </c>
      <c r="B2054" s="12">
        <f>MONTH(Movimientos_2026[[#This Row],[Fecha]])</f>
        <v>6</v>
      </c>
      <c r="C2054" s="12" t="str">
        <f>VLOOKUP((WEEKDAY(Movimientos_2026[[#This Row],[Fecha]],2)),'5. Setup'!$D$6:$E$12,2,FALSE)</f>
        <v>Vie</v>
      </c>
      <c r="D2054">
        <v>2054314</v>
      </c>
      <c r="E2054" t="str">
        <f>IFERROR(+VLOOKUP(Movimientos_2026[[#This Row],[Codigo]],Plan_cuentas[],2,FALSE)," ")</f>
        <v>EGRESOS</v>
      </c>
      <c r="F2054" t="str">
        <f>IFERROR(+VLOOKUP(Movimientos_2026[[#This Row],[Codigo]],Plan_cuentas[],3,FALSE)," ")</f>
        <v>VEP</v>
      </c>
      <c r="G2054" t="str">
        <f>IFERROR(+VLOOKUP(Movimientos_2026[[#This Row],[Codigo]],Plan_cuentas[],4,FALSE)," ")</f>
        <v>Rentas</v>
      </c>
      <c r="H2054" t="str">
        <f>IFERROR(+VLOOKUP(Movimientos_2026[[#This Row],[Codigo]],Plan_cuentas[],5,FALSE)," ")</f>
        <v>NEUQUEN 1° Q</v>
      </c>
      <c r="I2054" s="43">
        <v>46174</v>
      </c>
      <c r="J2054" t="s">
        <v>895</v>
      </c>
      <c r="K2054" t="str">
        <f>IFERROR(+VLOOKUP(Movimientos_2026[[#This Row],[Codigo]],Plan_cuentas[],6,FALSE)," ")</f>
        <v>4 - FCA - Fiat</v>
      </c>
      <c r="L2054" s="50"/>
      <c r="M2054" s="50">
        <v>40780340</v>
      </c>
      <c r="N2054" s="20">
        <f>+Movimientos_2026[[#This Row],[Ingresos]]-Movimientos_2026[[#This Row],[Egresos]]</f>
        <v>-40780340</v>
      </c>
      <c r="O2054" s="20">
        <f>+O2053+Movimientos_2026[[#This Row],[Neto]]</f>
        <v>4071795208.5548639</v>
      </c>
    </row>
    <row r="2055" spans="1:15" x14ac:dyDescent="0.25">
      <c r="A2055" s="13">
        <v>46192</v>
      </c>
      <c r="B2055" s="12">
        <f>MONTH(Movimientos_2026[[#This Row],[Fecha]])</f>
        <v>6</v>
      </c>
      <c r="C2055" s="12" t="str">
        <f>VLOOKUP((WEEKDAY(Movimientos_2026[[#This Row],[Fecha]],2)),'5. Setup'!$D$6:$E$12,2,FALSE)</f>
        <v>Vie</v>
      </c>
      <c r="D2055">
        <v>2054316</v>
      </c>
      <c r="E2055" t="str">
        <f>IFERROR(+VLOOKUP(Movimientos_2026[[#This Row],[Codigo]],Plan_cuentas[],2,FALSE)," ")</f>
        <v>EGRESOS</v>
      </c>
      <c r="F2055" t="str">
        <f>IFERROR(+VLOOKUP(Movimientos_2026[[#This Row],[Codigo]],Plan_cuentas[],3,FALSE)," ")</f>
        <v>VEP</v>
      </c>
      <c r="G2055" t="str">
        <f>IFERROR(+VLOOKUP(Movimientos_2026[[#This Row],[Codigo]],Plan_cuentas[],4,FALSE)," ")</f>
        <v>Rentas</v>
      </c>
      <c r="H2055" t="str">
        <f>IFERROR(+VLOOKUP(Movimientos_2026[[#This Row],[Codigo]],Plan_cuentas[],5,FALSE)," ")</f>
        <v>NEUQUEN 1° Q</v>
      </c>
      <c r="I2055" s="43">
        <v>46174</v>
      </c>
      <c r="J2055" t="s">
        <v>895</v>
      </c>
      <c r="K2055" t="str">
        <f>IFERROR(+VLOOKUP(Movimientos_2026[[#This Row],[Codigo]],Plan_cuentas[],6,FALSE)," ")</f>
        <v>6 - FCAtr - Fiat Transf.</v>
      </c>
      <c r="L2055" s="50"/>
      <c r="M2055" s="50">
        <v>997370.02</v>
      </c>
      <c r="N2055" s="20">
        <f>+Movimientos_2026[[#This Row],[Ingresos]]-Movimientos_2026[[#This Row],[Egresos]]</f>
        <v>-997370.02</v>
      </c>
      <c r="O2055" s="20">
        <f>+O2054+Movimientos_2026[[#This Row],[Neto]]</f>
        <v>4070797838.5348639</v>
      </c>
    </row>
    <row r="2056" spans="1:15" x14ac:dyDescent="0.25">
      <c r="A2056" s="13">
        <v>46192</v>
      </c>
      <c r="B2056" s="12">
        <f>MONTH(Movimientos_2026[[#This Row],[Fecha]])</f>
        <v>6</v>
      </c>
      <c r="C2056" s="12" t="str">
        <f>VLOOKUP((WEEKDAY(Movimientos_2026[[#This Row],[Fecha]],2)),'5. Setup'!$D$6:$E$12,2,FALSE)</f>
        <v>Vie</v>
      </c>
      <c r="D2056">
        <v>1043153</v>
      </c>
      <c r="E2056" t="str">
        <f>IFERROR(+VLOOKUP(Movimientos_2026[[#This Row],[Codigo]],Plan_cuentas[],2,FALSE)," ")</f>
        <v>INGRESOS</v>
      </c>
      <c r="F2056" t="str">
        <f>IFERROR(+VLOOKUP(Movimientos_2026[[#This Row],[Codigo]],Plan_cuentas[],3,FALSE)," ")</f>
        <v>Transferencia</v>
      </c>
      <c r="G2056" t="str">
        <f>IFERROR(+VLOOKUP(Movimientos_2026[[#This Row],[Codigo]],Plan_cuentas[],4,FALSE)," ")</f>
        <v>Registración</v>
      </c>
      <c r="H2056" t="str">
        <f>IFERROR(+VLOOKUP(Movimientos_2026[[#This Row],[Codigo]],Plan_cuentas[],5,FALSE)," ")</f>
        <v>CABA</v>
      </c>
      <c r="I2056" s="43">
        <v>46143</v>
      </c>
      <c r="J2056" t="s">
        <v>896</v>
      </c>
      <c r="K2056" t="str">
        <f>IFERROR(+VLOOKUP(Movimientos_2026[[#This Row],[Codigo]],Plan_cuentas[],6,FALSE)," ")</f>
        <v>3 - GM - Chevrolet</v>
      </c>
      <c r="L2056" s="50">
        <v>43033782.509999998</v>
      </c>
      <c r="M2056" s="50"/>
      <c r="N2056" s="20">
        <f>+Movimientos_2026[[#This Row],[Ingresos]]-Movimientos_2026[[#This Row],[Egresos]]</f>
        <v>43033782.509999998</v>
      </c>
      <c r="O2056" s="20">
        <f>+O2055+Movimientos_2026[[#This Row],[Neto]]</f>
        <v>4113831621.0448642</v>
      </c>
    </row>
    <row r="2057" spans="1:15" x14ac:dyDescent="0.25">
      <c r="A2057" s="13">
        <v>46192</v>
      </c>
      <c r="B2057" s="12">
        <f>MONTH(Movimientos_2026[[#This Row],[Fecha]])</f>
        <v>6</v>
      </c>
      <c r="C2057" s="12" t="str">
        <f>VLOOKUP((WEEKDAY(Movimientos_2026[[#This Row],[Fecha]],2)),'5. Setup'!$D$6:$E$12,2,FALSE)</f>
        <v>Vie</v>
      </c>
      <c r="D2057">
        <v>1043223</v>
      </c>
      <c r="E2057" t="str">
        <f>IFERROR(+VLOOKUP(Movimientos_2026[[#This Row],[Codigo]],Plan_cuentas[],2,FALSE)," ")</f>
        <v>INGRESOS</v>
      </c>
      <c r="F2057" t="str">
        <f>IFERROR(+VLOOKUP(Movimientos_2026[[#This Row],[Codigo]],Plan_cuentas[],3,FALSE)," ")</f>
        <v>Transferencia</v>
      </c>
      <c r="G2057" t="str">
        <f>IFERROR(+VLOOKUP(Movimientos_2026[[#This Row],[Codigo]],Plan_cuentas[],4,FALSE)," ")</f>
        <v>Registración</v>
      </c>
      <c r="H2057" t="str">
        <f>IFERROR(+VLOOKUP(Movimientos_2026[[#This Row],[Codigo]],Plan_cuentas[],5,FALSE)," ")</f>
        <v>ENTRE RIOS 1° Q</v>
      </c>
      <c r="I2057" s="43">
        <v>46143</v>
      </c>
      <c r="J2057" t="s">
        <v>896</v>
      </c>
      <c r="K2057" t="str">
        <f>IFERROR(+VLOOKUP(Movimientos_2026[[#This Row],[Codigo]],Plan_cuentas[],6,FALSE)," ")</f>
        <v>3 - GM - Chevrolet</v>
      </c>
      <c r="L2057" s="50">
        <v>16689509.455</v>
      </c>
      <c r="M2057" s="50"/>
      <c r="N2057" s="20">
        <f>+Movimientos_2026[[#This Row],[Ingresos]]-Movimientos_2026[[#This Row],[Egresos]]</f>
        <v>16689509.455</v>
      </c>
      <c r="O2057" s="20">
        <f>+O2056+Movimientos_2026[[#This Row],[Neto]]</f>
        <v>4130521130.4998641</v>
      </c>
    </row>
    <row r="2058" spans="1:15" x14ac:dyDescent="0.25">
      <c r="A2058" s="13">
        <v>46192</v>
      </c>
      <c r="B2058" s="12">
        <f>MONTH(Movimientos_2026[[#This Row],[Fecha]])</f>
        <v>6</v>
      </c>
      <c r="C2058" s="12" t="str">
        <f>VLOOKUP((WEEKDAY(Movimientos_2026[[#This Row],[Fecha]],2)),'5. Setup'!$D$6:$E$12,2,FALSE)</f>
        <v>Vie</v>
      </c>
      <c r="D2058">
        <v>1043233</v>
      </c>
      <c r="E2058" t="str">
        <f>IFERROR(+VLOOKUP(Movimientos_2026[[#This Row],[Codigo]],Plan_cuentas[],2,FALSE)," ")</f>
        <v>INGRESOS</v>
      </c>
      <c r="F2058" t="str">
        <f>IFERROR(+VLOOKUP(Movimientos_2026[[#This Row],[Codigo]],Plan_cuentas[],3,FALSE)," ")</f>
        <v>Transferencia</v>
      </c>
      <c r="G2058" t="str">
        <f>IFERROR(+VLOOKUP(Movimientos_2026[[#This Row],[Codigo]],Plan_cuentas[],4,FALSE)," ")</f>
        <v>Registración</v>
      </c>
      <c r="H2058" t="str">
        <f>IFERROR(+VLOOKUP(Movimientos_2026[[#This Row],[Codigo]],Plan_cuentas[],5,FALSE)," ")</f>
        <v>ENTRE RIOS 2° Q</v>
      </c>
      <c r="I2058" s="43">
        <v>46143</v>
      </c>
      <c r="J2058" t="s">
        <v>896</v>
      </c>
      <c r="K2058" t="str">
        <f>IFERROR(+VLOOKUP(Movimientos_2026[[#This Row],[Codigo]],Plan_cuentas[],6,FALSE)," ")</f>
        <v>3 - GM - Chevrolet</v>
      </c>
      <c r="L2058" s="50">
        <v>16689509.455</v>
      </c>
      <c r="M2058" s="50"/>
      <c r="N2058" s="20">
        <f>+Movimientos_2026[[#This Row],[Ingresos]]-Movimientos_2026[[#This Row],[Egresos]]</f>
        <v>16689509.455</v>
      </c>
      <c r="O2058" s="20">
        <f>+O2057+Movimientos_2026[[#This Row],[Neto]]</f>
        <v>4147210639.954864</v>
      </c>
    </row>
    <row r="2059" spans="1:15" x14ac:dyDescent="0.25">
      <c r="A2059" s="13">
        <v>46192</v>
      </c>
      <c r="B2059" s="12">
        <f>MONTH(Movimientos_2026[[#This Row],[Fecha]])</f>
        <v>6</v>
      </c>
      <c r="C2059" s="12" t="str">
        <f>VLOOKUP((WEEKDAY(Movimientos_2026[[#This Row],[Fecha]],2)),'5. Setup'!$D$6:$E$12,2,FALSE)</f>
        <v>Vie</v>
      </c>
      <c r="D2059">
        <v>1043383</v>
      </c>
      <c r="E2059" t="str">
        <f>IFERROR(+VLOOKUP(Movimientos_2026[[#This Row],[Codigo]],Plan_cuentas[],2,FALSE)," ")</f>
        <v>INGRESOS</v>
      </c>
      <c r="F2059" t="str">
        <f>IFERROR(+VLOOKUP(Movimientos_2026[[#This Row],[Codigo]],Plan_cuentas[],3,FALSE)," ")</f>
        <v>Transferencia</v>
      </c>
      <c r="G2059" t="str">
        <f>IFERROR(+VLOOKUP(Movimientos_2026[[#This Row],[Codigo]],Plan_cuentas[],4,FALSE)," ")</f>
        <v>Registración</v>
      </c>
      <c r="H2059" t="str">
        <f>IFERROR(+VLOOKUP(Movimientos_2026[[#This Row],[Codigo]],Plan_cuentas[],5,FALSE)," ")</f>
        <v>SANTA FE 1° Q</v>
      </c>
      <c r="I2059" s="43">
        <v>46143</v>
      </c>
      <c r="J2059" t="s">
        <v>896</v>
      </c>
      <c r="K2059" t="str">
        <f>IFERROR(+VLOOKUP(Movimientos_2026[[#This Row],[Codigo]],Plan_cuentas[],6,FALSE)," ")</f>
        <v>3 - GM - Chevrolet</v>
      </c>
      <c r="L2059" s="50">
        <v>25926912.805</v>
      </c>
      <c r="M2059" s="50"/>
      <c r="N2059" s="20">
        <f>+Movimientos_2026[[#This Row],[Ingresos]]-Movimientos_2026[[#This Row],[Egresos]]</f>
        <v>25926912.805</v>
      </c>
      <c r="O2059" s="20">
        <f>+O2058+Movimientos_2026[[#This Row],[Neto]]</f>
        <v>4173137552.7598639</v>
      </c>
    </row>
    <row r="2060" spans="1:15" x14ac:dyDescent="0.25">
      <c r="A2060" s="13">
        <v>46192</v>
      </c>
      <c r="B2060" s="12">
        <f>MONTH(Movimientos_2026[[#This Row],[Fecha]])</f>
        <v>6</v>
      </c>
      <c r="C2060" s="12" t="str">
        <f>VLOOKUP((WEEKDAY(Movimientos_2026[[#This Row],[Fecha]],2)),'5. Setup'!$D$6:$E$12,2,FALSE)</f>
        <v>Vie</v>
      </c>
      <c r="D2060">
        <v>1043393</v>
      </c>
      <c r="E2060" t="str">
        <f>IFERROR(+VLOOKUP(Movimientos_2026[[#This Row],[Codigo]],Plan_cuentas[],2,FALSE)," ")</f>
        <v>INGRESOS</v>
      </c>
      <c r="F2060" t="str">
        <f>IFERROR(+VLOOKUP(Movimientos_2026[[#This Row],[Codigo]],Plan_cuentas[],3,FALSE)," ")</f>
        <v>Transferencia</v>
      </c>
      <c r="G2060" t="str">
        <f>IFERROR(+VLOOKUP(Movimientos_2026[[#This Row],[Codigo]],Plan_cuentas[],4,FALSE)," ")</f>
        <v>Registración</v>
      </c>
      <c r="H2060" t="str">
        <f>IFERROR(+VLOOKUP(Movimientos_2026[[#This Row],[Codigo]],Plan_cuentas[],5,FALSE)," ")</f>
        <v>SANTA FE 2° Q</v>
      </c>
      <c r="I2060" s="43">
        <v>46143</v>
      </c>
      <c r="J2060" t="s">
        <v>896</v>
      </c>
      <c r="K2060" t="str">
        <f>IFERROR(+VLOOKUP(Movimientos_2026[[#This Row],[Codigo]],Plan_cuentas[],6,FALSE)," ")</f>
        <v>3 - GM - Chevrolet</v>
      </c>
      <c r="L2060" s="50">
        <v>25926912.805</v>
      </c>
      <c r="M2060" s="50"/>
      <c r="N2060" s="20">
        <f>+Movimientos_2026[[#This Row],[Ingresos]]-Movimientos_2026[[#This Row],[Egresos]]</f>
        <v>25926912.805</v>
      </c>
      <c r="O2060" s="20">
        <f>+O2059+Movimientos_2026[[#This Row],[Neto]]</f>
        <v>4199064465.5648637</v>
      </c>
    </row>
    <row r="2061" spans="1:15" x14ac:dyDescent="0.25">
      <c r="A2061" s="13">
        <v>46192</v>
      </c>
      <c r="B2061" s="12">
        <f>MONTH(Movimientos_2026[[#This Row],[Fecha]])</f>
        <v>6</v>
      </c>
      <c r="C2061" s="12" t="str">
        <f>VLOOKUP((WEEKDAY(Movimientos_2026[[#This Row],[Fecha]],2)),'5. Setup'!$D$6:$E$12,2,FALSE)</f>
        <v>Vie</v>
      </c>
      <c r="D2061">
        <v>1044163</v>
      </c>
      <c r="E2061" t="str">
        <f>IFERROR(+VLOOKUP(Movimientos_2026[[#This Row],[Codigo]],Plan_cuentas[],2,FALSE)," ")</f>
        <v>INGRESOS</v>
      </c>
      <c r="F2061" t="str">
        <f>IFERROR(+VLOOKUP(Movimientos_2026[[#This Row],[Codigo]],Plan_cuentas[],3,FALSE)," ")</f>
        <v>Transferencia</v>
      </c>
      <c r="G2061" t="str">
        <f>IFERROR(+VLOOKUP(Movimientos_2026[[#This Row],[Codigo]],Plan_cuentas[],4,FALSE)," ")</f>
        <v>Rentas</v>
      </c>
      <c r="H2061" t="str">
        <f>IFERROR(+VLOOKUP(Movimientos_2026[[#This Row],[Codigo]],Plan_cuentas[],5,FALSE)," ")</f>
        <v>CHACO</v>
      </c>
      <c r="I2061" s="43">
        <v>46143</v>
      </c>
      <c r="J2061" t="s">
        <v>896</v>
      </c>
      <c r="K2061" t="str">
        <f>IFERROR(+VLOOKUP(Movimientos_2026[[#This Row],[Codigo]],Plan_cuentas[],6,FALSE)," ")</f>
        <v>3 - GM - Chevrolet</v>
      </c>
      <c r="L2061" s="50">
        <v>37426307.579999998</v>
      </c>
      <c r="M2061" s="50"/>
      <c r="N2061" s="20">
        <f>+Movimientos_2026[[#This Row],[Ingresos]]-Movimientos_2026[[#This Row],[Egresos]]</f>
        <v>37426307.579999998</v>
      </c>
      <c r="O2061" s="20">
        <f>+O2060+Movimientos_2026[[#This Row],[Neto]]</f>
        <v>4236490773.1448636</v>
      </c>
    </row>
    <row r="2062" spans="1:15" x14ac:dyDescent="0.25">
      <c r="A2062" s="13">
        <v>46192</v>
      </c>
      <c r="B2062" s="12">
        <f>MONTH(Movimientos_2026[[#This Row],[Fecha]])</f>
        <v>6</v>
      </c>
      <c r="C2062" s="12" t="str">
        <f>VLOOKUP((WEEKDAY(Movimientos_2026[[#This Row],[Fecha]],2)),'5. Setup'!$D$6:$E$12,2,FALSE)</f>
        <v>Vie</v>
      </c>
      <c r="D2062">
        <v>1044173</v>
      </c>
      <c r="E2062" t="str">
        <f>IFERROR(+VLOOKUP(Movimientos_2026[[#This Row],[Codigo]],Plan_cuentas[],2,FALSE)," ")</f>
        <v>INGRESOS</v>
      </c>
      <c r="F2062" t="str">
        <f>IFERROR(+VLOOKUP(Movimientos_2026[[#This Row],[Codigo]],Plan_cuentas[],3,FALSE)," ")</f>
        <v>Transferencia</v>
      </c>
      <c r="G2062" t="str">
        <f>IFERROR(+VLOOKUP(Movimientos_2026[[#This Row],[Codigo]],Plan_cuentas[],4,FALSE)," ")</f>
        <v>Rentas</v>
      </c>
      <c r="H2062" t="str">
        <f>IFERROR(+VLOOKUP(Movimientos_2026[[#This Row],[Codigo]],Plan_cuentas[],5,FALSE)," ")</f>
        <v>CHUBUT</v>
      </c>
      <c r="I2062" s="43">
        <v>46143</v>
      </c>
      <c r="J2062" t="s">
        <v>896</v>
      </c>
      <c r="K2062" t="str">
        <f>IFERROR(+VLOOKUP(Movimientos_2026[[#This Row],[Codigo]],Plan_cuentas[],6,FALSE)," ")</f>
        <v>3 - GM - Chevrolet</v>
      </c>
      <c r="L2062" s="50">
        <v>7222108.5099999998</v>
      </c>
      <c r="M2062" s="50"/>
      <c r="N2062" s="20">
        <f>+Movimientos_2026[[#This Row],[Ingresos]]-Movimientos_2026[[#This Row],[Egresos]]</f>
        <v>7222108.5099999998</v>
      </c>
      <c r="O2062" s="20">
        <f>+O2061+Movimientos_2026[[#This Row],[Neto]]</f>
        <v>4243712881.6548638</v>
      </c>
    </row>
    <row r="2063" spans="1:15" x14ac:dyDescent="0.25">
      <c r="A2063" s="13">
        <v>46192</v>
      </c>
      <c r="B2063" s="12">
        <f>MONTH(Movimientos_2026[[#This Row],[Fecha]])</f>
        <v>6</v>
      </c>
      <c r="C2063" s="12" t="str">
        <f>VLOOKUP((WEEKDAY(Movimientos_2026[[#This Row],[Fecha]],2)),'5. Setup'!$D$6:$E$12,2,FALSE)</f>
        <v>Vie</v>
      </c>
      <c r="D2063">
        <v>1044243</v>
      </c>
      <c r="E2063" t="str">
        <f>IFERROR(+VLOOKUP(Movimientos_2026[[#This Row],[Codigo]],Plan_cuentas[],2,FALSE)," ")</f>
        <v>INGRESOS</v>
      </c>
      <c r="F2063" t="str">
        <f>IFERROR(+VLOOKUP(Movimientos_2026[[#This Row],[Codigo]],Plan_cuentas[],3,FALSE)," ")</f>
        <v>Transferencia</v>
      </c>
      <c r="G2063" t="str">
        <f>IFERROR(+VLOOKUP(Movimientos_2026[[#This Row],[Codigo]],Plan_cuentas[],4,FALSE)," ")</f>
        <v>Rentas</v>
      </c>
      <c r="H2063" t="str">
        <f>IFERROR(+VLOOKUP(Movimientos_2026[[#This Row],[Codigo]],Plan_cuentas[],5,FALSE)," ")</f>
        <v>FORMOSA</v>
      </c>
      <c r="I2063" s="43">
        <v>46143</v>
      </c>
      <c r="J2063" t="s">
        <v>896</v>
      </c>
      <c r="K2063" t="str">
        <f>IFERROR(+VLOOKUP(Movimientos_2026[[#This Row],[Codigo]],Plan_cuentas[],6,FALSE)," ")</f>
        <v>3 - GM - Chevrolet</v>
      </c>
      <c r="L2063" s="50">
        <v>11080757.18</v>
      </c>
      <c r="M2063" s="50"/>
      <c r="N2063" s="20">
        <f>+Movimientos_2026[[#This Row],[Ingresos]]-Movimientos_2026[[#This Row],[Egresos]]</f>
        <v>11080757.18</v>
      </c>
      <c r="O2063" s="20">
        <f>+O2062+Movimientos_2026[[#This Row],[Neto]]</f>
        <v>4254793638.8348637</v>
      </c>
    </row>
    <row r="2064" spans="1:15" x14ac:dyDescent="0.25">
      <c r="A2064" s="13">
        <v>46192</v>
      </c>
      <c r="B2064" s="12">
        <f>MONTH(Movimientos_2026[[#This Row],[Fecha]])</f>
        <v>6</v>
      </c>
      <c r="C2064" s="12" t="str">
        <f>VLOOKUP((WEEKDAY(Movimientos_2026[[#This Row],[Fecha]],2)),'5. Setup'!$D$6:$E$12,2,FALSE)</f>
        <v>Vie</v>
      </c>
      <c r="D2064">
        <v>1044263</v>
      </c>
      <c r="E2064" t="str">
        <f>IFERROR(+VLOOKUP(Movimientos_2026[[#This Row],[Codigo]],Plan_cuentas[],2,FALSE)," ")</f>
        <v>INGRESOS</v>
      </c>
      <c r="F2064" t="str">
        <f>IFERROR(+VLOOKUP(Movimientos_2026[[#This Row],[Codigo]],Plan_cuentas[],3,FALSE)," ")</f>
        <v>Transferencia</v>
      </c>
      <c r="G2064" t="str">
        <f>IFERROR(+VLOOKUP(Movimientos_2026[[#This Row],[Codigo]],Plan_cuentas[],4,FALSE)," ")</f>
        <v>Rentas</v>
      </c>
      <c r="H2064" t="str">
        <f>IFERROR(+VLOOKUP(Movimientos_2026[[#This Row],[Codigo]],Plan_cuentas[],5,FALSE)," ")</f>
        <v>LA PAMPA</v>
      </c>
      <c r="I2064" s="43">
        <v>46143</v>
      </c>
      <c r="J2064" t="s">
        <v>896</v>
      </c>
      <c r="K2064" t="str">
        <f>IFERROR(+VLOOKUP(Movimientos_2026[[#This Row],[Codigo]],Plan_cuentas[],6,FALSE)," ")</f>
        <v>3 - GM - Chevrolet</v>
      </c>
      <c r="L2064" s="50">
        <v>1956739.5</v>
      </c>
      <c r="M2064" s="50"/>
      <c r="N2064" s="20">
        <f>+Movimientos_2026[[#This Row],[Ingresos]]-Movimientos_2026[[#This Row],[Egresos]]</f>
        <v>1956739.5</v>
      </c>
      <c r="O2064" s="20">
        <f>+O2063+Movimientos_2026[[#This Row],[Neto]]</f>
        <v>4256750378.3348637</v>
      </c>
    </row>
    <row r="2065" spans="1:15" x14ac:dyDescent="0.25">
      <c r="A2065" s="13">
        <v>46192</v>
      </c>
      <c r="B2065" s="12">
        <f>MONTH(Movimientos_2026[[#This Row],[Fecha]])</f>
        <v>6</v>
      </c>
      <c r="C2065" s="12" t="str">
        <f>VLOOKUP((WEEKDAY(Movimientos_2026[[#This Row],[Fecha]],2)),'5. Setup'!$D$6:$E$12,2,FALSE)</f>
        <v>Vie</v>
      </c>
      <c r="D2065">
        <v>1044463</v>
      </c>
      <c r="E2065" t="str">
        <f>IFERROR(+VLOOKUP(Movimientos_2026[[#This Row],[Codigo]],Plan_cuentas[],2,FALSE)," ")</f>
        <v>INGRESOS</v>
      </c>
      <c r="F2065" t="str">
        <f>IFERROR(+VLOOKUP(Movimientos_2026[[#This Row],[Codigo]],Plan_cuentas[],3,FALSE)," ")</f>
        <v>Transferencia</v>
      </c>
      <c r="G2065" t="str">
        <f>IFERROR(+VLOOKUP(Movimientos_2026[[#This Row],[Codigo]],Plan_cuentas[],4,FALSE)," ")</f>
        <v>Rentas</v>
      </c>
      <c r="H2065" t="str">
        <f>IFERROR(+VLOOKUP(Movimientos_2026[[#This Row],[Codigo]],Plan_cuentas[],5,FALSE)," ")</f>
        <v>MISIONES</v>
      </c>
      <c r="I2065" s="43">
        <v>46143</v>
      </c>
      <c r="J2065" t="s">
        <v>896</v>
      </c>
      <c r="K2065" t="str">
        <f>IFERROR(+VLOOKUP(Movimientos_2026[[#This Row],[Codigo]],Plan_cuentas[],6,FALSE)," ")</f>
        <v>3 - GM - Chevrolet</v>
      </c>
      <c r="L2065" s="50">
        <v>3668950.8</v>
      </c>
      <c r="M2065" s="50"/>
      <c r="N2065" s="20">
        <f>+Movimientos_2026[[#This Row],[Ingresos]]-Movimientos_2026[[#This Row],[Egresos]]</f>
        <v>3668950.8</v>
      </c>
      <c r="O2065" s="20">
        <f>+O2064+Movimientos_2026[[#This Row],[Neto]]</f>
        <v>4260419329.1348639</v>
      </c>
    </row>
    <row r="2066" spans="1:15" x14ac:dyDescent="0.25">
      <c r="A2066" s="13">
        <v>46192</v>
      </c>
      <c r="B2066" s="12">
        <f>MONTH(Movimientos_2026[[#This Row],[Fecha]])</f>
        <v>6</v>
      </c>
      <c r="C2066" s="12" t="str">
        <f>VLOOKUP((WEEKDAY(Movimientos_2026[[#This Row],[Fecha]],2)),'5. Setup'!$D$6:$E$12,2,FALSE)</f>
        <v>Vie</v>
      </c>
      <c r="D2066">
        <v>1044353</v>
      </c>
      <c r="E2066" t="str">
        <f>IFERROR(+VLOOKUP(Movimientos_2026[[#This Row],[Codigo]],Plan_cuentas[],2,FALSE)," ")</f>
        <v>INGRESOS</v>
      </c>
      <c r="F2066" t="str">
        <f>IFERROR(+VLOOKUP(Movimientos_2026[[#This Row],[Codigo]],Plan_cuentas[],3,FALSE)," ")</f>
        <v>Transferencia</v>
      </c>
      <c r="G2066" t="str">
        <f>IFERROR(+VLOOKUP(Movimientos_2026[[#This Row],[Codigo]],Plan_cuentas[],4,FALSE)," ")</f>
        <v>Rentas</v>
      </c>
      <c r="H2066" t="str">
        <f>IFERROR(+VLOOKUP(Movimientos_2026[[#This Row],[Codigo]],Plan_cuentas[],5,FALSE)," ")</f>
        <v>SAN JUAN</v>
      </c>
      <c r="I2066" s="43">
        <v>46143</v>
      </c>
      <c r="J2066" t="s">
        <v>896</v>
      </c>
      <c r="K2066" t="str">
        <f>IFERROR(+VLOOKUP(Movimientos_2026[[#This Row],[Codigo]],Plan_cuentas[],6,FALSE)," ")</f>
        <v>3 - GM - Chevrolet</v>
      </c>
      <c r="L2066" s="50">
        <v>10045739.16</v>
      </c>
      <c r="M2066" s="50"/>
      <c r="N2066" s="20">
        <f>+Movimientos_2026[[#This Row],[Ingresos]]-Movimientos_2026[[#This Row],[Egresos]]</f>
        <v>10045739.16</v>
      </c>
      <c r="O2066" s="20">
        <f>+O2065+Movimientos_2026[[#This Row],[Neto]]</f>
        <v>4270465068.2948637</v>
      </c>
    </row>
    <row r="2067" spans="1:15" x14ac:dyDescent="0.25">
      <c r="A2067" s="13">
        <v>46192</v>
      </c>
      <c r="B2067" s="12">
        <f>MONTH(Movimientos_2026[[#This Row],[Fecha]])</f>
        <v>6</v>
      </c>
      <c r="C2067" s="12" t="str">
        <f>VLOOKUP((WEEKDAY(Movimientos_2026[[#This Row],[Fecha]],2)),'5. Setup'!$D$6:$E$12,2,FALSE)</f>
        <v>Vie</v>
      </c>
      <c r="D2067">
        <v>1044363</v>
      </c>
      <c r="E2067" t="str">
        <f>IFERROR(+VLOOKUP(Movimientos_2026[[#This Row],[Codigo]],Plan_cuentas[],2,FALSE)," ")</f>
        <v>INGRESOS</v>
      </c>
      <c r="F2067" t="str">
        <f>IFERROR(+VLOOKUP(Movimientos_2026[[#This Row],[Codigo]],Plan_cuentas[],3,FALSE)," ")</f>
        <v>Transferencia</v>
      </c>
      <c r="G2067" t="str">
        <f>IFERROR(+VLOOKUP(Movimientos_2026[[#This Row],[Codigo]],Plan_cuentas[],4,FALSE)," ")</f>
        <v>Rentas</v>
      </c>
      <c r="H2067" t="str">
        <f>IFERROR(+VLOOKUP(Movimientos_2026[[#This Row],[Codigo]],Plan_cuentas[],5,FALSE)," ")</f>
        <v>SAN LUIS</v>
      </c>
      <c r="I2067" s="43">
        <v>46143</v>
      </c>
      <c r="J2067" t="s">
        <v>896</v>
      </c>
      <c r="K2067" t="str">
        <f>IFERROR(+VLOOKUP(Movimientos_2026[[#This Row],[Codigo]],Plan_cuentas[],6,FALSE)," ")</f>
        <v>3 - GM - Chevrolet</v>
      </c>
      <c r="L2067" s="50">
        <v>13548672.5</v>
      </c>
      <c r="M2067" s="50"/>
      <c r="N2067" s="20">
        <f>+Movimientos_2026[[#This Row],[Ingresos]]-Movimientos_2026[[#This Row],[Egresos]]</f>
        <v>13548672.5</v>
      </c>
      <c r="O2067" s="20">
        <f>+O2066+Movimientos_2026[[#This Row],[Neto]]</f>
        <v>4284013740.7948637</v>
      </c>
    </row>
    <row r="2068" spans="1:15" x14ac:dyDescent="0.25">
      <c r="A2068" s="13">
        <v>46192</v>
      </c>
      <c r="B2068" s="12">
        <f>MONTH(Movimientos_2026[[#This Row],[Fecha]])</f>
        <v>6</v>
      </c>
      <c r="C2068" s="12" t="str">
        <f>VLOOKUP((WEEKDAY(Movimientos_2026[[#This Row],[Fecha]],2)),'5. Setup'!$D$6:$E$12,2,FALSE)</f>
        <v>Vie</v>
      </c>
      <c r="D2068">
        <v>1044403</v>
      </c>
      <c r="E2068" t="str">
        <f>IFERROR(+VLOOKUP(Movimientos_2026[[#This Row],[Codigo]],Plan_cuentas[],2,FALSE)," ")</f>
        <v>INGRESOS</v>
      </c>
      <c r="F2068" t="str">
        <f>IFERROR(+VLOOKUP(Movimientos_2026[[#This Row],[Codigo]],Plan_cuentas[],3,FALSE)," ")</f>
        <v>Transferencia</v>
      </c>
      <c r="G2068" t="str">
        <f>IFERROR(+VLOOKUP(Movimientos_2026[[#This Row],[Codigo]],Plan_cuentas[],4,FALSE)," ")</f>
        <v>Rentas</v>
      </c>
      <c r="H2068" t="str">
        <f>IFERROR(+VLOOKUP(Movimientos_2026[[#This Row],[Codigo]],Plan_cuentas[],5,FALSE)," ")</f>
        <v>SANTIAGO DEL ESTERO</v>
      </c>
      <c r="I2068" s="43">
        <v>46143</v>
      </c>
      <c r="J2068" t="s">
        <v>896</v>
      </c>
      <c r="K2068" t="str">
        <f>IFERROR(+VLOOKUP(Movimientos_2026[[#This Row],[Codigo]],Plan_cuentas[],6,FALSE)," ")</f>
        <v>3 - GM - Chevrolet</v>
      </c>
      <c r="L2068" s="50">
        <v>21401761.100000001</v>
      </c>
      <c r="M2068" s="50"/>
      <c r="N2068" s="20">
        <f>+Movimientos_2026[[#This Row],[Ingresos]]-Movimientos_2026[[#This Row],[Egresos]]</f>
        <v>21401761.100000001</v>
      </c>
      <c r="O2068" s="20">
        <f>+O2067+Movimientos_2026[[#This Row],[Neto]]</f>
        <v>4305415501.8948641</v>
      </c>
    </row>
    <row r="2069" spans="1:15" x14ac:dyDescent="0.25">
      <c r="A2069" s="13">
        <v>46192</v>
      </c>
      <c r="B2069" s="12">
        <f>MONTH(Movimientos_2026[[#This Row],[Fecha]])</f>
        <v>6</v>
      </c>
      <c r="C2069" s="12" t="str">
        <f>VLOOKUP((WEEKDAY(Movimientos_2026[[#This Row],[Fecha]],2)),'5. Setup'!$D$6:$E$12,2,FALSE)</f>
        <v>Vie</v>
      </c>
      <c r="D2069">
        <v>1044413</v>
      </c>
      <c r="E2069" t="str">
        <f>IFERROR(+VLOOKUP(Movimientos_2026[[#This Row],[Codigo]],Plan_cuentas[],2,FALSE)," ")</f>
        <v>INGRESOS</v>
      </c>
      <c r="F2069" t="str">
        <f>IFERROR(+VLOOKUP(Movimientos_2026[[#This Row],[Codigo]],Plan_cuentas[],3,FALSE)," ")</f>
        <v>Transferencia</v>
      </c>
      <c r="G2069" t="str">
        <f>IFERROR(+VLOOKUP(Movimientos_2026[[#This Row],[Codigo]],Plan_cuentas[],4,FALSE)," ")</f>
        <v>Rentas</v>
      </c>
      <c r="H2069" t="str">
        <f>IFERROR(+VLOOKUP(Movimientos_2026[[#This Row],[Codigo]],Plan_cuentas[],5,FALSE)," ")</f>
        <v>TIERRA DEL FUEGO</v>
      </c>
      <c r="I2069" s="43">
        <v>46143</v>
      </c>
      <c r="J2069" t="s">
        <v>896</v>
      </c>
      <c r="K2069" t="str">
        <f>IFERROR(+VLOOKUP(Movimientos_2026[[#This Row],[Codigo]],Plan_cuentas[],6,FALSE)," ")</f>
        <v>3 - GM - Chevrolet</v>
      </c>
      <c r="L2069" s="50">
        <v>12508132.83</v>
      </c>
      <c r="M2069" s="50"/>
      <c r="N2069" s="20">
        <f>+Movimientos_2026[[#This Row],[Ingresos]]-Movimientos_2026[[#This Row],[Egresos]]</f>
        <v>12508132.83</v>
      </c>
      <c r="O2069" s="20">
        <f>+O2068+Movimientos_2026[[#This Row],[Neto]]</f>
        <v>4317923634.724864</v>
      </c>
    </row>
    <row r="2070" spans="1:15" x14ac:dyDescent="0.25">
      <c r="A2070" s="13">
        <v>46192</v>
      </c>
      <c r="B2070" s="12">
        <f>MONTH(Movimientos_2026[[#This Row],[Fecha]])</f>
        <v>6</v>
      </c>
      <c r="C2070" s="12" t="str">
        <f>VLOOKUP((WEEKDAY(Movimientos_2026[[#This Row],[Fecha]],2)),'5. Setup'!$D$6:$E$12,2,FALSE)</f>
        <v>Vie</v>
      </c>
      <c r="D2070">
        <v>1044213</v>
      </c>
      <c r="E2070" t="str">
        <f>IFERROR(+VLOOKUP(Movimientos_2026[[#This Row],[Codigo]],Plan_cuentas[],2,FALSE)," ")</f>
        <v>INGRESOS</v>
      </c>
      <c r="F2070" t="str">
        <f>IFERROR(+VLOOKUP(Movimientos_2026[[#This Row],[Codigo]],Plan_cuentas[],3,FALSE)," ")</f>
        <v>Transferencia</v>
      </c>
      <c r="G2070" t="str">
        <f>IFERROR(+VLOOKUP(Movimientos_2026[[#This Row],[Codigo]],Plan_cuentas[],4,FALSE)," ")</f>
        <v>Rentas</v>
      </c>
      <c r="H2070" t="str">
        <f>IFERROR(+VLOOKUP(Movimientos_2026[[#This Row],[Codigo]],Plan_cuentas[],5,FALSE)," ")</f>
        <v>CORRIENTES 2° Q</v>
      </c>
      <c r="I2070" s="43">
        <v>46143</v>
      </c>
      <c r="J2070" t="s">
        <v>896</v>
      </c>
      <c r="K2070" t="str">
        <f>IFERROR(+VLOOKUP(Movimientos_2026[[#This Row],[Codigo]],Plan_cuentas[],6,FALSE)," ")</f>
        <v>3 - GM - Chevrolet</v>
      </c>
      <c r="L2070" s="50">
        <v>38295100.450000003</v>
      </c>
      <c r="M2070" s="50"/>
      <c r="N2070" s="20">
        <f>+Movimientos_2026[[#This Row],[Ingresos]]-Movimientos_2026[[#This Row],[Egresos]]</f>
        <v>38295100.450000003</v>
      </c>
      <c r="O2070" s="20">
        <f>+O2069+Movimientos_2026[[#This Row],[Neto]]</f>
        <v>4356218735.1748638</v>
      </c>
    </row>
    <row r="2071" spans="1:15" x14ac:dyDescent="0.25">
      <c r="A2071" s="13">
        <v>46192</v>
      </c>
      <c r="B2071" s="12">
        <f>MONTH(Movimientos_2026[[#This Row],[Fecha]])</f>
        <v>6</v>
      </c>
      <c r="C2071" s="12" t="str">
        <f>VLOOKUP((WEEKDAY(Movimientos_2026[[#This Row],[Fecha]],2)),'5. Setup'!$D$6:$E$12,2,FALSE)</f>
        <v>Vie</v>
      </c>
      <c r="D2071">
        <v>1041133</v>
      </c>
      <c r="E2071" t="str">
        <f>IFERROR(+VLOOKUP(Movimientos_2026[[#This Row],[Codigo]],Plan_cuentas[],2,FALSE)," ")</f>
        <v>INGRESOS</v>
      </c>
      <c r="F2071" t="str">
        <f>IFERROR(+VLOOKUP(Movimientos_2026[[#This Row],[Codigo]],Plan_cuentas[],3,FALSE)," ")</f>
        <v>Transferencia</v>
      </c>
      <c r="G2071" t="str">
        <f>IFERROR(+VLOOKUP(Movimientos_2026[[#This Row],[Codigo]],Plan_cuentas[],4,FALSE)," ")</f>
        <v>Entidades co-participadas</v>
      </c>
      <c r="H2071" t="str">
        <f>IFERROR(+VLOOKUP(Movimientos_2026[[#This Row],[Codigo]],Plan_cuentas[],5,FALSE)," ")</f>
        <v>BCLP</v>
      </c>
      <c r="I2071" s="43">
        <v>46143</v>
      </c>
      <c r="J2071" t="s">
        <v>896</v>
      </c>
      <c r="K2071" t="str">
        <f>IFERROR(+VLOOKUP(Movimientos_2026[[#This Row],[Codigo]],Plan_cuentas[],6,FALSE)," ")</f>
        <v>3 - GM - Chevrolet</v>
      </c>
      <c r="L2071" s="50">
        <f>871281.81+965262.98+5509768.2</f>
        <v>7346312.9900000002</v>
      </c>
      <c r="M2071" s="50"/>
      <c r="N2071" s="20">
        <f>+Movimientos_2026[[#This Row],[Ingresos]]-Movimientos_2026[[#This Row],[Egresos]]</f>
        <v>7346312.9900000002</v>
      </c>
      <c r="O2071" s="20">
        <f>+O2070+Movimientos_2026[[#This Row],[Neto]]</f>
        <v>4363565048.1648636</v>
      </c>
    </row>
    <row r="2072" spans="1:15" x14ac:dyDescent="0.25">
      <c r="A2072" s="13">
        <v>46192</v>
      </c>
      <c r="B2072" s="12">
        <f>MONTH(Movimientos_2026[[#This Row],[Fecha]])</f>
        <v>6</v>
      </c>
      <c r="C2072" s="12" t="str">
        <f>VLOOKUP((WEEKDAY(Movimientos_2026[[#This Row],[Fecha]],2)),'5. Setup'!$D$6:$E$12,2,FALSE)</f>
        <v>Vie</v>
      </c>
      <c r="D2072">
        <v>1041443</v>
      </c>
      <c r="E2072" t="str">
        <f>IFERROR(+VLOOKUP(Movimientos_2026[[#This Row],[Codigo]],Plan_cuentas[],2,FALSE)," ")</f>
        <v>INGRESOS</v>
      </c>
      <c r="F2072" t="str">
        <f>IFERROR(+VLOOKUP(Movimientos_2026[[#This Row],[Codigo]],Plan_cuentas[],3,FALSE)," ")</f>
        <v>Transferencia</v>
      </c>
      <c r="G2072" t="str">
        <f>IFERROR(+VLOOKUP(Movimientos_2026[[#This Row],[Codigo]],Plan_cuentas[],4,FALSE)," ")</f>
        <v>Entidades co-participadas</v>
      </c>
      <c r="H2072" t="str">
        <f>IFERROR(+VLOOKUP(Movimientos_2026[[#This Row],[Codigo]],Plan_cuentas[],5,FALSE)," ")</f>
        <v>UISCUMARR</v>
      </c>
      <c r="I2072" s="43">
        <v>46143</v>
      </c>
      <c r="J2072" t="s">
        <v>896</v>
      </c>
      <c r="K2072" t="str">
        <f>IFERROR(+VLOOKUP(Movimientos_2026[[#This Row],[Codigo]],Plan_cuentas[],6,FALSE)," ")</f>
        <v>3 - GM - Chevrolet</v>
      </c>
      <c r="L2072" s="50">
        <v>28622109.965500001</v>
      </c>
      <c r="M2072" s="52"/>
      <c r="N2072" s="20">
        <f>+Movimientos_2026[[#This Row],[Ingresos]]-Movimientos_2026[[#This Row],[Egresos]]</f>
        <v>28622109.965500001</v>
      </c>
      <c r="O2072" s="20">
        <f>+O2071+Movimientos_2026[[#This Row],[Neto]]</f>
        <v>4392187158.1303635</v>
      </c>
    </row>
    <row r="2073" spans="1:15" x14ac:dyDescent="0.25">
      <c r="A2073" s="13">
        <v>46192</v>
      </c>
      <c r="B2073" s="12">
        <f>MONTH(Movimientos_2026[[#This Row],[Fecha]])</f>
        <v>6</v>
      </c>
      <c r="C2073" s="12" t="str">
        <f>VLOOKUP((WEEKDAY(Movimientos_2026[[#This Row],[Fecha]],2)),'5. Setup'!$D$6:$E$12,2,FALSE)</f>
        <v>Vie</v>
      </c>
      <c r="D2073">
        <v>1043143</v>
      </c>
      <c r="E2073" t="str">
        <f>IFERROR(+VLOOKUP(Movimientos_2026[[#This Row],[Codigo]],Plan_cuentas[],2,FALSE)," ")</f>
        <v>INGRESOS</v>
      </c>
      <c r="F2073" t="str">
        <f>IFERROR(+VLOOKUP(Movimientos_2026[[#This Row],[Codigo]],Plan_cuentas[],3,FALSE)," ")</f>
        <v>Transferencia</v>
      </c>
      <c r="G2073" t="str">
        <f>IFERROR(+VLOOKUP(Movimientos_2026[[#This Row],[Codigo]],Plan_cuentas[],4,FALSE)," ")</f>
        <v>Registración</v>
      </c>
      <c r="H2073" t="str">
        <f>IFERROR(+VLOOKUP(Movimientos_2026[[#This Row],[Codigo]],Plan_cuentas[],5,FALSE)," ")</f>
        <v>BUENOS AIRES</v>
      </c>
      <c r="I2073" s="43">
        <v>46143</v>
      </c>
      <c r="J2073" t="s">
        <v>896</v>
      </c>
      <c r="K2073" t="str">
        <f>IFERROR(+VLOOKUP(Movimientos_2026[[#This Row],[Codigo]],Plan_cuentas[],6,FALSE)," ")</f>
        <v>3 - GM - Chevrolet</v>
      </c>
      <c r="L2073" s="50">
        <v>258250031.13</v>
      </c>
      <c r="M2073" s="52"/>
      <c r="N2073" s="20">
        <f>+Movimientos_2026[[#This Row],[Ingresos]]-Movimientos_2026[[#This Row],[Egresos]]</f>
        <v>258250031.13</v>
      </c>
      <c r="O2073" s="20">
        <f>+O2072+Movimientos_2026[[#This Row],[Neto]]</f>
        <v>4650437189.2603636</v>
      </c>
    </row>
    <row r="2074" spans="1:15" x14ac:dyDescent="0.25">
      <c r="A2074" s="13">
        <v>46195</v>
      </c>
      <c r="B2074" s="12">
        <f>MONTH(Movimientos_2026[[#This Row],[Fecha]])</f>
        <v>6</v>
      </c>
      <c r="C2074" s="12" t="str">
        <f>VLOOKUP((WEEKDAY(Movimientos_2026[[#This Row],[Fecha]],2)),'5. Setup'!$D$6:$E$12,2,FALSE)</f>
        <v>Lun</v>
      </c>
      <c r="D2074">
        <v>2054312</v>
      </c>
      <c r="E2074" t="str">
        <f>IFERROR(+VLOOKUP(Movimientos_2026[[#This Row],[Codigo]],Plan_cuentas[],2,FALSE)," ")</f>
        <v>EGRESOS</v>
      </c>
      <c r="F2074" t="str">
        <f>IFERROR(+VLOOKUP(Movimientos_2026[[#This Row],[Codigo]],Plan_cuentas[],3,FALSE)," ")</f>
        <v>VEP</v>
      </c>
      <c r="G2074" t="str">
        <f>IFERROR(+VLOOKUP(Movimientos_2026[[#This Row],[Codigo]],Plan_cuentas[],4,FALSE)," ")</f>
        <v>Rentas</v>
      </c>
      <c r="H2074" t="str">
        <f>IFERROR(+VLOOKUP(Movimientos_2026[[#This Row],[Codigo]],Plan_cuentas[],5,FALSE)," ")</f>
        <v>NEUQUEN 1° Q</v>
      </c>
      <c r="I2074" s="43">
        <v>46174</v>
      </c>
      <c r="J2074" t="s">
        <v>897</v>
      </c>
      <c r="K2074" t="str">
        <f>IFERROR(+VLOOKUP(Movimientos_2026[[#This Row],[Codigo]],Plan_cuentas[],6,FALSE)," ")</f>
        <v>2 - PR - Plan Rombo</v>
      </c>
      <c r="L2074" s="50"/>
      <c r="M2074" s="50">
        <v>18832400</v>
      </c>
      <c r="N2074" s="20">
        <f>+Movimientos_2026[[#This Row],[Ingresos]]-Movimientos_2026[[#This Row],[Egresos]]</f>
        <v>-18832400</v>
      </c>
      <c r="O2074" s="20">
        <f>+O2073+Movimientos_2026[[#This Row],[Neto]]</f>
        <v>4631604789.2603636</v>
      </c>
    </row>
    <row r="2075" spans="1:15" x14ac:dyDescent="0.25">
      <c r="A2075" s="13">
        <v>46195</v>
      </c>
      <c r="B2075" s="12">
        <f>MONTH(Movimientos_2026[[#This Row],[Fecha]])</f>
        <v>6</v>
      </c>
      <c r="C2075" s="12" t="str">
        <f>VLOOKUP((WEEKDAY(Movimientos_2026[[#This Row],[Fecha]],2)),'5. Setup'!$D$6:$E$12,2,FALSE)</f>
        <v>Lun</v>
      </c>
      <c r="D2075">
        <v>2014351</v>
      </c>
      <c r="E2075" t="str">
        <f>IFERROR(+VLOOKUP(Movimientos_2026[[#This Row],[Codigo]],Plan_cuentas[],2,FALSE)," ")</f>
        <v>EGRESOS</v>
      </c>
      <c r="F2075" t="str">
        <f>IFERROR(+VLOOKUP(Movimientos_2026[[#This Row],[Codigo]],Plan_cuentas[],3,FALSE)," ")</f>
        <v>BtoB</v>
      </c>
      <c r="G2075" t="str">
        <f>IFERROR(+VLOOKUP(Movimientos_2026[[#This Row],[Codigo]],Plan_cuentas[],4,FALSE)," ")</f>
        <v>Rentas</v>
      </c>
      <c r="H2075" t="str">
        <f>IFERROR(+VLOOKUP(Movimientos_2026[[#This Row],[Codigo]],Plan_cuentas[],5,FALSE)," ")</f>
        <v>SAN JUAN</v>
      </c>
      <c r="I2075" s="43">
        <v>46143</v>
      </c>
      <c r="J2075" t="s">
        <v>898</v>
      </c>
      <c r="K2075" t="str">
        <f>IFERROR(+VLOOKUP(Movimientos_2026[[#This Row],[Codigo]],Plan_cuentas[],6,FALSE)," ")</f>
        <v>1 - VW - Volkswagen</v>
      </c>
      <c r="L2075" s="50"/>
      <c r="M2075" s="50">
        <v>5224757.62</v>
      </c>
      <c r="N2075" s="20">
        <f>+Movimientos_2026[[#This Row],[Ingresos]]-Movimientos_2026[[#This Row],[Egresos]]</f>
        <v>-5224757.62</v>
      </c>
      <c r="O2075" s="20">
        <f>+O2074+Movimientos_2026[[#This Row],[Neto]]</f>
        <v>4626380031.6403637</v>
      </c>
    </row>
    <row r="2076" spans="1:15" x14ac:dyDescent="0.25">
      <c r="A2076" s="13">
        <v>46195</v>
      </c>
      <c r="B2076" s="12">
        <f>MONTH(Movimientos_2026[[#This Row],[Fecha]])</f>
        <v>6</v>
      </c>
      <c r="C2076" s="12" t="str">
        <f>VLOOKUP((WEEKDAY(Movimientos_2026[[#This Row],[Fecha]],2)),'5. Setup'!$D$6:$E$12,2,FALSE)</f>
        <v>Lun</v>
      </c>
      <c r="D2076">
        <v>2044126</v>
      </c>
      <c r="E2076" t="str">
        <f>IFERROR(+VLOOKUP(Movimientos_2026[[#This Row],[Codigo]],Plan_cuentas[],2,FALSE)," ")</f>
        <v>EGRESOS</v>
      </c>
      <c r="F2076" t="str">
        <f>IFERROR(+VLOOKUP(Movimientos_2026[[#This Row],[Codigo]],Plan_cuentas[],3,FALSE)," ")</f>
        <v>Transferencia</v>
      </c>
      <c r="G2076" t="str">
        <f>IFERROR(+VLOOKUP(Movimientos_2026[[#This Row],[Codigo]],Plan_cuentas[],4,FALSE)," ")</f>
        <v>Rentas</v>
      </c>
      <c r="H2076" t="str">
        <f>IFERROR(+VLOOKUP(Movimientos_2026[[#This Row],[Codigo]],Plan_cuentas[],5,FALSE)," ")</f>
        <v>BAPRO</v>
      </c>
      <c r="I2076" s="43">
        <v>46143</v>
      </c>
      <c r="J2076" t="s">
        <v>899</v>
      </c>
      <c r="K2076" t="str">
        <f>IFERROR(+VLOOKUP(Movimientos_2026[[#This Row],[Codigo]],Plan_cuentas[],6,FALSE)," ")</f>
        <v>6 - FCAtr - Fiat Transf.</v>
      </c>
      <c r="L2076" s="50"/>
      <c r="M2076" s="50">
        <v>300121.09999999998</v>
      </c>
      <c r="N2076" s="20">
        <f>+Movimientos_2026[[#This Row],[Ingresos]]-Movimientos_2026[[#This Row],[Egresos]]</f>
        <v>-300121.09999999998</v>
      </c>
      <c r="O2076" s="20">
        <f>+O2075+Movimientos_2026[[#This Row],[Neto]]</f>
        <v>4626079910.5403633</v>
      </c>
    </row>
    <row r="2077" spans="1:15" x14ac:dyDescent="0.25">
      <c r="A2077" s="13">
        <v>46195</v>
      </c>
      <c r="B2077" s="12">
        <f>MONTH(Movimientos_2026[[#This Row],[Fecha]])</f>
        <v>6</v>
      </c>
      <c r="C2077" s="12" t="str">
        <f>VLOOKUP((WEEKDAY(Movimientos_2026[[#This Row],[Fecha]],2)),'5. Setup'!$D$6:$E$12,2,FALSE)</f>
        <v>Lun</v>
      </c>
      <c r="D2077">
        <v>2044126</v>
      </c>
      <c r="E2077" t="str">
        <f>IFERROR(+VLOOKUP(Movimientos_2026[[#This Row],[Codigo]],Plan_cuentas[],2,FALSE)," ")</f>
        <v>EGRESOS</v>
      </c>
      <c r="F2077" t="str">
        <f>IFERROR(+VLOOKUP(Movimientos_2026[[#This Row],[Codigo]],Plan_cuentas[],3,FALSE)," ")</f>
        <v>Transferencia</v>
      </c>
      <c r="G2077" t="str">
        <f>IFERROR(+VLOOKUP(Movimientos_2026[[#This Row],[Codigo]],Plan_cuentas[],4,FALSE)," ")</f>
        <v>Rentas</v>
      </c>
      <c r="H2077" t="str">
        <f>IFERROR(+VLOOKUP(Movimientos_2026[[#This Row],[Codigo]],Plan_cuentas[],5,FALSE)," ")</f>
        <v>BAPRO</v>
      </c>
      <c r="I2077" s="43">
        <v>46143</v>
      </c>
      <c r="J2077" t="s">
        <v>900</v>
      </c>
      <c r="K2077" t="str">
        <f>IFERROR(+VLOOKUP(Movimientos_2026[[#This Row],[Codigo]],Plan_cuentas[],6,FALSE)," ")</f>
        <v>6 - FCAtr - Fiat Transf.</v>
      </c>
      <c r="L2077" s="50"/>
      <c r="M2077" s="50">
        <v>187096.8</v>
      </c>
      <c r="N2077" s="20">
        <f>+Movimientos_2026[[#This Row],[Ingresos]]-Movimientos_2026[[#This Row],[Egresos]]</f>
        <v>-187096.8</v>
      </c>
      <c r="O2077" s="20">
        <f>+O2076+Movimientos_2026[[#This Row],[Neto]]</f>
        <v>4625892813.7403631</v>
      </c>
    </row>
    <row r="2078" spans="1:15" x14ac:dyDescent="0.25">
      <c r="A2078" s="13">
        <v>46195</v>
      </c>
      <c r="B2078" s="12">
        <f>MONTH(Movimientos_2026[[#This Row],[Fecha]])</f>
        <v>6</v>
      </c>
      <c r="C2078" s="12" t="str">
        <f>VLOOKUP((WEEKDAY(Movimientos_2026[[#This Row],[Fecha]],2)),'5. Setup'!$D$6:$E$12,2,FALSE)</f>
        <v>Lun</v>
      </c>
      <c r="D2078">
        <v>2044126</v>
      </c>
      <c r="E2078" t="str">
        <f>IFERROR(+VLOOKUP(Movimientos_2026[[#This Row],[Codigo]],Plan_cuentas[],2,FALSE)," ")</f>
        <v>EGRESOS</v>
      </c>
      <c r="F2078" t="str">
        <f>IFERROR(+VLOOKUP(Movimientos_2026[[#This Row],[Codigo]],Plan_cuentas[],3,FALSE)," ")</f>
        <v>Transferencia</v>
      </c>
      <c r="G2078" t="str">
        <f>IFERROR(+VLOOKUP(Movimientos_2026[[#This Row],[Codigo]],Plan_cuentas[],4,FALSE)," ")</f>
        <v>Rentas</v>
      </c>
      <c r="H2078" t="str">
        <f>IFERROR(+VLOOKUP(Movimientos_2026[[#This Row],[Codigo]],Plan_cuentas[],5,FALSE)," ")</f>
        <v>BAPRO</v>
      </c>
      <c r="I2078" s="43">
        <v>46143</v>
      </c>
      <c r="J2078" t="s">
        <v>901</v>
      </c>
      <c r="K2078" t="str">
        <f>IFERROR(+VLOOKUP(Movimientos_2026[[#This Row],[Codigo]],Plan_cuentas[],6,FALSE)," ")</f>
        <v>6 - FCAtr - Fiat Transf.</v>
      </c>
      <c r="L2078" s="50"/>
      <c r="M2078" s="50">
        <v>95262.6</v>
      </c>
      <c r="N2078" s="20">
        <f>+Movimientos_2026[[#This Row],[Ingresos]]-Movimientos_2026[[#This Row],[Egresos]]</f>
        <v>-95262.6</v>
      </c>
      <c r="O2078" s="20">
        <f>+O2077+Movimientos_2026[[#This Row],[Neto]]</f>
        <v>4625797551.1403627</v>
      </c>
    </row>
    <row r="2079" spans="1:15" x14ac:dyDescent="0.25">
      <c r="A2079" s="13">
        <v>46195</v>
      </c>
      <c r="B2079" s="12">
        <f>MONTH(Movimientos_2026[[#This Row],[Fecha]])</f>
        <v>6</v>
      </c>
      <c r="C2079" s="12" t="str">
        <f>VLOOKUP((WEEKDAY(Movimientos_2026[[#This Row],[Fecha]],2)),'5. Setup'!$D$6:$E$12,2,FALSE)</f>
        <v>Lun</v>
      </c>
      <c r="D2079">
        <v>2044127</v>
      </c>
      <c r="E2079" t="str">
        <f>IFERROR(+VLOOKUP(Movimientos_2026[[#This Row],[Codigo]],Plan_cuentas[],2,FALSE)," ")</f>
        <v>EGRESOS</v>
      </c>
      <c r="F2079" t="str">
        <f>IFERROR(+VLOOKUP(Movimientos_2026[[#This Row],[Codigo]],Plan_cuentas[],3,FALSE)," ")</f>
        <v>Transferencia</v>
      </c>
      <c r="G2079" t="str">
        <f>IFERROR(+VLOOKUP(Movimientos_2026[[#This Row],[Codigo]],Plan_cuentas[],4,FALSE)," ")</f>
        <v>Rentas</v>
      </c>
      <c r="H2079" t="str">
        <f>IFERROR(+VLOOKUP(Movimientos_2026[[#This Row],[Codigo]],Plan_cuentas[],5,FALSE)," ")</f>
        <v>BAPRO</v>
      </c>
      <c r="I2079" s="43">
        <v>46143</v>
      </c>
      <c r="J2079" t="s">
        <v>902</v>
      </c>
      <c r="K2079" t="str">
        <f>IFERROR(+VLOOKUP(Movimientos_2026[[#This Row],[Codigo]],Plan_cuentas[],6,FALSE)," ")</f>
        <v>7 - PRtr - Plan Rombo Transf.</v>
      </c>
      <c r="L2079" s="50"/>
      <c r="M2079" s="50">
        <v>1769199.2</v>
      </c>
      <c r="N2079" s="20">
        <f>+Movimientos_2026[[#This Row],[Ingresos]]-Movimientos_2026[[#This Row],[Egresos]]</f>
        <v>-1769199.2</v>
      </c>
      <c r="O2079" s="20">
        <f>+O2078+Movimientos_2026[[#This Row],[Neto]]</f>
        <v>4624028351.9403629</v>
      </c>
    </row>
    <row r="2080" spans="1:15" x14ac:dyDescent="0.25">
      <c r="A2080" s="13">
        <v>46195</v>
      </c>
      <c r="B2080" s="12">
        <f>MONTH(Movimientos_2026[[#This Row],[Fecha]])</f>
        <v>6</v>
      </c>
      <c r="C2080" s="12" t="str">
        <f>VLOOKUP((WEEKDAY(Movimientos_2026[[#This Row],[Fecha]],2)),'5. Setup'!$D$6:$E$12,2,FALSE)</f>
        <v>Lun</v>
      </c>
      <c r="D2080">
        <v>2044127</v>
      </c>
      <c r="E2080" t="str">
        <f>IFERROR(+VLOOKUP(Movimientos_2026[[#This Row],[Codigo]],Plan_cuentas[],2,FALSE)," ")</f>
        <v>EGRESOS</v>
      </c>
      <c r="F2080" t="str">
        <f>IFERROR(+VLOOKUP(Movimientos_2026[[#This Row],[Codigo]],Plan_cuentas[],3,FALSE)," ")</f>
        <v>Transferencia</v>
      </c>
      <c r="G2080" t="str">
        <f>IFERROR(+VLOOKUP(Movimientos_2026[[#This Row],[Codigo]],Plan_cuentas[],4,FALSE)," ")</f>
        <v>Rentas</v>
      </c>
      <c r="H2080" t="str">
        <f>IFERROR(+VLOOKUP(Movimientos_2026[[#This Row],[Codigo]],Plan_cuentas[],5,FALSE)," ")</f>
        <v>BAPRO</v>
      </c>
      <c r="I2080" s="43">
        <v>46143</v>
      </c>
      <c r="J2080" t="s">
        <v>903</v>
      </c>
      <c r="K2080" t="str">
        <f>IFERROR(+VLOOKUP(Movimientos_2026[[#This Row],[Codigo]],Plan_cuentas[],6,FALSE)," ")</f>
        <v>7 - PRtr - Plan Rombo Transf.</v>
      </c>
      <c r="L2080" s="50"/>
      <c r="M2080" s="50">
        <v>1318283.1000000001</v>
      </c>
      <c r="N2080" s="20">
        <f>+Movimientos_2026[[#This Row],[Ingresos]]-Movimientos_2026[[#This Row],[Egresos]]</f>
        <v>-1318283.1000000001</v>
      </c>
      <c r="O2080" s="20">
        <f>+O2079+Movimientos_2026[[#This Row],[Neto]]</f>
        <v>4622710068.8403625</v>
      </c>
    </row>
    <row r="2081" spans="1:15" x14ac:dyDescent="0.25">
      <c r="A2081" s="13">
        <v>46195</v>
      </c>
      <c r="B2081" s="12">
        <f>MONTH(Movimientos_2026[[#This Row],[Fecha]])</f>
        <v>6</v>
      </c>
      <c r="C2081" s="12" t="str">
        <f>VLOOKUP((WEEKDAY(Movimientos_2026[[#This Row],[Fecha]],2)),'5. Setup'!$D$6:$E$12,2,FALSE)</f>
        <v>Lun</v>
      </c>
      <c r="D2081">
        <v>2044126</v>
      </c>
      <c r="E2081" t="str">
        <f>IFERROR(+VLOOKUP(Movimientos_2026[[#This Row],[Codigo]],Plan_cuentas[],2,FALSE)," ")</f>
        <v>EGRESOS</v>
      </c>
      <c r="F2081" t="str">
        <f>IFERROR(+VLOOKUP(Movimientos_2026[[#This Row],[Codigo]],Plan_cuentas[],3,FALSE)," ")</f>
        <v>Transferencia</v>
      </c>
      <c r="G2081" t="str">
        <f>IFERROR(+VLOOKUP(Movimientos_2026[[#This Row],[Codigo]],Plan_cuentas[],4,FALSE)," ")</f>
        <v>Rentas</v>
      </c>
      <c r="H2081" t="str">
        <f>IFERROR(+VLOOKUP(Movimientos_2026[[#This Row],[Codigo]],Plan_cuentas[],5,FALSE)," ")</f>
        <v>BAPRO</v>
      </c>
      <c r="I2081" s="43">
        <v>46143</v>
      </c>
      <c r="J2081" t="s">
        <v>904</v>
      </c>
      <c r="K2081" t="str">
        <f>IFERROR(+VLOOKUP(Movimientos_2026[[#This Row],[Codigo]],Plan_cuentas[],6,FALSE)," ")</f>
        <v>6 - FCAtr - Fiat Transf.</v>
      </c>
      <c r="L2081" s="50"/>
      <c r="M2081" s="50">
        <v>405816.9</v>
      </c>
      <c r="N2081" s="20">
        <f>+Movimientos_2026[[#This Row],[Ingresos]]-Movimientos_2026[[#This Row],[Egresos]]</f>
        <v>-405816.9</v>
      </c>
      <c r="O2081" s="20">
        <f>+O2080+Movimientos_2026[[#This Row],[Neto]]</f>
        <v>4622304251.9403629</v>
      </c>
    </row>
    <row r="2082" spans="1:15" x14ac:dyDescent="0.25">
      <c r="A2082" s="13">
        <v>46195</v>
      </c>
      <c r="B2082" s="12">
        <f>MONTH(Movimientos_2026[[#This Row],[Fecha]])</f>
        <v>6</v>
      </c>
      <c r="C2082" s="12" t="str">
        <f>VLOOKUP((WEEKDAY(Movimientos_2026[[#This Row],[Fecha]],2)),'5. Setup'!$D$6:$E$12,2,FALSE)</f>
        <v>Lun</v>
      </c>
      <c r="D2082">
        <v>2023221</v>
      </c>
      <c r="E2082" t="str">
        <f>IFERROR(+VLOOKUP(Movimientos_2026[[#This Row],[Codigo]],Plan_cuentas[],2,FALSE)," ")</f>
        <v>EGRESOS</v>
      </c>
      <c r="F2082" t="str">
        <f>IFERROR(+VLOOKUP(Movimientos_2026[[#This Row],[Codigo]],Plan_cuentas[],3,FALSE)," ")</f>
        <v>DDJJ</v>
      </c>
      <c r="G2082" t="str">
        <f>IFERROR(+VLOOKUP(Movimientos_2026[[#This Row],[Codigo]],Plan_cuentas[],4,FALSE)," ")</f>
        <v>Registración</v>
      </c>
      <c r="H2082" t="str">
        <f>IFERROR(+VLOOKUP(Movimientos_2026[[#This Row],[Codigo]],Plan_cuentas[],5,FALSE)," ")</f>
        <v>ENTRE RIOS 1° Q</v>
      </c>
      <c r="I2082" s="43">
        <v>46174</v>
      </c>
      <c r="J2082" t="s">
        <v>905</v>
      </c>
      <c r="K2082" t="str">
        <f>IFERROR(+VLOOKUP(Movimientos_2026[[#This Row],[Codigo]],Plan_cuentas[],6,FALSE)," ")</f>
        <v>1 - VW - Volkswagen</v>
      </c>
      <c r="L2082" s="50"/>
      <c r="M2082" s="50">
        <v>4561520.5</v>
      </c>
      <c r="N2082" s="20">
        <f>+Movimientos_2026[[#This Row],[Ingresos]]-Movimientos_2026[[#This Row],[Egresos]]</f>
        <v>-4561520.5</v>
      </c>
      <c r="O2082" s="20">
        <f>+O2081+Movimientos_2026[[#This Row],[Neto]]</f>
        <v>4617742731.4403629</v>
      </c>
    </row>
    <row r="2083" spans="1:15" x14ac:dyDescent="0.25">
      <c r="A2083" s="13">
        <v>46195</v>
      </c>
      <c r="B2083" s="12">
        <f>MONTH(Movimientos_2026[[#This Row],[Fecha]])</f>
        <v>6</v>
      </c>
      <c r="C2083" s="12" t="str">
        <f>VLOOKUP((WEEKDAY(Movimientos_2026[[#This Row],[Fecha]],2)),'5. Setup'!$D$6:$E$12,2,FALSE)</f>
        <v>Lun</v>
      </c>
      <c r="D2083">
        <v>2023222</v>
      </c>
      <c r="E2083" t="str">
        <f>IFERROR(+VLOOKUP(Movimientos_2026[[#This Row],[Codigo]],Plan_cuentas[],2,FALSE)," ")</f>
        <v>EGRESOS</v>
      </c>
      <c r="F2083" t="str">
        <f>IFERROR(+VLOOKUP(Movimientos_2026[[#This Row],[Codigo]],Plan_cuentas[],3,FALSE)," ")</f>
        <v>DDJJ</v>
      </c>
      <c r="G2083" t="str">
        <f>IFERROR(+VLOOKUP(Movimientos_2026[[#This Row],[Codigo]],Plan_cuentas[],4,FALSE)," ")</f>
        <v>Registración</v>
      </c>
      <c r="H2083" t="str">
        <f>IFERROR(+VLOOKUP(Movimientos_2026[[#This Row],[Codigo]],Plan_cuentas[],5,FALSE)," ")</f>
        <v>ENTRE RIOS 1° Q</v>
      </c>
      <c r="I2083" s="43">
        <v>46174</v>
      </c>
      <c r="J2083" t="s">
        <v>905</v>
      </c>
      <c r="K2083" t="str">
        <f>IFERROR(+VLOOKUP(Movimientos_2026[[#This Row],[Codigo]],Plan_cuentas[],6,FALSE)," ")</f>
        <v>2 - PR - Plan Rombo</v>
      </c>
      <c r="L2083" s="50"/>
      <c r="M2083" s="50">
        <v>15832223.720000001</v>
      </c>
      <c r="N2083" s="20">
        <f>+Movimientos_2026[[#This Row],[Ingresos]]-Movimientos_2026[[#This Row],[Egresos]]</f>
        <v>-15832223.720000001</v>
      </c>
      <c r="O2083" s="20">
        <f>+O2082+Movimientos_2026[[#This Row],[Neto]]</f>
        <v>4601910507.7203627</v>
      </c>
    </row>
    <row r="2084" spans="1:15" x14ac:dyDescent="0.25">
      <c r="A2084" s="13">
        <v>46195</v>
      </c>
      <c r="B2084" s="12">
        <f>MONTH(Movimientos_2026[[#This Row],[Fecha]])</f>
        <v>6</v>
      </c>
      <c r="C2084" s="12" t="str">
        <f>VLOOKUP((WEEKDAY(Movimientos_2026[[#This Row],[Fecha]],2)),'5. Setup'!$D$6:$E$12,2,FALSE)</f>
        <v>Lun</v>
      </c>
      <c r="D2084">
        <v>2023223</v>
      </c>
      <c r="E2084" t="str">
        <f>IFERROR(+VLOOKUP(Movimientos_2026[[#This Row],[Codigo]],Plan_cuentas[],2,FALSE)," ")</f>
        <v>EGRESOS</v>
      </c>
      <c r="F2084" t="str">
        <f>IFERROR(+VLOOKUP(Movimientos_2026[[#This Row],[Codigo]],Plan_cuentas[],3,FALSE)," ")</f>
        <v>DDJJ</v>
      </c>
      <c r="G2084" t="str">
        <f>IFERROR(+VLOOKUP(Movimientos_2026[[#This Row],[Codigo]],Plan_cuentas[],4,FALSE)," ")</f>
        <v>Registración</v>
      </c>
      <c r="H2084" t="str">
        <f>IFERROR(+VLOOKUP(Movimientos_2026[[#This Row],[Codigo]],Plan_cuentas[],5,FALSE)," ")</f>
        <v>ENTRE RIOS 1° Q</v>
      </c>
      <c r="I2084" s="43">
        <v>46174</v>
      </c>
      <c r="J2084" t="s">
        <v>905</v>
      </c>
      <c r="K2084" t="str">
        <f>IFERROR(+VLOOKUP(Movimientos_2026[[#This Row],[Codigo]],Plan_cuentas[],6,FALSE)," ")</f>
        <v>3 - GM - Chevrolet</v>
      </c>
      <c r="L2084" s="50"/>
      <c r="M2084" s="50">
        <v>24787448.870000001</v>
      </c>
      <c r="N2084" s="20">
        <f>+Movimientos_2026[[#This Row],[Ingresos]]-Movimientos_2026[[#This Row],[Egresos]]</f>
        <v>-24787448.870000001</v>
      </c>
      <c r="O2084" s="20">
        <f>+O2083+Movimientos_2026[[#This Row],[Neto]]</f>
        <v>4577123058.8503628</v>
      </c>
    </row>
    <row r="2085" spans="1:15" x14ac:dyDescent="0.25">
      <c r="A2085" s="13">
        <v>46195</v>
      </c>
      <c r="B2085" s="12">
        <f>MONTH(Movimientos_2026[[#This Row],[Fecha]])</f>
        <v>6</v>
      </c>
      <c r="C2085" s="12" t="str">
        <f>VLOOKUP((WEEKDAY(Movimientos_2026[[#This Row],[Fecha]],2)),'5. Setup'!$D$6:$E$12,2,FALSE)</f>
        <v>Lun</v>
      </c>
      <c r="D2085">
        <v>2023226</v>
      </c>
      <c r="E2085" t="str">
        <f>IFERROR(+VLOOKUP(Movimientos_2026[[#This Row],[Codigo]],Plan_cuentas[],2,FALSE)," ")</f>
        <v>EGRESOS</v>
      </c>
      <c r="F2085" t="str">
        <f>IFERROR(+VLOOKUP(Movimientos_2026[[#This Row],[Codigo]],Plan_cuentas[],3,FALSE)," ")</f>
        <v>DDJJ</v>
      </c>
      <c r="G2085" t="str">
        <f>IFERROR(+VLOOKUP(Movimientos_2026[[#This Row],[Codigo]],Plan_cuentas[],4,FALSE)," ")</f>
        <v>Registración</v>
      </c>
      <c r="H2085" t="str">
        <f>IFERROR(+VLOOKUP(Movimientos_2026[[#This Row],[Codigo]],Plan_cuentas[],5,FALSE)," ")</f>
        <v>ENTRE RIOS 1° Q</v>
      </c>
      <c r="I2085" s="43">
        <v>46174</v>
      </c>
      <c r="J2085" t="s">
        <v>905</v>
      </c>
      <c r="K2085" t="str">
        <f>IFERROR(+VLOOKUP(Movimientos_2026[[#This Row],[Codigo]],Plan_cuentas[],6,FALSE)," ")</f>
        <v>6 - FCAtr - Fiat Transf.</v>
      </c>
      <c r="L2085" s="50"/>
      <c r="M2085" s="50">
        <v>473472.51</v>
      </c>
      <c r="N2085" s="20">
        <f>+Movimientos_2026[[#This Row],[Ingresos]]-Movimientos_2026[[#This Row],[Egresos]]</f>
        <v>-473472.51</v>
      </c>
      <c r="O2085" s="20">
        <f>+O2084+Movimientos_2026[[#This Row],[Neto]]</f>
        <v>4576649586.3403625</v>
      </c>
    </row>
    <row r="2086" spans="1:15" x14ac:dyDescent="0.25">
      <c r="A2086" s="13">
        <v>46195</v>
      </c>
      <c r="B2086" s="12">
        <f>MONTH(Movimientos_2026[[#This Row],[Fecha]])</f>
        <v>6</v>
      </c>
      <c r="C2086" s="12" t="str">
        <f>VLOOKUP((WEEKDAY(Movimientos_2026[[#This Row],[Fecha]],2)),'5. Setup'!$D$6:$E$12,2,FALSE)</f>
        <v>Lun</v>
      </c>
      <c r="D2086">
        <v>2023227</v>
      </c>
      <c r="E2086" t="str">
        <f>IFERROR(+VLOOKUP(Movimientos_2026[[#This Row],[Codigo]],Plan_cuentas[],2,FALSE)," ")</f>
        <v>EGRESOS</v>
      </c>
      <c r="F2086" t="str">
        <f>IFERROR(+VLOOKUP(Movimientos_2026[[#This Row],[Codigo]],Plan_cuentas[],3,FALSE)," ")</f>
        <v>DDJJ</v>
      </c>
      <c r="G2086" t="str">
        <f>IFERROR(+VLOOKUP(Movimientos_2026[[#This Row],[Codigo]],Plan_cuentas[],4,FALSE)," ")</f>
        <v>Registración</v>
      </c>
      <c r="H2086" t="str">
        <f>IFERROR(+VLOOKUP(Movimientos_2026[[#This Row],[Codigo]],Plan_cuentas[],5,FALSE)," ")</f>
        <v>ENTRE RIOS 1° Q</v>
      </c>
      <c r="I2086" s="43">
        <v>46174</v>
      </c>
      <c r="J2086" t="s">
        <v>905</v>
      </c>
      <c r="K2086" t="str">
        <f>IFERROR(+VLOOKUP(Movimientos_2026[[#This Row],[Codigo]],Plan_cuentas[],6,FALSE)," ")</f>
        <v>7 - PRtr - Plan Rombo Transf.</v>
      </c>
      <c r="L2086" s="50"/>
      <c r="M2086" s="50">
        <v>273000</v>
      </c>
      <c r="N2086" s="20">
        <f>+Movimientos_2026[[#This Row],[Ingresos]]-Movimientos_2026[[#This Row],[Egresos]]</f>
        <v>-273000</v>
      </c>
      <c r="O2086" s="20">
        <f>+O2085+Movimientos_2026[[#This Row],[Neto]]</f>
        <v>4576376586.3403625</v>
      </c>
    </row>
    <row r="2087" spans="1:15" x14ac:dyDescent="0.25">
      <c r="A2087" s="13">
        <v>46196</v>
      </c>
      <c r="B2087" s="12">
        <f>MONTH(Movimientos_2026[[#This Row],[Fecha]])</f>
        <v>6</v>
      </c>
      <c r="C2087" s="12" t="str">
        <f>VLOOKUP((WEEKDAY(Movimientos_2026[[#This Row],[Fecha]],2)),'5. Setup'!$D$6:$E$12,2,FALSE)</f>
        <v>Mar</v>
      </c>
      <c r="D2087">
        <v>2054311</v>
      </c>
      <c r="E2087" t="str">
        <f>IFERROR(+VLOOKUP(Movimientos_2026[[#This Row],[Codigo]],Plan_cuentas[],2,FALSE)," ")</f>
        <v>EGRESOS</v>
      </c>
      <c r="F2087" t="str">
        <f>IFERROR(+VLOOKUP(Movimientos_2026[[#This Row],[Codigo]],Plan_cuentas[],3,FALSE)," ")</f>
        <v>VEP</v>
      </c>
      <c r="G2087" t="str">
        <f>IFERROR(+VLOOKUP(Movimientos_2026[[#This Row],[Codigo]],Plan_cuentas[],4,FALSE)," ")</f>
        <v>Rentas</v>
      </c>
      <c r="H2087" t="str">
        <f>IFERROR(+VLOOKUP(Movimientos_2026[[#This Row],[Codigo]],Plan_cuentas[],5,FALSE)," ")</f>
        <v>NEUQUEN 1° Q</v>
      </c>
      <c r="I2087" s="43">
        <v>46174</v>
      </c>
      <c r="J2087" t="s">
        <v>906</v>
      </c>
      <c r="K2087" t="str">
        <f>IFERROR(+VLOOKUP(Movimientos_2026[[#This Row],[Codigo]],Plan_cuentas[],6,FALSE)," ")</f>
        <v>1 - VW - Volkswagen</v>
      </c>
      <c r="L2087" s="50"/>
      <c r="M2087" s="50">
        <v>15661023</v>
      </c>
      <c r="N2087" s="20">
        <f>+Movimientos_2026[[#This Row],[Ingresos]]-Movimientos_2026[[#This Row],[Egresos]]</f>
        <v>-15661023</v>
      </c>
      <c r="O2087" s="20">
        <f>+O2086+Movimientos_2026[[#This Row],[Neto]]</f>
        <v>4560715563.3403625</v>
      </c>
    </row>
    <row r="2088" spans="1:15" x14ac:dyDescent="0.25">
      <c r="A2088" s="13">
        <v>46196</v>
      </c>
      <c r="B2088" s="12">
        <f>MONTH(Movimientos_2026[[#This Row],[Fecha]])</f>
        <v>6</v>
      </c>
      <c r="C2088" s="12" t="str">
        <f>VLOOKUP((WEEKDAY(Movimientos_2026[[#This Row],[Fecha]],2)),'5. Setup'!$D$6:$E$12,2,FALSE)</f>
        <v>Mar</v>
      </c>
      <c r="D2088">
        <v>2014202</v>
      </c>
      <c r="E2088" t="str">
        <f>IFERROR(+VLOOKUP(Movimientos_2026[[#This Row],[Codigo]],Plan_cuentas[],2,FALSE)," ")</f>
        <v>EGRESOS</v>
      </c>
      <c r="F2088" t="str">
        <f>IFERROR(+VLOOKUP(Movimientos_2026[[#This Row],[Codigo]],Plan_cuentas[],3,FALSE)," ")</f>
        <v>BtoB</v>
      </c>
      <c r="G2088" t="str">
        <f>IFERROR(+VLOOKUP(Movimientos_2026[[#This Row],[Codigo]],Plan_cuentas[],4,FALSE)," ")</f>
        <v>Rentas</v>
      </c>
      <c r="H2088" t="str">
        <f>IFERROR(+VLOOKUP(Movimientos_2026[[#This Row],[Codigo]],Plan_cuentas[],5,FALSE)," ")</f>
        <v>CORRIENTES 1° Q</v>
      </c>
      <c r="I2088" s="43">
        <v>46174</v>
      </c>
      <c r="J2088" t="s">
        <v>907</v>
      </c>
      <c r="K2088" t="str">
        <f>IFERROR(+VLOOKUP(Movimientos_2026[[#This Row],[Codigo]],Plan_cuentas[],6,FALSE)," ")</f>
        <v>2 - PR - Plan Rombo</v>
      </c>
      <c r="L2088" s="50"/>
      <c r="M2088" s="50">
        <v>25787182.300000001</v>
      </c>
      <c r="N2088" s="20">
        <f>+Movimientos_2026[[#This Row],[Ingresos]]-Movimientos_2026[[#This Row],[Egresos]]</f>
        <v>-25787182.300000001</v>
      </c>
      <c r="O2088" s="20">
        <f>+O2087+Movimientos_2026[[#This Row],[Neto]]</f>
        <v>4534928381.0403624</v>
      </c>
    </row>
    <row r="2089" spans="1:15" x14ac:dyDescent="0.25">
      <c r="A2089" s="13">
        <v>46196</v>
      </c>
      <c r="B2089" s="12">
        <f>MONTH(Movimientos_2026[[#This Row],[Fecha]])</f>
        <v>6</v>
      </c>
      <c r="C2089" s="12" t="str">
        <f>VLOOKUP((WEEKDAY(Movimientos_2026[[#This Row],[Fecha]],2)),'5. Setup'!$D$6:$E$12,2,FALSE)</f>
        <v>Mar</v>
      </c>
      <c r="D2089">
        <v>2014262</v>
      </c>
      <c r="E2089" t="str">
        <f>IFERROR(+VLOOKUP(Movimientos_2026[[#This Row],[Codigo]],Plan_cuentas[],2,FALSE)," ")</f>
        <v>EGRESOS</v>
      </c>
      <c r="F2089" t="str">
        <f>IFERROR(+VLOOKUP(Movimientos_2026[[#This Row],[Codigo]],Plan_cuentas[],3,FALSE)," ")</f>
        <v>BtoB</v>
      </c>
      <c r="G2089" t="str">
        <f>IFERROR(+VLOOKUP(Movimientos_2026[[#This Row],[Codigo]],Plan_cuentas[],4,FALSE)," ")</f>
        <v>Rentas</v>
      </c>
      <c r="H2089" t="str">
        <f>IFERROR(+VLOOKUP(Movimientos_2026[[#This Row],[Codigo]],Plan_cuentas[],5,FALSE)," ")</f>
        <v>LA PAMPA</v>
      </c>
      <c r="I2089" s="43">
        <v>46143</v>
      </c>
      <c r="J2089" t="s">
        <v>908</v>
      </c>
      <c r="K2089" t="str">
        <f>IFERROR(+VLOOKUP(Movimientos_2026[[#This Row],[Codigo]],Plan_cuentas[],6,FALSE)," ")</f>
        <v>2 - PR - Plan Rombo</v>
      </c>
      <c r="L2089" s="50"/>
      <c r="M2089" s="50">
        <v>6392650</v>
      </c>
      <c r="N2089" s="20">
        <f>+Movimientos_2026[[#This Row],[Ingresos]]-Movimientos_2026[[#This Row],[Egresos]]</f>
        <v>-6392650</v>
      </c>
      <c r="O2089" s="20">
        <f>+O2088+Movimientos_2026[[#This Row],[Neto]]</f>
        <v>4528535731.0403624</v>
      </c>
    </row>
    <row r="2090" spans="1:15" x14ac:dyDescent="0.25">
      <c r="A2090" s="13">
        <v>46196</v>
      </c>
      <c r="B2090" s="12">
        <f>MONTH(Movimientos_2026[[#This Row],[Fecha]])</f>
        <v>6</v>
      </c>
      <c r="C2090" s="12" t="str">
        <f>VLOOKUP((WEEKDAY(Movimientos_2026[[#This Row],[Fecha]],2)),'5. Setup'!$D$6:$E$12,2,FALSE)</f>
        <v>Mar</v>
      </c>
      <c r="D2090">
        <v>2014264</v>
      </c>
      <c r="E2090" t="str">
        <f>IFERROR(+VLOOKUP(Movimientos_2026[[#This Row],[Codigo]],Plan_cuentas[],2,FALSE)," ")</f>
        <v>EGRESOS</v>
      </c>
      <c r="F2090" t="str">
        <f>IFERROR(+VLOOKUP(Movimientos_2026[[#This Row],[Codigo]],Plan_cuentas[],3,FALSE)," ")</f>
        <v>BtoB</v>
      </c>
      <c r="G2090" t="str">
        <f>IFERROR(+VLOOKUP(Movimientos_2026[[#This Row],[Codigo]],Plan_cuentas[],4,FALSE)," ")</f>
        <v>Rentas</v>
      </c>
      <c r="H2090" t="str">
        <f>IFERROR(+VLOOKUP(Movimientos_2026[[#This Row],[Codigo]],Plan_cuentas[],5,FALSE)," ")</f>
        <v>LA PAMPA</v>
      </c>
      <c r="I2090" s="43">
        <v>46143</v>
      </c>
      <c r="J2090" t="s">
        <v>909</v>
      </c>
      <c r="K2090" t="str">
        <f>IFERROR(+VLOOKUP(Movimientos_2026[[#This Row],[Codigo]],Plan_cuentas[],6,FALSE)," ")</f>
        <v>4 - FCA - Fiat</v>
      </c>
      <c r="L2090" s="50"/>
      <c r="M2090" s="50">
        <v>4605800</v>
      </c>
      <c r="N2090" s="20">
        <f>+Movimientos_2026[[#This Row],[Ingresos]]-Movimientos_2026[[#This Row],[Egresos]]</f>
        <v>-4605800</v>
      </c>
      <c r="O2090" s="20">
        <f>+O2089+Movimientos_2026[[#This Row],[Neto]]</f>
        <v>4523929931.0403624</v>
      </c>
    </row>
    <row r="2091" spans="1:15" x14ac:dyDescent="0.25">
      <c r="A2091" s="13">
        <v>46196</v>
      </c>
      <c r="B2091" s="12">
        <f>MONTH(Movimientos_2026[[#This Row],[Fecha]])</f>
        <v>6</v>
      </c>
      <c r="C2091" s="12" t="str">
        <f>VLOOKUP((WEEKDAY(Movimientos_2026[[#This Row],[Fecha]],2)),'5. Setup'!$D$6:$E$12,2,FALSE)</f>
        <v>Mar</v>
      </c>
      <c r="D2091">
        <v>2014266</v>
      </c>
      <c r="E2091" t="str">
        <f>IFERROR(+VLOOKUP(Movimientos_2026[[#This Row],[Codigo]],Plan_cuentas[],2,FALSE)," ")</f>
        <v>EGRESOS</v>
      </c>
      <c r="F2091" t="str">
        <f>IFERROR(+VLOOKUP(Movimientos_2026[[#This Row],[Codigo]],Plan_cuentas[],3,FALSE)," ")</f>
        <v>BtoB</v>
      </c>
      <c r="G2091" t="str">
        <f>IFERROR(+VLOOKUP(Movimientos_2026[[#This Row],[Codigo]],Plan_cuentas[],4,FALSE)," ")</f>
        <v>Rentas</v>
      </c>
      <c r="H2091" t="str">
        <f>IFERROR(+VLOOKUP(Movimientos_2026[[#This Row],[Codigo]],Plan_cuentas[],5,FALSE)," ")</f>
        <v>LA PAMPA</v>
      </c>
      <c r="I2091" s="43">
        <v>46143</v>
      </c>
      <c r="J2091" t="s">
        <v>909</v>
      </c>
      <c r="K2091" t="str">
        <f>IFERROR(+VLOOKUP(Movimientos_2026[[#This Row],[Codigo]],Plan_cuentas[],6,FALSE)," ")</f>
        <v>6 - FCAtr - Fiat Transf.</v>
      </c>
      <c r="L2091" s="50"/>
      <c r="M2091" s="50">
        <v>153192.56000000011</v>
      </c>
      <c r="N2091" s="20">
        <f>+Movimientos_2026[[#This Row],[Ingresos]]-Movimientos_2026[[#This Row],[Egresos]]</f>
        <v>-153192.56000000011</v>
      </c>
      <c r="O2091" s="20">
        <f>+O2090+Movimientos_2026[[#This Row],[Neto]]</f>
        <v>4523776738.4803619</v>
      </c>
    </row>
    <row r="2092" spans="1:15" x14ac:dyDescent="0.25">
      <c r="A2092" s="13">
        <v>46196</v>
      </c>
      <c r="B2092" s="12">
        <f>MONTH(Movimientos_2026[[#This Row],[Fecha]])</f>
        <v>6</v>
      </c>
      <c r="C2092" s="12" t="str">
        <f>VLOOKUP((WEEKDAY(Movimientos_2026[[#This Row],[Fecha]],2)),'5. Setup'!$D$6:$E$12,2,FALSE)</f>
        <v>Mar</v>
      </c>
      <c r="D2092">
        <v>2014264</v>
      </c>
      <c r="E2092" t="str">
        <f>IFERROR(+VLOOKUP(Movimientos_2026[[#This Row],[Codigo]],Plan_cuentas[],2,FALSE)," ")</f>
        <v>EGRESOS</v>
      </c>
      <c r="F2092" t="str">
        <f>IFERROR(+VLOOKUP(Movimientos_2026[[#This Row],[Codigo]],Plan_cuentas[],3,FALSE)," ")</f>
        <v>BtoB</v>
      </c>
      <c r="G2092" t="str">
        <f>IFERROR(+VLOOKUP(Movimientos_2026[[#This Row],[Codigo]],Plan_cuentas[],4,FALSE)," ")</f>
        <v>Rentas</v>
      </c>
      <c r="H2092" t="str">
        <f>IFERROR(+VLOOKUP(Movimientos_2026[[#This Row],[Codigo]],Plan_cuentas[],5,FALSE)," ")</f>
        <v>LA PAMPA</v>
      </c>
      <c r="I2092" s="43">
        <v>46143</v>
      </c>
      <c r="J2092" t="s">
        <v>909</v>
      </c>
      <c r="K2092" t="str">
        <f>IFERROR(+VLOOKUP(Movimientos_2026[[#This Row],[Codigo]],Plan_cuentas[],6,FALSE)," ")</f>
        <v>4 - FCA - Fiat</v>
      </c>
      <c r="L2092" s="50"/>
      <c r="M2092" s="50">
        <v>2846930.6099999989</v>
      </c>
      <c r="N2092" s="20">
        <f>+Movimientos_2026[[#This Row],[Ingresos]]-Movimientos_2026[[#This Row],[Egresos]]</f>
        <v>-2846930.6099999989</v>
      </c>
      <c r="O2092" s="20">
        <f>+O2091+Movimientos_2026[[#This Row],[Neto]]</f>
        <v>4520929807.8703623</v>
      </c>
    </row>
    <row r="2093" spans="1:15" x14ac:dyDescent="0.25">
      <c r="A2093" s="13">
        <v>46196</v>
      </c>
      <c r="B2093" s="12">
        <f>MONTH(Movimientos_2026[[#This Row],[Fecha]])</f>
        <v>6</v>
      </c>
      <c r="C2093" s="12" t="str">
        <f>VLOOKUP((WEEKDAY(Movimientos_2026[[#This Row],[Fecha]],2)),'5. Setup'!$D$6:$E$12,2,FALSE)</f>
        <v>Mar</v>
      </c>
      <c r="D2093">
        <v>2044462</v>
      </c>
      <c r="E2093" t="str">
        <f>IFERROR(+VLOOKUP(Movimientos_2026[[#This Row],[Codigo]],Plan_cuentas[],2,FALSE)," ")</f>
        <v>EGRESOS</v>
      </c>
      <c r="F2093" t="str">
        <f>IFERROR(+VLOOKUP(Movimientos_2026[[#This Row],[Codigo]],Plan_cuentas[],3,FALSE)," ")</f>
        <v>Transferencia</v>
      </c>
      <c r="G2093" t="str">
        <f>IFERROR(+VLOOKUP(Movimientos_2026[[#This Row],[Codigo]],Plan_cuentas[],4,FALSE)," ")</f>
        <v>Rentas</v>
      </c>
      <c r="H2093" t="str">
        <f>IFERROR(+VLOOKUP(Movimientos_2026[[#This Row],[Codigo]],Plan_cuentas[],5,FALSE)," ")</f>
        <v>MISIONES</v>
      </c>
      <c r="I2093" s="43">
        <v>46174</v>
      </c>
      <c r="J2093" t="s">
        <v>910</v>
      </c>
      <c r="K2093" t="str">
        <f>IFERROR(+VLOOKUP(Movimientos_2026[[#This Row],[Codigo]],Plan_cuentas[],6,FALSE)," ")</f>
        <v>2 - PR - Plan Rombo</v>
      </c>
      <c r="L2093" s="50"/>
      <c r="M2093" s="50">
        <v>2853164.59</v>
      </c>
      <c r="N2093" s="20">
        <f>+Movimientos_2026[[#This Row],[Ingresos]]-Movimientos_2026[[#This Row],[Egresos]]</f>
        <v>-2853164.59</v>
      </c>
      <c r="O2093" s="20">
        <f>+O2092+Movimientos_2026[[#This Row],[Neto]]</f>
        <v>4518076643.2803621</v>
      </c>
    </row>
    <row r="2094" spans="1:15" x14ac:dyDescent="0.25">
      <c r="A2094" s="13">
        <v>46196</v>
      </c>
      <c r="B2094" s="12">
        <f>MONTH(Movimientos_2026[[#This Row],[Fecha]])</f>
        <v>6</v>
      </c>
      <c r="C2094" s="12" t="str">
        <f>VLOOKUP((WEEKDAY(Movimientos_2026[[#This Row],[Fecha]],2)),'5. Setup'!$D$6:$E$12,2,FALSE)</f>
        <v>Mar</v>
      </c>
      <c r="D2094">
        <v>1044314</v>
      </c>
      <c r="E2094" t="str">
        <f>IFERROR(+VLOOKUP(Movimientos_2026[[#This Row],[Codigo]],Plan_cuentas[],2,FALSE)," ")</f>
        <v>INGRESOS</v>
      </c>
      <c r="F2094" t="str">
        <f>IFERROR(+VLOOKUP(Movimientos_2026[[#This Row],[Codigo]],Plan_cuentas[],3,FALSE)," ")</f>
        <v>Transferencia</v>
      </c>
      <c r="G2094" t="str">
        <f>IFERROR(+VLOOKUP(Movimientos_2026[[#This Row],[Codigo]],Plan_cuentas[],4,FALSE)," ")</f>
        <v>Rentas</v>
      </c>
      <c r="H2094" t="str">
        <f>IFERROR(+VLOOKUP(Movimientos_2026[[#This Row],[Codigo]],Plan_cuentas[],5,FALSE)," ")</f>
        <v>NEUQUEN 1° Q</v>
      </c>
      <c r="I2094" s="43">
        <v>46174</v>
      </c>
      <c r="J2094" t="s">
        <v>911</v>
      </c>
      <c r="K2094" t="str">
        <f>IFERROR(+VLOOKUP(Movimientos_2026[[#This Row],[Codigo]],Plan_cuentas[],6,FALSE)," ")</f>
        <v>4 - FCA - Fiat</v>
      </c>
      <c r="L2094" s="50">
        <v>40780340</v>
      </c>
      <c r="M2094" s="50"/>
      <c r="N2094" s="20">
        <f>+Movimientos_2026[[#This Row],[Ingresos]]-Movimientos_2026[[#This Row],[Egresos]]</f>
        <v>40780340</v>
      </c>
      <c r="O2094" s="20">
        <f>+O2093+Movimientos_2026[[#This Row],[Neto]]</f>
        <v>4558856983.2803621</v>
      </c>
    </row>
    <row r="2095" spans="1:15" x14ac:dyDescent="0.25">
      <c r="A2095" s="13">
        <v>46196</v>
      </c>
      <c r="B2095" s="12">
        <f>MONTH(Movimientos_2026[[#This Row],[Fecha]])</f>
        <v>6</v>
      </c>
      <c r="C2095" s="12" t="str">
        <f>VLOOKUP((WEEKDAY(Movimientos_2026[[#This Row],[Fecha]],2)),'5. Setup'!$D$6:$E$12,2,FALSE)</f>
        <v>Mar</v>
      </c>
      <c r="D2095">
        <v>1044316</v>
      </c>
      <c r="E2095" t="str">
        <f>IFERROR(+VLOOKUP(Movimientos_2026[[#This Row],[Codigo]],Plan_cuentas[],2,FALSE)," ")</f>
        <v>INGRESOS</v>
      </c>
      <c r="F2095" t="str">
        <f>IFERROR(+VLOOKUP(Movimientos_2026[[#This Row],[Codigo]],Plan_cuentas[],3,FALSE)," ")</f>
        <v>Transferencia</v>
      </c>
      <c r="G2095" t="str">
        <f>IFERROR(+VLOOKUP(Movimientos_2026[[#This Row],[Codigo]],Plan_cuentas[],4,FALSE)," ")</f>
        <v>Rentas</v>
      </c>
      <c r="H2095" t="str">
        <f>IFERROR(+VLOOKUP(Movimientos_2026[[#This Row],[Codigo]],Plan_cuentas[],5,FALSE)," ")</f>
        <v>NEUQUEN 1° Q</v>
      </c>
      <c r="I2095" s="43">
        <v>46174</v>
      </c>
      <c r="J2095" t="s">
        <v>911</v>
      </c>
      <c r="K2095" t="str">
        <f>IFERROR(+VLOOKUP(Movimientos_2026[[#This Row],[Codigo]],Plan_cuentas[],6,FALSE)," ")</f>
        <v>6 - FCAtr - Fiat Transf.</v>
      </c>
      <c r="L2095" s="50">
        <v>1004323.61</v>
      </c>
      <c r="M2095" s="50"/>
      <c r="N2095" s="20">
        <f>+Movimientos_2026[[#This Row],[Ingresos]]-Movimientos_2026[[#This Row],[Egresos]]</f>
        <v>1004323.61</v>
      </c>
      <c r="O2095" s="20">
        <f>+O2094+Movimientos_2026[[#This Row],[Neto]]</f>
        <v>4559861306.8903618</v>
      </c>
    </row>
    <row r="2096" spans="1:15" x14ac:dyDescent="0.25">
      <c r="A2096" s="13">
        <v>46197</v>
      </c>
      <c r="B2096" s="12">
        <f>MONTH(Movimientos_2026[[#This Row],[Fecha]])</f>
        <v>6</v>
      </c>
      <c r="C2096" s="12" t="str">
        <f>VLOOKUP((WEEKDAY(Movimientos_2026[[#This Row],[Fecha]],2)),'5. Setup'!$D$6:$E$12,2,FALSE)</f>
        <v>Mie</v>
      </c>
      <c r="D2096">
        <v>2023382</v>
      </c>
      <c r="E2096" t="str">
        <f>IFERROR(+VLOOKUP(Movimientos_2026[[#This Row],[Codigo]],Plan_cuentas[],2,FALSE)," ")</f>
        <v>EGRESOS</v>
      </c>
      <c r="F2096" t="str">
        <f>IFERROR(+VLOOKUP(Movimientos_2026[[#This Row],[Codigo]],Plan_cuentas[],3,FALSE)," ")</f>
        <v>DDJJ</v>
      </c>
      <c r="G2096" t="str">
        <f>IFERROR(+VLOOKUP(Movimientos_2026[[#This Row],[Codigo]],Plan_cuentas[],4,FALSE)," ")</f>
        <v>Registración</v>
      </c>
      <c r="H2096" t="str">
        <f>IFERROR(+VLOOKUP(Movimientos_2026[[#This Row],[Codigo]],Plan_cuentas[],5,FALSE)," ")</f>
        <v>SANTA FE 1° Q</v>
      </c>
      <c r="I2096" s="43">
        <v>46174</v>
      </c>
      <c r="J2096" t="s">
        <v>912</v>
      </c>
      <c r="K2096" t="str">
        <f>IFERROR(+VLOOKUP(Movimientos_2026[[#This Row],[Codigo]],Plan_cuentas[],6,FALSE)," ")</f>
        <v>2 - PR - Plan Rombo</v>
      </c>
      <c r="L2096" s="50"/>
      <c r="M2096" s="50">
        <v>22790578.809999999</v>
      </c>
      <c r="N2096" s="20">
        <f>+Movimientos_2026[[#This Row],[Ingresos]]-Movimientos_2026[[#This Row],[Egresos]]</f>
        <v>-22790578.809999999</v>
      </c>
      <c r="O2096" s="20">
        <f>+O2095+Movimientos_2026[[#This Row],[Neto]]</f>
        <v>4537070728.0803614</v>
      </c>
    </row>
    <row r="2097" spans="1:15" collapsed="1" x14ac:dyDescent="0.25">
      <c r="A2097" s="13">
        <v>46197</v>
      </c>
      <c r="B2097" s="12">
        <f>MONTH(Movimientos_2026[[#This Row],[Fecha]])</f>
        <v>6</v>
      </c>
      <c r="C2097" s="12" t="str">
        <f>VLOOKUP((WEEKDAY(Movimientos_2026[[#This Row],[Fecha]],2)),'5. Setup'!$D$6:$E$12,2,FALSE)</f>
        <v>Mie</v>
      </c>
      <c r="D2097">
        <v>2023383</v>
      </c>
      <c r="E2097" t="str">
        <f>IFERROR(+VLOOKUP(Movimientos_2026[[#This Row],[Codigo]],Plan_cuentas[],2,FALSE)," ")</f>
        <v>EGRESOS</v>
      </c>
      <c r="F2097" t="str">
        <f>IFERROR(+VLOOKUP(Movimientos_2026[[#This Row],[Codigo]],Plan_cuentas[],3,FALSE)," ")</f>
        <v>DDJJ</v>
      </c>
      <c r="G2097" t="str">
        <f>IFERROR(+VLOOKUP(Movimientos_2026[[#This Row],[Codigo]],Plan_cuentas[],4,FALSE)," ")</f>
        <v>Registración</v>
      </c>
      <c r="H2097" t="str">
        <f>IFERROR(+VLOOKUP(Movimientos_2026[[#This Row],[Codigo]],Plan_cuentas[],5,FALSE)," ")</f>
        <v>SANTA FE 1° Q</v>
      </c>
      <c r="I2097" s="43">
        <v>46174</v>
      </c>
      <c r="J2097" t="s">
        <v>912</v>
      </c>
      <c r="K2097" t="str">
        <f>IFERROR(+VLOOKUP(Movimientos_2026[[#This Row],[Codigo]],Plan_cuentas[],6,FALSE)," ")</f>
        <v>3 - GM - Chevrolet</v>
      </c>
      <c r="L2097" s="50"/>
      <c r="M2097" s="50">
        <v>22701470.719999999</v>
      </c>
      <c r="N2097" s="20">
        <f>+Movimientos_2026[[#This Row],[Ingresos]]-Movimientos_2026[[#This Row],[Egresos]]</f>
        <v>-22701470.719999999</v>
      </c>
      <c r="O2097" s="20">
        <f>+O2096+Movimientos_2026[[#This Row],[Neto]]</f>
        <v>4514369257.3603611</v>
      </c>
    </row>
    <row r="2098" spans="1:15" x14ac:dyDescent="0.25">
      <c r="A2098" s="13">
        <v>46197</v>
      </c>
      <c r="B2098" s="12">
        <f>MONTH(Movimientos_2026[[#This Row],[Fecha]])</f>
        <v>6</v>
      </c>
      <c r="C2098" s="12" t="str">
        <f>VLOOKUP((WEEKDAY(Movimientos_2026[[#This Row],[Fecha]],2)),'5. Setup'!$D$6:$E$12,2,FALSE)</f>
        <v>Mie</v>
      </c>
      <c r="D2098">
        <v>2023384</v>
      </c>
      <c r="E2098" t="str">
        <f>IFERROR(+VLOOKUP(Movimientos_2026[[#This Row],[Codigo]],Plan_cuentas[],2,FALSE)," ")</f>
        <v>EGRESOS</v>
      </c>
      <c r="F2098" t="str">
        <f>IFERROR(+VLOOKUP(Movimientos_2026[[#This Row],[Codigo]],Plan_cuentas[],3,FALSE)," ")</f>
        <v>DDJJ</v>
      </c>
      <c r="G2098" t="str">
        <f>IFERROR(+VLOOKUP(Movimientos_2026[[#This Row],[Codigo]],Plan_cuentas[],4,FALSE)," ")</f>
        <v>Registración</v>
      </c>
      <c r="H2098" t="str">
        <f>IFERROR(+VLOOKUP(Movimientos_2026[[#This Row],[Codigo]],Plan_cuentas[],5,FALSE)," ")</f>
        <v>SANTA FE 1° Q</v>
      </c>
      <c r="I2098" s="43">
        <v>46174</v>
      </c>
      <c r="J2098" t="s">
        <v>912</v>
      </c>
      <c r="K2098" t="str">
        <f>IFERROR(+VLOOKUP(Movimientos_2026[[#This Row],[Codigo]],Plan_cuentas[],6,FALSE)," ")</f>
        <v>4 - FCA - Fiat</v>
      </c>
      <c r="L2098" s="50"/>
      <c r="M2098" s="50">
        <v>76913469.010000005</v>
      </c>
      <c r="N2098" s="20">
        <f>+Movimientos_2026[[#This Row],[Ingresos]]-Movimientos_2026[[#This Row],[Egresos]]</f>
        <v>-76913469.010000005</v>
      </c>
      <c r="O2098" s="20">
        <f>+O2097+Movimientos_2026[[#This Row],[Neto]]</f>
        <v>4437455788.3503609</v>
      </c>
    </row>
    <row r="2099" spans="1:15" x14ac:dyDescent="0.25">
      <c r="A2099" s="13">
        <v>46197</v>
      </c>
      <c r="B2099" s="12">
        <f>MONTH(Movimientos_2026[[#This Row],[Fecha]])</f>
        <v>6</v>
      </c>
      <c r="C2099" s="12" t="str">
        <f>VLOOKUP((WEEKDAY(Movimientos_2026[[#This Row],[Fecha]],2)),'5. Setup'!$D$6:$E$12,2,FALSE)</f>
        <v>Mie</v>
      </c>
      <c r="D2099">
        <v>2023385</v>
      </c>
      <c r="E2099" t="str">
        <f>IFERROR(+VLOOKUP(Movimientos_2026[[#This Row],[Codigo]],Plan_cuentas[],2,FALSE)," ")</f>
        <v>EGRESOS</v>
      </c>
      <c r="F2099" t="str">
        <f>IFERROR(+VLOOKUP(Movimientos_2026[[#This Row],[Codigo]],Plan_cuentas[],3,FALSE)," ")</f>
        <v>DDJJ</v>
      </c>
      <c r="G2099" t="str">
        <f>IFERROR(+VLOOKUP(Movimientos_2026[[#This Row],[Codigo]],Plan_cuentas[],4,FALSE)," ")</f>
        <v>Registración</v>
      </c>
      <c r="H2099" t="str">
        <f>IFERROR(+VLOOKUP(Movimientos_2026[[#This Row],[Codigo]],Plan_cuentas[],5,FALSE)," ")</f>
        <v>SANTA FE 1° Q</v>
      </c>
      <c r="I2099" s="43">
        <v>46174</v>
      </c>
      <c r="J2099" t="s">
        <v>912</v>
      </c>
      <c r="K2099" t="str">
        <f>IFERROR(+VLOOKUP(Movimientos_2026[[#This Row],[Codigo]],Plan_cuentas[],6,FALSE)," ")</f>
        <v>5 - YAM - Yamaha</v>
      </c>
      <c r="L2099" s="50"/>
      <c r="M2099" s="50">
        <v>62831804</v>
      </c>
      <c r="N2099" s="20">
        <f>+Movimientos_2026[[#This Row],[Ingresos]]-Movimientos_2026[[#This Row],[Egresos]]</f>
        <v>-62831804</v>
      </c>
      <c r="O2099" s="20">
        <f>+O2098+Movimientos_2026[[#This Row],[Neto]]</f>
        <v>4374623984.3503609</v>
      </c>
    </row>
    <row r="2100" spans="1:15" x14ac:dyDescent="0.25">
      <c r="A2100" s="13">
        <v>46197</v>
      </c>
      <c r="B2100" s="12">
        <f>MONTH(Movimientos_2026[[#This Row],[Fecha]])</f>
        <v>6</v>
      </c>
      <c r="C2100" s="12" t="str">
        <f>VLOOKUP((WEEKDAY(Movimientos_2026[[#This Row],[Fecha]],2)),'5. Setup'!$D$6:$E$12,2,FALSE)</f>
        <v>Mie</v>
      </c>
      <c r="D2100">
        <v>2023386</v>
      </c>
      <c r="E2100" t="str">
        <f>IFERROR(+VLOOKUP(Movimientos_2026[[#This Row],[Codigo]],Plan_cuentas[],2,FALSE)," ")</f>
        <v>EGRESOS</v>
      </c>
      <c r="F2100" t="str">
        <f>IFERROR(+VLOOKUP(Movimientos_2026[[#This Row],[Codigo]],Plan_cuentas[],3,FALSE)," ")</f>
        <v>DDJJ</v>
      </c>
      <c r="G2100" t="str">
        <f>IFERROR(+VLOOKUP(Movimientos_2026[[#This Row],[Codigo]],Plan_cuentas[],4,FALSE)," ")</f>
        <v>Registración</v>
      </c>
      <c r="H2100" t="str">
        <f>IFERROR(+VLOOKUP(Movimientos_2026[[#This Row],[Codigo]],Plan_cuentas[],5,FALSE)," ")</f>
        <v>SANTA FE 1° Q</v>
      </c>
      <c r="I2100" s="43">
        <v>46174</v>
      </c>
      <c r="J2100" t="s">
        <v>912</v>
      </c>
      <c r="K2100" t="str">
        <f>IFERROR(+VLOOKUP(Movimientos_2026[[#This Row],[Codigo]],Plan_cuentas[],6,FALSE)," ")</f>
        <v>6 - FCAtr - Fiat Transf.</v>
      </c>
      <c r="L2100" s="50"/>
      <c r="M2100" s="50">
        <v>3067575.94</v>
      </c>
      <c r="N2100" s="20">
        <f>+Movimientos_2026[[#This Row],[Ingresos]]-Movimientos_2026[[#This Row],[Egresos]]</f>
        <v>-3067575.94</v>
      </c>
      <c r="O2100" s="20">
        <f>+O2099+Movimientos_2026[[#This Row],[Neto]]</f>
        <v>4371556408.4103613</v>
      </c>
    </row>
    <row r="2101" spans="1:15" x14ac:dyDescent="0.25">
      <c r="A2101" s="13">
        <v>46197</v>
      </c>
      <c r="B2101" s="12">
        <f>MONTH(Movimientos_2026[[#This Row],[Fecha]])</f>
        <v>6</v>
      </c>
      <c r="C2101" s="12" t="str">
        <f>VLOOKUP((WEEKDAY(Movimientos_2026[[#This Row],[Fecha]],2)),'5. Setup'!$D$6:$E$12,2,FALSE)</f>
        <v>Mie</v>
      </c>
      <c r="D2101">
        <v>2023387</v>
      </c>
      <c r="E2101" t="str">
        <f>IFERROR(+VLOOKUP(Movimientos_2026[[#This Row],[Codigo]],Plan_cuentas[],2,FALSE)," ")</f>
        <v>EGRESOS</v>
      </c>
      <c r="F2101" t="str">
        <f>IFERROR(+VLOOKUP(Movimientos_2026[[#This Row],[Codigo]],Plan_cuentas[],3,FALSE)," ")</f>
        <v>DDJJ</v>
      </c>
      <c r="G2101" t="str">
        <f>IFERROR(+VLOOKUP(Movimientos_2026[[#This Row],[Codigo]],Plan_cuentas[],4,FALSE)," ")</f>
        <v>Registración</v>
      </c>
      <c r="H2101" t="str">
        <f>IFERROR(+VLOOKUP(Movimientos_2026[[#This Row],[Codigo]],Plan_cuentas[],5,FALSE)," ")</f>
        <v>SANTA FE 1° Q</v>
      </c>
      <c r="I2101" s="43">
        <v>46174</v>
      </c>
      <c r="J2101" t="s">
        <v>912</v>
      </c>
      <c r="K2101" t="str">
        <f>IFERROR(+VLOOKUP(Movimientos_2026[[#This Row],[Codigo]],Plan_cuentas[],6,FALSE)," ")</f>
        <v>7 - PRtr - Plan Rombo Transf.</v>
      </c>
      <c r="L2101" s="50"/>
      <c r="M2101" s="50">
        <v>215800</v>
      </c>
      <c r="N2101" s="20">
        <f>+Movimientos_2026[[#This Row],[Ingresos]]-Movimientos_2026[[#This Row],[Egresos]]</f>
        <v>-215800</v>
      </c>
      <c r="O2101" s="20">
        <f>+O2100+Movimientos_2026[[#This Row],[Neto]]</f>
        <v>4371340608.4103613</v>
      </c>
    </row>
    <row r="2102" spans="1:15" x14ac:dyDescent="0.25">
      <c r="A2102" s="13">
        <v>46197</v>
      </c>
      <c r="B2102" s="12">
        <f>MONTH(Movimientos_2026[[#This Row],[Fecha]])</f>
        <v>6</v>
      </c>
      <c r="C2102" s="12" t="str">
        <f>VLOOKUP((WEEKDAY(Movimientos_2026[[#This Row],[Fecha]],2)),'5. Setup'!$D$6:$E$12,2,FALSE)</f>
        <v>Mie</v>
      </c>
      <c r="D2102">
        <v>2044463</v>
      </c>
      <c r="E2102" t="str">
        <f>IFERROR(+VLOOKUP(Movimientos_2026[[#This Row],[Codigo]],Plan_cuentas[],2,FALSE)," ")</f>
        <v>EGRESOS</v>
      </c>
      <c r="F2102" t="str">
        <f>IFERROR(+VLOOKUP(Movimientos_2026[[#This Row],[Codigo]],Plan_cuentas[],3,FALSE)," ")</f>
        <v>Transferencia</v>
      </c>
      <c r="G2102" t="str">
        <f>IFERROR(+VLOOKUP(Movimientos_2026[[#This Row],[Codigo]],Plan_cuentas[],4,FALSE)," ")</f>
        <v>Rentas</v>
      </c>
      <c r="H2102" t="str">
        <f>IFERROR(+VLOOKUP(Movimientos_2026[[#This Row],[Codigo]],Plan_cuentas[],5,FALSE)," ")</f>
        <v>MISIONES</v>
      </c>
      <c r="I2102" s="43">
        <v>46174</v>
      </c>
      <c r="J2102" t="s">
        <v>913</v>
      </c>
      <c r="K2102" t="str">
        <f>IFERROR(+VLOOKUP(Movimientos_2026[[#This Row],[Codigo]],Plan_cuentas[],6,FALSE)," ")</f>
        <v>3 - GM - Chevrolet</v>
      </c>
      <c r="L2102" s="50"/>
      <c r="M2102" s="50">
        <v>1746607.73</v>
      </c>
      <c r="N2102" s="20">
        <f>+Movimientos_2026[[#This Row],[Ingresos]]-Movimientos_2026[[#This Row],[Egresos]]</f>
        <v>-1746607.73</v>
      </c>
      <c r="O2102" s="20">
        <f>+O2101+Movimientos_2026[[#This Row],[Neto]]</f>
        <v>4369594000.6803617</v>
      </c>
    </row>
    <row r="2103" spans="1:15" x14ac:dyDescent="0.25">
      <c r="A2103" s="13">
        <v>46198</v>
      </c>
      <c r="B2103" s="12">
        <f>MONTH(Movimientos_2026[[#This Row],[Fecha]])</f>
        <v>6</v>
      </c>
      <c r="C2103" s="12" t="str">
        <f>VLOOKUP((WEEKDAY(Movimientos_2026[[#This Row],[Fecha]],2)),'5. Setup'!$D$6:$E$12,2,FALSE)</f>
        <v>Jue</v>
      </c>
      <c r="D2103">
        <v>2054381</v>
      </c>
      <c r="E2103" t="str">
        <f>IFERROR(+VLOOKUP(Movimientos_2026[[#This Row],[Codigo]],Plan_cuentas[],2,FALSE)," ")</f>
        <v>EGRESOS</v>
      </c>
      <c r="F2103" t="str">
        <f>IFERROR(+VLOOKUP(Movimientos_2026[[#This Row],[Codigo]],Plan_cuentas[],3,FALSE)," ")</f>
        <v>VEP</v>
      </c>
      <c r="G2103" t="str">
        <f>IFERROR(+VLOOKUP(Movimientos_2026[[#This Row],[Codigo]],Plan_cuentas[],4,FALSE)," ")</f>
        <v>Rentas</v>
      </c>
      <c r="H2103" t="str">
        <f>IFERROR(+VLOOKUP(Movimientos_2026[[#This Row],[Codigo]],Plan_cuentas[],5,FALSE)," ")</f>
        <v>SANTA FE 1° Q</v>
      </c>
      <c r="I2103" s="43">
        <v>46174</v>
      </c>
      <c r="J2103" t="s">
        <v>914</v>
      </c>
      <c r="K2103" t="str">
        <f>IFERROR(+VLOOKUP(Movimientos_2026[[#This Row],[Codigo]],Plan_cuentas[],6,FALSE)," ")</f>
        <v>1 - VW - Volkswagen</v>
      </c>
      <c r="L2103" s="50"/>
      <c r="M2103" s="50">
        <v>6136655.25</v>
      </c>
      <c r="N2103" s="20">
        <f>+Movimientos_2026[[#This Row],[Ingresos]]-Movimientos_2026[[#This Row],[Egresos]]</f>
        <v>-6136655.25</v>
      </c>
      <c r="O2103" s="20">
        <f>+O2102+Movimientos_2026[[#This Row],[Neto]]</f>
        <v>4363457345.4303617</v>
      </c>
    </row>
    <row r="2104" spans="1:15" x14ac:dyDescent="0.25">
      <c r="A2104" s="13">
        <v>46198</v>
      </c>
      <c r="B2104" s="12">
        <f>MONTH(Movimientos_2026[[#This Row],[Fecha]])</f>
        <v>6</v>
      </c>
      <c r="C2104" s="12" t="str">
        <f>VLOOKUP((WEEKDAY(Movimientos_2026[[#This Row],[Fecha]],2)),'5. Setup'!$D$6:$E$12,2,FALSE)</f>
        <v>Jue</v>
      </c>
      <c r="D2104">
        <v>2014201</v>
      </c>
      <c r="E2104" t="str">
        <f>IFERROR(+VLOOKUP(Movimientos_2026[[#This Row],[Codigo]],Plan_cuentas[],2,FALSE)," ")</f>
        <v>EGRESOS</v>
      </c>
      <c r="F2104" t="str">
        <f>IFERROR(+VLOOKUP(Movimientos_2026[[#This Row],[Codigo]],Plan_cuentas[],3,FALSE)," ")</f>
        <v>BtoB</v>
      </c>
      <c r="G2104" t="str">
        <f>IFERROR(+VLOOKUP(Movimientos_2026[[#This Row],[Codigo]],Plan_cuentas[],4,FALSE)," ")</f>
        <v>Rentas</v>
      </c>
      <c r="H2104" t="str">
        <f>IFERROR(+VLOOKUP(Movimientos_2026[[#This Row],[Codigo]],Plan_cuentas[],5,FALSE)," ")</f>
        <v>CORRIENTES 1° Q</v>
      </c>
      <c r="I2104" s="43">
        <v>46174</v>
      </c>
      <c r="J2104" t="s">
        <v>915</v>
      </c>
      <c r="K2104" t="str">
        <f>IFERROR(+VLOOKUP(Movimientos_2026[[#This Row],[Codigo]],Plan_cuentas[],6,FALSE)," ")</f>
        <v>1 - VW - Volkswagen</v>
      </c>
      <c r="L2104" s="50"/>
      <c r="M2104" s="50">
        <v>2447683.5</v>
      </c>
      <c r="N2104" s="20">
        <f>+Movimientos_2026[[#This Row],[Ingresos]]-Movimientos_2026[[#This Row],[Egresos]]</f>
        <v>-2447683.5</v>
      </c>
      <c r="O2104" s="20">
        <f>+O2103+Movimientos_2026[[#This Row],[Neto]]</f>
        <v>4361009661.9303617</v>
      </c>
    </row>
    <row r="2105" spans="1:15" x14ac:dyDescent="0.25">
      <c r="A2105" s="13">
        <v>46198</v>
      </c>
      <c r="B2105" s="12">
        <f>MONTH(Movimientos_2026[[#This Row],[Fecha]])</f>
        <v>6</v>
      </c>
      <c r="C2105" s="12" t="str">
        <f>VLOOKUP((WEEKDAY(Movimientos_2026[[#This Row],[Fecha]],2)),'5. Setup'!$D$6:$E$12,2,FALSE)</f>
        <v>Jue</v>
      </c>
      <c r="D2105">
        <v>2014261</v>
      </c>
      <c r="E2105" t="str">
        <f>IFERROR(+VLOOKUP(Movimientos_2026[[#This Row],[Codigo]],Plan_cuentas[],2,FALSE)," ")</f>
        <v>EGRESOS</v>
      </c>
      <c r="F2105" t="str">
        <f>IFERROR(+VLOOKUP(Movimientos_2026[[#This Row],[Codigo]],Plan_cuentas[],3,FALSE)," ")</f>
        <v>BtoB</v>
      </c>
      <c r="G2105" t="str">
        <f>IFERROR(+VLOOKUP(Movimientos_2026[[#This Row],[Codigo]],Plan_cuentas[],4,FALSE)," ")</f>
        <v>Rentas</v>
      </c>
      <c r="H2105" t="str">
        <f>IFERROR(+VLOOKUP(Movimientos_2026[[#This Row],[Codigo]],Plan_cuentas[],5,FALSE)," ")</f>
        <v>LA PAMPA</v>
      </c>
      <c r="I2105" s="43">
        <v>46143</v>
      </c>
      <c r="J2105" t="s">
        <v>916</v>
      </c>
      <c r="K2105" t="str">
        <f>IFERROR(+VLOOKUP(Movimientos_2026[[#This Row],[Codigo]],Plan_cuentas[],6,FALSE)," ")</f>
        <v>1 - VW - Volkswagen</v>
      </c>
      <c r="L2105" s="50"/>
      <c r="M2105" s="50">
        <v>6226834</v>
      </c>
      <c r="N2105" s="20">
        <f>+Movimientos_2026[[#This Row],[Ingresos]]-Movimientos_2026[[#This Row],[Egresos]]</f>
        <v>-6226834</v>
      </c>
      <c r="O2105" s="20">
        <f>+O2104+Movimientos_2026[[#This Row],[Neto]]</f>
        <v>4354782827.9303617</v>
      </c>
    </row>
    <row r="2106" spans="1:15" x14ac:dyDescent="0.25">
      <c r="A2106" s="13">
        <v>46198</v>
      </c>
      <c r="B2106" s="12">
        <f>MONTH(Movimientos_2026[[#This Row],[Fecha]])</f>
        <v>6</v>
      </c>
      <c r="C2106" s="12" t="str">
        <f>VLOOKUP((WEEKDAY(Movimientos_2026[[#This Row],[Fecha]],2)),'5. Setup'!$D$6:$E$12,2,FALSE)</f>
        <v>Jue</v>
      </c>
      <c r="D2106">
        <v>2044461</v>
      </c>
      <c r="E2106" t="str">
        <f>IFERROR(+VLOOKUP(Movimientos_2026[[#This Row],[Codigo]],Plan_cuentas[],2,FALSE)," ")</f>
        <v>EGRESOS</v>
      </c>
      <c r="F2106" t="str">
        <f>IFERROR(+VLOOKUP(Movimientos_2026[[#This Row],[Codigo]],Plan_cuentas[],3,FALSE)," ")</f>
        <v>Transferencia</v>
      </c>
      <c r="G2106" t="str">
        <f>IFERROR(+VLOOKUP(Movimientos_2026[[#This Row],[Codigo]],Plan_cuentas[],4,FALSE)," ")</f>
        <v>Rentas</v>
      </c>
      <c r="H2106" t="str">
        <f>IFERROR(+VLOOKUP(Movimientos_2026[[#This Row],[Codigo]],Plan_cuentas[],5,FALSE)," ")</f>
        <v>MISIONES</v>
      </c>
      <c r="I2106" s="43">
        <v>46143</v>
      </c>
      <c r="J2106" s="53" t="s">
        <v>917</v>
      </c>
      <c r="K2106" t="str">
        <f>IFERROR(+VLOOKUP(Movimientos_2026[[#This Row],[Codigo]],Plan_cuentas[],6,FALSE)," ")</f>
        <v>1 - VW - Volkswagen</v>
      </c>
      <c r="L2106" s="50"/>
      <c r="M2106" s="50">
        <v>2954656.87</v>
      </c>
      <c r="N2106" s="20">
        <f>+Movimientos_2026[[#This Row],[Ingresos]]-Movimientos_2026[[#This Row],[Egresos]]</f>
        <v>-2954656.87</v>
      </c>
      <c r="O2106" s="20">
        <f>+O2105+Movimientos_2026[[#This Row],[Neto]]</f>
        <v>4351828171.0603619</v>
      </c>
    </row>
    <row r="2107" spans="1:15" x14ac:dyDescent="0.25">
      <c r="A2107" s="13">
        <v>46202</v>
      </c>
      <c r="B2107" s="12">
        <f>MONTH(Movimientos_2026[[#This Row],[Fecha]])</f>
        <v>6</v>
      </c>
      <c r="C2107" s="12" t="str">
        <f>VLOOKUP((WEEKDAY(Movimientos_2026[[#This Row],[Fecha]],2)),'5. Setup'!$D$6:$E$12,2,FALSE)</f>
        <v>Lun</v>
      </c>
      <c r="D2107">
        <v>1043142</v>
      </c>
      <c r="E2107" t="str">
        <f>IFERROR(+VLOOKUP(Movimientos_2026[[#This Row],[Codigo]],Plan_cuentas[],2,FALSE)," ")</f>
        <v>INGRESOS</v>
      </c>
      <c r="F2107" t="str">
        <f>IFERROR(+VLOOKUP(Movimientos_2026[[#This Row],[Codigo]],Plan_cuentas[],3,FALSE)," ")</f>
        <v>Transferencia</v>
      </c>
      <c r="G2107" t="str">
        <f>IFERROR(+VLOOKUP(Movimientos_2026[[#This Row],[Codigo]],Plan_cuentas[],4,FALSE)," ")</f>
        <v>Registración</v>
      </c>
      <c r="H2107" t="str">
        <f>IFERROR(+VLOOKUP(Movimientos_2026[[#This Row],[Codigo]],Plan_cuentas[],5,FALSE)," ")</f>
        <v>BUENOS AIRES</v>
      </c>
      <c r="I2107" s="43">
        <v>46174</v>
      </c>
      <c r="J2107" t="s">
        <v>918</v>
      </c>
      <c r="K2107" t="str">
        <f>IFERROR(+VLOOKUP(Movimientos_2026[[#This Row],[Codigo]],Plan_cuentas[],6,FALSE)," ")</f>
        <v>2 - PR - Plan Rombo</v>
      </c>
      <c r="L2107" s="50">
        <v>261470425.6866459</v>
      </c>
      <c r="M2107" s="50"/>
      <c r="N2107" s="20">
        <f>+Movimientos_2026[[#This Row],[Ingresos]]-Movimientos_2026[[#This Row],[Egresos]]</f>
        <v>261470425.6866459</v>
      </c>
      <c r="O2107" s="20">
        <f>+O2106+Movimientos_2026[[#This Row],[Neto]]</f>
        <v>4613298596.7470074</v>
      </c>
    </row>
    <row r="2108" spans="1:15" x14ac:dyDescent="0.25">
      <c r="A2108" s="13">
        <v>46202</v>
      </c>
      <c r="B2108" s="12">
        <f>MONTH(Movimientos_2026[[#This Row],[Fecha]])</f>
        <v>6</v>
      </c>
      <c r="C2108" s="12" t="str">
        <f>VLOOKUP((WEEKDAY(Movimientos_2026[[#This Row],[Fecha]],2)),'5. Setup'!$D$6:$E$12,2,FALSE)</f>
        <v>Lun</v>
      </c>
      <c r="D2108">
        <v>1045452</v>
      </c>
      <c r="E2108" t="str">
        <f>IFERROR(+VLOOKUP(Movimientos_2026[[#This Row],[Codigo]],Plan_cuentas[],2,FALSE)," ")</f>
        <v>INGRESOS</v>
      </c>
      <c r="F2108" t="str">
        <f>IFERROR(+VLOOKUP(Movimientos_2026[[#This Row],[Codigo]],Plan_cuentas[],3,FALSE)," ")</f>
        <v>Transferencia</v>
      </c>
      <c r="G2108" t="str">
        <f>IFERROR(+VLOOKUP(Movimientos_2026[[#This Row],[Codigo]],Plan_cuentas[],4,FALSE)," ")</f>
        <v>Factura</v>
      </c>
      <c r="H2108" t="str">
        <f>IFERROR(+VLOOKUP(Movimientos_2026[[#This Row],[Codigo]],Plan_cuentas[],5,FALSE)," ")</f>
        <v>FC DERECHOS</v>
      </c>
      <c r="I2108" s="43">
        <v>46174</v>
      </c>
      <c r="J2108" t="s">
        <v>919</v>
      </c>
      <c r="K2108" t="str">
        <f>IFERROR(+VLOOKUP(Movimientos_2026[[#This Row],[Codigo]],Plan_cuentas[],6,FALSE)," ")</f>
        <v>2 - PR - Plan Rombo</v>
      </c>
      <c r="L2108" s="50">
        <v>45794677.413118258</v>
      </c>
      <c r="M2108" s="50"/>
      <c r="N2108" s="20">
        <f>+Movimientos_2026[[#This Row],[Ingresos]]-Movimientos_2026[[#This Row],[Egresos]]</f>
        <v>45794677.413118258</v>
      </c>
      <c r="O2108" s="20">
        <f>+O2107+Movimientos_2026[[#This Row],[Neto]]</f>
        <v>4659093274.1601257</v>
      </c>
    </row>
    <row r="2109" spans="1:15" x14ac:dyDescent="0.25">
      <c r="A2109" s="13">
        <v>46202</v>
      </c>
      <c r="B2109" s="12">
        <f>MONTH(Movimientos_2026[[#This Row],[Fecha]])</f>
        <v>6</v>
      </c>
      <c r="C2109" s="12" t="str">
        <f>VLOOKUP((WEEKDAY(Movimientos_2026[[#This Row],[Fecha]],2)),'5. Setup'!$D$6:$E$12,2,FALSE)</f>
        <v>Lun</v>
      </c>
      <c r="D2109">
        <v>1043152</v>
      </c>
      <c r="E2109" t="str">
        <f>IFERROR(+VLOOKUP(Movimientos_2026[[#This Row],[Codigo]],Plan_cuentas[],2,FALSE)," ")</f>
        <v>INGRESOS</v>
      </c>
      <c r="F2109" t="str">
        <f>IFERROR(+VLOOKUP(Movimientos_2026[[#This Row],[Codigo]],Plan_cuentas[],3,FALSE)," ")</f>
        <v>Transferencia</v>
      </c>
      <c r="G2109" t="str">
        <f>IFERROR(+VLOOKUP(Movimientos_2026[[#This Row],[Codigo]],Plan_cuentas[],4,FALSE)," ")</f>
        <v>Registración</v>
      </c>
      <c r="H2109" t="str">
        <f>IFERROR(+VLOOKUP(Movimientos_2026[[#This Row],[Codigo]],Plan_cuentas[],5,FALSE)," ")</f>
        <v>CABA</v>
      </c>
      <c r="I2109" s="43">
        <v>46174</v>
      </c>
      <c r="J2109" t="s">
        <v>918</v>
      </c>
      <c r="K2109" t="str">
        <f>IFERROR(+VLOOKUP(Movimientos_2026[[#This Row],[Codigo]],Plan_cuentas[],6,FALSE)," ")</f>
        <v>2 - PR - Plan Rombo</v>
      </c>
      <c r="L2109" s="50">
        <v>26790356.704099979</v>
      </c>
      <c r="M2109" s="50"/>
      <c r="N2109" s="20">
        <f>+Movimientos_2026[[#This Row],[Ingresos]]-Movimientos_2026[[#This Row],[Egresos]]</f>
        <v>26790356.704099979</v>
      </c>
      <c r="O2109" s="20">
        <f>+O2108+Movimientos_2026[[#This Row],[Neto]]</f>
        <v>4685883630.8642254</v>
      </c>
    </row>
    <row r="2110" spans="1:15" x14ac:dyDescent="0.25">
      <c r="A2110" s="13">
        <v>46202</v>
      </c>
      <c r="B2110" s="12">
        <f>MONTH(Movimientos_2026[[#This Row],[Fecha]])</f>
        <v>6</v>
      </c>
      <c r="C2110" s="12" t="str">
        <f>VLOOKUP((WEEKDAY(Movimientos_2026[[#This Row],[Fecha]],2)),'5. Setup'!$D$6:$E$12,2,FALSE)</f>
        <v>Lun</v>
      </c>
      <c r="D2110">
        <v>1043222</v>
      </c>
      <c r="E2110" t="str">
        <f>IFERROR(+VLOOKUP(Movimientos_2026[[#This Row],[Codigo]],Plan_cuentas[],2,FALSE)," ")</f>
        <v>INGRESOS</v>
      </c>
      <c r="F2110" t="str">
        <f>IFERROR(+VLOOKUP(Movimientos_2026[[#This Row],[Codigo]],Plan_cuentas[],3,FALSE)," ")</f>
        <v>Transferencia</v>
      </c>
      <c r="G2110" t="str">
        <f>IFERROR(+VLOOKUP(Movimientos_2026[[#This Row],[Codigo]],Plan_cuentas[],4,FALSE)," ")</f>
        <v>Registración</v>
      </c>
      <c r="H2110" t="str">
        <f>IFERROR(+VLOOKUP(Movimientos_2026[[#This Row],[Codigo]],Plan_cuentas[],5,FALSE)," ")</f>
        <v>ENTRE RIOS 1° Q</v>
      </c>
      <c r="I2110" s="43">
        <v>46174</v>
      </c>
      <c r="J2110" t="s">
        <v>918</v>
      </c>
      <c r="K2110" t="str">
        <f>IFERROR(+VLOOKUP(Movimientos_2026[[#This Row],[Codigo]],Plan_cuentas[],6,FALSE)," ")</f>
        <v>2 - PR - Plan Rombo</v>
      </c>
      <c r="L2110" s="50">
        <v>15501211.734200001</v>
      </c>
      <c r="M2110" s="50"/>
      <c r="N2110" s="20">
        <f>+Movimientos_2026[[#This Row],[Ingresos]]-Movimientos_2026[[#This Row],[Egresos]]</f>
        <v>15501211.734200001</v>
      </c>
      <c r="O2110" s="20">
        <f>+O2109+Movimientos_2026[[#This Row],[Neto]]</f>
        <v>4701384842.5984249</v>
      </c>
    </row>
    <row r="2111" spans="1:15" x14ac:dyDescent="0.25">
      <c r="A2111" s="13">
        <v>46202</v>
      </c>
      <c r="B2111" s="12">
        <f>MONTH(Movimientos_2026[[#This Row],[Fecha]])</f>
        <v>6</v>
      </c>
      <c r="C2111" s="12" t="str">
        <f>VLOOKUP((WEEKDAY(Movimientos_2026[[#This Row],[Fecha]],2)),'5. Setup'!$D$6:$E$12,2,FALSE)</f>
        <v>Lun</v>
      </c>
      <c r="D2111">
        <v>1043242</v>
      </c>
      <c r="E2111" t="str">
        <f>IFERROR(+VLOOKUP(Movimientos_2026[[#This Row],[Codigo]],Plan_cuentas[],2,FALSE)," ")</f>
        <v>INGRESOS</v>
      </c>
      <c r="F2111" t="str">
        <f>IFERROR(+VLOOKUP(Movimientos_2026[[#This Row],[Codigo]],Plan_cuentas[],3,FALSE)," ")</f>
        <v>Transferencia</v>
      </c>
      <c r="G2111" t="str">
        <f>IFERROR(+VLOOKUP(Movimientos_2026[[#This Row],[Codigo]],Plan_cuentas[],4,FALSE)," ")</f>
        <v>Registración</v>
      </c>
      <c r="H2111" t="str">
        <f>IFERROR(+VLOOKUP(Movimientos_2026[[#This Row],[Codigo]],Plan_cuentas[],5,FALSE)," ")</f>
        <v>FORMOSA</v>
      </c>
      <c r="I2111" s="43">
        <v>46174</v>
      </c>
      <c r="J2111" t="s">
        <v>918</v>
      </c>
      <c r="K2111" t="str">
        <f>IFERROR(+VLOOKUP(Movimientos_2026[[#This Row],[Codigo]],Plan_cuentas[],6,FALSE)," ")</f>
        <v>2 - PR - Plan Rombo</v>
      </c>
      <c r="L2111" s="50">
        <v>2625590.8319999999</v>
      </c>
      <c r="M2111" s="50"/>
      <c r="N2111" s="20">
        <f>+Movimientos_2026[[#This Row],[Ingresos]]-Movimientos_2026[[#This Row],[Egresos]]</f>
        <v>2625590.8319999999</v>
      </c>
      <c r="O2111" s="20">
        <f>+O2110+Movimientos_2026[[#This Row],[Neto]]</f>
        <v>4704010433.4304247</v>
      </c>
    </row>
    <row r="2112" spans="1:15" x14ac:dyDescent="0.25">
      <c r="A2112" s="13">
        <v>46202</v>
      </c>
      <c r="B2112" s="12">
        <f>MONTH(Movimientos_2026[[#This Row],[Fecha]])</f>
        <v>6</v>
      </c>
      <c r="C2112" s="12" t="str">
        <f>VLOOKUP((WEEKDAY(Movimientos_2026[[#This Row],[Fecha]],2)),'5. Setup'!$D$6:$E$12,2,FALSE)</f>
        <v>Lun</v>
      </c>
      <c r="D2112">
        <v>1043382</v>
      </c>
      <c r="E2112" t="str">
        <f>IFERROR(+VLOOKUP(Movimientos_2026[[#This Row],[Codigo]],Plan_cuentas[],2,FALSE)," ")</f>
        <v>INGRESOS</v>
      </c>
      <c r="F2112" t="str">
        <f>IFERROR(+VLOOKUP(Movimientos_2026[[#This Row],[Codigo]],Plan_cuentas[],3,FALSE)," ")</f>
        <v>Transferencia</v>
      </c>
      <c r="G2112" t="str">
        <f>IFERROR(+VLOOKUP(Movimientos_2026[[#This Row],[Codigo]],Plan_cuentas[],4,FALSE)," ")</f>
        <v>Registración</v>
      </c>
      <c r="H2112" t="str">
        <f>IFERROR(+VLOOKUP(Movimientos_2026[[#This Row],[Codigo]],Plan_cuentas[],5,FALSE)," ")</f>
        <v>SANTA FE 1° Q</v>
      </c>
      <c r="I2112" s="43">
        <v>46174</v>
      </c>
      <c r="J2112" t="s">
        <v>918</v>
      </c>
      <c r="K2112" t="str">
        <f>IFERROR(+VLOOKUP(Movimientos_2026[[#This Row],[Codigo]],Plan_cuentas[],6,FALSE)," ")</f>
        <v>2 - PR - Plan Rombo</v>
      </c>
      <c r="L2112" s="50">
        <v>24055551.390450001</v>
      </c>
      <c r="M2112" s="50"/>
      <c r="N2112" s="20">
        <f>+Movimientos_2026[[#This Row],[Ingresos]]-Movimientos_2026[[#This Row],[Egresos]]</f>
        <v>24055551.390450001</v>
      </c>
      <c r="O2112" s="20">
        <f>+O2111+Movimientos_2026[[#This Row],[Neto]]</f>
        <v>4728065984.8208752</v>
      </c>
    </row>
    <row r="2113" spans="1:15" x14ac:dyDescent="0.25">
      <c r="A2113" s="13">
        <v>46202</v>
      </c>
      <c r="B2113" s="12">
        <f>MONTH(Movimientos_2026[[#This Row],[Fecha]])</f>
        <v>6</v>
      </c>
      <c r="C2113" s="12" t="str">
        <f>VLOOKUP((WEEKDAY(Movimientos_2026[[#This Row],[Fecha]],2)),'5. Setup'!$D$6:$E$12,2,FALSE)</f>
        <v>Lun</v>
      </c>
      <c r="D2113">
        <v>1043172</v>
      </c>
      <c r="E2113" t="str">
        <f>IFERROR(+VLOOKUP(Movimientos_2026[[#This Row],[Codigo]],Plan_cuentas[],2,FALSE)," ")</f>
        <v>INGRESOS</v>
      </c>
      <c r="F2113" t="str">
        <f>IFERROR(+VLOOKUP(Movimientos_2026[[#This Row],[Codigo]],Plan_cuentas[],3,FALSE)," ")</f>
        <v>Transferencia</v>
      </c>
      <c r="G2113" t="str">
        <f>IFERROR(+VLOOKUP(Movimientos_2026[[#This Row],[Codigo]],Plan_cuentas[],4,FALSE)," ")</f>
        <v>Registración</v>
      </c>
      <c r="H2113" t="str">
        <f>IFERROR(+VLOOKUP(Movimientos_2026[[#This Row],[Codigo]],Plan_cuentas[],5,FALSE)," ")</f>
        <v>CHUBUT</v>
      </c>
      <c r="I2113" s="43">
        <v>46174</v>
      </c>
      <c r="J2113" t="s">
        <v>918</v>
      </c>
      <c r="K2113" t="str">
        <f>IFERROR(+VLOOKUP(Movimientos_2026[[#This Row],[Codigo]],Plan_cuentas[],6,FALSE)," ")</f>
        <v>2 - PR - Plan Rombo</v>
      </c>
      <c r="L2113" s="50">
        <v>7366280.7385500008</v>
      </c>
      <c r="M2113" s="50"/>
      <c r="N2113" s="20">
        <f>+Movimientos_2026[[#This Row],[Ingresos]]-Movimientos_2026[[#This Row],[Egresos]]</f>
        <v>7366280.7385500008</v>
      </c>
      <c r="O2113" s="20">
        <f>+O2112+Movimientos_2026[[#This Row],[Neto]]</f>
        <v>4735432265.5594254</v>
      </c>
    </row>
    <row r="2114" spans="1:15" x14ac:dyDescent="0.25">
      <c r="A2114" s="13">
        <v>46202</v>
      </c>
      <c r="B2114" s="12">
        <f>MONTH(Movimientos_2026[[#This Row],[Fecha]])</f>
        <v>6</v>
      </c>
      <c r="C2114" s="12" t="str">
        <f>VLOOKUP((WEEKDAY(Movimientos_2026[[#This Row],[Fecha]],2)),'5. Setup'!$D$6:$E$12,2,FALSE)</f>
        <v>Lun</v>
      </c>
      <c r="D2114">
        <v>1044482</v>
      </c>
      <c r="E2114" t="str">
        <f>IFERROR(+VLOOKUP(Movimientos_2026[[#This Row],[Codigo]],Plan_cuentas[],2,FALSE)," ")</f>
        <v>INGRESOS</v>
      </c>
      <c r="F2114" t="str">
        <f>IFERROR(+VLOOKUP(Movimientos_2026[[#This Row],[Codigo]],Plan_cuentas[],3,FALSE)," ")</f>
        <v>Transferencia</v>
      </c>
      <c r="G2114" t="str">
        <f>IFERROR(+VLOOKUP(Movimientos_2026[[#This Row],[Codigo]],Plan_cuentas[],4,FALSE)," ")</f>
        <v>Factura</v>
      </c>
      <c r="H2114" t="str">
        <f>IFERROR(+VLOOKUP(Movimientos_2026[[#This Row],[Codigo]],Plan_cuentas[],5,FALSE)," ")</f>
        <v>FC TRAMITACION</v>
      </c>
      <c r="I2114" s="43">
        <v>46174</v>
      </c>
      <c r="J2114" t="s">
        <v>920</v>
      </c>
      <c r="K2114" t="str">
        <f>IFERROR(+VLOOKUP(Movimientos_2026[[#This Row],[Codigo]],Plan_cuentas[],6,FALSE)," ")</f>
        <v>2 - PR - Plan Rombo</v>
      </c>
      <c r="L2114" s="50">
        <v>451468.46808000002</v>
      </c>
      <c r="M2114" s="50"/>
      <c r="N2114" s="20">
        <f>+Movimientos_2026[[#This Row],[Ingresos]]-Movimientos_2026[[#This Row],[Egresos]]</f>
        <v>451468.46808000002</v>
      </c>
      <c r="O2114" s="20">
        <f>+O2113+Movimientos_2026[[#This Row],[Neto]]</f>
        <v>4735883734.0275049</v>
      </c>
    </row>
    <row r="2115" spans="1:15" x14ac:dyDescent="0.25">
      <c r="A2115" s="13">
        <v>46202</v>
      </c>
      <c r="B2115" s="12">
        <f>MONTH(Movimientos_2026[[#This Row],[Fecha]])</f>
        <v>6</v>
      </c>
      <c r="C2115" s="12" t="str">
        <f>VLOOKUP((WEEKDAY(Movimientos_2026[[#This Row],[Fecha]],2)),'5. Setup'!$D$6:$E$12,2,FALSE)</f>
        <v>Lun</v>
      </c>
      <c r="D2115">
        <v>2044461</v>
      </c>
      <c r="E2115" t="str">
        <f>IFERROR(+VLOOKUP(Movimientos_2026[[#This Row],[Codigo]],Plan_cuentas[],2,FALSE)," ")</f>
        <v>EGRESOS</v>
      </c>
      <c r="F2115" t="str">
        <f>IFERROR(+VLOOKUP(Movimientos_2026[[#This Row],[Codigo]],Plan_cuentas[],3,FALSE)," ")</f>
        <v>Transferencia</v>
      </c>
      <c r="G2115" t="str">
        <f>IFERROR(+VLOOKUP(Movimientos_2026[[#This Row],[Codigo]],Plan_cuentas[],4,FALSE)," ")</f>
        <v>Rentas</v>
      </c>
      <c r="H2115" t="str">
        <f>IFERROR(+VLOOKUP(Movimientos_2026[[#This Row],[Codigo]],Plan_cuentas[],5,FALSE)," ")</f>
        <v>MISIONES</v>
      </c>
      <c r="I2115" s="43">
        <v>46143</v>
      </c>
      <c r="J2115" t="s">
        <v>921</v>
      </c>
      <c r="K2115" t="str">
        <f>IFERROR(+VLOOKUP(Movimientos_2026[[#This Row],[Codigo]],Plan_cuentas[],6,FALSE)," ")</f>
        <v>1 - VW - Volkswagen</v>
      </c>
      <c r="L2115" s="50"/>
      <c r="M2115" s="50">
        <v>116886.96</v>
      </c>
      <c r="N2115" s="20">
        <f>+Movimientos_2026[[#This Row],[Ingresos]]-Movimientos_2026[[#This Row],[Egresos]]</f>
        <v>-116886.96</v>
      </c>
      <c r="O2115" s="20">
        <f>+O2114+Movimientos_2026[[#This Row],[Neto]]</f>
        <v>4735766847.0675049</v>
      </c>
    </row>
    <row r="2116" spans="1:15" x14ac:dyDescent="0.25">
      <c r="A2116" s="13">
        <v>46203</v>
      </c>
      <c r="B2116" s="12">
        <f>MONTH(Movimientos_2026[[#This Row],[Fecha]])</f>
        <v>6</v>
      </c>
      <c r="C2116" s="12" t="str">
        <f>VLOOKUP((WEEKDAY(Movimientos_2026[[#This Row],[Fecha]],2)),'5. Setup'!$D$6:$E$12,2,FALSE)</f>
        <v>Mar</v>
      </c>
      <c r="D2116">
        <v>1045451</v>
      </c>
      <c r="E2116" t="str">
        <f>IFERROR(+VLOOKUP(Movimientos_2026[[#This Row],[Codigo]],Plan_cuentas[],2,FALSE)," ")</f>
        <v>INGRESOS</v>
      </c>
      <c r="F2116" t="str">
        <f>IFERROR(+VLOOKUP(Movimientos_2026[[#This Row],[Codigo]],Plan_cuentas[],3,FALSE)," ")</f>
        <v>Transferencia</v>
      </c>
      <c r="G2116" t="str">
        <f>IFERROR(+VLOOKUP(Movimientos_2026[[#This Row],[Codigo]],Plan_cuentas[],4,FALSE)," ")</f>
        <v>Factura</v>
      </c>
      <c r="H2116" t="str">
        <f>IFERROR(+VLOOKUP(Movimientos_2026[[#This Row],[Codigo]],Plan_cuentas[],5,FALSE)," ")</f>
        <v>FC DERECHOS</v>
      </c>
      <c r="I2116" s="43">
        <v>46113</v>
      </c>
      <c r="J2116" t="s">
        <v>922</v>
      </c>
      <c r="K2116" t="str">
        <f>IFERROR(+VLOOKUP(Movimientos_2026[[#This Row],[Codigo]],Plan_cuentas[],6,FALSE)," ")</f>
        <v>1 - VW - Volkswagen</v>
      </c>
      <c r="L2116" s="50">
        <v>65123037.590000004</v>
      </c>
      <c r="M2116" s="50"/>
      <c r="N2116" s="20">
        <f>+Movimientos_2026[[#This Row],[Ingresos]]-Movimientos_2026[[#This Row],[Egresos]]</f>
        <v>65123037.590000004</v>
      </c>
      <c r="O2116" s="20">
        <f>+O2115+Movimientos_2026[[#This Row],[Neto]]</f>
        <v>4800889884.657505</v>
      </c>
    </row>
    <row r="2117" spans="1:15" x14ac:dyDescent="0.25">
      <c r="A2117" s="13">
        <v>46203</v>
      </c>
      <c r="B2117" s="12">
        <f>MONTH(Movimientos_2026[[#This Row],[Fecha]])</f>
        <v>6</v>
      </c>
      <c r="C2117" s="12" t="str">
        <f>VLOOKUP((WEEKDAY(Movimientos_2026[[#This Row],[Fecha]],2)),'5. Setup'!$D$6:$E$12,2,FALSE)</f>
        <v>Mar</v>
      </c>
      <c r="D2117">
        <v>1045451</v>
      </c>
      <c r="E2117" t="str">
        <f>IFERROR(+VLOOKUP(Movimientos_2026[[#This Row],[Codigo]],Plan_cuentas[],2,FALSE)," ")</f>
        <v>INGRESOS</v>
      </c>
      <c r="F2117" t="str">
        <f>IFERROR(+VLOOKUP(Movimientos_2026[[#This Row],[Codigo]],Plan_cuentas[],3,FALSE)," ")</f>
        <v>Transferencia</v>
      </c>
      <c r="G2117" t="str">
        <f>IFERROR(+VLOOKUP(Movimientos_2026[[#This Row],[Codigo]],Plan_cuentas[],4,FALSE)," ")</f>
        <v>Factura</v>
      </c>
      <c r="H2117" t="str">
        <f>IFERROR(+VLOOKUP(Movimientos_2026[[#This Row],[Codigo]],Plan_cuentas[],5,FALSE)," ")</f>
        <v>FC DERECHOS</v>
      </c>
      <c r="I2117" s="43">
        <v>46113</v>
      </c>
      <c r="J2117" t="s">
        <v>923</v>
      </c>
      <c r="K2117" t="str">
        <f>IFERROR(+VLOOKUP(Movimientos_2026[[#This Row],[Codigo]],Plan_cuentas[],6,FALSE)," ")</f>
        <v>1 - VW - Volkswagen</v>
      </c>
      <c r="L2117" s="50">
        <v>21942426.140000001</v>
      </c>
      <c r="M2117" s="50"/>
      <c r="N2117" s="20">
        <f>+Movimientos_2026[[#This Row],[Ingresos]]-Movimientos_2026[[#This Row],[Egresos]]</f>
        <v>21942426.140000001</v>
      </c>
      <c r="O2117" s="20">
        <f>+O2116+Movimientos_2026[[#This Row],[Neto]]</f>
        <v>4822832310.7975054</v>
      </c>
    </row>
    <row r="2118" spans="1:15" x14ac:dyDescent="0.25">
      <c r="A2118" s="13">
        <v>46203</v>
      </c>
      <c r="B2118" s="12">
        <f>MONTH(Movimientos_2026[[#This Row],[Fecha]])</f>
        <v>6</v>
      </c>
      <c r="C2118" s="12" t="str">
        <f>VLOOKUP((WEEKDAY(Movimientos_2026[[#This Row],[Fecha]],2)),'5. Setup'!$D$6:$E$12,2,FALSE)</f>
        <v>Mar</v>
      </c>
      <c r="D2118">
        <v>1045451</v>
      </c>
      <c r="E2118" t="str">
        <f>IFERROR(+VLOOKUP(Movimientos_2026[[#This Row],[Codigo]],Plan_cuentas[],2,FALSE)," ")</f>
        <v>INGRESOS</v>
      </c>
      <c r="F2118" t="str">
        <f>IFERROR(+VLOOKUP(Movimientos_2026[[#This Row],[Codigo]],Plan_cuentas[],3,FALSE)," ")</f>
        <v>Transferencia</v>
      </c>
      <c r="G2118" t="str">
        <f>IFERROR(+VLOOKUP(Movimientos_2026[[#This Row],[Codigo]],Plan_cuentas[],4,FALSE)," ")</f>
        <v>Factura</v>
      </c>
      <c r="H2118" t="str">
        <f>IFERROR(+VLOOKUP(Movimientos_2026[[#This Row],[Codigo]],Plan_cuentas[],5,FALSE)," ")</f>
        <v>FC DERECHOS</v>
      </c>
      <c r="I2118" s="43">
        <v>46143</v>
      </c>
      <c r="J2118" t="s">
        <v>924</v>
      </c>
      <c r="K2118" t="str">
        <f>IFERROR(+VLOOKUP(Movimientos_2026[[#This Row],[Codigo]],Plan_cuentas[],6,FALSE)," ")</f>
        <v>1 - VW - Volkswagen</v>
      </c>
      <c r="L2118" s="50">
        <v>20401555.870000001</v>
      </c>
      <c r="M2118" s="50"/>
      <c r="N2118" s="20">
        <f>+Movimientos_2026[[#This Row],[Ingresos]]-Movimientos_2026[[#This Row],[Egresos]]</f>
        <v>20401555.870000001</v>
      </c>
      <c r="O2118" s="20">
        <f>+O2117+Movimientos_2026[[#This Row],[Neto]]</f>
        <v>4843233866.6675053</v>
      </c>
    </row>
    <row r="2119" spans="1:15" x14ac:dyDescent="0.25">
      <c r="A2119" s="13">
        <v>46203</v>
      </c>
      <c r="B2119" s="12">
        <f>MONTH(Movimientos_2026[[#This Row],[Fecha]])</f>
        <v>6</v>
      </c>
      <c r="C2119" s="12" t="str">
        <f>VLOOKUP((WEEKDAY(Movimientos_2026[[#This Row],[Fecha]],2)),'5. Setup'!$D$6:$E$12,2,FALSE)</f>
        <v>Mar</v>
      </c>
      <c r="D2119">
        <v>1045474</v>
      </c>
      <c r="E2119" t="str">
        <f>IFERROR(+VLOOKUP(Movimientos_2026[[#This Row],[Codigo]],Plan_cuentas[],2,FALSE)," ")</f>
        <v>INGRESOS</v>
      </c>
      <c r="F2119" t="str">
        <f>IFERROR(+VLOOKUP(Movimientos_2026[[#This Row],[Codigo]],Plan_cuentas[],3,FALSE)," ")</f>
        <v>Transferencia</v>
      </c>
      <c r="G2119" t="str">
        <f>IFERROR(+VLOOKUP(Movimientos_2026[[#This Row],[Codigo]],Plan_cuentas[],4,FALSE)," ")</f>
        <v>Factura</v>
      </c>
      <c r="H2119" t="str">
        <f>IFERROR(+VLOOKUP(Movimientos_2026[[#This Row],[Codigo]],Plan_cuentas[],5,FALSE)," ")</f>
        <v>FC HONORARIOS</v>
      </c>
      <c r="I2119" s="43">
        <v>46143</v>
      </c>
      <c r="J2119" t="s">
        <v>925</v>
      </c>
      <c r="K2119" t="str">
        <f>IFERROR(+VLOOKUP(Movimientos_2026[[#This Row],[Codigo]],Plan_cuentas[],6,FALSE)," ")</f>
        <v>4 - FCA - Fiat</v>
      </c>
      <c r="L2119" s="50">
        <v>4069993.824</v>
      </c>
      <c r="M2119" s="50"/>
      <c r="N2119" s="20">
        <f>+Movimientos_2026[[#This Row],[Ingresos]]-Movimientos_2026[[#This Row],[Egresos]]</f>
        <v>4069993.824</v>
      </c>
      <c r="O2119" s="20">
        <f>+O2118+Movimientos_2026[[#This Row],[Neto]]</f>
        <v>4847303860.4915056</v>
      </c>
    </row>
    <row r="2120" spans="1:15" x14ac:dyDescent="0.25">
      <c r="A2120" s="13">
        <v>46203</v>
      </c>
      <c r="B2120" s="12">
        <f>MONTH(Movimientos_2026[[#This Row],[Fecha]])</f>
        <v>6</v>
      </c>
      <c r="C2120" s="12" t="str">
        <f>VLOOKUP((WEEKDAY(Movimientos_2026[[#This Row],[Fecha]],2)),'5. Setup'!$D$6:$E$12,2,FALSE)</f>
        <v>Mar</v>
      </c>
      <c r="D2120">
        <v>1045474</v>
      </c>
      <c r="E2120" t="str">
        <f>IFERROR(+VLOOKUP(Movimientos_2026[[#This Row],[Codigo]],Plan_cuentas[],2,FALSE)," ")</f>
        <v>INGRESOS</v>
      </c>
      <c r="F2120" t="str">
        <f>IFERROR(+VLOOKUP(Movimientos_2026[[#This Row],[Codigo]],Plan_cuentas[],3,FALSE)," ")</f>
        <v>Transferencia</v>
      </c>
      <c r="G2120" t="str">
        <f>IFERROR(+VLOOKUP(Movimientos_2026[[#This Row],[Codigo]],Plan_cuentas[],4,FALSE)," ")</f>
        <v>Factura</v>
      </c>
      <c r="H2120" t="str">
        <f>IFERROR(+VLOOKUP(Movimientos_2026[[#This Row],[Codigo]],Plan_cuentas[],5,FALSE)," ")</f>
        <v>FC HONORARIOS</v>
      </c>
      <c r="I2120" s="43">
        <v>46143</v>
      </c>
      <c r="J2120" t="s">
        <v>926</v>
      </c>
      <c r="K2120" t="str">
        <f>IFERROR(+VLOOKUP(Movimientos_2026[[#This Row],[Codigo]],Plan_cuentas[],6,FALSE)," ")</f>
        <v>4 - FCA - Fiat</v>
      </c>
      <c r="L2120" s="50">
        <v>2527050.2400000002</v>
      </c>
      <c r="M2120" s="50"/>
      <c r="N2120" s="20">
        <f>+Movimientos_2026[[#This Row],[Ingresos]]-Movimientos_2026[[#This Row],[Egresos]]</f>
        <v>2527050.2400000002</v>
      </c>
      <c r="O2120" s="20">
        <f>+O2119+Movimientos_2026[[#This Row],[Neto]]</f>
        <v>4849830910.7315054</v>
      </c>
    </row>
    <row r="2121" spans="1:15" x14ac:dyDescent="0.25">
      <c r="A2121" s="13">
        <v>46204</v>
      </c>
      <c r="B2121" s="12">
        <f>MONTH(Movimientos_2026[[#This Row],[Fecha]])</f>
        <v>7</v>
      </c>
      <c r="C2121" s="12" t="str">
        <f>VLOOKUP((WEEKDAY(Movimientos_2026[[#This Row],[Fecha]],2)),'5. Setup'!$D$6:$E$12,2,FALSE)</f>
        <v>Mie</v>
      </c>
      <c r="D2121">
        <v>3000000</v>
      </c>
      <c r="E2121" t="str">
        <f>IFERROR(+VLOOKUP(Movimientos_2026[[#This Row],[Codigo]],Plan_cuentas[],2,FALSE)," ")</f>
        <v>SALDO INICIAL</v>
      </c>
      <c r="F2121" t="str">
        <f>IFERROR(+VLOOKUP(Movimientos_2026[[#This Row],[Codigo]],Plan_cuentas[],3,FALSE)," ")</f>
        <v xml:space="preserve"> </v>
      </c>
      <c r="G2121" t="str">
        <f>IFERROR(+VLOOKUP(Movimientos_2026[[#This Row],[Codigo]],Plan_cuentas[],4,FALSE)," ")</f>
        <v xml:space="preserve"> </v>
      </c>
      <c r="H2121" t="str">
        <f>IFERROR(+VLOOKUP(Movimientos_2026[[#This Row],[Codigo]],Plan_cuentas[],5,FALSE)," ")</f>
        <v xml:space="preserve"> </v>
      </c>
      <c r="I2121" s="43"/>
      <c r="K2121" t="str">
        <f>IFERROR(+VLOOKUP(Movimientos_2026[[#This Row],[Codigo]],Plan_cuentas[],6,FALSE)," ")</f>
        <v xml:space="preserve">     </v>
      </c>
      <c r="L2121" s="50"/>
      <c r="M2121" s="50"/>
      <c r="N2121" s="20">
        <f>+Movimientos_2026[[#This Row],[Ingresos]]-Movimientos_2026[[#This Row],[Egresos]]</f>
        <v>0</v>
      </c>
      <c r="O2121" s="20">
        <f>+O2120+Movimientos_2026[[#This Row],[Neto]]</f>
        <v>4849830910.7315054</v>
      </c>
    </row>
    <row r="2122" spans="1:15" x14ac:dyDescent="0.25">
      <c r="A2122" s="13">
        <v>46205</v>
      </c>
      <c r="B2122" s="12">
        <f>MONTH(Movimientos_2026[[#This Row],[Fecha]])</f>
        <v>7</v>
      </c>
      <c r="C2122" s="12" t="str">
        <f>VLOOKUP((WEEKDAY(Movimientos_2026[[#This Row],[Fecha]],2)),'5. Setup'!$D$6:$E$12,2,FALSE)</f>
        <v>Jue</v>
      </c>
      <c r="D2122">
        <v>1045451</v>
      </c>
      <c r="E2122" t="str">
        <f>IFERROR(+VLOOKUP(Movimientos_2026[[#This Row],[Codigo]],Plan_cuentas[],2,FALSE)," ")</f>
        <v>INGRESOS</v>
      </c>
      <c r="F2122" t="str">
        <f>IFERROR(+VLOOKUP(Movimientos_2026[[#This Row],[Codigo]],Plan_cuentas[],3,FALSE)," ")</f>
        <v>Transferencia</v>
      </c>
      <c r="G2122" t="str">
        <f>IFERROR(+VLOOKUP(Movimientos_2026[[#This Row],[Codigo]],Plan_cuentas[],4,FALSE)," ")</f>
        <v>Factura</v>
      </c>
      <c r="H2122" t="str">
        <f>IFERROR(+VLOOKUP(Movimientos_2026[[#This Row],[Codigo]],Plan_cuentas[],5,FALSE)," ")</f>
        <v>FC DERECHOS</v>
      </c>
      <c r="I2122" s="43">
        <v>46143</v>
      </c>
      <c r="J2122" t="s">
        <v>927</v>
      </c>
      <c r="K2122" t="str">
        <f>IFERROR(+VLOOKUP(Movimientos_2026[[#This Row],[Codigo]],Plan_cuentas[],6,FALSE)," ")</f>
        <v>1 - VW - Volkswagen</v>
      </c>
      <c r="L2122" s="50">
        <v>59833899.009999998</v>
      </c>
      <c r="M2122" s="50"/>
      <c r="N2122" s="20">
        <f>+Movimientos_2026[[#This Row],[Ingresos]]-Movimientos_2026[[#This Row],[Egresos]]</f>
        <v>59833899.009999998</v>
      </c>
      <c r="O2122" s="20">
        <f>+O2121+Movimientos_2026[[#This Row],[Neto]]</f>
        <v>4909664809.7415056</v>
      </c>
    </row>
    <row r="2123" spans="1:15" x14ac:dyDescent="0.25">
      <c r="A2123" s="13">
        <v>46205</v>
      </c>
      <c r="B2123" s="12">
        <f>MONTH(Movimientos_2026[[#This Row],[Fecha]])</f>
        <v>7</v>
      </c>
      <c r="C2123" s="12" t="str">
        <f>VLOOKUP((WEEKDAY(Movimientos_2026[[#This Row],[Fecha]],2)),'5. Setup'!$D$6:$E$12,2,FALSE)</f>
        <v>Jue</v>
      </c>
      <c r="D2123">
        <v>1043155</v>
      </c>
      <c r="E2123" t="str">
        <f>IFERROR(+VLOOKUP(Movimientos_2026[[#This Row],[Codigo]],Plan_cuentas[],2,FALSE)," ")</f>
        <v>INGRESOS</v>
      </c>
      <c r="F2123" t="str">
        <f>IFERROR(+VLOOKUP(Movimientos_2026[[#This Row],[Codigo]],Plan_cuentas[],3,FALSE)," ")</f>
        <v>Transferencia</v>
      </c>
      <c r="G2123" t="str">
        <f>IFERROR(+VLOOKUP(Movimientos_2026[[#This Row],[Codigo]],Plan_cuentas[],4,FALSE)," ")</f>
        <v>Registración</v>
      </c>
      <c r="H2123" t="str">
        <f>IFERROR(+VLOOKUP(Movimientos_2026[[#This Row],[Codigo]],Plan_cuentas[],5,FALSE)," ")</f>
        <v>CABA</v>
      </c>
      <c r="I2123" s="43">
        <v>46143</v>
      </c>
      <c r="J2123" t="s">
        <v>928</v>
      </c>
      <c r="K2123" t="str">
        <f>IFERROR(+VLOOKUP(Movimientos_2026[[#This Row],[Codigo]],Plan_cuentas[],6,FALSE)," ")</f>
        <v>5 - YAM - Yamaha</v>
      </c>
      <c r="L2123" s="50">
        <v>11617915.01</v>
      </c>
      <c r="M2123" s="50"/>
      <c r="N2123" s="20">
        <f>+Movimientos_2026[[#This Row],[Ingresos]]-Movimientos_2026[[#This Row],[Egresos]]</f>
        <v>11617915.01</v>
      </c>
      <c r="O2123" s="20">
        <f>+O2122+Movimientos_2026[[#This Row],[Neto]]</f>
        <v>4921282724.7515059</v>
      </c>
    </row>
    <row r="2124" spans="1:15" x14ac:dyDescent="0.25">
      <c r="A2124" s="13">
        <v>46205</v>
      </c>
      <c r="B2124" s="12">
        <f>MONTH(Movimientos_2026[[#This Row],[Fecha]])</f>
        <v>7</v>
      </c>
      <c r="C2124" s="12" t="str">
        <f>VLOOKUP((WEEKDAY(Movimientos_2026[[#This Row],[Fecha]],2)),'5. Setup'!$D$6:$E$12,2,FALSE)</f>
        <v>Jue</v>
      </c>
      <c r="D2124">
        <v>1043245</v>
      </c>
      <c r="E2124" t="str">
        <f>IFERROR(+VLOOKUP(Movimientos_2026[[#This Row],[Codigo]],Plan_cuentas[],2,FALSE)," ")</f>
        <v>INGRESOS</v>
      </c>
      <c r="F2124" t="str">
        <f>IFERROR(+VLOOKUP(Movimientos_2026[[#This Row],[Codigo]],Plan_cuentas[],3,FALSE)," ")</f>
        <v>Transferencia</v>
      </c>
      <c r="G2124" t="str">
        <f>IFERROR(+VLOOKUP(Movimientos_2026[[#This Row],[Codigo]],Plan_cuentas[],4,FALSE)," ")</f>
        <v>Registración</v>
      </c>
      <c r="H2124" t="str">
        <f>IFERROR(+VLOOKUP(Movimientos_2026[[#This Row],[Codigo]],Plan_cuentas[],5,FALSE)," ")</f>
        <v>FORMOSA</v>
      </c>
      <c r="I2124" s="43">
        <v>46143</v>
      </c>
      <c r="J2124" t="s">
        <v>928</v>
      </c>
      <c r="K2124" t="str">
        <f>IFERROR(+VLOOKUP(Movimientos_2026[[#This Row],[Codigo]],Plan_cuentas[],6,FALSE)," ")</f>
        <v>5 - YAM - Yamaha</v>
      </c>
      <c r="L2124" s="50">
        <v>177627.76</v>
      </c>
      <c r="M2124" s="50"/>
      <c r="N2124" s="20">
        <f>+Movimientos_2026[[#This Row],[Ingresos]]-Movimientos_2026[[#This Row],[Egresos]]</f>
        <v>177627.76</v>
      </c>
      <c r="O2124" s="20">
        <f>+O2123+Movimientos_2026[[#This Row],[Neto]]</f>
        <v>4921460352.5115061</v>
      </c>
    </row>
    <row r="2125" spans="1:15" x14ac:dyDescent="0.25">
      <c r="A2125" s="13">
        <v>46205</v>
      </c>
      <c r="B2125" s="12">
        <f>MONTH(Movimientos_2026[[#This Row],[Fecha]])</f>
        <v>7</v>
      </c>
      <c r="C2125" s="12" t="str">
        <f>VLOOKUP((WEEKDAY(Movimientos_2026[[#This Row],[Fecha]],2)),'5. Setup'!$D$6:$E$12,2,FALSE)</f>
        <v>Jue</v>
      </c>
      <c r="D2125">
        <v>1043385</v>
      </c>
      <c r="E2125" t="str">
        <f>IFERROR(+VLOOKUP(Movimientos_2026[[#This Row],[Codigo]],Plan_cuentas[],2,FALSE)," ")</f>
        <v>INGRESOS</v>
      </c>
      <c r="F2125" t="str">
        <f>IFERROR(+VLOOKUP(Movimientos_2026[[#This Row],[Codigo]],Plan_cuentas[],3,FALSE)," ")</f>
        <v>Transferencia</v>
      </c>
      <c r="G2125" t="str">
        <f>IFERROR(+VLOOKUP(Movimientos_2026[[#This Row],[Codigo]],Plan_cuentas[],4,FALSE)," ")</f>
        <v>Registración</v>
      </c>
      <c r="H2125" t="str">
        <f>IFERROR(+VLOOKUP(Movimientos_2026[[#This Row],[Codigo]],Plan_cuentas[],5,FALSE)," ")</f>
        <v>SANTA FE 1° Q</v>
      </c>
      <c r="I2125" s="43">
        <v>46143</v>
      </c>
      <c r="J2125" t="s">
        <v>928</v>
      </c>
      <c r="K2125" t="str">
        <f>IFERROR(+VLOOKUP(Movimientos_2026[[#This Row],[Codigo]],Plan_cuentas[],6,FALSE)," ")</f>
        <v>5 - YAM - Yamaha</v>
      </c>
      <c r="L2125" s="50">
        <v>628318.04</v>
      </c>
      <c r="M2125" s="50"/>
      <c r="N2125" s="20">
        <f>+Movimientos_2026[[#This Row],[Ingresos]]-Movimientos_2026[[#This Row],[Egresos]]</f>
        <v>628318.04</v>
      </c>
      <c r="O2125" s="20">
        <f>+O2124+Movimientos_2026[[#This Row],[Neto]]</f>
        <v>4922088670.551506</v>
      </c>
    </row>
    <row r="2126" spans="1:15" x14ac:dyDescent="0.25">
      <c r="A2126" s="13">
        <v>46205</v>
      </c>
      <c r="B2126" s="12">
        <f>MONTH(Movimientos_2026[[#This Row],[Fecha]])</f>
        <v>7</v>
      </c>
      <c r="C2126" s="12" t="str">
        <f>VLOOKUP((WEEKDAY(Movimientos_2026[[#This Row],[Fecha]],2)),'5. Setup'!$D$6:$E$12,2,FALSE)</f>
        <v>Jue</v>
      </c>
      <c r="D2126">
        <v>1044165</v>
      </c>
      <c r="E2126" t="str">
        <f>IFERROR(+VLOOKUP(Movimientos_2026[[#This Row],[Codigo]],Plan_cuentas[],2,FALSE)," ")</f>
        <v>INGRESOS</v>
      </c>
      <c r="F2126" t="str">
        <f>IFERROR(+VLOOKUP(Movimientos_2026[[#This Row],[Codigo]],Plan_cuentas[],3,FALSE)," ")</f>
        <v>Transferencia</v>
      </c>
      <c r="G2126" t="str">
        <f>IFERROR(+VLOOKUP(Movimientos_2026[[#This Row],[Codigo]],Plan_cuentas[],4,FALSE)," ")</f>
        <v>Rentas</v>
      </c>
      <c r="H2126" t="str">
        <f>IFERROR(+VLOOKUP(Movimientos_2026[[#This Row],[Codigo]],Plan_cuentas[],5,FALSE)," ")</f>
        <v>CHACO</v>
      </c>
      <c r="I2126" s="43">
        <v>46143</v>
      </c>
      <c r="J2126" t="s">
        <v>928</v>
      </c>
      <c r="K2126" t="str">
        <f>IFERROR(+VLOOKUP(Movimientos_2026[[#This Row],[Codigo]],Plan_cuentas[],6,FALSE)," ")</f>
        <v>5 - YAM - Yamaha</v>
      </c>
      <c r="L2126" s="50">
        <v>812566.64</v>
      </c>
      <c r="M2126" s="50"/>
      <c r="N2126" s="20">
        <f>+Movimientos_2026[[#This Row],[Ingresos]]-Movimientos_2026[[#This Row],[Egresos]]</f>
        <v>812566.64</v>
      </c>
      <c r="O2126" s="20">
        <f>+O2125+Movimientos_2026[[#This Row],[Neto]]</f>
        <v>4922901237.1915064</v>
      </c>
    </row>
    <row r="2127" spans="1:15" x14ac:dyDescent="0.25">
      <c r="A2127" s="13">
        <v>46205</v>
      </c>
      <c r="B2127" s="12">
        <f>MONTH(Movimientos_2026[[#This Row],[Fecha]])</f>
        <v>7</v>
      </c>
      <c r="C2127" s="12" t="str">
        <f>VLOOKUP((WEEKDAY(Movimientos_2026[[#This Row],[Fecha]],2)),'5. Setup'!$D$6:$E$12,2,FALSE)</f>
        <v>Jue</v>
      </c>
      <c r="D2127">
        <v>1044235</v>
      </c>
      <c r="E2127" t="str">
        <f>IFERROR(+VLOOKUP(Movimientos_2026[[#This Row],[Codigo]],Plan_cuentas[],2,FALSE)," ")</f>
        <v>INGRESOS</v>
      </c>
      <c r="F2127" t="str">
        <f>IFERROR(+VLOOKUP(Movimientos_2026[[#This Row],[Codigo]],Plan_cuentas[],3,FALSE)," ")</f>
        <v>Transferencia</v>
      </c>
      <c r="G2127" t="str">
        <f>IFERROR(+VLOOKUP(Movimientos_2026[[#This Row],[Codigo]],Plan_cuentas[],4,FALSE)," ")</f>
        <v>Rentas</v>
      </c>
      <c r="H2127" t="str">
        <f>IFERROR(+VLOOKUP(Movimientos_2026[[#This Row],[Codigo]],Plan_cuentas[],5,FALSE)," ")</f>
        <v>ENTRE RIOS 2° Q</v>
      </c>
      <c r="I2127" s="43">
        <v>46143</v>
      </c>
      <c r="J2127" t="s">
        <v>928</v>
      </c>
      <c r="K2127" t="str">
        <f>IFERROR(+VLOOKUP(Movimientos_2026[[#This Row],[Codigo]],Plan_cuentas[],6,FALSE)," ")</f>
        <v>5 - YAM - Yamaha</v>
      </c>
      <c r="L2127" s="50">
        <v>1607477.64</v>
      </c>
      <c r="M2127" s="50"/>
      <c r="N2127" s="20">
        <f>+Movimientos_2026[[#This Row],[Ingresos]]-Movimientos_2026[[#This Row],[Egresos]]</f>
        <v>1607477.64</v>
      </c>
      <c r="O2127" s="20">
        <f>+O2126+Movimientos_2026[[#This Row],[Neto]]</f>
        <v>4924508714.8315067</v>
      </c>
    </row>
    <row r="2128" spans="1:15" x14ac:dyDescent="0.25">
      <c r="A2128" s="13">
        <v>46205</v>
      </c>
      <c r="B2128" s="12">
        <f>MONTH(Movimientos_2026[[#This Row],[Fecha]])</f>
        <v>7</v>
      </c>
      <c r="C2128" s="12" t="str">
        <f>VLOOKUP((WEEKDAY(Movimientos_2026[[#This Row],[Fecha]],2)),'5. Setup'!$D$6:$E$12,2,FALSE)</f>
        <v>Jue</v>
      </c>
      <c r="D2128">
        <v>1044495</v>
      </c>
      <c r="E2128" t="str">
        <f>IFERROR(+VLOOKUP(Movimientos_2026[[#This Row],[Codigo]],Plan_cuentas[],2,FALSE)," ")</f>
        <v>INGRESOS</v>
      </c>
      <c r="F2128" t="str">
        <f>IFERROR(+VLOOKUP(Movimientos_2026[[#This Row],[Codigo]],Plan_cuentas[],3,FALSE)," ")</f>
        <v>Transferencia</v>
      </c>
      <c r="G2128" t="str">
        <f>IFERROR(+VLOOKUP(Movimientos_2026[[#This Row],[Codigo]],Plan_cuentas[],4,FALSE)," ")</f>
        <v>Rentas</v>
      </c>
      <c r="H2128" t="str">
        <f>IFERROR(+VLOOKUP(Movimientos_2026[[#This Row],[Codigo]],Plan_cuentas[],5,FALSE)," ")</f>
        <v>JUJUY</v>
      </c>
      <c r="I2128" s="43">
        <v>46143</v>
      </c>
      <c r="J2128" t="s">
        <v>928</v>
      </c>
      <c r="K2128" t="str">
        <f>IFERROR(+VLOOKUP(Movimientos_2026[[#This Row],[Codigo]],Plan_cuentas[],6,FALSE)," ")</f>
        <v>5 - YAM - Yamaha</v>
      </c>
      <c r="L2128" s="50">
        <v>638676.72</v>
      </c>
      <c r="M2128" s="50"/>
      <c r="N2128" s="20">
        <f>+Movimientos_2026[[#This Row],[Ingresos]]-Movimientos_2026[[#This Row],[Egresos]]</f>
        <v>638676.72</v>
      </c>
      <c r="O2128" s="20">
        <f>+O2127+Movimientos_2026[[#This Row],[Neto]]</f>
        <v>4925147391.551507</v>
      </c>
    </row>
    <row r="2129" spans="1:15" x14ac:dyDescent="0.25">
      <c r="A2129" s="13">
        <v>46205</v>
      </c>
      <c r="B2129" s="12">
        <f>MONTH(Movimientos_2026[[#This Row],[Fecha]])</f>
        <v>7</v>
      </c>
      <c r="C2129" s="12" t="str">
        <f>VLOOKUP((WEEKDAY(Movimientos_2026[[#This Row],[Fecha]],2)),'5. Setup'!$D$6:$E$12,2,FALSE)</f>
        <v>Jue</v>
      </c>
      <c r="D2129">
        <v>1044275</v>
      </c>
      <c r="E2129" t="str">
        <f>IFERROR(+VLOOKUP(Movimientos_2026[[#This Row],[Codigo]],Plan_cuentas[],2,FALSE)," ")</f>
        <v>INGRESOS</v>
      </c>
      <c r="F2129" t="str">
        <f>IFERROR(+VLOOKUP(Movimientos_2026[[#This Row],[Codigo]],Plan_cuentas[],3,FALSE)," ")</f>
        <v>Transferencia</v>
      </c>
      <c r="G2129" t="str">
        <f>IFERROR(+VLOOKUP(Movimientos_2026[[#This Row],[Codigo]],Plan_cuentas[],4,FALSE)," ")</f>
        <v>Rentas</v>
      </c>
      <c r="H2129" t="str">
        <f>IFERROR(+VLOOKUP(Movimientos_2026[[#This Row],[Codigo]],Plan_cuentas[],5,FALSE)," ")</f>
        <v>LA RIOJA</v>
      </c>
      <c r="I2129" s="43">
        <v>46143</v>
      </c>
      <c r="J2129" t="s">
        <v>928</v>
      </c>
      <c r="K2129" t="str">
        <f>IFERROR(+VLOOKUP(Movimientos_2026[[#This Row],[Codigo]],Plan_cuentas[],6,FALSE)," ")</f>
        <v>5 - YAM - Yamaha</v>
      </c>
      <c r="L2129" s="50">
        <v>353479.24</v>
      </c>
      <c r="M2129" s="50"/>
      <c r="N2129" s="20">
        <f>+Movimientos_2026[[#This Row],[Ingresos]]-Movimientos_2026[[#This Row],[Egresos]]</f>
        <v>353479.24</v>
      </c>
      <c r="O2129" s="20">
        <f>+O2128+Movimientos_2026[[#This Row],[Neto]]</f>
        <v>4925500870.7915068</v>
      </c>
    </row>
    <row r="2130" spans="1:15" x14ac:dyDescent="0.25">
      <c r="A2130" s="13">
        <v>46205</v>
      </c>
      <c r="B2130" s="12">
        <f>MONTH(Movimientos_2026[[#This Row],[Fecha]])</f>
        <v>7</v>
      </c>
      <c r="C2130" s="12" t="str">
        <f>VLOOKUP((WEEKDAY(Movimientos_2026[[#This Row],[Fecha]],2)),'5. Setup'!$D$6:$E$12,2,FALSE)</f>
        <v>Jue</v>
      </c>
      <c r="D2130">
        <v>1044285</v>
      </c>
      <c r="E2130" t="str">
        <f>IFERROR(+VLOOKUP(Movimientos_2026[[#This Row],[Codigo]],Plan_cuentas[],2,FALSE)," ")</f>
        <v>INGRESOS</v>
      </c>
      <c r="F2130" t="str">
        <f>IFERROR(+VLOOKUP(Movimientos_2026[[#This Row],[Codigo]],Plan_cuentas[],3,FALSE)," ")</f>
        <v>Transferencia</v>
      </c>
      <c r="G2130" t="str">
        <f>IFERROR(+VLOOKUP(Movimientos_2026[[#This Row],[Codigo]],Plan_cuentas[],4,FALSE)," ")</f>
        <v>Rentas</v>
      </c>
      <c r="H2130" t="str">
        <f>IFERROR(+VLOOKUP(Movimientos_2026[[#This Row],[Codigo]],Plan_cuentas[],5,FALSE)," ")</f>
        <v>MENDOZA</v>
      </c>
      <c r="I2130" s="43">
        <v>46143</v>
      </c>
      <c r="J2130" t="s">
        <v>928</v>
      </c>
      <c r="K2130" t="str">
        <f>IFERROR(+VLOOKUP(Movimientos_2026[[#This Row],[Codigo]],Plan_cuentas[],6,FALSE)," ")</f>
        <v>5 - YAM - Yamaha</v>
      </c>
      <c r="L2130" s="50">
        <v>1319580</v>
      </c>
      <c r="M2130" s="50"/>
      <c r="N2130" s="20">
        <f>+Movimientos_2026[[#This Row],[Ingresos]]-Movimientos_2026[[#This Row],[Egresos]]</f>
        <v>1319580</v>
      </c>
      <c r="O2130" s="20">
        <f>+O2129+Movimientos_2026[[#This Row],[Neto]]</f>
        <v>4926820450.7915068</v>
      </c>
    </row>
    <row r="2131" spans="1:15" x14ac:dyDescent="0.25">
      <c r="A2131" s="13">
        <v>46205</v>
      </c>
      <c r="B2131" s="12">
        <f>MONTH(Movimientos_2026[[#This Row],[Fecha]])</f>
        <v>7</v>
      </c>
      <c r="C2131" s="12" t="str">
        <f>VLOOKUP((WEEKDAY(Movimientos_2026[[#This Row],[Fecha]],2)),'5. Setup'!$D$6:$E$12,2,FALSE)</f>
        <v>Jue</v>
      </c>
      <c r="D2131">
        <v>1044465</v>
      </c>
      <c r="E2131" t="str">
        <f>IFERROR(+VLOOKUP(Movimientos_2026[[#This Row],[Codigo]],Plan_cuentas[],2,FALSE)," ")</f>
        <v>INGRESOS</v>
      </c>
      <c r="F2131" t="str">
        <f>IFERROR(+VLOOKUP(Movimientos_2026[[#This Row],[Codigo]],Plan_cuentas[],3,FALSE)," ")</f>
        <v>Transferencia</v>
      </c>
      <c r="G2131" t="str">
        <f>IFERROR(+VLOOKUP(Movimientos_2026[[#This Row],[Codigo]],Plan_cuentas[],4,FALSE)," ")</f>
        <v>Rentas</v>
      </c>
      <c r="H2131" t="str">
        <f>IFERROR(+VLOOKUP(Movimientos_2026[[#This Row],[Codigo]],Plan_cuentas[],5,FALSE)," ")</f>
        <v>MISIONES</v>
      </c>
      <c r="I2131" s="43">
        <v>46143</v>
      </c>
      <c r="J2131" t="s">
        <v>928</v>
      </c>
      <c r="K2131" t="str">
        <f>IFERROR(+VLOOKUP(Movimientos_2026[[#This Row],[Codigo]],Plan_cuentas[],6,FALSE)," ")</f>
        <v>5 - YAM - Yamaha</v>
      </c>
      <c r="L2131" s="50">
        <v>549360.24450000003</v>
      </c>
      <c r="M2131" s="50"/>
      <c r="N2131" s="20">
        <f>+Movimientos_2026[[#This Row],[Ingresos]]-Movimientos_2026[[#This Row],[Egresos]]</f>
        <v>549360.24450000003</v>
      </c>
      <c r="O2131" s="20">
        <f>+O2130+Movimientos_2026[[#This Row],[Neto]]</f>
        <v>4927369811.0360069</v>
      </c>
    </row>
    <row r="2132" spans="1:15" x14ac:dyDescent="0.25">
      <c r="A2132" s="13">
        <v>46205</v>
      </c>
      <c r="B2132" s="12">
        <f>MONTH(Movimientos_2026[[#This Row],[Fecha]])</f>
        <v>7</v>
      </c>
      <c r="C2132" s="12" t="str">
        <f>VLOOKUP((WEEKDAY(Movimientos_2026[[#This Row],[Fecha]],2)),'5. Setup'!$D$6:$E$12,2,FALSE)</f>
        <v>Jue</v>
      </c>
      <c r="D2132">
        <v>1044325</v>
      </c>
      <c r="E2132" t="str">
        <f>IFERROR(+VLOOKUP(Movimientos_2026[[#This Row],[Codigo]],Plan_cuentas[],2,FALSE)," ")</f>
        <v>INGRESOS</v>
      </c>
      <c r="F2132" t="str">
        <f>IFERROR(+VLOOKUP(Movimientos_2026[[#This Row],[Codigo]],Plan_cuentas[],3,FALSE)," ")</f>
        <v>Transferencia</v>
      </c>
      <c r="G2132" t="str">
        <f>IFERROR(+VLOOKUP(Movimientos_2026[[#This Row],[Codigo]],Plan_cuentas[],4,FALSE)," ")</f>
        <v>Rentas</v>
      </c>
      <c r="H2132" t="str">
        <f>IFERROR(+VLOOKUP(Movimientos_2026[[#This Row],[Codigo]],Plan_cuentas[],5,FALSE)," ")</f>
        <v>NEUQUEN 2° Q</v>
      </c>
      <c r="I2132" s="43">
        <v>46143</v>
      </c>
      <c r="J2132" t="s">
        <v>928</v>
      </c>
      <c r="K2132" t="str">
        <f>IFERROR(+VLOOKUP(Movimientos_2026[[#This Row],[Codigo]],Plan_cuentas[],6,FALSE)," ")</f>
        <v>5 - YAM - Yamaha</v>
      </c>
      <c r="L2132" s="50">
        <v>1134084.6000000001</v>
      </c>
      <c r="M2132" s="50"/>
      <c r="N2132" s="20">
        <f>+Movimientos_2026[[#This Row],[Ingresos]]-Movimientos_2026[[#This Row],[Egresos]]</f>
        <v>1134084.6000000001</v>
      </c>
      <c r="O2132" s="20">
        <f>+O2131+Movimientos_2026[[#This Row],[Neto]]</f>
        <v>4928503895.6360073</v>
      </c>
    </row>
    <row r="2133" spans="1:15" x14ac:dyDescent="0.25">
      <c r="A2133" s="13">
        <v>46205</v>
      </c>
      <c r="B2133" s="12">
        <f>MONTH(Movimientos_2026[[#This Row],[Fecha]])</f>
        <v>7</v>
      </c>
      <c r="C2133" s="12" t="str">
        <f>VLOOKUP((WEEKDAY(Movimientos_2026[[#This Row],[Fecha]],2)),'5. Setup'!$D$6:$E$12,2,FALSE)</f>
        <v>Jue</v>
      </c>
      <c r="D2133">
        <v>1044425</v>
      </c>
      <c r="E2133" t="str">
        <f>IFERROR(+VLOOKUP(Movimientos_2026[[#This Row],[Codigo]],Plan_cuentas[],2,FALSE)," ")</f>
        <v>INGRESOS</v>
      </c>
      <c r="F2133" t="str">
        <f>IFERROR(+VLOOKUP(Movimientos_2026[[#This Row],[Codigo]],Plan_cuentas[],3,FALSE)," ")</f>
        <v>Transferencia</v>
      </c>
      <c r="G2133" t="str">
        <f>IFERROR(+VLOOKUP(Movimientos_2026[[#This Row],[Codigo]],Plan_cuentas[],4,FALSE)," ")</f>
        <v>Rentas</v>
      </c>
      <c r="H2133" t="str">
        <f>IFERROR(+VLOOKUP(Movimientos_2026[[#This Row],[Codigo]],Plan_cuentas[],5,FALSE)," ")</f>
        <v>TUCUMAN</v>
      </c>
      <c r="I2133" s="43">
        <v>46143</v>
      </c>
      <c r="J2133" t="s">
        <v>928</v>
      </c>
      <c r="K2133" t="str">
        <f>IFERROR(+VLOOKUP(Movimientos_2026[[#This Row],[Codigo]],Plan_cuentas[],6,FALSE)," ")</f>
        <v>5 - YAM - Yamaha</v>
      </c>
      <c r="L2133" s="50">
        <v>715827.65</v>
      </c>
      <c r="M2133" s="50"/>
      <c r="N2133" s="20">
        <f>+Movimientos_2026[[#This Row],[Ingresos]]-Movimientos_2026[[#This Row],[Egresos]]</f>
        <v>715827.65</v>
      </c>
      <c r="O2133" s="20">
        <f>+O2132+Movimientos_2026[[#This Row],[Neto]]</f>
        <v>4929219723.2860069</v>
      </c>
    </row>
    <row r="2134" spans="1:15" x14ac:dyDescent="0.25">
      <c r="A2134" s="13">
        <v>46206</v>
      </c>
      <c r="B2134" s="12">
        <f>MONTH(Movimientos_2026[[#This Row],[Fecha]])</f>
        <v>7</v>
      </c>
      <c r="C2134" s="12" t="str">
        <f>VLOOKUP((WEEKDAY(Movimientos_2026[[#This Row],[Fecha]],2)),'5. Setup'!$D$6:$E$12,2,FALSE)</f>
        <v>Vie</v>
      </c>
      <c r="D2134">
        <v>2034411</v>
      </c>
      <c r="E2134" t="str">
        <f>IFERROR(+VLOOKUP(Movimientos_2026[[#This Row],[Codigo]],Plan_cuentas[],2,FALSE)," ")</f>
        <v>EGRESOS</v>
      </c>
      <c r="F2134" t="str">
        <f>IFERROR(+VLOOKUP(Movimientos_2026[[#This Row],[Codigo]],Plan_cuentas[],3,FALSE)," ")</f>
        <v>Pagos Bco. Provincia</v>
      </c>
      <c r="G2134" t="str">
        <f>IFERROR(+VLOOKUP(Movimientos_2026[[#This Row],[Codigo]],Plan_cuentas[],4,FALSE)," ")</f>
        <v>Rentas</v>
      </c>
      <c r="H2134" t="str">
        <f>IFERROR(+VLOOKUP(Movimientos_2026[[#This Row],[Codigo]],Plan_cuentas[],5,FALSE)," ")</f>
        <v>TIERRA DEL FUEGO</v>
      </c>
      <c r="I2134" s="43">
        <v>46174</v>
      </c>
      <c r="J2134" t="s">
        <v>929</v>
      </c>
      <c r="K2134" t="str">
        <f>IFERROR(+VLOOKUP(Movimientos_2026[[#This Row],[Codigo]],Plan_cuentas[],6,FALSE)," ")</f>
        <v>1 - VW - Volkswagen</v>
      </c>
      <c r="L2134" s="50"/>
      <c r="M2134" s="50">
        <v>7151606.5</v>
      </c>
      <c r="N2134" s="20">
        <f>+Movimientos_2026[[#This Row],[Ingresos]]-Movimientos_2026[[#This Row],[Egresos]]</f>
        <v>-7151606.5</v>
      </c>
      <c r="O2134" s="20">
        <f>+O2133+Movimientos_2026[[#This Row],[Neto]]</f>
        <v>4922068116.7860069</v>
      </c>
    </row>
    <row r="2135" spans="1:15" x14ac:dyDescent="0.25">
      <c r="A2135" s="13">
        <v>46206</v>
      </c>
      <c r="B2135" s="12">
        <f>MONTH(Movimientos_2026[[#This Row],[Fecha]])</f>
        <v>7</v>
      </c>
      <c r="C2135" s="12" t="str">
        <f>VLOOKUP((WEEKDAY(Movimientos_2026[[#This Row],[Fecha]],2)),'5. Setup'!$D$6:$E$12,2,FALSE)</f>
        <v>Vie</v>
      </c>
      <c r="D2135">
        <v>2034412</v>
      </c>
      <c r="E2135" t="str">
        <f>IFERROR(+VLOOKUP(Movimientos_2026[[#This Row],[Codigo]],Plan_cuentas[],2,FALSE)," ")</f>
        <v>EGRESOS</v>
      </c>
      <c r="F2135" t="str">
        <f>IFERROR(+VLOOKUP(Movimientos_2026[[#This Row],[Codigo]],Plan_cuentas[],3,FALSE)," ")</f>
        <v>Pagos Bco. Provincia</v>
      </c>
      <c r="G2135" t="str">
        <f>IFERROR(+VLOOKUP(Movimientos_2026[[#This Row],[Codigo]],Plan_cuentas[],4,FALSE)," ")</f>
        <v>Rentas</v>
      </c>
      <c r="H2135" t="str">
        <f>IFERROR(+VLOOKUP(Movimientos_2026[[#This Row],[Codigo]],Plan_cuentas[],5,FALSE)," ")</f>
        <v>TIERRA DEL FUEGO</v>
      </c>
      <c r="I2135" s="43">
        <v>46174</v>
      </c>
      <c r="J2135" t="s">
        <v>930</v>
      </c>
      <c r="K2135" t="str">
        <f>IFERROR(+VLOOKUP(Movimientos_2026[[#This Row],[Codigo]],Plan_cuentas[],6,FALSE)," ")</f>
        <v>2 - PR - Plan Rombo</v>
      </c>
      <c r="L2135" s="50"/>
      <c r="M2135" s="50">
        <v>8511396.6500000004</v>
      </c>
      <c r="N2135" s="20">
        <f>+Movimientos_2026[[#This Row],[Ingresos]]-Movimientos_2026[[#This Row],[Egresos]]</f>
        <v>-8511396.6500000004</v>
      </c>
      <c r="O2135" s="20">
        <f>+O2134+Movimientos_2026[[#This Row],[Neto]]</f>
        <v>4913556720.1360073</v>
      </c>
    </row>
    <row r="2136" spans="1:15" x14ac:dyDescent="0.25">
      <c r="A2136" s="13">
        <v>46206</v>
      </c>
      <c r="B2136" s="12">
        <f>MONTH(Movimientos_2026[[#This Row],[Fecha]])</f>
        <v>7</v>
      </c>
      <c r="C2136" s="12" t="str">
        <f>VLOOKUP((WEEKDAY(Movimientos_2026[[#This Row],[Fecha]],2)),'5. Setup'!$D$6:$E$12,2,FALSE)</f>
        <v>Vie</v>
      </c>
      <c r="D2136">
        <v>2034417</v>
      </c>
      <c r="E2136" t="str">
        <f>IFERROR(+VLOOKUP(Movimientos_2026[[#This Row],[Codigo]],Plan_cuentas[],2,FALSE)," ")</f>
        <v>EGRESOS</v>
      </c>
      <c r="F2136" t="str">
        <f>IFERROR(+VLOOKUP(Movimientos_2026[[#This Row],[Codigo]],Plan_cuentas[],3,FALSE)," ")</f>
        <v>Pagos Bco. Provincia</v>
      </c>
      <c r="G2136" t="str">
        <f>IFERROR(+VLOOKUP(Movimientos_2026[[#This Row],[Codigo]],Plan_cuentas[],4,FALSE)," ")</f>
        <v>Rentas</v>
      </c>
      <c r="H2136" t="str">
        <f>IFERROR(+VLOOKUP(Movimientos_2026[[#This Row],[Codigo]],Plan_cuentas[],5,FALSE)," ")</f>
        <v>TIERRA DEL FUEGO</v>
      </c>
      <c r="I2136" s="43">
        <v>46174</v>
      </c>
      <c r="J2136" t="s">
        <v>930</v>
      </c>
      <c r="K2136" t="str">
        <f>IFERROR(+VLOOKUP(Movimientos_2026[[#This Row],[Codigo]],Plan_cuentas[],6,FALSE)," ")</f>
        <v>7 - PRtr - Plan Rombo Transf.</v>
      </c>
      <c r="L2136" s="50"/>
      <c r="M2136" s="50">
        <v>40000</v>
      </c>
      <c r="N2136" s="20">
        <f>+Movimientos_2026[[#This Row],[Ingresos]]-Movimientos_2026[[#This Row],[Egresos]]</f>
        <v>-40000</v>
      </c>
      <c r="O2136" s="20">
        <f>+O2135+Movimientos_2026[[#This Row],[Neto]]</f>
        <v>4913516720.1360073</v>
      </c>
    </row>
    <row r="2137" spans="1:15" x14ac:dyDescent="0.25">
      <c r="A2137" s="13">
        <v>46206</v>
      </c>
      <c r="B2137" s="12">
        <f>MONTH(Movimientos_2026[[#This Row],[Fecha]])</f>
        <v>7</v>
      </c>
      <c r="C2137" s="12" t="str">
        <f>VLOOKUP((WEEKDAY(Movimientos_2026[[#This Row],[Fecha]],2)),'5. Setup'!$D$6:$E$12,2,FALSE)</f>
        <v>Vie</v>
      </c>
      <c r="D2137">
        <v>2034414</v>
      </c>
      <c r="E2137" t="str">
        <f>IFERROR(+VLOOKUP(Movimientos_2026[[#This Row],[Codigo]],Plan_cuentas[],2,FALSE)," ")</f>
        <v>EGRESOS</v>
      </c>
      <c r="F2137" t="str">
        <f>IFERROR(+VLOOKUP(Movimientos_2026[[#This Row],[Codigo]],Plan_cuentas[],3,FALSE)," ")</f>
        <v>Pagos Bco. Provincia</v>
      </c>
      <c r="G2137" t="str">
        <f>IFERROR(+VLOOKUP(Movimientos_2026[[#This Row],[Codigo]],Plan_cuentas[],4,FALSE)," ")</f>
        <v>Rentas</v>
      </c>
      <c r="H2137" t="str">
        <f>IFERROR(+VLOOKUP(Movimientos_2026[[#This Row],[Codigo]],Plan_cuentas[],5,FALSE)," ")</f>
        <v>TIERRA DEL FUEGO</v>
      </c>
      <c r="I2137" s="43">
        <v>46174</v>
      </c>
      <c r="J2137" t="s">
        <v>931</v>
      </c>
      <c r="K2137" t="str">
        <f>IFERROR(+VLOOKUP(Movimientos_2026[[#This Row],[Codigo]],Plan_cuentas[],6,FALSE)," ")</f>
        <v>4 - FCA - Fiat</v>
      </c>
      <c r="L2137" s="50"/>
      <c r="M2137" s="50">
        <v>20639696.829999998</v>
      </c>
      <c r="N2137" s="20">
        <f>+Movimientos_2026[[#This Row],[Ingresos]]-Movimientos_2026[[#This Row],[Egresos]]</f>
        <v>-20639696.829999998</v>
      </c>
      <c r="O2137" s="20">
        <f>+O2136+Movimientos_2026[[#This Row],[Neto]]</f>
        <v>4892877023.3060074</v>
      </c>
    </row>
    <row r="2138" spans="1:15" x14ac:dyDescent="0.25">
      <c r="A2138" s="13">
        <v>46206</v>
      </c>
      <c r="B2138" s="12">
        <f>MONTH(Movimientos_2026[[#This Row],[Fecha]])</f>
        <v>7</v>
      </c>
      <c r="C2138" s="12" t="str">
        <f>VLOOKUP((WEEKDAY(Movimientos_2026[[#This Row],[Fecha]],2)),'5. Setup'!$D$6:$E$12,2,FALSE)</f>
        <v>Vie</v>
      </c>
      <c r="D2138">
        <v>1043154</v>
      </c>
      <c r="E2138" t="str">
        <f>IFERROR(+VLOOKUP(Movimientos_2026[[#This Row],[Codigo]],Plan_cuentas[],2,FALSE)," ")</f>
        <v>INGRESOS</v>
      </c>
      <c r="F2138" t="str">
        <f>IFERROR(+VLOOKUP(Movimientos_2026[[#This Row],[Codigo]],Plan_cuentas[],3,FALSE)," ")</f>
        <v>Transferencia</v>
      </c>
      <c r="G2138" t="str">
        <f>IFERROR(+VLOOKUP(Movimientos_2026[[#This Row],[Codigo]],Plan_cuentas[],4,FALSE)," ")</f>
        <v>Registración</v>
      </c>
      <c r="H2138" t="str">
        <f>IFERROR(+VLOOKUP(Movimientos_2026[[#This Row],[Codigo]],Plan_cuentas[],5,FALSE)," ")</f>
        <v>CABA</v>
      </c>
      <c r="I2138" s="43">
        <v>46174</v>
      </c>
      <c r="J2138" t="s">
        <v>932</v>
      </c>
      <c r="K2138" t="str">
        <f>IFERROR(+VLOOKUP(Movimientos_2026[[#This Row],[Codigo]],Plan_cuentas[],6,FALSE)," ")</f>
        <v>4 - FCA - Fiat</v>
      </c>
      <c r="L2138" s="50">
        <v>522397650.24000001</v>
      </c>
      <c r="M2138" s="50"/>
      <c r="N2138" s="20">
        <f>+Movimientos_2026[[#This Row],[Ingresos]]-Movimientos_2026[[#This Row],[Egresos]]</f>
        <v>522397650.24000001</v>
      </c>
      <c r="O2138" s="20">
        <f>+O2137+Movimientos_2026[[#This Row],[Neto]]</f>
        <v>5415274673.5460072</v>
      </c>
    </row>
    <row r="2139" spans="1:15" x14ac:dyDescent="0.25">
      <c r="A2139" s="13">
        <v>46206</v>
      </c>
      <c r="B2139" s="12">
        <f>MONTH(Movimientos_2026[[#This Row],[Fecha]])</f>
        <v>7</v>
      </c>
      <c r="C2139" s="12" t="str">
        <f>VLOOKUP((WEEKDAY(Movimientos_2026[[#This Row],[Fecha]],2)),'5. Setup'!$D$6:$E$12,2,FALSE)</f>
        <v>Vie</v>
      </c>
      <c r="D2139">
        <v>1043394</v>
      </c>
      <c r="E2139" t="str">
        <f>IFERROR(+VLOOKUP(Movimientos_2026[[#This Row],[Codigo]],Plan_cuentas[],2,FALSE)," ")</f>
        <v>INGRESOS</v>
      </c>
      <c r="F2139" t="str">
        <f>IFERROR(+VLOOKUP(Movimientos_2026[[#This Row],[Codigo]],Plan_cuentas[],3,FALSE)," ")</f>
        <v>Transferencia</v>
      </c>
      <c r="G2139" t="str">
        <f>IFERROR(+VLOOKUP(Movimientos_2026[[#This Row],[Codigo]],Plan_cuentas[],4,FALSE)," ")</f>
        <v>Registración</v>
      </c>
      <c r="H2139" t="str">
        <f>IFERROR(+VLOOKUP(Movimientos_2026[[#This Row],[Codigo]],Plan_cuentas[],5,FALSE)," ")</f>
        <v>SANTA FE 2° Q</v>
      </c>
      <c r="I2139" s="43">
        <v>46174</v>
      </c>
      <c r="J2139" t="s">
        <v>932</v>
      </c>
      <c r="K2139" t="str">
        <f>IFERROR(+VLOOKUP(Movimientos_2026[[#This Row],[Codigo]],Plan_cuentas[],6,FALSE)," ")</f>
        <v>4 - FCA - Fiat</v>
      </c>
      <c r="L2139" s="50">
        <v>87237871.450000003</v>
      </c>
      <c r="M2139" s="50"/>
      <c r="N2139" s="20">
        <f>+Movimientos_2026[[#This Row],[Ingresos]]-Movimientos_2026[[#This Row],[Egresos]]</f>
        <v>87237871.450000003</v>
      </c>
      <c r="O2139" s="20">
        <f>+O2138+Movimientos_2026[[#This Row],[Neto]]</f>
        <v>5502512544.996007</v>
      </c>
    </row>
    <row r="2140" spans="1:15" x14ac:dyDescent="0.25">
      <c r="A2140" s="13">
        <v>46206</v>
      </c>
      <c r="B2140" s="12">
        <f>MONTH(Movimientos_2026[[#This Row],[Fecha]])</f>
        <v>7</v>
      </c>
      <c r="C2140" s="12" t="str">
        <f>VLOOKUP((WEEKDAY(Movimientos_2026[[#This Row],[Fecha]],2)),'5. Setup'!$D$6:$E$12,2,FALSE)</f>
        <v>Vie</v>
      </c>
      <c r="D2140">
        <v>1044174</v>
      </c>
      <c r="E2140" t="str">
        <f>IFERROR(+VLOOKUP(Movimientos_2026[[#This Row],[Codigo]],Plan_cuentas[],2,FALSE)," ")</f>
        <v>INGRESOS</v>
      </c>
      <c r="F2140" t="str">
        <f>IFERROR(+VLOOKUP(Movimientos_2026[[#This Row],[Codigo]],Plan_cuentas[],3,FALSE)," ")</f>
        <v>Transferencia</v>
      </c>
      <c r="G2140" t="str">
        <f>IFERROR(+VLOOKUP(Movimientos_2026[[#This Row],[Codigo]],Plan_cuentas[],4,FALSE)," ")</f>
        <v>Rentas</v>
      </c>
      <c r="H2140" t="str">
        <f>IFERROR(+VLOOKUP(Movimientos_2026[[#This Row],[Codigo]],Plan_cuentas[],5,FALSE)," ")</f>
        <v>CHUBUT</v>
      </c>
      <c r="I2140" s="43">
        <v>46174</v>
      </c>
      <c r="J2140" t="s">
        <v>932</v>
      </c>
      <c r="K2140" t="str">
        <f>IFERROR(+VLOOKUP(Movimientos_2026[[#This Row],[Codigo]],Plan_cuentas[],6,FALSE)," ")</f>
        <v>4 - FCA - Fiat</v>
      </c>
      <c r="L2140" s="50">
        <v>32446125</v>
      </c>
      <c r="M2140" s="50"/>
      <c r="N2140" s="20">
        <f>+Movimientos_2026[[#This Row],[Ingresos]]-Movimientos_2026[[#This Row],[Egresos]]</f>
        <v>32446125</v>
      </c>
      <c r="O2140" s="20">
        <f>+O2139+Movimientos_2026[[#This Row],[Neto]]</f>
        <v>5534958669.996007</v>
      </c>
    </row>
    <row r="2141" spans="1:15" x14ac:dyDescent="0.25">
      <c r="A2141" s="13">
        <v>46206</v>
      </c>
      <c r="B2141" s="12">
        <f>MONTH(Movimientos_2026[[#This Row],[Fecha]])</f>
        <v>7</v>
      </c>
      <c r="C2141" s="12" t="str">
        <f>VLOOKUP((WEEKDAY(Movimientos_2026[[#This Row],[Fecha]],2)),'5. Setup'!$D$6:$E$12,2,FALSE)</f>
        <v>Vie</v>
      </c>
      <c r="D2141">
        <v>1044196</v>
      </c>
      <c r="E2141" t="str">
        <f>IFERROR(+VLOOKUP(Movimientos_2026[[#This Row],[Codigo]],Plan_cuentas[],2,FALSE)," ")</f>
        <v>INGRESOS</v>
      </c>
      <c r="F2141" t="str">
        <f>IFERROR(+VLOOKUP(Movimientos_2026[[#This Row],[Codigo]],Plan_cuentas[],3,FALSE)," ")</f>
        <v>Transferencia</v>
      </c>
      <c r="G2141" t="str">
        <f>IFERROR(+VLOOKUP(Movimientos_2026[[#This Row],[Codigo]],Plan_cuentas[],4,FALSE)," ")</f>
        <v>Rentas</v>
      </c>
      <c r="H2141" t="str">
        <f>IFERROR(+VLOOKUP(Movimientos_2026[[#This Row],[Codigo]],Plan_cuentas[],5,FALSE)," ")</f>
        <v>CORDOBA 2° Q</v>
      </c>
      <c r="I2141" s="43">
        <v>46174</v>
      </c>
      <c r="J2141" t="s">
        <v>932</v>
      </c>
      <c r="K2141" t="str">
        <f>IFERROR(+VLOOKUP(Movimientos_2026[[#This Row],[Codigo]],Plan_cuentas[],6,FALSE)," ")</f>
        <v>6 - FCAtr - Fiat Transf.</v>
      </c>
      <c r="L2141" s="50">
        <v>15045185.12999998</v>
      </c>
      <c r="M2141" s="50"/>
      <c r="N2141" s="20">
        <f>+Movimientos_2026[[#This Row],[Ingresos]]-Movimientos_2026[[#This Row],[Egresos]]</f>
        <v>15045185.12999998</v>
      </c>
      <c r="O2141" s="20">
        <f>+O2140+Movimientos_2026[[#This Row],[Neto]]</f>
        <v>5550003855.1260071</v>
      </c>
    </row>
    <row r="2142" spans="1:15" x14ac:dyDescent="0.25">
      <c r="A2142" s="13">
        <v>46206</v>
      </c>
      <c r="B2142" s="12">
        <f>MONTH(Movimientos_2026[[#This Row],[Fecha]])</f>
        <v>7</v>
      </c>
      <c r="C2142" s="12" t="str">
        <f>VLOOKUP((WEEKDAY(Movimientos_2026[[#This Row],[Fecha]],2)),'5. Setup'!$D$6:$E$12,2,FALSE)</f>
        <v>Vie</v>
      </c>
      <c r="D2142">
        <v>1044214</v>
      </c>
      <c r="E2142" t="str">
        <f>IFERROR(+VLOOKUP(Movimientos_2026[[#This Row],[Codigo]],Plan_cuentas[],2,FALSE)," ")</f>
        <v>INGRESOS</v>
      </c>
      <c r="F2142" t="str">
        <f>IFERROR(+VLOOKUP(Movimientos_2026[[#This Row],[Codigo]],Plan_cuentas[],3,FALSE)," ")</f>
        <v>Transferencia</v>
      </c>
      <c r="G2142" t="str">
        <f>IFERROR(+VLOOKUP(Movimientos_2026[[#This Row],[Codigo]],Plan_cuentas[],4,FALSE)," ")</f>
        <v>Rentas</v>
      </c>
      <c r="H2142" t="str">
        <f>IFERROR(+VLOOKUP(Movimientos_2026[[#This Row],[Codigo]],Plan_cuentas[],5,FALSE)," ")</f>
        <v>CORRIENTES 2° Q</v>
      </c>
      <c r="I2142" s="43">
        <v>46174</v>
      </c>
      <c r="J2142" t="s">
        <v>932</v>
      </c>
      <c r="K2142" t="str">
        <f>IFERROR(+VLOOKUP(Movimientos_2026[[#This Row],[Codigo]],Plan_cuentas[],6,FALSE)," ")</f>
        <v>4 - FCA - Fiat</v>
      </c>
      <c r="L2142" s="50">
        <v>10775175.869999999</v>
      </c>
      <c r="M2142" s="50"/>
      <c r="N2142" s="20">
        <f>+Movimientos_2026[[#This Row],[Ingresos]]-Movimientos_2026[[#This Row],[Egresos]]</f>
        <v>10775175.869999999</v>
      </c>
      <c r="O2142" s="20">
        <f>+O2141+Movimientos_2026[[#This Row],[Neto]]</f>
        <v>5560779030.996007</v>
      </c>
    </row>
    <row r="2143" spans="1:15" x14ac:dyDescent="0.25">
      <c r="A2143" s="13">
        <v>46206</v>
      </c>
      <c r="B2143" s="12">
        <f>MONTH(Movimientos_2026[[#This Row],[Fecha]])</f>
        <v>7</v>
      </c>
      <c r="C2143" s="12" t="str">
        <f>VLOOKUP((WEEKDAY(Movimientos_2026[[#This Row],[Fecha]],2)),'5. Setup'!$D$6:$E$12,2,FALSE)</f>
        <v>Vie</v>
      </c>
      <c r="D2143">
        <v>1044234</v>
      </c>
      <c r="E2143" t="str">
        <f>IFERROR(+VLOOKUP(Movimientos_2026[[#This Row],[Codigo]],Plan_cuentas[],2,FALSE)," ")</f>
        <v>INGRESOS</v>
      </c>
      <c r="F2143" t="str">
        <f>IFERROR(+VLOOKUP(Movimientos_2026[[#This Row],[Codigo]],Plan_cuentas[],3,FALSE)," ")</f>
        <v>Transferencia</v>
      </c>
      <c r="G2143" t="str">
        <f>IFERROR(+VLOOKUP(Movimientos_2026[[#This Row],[Codigo]],Plan_cuentas[],4,FALSE)," ")</f>
        <v>Rentas</v>
      </c>
      <c r="H2143" t="str">
        <f>IFERROR(+VLOOKUP(Movimientos_2026[[#This Row],[Codigo]],Plan_cuentas[],5,FALSE)," ")</f>
        <v>ENTRE RIOS 2° Q</v>
      </c>
      <c r="I2143" s="43">
        <v>46174</v>
      </c>
      <c r="J2143" t="s">
        <v>932</v>
      </c>
      <c r="K2143" t="str">
        <f>IFERROR(+VLOOKUP(Movimientos_2026[[#This Row],[Codigo]],Plan_cuentas[],6,FALSE)," ")</f>
        <v>4 - FCA - Fiat</v>
      </c>
      <c r="L2143" s="50">
        <v>25461341.57</v>
      </c>
      <c r="M2143" s="50"/>
      <c r="N2143" s="20">
        <f>+Movimientos_2026[[#This Row],[Ingresos]]-Movimientos_2026[[#This Row],[Egresos]]</f>
        <v>25461341.57</v>
      </c>
      <c r="O2143" s="20">
        <f>+O2142+Movimientos_2026[[#This Row],[Neto]]</f>
        <v>5586240372.5660067</v>
      </c>
    </row>
    <row r="2144" spans="1:15" x14ac:dyDescent="0.25">
      <c r="A2144" s="13">
        <v>46206</v>
      </c>
      <c r="B2144" s="12">
        <f>MONTH(Movimientos_2026[[#This Row],[Fecha]])</f>
        <v>7</v>
      </c>
      <c r="C2144" s="12" t="str">
        <f>VLOOKUP((WEEKDAY(Movimientos_2026[[#This Row],[Fecha]],2)),'5. Setup'!$D$6:$E$12,2,FALSE)</f>
        <v>Vie</v>
      </c>
      <c r="D2144">
        <v>1044244</v>
      </c>
      <c r="E2144" t="str">
        <f>IFERROR(+VLOOKUP(Movimientos_2026[[#This Row],[Codigo]],Plan_cuentas[],2,FALSE)," ")</f>
        <v>INGRESOS</v>
      </c>
      <c r="F2144" t="str">
        <f>IFERROR(+VLOOKUP(Movimientos_2026[[#This Row],[Codigo]],Plan_cuentas[],3,FALSE)," ")</f>
        <v>Transferencia</v>
      </c>
      <c r="G2144" t="str">
        <f>IFERROR(+VLOOKUP(Movimientos_2026[[#This Row],[Codigo]],Plan_cuentas[],4,FALSE)," ")</f>
        <v>Rentas</v>
      </c>
      <c r="H2144" t="str">
        <f>IFERROR(+VLOOKUP(Movimientos_2026[[#This Row],[Codigo]],Plan_cuentas[],5,FALSE)," ")</f>
        <v>FORMOSA</v>
      </c>
      <c r="I2144" s="43">
        <v>46174</v>
      </c>
      <c r="J2144" t="s">
        <v>932</v>
      </c>
      <c r="K2144" t="str">
        <f>IFERROR(+VLOOKUP(Movimientos_2026[[#This Row],[Codigo]],Plan_cuentas[],6,FALSE)," ")</f>
        <v>4 - FCA - Fiat</v>
      </c>
      <c r="L2144" s="50">
        <v>11676501.84</v>
      </c>
      <c r="M2144" s="50"/>
      <c r="N2144" s="20">
        <f>+Movimientos_2026[[#This Row],[Ingresos]]-Movimientos_2026[[#This Row],[Egresos]]</f>
        <v>11676501.84</v>
      </c>
      <c r="O2144" s="20">
        <f>+O2143+Movimientos_2026[[#This Row],[Neto]]</f>
        <v>5597916874.4060068</v>
      </c>
    </row>
    <row r="2145" spans="1:15" x14ac:dyDescent="0.25">
      <c r="A2145" s="13">
        <v>46206</v>
      </c>
      <c r="B2145" s="12">
        <f>MONTH(Movimientos_2026[[#This Row],[Fecha]])</f>
        <v>7</v>
      </c>
      <c r="C2145" s="12" t="str">
        <f>VLOOKUP((WEEKDAY(Movimientos_2026[[#This Row],[Fecha]],2)),'5. Setup'!$D$6:$E$12,2,FALSE)</f>
        <v>Vie</v>
      </c>
      <c r="D2145">
        <v>1044264</v>
      </c>
      <c r="E2145" t="str">
        <f>IFERROR(+VLOOKUP(Movimientos_2026[[#This Row],[Codigo]],Plan_cuentas[],2,FALSE)," ")</f>
        <v>INGRESOS</v>
      </c>
      <c r="F2145" t="str">
        <f>IFERROR(+VLOOKUP(Movimientos_2026[[#This Row],[Codigo]],Plan_cuentas[],3,FALSE)," ")</f>
        <v>Transferencia</v>
      </c>
      <c r="G2145" t="str">
        <f>IFERROR(+VLOOKUP(Movimientos_2026[[#This Row],[Codigo]],Plan_cuentas[],4,FALSE)," ")</f>
        <v>Rentas</v>
      </c>
      <c r="H2145" t="str">
        <f>IFERROR(+VLOOKUP(Movimientos_2026[[#This Row],[Codigo]],Plan_cuentas[],5,FALSE)," ")</f>
        <v>LA PAMPA</v>
      </c>
      <c r="I2145" s="43">
        <v>46174</v>
      </c>
      <c r="J2145" t="s">
        <v>932</v>
      </c>
      <c r="K2145" t="str">
        <f>IFERROR(+VLOOKUP(Movimientos_2026[[#This Row],[Codigo]],Plan_cuentas[],6,FALSE)," ")</f>
        <v>4 - FCA - Fiat</v>
      </c>
      <c r="L2145" s="50">
        <v>3858750</v>
      </c>
      <c r="M2145" s="50"/>
      <c r="N2145" s="20">
        <f>+Movimientos_2026[[#This Row],[Ingresos]]-Movimientos_2026[[#This Row],[Egresos]]</f>
        <v>3858750</v>
      </c>
      <c r="O2145" s="20">
        <f>+O2144+Movimientos_2026[[#This Row],[Neto]]</f>
        <v>5601775624.4060068</v>
      </c>
    </row>
    <row r="2146" spans="1:15" x14ac:dyDescent="0.25">
      <c r="A2146" s="13">
        <v>46206</v>
      </c>
      <c r="B2146" s="12">
        <f>MONTH(Movimientos_2026[[#This Row],[Fecha]])</f>
        <v>7</v>
      </c>
      <c r="C2146" s="12" t="str">
        <f>VLOOKUP((WEEKDAY(Movimientos_2026[[#This Row],[Fecha]],2)),'5. Setup'!$D$6:$E$12,2,FALSE)</f>
        <v>Vie</v>
      </c>
      <c r="D2146">
        <v>1044266</v>
      </c>
      <c r="E2146" t="str">
        <f>IFERROR(+VLOOKUP(Movimientos_2026[[#This Row],[Codigo]],Plan_cuentas[],2,FALSE)," ")</f>
        <v>INGRESOS</v>
      </c>
      <c r="F2146" t="str">
        <f>IFERROR(+VLOOKUP(Movimientos_2026[[#This Row],[Codigo]],Plan_cuentas[],3,FALSE)," ")</f>
        <v>Transferencia</v>
      </c>
      <c r="G2146" t="str">
        <f>IFERROR(+VLOOKUP(Movimientos_2026[[#This Row],[Codigo]],Plan_cuentas[],4,FALSE)," ")</f>
        <v>Rentas</v>
      </c>
      <c r="H2146" t="str">
        <f>IFERROR(+VLOOKUP(Movimientos_2026[[#This Row],[Codigo]],Plan_cuentas[],5,FALSE)," ")</f>
        <v>LA PAMPA</v>
      </c>
      <c r="I2146" s="43">
        <v>46174</v>
      </c>
      <c r="J2146" t="s">
        <v>932</v>
      </c>
      <c r="K2146" t="str">
        <f>IFERROR(+VLOOKUP(Movimientos_2026[[#This Row],[Codigo]],Plan_cuentas[],6,FALSE)," ")</f>
        <v>6 - FCAtr - Fiat Transf.</v>
      </c>
      <c r="L2146" s="50">
        <v>137332.73000000001</v>
      </c>
      <c r="M2146" s="50"/>
      <c r="N2146" s="20">
        <f>+Movimientos_2026[[#This Row],[Ingresos]]-Movimientos_2026[[#This Row],[Egresos]]</f>
        <v>137332.73000000001</v>
      </c>
      <c r="O2146" s="20">
        <f>+O2145+Movimientos_2026[[#This Row],[Neto]]</f>
        <v>5601912957.1360064</v>
      </c>
    </row>
    <row r="2147" spans="1:15" x14ac:dyDescent="0.25">
      <c r="A2147" s="13">
        <v>46206</v>
      </c>
      <c r="B2147" s="12">
        <f>MONTH(Movimientos_2026[[#This Row],[Fecha]])</f>
        <v>7</v>
      </c>
      <c r="C2147" s="12" t="str">
        <f>VLOOKUP((WEEKDAY(Movimientos_2026[[#This Row],[Fecha]],2)),'5. Setup'!$D$6:$E$12,2,FALSE)</f>
        <v>Vie</v>
      </c>
      <c r="D2147">
        <v>1044264</v>
      </c>
      <c r="E2147" t="str">
        <f>IFERROR(+VLOOKUP(Movimientos_2026[[#This Row],[Codigo]],Plan_cuentas[],2,FALSE)," ")</f>
        <v>INGRESOS</v>
      </c>
      <c r="F2147" t="str">
        <f>IFERROR(+VLOOKUP(Movimientos_2026[[#This Row],[Codigo]],Plan_cuentas[],3,FALSE)," ")</f>
        <v>Transferencia</v>
      </c>
      <c r="G2147" t="str">
        <f>IFERROR(+VLOOKUP(Movimientos_2026[[#This Row],[Codigo]],Plan_cuentas[],4,FALSE)," ")</f>
        <v>Rentas</v>
      </c>
      <c r="H2147" t="str">
        <f>IFERROR(+VLOOKUP(Movimientos_2026[[#This Row],[Codigo]],Plan_cuentas[],5,FALSE)," ")</f>
        <v>LA PAMPA</v>
      </c>
      <c r="I2147" s="43">
        <v>46174</v>
      </c>
      <c r="J2147" t="s">
        <v>932</v>
      </c>
      <c r="K2147" t="str">
        <f>IFERROR(+VLOOKUP(Movimientos_2026[[#This Row],[Codigo]],Plan_cuentas[],6,FALSE)," ")</f>
        <v>4 - FCA - Fiat</v>
      </c>
      <c r="L2147" s="50">
        <v>4418469.12</v>
      </c>
      <c r="M2147" s="50"/>
      <c r="N2147" s="20">
        <f>+Movimientos_2026[[#This Row],[Ingresos]]-Movimientos_2026[[#This Row],[Egresos]]</f>
        <v>4418469.12</v>
      </c>
      <c r="O2147" s="20">
        <f>+O2146+Movimientos_2026[[#This Row],[Neto]]</f>
        <v>5606331426.2560062</v>
      </c>
    </row>
    <row r="2148" spans="1:15" x14ac:dyDescent="0.25">
      <c r="A2148" s="13">
        <v>46206</v>
      </c>
      <c r="B2148" s="12">
        <f>MONTH(Movimientos_2026[[#This Row],[Fecha]])</f>
        <v>7</v>
      </c>
      <c r="C2148" s="12" t="str">
        <f>VLOOKUP((WEEKDAY(Movimientos_2026[[#This Row],[Fecha]],2)),'5. Setup'!$D$6:$E$12,2,FALSE)</f>
        <v>Vie</v>
      </c>
      <c r="D2148">
        <v>1044274</v>
      </c>
      <c r="E2148" t="str">
        <f>IFERROR(+VLOOKUP(Movimientos_2026[[#This Row],[Codigo]],Plan_cuentas[],2,FALSE)," ")</f>
        <v>INGRESOS</v>
      </c>
      <c r="F2148" t="str">
        <f>IFERROR(+VLOOKUP(Movimientos_2026[[#This Row],[Codigo]],Plan_cuentas[],3,FALSE)," ")</f>
        <v>Transferencia</v>
      </c>
      <c r="G2148" t="str">
        <f>IFERROR(+VLOOKUP(Movimientos_2026[[#This Row],[Codigo]],Plan_cuentas[],4,FALSE)," ")</f>
        <v>Rentas</v>
      </c>
      <c r="H2148" t="str">
        <f>IFERROR(+VLOOKUP(Movimientos_2026[[#This Row],[Codigo]],Plan_cuentas[],5,FALSE)," ")</f>
        <v>LA RIOJA</v>
      </c>
      <c r="I2148" s="43">
        <v>46174</v>
      </c>
      <c r="J2148" t="s">
        <v>932</v>
      </c>
      <c r="K2148" t="str">
        <f>IFERROR(+VLOOKUP(Movimientos_2026[[#This Row],[Codigo]],Plan_cuentas[],6,FALSE)," ")</f>
        <v>4 - FCA - Fiat</v>
      </c>
      <c r="L2148" s="50">
        <v>22887543.329999998</v>
      </c>
      <c r="M2148" s="50"/>
      <c r="N2148" s="20">
        <f>+Movimientos_2026[[#This Row],[Ingresos]]-Movimientos_2026[[#This Row],[Egresos]]</f>
        <v>22887543.329999998</v>
      </c>
      <c r="O2148" s="20">
        <f>+O2147+Movimientos_2026[[#This Row],[Neto]]</f>
        <v>5629218969.5860062</v>
      </c>
    </row>
    <row r="2149" spans="1:15" x14ac:dyDescent="0.25">
      <c r="A2149" s="13">
        <v>46206</v>
      </c>
      <c r="B2149" s="12">
        <f>MONTH(Movimientos_2026[[#This Row],[Fecha]])</f>
        <v>7</v>
      </c>
      <c r="C2149" s="12" t="str">
        <f>VLOOKUP((WEEKDAY(Movimientos_2026[[#This Row],[Fecha]],2)),'5. Setup'!$D$6:$E$12,2,FALSE)</f>
        <v>Vie</v>
      </c>
      <c r="D2149">
        <v>1044284</v>
      </c>
      <c r="E2149" t="str">
        <f>IFERROR(+VLOOKUP(Movimientos_2026[[#This Row],[Codigo]],Plan_cuentas[],2,FALSE)," ")</f>
        <v>INGRESOS</v>
      </c>
      <c r="F2149" t="str">
        <f>IFERROR(+VLOOKUP(Movimientos_2026[[#This Row],[Codigo]],Plan_cuentas[],3,FALSE)," ")</f>
        <v>Transferencia</v>
      </c>
      <c r="G2149" t="str">
        <f>IFERROR(+VLOOKUP(Movimientos_2026[[#This Row],[Codigo]],Plan_cuentas[],4,FALSE)," ")</f>
        <v>Rentas</v>
      </c>
      <c r="H2149" t="str">
        <f>IFERROR(+VLOOKUP(Movimientos_2026[[#This Row],[Codigo]],Plan_cuentas[],5,FALSE)," ")</f>
        <v>MENDOZA</v>
      </c>
      <c r="I2149" s="43">
        <v>46174</v>
      </c>
      <c r="J2149" t="s">
        <v>932</v>
      </c>
      <c r="K2149" t="str">
        <f>IFERROR(+VLOOKUP(Movimientos_2026[[#This Row],[Codigo]],Plan_cuentas[],6,FALSE)," ")</f>
        <v>4 - FCA - Fiat</v>
      </c>
      <c r="L2149" s="50">
        <v>107696300</v>
      </c>
      <c r="M2149" s="50"/>
      <c r="N2149" s="20">
        <f>+Movimientos_2026[[#This Row],[Ingresos]]-Movimientos_2026[[#This Row],[Egresos]]</f>
        <v>107696300</v>
      </c>
      <c r="O2149" s="20">
        <f>+O2148+Movimientos_2026[[#This Row],[Neto]]</f>
        <v>5736915269.5860062</v>
      </c>
    </row>
    <row r="2150" spans="1:15" x14ac:dyDescent="0.25">
      <c r="A2150" s="13">
        <v>46206</v>
      </c>
      <c r="B2150" s="12">
        <f>MONTH(Movimientos_2026[[#This Row],[Fecha]])</f>
        <v>7</v>
      </c>
      <c r="C2150" s="12" t="str">
        <f>VLOOKUP((WEEKDAY(Movimientos_2026[[#This Row],[Fecha]],2)),'5. Setup'!$D$6:$E$12,2,FALSE)</f>
        <v>Vie</v>
      </c>
      <c r="D2150">
        <v>1044286</v>
      </c>
      <c r="E2150" t="str">
        <f>IFERROR(+VLOOKUP(Movimientos_2026[[#This Row],[Codigo]],Plan_cuentas[],2,FALSE)," ")</f>
        <v>INGRESOS</v>
      </c>
      <c r="F2150" t="str">
        <f>IFERROR(+VLOOKUP(Movimientos_2026[[#This Row],[Codigo]],Plan_cuentas[],3,FALSE)," ")</f>
        <v>Transferencia</v>
      </c>
      <c r="G2150" t="str">
        <f>IFERROR(+VLOOKUP(Movimientos_2026[[#This Row],[Codigo]],Plan_cuentas[],4,FALSE)," ")</f>
        <v>Rentas</v>
      </c>
      <c r="H2150" t="str">
        <f>IFERROR(+VLOOKUP(Movimientos_2026[[#This Row],[Codigo]],Plan_cuentas[],5,FALSE)," ")</f>
        <v>MENDOZA</v>
      </c>
      <c r="I2150" s="43">
        <v>46174</v>
      </c>
      <c r="J2150" t="s">
        <v>932</v>
      </c>
      <c r="K2150" t="str">
        <f>IFERROR(+VLOOKUP(Movimientos_2026[[#This Row],[Codigo]],Plan_cuentas[],6,FALSE)," ")</f>
        <v>6 - FCAtr - Fiat Transf.</v>
      </c>
      <c r="L2150" s="50">
        <v>3654804.1599999978</v>
      </c>
      <c r="M2150" s="50"/>
      <c r="N2150" s="20">
        <f>+Movimientos_2026[[#This Row],[Ingresos]]-Movimientos_2026[[#This Row],[Egresos]]</f>
        <v>3654804.1599999978</v>
      </c>
      <c r="O2150" s="20">
        <f>+O2149+Movimientos_2026[[#This Row],[Neto]]</f>
        <v>5740570073.746006</v>
      </c>
    </row>
    <row r="2151" spans="1:15" x14ac:dyDescent="0.25">
      <c r="A2151" s="13">
        <v>46206</v>
      </c>
      <c r="B2151" s="12">
        <f>MONTH(Movimientos_2026[[#This Row],[Fecha]])</f>
        <v>7</v>
      </c>
      <c r="C2151" s="12" t="str">
        <f>VLOOKUP((WEEKDAY(Movimientos_2026[[#This Row],[Fecha]],2)),'5. Setup'!$D$6:$E$12,2,FALSE)</f>
        <v>Vie</v>
      </c>
      <c r="D2151">
        <v>1044464</v>
      </c>
      <c r="E2151" t="str">
        <f>IFERROR(+VLOOKUP(Movimientos_2026[[#This Row],[Codigo]],Plan_cuentas[],2,FALSE)," ")</f>
        <v>INGRESOS</v>
      </c>
      <c r="F2151" t="str">
        <f>IFERROR(+VLOOKUP(Movimientos_2026[[#This Row],[Codigo]],Plan_cuentas[],3,FALSE)," ")</f>
        <v>Transferencia</v>
      </c>
      <c r="G2151" t="str">
        <f>IFERROR(+VLOOKUP(Movimientos_2026[[#This Row],[Codigo]],Plan_cuentas[],4,FALSE)," ")</f>
        <v>Rentas</v>
      </c>
      <c r="H2151" t="str">
        <f>IFERROR(+VLOOKUP(Movimientos_2026[[#This Row],[Codigo]],Plan_cuentas[],5,FALSE)," ")</f>
        <v>MISIONES</v>
      </c>
      <c r="I2151" s="43">
        <v>46174</v>
      </c>
      <c r="J2151" t="s">
        <v>932</v>
      </c>
      <c r="K2151" t="str">
        <f>IFERROR(+VLOOKUP(Movimientos_2026[[#This Row],[Codigo]],Plan_cuentas[],6,FALSE)," ")</f>
        <v>4 - FCA - Fiat</v>
      </c>
      <c r="L2151" s="50">
        <v>7506217.9299999997</v>
      </c>
      <c r="M2151" s="50"/>
      <c r="N2151" s="20">
        <f>+Movimientos_2026[[#This Row],[Ingresos]]-Movimientos_2026[[#This Row],[Egresos]]</f>
        <v>7506217.9299999997</v>
      </c>
      <c r="O2151" s="20">
        <f>+O2150+Movimientos_2026[[#This Row],[Neto]]</f>
        <v>5748076291.6760063</v>
      </c>
    </row>
    <row r="2152" spans="1:15" x14ac:dyDescent="0.25">
      <c r="A2152" s="13">
        <v>46206</v>
      </c>
      <c r="B2152" s="12">
        <f>MONTH(Movimientos_2026[[#This Row],[Fecha]])</f>
        <v>7</v>
      </c>
      <c r="C2152" s="12" t="str">
        <f>VLOOKUP((WEEKDAY(Movimientos_2026[[#This Row],[Fecha]],2)),'5. Setup'!$D$6:$E$12,2,FALSE)</f>
        <v>Vie</v>
      </c>
      <c r="D2152">
        <v>1044324</v>
      </c>
      <c r="E2152" t="str">
        <f>IFERROR(+VLOOKUP(Movimientos_2026[[#This Row],[Codigo]],Plan_cuentas[],2,FALSE)," ")</f>
        <v>INGRESOS</v>
      </c>
      <c r="F2152" t="str">
        <f>IFERROR(+VLOOKUP(Movimientos_2026[[#This Row],[Codigo]],Plan_cuentas[],3,FALSE)," ")</f>
        <v>Transferencia</v>
      </c>
      <c r="G2152" t="str">
        <f>IFERROR(+VLOOKUP(Movimientos_2026[[#This Row],[Codigo]],Plan_cuentas[],4,FALSE)," ")</f>
        <v>Rentas</v>
      </c>
      <c r="H2152" t="str">
        <f>IFERROR(+VLOOKUP(Movimientos_2026[[#This Row],[Codigo]],Plan_cuentas[],5,FALSE)," ")</f>
        <v>NEUQUEN 2° Q</v>
      </c>
      <c r="I2152" s="43">
        <v>46174</v>
      </c>
      <c r="J2152" t="s">
        <v>932</v>
      </c>
      <c r="K2152" t="str">
        <f>IFERROR(+VLOOKUP(Movimientos_2026[[#This Row],[Codigo]],Plan_cuentas[],6,FALSE)," ")</f>
        <v>4 - FCA - Fiat</v>
      </c>
      <c r="L2152" s="50">
        <v>78589440</v>
      </c>
      <c r="M2152" s="50"/>
      <c r="N2152" s="20">
        <f>+Movimientos_2026[[#This Row],[Ingresos]]-Movimientos_2026[[#This Row],[Egresos]]</f>
        <v>78589440</v>
      </c>
      <c r="O2152" s="20">
        <f>+O2151+Movimientos_2026[[#This Row],[Neto]]</f>
        <v>5826665731.6760063</v>
      </c>
    </row>
    <row r="2153" spans="1:15" x14ac:dyDescent="0.25">
      <c r="A2153" s="13">
        <v>46206</v>
      </c>
      <c r="B2153" s="12">
        <f>MONTH(Movimientos_2026[[#This Row],[Fecha]])</f>
        <v>7</v>
      </c>
      <c r="C2153" s="12" t="str">
        <f>VLOOKUP((WEEKDAY(Movimientos_2026[[#This Row],[Fecha]],2)),'5. Setup'!$D$6:$E$12,2,FALSE)</f>
        <v>Vie</v>
      </c>
      <c r="D2153">
        <v>1044326</v>
      </c>
      <c r="E2153" t="str">
        <f>IFERROR(+VLOOKUP(Movimientos_2026[[#This Row],[Codigo]],Plan_cuentas[],2,FALSE)," ")</f>
        <v>INGRESOS</v>
      </c>
      <c r="F2153" t="str">
        <f>IFERROR(+VLOOKUP(Movimientos_2026[[#This Row],[Codigo]],Plan_cuentas[],3,FALSE)," ")</f>
        <v>Transferencia</v>
      </c>
      <c r="G2153" t="str">
        <f>IFERROR(+VLOOKUP(Movimientos_2026[[#This Row],[Codigo]],Plan_cuentas[],4,FALSE)," ")</f>
        <v>Rentas</v>
      </c>
      <c r="H2153" t="str">
        <f>IFERROR(+VLOOKUP(Movimientos_2026[[#This Row],[Codigo]],Plan_cuentas[],5,FALSE)," ")</f>
        <v>NEUQUEN 2° Q</v>
      </c>
      <c r="I2153" s="43">
        <v>46174</v>
      </c>
      <c r="J2153" t="s">
        <v>932</v>
      </c>
      <c r="K2153" t="str">
        <f>IFERROR(+VLOOKUP(Movimientos_2026[[#This Row],[Codigo]],Plan_cuentas[],6,FALSE)," ")</f>
        <v>6 - FCAtr - Fiat Transf.</v>
      </c>
      <c r="L2153" s="50">
        <v>2321810.59</v>
      </c>
      <c r="M2153" s="50"/>
      <c r="N2153" s="20">
        <f>+Movimientos_2026[[#This Row],[Ingresos]]-Movimientos_2026[[#This Row],[Egresos]]</f>
        <v>2321810.59</v>
      </c>
      <c r="O2153" s="20">
        <f>+O2152+Movimientos_2026[[#This Row],[Neto]]</f>
        <v>5828987542.2660065</v>
      </c>
    </row>
    <row r="2154" spans="1:15" x14ac:dyDescent="0.25">
      <c r="A2154" s="13">
        <v>46206</v>
      </c>
      <c r="B2154" s="12">
        <f>MONTH(Movimientos_2026[[#This Row],[Fecha]])</f>
        <v>7</v>
      </c>
      <c r="C2154" s="12" t="str">
        <f>VLOOKUP((WEEKDAY(Movimientos_2026[[#This Row],[Fecha]],2)),'5. Setup'!$D$6:$E$12,2,FALSE)</f>
        <v>Vie</v>
      </c>
      <c r="D2154">
        <v>1044344</v>
      </c>
      <c r="E2154" t="str">
        <f>IFERROR(+VLOOKUP(Movimientos_2026[[#This Row],[Codigo]],Plan_cuentas[],2,FALSE)," ")</f>
        <v>INGRESOS</v>
      </c>
      <c r="F2154" t="str">
        <f>IFERROR(+VLOOKUP(Movimientos_2026[[#This Row],[Codigo]],Plan_cuentas[],3,FALSE)," ")</f>
        <v>Transferencia</v>
      </c>
      <c r="G2154" t="str">
        <f>IFERROR(+VLOOKUP(Movimientos_2026[[#This Row],[Codigo]],Plan_cuentas[],4,FALSE)," ")</f>
        <v>Rentas</v>
      </c>
      <c r="H2154" t="str">
        <f>IFERROR(+VLOOKUP(Movimientos_2026[[#This Row],[Codigo]],Plan_cuentas[],5,FALSE)," ")</f>
        <v>RIO NEGRO</v>
      </c>
      <c r="I2154" s="43">
        <v>46174</v>
      </c>
      <c r="J2154" t="s">
        <v>932</v>
      </c>
      <c r="K2154" t="str">
        <f>IFERROR(+VLOOKUP(Movimientos_2026[[#This Row],[Codigo]],Plan_cuentas[],6,FALSE)," ")</f>
        <v>4 - FCA - Fiat</v>
      </c>
      <c r="L2154" s="50">
        <v>383000</v>
      </c>
      <c r="M2154" s="50"/>
      <c r="N2154" s="20">
        <f>+Movimientos_2026[[#This Row],[Ingresos]]-Movimientos_2026[[#This Row],[Egresos]]</f>
        <v>383000</v>
      </c>
      <c r="O2154" s="20">
        <f>+O2153+Movimientos_2026[[#This Row],[Neto]]</f>
        <v>5829370542.2660065</v>
      </c>
    </row>
    <row r="2155" spans="1:15" x14ac:dyDescent="0.25">
      <c r="A2155" s="13">
        <v>46206</v>
      </c>
      <c r="B2155" s="12">
        <f>MONTH(Movimientos_2026[[#This Row],[Fecha]])</f>
        <v>7</v>
      </c>
      <c r="C2155" s="12" t="str">
        <f>VLOOKUP((WEEKDAY(Movimientos_2026[[#This Row],[Fecha]],2)),'5. Setup'!$D$6:$E$12,2,FALSE)</f>
        <v>Vie</v>
      </c>
      <c r="D2155">
        <v>1044354</v>
      </c>
      <c r="E2155" t="str">
        <f>IFERROR(+VLOOKUP(Movimientos_2026[[#This Row],[Codigo]],Plan_cuentas[],2,FALSE)," ")</f>
        <v>INGRESOS</v>
      </c>
      <c r="F2155" t="str">
        <f>IFERROR(+VLOOKUP(Movimientos_2026[[#This Row],[Codigo]],Plan_cuentas[],3,FALSE)," ")</f>
        <v>Transferencia</v>
      </c>
      <c r="G2155" t="str">
        <f>IFERROR(+VLOOKUP(Movimientos_2026[[#This Row],[Codigo]],Plan_cuentas[],4,FALSE)," ")</f>
        <v>Rentas</v>
      </c>
      <c r="H2155" t="str">
        <f>IFERROR(+VLOOKUP(Movimientos_2026[[#This Row],[Codigo]],Plan_cuentas[],5,FALSE)," ")</f>
        <v>SAN JUAN</v>
      </c>
      <c r="I2155" s="43">
        <v>46174</v>
      </c>
      <c r="J2155" t="s">
        <v>932</v>
      </c>
      <c r="K2155" t="str">
        <f>IFERROR(+VLOOKUP(Movimientos_2026[[#This Row],[Codigo]],Plan_cuentas[],6,FALSE)," ")</f>
        <v>4 - FCA - Fiat</v>
      </c>
      <c r="L2155" s="50">
        <v>8268048</v>
      </c>
      <c r="M2155" s="50"/>
      <c r="N2155" s="20">
        <f>+Movimientos_2026[[#This Row],[Ingresos]]-Movimientos_2026[[#This Row],[Egresos]]</f>
        <v>8268048</v>
      </c>
      <c r="O2155" s="20">
        <f>+O2154+Movimientos_2026[[#This Row],[Neto]]</f>
        <v>5837638590.2660065</v>
      </c>
    </row>
    <row r="2156" spans="1:15" x14ac:dyDescent="0.25">
      <c r="A2156" s="13">
        <v>46206</v>
      </c>
      <c r="B2156" s="12">
        <f>MONTH(Movimientos_2026[[#This Row],[Fecha]])</f>
        <v>7</v>
      </c>
      <c r="C2156" s="12" t="str">
        <f>VLOOKUP((WEEKDAY(Movimientos_2026[[#This Row],[Fecha]],2)),'5. Setup'!$D$6:$E$12,2,FALSE)</f>
        <v>Vie</v>
      </c>
      <c r="D2156">
        <v>1044356</v>
      </c>
      <c r="E2156" t="str">
        <f>IFERROR(+VLOOKUP(Movimientos_2026[[#This Row],[Codigo]],Plan_cuentas[],2,FALSE)," ")</f>
        <v>INGRESOS</v>
      </c>
      <c r="F2156" t="str">
        <f>IFERROR(+VLOOKUP(Movimientos_2026[[#This Row],[Codigo]],Plan_cuentas[],3,FALSE)," ")</f>
        <v>Transferencia</v>
      </c>
      <c r="G2156" t="str">
        <f>IFERROR(+VLOOKUP(Movimientos_2026[[#This Row],[Codigo]],Plan_cuentas[],4,FALSE)," ")</f>
        <v>Rentas</v>
      </c>
      <c r="H2156" t="str">
        <f>IFERROR(+VLOOKUP(Movimientos_2026[[#This Row],[Codigo]],Plan_cuentas[],5,FALSE)," ")</f>
        <v>SAN JUAN</v>
      </c>
      <c r="I2156" s="43">
        <v>46174</v>
      </c>
      <c r="J2156" t="s">
        <v>932</v>
      </c>
      <c r="K2156" t="str">
        <f>IFERROR(+VLOOKUP(Movimientos_2026[[#This Row],[Codigo]],Plan_cuentas[],6,FALSE)," ")</f>
        <v>6 - FCAtr - Fiat Transf.</v>
      </c>
      <c r="L2156" s="50">
        <v>4256357.1900000004</v>
      </c>
      <c r="M2156" s="50"/>
      <c r="N2156" s="20">
        <f>+Movimientos_2026[[#This Row],[Ingresos]]-Movimientos_2026[[#This Row],[Egresos]]</f>
        <v>4256357.1900000004</v>
      </c>
      <c r="O2156" s="20">
        <f>+O2155+Movimientos_2026[[#This Row],[Neto]]</f>
        <v>5841894947.4560061</v>
      </c>
    </row>
    <row r="2157" spans="1:15" x14ac:dyDescent="0.25">
      <c r="A2157" s="13">
        <v>46206</v>
      </c>
      <c r="B2157" s="12">
        <f>MONTH(Movimientos_2026[[#This Row],[Fecha]])</f>
        <v>7</v>
      </c>
      <c r="C2157" s="12" t="str">
        <f>VLOOKUP((WEEKDAY(Movimientos_2026[[#This Row],[Fecha]],2)),'5. Setup'!$D$6:$E$12,2,FALSE)</f>
        <v>Vie</v>
      </c>
      <c r="D2157">
        <v>1044364</v>
      </c>
      <c r="E2157" t="str">
        <f>IFERROR(+VLOOKUP(Movimientos_2026[[#This Row],[Codigo]],Plan_cuentas[],2,FALSE)," ")</f>
        <v>INGRESOS</v>
      </c>
      <c r="F2157" t="str">
        <f>IFERROR(+VLOOKUP(Movimientos_2026[[#This Row],[Codigo]],Plan_cuentas[],3,FALSE)," ")</f>
        <v>Transferencia</v>
      </c>
      <c r="G2157" t="str">
        <f>IFERROR(+VLOOKUP(Movimientos_2026[[#This Row],[Codigo]],Plan_cuentas[],4,FALSE)," ")</f>
        <v>Rentas</v>
      </c>
      <c r="H2157" t="str">
        <f>IFERROR(+VLOOKUP(Movimientos_2026[[#This Row],[Codigo]],Plan_cuentas[],5,FALSE)," ")</f>
        <v>SAN LUIS</v>
      </c>
      <c r="I2157" s="43">
        <v>46174</v>
      </c>
      <c r="J2157" t="s">
        <v>932</v>
      </c>
      <c r="K2157" t="str">
        <f>IFERROR(+VLOOKUP(Movimientos_2026[[#This Row],[Codigo]],Plan_cuentas[],6,FALSE)," ")</f>
        <v>4 - FCA - Fiat</v>
      </c>
      <c r="L2157" s="50">
        <v>37652031.079999998</v>
      </c>
      <c r="M2157" s="50"/>
      <c r="N2157" s="20">
        <f>+Movimientos_2026[[#This Row],[Ingresos]]-Movimientos_2026[[#This Row],[Egresos]]</f>
        <v>37652031.079999998</v>
      </c>
      <c r="O2157" s="20">
        <f>+O2156+Movimientos_2026[[#This Row],[Neto]]</f>
        <v>5879546978.536006</v>
      </c>
    </row>
    <row r="2158" spans="1:15" x14ac:dyDescent="0.25">
      <c r="A2158" s="13">
        <v>46206</v>
      </c>
      <c r="B2158" s="12">
        <f>MONTH(Movimientos_2026[[#This Row],[Fecha]])</f>
        <v>7</v>
      </c>
      <c r="C2158" s="12" t="str">
        <f>VLOOKUP((WEEKDAY(Movimientos_2026[[#This Row],[Fecha]],2)),'5. Setup'!$D$6:$E$12,2,FALSE)</f>
        <v>Vie</v>
      </c>
      <c r="D2158">
        <v>1044374</v>
      </c>
      <c r="E2158" t="str">
        <f>IFERROR(+VLOOKUP(Movimientos_2026[[#This Row],[Codigo]],Plan_cuentas[],2,FALSE)," ")</f>
        <v>INGRESOS</v>
      </c>
      <c r="F2158" t="str">
        <f>IFERROR(+VLOOKUP(Movimientos_2026[[#This Row],[Codigo]],Plan_cuentas[],3,FALSE)," ")</f>
        <v>Transferencia</v>
      </c>
      <c r="G2158" t="str">
        <f>IFERROR(+VLOOKUP(Movimientos_2026[[#This Row],[Codigo]],Plan_cuentas[],4,FALSE)," ")</f>
        <v>Rentas</v>
      </c>
      <c r="H2158" t="str">
        <f>IFERROR(+VLOOKUP(Movimientos_2026[[#This Row],[Codigo]],Plan_cuentas[],5,FALSE)," ")</f>
        <v>SANTA CRUZ</v>
      </c>
      <c r="I2158" s="43">
        <v>46174</v>
      </c>
      <c r="J2158" t="s">
        <v>932</v>
      </c>
      <c r="K2158" t="str">
        <f>IFERROR(+VLOOKUP(Movimientos_2026[[#This Row],[Codigo]],Plan_cuentas[],6,FALSE)," ")</f>
        <v>4 - FCA - Fiat</v>
      </c>
      <c r="L2158" s="50">
        <v>20101597.91</v>
      </c>
      <c r="M2158" s="50"/>
      <c r="N2158" s="20">
        <f>+Movimientos_2026[[#This Row],[Ingresos]]-Movimientos_2026[[#This Row],[Egresos]]</f>
        <v>20101597.91</v>
      </c>
      <c r="O2158" s="20">
        <f>+O2157+Movimientos_2026[[#This Row],[Neto]]</f>
        <v>5899648576.4460058</v>
      </c>
    </row>
    <row r="2159" spans="1:15" x14ac:dyDescent="0.25">
      <c r="A2159" s="13">
        <v>46206</v>
      </c>
      <c r="B2159" s="12">
        <f>MONTH(Movimientos_2026[[#This Row],[Fecha]])</f>
        <v>7</v>
      </c>
      <c r="C2159" s="12" t="str">
        <f>VLOOKUP((WEEKDAY(Movimientos_2026[[#This Row],[Fecha]],2)),'5. Setup'!$D$6:$E$12,2,FALSE)</f>
        <v>Vie</v>
      </c>
      <c r="D2159">
        <v>1044404</v>
      </c>
      <c r="E2159" t="str">
        <f>IFERROR(+VLOOKUP(Movimientos_2026[[#This Row],[Codigo]],Plan_cuentas[],2,FALSE)," ")</f>
        <v>INGRESOS</v>
      </c>
      <c r="F2159" t="str">
        <f>IFERROR(+VLOOKUP(Movimientos_2026[[#This Row],[Codigo]],Plan_cuentas[],3,FALSE)," ")</f>
        <v>Transferencia</v>
      </c>
      <c r="G2159" t="str">
        <f>IFERROR(+VLOOKUP(Movimientos_2026[[#This Row],[Codigo]],Plan_cuentas[],4,FALSE)," ")</f>
        <v>Rentas</v>
      </c>
      <c r="H2159" t="str">
        <f>IFERROR(+VLOOKUP(Movimientos_2026[[#This Row],[Codigo]],Plan_cuentas[],5,FALSE)," ")</f>
        <v>SANTIAGO DEL ESTERO</v>
      </c>
      <c r="I2159" s="43">
        <v>46174</v>
      </c>
      <c r="J2159" t="s">
        <v>932</v>
      </c>
      <c r="K2159" t="str">
        <f>IFERROR(+VLOOKUP(Movimientos_2026[[#This Row],[Codigo]],Plan_cuentas[],6,FALSE)," ")</f>
        <v>4 - FCA - Fiat</v>
      </c>
      <c r="L2159" s="50">
        <v>33430612.739999998</v>
      </c>
      <c r="M2159" s="50"/>
      <c r="N2159" s="20">
        <f>+Movimientos_2026[[#This Row],[Ingresos]]-Movimientos_2026[[#This Row],[Egresos]]</f>
        <v>33430612.739999998</v>
      </c>
      <c r="O2159" s="20">
        <f>+O2158+Movimientos_2026[[#This Row],[Neto]]</f>
        <v>5933079189.1860056</v>
      </c>
    </row>
    <row r="2160" spans="1:15" x14ac:dyDescent="0.25">
      <c r="A2160" s="13">
        <v>46206</v>
      </c>
      <c r="B2160" s="12">
        <f>MONTH(Movimientos_2026[[#This Row],[Fecha]])</f>
        <v>7</v>
      </c>
      <c r="C2160" s="12" t="str">
        <f>VLOOKUP((WEEKDAY(Movimientos_2026[[#This Row],[Fecha]],2)),'5. Setup'!$D$6:$E$12,2,FALSE)</f>
        <v>Vie</v>
      </c>
      <c r="D2160">
        <v>1044406</v>
      </c>
      <c r="E2160" t="str">
        <f>IFERROR(+VLOOKUP(Movimientos_2026[[#This Row],[Codigo]],Plan_cuentas[],2,FALSE)," ")</f>
        <v>INGRESOS</v>
      </c>
      <c r="F2160" t="str">
        <f>IFERROR(+VLOOKUP(Movimientos_2026[[#This Row],[Codigo]],Plan_cuentas[],3,FALSE)," ")</f>
        <v>Transferencia</v>
      </c>
      <c r="G2160" t="str">
        <f>IFERROR(+VLOOKUP(Movimientos_2026[[#This Row],[Codigo]],Plan_cuentas[],4,FALSE)," ")</f>
        <v>Rentas</v>
      </c>
      <c r="H2160" t="str">
        <f>IFERROR(+VLOOKUP(Movimientos_2026[[#This Row],[Codigo]],Plan_cuentas[],5,FALSE)," ")</f>
        <v>SANTIAGO DEL ESTERO</v>
      </c>
      <c r="I2160" s="43">
        <v>46174</v>
      </c>
      <c r="J2160" t="s">
        <v>932</v>
      </c>
      <c r="K2160" t="str">
        <f>IFERROR(+VLOOKUP(Movimientos_2026[[#This Row],[Codigo]],Plan_cuentas[],6,FALSE)," ")</f>
        <v>6 - FCAtr - Fiat Transf.</v>
      </c>
      <c r="L2160" s="50">
        <v>1007211.51</v>
      </c>
      <c r="M2160" s="52"/>
      <c r="N2160" s="20">
        <f>+Movimientos_2026[[#This Row],[Ingresos]]-Movimientos_2026[[#This Row],[Egresos]]</f>
        <v>1007211.51</v>
      </c>
      <c r="O2160" s="20">
        <f>+O2159+Movimientos_2026[[#This Row],[Neto]]</f>
        <v>5934086400.6960058</v>
      </c>
    </row>
    <row r="2161" spans="1:15" x14ac:dyDescent="0.25">
      <c r="A2161" s="13">
        <v>46206</v>
      </c>
      <c r="B2161" s="12">
        <f>MONTH(Movimientos_2026[[#This Row],[Fecha]])</f>
        <v>7</v>
      </c>
      <c r="C2161" s="12" t="str">
        <f>VLOOKUP((WEEKDAY(Movimientos_2026[[#This Row],[Fecha]],2)),'5. Setup'!$D$6:$E$12,2,FALSE)</f>
        <v>Vie</v>
      </c>
      <c r="D2161">
        <v>1044404</v>
      </c>
      <c r="E2161" t="str">
        <f>IFERROR(+VLOOKUP(Movimientos_2026[[#This Row],[Codigo]],Plan_cuentas[],2,FALSE)," ")</f>
        <v>INGRESOS</v>
      </c>
      <c r="F2161" t="str">
        <f>IFERROR(+VLOOKUP(Movimientos_2026[[#This Row],[Codigo]],Plan_cuentas[],3,FALSE)," ")</f>
        <v>Transferencia</v>
      </c>
      <c r="G2161" t="str">
        <f>IFERROR(+VLOOKUP(Movimientos_2026[[#This Row],[Codigo]],Plan_cuentas[],4,FALSE)," ")</f>
        <v>Rentas</v>
      </c>
      <c r="H2161" t="str">
        <f>IFERROR(+VLOOKUP(Movimientos_2026[[#This Row],[Codigo]],Plan_cuentas[],5,FALSE)," ")</f>
        <v>SANTIAGO DEL ESTERO</v>
      </c>
      <c r="I2161" s="43">
        <v>46174</v>
      </c>
      <c r="J2161" t="s">
        <v>932</v>
      </c>
      <c r="K2161" t="str">
        <f>IFERROR(+VLOOKUP(Movimientos_2026[[#This Row],[Codigo]],Plan_cuentas[],6,FALSE)," ")</f>
        <v>4 - FCA - Fiat</v>
      </c>
      <c r="L2161" s="50">
        <v>11336071.890000001</v>
      </c>
      <c r="M2161" s="50"/>
      <c r="N2161" s="20">
        <f>+Movimientos_2026[[#This Row],[Ingresos]]-Movimientos_2026[[#This Row],[Egresos]]</f>
        <v>11336071.890000001</v>
      </c>
      <c r="O2161" s="20">
        <f>+O2160+Movimientos_2026[[#This Row],[Neto]]</f>
        <v>5945422472.5860062</v>
      </c>
    </row>
    <row r="2162" spans="1:15" x14ac:dyDescent="0.25">
      <c r="A2162" s="13">
        <v>46206</v>
      </c>
      <c r="B2162" s="12">
        <f>MONTH(Movimientos_2026[[#This Row],[Fecha]])</f>
        <v>7</v>
      </c>
      <c r="C2162" s="12" t="str">
        <f>VLOOKUP((WEEKDAY(Movimientos_2026[[#This Row],[Fecha]],2)),'5. Setup'!$D$6:$E$12,2,FALSE)</f>
        <v>Vie</v>
      </c>
      <c r="D2162">
        <v>1044414</v>
      </c>
      <c r="E2162" t="str">
        <f>IFERROR(+VLOOKUP(Movimientos_2026[[#This Row],[Codigo]],Plan_cuentas[],2,FALSE)," ")</f>
        <v>INGRESOS</v>
      </c>
      <c r="F2162" t="str">
        <f>IFERROR(+VLOOKUP(Movimientos_2026[[#This Row],[Codigo]],Plan_cuentas[],3,FALSE)," ")</f>
        <v>Transferencia</v>
      </c>
      <c r="G2162" t="str">
        <f>IFERROR(+VLOOKUP(Movimientos_2026[[#This Row],[Codigo]],Plan_cuentas[],4,FALSE)," ")</f>
        <v>Rentas</v>
      </c>
      <c r="H2162" t="str">
        <f>IFERROR(+VLOOKUP(Movimientos_2026[[#This Row],[Codigo]],Plan_cuentas[],5,FALSE)," ")</f>
        <v>TIERRA DEL FUEGO</v>
      </c>
      <c r="I2162" s="43">
        <v>46174</v>
      </c>
      <c r="J2162" t="s">
        <v>932</v>
      </c>
      <c r="K2162" t="str">
        <f>IFERROR(+VLOOKUP(Movimientos_2026[[#This Row],[Codigo]],Plan_cuentas[],6,FALSE)," ")</f>
        <v>4 - FCA - Fiat</v>
      </c>
      <c r="L2162" s="50">
        <v>20639696.690000001</v>
      </c>
      <c r="M2162" s="50"/>
      <c r="N2162" s="20">
        <f>+Movimientos_2026[[#This Row],[Ingresos]]-Movimientos_2026[[#This Row],[Egresos]]</f>
        <v>20639696.690000001</v>
      </c>
      <c r="O2162" s="20">
        <f>+O2161+Movimientos_2026[[#This Row],[Neto]]</f>
        <v>5966062169.2760057</v>
      </c>
    </row>
    <row r="2163" spans="1:15" x14ac:dyDescent="0.25">
      <c r="A2163" s="13">
        <v>46209</v>
      </c>
      <c r="B2163" s="12">
        <f>MONTH(Movimientos_2026[[#This Row],[Fecha]])</f>
        <v>7</v>
      </c>
      <c r="C2163" s="12" t="str">
        <f>VLOOKUP((WEEKDAY(Movimientos_2026[[#This Row],[Fecha]],2)),'5. Setup'!$D$6:$E$12,2,FALSE)</f>
        <v>Lun</v>
      </c>
      <c r="D2163">
        <v>2054325</v>
      </c>
      <c r="E2163" t="str">
        <f>IFERROR(+VLOOKUP(Movimientos_2026[[#This Row],[Codigo]],Plan_cuentas[],2,FALSE)," ")</f>
        <v>EGRESOS</v>
      </c>
      <c r="F2163" t="str">
        <f>IFERROR(+VLOOKUP(Movimientos_2026[[#This Row],[Codigo]],Plan_cuentas[],3,FALSE)," ")</f>
        <v>VEP</v>
      </c>
      <c r="G2163" t="str">
        <f>IFERROR(+VLOOKUP(Movimientos_2026[[#This Row],[Codigo]],Plan_cuentas[],4,FALSE)," ")</f>
        <v>Rentas</v>
      </c>
      <c r="H2163" t="str">
        <f>IFERROR(+VLOOKUP(Movimientos_2026[[#This Row],[Codigo]],Plan_cuentas[],5,FALSE)," ")</f>
        <v>NEUQUEN 2° Q</v>
      </c>
      <c r="I2163" s="43">
        <v>46174</v>
      </c>
      <c r="J2163" t="s">
        <v>933</v>
      </c>
      <c r="K2163" t="str">
        <f>IFERROR(+VLOOKUP(Movimientos_2026[[#This Row],[Codigo]],Plan_cuentas[],6,FALSE)," ")</f>
        <v>5 - YAM - Yamaha</v>
      </c>
      <c r="L2163" s="50"/>
      <c r="M2163" s="50">
        <v>2152517.4</v>
      </c>
      <c r="N2163" s="20">
        <f>+Movimientos_2026[[#This Row],[Ingresos]]-Movimientos_2026[[#This Row],[Egresos]]</f>
        <v>-2152517.4</v>
      </c>
      <c r="O2163" s="20">
        <f>+O2162+Movimientos_2026[[#This Row],[Neto]]</f>
        <v>5963909651.8760061</v>
      </c>
    </row>
    <row r="2164" spans="1:15" x14ac:dyDescent="0.25">
      <c r="A2164" s="13">
        <v>46209</v>
      </c>
      <c r="B2164" s="12">
        <f>MONTH(Movimientos_2026[[#This Row],[Fecha]])</f>
        <v>7</v>
      </c>
      <c r="C2164" s="12" t="str">
        <f>VLOOKUP((WEEKDAY(Movimientos_2026[[#This Row],[Fecha]],2)),'5. Setup'!$D$6:$E$12,2,FALSE)</f>
        <v>Lun</v>
      </c>
      <c r="D2164">
        <v>2054322</v>
      </c>
      <c r="E2164" s="55" t="str">
        <f>IFERROR(+VLOOKUP(Movimientos_2026[[#This Row],[Codigo]],Plan_cuentas[],2,FALSE)," ")</f>
        <v>EGRESOS</v>
      </c>
      <c r="F2164" t="str">
        <f>IFERROR(+VLOOKUP(Movimientos_2026[[#This Row],[Codigo]],Plan_cuentas[],3,FALSE)," ")</f>
        <v>VEP</v>
      </c>
      <c r="G2164" t="str">
        <f>IFERROR(+VLOOKUP(Movimientos_2026[[#This Row],[Codigo]],Plan_cuentas[],4,FALSE)," ")</f>
        <v>Rentas</v>
      </c>
      <c r="H2164" t="str">
        <f>IFERROR(+VLOOKUP(Movimientos_2026[[#This Row],[Codigo]],Plan_cuentas[],5,FALSE)," ")</f>
        <v>NEUQUEN 2° Q</v>
      </c>
      <c r="I2164" s="43">
        <v>46174</v>
      </c>
      <c r="J2164" t="s">
        <v>934</v>
      </c>
      <c r="K2164" t="str">
        <f>IFERROR(+VLOOKUP(Movimientos_2026[[#This Row],[Codigo]],Plan_cuentas[],6,FALSE)," ")</f>
        <v>2 - PR - Plan Rombo</v>
      </c>
      <c r="L2164" s="50"/>
      <c r="M2164" s="50">
        <v>22299800</v>
      </c>
      <c r="N2164" s="20">
        <f>+Movimientos_2026[[#This Row],[Ingresos]]-Movimientos_2026[[#This Row],[Egresos]]</f>
        <v>-22299800</v>
      </c>
      <c r="O2164" s="20">
        <f>+O2163+Movimientos_2026[[#This Row],[Neto]]</f>
        <v>5941609851.8760061</v>
      </c>
    </row>
    <row r="2165" spans="1:15" x14ac:dyDescent="0.25">
      <c r="A2165" s="13">
        <v>46209</v>
      </c>
      <c r="B2165" s="12">
        <f>MONTH(Movimientos_2026[[#This Row],[Fecha]])</f>
        <v>7</v>
      </c>
      <c r="C2165" s="12" t="str">
        <f>VLOOKUP((WEEKDAY(Movimientos_2026[[#This Row],[Fecha]],2)),'5. Setup'!$D$6:$E$12,2,FALSE)</f>
        <v>Lun</v>
      </c>
      <c r="D2165">
        <v>2054327</v>
      </c>
      <c r="E2165" t="str">
        <f>IFERROR(+VLOOKUP(Movimientos_2026[[#This Row],[Codigo]],Plan_cuentas[],2,FALSE)," ")</f>
        <v>EGRESOS</v>
      </c>
      <c r="F2165" t="str">
        <f>IFERROR(+VLOOKUP(Movimientos_2026[[#This Row],[Codigo]],Plan_cuentas[],3,FALSE)," ")</f>
        <v>VEP</v>
      </c>
      <c r="G2165" t="str">
        <f>IFERROR(+VLOOKUP(Movimientos_2026[[#This Row],[Codigo]],Plan_cuentas[],4,FALSE)," ")</f>
        <v>Rentas</v>
      </c>
      <c r="H2165" t="str">
        <f>IFERROR(+VLOOKUP(Movimientos_2026[[#This Row],[Codigo]],Plan_cuentas[],5,FALSE)," ")</f>
        <v>NEUQUEN 2° Q</v>
      </c>
      <c r="I2165" s="43">
        <v>46174</v>
      </c>
      <c r="J2165" t="s">
        <v>934</v>
      </c>
      <c r="K2165" t="str">
        <f>IFERROR(+VLOOKUP(Movimientos_2026[[#This Row],[Codigo]],Plan_cuentas[],6,FALSE)," ")</f>
        <v>7 - PRtr - Plan Rombo Transf.</v>
      </c>
      <c r="L2165" s="50"/>
      <c r="M2165" s="50">
        <v>5100</v>
      </c>
      <c r="N2165" s="20">
        <f>+Movimientos_2026[[#This Row],[Ingresos]]-Movimientos_2026[[#This Row],[Egresos]]</f>
        <v>-5100</v>
      </c>
      <c r="O2165" s="20">
        <f>+O2164+Movimientos_2026[[#This Row],[Neto]]</f>
        <v>5941604751.8760061</v>
      </c>
    </row>
    <row r="2166" spans="1:15" x14ac:dyDescent="0.25">
      <c r="A2166" s="13">
        <v>46209</v>
      </c>
      <c r="B2166" s="12">
        <f>MONTH(Movimientos_2026[[#This Row],[Fecha]])</f>
        <v>7</v>
      </c>
      <c r="C2166" s="12" t="str">
        <f>VLOOKUP((WEEKDAY(Movimientos_2026[[#This Row],[Fecha]],2)),'5. Setup'!$D$6:$E$12,2,FALSE)</f>
        <v>Lun</v>
      </c>
      <c r="D2166">
        <v>2054324</v>
      </c>
      <c r="E2166" t="str">
        <f>IFERROR(+VLOOKUP(Movimientos_2026[[#This Row],[Codigo]],Plan_cuentas[],2,FALSE)," ")</f>
        <v>EGRESOS</v>
      </c>
      <c r="F2166" t="str">
        <f>IFERROR(+VLOOKUP(Movimientos_2026[[#This Row],[Codigo]],Plan_cuentas[],3,FALSE)," ")</f>
        <v>VEP</v>
      </c>
      <c r="G2166" t="str">
        <f>IFERROR(+VLOOKUP(Movimientos_2026[[#This Row],[Codigo]],Plan_cuentas[],4,FALSE)," ")</f>
        <v>Rentas</v>
      </c>
      <c r="H2166" t="str">
        <f>IFERROR(+VLOOKUP(Movimientos_2026[[#This Row],[Codigo]],Plan_cuentas[],5,FALSE)," ")</f>
        <v>NEUQUEN 2° Q</v>
      </c>
      <c r="I2166" s="43">
        <v>46174</v>
      </c>
      <c r="J2166" t="s">
        <v>935</v>
      </c>
      <c r="K2166" t="str">
        <f>IFERROR(+VLOOKUP(Movimientos_2026[[#This Row],[Codigo]],Plan_cuentas[],6,FALSE)," ")</f>
        <v>4 - FCA - Fiat</v>
      </c>
      <c r="L2166" s="50"/>
      <c r="M2166" s="50">
        <v>78589440</v>
      </c>
      <c r="N2166" s="20">
        <f>+Movimientos_2026[[#This Row],[Ingresos]]-Movimientos_2026[[#This Row],[Egresos]]</f>
        <v>-78589440</v>
      </c>
      <c r="O2166" s="20">
        <f>+O2165+Movimientos_2026[[#This Row],[Neto]]</f>
        <v>5863015311.8760061</v>
      </c>
    </row>
    <row r="2167" spans="1:15" x14ac:dyDescent="0.25">
      <c r="A2167" s="13">
        <v>46209</v>
      </c>
      <c r="B2167" s="12">
        <f>MONTH(Movimientos_2026[[#This Row],[Fecha]])</f>
        <v>7</v>
      </c>
      <c r="C2167" s="12" t="str">
        <f>VLOOKUP((WEEKDAY(Movimientos_2026[[#This Row],[Fecha]],2)),'5. Setup'!$D$6:$E$12,2,FALSE)</f>
        <v>Lun</v>
      </c>
      <c r="D2167">
        <v>2054326</v>
      </c>
      <c r="E2167" t="str">
        <f>IFERROR(+VLOOKUP(Movimientos_2026[[#This Row],[Codigo]],Plan_cuentas[],2,FALSE)," ")</f>
        <v>EGRESOS</v>
      </c>
      <c r="F2167" t="str">
        <f>IFERROR(+VLOOKUP(Movimientos_2026[[#This Row],[Codigo]],Plan_cuentas[],3,FALSE)," ")</f>
        <v>VEP</v>
      </c>
      <c r="G2167" t="str">
        <f>IFERROR(+VLOOKUP(Movimientos_2026[[#This Row],[Codigo]],Plan_cuentas[],4,FALSE)," ")</f>
        <v>Rentas</v>
      </c>
      <c r="H2167" t="str">
        <f>IFERROR(+VLOOKUP(Movimientos_2026[[#This Row],[Codigo]],Plan_cuentas[],5,FALSE)," ")</f>
        <v>NEUQUEN 2° Q</v>
      </c>
      <c r="I2167" s="43">
        <v>46174</v>
      </c>
      <c r="J2167" t="s">
        <v>935</v>
      </c>
      <c r="K2167" t="str">
        <f>IFERROR(+VLOOKUP(Movimientos_2026[[#This Row],[Codigo]],Plan_cuentas[],6,FALSE)," ")</f>
        <v>6 - FCAtr - Fiat Transf.</v>
      </c>
      <c r="L2167" s="50"/>
      <c r="M2167" s="50">
        <v>2309351.56</v>
      </c>
      <c r="N2167" s="20">
        <f>+Movimientos_2026[[#This Row],[Ingresos]]-Movimientos_2026[[#This Row],[Egresos]]</f>
        <v>-2309351.56</v>
      </c>
      <c r="O2167" s="20">
        <f>+O2166+Movimientos_2026[[#This Row],[Neto]]</f>
        <v>5860705960.3160057</v>
      </c>
    </row>
    <row r="2168" spans="1:15" x14ac:dyDescent="0.25">
      <c r="A2168" s="13">
        <v>46209</v>
      </c>
      <c r="B2168" s="12">
        <f>MONTH(Movimientos_2026[[#This Row],[Fecha]])</f>
        <v>7</v>
      </c>
      <c r="C2168" s="12" t="str">
        <f>VLOOKUP((WEEKDAY(Movimientos_2026[[#This Row],[Fecha]],2)),'5. Setup'!$D$6:$E$12,2,FALSE)</f>
        <v>Lun</v>
      </c>
      <c r="D2168">
        <v>1043142</v>
      </c>
      <c r="E2168" t="str">
        <f>IFERROR(+VLOOKUP(Movimientos_2026[[#This Row],[Codigo]],Plan_cuentas[],2,FALSE)," ")</f>
        <v>INGRESOS</v>
      </c>
      <c r="F2168" t="str">
        <f>IFERROR(+VLOOKUP(Movimientos_2026[[#This Row],[Codigo]],Plan_cuentas[],3,FALSE)," ")</f>
        <v>Transferencia</v>
      </c>
      <c r="G2168" t="str">
        <f>IFERROR(+VLOOKUP(Movimientos_2026[[#This Row],[Codigo]],Plan_cuentas[],4,FALSE)," ")</f>
        <v>Registración</v>
      </c>
      <c r="H2168" t="str">
        <f>IFERROR(+VLOOKUP(Movimientos_2026[[#This Row],[Codigo]],Plan_cuentas[],5,FALSE)," ")</f>
        <v>BUENOS AIRES</v>
      </c>
      <c r="I2168" s="43">
        <v>46143</v>
      </c>
      <c r="J2168" t="s">
        <v>936</v>
      </c>
      <c r="K2168" t="str">
        <f>IFERROR(+VLOOKUP(Movimientos_2026[[#This Row],[Codigo]],Plan_cuentas[],6,FALSE)," ")</f>
        <v>2 - PR - Plan Rombo</v>
      </c>
      <c r="L2168" s="50">
        <v>218747476.69999999</v>
      </c>
      <c r="M2168" s="50"/>
      <c r="N2168" s="20">
        <f>+Movimientos_2026[[#This Row],[Ingresos]]-Movimientos_2026[[#This Row],[Egresos]]</f>
        <v>218747476.69999999</v>
      </c>
      <c r="O2168" s="20">
        <f>+O2167+Movimientos_2026[[#This Row],[Neto]]</f>
        <v>6079453437.0160055</v>
      </c>
    </row>
    <row r="2169" spans="1:15" x14ac:dyDescent="0.25">
      <c r="A2169" s="13">
        <v>46209</v>
      </c>
      <c r="B2169" s="12">
        <f>MONTH(Movimientos_2026[[#This Row],[Fecha]])</f>
        <v>7</v>
      </c>
      <c r="C2169" s="12" t="str">
        <f>VLOOKUP((WEEKDAY(Movimientos_2026[[#This Row],[Fecha]],2)),'5. Setup'!$D$6:$E$12,2,FALSE)</f>
        <v>Lun</v>
      </c>
      <c r="D2169">
        <v>1045452</v>
      </c>
      <c r="E2169" t="str">
        <f>IFERROR(+VLOOKUP(Movimientos_2026[[#This Row],[Codigo]],Plan_cuentas[],2,FALSE)," ")</f>
        <v>INGRESOS</v>
      </c>
      <c r="F2169" t="str">
        <f>IFERROR(+VLOOKUP(Movimientos_2026[[#This Row],[Codigo]],Plan_cuentas[],3,FALSE)," ")</f>
        <v>Transferencia</v>
      </c>
      <c r="G2169" t="str">
        <f>IFERROR(+VLOOKUP(Movimientos_2026[[#This Row],[Codigo]],Plan_cuentas[],4,FALSE)," ")</f>
        <v>Factura</v>
      </c>
      <c r="H2169" t="str">
        <f>IFERROR(+VLOOKUP(Movimientos_2026[[#This Row],[Codigo]],Plan_cuentas[],5,FALSE)," ")</f>
        <v>FC DERECHOS</v>
      </c>
      <c r="I2169" s="43">
        <v>46143</v>
      </c>
      <c r="J2169" t="s">
        <v>937</v>
      </c>
      <c r="K2169" t="str">
        <f>IFERROR(+VLOOKUP(Movimientos_2026[[#This Row],[Codigo]],Plan_cuentas[],6,FALSE)," ")</f>
        <v>2 - PR - Plan Rombo</v>
      </c>
      <c r="L2169" s="50">
        <v>38312058.060000002</v>
      </c>
      <c r="M2169" s="50"/>
      <c r="N2169" s="20">
        <f>+Movimientos_2026[[#This Row],[Ingresos]]-Movimientos_2026[[#This Row],[Egresos]]</f>
        <v>38312058.060000002</v>
      </c>
      <c r="O2169" s="20">
        <f>+O2168+Movimientos_2026[[#This Row],[Neto]]</f>
        <v>6117765495.0760059</v>
      </c>
    </row>
    <row r="2170" spans="1:15" x14ac:dyDescent="0.25">
      <c r="A2170" s="13">
        <v>46209</v>
      </c>
      <c r="B2170" s="12">
        <f>MONTH(Movimientos_2026[[#This Row],[Fecha]])</f>
        <v>7</v>
      </c>
      <c r="C2170" s="12" t="str">
        <f>VLOOKUP((WEEKDAY(Movimientos_2026[[#This Row],[Fecha]],2)),'5. Setup'!$D$6:$E$12,2,FALSE)</f>
        <v>Lun</v>
      </c>
      <c r="D2170">
        <v>1043152</v>
      </c>
      <c r="E2170" t="str">
        <f>IFERROR(+VLOOKUP(Movimientos_2026[[#This Row],[Codigo]],Plan_cuentas[],2,FALSE)," ")</f>
        <v>INGRESOS</v>
      </c>
      <c r="F2170" t="str">
        <f>IFERROR(+VLOOKUP(Movimientos_2026[[#This Row],[Codigo]],Plan_cuentas[],3,FALSE)," ")</f>
        <v>Transferencia</v>
      </c>
      <c r="G2170" t="str">
        <f>IFERROR(+VLOOKUP(Movimientos_2026[[#This Row],[Codigo]],Plan_cuentas[],4,FALSE)," ")</f>
        <v>Registración</v>
      </c>
      <c r="H2170" t="str">
        <f>IFERROR(+VLOOKUP(Movimientos_2026[[#This Row],[Codigo]],Plan_cuentas[],5,FALSE)," ")</f>
        <v>CABA</v>
      </c>
      <c r="I2170" s="43">
        <v>46143</v>
      </c>
      <c r="J2170" t="s">
        <v>936</v>
      </c>
      <c r="K2170" t="str">
        <f>IFERROR(+VLOOKUP(Movimientos_2026[[#This Row],[Codigo]],Plan_cuentas[],6,FALSE)," ")</f>
        <v>2 - PR - Plan Rombo</v>
      </c>
      <c r="L2170" s="50">
        <v>22535254.100000001</v>
      </c>
      <c r="M2170" s="50"/>
      <c r="N2170" s="20">
        <f>+Movimientos_2026[[#This Row],[Ingresos]]-Movimientos_2026[[#This Row],[Egresos]]</f>
        <v>22535254.100000001</v>
      </c>
      <c r="O2170" s="20">
        <f>+O2169+Movimientos_2026[[#This Row],[Neto]]</f>
        <v>6140300749.1760063</v>
      </c>
    </row>
    <row r="2171" spans="1:15" x14ac:dyDescent="0.25">
      <c r="A2171" s="13">
        <v>46209</v>
      </c>
      <c r="B2171" s="12">
        <f>MONTH(Movimientos_2026[[#This Row],[Fecha]])</f>
        <v>7</v>
      </c>
      <c r="C2171" s="12" t="str">
        <f>VLOOKUP((WEEKDAY(Movimientos_2026[[#This Row],[Fecha]],2)),'5. Setup'!$D$6:$E$12,2,FALSE)</f>
        <v>Lun</v>
      </c>
      <c r="D2171">
        <v>1043232</v>
      </c>
      <c r="E2171" t="str">
        <f>IFERROR(+VLOOKUP(Movimientos_2026[[#This Row],[Codigo]],Plan_cuentas[],2,FALSE)," ")</f>
        <v>INGRESOS</v>
      </c>
      <c r="F2171" t="str">
        <f>IFERROR(+VLOOKUP(Movimientos_2026[[#This Row],[Codigo]],Plan_cuentas[],3,FALSE)," ")</f>
        <v>Transferencia</v>
      </c>
      <c r="G2171" t="str">
        <f>IFERROR(+VLOOKUP(Movimientos_2026[[#This Row],[Codigo]],Plan_cuentas[],4,FALSE)," ")</f>
        <v>Registración</v>
      </c>
      <c r="H2171" t="str">
        <f>IFERROR(+VLOOKUP(Movimientos_2026[[#This Row],[Codigo]],Plan_cuentas[],5,FALSE)," ")</f>
        <v>ENTRE RIOS 2° Q</v>
      </c>
      <c r="I2171" s="43">
        <v>46143</v>
      </c>
      <c r="J2171" t="s">
        <v>936</v>
      </c>
      <c r="K2171" t="str">
        <f>IFERROR(+VLOOKUP(Movimientos_2026[[#This Row],[Codigo]],Plan_cuentas[],6,FALSE)," ")</f>
        <v>2 - PR - Plan Rombo</v>
      </c>
      <c r="L2171" s="50">
        <v>13710276.1</v>
      </c>
      <c r="M2171" s="50"/>
      <c r="N2171" s="20">
        <f>+Movimientos_2026[[#This Row],[Ingresos]]-Movimientos_2026[[#This Row],[Egresos]]</f>
        <v>13710276.1</v>
      </c>
      <c r="O2171" s="20">
        <f>+O2170+Movimientos_2026[[#This Row],[Neto]]</f>
        <v>6154011025.2760067</v>
      </c>
    </row>
    <row r="2172" spans="1:15" x14ac:dyDescent="0.25">
      <c r="A2172" s="13">
        <v>46209</v>
      </c>
      <c r="B2172" s="12">
        <f>MONTH(Movimientos_2026[[#This Row],[Fecha]])</f>
        <v>7</v>
      </c>
      <c r="C2172" s="12" t="str">
        <f>VLOOKUP((WEEKDAY(Movimientos_2026[[#This Row],[Fecha]],2)),'5. Setup'!$D$6:$E$12,2,FALSE)</f>
        <v>Lun</v>
      </c>
      <c r="D2172">
        <v>1043242</v>
      </c>
      <c r="E2172" t="str">
        <f>IFERROR(+VLOOKUP(Movimientos_2026[[#This Row],[Codigo]],Plan_cuentas[],2,FALSE)," ")</f>
        <v>INGRESOS</v>
      </c>
      <c r="F2172" t="str">
        <f>IFERROR(+VLOOKUP(Movimientos_2026[[#This Row],[Codigo]],Plan_cuentas[],3,FALSE)," ")</f>
        <v>Transferencia</v>
      </c>
      <c r="G2172" t="str">
        <f>IFERROR(+VLOOKUP(Movimientos_2026[[#This Row],[Codigo]],Plan_cuentas[],4,FALSE)," ")</f>
        <v>Registración</v>
      </c>
      <c r="H2172" t="str">
        <f>IFERROR(+VLOOKUP(Movimientos_2026[[#This Row],[Codigo]],Plan_cuentas[],5,FALSE)," ")</f>
        <v>FORMOSA</v>
      </c>
      <c r="I2172" s="43">
        <v>46143</v>
      </c>
      <c r="J2172" t="s">
        <v>936</v>
      </c>
      <c r="K2172" t="str">
        <f>IFERROR(+VLOOKUP(Movimientos_2026[[#This Row],[Codigo]],Plan_cuentas[],6,FALSE)," ")</f>
        <v>2 - PR - Plan Rombo</v>
      </c>
      <c r="L2172" s="50">
        <v>3178150.7</v>
      </c>
      <c r="M2172" s="50"/>
      <c r="N2172" s="20">
        <f>+Movimientos_2026[[#This Row],[Ingresos]]-Movimientos_2026[[#This Row],[Egresos]]</f>
        <v>3178150.7</v>
      </c>
      <c r="O2172" s="20">
        <f>+O2171+Movimientos_2026[[#This Row],[Neto]]</f>
        <v>6157189175.9760065</v>
      </c>
    </row>
    <row r="2173" spans="1:15" x14ac:dyDescent="0.25">
      <c r="A2173" s="13">
        <v>46209</v>
      </c>
      <c r="B2173" s="12">
        <f>MONTH(Movimientos_2026[[#This Row],[Fecha]])</f>
        <v>7</v>
      </c>
      <c r="C2173" s="12" t="str">
        <f>VLOOKUP((WEEKDAY(Movimientos_2026[[#This Row],[Fecha]],2)),'5. Setup'!$D$6:$E$12,2,FALSE)</f>
        <v>Lun</v>
      </c>
      <c r="D2173">
        <v>1043392</v>
      </c>
      <c r="E2173" t="str">
        <f>IFERROR(+VLOOKUP(Movimientos_2026[[#This Row],[Codigo]],Plan_cuentas[],2,FALSE)," ")</f>
        <v>INGRESOS</v>
      </c>
      <c r="F2173" t="str">
        <f>IFERROR(+VLOOKUP(Movimientos_2026[[#This Row],[Codigo]],Plan_cuentas[],3,FALSE)," ")</f>
        <v>Transferencia</v>
      </c>
      <c r="G2173" t="str">
        <f>IFERROR(+VLOOKUP(Movimientos_2026[[#This Row],[Codigo]],Plan_cuentas[],4,FALSE)," ")</f>
        <v>Registración</v>
      </c>
      <c r="H2173" t="str">
        <f>IFERROR(+VLOOKUP(Movimientos_2026[[#This Row],[Codigo]],Plan_cuentas[],5,FALSE)," ")</f>
        <v>SANTA FE 2° Q</v>
      </c>
      <c r="I2173" s="43">
        <v>46143</v>
      </c>
      <c r="J2173" t="s">
        <v>936</v>
      </c>
      <c r="K2173" t="str">
        <f>IFERROR(+VLOOKUP(Movimientos_2026[[#This Row],[Codigo]],Plan_cuentas[],6,FALSE)," ")</f>
        <v>2 - PR - Plan Rombo</v>
      </c>
      <c r="L2173" s="50">
        <v>19570482.699999999</v>
      </c>
      <c r="M2173" s="50"/>
      <c r="N2173" s="20">
        <f>+Movimientos_2026[[#This Row],[Ingresos]]-Movimientos_2026[[#This Row],[Egresos]]</f>
        <v>19570482.699999999</v>
      </c>
      <c r="O2173" s="20">
        <f>+O2172+Movimientos_2026[[#This Row],[Neto]]</f>
        <v>6176759658.6760063</v>
      </c>
    </row>
    <row r="2174" spans="1:15" x14ac:dyDescent="0.25">
      <c r="A2174" s="13">
        <v>46209</v>
      </c>
      <c r="B2174" s="12">
        <f>MONTH(Movimientos_2026[[#This Row],[Fecha]])</f>
        <v>7</v>
      </c>
      <c r="C2174" s="12" t="str">
        <f>VLOOKUP((WEEKDAY(Movimientos_2026[[#This Row],[Fecha]],2)),'5. Setup'!$D$6:$E$12,2,FALSE)</f>
        <v>Lun</v>
      </c>
      <c r="D2174">
        <v>1043172</v>
      </c>
      <c r="E2174" t="str">
        <f>IFERROR(+VLOOKUP(Movimientos_2026[[#This Row],[Codigo]],Plan_cuentas[],2,FALSE)," ")</f>
        <v>INGRESOS</v>
      </c>
      <c r="F2174" t="str">
        <f>IFERROR(+VLOOKUP(Movimientos_2026[[#This Row],[Codigo]],Plan_cuentas[],3,FALSE)," ")</f>
        <v>Transferencia</v>
      </c>
      <c r="G2174" t="str">
        <f>IFERROR(+VLOOKUP(Movimientos_2026[[#This Row],[Codigo]],Plan_cuentas[],4,FALSE)," ")</f>
        <v>Registración</v>
      </c>
      <c r="H2174" t="str">
        <f>IFERROR(+VLOOKUP(Movimientos_2026[[#This Row],[Codigo]],Plan_cuentas[],5,FALSE)," ")</f>
        <v>CHUBUT</v>
      </c>
      <c r="I2174" s="43">
        <v>46143</v>
      </c>
      <c r="J2174" t="s">
        <v>936</v>
      </c>
      <c r="K2174" t="str">
        <f>IFERROR(+VLOOKUP(Movimientos_2026[[#This Row],[Codigo]],Plan_cuentas[],6,FALSE)," ")</f>
        <v>2 - PR - Plan Rombo</v>
      </c>
      <c r="L2174" s="50">
        <v>16233969.4</v>
      </c>
      <c r="M2174" s="50"/>
      <c r="N2174" s="20">
        <f>+Movimientos_2026[[#This Row],[Ingresos]]-Movimientos_2026[[#This Row],[Egresos]]</f>
        <v>16233969.4</v>
      </c>
      <c r="O2174" s="20">
        <f>+O2173+Movimientos_2026[[#This Row],[Neto]]</f>
        <v>6192993628.0760059</v>
      </c>
    </row>
    <row r="2175" spans="1:15" x14ac:dyDescent="0.25">
      <c r="A2175" s="13">
        <v>46209</v>
      </c>
      <c r="B2175" s="12">
        <f>MONTH(Movimientos_2026[[#This Row],[Fecha]])</f>
        <v>7</v>
      </c>
      <c r="C2175" s="12" t="str">
        <f>VLOOKUP((WEEKDAY(Movimientos_2026[[#This Row],[Fecha]],2)),'5. Setup'!$D$6:$E$12,2,FALSE)</f>
        <v>Lun</v>
      </c>
      <c r="D2175">
        <v>1044482</v>
      </c>
      <c r="E2175" t="str">
        <f>IFERROR(+VLOOKUP(Movimientos_2026[[#This Row],[Codigo]],Plan_cuentas[],2,FALSE)," ")</f>
        <v>INGRESOS</v>
      </c>
      <c r="F2175" t="str">
        <f>IFERROR(+VLOOKUP(Movimientos_2026[[#This Row],[Codigo]],Plan_cuentas[],3,FALSE)," ")</f>
        <v>Transferencia</v>
      </c>
      <c r="G2175" t="str">
        <f>IFERROR(+VLOOKUP(Movimientos_2026[[#This Row],[Codigo]],Plan_cuentas[],4,FALSE)," ")</f>
        <v>Factura</v>
      </c>
      <c r="H2175" t="str">
        <f>IFERROR(+VLOOKUP(Movimientos_2026[[#This Row],[Codigo]],Plan_cuentas[],5,FALSE)," ")</f>
        <v>FC TRAMITACION</v>
      </c>
      <c r="I2175" s="43">
        <v>46143</v>
      </c>
      <c r="J2175" t="s">
        <v>938</v>
      </c>
      <c r="K2175" t="str">
        <f>IFERROR(+VLOOKUP(Movimientos_2026[[#This Row],[Codigo]],Plan_cuentas[],6,FALSE)," ")</f>
        <v>2 - PR - Plan Rombo</v>
      </c>
      <c r="L2175" s="50">
        <v>2820829.32</v>
      </c>
      <c r="M2175" s="50"/>
      <c r="N2175" s="20">
        <f>+Movimientos_2026[[#This Row],[Ingresos]]-Movimientos_2026[[#This Row],[Egresos]]</f>
        <v>2820829.32</v>
      </c>
      <c r="O2175" s="20">
        <f>+O2174+Movimientos_2026[[#This Row],[Neto]]</f>
        <v>6195814457.3960056</v>
      </c>
    </row>
    <row r="2176" spans="1:15" x14ac:dyDescent="0.25">
      <c r="A2176" s="13">
        <v>46209</v>
      </c>
      <c r="B2176" s="12">
        <f>MONTH(Movimientos_2026[[#This Row],[Fecha]])</f>
        <v>7</v>
      </c>
      <c r="C2176" s="12" t="str">
        <f>VLOOKUP((WEEKDAY(Movimientos_2026[[#This Row],[Fecha]],2)),'5. Setup'!$D$6:$E$12,2,FALSE)</f>
        <v>Lun</v>
      </c>
      <c r="D2176">
        <v>1044507</v>
      </c>
      <c r="E2176" t="str">
        <f>IFERROR(+VLOOKUP(Movimientos_2026[[#This Row],[Codigo]],Plan_cuentas[],2,FALSE)," ")</f>
        <v>INGRESOS</v>
      </c>
      <c r="F2176" t="str">
        <f>IFERROR(+VLOOKUP(Movimientos_2026[[#This Row],[Codigo]],Plan_cuentas[],3,FALSE)," ")</f>
        <v>Transferencia</v>
      </c>
      <c r="G2176" t="str">
        <f>IFERROR(+VLOOKUP(Movimientos_2026[[#This Row],[Codigo]],Plan_cuentas[],4,FALSE)," ")</f>
        <v>Rentas</v>
      </c>
      <c r="H2176" t="str">
        <f>IFERROR(+VLOOKUP(Movimientos_2026[[#This Row],[Codigo]],Plan_cuentas[],5,FALSE)," ")</f>
        <v>BAPRO</v>
      </c>
      <c r="I2176" s="43">
        <v>46143</v>
      </c>
      <c r="J2176" t="s">
        <v>936</v>
      </c>
      <c r="K2176" t="str">
        <f>IFERROR(+VLOOKUP(Movimientos_2026[[#This Row],[Codigo]],Plan_cuentas[],6,FALSE)," ")</f>
        <v>7 - PRtr - Plan Rombo Transf.</v>
      </c>
      <c r="L2176" s="50">
        <v>9988678.0100000016</v>
      </c>
      <c r="M2176" s="50"/>
      <c r="N2176" s="20">
        <f>+Movimientos_2026[[#This Row],[Ingresos]]-Movimientos_2026[[#This Row],[Egresos]]</f>
        <v>9988678.0100000016</v>
      </c>
      <c r="O2176" s="20">
        <f>+O2175+Movimientos_2026[[#This Row],[Neto]]</f>
        <v>6205803135.4060059</v>
      </c>
    </row>
    <row r="2177" spans="1:15" x14ac:dyDescent="0.25">
      <c r="A2177" s="13">
        <v>46209</v>
      </c>
      <c r="B2177" s="12">
        <f>MONTH(Movimientos_2026[[#This Row],[Fecha]])</f>
        <v>7</v>
      </c>
      <c r="C2177" s="12" t="str">
        <f>VLOOKUP((WEEKDAY(Movimientos_2026[[#This Row],[Fecha]],2)),'5. Setup'!$D$6:$E$12,2,FALSE)</f>
        <v>Lun</v>
      </c>
      <c r="D2177">
        <v>1043157</v>
      </c>
      <c r="E2177" t="str">
        <f>IFERROR(+VLOOKUP(Movimientos_2026[[#This Row],[Codigo]],Plan_cuentas[],2,FALSE)," ")</f>
        <v>INGRESOS</v>
      </c>
      <c r="F2177" t="str">
        <f>IFERROR(+VLOOKUP(Movimientos_2026[[#This Row],[Codigo]],Plan_cuentas[],3,FALSE)," ")</f>
        <v>Transferencia</v>
      </c>
      <c r="G2177" t="str">
        <f>IFERROR(+VLOOKUP(Movimientos_2026[[#This Row],[Codigo]],Plan_cuentas[],4,FALSE)," ")</f>
        <v>Registración</v>
      </c>
      <c r="H2177" t="str">
        <f>IFERROR(+VLOOKUP(Movimientos_2026[[#This Row],[Codigo]],Plan_cuentas[],5,FALSE)," ")</f>
        <v>CABA</v>
      </c>
      <c r="I2177" s="43">
        <v>46143</v>
      </c>
      <c r="J2177" t="s">
        <v>936</v>
      </c>
      <c r="K2177" t="str">
        <f>IFERROR(+VLOOKUP(Movimientos_2026[[#This Row],[Codigo]],Plan_cuentas[],6,FALSE)," ")</f>
        <v>7 - PRtr - Plan Rombo Transf.</v>
      </c>
      <c r="L2177" s="50">
        <v>10861.48</v>
      </c>
      <c r="M2177" s="50"/>
      <c r="N2177" s="20">
        <f>+Movimientos_2026[[#This Row],[Ingresos]]-Movimientos_2026[[#This Row],[Egresos]]</f>
        <v>10861.48</v>
      </c>
      <c r="O2177" s="20">
        <f>+O2176+Movimientos_2026[[#This Row],[Neto]]</f>
        <v>6205813996.8860054</v>
      </c>
    </row>
    <row r="2178" spans="1:15" x14ac:dyDescent="0.25">
      <c r="A2178" s="13">
        <v>46209</v>
      </c>
      <c r="B2178" s="12">
        <f>MONTH(Movimientos_2026[[#This Row],[Fecha]])</f>
        <v>7</v>
      </c>
      <c r="C2178" s="12" t="str">
        <f>VLOOKUP((WEEKDAY(Movimientos_2026[[#This Row],[Fecha]],2)),'5. Setup'!$D$6:$E$12,2,FALSE)</f>
        <v>Lun</v>
      </c>
      <c r="D2178">
        <v>1044167</v>
      </c>
      <c r="E2178" t="str">
        <f>IFERROR(+VLOOKUP(Movimientos_2026[[#This Row],[Codigo]],Plan_cuentas[],2,FALSE)," ")</f>
        <v>INGRESOS</v>
      </c>
      <c r="F2178" t="str">
        <f>IFERROR(+VLOOKUP(Movimientos_2026[[#This Row],[Codigo]],Plan_cuentas[],3,FALSE)," ")</f>
        <v>Transferencia</v>
      </c>
      <c r="G2178" t="str">
        <f>IFERROR(+VLOOKUP(Movimientos_2026[[#This Row],[Codigo]],Plan_cuentas[],4,FALSE)," ")</f>
        <v>Rentas</v>
      </c>
      <c r="H2178" t="str">
        <f>IFERROR(+VLOOKUP(Movimientos_2026[[#This Row],[Codigo]],Plan_cuentas[],5,FALSE)," ")</f>
        <v>CHACO</v>
      </c>
      <c r="I2178" s="43">
        <v>46143</v>
      </c>
      <c r="J2178" t="s">
        <v>936</v>
      </c>
      <c r="K2178" t="str">
        <f>IFERROR(+VLOOKUP(Movimientos_2026[[#This Row],[Codigo]],Plan_cuentas[],6,FALSE)," ")</f>
        <v>7 - PRtr - Plan Rombo Transf.</v>
      </c>
      <c r="L2178" s="50">
        <v>1219659.22</v>
      </c>
      <c r="M2178" s="50"/>
      <c r="N2178" s="20">
        <f>+Movimientos_2026[[#This Row],[Ingresos]]-Movimientos_2026[[#This Row],[Egresos]]</f>
        <v>1219659.22</v>
      </c>
      <c r="O2178" s="20">
        <f>+O2177+Movimientos_2026[[#This Row],[Neto]]</f>
        <v>6207033656.1060057</v>
      </c>
    </row>
    <row r="2179" spans="1:15" x14ac:dyDescent="0.25">
      <c r="A2179" s="13">
        <v>46209</v>
      </c>
      <c r="B2179" s="12">
        <f>MONTH(Movimientos_2026[[#This Row],[Fecha]])</f>
        <v>7</v>
      </c>
      <c r="C2179" s="12" t="str">
        <f>VLOOKUP((WEEKDAY(Movimientos_2026[[#This Row],[Fecha]],2)),'5. Setup'!$D$6:$E$12,2,FALSE)</f>
        <v>Lun</v>
      </c>
      <c r="D2179">
        <v>1043177</v>
      </c>
      <c r="E2179" t="str">
        <f>IFERROR(+VLOOKUP(Movimientos_2026[[#This Row],[Codigo]],Plan_cuentas[],2,FALSE)," ")</f>
        <v>INGRESOS</v>
      </c>
      <c r="F2179" t="str">
        <f>IFERROR(+VLOOKUP(Movimientos_2026[[#This Row],[Codigo]],Plan_cuentas[],3,FALSE)," ")</f>
        <v>Transferencia</v>
      </c>
      <c r="G2179" t="str">
        <f>IFERROR(+VLOOKUP(Movimientos_2026[[#This Row],[Codigo]],Plan_cuentas[],4,FALSE)," ")</f>
        <v>Registración</v>
      </c>
      <c r="H2179" t="str">
        <f>IFERROR(+VLOOKUP(Movimientos_2026[[#This Row],[Codigo]],Plan_cuentas[],5,FALSE)," ")</f>
        <v>CHUBUT</v>
      </c>
      <c r="I2179" s="43">
        <v>46143</v>
      </c>
      <c r="J2179" t="s">
        <v>936</v>
      </c>
      <c r="K2179" t="str">
        <f>IFERROR(+VLOOKUP(Movimientos_2026[[#This Row],[Codigo]],Plan_cuentas[],6,FALSE)," ")</f>
        <v>7 - PRtr - Plan Rombo Transf.</v>
      </c>
      <c r="L2179" s="50">
        <v>237836.66</v>
      </c>
      <c r="M2179" s="50"/>
      <c r="N2179" s="20">
        <f>+Movimientos_2026[[#This Row],[Ingresos]]-Movimientos_2026[[#This Row],[Egresos]]</f>
        <v>237836.66</v>
      </c>
      <c r="O2179" s="20">
        <f>+O2178+Movimientos_2026[[#This Row],[Neto]]</f>
        <v>6207271492.7660055</v>
      </c>
    </row>
    <row r="2180" spans="1:15" x14ac:dyDescent="0.25">
      <c r="A2180" s="13">
        <v>46209</v>
      </c>
      <c r="B2180" s="12">
        <f>MONTH(Movimientos_2026[[#This Row],[Fecha]])</f>
        <v>7</v>
      </c>
      <c r="C2180" s="12" t="str">
        <f>VLOOKUP((WEEKDAY(Movimientos_2026[[#This Row],[Fecha]],2)),'5. Setup'!$D$6:$E$12,2,FALSE)</f>
        <v>Lun</v>
      </c>
      <c r="D2180">
        <v>1044197</v>
      </c>
      <c r="E2180" t="str">
        <f>IFERROR(+VLOOKUP(Movimientos_2026[[#This Row],[Codigo]],Plan_cuentas[],2,FALSE)," ")</f>
        <v>INGRESOS</v>
      </c>
      <c r="F2180" t="str">
        <f>IFERROR(+VLOOKUP(Movimientos_2026[[#This Row],[Codigo]],Plan_cuentas[],3,FALSE)," ")</f>
        <v>Transferencia</v>
      </c>
      <c r="G2180" t="str">
        <f>IFERROR(+VLOOKUP(Movimientos_2026[[#This Row],[Codigo]],Plan_cuentas[],4,FALSE)," ")</f>
        <v>Rentas</v>
      </c>
      <c r="H2180" t="str">
        <f>IFERROR(+VLOOKUP(Movimientos_2026[[#This Row],[Codigo]],Plan_cuentas[],5,FALSE)," ")</f>
        <v>CORDOBA 2° Q</v>
      </c>
      <c r="I2180" s="43">
        <v>46143</v>
      </c>
      <c r="J2180" t="s">
        <v>936</v>
      </c>
      <c r="K2180" t="str">
        <f>IFERROR(+VLOOKUP(Movimientos_2026[[#This Row],[Codigo]],Plan_cuentas[],6,FALSE)," ")</f>
        <v>7 - PRtr - Plan Rombo Transf.</v>
      </c>
      <c r="L2180" s="50">
        <v>703800</v>
      </c>
      <c r="M2180" s="51"/>
      <c r="N2180" s="20">
        <f>+Movimientos_2026[[#This Row],[Ingresos]]-Movimientos_2026[[#This Row],[Egresos]]</f>
        <v>703800</v>
      </c>
      <c r="O2180" s="20">
        <f>+O2179+Movimientos_2026[[#This Row],[Neto]]</f>
        <v>6207975292.7660055</v>
      </c>
    </row>
    <row r="2181" spans="1:15" x14ac:dyDescent="0.25">
      <c r="A2181" s="13">
        <v>46209</v>
      </c>
      <c r="B2181" s="12">
        <f>MONTH(Movimientos_2026[[#This Row],[Fecha]])</f>
        <v>7</v>
      </c>
      <c r="C2181" s="12" t="str">
        <f>VLOOKUP((WEEKDAY(Movimientos_2026[[#This Row],[Fecha]],2)),'5. Setup'!$D$6:$E$12,2,FALSE)</f>
        <v>Lun</v>
      </c>
      <c r="D2181">
        <v>1043227</v>
      </c>
      <c r="E2181" t="str">
        <f>IFERROR(+VLOOKUP(Movimientos_2026[[#This Row],[Codigo]],Plan_cuentas[],2,FALSE)," ")</f>
        <v>INGRESOS</v>
      </c>
      <c r="F2181" t="str">
        <f>IFERROR(+VLOOKUP(Movimientos_2026[[#This Row],[Codigo]],Plan_cuentas[],3,FALSE)," ")</f>
        <v>Transferencia</v>
      </c>
      <c r="G2181" t="str">
        <f>IFERROR(+VLOOKUP(Movimientos_2026[[#This Row],[Codigo]],Plan_cuentas[],4,FALSE)," ")</f>
        <v>Registración</v>
      </c>
      <c r="H2181" t="str">
        <f>IFERROR(+VLOOKUP(Movimientos_2026[[#This Row],[Codigo]],Plan_cuentas[],5,FALSE)," ")</f>
        <v>ENTRE RIOS 1° Q</v>
      </c>
      <c r="I2181" s="43">
        <v>46143</v>
      </c>
      <c r="J2181" t="s">
        <v>936</v>
      </c>
      <c r="K2181" t="str">
        <f>IFERROR(+VLOOKUP(Movimientos_2026[[#This Row],[Codigo]],Plan_cuentas[],6,FALSE)," ")</f>
        <v>7 - PRtr - Plan Rombo Transf.</v>
      </c>
      <c r="L2181" s="50">
        <v>25000</v>
      </c>
      <c r="M2181" s="51"/>
      <c r="N2181" s="20">
        <f>+Movimientos_2026[[#This Row],[Ingresos]]-Movimientos_2026[[#This Row],[Egresos]]</f>
        <v>25000</v>
      </c>
      <c r="O2181" s="20">
        <f>+O2180+Movimientos_2026[[#This Row],[Neto]]</f>
        <v>6208000292.7660055</v>
      </c>
    </row>
    <row r="2182" spans="1:15" x14ac:dyDescent="0.25">
      <c r="A2182" s="13">
        <v>46209</v>
      </c>
      <c r="B2182" s="12">
        <f>MONTH(Movimientos_2026[[#This Row],[Fecha]])</f>
        <v>7</v>
      </c>
      <c r="C2182" s="12" t="str">
        <f>VLOOKUP((WEEKDAY(Movimientos_2026[[#This Row],[Fecha]],2)),'5. Setup'!$D$6:$E$12,2,FALSE)</f>
        <v>Lun</v>
      </c>
      <c r="D2182">
        <v>1043247</v>
      </c>
      <c r="E2182" t="str">
        <f>IFERROR(+VLOOKUP(Movimientos_2026[[#This Row],[Codigo]],Plan_cuentas[],2,FALSE)," ")</f>
        <v>INGRESOS</v>
      </c>
      <c r="F2182" t="str">
        <f>IFERROR(+VLOOKUP(Movimientos_2026[[#This Row],[Codigo]],Plan_cuentas[],3,FALSE)," ")</f>
        <v>Transferencia</v>
      </c>
      <c r="G2182" t="str">
        <f>IFERROR(+VLOOKUP(Movimientos_2026[[#This Row],[Codigo]],Plan_cuentas[],4,FALSE)," ")</f>
        <v>Registración</v>
      </c>
      <c r="H2182" t="str">
        <f>IFERROR(+VLOOKUP(Movimientos_2026[[#This Row],[Codigo]],Plan_cuentas[],5,FALSE)," ")</f>
        <v>FORMOSA</v>
      </c>
      <c r="I2182" s="43">
        <v>46143</v>
      </c>
      <c r="J2182" t="s">
        <v>936</v>
      </c>
      <c r="K2182" t="str">
        <f>IFERROR(+VLOOKUP(Movimientos_2026[[#This Row],[Codigo]],Plan_cuentas[],6,FALSE)," ")</f>
        <v>7 - PRtr - Plan Rombo Transf.</v>
      </c>
      <c r="L2182" s="50">
        <v>96500</v>
      </c>
      <c r="M2182" s="50"/>
      <c r="N2182" s="20">
        <f>+Movimientos_2026[[#This Row],[Ingresos]]-Movimientos_2026[[#This Row],[Egresos]]</f>
        <v>96500</v>
      </c>
      <c r="O2182" s="20">
        <f>+O2181+Movimientos_2026[[#This Row],[Neto]]</f>
        <v>6208096792.7660055</v>
      </c>
    </row>
    <row r="2183" spans="1:15" x14ac:dyDescent="0.25">
      <c r="A2183" s="13">
        <v>46209</v>
      </c>
      <c r="B2183" s="12">
        <f>MONTH(Movimientos_2026[[#This Row],[Fecha]])</f>
        <v>7</v>
      </c>
      <c r="C2183" s="12" t="str">
        <f>VLOOKUP((WEEKDAY(Movimientos_2026[[#This Row],[Fecha]],2)),'5. Setup'!$D$6:$E$12,2,FALSE)</f>
        <v>Lun</v>
      </c>
      <c r="D2183">
        <v>1043267</v>
      </c>
      <c r="E2183" t="str">
        <f>IFERROR(+VLOOKUP(Movimientos_2026[[#This Row],[Codigo]],Plan_cuentas[],2,FALSE)," ")</f>
        <v>INGRESOS</v>
      </c>
      <c r="F2183" t="str">
        <f>IFERROR(+VLOOKUP(Movimientos_2026[[#This Row],[Codigo]],Plan_cuentas[],3,FALSE)," ")</f>
        <v>Transferencia</v>
      </c>
      <c r="G2183" t="str">
        <f>IFERROR(+VLOOKUP(Movimientos_2026[[#This Row],[Codigo]],Plan_cuentas[],4,FALSE)," ")</f>
        <v>Registración</v>
      </c>
      <c r="H2183" t="str">
        <f>IFERROR(+VLOOKUP(Movimientos_2026[[#This Row],[Codigo]],Plan_cuentas[],5,FALSE)," ")</f>
        <v>LA PAMPA</v>
      </c>
      <c r="I2183" s="43">
        <v>46143</v>
      </c>
      <c r="J2183" t="s">
        <v>936</v>
      </c>
      <c r="K2183" t="str">
        <f>IFERROR(+VLOOKUP(Movimientos_2026[[#This Row],[Codigo]],Plan_cuentas[],6,FALSE)," ")</f>
        <v>7 - PRtr - Plan Rombo Transf.</v>
      </c>
      <c r="L2183" s="50">
        <v>230000</v>
      </c>
      <c r="M2183" s="50"/>
      <c r="N2183" s="20">
        <f>+Movimientos_2026[[#This Row],[Ingresos]]-Movimientos_2026[[#This Row],[Egresos]]</f>
        <v>230000</v>
      </c>
      <c r="O2183" s="20">
        <f>+O2182+Movimientos_2026[[#This Row],[Neto]]</f>
        <v>6208326792.7660055</v>
      </c>
    </row>
    <row r="2184" spans="1:15" x14ac:dyDescent="0.25">
      <c r="A2184" s="13">
        <v>46209</v>
      </c>
      <c r="B2184" s="12">
        <f>MONTH(Movimientos_2026[[#This Row],[Fecha]])</f>
        <v>7</v>
      </c>
      <c r="C2184" s="12" t="str">
        <f>VLOOKUP((WEEKDAY(Movimientos_2026[[#This Row],[Fecha]],2)),'5. Setup'!$D$6:$E$12,2,FALSE)</f>
        <v>Lun</v>
      </c>
      <c r="D2184">
        <v>1044287</v>
      </c>
      <c r="E2184" t="str">
        <f>IFERROR(+VLOOKUP(Movimientos_2026[[#This Row],[Codigo]],Plan_cuentas[],2,FALSE)," ")</f>
        <v>INGRESOS</v>
      </c>
      <c r="F2184" t="str">
        <f>IFERROR(+VLOOKUP(Movimientos_2026[[#This Row],[Codigo]],Plan_cuentas[],3,FALSE)," ")</f>
        <v>Transferencia</v>
      </c>
      <c r="G2184" t="str">
        <f>IFERROR(+VLOOKUP(Movimientos_2026[[#This Row],[Codigo]],Plan_cuentas[],4,FALSE)," ")</f>
        <v>Rentas</v>
      </c>
      <c r="H2184" t="str">
        <f>IFERROR(+VLOOKUP(Movimientos_2026[[#This Row],[Codigo]],Plan_cuentas[],5,FALSE)," ")</f>
        <v>MENDOZA</v>
      </c>
      <c r="I2184" s="43">
        <v>46143</v>
      </c>
      <c r="J2184" t="s">
        <v>936</v>
      </c>
      <c r="K2184" t="str">
        <f>IFERROR(+VLOOKUP(Movimientos_2026[[#This Row],[Codigo]],Plan_cuentas[],6,FALSE)," ")</f>
        <v>7 - PRtr - Plan Rombo Transf.</v>
      </c>
      <c r="L2184" s="50">
        <v>4000</v>
      </c>
      <c r="M2184" s="50"/>
      <c r="N2184" s="20">
        <f>+Movimientos_2026[[#This Row],[Ingresos]]-Movimientos_2026[[#This Row],[Egresos]]</f>
        <v>4000</v>
      </c>
      <c r="O2184" s="20">
        <f>+O2183+Movimientos_2026[[#This Row],[Neto]]</f>
        <v>6208330792.7660055</v>
      </c>
    </row>
    <row r="2185" spans="1:15" x14ac:dyDescent="0.25">
      <c r="A2185" s="13">
        <v>46209</v>
      </c>
      <c r="B2185" s="12">
        <f>MONTH(Movimientos_2026[[#This Row],[Fecha]])</f>
        <v>7</v>
      </c>
      <c r="C2185" s="12" t="str">
        <f>VLOOKUP((WEEKDAY(Movimientos_2026[[#This Row],[Fecha]],2)),'5. Setup'!$D$6:$E$12,2,FALSE)</f>
        <v>Lun</v>
      </c>
      <c r="D2185">
        <v>1043377</v>
      </c>
      <c r="E2185" t="str">
        <f>IFERROR(+VLOOKUP(Movimientos_2026[[#This Row],[Codigo]],Plan_cuentas[],2,FALSE)," ")</f>
        <v>INGRESOS</v>
      </c>
      <c r="F2185" t="str">
        <f>IFERROR(+VLOOKUP(Movimientos_2026[[#This Row],[Codigo]],Plan_cuentas[],3,FALSE)," ")</f>
        <v>Transferencia</v>
      </c>
      <c r="G2185" t="str">
        <f>IFERROR(+VLOOKUP(Movimientos_2026[[#This Row],[Codigo]],Plan_cuentas[],4,FALSE)," ")</f>
        <v>Registración</v>
      </c>
      <c r="H2185" t="str">
        <f>IFERROR(+VLOOKUP(Movimientos_2026[[#This Row],[Codigo]],Plan_cuentas[],5,FALSE)," ")</f>
        <v>SANTA CRUZ</v>
      </c>
      <c r="I2185" s="43">
        <v>46143</v>
      </c>
      <c r="J2185" t="s">
        <v>936</v>
      </c>
      <c r="K2185" t="str">
        <f>IFERROR(+VLOOKUP(Movimientos_2026[[#This Row],[Codigo]],Plan_cuentas[],6,FALSE)," ")</f>
        <v>7 - PRtr - Plan Rombo Transf.</v>
      </c>
      <c r="L2185" s="50">
        <v>5100</v>
      </c>
      <c r="M2185" s="50"/>
      <c r="N2185" s="20">
        <f>+Movimientos_2026[[#This Row],[Ingresos]]-Movimientos_2026[[#This Row],[Egresos]]</f>
        <v>5100</v>
      </c>
      <c r="O2185" s="20">
        <f>+O2184+Movimientos_2026[[#This Row],[Neto]]</f>
        <v>6208335892.7660055</v>
      </c>
    </row>
    <row r="2186" spans="1:15" x14ac:dyDescent="0.25">
      <c r="A2186" s="13">
        <v>46209</v>
      </c>
      <c r="B2186" s="12">
        <f>MONTH(Movimientos_2026[[#This Row],[Fecha]])</f>
        <v>7</v>
      </c>
      <c r="C2186" s="12" t="str">
        <f>VLOOKUP((WEEKDAY(Movimientos_2026[[#This Row],[Fecha]],2)),'5. Setup'!$D$6:$E$12,2,FALSE)</f>
        <v>Lun</v>
      </c>
      <c r="D2186">
        <v>1043387</v>
      </c>
      <c r="E2186" t="str">
        <f>IFERROR(+VLOOKUP(Movimientos_2026[[#This Row],[Codigo]],Plan_cuentas[],2,FALSE)," ")</f>
        <v>INGRESOS</v>
      </c>
      <c r="F2186" t="str">
        <f>IFERROR(+VLOOKUP(Movimientos_2026[[#This Row],[Codigo]],Plan_cuentas[],3,FALSE)," ")</f>
        <v>Transferencia</v>
      </c>
      <c r="G2186" t="str">
        <f>IFERROR(+VLOOKUP(Movimientos_2026[[#This Row],[Codigo]],Plan_cuentas[],4,FALSE)," ")</f>
        <v>Registración</v>
      </c>
      <c r="H2186" t="str">
        <f>IFERROR(+VLOOKUP(Movimientos_2026[[#This Row],[Codigo]],Plan_cuentas[],5,FALSE)," ")</f>
        <v>SANTA FE 1° Q</v>
      </c>
      <c r="I2186" s="43">
        <v>46143</v>
      </c>
      <c r="J2186" t="s">
        <v>936</v>
      </c>
      <c r="K2186" t="str">
        <f>IFERROR(+VLOOKUP(Movimientos_2026[[#This Row],[Codigo]],Plan_cuentas[],6,FALSE)," ")</f>
        <v>7 - PRtr - Plan Rombo Transf.</v>
      </c>
      <c r="L2186" s="50">
        <v>47390</v>
      </c>
      <c r="M2186" s="50"/>
      <c r="N2186" s="20">
        <f>+Movimientos_2026[[#This Row],[Ingresos]]-Movimientos_2026[[#This Row],[Egresos]]</f>
        <v>47390</v>
      </c>
      <c r="O2186" s="20">
        <f>+O2185+Movimientos_2026[[#This Row],[Neto]]</f>
        <v>6208383282.7660055</v>
      </c>
    </row>
    <row r="2187" spans="1:15" x14ac:dyDescent="0.25">
      <c r="A2187" s="13">
        <v>46209</v>
      </c>
      <c r="B2187" s="12">
        <f>MONTH(Movimientos_2026[[#This Row],[Fecha]])</f>
        <v>7</v>
      </c>
      <c r="C2187" s="12" t="str">
        <f>VLOOKUP((WEEKDAY(Movimientos_2026[[#This Row],[Fecha]],2)),'5. Setup'!$D$6:$E$12,2,FALSE)</f>
        <v>Lun</v>
      </c>
      <c r="D2187">
        <v>1044427</v>
      </c>
      <c r="E2187" t="str">
        <f>IFERROR(+VLOOKUP(Movimientos_2026[[#This Row],[Codigo]],Plan_cuentas[],2,FALSE)," ")</f>
        <v>INGRESOS</v>
      </c>
      <c r="F2187" t="str">
        <f>IFERROR(+VLOOKUP(Movimientos_2026[[#This Row],[Codigo]],Plan_cuentas[],3,FALSE)," ")</f>
        <v>Transferencia</v>
      </c>
      <c r="G2187" t="str">
        <f>IFERROR(+VLOOKUP(Movimientos_2026[[#This Row],[Codigo]],Plan_cuentas[],4,FALSE)," ")</f>
        <v>Rentas</v>
      </c>
      <c r="H2187" t="str">
        <f>IFERROR(+VLOOKUP(Movimientos_2026[[#This Row],[Codigo]],Plan_cuentas[],5,FALSE)," ")</f>
        <v>TUCUMAN</v>
      </c>
      <c r="I2187" s="43">
        <v>46143</v>
      </c>
      <c r="J2187" t="s">
        <v>936</v>
      </c>
      <c r="K2187" t="str">
        <f>IFERROR(+VLOOKUP(Movimientos_2026[[#This Row],[Codigo]],Plan_cuentas[],6,FALSE)," ")</f>
        <v>7 - PRtr - Plan Rombo Transf.</v>
      </c>
      <c r="L2187" s="50">
        <v>250</v>
      </c>
      <c r="M2187" s="50"/>
      <c r="N2187" s="20">
        <f>+Movimientos_2026[[#This Row],[Ingresos]]-Movimientos_2026[[#This Row],[Egresos]]</f>
        <v>250</v>
      </c>
      <c r="O2187" s="20">
        <f>+O2186+Movimientos_2026[[#This Row],[Neto]]</f>
        <v>6208383532.7660055</v>
      </c>
    </row>
    <row r="2188" spans="1:15" x14ac:dyDescent="0.25">
      <c r="A2188" s="13">
        <v>46209</v>
      </c>
      <c r="B2188" s="12">
        <f>MONTH(Movimientos_2026[[#This Row],[Fecha]])</f>
        <v>7</v>
      </c>
      <c r="C2188" s="12" t="str">
        <f>VLOOKUP((WEEKDAY(Movimientos_2026[[#This Row],[Fecha]],2)),'5. Setup'!$D$6:$E$12,2,FALSE)</f>
        <v>Lun</v>
      </c>
      <c r="D2188">
        <v>1045477</v>
      </c>
      <c r="E2188" t="str">
        <f>IFERROR(+VLOOKUP(Movimientos_2026[[#This Row],[Codigo]],Plan_cuentas[],2,FALSE)," ")</f>
        <v>INGRESOS</v>
      </c>
      <c r="F2188" t="str">
        <f>IFERROR(+VLOOKUP(Movimientos_2026[[#This Row],[Codigo]],Plan_cuentas[],3,FALSE)," ")</f>
        <v>Transferencia</v>
      </c>
      <c r="G2188" t="str">
        <f>IFERROR(+VLOOKUP(Movimientos_2026[[#This Row],[Codigo]],Plan_cuentas[],4,FALSE)," ")</f>
        <v>Factura</v>
      </c>
      <c r="H2188" t="str">
        <f>IFERROR(+VLOOKUP(Movimientos_2026[[#This Row],[Codigo]],Plan_cuentas[],5,FALSE)," ")</f>
        <v>FC HONORARIOS</v>
      </c>
      <c r="I2188" s="43">
        <v>46143</v>
      </c>
      <c r="J2188" t="s">
        <v>939</v>
      </c>
      <c r="K2188" t="str">
        <f>IFERROR(+VLOOKUP(Movimientos_2026[[#This Row],[Codigo]],Plan_cuentas[],6,FALSE)," ")</f>
        <v>7 - PRtr - Plan Rombo Transf.</v>
      </c>
      <c r="L2188" s="50">
        <v>38312058.060000002</v>
      </c>
      <c r="M2188" s="50"/>
      <c r="N2188" s="20">
        <f>+Movimientos_2026[[#This Row],[Ingresos]]-Movimientos_2026[[#This Row],[Egresos]]</f>
        <v>38312058.060000002</v>
      </c>
      <c r="O2188" s="20">
        <f>+O2187+Movimientos_2026[[#This Row],[Neto]]</f>
        <v>6246695590.8260059</v>
      </c>
    </row>
    <row r="2189" spans="1:15" x14ac:dyDescent="0.25">
      <c r="A2189" s="13">
        <v>46210</v>
      </c>
      <c r="B2189" s="12">
        <f>MONTH(Movimientos_2026[[#This Row],[Fecha]])</f>
        <v>7</v>
      </c>
      <c r="C2189" s="12" t="str">
        <f>VLOOKUP((WEEKDAY(Movimientos_2026[[#This Row],[Fecha]],2)),'5. Setup'!$D$6:$E$12,2,FALSE)</f>
        <v>Mar</v>
      </c>
      <c r="D2189">
        <v>2034413</v>
      </c>
      <c r="E2189" t="str">
        <f>IFERROR(+VLOOKUP(Movimientos_2026[[#This Row],[Codigo]],Plan_cuentas[],2,FALSE)," ")</f>
        <v>EGRESOS</v>
      </c>
      <c r="F2189" t="str">
        <f>IFERROR(+VLOOKUP(Movimientos_2026[[#This Row],[Codigo]],Plan_cuentas[],3,FALSE)," ")</f>
        <v>Pagos Bco. Provincia</v>
      </c>
      <c r="G2189" t="str">
        <f>IFERROR(+VLOOKUP(Movimientos_2026[[#This Row],[Codigo]],Plan_cuentas[],4,FALSE)," ")</f>
        <v>Rentas</v>
      </c>
      <c r="H2189" t="str">
        <f>IFERROR(+VLOOKUP(Movimientos_2026[[#This Row],[Codigo]],Plan_cuentas[],5,FALSE)," ")</f>
        <v>TIERRA DEL FUEGO</v>
      </c>
      <c r="I2189" s="43">
        <v>46174</v>
      </c>
      <c r="J2189" t="s">
        <v>940</v>
      </c>
      <c r="K2189" t="str">
        <f>IFERROR(+VLOOKUP(Movimientos_2026[[#This Row],[Codigo]],Plan_cuentas[],6,FALSE)," ")</f>
        <v>3 - GM - Chevrolet</v>
      </c>
      <c r="L2189" s="50"/>
      <c r="M2189" s="50">
        <v>6197929</v>
      </c>
      <c r="N2189" s="20">
        <f>+Movimientos_2026[[#This Row],[Ingresos]]-Movimientos_2026[[#This Row],[Egresos]]</f>
        <v>-6197929</v>
      </c>
      <c r="O2189" s="20">
        <f>+O2188+Movimientos_2026[[#This Row],[Neto]]</f>
        <v>6240497661.8260059</v>
      </c>
    </row>
    <row r="2190" spans="1:15" x14ac:dyDescent="0.25">
      <c r="A2190" s="13">
        <v>46210</v>
      </c>
      <c r="B2190" s="12">
        <f>MONTH(Movimientos_2026[[#This Row],[Fecha]])</f>
        <v>7</v>
      </c>
      <c r="C2190" s="12" t="str">
        <f>VLOOKUP((WEEKDAY(Movimientos_2026[[#This Row],[Fecha]],2)),'5. Setup'!$D$6:$E$12,2,FALSE)</f>
        <v>Mar</v>
      </c>
      <c r="D2190">
        <v>2044462</v>
      </c>
      <c r="E2190" t="str">
        <f>IFERROR(+VLOOKUP(Movimientos_2026[[#This Row],[Codigo]],Plan_cuentas[],2,FALSE)," ")</f>
        <v>EGRESOS</v>
      </c>
      <c r="F2190" t="str">
        <f>IFERROR(+VLOOKUP(Movimientos_2026[[#This Row],[Codigo]],Plan_cuentas[],3,FALSE)," ")</f>
        <v>Transferencia</v>
      </c>
      <c r="G2190" t="str">
        <f>IFERROR(+VLOOKUP(Movimientos_2026[[#This Row],[Codigo]],Plan_cuentas[],4,FALSE)," ")</f>
        <v>Rentas</v>
      </c>
      <c r="H2190" t="str">
        <f>IFERROR(+VLOOKUP(Movimientos_2026[[#This Row],[Codigo]],Plan_cuentas[],5,FALSE)," ")</f>
        <v>MISIONES</v>
      </c>
      <c r="I2190" s="43">
        <v>46174</v>
      </c>
      <c r="J2190" t="s">
        <v>941</v>
      </c>
      <c r="K2190" t="str">
        <f>IFERROR(+VLOOKUP(Movimientos_2026[[#This Row],[Codigo]],Plan_cuentas[],6,FALSE)," ")</f>
        <v>2 - PR - Plan Rombo</v>
      </c>
      <c r="L2190" s="50"/>
      <c r="M2190" s="50">
        <v>1629514.84</v>
      </c>
      <c r="N2190" s="20">
        <f>+Movimientos_2026[[#This Row],[Ingresos]]-Movimientos_2026[[#This Row],[Egresos]]</f>
        <v>-1629514.84</v>
      </c>
      <c r="O2190" s="20">
        <f>+O2189+Movimientos_2026[[#This Row],[Neto]]</f>
        <v>6238868146.9860058</v>
      </c>
    </row>
    <row r="2191" spans="1:15" x14ac:dyDescent="0.25">
      <c r="A2191" s="13">
        <v>46210</v>
      </c>
      <c r="B2191" s="12">
        <f>MONTH(Movimientos_2026[[#This Row],[Fecha]])</f>
        <v>7</v>
      </c>
      <c r="C2191" s="12" t="str">
        <f>VLOOKUP((WEEKDAY(Movimientos_2026[[#This Row],[Fecha]],2)),'5. Setup'!$D$6:$E$12,2,FALSE)</f>
        <v>Mar</v>
      </c>
      <c r="D2191">
        <v>2044462</v>
      </c>
      <c r="E2191" t="str">
        <f>IFERROR(+VLOOKUP(Movimientos_2026[[#This Row],[Codigo]],Plan_cuentas[],2,FALSE)," ")</f>
        <v>EGRESOS</v>
      </c>
      <c r="F2191" t="str">
        <f>IFERROR(+VLOOKUP(Movimientos_2026[[#This Row],[Codigo]],Plan_cuentas[],3,FALSE)," ")</f>
        <v>Transferencia</v>
      </c>
      <c r="G2191" t="str">
        <f>IFERROR(+VLOOKUP(Movimientos_2026[[#This Row],[Codigo]],Plan_cuentas[],4,FALSE)," ")</f>
        <v>Rentas</v>
      </c>
      <c r="H2191" t="str">
        <f>IFERROR(+VLOOKUP(Movimientos_2026[[#This Row],[Codigo]],Plan_cuentas[],5,FALSE)," ")</f>
        <v>MISIONES</v>
      </c>
      <c r="I2191" s="43">
        <v>46174</v>
      </c>
      <c r="J2191" t="s">
        <v>942</v>
      </c>
      <c r="K2191" t="str">
        <f>IFERROR(+VLOOKUP(Movimientos_2026[[#This Row],[Codigo]],Plan_cuentas[],6,FALSE)," ")</f>
        <v>2 - PR - Plan Rombo</v>
      </c>
      <c r="L2191" s="50"/>
      <c r="M2191" s="50">
        <v>37399.94</v>
      </c>
      <c r="N2191" s="20">
        <f>+Movimientos_2026[[#This Row],[Ingresos]]-Movimientos_2026[[#This Row],[Egresos]]</f>
        <v>-37399.94</v>
      </c>
      <c r="O2191" s="20">
        <f>+O2190+Movimientos_2026[[#This Row],[Neto]]</f>
        <v>6238830747.0460062</v>
      </c>
    </row>
    <row r="2192" spans="1:15" x14ac:dyDescent="0.25">
      <c r="A2192" s="13">
        <v>46210</v>
      </c>
      <c r="B2192" s="12">
        <f>MONTH(Movimientos_2026[[#This Row],[Fecha]])</f>
        <v>7</v>
      </c>
      <c r="C2192" s="12" t="str">
        <f>VLOOKUP((WEEKDAY(Movimientos_2026[[#This Row],[Fecha]],2)),'5. Setup'!$D$6:$E$12,2,FALSE)</f>
        <v>Mar</v>
      </c>
      <c r="D2192">
        <v>1045454</v>
      </c>
      <c r="E2192" t="str">
        <f>IFERROR(+VLOOKUP(Movimientos_2026[[#This Row],[Codigo]],Plan_cuentas[],2,FALSE)," ")</f>
        <v>INGRESOS</v>
      </c>
      <c r="F2192" t="str">
        <f>IFERROR(+VLOOKUP(Movimientos_2026[[#This Row],[Codigo]],Plan_cuentas[],3,FALSE)," ")</f>
        <v>Transferencia</v>
      </c>
      <c r="G2192" t="str">
        <f>IFERROR(+VLOOKUP(Movimientos_2026[[#This Row],[Codigo]],Plan_cuentas[],4,FALSE)," ")</f>
        <v>Factura</v>
      </c>
      <c r="H2192" t="str">
        <f>IFERROR(+VLOOKUP(Movimientos_2026[[#This Row],[Codigo]],Plan_cuentas[],5,FALSE)," ")</f>
        <v>FC DERECHOS</v>
      </c>
      <c r="I2192" s="43">
        <v>46174</v>
      </c>
      <c r="J2192" t="s">
        <v>943</v>
      </c>
      <c r="K2192" t="str">
        <f>IFERROR(+VLOOKUP(Movimientos_2026[[#This Row],[Codigo]],Plan_cuentas[],6,FALSE)," ")</f>
        <v>4 - FCA - Fiat</v>
      </c>
      <c r="L2192" s="50">
        <v>152911301.63</v>
      </c>
      <c r="M2192" s="50"/>
      <c r="N2192" s="20">
        <f>+Movimientos_2026[[#This Row],[Ingresos]]-Movimientos_2026[[#This Row],[Egresos]]</f>
        <v>152911301.63</v>
      </c>
      <c r="O2192" s="20">
        <f>+O2191+Movimientos_2026[[#This Row],[Neto]]</f>
        <v>6391742048.6760063</v>
      </c>
    </row>
    <row r="2193" spans="1:15" x14ac:dyDescent="0.25">
      <c r="A2193" s="13">
        <v>46210</v>
      </c>
      <c r="B2193" s="12">
        <f>MONTH(Movimientos_2026[[#This Row],[Fecha]])</f>
        <v>7</v>
      </c>
      <c r="C2193" s="12" t="str">
        <f>VLOOKUP((WEEKDAY(Movimientos_2026[[#This Row],[Fecha]],2)),'5. Setup'!$D$6:$E$12,2,FALSE)</f>
        <v>Mar</v>
      </c>
      <c r="D2193">
        <v>1041134</v>
      </c>
      <c r="E2193" t="str">
        <f>IFERROR(+VLOOKUP(Movimientos_2026[[#This Row],[Codigo]],Plan_cuentas[],2,FALSE)," ")</f>
        <v>INGRESOS</v>
      </c>
      <c r="F2193" t="str">
        <f>IFERROR(+VLOOKUP(Movimientos_2026[[#This Row],[Codigo]],Plan_cuentas[],3,FALSE)," ")</f>
        <v>Transferencia</v>
      </c>
      <c r="G2193" t="str">
        <f>IFERROR(+VLOOKUP(Movimientos_2026[[#This Row],[Codigo]],Plan_cuentas[],4,FALSE)," ")</f>
        <v>Entidades co-participadas</v>
      </c>
      <c r="H2193" t="str">
        <f>IFERROR(+VLOOKUP(Movimientos_2026[[#This Row],[Codigo]],Plan_cuentas[],5,FALSE)," ")</f>
        <v>BCLP</v>
      </c>
      <c r="I2193" s="43">
        <v>46174</v>
      </c>
      <c r="J2193" t="s">
        <v>944</v>
      </c>
      <c r="K2193" t="str">
        <f>IFERROR(+VLOOKUP(Movimientos_2026[[#This Row],[Codigo]],Plan_cuentas[],6,FALSE)," ")</f>
        <v>4 - FCA - Fiat</v>
      </c>
      <c r="L2193" s="50">
        <v>48917713.460000001</v>
      </c>
      <c r="M2193" s="50"/>
      <c r="N2193" s="20">
        <f>+Movimientos_2026[[#This Row],[Ingresos]]-Movimientos_2026[[#This Row],[Egresos]]</f>
        <v>48917713.460000001</v>
      </c>
      <c r="O2193" s="20">
        <f>+O2192+Movimientos_2026[[#This Row],[Neto]]</f>
        <v>6440659762.1360064</v>
      </c>
    </row>
    <row r="2194" spans="1:15" x14ac:dyDescent="0.25">
      <c r="A2194" s="13">
        <v>46210</v>
      </c>
      <c r="B2194" s="12">
        <f>MONTH(Movimientos_2026[[#This Row],[Fecha]])</f>
        <v>7</v>
      </c>
      <c r="C2194" s="12" t="str">
        <f>VLOOKUP((WEEKDAY(Movimientos_2026[[#This Row],[Fecha]],2)),'5. Setup'!$D$6:$E$12,2,FALSE)</f>
        <v>Mar</v>
      </c>
      <c r="D2194">
        <v>1041444</v>
      </c>
      <c r="E2194" t="str">
        <f>IFERROR(+VLOOKUP(Movimientos_2026[[#This Row],[Codigo]],Plan_cuentas[],2,FALSE)," ")</f>
        <v>INGRESOS</v>
      </c>
      <c r="F2194" t="str">
        <f>IFERROR(+VLOOKUP(Movimientos_2026[[#This Row],[Codigo]],Plan_cuentas[],3,FALSE)," ")</f>
        <v>Transferencia</v>
      </c>
      <c r="G2194" t="str">
        <f>IFERROR(+VLOOKUP(Movimientos_2026[[#This Row],[Codigo]],Plan_cuentas[],4,FALSE)," ")</f>
        <v>Entidades co-participadas</v>
      </c>
      <c r="H2194" t="str">
        <f>IFERROR(+VLOOKUP(Movimientos_2026[[#This Row],[Codigo]],Plan_cuentas[],5,FALSE)," ")</f>
        <v>UISCUMARR</v>
      </c>
      <c r="I2194" s="43">
        <v>46174</v>
      </c>
      <c r="J2194" t="s">
        <v>944</v>
      </c>
      <c r="K2194" t="str">
        <f>IFERROR(+VLOOKUP(Movimientos_2026[[#This Row],[Codigo]],Plan_cuentas[],6,FALSE)," ")</f>
        <v>4 - FCA - Fiat</v>
      </c>
      <c r="L2194" s="50">
        <v>421551684.63999999</v>
      </c>
      <c r="M2194" s="50"/>
      <c r="N2194" s="20">
        <f>+Movimientos_2026[[#This Row],[Ingresos]]-Movimientos_2026[[#This Row],[Egresos]]</f>
        <v>421551684.63999999</v>
      </c>
      <c r="O2194" s="20">
        <f>+O2193+Movimientos_2026[[#This Row],[Neto]]</f>
        <v>6862211446.7760067</v>
      </c>
    </row>
    <row r="2195" spans="1:15" x14ac:dyDescent="0.25">
      <c r="A2195" s="13">
        <v>46210</v>
      </c>
      <c r="B2195" s="12">
        <f>MONTH(Movimientos_2026[[#This Row],[Fecha]])</f>
        <v>7</v>
      </c>
      <c r="C2195" s="12" t="str">
        <f>VLOOKUP((WEEKDAY(Movimientos_2026[[#This Row],[Fecha]],2)),'5. Setup'!$D$6:$E$12,2,FALSE)</f>
        <v>Mar</v>
      </c>
      <c r="D2195">
        <v>1043144</v>
      </c>
      <c r="E2195" t="str">
        <f>IFERROR(+VLOOKUP(Movimientos_2026[[#This Row],[Codigo]],Plan_cuentas[],2,FALSE)," ")</f>
        <v>INGRESOS</v>
      </c>
      <c r="F2195" t="str">
        <f>IFERROR(+VLOOKUP(Movimientos_2026[[#This Row],[Codigo]],Plan_cuentas[],3,FALSE)," ")</f>
        <v>Transferencia</v>
      </c>
      <c r="G2195" t="str">
        <f>IFERROR(+VLOOKUP(Movimientos_2026[[#This Row],[Codigo]],Plan_cuentas[],4,FALSE)," ")</f>
        <v>Registración</v>
      </c>
      <c r="H2195" t="str">
        <f>IFERROR(+VLOOKUP(Movimientos_2026[[#This Row],[Codigo]],Plan_cuentas[],5,FALSE)," ")</f>
        <v>BUENOS AIRES</v>
      </c>
      <c r="I2195" s="43">
        <v>46174</v>
      </c>
      <c r="J2195" t="s">
        <v>944</v>
      </c>
      <c r="K2195" t="str">
        <f>IFERROR(+VLOOKUP(Movimientos_2026[[#This Row],[Codigo]],Plan_cuentas[],6,FALSE)," ")</f>
        <v>4 - FCA - Fiat</v>
      </c>
      <c r="L2195" s="50">
        <v>401174829.43000001</v>
      </c>
      <c r="M2195" s="50"/>
      <c r="N2195" s="20">
        <f>+Movimientos_2026[[#This Row],[Ingresos]]-Movimientos_2026[[#This Row],[Egresos]]</f>
        <v>401174829.43000001</v>
      </c>
      <c r="O2195" s="20">
        <f>+O2194+Movimientos_2026[[#This Row],[Neto]]</f>
        <v>7263386276.206007</v>
      </c>
    </row>
    <row r="2196" spans="1:15" x14ac:dyDescent="0.25">
      <c r="A2196" s="13">
        <v>46211</v>
      </c>
      <c r="B2196" s="12">
        <f>MONTH(Movimientos_2026[[#This Row],[Fecha]])</f>
        <v>7</v>
      </c>
      <c r="C2196" s="12" t="str">
        <f>VLOOKUP((WEEKDAY(Movimientos_2026[[#This Row],[Fecha]],2)),'5. Setup'!$D$6:$E$12,2,FALSE)</f>
        <v>Mie</v>
      </c>
      <c r="D2196">
        <v>2054321</v>
      </c>
      <c r="E2196" t="str">
        <f>IFERROR(+VLOOKUP(Movimientos_2026[[#This Row],[Codigo]],Plan_cuentas[],2,FALSE)," ")</f>
        <v>EGRESOS</v>
      </c>
      <c r="F2196" t="str">
        <f>IFERROR(+VLOOKUP(Movimientos_2026[[#This Row],[Codigo]],Plan_cuentas[],3,FALSE)," ")</f>
        <v>VEP</v>
      </c>
      <c r="G2196" t="str">
        <f>IFERROR(+VLOOKUP(Movimientos_2026[[#This Row],[Codigo]],Plan_cuentas[],4,FALSE)," ")</f>
        <v>Rentas</v>
      </c>
      <c r="H2196" t="str">
        <f>IFERROR(+VLOOKUP(Movimientos_2026[[#This Row],[Codigo]],Plan_cuentas[],5,FALSE)," ")</f>
        <v>NEUQUEN 2° Q</v>
      </c>
      <c r="I2196" s="43">
        <v>46174</v>
      </c>
      <c r="J2196" t="s">
        <v>945</v>
      </c>
      <c r="K2196" t="str">
        <f>IFERROR(+VLOOKUP(Movimientos_2026[[#This Row],[Codigo]],Plan_cuentas[],6,FALSE)," ")</f>
        <v>1 - VW - Volkswagen</v>
      </c>
      <c r="L2196" s="50"/>
      <c r="M2196" s="50">
        <v>31649722.5</v>
      </c>
      <c r="N2196" s="20">
        <f>+Movimientos_2026[[#This Row],[Ingresos]]-Movimientos_2026[[#This Row],[Egresos]]</f>
        <v>-31649722.5</v>
      </c>
      <c r="O2196" s="20">
        <f>+O2195+Movimientos_2026[[#This Row],[Neto]]</f>
        <v>7231736553.706007</v>
      </c>
    </row>
    <row r="2197" spans="1:15" x14ac:dyDescent="0.25">
      <c r="A2197" s="13">
        <v>46211</v>
      </c>
      <c r="B2197" s="12">
        <f>MONTH(Movimientos_2026[[#This Row],[Fecha]])</f>
        <v>7</v>
      </c>
      <c r="C2197" s="12" t="str">
        <f>VLOOKUP((WEEKDAY(Movimientos_2026[[#This Row],[Fecha]],2)),'5. Setup'!$D$6:$E$12,2,FALSE)</f>
        <v>Mie</v>
      </c>
      <c r="D2197">
        <v>2014272</v>
      </c>
      <c r="E2197" t="str">
        <f>IFERROR(+VLOOKUP(Movimientos_2026[[#This Row],[Codigo]],Plan_cuentas[],2,FALSE)," ")</f>
        <v>EGRESOS</v>
      </c>
      <c r="F2197" t="str">
        <f>IFERROR(+VLOOKUP(Movimientos_2026[[#This Row],[Codigo]],Plan_cuentas[],3,FALSE)," ")</f>
        <v>BtoB</v>
      </c>
      <c r="G2197" t="str">
        <f>IFERROR(+VLOOKUP(Movimientos_2026[[#This Row],[Codigo]],Plan_cuentas[],4,FALSE)," ")</f>
        <v>Rentas</v>
      </c>
      <c r="H2197" t="str">
        <f>IFERROR(+VLOOKUP(Movimientos_2026[[#This Row],[Codigo]],Plan_cuentas[],5,FALSE)," ")</f>
        <v>LA RIOJA</v>
      </c>
      <c r="I2197" s="43">
        <v>46174</v>
      </c>
      <c r="J2197" t="s">
        <v>946</v>
      </c>
      <c r="K2197" t="str">
        <f>IFERROR(+VLOOKUP(Movimientos_2026[[#This Row],[Codigo]],Plan_cuentas[],6,FALSE)," ")</f>
        <v>2 - PR - Plan Rombo</v>
      </c>
      <c r="L2197" s="50"/>
      <c r="M2197" s="50">
        <v>5086899.3499999996</v>
      </c>
      <c r="N2197" s="20">
        <f>+Movimientos_2026[[#This Row],[Ingresos]]-Movimientos_2026[[#This Row],[Egresos]]</f>
        <v>-5086899.3499999996</v>
      </c>
      <c r="O2197" s="20">
        <f>+O2196+Movimientos_2026[[#This Row],[Neto]]</f>
        <v>7226649654.3560066</v>
      </c>
    </row>
    <row r="2198" spans="1:15" x14ac:dyDescent="0.25">
      <c r="A2198" s="13">
        <v>46211</v>
      </c>
      <c r="B2198" s="12">
        <f>MONTH(Movimientos_2026[[#This Row],[Fecha]])</f>
        <v>7</v>
      </c>
      <c r="C2198" s="12" t="str">
        <f>VLOOKUP((WEEKDAY(Movimientos_2026[[#This Row],[Fecha]],2)),'5. Setup'!$D$6:$E$12,2,FALSE)</f>
        <v>Mie</v>
      </c>
      <c r="D2198">
        <v>2014274</v>
      </c>
      <c r="E2198" t="str">
        <f>IFERROR(+VLOOKUP(Movimientos_2026[[#This Row],[Codigo]],Plan_cuentas[],2,FALSE)," ")</f>
        <v>EGRESOS</v>
      </c>
      <c r="F2198" t="str">
        <f>IFERROR(+VLOOKUP(Movimientos_2026[[#This Row],[Codigo]],Plan_cuentas[],3,FALSE)," ")</f>
        <v>BtoB</v>
      </c>
      <c r="G2198" t="str">
        <f>IFERROR(+VLOOKUP(Movimientos_2026[[#This Row],[Codigo]],Plan_cuentas[],4,FALSE)," ")</f>
        <v>Rentas</v>
      </c>
      <c r="H2198" t="str">
        <f>IFERROR(+VLOOKUP(Movimientos_2026[[#This Row],[Codigo]],Plan_cuentas[],5,FALSE)," ")</f>
        <v>LA RIOJA</v>
      </c>
      <c r="I2198" s="43">
        <v>46174</v>
      </c>
      <c r="J2198" t="s">
        <v>947</v>
      </c>
      <c r="K2198" t="str">
        <f>IFERROR(+VLOOKUP(Movimientos_2026[[#This Row],[Codigo]],Plan_cuentas[],6,FALSE)," ")</f>
        <v>4 - FCA - Fiat</v>
      </c>
      <c r="L2198" s="50"/>
      <c r="M2198" s="50">
        <v>22773105.350000001</v>
      </c>
      <c r="N2198" s="20">
        <f>+Movimientos_2026[[#This Row],[Ingresos]]-Movimientos_2026[[#This Row],[Egresos]]</f>
        <v>-22773105.350000001</v>
      </c>
      <c r="O2198" s="20">
        <f>+O2197+Movimientos_2026[[#This Row],[Neto]]</f>
        <v>7203876549.0060062</v>
      </c>
    </row>
    <row r="2199" spans="1:15" x14ac:dyDescent="0.25">
      <c r="A2199" s="13">
        <v>46211</v>
      </c>
      <c r="B2199" s="12">
        <f>MONTH(Movimientos_2026[[#This Row],[Fecha]])</f>
        <v>7</v>
      </c>
      <c r="C2199" s="12" t="str">
        <f>VLOOKUP((WEEKDAY(Movimientos_2026[[#This Row],[Fecha]],2)),'5. Setup'!$D$6:$E$12,2,FALSE)</f>
        <v>Mie</v>
      </c>
      <c r="D2199">
        <v>2014275</v>
      </c>
      <c r="E2199" t="str">
        <f>IFERROR(+VLOOKUP(Movimientos_2026[[#This Row],[Codigo]],Plan_cuentas[],2,FALSE)," ")</f>
        <v>EGRESOS</v>
      </c>
      <c r="F2199" t="str">
        <f>IFERROR(+VLOOKUP(Movimientos_2026[[#This Row],[Codigo]],Plan_cuentas[],3,FALSE)," ")</f>
        <v>BtoB</v>
      </c>
      <c r="G2199" t="str">
        <f>IFERROR(+VLOOKUP(Movimientos_2026[[#This Row],[Codigo]],Plan_cuentas[],4,FALSE)," ")</f>
        <v>Rentas</v>
      </c>
      <c r="H2199" t="str">
        <f>IFERROR(+VLOOKUP(Movimientos_2026[[#This Row],[Codigo]],Plan_cuentas[],5,FALSE)," ")</f>
        <v>LA RIOJA</v>
      </c>
      <c r="I2199" s="43">
        <v>46174</v>
      </c>
      <c r="J2199" t="s">
        <v>948</v>
      </c>
      <c r="K2199" t="str">
        <f>IFERROR(+VLOOKUP(Movimientos_2026[[#This Row],[Codigo]],Plan_cuentas[],6,FALSE)," ")</f>
        <v>5 - YAM - Yamaha</v>
      </c>
      <c r="L2199" s="50"/>
      <c r="M2199" s="52">
        <v>1854039.13</v>
      </c>
      <c r="N2199" s="20">
        <f>+Movimientos_2026[[#This Row],[Ingresos]]-Movimientos_2026[[#This Row],[Egresos]]</f>
        <v>-1854039.13</v>
      </c>
      <c r="O2199" s="20">
        <f>+O2198+Movimientos_2026[[#This Row],[Neto]]</f>
        <v>7202022509.8760061</v>
      </c>
    </row>
    <row r="2200" spans="1:15" x14ac:dyDescent="0.25">
      <c r="A2200" s="13">
        <v>46211</v>
      </c>
      <c r="B2200" s="12">
        <f>MONTH(Movimientos_2026[[#This Row],[Fecha]])</f>
        <v>7</v>
      </c>
      <c r="C2200" s="12" t="str">
        <f>VLOOKUP((WEEKDAY(Movimientos_2026[[#This Row],[Fecha]],2)),'5. Setup'!$D$6:$E$12,2,FALSE)</f>
        <v>Mie</v>
      </c>
      <c r="D2200">
        <v>2034234</v>
      </c>
      <c r="E2200" t="str">
        <f>IFERROR(+VLOOKUP(Movimientos_2026[[#This Row],[Codigo]],Plan_cuentas[],2,FALSE)," ")</f>
        <v>EGRESOS</v>
      </c>
      <c r="F2200" t="str">
        <f>IFERROR(+VLOOKUP(Movimientos_2026[[#This Row],[Codigo]],Plan_cuentas[],3,FALSE)," ")</f>
        <v>Pagos Bco. Provincia</v>
      </c>
      <c r="G2200" t="str">
        <f>IFERROR(+VLOOKUP(Movimientos_2026[[#This Row],[Codigo]],Plan_cuentas[],4,FALSE)," ")</f>
        <v>Rentas</v>
      </c>
      <c r="H2200" t="str">
        <f>IFERROR(+VLOOKUP(Movimientos_2026[[#This Row],[Codigo]],Plan_cuentas[],5,FALSE)," ")</f>
        <v>ENTRE RIOS 2° Q</v>
      </c>
      <c r="I2200" s="43">
        <v>46174</v>
      </c>
      <c r="J2200" t="s">
        <v>949</v>
      </c>
      <c r="K2200" t="str">
        <f>IFERROR(+VLOOKUP(Movimientos_2026[[#This Row],[Codigo]],Plan_cuentas[],6,FALSE)," ")</f>
        <v>4 - FCA - Fiat</v>
      </c>
      <c r="L2200" s="50"/>
      <c r="M2200" s="50">
        <v>25461341.57</v>
      </c>
      <c r="N2200" s="20">
        <f>+Movimientos_2026[[#This Row],[Ingresos]]-Movimientos_2026[[#This Row],[Egresos]]</f>
        <v>-25461341.57</v>
      </c>
      <c r="O2200" s="20">
        <f>+O2199+Movimientos_2026[[#This Row],[Neto]]</f>
        <v>7176561168.3060064</v>
      </c>
    </row>
    <row r="2201" spans="1:15" x14ac:dyDescent="0.25">
      <c r="A2201" s="13">
        <v>46211</v>
      </c>
      <c r="B2201" s="12">
        <f>MONTH(Movimientos_2026[[#This Row],[Fecha]])</f>
        <v>7</v>
      </c>
      <c r="C2201" s="12" t="str">
        <f>VLOOKUP((WEEKDAY(Movimientos_2026[[#This Row],[Fecha]],2)),'5. Setup'!$D$6:$E$12,2,FALSE)</f>
        <v>Mie</v>
      </c>
      <c r="D2201">
        <v>2034235</v>
      </c>
      <c r="E2201" t="str">
        <f>IFERROR(+VLOOKUP(Movimientos_2026[[#This Row],[Codigo]],Plan_cuentas[],2,FALSE)," ")</f>
        <v>EGRESOS</v>
      </c>
      <c r="F2201" t="str">
        <f>IFERROR(+VLOOKUP(Movimientos_2026[[#This Row],[Codigo]],Plan_cuentas[],3,FALSE)," ")</f>
        <v>Pagos Bco. Provincia</v>
      </c>
      <c r="G2201" t="str">
        <f>IFERROR(+VLOOKUP(Movimientos_2026[[#This Row],[Codigo]],Plan_cuentas[],4,FALSE)," ")</f>
        <v>Rentas</v>
      </c>
      <c r="H2201" t="str">
        <f>IFERROR(+VLOOKUP(Movimientos_2026[[#This Row],[Codigo]],Plan_cuentas[],5,FALSE)," ")</f>
        <v>ENTRE RIOS 2° Q</v>
      </c>
      <c r="I2201" s="43">
        <v>46174</v>
      </c>
      <c r="J2201" t="s">
        <v>950</v>
      </c>
      <c r="K2201" t="str">
        <f>IFERROR(+VLOOKUP(Movimientos_2026[[#This Row],[Codigo]],Plan_cuentas[],6,FALSE)," ")</f>
        <v>5 - YAM - Yamaha</v>
      </c>
      <c r="L2201" s="50"/>
      <c r="M2201" s="50">
        <v>3030442.35</v>
      </c>
      <c r="N2201" s="20">
        <f>+Movimientos_2026[[#This Row],[Ingresos]]-Movimientos_2026[[#This Row],[Egresos]]</f>
        <v>-3030442.35</v>
      </c>
      <c r="O2201" s="20">
        <f>+O2200+Movimientos_2026[[#This Row],[Neto]]</f>
        <v>7173530725.9560061</v>
      </c>
    </row>
    <row r="2202" spans="1:15" x14ac:dyDescent="0.25">
      <c r="A2202" s="13">
        <v>46211</v>
      </c>
      <c r="B2202" s="12">
        <f>MONTH(Movimientos_2026[[#This Row],[Fecha]])</f>
        <v>7</v>
      </c>
      <c r="C2202" s="12" t="str">
        <f>VLOOKUP((WEEKDAY(Movimientos_2026[[#This Row],[Fecha]],2)),'5. Setup'!$D$6:$E$12,2,FALSE)</f>
        <v>Mie</v>
      </c>
      <c r="D2202">
        <v>2014425</v>
      </c>
      <c r="E2202" t="str">
        <f>IFERROR(+VLOOKUP(Movimientos_2026[[#This Row],[Codigo]],Plan_cuentas[],2,FALSE)," ")</f>
        <v>EGRESOS</v>
      </c>
      <c r="F2202" t="str">
        <f>IFERROR(+VLOOKUP(Movimientos_2026[[#This Row],[Codigo]],Plan_cuentas[],3,FALSE)," ")</f>
        <v>BtoB</v>
      </c>
      <c r="G2202" t="str">
        <f>IFERROR(+VLOOKUP(Movimientos_2026[[#This Row],[Codigo]],Plan_cuentas[],4,FALSE)," ")</f>
        <v>Rentas</v>
      </c>
      <c r="H2202" t="str">
        <f>IFERROR(+VLOOKUP(Movimientos_2026[[#This Row],[Codigo]],Plan_cuentas[],5,FALSE)," ")</f>
        <v>TUCUMAN</v>
      </c>
      <c r="I2202" s="43">
        <v>46174</v>
      </c>
      <c r="J2202" t="s">
        <v>951</v>
      </c>
      <c r="K2202" t="str">
        <f>IFERROR(+VLOOKUP(Movimientos_2026[[#This Row],[Codigo]],Plan_cuentas[],6,FALSE)," ")</f>
        <v>5 - YAM - Yamaha</v>
      </c>
      <c r="L2202" s="50"/>
      <c r="M2202" s="50">
        <v>2753285.43</v>
      </c>
      <c r="N2202" s="20">
        <f>+Movimientos_2026[[#This Row],[Ingresos]]-Movimientos_2026[[#This Row],[Egresos]]</f>
        <v>-2753285.43</v>
      </c>
      <c r="O2202" s="20">
        <f>+O2201+Movimientos_2026[[#This Row],[Neto]]</f>
        <v>7170777440.5260057</v>
      </c>
    </row>
    <row r="2203" spans="1:15" x14ac:dyDescent="0.25">
      <c r="A2203" s="13">
        <v>46211</v>
      </c>
      <c r="B2203" s="12">
        <f>MONTH(Movimientos_2026[[#This Row],[Fecha]])</f>
        <v>7</v>
      </c>
      <c r="C2203" s="12" t="str">
        <f>VLOOKUP((WEEKDAY(Movimientos_2026[[#This Row],[Fecha]],2)),'5. Setup'!$D$6:$E$12,2,FALSE)</f>
        <v>Mie</v>
      </c>
      <c r="D2203">
        <v>2034243</v>
      </c>
      <c r="E2203" t="str">
        <f>IFERROR(+VLOOKUP(Movimientos_2026[[#This Row],[Codigo]],Plan_cuentas[],2,FALSE)," ")</f>
        <v>EGRESOS</v>
      </c>
      <c r="F2203" t="str">
        <f>IFERROR(+VLOOKUP(Movimientos_2026[[#This Row],[Codigo]],Plan_cuentas[],3,FALSE)," ")</f>
        <v>Pagos Bco. Provincia</v>
      </c>
      <c r="G2203" t="str">
        <f>IFERROR(+VLOOKUP(Movimientos_2026[[#This Row],[Codigo]],Plan_cuentas[],4,FALSE)," ")</f>
        <v>Rentas</v>
      </c>
      <c r="H2203" t="str">
        <f>IFERROR(+VLOOKUP(Movimientos_2026[[#This Row],[Codigo]],Plan_cuentas[],5,FALSE)," ")</f>
        <v>FORMOSA</v>
      </c>
      <c r="I2203" s="43">
        <v>46174</v>
      </c>
      <c r="J2203" t="s">
        <v>952</v>
      </c>
      <c r="K2203" t="str">
        <f>IFERROR(+VLOOKUP(Movimientos_2026[[#This Row],[Codigo]],Plan_cuentas[],6,FALSE)," ")</f>
        <v>3 - GM - Chevrolet</v>
      </c>
      <c r="L2203" s="50"/>
      <c r="M2203" s="50">
        <v>19020954.32</v>
      </c>
      <c r="N2203" s="20">
        <f>+Movimientos_2026[[#This Row],[Ingresos]]-Movimientos_2026[[#This Row],[Egresos]]</f>
        <v>-19020954.32</v>
      </c>
      <c r="O2203" s="20">
        <f>+O2202+Movimientos_2026[[#This Row],[Neto]]</f>
        <v>7151756486.2060061</v>
      </c>
    </row>
    <row r="2204" spans="1:15" x14ac:dyDescent="0.25">
      <c r="A2204" s="13">
        <v>46211</v>
      </c>
      <c r="B2204" s="12">
        <f>MONTH(Movimientos_2026[[#This Row],[Fecha]])</f>
        <v>7</v>
      </c>
      <c r="C2204" s="12" t="str">
        <f>VLOOKUP((WEEKDAY(Movimientos_2026[[#This Row],[Fecha]],2)),'5. Setup'!$D$6:$E$12,2,FALSE)</f>
        <v>Mie</v>
      </c>
      <c r="D2204">
        <v>2034244</v>
      </c>
      <c r="E2204" t="str">
        <f>IFERROR(+VLOOKUP(Movimientos_2026[[#This Row],[Codigo]],Plan_cuentas[],2,FALSE)," ")</f>
        <v>EGRESOS</v>
      </c>
      <c r="F2204" t="str">
        <f>IFERROR(+VLOOKUP(Movimientos_2026[[#This Row],[Codigo]],Plan_cuentas[],3,FALSE)," ")</f>
        <v>Pagos Bco. Provincia</v>
      </c>
      <c r="G2204" t="str">
        <f>IFERROR(+VLOOKUP(Movimientos_2026[[#This Row],[Codigo]],Plan_cuentas[],4,FALSE)," ")</f>
        <v>Rentas</v>
      </c>
      <c r="H2204" t="str">
        <f>IFERROR(+VLOOKUP(Movimientos_2026[[#This Row],[Codigo]],Plan_cuentas[],5,FALSE)," ")</f>
        <v>FORMOSA</v>
      </c>
      <c r="I2204" s="43">
        <v>46174</v>
      </c>
      <c r="J2204" t="s">
        <v>953</v>
      </c>
      <c r="K2204" t="str">
        <f>IFERROR(+VLOOKUP(Movimientos_2026[[#This Row],[Codigo]],Plan_cuentas[],6,FALSE)," ")</f>
        <v>4 - FCA - Fiat</v>
      </c>
      <c r="L2204" s="50"/>
      <c r="M2204" s="50">
        <v>11676501.84</v>
      </c>
      <c r="N2204" s="20">
        <f>+Movimientos_2026[[#This Row],[Ingresos]]-Movimientos_2026[[#This Row],[Egresos]]</f>
        <v>-11676501.84</v>
      </c>
      <c r="O2204" s="20">
        <f>+O2203+Movimientos_2026[[#This Row],[Neto]]</f>
        <v>7140079984.3660059</v>
      </c>
    </row>
    <row r="2205" spans="1:15" x14ac:dyDescent="0.25">
      <c r="A2205" s="13">
        <v>46211</v>
      </c>
      <c r="B2205" s="12">
        <f>MONTH(Movimientos_2026[[#This Row],[Fecha]])</f>
        <v>7</v>
      </c>
      <c r="C2205" s="12" t="str">
        <f>VLOOKUP((WEEKDAY(Movimientos_2026[[#This Row],[Fecha]],2)),'5. Setup'!$D$6:$E$12,2,FALSE)</f>
        <v>Mie</v>
      </c>
      <c r="D2205">
        <v>2054372</v>
      </c>
      <c r="E2205" t="str">
        <f>IFERROR(+VLOOKUP(Movimientos_2026[[#This Row],[Codigo]],Plan_cuentas[],2,FALSE)," ")</f>
        <v>EGRESOS</v>
      </c>
      <c r="F2205" t="str">
        <f>IFERROR(+VLOOKUP(Movimientos_2026[[#This Row],[Codigo]],Plan_cuentas[],3,FALSE)," ")</f>
        <v>VEP</v>
      </c>
      <c r="G2205" t="str">
        <f>IFERROR(+VLOOKUP(Movimientos_2026[[#This Row],[Codigo]],Plan_cuentas[],4,FALSE)," ")</f>
        <v>Rentas</v>
      </c>
      <c r="H2205" t="str">
        <f>IFERROR(+VLOOKUP(Movimientos_2026[[#This Row],[Codigo]],Plan_cuentas[],5,FALSE)," ")</f>
        <v>SANTA CRUZ</v>
      </c>
      <c r="I2205" s="43">
        <v>46174</v>
      </c>
      <c r="J2205" t="s">
        <v>954</v>
      </c>
      <c r="K2205" t="str">
        <f>IFERROR(+VLOOKUP(Movimientos_2026[[#This Row],[Codigo]],Plan_cuentas[],6,FALSE)," ")</f>
        <v>2 - PR - Plan Rombo</v>
      </c>
      <c r="L2205" s="50"/>
      <c r="M2205" s="50">
        <v>37043310.759999998</v>
      </c>
      <c r="N2205" s="20">
        <f>+Movimientos_2026[[#This Row],[Ingresos]]-Movimientos_2026[[#This Row],[Egresos]]</f>
        <v>-37043310.759999998</v>
      </c>
      <c r="O2205" s="20">
        <f>+O2204+Movimientos_2026[[#This Row],[Neto]]</f>
        <v>7103036673.6060057</v>
      </c>
    </row>
    <row r="2206" spans="1:15" x14ac:dyDescent="0.25">
      <c r="A2206" s="13">
        <v>46211</v>
      </c>
      <c r="B2206" s="12">
        <f>MONTH(Movimientos_2026[[#This Row],[Fecha]])</f>
        <v>7</v>
      </c>
      <c r="C2206" s="12" t="str">
        <f>VLOOKUP((WEEKDAY(Movimientos_2026[[#This Row],[Fecha]],2)),'5. Setup'!$D$6:$E$12,2,FALSE)</f>
        <v>Mie</v>
      </c>
      <c r="D2206">
        <v>2054374</v>
      </c>
      <c r="E2206" t="str">
        <f>IFERROR(+VLOOKUP(Movimientos_2026[[#This Row],[Codigo]],Plan_cuentas[],2,FALSE)," ")</f>
        <v>EGRESOS</v>
      </c>
      <c r="F2206" t="str">
        <f>IFERROR(+VLOOKUP(Movimientos_2026[[#This Row],[Codigo]],Plan_cuentas[],3,FALSE)," ")</f>
        <v>VEP</v>
      </c>
      <c r="G2206" t="str">
        <f>IFERROR(+VLOOKUP(Movimientos_2026[[#This Row],[Codigo]],Plan_cuentas[],4,FALSE)," ")</f>
        <v>Rentas</v>
      </c>
      <c r="H2206" t="str">
        <f>IFERROR(+VLOOKUP(Movimientos_2026[[#This Row],[Codigo]],Plan_cuentas[],5,FALSE)," ")</f>
        <v>SANTA CRUZ</v>
      </c>
      <c r="I2206" s="43">
        <v>46174</v>
      </c>
      <c r="J2206" t="s">
        <v>955</v>
      </c>
      <c r="K2206" t="str">
        <f>IFERROR(+VLOOKUP(Movimientos_2026[[#This Row],[Codigo]],Plan_cuentas[],6,FALSE)," ")</f>
        <v>4 - FCA - Fiat</v>
      </c>
      <c r="L2206" s="50"/>
      <c r="M2206" s="50">
        <v>20101597.91</v>
      </c>
      <c r="N2206" s="20">
        <f>+Movimientos_2026[[#This Row],[Ingresos]]-Movimientos_2026[[#This Row],[Egresos]]</f>
        <v>-20101597.91</v>
      </c>
      <c r="O2206" s="20">
        <f>+O2205+Movimientos_2026[[#This Row],[Neto]]</f>
        <v>7082935075.6960058</v>
      </c>
    </row>
    <row r="2207" spans="1:15" x14ac:dyDescent="0.25">
      <c r="A2207" s="13">
        <v>46211</v>
      </c>
      <c r="B2207" s="12">
        <f>MONTH(Movimientos_2026[[#This Row],[Fecha]])</f>
        <v>7</v>
      </c>
      <c r="C2207" s="12" t="str">
        <f>VLOOKUP((WEEKDAY(Movimientos_2026[[#This Row],[Fecha]],2)),'5. Setup'!$D$6:$E$12,2,FALSE)</f>
        <v>Mie</v>
      </c>
      <c r="D2207">
        <v>2014212</v>
      </c>
      <c r="E2207" t="str">
        <f>IFERROR(+VLOOKUP(Movimientos_2026[[#This Row],[Codigo]],Plan_cuentas[],2,FALSE)," ")</f>
        <v>EGRESOS</v>
      </c>
      <c r="F2207" t="str">
        <f>IFERROR(+VLOOKUP(Movimientos_2026[[#This Row],[Codigo]],Plan_cuentas[],3,FALSE)," ")</f>
        <v>BtoB</v>
      </c>
      <c r="G2207" t="str">
        <f>IFERROR(+VLOOKUP(Movimientos_2026[[#This Row],[Codigo]],Plan_cuentas[],4,FALSE)," ")</f>
        <v>Rentas</v>
      </c>
      <c r="H2207" t="str">
        <f>IFERROR(+VLOOKUP(Movimientos_2026[[#This Row],[Codigo]],Plan_cuentas[],5,FALSE)," ")</f>
        <v>CORRIENTES 2° Q</v>
      </c>
      <c r="I2207" s="43">
        <v>46174</v>
      </c>
      <c r="J2207" t="s">
        <v>956</v>
      </c>
      <c r="K2207" t="str">
        <f>IFERROR(+VLOOKUP(Movimientos_2026[[#This Row],[Codigo]],Plan_cuentas[],6,FALSE)," ")</f>
        <v>2 - PR - Plan Rombo</v>
      </c>
      <c r="L2207" s="50"/>
      <c r="M2207" s="50">
        <v>10639468.15</v>
      </c>
      <c r="N2207" s="20">
        <f>+Movimientos_2026[[#This Row],[Ingresos]]-Movimientos_2026[[#This Row],[Egresos]]</f>
        <v>-10639468.15</v>
      </c>
      <c r="O2207" s="20">
        <f>+O2206+Movimientos_2026[[#This Row],[Neto]]</f>
        <v>7072295607.5460062</v>
      </c>
    </row>
    <row r="2208" spans="1:15" x14ac:dyDescent="0.25">
      <c r="A2208" s="13">
        <v>46211</v>
      </c>
      <c r="B2208" s="12">
        <f>MONTH(Movimientos_2026[[#This Row],[Fecha]])</f>
        <v>7</v>
      </c>
      <c r="C2208" s="12" t="str">
        <f>VLOOKUP((WEEKDAY(Movimientos_2026[[#This Row],[Fecha]],2)),'5. Setup'!$D$6:$E$12,2,FALSE)</f>
        <v>Mie</v>
      </c>
      <c r="D2208">
        <v>2014214</v>
      </c>
      <c r="E2208" t="str">
        <f>IFERROR(+VLOOKUP(Movimientos_2026[[#This Row],[Codigo]],Plan_cuentas[],2,FALSE)," ")</f>
        <v>EGRESOS</v>
      </c>
      <c r="F2208" t="str">
        <f>IFERROR(+VLOOKUP(Movimientos_2026[[#This Row],[Codigo]],Plan_cuentas[],3,FALSE)," ")</f>
        <v>BtoB</v>
      </c>
      <c r="G2208" t="str">
        <f>IFERROR(+VLOOKUP(Movimientos_2026[[#This Row],[Codigo]],Plan_cuentas[],4,FALSE)," ")</f>
        <v>Rentas</v>
      </c>
      <c r="H2208" t="str">
        <f>IFERROR(+VLOOKUP(Movimientos_2026[[#This Row],[Codigo]],Plan_cuentas[],5,FALSE)," ")</f>
        <v>CORRIENTES 2° Q</v>
      </c>
      <c r="I2208" s="43">
        <v>46174</v>
      </c>
      <c r="J2208" t="s">
        <v>957</v>
      </c>
      <c r="K2208" t="str">
        <f>IFERROR(+VLOOKUP(Movimientos_2026[[#This Row],[Codigo]],Plan_cuentas[],6,FALSE)," ")</f>
        <v>4 - FCA - Fiat</v>
      </c>
      <c r="L2208" s="50"/>
      <c r="M2208" s="50">
        <v>10775175.869999999</v>
      </c>
      <c r="N2208" s="20">
        <f>+Movimientos_2026[[#This Row],[Ingresos]]-Movimientos_2026[[#This Row],[Egresos]]</f>
        <v>-10775175.869999999</v>
      </c>
      <c r="O2208" s="20">
        <f>+O2207+Movimientos_2026[[#This Row],[Neto]]</f>
        <v>7061520431.6760063</v>
      </c>
    </row>
    <row r="2209" spans="1:15" x14ac:dyDescent="0.25">
      <c r="A2209" s="13">
        <v>46211</v>
      </c>
      <c r="B2209" s="12">
        <f>MONTH(Movimientos_2026[[#This Row],[Fecha]])</f>
        <v>7</v>
      </c>
      <c r="C2209" s="12" t="str">
        <f>VLOOKUP((WEEKDAY(Movimientos_2026[[#This Row],[Fecha]],2)),'5. Setup'!$D$6:$E$12,2,FALSE)</f>
        <v>Mie</v>
      </c>
      <c r="D2209">
        <v>2054196</v>
      </c>
      <c r="E2209" t="str">
        <f>IFERROR(+VLOOKUP(Movimientos_2026[[#This Row],[Codigo]],Plan_cuentas[],2,FALSE)," ")</f>
        <v>EGRESOS</v>
      </c>
      <c r="F2209" t="str">
        <f>IFERROR(+VLOOKUP(Movimientos_2026[[#This Row],[Codigo]],Plan_cuentas[],3,FALSE)," ")</f>
        <v>VEP</v>
      </c>
      <c r="G2209" t="str">
        <f>IFERROR(+VLOOKUP(Movimientos_2026[[#This Row],[Codigo]],Plan_cuentas[],4,FALSE)," ")</f>
        <v>Rentas</v>
      </c>
      <c r="H2209" t="str">
        <f>IFERROR(+VLOOKUP(Movimientos_2026[[#This Row],[Codigo]],Plan_cuentas[],5,FALSE)," ")</f>
        <v>CORDOBA 2° Q</v>
      </c>
      <c r="I2209" s="43">
        <v>46174</v>
      </c>
      <c r="J2209" t="s">
        <v>958</v>
      </c>
      <c r="K2209" t="str">
        <f>IFERROR(+VLOOKUP(Movimientos_2026[[#This Row],[Codigo]],Plan_cuentas[],6,FALSE)," ")</f>
        <v>6 - FCAtr - Fiat Transf.</v>
      </c>
      <c r="L2209" s="50"/>
      <c r="M2209" s="50">
        <v>15045185.130000001</v>
      </c>
      <c r="N2209" s="20">
        <f>+Movimientos_2026[[#This Row],[Ingresos]]-Movimientos_2026[[#This Row],[Egresos]]</f>
        <v>-15045185.130000001</v>
      </c>
      <c r="O2209" s="20">
        <f>+O2208+Movimientos_2026[[#This Row],[Neto]]</f>
        <v>7046475246.5460062</v>
      </c>
    </row>
    <row r="2210" spans="1:15" x14ac:dyDescent="0.25">
      <c r="A2210" s="13">
        <v>46211</v>
      </c>
      <c r="B2210" s="12">
        <f>MONTH(Movimientos_2026[[#This Row],[Fecha]])</f>
        <v>7</v>
      </c>
      <c r="C2210" s="12" t="str">
        <f>VLOOKUP((WEEKDAY(Movimientos_2026[[#This Row],[Fecha]],2)),'5. Setup'!$D$6:$E$12,2,FALSE)</f>
        <v>Mie</v>
      </c>
      <c r="D2210">
        <v>2054282</v>
      </c>
      <c r="E2210" t="str">
        <f>IFERROR(+VLOOKUP(Movimientos_2026[[#This Row],[Codigo]],Plan_cuentas[],2,FALSE)," ")</f>
        <v>EGRESOS</v>
      </c>
      <c r="F2210" t="str">
        <f>IFERROR(+VLOOKUP(Movimientos_2026[[#This Row],[Codigo]],Plan_cuentas[],3,FALSE)," ")</f>
        <v>VEP</v>
      </c>
      <c r="G2210" t="str">
        <f>IFERROR(+VLOOKUP(Movimientos_2026[[#This Row],[Codigo]],Plan_cuentas[],4,FALSE)," ")</f>
        <v>Rentas</v>
      </c>
      <c r="H2210" t="str">
        <f>IFERROR(+VLOOKUP(Movimientos_2026[[#This Row],[Codigo]],Plan_cuentas[],5,FALSE)," ")</f>
        <v>MENDOZA</v>
      </c>
      <c r="I2210" s="43">
        <v>46174</v>
      </c>
      <c r="J2210" t="s">
        <v>959</v>
      </c>
      <c r="K2210" t="str">
        <f>IFERROR(+VLOOKUP(Movimientos_2026[[#This Row],[Codigo]],Plan_cuentas[],6,FALSE)," ")</f>
        <v>2 - PR - Plan Rombo</v>
      </c>
      <c r="L2210" s="50"/>
      <c r="M2210" s="50">
        <v>43690500</v>
      </c>
      <c r="N2210" s="20">
        <f>+Movimientos_2026[[#This Row],[Ingresos]]-Movimientos_2026[[#This Row],[Egresos]]</f>
        <v>-43690500</v>
      </c>
      <c r="O2210" s="20">
        <f>+O2209+Movimientos_2026[[#This Row],[Neto]]</f>
        <v>7002784746.5460062</v>
      </c>
    </row>
    <row r="2211" spans="1:15" x14ac:dyDescent="0.25">
      <c r="A2211" s="13">
        <v>46211</v>
      </c>
      <c r="B2211" s="12">
        <f>MONTH(Movimientos_2026[[#This Row],[Fecha]])</f>
        <v>7</v>
      </c>
      <c r="C2211" s="12" t="str">
        <f>VLOOKUP((WEEKDAY(Movimientos_2026[[#This Row],[Fecha]],2)),'5. Setup'!$D$6:$E$12,2,FALSE)</f>
        <v>Mie</v>
      </c>
      <c r="D2211">
        <v>2054287</v>
      </c>
      <c r="E2211" t="str">
        <f>IFERROR(+VLOOKUP(Movimientos_2026[[#This Row],[Codigo]],Plan_cuentas[],2,FALSE)," ")</f>
        <v>EGRESOS</v>
      </c>
      <c r="F2211" t="str">
        <f>IFERROR(+VLOOKUP(Movimientos_2026[[#This Row],[Codigo]],Plan_cuentas[],3,FALSE)," ")</f>
        <v>VEP</v>
      </c>
      <c r="G2211" t="str">
        <f>IFERROR(+VLOOKUP(Movimientos_2026[[#This Row],[Codigo]],Plan_cuentas[],4,FALSE)," ")</f>
        <v>Rentas</v>
      </c>
      <c r="H2211" t="str">
        <f>IFERROR(+VLOOKUP(Movimientos_2026[[#This Row],[Codigo]],Plan_cuentas[],5,FALSE)," ")</f>
        <v>MENDOZA</v>
      </c>
      <c r="I2211" s="43">
        <v>46174</v>
      </c>
      <c r="J2211" t="s">
        <v>959</v>
      </c>
      <c r="K2211" t="str">
        <f>IFERROR(+VLOOKUP(Movimientos_2026[[#This Row],[Codigo]],Plan_cuentas[],6,FALSE)," ")</f>
        <v>7 - PRtr - Plan Rombo Transf.</v>
      </c>
      <c r="L2211" s="50"/>
      <c r="M2211" s="50">
        <v>1000</v>
      </c>
      <c r="N2211" s="20">
        <f>+Movimientos_2026[[#This Row],[Ingresos]]-Movimientos_2026[[#This Row],[Egresos]]</f>
        <v>-1000</v>
      </c>
      <c r="O2211" s="20">
        <f>+O2210+Movimientos_2026[[#This Row],[Neto]]</f>
        <v>7002783746.5460062</v>
      </c>
    </row>
    <row r="2212" spans="1:15" x14ac:dyDescent="0.25">
      <c r="A2212" s="13">
        <v>46211</v>
      </c>
      <c r="B2212" s="12">
        <f>MONTH(Movimientos_2026[[#This Row],[Fecha]])</f>
        <v>7</v>
      </c>
      <c r="C2212" s="12" t="str">
        <f>VLOOKUP((WEEKDAY(Movimientos_2026[[#This Row],[Fecha]],2)),'5. Setup'!$D$6:$E$12,2,FALSE)</f>
        <v>Mie</v>
      </c>
      <c r="D2212">
        <v>2054284</v>
      </c>
      <c r="E2212" t="str">
        <f>IFERROR(+VLOOKUP(Movimientos_2026[[#This Row],[Codigo]],Plan_cuentas[],2,FALSE)," ")</f>
        <v>EGRESOS</v>
      </c>
      <c r="F2212" t="str">
        <f>IFERROR(+VLOOKUP(Movimientos_2026[[#This Row],[Codigo]],Plan_cuentas[],3,FALSE)," ")</f>
        <v>VEP</v>
      </c>
      <c r="G2212" t="str">
        <f>IFERROR(+VLOOKUP(Movimientos_2026[[#This Row],[Codigo]],Plan_cuentas[],4,FALSE)," ")</f>
        <v>Rentas</v>
      </c>
      <c r="H2212" t="str">
        <f>IFERROR(+VLOOKUP(Movimientos_2026[[#This Row],[Codigo]],Plan_cuentas[],5,FALSE)," ")</f>
        <v>MENDOZA</v>
      </c>
      <c r="I2212" s="43">
        <v>46174</v>
      </c>
      <c r="J2212" t="s">
        <v>960</v>
      </c>
      <c r="K2212" t="str">
        <f>IFERROR(+VLOOKUP(Movimientos_2026[[#This Row],[Codigo]],Plan_cuentas[],6,FALSE)," ")</f>
        <v>4 - FCA - Fiat</v>
      </c>
      <c r="L2212" s="50"/>
      <c r="M2212" s="50">
        <v>107696300</v>
      </c>
      <c r="N2212" s="20">
        <f>+Movimientos_2026[[#This Row],[Ingresos]]-Movimientos_2026[[#This Row],[Egresos]]</f>
        <v>-107696300</v>
      </c>
      <c r="O2212" s="20">
        <f>+O2211+Movimientos_2026[[#This Row],[Neto]]</f>
        <v>6895087446.5460062</v>
      </c>
    </row>
    <row r="2213" spans="1:15" x14ac:dyDescent="0.25">
      <c r="A2213" s="13">
        <v>46211</v>
      </c>
      <c r="B2213" s="12">
        <f>MONTH(Movimientos_2026[[#This Row],[Fecha]])</f>
        <v>7</v>
      </c>
      <c r="C2213" s="12" t="str">
        <f>VLOOKUP((WEEKDAY(Movimientos_2026[[#This Row],[Fecha]],2)),'5. Setup'!$D$6:$E$12,2,FALSE)</f>
        <v>Mie</v>
      </c>
      <c r="D2213">
        <v>2054286</v>
      </c>
      <c r="E2213" t="str">
        <f>IFERROR(+VLOOKUP(Movimientos_2026[[#This Row],[Codigo]],Plan_cuentas[],2,FALSE)," ")</f>
        <v>EGRESOS</v>
      </c>
      <c r="F2213" t="str">
        <f>IFERROR(+VLOOKUP(Movimientos_2026[[#This Row],[Codigo]],Plan_cuentas[],3,FALSE)," ")</f>
        <v>VEP</v>
      </c>
      <c r="G2213" t="str">
        <f>IFERROR(+VLOOKUP(Movimientos_2026[[#This Row],[Codigo]],Plan_cuentas[],4,FALSE)," ")</f>
        <v>Rentas</v>
      </c>
      <c r="H2213" t="str">
        <f>IFERROR(+VLOOKUP(Movimientos_2026[[#This Row],[Codigo]],Plan_cuentas[],5,FALSE)," ")</f>
        <v>MENDOZA</v>
      </c>
      <c r="I2213" s="43">
        <v>46174</v>
      </c>
      <c r="J2213" t="s">
        <v>960</v>
      </c>
      <c r="K2213" t="str">
        <f>IFERROR(+VLOOKUP(Movimientos_2026[[#This Row],[Codigo]],Plan_cuentas[],6,FALSE)," ")</f>
        <v>6 - FCAtr - Fiat Transf.</v>
      </c>
      <c r="L2213" s="50"/>
      <c r="M2213" s="50">
        <v>3654804.11</v>
      </c>
      <c r="N2213" s="20">
        <f>+Movimientos_2026[[#This Row],[Ingresos]]-Movimientos_2026[[#This Row],[Egresos]]</f>
        <v>-3654804.11</v>
      </c>
      <c r="O2213" s="20">
        <f>+O2212+Movimientos_2026[[#This Row],[Neto]]</f>
        <v>6891432642.4360065</v>
      </c>
    </row>
    <row r="2214" spans="1:15" x14ac:dyDescent="0.25">
      <c r="A2214" s="13">
        <v>46211</v>
      </c>
      <c r="B2214" s="12">
        <f>MONTH(Movimientos_2026[[#This Row],[Fecha]])</f>
        <v>7</v>
      </c>
      <c r="C2214" s="12" t="str">
        <f>VLOOKUP((WEEKDAY(Movimientos_2026[[#This Row],[Fecha]],2)),'5. Setup'!$D$6:$E$12,2,FALSE)</f>
        <v>Mie</v>
      </c>
      <c r="D2214">
        <v>2054285</v>
      </c>
      <c r="E2214" t="str">
        <f>IFERROR(+VLOOKUP(Movimientos_2026[[#This Row],[Codigo]],Plan_cuentas[],2,FALSE)," ")</f>
        <v>EGRESOS</v>
      </c>
      <c r="F2214" t="str">
        <f>IFERROR(+VLOOKUP(Movimientos_2026[[#This Row],[Codigo]],Plan_cuentas[],3,FALSE)," ")</f>
        <v>VEP</v>
      </c>
      <c r="G2214" t="str">
        <f>IFERROR(+VLOOKUP(Movimientos_2026[[#This Row],[Codigo]],Plan_cuentas[],4,FALSE)," ")</f>
        <v>Rentas</v>
      </c>
      <c r="H2214" t="str">
        <f>IFERROR(+VLOOKUP(Movimientos_2026[[#This Row],[Codigo]],Plan_cuentas[],5,FALSE)," ")</f>
        <v>MENDOZA</v>
      </c>
      <c r="I2214" s="43">
        <v>46174</v>
      </c>
      <c r="J2214" t="s">
        <v>961</v>
      </c>
      <c r="K2214" t="str">
        <f>IFERROR(+VLOOKUP(Movimientos_2026[[#This Row],[Codigo]],Plan_cuentas[],6,FALSE)," ")</f>
        <v>5 - YAM - Yamaha</v>
      </c>
      <c r="L2214" s="50"/>
      <c r="M2214" s="50">
        <v>3335555</v>
      </c>
      <c r="N2214" s="20">
        <f>+Movimientos_2026[[#This Row],[Ingresos]]-Movimientos_2026[[#This Row],[Egresos]]</f>
        <v>-3335555</v>
      </c>
      <c r="O2214" s="20">
        <f>+O2213+Movimientos_2026[[#This Row],[Neto]]</f>
        <v>6888097087.4360065</v>
      </c>
    </row>
    <row r="2215" spans="1:15" x14ac:dyDescent="0.25">
      <c r="A2215" s="13">
        <v>46211</v>
      </c>
      <c r="B2215" s="12">
        <f>MONTH(Movimientos_2026[[#This Row],[Fecha]])</f>
        <v>7</v>
      </c>
      <c r="C2215" s="12" t="str">
        <f>VLOOKUP((WEEKDAY(Movimientos_2026[[#This Row],[Fecha]],2)),'5. Setup'!$D$6:$E$12,2,FALSE)</f>
        <v>Mie</v>
      </c>
      <c r="D2215">
        <v>2023151</v>
      </c>
      <c r="E2215" t="str">
        <f>IFERROR(+VLOOKUP(Movimientos_2026[[#This Row],[Codigo]],Plan_cuentas[],2,FALSE)," ")</f>
        <v>EGRESOS</v>
      </c>
      <c r="F2215" t="str">
        <f>IFERROR(+VLOOKUP(Movimientos_2026[[#This Row],[Codigo]],Plan_cuentas[],3,FALSE)," ")</f>
        <v>DDJJ</v>
      </c>
      <c r="G2215" t="str">
        <f>IFERROR(+VLOOKUP(Movimientos_2026[[#This Row],[Codigo]],Plan_cuentas[],4,FALSE)," ")</f>
        <v>Registración</v>
      </c>
      <c r="H2215" t="str">
        <f>IFERROR(+VLOOKUP(Movimientos_2026[[#This Row],[Codigo]],Plan_cuentas[],5,FALSE)," ")</f>
        <v>CABA</v>
      </c>
      <c r="I2215" s="43">
        <v>46174</v>
      </c>
      <c r="J2215" t="s">
        <v>962</v>
      </c>
      <c r="K2215" t="str">
        <f>IFERROR(+VLOOKUP(Movimientos_2026[[#This Row],[Codigo]],Plan_cuentas[],6,FALSE)," ")</f>
        <v>1 - VW - Volkswagen</v>
      </c>
      <c r="L2215" s="50"/>
      <c r="M2215" s="50">
        <v>44890675.5</v>
      </c>
      <c r="N2215" s="20">
        <f>+Movimientos_2026[[#This Row],[Ingresos]]-Movimientos_2026[[#This Row],[Egresos]]</f>
        <v>-44890675.5</v>
      </c>
      <c r="O2215" s="20">
        <f>+O2214+Movimientos_2026[[#This Row],[Neto]]</f>
        <v>6843206411.9360065</v>
      </c>
    </row>
    <row r="2216" spans="1:15" x14ac:dyDescent="0.25">
      <c r="A2216" s="13">
        <v>46211</v>
      </c>
      <c r="B2216" s="12">
        <f>MONTH(Movimientos_2026[[#This Row],[Fecha]])</f>
        <v>7</v>
      </c>
      <c r="C2216" s="12" t="str">
        <f>VLOOKUP((WEEKDAY(Movimientos_2026[[#This Row],[Fecha]],2)),'5. Setup'!$D$6:$E$12,2,FALSE)</f>
        <v>Mie</v>
      </c>
      <c r="D2216">
        <v>2023152</v>
      </c>
      <c r="E2216" t="str">
        <f>IFERROR(+VLOOKUP(Movimientos_2026[[#This Row],[Codigo]],Plan_cuentas[],2,FALSE)," ")</f>
        <v>EGRESOS</v>
      </c>
      <c r="F2216" t="str">
        <f>IFERROR(+VLOOKUP(Movimientos_2026[[#This Row],[Codigo]],Plan_cuentas[],3,FALSE)," ")</f>
        <v>DDJJ</v>
      </c>
      <c r="G2216" t="str">
        <f>IFERROR(+VLOOKUP(Movimientos_2026[[#This Row],[Codigo]],Plan_cuentas[],4,FALSE)," ")</f>
        <v>Registración</v>
      </c>
      <c r="H2216" t="str">
        <f>IFERROR(+VLOOKUP(Movimientos_2026[[#This Row],[Codigo]],Plan_cuentas[],5,FALSE)," ")</f>
        <v>CABA</v>
      </c>
      <c r="I2216" s="43">
        <v>46174</v>
      </c>
      <c r="J2216" t="s">
        <v>962</v>
      </c>
      <c r="K2216" t="str">
        <f>IFERROR(+VLOOKUP(Movimientos_2026[[#This Row],[Codigo]],Plan_cuentas[],6,FALSE)," ")</f>
        <v>2 - PR - Plan Rombo</v>
      </c>
      <c r="L2216" s="50"/>
      <c r="M2216" s="50">
        <v>42582148.590000004</v>
      </c>
      <c r="N2216" s="20">
        <f>+Movimientos_2026[[#This Row],[Ingresos]]-Movimientos_2026[[#This Row],[Egresos]]</f>
        <v>-42582148.590000004</v>
      </c>
      <c r="O2216" s="20">
        <f>+O2215+Movimientos_2026[[#This Row],[Neto]]</f>
        <v>6800624263.3460064</v>
      </c>
    </row>
    <row r="2217" spans="1:15" x14ac:dyDescent="0.25">
      <c r="A2217" s="13">
        <v>46211</v>
      </c>
      <c r="B2217" s="12">
        <f>MONTH(Movimientos_2026[[#This Row],[Fecha]])</f>
        <v>7</v>
      </c>
      <c r="C2217" s="12" t="str">
        <f>VLOOKUP((WEEKDAY(Movimientos_2026[[#This Row],[Fecha]],2)),'5. Setup'!$D$6:$E$12,2,FALSE)</f>
        <v>Mie</v>
      </c>
      <c r="D2217">
        <v>2023153</v>
      </c>
      <c r="E2217" t="str">
        <f>IFERROR(+VLOOKUP(Movimientos_2026[[#This Row],[Codigo]],Plan_cuentas[],2,FALSE)," ")</f>
        <v>EGRESOS</v>
      </c>
      <c r="F2217" t="str">
        <f>IFERROR(+VLOOKUP(Movimientos_2026[[#This Row],[Codigo]],Plan_cuentas[],3,FALSE)," ")</f>
        <v>DDJJ</v>
      </c>
      <c r="G2217" t="str">
        <f>IFERROR(+VLOOKUP(Movimientos_2026[[#This Row],[Codigo]],Plan_cuentas[],4,FALSE)," ")</f>
        <v>Registración</v>
      </c>
      <c r="H2217" t="str">
        <f>IFERROR(+VLOOKUP(Movimientos_2026[[#This Row],[Codigo]],Plan_cuentas[],5,FALSE)," ")</f>
        <v>CABA</v>
      </c>
      <c r="I2217" s="43">
        <v>46174</v>
      </c>
      <c r="J2217" t="s">
        <v>962</v>
      </c>
      <c r="K2217" t="str">
        <f>IFERROR(+VLOOKUP(Movimientos_2026[[#This Row],[Codigo]],Plan_cuentas[],6,FALSE)," ")</f>
        <v>3 - GM - Chevrolet</v>
      </c>
      <c r="L2217" s="50"/>
      <c r="M2217" s="50">
        <v>46567643</v>
      </c>
      <c r="N2217" s="20">
        <f>+Movimientos_2026[[#This Row],[Ingresos]]-Movimientos_2026[[#This Row],[Egresos]]</f>
        <v>-46567643</v>
      </c>
      <c r="O2217" s="20">
        <f>+O2216+Movimientos_2026[[#This Row],[Neto]]</f>
        <v>6754056620.3460064</v>
      </c>
    </row>
    <row r="2218" spans="1:15" x14ac:dyDescent="0.25">
      <c r="A2218" s="13">
        <v>46211</v>
      </c>
      <c r="B2218" s="12">
        <f>MONTH(Movimientos_2026[[#This Row],[Fecha]])</f>
        <v>7</v>
      </c>
      <c r="C2218" s="12" t="str">
        <f>VLOOKUP((WEEKDAY(Movimientos_2026[[#This Row],[Fecha]],2)),'5. Setup'!$D$6:$E$12,2,FALSE)</f>
        <v>Mie</v>
      </c>
      <c r="D2218">
        <v>2023154</v>
      </c>
      <c r="E2218" t="str">
        <f>IFERROR(+VLOOKUP(Movimientos_2026[[#This Row],[Codigo]],Plan_cuentas[],2,FALSE)," ")</f>
        <v>EGRESOS</v>
      </c>
      <c r="F2218" t="str">
        <f>IFERROR(+VLOOKUP(Movimientos_2026[[#This Row],[Codigo]],Plan_cuentas[],3,FALSE)," ")</f>
        <v>DDJJ</v>
      </c>
      <c r="G2218" t="str">
        <f>IFERROR(+VLOOKUP(Movimientos_2026[[#This Row],[Codigo]],Plan_cuentas[],4,FALSE)," ")</f>
        <v>Registración</v>
      </c>
      <c r="H2218" t="str">
        <f>IFERROR(+VLOOKUP(Movimientos_2026[[#This Row],[Codigo]],Plan_cuentas[],5,FALSE)," ")</f>
        <v>CABA</v>
      </c>
      <c r="I2218" s="43">
        <v>46174</v>
      </c>
      <c r="J2218" t="s">
        <v>962</v>
      </c>
      <c r="K2218" t="str">
        <f>IFERROR(+VLOOKUP(Movimientos_2026[[#This Row],[Codigo]],Plan_cuentas[],6,FALSE)," ")</f>
        <v>4 - FCA - Fiat</v>
      </c>
      <c r="L2218" s="50"/>
      <c r="M2218" s="50">
        <v>418627650.56</v>
      </c>
      <c r="N2218" s="20">
        <f>+Movimientos_2026[[#This Row],[Ingresos]]-Movimientos_2026[[#This Row],[Egresos]]</f>
        <v>-418627650.56</v>
      </c>
      <c r="O2218" s="20">
        <f>+O2217+Movimientos_2026[[#This Row],[Neto]]</f>
        <v>6335428969.786006</v>
      </c>
    </row>
    <row r="2219" spans="1:15" x14ac:dyDescent="0.25">
      <c r="A2219" s="13">
        <v>46211</v>
      </c>
      <c r="B2219" s="12">
        <f>MONTH(Movimientos_2026[[#This Row],[Fecha]])</f>
        <v>7</v>
      </c>
      <c r="C2219" s="12" t="str">
        <f>VLOOKUP((WEEKDAY(Movimientos_2026[[#This Row],[Fecha]],2)),'5. Setup'!$D$6:$E$12,2,FALSE)</f>
        <v>Mie</v>
      </c>
      <c r="D2219">
        <v>2023155</v>
      </c>
      <c r="E2219" t="str">
        <f>IFERROR(+VLOOKUP(Movimientos_2026[[#This Row],[Codigo]],Plan_cuentas[],2,FALSE)," ")</f>
        <v>EGRESOS</v>
      </c>
      <c r="F2219" t="str">
        <f>IFERROR(+VLOOKUP(Movimientos_2026[[#This Row],[Codigo]],Plan_cuentas[],3,FALSE)," ")</f>
        <v>DDJJ</v>
      </c>
      <c r="G2219" t="str">
        <f>IFERROR(+VLOOKUP(Movimientos_2026[[#This Row],[Codigo]],Plan_cuentas[],4,FALSE)," ")</f>
        <v>Registración</v>
      </c>
      <c r="H2219" t="str">
        <f>IFERROR(+VLOOKUP(Movimientos_2026[[#This Row],[Codigo]],Plan_cuentas[],5,FALSE)," ")</f>
        <v>CABA</v>
      </c>
      <c r="I2219" s="43">
        <v>46174</v>
      </c>
      <c r="J2219" t="s">
        <v>962</v>
      </c>
      <c r="K2219" t="str">
        <f>IFERROR(+VLOOKUP(Movimientos_2026[[#This Row],[Codigo]],Plan_cuentas[],6,FALSE)," ")</f>
        <v>5 - YAM - Yamaha</v>
      </c>
      <c r="L2219" s="50"/>
      <c r="M2219" s="50">
        <v>11617915.01</v>
      </c>
      <c r="N2219" s="20">
        <f>+Movimientos_2026[[#This Row],[Ingresos]]-Movimientos_2026[[#This Row],[Egresos]]</f>
        <v>-11617915.01</v>
      </c>
      <c r="O2219" s="20">
        <f>+O2218+Movimientos_2026[[#This Row],[Neto]]</f>
        <v>6323811054.7760057</v>
      </c>
    </row>
    <row r="2220" spans="1:15" x14ac:dyDescent="0.25">
      <c r="A2220" s="13">
        <v>46211</v>
      </c>
      <c r="B2220" s="12">
        <f>MONTH(Movimientos_2026[[#This Row],[Fecha]])</f>
        <v>7</v>
      </c>
      <c r="C2220" s="12" t="str">
        <f>VLOOKUP((WEEKDAY(Movimientos_2026[[#This Row],[Fecha]],2)),'5. Setup'!$D$6:$E$12,2,FALSE)</f>
        <v>Mie</v>
      </c>
      <c r="D2220">
        <v>2023156</v>
      </c>
      <c r="E2220" t="str">
        <f>IFERROR(+VLOOKUP(Movimientos_2026[[#This Row],[Codigo]],Plan_cuentas[],2,FALSE)," ")</f>
        <v>EGRESOS</v>
      </c>
      <c r="F2220" t="str">
        <f>IFERROR(+VLOOKUP(Movimientos_2026[[#This Row],[Codigo]],Plan_cuentas[],3,FALSE)," ")</f>
        <v>DDJJ</v>
      </c>
      <c r="G2220" t="str">
        <f>IFERROR(+VLOOKUP(Movimientos_2026[[#This Row],[Codigo]],Plan_cuentas[],4,FALSE)," ")</f>
        <v>Registración</v>
      </c>
      <c r="H2220" t="str">
        <f>IFERROR(+VLOOKUP(Movimientos_2026[[#This Row],[Codigo]],Plan_cuentas[],5,FALSE)," ")</f>
        <v>CABA</v>
      </c>
      <c r="I2220" s="43">
        <v>46174</v>
      </c>
      <c r="J2220" t="s">
        <v>962</v>
      </c>
      <c r="K2220" t="str">
        <f>IFERROR(+VLOOKUP(Movimientos_2026[[#This Row],[Codigo]],Plan_cuentas[],6,FALSE)," ")</f>
        <v>6 - FCAtr - Fiat Transf.</v>
      </c>
      <c r="L2220" s="50"/>
      <c r="M2220" s="50">
        <v>11233909.460000001</v>
      </c>
      <c r="N2220" s="20">
        <f>+Movimientos_2026[[#This Row],[Ingresos]]-Movimientos_2026[[#This Row],[Egresos]]</f>
        <v>-11233909.460000001</v>
      </c>
      <c r="O2220" s="20">
        <f>+O2219+Movimientos_2026[[#This Row],[Neto]]</f>
        <v>6312577145.3160057</v>
      </c>
    </row>
    <row r="2221" spans="1:15" x14ac:dyDescent="0.25">
      <c r="A2221" s="13">
        <v>46211</v>
      </c>
      <c r="B2221" s="12">
        <f>MONTH(Movimientos_2026[[#This Row],[Fecha]])</f>
        <v>7</v>
      </c>
      <c r="C2221" s="12" t="str">
        <f>VLOOKUP((WEEKDAY(Movimientos_2026[[#This Row],[Fecha]],2)),'5. Setup'!$D$6:$E$12,2,FALSE)</f>
        <v>Mie</v>
      </c>
      <c r="D2221">
        <v>2023157</v>
      </c>
      <c r="E2221" t="str">
        <f>IFERROR(+VLOOKUP(Movimientos_2026[[#This Row],[Codigo]],Plan_cuentas[],2,FALSE)," ")</f>
        <v>EGRESOS</v>
      </c>
      <c r="F2221" t="str">
        <f>IFERROR(+VLOOKUP(Movimientos_2026[[#This Row],[Codigo]],Plan_cuentas[],3,FALSE)," ")</f>
        <v>DDJJ</v>
      </c>
      <c r="G2221" t="str">
        <f>IFERROR(+VLOOKUP(Movimientos_2026[[#This Row],[Codigo]],Plan_cuentas[],4,FALSE)," ")</f>
        <v>Registración</v>
      </c>
      <c r="H2221" t="str">
        <f>IFERROR(+VLOOKUP(Movimientos_2026[[#This Row],[Codigo]],Plan_cuentas[],5,FALSE)," ")</f>
        <v>CABA</v>
      </c>
      <c r="I2221" s="43">
        <v>46174</v>
      </c>
      <c r="J2221" t="s">
        <v>962</v>
      </c>
      <c r="K2221" t="str">
        <f>IFERROR(+VLOOKUP(Movimientos_2026[[#This Row],[Codigo]],Plan_cuentas[],6,FALSE)," ")</f>
        <v>7 - PRtr - Plan Rombo Transf.</v>
      </c>
      <c r="L2221" s="50"/>
      <c r="M2221" s="50">
        <v>2300</v>
      </c>
      <c r="N2221" s="20">
        <f>+Movimientos_2026[[#This Row],[Ingresos]]-Movimientos_2026[[#This Row],[Egresos]]</f>
        <v>-2300</v>
      </c>
      <c r="O2221" s="20">
        <f>+O2220+Movimientos_2026[[#This Row],[Neto]]</f>
        <v>6312574845.3160057</v>
      </c>
    </row>
    <row r="2222" spans="1:15" x14ac:dyDescent="0.25">
      <c r="A2222" s="13">
        <v>46211</v>
      </c>
      <c r="B2222" s="12">
        <f>MONTH(Movimientos_2026[[#This Row],[Fecha]])</f>
        <v>7</v>
      </c>
      <c r="C2222" s="12" t="str">
        <f>VLOOKUP((WEEKDAY(Movimientos_2026[[#This Row],[Fecha]],2)),'5. Setup'!$D$6:$E$12,2,FALSE)</f>
        <v>Mie</v>
      </c>
      <c r="D2222">
        <v>2023231</v>
      </c>
      <c r="E2222" t="str">
        <f>IFERROR(+VLOOKUP(Movimientos_2026[[#This Row],[Codigo]],Plan_cuentas[],2,FALSE)," ")</f>
        <v>EGRESOS</v>
      </c>
      <c r="F2222" t="str">
        <f>IFERROR(+VLOOKUP(Movimientos_2026[[#This Row],[Codigo]],Plan_cuentas[],3,FALSE)," ")</f>
        <v>DDJJ</v>
      </c>
      <c r="G2222" t="str">
        <f>IFERROR(+VLOOKUP(Movimientos_2026[[#This Row],[Codigo]],Plan_cuentas[],4,FALSE)," ")</f>
        <v>Registración</v>
      </c>
      <c r="H2222" t="str">
        <f>IFERROR(+VLOOKUP(Movimientos_2026[[#This Row],[Codigo]],Plan_cuentas[],5,FALSE)," ")</f>
        <v>ENTRE RIOS 2° Q</v>
      </c>
      <c r="I2222" s="43">
        <v>46174</v>
      </c>
      <c r="J2222" t="s">
        <v>963</v>
      </c>
      <c r="K2222" t="str">
        <f>IFERROR(+VLOOKUP(Movimientos_2026[[#This Row],[Codigo]],Plan_cuentas[],6,FALSE)," ")</f>
        <v>1 - VW - Volkswagen</v>
      </c>
      <c r="L2222" s="50"/>
      <c r="M2222" s="50">
        <v>7309796.5</v>
      </c>
      <c r="N2222" s="20">
        <f>+Movimientos_2026[[#This Row],[Ingresos]]-Movimientos_2026[[#This Row],[Egresos]]</f>
        <v>-7309796.5</v>
      </c>
      <c r="O2222" s="20">
        <f>+O2221+Movimientos_2026[[#This Row],[Neto]]</f>
        <v>6305265048.8160057</v>
      </c>
    </row>
    <row r="2223" spans="1:15" x14ac:dyDescent="0.25">
      <c r="A2223" s="13">
        <v>46211</v>
      </c>
      <c r="B2223" s="12">
        <f>MONTH(Movimientos_2026[[#This Row],[Fecha]])</f>
        <v>7</v>
      </c>
      <c r="C2223" s="12" t="str">
        <f>VLOOKUP((WEEKDAY(Movimientos_2026[[#This Row],[Fecha]],2)),'5. Setup'!$D$6:$E$12,2,FALSE)</f>
        <v>Mie</v>
      </c>
      <c r="D2223">
        <v>2023232</v>
      </c>
      <c r="E2223" t="str">
        <f>IFERROR(+VLOOKUP(Movimientos_2026[[#This Row],[Codigo]],Plan_cuentas[],2,FALSE)," ")</f>
        <v>EGRESOS</v>
      </c>
      <c r="F2223" t="str">
        <f>IFERROR(+VLOOKUP(Movimientos_2026[[#This Row],[Codigo]],Plan_cuentas[],3,FALSE)," ")</f>
        <v>DDJJ</v>
      </c>
      <c r="G2223" t="str">
        <f>IFERROR(+VLOOKUP(Movimientos_2026[[#This Row],[Codigo]],Plan_cuentas[],4,FALSE)," ")</f>
        <v>Registración</v>
      </c>
      <c r="H2223" t="str">
        <f>IFERROR(+VLOOKUP(Movimientos_2026[[#This Row],[Codigo]],Plan_cuentas[],5,FALSE)," ")</f>
        <v>ENTRE RIOS 2° Q</v>
      </c>
      <c r="I2223" s="43">
        <v>46174</v>
      </c>
      <c r="J2223" t="s">
        <v>963</v>
      </c>
      <c r="K2223" t="str">
        <f>IFERROR(+VLOOKUP(Movimientos_2026[[#This Row],[Codigo]],Plan_cuentas[],6,FALSE)," ")</f>
        <v>2 - PR - Plan Rombo</v>
      </c>
      <c r="L2223" s="50"/>
      <c r="M2223" s="50">
        <v>10155818.08</v>
      </c>
      <c r="N2223" s="20">
        <f>+Movimientos_2026[[#This Row],[Ingresos]]-Movimientos_2026[[#This Row],[Egresos]]</f>
        <v>-10155818.08</v>
      </c>
      <c r="O2223" s="20">
        <f>+O2222+Movimientos_2026[[#This Row],[Neto]]</f>
        <v>6295109230.7360058</v>
      </c>
    </row>
    <row r="2224" spans="1:15" x14ac:dyDescent="0.25">
      <c r="A2224" s="13">
        <v>46211</v>
      </c>
      <c r="B2224" s="12">
        <f>MONTH(Movimientos_2026[[#This Row],[Fecha]])</f>
        <v>7</v>
      </c>
      <c r="C2224" s="12" t="str">
        <f>VLOOKUP((WEEKDAY(Movimientos_2026[[#This Row],[Fecha]],2)),'5. Setup'!$D$6:$E$12,2,FALSE)</f>
        <v>Mie</v>
      </c>
      <c r="D2224">
        <v>2023233</v>
      </c>
      <c r="E2224" t="str">
        <f>IFERROR(+VLOOKUP(Movimientos_2026[[#This Row],[Codigo]],Plan_cuentas[],2,FALSE)," ")</f>
        <v>EGRESOS</v>
      </c>
      <c r="F2224" t="str">
        <f>IFERROR(+VLOOKUP(Movimientos_2026[[#This Row],[Codigo]],Plan_cuentas[],3,FALSE)," ")</f>
        <v>DDJJ</v>
      </c>
      <c r="G2224" t="str">
        <f>IFERROR(+VLOOKUP(Movimientos_2026[[#This Row],[Codigo]],Plan_cuentas[],4,FALSE)," ")</f>
        <v>Registración</v>
      </c>
      <c r="H2224" t="str">
        <f>IFERROR(+VLOOKUP(Movimientos_2026[[#This Row],[Codigo]],Plan_cuentas[],5,FALSE)," ")</f>
        <v>ENTRE RIOS 2° Q</v>
      </c>
      <c r="I2224" s="43">
        <v>46174</v>
      </c>
      <c r="J2224" t="s">
        <v>963</v>
      </c>
      <c r="K2224" t="str">
        <f>IFERROR(+VLOOKUP(Movimientos_2026[[#This Row],[Codigo]],Plan_cuentas[],6,FALSE)," ")</f>
        <v>3 - GM - Chevrolet</v>
      </c>
      <c r="L2224" s="50"/>
      <c r="M2224" s="50">
        <v>9533928.6899999995</v>
      </c>
      <c r="N2224" s="20">
        <f>+Movimientos_2026[[#This Row],[Ingresos]]-Movimientos_2026[[#This Row],[Egresos]]</f>
        <v>-9533928.6899999995</v>
      </c>
      <c r="O2224" s="20">
        <f>+O2223+Movimientos_2026[[#This Row],[Neto]]</f>
        <v>6285575302.0460062</v>
      </c>
    </row>
    <row r="2225" spans="1:15" x14ac:dyDescent="0.25">
      <c r="A2225" s="13">
        <v>46211</v>
      </c>
      <c r="B2225" s="12">
        <f>MONTH(Movimientos_2026[[#This Row],[Fecha]])</f>
        <v>7</v>
      </c>
      <c r="C2225" s="12" t="str">
        <f>VLOOKUP((WEEKDAY(Movimientos_2026[[#This Row],[Fecha]],2)),'5. Setup'!$D$6:$E$12,2,FALSE)</f>
        <v>Mie</v>
      </c>
      <c r="D2225">
        <v>2023242</v>
      </c>
      <c r="E2225" t="str">
        <f>IFERROR(+VLOOKUP(Movimientos_2026[[#This Row],[Codigo]],Plan_cuentas[],2,FALSE)," ")</f>
        <v>EGRESOS</v>
      </c>
      <c r="F2225" t="str">
        <f>IFERROR(+VLOOKUP(Movimientos_2026[[#This Row],[Codigo]],Plan_cuentas[],3,FALSE)," ")</f>
        <v>DDJJ</v>
      </c>
      <c r="G2225" t="str">
        <f>IFERROR(+VLOOKUP(Movimientos_2026[[#This Row],[Codigo]],Plan_cuentas[],4,FALSE)," ")</f>
        <v>Registración</v>
      </c>
      <c r="H2225" t="str">
        <f>IFERROR(+VLOOKUP(Movimientos_2026[[#This Row],[Codigo]],Plan_cuentas[],5,FALSE)," ")</f>
        <v>FORMOSA</v>
      </c>
      <c r="I2225" s="43">
        <v>46174</v>
      </c>
      <c r="J2225" t="s">
        <v>964</v>
      </c>
      <c r="K2225" t="str">
        <f>IFERROR(+VLOOKUP(Movimientos_2026[[#This Row],[Codigo]],Plan_cuentas[],6,FALSE)," ")</f>
        <v>2 - PR - Plan Rombo</v>
      </c>
      <c r="L2225" s="50"/>
      <c r="M2225" s="50">
        <v>4962990.84</v>
      </c>
      <c r="N2225" s="20">
        <f>+Movimientos_2026[[#This Row],[Ingresos]]-Movimientos_2026[[#This Row],[Egresos]]</f>
        <v>-4962990.84</v>
      </c>
      <c r="O2225" s="20">
        <f>+O2224+Movimientos_2026[[#This Row],[Neto]]</f>
        <v>6280612311.2060061</v>
      </c>
    </row>
    <row r="2226" spans="1:15" x14ac:dyDescent="0.25">
      <c r="A2226" s="13">
        <v>46211</v>
      </c>
      <c r="B2226" s="12">
        <f>MONTH(Movimientos_2026[[#This Row],[Fecha]])</f>
        <v>7</v>
      </c>
      <c r="C2226" s="12" t="str">
        <f>VLOOKUP((WEEKDAY(Movimientos_2026[[#This Row],[Fecha]],2)),'5. Setup'!$D$6:$E$12,2,FALSE)</f>
        <v>Mie</v>
      </c>
      <c r="D2226">
        <v>2023246</v>
      </c>
      <c r="E2226" t="str">
        <f>IFERROR(+VLOOKUP(Movimientos_2026[[#This Row],[Codigo]],Plan_cuentas[],2,FALSE)," ")</f>
        <v>EGRESOS</v>
      </c>
      <c r="F2226" t="str">
        <f>IFERROR(+VLOOKUP(Movimientos_2026[[#This Row],[Codigo]],Plan_cuentas[],3,FALSE)," ")</f>
        <v>DDJJ</v>
      </c>
      <c r="G2226" t="str">
        <f>IFERROR(+VLOOKUP(Movimientos_2026[[#This Row],[Codigo]],Plan_cuentas[],4,FALSE)," ")</f>
        <v>Registración</v>
      </c>
      <c r="H2226" t="str">
        <f>IFERROR(+VLOOKUP(Movimientos_2026[[#This Row],[Codigo]],Plan_cuentas[],5,FALSE)," ")</f>
        <v>FORMOSA</v>
      </c>
      <c r="I2226" s="43">
        <v>46174</v>
      </c>
      <c r="J2226" t="s">
        <v>964</v>
      </c>
      <c r="K2226" t="str">
        <f>IFERROR(+VLOOKUP(Movimientos_2026[[#This Row],[Codigo]],Plan_cuentas[],6,FALSE)," ")</f>
        <v>6 - FCAtr - Fiat Transf.</v>
      </c>
      <c r="L2226" s="50"/>
      <c r="M2226" s="50">
        <v>308116.32</v>
      </c>
      <c r="N2226" s="20">
        <f>+Movimientos_2026[[#This Row],[Ingresos]]-Movimientos_2026[[#This Row],[Egresos]]</f>
        <v>-308116.32</v>
      </c>
      <c r="O2226" s="20">
        <f>+O2225+Movimientos_2026[[#This Row],[Neto]]</f>
        <v>6280304194.8860064</v>
      </c>
    </row>
    <row r="2227" spans="1:15" x14ac:dyDescent="0.25">
      <c r="A2227" s="13">
        <v>46211</v>
      </c>
      <c r="B2227" s="12">
        <f>MONTH(Movimientos_2026[[#This Row],[Fecha]])</f>
        <v>7</v>
      </c>
      <c r="C2227" s="12" t="str">
        <f>VLOOKUP((WEEKDAY(Movimientos_2026[[#This Row],[Fecha]],2)),'5. Setup'!$D$6:$E$12,2,FALSE)</f>
        <v>Mie</v>
      </c>
      <c r="D2227">
        <v>2023245</v>
      </c>
      <c r="E2227" t="str">
        <f>IFERROR(+VLOOKUP(Movimientos_2026[[#This Row],[Codigo]],Plan_cuentas[],2,FALSE)," ")</f>
        <v>EGRESOS</v>
      </c>
      <c r="F2227" t="str">
        <f>IFERROR(+VLOOKUP(Movimientos_2026[[#This Row],[Codigo]],Plan_cuentas[],3,FALSE)," ")</f>
        <v>DDJJ</v>
      </c>
      <c r="G2227" t="str">
        <f>IFERROR(+VLOOKUP(Movimientos_2026[[#This Row],[Codigo]],Plan_cuentas[],4,FALSE)," ")</f>
        <v>Registración</v>
      </c>
      <c r="H2227" t="str">
        <f>IFERROR(+VLOOKUP(Movimientos_2026[[#This Row],[Codigo]],Plan_cuentas[],5,FALSE)," ")</f>
        <v>FORMOSA</v>
      </c>
      <c r="I2227" s="43">
        <v>46174</v>
      </c>
      <c r="J2227" t="s">
        <v>964</v>
      </c>
      <c r="K2227" t="str">
        <f>IFERROR(+VLOOKUP(Movimientos_2026[[#This Row],[Codigo]],Plan_cuentas[],6,FALSE)," ")</f>
        <v>5 - YAM - Yamaha</v>
      </c>
      <c r="L2227" s="50"/>
      <c r="M2227" s="50">
        <v>177627.76</v>
      </c>
      <c r="N2227" s="20">
        <f>+Movimientos_2026[[#This Row],[Ingresos]]-Movimientos_2026[[#This Row],[Egresos]]</f>
        <v>-177627.76</v>
      </c>
      <c r="O2227" s="20">
        <f>+O2226+Movimientos_2026[[#This Row],[Neto]]</f>
        <v>6280126567.1260061</v>
      </c>
    </row>
    <row r="2228" spans="1:15" x14ac:dyDescent="0.25">
      <c r="A2228" s="13">
        <v>46211</v>
      </c>
      <c r="B2228" s="12">
        <f>MONTH(Movimientos_2026[[#This Row],[Fecha]])</f>
        <v>7</v>
      </c>
      <c r="C2228" s="12" t="str">
        <f>VLOOKUP((WEEKDAY(Movimientos_2026[[#This Row],[Fecha]],2)),'5. Setup'!$D$6:$E$12,2,FALSE)</f>
        <v>Mie</v>
      </c>
      <c r="D2228">
        <v>2023247</v>
      </c>
      <c r="E2228" t="str">
        <f>IFERROR(+VLOOKUP(Movimientos_2026[[#This Row],[Codigo]],Plan_cuentas[],2,FALSE)," ")</f>
        <v>EGRESOS</v>
      </c>
      <c r="F2228" t="str">
        <f>IFERROR(+VLOOKUP(Movimientos_2026[[#This Row],[Codigo]],Plan_cuentas[],3,FALSE)," ")</f>
        <v>DDJJ</v>
      </c>
      <c r="G2228" t="str">
        <f>IFERROR(+VLOOKUP(Movimientos_2026[[#This Row],[Codigo]],Plan_cuentas[],4,FALSE)," ")</f>
        <v>Registración</v>
      </c>
      <c r="H2228" t="str">
        <f>IFERROR(+VLOOKUP(Movimientos_2026[[#This Row],[Codigo]],Plan_cuentas[],5,FALSE)," ")</f>
        <v>FORMOSA</v>
      </c>
      <c r="I2228" s="43">
        <v>46174</v>
      </c>
      <c r="J2228" t="s">
        <v>964</v>
      </c>
      <c r="K2228" t="str">
        <f>IFERROR(+VLOOKUP(Movimientos_2026[[#This Row],[Codigo]],Plan_cuentas[],6,FALSE)," ")</f>
        <v>7 - PRtr - Plan Rombo Transf.</v>
      </c>
      <c r="L2228" s="50"/>
      <c r="M2228" s="50">
        <v>10000</v>
      </c>
      <c r="N2228" s="20">
        <f>+Movimientos_2026[[#This Row],[Ingresos]]-Movimientos_2026[[#This Row],[Egresos]]</f>
        <v>-10000</v>
      </c>
      <c r="O2228" s="20">
        <f>+O2227+Movimientos_2026[[#This Row],[Neto]]</f>
        <v>6280116567.1260061</v>
      </c>
    </row>
    <row r="2229" spans="1:15" x14ac:dyDescent="0.25">
      <c r="A2229" s="13">
        <v>46211</v>
      </c>
      <c r="B2229" s="12">
        <f>MONTH(Movimientos_2026[[#This Row],[Fecha]])</f>
        <v>7</v>
      </c>
      <c r="C2229" s="12" t="str">
        <f>VLOOKUP((WEEKDAY(Movimientos_2026[[#This Row],[Fecha]],2)),'5. Setup'!$D$6:$E$12,2,FALSE)</f>
        <v>Mie</v>
      </c>
      <c r="D2229">
        <v>2023376</v>
      </c>
      <c r="E2229" t="str">
        <f>IFERROR(+VLOOKUP(Movimientos_2026[[#This Row],[Codigo]],Plan_cuentas[],2,FALSE)," ")</f>
        <v>EGRESOS</v>
      </c>
      <c r="F2229" t="str">
        <f>IFERROR(+VLOOKUP(Movimientos_2026[[#This Row],[Codigo]],Plan_cuentas[],3,FALSE)," ")</f>
        <v>DDJJ</v>
      </c>
      <c r="G2229" t="str">
        <f>IFERROR(+VLOOKUP(Movimientos_2026[[#This Row],[Codigo]],Plan_cuentas[],4,FALSE)," ")</f>
        <v>Registración</v>
      </c>
      <c r="H2229" t="str">
        <f>IFERROR(+VLOOKUP(Movimientos_2026[[#This Row],[Codigo]],Plan_cuentas[],5,FALSE)," ")</f>
        <v>SANTA CRUZ</v>
      </c>
      <c r="I2229" s="43">
        <v>46174</v>
      </c>
      <c r="J2229" t="s">
        <v>965</v>
      </c>
      <c r="K2229" t="str">
        <f>IFERROR(+VLOOKUP(Movimientos_2026[[#This Row],[Codigo]],Plan_cuentas[],6,FALSE)," ")</f>
        <v>6 - FCAtr - Fiat Transf.</v>
      </c>
      <c r="L2229" s="50"/>
      <c r="M2229" s="50">
        <v>1098028.29</v>
      </c>
      <c r="N2229" s="20">
        <f>+Movimientos_2026[[#This Row],[Ingresos]]-Movimientos_2026[[#This Row],[Egresos]]</f>
        <v>-1098028.29</v>
      </c>
      <c r="O2229" s="20">
        <f>+O2228+Movimientos_2026[[#This Row],[Neto]]</f>
        <v>6279018538.8360062</v>
      </c>
    </row>
    <row r="2230" spans="1:15" x14ac:dyDescent="0.25">
      <c r="A2230" s="13">
        <v>46211</v>
      </c>
      <c r="B2230" s="12">
        <f>MONTH(Movimientos_2026[[#This Row],[Fecha]])</f>
        <v>7</v>
      </c>
      <c r="C2230" s="12" t="str">
        <f>VLOOKUP((WEEKDAY(Movimientos_2026[[#This Row],[Fecha]],2)),'5. Setup'!$D$6:$E$12,2,FALSE)</f>
        <v>Mie</v>
      </c>
      <c r="D2230">
        <v>2023392</v>
      </c>
      <c r="E2230" t="str">
        <f>IFERROR(+VLOOKUP(Movimientos_2026[[#This Row],[Codigo]],Plan_cuentas[],2,FALSE)," ")</f>
        <v>EGRESOS</v>
      </c>
      <c r="F2230" t="str">
        <f>IFERROR(+VLOOKUP(Movimientos_2026[[#This Row],[Codigo]],Plan_cuentas[],3,FALSE)," ")</f>
        <v>DDJJ</v>
      </c>
      <c r="G2230" t="str">
        <f>IFERROR(+VLOOKUP(Movimientos_2026[[#This Row],[Codigo]],Plan_cuentas[],4,FALSE)," ")</f>
        <v>Registración</v>
      </c>
      <c r="H2230" t="str">
        <f>IFERROR(+VLOOKUP(Movimientos_2026[[#This Row],[Codigo]],Plan_cuentas[],5,FALSE)," ")</f>
        <v>SANTA FE 2° Q</v>
      </c>
      <c r="I2230" s="43">
        <v>46174</v>
      </c>
      <c r="J2230" t="s">
        <v>966</v>
      </c>
      <c r="K2230" t="str">
        <f>IFERROR(+VLOOKUP(Movimientos_2026[[#This Row],[Codigo]],Plan_cuentas[],6,FALSE)," ")</f>
        <v>2 - PR - Plan Rombo</v>
      </c>
      <c r="L2230" s="50"/>
      <c r="M2230" s="50">
        <v>21887153.899999999</v>
      </c>
      <c r="N2230" s="20">
        <f>+Movimientos_2026[[#This Row],[Ingresos]]-Movimientos_2026[[#This Row],[Egresos]]</f>
        <v>-21887153.899999999</v>
      </c>
      <c r="O2230" s="20">
        <f>+O2229+Movimientos_2026[[#This Row],[Neto]]</f>
        <v>6257131384.9360065</v>
      </c>
    </row>
    <row r="2231" spans="1:15" x14ac:dyDescent="0.25">
      <c r="A2231" s="13">
        <v>46211</v>
      </c>
      <c r="B2231" s="12">
        <f>MONTH(Movimientos_2026[[#This Row],[Fecha]])</f>
        <v>7</v>
      </c>
      <c r="C2231" s="12" t="str">
        <f>VLOOKUP((WEEKDAY(Movimientos_2026[[#This Row],[Fecha]],2)),'5. Setup'!$D$6:$E$12,2,FALSE)</f>
        <v>Mie</v>
      </c>
      <c r="D2231">
        <v>2023393</v>
      </c>
      <c r="E2231" t="str">
        <f>IFERROR(+VLOOKUP(Movimientos_2026[[#This Row],[Codigo]],Plan_cuentas[],2,FALSE)," ")</f>
        <v>EGRESOS</v>
      </c>
      <c r="F2231" t="str">
        <f>IFERROR(+VLOOKUP(Movimientos_2026[[#This Row],[Codigo]],Plan_cuentas[],3,FALSE)," ")</f>
        <v>DDJJ</v>
      </c>
      <c r="G2231" t="str">
        <f>IFERROR(+VLOOKUP(Movimientos_2026[[#This Row],[Codigo]],Plan_cuentas[],4,FALSE)," ")</f>
        <v>Registración</v>
      </c>
      <c r="H2231" t="str">
        <f>IFERROR(+VLOOKUP(Movimientos_2026[[#This Row],[Codigo]],Plan_cuentas[],5,FALSE)," ")</f>
        <v>SANTA FE 2° Q</v>
      </c>
      <c r="I2231" s="43">
        <v>46174</v>
      </c>
      <c r="J2231" t="s">
        <v>966</v>
      </c>
      <c r="K2231" t="str">
        <f>IFERROR(+VLOOKUP(Movimientos_2026[[#This Row],[Codigo]],Plan_cuentas[],6,FALSE)," ")</f>
        <v>3 - GM - Chevrolet</v>
      </c>
      <c r="L2231" s="50"/>
      <c r="M2231" s="50">
        <v>40950083</v>
      </c>
      <c r="N2231" s="20">
        <f>+Movimientos_2026[[#This Row],[Ingresos]]-Movimientos_2026[[#This Row],[Egresos]]</f>
        <v>-40950083</v>
      </c>
      <c r="O2231" s="20">
        <f>+O2230+Movimientos_2026[[#This Row],[Neto]]</f>
        <v>6216181301.9360065</v>
      </c>
    </row>
    <row r="2232" spans="1:15" x14ac:dyDescent="0.25">
      <c r="A2232" s="13">
        <v>46211</v>
      </c>
      <c r="B2232" s="12">
        <f>MONTH(Movimientos_2026[[#This Row],[Fecha]])</f>
        <v>7</v>
      </c>
      <c r="C2232" s="12" t="str">
        <f>VLOOKUP((WEEKDAY(Movimientos_2026[[#This Row],[Fecha]],2)),'5. Setup'!$D$6:$E$12,2,FALSE)</f>
        <v>Mie</v>
      </c>
      <c r="D2232">
        <v>1045453</v>
      </c>
      <c r="E2232" t="str">
        <f>IFERROR(+VLOOKUP(Movimientos_2026[[#This Row],[Codigo]],Plan_cuentas[],2,FALSE)," ")</f>
        <v>INGRESOS</v>
      </c>
      <c r="F2232" t="str">
        <f>IFERROR(+VLOOKUP(Movimientos_2026[[#This Row],[Codigo]],Plan_cuentas[],3,FALSE)," ")</f>
        <v>Transferencia</v>
      </c>
      <c r="G2232" t="str">
        <f>IFERROR(+VLOOKUP(Movimientos_2026[[#This Row],[Codigo]],Plan_cuentas[],4,FALSE)," ")</f>
        <v>Factura</v>
      </c>
      <c r="H2232" t="str">
        <f>IFERROR(+VLOOKUP(Movimientos_2026[[#This Row],[Codigo]],Plan_cuentas[],5,FALSE)," ")</f>
        <v>FC DERECHOS</v>
      </c>
      <c r="I2232" s="43">
        <v>46143</v>
      </c>
      <c r="J2232" t="s">
        <v>967</v>
      </c>
      <c r="K2232" t="str">
        <f>IFERROR(+VLOOKUP(Movimientos_2026[[#This Row],[Codigo]],Plan_cuentas[],6,FALSE)," ")</f>
        <v>3 - GM - Chevrolet</v>
      </c>
      <c r="L2232" s="50">
        <v>3192255.6</v>
      </c>
      <c r="M2232" s="50"/>
      <c r="N2232" s="20">
        <f>+Movimientos_2026[[#This Row],[Ingresos]]-Movimientos_2026[[#This Row],[Egresos]]</f>
        <v>3192255.6</v>
      </c>
      <c r="O2232" s="20">
        <f>+O2231+Movimientos_2026[[#This Row],[Neto]]</f>
        <v>6219373557.5360069</v>
      </c>
    </row>
    <row r="2233" spans="1:15" x14ac:dyDescent="0.25">
      <c r="A2233" s="13">
        <v>46211</v>
      </c>
      <c r="B2233" s="12">
        <f>MONTH(Movimientos_2026[[#This Row],[Fecha]])</f>
        <v>7</v>
      </c>
      <c r="C2233" s="12" t="str">
        <f>VLOOKUP((WEEKDAY(Movimientos_2026[[#This Row],[Fecha]],2)),'5. Setup'!$D$6:$E$12,2,FALSE)</f>
        <v>Mie</v>
      </c>
      <c r="D2233">
        <v>1043141</v>
      </c>
      <c r="E2233" t="str">
        <f>IFERROR(+VLOOKUP(Movimientos_2026[[#This Row],[Codigo]],Plan_cuentas[],2,FALSE)," ")</f>
        <v>INGRESOS</v>
      </c>
      <c r="F2233" t="str">
        <f>IFERROR(+VLOOKUP(Movimientos_2026[[#This Row],[Codigo]],Plan_cuentas[],3,FALSE)," ")</f>
        <v>Transferencia</v>
      </c>
      <c r="G2233" t="str">
        <f>IFERROR(+VLOOKUP(Movimientos_2026[[#This Row],[Codigo]],Plan_cuentas[],4,FALSE)," ")</f>
        <v>Registración</v>
      </c>
      <c r="H2233" t="str">
        <f>IFERROR(+VLOOKUP(Movimientos_2026[[#This Row],[Codigo]],Plan_cuentas[],5,FALSE)," ")</f>
        <v>BUENOS AIRES</v>
      </c>
      <c r="I2233" s="43">
        <v>46143</v>
      </c>
      <c r="J2233" t="s">
        <v>968</v>
      </c>
      <c r="K2233" t="str">
        <f>IFERROR(+VLOOKUP(Movimientos_2026[[#This Row],[Codigo]],Plan_cuentas[],6,FALSE)," ")</f>
        <v>1 - VW - Volkswagen</v>
      </c>
      <c r="L2233" s="50">
        <v>39244542.75</v>
      </c>
      <c r="M2233" s="50"/>
      <c r="N2233" s="20">
        <f>+Movimientos_2026[[#This Row],[Ingresos]]-Movimientos_2026[[#This Row],[Egresos]]</f>
        <v>39244542.75</v>
      </c>
      <c r="O2233" s="20">
        <f>+O2232+Movimientos_2026[[#This Row],[Neto]]</f>
        <v>6258618100.2860069</v>
      </c>
    </row>
    <row r="2234" spans="1:15" x14ac:dyDescent="0.25">
      <c r="A2234" s="13">
        <v>46211</v>
      </c>
      <c r="B2234" s="12">
        <f>MONTH(Movimientos_2026[[#This Row],[Fecha]])</f>
        <v>7</v>
      </c>
      <c r="C2234" s="12" t="str">
        <f>VLOOKUP((WEEKDAY(Movimientos_2026[[#This Row],[Fecha]],2)),'5. Setup'!$D$6:$E$12,2,FALSE)</f>
        <v>Mie</v>
      </c>
      <c r="D2234">
        <v>1041131</v>
      </c>
      <c r="E2234" t="str">
        <f>IFERROR(+VLOOKUP(Movimientos_2026[[#This Row],[Codigo]],Plan_cuentas[],2,FALSE)," ")</f>
        <v>INGRESOS</v>
      </c>
      <c r="F2234" t="str">
        <f>IFERROR(+VLOOKUP(Movimientos_2026[[#This Row],[Codigo]],Plan_cuentas[],3,FALSE)," ")</f>
        <v>Transferencia</v>
      </c>
      <c r="G2234" t="str">
        <f>IFERROR(+VLOOKUP(Movimientos_2026[[#This Row],[Codigo]],Plan_cuentas[],4,FALSE)," ")</f>
        <v>Entidades co-participadas</v>
      </c>
      <c r="H2234" t="str">
        <f>IFERROR(+VLOOKUP(Movimientos_2026[[#This Row],[Codigo]],Plan_cuentas[],5,FALSE)," ")</f>
        <v>BCLP</v>
      </c>
      <c r="I2234" s="43">
        <v>46143</v>
      </c>
      <c r="J2234" t="s">
        <v>968</v>
      </c>
      <c r="K2234" t="str">
        <f>IFERROR(+VLOOKUP(Movimientos_2026[[#This Row],[Codigo]],Plan_cuentas[],6,FALSE)," ")</f>
        <v>1 - VW - Volkswagen</v>
      </c>
      <c r="L2234" s="50">
        <v>39244542.75</v>
      </c>
      <c r="M2234" s="50"/>
      <c r="N2234" s="20">
        <f>+Movimientos_2026[[#This Row],[Ingresos]]-Movimientos_2026[[#This Row],[Egresos]]</f>
        <v>39244542.75</v>
      </c>
      <c r="O2234" s="20">
        <f>+O2233+Movimientos_2026[[#This Row],[Neto]]</f>
        <v>6297862643.0360069</v>
      </c>
    </row>
    <row r="2235" spans="1:15" x14ac:dyDescent="0.25">
      <c r="A2235" s="13">
        <v>46211</v>
      </c>
      <c r="B2235" s="12">
        <f>MONTH(Movimientos_2026[[#This Row],[Fecha]])</f>
        <v>7</v>
      </c>
      <c r="C2235" s="12" t="str">
        <f>VLOOKUP((WEEKDAY(Movimientos_2026[[#This Row],[Fecha]],2)),'5. Setup'!$D$6:$E$12,2,FALSE)</f>
        <v>Mie</v>
      </c>
      <c r="D2235">
        <v>1041441</v>
      </c>
      <c r="E2235" t="str">
        <f>IFERROR(+VLOOKUP(Movimientos_2026[[#This Row],[Codigo]],Plan_cuentas[],2,FALSE)," ")</f>
        <v>INGRESOS</v>
      </c>
      <c r="F2235" t="str">
        <f>IFERROR(+VLOOKUP(Movimientos_2026[[#This Row],[Codigo]],Plan_cuentas[],3,FALSE)," ")</f>
        <v>Transferencia</v>
      </c>
      <c r="G2235" t="str">
        <f>IFERROR(+VLOOKUP(Movimientos_2026[[#This Row],[Codigo]],Plan_cuentas[],4,FALSE)," ")</f>
        <v>Entidades co-participadas</v>
      </c>
      <c r="H2235" t="str">
        <f>IFERROR(+VLOOKUP(Movimientos_2026[[#This Row],[Codigo]],Plan_cuentas[],5,FALSE)," ")</f>
        <v>UISCUMARR</v>
      </c>
      <c r="I2235" s="43">
        <v>46143</v>
      </c>
      <c r="J2235" t="s">
        <v>968</v>
      </c>
      <c r="K2235" t="str">
        <f>IFERROR(+VLOOKUP(Movimientos_2026[[#This Row],[Codigo]],Plan_cuentas[],6,FALSE)," ")</f>
        <v>1 - VW - Volkswagen</v>
      </c>
      <c r="L2235" s="50">
        <v>39244542.75</v>
      </c>
      <c r="M2235" s="50"/>
      <c r="N2235" s="20">
        <f>+Movimientos_2026[[#This Row],[Ingresos]]-Movimientos_2026[[#This Row],[Egresos]]</f>
        <v>39244542.75</v>
      </c>
      <c r="O2235" s="20">
        <f>+O2234+Movimientos_2026[[#This Row],[Neto]]</f>
        <v>6337107185.7860069</v>
      </c>
    </row>
    <row r="2236" spans="1:15" x14ac:dyDescent="0.25">
      <c r="A2236" s="13">
        <v>46211</v>
      </c>
      <c r="B2236" s="12">
        <f>MONTH(Movimientos_2026[[#This Row],[Fecha]])</f>
        <v>7</v>
      </c>
      <c r="C2236" s="12" t="str">
        <f>VLOOKUP((WEEKDAY(Movimientos_2026[[#This Row],[Fecha]],2)),'5. Setup'!$D$6:$E$12,2,FALSE)</f>
        <v>Mie</v>
      </c>
      <c r="D2236">
        <v>1043151</v>
      </c>
      <c r="E2236" t="str">
        <f>IFERROR(+VLOOKUP(Movimientos_2026[[#This Row],[Codigo]],Plan_cuentas[],2,FALSE)," ")</f>
        <v>INGRESOS</v>
      </c>
      <c r="F2236" t="str">
        <f>IFERROR(+VLOOKUP(Movimientos_2026[[#This Row],[Codigo]],Plan_cuentas[],3,FALSE)," ")</f>
        <v>Transferencia</v>
      </c>
      <c r="G2236" t="str">
        <f>IFERROR(+VLOOKUP(Movimientos_2026[[#This Row],[Codigo]],Plan_cuentas[],4,FALSE)," ")</f>
        <v>Registración</v>
      </c>
      <c r="H2236" t="str">
        <f>IFERROR(+VLOOKUP(Movimientos_2026[[#This Row],[Codigo]],Plan_cuentas[],5,FALSE)," ")</f>
        <v>CABA</v>
      </c>
      <c r="I2236" s="43">
        <v>46143</v>
      </c>
      <c r="J2236" t="s">
        <v>969</v>
      </c>
      <c r="K2236" t="str">
        <f>IFERROR(+VLOOKUP(Movimientos_2026[[#This Row],[Codigo]],Plan_cuentas[],6,FALSE)," ")</f>
        <v>1 - VW - Volkswagen</v>
      </c>
      <c r="L2236" s="50">
        <v>16419591.5</v>
      </c>
      <c r="M2236" s="50"/>
      <c r="N2236" s="20">
        <f>+Movimientos_2026[[#This Row],[Ingresos]]-Movimientos_2026[[#This Row],[Egresos]]</f>
        <v>16419591.5</v>
      </c>
      <c r="O2236" s="20">
        <f>+O2235+Movimientos_2026[[#This Row],[Neto]]</f>
        <v>6353526777.2860069</v>
      </c>
    </row>
    <row r="2237" spans="1:15" x14ac:dyDescent="0.25">
      <c r="A2237" s="13">
        <v>46211</v>
      </c>
      <c r="B2237" s="12">
        <f>MONTH(Movimientos_2026[[#This Row],[Fecha]])</f>
        <v>7</v>
      </c>
      <c r="C2237" s="12" t="str">
        <f>VLOOKUP((WEEKDAY(Movimientos_2026[[#This Row],[Fecha]],2)),'5. Setup'!$D$6:$E$12,2,FALSE)</f>
        <v>Mie</v>
      </c>
      <c r="D2237">
        <v>1043231</v>
      </c>
      <c r="E2237" t="str">
        <f>IFERROR(+VLOOKUP(Movimientos_2026[[#This Row],[Codigo]],Plan_cuentas[],2,FALSE)," ")</f>
        <v>INGRESOS</v>
      </c>
      <c r="F2237" t="str">
        <f>IFERROR(+VLOOKUP(Movimientos_2026[[#This Row],[Codigo]],Plan_cuentas[],3,FALSE)," ")</f>
        <v>Transferencia</v>
      </c>
      <c r="G2237" t="str">
        <f>IFERROR(+VLOOKUP(Movimientos_2026[[#This Row],[Codigo]],Plan_cuentas[],4,FALSE)," ")</f>
        <v>Registración</v>
      </c>
      <c r="H2237" t="str">
        <f>IFERROR(+VLOOKUP(Movimientos_2026[[#This Row],[Codigo]],Plan_cuentas[],5,FALSE)," ")</f>
        <v>ENTRE RIOS 2° Q</v>
      </c>
      <c r="I2237" s="43">
        <v>46143</v>
      </c>
      <c r="J2237" t="s">
        <v>969</v>
      </c>
      <c r="K2237" t="str">
        <f>IFERROR(+VLOOKUP(Movimientos_2026[[#This Row],[Codigo]],Plan_cuentas[],6,FALSE)," ")</f>
        <v>1 - VW - Volkswagen</v>
      </c>
      <c r="L2237" s="50">
        <v>3251296</v>
      </c>
      <c r="M2237" s="50"/>
      <c r="N2237" s="20">
        <f>+Movimientos_2026[[#This Row],[Ingresos]]-Movimientos_2026[[#This Row],[Egresos]]</f>
        <v>3251296</v>
      </c>
      <c r="O2237" s="20">
        <f>+O2236+Movimientos_2026[[#This Row],[Neto]]</f>
        <v>6356778073.2860069</v>
      </c>
    </row>
    <row r="2238" spans="1:15" x14ac:dyDescent="0.25">
      <c r="A2238" s="13">
        <v>46211</v>
      </c>
      <c r="B2238" s="12">
        <f>MONTH(Movimientos_2026[[#This Row],[Fecha]])</f>
        <v>7</v>
      </c>
      <c r="C2238" s="12" t="str">
        <f>VLOOKUP((WEEKDAY(Movimientos_2026[[#This Row],[Fecha]],2)),'5. Setup'!$D$6:$E$12,2,FALSE)</f>
        <v>Mie</v>
      </c>
      <c r="D2238">
        <v>1043341</v>
      </c>
      <c r="E2238" t="str">
        <f>IFERROR(+VLOOKUP(Movimientos_2026[[#This Row],[Codigo]],Plan_cuentas[],2,FALSE)," ")</f>
        <v>INGRESOS</v>
      </c>
      <c r="F2238" t="str">
        <f>IFERROR(+VLOOKUP(Movimientos_2026[[#This Row],[Codigo]],Plan_cuentas[],3,FALSE)," ")</f>
        <v>Transferencia</v>
      </c>
      <c r="G2238" t="str">
        <f>IFERROR(+VLOOKUP(Movimientos_2026[[#This Row],[Codigo]],Plan_cuentas[],4,FALSE)," ")</f>
        <v>Registración</v>
      </c>
      <c r="H2238" t="str">
        <f>IFERROR(+VLOOKUP(Movimientos_2026[[#This Row],[Codigo]],Plan_cuentas[],5,FALSE)," ")</f>
        <v>RIO NEGRO</v>
      </c>
      <c r="I2238" s="43">
        <v>46143</v>
      </c>
      <c r="J2238" t="s">
        <v>969</v>
      </c>
      <c r="K2238" t="str">
        <f>IFERROR(+VLOOKUP(Movimientos_2026[[#This Row],[Codigo]],Plan_cuentas[],6,FALSE)," ")</f>
        <v>1 - VW - Volkswagen</v>
      </c>
      <c r="L2238" s="50">
        <v>9520524</v>
      </c>
      <c r="M2238" s="50"/>
      <c r="N2238" s="20">
        <f>+Movimientos_2026[[#This Row],[Ingresos]]-Movimientos_2026[[#This Row],[Egresos]]</f>
        <v>9520524</v>
      </c>
      <c r="O2238" s="20">
        <f>+O2237+Movimientos_2026[[#This Row],[Neto]]</f>
        <v>6366298597.2860069</v>
      </c>
    </row>
    <row r="2239" spans="1:15" x14ac:dyDescent="0.25">
      <c r="A2239" s="13">
        <v>46211</v>
      </c>
      <c r="B2239" s="12">
        <f>MONTH(Movimientos_2026[[#This Row],[Fecha]])</f>
        <v>7</v>
      </c>
      <c r="C2239" s="12" t="str">
        <f>VLOOKUP((WEEKDAY(Movimientos_2026[[#This Row],[Fecha]],2)),'5. Setup'!$D$6:$E$12,2,FALSE)</f>
        <v>Mie</v>
      </c>
      <c r="D2239">
        <v>1044161</v>
      </c>
      <c r="E2239" t="str">
        <f>IFERROR(+VLOOKUP(Movimientos_2026[[#This Row],[Codigo]],Plan_cuentas[],2,FALSE)," ")</f>
        <v>INGRESOS</v>
      </c>
      <c r="F2239" t="str">
        <f>IFERROR(+VLOOKUP(Movimientos_2026[[#This Row],[Codigo]],Plan_cuentas[],3,FALSE)," ")</f>
        <v>Transferencia</v>
      </c>
      <c r="G2239" t="str">
        <f>IFERROR(+VLOOKUP(Movimientos_2026[[#This Row],[Codigo]],Plan_cuentas[],4,FALSE)," ")</f>
        <v>Rentas</v>
      </c>
      <c r="H2239" t="str">
        <f>IFERROR(+VLOOKUP(Movimientos_2026[[#This Row],[Codigo]],Plan_cuentas[],5,FALSE)," ")</f>
        <v>CHACO</v>
      </c>
      <c r="I2239" s="43">
        <v>46143</v>
      </c>
      <c r="J2239" t="s">
        <v>969</v>
      </c>
      <c r="K2239" t="str">
        <f>IFERROR(+VLOOKUP(Movimientos_2026[[#This Row],[Codigo]],Plan_cuentas[],6,FALSE)," ")</f>
        <v>1 - VW - Volkswagen</v>
      </c>
      <c r="L2239" s="50">
        <v>5040835</v>
      </c>
      <c r="M2239" s="50"/>
      <c r="N2239" s="20">
        <f>+Movimientos_2026[[#This Row],[Ingresos]]-Movimientos_2026[[#This Row],[Egresos]]</f>
        <v>5040835</v>
      </c>
      <c r="O2239" s="20">
        <f>+O2238+Movimientos_2026[[#This Row],[Neto]]</f>
        <v>6371339432.2860069</v>
      </c>
    </row>
    <row r="2240" spans="1:15" x14ac:dyDescent="0.25">
      <c r="A2240" s="13">
        <v>46211</v>
      </c>
      <c r="B2240" s="12">
        <f>MONTH(Movimientos_2026[[#This Row],[Fecha]])</f>
        <v>7</v>
      </c>
      <c r="C2240" s="12" t="str">
        <f>VLOOKUP((WEEKDAY(Movimientos_2026[[#This Row],[Fecha]],2)),'5. Setup'!$D$6:$E$12,2,FALSE)</f>
        <v>Mie</v>
      </c>
      <c r="D2240">
        <v>1044171</v>
      </c>
      <c r="E2240" t="str">
        <f>IFERROR(+VLOOKUP(Movimientos_2026[[#This Row],[Codigo]],Plan_cuentas[],2,FALSE)," ")</f>
        <v>INGRESOS</v>
      </c>
      <c r="F2240" t="str">
        <f>IFERROR(+VLOOKUP(Movimientos_2026[[#This Row],[Codigo]],Plan_cuentas[],3,FALSE)," ")</f>
        <v>Transferencia</v>
      </c>
      <c r="G2240" t="str">
        <f>IFERROR(+VLOOKUP(Movimientos_2026[[#This Row],[Codigo]],Plan_cuentas[],4,FALSE)," ")</f>
        <v>Rentas</v>
      </c>
      <c r="H2240" t="str">
        <f>IFERROR(+VLOOKUP(Movimientos_2026[[#This Row],[Codigo]],Plan_cuentas[],5,FALSE)," ")</f>
        <v>CHUBUT</v>
      </c>
      <c r="I2240" s="43">
        <v>46143</v>
      </c>
      <c r="J2240" t="s">
        <v>969</v>
      </c>
      <c r="K2240" t="str">
        <f>IFERROR(+VLOOKUP(Movimientos_2026[[#This Row],[Codigo]],Plan_cuentas[],6,FALSE)," ")</f>
        <v>1 - VW - Volkswagen</v>
      </c>
      <c r="L2240" s="50">
        <v>3241346.25</v>
      </c>
      <c r="M2240" s="50"/>
      <c r="N2240" s="20">
        <f>+Movimientos_2026[[#This Row],[Ingresos]]-Movimientos_2026[[#This Row],[Egresos]]</f>
        <v>3241346.25</v>
      </c>
      <c r="O2240" s="20">
        <f>+O2239+Movimientos_2026[[#This Row],[Neto]]</f>
        <v>6374580778.5360069</v>
      </c>
    </row>
    <row r="2241" spans="1:15" x14ac:dyDescent="0.25">
      <c r="A2241" s="13">
        <v>46211</v>
      </c>
      <c r="B2241" s="12">
        <f>MONTH(Movimientos_2026[[#This Row],[Fecha]])</f>
        <v>7</v>
      </c>
      <c r="C2241" s="12" t="str">
        <f>VLOOKUP((WEEKDAY(Movimientos_2026[[#This Row],[Fecha]],2)),'5. Setup'!$D$6:$E$12,2,FALSE)</f>
        <v>Mie</v>
      </c>
      <c r="D2241">
        <v>1044211</v>
      </c>
      <c r="E2241" t="str">
        <f>IFERROR(+VLOOKUP(Movimientos_2026[[#This Row],[Codigo]],Plan_cuentas[],2,FALSE)," ")</f>
        <v>INGRESOS</v>
      </c>
      <c r="F2241" t="str">
        <f>IFERROR(+VLOOKUP(Movimientos_2026[[#This Row],[Codigo]],Plan_cuentas[],3,FALSE)," ")</f>
        <v>Transferencia</v>
      </c>
      <c r="G2241" t="str">
        <f>IFERROR(+VLOOKUP(Movimientos_2026[[#This Row],[Codigo]],Plan_cuentas[],4,FALSE)," ")</f>
        <v>Rentas</v>
      </c>
      <c r="H2241" t="str">
        <f>IFERROR(+VLOOKUP(Movimientos_2026[[#This Row],[Codigo]],Plan_cuentas[],5,FALSE)," ")</f>
        <v>CORRIENTES 2° Q</v>
      </c>
      <c r="I2241" s="43">
        <v>46143</v>
      </c>
      <c r="J2241" t="s">
        <v>969</v>
      </c>
      <c r="K2241" t="str">
        <f>IFERROR(+VLOOKUP(Movimientos_2026[[#This Row],[Codigo]],Plan_cuentas[],6,FALSE)," ")</f>
        <v>1 - VW - Volkswagen</v>
      </c>
      <c r="L2241" s="50">
        <v>4625286</v>
      </c>
      <c r="M2241" s="50"/>
      <c r="N2241" s="20">
        <f>+Movimientos_2026[[#This Row],[Ingresos]]-Movimientos_2026[[#This Row],[Egresos]]</f>
        <v>4625286</v>
      </c>
      <c r="O2241" s="20">
        <f>+O2240+Movimientos_2026[[#This Row],[Neto]]</f>
        <v>6379206064.5360069</v>
      </c>
    </row>
    <row r="2242" spans="1:15" x14ac:dyDescent="0.25">
      <c r="A2242" s="13">
        <v>46211</v>
      </c>
      <c r="B2242" s="12">
        <f>MONTH(Movimientos_2026[[#This Row],[Fecha]])</f>
        <v>7</v>
      </c>
      <c r="C2242" s="12" t="str">
        <f>VLOOKUP((WEEKDAY(Movimientos_2026[[#This Row],[Fecha]],2)),'5. Setup'!$D$6:$E$12,2,FALSE)</f>
        <v>Mie</v>
      </c>
      <c r="D2242">
        <v>1044241</v>
      </c>
      <c r="E2242" t="str">
        <f>IFERROR(+VLOOKUP(Movimientos_2026[[#This Row],[Codigo]],Plan_cuentas[],2,FALSE)," ")</f>
        <v>INGRESOS</v>
      </c>
      <c r="F2242" t="str">
        <f>IFERROR(+VLOOKUP(Movimientos_2026[[#This Row],[Codigo]],Plan_cuentas[],3,FALSE)," ")</f>
        <v>Transferencia</v>
      </c>
      <c r="G2242" t="str">
        <f>IFERROR(+VLOOKUP(Movimientos_2026[[#This Row],[Codigo]],Plan_cuentas[],4,FALSE)," ")</f>
        <v>Rentas</v>
      </c>
      <c r="H2242" t="str">
        <f>IFERROR(+VLOOKUP(Movimientos_2026[[#This Row],[Codigo]],Plan_cuentas[],5,FALSE)," ")</f>
        <v>FORMOSA</v>
      </c>
      <c r="I2242" s="43">
        <v>46143</v>
      </c>
      <c r="J2242" t="s">
        <v>969</v>
      </c>
      <c r="K2242" t="str">
        <f>IFERROR(+VLOOKUP(Movimientos_2026[[#This Row],[Codigo]],Plan_cuentas[],6,FALSE)," ")</f>
        <v>1 - VW - Volkswagen</v>
      </c>
      <c r="L2242" s="50">
        <v>700368</v>
      </c>
      <c r="M2242" s="50"/>
      <c r="N2242" s="20">
        <f>+Movimientos_2026[[#This Row],[Ingresos]]-Movimientos_2026[[#This Row],[Egresos]]</f>
        <v>700368</v>
      </c>
      <c r="O2242" s="20">
        <f>+O2241+Movimientos_2026[[#This Row],[Neto]]</f>
        <v>6379906432.5360069</v>
      </c>
    </row>
    <row r="2243" spans="1:15" x14ac:dyDescent="0.25">
      <c r="A2243" s="13">
        <v>46211</v>
      </c>
      <c r="B2243" s="12">
        <f>MONTH(Movimientos_2026[[#This Row],[Fecha]])</f>
        <v>7</v>
      </c>
      <c r="C2243" s="12" t="str">
        <f>VLOOKUP((WEEKDAY(Movimientos_2026[[#This Row],[Fecha]],2)),'5. Setup'!$D$6:$E$12,2,FALSE)</f>
        <v>Mie</v>
      </c>
      <c r="D2243">
        <v>1044261</v>
      </c>
      <c r="E2243" t="str">
        <f>IFERROR(+VLOOKUP(Movimientos_2026[[#This Row],[Codigo]],Plan_cuentas[],2,FALSE)," ")</f>
        <v>INGRESOS</v>
      </c>
      <c r="F2243" t="str">
        <f>IFERROR(+VLOOKUP(Movimientos_2026[[#This Row],[Codigo]],Plan_cuentas[],3,FALSE)," ")</f>
        <v>Transferencia</v>
      </c>
      <c r="G2243" t="str">
        <f>IFERROR(+VLOOKUP(Movimientos_2026[[#This Row],[Codigo]],Plan_cuentas[],4,FALSE)," ")</f>
        <v>Rentas</v>
      </c>
      <c r="H2243" t="str">
        <f>IFERROR(+VLOOKUP(Movimientos_2026[[#This Row],[Codigo]],Plan_cuentas[],5,FALSE)," ")</f>
        <v>LA PAMPA</v>
      </c>
      <c r="I2243" s="43">
        <v>46143</v>
      </c>
      <c r="J2243" t="s">
        <v>969</v>
      </c>
      <c r="K2243" t="str">
        <f>IFERROR(+VLOOKUP(Movimientos_2026[[#This Row],[Codigo]],Plan_cuentas[],6,FALSE)," ")</f>
        <v>1 - VW - Volkswagen</v>
      </c>
      <c r="L2243" s="50">
        <v>1335257.5</v>
      </c>
      <c r="M2243" s="50"/>
      <c r="N2243" s="20">
        <f>+Movimientos_2026[[#This Row],[Ingresos]]-Movimientos_2026[[#This Row],[Egresos]]</f>
        <v>1335257.5</v>
      </c>
      <c r="O2243" s="20">
        <f>+O2242+Movimientos_2026[[#This Row],[Neto]]</f>
        <v>6381241690.0360069</v>
      </c>
    </row>
    <row r="2244" spans="1:15" x14ac:dyDescent="0.25">
      <c r="A2244" s="13">
        <v>46211</v>
      </c>
      <c r="B2244" s="12">
        <f>MONTH(Movimientos_2026[[#This Row],[Fecha]])</f>
        <v>7</v>
      </c>
      <c r="C2244" s="12" t="str">
        <f>VLOOKUP((WEEKDAY(Movimientos_2026[[#This Row],[Fecha]],2)),'5. Setup'!$D$6:$E$12,2,FALSE)</f>
        <v>Mie</v>
      </c>
      <c r="D2244">
        <v>1044271</v>
      </c>
      <c r="E2244" t="str">
        <f>IFERROR(+VLOOKUP(Movimientos_2026[[#This Row],[Codigo]],Plan_cuentas[],2,FALSE)," ")</f>
        <v>INGRESOS</v>
      </c>
      <c r="F2244" t="str">
        <f>IFERROR(+VLOOKUP(Movimientos_2026[[#This Row],[Codigo]],Plan_cuentas[],3,FALSE)," ")</f>
        <v>Transferencia</v>
      </c>
      <c r="G2244" t="str">
        <f>IFERROR(+VLOOKUP(Movimientos_2026[[#This Row],[Codigo]],Plan_cuentas[],4,FALSE)," ")</f>
        <v>Rentas</v>
      </c>
      <c r="H2244" t="str">
        <f>IFERROR(+VLOOKUP(Movimientos_2026[[#This Row],[Codigo]],Plan_cuentas[],5,FALSE)," ")</f>
        <v>LA RIOJA</v>
      </c>
      <c r="I2244" s="43">
        <v>46143</v>
      </c>
      <c r="J2244" t="s">
        <v>969</v>
      </c>
      <c r="K2244" t="str">
        <f>IFERROR(+VLOOKUP(Movimientos_2026[[#This Row],[Codigo]],Plan_cuentas[],6,FALSE)," ")</f>
        <v>1 - VW - Volkswagen</v>
      </c>
      <c r="L2244" s="50">
        <v>6363976</v>
      </c>
      <c r="M2244" s="50"/>
      <c r="N2244" s="20">
        <f>+Movimientos_2026[[#This Row],[Ingresos]]-Movimientos_2026[[#This Row],[Egresos]]</f>
        <v>6363976</v>
      </c>
      <c r="O2244" s="20">
        <f>+O2243+Movimientos_2026[[#This Row],[Neto]]</f>
        <v>6387605666.0360069</v>
      </c>
    </row>
    <row r="2245" spans="1:15" x14ac:dyDescent="0.25">
      <c r="A2245" s="13">
        <v>46211</v>
      </c>
      <c r="B2245" s="12">
        <f>MONTH(Movimientos_2026[[#This Row],[Fecha]])</f>
        <v>7</v>
      </c>
      <c r="C2245" s="12" t="str">
        <f>VLOOKUP((WEEKDAY(Movimientos_2026[[#This Row],[Fecha]],2)),'5. Setup'!$D$6:$E$12,2,FALSE)</f>
        <v>Mie</v>
      </c>
      <c r="D2245">
        <v>1044281</v>
      </c>
      <c r="E2245" t="str">
        <f>IFERROR(+VLOOKUP(Movimientos_2026[[#This Row],[Codigo]],Plan_cuentas[],2,FALSE)," ")</f>
        <v>INGRESOS</v>
      </c>
      <c r="F2245" t="str">
        <f>IFERROR(+VLOOKUP(Movimientos_2026[[#This Row],[Codigo]],Plan_cuentas[],3,FALSE)," ")</f>
        <v>Transferencia</v>
      </c>
      <c r="G2245" t="str">
        <f>IFERROR(+VLOOKUP(Movimientos_2026[[#This Row],[Codigo]],Plan_cuentas[],4,FALSE)," ")</f>
        <v>Rentas</v>
      </c>
      <c r="H2245" t="str">
        <f>IFERROR(+VLOOKUP(Movimientos_2026[[#This Row],[Codigo]],Plan_cuentas[],5,FALSE)," ")</f>
        <v>MENDOZA</v>
      </c>
      <c r="I2245" s="43">
        <v>46143</v>
      </c>
      <c r="J2245" t="s">
        <v>969</v>
      </c>
      <c r="K2245" t="str">
        <f>IFERROR(+VLOOKUP(Movimientos_2026[[#This Row],[Codigo]],Plan_cuentas[],6,FALSE)," ")</f>
        <v>1 - VW - Volkswagen</v>
      </c>
      <c r="L2245" s="50">
        <v>2508806</v>
      </c>
      <c r="M2245" s="50"/>
      <c r="N2245" s="20">
        <f>+Movimientos_2026[[#This Row],[Ingresos]]-Movimientos_2026[[#This Row],[Egresos]]</f>
        <v>2508806</v>
      </c>
      <c r="O2245" s="20">
        <f>+O2244+Movimientos_2026[[#This Row],[Neto]]</f>
        <v>6390114472.0360069</v>
      </c>
    </row>
    <row r="2246" spans="1:15" x14ac:dyDescent="0.25">
      <c r="A2246" s="13">
        <v>46211</v>
      </c>
      <c r="B2246" s="12">
        <f>MONTH(Movimientos_2026[[#This Row],[Fecha]])</f>
        <v>7</v>
      </c>
      <c r="C2246" s="12" t="str">
        <f>VLOOKUP((WEEKDAY(Movimientos_2026[[#This Row],[Fecha]],2)),'5. Setup'!$D$6:$E$12,2,FALSE)</f>
        <v>Mie</v>
      </c>
      <c r="D2246">
        <v>1044461</v>
      </c>
      <c r="E2246" t="str">
        <f>IFERROR(+VLOOKUP(Movimientos_2026[[#This Row],[Codigo]],Plan_cuentas[],2,FALSE)," ")</f>
        <v>INGRESOS</v>
      </c>
      <c r="F2246" t="str">
        <f>IFERROR(+VLOOKUP(Movimientos_2026[[#This Row],[Codigo]],Plan_cuentas[],3,FALSE)," ")</f>
        <v>Transferencia</v>
      </c>
      <c r="G2246" t="str">
        <f>IFERROR(+VLOOKUP(Movimientos_2026[[#This Row],[Codigo]],Plan_cuentas[],4,FALSE)," ")</f>
        <v>Rentas</v>
      </c>
      <c r="H2246" t="str">
        <f>IFERROR(+VLOOKUP(Movimientos_2026[[#This Row],[Codigo]],Plan_cuentas[],5,FALSE)," ")</f>
        <v>MISIONES</v>
      </c>
      <c r="I2246" s="43">
        <v>46143</v>
      </c>
      <c r="J2246" t="s">
        <v>969</v>
      </c>
      <c r="K2246" t="str">
        <f>IFERROR(+VLOOKUP(Movimientos_2026[[#This Row],[Codigo]],Plan_cuentas[],6,FALSE)," ")</f>
        <v>1 - VW - Volkswagen</v>
      </c>
      <c r="L2246" s="50">
        <v>850495.97881679412</v>
      </c>
      <c r="M2246" s="50"/>
      <c r="N2246" s="20">
        <f>+Movimientos_2026[[#This Row],[Ingresos]]-Movimientos_2026[[#This Row],[Egresos]]</f>
        <v>850495.97881679412</v>
      </c>
      <c r="O2246" s="20">
        <f>+O2245+Movimientos_2026[[#This Row],[Neto]]</f>
        <v>6390964968.0148239</v>
      </c>
    </row>
    <row r="2247" spans="1:15" x14ac:dyDescent="0.25">
      <c r="A2247" s="13">
        <v>46211</v>
      </c>
      <c r="B2247" s="12">
        <f>MONTH(Movimientos_2026[[#This Row],[Fecha]])</f>
        <v>7</v>
      </c>
      <c r="C2247" s="12" t="str">
        <f>VLOOKUP((WEEKDAY(Movimientos_2026[[#This Row],[Fecha]],2)),'5. Setup'!$D$6:$E$12,2,FALSE)</f>
        <v>Mie</v>
      </c>
      <c r="D2247">
        <v>1044321</v>
      </c>
      <c r="E2247" t="str">
        <f>IFERROR(+VLOOKUP(Movimientos_2026[[#This Row],[Codigo]],Plan_cuentas[],2,FALSE)," ")</f>
        <v>INGRESOS</v>
      </c>
      <c r="F2247" t="str">
        <f>IFERROR(+VLOOKUP(Movimientos_2026[[#This Row],[Codigo]],Plan_cuentas[],3,FALSE)," ")</f>
        <v>Transferencia</v>
      </c>
      <c r="G2247" t="str">
        <f>IFERROR(+VLOOKUP(Movimientos_2026[[#This Row],[Codigo]],Plan_cuentas[],4,FALSE)," ")</f>
        <v>Rentas</v>
      </c>
      <c r="H2247" t="str">
        <f>IFERROR(+VLOOKUP(Movimientos_2026[[#This Row],[Codigo]],Plan_cuentas[],5,FALSE)," ")</f>
        <v>NEUQUEN 2° Q</v>
      </c>
      <c r="I2247" s="43">
        <v>46143</v>
      </c>
      <c r="J2247" t="s">
        <v>969</v>
      </c>
      <c r="K2247" t="str">
        <f>IFERROR(+VLOOKUP(Movimientos_2026[[#This Row],[Codigo]],Plan_cuentas[],6,FALSE)," ")</f>
        <v>1 - VW - Volkswagen</v>
      </c>
      <c r="L2247" s="50">
        <v>12278196.5</v>
      </c>
      <c r="M2247" s="50"/>
      <c r="N2247" s="20">
        <f>+Movimientos_2026[[#This Row],[Ingresos]]-Movimientos_2026[[#This Row],[Egresos]]</f>
        <v>12278196.5</v>
      </c>
      <c r="O2247" s="20">
        <f>+O2246+Movimientos_2026[[#This Row],[Neto]]</f>
        <v>6403243164.5148239</v>
      </c>
    </row>
    <row r="2248" spans="1:15" x14ac:dyDescent="0.25">
      <c r="A2248" s="13">
        <v>46211</v>
      </c>
      <c r="B2248" s="12">
        <f>MONTH(Movimientos_2026[[#This Row],[Fecha]])</f>
        <v>7</v>
      </c>
      <c r="C2248" s="12" t="str">
        <f>VLOOKUP((WEEKDAY(Movimientos_2026[[#This Row],[Fecha]],2)),'5. Setup'!$D$6:$E$12,2,FALSE)</f>
        <v>Mie</v>
      </c>
      <c r="D2248">
        <v>1044351</v>
      </c>
      <c r="E2248" t="str">
        <f>IFERROR(+VLOOKUP(Movimientos_2026[[#This Row],[Codigo]],Plan_cuentas[],2,FALSE)," ")</f>
        <v>INGRESOS</v>
      </c>
      <c r="F2248" t="str">
        <f>IFERROR(+VLOOKUP(Movimientos_2026[[#This Row],[Codigo]],Plan_cuentas[],3,FALSE)," ")</f>
        <v>Transferencia</v>
      </c>
      <c r="G2248" t="str">
        <f>IFERROR(+VLOOKUP(Movimientos_2026[[#This Row],[Codigo]],Plan_cuentas[],4,FALSE)," ")</f>
        <v>Rentas</v>
      </c>
      <c r="H2248" t="str">
        <f>IFERROR(+VLOOKUP(Movimientos_2026[[#This Row],[Codigo]],Plan_cuentas[],5,FALSE)," ")</f>
        <v>SAN JUAN</v>
      </c>
      <c r="I2248" s="43">
        <v>46143</v>
      </c>
      <c r="J2248" t="s">
        <v>969</v>
      </c>
      <c r="K2248" t="str">
        <f>IFERROR(+VLOOKUP(Movimientos_2026[[#This Row],[Codigo]],Plan_cuentas[],6,FALSE)," ")</f>
        <v>1 - VW - Volkswagen</v>
      </c>
      <c r="L2248" s="50">
        <v>1155232.08</v>
      </c>
      <c r="M2248" s="50"/>
      <c r="N2248" s="20">
        <f>+Movimientos_2026[[#This Row],[Ingresos]]-Movimientos_2026[[#This Row],[Egresos]]</f>
        <v>1155232.08</v>
      </c>
      <c r="O2248" s="20">
        <f>+O2247+Movimientos_2026[[#This Row],[Neto]]</f>
        <v>6404398396.5948238</v>
      </c>
    </row>
    <row r="2249" spans="1:15" x14ac:dyDescent="0.25">
      <c r="A2249" s="13">
        <v>46211</v>
      </c>
      <c r="B2249" s="12">
        <f>MONTH(Movimientos_2026[[#This Row],[Fecha]])</f>
        <v>7</v>
      </c>
      <c r="C2249" s="12" t="str">
        <f>VLOOKUP((WEEKDAY(Movimientos_2026[[#This Row],[Fecha]],2)),'5. Setup'!$D$6:$E$12,2,FALSE)</f>
        <v>Mie</v>
      </c>
      <c r="D2249">
        <v>1044361</v>
      </c>
      <c r="E2249" t="str">
        <f>IFERROR(+VLOOKUP(Movimientos_2026[[#This Row],[Codigo]],Plan_cuentas[],2,FALSE)," ")</f>
        <v>INGRESOS</v>
      </c>
      <c r="F2249" t="str">
        <f>IFERROR(+VLOOKUP(Movimientos_2026[[#This Row],[Codigo]],Plan_cuentas[],3,FALSE)," ")</f>
        <v>Transferencia</v>
      </c>
      <c r="G2249" t="str">
        <f>IFERROR(+VLOOKUP(Movimientos_2026[[#This Row],[Codigo]],Plan_cuentas[],4,FALSE)," ")</f>
        <v>Rentas</v>
      </c>
      <c r="H2249" t="str">
        <f>IFERROR(+VLOOKUP(Movimientos_2026[[#This Row],[Codigo]],Plan_cuentas[],5,FALSE)," ")</f>
        <v>SAN LUIS</v>
      </c>
      <c r="I2249" s="43">
        <v>46143</v>
      </c>
      <c r="J2249" t="s">
        <v>969</v>
      </c>
      <c r="K2249" t="str">
        <f>IFERROR(+VLOOKUP(Movimientos_2026[[#This Row],[Codigo]],Plan_cuentas[],6,FALSE)," ")</f>
        <v>1 - VW - Volkswagen</v>
      </c>
      <c r="L2249" s="50">
        <v>4063510.8</v>
      </c>
      <c r="M2249" s="50"/>
      <c r="N2249" s="20">
        <f>+Movimientos_2026[[#This Row],[Ingresos]]-Movimientos_2026[[#This Row],[Egresos]]</f>
        <v>4063510.8</v>
      </c>
      <c r="O2249" s="20">
        <f>+O2248+Movimientos_2026[[#This Row],[Neto]]</f>
        <v>6408461907.394824</v>
      </c>
    </row>
    <row r="2250" spans="1:15" x14ac:dyDescent="0.25">
      <c r="A2250" s="13">
        <v>46211</v>
      </c>
      <c r="B2250" s="12">
        <f>MONTH(Movimientos_2026[[#This Row],[Fecha]])</f>
        <v>7</v>
      </c>
      <c r="C2250" s="12" t="str">
        <f>VLOOKUP((WEEKDAY(Movimientos_2026[[#This Row],[Fecha]],2)),'5. Setup'!$D$6:$E$12,2,FALSE)</f>
        <v>Mie</v>
      </c>
      <c r="D2250">
        <v>1044371</v>
      </c>
      <c r="E2250" t="str">
        <f>IFERROR(+VLOOKUP(Movimientos_2026[[#This Row],[Codigo]],Plan_cuentas[],2,FALSE)," ")</f>
        <v>INGRESOS</v>
      </c>
      <c r="F2250" t="str">
        <f>IFERROR(+VLOOKUP(Movimientos_2026[[#This Row],[Codigo]],Plan_cuentas[],3,FALSE)," ")</f>
        <v>Transferencia</v>
      </c>
      <c r="G2250" t="str">
        <f>IFERROR(+VLOOKUP(Movimientos_2026[[#This Row],[Codigo]],Plan_cuentas[],4,FALSE)," ")</f>
        <v>Rentas</v>
      </c>
      <c r="H2250" t="str">
        <f>IFERROR(+VLOOKUP(Movimientos_2026[[#This Row],[Codigo]],Plan_cuentas[],5,FALSE)," ")</f>
        <v>SANTA CRUZ</v>
      </c>
      <c r="I2250" s="43">
        <v>46143</v>
      </c>
      <c r="J2250" t="s">
        <v>969</v>
      </c>
      <c r="K2250" t="str">
        <f>IFERROR(+VLOOKUP(Movimientos_2026[[#This Row],[Codigo]],Plan_cuentas[],6,FALSE)," ")</f>
        <v>1 - VW - Volkswagen</v>
      </c>
      <c r="L2250" s="50">
        <v>4756913</v>
      </c>
      <c r="M2250" s="50"/>
      <c r="N2250" s="20">
        <f>+Movimientos_2026[[#This Row],[Ingresos]]-Movimientos_2026[[#This Row],[Egresos]]</f>
        <v>4756913</v>
      </c>
      <c r="O2250" s="20">
        <f>+O2249+Movimientos_2026[[#This Row],[Neto]]</f>
        <v>6413218820.394824</v>
      </c>
    </row>
    <row r="2251" spans="1:15" x14ac:dyDescent="0.25">
      <c r="A2251" s="13">
        <v>46211</v>
      </c>
      <c r="B2251" s="12">
        <f>MONTH(Movimientos_2026[[#This Row],[Fecha]])</f>
        <v>7</v>
      </c>
      <c r="C2251" s="12" t="str">
        <f>VLOOKUP((WEEKDAY(Movimientos_2026[[#This Row],[Fecha]],2)),'5. Setup'!$D$6:$E$12,2,FALSE)</f>
        <v>Mie</v>
      </c>
      <c r="D2251">
        <v>1044391</v>
      </c>
      <c r="E2251" t="str">
        <f>IFERROR(+VLOOKUP(Movimientos_2026[[#This Row],[Codigo]],Plan_cuentas[],2,FALSE)," ")</f>
        <v>INGRESOS</v>
      </c>
      <c r="F2251" t="str">
        <f>IFERROR(+VLOOKUP(Movimientos_2026[[#This Row],[Codigo]],Plan_cuentas[],3,FALSE)," ")</f>
        <v>Transferencia</v>
      </c>
      <c r="G2251" t="str">
        <f>IFERROR(+VLOOKUP(Movimientos_2026[[#This Row],[Codigo]],Plan_cuentas[],4,FALSE)," ")</f>
        <v>Rentas</v>
      </c>
      <c r="H2251" t="str">
        <f>IFERROR(+VLOOKUP(Movimientos_2026[[#This Row],[Codigo]],Plan_cuentas[],5,FALSE)," ")</f>
        <v>SANTA FE 2° Q</v>
      </c>
      <c r="I2251" s="43">
        <v>46143</v>
      </c>
      <c r="J2251" t="s">
        <v>969</v>
      </c>
      <c r="K2251" t="str">
        <f>IFERROR(+VLOOKUP(Movimientos_2026[[#This Row],[Codigo]],Plan_cuentas[],6,FALSE)," ")</f>
        <v>1 - VW - Volkswagen</v>
      </c>
      <c r="L2251" s="50">
        <v>8038175.75</v>
      </c>
      <c r="M2251" s="50"/>
      <c r="N2251" s="20">
        <f>+Movimientos_2026[[#This Row],[Ingresos]]-Movimientos_2026[[#This Row],[Egresos]]</f>
        <v>8038175.75</v>
      </c>
      <c r="O2251" s="20">
        <f>+O2250+Movimientos_2026[[#This Row],[Neto]]</f>
        <v>6421256996.144824</v>
      </c>
    </row>
    <row r="2252" spans="1:15" x14ac:dyDescent="0.25">
      <c r="A2252" s="13">
        <v>46211</v>
      </c>
      <c r="B2252" s="12">
        <f>MONTH(Movimientos_2026[[#This Row],[Fecha]])</f>
        <v>7</v>
      </c>
      <c r="C2252" s="12" t="str">
        <f>VLOOKUP((WEEKDAY(Movimientos_2026[[#This Row],[Fecha]],2)),'5. Setup'!$D$6:$E$12,2,FALSE)</f>
        <v>Mie</v>
      </c>
      <c r="D2252">
        <v>1044401</v>
      </c>
      <c r="E2252" t="str">
        <f>IFERROR(+VLOOKUP(Movimientos_2026[[#This Row],[Codigo]],Plan_cuentas[],2,FALSE)," ")</f>
        <v>INGRESOS</v>
      </c>
      <c r="F2252" t="str">
        <f>IFERROR(+VLOOKUP(Movimientos_2026[[#This Row],[Codigo]],Plan_cuentas[],3,FALSE)," ")</f>
        <v>Transferencia</v>
      </c>
      <c r="G2252" t="str">
        <f>IFERROR(+VLOOKUP(Movimientos_2026[[#This Row],[Codigo]],Plan_cuentas[],4,FALSE)," ")</f>
        <v>Rentas</v>
      </c>
      <c r="H2252" t="str">
        <f>IFERROR(+VLOOKUP(Movimientos_2026[[#This Row],[Codigo]],Plan_cuentas[],5,FALSE)," ")</f>
        <v>SANTIAGO DEL ESTERO</v>
      </c>
      <c r="I2252" s="43">
        <v>46143</v>
      </c>
      <c r="J2252" t="s">
        <v>969</v>
      </c>
      <c r="K2252" t="str">
        <f>IFERROR(+VLOOKUP(Movimientos_2026[[#This Row],[Codigo]],Plan_cuentas[],6,FALSE)," ")</f>
        <v>1 - VW - Volkswagen</v>
      </c>
      <c r="L2252" s="50">
        <v>3442080.5</v>
      </c>
      <c r="M2252" s="50"/>
      <c r="N2252" s="20">
        <f>+Movimientos_2026[[#This Row],[Ingresos]]-Movimientos_2026[[#This Row],[Egresos]]</f>
        <v>3442080.5</v>
      </c>
      <c r="O2252" s="20">
        <f>+O2251+Movimientos_2026[[#This Row],[Neto]]</f>
        <v>6424699076.644824</v>
      </c>
    </row>
    <row r="2253" spans="1:15" x14ac:dyDescent="0.25">
      <c r="A2253" s="13">
        <v>46211</v>
      </c>
      <c r="B2253" s="12">
        <f>MONTH(Movimientos_2026[[#This Row],[Fecha]])</f>
        <v>7</v>
      </c>
      <c r="C2253" s="12" t="str">
        <f>VLOOKUP((WEEKDAY(Movimientos_2026[[#This Row],[Fecha]],2)),'5. Setup'!$D$6:$E$12,2,FALSE)</f>
        <v>Mie</v>
      </c>
      <c r="D2253">
        <v>1044411</v>
      </c>
      <c r="E2253" t="str">
        <f>IFERROR(+VLOOKUP(Movimientos_2026[[#This Row],[Codigo]],Plan_cuentas[],2,FALSE)," ")</f>
        <v>INGRESOS</v>
      </c>
      <c r="F2253" t="str">
        <f>IFERROR(+VLOOKUP(Movimientos_2026[[#This Row],[Codigo]],Plan_cuentas[],3,FALSE)," ")</f>
        <v>Transferencia</v>
      </c>
      <c r="G2253" t="str">
        <f>IFERROR(+VLOOKUP(Movimientos_2026[[#This Row],[Codigo]],Plan_cuentas[],4,FALSE)," ")</f>
        <v>Rentas</v>
      </c>
      <c r="H2253" t="str">
        <f>IFERROR(+VLOOKUP(Movimientos_2026[[#This Row],[Codigo]],Plan_cuentas[],5,FALSE)," ")</f>
        <v>TIERRA DEL FUEGO</v>
      </c>
      <c r="I2253" s="43">
        <v>46143</v>
      </c>
      <c r="J2253" t="s">
        <v>969</v>
      </c>
      <c r="K2253" t="str">
        <f>IFERROR(+VLOOKUP(Movimientos_2026[[#This Row],[Codigo]],Plan_cuentas[],6,FALSE)," ")</f>
        <v>1 - VW - Volkswagen</v>
      </c>
      <c r="L2253" s="50">
        <v>4677747</v>
      </c>
      <c r="M2253" s="50"/>
      <c r="N2253" s="20">
        <f>+Movimientos_2026[[#This Row],[Ingresos]]-Movimientos_2026[[#This Row],[Egresos]]</f>
        <v>4677747</v>
      </c>
      <c r="O2253" s="20">
        <f>+O2252+Movimientos_2026[[#This Row],[Neto]]</f>
        <v>6429376823.644824</v>
      </c>
    </row>
    <row r="2254" spans="1:15" x14ac:dyDescent="0.25">
      <c r="A2254" s="13">
        <v>46211</v>
      </c>
      <c r="B2254" s="12">
        <f>MONTH(Movimientos_2026[[#This Row],[Fecha]])</f>
        <v>7</v>
      </c>
      <c r="C2254" s="12" t="str">
        <f>VLOOKUP((WEEKDAY(Movimientos_2026[[#This Row],[Fecha]],2)),'5. Setup'!$D$6:$E$12,2,FALSE)</f>
        <v>Mie</v>
      </c>
      <c r="D2254">
        <v>1044421</v>
      </c>
      <c r="E2254" t="str">
        <f>IFERROR(+VLOOKUP(Movimientos_2026[[#This Row],[Codigo]],Plan_cuentas[],2,FALSE)," ")</f>
        <v>INGRESOS</v>
      </c>
      <c r="F2254" t="str">
        <f>IFERROR(+VLOOKUP(Movimientos_2026[[#This Row],[Codigo]],Plan_cuentas[],3,FALSE)," ")</f>
        <v>Transferencia</v>
      </c>
      <c r="G2254" t="str">
        <f>IFERROR(+VLOOKUP(Movimientos_2026[[#This Row],[Codigo]],Plan_cuentas[],4,FALSE)," ")</f>
        <v>Rentas</v>
      </c>
      <c r="H2254" t="str">
        <f>IFERROR(+VLOOKUP(Movimientos_2026[[#This Row],[Codigo]],Plan_cuentas[],5,FALSE)," ")</f>
        <v>TUCUMAN</v>
      </c>
      <c r="I2254" s="43">
        <v>46143</v>
      </c>
      <c r="J2254" t="s">
        <v>969</v>
      </c>
      <c r="K2254" t="str">
        <f>IFERROR(+VLOOKUP(Movimientos_2026[[#This Row],[Codigo]],Plan_cuentas[],6,FALSE)," ")</f>
        <v>1 - VW - Volkswagen</v>
      </c>
      <c r="L2254" s="50">
        <v>10116380.87652</v>
      </c>
      <c r="M2254" s="50"/>
      <c r="N2254" s="20">
        <f>+Movimientos_2026[[#This Row],[Ingresos]]-Movimientos_2026[[#This Row],[Egresos]]</f>
        <v>10116380.87652</v>
      </c>
      <c r="O2254" s="20">
        <f>+O2253+Movimientos_2026[[#This Row],[Neto]]</f>
        <v>6439493204.5213442</v>
      </c>
    </row>
    <row r="2255" spans="1:15" x14ac:dyDescent="0.25">
      <c r="A2255" s="13">
        <v>46211</v>
      </c>
      <c r="B2255" s="12">
        <f>MONTH(Movimientos_2026[[#This Row],[Fecha]])</f>
        <v>7</v>
      </c>
      <c r="C2255" s="12" t="str">
        <f>VLOOKUP((WEEKDAY(Movimientos_2026[[#This Row],[Fecha]],2)),'5. Setup'!$D$6:$E$12,2,FALSE)</f>
        <v>Mie</v>
      </c>
      <c r="D2255">
        <v>1044351</v>
      </c>
      <c r="E2255" t="str">
        <f>IFERROR(+VLOOKUP(Movimientos_2026[[#This Row],[Codigo]],Plan_cuentas[],2,FALSE)," ")</f>
        <v>INGRESOS</v>
      </c>
      <c r="F2255" t="str">
        <f>IFERROR(+VLOOKUP(Movimientos_2026[[#This Row],[Codigo]],Plan_cuentas[],3,FALSE)," ")</f>
        <v>Transferencia</v>
      </c>
      <c r="G2255" t="str">
        <f>IFERROR(+VLOOKUP(Movimientos_2026[[#This Row],[Codigo]],Plan_cuentas[],4,FALSE)," ")</f>
        <v>Rentas</v>
      </c>
      <c r="H2255" t="str">
        <f>IFERROR(+VLOOKUP(Movimientos_2026[[#This Row],[Codigo]],Plan_cuentas[],5,FALSE)," ")</f>
        <v>SAN JUAN</v>
      </c>
      <c r="I2255" s="43">
        <v>46143</v>
      </c>
      <c r="J2255" t="s">
        <v>970</v>
      </c>
      <c r="K2255" t="str">
        <f>IFERROR(+VLOOKUP(Movimientos_2026[[#This Row],[Codigo]],Plan_cuentas[],6,FALSE)," ")</f>
        <v>1 - VW - Volkswagen</v>
      </c>
      <c r="L2255" s="50">
        <v>882126</v>
      </c>
      <c r="M2255" s="50"/>
      <c r="N2255" s="20">
        <f>+Movimientos_2026[[#This Row],[Ingresos]]-Movimientos_2026[[#This Row],[Egresos]]</f>
        <v>882126</v>
      </c>
      <c r="O2255" s="20">
        <f>+O2254+Movimientos_2026[[#This Row],[Neto]]</f>
        <v>6440375330.5213442</v>
      </c>
    </row>
    <row r="2256" spans="1:15" x14ac:dyDescent="0.25">
      <c r="A2256" s="13">
        <v>46216</v>
      </c>
      <c r="B2256" s="12">
        <f>MONTH(Movimientos_2026[[#This Row],[Fecha]])</f>
        <v>7</v>
      </c>
      <c r="C2256" s="12" t="str">
        <f>VLOOKUP((WEEKDAY(Movimientos_2026[[#This Row],[Fecha]],2)),'5. Setup'!$D$6:$E$12,2,FALSE)</f>
        <v>Lun</v>
      </c>
      <c r="D2256">
        <v>2014271</v>
      </c>
      <c r="E2256" t="str">
        <f>IFERROR(+VLOOKUP(Movimientos_2026[[#This Row],[Codigo]],Plan_cuentas[],2,FALSE)," ")</f>
        <v>EGRESOS</v>
      </c>
      <c r="F2256" t="str">
        <f>IFERROR(+VLOOKUP(Movimientos_2026[[#This Row],[Codigo]],Plan_cuentas[],3,FALSE)," ")</f>
        <v>BtoB</v>
      </c>
      <c r="G2256" t="str">
        <f>IFERROR(+VLOOKUP(Movimientos_2026[[#This Row],[Codigo]],Plan_cuentas[],4,FALSE)," ")</f>
        <v>Rentas</v>
      </c>
      <c r="H2256" t="str">
        <f>IFERROR(+VLOOKUP(Movimientos_2026[[#This Row],[Codigo]],Plan_cuentas[],5,FALSE)," ")</f>
        <v>LA RIOJA</v>
      </c>
      <c r="I2256" s="43">
        <v>46174</v>
      </c>
      <c r="J2256" t="s">
        <v>971</v>
      </c>
      <c r="K2256" t="str">
        <f>IFERROR(+VLOOKUP(Movimientos_2026[[#This Row],[Codigo]],Plan_cuentas[],6,FALSE)," ")</f>
        <v>1 - VW - Volkswagen</v>
      </c>
      <c r="L2256" s="50"/>
      <c r="M2256" s="50">
        <v>32274623.960000001</v>
      </c>
      <c r="N2256" s="20">
        <f>+Movimientos_2026[[#This Row],[Ingresos]]-Movimientos_2026[[#This Row],[Egresos]]</f>
        <v>-32274623.960000001</v>
      </c>
      <c r="O2256" s="20">
        <f>+O2255+Movimientos_2026[[#This Row],[Neto]]</f>
        <v>6408100706.5613441</v>
      </c>
    </row>
    <row r="2257" spans="1:15" x14ac:dyDescent="0.25">
      <c r="A2257" s="13">
        <v>46216</v>
      </c>
      <c r="B2257" s="12">
        <f>MONTH(Movimientos_2026[[#This Row],[Fecha]])</f>
        <v>7</v>
      </c>
      <c r="C2257" s="12" t="str">
        <f>VLOOKUP((WEEKDAY(Movimientos_2026[[#This Row],[Fecha]],2)),'5. Setup'!$D$6:$E$12,2,FALSE)</f>
        <v>Lun</v>
      </c>
      <c r="D2257">
        <v>2014421</v>
      </c>
      <c r="E2257" t="str">
        <f>IFERROR(+VLOOKUP(Movimientos_2026[[#This Row],[Codigo]],Plan_cuentas[],2,FALSE)," ")</f>
        <v>EGRESOS</v>
      </c>
      <c r="F2257" t="str">
        <f>IFERROR(+VLOOKUP(Movimientos_2026[[#This Row],[Codigo]],Plan_cuentas[],3,FALSE)," ")</f>
        <v>BtoB</v>
      </c>
      <c r="G2257" t="str">
        <f>IFERROR(+VLOOKUP(Movimientos_2026[[#This Row],[Codigo]],Plan_cuentas[],4,FALSE)," ")</f>
        <v>Rentas</v>
      </c>
      <c r="H2257" t="str">
        <f>IFERROR(+VLOOKUP(Movimientos_2026[[#This Row],[Codigo]],Plan_cuentas[],5,FALSE)," ")</f>
        <v>TUCUMAN</v>
      </c>
      <c r="I2257" s="43">
        <v>46174</v>
      </c>
      <c r="J2257" t="s">
        <v>972</v>
      </c>
      <c r="K2257" t="str">
        <f>IFERROR(+VLOOKUP(Movimientos_2026[[#This Row],[Codigo]],Plan_cuentas[],6,FALSE)," ")</f>
        <v>1 - VW - Volkswagen</v>
      </c>
      <c r="L2257" s="50"/>
      <c r="M2257" s="50">
        <v>37099636.25</v>
      </c>
      <c r="N2257" s="20">
        <f>+Movimientos_2026[[#This Row],[Ingresos]]-Movimientos_2026[[#This Row],[Egresos]]</f>
        <v>-37099636.25</v>
      </c>
      <c r="O2257" s="20">
        <f>+O2256+Movimientos_2026[[#This Row],[Neto]]</f>
        <v>6371001070.3113441</v>
      </c>
    </row>
    <row r="2258" spans="1:15" x14ac:dyDescent="0.25">
      <c r="A2258" s="13">
        <v>46216</v>
      </c>
      <c r="B2258" s="12">
        <f>MONTH(Movimientos_2026[[#This Row],[Fecha]])</f>
        <v>7</v>
      </c>
      <c r="C2258" s="12" t="str">
        <f>VLOOKUP((WEEKDAY(Movimientos_2026[[#This Row],[Fecha]],2)),'5. Setup'!$D$6:$E$12,2,FALSE)</f>
        <v>Lun</v>
      </c>
      <c r="D2258">
        <v>2014422</v>
      </c>
      <c r="E2258" t="str">
        <f>IFERROR(+VLOOKUP(Movimientos_2026[[#This Row],[Codigo]],Plan_cuentas[],2,FALSE)," ")</f>
        <v>EGRESOS</v>
      </c>
      <c r="F2258" t="str">
        <f>IFERROR(+VLOOKUP(Movimientos_2026[[#This Row],[Codigo]],Plan_cuentas[],3,FALSE)," ")</f>
        <v>BtoB</v>
      </c>
      <c r="G2258" t="str">
        <f>IFERROR(+VLOOKUP(Movimientos_2026[[#This Row],[Codigo]],Plan_cuentas[],4,FALSE)," ")</f>
        <v>Rentas</v>
      </c>
      <c r="H2258" t="str">
        <f>IFERROR(+VLOOKUP(Movimientos_2026[[#This Row],[Codigo]],Plan_cuentas[],5,FALSE)," ")</f>
        <v>TUCUMAN</v>
      </c>
      <c r="I2258" s="43">
        <v>46174</v>
      </c>
      <c r="J2258" t="s">
        <v>973</v>
      </c>
      <c r="K2258" t="str">
        <f>IFERROR(+VLOOKUP(Movimientos_2026[[#This Row],[Codigo]],Plan_cuentas[],6,FALSE)," ")</f>
        <v>2 - PR - Plan Rombo</v>
      </c>
      <c r="L2258" s="50"/>
      <c r="M2258" s="50">
        <v>56137958.659999996</v>
      </c>
      <c r="N2258" s="20">
        <f>+Movimientos_2026[[#This Row],[Ingresos]]-Movimientos_2026[[#This Row],[Egresos]]</f>
        <v>-56137958.659999996</v>
      </c>
      <c r="O2258" s="20">
        <f>+O2257+Movimientos_2026[[#This Row],[Neto]]</f>
        <v>6314863111.6513443</v>
      </c>
    </row>
    <row r="2259" spans="1:15" x14ac:dyDescent="0.25">
      <c r="A2259" s="13">
        <v>46216</v>
      </c>
      <c r="B2259" s="12">
        <f>MONTH(Movimientos_2026[[#This Row],[Fecha]])</f>
        <v>7</v>
      </c>
      <c r="C2259" s="12" t="str">
        <f>VLOOKUP((WEEKDAY(Movimientos_2026[[#This Row],[Fecha]],2)),'5. Setup'!$D$6:$E$12,2,FALSE)</f>
        <v>Lun</v>
      </c>
      <c r="D2259">
        <v>2014427</v>
      </c>
      <c r="E2259" t="str">
        <f>IFERROR(+VLOOKUP(Movimientos_2026[[#This Row],[Codigo]],Plan_cuentas[],2,FALSE)," ")</f>
        <v>EGRESOS</v>
      </c>
      <c r="F2259" t="str">
        <f>IFERROR(+VLOOKUP(Movimientos_2026[[#This Row],[Codigo]],Plan_cuentas[],3,FALSE)," ")</f>
        <v>BtoB</v>
      </c>
      <c r="G2259" t="str">
        <f>IFERROR(+VLOOKUP(Movimientos_2026[[#This Row],[Codigo]],Plan_cuentas[],4,FALSE)," ")</f>
        <v>Rentas</v>
      </c>
      <c r="H2259" t="str">
        <f>IFERROR(+VLOOKUP(Movimientos_2026[[#This Row],[Codigo]],Plan_cuentas[],5,FALSE)," ")</f>
        <v>TUCUMAN</v>
      </c>
      <c r="I2259" s="43">
        <v>46174</v>
      </c>
      <c r="J2259" t="s">
        <v>973</v>
      </c>
      <c r="K2259" t="str">
        <f>IFERROR(+VLOOKUP(Movimientos_2026[[#This Row],[Codigo]],Plan_cuentas[],6,FALSE)," ")</f>
        <v>7 - PRtr - Plan Rombo Transf.</v>
      </c>
      <c r="L2259" s="50"/>
      <c r="M2259" s="50">
        <v>80</v>
      </c>
      <c r="N2259" s="20">
        <f>+Movimientos_2026[[#This Row],[Ingresos]]-Movimientos_2026[[#This Row],[Egresos]]</f>
        <v>-80</v>
      </c>
      <c r="O2259" s="20">
        <f>+O2258+Movimientos_2026[[#This Row],[Neto]]</f>
        <v>6314863031.6513443</v>
      </c>
    </row>
    <row r="2260" spans="1:15" x14ac:dyDescent="0.25">
      <c r="A2260" s="13">
        <v>46216</v>
      </c>
      <c r="B2260" s="12">
        <f>MONTH(Movimientos_2026[[#This Row],[Fecha]])</f>
        <v>7</v>
      </c>
      <c r="C2260" s="12" t="str">
        <f>VLOOKUP((WEEKDAY(Movimientos_2026[[#This Row],[Fecha]],2)),'5. Setup'!$D$6:$E$12,2,FALSE)</f>
        <v>Lun</v>
      </c>
      <c r="D2260">
        <v>2014422</v>
      </c>
      <c r="E2260" t="str">
        <f>IFERROR(+VLOOKUP(Movimientos_2026[[#This Row],[Codigo]],Plan_cuentas[],2,FALSE)," ")</f>
        <v>EGRESOS</v>
      </c>
      <c r="F2260" t="str">
        <f>IFERROR(+VLOOKUP(Movimientos_2026[[#This Row],[Codigo]],Plan_cuentas[],3,FALSE)," ")</f>
        <v>BtoB</v>
      </c>
      <c r="G2260" t="str">
        <f>IFERROR(+VLOOKUP(Movimientos_2026[[#This Row],[Codigo]],Plan_cuentas[],4,FALSE)," ")</f>
        <v>Rentas</v>
      </c>
      <c r="H2260" t="str">
        <f>IFERROR(+VLOOKUP(Movimientos_2026[[#This Row],[Codigo]],Plan_cuentas[],5,FALSE)," ")</f>
        <v>TUCUMAN</v>
      </c>
      <c r="I2260" s="43">
        <v>46174</v>
      </c>
      <c r="J2260" t="s">
        <v>973</v>
      </c>
      <c r="K2260" t="str">
        <f>IFERROR(+VLOOKUP(Movimientos_2026[[#This Row],[Codigo]],Plan_cuentas[],6,FALSE)," ")</f>
        <v>2 - PR - Plan Rombo</v>
      </c>
      <c r="L2260" s="50"/>
      <c r="M2260" s="50">
        <v>4073568.95</v>
      </c>
      <c r="N2260" s="20">
        <f>+Movimientos_2026[[#This Row],[Ingresos]]-Movimientos_2026[[#This Row],[Egresos]]</f>
        <v>-4073568.95</v>
      </c>
      <c r="O2260" s="20">
        <f>+O2259+Movimientos_2026[[#This Row],[Neto]]</f>
        <v>6310789462.7013445</v>
      </c>
    </row>
    <row r="2261" spans="1:15" x14ac:dyDescent="0.25">
      <c r="A2261" s="13">
        <v>46216</v>
      </c>
      <c r="B2261" s="12">
        <f>MONTH(Movimientos_2026[[#This Row],[Fecha]])</f>
        <v>7</v>
      </c>
      <c r="C2261" s="12" t="str">
        <f>VLOOKUP((WEEKDAY(Movimientos_2026[[#This Row],[Fecha]],2)),'5. Setup'!$D$6:$E$12,2,FALSE)</f>
        <v>Lun</v>
      </c>
      <c r="D2261">
        <v>2034241</v>
      </c>
      <c r="E2261" t="str">
        <f>IFERROR(+VLOOKUP(Movimientos_2026[[#This Row],[Codigo]],Plan_cuentas[],2,FALSE)," ")</f>
        <v>EGRESOS</v>
      </c>
      <c r="F2261" t="str">
        <f>IFERROR(+VLOOKUP(Movimientos_2026[[#This Row],[Codigo]],Plan_cuentas[],3,FALSE)," ")</f>
        <v>Pagos Bco. Provincia</v>
      </c>
      <c r="G2261" t="str">
        <f>IFERROR(+VLOOKUP(Movimientos_2026[[#This Row],[Codigo]],Plan_cuentas[],4,FALSE)," ")</f>
        <v>Rentas</v>
      </c>
      <c r="H2261" t="str">
        <f>IFERROR(+VLOOKUP(Movimientos_2026[[#This Row],[Codigo]],Plan_cuentas[],5,FALSE)," ")</f>
        <v>FORMOSA</v>
      </c>
      <c r="I2261" s="43">
        <v>46174</v>
      </c>
      <c r="J2261" t="s">
        <v>974</v>
      </c>
      <c r="K2261" t="str">
        <f>IFERROR(+VLOOKUP(Movimientos_2026[[#This Row],[Codigo]],Plan_cuentas[],6,FALSE)," ")</f>
        <v>1 - VW - Volkswagen</v>
      </c>
      <c r="L2261" s="50"/>
      <c r="M2261" s="50">
        <v>5422799</v>
      </c>
      <c r="N2261" s="20">
        <f>+Movimientos_2026[[#This Row],[Ingresos]]-Movimientos_2026[[#This Row],[Egresos]]</f>
        <v>-5422799</v>
      </c>
      <c r="O2261" s="20">
        <f>+O2260+Movimientos_2026[[#This Row],[Neto]]</f>
        <v>6305366663.7013445</v>
      </c>
    </row>
    <row r="2262" spans="1:15" x14ac:dyDescent="0.25">
      <c r="A2262" s="13">
        <v>46216</v>
      </c>
      <c r="B2262" s="12">
        <f>MONTH(Movimientos_2026[[#This Row],[Fecha]])</f>
        <v>7</v>
      </c>
      <c r="C2262" s="12" t="str">
        <f>VLOOKUP((WEEKDAY(Movimientos_2026[[#This Row],[Fecha]],2)),'5. Setup'!$D$6:$E$12,2,FALSE)</f>
        <v>Lun</v>
      </c>
      <c r="D2262">
        <v>2054371</v>
      </c>
      <c r="E2262" t="str">
        <f>IFERROR(+VLOOKUP(Movimientos_2026[[#This Row],[Codigo]],Plan_cuentas[],2,FALSE)," ")</f>
        <v>EGRESOS</v>
      </c>
      <c r="F2262" t="str">
        <f>IFERROR(+VLOOKUP(Movimientos_2026[[#This Row],[Codigo]],Plan_cuentas[],3,FALSE)," ")</f>
        <v>VEP</v>
      </c>
      <c r="G2262" t="str">
        <f>IFERROR(+VLOOKUP(Movimientos_2026[[#This Row],[Codigo]],Plan_cuentas[],4,FALSE)," ")</f>
        <v>Rentas</v>
      </c>
      <c r="H2262" t="str">
        <f>IFERROR(+VLOOKUP(Movimientos_2026[[#This Row],[Codigo]],Plan_cuentas[],5,FALSE)," ")</f>
        <v>SANTA CRUZ</v>
      </c>
      <c r="I2262" s="43">
        <v>46174</v>
      </c>
      <c r="J2262" t="s">
        <v>975</v>
      </c>
      <c r="K2262" t="str">
        <f>IFERROR(+VLOOKUP(Movimientos_2026[[#This Row],[Codigo]],Plan_cuentas[],6,FALSE)," ")</f>
        <v>1 - VW - Volkswagen</v>
      </c>
      <c r="L2262" s="50"/>
      <c r="M2262" s="50">
        <v>17604992.300000001</v>
      </c>
      <c r="N2262" s="20">
        <f>+Movimientos_2026[[#This Row],[Ingresos]]-Movimientos_2026[[#This Row],[Egresos]]</f>
        <v>-17604992.300000001</v>
      </c>
      <c r="O2262" s="20">
        <f>+O2261+Movimientos_2026[[#This Row],[Neto]]</f>
        <v>6287761671.4013443</v>
      </c>
    </row>
    <row r="2263" spans="1:15" x14ac:dyDescent="0.25">
      <c r="A2263" s="13">
        <v>46216</v>
      </c>
      <c r="B2263" s="12">
        <f>MONTH(Movimientos_2026[[#This Row],[Fecha]])</f>
        <v>7</v>
      </c>
      <c r="C2263" s="12" t="str">
        <f>VLOOKUP((WEEKDAY(Movimientos_2026[[#This Row],[Fecha]],2)),'5. Setup'!$D$6:$E$12,2,FALSE)</f>
        <v>Lun</v>
      </c>
      <c r="D2263">
        <v>2054391</v>
      </c>
      <c r="E2263" t="str">
        <f>IFERROR(+VLOOKUP(Movimientos_2026[[#This Row],[Codigo]],Plan_cuentas[],2,FALSE)," ")</f>
        <v>EGRESOS</v>
      </c>
      <c r="F2263" t="str">
        <f>IFERROR(+VLOOKUP(Movimientos_2026[[#This Row],[Codigo]],Plan_cuentas[],3,FALSE)," ")</f>
        <v>VEP</v>
      </c>
      <c r="G2263" t="str">
        <f>IFERROR(+VLOOKUP(Movimientos_2026[[#This Row],[Codigo]],Plan_cuentas[],4,FALSE)," ")</f>
        <v>Rentas</v>
      </c>
      <c r="H2263" t="str">
        <f>IFERROR(+VLOOKUP(Movimientos_2026[[#This Row],[Codigo]],Plan_cuentas[],5,FALSE)," ")</f>
        <v>SANTA FE 2° Q</v>
      </c>
      <c r="I2263" s="43">
        <v>46174</v>
      </c>
      <c r="J2263" t="s">
        <v>976</v>
      </c>
      <c r="K2263" t="str">
        <f>IFERROR(+VLOOKUP(Movimientos_2026[[#This Row],[Codigo]],Plan_cuentas[],6,FALSE)," ")</f>
        <v>1 - VW - Volkswagen</v>
      </c>
      <c r="L2263" s="50"/>
      <c r="M2263" s="50">
        <v>20962590.25</v>
      </c>
      <c r="N2263" s="20">
        <f>+Movimientos_2026[[#This Row],[Ingresos]]-Movimientos_2026[[#This Row],[Egresos]]</f>
        <v>-20962590.25</v>
      </c>
      <c r="O2263" s="20">
        <f>+O2262+Movimientos_2026[[#This Row],[Neto]]</f>
        <v>6266799081.1513443</v>
      </c>
    </row>
    <row r="2264" spans="1:15" x14ac:dyDescent="0.25">
      <c r="A2264" s="13">
        <v>46216</v>
      </c>
      <c r="B2264" s="12">
        <f>MONTH(Movimientos_2026[[#This Row],[Fecha]])</f>
        <v>7</v>
      </c>
      <c r="C2264" s="12" t="str">
        <f>VLOOKUP((WEEKDAY(Movimientos_2026[[#This Row],[Fecha]],2)),'5. Setup'!$D$6:$E$12,2,FALSE)</f>
        <v>Lun</v>
      </c>
      <c r="D2264">
        <v>2014211</v>
      </c>
      <c r="E2264" t="str">
        <f>IFERROR(+VLOOKUP(Movimientos_2026[[#This Row],[Codigo]],Plan_cuentas[],2,FALSE)," ")</f>
        <v>EGRESOS</v>
      </c>
      <c r="F2264" t="str">
        <f>IFERROR(+VLOOKUP(Movimientos_2026[[#This Row],[Codigo]],Plan_cuentas[],3,FALSE)," ")</f>
        <v>BtoB</v>
      </c>
      <c r="G2264" t="str">
        <f>IFERROR(+VLOOKUP(Movimientos_2026[[#This Row],[Codigo]],Plan_cuentas[],4,FALSE)," ")</f>
        <v>Rentas</v>
      </c>
      <c r="H2264" t="str">
        <f>IFERROR(+VLOOKUP(Movimientos_2026[[#This Row],[Codigo]],Plan_cuentas[],5,FALSE)," ")</f>
        <v>CORRIENTES 2° Q</v>
      </c>
      <c r="I2264" s="43">
        <v>46174</v>
      </c>
      <c r="J2264" t="s">
        <v>977</v>
      </c>
      <c r="K2264" t="str">
        <f>IFERROR(+VLOOKUP(Movimientos_2026[[#This Row],[Codigo]],Plan_cuentas[],6,FALSE)," ")</f>
        <v>1 - VW - Volkswagen</v>
      </c>
      <c r="L2264" s="50"/>
      <c r="M2264" s="50">
        <v>10238279.5</v>
      </c>
      <c r="N2264" s="20">
        <f>+Movimientos_2026[[#This Row],[Ingresos]]-Movimientos_2026[[#This Row],[Egresos]]</f>
        <v>-10238279.5</v>
      </c>
      <c r="O2264" s="20">
        <f>+O2263+Movimientos_2026[[#This Row],[Neto]]</f>
        <v>6256560801.6513443</v>
      </c>
    </row>
    <row r="2265" spans="1:15" x14ac:dyDescent="0.25">
      <c r="A2265" s="13">
        <v>46216</v>
      </c>
      <c r="B2265" s="12">
        <f>MONTH(Movimientos_2026[[#This Row],[Fecha]])</f>
        <v>7</v>
      </c>
      <c r="C2265" s="12" t="str">
        <f>VLOOKUP((WEEKDAY(Movimientos_2026[[#This Row],[Fecha]],2)),'5. Setup'!$D$6:$E$12,2,FALSE)</f>
        <v>Lun</v>
      </c>
      <c r="D2265">
        <v>2054197</v>
      </c>
      <c r="E2265" t="str">
        <f>IFERROR(+VLOOKUP(Movimientos_2026[[#This Row],[Codigo]],Plan_cuentas[],2,FALSE)," ")</f>
        <v>EGRESOS</v>
      </c>
      <c r="F2265" t="str">
        <f>IFERROR(+VLOOKUP(Movimientos_2026[[#This Row],[Codigo]],Plan_cuentas[],3,FALSE)," ")</f>
        <v>VEP</v>
      </c>
      <c r="G2265" t="str">
        <f>IFERROR(+VLOOKUP(Movimientos_2026[[#This Row],[Codigo]],Plan_cuentas[],4,FALSE)," ")</f>
        <v>Rentas</v>
      </c>
      <c r="H2265" t="str">
        <f>IFERROR(+VLOOKUP(Movimientos_2026[[#This Row],[Codigo]],Plan_cuentas[],5,FALSE)," ")</f>
        <v>CORDOBA 2° Q</v>
      </c>
      <c r="I2265" s="43">
        <v>46174</v>
      </c>
      <c r="J2265" t="s">
        <v>978</v>
      </c>
      <c r="K2265" t="str">
        <f>IFERROR(+VLOOKUP(Movimientos_2026[[#This Row],[Codigo]],Plan_cuentas[],6,FALSE)," ")</f>
        <v>7 - PRtr - Plan Rombo Transf.</v>
      </c>
      <c r="L2265" s="50"/>
      <c r="M2265" s="50">
        <v>814080</v>
      </c>
      <c r="N2265" s="20">
        <f>+Movimientos_2026[[#This Row],[Ingresos]]-Movimientos_2026[[#This Row],[Egresos]]</f>
        <v>-814080</v>
      </c>
      <c r="O2265" s="20">
        <f>+O2264+Movimientos_2026[[#This Row],[Neto]]</f>
        <v>6255746721.6513443</v>
      </c>
    </row>
    <row r="2266" spans="1:15" x14ac:dyDescent="0.25">
      <c r="A2266" s="13">
        <v>46216</v>
      </c>
      <c r="B2266" s="12">
        <f>MONTH(Movimientos_2026[[#This Row],[Fecha]])</f>
        <v>7</v>
      </c>
      <c r="C2266" s="12" t="str">
        <f>VLOOKUP((WEEKDAY(Movimientos_2026[[#This Row],[Fecha]],2)),'5. Setup'!$D$6:$E$12,2,FALSE)</f>
        <v>Lun</v>
      </c>
      <c r="D2266">
        <v>2054281</v>
      </c>
      <c r="E2266" t="str">
        <f>IFERROR(+VLOOKUP(Movimientos_2026[[#This Row],[Codigo]],Plan_cuentas[],2,FALSE)," ")</f>
        <v>EGRESOS</v>
      </c>
      <c r="F2266" t="str">
        <f>IFERROR(+VLOOKUP(Movimientos_2026[[#This Row],[Codigo]],Plan_cuentas[],3,FALSE)," ")</f>
        <v>VEP</v>
      </c>
      <c r="G2266" t="str">
        <f>IFERROR(+VLOOKUP(Movimientos_2026[[#This Row],[Codigo]],Plan_cuentas[],4,FALSE)," ")</f>
        <v>Rentas</v>
      </c>
      <c r="H2266" t="str">
        <f>IFERROR(+VLOOKUP(Movimientos_2026[[#This Row],[Codigo]],Plan_cuentas[],5,FALSE)," ")</f>
        <v>MENDOZA</v>
      </c>
      <c r="I2266" s="43">
        <v>46174</v>
      </c>
      <c r="J2266" t="s">
        <v>979</v>
      </c>
      <c r="K2266" t="str">
        <f>IFERROR(+VLOOKUP(Movimientos_2026[[#This Row],[Codigo]],Plan_cuentas[],6,FALSE)," ")</f>
        <v>1 - VW - Volkswagen</v>
      </c>
      <c r="L2266" s="50"/>
      <c r="M2266" s="50">
        <v>27779324</v>
      </c>
      <c r="N2266" s="20">
        <f>+Movimientos_2026[[#This Row],[Ingresos]]-Movimientos_2026[[#This Row],[Egresos]]</f>
        <v>-27779324</v>
      </c>
      <c r="O2266" s="20">
        <f>+O2265+Movimientos_2026[[#This Row],[Neto]]</f>
        <v>6227967397.6513443</v>
      </c>
    </row>
    <row r="2267" spans="1:15" x14ac:dyDescent="0.25">
      <c r="A2267" s="13">
        <v>46216</v>
      </c>
      <c r="B2267" s="12">
        <f>MONTH(Movimientos_2026[[#This Row],[Fecha]])</f>
        <v>7</v>
      </c>
      <c r="C2267" s="12" t="str">
        <f>VLOOKUP((WEEKDAY(Movimientos_2026[[#This Row],[Fecha]],2)),'5. Setup'!$D$6:$E$12,2,FALSE)</f>
        <v>Lun</v>
      </c>
      <c r="D2267">
        <v>2044342</v>
      </c>
      <c r="E2267" t="str">
        <f>IFERROR(+VLOOKUP(Movimientos_2026[[#This Row],[Codigo]],Plan_cuentas[],2,FALSE)," ")</f>
        <v>EGRESOS</v>
      </c>
      <c r="F2267" t="str">
        <f>IFERROR(+VLOOKUP(Movimientos_2026[[#This Row],[Codigo]],Plan_cuentas[],3,FALSE)," ")</f>
        <v>Transferencia</v>
      </c>
      <c r="G2267" t="str">
        <f>IFERROR(+VLOOKUP(Movimientos_2026[[#This Row],[Codigo]],Plan_cuentas[],4,FALSE)," ")</f>
        <v>Rentas</v>
      </c>
      <c r="H2267" t="str">
        <f>IFERROR(+VLOOKUP(Movimientos_2026[[#This Row],[Codigo]],Plan_cuentas[],5,FALSE)," ")</f>
        <v>RIO NEGRO</v>
      </c>
      <c r="I2267" s="43">
        <v>46174</v>
      </c>
      <c r="J2267" t="s">
        <v>980</v>
      </c>
      <c r="K2267" t="str">
        <f>IFERROR(+VLOOKUP(Movimientos_2026[[#This Row],[Codigo]],Plan_cuentas[],6,FALSE)," ")</f>
        <v>2 - PR - Plan Rombo</v>
      </c>
      <c r="L2267" s="50"/>
      <c r="M2267" s="50">
        <v>9024893</v>
      </c>
      <c r="N2267" s="20">
        <f>+Movimientos_2026[[#This Row],[Ingresos]]-Movimientos_2026[[#This Row],[Egresos]]</f>
        <v>-9024893</v>
      </c>
      <c r="O2267" s="20">
        <f>+O2266+Movimientos_2026[[#This Row],[Neto]]</f>
        <v>6218942504.6513443</v>
      </c>
    </row>
    <row r="2268" spans="1:15" x14ac:dyDescent="0.25">
      <c r="A2268" s="13">
        <v>46217</v>
      </c>
      <c r="B2268" s="12">
        <f>MONTH(Movimientos_2026[[#This Row],[Fecha]])</f>
        <v>7</v>
      </c>
      <c r="C2268" s="12" t="str">
        <f>VLOOKUP((WEEKDAY(Movimientos_2026[[#This Row],[Fecha]],2)),'5. Setup'!$D$6:$E$12,2,FALSE)</f>
        <v>Mar</v>
      </c>
      <c r="D2268">
        <v>2044495</v>
      </c>
      <c r="E2268" t="str">
        <f>IFERROR(+VLOOKUP(Movimientos_2026[[#This Row],[Codigo]],Plan_cuentas[],2,FALSE)," ")</f>
        <v>EGRESOS</v>
      </c>
      <c r="F2268" t="str">
        <f>IFERROR(+VLOOKUP(Movimientos_2026[[#This Row],[Codigo]],Plan_cuentas[],3,FALSE)," ")</f>
        <v>Transferencia</v>
      </c>
      <c r="G2268" t="str">
        <f>IFERROR(+VLOOKUP(Movimientos_2026[[#This Row],[Codigo]],Plan_cuentas[],4,FALSE)," ")</f>
        <v>Rentas</v>
      </c>
      <c r="H2268" t="str">
        <f>IFERROR(+VLOOKUP(Movimientos_2026[[#This Row],[Codigo]],Plan_cuentas[],5,FALSE)," ")</f>
        <v>JUJUY</v>
      </c>
      <c r="I2268" s="43">
        <v>46174</v>
      </c>
      <c r="J2268" t="s">
        <v>981</v>
      </c>
      <c r="K2268" t="str">
        <f>IFERROR(+VLOOKUP(Movimientos_2026[[#This Row],[Codigo]],Plan_cuentas[],6,FALSE)," ")</f>
        <v>5 - YAM - Yamaha</v>
      </c>
      <c r="L2268" s="50"/>
      <c r="M2268" s="50">
        <v>1834195.44</v>
      </c>
      <c r="N2268" s="20">
        <f>+Movimientos_2026[[#This Row],[Ingresos]]-Movimientos_2026[[#This Row],[Egresos]]</f>
        <v>-1834195.44</v>
      </c>
      <c r="O2268" s="20">
        <f>+O2267+Movimientos_2026[[#This Row],[Neto]]</f>
        <v>6217108309.2113447</v>
      </c>
    </row>
    <row r="2269" spans="1:15" x14ac:dyDescent="0.25">
      <c r="A2269" s="13">
        <v>46217</v>
      </c>
      <c r="B2269" s="12">
        <f>MONTH(Movimientos_2026[[#This Row],[Fecha]])</f>
        <v>7</v>
      </c>
      <c r="C2269" s="12" t="str">
        <f>VLOOKUP((WEEKDAY(Movimientos_2026[[#This Row],[Fecha]],2)),'5. Setup'!$D$6:$E$12,2,FALSE)</f>
        <v>Mar</v>
      </c>
      <c r="D2269">
        <v>2014361</v>
      </c>
      <c r="E2269" t="str">
        <f>IFERROR(+VLOOKUP(Movimientos_2026[[#This Row],[Codigo]],Plan_cuentas[],2,FALSE)," ")</f>
        <v>EGRESOS</v>
      </c>
      <c r="F2269" t="str">
        <f>IFERROR(+VLOOKUP(Movimientos_2026[[#This Row],[Codigo]],Plan_cuentas[],3,FALSE)," ")</f>
        <v>BtoB</v>
      </c>
      <c r="G2269" t="str">
        <f>IFERROR(+VLOOKUP(Movimientos_2026[[#This Row],[Codigo]],Plan_cuentas[],4,FALSE)," ")</f>
        <v>Rentas</v>
      </c>
      <c r="H2269" t="str">
        <f>IFERROR(+VLOOKUP(Movimientos_2026[[#This Row],[Codigo]],Plan_cuentas[],5,FALSE)," ")</f>
        <v>SAN LUIS</v>
      </c>
      <c r="I2269" s="43">
        <v>46174</v>
      </c>
      <c r="J2269" t="s">
        <v>982</v>
      </c>
      <c r="K2269" t="str">
        <f>IFERROR(+VLOOKUP(Movimientos_2026[[#This Row],[Codigo]],Plan_cuentas[],6,FALSE)," ")</f>
        <v>1 - VW - Volkswagen</v>
      </c>
      <c r="L2269" s="50"/>
      <c r="M2269" s="50">
        <v>7182748.2000000002</v>
      </c>
      <c r="N2269" s="20">
        <f>+Movimientos_2026[[#This Row],[Ingresos]]-Movimientos_2026[[#This Row],[Egresos]]</f>
        <v>-7182748.2000000002</v>
      </c>
      <c r="O2269" s="20">
        <f>+O2268+Movimientos_2026[[#This Row],[Neto]]</f>
        <v>6209925561.0113449</v>
      </c>
    </row>
    <row r="2270" spans="1:15" x14ac:dyDescent="0.25">
      <c r="A2270" s="13">
        <v>46217</v>
      </c>
      <c r="B2270" s="12">
        <f>MONTH(Movimientos_2026[[#This Row],[Fecha]])</f>
        <v>7</v>
      </c>
      <c r="C2270" s="12" t="str">
        <f>VLOOKUP((WEEKDAY(Movimientos_2026[[#This Row],[Fecha]],2)),'5. Setup'!$D$6:$E$12,2,FALSE)</f>
        <v>Mar</v>
      </c>
      <c r="D2270">
        <v>2014362</v>
      </c>
      <c r="E2270" t="str">
        <f>IFERROR(+VLOOKUP(Movimientos_2026[[#This Row],[Codigo]],Plan_cuentas[],2,FALSE)," ")</f>
        <v>EGRESOS</v>
      </c>
      <c r="F2270" t="str">
        <f>IFERROR(+VLOOKUP(Movimientos_2026[[#This Row],[Codigo]],Plan_cuentas[],3,FALSE)," ")</f>
        <v>BtoB</v>
      </c>
      <c r="G2270" t="str">
        <f>IFERROR(+VLOOKUP(Movimientos_2026[[#This Row],[Codigo]],Plan_cuentas[],4,FALSE)," ")</f>
        <v>Rentas</v>
      </c>
      <c r="H2270" t="str">
        <f>IFERROR(+VLOOKUP(Movimientos_2026[[#This Row],[Codigo]],Plan_cuentas[],5,FALSE)," ")</f>
        <v>SAN LUIS</v>
      </c>
      <c r="I2270" s="43">
        <v>46174</v>
      </c>
      <c r="J2270" t="s">
        <v>983</v>
      </c>
      <c r="K2270" t="str">
        <f>IFERROR(+VLOOKUP(Movimientos_2026[[#This Row],[Codigo]],Plan_cuentas[],6,FALSE)," ")</f>
        <v>2 - PR - Plan Rombo</v>
      </c>
      <c r="L2270" s="50"/>
      <c r="M2270" s="50">
        <v>11816324.34</v>
      </c>
      <c r="N2270" s="20">
        <f>+Movimientos_2026[[#This Row],[Ingresos]]-Movimientos_2026[[#This Row],[Egresos]]</f>
        <v>-11816324.34</v>
      </c>
      <c r="O2270" s="20">
        <f>+O2269+Movimientos_2026[[#This Row],[Neto]]</f>
        <v>6198109236.6713448</v>
      </c>
    </row>
    <row r="2271" spans="1:15" x14ac:dyDescent="0.25">
      <c r="A2271" s="13">
        <v>46217</v>
      </c>
      <c r="B2271" s="12">
        <f>MONTH(Movimientos_2026[[#This Row],[Fecha]])</f>
        <v>7</v>
      </c>
      <c r="C2271" s="12" t="str">
        <f>VLOOKUP((WEEKDAY(Movimientos_2026[[#This Row],[Fecha]],2)),'5. Setup'!$D$6:$E$12,2,FALSE)</f>
        <v>Mar</v>
      </c>
      <c r="D2271">
        <v>2014363</v>
      </c>
      <c r="E2271" t="str">
        <f>IFERROR(+VLOOKUP(Movimientos_2026[[#This Row],[Codigo]],Plan_cuentas[],2,FALSE)," ")</f>
        <v>EGRESOS</v>
      </c>
      <c r="F2271" t="str">
        <f>IFERROR(+VLOOKUP(Movimientos_2026[[#This Row],[Codigo]],Plan_cuentas[],3,FALSE)," ")</f>
        <v>BtoB</v>
      </c>
      <c r="G2271" t="str">
        <f>IFERROR(+VLOOKUP(Movimientos_2026[[#This Row],[Codigo]],Plan_cuentas[],4,FALSE)," ")</f>
        <v>Rentas</v>
      </c>
      <c r="H2271" t="str">
        <f>IFERROR(+VLOOKUP(Movimientos_2026[[#This Row],[Codigo]],Plan_cuentas[],5,FALSE)," ")</f>
        <v>SAN LUIS</v>
      </c>
      <c r="I2271" s="43">
        <v>46174</v>
      </c>
      <c r="J2271" t="s">
        <v>984</v>
      </c>
      <c r="K2271" t="str">
        <f>IFERROR(+VLOOKUP(Movimientos_2026[[#This Row],[Codigo]],Plan_cuentas[],6,FALSE)," ")</f>
        <v>3 - GM - Chevrolet</v>
      </c>
      <c r="L2271" s="50"/>
      <c r="M2271" s="50">
        <v>16554071.68</v>
      </c>
      <c r="N2271" s="20">
        <f>+Movimientos_2026[[#This Row],[Ingresos]]-Movimientos_2026[[#This Row],[Egresos]]</f>
        <v>-16554071.68</v>
      </c>
      <c r="O2271" s="20">
        <f>+O2270+Movimientos_2026[[#This Row],[Neto]]</f>
        <v>6181555164.9913445</v>
      </c>
    </row>
    <row r="2272" spans="1:15" x14ac:dyDescent="0.25">
      <c r="A2272" s="13">
        <v>46217</v>
      </c>
      <c r="B2272" s="12">
        <f>MONTH(Movimientos_2026[[#This Row],[Fecha]])</f>
        <v>7</v>
      </c>
      <c r="C2272" s="12" t="str">
        <f>VLOOKUP((WEEKDAY(Movimientos_2026[[#This Row],[Fecha]],2)),'5. Setup'!$D$6:$E$12,2,FALSE)</f>
        <v>Mar</v>
      </c>
      <c r="D2272">
        <v>2014364</v>
      </c>
      <c r="E2272" t="str">
        <f>IFERROR(+VLOOKUP(Movimientos_2026[[#This Row],[Codigo]],Plan_cuentas[],2,FALSE)," ")</f>
        <v>EGRESOS</v>
      </c>
      <c r="F2272" t="str">
        <f>IFERROR(+VLOOKUP(Movimientos_2026[[#This Row],[Codigo]],Plan_cuentas[],3,FALSE)," ")</f>
        <v>BtoB</v>
      </c>
      <c r="G2272" t="str">
        <f>IFERROR(+VLOOKUP(Movimientos_2026[[#This Row],[Codigo]],Plan_cuentas[],4,FALSE)," ")</f>
        <v>Rentas</v>
      </c>
      <c r="H2272" t="str">
        <f>IFERROR(+VLOOKUP(Movimientos_2026[[#This Row],[Codigo]],Plan_cuentas[],5,FALSE)," ")</f>
        <v>SAN LUIS</v>
      </c>
      <c r="I2272" s="43">
        <v>46174</v>
      </c>
      <c r="J2272" t="s">
        <v>985</v>
      </c>
      <c r="K2272" t="str">
        <f>IFERROR(+VLOOKUP(Movimientos_2026[[#This Row],[Codigo]],Plan_cuentas[],6,FALSE)," ")</f>
        <v>4 - FCA - Fiat</v>
      </c>
      <c r="L2272" s="50"/>
      <c r="M2272" s="50">
        <v>37652031.079999998</v>
      </c>
      <c r="N2272" s="20">
        <f>+Movimientos_2026[[#This Row],[Ingresos]]-Movimientos_2026[[#This Row],[Egresos]]</f>
        <v>-37652031.079999998</v>
      </c>
      <c r="O2272" s="20">
        <f>+O2271+Movimientos_2026[[#This Row],[Neto]]</f>
        <v>6143903133.9113445</v>
      </c>
    </row>
    <row r="2273" spans="1:15" x14ac:dyDescent="0.25">
      <c r="A2273" s="13">
        <v>46217</v>
      </c>
      <c r="B2273" s="12">
        <f>MONTH(Movimientos_2026[[#This Row],[Fecha]])</f>
        <v>7</v>
      </c>
      <c r="C2273" s="12" t="str">
        <f>VLOOKUP((WEEKDAY(Movimientos_2026[[#This Row],[Fecha]],2)),'5. Setup'!$D$6:$E$12,2,FALSE)</f>
        <v>Mar</v>
      </c>
      <c r="D2273">
        <v>2044344</v>
      </c>
      <c r="E2273" t="str">
        <f>IFERROR(+VLOOKUP(Movimientos_2026[[#This Row],[Codigo]],Plan_cuentas[],2,FALSE)," ")</f>
        <v>EGRESOS</v>
      </c>
      <c r="F2273" t="str">
        <f>IFERROR(+VLOOKUP(Movimientos_2026[[#This Row],[Codigo]],Plan_cuentas[],3,FALSE)," ")</f>
        <v>Transferencia</v>
      </c>
      <c r="G2273" t="str">
        <f>IFERROR(+VLOOKUP(Movimientos_2026[[#This Row],[Codigo]],Plan_cuentas[],4,FALSE)," ")</f>
        <v>Rentas</v>
      </c>
      <c r="H2273" t="str">
        <f>IFERROR(+VLOOKUP(Movimientos_2026[[#This Row],[Codigo]],Plan_cuentas[],5,FALSE)," ")</f>
        <v>RIO NEGRO</v>
      </c>
      <c r="I2273" s="43">
        <v>46174</v>
      </c>
      <c r="J2273" t="s">
        <v>986</v>
      </c>
      <c r="K2273" t="str">
        <f>IFERROR(+VLOOKUP(Movimientos_2026[[#This Row],[Codigo]],Plan_cuentas[],6,FALSE)," ")</f>
        <v>4 - FCA - Fiat</v>
      </c>
      <c r="L2273" s="50"/>
      <c r="M2273" s="50">
        <v>383000</v>
      </c>
      <c r="N2273" s="20">
        <f>+Movimientos_2026[[#This Row],[Ingresos]]-Movimientos_2026[[#This Row],[Egresos]]</f>
        <v>-383000</v>
      </c>
      <c r="O2273" s="20">
        <f>+O2272+Movimientos_2026[[#This Row],[Neto]]</f>
        <v>6143520133.9113445</v>
      </c>
    </row>
    <row r="2274" spans="1:15" x14ac:dyDescent="0.25">
      <c r="A2274" s="13">
        <v>46217</v>
      </c>
      <c r="B2274" s="12">
        <f>MONTH(Movimientos_2026[[#This Row],[Fecha]])</f>
        <v>7</v>
      </c>
      <c r="C2274" s="12" t="str">
        <f>VLOOKUP((WEEKDAY(Movimientos_2026[[#This Row],[Fecha]],2)),'5. Setup'!$D$6:$E$12,2,FALSE)</f>
        <v>Mar</v>
      </c>
      <c r="D2274">
        <v>2014171</v>
      </c>
      <c r="E2274" t="str">
        <f>IFERROR(+VLOOKUP(Movimientos_2026[[#This Row],[Codigo]],Plan_cuentas[],2,FALSE)," ")</f>
        <v>EGRESOS</v>
      </c>
      <c r="F2274" t="str">
        <f>IFERROR(+VLOOKUP(Movimientos_2026[[#This Row],[Codigo]],Plan_cuentas[],3,FALSE)," ")</f>
        <v>BtoB</v>
      </c>
      <c r="G2274" t="str">
        <f>IFERROR(+VLOOKUP(Movimientos_2026[[#This Row],[Codigo]],Plan_cuentas[],4,FALSE)," ")</f>
        <v>Rentas</v>
      </c>
      <c r="H2274" t="str">
        <f>IFERROR(+VLOOKUP(Movimientos_2026[[#This Row],[Codigo]],Plan_cuentas[],5,FALSE)," ")</f>
        <v>CHUBUT</v>
      </c>
      <c r="I2274" s="43">
        <v>46174</v>
      </c>
      <c r="J2274" t="s">
        <v>987</v>
      </c>
      <c r="K2274" t="str">
        <f>IFERROR(+VLOOKUP(Movimientos_2026[[#This Row],[Codigo]],Plan_cuentas[],6,FALSE)," ")</f>
        <v>1 - VW - Volkswagen</v>
      </c>
      <c r="L2274" s="50"/>
      <c r="M2274" s="50">
        <v>14215417.310000001</v>
      </c>
      <c r="N2274" s="20">
        <f>+Movimientos_2026[[#This Row],[Ingresos]]-Movimientos_2026[[#This Row],[Egresos]]</f>
        <v>-14215417.310000001</v>
      </c>
      <c r="O2274" s="20">
        <f>+O2273+Movimientos_2026[[#This Row],[Neto]]</f>
        <v>6129304716.6013441</v>
      </c>
    </row>
    <row r="2275" spans="1:15" x14ac:dyDescent="0.25">
      <c r="A2275" s="13">
        <v>46217</v>
      </c>
      <c r="B2275" s="12">
        <f>MONTH(Movimientos_2026[[#This Row],[Fecha]])</f>
        <v>7</v>
      </c>
      <c r="C2275" s="12" t="str">
        <f>VLOOKUP((WEEKDAY(Movimientos_2026[[#This Row],[Fecha]],2)),'5. Setup'!$D$6:$E$12,2,FALSE)</f>
        <v>Mar</v>
      </c>
      <c r="D2275">
        <v>2014173</v>
      </c>
      <c r="E2275" t="str">
        <f>IFERROR(+VLOOKUP(Movimientos_2026[[#This Row],[Codigo]],Plan_cuentas[],2,FALSE)," ")</f>
        <v>EGRESOS</v>
      </c>
      <c r="F2275" t="str">
        <f>IFERROR(+VLOOKUP(Movimientos_2026[[#This Row],[Codigo]],Plan_cuentas[],3,FALSE)," ")</f>
        <v>BtoB</v>
      </c>
      <c r="G2275" t="str">
        <f>IFERROR(+VLOOKUP(Movimientos_2026[[#This Row],[Codigo]],Plan_cuentas[],4,FALSE)," ")</f>
        <v>Rentas</v>
      </c>
      <c r="H2275" t="str">
        <f>IFERROR(+VLOOKUP(Movimientos_2026[[#This Row],[Codigo]],Plan_cuentas[],5,FALSE)," ")</f>
        <v>CHUBUT</v>
      </c>
      <c r="I2275" s="43">
        <v>46174</v>
      </c>
      <c r="J2275" t="s">
        <v>988</v>
      </c>
      <c r="K2275" t="str">
        <f>IFERROR(+VLOOKUP(Movimientos_2026[[#This Row],[Codigo]],Plan_cuentas[],6,FALSE)," ")</f>
        <v>3 - GM - Chevrolet</v>
      </c>
      <c r="L2275" s="50"/>
      <c r="M2275" s="50">
        <v>9670607.5600000005</v>
      </c>
      <c r="N2275" s="20">
        <f>+Movimientos_2026[[#This Row],[Ingresos]]-Movimientos_2026[[#This Row],[Egresos]]</f>
        <v>-9670607.5600000005</v>
      </c>
      <c r="O2275" s="20">
        <f>+O2274+Movimientos_2026[[#This Row],[Neto]]</f>
        <v>6119634109.0413437</v>
      </c>
    </row>
    <row r="2276" spans="1:15" x14ac:dyDescent="0.25">
      <c r="A2276" s="13">
        <v>46217</v>
      </c>
      <c r="B2276" s="12">
        <f>MONTH(Movimientos_2026[[#This Row],[Fecha]])</f>
        <v>7</v>
      </c>
      <c r="C2276" s="12" t="str">
        <f>VLOOKUP((WEEKDAY(Movimientos_2026[[#This Row],[Fecha]],2)),'5. Setup'!$D$6:$E$12,2,FALSE)</f>
        <v>Mar</v>
      </c>
      <c r="D2276">
        <v>2014174</v>
      </c>
      <c r="E2276" t="str">
        <f>IFERROR(+VLOOKUP(Movimientos_2026[[#This Row],[Codigo]],Plan_cuentas[],2,FALSE)," ")</f>
        <v>EGRESOS</v>
      </c>
      <c r="F2276" t="str">
        <f>IFERROR(+VLOOKUP(Movimientos_2026[[#This Row],[Codigo]],Plan_cuentas[],3,FALSE)," ")</f>
        <v>BtoB</v>
      </c>
      <c r="G2276" t="str">
        <f>IFERROR(+VLOOKUP(Movimientos_2026[[#This Row],[Codigo]],Plan_cuentas[],4,FALSE)," ")</f>
        <v>Rentas</v>
      </c>
      <c r="H2276" t="str">
        <f>IFERROR(+VLOOKUP(Movimientos_2026[[#This Row],[Codigo]],Plan_cuentas[],5,FALSE)," ")</f>
        <v>CHUBUT</v>
      </c>
      <c r="I2276" s="43">
        <v>46174</v>
      </c>
      <c r="J2276" t="s">
        <v>989</v>
      </c>
      <c r="K2276" t="str">
        <f>IFERROR(+VLOOKUP(Movimientos_2026[[#This Row],[Codigo]],Plan_cuentas[],6,FALSE)," ")</f>
        <v>4 - FCA - Fiat</v>
      </c>
      <c r="L2276" s="50"/>
      <c r="M2276" s="50">
        <v>32446125</v>
      </c>
      <c r="N2276" s="20">
        <f>+Movimientos_2026[[#This Row],[Ingresos]]-Movimientos_2026[[#This Row],[Egresos]]</f>
        <v>-32446125</v>
      </c>
      <c r="O2276" s="20">
        <f>+O2275+Movimientos_2026[[#This Row],[Neto]]</f>
        <v>6087187984.0413437</v>
      </c>
    </row>
    <row r="2277" spans="1:15" x14ac:dyDescent="0.25">
      <c r="A2277" s="13">
        <v>46217</v>
      </c>
      <c r="B2277" s="12">
        <f>MONTH(Movimientos_2026[[#This Row],[Fecha]])</f>
        <v>7</v>
      </c>
      <c r="C2277" s="12" t="str">
        <f>VLOOKUP((WEEKDAY(Movimientos_2026[[#This Row],[Fecha]],2)),'5. Setup'!$D$6:$E$12,2,FALSE)</f>
        <v>Mar</v>
      </c>
      <c r="D2277">
        <v>2014161</v>
      </c>
      <c r="E2277" t="str">
        <f>IFERROR(+VLOOKUP(Movimientos_2026[[#This Row],[Codigo]],Plan_cuentas[],2,FALSE)," ")</f>
        <v>EGRESOS</v>
      </c>
      <c r="F2277" t="str">
        <f>IFERROR(+VLOOKUP(Movimientos_2026[[#This Row],[Codigo]],Plan_cuentas[],3,FALSE)," ")</f>
        <v>BtoB</v>
      </c>
      <c r="G2277" t="str">
        <f>IFERROR(+VLOOKUP(Movimientos_2026[[#This Row],[Codigo]],Plan_cuentas[],4,FALSE)," ")</f>
        <v>Rentas</v>
      </c>
      <c r="H2277" t="str">
        <f>IFERROR(+VLOOKUP(Movimientos_2026[[#This Row],[Codigo]],Plan_cuentas[],5,FALSE)," ")</f>
        <v>CHACO</v>
      </c>
      <c r="I2277" s="43">
        <v>46174</v>
      </c>
      <c r="J2277" t="s">
        <v>990</v>
      </c>
      <c r="K2277" t="str">
        <f>IFERROR(+VLOOKUP(Movimientos_2026[[#This Row],[Codigo]],Plan_cuentas[],6,FALSE)," ")</f>
        <v>1 - VW - Volkswagen</v>
      </c>
      <c r="L2277" s="50"/>
      <c r="M2277" s="50">
        <v>26117261</v>
      </c>
      <c r="N2277" s="20">
        <f>+Movimientos_2026[[#This Row],[Ingresos]]-Movimientos_2026[[#This Row],[Egresos]]</f>
        <v>-26117261</v>
      </c>
      <c r="O2277" s="20">
        <f>+O2276+Movimientos_2026[[#This Row],[Neto]]</f>
        <v>6061070723.0413437</v>
      </c>
    </row>
    <row r="2278" spans="1:15" x14ac:dyDescent="0.25">
      <c r="A2278" s="13">
        <v>46217</v>
      </c>
      <c r="B2278" s="12">
        <f>MONTH(Movimientos_2026[[#This Row],[Fecha]])</f>
        <v>7</v>
      </c>
      <c r="C2278" s="12" t="str">
        <f>VLOOKUP((WEEKDAY(Movimientos_2026[[#This Row],[Fecha]],2)),'5. Setup'!$D$6:$E$12,2,FALSE)</f>
        <v>Mar</v>
      </c>
      <c r="D2278">
        <v>2044401</v>
      </c>
      <c r="E2278" t="str">
        <f>IFERROR(+VLOOKUP(Movimientos_2026[[#This Row],[Codigo]],Plan_cuentas[],2,FALSE)," ")</f>
        <v>EGRESOS</v>
      </c>
      <c r="F2278" t="str">
        <f>IFERROR(+VLOOKUP(Movimientos_2026[[#This Row],[Codigo]],Plan_cuentas[],3,FALSE)," ")</f>
        <v>Transferencia</v>
      </c>
      <c r="G2278" t="str">
        <f>IFERROR(+VLOOKUP(Movimientos_2026[[#This Row],[Codigo]],Plan_cuentas[],4,FALSE)," ")</f>
        <v>Rentas</v>
      </c>
      <c r="H2278" t="str">
        <f>IFERROR(+VLOOKUP(Movimientos_2026[[#This Row],[Codigo]],Plan_cuentas[],5,FALSE)," ")</f>
        <v>SANTIAGO DEL ESTERO</v>
      </c>
      <c r="I2278" s="43">
        <v>46174</v>
      </c>
      <c r="J2278" t="s">
        <v>991</v>
      </c>
      <c r="K2278" t="str">
        <f>IFERROR(+VLOOKUP(Movimientos_2026[[#This Row],[Codigo]],Plan_cuentas[],6,FALSE)," ")</f>
        <v>1 - VW - Volkswagen</v>
      </c>
      <c r="L2278" s="50"/>
      <c r="M2278" s="50">
        <v>35406558.5</v>
      </c>
      <c r="N2278" s="20">
        <f>+Movimientos_2026[[#This Row],[Ingresos]]-Movimientos_2026[[#This Row],[Egresos]]</f>
        <v>-35406558.5</v>
      </c>
      <c r="O2278" s="20">
        <f>+O2277+Movimientos_2026[[#This Row],[Neto]]</f>
        <v>6025664164.5413437</v>
      </c>
    </row>
    <row r="2279" spans="1:15" x14ac:dyDescent="0.25">
      <c r="A2279" s="13">
        <v>46217</v>
      </c>
      <c r="B2279" s="12">
        <f>MONTH(Movimientos_2026[[#This Row],[Fecha]])</f>
        <v>7</v>
      </c>
      <c r="C2279" s="12" t="str">
        <f>VLOOKUP((WEEKDAY(Movimientos_2026[[#This Row],[Fecha]],2)),'5. Setup'!$D$6:$E$12,2,FALSE)</f>
        <v>Mar</v>
      </c>
      <c r="D2279">
        <v>2044402</v>
      </c>
      <c r="E2279" t="str">
        <f>IFERROR(+VLOOKUP(Movimientos_2026[[#This Row],[Codigo]],Plan_cuentas[],2,FALSE)," ")</f>
        <v>EGRESOS</v>
      </c>
      <c r="F2279" t="str">
        <f>IFERROR(+VLOOKUP(Movimientos_2026[[#This Row],[Codigo]],Plan_cuentas[],3,FALSE)," ")</f>
        <v>Transferencia</v>
      </c>
      <c r="G2279" t="str">
        <f>IFERROR(+VLOOKUP(Movimientos_2026[[#This Row],[Codigo]],Plan_cuentas[],4,FALSE)," ")</f>
        <v>Rentas</v>
      </c>
      <c r="H2279" t="str">
        <f>IFERROR(+VLOOKUP(Movimientos_2026[[#This Row],[Codigo]],Plan_cuentas[],5,FALSE)," ")</f>
        <v>SANTIAGO DEL ESTERO</v>
      </c>
      <c r="I2279" s="43">
        <v>46174</v>
      </c>
      <c r="J2279" t="s">
        <v>992</v>
      </c>
      <c r="K2279" t="str">
        <f>IFERROR(+VLOOKUP(Movimientos_2026[[#This Row],[Codigo]],Plan_cuentas[],6,FALSE)," ")</f>
        <v>2 - PR - Plan Rombo</v>
      </c>
      <c r="L2279" s="50"/>
      <c r="M2279" s="50">
        <v>18615477.43</v>
      </c>
      <c r="N2279" s="20">
        <f>+Movimientos_2026[[#This Row],[Ingresos]]-Movimientos_2026[[#This Row],[Egresos]]</f>
        <v>-18615477.43</v>
      </c>
      <c r="O2279" s="20">
        <f>+O2278+Movimientos_2026[[#This Row],[Neto]]</f>
        <v>6007048687.1113434</v>
      </c>
    </row>
    <row r="2280" spans="1:15" x14ac:dyDescent="0.25">
      <c r="A2280" s="13">
        <v>46217</v>
      </c>
      <c r="B2280" s="12">
        <f>MONTH(Movimientos_2026[[#This Row],[Fecha]])</f>
        <v>7</v>
      </c>
      <c r="C2280" s="12" t="str">
        <f>VLOOKUP((WEEKDAY(Movimientos_2026[[#This Row],[Fecha]],2)),'5. Setup'!$D$6:$E$12,2,FALSE)</f>
        <v>Mar</v>
      </c>
      <c r="D2280">
        <v>2044407</v>
      </c>
      <c r="E2280" t="str">
        <f>IFERROR(+VLOOKUP(Movimientos_2026[[#This Row],[Codigo]],Plan_cuentas[],2,FALSE)," ")</f>
        <v>EGRESOS</v>
      </c>
      <c r="F2280" t="str">
        <f>IFERROR(+VLOOKUP(Movimientos_2026[[#This Row],[Codigo]],Plan_cuentas[],3,FALSE)," ")</f>
        <v>Transferencia</v>
      </c>
      <c r="G2280" t="str">
        <f>IFERROR(+VLOOKUP(Movimientos_2026[[#This Row],[Codigo]],Plan_cuentas[],4,FALSE)," ")</f>
        <v>Rentas</v>
      </c>
      <c r="H2280" t="str">
        <f>IFERROR(+VLOOKUP(Movimientos_2026[[#This Row],[Codigo]],Plan_cuentas[],5,FALSE)," ")</f>
        <v>SANTIAGO DEL ESTERO</v>
      </c>
      <c r="I2280" s="43">
        <v>46174</v>
      </c>
      <c r="J2280" t="s">
        <v>992</v>
      </c>
      <c r="K2280" t="str">
        <f>IFERROR(+VLOOKUP(Movimientos_2026[[#This Row],[Codigo]],Plan_cuentas[],6,FALSE)," ")</f>
        <v>7 - PRtr - Plan Rombo Transf.</v>
      </c>
      <c r="L2280" s="50"/>
      <c r="M2280" s="50">
        <v>100</v>
      </c>
      <c r="N2280" s="20">
        <f>+Movimientos_2026[[#This Row],[Ingresos]]-Movimientos_2026[[#This Row],[Egresos]]</f>
        <v>-100</v>
      </c>
      <c r="O2280" s="20">
        <f>+O2279+Movimientos_2026[[#This Row],[Neto]]</f>
        <v>6007048587.1113434</v>
      </c>
    </row>
    <row r="2281" spans="1:15" x14ac:dyDescent="0.25">
      <c r="A2281" s="13">
        <v>46217</v>
      </c>
      <c r="B2281" s="12">
        <f>MONTH(Movimientos_2026[[#This Row],[Fecha]])</f>
        <v>7</v>
      </c>
      <c r="C2281" s="12" t="str">
        <f>VLOOKUP((WEEKDAY(Movimientos_2026[[#This Row],[Fecha]],2)),'5. Setup'!$D$6:$E$12,2,FALSE)</f>
        <v>Mar</v>
      </c>
      <c r="D2281">
        <v>2044403</v>
      </c>
      <c r="E2281" t="str">
        <f>IFERROR(+VLOOKUP(Movimientos_2026[[#This Row],[Codigo]],Plan_cuentas[],2,FALSE)," ")</f>
        <v>EGRESOS</v>
      </c>
      <c r="F2281" t="str">
        <f>IFERROR(+VLOOKUP(Movimientos_2026[[#This Row],[Codigo]],Plan_cuentas[],3,FALSE)," ")</f>
        <v>Transferencia</v>
      </c>
      <c r="G2281" t="str">
        <f>IFERROR(+VLOOKUP(Movimientos_2026[[#This Row],[Codigo]],Plan_cuentas[],4,FALSE)," ")</f>
        <v>Rentas</v>
      </c>
      <c r="H2281" t="str">
        <f>IFERROR(+VLOOKUP(Movimientos_2026[[#This Row],[Codigo]],Plan_cuentas[],5,FALSE)," ")</f>
        <v>SANTIAGO DEL ESTERO</v>
      </c>
      <c r="I2281" s="43">
        <v>46174</v>
      </c>
      <c r="J2281" t="s">
        <v>993</v>
      </c>
      <c r="K2281" t="str">
        <f>IFERROR(+VLOOKUP(Movimientos_2026[[#This Row],[Codigo]],Plan_cuentas[],6,FALSE)," ")</f>
        <v>3 - GM - Chevrolet</v>
      </c>
      <c r="L2281" s="50"/>
      <c r="M2281" s="50">
        <v>17041059.16</v>
      </c>
      <c r="N2281" s="20">
        <f>+Movimientos_2026[[#This Row],[Ingresos]]-Movimientos_2026[[#This Row],[Egresos]]</f>
        <v>-17041059.16</v>
      </c>
      <c r="O2281" s="20">
        <f>+O2280+Movimientos_2026[[#This Row],[Neto]]</f>
        <v>5990007527.9513435</v>
      </c>
    </row>
    <row r="2282" spans="1:15" x14ac:dyDescent="0.25">
      <c r="A2282" s="13">
        <v>46217</v>
      </c>
      <c r="B2282" s="12">
        <f>MONTH(Movimientos_2026[[#This Row],[Fecha]])</f>
        <v>7</v>
      </c>
      <c r="C2282" s="12" t="str">
        <f>VLOOKUP((WEEKDAY(Movimientos_2026[[#This Row],[Fecha]],2)),'5. Setup'!$D$6:$E$12,2,FALSE)</f>
        <v>Mar</v>
      </c>
      <c r="D2282">
        <v>2044404</v>
      </c>
      <c r="E2282" t="str">
        <f>IFERROR(+VLOOKUP(Movimientos_2026[[#This Row],[Codigo]],Plan_cuentas[],2,FALSE)," ")</f>
        <v>EGRESOS</v>
      </c>
      <c r="F2282" t="str">
        <f>IFERROR(+VLOOKUP(Movimientos_2026[[#This Row],[Codigo]],Plan_cuentas[],3,FALSE)," ")</f>
        <v>Transferencia</v>
      </c>
      <c r="G2282" t="str">
        <f>IFERROR(+VLOOKUP(Movimientos_2026[[#This Row],[Codigo]],Plan_cuentas[],4,FALSE)," ")</f>
        <v>Rentas</v>
      </c>
      <c r="H2282" t="str">
        <f>IFERROR(+VLOOKUP(Movimientos_2026[[#This Row],[Codigo]],Plan_cuentas[],5,FALSE)," ")</f>
        <v>SANTIAGO DEL ESTERO</v>
      </c>
      <c r="I2282" s="43">
        <v>46174</v>
      </c>
      <c r="J2282" t="s">
        <v>994</v>
      </c>
      <c r="K2282" t="str">
        <f>IFERROR(+VLOOKUP(Movimientos_2026[[#This Row],[Codigo]],Plan_cuentas[],6,FALSE)," ")</f>
        <v>4 - FCA - Fiat</v>
      </c>
      <c r="L2282" s="50"/>
      <c r="M2282" s="50">
        <v>33430612.739999998</v>
      </c>
      <c r="N2282" s="20">
        <f>+Movimientos_2026[[#This Row],[Ingresos]]-Movimientos_2026[[#This Row],[Egresos]]</f>
        <v>-33430612.739999998</v>
      </c>
      <c r="O2282" s="20">
        <f>+O2281+Movimientos_2026[[#This Row],[Neto]]</f>
        <v>5956576915.2113438</v>
      </c>
    </row>
    <row r="2283" spans="1:15" x14ac:dyDescent="0.25">
      <c r="A2283" s="13">
        <v>46217</v>
      </c>
      <c r="B2283" s="12">
        <f>MONTH(Movimientos_2026[[#This Row],[Fecha]])</f>
        <v>7</v>
      </c>
      <c r="C2283" s="12" t="str">
        <f>VLOOKUP((WEEKDAY(Movimientos_2026[[#This Row],[Fecha]],2)),'5. Setup'!$D$6:$E$12,2,FALSE)</f>
        <v>Mar</v>
      </c>
      <c r="D2283">
        <v>2044406</v>
      </c>
      <c r="E2283" t="str">
        <f>IFERROR(+VLOOKUP(Movimientos_2026[[#This Row],[Codigo]],Plan_cuentas[],2,FALSE)," ")</f>
        <v>EGRESOS</v>
      </c>
      <c r="F2283" t="str">
        <f>IFERROR(+VLOOKUP(Movimientos_2026[[#This Row],[Codigo]],Plan_cuentas[],3,FALSE)," ")</f>
        <v>Transferencia</v>
      </c>
      <c r="G2283" t="str">
        <f>IFERROR(+VLOOKUP(Movimientos_2026[[#This Row],[Codigo]],Plan_cuentas[],4,FALSE)," ")</f>
        <v>Rentas</v>
      </c>
      <c r="H2283" t="str">
        <f>IFERROR(+VLOOKUP(Movimientos_2026[[#This Row],[Codigo]],Plan_cuentas[],5,FALSE)," ")</f>
        <v>SANTIAGO DEL ESTERO</v>
      </c>
      <c r="I2283" s="43">
        <v>46174</v>
      </c>
      <c r="J2283" t="s">
        <v>994</v>
      </c>
      <c r="K2283" t="str">
        <f>IFERROR(+VLOOKUP(Movimientos_2026[[#This Row],[Codigo]],Plan_cuentas[],6,FALSE)," ")</f>
        <v>6 - FCAtr - Fiat Transf.</v>
      </c>
      <c r="L2283" s="50"/>
      <c r="M2283" s="50">
        <v>1007211.51</v>
      </c>
      <c r="N2283" s="20">
        <f>+Movimientos_2026[[#This Row],[Ingresos]]-Movimientos_2026[[#This Row],[Egresos]]</f>
        <v>-1007211.51</v>
      </c>
      <c r="O2283" s="20">
        <f>+O2282+Movimientos_2026[[#This Row],[Neto]]</f>
        <v>5955569703.7013435</v>
      </c>
    </row>
    <row r="2284" spans="1:15" x14ac:dyDescent="0.25">
      <c r="A2284" s="13">
        <v>46217</v>
      </c>
      <c r="B2284" s="12">
        <f>MONTH(Movimientos_2026[[#This Row],[Fecha]])</f>
        <v>7</v>
      </c>
      <c r="C2284" s="12" t="str">
        <f>VLOOKUP((WEEKDAY(Movimientos_2026[[#This Row],[Fecha]],2)),'5. Setup'!$D$6:$E$12,2,FALSE)</f>
        <v>Mar</v>
      </c>
      <c r="D2284">
        <v>2044404</v>
      </c>
      <c r="E2284" t="str">
        <f>IFERROR(+VLOOKUP(Movimientos_2026[[#This Row],[Codigo]],Plan_cuentas[],2,FALSE)," ")</f>
        <v>EGRESOS</v>
      </c>
      <c r="F2284" t="str">
        <f>IFERROR(+VLOOKUP(Movimientos_2026[[#This Row],[Codigo]],Plan_cuentas[],3,FALSE)," ")</f>
        <v>Transferencia</v>
      </c>
      <c r="G2284" t="str">
        <f>IFERROR(+VLOOKUP(Movimientos_2026[[#This Row],[Codigo]],Plan_cuentas[],4,FALSE)," ")</f>
        <v>Rentas</v>
      </c>
      <c r="H2284" t="str">
        <f>IFERROR(+VLOOKUP(Movimientos_2026[[#This Row],[Codigo]],Plan_cuentas[],5,FALSE)," ")</f>
        <v>SANTIAGO DEL ESTERO</v>
      </c>
      <c r="I2284" s="43">
        <v>46174</v>
      </c>
      <c r="J2284" t="s">
        <v>994</v>
      </c>
      <c r="K2284" t="str">
        <f>IFERROR(+VLOOKUP(Movimientos_2026[[#This Row],[Codigo]],Plan_cuentas[],6,FALSE)," ")</f>
        <v>4 - FCA - Fiat</v>
      </c>
      <c r="L2284" s="50"/>
      <c r="M2284" s="50">
        <v>11336071.890000001</v>
      </c>
      <c r="N2284" s="20">
        <f>+Movimientos_2026[[#This Row],[Ingresos]]-Movimientos_2026[[#This Row],[Egresos]]</f>
        <v>-11336071.890000001</v>
      </c>
      <c r="O2284" s="20">
        <f>+O2283+Movimientos_2026[[#This Row],[Neto]]</f>
        <v>5944233631.8113432</v>
      </c>
    </row>
    <row r="2285" spans="1:15" x14ac:dyDescent="0.25">
      <c r="A2285" s="13">
        <v>46217</v>
      </c>
      <c r="B2285" s="12">
        <f>MONTH(Movimientos_2026[[#This Row],[Fecha]])</f>
        <v>7</v>
      </c>
      <c r="C2285" s="12" t="str">
        <f>VLOOKUP((WEEKDAY(Movimientos_2026[[#This Row],[Fecha]],2)),'5. Setup'!$D$6:$E$12,2,FALSE)</f>
        <v>Mar</v>
      </c>
      <c r="D2285">
        <v>2023172</v>
      </c>
      <c r="E2285" t="str">
        <f>IFERROR(+VLOOKUP(Movimientos_2026[[#This Row],[Codigo]],Plan_cuentas[],2,FALSE)," ")</f>
        <v>EGRESOS</v>
      </c>
      <c r="F2285" t="str">
        <f>IFERROR(+VLOOKUP(Movimientos_2026[[#This Row],[Codigo]],Plan_cuentas[],3,FALSE)," ")</f>
        <v>DDJJ</v>
      </c>
      <c r="G2285" t="str">
        <f>IFERROR(+VLOOKUP(Movimientos_2026[[#This Row],[Codigo]],Plan_cuentas[],4,FALSE)," ")</f>
        <v>Registración</v>
      </c>
      <c r="H2285" t="str">
        <f>IFERROR(+VLOOKUP(Movimientos_2026[[#This Row],[Codigo]],Plan_cuentas[],5,FALSE)," ")</f>
        <v>CHUBUT</v>
      </c>
      <c r="I2285" s="43">
        <v>46174</v>
      </c>
      <c r="J2285" t="s">
        <v>995</v>
      </c>
      <c r="K2285" t="str">
        <f>IFERROR(+VLOOKUP(Movimientos_2026[[#This Row],[Codigo]],Plan_cuentas[],6,FALSE)," ")</f>
        <v>2 - PR - Plan Rombo</v>
      </c>
      <c r="L2285" s="50"/>
      <c r="M2285" s="50">
        <v>26536063.010000002</v>
      </c>
      <c r="N2285" s="20">
        <f>+Movimientos_2026[[#This Row],[Ingresos]]-Movimientos_2026[[#This Row],[Egresos]]</f>
        <v>-26536063.010000002</v>
      </c>
      <c r="O2285" s="20">
        <f>+O2284+Movimientos_2026[[#This Row],[Neto]]</f>
        <v>5917697568.801343</v>
      </c>
    </row>
    <row r="2286" spans="1:15" x14ac:dyDescent="0.25">
      <c r="A2286" s="13">
        <v>46217</v>
      </c>
      <c r="B2286" s="12">
        <f>MONTH(Movimientos_2026[[#This Row],[Fecha]])</f>
        <v>7</v>
      </c>
      <c r="C2286" s="12" t="str">
        <f>VLOOKUP((WEEKDAY(Movimientos_2026[[#This Row],[Fecha]],2)),'5. Setup'!$D$6:$E$12,2,FALSE)</f>
        <v>Mar</v>
      </c>
      <c r="D2286">
        <v>2023176</v>
      </c>
      <c r="E2286" t="str">
        <f>IFERROR(+VLOOKUP(Movimientos_2026[[#This Row],[Codigo]],Plan_cuentas[],2,FALSE)," ")</f>
        <v>EGRESOS</v>
      </c>
      <c r="F2286" t="str">
        <f>IFERROR(+VLOOKUP(Movimientos_2026[[#This Row],[Codigo]],Plan_cuentas[],3,FALSE)," ")</f>
        <v>DDJJ</v>
      </c>
      <c r="G2286" t="str">
        <f>IFERROR(+VLOOKUP(Movimientos_2026[[#This Row],[Codigo]],Plan_cuentas[],4,FALSE)," ")</f>
        <v>Registración</v>
      </c>
      <c r="H2286" t="str">
        <f>IFERROR(+VLOOKUP(Movimientos_2026[[#This Row],[Codigo]],Plan_cuentas[],5,FALSE)," ")</f>
        <v>CHUBUT</v>
      </c>
      <c r="I2286" s="43">
        <v>46174</v>
      </c>
      <c r="J2286" t="s">
        <v>995</v>
      </c>
      <c r="K2286" t="str">
        <f>IFERROR(+VLOOKUP(Movimientos_2026[[#This Row],[Codigo]],Plan_cuentas[],6,FALSE)," ")</f>
        <v>6 - FCAtr - Fiat Transf.</v>
      </c>
      <c r="L2286" s="50"/>
      <c r="M2286" s="50">
        <v>355689.24</v>
      </c>
      <c r="N2286" s="20">
        <f>+Movimientos_2026[[#This Row],[Ingresos]]-Movimientos_2026[[#This Row],[Egresos]]</f>
        <v>-355689.24</v>
      </c>
      <c r="O2286" s="20">
        <f>+O2285+Movimientos_2026[[#This Row],[Neto]]</f>
        <v>5917341879.5613432</v>
      </c>
    </row>
    <row r="2287" spans="1:15" x14ac:dyDescent="0.25">
      <c r="A2287" s="13">
        <v>46217</v>
      </c>
      <c r="B2287" s="12">
        <f>MONTH(Movimientos_2026[[#This Row],[Fecha]])</f>
        <v>7</v>
      </c>
      <c r="C2287" s="12" t="str">
        <f>VLOOKUP((WEEKDAY(Movimientos_2026[[#This Row],[Fecha]],2)),'5. Setup'!$D$6:$E$12,2,FALSE)</f>
        <v>Mar</v>
      </c>
      <c r="D2287">
        <v>2023177</v>
      </c>
      <c r="E2287" t="str">
        <f>IFERROR(+VLOOKUP(Movimientos_2026[[#This Row],[Codigo]],Plan_cuentas[],2,FALSE)," ")</f>
        <v>EGRESOS</v>
      </c>
      <c r="F2287" t="str">
        <f>IFERROR(+VLOOKUP(Movimientos_2026[[#This Row],[Codigo]],Plan_cuentas[],3,FALSE)," ")</f>
        <v>DDJJ</v>
      </c>
      <c r="G2287" t="str">
        <f>IFERROR(+VLOOKUP(Movimientos_2026[[#This Row],[Codigo]],Plan_cuentas[],4,FALSE)," ")</f>
        <v>Registración</v>
      </c>
      <c r="H2287" t="str">
        <f>IFERROR(+VLOOKUP(Movimientos_2026[[#This Row],[Codigo]],Plan_cuentas[],5,FALSE)," ")</f>
        <v>CHUBUT</v>
      </c>
      <c r="I2287" s="43">
        <v>46174</v>
      </c>
      <c r="J2287" t="s">
        <v>995</v>
      </c>
      <c r="K2287" t="str">
        <f>IFERROR(+VLOOKUP(Movimientos_2026[[#This Row],[Codigo]],Plan_cuentas[],6,FALSE)," ")</f>
        <v>7 - PRtr - Plan Rombo Transf.</v>
      </c>
      <c r="L2287" s="50"/>
      <c r="M2287" s="50">
        <v>120488.65</v>
      </c>
      <c r="N2287" s="20">
        <f>+Movimientos_2026[[#This Row],[Ingresos]]-Movimientos_2026[[#This Row],[Egresos]]</f>
        <v>-120488.65</v>
      </c>
      <c r="O2287" s="20">
        <f>+O2286+Movimientos_2026[[#This Row],[Neto]]</f>
        <v>5917221390.9113436</v>
      </c>
    </row>
    <row r="2288" spans="1:15" x14ac:dyDescent="0.25">
      <c r="A2288" s="13">
        <v>46217</v>
      </c>
      <c r="B2288" s="12">
        <f>MONTH(Movimientos_2026[[#This Row],[Fecha]])</f>
        <v>7</v>
      </c>
      <c r="C2288" s="12" t="str">
        <f>VLOOKUP((WEEKDAY(Movimientos_2026[[#This Row],[Fecha]],2)),'5. Setup'!$D$6:$E$12,2,FALSE)</f>
        <v>Mar</v>
      </c>
      <c r="D2288">
        <v>2023341</v>
      </c>
      <c r="E2288" t="str">
        <f>IFERROR(+VLOOKUP(Movimientos_2026[[#This Row],[Codigo]],Plan_cuentas[],2,FALSE)," ")</f>
        <v>EGRESOS</v>
      </c>
      <c r="F2288" t="str">
        <f>IFERROR(+VLOOKUP(Movimientos_2026[[#This Row],[Codigo]],Plan_cuentas[],3,FALSE)," ")</f>
        <v>DDJJ</v>
      </c>
      <c r="G2288" t="str">
        <f>IFERROR(+VLOOKUP(Movimientos_2026[[#This Row],[Codigo]],Plan_cuentas[],4,FALSE)," ")</f>
        <v>Registración</v>
      </c>
      <c r="H2288" t="str">
        <f>IFERROR(+VLOOKUP(Movimientos_2026[[#This Row],[Codigo]],Plan_cuentas[],5,FALSE)," ")</f>
        <v>RIO NEGRO</v>
      </c>
      <c r="I2288" s="43">
        <v>46174</v>
      </c>
      <c r="J2288" t="s">
        <v>996</v>
      </c>
      <c r="K2288" t="str">
        <f>IFERROR(+VLOOKUP(Movimientos_2026[[#This Row],[Codigo]],Plan_cuentas[],6,FALSE)," ")</f>
        <v>1 - VW - Volkswagen</v>
      </c>
      <c r="L2288" s="50"/>
      <c r="M2288" s="50">
        <v>30520741.079999998</v>
      </c>
      <c r="N2288" s="20">
        <f>+Movimientos_2026[[#This Row],[Ingresos]]-Movimientos_2026[[#This Row],[Egresos]]</f>
        <v>-30520741.079999998</v>
      </c>
      <c r="O2288" s="20">
        <f>+O2287+Movimientos_2026[[#This Row],[Neto]]</f>
        <v>5886700649.8313437</v>
      </c>
    </row>
    <row r="2289" spans="1:15" x14ac:dyDescent="0.25">
      <c r="A2289" s="13">
        <v>46217</v>
      </c>
      <c r="B2289" s="12">
        <f>MONTH(Movimientos_2026[[#This Row],[Fecha]])</f>
        <v>7</v>
      </c>
      <c r="C2289" s="12" t="str">
        <f>VLOOKUP((WEEKDAY(Movimientos_2026[[#This Row],[Fecha]],2)),'5. Setup'!$D$6:$E$12,2,FALSE)</f>
        <v>Mar</v>
      </c>
      <c r="D2289">
        <v>2014353</v>
      </c>
      <c r="E2289" t="str">
        <f>IFERROR(+VLOOKUP(Movimientos_2026[[#This Row],[Codigo]],Plan_cuentas[],2,FALSE)," ")</f>
        <v>EGRESOS</v>
      </c>
      <c r="F2289" t="str">
        <f>IFERROR(+VLOOKUP(Movimientos_2026[[#This Row],[Codigo]],Plan_cuentas[],3,FALSE)," ")</f>
        <v>BtoB</v>
      </c>
      <c r="G2289" t="str">
        <f>IFERROR(+VLOOKUP(Movimientos_2026[[#This Row],[Codigo]],Plan_cuentas[],4,FALSE)," ")</f>
        <v>Rentas</v>
      </c>
      <c r="H2289" t="str">
        <f>IFERROR(+VLOOKUP(Movimientos_2026[[#This Row],[Codigo]],Plan_cuentas[],5,FALSE)," ")</f>
        <v>SAN JUAN</v>
      </c>
      <c r="I2289" s="43">
        <v>46174</v>
      </c>
      <c r="J2289" t="s">
        <v>997</v>
      </c>
      <c r="K2289" t="str">
        <f>IFERROR(+VLOOKUP(Movimientos_2026[[#This Row],[Codigo]],Plan_cuentas[],6,FALSE)," ")</f>
        <v>3 - GM - Chevrolet</v>
      </c>
      <c r="L2289" s="50"/>
      <c r="M2289" s="50">
        <v>10258300.060000001</v>
      </c>
      <c r="N2289" s="20">
        <f>+Movimientos_2026[[#This Row],[Ingresos]]-Movimientos_2026[[#This Row],[Egresos]]</f>
        <v>-10258300.060000001</v>
      </c>
      <c r="O2289" s="20">
        <f>+O2288+Movimientos_2026[[#This Row],[Neto]]</f>
        <v>5876442349.7713432</v>
      </c>
    </row>
    <row r="2290" spans="1:15" x14ac:dyDescent="0.25">
      <c r="A2290" s="13">
        <v>46218</v>
      </c>
      <c r="B2290" s="12">
        <f>MONTH(Movimientos_2026[[#This Row],[Fecha]])</f>
        <v>7</v>
      </c>
      <c r="C2290" s="12" t="str">
        <f>VLOOKUP((WEEKDAY(Movimientos_2026[[#This Row],[Fecha]],2)),'5. Setup'!$D$6:$E$12,2,FALSE)</f>
        <v>Mie</v>
      </c>
      <c r="D2290">
        <v>2044366</v>
      </c>
      <c r="E2290" t="str">
        <f>IFERROR(+VLOOKUP(Movimientos_2026[[#This Row],[Codigo]],Plan_cuentas[],2,FALSE)," ")</f>
        <v>EGRESOS</v>
      </c>
      <c r="F2290" t="str">
        <f>IFERROR(+VLOOKUP(Movimientos_2026[[#This Row],[Codigo]],Plan_cuentas[],3,FALSE)," ")</f>
        <v>Transferencia</v>
      </c>
      <c r="G2290" t="str">
        <f>IFERROR(+VLOOKUP(Movimientos_2026[[#This Row],[Codigo]],Plan_cuentas[],4,FALSE)," ")</f>
        <v>Rentas</v>
      </c>
      <c r="H2290" t="str">
        <f>IFERROR(+VLOOKUP(Movimientos_2026[[#This Row],[Codigo]],Plan_cuentas[],5,FALSE)," ")</f>
        <v>SAN LUIS</v>
      </c>
      <c r="I2290" s="43">
        <v>46174</v>
      </c>
      <c r="J2290" t="s">
        <v>998</v>
      </c>
      <c r="K2290" t="str">
        <f>IFERROR(+VLOOKUP(Movimientos_2026[[#This Row],[Codigo]],Plan_cuentas[],6,FALSE)," ")</f>
        <v>6 - FCAtr - Fiat Transf.</v>
      </c>
      <c r="L2290" s="50"/>
      <c r="M2290" s="50">
        <v>392483.36</v>
      </c>
      <c r="N2290" s="20">
        <f>+Movimientos_2026[[#This Row],[Ingresos]]-Movimientos_2026[[#This Row],[Egresos]]</f>
        <v>-392483.36</v>
      </c>
      <c r="O2290" s="20">
        <f>+O2289+Movimientos_2026[[#This Row],[Neto]]</f>
        <v>5876049866.4113436</v>
      </c>
    </row>
    <row r="2291" spans="1:15" x14ac:dyDescent="0.25">
      <c r="A2291" s="13">
        <v>46218</v>
      </c>
      <c r="B2291" s="12">
        <f>MONTH(Movimientos_2026[[#This Row],[Fecha]])</f>
        <v>7</v>
      </c>
      <c r="C2291" s="12" t="str">
        <f>VLOOKUP((WEEKDAY(Movimientos_2026[[#This Row],[Fecha]],2)),'5. Setup'!$D$6:$E$12,2,FALSE)</f>
        <v>Mie</v>
      </c>
      <c r="D2291">
        <v>2014162</v>
      </c>
      <c r="E2291" t="str">
        <f>IFERROR(+VLOOKUP(Movimientos_2026[[#This Row],[Codigo]],Plan_cuentas[],2,FALSE)," ")</f>
        <v>EGRESOS</v>
      </c>
      <c r="F2291" t="str">
        <f>IFERROR(+VLOOKUP(Movimientos_2026[[#This Row],[Codigo]],Plan_cuentas[],3,FALSE)," ")</f>
        <v>BtoB</v>
      </c>
      <c r="G2291" t="str">
        <f>IFERROR(+VLOOKUP(Movimientos_2026[[#This Row],[Codigo]],Plan_cuentas[],4,FALSE)," ")</f>
        <v>Rentas</v>
      </c>
      <c r="H2291" t="str">
        <f>IFERROR(+VLOOKUP(Movimientos_2026[[#This Row],[Codigo]],Plan_cuentas[],5,FALSE)," ")</f>
        <v>CHACO</v>
      </c>
      <c r="I2291" s="43">
        <v>46174</v>
      </c>
      <c r="J2291" t="s">
        <v>999</v>
      </c>
      <c r="K2291" t="str">
        <f>IFERROR(+VLOOKUP(Movimientos_2026[[#This Row],[Codigo]],Plan_cuentas[],6,FALSE)," ")</f>
        <v>2 - PR - Plan Rombo</v>
      </c>
      <c r="L2291" s="50"/>
      <c r="M2291" s="50">
        <v>1818833.12</v>
      </c>
      <c r="N2291" s="20">
        <f>+Movimientos_2026[[#This Row],[Ingresos]]-Movimientos_2026[[#This Row],[Egresos]]</f>
        <v>-1818833.12</v>
      </c>
      <c r="O2291" s="20">
        <f>+O2290+Movimientos_2026[[#This Row],[Neto]]</f>
        <v>5874231033.2913437</v>
      </c>
    </row>
    <row r="2292" spans="1:15" x14ac:dyDescent="0.25">
      <c r="A2292" s="13">
        <v>46218</v>
      </c>
      <c r="B2292" s="12">
        <f>MONTH(Movimientos_2026[[#This Row],[Fecha]])</f>
        <v>7</v>
      </c>
      <c r="C2292" s="12" t="str">
        <f>VLOOKUP((WEEKDAY(Movimientos_2026[[#This Row],[Fecha]],2)),'5. Setup'!$D$6:$E$12,2,FALSE)</f>
        <v>Mie</v>
      </c>
      <c r="D2292">
        <v>2014167</v>
      </c>
      <c r="E2292" t="str">
        <f>IFERROR(+VLOOKUP(Movimientos_2026[[#This Row],[Codigo]],Plan_cuentas[],2,FALSE)," ")</f>
        <v>EGRESOS</v>
      </c>
      <c r="F2292" t="str">
        <f>IFERROR(+VLOOKUP(Movimientos_2026[[#This Row],[Codigo]],Plan_cuentas[],3,FALSE)," ")</f>
        <v>BtoB</v>
      </c>
      <c r="G2292" t="str">
        <f>IFERROR(+VLOOKUP(Movimientos_2026[[#This Row],[Codigo]],Plan_cuentas[],4,FALSE)," ")</f>
        <v>Rentas</v>
      </c>
      <c r="H2292" t="str">
        <f>IFERROR(+VLOOKUP(Movimientos_2026[[#This Row],[Codigo]],Plan_cuentas[],5,FALSE)," ")</f>
        <v>CHACO</v>
      </c>
      <c r="I2292" s="43">
        <v>46174</v>
      </c>
      <c r="J2292" t="s">
        <v>999</v>
      </c>
      <c r="K2292" t="str">
        <f>IFERROR(+VLOOKUP(Movimientos_2026[[#This Row],[Codigo]],Plan_cuentas[],6,FALSE)," ")</f>
        <v>7 - PRtr - Plan Rombo Transf.</v>
      </c>
      <c r="L2292" s="50"/>
      <c r="M2292" s="50">
        <v>1188643.7</v>
      </c>
      <c r="N2292" s="20">
        <f>+Movimientos_2026[[#This Row],[Ingresos]]-Movimientos_2026[[#This Row],[Egresos]]</f>
        <v>-1188643.7</v>
      </c>
      <c r="O2292" s="20">
        <f>+O2291+Movimientos_2026[[#This Row],[Neto]]</f>
        <v>5873042389.5913439</v>
      </c>
    </row>
    <row r="2293" spans="1:15" x14ac:dyDescent="0.25">
      <c r="A2293" s="13">
        <v>46218</v>
      </c>
      <c r="B2293" s="12">
        <f>MONTH(Movimientos_2026[[#This Row],[Fecha]])</f>
        <v>7</v>
      </c>
      <c r="C2293" s="12" t="str">
        <f>VLOOKUP((WEEKDAY(Movimientos_2026[[#This Row],[Fecha]],2)),'5. Setup'!$D$6:$E$12,2,FALSE)</f>
        <v>Mie</v>
      </c>
      <c r="D2293">
        <v>2014163</v>
      </c>
      <c r="E2293" t="str">
        <f>IFERROR(+VLOOKUP(Movimientos_2026[[#This Row],[Codigo]],Plan_cuentas[],2,FALSE)," ")</f>
        <v>EGRESOS</v>
      </c>
      <c r="F2293" t="str">
        <f>IFERROR(+VLOOKUP(Movimientos_2026[[#This Row],[Codigo]],Plan_cuentas[],3,FALSE)," ")</f>
        <v>BtoB</v>
      </c>
      <c r="G2293" t="str">
        <f>IFERROR(+VLOOKUP(Movimientos_2026[[#This Row],[Codigo]],Plan_cuentas[],4,FALSE)," ")</f>
        <v>Rentas</v>
      </c>
      <c r="H2293" t="str">
        <f>IFERROR(+VLOOKUP(Movimientos_2026[[#This Row],[Codigo]],Plan_cuentas[],5,FALSE)," ")</f>
        <v>CHACO</v>
      </c>
      <c r="I2293" s="43">
        <v>46174</v>
      </c>
      <c r="J2293" t="s">
        <v>1000</v>
      </c>
      <c r="K2293" t="str">
        <f>IFERROR(+VLOOKUP(Movimientos_2026[[#This Row],[Codigo]],Plan_cuentas[],6,FALSE)," ")</f>
        <v>3 - GM - Chevrolet</v>
      </c>
      <c r="L2293" s="50"/>
      <c r="M2293" s="50">
        <v>56722189.670000002</v>
      </c>
      <c r="N2293" s="20">
        <f>+Movimientos_2026[[#This Row],[Ingresos]]-Movimientos_2026[[#This Row],[Egresos]]</f>
        <v>-56722189.670000002</v>
      </c>
      <c r="O2293" s="20">
        <f>+O2292+Movimientos_2026[[#This Row],[Neto]]</f>
        <v>5816320199.9213438</v>
      </c>
    </row>
    <row r="2294" spans="1:15" x14ac:dyDescent="0.25">
      <c r="A2294" s="13">
        <v>46218</v>
      </c>
      <c r="B2294" s="12">
        <f>MONTH(Movimientos_2026[[#This Row],[Fecha]])</f>
        <v>7</v>
      </c>
      <c r="C2294" s="12" t="str">
        <f>VLOOKUP((WEEKDAY(Movimientos_2026[[#This Row],[Fecha]],2)),'5. Setup'!$D$6:$E$12,2,FALSE)</f>
        <v>Mie</v>
      </c>
      <c r="D2294">
        <v>2014165</v>
      </c>
      <c r="E2294" t="str">
        <f>IFERROR(+VLOOKUP(Movimientos_2026[[#This Row],[Codigo]],Plan_cuentas[],2,FALSE)," ")</f>
        <v>EGRESOS</v>
      </c>
      <c r="F2294" t="str">
        <f>IFERROR(+VLOOKUP(Movimientos_2026[[#This Row],[Codigo]],Plan_cuentas[],3,FALSE)," ")</f>
        <v>BtoB</v>
      </c>
      <c r="G2294" t="str">
        <f>IFERROR(+VLOOKUP(Movimientos_2026[[#This Row],[Codigo]],Plan_cuentas[],4,FALSE)," ")</f>
        <v>Rentas</v>
      </c>
      <c r="H2294" t="str">
        <f>IFERROR(+VLOOKUP(Movimientos_2026[[#This Row],[Codigo]],Plan_cuentas[],5,FALSE)," ")</f>
        <v>CHACO</v>
      </c>
      <c r="I2294" s="43">
        <v>46174</v>
      </c>
      <c r="J2294" t="s">
        <v>1001</v>
      </c>
      <c r="K2294" t="str">
        <f>IFERROR(+VLOOKUP(Movimientos_2026[[#This Row],[Codigo]],Plan_cuentas[],6,FALSE)," ")</f>
        <v>5 - YAM - Yamaha</v>
      </c>
      <c r="L2294" s="50"/>
      <c r="M2294" s="50">
        <v>1541858.22</v>
      </c>
      <c r="N2294" s="20">
        <f>+Movimientos_2026[[#This Row],[Ingresos]]-Movimientos_2026[[#This Row],[Egresos]]</f>
        <v>-1541858.22</v>
      </c>
      <c r="O2294" s="20">
        <f>+O2293+Movimientos_2026[[#This Row],[Neto]]</f>
        <v>5814778341.7013435</v>
      </c>
    </row>
    <row r="2295" spans="1:15" x14ac:dyDescent="0.25">
      <c r="A2295" s="13">
        <v>46218</v>
      </c>
      <c r="B2295" s="12">
        <f>MONTH(Movimientos_2026[[#This Row],[Fecha]])</f>
        <v>7</v>
      </c>
      <c r="C2295" s="12" t="str">
        <f>VLOOKUP((WEEKDAY(Movimientos_2026[[#This Row],[Fecha]],2)),'5. Setup'!$D$6:$E$12,2,FALSE)</f>
        <v>Mie</v>
      </c>
      <c r="D2295">
        <v>2044463</v>
      </c>
      <c r="E2295" t="str">
        <f>IFERROR(+VLOOKUP(Movimientos_2026[[#This Row],[Codigo]],Plan_cuentas[],2,FALSE)," ")</f>
        <v>EGRESOS</v>
      </c>
      <c r="F2295" t="str">
        <f>IFERROR(+VLOOKUP(Movimientos_2026[[#This Row],[Codigo]],Plan_cuentas[],3,FALSE)," ")</f>
        <v>Transferencia</v>
      </c>
      <c r="G2295" t="str">
        <f>IFERROR(+VLOOKUP(Movimientos_2026[[#This Row],[Codigo]],Plan_cuentas[],4,FALSE)," ")</f>
        <v>Rentas</v>
      </c>
      <c r="H2295" t="str">
        <f>IFERROR(+VLOOKUP(Movimientos_2026[[#This Row],[Codigo]],Plan_cuentas[],5,FALSE)," ")</f>
        <v>MISIONES</v>
      </c>
      <c r="I2295" s="43">
        <v>46204</v>
      </c>
      <c r="J2295" t="s">
        <v>1002</v>
      </c>
      <c r="K2295" t="str">
        <f>IFERROR(+VLOOKUP(Movimientos_2026[[#This Row],[Codigo]],Plan_cuentas[],6,FALSE)," ")</f>
        <v>3 - GM - Chevrolet</v>
      </c>
      <c r="L2295" s="50"/>
      <c r="M2295" s="50">
        <v>3708781.39</v>
      </c>
      <c r="N2295" s="20">
        <f>+Movimientos_2026[[#This Row],[Ingresos]]-Movimientos_2026[[#This Row],[Egresos]]</f>
        <v>-3708781.39</v>
      </c>
      <c r="O2295" s="20">
        <f>+O2294+Movimientos_2026[[#This Row],[Neto]]</f>
        <v>5811069560.3113432</v>
      </c>
    </row>
    <row r="2296" spans="1:15" x14ac:dyDescent="0.25">
      <c r="A2296" s="13">
        <v>46218</v>
      </c>
      <c r="B2296" s="12">
        <f>MONTH(Movimientos_2026[[#This Row],[Fecha]])</f>
        <v>7</v>
      </c>
      <c r="C2296" s="12" t="str">
        <f>VLOOKUP((WEEKDAY(Movimientos_2026[[#This Row],[Fecha]],2)),'5. Setup'!$D$6:$E$12,2,FALSE)</f>
        <v>Mie</v>
      </c>
      <c r="D2296">
        <v>2014263</v>
      </c>
      <c r="E2296" t="str">
        <f>IFERROR(+VLOOKUP(Movimientos_2026[[#This Row],[Codigo]],Plan_cuentas[],2,FALSE)," ")</f>
        <v>EGRESOS</v>
      </c>
      <c r="F2296" t="str">
        <f>IFERROR(+VLOOKUP(Movimientos_2026[[#This Row],[Codigo]],Plan_cuentas[],3,FALSE)," ")</f>
        <v>BtoB</v>
      </c>
      <c r="G2296" t="str">
        <f>IFERROR(+VLOOKUP(Movimientos_2026[[#This Row],[Codigo]],Plan_cuentas[],4,FALSE)," ")</f>
        <v>Rentas</v>
      </c>
      <c r="H2296" t="str">
        <f>IFERROR(+VLOOKUP(Movimientos_2026[[#This Row],[Codigo]],Plan_cuentas[],5,FALSE)," ")</f>
        <v>LA PAMPA</v>
      </c>
      <c r="I2296" s="43">
        <v>46174</v>
      </c>
      <c r="J2296" t="s">
        <v>1003</v>
      </c>
      <c r="K2296" t="str">
        <f>IFERROR(+VLOOKUP(Movimientos_2026[[#This Row],[Codigo]],Plan_cuentas[],6,FALSE)," ")</f>
        <v>3 - GM - Chevrolet</v>
      </c>
      <c r="L2296" s="50"/>
      <c r="M2296" s="50">
        <v>5745591.7300000004</v>
      </c>
      <c r="N2296" s="20">
        <f>+Movimientos_2026[[#This Row],[Ingresos]]-Movimientos_2026[[#This Row],[Egresos]]</f>
        <v>-5745591.7300000004</v>
      </c>
      <c r="O2296" s="20">
        <f>+O2295+Movimientos_2026[[#This Row],[Neto]]</f>
        <v>5805323968.5813437</v>
      </c>
    </row>
    <row r="2297" spans="1:15" x14ac:dyDescent="0.25">
      <c r="A2297" s="13">
        <v>46218</v>
      </c>
      <c r="B2297" s="12">
        <f>MONTH(Movimientos_2026[[#This Row],[Fecha]])</f>
        <v>7</v>
      </c>
      <c r="C2297" s="12" t="str">
        <f>VLOOKUP((WEEKDAY(Movimientos_2026[[#This Row],[Fecha]],2)),'5. Setup'!$D$6:$E$12,2,FALSE)</f>
        <v>Mie</v>
      </c>
      <c r="D2297">
        <v>2044126</v>
      </c>
      <c r="E2297" t="str">
        <f>IFERROR(+VLOOKUP(Movimientos_2026[[#This Row],[Codigo]],Plan_cuentas[],2,FALSE)," ")</f>
        <v>EGRESOS</v>
      </c>
      <c r="F2297" t="str">
        <f>IFERROR(+VLOOKUP(Movimientos_2026[[#This Row],[Codigo]],Plan_cuentas[],3,FALSE)," ")</f>
        <v>Transferencia</v>
      </c>
      <c r="G2297" t="str">
        <f>IFERROR(+VLOOKUP(Movimientos_2026[[#This Row],[Codigo]],Plan_cuentas[],4,FALSE)," ")</f>
        <v>Rentas</v>
      </c>
      <c r="H2297" t="str">
        <f>IFERROR(+VLOOKUP(Movimientos_2026[[#This Row],[Codigo]],Plan_cuentas[],5,FALSE)," ")</f>
        <v>BAPRO</v>
      </c>
      <c r="I2297" s="43">
        <v>46174</v>
      </c>
      <c r="J2297" t="s">
        <v>1004</v>
      </c>
      <c r="K2297" t="str">
        <f>IFERROR(+VLOOKUP(Movimientos_2026[[#This Row],[Codigo]],Plan_cuentas[],6,FALSE)," ")</f>
        <v>6 - FCAtr - Fiat Transf.</v>
      </c>
      <c r="L2297" s="50"/>
      <c r="M2297" s="50">
        <v>10111173.699999999</v>
      </c>
      <c r="N2297" s="20">
        <f>+Movimientos_2026[[#This Row],[Ingresos]]-Movimientos_2026[[#This Row],[Egresos]]</f>
        <v>-10111173.699999999</v>
      </c>
      <c r="O2297" s="20">
        <f>+O2296+Movimientos_2026[[#This Row],[Neto]]</f>
        <v>5795212794.8813438</v>
      </c>
    </row>
    <row r="2298" spans="1:15" x14ac:dyDescent="0.25">
      <c r="A2298" s="13">
        <v>46218</v>
      </c>
      <c r="B2298" s="12">
        <f>MONTH(Movimientos_2026[[#This Row],[Fecha]])</f>
        <v>7</v>
      </c>
      <c r="C2298" s="12" t="str">
        <f>VLOOKUP((WEEKDAY(Movimientos_2026[[#This Row],[Fecha]],2)),'5. Setup'!$D$6:$E$12,2,FALSE)</f>
        <v>Mie</v>
      </c>
      <c r="D2298">
        <v>2044126</v>
      </c>
      <c r="E2298" t="str">
        <f>IFERROR(+VLOOKUP(Movimientos_2026[[#This Row],[Codigo]],Plan_cuentas[],2,FALSE)," ")</f>
        <v>EGRESOS</v>
      </c>
      <c r="F2298" t="str">
        <f>IFERROR(+VLOOKUP(Movimientos_2026[[#This Row],[Codigo]],Plan_cuentas[],3,FALSE)," ")</f>
        <v>Transferencia</v>
      </c>
      <c r="G2298" t="str">
        <f>IFERROR(+VLOOKUP(Movimientos_2026[[#This Row],[Codigo]],Plan_cuentas[],4,FALSE)," ")</f>
        <v>Rentas</v>
      </c>
      <c r="H2298" t="str">
        <f>IFERROR(+VLOOKUP(Movimientos_2026[[#This Row],[Codigo]],Plan_cuentas[],5,FALSE)," ")</f>
        <v>BAPRO</v>
      </c>
      <c r="I2298" s="43">
        <v>46174</v>
      </c>
      <c r="J2298" t="s">
        <v>1005</v>
      </c>
      <c r="K2298" t="str">
        <f>IFERROR(+VLOOKUP(Movimientos_2026[[#This Row],[Codigo]],Plan_cuentas[],6,FALSE)," ")</f>
        <v>6 - FCAtr - Fiat Transf.</v>
      </c>
      <c r="L2298" s="50"/>
      <c r="M2298" s="50">
        <v>5916880</v>
      </c>
      <c r="N2298" s="20">
        <f>+Movimientos_2026[[#This Row],[Ingresos]]-Movimientos_2026[[#This Row],[Egresos]]</f>
        <v>-5916880</v>
      </c>
      <c r="O2298" s="20">
        <f>+O2297+Movimientos_2026[[#This Row],[Neto]]</f>
        <v>5789295914.8813438</v>
      </c>
    </row>
    <row r="2299" spans="1:15" x14ac:dyDescent="0.25">
      <c r="A2299" s="13">
        <v>46218</v>
      </c>
      <c r="B2299" s="12">
        <f>MONTH(Movimientos_2026[[#This Row],[Fecha]])</f>
        <v>7</v>
      </c>
      <c r="C2299" s="12" t="str">
        <f>VLOOKUP((WEEKDAY(Movimientos_2026[[#This Row],[Fecha]],2)),'5. Setup'!$D$6:$E$12,2,FALSE)</f>
        <v>Mie</v>
      </c>
      <c r="D2299">
        <v>2044126</v>
      </c>
      <c r="E2299" t="str">
        <f>IFERROR(+VLOOKUP(Movimientos_2026[[#This Row],[Codigo]],Plan_cuentas[],2,FALSE)," ")</f>
        <v>EGRESOS</v>
      </c>
      <c r="F2299" t="str">
        <f>IFERROR(+VLOOKUP(Movimientos_2026[[#This Row],[Codigo]],Plan_cuentas[],3,FALSE)," ")</f>
        <v>Transferencia</v>
      </c>
      <c r="G2299" t="str">
        <f>IFERROR(+VLOOKUP(Movimientos_2026[[#This Row],[Codigo]],Plan_cuentas[],4,FALSE)," ")</f>
        <v>Rentas</v>
      </c>
      <c r="H2299" t="str">
        <f>IFERROR(+VLOOKUP(Movimientos_2026[[#This Row],[Codigo]],Plan_cuentas[],5,FALSE)," ")</f>
        <v>BAPRO</v>
      </c>
      <c r="I2299" s="43">
        <v>46174</v>
      </c>
      <c r="J2299" t="s">
        <v>1006</v>
      </c>
      <c r="K2299" t="str">
        <f>IFERROR(+VLOOKUP(Movimientos_2026[[#This Row],[Codigo]],Plan_cuentas[],6,FALSE)," ")</f>
        <v>6 - FCAtr - Fiat Transf.</v>
      </c>
      <c r="L2299" s="50"/>
      <c r="M2299" s="50">
        <v>168110.1</v>
      </c>
      <c r="N2299" s="20">
        <f>+Movimientos_2026[[#This Row],[Ingresos]]-Movimientos_2026[[#This Row],[Egresos]]</f>
        <v>-168110.1</v>
      </c>
      <c r="O2299" s="20">
        <f>+O2298+Movimientos_2026[[#This Row],[Neto]]</f>
        <v>5789127804.7813435</v>
      </c>
    </row>
    <row r="2300" spans="1:15" x14ac:dyDescent="0.25">
      <c r="A2300" s="13">
        <v>46218</v>
      </c>
      <c r="B2300" s="12">
        <f>MONTH(Movimientos_2026[[#This Row],[Fecha]])</f>
        <v>7</v>
      </c>
      <c r="C2300" s="12" t="str">
        <f>VLOOKUP((WEEKDAY(Movimientos_2026[[#This Row],[Fecha]],2)),'5. Setup'!$D$6:$E$12,2,FALSE)</f>
        <v>Mie</v>
      </c>
      <c r="D2300">
        <v>2044126</v>
      </c>
      <c r="E2300" t="str">
        <f>IFERROR(+VLOOKUP(Movimientos_2026[[#This Row],[Codigo]],Plan_cuentas[],2,FALSE)," ")</f>
        <v>EGRESOS</v>
      </c>
      <c r="F2300" t="str">
        <f>IFERROR(+VLOOKUP(Movimientos_2026[[#This Row],[Codigo]],Plan_cuentas[],3,FALSE)," ")</f>
        <v>Transferencia</v>
      </c>
      <c r="G2300" t="str">
        <f>IFERROR(+VLOOKUP(Movimientos_2026[[#This Row],[Codigo]],Plan_cuentas[],4,FALSE)," ")</f>
        <v>Rentas</v>
      </c>
      <c r="H2300" t="str">
        <f>IFERROR(+VLOOKUP(Movimientos_2026[[#This Row],[Codigo]],Plan_cuentas[],5,FALSE)," ")</f>
        <v>BAPRO</v>
      </c>
      <c r="I2300" s="43">
        <v>46174</v>
      </c>
      <c r="J2300" t="s">
        <v>1007</v>
      </c>
      <c r="K2300" t="str">
        <f>IFERROR(+VLOOKUP(Movimientos_2026[[#This Row],[Codigo]],Plan_cuentas[],6,FALSE)," ")</f>
        <v>6 - FCAtr - Fiat Transf.</v>
      </c>
      <c r="L2300" s="50"/>
      <c r="M2300" s="50">
        <v>96757.7</v>
      </c>
      <c r="N2300" s="20">
        <f>+Movimientos_2026[[#This Row],[Ingresos]]-Movimientos_2026[[#This Row],[Egresos]]</f>
        <v>-96757.7</v>
      </c>
      <c r="O2300" s="20">
        <f>+O2299+Movimientos_2026[[#This Row],[Neto]]</f>
        <v>5789031047.0813437</v>
      </c>
    </row>
    <row r="2301" spans="1:15" x14ac:dyDescent="0.25">
      <c r="A2301" s="13">
        <v>46218</v>
      </c>
      <c r="B2301" s="12">
        <f>MONTH(Movimientos_2026[[#This Row],[Fecha]])</f>
        <v>7</v>
      </c>
      <c r="C2301" s="12" t="str">
        <f>VLOOKUP((WEEKDAY(Movimientos_2026[[#This Row],[Fecha]],2)),'5. Setup'!$D$6:$E$12,2,FALSE)</f>
        <v>Mie</v>
      </c>
      <c r="D2301">
        <v>1043151</v>
      </c>
      <c r="E2301" t="str">
        <f>IFERROR(+VLOOKUP(Movimientos_2026[[#This Row],[Codigo]],Plan_cuentas[],2,FALSE)," ")</f>
        <v>INGRESOS</v>
      </c>
      <c r="F2301" t="str">
        <f>IFERROR(+VLOOKUP(Movimientos_2026[[#This Row],[Codigo]],Plan_cuentas[],3,FALSE)," ")</f>
        <v>Transferencia</v>
      </c>
      <c r="G2301" t="str">
        <f>IFERROR(+VLOOKUP(Movimientos_2026[[#This Row],[Codigo]],Plan_cuentas[],4,FALSE)," ")</f>
        <v>Registración</v>
      </c>
      <c r="H2301" t="str">
        <f>IFERROR(+VLOOKUP(Movimientos_2026[[#This Row],[Codigo]],Plan_cuentas[],5,FALSE)," ")</f>
        <v>CABA</v>
      </c>
      <c r="I2301" s="43">
        <v>46174</v>
      </c>
      <c r="J2301" t="s">
        <v>1008</v>
      </c>
      <c r="K2301" t="str">
        <f>IFERROR(+VLOOKUP(Movimientos_2026[[#This Row],[Codigo]],Plan_cuentas[],6,FALSE)," ")</f>
        <v>1 - VW - Volkswagen</v>
      </c>
      <c r="L2301" s="50">
        <v>28291837.41</v>
      </c>
      <c r="M2301" s="50"/>
      <c r="N2301" s="20">
        <f>+Movimientos_2026[[#This Row],[Ingresos]]-Movimientos_2026[[#This Row],[Egresos]]</f>
        <v>28291837.41</v>
      </c>
      <c r="O2301" s="20">
        <f>+O2300+Movimientos_2026[[#This Row],[Neto]]</f>
        <v>5817322884.4913435</v>
      </c>
    </row>
    <row r="2302" spans="1:15" x14ac:dyDescent="0.25">
      <c r="A2302" s="13">
        <v>46218</v>
      </c>
      <c r="B2302" s="12">
        <f>MONTH(Movimientos_2026[[#This Row],[Fecha]])</f>
        <v>7</v>
      </c>
      <c r="C2302" s="12" t="str">
        <f>VLOOKUP((WEEKDAY(Movimientos_2026[[#This Row],[Fecha]],2)),'5. Setup'!$D$6:$E$12,2,FALSE)</f>
        <v>Mie</v>
      </c>
      <c r="D2302">
        <v>1043221</v>
      </c>
      <c r="E2302" t="str">
        <f>IFERROR(+VLOOKUP(Movimientos_2026[[#This Row],[Codigo]],Plan_cuentas[],2,FALSE)," ")</f>
        <v>INGRESOS</v>
      </c>
      <c r="F2302" t="str">
        <f>IFERROR(+VLOOKUP(Movimientos_2026[[#This Row],[Codigo]],Plan_cuentas[],3,FALSE)," ")</f>
        <v>Transferencia</v>
      </c>
      <c r="G2302" t="str">
        <f>IFERROR(+VLOOKUP(Movimientos_2026[[#This Row],[Codigo]],Plan_cuentas[],4,FALSE)," ")</f>
        <v>Registración</v>
      </c>
      <c r="H2302" t="str">
        <f>IFERROR(+VLOOKUP(Movimientos_2026[[#This Row],[Codigo]],Plan_cuentas[],5,FALSE)," ")</f>
        <v>ENTRE RIOS 1° Q</v>
      </c>
      <c r="I2302" s="43">
        <v>46174</v>
      </c>
      <c r="J2302" t="s">
        <v>1008</v>
      </c>
      <c r="K2302" t="str">
        <f>IFERROR(+VLOOKUP(Movimientos_2026[[#This Row],[Codigo]],Plan_cuentas[],6,FALSE)," ")</f>
        <v>1 - VW - Volkswagen</v>
      </c>
      <c r="L2302" s="50">
        <v>6816995.5</v>
      </c>
      <c r="M2302" s="50"/>
      <c r="N2302" s="20">
        <f>+Movimientos_2026[[#This Row],[Ingresos]]-Movimientos_2026[[#This Row],[Egresos]]</f>
        <v>6816995.5</v>
      </c>
      <c r="O2302" s="20">
        <f>+O2301+Movimientos_2026[[#This Row],[Neto]]</f>
        <v>5824139879.9913435</v>
      </c>
    </row>
    <row r="2303" spans="1:15" x14ac:dyDescent="0.25">
      <c r="A2303" s="13">
        <v>46218</v>
      </c>
      <c r="B2303" s="12">
        <f>MONTH(Movimientos_2026[[#This Row],[Fecha]])</f>
        <v>7</v>
      </c>
      <c r="C2303" s="12" t="str">
        <f>VLOOKUP((WEEKDAY(Movimientos_2026[[#This Row],[Fecha]],2)),'5. Setup'!$D$6:$E$12,2,FALSE)</f>
        <v>Mie</v>
      </c>
      <c r="D2303">
        <v>1043231</v>
      </c>
      <c r="E2303" t="str">
        <f>IFERROR(+VLOOKUP(Movimientos_2026[[#This Row],[Codigo]],Plan_cuentas[],2,FALSE)," ")</f>
        <v>INGRESOS</v>
      </c>
      <c r="F2303" t="str">
        <f>IFERROR(+VLOOKUP(Movimientos_2026[[#This Row],[Codigo]],Plan_cuentas[],3,FALSE)," ")</f>
        <v>Transferencia</v>
      </c>
      <c r="G2303" t="str">
        <f>IFERROR(+VLOOKUP(Movimientos_2026[[#This Row],[Codigo]],Plan_cuentas[],4,FALSE)," ")</f>
        <v>Registración</v>
      </c>
      <c r="H2303" t="str">
        <f>IFERROR(+VLOOKUP(Movimientos_2026[[#This Row],[Codigo]],Plan_cuentas[],5,FALSE)," ")</f>
        <v>ENTRE RIOS 2° Q</v>
      </c>
      <c r="I2303" s="43">
        <v>46174</v>
      </c>
      <c r="J2303" t="s">
        <v>1008</v>
      </c>
      <c r="K2303" t="str">
        <f>IFERROR(+VLOOKUP(Movimientos_2026[[#This Row],[Codigo]],Plan_cuentas[],6,FALSE)," ")</f>
        <v>1 - VW - Volkswagen</v>
      </c>
      <c r="L2303" s="50">
        <v>1803025.5</v>
      </c>
      <c r="M2303" s="50"/>
      <c r="N2303" s="20">
        <f>+Movimientos_2026[[#This Row],[Ingresos]]-Movimientos_2026[[#This Row],[Egresos]]</f>
        <v>1803025.5</v>
      </c>
      <c r="O2303" s="20">
        <f>+O2302+Movimientos_2026[[#This Row],[Neto]]</f>
        <v>5825942905.4913435</v>
      </c>
    </row>
    <row r="2304" spans="1:15" x14ac:dyDescent="0.25">
      <c r="A2304" s="13">
        <v>46218</v>
      </c>
      <c r="B2304" s="12">
        <f>MONTH(Movimientos_2026[[#This Row],[Fecha]])</f>
        <v>7</v>
      </c>
      <c r="C2304" s="12" t="str">
        <f>VLOOKUP((WEEKDAY(Movimientos_2026[[#This Row],[Fecha]],2)),'5. Setup'!$D$6:$E$12,2,FALSE)</f>
        <v>Mie</v>
      </c>
      <c r="D2304">
        <v>1043341</v>
      </c>
      <c r="E2304" t="str">
        <f>IFERROR(+VLOOKUP(Movimientos_2026[[#This Row],[Codigo]],Plan_cuentas[],2,FALSE)," ")</f>
        <v>INGRESOS</v>
      </c>
      <c r="F2304" t="str">
        <f>IFERROR(+VLOOKUP(Movimientos_2026[[#This Row],[Codigo]],Plan_cuentas[],3,FALSE)," ")</f>
        <v>Transferencia</v>
      </c>
      <c r="G2304" t="str">
        <f>IFERROR(+VLOOKUP(Movimientos_2026[[#This Row],[Codigo]],Plan_cuentas[],4,FALSE)," ")</f>
        <v>Registración</v>
      </c>
      <c r="H2304" t="str">
        <f>IFERROR(+VLOOKUP(Movimientos_2026[[#This Row],[Codigo]],Plan_cuentas[],5,FALSE)," ")</f>
        <v>RIO NEGRO</v>
      </c>
      <c r="I2304" s="43">
        <v>46174</v>
      </c>
      <c r="J2304" t="s">
        <v>1008</v>
      </c>
      <c r="K2304" t="str">
        <f>IFERROR(+VLOOKUP(Movimientos_2026[[#This Row],[Codigo]],Plan_cuentas[],6,FALSE)," ")</f>
        <v>1 - VW - Volkswagen</v>
      </c>
      <c r="L2304" s="50">
        <v>20080044.66</v>
      </c>
      <c r="M2304" s="50"/>
      <c r="N2304" s="20">
        <f>+Movimientos_2026[[#This Row],[Ingresos]]-Movimientos_2026[[#This Row],[Egresos]]</f>
        <v>20080044.66</v>
      </c>
      <c r="O2304" s="20">
        <f>+O2303+Movimientos_2026[[#This Row],[Neto]]</f>
        <v>5846022950.1513433</v>
      </c>
    </row>
    <row r="2305" spans="1:15" x14ac:dyDescent="0.25">
      <c r="A2305" s="13">
        <v>46218</v>
      </c>
      <c r="B2305" s="12">
        <f>MONTH(Movimientos_2026[[#This Row],[Fecha]])</f>
        <v>7</v>
      </c>
      <c r="C2305" s="12" t="str">
        <f>VLOOKUP((WEEKDAY(Movimientos_2026[[#This Row],[Fecha]],2)),'5. Setup'!$D$6:$E$12,2,FALSE)</f>
        <v>Mie</v>
      </c>
      <c r="D2305">
        <v>1044161</v>
      </c>
      <c r="E2305" t="str">
        <f>IFERROR(+VLOOKUP(Movimientos_2026[[#This Row],[Codigo]],Plan_cuentas[],2,FALSE)," ")</f>
        <v>INGRESOS</v>
      </c>
      <c r="F2305" t="str">
        <f>IFERROR(+VLOOKUP(Movimientos_2026[[#This Row],[Codigo]],Plan_cuentas[],3,FALSE)," ")</f>
        <v>Transferencia</v>
      </c>
      <c r="G2305" t="str">
        <f>IFERROR(+VLOOKUP(Movimientos_2026[[#This Row],[Codigo]],Plan_cuentas[],4,FALSE)," ")</f>
        <v>Rentas</v>
      </c>
      <c r="H2305" t="str">
        <f>IFERROR(+VLOOKUP(Movimientos_2026[[#This Row],[Codigo]],Plan_cuentas[],5,FALSE)," ")</f>
        <v>CHACO</v>
      </c>
      <c r="I2305" s="43">
        <v>46174</v>
      </c>
      <c r="J2305" t="s">
        <v>1008</v>
      </c>
      <c r="K2305" t="str">
        <f>IFERROR(+VLOOKUP(Movimientos_2026[[#This Row],[Codigo]],Plan_cuentas[],6,FALSE)," ")</f>
        <v>1 - VW - Volkswagen</v>
      </c>
      <c r="L2305" s="50">
        <v>14855884.5</v>
      </c>
      <c r="M2305" s="50"/>
      <c r="N2305" s="20">
        <f>+Movimientos_2026[[#This Row],[Ingresos]]-Movimientos_2026[[#This Row],[Egresos]]</f>
        <v>14855884.5</v>
      </c>
      <c r="O2305" s="20">
        <f>+O2304+Movimientos_2026[[#This Row],[Neto]]</f>
        <v>5860878834.6513433</v>
      </c>
    </row>
    <row r="2306" spans="1:15" x14ac:dyDescent="0.25">
      <c r="A2306" s="13">
        <v>46218</v>
      </c>
      <c r="B2306" s="12">
        <f>MONTH(Movimientos_2026[[#This Row],[Fecha]])</f>
        <v>7</v>
      </c>
      <c r="C2306" s="12" t="str">
        <f>VLOOKUP((WEEKDAY(Movimientos_2026[[#This Row],[Fecha]],2)),'5. Setup'!$D$6:$E$12,2,FALSE)</f>
        <v>Mie</v>
      </c>
      <c r="D2306">
        <v>1044171</v>
      </c>
      <c r="E2306" t="str">
        <f>IFERROR(+VLOOKUP(Movimientos_2026[[#This Row],[Codigo]],Plan_cuentas[],2,FALSE)," ")</f>
        <v>INGRESOS</v>
      </c>
      <c r="F2306" t="str">
        <f>IFERROR(+VLOOKUP(Movimientos_2026[[#This Row],[Codigo]],Plan_cuentas[],3,FALSE)," ")</f>
        <v>Transferencia</v>
      </c>
      <c r="G2306" t="str">
        <f>IFERROR(+VLOOKUP(Movimientos_2026[[#This Row],[Codigo]],Plan_cuentas[],4,FALSE)," ")</f>
        <v>Rentas</v>
      </c>
      <c r="H2306" t="str">
        <f>IFERROR(+VLOOKUP(Movimientos_2026[[#This Row],[Codigo]],Plan_cuentas[],5,FALSE)," ")</f>
        <v>CHUBUT</v>
      </c>
      <c r="I2306" s="43">
        <v>46174</v>
      </c>
      <c r="J2306" t="s">
        <v>1008</v>
      </c>
      <c r="K2306" t="str">
        <f>IFERROR(+VLOOKUP(Movimientos_2026[[#This Row],[Codigo]],Plan_cuentas[],6,FALSE)," ")</f>
        <v>1 - VW - Volkswagen</v>
      </c>
      <c r="L2306" s="50">
        <v>6959957.625</v>
      </c>
      <c r="M2306" s="50"/>
      <c r="N2306" s="20">
        <f>+Movimientos_2026[[#This Row],[Ingresos]]-Movimientos_2026[[#This Row],[Egresos]]</f>
        <v>6959957.625</v>
      </c>
      <c r="O2306" s="20">
        <f>+O2305+Movimientos_2026[[#This Row],[Neto]]</f>
        <v>5867838792.2763433</v>
      </c>
    </row>
    <row r="2307" spans="1:15" x14ac:dyDescent="0.25">
      <c r="A2307" s="13">
        <v>46218</v>
      </c>
      <c r="B2307" s="12">
        <f>MONTH(Movimientos_2026[[#This Row],[Fecha]])</f>
        <v>7</v>
      </c>
      <c r="C2307" s="12" t="str">
        <f>VLOOKUP((WEEKDAY(Movimientos_2026[[#This Row],[Fecha]],2)),'5. Setup'!$D$6:$E$12,2,FALSE)</f>
        <v>Mie</v>
      </c>
      <c r="D2307">
        <v>1044201</v>
      </c>
      <c r="E2307" t="str">
        <f>IFERROR(+VLOOKUP(Movimientos_2026[[#This Row],[Codigo]],Plan_cuentas[],2,FALSE)," ")</f>
        <v>INGRESOS</v>
      </c>
      <c r="F2307" t="str">
        <f>IFERROR(+VLOOKUP(Movimientos_2026[[#This Row],[Codigo]],Plan_cuentas[],3,FALSE)," ")</f>
        <v>Transferencia</v>
      </c>
      <c r="G2307" t="str">
        <f>IFERROR(+VLOOKUP(Movimientos_2026[[#This Row],[Codigo]],Plan_cuentas[],4,FALSE)," ")</f>
        <v>Rentas</v>
      </c>
      <c r="H2307" t="str">
        <f>IFERROR(+VLOOKUP(Movimientos_2026[[#This Row],[Codigo]],Plan_cuentas[],5,FALSE)," ")</f>
        <v>CORRIENTES 1° Q</v>
      </c>
      <c r="I2307" s="43">
        <v>46174</v>
      </c>
      <c r="J2307" t="s">
        <v>1008</v>
      </c>
      <c r="K2307" t="str">
        <f>IFERROR(+VLOOKUP(Movimientos_2026[[#This Row],[Codigo]],Plan_cuentas[],6,FALSE)," ")</f>
        <v>1 - VW - Volkswagen</v>
      </c>
      <c r="L2307" s="50">
        <v>2447683.5</v>
      </c>
      <c r="M2307" s="50"/>
      <c r="N2307" s="20">
        <f>+Movimientos_2026[[#This Row],[Ingresos]]-Movimientos_2026[[#This Row],[Egresos]]</f>
        <v>2447683.5</v>
      </c>
      <c r="O2307" s="20">
        <f>+O2306+Movimientos_2026[[#This Row],[Neto]]</f>
        <v>5870286475.7763433</v>
      </c>
    </row>
    <row r="2308" spans="1:15" x14ac:dyDescent="0.25">
      <c r="A2308" s="13">
        <v>46218</v>
      </c>
      <c r="B2308" s="12">
        <f>MONTH(Movimientos_2026[[#This Row],[Fecha]])</f>
        <v>7</v>
      </c>
      <c r="C2308" s="12" t="str">
        <f>VLOOKUP((WEEKDAY(Movimientos_2026[[#This Row],[Fecha]],2)),'5. Setup'!$D$6:$E$12,2,FALSE)</f>
        <v>Mie</v>
      </c>
      <c r="D2308">
        <v>1044211</v>
      </c>
      <c r="E2308" t="str">
        <f>IFERROR(+VLOOKUP(Movimientos_2026[[#This Row],[Codigo]],Plan_cuentas[],2,FALSE)," ")</f>
        <v>INGRESOS</v>
      </c>
      <c r="F2308" t="str">
        <f>IFERROR(+VLOOKUP(Movimientos_2026[[#This Row],[Codigo]],Plan_cuentas[],3,FALSE)," ")</f>
        <v>Transferencia</v>
      </c>
      <c r="G2308" t="str">
        <f>IFERROR(+VLOOKUP(Movimientos_2026[[#This Row],[Codigo]],Plan_cuentas[],4,FALSE)," ")</f>
        <v>Rentas</v>
      </c>
      <c r="H2308" t="str">
        <f>IFERROR(+VLOOKUP(Movimientos_2026[[#This Row],[Codigo]],Plan_cuentas[],5,FALSE)," ")</f>
        <v>CORRIENTES 2° Q</v>
      </c>
      <c r="I2308" s="43">
        <v>46174</v>
      </c>
      <c r="J2308" t="s">
        <v>1008</v>
      </c>
      <c r="K2308" t="str">
        <f>IFERROR(+VLOOKUP(Movimientos_2026[[#This Row],[Codigo]],Plan_cuentas[],6,FALSE)," ")</f>
        <v>1 - VW - Volkswagen</v>
      </c>
      <c r="L2308" s="50">
        <v>4986650.5</v>
      </c>
      <c r="M2308" s="50"/>
      <c r="N2308" s="20">
        <f>+Movimientos_2026[[#This Row],[Ingresos]]-Movimientos_2026[[#This Row],[Egresos]]</f>
        <v>4986650.5</v>
      </c>
      <c r="O2308" s="20">
        <f>+O2307+Movimientos_2026[[#This Row],[Neto]]</f>
        <v>5875273126.2763433</v>
      </c>
    </row>
    <row r="2309" spans="1:15" x14ac:dyDescent="0.25">
      <c r="A2309" s="13">
        <v>46218</v>
      </c>
      <c r="B2309" s="12">
        <f>MONTH(Movimientos_2026[[#This Row],[Fecha]])</f>
        <v>7</v>
      </c>
      <c r="C2309" s="12" t="str">
        <f>VLOOKUP((WEEKDAY(Movimientos_2026[[#This Row],[Fecha]],2)),'5. Setup'!$D$6:$E$12,2,FALSE)</f>
        <v>Mie</v>
      </c>
      <c r="D2309">
        <v>1044241</v>
      </c>
      <c r="E2309" t="str">
        <f>IFERROR(+VLOOKUP(Movimientos_2026[[#This Row],[Codigo]],Plan_cuentas[],2,FALSE)," ")</f>
        <v>INGRESOS</v>
      </c>
      <c r="F2309" t="str">
        <f>IFERROR(+VLOOKUP(Movimientos_2026[[#This Row],[Codigo]],Plan_cuentas[],3,FALSE)," ")</f>
        <v>Transferencia</v>
      </c>
      <c r="G2309" t="str">
        <f>IFERROR(+VLOOKUP(Movimientos_2026[[#This Row],[Codigo]],Plan_cuentas[],4,FALSE)," ")</f>
        <v>Rentas</v>
      </c>
      <c r="H2309" t="str">
        <f>IFERROR(+VLOOKUP(Movimientos_2026[[#This Row],[Codigo]],Plan_cuentas[],5,FALSE)," ")</f>
        <v>FORMOSA</v>
      </c>
      <c r="I2309" s="43">
        <v>46174</v>
      </c>
      <c r="J2309" t="s">
        <v>1008</v>
      </c>
      <c r="K2309" t="str">
        <f>IFERROR(+VLOOKUP(Movimientos_2026[[#This Row],[Codigo]],Plan_cuentas[],6,FALSE)," ")</f>
        <v>1 - VW - Volkswagen</v>
      </c>
      <c r="L2309" s="50">
        <v>3666466.5</v>
      </c>
      <c r="M2309" s="50"/>
      <c r="N2309" s="20">
        <f>+Movimientos_2026[[#This Row],[Ingresos]]-Movimientos_2026[[#This Row],[Egresos]]</f>
        <v>3666466.5</v>
      </c>
      <c r="O2309" s="20">
        <f>+O2308+Movimientos_2026[[#This Row],[Neto]]</f>
        <v>5878939592.7763433</v>
      </c>
    </row>
    <row r="2310" spans="1:15" x14ac:dyDescent="0.25">
      <c r="A2310" s="13">
        <v>46218</v>
      </c>
      <c r="B2310" s="12">
        <f>MONTH(Movimientos_2026[[#This Row],[Fecha]])</f>
        <v>7</v>
      </c>
      <c r="C2310" s="12" t="str">
        <f>VLOOKUP((WEEKDAY(Movimientos_2026[[#This Row],[Fecha]],2)),'5. Setup'!$D$6:$E$12,2,FALSE)</f>
        <v>Mie</v>
      </c>
      <c r="D2310">
        <v>1044261</v>
      </c>
      <c r="E2310" t="str">
        <f>IFERROR(+VLOOKUP(Movimientos_2026[[#This Row],[Codigo]],Plan_cuentas[],2,FALSE)," ")</f>
        <v>INGRESOS</v>
      </c>
      <c r="F2310" t="str">
        <f>IFERROR(+VLOOKUP(Movimientos_2026[[#This Row],[Codigo]],Plan_cuentas[],3,FALSE)," ")</f>
        <v>Transferencia</v>
      </c>
      <c r="G2310" t="str">
        <f>IFERROR(+VLOOKUP(Movimientos_2026[[#This Row],[Codigo]],Plan_cuentas[],4,FALSE)," ")</f>
        <v>Rentas</v>
      </c>
      <c r="H2310" t="str">
        <f>IFERROR(+VLOOKUP(Movimientos_2026[[#This Row],[Codigo]],Plan_cuentas[],5,FALSE)," ")</f>
        <v>LA PAMPA</v>
      </c>
      <c r="I2310" s="43">
        <v>46174</v>
      </c>
      <c r="J2310" t="s">
        <v>1008</v>
      </c>
      <c r="K2310" t="str">
        <f>IFERROR(+VLOOKUP(Movimientos_2026[[#This Row],[Codigo]],Plan_cuentas[],6,FALSE)," ")</f>
        <v>1 - VW - Volkswagen</v>
      </c>
      <c r="L2310" s="50">
        <v>1429568</v>
      </c>
      <c r="M2310" s="50"/>
      <c r="N2310" s="20">
        <f>+Movimientos_2026[[#This Row],[Ingresos]]-Movimientos_2026[[#This Row],[Egresos]]</f>
        <v>1429568</v>
      </c>
      <c r="O2310" s="20">
        <f>+O2309+Movimientos_2026[[#This Row],[Neto]]</f>
        <v>5880369160.7763433</v>
      </c>
    </row>
    <row r="2311" spans="1:15" x14ac:dyDescent="0.25">
      <c r="A2311" s="13">
        <v>46218</v>
      </c>
      <c r="B2311" s="12">
        <f>MONTH(Movimientos_2026[[#This Row],[Fecha]])</f>
        <v>7</v>
      </c>
      <c r="C2311" s="12" t="str">
        <f>VLOOKUP((WEEKDAY(Movimientos_2026[[#This Row],[Fecha]],2)),'5. Setup'!$D$6:$E$12,2,FALSE)</f>
        <v>Mie</v>
      </c>
      <c r="D2311">
        <v>1044271</v>
      </c>
      <c r="E2311" t="str">
        <f>IFERROR(+VLOOKUP(Movimientos_2026[[#This Row],[Codigo]],Plan_cuentas[],2,FALSE)," ")</f>
        <v>INGRESOS</v>
      </c>
      <c r="F2311" t="str">
        <f>IFERROR(+VLOOKUP(Movimientos_2026[[#This Row],[Codigo]],Plan_cuentas[],3,FALSE)," ")</f>
        <v>Transferencia</v>
      </c>
      <c r="G2311" t="str">
        <f>IFERROR(+VLOOKUP(Movimientos_2026[[#This Row],[Codigo]],Plan_cuentas[],4,FALSE)," ")</f>
        <v>Rentas</v>
      </c>
      <c r="H2311" t="str">
        <f>IFERROR(+VLOOKUP(Movimientos_2026[[#This Row],[Codigo]],Plan_cuentas[],5,FALSE)," ")</f>
        <v>LA RIOJA</v>
      </c>
      <c r="I2311" s="43">
        <v>46174</v>
      </c>
      <c r="J2311" t="s">
        <v>1008</v>
      </c>
      <c r="K2311" t="str">
        <f>IFERROR(+VLOOKUP(Movimientos_2026[[#This Row],[Codigo]],Plan_cuentas[],6,FALSE)," ")</f>
        <v>1 - VW - Volkswagen</v>
      </c>
      <c r="L2311" s="50">
        <v>10828978</v>
      </c>
      <c r="M2311" s="50"/>
      <c r="N2311" s="20">
        <f>+Movimientos_2026[[#This Row],[Ingresos]]-Movimientos_2026[[#This Row],[Egresos]]</f>
        <v>10828978</v>
      </c>
      <c r="O2311" s="20">
        <f>+O2310+Movimientos_2026[[#This Row],[Neto]]</f>
        <v>5891198138.7763433</v>
      </c>
    </row>
    <row r="2312" spans="1:15" x14ac:dyDescent="0.25">
      <c r="A2312" s="13">
        <v>46218</v>
      </c>
      <c r="B2312" s="12">
        <f>MONTH(Movimientos_2026[[#This Row],[Fecha]])</f>
        <v>7</v>
      </c>
      <c r="C2312" s="12" t="str">
        <f>VLOOKUP((WEEKDAY(Movimientos_2026[[#This Row],[Fecha]],2)),'5. Setup'!$D$6:$E$12,2,FALSE)</f>
        <v>Mie</v>
      </c>
      <c r="D2312">
        <v>1044281</v>
      </c>
      <c r="E2312" t="str">
        <f>IFERROR(+VLOOKUP(Movimientos_2026[[#This Row],[Codigo]],Plan_cuentas[],2,FALSE)," ")</f>
        <v>INGRESOS</v>
      </c>
      <c r="F2312" t="str">
        <f>IFERROR(+VLOOKUP(Movimientos_2026[[#This Row],[Codigo]],Plan_cuentas[],3,FALSE)," ")</f>
        <v>Transferencia</v>
      </c>
      <c r="G2312" t="str">
        <f>IFERROR(+VLOOKUP(Movimientos_2026[[#This Row],[Codigo]],Plan_cuentas[],4,FALSE)," ")</f>
        <v>Rentas</v>
      </c>
      <c r="H2312" t="str">
        <f>IFERROR(+VLOOKUP(Movimientos_2026[[#This Row],[Codigo]],Plan_cuentas[],5,FALSE)," ")</f>
        <v>MENDOZA</v>
      </c>
      <c r="I2312" s="43">
        <v>46174</v>
      </c>
      <c r="J2312" t="s">
        <v>1008</v>
      </c>
      <c r="K2312" t="str">
        <f>IFERROR(+VLOOKUP(Movimientos_2026[[#This Row],[Codigo]],Plan_cuentas[],6,FALSE)," ")</f>
        <v>1 - VW - Volkswagen</v>
      </c>
      <c r="L2312" s="50">
        <v>17421850.5</v>
      </c>
      <c r="M2312" s="50"/>
      <c r="N2312" s="20">
        <f>+Movimientos_2026[[#This Row],[Ingresos]]-Movimientos_2026[[#This Row],[Egresos]]</f>
        <v>17421850.5</v>
      </c>
      <c r="O2312" s="20">
        <f>+O2311+Movimientos_2026[[#This Row],[Neto]]</f>
        <v>5908619989.2763433</v>
      </c>
    </row>
    <row r="2313" spans="1:15" x14ac:dyDescent="0.25">
      <c r="A2313" s="13">
        <v>46218</v>
      </c>
      <c r="B2313" s="12">
        <f>MONTH(Movimientos_2026[[#This Row],[Fecha]])</f>
        <v>7</v>
      </c>
      <c r="C2313" s="12" t="str">
        <f>VLOOKUP((WEEKDAY(Movimientos_2026[[#This Row],[Fecha]],2)),'5. Setup'!$D$6:$E$12,2,FALSE)</f>
        <v>Mie</v>
      </c>
      <c r="D2313">
        <v>1044461</v>
      </c>
      <c r="E2313" t="str">
        <f>IFERROR(+VLOOKUP(Movimientos_2026[[#This Row],[Codigo]],Plan_cuentas[],2,FALSE)," ")</f>
        <v>INGRESOS</v>
      </c>
      <c r="F2313" t="str">
        <f>IFERROR(+VLOOKUP(Movimientos_2026[[#This Row],[Codigo]],Plan_cuentas[],3,FALSE)," ")</f>
        <v>Transferencia</v>
      </c>
      <c r="G2313" t="str">
        <f>IFERROR(+VLOOKUP(Movimientos_2026[[#This Row],[Codigo]],Plan_cuentas[],4,FALSE)," ")</f>
        <v>Rentas</v>
      </c>
      <c r="H2313" t="str">
        <f>IFERROR(+VLOOKUP(Movimientos_2026[[#This Row],[Codigo]],Plan_cuentas[],5,FALSE)," ")</f>
        <v>MISIONES</v>
      </c>
      <c r="I2313" s="43">
        <v>46174</v>
      </c>
      <c r="J2313" t="s">
        <v>1008</v>
      </c>
      <c r="K2313" t="str">
        <f>IFERROR(+VLOOKUP(Movimientos_2026[[#This Row],[Codigo]],Plan_cuentas[],6,FALSE)," ")</f>
        <v>1 - VW - Volkswagen</v>
      </c>
      <c r="L2313" s="50">
        <v>1473993.17915183</v>
      </c>
      <c r="M2313" s="50"/>
      <c r="N2313" s="20">
        <f>+Movimientos_2026[[#This Row],[Ingresos]]-Movimientos_2026[[#This Row],[Egresos]]</f>
        <v>1473993.17915183</v>
      </c>
      <c r="O2313" s="20">
        <f>+O2312+Movimientos_2026[[#This Row],[Neto]]</f>
        <v>5910093982.4554949</v>
      </c>
    </row>
    <row r="2314" spans="1:15" x14ac:dyDescent="0.25">
      <c r="A2314" s="13">
        <v>46218</v>
      </c>
      <c r="B2314" s="12">
        <f>MONTH(Movimientos_2026[[#This Row],[Fecha]])</f>
        <v>7</v>
      </c>
      <c r="C2314" s="12" t="str">
        <f>VLOOKUP((WEEKDAY(Movimientos_2026[[#This Row],[Fecha]],2)),'5. Setup'!$D$6:$E$12,2,FALSE)</f>
        <v>Mie</v>
      </c>
      <c r="D2314">
        <v>1044311</v>
      </c>
      <c r="E2314" t="str">
        <f>IFERROR(+VLOOKUP(Movimientos_2026[[#This Row],[Codigo]],Plan_cuentas[],2,FALSE)," ")</f>
        <v>INGRESOS</v>
      </c>
      <c r="F2314" t="str">
        <f>IFERROR(+VLOOKUP(Movimientos_2026[[#This Row],[Codigo]],Plan_cuentas[],3,FALSE)," ")</f>
        <v>Transferencia</v>
      </c>
      <c r="G2314" t="str">
        <f>IFERROR(+VLOOKUP(Movimientos_2026[[#This Row],[Codigo]],Plan_cuentas[],4,FALSE)," ")</f>
        <v>Rentas</v>
      </c>
      <c r="H2314" t="str">
        <f>IFERROR(+VLOOKUP(Movimientos_2026[[#This Row],[Codigo]],Plan_cuentas[],5,FALSE)," ")</f>
        <v>NEUQUEN 1° Q</v>
      </c>
      <c r="I2314" s="43">
        <v>46174</v>
      </c>
      <c r="J2314" t="s">
        <v>1008</v>
      </c>
      <c r="K2314" t="str">
        <f>IFERROR(+VLOOKUP(Movimientos_2026[[#This Row],[Codigo]],Plan_cuentas[],6,FALSE)," ")</f>
        <v>1 - VW - Volkswagen</v>
      </c>
      <c r="L2314" s="50">
        <v>15661023</v>
      </c>
      <c r="M2314" s="50"/>
      <c r="N2314" s="20">
        <f>+Movimientos_2026[[#This Row],[Ingresos]]-Movimientos_2026[[#This Row],[Egresos]]</f>
        <v>15661023</v>
      </c>
      <c r="O2314" s="20">
        <f>+O2313+Movimientos_2026[[#This Row],[Neto]]</f>
        <v>5925755005.4554949</v>
      </c>
    </row>
    <row r="2315" spans="1:15" x14ac:dyDescent="0.25">
      <c r="A2315" s="13">
        <v>46218</v>
      </c>
      <c r="B2315" s="12">
        <f>MONTH(Movimientos_2026[[#This Row],[Fecha]])</f>
        <v>7</v>
      </c>
      <c r="C2315" s="12" t="str">
        <f>VLOOKUP((WEEKDAY(Movimientos_2026[[#This Row],[Fecha]],2)),'5. Setup'!$D$6:$E$12,2,FALSE)</f>
        <v>Mie</v>
      </c>
      <c r="D2315">
        <v>1044321</v>
      </c>
      <c r="E2315" t="str">
        <f>IFERROR(+VLOOKUP(Movimientos_2026[[#This Row],[Codigo]],Plan_cuentas[],2,FALSE)," ")</f>
        <v>INGRESOS</v>
      </c>
      <c r="F2315" t="str">
        <f>IFERROR(+VLOOKUP(Movimientos_2026[[#This Row],[Codigo]],Plan_cuentas[],3,FALSE)," ")</f>
        <v>Transferencia</v>
      </c>
      <c r="G2315" t="str">
        <f>IFERROR(+VLOOKUP(Movimientos_2026[[#This Row],[Codigo]],Plan_cuentas[],4,FALSE)," ")</f>
        <v>Rentas</v>
      </c>
      <c r="H2315" t="str">
        <f>IFERROR(+VLOOKUP(Movimientos_2026[[#This Row],[Codigo]],Plan_cuentas[],5,FALSE)," ")</f>
        <v>NEUQUEN 2° Q</v>
      </c>
      <c r="I2315" s="43">
        <v>46174</v>
      </c>
      <c r="J2315" t="s">
        <v>1008</v>
      </c>
      <c r="K2315" t="str">
        <f>IFERROR(+VLOOKUP(Movimientos_2026[[#This Row],[Codigo]],Plan_cuentas[],6,FALSE)," ")</f>
        <v>1 - VW - Volkswagen</v>
      </c>
      <c r="L2315" s="50">
        <v>17765091.5</v>
      </c>
      <c r="M2315" s="50"/>
      <c r="N2315" s="20">
        <f>+Movimientos_2026[[#This Row],[Ingresos]]-Movimientos_2026[[#This Row],[Egresos]]</f>
        <v>17765091.5</v>
      </c>
      <c r="O2315" s="20">
        <f>+O2314+Movimientos_2026[[#This Row],[Neto]]</f>
        <v>5943520096.9554949</v>
      </c>
    </row>
    <row r="2316" spans="1:15" x14ac:dyDescent="0.25">
      <c r="A2316" s="13">
        <v>46218</v>
      </c>
      <c r="B2316" s="12">
        <f>MONTH(Movimientos_2026[[#This Row],[Fecha]])</f>
        <v>7</v>
      </c>
      <c r="C2316" s="12" t="str">
        <f>VLOOKUP((WEEKDAY(Movimientos_2026[[#This Row],[Fecha]],2)),'5. Setup'!$D$6:$E$12,2,FALSE)</f>
        <v>Mie</v>
      </c>
      <c r="D2316">
        <v>1044351</v>
      </c>
      <c r="E2316" t="str">
        <f>IFERROR(+VLOOKUP(Movimientos_2026[[#This Row],[Codigo]],Plan_cuentas[],2,FALSE)," ")</f>
        <v>INGRESOS</v>
      </c>
      <c r="F2316" t="str">
        <f>IFERROR(+VLOOKUP(Movimientos_2026[[#This Row],[Codigo]],Plan_cuentas[],3,FALSE)," ")</f>
        <v>Transferencia</v>
      </c>
      <c r="G2316" t="str">
        <f>IFERROR(+VLOOKUP(Movimientos_2026[[#This Row],[Codigo]],Plan_cuentas[],4,FALSE)," ")</f>
        <v>Rentas</v>
      </c>
      <c r="H2316" t="str">
        <f>IFERROR(+VLOOKUP(Movimientos_2026[[#This Row],[Codigo]],Plan_cuentas[],5,FALSE)," ")</f>
        <v>SAN JUAN</v>
      </c>
      <c r="I2316" s="43">
        <v>46174</v>
      </c>
      <c r="J2316" t="s">
        <v>1008</v>
      </c>
      <c r="K2316" t="str">
        <f>IFERROR(+VLOOKUP(Movimientos_2026[[#This Row],[Codigo]],Plan_cuentas[],6,FALSE)," ")</f>
        <v>1 - VW - Volkswagen</v>
      </c>
      <c r="L2316" s="50">
        <v>2778019.439999999</v>
      </c>
      <c r="M2316" s="50"/>
      <c r="N2316" s="20">
        <f>+Movimientos_2026[[#This Row],[Ingresos]]-Movimientos_2026[[#This Row],[Egresos]]</f>
        <v>2778019.439999999</v>
      </c>
      <c r="O2316" s="20">
        <f>+O2315+Movimientos_2026[[#This Row],[Neto]]</f>
        <v>5946298116.3954945</v>
      </c>
    </row>
    <row r="2317" spans="1:15" x14ac:dyDescent="0.25">
      <c r="A2317" s="13">
        <v>46218</v>
      </c>
      <c r="B2317" s="12">
        <f>MONTH(Movimientos_2026[[#This Row],[Fecha]])</f>
        <v>7</v>
      </c>
      <c r="C2317" s="12" t="str">
        <f>VLOOKUP((WEEKDAY(Movimientos_2026[[#This Row],[Fecha]],2)),'5. Setup'!$D$6:$E$12,2,FALSE)</f>
        <v>Mie</v>
      </c>
      <c r="D2317">
        <v>1044361</v>
      </c>
      <c r="E2317" t="str">
        <f>IFERROR(+VLOOKUP(Movimientos_2026[[#This Row],[Codigo]],Plan_cuentas[],2,FALSE)," ")</f>
        <v>INGRESOS</v>
      </c>
      <c r="F2317" t="str">
        <f>IFERROR(+VLOOKUP(Movimientos_2026[[#This Row],[Codigo]],Plan_cuentas[],3,FALSE)," ")</f>
        <v>Transferencia</v>
      </c>
      <c r="G2317" t="str">
        <f>IFERROR(+VLOOKUP(Movimientos_2026[[#This Row],[Codigo]],Plan_cuentas[],4,FALSE)," ")</f>
        <v>Rentas</v>
      </c>
      <c r="H2317" t="str">
        <f>IFERROR(+VLOOKUP(Movimientos_2026[[#This Row],[Codigo]],Plan_cuentas[],5,FALSE)," ")</f>
        <v>SAN LUIS</v>
      </c>
      <c r="I2317" s="43">
        <v>46174</v>
      </c>
      <c r="J2317" t="s">
        <v>1008</v>
      </c>
      <c r="K2317" t="str">
        <f>IFERROR(+VLOOKUP(Movimientos_2026[[#This Row],[Codigo]],Plan_cuentas[],6,FALSE)," ")</f>
        <v>1 - VW - Volkswagen</v>
      </c>
      <c r="L2317" s="50">
        <v>4364163.5999999996</v>
      </c>
      <c r="M2317" s="50"/>
      <c r="N2317" s="20">
        <f>+Movimientos_2026[[#This Row],[Ingresos]]-Movimientos_2026[[#This Row],[Egresos]]</f>
        <v>4364163.5999999996</v>
      </c>
      <c r="O2317" s="20">
        <f>+O2316+Movimientos_2026[[#This Row],[Neto]]</f>
        <v>5950662279.9954948</v>
      </c>
    </row>
    <row r="2318" spans="1:15" x14ac:dyDescent="0.25">
      <c r="A2318" s="13">
        <v>46218</v>
      </c>
      <c r="B2318" s="12">
        <f>MONTH(Movimientos_2026[[#This Row],[Fecha]])</f>
        <v>7</v>
      </c>
      <c r="C2318" s="12" t="str">
        <f>VLOOKUP((WEEKDAY(Movimientos_2026[[#This Row],[Fecha]],2)),'5. Setup'!$D$6:$E$12,2,FALSE)</f>
        <v>Mie</v>
      </c>
      <c r="D2318">
        <v>1044371</v>
      </c>
      <c r="E2318" t="str">
        <f>IFERROR(+VLOOKUP(Movimientos_2026[[#This Row],[Codigo]],Plan_cuentas[],2,FALSE)," ")</f>
        <v>INGRESOS</v>
      </c>
      <c r="F2318" t="str">
        <f>IFERROR(+VLOOKUP(Movimientos_2026[[#This Row],[Codigo]],Plan_cuentas[],3,FALSE)," ")</f>
        <v>Transferencia</v>
      </c>
      <c r="G2318" t="str">
        <f>IFERROR(+VLOOKUP(Movimientos_2026[[#This Row],[Codigo]],Plan_cuentas[],4,FALSE)," ")</f>
        <v>Rentas</v>
      </c>
      <c r="H2318" t="str">
        <f>IFERROR(+VLOOKUP(Movimientos_2026[[#This Row],[Codigo]],Plan_cuentas[],5,FALSE)," ")</f>
        <v>SANTA CRUZ</v>
      </c>
      <c r="I2318" s="43">
        <v>46174</v>
      </c>
      <c r="J2318" t="s">
        <v>1008</v>
      </c>
      <c r="K2318" t="str">
        <f>IFERROR(+VLOOKUP(Movimientos_2026[[#This Row],[Codigo]],Plan_cuentas[],6,FALSE)," ")</f>
        <v>1 - VW - Volkswagen</v>
      </c>
      <c r="L2318" s="50">
        <v>11722194.4</v>
      </c>
      <c r="M2318" s="50"/>
      <c r="N2318" s="20">
        <f>+Movimientos_2026[[#This Row],[Ingresos]]-Movimientos_2026[[#This Row],[Egresos]]</f>
        <v>11722194.4</v>
      </c>
      <c r="O2318" s="20">
        <f>+O2317+Movimientos_2026[[#This Row],[Neto]]</f>
        <v>5962384474.3954945</v>
      </c>
    </row>
    <row r="2319" spans="1:15" x14ac:dyDescent="0.25">
      <c r="A2319" s="13">
        <v>46218</v>
      </c>
      <c r="B2319" s="12">
        <f>MONTH(Movimientos_2026[[#This Row],[Fecha]])</f>
        <v>7</v>
      </c>
      <c r="C2319" s="12" t="str">
        <f>VLOOKUP((WEEKDAY(Movimientos_2026[[#This Row],[Fecha]],2)),'5. Setup'!$D$6:$E$12,2,FALSE)</f>
        <v>Mie</v>
      </c>
      <c r="D2319">
        <v>1044381</v>
      </c>
      <c r="E2319" t="str">
        <f>IFERROR(+VLOOKUP(Movimientos_2026[[#This Row],[Codigo]],Plan_cuentas[],2,FALSE)," ")</f>
        <v>INGRESOS</v>
      </c>
      <c r="F2319" t="str">
        <f>IFERROR(+VLOOKUP(Movimientos_2026[[#This Row],[Codigo]],Plan_cuentas[],3,FALSE)," ")</f>
        <v>Transferencia</v>
      </c>
      <c r="G2319" t="str">
        <f>IFERROR(+VLOOKUP(Movimientos_2026[[#This Row],[Codigo]],Plan_cuentas[],4,FALSE)," ")</f>
        <v>Rentas</v>
      </c>
      <c r="H2319" t="str">
        <f>IFERROR(+VLOOKUP(Movimientos_2026[[#This Row],[Codigo]],Plan_cuentas[],5,FALSE)," ")</f>
        <v>SANTA FE 1° Q</v>
      </c>
      <c r="I2319" s="43">
        <v>46174</v>
      </c>
      <c r="J2319" t="s">
        <v>1008</v>
      </c>
      <c r="K2319" t="str">
        <f>IFERROR(+VLOOKUP(Movimientos_2026[[#This Row],[Codigo]],Plan_cuentas[],6,FALSE)," ")</f>
        <v>1 - VW - Volkswagen</v>
      </c>
      <c r="L2319" s="50">
        <v>6136655.25</v>
      </c>
      <c r="M2319" s="50"/>
      <c r="N2319" s="20">
        <f>+Movimientos_2026[[#This Row],[Ingresos]]-Movimientos_2026[[#This Row],[Egresos]]</f>
        <v>6136655.25</v>
      </c>
      <c r="O2319" s="20">
        <f>+O2318+Movimientos_2026[[#This Row],[Neto]]</f>
        <v>5968521129.6454945</v>
      </c>
    </row>
    <row r="2320" spans="1:15" x14ac:dyDescent="0.25">
      <c r="A2320" s="13">
        <v>46218</v>
      </c>
      <c r="B2320" s="12">
        <f>MONTH(Movimientos_2026[[#This Row],[Fecha]])</f>
        <v>7</v>
      </c>
      <c r="C2320" s="12" t="str">
        <f>VLOOKUP((WEEKDAY(Movimientos_2026[[#This Row],[Fecha]],2)),'5. Setup'!$D$6:$E$12,2,FALSE)</f>
        <v>Mie</v>
      </c>
      <c r="D2320">
        <v>1044391</v>
      </c>
      <c r="E2320" t="str">
        <f>IFERROR(+VLOOKUP(Movimientos_2026[[#This Row],[Codigo]],Plan_cuentas[],2,FALSE)," ")</f>
        <v>INGRESOS</v>
      </c>
      <c r="F2320" t="str">
        <f>IFERROR(+VLOOKUP(Movimientos_2026[[#This Row],[Codigo]],Plan_cuentas[],3,FALSE)," ")</f>
        <v>Transferencia</v>
      </c>
      <c r="G2320" t="str">
        <f>IFERROR(+VLOOKUP(Movimientos_2026[[#This Row],[Codigo]],Plan_cuentas[],4,FALSE)," ")</f>
        <v>Rentas</v>
      </c>
      <c r="H2320" t="str">
        <f>IFERROR(+VLOOKUP(Movimientos_2026[[#This Row],[Codigo]],Plan_cuentas[],5,FALSE)," ")</f>
        <v>SANTA FE 2° Q</v>
      </c>
      <c r="I2320" s="43">
        <v>46174</v>
      </c>
      <c r="J2320" t="s">
        <v>1008</v>
      </c>
      <c r="K2320" t="str">
        <f>IFERROR(+VLOOKUP(Movimientos_2026[[#This Row],[Codigo]],Plan_cuentas[],6,FALSE)," ")</f>
        <v>1 - VW - Volkswagen</v>
      </c>
      <c r="L2320" s="50">
        <v>5990917.5</v>
      </c>
      <c r="M2320" s="50"/>
      <c r="N2320" s="20">
        <f>+Movimientos_2026[[#This Row],[Ingresos]]-Movimientos_2026[[#This Row],[Egresos]]</f>
        <v>5990917.5</v>
      </c>
      <c r="O2320" s="20">
        <f>+O2319+Movimientos_2026[[#This Row],[Neto]]</f>
        <v>5974512047.1454945</v>
      </c>
    </row>
    <row r="2321" spans="1:15" x14ac:dyDescent="0.25">
      <c r="A2321" s="13">
        <v>46218</v>
      </c>
      <c r="B2321" s="12">
        <f>MONTH(Movimientos_2026[[#This Row],[Fecha]])</f>
        <v>7</v>
      </c>
      <c r="C2321" s="12" t="str">
        <f>VLOOKUP((WEEKDAY(Movimientos_2026[[#This Row],[Fecha]],2)),'5. Setup'!$D$6:$E$12,2,FALSE)</f>
        <v>Mie</v>
      </c>
      <c r="D2321">
        <v>1044401</v>
      </c>
      <c r="E2321" t="str">
        <f>IFERROR(+VLOOKUP(Movimientos_2026[[#This Row],[Codigo]],Plan_cuentas[],2,FALSE)," ")</f>
        <v>INGRESOS</v>
      </c>
      <c r="F2321" t="str">
        <f>IFERROR(+VLOOKUP(Movimientos_2026[[#This Row],[Codigo]],Plan_cuentas[],3,FALSE)," ")</f>
        <v>Transferencia</v>
      </c>
      <c r="G2321" t="str">
        <f>IFERROR(+VLOOKUP(Movimientos_2026[[#This Row],[Codigo]],Plan_cuentas[],4,FALSE)," ")</f>
        <v>Rentas</v>
      </c>
      <c r="H2321" t="str">
        <f>IFERROR(+VLOOKUP(Movimientos_2026[[#This Row],[Codigo]],Plan_cuentas[],5,FALSE)," ")</f>
        <v>SANTIAGO DEL ESTERO</v>
      </c>
      <c r="I2321" s="43">
        <v>46174</v>
      </c>
      <c r="J2321" t="s">
        <v>1008</v>
      </c>
      <c r="K2321" t="str">
        <f>IFERROR(+VLOOKUP(Movimientos_2026[[#This Row],[Codigo]],Plan_cuentas[],6,FALSE)," ")</f>
        <v>1 - VW - Volkswagen</v>
      </c>
      <c r="L2321" s="50">
        <v>21318850</v>
      </c>
      <c r="M2321" s="50"/>
      <c r="N2321" s="20">
        <f>+Movimientos_2026[[#This Row],[Ingresos]]-Movimientos_2026[[#This Row],[Egresos]]</f>
        <v>21318850</v>
      </c>
      <c r="O2321" s="20">
        <f>+O2320+Movimientos_2026[[#This Row],[Neto]]</f>
        <v>5995830897.1454945</v>
      </c>
    </row>
    <row r="2322" spans="1:15" x14ac:dyDescent="0.25">
      <c r="A2322" s="13">
        <v>46218</v>
      </c>
      <c r="B2322" s="12">
        <f>MONTH(Movimientos_2026[[#This Row],[Fecha]])</f>
        <v>7</v>
      </c>
      <c r="C2322" s="12" t="str">
        <f>VLOOKUP((WEEKDAY(Movimientos_2026[[#This Row],[Fecha]],2)),'5. Setup'!$D$6:$E$12,2,FALSE)</f>
        <v>Mie</v>
      </c>
      <c r="D2322">
        <v>1044411</v>
      </c>
      <c r="E2322" t="str">
        <f>IFERROR(+VLOOKUP(Movimientos_2026[[#This Row],[Codigo]],Plan_cuentas[],2,FALSE)," ")</f>
        <v>INGRESOS</v>
      </c>
      <c r="F2322" t="str">
        <f>IFERROR(+VLOOKUP(Movimientos_2026[[#This Row],[Codigo]],Plan_cuentas[],3,FALSE)," ")</f>
        <v>Transferencia</v>
      </c>
      <c r="G2322" t="str">
        <f>IFERROR(+VLOOKUP(Movimientos_2026[[#This Row],[Codigo]],Plan_cuentas[],4,FALSE)," ")</f>
        <v>Rentas</v>
      </c>
      <c r="H2322" t="str">
        <f>IFERROR(+VLOOKUP(Movimientos_2026[[#This Row],[Codigo]],Plan_cuentas[],5,FALSE)," ")</f>
        <v>TIERRA DEL FUEGO</v>
      </c>
      <c r="I2322" s="43">
        <v>46174</v>
      </c>
      <c r="J2322" t="s">
        <v>1008</v>
      </c>
      <c r="K2322" t="str">
        <f>IFERROR(+VLOOKUP(Movimientos_2026[[#This Row],[Codigo]],Plan_cuentas[],6,FALSE)," ")</f>
        <v>1 - VW - Volkswagen</v>
      </c>
      <c r="L2322" s="50">
        <v>4337171</v>
      </c>
      <c r="M2322" s="50"/>
      <c r="N2322" s="20">
        <f>+Movimientos_2026[[#This Row],[Ingresos]]-Movimientos_2026[[#This Row],[Egresos]]</f>
        <v>4337171</v>
      </c>
      <c r="O2322" s="20">
        <f>+O2321+Movimientos_2026[[#This Row],[Neto]]</f>
        <v>6000168068.1454945</v>
      </c>
    </row>
    <row r="2323" spans="1:15" x14ac:dyDescent="0.25">
      <c r="A2323" s="13">
        <v>46218</v>
      </c>
      <c r="B2323" s="12">
        <f>MONTH(Movimientos_2026[[#This Row],[Fecha]])</f>
        <v>7</v>
      </c>
      <c r="C2323" s="12" t="str">
        <f>VLOOKUP((WEEKDAY(Movimientos_2026[[#This Row],[Fecha]],2)),'5. Setup'!$D$6:$E$12,2,FALSE)</f>
        <v>Mie</v>
      </c>
      <c r="D2323">
        <v>1044421</v>
      </c>
      <c r="E2323" t="str">
        <f>IFERROR(+VLOOKUP(Movimientos_2026[[#This Row],[Codigo]],Plan_cuentas[],2,FALSE)," ")</f>
        <v>INGRESOS</v>
      </c>
      <c r="F2323" t="str">
        <f>IFERROR(+VLOOKUP(Movimientos_2026[[#This Row],[Codigo]],Plan_cuentas[],3,FALSE)," ")</f>
        <v>Transferencia</v>
      </c>
      <c r="G2323" t="str">
        <f>IFERROR(+VLOOKUP(Movimientos_2026[[#This Row],[Codigo]],Plan_cuentas[],4,FALSE)," ")</f>
        <v>Rentas</v>
      </c>
      <c r="H2323" t="str">
        <f>IFERROR(+VLOOKUP(Movimientos_2026[[#This Row],[Codigo]],Plan_cuentas[],5,FALSE)," ")</f>
        <v>TUCUMAN</v>
      </c>
      <c r="I2323" s="43">
        <v>46174</v>
      </c>
      <c r="J2323" t="s">
        <v>1008</v>
      </c>
      <c r="K2323" t="str">
        <f>IFERROR(+VLOOKUP(Movimientos_2026[[#This Row],[Codigo]],Plan_cuentas[],6,FALSE)," ")</f>
        <v>1 - VW - Volkswagen</v>
      </c>
      <c r="L2323" s="50">
        <v>26120763.012960002</v>
      </c>
      <c r="M2323" s="50"/>
      <c r="N2323" s="20">
        <f>+Movimientos_2026[[#This Row],[Ingresos]]-Movimientos_2026[[#This Row],[Egresos]]</f>
        <v>26120763.012960002</v>
      </c>
      <c r="O2323" s="20">
        <f>+O2322+Movimientos_2026[[#This Row],[Neto]]</f>
        <v>6026288831.1584549</v>
      </c>
    </row>
    <row r="2324" spans="1:15" x14ac:dyDescent="0.25">
      <c r="A2324" s="13">
        <v>46218</v>
      </c>
      <c r="B2324" s="12">
        <f>MONTH(Movimientos_2026[[#This Row],[Fecha]])</f>
        <v>7</v>
      </c>
      <c r="C2324" s="12" t="str">
        <f>VLOOKUP((WEEKDAY(Movimientos_2026[[#This Row],[Fecha]],2)),'5. Setup'!$D$6:$E$12,2,FALSE)</f>
        <v>Mie</v>
      </c>
      <c r="D2324">
        <v>1043141</v>
      </c>
      <c r="E2324" t="str">
        <f>IFERROR(+VLOOKUP(Movimientos_2026[[#This Row],[Codigo]],Plan_cuentas[],2,FALSE)," ")</f>
        <v>INGRESOS</v>
      </c>
      <c r="F2324" t="str">
        <f>IFERROR(+VLOOKUP(Movimientos_2026[[#This Row],[Codigo]],Plan_cuentas[],3,FALSE)," ")</f>
        <v>Transferencia</v>
      </c>
      <c r="G2324" t="str">
        <f>IFERROR(+VLOOKUP(Movimientos_2026[[#This Row],[Codigo]],Plan_cuentas[],4,FALSE)," ")</f>
        <v>Registración</v>
      </c>
      <c r="H2324" t="str">
        <f>IFERROR(+VLOOKUP(Movimientos_2026[[#This Row],[Codigo]],Plan_cuentas[],5,FALSE)," ")</f>
        <v>BUENOS AIRES</v>
      </c>
      <c r="I2324" s="43">
        <v>46174</v>
      </c>
      <c r="J2324" t="s">
        <v>1009</v>
      </c>
      <c r="K2324" t="str">
        <f>IFERROR(+VLOOKUP(Movimientos_2026[[#This Row],[Codigo]],Plan_cuentas[],6,FALSE)," ")</f>
        <v>1 - VW - Volkswagen</v>
      </c>
      <c r="L2324" s="50">
        <v>78672504.926666662</v>
      </c>
      <c r="M2324" s="50"/>
      <c r="N2324" s="20">
        <f>+Movimientos_2026[[#This Row],[Ingresos]]-Movimientos_2026[[#This Row],[Egresos]]</f>
        <v>78672504.926666662</v>
      </c>
      <c r="O2324" s="20">
        <f>+O2323+Movimientos_2026[[#This Row],[Neto]]</f>
        <v>6104961336.0851212</v>
      </c>
    </row>
    <row r="2325" spans="1:15" x14ac:dyDescent="0.25">
      <c r="A2325" s="13">
        <v>46218</v>
      </c>
      <c r="B2325" s="12">
        <f>MONTH(Movimientos_2026[[#This Row],[Fecha]])</f>
        <v>7</v>
      </c>
      <c r="C2325" s="12" t="str">
        <f>VLOOKUP((WEEKDAY(Movimientos_2026[[#This Row],[Fecha]],2)),'5. Setup'!$D$6:$E$12,2,FALSE)</f>
        <v>Mie</v>
      </c>
      <c r="D2325">
        <v>1041131</v>
      </c>
      <c r="E2325" t="str">
        <f>IFERROR(+VLOOKUP(Movimientos_2026[[#This Row],[Codigo]],Plan_cuentas[],2,FALSE)," ")</f>
        <v>INGRESOS</v>
      </c>
      <c r="F2325" t="str">
        <f>IFERROR(+VLOOKUP(Movimientos_2026[[#This Row],[Codigo]],Plan_cuentas[],3,FALSE)," ")</f>
        <v>Transferencia</v>
      </c>
      <c r="G2325" t="str">
        <f>IFERROR(+VLOOKUP(Movimientos_2026[[#This Row],[Codigo]],Plan_cuentas[],4,FALSE)," ")</f>
        <v>Entidades co-participadas</v>
      </c>
      <c r="H2325" t="str">
        <f>IFERROR(+VLOOKUP(Movimientos_2026[[#This Row],[Codigo]],Plan_cuentas[],5,FALSE)," ")</f>
        <v>BCLP</v>
      </c>
      <c r="I2325" s="43">
        <v>46174</v>
      </c>
      <c r="J2325" t="s">
        <v>1009</v>
      </c>
      <c r="K2325" t="str">
        <f>IFERROR(+VLOOKUP(Movimientos_2026[[#This Row],[Codigo]],Plan_cuentas[],6,FALSE)," ")</f>
        <v>1 - VW - Volkswagen</v>
      </c>
      <c r="L2325" s="50">
        <v>78672504.926666662</v>
      </c>
      <c r="M2325" s="50"/>
      <c r="N2325" s="20">
        <f>+Movimientos_2026[[#This Row],[Ingresos]]-Movimientos_2026[[#This Row],[Egresos]]</f>
        <v>78672504.926666662</v>
      </c>
      <c r="O2325" s="20">
        <f>+O2324+Movimientos_2026[[#This Row],[Neto]]</f>
        <v>6183633841.0117874</v>
      </c>
    </row>
    <row r="2326" spans="1:15" x14ac:dyDescent="0.25">
      <c r="A2326" s="13">
        <v>46218</v>
      </c>
      <c r="B2326" s="12">
        <f>MONTH(Movimientos_2026[[#This Row],[Fecha]])</f>
        <v>7</v>
      </c>
      <c r="C2326" s="12" t="str">
        <f>VLOOKUP((WEEKDAY(Movimientos_2026[[#This Row],[Fecha]],2)),'5. Setup'!$D$6:$E$12,2,FALSE)</f>
        <v>Mie</v>
      </c>
      <c r="D2326">
        <v>1041441</v>
      </c>
      <c r="E2326" t="str">
        <f>IFERROR(+VLOOKUP(Movimientos_2026[[#This Row],[Codigo]],Plan_cuentas[],2,FALSE)," ")</f>
        <v>INGRESOS</v>
      </c>
      <c r="F2326" t="str">
        <f>IFERROR(+VLOOKUP(Movimientos_2026[[#This Row],[Codigo]],Plan_cuentas[],3,FALSE)," ")</f>
        <v>Transferencia</v>
      </c>
      <c r="G2326" t="str">
        <f>IFERROR(+VLOOKUP(Movimientos_2026[[#This Row],[Codigo]],Plan_cuentas[],4,FALSE)," ")</f>
        <v>Entidades co-participadas</v>
      </c>
      <c r="H2326" t="str">
        <f>IFERROR(+VLOOKUP(Movimientos_2026[[#This Row],[Codigo]],Plan_cuentas[],5,FALSE)," ")</f>
        <v>UISCUMARR</v>
      </c>
      <c r="I2326" s="43">
        <v>46174</v>
      </c>
      <c r="J2326" t="s">
        <v>1009</v>
      </c>
      <c r="K2326" t="str">
        <f>IFERROR(+VLOOKUP(Movimientos_2026[[#This Row],[Codigo]],Plan_cuentas[],6,FALSE)," ")</f>
        <v>1 - VW - Volkswagen</v>
      </c>
      <c r="L2326" s="50">
        <v>78672504.926666662</v>
      </c>
      <c r="M2326" s="50"/>
      <c r="N2326" s="20">
        <f>+Movimientos_2026[[#This Row],[Ingresos]]-Movimientos_2026[[#This Row],[Egresos]]</f>
        <v>78672504.926666662</v>
      </c>
      <c r="O2326" s="20">
        <f>+O2325+Movimientos_2026[[#This Row],[Neto]]</f>
        <v>6262306345.9384537</v>
      </c>
    </row>
    <row r="2327" spans="1:15" x14ac:dyDescent="0.25">
      <c r="A2327" s="13">
        <v>46218</v>
      </c>
      <c r="B2327" s="12">
        <f>MONTH(Movimientos_2026[[#This Row],[Fecha]])</f>
        <v>7</v>
      </c>
      <c r="C2327" s="12" t="str">
        <f>VLOOKUP((WEEKDAY(Movimientos_2026[[#This Row],[Fecha]],2)),'5. Setup'!$D$6:$E$12,2,FALSE)</f>
        <v>Mie</v>
      </c>
      <c r="D2327">
        <v>1043141</v>
      </c>
      <c r="E2327" t="str">
        <f>IFERROR(+VLOOKUP(Movimientos_2026[[#This Row],[Codigo]],Plan_cuentas[],2,FALSE)," ")</f>
        <v>INGRESOS</v>
      </c>
      <c r="F2327" t="str">
        <f>IFERROR(+VLOOKUP(Movimientos_2026[[#This Row],[Codigo]],Plan_cuentas[],3,FALSE)," ")</f>
        <v>Transferencia</v>
      </c>
      <c r="G2327" t="str">
        <f>IFERROR(+VLOOKUP(Movimientos_2026[[#This Row],[Codigo]],Plan_cuentas[],4,FALSE)," ")</f>
        <v>Registración</v>
      </c>
      <c r="H2327" t="str">
        <f>IFERROR(+VLOOKUP(Movimientos_2026[[#This Row],[Codigo]],Plan_cuentas[],5,FALSE)," ")</f>
        <v>BUENOS AIRES</v>
      </c>
      <c r="I2327" s="43">
        <v>46174</v>
      </c>
      <c r="J2327" t="s">
        <v>1010</v>
      </c>
      <c r="K2327" t="str">
        <f>IFERROR(+VLOOKUP(Movimientos_2026[[#This Row],[Codigo]],Plan_cuentas[],6,FALSE)," ")</f>
        <v>1 - VW - Volkswagen</v>
      </c>
      <c r="L2327" s="50">
        <v>38909769.149999999</v>
      </c>
      <c r="M2327" s="50"/>
      <c r="N2327" s="20">
        <f>+Movimientos_2026[[#This Row],[Ingresos]]-Movimientos_2026[[#This Row],[Egresos]]</f>
        <v>38909769.149999999</v>
      </c>
      <c r="O2327" s="20">
        <f>+O2326+Movimientos_2026[[#This Row],[Neto]]</f>
        <v>6301216115.0884533</v>
      </c>
    </row>
    <row r="2328" spans="1:15" x14ac:dyDescent="0.25">
      <c r="A2328" s="13">
        <v>46219</v>
      </c>
      <c r="B2328" s="12">
        <f>MONTH(Movimientos_2026[[#This Row],[Fecha]])</f>
        <v>7</v>
      </c>
      <c r="C2328" s="12" t="str">
        <f>VLOOKUP((WEEKDAY(Movimientos_2026[[#This Row],[Fecha]],2)),'5. Setup'!$D$6:$E$12,2,FALSE)</f>
        <v>Jue</v>
      </c>
      <c r="D2328">
        <v>2044465</v>
      </c>
      <c r="E2328" t="str">
        <f>IFERROR(+VLOOKUP(Movimientos_2026[[#This Row],[Codigo]],Plan_cuentas[],2,FALSE)," ")</f>
        <v>EGRESOS</v>
      </c>
      <c r="F2328" t="str">
        <f>IFERROR(+VLOOKUP(Movimientos_2026[[#This Row],[Codigo]],Plan_cuentas[],3,FALSE)," ")</f>
        <v>Transferencia</v>
      </c>
      <c r="G2328" t="str">
        <f>IFERROR(+VLOOKUP(Movimientos_2026[[#This Row],[Codigo]],Plan_cuentas[],4,FALSE)," ")</f>
        <v>Rentas</v>
      </c>
      <c r="H2328" t="str">
        <f>IFERROR(+VLOOKUP(Movimientos_2026[[#This Row],[Codigo]],Plan_cuentas[],5,FALSE)," ")</f>
        <v>MISIONES</v>
      </c>
      <c r="I2328" s="43">
        <v>46174</v>
      </c>
      <c r="J2328" t="s">
        <v>1011</v>
      </c>
      <c r="K2328" t="str">
        <f>IFERROR(+VLOOKUP(Movimientos_2026[[#This Row],[Codigo]],Plan_cuentas[],6,FALSE)," ")</f>
        <v>5 - YAM - Yamaha</v>
      </c>
      <c r="L2328" s="50"/>
      <c r="M2328" s="50">
        <v>810611.15</v>
      </c>
      <c r="N2328" s="20">
        <f>+Movimientos_2026[[#This Row],[Ingresos]]-Movimientos_2026[[#This Row],[Egresos]]</f>
        <v>-810611.15</v>
      </c>
      <c r="O2328" s="20">
        <f>+O2327+Movimientos_2026[[#This Row],[Neto]]</f>
        <v>6300405503.9384537</v>
      </c>
    </row>
    <row r="2329" spans="1:15" x14ac:dyDescent="0.25">
      <c r="A2329" s="13">
        <v>46219</v>
      </c>
      <c r="B2329" s="12">
        <f>MONTH(Movimientos_2026[[#This Row],[Fecha]])</f>
        <v>7</v>
      </c>
      <c r="C2329" s="12" t="str">
        <f>VLOOKUP((WEEKDAY(Movimientos_2026[[#This Row],[Fecha]],2)),'5. Setup'!$D$6:$E$12,2,FALSE)</f>
        <v>Jue</v>
      </c>
      <c r="D2329">
        <v>1045453</v>
      </c>
      <c r="E2329" t="str">
        <f>IFERROR(+VLOOKUP(Movimientos_2026[[#This Row],[Codigo]],Plan_cuentas[],2,FALSE)," ")</f>
        <v>INGRESOS</v>
      </c>
      <c r="F2329" t="str">
        <f>IFERROR(+VLOOKUP(Movimientos_2026[[#This Row],[Codigo]],Plan_cuentas[],3,FALSE)," ")</f>
        <v>Transferencia</v>
      </c>
      <c r="G2329" t="str">
        <f>IFERROR(+VLOOKUP(Movimientos_2026[[#This Row],[Codigo]],Plan_cuentas[],4,FALSE)," ")</f>
        <v>Factura</v>
      </c>
      <c r="H2329" t="str">
        <f>IFERROR(+VLOOKUP(Movimientos_2026[[#This Row],[Codigo]],Plan_cuentas[],5,FALSE)," ")</f>
        <v>FC DERECHOS</v>
      </c>
      <c r="I2329" s="43">
        <v>46143</v>
      </c>
      <c r="J2329" t="s">
        <v>1012</v>
      </c>
      <c r="K2329" t="str">
        <f>IFERROR(+VLOOKUP(Movimientos_2026[[#This Row],[Codigo]],Plan_cuentas[],6,FALSE)," ")</f>
        <v>3 - GM - Chevrolet</v>
      </c>
      <c r="L2329" s="50">
        <v>51194011.009999998</v>
      </c>
      <c r="M2329" s="50"/>
      <c r="N2329" s="20">
        <f>+Movimientos_2026[[#This Row],[Ingresos]]-Movimientos_2026[[#This Row],[Egresos]]</f>
        <v>51194011.009999998</v>
      </c>
      <c r="O2329" s="20">
        <f>+O2328+Movimientos_2026[[#This Row],[Neto]]</f>
        <v>6351599514.9484539</v>
      </c>
    </row>
    <row r="2330" spans="1:15" x14ac:dyDescent="0.25">
      <c r="A2330" s="13">
        <v>46220</v>
      </c>
      <c r="B2330" s="12">
        <f>MONTH(Movimientos_2026[[#This Row],[Fecha]])</f>
        <v>7</v>
      </c>
      <c r="C2330" s="12" t="str">
        <f>VLOOKUP((WEEKDAY(Movimientos_2026[[#This Row],[Fecha]],2)),'5. Setup'!$D$6:$E$12,2,FALSE)</f>
        <v>Vie</v>
      </c>
      <c r="D2330">
        <v>2014352</v>
      </c>
      <c r="E2330" t="str">
        <f>IFERROR(+VLOOKUP(Movimientos_2026[[#This Row],[Codigo]],Plan_cuentas[],2,FALSE)," ")</f>
        <v>EGRESOS</v>
      </c>
      <c r="F2330" t="str">
        <f>IFERROR(+VLOOKUP(Movimientos_2026[[#This Row],[Codigo]],Plan_cuentas[],3,FALSE)," ")</f>
        <v>BtoB</v>
      </c>
      <c r="G2330" t="str">
        <f>IFERROR(+VLOOKUP(Movimientos_2026[[#This Row],[Codigo]],Plan_cuentas[],4,FALSE)," ")</f>
        <v>Rentas</v>
      </c>
      <c r="H2330" t="str">
        <f>IFERROR(+VLOOKUP(Movimientos_2026[[#This Row],[Codigo]],Plan_cuentas[],5,FALSE)," ")</f>
        <v>SAN JUAN</v>
      </c>
      <c r="I2330" s="43">
        <v>46174</v>
      </c>
      <c r="J2330" t="s">
        <v>1013</v>
      </c>
      <c r="K2330" t="str">
        <f>IFERROR(+VLOOKUP(Movimientos_2026[[#This Row],[Codigo]],Plan_cuentas[],6,FALSE)," ")</f>
        <v>2 - PR - Plan Rombo</v>
      </c>
      <c r="L2330" s="50"/>
      <c r="M2330" s="50">
        <v>5516025.6799999997</v>
      </c>
      <c r="N2330" s="20">
        <f>+Movimientos_2026[[#This Row],[Ingresos]]-Movimientos_2026[[#This Row],[Egresos]]</f>
        <v>-5516025.6799999997</v>
      </c>
      <c r="O2330" s="20">
        <f>+O2329+Movimientos_2026[[#This Row],[Neto]]</f>
        <v>6346083489.2684536</v>
      </c>
    </row>
    <row r="2331" spans="1:15" x14ac:dyDescent="0.25">
      <c r="A2331" s="13">
        <v>46220</v>
      </c>
      <c r="B2331" s="12">
        <f>MONTH(Movimientos_2026[[#This Row],[Fecha]])</f>
        <v>7</v>
      </c>
      <c r="C2331" s="12" t="str">
        <f>VLOOKUP((WEEKDAY(Movimientos_2026[[#This Row],[Fecha]],2)),'5. Setup'!$D$6:$E$12,2,FALSE)</f>
        <v>Vie</v>
      </c>
      <c r="D2331">
        <v>2014354</v>
      </c>
      <c r="E2331" t="str">
        <f>IFERROR(+VLOOKUP(Movimientos_2026[[#This Row],[Codigo]],Plan_cuentas[],2,FALSE)," ")</f>
        <v>EGRESOS</v>
      </c>
      <c r="F2331" t="str">
        <f>IFERROR(+VLOOKUP(Movimientos_2026[[#This Row],[Codigo]],Plan_cuentas[],3,FALSE)," ")</f>
        <v>BtoB</v>
      </c>
      <c r="G2331" t="str">
        <f>IFERROR(+VLOOKUP(Movimientos_2026[[#This Row],[Codigo]],Plan_cuentas[],4,FALSE)," ")</f>
        <v>Rentas</v>
      </c>
      <c r="H2331" t="str">
        <f>IFERROR(+VLOOKUP(Movimientos_2026[[#This Row],[Codigo]],Plan_cuentas[],5,FALSE)," ")</f>
        <v>SAN JUAN</v>
      </c>
      <c r="I2331" s="43">
        <v>46174</v>
      </c>
      <c r="J2331" t="s">
        <v>1014</v>
      </c>
      <c r="K2331" t="str">
        <f>IFERROR(+VLOOKUP(Movimientos_2026[[#This Row],[Codigo]],Plan_cuentas[],6,FALSE)," ")</f>
        <v>4 - FCA - Fiat</v>
      </c>
      <c r="L2331" s="50"/>
      <c r="M2331" s="50">
        <v>8268048</v>
      </c>
      <c r="N2331" s="20">
        <f>+Movimientos_2026[[#This Row],[Ingresos]]-Movimientos_2026[[#This Row],[Egresos]]</f>
        <v>-8268048</v>
      </c>
      <c r="O2331" s="20">
        <f>+O2330+Movimientos_2026[[#This Row],[Neto]]</f>
        <v>6337815441.2684536</v>
      </c>
    </row>
    <row r="2332" spans="1:15" x14ac:dyDescent="0.25">
      <c r="A2332" s="13">
        <v>46220</v>
      </c>
      <c r="B2332" s="12">
        <f>MONTH(Movimientos_2026[[#This Row],[Fecha]])</f>
        <v>7</v>
      </c>
      <c r="C2332" s="12" t="str">
        <f>VLOOKUP((WEEKDAY(Movimientos_2026[[#This Row],[Fecha]],2)),'5. Setup'!$D$6:$E$12,2,FALSE)</f>
        <v>Vie</v>
      </c>
      <c r="D2332">
        <v>2014356</v>
      </c>
      <c r="E2332" t="str">
        <f>IFERROR(+VLOOKUP(Movimientos_2026[[#This Row],[Codigo]],Plan_cuentas[],2,FALSE)," ")</f>
        <v>EGRESOS</v>
      </c>
      <c r="F2332" t="str">
        <f>IFERROR(+VLOOKUP(Movimientos_2026[[#This Row],[Codigo]],Plan_cuentas[],3,FALSE)," ")</f>
        <v>BtoB</v>
      </c>
      <c r="G2332" t="str">
        <f>IFERROR(+VLOOKUP(Movimientos_2026[[#This Row],[Codigo]],Plan_cuentas[],4,FALSE)," ")</f>
        <v>Rentas</v>
      </c>
      <c r="H2332" t="str">
        <f>IFERROR(+VLOOKUP(Movimientos_2026[[#This Row],[Codigo]],Plan_cuentas[],5,FALSE)," ")</f>
        <v>SAN JUAN</v>
      </c>
      <c r="I2332" s="43">
        <v>46174</v>
      </c>
      <c r="J2332" t="s">
        <v>1014</v>
      </c>
      <c r="K2332" t="str">
        <f>IFERROR(+VLOOKUP(Movimientos_2026[[#This Row],[Codigo]],Plan_cuentas[],6,FALSE)," ")</f>
        <v>6 - FCAtr - Fiat Transf.</v>
      </c>
      <c r="L2332" s="50"/>
      <c r="M2332" s="52">
        <v>4473134.49</v>
      </c>
      <c r="N2332" s="20">
        <f>+Movimientos_2026[[#This Row],[Ingresos]]-Movimientos_2026[[#This Row],[Egresos]]</f>
        <v>-4473134.49</v>
      </c>
      <c r="O2332" s="20">
        <f>+O2331+Movimientos_2026[[#This Row],[Neto]]</f>
        <v>6333342306.7784538</v>
      </c>
    </row>
    <row r="2333" spans="1:15" x14ac:dyDescent="0.25">
      <c r="A2333" s="13">
        <v>46220</v>
      </c>
      <c r="B2333" s="12">
        <f>MONTH(Movimientos_2026[[#This Row],[Fecha]])</f>
        <v>7</v>
      </c>
      <c r="C2333" s="12" t="str">
        <f>VLOOKUP((WEEKDAY(Movimientos_2026[[#This Row],[Fecha]],2)),'5. Setup'!$D$6:$E$12,2,FALSE)</f>
        <v>Vie</v>
      </c>
      <c r="D2333">
        <v>2021131</v>
      </c>
      <c r="E2333" t="str">
        <f>IFERROR(+VLOOKUP(Movimientos_2026[[#This Row],[Codigo]],Plan_cuentas[],2,FALSE)," ")</f>
        <v>EGRESOS</v>
      </c>
      <c r="F2333" t="str">
        <f>IFERROR(+VLOOKUP(Movimientos_2026[[#This Row],[Codigo]],Plan_cuentas[],3,FALSE)," ")</f>
        <v>DDJJ</v>
      </c>
      <c r="G2333" t="str">
        <f>IFERROR(+VLOOKUP(Movimientos_2026[[#This Row],[Codigo]],Plan_cuentas[],4,FALSE)," ")</f>
        <v>Entidades co-participadas</v>
      </c>
      <c r="H2333" t="str">
        <f>IFERROR(+VLOOKUP(Movimientos_2026[[#This Row],[Codigo]],Plan_cuentas[],5,FALSE)," ")</f>
        <v>BCLP</v>
      </c>
      <c r="I2333" s="43">
        <v>46174</v>
      </c>
      <c r="J2333" t="s">
        <v>1015</v>
      </c>
      <c r="K2333" t="str">
        <f>IFERROR(+VLOOKUP(Movimientos_2026[[#This Row],[Codigo]],Plan_cuentas[],6,FALSE)," ")</f>
        <v>1 - VW - Volkswagen</v>
      </c>
      <c r="L2333" s="50"/>
      <c r="M2333" s="50">
        <v>7683165.5300000003</v>
      </c>
      <c r="N2333" s="20">
        <f>+Movimientos_2026[[#This Row],[Ingresos]]-Movimientos_2026[[#This Row],[Egresos]]</f>
        <v>-7683165.5300000003</v>
      </c>
      <c r="O2333" s="20">
        <f>+O2332+Movimientos_2026[[#This Row],[Neto]]</f>
        <v>6325659141.2484541</v>
      </c>
    </row>
    <row r="2334" spans="1:15" x14ac:dyDescent="0.25">
      <c r="A2334" s="13">
        <v>46220</v>
      </c>
      <c r="B2334" s="12">
        <f>MONTH(Movimientos_2026[[#This Row],[Fecha]])</f>
        <v>7</v>
      </c>
      <c r="C2334" s="12" t="str">
        <f>VLOOKUP((WEEKDAY(Movimientos_2026[[#This Row],[Fecha]],2)),'5. Setup'!$D$6:$E$12,2,FALSE)</f>
        <v>Vie</v>
      </c>
      <c r="D2334">
        <v>2021133</v>
      </c>
      <c r="E2334" t="str">
        <f>IFERROR(+VLOOKUP(Movimientos_2026[[#This Row],[Codigo]],Plan_cuentas[],2,FALSE)," ")</f>
        <v>EGRESOS</v>
      </c>
      <c r="F2334" t="str">
        <f>IFERROR(+VLOOKUP(Movimientos_2026[[#This Row],[Codigo]],Plan_cuentas[],3,FALSE)," ")</f>
        <v>DDJJ</v>
      </c>
      <c r="G2334" t="str">
        <f>IFERROR(+VLOOKUP(Movimientos_2026[[#This Row],[Codigo]],Plan_cuentas[],4,FALSE)," ")</f>
        <v>Entidades co-participadas</v>
      </c>
      <c r="H2334" t="str">
        <f>IFERROR(+VLOOKUP(Movimientos_2026[[#This Row],[Codigo]],Plan_cuentas[],5,FALSE)," ")</f>
        <v>BCLP</v>
      </c>
      <c r="I2334" s="43">
        <v>46174</v>
      </c>
      <c r="J2334" t="s">
        <v>1015</v>
      </c>
      <c r="K2334" t="str">
        <f>IFERROR(+VLOOKUP(Movimientos_2026[[#This Row],[Codigo]],Plan_cuentas[],6,FALSE)," ")</f>
        <v>3 - GM - Chevrolet</v>
      </c>
      <c r="L2334" s="50"/>
      <c r="M2334" s="50">
        <v>7346313</v>
      </c>
      <c r="N2334" s="20">
        <f>+Movimientos_2026[[#This Row],[Ingresos]]-Movimientos_2026[[#This Row],[Egresos]]</f>
        <v>-7346313</v>
      </c>
      <c r="O2334" s="20">
        <f>+O2333+Movimientos_2026[[#This Row],[Neto]]</f>
        <v>6318312828.2484541</v>
      </c>
    </row>
    <row r="2335" spans="1:15" x14ac:dyDescent="0.25">
      <c r="A2335" s="13">
        <v>46220</v>
      </c>
      <c r="B2335" s="12">
        <f>MONTH(Movimientos_2026[[#This Row],[Fecha]])</f>
        <v>7</v>
      </c>
      <c r="C2335" s="12" t="str">
        <f>VLOOKUP((WEEKDAY(Movimientos_2026[[#This Row],[Fecha]],2)),'5. Setup'!$D$6:$E$12,2,FALSE)</f>
        <v>Vie</v>
      </c>
      <c r="D2335">
        <v>2021134</v>
      </c>
      <c r="E2335" t="str">
        <f>IFERROR(+VLOOKUP(Movimientos_2026[[#This Row],[Codigo]],Plan_cuentas[],2,FALSE)," ")</f>
        <v>EGRESOS</v>
      </c>
      <c r="F2335" t="str">
        <f>IFERROR(+VLOOKUP(Movimientos_2026[[#This Row],[Codigo]],Plan_cuentas[],3,FALSE)," ")</f>
        <v>DDJJ</v>
      </c>
      <c r="G2335" t="str">
        <f>IFERROR(+VLOOKUP(Movimientos_2026[[#This Row],[Codigo]],Plan_cuentas[],4,FALSE)," ")</f>
        <v>Entidades co-participadas</v>
      </c>
      <c r="H2335" t="str">
        <f>IFERROR(+VLOOKUP(Movimientos_2026[[#This Row],[Codigo]],Plan_cuentas[],5,FALSE)," ")</f>
        <v>BCLP</v>
      </c>
      <c r="I2335" s="43">
        <v>46174</v>
      </c>
      <c r="J2335" t="s">
        <v>1015</v>
      </c>
      <c r="K2335" t="str">
        <f>IFERROR(+VLOOKUP(Movimientos_2026[[#This Row],[Codigo]],Plan_cuentas[],6,FALSE)," ")</f>
        <v>4 - FCA - Fiat</v>
      </c>
      <c r="L2335" s="50"/>
      <c r="M2335" s="50">
        <v>16200707.48</v>
      </c>
      <c r="N2335" s="20">
        <f>+Movimientos_2026[[#This Row],[Ingresos]]-Movimientos_2026[[#This Row],[Egresos]]</f>
        <v>-16200707.48</v>
      </c>
      <c r="O2335" s="20">
        <f>+O2334+Movimientos_2026[[#This Row],[Neto]]</f>
        <v>6302112120.7684546</v>
      </c>
    </row>
    <row r="2336" spans="1:15" x14ac:dyDescent="0.25">
      <c r="A2336" s="13">
        <v>46220</v>
      </c>
      <c r="B2336" s="12">
        <f>MONTH(Movimientos_2026[[#This Row],[Fecha]])</f>
        <v>7</v>
      </c>
      <c r="C2336" s="12" t="str">
        <f>VLOOKUP((WEEKDAY(Movimientos_2026[[#This Row],[Fecha]],2)),'5. Setup'!$D$6:$E$12,2,FALSE)</f>
        <v>Vie</v>
      </c>
      <c r="D2336">
        <v>2023141</v>
      </c>
      <c r="E2336" t="str">
        <f>IFERROR(+VLOOKUP(Movimientos_2026[[#This Row],[Codigo]],Plan_cuentas[],2,FALSE)," ")</f>
        <v>EGRESOS</v>
      </c>
      <c r="F2336" t="str">
        <f>IFERROR(+VLOOKUP(Movimientos_2026[[#This Row],[Codigo]],Plan_cuentas[],3,FALSE)," ")</f>
        <v>DDJJ</v>
      </c>
      <c r="G2336" t="str">
        <f>IFERROR(+VLOOKUP(Movimientos_2026[[#This Row],[Codigo]],Plan_cuentas[],4,FALSE)," ")</f>
        <v>Registración</v>
      </c>
      <c r="H2336" t="str">
        <f>IFERROR(+VLOOKUP(Movimientos_2026[[#This Row],[Codigo]],Plan_cuentas[],5,FALSE)," ")</f>
        <v>BUENOS AIRES</v>
      </c>
      <c r="I2336" s="43">
        <v>46174</v>
      </c>
      <c r="J2336" t="s">
        <v>1016</v>
      </c>
      <c r="K2336" t="str">
        <f>IFERROR(+VLOOKUP(Movimientos_2026[[#This Row],[Codigo]],Plan_cuentas[],6,FALSE)," ")</f>
        <v>1 - VW - Volkswagen</v>
      </c>
      <c r="L2336" s="50"/>
      <c r="M2336" s="50">
        <v>371300375.25999999</v>
      </c>
      <c r="N2336" s="20">
        <f>+Movimientos_2026[[#This Row],[Ingresos]]-Movimientos_2026[[#This Row],[Egresos]]</f>
        <v>-371300375.25999999</v>
      </c>
      <c r="O2336" s="20">
        <f>+O2335+Movimientos_2026[[#This Row],[Neto]]</f>
        <v>5930811745.5084543</v>
      </c>
    </row>
    <row r="2337" spans="1:15" x14ac:dyDescent="0.25">
      <c r="A2337" s="13">
        <v>46220</v>
      </c>
      <c r="B2337" s="12">
        <f>MONTH(Movimientos_2026[[#This Row],[Fecha]])</f>
        <v>7</v>
      </c>
      <c r="C2337" s="12" t="str">
        <f>VLOOKUP((WEEKDAY(Movimientos_2026[[#This Row],[Fecha]],2)),'5. Setup'!$D$6:$E$12,2,FALSE)</f>
        <v>Vie</v>
      </c>
      <c r="D2337">
        <v>2023142</v>
      </c>
      <c r="E2337" t="str">
        <f>IFERROR(+VLOOKUP(Movimientos_2026[[#This Row],[Codigo]],Plan_cuentas[],2,FALSE)," ")</f>
        <v>EGRESOS</v>
      </c>
      <c r="F2337" t="str">
        <f>IFERROR(+VLOOKUP(Movimientos_2026[[#This Row],[Codigo]],Plan_cuentas[],3,FALSE)," ")</f>
        <v>DDJJ</v>
      </c>
      <c r="G2337" t="str">
        <f>IFERROR(+VLOOKUP(Movimientos_2026[[#This Row],[Codigo]],Plan_cuentas[],4,FALSE)," ")</f>
        <v>Registración</v>
      </c>
      <c r="H2337" t="str">
        <f>IFERROR(+VLOOKUP(Movimientos_2026[[#This Row],[Codigo]],Plan_cuentas[],5,FALSE)," ")</f>
        <v>BUENOS AIRES</v>
      </c>
      <c r="I2337" s="43">
        <v>46174</v>
      </c>
      <c r="J2337" t="s">
        <v>1016</v>
      </c>
      <c r="K2337" t="str">
        <f>IFERROR(+VLOOKUP(Movimientos_2026[[#This Row],[Codigo]],Plan_cuentas[],6,FALSE)," ")</f>
        <v>2 - PR - Plan Rombo</v>
      </c>
      <c r="L2337" s="50"/>
      <c r="M2337" s="50">
        <v>462712458.08999997</v>
      </c>
      <c r="N2337" s="20">
        <f>+Movimientos_2026[[#This Row],[Ingresos]]-Movimientos_2026[[#This Row],[Egresos]]</f>
        <v>-462712458.08999997</v>
      </c>
      <c r="O2337" s="20">
        <f>+O2336+Movimientos_2026[[#This Row],[Neto]]</f>
        <v>5468099287.4184542</v>
      </c>
    </row>
    <row r="2338" spans="1:15" x14ac:dyDescent="0.25">
      <c r="A2338" s="13">
        <v>46220</v>
      </c>
      <c r="B2338" s="12">
        <f>MONTH(Movimientos_2026[[#This Row],[Fecha]])</f>
        <v>7</v>
      </c>
      <c r="C2338" s="12" t="str">
        <f>VLOOKUP((WEEKDAY(Movimientos_2026[[#This Row],[Fecha]],2)),'5. Setup'!$D$6:$E$12,2,FALSE)</f>
        <v>Vie</v>
      </c>
      <c r="D2338">
        <v>2023143</v>
      </c>
      <c r="E2338" t="str">
        <f>IFERROR(+VLOOKUP(Movimientos_2026[[#This Row],[Codigo]],Plan_cuentas[],2,FALSE)," ")</f>
        <v>EGRESOS</v>
      </c>
      <c r="F2338" t="str">
        <f>IFERROR(+VLOOKUP(Movimientos_2026[[#This Row],[Codigo]],Plan_cuentas[],3,FALSE)," ")</f>
        <v>DDJJ</v>
      </c>
      <c r="G2338" t="str">
        <f>IFERROR(+VLOOKUP(Movimientos_2026[[#This Row],[Codigo]],Plan_cuentas[],4,FALSE)," ")</f>
        <v>Registración</v>
      </c>
      <c r="H2338" t="str">
        <f>IFERROR(+VLOOKUP(Movimientos_2026[[#This Row],[Codigo]],Plan_cuentas[],5,FALSE)," ")</f>
        <v>BUENOS AIRES</v>
      </c>
      <c r="I2338" s="43">
        <v>46174</v>
      </c>
      <c r="J2338" t="s">
        <v>1016</v>
      </c>
      <c r="K2338" t="str">
        <f>IFERROR(+VLOOKUP(Movimientos_2026[[#This Row],[Codigo]],Plan_cuentas[],6,FALSE)," ")</f>
        <v>3 - GM - Chevrolet</v>
      </c>
      <c r="L2338" s="50"/>
      <c r="M2338" s="50">
        <v>254772798.62</v>
      </c>
      <c r="N2338" s="20">
        <f>+Movimientos_2026[[#This Row],[Ingresos]]-Movimientos_2026[[#This Row],[Egresos]]</f>
        <v>-254772798.62</v>
      </c>
      <c r="O2338" s="20">
        <f>+O2337+Movimientos_2026[[#This Row],[Neto]]</f>
        <v>5213326488.7984543</v>
      </c>
    </row>
    <row r="2339" spans="1:15" x14ac:dyDescent="0.25">
      <c r="A2339" s="13">
        <v>46220</v>
      </c>
      <c r="B2339" s="12">
        <f>MONTH(Movimientos_2026[[#This Row],[Fecha]])</f>
        <v>7</v>
      </c>
      <c r="C2339" s="12" t="str">
        <f>VLOOKUP((WEEKDAY(Movimientos_2026[[#This Row],[Fecha]],2)),'5. Setup'!$D$6:$E$12,2,FALSE)</f>
        <v>Vie</v>
      </c>
      <c r="D2339">
        <v>2023144</v>
      </c>
      <c r="E2339" t="str">
        <f>IFERROR(+VLOOKUP(Movimientos_2026[[#This Row],[Codigo]],Plan_cuentas[],2,FALSE)," ")</f>
        <v>EGRESOS</v>
      </c>
      <c r="F2339" t="str">
        <f>IFERROR(+VLOOKUP(Movimientos_2026[[#This Row],[Codigo]],Plan_cuentas[],3,FALSE)," ")</f>
        <v>DDJJ</v>
      </c>
      <c r="G2339" t="str">
        <f>IFERROR(+VLOOKUP(Movimientos_2026[[#This Row],[Codigo]],Plan_cuentas[],4,FALSE)," ")</f>
        <v>Registración</v>
      </c>
      <c r="H2339" t="str">
        <f>IFERROR(+VLOOKUP(Movimientos_2026[[#This Row],[Codigo]],Plan_cuentas[],5,FALSE)," ")</f>
        <v>BUENOS AIRES</v>
      </c>
      <c r="I2339" s="43">
        <v>46174</v>
      </c>
      <c r="J2339" t="s">
        <v>1016</v>
      </c>
      <c r="K2339" t="str">
        <f>IFERROR(+VLOOKUP(Movimientos_2026[[#This Row],[Codigo]],Plan_cuentas[],6,FALSE)," ")</f>
        <v>4 - FCA - Fiat</v>
      </c>
      <c r="L2339" s="50"/>
      <c r="M2339" s="50">
        <v>749565756.73000002</v>
      </c>
      <c r="N2339" s="20">
        <f>+Movimientos_2026[[#This Row],[Ingresos]]-Movimientos_2026[[#This Row],[Egresos]]</f>
        <v>-749565756.73000002</v>
      </c>
      <c r="O2339" s="20">
        <f>+O2338+Movimientos_2026[[#This Row],[Neto]]</f>
        <v>4463760732.0684547</v>
      </c>
    </row>
    <row r="2340" spans="1:15" x14ac:dyDescent="0.25">
      <c r="A2340" s="13">
        <v>46220</v>
      </c>
      <c r="B2340" s="12">
        <f>MONTH(Movimientos_2026[[#This Row],[Fecha]])</f>
        <v>7</v>
      </c>
      <c r="C2340" s="12" t="str">
        <f>VLOOKUP((WEEKDAY(Movimientos_2026[[#This Row],[Fecha]],2)),'5. Setup'!$D$6:$E$12,2,FALSE)</f>
        <v>Vie</v>
      </c>
      <c r="D2340">
        <v>2021441</v>
      </c>
      <c r="E2340" t="str">
        <f>IFERROR(+VLOOKUP(Movimientos_2026[[#This Row],[Codigo]],Plan_cuentas[],2,FALSE)," ")</f>
        <v>EGRESOS</v>
      </c>
      <c r="F2340" t="str">
        <f>IFERROR(+VLOOKUP(Movimientos_2026[[#This Row],[Codigo]],Plan_cuentas[],3,FALSE)," ")</f>
        <v>DDJJ</v>
      </c>
      <c r="G2340" t="str">
        <f>IFERROR(+VLOOKUP(Movimientos_2026[[#This Row],[Codigo]],Plan_cuentas[],4,FALSE)," ")</f>
        <v>Entidades co-participadas</v>
      </c>
      <c r="H2340" t="str">
        <f>IFERROR(+VLOOKUP(Movimientos_2026[[#This Row],[Codigo]],Plan_cuentas[],5,FALSE)," ")</f>
        <v>UISCUMARR</v>
      </c>
      <c r="I2340" s="43">
        <v>46174</v>
      </c>
      <c r="J2340" t="s">
        <v>1017</v>
      </c>
      <c r="K2340" t="str">
        <f>IFERROR(+VLOOKUP(Movimientos_2026[[#This Row],[Codigo]],Plan_cuentas[],6,FALSE)," ")</f>
        <v>1 - VW - Volkswagen</v>
      </c>
      <c r="L2340" s="50"/>
      <c r="M2340" s="50">
        <v>88598412.030000001</v>
      </c>
      <c r="N2340" s="20">
        <f>+Movimientos_2026[[#This Row],[Ingresos]]-Movimientos_2026[[#This Row],[Egresos]]</f>
        <v>-88598412.030000001</v>
      </c>
      <c r="O2340" s="20">
        <f>+O2339+Movimientos_2026[[#This Row],[Neto]]</f>
        <v>4375162320.038455</v>
      </c>
    </row>
    <row r="2341" spans="1:15" x14ac:dyDescent="0.25">
      <c r="A2341" s="13">
        <v>46220</v>
      </c>
      <c r="B2341" s="12">
        <f>MONTH(Movimientos_2026[[#This Row],[Fecha]])</f>
        <v>7</v>
      </c>
      <c r="C2341" s="12" t="str">
        <f>VLOOKUP((WEEKDAY(Movimientos_2026[[#This Row],[Fecha]],2)),'5. Setup'!$D$6:$E$12,2,FALSE)</f>
        <v>Vie</v>
      </c>
      <c r="D2341">
        <v>2021443</v>
      </c>
      <c r="E2341" t="str">
        <f>IFERROR(+VLOOKUP(Movimientos_2026[[#This Row],[Codigo]],Plan_cuentas[],2,FALSE)," ")</f>
        <v>EGRESOS</v>
      </c>
      <c r="F2341" t="str">
        <f>IFERROR(+VLOOKUP(Movimientos_2026[[#This Row],[Codigo]],Plan_cuentas[],3,FALSE)," ")</f>
        <v>DDJJ</v>
      </c>
      <c r="G2341" t="str">
        <f>IFERROR(+VLOOKUP(Movimientos_2026[[#This Row],[Codigo]],Plan_cuentas[],4,FALSE)," ")</f>
        <v>Entidades co-participadas</v>
      </c>
      <c r="H2341" t="str">
        <f>IFERROR(+VLOOKUP(Movimientos_2026[[#This Row],[Codigo]],Plan_cuentas[],5,FALSE)," ")</f>
        <v>UISCUMARR</v>
      </c>
      <c r="I2341" s="43">
        <v>46174</v>
      </c>
      <c r="J2341" t="s">
        <v>1017</v>
      </c>
      <c r="K2341" t="str">
        <f>IFERROR(+VLOOKUP(Movimientos_2026[[#This Row],[Codigo]],Plan_cuentas[],6,FALSE)," ")</f>
        <v>3 - GM - Chevrolet</v>
      </c>
      <c r="L2341" s="50"/>
      <c r="M2341" s="50">
        <v>28622109.920000002</v>
      </c>
      <c r="N2341" s="20">
        <f>+Movimientos_2026[[#This Row],[Ingresos]]-Movimientos_2026[[#This Row],[Egresos]]</f>
        <v>-28622109.920000002</v>
      </c>
      <c r="O2341" s="20">
        <f>+O2340+Movimientos_2026[[#This Row],[Neto]]</f>
        <v>4346540210.1184549</v>
      </c>
    </row>
    <row r="2342" spans="1:15" ht="14.25" customHeight="1" x14ac:dyDescent="0.25">
      <c r="A2342" s="13">
        <v>46220</v>
      </c>
      <c r="B2342" s="12">
        <f>MONTH(Movimientos_2026[[#This Row],[Fecha]])</f>
        <v>7</v>
      </c>
      <c r="C2342" s="12" t="str">
        <f>VLOOKUP((WEEKDAY(Movimientos_2026[[#This Row],[Fecha]],2)),'5. Setup'!$D$6:$E$12,2,FALSE)</f>
        <v>Vie</v>
      </c>
      <c r="D2342">
        <v>2021444</v>
      </c>
      <c r="E2342" t="str">
        <f>IFERROR(+VLOOKUP(Movimientos_2026[[#This Row],[Codigo]],Plan_cuentas[],2,FALSE)," ")</f>
        <v>EGRESOS</v>
      </c>
      <c r="F2342" t="str">
        <f>IFERROR(+VLOOKUP(Movimientos_2026[[#This Row],[Codigo]],Plan_cuentas[],3,FALSE)," ")</f>
        <v>DDJJ</v>
      </c>
      <c r="G2342" t="str">
        <f>IFERROR(+VLOOKUP(Movimientos_2026[[#This Row],[Codigo]],Plan_cuentas[],4,FALSE)," ")</f>
        <v>Entidades co-participadas</v>
      </c>
      <c r="H2342" t="str">
        <f>IFERROR(+VLOOKUP(Movimientos_2026[[#This Row],[Codigo]],Plan_cuentas[],5,FALSE)," ")</f>
        <v>UISCUMARR</v>
      </c>
      <c r="I2342" s="43">
        <v>46174</v>
      </c>
      <c r="J2342" t="s">
        <v>1017</v>
      </c>
      <c r="K2342" t="str">
        <f>IFERROR(+VLOOKUP(Movimientos_2026[[#This Row],[Codigo]],Plan_cuentas[],6,FALSE)," ")</f>
        <v>4 - FCA - Fiat</v>
      </c>
      <c r="L2342" s="50"/>
      <c r="M2342" s="50">
        <v>152273503.56</v>
      </c>
      <c r="N2342" s="20">
        <f>+Movimientos_2026[[#This Row],[Ingresos]]-Movimientos_2026[[#This Row],[Egresos]]</f>
        <v>-152273503.56</v>
      </c>
      <c r="O2342" s="20">
        <f>+O2341+Movimientos_2026[[#This Row],[Neto]]</f>
        <v>4194266706.558455</v>
      </c>
    </row>
    <row r="2343" spans="1:15" x14ac:dyDescent="0.25">
      <c r="A2343" s="13">
        <v>46220</v>
      </c>
      <c r="B2343" s="12">
        <f>MONTH(Movimientos_2026[[#This Row],[Fecha]])</f>
        <v>7</v>
      </c>
      <c r="C2343" s="12" t="str">
        <f>VLOOKUP((WEEKDAY(Movimientos_2026[[#This Row],[Fecha]],2)),'5. Setup'!$D$6:$E$12,2,FALSE)</f>
        <v>Vie</v>
      </c>
      <c r="D2343">
        <v>1044212</v>
      </c>
      <c r="E2343" t="str">
        <f>IFERROR(+VLOOKUP(Movimientos_2026[[#This Row],[Codigo]],Plan_cuentas[],2,FALSE)," ")</f>
        <v>INGRESOS</v>
      </c>
      <c r="F2343" t="str">
        <f>IFERROR(+VLOOKUP(Movimientos_2026[[#This Row],[Codigo]],Plan_cuentas[],3,FALSE)," ")</f>
        <v>Transferencia</v>
      </c>
      <c r="G2343" t="str">
        <f>IFERROR(+VLOOKUP(Movimientos_2026[[#This Row],[Codigo]],Plan_cuentas[],4,FALSE)," ")</f>
        <v>Rentas</v>
      </c>
      <c r="H2343" t="str">
        <f>IFERROR(+VLOOKUP(Movimientos_2026[[#This Row],[Codigo]],Plan_cuentas[],5,FALSE)," ")</f>
        <v>CORRIENTES 2° Q</v>
      </c>
      <c r="I2343" s="43">
        <v>46174</v>
      </c>
      <c r="J2343" t="s">
        <v>1018</v>
      </c>
      <c r="K2343" t="str">
        <f>IFERROR(+VLOOKUP(Movimientos_2026[[#This Row],[Codigo]],Plan_cuentas[],6,FALSE)," ")</f>
        <v>2 - PR - Plan Rombo</v>
      </c>
      <c r="L2343" s="50">
        <v>10639468.15</v>
      </c>
      <c r="M2343" s="50"/>
      <c r="N2343" s="20">
        <f>+Movimientos_2026[[#This Row],[Ingresos]]-Movimientos_2026[[#This Row],[Egresos]]</f>
        <v>10639468.15</v>
      </c>
      <c r="O2343" s="20">
        <f>+O2342+Movimientos_2026[[#This Row],[Neto]]</f>
        <v>4204906174.7084551</v>
      </c>
    </row>
    <row r="2344" spans="1:15" x14ac:dyDescent="0.25">
      <c r="A2344" s="13">
        <v>46220</v>
      </c>
      <c r="B2344" s="12">
        <f>MONTH(Movimientos_2026[[#This Row],[Fecha]])</f>
        <v>7</v>
      </c>
      <c r="C2344" s="12" t="str">
        <f>VLOOKUP((WEEKDAY(Movimientos_2026[[#This Row],[Fecha]],2)),'5. Setup'!$D$6:$E$12,2,FALSE)</f>
        <v>Vie</v>
      </c>
      <c r="D2344">
        <v>1044462</v>
      </c>
      <c r="E2344" t="str">
        <f>IFERROR(+VLOOKUP(Movimientos_2026[[#This Row],[Codigo]],Plan_cuentas[],2,FALSE)," ")</f>
        <v>INGRESOS</v>
      </c>
      <c r="F2344" t="str">
        <f>IFERROR(+VLOOKUP(Movimientos_2026[[#This Row],[Codigo]],Plan_cuentas[],3,FALSE)," ")</f>
        <v>Transferencia</v>
      </c>
      <c r="G2344" t="str">
        <f>IFERROR(+VLOOKUP(Movimientos_2026[[#This Row],[Codigo]],Plan_cuentas[],4,FALSE)," ")</f>
        <v>Rentas</v>
      </c>
      <c r="H2344" t="str">
        <f>IFERROR(+VLOOKUP(Movimientos_2026[[#This Row],[Codigo]],Plan_cuentas[],5,FALSE)," ")</f>
        <v>MISIONES</v>
      </c>
      <c r="I2344" s="43">
        <v>46174</v>
      </c>
      <c r="J2344" t="s">
        <v>1018</v>
      </c>
      <c r="K2344" t="str">
        <f>IFERROR(+VLOOKUP(Movimientos_2026[[#This Row],[Codigo]],Plan_cuentas[],6,FALSE)," ")</f>
        <v>2 - PR - Plan Rombo</v>
      </c>
      <c r="L2344" s="50">
        <v>1666914.78</v>
      </c>
      <c r="M2344" s="50"/>
      <c r="N2344" s="20">
        <f>+Movimientos_2026[[#This Row],[Ingresos]]-Movimientos_2026[[#This Row],[Egresos]]</f>
        <v>1666914.78</v>
      </c>
      <c r="O2344" s="20">
        <f>+O2343+Movimientos_2026[[#This Row],[Neto]]</f>
        <v>4206573089.4884553</v>
      </c>
    </row>
    <row r="2345" spans="1:15" x14ac:dyDescent="0.25">
      <c r="A2345" s="13">
        <v>46220</v>
      </c>
      <c r="B2345" s="12">
        <f>MONTH(Movimientos_2026[[#This Row],[Fecha]])</f>
        <v>7</v>
      </c>
      <c r="C2345" s="12" t="str">
        <f>VLOOKUP((WEEKDAY(Movimientos_2026[[#This Row],[Fecha]],2)),'5. Setup'!$D$6:$E$12,2,FALSE)</f>
        <v>Vie</v>
      </c>
      <c r="D2345">
        <v>1044322</v>
      </c>
      <c r="E2345" t="str">
        <f>IFERROR(+VLOOKUP(Movimientos_2026[[#This Row],[Codigo]],Plan_cuentas[],2,FALSE)," ")</f>
        <v>INGRESOS</v>
      </c>
      <c r="F2345" t="str">
        <f>IFERROR(+VLOOKUP(Movimientos_2026[[#This Row],[Codigo]],Plan_cuentas[],3,FALSE)," ")</f>
        <v>Transferencia</v>
      </c>
      <c r="G2345" t="str">
        <f>IFERROR(+VLOOKUP(Movimientos_2026[[#This Row],[Codigo]],Plan_cuentas[],4,FALSE)," ")</f>
        <v>Rentas</v>
      </c>
      <c r="H2345" t="str">
        <f>IFERROR(+VLOOKUP(Movimientos_2026[[#This Row],[Codigo]],Plan_cuentas[],5,FALSE)," ")</f>
        <v>NEUQUEN 2° Q</v>
      </c>
      <c r="I2345" s="43">
        <v>46174</v>
      </c>
      <c r="J2345" t="s">
        <v>1018</v>
      </c>
      <c r="K2345" t="str">
        <f>IFERROR(+VLOOKUP(Movimientos_2026[[#This Row],[Codigo]],Plan_cuentas[],6,FALSE)," ")</f>
        <v>2 - PR - Plan Rombo</v>
      </c>
      <c r="L2345" s="50">
        <v>22299800</v>
      </c>
      <c r="M2345" s="50"/>
      <c r="N2345" s="20">
        <f>+Movimientos_2026[[#This Row],[Ingresos]]-Movimientos_2026[[#This Row],[Egresos]]</f>
        <v>22299800</v>
      </c>
      <c r="O2345" s="20">
        <f>+O2344+Movimientos_2026[[#This Row],[Neto]]</f>
        <v>4228872889.4884553</v>
      </c>
    </row>
    <row r="2346" spans="1:15" x14ac:dyDescent="0.25">
      <c r="A2346" s="13">
        <v>46220</v>
      </c>
      <c r="B2346" s="12">
        <f>MONTH(Movimientos_2026[[#This Row],[Fecha]])</f>
        <v>7</v>
      </c>
      <c r="C2346" s="12" t="str">
        <f>VLOOKUP((WEEKDAY(Movimientos_2026[[#This Row],[Fecha]],2)),'5. Setup'!$D$6:$E$12,2,FALSE)</f>
        <v>Vie</v>
      </c>
      <c r="D2346">
        <v>1044162</v>
      </c>
      <c r="E2346" t="str">
        <f>IFERROR(+VLOOKUP(Movimientos_2026[[#This Row],[Codigo]],Plan_cuentas[],2,FALSE)," ")</f>
        <v>INGRESOS</v>
      </c>
      <c r="F2346" t="str">
        <f>IFERROR(+VLOOKUP(Movimientos_2026[[#This Row],[Codigo]],Plan_cuentas[],3,FALSE)," ")</f>
        <v>Transferencia</v>
      </c>
      <c r="G2346" t="str">
        <f>IFERROR(+VLOOKUP(Movimientos_2026[[#This Row],[Codigo]],Plan_cuentas[],4,FALSE)," ")</f>
        <v>Rentas</v>
      </c>
      <c r="H2346" t="str">
        <f>IFERROR(+VLOOKUP(Movimientos_2026[[#This Row],[Codigo]],Plan_cuentas[],5,FALSE)," ")</f>
        <v>CHACO</v>
      </c>
      <c r="I2346" s="43">
        <v>46174</v>
      </c>
      <c r="J2346" t="s">
        <v>1018</v>
      </c>
      <c r="K2346" t="str">
        <f>IFERROR(+VLOOKUP(Movimientos_2026[[#This Row],[Codigo]],Plan_cuentas[],6,FALSE)," ")</f>
        <v>2 - PR - Plan Rombo</v>
      </c>
      <c r="L2346" s="50">
        <v>1818883.1</v>
      </c>
      <c r="M2346" s="50"/>
      <c r="N2346" s="20">
        <f>+Movimientos_2026[[#This Row],[Ingresos]]-Movimientos_2026[[#This Row],[Egresos]]</f>
        <v>1818883.1</v>
      </c>
      <c r="O2346" s="20">
        <f>+O2345+Movimientos_2026[[#This Row],[Neto]]</f>
        <v>4230691772.5884552</v>
      </c>
    </row>
    <row r="2347" spans="1:15" x14ac:dyDescent="0.25">
      <c r="A2347" s="13">
        <v>46220</v>
      </c>
      <c r="B2347" s="12">
        <f>MONTH(Movimientos_2026[[#This Row],[Fecha]])</f>
        <v>7</v>
      </c>
      <c r="C2347" s="12" t="str">
        <f>VLOOKUP((WEEKDAY(Movimientos_2026[[#This Row],[Fecha]],2)),'5. Setup'!$D$6:$E$12,2,FALSE)</f>
        <v>Vie</v>
      </c>
      <c r="D2347">
        <v>1044262</v>
      </c>
      <c r="E2347" t="str">
        <f>IFERROR(+VLOOKUP(Movimientos_2026[[#This Row],[Codigo]],Plan_cuentas[],2,FALSE)," ")</f>
        <v>INGRESOS</v>
      </c>
      <c r="F2347" t="str">
        <f>IFERROR(+VLOOKUP(Movimientos_2026[[#This Row],[Codigo]],Plan_cuentas[],3,FALSE)," ")</f>
        <v>Transferencia</v>
      </c>
      <c r="G2347" t="str">
        <f>IFERROR(+VLOOKUP(Movimientos_2026[[#This Row],[Codigo]],Plan_cuentas[],4,FALSE)," ")</f>
        <v>Rentas</v>
      </c>
      <c r="H2347" t="str">
        <f>IFERROR(+VLOOKUP(Movimientos_2026[[#This Row],[Codigo]],Plan_cuentas[],5,FALSE)," ")</f>
        <v>LA PAMPA</v>
      </c>
      <c r="I2347" s="43">
        <v>46174</v>
      </c>
      <c r="J2347" t="s">
        <v>1018</v>
      </c>
      <c r="K2347" t="str">
        <f>IFERROR(+VLOOKUP(Movimientos_2026[[#This Row],[Codigo]],Plan_cuentas[],6,FALSE)," ")</f>
        <v>2 - PR - Plan Rombo</v>
      </c>
      <c r="L2347" s="50">
        <v>5694850</v>
      </c>
      <c r="M2347" s="50"/>
      <c r="N2347" s="20">
        <f>+Movimientos_2026[[#This Row],[Ingresos]]-Movimientos_2026[[#This Row],[Egresos]]</f>
        <v>5694850</v>
      </c>
      <c r="O2347" s="20">
        <f>+O2346+Movimientos_2026[[#This Row],[Neto]]</f>
        <v>4236386622.5884552</v>
      </c>
    </row>
    <row r="2348" spans="1:15" ht="15.75" customHeight="1" x14ac:dyDescent="0.25">
      <c r="A2348" s="13">
        <v>46220</v>
      </c>
      <c r="B2348" s="12">
        <f>MONTH(Movimientos_2026[[#This Row],[Fecha]])</f>
        <v>7</v>
      </c>
      <c r="C2348" s="12" t="str">
        <f>VLOOKUP((WEEKDAY(Movimientos_2026[[#This Row],[Fecha]],2)),'5. Setup'!$D$6:$E$12,2,FALSE)</f>
        <v>Vie</v>
      </c>
      <c r="D2348">
        <v>1044272</v>
      </c>
      <c r="E2348" t="str">
        <f>IFERROR(+VLOOKUP(Movimientos_2026[[#This Row],[Codigo]],Plan_cuentas[],2,FALSE)," ")</f>
        <v>INGRESOS</v>
      </c>
      <c r="F2348" t="str">
        <f>IFERROR(+VLOOKUP(Movimientos_2026[[#This Row],[Codigo]],Plan_cuentas[],3,FALSE)," ")</f>
        <v>Transferencia</v>
      </c>
      <c r="G2348" t="str">
        <f>IFERROR(+VLOOKUP(Movimientos_2026[[#This Row],[Codigo]],Plan_cuentas[],4,FALSE)," ")</f>
        <v>Rentas</v>
      </c>
      <c r="H2348" t="str">
        <f>IFERROR(+VLOOKUP(Movimientos_2026[[#This Row],[Codigo]],Plan_cuentas[],5,FALSE)," ")</f>
        <v>LA RIOJA</v>
      </c>
      <c r="I2348" s="43">
        <v>46174</v>
      </c>
      <c r="J2348" t="s">
        <v>1018</v>
      </c>
      <c r="K2348" t="str">
        <f>IFERROR(+VLOOKUP(Movimientos_2026[[#This Row],[Codigo]],Plan_cuentas[],6,FALSE)," ")</f>
        <v>2 - PR - Plan Rombo</v>
      </c>
      <c r="L2348" s="50">
        <v>5112461.66</v>
      </c>
      <c r="M2348" s="50"/>
      <c r="N2348" s="20">
        <f>+Movimientos_2026[[#This Row],[Ingresos]]-Movimientos_2026[[#This Row],[Egresos]]</f>
        <v>5112461.66</v>
      </c>
      <c r="O2348" s="20">
        <f>+O2347+Movimientos_2026[[#This Row],[Neto]]</f>
        <v>4241499084.248455</v>
      </c>
    </row>
    <row r="2349" spans="1:15" ht="15.75" customHeight="1" x14ac:dyDescent="0.25">
      <c r="A2349" s="13">
        <v>46220</v>
      </c>
      <c r="B2349" s="12">
        <f>MONTH(Movimientos_2026[[#This Row],[Fecha]])</f>
        <v>7</v>
      </c>
      <c r="C2349" s="12" t="str">
        <f>VLOOKUP((WEEKDAY(Movimientos_2026[[#This Row],[Fecha]],2)),'5. Setup'!$D$6:$E$12,2,FALSE)</f>
        <v>Vie</v>
      </c>
      <c r="D2349">
        <v>1044282</v>
      </c>
      <c r="E2349" t="str">
        <f>IFERROR(+VLOOKUP(Movimientos_2026[[#This Row],[Codigo]],Plan_cuentas[],2,FALSE)," ")</f>
        <v>INGRESOS</v>
      </c>
      <c r="F2349" t="str">
        <f>IFERROR(+VLOOKUP(Movimientos_2026[[#This Row],[Codigo]],Plan_cuentas[],3,FALSE)," ")</f>
        <v>Transferencia</v>
      </c>
      <c r="G2349" t="str">
        <f>IFERROR(+VLOOKUP(Movimientos_2026[[#This Row],[Codigo]],Plan_cuentas[],4,FALSE)," ")</f>
        <v>Rentas</v>
      </c>
      <c r="H2349" t="str">
        <f>IFERROR(+VLOOKUP(Movimientos_2026[[#This Row],[Codigo]],Plan_cuentas[],5,FALSE)," ")</f>
        <v>MENDOZA</v>
      </c>
      <c r="I2349" s="43">
        <v>46174</v>
      </c>
      <c r="J2349" t="s">
        <v>1018</v>
      </c>
      <c r="K2349" t="str">
        <f>IFERROR(+VLOOKUP(Movimientos_2026[[#This Row],[Codigo]],Plan_cuentas[],6,FALSE)," ")</f>
        <v>2 - PR - Plan Rombo</v>
      </c>
      <c r="L2349" s="50">
        <v>54613125</v>
      </c>
      <c r="M2349" s="50"/>
      <c r="N2349" s="20">
        <f>+Movimientos_2026[[#This Row],[Ingresos]]-Movimientos_2026[[#This Row],[Egresos]]</f>
        <v>54613125</v>
      </c>
      <c r="O2349" s="20">
        <f>+O2348+Movimientos_2026[[#This Row],[Neto]]</f>
        <v>4296112209.248455</v>
      </c>
    </row>
    <row r="2350" spans="1:15" ht="15.75" customHeight="1" x14ac:dyDescent="0.25">
      <c r="A2350" s="13">
        <v>46220</v>
      </c>
      <c r="B2350" s="12">
        <f>MONTH(Movimientos_2026[[#This Row],[Fecha]])</f>
        <v>7</v>
      </c>
      <c r="C2350" s="12" t="str">
        <f>VLOOKUP((WEEKDAY(Movimientos_2026[[#This Row],[Fecha]],2)),'5. Setup'!$D$6:$E$12,2,FALSE)</f>
        <v>Vie</v>
      </c>
      <c r="D2350">
        <v>1044342</v>
      </c>
      <c r="E2350" t="str">
        <f>IFERROR(+VLOOKUP(Movimientos_2026[[#This Row],[Codigo]],Plan_cuentas[],2,FALSE)," ")</f>
        <v>INGRESOS</v>
      </c>
      <c r="F2350" t="str">
        <f>IFERROR(+VLOOKUP(Movimientos_2026[[#This Row],[Codigo]],Plan_cuentas[],3,FALSE)," ")</f>
        <v>Transferencia</v>
      </c>
      <c r="G2350" t="str">
        <f>IFERROR(+VLOOKUP(Movimientos_2026[[#This Row],[Codigo]],Plan_cuentas[],4,FALSE)," ")</f>
        <v>Rentas</v>
      </c>
      <c r="H2350" t="str">
        <f>IFERROR(+VLOOKUP(Movimientos_2026[[#This Row],[Codigo]],Plan_cuentas[],5,FALSE)," ")</f>
        <v>RIO NEGRO</v>
      </c>
      <c r="I2350" s="43">
        <v>46174</v>
      </c>
      <c r="J2350" t="s">
        <v>1018</v>
      </c>
      <c r="K2350" t="str">
        <f>IFERROR(+VLOOKUP(Movimientos_2026[[#This Row],[Codigo]],Plan_cuentas[],6,FALSE)," ")</f>
        <v>2 - PR - Plan Rombo</v>
      </c>
      <c r="L2350" s="50">
        <v>9024893.0399999991</v>
      </c>
      <c r="M2350" s="50"/>
      <c r="N2350" s="20">
        <f>+Movimientos_2026[[#This Row],[Ingresos]]-Movimientos_2026[[#This Row],[Egresos]]</f>
        <v>9024893.0399999991</v>
      </c>
      <c r="O2350" s="20">
        <f>+O2349+Movimientos_2026[[#This Row],[Neto]]</f>
        <v>4305137102.288455</v>
      </c>
    </row>
    <row r="2351" spans="1:15" ht="15.75" customHeight="1" x14ac:dyDescent="0.25">
      <c r="A2351" s="13">
        <v>46220</v>
      </c>
      <c r="B2351" s="12">
        <f>MONTH(Movimientos_2026[[#This Row],[Fecha]])</f>
        <v>7</v>
      </c>
      <c r="C2351" s="12" t="str">
        <f>VLOOKUP((WEEKDAY(Movimientos_2026[[#This Row],[Fecha]],2)),'5. Setup'!$D$6:$E$12,2,FALSE)</f>
        <v>Vie</v>
      </c>
      <c r="D2351">
        <v>1044352</v>
      </c>
      <c r="E2351" t="str">
        <f>IFERROR(+VLOOKUP(Movimientos_2026[[#This Row],[Codigo]],Plan_cuentas[],2,FALSE)," ")</f>
        <v>INGRESOS</v>
      </c>
      <c r="F2351" t="str">
        <f>IFERROR(+VLOOKUP(Movimientos_2026[[#This Row],[Codigo]],Plan_cuentas[],3,FALSE)," ")</f>
        <v>Transferencia</v>
      </c>
      <c r="G2351" t="str">
        <f>IFERROR(+VLOOKUP(Movimientos_2026[[#This Row],[Codigo]],Plan_cuentas[],4,FALSE)," ")</f>
        <v>Rentas</v>
      </c>
      <c r="H2351" t="str">
        <f>IFERROR(+VLOOKUP(Movimientos_2026[[#This Row],[Codigo]],Plan_cuentas[],5,FALSE)," ")</f>
        <v>SAN JUAN</v>
      </c>
      <c r="I2351" s="43">
        <v>46174</v>
      </c>
      <c r="J2351" t="s">
        <v>1018</v>
      </c>
      <c r="K2351" t="str">
        <f>IFERROR(+VLOOKUP(Movimientos_2026[[#This Row],[Codigo]],Plan_cuentas[],6,FALSE)," ")</f>
        <v>2 - PR - Plan Rombo</v>
      </c>
      <c r="L2351" s="50">
        <v>9101442.3200000003</v>
      </c>
      <c r="M2351" s="50"/>
      <c r="N2351" s="20">
        <f>+Movimientos_2026[[#This Row],[Ingresos]]-Movimientos_2026[[#This Row],[Egresos]]</f>
        <v>9101442.3200000003</v>
      </c>
      <c r="O2351" s="20">
        <f>+O2350+Movimientos_2026[[#This Row],[Neto]]</f>
        <v>4314238544.6084547</v>
      </c>
    </row>
    <row r="2352" spans="1:15" ht="15.75" customHeight="1" x14ac:dyDescent="0.25">
      <c r="A2352" s="13">
        <v>46220</v>
      </c>
      <c r="B2352" s="12">
        <f>MONTH(Movimientos_2026[[#This Row],[Fecha]])</f>
        <v>7</v>
      </c>
      <c r="C2352" s="12" t="str">
        <f>VLOOKUP((WEEKDAY(Movimientos_2026[[#This Row],[Fecha]],2)),'5. Setup'!$D$6:$E$12,2,FALSE)</f>
        <v>Vie</v>
      </c>
      <c r="D2352">
        <v>1044362</v>
      </c>
      <c r="E2352" t="str">
        <f>IFERROR(+VLOOKUP(Movimientos_2026[[#This Row],[Codigo]],Plan_cuentas[],2,FALSE)," ")</f>
        <v>INGRESOS</v>
      </c>
      <c r="F2352" t="str">
        <f>IFERROR(+VLOOKUP(Movimientos_2026[[#This Row],[Codigo]],Plan_cuentas[],3,FALSE)," ")</f>
        <v>Transferencia</v>
      </c>
      <c r="G2352" t="str">
        <f>IFERROR(+VLOOKUP(Movimientos_2026[[#This Row],[Codigo]],Plan_cuentas[],4,FALSE)," ")</f>
        <v>Rentas</v>
      </c>
      <c r="H2352" t="str">
        <f>IFERROR(+VLOOKUP(Movimientos_2026[[#This Row],[Codigo]],Plan_cuentas[],5,FALSE)," ")</f>
        <v>SAN LUIS</v>
      </c>
      <c r="I2352" s="43">
        <v>46174</v>
      </c>
      <c r="J2352" t="s">
        <v>1018</v>
      </c>
      <c r="K2352" t="str">
        <f>IFERROR(+VLOOKUP(Movimientos_2026[[#This Row],[Codigo]],Plan_cuentas[],6,FALSE)," ")</f>
        <v>2 - PR - Plan Rombo</v>
      </c>
      <c r="L2352" s="50">
        <v>11816324.34</v>
      </c>
      <c r="M2352" s="50"/>
      <c r="N2352" s="20">
        <f>+Movimientos_2026[[#This Row],[Ingresos]]-Movimientos_2026[[#This Row],[Egresos]]</f>
        <v>11816324.34</v>
      </c>
      <c r="O2352" s="20">
        <f>+O2351+Movimientos_2026[[#This Row],[Neto]]</f>
        <v>4326054868.9484549</v>
      </c>
    </row>
    <row r="2353" spans="1:15" ht="15.75" customHeight="1" x14ac:dyDescent="0.25">
      <c r="A2353" s="13">
        <v>46220</v>
      </c>
      <c r="B2353" s="12">
        <f>MONTH(Movimientos_2026[[#This Row],[Fecha]])</f>
        <v>7</v>
      </c>
      <c r="C2353" s="12" t="str">
        <f>VLOOKUP((WEEKDAY(Movimientos_2026[[#This Row],[Fecha]],2)),'5. Setup'!$D$6:$E$12,2,FALSE)</f>
        <v>Vie</v>
      </c>
      <c r="D2353">
        <v>1044372</v>
      </c>
      <c r="E2353" t="str">
        <f>IFERROR(+VLOOKUP(Movimientos_2026[[#This Row],[Codigo]],Plan_cuentas[],2,FALSE)," ")</f>
        <v>INGRESOS</v>
      </c>
      <c r="F2353" t="str">
        <f>IFERROR(+VLOOKUP(Movimientos_2026[[#This Row],[Codigo]],Plan_cuentas[],3,FALSE)," ")</f>
        <v>Transferencia</v>
      </c>
      <c r="G2353" t="str">
        <f>IFERROR(+VLOOKUP(Movimientos_2026[[#This Row],[Codigo]],Plan_cuentas[],4,FALSE)," ")</f>
        <v>Rentas</v>
      </c>
      <c r="H2353" t="str">
        <f>IFERROR(+VLOOKUP(Movimientos_2026[[#This Row],[Codigo]],Plan_cuentas[],5,FALSE)," ")</f>
        <v>SANTA CRUZ</v>
      </c>
      <c r="I2353" s="43">
        <v>46174</v>
      </c>
      <c r="J2353" t="s">
        <v>1018</v>
      </c>
      <c r="K2353" t="str">
        <f>IFERROR(+VLOOKUP(Movimientos_2026[[#This Row],[Codigo]],Plan_cuentas[],6,FALSE)," ")</f>
        <v>2 - PR - Plan Rombo</v>
      </c>
      <c r="L2353" s="50">
        <v>37043310.759999998</v>
      </c>
      <c r="M2353" s="50"/>
      <c r="N2353" s="20">
        <f>+Movimientos_2026[[#This Row],[Ingresos]]-Movimientos_2026[[#This Row],[Egresos]]</f>
        <v>37043310.759999998</v>
      </c>
      <c r="O2353" s="20">
        <f>+O2352+Movimientos_2026[[#This Row],[Neto]]</f>
        <v>4363098179.7084551</v>
      </c>
    </row>
    <row r="2354" spans="1:15" ht="15.75" customHeight="1" x14ac:dyDescent="0.25">
      <c r="A2354" s="13">
        <v>46220</v>
      </c>
      <c r="B2354" s="12">
        <f>MONTH(Movimientos_2026[[#This Row],[Fecha]])</f>
        <v>7</v>
      </c>
      <c r="C2354" s="12" t="str">
        <f>VLOOKUP((WEEKDAY(Movimientos_2026[[#This Row],[Fecha]],2)),'5. Setup'!$D$6:$E$12,2,FALSE)</f>
        <v>Vie</v>
      </c>
      <c r="D2354">
        <v>1044402</v>
      </c>
      <c r="E2354" t="str">
        <f>IFERROR(+VLOOKUP(Movimientos_2026[[#This Row],[Codigo]],Plan_cuentas[],2,FALSE)," ")</f>
        <v>INGRESOS</v>
      </c>
      <c r="F2354" t="str">
        <f>IFERROR(+VLOOKUP(Movimientos_2026[[#This Row],[Codigo]],Plan_cuentas[],3,FALSE)," ")</f>
        <v>Transferencia</v>
      </c>
      <c r="G2354" t="str">
        <f>IFERROR(+VLOOKUP(Movimientos_2026[[#This Row],[Codigo]],Plan_cuentas[],4,FALSE)," ")</f>
        <v>Rentas</v>
      </c>
      <c r="H2354" t="str">
        <f>IFERROR(+VLOOKUP(Movimientos_2026[[#This Row],[Codigo]],Plan_cuentas[],5,FALSE)," ")</f>
        <v>SANTIAGO DEL ESTERO</v>
      </c>
      <c r="I2354" s="43">
        <v>46174</v>
      </c>
      <c r="J2354" t="s">
        <v>1018</v>
      </c>
      <c r="K2354" t="str">
        <f>IFERROR(+VLOOKUP(Movimientos_2026[[#This Row],[Codigo]],Plan_cuentas[],6,FALSE)," ")</f>
        <v>2 - PR - Plan Rombo</v>
      </c>
      <c r="L2354" s="50">
        <v>18615477.41</v>
      </c>
      <c r="M2354" s="50"/>
      <c r="N2354" s="20">
        <f>+Movimientos_2026[[#This Row],[Ingresos]]-Movimientos_2026[[#This Row],[Egresos]]</f>
        <v>18615477.41</v>
      </c>
      <c r="O2354" s="20">
        <f>+O2353+Movimientos_2026[[#This Row],[Neto]]</f>
        <v>4381713657.1184549</v>
      </c>
    </row>
    <row r="2355" spans="1:15" ht="15.75" customHeight="1" x14ac:dyDescent="0.25">
      <c r="A2355" s="13">
        <v>46220</v>
      </c>
      <c r="B2355" s="12">
        <f>MONTH(Movimientos_2026[[#This Row],[Fecha]])</f>
        <v>7</v>
      </c>
      <c r="C2355" s="12" t="str">
        <f>VLOOKUP((WEEKDAY(Movimientos_2026[[#This Row],[Fecha]],2)),'5. Setup'!$D$6:$E$12,2,FALSE)</f>
        <v>Vie</v>
      </c>
      <c r="D2355">
        <v>1044412</v>
      </c>
      <c r="E2355" t="str">
        <f>IFERROR(+VLOOKUP(Movimientos_2026[[#This Row],[Codigo]],Plan_cuentas[],2,FALSE)," ")</f>
        <v>INGRESOS</v>
      </c>
      <c r="F2355" t="str">
        <f>IFERROR(+VLOOKUP(Movimientos_2026[[#This Row],[Codigo]],Plan_cuentas[],3,FALSE)," ")</f>
        <v>Transferencia</v>
      </c>
      <c r="G2355" t="str">
        <f>IFERROR(+VLOOKUP(Movimientos_2026[[#This Row],[Codigo]],Plan_cuentas[],4,FALSE)," ")</f>
        <v>Rentas</v>
      </c>
      <c r="H2355" t="str">
        <f>IFERROR(+VLOOKUP(Movimientos_2026[[#This Row],[Codigo]],Plan_cuentas[],5,FALSE)," ")</f>
        <v>TIERRA DEL FUEGO</v>
      </c>
      <c r="I2355" s="43">
        <v>46174</v>
      </c>
      <c r="J2355" t="s">
        <v>1018</v>
      </c>
      <c r="K2355" t="str">
        <f>IFERROR(+VLOOKUP(Movimientos_2026[[#This Row],[Codigo]],Plan_cuentas[],6,FALSE)," ")</f>
        <v>2 - PR - Plan Rombo</v>
      </c>
      <c r="L2355" s="50">
        <v>8511396.5999999996</v>
      </c>
      <c r="M2355" s="50"/>
      <c r="N2355" s="20">
        <f>+Movimientos_2026[[#This Row],[Ingresos]]-Movimientos_2026[[#This Row],[Egresos]]</f>
        <v>8511396.5999999996</v>
      </c>
      <c r="O2355" s="20">
        <f>+O2354+Movimientos_2026[[#This Row],[Neto]]</f>
        <v>4390225053.7184553</v>
      </c>
    </row>
    <row r="2356" spans="1:15" ht="15.75" customHeight="1" x14ac:dyDescent="0.25">
      <c r="A2356" s="13">
        <v>46220</v>
      </c>
      <c r="B2356" s="12">
        <f>MONTH(Movimientos_2026[[#This Row],[Fecha]])</f>
        <v>7</v>
      </c>
      <c r="C2356" s="12" t="str">
        <f>VLOOKUP((WEEKDAY(Movimientos_2026[[#This Row],[Fecha]],2)),'5. Setup'!$D$6:$E$12,2,FALSE)</f>
        <v>Vie</v>
      </c>
      <c r="D2356">
        <v>1044422</v>
      </c>
      <c r="E2356" t="str">
        <f>IFERROR(+VLOOKUP(Movimientos_2026[[#This Row],[Codigo]],Plan_cuentas[],2,FALSE)," ")</f>
        <v>INGRESOS</v>
      </c>
      <c r="F2356" t="str">
        <f>IFERROR(+VLOOKUP(Movimientos_2026[[#This Row],[Codigo]],Plan_cuentas[],3,FALSE)," ")</f>
        <v>Transferencia</v>
      </c>
      <c r="G2356" t="str">
        <f>IFERROR(+VLOOKUP(Movimientos_2026[[#This Row],[Codigo]],Plan_cuentas[],4,FALSE)," ")</f>
        <v>Rentas</v>
      </c>
      <c r="H2356" t="str">
        <f>IFERROR(+VLOOKUP(Movimientos_2026[[#This Row],[Codigo]],Plan_cuentas[],5,FALSE)," ")</f>
        <v>TUCUMAN</v>
      </c>
      <c r="I2356" s="43">
        <v>46174</v>
      </c>
      <c r="J2356" t="s">
        <v>1018</v>
      </c>
      <c r="K2356" t="str">
        <f>IFERROR(+VLOOKUP(Movimientos_2026[[#This Row],[Codigo]],Plan_cuentas[],6,FALSE)," ")</f>
        <v>2 - PR - Plan Rombo</v>
      </c>
      <c r="L2356" s="50">
        <v>56100896.68</v>
      </c>
      <c r="M2356" s="50"/>
      <c r="N2356" s="20">
        <f>+Movimientos_2026[[#This Row],[Ingresos]]-Movimientos_2026[[#This Row],[Egresos]]</f>
        <v>56100896.68</v>
      </c>
      <c r="O2356" s="20">
        <f>+O2355+Movimientos_2026[[#This Row],[Neto]]</f>
        <v>4446325950.3984556</v>
      </c>
    </row>
    <row r="2357" spans="1:15" ht="15.75" customHeight="1" x14ac:dyDescent="0.25">
      <c r="A2357" s="13">
        <v>46220</v>
      </c>
      <c r="B2357" s="12">
        <f>MONTH(Movimientos_2026[[#This Row],[Fecha]])</f>
        <v>7</v>
      </c>
      <c r="C2357" s="12" t="str">
        <f>VLOOKUP((WEEKDAY(Movimientos_2026[[#This Row],[Fecha]],2)),'5. Setup'!$D$6:$E$12,2,FALSE)</f>
        <v>Vie</v>
      </c>
      <c r="D2357">
        <v>1044312</v>
      </c>
      <c r="E2357" t="str">
        <f>IFERROR(+VLOOKUP(Movimientos_2026[[#This Row],[Codigo]],Plan_cuentas[],2,FALSE)," ")</f>
        <v>INGRESOS</v>
      </c>
      <c r="F2357" t="str">
        <f>IFERROR(+VLOOKUP(Movimientos_2026[[#This Row],[Codigo]],Plan_cuentas[],3,FALSE)," ")</f>
        <v>Transferencia</v>
      </c>
      <c r="G2357" t="str">
        <f>IFERROR(+VLOOKUP(Movimientos_2026[[#This Row],[Codigo]],Plan_cuentas[],4,FALSE)," ")</f>
        <v>Rentas</v>
      </c>
      <c r="H2357" t="str">
        <f>IFERROR(+VLOOKUP(Movimientos_2026[[#This Row],[Codigo]],Plan_cuentas[],5,FALSE)," ")</f>
        <v>NEUQUEN 1° Q</v>
      </c>
      <c r="I2357" s="43">
        <v>46174</v>
      </c>
      <c r="J2357" t="s">
        <v>1018</v>
      </c>
      <c r="K2357" t="str">
        <f>IFERROR(+VLOOKUP(Movimientos_2026[[#This Row],[Codigo]],Plan_cuentas[],6,FALSE)," ")</f>
        <v>2 - PR - Plan Rombo</v>
      </c>
      <c r="L2357" s="50">
        <v>18832400</v>
      </c>
      <c r="M2357" s="50"/>
      <c r="N2357" s="20">
        <f>+Movimientos_2026[[#This Row],[Ingresos]]-Movimientos_2026[[#This Row],[Egresos]]</f>
        <v>18832400</v>
      </c>
      <c r="O2357" s="20">
        <f>+O2356+Movimientos_2026[[#This Row],[Neto]]</f>
        <v>4465158350.3984556</v>
      </c>
    </row>
    <row r="2358" spans="1:15" ht="15.75" customHeight="1" x14ac:dyDescent="0.25">
      <c r="A2358" s="13">
        <v>46220</v>
      </c>
      <c r="B2358" s="12">
        <f>MONTH(Movimientos_2026[[#This Row],[Fecha]])</f>
        <v>7</v>
      </c>
      <c r="C2358" s="12" t="str">
        <f>VLOOKUP((WEEKDAY(Movimientos_2026[[#This Row],[Fecha]],2)),'5. Setup'!$D$6:$E$12,2,FALSE)</f>
        <v>Vie</v>
      </c>
      <c r="D2358">
        <v>1044202</v>
      </c>
      <c r="E2358" t="str">
        <f>IFERROR(+VLOOKUP(Movimientos_2026[[#This Row],[Codigo]],Plan_cuentas[],2,FALSE)," ")</f>
        <v>INGRESOS</v>
      </c>
      <c r="F2358" t="str">
        <f>IFERROR(+VLOOKUP(Movimientos_2026[[#This Row],[Codigo]],Plan_cuentas[],3,FALSE)," ")</f>
        <v>Transferencia</v>
      </c>
      <c r="G2358" t="str">
        <f>IFERROR(+VLOOKUP(Movimientos_2026[[#This Row],[Codigo]],Plan_cuentas[],4,FALSE)," ")</f>
        <v>Rentas</v>
      </c>
      <c r="H2358" t="str">
        <f>IFERROR(+VLOOKUP(Movimientos_2026[[#This Row],[Codigo]],Plan_cuentas[],5,FALSE)," ")</f>
        <v>CORRIENTES 1° Q</v>
      </c>
      <c r="I2358" s="43">
        <v>46174</v>
      </c>
      <c r="J2358" t="s">
        <v>1018</v>
      </c>
      <c r="K2358" t="str">
        <f>IFERROR(+VLOOKUP(Movimientos_2026[[#This Row],[Codigo]],Plan_cuentas[],6,FALSE)," ")</f>
        <v>2 - PR - Plan Rombo</v>
      </c>
      <c r="L2358" s="50">
        <v>25787182.32</v>
      </c>
      <c r="M2358" s="50"/>
      <c r="N2358" s="20">
        <f>+Movimientos_2026[[#This Row],[Ingresos]]-Movimientos_2026[[#This Row],[Egresos]]</f>
        <v>25787182.32</v>
      </c>
      <c r="O2358" s="20">
        <f>+O2357+Movimientos_2026[[#This Row],[Neto]]</f>
        <v>4490945532.7184553</v>
      </c>
    </row>
    <row r="2359" spans="1:15" ht="15.75" customHeight="1" x14ac:dyDescent="0.25">
      <c r="A2359" s="13">
        <v>46220</v>
      </c>
      <c r="B2359" s="12">
        <f>MONTH(Movimientos_2026[[#This Row],[Fecha]])</f>
        <v>7</v>
      </c>
      <c r="C2359" s="12" t="str">
        <f>VLOOKUP((WEEKDAY(Movimientos_2026[[#This Row],[Fecha]],2)),'5. Setup'!$D$6:$E$12,2,FALSE)</f>
        <v>Vie</v>
      </c>
      <c r="D2359">
        <v>1044462</v>
      </c>
      <c r="E2359" t="str">
        <f>IFERROR(+VLOOKUP(Movimientos_2026[[#This Row],[Codigo]],Plan_cuentas[],2,FALSE)," ")</f>
        <v>INGRESOS</v>
      </c>
      <c r="F2359" t="str">
        <f>IFERROR(+VLOOKUP(Movimientos_2026[[#This Row],[Codigo]],Plan_cuentas[],3,FALSE)," ")</f>
        <v>Transferencia</v>
      </c>
      <c r="G2359" t="str">
        <f>IFERROR(+VLOOKUP(Movimientos_2026[[#This Row],[Codigo]],Plan_cuentas[],4,FALSE)," ")</f>
        <v>Rentas</v>
      </c>
      <c r="H2359" t="str">
        <f>IFERROR(+VLOOKUP(Movimientos_2026[[#This Row],[Codigo]],Plan_cuentas[],5,FALSE)," ")</f>
        <v>MISIONES</v>
      </c>
      <c r="I2359" s="43">
        <v>46174</v>
      </c>
      <c r="J2359" t="s">
        <v>1018</v>
      </c>
      <c r="K2359" t="str">
        <f>IFERROR(+VLOOKUP(Movimientos_2026[[#This Row],[Codigo]],Plan_cuentas[],6,FALSE)," ")</f>
        <v>2 - PR - Plan Rombo</v>
      </c>
      <c r="L2359" s="50">
        <v>2853164.59</v>
      </c>
      <c r="M2359" s="50"/>
      <c r="N2359" s="20">
        <f>+Movimientos_2026[[#This Row],[Ingresos]]-Movimientos_2026[[#This Row],[Egresos]]</f>
        <v>2853164.59</v>
      </c>
      <c r="O2359" s="20">
        <f>+O2358+Movimientos_2026[[#This Row],[Neto]]</f>
        <v>4493798697.3084555</v>
      </c>
    </row>
    <row r="2360" spans="1:15" ht="15.75" customHeight="1" x14ac:dyDescent="0.25">
      <c r="A2360" s="13">
        <v>46223</v>
      </c>
      <c r="B2360" s="12">
        <f>MONTH(Movimientos_2026[[#This Row],[Fecha]])</f>
        <v>7</v>
      </c>
      <c r="C2360" s="12" t="str">
        <f>VLOOKUP((WEEKDAY(Movimientos_2026[[#This Row],[Fecha]],2)),'5. Setup'!$D$6:$E$12,2,FALSE)</f>
        <v>Lun</v>
      </c>
      <c r="D2360">
        <v>2014351</v>
      </c>
      <c r="E2360" t="str">
        <f>IFERROR(+VLOOKUP(Movimientos_2026[[#This Row],[Codigo]],Plan_cuentas[],2,FALSE)," ")</f>
        <v>EGRESOS</v>
      </c>
      <c r="F2360" t="str">
        <f>IFERROR(+VLOOKUP(Movimientos_2026[[#This Row],[Codigo]],Plan_cuentas[],3,FALSE)," ")</f>
        <v>BtoB</v>
      </c>
      <c r="G2360" t="str">
        <f>IFERROR(+VLOOKUP(Movimientos_2026[[#This Row],[Codigo]],Plan_cuentas[],4,FALSE)," ")</f>
        <v>Rentas</v>
      </c>
      <c r="H2360" t="str">
        <f>IFERROR(+VLOOKUP(Movimientos_2026[[#This Row],[Codigo]],Plan_cuentas[],5,FALSE)," ")</f>
        <v>SAN JUAN</v>
      </c>
      <c r="I2360" s="43">
        <v>46174</v>
      </c>
      <c r="J2360" t="s">
        <v>1019</v>
      </c>
      <c r="K2360" t="str">
        <f>IFERROR(+VLOOKUP(Movimientos_2026[[#This Row],[Codigo]],Plan_cuentas[],6,FALSE)," ")</f>
        <v>1 - VW - Volkswagen</v>
      </c>
      <c r="L2360" s="50"/>
      <c r="M2360" s="52">
        <v>5476253.04</v>
      </c>
      <c r="N2360" s="20">
        <f>+Movimientos_2026[[#This Row],[Ingresos]]-Movimientos_2026[[#This Row],[Egresos]]</f>
        <v>-5476253.04</v>
      </c>
      <c r="O2360" s="20">
        <f>+O2359+Movimientos_2026[[#This Row],[Neto]]</f>
        <v>4488322444.2684555</v>
      </c>
    </row>
    <row r="2361" spans="1:15" ht="15.75" customHeight="1" x14ac:dyDescent="0.25">
      <c r="A2361" s="13">
        <v>46223</v>
      </c>
      <c r="B2361" s="12">
        <f>MONTH(Movimientos_2026[[#This Row],[Fecha]])</f>
        <v>7</v>
      </c>
      <c r="C2361" s="12" t="str">
        <f>VLOOKUP((WEEKDAY(Movimientos_2026[[#This Row],[Fecha]],2)),'5. Setup'!$D$6:$E$12,2,FALSE)</f>
        <v>Lun</v>
      </c>
      <c r="D2361">
        <v>2044462</v>
      </c>
      <c r="E2361" t="str">
        <f>IFERROR(+VLOOKUP(Movimientos_2026[[#This Row],[Codigo]],Plan_cuentas[],2,FALSE)," ")</f>
        <v>EGRESOS</v>
      </c>
      <c r="F2361" t="str">
        <f>IFERROR(+VLOOKUP(Movimientos_2026[[#This Row],[Codigo]],Plan_cuentas[],3,FALSE)," ")</f>
        <v>Transferencia</v>
      </c>
      <c r="G2361" t="str">
        <f>IFERROR(+VLOOKUP(Movimientos_2026[[#This Row],[Codigo]],Plan_cuentas[],4,FALSE)," ")</f>
        <v>Rentas</v>
      </c>
      <c r="H2361" t="str">
        <f>IFERROR(+VLOOKUP(Movimientos_2026[[#This Row],[Codigo]],Plan_cuentas[],5,FALSE)," ")</f>
        <v>MISIONES</v>
      </c>
      <c r="I2361" s="43">
        <v>46204</v>
      </c>
      <c r="J2361" t="s">
        <v>1020</v>
      </c>
      <c r="K2361" t="str">
        <f>IFERROR(+VLOOKUP(Movimientos_2026[[#This Row],[Codigo]],Plan_cuentas[],6,FALSE)," ")</f>
        <v>2 - PR - Plan Rombo</v>
      </c>
      <c r="L2361" s="50"/>
      <c r="M2361" s="50">
        <v>2810870.98</v>
      </c>
      <c r="N2361" s="20">
        <f>+Movimientos_2026[[#This Row],[Ingresos]]-Movimientos_2026[[#This Row],[Egresos]]</f>
        <v>-2810870.98</v>
      </c>
      <c r="O2361" s="20">
        <f>+O2360+Movimientos_2026[[#This Row],[Neto]]</f>
        <v>4485511573.288456</v>
      </c>
    </row>
    <row r="2362" spans="1:15" ht="15.75" customHeight="1" x14ac:dyDescent="0.25">
      <c r="A2362" s="13">
        <v>46223</v>
      </c>
      <c r="B2362" s="12">
        <f>MONTH(Movimientos_2026[[#This Row],[Fecha]])</f>
        <v>7</v>
      </c>
      <c r="C2362" s="12" t="str">
        <f>VLOOKUP((WEEKDAY(Movimientos_2026[[#This Row],[Fecha]],2)),'5. Setup'!$D$6:$E$12,2,FALSE)</f>
        <v>Lun</v>
      </c>
      <c r="D2362">
        <v>2044126</v>
      </c>
      <c r="E2362" t="str">
        <f>IFERROR(+VLOOKUP(Movimientos_2026[[#This Row],[Codigo]],Plan_cuentas[],2,FALSE)," ")</f>
        <v>EGRESOS</v>
      </c>
      <c r="F2362" t="str">
        <f>IFERROR(+VLOOKUP(Movimientos_2026[[#This Row],[Codigo]],Plan_cuentas[],3,FALSE)," ")</f>
        <v>Transferencia</v>
      </c>
      <c r="G2362" t="str">
        <f>IFERROR(+VLOOKUP(Movimientos_2026[[#This Row],[Codigo]],Plan_cuentas[],4,FALSE)," ")</f>
        <v>Rentas</v>
      </c>
      <c r="H2362" t="str">
        <f>IFERROR(+VLOOKUP(Movimientos_2026[[#This Row],[Codigo]],Plan_cuentas[],5,FALSE)," ")</f>
        <v>BAPRO</v>
      </c>
      <c r="I2362" s="43">
        <v>46174</v>
      </c>
      <c r="J2362" t="s">
        <v>1021</v>
      </c>
      <c r="K2362" t="str">
        <f>IFERROR(+VLOOKUP(Movimientos_2026[[#This Row],[Codigo]],Plan_cuentas[],6,FALSE)," ")</f>
        <v>6 - FCAtr - Fiat Transf.</v>
      </c>
      <c r="L2362" s="50"/>
      <c r="M2362" s="50">
        <v>4887355.3</v>
      </c>
      <c r="N2362" s="20">
        <f>+Movimientos_2026[[#This Row],[Ingresos]]-Movimientos_2026[[#This Row],[Egresos]]</f>
        <v>-4887355.3</v>
      </c>
      <c r="O2362" s="20">
        <f>+O2361+Movimientos_2026[[#This Row],[Neto]]</f>
        <v>4480624217.9884558</v>
      </c>
    </row>
    <row r="2363" spans="1:15" ht="15.75" customHeight="1" x14ac:dyDescent="0.25">
      <c r="A2363" s="13">
        <v>46223</v>
      </c>
      <c r="B2363" s="12">
        <f>MONTH(Movimientos_2026[[#This Row],[Fecha]])</f>
        <v>7</v>
      </c>
      <c r="C2363" s="12" t="str">
        <f>VLOOKUP((WEEKDAY(Movimientos_2026[[#This Row],[Fecha]],2)),'5. Setup'!$D$6:$E$12,2,FALSE)</f>
        <v>Lun</v>
      </c>
      <c r="D2363">
        <v>2044126</v>
      </c>
      <c r="E2363" t="str">
        <f>IFERROR(+VLOOKUP(Movimientos_2026[[#This Row],[Codigo]],Plan_cuentas[],2,FALSE)," ")</f>
        <v>EGRESOS</v>
      </c>
      <c r="F2363" t="str">
        <f>IFERROR(+VLOOKUP(Movimientos_2026[[#This Row],[Codigo]],Plan_cuentas[],3,FALSE)," ")</f>
        <v>Transferencia</v>
      </c>
      <c r="G2363" t="str">
        <f>IFERROR(+VLOOKUP(Movimientos_2026[[#This Row],[Codigo]],Plan_cuentas[],4,FALSE)," ")</f>
        <v>Rentas</v>
      </c>
      <c r="H2363" t="str">
        <f>IFERROR(+VLOOKUP(Movimientos_2026[[#This Row],[Codigo]],Plan_cuentas[],5,FALSE)," ")</f>
        <v>BAPRO</v>
      </c>
      <c r="I2363" s="43">
        <v>46174</v>
      </c>
      <c r="J2363" t="s">
        <v>1022</v>
      </c>
      <c r="K2363" t="str">
        <f>IFERROR(+VLOOKUP(Movimientos_2026[[#This Row],[Codigo]],Plan_cuentas[],6,FALSE)," ")</f>
        <v>6 - FCAtr - Fiat Transf.</v>
      </c>
      <c r="L2363" s="50"/>
      <c r="M2363" s="50">
        <v>4250206.5</v>
      </c>
      <c r="N2363" s="20">
        <f>+Movimientos_2026[[#This Row],[Ingresos]]-Movimientos_2026[[#This Row],[Egresos]]</f>
        <v>-4250206.5</v>
      </c>
      <c r="O2363" s="20">
        <f>+O2362+Movimientos_2026[[#This Row],[Neto]]</f>
        <v>4476374011.4884558</v>
      </c>
    </row>
    <row r="2364" spans="1:15" ht="15.75" customHeight="1" x14ac:dyDescent="0.25">
      <c r="A2364" s="13">
        <v>46223</v>
      </c>
      <c r="B2364" s="12">
        <f>MONTH(Movimientos_2026[[#This Row],[Fecha]])</f>
        <v>7</v>
      </c>
      <c r="C2364" s="12" t="str">
        <f>VLOOKUP((WEEKDAY(Movimientos_2026[[#This Row],[Fecha]],2)),'5. Setup'!$D$6:$E$12,2,FALSE)</f>
        <v>Lun</v>
      </c>
      <c r="D2364">
        <v>2044126</v>
      </c>
      <c r="E2364" t="str">
        <f>IFERROR(+VLOOKUP(Movimientos_2026[[#This Row],[Codigo]],Plan_cuentas[],2,FALSE)," ")</f>
        <v>EGRESOS</v>
      </c>
      <c r="F2364" t="str">
        <f>IFERROR(+VLOOKUP(Movimientos_2026[[#This Row],[Codigo]],Plan_cuentas[],3,FALSE)," ")</f>
        <v>Transferencia</v>
      </c>
      <c r="G2364" t="str">
        <f>IFERROR(+VLOOKUP(Movimientos_2026[[#This Row],[Codigo]],Plan_cuentas[],4,FALSE)," ")</f>
        <v>Rentas</v>
      </c>
      <c r="H2364" t="str">
        <f>IFERROR(+VLOOKUP(Movimientos_2026[[#This Row],[Codigo]],Plan_cuentas[],5,FALSE)," ")</f>
        <v>BAPRO</v>
      </c>
      <c r="I2364" s="43">
        <v>46174</v>
      </c>
      <c r="J2364" t="s">
        <v>1023</v>
      </c>
      <c r="K2364" t="str">
        <f>IFERROR(+VLOOKUP(Movimientos_2026[[#This Row],[Codigo]],Plan_cuentas[],6,FALSE)," ")</f>
        <v>6 - FCAtr - Fiat Transf.</v>
      </c>
      <c r="L2364" s="50"/>
      <c r="M2364" s="50">
        <v>4215294.9000000004</v>
      </c>
      <c r="N2364" s="20">
        <f>+Movimientos_2026[[#This Row],[Ingresos]]-Movimientos_2026[[#This Row],[Egresos]]</f>
        <v>-4215294.9000000004</v>
      </c>
      <c r="O2364" s="20">
        <f>+O2363+Movimientos_2026[[#This Row],[Neto]]</f>
        <v>4472158716.5884562</v>
      </c>
    </row>
    <row r="2365" spans="1:15" ht="15.75" customHeight="1" x14ac:dyDescent="0.25">
      <c r="A2365" s="13">
        <v>46223</v>
      </c>
      <c r="B2365" s="12">
        <f>MONTH(Movimientos_2026[[#This Row],[Fecha]])</f>
        <v>7</v>
      </c>
      <c r="C2365" s="12" t="str">
        <f>VLOOKUP((WEEKDAY(Movimientos_2026[[#This Row],[Fecha]],2)),'5. Setup'!$D$6:$E$12,2,FALSE)</f>
        <v>Lun</v>
      </c>
      <c r="D2365">
        <v>2044126</v>
      </c>
      <c r="E2365" t="str">
        <f>IFERROR(+VLOOKUP(Movimientos_2026[[#This Row],[Codigo]],Plan_cuentas[],2,FALSE)," ")</f>
        <v>EGRESOS</v>
      </c>
      <c r="F2365" t="str">
        <f>IFERROR(+VLOOKUP(Movimientos_2026[[#This Row],[Codigo]],Plan_cuentas[],3,FALSE)," ")</f>
        <v>Transferencia</v>
      </c>
      <c r="G2365" t="str">
        <f>IFERROR(+VLOOKUP(Movimientos_2026[[#This Row],[Codigo]],Plan_cuentas[],4,FALSE)," ")</f>
        <v>Rentas</v>
      </c>
      <c r="H2365" t="str">
        <f>IFERROR(+VLOOKUP(Movimientos_2026[[#This Row],[Codigo]],Plan_cuentas[],5,FALSE)," ")</f>
        <v>BAPRO</v>
      </c>
      <c r="I2365" s="43">
        <v>46174</v>
      </c>
      <c r="J2365" t="s">
        <v>1024</v>
      </c>
      <c r="K2365" t="str">
        <f>IFERROR(+VLOOKUP(Movimientos_2026[[#This Row],[Codigo]],Plan_cuentas[],6,FALSE)," ")</f>
        <v>6 - FCAtr - Fiat Transf.</v>
      </c>
      <c r="L2365" s="50"/>
      <c r="M2365" s="50">
        <v>1925305.1</v>
      </c>
      <c r="N2365" s="20">
        <f>+Movimientos_2026[[#This Row],[Ingresos]]-Movimientos_2026[[#This Row],[Egresos]]</f>
        <v>-1925305.1</v>
      </c>
      <c r="O2365" s="20">
        <f>+O2364+Movimientos_2026[[#This Row],[Neto]]</f>
        <v>4470233411.4884558</v>
      </c>
    </row>
    <row r="2366" spans="1:15" ht="15.75" customHeight="1" x14ac:dyDescent="0.25">
      <c r="A2366" s="13">
        <v>46223</v>
      </c>
      <c r="B2366" s="12">
        <f>MONTH(Movimientos_2026[[#This Row],[Fecha]])</f>
        <v>7</v>
      </c>
      <c r="C2366" s="12" t="str">
        <f>VLOOKUP((WEEKDAY(Movimientos_2026[[#This Row],[Fecha]],2)),'5. Setup'!$D$6:$E$12,2,FALSE)</f>
        <v>Lun</v>
      </c>
      <c r="D2366">
        <v>2044126</v>
      </c>
      <c r="E2366" t="str">
        <f>IFERROR(+VLOOKUP(Movimientos_2026[[#This Row],[Codigo]],Plan_cuentas[],2,FALSE)," ")</f>
        <v>EGRESOS</v>
      </c>
      <c r="F2366" t="str">
        <f>IFERROR(+VLOOKUP(Movimientos_2026[[#This Row],[Codigo]],Plan_cuentas[],3,FALSE)," ")</f>
        <v>Transferencia</v>
      </c>
      <c r="G2366" t="str">
        <f>IFERROR(+VLOOKUP(Movimientos_2026[[#This Row],[Codigo]],Plan_cuentas[],4,FALSE)," ")</f>
        <v>Rentas</v>
      </c>
      <c r="H2366" t="str">
        <f>IFERROR(+VLOOKUP(Movimientos_2026[[#This Row],[Codigo]],Plan_cuentas[],5,FALSE)," ")</f>
        <v>BAPRO</v>
      </c>
      <c r="I2366" s="43">
        <v>46174</v>
      </c>
      <c r="J2366" t="s">
        <v>1025</v>
      </c>
      <c r="K2366" t="str">
        <f>IFERROR(+VLOOKUP(Movimientos_2026[[#This Row],[Codigo]],Plan_cuentas[],6,FALSE)," ")</f>
        <v>6 - FCAtr - Fiat Transf.</v>
      </c>
      <c r="L2366" s="50"/>
      <c r="M2366" s="50">
        <v>337283.1</v>
      </c>
      <c r="N2366" s="20">
        <f>+Movimientos_2026[[#This Row],[Ingresos]]-Movimientos_2026[[#This Row],[Egresos]]</f>
        <v>-337283.1</v>
      </c>
      <c r="O2366" s="20">
        <f>+O2365+Movimientos_2026[[#This Row],[Neto]]</f>
        <v>4469896128.3884554</v>
      </c>
    </row>
    <row r="2367" spans="1:15" ht="15.75" customHeight="1" x14ac:dyDescent="0.25">
      <c r="A2367" s="13">
        <v>46223</v>
      </c>
      <c r="B2367" s="12">
        <f>MONTH(Movimientos_2026[[#This Row],[Fecha]])</f>
        <v>7</v>
      </c>
      <c r="C2367" s="12" t="str">
        <f>VLOOKUP((WEEKDAY(Movimientos_2026[[#This Row],[Fecha]],2)),'5. Setup'!$D$6:$E$12,2,FALSE)</f>
        <v>Lun</v>
      </c>
      <c r="D2367">
        <v>2044126</v>
      </c>
      <c r="E2367" t="str">
        <f>IFERROR(+VLOOKUP(Movimientos_2026[[#This Row],[Codigo]],Plan_cuentas[],2,FALSE)," ")</f>
        <v>EGRESOS</v>
      </c>
      <c r="F2367" t="str">
        <f>IFERROR(+VLOOKUP(Movimientos_2026[[#This Row],[Codigo]],Plan_cuentas[],3,FALSE)," ")</f>
        <v>Transferencia</v>
      </c>
      <c r="G2367" t="str">
        <f>IFERROR(+VLOOKUP(Movimientos_2026[[#This Row],[Codigo]],Plan_cuentas[],4,FALSE)," ")</f>
        <v>Rentas</v>
      </c>
      <c r="H2367" t="str">
        <f>IFERROR(+VLOOKUP(Movimientos_2026[[#This Row],[Codigo]],Plan_cuentas[],5,FALSE)," ")</f>
        <v>BAPRO</v>
      </c>
      <c r="I2367" s="43">
        <v>46174</v>
      </c>
      <c r="J2367" t="s">
        <v>1026</v>
      </c>
      <c r="K2367" t="str">
        <f>IFERROR(+VLOOKUP(Movimientos_2026[[#This Row],[Codigo]],Plan_cuentas[],6,FALSE)," ")</f>
        <v>6 - FCAtr - Fiat Transf.</v>
      </c>
      <c r="L2367" s="50"/>
      <c r="M2367" s="50">
        <v>272894.59999999998</v>
      </c>
      <c r="N2367" s="20">
        <f>+Movimientos_2026[[#This Row],[Ingresos]]-Movimientos_2026[[#This Row],[Egresos]]</f>
        <v>-272894.59999999998</v>
      </c>
      <c r="O2367" s="20">
        <f>+O2366+Movimientos_2026[[#This Row],[Neto]]</f>
        <v>4469623233.788455</v>
      </c>
    </row>
    <row r="2368" spans="1:15" ht="15.75" customHeight="1" x14ac:dyDescent="0.25">
      <c r="A2368" s="13">
        <v>46223</v>
      </c>
      <c r="B2368" s="12">
        <f>MONTH(Movimientos_2026[[#This Row],[Fecha]])</f>
        <v>7</v>
      </c>
      <c r="C2368" s="12" t="str">
        <f>VLOOKUP((WEEKDAY(Movimientos_2026[[#This Row],[Fecha]],2)),'5. Setup'!$D$6:$E$12,2,FALSE)</f>
        <v>Lun</v>
      </c>
      <c r="D2368">
        <v>2044126</v>
      </c>
      <c r="E2368" t="str">
        <f>IFERROR(+VLOOKUP(Movimientos_2026[[#This Row],[Codigo]],Plan_cuentas[],2,FALSE)," ")</f>
        <v>EGRESOS</v>
      </c>
      <c r="F2368" t="str">
        <f>IFERROR(+VLOOKUP(Movimientos_2026[[#This Row],[Codigo]],Plan_cuentas[],3,FALSE)," ")</f>
        <v>Transferencia</v>
      </c>
      <c r="G2368" t="str">
        <f>IFERROR(+VLOOKUP(Movimientos_2026[[#This Row],[Codigo]],Plan_cuentas[],4,FALSE)," ")</f>
        <v>Rentas</v>
      </c>
      <c r="H2368" t="str">
        <f>IFERROR(+VLOOKUP(Movimientos_2026[[#This Row],[Codigo]],Plan_cuentas[],5,FALSE)," ")</f>
        <v>BAPRO</v>
      </c>
      <c r="I2368" s="43">
        <v>46174</v>
      </c>
      <c r="J2368" t="s">
        <v>1027</v>
      </c>
      <c r="K2368" t="str">
        <f>IFERROR(+VLOOKUP(Movimientos_2026[[#This Row],[Codigo]],Plan_cuentas[],6,FALSE)," ")</f>
        <v>6 - FCAtr - Fiat Transf.</v>
      </c>
      <c r="L2368" s="50"/>
      <c r="M2368" s="50">
        <v>213862.9</v>
      </c>
      <c r="N2368" s="20">
        <f>+Movimientos_2026[[#This Row],[Ingresos]]-Movimientos_2026[[#This Row],[Egresos]]</f>
        <v>-213862.9</v>
      </c>
      <c r="O2368" s="20">
        <f>+O2367+Movimientos_2026[[#This Row],[Neto]]</f>
        <v>4469409370.8884554</v>
      </c>
    </row>
    <row r="2369" spans="1:15" ht="15.75" customHeight="1" x14ac:dyDescent="0.25">
      <c r="A2369" s="13">
        <v>46223</v>
      </c>
      <c r="B2369" s="12">
        <f>MONTH(Movimientos_2026[[#This Row],[Fecha]])</f>
        <v>7</v>
      </c>
      <c r="C2369" s="12" t="str">
        <f>VLOOKUP((WEEKDAY(Movimientos_2026[[#This Row],[Fecha]],2)),'5. Setup'!$D$6:$E$12,2,FALSE)</f>
        <v>Lun</v>
      </c>
      <c r="D2369">
        <v>1044122</v>
      </c>
      <c r="E2369" t="str">
        <f>IFERROR(+VLOOKUP(Movimientos_2026[[#This Row],[Codigo]],Plan_cuentas[],2,FALSE)," ")</f>
        <v>INGRESOS</v>
      </c>
      <c r="F2369" t="str">
        <f>IFERROR(+VLOOKUP(Movimientos_2026[[#This Row],[Codigo]],Plan_cuentas[],3,FALSE)," ")</f>
        <v>Transferencia</v>
      </c>
      <c r="G2369" t="str">
        <f>IFERROR(+VLOOKUP(Movimientos_2026[[#This Row],[Codigo]],Plan_cuentas[],4,FALSE)," ")</f>
        <v>Rentas</v>
      </c>
      <c r="H2369" t="str">
        <f>IFERROR(+VLOOKUP(Movimientos_2026[[#This Row],[Codigo]],Plan_cuentas[],5,FALSE)," ")</f>
        <v>BAPRO</v>
      </c>
      <c r="I2369" s="43">
        <v>46082</v>
      </c>
      <c r="J2369" t="s">
        <v>1028</v>
      </c>
      <c r="K2369" t="str">
        <f>IFERROR(+VLOOKUP(Movimientos_2026[[#This Row],[Codigo]],Plan_cuentas[],6,FALSE)," ")</f>
        <v>2 - PR - Plan Rombo</v>
      </c>
      <c r="L2369" s="50">
        <v>12791918</v>
      </c>
      <c r="M2369" s="50"/>
      <c r="N2369" s="20">
        <f>+Movimientos_2026[[#This Row],[Ingresos]]-Movimientos_2026[[#This Row],[Egresos]]</f>
        <v>12791918</v>
      </c>
      <c r="O2369" s="20">
        <f>+O2368+Movimientos_2026[[#This Row],[Neto]]</f>
        <v>4482201288.8884554</v>
      </c>
    </row>
    <row r="2370" spans="1:15" ht="15.75" customHeight="1" x14ac:dyDescent="0.25">
      <c r="A2370" s="13">
        <v>46223</v>
      </c>
      <c r="B2370" s="12">
        <f>MONTH(Movimientos_2026[[#This Row],[Fecha]])</f>
        <v>7</v>
      </c>
      <c r="C2370" s="12" t="str">
        <f>VLOOKUP((WEEKDAY(Movimientos_2026[[#This Row],[Fecha]],2)),'5. Setup'!$D$6:$E$12,2,FALSE)</f>
        <v>Lun</v>
      </c>
      <c r="D2370">
        <v>1043142</v>
      </c>
      <c r="E2370" t="str">
        <f>IFERROR(+VLOOKUP(Movimientos_2026[[#This Row],[Codigo]],Plan_cuentas[],2,FALSE)," ")</f>
        <v>INGRESOS</v>
      </c>
      <c r="F2370" t="str">
        <f>IFERROR(+VLOOKUP(Movimientos_2026[[#This Row],[Codigo]],Plan_cuentas[],3,FALSE)," ")</f>
        <v>Transferencia</v>
      </c>
      <c r="G2370" t="str">
        <f>IFERROR(+VLOOKUP(Movimientos_2026[[#This Row],[Codigo]],Plan_cuentas[],4,FALSE)," ")</f>
        <v>Registración</v>
      </c>
      <c r="H2370" t="str">
        <f>IFERROR(+VLOOKUP(Movimientos_2026[[#This Row],[Codigo]],Plan_cuentas[],5,FALSE)," ")</f>
        <v>BUENOS AIRES</v>
      </c>
      <c r="I2370" s="43">
        <v>46174</v>
      </c>
      <c r="J2370" t="s">
        <v>1028</v>
      </c>
      <c r="K2370" t="str">
        <f>IFERROR(+VLOOKUP(Movimientos_2026[[#This Row],[Codigo]],Plan_cuentas[],6,FALSE)," ")</f>
        <v>2 - PR - Plan Rombo</v>
      </c>
      <c r="L2370" s="50">
        <v>256717921</v>
      </c>
      <c r="M2370" s="50"/>
      <c r="N2370" s="20">
        <f>+Movimientos_2026[[#This Row],[Ingresos]]-Movimientos_2026[[#This Row],[Egresos]]</f>
        <v>256717921</v>
      </c>
      <c r="O2370" s="20">
        <f>+O2369+Movimientos_2026[[#This Row],[Neto]]</f>
        <v>4738919209.8884554</v>
      </c>
    </row>
    <row r="2371" spans="1:15" ht="15.75" customHeight="1" x14ac:dyDescent="0.25">
      <c r="A2371" s="13">
        <v>46223</v>
      </c>
      <c r="B2371" s="12">
        <f>MONTH(Movimientos_2026[[#This Row],[Fecha]])</f>
        <v>7</v>
      </c>
      <c r="C2371" s="12" t="str">
        <f>VLOOKUP((WEEKDAY(Movimientos_2026[[#This Row],[Fecha]],2)),'5. Setup'!$D$6:$E$12,2,FALSE)</f>
        <v>Lun</v>
      </c>
      <c r="D2371">
        <v>1045452</v>
      </c>
      <c r="E2371" t="str">
        <f>IFERROR(+VLOOKUP(Movimientos_2026[[#This Row],[Codigo]],Plan_cuentas[],2,FALSE)," ")</f>
        <v>INGRESOS</v>
      </c>
      <c r="F2371" t="str">
        <f>IFERROR(+VLOOKUP(Movimientos_2026[[#This Row],[Codigo]],Plan_cuentas[],3,FALSE)," ")</f>
        <v>Transferencia</v>
      </c>
      <c r="G2371" t="str">
        <f>IFERROR(+VLOOKUP(Movimientos_2026[[#This Row],[Codigo]],Plan_cuentas[],4,FALSE)," ")</f>
        <v>Factura</v>
      </c>
      <c r="H2371" t="str">
        <f>IFERROR(+VLOOKUP(Movimientos_2026[[#This Row],[Codigo]],Plan_cuentas[],5,FALSE)," ")</f>
        <v>FC DERECHOS</v>
      </c>
      <c r="I2371" s="43">
        <v>46174</v>
      </c>
      <c r="J2371" t="s">
        <v>1029</v>
      </c>
      <c r="K2371" t="str">
        <f>IFERROR(+VLOOKUP(Movimientos_2026[[#This Row],[Codigo]],Plan_cuentas[],6,FALSE)," ")</f>
        <v>2 - PR - Plan Rombo</v>
      </c>
      <c r="L2371" s="50">
        <v>44962310.219999999</v>
      </c>
      <c r="M2371" s="50"/>
      <c r="N2371" s="20">
        <f>+Movimientos_2026[[#This Row],[Ingresos]]-Movimientos_2026[[#This Row],[Egresos]]</f>
        <v>44962310.219999999</v>
      </c>
      <c r="O2371" s="20">
        <f>+O2370+Movimientos_2026[[#This Row],[Neto]]</f>
        <v>4783881520.1084557</v>
      </c>
    </row>
    <row r="2372" spans="1:15" ht="16.5" customHeight="1" x14ac:dyDescent="0.25">
      <c r="A2372" s="13">
        <v>46223</v>
      </c>
      <c r="B2372" s="12">
        <f>MONTH(Movimientos_2026[[#This Row],[Fecha]])</f>
        <v>7</v>
      </c>
      <c r="C2372" s="12" t="str">
        <f>VLOOKUP((WEEKDAY(Movimientos_2026[[#This Row],[Fecha]],2)),'5. Setup'!$D$6:$E$12,2,FALSE)</f>
        <v>Lun</v>
      </c>
      <c r="D2372">
        <v>1043152</v>
      </c>
      <c r="E2372" t="str">
        <f>IFERROR(+VLOOKUP(Movimientos_2026[[#This Row],[Codigo]],Plan_cuentas[],2,FALSE)," ")</f>
        <v>INGRESOS</v>
      </c>
      <c r="F2372" t="str">
        <f>IFERROR(+VLOOKUP(Movimientos_2026[[#This Row],[Codigo]],Plan_cuentas[],3,FALSE)," ")</f>
        <v>Transferencia</v>
      </c>
      <c r="G2372" t="str">
        <f>IFERROR(+VLOOKUP(Movimientos_2026[[#This Row],[Codigo]],Plan_cuentas[],4,FALSE)," ")</f>
        <v>Registración</v>
      </c>
      <c r="H2372" t="str">
        <f>IFERROR(+VLOOKUP(Movimientos_2026[[#This Row],[Codigo]],Plan_cuentas[],5,FALSE)," ")</f>
        <v>CABA</v>
      </c>
      <c r="I2372" s="43">
        <v>46174</v>
      </c>
      <c r="J2372" t="s">
        <v>1028</v>
      </c>
      <c r="K2372" t="str">
        <f>IFERROR(+VLOOKUP(Movimientos_2026[[#This Row],[Codigo]],Plan_cuentas[],6,FALSE)," ")</f>
        <v>2 - PR - Plan Rombo</v>
      </c>
      <c r="L2372" s="50">
        <v>21414928</v>
      </c>
      <c r="M2372" s="50"/>
      <c r="N2372" s="20">
        <f>+Movimientos_2026[[#This Row],[Ingresos]]-Movimientos_2026[[#This Row],[Egresos]]</f>
        <v>21414928</v>
      </c>
      <c r="O2372" s="20">
        <f>+O2371+Movimientos_2026[[#This Row],[Neto]]</f>
        <v>4805296448.1084557</v>
      </c>
    </row>
    <row r="2373" spans="1:15" x14ac:dyDescent="0.25">
      <c r="A2373" s="13">
        <v>46223</v>
      </c>
      <c r="B2373" s="12">
        <f>MONTH(Movimientos_2026[[#This Row],[Fecha]])</f>
        <v>7</v>
      </c>
      <c r="C2373" s="12" t="str">
        <f>VLOOKUP((WEEKDAY(Movimientos_2026[[#This Row],[Fecha]],2)),'5. Setup'!$D$6:$E$12,2,FALSE)</f>
        <v>Lun</v>
      </c>
      <c r="D2373">
        <v>1043232</v>
      </c>
      <c r="E2373" t="str">
        <f>IFERROR(+VLOOKUP(Movimientos_2026[[#This Row],[Codigo]],Plan_cuentas[],2,FALSE)," ")</f>
        <v>INGRESOS</v>
      </c>
      <c r="F2373" t="str">
        <f>IFERROR(+VLOOKUP(Movimientos_2026[[#This Row],[Codigo]],Plan_cuentas[],3,FALSE)," ")</f>
        <v>Transferencia</v>
      </c>
      <c r="G2373" t="str">
        <f>IFERROR(+VLOOKUP(Movimientos_2026[[#This Row],[Codigo]],Plan_cuentas[],4,FALSE)," ")</f>
        <v>Registración</v>
      </c>
      <c r="H2373" t="str">
        <f>IFERROR(+VLOOKUP(Movimientos_2026[[#This Row],[Codigo]],Plan_cuentas[],5,FALSE)," ")</f>
        <v>ENTRE RIOS 2° Q</v>
      </c>
      <c r="I2373" s="43">
        <v>46174</v>
      </c>
      <c r="J2373" t="s">
        <v>1028</v>
      </c>
      <c r="K2373" t="str">
        <f>IFERROR(+VLOOKUP(Movimientos_2026[[#This Row],[Codigo]],Plan_cuentas[],6,FALSE)," ")</f>
        <v>2 - PR - Plan Rombo</v>
      </c>
      <c r="L2373" s="50">
        <v>15625862</v>
      </c>
      <c r="M2373" s="50"/>
      <c r="N2373" s="20">
        <f>+Movimientos_2026[[#This Row],[Ingresos]]-Movimientos_2026[[#This Row],[Egresos]]</f>
        <v>15625862</v>
      </c>
      <c r="O2373" s="20">
        <f>+O2372+Movimientos_2026[[#This Row],[Neto]]</f>
        <v>4820922310.1084557</v>
      </c>
    </row>
    <row r="2374" spans="1:15" x14ac:dyDescent="0.25">
      <c r="A2374" s="13">
        <v>46223</v>
      </c>
      <c r="B2374" s="12">
        <f>MONTH(Movimientos_2026[[#This Row],[Fecha]])</f>
        <v>7</v>
      </c>
      <c r="C2374" s="12" t="str">
        <f>VLOOKUP((WEEKDAY(Movimientos_2026[[#This Row],[Fecha]],2)),'5. Setup'!$D$6:$E$12,2,FALSE)</f>
        <v>Lun</v>
      </c>
      <c r="D2374">
        <v>1043242</v>
      </c>
      <c r="E2374" t="str">
        <f>IFERROR(+VLOOKUP(Movimientos_2026[[#This Row],[Codigo]],Plan_cuentas[],2,FALSE)," ")</f>
        <v>INGRESOS</v>
      </c>
      <c r="F2374" t="str">
        <f>IFERROR(+VLOOKUP(Movimientos_2026[[#This Row],[Codigo]],Plan_cuentas[],3,FALSE)," ")</f>
        <v>Transferencia</v>
      </c>
      <c r="G2374" t="str">
        <f>IFERROR(+VLOOKUP(Movimientos_2026[[#This Row],[Codigo]],Plan_cuentas[],4,FALSE)," ")</f>
        <v>Registración</v>
      </c>
      <c r="H2374" t="str">
        <f>IFERROR(+VLOOKUP(Movimientos_2026[[#This Row],[Codigo]],Plan_cuentas[],5,FALSE)," ")</f>
        <v>FORMOSA</v>
      </c>
      <c r="I2374" s="43">
        <v>46174</v>
      </c>
      <c r="J2374" t="s">
        <v>1028</v>
      </c>
      <c r="K2374" t="str">
        <f>IFERROR(+VLOOKUP(Movimientos_2026[[#This Row],[Codigo]],Plan_cuentas[],6,FALSE)," ")</f>
        <v>2 - PR - Plan Rombo</v>
      </c>
      <c r="L2374" s="50">
        <v>2365357</v>
      </c>
      <c r="M2374" s="50"/>
      <c r="N2374" s="20">
        <f>+Movimientos_2026[[#This Row],[Ingresos]]-Movimientos_2026[[#This Row],[Egresos]]</f>
        <v>2365357</v>
      </c>
      <c r="O2374" s="20">
        <f>+O2373+Movimientos_2026[[#This Row],[Neto]]</f>
        <v>4823287667.1084557</v>
      </c>
    </row>
    <row r="2375" spans="1:15" x14ac:dyDescent="0.25">
      <c r="A2375" s="13">
        <v>46223</v>
      </c>
      <c r="B2375" s="12">
        <f>MONTH(Movimientos_2026[[#This Row],[Fecha]])</f>
        <v>7</v>
      </c>
      <c r="C2375" s="12" t="str">
        <f>VLOOKUP((WEEKDAY(Movimientos_2026[[#This Row],[Fecha]],2)),'5. Setup'!$D$6:$E$12,2,FALSE)</f>
        <v>Lun</v>
      </c>
      <c r="D2375">
        <v>1043392</v>
      </c>
      <c r="E2375" t="str">
        <f>IFERROR(+VLOOKUP(Movimientos_2026[[#This Row],[Codigo]],Plan_cuentas[],2,FALSE)," ")</f>
        <v>INGRESOS</v>
      </c>
      <c r="F2375" t="str">
        <f>IFERROR(+VLOOKUP(Movimientos_2026[[#This Row],[Codigo]],Plan_cuentas[],3,FALSE)," ")</f>
        <v>Transferencia</v>
      </c>
      <c r="G2375" t="str">
        <f>IFERROR(+VLOOKUP(Movimientos_2026[[#This Row],[Codigo]],Plan_cuentas[],4,FALSE)," ")</f>
        <v>Registración</v>
      </c>
      <c r="H2375" t="str">
        <f>IFERROR(+VLOOKUP(Movimientos_2026[[#This Row],[Codigo]],Plan_cuentas[],5,FALSE)," ")</f>
        <v>SANTA FE 2° Q</v>
      </c>
      <c r="I2375" s="43">
        <v>46174</v>
      </c>
      <c r="J2375" t="s">
        <v>1028</v>
      </c>
      <c r="K2375" t="str">
        <f>IFERROR(+VLOOKUP(Movimientos_2026[[#This Row],[Codigo]],Plan_cuentas[],6,FALSE)," ")</f>
        <v>2 - PR - Plan Rombo</v>
      </c>
      <c r="L2375" s="50">
        <v>26119778</v>
      </c>
      <c r="M2375" s="50"/>
      <c r="N2375" s="20">
        <f>+Movimientos_2026[[#This Row],[Ingresos]]-Movimientos_2026[[#This Row],[Egresos]]</f>
        <v>26119778</v>
      </c>
      <c r="O2375" s="20">
        <f>+O2374+Movimientos_2026[[#This Row],[Neto]]</f>
        <v>4849407445.1084557</v>
      </c>
    </row>
    <row r="2376" spans="1:15" x14ac:dyDescent="0.25">
      <c r="A2376" s="13">
        <v>46223</v>
      </c>
      <c r="B2376" s="12">
        <f>MONTH(Movimientos_2026[[#This Row],[Fecha]])</f>
        <v>7</v>
      </c>
      <c r="C2376" s="12" t="str">
        <f>VLOOKUP((WEEKDAY(Movimientos_2026[[#This Row],[Fecha]],2)),'5. Setup'!$D$6:$E$12,2,FALSE)</f>
        <v>Lun</v>
      </c>
      <c r="D2376">
        <v>1043172</v>
      </c>
      <c r="E2376" t="str">
        <f>IFERROR(+VLOOKUP(Movimientos_2026[[#This Row],[Codigo]],Plan_cuentas[],2,FALSE)," ")</f>
        <v>INGRESOS</v>
      </c>
      <c r="F2376" t="str">
        <f>IFERROR(+VLOOKUP(Movimientos_2026[[#This Row],[Codigo]],Plan_cuentas[],3,FALSE)," ")</f>
        <v>Transferencia</v>
      </c>
      <c r="G2376" t="str">
        <f>IFERROR(+VLOOKUP(Movimientos_2026[[#This Row],[Codigo]],Plan_cuentas[],4,FALSE)," ")</f>
        <v>Registración</v>
      </c>
      <c r="H2376" t="str">
        <f>IFERROR(+VLOOKUP(Movimientos_2026[[#This Row],[Codigo]],Plan_cuentas[],5,FALSE)," ")</f>
        <v>CHUBUT</v>
      </c>
      <c r="I2376" s="43">
        <v>46174</v>
      </c>
      <c r="J2376" t="s">
        <v>1028</v>
      </c>
      <c r="K2376" t="str">
        <f>IFERROR(+VLOOKUP(Movimientos_2026[[#This Row],[Codigo]],Plan_cuentas[],6,FALSE)," ")</f>
        <v>2 - PR - Plan Rombo</v>
      </c>
      <c r="L2376" s="50">
        <v>19467426</v>
      </c>
      <c r="M2376" s="50"/>
      <c r="N2376" s="20">
        <f>+Movimientos_2026[[#This Row],[Ingresos]]-Movimientos_2026[[#This Row],[Egresos]]</f>
        <v>19467426</v>
      </c>
      <c r="O2376" s="20">
        <f>+O2375+Movimientos_2026[[#This Row],[Neto]]</f>
        <v>4868874871.1084557</v>
      </c>
    </row>
    <row r="2377" spans="1:15" x14ac:dyDescent="0.25">
      <c r="A2377" s="13">
        <v>46223</v>
      </c>
      <c r="B2377" s="12">
        <f>MONTH(Movimientos_2026[[#This Row],[Fecha]])</f>
        <v>7</v>
      </c>
      <c r="C2377" s="12" t="str">
        <f>VLOOKUP((WEEKDAY(Movimientos_2026[[#This Row],[Fecha]],2)),'5. Setup'!$D$6:$E$12,2,FALSE)</f>
        <v>Lun</v>
      </c>
      <c r="D2377">
        <v>1044482</v>
      </c>
      <c r="E2377" t="str">
        <f>IFERROR(+VLOOKUP(Movimientos_2026[[#This Row],[Codigo]],Plan_cuentas[],2,FALSE)," ")</f>
        <v>INGRESOS</v>
      </c>
      <c r="F2377" t="str">
        <f>IFERROR(+VLOOKUP(Movimientos_2026[[#This Row],[Codigo]],Plan_cuentas[],3,FALSE)," ")</f>
        <v>Transferencia</v>
      </c>
      <c r="G2377" t="str">
        <f>IFERROR(+VLOOKUP(Movimientos_2026[[#This Row],[Codigo]],Plan_cuentas[],4,FALSE)," ")</f>
        <v>Factura</v>
      </c>
      <c r="H2377" t="str">
        <f>IFERROR(+VLOOKUP(Movimientos_2026[[#This Row],[Codigo]],Plan_cuentas[],5,FALSE)," ")</f>
        <v>FC TRAMITACION</v>
      </c>
      <c r="I2377" s="43">
        <v>46174</v>
      </c>
      <c r="J2377" t="s">
        <v>1030</v>
      </c>
      <c r="K2377" t="str">
        <f>IFERROR(+VLOOKUP(Movimientos_2026[[#This Row],[Codigo]],Plan_cuentas[],6,FALSE)," ")</f>
        <v>2 - PR - Plan Rombo</v>
      </c>
      <c r="L2377" s="50">
        <v>2505140.7999999998</v>
      </c>
      <c r="M2377" s="50"/>
      <c r="N2377" s="20">
        <f>+Movimientos_2026[[#This Row],[Ingresos]]-Movimientos_2026[[#This Row],[Egresos]]</f>
        <v>2505140.7999999998</v>
      </c>
      <c r="O2377" s="20">
        <f>+O2376+Movimientos_2026[[#This Row],[Neto]]</f>
        <v>4871380011.9084558</v>
      </c>
    </row>
    <row r="2378" spans="1:15" x14ac:dyDescent="0.25">
      <c r="A2378" s="13">
        <v>46223</v>
      </c>
      <c r="B2378" s="12">
        <f>MONTH(Movimientos_2026[[#This Row],[Fecha]])</f>
        <v>7</v>
      </c>
      <c r="C2378" s="12" t="str">
        <f>VLOOKUP((WEEKDAY(Movimientos_2026[[#This Row],[Fecha]],2)),'5. Setup'!$D$6:$E$12,2,FALSE)</f>
        <v>Lun</v>
      </c>
      <c r="D2378">
        <v>1044507</v>
      </c>
      <c r="E2378" t="str">
        <f>IFERROR(+VLOOKUP(Movimientos_2026[[#This Row],[Codigo]],Plan_cuentas[],2,FALSE)," ")</f>
        <v>INGRESOS</v>
      </c>
      <c r="F2378" t="str">
        <f>IFERROR(+VLOOKUP(Movimientos_2026[[#This Row],[Codigo]],Plan_cuentas[],3,FALSE)," ")</f>
        <v>Transferencia</v>
      </c>
      <c r="G2378" t="str">
        <f>IFERROR(+VLOOKUP(Movimientos_2026[[#This Row],[Codigo]],Plan_cuentas[],4,FALSE)," ")</f>
        <v>Rentas</v>
      </c>
      <c r="H2378" t="str">
        <f>IFERROR(+VLOOKUP(Movimientos_2026[[#This Row],[Codigo]],Plan_cuentas[],5,FALSE)," ")</f>
        <v>BAPRO</v>
      </c>
      <c r="I2378" s="43">
        <v>46174</v>
      </c>
      <c r="J2378" t="s">
        <v>1028</v>
      </c>
      <c r="K2378" t="str">
        <f>IFERROR(+VLOOKUP(Movimientos_2026[[#This Row],[Codigo]],Plan_cuentas[],6,FALSE)," ")</f>
        <v>7 - PRtr - Plan Rombo Transf.</v>
      </c>
      <c r="L2378" s="50">
        <v>5853722.2300000004</v>
      </c>
      <c r="M2378" s="50"/>
      <c r="N2378" s="20">
        <f>+Movimientos_2026[[#This Row],[Ingresos]]-Movimientos_2026[[#This Row],[Egresos]]</f>
        <v>5853722.2300000004</v>
      </c>
      <c r="O2378" s="20">
        <f>+O2377+Movimientos_2026[[#This Row],[Neto]]</f>
        <v>4877233734.1384554</v>
      </c>
    </row>
    <row r="2379" spans="1:15" x14ac:dyDescent="0.25">
      <c r="A2379" s="13">
        <v>46223</v>
      </c>
      <c r="B2379" s="12">
        <f>MONTH(Movimientos_2026[[#This Row],[Fecha]])</f>
        <v>7</v>
      </c>
      <c r="C2379" s="12" t="str">
        <f>VLOOKUP((WEEKDAY(Movimientos_2026[[#This Row],[Fecha]],2)),'5. Setup'!$D$6:$E$12,2,FALSE)</f>
        <v>Lun</v>
      </c>
      <c r="D2379">
        <v>1043157</v>
      </c>
      <c r="E2379" t="str">
        <f>IFERROR(+VLOOKUP(Movimientos_2026[[#This Row],[Codigo]],Plan_cuentas[],2,FALSE)," ")</f>
        <v>INGRESOS</v>
      </c>
      <c r="F2379" t="str">
        <f>IFERROR(+VLOOKUP(Movimientos_2026[[#This Row],[Codigo]],Plan_cuentas[],3,FALSE)," ")</f>
        <v>Transferencia</v>
      </c>
      <c r="G2379" t="str">
        <f>IFERROR(+VLOOKUP(Movimientos_2026[[#This Row],[Codigo]],Plan_cuentas[],4,FALSE)," ")</f>
        <v>Registración</v>
      </c>
      <c r="H2379" t="str">
        <f>IFERROR(+VLOOKUP(Movimientos_2026[[#This Row],[Codigo]],Plan_cuentas[],5,FALSE)," ")</f>
        <v>CABA</v>
      </c>
      <c r="I2379" s="43">
        <v>46174</v>
      </c>
      <c r="J2379" t="s">
        <v>1028</v>
      </c>
      <c r="K2379" t="str">
        <f>IFERROR(+VLOOKUP(Movimientos_2026[[#This Row],[Codigo]],Plan_cuentas[],6,FALSE)," ")</f>
        <v>7 - PRtr - Plan Rombo Transf.</v>
      </c>
      <c r="L2379" s="50">
        <v>2300</v>
      </c>
      <c r="M2379" s="50"/>
      <c r="N2379" s="20">
        <f>+Movimientos_2026[[#This Row],[Ingresos]]-Movimientos_2026[[#This Row],[Egresos]]</f>
        <v>2300</v>
      </c>
      <c r="O2379" s="20">
        <f>+O2378+Movimientos_2026[[#This Row],[Neto]]</f>
        <v>4877236034.1384554</v>
      </c>
    </row>
    <row r="2380" spans="1:15" x14ac:dyDescent="0.25">
      <c r="A2380" s="13">
        <v>46223</v>
      </c>
      <c r="B2380" s="12">
        <f>MONTH(Movimientos_2026[[#This Row],[Fecha]])</f>
        <v>7</v>
      </c>
      <c r="C2380" s="12" t="str">
        <f>VLOOKUP((WEEKDAY(Movimientos_2026[[#This Row],[Fecha]],2)),'5. Setup'!$D$6:$E$12,2,FALSE)</f>
        <v>Lun</v>
      </c>
      <c r="D2380">
        <v>1044167</v>
      </c>
      <c r="E2380" t="str">
        <f>IFERROR(+VLOOKUP(Movimientos_2026[[#This Row],[Codigo]],Plan_cuentas[],2,FALSE)," ")</f>
        <v>INGRESOS</v>
      </c>
      <c r="F2380" t="str">
        <f>IFERROR(+VLOOKUP(Movimientos_2026[[#This Row],[Codigo]],Plan_cuentas[],3,FALSE)," ")</f>
        <v>Transferencia</v>
      </c>
      <c r="G2380" t="str">
        <f>IFERROR(+VLOOKUP(Movimientos_2026[[#This Row],[Codigo]],Plan_cuentas[],4,FALSE)," ")</f>
        <v>Rentas</v>
      </c>
      <c r="H2380" t="str">
        <f>IFERROR(+VLOOKUP(Movimientos_2026[[#This Row],[Codigo]],Plan_cuentas[],5,FALSE)," ")</f>
        <v>CHACO</v>
      </c>
      <c r="I2380" s="43">
        <v>46174</v>
      </c>
      <c r="J2380" t="s">
        <v>1028</v>
      </c>
      <c r="K2380" t="str">
        <f>IFERROR(+VLOOKUP(Movimientos_2026[[#This Row],[Codigo]],Plan_cuentas[],6,FALSE)," ")</f>
        <v>7 - PRtr - Plan Rombo Transf.</v>
      </c>
      <c r="L2380" s="50">
        <v>538770.26</v>
      </c>
      <c r="M2380" s="50"/>
      <c r="N2380" s="20">
        <f>+Movimientos_2026[[#This Row],[Ingresos]]-Movimientos_2026[[#This Row],[Egresos]]</f>
        <v>538770.26</v>
      </c>
      <c r="O2380" s="20">
        <f>+O2379+Movimientos_2026[[#This Row],[Neto]]</f>
        <v>4877774804.3984556</v>
      </c>
    </row>
    <row r="2381" spans="1:15" x14ac:dyDescent="0.25">
      <c r="A2381" s="13">
        <v>46223</v>
      </c>
      <c r="B2381" s="12">
        <f>MONTH(Movimientos_2026[[#This Row],[Fecha]])</f>
        <v>7</v>
      </c>
      <c r="C2381" s="12" t="str">
        <f>VLOOKUP((WEEKDAY(Movimientos_2026[[#This Row],[Fecha]],2)),'5. Setup'!$D$6:$E$12,2,FALSE)</f>
        <v>Lun</v>
      </c>
      <c r="D2381">
        <v>1043177</v>
      </c>
      <c r="E2381" t="str">
        <f>IFERROR(+VLOOKUP(Movimientos_2026[[#This Row],[Codigo]],Plan_cuentas[],2,FALSE)," ")</f>
        <v>INGRESOS</v>
      </c>
      <c r="F2381" t="str">
        <f>IFERROR(+VLOOKUP(Movimientos_2026[[#This Row],[Codigo]],Plan_cuentas[],3,FALSE)," ")</f>
        <v>Transferencia</v>
      </c>
      <c r="G2381" t="str">
        <f>IFERROR(+VLOOKUP(Movimientos_2026[[#This Row],[Codigo]],Plan_cuentas[],4,FALSE)," ")</f>
        <v>Registración</v>
      </c>
      <c r="H2381" t="str">
        <f>IFERROR(+VLOOKUP(Movimientos_2026[[#This Row],[Codigo]],Plan_cuentas[],5,FALSE)," ")</f>
        <v>CHUBUT</v>
      </c>
      <c r="I2381" s="43">
        <v>46174</v>
      </c>
      <c r="J2381" t="s">
        <v>1028</v>
      </c>
      <c r="K2381" t="str">
        <f>IFERROR(+VLOOKUP(Movimientos_2026[[#This Row],[Codigo]],Plan_cuentas[],6,FALSE)," ")</f>
        <v>7 - PRtr - Plan Rombo Transf.</v>
      </c>
      <c r="L2381" s="50">
        <v>120488.65</v>
      </c>
      <c r="M2381" s="50"/>
      <c r="N2381" s="20">
        <f>+Movimientos_2026[[#This Row],[Ingresos]]-Movimientos_2026[[#This Row],[Egresos]]</f>
        <v>120488.65</v>
      </c>
      <c r="O2381" s="20">
        <f>+O2380+Movimientos_2026[[#This Row],[Neto]]</f>
        <v>4877895293.0484552</v>
      </c>
    </row>
    <row r="2382" spans="1:15" x14ac:dyDescent="0.25">
      <c r="A2382" s="13">
        <v>46223</v>
      </c>
      <c r="B2382" s="12">
        <f>MONTH(Movimientos_2026[[#This Row],[Fecha]])</f>
        <v>7</v>
      </c>
      <c r="C2382" s="12" t="str">
        <f>VLOOKUP((WEEKDAY(Movimientos_2026[[#This Row],[Fecha]],2)),'5. Setup'!$D$6:$E$12,2,FALSE)</f>
        <v>Lun</v>
      </c>
      <c r="D2382">
        <v>1044197</v>
      </c>
      <c r="E2382" t="str">
        <f>IFERROR(+VLOOKUP(Movimientos_2026[[#This Row],[Codigo]],Plan_cuentas[],2,FALSE)," ")</f>
        <v>INGRESOS</v>
      </c>
      <c r="F2382" t="str">
        <f>IFERROR(+VLOOKUP(Movimientos_2026[[#This Row],[Codigo]],Plan_cuentas[],3,FALSE)," ")</f>
        <v>Transferencia</v>
      </c>
      <c r="G2382" t="str">
        <f>IFERROR(+VLOOKUP(Movimientos_2026[[#This Row],[Codigo]],Plan_cuentas[],4,FALSE)," ")</f>
        <v>Rentas</v>
      </c>
      <c r="H2382" t="str">
        <f>IFERROR(+VLOOKUP(Movimientos_2026[[#This Row],[Codigo]],Plan_cuentas[],5,FALSE)," ")</f>
        <v>CORDOBA 2° Q</v>
      </c>
      <c r="I2382" s="43">
        <v>46174</v>
      </c>
      <c r="J2382" t="s">
        <v>1028</v>
      </c>
      <c r="K2382" t="str">
        <f>IFERROR(+VLOOKUP(Movimientos_2026[[#This Row],[Codigo]],Plan_cuentas[],6,FALSE)," ")</f>
        <v>7 - PRtr - Plan Rombo Transf.</v>
      </c>
      <c r="L2382" s="50">
        <v>514800</v>
      </c>
      <c r="M2382" s="50"/>
      <c r="N2382" s="20">
        <f>+Movimientos_2026[[#This Row],[Ingresos]]-Movimientos_2026[[#This Row],[Egresos]]</f>
        <v>514800</v>
      </c>
      <c r="O2382" s="20">
        <f>+O2381+Movimientos_2026[[#This Row],[Neto]]</f>
        <v>4878410093.0484552</v>
      </c>
    </row>
    <row r="2383" spans="1:15" x14ac:dyDescent="0.25">
      <c r="A2383" s="13">
        <v>46223</v>
      </c>
      <c r="B2383" s="12">
        <f>MONTH(Movimientos_2026[[#This Row],[Fecha]])</f>
        <v>7</v>
      </c>
      <c r="C2383" s="12" t="str">
        <f>VLOOKUP((WEEKDAY(Movimientos_2026[[#This Row],[Fecha]],2)),'5. Setup'!$D$6:$E$12,2,FALSE)</f>
        <v>Lun</v>
      </c>
      <c r="D2383">
        <v>1043227</v>
      </c>
      <c r="E2383" t="str">
        <f>IFERROR(+VLOOKUP(Movimientos_2026[[#This Row],[Codigo]],Plan_cuentas[],2,FALSE)," ")</f>
        <v>INGRESOS</v>
      </c>
      <c r="F2383" t="str">
        <f>IFERROR(+VLOOKUP(Movimientos_2026[[#This Row],[Codigo]],Plan_cuentas[],3,FALSE)," ")</f>
        <v>Transferencia</v>
      </c>
      <c r="G2383" t="str">
        <f>IFERROR(+VLOOKUP(Movimientos_2026[[#This Row],[Codigo]],Plan_cuentas[],4,FALSE)," ")</f>
        <v>Registración</v>
      </c>
      <c r="H2383" t="str">
        <f>IFERROR(+VLOOKUP(Movimientos_2026[[#This Row],[Codigo]],Plan_cuentas[],5,FALSE)," ")</f>
        <v>ENTRE RIOS 1° Q</v>
      </c>
      <c r="I2383" s="43">
        <v>46174</v>
      </c>
      <c r="J2383" t="s">
        <v>1028</v>
      </c>
      <c r="K2383" t="str">
        <f>IFERROR(+VLOOKUP(Movimientos_2026[[#This Row],[Codigo]],Plan_cuentas[],6,FALSE)," ")</f>
        <v>7 - PRtr - Plan Rombo Transf.</v>
      </c>
      <c r="L2383" s="50">
        <v>273000</v>
      </c>
      <c r="M2383" s="50"/>
      <c r="N2383" s="20">
        <f>+Movimientos_2026[[#This Row],[Ingresos]]-Movimientos_2026[[#This Row],[Egresos]]</f>
        <v>273000</v>
      </c>
      <c r="O2383" s="20">
        <f>+O2382+Movimientos_2026[[#This Row],[Neto]]</f>
        <v>4878683093.0484552</v>
      </c>
    </row>
    <row r="2384" spans="1:15" x14ac:dyDescent="0.25">
      <c r="A2384" s="13">
        <v>46223</v>
      </c>
      <c r="B2384" s="12">
        <f>MONTH(Movimientos_2026[[#This Row],[Fecha]])</f>
        <v>7</v>
      </c>
      <c r="C2384" s="12" t="str">
        <f>VLOOKUP((WEEKDAY(Movimientos_2026[[#This Row],[Fecha]],2)),'5. Setup'!$D$6:$E$12,2,FALSE)</f>
        <v>Lun</v>
      </c>
      <c r="D2384">
        <v>1043247</v>
      </c>
      <c r="E2384" t="str">
        <f>IFERROR(+VLOOKUP(Movimientos_2026[[#This Row],[Codigo]],Plan_cuentas[],2,FALSE)," ")</f>
        <v>INGRESOS</v>
      </c>
      <c r="F2384" t="str">
        <f>IFERROR(+VLOOKUP(Movimientos_2026[[#This Row],[Codigo]],Plan_cuentas[],3,FALSE)," ")</f>
        <v>Transferencia</v>
      </c>
      <c r="G2384" t="str">
        <f>IFERROR(+VLOOKUP(Movimientos_2026[[#This Row],[Codigo]],Plan_cuentas[],4,FALSE)," ")</f>
        <v>Registración</v>
      </c>
      <c r="H2384" t="str">
        <f>IFERROR(+VLOOKUP(Movimientos_2026[[#This Row],[Codigo]],Plan_cuentas[],5,FALSE)," ")</f>
        <v>FORMOSA</v>
      </c>
      <c r="I2384" s="43">
        <v>46174</v>
      </c>
      <c r="J2384" t="s">
        <v>1028</v>
      </c>
      <c r="K2384" t="str">
        <f>IFERROR(+VLOOKUP(Movimientos_2026[[#This Row],[Codigo]],Plan_cuentas[],6,FALSE)," ")</f>
        <v>7 - PRtr - Plan Rombo Transf.</v>
      </c>
      <c r="L2384" s="50">
        <v>10000</v>
      </c>
      <c r="M2384" s="50"/>
      <c r="N2384" s="20">
        <f>+Movimientos_2026[[#This Row],[Ingresos]]-Movimientos_2026[[#This Row],[Egresos]]</f>
        <v>10000</v>
      </c>
      <c r="O2384" s="20">
        <f>+O2383+Movimientos_2026[[#This Row],[Neto]]</f>
        <v>4878693093.0484552</v>
      </c>
    </row>
    <row r="2385" spans="1:15" x14ac:dyDescent="0.25">
      <c r="A2385" s="13">
        <v>46223</v>
      </c>
      <c r="B2385" s="12">
        <f>MONTH(Movimientos_2026[[#This Row],[Fecha]])</f>
        <v>7</v>
      </c>
      <c r="C2385" s="12" t="str">
        <f>VLOOKUP((WEEKDAY(Movimientos_2026[[#This Row],[Fecha]],2)),'5. Setup'!$D$6:$E$12,2,FALSE)</f>
        <v>Lun</v>
      </c>
      <c r="D2385">
        <v>1044357</v>
      </c>
      <c r="E2385" t="str">
        <f>IFERROR(+VLOOKUP(Movimientos_2026[[#This Row],[Codigo]],Plan_cuentas[],2,FALSE)," ")</f>
        <v>INGRESOS</v>
      </c>
      <c r="F2385" t="str">
        <f>IFERROR(+VLOOKUP(Movimientos_2026[[#This Row],[Codigo]],Plan_cuentas[],3,FALSE)," ")</f>
        <v>Transferencia</v>
      </c>
      <c r="G2385" t="str">
        <f>IFERROR(+VLOOKUP(Movimientos_2026[[#This Row],[Codigo]],Plan_cuentas[],4,FALSE)," ")</f>
        <v>Rentas</v>
      </c>
      <c r="H2385" t="str">
        <f>IFERROR(+VLOOKUP(Movimientos_2026[[#This Row],[Codigo]],Plan_cuentas[],5,FALSE)," ")</f>
        <v>SAN JUAN</v>
      </c>
      <c r="I2385" s="43">
        <v>46174</v>
      </c>
      <c r="J2385" t="s">
        <v>1028</v>
      </c>
      <c r="K2385" t="str">
        <f>IFERROR(+VLOOKUP(Movimientos_2026[[#This Row],[Codigo]],Plan_cuentas[],6,FALSE)," ")</f>
        <v>7 - PRtr - Plan Rombo Transf.</v>
      </c>
      <c r="L2385" s="50">
        <v>480</v>
      </c>
      <c r="M2385" s="50"/>
      <c r="N2385" s="20">
        <f>+Movimientos_2026[[#This Row],[Ingresos]]-Movimientos_2026[[#This Row],[Egresos]]</f>
        <v>480</v>
      </c>
      <c r="O2385" s="20">
        <f>+O2384+Movimientos_2026[[#This Row],[Neto]]</f>
        <v>4878693573.0484552</v>
      </c>
    </row>
    <row r="2386" spans="1:15" x14ac:dyDescent="0.25">
      <c r="A2386" s="13">
        <v>46223</v>
      </c>
      <c r="B2386" s="12">
        <f>MONTH(Movimientos_2026[[#This Row],[Fecha]])</f>
        <v>7</v>
      </c>
      <c r="C2386" s="12" t="str">
        <f>VLOOKUP((WEEKDAY(Movimientos_2026[[#This Row],[Fecha]],2)),'5. Setup'!$D$6:$E$12,2,FALSE)</f>
        <v>Lun</v>
      </c>
      <c r="D2386">
        <v>1044287</v>
      </c>
      <c r="E2386" t="str">
        <f>IFERROR(+VLOOKUP(Movimientos_2026[[#This Row],[Codigo]],Plan_cuentas[],2,FALSE)," ")</f>
        <v>INGRESOS</v>
      </c>
      <c r="F2386" t="str">
        <f>IFERROR(+VLOOKUP(Movimientos_2026[[#This Row],[Codigo]],Plan_cuentas[],3,FALSE)," ")</f>
        <v>Transferencia</v>
      </c>
      <c r="G2386" t="str">
        <f>IFERROR(+VLOOKUP(Movimientos_2026[[#This Row],[Codigo]],Plan_cuentas[],4,FALSE)," ")</f>
        <v>Rentas</v>
      </c>
      <c r="H2386" t="str">
        <f>IFERROR(+VLOOKUP(Movimientos_2026[[#This Row],[Codigo]],Plan_cuentas[],5,FALSE)," ")</f>
        <v>MENDOZA</v>
      </c>
      <c r="I2386" s="43">
        <v>46174</v>
      </c>
      <c r="J2386" t="s">
        <v>1028</v>
      </c>
      <c r="K2386" t="str">
        <f>IFERROR(+VLOOKUP(Movimientos_2026[[#This Row],[Codigo]],Plan_cuentas[],6,FALSE)," ")</f>
        <v>7 - PRtr - Plan Rombo Transf.</v>
      </c>
      <c r="L2386" s="50">
        <v>2000</v>
      </c>
      <c r="M2386" s="50"/>
      <c r="N2386" s="20">
        <f>+Movimientos_2026[[#This Row],[Ingresos]]-Movimientos_2026[[#This Row],[Egresos]]</f>
        <v>2000</v>
      </c>
      <c r="O2386" s="20">
        <f>+O2385+Movimientos_2026[[#This Row],[Neto]]</f>
        <v>4878695573.0484552</v>
      </c>
    </row>
    <row r="2387" spans="1:15" x14ac:dyDescent="0.25">
      <c r="A2387" s="13">
        <v>46223</v>
      </c>
      <c r="B2387" s="12">
        <f>MONTH(Movimientos_2026[[#This Row],[Fecha]])</f>
        <v>7</v>
      </c>
      <c r="C2387" s="12" t="str">
        <f>VLOOKUP((WEEKDAY(Movimientos_2026[[#This Row],[Fecha]],2)),'5. Setup'!$D$6:$E$12,2,FALSE)</f>
        <v>Lun</v>
      </c>
      <c r="D2387">
        <v>1044407</v>
      </c>
      <c r="E2387" t="str">
        <f>IFERROR(+VLOOKUP(Movimientos_2026[[#This Row],[Codigo]],Plan_cuentas[],2,FALSE)," ")</f>
        <v>INGRESOS</v>
      </c>
      <c r="F2387" t="str">
        <f>IFERROR(+VLOOKUP(Movimientos_2026[[#This Row],[Codigo]],Plan_cuentas[],3,FALSE)," ")</f>
        <v>Transferencia</v>
      </c>
      <c r="G2387" t="str">
        <f>IFERROR(+VLOOKUP(Movimientos_2026[[#This Row],[Codigo]],Plan_cuentas[],4,FALSE)," ")</f>
        <v>Rentas</v>
      </c>
      <c r="H2387" t="str">
        <f>IFERROR(+VLOOKUP(Movimientos_2026[[#This Row],[Codigo]],Plan_cuentas[],5,FALSE)," ")</f>
        <v>SANTIAGO DEL ESTERO</v>
      </c>
      <c r="I2387" s="43">
        <v>46174</v>
      </c>
      <c r="J2387" t="s">
        <v>1028</v>
      </c>
      <c r="K2387" t="str">
        <f>IFERROR(+VLOOKUP(Movimientos_2026[[#This Row],[Codigo]],Plan_cuentas[],6,FALSE)," ")</f>
        <v>7 - PRtr - Plan Rombo Transf.</v>
      </c>
      <c r="L2387" s="50">
        <v>800</v>
      </c>
      <c r="M2387" s="50"/>
      <c r="N2387" s="20">
        <f>+Movimientos_2026[[#This Row],[Ingresos]]-Movimientos_2026[[#This Row],[Egresos]]</f>
        <v>800</v>
      </c>
      <c r="O2387" s="20">
        <f>+O2386+Movimientos_2026[[#This Row],[Neto]]</f>
        <v>4878696373.0484552</v>
      </c>
    </row>
    <row r="2388" spans="1:15" x14ac:dyDescent="0.25">
      <c r="A2388" s="13">
        <v>46223</v>
      </c>
      <c r="B2388" s="12">
        <f>MONTH(Movimientos_2026[[#This Row],[Fecha]])</f>
        <v>7</v>
      </c>
      <c r="C2388" s="12" t="str">
        <f>VLOOKUP((WEEKDAY(Movimientos_2026[[#This Row],[Fecha]],2)),'5. Setup'!$D$6:$E$12,2,FALSE)</f>
        <v>Lun</v>
      </c>
      <c r="D2388">
        <v>1043387</v>
      </c>
      <c r="E2388" t="str">
        <f>IFERROR(+VLOOKUP(Movimientos_2026[[#This Row],[Codigo]],Plan_cuentas[],2,FALSE)," ")</f>
        <v>INGRESOS</v>
      </c>
      <c r="F2388" t="str">
        <f>IFERROR(+VLOOKUP(Movimientos_2026[[#This Row],[Codigo]],Plan_cuentas[],3,FALSE)," ")</f>
        <v>Transferencia</v>
      </c>
      <c r="G2388" t="str">
        <f>IFERROR(+VLOOKUP(Movimientos_2026[[#This Row],[Codigo]],Plan_cuentas[],4,FALSE)," ")</f>
        <v>Registración</v>
      </c>
      <c r="H2388" t="str">
        <f>IFERROR(+VLOOKUP(Movimientos_2026[[#This Row],[Codigo]],Plan_cuentas[],5,FALSE)," ")</f>
        <v>SANTA FE 1° Q</v>
      </c>
      <c r="I2388" s="43">
        <v>46174</v>
      </c>
      <c r="J2388" t="s">
        <v>1028</v>
      </c>
      <c r="K2388" t="str">
        <f>IFERROR(+VLOOKUP(Movimientos_2026[[#This Row],[Codigo]],Plan_cuentas[],6,FALSE)," ")</f>
        <v>7 - PRtr - Plan Rombo Transf.</v>
      </c>
      <c r="L2388" s="50">
        <v>215800</v>
      </c>
      <c r="M2388" s="50"/>
      <c r="N2388" s="20">
        <f>+Movimientos_2026[[#This Row],[Ingresos]]-Movimientos_2026[[#This Row],[Egresos]]</f>
        <v>215800</v>
      </c>
      <c r="O2388" s="20">
        <f>+O2387+Movimientos_2026[[#This Row],[Neto]]</f>
        <v>4878912173.0484552</v>
      </c>
    </row>
    <row r="2389" spans="1:15" x14ac:dyDescent="0.25">
      <c r="A2389" s="13">
        <v>46223</v>
      </c>
      <c r="B2389" s="12">
        <f>MONTH(Movimientos_2026[[#This Row],[Fecha]])</f>
        <v>7</v>
      </c>
      <c r="C2389" s="12" t="str">
        <f>VLOOKUP((WEEKDAY(Movimientos_2026[[#This Row],[Fecha]],2)),'5. Setup'!$D$6:$E$12,2,FALSE)</f>
        <v>Lun</v>
      </c>
      <c r="D2389">
        <v>1044417</v>
      </c>
      <c r="E2389" t="str">
        <f>IFERROR(+VLOOKUP(Movimientos_2026[[#This Row],[Codigo]],Plan_cuentas[],2,FALSE)," ")</f>
        <v>INGRESOS</v>
      </c>
      <c r="F2389" t="str">
        <f>IFERROR(+VLOOKUP(Movimientos_2026[[#This Row],[Codigo]],Plan_cuentas[],3,FALSE)," ")</f>
        <v>Transferencia</v>
      </c>
      <c r="G2389" t="str">
        <f>IFERROR(+VLOOKUP(Movimientos_2026[[#This Row],[Codigo]],Plan_cuentas[],4,FALSE)," ")</f>
        <v>Rentas</v>
      </c>
      <c r="H2389" t="str">
        <f>IFERROR(+VLOOKUP(Movimientos_2026[[#This Row],[Codigo]],Plan_cuentas[],5,FALSE)," ")</f>
        <v>TIERRA DEL FUEGO</v>
      </c>
      <c r="I2389" s="43">
        <v>46174</v>
      </c>
      <c r="J2389" t="s">
        <v>1028</v>
      </c>
      <c r="K2389" t="str">
        <f>IFERROR(+VLOOKUP(Movimientos_2026[[#This Row],[Codigo]],Plan_cuentas[],6,FALSE)," ")</f>
        <v>7 - PRtr - Plan Rombo Transf.</v>
      </c>
      <c r="L2389" s="50">
        <v>45000</v>
      </c>
      <c r="M2389" s="50"/>
      <c r="N2389" s="20">
        <f>+Movimientos_2026[[#This Row],[Ingresos]]-Movimientos_2026[[#This Row],[Egresos]]</f>
        <v>45000</v>
      </c>
      <c r="O2389" s="20">
        <f>+O2388+Movimientos_2026[[#This Row],[Neto]]</f>
        <v>4878957173.0484552</v>
      </c>
    </row>
    <row r="2390" spans="1:15" x14ac:dyDescent="0.25">
      <c r="A2390" s="13">
        <v>46223</v>
      </c>
      <c r="B2390" s="12">
        <f>MONTH(Movimientos_2026[[#This Row],[Fecha]])</f>
        <v>7</v>
      </c>
      <c r="C2390" s="12" t="str">
        <f>VLOOKUP((WEEKDAY(Movimientos_2026[[#This Row],[Fecha]],2)),'5. Setup'!$D$6:$E$12,2,FALSE)</f>
        <v>Lun</v>
      </c>
      <c r="D2390">
        <v>1044427</v>
      </c>
      <c r="E2390" t="str">
        <f>IFERROR(+VLOOKUP(Movimientos_2026[[#This Row],[Codigo]],Plan_cuentas[],2,FALSE)," ")</f>
        <v>INGRESOS</v>
      </c>
      <c r="F2390" t="str">
        <f>IFERROR(+VLOOKUP(Movimientos_2026[[#This Row],[Codigo]],Plan_cuentas[],3,FALSE)," ")</f>
        <v>Transferencia</v>
      </c>
      <c r="G2390" t="str">
        <f>IFERROR(+VLOOKUP(Movimientos_2026[[#This Row],[Codigo]],Plan_cuentas[],4,FALSE)," ")</f>
        <v>Rentas</v>
      </c>
      <c r="H2390" t="str">
        <f>IFERROR(+VLOOKUP(Movimientos_2026[[#This Row],[Codigo]],Plan_cuentas[],5,FALSE)," ")</f>
        <v>TUCUMAN</v>
      </c>
      <c r="I2390" s="43">
        <v>46174</v>
      </c>
      <c r="J2390" t="s">
        <v>1028</v>
      </c>
      <c r="K2390" t="str">
        <f>IFERROR(+VLOOKUP(Movimientos_2026[[#This Row],[Codigo]],Plan_cuentas[],6,FALSE)," ")</f>
        <v>7 - PRtr - Plan Rombo Transf.</v>
      </c>
      <c r="L2390" s="50">
        <v>130</v>
      </c>
      <c r="M2390" s="50"/>
      <c r="N2390" s="20">
        <f>+Movimientos_2026[[#This Row],[Ingresos]]-Movimientos_2026[[#This Row],[Egresos]]</f>
        <v>130</v>
      </c>
      <c r="O2390" s="20">
        <f>+O2389+Movimientos_2026[[#This Row],[Neto]]</f>
        <v>4878957303.0484552</v>
      </c>
    </row>
    <row r="2391" spans="1:15" x14ac:dyDescent="0.25">
      <c r="A2391" s="13">
        <v>46223</v>
      </c>
      <c r="B2391" s="12">
        <f>MONTH(Movimientos_2026[[#This Row],[Fecha]])</f>
        <v>7</v>
      </c>
      <c r="C2391" s="12" t="str">
        <f>VLOOKUP((WEEKDAY(Movimientos_2026[[#This Row],[Fecha]],2)),'5. Setup'!$D$6:$E$12,2,FALSE)</f>
        <v>Lun</v>
      </c>
      <c r="D2391">
        <v>1045477</v>
      </c>
      <c r="E2391" t="str">
        <f>IFERROR(+VLOOKUP(Movimientos_2026[[#This Row],[Codigo]],Plan_cuentas[],2,FALSE)," ")</f>
        <v>INGRESOS</v>
      </c>
      <c r="F2391" t="str">
        <f>IFERROR(+VLOOKUP(Movimientos_2026[[#This Row],[Codigo]],Plan_cuentas[],3,FALSE)," ")</f>
        <v>Transferencia</v>
      </c>
      <c r="G2391" t="str">
        <f>IFERROR(+VLOOKUP(Movimientos_2026[[#This Row],[Codigo]],Plan_cuentas[],4,FALSE)," ")</f>
        <v>Factura</v>
      </c>
      <c r="H2391" t="str">
        <f>IFERROR(+VLOOKUP(Movimientos_2026[[#This Row],[Codigo]],Plan_cuentas[],5,FALSE)," ")</f>
        <v>FC HONORARIOS</v>
      </c>
      <c r="I2391" s="43">
        <v>46174</v>
      </c>
      <c r="J2391" t="s">
        <v>1031</v>
      </c>
      <c r="K2391" t="str">
        <f>IFERROR(+VLOOKUP(Movimientos_2026[[#This Row],[Codigo]],Plan_cuentas[],6,FALSE)," ")</f>
        <v>7 - PRtr - Plan Rombo Transf.</v>
      </c>
      <c r="L2391" s="50">
        <v>8734054.1300000008</v>
      </c>
      <c r="M2391" s="50"/>
      <c r="N2391" s="20">
        <f>+Movimientos_2026[[#This Row],[Ingresos]]-Movimientos_2026[[#This Row],[Egresos]]</f>
        <v>8734054.1300000008</v>
      </c>
      <c r="O2391" s="20">
        <f>+O2390+Movimientos_2026[[#This Row],[Neto]]</f>
        <v>4887691357.1784554</v>
      </c>
    </row>
    <row r="2392" spans="1:15" x14ac:dyDescent="0.25">
      <c r="A2392" s="13">
        <v>46223</v>
      </c>
      <c r="B2392" s="12">
        <f>MONTH(Movimientos_2026[[#This Row],[Fecha]])</f>
        <v>7</v>
      </c>
      <c r="C2392" s="12" t="str">
        <f>VLOOKUP((WEEKDAY(Movimientos_2026[[#This Row],[Fecha]],2)),'5. Setup'!$D$6:$E$12,2,FALSE)</f>
        <v>Lun</v>
      </c>
      <c r="D2392">
        <v>1045452</v>
      </c>
      <c r="E2392" t="str">
        <f>IFERROR(+VLOOKUP(Movimientos_2026[[#This Row],[Codigo]],Plan_cuentas[],2,FALSE)," ")</f>
        <v>INGRESOS</v>
      </c>
      <c r="F2392" t="str">
        <f>IFERROR(+VLOOKUP(Movimientos_2026[[#This Row],[Codigo]],Plan_cuentas[],3,FALSE)," ")</f>
        <v>Transferencia</v>
      </c>
      <c r="G2392" t="str">
        <f>IFERROR(+VLOOKUP(Movimientos_2026[[#This Row],[Codigo]],Plan_cuentas[],4,FALSE)," ")</f>
        <v>Factura</v>
      </c>
      <c r="H2392" t="str">
        <f>IFERROR(+VLOOKUP(Movimientos_2026[[#This Row],[Codigo]],Plan_cuentas[],5,FALSE)," ")</f>
        <v>FC DERECHOS</v>
      </c>
      <c r="I2392" s="43">
        <v>46174</v>
      </c>
      <c r="J2392" t="s">
        <v>1032</v>
      </c>
      <c r="K2392" t="str">
        <f>IFERROR(+VLOOKUP(Movimientos_2026[[#This Row],[Codigo]],Plan_cuentas[],6,FALSE)," ")</f>
        <v>2 - PR - Plan Rombo</v>
      </c>
      <c r="L2392" s="50">
        <v>45794676.990000002</v>
      </c>
      <c r="M2392" s="50"/>
      <c r="N2392" s="20">
        <f>+Movimientos_2026[[#This Row],[Ingresos]]-Movimientos_2026[[#This Row],[Egresos]]</f>
        <v>45794676.990000002</v>
      </c>
      <c r="O2392" s="20">
        <f>+O2391+Movimientos_2026[[#This Row],[Neto]]</f>
        <v>4933486034.1684551</v>
      </c>
    </row>
    <row r="2393" spans="1:15" x14ac:dyDescent="0.25">
      <c r="A2393" s="13">
        <v>46224</v>
      </c>
      <c r="B2393" s="12">
        <f>MONTH(Movimientos_2026[[#This Row],[Fecha]])</f>
        <v>7</v>
      </c>
      <c r="C2393" s="12" t="str">
        <f>VLOOKUP((WEEKDAY(Movimientos_2026[[#This Row],[Fecha]],2)),'5. Setup'!$D$6:$E$12,2,FALSE)</f>
        <v>Mar</v>
      </c>
      <c r="D2393">
        <v>2054312</v>
      </c>
      <c r="E2393" t="str">
        <f>IFERROR(+VLOOKUP(Movimientos_2026[[#This Row],[Codigo]],Plan_cuentas[],2,FALSE)," ")</f>
        <v>EGRESOS</v>
      </c>
      <c r="F2393" t="str">
        <f>IFERROR(+VLOOKUP(Movimientos_2026[[#This Row],[Codigo]],Plan_cuentas[],3,FALSE)," ")</f>
        <v>VEP</v>
      </c>
      <c r="G2393" t="str">
        <f>IFERROR(+VLOOKUP(Movimientos_2026[[#This Row],[Codigo]],Plan_cuentas[],4,FALSE)," ")</f>
        <v>Rentas</v>
      </c>
      <c r="H2393" t="str">
        <f>IFERROR(+VLOOKUP(Movimientos_2026[[#This Row],[Codigo]],Plan_cuentas[],5,FALSE)," ")</f>
        <v>NEUQUEN 1° Q</v>
      </c>
      <c r="I2393" s="43">
        <v>46204</v>
      </c>
      <c r="J2393" t="s">
        <v>1033</v>
      </c>
      <c r="K2393" t="str">
        <f>IFERROR(+VLOOKUP(Movimientos_2026[[#This Row],[Codigo]],Plan_cuentas[],6,FALSE)," ")</f>
        <v>2 - PR - Plan Rombo</v>
      </c>
      <c r="L2393" s="50"/>
      <c r="M2393" s="50">
        <v>19178700</v>
      </c>
      <c r="N2393" s="20">
        <f>+Movimientos_2026[[#This Row],[Ingresos]]-Movimientos_2026[[#This Row],[Egresos]]</f>
        <v>-19178700</v>
      </c>
      <c r="O2393" s="20">
        <f>+O2392+Movimientos_2026[[#This Row],[Neto]]</f>
        <v>4914307334.1684551</v>
      </c>
    </row>
    <row r="2394" spans="1:15" x14ac:dyDescent="0.25">
      <c r="A2394" s="13">
        <v>46224</v>
      </c>
      <c r="B2394" s="12">
        <f>MONTH(Movimientos_2026[[#This Row],[Fecha]])</f>
        <v>7</v>
      </c>
      <c r="C2394" s="12" t="str">
        <f>VLOOKUP((WEEKDAY(Movimientos_2026[[#This Row],[Fecha]],2)),'5. Setup'!$D$6:$E$12,2,FALSE)</f>
        <v>Mar</v>
      </c>
      <c r="D2394">
        <v>2054314</v>
      </c>
      <c r="E2394" t="str">
        <f>IFERROR(+VLOOKUP(Movimientos_2026[[#This Row],[Codigo]],Plan_cuentas[],2,FALSE)," ")</f>
        <v>EGRESOS</v>
      </c>
      <c r="F2394" t="str">
        <f>IFERROR(+VLOOKUP(Movimientos_2026[[#This Row],[Codigo]],Plan_cuentas[],3,FALSE)," ")</f>
        <v>VEP</v>
      </c>
      <c r="G2394" t="str">
        <f>IFERROR(+VLOOKUP(Movimientos_2026[[#This Row],[Codigo]],Plan_cuentas[],4,FALSE)," ")</f>
        <v>Rentas</v>
      </c>
      <c r="H2394" t="str">
        <f>IFERROR(+VLOOKUP(Movimientos_2026[[#This Row],[Codigo]],Plan_cuentas[],5,FALSE)," ")</f>
        <v>NEUQUEN 1° Q</v>
      </c>
      <c r="I2394" s="43">
        <v>46204</v>
      </c>
      <c r="J2394" t="s">
        <v>1034</v>
      </c>
      <c r="K2394" t="str">
        <f>IFERROR(+VLOOKUP(Movimientos_2026[[#This Row],[Codigo]],Plan_cuentas[],6,FALSE)," ")</f>
        <v>4 - FCA - Fiat</v>
      </c>
      <c r="L2394" s="50"/>
      <c r="M2394" s="50">
        <v>40864680</v>
      </c>
      <c r="N2394" s="20">
        <f>+Movimientos_2026[[#This Row],[Ingresos]]-Movimientos_2026[[#This Row],[Egresos]]</f>
        <v>-40864680</v>
      </c>
      <c r="O2394" s="20">
        <f>+O2393+Movimientos_2026[[#This Row],[Neto]]</f>
        <v>4873442654.1684551</v>
      </c>
    </row>
    <row r="2395" spans="1:15" x14ac:dyDescent="0.25">
      <c r="A2395" s="13">
        <v>46224</v>
      </c>
      <c r="B2395" s="12">
        <f>MONTH(Movimientos_2026[[#This Row],[Fecha]])</f>
        <v>7</v>
      </c>
      <c r="C2395" s="12" t="str">
        <f>VLOOKUP((WEEKDAY(Movimientos_2026[[#This Row],[Fecha]],2)),'5. Setup'!$D$6:$E$12,2,FALSE)</f>
        <v>Mar</v>
      </c>
      <c r="D2395">
        <v>2054316</v>
      </c>
      <c r="E2395" t="str">
        <f>IFERROR(+VLOOKUP(Movimientos_2026[[#This Row],[Codigo]],Plan_cuentas[],2,FALSE)," ")</f>
        <v>EGRESOS</v>
      </c>
      <c r="F2395" t="str">
        <f>IFERROR(+VLOOKUP(Movimientos_2026[[#This Row],[Codigo]],Plan_cuentas[],3,FALSE)," ")</f>
        <v>VEP</v>
      </c>
      <c r="G2395" t="str">
        <f>IFERROR(+VLOOKUP(Movimientos_2026[[#This Row],[Codigo]],Plan_cuentas[],4,FALSE)," ")</f>
        <v>Rentas</v>
      </c>
      <c r="H2395" t="str">
        <f>IFERROR(+VLOOKUP(Movimientos_2026[[#This Row],[Codigo]],Plan_cuentas[],5,FALSE)," ")</f>
        <v>NEUQUEN 1° Q</v>
      </c>
      <c r="I2395" s="43">
        <v>46204</v>
      </c>
      <c r="J2395" t="s">
        <v>1034</v>
      </c>
      <c r="K2395" t="str">
        <f>IFERROR(+VLOOKUP(Movimientos_2026[[#This Row],[Codigo]],Plan_cuentas[],6,FALSE)," ")</f>
        <v>6 - FCAtr - Fiat Transf.</v>
      </c>
      <c r="L2395" s="50"/>
      <c r="M2395" s="50">
        <v>699418.68</v>
      </c>
      <c r="N2395" s="20">
        <f>+Movimientos_2026[[#This Row],[Ingresos]]-Movimientos_2026[[#This Row],[Egresos]]</f>
        <v>-699418.68</v>
      </c>
      <c r="O2395" s="20">
        <f>+O2394+Movimientos_2026[[#This Row],[Neto]]</f>
        <v>4872743235.4884548</v>
      </c>
    </row>
    <row r="2396" spans="1:15" x14ac:dyDescent="0.25">
      <c r="A2396" s="13">
        <v>46224</v>
      </c>
      <c r="B2396" s="12">
        <f>MONTH(Movimientos_2026[[#This Row],[Fecha]])</f>
        <v>7</v>
      </c>
      <c r="C2396" s="12" t="str">
        <f>VLOOKUP((WEEKDAY(Movimientos_2026[[#This Row],[Fecha]],2)),'5. Setup'!$D$6:$E$12,2,FALSE)</f>
        <v>Mar</v>
      </c>
      <c r="D2396">
        <v>2044464</v>
      </c>
      <c r="E2396" t="str">
        <f>IFERROR(+VLOOKUP(Movimientos_2026[[#This Row],[Codigo]],Plan_cuentas[],2,FALSE)," ")</f>
        <v>EGRESOS</v>
      </c>
      <c r="F2396" t="str">
        <f>IFERROR(+VLOOKUP(Movimientos_2026[[#This Row],[Codigo]],Plan_cuentas[],3,FALSE)," ")</f>
        <v>Transferencia</v>
      </c>
      <c r="G2396" t="str">
        <f>IFERROR(+VLOOKUP(Movimientos_2026[[#This Row],[Codigo]],Plan_cuentas[],4,FALSE)," ")</f>
        <v>Rentas</v>
      </c>
      <c r="H2396" t="str">
        <f>IFERROR(+VLOOKUP(Movimientos_2026[[#This Row],[Codigo]],Plan_cuentas[],5,FALSE)," ")</f>
        <v>MISIONES</v>
      </c>
      <c r="I2396" s="43">
        <v>46174</v>
      </c>
      <c r="J2396" t="s">
        <v>1035</v>
      </c>
      <c r="K2396" t="str">
        <f>IFERROR(+VLOOKUP(Movimientos_2026[[#This Row],[Codigo]],Plan_cuentas[],6,FALSE)," ")</f>
        <v>4 - FCA - Fiat</v>
      </c>
      <c r="L2396" s="50"/>
      <c r="M2396" s="50">
        <v>7506217.9299999997</v>
      </c>
      <c r="N2396" s="20">
        <f>+Movimientos_2026[[#This Row],[Ingresos]]-Movimientos_2026[[#This Row],[Egresos]]</f>
        <v>-7506217.9299999997</v>
      </c>
      <c r="O2396" s="20">
        <f>+O2395+Movimientos_2026[[#This Row],[Neto]]</f>
        <v>4865237017.5584545</v>
      </c>
    </row>
    <row r="2397" spans="1:15" x14ac:dyDescent="0.25">
      <c r="A2397" s="13">
        <v>46224</v>
      </c>
      <c r="B2397" s="12">
        <f>MONTH(Movimientos_2026[[#This Row],[Fecha]])</f>
        <v>7</v>
      </c>
      <c r="C2397" s="12" t="str">
        <f>VLOOKUP((WEEKDAY(Movimientos_2026[[#This Row],[Fecha]],2)),'5. Setup'!$D$6:$E$12,2,FALSE)</f>
        <v>Mar</v>
      </c>
      <c r="D2397">
        <v>2014262</v>
      </c>
      <c r="E2397" t="str">
        <f>IFERROR(+VLOOKUP(Movimientos_2026[[#This Row],[Codigo]],Plan_cuentas[],2,FALSE)," ")</f>
        <v>EGRESOS</v>
      </c>
      <c r="F2397" t="str">
        <f>IFERROR(+VLOOKUP(Movimientos_2026[[#This Row],[Codigo]],Plan_cuentas[],3,FALSE)," ")</f>
        <v>BtoB</v>
      </c>
      <c r="G2397" t="str">
        <f>IFERROR(+VLOOKUP(Movimientos_2026[[#This Row],[Codigo]],Plan_cuentas[],4,FALSE)," ")</f>
        <v>Rentas</v>
      </c>
      <c r="H2397" t="str">
        <f>IFERROR(+VLOOKUP(Movimientos_2026[[#This Row],[Codigo]],Plan_cuentas[],5,FALSE)," ")</f>
        <v>LA PAMPA</v>
      </c>
      <c r="I2397" s="43">
        <v>46174</v>
      </c>
      <c r="J2397" t="s">
        <v>1036</v>
      </c>
      <c r="K2397" t="str">
        <f>IFERROR(+VLOOKUP(Movimientos_2026[[#This Row],[Codigo]],Plan_cuentas[],6,FALSE)," ")</f>
        <v>2 - PR - Plan Rombo</v>
      </c>
      <c r="L2397" s="50"/>
      <c r="M2397" s="50">
        <v>5694850</v>
      </c>
      <c r="N2397" s="20">
        <f>+Movimientos_2026[[#This Row],[Ingresos]]-Movimientos_2026[[#This Row],[Egresos]]</f>
        <v>-5694850</v>
      </c>
      <c r="O2397" s="20">
        <f>+O2396+Movimientos_2026[[#This Row],[Neto]]</f>
        <v>4859542167.5584545</v>
      </c>
    </row>
    <row r="2398" spans="1:15" x14ac:dyDescent="0.25">
      <c r="A2398" s="13">
        <v>46224</v>
      </c>
      <c r="B2398" s="12">
        <f>MONTH(Movimientos_2026[[#This Row],[Fecha]])</f>
        <v>7</v>
      </c>
      <c r="C2398" s="12" t="str">
        <f>VLOOKUP((WEEKDAY(Movimientos_2026[[#This Row],[Fecha]],2)),'5. Setup'!$D$6:$E$12,2,FALSE)</f>
        <v>Mar</v>
      </c>
      <c r="D2398">
        <v>2014264</v>
      </c>
      <c r="E2398" t="str">
        <f>IFERROR(+VLOOKUP(Movimientos_2026[[#This Row],[Codigo]],Plan_cuentas[],2,FALSE)," ")</f>
        <v>EGRESOS</v>
      </c>
      <c r="F2398" t="str">
        <f>IFERROR(+VLOOKUP(Movimientos_2026[[#This Row],[Codigo]],Plan_cuentas[],3,FALSE)," ")</f>
        <v>BtoB</v>
      </c>
      <c r="G2398" t="str">
        <f>IFERROR(+VLOOKUP(Movimientos_2026[[#This Row],[Codigo]],Plan_cuentas[],4,FALSE)," ")</f>
        <v>Rentas</v>
      </c>
      <c r="H2398" t="str">
        <f>IFERROR(+VLOOKUP(Movimientos_2026[[#This Row],[Codigo]],Plan_cuentas[],5,FALSE)," ")</f>
        <v>LA PAMPA</v>
      </c>
      <c r="I2398" s="43">
        <v>46174</v>
      </c>
      <c r="J2398" t="s">
        <v>1037</v>
      </c>
      <c r="K2398" t="str">
        <f>IFERROR(+VLOOKUP(Movimientos_2026[[#This Row],[Codigo]],Plan_cuentas[],6,FALSE)," ")</f>
        <v>4 - FCA - Fiat</v>
      </c>
      <c r="L2398" s="50"/>
      <c r="M2398" s="50">
        <v>3858750</v>
      </c>
      <c r="N2398" s="20">
        <f>+Movimientos_2026[[#This Row],[Ingresos]]-Movimientos_2026[[#This Row],[Egresos]]</f>
        <v>-3858750</v>
      </c>
      <c r="O2398" s="20">
        <f>+O2397+Movimientos_2026[[#This Row],[Neto]]</f>
        <v>4855683417.5584545</v>
      </c>
    </row>
    <row r="2399" spans="1:15" x14ac:dyDescent="0.25">
      <c r="A2399" s="13">
        <v>46224</v>
      </c>
      <c r="B2399" s="12">
        <f>MONTH(Movimientos_2026[[#This Row],[Fecha]])</f>
        <v>7</v>
      </c>
      <c r="C2399" s="12" t="str">
        <f>VLOOKUP((WEEKDAY(Movimientos_2026[[#This Row],[Fecha]],2)),'5. Setup'!$D$6:$E$12,2,FALSE)</f>
        <v>Mar</v>
      </c>
      <c r="D2399">
        <v>2014266</v>
      </c>
      <c r="E2399" t="str">
        <f>IFERROR(+VLOOKUP(Movimientos_2026[[#This Row],[Codigo]],Plan_cuentas[],2,FALSE)," ")</f>
        <v>EGRESOS</v>
      </c>
      <c r="F2399" t="str">
        <f>IFERROR(+VLOOKUP(Movimientos_2026[[#This Row],[Codigo]],Plan_cuentas[],3,FALSE)," ")</f>
        <v>BtoB</v>
      </c>
      <c r="G2399" t="str">
        <f>IFERROR(+VLOOKUP(Movimientos_2026[[#This Row],[Codigo]],Plan_cuentas[],4,FALSE)," ")</f>
        <v>Rentas</v>
      </c>
      <c r="H2399" t="str">
        <f>IFERROR(+VLOOKUP(Movimientos_2026[[#This Row],[Codigo]],Plan_cuentas[],5,FALSE)," ")</f>
        <v>LA PAMPA</v>
      </c>
      <c r="I2399" s="43">
        <v>46174</v>
      </c>
      <c r="J2399" t="s">
        <v>1037</v>
      </c>
      <c r="K2399" t="str">
        <f>IFERROR(+VLOOKUP(Movimientos_2026[[#This Row],[Codigo]],Plan_cuentas[],6,FALSE)," ")</f>
        <v>6 - FCAtr - Fiat Transf.</v>
      </c>
      <c r="L2399" s="50"/>
      <c r="M2399" s="50">
        <v>137332.73000000001</v>
      </c>
      <c r="N2399" s="20">
        <f>+Movimientos_2026[[#This Row],[Ingresos]]-Movimientos_2026[[#This Row],[Egresos]]</f>
        <v>-137332.73000000001</v>
      </c>
      <c r="O2399" s="20">
        <f>+O2398+Movimientos_2026[[#This Row],[Neto]]</f>
        <v>4855546084.828455</v>
      </c>
    </row>
    <row r="2400" spans="1:15" x14ac:dyDescent="0.25">
      <c r="A2400" s="13">
        <v>46224</v>
      </c>
      <c r="B2400" s="12">
        <f>MONTH(Movimientos_2026[[#This Row],[Fecha]])</f>
        <v>7</v>
      </c>
      <c r="C2400" s="12" t="str">
        <f>VLOOKUP((WEEKDAY(Movimientos_2026[[#This Row],[Fecha]],2)),'5. Setup'!$D$6:$E$12,2,FALSE)</f>
        <v>Mar</v>
      </c>
      <c r="D2400">
        <v>2014264</v>
      </c>
      <c r="E2400" t="str">
        <f>IFERROR(+VLOOKUP(Movimientos_2026[[#This Row],[Codigo]],Plan_cuentas[],2,FALSE)," ")</f>
        <v>EGRESOS</v>
      </c>
      <c r="F2400" t="str">
        <f>IFERROR(+VLOOKUP(Movimientos_2026[[#This Row],[Codigo]],Plan_cuentas[],3,FALSE)," ")</f>
        <v>BtoB</v>
      </c>
      <c r="G2400" t="str">
        <f>IFERROR(+VLOOKUP(Movimientos_2026[[#This Row],[Codigo]],Plan_cuentas[],4,FALSE)," ")</f>
        <v>Rentas</v>
      </c>
      <c r="H2400" t="str">
        <f>IFERROR(+VLOOKUP(Movimientos_2026[[#This Row],[Codigo]],Plan_cuentas[],5,FALSE)," ")</f>
        <v>LA PAMPA</v>
      </c>
      <c r="I2400" s="43">
        <v>46174</v>
      </c>
      <c r="J2400" t="s">
        <v>1037</v>
      </c>
      <c r="K2400" t="str">
        <f>IFERROR(+VLOOKUP(Movimientos_2026[[#This Row],[Codigo]],Plan_cuentas[],6,FALSE)," ")</f>
        <v>4 - FCA - Fiat</v>
      </c>
      <c r="L2400" s="50"/>
      <c r="M2400" s="50">
        <v>4418469.12</v>
      </c>
      <c r="N2400" s="20">
        <f>+Movimientos_2026[[#This Row],[Ingresos]]-Movimientos_2026[[#This Row],[Egresos]]</f>
        <v>-4418469.12</v>
      </c>
      <c r="O2400" s="20">
        <f>+O2399+Movimientos_2026[[#This Row],[Neto]]</f>
        <v>4851127615.7084551</v>
      </c>
    </row>
    <row r="2401" spans="1:15" x14ac:dyDescent="0.25">
      <c r="A2401" s="13">
        <v>46224</v>
      </c>
      <c r="B2401" s="12">
        <f>MONTH(Movimientos_2026[[#This Row],[Fecha]])</f>
        <v>7</v>
      </c>
      <c r="C2401" s="12" t="str">
        <f>VLOOKUP((WEEKDAY(Movimientos_2026[[#This Row],[Fecha]],2)),'5. Setup'!$D$6:$E$12,2,FALSE)</f>
        <v>Mar</v>
      </c>
      <c r="D2401">
        <v>2044127</v>
      </c>
      <c r="E2401" t="str">
        <f>IFERROR(+VLOOKUP(Movimientos_2026[[#This Row],[Codigo]],Plan_cuentas[],2,FALSE)," ")</f>
        <v>EGRESOS</v>
      </c>
      <c r="F2401" t="str">
        <f>IFERROR(+VLOOKUP(Movimientos_2026[[#This Row],[Codigo]],Plan_cuentas[],3,FALSE)," ")</f>
        <v>Transferencia</v>
      </c>
      <c r="G2401" t="str">
        <f>IFERROR(+VLOOKUP(Movimientos_2026[[#This Row],[Codigo]],Plan_cuentas[],4,FALSE)," ")</f>
        <v>Rentas</v>
      </c>
      <c r="H2401" t="str">
        <f>IFERROR(+VLOOKUP(Movimientos_2026[[#This Row],[Codigo]],Plan_cuentas[],5,FALSE)," ")</f>
        <v>BAPRO</v>
      </c>
      <c r="I2401" s="43">
        <v>46174</v>
      </c>
      <c r="J2401" t="s">
        <v>1038</v>
      </c>
      <c r="K2401" t="str">
        <f>IFERROR(+VLOOKUP(Movimientos_2026[[#This Row],[Codigo]],Plan_cuentas[],6,FALSE)," ")</f>
        <v>7 - PRtr - Plan Rombo Transf.</v>
      </c>
      <c r="L2401" s="50"/>
      <c r="M2401" s="50">
        <v>2184729.5</v>
      </c>
      <c r="N2401" s="20">
        <f>+Movimientos_2026[[#This Row],[Ingresos]]-Movimientos_2026[[#This Row],[Egresos]]</f>
        <v>-2184729.5</v>
      </c>
      <c r="O2401" s="20">
        <f>+O2400+Movimientos_2026[[#This Row],[Neto]]</f>
        <v>4848942886.2084551</v>
      </c>
    </row>
    <row r="2402" spans="1:15" x14ac:dyDescent="0.25">
      <c r="A2402" s="13">
        <v>46224</v>
      </c>
      <c r="B2402" s="12">
        <f>MONTH(Movimientos_2026[[#This Row],[Fecha]])</f>
        <v>7</v>
      </c>
      <c r="C2402" s="12" t="str">
        <f>VLOOKUP((WEEKDAY(Movimientos_2026[[#This Row],[Fecha]],2)),'5. Setup'!$D$6:$E$12,2,FALSE)</f>
        <v>Mar</v>
      </c>
      <c r="D2402">
        <v>2044127</v>
      </c>
      <c r="E2402" t="str">
        <f>IFERROR(+VLOOKUP(Movimientos_2026[[#This Row],[Codigo]],Plan_cuentas[],2,FALSE)," ")</f>
        <v>EGRESOS</v>
      </c>
      <c r="F2402" t="str">
        <f>IFERROR(+VLOOKUP(Movimientos_2026[[#This Row],[Codigo]],Plan_cuentas[],3,FALSE)," ")</f>
        <v>Transferencia</v>
      </c>
      <c r="G2402" t="str">
        <f>IFERROR(+VLOOKUP(Movimientos_2026[[#This Row],[Codigo]],Plan_cuentas[],4,FALSE)," ")</f>
        <v>Rentas</v>
      </c>
      <c r="H2402" t="str">
        <f>IFERROR(+VLOOKUP(Movimientos_2026[[#This Row],[Codigo]],Plan_cuentas[],5,FALSE)," ")</f>
        <v>BAPRO</v>
      </c>
      <c r="I2402" s="43">
        <v>46174</v>
      </c>
      <c r="J2402" t="s">
        <v>1039</v>
      </c>
      <c r="K2402" t="str">
        <f>IFERROR(+VLOOKUP(Movimientos_2026[[#This Row],[Codigo]],Plan_cuentas[],6,FALSE)," ")</f>
        <v>7 - PRtr - Plan Rombo Transf.</v>
      </c>
      <c r="L2402" s="50"/>
      <c r="M2402" s="50">
        <v>943473.5</v>
      </c>
      <c r="N2402" s="20">
        <f>+Movimientos_2026[[#This Row],[Ingresos]]-Movimientos_2026[[#This Row],[Egresos]]</f>
        <v>-943473.5</v>
      </c>
      <c r="O2402" s="20">
        <f>+O2401+Movimientos_2026[[#This Row],[Neto]]</f>
        <v>4847999412.7084551</v>
      </c>
    </row>
    <row r="2403" spans="1:15" x14ac:dyDescent="0.25">
      <c r="A2403" s="13">
        <v>46224</v>
      </c>
      <c r="B2403" s="12">
        <f>MONTH(Movimientos_2026[[#This Row],[Fecha]])</f>
        <v>7</v>
      </c>
      <c r="C2403" s="12" t="str">
        <f>VLOOKUP((WEEKDAY(Movimientos_2026[[#This Row],[Fecha]],2)),'5. Setup'!$D$6:$E$12,2,FALSE)</f>
        <v>Mar</v>
      </c>
      <c r="D2403">
        <v>2044127</v>
      </c>
      <c r="E2403" t="str">
        <f>IFERROR(+VLOOKUP(Movimientos_2026[[#This Row],[Codigo]],Plan_cuentas[],2,FALSE)," ")</f>
        <v>EGRESOS</v>
      </c>
      <c r="F2403" t="str">
        <f>IFERROR(+VLOOKUP(Movimientos_2026[[#This Row],[Codigo]],Plan_cuentas[],3,FALSE)," ")</f>
        <v>Transferencia</v>
      </c>
      <c r="G2403" t="str">
        <f>IFERROR(+VLOOKUP(Movimientos_2026[[#This Row],[Codigo]],Plan_cuentas[],4,FALSE)," ")</f>
        <v>Rentas</v>
      </c>
      <c r="H2403" t="str">
        <f>IFERROR(+VLOOKUP(Movimientos_2026[[#This Row],[Codigo]],Plan_cuentas[],5,FALSE)," ")</f>
        <v>BAPRO</v>
      </c>
      <c r="I2403" s="43">
        <v>46174</v>
      </c>
      <c r="J2403" t="s">
        <v>1040</v>
      </c>
      <c r="K2403" t="str">
        <f>IFERROR(+VLOOKUP(Movimientos_2026[[#This Row],[Codigo]],Plan_cuentas[],6,FALSE)," ")</f>
        <v>7 - PRtr - Plan Rombo Transf.</v>
      </c>
      <c r="L2403" s="50"/>
      <c r="M2403" s="50">
        <v>1792410.3</v>
      </c>
      <c r="N2403" s="20">
        <f>+Movimientos_2026[[#This Row],[Ingresos]]-Movimientos_2026[[#This Row],[Egresos]]</f>
        <v>-1792410.3</v>
      </c>
      <c r="O2403" s="20">
        <f>+O2402+Movimientos_2026[[#This Row],[Neto]]</f>
        <v>4846207002.4084549</v>
      </c>
    </row>
    <row r="2404" spans="1:15" x14ac:dyDescent="0.25">
      <c r="A2404" s="13">
        <v>46224</v>
      </c>
      <c r="B2404" s="12">
        <f>MONTH(Movimientos_2026[[#This Row],[Fecha]])</f>
        <v>7</v>
      </c>
      <c r="C2404" s="12" t="str">
        <f>VLOOKUP((WEEKDAY(Movimientos_2026[[#This Row],[Fecha]],2)),'5. Setup'!$D$6:$E$12,2,FALSE)</f>
        <v>Mar</v>
      </c>
      <c r="D2404">
        <v>2044127</v>
      </c>
      <c r="E2404" t="str">
        <f>IFERROR(+VLOOKUP(Movimientos_2026[[#This Row],[Codigo]],Plan_cuentas[],2,FALSE)," ")</f>
        <v>EGRESOS</v>
      </c>
      <c r="F2404" t="str">
        <f>IFERROR(+VLOOKUP(Movimientos_2026[[#This Row],[Codigo]],Plan_cuentas[],3,FALSE)," ")</f>
        <v>Transferencia</v>
      </c>
      <c r="G2404" t="str">
        <f>IFERROR(+VLOOKUP(Movimientos_2026[[#This Row],[Codigo]],Plan_cuentas[],4,FALSE)," ")</f>
        <v>Rentas</v>
      </c>
      <c r="H2404" t="str">
        <f>IFERROR(+VLOOKUP(Movimientos_2026[[#This Row],[Codigo]],Plan_cuentas[],5,FALSE)," ")</f>
        <v>BAPRO</v>
      </c>
      <c r="I2404" s="43">
        <v>46174</v>
      </c>
      <c r="J2404" t="s">
        <v>1041</v>
      </c>
      <c r="K2404" t="str">
        <f>IFERROR(+VLOOKUP(Movimientos_2026[[#This Row],[Codigo]],Plan_cuentas[],6,FALSE)," ")</f>
        <v>7 - PRtr - Plan Rombo Transf.</v>
      </c>
      <c r="L2404" s="50"/>
      <c r="M2404" s="50">
        <v>1050526.3</v>
      </c>
      <c r="N2404" s="20">
        <f>+Movimientos_2026[[#This Row],[Ingresos]]-Movimientos_2026[[#This Row],[Egresos]]</f>
        <v>-1050526.3</v>
      </c>
      <c r="O2404" s="20">
        <f>+O2403+Movimientos_2026[[#This Row],[Neto]]</f>
        <v>4845156476.1084547</v>
      </c>
    </row>
    <row r="2405" spans="1:15" x14ac:dyDescent="0.25">
      <c r="A2405" s="13">
        <v>46224</v>
      </c>
      <c r="B2405" s="12">
        <f>MONTH(Movimientos_2026[[#This Row],[Fecha]])</f>
        <v>7</v>
      </c>
      <c r="C2405" s="12" t="str">
        <f>VLOOKUP((WEEKDAY(Movimientos_2026[[#This Row],[Fecha]],2)),'5. Setup'!$D$6:$E$12,2,FALSE)</f>
        <v>Mar</v>
      </c>
      <c r="D2405">
        <v>2044127</v>
      </c>
      <c r="E2405" t="str">
        <f>IFERROR(+VLOOKUP(Movimientos_2026[[#This Row],[Codigo]],Plan_cuentas[],2,FALSE)," ")</f>
        <v>EGRESOS</v>
      </c>
      <c r="F2405" t="str">
        <f>IFERROR(+VLOOKUP(Movimientos_2026[[#This Row],[Codigo]],Plan_cuentas[],3,FALSE)," ")</f>
        <v>Transferencia</v>
      </c>
      <c r="G2405" t="str">
        <f>IFERROR(+VLOOKUP(Movimientos_2026[[#This Row],[Codigo]],Plan_cuentas[],4,FALSE)," ")</f>
        <v>Rentas</v>
      </c>
      <c r="H2405" t="str">
        <f>IFERROR(+VLOOKUP(Movimientos_2026[[#This Row],[Codigo]],Plan_cuentas[],5,FALSE)," ")</f>
        <v>BAPRO</v>
      </c>
      <c r="I2405" s="43">
        <v>46174</v>
      </c>
      <c r="J2405" t="s">
        <v>1042</v>
      </c>
      <c r="K2405" t="str">
        <f>IFERROR(+VLOOKUP(Movimientos_2026[[#This Row],[Codigo]],Plan_cuentas[],6,FALSE)," ")</f>
        <v>7 - PRtr - Plan Rombo Transf.</v>
      </c>
      <c r="L2405" s="50"/>
      <c r="M2405" s="50">
        <v>2511653.7000000002</v>
      </c>
      <c r="N2405" s="20">
        <f>+Movimientos_2026[[#This Row],[Ingresos]]-Movimientos_2026[[#This Row],[Egresos]]</f>
        <v>-2511653.7000000002</v>
      </c>
      <c r="O2405" s="20">
        <f>+O2404+Movimientos_2026[[#This Row],[Neto]]</f>
        <v>4842644822.4084549</v>
      </c>
    </row>
    <row r="2406" spans="1:15" x14ac:dyDescent="0.25">
      <c r="A2406" s="13">
        <v>46224</v>
      </c>
      <c r="B2406" s="12">
        <f>MONTH(Movimientos_2026[[#This Row],[Fecha]])</f>
        <v>7</v>
      </c>
      <c r="C2406" s="12" t="str">
        <f>VLOOKUP((WEEKDAY(Movimientos_2026[[#This Row],[Fecha]],2)),'5. Setup'!$D$6:$E$12,2,FALSE)</f>
        <v>Mar</v>
      </c>
      <c r="D2406">
        <v>2044127</v>
      </c>
      <c r="E2406" t="str">
        <f>IFERROR(+VLOOKUP(Movimientos_2026[[#This Row],[Codigo]],Plan_cuentas[],2,FALSE)," ")</f>
        <v>EGRESOS</v>
      </c>
      <c r="F2406" t="str">
        <f>IFERROR(+VLOOKUP(Movimientos_2026[[#This Row],[Codigo]],Plan_cuentas[],3,FALSE)," ")</f>
        <v>Transferencia</v>
      </c>
      <c r="G2406" t="str">
        <f>IFERROR(+VLOOKUP(Movimientos_2026[[#This Row],[Codigo]],Plan_cuentas[],4,FALSE)," ")</f>
        <v>Rentas</v>
      </c>
      <c r="H2406" t="str">
        <f>IFERROR(+VLOOKUP(Movimientos_2026[[#This Row],[Codigo]],Plan_cuentas[],5,FALSE)," ")</f>
        <v>BAPRO</v>
      </c>
      <c r="I2406" s="43">
        <v>46174</v>
      </c>
      <c r="J2406" t="s">
        <v>1043</v>
      </c>
      <c r="K2406" t="str">
        <f>IFERROR(+VLOOKUP(Movimientos_2026[[#This Row],[Codigo]],Plan_cuentas[],6,FALSE)," ")</f>
        <v>7 - PRtr - Plan Rombo Transf.</v>
      </c>
      <c r="L2406" s="50"/>
      <c r="M2406" s="50">
        <v>1302392.5</v>
      </c>
      <c r="N2406" s="20">
        <f>+Movimientos_2026[[#This Row],[Ingresos]]-Movimientos_2026[[#This Row],[Egresos]]</f>
        <v>-1302392.5</v>
      </c>
      <c r="O2406" s="20">
        <f>+O2405+Movimientos_2026[[#This Row],[Neto]]</f>
        <v>4841342429.9084549</v>
      </c>
    </row>
    <row r="2407" spans="1:15" x14ac:dyDescent="0.25">
      <c r="A2407" s="13">
        <v>46224</v>
      </c>
      <c r="B2407" s="12">
        <f>MONTH(Movimientos_2026[[#This Row],[Fecha]])</f>
        <v>7</v>
      </c>
      <c r="C2407" s="12" t="str">
        <f>VLOOKUP((WEEKDAY(Movimientos_2026[[#This Row],[Fecha]],2)),'5. Setup'!$D$6:$E$12,2,FALSE)</f>
        <v>Mar</v>
      </c>
      <c r="D2407">
        <v>2044126</v>
      </c>
      <c r="E2407" t="str">
        <f>IFERROR(+VLOOKUP(Movimientos_2026[[#This Row],[Codigo]],Plan_cuentas[],2,FALSE)," ")</f>
        <v>EGRESOS</v>
      </c>
      <c r="F2407" t="str">
        <f>IFERROR(+VLOOKUP(Movimientos_2026[[#This Row],[Codigo]],Plan_cuentas[],3,FALSE)," ")</f>
        <v>Transferencia</v>
      </c>
      <c r="G2407" t="str">
        <f>IFERROR(+VLOOKUP(Movimientos_2026[[#This Row],[Codigo]],Plan_cuentas[],4,FALSE)," ")</f>
        <v>Rentas</v>
      </c>
      <c r="H2407" t="str">
        <f>IFERROR(+VLOOKUP(Movimientos_2026[[#This Row],[Codigo]],Plan_cuentas[],5,FALSE)," ")</f>
        <v>BAPRO</v>
      </c>
      <c r="I2407" s="43">
        <v>46174</v>
      </c>
      <c r="J2407" t="s">
        <v>1044</v>
      </c>
      <c r="K2407" t="str">
        <f>IFERROR(+VLOOKUP(Movimientos_2026[[#This Row],[Codigo]],Plan_cuentas[],6,FALSE)," ")</f>
        <v>6 - FCAtr - Fiat Transf.</v>
      </c>
      <c r="L2407" s="50"/>
      <c r="M2407" s="50">
        <v>4034350.6</v>
      </c>
      <c r="N2407" s="20">
        <f>+Movimientos_2026[[#This Row],[Ingresos]]-Movimientos_2026[[#This Row],[Egresos]]</f>
        <v>-4034350.6</v>
      </c>
      <c r="O2407" s="20">
        <f>+O2406+Movimientos_2026[[#This Row],[Neto]]</f>
        <v>4837308079.3084545</v>
      </c>
    </row>
    <row r="2408" spans="1:15" x14ac:dyDescent="0.25">
      <c r="A2408" s="13">
        <v>46224</v>
      </c>
      <c r="B2408" s="12">
        <f>MONTH(Movimientos_2026[[#This Row],[Fecha]])</f>
        <v>7</v>
      </c>
      <c r="C2408" s="12" t="str">
        <f>VLOOKUP((WEEKDAY(Movimientos_2026[[#This Row],[Fecha]],2)),'5. Setup'!$D$6:$E$12,2,FALSE)</f>
        <v>Mar</v>
      </c>
      <c r="D2408">
        <v>2044126</v>
      </c>
      <c r="E2408" t="str">
        <f>IFERROR(+VLOOKUP(Movimientos_2026[[#This Row],[Codigo]],Plan_cuentas[],2,FALSE)," ")</f>
        <v>EGRESOS</v>
      </c>
      <c r="F2408" t="str">
        <f>IFERROR(+VLOOKUP(Movimientos_2026[[#This Row],[Codigo]],Plan_cuentas[],3,FALSE)," ")</f>
        <v>Transferencia</v>
      </c>
      <c r="G2408" t="str">
        <f>IFERROR(+VLOOKUP(Movimientos_2026[[#This Row],[Codigo]],Plan_cuentas[],4,FALSE)," ")</f>
        <v>Rentas</v>
      </c>
      <c r="H2408" t="str">
        <f>IFERROR(+VLOOKUP(Movimientos_2026[[#This Row],[Codigo]],Plan_cuentas[],5,FALSE)," ")</f>
        <v>BAPRO</v>
      </c>
      <c r="I2408" s="43">
        <v>46174</v>
      </c>
      <c r="J2408" t="s">
        <v>1045</v>
      </c>
      <c r="K2408" t="str">
        <f>IFERROR(+VLOOKUP(Movimientos_2026[[#This Row],[Codigo]],Plan_cuentas[],6,FALSE)," ")</f>
        <v>6 - FCAtr - Fiat Transf.</v>
      </c>
      <c r="L2408" s="50"/>
      <c r="M2408" s="50">
        <v>1527288.7</v>
      </c>
      <c r="N2408" s="20">
        <f>+Movimientos_2026[[#This Row],[Ingresos]]-Movimientos_2026[[#This Row],[Egresos]]</f>
        <v>-1527288.7</v>
      </c>
      <c r="O2408" s="20">
        <f>+O2407+Movimientos_2026[[#This Row],[Neto]]</f>
        <v>4835780790.6084547</v>
      </c>
    </row>
    <row r="2409" spans="1:15" x14ac:dyDescent="0.25">
      <c r="A2409" s="13">
        <v>46225</v>
      </c>
      <c r="B2409" s="12">
        <f>MONTH(Movimientos_2026[[#This Row],[Fecha]])</f>
        <v>7</v>
      </c>
      <c r="C2409" s="12" t="str">
        <f>VLOOKUP((WEEKDAY(Movimientos_2026[[#This Row],[Fecha]],2)),'5. Setup'!$D$6:$E$12,2,FALSE)</f>
        <v>Mie</v>
      </c>
      <c r="D2409">
        <v>2023382</v>
      </c>
      <c r="E2409" t="str">
        <f>IFERROR(+VLOOKUP(Movimientos_2026[[#This Row],[Codigo]],Plan_cuentas[],2,FALSE)," ")</f>
        <v>EGRESOS</v>
      </c>
      <c r="F2409" t="str">
        <f>IFERROR(+VLOOKUP(Movimientos_2026[[#This Row],[Codigo]],Plan_cuentas[],3,FALSE)," ")</f>
        <v>DDJJ</v>
      </c>
      <c r="G2409" t="str">
        <f>IFERROR(+VLOOKUP(Movimientos_2026[[#This Row],[Codigo]],Plan_cuentas[],4,FALSE)," ")</f>
        <v>Registración</v>
      </c>
      <c r="H2409" t="str">
        <f>IFERROR(+VLOOKUP(Movimientos_2026[[#This Row],[Codigo]],Plan_cuentas[],5,FALSE)," ")</f>
        <v>SANTA FE 1° Q</v>
      </c>
      <c r="I2409" s="43">
        <v>46204</v>
      </c>
      <c r="J2409" t="s">
        <v>1046</v>
      </c>
      <c r="K2409" t="str">
        <f>IFERROR(+VLOOKUP(Movimientos_2026[[#This Row],[Codigo]],Plan_cuentas[],6,FALSE)," ")</f>
        <v>2 - PR - Plan Rombo</v>
      </c>
      <c r="L2409" s="50"/>
      <c r="M2409" s="50">
        <v>26386555.09</v>
      </c>
      <c r="N2409" s="20">
        <f>+Movimientos_2026[[#This Row],[Ingresos]]-Movimientos_2026[[#This Row],[Egresos]]</f>
        <v>-26386555.09</v>
      </c>
      <c r="O2409" s="20">
        <f>+O2408+Movimientos_2026[[#This Row],[Neto]]</f>
        <v>4809394235.5184546</v>
      </c>
    </row>
    <row r="2410" spans="1:15" x14ac:dyDescent="0.25">
      <c r="A2410" s="13">
        <v>46225</v>
      </c>
      <c r="B2410" s="12">
        <f>MONTH(Movimientos_2026[[#This Row],[Fecha]])</f>
        <v>7</v>
      </c>
      <c r="C2410" s="12" t="str">
        <f>VLOOKUP((WEEKDAY(Movimientos_2026[[#This Row],[Fecha]],2)),'5. Setup'!$D$6:$E$12,2,FALSE)</f>
        <v>Mie</v>
      </c>
      <c r="D2410">
        <v>2023383</v>
      </c>
      <c r="E2410" t="str">
        <f>IFERROR(+VLOOKUP(Movimientos_2026[[#This Row],[Codigo]],Plan_cuentas[],2,FALSE)," ")</f>
        <v>EGRESOS</v>
      </c>
      <c r="F2410" t="str">
        <f>IFERROR(+VLOOKUP(Movimientos_2026[[#This Row],[Codigo]],Plan_cuentas[],3,FALSE)," ")</f>
        <v>DDJJ</v>
      </c>
      <c r="G2410" t="str">
        <f>IFERROR(+VLOOKUP(Movimientos_2026[[#This Row],[Codigo]],Plan_cuentas[],4,FALSE)," ")</f>
        <v>Registración</v>
      </c>
      <c r="H2410" t="str">
        <f>IFERROR(+VLOOKUP(Movimientos_2026[[#This Row],[Codigo]],Plan_cuentas[],5,FALSE)," ")</f>
        <v>SANTA FE 1° Q</v>
      </c>
      <c r="I2410" s="43">
        <v>46204</v>
      </c>
      <c r="J2410" t="s">
        <v>1046</v>
      </c>
      <c r="K2410" t="str">
        <f>IFERROR(+VLOOKUP(Movimientos_2026[[#This Row],[Codigo]],Plan_cuentas[],6,FALSE)," ")</f>
        <v>3 - GM - Chevrolet</v>
      </c>
      <c r="L2410" s="50"/>
      <c r="M2410" s="50">
        <v>40779000.130000003</v>
      </c>
      <c r="N2410" s="20">
        <f>+Movimientos_2026[[#This Row],[Ingresos]]-Movimientos_2026[[#This Row],[Egresos]]</f>
        <v>-40779000.130000003</v>
      </c>
      <c r="O2410" s="20">
        <f>+O2409+Movimientos_2026[[#This Row],[Neto]]</f>
        <v>4768615235.3884544</v>
      </c>
    </row>
    <row r="2411" spans="1:15" x14ac:dyDescent="0.25">
      <c r="A2411" s="13">
        <v>46225</v>
      </c>
      <c r="B2411" s="12">
        <f>MONTH(Movimientos_2026[[#This Row],[Fecha]])</f>
        <v>7</v>
      </c>
      <c r="C2411" s="12" t="str">
        <f>VLOOKUP((WEEKDAY(Movimientos_2026[[#This Row],[Fecha]],2)),'5. Setup'!$D$6:$E$12,2,FALSE)</f>
        <v>Mie</v>
      </c>
      <c r="D2411">
        <v>2023384</v>
      </c>
      <c r="E2411" t="str">
        <f>IFERROR(+VLOOKUP(Movimientos_2026[[#This Row],[Codigo]],Plan_cuentas[],2,FALSE)," ")</f>
        <v>EGRESOS</v>
      </c>
      <c r="F2411" t="str">
        <f>IFERROR(+VLOOKUP(Movimientos_2026[[#This Row],[Codigo]],Plan_cuentas[],3,FALSE)," ")</f>
        <v>DDJJ</v>
      </c>
      <c r="G2411" t="str">
        <f>IFERROR(+VLOOKUP(Movimientos_2026[[#This Row],[Codigo]],Plan_cuentas[],4,FALSE)," ")</f>
        <v>Registración</v>
      </c>
      <c r="H2411" t="str">
        <f>IFERROR(+VLOOKUP(Movimientos_2026[[#This Row],[Codigo]],Plan_cuentas[],5,FALSE)," ")</f>
        <v>SANTA FE 1° Q</v>
      </c>
      <c r="I2411" s="43">
        <v>46204</v>
      </c>
      <c r="J2411" t="s">
        <v>1046</v>
      </c>
      <c r="K2411" t="str">
        <f>IFERROR(+VLOOKUP(Movimientos_2026[[#This Row],[Codigo]],Plan_cuentas[],6,FALSE)," ")</f>
        <v>4 - FCA - Fiat</v>
      </c>
      <c r="L2411" s="50"/>
      <c r="M2411" s="50">
        <v>87237871.450000003</v>
      </c>
      <c r="N2411" s="20">
        <f>+Movimientos_2026[[#This Row],[Ingresos]]-Movimientos_2026[[#This Row],[Egresos]]</f>
        <v>-87237871.450000003</v>
      </c>
      <c r="O2411" s="20">
        <f>+O2410+Movimientos_2026[[#This Row],[Neto]]</f>
        <v>4681377363.9384546</v>
      </c>
    </row>
    <row r="2412" spans="1:15" x14ac:dyDescent="0.25">
      <c r="A2412" s="13">
        <v>46225</v>
      </c>
      <c r="B2412" s="12">
        <f>MONTH(Movimientos_2026[[#This Row],[Fecha]])</f>
        <v>7</v>
      </c>
      <c r="C2412" s="12" t="str">
        <f>VLOOKUP((WEEKDAY(Movimientos_2026[[#This Row],[Fecha]],2)),'5. Setup'!$D$6:$E$12,2,FALSE)</f>
        <v>Mie</v>
      </c>
      <c r="D2412">
        <v>2023385</v>
      </c>
      <c r="E2412" t="str">
        <f>IFERROR(+VLOOKUP(Movimientos_2026[[#This Row],[Codigo]],Plan_cuentas[],2,FALSE)," ")</f>
        <v>EGRESOS</v>
      </c>
      <c r="F2412" t="str">
        <f>IFERROR(+VLOOKUP(Movimientos_2026[[#This Row],[Codigo]],Plan_cuentas[],3,FALSE)," ")</f>
        <v>DDJJ</v>
      </c>
      <c r="G2412" t="str">
        <f>IFERROR(+VLOOKUP(Movimientos_2026[[#This Row],[Codigo]],Plan_cuentas[],4,FALSE)," ")</f>
        <v>Registración</v>
      </c>
      <c r="H2412" t="str">
        <f>IFERROR(+VLOOKUP(Movimientos_2026[[#This Row],[Codigo]],Plan_cuentas[],5,FALSE)," ")</f>
        <v>SANTA FE 1° Q</v>
      </c>
      <c r="I2412" s="43">
        <v>46204</v>
      </c>
      <c r="J2412" t="s">
        <v>1046</v>
      </c>
      <c r="K2412" t="str">
        <f>IFERROR(+VLOOKUP(Movimientos_2026[[#This Row],[Codigo]],Plan_cuentas[],6,FALSE)," ")</f>
        <v>5 - YAM - Yamaha</v>
      </c>
      <c r="L2412" s="50"/>
      <c r="M2412" s="50">
        <v>1442223.82</v>
      </c>
      <c r="N2412" s="20">
        <f>+Movimientos_2026[[#This Row],[Ingresos]]-Movimientos_2026[[#This Row],[Egresos]]</f>
        <v>-1442223.82</v>
      </c>
      <c r="O2412" s="20">
        <f>+O2411+Movimientos_2026[[#This Row],[Neto]]</f>
        <v>4679935140.1184549</v>
      </c>
    </row>
    <row r="2413" spans="1:15" x14ac:dyDescent="0.25">
      <c r="A2413" s="13">
        <v>46225</v>
      </c>
      <c r="B2413" s="12">
        <f>MONTH(Movimientos_2026[[#This Row],[Fecha]])</f>
        <v>7</v>
      </c>
      <c r="C2413" s="12" t="str">
        <f>VLOOKUP((WEEKDAY(Movimientos_2026[[#This Row],[Fecha]],2)),'5. Setup'!$D$6:$E$12,2,FALSE)</f>
        <v>Mie</v>
      </c>
      <c r="D2413">
        <v>2023386</v>
      </c>
      <c r="E2413" t="str">
        <f>IFERROR(+VLOOKUP(Movimientos_2026[[#This Row],[Codigo]],Plan_cuentas[],2,FALSE)," ")</f>
        <v>EGRESOS</v>
      </c>
      <c r="F2413" t="str">
        <f>IFERROR(+VLOOKUP(Movimientos_2026[[#This Row],[Codigo]],Plan_cuentas[],3,FALSE)," ")</f>
        <v>DDJJ</v>
      </c>
      <c r="G2413" t="str">
        <f>IFERROR(+VLOOKUP(Movimientos_2026[[#This Row],[Codigo]],Plan_cuentas[],4,FALSE)," ")</f>
        <v>Registración</v>
      </c>
      <c r="H2413" t="str">
        <f>IFERROR(+VLOOKUP(Movimientos_2026[[#This Row],[Codigo]],Plan_cuentas[],5,FALSE)," ")</f>
        <v>SANTA FE 1° Q</v>
      </c>
      <c r="I2413" s="43">
        <v>46204</v>
      </c>
      <c r="J2413" t="s">
        <v>1046</v>
      </c>
      <c r="K2413" t="str">
        <f>IFERROR(+VLOOKUP(Movimientos_2026[[#This Row],[Codigo]],Plan_cuentas[],6,FALSE)," ")</f>
        <v>6 - FCAtr - Fiat Transf.</v>
      </c>
      <c r="L2413" s="50"/>
      <c r="M2413" s="50">
        <v>4212999.32</v>
      </c>
      <c r="N2413" s="20">
        <f>+Movimientos_2026[[#This Row],[Ingresos]]-Movimientos_2026[[#This Row],[Egresos]]</f>
        <v>-4212999.32</v>
      </c>
      <c r="O2413" s="20">
        <f>+O2412+Movimientos_2026[[#This Row],[Neto]]</f>
        <v>4675722140.7984552</v>
      </c>
    </row>
    <row r="2414" spans="1:15" x14ac:dyDescent="0.25">
      <c r="A2414" s="13">
        <v>46225</v>
      </c>
      <c r="B2414" s="12">
        <f>MONTH(Movimientos_2026[[#This Row],[Fecha]])</f>
        <v>7</v>
      </c>
      <c r="C2414" s="12" t="str">
        <f>VLOOKUP((WEEKDAY(Movimientos_2026[[#This Row],[Fecha]],2)),'5. Setup'!$D$6:$E$12,2,FALSE)</f>
        <v>Mie</v>
      </c>
      <c r="D2414">
        <v>2023221</v>
      </c>
      <c r="E2414" t="str">
        <f>IFERROR(+VLOOKUP(Movimientos_2026[[#This Row],[Codigo]],Plan_cuentas[],2,FALSE)," ")</f>
        <v>EGRESOS</v>
      </c>
      <c r="F2414" t="str">
        <f>IFERROR(+VLOOKUP(Movimientos_2026[[#This Row],[Codigo]],Plan_cuentas[],3,FALSE)," ")</f>
        <v>DDJJ</v>
      </c>
      <c r="G2414" t="str">
        <f>IFERROR(+VLOOKUP(Movimientos_2026[[#This Row],[Codigo]],Plan_cuentas[],4,FALSE)," ")</f>
        <v>Registración</v>
      </c>
      <c r="H2414" t="str">
        <f>IFERROR(+VLOOKUP(Movimientos_2026[[#This Row],[Codigo]],Plan_cuentas[],5,FALSE)," ")</f>
        <v>ENTRE RIOS 1° Q</v>
      </c>
      <c r="I2414" s="43">
        <v>46204</v>
      </c>
      <c r="J2414" t="s">
        <v>1047</v>
      </c>
      <c r="K2414" t="str">
        <f>IFERROR(+VLOOKUP(Movimientos_2026[[#This Row],[Codigo]],Plan_cuentas[],6,FALSE)," ")</f>
        <v>1 - VW - Volkswagen</v>
      </c>
      <c r="L2414" s="50"/>
      <c r="M2414" s="50">
        <v>12965015.5</v>
      </c>
      <c r="N2414" s="20">
        <f>+Movimientos_2026[[#This Row],[Ingresos]]-Movimientos_2026[[#This Row],[Egresos]]</f>
        <v>-12965015.5</v>
      </c>
      <c r="O2414" s="20">
        <f>+O2413+Movimientos_2026[[#This Row],[Neto]]</f>
        <v>4662757125.2984552</v>
      </c>
    </row>
    <row r="2415" spans="1:15" x14ac:dyDescent="0.25">
      <c r="A2415" s="13">
        <v>46225</v>
      </c>
      <c r="B2415" s="12">
        <f>MONTH(Movimientos_2026[[#This Row],[Fecha]])</f>
        <v>7</v>
      </c>
      <c r="C2415" s="12" t="str">
        <f>VLOOKUP((WEEKDAY(Movimientos_2026[[#This Row],[Fecha]],2)),'5. Setup'!$D$6:$E$12,2,FALSE)</f>
        <v>Mie</v>
      </c>
      <c r="D2415">
        <v>2023222</v>
      </c>
      <c r="E2415" t="str">
        <f>IFERROR(+VLOOKUP(Movimientos_2026[[#This Row],[Codigo]],Plan_cuentas[],2,FALSE)," ")</f>
        <v>EGRESOS</v>
      </c>
      <c r="F2415" t="str">
        <f>IFERROR(+VLOOKUP(Movimientos_2026[[#This Row],[Codigo]],Plan_cuentas[],3,FALSE)," ")</f>
        <v>DDJJ</v>
      </c>
      <c r="G2415" t="str">
        <f>IFERROR(+VLOOKUP(Movimientos_2026[[#This Row],[Codigo]],Plan_cuentas[],4,FALSE)," ")</f>
        <v>Registración</v>
      </c>
      <c r="H2415" t="str">
        <f>IFERROR(+VLOOKUP(Movimientos_2026[[#This Row],[Codigo]],Plan_cuentas[],5,FALSE)," ")</f>
        <v>ENTRE RIOS 1° Q</v>
      </c>
      <c r="I2415" s="43">
        <v>46204</v>
      </c>
      <c r="J2415" t="s">
        <v>1047</v>
      </c>
      <c r="K2415" t="str">
        <f>IFERROR(+VLOOKUP(Movimientos_2026[[#This Row],[Codigo]],Plan_cuentas[],6,FALSE)," ")</f>
        <v>2 - PR - Plan Rombo</v>
      </c>
      <c r="L2415" s="50"/>
      <c r="M2415" s="50">
        <v>19256556.289999999</v>
      </c>
      <c r="N2415" s="20">
        <f>+Movimientos_2026[[#This Row],[Ingresos]]-Movimientos_2026[[#This Row],[Egresos]]</f>
        <v>-19256556.289999999</v>
      </c>
      <c r="O2415" s="20">
        <f>+O2414+Movimientos_2026[[#This Row],[Neto]]</f>
        <v>4643500569.0084553</v>
      </c>
    </row>
    <row r="2416" spans="1:15" x14ac:dyDescent="0.25">
      <c r="A2416" s="13">
        <v>46225</v>
      </c>
      <c r="B2416" s="12">
        <f>MONTH(Movimientos_2026[[#This Row],[Fecha]])</f>
        <v>7</v>
      </c>
      <c r="C2416" s="12" t="str">
        <f>VLOOKUP((WEEKDAY(Movimientos_2026[[#This Row],[Fecha]],2)),'5. Setup'!$D$6:$E$12,2,FALSE)</f>
        <v>Mie</v>
      </c>
      <c r="D2416">
        <v>2023223</v>
      </c>
      <c r="E2416" t="str">
        <f>IFERROR(+VLOOKUP(Movimientos_2026[[#This Row],[Codigo]],Plan_cuentas[],2,FALSE)," ")</f>
        <v>EGRESOS</v>
      </c>
      <c r="F2416" t="str">
        <f>IFERROR(+VLOOKUP(Movimientos_2026[[#This Row],[Codigo]],Plan_cuentas[],3,FALSE)," ")</f>
        <v>DDJJ</v>
      </c>
      <c r="G2416" t="str">
        <f>IFERROR(+VLOOKUP(Movimientos_2026[[#This Row],[Codigo]],Plan_cuentas[],4,FALSE)," ")</f>
        <v>Registración</v>
      </c>
      <c r="H2416" t="str">
        <f>IFERROR(+VLOOKUP(Movimientos_2026[[#This Row],[Codigo]],Plan_cuentas[],5,FALSE)," ")</f>
        <v>ENTRE RIOS 1° Q</v>
      </c>
      <c r="I2416" s="43">
        <v>46204</v>
      </c>
      <c r="J2416" t="s">
        <v>1047</v>
      </c>
      <c r="K2416" t="str">
        <f>IFERROR(+VLOOKUP(Movimientos_2026[[#This Row],[Codigo]],Plan_cuentas[],6,FALSE)," ")</f>
        <v>3 - GM - Chevrolet</v>
      </c>
      <c r="L2416" s="50"/>
      <c r="M2416" s="50">
        <v>20369479.09</v>
      </c>
      <c r="N2416" s="20">
        <f>+Movimientos_2026[[#This Row],[Ingresos]]-Movimientos_2026[[#This Row],[Egresos]]</f>
        <v>-20369479.09</v>
      </c>
      <c r="O2416" s="20">
        <f>+O2415+Movimientos_2026[[#This Row],[Neto]]</f>
        <v>4623131089.9184551</v>
      </c>
    </row>
    <row r="2417" spans="1:15" x14ac:dyDescent="0.25">
      <c r="A2417" s="13">
        <v>46225</v>
      </c>
      <c r="B2417" s="12">
        <f>MONTH(Movimientos_2026[[#This Row],[Fecha]])</f>
        <v>7</v>
      </c>
      <c r="C2417" s="12" t="str">
        <f>VLOOKUP((WEEKDAY(Movimientos_2026[[#This Row],[Fecha]],2)),'5. Setup'!$D$6:$E$12,2,FALSE)</f>
        <v>Mie</v>
      </c>
      <c r="D2417">
        <v>2023226</v>
      </c>
      <c r="E2417" t="str">
        <f>IFERROR(+VLOOKUP(Movimientos_2026[[#This Row],[Codigo]],Plan_cuentas[],2,FALSE)," ")</f>
        <v>EGRESOS</v>
      </c>
      <c r="F2417" t="str">
        <f>IFERROR(+VLOOKUP(Movimientos_2026[[#This Row],[Codigo]],Plan_cuentas[],3,FALSE)," ")</f>
        <v>DDJJ</v>
      </c>
      <c r="G2417" t="str">
        <f>IFERROR(+VLOOKUP(Movimientos_2026[[#This Row],[Codigo]],Plan_cuentas[],4,FALSE)," ")</f>
        <v>Registración</v>
      </c>
      <c r="H2417" t="str">
        <f>IFERROR(+VLOOKUP(Movimientos_2026[[#This Row],[Codigo]],Plan_cuentas[],5,FALSE)," ")</f>
        <v>ENTRE RIOS 1° Q</v>
      </c>
      <c r="I2417" s="43">
        <v>46204</v>
      </c>
      <c r="J2417" t="s">
        <v>1047</v>
      </c>
      <c r="K2417" t="str">
        <f>IFERROR(+VLOOKUP(Movimientos_2026[[#This Row],[Codigo]],Plan_cuentas[],6,FALSE)," ")</f>
        <v>6 - FCAtr - Fiat Transf.</v>
      </c>
      <c r="L2417" s="50"/>
      <c r="M2417" s="50">
        <v>686810.29</v>
      </c>
      <c r="N2417" s="20">
        <f>+Movimientos_2026[[#This Row],[Ingresos]]-Movimientos_2026[[#This Row],[Egresos]]</f>
        <v>-686810.29</v>
      </c>
      <c r="O2417" s="20">
        <f>+O2416+Movimientos_2026[[#This Row],[Neto]]</f>
        <v>4622444279.6284552</v>
      </c>
    </row>
    <row r="2418" spans="1:15" x14ac:dyDescent="0.25">
      <c r="A2418" s="13">
        <v>46225</v>
      </c>
      <c r="B2418" s="12">
        <f>MONTH(Movimientos_2026[[#This Row],[Fecha]])</f>
        <v>7</v>
      </c>
      <c r="C2418" s="12" t="str">
        <f>VLOOKUP((WEEKDAY(Movimientos_2026[[#This Row],[Fecha]],2)),'5. Setup'!$D$6:$E$12,2,FALSE)</f>
        <v>Mie</v>
      </c>
      <c r="D2418">
        <v>2044126</v>
      </c>
      <c r="E2418" t="str">
        <f>IFERROR(+VLOOKUP(Movimientos_2026[[#This Row],[Codigo]],Plan_cuentas[],2,FALSE)," ")</f>
        <v>EGRESOS</v>
      </c>
      <c r="F2418" t="str">
        <f>IFERROR(+VLOOKUP(Movimientos_2026[[#This Row],[Codigo]],Plan_cuentas[],3,FALSE)," ")</f>
        <v>Transferencia</v>
      </c>
      <c r="G2418" t="str">
        <f>IFERROR(+VLOOKUP(Movimientos_2026[[#This Row],[Codigo]],Plan_cuentas[],4,FALSE)," ")</f>
        <v>Rentas</v>
      </c>
      <c r="H2418" t="str">
        <f>IFERROR(+VLOOKUP(Movimientos_2026[[#This Row],[Codigo]],Plan_cuentas[],5,FALSE)," ")</f>
        <v>BAPRO</v>
      </c>
      <c r="I2418" s="43">
        <v>46174</v>
      </c>
      <c r="J2418" t="s">
        <v>1048</v>
      </c>
      <c r="K2418" t="str">
        <f>IFERROR(+VLOOKUP(Movimientos_2026[[#This Row],[Codigo]],Plan_cuentas[],6,FALSE)," ")</f>
        <v>6 - FCAtr - Fiat Transf.</v>
      </c>
      <c r="L2418" s="50"/>
      <c r="M2418" s="50">
        <v>3840297.6</v>
      </c>
      <c r="N2418" s="20">
        <f>+Movimientos_2026[[#This Row],[Ingresos]]-Movimientos_2026[[#This Row],[Egresos]]</f>
        <v>-3840297.6</v>
      </c>
      <c r="O2418" s="20">
        <f>+O2417+Movimientos_2026[[#This Row],[Neto]]</f>
        <v>4618603982.0284548</v>
      </c>
    </row>
    <row r="2419" spans="1:15" x14ac:dyDescent="0.25">
      <c r="A2419" s="13">
        <v>46225</v>
      </c>
      <c r="B2419" s="12">
        <f>MONTH(Movimientos_2026[[#This Row],[Fecha]])</f>
        <v>7</v>
      </c>
      <c r="C2419" s="12" t="str">
        <f>VLOOKUP((WEEKDAY(Movimientos_2026[[#This Row],[Fecha]],2)),'5. Setup'!$D$6:$E$12,2,FALSE)</f>
        <v>Mie</v>
      </c>
      <c r="D2419">
        <v>2044126</v>
      </c>
      <c r="E2419" t="str">
        <f>IFERROR(+VLOOKUP(Movimientos_2026[[#This Row],[Codigo]],Plan_cuentas[],2,FALSE)," ")</f>
        <v>EGRESOS</v>
      </c>
      <c r="F2419" t="str">
        <f>IFERROR(+VLOOKUP(Movimientos_2026[[#This Row],[Codigo]],Plan_cuentas[],3,FALSE)," ")</f>
        <v>Transferencia</v>
      </c>
      <c r="G2419" t="str">
        <f>IFERROR(+VLOOKUP(Movimientos_2026[[#This Row],[Codigo]],Plan_cuentas[],4,FALSE)," ")</f>
        <v>Rentas</v>
      </c>
      <c r="H2419" t="str">
        <f>IFERROR(+VLOOKUP(Movimientos_2026[[#This Row],[Codigo]],Plan_cuentas[],5,FALSE)," ")</f>
        <v>BAPRO</v>
      </c>
      <c r="I2419" s="43">
        <v>46174</v>
      </c>
      <c r="J2419" t="s">
        <v>1049</v>
      </c>
      <c r="K2419" t="str">
        <f>IFERROR(+VLOOKUP(Movimientos_2026[[#This Row],[Codigo]],Plan_cuentas[],6,FALSE)," ")</f>
        <v>6 - FCAtr - Fiat Transf.</v>
      </c>
      <c r="L2419" s="50"/>
      <c r="M2419" s="50">
        <v>3661111.1</v>
      </c>
      <c r="N2419" s="20">
        <f>+Movimientos_2026[[#This Row],[Ingresos]]-Movimientos_2026[[#This Row],[Egresos]]</f>
        <v>-3661111.1</v>
      </c>
      <c r="O2419" s="20">
        <f>+O2418+Movimientos_2026[[#This Row],[Neto]]</f>
        <v>4614942870.9284544</v>
      </c>
    </row>
    <row r="2420" spans="1:15" x14ac:dyDescent="0.25">
      <c r="A2420" s="13">
        <v>46225</v>
      </c>
      <c r="B2420" s="12">
        <f>MONTH(Movimientos_2026[[#This Row],[Fecha]])</f>
        <v>7</v>
      </c>
      <c r="C2420" s="12" t="str">
        <f>VLOOKUP((WEEKDAY(Movimientos_2026[[#This Row],[Fecha]],2)),'5. Setup'!$D$6:$E$12,2,FALSE)</f>
        <v>Mie</v>
      </c>
      <c r="D2420">
        <v>2044126</v>
      </c>
      <c r="E2420" t="str">
        <f>IFERROR(+VLOOKUP(Movimientos_2026[[#This Row],[Codigo]],Plan_cuentas[],2,FALSE)," ")</f>
        <v>EGRESOS</v>
      </c>
      <c r="F2420" t="str">
        <f>IFERROR(+VLOOKUP(Movimientos_2026[[#This Row],[Codigo]],Plan_cuentas[],3,FALSE)," ")</f>
        <v>Transferencia</v>
      </c>
      <c r="G2420" t="str">
        <f>IFERROR(+VLOOKUP(Movimientos_2026[[#This Row],[Codigo]],Plan_cuentas[],4,FALSE)," ")</f>
        <v>Rentas</v>
      </c>
      <c r="H2420" t="str">
        <f>IFERROR(+VLOOKUP(Movimientos_2026[[#This Row],[Codigo]],Plan_cuentas[],5,FALSE)," ")</f>
        <v>BAPRO</v>
      </c>
      <c r="I2420" s="43">
        <v>46174</v>
      </c>
      <c r="J2420" t="s">
        <v>1050</v>
      </c>
      <c r="K2420" t="str">
        <f>IFERROR(+VLOOKUP(Movimientos_2026[[#This Row],[Codigo]],Plan_cuentas[],6,FALSE)," ")</f>
        <v>6 - FCAtr - Fiat Transf.</v>
      </c>
      <c r="L2420" s="50"/>
      <c r="M2420" s="50">
        <v>3477538.9</v>
      </c>
      <c r="N2420" s="20">
        <f>+Movimientos_2026[[#This Row],[Ingresos]]-Movimientos_2026[[#This Row],[Egresos]]</f>
        <v>-3477538.9</v>
      </c>
      <c r="O2420" s="20">
        <f>+O2419+Movimientos_2026[[#This Row],[Neto]]</f>
        <v>4611465332.0284548</v>
      </c>
    </row>
    <row r="2421" spans="1:15" x14ac:dyDescent="0.25">
      <c r="A2421" s="13">
        <v>46225</v>
      </c>
      <c r="B2421" s="12">
        <f>MONTH(Movimientos_2026[[#This Row],[Fecha]])</f>
        <v>7</v>
      </c>
      <c r="C2421" s="12" t="str">
        <f>VLOOKUP((WEEKDAY(Movimientos_2026[[#This Row],[Fecha]],2)),'5. Setup'!$D$6:$E$12,2,FALSE)</f>
        <v>Mie</v>
      </c>
      <c r="D2421">
        <v>2044126</v>
      </c>
      <c r="E2421" t="str">
        <f>IFERROR(+VLOOKUP(Movimientos_2026[[#This Row],[Codigo]],Plan_cuentas[],2,FALSE)," ")</f>
        <v>EGRESOS</v>
      </c>
      <c r="F2421" t="str">
        <f>IFERROR(+VLOOKUP(Movimientos_2026[[#This Row],[Codigo]],Plan_cuentas[],3,FALSE)," ")</f>
        <v>Transferencia</v>
      </c>
      <c r="G2421" t="str">
        <f>IFERROR(+VLOOKUP(Movimientos_2026[[#This Row],[Codigo]],Plan_cuentas[],4,FALSE)," ")</f>
        <v>Rentas</v>
      </c>
      <c r="H2421" t="str">
        <f>IFERROR(+VLOOKUP(Movimientos_2026[[#This Row],[Codigo]],Plan_cuentas[],5,FALSE)," ")</f>
        <v>BAPRO</v>
      </c>
      <c r="I2421" s="43">
        <v>46174</v>
      </c>
      <c r="J2421" t="s">
        <v>1051</v>
      </c>
      <c r="K2421" t="str">
        <f>IFERROR(+VLOOKUP(Movimientos_2026[[#This Row],[Codigo]],Plan_cuentas[],6,FALSE)," ")</f>
        <v>6 - FCAtr - Fiat Transf.</v>
      </c>
      <c r="L2421" s="50"/>
      <c r="M2421" s="50">
        <v>1258350.3</v>
      </c>
      <c r="N2421" s="20">
        <f>+Movimientos_2026[[#This Row],[Ingresos]]-Movimientos_2026[[#This Row],[Egresos]]</f>
        <v>-1258350.3</v>
      </c>
      <c r="O2421" s="20">
        <f>+O2420+Movimientos_2026[[#This Row],[Neto]]</f>
        <v>4610206981.7284546</v>
      </c>
    </row>
    <row r="2422" spans="1:15" x14ac:dyDescent="0.25">
      <c r="A2422" s="13">
        <v>46225</v>
      </c>
      <c r="B2422" s="12">
        <f>MONTH(Movimientos_2026[[#This Row],[Fecha]])</f>
        <v>7</v>
      </c>
      <c r="C2422" s="12" t="str">
        <f>VLOOKUP((WEEKDAY(Movimientos_2026[[#This Row],[Fecha]],2)),'5. Setup'!$D$6:$E$12,2,FALSE)</f>
        <v>Mie</v>
      </c>
      <c r="D2422">
        <v>2044126</v>
      </c>
      <c r="E2422" t="str">
        <f>IFERROR(+VLOOKUP(Movimientos_2026[[#This Row],[Codigo]],Plan_cuentas[],2,FALSE)," ")</f>
        <v>EGRESOS</v>
      </c>
      <c r="F2422" t="str">
        <f>IFERROR(+VLOOKUP(Movimientos_2026[[#This Row],[Codigo]],Plan_cuentas[],3,FALSE)," ")</f>
        <v>Transferencia</v>
      </c>
      <c r="G2422" t="str">
        <f>IFERROR(+VLOOKUP(Movimientos_2026[[#This Row],[Codigo]],Plan_cuentas[],4,FALSE)," ")</f>
        <v>Rentas</v>
      </c>
      <c r="H2422" t="str">
        <f>IFERROR(+VLOOKUP(Movimientos_2026[[#This Row],[Codigo]],Plan_cuentas[],5,FALSE)," ")</f>
        <v>BAPRO</v>
      </c>
      <c r="I2422" s="43">
        <v>46174</v>
      </c>
      <c r="J2422" t="s">
        <v>1052</v>
      </c>
      <c r="K2422" t="str">
        <f>IFERROR(+VLOOKUP(Movimientos_2026[[#This Row],[Codigo]],Plan_cuentas[],6,FALSE)," ")</f>
        <v>6 - FCAtr - Fiat Transf.</v>
      </c>
      <c r="L2422" s="50"/>
      <c r="M2422" s="50">
        <v>1032249.8</v>
      </c>
      <c r="N2422" s="20">
        <f>+Movimientos_2026[[#This Row],[Ingresos]]-Movimientos_2026[[#This Row],[Egresos]]</f>
        <v>-1032249.8</v>
      </c>
      <c r="O2422" s="20">
        <f>+O2421+Movimientos_2026[[#This Row],[Neto]]</f>
        <v>4609174731.9284544</v>
      </c>
    </row>
    <row r="2423" spans="1:15" x14ac:dyDescent="0.25">
      <c r="A2423" s="13">
        <v>46225</v>
      </c>
      <c r="B2423" s="12">
        <f>MONTH(Movimientos_2026[[#This Row],[Fecha]])</f>
        <v>7</v>
      </c>
      <c r="C2423" s="12" t="str">
        <f>VLOOKUP((WEEKDAY(Movimientos_2026[[#This Row],[Fecha]],2)),'5. Setup'!$D$6:$E$12,2,FALSE)</f>
        <v>Mie</v>
      </c>
      <c r="D2423">
        <v>2044126</v>
      </c>
      <c r="E2423" t="str">
        <f>IFERROR(+VLOOKUP(Movimientos_2026[[#This Row],[Codigo]],Plan_cuentas[],2,FALSE)," ")</f>
        <v>EGRESOS</v>
      </c>
      <c r="F2423" t="str">
        <f>IFERROR(+VLOOKUP(Movimientos_2026[[#This Row],[Codigo]],Plan_cuentas[],3,FALSE)," ")</f>
        <v>Transferencia</v>
      </c>
      <c r="G2423" t="str">
        <f>IFERROR(+VLOOKUP(Movimientos_2026[[#This Row],[Codigo]],Plan_cuentas[],4,FALSE)," ")</f>
        <v>Rentas</v>
      </c>
      <c r="H2423" t="str">
        <f>IFERROR(+VLOOKUP(Movimientos_2026[[#This Row],[Codigo]],Plan_cuentas[],5,FALSE)," ")</f>
        <v>BAPRO</v>
      </c>
      <c r="I2423" s="43">
        <v>46174</v>
      </c>
      <c r="J2423" t="s">
        <v>1053</v>
      </c>
      <c r="K2423" t="str">
        <f>IFERROR(+VLOOKUP(Movimientos_2026[[#This Row],[Codigo]],Plan_cuentas[],6,FALSE)," ")</f>
        <v>6 - FCAtr - Fiat Transf.</v>
      </c>
      <c r="L2423" s="50"/>
      <c r="M2423" s="50">
        <v>845119.8</v>
      </c>
      <c r="N2423" s="20">
        <f>+Movimientos_2026[[#This Row],[Ingresos]]-Movimientos_2026[[#This Row],[Egresos]]</f>
        <v>-845119.8</v>
      </c>
      <c r="O2423" s="20">
        <f>+O2422+Movimientos_2026[[#This Row],[Neto]]</f>
        <v>4608329612.1284542</v>
      </c>
    </row>
    <row r="2424" spans="1:15" x14ac:dyDescent="0.25">
      <c r="A2424" s="13">
        <v>46225</v>
      </c>
      <c r="B2424" s="12">
        <f>MONTH(Movimientos_2026[[#This Row],[Fecha]])</f>
        <v>7</v>
      </c>
      <c r="C2424" s="12" t="str">
        <f>VLOOKUP((WEEKDAY(Movimientos_2026[[#This Row],[Fecha]],2)),'5. Setup'!$D$6:$E$12,2,FALSE)</f>
        <v>Mie</v>
      </c>
      <c r="D2424">
        <v>2044126</v>
      </c>
      <c r="E2424" t="str">
        <f>IFERROR(+VLOOKUP(Movimientos_2026[[#This Row],[Codigo]],Plan_cuentas[],2,FALSE)," ")</f>
        <v>EGRESOS</v>
      </c>
      <c r="F2424" t="str">
        <f>IFERROR(+VLOOKUP(Movimientos_2026[[#This Row],[Codigo]],Plan_cuentas[],3,FALSE)," ")</f>
        <v>Transferencia</v>
      </c>
      <c r="G2424" t="str">
        <f>IFERROR(+VLOOKUP(Movimientos_2026[[#This Row],[Codigo]],Plan_cuentas[],4,FALSE)," ")</f>
        <v>Rentas</v>
      </c>
      <c r="H2424" t="str">
        <f>IFERROR(+VLOOKUP(Movimientos_2026[[#This Row],[Codigo]],Plan_cuentas[],5,FALSE)," ")</f>
        <v>BAPRO</v>
      </c>
      <c r="I2424" s="43">
        <v>46174</v>
      </c>
      <c r="J2424" t="s">
        <v>1054</v>
      </c>
      <c r="K2424" t="str">
        <f>IFERROR(+VLOOKUP(Movimientos_2026[[#This Row],[Codigo]],Plan_cuentas[],6,FALSE)," ")</f>
        <v>6 - FCAtr - Fiat Transf.</v>
      </c>
      <c r="L2424" s="50"/>
      <c r="M2424" s="50">
        <v>621790.4</v>
      </c>
      <c r="N2424" s="20">
        <f>+Movimientos_2026[[#This Row],[Ingresos]]-Movimientos_2026[[#This Row],[Egresos]]</f>
        <v>-621790.4</v>
      </c>
      <c r="O2424" s="20">
        <f>+O2423+Movimientos_2026[[#This Row],[Neto]]</f>
        <v>4607707821.7284546</v>
      </c>
    </row>
    <row r="2425" spans="1:15" x14ac:dyDescent="0.25">
      <c r="A2425" s="13">
        <v>46225</v>
      </c>
      <c r="B2425" s="12">
        <f>MONTH(Movimientos_2026[[#This Row],[Fecha]])</f>
        <v>7</v>
      </c>
      <c r="C2425" s="12" t="str">
        <f>VLOOKUP((WEEKDAY(Movimientos_2026[[#This Row],[Fecha]],2)),'5. Setup'!$D$6:$E$12,2,FALSE)</f>
        <v>Mie</v>
      </c>
      <c r="D2425">
        <v>1045451</v>
      </c>
      <c r="E2425" t="str">
        <f>IFERROR(+VLOOKUP(Movimientos_2026[[#This Row],[Codigo]],Plan_cuentas[],2,FALSE)," ")</f>
        <v>INGRESOS</v>
      </c>
      <c r="F2425" t="str">
        <f>IFERROR(+VLOOKUP(Movimientos_2026[[#This Row],[Codigo]],Plan_cuentas[],3,FALSE)," ")</f>
        <v>Transferencia</v>
      </c>
      <c r="G2425" t="str">
        <f>IFERROR(+VLOOKUP(Movimientos_2026[[#This Row],[Codigo]],Plan_cuentas[],4,FALSE)," ")</f>
        <v>Factura</v>
      </c>
      <c r="H2425" t="str">
        <f>IFERROR(+VLOOKUP(Movimientos_2026[[#This Row],[Codigo]],Plan_cuentas[],5,FALSE)," ")</f>
        <v>FC DERECHOS</v>
      </c>
      <c r="I2425" s="43">
        <v>46174</v>
      </c>
      <c r="J2425" t="s">
        <v>1055</v>
      </c>
      <c r="K2425" t="str">
        <f>IFERROR(+VLOOKUP(Movimientos_2026[[#This Row],[Codigo]],Plan_cuentas[],6,FALSE)," ")</f>
        <v>1 - VW - Volkswagen</v>
      </c>
      <c r="L2425" s="50">
        <v>6742507.1399999997</v>
      </c>
      <c r="M2425" s="50"/>
      <c r="N2425" s="20">
        <f>+Movimientos_2026[[#This Row],[Ingresos]]-Movimientos_2026[[#This Row],[Egresos]]</f>
        <v>6742507.1399999997</v>
      </c>
      <c r="O2425" s="20">
        <f>+O2424+Movimientos_2026[[#This Row],[Neto]]</f>
        <v>4614450328.8684549</v>
      </c>
    </row>
    <row r="2426" spans="1:15" x14ac:dyDescent="0.25">
      <c r="A2426" s="13">
        <v>46225</v>
      </c>
      <c r="B2426" s="12">
        <f>MONTH(Movimientos_2026[[#This Row],[Fecha]])</f>
        <v>7</v>
      </c>
      <c r="C2426" s="12" t="str">
        <f>VLOOKUP((WEEKDAY(Movimientos_2026[[#This Row],[Fecha]],2)),'5. Setup'!$D$6:$E$12,2,FALSE)</f>
        <v>Mie</v>
      </c>
      <c r="D2426">
        <v>1045451</v>
      </c>
      <c r="E2426" t="str">
        <f>IFERROR(+VLOOKUP(Movimientos_2026[[#This Row],[Codigo]],Plan_cuentas[],2,FALSE)," ")</f>
        <v>INGRESOS</v>
      </c>
      <c r="F2426" t="str">
        <f>IFERROR(+VLOOKUP(Movimientos_2026[[#This Row],[Codigo]],Plan_cuentas[],3,FALSE)," ")</f>
        <v>Transferencia</v>
      </c>
      <c r="G2426" t="str">
        <f>IFERROR(+VLOOKUP(Movimientos_2026[[#This Row],[Codigo]],Plan_cuentas[],4,FALSE)," ")</f>
        <v>Factura</v>
      </c>
      <c r="H2426" t="str">
        <f>IFERROR(+VLOOKUP(Movimientos_2026[[#This Row],[Codigo]],Plan_cuentas[],5,FALSE)," ")</f>
        <v>FC DERECHOS</v>
      </c>
      <c r="I2426" s="43">
        <v>46174</v>
      </c>
      <c r="J2426" t="s">
        <v>1056</v>
      </c>
      <c r="K2426" t="str">
        <f>IFERROR(+VLOOKUP(Movimientos_2026[[#This Row],[Codigo]],Plan_cuentas[],6,FALSE)," ")</f>
        <v>1 - VW - Volkswagen</v>
      </c>
      <c r="L2426" s="50">
        <v>40898463.630000003</v>
      </c>
      <c r="M2426" s="50"/>
      <c r="N2426" s="20">
        <f>+Movimientos_2026[[#This Row],[Ingresos]]-Movimientos_2026[[#This Row],[Egresos]]</f>
        <v>40898463.630000003</v>
      </c>
      <c r="O2426" s="20">
        <f>+O2425+Movimientos_2026[[#This Row],[Neto]]</f>
        <v>4655348792.498455</v>
      </c>
    </row>
    <row r="2427" spans="1:15" x14ac:dyDescent="0.25">
      <c r="A2427" s="13">
        <v>46226</v>
      </c>
      <c r="B2427" s="12">
        <f>MONTH(Movimientos_2026[[#This Row],[Fecha]])</f>
        <v>7</v>
      </c>
      <c r="C2427" s="12" t="str">
        <f>VLOOKUP((WEEKDAY(Movimientos_2026[[#This Row],[Fecha]],2)),'5. Setup'!$D$6:$E$12,2,FALSE)</f>
        <v>Jue</v>
      </c>
      <c r="D2427">
        <v>2014261</v>
      </c>
      <c r="E2427" t="str">
        <f>IFERROR(+VLOOKUP(Movimientos_2026[[#This Row],[Codigo]],Plan_cuentas[],2,FALSE)," ")</f>
        <v>EGRESOS</v>
      </c>
      <c r="F2427" t="str">
        <f>IFERROR(+VLOOKUP(Movimientos_2026[[#This Row],[Codigo]],Plan_cuentas[],3,FALSE)," ")</f>
        <v>BtoB</v>
      </c>
      <c r="G2427" t="str">
        <f>IFERROR(+VLOOKUP(Movimientos_2026[[#This Row],[Codigo]],Plan_cuentas[],4,FALSE)," ")</f>
        <v>Rentas</v>
      </c>
      <c r="H2427" t="str">
        <f>IFERROR(+VLOOKUP(Movimientos_2026[[#This Row],[Codigo]],Plan_cuentas[],5,FALSE)," ")</f>
        <v>LA PAMPA</v>
      </c>
      <c r="I2427" s="43">
        <v>46174</v>
      </c>
      <c r="J2427" t="s">
        <v>1057</v>
      </c>
      <c r="K2427" t="str">
        <f>IFERROR(+VLOOKUP(Movimientos_2026[[#This Row],[Codigo]],Plan_cuentas[],6,FALSE)," ")</f>
        <v>1 - VW - Volkswagen</v>
      </c>
      <c r="L2427" s="50"/>
      <c r="M2427" s="50">
        <v>3293804</v>
      </c>
      <c r="N2427" s="20">
        <f>+Movimientos_2026[[#This Row],[Ingresos]]-Movimientos_2026[[#This Row],[Egresos]]</f>
        <v>-3293804</v>
      </c>
      <c r="O2427" s="20">
        <f>+O2426+Movimientos_2026[[#This Row],[Neto]]</f>
        <v>4652054988.498455</v>
      </c>
    </row>
    <row r="2428" spans="1:15" x14ac:dyDescent="0.25">
      <c r="A2428" s="13">
        <v>46226</v>
      </c>
      <c r="B2428" s="12">
        <f>MONTH(Movimientos_2026[[#This Row],[Fecha]])</f>
        <v>7</v>
      </c>
      <c r="C2428" s="12" t="str">
        <f>VLOOKUP((WEEKDAY(Movimientos_2026[[#This Row],[Fecha]],2)),'5. Setup'!$D$6:$E$12,2,FALSE)</f>
        <v>Jue</v>
      </c>
      <c r="D2428">
        <v>2054311</v>
      </c>
      <c r="E2428" t="str">
        <f>IFERROR(+VLOOKUP(Movimientos_2026[[#This Row],[Codigo]],Plan_cuentas[],2,FALSE)," ")</f>
        <v>EGRESOS</v>
      </c>
      <c r="F2428" t="str">
        <f>IFERROR(+VLOOKUP(Movimientos_2026[[#This Row],[Codigo]],Plan_cuentas[],3,FALSE)," ")</f>
        <v>VEP</v>
      </c>
      <c r="G2428" t="str">
        <f>IFERROR(+VLOOKUP(Movimientos_2026[[#This Row],[Codigo]],Plan_cuentas[],4,FALSE)," ")</f>
        <v>Rentas</v>
      </c>
      <c r="H2428" t="str">
        <f>IFERROR(+VLOOKUP(Movimientos_2026[[#This Row],[Codigo]],Plan_cuentas[],5,FALSE)," ")</f>
        <v>NEUQUEN 1° Q</v>
      </c>
      <c r="I2428" s="43">
        <v>46204</v>
      </c>
      <c r="J2428" t="s">
        <v>1058</v>
      </c>
      <c r="K2428" t="str">
        <f>IFERROR(+VLOOKUP(Movimientos_2026[[#This Row],[Codigo]],Plan_cuentas[],6,FALSE)," ")</f>
        <v>1 - VW - Volkswagen</v>
      </c>
      <c r="L2428" s="50"/>
      <c r="M2428" s="50">
        <v>42581699.240000002</v>
      </c>
      <c r="N2428" s="20">
        <f>+Movimientos_2026[[#This Row],[Ingresos]]-Movimientos_2026[[#This Row],[Egresos]]</f>
        <v>-42581699.240000002</v>
      </c>
      <c r="O2428" s="20">
        <f>+O2427+Movimientos_2026[[#This Row],[Neto]]</f>
        <v>4609473289.2584553</v>
      </c>
    </row>
    <row r="2429" spans="1:15" x14ac:dyDescent="0.25">
      <c r="A2429" s="13">
        <v>46226</v>
      </c>
      <c r="B2429" s="12">
        <f>MONTH(Movimientos_2026[[#This Row],[Fecha]])</f>
        <v>7</v>
      </c>
      <c r="C2429" s="12" t="str">
        <f>VLOOKUP((WEEKDAY(Movimientos_2026[[#This Row],[Fecha]],2)),'5. Setup'!$D$6:$E$12,2,FALSE)</f>
        <v>Jue</v>
      </c>
      <c r="D2429">
        <v>2014202</v>
      </c>
      <c r="E2429" t="str">
        <f>IFERROR(+VLOOKUP(Movimientos_2026[[#This Row],[Codigo]],Plan_cuentas[],2,FALSE)," ")</f>
        <v>EGRESOS</v>
      </c>
      <c r="F2429" t="str">
        <f>IFERROR(+VLOOKUP(Movimientos_2026[[#This Row],[Codigo]],Plan_cuentas[],3,FALSE)," ")</f>
        <v>BtoB</v>
      </c>
      <c r="G2429" t="str">
        <f>IFERROR(+VLOOKUP(Movimientos_2026[[#This Row],[Codigo]],Plan_cuentas[],4,FALSE)," ")</f>
        <v>Rentas</v>
      </c>
      <c r="H2429" t="str">
        <f>IFERROR(+VLOOKUP(Movimientos_2026[[#This Row],[Codigo]],Plan_cuentas[],5,FALSE)," ")</f>
        <v>CORRIENTES 1° Q</v>
      </c>
      <c r="I2429" s="43">
        <v>46204</v>
      </c>
      <c r="J2429" t="s">
        <v>1059</v>
      </c>
      <c r="K2429" t="str">
        <f>IFERROR(+VLOOKUP(Movimientos_2026[[#This Row],[Codigo]],Plan_cuentas[],6,FALSE)," ")</f>
        <v>2 - PR - Plan Rombo</v>
      </c>
      <c r="L2429" s="50"/>
      <c r="M2429" s="50">
        <v>31130132.960000001</v>
      </c>
      <c r="N2429" s="20">
        <f>+Movimientos_2026[[#This Row],[Ingresos]]-Movimientos_2026[[#This Row],[Egresos]]</f>
        <v>-31130132.960000001</v>
      </c>
      <c r="O2429" s="20">
        <f>+O2428+Movimientos_2026[[#This Row],[Neto]]</f>
        <v>4578343156.2984552</v>
      </c>
    </row>
    <row r="2430" spans="1:15" x14ac:dyDescent="0.25">
      <c r="A2430" s="13">
        <v>46226</v>
      </c>
      <c r="B2430" s="12">
        <f>MONTH(Movimientos_2026[[#This Row],[Fecha]])</f>
        <v>7</v>
      </c>
      <c r="C2430" s="12" t="str">
        <f>VLOOKUP((WEEKDAY(Movimientos_2026[[#This Row],[Fecha]],2)),'5. Setup'!$D$6:$E$12,2,FALSE)</f>
        <v>Jue</v>
      </c>
      <c r="D2430">
        <v>2044462</v>
      </c>
      <c r="E2430" t="str">
        <f>IFERROR(+VLOOKUP(Movimientos_2026[[#This Row],[Codigo]],Plan_cuentas[],2,FALSE)," ")</f>
        <v>EGRESOS</v>
      </c>
      <c r="F2430" t="str">
        <f>IFERROR(+VLOOKUP(Movimientos_2026[[#This Row],[Codigo]],Plan_cuentas[],3,FALSE)," ")</f>
        <v>Transferencia</v>
      </c>
      <c r="G2430" t="str">
        <f>IFERROR(+VLOOKUP(Movimientos_2026[[#This Row],[Codigo]],Plan_cuentas[],4,FALSE)," ")</f>
        <v>Rentas</v>
      </c>
      <c r="H2430" t="str">
        <f>IFERROR(+VLOOKUP(Movimientos_2026[[#This Row],[Codigo]],Plan_cuentas[],5,FALSE)," ")</f>
        <v>MISIONES</v>
      </c>
      <c r="I2430" s="43">
        <v>46204</v>
      </c>
      <c r="J2430" t="s">
        <v>1060</v>
      </c>
      <c r="K2430" t="str">
        <f>IFERROR(+VLOOKUP(Movimientos_2026[[#This Row],[Codigo]],Plan_cuentas[],6,FALSE)," ")</f>
        <v>2 - PR - Plan Rombo</v>
      </c>
      <c r="L2430" s="50"/>
      <c r="M2430" s="50">
        <v>163904.97</v>
      </c>
      <c r="N2430" s="20">
        <f>+Movimientos_2026[[#This Row],[Ingresos]]-Movimientos_2026[[#This Row],[Egresos]]</f>
        <v>-163904.97</v>
      </c>
      <c r="O2430" s="20">
        <f>+O2429+Movimientos_2026[[#This Row],[Neto]]</f>
        <v>4578179251.328455</v>
      </c>
    </row>
    <row r="2431" spans="1:15" x14ac:dyDescent="0.25">
      <c r="A2431" s="13">
        <v>46226</v>
      </c>
      <c r="B2431" s="12">
        <f>MONTH(Movimientos_2026[[#This Row],[Fecha]])</f>
        <v>7</v>
      </c>
      <c r="C2431" s="12" t="str">
        <f>VLOOKUP((WEEKDAY(Movimientos_2026[[#This Row],[Fecha]],2)),'5. Setup'!$D$6:$E$12,2,FALSE)</f>
        <v>Jue</v>
      </c>
      <c r="D2431">
        <v>2014202</v>
      </c>
      <c r="E2431" t="str">
        <f>IFERROR(+VLOOKUP(Movimientos_2026[[#This Row],[Codigo]],Plan_cuentas[],2,FALSE)," ")</f>
        <v>EGRESOS</v>
      </c>
      <c r="F2431" t="str">
        <f>IFERROR(+VLOOKUP(Movimientos_2026[[#This Row],[Codigo]],Plan_cuentas[],3,FALSE)," ")</f>
        <v>BtoB</v>
      </c>
      <c r="G2431" t="str">
        <f>IFERROR(+VLOOKUP(Movimientos_2026[[#This Row],[Codigo]],Plan_cuentas[],4,FALSE)," ")</f>
        <v>Rentas</v>
      </c>
      <c r="H2431" t="str">
        <f>IFERROR(+VLOOKUP(Movimientos_2026[[#This Row],[Codigo]],Plan_cuentas[],5,FALSE)," ")</f>
        <v>CORRIENTES 1° Q</v>
      </c>
      <c r="I2431" s="43">
        <v>46204</v>
      </c>
      <c r="J2431" t="s">
        <v>1061</v>
      </c>
      <c r="K2431" t="str">
        <f>IFERROR(+VLOOKUP(Movimientos_2026[[#This Row],[Codigo]],Plan_cuentas[],6,FALSE)," ")</f>
        <v>2 - PR - Plan Rombo</v>
      </c>
      <c r="L2431" s="50"/>
      <c r="M2431" s="50">
        <v>512618.89</v>
      </c>
      <c r="N2431" s="20">
        <f>+Movimientos_2026[[#This Row],[Ingresos]]-Movimientos_2026[[#This Row],[Egresos]]</f>
        <v>-512618.89</v>
      </c>
      <c r="O2431" s="20">
        <f>+O2430+Movimientos_2026[[#This Row],[Neto]]</f>
        <v>4577666632.4384546</v>
      </c>
    </row>
    <row r="2432" spans="1:15" x14ac:dyDescent="0.25">
      <c r="A2432" s="13">
        <v>46226</v>
      </c>
      <c r="B2432" s="12">
        <f>MONTH(Movimientos_2026[[#This Row],[Fecha]])</f>
        <v>7</v>
      </c>
      <c r="C2432" s="12" t="str">
        <f>VLOOKUP((WEEKDAY(Movimientos_2026[[#This Row],[Fecha]],2)),'5. Setup'!$D$6:$E$12,2,FALSE)</f>
        <v>Jue</v>
      </c>
      <c r="D2432">
        <v>2044463</v>
      </c>
      <c r="E2432" t="str">
        <f>IFERROR(+VLOOKUP(Movimientos_2026[[#This Row],[Codigo]],Plan_cuentas[],2,FALSE)," ")</f>
        <v>EGRESOS</v>
      </c>
      <c r="F2432" t="str">
        <f>IFERROR(+VLOOKUP(Movimientos_2026[[#This Row],[Codigo]],Plan_cuentas[],3,FALSE)," ")</f>
        <v>Transferencia</v>
      </c>
      <c r="G2432" t="str">
        <f>IFERROR(+VLOOKUP(Movimientos_2026[[#This Row],[Codigo]],Plan_cuentas[],4,FALSE)," ")</f>
        <v>Rentas</v>
      </c>
      <c r="H2432" t="str">
        <f>IFERROR(+VLOOKUP(Movimientos_2026[[#This Row],[Codigo]],Plan_cuentas[],5,FALSE)," ")</f>
        <v>MISIONES</v>
      </c>
      <c r="I2432" s="43">
        <v>46204</v>
      </c>
      <c r="J2432" t="s">
        <v>1062</v>
      </c>
      <c r="K2432" t="str">
        <f>IFERROR(+VLOOKUP(Movimientos_2026[[#This Row],[Codigo]],Plan_cuentas[],6,FALSE)," ")</f>
        <v>3 - GM - Chevrolet</v>
      </c>
      <c r="L2432" s="50"/>
      <c r="M2432" s="50">
        <v>1019842.25</v>
      </c>
      <c r="N2432" s="20">
        <f>+Movimientos_2026[[#This Row],[Ingresos]]-Movimientos_2026[[#This Row],[Egresos]]</f>
        <v>-1019842.25</v>
      </c>
      <c r="O2432" s="20">
        <f>+O2431+Movimientos_2026[[#This Row],[Neto]]</f>
        <v>4576646790.1884546</v>
      </c>
    </row>
    <row r="2433" spans="1:15" x14ac:dyDescent="0.25">
      <c r="A2433" s="13">
        <v>46226</v>
      </c>
      <c r="B2433" s="12">
        <f>MONTH(Movimientos_2026[[#This Row],[Fecha]])</f>
        <v>7</v>
      </c>
      <c r="C2433" s="12" t="str">
        <f>VLOOKUP((WEEKDAY(Movimientos_2026[[#This Row],[Fecha]],2)),'5. Setup'!$D$6:$E$12,2,FALSE)</f>
        <v>Jue</v>
      </c>
      <c r="D2433">
        <v>2044126</v>
      </c>
      <c r="E2433" t="str">
        <f>IFERROR(+VLOOKUP(Movimientos_2026[[#This Row],[Codigo]],Plan_cuentas[],2,FALSE)," ")</f>
        <v>EGRESOS</v>
      </c>
      <c r="F2433" t="str">
        <f>IFERROR(+VLOOKUP(Movimientos_2026[[#This Row],[Codigo]],Plan_cuentas[],3,FALSE)," ")</f>
        <v>Transferencia</v>
      </c>
      <c r="G2433" t="str">
        <f>IFERROR(+VLOOKUP(Movimientos_2026[[#This Row],[Codigo]],Plan_cuentas[],4,FALSE)," ")</f>
        <v>Rentas</v>
      </c>
      <c r="H2433" t="str">
        <f>IFERROR(+VLOOKUP(Movimientos_2026[[#This Row],[Codigo]],Plan_cuentas[],5,FALSE)," ")</f>
        <v>BAPRO</v>
      </c>
      <c r="I2433" s="43">
        <v>46174</v>
      </c>
      <c r="J2433" t="s">
        <v>1063</v>
      </c>
      <c r="K2433" t="str">
        <f>IFERROR(+VLOOKUP(Movimientos_2026[[#This Row],[Codigo]],Plan_cuentas[],6,FALSE)," ")</f>
        <v>6 - FCAtr - Fiat Transf.</v>
      </c>
      <c r="L2433" s="50"/>
      <c r="M2433" s="50">
        <v>3185848.4</v>
      </c>
      <c r="N2433" s="20">
        <f>+Movimientos_2026[[#This Row],[Ingresos]]-Movimientos_2026[[#This Row],[Egresos]]</f>
        <v>-3185848.4</v>
      </c>
      <c r="O2433" s="20">
        <f>+O2432+Movimientos_2026[[#This Row],[Neto]]</f>
        <v>4573460941.788455</v>
      </c>
    </row>
    <row r="2434" spans="1:15" x14ac:dyDescent="0.25">
      <c r="A2434" s="13">
        <v>46226</v>
      </c>
      <c r="B2434" s="12">
        <f>MONTH(Movimientos_2026[[#This Row],[Fecha]])</f>
        <v>7</v>
      </c>
      <c r="C2434" s="12" t="str">
        <f>VLOOKUP((WEEKDAY(Movimientos_2026[[#This Row],[Fecha]],2)),'5. Setup'!$D$6:$E$12,2,FALSE)</f>
        <v>Jue</v>
      </c>
      <c r="D2434">
        <v>2044126</v>
      </c>
      <c r="E2434" t="str">
        <f>IFERROR(+VLOOKUP(Movimientos_2026[[#This Row],[Codigo]],Plan_cuentas[],2,FALSE)," ")</f>
        <v>EGRESOS</v>
      </c>
      <c r="F2434" t="str">
        <f>IFERROR(+VLOOKUP(Movimientos_2026[[#This Row],[Codigo]],Plan_cuentas[],3,FALSE)," ")</f>
        <v>Transferencia</v>
      </c>
      <c r="G2434" t="str">
        <f>IFERROR(+VLOOKUP(Movimientos_2026[[#This Row],[Codigo]],Plan_cuentas[],4,FALSE)," ")</f>
        <v>Rentas</v>
      </c>
      <c r="H2434" t="str">
        <f>IFERROR(+VLOOKUP(Movimientos_2026[[#This Row],[Codigo]],Plan_cuentas[],5,FALSE)," ")</f>
        <v>BAPRO</v>
      </c>
      <c r="I2434" s="43">
        <v>46174</v>
      </c>
      <c r="J2434" t="s">
        <v>1064</v>
      </c>
      <c r="K2434" t="str">
        <f>IFERROR(+VLOOKUP(Movimientos_2026[[#This Row],[Codigo]],Plan_cuentas[],6,FALSE)," ")</f>
        <v>6 - FCAtr - Fiat Transf.</v>
      </c>
      <c r="L2434" s="50"/>
      <c r="M2434" s="50">
        <v>3044900.6</v>
      </c>
      <c r="N2434" s="20">
        <f>+Movimientos_2026[[#This Row],[Ingresos]]-Movimientos_2026[[#This Row],[Egresos]]</f>
        <v>-3044900.6</v>
      </c>
      <c r="O2434" s="20">
        <f>+O2433+Movimientos_2026[[#This Row],[Neto]]</f>
        <v>4570416041.1884546</v>
      </c>
    </row>
    <row r="2435" spans="1:15" x14ac:dyDescent="0.25">
      <c r="A2435" s="13">
        <v>46226</v>
      </c>
      <c r="B2435" s="12">
        <f>MONTH(Movimientos_2026[[#This Row],[Fecha]])</f>
        <v>7</v>
      </c>
      <c r="C2435" s="12" t="str">
        <f>VLOOKUP((WEEKDAY(Movimientos_2026[[#This Row],[Fecha]],2)),'5. Setup'!$D$6:$E$12,2,FALSE)</f>
        <v>Jue</v>
      </c>
      <c r="D2435">
        <v>2044126</v>
      </c>
      <c r="E2435" t="str">
        <f>IFERROR(+VLOOKUP(Movimientos_2026[[#This Row],[Codigo]],Plan_cuentas[],2,FALSE)," ")</f>
        <v>EGRESOS</v>
      </c>
      <c r="F2435" t="str">
        <f>IFERROR(+VLOOKUP(Movimientos_2026[[#This Row],[Codigo]],Plan_cuentas[],3,FALSE)," ")</f>
        <v>Transferencia</v>
      </c>
      <c r="G2435" t="str">
        <f>IFERROR(+VLOOKUP(Movimientos_2026[[#This Row],[Codigo]],Plan_cuentas[],4,FALSE)," ")</f>
        <v>Rentas</v>
      </c>
      <c r="H2435" t="str">
        <f>IFERROR(+VLOOKUP(Movimientos_2026[[#This Row],[Codigo]],Plan_cuentas[],5,FALSE)," ")</f>
        <v>BAPRO</v>
      </c>
      <c r="I2435" s="43">
        <v>46174</v>
      </c>
      <c r="J2435" t="s">
        <v>1065</v>
      </c>
      <c r="K2435" t="str">
        <f>IFERROR(+VLOOKUP(Movimientos_2026[[#This Row],[Codigo]],Plan_cuentas[],6,FALSE)," ")</f>
        <v>6 - FCAtr - Fiat Transf.</v>
      </c>
      <c r="L2435" s="50"/>
      <c r="M2435" s="50">
        <v>2874158</v>
      </c>
      <c r="N2435" s="20">
        <f>+Movimientos_2026[[#This Row],[Ingresos]]-Movimientos_2026[[#This Row],[Egresos]]</f>
        <v>-2874158</v>
      </c>
      <c r="O2435" s="20">
        <f>+O2434+Movimientos_2026[[#This Row],[Neto]]</f>
        <v>4567541883.1884546</v>
      </c>
    </row>
    <row r="2436" spans="1:15" x14ac:dyDescent="0.25">
      <c r="A2436" s="13">
        <v>46226</v>
      </c>
      <c r="B2436" s="12">
        <f>MONTH(Movimientos_2026[[#This Row],[Fecha]])</f>
        <v>7</v>
      </c>
      <c r="C2436" s="12" t="str">
        <f>VLOOKUP((WEEKDAY(Movimientos_2026[[#This Row],[Fecha]],2)),'5. Setup'!$D$6:$E$12,2,FALSE)</f>
        <v>Jue</v>
      </c>
      <c r="D2436">
        <v>2044126</v>
      </c>
      <c r="E2436" t="str">
        <f>IFERROR(+VLOOKUP(Movimientos_2026[[#This Row],[Codigo]],Plan_cuentas[],2,FALSE)," ")</f>
        <v>EGRESOS</v>
      </c>
      <c r="F2436" t="str">
        <f>IFERROR(+VLOOKUP(Movimientos_2026[[#This Row],[Codigo]],Plan_cuentas[],3,FALSE)," ")</f>
        <v>Transferencia</v>
      </c>
      <c r="G2436" t="str">
        <f>IFERROR(+VLOOKUP(Movimientos_2026[[#This Row],[Codigo]],Plan_cuentas[],4,FALSE)," ")</f>
        <v>Rentas</v>
      </c>
      <c r="H2436" t="str">
        <f>IFERROR(+VLOOKUP(Movimientos_2026[[#This Row],[Codigo]],Plan_cuentas[],5,FALSE)," ")</f>
        <v>BAPRO</v>
      </c>
      <c r="I2436" s="43">
        <v>46174</v>
      </c>
      <c r="J2436" t="s">
        <v>1066</v>
      </c>
      <c r="K2436" t="str">
        <f>IFERROR(+VLOOKUP(Movimientos_2026[[#This Row],[Codigo]],Plan_cuentas[],6,FALSE)," ")</f>
        <v>6 - FCAtr - Fiat Transf.</v>
      </c>
      <c r="L2436" s="50"/>
      <c r="M2436" s="50">
        <v>2348010.6</v>
      </c>
      <c r="N2436" s="20">
        <f>+Movimientos_2026[[#This Row],[Ingresos]]-Movimientos_2026[[#This Row],[Egresos]]</f>
        <v>-2348010.6</v>
      </c>
      <c r="O2436" s="20">
        <f>+O2435+Movimientos_2026[[#This Row],[Neto]]</f>
        <v>4565193872.5884542</v>
      </c>
    </row>
    <row r="2437" spans="1:15" x14ac:dyDescent="0.25">
      <c r="A2437" s="13">
        <v>46226</v>
      </c>
      <c r="B2437" s="12">
        <f>MONTH(Movimientos_2026[[#This Row],[Fecha]])</f>
        <v>7</v>
      </c>
      <c r="C2437" s="12" t="str">
        <f>VLOOKUP((WEEKDAY(Movimientos_2026[[#This Row],[Fecha]],2)),'5. Setup'!$D$6:$E$12,2,FALSE)</f>
        <v>Jue</v>
      </c>
      <c r="D2437">
        <v>2044126</v>
      </c>
      <c r="E2437" t="str">
        <f>IFERROR(+VLOOKUP(Movimientos_2026[[#This Row],[Codigo]],Plan_cuentas[],2,FALSE)," ")</f>
        <v>EGRESOS</v>
      </c>
      <c r="F2437" t="str">
        <f>IFERROR(+VLOOKUP(Movimientos_2026[[#This Row],[Codigo]],Plan_cuentas[],3,FALSE)," ")</f>
        <v>Transferencia</v>
      </c>
      <c r="G2437" t="str">
        <f>IFERROR(+VLOOKUP(Movimientos_2026[[#This Row],[Codigo]],Plan_cuentas[],4,FALSE)," ")</f>
        <v>Rentas</v>
      </c>
      <c r="H2437" t="str">
        <f>IFERROR(+VLOOKUP(Movimientos_2026[[#This Row],[Codigo]],Plan_cuentas[],5,FALSE)," ")</f>
        <v>BAPRO</v>
      </c>
      <c r="I2437" s="43">
        <v>46174</v>
      </c>
      <c r="J2437" t="s">
        <v>1067</v>
      </c>
      <c r="K2437" t="str">
        <f>IFERROR(+VLOOKUP(Movimientos_2026[[#This Row],[Codigo]],Plan_cuentas[],6,FALSE)," ")</f>
        <v>6 - FCAtr - Fiat Transf.</v>
      </c>
      <c r="L2437" s="50"/>
      <c r="M2437" s="50">
        <v>464753.2</v>
      </c>
      <c r="N2437" s="20">
        <f>+Movimientos_2026[[#This Row],[Ingresos]]-Movimientos_2026[[#This Row],[Egresos]]</f>
        <v>-464753.2</v>
      </c>
      <c r="O2437" s="20">
        <f>+O2436+Movimientos_2026[[#This Row],[Neto]]</f>
        <v>4564729119.3884544</v>
      </c>
    </row>
    <row r="2438" spans="1:15" x14ac:dyDescent="0.25">
      <c r="A2438" s="13">
        <v>46226</v>
      </c>
      <c r="B2438" s="12">
        <f>MONTH(Movimientos_2026[[#This Row],[Fecha]])</f>
        <v>7</v>
      </c>
      <c r="C2438" s="12" t="str">
        <f>VLOOKUP((WEEKDAY(Movimientos_2026[[#This Row],[Fecha]],2)),'5. Setup'!$D$6:$E$12,2,FALSE)</f>
        <v>Jue</v>
      </c>
      <c r="D2438">
        <v>1044314</v>
      </c>
      <c r="E2438" t="str">
        <f>IFERROR(+VLOOKUP(Movimientos_2026[[#This Row],[Codigo]],Plan_cuentas[],2,FALSE)," ")</f>
        <v>INGRESOS</v>
      </c>
      <c r="F2438" t="str">
        <f>IFERROR(+VLOOKUP(Movimientos_2026[[#This Row],[Codigo]],Plan_cuentas[],3,FALSE)," ")</f>
        <v>Transferencia</v>
      </c>
      <c r="G2438" t="str">
        <f>IFERROR(+VLOOKUP(Movimientos_2026[[#This Row],[Codigo]],Plan_cuentas[],4,FALSE)," ")</f>
        <v>Rentas</v>
      </c>
      <c r="H2438" t="str">
        <f>IFERROR(+VLOOKUP(Movimientos_2026[[#This Row],[Codigo]],Plan_cuentas[],5,FALSE)," ")</f>
        <v>NEUQUEN 1° Q</v>
      </c>
      <c r="I2438" s="43">
        <v>46204</v>
      </c>
      <c r="J2438" t="s">
        <v>1068</v>
      </c>
      <c r="K2438" t="str">
        <f>IFERROR(+VLOOKUP(Movimientos_2026[[#This Row],[Codigo]],Plan_cuentas[],6,FALSE)," ")</f>
        <v>4 - FCA - Fiat</v>
      </c>
      <c r="L2438" s="50">
        <v>40864680</v>
      </c>
      <c r="M2438" s="50"/>
      <c r="N2438" s="20">
        <f>+Movimientos_2026[[#This Row],[Ingresos]]-Movimientos_2026[[#This Row],[Egresos]]</f>
        <v>40864680</v>
      </c>
      <c r="O2438" s="20">
        <f>+O2437+Movimientos_2026[[#This Row],[Neto]]</f>
        <v>4605593799.3884544</v>
      </c>
    </row>
    <row r="2439" spans="1:15" x14ac:dyDescent="0.25">
      <c r="A2439" s="13">
        <v>46226</v>
      </c>
      <c r="B2439" s="12">
        <f>MONTH(Movimientos_2026[[#This Row],[Fecha]])</f>
        <v>7</v>
      </c>
      <c r="C2439" s="12" t="str">
        <f>VLOOKUP((WEEKDAY(Movimientos_2026[[#This Row],[Fecha]],2)),'5. Setup'!$D$6:$E$12,2,FALSE)</f>
        <v>Jue</v>
      </c>
      <c r="D2439">
        <v>1044316</v>
      </c>
      <c r="E2439" t="str">
        <f>IFERROR(+VLOOKUP(Movimientos_2026[[#This Row],[Codigo]],Plan_cuentas[],2,FALSE)," ")</f>
        <v>INGRESOS</v>
      </c>
      <c r="F2439" t="str">
        <f>IFERROR(+VLOOKUP(Movimientos_2026[[#This Row],[Codigo]],Plan_cuentas[],3,FALSE)," ")</f>
        <v>Transferencia</v>
      </c>
      <c r="G2439" t="str">
        <f>IFERROR(+VLOOKUP(Movimientos_2026[[#This Row],[Codigo]],Plan_cuentas[],4,FALSE)," ")</f>
        <v>Rentas</v>
      </c>
      <c r="H2439" t="str">
        <f>IFERROR(+VLOOKUP(Movimientos_2026[[#This Row],[Codigo]],Plan_cuentas[],5,FALSE)," ")</f>
        <v>NEUQUEN 1° Q</v>
      </c>
      <c r="I2439" s="43">
        <v>46204</v>
      </c>
      <c r="J2439" t="s">
        <v>1069</v>
      </c>
      <c r="K2439" t="str">
        <f>IFERROR(+VLOOKUP(Movimientos_2026[[#This Row],[Codigo]],Plan_cuentas[],6,FALSE)," ")</f>
        <v>6 - FCAtr - Fiat Transf.</v>
      </c>
      <c r="L2439" s="50">
        <v>699418.68</v>
      </c>
      <c r="M2439" s="50"/>
      <c r="N2439" s="20">
        <f>+Movimientos_2026[[#This Row],[Ingresos]]-Movimientos_2026[[#This Row],[Egresos]]</f>
        <v>699418.68</v>
      </c>
      <c r="O2439" s="20">
        <f>+O2438+Movimientos_2026[[#This Row],[Neto]]</f>
        <v>4606293218.0684547</v>
      </c>
    </row>
    <row r="2440" spans="1:15" x14ac:dyDescent="0.25">
      <c r="A2440" s="13">
        <v>46227</v>
      </c>
      <c r="B2440" s="12">
        <f>MONTH(Movimientos_2026[[#This Row],[Fecha]])</f>
        <v>7</v>
      </c>
      <c r="C2440" s="12" t="str">
        <f>VLOOKUP((WEEKDAY(Movimientos_2026[[#This Row],[Fecha]],2)),'5. Setup'!$D$6:$E$12,2,FALSE)</f>
        <v>Vie</v>
      </c>
      <c r="D2440">
        <v>2014201</v>
      </c>
      <c r="E2440" t="str">
        <f>IFERROR(+VLOOKUP(Movimientos_2026[[#This Row],[Codigo]],Plan_cuentas[],2,FALSE)," ")</f>
        <v>EGRESOS</v>
      </c>
      <c r="F2440" t="str">
        <f>IFERROR(+VLOOKUP(Movimientos_2026[[#This Row],[Codigo]],Plan_cuentas[],3,FALSE)," ")</f>
        <v>BtoB</v>
      </c>
      <c r="G2440" t="str">
        <f>IFERROR(+VLOOKUP(Movimientos_2026[[#This Row],[Codigo]],Plan_cuentas[],4,FALSE)," ")</f>
        <v>Rentas</v>
      </c>
      <c r="H2440" t="str">
        <f>IFERROR(+VLOOKUP(Movimientos_2026[[#This Row],[Codigo]],Plan_cuentas[],5,FALSE)," ")</f>
        <v>CORRIENTES 1° Q</v>
      </c>
      <c r="I2440" s="43">
        <v>46204</v>
      </c>
      <c r="J2440" t="s">
        <v>1070</v>
      </c>
      <c r="K2440" t="str">
        <f>IFERROR(+VLOOKUP(Movimientos_2026[[#This Row],[Codigo]],Plan_cuentas[],6,FALSE)," ")</f>
        <v>1 - VW - Volkswagen</v>
      </c>
      <c r="L2440" s="50"/>
      <c r="M2440" s="50">
        <v>15601428.199999999</v>
      </c>
      <c r="N2440" s="20">
        <f>+Movimientos_2026[[#This Row],[Ingresos]]-Movimientos_2026[[#This Row],[Egresos]]</f>
        <v>-15601428.199999999</v>
      </c>
      <c r="O2440" s="20">
        <f>+O2439+Movimientos_2026[[#This Row],[Neto]]</f>
        <v>4590691789.8684549</v>
      </c>
    </row>
    <row r="2441" spans="1:15" x14ac:dyDescent="0.25">
      <c r="A2441" s="13">
        <v>46227</v>
      </c>
      <c r="B2441" s="12">
        <f>MONTH(Movimientos_2026[[#This Row],[Fecha]])</f>
        <v>7</v>
      </c>
      <c r="C2441" s="12" t="str">
        <f>VLOOKUP((WEEKDAY(Movimientos_2026[[#This Row],[Fecha]],2)),'5. Setup'!$D$6:$E$12,2,FALSE)</f>
        <v>Vie</v>
      </c>
      <c r="D2441">
        <v>2054381</v>
      </c>
      <c r="E2441" t="str">
        <f>IFERROR(+VLOOKUP(Movimientos_2026[[#This Row],[Codigo]],Plan_cuentas[],2,FALSE)," ")</f>
        <v>EGRESOS</v>
      </c>
      <c r="F2441" t="str">
        <f>IFERROR(+VLOOKUP(Movimientos_2026[[#This Row],[Codigo]],Plan_cuentas[],3,FALSE)," ")</f>
        <v>VEP</v>
      </c>
      <c r="G2441" t="str">
        <f>IFERROR(+VLOOKUP(Movimientos_2026[[#This Row],[Codigo]],Plan_cuentas[],4,FALSE)," ")</f>
        <v>Rentas</v>
      </c>
      <c r="H2441" t="str">
        <f>IFERROR(+VLOOKUP(Movimientos_2026[[#This Row],[Codigo]],Plan_cuentas[],5,FALSE)," ")</f>
        <v>SANTA FE 1° Q</v>
      </c>
      <c r="I2441" s="43">
        <v>46204</v>
      </c>
      <c r="J2441" t="s">
        <v>1071</v>
      </c>
      <c r="K2441" t="str">
        <f>IFERROR(+VLOOKUP(Movimientos_2026[[#This Row],[Codigo]],Plan_cuentas[],6,FALSE)," ")</f>
        <v>1 - VW - Volkswagen</v>
      </c>
      <c r="L2441" s="50"/>
      <c r="M2441" s="50">
        <v>22660194.530000001</v>
      </c>
      <c r="N2441" s="20">
        <f>+Movimientos_2026[[#This Row],[Ingresos]]-Movimientos_2026[[#This Row],[Egresos]]</f>
        <v>-22660194.530000001</v>
      </c>
      <c r="O2441" s="20">
        <f>+O2440+Movimientos_2026[[#This Row],[Neto]]</f>
        <v>4568031595.3384552</v>
      </c>
    </row>
    <row r="2442" spans="1:15" x14ac:dyDescent="0.25">
      <c r="A2442" s="13">
        <v>46227</v>
      </c>
      <c r="B2442" s="12">
        <f>MONTH(Movimientos_2026[[#This Row],[Fecha]])</f>
        <v>7</v>
      </c>
      <c r="C2442" s="12" t="str">
        <f>VLOOKUP((WEEKDAY(Movimientos_2026[[#This Row],[Fecha]],2)),'5. Setup'!$D$6:$E$12,2,FALSE)</f>
        <v>Vie</v>
      </c>
      <c r="D2442">
        <v>2054312</v>
      </c>
      <c r="E2442" t="str">
        <f>IFERROR(+VLOOKUP(Movimientos_2026[[#This Row],[Codigo]],Plan_cuentas[],2,FALSE)," ")</f>
        <v>EGRESOS</v>
      </c>
      <c r="F2442" t="str">
        <f>IFERROR(+VLOOKUP(Movimientos_2026[[#This Row],[Codigo]],Plan_cuentas[],3,FALSE)," ")</f>
        <v>VEP</v>
      </c>
      <c r="G2442" t="str">
        <f>IFERROR(+VLOOKUP(Movimientos_2026[[#This Row],[Codigo]],Plan_cuentas[],4,FALSE)," ")</f>
        <v>Rentas</v>
      </c>
      <c r="H2442" t="str">
        <f>IFERROR(+VLOOKUP(Movimientos_2026[[#This Row],[Codigo]],Plan_cuentas[],5,FALSE)," ")</f>
        <v>NEUQUEN 1° Q</v>
      </c>
      <c r="I2442" s="43">
        <v>46204</v>
      </c>
      <c r="J2442" t="s">
        <v>1072</v>
      </c>
      <c r="K2442" t="str">
        <f>IFERROR(+VLOOKUP(Movimientos_2026[[#This Row],[Codigo]],Plan_cuentas[],6,FALSE)," ")</f>
        <v>2 - PR - Plan Rombo</v>
      </c>
      <c r="L2442" s="50"/>
      <c r="M2442" s="50">
        <v>780938.23</v>
      </c>
      <c r="N2442" s="20">
        <f>+Movimientos_2026[[#This Row],[Ingresos]]-Movimientos_2026[[#This Row],[Egresos]]</f>
        <v>-780938.23</v>
      </c>
      <c r="O2442" s="20">
        <f>+O2441+Movimientos_2026[[#This Row],[Neto]]</f>
        <v>4567250657.1084557</v>
      </c>
    </row>
    <row r="2443" spans="1:15" x14ac:dyDescent="0.25">
      <c r="A2443" s="13">
        <v>46230</v>
      </c>
      <c r="B2443" s="12">
        <f>MONTH(Movimientos_2026[[#This Row],[Fecha]])</f>
        <v>7</v>
      </c>
      <c r="C2443" s="12" t="str">
        <f>VLOOKUP((WEEKDAY(Movimientos_2026[[#This Row],[Fecha]],2)),'5. Setup'!$D$6:$E$12,2,FALSE)</f>
        <v>Lun</v>
      </c>
      <c r="D2443">
        <v>1043142</v>
      </c>
      <c r="E2443" t="str">
        <f>IFERROR(+VLOOKUP(Movimientos_2026[[#This Row],[Codigo]],Plan_cuentas[],2,FALSE)," ")</f>
        <v>INGRESOS</v>
      </c>
      <c r="F2443" t="str">
        <f>IFERROR(+VLOOKUP(Movimientos_2026[[#This Row],[Codigo]],Plan_cuentas[],3,FALSE)," ")</f>
        <v>Transferencia</v>
      </c>
      <c r="G2443" t="str">
        <f>IFERROR(+VLOOKUP(Movimientos_2026[[#This Row],[Codigo]],Plan_cuentas[],4,FALSE)," ")</f>
        <v>Registración</v>
      </c>
      <c r="H2443" t="str">
        <f>IFERROR(+VLOOKUP(Movimientos_2026[[#This Row],[Codigo]],Plan_cuentas[],5,FALSE)," ")</f>
        <v>BUENOS AIRES</v>
      </c>
      <c r="I2443" s="43">
        <v>46204</v>
      </c>
      <c r="J2443" t="s">
        <v>1073</v>
      </c>
      <c r="K2443" t="str">
        <f>IFERROR(+VLOOKUP(Movimientos_2026[[#This Row],[Codigo]],Plan_cuentas[],6,FALSE)," ")</f>
        <v>2 - PR - Plan Rombo</v>
      </c>
      <c r="L2443" s="50">
        <v>157242852.80000001</v>
      </c>
      <c r="M2443" s="50"/>
      <c r="N2443" s="20">
        <f>+Movimientos_2026[[#This Row],[Ingresos]]-Movimientos_2026[[#This Row],[Egresos]]</f>
        <v>157242852.80000001</v>
      </c>
      <c r="O2443" s="20">
        <f>+O2442+Movimientos_2026[[#This Row],[Neto]]</f>
        <v>4724493509.9084558</v>
      </c>
    </row>
    <row r="2444" spans="1:15" x14ac:dyDescent="0.25">
      <c r="A2444" s="13">
        <v>46230</v>
      </c>
      <c r="B2444" s="12">
        <f>MONTH(Movimientos_2026[[#This Row],[Fecha]])</f>
        <v>7</v>
      </c>
      <c r="C2444" s="12" t="str">
        <f>VLOOKUP((WEEKDAY(Movimientos_2026[[#This Row],[Fecha]],2)),'5. Setup'!$D$6:$E$12,2,FALSE)</f>
        <v>Lun</v>
      </c>
      <c r="D2444">
        <v>1045452</v>
      </c>
      <c r="E2444" t="str">
        <f>IFERROR(+VLOOKUP(Movimientos_2026[[#This Row],[Codigo]],Plan_cuentas[],2,FALSE)," ")</f>
        <v>INGRESOS</v>
      </c>
      <c r="F2444" t="str">
        <f>IFERROR(+VLOOKUP(Movimientos_2026[[#This Row],[Codigo]],Plan_cuentas[],3,FALSE)," ")</f>
        <v>Transferencia</v>
      </c>
      <c r="G2444" t="str">
        <f>IFERROR(+VLOOKUP(Movimientos_2026[[#This Row],[Codigo]],Plan_cuentas[],4,FALSE)," ")</f>
        <v>Factura</v>
      </c>
      <c r="H2444" t="str">
        <f>IFERROR(+VLOOKUP(Movimientos_2026[[#This Row],[Codigo]],Plan_cuentas[],5,FALSE)," ")</f>
        <v>FC DERECHOS</v>
      </c>
      <c r="I2444" s="43">
        <v>46204</v>
      </c>
      <c r="J2444" t="s">
        <v>1074</v>
      </c>
      <c r="K2444" t="str">
        <f>IFERROR(+VLOOKUP(Movimientos_2026[[#This Row],[Codigo]],Plan_cuentas[],6,FALSE)," ")</f>
        <v>2 - PR - Plan Rombo</v>
      </c>
      <c r="L2444" s="50">
        <v>27539962.5</v>
      </c>
      <c r="M2444" s="50"/>
      <c r="N2444" s="20">
        <f>+Movimientos_2026[[#This Row],[Ingresos]]-Movimientos_2026[[#This Row],[Egresos]]</f>
        <v>27539962.5</v>
      </c>
      <c r="O2444" s="20">
        <f>+O2443+Movimientos_2026[[#This Row],[Neto]]</f>
        <v>4752033472.4084558</v>
      </c>
    </row>
    <row r="2445" spans="1:15" x14ac:dyDescent="0.25">
      <c r="A2445" s="13">
        <v>46230</v>
      </c>
      <c r="B2445" s="12">
        <f>MONTH(Movimientos_2026[[#This Row],[Fecha]])</f>
        <v>7</v>
      </c>
      <c r="C2445" s="12" t="str">
        <f>VLOOKUP((WEEKDAY(Movimientos_2026[[#This Row],[Fecha]],2)),'5. Setup'!$D$6:$E$12,2,FALSE)</f>
        <v>Lun</v>
      </c>
      <c r="D2445">
        <v>1043152</v>
      </c>
      <c r="E2445" t="str">
        <f>IFERROR(+VLOOKUP(Movimientos_2026[[#This Row],[Codigo]],Plan_cuentas[],2,FALSE)," ")</f>
        <v>INGRESOS</v>
      </c>
      <c r="F2445" t="str">
        <f>IFERROR(+VLOOKUP(Movimientos_2026[[#This Row],[Codigo]],Plan_cuentas[],3,FALSE)," ")</f>
        <v>Transferencia</v>
      </c>
      <c r="G2445" t="str">
        <f>IFERROR(+VLOOKUP(Movimientos_2026[[#This Row],[Codigo]],Plan_cuentas[],4,FALSE)," ")</f>
        <v>Registración</v>
      </c>
      <c r="H2445" t="str">
        <f>IFERROR(+VLOOKUP(Movimientos_2026[[#This Row],[Codigo]],Plan_cuentas[],5,FALSE)," ")</f>
        <v>CABA</v>
      </c>
      <c r="I2445" s="43">
        <v>46204</v>
      </c>
      <c r="J2445" t="s">
        <v>1073</v>
      </c>
      <c r="K2445" t="str">
        <f>IFERROR(+VLOOKUP(Movimientos_2026[[#This Row],[Codigo]],Plan_cuentas[],6,FALSE)," ")</f>
        <v>2 - PR - Plan Rombo</v>
      </c>
      <c r="L2445" s="50">
        <v>20286622.59</v>
      </c>
      <c r="M2445" s="50"/>
      <c r="N2445" s="20">
        <f>+Movimientos_2026[[#This Row],[Ingresos]]-Movimientos_2026[[#This Row],[Egresos]]</f>
        <v>20286622.59</v>
      </c>
      <c r="O2445" s="20">
        <f>+O2444+Movimientos_2026[[#This Row],[Neto]]</f>
        <v>4772320094.998456</v>
      </c>
    </row>
    <row r="2446" spans="1:15" x14ac:dyDescent="0.25">
      <c r="A2446" s="13">
        <v>46230</v>
      </c>
      <c r="B2446" s="12">
        <f>MONTH(Movimientos_2026[[#This Row],[Fecha]])</f>
        <v>7</v>
      </c>
      <c r="C2446" s="12" t="str">
        <f>VLOOKUP((WEEKDAY(Movimientos_2026[[#This Row],[Fecha]],2)),'5. Setup'!$D$6:$E$12,2,FALSE)</f>
        <v>Lun</v>
      </c>
      <c r="D2446">
        <v>1043222</v>
      </c>
      <c r="E2446" t="str">
        <f>IFERROR(+VLOOKUP(Movimientos_2026[[#This Row],[Codigo]],Plan_cuentas[],2,FALSE)," ")</f>
        <v>INGRESOS</v>
      </c>
      <c r="F2446" t="str">
        <f>IFERROR(+VLOOKUP(Movimientos_2026[[#This Row],[Codigo]],Plan_cuentas[],3,FALSE)," ")</f>
        <v>Transferencia</v>
      </c>
      <c r="G2446" t="str">
        <f>IFERROR(+VLOOKUP(Movimientos_2026[[#This Row],[Codigo]],Plan_cuentas[],4,FALSE)," ")</f>
        <v>Registración</v>
      </c>
      <c r="H2446" t="str">
        <f>IFERROR(+VLOOKUP(Movimientos_2026[[#This Row],[Codigo]],Plan_cuentas[],5,FALSE)," ")</f>
        <v>ENTRE RIOS 1° Q</v>
      </c>
      <c r="I2446" s="43">
        <v>46204</v>
      </c>
      <c r="J2446" t="s">
        <v>1073</v>
      </c>
      <c r="K2446" t="str">
        <f>IFERROR(+VLOOKUP(Movimientos_2026[[#This Row],[Codigo]],Plan_cuentas[],6,FALSE)," ")</f>
        <v>2 - PR - Plan Rombo</v>
      </c>
      <c r="L2446" s="50">
        <v>15667946.9</v>
      </c>
      <c r="M2446" s="50"/>
      <c r="N2446" s="20">
        <f>+Movimientos_2026[[#This Row],[Ingresos]]-Movimientos_2026[[#This Row],[Egresos]]</f>
        <v>15667946.9</v>
      </c>
      <c r="O2446" s="20">
        <f>+O2445+Movimientos_2026[[#This Row],[Neto]]</f>
        <v>4787988041.8984556</v>
      </c>
    </row>
    <row r="2447" spans="1:15" x14ac:dyDescent="0.25">
      <c r="A2447" s="13">
        <v>46230</v>
      </c>
      <c r="B2447" s="12">
        <f>MONTH(Movimientos_2026[[#This Row],[Fecha]])</f>
        <v>7</v>
      </c>
      <c r="C2447" s="12" t="str">
        <f>VLOOKUP((WEEKDAY(Movimientos_2026[[#This Row],[Fecha]],2)),'5. Setup'!$D$6:$E$12,2,FALSE)</f>
        <v>Lun</v>
      </c>
      <c r="D2447">
        <v>1043242</v>
      </c>
      <c r="E2447" t="str">
        <f>IFERROR(+VLOOKUP(Movimientos_2026[[#This Row],[Codigo]],Plan_cuentas[],2,FALSE)," ")</f>
        <v>INGRESOS</v>
      </c>
      <c r="F2447" t="str">
        <f>IFERROR(+VLOOKUP(Movimientos_2026[[#This Row],[Codigo]],Plan_cuentas[],3,FALSE)," ")</f>
        <v>Transferencia</v>
      </c>
      <c r="G2447" t="str">
        <f>IFERROR(+VLOOKUP(Movimientos_2026[[#This Row],[Codigo]],Plan_cuentas[],4,FALSE)," ")</f>
        <v>Registración</v>
      </c>
      <c r="H2447" t="str">
        <f>IFERROR(+VLOOKUP(Movimientos_2026[[#This Row],[Codigo]],Plan_cuentas[],5,FALSE)," ")</f>
        <v>FORMOSA</v>
      </c>
      <c r="I2447" s="43">
        <v>46204</v>
      </c>
      <c r="J2447" t="s">
        <v>1073</v>
      </c>
      <c r="K2447" t="str">
        <f>IFERROR(+VLOOKUP(Movimientos_2026[[#This Row],[Codigo]],Plan_cuentas[],6,FALSE)," ")</f>
        <v>2 - PR - Plan Rombo</v>
      </c>
      <c r="L2447" s="50">
        <v>1385322.6</v>
      </c>
      <c r="M2447" s="50"/>
      <c r="N2447" s="20">
        <f>+Movimientos_2026[[#This Row],[Ingresos]]-Movimientos_2026[[#This Row],[Egresos]]</f>
        <v>1385322.6</v>
      </c>
      <c r="O2447" s="20">
        <f>+O2446+Movimientos_2026[[#This Row],[Neto]]</f>
        <v>4789373364.498456</v>
      </c>
    </row>
    <row r="2448" spans="1:15" x14ac:dyDescent="0.25">
      <c r="A2448" s="13">
        <v>46230</v>
      </c>
      <c r="B2448" s="12">
        <f>MONTH(Movimientos_2026[[#This Row],[Fecha]])</f>
        <v>7</v>
      </c>
      <c r="C2448" s="12" t="str">
        <f>VLOOKUP((WEEKDAY(Movimientos_2026[[#This Row],[Fecha]],2)),'5. Setup'!$D$6:$E$12,2,FALSE)</f>
        <v>Lun</v>
      </c>
      <c r="D2448">
        <v>1043382</v>
      </c>
      <c r="E2448" t="str">
        <f>IFERROR(+VLOOKUP(Movimientos_2026[[#This Row],[Codigo]],Plan_cuentas[],2,FALSE)," ")</f>
        <v>INGRESOS</v>
      </c>
      <c r="F2448" t="str">
        <f>IFERROR(+VLOOKUP(Movimientos_2026[[#This Row],[Codigo]],Plan_cuentas[],3,FALSE)," ")</f>
        <v>Transferencia</v>
      </c>
      <c r="G2448" t="str">
        <f>IFERROR(+VLOOKUP(Movimientos_2026[[#This Row],[Codigo]],Plan_cuentas[],4,FALSE)," ")</f>
        <v>Registración</v>
      </c>
      <c r="H2448" t="str">
        <f>IFERROR(+VLOOKUP(Movimientos_2026[[#This Row],[Codigo]],Plan_cuentas[],5,FALSE)," ")</f>
        <v>SANTA FE 1° Q</v>
      </c>
      <c r="I2448" s="43">
        <v>46204</v>
      </c>
      <c r="J2448" t="s">
        <v>1073</v>
      </c>
      <c r="K2448" t="str">
        <f>IFERROR(+VLOOKUP(Movimientos_2026[[#This Row],[Codigo]],Plan_cuentas[],6,FALSE)," ")</f>
        <v>2 - PR - Plan Rombo</v>
      </c>
      <c r="L2448" s="50">
        <v>22518120.539999999</v>
      </c>
      <c r="M2448" s="50"/>
      <c r="N2448" s="20">
        <f>+Movimientos_2026[[#This Row],[Ingresos]]-Movimientos_2026[[#This Row],[Egresos]]</f>
        <v>22518120.539999999</v>
      </c>
      <c r="O2448" s="20">
        <f>+O2447+Movimientos_2026[[#This Row],[Neto]]</f>
        <v>4811891485.038456</v>
      </c>
    </row>
    <row r="2449" spans="1:15" x14ac:dyDescent="0.25">
      <c r="A2449" s="13">
        <v>46230</v>
      </c>
      <c r="B2449" s="12">
        <f>MONTH(Movimientos_2026[[#This Row],[Fecha]])</f>
        <v>7</v>
      </c>
      <c r="C2449" s="12" t="str">
        <f>VLOOKUP((WEEKDAY(Movimientos_2026[[#This Row],[Fecha]],2)),'5. Setup'!$D$6:$E$12,2,FALSE)</f>
        <v>Lun</v>
      </c>
      <c r="D2449">
        <v>1043172</v>
      </c>
      <c r="E2449" t="str">
        <f>IFERROR(+VLOOKUP(Movimientos_2026[[#This Row],[Codigo]],Plan_cuentas[],2,FALSE)," ")</f>
        <v>INGRESOS</v>
      </c>
      <c r="F2449" t="str">
        <f>IFERROR(+VLOOKUP(Movimientos_2026[[#This Row],[Codigo]],Plan_cuentas[],3,FALSE)," ")</f>
        <v>Transferencia</v>
      </c>
      <c r="G2449" t="str">
        <f>IFERROR(+VLOOKUP(Movimientos_2026[[#This Row],[Codigo]],Plan_cuentas[],4,FALSE)," ")</f>
        <v>Registración</v>
      </c>
      <c r="H2449" t="str">
        <f>IFERROR(+VLOOKUP(Movimientos_2026[[#This Row],[Codigo]],Plan_cuentas[],5,FALSE)," ")</f>
        <v>CHUBUT</v>
      </c>
      <c r="I2449" s="43">
        <v>46204</v>
      </c>
      <c r="J2449" t="s">
        <v>1073</v>
      </c>
      <c r="K2449" t="str">
        <f>IFERROR(+VLOOKUP(Movimientos_2026[[#This Row],[Codigo]],Plan_cuentas[],6,FALSE)," ")</f>
        <v>2 - PR - Plan Rombo</v>
      </c>
      <c r="L2449" s="50">
        <v>5483466.71</v>
      </c>
      <c r="M2449" s="50"/>
      <c r="N2449" s="20">
        <f>+Movimientos_2026[[#This Row],[Ingresos]]-Movimientos_2026[[#This Row],[Egresos]]</f>
        <v>5483466.71</v>
      </c>
      <c r="O2449" s="20">
        <f>+O2448+Movimientos_2026[[#This Row],[Neto]]</f>
        <v>4817374951.748456</v>
      </c>
    </row>
    <row r="2450" spans="1:15" x14ac:dyDescent="0.25">
      <c r="A2450" s="13">
        <v>46230</v>
      </c>
      <c r="B2450" s="12">
        <f>MONTH(Movimientos_2026[[#This Row],[Fecha]])</f>
        <v>7</v>
      </c>
      <c r="C2450" s="12" t="str">
        <f>VLOOKUP((WEEKDAY(Movimientos_2026[[#This Row],[Fecha]],2)),'5. Setup'!$D$6:$E$12,2,FALSE)</f>
        <v>Lun</v>
      </c>
      <c r="D2450">
        <v>1044482</v>
      </c>
      <c r="E2450" t="str">
        <f>IFERROR(+VLOOKUP(Movimientos_2026[[#This Row],[Codigo]],Plan_cuentas[],2,FALSE)," ")</f>
        <v>INGRESOS</v>
      </c>
      <c r="F2450" t="str">
        <f>IFERROR(+VLOOKUP(Movimientos_2026[[#This Row],[Codigo]],Plan_cuentas[],3,FALSE)," ")</f>
        <v>Transferencia</v>
      </c>
      <c r="G2450" t="str">
        <f>IFERROR(+VLOOKUP(Movimientos_2026[[#This Row],[Codigo]],Plan_cuentas[],4,FALSE)," ")</f>
        <v>Factura</v>
      </c>
      <c r="H2450" t="str">
        <f>IFERROR(+VLOOKUP(Movimientos_2026[[#This Row],[Codigo]],Plan_cuentas[],5,FALSE)," ")</f>
        <v>FC TRAMITACION</v>
      </c>
      <c r="I2450" s="43">
        <v>46204</v>
      </c>
      <c r="J2450" t="s">
        <v>1075</v>
      </c>
      <c r="K2450" t="str">
        <f>IFERROR(+VLOOKUP(Movimientos_2026[[#This Row],[Codigo]],Plan_cuentas[],6,FALSE)," ")</f>
        <v>2 - PR - Plan Rombo</v>
      </c>
      <c r="L2450" s="50">
        <v>512569.46</v>
      </c>
      <c r="M2450" s="50"/>
      <c r="N2450" s="20">
        <f>+Movimientos_2026[[#This Row],[Ingresos]]-Movimientos_2026[[#This Row],[Egresos]]</f>
        <v>512569.46</v>
      </c>
      <c r="O2450" s="20">
        <f>+O2449+Movimientos_2026[[#This Row],[Neto]]</f>
        <v>4817887521.208456</v>
      </c>
    </row>
    <row r="2451" spans="1:15" x14ac:dyDescent="0.25">
      <c r="A2451" s="13">
        <v>46232</v>
      </c>
      <c r="B2451" s="12">
        <f>MONTH(Movimientos_2026[[#This Row],[Fecha]])</f>
        <v>7</v>
      </c>
      <c r="C2451" s="12" t="str">
        <f>VLOOKUP((WEEKDAY(Movimientos_2026[[#This Row],[Fecha]],2)),'5. Setup'!$D$6:$E$12,2,FALSE)</f>
        <v>Mie</v>
      </c>
      <c r="D2451">
        <v>1043153</v>
      </c>
      <c r="E2451" t="str">
        <f>IFERROR(+VLOOKUP(Movimientos_2026[[#This Row],[Codigo]],Plan_cuentas[],2,FALSE)," ")</f>
        <v>INGRESOS</v>
      </c>
      <c r="F2451" t="str">
        <f>IFERROR(+VLOOKUP(Movimientos_2026[[#This Row],[Codigo]],Plan_cuentas[],3,FALSE)," ")</f>
        <v>Transferencia</v>
      </c>
      <c r="G2451" t="str">
        <f>IFERROR(+VLOOKUP(Movimientos_2026[[#This Row],[Codigo]],Plan_cuentas[],4,FALSE)," ")</f>
        <v>Registración</v>
      </c>
      <c r="H2451" t="str">
        <f>IFERROR(+VLOOKUP(Movimientos_2026[[#This Row],[Codigo]],Plan_cuentas[],5,FALSE)," ")</f>
        <v>CABA</v>
      </c>
      <c r="I2451" s="43">
        <v>46174</v>
      </c>
      <c r="J2451" t="s">
        <v>1076</v>
      </c>
      <c r="K2451" t="str">
        <f>IFERROR(+VLOOKUP(Movimientos_2026[[#This Row],[Codigo]],Plan_cuentas[],6,FALSE)," ")</f>
        <v>3 - GM - Chevrolet</v>
      </c>
      <c r="L2451" s="50">
        <v>48908562.829999998</v>
      </c>
      <c r="M2451" s="50"/>
      <c r="N2451" s="20">
        <f>+Movimientos_2026[[#This Row],[Ingresos]]-Movimientos_2026[[#This Row],[Egresos]]</f>
        <v>48908562.829999998</v>
      </c>
      <c r="O2451" s="20">
        <f>+O2450+Movimientos_2026[[#This Row],[Neto]]</f>
        <v>4866796084.038456</v>
      </c>
    </row>
    <row r="2452" spans="1:15" x14ac:dyDescent="0.25">
      <c r="A2452" s="13">
        <v>46232</v>
      </c>
      <c r="B2452" s="12">
        <f>MONTH(Movimientos_2026[[#This Row],[Fecha]])</f>
        <v>7</v>
      </c>
      <c r="C2452" s="12" t="str">
        <f>VLOOKUP((WEEKDAY(Movimientos_2026[[#This Row],[Fecha]],2)),'5. Setup'!$D$6:$E$12,2,FALSE)</f>
        <v>Mie</v>
      </c>
      <c r="D2452">
        <v>1043223</v>
      </c>
      <c r="E2452" t="str">
        <f>IFERROR(+VLOOKUP(Movimientos_2026[[#This Row],[Codigo]],Plan_cuentas[],2,FALSE)," ")</f>
        <v>INGRESOS</v>
      </c>
      <c r="F2452" t="str">
        <f>IFERROR(+VLOOKUP(Movimientos_2026[[#This Row],[Codigo]],Plan_cuentas[],3,FALSE)," ")</f>
        <v>Transferencia</v>
      </c>
      <c r="G2452" t="str">
        <f>IFERROR(+VLOOKUP(Movimientos_2026[[#This Row],[Codigo]],Plan_cuentas[],4,FALSE)," ")</f>
        <v>Registración</v>
      </c>
      <c r="H2452" t="str">
        <f>IFERROR(+VLOOKUP(Movimientos_2026[[#This Row],[Codigo]],Plan_cuentas[],5,FALSE)," ")</f>
        <v>ENTRE RIOS 1° Q</v>
      </c>
      <c r="I2452" s="43">
        <v>46174</v>
      </c>
      <c r="J2452" t="s">
        <v>1076</v>
      </c>
      <c r="K2452" t="str">
        <f>IFERROR(+VLOOKUP(Movimientos_2026[[#This Row],[Codigo]],Plan_cuentas[],6,FALSE)," ")</f>
        <v>3 - GM - Chevrolet</v>
      </c>
      <c r="L2452" s="50">
        <v>14951703.890000001</v>
      </c>
      <c r="M2452" s="50"/>
      <c r="N2452" s="20">
        <f>+Movimientos_2026[[#This Row],[Ingresos]]-Movimientos_2026[[#This Row],[Egresos]]</f>
        <v>14951703.890000001</v>
      </c>
      <c r="O2452" s="20">
        <f>+O2451+Movimientos_2026[[#This Row],[Neto]]</f>
        <v>4881747787.9284563</v>
      </c>
    </row>
    <row r="2453" spans="1:15" x14ac:dyDescent="0.25">
      <c r="A2453" s="13">
        <v>46232</v>
      </c>
      <c r="B2453" s="12">
        <f>MONTH(Movimientos_2026[[#This Row],[Fecha]])</f>
        <v>7</v>
      </c>
      <c r="C2453" s="12" t="str">
        <f>VLOOKUP((WEEKDAY(Movimientos_2026[[#This Row],[Fecha]],2)),'5. Setup'!$D$6:$E$12,2,FALSE)</f>
        <v>Mie</v>
      </c>
      <c r="D2453">
        <v>1043233</v>
      </c>
      <c r="E2453" t="str">
        <f>IFERROR(+VLOOKUP(Movimientos_2026[[#This Row],[Codigo]],Plan_cuentas[],2,FALSE)," ")</f>
        <v>INGRESOS</v>
      </c>
      <c r="F2453" t="str">
        <f>IFERROR(+VLOOKUP(Movimientos_2026[[#This Row],[Codigo]],Plan_cuentas[],3,FALSE)," ")</f>
        <v>Transferencia</v>
      </c>
      <c r="G2453" t="str">
        <f>IFERROR(+VLOOKUP(Movimientos_2026[[#This Row],[Codigo]],Plan_cuentas[],4,FALSE)," ")</f>
        <v>Registración</v>
      </c>
      <c r="H2453" t="str">
        <f>IFERROR(+VLOOKUP(Movimientos_2026[[#This Row],[Codigo]],Plan_cuentas[],5,FALSE)," ")</f>
        <v>ENTRE RIOS 2° Q</v>
      </c>
      <c r="I2453" s="43">
        <v>46174</v>
      </c>
      <c r="J2453" t="s">
        <v>1076</v>
      </c>
      <c r="K2453" t="str">
        <f>IFERROR(+VLOOKUP(Movimientos_2026[[#This Row],[Codigo]],Plan_cuentas[],6,FALSE)," ")</f>
        <v>3 - GM - Chevrolet</v>
      </c>
      <c r="L2453" s="50">
        <v>14951703.890000001</v>
      </c>
      <c r="M2453" s="50"/>
      <c r="N2453" s="20">
        <f>+Movimientos_2026[[#This Row],[Ingresos]]-Movimientos_2026[[#This Row],[Egresos]]</f>
        <v>14951703.890000001</v>
      </c>
      <c r="O2453" s="20">
        <f>+O2452+Movimientos_2026[[#This Row],[Neto]]</f>
        <v>4896699491.8184566</v>
      </c>
    </row>
    <row r="2454" spans="1:15" x14ac:dyDescent="0.25">
      <c r="A2454" s="13">
        <v>46232</v>
      </c>
      <c r="B2454" s="12">
        <f>MONTH(Movimientos_2026[[#This Row],[Fecha]])</f>
        <v>7</v>
      </c>
      <c r="C2454" s="12" t="str">
        <f>VLOOKUP((WEEKDAY(Movimientos_2026[[#This Row],[Fecha]],2)),'5. Setup'!$D$6:$E$12,2,FALSE)</f>
        <v>Mie</v>
      </c>
      <c r="D2454">
        <v>1043383</v>
      </c>
      <c r="E2454" t="str">
        <f>IFERROR(+VLOOKUP(Movimientos_2026[[#This Row],[Codigo]],Plan_cuentas[],2,FALSE)," ")</f>
        <v>INGRESOS</v>
      </c>
      <c r="F2454" t="str">
        <f>IFERROR(+VLOOKUP(Movimientos_2026[[#This Row],[Codigo]],Plan_cuentas[],3,FALSE)," ")</f>
        <v>Transferencia</v>
      </c>
      <c r="G2454" t="str">
        <f>IFERROR(+VLOOKUP(Movimientos_2026[[#This Row],[Codigo]],Plan_cuentas[],4,FALSE)," ")</f>
        <v>Registración</v>
      </c>
      <c r="H2454" t="str">
        <f>IFERROR(+VLOOKUP(Movimientos_2026[[#This Row],[Codigo]],Plan_cuentas[],5,FALSE)," ")</f>
        <v>SANTA FE 1° Q</v>
      </c>
      <c r="I2454" s="43">
        <v>46174</v>
      </c>
      <c r="J2454" t="s">
        <v>1076</v>
      </c>
      <c r="K2454" t="str">
        <f>IFERROR(+VLOOKUP(Movimientos_2026[[#This Row],[Codigo]],Plan_cuentas[],6,FALSE)," ")</f>
        <v>3 - GM - Chevrolet</v>
      </c>
      <c r="L2454" s="50">
        <v>32899464.327500001</v>
      </c>
      <c r="M2454" s="50"/>
      <c r="N2454" s="20">
        <f>+Movimientos_2026[[#This Row],[Ingresos]]-Movimientos_2026[[#This Row],[Egresos]]</f>
        <v>32899464.327500001</v>
      </c>
      <c r="O2454" s="20">
        <f>+O2453+Movimientos_2026[[#This Row],[Neto]]</f>
        <v>4929598956.145957</v>
      </c>
    </row>
    <row r="2455" spans="1:15" x14ac:dyDescent="0.25">
      <c r="A2455" s="13">
        <v>46232</v>
      </c>
      <c r="B2455" s="12">
        <f>MONTH(Movimientos_2026[[#This Row],[Fecha]])</f>
        <v>7</v>
      </c>
      <c r="C2455" s="12" t="str">
        <f>VLOOKUP((WEEKDAY(Movimientos_2026[[#This Row],[Fecha]],2)),'5. Setup'!$D$6:$E$12,2,FALSE)</f>
        <v>Mie</v>
      </c>
      <c r="D2455">
        <v>1043393</v>
      </c>
      <c r="E2455" t="str">
        <f>IFERROR(+VLOOKUP(Movimientos_2026[[#This Row],[Codigo]],Plan_cuentas[],2,FALSE)," ")</f>
        <v>INGRESOS</v>
      </c>
      <c r="F2455" t="str">
        <f>IFERROR(+VLOOKUP(Movimientos_2026[[#This Row],[Codigo]],Plan_cuentas[],3,FALSE)," ")</f>
        <v>Transferencia</v>
      </c>
      <c r="G2455" t="str">
        <f>IFERROR(+VLOOKUP(Movimientos_2026[[#This Row],[Codigo]],Plan_cuentas[],4,FALSE)," ")</f>
        <v>Registración</v>
      </c>
      <c r="H2455" t="str">
        <f>IFERROR(+VLOOKUP(Movimientos_2026[[#This Row],[Codigo]],Plan_cuentas[],5,FALSE)," ")</f>
        <v>SANTA FE 2° Q</v>
      </c>
      <c r="I2455" s="43">
        <v>46174</v>
      </c>
      <c r="J2455" t="s">
        <v>1076</v>
      </c>
      <c r="K2455" t="str">
        <f>IFERROR(+VLOOKUP(Movimientos_2026[[#This Row],[Codigo]],Plan_cuentas[],6,FALSE)," ")</f>
        <v>3 - GM - Chevrolet</v>
      </c>
      <c r="L2455" s="50">
        <v>32899464.327500001</v>
      </c>
      <c r="M2455" s="50"/>
      <c r="N2455" s="20">
        <f>+Movimientos_2026[[#This Row],[Ingresos]]-Movimientos_2026[[#This Row],[Egresos]]</f>
        <v>32899464.327500001</v>
      </c>
      <c r="O2455" s="20">
        <f>+O2454+Movimientos_2026[[#This Row],[Neto]]</f>
        <v>4962498420.4734573</v>
      </c>
    </row>
    <row r="2456" spans="1:15" x14ac:dyDescent="0.25">
      <c r="A2456" s="13">
        <v>46232</v>
      </c>
      <c r="B2456" s="12">
        <f>MONTH(Movimientos_2026[[#This Row],[Fecha]])</f>
        <v>7</v>
      </c>
      <c r="C2456" s="12" t="str">
        <f>VLOOKUP((WEEKDAY(Movimientos_2026[[#This Row],[Fecha]],2)),'5. Setup'!$D$6:$E$12,2,FALSE)</f>
        <v>Mie</v>
      </c>
      <c r="D2456">
        <v>1044163</v>
      </c>
      <c r="E2456" t="str">
        <f>IFERROR(+VLOOKUP(Movimientos_2026[[#This Row],[Codigo]],Plan_cuentas[],2,FALSE)," ")</f>
        <v>INGRESOS</v>
      </c>
      <c r="F2456" t="str">
        <f>IFERROR(+VLOOKUP(Movimientos_2026[[#This Row],[Codigo]],Plan_cuentas[],3,FALSE)," ")</f>
        <v>Transferencia</v>
      </c>
      <c r="G2456" t="str">
        <f>IFERROR(+VLOOKUP(Movimientos_2026[[#This Row],[Codigo]],Plan_cuentas[],4,FALSE)," ")</f>
        <v>Rentas</v>
      </c>
      <c r="H2456" t="str">
        <f>IFERROR(+VLOOKUP(Movimientos_2026[[#This Row],[Codigo]],Plan_cuentas[],5,FALSE)," ")</f>
        <v>CHACO</v>
      </c>
      <c r="I2456" s="43">
        <v>46174</v>
      </c>
      <c r="J2456" t="s">
        <v>1076</v>
      </c>
      <c r="K2456" t="str">
        <f>IFERROR(+VLOOKUP(Movimientos_2026[[#This Row],[Codigo]],Plan_cuentas[],6,FALSE)," ")</f>
        <v>3 - GM - Chevrolet</v>
      </c>
      <c r="L2456" s="50">
        <f>56722189.67-36291289.18</f>
        <v>20430900.490000002</v>
      </c>
      <c r="M2456" s="50"/>
      <c r="N2456" s="20">
        <f>+Movimientos_2026[[#This Row],[Ingresos]]-Movimientos_2026[[#This Row],[Egresos]]</f>
        <v>20430900.490000002</v>
      </c>
      <c r="O2456" s="20">
        <f>+O2455+Movimientos_2026[[#This Row],[Neto]]</f>
        <v>4982929320.9634571</v>
      </c>
    </row>
    <row r="2457" spans="1:15" x14ac:dyDescent="0.25">
      <c r="A2457" s="13">
        <v>46232</v>
      </c>
      <c r="B2457" s="12">
        <f>MONTH(Movimientos_2026[[#This Row],[Fecha]])</f>
        <v>7</v>
      </c>
      <c r="C2457" s="12" t="str">
        <f>VLOOKUP((WEEKDAY(Movimientos_2026[[#This Row],[Fecha]],2)),'5. Setup'!$D$6:$E$12,2,FALSE)</f>
        <v>Mie</v>
      </c>
      <c r="D2457">
        <v>1044173</v>
      </c>
      <c r="E2457" t="str">
        <f>IFERROR(+VLOOKUP(Movimientos_2026[[#This Row],[Codigo]],Plan_cuentas[],2,FALSE)," ")</f>
        <v>INGRESOS</v>
      </c>
      <c r="F2457" t="str">
        <f>IFERROR(+VLOOKUP(Movimientos_2026[[#This Row],[Codigo]],Plan_cuentas[],3,FALSE)," ")</f>
        <v>Transferencia</v>
      </c>
      <c r="G2457" t="str">
        <f>IFERROR(+VLOOKUP(Movimientos_2026[[#This Row],[Codigo]],Plan_cuentas[],4,FALSE)," ")</f>
        <v>Rentas</v>
      </c>
      <c r="H2457" t="str">
        <f>IFERROR(+VLOOKUP(Movimientos_2026[[#This Row],[Codigo]],Plan_cuentas[],5,FALSE)," ")</f>
        <v>CHUBUT</v>
      </c>
      <c r="I2457" s="43">
        <v>46174</v>
      </c>
      <c r="J2457" t="s">
        <v>1076</v>
      </c>
      <c r="K2457" t="str">
        <f>IFERROR(+VLOOKUP(Movimientos_2026[[#This Row],[Codigo]],Plan_cuentas[],6,FALSE)," ")</f>
        <v>3 - GM - Chevrolet</v>
      </c>
      <c r="L2457" s="50">
        <v>9670607.5800000001</v>
      </c>
      <c r="M2457" s="50"/>
      <c r="N2457" s="20">
        <f>+Movimientos_2026[[#This Row],[Ingresos]]-Movimientos_2026[[#This Row],[Egresos]]</f>
        <v>9670607.5800000001</v>
      </c>
      <c r="O2457" s="20">
        <f>+O2456+Movimientos_2026[[#This Row],[Neto]]</f>
        <v>4992599928.543457</v>
      </c>
    </row>
    <row r="2458" spans="1:15" x14ac:dyDescent="0.25">
      <c r="A2458" s="13">
        <v>46232</v>
      </c>
      <c r="B2458" s="12">
        <f>MONTH(Movimientos_2026[[#This Row],[Fecha]])</f>
        <v>7</v>
      </c>
      <c r="C2458" s="12" t="str">
        <f>VLOOKUP((WEEKDAY(Movimientos_2026[[#This Row],[Fecha]],2)),'5. Setup'!$D$6:$E$12,2,FALSE)</f>
        <v>Mie</v>
      </c>
      <c r="D2458">
        <v>1044243</v>
      </c>
      <c r="E2458" t="str">
        <f>IFERROR(+VLOOKUP(Movimientos_2026[[#This Row],[Codigo]],Plan_cuentas[],2,FALSE)," ")</f>
        <v>INGRESOS</v>
      </c>
      <c r="F2458" t="str">
        <f>IFERROR(+VLOOKUP(Movimientos_2026[[#This Row],[Codigo]],Plan_cuentas[],3,FALSE)," ")</f>
        <v>Transferencia</v>
      </c>
      <c r="G2458" t="str">
        <f>IFERROR(+VLOOKUP(Movimientos_2026[[#This Row],[Codigo]],Plan_cuentas[],4,FALSE)," ")</f>
        <v>Rentas</v>
      </c>
      <c r="H2458" t="str">
        <f>IFERROR(+VLOOKUP(Movimientos_2026[[#This Row],[Codigo]],Plan_cuentas[],5,FALSE)," ")</f>
        <v>FORMOSA</v>
      </c>
      <c r="I2458" s="43">
        <v>46174</v>
      </c>
      <c r="J2458" t="s">
        <v>1076</v>
      </c>
      <c r="K2458" t="str">
        <f>IFERROR(+VLOOKUP(Movimientos_2026[[#This Row],[Codigo]],Plan_cuentas[],6,FALSE)," ")</f>
        <v>3 - GM - Chevrolet</v>
      </c>
      <c r="L2458" s="50">
        <v>19020953.870000001</v>
      </c>
      <c r="M2458" s="50"/>
      <c r="N2458" s="20">
        <f>+Movimientos_2026[[#This Row],[Ingresos]]-Movimientos_2026[[#This Row],[Egresos]]</f>
        <v>19020953.870000001</v>
      </c>
      <c r="O2458" s="20">
        <f>+O2457+Movimientos_2026[[#This Row],[Neto]]</f>
        <v>5011620882.4134569</v>
      </c>
    </row>
    <row r="2459" spans="1:15" x14ac:dyDescent="0.25">
      <c r="A2459" s="13">
        <v>46232</v>
      </c>
      <c r="B2459" s="12">
        <f>MONTH(Movimientos_2026[[#This Row],[Fecha]])</f>
        <v>7</v>
      </c>
      <c r="C2459" s="12" t="str">
        <f>VLOOKUP((WEEKDAY(Movimientos_2026[[#This Row],[Fecha]],2)),'5. Setup'!$D$6:$E$12,2,FALSE)</f>
        <v>Mie</v>
      </c>
      <c r="D2459">
        <v>1044263</v>
      </c>
      <c r="E2459" t="str">
        <f>IFERROR(+VLOOKUP(Movimientos_2026[[#This Row],[Codigo]],Plan_cuentas[],2,FALSE)," ")</f>
        <v>INGRESOS</v>
      </c>
      <c r="F2459" t="str">
        <f>IFERROR(+VLOOKUP(Movimientos_2026[[#This Row],[Codigo]],Plan_cuentas[],3,FALSE)," ")</f>
        <v>Transferencia</v>
      </c>
      <c r="G2459" t="str">
        <f>IFERROR(+VLOOKUP(Movimientos_2026[[#This Row],[Codigo]],Plan_cuentas[],4,FALSE)," ")</f>
        <v>Rentas</v>
      </c>
      <c r="H2459" t="str">
        <f>IFERROR(+VLOOKUP(Movimientos_2026[[#This Row],[Codigo]],Plan_cuentas[],5,FALSE)," ")</f>
        <v>LA PAMPA</v>
      </c>
      <c r="I2459" s="43">
        <v>46174</v>
      </c>
      <c r="J2459" t="s">
        <v>1076</v>
      </c>
      <c r="K2459" t="str">
        <f>IFERROR(+VLOOKUP(Movimientos_2026[[#This Row],[Codigo]],Plan_cuentas[],6,FALSE)," ")</f>
        <v>3 - GM - Chevrolet</v>
      </c>
      <c r="L2459" s="50">
        <v>3829940</v>
      </c>
      <c r="M2459" s="50"/>
      <c r="N2459" s="20">
        <f>+Movimientos_2026[[#This Row],[Ingresos]]-Movimientos_2026[[#This Row],[Egresos]]</f>
        <v>3829940</v>
      </c>
      <c r="O2459" s="20">
        <f>+O2458+Movimientos_2026[[#This Row],[Neto]]</f>
        <v>5015450822.4134569</v>
      </c>
    </row>
    <row r="2460" spans="1:15" x14ac:dyDescent="0.25">
      <c r="A2460" s="13">
        <v>46232</v>
      </c>
      <c r="B2460" s="12">
        <f>MONTH(Movimientos_2026[[#This Row],[Fecha]])</f>
        <v>7</v>
      </c>
      <c r="C2460" s="12" t="str">
        <f>VLOOKUP((WEEKDAY(Movimientos_2026[[#This Row],[Fecha]],2)),'5. Setup'!$D$6:$E$12,2,FALSE)</f>
        <v>Mie</v>
      </c>
      <c r="D2460">
        <v>1044463</v>
      </c>
      <c r="E2460" t="str">
        <f>IFERROR(+VLOOKUP(Movimientos_2026[[#This Row],[Codigo]],Plan_cuentas[],2,FALSE)," ")</f>
        <v>INGRESOS</v>
      </c>
      <c r="F2460" t="str">
        <f>IFERROR(+VLOOKUP(Movimientos_2026[[#This Row],[Codigo]],Plan_cuentas[],3,FALSE)," ")</f>
        <v>Transferencia</v>
      </c>
      <c r="G2460" t="str">
        <f>IFERROR(+VLOOKUP(Movimientos_2026[[#This Row],[Codigo]],Plan_cuentas[],4,FALSE)," ")</f>
        <v>Rentas</v>
      </c>
      <c r="H2460" t="str">
        <f>IFERROR(+VLOOKUP(Movimientos_2026[[#This Row],[Codigo]],Plan_cuentas[],5,FALSE)," ")</f>
        <v>MISIONES</v>
      </c>
      <c r="I2460" s="43">
        <v>46174</v>
      </c>
      <c r="J2460" t="s">
        <v>1076</v>
      </c>
      <c r="K2460" t="str">
        <f>IFERROR(+VLOOKUP(Movimientos_2026[[#This Row],[Codigo]],Plan_cuentas[],6,FALSE)," ")</f>
        <v>3 - GM - Chevrolet</v>
      </c>
      <c r="L2460" s="50">
        <v>4690501.085</v>
      </c>
      <c r="M2460" s="50"/>
      <c r="N2460" s="20">
        <f>+Movimientos_2026[[#This Row],[Ingresos]]-Movimientos_2026[[#This Row],[Egresos]]</f>
        <v>4690501.085</v>
      </c>
      <c r="O2460" s="20">
        <f>+O2459+Movimientos_2026[[#This Row],[Neto]]</f>
        <v>5020141323.498457</v>
      </c>
    </row>
    <row r="2461" spans="1:15" x14ac:dyDescent="0.25">
      <c r="A2461" s="13">
        <v>46232</v>
      </c>
      <c r="B2461" s="12">
        <f>MONTH(Movimientos_2026[[#This Row],[Fecha]])</f>
        <v>7</v>
      </c>
      <c r="C2461" s="12" t="str">
        <f>VLOOKUP((WEEKDAY(Movimientos_2026[[#This Row],[Fecha]],2)),'5. Setup'!$D$6:$E$12,2,FALSE)</f>
        <v>Mie</v>
      </c>
      <c r="D2461">
        <v>1044353</v>
      </c>
      <c r="E2461" t="str">
        <f>IFERROR(+VLOOKUP(Movimientos_2026[[#This Row],[Codigo]],Plan_cuentas[],2,FALSE)," ")</f>
        <v>INGRESOS</v>
      </c>
      <c r="F2461" t="str">
        <f>IFERROR(+VLOOKUP(Movimientos_2026[[#This Row],[Codigo]],Plan_cuentas[],3,FALSE)," ")</f>
        <v>Transferencia</v>
      </c>
      <c r="G2461" t="str">
        <f>IFERROR(+VLOOKUP(Movimientos_2026[[#This Row],[Codigo]],Plan_cuentas[],4,FALSE)," ")</f>
        <v>Rentas</v>
      </c>
      <c r="H2461" t="str">
        <f>IFERROR(+VLOOKUP(Movimientos_2026[[#This Row],[Codigo]],Plan_cuentas[],5,FALSE)," ")</f>
        <v>SAN JUAN</v>
      </c>
      <c r="I2461" s="43">
        <v>46174</v>
      </c>
      <c r="J2461" t="s">
        <v>1076</v>
      </c>
      <c r="K2461" t="str">
        <f>IFERROR(+VLOOKUP(Movimientos_2026[[#This Row],[Codigo]],Plan_cuentas[],6,FALSE)," ")</f>
        <v>3 - GM - Chevrolet</v>
      </c>
      <c r="L2461" s="50">
        <v>10258300.0944</v>
      </c>
      <c r="M2461" s="50"/>
      <c r="N2461" s="20">
        <f>+Movimientos_2026[[#This Row],[Ingresos]]-Movimientos_2026[[#This Row],[Egresos]]</f>
        <v>10258300.0944</v>
      </c>
      <c r="O2461" s="20">
        <f>+O2460+Movimientos_2026[[#This Row],[Neto]]</f>
        <v>5030399623.5928574</v>
      </c>
    </row>
    <row r="2462" spans="1:15" x14ac:dyDescent="0.25">
      <c r="A2462" s="13">
        <v>46232</v>
      </c>
      <c r="B2462" s="12">
        <f>MONTH(Movimientos_2026[[#This Row],[Fecha]])</f>
        <v>7</v>
      </c>
      <c r="C2462" s="12" t="str">
        <f>VLOOKUP((WEEKDAY(Movimientos_2026[[#This Row],[Fecha]],2)),'5. Setup'!$D$6:$E$12,2,FALSE)</f>
        <v>Mie</v>
      </c>
      <c r="D2462">
        <v>1044363</v>
      </c>
      <c r="E2462" t="str">
        <f>IFERROR(+VLOOKUP(Movimientos_2026[[#This Row],[Codigo]],Plan_cuentas[],2,FALSE)," ")</f>
        <v>INGRESOS</v>
      </c>
      <c r="F2462" t="str">
        <f>IFERROR(+VLOOKUP(Movimientos_2026[[#This Row],[Codigo]],Plan_cuentas[],3,FALSE)," ")</f>
        <v>Transferencia</v>
      </c>
      <c r="G2462" t="str">
        <f>IFERROR(+VLOOKUP(Movimientos_2026[[#This Row],[Codigo]],Plan_cuentas[],4,FALSE)," ")</f>
        <v>Rentas</v>
      </c>
      <c r="H2462" t="str">
        <f>IFERROR(+VLOOKUP(Movimientos_2026[[#This Row],[Codigo]],Plan_cuentas[],5,FALSE)," ")</f>
        <v>SAN LUIS</v>
      </c>
      <c r="I2462" s="43">
        <v>46174</v>
      </c>
      <c r="J2462" t="s">
        <v>1076</v>
      </c>
      <c r="K2462" t="str">
        <f>IFERROR(+VLOOKUP(Movimientos_2026[[#This Row],[Codigo]],Plan_cuentas[],6,FALSE)," ")</f>
        <v>3 - GM - Chevrolet</v>
      </c>
      <c r="L2462" s="50">
        <v>16554071.676000001</v>
      </c>
      <c r="M2462" s="50"/>
      <c r="N2462" s="20">
        <f>+Movimientos_2026[[#This Row],[Ingresos]]-Movimientos_2026[[#This Row],[Egresos]]</f>
        <v>16554071.676000001</v>
      </c>
      <c r="O2462" s="20">
        <f>+O2461+Movimientos_2026[[#This Row],[Neto]]</f>
        <v>5046953695.268857</v>
      </c>
    </row>
    <row r="2463" spans="1:15" x14ac:dyDescent="0.25">
      <c r="A2463" s="13">
        <v>46232</v>
      </c>
      <c r="B2463" s="12">
        <f>MONTH(Movimientos_2026[[#This Row],[Fecha]])</f>
        <v>7</v>
      </c>
      <c r="C2463" s="12" t="str">
        <f>VLOOKUP((WEEKDAY(Movimientos_2026[[#This Row],[Fecha]],2)),'5. Setup'!$D$6:$E$12,2,FALSE)</f>
        <v>Mie</v>
      </c>
      <c r="D2463">
        <v>1044403</v>
      </c>
      <c r="E2463" t="str">
        <f>IFERROR(+VLOOKUP(Movimientos_2026[[#This Row],[Codigo]],Plan_cuentas[],2,FALSE)," ")</f>
        <v>INGRESOS</v>
      </c>
      <c r="F2463" t="str">
        <f>IFERROR(+VLOOKUP(Movimientos_2026[[#This Row],[Codigo]],Plan_cuentas[],3,FALSE)," ")</f>
        <v>Transferencia</v>
      </c>
      <c r="G2463" t="str">
        <f>IFERROR(+VLOOKUP(Movimientos_2026[[#This Row],[Codigo]],Plan_cuentas[],4,FALSE)," ")</f>
        <v>Rentas</v>
      </c>
      <c r="H2463" t="str">
        <f>IFERROR(+VLOOKUP(Movimientos_2026[[#This Row],[Codigo]],Plan_cuentas[],5,FALSE)," ")</f>
        <v>SANTIAGO DEL ESTERO</v>
      </c>
      <c r="I2463" s="43">
        <v>46174</v>
      </c>
      <c r="J2463" t="s">
        <v>1076</v>
      </c>
      <c r="K2463" t="str">
        <f>IFERROR(+VLOOKUP(Movimientos_2026[[#This Row],[Codigo]],Plan_cuentas[],6,FALSE)," ")</f>
        <v>3 - GM - Chevrolet</v>
      </c>
      <c r="L2463" s="50">
        <v>17041059.16</v>
      </c>
      <c r="M2463" s="50"/>
      <c r="N2463" s="20">
        <f>+Movimientos_2026[[#This Row],[Ingresos]]-Movimientos_2026[[#This Row],[Egresos]]</f>
        <v>17041059.16</v>
      </c>
      <c r="O2463" s="20">
        <f>+O2462+Movimientos_2026[[#This Row],[Neto]]</f>
        <v>5063994754.4288568</v>
      </c>
    </row>
    <row r="2464" spans="1:15" x14ac:dyDescent="0.25">
      <c r="A2464" s="13">
        <v>46232</v>
      </c>
      <c r="B2464" s="12">
        <f>MONTH(Movimientos_2026[[#This Row],[Fecha]])</f>
        <v>7</v>
      </c>
      <c r="C2464" s="12" t="str">
        <f>VLOOKUP((WEEKDAY(Movimientos_2026[[#This Row],[Fecha]],2)),'5. Setup'!$D$6:$E$12,2,FALSE)</f>
        <v>Mie</v>
      </c>
      <c r="D2464">
        <v>1044413</v>
      </c>
      <c r="E2464" t="str">
        <f>IFERROR(+VLOOKUP(Movimientos_2026[[#This Row],[Codigo]],Plan_cuentas[],2,FALSE)," ")</f>
        <v>INGRESOS</v>
      </c>
      <c r="F2464" t="str">
        <f>IFERROR(+VLOOKUP(Movimientos_2026[[#This Row],[Codigo]],Plan_cuentas[],3,FALSE)," ")</f>
        <v>Transferencia</v>
      </c>
      <c r="G2464" t="str">
        <f>IFERROR(+VLOOKUP(Movimientos_2026[[#This Row],[Codigo]],Plan_cuentas[],4,FALSE)," ")</f>
        <v>Rentas</v>
      </c>
      <c r="H2464" t="str">
        <f>IFERROR(+VLOOKUP(Movimientos_2026[[#This Row],[Codigo]],Plan_cuentas[],5,FALSE)," ")</f>
        <v>TIERRA DEL FUEGO</v>
      </c>
      <c r="I2464" s="43">
        <v>46174</v>
      </c>
      <c r="J2464" t="s">
        <v>1076</v>
      </c>
      <c r="K2464" t="str">
        <f>IFERROR(+VLOOKUP(Movimientos_2026[[#This Row],[Codigo]],Plan_cuentas[],6,FALSE)," ")</f>
        <v>3 - GM - Chevrolet</v>
      </c>
      <c r="L2464" s="50">
        <v>6197929</v>
      </c>
      <c r="M2464" s="50"/>
      <c r="N2464" s="20">
        <f>+Movimientos_2026[[#This Row],[Ingresos]]-Movimientos_2026[[#This Row],[Egresos]]</f>
        <v>6197929</v>
      </c>
      <c r="O2464" s="20">
        <f>+O2463+Movimientos_2026[[#This Row],[Neto]]</f>
        <v>5070192683.4288568</v>
      </c>
    </row>
    <row r="2465" spans="1:15" x14ac:dyDescent="0.25">
      <c r="A2465" s="13">
        <v>46232</v>
      </c>
      <c r="B2465" s="12">
        <f>MONTH(Movimientos_2026[[#This Row],[Fecha]])</f>
        <v>7</v>
      </c>
      <c r="C2465" s="12" t="str">
        <f>VLOOKUP((WEEKDAY(Movimientos_2026[[#This Row],[Fecha]],2)),'5. Setup'!$D$6:$E$12,2,FALSE)</f>
        <v>Mie</v>
      </c>
      <c r="D2465">
        <v>1041133</v>
      </c>
      <c r="E2465" t="str">
        <f>IFERROR(+VLOOKUP(Movimientos_2026[[#This Row],[Codigo]],Plan_cuentas[],2,FALSE)," ")</f>
        <v>INGRESOS</v>
      </c>
      <c r="F2465" t="str">
        <f>IFERROR(+VLOOKUP(Movimientos_2026[[#This Row],[Codigo]],Plan_cuentas[],3,FALSE)," ")</f>
        <v>Transferencia</v>
      </c>
      <c r="G2465" t="str">
        <f>IFERROR(+VLOOKUP(Movimientos_2026[[#This Row],[Codigo]],Plan_cuentas[],4,FALSE)," ")</f>
        <v>Entidades co-participadas</v>
      </c>
      <c r="H2465" t="str">
        <f>IFERROR(+VLOOKUP(Movimientos_2026[[#This Row],[Codigo]],Plan_cuentas[],5,FALSE)," ")</f>
        <v>BCLP</v>
      </c>
      <c r="I2465" s="43">
        <v>46174</v>
      </c>
      <c r="J2465" t="s">
        <v>1076</v>
      </c>
      <c r="K2465" t="str">
        <f>IFERROR(+VLOOKUP(Movimientos_2026[[#This Row],[Codigo]],Plan_cuentas[],6,FALSE)," ")</f>
        <v>3 - GM - Chevrolet</v>
      </c>
      <c r="L2465" s="50">
        <v>5697864.3700000001</v>
      </c>
      <c r="M2465" s="50"/>
      <c r="N2465" s="20">
        <f>+Movimientos_2026[[#This Row],[Ingresos]]-Movimientos_2026[[#This Row],[Egresos]]</f>
        <v>5697864.3700000001</v>
      </c>
      <c r="O2465" s="20">
        <f>+O2464+Movimientos_2026[[#This Row],[Neto]]</f>
        <v>5075890547.7988567</v>
      </c>
    </row>
    <row r="2466" spans="1:15" x14ac:dyDescent="0.25">
      <c r="A2466" s="13">
        <v>46232</v>
      </c>
      <c r="B2466" s="12">
        <f>MONTH(Movimientos_2026[[#This Row],[Fecha]])</f>
        <v>7</v>
      </c>
      <c r="C2466" s="12" t="str">
        <f>VLOOKUP((WEEKDAY(Movimientos_2026[[#This Row],[Fecha]],2)),'5. Setup'!$D$6:$E$12,2,FALSE)</f>
        <v>Mie</v>
      </c>
      <c r="D2466">
        <v>1041443</v>
      </c>
      <c r="E2466" t="str">
        <f>IFERROR(+VLOOKUP(Movimientos_2026[[#This Row],[Codigo]],Plan_cuentas[],2,FALSE)," ")</f>
        <v>INGRESOS</v>
      </c>
      <c r="F2466" t="str">
        <f>IFERROR(+VLOOKUP(Movimientos_2026[[#This Row],[Codigo]],Plan_cuentas[],3,FALSE)," ")</f>
        <v>Transferencia</v>
      </c>
      <c r="G2466" t="str">
        <f>IFERROR(+VLOOKUP(Movimientos_2026[[#This Row],[Codigo]],Plan_cuentas[],4,FALSE)," ")</f>
        <v>Entidades co-participadas</v>
      </c>
      <c r="H2466" t="str">
        <f>IFERROR(+VLOOKUP(Movimientos_2026[[#This Row],[Codigo]],Plan_cuentas[],5,FALSE)," ")</f>
        <v>UISCUMARR</v>
      </c>
      <c r="I2466" s="43">
        <v>46174</v>
      </c>
      <c r="J2466" t="s">
        <v>1076</v>
      </c>
      <c r="K2466" t="str">
        <f>IFERROR(+VLOOKUP(Movimientos_2026[[#This Row],[Codigo]],Plan_cuentas[],6,FALSE)," ")</f>
        <v>3 - GM - Chevrolet</v>
      </c>
      <c r="L2466" s="50">
        <v>31088766.829999998</v>
      </c>
      <c r="M2466" s="50"/>
      <c r="N2466" s="20">
        <f>+Movimientos_2026[[#This Row],[Ingresos]]-Movimientos_2026[[#This Row],[Egresos]]</f>
        <v>31088766.829999998</v>
      </c>
      <c r="O2466" s="20">
        <f>+O2465+Movimientos_2026[[#This Row],[Neto]]</f>
        <v>5106979314.6288567</v>
      </c>
    </row>
    <row r="2467" spans="1:15" x14ac:dyDescent="0.25">
      <c r="A2467" s="13">
        <v>46232</v>
      </c>
      <c r="B2467" s="12">
        <f>MONTH(Movimientos_2026[[#This Row],[Fecha]])</f>
        <v>7</v>
      </c>
      <c r="C2467" s="12" t="str">
        <f>VLOOKUP((WEEKDAY(Movimientos_2026[[#This Row],[Fecha]],2)),'5. Setup'!$D$6:$E$12,2,FALSE)</f>
        <v>Mie</v>
      </c>
      <c r="D2467">
        <v>1043143</v>
      </c>
      <c r="E2467" t="str">
        <f>IFERROR(+VLOOKUP(Movimientos_2026[[#This Row],[Codigo]],Plan_cuentas[],2,FALSE)," ")</f>
        <v>INGRESOS</v>
      </c>
      <c r="F2467" t="str">
        <f>IFERROR(+VLOOKUP(Movimientos_2026[[#This Row],[Codigo]],Plan_cuentas[],3,FALSE)," ")</f>
        <v>Transferencia</v>
      </c>
      <c r="G2467" t="str">
        <f>IFERROR(+VLOOKUP(Movimientos_2026[[#This Row],[Codigo]],Plan_cuentas[],4,FALSE)," ")</f>
        <v>Registración</v>
      </c>
      <c r="H2467" t="str">
        <f>IFERROR(+VLOOKUP(Movimientos_2026[[#This Row],[Codigo]],Plan_cuentas[],5,FALSE)," ")</f>
        <v>BUENOS AIRES</v>
      </c>
      <c r="I2467" s="43">
        <v>46174</v>
      </c>
      <c r="J2467" t="s">
        <v>1076</v>
      </c>
      <c r="K2467" t="str">
        <f>IFERROR(+VLOOKUP(Movimientos_2026[[#This Row],[Codigo]],Plan_cuentas[],6,FALSE)," ")</f>
        <v>3 - GM - Chevrolet</v>
      </c>
      <c r="L2467" s="50">
        <v>286783762.125</v>
      </c>
      <c r="M2467" s="50"/>
      <c r="N2467" s="20">
        <f>+Movimientos_2026[[#This Row],[Ingresos]]-Movimientos_2026[[#This Row],[Egresos]]</f>
        <v>286783762.125</v>
      </c>
      <c r="O2467" s="20">
        <f>+O2466+Movimientos_2026[[#This Row],[Neto]]</f>
        <v>5393763076.7538567</v>
      </c>
    </row>
    <row r="2468" spans="1:15" x14ac:dyDescent="0.25">
      <c r="A2468" s="13">
        <v>46232</v>
      </c>
      <c r="B2468" s="12">
        <f>MONTH(Movimientos_2026[[#This Row],[Fecha]])</f>
        <v>7</v>
      </c>
      <c r="C2468" s="12" t="str">
        <f>VLOOKUP((WEEKDAY(Movimientos_2026[[#This Row],[Fecha]],2)),'5. Setup'!$D$6:$E$12,2,FALSE)</f>
        <v>Mie</v>
      </c>
      <c r="D2468">
        <v>1043153</v>
      </c>
      <c r="E2468" t="str">
        <f>IFERROR(+VLOOKUP(Movimientos_2026[[#This Row],[Codigo]],Plan_cuentas[],2,FALSE)," ")</f>
        <v>INGRESOS</v>
      </c>
      <c r="F2468" t="str">
        <f>IFERROR(+VLOOKUP(Movimientos_2026[[#This Row],[Codigo]],Plan_cuentas[],3,FALSE)," ")</f>
        <v>Transferencia</v>
      </c>
      <c r="G2468" t="str">
        <f>IFERROR(+VLOOKUP(Movimientos_2026[[#This Row],[Codigo]],Plan_cuentas[],4,FALSE)," ")</f>
        <v>Registración</v>
      </c>
      <c r="H2468" t="str">
        <f>IFERROR(+VLOOKUP(Movimientos_2026[[#This Row],[Codigo]],Plan_cuentas[],5,FALSE)," ")</f>
        <v>CABA</v>
      </c>
      <c r="I2468" s="43">
        <v>46174</v>
      </c>
      <c r="J2468" t="s">
        <v>1076</v>
      </c>
      <c r="K2468" t="str">
        <f>IFERROR(+VLOOKUP(Movimientos_2026[[#This Row],[Codigo]],Plan_cuentas[],6,FALSE)," ")</f>
        <v>3 - GM - Chevrolet</v>
      </c>
      <c r="L2468" s="50">
        <v>81623.47</v>
      </c>
      <c r="M2468" s="50"/>
      <c r="N2468" s="20">
        <f>+Movimientos_2026[[#This Row],[Ingresos]]-Movimientos_2026[[#This Row],[Egresos]]</f>
        <v>81623.47</v>
      </c>
      <c r="O2468" s="20">
        <f>+O2467+Movimientos_2026[[#This Row],[Neto]]</f>
        <v>5393844700.2238569</v>
      </c>
    </row>
    <row r="2469" spans="1:15" x14ac:dyDescent="0.25">
      <c r="A2469" s="13">
        <v>46232</v>
      </c>
      <c r="B2469" s="12">
        <f>MONTH(Movimientos_2026[[#This Row],[Fecha]])</f>
        <v>7</v>
      </c>
      <c r="C2469" s="12" t="str">
        <f>VLOOKUP((WEEKDAY(Movimientos_2026[[#This Row],[Fecha]],2)),'5. Setup'!$D$6:$E$12,2,FALSE)</f>
        <v>Mie</v>
      </c>
      <c r="D2469">
        <v>1043393</v>
      </c>
      <c r="E2469" t="str">
        <f>IFERROR(+VLOOKUP(Movimientos_2026[[#This Row],[Codigo]],Plan_cuentas[],2,FALSE)," ")</f>
        <v>INGRESOS</v>
      </c>
      <c r="F2469" t="str">
        <f>IFERROR(+VLOOKUP(Movimientos_2026[[#This Row],[Codigo]],Plan_cuentas[],3,FALSE)," ")</f>
        <v>Transferencia</v>
      </c>
      <c r="G2469" t="str">
        <f>IFERROR(+VLOOKUP(Movimientos_2026[[#This Row],[Codigo]],Plan_cuentas[],4,FALSE)," ")</f>
        <v>Registración</v>
      </c>
      <c r="H2469" t="str">
        <f>IFERROR(+VLOOKUP(Movimientos_2026[[#This Row],[Codigo]],Plan_cuentas[],5,FALSE)," ")</f>
        <v>SANTA FE 2° Q</v>
      </c>
      <c r="I2469" s="43">
        <v>46174</v>
      </c>
      <c r="J2469" t="s">
        <v>1076</v>
      </c>
      <c r="K2469" t="str">
        <f>IFERROR(+VLOOKUP(Movimientos_2026[[#This Row],[Codigo]],Plan_cuentas[],6,FALSE)," ")</f>
        <v>3 - GM - Chevrolet</v>
      </c>
      <c r="L2469" s="50">
        <v>19294.634999997899</v>
      </c>
      <c r="M2469" s="50"/>
      <c r="N2469" s="20">
        <f>+Movimientos_2026[[#This Row],[Ingresos]]-Movimientos_2026[[#This Row],[Egresos]]</f>
        <v>19294.634999997899</v>
      </c>
      <c r="O2469" s="20">
        <f>+O2468+Movimientos_2026[[#This Row],[Neto]]</f>
        <v>5393863994.8588572</v>
      </c>
    </row>
    <row r="2470" spans="1:15" x14ac:dyDescent="0.25">
      <c r="A2470" s="13">
        <v>46232</v>
      </c>
      <c r="B2470" s="12">
        <f>MONTH(Movimientos_2026[[#This Row],[Fecha]])</f>
        <v>7</v>
      </c>
      <c r="C2470" s="12" t="str">
        <f>VLOOKUP((WEEKDAY(Movimientos_2026[[#This Row],[Fecha]],2)),'5. Setup'!$D$6:$E$12,2,FALSE)</f>
        <v>Mie</v>
      </c>
      <c r="D2470">
        <v>1044263</v>
      </c>
      <c r="E2470" t="str">
        <f>IFERROR(+VLOOKUP(Movimientos_2026[[#This Row],[Codigo]],Plan_cuentas[],2,FALSE)," ")</f>
        <v>INGRESOS</v>
      </c>
      <c r="F2470" t="str">
        <f>IFERROR(+VLOOKUP(Movimientos_2026[[#This Row],[Codigo]],Plan_cuentas[],3,FALSE)," ")</f>
        <v>Transferencia</v>
      </c>
      <c r="G2470" t="str">
        <f>IFERROR(+VLOOKUP(Movimientos_2026[[#This Row],[Codigo]],Plan_cuentas[],4,FALSE)," ")</f>
        <v>Rentas</v>
      </c>
      <c r="H2470" t="str">
        <f>IFERROR(+VLOOKUP(Movimientos_2026[[#This Row],[Codigo]],Plan_cuentas[],5,FALSE)," ")</f>
        <v>LA PAMPA</v>
      </c>
      <c r="I2470" s="43">
        <v>46174</v>
      </c>
      <c r="J2470" t="s">
        <v>1076</v>
      </c>
      <c r="K2470" t="str">
        <f>IFERROR(+VLOOKUP(Movimientos_2026[[#This Row],[Codigo]],Plan_cuentas[],6,FALSE)," ")</f>
        <v>3 - GM - Chevrolet</v>
      </c>
      <c r="L2470" s="50">
        <v>1915651.73</v>
      </c>
      <c r="M2470" s="50"/>
      <c r="N2470" s="20">
        <f>+Movimientos_2026[[#This Row],[Ingresos]]-Movimientos_2026[[#This Row],[Egresos]]</f>
        <v>1915651.73</v>
      </c>
      <c r="O2470" s="20">
        <f>+O2469+Movimientos_2026[[#This Row],[Neto]]</f>
        <v>5395779646.5888567</v>
      </c>
    </row>
    <row r="2471" spans="1:15" x14ac:dyDescent="0.25">
      <c r="A2471" s="13">
        <v>46232</v>
      </c>
      <c r="B2471" s="12">
        <f>MONTH(Movimientos_2026[[#This Row],[Fecha]])</f>
        <v>7</v>
      </c>
      <c r="C2471" s="12" t="str">
        <f>VLOOKUP((WEEKDAY(Movimientos_2026[[#This Row],[Fecha]],2)),'5. Setup'!$D$6:$E$12,2,FALSE)</f>
        <v>Mie</v>
      </c>
      <c r="D2471">
        <v>1044463</v>
      </c>
      <c r="E2471" t="str">
        <f>IFERROR(+VLOOKUP(Movimientos_2026[[#This Row],[Codigo]],Plan_cuentas[],2,FALSE)," ")</f>
        <v>INGRESOS</v>
      </c>
      <c r="F2471" t="str">
        <f>IFERROR(+VLOOKUP(Movimientos_2026[[#This Row],[Codigo]],Plan_cuentas[],3,FALSE)," ")</f>
        <v>Transferencia</v>
      </c>
      <c r="G2471" t="str">
        <f>IFERROR(+VLOOKUP(Movimientos_2026[[#This Row],[Codigo]],Plan_cuentas[],4,FALSE)," ")</f>
        <v>Rentas</v>
      </c>
      <c r="H2471" t="str">
        <f>IFERROR(+VLOOKUP(Movimientos_2026[[#This Row],[Codigo]],Plan_cuentas[],5,FALSE)," ")</f>
        <v>MISIONES</v>
      </c>
      <c r="I2471" s="43">
        <v>46174</v>
      </c>
      <c r="J2471" t="s">
        <v>1076</v>
      </c>
      <c r="K2471" t="str">
        <f>IFERROR(+VLOOKUP(Movimientos_2026[[#This Row],[Codigo]],Plan_cuentas[],6,FALSE)," ")</f>
        <v>3 - GM - Chevrolet</v>
      </c>
      <c r="L2471" s="50">
        <v>764888.04</v>
      </c>
      <c r="M2471" s="50"/>
      <c r="N2471" s="20">
        <f>+Movimientos_2026[[#This Row],[Ingresos]]-Movimientos_2026[[#This Row],[Egresos]]</f>
        <v>764888.04</v>
      </c>
      <c r="O2471" s="20">
        <f>+O2470+Movimientos_2026[[#This Row],[Neto]]</f>
        <v>5396544534.6288567</v>
      </c>
    </row>
    <row r="2472" spans="1:15" x14ac:dyDescent="0.25">
      <c r="A2472" s="13">
        <v>46233</v>
      </c>
      <c r="B2472" s="12">
        <f>MONTH(Movimientos_2026[[#This Row],[Fecha]])</f>
        <v>7</v>
      </c>
      <c r="C2472" s="12" t="str">
        <f>VLOOKUP((WEEKDAY(Movimientos_2026[[#This Row],[Fecha]],2)),'5. Setup'!$D$6:$E$12,2,FALSE)</f>
        <v>Jue</v>
      </c>
      <c r="D2472">
        <v>1044485</v>
      </c>
      <c r="E2472" t="str">
        <f>IFERROR(+VLOOKUP(Movimientos_2026[[#This Row],[Codigo]],Plan_cuentas[],2,FALSE)," ")</f>
        <v>INGRESOS</v>
      </c>
      <c r="F2472" t="str">
        <f>IFERROR(+VLOOKUP(Movimientos_2026[[#This Row],[Codigo]],Plan_cuentas[],3,FALSE)," ")</f>
        <v>Transferencia</v>
      </c>
      <c r="G2472" t="str">
        <f>IFERROR(+VLOOKUP(Movimientos_2026[[#This Row],[Codigo]],Plan_cuentas[],4,FALSE)," ")</f>
        <v>Factura</v>
      </c>
      <c r="H2472" t="str">
        <f>IFERROR(+VLOOKUP(Movimientos_2026[[#This Row],[Codigo]],Plan_cuentas[],5,FALSE)," ")</f>
        <v>FC TRAMITACION</v>
      </c>
      <c r="I2472" s="43">
        <v>46143</v>
      </c>
      <c r="J2472" t="s">
        <v>1077</v>
      </c>
      <c r="K2472" t="str">
        <f>IFERROR(+VLOOKUP(Movimientos_2026[[#This Row],[Codigo]],Plan_cuentas[],6,FALSE)," ")</f>
        <v>5 - YAM - Yamaha</v>
      </c>
      <c r="L2472" s="50">
        <v>3433488</v>
      </c>
      <c r="M2472" s="50"/>
      <c r="N2472" s="20">
        <f>+Movimientos_2026[[#This Row],[Ingresos]]-Movimientos_2026[[#This Row],[Egresos]]</f>
        <v>3433488</v>
      </c>
      <c r="O2472" s="20">
        <f>+O2471+Movimientos_2026[[#This Row],[Neto]]</f>
        <v>5399978022.6288567</v>
      </c>
    </row>
    <row r="2473" spans="1:15" x14ac:dyDescent="0.25">
      <c r="A2473" s="13">
        <v>46233</v>
      </c>
      <c r="B2473" s="12">
        <f>MONTH(Movimientos_2026[[#This Row],[Fecha]])</f>
        <v>7</v>
      </c>
      <c r="C2473" s="12" t="str">
        <f>VLOOKUP((WEEKDAY(Movimientos_2026[[#This Row],[Fecha]],2)),'5. Setup'!$D$6:$E$12,2,FALSE)</f>
        <v>Jue</v>
      </c>
      <c r="D2473">
        <v>1045451</v>
      </c>
      <c r="E2473" t="str">
        <f>IFERROR(+VLOOKUP(Movimientos_2026[[#This Row],[Codigo]],Plan_cuentas[],2,FALSE)," ")</f>
        <v>INGRESOS</v>
      </c>
      <c r="F2473" t="str">
        <f>IFERROR(+VLOOKUP(Movimientos_2026[[#This Row],[Codigo]],Plan_cuentas[],3,FALSE)," ")</f>
        <v>Transferencia</v>
      </c>
      <c r="G2473" t="str">
        <f>IFERROR(+VLOOKUP(Movimientos_2026[[#This Row],[Codigo]],Plan_cuentas[],4,FALSE)," ")</f>
        <v>Factura</v>
      </c>
      <c r="H2473" t="str">
        <f>IFERROR(+VLOOKUP(Movimientos_2026[[#This Row],[Codigo]],Plan_cuentas[],5,FALSE)," ")</f>
        <v>FC DERECHOS</v>
      </c>
      <c r="I2473" s="43">
        <v>46174</v>
      </c>
      <c r="J2473" t="s">
        <v>1078</v>
      </c>
      <c r="K2473" t="str">
        <f>IFERROR(+VLOOKUP(Movimientos_2026[[#This Row],[Codigo]],Plan_cuentas[],6,FALSE)," ")</f>
        <v>1 - VW - Volkswagen</v>
      </c>
      <c r="L2473" s="50">
        <v>29974752.510000002</v>
      </c>
      <c r="M2473" s="50"/>
      <c r="N2473" s="20">
        <f>+Movimientos_2026[[#This Row],[Ingresos]]-Movimientos_2026[[#This Row],[Egresos]]</f>
        <v>29974752.510000002</v>
      </c>
      <c r="O2473" s="20">
        <f>+O2472+Movimientos_2026[[#This Row],[Neto]]</f>
        <v>5429952775.1388569</v>
      </c>
    </row>
    <row r="2474" spans="1:15" x14ac:dyDescent="0.25">
      <c r="A2474" s="13">
        <v>46233</v>
      </c>
      <c r="B2474" s="12">
        <f>MONTH(Movimientos_2026[[#This Row],[Fecha]])</f>
        <v>7</v>
      </c>
      <c r="C2474" s="12" t="str">
        <f>VLOOKUP((WEEKDAY(Movimientos_2026[[#This Row],[Fecha]],2)),'5. Setup'!$D$6:$E$12,2,FALSE)</f>
        <v>Jue</v>
      </c>
      <c r="D2474">
        <v>1043151</v>
      </c>
      <c r="E2474" t="str">
        <f>IFERROR(+VLOOKUP(Movimientos_2026[[#This Row],[Codigo]],Plan_cuentas[],2,FALSE)," ")</f>
        <v>INGRESOS</v>
      </c>
      <c r="F2474" t="str">
        <f>IFERROR(+VLOOKUP(Movimientos_2026[[#This Row],[Codigo]],Plan_cuentas[],3,FALSE)," ")</f>
        <v>Transferencia</v>
      </c>
      <c r="G2474" t="str">
        <f>IFERROR(+VLOOKUP(Movimientos_2026[[#This Row],[Codigo]],Plan_cuentas[],4,FALSE)," ")</f>
        <v>Registración</v>
      </c>
      <c r="H2474" t="str">
        <f>IFERROR(+VLOOKUP(Movimientos_2026[[#This Row],[Codigo]],Plan_cuentas[],5,FALSE)," ")</f>
        <v>CABA</v>
      </c>
      <c r="I2474" s="43">
        <v>46174</v>
      </c>
      <c r="J2474" t="s">
        <v>1079</v>
      </c>
      <c r="K2474" t="str">
        <f>IFERROR(+VLOOKUP(Movimientos_2026[[#This Row],[Codigo]],Plan_cuentas[],6,FALSE)," ")</f>
        <v>1 - VW - Volkswagen</v>
      </c>
      <c r="L2474" s="50">
        <v>23874897.309999999</v>
      </c>
      <c r="M2474" s="50"/>
      <c r="N2474" s="20">
        <f>+Movimientos_2026[[#This Row],[Ingresos]]-Movimientos_2026[[#This Row],[Egresos]]</f>
        <v>23874897.309999999</v>
      </c>
      <c r="O2474" s="20">
        <f>+O2473+Movimientos_2026[[#This Row],[Neto]]</f>
        <v>5453827672.4488573</v>
      </c>
    </row>
    <row r="2475" spans="1:15" x14ac:dyDescent="0.25">
      <c r="A2475" s="13">
        <v>46233</v>
      </c>
      <c r="B2475" s="12">
        <f>MONTH(Movimientos_2026[[#This Row],[Fecha]])</f>
        <v>7</v>
      </c>
      <c r="C2475" s="12" t="str">
        <f>VLOOKUP((WEEKDAY(Movimientos_2026[[#This Row],[Fecha]],2)),'5. Setup'!$D$6:$E$12,2,FALSE)</f>
        <v>Jue</v>
      </c>
      <c r="D2475">
        <v>1043231</v>
      </c>
      <c r="E2475" t="str">
        <f>IFERROR(+VLOOKUP(Movimientos_2026[[#This Row],[Codigo]],Plan_cuentas[],2,FALSE)," ")</f>
        <v>INGRESOS</v>
      </c>
      <c r="F2475" t="str">
        <f>IFERROR(+VLOOKUP(Movimientos_2026[[#This Row],[Codigo]],Plan_cuentas[],3,FALSE)," ")</f>
        <v>Transferencia</v>
      </c>
      <c r="G2475" t="str">
        <f>IFERROR(+VLOOKUP(Movimientos_2026[[#This Row],[Codigo]],Plan_cuentas[],4,FALSE)," ")</f>
        <v>Registración</v>
      </c>
      <c r="H2475" t="str">
        <f>IFERROR(+VLOOKUP(Movimientos_2026[[#This Row],[Codigo]],Plan_cuentas[],5,FALSE)," ")</f>
        <v>ENTRE RIOS 2° Q</v>
      </c>
      <c r="I2475" s="43">
        <v>46174</v>
      </c>
      <c r="J2475" t="s">
        <v>1079</v>
      </c>
      <c r="K2475" t="str">
        <f>IFERROR(+VLOOKUP(Movimientos_2026[[#This Row],[Codigo]],Plan_cuentas[],6,FALSE)," ")</f>
        <v>1 - VW - Volkswagen</v>
      </c>
      <c r="L2475" s="50">
        <v>8962377</v>
      </c>
      <c r="M2475" s="50"/>
      <c r="N2475" s="20">
        <f>+Movimientos_2026[[#This Row],[Ingresos]]-Movimientos_2026[[#This Row],[Egresos]]</f>
        <v>8962377</v>
      </c>
      <c r="O2475" s="20">
        <f>+O2474+Movimientos_2026[[#This Row],[Neto]]</f>
        <v>5462790049.4488573</v>
      </c>
    </row>
    <row r="2476" spans="1:15" x14ac:dyDescent="0.25">
      <c r="A2476" s="13">
        <v>46233</v>
      </c>
      <c r="B2476" s="12">
        <f>MONTH(Movimientos_2026[[#This Row],[Fecha]])</f>
        <v>7</v>
      </c>
      <c r="C2476" s="12" t="str">
        <f>VLOOKUP((WEEKDAY(Movimientos_2026[[#This Row],[Fecha]],2)),'5. Setup'!$D$6:$E$12,2,FALSE)</f>
        <v>Jue</v>
      </c>
      <c r="D2476">
        <v>1043341</v>
      </c>
      <c r="E2476" t="str">
        <f>IFERROR(+VLOOKUP(Movimientos_2026[[#This Row],[Codigo]],Plan_cuentas[],2,FALSE)," ")</f>
        <v>INGRESOS</v>
      </c>
      <c r="F2476" t="str">
        <f>IFERROR(+VLOOKUP(Movimientos_2026[[#This Row],[Codigo]],Plan_cuentas[],3,FALSE)," ")</f>
        <v>Transferencia</v>
      </c>
      <c r="G2476" t="str">
        <f>IFERROR(+VLOOKUP(Movimientos_2026[[#This Row],[Codigo]],Plan_cuentas[],4,FALSE)," ")</f>
        <v>Registración</v>
      </c>
      <c r="H2476" t="str">
        <f>IFERROR(+VLOOKUP(Movimientos_2026[[#This Row],[Codigo]],Plan_cuentas[],5,FALSE)," ")</f>
        <v>RIO NEGRO</v>
      </c>
      <c r="I2476" s="43">
        <v>46174</v>
      </c>
      <c r="J2476" t="s">
        <v>1079</v>
      </c>
      <c r="K2476" t="str">
        <f>IFERROR(+VLOOKUP(Movimientos_2026[[#This Row],[Codigo]],Plan_cuentas[],6,FALSE)," ")</f>
        <v>1 - VW - Volkswagen</v>
      </c>
      <c r="L2476" s="50">
        <v>15141894.02</v>
      </c>
      <c r="M2476" s="50"/>
      <c r="N2476" s="20">
        <f>+Movimientos_2026[[#This Row],[Ingresos]]-Movimientos_2026[[#This Row],[Egresos]]</f>
        <v>15141894.02</v>
      </c>
      <c r="O2476" s="20">
        <f>+O2475+Movimientos_2026[[#This Row],[Neto]]</f>
        <v>5477931943.4688578</v>
      </c>
    </row>
    <row r="2477" spans="1:15" x14ac:dyDescent="0.25">
      <c r="A2477" s="13">
        <v>46233</v>
      </c>
      <c r="B2477" s="12">
        <f>MONTH(Movimientos_2026[[#This Row],[Fecha]])</f>
        <v>7</v>
      </c>
      <c r="C2477" s="12" t="str">
        <f>VLOOKUP((WEEKDAY(Movimientos_2026[[#This Row],[Fecha]],2)),'5. Setup'!$D$6:$E$12,2,FALSE)</f>
        <v>Jue</v>
      </c>
      <c r="D2477">
        <v>1044161</v>
      </c>
      <c r="E2477" t="str">
        <f>IFERROR(+VLOOKUP(Movimientos_2026[[#This Row],[Codigo]],Plan_cuentas[],2,FALSE)," ")</f>
        <v>INGRESOS</v>
      </c>
      <c r="F2477" t="str">
        <f>IFERROR(+VLOOKUP(Movimientos_2026[[#This Row],[Codigo]],Plan_cuentas[],3,FALSE)," ")</f>
        <v>Transferencia</v>
      </c>
      <c r="G2477" t="str">
        <f>IFERROR(+VLOOKUP(Movimientos_2026[[#This Row],[Codigo]],Plan_cuentas[],4,FALSE)," ")</f>
        <v>Rentas</v>
      </c>
      <c r="H2477" t="str">
        <f>IFERROR(+VLOOKUP(Movimientos_2026[[#This Row],[Codigo]],Plan_cuentas[],5,FALSE)," ")</f>
        <v>CHACO</v>
      </c>
      <c r="I2477" s="43">
        <v>46174</v>
      </c>
      <c r="J2477" t="s">
        <v>1079</v>
      </c>
      <c r="K2477" t="str">
        <f>IFERROR(+VLOOKUP(Movimientos_2026[[#This Row],[Codigo]],Plan_cuentas[],6,FALSE)," ")</f>
        <v>1 - VW - Volkswagen</v>
      </c>
      <c r="L2477" s="50">
        <v>11261376.5</v>
      </c>
      <c r="M2477" s="50"/>
      <c r="N2477" s="20">
        <f>+Movimientos_2026[[#This Row],[Ingresos]]-Movimientos_2026[[#This Row],[Egresos]]</f>
        <v>11261376.5</v>
      </c>
      <c r="O2477" s="20">
        <f>+O2476+Movimientos_2026[[#This Row],[Neto]]</f>
        <v>5489193319.9688578</v>
      </c>
    </row>
    <row r="2478" spans="1:15" x14ac:dyDescent="0.25">
      <c r="A2478" s="13">
        <v>46233</v>
      </c>
      <c r="B2478" s="12">
        <f>MONTH(Movimientos_2026[[#This Row],[Fecha]])</f>
        <v>7</v>
      </c>
      <c r="C2478" s="12" t="str">
        <f>VLOOKUP((WEEKDAY(Movimientos_2026[[#This Row],[Fecha]],2)),'5. Setup'!$D$6:$E$12,2,FALSE)</f>
        <v>Jue</v>
      </c>
      <c r="D2478">
        <v>1044171</v>
      </c>
      <c r="E2478" t="str">
        <f>IFERROR(+VLOOKUP(Movimientos_2026[[#This Row],[Codigo]],Plan_cuentas[],2,FALSE)," ")</f>
        <v>INGRESOS</v>
      </c>
      <c r="F2478" t="str">
        <f>IFERROR(+VLOOKUP(Movimientos_2026[[#This Row],[Codigo]],Plan_cuentas[],3,FALSE)," ")</f>
        <v>Transferencia</v>
      </c>
      <c r="G2478" t="str">
        <f>IFERROR(+VLOOKUP(Movimientos_2026[[#This Row],[Codigo]],Plan_cuentas[],4,FALSE)," ")</f>
        <v>Rentas</v>
      </c>
      <c r="H2478" t="str">
        <f>IFERROR(+VLOOKUP(Movimientos_2026[[#This Row],[Codigo]],Plan_cuentas[],5,FALSE)," ")</f>
        <v>CHUBUT</v>
      </c>
      <c r="I2478" s="43">
        <v>46174</v>
      </c>
      <c r="J2478" t="s">
        <v>1079</v>
      </c>
      <c r="K2478" t="str">
        <f>IFERROR(+VLOOKUP(Movimientos_2026[[#This Row],[Codigo]],Plan_cuentas[],6,FALSE)," ")</f>
        <v>1 - VW - Volkswagen</v>
      </c>
      <c r="L2478" s="50">
        <v>7255459.5</v>
      </c>
      <c r="M2478" s="50"/>
      <c r="N2478" s="20">
        <f>+Movimientos_2026[[#This Row],[Ingresos]]-Movimientos_2026[[#This Row],[Egresos]]</f>
        <v>7255459.5</v>
      </c>
      <c r="O2478" s="20">
        <f>+O2477+Movimientos_2026[[#This Row],[Neto]]</f>
        <v>5496448779.4688578</v>
      </c>
    </row>
    <row r="2479" spans="1:15" x14ac:dyDescent="0.25">
      <c r="A2479" s="13">
        <v>46233</v>
      </c>
      <c r="B2479" s="12">
        <f>MONTH(Movimientos_2026[[#This Row],[Fecha]])</f>
        <v>7</v>
      </c>
      <c r="C2479" s="12" t="str">
        <f>VLOOKUP((WEEKDAY(Movimientos_2026[[#This Row],[Fecha]],2)),'5. Setup'!$D$6:$E$12,2,FALSE)</f>
        <v>Jue</v>
      </c>
      <c r="D2479">
        <v>1044211</v>
      </c>
      <c r="E2479" t="str">
        <f>IFERROR(+VLOOKUP(Movimientos_2026[[#This Row],[Codigo]],Plan_cuentas[],2,FALSE)," ")</f>
        <v>INGRESOS</v>
      </c>
      <c r="F2479" t="str">
        <f>IFERROR(+VLOOKUP(Movimientos_2026[[#This Row],[Codigo]],Plan_cuentas[],3,FALSE)," ")</f>
        <v>Transferencia</v>
      </c>
      <c r="G2479" t="str">
        <f>IFERROR(+VLOOKUP(Movimientos_2026[[#This Row],[Codigo]],Plan_cuentas[],4,FALSE)," ")</f>
        <v>Rentas</v>
      </c>
      <c r="H2479" t="str">
        <f>IFERROR(+VLOOKUP(Movimientos_2026[[#This Row],[Codigo]],Plan_cuentas[],5,FALSE)," ")</f>
        <v>CORRIENTES 2° Q</v>
      </c>
      <c r="I2479" s="43">
        <v>46174</v>
      </c>
      <c r="J2479" t="s">
        <v>1079</v>
      </c>
      <c r="K2479" t="str">
        <f>IFERROR(+VLOOKUP(Movimientos_2026[[#This Row],[Codigo]],Plan_cuentas[],6,FALSE)," ")</f>
        <v>1 - VW - Volkswagen</v>
      </c>
      <c r="L2479" s="50">
        <v>5251629</v>
      </c>
      <c r="M2479" s="50"/>
      <c r="N2479" s="20">
        <f>+Movimientos_2026[[#This Row],[Ingresos]]-Movimientos_2026[[#This Row],[Egresos]]</f>
        <v>5251629</v>
      </c>
      <c r="O2479" s="20">
        <f>+O2478+Movimientos_2026[[#This Row],[Neto]]</f>
        <v>5501700408.4688578</v>
      </c>
    </row>
    <row r="2480" spans="1:15" x14ac:dyDescent="0.25">
      <c r="A2480" s="13">
        <v>46233</v>
      </c>
      <c r="B2480" s="12">
        <f>MONTH(Movimientos_2026[[#This Row],[Fecha]])</f>
        <v>7</v>
      </c>
      <c r="C2480" s="12" t="str">
        <f>VLOOKUP((WEEKDAY(Movimientos_2026[[#This Row],[Fecha]],2)),'5. Setup'!$D$6:$E$12,2,FALSE)</f>
        <v>Jue</v>
      </c>
      <c r="D2480">
        <v>1044241</v>
      </c>
      <c r="E2480" t="str">
        <f>IFERROR(+VLOOKUP(Movimientos_2026[[#This Row],[Codigo]],Plan_cuentas[],2,FALSE)," ")</f>
        <v>INGRESOS</v>
      </c>
      <c r="F2480" t="str">
        <f>IFERROR(+VLOOKUP(Movimientos_2026[[#This Row],[Codigo]],Plan_cuentas[],3,FALSE)," ")</f>
        <v>Transferencia</v>
      </c>
      <c r="G2480" t="str">
        <f>IFERROR(+VLOOKUP(Movimientos_2026[[#This Row],[Codigo]],Plan_cuentas[],4,FALSE)," ")</f>
        <v>Rentas</v>
      </c>
      <c r="H2480" t="str">
        <f>IFERROR(+VLOOKUP(Movimientos_2026[[#This Row],[Codigo]],Plan_cuentas[],5,FALSE)," ")</f>
        <v>FORMOSA</v>
      </c>
      <c r="I2480" s="43">
        <v>46174</v>
      </c>
      <c r="J2480" t="s">
        <v>1079</v>
      </c>
      <c r="K2480" t="str">
        <f>IFERROR(+VLOOKUP(Movimientos_2026[[#This Row],[Codigo]],Plan_cuentas[],6,FALSE)," ")</f>
        <v>1 - VW - Volkswagen</v>
      </c>
      <c r="L2480" s="50">
        <v>1756332.5</v>
      </c>
      <c r="M2480" s="50"/>
      <c r="N2480" s="20">
        <f>+Movimientos_2026[[#This Row],[Ingresos]]-Movimientos_2026[[#This Row],[Egresos]]</f>
        <v>1756332.5</v>
      </c>
      <c r="O2480" s="20">
        <f>+O2479+Movimientos_2026[[#This Row],[Neto]]</f>
        <v>5503456740.9688578</v>
      </c>
    </row>
    <row r="2481" spans="1:15" x14ac:dyDescent="0.25">
      <c r="A2481" s="13">
        <v>46233</v>
      </c>
      <c r="B2481" s="12">
        <f>MONTH(Movimientos_2026[[#This Row],[Fecha]])</f>
        <v>7</v>
      </c>
      <c r="C2481" s="12" t="str">
        <f>VLOOKUP((WEEKDAY(Movimientos_2026[[#This Row],[Fecha]],2)),'5. Setup'!$D$6:$E$12,2,FALSE)</f>
        <v>Jue</v>
      </c>
      <c r="D2481">
        <v>1044261</v>
      </c>
      <c r="E2481" t="str">
        <f>IFERROR(+VLOOKUP(Movimientos_2026[[#This Row],[Codigo]],Plan_cuentas[],2,FALSE)," ")</f>
        <v>INGRESOS</v>
      </c>
      <c r="F2481" t="str">
        <f>IFERROR(+VLOOKUP(Movimientos_2026[[#This Row],[Codigo]],Plan_cuentas[],3,FALSE)," ")</f>
        <v>Transferencia</v>
      </c>
      <c r="G2481" t="str">
        <f>IFERROR(+VLOOKUP(Movimientos_2026[[#This Row],[Codigo]],Plan_cuentas[],4,FALSE)," ")</f>
        <v>Rentas</v>
      </c>
      <c r="H2481" t="str">
        <f>IFERROR(+VLOOKUP(Movimientos_2026[[#This Row],[Codigo]],Plan_cuentas[],5,FALSE)," ")</f>
        <v>LA PAMPA</v>
      </c>
      <c r="I2481" s="43">
        <v>46174</v>
      </c>
      <c r="J2481" t="s">
        <v>1079</v>
      </c>
      <c r="K2481" t="str">
        <f>IFERROR(+VLOOKUP(Movimientos_2026[[#This Row],[Codigo]],Plan_cuentas[],6,FALSE)," ")</f>
        <v>1 - VW - Volkswagen</v>
      </c>
      <c r="L2481" s="50">
        <v>1680459.75</v>
      </c>
      <c r="M2481" s="50"/>
      <c r="N2481" s="20">
        <f>+Movimientos_2026[[#This Row],[Ingresos]]-Movimientos_2026[[#This Row],[Egresos]]</f>
        <v>1680459.75</v>
      </c>
      <c r="O2481" s="20">
        <f>+O2480+Movimientos_2026[[#This Row],[Neto]]</f>
        <v>5505137200.7188578</v>
      </c>
    </row>
    <row r="2482" spans="1:15" x14ac:dyDescent="0.25">
      <c r="A2482" s="13">
        <v>46233</v>
      </c>
      <c r="B2482" s="12">
        <f>MONTH(Movimientos_2026[[#This Row],[Fecha]])</f>
        <v>7</v>
      </c>
      <c r="C2482" s="12" t="str">
        <f>VLOOKUP((WEEKDAY(Movimientos_2026[[#This Row],[Fecha]],2)),'5. Setup'!$D$6:$E$12,2,FALSE)</f>
        <v>Jue</v>
      </c>
      <c r="D2482">
        <v>1044271</v>
      </c>
      <c r="E2482" t="str">
        <f>IFERROR(+VLOOKUP(Movimientos_2026[[#This Row],[Codigo]],Plan_cuentas[],2,FALSE)," ")</f>
        <v>INGRESOS</v>
      </c>
      <c r="F2482" t="str">
        <f>IFERROR(+VLOOKUP(Movimientos_2026[[#This Row],[Codigo]],Plan_cuentas[],3,FALSE)," ")</f>
        <v>Transferencia</v>
      </c>
      <c r="G2482" t="str">
        <f>IFERROR(+VLOOKUP(Movimientos_2026[[#This Row],[Codigo]],Plan_cuentas[],4,FALSE)," ")</f>
        <v>Rentas</v>
      </c>
      <c r="H2482" t="str">
        <f>IFERROR(+VLOOKUP(Movimientos_2026[[#This Row],[Codigo]],Plan_cuentas[],5,FALSE)," ")</f>
        <v>LA RIOJA</v>
      </c>
      <c r="I2482" s="43">
        <v>46174</v>
      </c>
      <c r="J2482" t="s">
        <v>1079</v>
      </c>
      <c r="K2482" t="str">
        <f>IFERROR(+VLOOKUP(Movimientos_2026[[#This Row],[Codigo]],Plan_cuentas[],6,FALSE)," ")</f>
        <v>1 - VW - Volkswagen</v>
      </c>
      <c r="L2482" s="50">
        <v>21607830</v>
      </c>
      <c r="M2482" s="50"/>
      <c r="N2482" s="20">
        <f>+Movimientos_2026[[#This Row],[Ingresos]]-Movimientos_2026[[#This Row],[Egresos]]</f>
        <v>21607830</v>
      </c>
      <c r="O2482" s="20">
        <f>+O2481+Movimientos_2026[[#This Row],[Neto]]</f>
        <v>5526745030.7188578</v>
      </c>
    </row>
    <row r="2483" spans="1:15" x14ac:dyDescent="0.25">
      <c r="A2483" s="13">
        <v>46233</v>
      </c>
      <c r="B2483" s="12">
        <f>MONTH(Movimientos_2026[[#This Row],[Fecha]])</f>
        <v>7</v>
      </c>
      <c r="C2483" s="12" t="str">
        <f>VLOOKUP((WEEKDAY(Movimientos_2026[[#This Row],[Fecha]],2)),'5. Setup'!$D$6:$E$12,2,FALSE)</f>
        <v>Jue</v>
      </c>
      <c r="D2483">
        <v>1044281</v>
      </c>
      <c r="E2483" t="str">
        <f>IFERROR(+VLOOKUP(Movimientos_2026[[#This Row],[Codigo]],Plan_cuentas[],2,FALSE)," ")</f>
        <v>INGRESOS</v>
      </c>
      <c r="F2483" t="str">
        <f>IFERROR(+VLOOKUP(Movimientos_2026[[#This Row],[Codigo]],Plan_cuentas[],3,FALSE)," ")</f>
        <v>Transferencia</v>
      </c>
      <c r="G2483" t="str">
        <f>IFERROR(+VLOOKUP(Movimientos_2026[[#This Row],[Codigo]],Plan_cuentas[],4,FALSE)," ")</f>
        <v>Rentas</v>
      </c>
      <c r="H2483" t="str">
        <f>IFERROR(+VLOOKUP(Movimientos_2026[[#This Row],[Codigo]],Plan_cuentas[],5,FALSE)," ")</f>
        <v>MENDOZA</v>
      </c>
      <c r="I2483" s="43">
        <v>46174</v>
      </c>
      <c r="J2483" t="s">
        <v>1079</v>
      </c>
      <c r="K2483" t="str">
        <f>IFERROR(+VLOOKUP(Movimientos_2026[[#This Row],[Codigo]],Plan_cuentas[],6,FALSE)," ")</f>
        <v>1 - VW - Volkswagen</v>
      </c>
      <c r="L2483" s="50">
        <v>10357473.5</v>
      </c>
      <c r="M2483" s="50"/>
      <c r="N2483" s="20">
        <f>+Movimientos_2026[[#This Row],[Ingresos]]-Movimientos_2026[[#This Row],[Egresos]]</f>
        <v>10357473.5</v>
      </c>
      <c r="O2483" s="20">
        <f>+O2482+Movimientos_2026[[#This Row],[Neto]]</f>
        <v>5537102504.2188578</v>
      </c>
    </row>
    <row r="2484" spans="1:15" x14ac:dyDescent="0.25">
      <c r="A2484" s="13">
        <v>46233</v>
      </c>
      <c r="B2484" s="12">
        <f>MONTH(Movimientos_2026[[#This Row],[Fecha]])</f>
        <v>7</v>
      </c>
      <c r="C2484" s="12" t="str">
        <f>VLOOKUP((WEEKDAY(Movimientos_2026[[#This Row],[Fecha]],2)),'5. Setup'!$D$6:$E$12,2,FALSE)</f>
        <v>Jue</v>
      </c>
      <c r="D2484">
        <v>1044461</v>
      </c>
      <c r="E2484" t="str">
        <f>IFERROR(+VLOOKUP(Movimientos_2026[[#This Row],[Codigo]],Plan_cuentas[],2,FALSE)," ")</f>
        <v>INGRESOS</v>
      </c>
      <c r="F2484" t="str">
        <f>IFERROR(+VLOOKUP(Movimientos_2026[[#This Row],[Codigo]],Plan_cuentas[],3,FALSE)," ")</f>
        <v>Transferencia</v>
      </c>
      <c r="G2484" t="str">
        <f>IFERROR(+VLOOKUP(Movimientos_2026[[#This Row],[Codigo]],Plan_cuentas[],4,FALSE)," ")</f>
        <v>Rentas</v>
      </c>
      <c r="H2484" t="str">
        <f>IFERROR(+VLOOKUP(Movimientos_2026[[#This Row],[Codigo]],Plan_cuentas[],5,FALSE)," ")</f>
        <v>MISIONES</v>
      </c>
      <c r="I2484" s="43">
        <v>46174</v>
      </c>
      <c r="J2484" t="s">
        <v>1079</v>
      </c>
      <c r="K2484" t="str">
        <f>IFERROR(+VLOOKUP(Movimientos_2026[[#This Row],[Codigo]],Plan_cuentas[],6,FALSE)," ")</f>
        <v>1 - VW - Volkswagen</v>
      </c>
      <c r="L2484" s="50">
        <v>1621849.722151279</v>
      </c>
      <c r="M2484" s="50"/>
      <c r="N2484" s="20">
        <f>+Movimientos_2026[[#This Row],[Ingresos]]-Movimientos_2026[[#This Row],[Egresos]]</f>
        <v>1621849.722151279</v>
      </c>
      <c r="O2484" s="20">
        <f>+O2483+Movimientos_2026[[#This Row],[Neto]]</f>
        <v>5538724353.9410086</v>
      </c>
    </row>
    <row r="2485" spans="1:15" x14ac:dyDescent="0.25">
      <c r="A2485" s="13">
        <v>46233</v>
      </c>
      <c r="B2485" s="12">
        <f>MONTH(Movimientos_2026[[#This Row],[Fecha]])</f>
        <v>7</v>
      </c>
      <c r="C2485" s="12" t="str">
        <f>VLOOKUP((WEEKDAY(Movimientos_2026[[#This Row],[Fecha]],2)),'5. Setup'!$D$6:$E$12,2,FALSE)</f>
        <v>Jue</v>
      </c>
      <c r="D2485">
        <v>1044321</v>
      </c>
      <c r="E2485" t="str">
        <f>IFERROR(+VLOOKUP(Movimientos_2026[[#This Row],[Codigo]],Plan_cuentas[],2,FALSE)," ")</f>
        <v>INGRESOS</v>
      </c>
      <c r="F2485" t="str">
        <f>IFERROR(+VLOOKUP(Movimientos_2026[[#This Row],[Codigo]],Plan_cuentas[],3,FALSE)," ")</f>
        <v>Transferencia</v>
      </c>
      <c r="G2485" t="str">
        <f>IFERROR(+VLOOKUP(Movimientos_2026[[#This Row],[Codigo]],Plan_cuentas[],4,FALSE)," ")</f>
        <v>Rentas</v>
      </c>
      <c r="H2485" t="str">
        <f>IFERROR(+VLOOKUP(Movimientos_2026[[#This Row],[Codigo]],Plan_cuentas[],5,FALSE)," ")</f>
        <v>NEUQUEN 2° Q</v>
      </c>
      <c r="I2485" s="43">
        <v>46174</v>
      </c>
      <c r="J2485" t="s">
        <v>1079</v>
      </c>
      <c r="K2485" t="str">
        <f>IFERROR(+VLOOKUP(Movimientos_2026[[#This Row],[Codigo]],Plan_cuentas[],6,FALSE)," ")</f>
        <v>1 - VW - Volkswagen</v>
      </c>
      <c r="L2485" s="50">
        <v>13884631</v>
      </c>
      <c r="M2485" s="50"/>
      <c r="N2485" s="20">
        <f>+Movimientos_2026[[#This Row],[Ingresos]]-Movimientos_2026[[#This Row],[Egresos]]</f>
        <v>13884631</v>
      </c>
      <c r="O2485" s="20">
        <f>+O2484+Movimientos_2026[[#This Row],[Neto]]</f>
        <v>5552608984.9410086</v>
      </c>
    </row>
    <row r="2486" spans="1:15" x14ac:dyDescent="0.25">
      <c r="A2486" s="13">
        <v>46233</v>
      </c>
      <c r="B2486" s="12">
        <f>MONTH(Movimientos_2026[[#This Row],[Fecha]])</f>
        <v>7</v>
      </c>
      <c r="C2486" s="12" t="str">
        <f>VLOOKUP((WEEKDAY(Movimientos_2026[[#This Row],[Fecha]],2)),'5. Setup'!$D$6:$E$12,2,FALSE)</f>
        <v>Jue</v>
      </c>
      <c r="D2486">
        <v>1044351</v>
      </c>
      <c r="E2486" t="str">
        <f>IFERROR(+VLOOKUP(Movimientos_2026[[#This Row],[Codigo]],Plan_cuentas[],2,FALSE)," ")</f>
        <v>INGRESOS</v>
      </c>
      <c r="F2486" t="str">
        <f>IFERROR(+VLOOKUP(Movimientos_2026[[#This Row],[Codigo]],Plan_cuentas[],3,FALSE)," ")</f>
        <v>Transferencia</v>
      </c>
      <c r="G2486" t="str">
        <f>IFERROR(+VLOOKUP(Movimientos_2026[[#This Row],[Codigo]],Plan_cuentas[],4,FALSE)," ")</f>
        <v>Rentas</v>
      </c>
      <c r="H2486" t="str">
        <f>IFERROR(+VLOOKUP(Movimientos_2026[[#This Row],[Codigo]],Plan_cuentas[],5,FALSE)," ")</f>
        <v>SAN JUAN</v>
      </c>
      <c r="I2486" s="43">
        <v>46174</v>
      </c>
      <c r="J2486" t="s">
        <v>1079</v>
      </c>
      <c r="K2486" t="str">
        <f>IFERROR(+VLOOKUP(Movimientos_2026[[#This Row],[Codigo]],Plan_cuentas[],6,FALSE)," ")</f>
        <v>1 - VW - Volkswagen</v>
      </c>
      <c r="L2486" s="50">
        <v>2521808.4</v>
      </c>
      <c r="M2486" s="50"/>
      <c r="N2486" s="20">
        <f>+Movimientos_2026[[#This Row],[Ingresos]]-Movimientos_2026[[#This Row],[Egresos]]</f>
        <v>2521808.4</v>
      </c>
      <c r="O2486" s="20">
        <f>+O2485+Movimientos_2026[[#This Row],[Neto]]</f>
        <v>5555130793.3410082</v>
      </c>
    </row>
    <row r="2487" spans="1:15" x14ac:dyDescent="0.25">
      <c r="A2487" s="13">
        <v>46233</v>
      </c>
      <c r="B2487" s="12">
        <f>MONTH(Movimientos_2026[[#This Row],[Fecha]])</f>
        <v>7</v>
      </c>
      <c r="C2487" s="12" t="str">
        <f>VLOOKUP((WEEKDAY(Movimientos_2026[[#This Row],[Fecha]],2)),'5. Setup'!$D$6:$E$12,2,FALSE)</f>
        <v>Jue</v>
      </c>
      <c r="D2487">
        <v>1044361</v>
      </c>
      <c r="E2487" t="str">
        <f>IFERROR(+VLOOKUP(Movimientos_2026[[#This Row],[Codigo]],Plan_cuentas[],2,FALSE)," ")</f>
        <v>INGRESOS</v>
      </c>
      <c r="F2487" t="str">
        <f>IFERROR(+VLOOKUP(Movimientos_2026[[#This Row],[Codigo]],Plan_cuentas[],3,FALSE)," ")</f>
        <v>Transferencia</v>
      </c>
      <c r="G2487" t="str">
        <f>IFERROR(+VLOOKUP(Movimientos_2026[[#This Row],[Codigo]],Plan_cuentas[],4,FALSE)," ")</f>
        <v>Rentas</v>
      </c>
      <c r="H2487" t="str">
        <f>IFERROR(+VLOOKUP(Movimientos_2026[[#This Row],[Codigo]],Plan_cuentas[],5,FALSE)," ")</f>
        <v>SAN LUIS</v>
      </c>
      <c r="I2487" s="43">
        <v>46174</v>
      </c>
      <c r="J2487" t="s">
        <v>1079</v>
      </c>
      <c r="K2487" t="str">
        <f>IFERROR(+VLOOKUP(Movimientos_2026[[#This Row],[Codigo]],Plan_cuentas[],6,FALSE)," ")</f>
        <v>1 - VW - Volkswagen</v>
      </c>
      <c r="L2487" s="50">
        <v>2818584.6</v>
      </c>
      <c r="M2487" s="50"/>
      <c r="N2487" s="20">
        <f>+Movimientos_2026[[#This Row],[Ingresos]]-Movimientos_2026[[#This Row],[Egresos]]</f>
        <v>2818584.6</v>
      </c>
      <c r="O2487" s="20">
        <f>+O2486+Movimientos_2026[[#This Row],[Neto]]</f>
        <v>5557949377.9410086</v>
      </c>
    </row>
    <row r="2488" spans="1:15" x14ac:dyDescent="0.25">
      <c r="A2488" s="13">
        <v>46233</v>
      </c>
      <c r="B2488" s="12">
        <f>MONTH(Movimientos_2026[[#This Row],[Fecha]])</f>
        <v>7</v>
      </c>
      <c r="C2488" s="12" t="str">
        <f>VLOOKUP((WEEKDAY(Movimientos_2026[[#This Row],[Fecha]],2)),'5. Setup'!$D$6:$E$12,2,FALSE)</f>
        <v>Jue</v>
      </c>
      <c r="D2488">
        <v>1044371</v>
      </c>
      <c r="E2488" t="str">
        <f>IFERROR(+VLOOKUP(Movimientos_2026[[#This Row],[Codigo]],Plan_cuentas[],2,FALSE)," ")</f>
        <v>INGRESOS</v>
      </c>
      <c r="F2488" t="str">
        <f>IFERROR(+VLOOKUP(Movimientos_2026[[#This Row],[Codigo]],Plan_cuentas[],3,FALSE)," ")</f>
        <v>Transferencia</v>
      </c>
      <c r="G2488" t="str">
        <f>IFERROR(+VLOOKUP(Movimientos_2026[[#This Row],[Codigo]],Plan_cuentas[],4,FALSE)," ")</f>
        <v>Rentas</v>
      </c>
      <c r="H2488" t="str">
        <f>IFERROR(+VLOOKUP(Movimientos_2026[[#This Row],[Codigo]],Plan_cuentas[],5,FALSE)," ")</f>
        <v>SANTA CRUZ</v>
      </c>
      <c r="I2488" s="43">
        <v>46174</v>
      </c>
      <c r="J2488" t="s">
        <v>1079</v>
      </c>
      <c r="K2488" t="str">
        <f>IFERROR(+VLOOKUP(Movimientos_2026[[#This Row],[Codigo]],Plan_cuentas[],6,FALSE)," ")</f>
        <v>1 - VW - Volkswagen</v>
      </c>
      <c r="L2488" s="50">
        <v>5882797.9000000004</v>
      </c>
      <c r="M2488" s="50"/>
      <c r="N2488" s="20">
        <f>+Movimientos_2026[[#This Row],[Ingresos]]-Movimientos_2026[[#This Row],[Egresos]]</f>
        <v>5882797.9000000004</v>
      </c>
      <c r="O2488" s="20">
        <f>+O2487+Movimientos_2026[[#This Row],[Neto]]</f>
        <v>5563832175.8410082</v>
      </c>
    </row>
    <row r="2489" spans="1:15" x14ac:dyDescent="0.25">
      <c r="A2489" s="13">
        <v>46233</v>
      </c>
      <c r="B2489" s="12">
        <f>MONTH(Movimientos_2026[[#This Row],[Fecha]])</f>
        <v>7</v>
      </c>
      <c r="C2489" s="12" t="str">
        <f>VLOOKUP((WEEKDAY(Movimientos_2026[[#This Row],[Fecha]],2)),'5. Setup'!$D$6:$E$12,2,FALSE)</f>
        <v>Jue</v>
      </c>
      <c r="D2489">
        <v>1044391</v>
      </c>
      <c r="E2489" t="str">
        <f>IFERROR(+VLOOKUP(Movimientos_2026[[#This Row],[Codigo]],Plan_cuentas[],2,FALSE)," ")</f>
        <v>INGRESOS</v>
      </c>
      <c r="F2489" t="str">
        <f>IFERROR(+VLOOKUP(Movimientos_2026[[#This Row],[Codigo]],Plan_cuentas[],3,FALSE)," ")</f>
        <v>Transferencia</v>
      </c>
      <c r="G2489" t="str">
        <f>IFERROR(+VLOOKUP(Movimientos_2026[[#This Row],[Codigo]],Plan_cuentas[],4,FALSE)," ")</f>
        <v>Rentas</v>
      </c>
      <c r="H2489" t="str">
        <f>IFERROR(+VLOOKUP(Movimientos_2026[[#This Row],[Codigo]],Plan_cuentas[],5,FALSE)," ")</f>
        <v>SANTA FE 2° Q</v>
      </c>
      <c r="I2489" s="43">
        <v>46174</v>
      </c>
      <c r="J2489" t="s">
        <v>1079</v>
      </c>
      <c r="K2489" t="str">
        <f>IFERROR(+VLOOKUP(Movimientos_2026[[#This Row],[Codigo]],Plan_cuentas[],6,FALSE)," ")</f>
        <v>1 - VW - Volkswagen</v>
      </c>
      <c r="L2489" s="50">
        <v>14971672.75</v>
      </c>
      <c r="M2489" s="50"/>
      <c r="N2489" s="20">
        <f>+Movimientos_2026[[#This Row],[Ingresos]]-Movimientos_2026[[#This Row],[Egresos]]</f>
        <v>14971672.75</v>
      </c>
      <c r="O2489" s="20">
        <f>+O2488+Movimientos_2026[[#This Row],[Neto]]</f>
        <v>5578803848.5910082</v>
      </c>
    </row>
    <row r="2490" spans="1:15" x14ac:dyDescent="0.25">
      <c r="A2490" s="13">
        <v>46233</v>
      </c>
      <c r="B2490" s="12">
        <f>MONTH(Movimientos_2026[[#This Row],[Fecha]])</f>
        <v>7</v>
      </c>
      <c r="C2490" s="12" t="str">
        <f>VLOOKUP((WEEKDAY(Movimientos_2026[[#This Row],[Fecha]],2)),'5. Setup'!$D$6:$E$12,2,FALSE)</f>
        <v>Jue</v>
      </c>
      <c r="D2490">
        <v>1044401</v>
      </c>
      <c r="E2490" t="str">
        <f>IFERROR(+VLOOKUP(Movimientos_2026[[#This Row],[Codigo]],Plan_cuentas[],2,FALSE)," ")</f>
        <v>INGRESOS</v>
      </c>
      <c r="F2490" t="str">
        <f>IFERROR(+VLOOKUP(Movimientos_2026[[#This Row],[Codigo]],Plan_cuentas[],3,FALSE)," ")</f>
        <v>Transferencia</v>
      </c>
      <c r="G2490" t="str">
        <f>IFERROR(+VLOOKUP(Movimientos_2026[[#This Row],[Codigo]],Plan_cuentas[],4,FALSE)," ")</f>
        <v>Rentas</v>
      </c>
      <c r="H2490" t="str">
        <f>IFERROR(+VLOOKUP(Movimientos_2026[[#This Row],[Codigo]],Plan_cuentas[],5,FALSE)," ")</f>
        <v>SANTIAGO DEL ESTERO</v>
      </c>
      <c r="I2490" s="43">
        <v>46174</v>
      </c>
      <c r="J2490" t="s">
        <v>1079</v>
      </c>
      <c r="K2490" t="str">
        <f>IFERROR(+VLOOKUP(Movimientos_2026[[#This Row],[Codigo]],Plan_cuentas[],6,FALSE)," ")</f>
        <v>1 - VW - Volkswagen</v>
      </c>
      <c r="L2490" s="50">
        <v>14087708.5</v>
      </c>
      <c r="M2490" s="50"/>
      <c r="N2490" s="20">
        <f>+Movimientos_2026[[#This Row],[Ingresos]]-Movimientos_2026[[#This Row],[Egresos]]</f>
        <v>14087708.5</v>
      </c>
      <c r="O2490" s="20">
        <f>+O2489+Movimientos_2026[[#This Row],[Neto]]</f>
        <v>5592891557.0910082</v>
      </c>
    </row>
    <row r="2491" spans="1:15" x14ac:dyDescent="0.25">
      <c r="A2491" s="13">
        <v>46233</v>
      </c>
      <c r="B2491" s="12">
        <f>MONTH(Movimientos_2026[[#This Row],[Fecha]])</f>
        <v>7</v>
      </c>
      <c r="C2491" s="12" t="str">
        <f>VLOOKUP((WEEKDAY(Movimientos_2026[[#This Row],[Fecha]],2)),'5. Setup'!$D$6:$E$12,2,FALSE)</f>
        <v>Jue</v>
      </c>
      <c r="D2491">
        <v>1044411</v>
      </c>
      <c r="E2491" t="str">
        <f>IFERROR(+VLOOKUP(Movimientos_2026[[#This Row],[Codigo]],Plan_cuentas[],2,FALSE)," ")</f>
        <v>INGRESOS</v>
      </c>
      <c r="F2491" t="str">
        <f>IFERROR(+VLOOKUP(Movimientos_2026[[#This Row],[Codigo]],Plan_cuentas[],3,FALSE)," ")</f>
        <v>Transferencia</v>
      </c>
      <c r="G2491" t="str">
        <f>IFERROR(+VLOOKUP(Movimientos_2026[[#This Row],[Codigo]],Plan_cuentas[],4,FALSE)," ")</f>
        <v>Rentas</v>
      </c>
      <c r="H2491" t="str">
        <f>IFERROR(+VLOOKUP(Movimientos_2026[[#This Row],[Codigo]],Plan_cuentas[],5,FALSE)," ")</f>
        <v>TIERRA DEL FUEGO</v>
      </c>
      <c r="I2491" s="43">
        <v>46174</v>
      </c>
      <c r="J2491" t="s">
        <v>1079</v>
      </c>
      <c r="K2491" t="str">
        <f>IFERROR(+VLOOKUP(Movimientos_2026[[#This Row],[Codigo]],Plan_cuentas[],6,FALSE)," ")</f>
        <v>1 - VW - Volkswagen</v>
      </c>
      <c r="L2491" s="50">
        <v>2814435.5</v>
      </c>
      <c r="M2491" s="50"/>
      <c r="N2491" s="20">
        <f>+Movimientos_2026[[#This Row],[Ingresos]]-Movimientos_2026[[#This Row],[Egresos]]</f>
        <v>2814435.5</v>
      </c>
      <c r="O2491" s="20">
        <f>+O2490+Movimientos_2026[[#This Row],[Neto]]</f>
        <v>5595705992.5910082</v>
      </c>
    </row>
    <row r="2492" spans="1:15" x14ac:dyDescent="0.25">
      <c r="A2492" s="13">
        <v>46233</v>
      </c>
      <c r="B2492" s="12">
        <f>MONTH(Movimientos_2026[[#This Row],[Fecha]])</f>
        <v>7</v>
      </c>
      <c r="C2492" s="12" t="str">
        <f>VLOOKUP((WEEKDAY(Movimientos_2026[[#This Row],[Fecha]],2)),'5. Setup'!$D$6:$E$12,2,FALSE)</f>
        <v>Jue</v>
      </c>
      <c r="D2492">
        <v>1044421</v>
      </c>
      <c r="E2492" t="str">
        <f>IFERROR(+VLOOKUP(Movimientos_2026[[#This Row],[Codigo]],Plan_cuentas[],2,FALSE)," ")</f>
        <v>INGRESOS</v>
      </c>
      <c r="F2492" t="str">
        <f>IFERROR(+VLOOKUP(Movimientos_2026[[#This Row],[Codigo]],Plan_cuentas[],3,FALSE)," ")</f>
        <v>Transferencia</v>
      </c>
      <c r="G2492" t="str">
        <f>IFERROR(+VLOOKUP(Movimientos_2026[[#This Row],[Codigo]],Plan_cuentas[],4,FALSE)," ")</f>
        <v>Rentas</v>
      </c>
      <c r="H2492" t="str">
        <f>IFERROR(+VLOOKUP(Movimientos_2026[[#This Row],[Codigo]],Plan_cuentas[],5,FALSE)," ")</f>
        <v>TUCUMAN</v>
      </c>
      <c r="I2492" s="43">
        <v>46174</v>
      </c>
      <c r="J2492" t="s">
        <v>1079</v>
      </c>
      <c r="K2492" t="str">
        <f>IFERROR(+VLOOKUP(Movimientos_2026[[#This Row],[Codigo]],Plan_cuentas[],6,FALSE)," ")</f>
        <v>1 - VW - Volkswagen</v>
      </c>
      <c r="L2492" s="50">
        <v>10978873.214810001</v>
      </c>
      <c r="M2492" s="50"/>
      <c r="N2492" s="20">
        <f>+Movimientos_2026[[#This Row],[Ingresos]]-Movimientos_2026[[#This Row],[Egresos]]</f>
        <v>10978873.214810001</v>
      </c>
      <c r="O2492" s="20">
        <f>+O2491+Movimientos_2026[[#This Row],[Neto]]</f>
        <v>5606684865.8058186</v>
      </c>
    </row>
    <row r="2493" spans="1:15" x14ac:dyDescent="0.25">
      <c r="A2493" s="13">
        <v>46233</v>
      </c>
      <c r="B2493" s="12">
        <f>MONTH(Movimientos_2026[[#This Row],[Fecha]])</f>
        <v>7</v>
      </c>
      <c r="C2493" s="12" t="str">
        <f>VLOOKUP((WEEKDAY(Movimientos_2026[[#This Row],[Fecha]],2)),'5. Setup'!$D$6:$E$12,2,FALSE)</f>
        <v>Jue</v>
      </c>
      <c r="D2493">
        <v>1043141</v>
      </c>
      <c r="E2493" t="str">
        <f>IFERROR(+VLOOKUP(Movimientos_2026[[#This Row],[Codigo]],Plan_cuentas[],2,FALSE)," ")</f>
        <v>INGRESOS</v>
      </c>
      <c r="F2493" t="str">
        <f>IFERROR(+VLOOKUP(Movimientos_2026[[#This Row],[Codigo]],Plan_cuentas[],3,FALSE)," ")</f>
        <v>Transferencia</v>
      </c>
      <c r="G2493" t="str">
        <f>IFERROR(+VLOOKUP(Movimientos_2026[[#This Row],[Codigo]],Plan_cuentas[],4,FALSE)," ")</f>
        <v>Registración</v>
      </c>
      <c r="H2493" t="str">
        <f>IFERROR(+VLOOKUP(Movimientos_2026[[#This Row],[Codigo]],Plan_cuentas[],5,FALSE)," ")</f>
        <v>BUENOS AIRES</v>
      </c>
      <c r="I2493" s="43">
        <v>46174</v>
      </c>
      <c r="J2493" t="s">
        <v>1079</v>
      </c>
      <c r="K2493" t="str">
        <f>IFERROR(+VLOOKUP(Movimientos_2026[[#This Row],[Codigo]],Plan_cuentas[],6,FALSE)," ")</f>
        <v>1 - VW - Volkswagen</v>
      </c>
      <c r="L2493" s="50">
        <v>57754821.774999999</v>
      </c>
      <c r="M2493" s="50"/>
      <c r="N2493" s="20">
        <f>+Movimientos_2026[[#This Row],[Ingresos]]-Movimientos_2026[[#This Row],[Egresos]]</f>
        <v>57754821.774999999</v>
      </c>
      <c r="O2493" s="20">
        <f>+O2492+Movimientos_2026[[#This Row],[Neto]]</f>
        <v>5664439687.5808182</v>
      </c>
    </row>
    <row r="2494" spans="1:15" x14ac:dyDescent="0.25">
      <c r="A2494" s="13">
        <v>46233</v>
      </c>
      <c r="B2494" s="12">
        <f>MONTH(Movimientos_2026[[#This Row],[Fecha]])</f>
        <v>7</v>
      </c>
      <c r="C2494" s="12" t="str">
        <f>VLOOKUP((WEEKDAY(Movimientos_2026[[#This Row],[Fecha]],2)),'5. Setup'!$D$6:$E$12,2,FALSE)</f>
        <v>Jue</v>
      </c>
      <c r="D2494">
        <v>1041131</v>
      </c>
      <c r="E2494" t="str">
        <f>IFERROR(+VLOOKUP(Movimientos_2026[[#This Row],[Codigo]],Plan_cuentas[],2,FALSE)," ")</f>
        <v>INGRESOS</v>
      </c>
      <c r="F2494" t="str">
        <f>IFERROR(+VLOOKUP(Movimientos_2026[[#This Row],[Codigo]],Plan_cuentas[],3,FALSE)," ")</f>
        <v>Transferencia</v>
      </c>
      <c r="G2494" t="str">
        <f>IFERROR(+VLOOKUP(Movimientos_2026[[#This Row],[Codigo]],Plan_cuentas[],4,FALSE)," ")</f>
        <v>Entidades co-participadas</v>
      </c>
      <c r="H2494" t="str">
        <f>IFERROR(+VLOOKUP(Movimientos_2026[[#This Row],[Codigo]],Plan_cuentas[],5,FALSE)," ")</f>
        <v>BCLP</v>
      </c>
      <c r="I2494" s="43">
        <v>46174</v>
      </c>
      <c r="J2494" t="s">
        <v>1079</v>
      </c>
      <c r="K2494" t="str">
        <f>IFERROR(+VLOOKUP(Movimientos_2026[[#This Row],[Codigo]],Plan_cuentas[],6,FALSE)," ")</f>
        <v>1 - VW - Volkswagen</v>
      </c>
      <c r="L2494" s="50">
        <f>173264465.325/3</f>
        <v>57754821.774999999</v>
      </c>
      <c r="M2494" s="50"/>
      <c r="N2494" s="20">
        <f>+Movimientos_2026[[#This Row],[Ingresos]]-Movimientos_2026[[#This Row],[Egresos]]</f>
        <v>57754821.774999999</v>
      </c>
      <c r="O2494" s="20">
        <f>+O2493+Movimientos_2026[[#This Row],[Neto]]</f>
        <v>5722194509.3558178</v>
      </c>
    </row>
    <row r="2495" spans="1:15" x14ac:dyDescent="0.25">
      <c r="A2495" s="13">
        <v>46233</v>
      </c>
      <c r="B2495" s="12">
        <f>MONTH(Movimientos_2026[[#This Row],[Fecha]])</f>
        <v>7</v>
      </c>
      <c r="C2495" s="12" t="str">
        <f>VLOOKUP((WEEKDAY(Movimientos_2026[[#This Row],[Fecha]],2)),'5. Setup'!$D$6:$E$12,2,FALSE)</f>
        <v>Jue</v>
      </c>
      <c r="D2495">
        <v>1041441</v>
      </c>
      <c r="E2495" t="str">
        <f>IFERROR(+VLOOKUP(Movimientos_2026[[#This Row],[Codigo]],Plan_cuentas[],2,FALSE)," ")</f>
        <v>INGRESOS</v>
      </c>
      <c r="F2495" t="str">
        <f>IFERROR(+VLOOKUP(Movimientos_2026[[#This Row],[Codigo]],Plan_cuentas[],3,FALSE)," ")</f>
        <v>Transferencia</v>
      </c>
      <c r="G2495" t="str">
        <f>IFERROR(+VLOOKUP(Movimientos_2026[[#This Row],[Codigo]],Plan_cuentas[],4,FALSE)," ")</f>
        <v>Entidades co-participadas</v>
      </c>
      <c r="H2495" t="str">
        <f>IFERROR(+VLOOKUP(Movimientos_2026[[#This Row],[Codigo]],Plan_cuentas[],5,FALSE)," ")</f>
        <v>UISCUMARR</v>
      </c>
      <c r="I2495" s="43">
        <v>46174</v>
      </c>
      <c r="J2495" t="s">
        <v>1079</v>
      </c>
      <c r="K2495" t="str">
        <f>IFERROR(+VLOOKUP(Movimientos_2026[[#This Row],[Codigo]],Plan_cuentas[],6,FALSE)," ")</f>
        <v>1 - VW - Volkswagen</v>
      </c>
      <c r="L2495" s="50">
        <f>173264465.325/3</f>
        <v>57754821.774999999</v>
      </c>
      <c r="M2495" s="50"/>
      <c r="N2495" s="20">
        <f>+Movimientos_2026[[#This Row],[Ingresos]]-Movimientos_2026[[#This Row],[Egresos]]</f>
        <v>57754821.774999999</v>
      </c>
      <c r="O2495" s="20">
        <f>+O2494+Movimientos_2026[[#This Row],[Neto]]</f>
        <v>5779949331.1308174</v>
      </c>
    </row>
    <row r="2496" spans="1:15" x14ac:dyDescent="0.25">
      <c r="A2496" s="13">
        <v>46233</v>
      </c>
      <c r="B2496" s="12">
        <f>MONTH(Movimientos_2026[[#This Row],[Fecha]])</f>
        <v>7</v>
      </c>
      <c r="C2496" s="12" t="str">
        <f>VLOOKUP((WEEKDAY(Movimientos_2026[[#This Row],[Fecha]],2)),'5. Setup'!$D$6:$E$12,2,FALSE)</f>
        <v>Jue</v>
      </c>
      <c r="D2496">
        <v>1044261</v>
      </c>
      <c r="E2496" t="str">
        <f>IFERROR(+VLOOKUP(Movimientos_2026[[#This Row],[Codigo]],Plan_cuentas[],2,FALSE)," ")</f>
        <v>INGRESOS</v>
      </c>
      <c r="F2496" t="str">
        <f>IFERROR(+VLOOKUP(Movimientos_2026[[#This Row],[Codigo]],Plan_cuentas[],3,FALSE)," ")</f>
        <v>Transferencia</v>
      </c>
      <c r="G2496" t="str">
        <f>IFERROR(+VLOOKUP(Movimientos_2026[[#This Row],[Codigo]],Plan_cuentas[],4,FALSE)," ")</f>
        <v>Rentas</v>
      </c>
      <c r="H2496" t="str">
        <f>IFERROR(+VLOOKUP(Movimientos_2026[[#This Row],[Codigo]],Plan_cuentas[],5,FALSE)," ")</f>
        <v>LA PAMPA</v>
      </c>
      <c r="I2496" s="43">
        <v>46174</v>
      </c>
      <c r="J2496" t="s">
        <v>1079</v>
      </c>
      <c r="K2496" t="str">
        <f>IFERROR(+VLOOKUP(Movimientos_2026[[#This Row],[Codigo]],Plan_cuentas[],6,FALSE)," ")</f>
        <v>1 - VW - Volkswagen</v>
      </c>
      <c r="L2496" s="50">
        <v>183776.25</v>
      </c>
      <c r="M2496" s="50"/>
      <c r="N2496" s="20">
        <f>+Movimientos_2026[[#This Row],[Ingresos]]-Movimientos_2026[[#This Row],[Egresos]]</f>
        <v>183776.25</v>
      </c>
      <c r="O2496" s="20">
        <f>+O2495+Movimientos_2026[[#This Row],[Neto]]</f>
        <v>5780133107.3808174</v>
      </c>
    </row>
    <row r="2497" spans="1:15" x14ac:dyDescent="0.25">
      <c r="A2497" s="13">
        <v>46233</v>
      </c>
      <c r="B2497" s="12">
        <f>MONTH(Movimientos_2026[[#This Row],[Fecha]])</f>
        <v>7</v>
      </c>
      <c r="C2497" s="12" t="str">
        <f>VLOOKUP((WEEKDAY(Movimientos_2026[[#This Row],[Fecha]],2)),'5. Setup'!$D$6:$E$12,2,FALSE)</f>
        <v>Jue</v>
      </c>
      <c r="D2497">
        <v>1044351</v>
      </c>
      <c r="E2497" t="str">
        <f>IFERROR(+VLOOKUP(Movimientos_2026[[#This Row],[Codigo]],Plan_cuentas[],2,FALSE)," ")</f>
        <v>INGRESOS</v>
      </c>
      <c r="F2497" t="str">
        <f>IFERROR(+VLOOKUP(Movimientos_2026[[#This Row],[Codigo]],Plan_cuentas[],3,FALSE)," ")</f>
        <v>Transferencia</v>
      </c>
      <c r="G2497" t="str">
        <f>IFERROR(+VLOOKUP(Movimientos_2026[[#This Row],[Codigo]],Plan_cuentas[],4,FALSE)," ")</f>
        <v>Rentas</v>
      </c>
      <c r="H2497" t="str">
        <f>IFERROR(+VLOOKUP(Movimientos_2026[[#This Row],[Codigo]],Plan_cuentas[],5,FALSE)," ")</f>
        <v>SAN JUAN</v>
      </c>
      <c r="I2497" s="43">
        <v>46174</v>
      </c>
      <c r="J2497" t="s">
        <v>1079</v>
      </c>
      <c r="K2497" t="str">
        <f>IFERROR(+VLOOKUP(Movimientos_2026[[#This Row],[Codigo]],Plan_cuentas[],6,FALSE)," ")</f>
        <v>1 - VW - Volkswagen</v>
      </c>
      <c r="L2497" s="50">
        <v>176425.2</v>
      </c>
      <c r="M2497" s="50"/>
      <c r="N2497" s="20">
        <f>+Movimientos_2026[[#This Row],[Ingresos]]-Movimientos_2026[[#This Row],[Egresos]]</f>
        <v>176425.2</v>
      </c>
      <c r="O2497" s="20">
        <f>+O2496+Movimientos_2026[[#This Row],[Neto]]</f>
        <v>5780309532.5808172</v>
      </c>
    </row>
    <row r="2498" spans="1:15" x14ac:dyDescent="0.25">
      <c r="A2498" s="13">
        <v>46235</v>
      </c>
      <c r="B2498" s="12">
        <f>MONTH(Movimientos_2026[[#This Row],[Fecha]])</f>
        <v>8</v>
      </c>
      <c r="C2498" s="12" t="str">
        <f>VLOOKUP((WEEKDAY(Movimientos_2026[[#This Row],[Fecha]],2)),'5. Setup'!$D$6:$E$12,2,FALSE)</f>
        <v>Sab</v>
      </c>
      <c r="D2498">
        <v>3000000</v>
      </c>
      <c r="E2498" t="str">
        <f>IFERROR(+VLOOKUP(Movimientos_2026[[#This Row],[Codigo]],Plan_cuentas[],2,FALSE)," ")</f>
        <v>SALDO INICIAL</v>
      </c>
      <c r="F2498" t="str">
        <f>IFERROR(+VLOOKUP(Movimientos_2026[[#This Row],[Codigo]],Plan_cuentas[],3,FALSE)," ")</f>
        <v xml:space="preserve"> </v>
      </c>
      <c r="G2498" t="str">
        <f>IFERROR(+VLOOKUP(Movimientos_2026[[#This Row],[Codigo]],Plan_cuentas[],4,FALSE)," ")</f>
        <v xml:space="preserve"> </v>
      </c>
      <c r="H2498" t="str">
        <f>IFERROR(+VLOOKUP(Movimientos_2026[[#This Row],[Codigo]],Plan_cuentas[],5,FALSE)," ")</f>
        <v xml:space="preserve"> </v>
      </c>
      <c r="I2498" s="43"/>
      <c r="K2498" t="str">
        <f>IFERROR(+VLOOKUP(Movimientos_2026[[#This Row],[Codigo]],Plan_cuentas[],6,FALSE)," ")</f>
        <v xml:space="preserve">     </v>
      </c>
      <c r="L2498" s="50"/>
      <c r="M2498" s="50"/>
      <c r="N2498" s="20">
        <f>+Movimientos_2026[[#This Row],[Ingresos]]-Movimientos_2026[[#This Row],[Egresos]]</f>
        <v>0</v>
      </c>
      <c r="O2498" s="20">
        <f>+O2497+Movimientos_2026[[#This Row],[Neto]]</f>
        <v>5780309532.5808172</v>
      </c>
    </row>
    <row r="2499" spans="1:15" x14ac:dyDescent="0.25">
      <c r="A2499" s="13">
        <v>46237</v>
      </c>
      <c r="B2499" s="12">
        <f>MONTH(Movimientos_2026[[#This Row],[Fecha]])</f>
        <v>8</v>
      </c>
      <c r="C2499" s="12" t="str">
        <f>VLOOKUP((WEEKDAY(Movimientos_2026[[#This Row],[Fecha]],2)),'5. Setup'!$D$6:$E$12,2,FALSE)</f>
        <v>Lun</v>
      </c>
      <c r="D2499">
        <v>1043154</v>
      </c>
      <c r="E2499" t="str">
        <f>IFERROR(+VLOOKUP(Movimientos_2026[[#This Row],[Codigo]],Plan_cuentas[],2,FALSE)," ")</f>
        <v>INGRESOS</v>
      </c>
      <c r="F2499" t="str">
        <f>IFERROR(+VLOOKUP(Movimientos_2026[[#This Row],[Codigo]],Plan_cuentas[],3,FALSE)," ")</f>
        <v>Transferencia</v>
      </c>
      <c r="G2499" t="str">
        <f>IFERROR(+VLOOKUP(Movimientos_2026[[#This Row],[Codigo]],Plan_cuentas[],4,FALSE)," ")</f>
        <v>Registración</v>
      </c>
      <c r="H2499" t="str">
        <f>IFERROR(+VLOOKUP(Movimientos_2026[[#This Row],[Codigo]],Plan_cuentas[],5,FALSE)," ")</f>
        <v>CABA</v>
      </c>
      <c r="I2499" s="43">
        <v>46204</v>
      </c>
      <c r="J2499" t="s">
        <v>1080</v>
      </c>
      <c r="K2499" t="str">
        <f>IFERROR(+VLOOKUP(Movimientos_2026[[#This Row],[Codigo]],Plan_cuentas[],6,FALSE)," ")</f>
        <v>4 - FCA - Fiat</v>
      </c>
      <c r="L2499" s="50">
        <v>504574222.14999998</v>
      </c>
      <c r="M2499" s="50"/>
      <c r="N2499" s="20">
        <f>+Movimientos_2026[[#This Row],[Ingresos]]-Movimientos_2026[[#This Row],[Egresos]]</f>
        <v>504574222.14999998</v>
      </c>
      <c r="O2499" s="20">
        <f>+O2498+Movimientos_2026[[#This Row],[Neto]]</f>
        <v>6284883754.7308168</v>
      </c>
    </row>
    <row r="2500" spans="1:15" x14ac:dyDescent="0.25">
      <c r="A2500" s="13">
        <v>46237</v>
      </c>
      <c r="B2500" s="12">
        <f>MONTH(Movimientos_2026[[#This Row],[Fecha]])</f>
        <v>8</v>
      </c>
      <c r="C2500" s="12" t="str">
        <f>VLOOKUP((WEEKDAY(Movimientos_2026[[#This Row],[Fecha]],2)),'5. Setup'!$D$6:$E$12,2,FALSE)</f>
        <v>Lun</v>
      </c>
      <c r="D2500">
        <v>1043394</v>
      </c>
      <c r="E2500" t="str">
        <f>IFERROR(+VLOOKUP(Movimientos_2026[[#This Row],[Codigo]],Plan_cuentas[],2,FALSE)," ")</f>
        <v>INGRESOS</v>
      </c>
      <c r="F2500" t="str">
        <f>IFERROR(+VLOOKUP(Movimientos_2026[[#This Row],[Codigo]],Plan_cuentas[],3,FALSE)," ")</f>
        <v>Transferencia</v>
      </c>
      <c r="G2500" t="str">
        <f>IFERROR(+VLOOKUP(Movimientos_2026[[#This Row],[Codigo]],Plan_cuentas[],4,FALSE)," ")</f>
        <v>Registración</v>
      </c>
      <c r="H2500" t="str">
        <f>IFERROR(+VLOOKUP(Movimientos_2026[[#This Row],[Codigo]],Plan_cuentas[],5,FALSE)," ")</f>
        <v>SANTA FE 2° Q</v>
      </c>
      <c r="I2500" s="43">
        <v>46204</v>
      </c>
      <c r="J2500" t="s">
        <v>1080</v>
      </c>
      <c r="K2500" t="str">
        <f>IFERROR(+VLOOKUP(Movimientos_2026[[#This Row],[Codigo]],Plan_cuentas[],6,FALSE)," ")</f>
        <v>4 - FCA - Fiat</v>
      </c>
      <c r="L2500" s="50">
        <v>113788803.70999999</v>
      </c>
      <c r="M2500" s="50"/>
      <c r="N2500" s="20">
        <f>+Movimientos_2026[[#This Row],[Ingresos]]-Movimientos_2026[[#This Row],[Egresos]]</f>
        <v>113788803.70999999</v>
      </c>
      <c r="O2500" s="20">
        <f>+O2499+Movimientos_2026[[#This Row],[Neto]]</f>
        <v>6398672558.4408169</v>
      </c>
    </row>
    <row r="2501" spans="1:15" x14ac:dyDescent="0.25">
      <c r="A2501" s="13">
        <v>46237</v>
      </c>
      <c r="B2501" s="12">
        <f>MONTH(Movimientos_2026[[#This Row],[Fecha]])</f>
        <v>8</v>
      </c>
      <c r="C2501" s="12" t="str">
        <f>VLOOKUP((WEEKDAY(Movimientos_2026[[#This Row],[Fecha]],2)),'5. Setup'!$D$6:$E$12,2,FALSE)</f>
        <v>Lun</v>
      </c>
      <c r="D2501">
        <v>1044174</v>
      </c>
      <c r="E2501" t="str">
        <f>IFERROR(+VLOOKUP(Movimientos_2026[[#This Row],[Codigo]],Plan_cuentas[],2,FALSE)," ")</f>
        <v>INGRESOS</v>
      </c>
      <c r="F2501" t="str">
        <f>IFERROR(+VLOOKUP(Movimientos_2026[[#This Row],[Codigo]],Plan_cuentas[],3,FALSE)," ")</f>
        <v>Transferencia</v>
      </c>
      <c r="G2501" t="str">
        <f>IFERROR(+VLOOKUP(Movimientos_2026[[#This Row],[Codigo]],Plan_cuentas[],4,FALSE)," ")</f>
        <v>Rentas</v>
      </c>
      <c r="H2501" t="str">
        <f>IFERROR(+VLOOKUP(Movimientos_2026[[#This Row],[Codigo]],Plan_cuentas[],5,FALSE)," ")</f>
        <v>CHUBUT</v>
      </c>
      <c r="I2501" s="43">
        <v>46204</v>
      </c>
      <c r="J2501" t="s">
        <v>1080</v>
      </c>
      <c r="K2501" t="str">
        <f>IFERROR(+VLOOKUP(Movimientos_2026[[#This Row],[Codigo]],Plan_cuentas[],6,FALSE)," ")</f>
        <v>4 - FCA - Fiat</v>
      </c>
      <c r="L2501" s="50">
        <v>31199625</v>
      </c>
      <c r="M2501" s="50"/>
      <c r="N2501" s="20">
        <f>+Movimientos_2026[[#This Row],[Ingresos]]-Movimientos_2026[[#This Row],[Egresos]]</f>
        <v>31199625</v>
      </c>
      <c r="O2501" s="20">
        <f>+O2500+Movimientos_2026[[#This Row],[Neto]]</f>
        <v>6429872183.4408169</v>
      </c>
    </row>
    <row r="2502" spans="1:15" x14ac:dyDescent="0.25">
      <c r="A2502" s="13">
        <v>46237</v>
      </c>
      <c r="B2502" s="12">
        <f>MONTH(Movimientos_2026[[#This Row],[Fecha]])</f>
        <v>8</v>
      </c>
      <c r="C2502" s="12" t="str">
        <f>VLOOKUP((WEEKDAY(Movimientos_2026[[#This Row],[Fecha]],2)),'5. Setup'!$D$6:$E$12,2,FALSE)</f>
        <v>Lun</v>
      </c>
      <c r="D2502">
        <v>1044196</v>
      </c>
      <c r="E2502" t="str">
        <f>IFERROR(+VLOOKUP(Movimientos_2026[[#This Row],[Codigo]],Plan_cuentas[],2,FALSE)," ")</f>
        <v>INGRESOS</v>
      </c>
      <c r="F2502" t="str">
        <f>IFERROR(+VLOOKUP(Movimientos_2026[[#This Row],[Codigo]],Plan_cuentas[],3,FALSE)," ")</f>
        <v>Transferencia</v>
      </c>
      <c r="G2502" t="str">
        <f>IFERROR(+VLOOKUP(Movimientos_2026[[#This Row],[Codigo]],Plan_cuentas[],4,FALSE)," ")</f>
        <v>Rentas</v>
      </c>
      <c r="H2502" t="str">
        <f>IFERROR(+VLOOKUP(Movimientos_2026[[#This Row],[Codigo]],Plan_cuentas[],5,FALSE)," ")</f>
        <v>CORDOBA 2° Q</v>
      </c>
      <c r="I2502" s="43">
        <v>46204</v>
      </c>
      <c r="J2502" t="s">
        <v>1080</v>
      </c>
      <c r="K2502" t="str">
        <f>IFERROR(+VLOOKUP(Movimientos_2026[[#This Row],[Codigo]],Plan_cuentas[],6,FALSE)," ")</f>
        <v>6 - FCAtr - Fiat Transf.</v>
      </c>
      <c r="L2502" s="50">
        <v>11824665.380000001</v>
      </c>
      <c r="M2502" s="50"/>
      <c r="N2502" s="20">
        <f>+Movimientos_2026[[#This Row],[Ingresos]]-Movimientos_2026[[#This Row],[Egresos]]</f>
        <v>11824665.380000001</v>
      </c>
      <c r="O2502" s="20">
        <f>+O2501+Movimientos_2026[[#This Row],[Neto]]</f>
        <v>6441696848.820817</v>
      </c>
    </row>
    <row r="2503" spans="1:15" x14ac:dyDescent="0.25">
      <c r="A2503" s="13">
        <v>46237</v>
      </c>
      <c r="B2503" s="12">
        <f>MONTH(Movimientos_2026[[#This Row],[Fecha]])</f>
        <v>8</v>
      </c>
      <c r="C2503" s="12" t="str">
        <f>VLOOKUP((WEEKDAY(Movimientos_2026[[#This Row],[Fecha]],2)),'5. Setup'!$D$6:$E$12,2,FALSE)</f>
        <v>Lun</v>
      </c>
      <c r="D2503">
        <v>1044214</v>
      </c>
      <c r="E2503" t="str">
        <f>IFERROR(+VLOOKUP(Movimientos_2026[[#This Row],[Codigo]],Plan_cuentas[],2,FALSE)," ")</f>
        <v>INGRESOS</v>
      </c>
      <c r="F2503" t="str">
        <f>IFERROR(+VLOOKUP(Movimientos_2026[[#This Row],[Codigo]],Plan_cuentas[],3,FALSE)," ")</f>
        <v>Transferencia</v>
      </c>
      <c r="G2503" t="str">
        <f>IFERROR(+VLOOKUP(Movimientos_2026[[#This Row],[Codigo]],Plan_cuentas[],4,FALSE)," ")</f>
        <v>Rentas</v>
      </c>
      <c r="H2503" t="str">
        <f>IFERROR(+VLOOKUP(Movimientos_2026[[#This Row],[Codigo]],Plan_cuentas[],5,FALSE)," ")</f>
        <v>CORRIENTES 2° Q</v>
      </c>
      <c r="I2503" s="43">
        <v>46204</v>
      </c>
      <c r="J2503" t="s">
        <v>1080</v>
      </c>
      <c r="K2503" t="str">
        <f>IFERROR(+VLOOKUP(Movimientos_2026[[#This Row],[Codigo]],Plan_cuentas[],6,FALSE)," ")</f>
        <v>4 - FCA - Fiat</v>
      </c>
      <c r="L2503" s="50">
        <v>7189538.0999999996</v>
      </c>
      <c r="M2503" s="50"/>
      <c r="N2503" s="20">
        <f>+Movimientos_2026[[#This Row],[Ingresos]]-Movimientos_2026[[#This Row],[Egresos]]</f>
        <v>7189538.0999999996</v>
      </c>
      <c r="O2503" s="20">
        <f>+O2502+Movimientos_2026[[#This Row],[Neto]]</f>
        <v>6448886386.9208174</v>
      </c>
    </row>
    <row r="2504" spans="1:15" x14ac:dyDescent="0.25">
      <c r="A2504" s="13">
        <v>46237</v>
      </c>
      <c r="B2504" s="12">
        <f>MONTH(Movimientos_2026[[#This Row],[Fecha]])</f>
        <v>8</v>
      </c>
      <c r="C2504" s="12" t="str">
        <f>VLOOKUP((WEEKDAY(Movimientos_2026[[#This Row],[Fecha]],2)),'5. Setup'!$D$6:$E$12,2,FALSE)</f>
        <v>Lun</v>
      </c>
      <c r="D2504">
        <v>1044234</v>
      </c>
      <c r="E2504" t="str">
        <f>IFERROR(+VLOOKUP(Movimientos_2026[[#This Row],[Codigo]],Plan_cuentas[],2,FALSE)," ")</f>
        <v>INGRESOS</v>
      </c>
      <c r="F2504" t="str">
        <f>IFERROR(+VLOOKUP(Movimientos_2026[[#This Row],[Codigo]],Plan_cuentas[],3,FALSE)," ")</f>
        <v>Transferencia</v>
      </c>
      <c r="G2504" t="str">
        <f>IFERROR(+VLOOKUP(Movimientos_2026[[#This Row],[Codigo]],Plan_cuentas[],4,FALSE)," ")</f>
        <v>Rentas</v>
      </c>
      <c r="H2504" t="str">
        <f>IFERROR(+VLOOKUP(Movimientos_2026[[#This Row],[Codigo]],Plan_cuentas[],5,FALSE)," ")</f>
        <v>ENTRE RIOS 2° Q</v>
      </c>
      <c r="I2504" s="43">
        <v>46204</v>
      </c>
      <c r="J2504" t="s">
        <v>1080</v>
      </c>
      <c r="K2504" t="str">
        <f>IFERROR(+VLOOKUP(Movimientos_2026[[#This Row],[Codigo]],Plan_cuentas[],6,FALSE)," ")</f>
        <v>4 - FCA - Fiat</v>
      </c>
      <c r="L2504" s="50">
        <v>28237267.449999999</v>
      </c>
      <c r="M2504" s="50"/>
      <c r="N2504" s="20">
        <f>+Movimientos_2026[[#This Row],[Ingresos]]-Movimientos_2026[[#This Row],[Egresos]]</f>
        <v>28237267.449999999</v>
      </c>
      <c r="O2504" s="20">
        <f>+O2503+Movimientos_2026[[#This Row],[Neto]]</f>
        <v>6477123654.3708172</v>
      </c>
    </row>
    <row r="2505" spans="1:15" x14ac:dyDescent="0.25">
      <c r="A2505" s="13">
        <v>46237</v>
      </c>
      <c r="B2505" s="12">
        <f>MONTH(Movimientos_2026[[#This Row],[Fecha]])</f>
        <v>8</v>
      </c>
      <c r="C2505" s="12" t="str">
        <f>VLOOKUP((WEEKDAY(Movimientos_2026[[#This Row],[Fecha]],2)),'5. Setup'!$D$6:$E$12,2,FALSE)</f>
        <v>Lun</v>
      </c>
      <c r="D2505">
        <v>1044244</v>
      </c>
      <c r="E2505" t="str">
        <f>IFERROR(+VLOOKUP(Movimientos_2026[[#This Row],[Codigo]],Plan_cuentas[],2,FALSE)," ")</f>
        <v>INGRESOS</v>
      </c>
      <c r="F2505" t="str">
        <f>IFERROR(+VLOOKUP(Movimientos_2026[[#This Row],[Codigo]],Plan_cuentas[],3,FALSE)," ")</f>
        <v>Transferencia</v>
      </c>
      <c r="G2505" t="str">
        <f>IFERROR(+VLOOKUP(Movimientos_2026[[#This Row],[Codigo]],Plan_cuentas[],4,FALSE)," ")</f>
        <v>Rentas</v>
      </c>
      <c r="H2505" t="str">
        <f>IFERROR(+VLOOKUP(Movimientos_2026[[#This Row],[Codigo]],Plan_cuentas[],5,FALSE)," ")</f>
        <v>FORMOSA</v>
      </c>
      <c r="I2505" s="43">
        <v>46204</v>
      </c>
      <c r="J2505" t="s">
        <v>1080</v>
      </c>
      <c r="K2505" t="str">
        <f>IFERROR(+VLOOKUP(Movimientos_2026[[#This Row],[Codigo]],Plan_cuentas[],6,FALSE)," ")</f>
        <v>4 - FCA - Fiat</v>
      </c>
      <c r="L2505" s="50">
        <v>11447756.99</v>
      </c>
      <c r="M2505" s="50"/>
      <c r="N2505" s="20">
        <f>+Movimientos_2026[[#This Row],[Ingresos]]-Movimientos_2026[[#This Row],[Egresos]]</f>
        <v>11447756.99</v>
      </c>
      <c r="O2505" s="20">
        <f>+O2504+Movimientos_2026[[#This Row],[Neto]]</f>
        <v>6488571411.360817</v>
      </c>
    </row>
    <row r="2506" spans="1:15" x14ac:dyDescent="0.25">
      <c r="A2506" s="13">
        <v>46237</v>
      </c>
      <c r="B2506" s="12">
        <f>MONTH(Movimientos_2026[[#This Row],[Fecha]])</f>
        <v>8</v>
      </c>
      <c r="C2506" s="12" t="str">
        <f>VLOOKUP((WEEKDAY(Movimientos_2026[[#This Row],[Fecha]],2)),'5. Setup'!$D$6:$E$12,2,FALSE)</f>
        <v>Lun</v>
      </c>
      <c r="D2506">
        <v>1044264</v>
      </c>
      <c r="E2506" t="str">
        <f>IFERROR(+VLOOKUP(Movimientos_2026[[#This Row],[Codigo]],Plan_cuentas[],2,FALSE)," ")</f>
        <v>INGRESOS</v>
      </c>
      <c r="F2506" t="str">
        <f>IFERROR(+VLOOKUP(Movimientos_2026[[#This Row],[Codigo]],Plan_cuentas[],3,FALSE)," ")</f>
        <v>Transferencia</v>
      </c>
      <c r="G2506" t="str">
        <f>IFERROR(+VLOOKUP(Movimientos_2026[[#This Row],[Codigo]],Plan_cuentas[],4,FALSE)," ")</f>
        <v>Rentas</v>
      </c>
      <c r="H2506" t="str">
        <f>IFERROR(+VLOOKUP(Movimientos_2026[[#This Row],[Codigo]],Plan_cuentas[],5,FALSE)," ")</f>
        <v>LA PAMPA</v>
      </c>
      <c r="I2506" s="43">
        <v>46204</v>
      </c>
      <c r="J2506" t="s">
        <v>1080</v>
      </c>
      <c r="K2506" t="str">
        <f>IFERROR(+VLOOKUP(Movimientos_2026[[#This Row],[Codigo]],Plan_cuentas[],6,FALSE)," ")</f>
        <v>4 - FCA - Fiat</v>
      </c>
      <c r="L2506" s="50">
        <v>7000550</v>
      </c>
      <c r="M2506" s="50"/>
      <c r="N2506" s="20">
        <f>+Movimientos_2026[[#This Row],[Ingresos]]-Movimientos_2026[[#This Row],[Egresos]]</f>
        <v>7000550</v>
      </c>
      <c r="O2506" s="20">
        <f>+O2505+Movimientos_2026[[#This Row],[Neto]]</f>
        <v>6495571961.360817</v>
      </c>
    </row>
    <row r="2507" spans="1:15" x14ac:dyDescent="0.25">
      <c r="A2507" s="13">
        <v>46237</v>
      </c>
      <c r="B2507" s="12">
        <f>MONTH(Movimientos_2026[[#This Row],[Fecha]])</f>
        <v>8</v>
      </c>
      <c r="C2507" s="12" t="str">
        <f>VLOOKUP((WEEKDAY(Movimientos_2026[[#This Row],[Fecha]],2)),'5. Setup'!$D$6:$E$12,2,FALSE)</f>
        <v>Lun</v>
      </c>
      <c r="D2507">
        <v>1044266</v>
      </c>
      <c r="E2507" t="str">
        <f>IFERROR(+VLOOKUP(Movimientos_2026[[#This Row],[Codigo]],Plan_cuentas[],2,FALSE)," ")</f>
        <v>INGRESOS</v>
      </c>
      <c r="F2507" t="str">
        <f>IFERROR(+VLOOKUP(Movimientos_2026[[#This Row],[Codigo]],Plan_cuentas[],3,FALSE)," ")</f>
        <v>Transferencia</v>
      </c>
      <c r="G2507" t="str">
        <f>IFERROR(+VLOOKUP(Movimientos_2026[[#This Row],[Codigo]],Plan_cuentas[],4,FALSE)," ")</f>
        <v>Rentas</v>
      </c>
      <c r="H2507" t="str">
        <f>IFERROR(+VLOOKUP(Movimientos_2026[[#This Row],[Codigo]],Plan_cuentas[],5,FALSE)," ")</f>
        <v>LA PAMPA</v>
      </c>
      <c r="I2507" s="43">
        <v>46204</v>
      </c>
      <c r="J2507" t="s">
        <v>1080</v>
      </c>
      <c r="K2507" t="str">
        <f>IFERROR(+VLOOKUP(Movimientos_2026[[#This Row],[Codigo]],Plan_cuentas[],6,FALSE)," ")</f>
        <v>6 - FCAtr - Fiat Transf.</v>
      </c>
      <c r="L2507" s="50">
        <v>97329.34</v>
      </c>
      <c r="M2507" s="50"/>
      <c r="N2507" s="20">
        <f>+Movimientos_2026[[#This Row],[Ingresos]]-Movimientos_2026[[#This Row],[Egresos]]</f>
        <v>97329.34</v>
      </c>
      <c r="O2507" s="20">
        <f>+O2506+Movimientos_2026[[#This Row],[Neto]]</f>
        <v>6495669290.7008171</v>
      </c>
    </row>
    <row r="2508" spans="1:15" x14ac:dyDescent="0.25">
      <c r="A2508" s="13">
        <v>46237</v>
      </c>
      <c r="B2508" s="12">
        <f>MONTH(Movimientos_2026[[#This Row],[Fecha]])</f>
        <v>8</v>
      </c>
      <c r="C2508" s="12" t="str">
        <f>VLOOKUP((WEEKDAY(Movimientos_2026[[#This Row],[Fecha]],2)),'5. Setup'!$D$6:$E$12,2,FALSE)</f>
        <v>Lun</v>
      </c>
      <c r="D2508">
        <v>1044264</v>
      </c>
      <c r="E2508" t="str">
        <f>IFERROR(+VLOOKUP(Movimientos_2026[[#This Row],[Codigo]],Plan_cuentas[],2,FALSE)," ")</f>
        <v>INGRESOS</v>
      </c>
      <c r="F2508" t="str">
        <f>IFERROR(+VLOOKUP(Movimientos_2026[[#This Row],[Codigo]],Plan_cuentas[],3,FALSE)," ")</f>
        <v>Transferencia</v>
      </c>
      <c r="G2508" t="str">
        <f>IFERROR(+VLOOKUP(Movimientos_2026[[#This Row],[Codigo]],Plan_cuentas[],4,FALSE)," ")</f>
        <v>Rentas</v>
      </c>
      <c r="H2508" t="str">
        <f>IFERROR(+VLOOKUP(Movimientos_2026[[#This Row],[Codigo]],Plan_cuentas[],5,FALSE)," ")</f>
        <v>LA PAMPA</v>
      </c>
      <c r="I2508" s="43">
        <v>46204</v>
      </c>
      <c r="J2508" t="s">
        <v>1080</v>
      </c>
      <c r="K2508" t="str">
        <f>IFERROR(+VLOOKUP(Movimientos_2026[[#This Row],[Codigo]],Plan_cuentas[],6,FALSE)," ")</f>
        <v>4 - FCA - Fiat</v>
      </c>
      <c r="L2508" s="50">
        <v>2918058.04</v>
      </c>
      <c r="M2508" s="50"/>
      <c r="N2508" s="20">
        <f>+Movimientos_2026[[#This Row],[Ingresos]]-Movimientos_2026[[#This Row],[Egresos]]</f>
        <v>2918058.04</v>
      </c>
      <c r="O2508" s="20">
        <f>+O2507+Movimientos_2026[[#This Row],[Neto]]</f>
        <v>6498587348.7408171</v>
      </c>
    </row>
    <row r="2509" spans="1:15" x14ac:dyDescent="0.25">
      <c r="A2509" s="13">
        <v>46237</v>
      </c>
      <c r="B2509" s="12">
        <f>MONTH(Movimientos_2026[[#This Row],[Fecha]])</f>
        <v>8</v>
      </c>
      <c r="C2509" s="12" t="str">
        <f>VLOOKUP((WEEKDAY(Movimientos_2026[[#This Row],[Fecha]],2)),'5. Setup'!$D$6:$E$12,2,FALSE)</f>
        <v>Lun</v>
      </c>
      <c r="D2509">
        <v>1044274</v>
      </c>
      <c r="E2509" t="str">
        <f>IFERROR(+VLOOKUP(Movimientos_2026[[#This Row],[Codigo]],Plan_cuentas[],2,FALSE)," ")</f>
        <v>INGRESOS</v>
      </c>
      <c r="F2509" t="str">
        <f>IFERROR(+VLOOKUP(Movimientos_2026[[#This Row],[Codigo]],Plan_cuentas[],3,FALSE)," ")</f>
        <v>Transferencia</v>
      </c>
      <c r="G2509" t="str">
        <f>IFERROR(+VLOOKUP(Movimientos_2026[[#This Row],[Codigo]],Plan_cuentas[],4,FALSE)," ")</f>
        <v>Rentas</v>
      </c>
      <c r="H2509" t="str">
        <f>IFERROR(+VLOOKUP(Movimientos_2026[[#This Row],[Codigo]],Plan_cuentas[],5,FALSE)," ")</f>
        <v>LA RIOJA</v>
      </c>
      <c r="I2509" s="43">
        <v>46204</v>
      </c>
      <c r="J2509" t="s">
        <v>1080</v>
      </c>
      <c r="K2509" t="str">
        <f>IFERROR(+VLOOKUP(Movimientos_2026[[#This Row],[Codigo]],Plan_cuentas[],6,FALSE)," ")</f>
        <v>4 - FCA - Fiat</v>
      </c>
      <c r="L2509" s="50">
        <v>24349906.120000001</v>
      </c>
      <c r="M2509" s="50"/>
      <c r="N2509" s="20">
        <f>+Movimientos_2026[[#This Row],[Ingresos]]-Movimientos_2026[[#This Row],[Egresos]]</f>
        <v>24349906.120000001</v>
      </c>
      <c r="O2509" s="20">
        <f>+O2508+Movimientos_2026[[#This Row],[Neto]]</f>
        <v>6522937254.860817</v>
      </c>
    </row>
    <row r="2510" spans="1:15" x14ac:dyDescent="0.25">
      <c r="A2510" s="13">
        <v>46237</v>
      </c>
      <c r="B2510" s="12">
        <f>MONTH(Movimientos_2026[[#This Row],[Fecha]])</f>
        <v>8</v>
      </c>
      <c r="C2510" s="12" t="str">
        <f>VLOOKUP((WEEKDAY(Movimientos_2026[[#This Row],[Fecha]],2)),'5. Setup'!$D$6:$E$12,2,FALSE)</f>
        <v>Lun</v>
      </c>
      <c r="D2510">
        <v>1044284</v>
      </c>
      <c r="E2510" t="str">
        <f>IFERROR(+VLOOKUP(Movimientos_2026[[#This Row],[Codigo]],Plan_cuentas[],2,FALSE)," ")</f>
        <v>INGRESOS</v>
      </c>
      <c r="F2510" t="str">
        <f>IFERROR(+VLOOKUP(Movimientos_2026[[#This Row],[Codigo]],Plan_cuentas[],3,FALSE)," ")</f>
        <v>Transferencia</v>
      </c>
      <c r="G2510" t="str">
        <f>IFERROR(+VLOOKUP(Movimientos_2026[[#This Row],[Codigo]],Plan_cuentas[],4,FALSE)," ")</f>
        <v>Rentas</v>
      </c>
      <c r="H2510" t="str">
        <f>IFERROR(+VLOOKUP(Movimientos_2026[[#This Row],[Codigo]],Plan_cuentas[],5,FALSE)," ")</f>
        <v>MENDOZA</v>
      </c>
      <c r="I2510" s="43">
        <v>46204</v>
      </c>
      <c r="J2510" t="s">
        <v>1080</v>
      </c>
      <c r="K2510" t="str">
        <f>IFERROR(+VLOOKUP(Movimientos_2026[[#This Row],[Codigo]],Plan_cuentas[],6,FALSE)," ")</f>
        <v>4 - FCA - Fiat</v>
      </c>
      <c r="L2510" s="50">
        <v>116542009</v>
      </c>
      <c r="M2510" s="50"/>
      <c r="N2510" s="20">
        <f>+Movimientos_2026[[#This Row],[Ingresos]]-Movimientos_2026[[#This Row],[Egresos]]</f>
        <v>116542009</v>
      </c>
      <c r="O2510" s="20">
        <f>+O2509+Movimientos_2026[[#This Row],[Neto]]</f>
        <v>6639479263.860817</v>
      </c>
    </row>
    <row r="2511" spans="1:15" x14ac:dyDescent="0.25">
      <c r="A2511" s="13">
        <v>46237</v>
      </c>
      <c r="B2511" s="12">
        <f>MONTH(Movimientos_2026[[#This Row],[Fecha]])</f>
        <v>8</v>
      </c>
      <c r="C2511" s="12" t="str">
        <f>VLOOKUP((WEEKDAY(Movimientos_2026[[#This Row],[Fecha]],2)),'5. Setup'!$D$6:$E$12,2,FALSE)</f>
        <v>Lun</v>
      </c>
      <c r="D2511">
        <v>1044286</v>
      </c>
      <c r="E2511" t="str">
        <f>IFERROR(+VLOOKUP(Movimientos_2026[[#This Row],[Codigo]],Plan_cuentas[],2,FALSE)," ")</f>
        <v>INGRESOS</v>
      </c>
      <c r="F2511" t="str">
        <f>IFERROR(+VLOOKUP(Movimientos_2026[[#This Row],[Codigo]],Plan_cuentas[],3,FALSE)," ")</f>
        <v>Transferencia</v>
      </c>
      <c r="G2511" t="str">
        <f>IFERROR(+VLOOKUP(Movimientos_2026[[#This Row],[Codigo]],Plan_cuentas[],4,FALSE)," ")</f>
        <v>Rentas</v>
      </c>
      <c r="H2511" t="str">
        <f>IFERROR(+VLOOKUP(Movimientos_2026[[#This Row],[Codigo]],Plan_cuentas[],5,FALSE)," ")</f>
        <v>MENDOZA</v>
      </c>
      <c r="I2511" s="43">
        <v>46204</v>
      </c>
      <c r="J2511" t="s">
        <v>1080</v>
      </c>
      <c r="K2511" t="str">
        <f>IFERROR(+VLOOKUP(Movimientos_2026[[#This Row],[Codigo]],Plan_cuentas[],6,FALSE)," ")</f>
        <v>6 - FCAtr - Fiat Transf.</v>
      </c>
      <c r="L2511" s="50">
        <v>4054362.76</v>
      </c>
      <c r="M2511" s="50"/>
      <c r="N2511" s="20">
        <f>+Movimientos_2026[[#This Row],[Ingresos]]-Movimientos_2026[[#This Row],[Egresos]]</f>
        <v>4054362.76</v>
      </c>
      <c r="O2511" s="20">
        <f>+O2510+Movimientos_2026[[#This Row],[Neto]]</f>
        <v>6643533626.6208172</v>
      </c>
    </row>
    <row r="2512" spans="1:15" x14ac:dyDescent="0.25">
      <c r="A2512" s="13">
        <v>46237</v>
      </c>
      <c r="B2512" s="12">
        <f>MONTH(Movimientos_2026[[#This Row],[Fecha]])</f>
        <v>8</v>
      </c>
      <c r="C2512" s="12" t="str">
        <f>VLOOKUP((WEEKDAY(Movimientos_2026[[#This Row],[Fecha]],2)),'5. Setup'!$D$6:$E$12,2,FALSE)</f>
        <v>Lun</v>
      </c>
      <c r="D2512">
        <v>1044464</v>
      </c>
      <c r="E2512" t="str">
        <f>IFERROR(+VLOOKUP(Movimientos_2026[[#This Row],[Codigo]],Plan_cuentas[],2,FALSE)," ")</f>
        <v>INGRESOS</v>
      </c>
      <c r="F2512" t="str">
        <f>IFERROR(+VLOOKUP(Movimientos_2026[[#This Row],[Codigo]],Plan_cuentas[],3,FALSE)," ")</f>
        <v>Transferencia</v>
      </c>
      <c r="G2512" t="str">
        <f>IFERROR(+VLOOKUP(Movimientos_2026[[#This Row],[Codigo]],Plan_cuentas[],4,FALSE)," ")</f>
        <v>Rentas</v>
      </c>
      <c r="H2512" t="str">
        <f>IFERROR(+VLOOKUP(Movimientos_2026[[#This Row],[Codigo]],Plan_cuentas[],5,FALSE)," ")</f>
        <v>MISIONES</v>
      </c>
      <c r="I2512" s="43">
        <v>46204</v>
      </c>
      <c r="J2512" t="s">
        <v>1080</v>
      </c>
      <c r="K2512" t="str">
        <f>IFERROR(+VLOOKUP(Movimientos_2026[[#This Row],[Codigo]],Plan_cuentas[],6,FALSE)," ")</f>
        <v>4 - FCA - Fiat</v>
      </c>
      <c r="L2512" s="50">
        <v>8674397.9100000001</v>
      </c>
      <c r="M2512" s="50"/>
      <c r="N2512" s="20">
        <f>+Movimientos_2026[[#This Row],[Ingresos]]-Movimientos_2026[[#This Row],[Egresos]]</f>
        <v>8674397.9100000001</v>
      </c>
      <c r="O2512" s="20">
        <f>+O2511+Movimientos_2026[[#This Row],[Neto]]</f>
        <v>6652208024.530817</v>
      </c>
    </row>
    <row r="2513" spans="1:15" x14ac:dyDescent="0.25">
      <c r="A2513" s="13">
        <v>46237</v>
      </c>
      <c r="B2513" s="12">
        <f>MONTH(Movimientos_2026[[#This Row],[Fecha]])</f>
        <v>8</v>
      </c>
      <c r="C2513" s="12" t="str">
        <f>VLOOKUP((WEEKDAY(Movimientos_2026[[#This Row],[Fecha]],2)),'5. Setup'!$D$6:$E$12,2,FALSE)</f>
        <v>Lun</v>
      </c>
      <c r="D2513">
        <v>1044324</v>
      </c>
      <c r="E2513" t="str">
        <f>IFERROR(+VLOOKUP(Movimientos_2026[[#This Row],[Codigo]],Plan_cuentas[],2,FALSE)," ")</f>
        <v>INGRESOS</v>
      </c>
      <c r="F2513" t="str">
        <f>IFERROR(+VLOOKUP(Movimientos_2026[[#This Row],[Codigo]],Plan_cuentas[],3,FALSE)," ")</f>
        <v>Transferencia</v>
      </c>
      <c r="G2513" t="str">
        <f>IFERROR(+VLOOKUP(Movimientos_2026[[#This Row],[Codigo]],Plan_cuentas[],4,FALSE)," ")</f>
        <v>Rentas</v>
      </c>
      <c r="H2513" t="str">
        <f>IFERROR(+VLOOKUP(Movimientos_2026[[#This Row],[Codigo]],Plan_cuentas[],5,FALSE)," ")</f>
        <v>NEUQUEN 2° Q</v>
      </c>
      <c r="I2513" s="43">
        <v>46204</v>
      </c>
      <c r="J2513" t="s">
        <v>1080</v>
      </c>
      <c r="K2513" t="str">
        <f>IFERROR(+VLOOKUP(Movimientos_2026[[#This Row],[Codigo]],Plan_cuentas[],6,FALSE)," ")</f>
        <v>4 - FCA - Fiat</v>
      </c>
      <c r="L2513" s="50">
        <v>82401440</v>
      </c>
      <c r="M2513" s="50"/>
      <c r="N2513" s="20">
        <f>+Movimientos_2026[[#This Row],[Ingresos]]-Movimientos_2026[[#This Row],[Egresos]]</f>
        <v>82401440</v>
      </c>
      <c r="O2513" s="20">
        <f>+O2512+Movimientos_2026[[#This Row],[Neto]]</f>
        <v>6734609464.530817</v>
      </c>
    </row>
    <row r="2514" spans="1:15" x14ac:dyDescent="0.25">
      <c r="A2514" s="13">
        <v>46237</v>
      </c>
      <c r="B2514" s="12">
        <f>MONTH(Movimientos_2026[[#This Row],[Fecha]])</f>
        <v>8</v>
      </c>
      <c r="C2514" s="12" t="str">
        <f>VLOOKUP((WEEKDAY(Movimientos_2026[[#This Row],[Fecha]],2)),'5. Setup'!$D$6:$E$12,2,FALSE)</f>
        <v>Lun</v>
      </c>
      <c r="D2514">
        <v>1044326</v>
      </c>
      <c r="E2514" t="str">
        <f>IFERROR(+VLOOKUP(Movimientos_2026[[#This Row],[Codigo]],Plan_cuentas[],2,FALSE)," ")</f>
        <v>INGRESOS</v>
      </c>
      <c r="F2514" t="str">
        <f>IFERROR(+VLOOKUP(Movimientos_2026[[#This Row],[Codigo]],Plan_cuentas[],3,FALSE)," ")</f>
        <v>Transferencia</v>
      </c>
      <c r="G2514" t="str">
        <f>IFERROR(+VLOOKUP(Movimientos_2026[[#This Row],[Codigo]],Plan_cuentas[],4,FALSE)," ")</f>
        <v>Rentas</v>
      </c>
      <c r="H2514" t="str">
        <f>IFERROR(+VLOOKUP(Movimientos_2026[[#This Row],[Codigo]],Plan_cuentas[],5,FALSE)," ")</f>
        <v>NEUQUEN 2° Q</v>
      </c>
      <c r="I2514" s="43">
        <v>46204</v>
      </c>
      <c r="J2514" t="s">
        <v>1080</v>
      </c>
      <c r="K2514" t="str">
        <f>IFERROR(+VLOOKUP(Movimientos_2026[[#This Row],[Codigo]],Plan_cuentas[],6,FALSE)," ")</f>
        <v>6 - FCAtr - Fiat Transf.</v>
      </c>
      <c r="L2514" s="50">
        <v>1364547.83</v>
      </c>
      <c r="M2514" s="50"/>
      <c r="N2514" s="20">
        <f>+Movimientos_2026[[#This Row],[Ingresos]]-Movimientos_2026[[#This Row],[Egresos]]</f>
        <v>1364547.83</v>
      </c>
      <c r="O2514" s="20">
        <f>+O2513+Movimientos_2026[[#This Row],[Neto]]</f>
        <v>6735974012.360817</v>
      </c>
    </row>
    <row r="2515" spans="1:15" x14ac:dyDescent="0.25">
      <c r="A2515" s="13">
        <v>46237</v>
      </c>
      <c r="B2515" s="12">
        <f>MONTH(Movimientos_2026[[#This Row],[Fecha]])</f>
        <v>8</v>
      </c>
      <c r="C2515" s="12" t="str">
        <f>VLOOKUP((WEEKDAY(Movimientos_2026[[#This Row],[Fecha]],2)),'5. Setup'!$D$6:$E$12,2,FALSE)</f>
        <v>Lun</v>
      </c>
      <c r="D2515">
        <v>1044354</v>
      </c>
      <c r="E2515" t="str">
        <f>IFERROR(+VLOOKUP(Movimientos_2026[[#This Row],[Codigo]],Plan_cuentas[],2,FALSE)," ")</f>
        <v>INGRESOS</v>
      </c>
      <c r="F2515" t="str">
        <f>IFERROR(+VLOOKUP(Movimientos_2026[[#This Row],[Codigo]],Plan_cuentas[],3,FALSE)," ")</f>
        <v>Transferencia</v>
      </c>
      <c r="G2515" t="str">
        <f>IFERROR(+VLOOKUP(Movimientos_2026[[#This Row],[Codigo]],Plan_cuentas[],4,FALSE)," ")</f>
        <v>Rentas</v>
      </c>
      <c r="H2515" t="str">
        <f>IFERROR(+VLOOKUP(Movimientos_2026[[#This Row],[Codigo]],Plan_cuentas[],5,FALSE)," ")</f>
        <v>SAN JUAN</v>
      </c>
      <c r="I2515" s="43">
        <v>46204</v>
      </c>
      <c r="J2515" t="s">
        <v>1080</v>
      </c>
      <c r="K2515" t="str">
        <f>IFERROR(+VLOOKUP(Movimientos_2026[[#This Row],[Codigo]],Plan_cuentas[],6,FALSE)," ")</f>
        <v>4 - FCA - Fiat</v>
      </c>
      <c r="L2515" s="50">
        <v>8503104</v>
      </c>
      <c r="M2515" s="50"/>
      <c r="N2515" s="20">
        <f>+Movimientos_2026[[#This Row],[Ingresos]]-Movimientos_2026[[#This Row],[Egresos]]</f>
        <v>8503104</v>
      </c>
      <c r="O2515" s="20">
        <f>+O2514+Movimientos_2026[[#This Row],[Neto]]</f>
        <v>6744477116.360817</v>
      </c>
    </row>
    <row r="2516" spans="1:15" x14ac:dyDescent="0.25">
      <c r="A2516" s="13">
        <v>46237</v>
      </c>
      <c r="B2516" s="12">
        <f>MONTH(Movimientos_2026[[#This Row],[Fecha]])</f>
        <v>8</v>
      </c>
      <c r="C2516" s="12" t="str">
        <f>VLOOKUP((WEEKDAY(Movimientos_2026[[#This Row],[Fecha]],2)),'5. Setup'!$D$6:$E$12,2,FALSE)</f>
        <v>Lun</v>
      </c>
      <c r="D2516">
        <v>1044356</v>
      </c>
      <c r="E2516" t="str">
        <f>IFERROR(+VLOOKUP(Movimientos_2026[[#This Row],[Codigo]],Plan_cuentas[],2,FALSE)," ")</f>
        <v>INGRESOS</v>
      </c>
      <c r="F2516" t="str">
        <f>IFERROR(+VLOOKUP(Movimientos_2026[[#This Row],[Codigo]],Plan_cuentas[],3,FALSE)," ")</f>
        <v>Transferencia</v>
      </c>
      <c r="G2516" t="str">
        <f>IFERROR(+VLOOKUP(Movimientos_2026[[#This Row],[Codigo]],Plan_cuentas[],4,FALSE)," ")</f>
        <v>Rentas</v>
      </c>
      <c r="H2516" t="str">
        <f>IFERROR(+VLOOKUP(Movimientos_2026[[#This Row],[Codigo]],Plan_cuentas[],5,FALSE)," ")</f>
        <v>SAN JUAN</v>
      </c>
      <c r="I2516" s="43">
        <v>46204</v>
      </c>
      <c r="J2516" t="s">
        <v>1080</v>
      </c>
      <c r="K2516" t="str">
        <f>IFERROR(+VLOOKUP(Movimientos_2026[[#This Row],[Codigo]],Plan_cuentas[],6,FALSE)," ")</f>
        <v>6 - FCAtr - Fiat Transf.</v>
      </c>
      <c r="L2516" s="50">
        <v>2009932.08</v>
      </c>
      <c r="M2516" s="50"/>
      <c r="N2516" s="20">
        <f>+Movimientos_2026[[#This Row],[Ingresos]]-Movimientos_2026[[#This Row],[Egresos]]</f>
        <v>2009932.08</v>
      </c>
      <c r="O2516" s="20">
        <f>+O2515+Movimientos_2026[[#This Row],[Neto]]</f>
        <v>6746487048.4408169</v>
      </c>
    </row>
    <row r="2517" spans="1:15" x14ac:dyDescent="0.25">
      <c r="A2517" s="13">
        <v>46237</v>
      </c>
      <c r="B2517" s="12">
        <f>MONTH(Movimientos_2026[[#This Row],[Fecha]])</f>
        <v>8</v>
      </c>
      <c r="C2517" s="12" t="str">
        <f>VLOOKUP((WEEKDAY(Movimientos_2026[[#This Row],[Fecha]],2)),'5. Setup'!$D$6:$E$12,2,FALSE)</f>
        <v>Lun</v>
      </c>
      <c r="D2517">
        <v>1044364</v>
      </c>
      <c r="E2517" t="str">
        <f>IFERROR(+VLOOKUP(Movimientos_2026[[#This Row],[Codigo]],Plan_cuentas[],2,FALSE)," ")</f>
        <v>INGRESOS</v>
      </c>
      <c r="F2517" t="str">
        <f>IFERROR(+VLOOKUP(Movimientos_2026[[#This Row],[Codigo]],Plan_cuentas[],3,FALSE)," ")</f>
        <v>Transferencia</v>
      </c>
      <c r="G2517" t="str">
        <f>IFERROR(+VLOOKUP(Movimientos_2026[[#This Row],[Codigo]],Plan_cuentas[],4,FALSE)," ")</f>
        <v>Rentas</v>
      </c>
      <c r="H2517" t="str">
        <f>IFERROR(+VLOOKUP(Movimientos_2026[[#This Row],[Codigo]],Plan_cuentas[],5,FALSE)," ")</f>
        <v>SAN LUIS</v>
      </c>
      <c r="I2517" s="43">
        <v>46204</v>
      </c>
      <c r="J2517" t="s">
        <v>1080</v>
      </c>
      <c r="K2517" t="str">
        <f>IFERROR(+VLOOKUP(Movimientos_2026[[#This Row],[Codigo]],Plan_cuentas[],6,FALSE)," ")</f>
        <v>4 - FCA - Fiat</v>
      </c>
      <c r="L2517" s="50">
        <v>38471380.159999996</v>
      </c>
      <c r="M2517" s="50"/>
      <c r="N2517" s="20">
        <f>+Movimientos_2026[[#This Row],[Ingresos]]-Movimientos_2026[[#This Row],[Egresos]]</f>
        <v>38471380.159999996</v>
      </c>
      <c r="O2517" s="20">
        <f>+O2516+Movimientos_2026[[#This Row],[Neto]]</f>
        <v>6784958428.6008167</v>
      </c>
    </row>
    <row r="2518" spans="1:15" x14ac:dyDescent="0.25">
      <c r="A2518" s="13">
        <v>46237</v>
      </c>
      <c r="B2518" s="12">
        <f>MONTH(Movimientos_2026[[#This Row],[Fecha]])</f>
        <v>8</v>
      </c>
      <c r="C2518" s="12" t="str">
        <f>VLOOKUP((WEEKDAY(Movimientos_2026[[#This Row],[Fecha]],2)),'5. Setup'!$D$6:$E$12,2,FALSE)</f>
        <v>Lun</v>
      </c>
      <c r="D2518">
        <v>1044374</v>
      </c>
      <c r="E2518" t="str">
        <f>IFERROR(+VLOOKUP(Movimientos_2026[[#This Row],[Codigo]],Plan_cuentas[],2,FALSE)," ")</f>
        <v>INGRESOS</v>
      </c>
      <c r="F2518" t="str">
        <f>IFERROR(+VLOOKUP(Movimientos_2026[[#This Row],[Codigo]],Plan_cuentas[],3,FALSE)," ")</f>
        <v>Transferencia</v>
      </c>
      <c r="G2518" t="str">
        <f>IFERROR(+VLOOKUP(Movimientos_2026[[#This Row],[Codigo]],Plan_cuentas[],4,FALSE)," ")</f>
        <v>Rentas</v>
      </c>
      <c r="H2518" t="str">
        <f>IFERROR(+VLOOKUP(Movimientos_2026[[#This Row],[Codigo]],Plan_cuentas[],5,FALSE)," ")</f>
        <v>SANTA CRUZ</v>
      </c>
      <c r="I2518" s="43">
        <v>46204</v>
      </c>
      <c r="J2518" t="s">
        <v>1080</v>
      </c>
      <c r="K2518" t="str">
        <f>IFERROR(+VLOOKUP(Movimientos_2026[[#This Row],[Codigo]],Plan_cuentas[],6,FALSE)," ")</f>
        <v>4 - FCA - Fiat</v>
      </c>
      <c r="L2518" s="50">
        <v>11717205.77</v>
      </c>
      <c r="M2518" s="50"/>
      <c r="N2518" s="20">
        <f>+Movimientos_2026[[#This Row],[Ingresos]]-Movimientos_2026[[#This Row],[Egresos]]</f>
        <v>11717205.77</v>
      </c>
      <c r="O2518" s="20">
        <f>+O2517+Movimientos_2026[[#This Row],[Neto]]</f>
        <v>6796675634.3708172</v>
      </c>
    </row>
    <row r="2519" spans="1:15" x14ac:dyDescent="0.25">
      <c r="A2519" s="13">
        <v>46237</v>
      </c>
      <c r="B2519" s="12">
        <f>MONTH(Movimientos_2026[[#This Row],[Fecha]])</f>
        <v>8</v>
      </c>
      <c r="C2519" s="12" t="str">
        <f>VLOOKUP((WEEKDAY(Movimientos_2026[[#This Row],[Fecha]],2)),'5. Setup'!$D$6:$E$12,2,FALSE)</f>
        <v>Lun</v>
      </c>
      <c r="D2519">
        <v>1044404</v>
      </c>
      <c r="E2519" t="str">
        <f>IFERROR(+VLOOKUP(Movimientos_2026[[#This Row],[Codigo]],Plan_cuentas[],2,FALSE)," ")</f>
        <v>INGRESOS</v>
      </c>
      <c r="F2519" t="str">
        <f>IFERROR(+VLOOKUP(Movimientos_2026[[#This Row],[Codigo]],Plan_cuentas[],3,FALSE)," ")</f>
        <v>Transferencia</v>
      </c>
      <c r="G2519" t="str">
        <f>IFERROR(+VLOOKUP(Movimientos_2026[[#This Row],[Codigo]],Plan_cuentas[],4,FALSE)," ")</f>
        <v>Rentas</v>
      </c>
      <c r="H2519" t="str">
        <f>IFERROR(+VLOOKUP(Movimientos_2026[[#This Row],[Codigo]],Plan_cuentas[],5,FALSE)," ")</f>
        <v>SANTIAGO DEL ESTERO</v>
      </c>
      <c r="I2519" s="43">
        <v>46204</v>
      </c>
      <c r="J2519" t="s">
        <v>1080</v>
      </c>
      <c r="K2519" t="str">
        <f>IFERROR(+VLOOKUP(Movimientos_2026[[#This Row],[Codigo]],Plan_cuentas[],6,FALSE)," ")</f>
        <v>4 - FCA - Fiat</v>
      </c>
      <c r="L2519" s="50">
        <v>36219729.219999999</v>
      </c>
      <c r="M2519" s="50"/>
      <c r="N2519" s="20">
        <f>+Movimientos_2026[[#This Row],[Ingresos]]-Movimientos_2026[[#This Row],[Egresos]]</f>
        <v>36219729.219999999</v>
      </c>
      <c r="O2519" s="20">
        <f>+O2518+Movimientos_2026[[#This Row],[Neto]]</f>
        <v>6832895363.5908175</v>
      </c>
    </row>
    <row r="2520" spans="1:15" x14ac:dyDescent="0.25">
      <c r="A2520" s="13">
        <v>46237</v>
      </c>
      <c r="B2520" s="12">
        <f>MONTH(Movimientos_2026[[#This Row],[Fecha]])</f>
        <v>8</v>
      </c>
      <c r="C2520" s="12" t="str">
        <f>VLOOKUP((WEEKDAY(Movimientos_2026[[#This Row],[Fecha]],2)),'5. Setup'!$D$6:$E$12,2,FALSE)</f>
        <v>Lun</v>
      </c>
      <c r="D2520">
        <v>1044406</v>
      </c>
      <c r="E2520" t="str">
        <f>IFERROR(+VLOOKUP(Movimientos_2026[[#This Row],[Codigo]],Plan_cuentas[],2,FALSE)," ")</f>
        <v>INGRESOS</v>
      </c>
      <c r="F2520" t="str">
        <f>IFERROR(+VLOOKUP(Movimientos_2026[[#This Row],[Codigo]],Plan_cuentas[],3,FALSE)," ")</f>
        <v>Transferencia</v>
      </c>
      <c r="G2520" t="str">
        <f>IFERROR(+VLOOKUP(Movimientos_2026[[#This Row],[Codigo]],Plan_cuentas[],4,FALSE)," ")</f>
        <v>Rentas</v>
      </c>
      <c r="H2520" t="str">
        <f>IFERROR(+VLOOKUP(Movimientos_2026[[#This Row],[Codigo]],Plan_cuentas[],5,FALSE)," ")</f>
        <v>SANTIAGO DEL ESTERO</v>
      </c>
      <c r="I2520" s="43">
        <v>46204</v>
      </c>
      <c r="J2520" t="s">
        <v>1080</v>
      </c>
      <c r="K2520" t="str">
        <f>IFERROR(+VLOOKUP(Movimientos_2026[[#This Row],[Codigo]],Plan_cuentas[],6,FALSE)," ")</f>
        <v>6 - FCAtr - Fiat Transf.</v>
      </c>
      <c r="L2520" s="50">
        <v>544589.96000000008</v>
      </c>
      <c r="M2520" s="50"/>
      <c r="N2520" s="20">
        <f>+Movimientos_2026[[#This Row],[Ingresos]]-Movimientos_2026[[#This Row],[Egresos]]</f>
        <v>544589.96000000008</v>
      </c>
      <c r="O2520" s="20">
        <f>+O2519+Movimientos_2026[[#This Row],[Neto]]</f>
        <v>6833439953.5508175</v>
      </c>
    </row>
    <row r="2521" spans="1:15" x14ac:dyDescent="0.25">
      <c r="A2521" s="13">
        <v>46237</v>
      </c>
      <c r="B2521" s="12">
        <f>MONTH(Movimientos_2026[[#This Row],[Fecha]])</f>
        <v>8</v>
      </c>
      <c r="C2521" s="12" t="str">
        <f>VLOOKUP((WEEKDAY(Movimientos_2026[[#This Row],[Fecha]],2)),'5. Setup'!$D$6:$E$12,2,FALSE)</f>
        <v>Lun</v>
      </c>
      <c r="D2521">
        <v>1044404</v>
      </c>
      <c r="E2521" t="str">
        <f>IFERROR(+VLOOKUP(Movimientos_2026[[#This Row],[Codigo]],Plan_cuentas[],2,FALSE)," ")</f>
        <v>INGRESOS</v>
      </c>
      <c r="F2521" t="str">
        <f>IFERROR(+VLOOKUP(Movimientos_2026[[#This Row],[Codigo]],Plan_cuentas[],3,FALSE)," ")</f>
        <v>Transferencia</v>
      </c>
      <c r="G2521" t="str">
        <f>IFERROR(+VLOOKUP(Movimientos_2026[[#This Row],[Codigo]],Plan_cuentas[],4,FALSE)," ")</f>
        <v>Rentas</v>
      </c>
      <c r="H2521" t="str">
        <f>IFERROR(+VLOOKUP(Movimientos_2026[[#This Row],[Codigo]],Plan_cuentas[],5,FALSE)," ")</f>
        <v>SANTIAGO DEL ESTERO</v>
      </c>
      <c r="I2521" s="43">
        <v>46204</v>
      </c>
      <c r="J2521" t="s">
        <v>1080</v>
      </c>
      <c r="K2521" t="str">
        <f>IFERROR(+VLOOKUP(Movimientos_2026[[#This Row],[Codigo]],Plan_cuentas[],6,FALSE)," ")</f>
        <v>4 - FCA - Fiat</v>
      </c>
      <c r="L2521" s="50">
        <v>9846815.8399999999</v>
      </c>
      <c r="M2521" s="50"/>
      <c r="N2521" s="20">
        <f>+Movimientos_2026[[#This Row],[Ingresos]]-Movimientos_2026[[#This Row],[Egresos]]</f>
        <v>9846815.8399999999</v>
      </c>
      <c r="O2521" s="20">
        <f>+O2520+Movimientos_2026[[#This Row],[Neto]]</f>
        <v>6843286769.3908176</v>
      </c>
    </row>
    <row r="2522" spans="1:15" x14ac:dyDescent="0.25">
      <c r="A2522" s="13">
        <v>46237</v>
      </c>
      <c r="B2522" s="12">
        <f>MONTH(Movimientos_2026[[#This Row],[Fecha]])</f>
        <v>8</v>
      </c>
      <c r="C2522" s="12" t="str">
        <f>VLOOKUP((WEEKDAY(Movimientos_2026[[#This Row],[Fecha]],2)),'5. Setup'!$D$6:$E$12,2,FALSE)</f>
        <v>Lun</v>
      </c>
      <c r="D2522">
        <v>1044414</v>
      </c>
      <c r="E2522" t="str">
        <f>IFERROR(+VLOOKUP(Movimientos_2026[[#This Row],[Codigo]],Plan_cuentas[],2,FALSE)," ")</f>
        <v>INGRESOS</v>
      </c>
      <c r="F2522" t="str">
        <f>IFERROR(+VLOOKUP(Movimientos_2026[[#This Row],[Codigo]],Plan_cuentas[],3,FALSE)," ")</f>
        <v>Transferencia</v>
      </c>
      <c r="G2522" t="str">
        <f>IFERROR(+VLOOKUP(Movimientos_2026[[#This Row],[Codigo]],Plan_cuentas[],4,FALSE)," ")</f>
        <v>Rentas</v>
      </c>
      <c r="H2522" t="str">
        <f>IFERROR(+VLOOKUP(Movimientos_2026[[#This Row],[Codigo]],Plan_cuentas[],5,FALSE)," ")</f>
        <v>TIERRA DEL FUEGO</v>
      </c>
      <c r="I2522" s="43">
        <v>46204</v>
      </c>
      <c r="J2522" t="s">
        <v>1080</v>
      </c>
      <c r="K2522" t="str">
        <f>IFERROR(+VLOOKUP(Movimientos_2026[[#This Row],[Codigo]],Plan_cuentas[],6,FALSE)," ")</f>
        <v>4 - FCA - Fiat</v>
      </c>
      <c r="L2522" s="50">
        <v>19751111.399999999</v>
      </c>
      <c r="M2522" s="50"/>
      <c r="N2522" s="20">
        <f>+Movimientos_2026[[#This Row],[Ingresos]]-Movimientos_2026[[#This Row],[Egresos]]</f>
        <v>19751111.399999999</v>
      </c>
      <c r="O2522" s="20">
        <f>+O2521+Movimientos_2026[[#This Row],[Neto]]</f>
        <v>6863037880.7908173</v>
      </c>
    </row>
    <row r="2523" spans="1:15" x14ac:dyDescent="0.25">
      <c r="A2523" s="13">
        <v>46237</v>
      </c>
      <c r="B2523" s="12">
        <f>MONTH(Movimientos_2026[[#This Row],[Fecha]])</f>
        <v>8</v>
      </c>
      <c r="C2523" s="12" t="str">
        <f>VLOOKUP((WEEKDAY(Movimientos_2026[[#This Row],[Fecha]],2)),'5. Setup'!$D$6:$E$12,2,FALSE)</f>
        <v>Lun</v>
      </c>
      <c r="D2523">
        <v>1044312</v>
      </c>
      <c r="E2523" t="str">
        <f>IFERROR(+VLOOKUP(Movimientos_2026[[#This Row],[Codigo]],Plan_cuentas[],2,FALSE)," ")</f>
        <v>INGRESOS</v>
      </c>
      <c r="F2523" t="str">
        <f>IFERROR(+VLOOKUP(Movimientos_2026[[#This Row],[Codigo]],Plan_cuentas[],3,FALSE)," ")</f>
        <v>Transferencia</v>
      </c>
      <c r="G2523" t="str">
        <f>IFERROR(+VLOOKUP(Movimientos_2026[[#This Row],[Codigo]],Plan_cuentas[],4,FALSE)," ")</f>
        <v>Rentas</v>
      </c>
      <c r="H2523" t="str">
        <f>IFERROR(+VLOOKUP(Movimientos_2026[[#This Row],[Codigo]],Plan_cuentas[],5,FALSE)," ")</f>
        <v>NEUQUEN 1° Q</v>
      </c>
      <c r="I2523" s="43">
        <v>46204</v>
      </c>
      <c r="J2523" t="s">
        <v>1081</v>
      </c>
      <c r="K2523" t="str">
        <f>IFERROR(+VLOOKUP(Movimientos_2026[[#This Row],[Codigo]],Plan_cuentas[],6,FALSE)," ")</f>
        <v>2 - PR - Plan Rombo</v>
      </c>
      <c r="L2523" s="50">
        <v>19178700</v>
      </c>
      <c r="M2523" s="50"/>
      <c r="N2523" s="20">
        <f>+Movimientos_2026[[#This Row],[Ingresos]]-Movimientos_2026[[#This Row],[Egresos]]</f>
        <v>19178700</v>
      </c>
      <c r="O2523" s="20">
        <f>+O2522+Movimientos_2026[[#This Row],[Neto]]</f>
        <v>6882216580.7908173</v>
      </c>
    </row>
    <row r="2524" spans="1:15" x14ac:dyDescent="0.25">
      <c r="A2524" s="13">
        <v>46237</v>
      </c>
      <c r="B2524" s="12">
        <f>MONTH(Movimientos_2026[[#This Row],[Fecha]])</f>
        <v>8</v>
      </c>
      <c r="C2524" s="12" t="str">
        <f>VLOOKUP((WEEKDAY(Movimientos_2026[[#This Row],[Fecha]],2)),'5. Setup'!$D$6:$E$12,2,FALSE)</f>
        <v>Lun</v>
      </c>
      <c r="D2524">
        <v>1044202</v>
      </c>
      <c r="E2524" t="str">
        <f>IFERROR(+VLOOKUP(Movimientos_2026[[#This Row],[Codigo]],Plan_cuentas[],2,FALSE)," ")</f>
        <v>INGRESOS</v>
      </c>
      <c r="F2524" t="str">
        <f>IFERROR(+VLOOKUP(Movimientos_2026[[#This Row],[Codigo]],Plan_cuentas[],3,FALSE)," ")</f>
        <v>Transferencia</v>
      </c>
      <c r="G2524" t="str">
        <f>IFERROR(+VLOOKUP(Movimientos_2026[[#This Row],[Codigo]],Plan_cuentas[],4,FALSE)," ")</f>
        <v>Rentas</v>
      </c>
      <c r="H2524" t="str">
        <f>IFERROR(+VLOOKUP(Movimientos_2026[[#This Row],[Codigo]],Plan_cuentas[],5,FALSE)," ")</f>
        <v>CORRIENTES 1° Q</v>
      </c>
      <c r="I2524" s="43">
        <v>46204</v>
      </c>
      <c r="J2524" t="s">
        <v>1081</v>
      </c>
      <c r="K2524" t="str">
        <f>IFERROR(+VLOOKUP(Movimientos_2026[[#This Row],[Codigo]],Plan_cuentas[],6,FALSE)," ")</f>
        <v>2 - PR - Plan Rombo</v>
      </c>
      <c r="L2524" s="50">
        <v>31130132.960000001</v>
      </c>
      <c r="M2524" s="50"/>
      <c r="N2524" s="20">
        <f>+Movimientos_2026[[#This Row],[Ingresos]]-Movimientos_2026[[#This Row],[Egresos]]</f>
        <v>31130132.960000001</v>
      </c>
      <c r="O2524" s="20">
        <f>+O2523+Movimientos_2026[[#This Row],[Neto]]</f>
        <v>6913346713.7508173</v>
      </c>
    </row>
    <row r="2525" spans="1:15" x14ac:dyDescent="0.25">
      <c r="A2525" s="13">
        <v>46237</v>
      </c>
      <c r="B2525" s="12">
        <f>MONTH(Movimientos_2026[[#This Row],[Fecha]])</f>
        <v>8</v>
      </c>
      <c r="C2525" s="12" t="str">
        <f>VLOOKUP((WEEKDAY(Movimientos_2026[[#This Row],[Fecha]],2)),'5. Setup'!$D$6:$E$12,2,FALSE)</f>
        <v>Lun</v>
      </c>
      <c r="D2525">
        <v>1044462</v>
      </c>
      <c r="E2525" t="str">
        <f>IFERROR(+VLOOKUP(Movimientos_2026[[#This Row],[Codigo]],Plan_cuentas[],2,FALSE)," ")</f>
        <v>INGRESOS</v>
      </c>
      <c r="F2525" t="str">
        <f>IFERROR(+VLOOKUP(Movimientos_2026[[#This Row],[Codigo]],Plan_cuentas[],3,FALSE)," ")</f>
        <v>Transferencia</v>
      </c>
      <c r="G2525" t="str">
        <f>IFERROR(+VLOOKUP(Movimientos_2026[[#This Row],[Codigo]],Plan_cuentas[],4,FALSE)," ")</f>
        <v>Rentas</v>
      </c>
      <c r="H2525" t="str">
        <f>IFERROR(+VLOOKUP(Movimientos_2026[[#This Row],[Codigo]],Plan_cuentas[],5,FALSE)," ")</f>
        <v>MISIONES</v>
      </c>
      <c r="I2525" s="43">
        <v>46204</v>
      </c>
      <c r="J2525" t="s">
        <v>1081</v>
      </c>
      <c r="K2525" t="str">
        <f>IFERROR(+VLOOKUP(Movimientos_2026[[#This Row],[Codigo]],Plan_cuentas[],6,FALSE)," ")</f>
        <v>2 - PR - Plan Rombo</v>
      </c>
      <c r="L2525" s="50">
        <v>2848270.92</v>
      </c>
      <c r="M2525" s="50"/>
      <c r="N2525" s="20">
        <f>+Movimientos_2026[[#This Row],[Ingresos]]-Movimientos_2026[[#This Row],[Egresos]]</f>
        <v>2848270.92</v>
      </c>
      <c r="O2525" s="20">
        <f>+O2524+Movimientos_2026[[#This Row],[Neto]]</f>
        <v>6916194984.6708174</v>
      </c>
    </row>
    <row r="2526" spans="1:15" x14ac:dyDescent="0.25">
      <c r="A2526" s="13">
        <v>46238</v>
      </c>
      <c r="B2526" s="12">
        <f>MONTH(Movimientos_2026[[#This Row],[Fecha]])</f>
        <v>8</v>
      </c>
      <c r="C2526" s="12" t="str">
        <f>VLOOKUP((WEEKDAY(Movimientos_2026[[#This Row],[Fecha]],2)),'5. Setup'!$D$6:$E$12,2,FALSE)</f>
        <v>Mar</v>
      </c>
      <c r="D2526">
        <v>2044462</v>
      </c>
      <c r="E2526" t="str">
        <f>IFERROR(+VLOOKUP(Movimientos_2026[[#This Row],[Codigo]],Plan_cuentas[],2,FALSE)," ")</f>
        <v>EGRESOS</v>
      </c>
      <c r="F2526" t="str">
        <f>IFERROR(+VLOOKUP(Movimientos_2026[[#This Row],[Codigo]],Plan_cuentas[],3,FALSE)," ")</f>
        <v>Transferencia</v>
      </c>
      <c r="G2526" t="str">
        <f>IFERROR(+VLOOKUP(Movimientos_2026[[#This Row],[Codigo]],Plan_cuentas[],4,FALSE)," ")</f>
        <v>Rentas</v>
      </c>
      <c r="H2526" t="str">
        <f>IFERROR(+VLOOKUP(Movimientos_2026[[#This Row],[Codigo]],Plan_cuentas[],5,FALSE)," ")</f>
        <v>MISIONES</v>
      </c>
      <c r="I2526" s="43">
        <v>46204</v>
      </c>
      <c r="J2526" t="s">
        <v>1082</v>
      </c>
      <c r="K2526" t="str">
        <f>IFERROR(+VLOOKUP(Movimientos_2026[[#This Row],[Codigo]],Plan_cuentas[],6,FALSE)," ")</f>
        <v>2 - PR - Plan Rombo</v>
      </c>
      <c r="L2526" s="50"/>
      <c r="M2526" s="50">
        <v>814407.3</v>
      </c>
      <c r="N2526" s="20">
        <f>+Movimientos_2026[[#This Row],[Ingresos]]-Movimientos_2026[[#This Row],[Egresos]]</f>
        <v>-814407.3</v>
      </c>
      <c r="O2526" s="20">
        <f>+O2525+Movimientos_2026[[#This Row],[Neto]]</f>
        <v>6915380577.3708172</v>
      </c>
    </row>
    <row r="2527" spans="1:15" x14ac:dyDescent="0.25">
      <c r="A2527" s="13">
        <v>46238</v>
      </c>
      <c r="B2527" s="12">
        <f>MONTH(Movimientos_2026[[#This Row],[Fecha]])</f>
        <v>8</v>
      </c>
      <c r="C2527" s="12" t="str">
        <f>VLOOKUP((WEEKDAY(Movimientos_2026[[#This Row],[Fecha]],2)),'5. Setup'!$D$6:$E$12,2,FALSE)</f>
        <v>Mar</v>
      </c>
      <c r="D2527">
        <v>1043155</v>
      </c>
      <c r="E2527" t="str">
        <f>IFERROR(+VLOOKUP(Movimientos_2026[[#This Row],[Codigo]],Plan_cuentas[],2,FALSE)," ")</f>
        <v>INGRESOS</v>
      </c>
      <c r="F2527" t="str">
        <f>IFERROR(+VLOOKUP(Movimientos_2026[[#This Row],[Codigo]],Plan_cuentas[],3,FALSE)," ")</f>
        <v>Transferencia</v>
      </c>
      <c r="G2527" t="str">
        <f>IFERROR(+VLOOKUP(Movimientos_2026[[#This Row],[Codigo]],Plan_cuentas[],4,FALSE)," ")</f>
        <v>Registración</v>
      </c>
      <c r="H2527" t="str">
        <f>IFERROR(+VLOOKUP(Movimientos_2026[[#This Row],[Codigo]],Plan_cuentas[],5,FALSE)," ")</f>
        <v>CABA</v>
      </c>
      <c r="I2527" s="43">
        <v>46174</v>
      </c>
      <c r="J2527" t="s">
        <v>1083</v>
      </c>
      <c r="K2527" t="str">
        <f>IFERROR(+VLOOKUP(Movimientos_2026[[#This Row],[Codigo]],Plan_cuentas[],6,FALSE)," ")</f>
        <v>5 - YAM - Yamaha</v>
      </c>
      <c r="L2527" s="50">
        <v>22546961.600000001</v>
      </c>
      <c r="M2527" s="50"/>
      <c r="N2527" s="20">
        <f>+Movimientos_2026[[#This Row],[Ingresos]]-Movimientos_2026[[#This Row],[Egresos]]</f>
        <v>22546961.600000001</v>
      </c>
      <c r="O2527" s="20">
        <f>+O2526+Movimientos_2026[[#This Row],[Neto]]</f>
        <v>6937927538.9708176</v>
      </c>
    </row>
    <row r="2528" spans="1:15" x14ac:dyDescent="0.25">
      <c r="A2528" s="13">
        <v>46238</v>
      </c>
      <c r="B2528" s="12">
        <f>MONTH(Movimientos_2026[[#This Row],[Fecha]])</f>
        <v>8</v>
      </c>
      <c r="C2528" s="12" t="str">
        <f>VLOOKUP((WEEKDAY(Movimientos_2026[[#This Row],[Fecha]],2)),'5. Setup'!$D$6:$E$12,2,FALSE)</f>
        <v>Mar</v>
      </c>
      <c r="D2528">
        <v>1043175</v>
      </c>
      <c r="E2528" t="str">
        <f>IFERROR(+VLOOKUP(Movimientos_2026[[#This Row],[Codigo]],Plan_cuentas[],2,FALSE)," ")</f>
        <v>INGRESOS</v>
      </c>
      <c r="F2528" t="str">
        <f>IFERROR(+VLOOKUP(Movimientos_2026[[#This Row],[Codigo]],Plan_cuentas[],3,FALSE)," ")</f>
        <v>Transferencia</v>
      </c>
      <c r="G2528" t="str">
        <f>IFERROR(+VLOOKUP(Movimientos_2026[[#This Row],[Codigo]],Plan_cuentas[],4,FALSE)," ")</f>
        <v>Registración</v>
      </c>
      <c r="H2528" t="str">
        <f>IFERROR(+VLOOKUP(Movimientos_2026[[#This Row],[Codigo]],Plan_cuentas[],5,FALSE)," ")</f>
        <v>CHUBUT</v>
      </c>
      <c r="I2528" s="43">
        <v>46174</v>
      </c>
      <c r="J2528" t="s">
        <v>1083</v>
      </c>
      <c r="K2528" t="str">
        <f>IFERROR(+VLOOKUP(Movimientos_2026[[#This Row],[Codigo]],Plan_cuentas[],6,FALSE)," ")</f>
        <v>5 - YAM - Yamaha</v>
      </c>
      <c r="L2528" s="50">
        <v>460085.89</v>
      </c>
      <c r="M2528" s="50"/>
      <c r="N2528" s="20">
        <f>+Movimientos_2026[[#This Row],[Ingresos]]-Movimientos_2026[[#This Row],[Egresos]]</f>
        <v>460085.89</v>
      </c>
      <c r="O2528" s="20">
        <f>+O2527+Movimientos_2026[[#This Row],[Neto]]</f>
        <v>6938387624.8608179</v>
      </c>
    </row>
    <row r="2529" spans="1:15" x14ac:dyDescent="0.25">
      <c r="A2529" s="13">
        <v>46238</v>
      </c>
      <c r="B2529" s="12">
        <f>MONTH(Movimientos_2026[[#This Row],[Fecha]])</f>
        <v>8</v>
      </c>
      <c r="C2529" s="12" t="str">
        <f>VLOOKUP((WEEKDAY(Movimientos_2026[[#This Row],[Fecha]],2)),'5. Setup'!$D$6:$E$12,2,FALSE)</f>
        <v>Mar</v>
      </c>
      <c r="D2529">
        <v>1043245</v>
      </c>
      <c r="E2529" t="str">
        <f>IFERROR(+VLOOKUP(Movimientos_2026[[#This Row],[Codigo]],Plan_cuentas[],2,FALSE)," ")</f>
        <v>INGRESOS</v>
      </c>
      <c r="F2529" t="str">
        <f>IFERROR(+VLOOKUP(Movimientos_2026[[#This Row],[Codigo]],Plan_cuentas[],3,FALSE)," ")</f>
        <v>Transferencia</v>
      </c>
      <c r="G2529" t="str">
        <f>IFERROR(+VLOOKUP(Movimientos_2026[[#This Row],[Codigo]],Plan_cuentas[],4,FALSE)," ")</f>
        <v>Registración</v>
      </c>
      <c r="H2529" t="str">
        <f>IFERROR(+VLOOKUP(Movimientos_2026[[#This Row],[Codigo]],Plan_cuentas[],5,FALSE)," ")</f>
        <v>FORMOSA</v>
      </c>
      <c r="I2529" s="43">
        <v>46174</v>
      </c>
      <c r="J2529" t="s">
        <v>1083</v>
      </c>
      <c r="K2529" t="str">
        <f>IFERROR(+VLOOKUP(Movimientos_2026[[#This Row],[Codigo]],Plan_cuentas[],6,FALSE)," ")</f>
        <v>5 - YAM - Yamaha</v>
      </c>
      <c r="L2529" s="50">
        <v>336903.5</v>
      </c>
      <c r="M2529" s="50"/>
      <c r="N2529" s="20">
        <f>+Movimientos_2026[[#This Row],[Ingresos]]-Movimientos_2026[[#This Row],[Egresos]]</f>
        <v>336903.5</v>
      </c>
      <c r="O2529" s="20">
        <f>+O2528+Movimientos_2026[[#This Row],[Neto]]</f>
        <v>6938724528.3608179</v>
      </c>
    </row>
    <row r="2530" spans="1:15" x14ac:dyDescent="0.25">
      <c r="A2530" s="13">
        <v>46238</v>
      </c>
      <c r="B2530" s="12">
        <f>MONTH(Movimientos_2026[[#This Row],[Fecha]])</f>
        <v>8</v>
      </c>
      <c r="C2530" s="12" t="str">
        <f>VLOOKUP((WEEKDAY(Movimientos_2026[[#This Row],[Fecha]],2)),'5. Setup'!$D$6:$E$12,2,FALSE)</f>
        <v>Mar</v>
      </c>
      <c r="D2530">
        <v>1043375</v>
      </c>
      <c r="E2530" t="str">
        <f>IFERROR(+VLOOKUP(Movimientos_2026[[#This Row],[Codigo]],Plan_cuentas[],2,FALSE)," ")</f>
        <v>INGRESOS</v>
      </c>
      <c r="F2530" t="str">
        <f>IFERROR(+VLOOKUP(Movimientos_2026[[#This Row],[Codigo]],Plan_cuentas[],3,FALSE)," ")</f>
        <v>Transferencia</v>
      </c>
      <c r="G2530" t="str">
        <f>IFERROR(+VLOOKUP(Movimientos_2026[[#This Row],[Codigo]],Plan_cuentas[],4,FALSE)," ")</f>
        <v>Registración</v>
      </c>
      <c r="H2530" t="str">
        <f>IFERROR(+VLOOKUP(Movimientos_2026[[#This Row],[Codigo]],Plan_cuentas[],5,FALSE)," ")</f>
        <v>SANTA CRUZ</v>
      </c>
      <c r="I2530" s="43">
        <v>46174</v>
      </c>
      <c r="J2530" t="s">
        <v>1083</v>
      </c>
      <c r="K2530" t="str">
        <f>IFERROR(+VLOOKUP(Movimientos_2026[[#This Row],[Codigo]],Plan_cuentas[],6,FALSE)," ")</f>
        <v>5 - YAM - Yamaha</v>
      </c>
      <c r="L2530" s="50">
        <v>705929.99</v>
      </c>
      <c r="M2530" s="50"/>
      <c r="N2530" s="20">
        <f>+Movimientos_2026[[#This Row],[Ingresos]]-Movimientos_2026[[#This Row],[Egresos]]</f>
        <v>705929.99</v>
      </c>
      <c r="O2530" s="20">
        <f>+O2529+Movimientos_2026[[#This Row],[Neto]]</f>
        <v>6939430458.3508177</v>
      </c>
    </row>
    <row r="2531" spans="1:15" x14ac:dyDescent="0.25">
      <c r="A2531" s="13">
        <v>46238</v>
      </c>
      <c r="B2531" s="12">
        <f>MONTH(Movimientos_2026[[#This Row],[Fecha]])</f>
        <v>8</v>
      </c>
      <c r="C2531" s="12" t="str">
        <f>VLOOKUP((WEEKDAY(Movimientos_2026[[#This Row],[Fecha]],2)),'5. Setup'!$D$6:$E$12,2,FALSE)</f>
        <v>Mar</v>
      </c>
      <c r="D2531">
        <v>1043385</v>
      </c>
      <c r="E2531" t="str">
        <f>IFERROR(+VLOOKUP(Movimientos_2026[[#This Row],[Codigo]],Plan_cuentas[],2,FALSE)," ")</f>
        <v>INGRESOS</v>
      </c>
      <c r="F2531" t="str">
        <f>IFERROR(+VLOOKUP(Movimientos_2026[[#This Row],[Codigo]],Plan_cuentas[],3,FALSE)," ")</f>
        <v>Transferencia</v>
      </c>
      <c r="G2531" t="str">
        <f>IFERROR(+VLOOKUP(Movimientos_2026[[#This Row],[Codigo]],Plan_cuentas[],4,FALSE)," ")</f>
        <v>Registración</v>
      </c>
      <c r="H2531" t="str">
        <f>IFERROR(+VLOOKUP(Movimientos_2026[[#This Row],[Codigo]],Plan_cuentas[],5,FALSE)," ")</f>
        <v>SANTA FE 1° Q</v>
      </c>
      <c r="I2531" s="43">
        <v>46174</v>
      </c>
      <c r="J2531" t="s">
        <v>1083</v>
      </c>
      <c r="K2531" t="str">
        <f>IFERROR(+VLOOKUP(Movimientos_2026[[#This Row],[Codigo]],Plan_cuentas[],6,FALSE)," ")</f>
        <v>5 - YAM - Yamaha</v>
      </c>
      <c r="L2531" s="50">
        <v>1442223.82</v>
      </c>
      <c r="M2531" s="50"/>
      <c r="N2531" s="20">
        <f>+Movimientos_2026[[#This Row],[Ingresos]]-Movimientos_2026[[#This Row],[Egresos]]</f>
        <v>1442223.82</v>
      </c>
      <c r="O2531" s="20">
        <f>+O2530+Movimientos_2026[[#This Row],[Neto]]</f>
        <v>6940872682.1708174</v>
      </c>
    </row>
    <row r="2532" spans="1:15" x14ac:dyDescent="0.25">
      <c r="A2532" s="13">
        <v>46238</v>
      </c>
      <c r="B2532" s="12">
        <f>MONTH(Movimientos_2026[[#This Row],[Fecha]])</f>
        <v>8</v>
      </c>
      <c r="C2532" s="12" t="str">
        <f>VLOOKUP((WEEKDAY(Movimientos_2026[[#This Row],[Fecha]],2)),'5. Setup'!$D$6:$E$12,2,FALSE)</f>
        <v>Mar</v>
      </c>
      <c r="D2532">
        <v>1044165</v>
      </c>
      <c r="E2532" t="str">
        <f>IFERROR(+VLOOKUP(Movimientos_2026[[#This Row],[Codigo]],Plan_cuentas[],2,FALSE)," ")</f>
        <v>INGRESOS</v>
      </c>
      <c r="F2532" t="str">
        <f>IFERROR(+VLOOKUP(Movimientos_2026[[#This Row],[Codigo]],Plan_cuentas[],3,FALSE)," ")</f>
        <v>Transferencia</v>
      </c>
      <c r="G2532" t="str">
        <f>IFERROR(+VLOOKUP(Movimientos_2026[[#This Row],[Codigo]],Plan_cuentas[],4,FALSE)," ")</f>
        <v>Rentas</v>
      </c>
      <c r="H2532" t="str">
        <f>IFERROR(+VLOOKUP(Movimientos_2026[[#This Row],[Codigo]],Plan_cuentas[],5,FALSE)," ")</f>
        <v>CHACO</v>
      </c>
      <c r="I2532" s="43">
        <v>46174</v>
      </c>
      <c r="J2532" t="s">
        <v>1083</v>
      </c>
      <c r="K2532" t="str">
        <f>IFERROR(+VLOOKUP(Movimientos_2026[[#This Row],[Codigo]],Plan_cuentas[],6,FALSE)," ")</f>
        <v>5 - YAM - Yamaha</v>
      </c>
      <c r="L2532" s="50">
        <v>1541858.22</v>
      </c>
      <c r="M2532" s="50"/>
      <c r="N2532" s="20">
        <f>+Movimientos_2026[[#This Row],[Ingresos]]-Movimientos_2026[[#This Row],[Egresos]]</f>
        <v>1541858.22</v>
      </c>
      <c r="O2532" s="20">
        <f>+O2531+Movimientos_2026[[#This Row],[Neto]]</f>
        <v>6942414540.3908176</v>
      </c>
    </row>
    <row r="2533" spans="1:15" x14ac:dyDescent="0.25">
      <c r="A2533" s="13">
        <v>46238</v>
      </c>
      <c r="B2533" s="12">
        <f>MONTH(Movimientos_2026[[#This Row],[Fecha]])</f>
        <v>8</v>
      </c>
      <c r="C2533" s="12" t="str">
        <f>VLOOKUP((WEEKDAY(Movimientos_2026[[#This Row],[Fecha]],2)),'5. Setup'!$D$6:$E$12,2,FALSE)</f>
        <v>Mar</v>
      </c>
      <c r="D2533">
        <v>1044235</v>
      </c>
      <c r="E2533" t="str">
        <f>IFERROR(+VLOOKUP(Movimientos_2026[[#This Row],[Codigo]],Plan_cuentas[],2,FALSE)," ")</f>
        <v>INGRESOS</v>
      </c>
      <c r="F2533" t="str">
        <f>IFERROR(+VLOOKUP(Movimientos_2026[[#This Row],[Codigo]],Plan_cuentas[],3,FALSE)," ")</f>
        <v>Transferencia</v>
      </c>
      <c r="G2533" t="str">
        <f>IFERROR(+VLOOKUP(Movimientos_2026[[#This Row],[Codigo]],Plan_cuentas[],4,FALSE)," ")</f>
        <v>Rentas</v>
      </c>
      <c r="H2533" t="str">
        <f>IFERROR(+VLOOKUP(Movimientos_2026[[#This Row],[Codigo]],Plan_cuentas[],5,FALSE)," ")</f>
        <v>ENTRE RIOS 2° Q</v>
      </c>
      <c r="I2533" s="43">
        <v>46174</v>
      </c>
      <c r="J2533" t="s">
        <v>1083</v>
      </c>
      <c r="K2533" t="str">
        <f>IFERROR(+VLOOKUP(Movimientos_2026[[#This Row],[Codigo]],Plan_cuentas[],6,FALSE)," ")</f>
        <v>5 - YAM - Yamaha</v>
      </c>
      <c r="L2533" s="50">
        <v>3030442.35</v>
      </c>
      <c r="M2533" s="50"/>
      <c r="N2533" s="20">
        <f>+Movimientos_2026[[#This Row],[Ingresos]]-Movimientos_2026[[#This Row],[Egresos]]</f>
        <v>3030442.35</v>
      </c>
      <c r="O2533" s="20">
        <f>+O2532+Movimientos_2026[[#This Row],[Neto]]</f>
        <v>6945444982.740818</v>
      </c>
    </row>
    <row r="2534" spans="1:15" x14ac:dyDescent="0.25">
      <c r="A2534" s="13">
        <v>46238</v>
      </c>
      <c r="B2534" s="12">
        <f>MONTH(Movimientos_2026[[#This Row],[Fecha]])</f>
        <v>8</v>
      </c>
      <c r="C2534" s="12" t="str">
        <f>VLOOKUP((WEEKDAY(Movimientos_2026[[#This Row],[Fecha]],2)),'5. Setup'!$D$6:$E$12,2,FALSE)</f>
        <v>Mar</v>
      </c>
      <c r="D2534">
        <v>1044495</v>
      </c>
      <c r="E2534" t="str">
        <f>IFERROR(+VLOOKUP(Movimientos_2026[[#This Row],[Codigo]],Plan_cuentas[],2,FALSE)," ")</f>
        <v>INGRESOS</v>
      </c>
      <c r="F2534" t="str">
        <f>IFERROR(+VLOOKUP(Movimientos_2026[[#This Row],[Codigo]],Plan_cuentas[],3,FALSE)," ")</f>
        <v>Transferencia</v>
      </c>
      <c r="G2534" t="str">
        <f>IFERROR(+VLOOKUP(Movimientos_2026[[#This Row],[Codigo]],Plan_cuentas[],4,FALSE)," ")</f>
        <v>Rentas</v>
      </c>
      <c r="H2534" t="str">
        <f>IFERROR(+VLOOKUP(Movimientos_2026[[#This Row],[Codigo]],Plan_cuentas[],5,FALSE)," ")</f>
        <v>JUJUY</v>
      </c>
      <c r="I2534" s="43">
        <v>46174</v>
      </c>
      <c r="J2534" t="s">
        <v>1083</v>
      </c>
      <c r="K2534" t="str">
        <f>IFERROR(+VLOOKUP(Movimientos_2026[[#This Row],[Codigo]],Plan_cuentas[],6,FALSE)," ")</f>
        <v>5 - YAM - Yamaha</v>
      </c>
      <c r="L2534" s="50">
        <v>1834195.44</v>
      </c>
      <c r="M2534" s="50"/>
      <c r="N2534" s="20">
        <f>+Movimientos_2026[[#This Row],[Ingresos]]-Movimientos_2026[[#This Row],[Egresos]]</f>
        <v>1834195.44</v>
      </c>
      <c r="O2534" s="20">
        <f>+O2533+Movimientos_2026[[#This Row],[Neto]]</f>
        <v>6947279178.1808176</v>
      </c>
    </row>
    <row r="2535" spans="1:15" x14ac:dyDescent="0.25">
      <c r="A2535" s="13">
        <v>46238</v>
      </c>
      <c r="B2535" s="12">
        <f>MONTH(Movimientos_2026[[#This Row],[Fecha]])</f>
        <v>8</v>
      </c>
      <c r="C2535" s="12" t="str">
        <f>VLOOKUP((WEEKDAY(Movimientos_2026[[#This Row],[Fecha]],2)),'5. Setup'!$D$6:$E$12,2,FALSE)</f>
        <v>Mar</v>
      </c>
      <c r="D2535">
        <v>1044275</v>
      </c>
      <c r="E2535" t="str">
        <f>IFERROR(+VLOOKUP(Movimientos_2026[[#This Row],[Codigo]],Plan_cuentas[],2,FALSE)," ")</f>
        <v>INGRESOS</v>
      </c>
      <c r="F2535" t="str">
        <f>IFERROR(+VLOOKUP(Movimientos_2026[[#This Row],[Codigo]],Plan_cuentas[],3,FALSE)," ")</f>
        <v>Transferencia</v>
      </c>
      <c r="G2535" t="str">
        <f>IFERROR(+VLOOKUP(Movimientos_2026[[#This Row],[Codigo]],Plan_cuentas[],4,FALSE)," ")</f>
        <v>Rentas</v>
      </c>
      <c r="H2535" t="str">
        <f>IFERROR(+VLOOKUP(Movimientos_2026[[#This Row],[Codigo]],Plan_cuentas[],5,FALSE)," ")</f>
        <v>LA RIOJA</v>
      </c>
      <c r="I2535" s="43">
        <v>46174</v>
      </c>
      <c r="J2535" t="s">
        <v>1083</v>
      </c>
      <c r="K2535" t="str">
        <f>IFERROR(+VLOOKUP(Movimientos_2026[[#This Row],[Codigo]],Plan_cuentas[],6,FALSE)," ")</f>
        <v>5 - YAM - Yamaha</v>
      </c>
      <c r="L2535" s="50">
        <v>1854039.13</v>
      </c>
      <c r="M2535" s="50"/>
      <c r="N2535" s="20">
        <f>+Movimientos_2026[[#This Row],[Ingresos]]-Movimientos_2026[[#This Row],[Egresos]]</f>
        <v>1854039.13</v>
      </c>
      <c r="O2535" s="20">
        <f>+O2534+Movimientos_2026[[#This Row],[Neto]]</f>
        <v>6949133217.3108177</v>
      </c>
    </row>
    <row r="2536" spans="1:15" x14ac:dyDescent="0.25">
      <c r="A2536" s="13">
        <v>46238</v>
      </c>
      <c r="B2536" s="12">
        <f>MONTH(Movimientos_2026[[#This Row],[Fecha]])</f>
        <v>8</v>
      </c>
      <c r="C2536" s="12" t="str">
        <f>VLOOKUP((WEEKDAY(Movimientos_2026[[#This Row],[Fecha]],2)),'5. Setup'!$D$6:$E$12,2,FALSE)</f>
        <v>Mar</v>
      </c>
      <c r="D2536">
        <v>1044285</v>
      </c>
      <c r="E2536" t="str">
        <f>IFERROR(+VLOOKUP(Movimientos_2026[[#This Row],[Codigo]],Plan_cuentas[],2,FALSE)," ")</f>
        <v>INGRESOS</v>
      </c>
      <c r="F2536" t="str">
        <f>IFERROR(+VLOOKUP(Movimientos_2026[[#This Row],[Codigo]],Plan_cuentas[],3,FALSE)," ")</f>
        <v>Transferencia</v>
      </c>
      <c r="G2536" t="str">
        <f>IFERROR(+VLOOKUP(Movimientos_2026[[#This Row],[Codigo]],Plan_cuentas[],4,FALSE)," ")</f>
        <v>Rentas</v>
      </c>
      <c r="H2536" t="str">
        <f>IFERROR(+VLOOKUP(Movimientos_2026[[#This Row],[Codigo]],Plan_cuentas[],5,FALSE)," ")</f>
        <v>MENDOZA</v>
      </c>
      <c r="I2536" s="43">
        <v>46174</v>
      </c>
      <c r="J2536" t="s">
        <v>1083</v>
      </c>
      <c r="K2536" t="str">
        <f>IFERROR(+VLOOKUP(Movimientos_2026[[#This Row],[Codigo]],Plan_cuentas[],6,FALSE)," ")</f>
        <v>5 - YAM - Yamaha</v>
      </c>
      <c r="L2536" s="50">
        <v>3335555</v>
      </c>
      <c r="M2536" s="50"/>
      <c r="N2536" s="20">
        <f>+Movimientos_2026[[#This Row],[Ingresos]]-Movimientos_2026[[#This Row],[Egresos]]</f>
        <v>3335555</v>
      </c>
      <c r="O2536" s="20">
        <f>+O2535+Movimientos_2026[[#This Row],[Neto]]</f>
        <v>6952468772.3108177</v>
      </c>
    </row>
    <row r="2537" spans="1:15" x14ac:dyDescent="0.25">
      <c r="A2537" s="13">
        <v>46238</v>
      </c>
      <c r="B2537" s="12">
        <f>MONTH(Movimientos_2026[[#This Row],[Fecha]])</f>
        <v>8</v>
      </c>
      <c r="C2537" s="12" t="str">
        <f>VLOOKUP((WEEKDAY(Movimientos_2026[[#This Row],[Fecha]],2)),'5. Setup'!$D$6:$E$12,2,FALSE)</f>
        <v>Mar</v>
      </c>
      <c r="D2537">
        <v>1044465</v>
      </c>
      <c r="E2537" t="str">
        <f>IFERROR(+VLOOKUP(Movimientos_2026[[#This Row],[Codigo]],Plan_cuentas[],2,FALSE)," ")</f>
        <v>INGRESOS</v>
      </c>
      <c r="F2537" t="str">
        <f>IFERROR(+VLOOKUP(Movimientos_2026[[#This Row],[Codigo]],Plan_cuentas[],3,FALSE)," ")</f>
        <v>Transferencia</v>
      </c>
      <c r="G2537" t="str">
        <f>IFERROR(+VLOOKUP(Movimientos_2026[[#This Row],[Codigo]],Plan_cuentas[],4,FALSE)," ")</f>
        <v>Rentas</v>
      </c>
      <c r="H2537" t="str">
        <f>IFERROR(+VLOOKUP(Movimientos_2026[[#This Row],[Codigo]],Plan_cuentas[],5,FALSE)," ")</f>
        <v>MISIONES</v>
      </c>
      <c r="I2537" s="43">
        <v>46174</v>
      </c>
      <c r="J2537" t="s">
        <v>1083</v>
      </c>
      <c r="K2537" t="str">
        <f>IFERROR(+VLOOKUP(Movimientos_2026[[#This Row],[Codigo]],Plan_cuentas[],6,FALSE)," ")</f>
        <v>5 - YAM - Yamaha</v>
      </c>
      <c r="L2537" s="50">
        <v>810611.15299999993</v>
      </c>
      <c r="M2537" s="50"/>
      <c r="N2537" s="20">
        <f>+Movimientos_2026[[#This Row],[Ingresos]]-Movimientos_2026[[#This Row],[Egresos]]</f>
        <v>810611.15299999993</v>
      </c>
      <c r="O2537" s="20">
        <f>+O2536+Movimientos_2026[[#This Row],[Neto]]</f>
        <v>6953279383.4638176</v>
      </c>
    </row>
    <row r="2538" spans="1:15" x14ac:dyDescent="0.25">
      <c r="A2538" s="13">
        <v>46238</v>
      </c>
      <c r="B2538" s="12">
        <f>MONTH(Movimientos_2026[[#This Row],[Fecha]])</f>
        <v>8</v>
      </c>
      <c r="C2538" s="12" t="str">
        <f>VLOOKUP((WEEKDAY(Movimientos_2026[[#This Row],[Fecha]],2)),'5. Setup'!$D$6:$E$12,2,FALSE)</f>
        <v>Mar</v>
      </c>
      <c r="D2538">
        <v>1044325</v>
      </c>
      <c r="E2538" t="str">
        <f>IFERROR(+VLOOKUP(Movimientos_2026[[#This Row],[Codigo]],Plan_cuentas[],2,FALSE)," ")</f>
        <v>INGRESOS</v>
      </c>
      <c r="F2538" t="str">
        <f>IFERROR(+VLOOKUP(Movimientos_2026[[#This Row],[Codigo]],Plan_cuentas[],3,FALSE)," ")</f>
        <v>Transferencia</v>
      </c>
      <c r="G2538" t="str">
        <f>IFERROR(+VLOOKUP(Movimientos_2026[[#This Row],[Codigo]],Plan_cuentas[],4,FALSE)," ")</f>
        <v>Rentas</v>
      </c>
      <c r="H2538" t="str">
        <f>IFERROR(+VLOOKUP(Movimientos_2026[[#This Row],[Codigo]],Plan_cuentas[],5,FALSE)," ")</f>
        <v>NEUQUEN 2° Q</v>
      </c>
      <c r="I2538" s="43">
        <v>46174</v>
      </c>
      <c r="J2538" t="s">
        <v>1083</v>
      </c>
      <c r="K2538" t="str">
        <f>IFERROR(+VLOOKUP(Movimientos_2026[[#This Row],[Codigo]],Plan_cuentas[],6,FALSE)," ")</f>
        <v>5 - YAM - Yamaha</v>
      </c>
      <c r="L2538" s="50">
        <v>2152517.4</v>
      </c>
      <c r="M2538" s="50"/>
      <c r="N2538" s="20">
        <f>+Movimientos_2026[[#This Row],[Ingresos]]-Movimientos_2026[[#This Row],[Egresos]]</f>
        <v>2152517.4</v>
      </c>
      <c r="O2538" s="20">
        <f>+O2537+Movimientos_2026[[#This Row],[Neto]]</f>
        <v>6955431900.8638172</v>
      </c>
    </row>
    <row r="2539" spans="1:15" x14ac:dyDescent="0.25">
      <c r="A2539" s="13">
        <v>46238</v>
      </c>
      <c r="B2539" s="12">
        <f>MONTH(Movimientos_2026[[#This Row],[Fecha]])</f>
        <v>8</v>
      </c>
      <c r="C2539" s="12" t="str">
        <f>VLOOKUP((WEEKDAY(Movimientos_2026[[#This Row],[Fecha]],2)),'5. Setup'!$D$6:$E$12,2,FALSE)</f>
        <v>Mar</v>
      </c>
      <c r="D2539">
        <v>1044425</v>
      </c>
      <c r="E2539" t="str">
        <f>IFERROR(+VLOOKUP(Movimientos_2026[[#This Row],[Codigo]],Plan_cuentas[],2,FALSE)," ")</f>
        <v>INGRESOS</v>
      </c>
      <c r="F2539" t="str">
        <f>IFERROR(+VLOOKUP(Movimientos_2026[[#This Row],[Codigo]],Plan_cuentas[],3,FALSE)," ")</f>
        <v>Transferencia</v>
      </c>
      <c r="G2539" t="str">
        <f>IFERROR(+VLOOKUP(Movimientos_2026[[#This Row],[Codigo]],Plan_cuentas[],4,FALSE)," ")</f>
        <v>Rentas</v>
      </c>
      <c r="H2539" t="str">
        <f>IFERROR(+VLOOKUP(Movimientos_2026[[#This Row],[Codigo]],Plan_cuentas[],5,FALSE)," ")</f>
        <v>TUCUMAN</v>
      </c>
      <c r="I2539" s="43">
        <v>46174</v>
      </c>
      <c r="J2539" t="s">
        <v>1083</v>
      </c>
      <c r="K2539" t="str">
        <f>IFERROR(+VLOOKUP(Movimientos_2026[[#This Row],[Codigo]],Plan_cuentas[],6,FALSE)," ")</f>
        <v>5 - YAM - Yamaha</v>
      </c>
      <c r="L2539" s="50">
        <v>2753285.3958999999</v>
      </c>
      <c r="M2539" s="50"/>
      <c r="N2539" s="20">
        <f>+Movimientos_2026[[#This Row],[Ingresos]]-Movimientos_2026[[#This Row],[Egresos]]</f>
        <v>2753285.3958999999</v>
      </c>
      <c r="O2539" s="20">
        <f>+O2538+Movimientos_2026[[#This Row],[Neto]]</f>
        <v>6958185186.259717</v>
      </c>
    </row>
    <row r="2540" spans="1:15" x14ac:dyDescent="0.25">
      <c r="A2540" s="13">
        <v>46239</v>
      </c>
      <c r="B2540" s="12">
        <f>MONTH(Movimientos_2026[[#This Row],[Fecha]])</f>
        <v>8</v>
      </c>
      <c r="C2540" s="12" t="str">
        <f>VLOOKUP((WEEKDAY(Movimientos_2026[[#This Row],[Fecha]],2)),'5. Setup'!$D$6:$E$12,2,FALSE)</f>
        <v>Mie</v>
      </c>
      <c r="D2540">
        <v>2034412</v>
      </c>
      <c r="E2540" t="str">
        <f>IFERROR(+VLOOKUP(Movimientos_2026[[#This Row],[Codigo]],Plan_cuentas[],2,FALSE)," ")</f>
        <v>EGRESOS</v>
      </c>
      <c r="F2540" t="str">
        <f>IFERROR(+VLOOKUP(Movimientos_2026[[#This Row],[Codigo]],Plan_cuentas[],3,FALSE)," ")</f>
        <v>Pagos Bco. Provincia</v>
      </c>
      <c r="G2540" t="str">
        <f>IFERROR(+VLOOKUP(Movimientos_2026[[#This Row],[Codigo]],Plan_cuentas[],4,FALSE)," ")</f>
        <v>Rentas</v>
      </c>
      <c r="H2540" t="str">
        <f>IFERROR(+VLOOKUP(Movimientos_2026[[#This Row],[Codigo]],Plan_cuentas[],5,FALSE)," ")</f>
        <v>TIERRA DEL FUEGO</v>
      </c>
      <c r="I2540" s="43">
        <v>46204</v>
      </c>
      <c r="J2540" t="s">
        <v>1084</v>
      </c>
      <c r="K2540" t="str">
        <f>IFERROR(+VLOOKUP(Movimientos_2026[[#This Row],[Codigo]],Plan_cuentas[],6,FALSE)," ")</f>
        <v>2 - PR - Plan Rombo</v>
      </c>
      <c r="L2540" s="50"/>
      <c r="M2540" s="50">
        <v>9338800.1799999997</v>
      </c>
      <c r="N2540" s="20">
        <f>+Movimientos_2026[[#This Row],[Ingresos]]-Movimientos_2026[[#This Row],[Egresos]]</f>
        <v>-9338800.1799999997</v>
      </c>
      <c r="O2540" s="20">
        <f>+O2539+Movimientos_2026[[#This Row],[Neto]]</f>
        <v>6948846386.0797167</v>
      </c>
    </row>
    <row r="2541" spans="1:15" x14ac:dyDescent="0.25">
      <c r="A2541" s="13">
        <v>46239</v>
      </c>
      <c r="B2541" s="12">
        <f>MONTH(Movimientos_2026[[#This Row],[Fecha]])</f>
        <v>8</v>
      </c>
      <c r="C2541" s="12" t="str">
        <f>VLOOKUP((WEEKDAY(Movimientos_2026[[#This Row],[Fecha]],2)),'5. Setup'!$D$6:$E$12,2,FALSE)</f>
        <v>Mie</v>
      </c>
      <c r="D2541">
        <v>2054322</v>
      </c>
      <c r="E2541" t="str">
        <f>IFERROR(+VLOOKUP(Movimientos_2026[[#This Row],[Codigo]],Plan_cuentas[],2,FALSE)," ")</f>
        <v>EGRESOS</v>
      </c>
      <c r="F2541" t="str">
        <f>IFERROR(+VLOOKUP(Movimientos_2026[[#This Row],[Codigo]],Plan_cuentas[],3,FALSE)," ")</f>
        <v>VEP</v>
      </c>
      <c r="G2541" t="str">
        <f>IFERROR(+VLOOKUP(Movimientos_2026[[#This Row],[Codigo]],Plan_cuentas[],4,FALSE)," ")</f>
        <v>Rentas</v>
      </c>
      <c r="H2541" t="str">
        <f>IFERROR(+VLOOKUP(Movimientos_2026[[#This Row],[Codigo]],Plan_cuentas[],5,FALSE)," ")</f>
        <v>NEUQUEN 2° Q</v>
      </c>
      <c r="I2541" s="43">
        <v>46204</v>
      </c>
      <c r="J2541" t="s">
        <v>1085</v>
      </c>
      <c r="K2541" t="str">
        <f>IFERROR(+VLOOKUP(Movimientos_2026[[#This Row],[Codigo]],Plan_cuentas[],6,FALSE)," ")</f>
        <v>2 - PR - Plan Rombo</v>
      </c>
      <c r="L2541" s="50"/>
      <c r="M2541" s="50">
        <v>24176100</v>
      </c>
      <c r="N2541" s="20">
        <f>+Movimientos_2026[[#This Row],[Ingresos]]-Movimientos_2026[[#This Row],[Egresos]]</f>
        <v>-24176100</v>
      </c>
      <c r="O2541" s="20">
        <f>+O2540+Movimientos_2026[[#This Row],[Neto]]</f>
        <v>6924670286.0797167</v>
      </c>
    </row>
    <row r="2542" spans="1:15" x14ac:dyDescent="0.25">
      <c r="A2542" s="13">
        <v>46239</v>
      </c>
      <c r="B2542" s="12">
        <f>MONTH(Movimientos_2026[[#This Row],[Fecha]])</f>
        <v>8</v>
      </c>
      <c r="C2542" s="12" t="str">
        <f>VLOOKUP((WEEKDAY(Movimientos_2026[[#This Row],[Fecha]],2)),'5. Setup'!$D$6:$E$12,2,FALSE)</f>
        <v>Mie</v>
      </c>
      <c r="D2542">
        <v>2054327</v>
      </c>
      <c r="E2542" t="str">
        <f>IFERROR(+VLOOKUP(Movimientos_2026[[#This Row],[Codigo]],Plan_cuentas[],2,FALSE)," ")</f>
        <v>EGRESOS</v>
      </c>
      <c r="F2542" t="str">
        <f>IFERROR(+VLOOKUP(Movimientos_2026[[#This Row],[Codigo]],Plan_cuentas[],3,FALSE)," ")</f>
        <v>VEP</v>
      </c>
      <c r="G2542" t="str">
        <f>IFERROR(+VLOOKUP(Movimientos_2026[[#This Row],[Codigo]],Plan_cuentas[],4,FALSE)," ")</f>
        <v>Rentas</v>
      </c>
      <c r="H2542" t="str">
        <f>IFERROR(+VLOOKUP(Movimientos_2026[[#This Row],[Codigo]],Plan_cuentas[],5,FALSE)," ")</f>
        <v>NEUQUEN 2° Q</v>
      </c>
      <c r="I2542" s="43">
        <v>46204</v>
      </c>
      <c r="J2542" t="s">
        <v>1085</v>
      </c>
      <c r="K2542" t="str">
        <f>IFERROR(+VLOOKUP(Movimientos_2026[[#This Row],[Codigo]],Plan_cuentas[],6,FALSE)," ")</f>
        <v>7 - PRtr - Plan Rombo Transf.</v>
      </c>
      <c r="L2542" s="50"/>
      <c r="M2542" s="50">
        <v>30600</v>
      </c>
      <c r="N2542" s="20">
        <f>+Movimientos_2026[[#This Row],[Ingresos]]-Movimientos_2026[[#This Row],[Egresos]]</f>
        <v>-30600</v>
      </c>
      <c r="O2542" s="20">
        <f>+O2541+Movimientos_2026[[#This Row],[Neto]]</f>
        <v>6924639686.0797167</v>
      </c>
    </row>
    <row r="2543" spans="1:15" x14ac:dyDescent="0.25">
      <c r="A2543" s="13">
        <v>46239</v>
      </c>
      <c r="B2543" s="12">
        <f>MONTH(Movimientos_2026[[#This Row],[Fecha]])</f>
        <v>8</v>
      </c>
      <c r="C2543" s="12" t="str">
        <f>VLOOKUP((WEEKDAY(Movimientos_2026[[#This Row],[Fecha]],2)),'5. Setup'!$D$6:$E$12,2,FALSE)</f>
        <v>Mie</v>
      </c>
      <c r="D2543">
        <v>2054325</v>
      </c>
      <c r="E2543" t="str">
        <f>IFERROR(+VLOOKUP(Movimientos_2026[[#This Row],[Codigo]],Plan_cuentas[],2,FALSE)," ")</f>
        <v>EGRESOS</v>
      </c>
      <c r="F2543" t="str">
        <f>IFERROR(+VLOOKUP(Movimientos_2026[[#This Row],[Codigo]],Plan_cuentas[],3,FALSE)," ")</f>
        <v>VEP</v>
      </c>
      <c r="G2543" t="str">
        <f>IFERROR(+VLOOKUP(Movimientos_2026[[#This Row],[Codigo]],Plan_cuentas[],4,FALSE)," ")</f>
        <v>Rentas</v>
      </c>
      <c r="H2543" t="str">
        <f>IFERROR(+VLOOKUP(Movimientos_2026[[#This Row],[Codigo]],Plan_cuentas[],5,FALSE)," ")</f>
        <v>NEUQUEN 2° Q</v>
      </c>
      <c r="I2543" s="43">
        <v>46204</v>
      </c>
      <c r="J2543" t="s">
        <v>1086</v>
      </c>
      <c r="K2543" t="str">
        <f>IFERROR(+VLOOKUP(Movimientos_2026[[#This Row],[Codigo]],Plan_cuentas[],6,FALSE)," ")</f>
        <v>5 - YAM - Yamaha</v>
      </c>
      <c r="L2543" s="50"/>
      <c r="M2543" s="50">
        <v>979882.2</v>
      </c>
      <c r="N2543" s="20">
        <f>+Movimientos_2026[[#This Row],[Ingresos]]-Movimientos_2026[[#This Row],[Egresos]]</f>
        <v>-979882.2</v>
      </c>
      <c r="O2543" s="20">
        <f>+O2542+Movimientos_2026[[#This Row],[Neto]]</f>
        <v>6923659803.8797169</v>
      </c>
    </row>
    <row r="2544" spans="1:15" x14ac:dyDescent="0.25">
      <c r="A2544" s="13">
        <v>46240</v>
      </c>
      <c r="B2544" s="12">
        <f>MONTH(Movimientos_2026[[#This Row],[Fecha]])</f>
        <v>8</v>
      </c>
      <c r="C2544" s="12" t="str">
        <f>VLOOKUP((WEEKDAY(Movimientos_2026[[#This Row],[Fecha]],2)),'5. Setup'!$D$6:$E$12,2,FALSE)</f>
        <v>Jue</v>
      </c>
      <c r="D2544">
        <v>2034413</v>
      </c>
      <c r="E2544" t="str">
        <f>IFERROR(+VLOOKUP(Movimientos_2026[[#This Row],[Codigo]],Plan_cuentas[],2,FALSE)," ")</f>
        <v>EGRESOS</v>
      </c>
      <c r="F2544" t="str">
        <f>IFERROR(+VLOOKUP(Movimientos_2026[[#This Row],[Codigo]],Plan_cuentas[],3,FALSE)," ")</f>
        <v>Pagos Bco. Provincia</v>
      </c>
      <c r="G2544" t="str">
        <f>IFERROR(+VLOOKUP(Movimientos_2026[[#This Row],[Codigo]],Plan_cuentas[],4,FALSE)," ")</f>
        <v>Rentas</v>
      </c>
      <c r="H2544" t="str">
        <f>IFERROR(+VLOOKUP(Movimientos_2026[[#This Row],[Codigo]],Plan_cuentas[],5,FALSE)," ")</f>
        <v>TIERRA DEL FUEGO</v>
      </c>
      <c r="I2544" s="43">
        <v>46204</v>
      </c>
      <c r="J2544" t="s">
        <v>1087</v>
      </c>
      <c r="K2544" t="str">
        <f>IFERROR(+VLOOKUP(Movimientos_2026[[#This Row],[Codigo]],Plan_cuentas[],6,FALSE)," ")</f>
        <v>3 - GM - Chevrolet</v>
      </c>
      <c r="L2544" s="50"/>
      <c r="M2544" s="50">
        <v>4231979.3100000015</v>
      </c>
      <c r="N2544" s="20">
        <f>+Movimientos_2026[[#This Row],[Ingresos]]-Movimientos_2026[[#This Row],[Egresos]]</f>
        <v>-4231979.3100000015</v>
      </c>
      <c r="O2544" s="20">
        <f>+O2543+Movimientos_2026[[#This Row],[Neto]]</f>
        <v>6919427824.5697165</v>
      </c>
    </row>
    <row r="2545" spans="1:15" x14ac:dyDescent="0.25">
      <c r="A2545" s="13">
        <v>46240</v>
      </c>
      <c r="B2545" s="12">
        <f>MONTH(Movimientos_2026[[#This Row],[Fecha]])</f>
        <v>8</v>
      </c>
      <c r="C2545" s="12" t="str">
        <f>VLOOKUP((WEEKDAY(Movimientos_2026[[#This Row],[Fecha]],2)),'5. Setup'!$D$6:$E$12,2,FALSE)</f>
        <v>Jue</v>
      </c>
      <c r="D2545">
        <v>2034414</v>
      </c>
      <c r="E2545" t="str">
        <f>IFERROR(+VLOOKUP(Movimientos_2026[[#This Row],[Codigo]],Plan_cuentas[],2,FALSE)," ")</f>
        <v>EGRESOS</v>
      </c>
      <c r="F2545" t="str">
        <f>IFERROR(+VLOOKUP(Movimientos_2026[[#This Row],[Codigo]],Plan_cuentas[],3,FALSE)," ")</f>
        <v>Pagos Bco. Provincia</v>
      </c>
      <c r="G2545" t="str">
        <f>IFERROR(+VLOOKUP(Movimientos_2026[[#This Row],[Codigo]],Plan_cuentas[],4,FALSE)," ")</f>
        <v>Rentas</v>
      </c>
      <c r="H2545" t="str">
        <f>IFERROR(+VLOOKUP(Movimientos_2026[[#This Row],[Codigo]],Plan_cuentas[],5,FALSE)," ")</f>
        <v>TIERRA DEL FUEGO</v>
      </c>
      <c r="I2545" s="43">
        <v>46204</v>
      </c>
      <c r="J2545" t="s">
        <v>1088</v>
      </c>
      <c r="K2545" t="str">
        <f>IFERROR(+VLOOKUP(Movimientos_2026[[#This Row],[Codigo]],Plan_cuentas[],6,FALSE)," ")</f>
        <v>4 - FCA - Fiat</v>
      </c>
      <c r="L2545" s="50"/>
      <c r="M2545" s="50">
        <v>19751111.420000002</v>
      </c>
      <c r="N2545" s="20">
        <f>+Movimientos_2026[[#This Row],[Ingresos]]-Movimientos_2026[[#This Row],[Egresos]]</f>
        <v>-19751111.420000002</v>
      </c>
      <c r="O2545" s="20">
        <f>+O2544+Movimientos_2026[[#This Row],[Neto]]</f>
        <v>6899676713.1497164</v>
      </c>
    </row>
    <row r="2546" spans="1:15" x14ac:dyDescent="0.25">
      <c r="A2546" s="13">
        <v>46240</v>
      </c>
      <c r="B2546" s="12">
        <f>MONTH(Movimientos_2026[[#This Row],[Fecha]])</f>
        <v>8</v>
      </c>
      <c r="C2546" s="12" t="str">
        <f>VLOOKUP((WEEKDAY(Movimientos_2026[[#This Row],[Fecha]],2)),'5. Setup'!$D$6:$E$12,2,FALSE)</f>
        <v>Jue</v>
      </c>
      <c r="D2546">
        <v>2014425</v>
      </c>
      <c r="E2546" t="str">
        <f>IFERROR(+VLOOKUP(Movimientos_2026[[#This Row],[Codigo]],Plan_cuentas[],2,FALSE)," ")</f>
        <v>EGRESOS</v>
      </c>
      <c r="F2546" t="str">
        <f>IFERROR(+VLOOKUP(Movimientos_2026[[#This Row],[Codigo]],Plan_cuentas[],3,FALSE)," ")</f>
        <v>BtoB</v>
      </c>
      <c r="G2546" t="str">
        <f>IFERROR(+VLOOKUP(Movimientos_2026[[#This Row],[Codigo]],Plan_cuentas[],4,FALSE)," ")</f>
        <v>Rentas</v>
      </c>
      <c r="H2546" t="str">
        <f>IFERROR(+VLOOKUP(Movimientos_2026[[#This Row],[Codigo]],Plan_cuentas[],5,FALSE)," ")</f>
        <v>TUCUMAN</v>
      </c>
      <c r="I2546" s="43">
        <v>46204</v>
      </c>
      <c r="J2546" t="s">
        <v>1089</v>
      </c>
      <c r="K2546" t="str">
        <f>IFERROR(+VLOOKUP(Movimientos_2026[[#This Row],[Codigo]],Plan_cuentas[],6,FALSE)," ")</f>
        <v>5 - YAM - Yamaha</v>
      </c>
      <c r="L2546" s="50"/>
      <c r="M2546" s="50">
        <v>715827.65</v>
      </c>
      <c r="N2546" s="20">
        <f>+Movimientos_2026[[#This Row],[Ingresos]]-Movimientos_2026[[#This Row],[Egresos]]</f>
        <v>-715827.65</v>
      </c>
      <c r="O2546" s="20">
        <f>+O2545+Movimientos_2026[[#This Row],[Neto]]</f>
        <v>6898960885.4997168</v>
      </c>
    </row>
    <row r="2547" spans="1:15" x14ac:dyDescent="0.25">
      <c r="A2547" s="13">
        <v>46240</v>
      </c>
      <c r="B2547" s="12">
        <f>MONTH(Movimientos_2026[[#This Row],[Fecha]])</f>
        <v>8</v>
      </c>
      <c r="C2547" s="12" t="str">
        <f>VLOOKUP((WEEKDAY(Movimientos_2026[[#This Row],[Fecha]],2)),'5. Setup'!$D$6:$E$12,2,FALSE)</f>
        <v>Jue</v>
      </c>
      <c r="D2547">
        <v>2034243</v>
      </c>
      <c r="E2547" t="str">
        <f>IFERROR(+VLOOKUP(Movimientos_2026[[#This Row],[Codigo]],Plan_cuentas[],2,FALSE)," ")</f>
        <v>EGRESOS</v>
      </c>
      <c r="F2547" t="str">
        <f>IFERROR(+VLOOKUP(Movimientos_2026[[#This Row],[Codigo]],Plan_cuentas[],3,FALSE)," ")</f>
        <v>Pagos Bco. Provincia</v>
      </c>
      <c r="G2547" t="str">
        <f>IFERROR(+VLOOKUP(Movimientos_2026[[#This Row],[Codigo]],Plan_cuentas[],4,FALSE)," ")</f>
        <v>Rentas</v>
      </c>
      <c r="H2547" t="str">
        <f>IFERROR(+VLOOKUP(Movimientos_2026[[#This Row],[Codigo]],Plan_cuentas[],5,FALSE)," ")</f>
        <v>FORMOSA</v>
      </c>
      <c r="I2547" s="43">
        <v>46204</v>
      </c>
      <c r="J2547" t="s">
        <v>1090</v>
      </c>
      <c r="K2547" t="str">
        <f>IFERROR(+VLOOKUP(Movimientos_2026[[#This Row],[Codigo]],Plan_cuentas[],6,FALSE)," ")</f>
        <v>3 - GM - Chevrolet</v>
      </c>
      <c r="L2547" s="50"/>
      <c r="M2547" s="50">
        <v>15338866.52</v>
      </c>
      <c r="N2547" s="20">
        <f>+Movimientos_2026[[#This Row],[Ingresos]]-Movimientos_2026[[#This Row],[Egresos]]</f>
        <v>-15338866.52</v>
      </c>
      <c r="O2547" s="20">
        <f>+O2546+Movimientos_2026[[#This Row],[Neto]]</f>
        <v>6883622018.9797163</v>
      </c>
    </row>
    <row r="2548" spans="1:15" x14ac:dyDescent="0.25">
      <c r="A2548" s="13">
        <v>46240</v>
      </c>
      <c r="B2548" s="12">
        <f>MONTH(Movimientos_2026[[#This Row],[Fecha]])</f>
        <v>8</v>
      </c>
      <c r="C2548" s="12" t="str">
        <f>VLOOKUP((WEEKDAY(Movimientos_2026[[#This Row],[Fecha]],2)),'5. Setup'!$D$6:$E$12,2,FALSE)</f>
        <v>Jue</v>
      </c>
      <c r="D2548">
        <v>2034244</v>
      </c>
      <c r="E2548" t="str">
        <f>IFERROR(+VLOOKUP(Movimientos_2026[[#This Row],[Codigo]],Plan_cuentas[],2,FALSE)," ")</f>
        <v>EGRESOS</v>
      </c>
      <c r="F2548" t="str">
        <f>IFERROR(+VLOOKUP(Movimientos_2026[[#This Row],[Codigo]],Plan_cuentas[],3,FALSE)," ")</f>
        <v>Pagos Bco. Provincia</v>
      </c>
      <c r="G2548" t="str">
        <f>IFERROR(+VLOOKUP(Movimientos_2026[[#This Row],[Codigo]],Plan_cuentas[],4,FALSE)," ")</f>
        <v>Rentas</v>
      </c>
      <c r="H2548" t="str">
        <f>IFERROR(+VLOOKUP(Movimientos_2026[[#This Row],[Codigo]],Plan_cuentas[],5,FALSE)," ")</f>
        <v>FORMOSA</v>
      </c>
      <c r="I2548" s="43">
        <v>46204</v>
      </c>
      <c r="J2548" t="s">
        <v>1091</v>
      </c>
      <c r="K2548" t="str">
        <f>IFERROR(+VLOOKUP(Movimientos_2026[[#This Row],[Codigo]],Plan_cuentas[],6,FALSE)," ")</f>
        <v>4 - FCA - Fiat</v>
      </c>
      <c r="L2548" s="50"/>
      <c r="M2548" s="50">
        <v>11447756.99</v>
      </c>
      <c r="N2548" s="20">
        <f>+Movimientos_2026[[#This Row],[Ingresos]]-Movimientos_2026[[#This Row],[Egresos]]</f>
        <v>-11447756.99</v>
      </c>
      <c r="O2548" s="20">
        <f>+O2547+Movimientos_2026[[#This Row],[Neto]]</f>
        <v>6872174261.9897165</v>
      </c>
    </row>
    <row r="2549" spans="1:15" x14ac:dyDescent="0.25">
      <c r="A2549" s="13">
        <v>46240</v>
      </c>
      <c r="B2549" s="12">
        <f>MONTH(Movimientos_2026[[#This Row],[Fecha]])</f>
        <v>8</v>
      </c>
      <c r="C2549" s="12" t="str">
        <f>VLOOKUP((WEEKDAY(Movimientos_2026[[#This Row],[Fecha]],2)),'5. Setup'!$D$6:$E$12,2,FALSE)</f>
        <v>Jue</v>
      </c>
      <c r="D2549">
        <v>2054374</v>
      </c>
      <c r="E2549" t="str">
        <f>IFERROR(+VLOOKUP(Movimientos_2026[[#This Row],[Codigo]],Plan_cuentas[],2,FALSE)," ")</f>
        <v>EGRESOS</v>
      </c>
      <c r="F2549" t="str">
        <f>IFERROR(+VLOOKUP(Movimientos_2026[[#This Row],[Codigo]],Plan_cuentas[],3,FALSE)," ")</f>
        <v>VEP</v>
      </c>
      <c r="G2549" t="str">
        <f>IFERROR(+VLOOKUP(Movimientos_2026[[#This Row],[Codigo]],Plan_cuentas[],4,FALSE)," ")</f>
        <v>Rentas</v>
      </c>
      <c r="H2549" t="str">
        <f>IFERROR(+VLOOKUP(Movimientos_2026[[#This Row],[Codigo]],Plan_cuentas[],5,FALSE)," ")</f>
        <v>SANTA CRUZ</v>
      </c>
      <c r="I2549" s="43">
        <v>46204</v>
      </c>
      <c r="J2549" t="s">
        <v>1092</v>
      </c>
      <c r="K2549" t="str">
        <f>IFERROR(+VLOOKUP(Movimientos_2026[[#This Row],[Codigo]],Plan_cuentas[],6,FALSE)," ")</f>
        <v>4 - FCA - Fiat</v>
      </c>
      <c r="L2549" s="50"/>
      <c r="M2549" s="50">
        <v>11717205.77</v>
      </c>
      <c r="N2549" s="20">
        <f>+Movimientos_2026[[#This Row],[Ingresos]]-Movimientos_2026[[#This Row],[Egresos]]</f>
        <v>-11717205.77</v>
      </c>
      <c r="O2549" s="20">
        <f>+O2548+Movimientos_2026[[#This Row],[Neto]]</f>
        <v>6860457056.2197161</v>
      </c>
    </row>
    <row r="2550" spans="1:15" x14ac:dyDescent="0.25">
      <c r="A2550" s="13">
        <v>46240</v>
      </c>
      <c r="B2550" s="12">
        <f>MONTH(Movimientos_2026[[#This Row],[Fecha]])</f>
        <v>8</v>
      </c>
      <c r="C2550" s="12" t="str">
        <f>VLOOKUP((WEEKDAY(Movimientos_2026[[#This Row],[Fecha]],2)),'5. Setup'!$D$6:$E$12,2,FALSE)</f>
        <v>Jue</v>
      </c>
      <c r="D2550">
        <v>2014275</v>
      </c>
      <c r="E2550" t="str">
        <f>IFERROR(+VLOOKUP(Movimientos_2026[[#This Row],[Codigo]],Plan_cuentas[],2,FALSE)," ")</f>
        <v>EGRESOS</v>
      </c>
      <c r="F2550" t="str">
        <f>IFERROR(+VLOOKUP(Movimientos_2026[[#This Row],[Codigo]],Plan_cuentas[],3,FALSE)," ")</f>
        <v>BtoB</v>
      </c>
      <c r="G2550" t="str">
        <f>IFERROR(+VLOOKUP(Movimientos_2026[[#This Row],[Codigo]],Plan_cuentas[],4,FALSE)," ")</f>
        <v>Rentas</v>
      </c>
      <c r="H2550" t="str">
        <f>IFERROR(+VLOOKUP(Movimientos_2026[[#This Row],[Codigo]],Plan_cuentas[],5,FALSE)," ")</f>
        <v>LA RIOJA</v>
      </c>
      <c r="I2550" s="43">
        <v>46204</v>
      </c>
      <c r="J2550" t="s">
        <v>1093</v>
      </c>
      <c r="K2550" t="str">
        <f>IFERROR(+VLOOKUP(Movimientos_2026[[#This Row],[Codigo]],Plan_cuentas[],6,FALSE)," ")</f>
        <v>5 - YAM - Yamaha</v>
      </c>
      <c r="L2550" s="50"/>
      <c r="M2550" s="50">
        <v>1612615.79</v>
      </c>
      <c r="N2550" s="20">
        <f>+Movimientos_2026[[#This Row],[Ingresos]]-Movimientos_2026[[#This Row],[Egresos]]</f>
        <v>-1612615.79</v>
      </c>
      <c r="O2550" s="20">
        <f>+O2549+Movimientos_2026[[#This Row],[Neto]]</f>
        <v>6858844440.4297161</v>
      </c>
    </row>
    <row r="2551" spans="1:15" x14ac:dyDescent="0.25">
      <c r="A2551" s="13">
        <v>46240</v>
      </c>
      <c r="B2551" s="12">
        <f>MONTH(Movimientos_2026[[#This Row],[Fecha]])</f>
        <v>8</v>
      </c>
      <c r="C2551" s="12" t="str">
        <f>VLOOKUP((WEEKDAY(Movimientos_2026[[#This Row],[Fecha]],2)),'5. Setup'!$D$6:$E$12,2,FALSE)</f>
        <v>Jue</v>
      </c>
      <c r="D2551">
        <v>2014212</v>
      </c>
      <c r="E2551" t="str">
        <f>IFERROR(+VLOOKUP(Movimientos_2026[[#This Row],[Codigo]],Plan_cuentas[],2,FALSE)," ")</f>
        <v>EGRESOS</v>
      </c>
      <c r="F2551" t="str">
        <f>IFERROR(+VLOOKUP(Movimientos_2026[[#This Row],[Codigo]],Plan_cuentas[],3,FALSE)," ")</f>
        <v>BtoB</v>
      </c>
      <c r="G2551" t="str">
        <f>IFERROR(+VLOOKUP(Movimientos_2026[[#This Row],[Codigo]],Plan_cuentas[],4,FALSE)," ")</f>
        <v>Rentas</v>
      </c>
      <c r="H2551" t="str">
        <f>IFERROR(+VLOOKUP(Movimientos_2026[[#This Row],[Codigo]],Plan_cuentas[],5,FALSE)," ")</f>
        <v>CORRIENTES 2° Q</v>
      </c>
      <c r="I2551" s="43">
        <v>46204</v>
      </c>
      <c r="J2551" t="s">
        <v>1094</v>
      </c>
      <c r="K2551" t="str">
        <f>IFERROR(+VLOOKUP(Movimientos_2026[[#This Row],[Codigo]],Plan_cuentas[],6,FALSE)," ")</f>
        <v>2 - PR - Plan Rombo</v>
      </c>
      <c r="L2551" s="50"/>
      <c r="M2551" s="50">
        <v>7419395.8900000025</v>
      </c>
      <c r="N2551" s="20">
        <f>+Movimientos_2026[[#This Row],[Ingresos]]-Movimientos_2026[[#This Row],[Egresos]]</f>
        <v>-7419395.8900000025</v>
      </c>
      <c r="O2551" s="20">
        <f>+O2550+Movimientos_2026[[#This Row],[Neto]]</f>
        <v>6851425044.5397158</v>
      </c>
    </row>
    <row r="2552" spans="1:15" x14ac:dyDescent="0.25">
      <c r="A2552" s="13">
        <v>46240</v>
      </c>
      <c r="B2552" s="12">
        <f>MONTH(Movimientos_2026[[#This Row],[Fecha]])</f>
        <v>8</v>
      </c>
      <c r="C2552" s="12" t="str">
        <f>VLOOKUP((WEEKDAY(Movimientos_2026[[#This Row],[Fecha]],2)),'5. Setup'!$D$6:$E$12,2,FALSE)</f>
        <v>Jue</v>
      </c>
      <c r="D2552">
        <v>2034235</v>
      </c>
      <c r="E2552" t="str">
        <f>IFERROR(+VLOOKUP(Movimientos_2026[[#This Row],[Codigo]],Plan_cuentas[],2,FALSE)," ")</f>
        <v>EGRESOS</v>
      </c>
      <c r="F2552" t="str">
        <f>IFERROR(+VLOOKUP(Movimientos_2026[[#This Row],[Codigo]],Plan_cuentas[],3,FALSE)," ")</f>
        <v>Pagos Bco. Provincia</v>
      </c>
      <c r="G2552" t="str">
        <f>IFERROR(+VLOOKUP(Movimientos_2026[[#This Row],[Codigo]],Plan_cuentas[],4,FALSE)," ")</f>
        <v>Rentas</v>
      </c>
      <c r="H2552" t="str">
        <f>IFERROR(+VLOOKUP(Movimientos_2026[[#This Row],[Codigo]],Plan_cuentas[],5,FALSE)," ")</f>
        <v>ENTRE RIOS 2° Q</v>
      </c>
      <c r="I2552" s="43">
        <v>46204</v>
      </c>
      <c r="J2552" t="s">
        <v>1095</v>
      </c>
      <c r="K2552" t="str">
        <f>IFERROR(+VLOOKUP(Movimientos_2026[[#This Row],[Codigo]],Plan_cuentas[],6,FALSE)," ")</f>
        <v>5 - YAM - Yamaha</v>
      </c>
      <c r="L2552" s="50"/>
      <c r="M2552" s="50">
        <v>1074594.3600000001</v>
      </c>
      <c r="N2552" s="20">
        <f>+Movimientos_2026[[#This Row],[Ingresos]]-Movimientos_2026[[#This Row],[Egresos]]</f>
        <v>-1074594.3600000001</v>
      </c>
      <c r="O2552" s="20">
        <f>+O2551+Movimientos_2026[[#This Row],[Neto]]</f>
        <v>6850350450.1797161</v>
      </c>
    </row>
    <row r="2553" spans="1:15" x14ac:dyDescent="0.25">
      <c r="A2553" s="13">
        <v>46240</v>
      </c>
      <c r="B2553" s="12">
        <f>MONTH(Movimientos_2026[[#This Row],[Fecha]])</f>
        <v>8</v>
      </c>
      <c r="C2553" s="12" t="str">
        <f>VLOOKUP((WEEKDAY(Movimientos_2026[[#This Row],[Fecha]],2)),'5. Setup'!$D$6:$E$12,2,FALSE)</f>
        <v>Jue</v>
      </c>
      <c r="D2553">
        <v>2044495</v>
      </c>
      <c r="E2553" t="str">
        <f>IFERROR(+VLOOKUP(Movimientos_2026[[#This Row],[Codigo]],Plan_cuentas[],2,FALSE)," ")</f>
        <v>EGRESOS</v>
      </c>
      <c r="F2553" t="str">
        <f>IFERROR(+VLOOKUP(Movimientos_2026[[#This Row],[Codigo]],Plan_cuentas[],3,FALSE)," ")</f>
        <v>Transferencia</v>
      </c>
      <c r="G2553" t="str">
        <f>IFERROR(+VLOOKUP(Movimientos_2026[[#This Row],[Codigo]],Plan_cuentas[],4,FALSE)," ")</f>
        <v>Rentas</v>
      </c>
      <c r="H2553" t="str">
        <f>IFERROR(+VLOOKUP(Movimientos_2026[[#This Row],[Codigo]],Plan_cuentas[],5,FALSE)," ")</f>
        <v>JUJUY</v>
      </c>
      <c r="I2553" s="43">
        <v>46204</v>
      </c>
      <c r="J2553" t="s">
        <v>1096</v>
      </c>
      <c r="K2553" t="str">
        <f>IFERROR(+VLOOKUP(Movimientos_2026[[#This Row],[Codigo]],Plan_cuentas[],6,FALSE)," ")</f>
        <v>5 - YAM - Yamaha</v>
      </c>
      <c r="L2553" s="50"/>
      <c r="M2553" s="50">
        <v>726711.48</v>
      </c>
      <c r="N2553" s="20">
        <f>+Movimientos_2026[[#This Row],[Ingresos]]-Movimientos_2026[[#This Row],[Egresos]]</f>
        <v>-726711.48</v>
      </c>
      <c r="O2553" s="20">
        <f>+O2552+Movimientos_2026[[#This Row],[Neto]]</f>
        <v>6849623738.6997166</v>
      </c>
    </row>
    <row r="2554" spans="1:15" x14ac:dyDescent="0.25">
      <c r="A2554" s="13">
        <v>46240</v>
      </c>
      <c r="B2554" s="12">
        <f>MONTH(Movimientos_2026[[#This Row],[Fecha]])</f>
        <v>8</v>
      </c>
      <c r="C2554" s="12" t="str">
        <f>VLOOKUP((WEEKDAY(Movimientos_2026[[#This Row],[Fecha]],2)),'5. Setup'!$D$6:$E$12,2,FALSE)</f>
        <v>Jue</v>
      </c>
      <c r="D2554">
        <v>1043151</v>
      </c>
      <c r="E2554" t="str">
        <f>IFERROR(+VLOOKUP(Movimientos_2026[[#This Row],[Codigo]],Plan_cuentas[],2,FALSE)," ")</f>
        <v>INGRESOS</v>
      </c>
      <c r="F2554" t="str">
        <f>IFERROR(+VLOOKUP(Movimientos_2026[[#This Row],[Codigo]],Plan_cuentas[],3,FALSE)," ")</f>
        <v>Transferencia</v>
      </c>
      <c r="G2554" t="str">
        <f>IFERROR(+VLOOKUP(Movimientos_2026[[#This Row],[Codigo]],Plan_cuentas[],4,FALSE)," ")</f>
        <v>Registración</v>
      </c>
      <c r="H2554" t="str">
        <f>IFERROR(+VLOOKUP(Movimientos_2026[[#This Row],[Codigo]],Plan_cuentas[],5,FALSE)," ")</f>
        <v>CABA</v>
      </c>
      <c r="I2554" s="43">
        <v>46204</v>
      </c>
      <c r="J2554" t="s">
        <v>1097</v>
      </c>
      <c r="K2554" t="str">
        <f>IFERROR(+VLOOKUP(Movimientos_2026[[#This Row],[Codigo]],Plan_cuentas[],6,FALSE)," ")</f>
        <v>1 - VW - Volkswagen</v>
      </c>
      <c r="L2554" s="50">
        <v>43838192.460000001</v>
      </c>
      <c r="M2554" s="50"/>
      <c r="N2554" s="20">
        <f>+Movimientos_2026[[#This Row],[Ingresos]]-Movimientos_2026[[#This Row],[Egresos]]</f>
        <v>43838192.460000001</v>
      </c>
      <c r="O2554" s="20">
        <f>+O2553+Movimientos_2026[[#This Row],[Neto]]</f>
        <v>6893461931.1597166</v>
      </c>
    </row>
    <row r="2555" spans="1:15" x14ac:dyDescent="0.25">
      <c r="A2555" s="13">
        <v>46240</v>
      </c>
      <c r="B2555" s="12">
        <f>MONTH(Movimientos_2026[[#This Row],[Fecha]])</f>
        <v>8</v>
      </c>
      <c r="C2555" s="12" t="str">
        <f>VLOOKUP((WEEKDAY(Movimientos_2026[[#This Row],[Fecha]],2)),'5. Setup'!$D$6:$E$12,2,FALSE)</f>
        <v>Jue</v>
      </c>
      <c r="D2555">
        <v>1043221</v>
      </c>
      <c r="E2555" t="str">
        <f>IFERROR(+VLOOKUP(Movimientos_2026[[#This Row],[Codigo]],Plan_cuentas[],2,FALSE)," ")</f>
        <v>INGRESOS</v>
      </c>
      <c r="F2555" t="str">
        <f>IFERROR(+VLOOKUP(Movimientos_2026[[#This Row],[Codigo]],Plan_cuentas[],3,FALSE)," ")</f>
        <v>Transferencia</v>
      </c>
      <c r="G2555" t="str">
        <f>IFERROR(+VLOOKUP(Movimientos_2026[[#This Row],[Codigo]],Plan_cuentas[],4,FALSE)," ")</f>
        <v>Registración</v>
      </c>
      <c r="H2555" t="str">
        <f>IFERROR(+VLOOKUP(Movimientos_2026[[#This Row],[Codigo]],Plan_cuentas[],5,FALSE)," ")</f>
        <v>ENTRE RIOS 1° Q</v>
      </c>
      <c r="I2555" s="43">
        <v>46204</v>
      </c>
      <c r="J2555" t="s">
        <v>1097</v>
      </c>
      <c r="K2555" t="str">
        <f>IFERROR(+VLOOKUP(Movimientos_2026[[#This Row],[Codigo]],Plan_cuentas[],6,FALSE)," ")</f>
        <v>1 - VW - Volkswagen</v>
      </c>
      <c r="L2555" s="50">
        <v>16784184.5</v>
      </c>
      <c r="M2555" s="50"/>
      <c r="N2555" s="20">
        <f>+Movimientos_2026[[#This Row],[Ingresos]]-Movimientos_2026[[#This Row],[Egresos]]</f>
        <v>16784184.5</v>
      </c>
      <c r="O2555" s="20">
        <f>+O2554+Movimientos_2026[[#This Row],[Neto]]</f>
        <v>6910246115.6597166</v>
      </c>
    </row>
    <row r="2556" spans="1:15" x14ac:dyDescent="0.25">
      <c r="A2556" s="13">
        <v>46240</v>
      </c>
      <c r="B2556" s="12">
        <f>MONTH(Movimientos_2026[[#This Row],[Fecha]])</f>
        <v>8</v>
      </c>
      <c r="C2556" s="12" t="str">
        <f>VLOOKUP((WEEKDAY(Movimientos_2026[[#This Row],[Fecha]],2)),'5. Setup'!$D$6:$E$12,2,FALSE)</f>
        <v>Jue</v>
      </c>
      <c r="D2556">
        <v>1043231</v>
      </c>
      <c r="E2556" t="str">
        <f>IFERROR(+VLOOKUP(Movimientos_2026[[#This Row],[Codigo]],Plan_cuentas[],2,FALSE)," ")</f>
        <v>INGRESOS</v>
      </c>
      <c r="F2556" t="str">
        <f>IFERROR(+VLOOKUP(Movimientos_2026[[#This Row],[Codigo]],Plan_cuentas[],3,FALSE)," ")</f>
        <v>Transferencia</v>
      </c>
      <c r="G2556" t="str">
        <f>IFERROR(+VLOOKUP(Movimientos_2026[[#This Row],[Codigo]],Plan_cuentas[],4,FALSE)," ")</f>
        <v>Registración</v>
      </c>
      <c r="H2556" t="str">
        <f>IFERROR(+VLOOKUP(Movimientos_2026[[#This Row],[Codigo]],Plan_cuentas[],5,FALSE)," ")</f>
        <v>ENTRE RIOS 2° Q</v>
      </c>
      <c r="I2556" s="43">
        <v>46204</v>
      </c>
      <c r="J2556" t="s">
        <v>1097</v>
      </c>
      <c r="K2556" t="str">
        <f>IFERROR(+VLOOKUP(Movimientos_2026[[#This Row],[Codigo]],Plan_cuentas[],6,FALSE)," ")</f>
        <v>1 - VW - Volkswagen</v>
      </c>
      <c r="L2556" s="50">
        <v>4829582</v>
      </c>
      <c r="M2556" s="50"/>
      <c r="N2556" s="20">
        <f>+Movimientos_2026[[#This Row],[Ingresos]]-Movimientos_2026[[#This Row],[Egresos]]</f>
        <v>4829582</v>
      </c>
      <c r="O2556" s="20">
        <f>+O2555+Movimientos_2026[[#This Row],[Neto]]</f>
        <v>6915075697.6597166</v>
      </c>
    </row>
    <row r="2557" spans="1:15" x14ac:dyDescent="0.25">
      <c r="A2557" s="13">
        <v>46240</v>
      </c>
      <c r="B2557" s="12">
        <f>MONTH(Movimientos_2026[[#This Row],[Fecha]])</f>
        <v>8</v>
      </c>
      <c r="C2557" s="12" t="str">
        <f>VLOOKUP((WEEKDAY(Movimientos_2026[[#This Row],[Fecha]],2)),'5. Setup'!$D$6:$E$12,2,FALSE)</f>
        <v>Jue</v>
      </c>
      <c r="D2557">
        <v>1043341</v>
      </c>
      <c r="E2557" t="str">
        <f>IFERROR(+VLOOKUP(Movimientos_2026[[#This Row],[Codigo]],Plan_cuentas[],2,FALSE)," ")</f>
        <v>INGRESOS</v>
      </c>
      <c r="F2557" t="str">
        <f>IFERROR(+VLOOKUP(Movimientos_2026[[#This Row],[Codigo]],Plan_cuentas[],3,FALSE)," ")</f>
        <v>Transferencia</v>
      </c>
      <c r="G2557" t="str">
        <f>IFERROR(+VLOOKUP(Movimientos_2026[[#This Row],[Codigo]],Plan_cuentas[],4,FALSE)," ")</f>
        <v>Registración</v>
      </c>
      <c r="H2557" t="str">
        <f>IFERROR(+VLOOKUP(Movimientos_2026[[#This Row],[Codigo]],Plan_cuentas[],5,FALSE)," ")</f>
        <v>RIO NEGRO</v>
      </c>
      <c r="I2557" s="43">
        <v>46204</v>
      </c>
      <c r="J2557" t="s">
        <v>1097</v>
      </c>
      <c r="K2557" t="str">
        <f>IFERROR(+VLOOKUP(Movimientos_2026[[#This Row],[Codigo]],Plan_cuentas[],6,FALSE)," ")</f>
        <v>1 - VW - Volkswagen</v>
      </c>
      <c r="L2557" s="50">
        <v>39475749.82</v>
      </c>
      <c r="M2557" s="50"/>
      <c r="N2557" s="20">
        <f>+Movimientos_2026[[#This Row],[Ingresos]]-Movimientos_2026[[#This Row],[Egresos]]</f>
        <v>39475749.82</v>
      </c>
      <c r="O2557" s="20">
        <f>+O2556+Movimientos_2026[[#This Row],[Neto]]</f>
        <v>6954551447.4797163</v>
      </c>
    </row>
    <row r="2558" spans="1:15" x14ac:dyDescent="0.25">
      <c r="A2558" s="13">
        <v>46240</v>
      </c>
      <c r="B2558" s="12">
        <f>MONTH(Movimientos_2026[[#This Row],[Fecha]])</f>
        <v>8</v>
      </c>
      <c r="C2558" s="12" t="str">
        <f>VLOOKUP((WEEKDAY(Movimientos_2026[[#This Row],[Fecha]],2)),'5. Setup'!$D$6:$E$12,2,FALSE)</f>
        <v>Jue</v>
      </c>
      <c r="D2558">
        <v>1044161</v>
      </c>
      <c r="E2558" t="str">
        <f>IFERROR(+VLOOKUP(Movimientos_2026[[#This Row],[Codigo]],Plan_cuentas[],2,FALSE)," ")</f>
        <v>INGRESOS</v>
      </c>
      <c r="F2558" t="str">
        <f>IFERROR(+VLOOKUP(Movimientos_2026[[#This Row],[Codigo]],Plan_cuentas[],3,FALSE)," ")</f>
        <v>Transferencia</v>
      </c>
      <c r="G2558" t="str">
        <f>IFERROR(+VLOOKUP(Movimientos_2026[[#This Row],[Codigo]],Plan_cuentas[],4,FALSE)," ")</f>
        <v>Rentas</v>
      </c>
      <c r="H2558" t="str">
        <f>IFERROR(+VLOOKUP(Movimientos_2026[[#This Row],[Codigo]],Plan_cuentas[],5,FALSE)," ")</f>
        <v>CHACO</v>
      </c>
      <c r="I2558" s="43">
        <v>46204</v>
      </c>
      <c r="J2558" t="s">
        <v>1097</v>
      </c>
      <c r="K2558" t="str">
        <f>IFERROR(+VLOOKUP(Movimientos_2026[[#This Row],[Codigo]],Plan_cuentas[],6,FALSE)," ")</f>
        <v>1 - VW - Volkswagen</v>
      </c>
      <c r="L2558" s="50">
        <v>26318293.309999999</v>
      </c>
      <c r="M2558" s="50"/>
      <c r="N2558" s="20">
        <f>+Movimientos_2026[[#This Row],[Ingresos]]-Movimientos_2026[[#This Row],[Egresos]]</f>
        <v>26318293.309999999</v>
      </c>
      <c r="O2558" s="20">
        <f>+O2557+Movimientos_2026[[#This Row],[Neto]]</f>
        <v>6980869740.7897167</v>
      </c>
    </row>
    <row r="2559" spans="1:15" x14ac:dyDescent="0.25">
      <c r="A2559" s="13">
        <v>46240</v>
      </c>
      <c r="B2559" s="12">
        <f>MONTH(Movimientos_2026[[#This Row],[Fecha]])</f>
        <v>8</v>
      </c>
      <c r="C2559" s="12" t="str">
        <f>VLOOKUP((WEEKDAY(Movimientos_2026[[#This Row],[Fecha]],2)),'5. Setup'!$D$6:$E$12,2,FALSE)</f>
        <v>Jue</v>
      </c>
      <c r="D2559">
        <v>1044171</v>
      </c>
      <c r="E2559" t="str">
        <f>IFERROR(+VLOOKUP(Movimientos_2026[[#This Row],[Codigo]],Plan_cuentas[],2,FALSE)," ")</f>
        <v>INGRESOS</v>
      </c>
      <c r="F2559" t="str">
        <f>IFERROR(+VLOOKUP(Movimientos_2026[[#This Row],[Codigo]],Plan_cuentas[],3,FALSE)," ")</f>
        <v>Transferencia</v>
      </c>
      <c r="G2559" t="str">
        <f>IFERROR(+VLOOKUP(Movimientos_2026[[#This Row],[Codigo]],Plan_cuentas[],4,FALSE)," ")</f>
        <v>Rentas</v>
      </c>
      <c r="H2559" t="str">
        <f>IFERROR(+VLOOKUP(Movimientos_2026[[#This Row],[Codigo]],Plan_cuentas[],5,FALSE)," ")</f>
        <v>CHUBUT</v>
      </c>
      <c r="I2559" s="43">
        <v>46204</v>
      </c>
      <c r="J2559" t="s">
        <v>1097</v>
      </c>
      <c r="K2559" t="str">
        <f>IFERROR(+VLOOKUP(Movimientos_2026[[#This Row],[Codigo]],Plan_cuentas[],6,FALSE)," ")</f>
        <v>1 - VW - Volkswagen</v>
      </c>
      <c r="L2559" s="50">
        <v>16090662.75</v>
      </c>
      <c r="M2559" s="50"/>
      <c r="N2559" s="20">
        <f>+Movimientos_2026[[#This Row],[Ingresos]]-Movimientos_2026[[#This Row],[Egresos]]</f>
        <v>16090662.75</v>
      </c>
      <c r="O2559" s="20">
        <f>+O2558+Movimientos_2026[[#This Row],[Neto]]</f>
        <v>6996960403.5397167</v>
      </c>
    </row>
    <row r="2560" spans="1:15" x14ac:dyDescent="0.25">
      <c r="A2560" s="13">
        <v>46240</v>
      </c>
      <c r="B2560" s="12">
        <f>MONTH(Movimientos_2026[[#This Row],[Fecha]])</f>
        <v>8</v>
      </c>
      <c r="C2560" s="12" t="str">
        <f>VLOOKUP((WEEKDAY(Movimientos_2026[[#This Row],[Fecha]],2)),'5. Setup'!$D$6:$E$12,2,FALSE)</f>
        <v>Jue</v>
      </c>
      <c r="D2560">
        <v>1044201</v>
      </c>
      <c r="E2560" t="str">
        <f>IFERROR(+VLOOKUP(Movimientos_2026[[#This Row],[Codigo]],Plan_cuentas[],2,FALSE)," ")</f>
        <v>INGRESOS</v>
      </c>
      <c r="F2560" t="str">
        <f>IFERROR(+VLOOKUP(Movimientos_2026[[#This Row],[Codigo]],Plan_cuentas[],3,FALSE)," ")</f>
        <v>Transferencia</v>
      </c>
      <c r="G2560" t="str">
        <f>IFERROR(+VLOOKUP(Movimientos_2026[[#This Row],[Codigo]],Plan_cuentas[],4,FALSE)," ")</f>
        <v>Rentas</v>
      </c>
      <c r="H2560" t="str">
        <f>IFERROR(+VLOOKUP(Movimientos_2026[[#This Row],[Codigo]],Plan_cuentas[],5,FALSE)," ")</f>
        <v>CORRIENTES 1° Q</v>
      </c>
      <c r="I2560" s="43">
        <v>46204</v>
      </c>
      <c r="J2560" t="s">
        <v>1097</v>
      </c>
      <c r="K2560" t="str">
        <f>IFERROR(+VLOOKUP(Movimientos_2026[[#This Row],[Codigo]],Plan_cuentas[],6,FALSE)," ")</f>
        <v>1 - VW - Volkswagen</v>
      </c>
      <c r="L2560" s="50">
        <v>15601428.199999999</v>
      </c>
      <c r="M2560" s="50"/>
      <c r="N2560" s="20">
        <f>+Movimientos_2026[[#This Row],[Ingresos]]-Movimientos_2026[[#This Row],[Egresos]]</f>
        <v>15601428.199999999</v>
      </c>
      <c r="O2560" s="20">
        <f>+O2559+Movimientos_2026[[#This Row],[Neto]]</f>
        <v>7012561831.7397165</v>
      </c>
    </row>
    <row r="2561" spans="1:15" x14ac:dyDescent="0.25">
      <c r="A2561" s="13">
        <v>46240</v>
      </c>
      <c r="B2561" s="12">
        <f>MONTH(Movimientos_2026[[#This Row],[Fecha]])</f>
        <v>8</v>
      </c>
      <c r="C2561" s="12" t="str">
        <f>VLOOKUP((WEEKDAY(Movimientos_2026[[#This Row],[Fecha]],2)),'5. Setup'!$D$6:$E$12,2,FALSE)</f>
        <v>Jue</v>
      </c>
      <c r="D2561">
        <v>1044211</v>
      </c>
      <c r="E2561" t="str">
        <f>IFERROR(+VLOOKUP(Movimientos_2026[[#This Row],[Codigo]],Plan_cuentas[],2,FALSE)," ")</f>
        <v>INGRESOS</v>
      </c>
      <c r="F2561" t="str">
        <f>IFERROR(+VLOOKUP(Movimientos_2026[[#This Row],[Codigo]],Plan_cuentas[],3,FALSE)," ")</f>
        <v>Transferencia</v>
      </c>
      <c r="G2561" t="str">
        <f>IFERROR(+VLOOKUP(Movimientos_2026[[#This Row],[Codigo]],Plan_cuentas[],4,FALSE)," ")</f>
        <v>Rentas</v>
      </c>
      <c r="H2561" t="str">
        <f>IFERROR(+VLOOKUP(Movimientos_2026[[#This Row],[Codigo]],Plan_cuentas[],5,FALSE)," ")</f>
        <v>CORRIENTES 2° Q</v>
      </c>
      <c r="I2561" s="43">
        <v>46204</v>
      </c>
      <c r="J2561" t="s">
        <v>1097</v>
      </c>
      <c r="K2561" t="str">
        <f>IFERROR(+VLOOKUP(Movimientos_2026[[#This Row],[Codigo]],Plan_cuentas[],6,FALSE)," ")</f>
        <v>1 - VW - Volkswagen</v>
      </c>
      <c r="L2561" s="50">
        <v>6938354.5</v>
      </c>
      <c r="M2561" s="50"/>
      <c r="N2561" s="20">
        <f>+Movimientos_2026[[#This Row],[Ingresos]]-Movimientos_2026[[#This Row],[Egresos]]</f>
        <v>6938354.5</v>
      </c>
      <c r="O2561" s="20">
        <f>+O2560+Movimientos_2026[[#This Row],[Neto]]</f>
        <v>7019500186.2397165</v>
      </c>
    </row>
    <row r="2562" spans="1:15" x14ac:dyDescent="0.25">
      <c r="A2562" s="13">
        <v>46240</v>
      </c>
      <c r="B2562" s="12">
        <f>MONTH(Movimientos_2026[[#This Row],[Fecha]])</f>
        <v>8</v>
      </c>
      <c r="C2562" s="12" t="str">
        <f>VLOOKUP((WEEKDAY(Movimientos_2026[[#This Row],[Fecha]],2)),'5. Setup'!$D$6:$E$12,2,FALSE)</f>
        <v>Jue</v>
      </c>
      <c r="D2562">
        <v>1044241</v>
      </c>
      <c r="E2562" t="str">
        <f>IFERROR(+VLOOKUP(Movimientos_2026[[#This Row],[Codigo]],Plan_cuentas[],2,FALSE)," ")</f>
        <v>INGRESOS</v>
      </c>
      <c r="F2562" t="str">
        <f>IFERROR(+VLOOKUP(Movimientos_2026[[#This Row],[Codigo]],Plan_cuentas[],3,FALSE)," ")</f>
        <v>Transferencia</v>
      </c>
      <c r="G2562" t="str">
        <f>IFERROR(+VLOOKUP(Movimientos_2026[[#This Row],[Codigo]],Plan_cuentas[],4,FALSE)," ")</f>
        <v>Rentas</v>
      </c>
      <c r="H2562" t="str">
        <f>IFERROR(+VLOOKUP(Movimientos_2026[[#This Row],[Codigo]],Plan_cuentas[],5,FALSE)," ")</f>
        <v>FORMOSA</v>
      </c>
      <c r="I2562" s="43">
        <v>46204</v>
      </c>
      <c r="J2562" t="s">
        <v>1097</v>
      </c>
      <c r="K2562" t="str">
        <f>IFERROR(+VLOOKUP(Movimientos_2026[[#This Row],[Codigo]],Plan_cuentas[],6,FALSE)," ")</f>
        <v>1 - VW - Volkswagen</v>
      </c>
      <c r="L2562" s="50">
        <v>6234453.9350000015</v>
      </c>
      <c r="M2562" s="50"/>
      <c r="N2562" s="20">
        <f>+Movimientos_2026[[#This Row],[Ingresos]]-Movimientos_2026[[#This Row],[Egresos]]</f>
        <v>6234453.9350000015</v>
      </c>
      <c r="O2562" s="20">
        <f>+O2561+Movimientos_2026[[#This Row],[Neto]]</f>
        <v>7025734640.1747169</v>
      </c>
    </row>
    <row r="2563" spans="1:15" x14ac:dyDescent="0.25">
      <c r="A2563" s="13">
        <v>46240</v>
      </c>
      <c r="B2563" s="12">
        <f>MONTH(Movimientos_2026[[#This Row],[Fecha]])</f>
        <v>8</v>
      </c>
      <c r="C2563" s="12" t="str">
        <f>VLOOKUP((WEEKDAY(Movimientos_2026[[#This Row],[Fecha]],2)),'5. Setup'!$D$6:$E$12,2,FALSE)</f>
        <v>Jue</v>
      </c>
      <c r="D2563">
        <v>1044261</v>
      </c>
      <c r="E2563" t="str">
        <f>IFERROR(+VLOOKUP(Movimientos_2026[[#This Row],[Codigo]],Plan_cuentas[],2,FALSE)," ")</f>
        <v>INGRESOS</v>
      </c>
      <c r="F2563" t="str">
        <f>IFERROR(+VLOOKUP(Movimientos_2026[[#This Row],[Codigo]],Plan_cuentas[],3,FALSE)," ")</f>
        <v>Transferencia</v>
      </c>
      <c r="G2563" t="str">
        <f>IFERROR(+VLOOKUP(Movimientos_2026[[#This Row],[Codigo]],Plan_cuentas[],4,FALSE)," ")</f>
        <v>Rentas</v>
      </c>
      <c r="H2563" t="str">
        <f>IFERROR(+VLOOKUP(Movimientos_2026[[#This Row],[Codigo]],Plan_cuentas[],5,FALSE)," ")</f>
        <v>LA PAMPA</v>
      </c>
      <c r="I2563" s="43">
        <v>46204</v>
      </c>
      <c r="J2563" t="s">
        <v>1097</v>
      </c>
      <c r="K2563" t="str">
        <f>IFERROR(+VLOOKUP(Movimientos_2026[[#This Row],[Codigo]],Plan_cuentas[],6,FALSE)," ")</f>
        <v>1 - VW - Volkswagen</v>
      </c>
      <c r="L2563" s="50">
        <v>5524262.1850000015</v>
      </c>
      <c r="M2563" s="50"/>
      <c r="N2563" s="20">
        <f>+Movimientos_2026[[#This Row],[Ingresos]]-Movimientos_2026[[#This Row],[Egresos]]</f>
        <v>5524262.1850000015</v>
      </c>
      <c r="O2563" s="20">
        <f>+O2562+Movimientos_2026[[#This Row],[Neto]]</f>
        <v>7031258902.3597174</v>
      </c>
    </row>
    <row r="2564" spans="1:15" x14ac:dyDescent="0.25">
      <c r="A2564" s="13">
        <v>46240</v>
      </c>
      <c r="B2564" s="12">
        <f>MONTH(Movimientos_2026[[#This Row],[Fecha]])</f>
        <v>8</v>
      </c>
      <c r="C2564" s="12" t="str">
        <f>VLOOKUP((WEEKDAY(Movimientos_2026[[#This Row],[Fecha]],2)),'5. Setup'!$D$6:$E$12,2,FALSE)</f>
        <v>Jue</v>
      </c>
      <c r="D2564">
        <v>1044271</v>
      </c>
      <c r="E2564" t="str">
        <f>IFERROR(+VLOOKUP(Movimientos_2026[[#This Row],[Codigo]],Plan_cuentas[],2,FALSE)," ")</f>
        <v>INGRESOS</v>
      </c>
      <c r="F2564" t="str">
        <f>IFERROR(+VLOOKUP(Movimientos_2026[[#This Row],[Codigo]],Plan_cuentas[],3,FALSE)," ")</f>
        <v>Transferencia</v>
      </c>
      <c r="G2564" t="str">
        <f>IFERROR(+VLOOKUP(Movimientos_2026[[#This Row],[Codigo]],Plan_cuentas[],4,FALSE)," ")</f>
        <v>Rentas</v>
      </c>
      <c r="H2564" t="str">
        <f>IFERROR(+VLOOKUP(Movimientos_2026[[#This Row],[Codigo]],Plan_cuentas[],5,FALSE)," ")</f>
        <v>LA RIOJA</v>
      </c>
      <c r="I2564" s="43">
        <v>46204</v>
      </c>
      <c r="J2564" t="s">
        <v>1097</v>
      </c>
      <c r="K2564" t="str">
        <f>IFERROR(+VLOOKUP(Movimientos_2026[[#This Row],[Codigo]],Plan_cuentas[],6,FALSE)," ")</f>
        <v>1 - VW - Volkswagen</v>
      </c>
      <c r="L2564" s="50">
        <v>12684464</v>
      </c>
      <c r="M2564" s="50"/>
      <c r="N2564" s="20">
        <f>+Movimientos_2026[[#This Row],[Ingresos]]-Movimientos_2026[[#This Row],[Egresos]]</f>
        <v>12684464</v>
      </c>
      <c r="O2564" s="20">
        <f>+O2563+Movimientos_2026[[#This Row],[Neto]]</f>
        <v>7043943366.3597174</v>
      </c>
    </row>
    <row r="2565" spans="1:15" x14ac:dyDescent="0.25">
      <c r="A2565" s="13">
        <v>46240</v>
      </c>
      <c r="B2565" s="12">
        <f>MONTH(Movimientos_2026[[#This Row],[Fecha]])</f>
        <v>8</v>
      </c>
      <c r="C2565" s="12" t="str">
        <f>VLOOKUP((WEEKDAY(Movimientos_2026[[#This Row],[Fecha]],2)),'5. Setup'!$D$6:$E$12,2,FALSE)</f>
        <v>Jue</v>
      </c>
      <c r="D2565">
        <v>1044281</v>
      </c>
      <c r="E2565" t="str">
        <f>IFERROR(+VLOOKUP(Movimientos_2026[[#This Row],[Codigo]],Plan_cuentas[],2,FALSE)," ")</f>
        <v>INGRESOS</v>
      </c>
      <c r="F2565" t="str">
        <f>IFERROR(+VLOOKUP(Movimientos_2026[[#This Row],[Codigo]],Plan_cuentas[],3,FALSE)," ")</f>
        <v>Transferencia</v>
      </c>
      <c r="G2565" t="str">
        <f>IFERROR(+VLOOKUP(Movimientos_2026[[#This Row],[Codigo]],Plan_cuentas[],4,FALSE)," ")</f>
        <v>Rentas</v>
      </c>
      <c r="H2565" t="str">
        <f>IFERROR(+VLOOKUP(Movimientos_2026[[#This Row],[Codigo]],Plan_cuentas[],5,FALSE)," ")</f>
        <v>MENDOZA</v>
      </c>
      <c r="I2565" s="43">
        <v>46204</v>
      </c>
      <c r="J2565" t="s">
        <v>1097</v>
      </c>
      <c r="K2565" t="str">
        <f>IFERROR(+VLOOKUP(Movimientos_2026[[#This Row],[Codigo]],Plan_cuentas[],6,FALSE)," ")</f>
        <v>1 - VW - Volkswagen</v>
      </c>
      <c r="L2565" s="50">
        <v>37255912.369999997</v>
      </c>
      <c r="M2565" s="50"/>
      <c r="N2565" s="20">
        <f>+Movimientos_2026[[#This Row],[Ingresos]]-Movimientos_2026[[#This Row],[Egresos]]</f>
        <v>37255912.369999997</v>
      </c>
      <c r="O2565" s="20">
        <f>+O2564+Movimientos_2026[[#This Row],[Neto]]</f>
        <v>7081199278.7297173</v>
      </c>
    </row>
    <row r="2566" spans="1:15" x14ac:dyDescent="0.25">
      <c r="A2566" s="13">
        <v>46240</v>
      </c>
      <c r="B2566" s="12">
        <f>MONTH(Movimientos_2026[[#This Row],[Fecha]])</f>
        <v>8</v>
      </c>
      <c r="C2566" s="12" t="str">
        <f>VLOOKUP((WEEKDAY(Movimientos_2026[[#This Row],[Fecha]],2)),'5. Setup'!$D$6:$E$12,2,FALSE)</f>
        <v>Jue</v>
      </c>
      <c r="D2566">
        <v>1044461</v>
      </c>
      <c r="E2566" t="str">
        <f>IFERROR(+VLOOKUP(Movimientos_2026[[#This Row],[Codigo]],Plan_cuentas[],2,FALSE)," ")</f>
        <v>INGRESOS</v>
      </c>
      <c r="F2566" t="str">
        <f>IFERROR(+VLOOKUP(Movimientos_2026[[#This Row],[Codigo]],Plan_cuentas[],3,FALSE)," ")</f>
        <v>Transferencia</v>
      </c>
      <c r="G2566" t="str">
        <f>IFERROR(+VLOOKUP(Movimientos_2026[[#This Row],[Codigo]],Plan_cuentas[],4,FALSE)," ")</f>
        <v>Rentas</v>
      </c>
      <c r="H2566" t="str">
        <f>IFERROR(+VLOOKUP(Movimientos_2026[[#This Row],[Codigo]],Plan_cuentas[],5,FALSE)," ")</f>
        <v>MISIONES</v>
      </c>
      <c r="I2566" s="43">
        <v>46204</v>
      </c>
      <c r="J2566" t="s">
        <v>1097</v>
      </c>
      <c r="K2566" t="str">
        <f>IFERROR(+VLOOKUP(Movimientos_2026[[#This Row],[Codigo]],Plan_cuentas[],6,FALSE)," ")</f>
        <v>1 - VW - Volkswagen</v>
      </c>
      <c r="L2566" s="50">
        <v>3218671.0179231609</v>
      </c>
      <c r="M2566" s="50"/>
      <c r="N2566" s="20">
        <f>+Movimientos_2026[[#This Row],[Ingresos]]-Movimientos_2026[[#This Row],[Egresos]]</f>
        <v>3218671.0179231609</v>
      </c>
      <c r="O2566" s="20">
        <f>+O2565+Movimientos_2026[[#This Row],[Neto]]</f>
        <v>7084417949.7476406</v>
      </c>
    </row>
    <row r="2567" spans="1:15" x14ac:dyDescent="0.25">
      <c r="A2567" s="13">
        <v>46240</v>
      </c>
      <c r="B2567" s="12">
        <f>MONTH(Movimientos_2026[[#This Row],[Fecha]])</f>
        <v>8</v>
      </c>
      <c r="C2567" s="12" t="str">
        <f>VLOOKUP((WEEKDAY(Movimientos_2026[[#This Row],[Fecha]],2)),'5. Setup'!$D$6:$E$12,2,FALSE)</f>
        <v>Jue</v>
      </c>
      <c r="D2567">
        <v>1044311</v>
      </c>
      <c r="E2567" t="str">
        <f>IFERROR(+VLOOKUP(Movimientos_2026[[#This Row],[Codigo]],Plan_cuentas[],2,FALSE)," ")</f>
        <v>INGRESOS</v>
      </c>
      <c r="F2567" t="str">
        <f>IFERROR(+VLOOKUP(Movimientos_2026[[#This Row],[Codigo]],Plan_cuentas[],3,FALSE)," ")</f>
        <v>Transferencia</v>
      </c>
      <c r="G2567" t="str">
        <f>IFERROR(+VLOOKUP(Movimientos_2026[[#This Row],[Codigo]],Plan_cuentas[],4,FALSE)," ")</f>
        <v>Rentas</v>
      </c>
      <c r="H2567" t="str">
        <f>IFERROR(+VLOOKUP(Movimientos_2026[[#This Row],[Codigo]],Plan_cuentas[],5,FALSE)," ")</f>
        <v>NEUQUEN 1° Q</v>
      </c>
      <c r="I2567" s="43">
        <v>46204</v>
      </c>
      <c r="J2567" t="s">
        <v>1097</v>
      </c>
      <c r="K2567" t="str">
        <f>IFERROR(+VLOOKUP(Movimientos_2026[[#This Row],[Codigo]],Plan_cuentas[],6,FALSE)," ")</f>
        <v>1 - VW - Volkswagen</v>
      </c>
      <c r="L2567" s="50">
        <v>42581699.239999987</v>
      </c>
      <c r="M2567" s="50"/>
      <c r="N2567" s="20">
        <f>+Movimientos_2026[[#This Row],[Ingresos]]-Movimientos_2026[[#This Row],[Egresos]]</f>
        <v>42581699.239999987</v>
      </c>
      <c r="O2567" s="20">
        <f>+O2566+Movimientos_2026[[#This Row],[Neto]]</f>
        <v>7126999648.9876404</v>
      </c>
    </row>
    <row r="2568" spans="1:15" x14ac:dyDescent="0.25">
      <c r="A2568" s="13">
        <v>46240</v>
      </c>
      <c r="B2568" s="12">
        <f>MONTH(Movimientos_2026[[#This Row],[Fecha]])</f>
        <v>8</v>
      </c>
      <c r="C2568" s="12" t="str">
        <f>VLOOKUP((WEEKDAY(Movimientos_2026[[#This Row],[Fecha]],2)),'5. Setup'!$D$6:$E$12,2,FALSE)</f>
        <v>Jue</v>
      </c>
      <c r="D2568">
        <v>1044321</v>
      </c>
      <c r="E2568" t="str">
        <f>IFERROR(+VLOOKUP(Movimientos_2026[[#This Row],[Codigo]],Plan_cuentas[],2,FALSE)," ")</f>
        <v>INGRESOS</v>
      </c>
      <c r="F2568" t="str">
        <f>IFERROR(+VLOOKUP(Movimientos_2026[[#This Row],[Codigo]],Plan_cuentas[],3,FALSE)," ")</f>
        <v>Transferencia</v>
      </c>
      <c r="G2568" t="str">
        <f>IFERROR(+VLOOKUP(Movimientos_2026[[#This Row],[Codigo]],Plan_cuentas[],4,FALSE)," ")</f>
        <v>Rentas</v>
      </c>
      <c r="H2568" t="str">
        <f>IFERROR(+VLOOKUP(Movimientos_2026[[#This Row],[Codigo]],Plan_cuentas[],5,FALSE)," ")</f>
        <v>NEUQUEN 2° Q</v>
      </c>
      <c r="I2568" s="43">
        <v>46204</v>
      </c>
      <c r="J2568" t="s">
        <v>1097</v>
      </c>
      <c r="K2568" t="str">
        <f>IFERROR(+VLOOKUP(Movimientos_2026[[#This Row],[Codigo]],Plan_cuentas[],6,FALSE)," ")</f>
        <v>1 - VW - Volkswagen</v>
      </c>
      <c r="L2568" s="50">
        <v>23547450</v>
      </c>
      <c r="M2568" s="50"/>
      <c r="N2568" s="20">
        <f>+Movimientos_2026[[#This Row],[Ingresos]]-Movimientos_2026[[#This Row],[Egresos]]</f>
        <v>23547450</v>
      </c>
      <c r="O2568" s="20">
        <f>+O2567+Movimientos_2026[[#This Row],[Neto]]</f>
        <v>7150547098.9876404</v>
      </c>
    </row>
    <row r="2569" spans="1:15" x14ac:dyDescent="0.25">
      <c r="A2569" s="13">
        <v>46240</v>
      </c>
      <c r="B2569" s="12">
        <f>MONTH(Movimientos_2026[[#This Row],[Fecha]])</f>
        <v>8</v>
      </c>
      <c r="C2569" s="12" t="str">
        <f>VLOOKUP((WEEKDAY(Movimientos_2026[[#This Row],[Fecha]],2)),'5. Setup'!$D$6:$E$12,2,FALSE)</f>
        <v>Jue</v>
      </c>
      <c r="D2569">
        <v>1044351</v>
      </c>
      <c r="E2569" t="str">
        <f>IFERROR(+VLOOKUP(Movimientos_2026[[#This Row],[Codigo]],Plan_cuentas[],2,FALSE)," ")</f>
        <v>INGRESOS</v>
      </c>
      <c r="F2569" t="str">
        <f>IFERROR(+VLOOKUP(Movimientos_2026[[#This Row],[Codigo]],Plan_cuentas[],3,FALSE)," ")</f>
        <v>Transferencia</v>
      </c>
      <c r="G2569" t="str">
        <f>IFERROR(+VLOOKUP(Movimientos_2026[[#This Row],[Codigo]],Plan_cuentas[],4,FALSE)," ")</f>
        <v>Rentas</v>
      </c>
      <c r="H2569" t="str">
        <f>IFERROR(+VLOOKUP(Movimientos_2026[[#This Row],[Codigo]],Plan_cuentas[],5,FALSE)," ")</f>
        <v>SAN JUAN</v>
      </c>
      <c r="I2569" s="43">
        <v>46204</v>
      </c>
      <c r="J2569" t="s">
        <v>1097</v>
      </c>
      <c r="K2569" t="str">
        <f>IFERROR(+VLOOKUP(Movimientos_2026[[#This Row],[Codigo]],Plan_cuentas[],6,FALSE)," ")</f>
        <v>1 - VW - Volkswagen</v>
      </c>
      <c r="L2569" s="50">
        <v>8255193.5375999995</v>
      </c>
      <c r="M2569" s="50"/>
      <c r="N2569" s="20">
        <f>+Movimientos_2026[[#This Row],[Ingresos]]-Movimientos_2026[[#This Row],[Egresos]]</f>
        <v>8255193.5375999995</v>
      </c>
      <c r="O2569" s="20">
        <f>+O2568+Movimientos_2026[[#This Row],[Neto]]</f>
        <v>7158802292.5252399</v>
      </c>
    </row>
    <row r="2570" spans="1:15" x14ac:dyDescent="0.25">
      <c r="A2570" s="13">
        <v>46240</v>
      </c>
      <c r="B2570" s="12">
        <f>MONTH(Movimientos_2026[[#This Row],[Fecha]])</f>
        <v>8</v>
      </c>
      <c r="C2570" s="12" t="str">
        <f>VLOOKUP((WEEKDAY(Movimientos_2026[[#This Row],[Fecha]],2)),'5. Setup'!$D$6:$E$12,2,FALSE)</f>
        <v>Jue</v>
      </c>
      <c r="D2570">
        <v>1044361</v>
      </c>
      <c r="E2570" t="str">
        <f>IFERROR(+VLOOKUP(Movimientos_2026[[#This Row],[Codigo]],Plan_cuentas[],2,FALSE)," ")</f>
        <v>INGRESOS</v>
      </c>
      <c r="F2570" t="str">
        <f>IFERROR(+VLOOKUP(Movimientos_2026[[#This Row],[Codigo]],Plan_cuentas[],3,FALSE)," ")</f>
        <v>Transferencia</v>
      </c>
      <c r="G2570" t="str">
        <f>IFERROR(+VLOOKUP(Movimientos_2026[[#This Row],[Codigo]],Plan_cuentas[],4,FALSE)," ")</f>
        <v>Rentas</v>
      </c>
      <c r="H2570" t="str">
        <f>IFERROR(+VLOOKUP(Movimientos_2026[[#This Row],[Codigo]],Plan_cuentas[],5,FALSE)," ")</f>
        <v>SAN LUIS</v>
      </c>
      <c r="I2570" s="43">
        <v>46204</v>
      </c>
      <c r="J2570" t="s">
        <v>1097</v>
      </c>
      <c r="K2570" t="str">
        <f>IFERROR(+VLOOKUP(Movimientos_2026[[#This Row],[Codigo]],Plan_cuentas[],6,FALSE)," ")</f>
        <v>1 - VW - Volkswagen</v>
      </c>
      <c r="L2570" s="50">
        <v>11365833.312000001</v>
      </c>
      <c r="M2570" s="50"/>
      <c r="N2570" s="20">
        <f>+Movimientos_2026[[#This Row],[Ingresos]]-Movimientos_2026[[#This Row],[Egresos]]</f>
        <v>11365833.312000001</v>
      </c>
      <c r="O2570" s="20">
        <f>+O2569+Movimientos_2026[[#This Row],[Neto]]</f>
        <v>7170168125.8372402</v>
      </c>
    </row>
    <row r="2571" spans="1:15" x14ac:dyDescent="0.25">
      <c r="A2571" s="13">
        <v>46240</v>
      </c>
      <c r="B2571" s="12">
        <f>MONTH(Movimientos_2026[[#This Row],[Fecha]])</f>
        <v>8</v>
      </c>
      <c r="C2571" s="12" t="str">
        <f>VLOOKUP((WEEKDAY(Movimientos_2026[[#This Row],[Fecha]],2)),'5. Setup'!$D$6:$E$12,2,FALSE)</f>
        <v>Jue</v>
      </c>
      <c r="D2571">
        <v>1044371</v>
      </c>
      <c r="E2571" t="str">
        <f>IFERROR(+VLOOKUP(Movimientos_2026[[#This Row],[Codigo]],Plan_cuentas[],2,FALSE)," ")</f>
        <v>INGRESOS</v>
      </c>
      <c r="F2571" t="str">
        <f>IFERROR(+VLOOKUP(Movimientos_2026[[#This Row],[Codigo]],Plan_cuentas[],3,FALSE)," ")</f>
        <v>Transferencia</v>
      </c>
      <c r="G2571" t="str">
        <f>IFERROR(+VLOOKUP(Movimientos_2026[[#This Row],[Codigo]],Plan_cuentas[],4,FALSE)," ")</f>
        <v>Rentas</v>
      </c>
      <c r="H2571" t="str">
        <f>IFERROR(+VLOOKUP(Movimientos_2026[[#This Row],[Codigo]],Plan_cuentas[],5,FALSE)," ")</f>
        <v>SANTA CRUZ</v>
      </c>
      <c r="I2571" s="43">
        <v>46204</v>
      </c>
      <c r="J2571" t="s">
        <v>1097</v>
      </c>
      <c r="K2571" t="str">
        <f>IFERROR(+VLOOKUP(Movimientos_2026[[#This Row],[Codigo]],Plan_cuentas[],6,FALSE)," ")</f>
        <v>1 - VW - Volkswagen</v>
      </c>
      <c r="L2571" s="50">
        <v>15308118.966</v>
      </c>
      <c r="M2571" s="50"/>
      <c r="N2571" s="20">
        <f>+Movimientos_2026[[#This Row],[Ingresos]]-Movimientos_2026[[#This Row],[Egresos]]</f>
        <v>15308118.966</v>
      </c>
      <c r="O2571" s="20">
        <f>+O2570+Movimientos_2026[[#This Row],[Neto]]</f>
        <v>7185476244.8032398</v>
      </c>
    </row>
    <row r="2572" spans="1:15" x14ac:dyDescent="0.25">
      <c r="A2572" s="13">
        <v>46240</v>
      </c>
      <c r="B2572" s="12">
        <f>MONTH(Movimientos_2026[[#This Row],[Fecha]])</f>
        <v>8</v>
      </c>
      <c r="C2572" s="12" t="str">
        <f>VLOOKUP((WEEKDAY(Movimientos_2026[[#This Row],[Fecha]],2)),'5. Setup'!$D$6:$E$12,2,FALSE)</f>
        <v>Jue</v>
      </c>
      <c r="D2572">
        <v>1044381</v>
      </c>
      <c r="E2572" t="str">
        <f>IFERROR(+VLOOKUP(Movimientos_2026[[#This Row],[Codigo]],Plan_cuentas[],2,FALSE)," ")</f>
        <v>INGRESOS</v>
      </c>
      <c r="F2572" t="str">
        <f>IFERROR(+VLOOKUP(Movimientos_2026[[#This Row],[Codigo]],Plan_cuentas[],3,FALSE)," ")</f>
        <v>Transferencia</v>
      </c>
      <c r="G2572" t="str">
        <f>IFERROR(+VLOOKUP(Movimientos_2026[[#This Row],[Codigo]],Plan_cuentas[],4,FALSE)," ")</f>
        <v>Rentas</v>
      </c>
      <c r="H2572" t="str">
        <f>IFERROR(+VLOOKUP(Movimientos_2026[[#This Row],[Codigo]],Plan_cuentas[],5,FALSE)," ")</f>
        <v>SANTA FE 1° Q</v>
      </c>
      <c r="I2572" s="43">
        <v>46204</v>
      </c>
      <c r="J2572" t="s">
        <v>1097</v>
      </c>
      <c r="K2572" t="str">
        <f>IFERROR(+VLOOKUP(Movimientos_2026[[#This Row],[Codigo]],Plan_cuentas[],6,FALSE)," ")</f>
        <v>1 - VW - Volkswagen</v>
      </c>
      <c r="L2572" s="50">
        <v>22660194.530000001</v>
      </c>
      <c r="M2572" s="50"/>
      <c r="N2572" s="20">
        <f>+Movimientos_2026[[#This Row],[Ingresos]]-Movimientos_2026[[#This Row],[Egresos]]</f>
        <v>22660194.530000001</v>
      </c>
      <c r="O2572" s="20">
        <f>+O2571+Movimientos_2026[[#This Row],[Neto]]</f>
        <v>7208136439.3332396</v>
      </c>
    </row>
    <row r="2573" spans="1:15" x14ac:dyDescent="0.25">
      <c r="A2573" s="13">
        <v>46240</v>
      </c>
      <c r="B2573" s="12">
        <f>MONTH(Movimientos_2026[[#This Row],[Fecha]])</f>
        <v>8</v>
      </c>
      <c r="C2573" s="12" t="str">
        <f>VLOOKUP((WEEKDAY(Movimientos_2026[[#This Row],[Fecha]],2)),'5. Setup'!$D$6:$E$12,2,FALSE)</f>
        <v>Jue</v>
      </c>
      <c r="D2573">
        <v>1044391</v>
      </c>
      <c r="E2573" t="str">
        <f>IFERROR(+VLOOKUP(Movimientos_2026[[#This Row],[Codigo]],Plan_cuentas[],2,FALSE)," ")</f>
        <v>INGRESOS</v>
      </c>
      <c r="F2573" t="str">
        <f>IFERROR(+VLOOKUP(Movimientos_2026[[#This Row],[Codigo]],Plan_cuentas[],3,FALSE)," ")</f>
        <v>Transferencia</v>
      </c>
      <c r="G2573" t="str">
        <f>IFERROR(+VLOOKUP(Movimientos_2026[[#This Row],[Codigo]],Plan_cuentas[],4,FALSE)," ")</f>
        <v>Rentas</v>
      </c>
      <c r="H2573" t="str">
        <f>IFERROR(+VLOOKUP(Movimientos_2026[[#This Row],[Codigo]],Plan_cuentas[],5,FALSE)," ")</f>
        <v>SANTA FE 2° Q</v>
      </c>
      <c r="I2573" s="43">
        <v>46204</v>
      </c>
      <c r="J2573" t="s">
        <v>1097</v>
      </c>
      <c r="K2573" t="str">
        <f>IFERROR(+VLOOKUP(Movimientos_2026[[#This Row],[Codigo]],Plan_cuentas[],6,FALSE)," ")</f>
        <v>1 - VW - Volkswagen</v>
      </c>
      <c r="L2573" s="50">
        <v>13159574.75</v>
      </c>
      <c r="M2573" s="50"/>
      <c r="N2573" s="20">
        <f>+Movimientos_2026[[#This Row],[Ingresos]]-Movimientos_2026[[#This Row],[Egresos]]</f>
        <v>13159574.75</v>
      </c>
      <c r="O2573" s="20">
        <f>+O2572+Movimientos_2026[[#This Row],[Neto]]</f>
        <v>7221296014.0832396</v>
      </c>
    </row>
    <row r="2574" spans="1:15" x14ac:dyDescent="0.25">
      <c r="A2574" s="13">
        <v>46240</v>
      </c>
      <c r="B2574" s="12">
        <f>MONTH(Movimientos_2026[[#This Row],[Fecha]])</f>
        <v>8</v>
      </c>
      <c r="C2574" s="12" t="str">
        <f>VLOOKUP((WEEKDAY(Movimientos_2026[[#This Row],[Fecha]],2)),'5. Setup'!$D$6:$E$12,2,FALSE)</f>
        <v>Jue</v>
      </c>
      <c r="D2574">
        <v>1044401</v>
      </c>
      <c r="E2574" t="str">
        <f>IFERROR(+VLOOKUP(Movimientos_2026[[#This Row],[Codigo]],Plan_cuentas[],2,FALSE)," ")</f>
        <v>INGRESOS</v>
      </c>
      <c r="F2574" t="str">
        <f>IFERROR(+VLOOKUP(Movimientos_2026[[#This Row],[Codigo]],Plan_cuentas[],3,FALSE)," ")</f>
        <v>Transferencia</v>
      </c>
      <c r="G2574" t="str">
        <f>IFERROR(+VLOOKUP(Movimientos_2026[[#This Row],[Codigo]],Plan_cuentas[],4,FALSE)," ")</f>
        <v>Rentas</v>
      </c>
      <c r="H2574" t="str">
        <f>IFERROR(+VLOOKUP(Movimientos_2026[[#This Row],[Codigo]],Plan_cuentas[],5,FALSE)," ")</f>
        <v>SANTIAGO DEL ESTERO</v>
      </c>
      <c r="I2574" s="43">
        <v>46204</v>
      </c>
      <c r="J2574" t="s">
        <v>1097</v>
      </c>
      <c r="K2574" t="str">
        <f>IFERROR(+VLOOKUP(Movimientos_2026[[#This Row],[Codigo]],Plan_cuentas[],6,FALSE)," ")</f>
        <v>1 - VW - Volkswagen</v>
      </c>
      <c r="L2574" s="50">
        <v>33669017.18</v>
      </c>
      <c r="M2574" s="50"/>
      <c r="N2574" s="20">
        <f>+Movimientos_2026[[#This Row],[Ingresos]]-Movimientos_2026[[#This Row],[Egresos]]</f>
        <v>33669017.18</v>
      </c>
      <c r="O2574" s="20">
        <f>+O2573+Movimientos_2026[[#This Row],[Neto]]</f>
        <v>7254965031.2632399</v>
      </c>
    </row>
    <row r="2575" spans="1:15" x14ac:dyDescent="0.25">
      <c r="A2575" s="13">
        <v>46240</v>
      </c>
      <c r="B2575" s="12">
        <f>MONTH(Movimientos_2026[[#This Row],[Fecha]])</f>
        <v>8</v>
      </c>
      <c r="C2575" s="12" t="str">
        <f>VLOOKUP((WEEKDAY(Movimientos_2026[[#This Row],[Fecha]],2)),'5. Setup'!$D$6:$E$12,2,FALSE)</f>
        <v>Jue</v>
      </c>
      <c r="D2575">
        <v>1044411</v>
      </c>
      <c r="E2575" t="str">
        <f>IFERROR(+VLOOKUP(Movimientos_2026[[#This Row],[Codigo]],Plan_cuentas[],2,FALSE)," ")</f>
        <v>INGRESOS</v>
      </c>
      <c r="F2575" t="str">
        <f>IFERROR(+VLOOKUP(Movimientos_2026[[#This Row],[Codigo]],Plan_cuentas[],3,FALSE)," ")</f>
        <v>Transferencia</v>
      </c>
      <c r="G2575" t="str">
        <f>IFERROR(+VLOOKUP(Movimientos_2026[[#This Row],[Codigo]],Plan_cuentas[],4,FALSE)," ")</f>
        <v>Rentas</v>
      </c>
      <c r="H2575" t="str">
        <f>IFERROR(+VLOOKUP(Movimientos_2026[[#This Row],[Codigo]],Plan_cuentas[],5,FALSE)," ")</f>
        <v>TIERRA DEL FUEGO</v>
      </c>
      <c r="I2575" s="43">
        <v>46204</v>
      </c>
      <c r="J2575" t="s">
        <v>1097</v>
      </c>
      <c r="K2575" t="str">
        <f>IFERROR(+VLOOKUP(Movimientos_2026[[#This Row],[Codigo]],Plan_cuentas[],6,FALSE)," ")</f>
        <v>1 - VW - Volkswagen</v>
      </c>
      <c r="L2575" s="50">
        <v>3900593.87</v>
      </c>
      <c r="M2575" s="50"/>
      <c r="N2575" s="20">
        <f>+Movimientos_2026[[#This Row],[Ingresos]]-Movimientos_2026[[#This Row],[Egresos]]</f>
        <v>3900593.87</v>
      </c>
      <c r="O2575" s="20">
        <f>+O2574+Movimientos_2026[[#This Row],[Neto]]</f>
        <v>7258865625.1332397</v>
      </c>
    </row>
    <row r="2576" spans="1:15" x14ac:dyDescent="0.25">
      <c r="A2576" s="13">
        <v>46240</v>
      </c>
      <c r="B2576" s="12">
        <f>MONTH(Movimientos_2026[[#This Row],[Fecha]])</f>
        <v>8</v>
      </c>
      <c r="C2576" s="12" t="str">
        <f>VLOOKUP((WEEKDAY(Movimientos_2026[[#This Row],[Fecha]],2)),'5. Setup'!$D$6:$E$12,2,FALSE)</f>
        <v>Jue</v>
      </c>
      <c r="D2576">
        <v>1044421</v>
      </c>
      <c r="E2576" t="str">
        <f>IFERROR(+VLOOKUP(Movimientos_2026[[#This Row],[Codigo]],Plan_cuentas[],2,FALSE)," ")</f>
        <v>INGRESOS</v>
      </c>
      <c r="F2576" t="str">
        <f>IFERROR(+VLOOKUP(Movimientos_2026[[#This Row],[Codigo]],Plan_cuentas[],3,FALSE)," ")</f>
        <v>Transferencia</v>
      </c>
      <c r="G2576" t="str">
        <f>IFERROR(+VLOOKUP(Movimientos_2026[[#This Row],[Codigo]],Plan_cuentas[],4,FALSE)," ")</f>
        <v>Rentas</v>
      </c>
      <c r="H2576" t="str">
        <f>IFERROR(+VLOOKUP(Movimientos_2026[[#This Row],[Codigo]],Plan_cuentas[],5,FALSE)," ")</f>
        <v>TUCUMAN</v>
      </c>
      <c r="I2576" s="43">
        <v>46204</v>
      </c>
      <c r="J2576" t="s">
        <v>1097</v>
      </c>
      <c r="K2576" t="str">
        <f>IFERROR(+VLOOKUP(Movimientos_2026[[#This Row],[Codigo]],Plan_cuentas[],6,FALSE)," ")</f>
        <v>1 - VW - Volkswagen</v>
      </c>
      <c r="L2576" s="50">
        <v>98277174.573593706</v>
      </c>
      <c r="M2576" s="50"/>
      <c r="N2576" s="20">
        <f>+Movimientos_2026[[#This Row],[Ingresos]]-Movimientos_2026[[#This Row],[Egresos]]</f>
        <v>98277174.573593706</v>
      </c>
      <c r="O2576" s="20">
        <f>+O2575+Movimientos_2026[[#This Row],[Neto]]</f>
        <v>7357142799.7068338</v>
      </c>
    </row>
    <row r="2577" spans="1:15" x14ac:dyDescent="0.25">
      <c r="A2577" s="13">
        <v>46240</v>
      </c>
      <c r="B2577" s="12">
        <f>MONTH(Movimientos_2026[[#This Row],[Fecha]])</f>
        <v>8</v>
      </c>
      <c r="C2577" s="12" t="str">
        <f>VLOOKUP((WEEKDAY(Movimientos_2026[[#This Row],[Fecha]],2)),'5. Setup'!$D$6:$E$12,2,FALSE)</f>
        <v>Jue</v>
      </c>
      <c r="D2577">
        <v>1043141</v>
      </c>
      <c r="E2577" t="str">
        <f>IFERROR(+VLOOKUP(Movimientos_2026[[#This Row],[Codigo]],Plan_cuentas[],2,FALSE)," ")</f>
        <v>INGRESOS</v>
      </c>
      <c r="F2577" t="str">
        <f>IFERROR(+VLOOKUP(Movimientos_2026[[#This Row],[Codigo]],Plan_cuentas[],3,FALSE)," ")</f>
        <v>Transferencia</v>
      </c>
      <c r="G2577" t="str">
        <f>IFERROR(+VLOOKUP(Movimientos_2026[[#This Row],[Codigo]],Plan_cuentas[],4,FALSE)," ")</f>
        <v>Registración</v>
      </c>
      <c r="H2577" t="str">
        <f>IFERROR(+VLOOKUP(Movimientos_2026[[#This Row],[Codigo]],Plan_cuentas[],5,FALSE)," ")</f>
        <v>BUENOS AIRES</v>
      </c>
      <c r="I2577" s="43">
        <v>46204</v>
      </c>
      <c r="J2577" t="s">
        <v>1097</v>
      </c>
      <c r="K2577" t="str">
        <f>IFERROR(+VLOOKUP(Movimientos_2026[[#This Row],[Codigo]],Plan_cuentas[],6,FALSE)," ")</f>
        <v>1 - VW - Volkswagen</v>
      </c>
      <c r="L2577" s="50">
        <v>149259122.6875003</v>
      </c>
      <c r="M2577" s="50"/>
      <c r="N2577" s="20">
        <f>+Movimientos_2026[[#This Row],[Ingresos]]-Movimientos_2026[[#This Row],[Egresos]]</f>
        <v>149259122.6875003</v>
      </c>
      <c r="O2577" s="20">
        <f>+O2576+Movimientos_2026[[#This Row],[Neto]]</f>
        <v>7506401922.3943338</v>
      </c>
    </row>
    <row r="2578" spans="1:15" x14ac:dyDescent="0.25">
      <c r="A2578" s="13">
        <v>46240</v>
      </c>
      <c r="B2578" s="12">
        <f>MONTH(Movimientos_2026[[#This Row],[Fecha]])</f>
        <v>8</v>
      </c>
      <c r="C2578" s="12" t="str">
        <f>VLOOKUP((WEEKDAY(Movimientos_2026[[#This Row],[Fecha]],2)),'5. Setup'!$D$6:$E$12,2,FALSE)</f>
        <v>Jue</v>
      </c>
      <c r="D2578">
        <v>1041131</v>
      </c>
      <c r="E2578" t="str">
        <f>IFERROR(+VLOOKUP(Movimientos_2026[[#This Row],[Codigo]],Plan_cuentas[],2,FALSE)," ")</f>
        <v>INGRESOS</v>
      </c>
      <c r="F2578" t="str">
        <f>IFERROR(+VLOOKUP(Movimientos_2026[[#This Row],[Codigo]],Plan_cuentas[],3,FALSE)," ")</f>
        <v>Transferencia</v>
      </c>
      <c r="G2578" t="str">
        <f>IFERROR(+VLOOKUP(Movimientos_2026[[#This Row],[Codigo]],Plan_cuentas[],4,FALSE)," ")</f>
        <v>Entidades co-participadas</v>
      </c>
      <c r="H2578" t="str">
        <f>IFERROR(+VLOOKUP(Movimientos_2026[[#This Row],[Codigo]],Plan_cuentas[],5,FALSE)," ")</f>
        <v>BCLP</v>
      </c>
      <c r="I2578" s="43">
        <v>46204</v>
      </c>
      <c r="J2578" t="s">
        <v>1097</v>
      </c>
      <c r="K2578" t="str">
        <f>IFERROR(+VLOOKUP(Movimientos_2026[[#This Row],[Codigo]],Plan_cuentas[],6,FALSE)," ")</f>
        <v>1 - VW - Volkswagen</v>
      </c>
      <c r="L2578" s="50">
        <v>149259122.6875003</v>
      </c>
      <c r="M2578" s="50"/>
      <c r="N2578" s="20">
        <f>+Movimientos_2026[[#This Row],[Ingresos]]-Movimientos_2026[[#This Row],[Egresos]]</f>
        <v>149259122.6875003</v>
      </c>
      <c r="O2578" s="20">
        <f>+O2577+Movimientos_2026[[#This Row],[Neto]]</f>
        <v>7655661045.0818338</v>
      </c>
    </row>
    <row r="2579" spans="1:15" x14ac:dyDescent="0.25">
      <c r="A2579" s="13">
        <v>46240</v>
      </c>
      <c r="B2579" s="12">
        <f>MONTH(Movimientos_2026[[#This Row],[Fecha]])</f>
        <v>8</v>
      </c>
      <c r="C2579" s="12" t="str">
        <f>VLOOKUP((WEEKDAY(Movimientos_2026[[#This Row],[Fecha]],2)),'5. Setup'!$D$6:$E$12,2,FALSE)</f>
        <v>Jue</v>
      </c>
      <c r="D2579">
        <v>1041441</v>
      </c>
      <c r="E2579" t="str">
        <f>IFERROR(+VLOOKUP(Movimientos_2026[[#This Row],[Codigo]],Plan_cuentas[],2,FALSE)," ")</f>
        <v>INGRESOS</v>
      </c>
      <c r="F2579" t="str">
        <f>IFERROR(+VLOOKUP(Movimientos_2026[[#This Row],[Codigo]],Plan_cuentas[],3,FALSE)," ")</f>
        <v>Transferencia</v>
      </c>
      <c r="G2579" t="str">
        <f>IFERROR(+VLOOKUP(Movimientos_2026[[#This Row],[Codigo]],Plan_cuentas[],4,FALSE)," ")</f>
        <v>Entidades co-participadas</v>
      </c>
      <c r="H2579" t="str">
        <f>IFERROR(+VLOOKUP(Movimientos_2026[[#This Row],[Codigo]],Plan_cuentas[],5,FALSE)," ")</f>
        <v>UISCUMARR</v>
      </c>
      <c r="I2579" s="43">
        <v>46204</v>
      </c>
      <c r="J2579" t="s">
        <v>1097</v>
      </c>
      <c r="K2579" t="str">
        <f>IFERROR(+VLOOKUP(Movimientos_2026[[#This Row],[Codigo]],Plan_cuentas[],6,FALSE)," ")</f>
        <v>1 - VW - Volkswagen</v>
      </c>
      <c r="L2579" s="50">
        <v>149259122.6875003</v>
      </c>
      <c r="M2579" s="50"/>
      <c r="N2579" s="20">
        <f>+Movimientos_2026[[#This Row],[Ingresos]]-Movimientos_2026[[#This Row],[Egresos]]</f>
        <v>149259122.6875003</v>
      </c>
      <c r="O2579" s="20">
        <f>+O2578+Movimientos_2026[[#This Row],[Neto]]</f>
        <v>7804920167.7693338</v>
      </c>
    </row>
    <row r="2580" spans="1:15" x14ac:dyDescent="0.25">
      <c r="A2580" s="13">
        <v>46240</v>
      </c>
      <c r="B2580" s="12">
        <f>MONTH(Movimientos_2026[[#This Row],[Fecha]])</f>
        <v>8</v>
      </c>
      <c r="C2580" s="12" t="str">
        <f>VLOOKUP((WEEKDAY(Movimientos_2026[[#This Row],[Fecha]],2)),'5. Setup'!$D$6:$E$12,2,FALSE)</f>
        <v>Jue</v>
      </c>
      <c r="D2580">
        <v>1043141</v>
      </c>
      <c r="E2580" t="str">
        <f>IFERROR(+VLOOKUP(Movimientos_2026[[#This Row],[Codigo]],Plan_cuentas[],2,FALSE)," ")</f>
        <v>INGRESOS</v>
      </c>
      <c r="F2580" t="str">
        <f>IFERROR(+VLOOKUP(Movimientos_2026[[#This Row],[Codigo]],Plan_cuentas[],3,FALSE)," ")</f>
        <v>Transferencia</v>
      </c>
      <c r="G2580" t="str">
        <f>IFERROR(+VLOOKUP(Movimientos_2026[[#This Row],[Codigo]],Plan_cuentas[],4,FALSE)," ")</f>
        <v>Registración</v>
      </c>
      <c r="H2580" t="str">
        <f>IFERROR(+VLOOKUP(Movimientos_2026[[#This Row],[Codigo]],Plan_cuentas[],5,FALSE)," ")</f>
        <v>BUENOS AIRES</v>
      </c>
      <c r="I2580" s="43">
        <v>46204</v>
      </c>
      <c r="J2580" t="s">
        <v>1097</v>
      </c>
      <c r="K2580" t="str">
        <f>IFERROR(+VLOOKUP(Movimientos_2026[[#This Row],[Codigo]],Plan_cuentas[],6,FALSE)," ")</f>
        <v>1 - VW - Volkswagen</v>
      </c>
      <c r="L2580" s="50">
        <v>14121612.75</v>
      </c>
      <c r="M2580" s="50"/>
      <c r="N2580" s="20">
        <f>+Movimientos_2026[[#This Row],[Ingresos]]-Movimientos_2026[[#This Row],[Egresos]]</f>
        <v>14121612.75</v>
      </c>
      <c r="O2580" s="20">
        <f>+O2579+Movimientos_2026[[#This Row],[Neto]]</f>
        <v>7819041780.5193338</v>
      </c>
    </row>
    <row r="2581" spans="1:15" x14ac:dyDescent="0.25">
      <c r="A2581" s="13">
        <v>46241</v>
      </c>
      <c r="B2581" s="12">
        <f>MONTH(Movimientos_2026[[#This Row],[Fecha]])</f>
        <v>8</v>
      </c>
      <c r="C2581" s="12" t="str">
        <f>VLOOKUP((WEEKDAY(Movimientos_2026[[#This Row],[Fecha]],2)),'5. Setup'!$D$6:$E$12,2,FALSE)</f>
        <v>Vie</v>
      </c>
      <c r="D2581">
        <v>2034411</v>
      </c>
      <c r="E2581" t="str">
        <f>IFERROR(+VLOOKUP(Movimientos_2026[[#This Row],[Codigo]],Plan_cuentas[],2,FALSE)," ")</f>
        <v>EGRESOS</v>
      </c>
      <c r="F2581" t="str">
        <f>IFERROR(+VLOOKUP(Movimientos_2026[[#This Row],[Codigo]],Plan_cuentas[],3,FALSE)," ")</f>
        <v>Pagos Bco. Provincia</v>
      </c>
      <c r="G2581" t="str">
        <f>IFERROR(+VLOOKUP(Movimientos_2026[[#This Row],[Codigo]],Plan_cuentas[],4,FALSE)," ")</f>
        <v>Rentas</v>
      </c>
      <c r="H2581" t="str">
        <f>IFERROR(+VLOOKUP(Movimientos_2026[[#This Row],[Codigo]],Plan_cuentas[],5,FALSE)," ")</f>
        <v>TIERRA DEL FUEGO</v>
      </c>
      <c r="I2581" s="43">
        <v>46204</v>
      </c>
      <c r="J2581" t="s">
        <v>1098</v>
      </c>
      <c r="K2581" t="str">
        <f>IFERROR(+VLOOKUP(Movimientos_2026[[#This Row],[Codigo]],Plan_cuentas[],6,FALSE)," ")</f>
        <v>1 - VW - Volkswagen</v>
      </c>
      <c r="L2581" s="50"/>
      <c r="M2581" s="50">
        <v>6484605.8700000001</v>
      </c>
      <c r="N2581" s="20">
        <f>+Movimientos_2026[[#This Row],[Ingresos]]-Movimientos_2026[[#This Row],[Egresos]]</f>
        <v>-6484605.8700000001</v>
      </c>
      <c r="O2581" s="20">
        <f>+O2580+Movimientos_2026[[#This Row],[Neto]]</f>
        <v>7812557174.649334</v>
      </c>
    </row>
    <row r="2582" spans="1:15" x14ac:dyDescent="0.25">
      <c r="A2582" s="13">
        <v>46241</v>
      </c>
      <c r="B2582" s="12">
        <f>MONTH(Movimientos_2026[[#This Row],[Fecha]])</f>
        <v>8</v>
      </c>
      <c r="C2582" s="12" t="str">
        <f>VLOOKUP((WEEKDAY(Movimientos_2026[[#This Row],[Fecha]],2)),'5. Setup'!$D$6:$E$12,2,FALSE)</f>
        <v>Vie</v>
      </c>
      <c r="D2582">
        <v>2054324</v>
      </c>
      <c r="E2582" t="str">
        <f>IFERROR(+VLOOKUP(Movimientos_2026[[#This Row],[Codigo]],Plan_cuentas[],2,FALSE)," ")</f>
        <v>EGRESOS</v>
      </c>
      <c r="F2582" t="str">
        <f>IFERROR(+VLOOKUP(Movimientos_2026[[#This Row],[Codigo]],Plan_cuentas[],3,FALSE)," ")</f>
        <v>VEP</v>
      </c>
      <c r="G2582" t="str">
        <f>IFERROR(+VLOOKUP(Movimientos_2026[[#This Row],[Codigo]],Plan_cuentas[],4,FALSE)," ")</f>
        <v>Rentas</v>
      </c>
      <c r="H2582" t="str">
        <f>IFERROR(+VLOOKUP(Movimientos_2026[[#This Row],[Codigo]],Plan_cuentas[],5,FALSE)," ")</f>
        <v>NEUQUEN 2° Q</v>
      </c>
      <c r="I2582" s="43">
        <v>46204</v>
      </c>
      <c r="J2582" t="s">
        <v>1099</v>
      </c>
      <c r="K2582" t="str">
        <f>IFERROR(+VLOOKUP(Movimientos_2026[[#This Row],[Codigo]],Plan_cuentas[],6,FALSE)," ")</f>
        <v>4 - FCA - Fiat</v>
      </c>
      <c r="L2582" s="50"/>
      <c r="M2582" s="50">
        <v>82401440</v>
      </c>
      <c r="N2582" s="20">
        <f>+Movimientos_2026[[#This Row],[Ingresos]]-Movimientos_2026[[#This Row],[Egresos]]</f>
        <v>-82401440</v>
      </c>
      <c r="O2582" s="20">
        <f>+O2581+Movimientos_2026[[#This Row],[Neto]]</f>
        <v>7730155734.649334</v>
      </c>
    </row>
    <row r="2583" spans="1:15" x14ac:dyDescent="0.25">
      <c r="A2583" s="13">
        <v>46241</v>
      </c>
      <c r="B2583" s="12">
        <f>MONTH(Movimientos_2026[[#This Row],[Fecha]])</f>
        <v>8</v>
      </c>
      <c r="C2583" s="12" t="str">
        <f>VLOOKUP((WEEKDAY(Movimientos_2026[[#This Row],[Fecha]],2)),'5. Setup'!$D$6:$E$12,2,FALSE)</f>
        <v>Vie</v>
      </c>
      <c r="D2583">
        <v>2054326</v>
      </c>
      <c r="E2583" t="str">
        <f>IFERROR(+VLOOKUP(Movimientos_2026[[#This Row],[Codigo]],Plan_cuentas[],2,FALSE)," ")</f>
        <v>EGRESOS</v>
      </c>
      <c r="F2583" t="str">
        <f>IFERROR(+VLOOKUP(Movimientos_2026[[#This Row],[Codigo]],Plan_cuentas[],3,FALSE)," ")</f>
        <v>VEP</v>
      </c>
      <c r="G2583" t="str">
        <f>IFERROR(+VLOOKUP(Movimientos_2026[[#This Row],[Codigo]],Plan_cuentas[],4,FALSE)," ")</f>
        <v>Rentas</v>
      </c>
      <c r="H2583" t="str">
        <f>IFERROR(+VLOOKUP(Movimientos_2026[[#This Row],[Codigo]],Plan_cuentas[],5,FALSE)," ")</f>
        <v>NEUQUEN 2° Q</v>
      </c>
      <c r="I2583" s="43">
        <v>46204</v>
      </c>
      <c r="J2583" t="s">
        <v>1099</v>
      </c>
      <c r="K2583" t="str">
        <f>IFERROR(+VLOOKUP(Movimientos_2026[[#This Row],[Codigo]],Plan_cuentas[],6,FALSE)," ")</f>
        <v>6 - FCAtr - Fiat Transf.</v>
      </c>
      <c r="L2583" s="50"/>
      <c r="M2583" s="50">
        <v>1364547.83</v>
      </c>
      <c r="N2583" s="20">
        <f>+Movimientos_2026[[#This Row],[Ingresos]]-Movimientos_2026[[#This Row],[Egresos]]</f>
        <v>-1364547.83</v>
      </c>
      <c r="O2583" s="20">
        <f>+O2582+Movimientos_2026[[#This Row],[Neto]]</f>
        <v>7728791186.819334</v>
      </c>
    </row>
    <row r="2584" spans="1:15" x14ac:dyDescent="0.25">
      <c r="A2584" s="13">
        <v>46241</v>
      </c>
      <c r="B2584" s="12">
        <f>MONTH(Movimientos_2026[[#This Row],[Fecha]])</f>
        <v>8</v>
      </c>
      <c r="C2584" s="12" t="str">
        <f>VLOOKUP((WEEKDAY(Movimientos_2026[[#This Row],[Fecha]],2)),'5. Setup'!$D$6:$E$12,2,FALSE)</f>
        <v>Vie</v>
      </c>
      <c r="D2584">
        <v>2014272</v>
      </c>
      <c r="E2584" t="str">
        <f>IFERROR(+VLOOKUP(Movimientos_2026[[#This Row],[Codigo]],Plan_cuentas[],2,FALSE)," ")</f>
        <v>EGRESOS</v>
      </c>
      <c r="F2584" t="str">
        <f>IFERROR(+VLOOKUP(Movimientos_2026[[#This Row],[Codigo]],Plan_cuentas[],3,FALSE)," ")</f>
        <v>BtoB</v>
      </c>
      <c r="G2584" t="str">
        <f>IFERROR(+VLOOKUP(Movimientos_2026[[#This Row],[Codigo]],Plan_cuentas[],4,FALSE)," ")</f>
        <v>Rentas</v>
      </c>
      <c r="H2584" t="str">
        <f>IFERROR(+VLOOKUP(Movimientos_2026[[#This Row],[Codigo]],Plan_cuentas[],5,FALSE)," ")</f>
        <v>LA RIOJA</v>
      </c>
      <c r="I2584" s="43">
        <v>46204</v>
      </c>
      <c r="J2584" t="s">
        <v>1100</v>
      </c>
      <c r="K2584" t="str">
        <f>IFERROR(+VLOOKUP(Movimientos_2026[[#This Row],[Codigo]],Plan_cuentas[],6,FALSE)," ")</f>
        <v>2 - PR - Plan Rombo</v>
      </c>
      <c r="L2584" s="50"/>
      <c r="M2584" s="50">
        <v>2430537.89</v>
      </c>
      <c r="N2584" s="20">
        <f>+Movimientos_2026[[#This Row],[Ingresos]]-Movimientos_2026[[#This Row],[Egresos]]</f>
        <v>-2430537.89</v>
      </c>
      <c r="O2584" s="20">
        <f>+O2583+Movimientos_2026[[#This Row],[Neto]]</f>
        <v>7726360648.9293337</v>
      </c>
    </row>
    <row r="2585" spans="1:15" x14ac:dyDescent="0.25">
      <c r="A2585" s="13">
        <v>46241</v>
      </c>
      <c r="B2585" s="12">
        <f>MONTH(Movimientos_2026[[#This Row],[Fecha]])</f>
        <v>8</v>
      </c>
      <c r="C2585" s="12" t="str">
        <f>VLOOKUP((WEEKDAY(Movimientos_2026[[#This Row],[Fecha]],2)),'5. Setup'!$D$6:$E$12,2,FALSE)</f>
        <v>Vie</v>
      </c>
      <c r="D2585">
        <v>2014274</v>
      </c>
      <c r="E2585" t="str">
        <f>IFERROR(+VLOOKUP(Movimientos_2026[[#This Row],[Codigo]],Plan_cuentas[],2,FALSE)," ")</f>
        <v>EGRESOS</v>
      </c>
      <c r="F2585" t="str">
        <f>IFERROR(+VLOOKUP(Movimientos_2026[[#This Row],[Codigo]],Plan_cuentas[],3,FALSE)," ")</f>
        <v>BtoB</v>
      </c>
      <c r="G2585" t="str">
        <f>IFERROR(+VLOOKUP(Movimientos_2026[[#This Row],[Codigo]],Plan_cuentas[],4,FALSE)," ")</f>
        <v>Rentas</v>
      </c>
      <c r="H2585" t="str">
        <f>IFERROR(+VLOOKUP(Movimientos_2026[[#This Row],[Codigo]],Plan_cuentas[],5,FALSE)," ")</f>
        <v>LA RIOJA</v>
      </c>
      <c r="I2585" s="43">
        <v>46204</v>
      </c>
      <c r="J2585" t="s">
        <v>1101</v>
      </c>
      <c r="K2585" t="str">
        <f>IFERROR(+VLOOKUP(Movimientos_2026[[#This Row],[Codigo]],Plan_cuentas[],6,FALSE)," ")</f>
        <v>4 - FCA - Fiat</v>
      </c>
      <c r="L2585" s="50"/>
      <c r="M2585" s="50">
        <v>24228155.829999998</v>
      </c>
      <c r="N2585" s="20">
        <f>+Movimientos_2026[[#This Row],[Ingresos]]-Movimientos_2026[[#This Row],[Egresos]]</f>
        <v>-24228155.829999998</v>
      </c>
      <c r="O2585" s="20">
        <f>+O2584+Movimientos_2026[[#This Row],[Neto]]</f>
        <v>7702132493.0993338</v>
      </c>
    </row>
    <row r="2586" spans="1:15" x14ac:dyDescent="0.25">
      <c r="A2586" s="13">
        <v>46241</v>
      </c>
      <c r="B2586" s="12">
        <f>MONTH(Movimientos_2026[[#This Row],[Fecha]])</f>
        <v>8</v>
      </c>
      <c r="C2586" s="12" t="str">
        <f>VLOOKUP((WEEKDAY(Movimientos_2026[[#This Row],[Fecha]],2)),'5. Setup'!$D$6:$E$12,2,FALSE)</f>
        <v>Vie</v>
      </c>
      <c r="D2586">
        <v>2014214</v>
      </c>
      <c r="E2586" t="str">
        <f>IFERROR(+VLOOKUP(Movimientos_2026[[#This Row],[Codigo]],Plan_cuentas[],2,FALSE)," ")</f>
        <v>EGRESOS</v>
      </c>
      <c r="F2586" t="str">
        <f>IFERROR(+VLOOKUP(Movimientos_2026[[#This Row],[Codigo]],Plan_cuentas[],3,FALSE)," ")</f>
        <v>BtoB</v>
      </c>
      <c r="G2586" t="str">
        <f>IFERROR(+VLOOKUP(Movimientos_2026[[#This Row],[Codigo]],Plan_cuentas[],4,FALSE)," ")</f>
        <v>Rentas</v>
      </c>
      <c r="H2586" t="str">
        <f>IFERROR(+VLOOKUP(Movimientos_2026[[#This Row],[Codigo]],Plan_cuentas[],5,FALSE)," ")</f>
        <v>CORRIENTES 2° Q</v>
      </c>
      <c r="I2586" s="43">
        <v>46204</v>
      </c>
      <c r="J2586" t="s">
        <v>1102</v>
      </c>
      <c r="K2586" t="str">
        <f>IFERROR(+VLOOKUP(Movimientos_2026[[#This Row],[Codigo]],Plan_cuentas[],6,FALSE)," ")</f>
        <v>4 - FCA - Fiat</v>
      </c>
      <c r="L2586" s="50"/>
      <c r="M2586" s="50">
        <v>7189538.0999999996</v>
      </c>
      <c r="N2586" s="20">
        <f>+Movimientos_2026[[#This Row],[Ingresos]]-Movimientos_2026[[#This Row],[Egresos]]</f>
        <v>-7189538.0999999996</v>
      </c>
      <c r="O2586" s="20">
        <f>+O2585+Movimientos_2026[[#This Row],[Neto]]</f>
        <v>7694942954.9993334</v>
      </c>
    </row>
    <row r="2587" spans="1:15" x14ac:dyDescent="0.25">
      <c r="A2587" s="13">
        <v>46241</v>
      </c>
      <c r="B2587" s="12">
        <f>MONTH(Movimientos_2026[[#This Row],[Fecha]])</f>
        <v>8</v>
      </c>
      <c r="C2587" s="12" t="str">
        <f>VLOOKUP((WEEKDAY(Movimientos_2026[[#This Row],[Fecha]],2)),'5. Setup'!$D$6:$E$12,2,FALSE)</f>
        <v>Vie</v>
      </c>
      <c r="D2587">
        <v>2034234</v>
      </c>
      <c r="E2587" t="str">
        <f>IFERROR(+VLOOKUP(Movimientos_2026[[#This Row],[Codigo]],Plan_cuentas[],2,FALSE)," ")</f>
        <v>EGRESOS</v>
      </c>
      <c r="F2587" t="str">
        <f>IFERROR(+VLOOKUP(Movimientos_2026[[#This Row],[Codigo]],Plan_cuentas[],3,FALSE)," ")</f>
        <v>Pagos Bco. Provincia</v>
      </c>
      <c r="G2587" t="str">
        <f>IFERROR(+VLOOKUP(Movimientos_2026[[#This Row],[Codigo]],Plan_cuentas[],4,FALSE)," ")</f>
        <v>Rentas</v>
      </c>
      <c r="H2587" t="str">
        <f>IFERROR(+VLOOKUP(Movimientos_2026[[#This Row],[Codigo]],Plan_cuentas[],5,FALSE)," ")</f>
        <v>ENTRE RIOS 2° Q</v>
      </c>
      <c r="I2587" s="43">
        <v>46204</v>
      </c>
      <c r="J2587" t="s">
        <v>1103</v>
      </c>
      <c r="K2587" t="str">
        <f>IFERROR(+VLOOKUP(Movimientos_2026[[#This Row],[Codigo]],Plan_cuentas[],6,FALSE)," ")</f>
        <v>4 - FCA - Fiat</v>
      </c>
      <c r="L2587" s="50"/>
      <c r="M2587" s="50">
        <v>28237267.449999999</v>
      </c>
      <c r="N2587" s="20">
        <f>+Movimientos_2026[[#This Row],[Ingresos]]-Movimientos_2026[[#This Row],[Egresos]]</f>
        <v>-28237267.449999999</v>
      </c>
      <c r="O2587" s="20">
        <f>+O2586+Movimientos_2026[[#This Row],[Neto]]</f>
        <v>7666705687.5493336</v>
      </c>
    </row>
    <row r="2588" spans="1:15" x14ac:dyDescent="0.25">
      <c r="A2588" s="13">
        <v>46241</v>
      </c>
      <c r="B2588" s="12">
        <f>MONTH(Movimientos_2026[[#This Row],[Fecha]])</f>
        <v>8</v>
      </c>
      <c r="C2588" s="12" t="str">
        <f>VLOOKUP((WEEKDAY(Movimientos_2026[[#This Row],[Fecha]],2)),'5. Setup'!$D$6:$E$12,2,FALSE)</f>
        <v>Vie</v>
      </c>
      <c r="D2588">
        <v>2054321</v>
      </c>
      <c r="E2588" t="str">
        <f>IFERROR(+VLOOKUP(Movimientos_2026[[#This Row],[Codigo]],Plan_cuentas[],2,FALSE)," ")</f>
        <v>EGRESOS</v>
      </c>
      <c r="F2588" t="str">
        <f>IFERROR(+VLOOKUP(Movimientos_2026[[#This Row],[Codigo]],Plan_cuentas[],3,FALSE)," ")</f>
        <v>VEP</v>
      </c>
      <c r="G2588" t="str">
        <f>IFERROR(+VLOOKUP(Movimientos_2026[[#This Row],[Codigo]],Plan_cuentas[],4,FALSE)," ")</f>
        <v>Rentas</v>
      </c>
      <c r="H2588" t="str">
        <f>IFERROR(+VLOOKUP(Movimientos_2026[[#This Row],[Codigo]],Plan_cuentas[],5,FALSE)," ")</f>
        <v>NEUQUEN 2° Q</v>
      </c>
      <c r="I2588" s="43">
        <v>46204</v>
      </c>
      <c r="J2588" t="s">
        <v>1104</v>
      </c>
      <c r="K2588" t="str">
        <f>IFERROR(+VLOOKUP(Movimientos_2026[[#This Row],[Codigo]],Plan_cuentas[],6,FALSE)," ")</f>
        <v>1 - VW - Volkswagen</v>
      </c>
      <c r="L2588" s="50"/>
      <c r="M2588" s="50">
        <v>56121352</v>
      </c>
      <c r="N2588" s="20">
        <f>+Movimientos_2026[[#This Row],[Ingresos]]-Movimientos_2026[[#This Row],[Egresos]]</f>
        <v>-56121352</v>
      </c>
      <c r="O2588" s="20">
        <f>+O2587+Movimientos_2026[[#This Row],[Neto]]</f>
        <v>7610584335.5493336</v>
      </c>
    </row>
    <row r="2589" spans="1:15" x14ac:dyDescent="0.25">
      <c r="A2589" s="13">
        <v>46241</v>
      </c>
      <c r="B2589" s="12">
        <f>MONTH(Movimientos_2026[[#This Row],[Fecha]])</f>
        <v>8</v>
      </c>
      <c r="C2589" s="12" t="str">
        <f>VLOOKUP((WEEKDAY(Movimientos_2026[[#This Row],[Fecha]],2)),'5. Setup'!$D$6:$E$12,2,FALSE)</f>
        <v>Vie</v>
      </c>
      <c r="D2589">
        <v>2054197</v>
      </c>
      <c r="E2589" t="str">
        <f>IFERROR(+VLOOKUP(Movimientos_2026[[#This Row],[Codigo]],Plan_cuentas[],2,FALSE)," ")</f>
        <v>EGRESOS</v>
      </c>
      <c r="F2589" t="str">
        <f>IFERROR(+VLOOKUP(Movimientos_2026[[#This Row],[Codigo]],Plan_cuentas[],3,FALSE)," ")</f>
        <v>VEP</v>
      </c>
      <c r="G2589" t="str">
        <f>IFERROR(+VLOOKUP(Movimientos_2026[[#This Row],[Codigo]],Plan_cuentas[],4,FALSE)," ")</f>
        <v>Rentas</v>
      </c>
      <c r="H2589" t="str">
        <f>IFERROR(+VLOOKUP(Movimientos_2026[[#This Row],[Codigo]],Plan_cuentas[],5,FALSE)," ")</f>
        <v>CORDOBA 2° Q</v>
      </c>
      <c r="I2589" s="43">
        <v>46204</v>
      </c>
      <c r="J2589" t="s">
        <v>1105</v>
      </c>
      <c r="K2589" t="str">
        <f>IFERROR(+VLOOKUP(Movimientos_2026[[#This Row],[Codigo]],Plan_cuentas[],6,FALSE)," ")</f>
        <v>7 - PRtr - Plan Rombo Transf.</v>
      </c>
      <c r="L2589" s="50"/>
      <c r="M2589" s="50">
        <v>352812</v>
      </c>
      <c r="N2589" s="20">
        <f>+Movimientos_2026[[#This Row],[Ingresos]]-Movimientos_2026[[#This Row],[Egresos]]</f>
        <v>-352812</v>
      </c>
      <c r="O2589" s="20">
        <f>+O2588+Movimientos_2026[[#This Row],[Neto]]</f>
        <v>7610231523.5493336</v>
      </c>
    </row>
    <row r="2590" spans="1:15" x14ac:dyDescent="0.25">
      <c r="A2590" s="13">
        <v>46241</v>
      </c>
      <c r="B2590" s="12">
        <f>MONTH(Movimientos_2026[[#This Row],[Fecha]])</f>
        <v>8</v>
      </c>
      <c r="C2590" s="12" t="str">
        <f>VLOOKUP((WEEKDAY(Movimientos_2026[[#This Row],[Fecha]],2)),'5. Setup'!$D$6:$E$12,2,FALSE)</f>
        <v>Vie</v>
      </c>
      <c r="D2590">
        <v>2023151</v>
      </c>
      <c r="E2590" t="str">
        <f>IFERROR(+VLOOKUP(Movimientos_2026[[#This Row],[Codigo]],Plan_cuentas[],2,FALSE)," ")</f>
        <v>EGRESOS</v>
      </c>
      <c r="F2590" t="str">
        <f>IFERROR(+VLOOKUP(Movimientos_2026[[#This Row],[Codigo]],Plan_cuentas[],3,FALSE)," ")</f>
        <v>DDJJ</v>
      </c>
      <c r="G2590" t="str">
        <f>IFERROR(+VLOOKUP(Movimientos_2026[[#This Row],[Codigo]],Plan_cuentas[],4,FALSE)," ")</f>
        <v>Registración</v>
      </c>
      <c r="H2590" t="str">
        <f>IFERROR(+VLOOKUP(Movimientos_2026[[#This Row],[Codigo]],Plan_cuentas[],5,FALSE)," ")</f>
        <v>CABA</v>
      </c>
      <c r="I2590" s="43">
        <v>46204</v>
      </c>
      <c r="J2590" t="s">
        <v>1106</v>
      </c>
      <c r="K2590" t="str">
        <f>IFERROR(+VLOOKUP(Movimientos_2026[[#This Row],[Codigo]],Plan_cuentas[],6,FALSE)," ")</f>
        <v>1 - VW - Volkswagen</v>
      </c>
      <c r="L2590" s="50"/>
      <c r="M2590" s="50">
        <v>96296415.510000005</v>
      </c>
      <c r="N2590" s="20">
        <f>+Movimientos_2026[[#This Row],[Ingresos]]-Movimientos_2026[[#This Row],[Egresos]]</f>
        <v>-96296415.510000005</v>
      </c>
      <c r="O2590" s="20">
        <f>+O2589+Movimientos_2026[[#This Row],[Neto]]</f>
        <v>7513935108.0393333</v>
      </c>
    </row>
    <row r="2591" spans="1:15" x14ac:dyDescent="0.25">
      <c r="A2591" s="13">
        <v>46241</v>
      </c>
      <c r="B2591" s="12">
        <f>MONTH(Movimientos_2026[[#This Row],[Fecha]])</f>
        <v>8</v>
      </c>
      <c r="C2591" s="12" t="str">
        <f>VLOOKUP((WEEKDAY(Movimientos_2026[[#This Row],[Fecha]],2)),'5. Setup'!$D$6:$E$12,2,FALSE)</f>
        <v>Vie</v>
      </c>
      <c r="D2591">
        <v>2023152</v>
      </c>
      <c r="E2591" t="str">
        <f>IFERROR(+VLOOKUP(Movimientos_2026[[#This Row],[Codigo]],Plan_cuentas[],2,FALSE)," ")</f>
        <v>EGRESOS</v>
      </c>
      <c r="F2591" t="str">
        <f>IFERROR(+VLOOKUP(Movimientos_2026[[#This Row],[Codigo]],Plan_cuentas[],3,FALSE)," ")</f>
        <v>DDJJ</v>
      </c>
      <c r="G2591" t="str">
        <f>IFERROR(+VLOOKUP(Movimientos_2026[[#This Row],[Codigo]],Plan_cuentas[],4,FALSE)," ")</f>
        <v>Registración</v>
      </c>
      <c r="H2591" t="str">
        <f>IFERROR(+VLOOKUP(Movimientos_2026[[#This Row],[Codigo]],Plan_cuentas[],5,FALSE)," ")</f>
        <v>CABA</v>
      </c>
      <c r="I2591" s="43">
        <v>46204</v>
      </c>
      <c r="J2591" t="s">
        <v>1106</v>
      </c>
      <c r="K2591" t="str">
        <f>IFERROR(+VLOOKUP(Movimientos_2026[[#This Row],[Codigo]],Plan_cuentas[],6,FALSE)," ")</f>
        <v>2 - PR - Plan Rombo</v>
      </c>
      <c r="L2591" s="50"/>
      <c r="M2591" s="50">
        <v>36127944.060000002</v>
      </c>
      <c r="N2591" s="20">
        <f>+Movimientos_2026[[#This Row],[Ingresos]]-Movimientos_2026[[#This Row],[Egresos]]</f>
        <v>-36127944.060000002</v>
      </c>
      <c r="O2591" s="20">
        <f>+O2590+Movimientos_2026[[#This Row],[Neto]]</f>
        <v>7477807163.9793329</v>
      </c>
    </row>
    <row r="2592" spans="1:15" x14ac:dyDescent="0.25">
      <c r="A2592" s="13">
        <v>46241</v>
      </c>
      <c r="B2592" s="12">
        <f>MONTH(Movimientos_2026[[#This Row],[Fecha]])</f>
        <v>8</v>
      </c>
      <c r="C2592" s="12" t="str">
        <f>VLOOKUP((WEEKDAY(Movimientos_2026[[#This Row],[Fecha]],2)),'5. Setup'!$D$6:$E$12,2,FALSE)</f>
        <v>Vie</v>
      </c>
      <c r="D2592">
        <v>2023153</v>
      </c>
      <c r="E2592" t="str">
        <f>IFERROR(+VLOOKUP(Movimientos_2026[[#This Row],[Codigo]],Plan_cuentas[],2,FALSE)," ")</f>
        <v>EGRESOS</v>
      </c>
      <c r="F2592" t="str">
        <f>IFERROR(+VLOOKUP(Movimientos_2026[[#This Row],[Codigo]],Plan_cuentas[],3,FALSE)," ")</f>
        <v>DDJJ</v>
      </c>
      <c r="G2592" t="str">
        <f>IFERROR(+VLOOKUP(Movimientos_2026[[#This Row],[Codigo]],Plan_cuentas[],4,FALSE)," ")</f>
        <v>Registración</v>
      </c>
      <c r="H2592" t="str">
        <f>IFERROR(+VLOOKUP(Movimientos_2026[[#This Row],[Codigo]],Plan_cuentas[],5,FALSE)," ")</f>
        <v>CABA</v>
      </c>
      <c r="I2592" s="43">
        <v>46204</v>
      </c>
      <c r="J2592" t="s">
        <v>1106</v>
      </c>
      <c r="K2592" t="str">
        <f>IFERROR(+VLOOKUP(Movimientos_2026[[#This Row],[Codigo]],Plan_cuentas[],6,FALSE)," ")</f>
        <v>3 - GM - Chevrolet</v>
      </c>
      <c r="L2592" s="50"/>
      <c r="M2592" s="50">
        <v>44039311.579999998</v>
      </c>
      <c r="N2592" s="20">
        <f>+Movimientos_2026[[#This Row],[Ingresos]]-Movimientos_2026[[#This Row],[Egresos]]</f>
        <v>-44039311.579999998</v>
      </c>
      <c r="O2592" s="20">
        <f>+O2591+Movimientos_2026[[#This Row],[Neto]]</f>
        <v>7433767852.399333</v>
      </c>
    </row>
    <row r="2593" spans="1:15" x14ac:dyDescent="0.25">
      <c r="A2593" s="13">
        <v>46241</v>
      </c>
      <c r="B2593" s="12">
        <f>MONTH(Movimientos_2026[[#This Row],[Fecha]])</f>
        <v>8</v>
      </c>
      <c r="C2593" s="12" t="str">
        <f>VLOOKUP((WEEKDAY(Movimientos_2026[[#This Row],[Fecha]],2)),'5. Setup'!$D$6:$E$12,2,FALSE)</f>
        <v>Vie</v>
      </c>
      <c r="D2593">
        <v>2023154</v>
      </c>
      <c r="E2593" t="str">
        <f>IFERROR(+VLOOKUP(Movimientos_2026[[#This Row],[Codigo]],Plan_cuentas[],2,FALSE)," ")</f>
        <v>EGRESOS</v>
      </c>
      <c r="F2593" t="str">
        <f>IFERROR(+VLOOKUP(Movimientos_2026[[#This Row],[Codigo]],Plan_cuentas[],3,FALSE)," ")</f>
        <v>DDJJ</v>
      </c>
      <c r="G2593" t="str">
        <f>IFERROR(+VLOOKUP(Movimientos_2026[[#This Row],[Codigo]],Plan_cuentas[],4,FALSE)," ")</f>
        <v>Registración</v>
      </c>
      <c r="H2593" t="str">
        <f>IFERROR(+VLOOKUP(Movimientos_2026[[#This Row],[Codigo]],Plan_cuentas[],5,FALSE)," ")</f>
        <v>CABA</v>
      </c>
      <c r="I2593" s="43">
        <v>46204</v>
      </c>
      <c r="J2593" t="s">
        <v>1106</v>
      </c>
      <c r="K2593" t="str">
        <f>IFERROR(+VLOOKUP(Movimientos_2026[[#This Row],[Codigo]],Plan_cuentas[],6,FALSE)," ")</f>
        <v>4 - FCA - Fiat</v>
      </c>
      <c r="L2593" s="50"/>
      <c r="M2593" s="50">
        <v>522397650.24000001</v>
      </c>
      <c r="N2593" s="20">
        <f>+Movimientos_2026[[#This Row],[Ingresos]]-Movimientos_2026[[#This Row],[Egresos]]</f>
        <v>-522397650.24000001</v>
      </c>
      <c r="O2593" s="20">
        <f>+O2592+Movimientos_2026[[#This Row],[Neto]]</f>
        <v>6911370202.1593332</v>
      </c>
    </row>
    <row r="2594" spans="1:15" x14ac:dyDescent="0.25">
      <c r="A2594" s="13">
        <v>46241</v>
      </c>
      <c r="B2594" s="12">
        <f>MONTH(Movimientos_2026[[#This Row],[Fecha]])</f>
        <v>8</v>
      </c>
      <c r="C2594" s="12" t="str">
        <f>VLOOKUP((WEEKDAY(Movimientos_2026[[#This Row],[Fecha]],2)),'5. Setup'!$D$6:$E$12,2,FALSE)</f>
        <v>Vie</v>
      </c>
      <c r="D2594">
        <v>2023155</v>
      </c>
      <c r="E2594" t="str">
        <f>IFERROR(+VLOOKUP(Movimientos_2026[[#This Row],[Codigo]],Plan_cuentas[],2,FALSE)," ")</f>
        <v>EGRESOS</v>
      </c>
      <c r="F2594" t="str">
        <f>IFERROR(+VLOOKUP(Movimientos_2026[[#This Row],[Codigo]],Plan_cuentas[],3,FALSE)," ")</f>
        <v>DDJJ</v>
      </c>
      <c r="G2594" t="str">
        <f>IFERROR(+VLOOKUP(Movimientos_2026[[#This Row],[Codigo]],Plan_cuentas[],4,FALSE)," ")</f>
        <v>Registración</v>
      </c>
      <c r="H2594" t="str">
        <f>IFERROR(+VLOOKUP(Movimientos_2026[[#This Row],[Codigo]],Plan_cuentas[],5,FALSE)," ")</f>
        <v>CABA</v>
      </c>
      <c r="I2594" s="43">
        <v>46204</v>
      </c>
      <c r="J2594" t="s">
        <v>1106</v>
      </c>
      <c r="K2594" t="str">
        <f>IFERROR(+VLOOKUP(Movimientos_2026[[#This Row],[Codigo]],Plan_cuentas[],6,FALSE)," ")</f>
        <v>5 - YAM - Yamaha</v>
      </c>
      <c r="L2594" s="50"/>
      <c r="M2594" s="50">
        <v>22546961.879999999</v>
      </c>
      <c r="N2594" s="20">
        <f>+Movimientos_2026[[#This Row],[Ingresos]]-Movimientos_2026[[#This Row],[Egresos]]</f>
        <v>-22546961.879999999</v>
      </c>
      <c r="O2594" s="20">
        <f>+O2593+Movimientos_2026[[#This Row],[Neto]]</f>
        <v>6888823240.2793331</v>
      </c>
    </row>
    <row r="2595" spans="1:15" x14ac:dyDescent="0.25">
      <c r="A2595" s="13">
        <v>46241</v>
      </c>
      <c r="B2595" s="12">
        <f>MONTH(Movimientos_2026[[#This Row],[Fecha]])</f>
        <v>8</v>
      </c>
      <c r="C2595" s="12" t="str">
        <f>VLOOKUP((WEEKDAY(Movimientos_2026[[#This Row],[Fecha]],2)),'5. Setup'!$D$6:$E$12,2,FALSE)</f>
        <v>Vie</v>
      </c>
      <c r="D2595">
        <v>2023156</v>
      </c>
      <c r="E2595" t="str">
        <f>IFERROR(+VLOOKUP(Movimientos_2026[[#This Row],[Codigo]],Plan_cuentas[],2,FALSE)," ")</f>
        <v>EGRESOS</v>
      </c>
      <c r="F2595" t="str">
        <f>IFERROR(+VLOOKUP(Movimientos_2026[[#This Row],[Codigo]],Plan_cuentas[],3,FALSE)," ")</f>
        <v>DDJJ</v>
      </c>
      <c r="G2595" t="str">
        <f>IFERROR(+VLOOKUP(Movimientos_2026[[#This Row],[Codigo]],Plan_cuentas[],4,FALSE)," ")</f>
        <v>Registración</v>
      </c>
      <c r="H2595" t="str">
        <f>IFERROR(+VLOOKUP(Movimientos_2026[[#This Row],[Codigo]],Plan_cuentas[],5,FALSE)," ")</f>
        <v>CABA</v>
      </c>
      <c r="I2595" s="43">
        <v>46204</v>
      </c>
      <c r="J2595" t="s">
        <v>1106</v>
      </c>
      <c r="K2595" t="str">
        <f>IFERROR(+VLOOKUP(Movimientos_2026[[#This Row],[Codigo]],Plan_cuentas[],6,FALSE)," ")</f>
        <v>6 - FCAtr - Fiat Transf.</v>
      </c>
      <c r="L2595" s="50"/>
      <c r="M2595" s="50">
        <v>18335207.640000001</v>
      </c>
      <c r="N2595" s="20">
        <f>+Movimientos_2026[[#This Row],[Ingresos]]-Movimientos_2026[[#This Row],[Egresos]]</f>
        <v>-18335207.640000001</v>
      </c>
      <c r="O2595" s="20">
        <f>+O2594+Movimientos_2026[[#This Row],[Neto]]</f>
        <v>6870488032.6393328</v>
      </c>
    </row>
    <row r="2596" spans="1:15" x14ac:dyDescent="0.25">
      <c r="A2596" s="13">
        <v>46241</v>
      </c>
      <c r="B2596" s="12">
        <f>MONTH(Movimientos_2026[[#This Row],[Fecha]])</f>
        <v>8</v>
      </c>
      <c r="C2596" s="12" t="str">
        <f>VLOOKUP((WEEKDAY(Movimientos_2026[[#This Row],[Fecha]],2)),'5. Setup'!$D$6:$E$12,2,FALSE)</f>
        <v>Vie</v>
      </c>
      <c r="D2596">
        <v>2023157</v>
      </c>
      <c r="E2596" t="str">
        <f>IFERROR(+VLOOKUP(Movimientos_2026[[#This Row],[Codigo]],Plan_cuentas[],2,FALSE)," ")</f>
        <v>EGRESOS</v>
      </c>
      <c r="F2596" t="str">
        <f>IFERROR(+VLOOKUP(Movimientos_2026[[#This Row],[Codigo]],Plan_cuentas[],3,FALSE)," ")</f>
        <v>DDJJ</v>
      </c>
      <c r="G2596" t="str">
        <f>IFERROR(+VLOOKUP(Movimientos_2026[[#This Row],[Codigo]],Plan_cuentas[],4,FALSE)," ")</f>
        <v>Registración</v>
      </c>
      <c r="H2596" t="str">
        <f>IFERROR(+VLOOKUP(Movimientos_2026[[#This Row],[Codigo]],Plan_cuentas[],5,FALSE)," ")</f>
        <v>CABA</v>
      </c>
      <c r="I2596" s="43">
        <v>46204</v>
      </c>
      <c r="J2596" t="s">
        <v>1106</v>
      </c>
      <c r="K2596" t="str">
        <f>IFERROR(+VLOOKUP(Movimientos_2026[[#This Row],[Codigo]],Plan_cuentas[],6,FALSE)," ")</f>
        <v>7 - PRtr - Plan Rombo Transf.</v>
      </c>
      <c r="L2596" s="50"/>
      <c r="M2596" s="50">
        <v>4508.46</v>
      </c>
      <c r="N2596" s="20">
        <f>+Movimientos_2026[[#This Row],[Ingresos]]-Movimientos_2026[[#This Row],[Egresos]]</f>
        <v>-4508.46</v>
      </c>
      <c r="O2596" s="20">
        <f>+O2595+Movimientos_2026[[#This Row],[Neto]]</f>
        <v>6870483524.1793327</v>
      </c>
    </row>
    <row r="2597" spans="1:15" x14ac:dyDescent="0.25">
      <c r="A2597" s="13">
        <v>46241</v>
      </c>
      <c r="B2597" s="12">
        <f>MONTH(Movimientos_2026[[#This Row],[Fecha]])</f>
        <v>8</v>
      </c>
      <c r="C2597" s="12" t="str">
        <f>VLOOKUP((WEEKDAY(Movimientos_2026[[#This Row],[Fecha]],2)),'5. Setup'!$D$6:$E$12,2,FALSE)</f>
        <v>Vie</v>
      </c>
      <c r="D2597">
        <v>2023231</v>
      </c>
      <c r="E2597" t="str">
        <f>IFERROR(+VLOOKUP(Movimientos_2026[[#This Row],[Codigo]],Plan_cuentas[],2,FALSE)," ")</f>
        <v>EGRESOS</v>
      </c>
      <c r="F2597" t="str">
        <f>IFERROR(+VLOOKUP(Movimientos_2026[[#This Row],[Codigo]],Plan_cuentas[],3,FALSE)," ")</f>
        <v>DDJJ</v>
      </c>
      <c r="G2597" t="str">
        <f>IFERROR(+VLOOKUP(Movimientos_2026[[#This Row],[Codigo]],Plan_cuentas[],4,FALSE)," ")</f>
        <v>Registración</v>
      </c>
      <c r="H2597" t="str">
        <f>IFERROR(+VLOOKUP(Movimientos_2026[[#This Row],[Codigo]],Plan_cuentas[],5,FALSE)," ")</f>
        <v>ENTRE RIOS 2° Q</v>
      </c>
      <c r="I2597" s="43">
        <v>46204</v>
      </c>
      <c r="J2597" t="s">
        <v>1107</v>
      </c>
      <c r="K2597" t="str">
        <f>IFERROR(+VLOOKUP(Movimientos_2026[[#This Row],[Codigo]],Plan_cuentas[],6,FALSE)," ")</f>
        <v>1 - VW - Volkswagen</v>
      </c>
      <c r="L2597" s="50"/>
      <c r="M2597" s="50">
        <v>28165778</v>
      </c>
      <c r="N2597" s="20">
        <f>+Movimientos_2026[[#This Row],[Ingresos]]-Movimientos_2026[[#This Row],[Egresos]]</f>
        <v>-28165778</v>
      </c>
      <c r="O2597" s="20">
        <f>+O2596+Movimientos_2026[[#This Row],[Neto]]</f>
        <v>6842317746.1793327</v>
      </c>
    </row>
    <row r="2598" spans="1:15" x14ac:dyDescent="0.25">
      <c r="A2598" s="13">
        <v>46241</v>
      </c>
      <c r="B2598" s="12">
        <f>MONTH(Movimientos_2026[[#This Row],[Fecha]])</f>
        <v>8</v>
      </c>
      <c r="C2598" s="12" t="str">
        <f>VLOOKUP((WEEKDAY(Movimientos_2026[[#This Row],[Fecha]],2)),'5. Setup'!$D$6:$E$12,2,FALSE)</f>
        <v>Vie</v>
      </c>
      <c r="D2598">
        <v>2023232</v>
      </c>
      <c r="E2598" t="str">
        <f>IFERROR(+VLOOKUP(Movimientos_2026[[#This Row],[Codigo]],Plan_cuentas[],2,FALSE)," ")</f>
        <v>EGRESOS</v>
      </c>
      <c r="F2598" t="str">
        <f>IFERROR(+VLOOKUP(Movimientos_2026[[#This Row],[Codigo]],Plan_cuentas[],3,FALSE)," ")</f>
        <v>DDJJ</v>
      </c>
      <c r="G2598" t="str">
        <f>IFERROR(+VLOOKUP(Movimientos_2026[[#This Row],[Codigo]],Plan_cuentas[],4,FALSE)," ")</f>
        <v>Registración</v>
      </c>
      <c r="H2598" t="str">
        <f>IFERROR(+VLOOKUP(Movimientos_2026[[#This Row],[Codigo]],Plan_cuentas[],5,FALSE)," ")</f>
        <v>ENTRE RIOS 2° Q</v>
      </c>
      <c r="I2598" s="43">
        <v>46204</v>
      </c>
      <c r="J2598" t="s">
        <v>1107</v>
      </c>
      <c r="K2598" t="str">
        <f>IFERROR(+VLOOKUP(Movimientos_2026[[#This Row],[Codigo]],Plan_cuentas[],6,FALSE)," ")</f>
        <v>2 - PR - Plan Rombo</v>
      </c>
      <c r="L2598" s="50"/>
      <c r="M2598" s="50">
        <v>13068037.07</v>
      </c>
      <c r="N2598" s="20">
        <f>+Movimientos_2026[[#This Row],[Ingresos]]-Movimientos_2026[[#This Row],[Egresos]]</f>
        <v>-13068037.07</v>
      </c>
      <c r="O2598" s="20">
        <f>+O2597+Movimientos_2026[[#This Row],[Neto]]</f>
        <v>6829249709.109333</v>
      </c>
    </row>
    <row r="2599" spans="1:15" x14ac:dyDescent="0.25">
      <c r="A2599" s="13">
        <v>46241</v>
      </c>
      <c r="B2599" s="12">
        <f>MONTH(Movimientos_2026[[#This Row],[Fecha]])</f>
        <v>8</v>
      </c>
      <c r="C2599" s="12" t="str">
        <f>VLOOKUP((WEEKDAY(Movimientos_2026[[#This Row],[Fecha]],2)),'5. Setup'!$D$6:$E$12,2,FALSE)</f>
        <v>Vie</v>
      </c>
      <c r="D2599">
        <v>2023233</v>
      </c>
      <c r="E2599" t="str">
        <f>IFERROR(+VLOOKUP(Movimientos_2026[[#This Row],[Codigo]],Plan_cuentas[],2,FALSE)," ")</f>
        <v>EGRESOS</v>
      </c>
      <c r="F2599" t="str">
        <f>IFERROR(+VLOOKUP(Movimientos_2026[[#This Row],[Codigo]],Plan_cuentas[],3,FALSE)," ")</f>
        <v>DDJJ</v>
      </c>
      <c r="G2599" t="str">
        <f>IFERROR(+VLOOKUP(Movimientos_2026[[#This Row],[Codigo]],Plan_cuentas[],4,FALSE)," ")</f>
        <v>Registración</v>
      </c>
      <c r="H2599" t="str">
        <f>IFERROR(+VLOOKUP(Movimientos_2026[[#This Row],[Codigo]],Plan_cuentas[],5,FALSE)," ")</f>
        <v>ENTRE RIOS 2° Q</v>
      </c>
      <c r="I2599" s="43">
        <v>46204</v>
      </c>
      <c r="J2599" t="s">
        <v>1107</v>
      </c>
      <c r="K2599" t="str">
        <f>IFERROR(+VLOOKUP(Movimientos_2026[[#This Row],[Codigo]],Plan_cuentas[],6,FALSE)," ")</f>
        <v>3 - GM - Chevrolet</v>
      </c>
      <c r="L2599" s="50"/>
      <c r="M2599" s="50">
        <v>7810716.0599999996</v>
      </c>
      <c r="N2599" s="20">
        <f>+Movimientos_2026[[#This Row],[Ingresos]]-Movimientos_2026[[#This Row],[Egresos]]</f>
        <v>-7810716.0599999996</v>
      </c>
      <c r="O2599" s="20">
        <f>+O2598+Movimientos_2026[[#This Row],[Neto]]</f>
        <v>6821438993.0493326</v>
      </c>
    </row>
    <row r="2600" spans="1:15" x14ac:dyDescent="0.25">
      <c r="A2600" s="13">
        <v>46241</v>
      </c>
      <c r="B2600" s="12">
        <f>MONTH(Movimientos_2026[[#This Row],[Fecha]])</f>
        <v>8</v>
      </c>
      <c r="C2600" s="12" t="str">
        <f>VLOOKUP((WEEKDAY(Movimientos_2026[[#This Row],[Fecha]],2)),'5. Setup'!$D$6:$E$12,2,FALSE)</f>
        <v>Vie</v>
      </c>
      <c r="D2600">
        <v>2023236</v>
      </c>
      <c r="E2600" t="str">
        <f>IFERROR(+VLOOKUP(Movimientos_2026[[#This Row],[Codigo]],Plan_cuentas[],2,FALSE)," ")</f>
        <v>EGRESOS</v>
      </c>
      <c r="F2600" t="str">
        <f>IFERROR(+VLOOKUP(Movimientos_2026[[#This Row],[Codigo]],Plan_cuentas[],3,FALSE)," ")</f>
        <v>DDJJ</v>
      </c>
      <c r="G2600" t="str">
        <f>IFERROR(+VLOOKUP(Movimientos_2026[[#This Row],[Codigo]],Plan_cuentas[],4,FALSE)," ")</f>
        <v>Registración</v>
      </c>
      <c r="H2600" t="str">
        <f>IFERROR(+VLOOKUP(Movimientos_2026[[#This Row],[Codigo]],Plan_cuentas[],5,FALSE)," ")</f>
        <v>ENTRE RIOS 2° Q</v>
      </c>
      <c r="I2600" s="43">
        <v>46204</v>
      </c>
      <c r="J2600" t="s">
        <v>1107</v>
      </c>
      <c r="K2600" t="str">
        <f>IFERROR(+VLOOKUP(Movimientos_2026[[#This Row],[Codigo]],Plan_cuentas[],6,FALSE)," ")</f>
        <v>6 - FCAtr - Fiat Transf.</v>
      </c>
      <c r="L2600" s="50"/>
      <c r="M2600" s="50">
        <v>620100</v>
      </c>
      <c r="N2600" s="20">
        <f>+Movimientos_2026[[#This Row],[Ingresos]]-Movimientos_2026[[#This Row],[Egresos]]</f>
        <v>-620100</v>
      </c>
      <c r="O2600" s="20">
        <f>+O2599+Movimientos_2026[[#This Row],[Neto]]</f>
        <v>6820818893.0493326</v>
      </c>
    </row>
    <row r="2601" spans="1:15" x14ac:dyDescent="0.25">
      <c r="A2601" s="13">
        <v>46241</v>
      </c>
      <c r="B2601" s="12">
        <f>MONTH(Movimientos_2026[[#This Row],[Fecha]])</f>
        <v>8</v>
      </c>
      <c r="C2601" s="12" t="str">
        <f>VLOOKUP((WEEKDAY(Movimientos_2026[[#This Row],[Fecha]],2)),'5. Setup'!$D$6:$E$12,2,FALSE)</f>
        <v>Vie</v>
      </c>
      <c r="D2601">
        <v>2023242</v>
      </c>
      <c r="E2601" t="str">
        <f>IFERROR(+VLOOKUP(Movimientos_2026[[#This Row],[Codigo]],Plan_cuentas[],2,FALSE)," ")</f>
        <v>EGRESOS</v>
      </c>
      <c r="F2601" t="str">
        <f>IFERROR(+VLOOKUP(Movimientos_2026[[#This Row],[Codigo]],Plan_cuentas[],3,FALSE)," ")</f>
        <v>DDJJ</v>
      </c>
      <c r="G2601" t="str">
        <f>IFERROR(+VLOOKUP(Movimientos_2026[[#This Row],[Codigo]],Plan_cuentas[],4,FALSE)," ")</f>
        <v>Registración</v>
      </c>
      <c r="H2601" t="str">
        <f>IFERROR(+VLOOKUP(Movimientos_2026[[#This Row],[Codigo]],Plan_cuentas[],5,FALSE)," ")</f>
        <v>FORMOSA</v>
      </c>
      <c r="I2601" s="43">
        <v>46204</v>
      </c>
      <c r="J2601" t="s">
        <v>1108</v>
      </c>
      <c r="K2601" t="str">
        <f>IFERROR(+VLOOKUP(Movimientos_2026[[#This Row],[Codigo]],Plan_cuentas[],6,FALSE)," ")</f>
        <v>2 - PR - Plan Rombo</v>
      </c>
      <c r="L2601" s="50"/>
      <c r="M2601" s="50">
        <v>4068268.67</v>
      </c>
      <c r="N2601" s="20">
        <f>+Movimientos_2026[[#This Row],[Ingresos]]-Movimientos_2026[[#This Row],[Egresos]]</f>
        <v>-4068268.67</v>
      </c>
      <c r="O2601" s="20">
        <f>+O2600+Movimientos_2026[[#This Row],[Neto]]</f>
        <v>6816750624.3793325</v>
      </c>
    </row>
    <row r="2602" spans="1:15" x14ac:dyDescent="0.25">
      <c r="A2602" s="13">
        <v>46241</v>
      </c>
      <c r="B2602" s="12">
        <f>MONTH(Movimientos_2026[[#This Row],[Fecha]])</f>
        <v>8</v>
      </c>
      <c r="C2602" s="12" t="str">
        <f>VLOOKUP((WEEKDAY(Movimientos_2026[[#This Row],[Fecha]],2)),'5. Setup'!$D$6:$E$12,2,FALSE)</f>
        <v>Vie</v>
      </c>
      <c r="D2602">
        <v>2023246</v>
      </c>
      <c r="E2602" t="str">
        <f>IFERROR(+VLOOKUP(Movimientos_2026[[#This Row],[Codigo]],Plan_cuentas[],2,FALSE)," ")</f>
        <v>EGRESOS</v>
      </c>
      <c r="F2602" t="str">
        <f>IFERROR(+VLOOKUP(Movimientos_2026[[#This Row],[Codigo]],Plan_cuentas[],3,FALSE)," ")</f>
        <v>DDJJ</v>
      </c>
      <c r="G2602" t="str">
        <f>IFERROR(+VLOOKUP(Movimientos_2026[[#This Row],[Codigo]],Plan_cuentas[],4,FALSE)," ")</f>
        <v>Registración</v>
      </c>
      <c r="H2602" t="str">
        <f>IFERROR(+VLOOKUP(Movimientos_2026[[#This Row],[Codigo]],Plan_cuentas[],5,FALSE)," ")</f>
        <v>FORMOSA</v>
      </c>
      <c r="I2602" s="43">
        <v>46204</v>
      </c>
      <c r="J2602" t="s">
        <v>1108</v>
      </c>
      <c r="K2602" t="str">
        <f>IFERROR(+VLOOKUP(Movimientos_2026[[#This Row],[Codigo]],Plan_cuentas[],6,FALSE)," ")</f>
        <v>6 - FCAtr - Fiat Transf.</v>
      </c>
      <c r="L2602" s="50"/>
      <c r="M2602" s="50">
        <v>293601.09000000003</v>
      </c>
      <c r="N2602" s="20">
        <f>+Movimientos_2026[[#This Row],[Ingresos]]-Movimientos_2026[[#This Row],[Egresos]]</f>
        <v>-293601.09000000003</v>
      </c>
      <c r="O2602" s="20">
        <f>+O2601+Movimientos_2026[[#This Row],[Neto]]</f>
        <v>6816457023.2893324</v>
      </c>
    </row>
    <row r="2603" spans="1:15" x14ac:dyDescent="0.25">
      <c r="A2603" s="13">
        <v>46241</v>
      </c>
      <c r="B2603" s="12">
        <f>MONTH(Movimientos_2026[[#This Row],[Fecha]])</f>
        <v>8</v>
      </c>
      <c r="C2603" s="12" t="str">
        <f>VLOOKUP((WEEKDAY(Movimientos_2026[[#This Row],[Fecha]],2)),'5. Setup'!$D$6:$E$12,2,FALSE)</f>
        <v>Vie</v>
      </c>
      <c r="D2603">
        <v>2023247</v>
      </c>
      <c r="E2603" t="str">
        <f>IFERROR(+VLOOKUP(Movimientos_2026[[#This Row],[Codigo]],Plan_cuentas[],2,FALSE)," ")</f>
        <v>EGRESOS</v>
      </c>
      <c r="F2603" t="str">
        <f>IFERROR(+VLOOKUP(Movimientos_2026[[#This Row],[Codigo]],Plan_cuentas[],3,FALSE)," ")</f>
        <v>DDJJ</v>
      </c>
      <c r="G2603" t="str">
        <f>IFERROR(+VLOOKUP(Movimientos_2026[[#This Row],[Codigo]],Plan_cuentas[],4,FALSE)," ")</f>
        <v>Registración</v>
      </c>
      <c r="H2603" t="str">
        <f>IFERROR(+VLOOKUP(Movimientos_2026[[#This Row],[Codigo]],Plan_cuentas[],5,FALSE)," ")</f>
        <v>FORMOSA</v>
      </c>
      <c r="I2603" s="43">
        <v>46204</v>
      </c>
      <c r="J2603" t="s">
        <v>1108</v>
      </c>
      <c r="K2603" t="str">
        <f>IFERROR(+VLOOKUP(Movimientos_2026[[#This Row],[Codigo]],Plan_cuentas[],6,FALSE)," ")</f>
        <v>7 - PRtr - Plan Rombo Transf.</v>
      </c>
      <c r="L2603" s="50"/>
      <c r="M2603" s="50">
        <v>83500</v>
      </c>
      <c r="N2603" s="20">
        <f>+Movimientos_2026[[#This Row],[Ingresos]]-Movimientos_2026[[#This Row],[Egresos]]</f>
        <v>-83500</v>
      </c>
      <c r="O2603" s="20">
        <f>+O2602+Movimientos_2026[[#This Row],[Neto]]</f>
        <v>6816373523.2893324</v>
      </c>
    </row>
    <row r="2604" spans="1:15" x14ac:dyDescent="0.25">
      <c r="A2604" s="13">
        <v>46241</v>
      </c>
      <c r="B2604" s="12">
        <f>MONTH(Movimientos_2026[[#This Row],[Fecha]])</f>
        <v>8</v>
      </c>
      <c r="C2604" s="12" t="str">
        <f>VLOOKUP((WEEKDAY(Movimientos_2026[[#This Row],[Fecha]],2)),'5. Setup'!$D$6:$E$12,2,FALSE)</f>
        <v>Vie</v>
      </c>
      <c r="D2604">
        <v>2023245</v>
      </c>
      <c r="E2604" t="str">
        <f>IFERROR(+VLOOKUP(Movimientos_2026[[#This Row],[Codigo]],Plan_cuentas[],2,FALSE)," ")</f>
        <v>EGRESOS</v>
      </c>
      <c r="F2604" t="str">
        <f>IFERROR(+VLOOKUP(Movimientos_2026[[#This Row],[Codigo]],Plan_cuentas[],3,FALSE)," ")</f>
        <v>DDJJ</v>
      </c>
      <c r="G2604" t="str">
        <f>IFERROR(+VLOOKUP(Movimientos_2026[[#This Row],[Codigo]],Plan_cuentas[],4,FALSE)," ")</f>
        <v>Registración</v>
      </c>
      <c r="H2604" t="str">
        <f>IFERROR(+VLOOKUP(Movimientos_2026[[#This Row],[Codigo]],Plan_cuentas[],5,FALSE)," ")</f>
        <v>FORMOSA</v>
      </c>
      <c r="I2604" s="43">
        <v>46204</v>
      </c>
      <c r="J2604" t="s">
        <v>1108</v>
      </c>
      <c r="K2604" t="str">
        <f>IFERROR(+VLOOKUP(Movimientos_2026[[#This Row],[Codigo]],Plan_cuentas[],6,FALSE)," ")</f>
        <v>5 - YAM - Yamaha</v>
      </c>
      <c r="L2604" s="50"/>
      <c r="M2604" s="50">
        <v>336903.5</v>
      </c>
      <c r="N2604" s="20">
        <f>+Movimientos_2026[[#This Row],[Ingresos]]-Movimientos_2026[[#This Row],[Egresos]]</f>
        <v>-336903.5</v>
      </c>
      <c r="O2604" s="20">
        <f>+O2603+Movimientos_2026[[#This Row],[Neto]]</f>
        <v>6816036619.7893324</v>
      </c>
    </row>
    <row r="2605" spans="1:15" x14ac:dyDescent="0.25">
      <c r="A2605" s="13">
        <v>46241</v>
      </c>
      <c r="B2605" s="12">
        <f>MONTH(Movimientos_2026[[#This Row],[Fecha]])</f>
        <v>8</v>
      </c>
      <c r="C2605" s="12" t="str">
        <f>VLOOKUP((WEEKDAY(Movimientos_2026[[#This Row],[Fecha]],2)),'5. Setup'!$D$6:$E$12,2,FALSE)</f>
        <v>Vie</v>
      </c>
      <c r="D2605">
        <v>2023375</v>
      </c>
      <c r="E2605" t="str">
        <f>IFERROR(+VLOOKUP(Movimientos_2026[[#This Row],[Codigo]],Plan_cuentas[],2,FALSE)," ")</f>
        <v>EGRESOS</v>
      </c>
      <c r="F2605" t="str">
        <f>IFERROR(+VLOOKUP(Movimientos_2026[[#This Row],[Codigo]],Plan_cuentas[],3,FALSE)," ")</f>
        <v>DDJJ</v>
      </c>
      <c r="G2605" t="str">
        <f>IFERROR(+VLOOKUP(Movimientos_2026[[#This Row],[Codigo]],Plan_cuentas[],4,FALSE)," ")</f>
        <v>Registración</v>
      </c>
      <c r="H2605" t="str">
        <f>IFERROR(+VLOOKUP(Movimientos_2026[[#This Row],[Codigo]],Plan_cuentas[],5,FALSE)," ")</f>
        <v>SANTA CRUZ</v>
      </c>
      <c r="I2605" s="43">
        <v>46204</v>
      </c>
      <c r="J2605" t="s">
        <v>1109</v>
      </c>
      <c r="K2605" t="str">
        <f>IFERROR(+VLOOKUP(Movimientos_2026[[#This Row],[Codigo]],Plan_cuentas[],6,FALSE)," ")</f>
        <v>5 - YAM - Yamaha</v>
      </c>
      <c r="L2605" s="50"/>
      <c r="M2605" s="50">
        <v>705929.99</v>
      </c>
      <c r="N2605" s="20">
        <f>+Movimientos_2026[[#This Row],[Ingresos]]-Movimientos_2026[[#This Row],[Egresos]]</f>
        <v>-705929.99</v>
      </c>
      <c r="O2605" s="20">
        <f>+O2604+Movimientos_2026[[#This Row],[Neto]]</f>
        <v>6815330689.7993326</v>
      </c>
    </row>
    <row r="2606" spans="1:15" x14ac:dyDescent="0.25">
      <c r="A2606" s="13">
        <v>46241</v>
      </c>
      <c r="B2606" s="12">
        <f>MONTH(Movimientos_2026[[#This Row],[Fecha]])</f>
        <v>8</v>
      </c>
      <c r="C2606" s="12" t="str">
        <f>VLOOKUP((WEEKDAY(Movimientos_2026[[#This Row],[Fecha]],2)),'5. Setup'!$D$6:$E$12,2,FALSE)</f>
        <v>Vie</v>
      </c>
      <c r="D2606">
        <v>2023376</v>
      </c>
      <c r="E2606" t="str">
        <f>IFERROR(+VLOOKUP(Movimientos_2026[[#This Row],[Codigo]],Plan_cuentas[],2,FALSE)," ")</f>
        <v>EGRESOS</v>
      </c>
      <c r="F2606" t="str">
        <f>IFERROR(+VLOOKUP(Movimientos_2026[[#This Row],[Codigo]],Plan_cuentas[],3,FALSE)," ")</f>
        <v>DDJJ</v>
      </c>
      <c r="G2606" t="str">
        <f>IFERROR(+VLOOKUP(Movimientos_2026[[#This Row],[Codigo]],Plan_cuentas[],4,FALSE)," ")</f>
        <v>Registración</v>
      </c>
      <c r="H2606" t="str">
        <f>IFERROR(+VLOOKUP(Movimientos_2026[[#This Row],[Codigo]],Plan_cuentas[],5,FALSE)," ")</f>
        <v>SANTA CRUZ</v>
      </c>
      <c r="I2606" s="43">
        <v>46204</v>
      </c>
      <c r="J2606" t="s">
        <v>1109</v>
      </c>
      <c r="K2606" t="str">
        <f>IFERROR(+VLOOKUP(Movimientos_2026[[#This Row],[Codigo]],Plan_cuentas[],6,FALSE)," ")</f>
        <v>6 - FCAtr - Fiat Transf.</v>
      </c>
      <c r="L2606" s="50"/>
      <c r="M2606" s="50">
        <v>173023.28</v>
      </c>
      <c r="N2606" s="20">
        <f>+Movimientos_2026[[#This Row],[Ingresos]]-Movimientos_2026[[#This Row],[Egresos]]</f>
        <v>-173023.28</v>
      </c>
      <c r="O2606" s="20">
        <f>+O2605+Movimientos_2026[[#This Row],[Neto]]</f>
        <v>6815157666.5193329</v>
      </c>
    </row>
    <row r="2607" spans="1:15" x14ac:dyDescent="0.25">
      <c r="A2607" s="13">
        <v>46241</v>
      </c>
      <c r="B2607" s="12">
        <f>MONTH(Movimientos_2026[[#This Row],[Fecha]])</f>
        <v>8</v>
      </c>
      <c r="C2607" s="12" t="str">
        <f>VLOOKUP((WEEKDAY(Movimientos_2026[[#This Row],[Fecha]],2)),'5. Setup'!$D$6:$E$12,2,FALSE)</f>
        <v>Vie</v>
      </c>
      <c r="D2607">
        <v>2023397</v>
      </c>
      <c r="E2607" t="str">
        <f>IFERROR(+VLOOKUP(Movimientos_2026[[#This Row],[Codigo]],Plan_cuentas[],2,FALSE)," ")</f>
        <v>EGRESOS</v>
      </c>
      <c r="F2607" t="str">
        <f>IFERROR(+VLOOKUP(Movimientos_2026[[#This Row],[Codigo]],Plan_cuentas[],3,FALSE)," ")</f>
        <v>DDJJ</v>
      </c>
      <c r="G2607" t="str">
        <f>IFERROR(+VLOOKUP(Movimientos_2026[[#This Row],[Codigo]],Plan_cuentas[],4,FALSE)," ")</f>
        <v>Registración</v>
      </c>
      <c r="H2607" t="str">
        <f>IFERROR(+VLOOKUP(Movimientos_2026[[#This Row],[Codigo]],Plan_cuentas[],5,FALSE)," ")</f>
        <v>SANTA FE 2° Q</v>
      </c>
      <c r="I2607" s="43">
        <v>46204</v>
      </c>
      <c r="J2607" t="s">
        <v>1110</v>
      </c>
      <c r="K2607" t="str">
        <f>IFERROR(+VLOOKUP(Movimientos_2026[[#This Row],[Codigo]],Plan_cuentas[],6,FALSE)," ")</f>
        <v>7 - PRtr - Plan Rombo Transf.</v>
      </c>
      <c r="L2607" s="50"/>
      <c r="M2607" s="50">
        <v>102171.19</v>
      </c>
      <c r="N2607" s="20">
        <f>+Movimientos_2026[[#This Row],[Ingresos]]-Movimientos_2026[[#This Row],[Egresos]]</f>
        <v>-102171.19</v>
      </c>
      <c r="O2607" s="20">
        <f>+O2606+Movimientos_2026[[#This Row],[Neto]]</f>
        <v>6815055495.3293333</v>
      </c>
    </row>
    <row r="2608" spans="1:15" x14ac:dyDescent="0.25">
      <c r="A2608" s="13">
        <v>46241</v>
      </c>
      <c r="B2608" s="12">
        <f>MONTH(Movimientos_2026[[#This Row],[Fecha]])</f>
        <v>8</v>
      </c>
      <c r="C2608" s="12" t="str">
        <f>VLOOKUP((WEEKDAY(Movimientos_2026[[#This Row],[Fecha]],2)),'5. Setup'!$D$6:$E$12,2,FALSE)</f>
        <v>Vie</v>
      </c>
      <c r="D2608">
        <v>2023392</v>
      </c>
      <c r="E2608" t="str">
        <f>IFERROR(+VLOOKUP(Movimientos_2026[[#This Row],[Codigo]],Plan_cuentas[],2,FALSE)," ")</f>
        <v>EGRESOS</v>
      </c>
      <c r="F2608" t="str">
        <f>IFERROR(+VLOOKUP(Movimientos_2026[[#This Row],[Codigo]],Plan_cuentas[],3,FALSE)," ")</f>
        <v>DDJJ</v>
      </c>
      <c r="G2608" t="str">
        <f>IFERROR(+VLOOKUP(Movimientos_2026[[#This Row],[Codigo]],Plan_cuentas[],4,FALSE)," ")</f>
        <v>Registración</v>
      </c>
      <c r="H2608" t="str">
        <f>IFERROR(+VLOOKUP(Movimientos_2026[[#This Row],[Codigo]],Plan_cuentas[],5,FALSE)," ")</f>
        <v>SANTA FE 2° Q</v>
      </c>
      <c r="I2608" s="43">
        <v>46204</v>
      </c>
      <c r="J2608" t="s">
        <v>1110</v>
      </c>
      <c r="K2608" t="str">
        <f>IFERROR(+VLOOKUP(Movimientos_2026[[#This Row],[Codigo]],Plan_cuentas[],6,FALSE)," ")</f>
        <v>2 - PR - Plan Rombo</v>
      </c>
      <c r="L2608" s="50"/>
      <c r="M2608" s="50">
        <v>14573254.039999999</v>
      </c>
      <c r="N2608" s="20">
        <f>+Movimientos_2026[[#This Row],[Ingresos]]-Movimientos_2026[[#This Row],[Egresos]]</f>
        <v>-14573254.039999999</v>
      </c>
      <c r="O2608" s="20">
        <f>+O2607+Movimientos_2026[[#This Row],[Neto]]</f>
        <v>6800482241.2893333</v>
      </c>
    </row>
    <row r="2609" spans="1:15" x14ac:dyDescent="0.25">
      <c r="A2609" s="13">
        <v>46241</v>
      </c>
      <c r="B2609" s="12">
        <f>MONTH(Movimientos_2026[[#This Row],[Fecha]])</f>
        <v>8</v>
      </c>
      <c r="C2609" s="12" t="str">
        <f>VLOOKUP((WEEKDAY(Movimientos_2026[[#This Row],[Fecha]],2)),'5. Setup'!$D$6:$E$12,2,FALSE)</f>
        <v>Vie</v>
      </c>
      <c r="D2609">
        <v>2023393</v>
      </c>
      <c r="E2609" t="str">
        <f>IFERROR(+VLOOKUP(Movimientos_2026[[#This Row],[Codigo]],Plan_cuentas[],2,FALSE)," ")</f>
        <v>EGRESOS</v>
      </c>
      <c r="F2609" t="str">
        <f>IFERROR(+VLOOKUP(Movimientos_2026[[#This Row],[Codigo]],Plan_cuentas[],3,FALSE)," ")</f>
        <v>DDJJ</v>
      </c>
      <c r="G2609" t="str">
        <f>IFERROR(+VLOOKUP(Movimientos_2026[[#This Row],[Codigo]],Plan_cuentas[],4,FALSE)," ")</f>
        <v>Registración</v>
      </c>
      <c r="H2609" t="str">
        <f>IFERROR(+VLOOKUP(Movimientos_2026[[#This Row],[Codigo]],Plan_cuentas[],5,FALSE)," ")</f>
        <v>SANTA FE 2° Q</v>
      </c>
      <c r="I2609" s="43">
        <v>46204</v>
      </c>
      <c r="J2609" t="s">
        <v>1110</v>
      </c>
      <c r="K2609" t="str">
        <f>IFERROR(+VLOOKUP(Movimientos_2026[[#This Row],[Codigo]],Plan_cuentas[],6,FALSE)," ")</f>
        <v>3 - GM - Chevrolet</v>
      </c>
      <c r="L2609" s="50"/>
      <c r="M2609" s="50">
        <v>8441296.9100000001</v>
      </c>
      <c r="N2609" s="20">
        <f>+Movimientos_2026[[#This Row],[Ingresos]]-Movimientos_2026[[#This Row],[Egresos]]</f>
        <v>-8441296.9100000001</v>
      </c>
      <c r="O2609" s="20">
        <f>+O2608+Movimientos_2026[[#This Row],[Neto]]</f>
        <v>6792040944.3793335</v>
      </c>
    </row>
    <row r="2610" spans="1:15" x14ac:dyDescent="0.25">
      <c r="A2610" s="13">
        <v>46241</v>
      </c>
      <c r="B2610" s="12">
        <f>MONTH(Movimientos_2026[[#This Row],[Fecha]])</f>
        <v>8</v>
      </c>
      <c r="C2610" s="12" t="str">
        <f>VLOOKUP((WEEKDAY(Movimientos_2026[[#This Row],[Fecha]],2)),'5. Setup'!$D$6:$E$12,2,FALSE)</f>
        <v>Vie</v>
      </c>
      <c r="D2610">
        <v>1041134</v>
      </c>
      <c r="E2610" t="str">
        <f>IFERROR(+VLOOKUP(Movimientos_2026[[#This Row],[Codigo]],Plan_cuentas[],2,FALSE)," ")</f>
        <v>INGRESOS</v>
      </c>
      <c r="F2610" t="str">
        <f>IFERROR(+VLOOKUP(Movimientos_2026[[#This Row],[Codigo]],Plan_cuentas[],3,FALSE)," ")</f>
        <v>Transferencia</v>
      </c>
      <c r="G2610" t="str">
        <f>IFERROR(+VLOOKUP(Movimientos_2026[[#This Row],[Codigo]],Plan_cuentas[],4,FALSE)," ")</f>
        <v>Entidades co-participadas</v>
      </c>
      <c r="H2610" t="str">
        <f>IFERROR(+VLOOKUP(Movimientos_2026[[#This Row],[Codigo]],Plan_cuentas[],5,FALSE)," ")</f>
        <v>BCLP</v>
      </c>
      <c r="I2610" s="43">
        <v>46204</v>
      </c>
      <c r="J2610" t="s">
        <v>1111</v>
      </c>
      <c r="K2610" t="str">
        <f>IFERROR(+VLOOKUP(Movimientos_2026[[#This Row],[Codigo]],Plan_cuentas[],6,FALSE)," ")</f>
        <v>4 - FCA - Fiat</v>
      </c>
      <c r="L2610" s="50">
        <v>48092064.890000001</v>
      </c>
      <c r="M2610" s="50"/>
      <c r="N2610" s="20">
        <f>+Movimientos_2026[[#This Row],[Ingresos]]-Movimientos_2026[[#This Row],[Egresos]]</f>
        <v>48092064.890000001</v>
      </c>
      <c r="O2610" s="20">
        <f>+O2609+Movimientos_2026[[#This Row],[Neto]]</f>
        <v>6840133009.2693338</v>
      </c>
    </row>
    <row r="2611" spans="1:15" x14ac:dyDescent="0.25">
      <c r="A2611" s="13">
        <v>46241</v>
      </c>
      <c r="B2611" s="12">
        <f>MONTH(Movimientos_2026[[#This Row],[Fecha]])</f>
        <v>8</v>
      </c>
      <c r="C2611" s="12" t="str">
        <f>VLOOKUP((WEEKDAY(Movimientos_2026[[#This Row],[Fecha]],2)),'5. Setup'!$D$6:$E$12,2,FALSE)</f>
        <v>Vie</v>
      </c>
      <c r="D2611">
        <v>1041444</v>
      </c>
      <c r="E2611" t="str">
        <f>IFERROR(+VLOOKUP(Movimientos_2026[[#This Row],[Codigo]],Plan_cuentas[],2,FALSE)," ")</f>
        <v>INGRESOS</v>
      </c>
      <c r="F2611" t="str">
        <f>IFERROR(+VLOOKUP(Movimientos_2026[[#This Row],[Codigo]],Plan_cuentas[],3,FALSE)," ")</f>
        <v>Transferencia</v>
      </c>
      <c r="G2611" t="str">
        <f>IFERROR(+VLOOKUP(Movimientos_2026[[#This Row],[Codigo]],Plan_cuentas[],4,FALSE)," ")</f>
        <v>Entidades co-participadas</v>
      </c>
      <c r="H2611" t="str">
        <f>IFERROR(+VLOOKUP(Movimientos_2026[[#This Row],[Codigo]],Plan_cuentas[],5,FALSE)," ")</f>
        <v>UISCUMARR</v>
      </c>
      <c r="I2611" s="43">
        <v>46204</v>
      </c>
      <c r="J2611" t="s">
        <v>1111</v>
      </c>
      <c r="K2611" t="str">
        <f>IFERROR(+VLOOKUP(Movimientos_2026[[#This Row],[Codigo]],Plan_cuentas[],6,FALSE)," ")</f>
        <v>4 - FCA - Fiat</v>
      </c>
      <c r="L2611" s="50">
        <v>417923086.89999998</v>
      </c>
      <c r="M2611" s="50"/>
      <c r="N2611" s="20">
        <f>+Movimientos_2026[[#This Row],[Ingresos]]-Movimientos_2026[[#This Row],[Egresos]]</f>
        <v>417923086.89999998</v>
      </c>
      <c r="O2611" s="20">
        <f>+O2610+Movimientos_2026[[#This Row],[Neto]]</f>
        <v>7258056096.1693335</v>
      </c>
    </row>
    <row r="2612" spans="1:15" x14ac:dyDescent="0.25">
      <c r="A2612" s="13">
        <v>46241</v>
      </c>
      <c r="B2612" s="12">
        <f>MONTH(Movimientos_2026[[#This Row],[Fecha]])</f>
        <v>8</v>
      </c>
      <c r="C2612" s="12" t="str">
        <f>VLOOKUP((WEEKDAY(Movimientos_2026[[#This Row],[Fecha]],2)),'5. Setup'!$D$6:$E$12,2,FALSE)</f>
        <v>Vie</v>
      </c>
      <c r="D2612">
        <v>1043144</v>
      </c>
      <c r="E2612" t="str">
        <f>IFERROR(+VLOOKUP(Movimientos_2026[[#This Row],[Codigo]],Plan_cuentas[],2,FALSE)," ")</f>
        <v>INGRESOS</v>
      </c>
      <c r="F2612" t="str">
        <f>IFERROR(+VLOOKUP(Movimientos_2026[[#This Row],[Codigo]],Plan_cuentas[],3,FALSE)," ")</f>
        <v>Transferencia</v>
      </c>
      <c r="G2612" t="str">
        <f>IFERROR(+VLOOKUP(Movimientos_2026[[#This Row],[Codigo]],Plan_cuentas[],4,FALSE)," ")</f>
        <v>Registración</v>
      </c>
      <c r="H2612" t="str">
        <f>IFERROR(+VLOOKUP(Movimientos_2026[[#This Row],[Codigo]],Plan_cuentas[],5,FALSE)," ")</f>
        <v>BUENOS AIRES</v>
      </c>
      <c r="I2612" s="43">
        <v>46204</v>
      </c>
      <c r="J2612" t="s">
        <v>1111</v>
      </c>
      <c r="K2612" t="str">
        <f>IFERROR(+VLOOKUP(Movimientos_2026[[#This Row],[Codigo]],Plan_cuentas[],6,FALSE)," ")</f>
        <v>4 - FCA - Fiat</v>
      </c>
      <c r="L2612" s="50">
        <v>456796888.29000002</v>
      </c>
      <c r="M2612" s="50"/>
      <c r="N2612" s="20">
        <f>+Movimientos_2026[[#This Row],[Ingresos]]-Movimientos_2026[[#This Row],[Egresos]]</f>
        <v>456796888.29000002</v>
      </c>
      <c r="O2612" s="20">
        <f>+O2611+Movimientos_2026[[#This Row],[Neto]]</f>
        <v>7714852984.4593334</v>
      </c>
    </row>
    <row r="2613" spans="1:15" x14ac:dyDescent="0.25">
      <c r="A2613" s="13">
        <v>46241</v>
      </c>
      <c r="B2613" s="12">
        <f>MONTH(Movimientos_2026[[#This Row],[Fecha]])</f>
        <v>8</v>
      </c>
      <c r="C2613" s="12" t="str">
        <f>VLOOKUP((WEEKDAY(Movimientos_2026[[#This Row],[Fecha]],2)),'5. Setup'!$D$6:$E$12,2,FALSE)</f>
        <v>Vie</v>
      </c>
      <c r="D2613">
        <v>1045454</v>
      </c>
      <c r="E2613" t="str">
        <f>IFERROR(+VLOOKUP(Movimientos_2026[[#This Row],[Codigo]],Plan_cuentas[],2,FALSE)," ")</f>
        <v>INGRESOS</v>
      </c>
      <c r="F2613" t="str">
        <f>IFERROR(+VLOOKUP(Movimientos_2026[[#This Row],[Codigo]],Plan_cuentas[],3,FALSE)," ")</f>
        <v>Transferencia</v>
      </c>
      <c r="G2613" t="str">
        <f>IFERROR(+VLOOKUP(Movimientos_2026[[#This Row],[Codigo]],Plan_cuentas[],4,FALSE)," ")</f>
        <v>Factura</v>
      </c>
      <c r="H2613" t="str">
        <f>IFERROR(+VLOOKUP(Movimientos_2026[[#This Row],[Codigo]],Plan_cuentas[],5,FALSE)," ")</f>
        <v>FC DERECHOS</v>
      </c>
      <c r="I2613" s="43">
        <v>46204</v>
      </c>
      <c r="J2613" t="s">
        <v>1258</v>
      </c>
      <c r="K2613" t="str">
        <f>IFERROR(+VLOOKUP(Movimientos_2026[[#This Row],[Codigo]],Plan_cuentas[],6,FALSE)," ")</f>
        <v>4 - FCA - Fiat</v>
      </c>
      <c r="L2613" s="50">
        <v>161887597.88</v>
      </c>
      <c r="M2613" s="50"/>
      <c r="N2613" s="20">
        <f>+Movimientos_2026[[#This Row],[Ingresos]]-Movimientos_2026[[#This Row],[Egresos]]</f>
        <v>161887597.88</v>
      </c>
      <c r="O2613" s="20">
        <f>+O2612+Movimientos_2026[[#This Row],[Neto]]</f>
        <v>7876740582.3393335</v>
      </c>
    </row>
    <row r="2614" spans="1:15" x14ac:dyDescent="0.25">
      <c r="A2614" s="13">
        <v>46244</v>
      </c>
      <c r="B2614" s="12">
        <f>MONTH(Movimientos_2026[[#This Row],[Fecha]])</f>
        <v>8</v>
      </c>
      <c r="C2614" s="12" t="str">
        <f>VLOOKUP((WEEKDAY(Movimientos_2026[[#This Row],[Fecha]],2)),'5. Setup'!$D$6:$E$12,2,FALSE)</f>
        <v>Lun</v>
      </c>
      <c r="D2614">
        <v>2014421</v>
      </c>
      <c r="E2614" t="str">
        <f>IFERROR(+VLOOKUP(Movimientos_2026[[#This Row],[Codigo]],Plan_cuentas[],2,FALSE)," ")</f>
        <v>EGRESOS</v>
      </c>
      <c r="F2614" t="str">
        <f>IFERROR(+VLOOKUP(Movimientos_2026[[#This Row],[Codigo]],Plan_cuentas[],3,FALSE)," ")</f>
        <v>BtoB</v>
      </c>
      <c r="G2614" t="str">
        <f>IFERROR(+VLOOKUP(Movimientos_2026[[#This Row],[Codigo]],Plan_cuentas[],4,FALSE)," ")</f>
        <v>Rentas</v>
      </c>
      <c r="H2614" t="str">
        <f>IFERROR(+VLOOKUP(Movimientos_2026[[#This Row],[Codigo]],Plan_cuentas[],5,FALSE)," ")</f>
        <v>TUCUMAN</v>
      </c>
      <c r="I2614" s="43">
        <v>46204</v>
      </c>
      <c r="J2614" t="s">
        <v>1112</v>
      </c>
      <c r="K2614" t="str">
        <f>IFERROR(+VLOOKUP(Movimientos_2026[[#This Row],[Codigo]],Plan_cuentas[],6,FALSE)," ")</f>
        <v>1 - VW - Volkswagen</v>
      </c>
      <c r="L2614" s="50"/>
      <c r="M2614" s="50">
        <v>154263137.86000001</v>
      </c>
      <c r="N2614" s="20">
        <f>+Movimientos_2026[[#This Row],[Ingresos]]-Movimientos_2026[[#This Row],[Egresos]]</f>
        <v>-154263137.86000001</v>
      </c>
      <c r="O2614" s="20">
        <f>+O2613+Movimientos_2026[[#This Row],[Neto]]</f>
        <v>7722477444.4793339</v>
      </c>
    </row>
    <row r="2615" spans="1:15" x14ac:dyDescent="0.25">
      <c r="A2615" s="13">
        <v>46244</v>
      </c>
      <c r="B2615" s="12">
        <f>MONTH(Movimientos_2026[[#This Row],[Fecha]])</f>
        <v>8</v>
      </c>
      <c r="C2615" s="12" t="str">
        <f>VLOOKUP((WEEKDAY(Movimientos_2026[[#This Row],[Fecha]],2)),'5. Setup'!$D$6:$E$12,2,FALSE)</f>
        <v>Lun</v>
      </c>
      <c r="D2615">
        <v>2014422</v>
      </c>
      <c r="E2615" t="str">
        <f>IFERROR(+VLOOKUP(Movimientos_2026[[#This Row],[Codigo]],Plan_cuentas[],2,FALSE)," ")</f>
        <v>EGRESOS</v>
      </c>
      <c r="F2615" t="str">
        <f>IFERROR(+VLOOKUP(Movimientos_2026[[#This Row],[Codigo]],Plan_cuentas[],3,FALSE)," ")</f>
        <v>BtoB</v>
      </c>
      <c r="G2615" t="str">
        <f>IFERROR(+VLOOKUP(Movimientos_2026[[#This Row],[Codigo]],Plan_cuentas[],4,FALSE)," ")</f>
        <v>Rentas</v>
      </c>
      <c r="H2615" t="str">
        <f>IFERROR(+VLOOKUP(Movimientos_2026[[#This Row],[Codigo]],Plan_cuentas[],5,FALSE)," ")</f>
        <v>TUCUMAN</v>
      </c>
      <c r="I2615" s="43">
        <v>46204</v>
      </c>
      <c r="J2615" t="s">
        <v>1113</v>
      </c>
      <c r="K2615" t="str">
        <f>IFERROR(+VLOOKUP(Movimientos_2026[[#This Row],[Codigo]],Plan_cuentas[],6,FALSE)," ")</f>
        <v>2 - PR - Plan Rombo</v>
      </c>
      <c r="L2615" s="50"/>
      <c r="M2615" s="50">
        <v>48361103.632600002</v>
      </c>
      <c r="N2615" s="20">
        <f>+Movimientos_2026[[#This Row],[Ingresos]]-Movimientos_2026[[#This Row],[Egresos]]</f>
        <v>-48361103.632600002</v>
      </c>
      <c r="O2615" s="20">
        <f>+O2614+Movimientos_2026[[#This Row],[Neto]]</f>
        <v>7674116340.846734</v>
      </c>
    </row>
    <row r="2616" spans="1:15" x14ac:dyDescent="0.25">
      <c r="A2616" s="13">
        <v>46244</v>
      </c>
      <c r="B2616" s="12">
        <f>MONTH(Movimientos_2026[[#This Row],[Fecha]])</f>
        <v>8</v>
      </c>
      <c r="C2616" s="12" t="str">
        <f>VLOOKUP((WEEKDAY(Movimientos_2026[[#This Row],[Fecha]],2)),'5. Setup'!$D$6:$E$12,2,FALSE)</f>
        <v>Lun</v>
      </c>
      <c r="D2616">
        <v>2014427</v>
      </c>
      <c r="E2616" t="str">
        <f>IFERROR(+VLOOKUP(Movimientos_2026[[#This Row],[Codigo]],Plan_cuentas[],2,FALSE)," ")</f>
        <v>EGRESOS</v>
      </c>
      <c r="F2616" t="str">
        <f>IFERROR(+VLOOKUP(Movimientos_2026[[#This Row],[Codigo]],Plan_cuentas[],3,FALSE)," ")</f>
        <v>BtoB</v>
      </c>
      <c r="G2616" t="str">
        <f>IFERROR(+VLOOKUP(Movimientos_2026[[#This Row],[Codigo]],Plan_cuentas[],4,FALSE)," ")</f>
        <v>Rentas</v>
      </c>
      <c r="H2616" t="str">
        <f>IFERROR(+VLOOKUP(Movimientos_2026[[#This Row],[Codigo]],Plan_cuentas[],5,FALSE)," ")</f>
        <v>TUCUMAN</v>
      </c>
      <c r="I2616" s="43">
        <v>46204</v>
      </c>
      <c r="J2616" t="s">
        <v>1113</v>
      </c>
      <c r="K2616" t="str">
        <f>IFERROR(+VLOOKUP(Movimientos_2026[[#This Row],[Codigo]],Plan_cuentas[],6,FALSE)," ")</f>
        <v>7 - PRtr - Plan Rombo Transf.</v>
      </c>
      <c r="L2616" s="50"/>
      <c r="M2616" s="50">
        <v>60</v>
      </c>
      <c r="N2616" s="20">
        <f>+Movimientos_2026[[#This Row],[Ingresos]]-Movimientos_2026[[#This Row],[Egresos]]</f>
        <v>-60</v>
      </c>
      <c r="O2616" s="20">
        <f>+O2615+Movimientos_2026[[#This Row],[Neto]]</f>
        <v>7674116280.846734</v>
      </c>
    </row>
    <row r="2617" spans="1:15" x14ac:dyDescent="0.25">
      <c r="A2617" s="13">
        <v>46244</v>
      </c>
      <c r="B2617" s="12">
        <f>MONTH(Movimientos_2026[[#This Row],[Fecha]])</f>
        <v>8</v>
      </c>
      <c r="C2617" s="12" t="str">
        <f>VLOOKUP((WEEKDAY(Movimientos_2026[[#This Row],[Fecha]],2)),'5. Setup'!$D$6:$E$12,2,FALSE)</f>
        <v>Lun</v>
      </c>
      <c r="D2617">
        <v>2014422</v>
      </c>
      <c r="E2617" t="str">
        <f>IFERROR(+VLOOKUP(Movimientos_2026[[#This Row],[Codigo]],Plan_cuentas[],2,FALSE)," ")</f>
        <v>EGRESOS</v>
      </c>
      <c r="F2617" t="str">
        <f>IFERROR(+VLOOKUP(Movimientos_2026[[#This Row],[Codigo]],Plan_cuentas[],3,FALSE)," ")</f>
        <v>BtoB</v>
      </c>
      <c r="G2617" t="str">
        <f>IFERROR(+VLOOKUP(Movimientos_2026[[#This Row],[Codigo]],Plan_cuentas[],4,FALSE)," ")</f>
        <v>Rentas</v>
      </c>
      <c r="H2617" t="str">
        <f>IFERROR(+VLOOKUP(Movimientos_2026[[#This Row],[Codigo]],Plan_cuentas[],5,FALSE)," ")</f>
        <v>TUCUMAN</v>
      </c>
      <c r="I2617" s="43">
        <v>46204</v>
      </c>
      <c r="J2617" t="s">
        <v>1113</v>
      </c>
      <c r="K2617" t="str">
        <f>IFERROR(+VLOOKUP(Movimientos_2026[[#This Row],[Codigo]],Plan_cuentas[],6,FALSE)," ")</f>
        <v>2 - PR - Plan Rombo</v>
      </c>
      <c r="L2617" s="50"/>
      <c r="M2617" s="50">
        <v>3542686.0573999961</v>
      </c>
      <c r="N2617" s="20">
        <f>+Movimientos_2026[[#This Row],[Ingresos]]-Movimientos_2026[[#This Row],[Egresos]]</f>
        <v>-3542686.0573999961</v>
      </c>
      <c r="O2617" s="20">
        <f>+O2616+Movimientos_2026[[#This Row],[Neto]]</f>
        <v>7670573594.7893343</v>
      </c>
    </row>
    <row r="2618" spans="1:15" x14ac:dyDescent="0.25">
      <c r="A2618" s="13">
        <v>46244</v>
      </c>
      <c r="B2618" s="12">
        <f>MONTH(Movimientos_2026[[#This Row],[Fecha]])</f>
        <v>8</v>
      </c>
      <c r="C2618" s="12" t="str">
        <f>VLOOKUP((WEEKDAY(Movimientos_2026[[#This Row],[Fecha]],2)),'5. Setup'!$D$6:$E$12,2,FALSE)</f>
        <v>Lun</v>
      </c>
      <c r="D2618">
        <v>2034241</v>
      </c>
      <c r="E2618" t="str">
        <f>IFERROR(+VLOOKUP(Movimientos_2026[[#This Row],[Codigo]],Plan_cuentas[],2,FALSE)," ")</f>
        <v>EGRESOS</v>
      </c>
      <c r="F2618" t="str">
        <f>IFERROR(+VLOOKUP(Movimientos_2026[[#This Row],[Codigo]],Plan_cuentas[],3,FALSE)," ")</f>
        <v>Pagos Bco. Provincia</v>
      </c>
      <c r="G2618" t="str">
        <f>IFERROR(+VLOOKUP(Movimientos_2026[[#This Row],[Codigo]],Plan_cuentas[],4,FALSE)," ")</f>
        <v>Rentas</v>
      </c>
      <c r="H2618" t="str">
        <f>IFERROR(+VLOOKUP(Movimientos_2026[[#This Row],[Codigo]],Plan_cuentas[],5,FALSE)," ")</f>
        <v>FORMOSA</v>
      </c>
      <c r="I2618" s="43">
        <v>46204</v>
      </c>
      <c r="J2618" t="s">
        <v>1114</v>
      </c>
      <c r="K2618" t="str">
        <f>IFERROR(+VLOOKUP(Movimientos_2026[[#This Row],[Codigo]],Plan_cuentas[],6,FALSE)," ")</f>
        <v>1 - VW - Volkswagen</v>
      </c>
      <c r="L2618" s="50"/>
      <c r="M2618" s="50">
        <v>8620836.6300000008</v>
      </c>
      <c r="N2618" s="20">
        <f>+Movimientos_2026[[#This Row],[Ingresos]]-Movimientos_2026[[#This Row],[Egresos]]</f>
        <v>-8620836.6300000008</v>
      </c>
      <c r="O2618" s="20">
        <f>+O2617+Movimientos_2026[[#This Row],[Neto]]</f>
        <v>7661952758.1593342</v>
      </c>
    </row>
    <row r="2619" spans="1:15" x14ac:dyDescent="0.25">
      <c r="A2619" s="13">
        <v>46244</v>
      </c>
      <c r="B2619" s="12">
        <f>MONTH(Movimientos_2026[[#This Row],[Fecha]])</f>
        <v>8</v>
      </c>
      <c r="C2619" s="12" t="str">
        <f>VLOOKUP((WEEKDAY(Movimientos_2026[[#This Row],[Fecha]],2)),'5. Setup'!$D$6:$E$12,2,FALSE)</f>
        <v>Lun</v>
      </c>
      <c r="D2619">
        <v>2054371</v>
      </c>
      <c r="E2619" t="str">
        <f>IFERROR(+VLOOKUP(Movimientos_2026[[#This Row],[Codigo]],Plan_cuentas[],2,FALSE)," ")</f>
        <v>EGRESOS</v>
      </c>
      <c r="F2619" t="str">
        <f>IFERROR(+VLOOKUP(Movimientos_2026[[#This Row],[Codigo]],Plan_cuentas[],3,FALSE)," ")</f>
        <v>VEP</v>
      </c>
      <c r="G2619" t="str">
        <f>IFERROR(+VLOOKUP(Movimientos_2026[[#This Row],[Codigo]],Plan_cuentas[],4,FALSE)," ")</f>
        <v>Rentas</v>
      </c>
      <c r="H2619" t="str">
        <f>IFERROR(+VLOOKUP(Movimientos_2026[[#This Row],[Codigo]],Plan_cuentas[],5,FALSE)," ")</f>
        <v>SANTA CRUZ</v>
      </c>
      <c r="I2619" s="43">
        <v>46204</v>
      </c>
      <c r="J2619" t="s">
        <v>1115</v>
      </c>
      <c r="K2619" t="str">
        <f>IFERROR(+VLOOKUP(Movimientos_2026[[#This Row],[Codigo]],Plan_cuentas[],6,FALSE)," ")</f>
        <v>1 - VW - Volkswagen</v>
      </c>
      <c r="L2619" s="50"/>
      <c r="M2619" s="50">
        <v>21608384.969999999</v>
      </c>
      <c r="N2619" s="20">
        <f>+Movimientos_2026[[#This Row],[Ingresos]]-Movimientos_2026[[#This Row],[Egresos]]</f>
        <v>-21608384.969999999</v>
      </c>
      <c r="O2619" s="20">
        <f>+O2618+Movimientos_2026[[#This Row],[Neto]]</f>
        <v>7640344373.1893339</v>
      </c>
    </row>
    <row r="2620" spans="1:15" x14ac:dyDescent="0.25">
      <c r="A2620" s="13">
        <v>46244</v>
      </c>
      <c r="B2620" s="12">
        <f>MONTH(Movimientos_2026[[#This Row],[Fecha]])</f>
        <v>8</v>
      </c>
      <c r="C2620" s="12" t="str">
        <f>VLOOKUP((WEEKDAY(Movimientos_2026[[#This Row],[Fecha]],2)),'5. Setup'!$D$6:$E$12,2,FALSE)</f>
        <v>Lun</v>
      </c>
      <c r="D2620">
        <v>2054372</v>
      </c>
      <c r="E2620" t="str">
        <f>IFERROR(+VLOOKUP(Movimientos_2026[[#This Row],[Codigo]],Plan_cuentas[],2,FALSE)," ")</f>
        <v>EGRESOS</v>
      </c>
      <c r="F2620" t="str">
        <f>IFERROR(+VLOOKUP(Movimientos_2026[[#This Row],[Codigo]],Plan_cuentas[],3,FALSE)," ")</f>
        <v>VEP</v>
      </c>
      <c r="G2620" t="str">
        <f>IFERROR(+VLOOKUP(Movimientos_2026[[#This Row],[Codigo]],Plan_cuentas[],4,FALSE)," ")</f>
        <v>Rentas</v>
      </c>
      <c r="H2620" t="str">
        <f>IFERROR(+VLOOKUP(Movimientos_2026[[#This Row],[Codigo]],Plan_cuentas[],5,FALSE)," ")</f>
        <v>SANTA CRUZ</v>
      </c>
      <c r="I2620" s="43">
        <v>46204</v>
      </c>
      <c r="J2620" t="s">
        <v>1116</v>
      </c>
      <c r="K2620" t="str">
        <f>IFERROR(+VLOOKUP(Movimientos_2026[[#This Row],[Codigo]],Plan_cuentas[],6,FALSE)," ")</f>
        <v>2 - PR - Plan Rombo</v>
      </c>
      <c r="L2620" s="50"/>
      <c r="M2620" s="50">
        <v>28162774.596179999</v>
      </c>
      <c r="N2620" s="20">
        <f>+Movimientos_2026[[#This Row],[Ingresos]]-Movimientos_2026[[#This Row],[Egresos]]</f>
        <v>-28162774.596179999</v>
      </c>
      <c r="O2620" s="20">
        <f>+O2619+Movimientos_2026[[#This Row],[Neto]]</f>
        <v>7612181598.593154</v>
      </c>
    </row>
    <row r="2621" spans="1:15" x14ac:dyDescent="0.25">
      <c r="A2621" s="13">
        <v>46244</v>
      </c>
      <c r="B2621" s="12">
        <f>MONTH(Movimientos_2026[[#This Row],[Fecha]])</f>
        <v>8</v>
      </c>
      <c r="C2621" s="12" t="str">
        <f>VLOOKUP((WEEKDAY(Movimientos_2026[[#This Row],[Fecha]],2)),'5. Setup'!$D$6:$E$12,2,FALSE)</f>
        <v>Lun</v>
      </c>
      <c r="D2621">
        <v>2054391</v>
      </c>
      <c r="E2621" t="str">
        <f>IFERROR(+VLOOKUP(Movimientos_2026[[#This Row],[Codigo]],Plan_cuentas[],2,FALSE)," ")</f>
        <v>EGRESOS</v>
      </c>
      <c r="F2621" t="str">
        <f>IFERROR(+VLOOKUP(Movimientos_2026[[#This Row],[Codigo]],Plan_cuentas[],3,FALSE)," ")</f>
        <v>VEP</v>
      </c>
      <c r="G2621" t="str">
        <f>IFERROR(+VLOOKUP(Movimientos_2026[[#This Row],[Codigo]],Plan_cuentas[],4,FALSE)," ")</f>
        <v>Rentas</v>
      </c>
      <c r="H2621" t="str">
        <f>IFERROR(+VLOOKUP(Movimientos_2026[[#This Row],[Codigo]],Plan_cuentas[],5,FALSE)," ")</f>
        <v>SANTA FE 2° Q</v>
      </c>
      <c r="I2621" s="43">
        <v>46204</v>
      </c>
      <c r="J2621" t="s">
        <v>1117</v>
      </c>
      <c r="K2621" t="str">
        <f>IFERROR(+VLOOKUP(Movimientos_2026[[#This Row],[Codigo]],Plan_cuentas[],6,FALSE)," ")</f>
        <v>1 - VW - Volkswagen</v>
      </c>
      <c r="L2621" s="50"/>
      <c r="M2621" s="50">
        <v>37935936.25</v>
      </c>
      <c r="N2621" s="20">
        <f>+Movimientos_2026[[#This Row],[Ingresos]]-Movimientos_2026[[#This Row],[Egresos]]</f>
        <v>-37935936.25</v>
      </c>
      <c r="O2621" s="20">
        <f>+O2620+Movimientos_2026[[#This Row],[Neto]]</f>
        <v>7574245662.343154</v>
      </c>
    </row>
    <row r="2622" spans="1:15" x14ac:dyDescent="0.25">
      <c r="A2622" s="13">
        <v>46244</v>
      </c>
      <c r="B2622" s="12">
        <f>MONTH(Movimientos_2026[[#This Row],[Fecha]])</f>
        <v>8</v>
      </c>
      <c r="C2622" s="12" t="str">
        <f>VLOOKUP((WEEKDAY(Movimientos_2026[[#This Row],[Fecha]],2)),'5. Setup'!$D$6:$E$12,2,FALSE)</f>
        <v>Lun</v>
      </c>
      <c r="D2622">
        <v>2014271</v>
      </c>
      <c r="E2622" t="str">
        <f>IFERROR(+VLOOKUP(Movimientos_2026[[#This Row],[Codigo]],Plan_cuentas[],2,FALSE)," ")</f>
        <v>EGRESOS</v>
      </c>
      <c r="F2622" t="str">
        <f>IFERROR(+VLOOKUP(Movimientos_2026[[#This Row],[Codigo]],Plan_cuentas[],3,FALSE)," ")</f>
        <v>BtoB</v>
      </c>
      <c r="G2622" t="str">
        <f>IFERROR(+VLOOKUP(Movimientos_2026[[#This Row],[Codigo]],Plan_cuentas[],4,FALSE)," ")</f>
        <v>Rentas</v>
      </c>
      <c r="H2622" t="str">
        <f>IFERROR(+VLOOKUP(Movimientos_2026[[#This Row],[Codigo]],Plan_cuentas[],5,FALSE)," ")</f>
        <v>LA RIOJA</v>
      </c>
      <c r="I2622" s="43">
        <v>46204</v>
      </c>
      <c r="J2622" t="s">
        <v>1118</v>
      </c>
      <c r="K2622" t="str">
        <f>IFERROR(+VLOOKUP(Movimientos_2026[[#This Row],[Codigo]],Plan_cuentas[],6,FALSE)," ")</f>
        <v>1 - VW - Volkswagen</v>
      </c>
      <c r="L2622" s="50"/>
      <c r="M2622" s="50">
        <v>30184686.16</v>
      </c>
      <c r="N2622" s="20">
        <f>+Movimientos_2026[[#This Row],[Ingresos]]-Movimientos_2026[[#This Row],[Egresos]]</f>
        <v>-30184686.16</v>
      </c>
      <c r="O2622" s="20">
        <f>+O2621+Movimientos_2026[[#This Row],[Neto]]</f>
        <v>7544060976.1831541</v>
      </c>
    </row>
    <row r="2623" spans="1:15" x14ac:dyDescent="0.25">
      <c r="A2623" s="13">
        <v>46244</v>
      </c>
      <c r="B2623" s="12">
        <f>MONTH(Movimientos_2026[[#This Row],[Fecha]])</f>
        <v>8</v>
      </c>
      <c r="C2623" s="12" t="str">
        <f>VLOOKUP((WEEKDAY(Movimientos_2026[[#This Row],[Fecha]],2)),'5. Setup'!$D$6:$E$12,2,FALSE)</f>
        <v>Lun</v>
      </c>
      <c r="D2623">
        <v>2014211</v>
      </c>
      <c r="E2623" t="str">
        <f>IFERROR(+VLOOKUP(Movimientos_2026[[#This Row],[Codigo]],Plan_cuentas[],2,FALSE)," ")</f>
        <v>EGRESOS</v>
      </c>
      <c r="F2623" t="str">
        <f>IFERROR(+VLOOKUP(Movimientos_2026[[#This Row],[Codigo]],Plan_cuentas[],3,FALSE)," ")</f>
        <v>BtoB</v>
      </c>
      <c r="G2623" t="str">
        <f>IFERROR(+VLOOKUP(Movimientos_2026[[#This Row],[Codigo]],Plan_cuentas[],4,FALSE)," ")</f>
        <v>Rentas</v>
      </c>
      <c r="H2623" t="str">
        <f>IFERROR(+VLOOKUP(Movimientos_2026[[#This Row],[Codigo]],Plan_cuentas[],5,FALSE)," ")</f>
        <v>CORRIENTES 2° Q</v>
      </c>
      <c r="I2623" s="43">
        <v>46204</v>
      </c>
      <c r="J2623" t="s">
        <v>1119</v>
      </c>
      <c r="K2623" t="str">
        <f>IFERROR(+VLOOKUP(Movimientos_2026[[#This Row],[Codigo]],Plan_cuentas[],6,FALSE)," ")</f>
        <v>1 - VW - Volkswagen</v>
      </c>
      <c r="L2623" s="50"/>
      <c r="M2623" s="50">
        <v>14854875.5</v>
      </c>
      <c r="N2623" s="20">
        <f>+Movimientos_2026[[#This Row],[Ingresos]]-Movimientos_2026[[#This Row],[Egresos]]</f>
        <v>-14854875.5</v>
      </c>
      <c r="O2623" s="20">
        <f>+O2622+Movimientos_2026[[#This Row],[Neto]]</f>
        <v>7529206100.6831541</v>
      </c>
    </row>
    <row r="2624" spans="1:15" x14ac:dyDescent="0.25">
      <c r="A2624" s="13">
        <v>46244</v>
      </c>
      <c r="B2624" s="12">
        <f>MONTH(Movimientos_2026[[#This Row],[Fecha]])</f>
        <v>8</v>
      </c>
      <c r="C2624" s="12" t="str">
        <f>VLOOKUP((WEEKDAY(Movimientos_2026[[#This Row],[Fecha]],2)),'5. Setup'!$D$6:$E$12,2,FALSE)</f>
        <v>Lun</v>
      </c>
      <c r="D2624">
        <v>2054196</v>
      </c>
      <c r="E2624" t="str">
        <f>IFERROR(+VLOOKUP(Movimientos_2026[[#This Row],[Codigo]],Plan_cuentas[],2,FALSE)," ")</f>
        <v>EGRESOS</v>
      </c>
      <c r="F2624" t="str">
        <f>IFERROR(+VLOOKUP(Movimientos_2026[[#This Row],[Codigo]],Plan_cuentas[],3,FALSE)," ")</f>
        <v>VEP</v>
      </c>
      <c r="G2624" t="str">
        <f>IFERROR(+VLOOKUP(Movimientos_2026[[#This Row],[Codigo]],Plan_cuentas[],4,FALSE)," ")</f>
        <v>Rentas</v>
      </c>
      <c r="H2624" t="str">
        <f>IFERROR(+VLOOKUP(Movimientos_2026[[#This Row],[Codigo]],Plan_cuentas[],5,FALSE)," ")</f>
        <v>CORDOBA 2° Q</v>
      </c>
      <c r="I2624" s="43">
        <v>46204</v>
      </c>
      <c r="J2624" t="s">
        <v>1120</v>
      </c>
      <c r="K2624" t="str">
        <f>IFERROR(+VLOOKUP(Movimientos_2026[[#This Row],[Codigo]],Plan_cuentas[],6,FALSE)," ")</f>
        <v>6 - FCAtr - Fiat Transf.</v>
      </c>
      <c r="L2624" s="50"/>
      <c r="M2624" s="50">
        <v>11824665.380000001</v>
      </c>
      <c r="N2624" s="20">
        <f>+Movimientos_2026[[#This Row],[Ingresos]]-Movimientos_2026[[#This Row],[Egresos]]</f>
        <v>-11824665.380000001</v>
      </c>
      <c r="O2624" s="20">
        <f>+O2623+Movimientos_2026[[#This Row],[Neto]]</f>
        <v>7517381435.303154</v>
      </c>
    </row>
    <row r="2625" spans="1:15" x14ac:dyDescent="0.25">
      <c r="A2625" s="13">
        <v>46244</v>
      </c>
      <c r="B2625" s="12">
        <f>MONTH(Movimientos_2026[[#This Row],[Fecha]])</f>
        <v>8</v>
      </c>
      <c r="C2625" s="12" t="str">
        <f>VLOOKUP((WEEKDAY(Movimientos_2026[[#This Row],[Fecha]],2)),'5. Setup'!$D$6:$E$12,2,FALSE)</f>
        <v>Lun</v>
      </c>
      <c r="D2625">
        <v>1044312</v>
      </c>
      <c r="E2625" t="str">
        <f>IFERROR(+VLOOKUP(Movimientos_2026[[#This Row],[Codigo]],Plan_cuentas[],2,FALSE)," ")</f>
        <v>INGRESOS</v>
      </c>
      <c r="F2625" t="str">
        <f>IFERROR(+VLOOKUP(Movimientos_2026[[#This Row],[Codigo]],Plan_cuentas[],3,FALSE)," ")</f>
        <v>Transferencia</v>
      </c>
      <c r="G2625" t="str">
        <f>IFERROR(+VLOOKUP(Movimientos_2026[[#This Row],[Codigo]],Plan_cuentas[],4,FALSE)," ")</f>
        <v>Rentas</v>
      </c>
      <c r="H2625" t="str">
        <f>IFERROR(+VLOOKUP(Movimientos_2026[[#This Row],[Codigo]],Plan_cuentas[],5,FALSE)," ")</f>
        <v>NEUQUEN 1° Q</v>
      </c>
      <c r="I2625" s="43">
        <v>46204</v>
      </c>
      <c r="J2625" t="s">
        <v>1121</v>
      </c>
      <c r="K2625" t="str">
        <f>IFERROR(+VLOOKUP(Movimientos_2026[[#This Row],[Codigo]],Plan_cuentas[],6,FALSE)," ")</f>
        <v>2 - PR - Plan Rombo</v>
      </c>
      <c r="L2625" s="50">
        <v>764900</v>
      </c>
      <c r="M2625" s="50"/>
      <c r="N2625" s="20">
        <f>+Movimientos_2026[[#This Row],[Ingresos]]-Movimientos_2026[[#This Row],[Egresos]]</f>
        <v>764900</v>
      </c>
      <c r="O2625" s="20">
        <f>+O2624+Movimientos_2026[[#This Row],[Neto]]</f>
        <v>7518146335.303154</v>
      </c>
    </row>
    <row r="2626" spans="1:15" x14ac:dyDescent="0.25">
      <c r="A2626" s="13">
        <v>46244</v>
      </c>
      <c r="B2626" s="12">
        <f>MONTH(Movimientos_2026[[#This Row],[Fecha]])</f>
        <v>8</v>
      </c>
      <c r="C2626" s="12" t="str">
        <f>VLOOKUP((WEEKDAY(Movimientos_2026[[#This Row],[Fecha]],2)),'5. Setup'!$D$6:$E$12,2,FALSE)</f>
        <v>Lun</v>
      </c>
      <c r="D2626">
        <v>1044202</v>
      </c>
      <c r="E2626" t="str">
        <f>IFERROR(+VLOOKUP(Movimientos_2026[[#This Row],[Codigo]],Plan_cuentas[],2,FALSE)," ")</f>
        <v>INGRESOS</v>
      </c>
      <c r="F2626" t="str">
        <f>IFERROR(+VLOOKUP(Movimientos_2026[[#This Row],[Codigo]],Plan_cuentas[],3,FALSE)," ")</f>
        <v>Transferencia</v>
      </c>
      <c r="G2626" t="str">
        <f>IFERROR(+VLOOKUP(Movimientos_2026[[#This Row],[Codigo]],Plan_cuentas[],4,FALSE)," ")</f>
        <v>Rentas</v>
      </c>
      <c r="H2626" t="str">
        <f>IFERROR(+VLOOKUP(Movimientos_2026[[#This Row],[Codigo]],Plan_cuentas[],5,FALSE)," ")</f>
        <v>CORRIENTES 1° Q</v>
      </c>
      <c r="I2626" s="43">
        <v>46204</v>
      </c>
      <c r="J2626" t="s">
        <v>1121</v>
      </c>
      <c r="K2626" t="str">
        <f>IFERROR(+VLOOKUP(Movimientos_2026[[#This Row],[Codigo]],Plan_cuentas[],6,FALSE)," ")</f>
        <v>2 - PR - Plan Rombo</v>
      </c>
      <c r="L2626" s="50">
        <v>512618.89</v>
      </c>
      <c r="M2626" s="50"/>
      <c r="N2626" s="20">
        <f>+Movimientos_2026[[#This Row],[Ingresos]]-Movimientos_2026[[#This Row],[Egresos]]</f>
        <v>512618.89</v>
      </c>
      <c r="O2626" s="20">
        <f>+O2625+Movimientos_2026[[#This Row],[Neto]]</f>
        <v>7518658954.1931543</v>
      </c>
    </row>
    <row r="2627" spans="1:15" x14ac:dyDescent="0.25">
      <c r="A2627" s="13">
        <v>46244</v>
      </c>
      <c r="B2627" s="12">
        <f>MONTH(Movimientos_2026[[#This Row],[Fecha]])</f>
        <v>8</v>
      </c>
      <c r="C2627" s="12" t="str">
        <f>VLOOKUP((WEEKDAY(Movimientos_2026[[#This Row],[Fecha]],2)),'5. Setup'!$D$6:$E$12,2,FALSE)</f>
        <v>Lun</v>
      </c>
      <c r="D2627">
        <v>1044462</v>
      </c>
      <c r="E2627" t="str">
        <f>IFERROR(+VLOOKUP(Movimientos_2026[[#This Row],[Codigo]],Plan_cuentas[],2,FALSE)," ")</f>
        <v>INGRESOS</v>
      </c>
      <c r="F2627" t="str">
        <f>IFERROR(+VLOOKUP(Movimientos_2026[[#This Row],[Codigo]],Plan_cuentas[],3,FALSE)," ")</f>
        <v>Transferencia</v>
      </c>
      <c r="G2627" t="str">
        <f>IFERROR(+VLOOKUP(Movimientos_2026[[#This Row],[Codigo]],Plan_cuentas[],4,FALSE)," ")</f>
        <v>Rentas</v>
      </c>
      <c r="H2627" t="str">
        <f>IFERROR(+VLOOKUP(Movimientos_2026[[#This Row],[Codigo]],Plan_cuentas[],5,FALSE)," ")</f>
        <v>MISIONES</v>
      </c>
      <c r="I2627" s="43">
        <v>46204</v>
      </c>
      <c r="J2627" t="s">
        <v>1121</v>
      </c>
      <c r="K2627" t="str">
        <f>IFERROR(+VLOOKUP(Movimientos_2026[[#This Row],[Codigo]],Plan_cuentas[],6,FALSE)," ")</f>
        <v>2 - PR - Plan Rombo</v>
      </c>
      <c r="L2627" s="50">
        <v>163904.97</v>
      </c>
      <c r="M2627" s="50"/>
      <c r="N2627" s="20">
        <f>+Movimientos_2026[[#This Row],[Ingresos]]-Movimientos_2026[[#This Row],[Egresos]]</f>
        <v>163904.97</v>
      </c>
      <c r="O2627" s="20">
        <f>+O2626+Movimientos_2026[[#This Row],[Neto]]</f>
        <v>7518822859.1631546</v>
      </c>
    </row>
    <row r="2628" spans="1:15" x14ac:dyDescent="0.25">
      <c r="A2628" s="13">
        <v>46245</v>
      </c>
      <c r="B2628" s="12">
        <f>MONTH(Movimientos_2026[[#This Row],[Fecha]])</f>
        <v>8</v>
      </c>
      <c r="C2628" s="12" t="str">
        <f>VLOOKUP((WEEKDAY(Movimientos_2026[[#This Row],[Fecha]],2)),'5. Setup'!$D$6:$E$12,2,FALSE)</f>
        <v>Mar</v>
      </c>
      <c r="D2628">
        <v>2054281</v>
      </c>
      <c r="E2628" t="str">
        <f>IFERROR(+VLOOKUP(Movimientos_2026[[#This Row],[Codigo]],Plan_cuentas[],2,FALSE)," ")</f>
        <v>EGRESOS</v>
      </c>
      <c r="F2628" t="str">
        <f>IFERROR(+VLOOKUP(Movimientos_2026[[#This Row],[Codigo]],Plan_cuentas[],3,FALSE)," ")</f>
        <v>VEP</v>
      </c>
      <c r="G2628" t="str">
        <f>IFERROR(+VLOOKUP(Movimientos_2026[[#This Row],[Codigo]],Plan_cuentas[],4,FALSE)," ")</f>
        <v>Rentas</v>
      </c>
      <c r="H2628" t="str">
        <f>IFERROR(+VLOOKUP(Movimientos_2026[[#This Row],[Codigo]],Plan_cuentas[],5,FALSE)," ")</f>
        <v>MENDOZA</v>
      </c>
      <c r="I2628" s="43">
        <v>46204</v>
      </c>
      <c r="J2628" t="s">
        <v>1122</v>
      </c>
      <c r="K2628" t="str">
        <f>IFERROR(+VLOOKUP(Movimientos_2026[[#This Row],[Codigo]],Plan_cuentas[],6,FALSE)," ")</f>
        <v>1 - VW - Volkswagen</v>
      </c>
      <c r="L2628" s="50"/>
      <c r="M2628" s="50">
        <v>58074905.869999997</v>
      </c>
      <c r="N2628" s="20">
        <f>+Movimientos_2026[[#This Row],[Ingresos]]-Movimientos_2026[[#This Row],[Egresos]]</f>
        <v>-58074905.869999997</v>
      </c>
      <c r="O2628" s="20">
        <f>+O2627+Movimientos_2026[[#This Row],[Neto]]</f>
        <v>7460747953.2931547</v>
      </c>
    </row>
    <row r="2629" spans="1:15" x14ac:dyDescent="0.25">
      <c r="A2629" s="13">
        <v>46245</v>
      </c>
      <c r="B2629" s="12">
        <f>MONTH(Movimientos_2026[[#This Row],[Fecha]])</f>
        <v>8</v>
      </c>
      <c r="C2629" s="12" t="str">
        <f>VLOOKUP((WEEKDAY(Movimientos_2026[[#This Row],[Fecha]],2)),'5. Setup'!$D$6:$E$12,2,FALSE)</f>
        <v>Mar</v>
      </c>
      <c r="D2629">
        <v>2054282</v>
      </c>
      <c r="E2629" t="str">
        <f>IFERROR(+VLOOKUP(Movimientos_2026[[#This Row],[Codigo]],Plan_cuentas[],2,FALSE)," ")</f>
        <v>EGRESOS</v>
      </c>
      <c r="F2629" t="str">
        <f>IFERROR(+VLOOKUP(Movimientos_2026[[#This Row],[Codigo]],Plan_cuentas[],3,FALSE)," ")</f>
        <v>VEP</v>
      </c>
      <c r="G2629" t="str">
        <f>IFERROR(+VLOOKUP(Movimientos_2026[[#This Row],[Codigo]],Plan_cuentas[],4,FALSE)," ")</f>
        <v>Rentas</v>
      </c>
      <c r="H2629" t="str">
        <f>IFERROR(+VLOOKUP(Movimientos_2026[[#This Row],[Codigo]],Plan_cuentas[],5,FALSE)," ")</f>
        <v>MENDOZA</v>
      </c>
      <c r="I2629" s="43">
        <v>46204</v>
      </c>
      <c r="J2629" t="s">
        <v>1123</v>
      </c>
      <c r="K2629" t="str">
        <f>IFERROR(+VLOOKUP(Movimientos_2026[[#This Row],[Codigo]],Plan_cuentas[],6,FALSE)," ")</f>
        <v>2 - PR - Plan Rombo</v>
      </c>
      <c r="L2629" s="50"/>
      <c r="M2629" s="50">
        <v>34627600</v>
      </c>
      <c r="N2629" s="20">
        <f>+Movimientos_2026[[#This Row],[Ingresos]]-Movimientos_2026[[#This Row],[Egresos]]</f>
        <v>-34627600</v>
      </c>
      <c r="O2629" s="20">
        <f>+O2628+Movimientos_2026[[#This Row],[Neto]]</f>
        <v>7426120353.2931547</v>
      </c>
    </row>
    <row r="2630" spans="1:15" x14ac:dyDescent="0.25">
      <c r="A2630" s="13">
        <v>46245</v>
      </c>
      <c r="B2630" s="12">
        <f>MONTH(Movimientos_2026[[#This Row],[Fecha]])</f>
        <v>8</v>
      </c>
      <c r="C2630" s="12" t="str">
        <f>VLOOKUP((WEEKDAY(Movimientos_2026[[#This Row],[Fecha]],2)),'5. Setup'!$D$6:$E$12,2,FALSE)</f>
        <v>Mar</v>
      </c>
      <c r="D2630">
        <v>2054284</v>
      </c>
      <c r="E2630" t="str">
        <f>IFERROR(+VLOOKUP(Movimientos_2026[[#This Row],[Codigo]],Plan_cuentas[],2,FALSE)," ")</f>
        <v>EGRESOS</v>
      </c>
      <c r="F2630" t="str">
        <f>IFERROR(+VLOOKUP(Movimientos_2026[[#This Row],[Codigo]],Plan_cuentas[],3,FALSE)," ")</f>
        <v>VEP</v>
      </c>
      <c r="G2630" t="str">
        <f>IFERROR(+VLOOKUP(Movimientos_2026[[#This Row],[Codigo]],Plan_cuentas[],4,FALSE)," ")</f>
        <v>Rentas</v>
      </c>
      <c r="H2630" t="str">
        <f>IFERROR(+VLOOKUP(Movimientos_2026[[#This Row],[Codigo]],Plan_cuentas[],5,FALSE)," ")</f>
        <v>MENDOZA</v>
      </c>
      <c r="I2630" s="43">
        <v>46204</v>
      </c>
      <c r="J2630" t="s">
        <v>1124</v>
      </c>
      <c r="K2630" t="str">
        <f>IFERROR(+VLOOKUP(Movimientos_2026[[#This Row],[Codigo]],Plan_cuentas[],6,FALSE)," ")</f>
        <v>4 - FCA - Fiat</v>
      </c>
      <c r="L2630" s="50"/>
      <c r="M2630" s="50">
        <v>116542009</v>
      </c>
      <c r="N2630" s="20">
        <f>+Movimientos_2026[[#This Row],[Ingresos]]-Movimientos_2026[[#This Row],[Egresos]]</f>
        <v>-116542009</v>
      </c>
      <c r="O2630" s="20">
        <f>+O2629+Movimientos_2026[[#This Row],[Neto]]</f>
        <v>7309578344.2931547</v>
      </c>
    </row>
    <row r="2631" spans="1:15" x14ac:dyDescent="0.25">
      <c r="A2631" s="13">
        <v>46245</v>
      </c>
      <c r="B2631" s="12">
        <f>MONTH(Movimientos_2026[[#This Row],[Fecha]])</f>
        <v>8</v>
      </c>
      <c r="C2631" s="12" t="str">
        <f>VLOOKUP((WEEKDAY(Movimientos_2026[[#This Row],[Fecha]],2)),'5. Setup'!$D$6:$E$12,2,FALSE)</f>
        <v>Mar</v>
      </c>
      <c r="D2631">
        <v>2054286</v>
      </c>
      <c r="E2631" t="str">
        <f>IFERROR(+VLOOKUP(Movimientos_2026[[#This Row],[Codigo]],Plan_cuentas[],2,FALSE)," ")</f>
        <v>EGRESOS</v>
      </c>
      <c r="F2631" t="str">
        <f>IFERROR(+VLOOKUP(Movimientos_2026[[#This Row],[Codigo]],Plan_cuentas[],3,FALSE)," ")</f>
        <v>VEP</v>
      </c>
      <c r="G2631" t="str">
        <f>IFERROR(+VLOOKUP(Movimientos_2026[[#This Row],[Codigo]],Plan_cuentas[],4,FALSE)," ")</f>
        <v>Rentas</v>
      </c>
      <c r="H2631" t="str">
        <f>IFERROR(+VLOOKUP(Movimientos_2026[[#This Row],[Codigo]],Plan_cuentas[],5,FALSE)," ")</f>
        <v>MENDOZA</v>
      </c>
      <c r="I2631" s="43">
        <v>46204</v>
      </c>
      <c r="J2631" t="s">
        <v>1124</v>
      </c>
      <c r="K2631" t="str">
        <f>IFERROR(+VLOOKUP(Movimientos_2026[[#This Row],[Codigo]],Plan_cuentas[],6,FALSE)," ")</f>
        <v>6 - FCAtr - Fiat Transf.</v>
      </c>
      <c r="L2631" s="50"/>
      <c r="M2631" s="50">
        <v>4054362.76</v>
      </c>
      <c r="N2631" s="20">
        <f>+Movimientos_2026[[#This Row],[Ingresos]]-Movimientos_2026[[#This Row],[Egresos]]</f>
        <v>-4054362.76</v>
      </c>
      <c r="O2631" s="20">
        <f>+O2630+Movimientos_2026[[#This Row],[Neto]]</f>
        <v>7305523981.5331545</v>
      </c>
    </row>
    <row r="2632" spans="1:15" x14ac:dyDescent="0.25">
      <c r="A2632" s="13">
        <v>46245</v>
      </c>
      <c r="B2632" s="12">
        <f>MONTH(Movimientos_2026[[#This Row],[Fecha]])</f>
        <v>8</v>
      </c>
      <c r="C2632" s="12" t="str">
        <f>VLOOKUP((WEEKDAY(Movimientos_2026[[#This Row],[Fecha]],2)),'5. Setup'!$D$6:$E$12,2,FALSE)</f>
        <v>Mar</v>
      </c>
      <c r="D2632">
        <v>2054285</v>
      </c>
      <c r="E2632" t="str">
        <f>IFERROR(+VLOOKUP(Movimientos_2026[[#This Row],[Codigo]],Plan_cuentas[],2,FALSE)," ")</f>
        <v>EGRESOS</v>
      </c>
      <c r="F2632" t="str">
        <f>IFERROR(+VLOOKUP(Movimientos_2026[[#This Row],[Codigo]],Plan_cuentas[],3,FALSE)," ")</f>
        <v>VEP</v>
      </c>
      <c r="G2632" t="str">
        <f>IFERROR(+VLOOKUP(Movimientos_2026[[#This Row],[Codigo]],Plan_cuentas[],4,FALSE)," ")</f>
        <v>Rentas</v>
      </c>
      <c r="H2632" t="str">
        <f>IFERROR(+VLOOKUP(Movimientos_2026[[#This Row],[Codigo]],Plan_cuentas[],5,FALSE)," ")</f>
        <v>MENDOZA</v>
      </c>
      <c r="I2632" s="43">
        <v>46204</v>
      </c>
      <c r="J2632" t="s">
        <v>1125</v>
      </c>
      <c r="K2632" t="str">
        <f>IFERROR(+VLOOKUP(Movimientos_2026[[#This Row],[Codigo]],Plan_cuentas[],6,FALSE)," ")</f>
        <v>5 - YAM - Yamaha</v>
      </c>
      <c r="L2632" s="50"/>
      <c r="M2632" s="50">
        <v>946530</v>
      </c>
      <c r="N2632" s="20">
        <f>+Movimientos_2026[[#This Row],[Ingresos]]-Movimientos_2026[[#This Row],[Egresos]]</f>
        <v>-946530</v>
      </c>
      <c r="O2632" s="20">
        <f>+O2631+Movimientos_2026[[#This Row],[Neto]]</f>
        <v>7304577451.5331545</v>
      </c>
    </row>
    <row r="2633" spans="1:15" x14ac:dyDescent="0.25">
      <c r="A2633" s="13">
        <v>46246</v>
      </c>
      <c r="B2633" s="12">
        <f>MONTH(Movimientos_2026[[#This Row],[Fecha]])</f>
        <v>8</v>
      </c>
      <c r="C2633" s="12" t="str">
        <f>VLOOKUP((WEEKDAY(Movimientos_2026[[#This Row],[Fecha]],2)),'5. Setup'!$D$6:$E$12,2,FALSE)</f>
        <v>Mie</v>
      </c>
      <c r="D2633">
        <v>2014162</v>
      </c>
      <c r="E2633" t="str">
        <f>IFERROR(+VLOOKUP(Movimientos_2026[[#This Row],[Codigo]],Plan_cuentas[],2,FALSE)," ")</f>
        <v>EGRESOS</v>
      </c>
      <c r="F2633" t="str">
        <f>IFERROR(+VLOOKUP(Movimientos_2026[[#This Row],[Codigo]],Plan_cuentas[],3,FALSE)," ")</f>
        <v>BtoB</v>
      </c>
      <c r="G2633" t="str">
        <f>IFERROR(+VLOOKUP(Movimientos_2026[[#This Row],[Codigo]],Plan_cuentas[],4,FALSE)," ")</f>
        <v>Rentas</v>
      </c>
      <c r="H2633" t="str">
        <f>IFERROR(+VLOOKUP(Movimientos_2026[[#This Row],[Codigo]],Plan_cuentas[],5,FALSE)," ")</f>
        <v>CHACO</v>
      </c>
      <c r="I2633" s="43">
        <v>46204</v>
      </c>
      <c r="J2633" t="s">
        <v>1126</v>
      </c>
      <c r="K2633" t="str">
        <f>IFERROR(+VLOOKUP(Movimientos_2026[[#This Row],[Codigo]],Plan_cuentas[],6,FALSE)," ")</f>
        <v>2 - PR - Plan Rombo</v>
      </c>
      <c r="L2633" s="50"/>
      <c r="M2633" s="50">
        <v>1305150.52</v>
      </c>
      <c r="N2633" s="20">
        <f>+Movimientos_2026[[#This Row],[Ingresos]]-Movimientos_2026[[#This Row],[Egresos]]</f>
        <v>-1305150.52</v>
      </c>
      <c r="O2633" s="20">
        <f>+O2632+Movimientos_2026[[#This Row],[Neto]]</f>
        <v>7303272301.013154</v>
      </c>
    </row>
    <row r="2634" spans="1:15" x14ac:dyDescent="0.25">
      <c r="A2634" s="13">
        <v>46246</v>
      </c>
      <c r="B2634" s="12">
        <f>MONTH(Movimientos_2026[[#This Row],[Fecha]])</f>
        <v>8</v>
      </c>
      <c r="C2634" s="12" t="str">
        <f>VLOOKUP((WEEKDAY(Movimientos_2026[[#This Row],[Fecha]],2)),'5. Setup'!$D$6:$E$12,2,FALSE)</f>
        <v>Mie</v>
      </c>
      <c r="D2634">
        <v>2014167</v>
      </c>
      <c r="E2634" t="str">
        <f>IFERROR(+VLOOKUP(Movimientos_2026[[#This Row],[Codigo]],Plan_cuentas[],2,FALSE)," ")</f>
        <v>EGRESOS</v>
      </c>
      <c r="F2634" t="str">
        <f>IFERROR(+VLOOKUP(Movimientos_2026[[#This Row],[Codigo]],Plan_cuentas[],3,FALSE)," ")</f>
        <v>BtoB</v>
      </c>
      <c r="G2634" t="str">
        <f>IFERROR(+VLOOKUP(Movimientos_2026[[#This Row],[Codigo]],Plan_cuentas[],4,FALSE)," ")</f>
        <v>Rentas</v>
      </c>
      <c r="H2634" t="str">
        <f>IFERROR(+VLOOKUP(Movimientos_2026[[#This Row],[Codigo]],Plan_cuentas[],5,FALSE)," ")</f>
        <v>CHACO</v>
      </c>
      <c r="I2634" s="43">
        <v>46204</v>
      </c>
      <c r="J2634" t="s">
        <v>1126</v>
      </c>
      <c r="K2634" t="str">
        <f>IFERROR(+VLOOKUP(Movimientos_2026[[#This Row],[Codigo]],Plan_cuentas[],6,FALSE)," ")</f>
        <v>7 - PRtr - Plan Rombo Transf.</v>
      </c>
      <c r="L2634" s="50"/>
      <c r="M2634" s="50">
        <v>1404337.99</v>
      </c>
      <c r="N2634" s="20">
        <f>+Movimientos_2026[[#This Row],[Ingresos]]-Movimientos_2026[[#This Row],[Egresos]]</f>
        <v>-1404337.99</v>
      </c>
      <c r="O2634" s="20">
        <f>+O2633+Movimientos_2026[[#This Row],[Neto]]</f>
        <v>7301867963.0231543</v>
      </c>
    </row>
    <row r="2635" spans="1:15" x14ac:dyDescent="0.25">
      <c r="A2635" s="13">
        <v>46246</v>
      </c>
      <c r="B2635" s="12">
        <f>MONTH(Movimientos_2026[[#This Row],[Fecha]])</f>
        <v>8</v>
      </c>
      <c r="C2635" s="12" t="str">
        <f>VLOOKUP((WEEKDAY(Movimientos_2026[[#This Row],[Fecha]],2)),'5. Setup'!$D$6:$E$12,2,FALSE)</f>
        <v>Mie</v>
      </c>
      <c r="D2635">
        <v>2014163</v>
      </c>
      <c r="E2635" t="str">
        <f>IFERROR(+VLOOKUP(Movimientos_2026[[#This Row],[Codigo]],Plan_cuentas[],2,FALSE)," ")</f>
        <v>EGRESOS</v>
      </c>
      <c r="F2635" t="str">
        <f>IFERROR(+VLOOKUP(Movimientos_2026[[#This Row],[Codigo]],Plan_cuentas[],3,FALSE)," ")</f>
        <v>BtoB</v>
      </c>
      <c r="G2635" t="str">
        <f>IFERROR(+VLOOKUP(Movimientos_2026[[#This Row],[Codigo]],Plan_cuentas[],4,FALSE)," ")</f>
        <v>Rentas</v>
      </c>
      <c r="H2635" t="str">
        <f>IFERROR(+VLOOKUP(Movimientos_2026[[#This Row],[Codigo]],Plan_cuentas[],5,FALSE)," ")</f>
        <v>CHACO</v>
      </c>
      <c r="I2635" s="43">
        <v>46204</v>
      </c>
      <c r="J2635" t="s">
        <v>1127</v>
      </c>
      <c r="K2635" t="str">
        <f>IFERROR(+VLOOKUP(Movimientos_2026[[#This Row],[Codigo]],Plan_cuentas[],6,FALSE)," ")</f>
        <v>3 - GM - Chevrolet</v>
      </c>
      <c r="L2635" s="50"/>
      <c r="M2635" s="50">
        <v>49800292.539999999</v>
      </c>
      <c r="N2635" s="20">
        <f>+Movimientos_2026[[#This Row],[Ingresos]]-Movimientos_2026[[#This Row],[Egresos]]</f>
        <v>-49800292.539999999</v>
      </c>
      <c r="O2635" s="20">
        <f>+O2634+Movimientos_2026[[#This Row],[Neto]]</f>
        <v>7252067670.4831543</v>
      </c>
    </row>
    <row r="2636" spans="1:15" x14ac:dyDescent="0.25">
      <c r="A2636" s="13">
        <v>46246</v>
      </c>
      <c r="B2636" s="12">
        <f>MONTH(Movimientos_2026[[#This Row],[Fecha]])</f>
        <v>8</v>
      </c>
      <c r="C2636" s="12" t="str">
        <f>VLOOKUP((WEEKDAY(Movimientos_2026[[#This Row],[Fecha]],2)),'5. Setup'!$D$6:$E$12,2,FALSE)</f>
        <v>Mie</v>
      </c>
      <c r="D2636">
        <v>2014165</v>
      </c>
      <c r="E2636" t="str">
        <f>IFERROR(+VLOOKUP(Movimientos_2026[[#This Row],[Codigo]],Plan_cuentas[],2,FALSE)," ")</f>
        <v>EGRESOS</v>
      </c>
      <c r="F2636" t="str">
        <f>IFERROR(+VLOOKUP(Movimientos_2026[[#This Row],[Codigo]],Plan_cuentas[],3,FALSE)," ")</f>
        <v>BtoB</v>
      </c>
      <c r="G2636" t="str">
        <f>IFERROR(+VLOOKUP(Movimientos_2026[[#This Row],[Codigo]],Plan_cuentas[],4,FALSE)," ")</f>
        <v>Rentas</v>
      </c>
      <c r="H2636" t="str">
        <f>IFERROR(+VLOOKUP(Movimientos_2026[[#This Row],[Codigo]],Plan_cuentas[],5,FALSE)," ")</f>
        <v>CHACO</v>
      </c>
      <c r="I2636" s="43">
        <v>46204</v>
      </c>
      <c r="J2636" t="s">
        <v>1128</v>
      </c>
      <c r="K2636" t="str">
        <f>IFERROR(+VLOOKUP(Movimientos_2026[[#This Row],[Codigo]],Plan_cuentas[],6,FALSE)," ")</f>
        <v>5 - YAM - Yamaha</v>
      </c>
      <c r="L2636" s="50"/>
      <c r="M2636" s="50">
        <v>935856.17</v>
      </c>
      <c r="N2636" s="20">
        <f>+Movimientos_2026[[#This Row],[Ingresos]]-Movimientos_2026[[#This Row],[Egresos]]</f>
        <v>-935856.17</v>
      </c>
      <c r="O2636" s="20">
        <f>+O2635+Movimientos_2026[[#This Row],[Neto]]</f>
        <v>7251131814.3131542</v>
      </c>
    </row>
    <row r="2637" spans="1:15" x14ac:dyDescent="0.25">
      <c r="A2637" s="13">
        <v>46246</v>
      </c>
      <c r="B2637" s="12">
        <f>MONTH(Movimientos_2026[[#This Row],[Fecha]])</f>
        <v>8</v>
      </c>
      <c r="C2637" s="12" t="str">
        <f>VLOOKUP((WEEKDAY(Movimientos_2026[[#This Row],[Fecha]],2)),'5. Setup'!$D$6:$E$12,2,FALSE)</f>
        <v>Mie</v>
      </c>
      <c r="D2637">
        <v>2044402</v>
      </c>
      <c r="E2637" t="str">
        <f>IFERROR(+VLOOKUP(Movimientos_2026[[#This Row],[Codigo]],Plan_cuentas[],2,FALSE)," ")</f>
        <v>EGRESOS</v>
      </c>
      <c r="F2637" t="str">
        <f>IFERROR(+VLOOKUP(Movimientos_2026[[#This Row],[Codigo]],Plan_cuentas[],3,FALSE)," ")</f>
        <v>Transferencia</v>
      </c>
      <c r="G2637" t="str">
        <f>IFERROR(+VLOOKUP(Movimientos_2026[[#This Row],[Codigo]],Plan_cuentas[],4,FALSE)," ")</f>
        <v>Rentas</v>
      </c>
      <c r="H2637" t="str">
        <f>IFERROR(+VLOOKUP(Movimientos_2026[[#This Row],[Codigo]],Plan_cuentas[],5,FALSE)," ")</f>
        <v>SANTIAGO DEL ESTERO</v>
      </c>
      <c r="I2637" s="43">
        <v>46204</v>
      </c>
      <c r="J2637" t="s">
        <v>1129</v>
      </c>
      <c r="K2637" t="str">
        <f>IFERROR(+VLOOKUP(Movimientos_2026[[#This Row],[Codigo]],Plan_cuentas[],6,FALSE)," ")</f>
        <v>2 - PR - Plan Rombo</v>
      </c>
      <c r="L2637" s="50"/>
      <c r="M2637" s="50">
        <v>22822300.436299998</v>
      </c>
      <c r="N2637" s="20">
        <f>+Movimientos_2026[[#This Row],[Ingresos]]-Movimientos_2026[[#This Row],[Egresos]]</f>
        <v>-22822300.436299998</v>
      </c>
      <c r="O2637" s="20">
        <f>+O2636+Movimientos_2026[[#This Row],[Neto]]</f>
        <v>7228309513.8768539</v>
      </c>
    </row>
    <row r="2638" spans="1:15" x14ac:dyDescent="0.25">
      <c r="A2638" s="13">
        <v>46246</v>
      </c>
      <c r="B2638" s="12">
        <f>MONTH(Movimientos_2026[[#This Row],[Fecha]])</f>
        <v>8</v>
      </c>
      <c r="C2638" s="12" t="str">
        <f>VLOOKUP((WEEKDAY(Movimientos_2026[[#This Row],[Fecha]],2)),'5. Setup'!$D$6:$E$12,2,FALSE)</f>
        <v>Mie</v>
      </c>
      <c r="D2638">
        <v>2044407</v>
      </c>
      <c r="E2638" t="str">
        <f>IFERROR(+VLOOKUP(Movimientos_2026[[#This Row],[Codigo]],Plan_cuentas[],2,FALSE)," ")</f>
        <v>EGRESOS</v>
      </c>
      <c r="F2638" t="str">
        <f>IFERROR(+VLOOKUP(Movimientos_2026[[#This Row],[Codigo]],Plan_cuentas[],3,FALSE)," ")</f>
        <v>Transferencia</v>
      </c>
      <c r="G2638" t="str">
        <f>IFERROR(+VLOOKUP(Movimientos_2026[[#This Row],[Codigo]],Plan_cuentas[],4,FALSE)," ")</f>
        <v>Rentas</v>
      </c>
      <c r="H2638" t="str">
        <f>IFERROR(+VLOOKUP(Movimientos_2026[[#This Row],[Codigo]],Plan_cuentas[],5,FALSE)," ")</f>
        <v>SANTIAGO DEL ESTERO</v>
      </c>
      <c r="I2638" s="43">
        <v>46204</v>
      </c>
      <c r="J2638" t="s">
        <v>1129</v>
      </c>
      <c r="K2638" t="str">
        <f>IFERROR(+VLOOKUP(Movimientos_2026[[#This Row],[Codigo]],Plan_cuentas[],6,FALSE)," ")</f>
        <v>7 - PRtr - Plan Rombo Transf.</v>
      </c>
      <c r="L2638" s="50"/>
      <c r="M2638" s="50">
        <v>100</v>
      </c>
      <c r="N2638" s="20">
        <f>+Movimientos_2026[[#This Row],[Ingresos]]-Movimientos_2026[[#This Row],[Egresos]]</f>
        <v>-100</v>
      </c>
      <c r="O2638" s="20">
        <f>+O2637+Movimientos_2026[[#This Row],[Neto]]</f>
        <v>7228309413.8768539</v>
      </c>
    </row>
    <row r="2639" spans="1:15" x14ac:dyDescent="0.25">
      <c r="A2639" s="13">
        <v>46246</v>
      </c>
      <c r="B2639" s="12">
        <f>MONTH(Movimientos_2026[[#This Row],[Fecha]])</f>
        <v>8</v>
      </c>
      <c r="C2639" s="12" t="str">
        <f>VLOOKUP((WEEKDAY(Movimientos_2026[[#This Row],[Fecha]],2)),'5. Setup'!$D$6:$E$12,2,FALSE)</f>
        <v>Mie</v>
      </c>
      <c r="D2639">
        <v>2044403</v>
      </c>
      <c r="E2639" t="str">
        <f>IFERROR(+VLOOKUP(Movimientos_2026[[#This Row],[Codigo]],Plan_cuentas[],2,FALSE)," ")</f>
        <v>EGRESOS</v>
      </c>
      <c r="F2639" t="str">
        <f>IFERROR(+VLOOKUP(Movimientos_2026[[#This Row],[Codigo]],Plan_cuentas[],3,FALSE)," ")</f>
        <v>Transferencia</v>
      </c>
      <c r="G2639" t="str">
        <f>IFERROR(+VLOOKUP(Movimientos_2026[[#This Row],[Codigo]],Plan_cuentas[],4,FALSE)," ")</f>
        <v>Rentas</v>
      </c>
      <c r="H2639" t="str">
        <f>IFERROR(+VLOOKUP(Movimientos_2026[[#This Row],[Codigo]],Plan_cuentas[],5,FALSE)," ")</f>
        <v>SANTIAGO DEL ESTERO</v>
      </c>
      <c r="I2639" s="43">
        <v>46204</v>
      </c>
      <c r="J2639" t="s">
        <v>1130</v>
      </c>
      <c r="K2639" t="str">
        <f>IFERROR(+VLOOKUP(Movimientos_2026[[#This Row],[Codigo]],Plan_cuentas[],6,FALSE)," ")</f>
        <v>3 - GM - Chevrolet</v>
      </c>
      <c r="L2639" s="50"/>
      <c r="M2639" s="50">
        <v>16764086.77</v>
      </c>
      <c r="N2639" s="20">
        <f>+Movimientos_2026[[#This Row],[Ingresos]]-Movimientos_2026[[#This Row],[Egresos]]</f>
        <v>-16764086.77</v>
      </c>
      <c r="O2639" s="20">
        <f>+O2638+Movimientos_2026[[#This Row],[Neto]]</f>
        <v>7211545327.1068535</v>
      </c>
    </row>
    <row r="2640" spans="1:15" x14ac:dyDescent="0.25">
      <c r="A2640" s="13">
        <v>46246</v>
      </c>
      <c r="B2640" s="12">
        <f>MONTH(Movimientos_2026[[#This Row],[Fecha]])</f>
        <v>8</v>
      </c>
      <c r="C2640" s="12" t="str">
        <f>VLOOKUP((WEEKDAY(Movimientos_2026[[#This Row],[Fecha]],2)),'5. Setup'!$D$6:$E$12,2,FALSE)</f>
        <v>Mie</v>
      </c>
      <c r="D2640">
        <v>2044404</v>
      </c>
      <c r="E2640" t="str">
        <f>IFERROR(+VLOOKUP(Movimientos_2026[[#This Row],[Codigo]],Plan_cuentas[],2,FALSE)," ")</f>
        <v>EGRESOS</v>
      </c>
      <c r="F2640" t="str">
        <f>IFERROR(+VLOOKUP(Movimientos_2026[[#This Row],[Codigo]],Plan_cuentas[],3,FALSE)," ")</f>
        <v>Transferencia</v>
      </c>
      <c r="G2640" t="str">
        <f>IFERROR(+VLOOKUP(Movimientos_2026[[#This Row],[Codigo]],Plan_cuentas[],4,FALSE)," ")</f>
        <v>Rentas</v>
      </c>
      <c r="H2640" t="str">
        <f>IFERROR(+VLOOKUP(Movimientos_2026[[#This Row],[Codigo]],Plan_cuentas[],5,FALSE)," ")</f>
        <v>SANTIAGO DEL ESTERO</v>
      </c>
      <c r="I2640" s="43">
        <v>46204</v>
      </c>
      <c r="J2640" t="s">
        <v>1131</v>
      </c>
      <c r="K2640" t="str">
        <f>IFERROR(+VLOOKUP(Movimientos_2026[[#This Row],[Codigo]],Plan_cuentas[],6,FALSE)," ")</f>
        <v>4 - FCA - Fiat</v>
      </c>
      <c r="L2640" s="50"/>
      <c r="M2640" s="50">
        <v>36219729.219999999</v>
      </c>
      <c r="N2640" s="20">
        <f>+Movimientos_2026[[#This Row],[Ingresos]]-Movimientos_2026[[#This Row],[Egresos]]</f>
        <v>-36219729.219999999</v>
      </c>
      <c r="O2640" s="20">
        <f>+O2639+Movimientos_2026[[#This Row],[Neto]]</f>
        <v>7175325597.8868532</v>
      </c>
    </row>
    <row r="2641" spans="1:15" x14ac:dyDescent="0.25">
      <c r="A2641" s="13">
        <v>46246</v>
      </c>
      <c r="B2641" s="12">
        <f>MONTH(Movimientos_2026[[#This Row],[Fecha]])</f>
        <v>8</v>
      </c>
      <c r="C2641" s="12" t="str">
        <f>VLOOKUP((WEEKDAY(Movimientos_2026[[#This Row],[Fecha]],2)),'5. Setup'!$D$6:$E$12,2,FALSE)</f>
        <v>Mie</v>
      </c>
      <c r="D2641">
        <v>2044406</v>
      </c>
      <c r="E2641" t="str">
        <f>IFERROR(+VLOOKUP(Movimientos_2026[[#This Row],[Codigo]],Plan_cuentas[],2,FALSE)," ")</f>
        <v>EGRESOS</v>
      </c>
      <c r="F2641" t="str">
        <f>IFERROR(+VLOOKUP(Movimientos_2026[[#This Row],[Codigo]],Plan_cuentas[],3,FALSE)," ")</f>
        <v>Transferencia</v>
      </c>
      <c r="G2641" t="str">
        <f>IFERROR(+VLOOKUP(Movimientos_2026[[#This Row],[Codigo]],Plan_cuentas[],4,FALSE)," ")</f>
        <v>Rentas</v>
      </c>
      <c r="H2641" t="str">
        <f>IFERROR(+VLOOKUP(Movimientos_2026[[#This Row],[Codigo]],Plan_cuentas[],5,FALSE)," ")</f>
        <v>SANTIAGO DEL ESTERO</v>
      </c>
      <c r="I2641" s="43">
        <v>46204</v>
      </c>
      <c r="J2641" t="s">
        <v>1131</v>
      </c>
      <c r="K2641" t="str">
        <f>IFERROR(+VLOOKUP(Movimientos_2026[[#This Row],[Codigo]],Plan_cuentas[],6,FALSE)," ")</f>
        <v>6 - FCAtr - Fiat Transf.</v>
      </c>
      <c r="L2641" s="50"/>
      <c r="M2641" s="50">
        <v>544589.96000000008</v>
      </c>
      <c r="N2641" s="20">
        <f>+Movimientos_2026[[#This Row],[Ingresos]]-Movimientos_2026[[#This Row],[Egresos]]</f>
        <v>-544589.96000000008</v>
      </c>
      <c r="O2641" s="20">
        <f>+O2640+Movimientos_2026[[#This Row],[Neto]]</f>
        <v>7174781007.9268532</v>
      </c>
    </row>
    <row r="2642" spans="1:15" x14ac:dyDescent="0.25">
      <c r="A2642" s="13">
        <v>46246</v>
      </c>
      <c r="B2642" s="12">
        <f>MONTH(Movimientos_2026[[#This Row],[Fecha]])</f>
        <v>8</v>
      </c>
      <c r="C2642" s="12" t="str">
        <f>VLOOKUP((WEEKDAY(Movimientos_2026[[#This Row],[Fecha]],2)),'5. Setup'!$D$6:$E$12,2,FALSE)</f>
        <v>Mie</v>
      </c>
      <c r="D2642">
        <v>2044404</v>
      </c>
      <c r="E2642" t="str">
        <f>IFERROR(+VLOOKUP(Movimientos_2026[[#This Row],[Codigo]],Plan_cuentas[],2,FALSE)," ")</f>
        <v>EGRESOS</v>
      </c>
      <c r="F2642" t="str">
        <f>IFERROR(+VLOOKUP(Movimientos_2026[[#This Row],[Codigo]],Plan_cuentas[],3,FALSE)," ")</f>
        <v>Transferencia</v>
      </c>
      <c r="G2642" t="str">
        <f>IFERROR(+VLOOKUP(Movimientos_2026[[#This Row],[Codigo]],Plan_cuentas[],4,FALSE)," ")</f>
        <v>Rentas</v>
      </c>
      <c r="H2642" t="str">
        <f>IFERROR(+VLOOKUP(Movimientos_2026[[#This Row],[Codigo]],Plan_cuentas[],5,FALSE)," ")</f>
        <v>SANTIAGO DEL ESTERO</v>
      </c>
      <c r="I2642" s="43">
        <v>46204</v>
      </c>
      <c r="J2642" t="s">
        <v>1131</v>
      </c>
      <c r="K2642" t="str">
        <f>IFERROR(+VLOOKUP(Movimientos_2026[[#This Row],[Codigo]],Plan_cuentas[],6,FALSE)," ")</f>
        <v>4 - FCA - Fiat</v>
      </c>
      <c r="L2642" s="50"/>
      <c r="M2642" s="50">
        <v>9846815.8399999999</v>
      </c>
      <c r="N2642" s="20">
        <f>+Movimientos_2026[[#This Row],[Ingresos]]-Movimientos_2026[[#This Row],[Egresos]]</f>
        <v>-9846815.8399999999</v>
      </c>
      <c r="O2642" s="20">
        <f>+O2641+Movimientos_2026[[#This Row],[Neto]]</f>
        <v>7164934192.086853</v>
      </c>
    </row>
    <row r="2643" spans="1:15" x14ac:dyDescent="0.25">
      <c r="A2643" s="13">
        <v>46246</v>
      </c>
      <c r="B2643" s="12">
        <f>MONTH(Movimientos_2026[[#This Row],[Fecha]])</f>
        <v>8</v>
      </c>
      <c r="C2643" s="12" t="str">
        <f>VLOOKUP((WEEKDAY(Movimientos_2026[[#This Row],[Fecha]],2)),'5. Setup'!$D$6:$E$12,2,FALSE)</f>
        <v>Mie</v>
      </c>
      <c r="D2643">
        <v>2014173</v>
      </c>
      <c r="E2643" t="str">
        <f>IFERROR(+VLOOKUP(Movimientos_2026[[#This Row],[Codigo]],Plan_cuentas[],2,FALSE)," ")</f>
        <v>EGRESOS</v>
      </c>
      <c r="F2643" t="str">
        <f>IFERROR(+VLOOKUP(Movimientos_2026[[#This Row],[Codigo]],Plan_cuentas[],3,FALSE)," ")</f>
        <v>BtoB</v>
      </c>
      <c r="G2643" t="str">
        <f>IFERROR(+VLOOKUP(Movimientos_2026[[#This Row],[Codigo]],Plan_cuentas[],4,FALSE)," ")</f>
        <v>Rentas</v>
      </c>
      <c r="H2643" t="str">
        <f>IFERROR(+VLOOKUP(Movimientos_2026[[#This Row],[Codigo]],Plan_cuentas[],5,FALSE)," ")</f>
        <v>CHUBUT</v>
      </c>
      <c r="I2643" s="43">
        <v>46204</v>
      </c>
      <c r="J2643" t="s">
        <v>1132</v>
      </c>
      <c r="K2643" t="str">
        <f>IFERROR(+VLOOKUP(Movimientos_2026[[#This Row],[Codigo]],Plan_cuentas[],6,FALSE)," ")</f>
        <v>3 - GM - Chevrolet</v>
      </c>
      <c r="L2643" s="50"/>
      <c r="M2643" s="50">
        <v>11956228.640000001</v>
      </c>
      <c r="N2643" s="20">
        <f>+Movimientos_2026[[#This Row],[Ingresos]]-Movimientos_2026[[#This Row],[Egresos]]</f>
        <v>-11956228.640000001</v>
      </c>
      <c r="O2643" s="20">
        <f>+O2642+Movimientos_2026[[#This Row],[Neto]]</f>
        <v>7152977963.4468527</v>
      </c>
    </row>
    <row r="2644" spans="1:15" x14ac:dyDescent="0.25">
      <c r="A2644" s="13">
        <v>46247</v>
      </c>
      <c r="B2644" s="12">
        <f>MONTH(Movimientos_2026[[#This Row],[Fecha]])</f>
        <v>8</v>
      </c>
      <c r="C2644" s="12" t="str">
        <f>VLOOKUP((WEEKDAY(Movimientos_2026[[#This Row],[Fecha]],2)),'5. Setup'!$D$6:$E$12,2,FALSE)</f>
        <v>Jue</v>
      </c>
      <c r="D2644">
        <v>2044342</v>
      </c>
      <c r="E2644" t="str">
        <f>IFERROR(+VLOOKUP(Movimientos_2026[[#This Row],[Codigo]],Plan_cuentas[],2,FALSE)," ")</f>
        <v>EGRESOS</v>
      </c>
      <c r="F2644" t="str">
        <f>IFERROR(+VLOOKUP(Movimientos_2026[[#This Row],[Codigo]],Plan_cuentas[],3,FALSE)," ")</f>
        <v>Transferencia</v>
      </c>
      <c r="G2644" t="str">
        <f>IFERROR(+VLOOKUP(Movimientos_2026[[#This Row],[Codigo]],Plan_cuentas[],4,FALSE)," ")</f>
        <v>Rentas</v>
      </c>
      <c r="H2644" t="str">
        <f>IFERROR(+VLOOKUP(Movimientos_2026[[#This Row],[Codigo]],Plan_cuentas[],5,FALSE)," ")</f>
        <v>RIO NEGRO</v>
      </c>
      <c r="I2644" s="43">
        <v>46204</v>
      </c>
      <c r="J2644" t="s">
        <v>1235</v>
      </c>
      <c r="K2644" t="str">
        <f>IFERROR(+VLOOKUP(Movimientos_2026[[#This Row],[Codigo]],Plan_cuentas[],6,FALSE)," ")</f>
        <v>2 - PR - Plan Rombo</v>
      </c>
      <c r="L2644" s="50"/>
      <c r="M2644" s="50">
        <v>16874516.480099998</v>
      </c>
      <c r="N2644" s="20">
        <f>+Movimientos_2026[[#This Row],[Ingresos]]-Movimientos_2026[[#This Row],[Egresos]]</f>
        <v>-16874516.480099998</v>
      </c>
      <c r="O2644" s="20">
        <f>+O2643+Movimientos_2026[[#This Row],[Neto]]</f>
        <v>7136103446.966753</v>
      </c>
    </row>
    <row r="2645" spans="1:15" x14ac:dyDescent="0.25">
      <c r="A2645" s="13">
        <v>46247</v>
      </c>
      <c r="B2645" s="12">
        <f>MONTH(Movimientos_2026[[#This Row],[Fecha]])</f>
        <v>8</v>
      </c>
      <c r="C2645" s="12" t="str">
        <f>VLOOKUP((WEEKDAY(Movimientos_2026[[#This Row],[Fecha]],2)),'5. Setup'!$D$6:$E$12,2,FALSE)</f>
        <v>Jue</v>
      </c>
      <c r="D2645">
        <v>2044343</v>
      </c>
      <c r="E2645" t="str">
        <f>IFERROR(+VLOOKUP(Movimientos_2026[[#This Row],[Codigo]],Plan_cuentas[],2,FALSE)," ")</f>
        <v>EGRESOS</v>
      </c>
      <c r="F2645" t="str">
        <f>IFERROR(+VLOOKUP(Movimientos_2026[[#This Row],[Codigo]],Plan_cuentas[],3,FALSE)," ")</f>
        <v>Transferencia</v>
      </c>
      <c r="G2645" t="str">
        <f>IFERROR(+VLOOKUP(Movimientos_2026[[#This Row],[Codigo]],Plan_cuentas[],4,FALSE)," ")</f>
        <v>Rentas</v>
      </c>
      <c r="H2645" t="str">
        <f>IFERROR(+VLOOKUP(Movimientos_2026[[#This Row],[Codigo]],Plan_cuentas[],5,FALSE)," ")</f>
        <v>RIO NEGRO</v>
      </c>
      <c r="I2645" s="43">
        <v>46204</v>
      </c>
      <c r="J2645" t="s">
        <v>1237</v>
      </c>
      <c r="K2645" t="str">
        <f>IFERROR(+VLOOKUP(Movimientos_2026[[#This Row],[Codigo]],Plan_cuentas[],6,FALSE)," ")</f>
        <v>3 - GM - Chevrolet</v>
      </c>
      <c r="L2645" s="50"/>
      <c r="M2645" s="50">
        <v>12828702.6</v>
      </c>
      <c r="N2645" s="20">
        <f>+Movimientos_2026[[#This Row],[Ingresos]]-Movimientos_2026[[#This Row],[Egresos]]</f>
        <v>-12828702.6</v>
      </c>
      <c r="O2645" s="20">
        <f>+O2644+Movimientos_2026[[#This Row],[Neto]]</f>
        <v>7123274744.3667526</v>
      </c>
    </row>
    <row r="2646" spans="1:15" x14ac:dyDescent="0.25">
      <c r="A2646" s="13">
        <v>46247</v>
      </c>
      <c r="B2646" s="12">
        <f>MONTH(Movimientos_2026[[#This Row],[Fecha]])</f>
        <v>8</v>
      </c>
      <c r="C2646" s="12" t="str">
        <f>VLOOKUP((WEEKDAY(Movimientos_2026[[#This Row],[Fecha]],2)),'5. Setup'!$D$6:$E$12,2,FALSE)</f>
        <v>Jue</v>
      </c>
      <c r="D2646">
        <v>2014161</v>
      </c>
      <c r="E2646" t="str">
        <f>IFERROR(+VLOOKUP(Movimientos_2026[[#This Row],[Codigo]],Plan_cuentas[],2,FALSE)," ")</f>
        <v>EGRESOS</v>
      </c>
      <c r="F2646" t="str">
        <f>IFERROR(+VLOOKUP(Movimientos_2026[[#This Row],[Codigo]],Plan_cuentas[],3,FALSE)," ")</f>
        <v>BtoB</v>
      </c>
      <c r="G2646" t="str">
        <f>IFERROR(+VLOOKUP(Movimientos_2026[[#This Row],[Codigo]],Plan_cuentas[],4,FALSE)," ")</f>
        <v>Rentas</v>
      </c>
      <c r="H2646" t="str">
        <f>IFERROR(+VLOOKUP(Movimientos_2026[[#This Row],[Codigo]],Plan_cuentas[],5,FALSE)," ")</f>
        <v>CHACO</v>
      </c>
      <c r="I2646" s="43">
        <v>46204</v>
      </c>
      <c r="J2646" t="s">
        <v>1240</v>
      </c>
      <c r="K2646" t="str">
        <f>IFERROR(+VLOOKUP(Movimientos_2026[[#This Row],[Codigo]],Plan_cuentas[],6,FALSE)," ")</f>
        <v>1 - VW - Volkswagen</v>
      </c>
      <c r="L2646" s="50"/>
      <c r="M2646" s="50">
        <v>45165367.810000002</v>
      </c>
      <c r="N2646" s="20">
        <f>+Movimientos_2026[[#This Row],[Ingresos]]-Movimientos_2026[[#This Row],[Egresos]]</f>
        <v>-45165367.810000002</v>
      </c>
      <c r="O2646" s="20">
        <f>+O2645+Movimientos_2026[[#This Row],[Neto]]</f>
        <v>7078109376.5567522</v>
      </c>
    </row>
    <row r="2647" spans="1:15" x14ac:dyDescent="0.25">
      <c r="A2647" s="13">
        <v>46247</v>
      </c>
      <c r="B2647" s="12">
        <f>MONTH(Movimientos_2026[[#This Row],[Fecha]])</f>
        <v>8</v>
      </c>
      <c r="C2647" s="12" t="str">
        <f>VLOOKUP((WEEKDAY(Movimientos_2026[[#This Row],[Fecha]],2)),'5. Setup'!$D$6:$E$12,2,FALSE)</f>
        <v>Jue</v>
      </c>
      <c r="D2647">
        <v>2044401</v>
      </c>
      <c r="E2647" t="str">
        <f>IFERROR(+VLOOKUP(Movimientos_2026[[#This Row],[Codigo]],Plan_cuentas[],2,FALSE)," ")</f>
        <v>EGRESOS</v>
      </c>
      <c r="F2647" t="str">
        <f>IFERROR(+VLOOKUP(Movimientos_2026[[#This Row],[Codigo]],Plan_cuentas[],3,FALSE)," ")</f>
        <v>Transferencia</v>
      </c>
      <c r="G2647" t="str">
        <f>IFERROR(+VLOOKUP(Movimientos_2026[[#This Row],[Codigo]],Plan_cuentas[],4,FALSE)," ")</f>
        <v>Rentas</v>
      </c>
      <c r="H2647" t="str">
        <f>IFERROR(+VLOOKUP(Movimientos_2026[[#This Row],[Codigo]],Plan_cuentas[],5,FALSE)," ")</f>
        <v>SANTIAGO DEL ESTERO</v>
      </c>
      <c r="I2647" s="43">
        <v>46204</v>
      </c>
      <c r="J2647" t="s">
        <v>1238</v>
      </c>
      <c r="K2647" t="str">
        <f>IFERROR(+VLOOKUP(Movimientos_2026[[#This Row],[Codigo]],Plan_cuentas[],6,FALSE)," ")</f>
        <v>1 - VW - Volkswagen</v>
      </c>
      <c r="L2647" s="50"/>
      <c r="M2647" s="50">
        <v>56800018.68</v>
      </c>
      <c r="N2647" s="20">
        <f>+Movimientos_2026[[#This Row],[Ingresos]]-Movimientos_2026[[#This Row],[Egresos]]</f>
        <v>-56800018.68</v>
      </c>
      <c r="O2647" s="20">
        <f>+O2646+Movimientos_2026[[#This Row],[Neto]]</f>
        <v>7021309357.8767519</v>
      </c>
    </row>
    <row r="2648" spans="1:15" x14ac:dyDescent="0.25">
      <c r="A2648" s="13">
        <v>46247</v>
      </c>
      <c r="B2648" s="12">
        <f>MONTH(Movimientos_2026[[#This Row],[Fecha]])</f>
        <v>8</v>
      </c>
      <c r="C2648" s="12" t="str">
        <f>VLOOKUP((WEEKDAY(Movimientos_2026[[#This Row],[Fecha]],2)),'5. Setup'!$D$6:$E$12,2,FALSE)</f>
        <v>Jue</v>
      </c>
      <c r="D2648">
        <v>2014361</v>
      </c>
      <c r="E2648" t="str">
        <f>IFERROR(+VLOOKUP(Movimientos_2026[[#This Row],[Codigo]],Plan_cuentas[],2,FALSE)," ")</f>
        <v>EGRESOS</v>
      </c>
      <c r="F2648" t="str">
        <f>IFERROR(+VLOOKUP(Movimientos_2026[[#This Row],[Codigo]],Plan_cuentas[],3,FALSE)," ")</f>
        <v>BtoB</v>
      </c>
      <c r="G2648" t="str">
        <f>IFERROR(+VLOOKUP(Movimientos_2026[[#This Row],[Codigo]],Plan_cuentas[],4,FALSE)," ")</f>
        <v>Rentas</v>
      </c>
      <c r="H2648" t="str">
        <f>IFERROR(+VLOOKUP(Movimientos_2026[[#This Row],[Codigo]],Plan_cuentas[],5,FALSE)," ")</f>
        <v>SAN LUIS</v>
      </c>
      <c r="I2648" s="43">
        <v>46204</v>
      </c>
      <c r="J2648" t="s">
        <v>1239</v>
      </c>
      <c r="K2648" t="str">
        <f>IFERROR(+VLOOKUP(Movimientos_2026[[#This Row],[Codigo]],Plan_cuentas[],6,FALSE)," ")</f>
        <v>1 - VW - Volkswagen</v>
      </c>
      <c r="L2648" s="50"/>
      <c r="M2648" s="50">
        <v>21118842.91</v>
      </c>
      <c r="N2648" s="20">
        <f>+Movimientos_2026[[#This Row],[Ingresos]]-Movimientos_2026[[#This Row],[Egresos]]</f>
        <v>-21118842.91</v>
      </c>
      <c r="O2648" s="20">
        <f>+O2647+Movimientos_2026[[#This Row],[Neto]]</f>
        <v>7000190514.9667521</v>
      </c>
    </row>
    <row r="2649" spans="1:15" x14ac:dyDescent="0.25">
      <c r="A2649" s="13">
        <v>46247</v>
      </c>
      <c r="B2649" s="12">
        <f>MONTH(Movimientos_2026[[#This Row],[Fecha]])</f>
        <v>8</v>
      </c>
      <c r="C2649" s="12" t="str">
        <f>VLOOKUP((WEEKDAY(Movimientos_2026[[#This Row],[Fecha]],2)),'5. Setup'!$D$6:$E$12,2,FALSE)</f>
        <v>Jue</v>
      </c>
      <c r="D2649">
        <v>2014362</v>
      </c>
      <c r="E2649" t="str">
        <f>IFERROR(+VLOOKUP(Movimientos_2026[[#This Row],[Codigo]],Plan_cuentas[],2,FALSE)," ")</f>
        <v>EGRESOS</v>
      </c>
      <c r="F2649" t="str">
        <f>IFERROR(+VLOOKUP(Movimientos_2026[[#This Row],[Codigo]],Plan_cuentas[],3,FALSE)," ")</f>
        <v>BtoB</v>
      </c>
      <c r="G2649" t="str">
        <f>IFERROR(+VLOOKUP(Movimientos_2026[[#This Row],[Codigo]],Plan_cuentas[],4,FALSE)," ")</f>
        <v>Rentas</v>
      </c>
      <c r="H2649" t="str">
        <f>IFERROR(+VLOOKUP(Movimientos_2026[[#This Row],[Codigo]],Plan_cuentas[],5,FALSE)," ")</f>
        <v>SAN LUIS</v>
      </c>
      <c r="I2649" s="43">
        <v>46204</v>
      </c>
      <c r="J2649" t="s">
        <v>1233</v>
      </c>
      <c r="K2649" t="str">
        <f>IFERROR(+VLOOKUP(Movimientos_2026[[#This Row],[Codigo]],Plan_cuentas[],6,FALSE)," ")</f>
        <v>2 - PR - Plan Rombo</v>
      </c>
      <c r="L2649" s="50"/>
      <c r="M2649" s="50">
        <v>6564531.9548399989</v>
      </c>
      <c r="N2649" s="20">
        <f>+Movimientos_2026[[#This Row],[Ingresos]]-Movimientos_2026[[#This Row],[Egresos]]</f>
        <v>-6564531.9548399989</v>
      </c>
      <c r="O2649" s="20">
        <f>+O2648+Movimientos_2026[[#This Row],[Neto]]</f>
        <v>6993625983.0119123</v>
      </c>
    </row>
    <row r="2650" spans="1:15" x14ac:dyDescent="0.25">
      <c r="A2650" s="13">
        <v>46247</v>
      </c>
      <c r="B2650" s="12">
        <f>MONTH(Movimientos_2026[[#This Row],[Fecha]])</f>
        <v>8</v>
      </c>
      <c r="C2650" s="12" t="str">
        <f>VLOOKUP((WEEKDAY(Movimientos_2026[[#This Row],[Fecha]],2)),'5. Setup'!$D$6:$E$12,2,FALSE)</f>
        <v>Jue</v>
      </c>
      <c r="D2650">
        <v>2014363</v>
      </c>
      <c r="E2650" t="str">
        <f>IFERROR(+VLOOKUP(Movimientos_2026[[#This Row],[Codigo]],Plan_cuentas[],2,FALSE)," ")</f>
        <v>EGRESOS</v>
      </c>
      <c r="F2650" t="str">
        <f>IFERROR(+VLOOKUP(Movimientos_2026[[#This Row],[Codigo]],Plan_cuentas[],3,FALSE)," ")</f>
        <v>BtoB</v>
      </c>
      <c r="G2650" t="str">
        <f>IFERROR(+VLOOKUP(Movimientos_2026[[#This Row],[Codigo]],Plan_cuentas[],4,FALSE)," ")</f>
        <v>Rentas</v>
      </c>
      <c r="H2650" t="str">
        <f>IFERROR(+VLOOKUP(Movimientos_2026[[#This Row],[Codigo]],Plan_cuentas[],5,FALSE)," ")</f>
        <v>SAN LUIS</v>
      </c>
      <c r="I2650" s="43">
        <v>46204</v>
      </c>
      <c r="J2650" t="s">
        <v>1234</v>
      </c>
      <c r="K2650" t="str">
        <f>IFERROR(+VLOOKUP(Movimientos_2026[[#This Row],[Codigo]],Plan_cuentas[],6,FALSE)," ")</f>
        <v>3 - GM - Chevrolet</v>
      </c>
      <c r="L2650" s="50"/>
      <c r="M2650" s="50">
        <v>18168215.5</v>
      </c>
      <c r="N2650" s="20">
        <f>+Movimientos_2026[[#This Row],[Ingresos]]-Movimientos_2026[[#This Row],[Egresos]]</f>
        <v>-18168215.5</v>
      </c>
      <c r="O2650" s="20">
        <f>+O2649+Movimientos_2026[[#This Row],[Neto]]</f>
        <v>6975457767.5119123</v>
      </c>
    </row>
    <row r="2651" spans="1:15" x14ac:dyDescent="0.25">
      <c r="A2651" s="13">
        <v>46247</v>
      </c>
      <c r="B2651" s="12">
        <f>MONTH(Movimientos_2026[[#This Row],[Fecha]])</f>
        <v>8</v>
      </c>
      <c r="C2651" s="12" t="str">
        <f>VLOOKUP((WEEKDAY(Movimientos_2026[[#This Row],[Fecha]],2)),'5. Setup'!$D$6:$E$12,2,FALSE)</f>
        <v>Jue</v>
      </c>
      <c r="D2651">
        <v>2014364</v>
      </c>
      <c r="E2651" t="str">
        <f>IFERROR(+VLOOKUP(Movimientos_2026[[#This Row],[Codigo]],Plan_cuentas[],2,FALSE)," ")</f>
        <v>EGRESOS</v>
      </c>
      <c r="F2651" t="str">
        <f>IFERROR(+VLOOKUP(Movimientos_2026[[#This Row],[Codigo]],Plan_cuentas[],3,FALSE)," ")</f>
        <v>BtoB</v>
      </c>
      <c r="G2651" t="str">
        <f>IFERROR(+VLOOKUP(Movimientos_2026[[#This Row],[Codigo]],Plan_cuentas[],4,FALSE)," ")</f>
        <v>Rentas</v>
      </c>
      <c r="H2651" t="str">
        <f>IFERROR(+VLOOKUP(Movimientos_2026[[#This Row],[Codigo]],Plan_cuentas[],5,FALSE)," ")</f>
        <v>SAN LUIS</v>
      </c>
      <c r="I2651" s="43">
        <v>46204</v>
      </c>
      <c r="J2651" t="s">
        <v>1232</v>
      </c>
      <c r="K2651" t="str">
        <f>IFERROR(+VLOOKUP(Movimientos_2026[[#This Row],[Codigo]],Plan_cuentas[],6,FALSE)," ")</f>
        <v>4 - FCA - Fiat</v>
      </c>
      <c r="L2651" s="50"/>
      <c r="M2651" s="50">
        <v>38471380.159999996</v>
      </c>
      <c r="N2651" s="20">
        <f>+Movimientos_2026[[#This Row],[Ingresos]]-Movimientos_2026[[#This Row],[Egresos]]</f>
        <v>-38471380.159999996</v>
      </c>
      <c r="O2651" s="20">
        <f>+O2650+Movimientos_2026[[#This Row],[Neto]]</f>
        <v>6936986387.3519125</v>
      </c>
    </row>
    <row r="2652" spans="1:15" x14ac:dyDescent="0.25">
      <c r="A2652" s="13">
        <v>46248</v>
      </c>
      <c r="B2652" s="12">
        <f>MONTH(Movimientos_2026[[#This Row],[Fecha]])</f>
        <v>8</v>
      </c>
      <c r="C2652" s="12" t="str">
        <f>VLOOKUP((WEEKDAY(Movimientos_2026[[#This Row],[Fecha]],2)),'5. Setup'!$D$6:$E$12,2,FALSE)</f>
        <v>Vie</v>
      </c>
      <c r="D2652">
        <v>2014174</v>
      </c>
      <c r="E2652" t="str">
        <f>IFERROR(+VLOOKUP(Movimientos_2026[[#This Row],[Codigo]],Plan_cuentas[],2,FALSE)," ")</f>
        <v>EGRESOS</v>
      </c>
      <c r="F2652" t="str">
        <f>IFERROR(+VLOOKUP(Movimientos_2026[[#This Row],[Codigo]],Plan_cuentas[],3,FALSE)," ")</f>
        <v>BtoB</v>
      </c>
      <c r="G2652" t="str">
        <f>IFERROR(+VLOOKUP(Movimientos_2026[[#This Row],[Codigo]],Plan_cuentas[],4,FALSE)," ")</f>
        <v>Rentas</v>
      </c>
      <c r="H2652" t="str">
        <f>IFERROR(+VLOOKUP(Movimientos_2026[[#This Row],[Codigo]],Plan_cuentas[],5,FALSE)," ")</f>
        <v>CHUBUT</v>
      </c>
      <c r="I2652" s="43">
        <v>46204</v>
      </c>
      <c r="J2652" t="s">
        <v>1231</v>
      </c>
      <c r="K2652" t="str">
        <f>IFERROR(+VLOOKUP(Movimientos_2026[[#This Row],[Codigo]],Plan_cuentas[],6,FALSE)," ")</f>
        <v>4 - FCA - Fiat</v>
      </c>
      <c r="L2652" s="50"/>
      <c r="M2652" s="50">
        <v>31199625</v>
      </c>
      <c r="N2652" s="20">
        <f>+Movimientos_2026[[#This Row],[Ingresos]]-Movimientos_2026[[#This Row],[Egresos]]</f>
        <v>-31199625</v>
      </c>
      <c r="O2652" s="20">
        <f>+O2651+Movimientos_2026[[#This Row],[Neto]]</f>
        <v>6905786762.3519125</v>
      </c>
    </row>
    <row r="2653" spans="1:15" x14ac:dyDescent="0.25">
      <c r="A2653" s="13">
        <v>46248</v>
      </c>
      <c r="B2653" s="12">
        <f>MONTH(Movimientos_2026[[#This Row],[Fecha]])</f>
        <v>8</v>
      </c>
      <c r="C2653" s="12" t="str">
        <f>VLOOKUP((WEEKDAY(Movimientos_2026[[#This Row],[Fecha]],2)),'5. Setup'!$D$6:$E$12,2,FALSE)</f>
        <v>Vie</v>
      </c>
      <c r="D2653">
        <v>2014263</v>
      </c>
      <c r="E2653" t="str">
        <f>IFERROR(+VLOOKUP(Movimientos_2026[[#This Row],[Codigo]],Plan_cuentas[],2,FALSE)," ")</f>
        <v>EGRESOS</v>
      </c>
      <c r="F2653" t="str">
        <f>IFERROR(+VLOOKUP(Movimientos_2026[[#This Row],[Codigo]],Plan_cuentas[],3,FALSE)," ")</f>
        <v>BtoB</v>
      </c>
      <c r="G2653" t="str">
        <f>IFERROR(+VLOOKUP(Movimientos_2026[[#This Row],[Codigo]],Plan_cuentas[],4,FALSE)," ")</f>
        <v>Rentas</v>
      </c>
      <c r="H2653" t="str">
        <f>IFERROR(+VLOOKUP(Movimientos_2026[[#This Row],[Codigo]],Plan_cuentas[],5,FALSE)," ")</f>
        <v>LA PAMPA</v>
      </c>
      <c r="I2653" s="43">
        <v>46204</v>
      </c>
      <c r="J2653" t="s">
        <v>1236</v>
      </c>
      <c r="K2653" t="str">
        <f>IFERROR(+VLOOKUP(Movimientos_2026[[#This Row],[Codigo]],Plan_cuentas[],6,FALSE)," ")</f>
        <v>3 - GM - Chevrolet</v>
      </c>
      <c r="L2653" s="50"/>
      <c r="M2653" s="50">
        <v>6456139.4000000004</v>
      </c>
      <c r="N2653" s="20">
        <f>+Movimientos_2026[[#This Row],[Ingresos]]-Movimientos_2026[[#This Row],[Egresos]]</f>
        <v>-6456139.4000000004</v>
      </c>
      <c r="O2653" s="20">
        <f>+O2652+Movimientos_2026[[#This Row],[Neto]]</f>
        <v>6899330622.9519129</v>
      </c>
    </row>
    <row r="2654" spans="1:15" x14ac:dyDescent="0.25">
      <c r="A2654" s="13">
        <v>46248</v>
      </c>
      <c r="B2654" s="12">
        <f>MONTH(Movimientos_2026[[#This Row],[Fecha]])</f>
        <v>8</v>
      </c>
      <c r="C2654" s="12" t="str">
        <f>VLOOKUP((WEEKDAY(Movimientos_2026[[#This Row],[Fecha]],2)),'5. Setup'!$D$6:$E$12,2,FALSE)</f>
        <v>Vie</v>
      </c>
      <c r="D2654">
        <v>2023172</v>
      </c>
      <c r="E2654" t="str">
        <f>IFERROR(+VLOOKUP(Movimientos_2026[[#This Row],[Codigo]],Plan_cuentas[],2,FALSE)," ")</f>
        <v>EGRESOS</v>
      </c>
      <c r="F2654" t="str">
        <f>IFERROR(+VLOOKUP(Movimientos_2026[[#This Row],[Codigo]],Plan_cuentas[],3,FALSE)," ")</f>
        <v>DDJJ</v>
      </c>
      <c r="G2654" t="str">
        <f>IFERROR(+VLOOKUP(Movimientos_2026[[#This Row],[Codigo]],Plan_cuentas[],4,FALSE)," ")</f>
        <v>Registración</v>
      </c>
      <c r="H2654" t="str">
        <f>IFERROR(+VLOOKUP(Movimientos_2026[[#This Row],[Codigo]],Plan_cuentas[],5,FALSE)," ")</f>
        <v>CHUBUT</v>
      </c>
      <c r="I2654" s="43">
        <v>46204</v>
      </c>
      <c r="J2654" t="s">
        <v>1241</v>
      </c>
      <c r="K2654" t="str">
        <f>IFERROR(+VLOOKUP(Movimientos_2026[[#This Row],[Codigo]],Plan_cuentas[],6,FALSE)," ")</f>
        <v>2 - PR - Plan Rombo</v>
      </c>
      <c r="L2654" s="50"/>
      <c r="M2654" s="50">
        <v>18576462.600000001</v>
      </c>
      <c r="N2654" s="20">
        <f>+Movimientos_2026[[#This Row],[Ingresos]]-Movimientos_2026[[#This Row],[Egresos]]</f>
        <v>-18576462.600000001</v>
      </c>
      <c r="O2654" s="20">
        <f>+O2653+Movimientos_2026[[#This Row],[Neto]]</f>
        <v>6880754160.3519125</v>
      </c>
    </row>
    <row r="2655" spans="1:15" x14ac:dyDescent="0.25">
      <c r="A2655" s="13">
        <v>46248</v>
      </c>
      <c r="B2655" s="12">
        <f>MONTH(Movimientos_2026[[#This Row],[Fecha]])</f>
        <v>8</v>
      </c>
      <c r="C2655" s="12" t="str">
        <f>VLOOKUP((WEEKDAY(Movimientos_2026[[#This Row],[Fecha]],2)),'5. Setup'!$D$6:$E$12,2,FALSE)</f>
        <v>Vie</v>
      </c>
      <c r="D2655">
        <v>2023175</v>
      </c>
      <c r="E2655" t="str">
        <f>IFERROR(+VLOOKUP(Movimientos_2026[[#This Row],[Codigo]],Plan_cuentas[],2,FALSE)," ")</f>
        <v>EGRESOS</v>
      </c>
      <c r="F2655" t="str">
        <f>IFERROR(+VLOOKUP(Movimientos_2026[[#This Row],[Codigo]],Plan_cuentas[],3,FALSE)," ")</f>
        <v>DDJJ</v>
      </c>
      <c r="G2655" t="str">
        <f>IFERROR(+VLOOKUP(Movimientos_2026[[#This Row],[Codigo]],Plan_cuentas[],4,FALSE)," ")</f>
        <v>Registración</v>
      </c>
      <c r="H2655" t="str">
        <f>IFERROR(+VLOOKUP(Movimientos_2026[[#This Row],[Codigo]],Plan_cuentas[],5,FALSE)," ")</f>
        <v>CHUBUT</v>
      </c>
      <c r="I2655" s="43">
        <v>46204</v>
      </c>
      <c r="J2655" t="s">
        <v>1241</v>
      </c>
      <c r="K2655" t="str">
        <f>IFERROR(+VLOOKUP(Movimientos_2026[[#This Row],[Codigo]],Plan_cuentas[],6,FALSE)," ")</f>
        <v>5 - YAM - Yamaha</v>
      </c>
      <c r="L2655" s="50"/>
      <c r="M2655" s="50">
        <v>460085.9</v>
      </c>
      <c r="N2655" s="20">
        <f>+Movimientos_2026[[#This Row],[Ingresos]]-Movimientos_2026[[#This Row],[Egresos]]</f>
        <v>-460085.9</v>
      </c>
      <c r="O2655" s="20">
        <f>+O2654+Movimientos_2026[[#This Row],[Neto]]</f>
        <v>6880294074.4519129</v>
      </c>
    </row>
    <row r="2656" spans="1:15" x14ac:dyDescent="0.25">
      <c r="A2656" s="13">
        <v>46248</v>
      </c>
      <c r="B2656" s="12">
        <f>MONTH(Movimientos_2026[[#This Row],[Fecha]])</f>
        <v>8</v>
      </c>
      <c r="C2656" s="12" t="str">
        <f>VLOOKUP((WEEKDAY(Movimientos_2026[[#This Row],[Fecha]],2)),'5. Setup'!$D$6:$E$12,2,FALSE)</f>
        <v>Vie</v>
      </c>
      <c r="D2656">
        <v>2023176</v>
      </c>
      <c r="E2656" t="str">
        <f>IFERROR(+VLOOKUP(Movimientos_2026[[#This Row],[Codigo]],Plan_cuentas[],2,FALSE)," ")</f>
        <v>EGRESOS</v>
      </c>
      <c r="F2656" t="str">
        <f>IFERROR(+VLOOKUP(Movimientos_2026[[#This Row],[Codigo]],Plan_cuentas[],3,FALSE)," ")</f>
        <v>DDJJ</v>
      </c>
      <c r="G2656" t="str">
        <f>IFERROR(+VLOOKUP(Movimientos_2026[[#This Row],[Codigo]],Plan_cuentas[],4,FALSE)," ")</f>
        <v>Registración</v>
      </c>
      <c r="H2656" t="str">
        <f>IFERROR(+VLOOKUP(Movimientos_2026[[#This Row],[Codigo]],Plan_cuentas[],5,FALSE)," ")</f>
        <v>CHUBUT</v>
      </c>
      <c r="I2656" s="43">
        <v>46204</v>
      </c>
      <c r="J2656" t="s">
        <v>1241</v>
      </c>
      <c r="K2656" t="str">
        <f>IFERROR(+VLOOKUP(Movimientos_2026[[#This Row],[Codigo]],Plan_cuentas[],6,FALSE)," ")</f>
        <v>6 - FCAtr - Fiat Transf.</v>
      </c>
      <c r="L2656" s="50"/>
      <c r="M2656" s="50">
        <v>1372314.55</v>
      </c>
      <c r="N2656" s="20">
        <f>+Movimientos_2026[[#This Row],[Ingresos]]-Movimientos_2026[[#This Row],[Egresos]]</f>
        <v>-1372314.55</v>
      </c>
      <c r="O2656" s="20">
        <f>+O2655+Movimientos_2026[[#This Row],[Neto]]</f>
        <v>6878921759.9019127</v>
      </c>
    </row>
    <row r="2657" spans="1:15" x14ac:dyDescent="0.25">
      <c r="A2657" s="13">
        <v>46248</v>
      </c>
      <c r="B2657" s="12">
        <f>MONTH(Movimientos_2026[[#This Row],[Fecha]])</f>
        <v>8</v>
      </c>
      <c r="C2657" s="12" t="str">
        <f>VLOOKUP((WEEKDAY(Movimientos_2026[[#This Row],[Fecha]],2)),'5. Setup'!$D$6:$E$12,2,FALSE)</f>
        <v>Vie</v>
      </c>
      <c r="D2657">
        <v>2023341</v>
      </c>
      <c r="E2657" t="str">
        <f>IFERROR(+VLOOKUP(Movimientos_2026[[#This Row],[Codigo]],Plan_cuentas[],2,FALSE)," ")</f>
        <v>EGRESOS</v>
      </c>
      <c r="F2657" t="str">
        <f>IFERROR(+VLOOKUP(Movimientos_2026[[#This Row],[Codigo]],Plan_cuentas[],3,FALSE)," ")</f>
        <v>DDJJ</v>
      </c>
      <c r="G2657" t="str">
        <f>IFERROR(+VLOOKUP(Movimientos_2026[[#This Row],[Codigo]],Plan_cuentas[],4,FALSE)," ")</f>
        <v>Registración</v>
      </c>
      <c r="H2657" t="str">
        <f>IFERROR(+VLOOKUP(Movimientos_2026[[#This Row],[Codigo]],Plan_cuentas[],5,FALSE)," ")</f>
        <v>RIO NEGRO</v>
      </c>
      <c r="I2657" s="43">
        <v>46204</v>
      </c>
      <c r="J2657" t="s">
        <v>1242</v>
      </c>
      <c r="K2657" t="str">
        <f>IFERROR(+VLOOKUP(Movimientos_2026[[#This Row],[Codigo]],Plan_cuentas[],6,FALSE)," ")</f>
        <v>1 - VW - Volkswagen</v>
      </c>
      <c r="L2657" s="50"/>
      <c r="M2657" s="50">
        <v>69686385.75</v>
      </c>
      <c r="N2657" s="20">
        <f>+Movimientos_2026[[#This Row],[Ingresos]]-Movimientos_2026[[#This Row],[Egresos]]</f>
        <v>-69686385.75</v>
      </c>
      <c r="O2657" s="20">
        <f>+O2656+Movimientos_2026[[#This Row],[Neto]]</f>
        <v>6809235374.1519127</v>
      </c>
    </row>
    <row r="2658" spans="1:15" x14ac:dyDescent="0.25">
      <c r="A2658" s="13">
        <v>46248</v>
      </c>
      <c r="B2658" s="12">
        <f>MONTH(Movimientos_2026[[#This Row],[Fecha]])</f>
        <v>8</v>
      </c>
      <c r="C2658" s="12" t="str">
        <f>VLOOKUP((WEEKDAY(Movimientos_2026[[#This Row],[Fecha]],2)),'5. Setup'!$D$6:$E$12,2,FALSE)</f>
        <v>Vie</v>
      </c>
      <c r="D2658">
        <v>2044465</v>
      </c>
      <c r="E2658" t="str">
        <f>IFERROR(+VLOOKUP(Movimientos_2026[[#This Row],[Codigo]],Plan_cuentas[],2,FALSE)," ")</f>
        <v>EGRESOS</v>
      </c>
      <c r="F2658" t="str">
        <f>IFERROR(+VLOOKUP(Movimientos_2026[[#This Row],[Codigo]],Plan_cuentas[],3,FALSE)," ")</f>
        <v>Transferencia</v>
      </c>
      <c r="G2658" t="str">
        <f>IFERROR(+VLOOKUP(Movimientos_2026[[#This Row],[Codigo]],Plan_cuentas[],4,FALSE)," ")</f>
        <v>Rentas</v>
      </c>
      <c r="H2658" t="str">
        <f>IFERROR(+VLOOKUP(Movimientos_2026[[#This Row],[Codigo]],Plan_cuentas[],5,FALSE)," ")</f>
        <v>MISIONES</v>
      </c>
      <c r="I2658" s="43">
        <v>46204</v>
      </c>
      <c r="J2658" t="s">
        <v>1230</v>
      </c>
      <c r="K2658" t="str">
        <f>IFERROR(+VLOOKUP(Movimientos_2026[[#This Row],[Codigo]],Plan_cuentas[],6,FALSE)," ")</f>
        <v>5 - YAM - Yamaha</v>
      </c>
      <c r="L2658" s="50"/>
      <c r="M2658" s="50">
        <v>615583.36200000008</v>
      </c>
      <c r="N2658" s="20">
        <f>+Movimientos_2026[[#This Row],[Ingresos]]-Movimientos_2026[[#This Row],[Egresos]]</f>
        <v>-615583.36200000008</v>
      </c>
      <c r="O2658" s="20">
        <f>+O2657+Movimientos_2026[[#This Row],[Neto]]</f>
        <v>6808619790.7899122</v>
      </c>
    </row>
    <row r="2659" spans="1:15" x14ac:dyDescent="0.25">
      <c r="A2659" s="13">
        <v>46248</v>
      </c>
      <c r="B2659" s="12">
        <f>MONTH(Movimientos_2026[[#This Row],[Fecha]])</f>
        <v>8</v>
      </c>
      <c r="C2659" s="12" t="str">
        <f>VLOOKUP((WEEKDAY(Movimientos_2026[[#This Row],[Fecha]],2)),'5. Setup'!$D$6:$E$12,2,FALSE)</f>
        <v>Vie</v>
      </c>
      <c r="D2659">
        <v>1045474</v>
      </c>
      <c r="E2659" t="str">
        <f>IFERROR(+VLOOKUP(Movimientos_2026[[#This Row],[Codigo]],Plan_cuentas[],2,FALSE)," ")</f>
        <v>INGRESOS</v>
      </c>
      <c r="F2659" t="str">
        <f>IFERROR(+VLOOKUP(Movimientos_2026[[#This Row],[Codigo]],Plan_cuentas[],3,FALSE)," ")</f>
        <v>Transferencia</v>
      </c>
      <c r="G2659" t="str">
        <f>IFERROR(+VLOOKUP(Movimientos_2026[[#This Row],[Codigo]],Plan_cuentas[],4,FALSE)," ")</f>
        <v>Factura</v>
      </c>
      <c r="H2659" t="str">
        <f>IFERROR(+VLOOKUP(Movimientos_2026[[#This Row],[Codigo]],Plan_cuentas[],5,FALSE)," ")</f>
        <v>FC HONORARIOS</v>
      </c>
      <c r="I2659" s="43">
        <v>46174</v>
      </c>
      <c r="J2659" t="s">
        <v>1243</v>
      </c>
      <c r="K2659" t="str">
        <f>IFERROR(+VLOOKUP(Movimientos_2026[[#This Row],[Codigo]],Plan_cuentas[],6,FALSE)," ")</f>
        <v>4 - FCA - Fiat</v>
      </c>
      <c r="L2659" s="50">
        <v>2701735.08</v>
      </c>
      <c r="M2659" s="50"/>
      <c r="N2659" s="20">
        <f>+Movimientos_2026[[#This Row],[Ingresos]]-Movimientos_2026[[#This Row],[Egresos]]</f>
        <v>2701735.08</v>
      </c>
      <c r="O2659" s="20">
        <f>+O2658+Movimientos_2026[[#This Row],[Neto]]</f>
        <v>6811321525.8699121</v>
      </c>
    </row>
    <row r="2660" spans="1:15" x14ac:dyDescent="0.25">
      <c r="A2660" s="13">
        <v>46248</v>
      </c>
      <c r="B2660" s="12">
        <f>MONTH(Movimientos_2026[[#This Row],[Fecha]])</f>
        <v>8</v>
      </c>
      <c r="C2660" s="12" t="str">
        <f>VLOOKUP((WEEKDAY(Movimientos_2026[[#This Row],[Fecha]],2)),'5. Setup'!$D$6:$E$12,2,FALSE)</f>
        <v>Vie</v>
      </c>
      <c r="D2660">
        <v>1045474</v>
      </c>
      <c r="E2660" t="str">
        <f>IFERROR(+VLOOKUP(Movimientos_2026[[#This Row],[Codigo]],Plan_cuentas[],2,FALSE)," ")</f>
        <v>INGRESOS</v>
      </c>
      <c r="F2660" t="str">
        <f>IFERROR(+VLOOKUP(Movimientos_2026[[#This Row],[Codigo]],Plan_cuentas[],3,FALSE)," ")</f>
        <v>Transferencia</v>
      </c>
      <c r="G2660" t="str">
        <f>IFERROR(+VLOOKUP(Movimientos_2026[[#This Row],[Codigo]],Plan_cuentas[],4,FALSE)," ")</f>
        <v>Factura</v>
      </c>
      <c r="H2660" t="str">
        <f>IFERROR(+VLOOKUP(Movimientos_2026[[#This Row],[Codigo]],Plan_cuentas[],5,FALSE)," ")</f>
        <v>FC HONORARIOS</v>
      </c>
      <c r="I2660" s="43">
        <v>46174</v>
      </c>
      <c r="J2660" t="s">
        <v>1244</v>
      </c>
      <c r="K2660" t="str">
        <f>IFERROR(+VLOOKUP(Movimientos_2026[[#This Row],[Codigo]],Plan_cuentas[],6,FALSE)," ")</f>
        <v>4 - FCA - Fiat</v>
      </c>
      <c r="L2660" s="50">
        <v>4004769.57</v>
      </c>
      <c r="M2660" s="50"/>
      <c r="N2660" s="20">
        <f>+Movimientos_2026[[#This Row],[Ingresos]]-Movimientos_2026[[#This Row],[Egresos]]</f>
        <v>4004769.57</v>
      </c>
      <c r="O2660" s="20">
        <f>+O2659+Movimientos_2026[[#This Row],[Neto]]</f>
        <v>6815326295.4399118</v>
      </c>
    </row>
    <row r="2661" spans="1:15" x14ac:dyDescent="0.25">
      <c r="A2661" s="13">
        <v>46248</v>
      </c>
      <c r="B2661" s="12">
        <f>MONTH(Movimientos_2026[[#This Row],[Fecha]])</f>
        <v>8</v>
      </c>
      <c r="C2661" s="12" t="str">
        <f>VLOOKUP((WEEKDAY(Movimientos_2026[[#This Row],[Fecha]],2)),'5. Setup'!$D$6:$E$12,2,FALSE)</f>
        <v>Vie</v>
      </c>
      <c r="D2661">
        <v>1044486</v>
      </c>
      <c r="E2661" t="str">
        <f>IFERROR(+VLOOKUP(Movimientos_2026[[#This Row],[Codigo]],Plan_cuentas[],2,FALSE)," ")</f>
        <v>INGRESOS</v>
      </c>
      <c r="F2661" t="str">
        <f>IFERROR(+VLOOKUP(Movimientos_2026[[#This Row],[Codigo]],Plan_cuentas[],3,FALSE)," ")</f>
        <v>Transferencia</v>
      </c>
      <c r="G2661" t="str">
        <f>IFERROR(+VLOOKUP(Movimientos_2026[[#This Row],[Codigo]],Plan_cuentas[],4,FALSE)," ")</f>
        <v>Factura</v>
      </c>
      <c r="H2661" t="str">
        <f>IFERROR(+VLOOKUP(Movimientos_2026[[#This Row],[Codigo]],Plan_cuentas[],5,FALSE)," ")</f>
        <v>FC TRAMITACION</v>
      </c>
      <c r="I2661" s="43">
        <v>46143</v>
      </c>
      <c r="J2661" t="s">
        <v>1245</v>
      </c>
      <c r="K2661" t="str">
        <f>IFERROR(+VLOOKUP(Movimientos_2026[[#This Row],[Codigo]],Plan_cuentas[],6,FALSE)," ")</f>
        <v>6 - FCAtr - Fiat Transf.</v>
      </c>
      <c r="L2661" s="50">
        <v>94775910.239999995</v>
      </c>
      <c r="M2661" s="50"/>
      <c r="N2661" s="20">
        <f>+Movimientos_2026[[#This Row],[Ingresos]]-Movimientos_2026[[#This Row],[Egresos]]</f>
        <v>94775910.239999995</v>
      </c>
      <c r="O2661" s="20">
        <f>+O2660+Movimientos_2026[[#This Row],[Neto]]</f>
        <v>6910102205.6799116</v>
      </c>
    </row>
    <row r="2662" spans="1:15" x14ac:dyDescent="0.25">
      <c r="A2662" s="13">
        <v>46248</v>
      </c>
      <c r="B2662" s="12">
        <f>MONTH(Movimientos_2026[[#This Row],[Fecha]])</f>
        <v>8</v>
      </c>
      <c r="C2662" s="12" t="str">
        <f>VLOOKUP((WEEKDAY(Movimientos_2026[[#This Row],[Fecha]],2)),'5. Setup'!$D$6:$E$12,2,FALSE)</f>
        <v>Vie</v>
      </c>
      <c r="D2662">
        <v>1044486</v>
      </c>
      <c r="E2662" t="str">
        <f>IFERROR(+VLOOKUP(Movimientos_2026[[#This Row],[Codigo]],Plan_cuentas[],2,FALSE)," ")</f>
        <v>INGRESOS</v>
      </c>
      <c r="F2662" t="str">
        <f>IFERROR(+VLOOKUP(Movimientos_2026[[#This Row],[Codigo]],Plan_cuentas[],3,FALSE)," ")</f>
        <v>Transferencia</v>
      </c>
      <c r="G2662" t="str">
        <f>IFERROR(+VLOOKUP(Movimientos_2026[[#This Row],[Codigo]],Plan_cuentas[],4,FALSE)," ")</f>
        <v>Factura</v>
      </c>
      <c r="H2662" t="str">
        <f>IFERROR(+VLOOKUP(Movimientos_2026[[#This Row],[Codigo]],Plan_cuentas[],5,FALSE)," ")</f>
        <v>FC TRAMITACION</v>
      </c>
      <c r="I2662" s="43">
        <v>46174</v>
      </c>
      <c r="J2662" t="s">
        <v>1246</v>
      </c>
      <c r="K2662" t="str">
        <f>IFERROR(+VLOOKUP(Movimientos_2026[[#This Row],[Codigo]],Plan_cuentas[],6,FALSE)," ")</f>
        <v>6 - FCAtr - Fiat Transf.</v>
      </c>
      <c r="L2662" s="50">
        <v>41578029.240000002</v>
      </c>
      <c r="M2662" s="50"/>
      <c r="N2662" s="20">
        <f>+Movimientos_2026[[#This Row],[Ingresos]]-Movimientos_2026[[#This Row],[Egresos]]</f>
        <v>41578029.240000002</v>
      </c>
      <c r="O2662" s="20">
        <f>+O2661+Movimientos_2026[[#This Row],[Neto]]</f>
        <v>6951680234.9199114</v>
      </c>
    </row>
    <row r="2663" spans="1:15" x14ac:dyDescent="0.25">
      <c r="A2663" s="13">
        <v>46248</v>
      </c>
      <c r="B2663" s="12">
        <f>MONTH(Movimientos_2026[[#This Row],[Fecha]])</f>
        <v>8</v>
      </c>
      <c r="C2663" s="12" t="str">
        <f>VLOOKUP((WEEKDAY(Movimientos_2026[[#This Row],[Fecha]],2)),'5. Setup'!$D$6:$E$12,2,FALSE)</f>
        <v>Vie</v>
      </c>
      <c r="D2663">
        <v>1044126</v>
      </c>
      <c r="E2663" t="str">
        <f>IFERROR(+VLOOKUP(Movimientos_2026[[#This Row],[Codigo]],Plan_cuentas[],2,FALSE)," ")</f>
        <v>INGRESOS</v>
      </c>
      <c r="F2663" t="str">
        <f>IFERROR(+VLOOKUP(Movimientos_2026[[#This Row],[Codigo]],Plan_cuentas[],3,FALSE)," ")</f>
        <v>Transferencia</v>
      </c>
      <c r="G2663" t="str">
        <f>IFERROR(+VLOOKUP(Movimientos_2026[[#This Row],[Codigo]],Plan_cuentas[],4,FALSE)," ")</f>
        <v>Rentas</v>
      </c>
      <c r="H2663" t="str">
        <f>IFERROR(+VLOOKUP(Movimientos_2026[[#This Row],[Codigo]],Plan_cuentas[],5,FALSE)," ")</f>
        <v>BAPRO</v>
      </c>
      <c r="I2663" s="43">
        <v>46174</v>
      </c>
      <c r="J2663" t="s">
        <v>1247</v>
      </c>
      <c r="K2663" t="str">
        <f>IFERROR(+VLOOKUP(Movimientos_2026[[#This Row],[Codigo]],Plan_cuentas[],6,FALSE)," ")</f>
        <v>6 - FCAtr - Fiat Transf.</v>
      </c>
      <c r="L2663" s="50">
        <v>29989783.449999925</v>
      </c>
      <c r="M2663" s="50"/>
      <c r="N2663" s="20">
        <f>+Movimientos_2026[[#This Row],[Ingresos]]-Movimientos_2026[[#This Row],[Egresos]]</f>
        <v>29989783.449999925</v>
      </c>
      <c r="O2663" s="20">
        <f>+O2662+Movimientos_2026[[#This Row],[Neto]]</f>
        <v>6981670018.3699112</v>
      </c>
    </row>
    <row r="2664" spans="1:15" x14ac:dyDescent="0.25">
      <c r="A2664" s="13">
        <v>46248</v>
      </c>
      <c r="B2664" s="12">
        <f>MONTH(Movimientos_2026[[#This Row],[Fecha]])</f>
        <v>8</v>
      </c>
      <c r="C2664" s="12" t="str">
        <f>VLOOKUP((WEEKDAY(Movimientos_2026[[#This Row],[Fecha]],2)),'5. Setup'!$D$6:$E$12,2,FALSE)</f>
        <v>Vie</v>
      </c>
      <c r="D2664">
        <v>1043156</v>
      </c>
      <c r="E2664" t="str">
        <f>IFERROR(+VLOOKUP(Movimientos_2026[[#This Row],[Codigo]],Plan_cuentas[],2,FALSE)," ")</f>
        <v>INGRESOS</v>
      </c>
      <c r="F2664" t="str">
        <f>IFERROR(+VLOOKUP(Movimientos_2026[[#This Row],[Codigo]],Plan_cuentas[],3,FALSE)," ")</f>
        <v>Transferencia</v>
      </c>
      <c r="G2664" t="str">
        <f>IFERROR(+VLOOKUP(Movimientos_2026[[#This Row],[Codigo]],Plan_cuentas[],4,FALSE)," ")</f>
        <v>Registración</v>
      </c>
      <c r="H2664" t="str">
        <f>IFERROR(+VLOOKUP(Movimientos_2026[[#This Row],[Codigo]],Plan_cuentas[],5,FALSE)," ")</f>
        <v>CABA</v>
      </c>
      <c r="I2664" s="43">
        <v>46174</v>
      </c>
      <c r="J2664" t="s">
        <v>1247</v>
      </c>
      <c r="K2664" t="str">
        <f>IFERROR(+VLOOKUP(Movimientos_2026[[#This Row],[Codigo]],Plan_cuentas[],6,FALSE)," ")</f>
        <v>6 - FCAtr - Fiat Transf.</v>
      </c>
      <c r="L2664" s="50">
        <v>11233909.459999992</v>
      </c>
      <c r="M2664" s="50"/>
      <c r="N2664" s="20">
        <f>+Movimientos_2026[[#This Row],[Ingresos]]-Movimientos_2026[[#This Row],[Egresos]]</f>
        <v>11233909.459999992</v>
      </c>
      <c r="O2664" s="20">
        <f>+O2663+Movimientos_2026[[#This Row],[Neto]]</f>
        <v>6992903927.8299112</v>
      </c>
    </row>
    <row r="2665" spans="1:15" x14ac:dyDescent="0.25">
      <c r="A2665" s="13">
        <v>46248</v>
      </c>
      <c r="B2665" s="12">
        <f>MONTH(Movimientos_2026[[#This Row],[Fecha]])</f>
        <v>8</v>
      </c>
      <c r="C2665" s="12" t="str">
        <f>VLOOKUP((WEEKDAY(Movimientos_2026[[#This Row],[Fecha]],2)),'5. Setup'!$D$6:$E$12,2,FALSE)</f>
        <v>Vie</v>
      </c>
      <c r="D2665">
        <v>1043176</v>
      </c>
      <c r="E2665" t="str">
        <f>IFERROR(+VLOOKUP(Movimientos_2026[[#This Row],[Codigo]],Plan_cuentas[],2,FALSE)," ")</f>
        <v>INGRESOS</v>
      </c>
      <c r="F2665" t="str">
        <f>IFERROR(+VLOOKUP(Movimientos_2026[[#This Row],[Codigo]],Plan_cuentas[],3,FALSE)," ")</f>
        <v>Transferencia</v>
      </c>
      <c r="G2665" t="str">
        <f>IFERROR(+VLOOKUP(Movimientos_2026[[#This Row],[Codigo]],Plan_cuentas[],4,FALSE)," ")</f>
        <v>Registración</v>
      </c>
      <c r="H2665" t="str">
        <f>IFERROR(+VLOOKUP(Movimientos_2026[[#This Row],[Codigo]],Plan_cuentas[],5,FALSE)," ")</f>
        <v>CHUBUT</v>
      </c>
      <c r="I2665" s="43">
        <v>46174</v>
      </c>
      <c r="J2665" t="s">
        <v>1247</v>
      </c>
      <c r="K2665" t="str">
        <f>IFERROR(+VLOOKUP(Movimientos_2026[[#This Row],[Codigo]],Plan_cuentas[],6,FALSE)," ")</f>
        <v>6 - FCAtr - Fiat Transf.</v>
      </c>
      <c r="L2665" s="50">
        <v>355689.24</v>
      </c>
      <c r="M2665" s="50"/>
      <c r="N2665" s="20">
        <f>+Movimientos_2026[[#This Row],[Ingresos]]-Movimientos_2026[[#This Row],[Egresos]]</f>
        <v>355689.24</v>
      </c>
      <c r="O2665" s="20">
        <f>+O2664+Movimientos_2026[[#This Row],[Neto]]</f>
        <v>6993259617.069911</v>
      </c>
    </row>
    <row r="2666" spans="1:15" x14ac:dyDescent="0.25">
      <c r="A2666" s="13">
        <v>46248</v>
      </c>
      <c r="B2666" s="12">
        <f>MONTH(Movimientos_2026[[#This Row],[Fecha]])</f>
        <v>8</v>
      </c>
      <c r="C2666" s="12" t="str">
        <f>VLOOKUP((WEEKDAY(Movimientos_2026[[#This Row],[Fecha]],2)),'5. Setup'!$D$6:$E$12,2,FALSE)</f>
        <v>Vie</v>
      </c>
      <c r="D2666">
        <v>1043226</v>
      </c>
      <c r="E2666" t="str">
        <f>IFERROR(+VLOOKUP(Movimientos_2026[[#This Row],[Codigo]],Plan_cuentas[],2,FALSE)," ")</f>
        <v>INGRESOS</v>
      </c>
      <c r="F2666" t="str">
        <f>IFERROR(+VLOOKUP(Movimientos_2026[[#This Row],[Codigo]],Plan_cuentas[],3,FALSE)," ")</f>
        <v>Transferencia</v>
      </c>
      <c r="G2666" t="str">
        <f>IFERROR(+VLOOKUP(Movimientos_2026[[#This Row],[Codigo]],Plan_cuentas[],4,FALSE)," ")</f>
        <v>Registración</v>
      </c>
      <c r="H2666" t="str">
        <f>IFERROR(+VLOOKUP(Movimientos_2026[[#This Row],[Codigo]],Plan_cuentas[],5,FALSE)," ")</f>
        <v>ENTRE RIOS 1° Q</v>
      </c>
      <c r="I2666" s="43">
        <v>46174</v>
      </c>
      <c r="J2666" t="s">
        <v>1247</v>
      </c>
      <c r="K2666" t="str">
        <f>IFERROR(+VLOOKUP(Movimientos_2026[[#This Row],[Codigo]],Plan_cuentas[],6,FALSE)," ")</f>
        <v>6 - FCAtr - Fiat Transf.</v>
      </c>
      <c r="L2666" s="50">
        <v>473472.51</v>
      </c>
      <c r="M2666" s="50"/>
      <c r="N2666" s="20">
        <f>+Movimientos_2026[[#This Row],[Ingresos]]-Movimientos_2026[[#This Row],[Egresos]]</f>
        <v>473472.51</v>
      </c>
      <c r="O2666" s="20">
        <f>+O2665+Movimientos_2026[[#This Row],[Neto]]</f>
        <v>6993733089.5799112</v>
      </c>
    </row>
    <row r="2667" spans="1:15" x14ac:dyDescent="0.25">
      <c r="A2667" s="13">
        <v>46248</v>
      </c>
      <c r="B2667" s="12">
        <f>MONTH(Movimientos_2026[[#This Row],[Fecha]])</f>
        <v>8</v>
      </c>
      <c r="C2667" s="12" t="str">
        <f>VLOOKUP((WEEKDAY(Movimientos_2026[[#This Row],[Fecha]],2)),'5. Setup'!$D$6:$E$12,2,FALSE)</f>
        <v>Vie</v>
      </c>
      <c r="D2667">
        <v>1044246</v>
      </c>
      <c r="E2667" t="str">
        <f>IFERROR(+VLOOKUP(Movimientos_2026[[#This Row],[Codigo]],Plan_cuentas[],2,FALSE)," ")</f>
        <v>INGRESOS</v>
      </c>
      <c r="F2667" t="str">
        <f>IFERROR(+VLOOKUP(Movimientos_2026[[#This Row],[Codigo]],Plan_cuentas[],3,FALSE)," ")</f>
        <v>Transferencia</v>
      </c>
      <c r="G2667" t="str">
        <f>IFERROR(+VLOOKUP(Movimientos_2026[[#This Row],[Codigo]],Plan_cuentas[],4,FALSE)," ")</f>
        <v>Rentas</v>
      </c>
      <c r="H2667" t="str">
        <f>IFERROR(+VLOOKUP(Movimientos_2026[[#This Row],[Codigo]],Plan_cuentas[],5,FALSE)," ")</f>
        <v>FORMOSA</v>
      </c>
      <c r="I2667" s="43">
        <v>46174</v>
      </c>
      <c r="J2667" t="s">
        <v>1247</v>
      </c>
      <c r="K2667" t="str">
        <f>IFERROR(+VLOOKUP(Movimientos_2026[[#This Row],[Codigo]],Plan_cuentas[],6,FALSE)," ")</f>
        <v>6 - FCAtr - Fiat Transf.</v>
      </c>
      <c r="L2667" s="50">
        <v>308116.31999999995</v>
      </c>
      <c r="M2667" s="50"/>
      <c r="N2667" s="20">
        <f>+Movimientos_2026[[#This Row],[Ingresos]]-Movimientos_2026[[#This Row],[Egresos]]</f>
        <v>308116.31999999995</v>
      </c>
      <c r="O2667" s="20">
        <f>+O2666+Movimientos_2026[[#This Row],[Neto]]</f>
        <v>6994041205.8999109</v>
      </c>
    </row>
    <row r="2668" spans="1:15" x14ac:dyDescent="0.25">
      <c r="A2668" s="13">
        <v>46248</v>
      </c>
      <c r="B2668" s="12">
        <f>MONTH(Movimientos_2026[[#This Row],[Fecha]])</f>
        <v>8</v>
      </c>
      <c r="C2668" s="12" t="str">
        <f>VLOOKUP((WEEKDAY(Movimientos_2026[[#This Row],[Fecha]],2)),'5. Setup'!$D$6:$E$12,2,FALSE)</f>
        <v>Vie</v>
      </c>
      <c r="D2668">
        <v>1044216</v>
      </c>
      <c r="E2668" t="str">
        <f>IFERROR(+VLOOKUP(Movimientos_2026[[#This Row],[Codigo]],Plan_cuentas[],2,FALSE)," ")</f>
        <v>INGRESOS</v>
      </c>
      <c r="F2668" t="str">
        <f>IFERROR(+VLOOKUP(Movimientos_2026[[#This Row],[Codigo]],Plan_cuentas[],3,FALSE)," ")</f>
        <v>Transferencia</v>
      </c>
      <c r="G2668" t="str">
        <f>IFERROR(+VLOOKUP(Movimientos_2026[[#This Row],[Codigo]],Plan_cuentas[],4,FALSE)," ")</f>
        <v>Rentas</v>
      </c>
      <c r="H2668" t="str">
        <f>IFERROR(+VLOOKUP(Movimientos_2026[[#This Row],[Codigo]],Plan_cuentas[],5,FALSE)," ")</f>
        <v>CORRIENTES 2° Q</v>
      </c>
      <c r="I2668" s="43">
        <v>46174</v>
      </c>
      <c r="J2668" t="s">
        <v>1247</v>
      </c>
      <c r="K2668" t="str">
        <f>IFERROR(+VLOOKUP(Movimientos_2026[[#This Row],[Codigo]],Plan_cuentas[],6,FALSE)," ")</f>
        <v>6 - FCAtr - Fiat Transf.</v>
      </c>
      <c r="L2668" s="50">
        <v>8037.91</v>
      </c>
      <c r="M2668" s="50"/>
      <c r="N2668" s="20">
        <f>+Movimientos_2026[[#This Row],[Ingresos]]-Movimientos_2026[[#This Row],[Egresos]]</f>
        <v>8037.91</v>
      </c>
      <c r="O2668" s="20">
        <f>+O2667+Movimientos_2026[[#This Row],[Neto]]</f>
        <v>6994049243.8099108</v>
      </c>
    </row>
    <row r="2669" spans="1:15" x14ac:dyDescent="0.25">
      <c r="A2669" s="13">
        <v>46248</v>
      </c>
      <c r="B2669" s="12">
        <f>MONTH(Movimientos_2026[[#This Row],[Fecha]])</f>
        <v>8</v>
      </c>
      <c r="C2669" s="12" t="str">
        <f>VLOOKUP((WEEKDAY(Movimientos_2026[[#This Row],[Fecha]],2)),'5. Setup'!$D$6:$E$12,2,FALSE)</f>
        <v>Vie</v>
      </c>
      <c r="D2669">
        <v>1044366</v>
      </c>
      <c r="E2669" t="str">
        <f>IFERROR(+VLOOKUP(Movimientos_2026[[#This Row],[Codigo]],Plan_cuentas[],2,FALSE)," ")</f>
        <v>INGRESOS</v>
      </c>
      <c r="F2669" t="str">
        <f>IFERROR(+VLOOKUP(Movimientos_2026[[#This Row],[Codigo]],Plan_cuentas[],3,FALSE)," ")</f>
        <v>Transferencia</v>
      </c>
      <c r="G2669" t="str">
        <f>IFERROR(+VLOOKUP(Movimientos_2026[[#This Row],[Codigo]],Plan_cuentas[],4,FALSE)," ")</f>
        <v>Rentas</v>
      </c>
      <c r="H2669" t="str">
        <f>IFERROR(+VLOOKUP(Movimientos_2026[[#This Row],[Codigo]],Plan_cuentas[],5,FALSE)," ")</f>
        <v>SAN LUIS</v>
      </c>
      <c r="I2669" s="43">
        <v>46174</v>
      </c>
      <c r="J2669" t="s">
        <v>1247</v>
      </c>
      <c r="K2669" t="str">
        <f>IFERROR(+VLOOKUP(Movimientos_2026[[#This Row],[Codigo]],Plan_cuentas[],6,FALSE)," ")</f>
        <v>6 - FCAtr - Fiat Transf.</v>
      </c>
      <c r="L2669" s="50">
        <v>724616.03999999992</v>
      </c>
      <c r="M2669" s="50"/>
      <c r="N2669" s="20">
        <f>+Movimientos_2026[[#This Row],[Ingresos]]-Movimientos_2026[[#This Row],[Egresos]]</f>
        <v>724616.03999999992</v>
      </c>
      <c r="O2669" s="20">
        <f>+O2668+Movimientos_2026[[#This Row],[Neto]]</f>
        <v>6994773859.8499107</v>
      </c>
    </row>
    <row r="2670" spans="1:15" x14ac:dyDescent="0.25">
      <c r="A2670" s="13">
        <v>46248</v>
      </c>
      <c r="B2670" s="12">
        <f>MONTH(Movimientos_2026[[#This Row],[Fecha]])</f>
        <v>8</v>
      </c>
      <c r="C2670" s="12" t="str">
        <f>VLOOKUP((WEEKDAY(Movimientos_2026[[#This Row],[Fecha]],2)),'5. Setup'!$D$6:$E$12,2,FALSE)</f>
        <v>Vie</v>
      </c>
      <c r="D2670">
        <v>1043376</v>
      </c>
      <c r="E2670" t="str">
        <f>IFERROR(+VLOOKUP(Movimientos_2026[[#This Row],[Codigo]],Plan_cuentas[],2,FALSE)," ")</f>
        <v>INGRESOS</v>
      </c>
      <c r="F2670" t="str">
        <f>IFERROR(+VLOOKUP(Movimientos_2026[[#This Row],[Codigo]],Plan_cuentas[],3,FALSE)," ")</f>
        <v>Transferencia</v>
      </c>
      <c r="G2670" t="str">
        <f>IFERROR(+VLOOKUP(Movimientos_2026[[#This Row],[Codigo]],Plan_cuentas[],4,FALSE)," ")</f>
        <v>Registración</v>
      </c>
      <c r="H2670" t="str">
        <f>IFERROR(+VLOOKUP(Movimientos_2026[[#This Row],[Codigo]],Plan_cuentas[],5,FALSE)," ")</f>
        <v>SANTA CRUZ</v>
      </c>
      <c r="I2670" s="43">
        <v>46174</v>
      </c>
      <c r="J2670" t="s">
        <v>1247</v>
      </c>
      <c r="K2670" t="str">
        <f>IFERROR(+VLOOKUP(Movimientos_2026[[#This Row],[Codigo]],Plan_cuentas[],6,FALSE)," ")</f>
        <v>6 - FCAtr - Fiat Transf.</v>
      </c>
      <c r="L2670" s="50">
        <v>1098028.2900000003</v>
      </c>
      <c r="M2670" s="50"/>
      <c r="N2670" s="20">
        <f>+Movimientos_2026[[#This Row],[Ingresos]]-Movimientos_2026[[#This Row],[Egresos]]</f>
        <v>1098028.2900000003</v>
      </c>
      <c r="O2670" s="20">
        <f>+O2669+Movimientos_2026[[#This Row],[Neto]]</f>
        <v>6995871888.1399107</v>
      </c>
    </row>
    <row r="2671" spans="1:15" x14ac:dyDescent="0.25">
      <c r="A2671" s="13">
        <v>46248</v>
      </c>
      <c r="B2671" s="12">
        <f>MONTH(Movimientos_2026[[#This Row],[Fecha]])</f>
        <v>8</v>
      </c>
      <c r="C2671" s="12" t="str">
        <f>VLOOKUP((WEEKDAY(Movimientos_2026[[#This Row],[Fecha]],2)),'5. Setup'!$D$6:$E$12,2,FALSE)</f>
        <v>Vie</v>
      </c>
      <c r="D2671">
        <v>1043386</v>
      </c>
      <c r="E2671" t="str">
        <f>IFERROR(+VLOOKUP(Movimientos_2026[[#This Row],[Codigo]],Plan_cuentas[],2,FALSE)," ")</f>
        <v>INGRESOS</v>
      </c>
      <c r="F2671" t="str">
        <f>IFERROR(+VLOOKUP(Movimientos_2026[[#This Row],[Codigo]],Plan_cuentas[],3,FALSE)," ")</f>
        <v>Transferencia</v>
      </c>
      <c r="G2671" t="str">
        <f>IFERROR(+VLOOKUP(Movimientos_2026[[#This Row],[Codigo]],Plan_cuentas[],4,FALSE)," ")</f>
        <v>Registración</v>
      </c>
      <c r="H2671" t="str">
        <f>IFERROR(+VLOOKUP(Movimientos_2026[[#This Row],[Codigo]],Plan_cuentas[],5,FALSE)," ")</f>
        <v>SANTA FE 1° Q</v>
      </c>
      <c r="I2671" s="43">
        <v>46174</v>
      </c>
      <c r="J2671" t="s">
        <v>1247</v>
      </c>
      <c r="K2671" t="str">
        <f>IFERROR(+VLOOKUP(Movimientos_2026[[#This Row],[Codigo]],Plan_cuentas[],6,FALSE)," ")</f>
        <v>6 - FCAtr - Fiat Transf.</v>
      </c>
      <c r="L2671" s="50">
        <v>3067575.9399999995</v>
      </c>
      <c r="M2671" s="50"/>
      <c r="N2671" s="20">
        <f>+Movimientos_2026[[#This Row],[Ingresos]]-Movimientos_2026[[#This Row],[Egresos]]</f>
        <v>3067575.9399999995</v>
      </c>
      <c r="O2671" s="20">
        <f>+O2670+Movimientos_2026[[#This Row],[Neto]]</f>
        <v>6998939464.0799103</v>
      </c>
    </row>
    <row r="2672" spans="1:15" x14ac:dyDescent="0.25">
      <c r="A2672" s="13">
        <v>46248</v>
      </c>
      <c r="B2672" s="12">
        <f>MONTH(Movimientos_2026[[#This Row],[Fecha]])</f>
        <v>8</v>
      </c>
      <c r="C2672" s="12" t="str">
        <f>VLOOKUP((WEEKDAY(Movimientos_2026[[#This Row],[Fecha]],2)),'5. Setup'!$D$6:$E$12,2,FALSE)</f>
        <v>Vie</v>
      </c>
      <c r="D2672">
        <v>1044416</v>
      </c>
      <c r="E2672" t="str">
        <f>IFERROR(+VLOOKUP(Movimientos_2026[[#This Row],[Codigo]],Plan_cuentas[],2,FALSE)," ")</f>
        <v>INGRESOS</v>
      </c>
      <c r="F2672" t="str">
        <f>IFERROR(+VLOOKUP(Movimientos_2026[[#This Row],[Codigo]],Plan_cuentas[],3,FALSE)," ")</f>
        <v>Transferencia</v>
      </c>
      <c r="G2672" t="str">
        <f>IFERROR(+VLOOKUP(Movimientos_2026[[#This Row],[Codigo]],Plan_cuentas[],4,FALSE)," ")</f>
        <v>Rentas</v>
      </c>
      <c r="H2672" t="str">
        <f>IFERROR(+VLOOKUP(Movimientos_2026[[#This Row],[Codigo]],Plan_cuentas[],5,FALSE)," ")</f>
        <v>TIERRA DEL FUEGO</v>
      </c>
      <c r="I2672" s="43">
        <v>46174</v>
      </c>
      <c r="J2672" t="s">
        <v>1247</v>
      </c>
      <c r="K2672" t="str">
        <f>IFERROR(+VLOOKUP(Movimientos_2026[[#This Row],[Codigo]],Plan_cuentas[],6,FALSE)," ")</f>
        <v>6 - FCAtr - Fiat Transf.</v>
      </c>
      <c r="L2672" s="50">
        <v>55778.14</v>
      </c>
      <c r="M2672" s="50"/>
      <c r="N2672" s="20">
        <f>+Movimientos_2026[[#This Row],[Ingresos]]-Movimientos_2026[[#This Row],[Egresos]]</f>
        <v>55778.14</v>
      </c>
      <c r="O2672" s="20">
        <f>+O2671+Movimientos_2026[[#This Row],[Neto]]</f>
        <v>6998995242.2199106</v>
      </c>
    </row>
    <row r="2673" spans="1:15" x14ac:dyDescent="0.25">
      <c r="A2673" s="13">
        <v>46248</v>
      </c>
      <c r="B2673" s="12">
        <f>MONTH(Movimientos_2026[[#This Row],[Fecha]])</f>
        <v>8</v>
      </c>
      <c r="C2673" s="12" t="str">
        <f>VLOOKUP((WEEKDAY(Movimientos_2026[[#This Row],[Fecha]],2)),'5. Setup'!$D$6:$E$12,2,FALSE)</f>
        <v>Vie</v>
      </c>
      <c r="D2673">
        <v>1044126</v>
      </c>
      <c r="E2673" t="str">
        <f>IFERROR(+VLOOKUP(Movimientos_2026[[#This Row],[Codigo]],Plan_cuentas[],2,FALSE)," ")</f>
        <v>INGRESOS</v>
      </c>
      <c r="F2673" t="str">
        <f>IFERROR(+VLOOKUP(Movimientos_2026[[#This Row],[Codigo]],Plan_cuentas[],3,FALSE)," ")</f>
        <v>Transferencia</v>
      </c>
      <c r="G2673" t="str">
        <f>IFERROR(+VLOOKUP(Movimientos_2026[[#This Row],[Codigo]],Plan_cuentas[],4,FALSE)," ")</f>
        <v>Rentas</v>
      </c>
      <c r="H2673" t="str">
        <f>IFERROR(+VLOOKUP(Movimientos_2026[[#This Row],[Codigo]],Plan_cuentas[],5,FALSE)," ")</f>
        <v>BAPRO</v>
      </c>
      <c r="I2673" s="43">
        <v>46143</v>
      </c>
      <c r="J2673" t="s">
        <v>1248</v>
      </c>
      <c r="K2673" t="str">
        <f>IFERROR(+VLOOKUP(Movimientos_2026[[#This Row],[Codigo]],Plan_cuentas[],6,FALSE)," ")</f>
        <v>6 - FCAtr - Fiat Transf.</v>
      </c>
      <c r="L2673" s="50">
        <v>66719104.248439886</v>
      </c>
      <c r="M2673" s="50"/>
      <c r="N2673" s="20">
        <f>+Movimientos_2026[[#This Row],[Ingresos]]-Movimientos_2026[[#This Row],[Egresos]]</f>
        <v>66719104.248439886</v>
      </c>
      <c r="O2673" s="20">
        <f>+O2672+Movimientos_2026[[#This Row],[Neto]]</f>
        <v>7065714346.4683504</v>
      </c>
    </row>
    <row r="2674" spans="1:15" x14ac:dyDescent="0.25">
      <c r="A2674" s="13">
        <v>46248</v>
      </c>
      <c r="B2674" s="12">
        <f>MONTH(Movimientos_2026[[#This Row],[Fecha]])</f>
        <v>8</v>
      </c>
      <c r="C2674" s="12" t="str">
        <f>VLOOKUP((WEEKDAY(Movimientos_2026[[#This Row],[Fecha]],2)),'5. Setup'!$D$6:$E$12,2,FALSE)</f>
        <v>Vie</v>
      </c>
      <c r="D2674">
        <v>1043156</v>
      </c>
      <c r="E2674" t="str">
        <f>IFERROR(+VLOOKUP(Movimientos_2026[[#This Row],[Codigo]],Plan_cuentas[],2,FALSE)," ")</f>
        <v>INGRESOS</v>
      </c>
      <c r="F2674" t="str">
        <f>IFERROR(+VLOOKUP(Movimientos_2026[[#This Row],[Codigo]],Plan_cuentas[],3,FALSE)," ")</f>
        <v>Transferencia</v>
      </c>
      <c r="G2674" t="str">
        <f>IFERROR(+VLOOKUP(Movimientos_2026[[#This Row],[Codigo]],Plan_cuentas[],4,FALSE)," ")</f>
        <v>Registración</v>
      </c>
      <c r="H2674" t="str">
        <f>IFERROR(+VLOOKUP(Movimientos_2026[[#This Row],[Codigo]],Plan_cuentas[],5,FALSE)," ")</f>
        <v>CABA</v>
      </c>
      <c r="I2674" s="43">
        <v>46143</v>
      </c>
      <c r="J2674" t="s">
        <v>1248</v>
      </c>
      <c r="K2674" t="str">
        <f>IFERROR(+VLOOKUP(Movimientos_2026[[#This Row],[Codigo]],Plan_cuentas[],6,FALSE)," ")</f>
        <v>6 - FCAtr - Fiat Transf.</v>
      </c>
      <c r="L2674" s="50">
        <v>17231032.810000002</v>
      </c>
      <c r="M2674" s="50"/>
      <c r="N2674" s="20">
        <f>+Movimientos_2026[[#This Row],[Ingresos]]-Movimientos_2026[[#This Row],[Egresos]]</f>
        <v>17231032.810000002</v>
      </c>
      <c r="O2674" s="20">
        <f>+O2673+Movimientos_2026[[#This Row],[Neto]]</f>
        <v>7082945379.2783508</v>
      </c>
    </row>
    <row r="2675" spans="1:15" x14ac:dyDescent="0.25">
      <c r="A2675" s="13">
        <v>46248</v>
      </c>
      <c r="B2675" s="12">
        <f>MONTH(Movimientos_2026[[#This Row],[Fecha]])</f>
        <v>8</v>
      </c>
      <c r="C2675" s="12" t="str">
        <f>VLOOKUP((WEEKDAY(Movimientos_2026[[#This Row],[Fecha]],2)),'5. Setup'!$D$6:$E$12,2,FALSE)</f>
        <v>Vie</v>
      </c>
      <c r="D2675">
        <v>1043176</v>
      </c>
      <c r="E2675" t="str">
        <f>IFERROR(+VLOOKUP(Movimientos_2026[[#This Row],[Codigo]],Plan_cuentas[],2,FALSE)," ")</f>
        <v>INGRESOS</v>
      </c>
      <c r="F2675" t="str">
        <f>IFERROR(+VLOOKUP(Movimientos_2026[[#This Row],[Codigo]],Plan_cuentas[],3,FALSE)," ")</f>
        <v>Transferencia</v>
      </c>
      <c r="G2675" t="str">
        <f>IFERROR(+VLOOKUP(Movimientos_2026[[#This Row],[Codigo]],Plan_cuentas[],4,FALSE)," ")</f>
        <v>Registración</v>
      </c>
      <c r="H2675" t="str">
        <f>IFERROR(+VLOOKUP(Movimientos_2026[[#This Row],[Codigo]],Plan_cuentas[],5,FALSE)," ")</f>
        <v>CHUBUT</v>
      </c>
      <c r="I2675" s="43">
        <v>46143</v>
      </c>
      <c r="J2675" t="s">
        <v>1248</v>
      </c>
      <c r="K2675" t="str">
        <f>IFERROR(+VLOOKUP(Movimientos_2026[[#This Row],[Codigo]],Plan_cuentas[],6,FALSE)," ")</f>
        <v>6 - FCAtr - Fiat Transf.</v>
      </c>
      <c r="L2675" s="50">
        <v>1766607.7099999995</v>
      </c>
      <c r="M2675" s="50"/>
      <c r="N2675" s="20">
        <f>+Movimientos_2026[[#This Row],[Ingresos]]-Movimientos_2026[[#This Row],[Egresos]]</f>
        <v>1766607.7099999995</v>
      </c>
      <c r="O2675" s="20">
        <f>+O2674+Movimientos_2026[[#This Row],[Neto]]</f>
        <v>7084711986.9883509</v>
      </c>
    </row>
    <row r="2676" spans="1:15" x14ac:dyDescent="0.25">
      <c r="A2676" s="13">
        <v>46248</v>
      </c>
      <c r="B2676" s="12">
        <f>MONTH(Movimientos_2026[[#This Row],[Fecha]])</f>
        <v>8</v>
      </c>
      <c r="C2676" s="12" t="str">
        <f>VLOOKUP((WEEKDAY(Movimientos_2026[[#This Row],[Fecha]],2)),'5. Setup'!$D$6:$E$12,2,FALSE)</f>
        <v>Vie</v>
      </c>
      <c r="D2676">
        <v>1043226</v>
      </c>
      <c r="E2676" t="str">
        <f>IFERROR(+VLOOKUP(Movimientos_2026[[#This Row],[Codigo]],Plan_cuentas[],2,FALSE)," ")</f>
        <v>INGRESOS</v>
      </c>
      <c r="F2676" t="str">
        <f>IFERROR(+VLOOKUP(Movimientos_2026[[#This Row],[Codigo]],Plan_cuentas[],3,FALSE)," ")</f>
        <v>Transferencia</v>
      </c>
      <c r="G2676" t="str">
        <f>IFERROR(+VLOOKUP(Movimientos_2026[[#This Row],[Codigo]],Plan_cuentas[],4,FALSE)," ")</f>
        <v>Registración</v>
      </c>
      <c r="H2676" t="str">
        <f>IFERROR(+VLOOKUP(Movimientos_2026[[#This Row],[Codigo]],Plan_cuentas[],5,FALSE)," ")</f>
        <v>ENTRE RIOS 1° Q</v>
      </c>
      <c r="I2676" s="43">
        <v>46143</v>
      </c>
      <c r="J2676" t="s">
        <v>1248</v>
      </c>
      <c r="K2676" t="str">
        <f>IFERROR(+VLOOKUP(Movimientos_2026[[#This Row],[Codigo]],Plan_cuentas[],6,FALSE)," ")</f>
        <v>6 - FCAtr - Fiat Transf.</v>
      </c>
      <c r="L2676" s="50">
        <v>392653.48000000016</v>
      </c>
      <c r="M2676" s="50"/>
      <c r="N2676" s="20">
        <f>+Movimientos_2026[[#This Row],[Ingresos]]-Movimientos_2026[[#This Row],[Egresos]]</f>
        <v>392653.48000000016</v>
      </c>
      <c r="O2676" s="20">
        <f>+O2675+Movimientos_2026[[#This Row],[Neto]]</f>
        <v>7085104640.4683504</v>
      </c>
    </row>
    <row r="2677" spans="1:15" x14ac:dyDescent="0.25">
      <c r="A2677" s="13">
        <v>46248</v>
      </c>
      <c r="B2677" s="12">
        <f>MONTH(Movimientos_2026[[#This Row],[Fecha]])</f>
        <v>8</v>
      </c>
      <c r="C2677" s="12" t="str">
        <f>VLOOKUP((WEEKDAY(Movimientos_2026[[#This Row],[Fecha]],2)),'5. Setup'!$D$6:$E$12,2,FALSE)</f>
        <v>Vie</v>
      </c>
      <c r="D2677">
        <v>1044246</v>
      </c>
      <c r="E2677" t="str">
        <f>IFERROR(+VLOOKUP(Movimientos_2026[[#This Row],[Codigo]],Plan_cuentas[],2,FALSE)," ")</f>
        <v>INGRESOS</v>
      </c>
      <c r="F2677" t="str">
        <f>IFERROR(+VLOOKUP(Movimientos_2026[[#This Row],[Codigo]],Plan_cuentas[],3,FALSE)," ")</f>
        <v>Transferencia</v>
      </c>
      <c r="G2677" t="str">
        <f>IFERROR(+VLOOKUP(Movimientos_2026[[#This Row],[Codigo]],Plan_cuentas[],4,FALSE)," ")</f>
        <v>Rentas</v>
      </c>
      <c r="H2677" t="str">
        <f>IFERROR(+VLOOKUP(Movimientos_2026[[#This Row],[Codigo]],Plan_cuentas[],5,FALSE)," ")</f>
        <v>FORMOSA</v>
      </c>
      <c r="I2677" s="43">
        <v>46143</v>
      </c>
      <c r="J2677" t="s">
        <v>1248</v>
      </c>
      <c r="K2677" t="str">
        <f>IFERROR(+VLOOKUP(Movimientos_2026[[#This Row],[Codigo]],Plan_cuentas[],6,FALSE)," ")</f>
        <v>6 - FCAtr - Fiat Transf.</v>
      </c>
      <c r="L2677" s="50">
        <v>826791.85000000033</v>
      </c>
      <c r="M2677" s="50"/>
      <c r="N2677" s="20">
        <f>+Movimientos_2026[[#This Row],[Ingresos]]-Movimientos_2026[[#This Row],[Egresos]]</f>
        <v>826791.85000000033</v>
      </c>
      <c r="O2677" s="20">
        <f>+O2676+Movimientos_2026[[#This Row],[Neto]]</f>
        <v>7085931432.3183508</v>
      </c>
    </row>
    <row r="2678" spans="1:15" x14ac:dyDescent="0.25">
      <c r="A2678" s="13">
        <v>46248</v>
      </c>
      <c r="B2678" s="12">
        <f>MONTH(Movimientos_2026[[#This Row],[Fecha]])</f>
        <v>8</v>
      </c>
      <c r="C2678" s="12" t="str">
        <f>VLOOKUP((WEEKDAY(Movimientos_2026[[#This Row],[Fecha]],2)),'5. Setup'!$D$6:$E$12,2,FALSE)</f>
        <v>Vie</v>
      </c>
      <c r="D2678">
        <v>1044366</v>
      </c>
      <c r="E2678" t="str">
        <f>IFERROR(+VLOOKUP(Movimientos_2026[[#This Row],[Codigo]],Plan_cuentas[],2,FALSE)," ")</f>
        <v>INGRESOS</v>
      </c>
      <c r="F2678" t="str">
        <f>IFERROR(+VLOOKUP(Movimientos_2026[[#This Row],[Codigo]],Plan_cuentas[],3,FALSE)," ")</f>
        <v>Transferencia</v>
      </c>
      <c r="G2678" t="str">
        <f>IFERROR(+VLOOKUP(Movimientos_2026[[#This Row],[Codigo]],Plan_cuentas[],4,FALSE)," ")</f>
        <v>Rentas</v>
      </c>
      <c r="H2678" t="str">
        <f>IFERROR(+VLOOKUP(Movimientos_2026[[#This Row],[Codigo]],Plan_cuentas[],5,FALSE)," ")</f>
        <v>SAN LUIS</v>
      </c>
      <c r="I2678" s="43">
        <v>46143</v>
      </c>
      <c r="J2678" t="s">
        <v>1248</v>
      </c>
      <c r="K2678" t="str">
        <f>IFERROR(+VLOOKUP(Movimientos_2026[[#This Row],[Codigo]],Plan_cuentas[],6,FALSE)," ")</f>
        <v>6 - FCAtr - Fiat Transf.</v>
      </c>
      <c r="L2678" s="50">
        <v>548153.36</v>
      </c>
      <c r="M2678" s="50"/>
      <c r="N2678" s="20">
        <f>+Movimientos_2026[[#This Row],[Ingresos]]-Movimientos_2026[[#This Row],[Egresos]]</f>
        <v>548153.36</v>
      </c>
      <c r="O2678" s="20">
        <f>+O2677+Movimientos_2026[[#This Row],[Neto]]</f>
        <v>7086479585.6783504</v>
      </c>
    </row>
    <row r="2679" spans="1:15" x14ac:dyDescent="0.25">
      <c r="A2679" s="13">
        <v>46248</v>
      </c>
      <c r="B2679" s="12">
        <f>MONTH(Movimientos_2026[[#This Row],[Fecha]])</f>
        <v>8</v>
      </c>
      <c r="C2679" s="12" t="str">
        <f>VLOOKUP((WEEKDAY(Movimientos_2026[[#This Row],[Fecha]],2)),'5. Setup'!$D$6:$E$12,2,FALSE)</f>
        <v>Vie</v>
      </c>
      <c r="D2679">
        <v>1043376</v>
      </c>
      <c r="E2679" t="str">
        <f>IFERROR(+VLOOKUP(Movimientos_2026[[#This Row],[Codigo]],Plan_cuentas[],2,FALSE)," ")</f>
        <v>INGRESOS</v>
      </c>
      <c r="F2679" t="str">
        <f>IFERROR(+VLOOKUP(Movimientos_2026[[#This Row],[Codigo]],Plan_cuentas[],3,FALSE)," ")</f>
        <v>Transferencia</v>
      </c>
      <c r="G2679" t="str">
        <f>IFERROR(+VLOOKUP(Movimientos_2026[[#This Row],[Codigo]],Plan_cuentas[],4,FALSE)," ")</f>
        <v>Registración</v>
      </c>
      <c r="H2679" t="str">
        <f>IFERROR(+VLOOKUP(Movimientos_2026[[#This Row],[Codigo]],Plan_cuentas[],5,FALSE)," ")</f>
        <v>SANTA CRUZ</v>
      </c>
      <c r="I2679" s="43">
        <v>46143</v>
      </c>
      <c r="J2679" t="s">
        <v>1248</v>
      </c>
      <c r="K2679" t="str">
        <f>IFERROR(+VLOOKUP(Movimientos_2026[[#This Row],[Codigo]],Plan_cuentas[],6,FALSE)," ")</f>
        <v>6 - FCAtr - Fiat Transf.</v>
      </c>
      <c r="L2679" s="50">
        <v>604691.32000000007</v>
      </c>
      <c r="M2679" s="50"/>
      <c r="N2679" s="20">
        <f>+Movimientos_2026[[#This Row],[Ingresos]]-Movimientos_2026[[#This Row],[Egresos]]</f>
        <v>604691.32000000007</v>
      </c>
      <c r="O2679" s="20">
        <f>+O2678+Movimientos_2026[[#This Row],[Neto]]</f>
        <v>7087084276.9983501</v>
      </c>
    </row>
    <row r="2680" spans="1:15" x14ac:dyDescent="0.25">
      <c r="A2680" s="13">
        <v>46248</v>
      </c>
      <c r="B2680" s="12">
        <f>MONTH(Movimientos_2026[[#This Row],[Fecha]])</f>
        <v>8</v>
      </c>
      <c r="C2680" s="12" t="str">
        <f>VLOOKUP((WEEKDAY(Movimientos_2026[[#This Row],[Fecha]],2)),'5. Setup'!$D$6:$E$12,2,FALSE)</f>
        <v>Vie</v>
      </c>
      <c r="D2680">
        <v>1043386</v>
      </c>
      <c r="E2680" t="str">
        <f>IFERROR(+VLOOKUP(Movimientos_2026[[#This Row],[Codigo]],Plan_cuentas[],2,FALSE)," ")</f>
        <v>INGRESOS</v>
      </c>
      <c r="F2680" t="str">
        <f>IFERROR(+VLOOKUP(Movimientos_2026[[#This Row],[Codigo]],Plan_cuentas[],3,FALSE)," ")</f>
        <v>Transferencia</v>
      </c>
      <c r="G2680" t="str">
        <f>IFERROR(+VLOOKUP(Movimientos_2026[[#This Row],[Codigo]],Plan_cuentas[],4,FALSE)," ")</f>
        <v>Registración</v>
      </c>
      <c r="H2680" t="str">
        <f>IFERROR(+VLOOKUP(Movimientos_2026[[#This Row],[Codigo]],Plan_cuentas[],5,FALSE)," ")</f>
        <v>SANTA FE 1° Q</v>
      </c>
      <c r="I2680" s="43">
        <v>46143</v>
      </c>
      <c r="J2680" t="s">
        <v>1248</v>
      </c>
      <c r="K2680" t="str">
        <f>IFERROR(+VLOOKUP(Movimientos_2026[[#This Row],[Codigo]],Plan_cuentas[],6,FALSE)," ")</f>
        <v>6 - FCAtr - Fiat Transf.</v>
      </c>
      <c r="L2680" s="50">
        <v>3210291.3000000035</v>
      </c>
      <c r="M2680" s="50"/>
      <c r="N2680" s="20">
        <f>+Movimientos_2026[[#This Row],[Ingresos]]-Movimientos_2026[[#This Row],[Egresos]]</f>
        <v>3210291.3000000035</v>
      </c>
      <c r="O2680" s="20">
        <f>+O2679+Movimientos_2026[[#This Row],[Neto]]</f>
        <v>7090294568.2983503</v>
      </c>
    </row>
    <row r="2681" spans="1:15" x14ac:dyDescent="0.25">
      <c r="A2681" s="13">
        <v>46252</v>
      </c>
      <c r="B2681" s="12">
        <f>MONTH(Movimientos_2026[[#This Row],[Fecha]])</f>
        <v>8</v>
      </c>
      <c r="C2681" s="12" t="str">
        <f>VLOOKUP((WEEKDAY(Movimientos_2026[[#This Row],[Fecha]],2)),'5. Setup'!$D$6:$E$12,2,FALSE)</f>
        <v>Mar</v>
      </c>
      <c r="D2681">
        <v>2014353</v>
      </c>
      <c r="E2681" t="str">
        <f>IFERROR(+VLOOKUP(Movimientos_2026[[#This Row],[Codigo]],Plan_cuentas[],2,FALSE)," ")</f>
        <v>EGRESOS</v>
      </c>
      <c r="F2681" t="str">
        <f>IFERROR(+VLOOKUP(Movimientos_2026[[#This Row],[Codigo]],Plan_cuentas[],3,FALSE)," ")</f>
        <v>BtoB</v>
      </c>
      <c r="G2681" t="str">
        <f>IFERROR(+VLOOKUP(Movimientos_2026[[#This Row],[Codigo]],Plan_cuentas[],4,FALSE)," ")</f>
        <v>Rentas</v>
      </c>
      <c r="H2681" t="str">
        <f>IFERROR(+VLOOKUP(Movimientos_2026[[#This Row],[Codigo]],Plan_cuentas[],5,FALSE)," ")</f>
        <v>SAN JUAN</v>
      </c>
      <c r="I2681" s="43">
        <v>46204</v>
      </c>
      <c r="J2681" t="s">
        <v>1250</v>
      </c>
      <c r="K2681" t="str">
        <f>IFERROR(+VLOOKUP(Movimientos_2026[[#This Row],[Codigo]],Plan_cuentas[],6,FALSE)," ")</f>
        <v>3 - GM - Chevrolet</v>
      </c>
      <c r="L2681" s="50"/>
      <c r="M2681" s="50">
        <v>12709542.119999999</v>
      </c>
      <c r="N2681" s="20">
        <f>+Movimientos_2026[[#This Row],[Ingresos]]-Movimientos_2026[[#This Row],[Egresos]]</f>
        <v>-12709542.119999999</v>
      </c>
      <c r="O2681" s="20">
        <f>+O2680+Movimientos_2026[[#This Row],[Neto]]</f>
        <v>7077585026.1783504</v>
      </c>
    </row>
    <row r="2682" spans="1:15" x14ac:dyDescent="0.25">
      <c r="A2682" s="13">
        <v>46252</v>
      </c>
      <c r="B2682" s="12">
        <f>MONTH(Movimientos_2026[[#This Row],[Fecha]])</f>
        <v>8</v>
      </c>
      <c r="C2682" s="12" t="str">
        <f>VLOOKUP((WEEKDAY(Movimientos_2026[[#This Row],[Fecha]],2)),'5. Setup'!$D$6:$E$12,2,FALSE)</f>
        <v>Mar</v>
      </c>
      <c r="D2682">
        <v>2014171</v>
      </c>
      <c r="E2682" t="str">
        <f>IFERROR(+VLOOKUP(Movimientos_2026[[#This Row],[Codigo]],Plan_cuentas[],2,FALSE)," ")</f>
        <v>EGRESOS</v>
      </c>
      <c r="F2682" t="str">
        <f>IFERROR(+VLOOKUP(Movimientos_2026[[#This Row],[Codigo]],Plan_cuentas[],3,FALSE)," ")</f>
        <v>BtoB</v>
      </c>
      <c r="G2682" t="str">
        <f>IFERROR(+VLOOKUP(Movimientos_2026[[#This Row],[Codigo]],Plan_cuentas[],4,FALSE)," ")</f>
        <v>Rentas</v>
      </c>
      <c r="H2682" t="str">
        <f>IFERROR(+VLOOKUP(Movimientos_2026[[#This Row],[Codigo]],Plan_cuentas[],5,FALSE)," ")</f>
        <v>CHUBUT</v>
      </c>
      <c r="I2682" s="43">
        <v>46204</v>
      </c>
      <c r="J2682" t="s">
        <v>1251</v>
      </c>
      <c r="K2682" t="str">
        <f>IFERROR(+VLOOKUP(Movimientos_2026[[#This Row],[Codigo]],Plan_cuentas[],6,FALSE)," ")</f>
        <v>1 - VW - Volkswagen</v>
      </c>
      <c r="L2682" s="50"/>
      <c r="M2682" s="50">
        <v>26697882.140000001</v>
      </c>
      <c r="N2682" s="20">
        <f>+Movimientos_2026[[#This Row],[Ingresos]]-Movimientos_2026[[#This Row],[Egresos]]</f>
        <v>-26697882.140000001</v>
      </c>
      <c r="O2682" s="20">
        <f>+O2681+Movimientos_2026[[#This Row],[Neto]]</f>
        <v>7050887144.0383501</v>
      </c>
    </row>
    <row r="2683" spans="1:15" x14ac:dyDescent="0.25">
      <c r="A2683" s="13">
        <v>46252</v>
      </c>
      <c r="B2683" s="12">
        <f>MONTH(Movimientos_2026[[#This Row],[Fecha]])</f>
        <v>8</v>
      </c>
      <c r="C2683" s="12" t="str">
        <f>VLOOKUP((WEEKDAY(Movimientos_2026[[#This Row],[Fecha]],2)),'5. Setup'!$D$6:$E$12,2,FALSE)</f>
        <v>Mar</v>
      </c>
      <c r="D2683">
        <v>2014352</v>
      </c>
      <c r="E2683" t="str">
        <f>IFERROR(+VLOOKUP(Movimientos_2026[[#This Row],[Codigo]],Plan_cuentas[],2,FALSE)," ")</f>
        <v>EGRESOS</v>
      </c>
      <c r="F2683" t="str">
        <f>IFERROR(+VLOOKUP(Movimientos_2026[[#This Row],[Codigo]],Plan_cuentas[],3,FALSE)," ")</f>
        <v>BtoB</v>
      </c>
      <c r="G2683" t="str">
        <f>IFERROR(+VLOOKUP(Movimientos_2026[[#This Row],[Codigo]],Plan_cuentas[],4,FALSE)," ")</f>
        <v>Rentas</v>
      </c>
      <c r="H2683" t="str">
        <f>IFERROR(+VLOOKUP(Movimientos_2026[[#This Row],[Codigo]],Plan_cuentas[],5,FALSE)," ")</f>
        <v>SAN JUAN</v>
      </c>
      <c r="I2683" s="43">
        <v>46204</v>
      </c>
      <c r="J2683" t="s">
        <v>1249</v>
      </c>
      <c r="K2683" t="str">
        <f>IFERROR(+VLOOKUP(Movimientos_2026[[#This Row],[Codigo]],Plan_cuentas[],6,FALSE)," ")</f>
        <v>2 - PR - Plan Rombo</v>
      </c>
      <c r="L2683" s="50"/>
      <c r="M2683" s="50">
        <v>5262087.08</v>
      </c>
      <c r="N2683" s="20">
        <f>+Movimientos_2026[[#This Row],[Ingresos]]-Movimientos_2026[[#This Row],[Egresos]]</f>
        <v>-5262087.08</v>
      </c>
      <c r="O2683" s="20">
        <f>+O2682+Movimientos_2026[[#This Row],[Neto]]</f>
        <v>7045625056.9583502</v>
      </c>
    </row>
    <row r="2684" spans="1:15" x14ac:dyDescent="0.25">
      <c r="A2684" s="13">
        <v>46252</v>
      </c>
      <c r="B2684" s="12">
        <f>MONTH(Movimientos_2026[[#This Row],[Fecha]])</f>
        <v>8</v>
      </c>
      <c r="C2684" s="12" t="str">
        <f>VLOOKUP((WEEKDAY(Movimientos_2026[[#This Row],[Fecha]],2)),'5. Setup'!$D$6:$E$12,2,FALSE)</f>
        <v>Mar</v>
      </c>
      <c r="D2684">
        <v>2021131</v>
      </c>
      <c r="E2684" t="str">
        <f>IFERROR(+VLOOKUP(Movimientos_2026[[#This Row],[Codigo]],Plan_cuentas[],2,FALSE)," ")</f>
        <v>EGRESOS</v>
      </c>
      <c r="F2684" t="str">
        <f>IFERROR(+VLOOKUP(Movimientos_2026[[#This Row],[Codigo]],Plan_cuentas[],3,FALSE)," ")</f>
        <v>DDJJ</v>
      </c>
      <c r="G2684" t="str">
        <f>IFERROR(+VLOOKUP(Movimientos_2026[[#This Row],[Codigo]],Plan_cuentas[],4,FALSE)," ")</f>
        <v>Entidades co-participadas</v>
      </c>
      <c r="H2684" t="str">
        <f>IFERROR(+VLOOKUP(Movimientos_2026[[#This Row],[Codigo]],Plan_cuentas[],5,FALSE)," ")</f>
        <v>BCLP</v>
      </c>
      <c r="I2684" s="43">
        <v>46204</v>
      </c>
      <c r="J2684" t="s">
        <v>1252</v>
      </c>
      <c r="K2684" t="str">
        <f>IFERROR(+VLOOKUP(Movimientos_2026[[#This Row],[Codigo]],Plan_cuentas[],6,FALSE)," ")</f>
        <v>1 - VW - Volkswagen</v>
      </c>
      <c r="L2684" s="50"/>
      <c r="M2684" s="50">
        <v>9249566.2799999993</v>
      </c>
      <c r="N2684" s="20">
        <f>+Movimientos_2026[[#This Row],[Ingresos]]-Movimientos_2026[[#This Row],[Egresos]]</f>
        <v>-9249566.2799999993</v>
      </c>
      <c r="O2684" s="20">
        <f>+O2683+Movimientos_2026[[#This Row],[Neto]]</f>
        <v>7036375490.6783504</v>
      </c>
    </row>
    <row r="2685" spans="1:15" x14ac:dyDescent="0.25">
      <c r="A2685" s="13">
        <v>46252</v>
      </c>
      <c r="B2685" s="12">
        <f>MONTH(Movimientos_2026[[#This Row],[Fecha]])</f>
        <v>8</v>
      </c>
      <c r="C2685" s="12" t="str">
        <f>VLOOKUP((WEEKDAY(Movimientos_2026[[#This Row],[Fecha]],2)),'5. Setup'!$D$6:$E$12,2,FALSE)</f>
        <v>Mar</v>
      </c>
      <c r="D2685">
        <v>2021133</v>
      </c>
      <c r="E2685" t="str">
        <f>IFERROR(+VLOOKUP(Movimientos_2026[[#This Row],[Codigo]],Plan_cuentas[],2,FALSE)," ")</f>
        <v>EGRESOS</v>
      </c>
      <c r="F2685" t="str">
        <f>IFERROR(+VLOOKUP(Movimientos_2026[[#This Row],[Codigo]],Plan_cuentas[],3,FALSE)," ")</f>
        <v>DDJJ</v>
      </c>
      <c r="G2685" t="str">
        <f>IFERROR(+VLOOKUP(Movimientos_2026[[#This Row],[Codigo]],Plan_cuentas[],4,FALSE)," ")</f>
        <v>Entidades co-participadas</v>
      </c>
      <c r="H2685" t="str">
        <f>IFERROR(+VLOOKUP(Movimientos_2026[[#This Row],[Codigo]],Plan_cuentas[],5,FALSE)," ")</f>
        <v>BCLP</v>
      </c>
      <c r="I2685" s="43">
        <v>46204</v>
      </c>
      <c r="J2685" t="s">
        <v>1252</v>
      </c>
      <c r="K2685" t="str">
        <f>IFERROR(+VLOOKUP(Movimientos_2026[[#This Row],[Codigo]],Plan_cuentas[],6,FALSE)," ")</f>
        <v>3 - GM - Chevrolet</v>
      </c>
      <c r="L2685" s="50"/>
      <c r="M2685" s="50">
        <v>5697864.3799999999</v>
      </c>
      <c r="N2685" s="20">
        <f>+Movimientos_2026[[#This Row],[Ingresos]]-Movimientos_2026[[#This Row],[Egresos]]</f>
        <v>-5697864.3799999999</v>
      </c>
      <c r="O2685" s="20">
        <f>+O2684+Movimientos_2026[[#This Row],[Neto]]</f>
        <v>7030677626.2983503</v>
      </c>
    </row>
    <row r="2686" spans="1:15" x14ac:dyDescent="0.25">
      <c r="A2686" s="13">
        <v>46252</v>
      </c>
      <c r="B2686" s="12">
        <f>MONTH(Movimientos_2026[[#This Row],[Fecha]])</f>
        <v>8</v>
      </c>
      <c r="C2686" s="12" t="str">
        <f>VLOOKUP((WEEKDAY(Movimientos_2026[[#This Row],[Fecha]],2)),'5. Setup'!$D$6:$E$12,2,FALSE)</f>
        <v>Mar</v>
      </c>
      <c r="D2686">
        <v>2021134</v>
      </c>
      <c r="E2686" t="str">
        <f>IFERROR(+VLOOKUP(Movimientos_2026[[#This Row],[Codigo]],Plan_cuentas[],2,FALSE)," ")</f>
        <v>EGRESOS</v>
      </c>
      <c r="F2686" t="str">
        <f>IFERROR(+VLOOKUP(Movimientos_2026[[#This Row],[Codigo]],Plan_cuentas[],3,FALSE)," ")</f>
        <v>DDJJ</v>
      </c>
      <c r="G2686" t="str">
        <f>IFERROR(+VLOOKUP(Movimientos_2026[[#This Row],[Codigo]],Plan_cuentas[],4,FALSE)," ")</f>
        <v>Entidades co-participadas</v>
      </c>
      <c r="H2686" t="str">
        <f>IFERROR(+VLOOKUP(Movimientos_2026[[#This Row],[Codigo]],Plan_cuentas[],5,FALSE)," ")</f>
        <v>BCLP</v>
      </c>
      <c r="I2686" s="43">
        <v>46204</v>
      </c>
      <c r="J2686" t="s">
        <v>1252</v>
      </c>
      <c r="K2686" t="str">
        <f>IFERROR(+VLOOKUP(Movimientos_2026[[#This Row],[Codigo]],Plan_cuentas[],6,FALSE)," ")</f>
        <v>4 - FCA - Fiat</v>
      </c>
      <c r="L2686" s="50"/>
      <c r="M2686" s="50">
        <v>14108408.609999999</v>
      </c>
      <c r="N2686" s="20">
        <f>+Movimientos_2026[[#This Row],[Ingresos]]-Movimientos_2026[[#This Row],[Egresos]]</f>
        <v>-14108408.609999999</v>
      </c>
      <c r="O2686" s="20">
        <f>+O2685+Movimientos_2026[[#This Row],[Neto]]</f>
        <v>7016569217.6883507</v>
      </c>
    </row>
    <row r="2687" spans="1:15" x14ac:dyDescent="0.25">
      <c r="A2687" s="13">
        <v>46252</v>
      </c>
      <c r="B2687" s="12">
        <f>MONTH(Movimientos_2026[[#This Row],[Fecha]])</f>
        <v>8</v>
      </c>
      <c r="C2687" s="12" t="str">
        <f>VLOOKUP((WEEKDAY(Movimientos_2026[[#This Row],[Fecha]],2)),'5. Setup'!$D$6:$E$12,2,FALSE)</f>
        <v>Mar</v>
      </c>
      <c r="D2687">
        <v>2023141</v>
      </c>
      <c r="E2687" t="str">
        <f>IFERROR(+VLOOKUP(Movimientos_2026[[#This Row],[Codigo]],Plan_cuentas[],2,FALSE)," ")</f>
        <v>EGRESOS</v>
      </c>
      <c r="F2687" t="str">
        <f>IFERROR(+VLOOKUP(Movimientos_2026[[#This Row],[Codigo]],Plan_cuentas[],3,FALSE)," ")</f>
        <v>DDJJ</v>
      </c>
      <c r="G2687" t="str">
        <f>IFERROR(+VLOOKUP(Movimientos_2026[[#This Row],[Codigo]],Plan_cuentas[],4,FALSE)," ")</f>
        <v>Registración</v>
      </c>
      <c r="H2687" t="str">
        <f>IFERROR(+VLOOKUP(Movimientos_2026[[#This Row],[Codigo]],Plan_cuentas[],5,FALSE)," ")</f>
        <v>BUENOS AIRES</v>
      </c>
      <c r="I2687" s="43">
        <v>46204</v>
      </c>
      <c r="J2687" t="s">
        <v>1254</v>
      </c>
      <c r="K2687" t="str">
        <f>IFERROR(+VLOOKUP(Movimientos_2026[[#This Row],[Codigo]],Plan_cuentas[],6,FALSE)," ")</f>
        <v>1 - VW - Volkswagen</v>
      </c>
      <c r="L2687" s="50"/>
      <c r="M2687" s="50">
        <v>691008287.95000005</v>
      </c>
      <c r="N2687" s="20">
        <f>+Movimientos_2026[[#This Row],[Ingresos]]-Movimientos_2026[[#This Row],[Egresos]]</f>
        <v>-691008287.95000005</v>
      </c>
      <c r="O2687" s="20">
        <f>+O2686+Movimientos_2026[[#This Row],[Neto]]</f>
        <v>6325560929.7383509</v>
      </c>
    </row>
    <row r="2688" spans="1:15" x14ac:dyDescent="0.25">
      <c r="A2688" s="13">
        <v>46252</v>
      </c>
      <c r="B2688" s="12">
        <f>MONTH(Movimientos_2026[[#This Row],[Fecha]])</f>
        <v>8</v>
      </c>
      <c r="C2688" s="12" t="str">
        <f>VLOOKUP((WEEKDAY(Movimientos_2026[[#This Row],[Fecha]],2)),'5. Setup'!$D$6:$E$12,2,FALSE)</f>
        <v>Mar</v>
      </c>
      <c r="D2688">
        <v>2023142</v>
      </c>
      <c r="E2688" t="str">
        <f>IFERROR(+VLOOKUP(Movimientos_2026[[#This Row],[Codigo]],Plan_cuentas[],2,FALSE)," ")</f>
        <v>EGRESOS</v>
      </c>
      <c r="F2688" t="str">
        <f>IFERROR(+VLOOKUP(Movimientos_2026[[#This Row],[Codigo]],Plan_cuentas[],3,FALSE)," ")</f>
        <v>DDJJ</v>
      </c>
      <c r="G2688" t="str">
        <f>IFERROR(+VLOOKUP(Movimientos_2026[[#This Row],[Codigo]],Plan_cuentas[],4,FALSE)," ")</f>
        <v>Registración</v>
      </c>
      <c r="H2688" t="str">
        <f>IFERROR(+VLOOKUP(Movimientos_2026[[#This Row],[Codigo]],Plan_cuentas[],5,FALSE)," ")</f>
        <v>BUENOS AIRES</v>
      </c>
      <c r="I2688" s="43">
        <v>46204</v>
      </c>
      <c r="J2688" t="s">
        <v>1254</v>
      </c>
      <c r="K2688" t="str">
        <f>IFERROR(+VLOOKUP(Movimientos_2026[[#This Row],[Codigo]],Plan_cuentas[],6,FALSE)," ")</f>
        <v>2 - PR - Plan Rombo</v>
      </c>
      <c r="L2688" s="50"/>
      <c r="M2688" s="50">
        <v>319913592.17000002</v>
      </c>
      <c r="N2688" s="20">
        <f>+Movimientos_2026[[#This Row],[Ingresos]]-Movimientos_2026[[#This Row],[Egresos]]</f>
        <v>-319913592.17000002</v>
      </c>
      <c r="O2688" s="20">
        <f>+O2687+Movimientos_2026[[#This Row],[Neto]]</f>
        <v>6005647337.5683508</v>
      </c>
    </row>
    <row r="2689" spans="1:15" x14ac:dyDescent="0.25">
      <c r="A2689" s="13">
        <v>46252</v>
      </c>
      <c r="B2689" s="12">
        <f>MONTH(Movimientos_2026[[#This Row],[Fecha]])</f>
        <v>8</v>
      </c>
      <c r="C2689" s="12" t="str">
        <f>VLOOKUP((WEEKDAY(Movimientos_2026[[#This Row],[Fecha]],2)),'5. Setup'!$D$6:$E$12,2,FALSE)</f>
        <v>Mar</v>
      </c>
      <c r="D2689">
        <v>2023143</v>
      </c>
      <c r="E2689" t="str">
        <f>IFERROR(+VLOOKUP(Movimientos_2026[[#This Row],[Codigo]],Plan_cuentas[],2,FALSE)," ")</f>
        <v>EGRESOS</v>
      </c>
      <c r="F2689" t="str">
        <f>IFERROR(+VLOOKUP(Movimientos_2026[[#This Row],[Codigo]],Plan_cuentas[],3,FALSE)," ")</f>
        <v>DDJJ</v>
      </c>
      <c r="G2689" t="str">
        <f>IFERROR(+VLOOKUP(Movimientos_2026[[#This Row],[Codigo]],Plan_cuentas[],4,FALSE)," ")</f>
        <v>Registración</v>
      </c>
      <c r="H2689" t="str">
        <f>IFERROR(+VLOOKUP(Movimientos_2026[[#This Row],[Codigo]],Plan_cuentas[],5,FALSE)," ")</f>
        <v>BUENOS AIRES</v>
      </c>
      <c r="I2689" s="43">
        <v>46204</v>
      </c>
      <c r="J2689" t="s">
        <v>1254</v>
      </c>
      <c r="K2689" t="str">
        <f>IFERROR(+VLOOKUP(Movimientos_2026[[#This Row],[Codigo]],Plan_cuentas[],6,FALSE)," ")</f>
        <v>3 - GM - Chevrolet</v>
      </c>
      <c r="L2689" s="50"/>
      <c r="M2689" s="50">
        <v>280775886.75999999</v>
      </c>
      <c r="N2689" s="20">
        <f>+Movimientos_2026[[#This Row],[Ingresos]]-Movimientos_2026[[#This Row],[Egresos]]</f>
        <v>-280775886.75999999</v>
      </c>
      <c r="O2689" s="20">
        <f>+O2688+Movimientos_2026[[#This Row],[Neto]]</f>
        <v>5724871450.8083506</v>
      </c>
    </row>
    <row r="2690" spans="1:15" x14ac:dyDescent="0.25">
      <c r="A2690" s="13">
        <v>46252</v>
      </c>
      <c r="B2690" s="12">
        <f>MONTH(Movimientos_2026[[#This Row],[Fecha]])</f>
        <v>8</v>
      </c>
      <c r="C2690" s="12" t="str">
        <f>VLOOKUP((WEEKDAY(Movimientos_2026[[#This Row],[Fecha]],2)),'5. Setup'!$D$6:$E$12,2,FALSE)</f>
        <v>Mar</v>
      </c>
      <c r="D2690">
        <v>2023144</v>
      </c>
      <c r="E2690" t="str">
        <f>IFERROR(+VLOOKUP(Movimientos_2026[[#This Row],[Codigo]],Plan_cuentas[],2,FALSE)," ")</f>
        <v>EGRESOS</v>
      </c>
      <c r="F2690" t="str">
        <f>IFERROR(+VLOOKUP(Movimientos_2026[[#This Row],[Codigo]],Plan_cuentas[],3,FALSE)," ")</f>
        <v>DDJJ</v>
      </c>
      <c r="G2690" t="str">
        <f>IFERROR(+VLOOKUP(Movimientos_2026[[#This Row],[Codigo]],Plan_cuentas[],4,FALSE)," ")</f>
        <v>Registración</v>
      </c>
      <c r="H2690" t="str">
        <f>IFERROR(+VLOOKUP(Movimientos_2026[[#This Row],[Codigo]],Plan_cuentas[],5,FALSE)," ")</f>
        <v>BUENOS AIRES</v>
      </c>
      <c r="I2690" s="43">
        <v>46204</v>
      </c>
      <c r="J2690" t="s">
        <v>1254</v>
      </c>
      <c r="K2690" t="str">
        <f>IFERROR(+VLOOKUP(Movimientos_2026[[#This Row],[Codigo]],Plan_cuentas[],6,FALSE)," ")</f>
        <v>4 - FCA - Fiat</v>
      </c>
      <c r="L2690" s="50"/>
      <c r="M2690" s="50">
        <v>704285702.90999997</v>
      </c>
      <c r="N2690" s="20">
        <f>+Movimientos_2026[[#This Row],[Ingresos]]-Movimientos_2026[[#This Row],[Egresos]]</f>
        <v>-704285702.90999997</v>
      </c>
      <c r="O2690" s="20">
        <f>+O2689+Movimientos_2026[[#This Row],[Neto]]</f>
        <v>5020585747.8983507</v>
      </c>
    </row>
    <row r="2691" spans="1:15" x14ac:dyDescent="0.25">
      <c r="A2691" s="13">
        <v>46252</v>
      </c>
      <c r="B2691" s="12">
        <f>MONTH(Movimientos_2026[[#This Row],[Fecha]])</f>
        <v>8</v>
      </c>
      <c r="C2691" s="12" t="str">
        <f>VLOOKUP((WEEKDAY(Movimientos_2026[[#This Row],[Fecha]],2)),'5. Setup'!$D$6:$E$12,2,FALSE)</f>
        <v>Mar</v>
      </c>
      <c r="D2691">
        <v>2021441</v>
      </c>
      <c r="E2691" t="str">
        <f>IFERROR(+VLOOKUP(Movimientos_2026[[#This Row],[Codigo]],Plan_cuentas[],2,FALSE)," ")</f>
        <v>EGRESOS</v>
      </c>
      <c r="F2691" t="str">
        <f>IFERROR(+VLOOKUP(Movimientos_2026[[#This Row],[Codigo]],Plan_cuentas[],3,FALSE)," ")</f>
        <v>DDJJ</v>
      </c>
      <c r="G2691" t="str">
        <f>IFERROR(+VLOOKUP(Movimientos_2026[[#This Row],[Codigo]],Plan_cuentas[],4,FALSE)," ")</f>
        <v>Entidades co-participadas</v>
      </c>
      <c r="H2691" t="str">
        <f>IFERROR(+VLOOKUP(Movimientos_2026[[#This Row],[Codigo]],Plan_cuentas[],5,FALSE)," ")</f>
        <v>UISCUMARR</v>
      </c>
      <c r="I2691" s="43">
        <v>46204</v>
      </c>
      <c r="J2691" t="s">
        <v>1253</v>
      </c>
      <c r="K2691" t="str">
        <f>IFERROR(+VLOOKUP(Movimientos_2026[[#This Row],[Codigo]],Plan_cuentas[],6,FALSE)," ")</f>
        <v>1 - VW - Volkswagen</v>
      </c>
      <c r="L2691" s="50"/>
      <c r="M2691" s="50">
        <v>127305285.65000001</v>
      </c>
      <c r="N2691" s="20">
        <f>+Movimientos_2026[[#This Row],[Ingresos]]-Movimientos_2026[[#This Row],[Egresos]]</f>
        <v>-127305285.65000001</v>
      </c>
      <c r="O2691" s="20">
        <f>+O2690+Movimientos_2026[[#This Row],[Neto]]</f>
        <v>4893280462.2483511</v>
      </c>
    </row>
    <row r="2692" spans="1:15" x14ac:dyDescent="0.25">
      <c r="A2692" s="13">
        <v>46252</v>
      </c>
      <c r="B2692" s="12">
        <f>MONTH(Movimientos_2026[[#This Row],[Fecha]])</f>
        <v>8</v>
      </c>
      <c r="C2692" s="12" t="str">
        <f>VLOOKUP((WEEKDAY(Movimientos_2026[[#This Row],[Fecha]],2)),'5. Setup'!$D$6:$E$12,2,FALSE)</f>
        <v>Mar</v>
      </c>
      <c r="D2692">
        <v>2021443</v>
      </c>
      <c r="E2692" t="str">
        <f>IFERROR(+VLOOKUP(Movimientos_2026[[#This Row],[Codigo]],Plan_cuentas[],2,FALSE)," ")</f>
        <v>EGRESOS</v>
      </c>
      <c r="F2692" t="str">
        <f>IFERROR(+VLOOKUP(Movimientos_2026[[#This Row],[Codigo]],Plan_cuentas[],3,FALSE)," ")</f>
        <v>DDJJ</v>
      </c>
      <c r="G2692" t="str">
        <f>IFERROR(+VLOOKUP(Movimientos_2026[[#This Row],[Codigo]],Plan_cuentas[],4,FALSE)," ")</f>
        <v>Entidades co-participadas</v>
      </c>
      <c r="H2692" t="str">
        <f>IFERROR(+VLOOKUP(Movimientos_2026[[#This Row],[Codigo]],Plan_cuentas[],5,FALSE)," ")</f>
        <v>UISCUMARR</v>
      </c>
      <c r="I2692" s="43">
        <v>46204</v>
      </c>
      <c r="J2692" t="s">
        <v>1253</v>
      </c>
      <c r="K2692" t="str">
        <f>IFERROR(+VLOOKUP(Movimientos_2026[[#This Row],[Codigo]],Plan_cuentas[],6,FALSE)," ")</f>
        <v>3 - GM - Chevrolet</v>
      </c>
      <c r="L2692" s="50"/>
      <c r="M2692" s="50">
        <v>31088766.82</v>
      </c>
      <c r="N2692" s="20">
        <f>+Movimientos_2026[[#This Row],[Ingresos]]-Movimientos_2026[[#This Row],[Egresos]]</f>
        <v>-31088766.82</v>
      </c>
      <c r="O2692" s="20">
        <f>+O2691+Movimientos_2026[[#This Row],[Neto]]</f>
        <v>4862191695.4283514</v>
      </c>
    </row>
    <row r="2693" spans="1:15" x14ac:dyDescent="0.25">
      <c r="A2693" s="13">
        <v>46252</v>
      </c>
      <c r="B2693" s="12">
        <f>MONTH(Movimientos_2026[[#This Row],[Fecha]])</f>
        <v>8</v>
      </c>
      <c r="C2693" s="12" t="str">
        <f>VLOOKUP((WEEKDAY(Movimientos_2026[[#This Row],[Fecha]],2)),'5. Setup'!$D$6:$E$12,2,FALSE)</f>
        <v>Mar</v>
      </c>
      <c r="D2693">
        <v>2021444</v>
      </c>
      <c r="E2693" t="str">
        <f>IFERROR(+VLOOKUP(Movimientos_2026[[#This Row],[Codigo]],Plan_cuentas[],2,FALSE)," ")</f>
        <v>EGRESOS</v>
      </c>
      <c r="F2693" t="str">
        <f>IFERROR(+VLOOKUP(Movimientos_2026[[#This Row],[Codigo]],Plan_cuentas[],3,FALSE)," ")</f>
        <v>DDJJ</v>
      </c>
      <c r="G2693" t="str">
        <f>IFERROR(+VLOOKUP(Movimientos_2026[[#This Row],[Codigo]],Plan_cuentas[],4,FALSE)," ")</f>
        <v>Entidades co-participadas</v>
      </c>
      <c r="H2693" t="str">
        <f>IFERROR(+VLOOKUP(Movimientos_2026[[#This Row],[Codigo]],Plan_cuentas[],5,FALSE)," ")</f>
        <v>UISCUMARR</v>
      </c>
      <c r="I2693" s="43">
        <v>46204</v>
      </c>
      <c r="J2693" t="s">
        <v>1253</v>
      </c>
      <c r="K2693" t="str">
        <f>IFERROR(+VLOOKUP(Movimientos_2026[[#This Row],[Codigo]],Plan_cuentas[],6,FALSE)," ")</f>
        <v>4 - FCA - Fiat</v>
      </c>
      <c r="L2693" s="50"/>
      <c r="M2693" s="50">
        <v>153250120.83000001</v>
      </c>
      <c r="N2693" s="20">
        <f>+Movimientos_2026[[#This Row],[Ingresos]]-Movimientos_2026[[#This Row],[Egresos]]</f>
        <v>-153250120.83000001</v>
      </c>
      <c r="O2693" s="20">
        <f>+O2692+Movimientos_2026[[#This Row],[Neto]]</f>
        <v>4708941574.5983515</v>
      </c>
    </row>
    <row r="2694" spans="1:15" x14ac:dyDescent="0.25">
      <c r="A2694" s="13">
        <v>46252</v>
      </c>
      <c r="B2694" s="12">
        <f>MONTH(Movimientos_2026[[#This Row],[Fecha]])</f>
        <v>8</v>
      </c>
      <c r="C2694" s="12" t="str">
        <f>VLOOKUP((WEEKDAY(Movimientos_2026[[#This Row],[Fecha]],2)),'5. Setup'!$D$6:$E$12,2,FALSE)</f>
        <v>Mar</v>
      </c>
      <c r="D2694">
        <v>2044127</v>
      </c>
      <c r="E2694" t="str">
        <f>IFERROR(+VLOOKUP(Movimientos_2026[[#This Row],[Codigo]],Plan_cuentas[],2,FALSE)," ")</f>
        <v>EGRESOS</v>
      </c>
      <c r="F2694" t="str">
        <f>IFERROR(+VLOOKUP(Movimientos_2026[[#This Row],[Codigo]],Plan_cuentas[],3,FALSE)," ")</f>
        <v>Transferencia</v>
      </c>
      <c r="G2694" t="str">
        <f>IFERROR(+VLOOKUP(Movimientos_2026[[#This Row],[Codigo]],Plan_cuentas[],4,FALSE)," ")</f>
        <v>Rentas</v>
      </c>
      <c r="H2694" t="str">
        <f>IFERROR(+VLOOKUP(Movimientos_2026[[#This Row],[Codigo]],Plan_cuentas[],5,FALSE)," ")</f>
        <v>BAPRO</v>
      </c>
      <c r="I2694" s="43">
        <v>46204</v>
      </c>
      <c r="J2694" t="s">
        <v>1255</v>
      </c>
      <c r="K2694" t="str">
        <f>IFERROR(+VLOOKUP(Movimientos_2026[[#This Row],[Codigo]],Plan_cuentas[],6,FALSE)," ")</f>
        <v>7 - PRtr - Plan Rombo Transf.</v>
      </c>
      <c r="L2694" s="50"/>
      <c r="M2694" s="50">
        <v>1631044.6</v>
      </c>
      <c r="N2694" s="20">
        <f>+Movimientos_2026[[#This Row],[Ingresos]]-Movimientos_2026[[#This Row],[Egresos]]</f>
        <v>-1631044.6</v>
      </c>
      <c r="O2694" s="20">
        <f>+O2693+Movimientos_2026[[#This Row],[Neto]]</f>
        <v>4707310529.9983511</v>
      </c>
    </row>
    <row r="2695" spans="1:15" x14ac:dyDescent="0.25">
      <c r="A2695" s="13">
        <v>46252</v>
      </c>
      <c r="B2695" s="12">
        <f>MONTH(Movimientos_2026[[#This Row],[Fecha]])</f>
        <v>8</v>
      </c>
      <c r="C2695" s="12" t="str">
        <f>VLOOKUP((WEEKDAY(Movimientos_2026[[#This Row],[Fecha]],2)),'5. Setup'!$D$6:$E$12,2,FALSE)</f>
        <v>Mar</v>
      </c>
      <c r="D2695">
        <v>2044127</v>
      </c>
      <c r="E2695" t="str">
        <f>IFERROR(+VLOOKUP(Movimientos_2026[[#This Row],[Codigo]],Plan_cuentas[],2,FALSE)," ")</f>
        <v>EGRESOS</v>
      </c>
      <c r="F2695" t="str">
        <f>IFERROR(+VLOOKUP(Movimientos_2026[[#This Row],[Codigo]],Plan_cuentas[],3,FALSE)," ")</f>
        <v>Transferencia</v>
      </c>
      <c r="G2695" t="str">
        <f>IFERROR(+VLOOKUP(Movimientos_2026[[#This Row],[Codigo]],Plan_cuentas[],4,FALSE)," ")</f>
        <v>Rentas</v>
      </c>
      <c r="H2695" t="str">
        <f>IFERROR(+VLOOKUP(Movimientos_2026[[#This Row],[Codigo]],Plan_cuentas[],5,FALSE)," ")</f>
        <v>BAPRO</v>
      </c>
      <c r="I2695" s="43">
        <v>46204</v>
      </c>
      <c r="J2695" t="s">
        <v>1256</v>
      </c>
      <c r="K2695" t="str">
        <f>IFERROR(+VLOOKUP(Movimientos_2026[[#This Row],[Codigo]],Plan_cuentas[],6,FALSE)," ")</f>
        <v>7 - PRtr - Plan Rombo Transf.</v>
      </c>
      <c r="L2695" s="50"/>
      <c r="M2695" s="50">
        <v>777582.6</v>
      </c>
      <c r="N2695" s="20">
        <f>+Movimientos_2026[[#This Row],[Ingresos]]-Movimientos_2026[[#This Row],[Egresos]]</f>
        <v>-777582.6</v>
      </c>
      <c r="O2695" s="20">
        <f>+O2694+Movimientos_2026[[#This Row],[Neto]]</f>
        <v>4706532947.3983507</v>
      </c>
    </row>
    <row r="2696" spans="1:15" x14ac:dyDescent="0.25">
      <c r="A2696" s="13">
        <v>46252</v>
      </c>
      <c r="B2696" s="12">
        <f>MONTH(Movimientos_2026[[#This Row],[Fecha]])</f>
        <v>8</v>
      </c>
      <c r="C2696" s="12" t="str">
        <f>VLOOKUP((WEEKDAY(Movimientos_2026[[#This Row],[Fecha]],2)),'5. Setup'!$D$6:$E$12,2,FALSE)</f>
        <v>Mar</v>
      </c>
      <c r="D2696">
        <v>2044127</v>
      </c>
      <c r="E2696" t="str">
        <f>IFERROR(+VLOOKUP(Movimientos_2026[[#This Row],[Codigo]],Plan_cuentas[],2,FALSE)," ")</f>
        <v>EGRESOS</v>
      </c>
      <c r="F2696" t="str">
        <f>IFERROR(+VLOOKUP(Movimientos_2026[[#This Row],[Codigo]],Plan_cuentas[],3,FALSE)," ")</f>
        <v>Transferencia</v>
      </c>
      <c r="G2696" t="str">
        <f>IFERROR(+VLOOKUP(Movimientos_2026[[#This Row],[Codigo]],Plan_cuentas[],4,FALSE)," ")</f>
        <v>Rentas</v>
      </c>
      <c r="H2696" t="str">
        <f>IFERROR(+VLOOKUP(Movimientos_2026[[#This Row],[Codigo]],Plan_cuentas[],5,FALSE)," ")</f>
        <v>BAPRO</v>
      </c>
      <c r="I2696" s="43">
        <v>46204</v>
      </c>
      <c r="J2696" t="s">
        <v>1257</v>
      </c>
      <c r="K2696" t="str">
        <f>IFERROR(+VLOOKUP(Movimientos_2026[[#This Row],[Codigo]],Plan_cuentas[],6,FALSE)," ")</f>
        <v>7 - PRtr - Plan Rombo Transf.</v>
      </c>
      <c r="L2696" s="50"/>
      <c r="M2696" s="50">
        <v>2248720.2999999998</v>
      </c>
      <c r="N2696" s="20">
        <f>+Movimientos_2026[[#This Row],[Ingresos]]-Movimientos_2026[[#This Row],[Egresos]]</f>
        <v>-2248720.2999999998</v>
      </c>
      <c r="O2696" s="20">
        <f>+O2695+Movimientos_2026[[#This Row],[Neto]]</f>
        <v>4704284227.0983505</v>
      </c>
    </row>
    <row r="2697" spans="1:15" x14ac:dyDescent="0.25">
      <c r="A2697" s="13">
        <v>46252</v>
      </c>
      <c r="B2697" s="12">
        <f>MONTH(Movimientos_2026[[#This Row],[Fecha]])</f>
        <v>8</v>
      </c>
      <c r="C2697" s="12" t="str">
        <f>VLOOKUP((WEEKDAY(Movimientos_2026[[#This Row],[Fecha]],2)),'5. Setup'!$D$6:$E$12,2,FALSE)</f>
        <v>Mar</v>
      </c>
      <c r="D2697">
        <v>1043142</v>
      </c>
      <c r="E2697" t="str">
        <f>IFERROR(+VLOOKUP(Movimientos_2026[[#This Row],[Codigo]],Plan_cuentas[],2,FALSE)," ")</f>
        <v>INGRESOS</v>
      </c>
      <c r="F2697" t="str">
        <f>IFERROR(+VLOOKUP(Movimientos_2026[[#This Row],[Codigo]],Plan_cuentas[],3,FALSE)," ")</f>
        <v>Transferencia</v>
      </c>
      <c r="G2697" t="str">
        <f>IFERROR(+VLOOKUP(Movimientos_2026[[#This Row],[Codigo]],Plan_cuentas[],4,FALSE)," ")</f>
        <v>Registración</v>
      </c>
      <c r="H2697" t="str">
        <f>IFERROR(+VLOOKUP(Movimientos_2026[[#This Row],[Codigo]],Plan_cuentas[],5,FALSE)," ")</f>
        <v>BUENOS AIRES</v>
      </c>
      <c r="I2697" s="43">
        <v>46204</v>
      </c>
      <c r="J2697" t="s">
        <v>1263</v>
      </c>
      <c r="K2697" t="str">
        <f>IFERROR(+VLOOKUP(Movimientos_2026[[#This Row],[Codigo]],Plan_cuentas[],6,FALSE)," ")</f>
        <v>2 - PR - Plan Rombo</v>
      </c>
      <c r="L2697" s="50">
        <v>194334946</v>
      </c>
      <c r="M2697" s="50"/>
      <c r="N2697" s="20">
        <f>+Movimientos_2026[[#This Row],[Ingresos]]-Movimientos_2026[[#This Row],[Egresos]]</f>
        <v>194334946</v>
      </c>
      <c r="O2697" s="20">
        <f>+O2696+Movimientos_2026[[#This Row],[Neto]]</f>
        <v>4898619173.0983505</v>
      </c>
    </row>
    <row r="2698" spans="1:15" x14ac:dyDescent="0.25">
      <c r="A2698" s="13">
        <v>46252</v>
      </c>
      <c r="B2698" s="12">
        <f>MONTH(Movimientos_2026[[#This Row],[Fecha]])</f>
        <v>8</v>
      </c>
      <c r="C2698" s="12" t="str">
        <f>VLOOKUP((WEEKDAY(Movimientos_2026[[#This Row],[Fecha]],2)),'5. Setup'!$D$6:$E$12,2,FALSE)</f>
        <v>Mar</v>
      </c>
      <c r="D2698">
        <v>1045452</v>
      </c>
      <c r="E2698" t="str">
        <f>IFERROR(+VLOOKUP(Movimientos_2026[[#This Row],[Codigo]],Plan_cuentas[],2,FALSE)," ")</f>
        <v>INGRESOS</v>
      </c>
      <c r="F2698" t="str">
        <f>IFERROR(+VLOOKUP(Movimientos_2026[[#This Row],[Codigo]],Plan_cuentas[],3,FALSE)," ")</f>
        <v>Transferencia</v>
      </c>
      <c r="G2698" t="str">
        <f>IFERROR(+VLOOKUP(Movimientos_2026[[#This Row],[Codigo]],Plan_cuentas[],4,FALSE)," ")</f>
        <v>Factura</v>
      </c>
      <c r="H2698" t="str">
        <f>IFERROR(+VLOOKUP(Movimientos_2026[[#This Row],[Codigo]],Plan_cuentas[],5,FALSE)," ")</f>
        <v>FC DERECHOS</v>
      </c>
      <c r="I2698" s="43">
        <v>46204</v>
      </c>
      <c r="J2698" t="s">
        <v>1260</v>
      </c>
      <c r="K2698" t="str">
        <f>IFERROR(+VLOOKUP(Movimientos_2026[[#This Row],[Codigo]],Plan_cuentas[],6,FALSE)," ")</f>
        <v>2 - PR - Plan Rombo</v>
      </c>
      <c r="L2698" s="50">
        <v>34036377.700000003</v>
      </c>
      <c r="M2698" s="50"/>
      <c r="N2698" s="20">
        <f>+Movimientos_2026[[#This Row],[Ingresos]]-Movimientos_2026[[#This Row],[Egresos]]</f>
        <v>34036377.700000003</v>
      </c>
      <c r="O2698" s="20">
        <f>+O2697+Movimientos_2026[[#This Row],[Neto]]</f>
        <v>4932655550.7983503</v>
      </c>
    </row>
    <row r="2699" spans="1:15" x14ac:dyDescent="0.25">
      <c r="A2699" s="13">
        <v>46252</v>
      </c>
      <c r="B2699" s="12">
        <f>MONTH(Movimientos_2026[[#This Row],[Fecha]])</f>
        <v>8</v>
      </c>
      <c r="C2699" s="12" t="str">
        <f>VLOOKUP((WEEKDAY(Movimientos_2026[[#This Row],[Fecha]],2)),'5. Setup'!$D$6:$E$12,2,FALSE)</f>
        <v>Mar</v>
      </c>
      <c r="D2699">
        <v>1043152</v>
      </c>
      <c r="E2699" t="str">
        <f>IFERROR(+VLOOKUP(Movimientos_2026[[#This Row],[Codigo]],Plan_cuentas[],2,FALSE)," ")</f>
        <v>INGRESOS</v>
      </c>
      <c r="F2699" t="str">
        <f>IFERROR(+VLOOKUP(Movimientos_2026[[#This Row],[Codigo]],Plan_cuentas[],3,FALSE)," ")</f>
        <v>Transferencia</v>
      </c>
      <c r="G2699" t="str">
        <f>IFERROR(+VLOOKUP(Movimientos_2026[[#This Row],[Codigo]],Plan_cuentas[],4,FALSE)," ")</f>
        <v>Registración</v>
      </c>
      <c r="H2699" t="str">
        <f>IFERROR(+VLOOKUP(Movimientos_2026[[#This Row],[Codigo]],Plan_cuentas[],5,FALSE)," ")</f>
        <v>CABA</v>
      </c>
      <c r="I2699" s="43">
        <v>46204</v>
      </c>
      <c r="J2699" t="s">
        <v>1263</v>
      </c>
      <c r="K2699" t="str">
        <f>IFERROR(+VLOOKUP(Movimientos_2026[[#This Row],[Codigo]],Plan_cuentas[],6,FALSE)," ")</f>
        <v>2 - PR - Plan Rombo</v>
      </c>
      <c r="L2699" s="50">
        <v>23483327.100000001</v>
      </c>
      <c r="M2699" s="50"/>
      <c r="N2699" s="20">
        <f>+Movimientos_2026[[#This Row],[Ingresos]]-Movimientos_2026[[#This Row],[Egresos]]</f>
        <v>23483327.100000001</v>
      </c>
      <c r="O2699" s="20">
        <f>+O2698+Movimientos_2026[[#This Row],[Neto]]</f>
        <v>4956138877.8983507</v>
      </c>
    </row>
    <row r="2700" spans="1:15" x14ac:dyDescent="0.25">
      <c r="A2700" s="13">
        <v>46252</v>
      </c>
      <c r="B2700" s="12">
        <f>MONTH(Movimientos_2026[[#This Row],[Fecha]])</f>
        <v>8</v>
      </c>
      <c r="C2700" s="12" t="str">
        <f>VLOOKUP((WEEKDAY(Movimientos_2026[[#This Row],[Fecha]],2)),'5. Setup'!$D$6:$E$12,2,FALSE)</f>
        <v>Mar</v>
      </c>
      <c r="D2700">
        <v>1043242</v>
      </c>
      <c r="E2700" t="str">
        <f>IFERROR(+VLOOKUP(Movimientos_2026[[#This Row],[Codigo]],Plan_cuentas[],2,FALSE)," ")</f>
        <v>INGRESOS</v>
      </c>
      <c r="F2700" t="str">
        <f>IFERROR(+VLOOKUP(Movimientos_2026[[#This Row],[Codigo]],Plan_cuentas[],3,FALSE)," ")</f>
        <v>Transferencia</v>
      </c>
      <c r="G2700" t="str">
        <f>IFERROR(+VLOOKUP(Movimientos_2026[[#This Row],[Codigo]],Plan_cuentas[],4,FALSE)," ")</f>
        <v>Registración</v>
      </c>
      <c r="H2700" t="str">
        <f>IFERROR(+VLOOKUP(Movimientos_2026[[#This Row],[Codigo]],Plan_cuentas[],5,FALSE)," ")</f>
        <v>FORMOSA</v>
      </c>
      <c r="I2700" s="43">
        <v>46204</v>
      </c>
      <c r="J2700" t="s">
        <v>1263</v>
      </c>
      <c r="K2700" t="str">
        <f>IFERROR(+VLOOKUP(Movimientos_2026[[#This Row],[Codigo]],Plan_cuentas[],6,FALSE)," ")</f>
        <v>2 - PR - Plan Rombo</v>
      </c>
      <c r="L2700" s="50">
        <v>3472089.1</v>
      </c>
      <c r="M2700" s="50"/>
      <c r="N2700" s="20">
        <f>+Movimientos_2026[[#This Row],[Ingresos]]-Movimientos_2026[[#This Row],[Egresos]]</f>
        <v>3472089.1</v>
      </c>
      <c r="O2700" s="20">
        <f>+O2699+Movimientos_2026[[#This Row],[Neto]]</f>
        <v>4959610966.9983511</v>
      </c>
    </row>
    <row r="2701" spans="1:15" x14ac:dyDescent="0.25">
      <c r="A2701" s="13">
        <v>46252</v>
      </c>
      <c r="B2701" s="12">
        <f>MONTH(Movimientos_2026[[#This Row],[Fecha]])</f>
        <v>8</v>
      </c>
      <c r="C2701" s="12" t="str">
        <f>VLOOKUP((WEEKDAY(Movimientos_2026[[#This Row],[Fecha]],2)),'5. Setup'!$D$6:$E$12,2,FALSE)</f>
        <v>Mar</v>
      </c>
      <c r="D2701">
        <v>1043172</v>
      </c>
      <c r="E2701" t="str">
        <f>IFERROR(+VLOOKUP(Movimientos_2026[[#This Row],[Codigo]],Plan_cuentas[],2,FALSE)," ")</f>
        <v>INGRESOS</v>
      </c>
      <c r="F2701" t="str">
        <f>IFERROR(+VLOOKUP(Movimientos_2026[[#This Row],[Codigo]],Plan_cuentas[],3,FALSE)," ")</f>
        <v>Transferencia</v>
      </c>
      <c r="G2701" t="str">
        <f>IFERROR(+VLOOKUP(Movimientos_2026[[#This Row],[Codigo]],Plan_cuentas[],4,FALSE)," ")</f>
        <v>Registración</v>
      </c>
      <c r="H2701" t="str">
        <f>IFERROR(+VLOOKUP(Movimientos_2026[[#This Row],[Codigo]],Plan_cuentas[],5,FALSE)," ")</f>
        <v>CHUBUT</v>
      </c>
      <c r="I2701" s="43">
        <v>46204</v>
      </c>
      <c r="J2701" t="s">
        <v>1263</v>
      </c>
      <c r="K2701" t="str">
        <f>IFERROR(+VLOOKUP(Movimientos_2026[[#This Row],[Codigo]],Plan_cuentas[],6,FALSE)," ")</f>
        <v>2 - PR - Plan Rombo</v>
      </c>
      <c r="L2701" s="50">
        <v>11903618.5</v>
      </c>
      <c r="M2701" s="50"/>
      <c r="N2701" s="20">
        <f>+Movimientos_2026[[#This Row],[Ingresos]]-Movimientos_2026[[#This Row],[Egresos]]</f>
        <v>11903618.5</v>
      </c>
      <c r="O2701" s="20">
        <f>+O2700+Movimientos_2026[[#This Row],[Neto]]</f>
        <v>4971514585.4983511</v>
      </c>
    </row>
    <row r="2702" spans="1:15" x14ac:dyDescent="0.25">
      <c r="A2702" s="13">
        <v>46252</v>
      </c>
      <c r="B2702" s="12">
        <f>MONTH(Movimientos_2026[[#This Row],[Fecha]])</f>
        <v>8</v>
      </c>
      <c r="C2702" s="12" t="str">
        <f>VLOOKUP((WEEKDAY(Movimientos_2026[[#This Row],[Fecha]],2)),'5. Setup'!$D$6:$E$12,2,FALSE)</f>
        <v>Mar</v>
      </c>
      <c r="D2702">
        <v>1044482</v>
      </c>
      <c r="E2702" t="str">
        <f>IFERROR(+VLOOKUP(Movimientos_2026[[#This Row],[Codigo]],Plan_cuentas[],2,FALSE)," ")</f>
        <v>INGRESOS</v>
      </c>
      <c r="F2702" t="str">
        <f>IFERROR(+VLOOKUP(Movimientos_2026[[#This Row],[Codigo]],Plan_cuentas[],3,FALSE)," ")</f>
        <v>Transferencia</v>
      </c>
      <c r="G2702" t="str">
        <f>IFERROR(+VLOOKUP(Movimientos_2026[[#This Row],[Codigo]],Plan_cuentas[],4,FALSE)," ")</f>
        <v>Factura</v>
      </c>
      <c r="H2702" t="str">
        <f>IFERROR(+VLOOKUP(Movimientos_2026[[#This Row],[Codigo]],Plan_cuentas[],5,FALSE)," ")</f>
        <v>FC TRAMITACION</v>
      </c>
      <c r="I2702" s="43">
        <v>46204</v>
      </c>
      <c r="J2702" t="s">
        <v>1262</v>
      </c>
      <c r="K2702" t="str">
        <f>IFERROR(+VLOOKUP(Movimientos_2026[[#This Row],[Codigo]],Plan_cuentas[],6,FALSE)," ")</f>
        <v>2 - PR - Plan Rombo</v>
      </c>
      <c r="L2702" s="50">
        <v>2586608.8199999998</v>
      </c>
      <c r="M2702" s="50"/>
      <c r="N2702" s="20">
        <f>+Movimientos_2026[[#This Row],[Ingresos]]-Movimientos_2026[[#This Row],[Egresos]]</f>
        <v>2586608.8199999998</v>
      </c>
      <c r="O2702" s="20">
        <f>+O2701+Movimientos_2026[[#This Row],[Neto]]</f>
        <v>4974101194.3183508</v>
      </c>
    </row>
    <row r="2703" spans="1:15" x14ac:dyDescent="0.25">
      <c r="A2703" s="13">
        <v>46252</v>
      </c>
      <c r="B2703" s="12">
        <f>MONTH(Movimientos_2026[[#This Row],[Fecha]])</f>
        <v>8</v>
      </c>
      <c r="C2703" s="12" t="str">
        <f>VLOOKUP((WEEKDAY(Movimientos_2026[[#This Row],[Fecha]],2)),'5. Setup'!$D$6:$E$12,2,FALSE)</f>
        <v>Mar</v>
      </c>
      <c r="D2703">
        <v>1044507</v>
      </c>
      <c r="E2703" t="str">
        <f>IFERROR(+VLOOKUP(Movimientos_2026[[#This Row],[Codigo]],Plan_cuentas[],2,FALSE)," ")</f>
        <v>INGRESOS</v>
      </c>
      <c r="F2703" t="str">
        <f>IFERROR(+VLOOKUP(Movimientos_2026[[#This Row],[Codigo]],Plan_cuentas[],3,FALSE)," ")</f>
        <v>Transferencia</v>
      </c>
      <c r="G2703" t="str">
        <f>IFERROR(+VLOOKUP(Movimientos_2026[[#This Row],[Codigo]],Plan_cuentas[],4,FALSE)," ")</f>
        <v>Rentas</v>
      </c>
      <c r="H2703" t="str">
        <f>IFERROR(+VLOOKUP(Movimientos_2026[[#This Row],[Codigo]],Plan_cuentas[],5,FALSE)," ")</f>
        <v>BAPRO</v>
      </c>
      <c r="I2703" s="43">
        <v>46204</v>
      </c>
      <c r="J2703" t="s">
        <v>1264</v>
      </c>
      <c r="K2703" t="str">
        <f>IFERROR(+VLOOKUP(Movimientos_2026[[#This Row],[Codigo]],Plan_cuentas[],6,FALSE)," ")</f>
        <v>7 - PRtr - Plan Rombo Transf.</v>
      </c>
      <c r="L2703" s="50">
        <v>9785185.8028800115</v>
      </c>
      <c r="M2703" s="50"/>
      <c r="N2703" s="20">
        <f>+Movimientos_2026[[#This Row],[Ingresos]]-Movimientos_2026[[#This Row],[Egresos]]</f>
        <v>9785185.8028800115</v>
      </c>
      <c r="O2703" s="20">
        <f>+O2702+Movimientos_2026[[#This Row],[Neto]]</f>
        <v>4983886380.1212311</v>
      </c>
    </row>
    <row r="2704" spans="1:15" x14ac:dyDescent="0.25">
      <c r="A2704" s="13">
        <v>46252</v>
      </c>
      <c r="B2704" s="12">
        <f>MONTH(Movimientos_2026[[#This Row],[Fecha]])</f>
        <v>8</v>
      </c>
      <c r="C2704" s="12" t="str">
        <f>VLOOKUP((WEEKDAY(Movimientos_2026[[#This Row],[Fecha]],2)),'5. Setup'!$D$6:$E$12,2,FALSE)</f>
        <v>Mar</v>
      </c>
      <c r="D2704">
        <v>1043157</v>
      </c>
      <c r="E2704" t="str">
        <f>IFERROR(+VLOOKUP(Movimientos_2026[[#This Row],[Codigo]],Plan_cuentas[],2,FALSE)," ")</f>
        <v>INGRESOS</v>
      </c>
      <c r="F2704" t="str">
        <f>IFERROR(+VLOOKUP(Movimientos_2026[[#This Row],[Codigo]],Plan_cuentas[],3,FALSE)," ")</f>
        <v>Transferencia</v>
      </c>
      <c r="G2704" t="str">
        <f>IFERROR(+VLOOKUP(Movimientos_2026[[#This Row],[Codigo]],Plan_cuentas[],4,FALSE)," ")</f>
        <v>Registración</v>
      </c>
      <c r="H2704" t="str">
        <f>IFERROR(+VLOOKUP(Movimientos_2026[[#This Row],[Codigo]],Plan_cuentas[],5,FALSE)," ")</f>
        <v>CABA</v>
      </c>
      <c r="I2704" s="43">
        <v>46204</v>
      </c>
      <c r="J2704" t="s">
        <v>1264</v>
      </c>
      <c r="K2704" t="str">
        <f>IFERROR(+VLOOKUP(Movimientos_2026[[#This Row],[Codigo]],Plan_cuentas[],6,FALSE)," ")</f>
        <v>7 - PRtr - Plan Rombo Transf.</v>
      </c>
      <c r="L2704" s="50">
        <v>4508.4599999999946</v>
      </c>
      <c r="M2704" s="50"/>
      <c r="N2704" s="20">
        <f>+Movimientos_2026[[#This Row],[Ingresos]]-Movimientos_2026[[#This Row],[Egresos]]</f>
        <v>4508.4599999999946</v>
      </c>
      <c r="O2704" s="20">
        <f>+O2703+Movimientos_2026[[#This Row],[Neto]]</f>
        <v>4983890888.5812311</v>
      </c>
    </row>
    <row r="2705" spans="1:15" x14ac:dyDescent="0.25">
      <c r="A2705" s="13">
        <v>46252</v>
      </c>
      <c r="B2705" s="12">
        <f>MONTH(Movimientos_2026[[#This Row],[Fecha]])</f>
        <v>8</v>
      </c>
      <c r="C2705" s="12" t="str">
        <f>VLOOKUP((WEEKDAY(Movimientos_2026[[#This Row],[Fecha]],2)),'5. Setup'!$D$6:$E$12,2,FALSE)</f>
        <v>Mar</v>
      </c>
      <c r="D2705">
        <v>1044167</v>
      </c>
      <c r="E2705" t="str">
        <f>IFERROR(+VLOOKUP(Movimientos_2026[[#This Row],[Codigo]],Plan_cuentas[],2,FALSE)," ")</f>
        <v>INGRESOS</v>
      </c>
      <c r="F2705" t="str">
        <f>IFERROR(+VLOOKUP(Movimientos_2026[[#This Row],[Codigo]],Plan_cuentas[],3,FALSE)," ")</f>
        <v>Transferencia</v>
      </c>
      <c r="G2705" t="str">
        <f>IFERROR(+VLOOKUP(Movimientos_2026[[#This Row],[Codigo]],Plan_cuentas[],4,FALSE)," ")</f>
        <v>Rentas</v>
      </c>
      <c r="H2705" t="str">
        <f>IFERROR(+VLOOKUP(Movimientos_2026[[#This Row],[Codigo]],Plan_cuentas[],5,FALSE)," ")</f>
        <v>CHACO</v>
      </c>
      <c r="I2705" s="43">
        <v>46204</v>
      </c>
      <c r="J2705" t="s">
        <v>1264</v>
      </c>
      <c r="K2705" t="str">
        <f>IFERROR(+VLOOKUP(Movimientos_2026[[#This Row],[Codigo]],Plan_cuentas[],6,FALSE)," ")</f>
        <v>7 - PRtr - Plan Rombo Transf.</v>
      </c>
      <c r="L2705" s="50">
        <v>1188643.7000000002</v>
      </c>
      <c r="M2705" s="50"/>
      <c r="N2705" s="20">
        <f>+Movimientos_2026[[#This Row],[Ingresos]]-Movimientos_2026[[#This Row],[Egresos]]</f>
        <v>1188643.7000000002</v>
      </c>
      <c r="O2705" s="20">
        <f>+O2704+Movimientos_2026[[#This Row],[Neto]]</f>
        <v>4985079532.2812309</v>
      </c>
    </row>
    <row r="2706" spans="1:15" x14ac:dyDescent="0.25">
      <c r="A2706" s="13">
        <v>46252</v>
      </c>
      <c r="B2706" s="12">
        <f>MONTH(Movimientos_2026[[#This Row],[Fecha]])</f>
        <v>8</v>
      </c>
      <c r="C2706" s="12" t="str">
        <f>VLOOKUP((WEEKDAY(Movimientos_2026[[#This Row],[Fecha]],2)),'5. Setup'!$D$6:$E$12,2,FALSE)</f>
        <v>Mar</v>
      </c>
      <c r="D2706">
        <v>1044197</v>
      </c>
      <c r="E2706" t="str">
        <f>IFERROR(+VLOOKUP(Movimientos_2026[[#This Row],[Codigo]],Plan_cuentas[],2,FALSE)," ")</f>
        <v>INGRESOS</v>
      </c>
      <c r="F2706" t="str">
        <f>IFERROR(+VLOOKUP(Movimientos_2026[[#This Row],[Codigo]],Plan_cuentas[],3,FALSE)," ")</f>
        <v>Transferencia</v>
      </c>
      <c r="G2706" t="str">
        <f>IFERROR(+VLOOKUP(Movimientos_2026[[#This Row],[Codigo]],Plan_cuentas[],4,FALSE)," ")</f>
        <v>Rentas</v>
      </c>
      <c r="H2706" t="str">
        <f>IFERROR(+VLOOKUP(Movimientos_2026[[#This Row],[Codigo]],Plan_cuentas[],5,FALSE)," ")</f>
        <v>CORDOBA 2° Q</v>
      </c>
      <c r="I2706" s="43">
        <v>46204</v>
      </c>
      <c r="J2706" t="s">
        <v>1264</v>
      </c>
      <c r="K2706" t="str">
        <f>IFERROR(+VLOOKUP(Movimientos_2026[[#This Row],[Codigo]],Plan_cuentas[],6,FALSE)," ")</f>
        <v>7 - PRtr - Plan Rombo Transf.</v>
      </c>
      <c r="L2706" s="50">
        <v>814080</v>
      </c>
      <c r="M2706" s="50"/>
      <c r="N2706" s="20">
        <f>+Movimientos_2026[[#This Row],[Ingresos]]-Movimientos_2026[[#This Row],[Egresos]]</f>
        <v>814080</v>
      </c>
      <c r="O2706" s="20">
        <f>+O2705+Movimientos_2026[[#This Row],[Neto]]</f>
        <v>4985893612.2812309</v>
      </c>
    </row>
    <row r="2707" spans="1:15" x14ac:dyDescent="0.25">
      <c r="A2707" s="13">
        <v>46252</v>
      </c>
      <c r="B2707" s="12">
        <f>MONTH(Movimientos_2026[[#This Row],[Fecha]])</f>
        <v>8</v>
      </c>
      <c r="C2707" s="12" t="str">
        <f>VLOOKUP((WEEKDAY(Movimientos_2026[[#This Row],[Fecha]],2)),'5. Setup'!$D$6:$E$12,2,FALSE)</f>
        <v>Mar</v>
      </c>
      <c r="D2707">
        <v>1043227</v>
      </c>
      <c r="E2707" t="str">
        <f>IFERROR(+VLOOKUP(Movimientos_2026[[#This Row],[Codigo]],Plan_cuentas[],2,FALSE)," ")</f>
        <v>INGRESOS</v>
      </c>
      <c r="F2707" t="str">
        <f>IFERROR(+VLOOKUP(Movimientos_2026[[#This Row],[Codigo]],Plan_cuentas[],3,FALSE)," ")</f>
        <v>Transferencia</v>
      </c>
      <c r="G2707" t="str">
        <f>IFERROR(+VLOOKUP(Movimientos_2026[[#This Row],[Codigo]],Plan_cuentas[],4,FALSE)," ")</f>
        <v>Registración</v>
      </c>
      <c r="H2707" t="str">
        <f>IFERROR(+VLOOKUP(Movimientos_2026[[#This Row],[Codigo]],Plan_cuentas[],5,FALSE)," ")</f>
        <v>ENTRE RIOS 1° Q</v>
      </c>
      <c r="I2707" s="43">
        <v>46204</v>
      </c>
      <c r="J2707" t="s">
        <v>1264</v>
      </c>
      <c r="K2707" t="str">
        <f>IFERROR(+VLOOKUP(Movimientos_2026[[#This Row],[Codigo]],Plan_cuentas[],6,FALSE)," ")</f>
        <v>7 - PRtr - Plan Rombo Transf.</v>
      </c>
      <c r="L2707" s="50">
        <v>620100</v>
      </c>
      <c r="M2707" s="50"/>
      <c r="N2707" s="20">
        <f>+Movimientos_2026[[#This Row],[Ingresos]]-Movimientos_2026[[#This Row],[Egresos]]</f>
        <v>620100</v>
      </c>
      <c r="O2707" s="20">
        <f>+O2706+Movimientos_2026[[#This Row],[Neto]]</f>
        <v>4986513712.2812309</v>
      </c>
    </row>
    <row r="2708" spans="1:15" x14ac:dyDescent="0.25">
      <c r="A2708" s="13">
        <v>46252</v>
      </c>
      <c r="B2708" s="12">
        <f>MONTH(Movimientos_2026[[#This Row],[Fecha]])</f>
        <v>8</v>
      </c>
      <c r="C2708" s="12" t="str">
        <f>VLOOKUP((WEEKDAY(Movimientos_2026[[#This Row],[Fecha]],2)),'5. Setup'!$D$6:$E$12,2,FALSE)</f>
        <v>Mar</v>
      </c>
      <c r="D2708">
        <v>1043247</v>
      </c>
      <c r="E2708" t="str">
        <f>IFERROR(+VLOOKUP(Movimientos_2026[[#This Row],[Codigo]],Plan_cuentas[],2,FALSE)," ")</f>
        <v>INGRESOS</v>
      </c>
      <c r="F2708" t="str">
        <f>IFERROR(+VLOOKUP(Movimientos_2026[[#This Row],[Codigo]],Plan_cuentas[],3,FALSE)," ")</f>
        <v>Transferencia</v>
      </c>
      <c r="G2708" t="str">
        <f>IFERROR(+VLOOKUP(Movimientos_2026[[#This Row],[Codigo]],Plan_cuentas[],4,FALSE)," ")</f>
        <v>Registración</v>
      </c>
      <c r="H2708" t="str">
        <f>IFERROR(+VLOOKUP(Movimientos_2026[[#This Row],[Codigo]],Plan_cuentas[],5,FALSE)," ")</f>
        <v>FORMOSA</v>
      </c>
      <c r="I2708" s="43">
        <v>46204</v>
      </c>
      <c r="J2708" t="s">
        <v>1264</v>
      </c>
      <c r="K2708" t="str">
        <f>IFERROR(+VLOOKUP(Movimientos_2026[[#This Row],[Codigo]],Plan_cuentas[],6,FALSE)," ")</f>
        <v>7 - PRtr - Plan Rombo Transf.</v>
      </c>
      <c r="L2708" s="50">
        <v>83500</v>
      </c>
      <c r="M2708" s="50"/>
      <c r="N2708" s="20">
        <f>+Movimientos_2026[[#This Row],[Ingresos]]-Movimientos_2026[[#This Row],[Egresos]]</f>
        <v>83500</v>
      </c>
      <c r="O2708" s="20">
        <f>+O2707+Movimientos_2026[[#This Row],[Neto]]</f>
        <v>4986597212.2812309</v>
      </c>
    </row>
    <row r="2709" spans="1:15" x14ac:dyDescent="0.25">
      <c r="A2709" s="13">
        <v>46252</v>
      </c>
      <c r="B2709" s="12">
        <f>MONTH(Movimientos_2026[[#This Row],[Fecha]])</f>
        <v>8</v>
      </c>
      <c r="C2709" s="12" t="str">
        <f>VLOOKUP((WEEKDAY(Movimientos_2026[[#This Row],[Fecha]],2)),'5. Setup'!$D$6:$E$12,2,FALSE)</f>
        <v>Mar</v>
      </c>
      <c r="D2709">
        <v>1043267</v>
      </c>
      <c r="E2709" t="str">
        <f>IFERROR(+VLOOKUP(Movimientos_2026[[#This Row],[Codigo]],Plan_cuentas[],2,FALSE)," ")</f>
        <v>INGRESOS</v>
      </c>
      <c r="F2709" t="str">
        <f>IFERROR(+VLOOKUP(Movimientos_2026[[#This Row],[Codigo]],Plan_cuentas[],3,FALSE)," ")</f>
        <v>Transferencia</v>
      </c>
      <c r="G2709" t="str">
        <f>IFERROR(+VLOOKUP(Movimientos_2026[[#This Row],[Codigo]],Plan_cuentas[],4,FALSE)," ")</f>
        <v>Registración</v>
      </c>
      <c r="H2709" t="str">
        <f>IFERROR(+VLOOKUP(Movimientos_2026[[#This Row],[Codigo]],Plan_cuentas[],5,FALSE)," ")</f>
        <v>LA PAMPA</v>
      </c>
      <c r="I2709" s="43">
        <v>46204</v>
      </c>
      <c r="J2709" t="s">
        <v>1264</v>
      </c>
      <c r="K2709" t="str">
        <f>IFERROR(+VLOOKUP(Movimientos_2026[[#This Row],[Codigo]],Plan_cuentas[],6,FALSE)," ")</f>
        <v>7 - PRtr - Plan Rombo Transf.</v>
      </c>
      <c r="L2709" s="50">
        <v>50000</v>
      </c>
      <c r="M2709" s="50"/>
      <c r="N2709" s="20">
        <f>+Movimientos_2026[[#This Row],[Ingresos]]-Movimientos_2026[[#This Row],[Egresos]]</f>
        <v>50000</v>
      </c>
      <c r="O2709" s="20">
        <f>+O2708+Movimientos_2026[[#This Row],[Neto]]</f>
        <v>4986647212.2812309</v>
      </c>
    </row>
    <row r="2710" spans="1:15" x14ac:dyDescent="0.25">
      <c r="A2710" s="13">
        <v>46252</v>
      </c>
      <c r="B2710" s="12">
        <f>MONTH(Movimientos_2026[[#This Row],[Fecha]])</f>
        <v>8</v>
      </c>
      <c r="C2710" s="12" t="str">
        <f>VLOOKUP((WEEKDAY(Movimientos_2026[[#This Row],[Fecha]],2)),'5. Setup'!$D$6:$E$12,2,FALSE)</f>
        <v>Mar</v>
      </c>
      <c r="D2710">
        <v>1044287</v>
      </c>
      <c r="E2710" t="str">
        <f>IFERROR(+VLOOKUP(Movimientos_2026[[#This Row],[Codigo]],Plan_cuentas[],2,FALSE)," ")</f>
        <v>INGRESOS</v>
      </c>
      <c r="F2710" t="str">
        <f>IFERROR(+VLOOKUP(Movimientos_2026[[#This Row],[Codigo]],Plan_cuentas[],3,FALSE)," ")</f>
        <v>Transferencia</v>
      </c>
      <c r="G2710" t="str">
        <f>IFERROR(+VLOOKUP(Movimientos_2026[[#This Row],[Codigo]],Plan_cuentas[],4,FALSE)," ")</f>
        <v>Rentas</v>
      </c>
      <c r="H2710" t="str">
        <f>IFERROR(+VLOOKUP(Movimientos_2026[[#This Row],[Codigo]],Plan_cuentas[],5,FALSE)," ")</f>
        <v>MENDOZA</v>
      </c>
      <c r="I2710" s="43">
        <v>46204</v>
      </c>
      <c r="J2710" t="s">
        <v>1264</v>
      </c>
      <c r="K2710" t="str">
        <f>IFERROR(+VLOOKUP(Movimientos_2026[[#This Row],[Codigo]],Plan_cuentas[],6,FALSE)," ")</f>
        <v>7 - PRtr - Plan Rombo Transf.</v>
      </c>
      <c r="L2710" s="50">
        <v>1000</v>
      </c>
      <c r="M2710" s="50"/>
      <c r="N2710" s="20">
        <f>+Movimientos_2026[[#This Row],[Ingresos]]-Movimientos_2026[[#This Row],[Egresos]]</f>
        <v>1000</v>
      </c>
      <c r="O2710" s="20">
        <f>+O2709+Movimientos_2026[[#This Row],[Neto]]</f>
        <v>4986648212.2812309</v>
      </c>
    </row>
    <row r="2711" spans="1:15" x14ac:dyDescent="0.25">
      <c r="A2711" s="13">
        <v>46252</v>
      </c>
      <c r="B2711" s="12">
        <f>MONTH(Movimientos_2026[[#This Row],[Fecha]])</f>
        <v>8</v>
      </c>
      <c r="C2711" s="12" t="str">
        <f>VLOOKUP((WEEKDAY(Movimientos_2026[[#This Row],[Fecha]],2)),'5. Setup'!$D$6:$E$12,2,FALSE)</f>
        <v>Mar</v>
      </c>
      <c r="D2711">
        <v>1043377</v>
      </c>
      <c r="E2711" t="str">
        <f>IFERROR(+VLOOKUP(Movimientos_2026[[#This Row],[Codigo]],Plan_cuentas[],2,FALSE)," ")</f>
        <v>INGRESOS</v>
      </c>
      <c r="F2711" t="str">
        <f>IFERROR(+VLOOKUP(Movimientos_2026[[#This Row],[Codigo]],Plan_cuentas[],3,FALSE)," ")</f>
        <v>Transferencia</v>
      </c>
      <c r="G2711" t="str">
        <f>IFERROR(+VLOOKUP(Movimientos_2026[[#This Row],[Codigo]],Plan_cuentas[],4,FALSE)," ")</f>
        <v>Registración</v>
      </c>
      <c r="H2711" t="str">
        <f>IFERROR(+VLOOKUP(Movimientos_2026[[#This Row],[Codigo]],Plan_cuentas[],5,FALSE)," ")</f>
        <v>SANTA CRUZ</v>
      </c>
      <c r="I2711" s="43">
        <v>46204</v>
      </c>
      <c r="J2711" t="s">
        <v>1264</v>
      </c>
      <c r="K2711" t="str">
        <f>IFERROR(+VLOOKUP(Movimientos_2026[[#This Row],[Codigo]],Plan_cuentas[],6,FALSE)," ")</f>
        <v>7 - PRtr - Plan Rombo Transf.</v>
      </c>
      <c r="L2711" s="50">
        <v>30600</v>
      </c>
      <c r="M2711" s="50"/>
      <c r="N2711" s="20">
        <f>+Movimientos_2026[[#This Row],[Ingresos]]-Movimientos_2026[[#This Row],[Egresos]]</f>
        <v>30600</v>
      </c>
      <c r="O2711" s="20">
        <f>+O2710+Movimientos_2026[[#This Row],[Neto]]</f>
        <v>4986678812.2812309</v>
      </c>
    </row>
    <row r="2712" spans="1:15" x14ac:dyDescent="0.25">
      <c r="A2712" s="13">
        <v>46252</v>
      </c>
      <c r="B2712" s="12">
        <f>MONTH(Movimientos_2026[[#This Row],[Fecha]])</f>
        <v>8</v>
      </c>
      <c r="C2712" s="12" t="str">
        <f>VLOOKUP((WEEKDAY(Movimientos_2026[[#This Row],[Fecha]],2)),'5. Setup'!$D$6:$E$12,2,FALSE)</f>
        <v>Mar</v>
      </c>
      <c r="D2712">
        <v>1043387</v>
      </c>
      <c r="E2712" t="str">
        <f>IFERROR(+VLOOKUP(Movimientos_2026[[#This Row],[Codigo]],Plan_cuentas[],2,FALSE)," ")</f>
        <v>INGRESOS</v>
      </c>
      <c r="F2712" t="str">
        <f>IFERROR(+VLOOKUP(Movimientos_2026[[#This Row],[Codigo]],Plan_cuentas[],3,FALSE)," ")</f>
        <v>Transferencia</v>
      </c>
      <c r="G2712" t="str">
        <f>IFERROR(+VLOOKUP(Movimientos_2026[[#This Row],[Codigo]],Plan_cuentas[],4,FALSE)," ")</f>
        <v>Registración</v>
      </c>
      <c r="H2712" t="str">
        <f>IFERROR(+VLOOKUP(Movimientos_2026[[#This Row],[Codigo]],Plan_cuentas[],5,FALSE)," ")</f>
        <v>SANTA FE 1° Q</v>
      </c>
      <c r="I2712" s="43">
        <v>46204</v>
      </c>
      <c r="J2712" t="s">
        <v>1264</v>
      </c>
      <c r="K2712" t="str">
        <f>IFERROR(+VLOOKUP(Movimientos_2026[[#This Row],[Codigo]],Plan_cuentas[],6,FALSE)," ")</f>
        <v>7 - PRtr - Plan Rombo Transf.</v>
      </c>
      <c r="L2712" s="50">
        <v>99411.5</v>
      </c>
      <c r="M2712" s="50"/>
      <c r="N2712" s="20">
        <f>+Movimientos_2026[[#This Row],[Ingresos]]-Movimientos_2026[[#This Row],[Egresos]]</f>
        <v>99411.5</v>
      </c>
      <c r="O2712" s="20">
        <f>+O2711+Movimientos_2026[[#This Row],[Neto]]</f>
        <v>4986778223.7812309</v>
      </c>
    </row>
    <row r="2713" spans="1:15" x14ac:dyDescent="0.25">
      <c r="A2713" s="13">
        <v>46252</v>
      </c>
      <c r="B2713" s="12">
        <f>MONTH(Movimientos_2026[[#This Row],[Fecha]])</f>
        <v>8</v>
      </c>
      <c r="C2713" s="12" t="str">
        <f>VLOOKUP((WEEKDAY(Movimientos_2026[[#This Row],[Fecha]],2)),'5. Setup'!$D$6:$E$12,2,FALSE)</f>
        <v>Mar</v>
      </c>
      <c r="D2713">
        <v>1044417</v>
      </c>
      <c r="E2713" t="str">
        <f>IFERROR(+VLOOKUP(Movimientos_2026[[#This Row],[Codigo]],Plan_cuentas[],2,FALSE)," ")</f>
        <v>INGRESOS</v>
      </c>
      <c r="F2713" t="str">
        <f>IFERROR(+VLOOKUP(Movimientos_2026[[#This Row],[Codigo]],Plan_cuentas[],3,FALSE)," ")</f>
        <v>Transferencia</v>
      </c>
      <c r="G2713" t="str">
        <f>IFERROR(+VLOOKUP(Movimientos_2026[[#This Row],[Codigo]],Plan_cuentas[],4,FALSE)," ")</f>
        <v>Rentas</v>
      </c>
      <c r="H2713" t="str">
        <f>IFERROR(+VLOOKUP(Movimientos_2026[[#This Row],[Codigo]],Plan_cuentas[],5,FALSE)," ")</f>
        <v>TIERRA DEL FUEGO</v>
      </c>
      <c r="I2713" s="43">
        <v>46204</v>
      </c>
      <c r="J2713" t="s">
        <v>1264</v>
      </c>
      <c r="K2713" t="str">
        <f>IFERROR(+VLOOKUP(Movimientos_2026[[#This Row],[Codigo]],Plan_cuentas[],6,FALSE)," ")</f>
        <v>7 - PRtr - Plan Rombo Transf.</v>
      </c>
      <c r="L2713" s="50">
        <v>40000</v>
      </c>
      <c r="M2713" s="50"/>
      <c r="N2713" s="20">
        <f>+Movimientos_2026[[#This Row],[Ingresos]]-Movimientos_2026[[#This Row],[Egresos]]</f>
        <v>40000</v>
      </c>
      <c r="O2713" s="20">
        <f>+O2712+Movimientos_2026[[#This Row],[Neto]]</f>
        <v>4986818223.7812309</v>
      </c>
    </row>
    <row r="2714" spans="1:15" x14ac:dyDescent="0.25">
      <c r="A2714" s="13">
        <v>46252</v>
      </c>
      <c r="B2714" s="12">
        <f>MONTH(Movimientos_2026[[#This Row],[Fecha]])</f>
        <v>8</v>
      </c>
      <c r="C2714" s="12" t="str">
        <f>VLOOKUP((WEEKDAY(Movimientos_2026[[#This Row],[Fecha]],2)),'5. Setup'!$D$6:$E$12,2,FALSE)</f>
        <v>Mar</v>
      </c>
      <c r="D2714">
        <v>1044427</v>
      </c>
      <c r="E2714" t="str">
        <f>IFERROR(+VLOOKUP(Movimientos_2026[[#This Row],[Codigo]],Plan_cuentas[],2,FALSE)," ")</f>
        <v>INGRESOS</v>
      </c>
      <c r="F2714" t="str">
        <f>IFERROR(+VLOOKUP(Movimientos_2026[[#This Row],[Codigo]],Plan_cuentas[],3,FALSE)," ")</f>
        <v>Transferencia</v>
      </c>
      <c r="G2714" t="str">
        <f>IFERROR(+VLOOKUP(Movimientos_2026[[#This Row],[Codigo]],Plan_cuentas[],4,FALSE)," ")</f>
        <v>Rentas</v>
      </c>
      <c r="H2714" t="str">
        <f>IFERROR(+VLOOKUP(Movimientos_2026[[#This Row],[Codigo]],Plan_cuentas[],5,FALSE)," ")</f>
        <v>TUCUMAN</v>
      </c>
      <c r="I2714" s="43">
        <v>46204</v>
      </c>
      <c r="J2714" t="s">
        <v>1264</v>
      </c>
      <c r="K2714" t="str">
        <f>IFERROR(+VLOOKUP(Movimientos_2026[[#This Row],[Codigo]],Plan_cuentas[],6,FALSE)," ")</f>
        <v>7 - PRtr - Plan Rombo Transf.</v>
      </c>
      <c r="L2714" s="50">
        <v>80</v>
      </c>
      <c r="M2714" s="50"/>
      <c r="N2714" s="20">
        <f>+Movimientos_2026[[#This Row],[Ingresos]]-Movimientos_2026[[#This Row],[Egresos]]</f>
        <v>80</v>
      </c>
      <c r="O2714" s="20">
        <f>+O2713+Movimientos_2026[[#This Row],[Neto]]</f>
        <v>4986818303.7812309</v>
      </c>
    </row>
    <row r="2715" spans="1:15" x14ac:dyDescent="0.25">
      <c r="A2715" s="13">
        <v>46252</v>
      </c>
      <c r="B2715" s="12">
        <f>MONTH(Movimientos_2026[[#This Row],[Fecha]])</f>
        <v>8</v>
      </c>
      <c r="C2715" s="12" t="str">
        <f>VLOOKUP((WEEKDAY(Movimientos_2026[[#This Row],[Fecha]],2)),'5. Setup'!$D$6:$E$12,2,FALSE)</f>
        <v>Mar</v>
      </c>
      <c r="D2715">
        <v>1045477</v>
      </c>
      <c r="E2715" t="str">
        <f>IFERROR(+VLOOKUP(Movimientos_2026[[#This Row],[Codigo]],Plan_cuentas[],2,FALSE)," ")</f>
        <v>INGRESOS</v>
      </c>
      <c r="F2715" t="str">
        <f>IFERROR(+VLOOKUP(Movimientos_2026[[#This Row],[Codigo]],Plan_cuentas[],3,FALSE)," ")</f>
        <v>Transferencia</v>
      </c>
      <c r="G2715" t="str">
        <f>IFERROR(+VLOOKUP(Movimientos_2026[[#This Row],[Codigo]],Plan_cuentas[],4,FALSE)," ")</f>
        <v>Factura</v>
      </c>
      <c r="H2715" t="str">
        <f>IFERROR(+VLOOKUP(Movimientos_2026[[#This Row],[Codigo]],Plan_cuentas[],5,FALSE)," ")</f>
        <v>FC HONORARIOS</v>
      </c>
      <c r="I2715" s="43">
        <v>46204</v>
      </c>
      <c r="J2715" t="s">
        <v>1261</v>
      </c>
      <c r="K2715" t="str">
        <f>IFERROR(+VLOOKUP(Movimientos_2026[[#This Row],[Codigo]],Plan_cuentas[],6,FALSE)," ")</f>
        <v>7 - PRtr - Plan Rombo Transf.</v>
      </c>
      <c r="L2715" s="50">
        <v>14076953.18</v>
      </c>
      <c r="M2715" s="50"/>
      <c r="N2715" s="20">
        <f>+Movimientos_2026[[#This Row],[Ingresos]]-Movimientos_2026[[#This Row],[Egresos]]</f>
        <v>14076953.18</v>
      </c>
      <c r="O2715" s="20">
        <f>+O2714+Movimientos_2026[[#This Row],[Neto]]</f>
        <v>5000895256.9612312</v>
      </c>
    </row>
    <row r="2716" spans="1:15" x14ac:dyDescent="0.25">
      <c r="A2716" s="13">
        <v>46252</v>
      </c>
      <c r="B2716" s="12">
        <f>MONTH(Movimientos_2026[[#This Row],[Fecha]])</f>
        <v>8</v>
      </c>
      <c r="C2716" s="12" t="str">
        <f>VLOOKUP((WEEKDAY(Movimientos_2026[[#This Row],[Fecha]],2)),'5. Setup'!$D$6:$E$12,2,FALSE)</f>
        <v>Mar</v>
      </c>
      <c r="D2716">
        <v>1044407</v>
      </c>
      <c r="E2716" t="str">
        <f>IFERROR(+VLOOKUP(Movimientos_2026[[#This Row],[Codigo]],Plan_cuentas[],2,FALSE)," ")</f>
        <v>INGRESOS</v>
      </c>
      <c r="F2716" t="str">
        <f>IFERROR(+VLOOKUP(Movimientos_2026[[#This Row],[Codigo]],Plan_cuentas[],3,FALSE)," ")</f>
        <v>Transferencia</v>
      </c>
      <c r="G2716" t="str">
        <f>IFERROR(+VLOOKUP(Movimientos_2026[[#This Row],[Codigo]],Plan_cuentas[],4,FALSE)," ")</f>
        <v>Rentas</v>
      </c>
      <c r="H2716" t="str">
        <f>IFERROR(+VLOOKUP(Movimientos_2026[[#This Row],[Codigo]],Plan_cuentas[],5,FALSE)," ")</f>
        <v>SANTIAGO DEL ESTERO</v>
      </c>
      <c r="I2716" s="43">
        <v>46204</v>
      </c>
      <c r="J2716" t="s">
        <v>1264</v>
      </c>
      <c r="K2716" t="str">
        <f>IFERROR(+VLOOKUP(Movimientos_2026[[#This Row],[Codigo]],Plan_cuentas[],6,FALSE)," ")</f>
        <v>7 - PRtr - Plan Rombo Transf.</v>
      </c>
      <c r="L2716" s="50">
        <v>100</v>
      </c>
      <c r="M2716" s="50"/>
      <c r="N2716" s="20">
        <f>+Movimientos_2026[[#This Row],[Ingresos]]-Movimientos_2026[[#This Row],[Egresos]]</f>
        <v>100</v>
      </c>
      <c r="O2716" s="20">
        <f>+O2715+Movimientos_2026[[#This Row],[Neto]]</f>
        <v>5000895356.9612312</v>
      </c>
    </row>
    <row r="2717" spans="1:15" x14ac:dyDescent="0.25">
      <c r="A2717" s="13">
        <v>46252</v>
      </c>
      <c r="B2717" s="12">
        <f>MONTH(Movimientos_2026[[#This Row],[Fecha]])</f>
        <v>8</v>
      </c>
      <c r="C2717" s="12" t="str">
        <f>VLOOKUP((WEEKDAY(Movimientos_2026[[#This Row],[Fecha]],2)),'5. Setup'!$D$6:$E$12,2,FALSE)</f>
        <v>Mar</v>
      </c>
      <c r="D2717">
        <v>1044485</v>
      </c>
      <c r="E2717" t="str">
        <f>IFERROR(+VLOOKUP(Movimientos_2026[[#This Row],[Codigo]],Plan_cuentas[],2,FALSE)," ")</f>
        <v>INGRESOS</v>
      </c>
      <c r="F2717" t="str">
        <f>IFERROR(+VLOOKUP(Movimientos_2026[[#This Row],[Codigo]],Plan_cuentas[],3,FALSE)," ")</f>
        <v>Transferencia</v>
      </c>
      <c r="G2717" t="str">
        <f>IFERROR(+VLOOKUP(Movimientos_2026[[#This Row],[Codigo]],Plan_cuentas[],4,FALSE)," ")</f>
        <v>Factura</v>
      </c>
      <c r="H2717" t="str">
        <f>IFERROR(+VLOOKUP(Movimientos_2026[[#This Row],[Codigo]],Plan_cuentas[],5,FALSE)," ")</f>
        <v>FC TRAMITACION</v>
      </c>
      <c r="I2717" s="43">
        <v>46174</v>
      </c>
      <c r="J2717" t="s">
        <v>1279</v>
      </c>
      <c r="K2717" t="str">
        <f>IFERROR(+VLOOKUP(Movimientos_2026[[#This Row],[Codigo]],Plan_cuentas[],6,FALSE)," ")</f>
        <v>5 - YAM - Yamaha</v>
      </c>
      <c r="L2717" s="50">
        <v>5982816</v>
      </c>
      <c r="M2717" s="50"/>
      <c r="N2717" s="20">
        <f>+Movimientos_2026[[#This Row],[Ingresos]]-Movimientos_2026[[#This Row],[Egresos]]</f>
        <v>5982816</v>
      </c>
      <c r="O2717" s="20">
        <f>+O2716+Movimientos_2026[[#This Row],[Neto]]</f>
        <v>5006878172.9612312</v>
      </c>
    </row>
    <row r="2718" spans="1:15" x14ac:dyDescent="0.25">
      <c r="A2718" s="13">
        <v>46253</v>
      </c>
      <c r="B2718" s="12">
        <f>MONTH(Movimientos_2026[[#This Row],[Fecha]])</f>
        <v>8</v>
      </c>
      <c r="C2718" s="12" t="str">
        <f>VLOOKUP((WEEKDAY(Movimientos_2026[[#This Row],[Fecha]],2)),'5. Setup'!$D$6:$E$12,2,FALSE)</f>
        <v>Mie</v>
      </c>
      <c r="D2718">
        <v>2014354</v>
      </c>
      <c r="E2718" t="str">
        <f>IFERROR(+VLOOKUP(Movimientos_2026[[#This Row],[Codigo]],Plan_cuentas[],2,FALSE)," ")</f>
        <v>EGRESOS</v>
      </c>
      <c r="F2718" t="str">
        <f>IFERROR(+VLOOKUP(Movimientos_2026[[#This Row],[Codigo]],Plan_cuentas[],3,FALSE)," ")</f>
        <v>BtoB</v>
      </c>
      <c r="G2718" t="str">
        <f>IFERROR(+VLOOKUP(Movimientos_2026[[#This Row],[Codigo]],Plan_cuentas[],4,FALSE)," ")</f>
        <v>Rentas</v>
      </c>
      <c r="H2718" t="str">
        <f>IFERROR(+VLOOKUP(Movimientos_2026[[#This Row],[Codigo]],Plan_cuentas[],5,FALSE)," ")</f>
        <v>SAN JUAN</v>
      </c>
      <c r="I2718" s="43">
        <v>46204</v>
      </c>
      <c r="J2718" t="s">
        <v>1259</v>
      </c>
      <c r="K2718" t="str">
        <f>IFERROR(+VLOOKUP(Movimientos_2026[[#This Row],[Codigo]],Plan_cuentas[],6,FALSE)," ")</f>
        <v>4 - FCA - Fiat</v>
      </c>
      <c r="L2718" s="50"/>
      <c r="M2718" s="50">
        <v>8503104</v>
      </c>
      <c r="N2718" s="20">
        <f>+Movimientos_2026[[#This Row],[Ingresos]]-Movimientos_2026[[#This Row],[Egresos]]</f>
        <v>-8503104</v>
      </c>
      <c r="O2718" s="20">
        <f>+O2717+Movimientos_2026[[#This Row],[Neto]]</f>
        <v>4998375068.9612312</v>
      </c>
    </row>
    <row r="2719" spans="1:15" x14ac:dyDescent="0.25">
      <c r="A2719" s="13">
        <v>46253</v>
      </c>
      <c r="B2719" s="12">
        <f>MONTH(Movimientos_2026[[#This Row],[Fecha]])</f>
        <v>8</v>
      </c>
      <c r="C2719" s="12" t="str">
        <f>VLOOKUP((WEEKDAY(Movimientos_2026[[#This Row],[Fecha]],2)),'5. Setup'!$D$6:$E$12,2,FALSE)</f>
        <v>Mie</v>
      </c>
      <c r="D2719">
        <v>2014356</v>
      </c>
      <c r="E2719" t="str">
        <f>IFERROR(+VLOOKUP(Movimientos_2026[[#This Row],[Codigo]],Plan_cuentas[],2,FALSE)," ")</f>
        <v>EGRESOS</v>
      </c>
      <c r="F2719" t="str">
        <f>IFERROR(+VLOOKUP(Movimientos_2026[[#This Row],[Codigo]],Plan_cuentas[],3,FALSE)," ")</f>
        <v>BtoB</v>
      </c>
      <c r="G2719" t="str">
        <f>IFERROR(+VLOOKUP(Movimientos_2026[[#This Row],[Codigo]],Plan_cuentas[],4,FALSE)," ")</f>
        <v>Rentas</v>
      </c>
      <c r="H2719" t="str">
        <f>IFERROR(+VLOOKUP(Movimientos_2026[[#This Row],[Codigo]],Plan_cuentas[],5,FALSE)," ")</f>
        <v>SAN JUAN</v>
      </c>
      <c r="I2719" s="43">
        <v>46204</v>
      </c>
      <c r="J2719" t="s">
        <v>1259</v>
      </c>
      <c r="K2719" t="str">
        <f>IFERROR(+VLOOKUP(Movimientos_2026[[#This Row],[Codigo]],Plan_cuentas[],6,FALSE)," ")</f>
        <v>6 - FCAtr - Fiat Transf.</v>
      </c>
      <c r="L2719" s="50"/>
      <c r="M2719" s="50">
        <v>2088662.81</v>
      </c>
      <c r="N2719" s="20">
        <f>+Movimientos_2026[[#This Row],[Ingresos]]-Movimientos_2026[[#This Row],[Egresos]]</f>
        <v>-2088662.81</v>
      </c>
      <c r="O2719" s="20">
        <f>+O2718+Movimientos_2026[[#This Row],[Neto]]</f>
        <v>4996286406.1512308</v>
      </c>
    </row>
    <row r="2720" spans="1:15" x14ac:dyDescent="0.25">
      <c r="A2720" s="13">
        <v>46254</v>
      </c>
      <c r="B2720" s="12">
        <f>MONTH(Movimientos_2026[[#This Row],[Fecha]])</f>
        <v>8</v>
      </c>
      <c r="C2720" s="12" t="str">
        <f>VLOOKUP((WEEKDAY(Movimientos_2026[[#This Row],[Fecha]],2)),'5. Setup'!$D$6:$E$12,2,FALSE)</f>
        <v>Jue</v>
      </c>
      <c r="D2720">
        <v>2044464</v>
      </c>
      <c r="E2720" t="str">
        <f>IFERROR(+VLOOKUP(Movimientos_2026[[#This Row],[Codigo]],Plan_cuentas[],2,FALSE)," ")</f>
        <v>EGRESOS</v>
      </c>
      <c r="F2720" t="str">
        <f>IFERROR(+VLOOKUP(Movimientos_2026[[#This Row],[Codigo]],Plan_cuentas[],3,FALSE)," ")</f>
        <v>Transferencia</v>
      </c>
      <c r="G2720" t="str">
        <f>IFERROR(+VLOOKUP(Movimientos_2026[[#This Row],[Codigo]],Plan_cuentas[],4,FALSE)," ")</f>
        <v>Rentas</v>
      </c>
      <c r="H2720" t="str">
        <f>IFERROR(+VLOOKUP(Movimientos_2026[[#This Row],[Codigo]],Plan_cuentas[],5,FALSE)," ")</f>
        <v>MISIONES</v>
      </c>
      <c r="I2720" s="43">
        <v>46204</v>
      </c>
      <c r="J2720" t="s">
        <v>1266</v>
      </c>
      <c r="K2720" t="str">
        <f>IFERROR(+VLOOKUP(Movimientos_2026[[#This Row],[Codigo]],Plan_cuentas[],6,FALSE)," ")</f>
        <v>4 - FCA - Fiat</v>
      </c>
      <c r="L2720" s="50"/>
      <c r="M2720" s="50">
        <v>8674397.9100000001</v>
      </c>
      <c r="N2720" s="20">
        <f>+Movimientos_2026[[#This Row],[Ingresos]]-Movimientos_2026[[#This Row],[Egresos]]</f>
        <v>-8674397.9100000001</v>
      </c>
      <c r="O2720" s="20">
        <f>+O2719+Movimientos_2026[[#This Row],[Neto]]</f>
        <v>4987612008.241231</v>
      </c>
    </row>
    <row r="2721" spans="1:15" x14ac:dyDescent="0.25">
      <c r="A2721" s="13">
        <v>46254</v>
      </c>
      <c r="B2721" s="12">
        <f>MONTH(Movimientos_2026[[#This Row],[Fecha]])</f>
        <v>8</v>
      </c>
      <c r="C2721" s="12" t="str">
        <f>VLOOKUP((WEEKDAY(Movimientos_2026[[#This Row],[Fecha]],2)),'5. Setup'!$D$6:$E$12,2,FALSE)</f>
        <v>Jue</v>
      </c>
      <c r="D2721">
        <v>2014351</v>
      </c>
      <c r="E2721" t="str">
        <f>IFERROR(+VLOOKUP(Movimientos_2026[[#This Row],[Codigo]],Plan_cuentas[],2,FALSE)," ")</f>
        <v>EGRESOS</v>
      </c>
      <c r="F2721" t="str">
        <f>IFERROR(+VLOOKUP(Movimientos_2026[[#This Row],[Codigo]],Plan_cuentas[],3,FALSE)," ")</f>
        <v>BtoB</v>
      </c>
      <c r="G2721" t="str">
        <f>IFERROR(+VLOOKUP(Movimientos_2026[[#This Row],[Codigo]],Plan_cuentas[],4,FALSE)," ")</f>
        <v>Rentas</v>
      </c>
      <c r="H2721" t="str">
        <f>IFERROR(+VLOOKUP(Movimientos_2026[[#This Row],[Codigo]],Plan_cuentas[],5,FALSE)," ")</f>
        <v>SAN JUAN</v>
      </c>
      <c r="I2721" s="43">
        <v>46204</v>
      </c>
      <c r="J2721" t="s">
        <v>1267</v>
      </c>
      <c r="K2721" t="str">
        <f>IFERROR(+VLOOKUP(Movimientos_2026[[#This Row],[Codigo]],Plan_cuentas[],6,FALSE)," ")</f>
        <v>1 - VW - Volkswagen</v>
      </c>
      <c r="L2721" s="50"/>
      <c r="M2721" s="50">
        <v>12463425.060000001</v>
      </c>
      <c r="N2721" s="20">
        <f>+Movimientos_2026[[#This Row],[Ingresos]]-Movimientos_2026[[#This Row],[Egresos]]</f>
        <v>-12463425.060000001</v>
      </c>
      <c r="O2721" s="20">
        <f>+O2720+Movimientos_2026[[#This Row],[Neto]]</f>
        <v>4975148583.1812305</v>
      </c>
    </row>
    <row r="2722" spans="1:15" x14ac:dyDescent="0.25">
      <c r="A2722" s="13">
        <v>46254</v>
      </c>
      <c r="B2722" s="12">
        <f>MONTH(Movimientos_2026[[#This Row],[Fecha]])</f>
        <v>8</v>
      </c>
      <c r="C2722" s="12" t="str">
        <f>VLOOKUP((WEEKDAY(Movimientos_2026[[#This Row],[Fecha]],2)),'5. Setup'!$D$6:$E$12,2,FALSE)</f>
        <v>Jue</v>
      </c>
      <c r="D2722">
        <v>2044462</v>
      </c>
      <c r="E2722" t="str">
        <f>IFERROR(+VLOOKUP(Movimientos_2026[[#This Row],[Codigo]],Plan_cuentas[],2,FALSE)," ")</f>
        <v>EGRESOS</v>
      </c>
      <c r="F2722" t="str">
        <f>IFERROR(+VLOOKUP(Movimientos_2026[[#This Row],[Codigo]],Plan_cuentas[],3,FALSE)," ")</f>
        <v>Transferencia</v>
      </c>
      <c r="G2722" t="str">
        <f>IFERROR(+VLOOKUP(Movimientos_2026[[#This Row],[Codigo]],Plan_cuentas[],4,FALSE)," ")</f>
        <v>Rentas</v>
      </c>
      <c r="H2722" t="str">
        <f>IFERROR(+VLOOKUP(Movimientos_2026[[#This Row],[Codigo]],Plan_cuentas[],5,FALSE)," ")</f>
        <v>MISIONES</v>
      </c>
      <c r="I2722" s="43">
        <v>46235</v>
      </c>
      <c r="J2722" t="s">
        <v>1265</v>
      </c>
      <c r="K2722" t="str">
        <f>IFERROR(+VLOOKUP(Movimientos_2026[[#This Row],[Codigo]],Plan_cuentas[],6,FALSE)," ")</f>
        <v>2 - PR - Plan Rombo</v>
      </c>
      <c r="L2722" s="50"/>
      <c r="M2722" s="50">
        <v>3510293.09</v>
      </c>
      <c r="N2722" s="20">
        <f>+Movimientos_2026[[#This Row],[Ingresos]]-Movimientos_2026[[#This Row],[Egresos]]</f>
        <v>-3510293.09</v>
      </c>
      <c r="O2722" s="20">
        <f>+O2721+Movimientos_2026[[#This Row],[Neto]]</f>
        <v>4971638290.0912304</v>
      </c>
    </row>
    <row r="2723" spans="1:15" x14ac:dyDescent="0.25">
      <c r="A2723" s="13">
        <v>46254</v>
      </c>
      <c r="B2723" s="12">
        <f>MONTH(Movimientos_2026[[#This Row],[Fecha]])</f>
        <v>8</v>
      </c>
      <c r="C2723" s="12" t="str">
        <f>VLOOKUP((WEEKDAY(Movimientos_2026[[#This Row],[Fecha]],2)),'5. Setup'!$D$6:$E$12,2,FALSE)</f>
        <v>Jue</v>
      </c>
      <c r="D2723">
        <v>2044126</v>
      </c>
      <c r="E2723" t="str">
        <f>IFERROR(+VLOOKUP(Movimientos_2026[[#This Row],[Codigo]],Plan_cuentas[],2,FALSE)," ")</f>
        <v>EGRESOS</v>
      </c>
      <c r="F2723" t="str">
        <f>IFERROR(+VLOOKUP(Movimientos_2026[[#This Row],[Codigo]],Plan_cuentas[],3,FALSE)," ")</f>
        <v>Transferencia</v>
      </c>
      <c r="G2723" t="str">
        <f>IFERROR(+VLOOKUP(Movimientos_2026[[#This Row],[Codigo]],Plan_cuentas[],4,FALSE)," ")</f>
        <v>Rentas</v>
      </c>
      <c r="H2723" t="str">
        <f>IFERROR(+VLOOKUP(Movimientos_2026[[#This Row],[Codigo]],Plan_cuentas[],5,FALSE)," ")</f>
        <v>BAPRO</v>
      </c>
      <c r="I2723" s="43">
        <v>46204</v>
      </c>
      <c r="J2723" t="s">
        <v>1268</v>
      </c>
      <c r="K2723" t="str">
        <f>IFERROR(+VLOOKUP(Movimientos_2026[[#This Row],[Codigo]],Plan_cuentas[],6,FALSE)," ")</f>
        <v>6 - FCAtr - Fiat Transf.</v>
      </c>
      <c r="L2723" s="50"/>
      <c r="M2723" s="50">
        <v>11118356.1</v>
      </c>
      <c r="N2723" s="20">
        <f>+Movimientos_2026[[#This Row],[Ingresos]]-Movimientos_2026[[#This Row],[Egresos]]</f>
        <v>-11118356.1</v>
      </c>
      <c r="O2723" s="20">
        <f>+O2722+Movimientos_2026[[#This Row],[Neto]]</f>
        <v>4960519933.99123</v>
      </c>
    </row>
    <row r="2724" spans="1:15" x14ac:dyDescent="0.25">
      <c r="A2724" s="13">
        <v>46254</v>
      </c>
      <c r="B2724" s="12">
        <f>MONTH(Movimientos_2026[[#This Row],[Fecha]])</f>
        <v>8</v>
      </c>
      <c r="C2724" s="12" t="str">
        <f>VLOOKUP((WEEKDAY(Movimientos_2026[[#This Row],[Fecha]],2)),'5. Setup'!$D$6:$E$12,2,FALSE)</f>
        <v>Jue</v>
      </c>
      <c r="D2724">
        <v>2044126</v>
      </c>
      <c r="E2724" t="str">
        <f>IFERROR(+VLOOKUP(Movimientos_2026[[#This Row],[Codigo]],Plan_cuentas[],2,FALSE)," ")</f>
        <v>EGRESOS</v>
      </c>
      <c r="F2724" t="str">
        <f>IFERROR(+VLOOKUP(Movimientos_2026[[#This Row],[Codigo]],Plan_cuentas[],3,FALSE)," ")</f>
        <v>Transferencia</v>
      </c>
      <c r="G2724" t="str">
        <f>IFERROR(+VLOOKUP(Movimientos_2026[[#This Row],[Codigo]],Plan_cuentas[],4,FALSE)," ")</f>
        <v>Rentas</v>
      </c>
      <c r="H2724" t="str">
        <f>IFERROR(+VLOOKUP(Movimientos_2026[[#This Row],[Codigo]],Plan_cuentas[],5,FALSE)," ")</f>
        <v>BAPRO</v>
      </c>
      <c r="I2724" s="43">
        <v>46204</v>
      </c>
      <c r="J2724" t="s">
        <v>1269</v>
      </c>
      <c r="K2724" t="str">
        <f>IFERROR(+VLOOKUP(Movimientos_2026[[#This Row],[Codigo]],Plan_cuentas[],6,FALSE)," ")</f>
        <v>6 - FCAtr - Fiat Transf.</v>
      </c>
      <c r="L2724" s="50"/>
      <c r="M2724" s="50">
        <v>1011450.2</v>
      </c>
      <c r="N2724" s="20">
        <f>+Movimientos_2026[[#This Row],[Ingresos]]-Movimientos_2026[[#This Row],[Egresos]]</f>
        <v>-1011450.2</v>
      </c>
      <c r="O2724" s="20">
        <f>+O2723+Movimientos_2026[[#This Row],[Neto]]</f>
        <v>4959508483.7912302</v>
      </c>
    </row>
    <row r="2725" spans="1:15" x14ac:dyDescent="0.25">
      <c r="A2725" s="13">
        <v>46254</v>
      </c>
      <c r="B2725" s="12">
        <f>MONTH(Movimientos_2026[[#This Row],[Fecha]])</f>
        <v>8</v>
      </c>
      <c r="C2725" s="12" t="str">
        <f>VLOOKUP((WEEKDAY(Movimientos_2026[[#This Row],[Fecha]],2)),'5. Setup'!$D$6:$E$12,2,FALSE)</f>
        <v>Jue</v>
      </c>
      <c r="D2725">
        <v>2044126</v>
      </c>
      <c r="E2725" t="str">
        <f>IFERROR(+VLOOKUP(Movimientos_2026[[#This Row],[Codigo]],Plan_cuentas[],2,FALSE)," ")</f>
        <v>EGRESOS</v>
      </c>
      <c r="F2725" t="str">
        <f>IFERROR(+VLOOKUP(Movimientos_2026[[#This Row],[Codigo]],Plan_cuentas[],3,FALSE)," ")</f>
        <v>Transferencia</v>
      </c>
      <c r="G2725" t="str">
        <f>IFERROR(+VLOOKUP(Movimientos_2026[[#This Row],[Codigo]],Plan_cuentas[],4,FALSE)," ")</f>
        <v>Rentas</v>
      </c>
      <c r="H2725" t="str">
        <f>IFERROR(+VLOOKUP(Movimientos_2026[[#This Row],[Codigo]],Plan_cuentas[],5,FALSE)," ")</f>
        <v>BAPRO</v>
      </c>
      <c r="I2725" s="43">
        <v>46204</v>
      </c>
      <c r="J2725" t="s">
        <v>1270</v>
      </c>
      <c r="K2725" t="str">
        <f>IFERROR(+VLOOKUP(Movimientos_2026[[#This Row],[Codigo]],Plan_cuentas[],6,FALSE)," ")</f>
        <v>6 - FCAtr - Fiat Transf.</v>
      </c>
      <c r="L2725" s="50"/>
      <c r="M2725" s="50">
        <v>656798.5</v>
      </c>
      <c r="N2725" s="20">
        <f>+Movimientos_2026[[#This Row],[Ingresos]]-Movimientos_2026[[#This Row],[Egresos]]</f>
        <v>-656798.5</v>
      </c>
      <c r="O2725" s="20">
        <f>+O2724+Movimientos_2026[[#This Row],[Neto]]</f>
        <v>4958851685.2912302</v>
      </c>
    </row>
    <row r="2726" spans="1:15" x14ac:dyDescent="0.25">
      <c r="A2726" s="13">
        <v>46254</v>
      </c>
      <c r="B2726" s="12">
        <f>MONTH(Movimientos_2026[[#This Row],[Fecha]])</f>
        <v>8</v>
      </c>
      <c r="C2726" s="12" t="str">
        <f>VLOOKUP((WEEKDAY(Movimientos_2026[[#This Row],[Fecha]],2)),'5. Setup'!$D$6:$E$12,2,FALSE)</f>
        <v>Jue</v>
      </c>
      <c r="D2726">
        <v>2044126</v>
      </c>
      <c r="E2726" t="str">
        <f>IFERROR(+VLOOKUP(Movimientos_2026[[#This Row],[Codigo]],Plan_cuentas[],2,FALSE)," ")</f>
        <v>EGRESOS</v>
      </c>
      <c r="F2726" t="str">
        <f>IFERROR(+VLOOKUP(Movimientos_2026[[#This Row],[Codigo]],Plan_cuentas[],3,FALSE)," ")</f>
        <v>Transferencia</v>
      </c>
      <c r="G2726" t="str">
        <f>IFERROR(+VLOOKUP(Movimientos_2026[[#This Row],[Codigo]],Plan_cuentas[],4,FALSE)," ")</f>
        <v>Rentas</v>
      </c>
      <c r="H2726" t="str">
        <f>IFERROR(+VLOOKUP(Movimientos_2026[[#This Row],[Codigo]],Plan_cuentas[],5,FALSE)," ")</f>
        <v>BAPRO</v>
      </c>
      <c r="I2726" s="43">
        <v>46204</v>
      </c>
      <c r="J2726" t="s">
        <v>1271</v>
      </c>
      <c r="K2726" t="str">
        <f>IFERROR(+VLOOKUP(Movimientos_2026[[#This Row],[Codigo]],Plan_cuentas[],6,FALSE)," ")</f>
        <v>6 - FCAtr - Fiat Transf.</v>
      </c>
      <c r="L2726" s="50"/>
      <c r="M2726" s="50">
        <v>411199.5</v>
      </c>
      <c r="N2726" s="20">
        <f>+Movimientos_2026[[#This Row],[Ingresos]]-Movimientos_2026[[#This Row],[Egresos]]</f>
        <v>-411199.5</v>
      </c>
      <c r="O2726" s="20">
        <f>+O2725+Movimientos_2026[[#This Row],[Neto]]</f>
        <v>4958440485.7912302</v>
      </c>
    </row>
    <row r="2727" spans="1:15" x14ac:dyDescent="0.25">
      <c r="A2727" s="13">
        <v>46254</v>
      </c>
      <c r="B2727" s="12">
        <f>MONTH(Movimientos_2026[[#This Row],[Fecha]])</f>
        <v>8</v>
      </c>
      <c r="C2727" s="12" t="str">
        <f>VLOOKUP((WEEKDAY(Movimientos_2026[[#This Row],[Fecha]],2)),'5. Setup'!$D$6:$E$12,2,FALSE)</f>
        <v>Jue</v>
      </c>
      <c r="D2727">
        <v>2044126</v>
      </c>
      <c r="E2727" t="str">
        <f>IFERROR(+VLOOKUP(Movimientos_2026[[#This Row],[Codigo]],Plan_cuentas[],2,FALSE)," ")</f>
        <v>EGRESOS</v>
      </c>
      <c r="F2727" t="str">
        <f>IFERROR(+VLOOKUP(Movimientos_2026[[#This Row],[Codigo]],Plan_cuentas[],3,FALSE)," ")</f>
        <v>Transferencia</v>
      </c>
      <c r="G2727" t="str">
        <f>IFERROR(+VLOOKUP(Movimientos_2026[[#This Row],[Codigo]],Plan_cuentas[],4,FALSE)," ")</f>
        <v>Rentas</v>
      </c>
      <c r="H2727" t="str">
        <f>IFERROR(+VLOOKUP(Movimientos_2026[[#This Row],[Codigo]],Plan_cuentas[],5,FALSE)," ")</f>
        <v>BAPRO</v>
      </c>
      <c r="I2727" s="43">
        <v>46204</v>
      </c>
      <c r="J2727" t="s">
        <v>1272</v>
      </c>
      <c r="K2727" t="str">
        <f>IFERROR(+VLOOKUP(Movimientos_2026[[#This Row],[Codigo]],Plan_cuentas[],6,FALSE)," ")</f>
        <v>6 - FCAtr - Fiat Transf.</v>
      </c>
      <c r="L2727" s="50"/>
      <c r="M2727" s="50">
        <v>237550.5</v>
      </c>
      <c r="N2727" s="20">
        <f>+Movimientos_2026[[#This Row],[Ingresos]]-Movimientos_2026[[#This Row],[Egresos]]</f>
        <v>-237550.5</v>
      </c>
      <c r="O2727" s="20">
        <f>+O2726+Movimientos_2026[[#This Row],[Neto]]</f>
        <v>4958202935.2912302</v>
      </c>
    </row>
    <row r="2728" spans="1:15" x14ac:dyDescent="0.25">
      <c r="A2728" s="13">
        <v>46254</v>
      </c>
      <c r="B2728" s="12">
        <f>MONTH(Movimientos_2026[[#This Row],[Fecha]])</f>
        <v>8</v>
      </c>
      <c r="C2728" s="12" t="str">
        <f>VLOOKUP((WEEKDAY(Movimientos_2026[[#This Row],[Fecha]],2)),'5. Setup'!$D$6:$E$12,2,FALSE)</f>
        <v>Jue</v>
      </c>
      <c r="D2728">
        <v>2044126</v>
      </c>
      <c r="E2728" t="str">
        <f>IFERROR(+VLOOKUP(Movimientos_2026[[#This Row],[Codigo]],Plan_cuentas[],2,FALSE)," ")</f>
        <v>EGRESOS</v>
      </c>
      <c r="F2728" t="str">
        <f>IFERROR(+VLOOKUP(Movimientos_2026[[#This Row],[Codigo]],Plan_cuentas[],3,FALSE)," ")</f>
        <v>Transferencia</v>
      </c>
      <c r="G2728" t="str">
        <f>IFERROR(+VLOOKUP(Movimientos_2026[[#This Row],[Codigo]],Plan_cuentas[],4,FALSE)," ")</f>
        <v>Rentas</v>
      </c>
      <c r="H2728" t="str">
        <f>IFERROR(+VLOOKUP(Movimientos_2026[[#This Row],[Codigo]],Plan_cuentas[],5,FALSE)," ")</f>
        <v>BAPRO</v>
      </c>
      <c r="I2728" s="43">
        <v>46204</v>
      </c>
      <c r="J2728" t="s">
        <v>1273</v>
      </c>
      <c r="K2728" t="str">
        <f>IFERROR(+VLOOKUP(Movimientos_2026[[#This Row],[Codigo]],Plan_cuentas[],6,FALSE)," ")</f>
        <v>6 - FCAtr - Fiat Transf.</v>
      </c>
      <c r="L2728" s="50"/>
      <c r="M2728" s="50">
        <v>167525.1</v>
      </c>
      <c r="N2728" s="20">
        <f>+Movimientos_2026[[#This Row],[Ingresos]]-Movimientos_2026[[#This Row],[Egresos]]</f>
        <v>-167525.1</v>
      </c>
      <c r="O2728" s="20">
        <f>+O2727+Movimientos_2026[[#This Row],[Neto]]</f>
        <v>4958035410.1912298</v>
      </c>
    </row>
    <row r="2729" spans="1:15" x14ac:dyDescent="0.25">
      <c r="A2729" s="13">
        <v>46254</v>
      </c>
      <c r="B2729" s="12">
        <f>MONTH(Movimientos_2026[[#This Row],[Fecha]])</f>
        <v>8</v>
      </c>
      <c r="C2729" s="12" t="str">
        <f>VLOOKUP((WEEKDAY(Movimientos_2026[[#This Row],[Fecha]],2)),'5. Setup'!$D$6:$E$12,2,FALSE)</f>
        <v>Jue</v>
      </c>
      <c r="D2729">
        <v>2044126</v>
      </c>
      <c r="E2729" t="str">
        <f>IFERROR(+VLOOKUP(Movimientos_2026[[#This Row],[Codigo]],Plan_cuentas[],2,FALSE)," ")</f>
        <v>EGRESOS</v>
      </c>
      <c r="F2729" t="str">
        <f>IFERROR(+VLOOKUP(Movimientos_2026[[#This Row],[Codigo]],Plan_cuentas[],3,FALSE)," ")</f>
        <v>Transferencia</v>
      </c>
      <c r="G2729" t="str">
        <f>IFERROR(+VLOOKUP(Movimientos_2026[[#This Row],[Codigo]],Plan_cuentas[],4,FALSE)," ")</f>
        <v>Rentas</v>
      </c>
      <c r="H2729" t="str">
        <f>IFERROR(+VLOOKUP(Movimientos_2026[[#This Row],[Codigo]],Plan_cuentas[],5,FALSE)," ")</f>
        <v>BAPRO</v>
      </c>
      <c r="I2729" s="43">
        <v>46204</v>
      </c>
      <c r="J2729" t="s">
        <v>1274</v>
      </c>
      <c r="K2729" t="str">
        <f>IFERROR(+VLOOKUP(Movimientos_2026[[#This Row],[Codigo]],Plan_cuentas[],6,FALSE)," ")</f>
        <v>6 - FCAtr - Fiat Transf.</v>
      </c>
      <c r="L2729" s="50"/>
      <c r="M2729" s="50">
        <v>143795</v>
      </c>
      <c r="N2729" s="20">
        <f>+Movimientos_2026[[#This Row],[Ingresos]]-Movimientos_2026[[#This Row],[Egresos]]</f>
        <v>-143795</v>
      </c>
      <c r="O2729" s="20">
        <f>+O2728+Movimientos_2026[[#This Row],[Neto]]</f>
        <v>4957891615.1912298</v>
      </c>
    </row>
    <row r="2730" spans="1:15" x14ac:dyDescent="0.25">
      <c r="A2730" s="13">
        <v>46254</v>
      </c>
      <c r="B2730" s="12">
        <f>MONTH(Movimientos_2026[[#This Row],[Fecha]])</f>
        <v>8</v>
      </c>
      <c r="C2730" s="12" t="str">
        <f>VLOOKUP((WEEKDAY(Movimientos_2026[[#This Row],[Fecha]],2)),'5. Setup'!$D$6:$E$12,2,FALSE)</f>
        <v>Jue</v>
      </c>
      <c r="D2730">
        <v>2044126</v>
      </c>
      <c r="E2730" t="str">
        <f>IFERROR(+VLOOKUP(Movimientos_2026[[#This Row],[Codigo]],Plan_cuentas[],2,FALSE)," ")</f>
        <v>EGRESOS</v>
      </c>
      <c r="F2730" t="str">
        <f>IFERROR(+VLOOKUP(Movimientos_2026[[#This Row],[Codigo]],Plan_cuentas[],3,FALSE)," ")</f>
        <v>Transferencia</v>
      </c>
      <c r="G2730" t="str">
        <f>IFERROR(+VLOOKUP(Movimientos_2026[[#This Row],[Codigo]],Plan_cuentas[],4,FALSE)," ")</f>
        <v>Rentas</v>
      </c>
      <c r="H2730" t="str">
        <f>IFERROR(+VLOOKUP(Movimientos_2026[[#This Row],[Codigo]],Plan_cuentas[],5,FALSE)," ")</f>
        <v>BAPRO</v>
      </c>
      <c r="I2730" s="43">
        <v>46204</v>
      </c>
      <c r="J2730" t="s">
        <v>1275</v>
      </c>
      <c r="K2730" t="str">
        <f>IFERROR(+VLOOKUP(Movimientos_2026[[#This Row],[Codigo]],Plan_cuentas[],6,FALSE)," ")</f>
        <v>6 - FCAtr - Fiat Transf.</v>
      </c>
      <c r="L2730" s="50"/>
      <c r="M2730" s="50">
        <v>143795</v>
      </c>
      <c r="N2730" s="20">
        <f>+Movimientos_2026[[#This Row],[Ingresos]]-Movimientos_2026[[#This Row],[Egresos]]</f>
        <v>-143795</v>
      </c>
      <c r="O2730" s="20">
        <f>+O2729+Movimientos_2026[[#This Row],[Neto]]</f>
        <v>4957747820.1912298</v>
      </c>
    </row>
    <row r="2731" spans="1:15" x14ac:dyDescent="0.25">
      <c r="A2731" s="13">
        <v>46254</v>
      </c>
      <c r="B2731" s="12">
        <f>MONTH(Movimientos_2026[[#This Row],[Fecha]])</f>
        <v>8</v>
      </c>
      <c r="C2731" s="12" t="str">
        <f>VLOOKUP((WEEKDAY(Movimientos_2026[[#This Row],[Fecha]],2)),'5. Setup'!$D$6:$E$12,2,FALSE)</f>
        <v>Jue</v>
      </c>
      <c r="D2731">
        <v>2044126</v>
      </c>
      <c r="E2731" t="str">
        <f>IFERROR(+VLOOKUP(Movimientos_2026[[#This Row],[Codigo]],Plan_cuentas[],2,FALSE)," ")</f>
        <v>EGRESOS</v>
      </c>
      <c r="F2731" t="str">
        <f>IFERROR(+VLOOKUP(Movimientos_2026[[#This Row],[Codigo]],Plan_cuentas[],3,FALSE)," ")</f>
        <v>Transferencia</v>
      </c>
      <c r="G2731" t="str">
        <f>IFERROR(+VLOOKUP(Movimientos_2026[[#This Row],[Codigo]],Plan_cuentas[],4,FALSE)," ")</f>
        <v>Rentas</v>
      </c>
      <c r="H2731" t="str">
        <f>IFERROR(+VLOOKUP(Movimientos_2026[[#This Row],[Codigo]],Plan_cuentas[],5,FALSE)," ")</f>
        <v>BAPRO</v>
      </c>
      <c r="I2731" s="43">
        <v>46204</v>
      </c>
      <c r="J2731" t="s">
        <v>1276</v>
      </c>
      <c r="K2731" t="str">
        <f>IFERROR(+VLOOKUP(Movimientos_2026[[#This Row],[Codigo]],Plan_cuentas[],6,FALSE)," ")</f>
        <v>6 - FCAtr - Fiat Transf.</v>
      </c>
      <c r="L2731" s="50"/>
      <c r="M2731" s="50">
        <v>109446.3</v>
      </c>
      <c r="N2731" s="20">
        <f>+Movimientos_2026[[#This Row],[Ingresos]]-Movimientos_2026[[#This Row],[Egresos]]</f>
        <v>-109446.3</v>
      </c>
      <c r="O2731" s="20">
        <f>+O2730+Movimientos_2026[[#This Row],[Neto]]</f>
        <v>4957638373.8912296</v>
      </c>
    </row>
    <row r="2732" spans="1:15" x14ac:dyDescent="0.25">
      <c r="A2732" s="13">
        <v>46255</v>
      </c>
      <c r="B2732" s="12">
        <f>MONTH(Movimientos_2026[[#This Row],[Fecha]])</f>
        <v>8</v>
      </c>
      <c r="C2732" s="12" t="str">
        <f>VLOOKUP((WEEKDAY(Movimientos_2026[[#This Row],[Fecha]],2)),'5. Setup'!$D$6:$E$12,2,FALSE)</f>
        <v>Vie</v>
      </c>
      <c r="D2732">
        <v>2014262</v>
      </c>
      <c r="E2732" t="str">
        <f>IFERROR(+VLOOKUP(Movimientos_2026[[#This Row],[Codigo]],Plan_cuentas[],2,FALSE)," ")</f>
        <v>EGRESOS</v>
      </c>
      <c r="F2732" t="str">
        <f>IFERROR(+VLOOKUP(Movimientos_2026[[#This Row],[Codigo]],Plan_cuentas[],3,FALSE)," ")</f>
        <v>BtoB</v>
      </c>
      <c r="G2732" t="str">
        <f>IFERROR(+VLOOKUP(Movimientos_2026[[#This Row],[Codigo]],Plan_cuentas[],4,FALSE)," ")</f>
        <v>Rentas</v>
      </c>
      <c r="H2732" t="str">
        <f>IFERROR(+VLOOKUP(Movimientos_2026[[#This Row],[Codigo]],Plan_cuentas[],5,FALSE)," ")</f>
        <v>LA PAMPA</v>
      </c>
      <c r="I2732" s="43">
        <v>46204</v>
      </c>
      <c r="J2732" t="s">
        <v>1280</v>
      </c>
      <c r="K2732" t="str">
        <f>IFERROR(+VLOOKUP(Movimientos_2026[[#This Row],[Codigo]],Plan_cuentas[],6,FALSE)," ")</f>
        <v>2 - PR - Plan Rombo</v>
      </c>
      <c r="L2732" s="50"/>
      <c r="M2732" s="50">
        <v>4530400</v>
      </c>
      <c r="N2732" s="20">
        <f>+Movimientos_2026[[#This Row],[Ingresos]]-Movimientos_2026[[#This Row],[Egresos]]</f>
        <v>-4530400</v>
      </c>
      <c r="O2732" s="20">
        <f>+O2731+Movimientos_2026[[#This Row],[Neto]]</f>
        <v>4953107973.8912296</v>
      </c>
    </row>
    <row r="2733" spans="1:15" x14ac:dyDescent="0.25">
      <c r="A2733" s="13">
        <v>46255</v>
      </c>
      <c r="B2733" s="12">
        <f>MONTH(Movimientos_2026[[#This Row],[Fecha]])</f>
        <v>8</v>
      </c>
      <c r="C2733" s="12" t="str">
        <f>VLOOKUP((WEEKDAY(Movimientos_2026[[#This Row],[Fecha]],2)),'5. Setup'!$D$6:$E$12,2,FALSE)</f>
        <v>Vie</v>
      </c>
      <c r="D2733">
        <v>2014264</v>
      </c>
      <c r="E2733" t="str">
        <f>IFERROR(+VLOOKUP(Movimientos_2026[[#This Row],[Codigo]],Plan_cuentas[],2,FALSE)," ")</f>
        <v>EGRESOS</v>
      </c>
      <c r="F2733" t="str">
        <f>IFERROR(+VLOOKUP(Movimientos_2026[[#This Row],[Codigo]],Plan_cuentas[],3,FALSE)," ")</f>
        <v>BtoB</v>
      </c>
      <c r="G2733" t="str">
        <f>IFERROR(+VLOOKUP(Movimientos_2026[[#This Row],[Codigo]],Plan_cuentas[],4,FALSE)," ")</f>
        <v>Rentas</v>
      </c>
      <c r="H2733" t="str">
        <f>IFERROR(+VLOOKUP(Movimientos_2026[[#This Row],[Codigo]],Plan_cuentas[],5,FALSE)," ")</f>
        <v>LA PAMPA</v>
      </c>
      <c r="I2733" s="43">
        <v>46204</v>
      </c>
      <c r="J2733" t="s">
        <v>1281</v>
      </c>
      <c r="K2733" t="str">
        <f>IFERROR(+VLOOKUP(Movimientos_2026[[#This Row],[Codigo]],Plan_cuentas[],6,FALSE)," ")</f>
        <v>4 - FCA - Fiat</v>
      </c>
      <c r="L2733" s="50"/>
      <c r="M2733" s="50">
        <v>7000550</v>
      </c>
      <c r="N2733" s="20">
        <f>+Movimientos_2026[[#This Row],[Ingresos]]-Movimientos_2026[[#This Row],[Egresos]]</f>
        <v>-7000550</v>
      </c>
      <c r="O2733" s="20">
        <f>+O2732+Movimientos_2026[[#This Row],[Neto]]</f>
        <v>4946107423.8912296</v>
      </c>
    </row>
    <row r="2734" spans="1:15" x14ac:dyDescent="0.25">
      <c r="A2734" s="13">
        <v>46255</v>
      </c>
      <c r="B2734" s="12">
        <f>MONTH(Movimientos_2026[[#This Row],[Fecha]])</f>
        <v>8</v>
      </c>
      <c r="C2734" s="12" t="str">
        <f>VLOOKUP((WEEKDAY(Movimientos_2026[[#This Row],[Fecha]],2)),'5. Setup'!$D$6:$E$12,2,FALSE)</f>
        <v>Vie</v>
      </c>
      <c r="D2734">
        <v>2014266</v>
      </c>
      <c r="E2734" t="str">
        <f>IFERROR(+VLOOKUP(Movimientos_2026[[#This Row],[Codigo]],Plan_cuentas[],2,FALSE)," ")</f>
        <v>EGRESOS</v>
      </c>
      <c r="F2734" t="str">
        <f>IFERROR(+VLOOKUP(Movimientos_2026[[#This Row],[Codigo]],Plan_cuentas[],3,FALSE)," ")</f>
        <v>BtoB</v>
      </c>
      <c r="G2734" t="str">
        <f>IFERROR(+VLOOKUP(Movimientos_2026[[#This Row],[Codigo]],Plan_cuentas[],4,FALSE)," ")</f>
        <v>Rentas</v>
      </c>
      <c r="H2734" t="str">
        <f>IFERROR(+VLOOKUP(Movimientos_2026[[#This Row],[Codigo]],Plan_cuentas[],5,FALSE)," ")</f>
        <v>LA PAMPA</v>
      </c>
      <c r="I2734" s="43">
        <v>46204</v>
      </c>
      <c r="J2734" t="s">
        <v>1281</v>
      </c>
      <c r="K2734" t="str">
        <f>IFERROR(+VLOOKUP(Movimientos_2026[[#This Row],[Codigo]],Plan_cuentas[],6,FALSE)," ")</f>
        <v>6 - FCAtr - Fiat Transf.</v>
      </c>
      <c r="L2734" s="50"/>
      <c r="M2734" s="50">
        <v>97329.34</v>
      </c>
      <c r="N2734" s="20">
        <f>+Movimientos_2026[[#This Row],[Ingresos]]-Movimientos_2026[[#This Row],[Egresos]]</f>
        <v>-97329.34</v>
      </c>
      <c r="O2734" s="20">
        <f>+O2733+Movimientos_2026[[#This Row],[Neto]]</f>
        <v>4946010094.5512295</v>
      </c>
    </row>
    <row r="2735" spans="1:15" x14ac:dyDescent="0.25">
      <c r="A2735" s="13">
        <v>46255</v>
      </c>
      <c r="B2735" s="12">
        <f>MONTH(Movimientos_2026[[#This Row],[Fecha]])</f>
        <v>8</v>
      </c>
      <c r="C2735" s="12" t="str">
        <f>VLOOKUP((WEEKDAY(Movimientos_2026[[#This Row],[Fecha]],2)),'5. Setup'!$D$6:$E$12,2,FALSE)</f>
        <v>Vie</v>
      </c>
      <c r="D2735">
        <v>2014264</v>
      </c>
      <c r="E2735" t="str">
        <f>IFERROR(+VLOOKUP(Movimientos_2026[[#This Row],[Codigo]],Plan_cuentas[],2,FALSE)," ")</f>
        <v>EGRESOS</v>
      </c>
      <c r="F2735" t="str">
        <f>IFERROR(+VLOOKUP(Movimientos_2026[[#This Row],[Codigo]],Plan_cuentas[],3,FALSE)," ")</f>
        <v>BtoB</v>
      </c>
      <c r="G2735" t="str">
        <f>IFERROR(+VLOOKUP(Movimientos_2026[[#This Row],[Codigo]],Plan_cuentas[],4,FALSE)," ")</f>
        <v>Rentas</v>
      </c>
      <c r="H2735" t="str">
        <f>IFERROR(+VLOOKUP(Movimientos_2026[[#This Row],[Codigo]],Plan_cuentas[],5,FALSE)," ")</f>
        <v>LA PAMPA</v>
      </c>
      <c r="I2735" s="43">
        <v>46204</v>
      </c>
      <c r="J2735" t="s">
        <v>1281</v>
      </c>
      <c r="K2735" t="str">
        <f>IFERROR(+VLOOKUP(Movimientos_2026[[#This Row],[Codigo]],Plan_cuentas[],6,FALSE)," ")</f>
        <v>4 - FCA - Fiat</v>
      </c>
      <c r="L2735" s="50"/>
      <c r="M2735" s="50">
        <v>2918058.04</v>
      </c>
      <c r="N2735" s="20">
        <f>+Movimientos_2026[[#This Row],[Ingresos]]-Movimientos_2026[[#This Row],[Egresos]]</f>
        <v>-2918058.04</v>
      </c>
      <c r="O2735" s="20">
        <f>+O2734+Movimientos_2026[[#This Row],[Neto]]</f>
        <v>4943092036.5112295</v>
      </c>
    </row>
    <row r="2736" spans="1:15" x14ac:dyDescent="0.25">
      <c r="A2736" s="13">
        <v>46255</v>
      </c>
      <c r="B2736" s="12">
        <f>MONTH(Movimientos_2026[[#This Row],[Fecha]])</f>
        <v>8</v>
      </c>
      <c r="C2736" s="12" t="str">
        <f>VLOOKUP((WEEKDAY(Movimientos_2026[[#This Row],[Fecha]],2)),'5. Setup'!$D$6:$E$12,2,FALSE)</f>
        <v>Vie</v>
      </c>
      <c r="D2736">
        <v>2054312</v>
      </c>
      <c r="E2736" t="str">
        <f>IFERROR(+VLOOKUP(Movimientos_2026[[#This Row],[Codigo]],Plan_cuentas[],2,FALSE)," ")</f>
        <v>EGRESOS</v>
      </c>
      <c r="F2736" t="str">
        <f>IFERROR(+VLOOKUP(Movimientos_2026[[#This Row],[Codigo]],Plan_cuentas[],3,FALSE)," ")</f>
        <v>VEP</v>
      </c>
      <c r="G2736" t="str">
        <f>IFERROR(+VLOOKUP(Movimientos_2026[[#This Row],[Codigo]],Plan_cuentas[],4,FALSE)," ")</f>
        <v>Rentas</v>
      </c>
      <c r="H2736" t="str">
        <f>IFERROR(+VLOOKUP(Movimientos_2026[[#This Row],[Codigo]],Plan_cuentas[],5,FALSE)," ")</f>
        <v>NEUQUEN 1° Q</v>
      </c>
      <c r="I2736" s="43">
        <v>46235</v>
      </c>
      <c r="J2736" t="s">
        <v>1283</v>
      </c>
      <c r="K2736" t="str">
        <f>IFERROR(+VLOOKUP(Movimientos_2026[[#This Row],[Codigo]],Plan_cuentas[],6,FALSE)," ")</f>
        <v>2 - PR - Plan Rombo</v>
      </c>
      <c r="L2736" s="50"/>
      <c r="M2736" s="50">
        <v>30730600</v>
      </c>
      <c r="N2736" s="20">
        <f>+Movimientos_2026[[#This Row],[Ingresos]]-Movimientos_2026[[#This Row],[Egresos]]</f>
        <v>-30730600</v>
      </c>
      <c r="O2736" s="20">
        <f>+O2735+Movimientos_2026[[#This Row],[Neto]]</f>
        <v>4912361436.5112295</v>
      </c>
    </row>
    <row r="2737" spans="1:15" x14ac:dyDescent="0.25">
      <c r="A2737" s="13">
        <v>46255</v>
      </c>
      <c r="B2737" s="12">
        <f>MONTH(Movimientos_2026[[#This Row],[Fecha]])</f>
        <v>8</v>
      </c>
      <c r="C2737" s="12" t="str">
        <f>VLOOKUP((WEEKDAY(Movimientos_2026[[#This Row],[Fecha]],2)),'5. Setup'!$D$6:$E$12,2,FALSE)</f>
        <v>Vie</v>
      </c>
      <c r="D2737">
        <v>2014202</v>
      </c>
      <c r="E2737" t="str">
        <f>IFERROR(+VLOOKUP(Movimientos_2026[[#This Row],[Codigo]],Plan_cuentas[],2,FALSE)," ")</f>
        <v>EGRESOS</v>
      </c>
      <c r="F2737" t="str">
        <f>IFERROR(+VLOOKUP(Movimientos_2026[[#This Row],[Codigo]],Plan_cuentas[],3,FALSE)," ")</f>
        <v>BtoB</v>
      </c>
      <c r="G2737" t="str">
        <f>IFERROR(+VLOOKUP(Movimientos_2026[[#This Row],[Codigo]],Plan_cuentas[],4,FALSE)," ")</f>
        <v>Rentas</v>
      </c>
      <c r="H2737" t="str">
        <f>IFERROR(+VLOOKUP(Movimientos_2026[[#This Row],[Codigo]],Plan_cuentas[],5,FALSE)," ")</f>
        <v>CORRIENTES 1° Q</v>
      </c>
      <c r="I2737" s="43">
        <v>46235</v>
      </c>
      <c r="J2737" t="s">
        <v>1282</v>
      </c>
      <c r="K2737" t="str">
        <f>IFERROR(+VLOOKUP(Movimientos_2026[[#This Row],[Codigo]],Plan_cuentas[],6,FALSE)," ")</f>
        <v>2 - PR - Plan Rombo</v>
      </c>
      <c r="L2737" s="50"/>
      <c r="M2737" s="50">
        <v>34339887.210000001</v>
      </c>
      <c r="N2737" s="20">
        <f>+Movimientos_2026[[#This Row],[Ingresos]]-Movimientos_2026[[#This Row],[Egresos]]</f>
        <v>-34339887.210000001</v>
      </c>
      <c r="O2737" s="20">
        <f>+O2736+Movimientos_2026[[#This Row],[Neto]]</f>
        <v>4878021549.3012295</v>
      </c>
    </row>
    <row r="2738" spans="1:15" x14ac:dyDescent="0.25">
      <c r="A2738" s="13">
        <v>46255</v>
      </c>
      <c r="B2738" s="12">
        <f>MONTH(Movimientos_2026[[#This Row],[Fecha]])</f>
        <v>8</v>
      </c>
      <c r="C2738" s="12" t="str">
        <f>VLOOKUP((WEEKDAY(Movimientos_2026[[#This Row],[Fecha]],2)),'5. Setup'!$D$6:$E$12,2,FALSE)</f>
        <v>Vie</v>
      </c>
      <c r="D2738">
        <v>2023221</v>
      </c>
      <c r="E2738" t="str">
        <f>IFERROR(+VLOOKUP(Movimientos_2026[[#This Row],[Codigo]],Plan_cuentas[],2,FALSE)," ")</f>
        <v>EGRESOS</v>
      </c>
      <c r="F2738" t="str">
        <f>IFERROR(+VLOOKUP(Movimientos_2026[[#This Row],[Codigo]],Plan_cuentas[],3,FALSE)," ")</f>
        <v>DDJJ</v>
      </c>
      <c r="G2738" t="str">
        <f>IFERROR(+VLOOKUP(Movimientos_2026[[#This Row],[Codigo]],Plan_cuentas[],4,FALSE)," ")</f>
        <v>Registración</v>
      </c>
      <c r="H2738" t="str">
        <f>IFERROR(+VLOOKUP(Movimientos_2026[[#This Row],[Codigo]],Plan_cuentas[],5,FALSE)," ")</f>
        <v>ENTRE RIOS 1° Q</v>
      </c>
      <c r="I2738" s="43">
        <v>46235</v>
      </c>
      <c r="J2738" t="s">
        <v>1289</v>
      </c>
      <c r="K2738" t="str">
        <f>IFERROR(+VLOOKUP(Movimientos_2026[[#This Row],[Codigo]],Plan_cuentas[],6,FALSE)," ")</f>
        <v>1 - VW - Volkswagen</v>
      </c>
      <c r="L2738" s="50"/>
      <c r="M2738" s="50">
        <v>18718098.09</v>
      </c>
      <c r="N2738" s="20">
        <f>+Movimientos_2026[[#This Row],[Ingresos]]-Movimientos_2026[[#This Row],[Egresos]]</f>
        <v>-18718098.09</v>
      </c>
      <c r="O2738" s="20">
        <f>+O2737+Movimientos_2026[[#This Row],[Neto]]</f>
        <v>4859303451.2112293</v>
      </c>
    </row>
    <row r="2739" spans="1:15" x14ac:dyDescent="0.25">
      <c r="A2739" s="13">
        <v>46255</v>
      </c>
      <c r="B2739" s="12">
        <f>MONTH(Movimientos_2026[[#This Row],[Fecha]])</f>
        <v>8</v>
      </c>
      <c r="C2739" s="12" t="str">
        <f>VLOOKUP((WEEKDAY(Movimientos_2026[[#This Row],[Fecha]],2)),'5. Setup'!$D$6:$E$12,2,FALSE)</f>
        <v>Vie</v>
      </c>
      <c r="D2739">
        <v>2023222</v>
      </c>
      <c r="E2739" t="str">
        <f>IFERROR(+VLOOKUP(Movimientos_2026[[#This Row],[Codigo]],Plan_cuentas[],2,FALSE)," ")</f>
        <v>EGRESOS</v>
      </c>
      <c r="F2739" t="str">
        <f>IFERROR(+VLOOKUP(Movimientos_2026[[#This Row],[Codigo]],Plan_cuentas[],3,FALSE)," ")</f>
        <v>DDJJ</v>
      </c>
      <c r="G2739" t="str">
        <f>IFERROR(+VLOOKUP(Movimientos_2026[[#This Row],[Codigo]],Plan_cuentas[],4,FALSE)," ")</f>
        <v>Registración</v>
      </c>
      <c r="H2739" t="str">
        <f>IFERROR(+VLOOKUP(Movimientos_2026[[#This Row],[Codigo]],Plan_cuentas[],5,FALSE)," ")</f>
        <v>ENTRE RIOS 1° Q</v>
      </c>
      <c r="I2739" s="43">
        <v>46235</v>
      </c>
      <c r="J2739" t="s">
        <v>1289</v>
      </c>
      <c r="K2739" t="str">
        <f>IFERROR(+VLOOKUP(Movimientos_2026[[#This Row],[Codigo]],Plan_cuentas[],6,FALSE)," ")</f>
        <v>2 - PR - Plan Rombo</v>
      </c>
      <c r="L2739" s="50"/>
      <c r="M2739" s="50">
        <v>29363022.120000001</v>
      </c>
      <c r="N2739" s="20">
        <f>+Movimientos_2026[[#This Row],[Ingresos]]-Movimientos_2026[[#This Row],[Egresos]]</f>
        <v>-29363022.120000001</v>
      </c>
      <c r="O2739" s="20">
        <f>+O2738+Movimientos_2026[[#This Row],[Neto]]</f>
        <v>4829940429.0912294</v>
      </c>
    </row>
    <row r="2740" spans="1:15" x14ac:dyDescent="0.25">
      <c r="A2740" s="13">
        <v>46255</v>
      </c>
      <c r="B2740" s="12">
        <f>MONTH(Movimientos_2026[[#This Row],[Fecha]])</f>
        <v>8</v>
      </c>
      <c r="C2740" s="12" t="str">
        <f>VLOOKUP((WEEKDAY(Movimientos_2026[[#This Row],[Fecha]],2)),'5. Setup'!$D$6:$E$12,2,FALSE)</f>
        <v>Vie</v>
      </c>
      <c r="D2740">
        <v>2023223</v>
      </c>
      <c r="E2740" t="str">
        <f>IFERROR(+VLOOKUP(Movimientos_2026[[#This Row],[Codigo]],Plan_cuentas[],2,FALSE)," ")</f>
        <v>EGRESOS</v>
      </c>
      <c r="F2740" t="str">
        <f>IFERROR(+VLOOKUP(Movimientos_2026[[#This Row],[Codigo]],Plan_cuentas[],3,FALSE)," ")</f>
        <v>DDJJ</v>
      </c>
      <c r="G2740" t="str">
        <f>IFERROR(+VLOOKUP(Movimientos_2026[[#This Row],[Codigo]],Plan_cuentas[],4,FALSE)," ")</f>
        <v>Registración</v>
      </c>
      <c r="H2740" t="str">
        <f>IFERROR(+VLOOKUP(Movimientos_2026[[#This Row],[Codigo]],Plan_cuentas[],5,FALSE)," ")</f>
        <v>ENTRE RIOS 1° Q</v>
      </c>
      <c r="I2740" s="43">
        <v>46235</v>
      </c>
      <c r="J2740" t="s">
        <v>1289</v>
      </c>
      <c r="K2740" t="str">
        <f>IFERROR(+VLOOKUP(Movimientos_2026[[#This Row],[Codigo]],Plan_cuentas[],6,FALSE)," ")</f>
        <v>3 - GM - Chevrolet</v>
      </c>
      <c r="L2740" s="50"/>
      <c r="M2740" s="50">
        <v>17832565.23</v>
      </c>
      <c r="N2740" s="20">
        <f>+Movimientos_2026[[#This Row],[Ingresos]]-Movimientos_2026[[#This Row],[Egresos]]</f>
        <v>-17832565.23</v>
      </c>
      <c r="O2740" s="20">
        <f>+O2739+Movimientos_2026[[#This Row],[Neto]]</f>
        <v>4812107863.8612299</v>
      </c>
    </row>
    <row r="2741" spans="1:15" x14ac:dyDescent="0.25">
      <c r="A2741" s="13">
        <v>46255</v>
      </c>
      <c r="B2741" s="12">
        <f>MONTH(Movimientos_2026[[#This Row],[Fecha]])</f>
        <v>8</v>
      </c>
      <c r="C2741" s="12" t="str">
        <f>VLOOKUP((WEEKDAY(Movimientos_2026[[#This Row],[Fecha]],2)),'5. Setup'!$D$6:$E$12,2,FALSE)</f>
        <v>Vie</v>
      </c>
      <c r="D2741">
        <v>2023226</v>
      </c>
      <c r="E2741" t="str">
        <f>IFERROR(+VLOOKUP(Movimientos_2026[[#This Row],[Codigo]],Plan_cuentas[],2,FALSE)," ")</f>
        <v>EGRESOS</v>
      </c>
      <c r="F2741" t="str">
        <f>IFERROR(+VLOOKUP(Movimientos_2026[[#This Row],[Codigo]],Plan_cuentas[],3,FALSE)," ")</f>
        <v>DDJJ</v>
      </c>
      <c r="G2741" t="str">
        <f>IFERROR(+VLOOKUP(Movimientos_2026[[#This Row],[Codigo]],Plan_cuentas[],4,FALSE)," ")</f>
        <v>Registración</v>
      </c>
      <c r="H2741" t="str">
        <f>IFERROR(+VLOOKUP(Movimientos_2026[[#This Row],[Codigo]],Plan_cuentas[],5,FALSE)," ")</f>
        <v>ENTRE RIOS 1° Q</v>
      </c>
      <c r="I2741" s="43">
        <v>46235</v>
      </c>
      <c r="J2741" t="s">
        <v>1289</v>
      </c>
      <c r="K2741" t="str">
        <f>IFERROR(+VLOOKUP(Movimientos_2026[[#This Row],[Codigo]],Plan_cuentas[],6,FALSE)," ")</f>
        <v>6 - FCAtr - Fiat Transf.</v>
      </c>
      <c r="L2741" s="50"/>
      <c r="M2741" s="50">
        <v>419320.3</v>
      </c>
      <c r="N2741" s="20">
        <f>+Movimientos_2026[[#This Row],[Ingresos]]-Movimientos_2026[[#This Row],[Egresos]]</f>
        <v>-419320.3</v>
      </c>
      <c r="O2741" s="20">
        <f>+O2740+Movimientos_2026[[#This Row],[Neto]]</f>
        <v>4811688543.5612297</v>
      </c>
    </row>
    <row r="2742" spans="1:15" x14ac:dyDescent="0.25">
      <c r="A2742" s="13">
        <v>46255</v>
      </c>
      <c r="B2742" s="12">
        <f>MONTH(Movimientos_2026[[#This Row],[Fecha]])</f>
        <v>8</v>
      </c>
      <c r="C2742" s="12" t="str">
        <f>VLOOKUP((WEEKDAY(Movimientos_2026[[#This Row],[Fecha]],2)),'5. Setup'!$D$6:$E$12,2,FALSE)</f>
        <v>Vie</v>
      </c>
      <c r="D2742">
        <v>2023227</v>
      </c>
      <c r="E2742" t="str">
        <f>IFERROR(+VLOOKUP(Movimientos_2026[[#This Row],[Codigo]],Plan_cuentas[],2,FALSE)," ")</f>
        <v>EGRESOS</v>
      </c>
      <c r="F2742" t="str">
        <f>IFERROR(+VLOOKUP(Movimientos_2026[[#This Row],[Codigo]],Plan_cuentas[],3,FALSE)," ")</f>
        <v>DDJJ</v>
      </c>
      <c r="G2742" t="str">
        <f>IFERROR(+VLOOKUP(Movimientos_2026[[#This Row],[Codigo]],Plan_cuentas[],4,FALSE)," ")</f>
        <v>Registración</v>
      </c>
      <c r="H2742" t="str">
        <f>IFERROR(+VLOOKUP(Movimientos_2026[[#This Row],[Codigo]],Plan_cuentas[],5,FALSE)," ")</f>
        <v>ENTRE RIOS 1° Q</v>
      </c>
      <c r="I2742" s="43">
        <v>46235</v>
      </c>
      <c r="J2742" t="s">
        <v>1289</v>
      </c>
      <c r="K2742" t="str">
        <f>IFERROR(+VLOOKUP(Movimientos_2026[[#This Row],[Codigo]],Plan_cuentas[],6,FALSE)," ")</f>
        <v>7 - PRtr - Plan Rombo Transf.</v>
      </c>
      <c r="L2742" s="50"/>
      <c r="M2742" s="50">
        <v>4815</v>
      </c>
      <c r="N2742" s="20">
        <f>+Movimientos_2026[[#This Row],[Ingresos]]-Movimientos_2026[[#This Row],[Egresos]]</f>
        <v>-4815</v>
      </c>
      <c r="O2742" s="20">
        <f>+O2741+Movimientos_2026[[#This Row],[Neto]]</f>
        <v>4811683728.5612297</v>
      </c>
    </row>
    <row r="2743" spans="1:15" x14ac:dyDescent="0.25">
      <c r="A2743" s="13">
        <v>46255</v>
      </c>
      <c r="B2743" s="12">
        <f>MONTH(Movimientos_2026[[#This Row],[Fecha]])</f>
        <v>8</v>
      </c>
      <c r="C2743" s="12" t="str">
        <f>VLOOKUP((WEEKDAY(Movimientos_2026[[#This Row],[Fecha]],2)),'5. Setup'!$D$6:$E$12,2,FALSE)</f>
        <v>Vie</v>
      </c>
      <c r="D2743">
        <v>2023382</v>
      </c>
      <c r="E2743" t="str">
        <f>IFERROR(+VLOOKUP(Movimientos_2026[[#This Row],[Codigo]],Plan_cuentas[],2,FALSE)," ")</f>
        <v>EGRESOS</v>
      </c>
      <c r="F2743" t="str">
        <f>IFERROR(+VLOOKUP(Movimientos_2026[[#This Row],[Codigo]],Plan_cuentas[],3,FALSE)," ")</f>
        <v>DDJJ</v>
      </c>
      <c r="G2743" t="str">
        <f>IFERROR(+VLOOKUP(Movimientos_2026[[#This Row],[Codigo]],Plan_cuentas[],4,FALSE)," ")</f>
        <v>Registración</v>
      </c>
      <c r="H2743" t="str">
        <f>IFERROR(+VLOOKUP(Movimientos_2026[[#This Row],[Codigo]],Plan_cuentas[],5,FALSE)," ")</f>
        <v>SANTA FE 1° Q</v>
      </c>
      <c r="I2743" s="43">
        <v>46235</v>
      </c>
      <c r="J2743" t="s">
        <v>1290</v>
      </c>
      <c r="K2743" t="str">
        <f>IFERROR(+VLOOKUP(Movimientos_2026[[#This Row],[Codigo]],Plan_cuentas[],6,FALSE)," ")</f>
        <v>2 - PR - Plan Rombo</v>
      </c>
      <c r="L2743" s="50"/>
      <c r="M2743" s="50">
        <v>45166065.920000002</v>
      </c>
      <c r="N2743" s="20">
        <f>+Movimientos_2026[[#This Row],[Ingresos]]-Movimientos_2026[[#This Row],[Egresos]]</f>
        <v>-45166065.920000002</v>
      </c>
      <c r="O2743" s="20">
        <f>+O2742+Movimientos_2026[[#This Row],[Neto]]</f>
        <v>4766517662.6412296</v>
      </c>
    </row>
    <row r="2744" spans="1:15" x14ac:dyDescent="0.25">
      <c r="A2744" s="13">
        <v>46255</v>
      </c>
      <c r="B2744" s="12">
        <f>MONTH(Movimientos_2026[[#This Row],[Fecha]])</f>
        <v>8</v>
      </c>
      <c r="C2744" s="12" t="str">
        <f>VLOOKUP((WEEKDAY(Movimientos_2026[[#This Row],[Fecha]],2)),'5. Setup'!$D$6:$E$12,2,FALSE)</f>
        <v>Vie</v>
      </c>
      <c r="D2744">
        <v>2023383</v>
      </c>
      <c r="E2744" t="str">
        <f>IFERROR(+VLOOKUP(Movimientos_2026[[#This Row],[Codigo]],Plan_cuentas[],2,FALSE)," ")</f>
        <v>EGRESOS</v>
      </c>
      <c r="F2744" t="str">
        <f>IFERROR(+VLOOKUP(Movimientos_2026[[#This Row],[Codigo]],Plan_cuentas[],3,FALSE)," ")</f>
        <v>DDJJ</v>
      </c>
      <c r="G2744" t="str">
        <f>IFERROR(+VLOOKUP(Movimientos_2026[[#This Row],[Codigo]],Plan_cuentas[],4,FALSE)," ")</f>
        <v>Registración</v>
      </c>
      <c r="H2744" t="str">
        <f>IFERROR(+VLOOKUP(Movimientos_2026[[#This Row],[Codigo]],Plan_cuentas[],5,FALSE)," ")</f>
        <v>SANTA FE 1° Q</v>
      </c>
      <c r="I2744" s="43">
        <v>46235</v>
      </c>
      <c r="J2744" t="s">
        <v>1290</v>
      </c>
      <c r="K2744" t="str">
        <f>IFERROR(+VLOOKUP(Movimientos_2026[[#This Row],[Codigo]],Plan_cuentas[],6,FALSE)," ")</f>
        <v>3 - GM - Chevrolet</v>
      </c>
      <c r="L2744" s="50"/>
      <c r="M2744" s="50">
        <v>43473309.020000003</v>
      </c>
      <c r="N2744" s="20">
        <f>+Movimientos_2026[[#This Row],[Ingresos]]-Movimientos_2026[[#This Row],[Egresos]]</f>
        <v>-43473309.020000003</v>
      </c>
      <c r="O2744" s="20">
        <f>+O2743+Movimientos_2026[[#This Row],[Neto]]</f>
        <v>4723044353.6212292</v>
      </c>
    </row>
    <row r="2745" spans="1:15" x14ac:dyDescent="0.25">
      <c r="A2745" s="13">
        <v>46255</v>
      </c>
      <c r="B2745" s="12">
        <f>MONTH(Movimientos_2026[[#This Row],[Fecha]])</f>
        <v>8</v>
      </c>
      <c r="C2745" s="12" t="str">
        <f>VLOOKUP((WEEKDAY(Movimientos_2026[[#This Row],[Fecha]],2)),'5. Setup'!$D$6:$E$12,2,FALSE)</f>
        <v>Vie</v>
      </c>
      <c r="D2745">
        <v>2023384</v>
      </c>
      <c r="E2745" t="str">
        <f>IFERROR(+VLOOKUP(Movimientos_2026[[#This Row],[Codigo]],Plan_cuentas[],2,FALSE)," ")</f>
        <v>EGRESOS</v>
      </c>
      <c r="F2745" t="str">
        <f>IFERROR(+VLOOKUP(Movimientos_2026[[#This Row],[Codigo]],Plan_cuentas[],3,FALSE)," ")</f>
        <v>DDJJ</v>
      </c>
      <c r="G2745" t="str">
        <f>IFERROR(+VLOOKUP(Movimientos_2026[[#This Row],[Codigo]],Plan_cuentas[],4,FALSE)," ")</f>
        <v>Registración</v>
      </c>
      <c r="H2745" t="str">
        <f>IFERROR(+VLOOKUP(Movimientos_2026[[#This Row],[Codigo]],Plan_cuentas[],5,FALSE)," ")</f>
        <v>SANTA FE 1° Q</v>
      </c>
      <c r="I2745" s="43">
        <v>46235</v>
      </c>
      <c r="J2745" t="s">
        <v>1290</v>
      </c>
      <c r="K2745" t="str">
        <f>IFERROR(+VLOOKUP(Movimientos_2026[[#This Row],[Codigo]],Plan_cuentas[],6,FALSE)," ")</f>
        <v>4 - FCA - Fiat</v>
      </c>
      <c r="L2745" s="50"/>
      <c r="M2745" s="50">
        <v>113788803.70999999</v>
      </c>
      <c r="N2745" s="20">
        <f>+Movimientos_2026[[#This Row],[Ingresos]]-Movimientos_2026[[#This Row],[Egresos]]</f>
        <v>-113788803.70999999</v>
      </c>
      <c r="O2745" s="20">
        <f>+O2744+Movimientos_2026[[#This Row],[Neto]]</f>
        <v>4609255549.9112291</v>
      </c>
    </row>
    <row r="2746" spans="1:15" x14ac:dyDescent="0.25">
      <c r="A2746" s="13">
        <v>46255</v>
      </c>
      <c r="B2746" s="12">
        <f>MONTH(Movimientos_2026[[#This Row],[Fecha]])</f>
        <v>8</v>
      </c>
      <c r="C2746" s="12" t="str">
        <f>VLOOKUP((WEEKDAY(Movimientos_2026[[#This Row],[Fecha]],2)),'5. Setup'!$D$6:$E$12,2,FALSE)</f>
        <v>Vie</v>
      </c>
      <c r="D2746">
        <v>2023385</v>
      </c>
      <c r="E2746" t="str">
        <f>IFERROR(+VLOOKUP(Movimientos_2026[[#This Row],[Codigo]],Plan_cuentas[],2,FALSE)," ")</f>
        <v>EGRESOS</v>
      </c>
      <c r="F2746" t="str">
        <f>IFERROR(+VLOOKUP(Movimientos_2026[[#This Row],[Codigo]],Plan_cuentas[],3,FALSE)," ")</f>
        <v>DDJJ</v>
      </c>
      <c r="G2746" t="str">
        <f>IFERROR(+VLOOKUP(Movimientos_2026[[#This Row],[Codigo]],Plan_cuentas[],4,FALSE)," ")</f>
        <v>Registración</v>
      </c>
      <c r="H2746" t="str">
        <f>IFERROR(+VLOOKUP(Movimientos_2026[[#This Row],[Codigo]],Plan_cuentas[],5,FALSE)," ")</f>
        <v>SANTA FE 1° Q</v>
      </c>
      <c r="I2746" s="43">
        <v>46235</v>
      </c>
      <c r="J2746" t="s">
        <v>1290</v>
      </c>
      <c r="K2746" t="str">
        <f>IFERROR(+VLOOKUP(Movimientos_2026[[#This Row],[Codigo]],Plan_cuentas[],6,FALSE)," ")</f>
        <v>5 - YAM - Yamaha</v>
      </c>
      <c r="L2746" s="50"/>
      <c r="M2746" s="50">
        <v>446276.36</v>
      </c>
      <c r="N2746" s="20">
        <f>+Movimientos_2026[[#This Row],[Ingresos]]-Movimientos_2026[[#This Row],[Egresos]]</f>
        <v>-446276.36</v>
      </c>
      <c r="O2746" s="20">
        <f>+O2745+Movimientos_2026[[#This Row],[Neto]]</f>
        <v>4608809273.5512295</v>
      </c>
    </row>
    <row r="2747" spans="1:15" x14ac:dyDescent="0.25">
      <c r="A2747" s="13">
        <v>46255</v>
      </c>
      <c r="B2747" s="12">
        <f>MONTH(Movimientos_2026[[#This Row],[Fecha]])</f>
        <v>8</v>
      </c>
      <c r="C2747" s="12" t="str">
        <f>VLOOKUP((WEEKDAY(Movimientos_2026[[#This Row],[Fecha]],2)),'5. Setup'!$D$6:$E$12,2,FALSE)</f>
        <v>Vie</v>
      </c>
      <c r="D2747">
        <v>2023386</v>
      </c>
      <c r="E2747" t="str">
        <f>IFERROR(+VLOOKUP(Movimientos_2026[[#This Row],[Codigo]],Plan_cuentas[],2,FALSE)," ")</f>
        <v>EGRESOS</v>
      </c>
      <c r="F2747" t="str">
        <f>IFERROR(+VLOOKUP(Movimientos_2026[[#This Row],[Codigo]],Plan_cuentas[],3,FALSE)," ")</f>
        <v>DDJJ</v>
      </c>
      <c r="G2747" t="str">
        <f>IFERROR(+VLOOKUP(Movimientos_2026[[#This Row],[Codigo]],Plan_cuentas[],4,FALSE)," ")</f>
        <v>Registración</v>
      </c>
      <c r="H2747" t="str">
        <f>IFERROR(+VLOOKUP(Movimientos_2026[[#This Row],[Codigo]],Plan_cuentas[],5,FALSE)," ")</f>
        <v>SANTA FE 1° Q</v>
      </c>
      <c r="I2747" s="43">
        <v>46235</v>
      </c>
      <c r="J2747" t="s">
        <v>1290</v>
      </c>
      <c r="K2747" t="str">
        <f>IFERROR(+VLOOKUP(Movimientos_2026[[#This Row],[Codigo]],Plan_cuentas[],6,FALSE)," ")</f>
        <v>6 - FCAtr - Fiat Transf.</v>
      </c>
      <c r="L2747" s="50"/>
      <c r="M2747" s="50">
        <v>2656618.17</v>
      </c>
      <c r="N2747" s="20">
        <f>+Movimientos_2026[[#This Row],[Ingresos]]-Movimientos_2026[[#This Row],[Egresos]]</f>
        <v>-2656618.17</v>
      </c>
      <c r="O2747" s="20">
        <f>+O2746+Movimientos_2026[[#This Row],[Neto]]</f>
        <v>4606152655.3812294</v>
      </c>
    </row>
    <row r="2748" spans="1:15" x14ac:dyDescent="0.25">
      <c r="A2748" s="13">
        <v>46255</v>
      </c>
      <c r="B2748" s="12">
        <f>MONTH(Movimientos_2026[[#This Row],[Fecha]])</f>
        <v>8</v>
      </c>
      <c r="C2748" s="12" t="str">
        <f>VLOOKUP((WEEKDAY(Movimientos_2026[[#This Row],[Fecha]],2)),'5. Setup'!$D$6:$E$12,2,FALSE)</f>
        <v>Vie</v>
      </c>
      <c r="D2748">
        <v>2023387</v>
      </c>
      <c r="E2748" t="str">
        <f>IFERROR(+VLOOKUP(Movimientos_2026[[#This Row],[Codigo]],Plan_cuentas[],2,FALSE)," ")</f>
        <v>EGRESOS</v>
      </c>
      <c r="F2748" t="str">
        <f>IFERROR(+VLOOKUP(Movimientos_2026[[#This Row],[Codigo]],Plan_cuentas[],3,FALSE)," ")</f>
        <v>DDJJ</v>
      </c>
      <c r="G2748" t="str">
        <f>IFERROR(+VLOOKUP(Movimientos_2026[[#This Row],[Codigo]],Plan_cuentas[],4,FALSE)," ")</f>
        <v>Registración</v>
      </c>
      <c r="H2748" t="str">
        <f>IFERROR(+VLOOKUP(Movimientos_2026[[#This Row],[Codigo]],Plan_cuentas[],5,FALSE)," ")</f>
        <v>SANTA FE 1° Q</v>
      </c>
      <c r="I2748" s="43">
        <v>46235</v>
      </c>
      <c r="J2748" t="s">
        <v>1290</v>
      </c>
      <c r="K2748" t="str">
        <f>IFERROR(+VLOOKUP(Movimientos_2026[[#This Row],[Codigo]],Plan_cuentas[],6,FALSE)," ")</f>
        <v>7 - PRtr - Plan Rombo Transf.</v>
      </c>
      <c r="L2748" s="50"/>
      <c r="M2748" s="50">
        <v>84790</v>
      </c>
      <c r="N2748" s="20">
        <f>+Movimientos_2026[[#This Row],[Ingresos]]-Movimientos_2026[[#This Row],[Egresos]]</f>
        <v>-84790</v>
      </c>
      <c r="O2748" s="20">
        <f>+O2747+Movimientos_2026[[#This Row],[Neto]]</f>
        <v>4606067865.3812294</v>
      </c>
    </row>
    <row r="2749" spans="1:15" x14ac:dyDescent="0.25">
      <c r="A2749" s="13">
        <v>46255</v>
      </c>
      <c r="B2749" s="12">
        <f>MONTH(Movimientos_2026[[#This Row],[Fecha]])</f>
        <v>8</v>
      </c>
      <c r="C2749" s="12" t="str">
        <f>VLOOKUP((WEEKDAY(Movimientos_2026[[#This Row],[Fecha]],2)),'5. Setup'!$D$6:$E$12,2,FALSE)</f>
        <v>Vie</v>
      </c>
      <c r="D2749">
        <v>2044126</v>
      </c>
      <c r="E2749" t="str">
        <f>IFERROR(+VLOOKUP(Movimientos_2026[[#This Row],[Codigo]],Plan_cuentas[],2,FALSE)," ")</f>
        <v>EGRESOS</v>
      </c>
      <c r="F2749" t="str">
        <f>IFERROR(+VLOOKUP(Movimientos_2026[[#This Row],[Codigo]],Plan_cuentas[],3,FALSE)," ")</f>
        <v>Transferencia</v>
      </c>
      <c r="G2749" t="str">
        <f>IFERROR(+VLOOKUP(Movimientos_2026[[#This Row],[Codigo]],Plan_cuentas[],4,FALSE)," ")</f>
        <v>Rentas</v>
      </c>
      <c r="H2749" t="str">
        <f>IFERROR(+VLOOKUP(Movimientos_2026[[#This Row],[Codigo]],Plan_cuentas[],5,FALSE)," ")</f>
        <v>BAPRO</v>
      </c>
      <c r="I2749" s="43">
        <v>46204</v>
      </c>
      <c r="J2749" t="s">
        <v>1284</v>
      </c>
      <c r="K2749" t="str">
        <f>IFERROR(+VLOOKUP(Movimientos_2026[[#This Row],[Codigo]],Plan_cuentas[],6,FALSE)," ")</f>
        <v>6 - FCAtr - Fiat Transf.</v>
      </c>
      <c r="L2749" s="50"/>
      <c r="M2749" s="50">
        <v>5656160.9000000004</v>
      </c>
      <c r="N2749" s="20">
        <f>+Movimientos_2026[[#This Row],[Ingresos]]-Movimientos_2026[[#This Row],[Egresos]]</f>
        <v>-5656160.9000000004</v>
      </c>
      <c r="O2749" s="20">
        <f>+O2748+Movimientos_2026[[#This Row],[Neto]]</f>
        <v>4600411704.4812298</v>
      </c>
    </row>
    <row r="2750" spans="1:15" x14ac:dyDescent="0.25">
      <c r="A2750" s="13">
        <v>46255</v>
      </c>
      <c r="B2750" s="12">
        <f>MONTH(Movimientos_2026[[#This Row],[Fecha]])</f>
        <v>8</v>
      </c>
      <c r="C2750" s="12" t="str">
        <f>VLOOKUP((WEEKDAY(Movimientos_2026[[#This Row],[Fecha]],2)),'5. Setup'!$D$6:$E$12,2,FALSE)</f>
        <v>Vie</v>
      </c>
      <c r="D2750">
        <v>2044126</v>
      </c>
      <c r="E2750" t="str">
        <f>IFERROR(+VLOOKUP(Movimientos_2026[[#This Row],[Codigo]],Plan_cuentas[],2,FALSE)," ")</f>
        <v>EGRESOS</v>
      </c>
      <c r="F2750" t="str">
        <f>IFERROR(+VLOOKUP(Movimientos_2026[[#This Row],[Codigo]],Plan_cuentas[],3,FALSE)," ")</f>
        <v>Transferencia</v>
      </c>
      <c r="G2750" t="str">
        <f>IFERROR(+VLOOKUP(Movimientos_2026[[#This Row],[Codigo]],Plan_cuentas[],4,FALSE)," ")</f>
        <v>Rentas</v>
      </c>
      <c r="H2750" t="str">
        <f>IFERROR(+VLOOKUP(Movimientos_2026[[#This Row],[Codigo]],Plan_cuentas[],5,FALSE)," ")</f>
        <v>BAPRO</v>
      </c>
      <c r="I2750" s="43">
        <v>46204</v>
      </c>
      <c r="J2750" t="s">
        <v>1285</v>
      </c>
      <c r="K2750" t="str">
        <f>IFERROR(+VLOOKUP(Movimientos_2026[[#This Row],[Codigo]],Plan_cuentas[],6,FALSE)," ")</f>
        <v>6 - FCAtr - Fiat Transf.</v>
      </c>
      <c r="L2750" s="50"/>
      <c r="M2750" s="50">
        <v>4318173.4000000004</v>
      </c>
      <c r="N2750" s="20">
        <f>+Movimientos_2026[[#This Row],[Ingresos]]-Movimientos_2026[[#This Row],[Egresos]]</f>
        <v>-4318173.4000000004</v>
      </c>
      <c r="O2750" s="20">
        <f>+O2749+Movimientos_2026[[#This Row],[Neto]]</f>
        <v>4596093531.0812302</v>
      </c>
    </row>
    <row r="2751" spans="1:15" x14ac:dyDescent="0.25">
      <c r="A2751" s="13">
        <v>46255</v>
      </c>
      <c r="B2751" s="12">
        <f>MONTH(Movimientos_2026[[#This Row],[Fecha]])</f>
        <v>8</v>
      </c>
      <c r="C2751" s="12" t="str">
        <f>VLOOKUP((WEEKDAY(Movimientos_2026[[#This Row],[Fecha]],2)),'5. Setup'!$D$6:$E$12,2,FALSE)</f>
        <v>Vie</v>
      </c>
      <c r="D2751">
        <v>2044126</v>
      </c>
      <c r="E2751" t="str">
        <f>IFERROR(+VLOOKUP(Movimientos_2026[[#This Row],[Codigo]],Plan_cuentas[],2,FALSE)," ")</f>
        <v>EGRESOS</v>
      </c>
      <c r="F2751" t="str">
        <f>IFERROR(+VLOOKUP(Movimientos_2026[[#This Row],[Codigo]],Plan_cuentas[],3,FALSE)," ")</f>
        <v>Transferencia</v>
      </c>
      <c r="G2751" t="str">
        <f>IFERROR(+VLOOKUP(Movimientos_2026[[#This Row],[Codigo]],Plan_cuentas[],4,FALSE)," ")</f>
        <v>Rentas</v>
      </c>
      <c r="H2751" t="str">
        <f>IFERROR(+VLOOKUP(Movimientos_2026[[#This Row],[Codigo]],Plan_cuentas[],5,FALSE)," ")</f>
        <v>BAPRO</v>
      </c>
      <c r="I2751" s="43">
        <v>46204</v>
      </c>
      <c r="J2751" t="s">
        <v>1286</v>
      </c>
      <c r="K2751" t="str">
        <f>IFERROR(+VLOOKUP(Movimientos_2026[[#This Row],[Codigo]],Plan_cuentas[],6,FALSE)," ")</f>
        <v>6 - FCAtr - Fiat Transf.</v>
      </c>
      <c r="L2751" s="50"/>
      <c r="M2751" s="50">
        <v>3364674.1</v>
      </c>
      <c r="N2751" s="20">
        <f>+Movimientos_2026[[#This Row],[Ingresos]]-Movimientos_2026[[#This Row],[Egresos]]</f>
        <v>-3364674.1</v>
      </c>
      <c r="O2751" s="20">
        <f>+O2750+Movimientos_2026[[#This Row],[Neto]]</f>
        <v>4592728856.9812298</v>
      </c>
    </row>
    <row r="2752" spans="1:15" x14ac:dyDescent="0.25">
      <c r="A2752" s="13">
        <v>46255</v>
      </c>
      <c r="B2752" s="12">
        <f>MONTH(Movimientos_2026[[#This Row],[Fecha]])</f>
        <v>8</v>
      </c>
      <c r="C2752" s="12" t="str">
        <f>VLOOKUP((WEEKDAY(Movimientos_2026[[#This Row],[Fecha]],2)),'5. Setup'!$D$6:$E$12,2,FALSE)</f>
        <v>Vie</v>
      </c>
      <c r="D2752">
        <v>2044127</v>
      </c>
      <c r="E2752" t="str">
        <f>IFERROR(+VLOOKUP(Movimientos_2026[[#This Row],[Codigo]],Plan_cuentas[],2,FALSE)," ")</f>
        <v>EGRESOS</v>
      </c>
      <c r="F2752" t="str">
        <f>IFERROR(+VLOOKUP(Movimientos_2026[[#This Row],[Codigo]],Plan_cuentas[],3,FALSE)," ")</f>
        <v>Transferencia</v>
      </c>
      <c r="G2752" t="str">
        <f>IFERROR(+VLOOKUP(Movimientos_2026[[#This Row],[Codigo]],Plan_cuentas[],4,FALSE)," ")</f>
        <v>Rentas</v>
      </c>
      <c r="H2752" t="str">
        <f>IFERROR(+VLOOKUP(Movimientos_2026[[#This Row],[Codigo]],Plan_cuentas[],5,FALSE)," ")</f>
        <v>BAPRO</v>
      </c>
      <c r="I2752" s="43">
        <v>46204</v>
      </c>
      <c r="J2752" t="s">
        <v>1287</v>
      </c>
      <c r="K2752" t="str">
        <f>IFERROR(+VLOOKUP(Movimientos_2026[[#This Row],[Codigo]],Plan_cuentas[],6,FALSE)," ")</f>
        <v>7 - PRtr - Plan Rombo Transf.</v>
      </c>
      <c r="L2752" s="50"/>
      <c r="M2752" s="50">
        <v>2545162.4</v>
      </c>
      <c r="N2752" s="20">
        <f>+Movimientos_2026[[#This Row],[Ingresos]]-Movimientos_2026[[#This Row],[Egresos]]</f>
        <v>-2545162.4</v>
      </c>
      <c r="O2752" s="20">
        <f>+O2751+Movimientos_2026[[#This Row],[Neto]]</f>
        <v>4590183694.5812302</v>
      </c>
    </row>
    <row r="2753" spans="1:15" x14ac:dyDescent="0.25">
      <c r="A2753" s="13">
        <v>46255</v>
      </c>
      <c r="B2753" s="12">
        <f>MONTH(Movimientos_2026[[#This Row],[Fecha]])</f>
        <v>8</v>
      </c>
      <c r="C2753" s="12" t="str">
        <f>VLOOKUP((WEEKDAY(Movimientos_2026[[#This Row],[Fecha]],2)),'5. Setup'!$D$6:$E$12,2,FALSE)</f>
        <v>Vie</v>
      </c>
      <c r="D2753">
        <v>2044127</v>
      </c>
      <c r="E2753" t="str">
        <f>IFERROR(+VLOOKUP(Movimientos_2026[[#This Row],[Codigo]],Plan_cuentas[],2,FALSE)," ")</f>
        <v>EGRESOS</v>
      </c>
      <c r="F2753" t="str">
        <f>IFERROR(+VLOOKUP(Movimientos_2026[[#This Row],[Codigo]],Plan_cuentas[],3,FALSE)," ")</f>
        <v>Transferencia</v>
      </c>
      <c r="G2753" t="str">
        <f>IFERROR(+VLOOKUP(Movimientos_2026[[#This Row],[Codigo]],Plan_cuentas[],4,FALSE)," ")</f>
        <v>Rentas</v>
      </c>
      <c r="H2753" t="str">
        <f>IFERROR(+VLOOKUP(Movimientos_2026[[#This Row],[Codigo]],Plan_cuentas[],5,FALSE)," ")</f>
        <v>BAPRO</v>
      </c>
      <c r="I2753" s="43">
        <v>46204</v>
      </c>
      <c r="J2753" t="s">
        <v>1288</v>
      </c>
      <c r="K2753" t="str">
        <f>IFERROR(+VLOOKUP(Movimientos_2026[[#This Row],[Codigo]],Plan_cuentas[],6,FALSE)," ")</f>
        <v>7 - PRtr - Plan Rombo Transf.</v>
      </c>
      <c r="L2753" s="50"/>
      <c r="M2753" s="50">
        <v>496221.1</v>
      </c>
      <c r="N2753" s="20">
        <f>+Movimientos_2026[[#This Row],[Ingresos]]-Movimientos_2026[[#This Row],[Egresos]]</f>
        <v>-496221.1</v>
      </c>
      <c r="O2753" s="20">
        <f>+O2752+Movimientos_2026[[#This Row],[Neto]]</f>
        <v>4589687473.4812298</v>
      </c>
    </row>
    <row r="2754" spans="1:15" x14ac:dyDescent="0.25">
      <c r="A2754" s="13">
        <v>46258</v>
      </c>
      <c r="B2754" s="12">
        <f>MONTH(Movimientos_2026[[#This Row],[Fecha]])</f>
        <v>8</v>
      </c>
      <c r="C2754" s="12" t="str">
        <f>VLOOKUP((WEEKDAY(Movimientos_2026[[#This Row],[Fecha]],2)),'5. Setup'!$D$6:$E$12,2,FALSE)</f>
        <v>Lun</v>
      </c>
      <c r="D2754">
        <v>2054311</v>
      </c>
      <c r="E2754" t="str">
        <f>IFERROR(+VLOOKUP(Movimientos_2026[[#This Row],[Codigo]],Plan_cuentas[],2,FALSE)," ")</f>
        <v>EGRESOS</v>
      </c>
      <c r="F2754" t="str">
        <f>IFERROR(+VLOOKUP(Movimientos_2026[[#This Row],[Codigo]],Plan_cuentas[],3,FALSE)," ")</f>
        <v>VEP</v>
      </c>
      <c r="G2754" t="str">
        <f>IFERROR(+VLOOKUP(Movimientos_2026[[#This Row],[Codigo]],Plan_cuentas[],4,FALSE)," ")</f>
        <v>Rentas</v>
      </c>
      <c r="H2754" t="str">
        <f>IFERROR(+VLOOKUP(Movimientos_2026[[#This Row],[Codigo]],Plan_cuentas[],5,FALSE)," ")</f>
        <v>NEUQUEN 1° Q</v>
      </c>
      <c r="I2754" s="43">
        <v>46235</v>
      </c>
      <c r="K2754" t="str">
        <f>IFERROR(+VLOOKUP(Movimientos_2026[[#This Row],[Codigo]],Plan_cuentas[],6,FALSE)," ")</f>
        <v>1 - VW - Volkswagen</v>
      </c>
      <c r="L2754" s="50"/>
      <c r="M2754" s="50"/>
      <c r="N2754" s="20">
        <f>+Movimientos_2026[[#This Row],[Ingresos]]-Movimientos_2026[[#This Row],[Egresos]]</f>
        <v>0</v>
      </c>
      <c r="O2754" s="20">
        <f>+O2753+Movimientos_2026[[#This Row],[Neto]]</f>
        <v>4589687473.4812298</v>
      </c>
    </row>
    <row r="2755" spans="1:15" x14ac:dyDescent="0.25">
      <c r="A2755" s="13">
        <v>46258</v>
      </c>
      <c r="B2755" s="12">
        <f>MONTH(Movimientos_2026[[#This Row],[Fecha]])</f>
        <v>8</v>
      </c>
      <c r="C2755" s="12" t="str">
        <f>VLOOKUP((WEEKDAY(Movimientos_2026[[#This Row],[Fecha]],2)),'5. Setup'!$D$6:$E$12,2,FALSE)</f>
        <v>Lun</v>
      </c>
      <c r="D2755">
        <v>2054314</v>
      </c>
      <c r="E2755" t="str">
        <f>IFERROR(+VLOOKUP(Movimientos_2026[[#This Row],[Codigo]],Plan_cuentas[],2,FALSE)," ")</f>
        <v>EGRESOS</v>
      </c>
      <c r="F2755" t="str">
        <f>IFERROR(+VLOOKUP(Movimientos_2026[[#This Row],[Codigo]],Plan_cuentas[],3,FALSE)," ")</f>
        <v>VEP</v>
      </c>
      <c r="G2755" t="str">
        <f>IFERROR(+VLOOKUP(Movimientos_2026[[#This Row],[Codigo]],Plan_cuentas[],4,FALSE)," ")</f>
        <v>Rentas</v>
      </c>
      <c r="H2755" t="str">
        <f>IFERROR(+VLOOKUP(Movimientos_2026[[#This Row],[Codigo]],Plan_cuentas[],5,FALSE)," ")</f>
        <v>NEUQUEN 1° Q</v>
      </c>
      <c r="I2755" s="43">
        <v>46235</v>
      </c>
      <c r="K2755" t="str">
        <f>IFERROR(+VLOOKUP(Movimientos_2026[[#This Row],[Codigo]],Plan_cuentas[],6,FALSE)," ")</f>
        <v>4 - FCA - Fiat</v>
      </c>
      <c r="L2755" s="50"/>
      <c r="M2755" s="50"/>
      <c r="N2755" s="20">
        <f>+Movimientos_2026[[#This Row],[Ingresos]]-Movimientos_2026[[#This Row],[Egresos]]</f>
        <v>0</v>
      </c>
      <c r="O2755" s="20">
        <f>+O2754+Movimientos_2026[[#This Row],[Neto]]</f>
        <v>4589687473.4812298</v>
      </c>
    </row>
    <row r="2756" spans="1:15" x14ac:dyDescent="0.25">
      <c r="A2756" s="13">
        <v>46258</v>
      </c>
      <c r="B2756" s="12">
        <f>MONTH(Movimientos_2026[[#This Row],[Fecha]])</f>
        <v>8</v>
      </c>
      <c r="C2756" s="12" t="str">
        <f>VLOOKUP((WEEKDAY(Movimientos_2026[[#This Row],[Fecha]],2)),'5. Setup'!$D$6:$E$12,2,FALSE)</f>
        <v>Lun</v>
      </c>
      <c r="D2756">
        <v>2054316</v>
      </c>
      <c r="E2756" t="str">
        <f>IFERROR(+VLOOKUP(Movimientos_2026[[#This Row],[Codigo]],Plan_cuentas[],2,FALSE)," ")</f>
        <v>EGRESOS</v>
      </c>
      <c r="F2756" t="str">
        <f>IFERROR(+VLOOKUP(Movimientos_2026[[#This Row],[Codigo]],Plan_cuentas[],3,FALSE)," ")</f>
        <v>VEP</v>
      </c>
      <c r="G2756" t="str">
        <f>IFERROR(+VLOOKUP(Movimientos_2026[[#This Row],[Codigo]],Plan_cuentas[],4,FALSE)," ")</f>
        <v>Rentas</v>
      </c>
      <c r="H2756" t="str">
        <f>IFERROR(+VLOOKUP(Movimientos_2026[[#This Row],[Codigo]],Plan_cuentas[],5,FALSE)," ")</f>
        <v>NEUQUEN 1° Q</v>
      </c>
      <c r="I2756" s="43">
        <v>46235</v>
      </c>
      <c r="K2756" t="str">
        <f>IFERROR(+VLOOKUP(Movimientos_2026[[#This Row],[Codigo]],Plan_cuentas[],6,FALSE)," ")</f>
        <v>6 - FCAtr - Fiat Transf.</v>
      </c>
      <c r="L2756" s="50"/>
      <c r="M2756" s="50"/>
      <c r="N2756" s="20">
        <f>+Movimientos_2026[[#This Row],[Ingresos]]-Movimientos_2026[[#This Row],[Egresos]]</f>
        <v>0</v>
      </c>
      <c r="O2756" s="20">
        <f>+O2755+Movimientos_2026[[#This Row],[Neto]]</f>
        <v>4589687473.4812298</v>
      </c>
    </row>
    <row r="2757" spans="1:15" x14ac:dyDescent="0.25">
      <c r="A2757" s="13">
        <v>46258</v>
      </c>
      <c r="B2757" s="12">
        <f>MONTH(Movimientos_2026[[#This Row],[Fecha]])</f>
        <v>8</v>
      </c>
      <c r="C2757" s="12" t="str">
        <f>VLOOKUP((WEEKDAY(Movimientos_2026[[#This Row],[Fecha]],2)),'5. Setup'!$D$6:$E$12,2,FALSE)</f>
        <v>Lun</v>
      </c>
      <c r="D2757">
        <v>2054381</v>
      </c>
      <c r="E2757" t="str">
        <f>IFERROR(+VLOOKUP(Movimientos_2026[[#This Row],[Codigo]],Plan_cuentas[],2,FALSE)," ")</f>
        <v>EGRESOS</v>
      </c>
      <c r="F2757" t="str">
        <f>IFERROR(+VLOOKUP(Movimientos_2026[[#This Row],[Codigo]],Plan_cuentas[],3,FALSE)," ")</f>
        <v>VEP</v>
      </c>
      <c r="G2757" t="str">
        <f>IFERROR(+VLOOKUP(Movimientos_2026[[#This Row],[Codigo]],Plan_cuentas[],4,FALSE)," ")</f>
        <v>Rentas</v>
      </c>
      <c r="H2757" t="str">
        <f>IFERROR(+VLOOKUP(Movimientos_2026[[#This Row],[Codigo]],Plan_cuentas[],5,FALSE)," ")</f>
        <v>SANTA FE 1° Q</v>
      </c>
      <c r="I2757" s="43">
        <v>46235</v>
      </c>
      <c r="K2757" t="str">
        <f>IFERROR(+VLOOKUP(Movimientos_2026[[#This Row],[Codigo]],Plan_cuentas[],6,FALSE)," ")</f>
        <v>1 - VW - Volkswagen</v>
      </c>
      <c r="L2757" s="50"/>
      <c r="M2757" s="50"/>
      <c r="N2757" s="20">
        <f>+Movimientos_2026[[#This Row],[Ingresos]]-Movimientos_2026[[#This Row],[Egresos]]</f>
        <v>0</v>
      </c>
      <c r="O2757" s="20">
        <f>+O2756+Movimientos_2026[[#This Row],[Neto]]</f>
        <v>4589687473.4812298</v>
      </c>
    </row>
    <row r="2758" spans="1:15" x14ac:dyDescent="0.25">
      <c r="A2758" s="13">
        <v>46258</v>
      </c>
      <c r="B2758" s="12">
        <f>MONTH(Movimientos_2026[[#This Row],[Fecha]])</f>
        <v>8</v>
      </c>
      <c r="C2758" s="12" t="str">
        <f>VLOOKUP((WEEKDAY(Movimientos_2026[[#This Row],[Fecha]],2)),'5. Setup'!$D$6:$E$12,2,FALSE)</f>
        <v>Lun</v>
      </c>
      <c r="D2758">
        <v>2014201</v>
      </c>
      <c r="E2758" t="str">
        <f>IFERROR(+VLOOKUP(Movimientos_2026[[#This Row],[Codigo]],Plan_cuentas[],2,FALSE)," ")</f>
        <v>EGRESOS</v>
      </c>
      <c r="F2758" t="str">
        <f>IFERROR(+VLOOKUP(Movimientos_2026[[#This Row],[Codigo]],Plan_cuentas[],3,FALSE)," ")</f>
        <v>BtoB</v>
      </c>
      <c r="G2758" t="str">
        <f>IFERROR(+VLOOKUP(Movimientos_2026[[#This Row],[Codigo]],Plan_cuentas[],4,FALSE)," ")</f>
        <v>Rentas</v>
      </c>
      <c r="H2758" t="str">
        <f>IFERROR(+VLOOKUP(Movimientos_2026[[#This Row],[Codigo]],Plan_cuentas[],5,FALSE)," ")</f>
        <v>CORRIENTES 1° Q</v>
      </c>
      <c r="I2758" s="43">
        <v>46235</v>
      </c>
      <c r="K2758" t="str">
        <f>IFERROR(+VLOOKUP(Movimientos_2026[[#This Row],[Codigo]],Plan_cuentas[],6,FALSE)," ")</f>
        <v>1 - VW - Volkswagen</v>
      </c>
      <c r="L2758" s="50"/>
      <c r="M2758" s="50"/>
      <c r="N2758" s="20">
        <f>+Movimientos_2026[[#This Row],[Ingresos]]-Movimientos_2026[[#This Row],[Egresos]]</f>
        <v>0</v>
      </c>
      <c r="O2758" s="20">
        <f>+O2757+Movimientos_2026[[#This Row],[Neto]]</f>
        <v>4589687473.4812298</v>
      </c>
    </row>
    <row r="2759" spans="1:15" x14ac:dyDescent="0.25">
      <c r="A2759" s="13">
        <v>46258</v>
      </c>
      <c r="B2759" s="12">
        <f>MONTH(Movimientos_2026[[#This Row],[Fecha]])</f>
        <v>8</v>
      </c>
      <c r="C2759" s="12" t="str">
        <f>VLOOKUP((WEEKDAY(Movimientos_2026[[#This Row],[Fecha]],2)),'5. Setup'!$D$6:$E$12,2,FALSE)</f>
        <v>Lun</v>
      </c>
      <c r="D2759">
        <v>2014261</v>
      </c>
      <c r="E2759" t="str">
        <f>IFERROR(+VLOOKUP(Movimientos_2026[[#This Row],[Codigo]],Plan_cuentas[],2,FALSE)," ")</f>
        <v>EGRESOS</v>
      </c>
      <c r="F2759" t="str">
        <f>IFERROR(+VLOOKUP(Movimientos_2026[[#This Row],[Codigo]],Plan_cuentas[],3,FALSE)," ")</f>
        <v>BtoB</v>
      </c>
      <c r="G2759" t="str">
        <f>IFERROR(+VLOOKUP(Movimientos_2026[[#This Row],[Codigo]],Plan_cuentas[],4,FALSE)," ")</f>
        <v>Rentas</v>
      </c>
      <c r="H2759" t="str">
        <f>IFERROR(+VLOOKUP(Movimientos_2026[[#This Row],[Codigo]],Plan_cuentas[],5,FALSE)," ")</f>
        <v>LA PAMPA</v>
      </c>
      <c r="I2759" s="43">
        <v>46204</v>
      </c>
      <c r="K2759" t="str">
        <f>IFERROR(+VLOOKUP(Movimientos_2026[[#This Row],[Codigo]],Plan_cuentas[],6,FALSE)," ")</f>
        <v>1 - VW - Volkswagen</v>
      </c>
      <c r="L2759" s="50"/>
      <c r="M2759" s="50">
        <v>8128855.6850000015</v>
      </c>
      <c r="N2759" s="20">
        <f>+Movimientos_2026[[#This Row],[Ingresos]]-Movimientos_2026[[#This Row],[Egresos]]</f>
        <v>-8128855.6850000015</v>
      </c>
      <c r="O2759" s="20">
        <f>+O2758+Movimientos_2026[[#This Row],[Neto]]</f>
        <v>4581558617.7962294</v>
      </c>
    </row>
    <row r="2760" spans="1:15" x14ac:dyDescent="0.25">
      <c r="A2760" s="13"/>
      <c r="B2760" s="12">
        <f>MONTH(Movimientos_2026[[#This Row],[Fecha]])</f>
        <v>1</v>
      </c>
      <c r="C2760" s="12" t="str">
        <f>VLOOKUP((WEEKDAY(Movimientos_2026[[#This Row],[Fecha]],2)),'5. Setup'!$D$6:$E$12,2,FALSE)</f>
        <v>Sab</v>
      </c>
      <c r="E2760" t="str">
        <f>IFERROR(+VLOOKUP(Movimientos_2026[[#This Row],[Codigo]],Plan_cuentas[],2,FALSE)," ")</f>
        <v xml:space="preserve"> </v>
      </c>
      <c r="F2760" t="str">
        <f>IFERROR(+VLOOKUP(Movimientos_2026[[#This Row],[Codigo]],Plan_cuentas[],3,FALSE)," ")</f>
        <v xml:space="preserve"> </v>
      </c>
      <c r="G2760" t="str">
        <f>IFERROR(+VLOOKUP(Movimientos_2026[[#This Row],[Codigo]],Plan_cuentas[],4,FALSE)," ")</f>
        <v xml:space="preserve"> </v>
      </c>
      <c r="H2760" t="str">
        <f>IFERROR(+VLOOKUP(Movimientos_2026[[#This Row],[Codigo]],Plan_cuentas[],5,FALSE)," ")</f>
        <v xml:space="preserve"> </v>
      </c>
      <c r="I2760" s="43"/>
      <c r="K2760" t="str">
        <f>IFERROR(+VLOOKUP(Movimientos_2026[[#This Row],[Codigo]],Plan_cuentas[],6,FALSE)," ")</f>
        <v xml:space="preserve"> </v>
      </c>
      <c r="L2760" s="50"/>
      <c r="M2760" s="50"/>
      <c r="N2760" s="20">
        <f>+Movimientos_2026[[#This Row],[Ingresos]]-Movimientos_2026[[#This Row],[Egresos]]</f>
        <v>0</v>
      </c>
      <c r="O2760" s="20">
        <f>+O2759+Movimientos_2026[[#This Row],[Neto]]</f>
        <v>4581558617.7962294</v>
      </c>
    </row>
    <row r="2761" spans="1:15" x14ac:dyDescent="0.25">
      <c r="A2761" s="13"/>
      <c r="B2761" s="12">
        <f>MONTH(Movimientos_2026[[#This Row],[Fecha]])</f>
        <v>1</v>
      </c>
      <c r="C2761" s="12" t="str">
        <f>VLOOKUP((WEEKDAY(Movimientos_2026[[#This Row],[Fecha]],2)),'5. Setup'!$D$6:$E$12,2,FALSE)</f>
        <v>Sab</v>
      </c>
      <c r="E2761" t="str">
        <f>IFERROR(+VLOOKUP(Movimientos_2026[[#This Row],[Codigo]],Plan_cuentas[],2,FALSE)," ")</f>
        <v xml:space="preserve"> </v>
      </c>
      <c r="F2761" t="str">
        <f>IFERROR(+VLOOKUP(Movimientos_2026[[#This Row],[Codigo]],Plan_cuentas[],3,FALSE)," ")</f>
        <v xml:space="preserve"> </v>
      </c>
      <c r="G2761" t="str">
        <f>IFERROR(+VLOOKUP(Movimientos_2026[[#This Row],[Codigo]],Plan_cuentas[],4,FALSE)," ")</f>
        <v xml:space="preserve"> </v>
      </c>
      <c r="H2761" t="str">
        <f>IFERROR(+VLOOKUP(Movimientos_2026[[#This Row],[Codigo]],Plan_cuentas[],5,FALSE)," ")</f>
        <v xml:space="preserve"> </v>
      </c>
      <c r="I2761" s="43"/>
      <c r="K2761" t="str">
        <f>IFERROR(+VLOOKUP(Movimientos_2026[[#This Row],[Codigo]],Plan_cuentas[],6,FALSE)," ")</f>
        <v xml:space="preserve"> </v>
      </c>
      <c r="L2761" s="50"/>
      <c r="M2761" s="50"/>
      <c r="N2761" s="20">
        <f>+Movimientos_2026[[#This Row],[Ingresos]]-Movimientos_2026[[#This Row],[Egresos]]</f>
        <v>0</v>
      </c>
      <c r="O2761" s="20">
        <f>+O2760+Movimientos_2026[[#This Row],[Neto]]</f>
        <v>4581558617.7962294</v>
      </c>
    </row>
    <row r="2762" spans="1:15" x14ac:dyDescent="0.25">
      <c r="A2762" s="13"/>
      <c r="B2762" s="12">
        <f>MONTH(Movimientos_2026[[#This Row],[Fecha]])</f>
        <v>1</v>
      </c>
      <c r="C2762" s="12" t="str">
        <f>VLOOKUP((WEEKDAY(Movimientos_2026[[#This Row],[Fecha]],2)),'5. Setup'!$D$6:$E$12,2,FALSE)</f>
        <v>Sab</v>
      </c>
      <c r="E2762" t="str">
        <f>IFERROR(+VLOOKUP(Movimientos_2026[[#This Row],[Codigo]],Plan_cuentas[],2,FALSE)," ")</f>
        <v xml:space="preserve"> </v>
      </c>
      <c r="F2762" t="str">
        <f>IFERROR(+VLOOKUP(Movimientos_2026[[#This Row],[Codigo]],Plan_cuentas[],3,FALSE)," ")</f>
        <v xml:space="preserve"> </v>
      </c>
      <c r="G2762" t="str">
        <f>IFERROR(+VLOOKUP(Movimientos_2026[[#This Row],[Codigo]],Plan_cuentas[],4,FALSE)," ")</f>
        <v xml:space="preserve"> </v>
      </c>
      <c r="H2762" t="str">
        <f>IFERROR(+VLOOKUP(Movimientos_2026[[#This Row],[Codigo]],Plan_cuentas[],5,FALSE)," ")</f>
        <v xml:space="preserve"> </v>
      </c>
      <c r="I2762" s="43"/>
      <c r="K2762" t="str">
        <f>IFERROR(+VLOOKUP(Movimientos_2026[[#This Row],[Codigo]],Plan_cuentas[],6,FALSE)," ")</f>
        <v xml:space="preserve"> </v>
      </c>
      <c r="L2762" s="50"/>
      <c r="M2762" s="50"/>
      <c r="N2762" s="20">
        <f>+Movimientos_2026[[#This Row],[Ingresos]]-Movimientos_2026[[#This Row],[Egresos]]</f>
        <v>0</v>
      </c>
      <c r="O2762" s="20">
        <f>+O2761+Movimientos_2026[[#This Row],[Neto]]</f>
        <v>4581558617.7962294</v>
      </c>
    </row>
    <row r="2763" spans="1:15" x14ac:dyDescent="0.25">
      <c r="A2763" s="13"/>
      <c r="B2763" s="12">
        <f>MONTH(Movimientos_2026[[#This Row],[Fecha]])</f>
        <v>1</v>
      </c>
      <c r="C2763" s="12" t="str">
        <f>VLOOKUP((WEEKDAY(Movimientos_2026[[#This Row],[Fecha]],2)),'5. Setup'!$D$6:$E$12,2,FALSE)</f>
        <v>Sab</v>
      </c>
      <c r="E2763" t="str">
        <f>IFERROR(+VLOOKUP(Movimientos_2026[[#This Row],[Codigo]],Plan_cuentas[],2,FALSE)," ")</f>
        <v xml:space="preserve"> </v>
      </c>
      <c r="F2763" t="str">
        <f>IFERROR(+VLOOKUP(Movimientos_2026[[#This Row],[Codigo]],Plan_cuentas[],3,FALSE)," ")</f>
        <v xml:space="preserve"> </v>
      </c>
      <c r="G2763" t="str">
        <f>IFERROR(+VLOOKUP(Movimientos_2026[[#This Row],[Codigo]],Plan_cuentas[],4,FALSE)," ")</f>
        <v xml:space="preserve"> </v>
      </c>
      <c r="H2763" t="str">
        <f>IFERROR(+VLOOKUP(Movimientos_2026[[#This Row],[Codigo]],Plan_cuentas[],5,FALSE)," ")</f>
        <v xml:space="preserve"> </v>
      </c>
      <c r="I2763" s="43"/>
      <c r="K2763" t="str">
        <f>IFERROR(+VLOOKUP(Movimientos_2026[[#This Row],[Codigo]],Plan_cuentas[],6,FALSE)," ")</f>
        <v xml:space="preserve"> </v>
      </c>
      <c r="L2763" s="50"/>
      <c r="M2763" s="50"/>
      <c r="N2763" s="20">
        <f>+Movimientos_2026[[#This Row],[Ingresos]]-Movimientos_2026[[#This Row],[Egresos]]</f>
        <v>0</v>
      </c>
      <c r="O2763" s="20">
        <f>+O2762+Movimientos_2026[[#This Row],[Neto]]</f>
        <v>4581558617.7962294</v>
      </c>
    </row>
    <row r="2764" spans="1:15" x14ac:dyDescent="0.25">
      <c r="A2764" s="13"/>
      <c r="B2764" s="12">
        <f>MONTH(Movimientos_2026[[#This Row],[Fecha]])</f>
        <v>1</v>
      </c>
      <c r="C2764" s="12" t="str">
        <f>VLOOKUP((WEEKDAY(Movimientos_2026[[#This Row],[Fecha]],2)),'5. Setup'!$D$6:$E$12,2,FALSE)</f>
        <v>Sab</v>
      </c>
      <c r="E2764" t="str">
        <f>IFERROR(+VLOOKUP(Movimientos_2026[[#This Row],[Codigo]],Plan_cuentas[],2,FALSE)," ")</f>
        <v xml:space="preserve"> </v>
      </c>
      <c r="F2764" t="str">
        <f>IFERROR(+VLOOKUP(Movimientos_2026[[#This Row],[Codigo]],Plan_cuentas[],3,FALSE)," ")</f>
        <v xml:space="preserve"> </v>
      </c>
      <c r="G2764" t="str">
        <f>IFERROR(+VLOOKUP(Movimientos_2026[[#This Row],[Codigo]],Plan_cuentas[],4,FALSE)," ")</f>
        <v xml:space="preserve"> </v>
      </c>
      <c r="H2764" t="str">
        <f>IFERROR(+VLOOKUP(Movimientos_2026[[#This Row],[Codigo]],Plan_cuentas[],5,FALSE)," ")</f>
        <v xml:space="preserve"> </v>
      </c>
      <c r="I2764" s="43"/>
      <c r="K2764" t="str">
        <f>IFERROR(+VLOOKUP(Movimientos_2026[[#This Row],[Codigo]],Plan_cuentas[],6,FALSE)," ")</f>
        <v xml:space="preserve"> </v>
      </c>
      <c r="L2764" s="50"/>
      <c r="M2764" s="50"/>
      <c r="N2764" s="20">
        <f>+Movimientos_2026[[#This Row],[Ingresos]]-Movimientos_2026[[#This Row],[Egresos]]</f>
        <v>0</v>
      </c>
      <c r="O2764" s="20">
        <f>+O2763+Movimientos_2026[[#This Row],[Neto]]</f>
        <v>4581558617.7962294</v>
      </c>
    </row>
    <row r="2765" spans="1:15" x14ac:dyDescent="0.25">
      <c r="A2765" s="13"/>
      <c r="B2765" s="12">
        <f>MONTH(Movimientos_2026[[#This Row],[Fecha]])</f>
        <v>1</v>
      </c>
      <c r="C2765" s="12" t="str">
        <f>VLOOKUP((WEEKDAY(Movimientos_2026[[#This Row],[Fecha]],2)),'5. Setup'!$D$6:$E$12,2,FALSE)</f>
        <v>Sab</v>
      </c>
      <c r="E2765" t="str">
        <f>IFERROR(+VLOOKUP(Movimientos_2026[[#This Row],[Codigo]],Plan_cuentas[],2,FALSE)," ")</f>
        <v xml:space="preserve"> </v>
      </c>
      <c r="F2765" t="str">
        <f>IFERROR(+VLOOKUP(Movimientos_2026[[#This Row],[Codigo]],Plan_cuentas[],3,FALSE)," ")</f>
        <v xml:space="preserve"> </v>
      </c>
      <c r="G2765" t="str">
        <f>IFERROR(+VLOOKUP(Movimientos_2026[[#This Row],[Codigo]],Plan_cuentas[],4,FALSE)," ")</f>
        <v xml:space="preserve"> </v>
      </c>
      <c r="H2765" t="str">
        <f>IFERROR(+VLOOKUP(Movimientos_2026[[#This Row],[Codigo]],Plan_cuentas[],5,FALSE)," ")</f>
        <v xml:space="preserve"> </v>
      </c>
      <c r="I2765" s="43"/>
      <c r="K2765" t="str">
        <f>IFERROR(+VLOOKUP(Movimientos_2026[[#This Row],[Codigo]],Plan_cuentas[],6,FALSE)," ")</f>
        <v xml:space="preserve"> </v>
      </c>
      <c r="L2765" s="50"/>
      <c r="M2765" s="50"/>
      <c r="N2765" s="20">
        <f>+Movimientos_2026[[#This Row],[Ingresos]]-Movimientos_2026[[#This Row],[Egresos]]</f>
        <v>0</v>
      </c>
      <c r="O2765" s="20">
        <f>+O2764+Movimientos_2026[[#This Row],[Neto]]</f>
        <v>4581558617.7962294</v>
      </c>
    </row>
    <row r="2766" spans="1:15" x14ac:dyDescent="0.25">
      <c r="A2766" s="13"/>
      <c r="B2766" s="12">
        <f>MONTH(Movimientos_2026[[#This Row],[Fecha]])</f>
        <v>1</v>
      </c>
      <c r="C2766" s="12" t="str">
        <f>VLOOKUP((WEEKDAY(Movimientos_2026[[#This Row],[Fecha]],2)),'5. Setup'!$D$6:$E$12,2,FALSE)</f>
        <v>Sab</v>
      </c>
      <c r="E2766" t="str">
        <f>IFERROR(+VLOOKUP(Movimientos_2026[[#This Row],[Codigo]],Plan_cuentas[],2,FALSE)," ")</f>
        <v xml:space="preserve"> </v>
      </c>
      <c r="F2766" t="str">
        <f>IFERROR(+VLOOKUP(Movimientos_2026[[#This Row],[Codigo]],Plan_cuentas[],3,FALSE)," ")</f>
        <v xml:space="preserve"> </v>
      </c>
      <c r="G2766" t="str">
        <f>IFERROR(+VLOOKUP(Movimientos_2026[[#This Row],[Codigo]],Plan_cuentas[],4,FALSE)," ")</f>
        <v xml:space="preserve"> </v>
      </c>
      <c r="H2766" t="str">
        <f>IFERROR(+VLOOKUP(Movimientos_2026[[#This Row],[Codigo]],Plan_cuentas[],5,FALSE)," ")</f>
        <v xml:space="preserve"> </v>
      </c>
      <c r="I2766" s="43"/>
      <c r="K2766" t="str">
        <f>IFERROR(+VLOOKUP(Movimientos_2026[[#This Row],[Codigo]],Plan_cuentas[],6,FALSE)," ")</f>
        <v xml:space="preserve"> </v>
      </c>
      <c r="L2766" s="50"/>
      <c r="M2766" s="50"/>
      <c r="N2766" s="20">
        <f>+Movimientos_2026[[#This Row],[Ingresos]]-Movimientos_2026[[#This Row],[Egresos]]</f>
        <v>0</v>
      </c>
      <c r="O2766" s="20">
        <f>+O2765+Movimientos_2026[[#This Row],[Neto]]</f>
        <v>4581558617.7962294</v>
      </c>
    </row>
    <row r="2767" spans="1:15" x14ac:dyDescent="0.25">
      <c r="A2767" s="13"/>
      <c r="B2767" s="12">
        <f>MONTH(Movimientos_2026[[#This Row],[Fecha]])</f>
        <v>1</v>
      </c>
      <c r="C2767" s="12" t="str">
        <f>VLOOKUP((WEEKDAY(Movimientos_2026[[#This Row],[Fecha]],2)),'5. Setup'!$D$6:$E$12,2,FALSE)</f>
        <v>Sab</v>
      </c>
      <c r="E2767" t="str">
        <f>IFERROR(+VLOOKUP(Movimientos_2026[[#This Row],[Codigo]],Plan_cuentas[],2,FALSE)," ")</f>
        <v xml:space="preserve"> </v>
      </c>
      <c r="F2767" t="str">
        <f>IFERROR(+VLOOKUP(Movimientos_2026[[#This Row],[Codigo]],Plan_cuentas[],3,FALSE)," ")</f>
        <v xml:space="preserve"> </v>
      </c>
      <c r="G2767" t="str">
        <f>IFERROR(+VLOOKUP(Movimientos_2026[[#This Row],[Codigo]],Plan_cuentas[],4,FALSE)," ")</f>
        <v xml:space="preserve"> </v>
      </c>
      <c r="H2767" t="str">
        <f>IFERROR(+VLOOKUP(Movimientos_2026[[#This Row],[Codigo]],Plan_cuentas[],5,FALSE)," ")</f>
        <v xml:space="preserve"> </v>
      </c>
      <c r="I2767" s="43"/>
      <c r="K2767" t="str">
        <f>IFERROR(+VLOOKUP(Movimientos_2026[[#This Row],[Codigo]],Plan_cuentas[],6,FALSE)," ")</f>
        <v xml:space="preserve"> </v>
      </c>
      <c r="L2767" s="50"/>
      <c r="M2767" s="50"/>
      <c r="N2767" s="20">
        <f>+Movimientos_2026[[#This Row],[Ingresos]]-Movimientos_2026[[#This Row],[Egresos]]</f>
        <v>0</v>
      </c>
      <c r="O2767" s="20">
        <f>+O2766+Movimientos_2026[[#This Row],[Neto]]</f>
        <v>4581558617.7962294</v>
      </c>
    </row>
    <row r="2768" spans="1:15" x14ac:dyDescent="0.25">
      <c r="A2768" s="13"/>
      <c r="B2768" s="12">
        <f>MONTH(Movimientos_2026[[#This Row],[Fecha]])</f>
        <v>1</v>
      </c>
      <c r="C2768" s="12" t="str">
        <f>VLOOKUP((WEEKDAY(Movimientos_2026[[#This Row],[Fecha]],2)),'5. Setup'!$D$6:$E$12,2,FALSE)</f>
        <v>Sab</v>
      </c>
      <c r="E2768" t="str">
        <f>IFERROR(+VLOOKUP(Movimientos_2026[[#This Row],[Codigo]],Plan_cuentas[],2,FALSE)," ")</f>
        <v xml:space="preserve"> </v>
      </c>
      <c r="F2768" t="str">
        <f>IFERROR(+VLOOKUP(Movimientos_2026[[#This Row],[Codigo]],Plan_cuentas[],3,FALSE)," ")</f>
        <v xml:space="preserve"> </v>
      </c>
      <c r="G2768" t="str">
        <f>IFERROR(+VLOOKUP(Movimientos_2026[[#This Row],[Codigo]],Plan_cuentas[],4,FALSE)," ")</f>
        <v xml:space="preserve"> </v>
      </c>
      <c r="H2768" t="str">
        <f>IFERROR(+VLOOKUP(Movimientos_2026[[#This Row],[Codigo]],Plan_cuentas[],5,FALSE)," ")</f>
        <v xml:space="preserve"> </v>
      </c>
      <c r="I2768" s="43"/>
      <c r="K2768" t="str">
        <f>IFERROR(+VLOOKUP(Movimientos_2026[[#This Row],[Codigo]],Plan_cuentas[],6,FALSE)," ")</f>
        <v xml:space="preserve"> </v>
      </c>
      <c r="L2768" s="50"/>
      <c r="M2768" s="50"/>
      <c r="N2768" s="20">
        <f>+Movimientos_2026[[#This Row],[Ingresos]]-Movimientos_2026[[#This Row],[Egresos]]</f>
        <v>0</v>
      </c>
      <c r="O2768" s="20">
        <f>+O2767+Movimientos_2026[[#This Row],[Neto]]</f>
        <v>4581558617.7962294</v>
      </c>
    </row>
    <row r="2769" spans="1:15" x14ac:dyDescent="0.25">
      <c r="A2769" s="13"/>
      <c r="B2769" s="12">
        <f>MONTH(Movimientos_2026[[#This Row],[Fecha]])</f>
        <v>1</v>
      </c>
      <c r="C2769" s="12" t="str">
        <f>VLOOKUP((WEEKDAY(Movimientos_2026[[#This Row],[Fecha]],2)),'5. Setup'!$D$6:$E$12,2,FALSE)</f>
        <v>Sab</v>
      </c>
      <c r="E2769" t="str">
        <f>IFERROR(+VLOOKUP(Movimientos_2026[[#This Row],[Codigo]],Plan_cuentas[],2,FALSE)," ")</f>
        <v xml:space="preserve"> </v>
      </c>
      <c r="F2769" t="str">
        <f>IFERROR(+VLOOKUP(Movimientos_2026[[#This Row],[Codigo]],Plan_cuentas[],3,FALSE)," ")</f>
        <v xml:space="preserve"> </v>
      </c>
      <c r="G2769" t="str">
        <f>IFERROR(+VLOOKUP(Movimientos_2026[[#This Row],[Codigo]],Plan_cuentas[],4,FALSE)," ")</f>
        <v xml:space="preserve"> </v>
      </c>
      <c r="H2769" t="str">
        <f>IFERROR(+VLOOKUP(Movimientos_2026[[#This Row],[Codigo]],Plan_cuentas[],5,FALSE)," ")</f>
        <v xml:space="preserve"> </v>
      </c>
      <c r="I2769" s="43"/>
      <c r="K2769" t="str">
        <f>IFERROR(+VLOOKUP(Movimientos_2026[[#This Row],[Codigo]],Plan_cuentas[],6,FALSE)," ")</f>
        <v xml:space="preserve"> </v>
      </c>
      <c r="L2769" s="50"/>
      <c r="M2769" s="50"/>
      <c r="N2769" s="20">
        <f>+Movimientos_2026[[#This Row],[Ingresos]]-Movimientos_2026[[#This Row],[Egresos]]</f>
        <v>0</v>
      </c>
      <c r="O2769" s="20">
        <f>+O2768+Movimientos_2026[[#This Row],[Neto]]</f>
        <v>4581558617.7962294</v>
      </c>
    </row>
    <row r="2770" spans="1:15" x14ac:dyDescent="0.25">
      <c r="A2770" s="13"/>
      <c r="B2770" s="12">
        <f>MONTH(Movimientos_2026[[#This Row],[Fecha]])</f>
        <v>1</v>
      </c>
      <c r="C2770" s="12" t="str">
        <f>VLOOKUP((WEEKDAY(Movimientos_2026[[#This Row],[Fecha]],2)),'5. Setup'!$D$6:$E$12,2,FALSE)</f>
        <v>Sab</v>
      </c>
      <c r="E2770" t="str">
        <f>IFERROR(+VLOOKUP(Movimientos_2026[[#This Row],[Codigo]],Plan_cuentas[],2,FALSE)," ")</f>
        <v xml:space="preserve"> </v>
      </c>
      <c r="F2770" t="str">
        <f>IFERROR(+VLOOKUP(Movimientos_2026[[#This Row],[Codigo]],Plan_cuentas[],3,FALSE)," ")</f>
        <v xml:space="preserve"> </v>
      </c>
      <c r="G2770" t="str">
        <f>IFERROR(+VLOOKUP(Movimientos_2026[[#This Row],[Codigo]],Plan_cuentas[],4,FALSE)," ")</f>
        <v xml:space="preserve"> </v>
      </c>
      <c r="H2770" t="str">
        <f>IFERROR(+VLOOKUP(Movimientos_2026[[#This Row],[Codigo]],Plan_cuentas[],5,FALSE)," ")</f>
        <v xml:space="preserve"> </v>
      </c>
      <c r="I2770" s="43"/>
      <c r="K2770" t="str">
        <f>IFERROR(+VLOOKUP(Movimientos_2026[[#This Row],[Codigo]],Plan_cuentas[],6,FALSE)," ")</f>
        <v xml:space="preserve"> </v>
      </c>
      <c r="L2770" s="50"/>
      <c r="M2770" s="50"/>
      <c r="N2770" s="20">
        <f>+Movimientos_2026[[#This Row],[Ingresos]]-Movimientos_2026[[#This Row],[Egresos]]</f>
        <v>0</v>
      </c>
      <c r="O2770" s="20">
        <f>+O2769+Movimientos_2026[[#This Row],[Neto]]</f>
        <v>4581558617.7962294</v>
      </c>
    </row>
    <row r="2771" spans="1:15" x14ac:dyDescent="0.25">
      <c r="A2771" s="13"/>
      <c r="B2771" s="12">
        <f>MONTH(Movimientos_2026[[#This Row],[Fecha]])</f>
        <v>1</v>
      </c>
      <c r="C2771" s="12" t="str">
        <f>VLOOKUP((WEEKDAY(Movimientos_2026[[#This Row],[Fecha]],2)),'5. Setup'!$D$6:$E$12,2,FALSE)</f>
        <v>Sab</v>
      </c>
      <c r="E2771" t="str">
        <f>IFERROR(+VLOOKUP(Movimientos_2026[[#This Row],[Codigo]],Plan_cuentas[],2,FALSE)," ")</f>
        <v xml:space="preserve"> </v>
      </c>
      <c r="F2771" t="str">
        <f>IFERROR(+VLOOKUP(Movimientos_2026[[#This Row],[Codigo]],Plan_cuentas[],3,FALSE)," ")</f>
        <v xml:space="preserve"> </v>
      </c>
      <c r="G2771" t="str">
        <f>IFERROR(+VLOOKUP(Movimientos_2026[[#This Row],[Codigo]],Plan_cuentas[],4,FALSE)," ")</f>
        <v xml:space="preserve"> </v>
      </c>
      <c r="H2771" t="str">
        <f>IFERROR(+VLOOKUP(Movimientos_2026[[#This Row],[Codigo]],Plan_cuentas[],5,FALSE)," ")</f>
        <v xml:space="preserve"> </v>
      </c>
      <c r="I2771" s="43"/>
      <c r="K2771" t="str">
        <f>IFERROR(+VLOOKUP(Movimientos_2026[[#This Row],[Codigo]],Plan_cuentas[],6,FALSE)," ")</f>
        <v xml:space="preserve"> </v>
      </c>
      <c r="L2771" s="50"/>
      <c r="M2771" s="50"/>
      <c r="N2771" s="20">
        <f>+Movimientos_2026[[#This Row],[Ingresos]]-Movimientos_2026[[#This Row],[Egresos]]</f>
        <v>0</v>
      </c>
      <c r="O2771" s="20">
        <f>+O2770+Movimientos_2026[[#This Row],[Neto]]</f>
        <v>4581558617.7962294</v>
      </c>
    </row>
    <row r="2772" spans="1:15" x14ac:dyDescent="0.25">
      <c r="A2772" s="13"/>
      <c r="B2772" s="12">
        <f>MONTH(Movimientos_2026[[#This Row],[Fecha]])</f>
        <v>1</v>
      </c>
      <c r="C2772" s="12" t="str">
        <f>VLOOKUP((WEEKDAY(Movimientos_2026[[#This Row],[Fecha]],2)),'5. Setup'!$D$6:$E$12,2,FALSE)</f>
        <v>Sab</v>
      </c>
      <c r="E2772" t="str">
        <f>IFERROR(+VLOOKUP(Movimientos_2026[[#This Row],[Codigo]],Plan_cuentas[],2,FALSE)," ")</f>
        <v xml:space="preserve"> </v>
      </c>
      <c r="F2772" t="str">
        <f>IFERROR(+VLOOKUP(Movimientos_2026[[#This Row],[Codigo]],Plan_cuentas[],3,FALSE)," ")</f>
        <v xml:space="preserve"> </v>
      </c>
      <c r="G2772" t="str">
        <f>IFERROR(+VLOOKUP(Movimientos_2026[[#This Row],[Codigo]],Plan_cuentas[],4,FALSE)," ")</f>
        <v xml:space="preserve"> </v>
      </c>
      <c r="H2772" t="str">
        <f>IFERROR(+VLOOKUP(Movimientos_2026[[#This Row],[Codigo]],Plan_cuentas[],5,FALSE)," ")</f>
        <v xml:space="preserve"> </v>
      </c>
      <c r="I2772" s="43"/>
      <c r="K2772" t="str">
        <f>IFERROR(+VLOOKUP(Movimientos_2026[[#This Row],[Codigo]],Plan_cuentas[],6,FALSE)," ")</f>
        <v xml:space="preserve"> </v>
      </c>
      <c r="L2772" s="50"/>
      <c r="M2772" s="50"/>
      <c r="N2772" s="20">
        <f>+Movimientos_2026[[#This Row],[Ingresos]]-Movimientos_2026[[#This Row],[Egresos]]</f>
        <v>0</v>
      </c>
      <c r="O2772" s="20">
        <f>+O2771+Movimientos_2026[[#This Row],[Neto]]</f>
        <v>4581558617.7962294</v>
      </c>
    </row>
    <row r="2773" spans="1:15" x14ac:dyDescent="0.25">
      <c r="A2773" s="13"/>
      <c r="B2773" s="12">
        <f>MONTH(Movimientos_2026[[#This Row],[Fecha]])</f>
        <v>1</v>
      </c>
      <c r="C2773" s="12" t="str">
        <f>VLOOKUP((WEEKDAY(Movimientos_2026[[#This Row],[Fecha]],2)),'5. Setup'!$D$6:$E$12,2,FALSE)</f>
        <v>Sab</v>
      </c>
      <c r="E2773" t="str">
        <f>IFERROR(+VLOOKUP(Movimientos_2026[[#This Row],[Codigo]],Plan_cuentas[],2,FALSE)," ")</f>
        <v xml:space="preserve"> </v>
      </c>
      <c r="F2773" t="str">
        <f>IFERROR(+VLOOKUP(Movimientos_2026[[#This Row],[Codigo]],Plan_cuentas[],3,FALSE)," ")</f>
        <v xml:space="preserve"> </v>
      </c>
      <c r="G2773" t="str">
        <f>IFERROR(+VLOOKUP(Movimientos_2026[[#This Row],[Codigo]],Plan_cuentas[],4,FALSE)," ")</f>
        <v xml:space="preserve"> </v>
      </c>
      <c r="H2773" t="str">
        <f>IFERROR(+VLOOKUP(Movimientos_2026[[#This Row],[Codigo]],Plan_cuentas[],5,FALSE)," ")</f>
        <v xml:space="preserve"> </v>
      </c>
      <c r="I2773" s="43"/>
      <c r="K2773" t="str">
        <f>IFERROR(+VLOOKUP(Movimientos_2026[[#This Row],[Codigo]],Plan_cuentas[],6,FALSE)," ")</f>
        <v xml:space="preserve"> </v>
      </c>
      <c r="L2773" s="50"/>
      <c r="M2773" s="50"/>
      <c r="N2773" s="20">
        <f>+Movimientos_2026[[#This Row],[Ingresos]]-Movimientos_2026[[#This Row],[Egresos]]</f>
        <v>0</v>
      </c>
      <c r="O2773" s="20">
        <f>+O2772+Movimientos_2026[[#This Row],[Neto]]</f>
        <v>4581558617.7962294</v>
      </c>
    </row>
    <row r="2774" spans="1:15" x14ac:dyDescent="0.25">
      <c r="A2774" s="13"/>
      <c r="B2774" s="12">
        <f>MONTH(Movimientos_2026[[#This Row],[Fecha]])</f>
        <v>1</v>
      </c>
      <c r="C2774" s="12" t="str">
        <f>VLOOKUP((WEEKDAY(Movimientos_2026[[#This Row],[Fecha]],2)),'5. Setup'!$D$6:$E$12,2,FALSE)</f>
        <v>Sab</v>
      </c>
      <c r="E2774" t="str">
        <f>IFERROR(+VLOOKUP(Movimientos_2026[[#This Row],[Codigo]],Plan_cuentas[],2,FALSE)," ")</f>
        <v xml:space="preserve"> </v>
      </c>
      <c r="F2774" t="str">
        <f>IFERROR(+VLOOKUP(Movimientos_2026[[#This Row],[Codigo]],Plan_cuentas[],3,FALSE)," ")</f>
        <v xml:space="preserve"> </v>
      </c>
      <c r="G2774" t="str">
        <f>IFERROR(+VLOOKUP(Movimientos_2026[[#This Row],[Codigo]],Plan_cuentas[],4,FALSE)," ")</f>
        <v xml:space="preserve"> </v>
      </c>
      <c r="H2774" t="str">
        <f>IFERROR(+VLOOKUP(Movimientos_2026[[#This Row],[Codigo]],Plan_cuentas[],5,FALSE)," ")</f>
        <v xml:space="preserve"> </v>
      </c>
      <c r="I2774" s="43"/>
      <c r="K2774" t="str">
        <f>IFERROR(+VLOOKUP(Movimientos_2026[[#This Row],[Codigo]],Plan_cuentas[],6,FALSE)," ")</f>
        <v xml:space="preserve"> </v>
      </c>
      <c r="L2774" s="50"/>
      <c r="M2774" s="50"/>
      <c r="N2774" s="20">
        <f>+Movimientos_2026[[#This Row],[Ingresos]]-Movimientos_2026[[#This Row],[Egresos]]</f>
        <v>0</v>
      </c>
      <c r="O2774" s="20">
        <f>+O2773+Movimientos_2026[[#This Row],[Neto]]</f>
        <v>4581558617.7962294</v>
      </c>
    </row>
    <row r="2775" spans="1:15" x14ac:dyDescent="0.25">
      <c r="A2775" s="13"/>
      <c r="B2775" s="12">
        <f>MONTH(Movimientos_2026[[#This Row],[Fecha]])</f>
        <v>1</v>
      </c>
      <c r="C2775" s="12" t="str">
        <f>VLOOKUP((WEEKDAY(Movimientos_2026[[#This Row],[Fecha]],2)),'5. Setup'!$D$6:$E$12,2,FALSE)</f>
        <v>Sab</v>
      </c>
      <c r="E2775" t="str">
        <f>IFERROR(+VLOOKUP(Movimientos_2026[[#This Row],[Codigo]],Plan_cuentas[],2,FALSE)," ")</f>
        <v xml:space="preserve"> </v>
      </c>
      <c r="F2775" t="str">
        <f>IFERROR(+VLOOKUP(Movimientos_2026[[#This Row],[Codigo]],Plan_cuentas[],3,FALSE)," ")</f>
        <v xml:space="preserve"> </v>
      </c>
      <c r="G2775" t="str">
        <f>IFERROR(+VLOOKUP(Movimientos_2026[[#This Row],[Codigo]],Plan_cuentas[],4,FALSE)," ")</f>
        <v xml:space="preserve"> </v>
      </c>
      <c r="H2775" t="str">
        <f>IFERROR(+VLOOKUP(Movimientos_2026[[#This Row],[Codigo]],Plan_cuentas[],5,FALSE)," ")</f>
        <v xml:space="preserve"> </v>
      </c>
      <c r="I2775" s="43"/>
      <c r="K2775" t="str">
        <f>IFERROR(+VLOOKUP(Movimientos_2026[[#This Row],[Codigo]],Plan_cuentas[],6,FALSE)," ")</f>
        <v xml:space="preserve"> </v>
      </c>
      <c r="L2775" s="50"/>
      <c r="M2775" s="50"/>
      <c r="N2775" s="20">
        <f>+Movimientos_2026[[#This Row],[Ingresos]]-Movimientos_2026[[#This Row],[Egresos]]</f>
        <v>0</v>
      </c>
      <c r="O2775" s="20">
        <f>+O2774+Movimientos_2026[[#This Row],[Neto]]</f>
        <v>4581558617.7962294</v>
      </c>
    </row>
    <row r="2776" spans="1:15" x14ac:dyDescent="0.25">
      <c r="A2776" s="13"/>
      <c r="B2776" s="12">
        <f>MONTH(Movimientos_2026[[#This Row],[Fecha]])</f>
        <v>1</v>
      </c>
      <c r="C2776" s="12" t="str">
        <f>VLOOKUP((WEEKDAY(Movimientos_2026[[#This Row],[Fecha]],2)),'5. Setup'!$D$6:$E$12,2,FALSE)</f>
        <v>Sab</v>
      </c>
      <c r="E2776" t="str">
        <f>IFERROR(+VLOOKUP(Movimientos_2026[[#This Row],[Codigo]],Plan_cuentas[],2,FALSE)," ")</f>
        <v xml:space="preserve"> </v>
      </c>
      <c r="F2776" t="str">
        <f>IFERROR(+VLOOKUP(Movimientos_2026[[#This Row],[Codigo]],Plan_cuentas[],3,FALSE)," ")</f>
        <v xml:space="preserve"> </v>
      </c>
      <c r="G2776" t="str">
        <f>IFERROR(+VLOOKUP(Movimientos_2026[[#This Row],[Codigo]],Plan_cuentas[],4,FALSE)," ")</f>
        <v xml:space="preserve"> </v>
      </c>
      <c r="H2776" t="str">
        <f>IFERROR(+VLOOKUP(Movimientos_2026[[#This Row],[Codigo]],Plan_cuentas[],5,FALSE)," ")</f>
        <v xml:space="preserve"> </v>
      </c>
      <c r="I2776" s="43"/>
      <c r="K2776" t="str">
        <f>IFERROR(+VLOOKUP(Movimientos_2026[[#This Row],[Codigo]],Plan_cuentas[],6,FALSE)," ")</f>
        <v xml:space="preserve"> </v>
      </c>
      <c r="L2776" s="50"/>
      <c r="M2776" s="50"/>
      <c r="N2776" s="20">
        <f>+Movimientos_2026[[#This Row],[Ingresos]]-Movimientos_2026[[#This Row],[Egresos]]</f>
        <v>0</v>
      </c>
      <c r="O2776" s="20">
        <f>+O2775+Movimientos_2026[[#This Row],[Neto]]</f>
        <v>4581558617.7962294</v>
      </c>
    </row>
    <row r="2777" spans="1:15" x14ac:dyDescent="0.25">
      <c r="A2777" s="13"/>
      <c r="B2777" s="12">
        <f>MONTH(Movimientos_2026[[#This Row],[Fecha]])</f>
        <v>1</v>
      </c>
      <c r="C2777" s="12" t="str">
        <f>VLOOKUP((WEEKDAY(Movimientos_2026[[#This Row],[Fecha]],2)),'5. Setup'!$D$6:$E$12,2,FALSE)</f>
        <v>Sab</v>
      </c>
      <c r="E2777" t="str">
        <f>IFERROR(+VLOOKUP(Movimientos_2026[[#This Row],[Codigo]],Plan_cuentas[],2,FALSE)," ")</f>
        <v xml:space="preserve"> </v>
      </c>
      <c r="F2777" t="str">
        <f>IFERROR(+VLOOKUP(Movimientos_2026[[#This Row],[Codigo]],Plan_cuentas[],3,FALSE)," ")</f>
        <v xml:space="preserve"> </v>
      </c>
      <c r="G2777" t="str">
        <f>IFERROR(+VLOOKUP(Movimientos_2026[[#This Row],[Codigo]],Plan_cuentas[],4,FALSE)," ")</f>
        <v xml:space="preserve"> </v>
      </c>
      <c r="H2777" t="str">
        <f>IFERROR(+VLOOKUP(Movimientos_2026[[#This Row],[Codigo]],Plan_cuentas[],5,FALSE)," ")</f>
        <v xml:space="preserve"> </v>
      </c>
      <c r="I2777" s="43"/>
      <c r="K2777" t="str">
        <f>IFERROR(+VLOOKUP(Movimientos_2026[[#This Row],[Codigo]],Plan_cuentas[],6,FALSE)," ")</f>
        <v xml:space="preserve"> </v>
      </c>
      <c r="L2777" s="50"/>
      <c r="M2777" s="50"/>
      <c r="N2777" s="20">
        <f>+Movimientos_2026[[#This Row],[Ingresos]]-Movimientos_2026[[#This Row],[Egresos]]</f>
        <v>0</v>
      </c>
      <c r="O2777" s="20">
        <f>+O2776+Movimientos_2026[[#This Row],[Neto]]</f>
        <v>4581558617.7962294</v>
      </c>
    </row>
    <row r="2778" spans="1:15" x14ac:dyDescent="0.25">
      <c r="A2778" s="13"/>
      <c r="B2778" s="12">
        <f>MONTH(Movimientos_2026[[#This Row],[Fecha]])</f>
        <v>1</v>
      </c>
      <c r="C2778" s="12" t="str">
        <f>VLOOKUP((WEEKDAY(Movimientos_2026[[#This Row],[Fecha]],2)),'5. Setup'!$D$6:$E$12,2,FALSE)</f>
        <v>Sab</v>
      </c>
      <c r="E2778" t="str">
        <f>IFERROR(+VLOOKUP(Movimientos_2026[[#This Row],[Codigo]],Plan_cuentas[],2,FALSE)," ")</f>
        <v xml:space="preserve"> </v>
      </c>
      <c r="F2778" t="str">
        <f>IFERROR(+VLOOKUP(Movimientos_2026[[#This Row],[Codigo]],Plan_cuentas[],3,FALSE)," ")</f>
        <v xml:space="preserve"> </v>
      </c>
      <c r="G2778" t="str">
        <f>IFERROR(+VLOOKUP(Movimientos_2026[[#This Row],[Codigo]],Plan_cuentas[],4,FALSE)," ")</f>
        <v xml:space="preserve"> </v>
      </c>
      <c r="H2778" t="str">
        <f>IFERROR(+VLOOKUP(Movimientos_2026[[#This Row],[Codigo]],Plan_cuentas[],5,FALSE)," ")</f>
        <v xml:space="preserve"> </v>
      </c>
      <c r="I2778" s="43"/>
      <c r="K2778" t="str">
        <f>IFERROR(+VLOOKUP(Movimientos_2026[[#This Row],[Codigo]],Plan_cuentas[],6,FALSE)," ")</f>
        <v xml:space="preserve"> </v>
      </c>
      <c r="L2778" s="50"/>
      <c r="M2778" s="50"/>
      <c r="N2778" s="20">
        <f>+Movimientos_2026[[#This Row],[Ingresos]]-Movimientos_2026[[#This Row],[Egresos]]</f>
        <v>0</v>
      </c>
      <c r="O2778" s="20">
        <f>+O2777+Movimientos_2026[[#This Row],[Neto]]</f>
        <v>4581558617.7962294</v>
      </c>
    </row>
    <row r="2779" spans="1:15" x14ac:dyDescent="0.25">
      <c r="A2779" s="13"/>
      <c r="B2779" s="12">
        <f>MONTH(Movimientos_2026[[#This Row],[Fecha]])</f>
        <v>1</v>
      </c>
      <c r="C2779" s="12" t="str">
        <f>VLOOKUP((WEEKDAY(Movimientos_2026[[#This Row],[Fecha]],2)),'5. Setup'!$D$6:$E$12,2,FALSE)</f>
        <v>Sab</v>
      </c>
      <c r="E2779" t="str">
        <f>IFERROR(+VLOOKUP(Movimientos_2026[[#This Row],[Codigo]],Plan_cuentas[],2,FALSE)," ")</f>
        <v xml:space="preserve"> </v>
      </c>
      <c r="F2779" t="str">
        <f>IFERROR(+VLOOKUP(Movimientos_2026[[#This Row],[Codigo]],Plan_cuentas[],3,FALSE)," ")</f>
        <v xml:space="preserve"> </v>
      </c>
      <c r="G2779" t="str">
        <f>IFERROR(+VLOOKUP(Movimientos_2026[[#This Row],[Codigo]],Plan_cuentas[],4,FALSE)," ")</f>
        <v xml:space="preserve"> </v>
      </c>
      <c r="H2779" t="str">
        <f>IFERROR(+VLOOKUP(Movimientos_2026[[#This Row],[Codigo]],Plan_cuentas[],5,FALSE)," ")</f>
        <v xml:space="preserve"> </v>
      </c>
      <c r="I2779" s="43"/>
      <c r="K2779" t="str">
        <f>IFERROR(+VLOOKUP(Movimientos_2026[[#This Row],[Codigo]],Plan_cuentas[],6,FALSE)," ")</f>
        <v xml:space="preserve"> </v>
      </c>
      <c r="L2779" s="50"/>
      <c r="M2779" s="50"/>
      <c r="N2779" s="20">
        <f>+Movimientos_2026[[#This Row],[Ingresos]]-Movimientos_2026[[#This Row],[Egresos]]</f>
        <v>0</v>
      </c>
      <c r="O2779" s="20">
        <f>+O2778+Movimientos_2026[[#This Row],[Neto]]</f>
        <v>4581558617.7962294</v>
      </c>
    </row>
    <row r="2780" spans="1:15" x14ac:dyDescent="0.25">
      <c r="A2780" s="13"/>
      <c r="B2780" s="12">
        <f>MONTH(Movimientos_2026[[#This Row],[Fecha]])</f>
        <v>1</v>
      </c>
      <c r="C2780" s="12" t="str">
        <f>VLOOKUP((WEEKDAY(Movimientos_2026[[#This Row],[Fecha]],2)),'5. Setup'!$D$6:$E$12,2,FALSE)</f>
        <v>Sab</v>
      </c>
      <c r="E2780" t="str">
        <f>IFERROR(+VLOOKUP(Movimientos_2026[[#This Row],[Codigo]],Plan_cuentas[],2,FALSE)," ")</f>
        <v xml:space="preserve"> </v>
      </c>
      <c r="F2780" t="str">
        <f>IFERROR(+VLOOKUP(Movimientos_2026[[#This Row],[Codigo]],Plan_cuentas[],3,FALSE)," ")</f>
        <v xml:space="preserve"> </v>
      </c>
      <c r="G2780" t="str">
        <f>IFERROR(+VLOOKUP(Movimientos_2026[[#This Row],[Codigo]],Plan_cuentas[],4,FALSE)," ")</f>
        <v xml:space="preserve"> </v>
      </c>
      <c r="H2780" t="str">
        <f>IFERROR(+VLOOKUP(Movimientos_2026[[#This Row],[Codigo]],Plan_cuentas[],5,FALSE)," ")</f>
        <v xml:space="preserve"> </v>
      </c>
      <c r="I2780" s="43"/>
      <c r="K2780" t="str">
        <f>IFERROR(+VLOOKUP(Movimientos_2026[[#This Row],[Codigo]],Plan_cuentas[],6,FALSE)," ")</f>
        <v xml:space="preserve"> </v>
      </c>
      <c r="L2780" s="50"/>
      <c r="M2780" s="50"/>
      <c r="N2780" s="20">
        <f>+Movimientos_2026[[#This Row],[Ingresos]]-Movimientos_2026[[#This Row],[Egresos]]</f>
        <v>0</v>
      </c>
      <c r="O2780" s="20">
        <f>+O2779+Movimientos_2026[[#This Row],[Neto]]</f>
        <v>4581558617.7962294</v>
      </c>
    </row>
    <row r="2781" spans="1:15" x14ac:dyDescent="0.25">
      <c r="A2781" s="13"/>
      <c r="B2781" s="12">
        <f>MONTH(Movimientos_2026[[#This Row],[Fecha]])</f>
        <v>1</v>
      </c>
      <c r="C2781" s="12" t="str">
        <f>VLOOKUP((WEEKDAY(Movimientos_2026[[#This Row],[Fecha]],2)),'5. Setup'!$D$6:$E$12,2,FALSE)</f>
        <v>Sab</v>
      </c>
      <c r="E2781" t="str">
        <f>IFERROR(+VLOOKUP(Movimientos_2026[[#This Row],[Codigo]],Plan_cuentas[],2,FALSE)," ")</f>
        <v xml:space="preserve"> </v>
      </c>
      <c r="F2781" t="str">
        <f>IFERROR(+VLOOKUP(Movimientos_2026[[#This Row],[Codigo]],Plan_cuentas[],3,FALSE)," ")</f>
        <v xml:space="preserve"> </v>
      </c>
      <c r="G2781" t="str">
        <f>IFERROR(+VLOOKUP(Movimientos_2026[[#This Row],[Codigo]],Plan_cuentas[],4,FALSE)," ")</f>
        <v xml:space="preserve"> </v>
      </c>
      <c r="H2781" t="str">
        <f>IFERROR(+VLOOKUP(Movimientos_2026[[#This Row],[Codigo]],Plan_cuentas[],5,FALSE)," ")</f>
        <v xml:space="preserve"> </v>
      </c>
      <c r="I2781" s="43"/>
      <c r="K2781" t="str">
        <f>IFERROR(+VLOOKUP(Movimientos_2026[[#This Row],[Codigo]],Plan_cuentas[],6,FALSE)," ")</f>
        <v xml:space="preserve"> </v>
      </c>
      <c r="L2781" s="50"/>
      <c r="M2781" s="50"/>
      <c r="N2781" s="20">
        <f>+Movimientos_2026[[#This Row],[Ingresos]]-Movimientos_2026[[#This Row],[Egresos]]</f>
        <v>0</v>
      </c>
      <c r="O2781" s="20">
        <f>+O2780+Movimientos_2026[[#This Row],[Neto]]</f>
        <v>4581558617.7962294</v>
      </c>
    </row>
    <row r="2782" spans="1:15" x14ac:dyDescent="0.25">
      <c r="A2782" s="13"/>
      <c r="B2782" s="12">
        <f>MONTH(Movimientos_2026[[#This Row],[Fecha]])</f>
        <v>1</v>
      </c>
      <c r="C2782" s="12" t="str">
        <f>VLOOKUP((WEEKDAY(Movimientos_2026[[#This Row],[Fecha]],2)),'5. Setup'!$D$6:$E$12,2,FALSE)</f>
        <v>Sab</v>
      </c>
      <c r="E2782" t="str">
        <f>IFERROR(+VLOOKUP(Movimientos_2026[[#This Row],[Codigo]],Plan_cuentas[],2,FALSE)," ")</f>
        <v xml:space="preserve"> </v>
      </c>
      <c r="F2782" t="str">
        <f>IFERROR(+VLOOKUP(Movimientos_2026[[#This Row],[Codigo]],Plan_cuentas[],3,FALSE)," ")</f>
        <v xml:space="preserve"> </v>
      </c>
      <c r="G2782" t="str">
        <f>IFERROR(+VLOOKUP(Movimientos_2026[[#This Row],[Codigo]],Plan_cuentas[],4,FALSE)," ")</f>
        <v xml:space="preserve"> </v>
      </c>
      <c r="H2782" t="str">
        <f>IFERROR(+VLOOKUP(Movimientos_2026[[#This Row],[Codigo]],Plan_cuentas[],5,FALSE)," ")</f>
        <v xml:space="preserve"> </v>
      </c>
      <c r="I2782" s="43"/>
      <c r="K2782" t="str">
        <f>IFERROR(+VLOOKUP(Movimientos_2026[[#This Row],[Codigo]],Plan_cuentas[],6,FALSE)," ")</f>
        <v xml:space="preserve"> </v>
      </c>
      <c r="L2782" s="50"/>
      <c r="M2782" s="50"/>
      <c r="N2782" s="20">
        <f>+Movimientos_2026[[#This Row],[Ingresos]]-Movimientos_2026[[#This Row],[Egresos]]</f>
        <v>0</v>
      </c>
      <c r="O2782" s="20">
        <f>+O2781+Movimientos_2026[[#This Row],[Neto]]</f>
        <v>4581558617.7962294</v>
      </c>
    </row>
    <row r="2783" spans="1:15" x14ac:dyDescent="0.25">
      <c r="A2783" s="13"/>
      <c r="B2783" s="12">
        <f>MONTH(Movimientos_2026[[#This Row],[Fecha]])</f>
        <v>1</v>
      </c>
      <c r="C2783" s="12" t="str">
        <f>VLOOKUP((WEEKDAY(Movimientos_2026[[#This Row],[Fecha]],2)),'5. Setup'!$D$6:$E$12,2,FALSE)</f>
        <v>Sab</v>
      </c>
      <c r="E2783" t="str">
        <f>IFERROR(+VLOOKUP(Movimientos_2026[[#This Row],[Codigo]],Plan_cuentas[],2,FALSE)," ")</f>
        <v xml:space="preserve"> </v>
      </c>
      <c r="F2783" t="str">
        <f>IFERROR(+VLOOKUP(Movimientos_2026[[#This Row],[Codigo]],Plan_cuentas[],3,FALSE)," ")</f>
        <v xml:space="preserve"> </v>
      </c>
      <c r="G2783" t="str">
        <f>IFERROR(+VLOOKUP(Movimientos_2026[[#This Row],[Codigo]],Plan_cuentas[],4,FALSE)," ")</f>
        <v xml:space="preserve"> </v>
      </c>
      <c r="H2783" t="str">
        <f>IFERROR(+VLOOKUP(Movimientos_2026[[#This Row],[Codigo]],Plan_cuentas[],5,FALSE)," ")</f>
        <v xml:space="preserve"> </v>
      </c>
      <c r="I2783" s="43"/>
      <c r="K2783" t="str">
        <f>IFERROR(+VLOOKUP(Movimientos_2026[[#This Row],[Codigo]],Plan_cuentas[],6,FALSE)," ")</f>
        <v xml:space="preserve"> </v>
      </c>
      <c r="L2783" s="50"/>
      <c r="M2783" s="50"/>
      <c r="N2783" s="20">
        <f>+Movimientos_2026[[#This Row],[Ingresos]]-Movimientos_2026[[#This Row],[Egresos]]</f>
        <v>0</v>
      </c>
      <c r="O2783" s="20">
        <f>+O2782+Movimientos_2026[[#This Row],[Neto]]</f>
        <v>4581558617.7962294</v>
      </c>
    </row>
    <row r="2784" spans="1:15" x14ac:dyDescent="0.25">
      <c r="A2784" s="13"/>
      <c r="B2784" s="12">
        <f>MONTH(Movimientos_2026[[#This Row],[Fecha]])</f>
        <v>1</v>
      </c>
      <c r="C2784" s="12" t="str">
        <f>VLOOKUP((WEEKDAY(Movimientos_2026[[#This Row],[Fecha]],2)),'5. Setup'!$D$6:$E$12,2,FALSE)</f>
        <v>Sab</v>
      </c>
      <c r="E2784" t="str">
        <f>IFERROR(+VLOOKUP(Movimientos_2026[[#This Row],[Codigo]],Plan_cuentas[],2,FALSE)," ")</f>
        <v xml:space="preserve"> </v>
      </c>
      <c r="F2784" t="str">
        <f>IFERROR(+VLOOKUP(Movimientos_2026[[#This Row],[Codigo]],Plan_cuentas[],3,FALSE)," ")</f>
        <v xml:space="preserve"> </v>
      </c>
      <c r="G2784" t="str">
        <f>IFERROR(+VLOOKUP(Movimientos_2026[[#This Row],[Codigo]],Plan_cuentas[],4,FALSE)," ")</f>
        <v xml:space="preserve"> </v>
      </c>
      <c r="H2784" t="str">
        <f>IFERROR(+VLOOKUP(Movimientos_2026[[#This Row],[Codigo]],Plan_cuentas[],5,FALSE)," ")</f>
        <v xml:space="preserve"> </v>
      </c>
      <c r="I2784" s="43"/>
      <c r="K2784" t="str">
        <f>IFERROR(+VLOOKUP(Movimientos_2026[[#This Row],[Codigo]],Plan_cuentas[],6,FALSE)," ")</f>
        <v xml:space="preserve"> </v>
      </c>
      <c r="L2784" s="50"/>
      <c r="M2784" s="50"/>
      <c r="N2784" s="20">
        <f>+Movimientos_2026[[#This Row],[Ingresos]]-Movimientos_2026[[#This Row],[Egresos]]</f>
        <v>0</v>
      </c>
      <c r="O2784" s="20">
        <f>+O2783+Movimientos_2026[[#This Row],[Neto]]</f>
        <v>4581558617.7962294</v>
      </c>
    </row>
    <row r="2785" spans="1:15" x14ac:dyDescent="0.25">
      <c r="A2785" s="13"/>
      <c r="B2785" s="12">
        <f>MONTH(Movimientos_2026[[#This Row],[Fecha]])</f>
        <v>1</v>
      </c>
      <c r="C2785" s="12" t="str">
        <f>VLOOKUP((WEEKDAY(Movimientos_2026[[#This Row],[Fecha]],2)),'5. Setup'!$D$6:$E$12,2,FALSE)</f>
        <v>Sab</v>
      </c>
      <c r="E2785" t="str">
        <f>IFERROR(+VLOOKUP(Movimientos_2026[[#This Row],[Codigo]],Plan_cuentas[],2,FALSE)," ")</f>
        <v xml:space="preserve"> </v>
      </c>
      <c r="F2785" t="str">
        <f>IFERROR(+VLOOKUP(Movimientos_2026[[#This Row],[Codigo]],Plan_cuentas[],3,FALSE)," ")</f>
        <v xml:space="preserve"> </v>
      </c>
      <c r="G2785" t="str">
        <f>IFERROR(+VLOOKUP(Movimientos_2026[[#This Row],[Codigo]],Plan_cuentas[],4,FALSE)," ")</f>
        <v xml:space="preserve"> </v>
      </c>
      <c r="H2785" t="str">
        <f>IFERROR(+VLOOKUP(Movimientos_2026[[#This Row],[Codigo]],Plan_cuentas[],5,FALSE)," ")</f>
        <v xml:space="preserve"> </v>
      </c>
      <c r="I2785" s="43"/>
      <c r="K2785" t="str">
        <f>IFERROR(+VLOOKUP(Movimientos_2026[[#This Row],[Codigo]],Plan_cuentas[],6,FALSE)," ")</f>
        <v xml:space="preserve"> </v>
      </c>
      <c r="L2785" s="50"/>
      <c r="M2785" s="50"/>
      <c r="N2785" s="20">
        <f>+Movimientos_2026[[#This Row],[Ingresos]]-Movimientos_2026[[#This Row],[Egresos]]</f>
        <v>0</v>
      </c>
      <c r="O2785" s="20">
        <f>+O2784+Movimientos_2026[[#This Row],[Neto]]</f>
        <v>4581558617.7962294</v>
      </c>
    </row>
    <row r="2786" spans="1:15" x14ac:dyDescent="0.25">
      <c r="A2786" s="13"/>
      <c r="B2786" s="12">
        <f>MONTH(Movimientos_2026[[#This Row],[Fecha]])</f>
        <v>1</v>
      </c>
      <c r="C2786" s="12" t="str">
        <f>VLOOKUP((WEEKDAY(Movimientos_2026[[#This Row],[Fecha]],2)),'5. Setup'!$D$6:$E$12,2,FALSE)</f>
        <v>Sab</v>
      </c>
      <c r="E2786" t="str">
        <f>IFERROR(+VLOOKUP(Movimientos_2026[[#This Row],[Codigo]],Plan_cuentas[],2,FALSE)," ")</f>
        <v xml:space="preserve"> </v>
      </c>
      <c r="F2786" t="str">
        <f>IFERROR(+VLOOKUP(Movimientos_2026[[#This Row],[Codigo]],Plan_cuentas[],3,FALSE)," ")</f>
        <v xml:space="preserve"> </v>
      </c>
      <c r="G2786" t="str">
        <f>IFERROR(+VLOOKUP(Movimientos_2026[[#This Row],[Codigo]],Plan_cuentas[],4,FALSE)," ")</f>
        <v xml:space="preserve"> </v>
      </c>
      <c r="H2786" t="str">
        <f>IFERROR(+VLOOKUP(Movimientos_2026[[#This Row],[Codigo]],Plan_cuentas[],5,FALSE)," ")</f>
        <v xml:space="preserve"> </v>
      </c>
      <c r="I2786" s="43"/>
      <c r="K2786" t="str">
        <f>IFERROR(+VLOOKUP(Movimientos_2026[[#This Row],[Codigo]],Plan_cuentas[],6,FALSE)," ")</f>
        <v xml:space="preserve"> </v>
      </c>
      <c r="L2786" s="50"/>
      <c r="M2786" s="50"/>
      <c r="N2786" s="20">
        <f>+Movimientos_2026[[#This Row],[Ingresos]]-Movimientos_2026[[#This Row],[Egresos]]</f>
        <v>0</v>
      </c>
      <c r="O2786" s="20">
        <f>+O2785+Movimientos_2026[[#This Row],[Neto]]</f>
        <v>4581558617.7962294</v>
      </c>
    </row>
    <row r="2787" spans="1:15" x14ac:dyDescent="0.25">
      <c r="A2787" s="13"/>
      <c r="B2787" s="12">
        <f>MONTH(Movimientos_2026[[#This Row],[Fecha]])</f>
        <v>1</v>
      </c>
      <c r="C2787" s="12" t="str">
        <f>VLOOKUP((WEEKDAY(Movimientos_2026[[#This Row],[Fecha]],2)),'5. Setup'!$D$6:$E$12,2,FALSE)</f>
        <v>Sab</v>
      </c>
      <c r="E2787" t="str">
        <f>IFERROR(+VLOOKUP(Movimientos_2026[[#This Row],[Codigo]],Plan_cuentas[],2,FALSE)," ")</f>
        <v xml:space="preserve"> </v>
      </c>
      <c r="F2787" t="str">
        <f>IFERROR(+VLOOKUP(Movimientos_2026[[#This Row],[Codigo]],Plan_cuentas[],3,FALSE)," ")</f>
        <v xml:space="preserve"> </v>
      </c>
      <c r="G2787" t="str">
        <f>IFERROR(+VLOOKUP(Movimientos_2026[[#This Row],[Codigo]],Plan_cuentas[],4,FALSE)," ")</f>
        <v xml:space="preserve"> </v>
      </c>
      <c r="H2787" t="str">
        <f>IFERROR(+VLOOKUP(Movimientos_2026[[#This Row],[Codigo]],Plan_cuentas[],5,FALSE)," ")</f>
        <v xml:space="preserve"> </v>
      </c>
      <c r="I2787" s="43"/>
      <c r="K2787" t="str">
        <f>IFERROR(+VLOOKUP(Movimientos_2026[[#This Row],[Codigo]],Plan_cuentas[],6,FALSE)," ")</f>
        <v xml:space="preserve"> </v>
      </c>
      <c r="L2787" s="50"/>
      <c r="M2787" s="50"/>
      <c r="N2787" s="20">
        <f>+Movimientos_2026[[#This Row],[Ingresos]]-Movimientos_2026[[#This Row],[Egresos]]</f>
        <v>0</v>
      </c>
      <c r="O2787" s="20">
        <f>+O2786+Movimientos_2026[[#This Row],[Neto]]</f>
        <v>4581558617.7962294</v>
      </c>
    </row>
    <row r="2788" spans="1:15" x14ac:dyDescent="0.25">
      <c r="A2788" s="13"/>
      <c r="B2788" s="12">
        <f>MONTH(Movimientos_2026[[#This Row],[Fecha]])</f>
        <v>1</v>
      </c>
      <c r="C2788" s="12" t="str">
        <f>VLOOKUP((WEEKDAY(Movimientos_2026[[#This Row],[Fecha]],2)),'5. Setup'!$D$6:$E$12,2,FALSE)</f>
        <v>Sab</v>
      </c>
      <c r="E2788" t="str">
        <f>IFERROR(+VLOOKUP(Movimientos_2026[[#This Row],[Codigo]],Plan_cuentas[],2,FALSE)," ")</f>
        <v xml:space="preserve"> </v>
      </c>
      <c r="F2788" t="str">
        <f>IFERROR(+VLOOKUP(Movimientos_2026[[#This Row],[Codigo]],Plan_cuentas[],3,FALSE)," ")</f>
        <v xml:space="preserve"> </v>
      </c>
      <c r="G2788" t="str">
        <f>IFERROR(+VLOOKUP(Movimientos_2026[[#This Row],[Codigo]],Plan_cuentas[],4,FALSE)," ")</f>
        <v xml:space="preserve"> </v>
      </c>
      <c r="H2788" t="str">
        <f>IFERROR(+VLOOKUP(Movimientos_2026[[#This Row],[Codigo]],Plan_cuentas[],5,FALSE)," ")</f>
        <v xml:space="preserve"> </v>
      </c>
      <c r="I2788" s="43"/>
      <c r="K2788" t="str">
        <f>IFERROR(+VLOOKUP(Movimientos_2026[[#This Row],[Codigo]],Plan_cuentas[],6,FALSE)," ")</f>
        <v xml:space="preserve"> </v>
      </c>
      <c r="L2788" s="50"/>
      <c r="M2788" s="50"/>
      <c r="N2788" s="20">
        <f>+Movimientos_2026[[#This Row],[Ingresos]]-Movimientos_2026[[#This Row],[Egresos]]</f>
        <v>0</v>
      </c>
      <c r="O2788" s="20">
        <f>+O2787+Movimientos_2026[[#This Row],[Neto]]</f>
        <v>4581558617.7962294</v>
      </c>
    </row>
    <row r="2789" spans="1:15" x14ac:dyDescent="0.25">
      <c r="A2789" s="13"/>
      <c r="B2789" s="12">
        <f>MONTH(Movimientos_2026[[#This Row],[Fecha]])</f>
        <v>1</v>
      </c>
      <c r="C2789" s="12" t="str">
        <f>VLOOKUP((WEEKDAY(Movimientos_2026[[#This Row],[Fecha]],2)),'5. Setup'!$D$6:$E$12,2,FALSE)</f>
        <v>Sab</v>
      </c>
      <c r="E2789" t="str">
        <f>IFERROR(+VLOOKUP(Movimientos_2026[[#This Row],[Codigo]],Plan_cuentas[],2,FALSE)," ")</f>
        <v xml:space="preserve"> </v>
      </c>
      <c r="F2789" t="str">
        <f>IFERROR(+VLOOKUP(Movimientos_2026[[#This Row],[Codigo]],Plan_cuentas[],3,FALSE)," ")</f>
        <v xml:space="preserve"> </v>
      </c>
      <c r="G2789" t="str">
        <f>IFERROR(+VLOOKUP(Movimientos_2026[[#This Row],[Codigo]],Plan_cuentas[],4,FALSE)," ")</f>
        <v xml:space="preserve"> </v>
      </c>
      <c r="H2789" t="str">
        <f>IFERROR(+VLOOKUP(Movimientos_2026[[#This Row],[Codigo]],Plan_cuentas[],5,FALSE)," ")</f>
        <v xml:space="preserve"> </v>
      </c>
      <c r="I2789" s="43"/>
      <c r="K2789" t="str">
        <f>IFERROR(+VLOOKUP(Movimientos_2026[[#This Row],[Codigo]],Plan_cuentas[],6,FALSE)," ")</f>
        <v xml:space="preserve"> </v>
      </c>
      <c r="L2789" s="50"/>
      <c r="M2789" s="50"/>
      <c r="N2789" s="20">
        <f>+Movimientos_2026[[#This Row],[Ingresos]]-Movimientos_2026[[#This Row],[Egresos]]</f>
        <v>0</v>
      </c>
      <c r="O2789" s="20">
        <f>+O2788+Movimientos_2026[[#This Row],[Neto]]</f>
        <v>4581558617.7962294</v>
      </c>
    </row>
    <row r="2790" spans="1:15" x14ac:dyDescent="0.25">
      <c r="A2790" s="13"/>
      <c r="B2790" s="12">
        <f>MONTH(Movimientos_2026[[#This Row],[Fecha]])</f>
        <v>1</v>
      </c>
      <c r="C2790" s="12" t="str">
        <f>VLOOKUP((WEEKDAY(Movimientos_2026[[#This Row],[Fecha]],2)),'5. Setup'!$D$6:$E$12,2,FALSE)</f>
        <v>Sab</v>
      </c>
      <c r="E2790" t="str">
        <f>IFERROR(+VLOOKUP(Movimientos_2026[[#This Row],[Codigo]],Plan_cuentas[],2,FALSE)," ")</f>
        <v xml:space="preserve"> </v>
      </c>
      <c r="F2790" t="str">
        <f>IFERROR(+VLOOKUP(Movimientos_2026[[#This Row],[Codigo]],Plan_cuentas[],3,FALSE)," ")</f>
        <v xml:space="preserve"> </v>
      </c>
      <c r="G2790" t="str">
        <f>IFERROR(+VLOOKUP(Movimientos_2026[[#This Row],[Codigo]],Plan_cuentas[],4,FALSE)," ")</f>
        <v xml:space="preserve"> </v>
      </c>
      <c r="H2790" t="str">
        <f>IFERROR(+VLOOKUP(Movimientos_2026[[#This Row],[Codigo]],Plan_cuentas[],5,FALSE)," ")</f>
        <v xml:space="preserve"> </v>
      </c>
      <c r="I2790" s="43"/>
      <c r="K2790" t="str">
        <f>IFERROR(+VLOOKUP(Movimientos_2026[[#This Row],[Codigo]],Plan_cuentas[],6,FALSE)," ")</f>
        <v xml:space="preserve"> </v>
      </c>
      <c r="L2790" s="50"/>
      <c r="M2790" s="50"/>
      <c r="N2790" s="20">
        <f>+Movimientos_2026[[#This Row],[Ingresos]]-Movimientos_2026[[#This Row],[Egresos]]</f>
        <v>0</v>
      </c>
      <c r="O2790" s="20">
        <f>+O2789+Movimientos_2026[[#This Row],[Neto]]</f>
        <v>4581558617.7962294</v>
      </c>
    </row>
    <row r="2791" spans="1:15" x14ac:dyDescent="0.25">
      <c r="A2791" s="13"/>
      <c r="B2791" s="12">
        <f>MONTH(Movimientos_2026[[#This Row],[Fecha]])</f>
        <v>1</v>
      </c>
      <c r="C2791" s="12" t="str">
        <f>VLOOKUP((WEEKDAY(Movimientos_2026[[#This Row],[Fecha]],2)),'5. Setup'!$D$6:$E$12,2,FALSE)</f>
        <v>Sab</v>
      </c>
      <c r="E2791" t="str">
        <f>IFERROR(+VLOOKUP(Movimientos_2026[[#This Row],[Codigo]],Plan_cuentas[],2,FALSE)," ")</f>
        <v xml:space="preserve"> </v>
      </c>
      <c r="F2791" t="str">
        <f>IFERROR(+VLOOKUP(Movimientos_2026[[#This Row],[Codigo]],Plan_cuentas[],3,FALSE)," ")</f>
        <v xml:space="preserve"> </v>
      </c>
      <c r="G2791" t="str">
        <f>IFERROR(+VLOOKUP(Movimientos_2026[[#This Row],[Codigo]],Plan_cuentas[],4,FALSE)," ")</f>
        <v xml:space="preserve"> </v>
      </c>
      <c r="H2791" t="str">
        <f>IFERROR(+VLOOKUP(Movimientos_2026[[#This Row],[Codigo]],Plan_cuentas[],5,FALSE)," ")</f>
        <v xml:space="preserve"> </v>
      </c>
      <c r="I2791" s="43"/>
      <c r="K2791" t="str">
        <f>IFERROR(+VLOOKUP(Movimientos_2026[[#This Row],[Codigo]],Plan_cuentas[],6,FALSE)," ")</f>
        <v xml:space="preserve"> </v>
      </c>
      <c r="L2791" s="50"/>
      <c r="M2791" s="50"/>
      <c r="N2791" s="20">
        <f>+Movimientos_2026[[#This Row],[Ingresos]]-Movimientos_2026[[#This Row],[Egresos]]</f>
        <v>0</v>
      </c>
      <c r="O2791" s="20">
        <f>+O2790+Movimientos_2026[[#This Row],[Neto]]</f>
        <v>4581558617.7962294</v>
      </c>
    </row>
    <row r="2792" spans="1:15" x14ac:dyDescent="0.25">
      <c r="A2792" s="13"/>
      <c r="B2792" s="12">
        <f>MONTH(Movimientos_2026[[#This Row],[Fecha]])</f>
        <v>1</v>
      </c>
      <c r="C2792" s="12" t="str">
        <f>VLOOKUP((WEEKDAY(Movimientos_2026[[#This Row],[Fecha]],2)),'5. Setup'!$D$6:$E$12,2,FALSE)</f>
        <v>Sab</v>
      </c>
      <c r="E2792" t="str">
        <f>IFERROR(+VLOOKUP(Movimientos_2026[[#This Row],[Codigo]],Plan_cuentas[],2,FALSE)," ")</f>
        <v xml:space="preserve"> </v>
      </c>
      <c r="F2792" t="str">
        <f>IFERROR(+VLOOKUP(Movimientos_2026[[#This Row],[Codigo]],Plan_cuentas[],3,FALSE)," ")</f>
        <v xml:space="preserve"> </v>
      </c>
      <c r="G2792" t="str">
        <f>IFERROR(+VLOOKUP(Movimientos_2026[[#This Row],[Codigo]],Plan_cuentas[],4,FALSE)," ")</f>
        <v xml:space="preserve"> </v>
      </c>
      <c r="H2792" t="str">
        <f>IFERROR(+VLOOKUP(Movimientos_2026[[#This Row],[Codigo]],Plan_cuentas[],5,FALSE)," ")</f>
        <v xml:space="preserve"> </v>
      </c>
      <c r="I2792" s="43"/>
      <c r="K2792" t="str">
        <f>IFERROR(+VLOOKUP(Movimientos_2026[[#This Row],[Codigo]],Plan_cuentas[],6,FALSE)," ")</f>
        <v xml:space="preserve"> </v>
      </c>
      <c r="L2792" s="50"/>
      <c r="M2792" s="50"/>
      <c r="N2792" s="20">
        <f>+Movimientos_2026[[#This Row],[Ingresos]]-Movimientos_2026[[#This Row],[Egresos]]</f>
        <v>0</v>
      </c>
      <c r="O2792" s="20">
        <f>+O2791+Movimientos_2026[[#This Row],[Neto]]</f>
        <v>4581558617.7962294</v>
      </c>
    </row>
    <row r="2793" spans="1:15" x14ac:dyDescent="0.25">
      <c r="A2793" s="13"/>
      <c r="B2793" s="12">
        <f>MONTH(Movimientos_2026[[#This Row],[Fecha]])</f>
        <v>1</v>
      </c>
      <c r="C2793" s="12" t="str">
        <f>VLOOKUP((WEEKDAY(Movimientos_2026[[#This Row],[Fecha]],2)),'5. Setup'!$D$6:$E$12,2,FALSE)</f>
        <v>Sab</v>
      </c>
      <c r="E2793" t="str">
        <f>IFERROR(+VLOOKUP(Movimientos_2026[[#This Row],[Codigo]],Plan_cuentas[],2,FALSE)," ")</f>
        <v xml:space="preserve"> </v>
      </c>
      <c r="F2793" t="str">
        <f>IFERROR(+VLOOKUP(Movimientos_2026[[#This Row],[Codigo]],Plan_cuentas[],3,FALSE)," ")</f>
        <v xml:space="preserve"> </v>
      </c>
      <c r="G2793" t="str">
        <f>IFERROR(+VLOOKUP(Movimientos_2026[[#This Row],[Codigo]],Plan_cuentas[],4,FALSE)," ")</f>
        <v xml:space="preserve"> </v>
      </c>
      <c r="H2793" t="str">
        <f>IFERROR(+VLOOKUP(Movimientos_2026[[#This Row],[Codigo]],Plan_cuentas[],5,FALSE)," ")</f>
        <v xml:space="preserve"> </v>
      </c>
      <c r="I2793" s="43"/>
      <c r="K2793" t="str">
        <f>IFERROR(+VLOOKUP(Movimientos_2026[[#This Row],[Codigo]],Plan_cuentas[],6,FALSE)," ")</f>
        <v xml:space="preserve"> </v>
      </c>
      <c r="L2793" s="50"/>
      <c r="M2793" s="50"/>
      <c r="N2793" s="20">
        <f>+Movimientos_2026[[#This Row],[Ingresos]]-Movimientos_2026[[#This Row],[Egresos]]</f>
        <v>0</v>
      </c>
      <c r="O2793" s="20">
        <f>+O2792+Movimientos_2026[[#This Row],[Neto]]</f>
        <v>4581558617.7962294</v>
      </c>
    </row>
    <row r="2794" spans="1:15" x14ac:dyDescent="0.25">
      <c r="A2794" s="13"/>
      <c r="B2794" s="12">
        <f>MONTH(Movimientos_2026[[#This Row],[Fecha]])</f>
        <v>1</v>
      </c>
      <c r="C2794" s="12" t="str">
        <f>VLOOKUP((WEEKDAY(Movimientos_2026[[#This Row],[Fecha]],2)),'5. Setup'!$D$6:$E$12,2,FALSE)</f>
        <v>Sab</v>
      </c>
      <c r="E2794" t="str">
        <f>IFERROR(+VLOOKUP(Movimientos_2026[[#This Row],[Codigo]],Plan_cuentas[],2,FALSE)," ")</f>
        <v xml:space="preserve"> </v>
      </c>
      <c r="F2794" t="str">
        <f>IFERROR(+VLOOKUP(Movimientos_2026[[#This Row],[Codigo]],Plan_cuentas[],3,FALSE)," ")</f>
        <v xml:space="preserve"> </v>
      </c>
      <c r="G2794" t="str">
        <f>IFERROR(+VLOOKUP(Movimientos_2026[[#This Row],[Codigo]],Plan_cuentas[],4,FALSE)," ")</f>
        <v xml:space="preserve"> </v>
      </c>
      <c r="H2794" t="str">
        <f>IFERROR(+VLOOKUP(Movimientos_2026[[#This Row],[Codigo]],Plan_cuentas[],5,FALSE)," ")</f>
        <v xml:space="preserve"> </v>
      </c>
      <c r="I2794" s="43"/>
      <c r="K2794" t="str">
        <f>IFERROR(+VLOOKUP(Movimientos_2026[[#This Row],[Codigo]],Plan_cuentas[],6,FALSE)," ")</f>
        <v xml:space="preserve"> </v>
      </c>
      <c r="L2794" s="50"/>
      <c r="M2794" s="50"/>
      <c r="N2794" s="20">
        <f>+Movimientos_2026[[#This Row],[Ingresos]]-Movimientos_2026[[#This Row],[Egresos]]</f>
        <v>0</v>
      </c>
      <c r="O2794" s="20">
        <f>+O2793+Movimientos_2026[[#This Row],[Neto]]</f>
        <v>4581558617.7962294</v>
      </c>
    </row>
    <row r="2795" spans="1:15" x14ac:dyDescent="0.25">
      <c r="A2795" s="13"/>
      <c r="B2795" s="12">
        <f>MONTH(Movimientos_2026[[#This Row],[Fecha]])</f>
        <v>1</v>
      </c>
      <c r="C2795" s="12" t="str">
        <f>VLOOKUP((WEEKDAY(Movimientos_2026[[#This Row],[Fecha]],2)),'5. Setup'!$D$6:$E$12,2,FALSE)</f>
        <v>Sab</v>
      </c>
      <c r="E2795" t="str">
        <f>IFERROR(+VLOOKUP(Movimientos_2026[[#This Row],[Codigo]],Plan_cuentas[],2,FALSE)," ")</f>
        <v xml:space="preserve"> </v>
      </c>
      <c r="F2795" t="str">
        <f>IFERROR(+VLOOKUP(Movimientos_2026[[#This Row],[Codigo]],Plan_cuentas[],3,FALSE)," ")</f>
        <v xml:space="preserve"> </v>
      </c>
      <c r="G2795" t="str">
        <f>IFERROR(+VLOOKUP(Movimientos_2026[[#This Row],[Codigo]],Plan_cuentas[],4,FALSE)," ")</f>
        <v xml:space="preserve"> </v>
      </c>
      <c r="H2795" t="str">
        <f>IFERROR(+VLOOKUP(Movimientos_2026[[#This Row],[Codigo]],Plan_cuentas[],5,FALSE)," ")</f>
        <v xml:space="preserve"> </v>
      </c>
      <c r="I2795" s="43"/>
      <c r="K2795" t="str">
        <f>IFERROR(+VLOOKUP(Movimientos_2026[[#This Row],[Codigo]],Plan_cuentas[],6,FALSE)," ")</f>
        <v xml:space="preserve"> </v>
      </c>
      <c r="L2795" s="50"/>
      <c r="M2795" s="50"/>
      <c r="N2795" s="20">
        <f>+Movimientos_2026[[#This Row],[Ingresos]]-Movimientos_2026[[#This Row],[Egresos]]</f>
        <v>0</v>
      </c>
      <c r="O2795" s="20">
        <f>+O2794+Movimientos_2026[[#This Row],[Neto]]</f>
        <v>4581558617.7962294</v>
      </c>
    </row>
    <row r="2796" spans="1:15" x14ac:dyDescent="0.25">
      <c r="A2796" s="13"/>
      <c r="B2796" s="12">
        <f>MONTH(Movimientos_2026[[#This Row],[Fecha]])</f>
        <v>1</v>
      </c>
      <c r="C2796" s="12" t="str">
        <f>VLOOKUP((WEEKDAY(Movimientos_2026[[#This Row],[Fecha]],2)),'5. Setup'!$D$6:$E$12,2,FALSE)</f>
        <v>Sab</v>
      </c>
      <c r="E2796" t="str">
        <f>IFERROR(+VLOOKUP(Movimientos_2026[[#This Row],[Codigo]],Plan_cuentas[],2,FALSE)," ")</f>
        <v xml:space="preserve"> </v>
      </c>
      <c r="F2796" t="str">
        <f>IFERROR(+VLOOKUP(Movimientos_2026[[#This Row],[Codigo]],Plan_cuentas[],3,FALSE)," ")</f>
        <v xml:space="preserve"> </v>
      </c>
      <c r="G2796" t="str">
        <f>IFERROR(+VLOOKUP(Movimientos_2026[[#This Row],[Codigo]],Plan_cuentas[],4,FALSE)," ")</f>
        <v xml:space="preserve"> </v>
      </c>
      <c r="H2796" t="str">
        <f>IFERROR(+VLOOKUP(Movimientos_2026[[#This Row],[Codigo]],Plan_cuentas[],5,FALSE)," ")</f>
        <v xml:space="preserve"> </v>
      </c>
      <c r="I2796" s="43"/>
      <c r="K2796" t="str">
        <f>IFERROR(+VLOOKUP(Movimientos_2026[[#This Row],[Codigo]],Plan_cuentas[],6,FALSE)," ")</f>
        <v xml:space="preserve"> </v>
      </c>
      <c r="L2796" s="50"/>
      <c r="M2796" s="50"/>
      <c r="N2796" s="20">
        <f>+Movimientos_2026[[#This Row],[Ingresos]]-Movimientos_2026[[#This Row],[Egresos]]</f>
        <v>0</v>
      </c>
      <c r="O2796" s="20">
        <f>+O2795+Movimientos_2026[[#This Row],[Neto]]</f>
        <v>4581558617.7962294</v>
      </c>
    </row>
    <row r="2797" spans="1:15" x14ac:dyDescent="0.25">
      <c r="A2797" s="13"/>
      <c r="B2797" s="12">
        <f>MONTH(Movimientos_2026[[#This Row],[Fecha]])</f>
        <v>1</v>
      </c>
      <c r="C2797" s="12" t="str">
        <f>VLOOKUP((WEEKDAY(Movimientos_2026[[#This Row],[Fecha]],2)),'5. Setup'!$D$6:$E$12,2,FALSE)</f>
        <v>Sab</v>
      </c>
      <c r="E2797" t="str">
        <f>IFERROR(+VLOOKUP(Movimientos_2026[[#This Row],[Codigo]],Plan_cuentas[],2,FALSE)," ")</f>
        <v xml:space="preserve"> </v>
      </c>
      <c r="F2797" t="str">
        <f>IFERROR(+VLOOKUP(Movimientos_2026[[#This Row],[Codigo]],Plan_cuentas[],3,FALSE)," ")</f>
        <v xml:space="preserve"> </v>
      </c>
      <c r="G2797" t="str">
        <f>IFERROR(+VLOOKUP(Movimientos_2026[[#This Row],[Codigo]],Plan_cuentas[],4,FALSE)," ")</f>
        <v xml:space="preserve"> </v>
      </c>
      <c r="H2797" t="str">
        <f>IFERROR(+VLOOKUP(Movimientos_2026[[#This Row],[Codigo]],Plan_cuentas[],5,FALSE)," ")</f>
        <v xml:space="preserve"> </v>
      </c>
      <c r="I2797" s="43"/>
      <c r="K2797" t="str">
        <f>IFERROR(+VLOOKUP(Movimientos_2026[[#This Row],[Codigo]],Plan_cuentas[],6,FALSE)," ")</f>
        <v xml:space="preserve"> </v>
      </c>
      <c r="L2797" s="50"/>
      <c r="M2797" s="50"/>
      <c r="N2797" s="20">
        <f>+Movimientos_2026[[#This Row],[Ingresos]]-Movimientos_2026[[#This Row],[Egresos]]</f>
        <v>0</v>
      </c>
      <c r="O2797" s="20">
        <f>+O2796+Movimientos_2026[[#This Row],[Neto]]</f>
        <v>4581558617.7962294</v>
      </c>
    </row>
    <row r="2798" spans="1:15" x14ac:dyDescent="0.25">
      <c r="A2798" s="13"/>
      <c r="B2798" s="12">
        <f>MONTH(Movimientos_2026[[#This Row],[Fecha]])</f>
        <v>1</v>
      </c>
      <c r="C2798" s="12" t="str">
        <f>VLOOKUP((WEEKDAY(Movimientos_2026[[#This Row],[Fecha]],2)),'5. Setup'!$D$6:$E$12,2,FALSE)</f>
        <v>Sab</v>
      </c>
      <c r="E2798" t="str">
        <f>IFERROR(+VLOOKUP(Movimientos_2026[[#This Row],[Codigo]],Plan_cuentas[],2,FALSE)," ")</f>
        <v xml:space="preserve"> </v>
      </c>
      <c r="F2798" t="str">
        <f>IFERROR(+VLOOKUP(Movimientos_2026[[#This Row],[Codigo]],Plan_cuentas[],3,FALSE)," ")</f>
        <v xml:space="preserve"> </v>
      </c>
      <c r="G2798" t="str">
        <f>IFERROR(+VLOOKUP(Movimientos_2026[[#This Row],[Codigo]],Plan_cuentas[],4,FALSE)," ")</f>
        <v xml:space="preserve"> </v>
      </c>
      <c r="H2798" t="str">
        <f>IFERROR(+VLOOKUP(Movimientos_2026[[#This Row],[Codigo]],Plan_cuentas[],5,FALSE)," ")</f>
        <v xml:space="preserve"> </v>
      </c>
      <c r="I2798" s="43"/>
      <c r="K2798" t="str">
        <f>IFERROR(+VLOOKUP(Movimientos_2026[[#This Row],[Codigo]],Plan_cuentas[],6,FALSE)," ")</f>
        <v xml:space="preserve"> </v>
      </c>
      <c r="L2798" s="50"/>
      <c r="M2798" s="50"/>
      <c r="N2798" s="20">
        <f>+Movimientos_2026[[#This Row],[Ingresos]]-Movimientos_2026[[#This Row],[Egresos]]</f>
        <v>0</v>
      </c>
      <c r="O2798" s="20">
        <f>+O2797+Movimientos_2026[[#This Row],[Neto]]</f>
        <v>4581558617.7962294</v>
      </c>
    </row>
    <row r="2799" spans="1:15" x14ac:dyDescent="0.25">
      <c r="A2799" s="13"/>
      <c r="B2799" s="12">
        <f>MONTH(Movimientos_2026[[#This Row],[Fecha]])</f>
        <v>1</v>
      </c>
      <c r="C2799" s="12" t="str">
        <f>VLOOKUP((WEEKDAY(Movimientos_2026[[#This Row],[Fecha]],2)),'5. Setup'!$D$6:$E$12,2,FALSE)</f>
        <v>Sab</v>
      </c>
      <c r="E2799" t="str">
        <f>IFERROR(+VLOOKUP(Movimientos_2026[[#This Row],[Codigo]],Plan_cuentas[],2,FALSE)," ")</f>
        <v xml:space="preserve"> </v>
      </c>
      <c r="F2799" t="str">
        <f>IFERROR(+VLOOKUP(Movimientos_2026[[#This Row],[Codigo]],Plan_cuentas[],3,FALSE)," ")</f>
        <v xml:space="preserve"> </v>
      </c>
      <c r="G2799" t="str">
        <f>IFERROR(+VLOOKUP(Movimientos_2026[[#This Row],[Codigo]],Plan_cuentas[],4,FALSE)," ")</f>
        <v xml:space="preserve"> </v>
      </c>
      <c r="H2799" t="str">
        <f>IFERROR(+VLOOKUP(Movimientos_2026[[#This Row],[Codigo]],Plan_cuentas[],5,FALSE)," ")</f>
        <v xml:space="preserve"> </v>
      </c>
      <c r="I2799" s="43"/>
      <c r="K2799" t="str">
        <f>IFERROR(+VLOOKUP(Movimientos_2026[[#This Row],[Codigo]],Plan_cuentas[],6,FALSE)," ")</f>
        <v xml:space="preserve"> </v>
      </c>
      <c r="L2799" s="50"/>
      <c r="M2799" s="50"/>
      <c r="N2799" s="20">
        <f>+Movimientos_2026[[#This Row],[Ingresos]]-Movimientos_2026[[#This Row],[Egresos]]</f>
        <v>0</v>
      </c>
      <c r="O2799" s="20">
        <f>+O2798+Movimientos_2026[[#This Row],[Neto]]</f>
        <v>4581558617.7962294</v>
      </c>
    </row>
    <row r="2800" spans="1:15" x14ac:dyDescent="0.25">
      <c r="A2800" s="13"/>
      <c r="B2800" s="12">
        <f>MONTH(Movimientos_2026[[#This Row],[Fecha]])</f>
        <v>1</v>
      </c>
      <c r="C2800" s="12" t="str">
        <f>VLOOKUP((WEEKDAY(Movimientos_2026[[#This Row],[Fecha]],2)),'5. Setup'!$D$6:$E$12,2,FALSE)</f>
        <v>Sab</v>
      </c>
      <c r="E2800" t="str">
        <f>IFERROR(+VLOOKUP(Movimientos_2026[[#This Row],[Codigo]],Plan_cuentas[],2,FALSE)," ")</f>
        <v xml:space="preserve"> </v>
      </c>
      <c r="F2800" t="str">
        <f>IFERROR(+VLOOKUP(Movimientos_2026[[#This Row],[Codigo]],Plan_cuentas[],3,FALSE)," ")</f>
        <v xml:space="preserve"> </v>
      </c>
      <c r="G2800" t="str">
        <f>IFERROR(+VLOOKUP(Movimientos_2026[[#This Row],[Codigo]],Plan_cuentas[],4,FALSE)," ")</f>
        <v xml:space="preserve"> </v>
      </c>
      <c r="H2800" t="str">
        <f>IFERROR(+VLOOKUP(Movimientos_2026[[#This Row],[Codigo]],Plan_cuentas[],5,FALSE)," ")</f>
        <v xml:space="preserve"> </v>
      </c>
      <c r="I2800" s="43"/>
      <c r="K2800" t="str">
        <f>IFERROR(+VLOOKUP(Movimientos_2026[[#This Row],[Codigo]],Plan_cuentas[],6,FALSE)," ")</f>
        <v xml:space="preserve"> </v>
      </c>
      <c r="L2800" s="50"/>
      <c r="M2800" s="50"/>
      <c r="N2800" s="20">
        <f>+Movimientos_2026[[#This Row],[Ingresos]]-Movimientos_2026[[#This Row],[Egresos]]</f>
        <v>0</v>
      </c>
      <c r="O2800" s="20">
        <f>+O2799+Movimientos_2026[[#This Row],[Neto]]</f>
        <v>4581558617.7962294</v>
      </c>
    </row>
    <row r="2801" spans="1:15" x14ac:dyDescent="0.25">
      <c r="A2801" s="13"/>
      <c r="B2801" s="12">
        <f>MONTH(Movimientos_2026[[#This Row],[Fecha]])</f>
        <v>1</v>
      </c>
      <c r="C2801" s="12" t="str">
        <f>VLOOKUP((WEEKDAY(Movimientos_2026[[#This Row],[Fecha]],2)),'5. Setup'!$D$6:$E$12,2,FALSE)</f>
        <v>Sab</v>
      </c>
      <c r="E2801" t="str">
        <f>IFERROR(+VLOOKUP(Movimientos_2026[[#This Row],[Codigo]],Plan_cuentas[],2,FALSE)," ")</f>
        <v xml:space="preserve"> </v>
      </c>
      <c r="F2801" t="str">
        <f>IFERROR(+VLOOKUP(Movimientos_2026[[#This Row],[Codigo]],Plan_cuentas[],3,FALSE)," ")</f>
        <v xml:space="preserve"> </v>
      </c>
      <c r="G2801" t="str">
        <f>IFERROR(+VLOOKUP(Movimientos_2026[[#This Row],[Codigo]],Plan_cuentas[],4,FALSE)," ")</f>
        <v xml:space="preserve"> </v>
      </c>
      <c r="H2801" t="str">
        <f>IFERROR(+VLOOKUP(Movimientos_2026[[#This Row],[Codigo]],Plan_cuentas[],5,FALSE)," ")</f>
        <v xml:space="preserve"> </v>
      </c>
      <c r="I2801" s="43"/>
      <c r="K2801" t="str">
        <f>IFERROR(+VLOOKUP(Movimientos_2026[[#This Row],[Codigo]],Plan_cuentas[],6,FALSE)," ")</f>
        <v xml:space="preserve"> </v>
      </c>
      <c r="L2801" s="50"/>
      <c r="M2801" s="50"/>
      <c r="N2801" s="20">
        <f>+Movimientos_2026[[#This Row],[Ingresos]]-Movimientos_2026[[#This Row],[Egresos]]</f>
        <v>0</v>
      </c>
      <c r="O2801" s="20">
        <f>+O2800+Movimientos_2026[[#This Row],[Neto]]</f>
        <v>4581558617.7962294</v>
      </c>
    </row>
    <row r="2802" spans="1:15" x14ac:dyDescent="0.25">
      <c r="A2802" s="13"/>
      <c r="B2802" s="12">
        <f>MONTH(Movimientos_2026[[#This Row],[Fecha]])</f>
        <v>1</v>
      </c>
      <c r="C2802" s="12" t="str">
        <f>VLOOKUP((WEEKDAY(Movimientos_2026[[#This Row],[Fecha]],2)),'5. Setup'!$D$6:$E$12,2,FALSE)</f>
        <v>Sab</v>
      </c>
      <c r="E2802" t="str">
        <f>IFERROR(+VLOOKUP(Movimientos_2026[[#This Row],[Codigo]],Plan_cuentas[],2,FALSE)," ")</f>
        <v xml:space="preserve"> </v>
      </c>
      <c r="F2802" t="str">
        <f>IFERROR(+VLOOKUP(Movimientos_2026[[#This Row],[Codigo]],Plan_cuentas[],3,FALSE)," ")</f>
        <v xml:space="preserve"> </v>
      </c>
      <c r="G2802" t="str">
        <f>IFERROR(+VLOOKUP(Movimientos_2026[[#This Row],[Codigo]],Plan_cuentas[],4,FALSE)," ")</f>
        <v xml:space="preserve"> </v>
      </c>
      <c r="H2802" t="str">
        <f>IFERROR(+VLOOKUP(Movimientos_2026[[#This Row],[Codigo]],Plan_cuentas[],5,FALSE)," ")</f>
        <v xml:space="preserve"> </v>
      </c>
      <c r="I2802" s="43"/>
      <c r="K2802" t="str">
        <f>IFERROR(+VLOOKUP(Movimientos_2026[[#This Row],[Codigo]],Plan_cuentas[],6,FALSE)," ")</f>
        <v xml:space="preserve"> </v>
      </c>
      <c r="L2802" s="50"/>
      <c r="M2802" s="50"/>
      <c r="N2802" s="20">
        <f>+Movimientos_2026[[#This Row],[Ingresos]]-Movimientos_2026[[#This Row],[Egresos]]</f>
        <v>0</v>
      </c>
      <c r="O2802" s="20">
        <f>+O2801+Movimientos_2026[[#This Row],[Neto]]</f>
        <v>4581558617.7962294</v>
      </c>
    </row>
    <row r="2803" spans="1:15" x14ac:dyDescent="0.25">
      <c r="A2803" s="13"/>
      <c r="B2803" s="12">
        <f>MONTH(Movimientos_2026[[#This Row],[Fecha]])</f>
        <v>1</v>
      </c>
      <c r="C2803" s="12" t="str">
        <f>VLOOKUP((WEEKDAY(Movimientos_2026[[#This Row],[Fecha]],2)),'5. Setup'!$D$6:$E$12,2,FALSE)</f>
        <v>Sab</v>
      </c>
      <c r="E2803" t="str">
        <f>IFERROR(+VLOOKUP(Movimientos_2026[[#This Row],[Codigo]],Plan_cuentas[],2,FALSE)," ")</f>
        <v xml:space="preserve"> </v>
      </c>
      <c r="F2803" t="str">
        <f>IFERROR(+VLOOKUP(Movimientos_2026[[#This Row],[Codigo]],Plan_cuentas[],3,FALSE)," ")</f>
        <v xml:space="preserve"> </v>
      </c>
      <c r="G2803" t="str">
        <f>IFERROR(+VLOOKUP(Movimientos_2026[[#This Row],[Codigo]],Plan_cuentas[],4,FALSE)," ")</f>
        <v xml:space="preserve"> </v>
      </c>
      <c r="H2803" t="str">
        <f>IFERROR(+VLOOKUP(Movimientos_2026[[#This Row],[Codigo]],Plan_cuentas[],5,FALSE)," ")</f>
        <v xml:space="preserve"> </v>
      </c>
      <c r="I2803" s="43"/>
      <c r="K2803" t="str">
        <f>IFERROR(+VLOOKUP(Movimientos_2026[[#This Row],[Codigo]],Plan_cuentas[],6,FALSE)," ")</f>
        <v xml:space="preserve"> </v>
      </c>
      <c r="L2803" s="50"/>
      <c r="M2803" s="50"/>
      <c r="N2803" s="20">
        <f>+Movimientos_2026[[#This Row],[Ingresos]]-Movimientos_2026[[#This Row],[Egresos]]</f>
        <v>0</v>
      </c>
      <c r="O2803" s="20">
        <f>+O2802+Movimientos_2026[[#This Row],[Neto]]</f>
        <v>4581558617.7962294</v>
      </c>
    </row>
    <row r="2804" spans="1:15" x14ac:dyDescent="0.25">
      <c r="A2804" s="13"/>
      <c r="B2804" s="12">
        <f>MONTH(Movimientos_2026[[#This Row],[Fecha]])</f>
        <v>1</v>
      </c>
      <c r="C2804" s="12" t="str">
        <f>VLOOKUP((WEEKDAY(Movimientos_2026[[#This Row],[Fecha]],2)),'5. Setup'!$D$6:$E$12,2,FALSE)</f>
        <v>Sab</v>
      </c>
      <c r="E2804" t="str">
        <f>IFERROR(+VLOOKUP(Movimientos_2026[[#This Row],[Codigo]],Plan_cuentas[],2,FALSE)," ")</f>
        <v xml:space="preserve"> </v>
      </c>
      <c r="F2804" t="str">
        <f>IFERROR(+VLOOKUP(Movimientos_2026[[#This Row],[Codigo]],Plan_cuentas[],3,FALSE)," ")</f>
        <v xml:space="preserve"> </v>
      </c>
      <c r="G2804" t="str">
        <f>IFERROR(+VLOOKUP(Movimientos_2026[[#This Row],[Codigo]],Plan_cuentas[],4,FALSE)," ")</f>
        <v xml:space="preserve"> </v>
      </c>
      <c r="H2804" t="str">
        <f>IFERROR(+VLOOKUP(Movimientos_2026[[#This Row],[Codigo]],Plan_cuentas[],5,FALSE)," ")</f>
        <v xml:space="preserve"> </v>
      </c>
      <c r="I2804" s="43"/>
      <c r="K2804" t="str">
        <f>IFERROR(+VLOOKUP(Movimientos_2026[[#This Row],[Codigo]],Plan_cuentas[],6,FALSE)," ")</f>
        <v xml:space="preserve"> </v>
      </c>
      <c r="L2804" s="50"/>
      <c r="M2804" s="50"/>
      <c r="N2804" s="20">
        <f>+Movimientos_2026[[#This Row],[Ingresos]]-Movimientos_2026[[#This Row],[Egresos]]</f>
        <v>0</v>
      </c>
      <c r="O2804" s="20">
        <f>+O2803+Movimientos_2026[[#This Row],[Neto]]</f>
        <v>4581558617.7962294</v>
      </c>
    </row>
    <row r="2805" spans="1:15" x14ac:dyDescent="0.25">
      <c r="A2805" s="13"/>
      <c r="B2805" s="12">
        <f>MONTH(Movimientos_2026[[#This Row],[Fecha]])</f>
        <v>1</v>
      </c>
      <c r="C2805" s="12" t="str">
        <f>VLOOKUP((WEEKDAY(Movimientos_2026[[#This Row],[Fecha]],2)),'5. Setup'!$D$6:$E$12,2,FALSE)</f>
        <v>Sab</v>
      </c>
      <c r="E2805" t="str">
        <f>IFERROR(+VLOOKUP(Movimientos_2026[[#This Row],[Codigo]],Plan_cuentas[],2,FALSE)," ")</f>
        <v xml:space="preserve"> </v>
      </c>
      <c r="F2805" t="str">
        <f>IFERROR(+VLOOKUP(Movimientos_2026[[#This Row],[Codigo]],Plan_cuentas[],3,FALSE)," ")</f>
        <v xml:space="preserve"> </v>
      </c>
      <c r="G2805" t="str">
        <f>IFERROR(+VLOOKUP(Movimientos_2026[[#This Row],[Codigo]],Plan_cuentas[],4,FALSE)," ")</f>
        <v xml:space="preserve"> </v>
      </c>
      <c r="H2805" t="str">
        <f>IFERROR(+VLOOKUP(Movimientos_2026[[#This Row],[Codigo]],Plan_cuentas[],5,FALSE)," ")</f>
        <v xml:space="preserve"> </v>
      </c>
      <c r="I2805" s="43"/>
      <c r="K2805" t="str">
        <f>IFERROR(+VLOOKUP(Movimientos_2026[[#This Row],[Codigo]],Plan_cuentas[],6,FALSE)," ")</f>
        <v xml:space="preserve"> </v>
      </c>
      <c r="L2805" s="50"/>
      <c r="M2805" s="50"/>
      <c r="N2805" s="20">
        <f>+Movimientos_2026[[#This Row],[Ingresos]]-Movimientos_2026[[#This Row],[Egresos]]</f>
        <v>0</v>
      </c>
      <c r="O2805" s="20">
        <f>+O2804+Movimientos_2026[[#This Row],[Neto]]</f>
        <v>4581558617.7962294</v>
      </c>
    </row>
    <row r="2806" spans="1:15" x14ac:dyDescent="0.25">
      <c r="A2806" s="13"/>
      <c r="B2806" s="12">
        <f>MONTH(Movimientos_2026[[#This Row],[Fecha]])</f>
        <v>1</v>
      </c>
      <c r="C2806" s="12" t="str">
        <f>VLOOKUP((WEEKDAY(Movimientos_2026[[#This Row],[Fecha]],2)),'5. Setup'!$D$6:$E$12,2,FALSE)</f>
        <v>Sab</v>
      </c>
      <c r="E2806" t="str">
        <f>IFERROR(+VLOOKUP(Movimientos_2026[[#This Row],[Codigo]],Plan_cuentas[],2,FALSE)," ")</f>
        <v xml:space="preserve"> </v>
      </c>
      <c r="F2806" t="str">
        <f>IFERROR(+VLOOKUP(Movimientos_2026[[#This Row],[Codigo]],Plan_cuentas[],3,FALSE)," ")</f>
        <v xml:space="preserve"> </v>
      </c>
      <c r="G2806" t="str">
        <f>IFERROR(+VLOOKUP(Movimientos_2026[[#This Row],[Codigo]],Plan_cuentas[],4,FALSE)," ")</f>
        <v xml:space="preserve"> </v>
      </c>
      <c r="H2806" t="str">
        <f>IFERROR(+VLOOKUP(Movimientos_2026[[#This Row],[Codigo]],Plan_cuentas[],5,FALSE)," ")</f>
        <v xml:space="preserve"> </v>
      </c>
      <c r="I2806" s="43"/>
      <c r="K2806" t="str">
        <f>IFERROR(+VLOOKUP(Movimientos_2026[[#This Row],[Codigo]],Plan_cuentas[],6,FALSE)," ")</f>
        <v xml:space="preserve"> </v>
      </c>
      <c r="L2806" s="50"/>
      <c r="M2806" s="50"/>
      <c r="N2806" s="20">
        <f>+Movimientos_2026[[#This Row],[Ingresos]]-Movimientos_2026[[#This Row],[Egresos]]</f>
        <v>0</v>
      </c>
      <c r="O2806" s="20">
        <f>+O2805+Movimientos_2026[[#This Row],[Neto]]</f>
        <v>4581558617.7962294</v>
      </c>
    </row>
    <row r="2807" spans="1:15" x14ac:dyDescent="0.25">
      <c r="A2807" s="13"/>
      <c r="B2807" s="12">
        <f>MONTH(Movimientos_2026[[#This Row],[Fecha]])</f>
        <v>1</v>
      </c>
      <c r="C2807" s="12" t="str">
        <f>VLOOKUP((WEEKDAY(Movimientos_2026[[#This Row],[Fecha]],2)),'5. Setup'!$D$6:$E$12,2,FALSE)</f>
        <v>Sab</v>
      </c>
      <c r="E2807" t="str">
        <f>IFERROR(+VLOOKUP(Movimientos_2026[[#This Row],[Codigo]],Plan_cuentas[],2,FALSE)," ")</f>
        <v xml:space="preserve"> </v>
      </c>
      <c r="F2807" t="str">
        <f>IFERROR(+VLOOKUP(Movimientos_2026[[#This Row],[Codigo]],Plan_cuentas[],3,FALSE)," ")</f>
        <v xml:space="preserve"> </v>
      </c>
      <c r="G2807" t="str">
        <f>IFERROR(+VLOOKUP(Movimientos_2026[[#This Row],[Codigo]],Plan_cuentas[],4,FALSE)," ")</f>
        <v xml:space="preserve"> </v>
      </c>
      <c r="H2807" t="str">
        <f>IFERROR(+VLOOKUP(Movimientos_2026[[#This Row],[Codigo]],Plan_cuentas[],5,FALSE)," ")</f>
        <v xml:space="preserve"> </v>
      </c>
      <c r="I2807" s="43"/>
      <c r="K2807" t="str">
        <f>IFERROR(+VLOOKUP(Movimientos_2026[[#This Row],[Codigo]],Plan_cuentas[],6,FALSE)," ")</f>
        <v xml:space="preserve"> </v>
      </c>
      <c r="L2807" s="50"/>
      <c r="M2807" s="50"/>
      <c r="N2807" s="20">
        <f>+Movimientos_2026[[#This Row],[Ingresos]]-Movimientos_2026[[#This Row],[Egresos]]</f>
        <v>0</v>
      </c>
      <c r="O2807" s="20">
        <f>+O2806+Movimientos_2026[[#This Row],[Neto]]</f>
        <v>4581558617.7962294</v>
      </c>
    </row>
    <row r="2808" spans="1:15" x14ac:dyDescent="0.25">
      <c r="A2808" s="13"/>
      <c r="B2808" s="12">
        <f>MONTH(Movimientos_2026[[#This Row],[Fecha]])</f>
        <v>1</v>
      </c>
      <c r="C2808" s="12" t="str">
        <f>VLOOKUP((WEEKDAY(Movimientos_2026[[#This Row],[Fecha]],2)),'5. Setup'!$D$6:$E$12,2,FALSE)</f>
        <v>Sab</v>
      </c>
      <c r="E2808" t="str">
        <f>IFERROR(+VLOOKUP(Movimientos_2026[[#This Row],[Codigo]],Plan_cuentas[],2,FALSE)," ")</f>
        <v xml:space="preserve"> </v>
      </c>
      <c r="F2808" t="str">
        <f>IFERROR(+VLOOKUP(Movimientos_2026[[#This Row],[Codigo]],Plan_cuentas[],3,FALSE)," ")</f>
        <v xml:space="preserve"> </v>
      </c>
      <c r="G2808" t="str">
        <f>IFERROR(+VLOOKUP(Movimientos_2026[[#This Row],[Codigo]],Plan_cuentas[],4,FALSE)," ")</f>
        <v xml:space="preserve"> </v>
      </c>
      <c r="H2808" t="str">
        <f>IFERROR(+VLOOKUP(Movimientos_2026[[#This Row],[Codigo]],Plan_cuentas[],5,FALSE)," ")</f>
        <v xml:space="preserve"> </v>
      </c>
      <c r="I2808" s="43"/>
      <c r="K2808" t="str">
        <f>IFERROR(+VLOOKUP(Movimientos_2026[[#This Row],[Codigo]],Plan_cuentas[],6,FALSE)," ")</f>
        <v xml:space="preserve"> </v>
      </c>
      <c r="L2808" s="50"/>
      <c r="M2808" s="50"/>
      <c r="N2808" s="20">
        <f>+Movimientos_2026[[#This Row],[Ingresos]]-Movimientos_2026[[#This Row],[Egresos]]</f>
        <v>0</v>
      </c>
      <c r="O2808" s="20">
        <f>+O2807+Movimientos_2026[[#This Row],[Neto]]</f>
        <v>4581558617.7962294</v>
      </c>
    </row>
    <row r="2809" spans="1:15" x14ac:dyDescent="0.25">
      <c r="A2809" s="13"/>
      <c r="B2809" s="12">
        <f>MONTH(Movimientos_2026[[#This Row],[Fecha]])</f>
        <v>1</v>
      </c>
      <c r="C2809" s="12" t="str">
        <f>VLOOKUP((WEEKDAY(Movimientos_2026[[#This Row],[Fecha]],2)),'5. Setup'!$D$6:$E$12,2,FALSE)</f>
        <v>Sab</v>
      </c>
      <c r="E2809" t="str">
        <f>IFERROR(+VLOOKUP(Movimientos_2026[[#This Row],[Codigo]],Plan_cuentas[],2,FALSE)," ")</f>
        <v xml:space="preserve"> </v>
      </c>
      <c r="F2809" t="str">
        <f>IFERROR(+VLOOKUP(Movimientos_2026[[#This Row],[Codigo]],Plan_cuentas[],3,FALSE)," ")</f>
        <v xml:space="preserve"> </v>
      </c>
      <c r="G2809" t="str">
        <f>IFERROR(+VLOOKUP(Movimientos_2026[[#This Row],[Codigo]],Plan_cuentas[],4,FALSE)," ")</f>
        <v xml:space="preserve"> </v>
      </c>
      <c r="H2809" t="str">
        <f>IFERROR(+VLOOKUP(Movimientos_2026[[#This Row],[Codigo]],Plan_cuentas[],5,FALSE)," ")</f>
        <v xml:space="preserve"> </v>
      </c>
      <c r="I2809" s="43"/>
      <c r="K2809" t="str">
        <f>IFERROR(+VLOOKUP(Movimientos_2026[[#This Row],[Codigo]],Plan_cuentas[],6,FALSE)," ")</f>
        <v xml:space="preserve"> </v>
      </c>
      <c r="L2809" s="50"/>
      <c r="M2809" s="50"/>
      <c r="N2809" s="20">
        <f>+Movimientos_2026[[#This Row],[Ingresos]]-Movimientos_2026[[#This Row],[Egresos]]</f>
        <v>0</v>
      </c>
      <c r="O2809" s="20">
        <f>+O2808+Movimientos_2026[[#This Row],[Neto]]</f>
        <v>4581558617.7962294</v>
      </c>
    </row>
    <row r="2810" spans="1:15" x14ac:dyDescent="0.25">
      <c r="A2810" s="13"/>
      <c r="B2810" s="12">
        <f>MONTH(Movimientos_2026[[#This Row],[Fecha]])</f>
        <v>1</v>
      </c>
      <c r="C2810" s="12" t="str">
        <f>VLOOKUP((WEEKDAY(Movimientos_2026[[#This Row],[Fecha]],2)),'5. Setup'!$D$6:$E$12,2,FALSE)</f>
        <v>Sab</v>
      </c>
      <c r="E2810" t="str">
        <f>IFERROR(+VLOOKUP(Movimientos_2026[[#This Row],[Codigo]],Plan_cuentas[],2,FALSE)," ")</f>
        <v xml:space="preserve"> </v>
      </c>
      <c r="F2810" t="str">
        <f>IFERROR(+VLOOKUP(Movimientos_2026[[#This Row],[Codigo]],Plan_cuentas[],3,FALSE)," ")</f>
        <v xml:space="preserve"> </v>
      </c>
      <c r="G2810" t="str">
        <f>IFERROR(+VLOOKUP(Movimientos_2026[[#This Row],[Codigo]],Plan_cuentas[],4,FALSE)," ")</f>
        <v xml:space="preserve"> </v>
      </c>
      <c r="H2810" t="str">
        <f>IFERROR(+VLOOKUP(Movimientos_2026[[#This Row],[Codigo]],Plan_cuentas[],5,FALSE)," ")</f>
        <v xml:space="preserve"> </v>
      </c>
      <c r="I2810" s="43"/>
      <c r="K2810" t="str">
        <f>IFERROR(+VLOOKUP(Movimientos_2026[[#This Row],[Codigo]],Plan_cuentas[],6,FALSE)," ")</f>
        <v xml:space="preserve"> </v>
      </c>
      <c r="L2810" s="50"/>
      <c r="M2810" s="50"/>
      <c r="N2810" s="20">
        <f>+Movimientos_2026[[#This Row],[Ingresos]]-Movimientos_2026[[#This Row],[Egresos]]</f>
        <v>0</v>
      </c>
      <c r="O2810" s="20">
        <f>+O2809+Movimientos_2026[[#This Row],[Neto]]</f>
        <v>4581558617.7962294</v>
      </c>
    </row>
    <row r="2811" spans="1:15" x14ac:dyDescent="0.25">
      <c r="A2811" s="13"/>
      <c r="B2811" s="12">
        <f>MONTH(Movimientos_2026[[#This Row],[Fecha]])</f>
        <v>1</v>
      </c>
      <c r="C2811" s="12" t="str">
        <f>VLOOKUP((WEEKDAY(Movimientos_2026[[#This Row],[Fecha]],2)),'5. Setup'!$D$6:$E$12,2,FALSE)</f>
        <v>Sab</v>
      </c>
      <c r="E2811" t="str">
        <f>IFERROR(+VLOOKUP(Movimientos_2026[[#This Row],[Codigo]],Plan_cuentas[],2,FALSE)," ")</f>
        <v xml:space="preserve"> </v>
      </c>
      <c r="F2811" t="str">
        <f>IFERROR(+VLOOKUP(Movimientos_2026[[#This Row],[Codigo]],Plan_cuentas[],3,FALSE)," ")</f>
        <v xml:space="preserve"> </v>
      </c>
      <c r="G2811" t="str">
        <f>IFERROR(+VLOOKUP(Movimientos_2026[[#This Row],[Codigo]],Plan_cuentas[],4,FALSE)," ")</f>
        <v xml:space="preserve"> </v>
      </c>
      <c r="H2811" t="str">
        <f>IFERROR(+VLOOKUP(Movimientos_2026[[#This Row],[Codigo]],Plan_cuentas[],5,FALSE)," ")</f>
        <v xml:space="preserve"> </v>
      </c>
      <c r="I2811" s="43"/>
      <c r="K2811" t="str">
        <f>IFERROR(+VLOOKUP(Movimientos_2026[[#This Row],[Codigo]],Plan_cuentas[],6,FALSE)," ")</f>
        <v xml:space="preserve"> </v>
      </c>
      <c r="L2811" s="50"/>
      <c r="M2811" s="50"/>
      <c r="N2811" s="20">
        <f>+Movimientos_2026[[#This Row],[Ingresos]]-Movimientos_2026[[#This Row],[Egresos]]</f>
        <v>0</v>
      </c>
      <c r="O2811" s="20">
        <f>+O2810+Movimientos_2026[[#This Row],[Neto]]</f>
        <v>4581558617.7962294</v>
      </c>
    </row>
    <row r="2812" spans="1:15" x14ac:dyDescent="0.25">
      <c r="A2812" s="13"/>
      <c r="B2812" s="12">
        <f>MONTH(Movimientos_2026[[#This Row],[Fecha]])</f>
        <v>1</v>
      </c>
      <c r="C2812" s="12" t="str">
        <f>VLOOKUP((WEEKDAY(Movimientos_2026[[#This Row],[Fecha]],2)),'5. Setup'!$D$6:$E$12,2,FALSE)</f>
        <v>Sab</v>
      </c>
      <c r="E2812" t="str">
        <f>IFERROR(+VLOOKUP(Movimientos_2026[[#This Row],[Codigo]],Plan_cuentas[],2,FALSE)," ")</f>
        <v xml:space="preserve"> </v>
      </c>
      <c r="F2812" t="str">
        <f>IFERROR(+VLOOKUP(Movimientos_2026[[#This Row],[Codigo]],Plan_cuentas[],3,FALSE)," ")</f>
        <v xml:space="preserve"> </v>
      </c>
      <c r="G2812" t="str">
        <f>IFERROR(+VLOOKUP(Movimientos_2026[[#This Row],[Codigo]],Plan_cuentas[],4,FALSE)," ")</f>
        <v xml:space="preserve"> </v>
      </c>
      <c r="H2812" t="str">
        <f>IFERROR(+VLOOKUP(Movimientos_2026[[#This Row],[Codigo]],Plan_cuentas[],5,FALSE)," ")</f>
        <v xml:space="preserve"> </v>
      </c>
      <c r="I2812" s="43"/>
      <c r="K2812" t="str">
        <f>IFERROR(+VLOOKUP(Movimientos_2026[[#This Row],[Codigo]],Plan_cuentas[],6,FALSE)," ")</f>
        <v xml:space="preserve"> </v>
      </c>
      <c r="L2812" s="50"/>
      <c r="M2812" s="50"/>
      <c r="N2812" s="20">
        <f>+Movimientos_2026[[#This Row],[Ingresos]]-Movimientos_2026[[#This Row],[Egresos]]</f>
        <v>0</v>
      </c>
      <c r="O2812" s="20">
        <f>+O2811+Movimientos_2026[[#This Row],[Neto]]</f>
        <v>4581558617.7962294</v>
      </c>
    </row>
    <row r="2813" spans="1:15" x14ac:dyDescent="0.25">
      <c r="A2813" s="13"/>
      <c r="B2813" s="12">
        <f>MONTH(Movimientos_2026[[#This Row],[Fecha]])</f>
        <v>1</v>
      </c>
      <c r="C2813" s="12" t="str">
        <f>VLOOKUP((WEEKDAY(Movimientos_2026[[#This Row],[Fecha]],2)),'5. Setup'!$D$6:$E$12,2,FALSE)</f>
        <v>Sab</v>
      </c>
      <c r="E2813" t="str">
        <f>IFERROR(+VLOOKUP(Movimientos_2026[[#This Row],[Codigo]],Plan_cuentas[],2,FALSE)," ")</f>
        <v xml:space="preserve"> </v>
      </c>
      <c r="F2813" t="str">
        <f>IFERROR(+VLOOKUP(Movimientos_2026[[#This Row],[Codigo]],Plan_cuentas[],3,FALSE)," ")</f>
        <v xml:space="preserve"> </v>
      </c>
      <c r="G2813" t="str">
        <f>IFERROR(+VLOOKUP(Movimientos_2026[[#This Row],[Codigo]],Plan_cuentas[],4,FALSE)," ")</f>
        <v xml:space="preserve"> </v>
      </c>
      <c r="H2813" t="str">
        <f>IFERROR(+VLOOKUP(Movimientos_2026[[#This Row],[Codigo]],Plan_cuentas[],5,FALSE)," ")</f>
        <v xml:space="preserve"> </v>
      </c>
      <c r="I2813" s="43"/>
      <c r="K2813" t="str">
        <f>IFERROR(+VLOOKUP(Movimientos_2026[[#This Row],[Codigo]],Plan_cuentas[],6,FALSE)," ")</f>
        <v xml:space="preserve"> </v>
      </c>
      <c r="L2813" s="50"/>
      <c r="M2813" s="50"/>
      <c r="N2813" s="20">
        <f>+Movimientos_2026[[#This Row],[Ingresos]]-Movimientos_2026[[#This Row],[Egresos]]</f>
        <v>0</v>
      </c>
      <c r="O2813" s="20">
        <f>+O2812+Movimientos_2026[[#This Row],[Neto]]</f>
        <v>4581558617.7962294</v>
      </c>
    </row>
    <row r="2814" spans="1:15" x14ac:dyDescent="0.25">
      <c r="A2814" s="13"/>
      <c r="B2814" s="12">
        <f>MONTH(Movimientos_2026[[#This Row],[Fecha]])</f>
        <v>1</v>
      </c>
      <c r="C2814" s="12" t="str">
        <f>VLOOKUP((WEEKDAY(Movimientos_2026[[#This Row],[Fecha]],2)),'5. Setup'!$D$6:$E$12,2,FALSE)</f>
        <v>Sab</v>
      </c>
      <c r="E2814" t="str">
        <f>IFERROR(+VLOOKUP(Movimientos_2026[[#This Row],[Codigo]],Plan_cuentas[],2,FALSE)," ")</f>
        <v xml:space="preserve"> </v>
      </c>
      <c r="F2814" t="str">
        <f>IFERROR(+VLOOKUP(Movimientos_2026[[#This Row],[Codigo]],Plan_cuentas[],3,FALSE)," ")</f>
        <v xml:space="preserve"> </v>
      </c>
      <c r="G2814" t="str">
        <f>IFERROR(+VLOOKUP(Movimientos_2026[[#This Row],[Codigo]],Plan_cuentas[],4,FALSE)," ")</f>
        <v xml:space="preserve"> </v>
      </c>
      <c r="H2814" t="str">
        <f>IFERROR(+VLOOKUP(Movimientos_2026[[#This Row],[Codigo]],Plan_cuentas[],5,FALSE)," ")</f>
        <v xml:space="preserve"> </v>
      </c>
      <c r="I2814" s="43"/>
      <c r="K2814" t="str">
        <f>IFERROR(+VLOOKUP(Movimientos_2026[[#This Row],[Codigo]],Plan_cuentas[],6,FALSE)," ")</f>
        <v xml:space="preserve"> </v>
      </c>
      <c r="L2814" s="50"/>
      <c r="M2814" s="50"/>
      <c r="N2814" s="20">
        <f>+Movimientos_2026[[#This Row],[Ingresos]]-Movimientos_2026[[#This Row],[Egresos]]</f>
        <v>0</v>
      </c>
      <c r="O2814" s="20">
        <f>+O2813+Movimientos_2026[[#This Row],[Neto]]</f>
        <v>4581558617.7962294</v>
      </c>
    </row>
    <row r="2815" spans="1:15" x14ac:dyDescent="0.25">
      <c r="A2815" s="13"/>
      <c r="B2815" s="12">
        <f>MONTH(Movimientos_2026[[#This Row],[Fecha]])</f>
        <v>1</v>
      </c>
      <c r="C2815" s="12" t="str">
        <f>VLOOKUP((WEEKDAY(Movimientos_2026[[#This Row],[Fecha]],2)),'5. Setup'!$D$6:$E$12,2,FALSE)</f>
        <v>Sab</v>
      </c>
      <c r="E2815" t="str">
        <f>IFERROR(+VLOOKUP(Movimientos_2026[[#This Row],[Codigo]],Plan_cuentas[],2,FALSE)," ")</f>
        <v xml:space="preserve"> </v>
      </c>
      <c r="F2815" t="str">
        <f>IFERROR(+VLOOKUP(Movimientos_2026[[#This Row],[Codigo]],Plan_cuentas[],3,FALSE)," ")</f>
        <v xml:space="preserve"> </v>
      </c>
      <c r="G2815" t="str">
        <f>IFERROR(+VLOOKUP(Movimientos_2026[[#This Row],[Codigo]],Plan_cuentas[],4,FALSE)," ")</f>
        <v xml:space="preserve"> </v>
      </c>
      <c r="H2815" t="str">
        <f>IFERROR(+VLOOKUP(Movimientos_2026[[#This Row],[Codigo]],Plan_cuentas[],5,FALSE)," ")</f>
        <v xml:space="preserve"> </v>
      </c>
      <c r="I2815" s="43"/>
      <c r="K2815" t="str">
        <f>IFERROR(+VLOOKUP(Movimientos_2026[[#This Row],[Codigo]],Plan_cuentas[],6,FALSE)," ")</f>
        <v xml:space="preserve"> </v>
      </c>
      <c r="L2815" s="50"/>
      <c r="M2815" s="50"/>
      <c r="N2815" s="20">
        <f>+Movimientos_2026[[#This Row],[Ingresos]]-Movimientos_2026[[#This Row],[Egresos]]</f>
        <v>0</v>
      </c>
      <c r="O2815" s="20">
        <f>+O2814+Movimientos_2026[[#This Row],[Neto]]</f>
        <v>4581558617.7962294</v>
      </c>
    </row>
    <row r="2816" spans="1:15" x14ac:dyDescent="0.25">
      <c r="A2816" s="13"/>
      <c r="B2816" s="12">
        <f>MONTH(Movimientos_2026[[#This Row],[Fecha]])</f>
        <v>1</v>
      </c>
      <c r="C2816" s="12" t="str">
        <f>VLOOKUP((WEEKDAY(Movimientos_2026[[#This Row],[Fecha]],2)),'5. Setup'!$D$6:$E$12,2,FALSE)</f>
        <v>Sab</v>
      </c>
      <c r="E2816" t="str">
        <f>IFERROR(+VLOOKUP(Movimientos_2026[[#This Row],[Codigo]],Plan_cuentas[],2,FALSE)," ")</f>
        <v xml:space="preserve"> </v>
      </c>
      <c r="F2816" t="str">
        <f>IFERROR(+VLOOKUP(Movimientos_2026[[#This Row],[Codigo]],Plan_cuentas[],3,FALSE)," ")</f>
        <v xml:space="preserve"> </v>
      </c>
      <c r="G2816" t="str">
        <f>IFERROR(+VLOOKUP(Movimientos_2026[[#This Row],[Codigo]],Plan_cuentas[],4,FALSE)," ")</f>
        <v xml:space="preserve"> </v>
      </c>
      <c r="H2816" t="str">
        <f>IFERROR(+VLOOKUP(Movimientos_2026[[#This Row],[Codigo]],Plan_cuentas[],5,FALSE)," ")</f>
        <v xml:space="preserve"> </v>
      </c>
      <c r="I2816" s="43"/>
      <c r="K2816" t="str">
        <f>IFERROR(+VLOOKUP(Movimientos_2026[[#This Row],[Codigo]],Plan_cuentas[],6,FALSE)," ")</f>
        <v xml:space="preserve"> </v>
      </c>
      <c r="L2816" s="50"/>
      <c r="M2816" s="50"/>
      <c r="N2816" s="20">
        <f>+Movimientos_2026[[#This Row],[Ingresos]]-Movimientos_2026[[#This Row],[Egresos]]</f>
        <v>0</v>
      </c>
      <c r="O2816" s="20">
        <f>+O2815+Movimientos_2026[[#This Row],[Neto]]</f>
        <v>4581558617.7962294</v>
      </c>
    </row>
    <row r="2817" spans="1:15" x14ac:dyDescent="0.25">
      <c r="A2817" s="13"/>
      <c r="B2817" s="12">
        <f>MONTH(Movimientos_2026[[#This Row],[Fecha]])</f>
        <v>1</v>
      </c>
      <c r="C2817" s="12" t="str">
        <f>VLOOKUP((WEEKDAY(Movimientos_2026[[#This Row],[Fecha]],2)),'5. Setup'!$D$6:$E$12,2,FALSE)</f>
        <v>Sab</v>
      </c>
      <c r="E2817" t="str">
        <f>IFERROR(+VLOOKUP(Movimientos_2026[[#This Row],[Codigo]],Plan_cuentas[],2,FALSE)," ")</f>
        <v xml:space="preserve"> </v>
      </c>
      <c r="F2817" t="str">
        <f>IFERROR(+VLOOKUP(Movimientos_2026[[#This Row],[Codigo]],Plan_cuentas[],3,FALSE)," ")</f>
        <v xml:space="preserve"> </v>
      </c>
      <c r="G2817" t="str">
        <f>IFERROR(+VLOOKUP(Movimientos_2026[[#This Row],[Codigo]],Plan_cuentas[],4,FALSE)," ")</f>
        <v xml:space="preserve"> </v>
      </c>
      <c r="H2817" t="str">
        <f>IFERROR(+VLOOKUP(Movimientos_2026[[#This Row],[Codigo]],Plan_cuentas[],5,FALSE)," ")</f>
        <v xml:space="preserve"> </v>
      </c>
      <c r="I2817" s="43"/>
      <c r="K2817" t="str">
        <f>IFERROR(+VLOOKUP(Movimientos_2026[[#This Row],[Codigo]],Plan_cuentas[],6,FALSE)," ")</f>
        <v xml:space="preserve"> </v>
      </c>
      <c r="L2817" s="50"/>
      <c r="M2817" s="50"/>
      <c r="N2817" s="20">
        <f>+Movimientos_2026[[#This Row],[Ingresos]]-Movimientos_2026[[#This Row],[Egresos]]</f>
        <v>0</v>
      </c>
      <c r="O2817" s="20">
        <f>+O2816+Movimientos_2026[[#This Row],[Neto]]</f>
        <v>4581558617.7962294</v>
      </c>
    </row>
    <row r="2818" spans="1:15" x14ac:dyDescent="0.25">
      <c r="A2818" s="13"/>
      <c r="B2818" s="12">
        <f>MONTH(Movimientos_2026[[#This Row],[Fecha]])</f>
        <v>1</v>
      </c>
      <c r="C2818" s="12" t="str">
        <f>VLOOKUP((WEEKDAY(Movimientos_2026[[#This Row],[Fecha]],2)),'5. Setup'!$D$6:$E$12,2,FALSE)</f>
        <v>Sab</v>
      </c>
      <c r="E2818" t="str">
        <f>IFERROR(+VLOOKUP(Movimientos_2026[[#This Row],[Codigo]],Plan_cuentas[],2,FALSE)," ")</f>
        <v xml:space="preserve"> </v>
      </c>
      <c r="F2818" t="str">
        <f>IFERROR(+VLOOKUP(Movimientos_2026[[#This Row],[Codigo]],Plan_cuentas[],3,FALSE)," ")</f>
        <v xml:space="preserve"> </v>
      </c>
      <c r="G2818" t="str">
        <f>IFERROR(+VLOOKUP(Movimientos_2026[[#This Row],[Codigo]],Plan_cuentas[],4,FALSE)," ")</f>
        <v xml:space="preserve"> </v>
      </c>
      <c r="H2818" t="str">
        <f>IFERROR(+VLOOKUP(Movimientos_2026[[#This Row],[Codigo]],Plan_cuentas[],5,FALSE)," ")</f>
        <v xml:space="preserve"> </v>
      </c>
      <c r="I2818" s="43"/>
      <c r="K2818" t="str">
        <f>IFERROR(+VLOOKUP(Movimientos_2026[[#This Row],[Codigo]],Plan_cuentas[],6,FALSE)," ")</f>
        <v xml:space="preserve"> </v>
      </c>
      <c r="L2818" s="50"/>
      <c r="M2818" s="50"/>
      <c r="N2818" s="20">
        <f>+Movimientos_2026[[#This Row],[Ingresos]]-Movimientos_2026[[#This Row],[Egresos]]</f>
        <v>0</v>
      </c>
      <c r="O2818" s="20">
        <f>+O2817+Movimientos_2026[[#This Row],[Neto]]</f>
        <v>4581558617.7962294</v>
      </c>
    </row>
    <row r="2819" spans="1:15" x14ac:dyDescent="0.25">
      <c r="A2819" s="13"/>
      <c r="B2819" s="12">
        <f>MONTH(Movimientos_2026[[#This Row],[Fecha]])</f>
        <v>1</v>
      </c>
      <c r="C2819" s="12" t="str">
        <f>VLOOKUP((WEEKDAY(Movimientos_2026[[#This Row],[Fecha]],2)),'5. Setup'!$D$6:$E$12,2,FALSE)</f>
        <v>Sab</v>
      </c>
      <c r="E2819" t="str">
        <f>IFERROR(+VLOOKUP(Movimientos_2026[[#This Row],[Codigo]],Plan_cuentas[],2,FALSE)," ")</f>
        <v xml:space="preserve"> </v>
      </c>
      <c r="F2819" t="str">
        <f>IFERROR(+VLOOKUP(Movimientos_2026[[#This Row],[Codigo]],Plan_cuentas[],3,FALSE)," ")</f>
        <v xml:space="preserve"> </v>
      </c>
      <c r="G2819" t="str">
        <f>IFERROR(+VLOOKUP(Movimientos_2026[[#This Row],[Codigo]],Plan_cuentas[],4,FALSE)," ")</f>
        <v xml:space="preserve"> </v>
      </c>
      <c r="H2819" t="str">
        <f>IFERROR(+VLOOKUP(Movimientos_2026[[#This Row],[Codigo]],Plan_cuentas[],5,FALSE)," ")</f>
        <v xml:space="preserve"> </v>
      </c>
      <c r="I2819" s="43"/>
      <c r="K2819" t="str">
        <f>IFERROR(+VLOOKUP(Movimientos_2026[[#This Row],[Codigo]],Plan_cuentas[],6,FALSE)," ")</f>
        <v xml:space="preserve"> </v>
      </c>
      <c r="L2819" s="50"/>
      <c r="M2819" s="50"/>
      <c r="N2819" s="20">
        <f>+Movimientos_2026[[#This Row],[Ingresos]]-Movimientos_2026[[#This Row],[Egresos]]</f>
        <v>0</v>
      </c>
      <c r="O2819" s="20">
        <f>+O2818+Movimientos_2026[[#This Row],[Neto]]</f>
        <v>4581558617.7962294</v>
      </c>
    </row>
    <row r="2820" spans="1:15" x14ac:dyDescent="0.25">
      <c r="A2820" s="13"/>
      <c r="B2820" s="12">
        <f>MONTH(Movimientos_2026[[#This Row],[Fecha]])</f>
        <v>1</v>
      </c>
      <c r="C2820" s="12" t="str">
        <f>VLOOKUP((WEEKDAY(Movimientos_2026[[#This Row],[Fecha]],2)),'5. Setup'!$D$6:$E$12,2,FALSE)</f>
        <v>Sab</v>
      </c>
      <c r="E2820" t="str">
        <f>IFERROR(+VLOOKUP(Movimientos_2026[[#This Row],[Codigo]],Plan_cuentas[],2,FALSE)," ")</f>
        <v xml:space="preserve"> </v>
      </c>
      <c r="F2820" t="str">
        <f>IFERROR(+VLOOKUP(Movimientos_2026[[#This Row],[Codigo]],Plan_cuentas[],3,FALSE)," ")</f>
        <v xml:space="preserve"> </v>
      </c>
      <c r="G2820" t="str">
        <f>IFERROR(+VLOOKUP(Movimientos_2026[[#This Row],[Codigo]],Plan_cuentas[],4,FALSE)," ")</f>
        <v xml:space="preserve"> </v>
      </c>
      <c r="H2820" t="str">
        <f>IFERROR(+VLOOKUP(Movimientos_2026[[#This Row],[Codigo]],Plan_cuentas[],5,FALSE)," ")</f>
        <v xml:space="preserve"> </v>
      </c>
      <c r="I2820" s="43"/>
      <c r="K2820" t="str">
        <f>IFERROR(+VLOOKUP(Movimientos_2026[[#This Row],[Codigo]],Plan_cuentas[],6,FALSE)," ")</f>
        <v xml:space="preserve"> </v>
      </c>
      <c r="L2820" s="50"/>
      <c r="M2820" s="50"/>
      <c r="N2820" s="20">
        <f>+Movimientos_2026[[#This Row],[Ingresos]]-Movimientos_2026[[#This Row],[Egresos]]</f>
        <v>0</v>
      </c>
      <c r="O2820" s="20">
        <f>+O2819+Movimientos_2026[[#This Row],[Neto]]</f>
        <v>4581558617.7962294</v>
      </c>
    </row>
    <row r="2821" spans="1:15" x14ac:dyDescent="0.25">
      <c r="A2821" s="13"/>
      <c r="B2821" s="12">
        <f>MONTH(Movimientos_2026[[#This Row],[Fecha]])</f>
        <v>1</v>
      </c>
      <c r="C2821" s="12" t="str">
        <f>VLOOKUP((WEEKDAY(Movimientos_2026[[#This Row],[Fecha]],2)),'5. Setup'!$D$6:$E$12,2,FALSE)</f>
        <v>Sab</v>
      </c>
      <c r="E2821" t="str">
        <f>IFERROR(+VLOOKUP(Movimientos_2026[[#This Row],[Codigo]],Plan_cuentas[],2,FALSE)," ")</f>
        <v xml:space="preserve"> </v>
      </c>
      <c r="F2821" t="str">
        <f>IFERROR(+VLOOKUP(Movimientos_2026[[#This Row],[Codigo]],Plan_cuentas[],3,FALSE)," ")</f>
        <v xml:space="preserve"> </v>
      </c>
      <c r="G2821" t="str">
        <f>IFERROR(+VLOOKUP(Movimientos_2026[[#This Row],[Codigo]],Plan_cuentas[],4,FALSE)," ")</f>
        <v xml:space="preserve"> </v>
      </c>
      <c r="H2821" t="str">
        <f>IFERROR(+VLOOKUP(Movimientos_2026[[#This Row],[Codigo]],Plan_cuentas[],5,FALSE)," ")</f>
        <v xml:space="preserve"> </v>
      </c>
      <c r="I2821" s="43"/>
      <c r="K2821" t="str">
        <f>IFERROR(+VLOOKUP(Movimientos_2026[[#This Row],[Codigo]],Plan_cuentas[],6,FALSE)," ")</f>
        <v xml:space="preserve"> </v>
      </c>
      <c r="L2821" s="50"/>
      <c r="M2821" s="50"/>
      <c r="N2821" s="20">
        <f>+Movimientos_2026[[#This Row],[Ingresos]]-Movimientos_2026[[#This Row],[Egresos]]</f>
        <v>0</v>
      </c>
      <c r="O2821" s="20">
        <f>+O2820+Movimientos_2026[[#This Row],[Neto]]</f>
        <v>4581558617.7962294</v>
      </c>
    </row>
    <row r="2822" spans="1:15" x14ac:dyDescent="0.25">
      <c r="A2822" s="13"/>
      <c r="B2822" s="12">
        <f>MONTH(Movimientos_2026[[#This Row],[Fecha]])</f>
        <v>1</v>
      </c>
      <c r="C2822" s="12" t="str">
        <f>VLOOKUP((WEEKDAY(Movimientos_2026[[#This Row],[Fecha]],2)),'5. Setup'!$D$6:$E$12,2,FALSE)</f>
        <v>Sab</v>
      </c>
      <c r="E2822" t="str">
        <f>IFERROR(+VLOOKUP(Movimientos_2026[[#This Row],[Codigo]],Plan_cuentas[],2,FALSE)," ")</f>
        <v xml:space="preserve"> </v>
      </c>
      <c r="F2822" t="str">
        <f>IFERROR(+VLOOKUP(Movimientos_2026[[#This Row],[Codigo]],Plan_cuentas[],3,FALSE)," ")</f>
        <v xml:space="preserve"> </v>
      </c>
      <c r="G2822" t="str">
        <f>IFERROR(+VLOOKUP(Movimientos_2026[[#This Row],[Codigo]],Plan_cuentas[],4,FALSE)," ")</f>
        <v xml:space="preserve"> </v>
      </c>
      <c r="H2822" t="str">
        <f>IFERROR(+VLOOKUP(Movimientos_2026[[#This Row],[Codigo]],Plan_cuentas[],5,FALSE)," ")</f>
        <v xml:space="preserve"> </v>
      </c>
      <c r="I2822" s="43"/>
      <c r="K2822" t="str">
        <f>IFERROR(+VLOOKUP(Movimientos_2026[[#This Row],[Codigo]],Plan_cuentas[],6,FALSE)," ")</f>
        <v xml:space="preserve"> </v>
      </c>
      <c r="L2822" s="50"/>
      <c r="M2822" s="50"/>
      <c r="N2822" s="20">
        <f>+Movimientos_2026[[#This Row],[Ingresos]]-Movimientos_2026[[#This Row],[Egresos]]</f>
        <v>0</v>
      </c>
      <c r="O2822" s="20">
        <f>+O2821+Movimientos_2026[[#This Row],[Neto]]</f>
        <v>4581558617.7962294</v>
      </c>
    </row>
    <row r="2823" spans="1:15" x14ac:dyDescent="0.25">
      <c r="A2823" s="13"/>
      <c r="B2823" s="12">
        <f>MONTH(Movimientos_2026[[#This Row],[Fecha]])</f>
        <v>1</v>
      </c>
      <c r="C2823" s="12" t="str">
        <f>VLOOKUP((WEEKDAY(Movimientos_2026[[#This Row],[Fecha]],2)),'5. Setup'!$D$6:$E$12,2,FALSE)</f>
        <v>Sab</v>
      </c>
      <c r="E2823" t="str">
        <f>IFERROR(+VLOOKUP(Movimientos_2026[[#This Row],[Codigo]],Plan_cuentas[],2,FALSE)," ")</f>
        <v xml:space="preserve"> </v>
      </c>
      <c r="F2823" t="str">
        <f>IFERROR(+VLOOKUP(Movimientos_2026[[#This Row],[Codigo]],Plan_cuentas[],3,FALSE)," ")</f>
        <v xml:space="preserve"> </v>
      </c>
      <c r="G2823" t="str">
        <f>IFERROR(+VLOOKUP(Movimientos_2026[[#This Row],[Codigo]],Plan_cuentas[],4,FALSE)," ")</f>
        <v xml:space="preserve"> </v>
      </c>
      <c r="H2823" t="str">
        <f>IFERROR(+VLOOKUP(Movimientos_2026[[#This Row],[Codigo]],Plan_cuentas[],5,FALSE)," ")</f>
        <v xml:space="preserve"> </v>
      </c>
      <c r="I2823" s="43"/>
      <c r="K2823" t="str">
        <f>IFERROR(+VLOOKUP(Movimientos_2026[[#This Row],[Codigo]],Plan_cuentas[],6,FALSE)," ")</f>
        <v xml:space="preserve"> </v>
      </c>
      <c r="L2823" s="50"/>
      <c r="M2823" s="50"/>
      <c r="N2823" s="20">
        <f>+Movimientos_2026[[#This Row],[Ingresos]]-Movimientos_2026[[#This Row],[Egresos]]</f>
        <v>0</v>
      </c>
      <c r="O2823" s="20">
        <f>+O2822+Movimientos_2026[[#This Row],[Neto]]</f>
        <v>4581558617.7962294</v>
      </c>
    </row>
    <row r="2824" spans="1:15" x14ac:dyDescent="0.25">
      <c r="A2824" s="13"/>
      <c r="B2824" s="12">
        <f>MONTH(Movimientos_2026[[#This Row],[Fecha]])</f>
        <v>1</v>
      </c>
      <c r="C2824" s="12" t="str">
        <f>VLOOKUP((WEEKDAY(Movimientos_2026[[#This Row],[Fecha]],2)),'5. Setup'!$D$6:$E$12,2,FALSE)</f>
        <v>Sab</v>
      </c>
      <c r="E2824" t="str">
        <f>IFERROR(+VLOOKUP(Movimientos_2026[[#This Row],[Codigo]],Plan_cuentas[],2,FALSE)," ")</f>
        <v xml:space="preserve"> </v>
      </c>
      <c r="F2824" t="str">
        <f>IFERROR(+VLOOKUP(Movimientos_2026[[#This Row],[Codigo]],Plan_cuentas[],3,FALSE)," ")</f>
        <v xml:space="preserve"> </v>
      </c>
      <c r="G2824" t="str">
        <f>IFERROR(+VLOOKUP(Movimientos_2026[[#This Row],[Codigo]],Plan_cuentas[],4,FALSE)," ")</f>
        <v xml:space="preserve"> </v>
      </c>
      <c r="H2824" t="str">
        <f>IFERROR(+VLOOKUP(Movimientos_2026[[#This Row],[Codigo]],Plan_cuentas[],5,FALSE)," ")</f>
        <v xml:space="preserve"> </v>
      </c>
      <c r="I2824" s="43"/>
      <c r="K2824" t="str">
        <f>IFERROR(+VLOOKUP(Movimientos_2026[[#This Row],[Codigo]],Plan_cuentas[],6,FALSE)," ")</f>
        <v xml:space="preserve"> </v>
      </c>
      <c r="L2824" s="50"/>
      <c r="M2824" s="50"/>
      <c r="N2824" s="20">
        <f>+Movimientos_2026[[#This Row],[Ingresos]]-Movimientos_2026[[#This Row],[Egresos]]</f>
        <v>0</v>
      </c>
      <c r="O2824" s="20">
        <f>+O2823+Movimientos_2026[[#This Row],[Neto]]</f>
        <v>4581558617.7962294</v>
      </c>
    </row>
    <row r="2825" spans="1:15" x14ac:dyDescent="0.25">
      <c r="A2825" s="13"/>
      <c r="B2825" s="12">
        <f>MONTH(Movimientos_2026[[#This Row],[Fecha]])</f>
        <v>1</v>
      </c>
      <c r="C2825" s="12" t="str">
        <f>VLOOKUP((WEEKDAY(Movimientos_2026[[#This Row],[Fecha]],2)),'5. Setup'!$D$6:$E$12,2,FALSE)</f>
        <v>Sab</v>
      </c>
      <c r="E2825" t="str">
        <f>IFERROR(+VLOOKUP(Movimientos_2026[[#This Row],[Codigo]],Plan_cuentas[],2,FALSE)," ")</f>
        <v xml:space="preserve"> </v>
      </c>
      <c r="F2825" t="str">
        <f>IFERROR(+VLOOKUP(Movimientos_2026[[#This Row],[Codigo]],Plan_cuentas[],3,FALSE)," ")</f>
        <v xml:space="preserve"> </v>
      </c>
      <c r="G2825" t="str">
        <f>IFERROR(+VLOOKUP(Movimientos_2026[[#This Row],[Codigo]],Plan_cuentas[],4,FALSE)," ")</f>
        <v xml:space="preserve"> </v>
      </c>
      <c r="H2825" t="str">
        <f>IFERROR(+VLOOKUP(Movimientos_2026[[#This Row],[Codigo]],Plan_cuentas[],5,FALSE)," ")</f>
        <v xml:space="preserve"> </v>
      </c>
      <c r="I2825" s="43"/>
      <c r="K2825" t="str">
        <f>IFERROR(+VLOOKUP(Movimientos_2026[[#This Row],[Codigo]],Plan_cuentas[],6,FALSE)," ")</f>
        <v xml:space="preserve"> </v>
      </c>
      <c r="L2825" s="50"/>
      <c r="M2825" s="50"/>
      <c r="N2825" s="20">
        <f>+Movimientos_2026[[#This Row],[Ingresos]]-Movimientos_2026[[#This Row],[Egresos]]</f>
        <v>0</v>
      </c>
      <c r="O2825" s="20">
        <f>+O2824+Movimientos_2026[[#This Row],[Neto]]</f>
        <v>4581558617.7962294</v>
      </c>
    </row>
    <row r="2826" spans="1:15" x14ac:dyDescent="0.25">
      <c r="A2826" s="13"/>
      <c r="B2826" s="12">
        <f>MONTH(Movimientos_2026[[#This Row],[Fecha]])</f>
        <v>1</v>
      </c>
      <c r="C2826" s="12" t="str">
        <f>VLOOKUP((WEEKDAY(Movimientos_2026[[#This Row],[Fecha]],2)),'5. Setup'!$D$6:$E$12,2,FALSE)</f>
        <v>Sab</v>
      </c>
      <c r="E2826" t="str">
        <f>IFERROR(+VLOOKUP(Movimientos_2026[[#This Row],[Codigo]],Plan_cuentas[],2,FALSE)," ")</f>
        <v xml:space="preserve"> </v>
      </c>
      <c r="F2826" t="str">
        <f>IFERROR(+VLOOKUP(Movimientos_2026[[#This Row],[Codigo]],Plan_cuentas[],3,FALSE)," ")</f>
        <v xml:space="preserve"> </v>
      </c>
      <c r="G2826" t="str">
        <f>IFERROR(+VLOOKUP(Movimientos_2026[[#This Row],[Codigo]],Plan_cuentas[],4,FALSE)," ")</f>
        <v xml:space="preserve"> </v>
      </c>
      <c r="H2826" t="str">
        <f>IFERROR(+VLOOKUP(Movimientos_2026[[#This Row],[Codigo]],Plan_cuentas[],5,FALSE)," ")</f>
        <v xml:space="preserve"> </v>
      </c>
      <c r="I2826" s="43"/>
      <c r="K2826" t="str">
        <f>IFERROR(+VLOOKUP(Movimientos_2026[[#This Row],[Codigo]],Plan_cuentas[],6,FALSE)," ")</f>
        <v xml:space="preserve"> </v>
      </c>
      <c r="L2826" s="50"/>
      <c r="M2826" s="50"/>
      <c r="N2826" s="20">
        <f>+Movimientos_2026[[#This Row],[Ingresos]]-Movimientos_2026[[#This Row],[Egresos]]</f>
        <v>0</v>
      </c>
      <c r="O2826" s="20">
        <f>+O2825+Movimientos_2026[[#This Row],[Neto]]</f>
        <v>4581558617.7962294</v>
      </c>
    </row>
    <row r="2827" spans="1:15" x14ac:dyDescent="0.25">
      <c r="A2827" s="13"/>
      <c r="B2827" s="12">
        <f>MONTH(Movimientos_2026[[#This Row],[Fecha]])</f>
        <v>1</v>
      </c>
      <c r="C2827" s="12" t="str">
        <f>VLOOKUP((WEEKDAY(Movimientos_2026[[#This Row],[Fecha]],2)),'5. Setup'!$D$6:$E$12,2,FALSE)</f>
        <v>Sab</v>
      </c>
      <c r="E2827" t="str">
        <f>IFERROR(+VLOOKUP(Movimientos_2026[[#This Row],[Codigo]],Plan_cuentas[],2,FALSE)," ")</f>
        <v xml:space="preserve"> </v>
      </c>
      <c r="F2827" t="str">
        <f>IFERROR(+VLOOKUP(Movimientos_2026[[#This Row],[Codigo]],Plan_cuentas[],3,FALSE)," ")</f>
        <v xml:space="preserve"> </v>
      </c>
      <c r="G2827" t="str">
        <f>IFERROR(+VLOOKUP(Movimientos_2026[[#This Row],[Codigo]],Plan_cuentas[],4,FALSE)," ")</f>
        <v xml:space="preserve"> </v>
      </c>
      <c r="H2827" t="str">
        <f>IFERROR(+VLOOKUP(Movimientos_2026[[#This Row],[Codigo]],Plan_cuentas[],5,FALSE)," ")</f>
        <v xml:space="preserve"> </v>
      </c>
      <c r="I2827" s="43"/>
      <c r="K2827" t="str">
        <f>IFERROR(+VLOOKUP(Movimientos_2026[[#This Row],[Codigo]],Plan_cuentas[],6,FALSE)," ")</f>
        <v xml:space="preserve"> </v>
      </c>
      <c r="L2827" s="50"/>
      <c r="M2827" s="50"/>
      <c r="N2827" s="20">
        <f>+Movimientos_2026[[#This Row],[Ingresos]]-Movimientos_2026[[#This Row],[Egresos]]</f>
        <v>0</v>
      </c>
      <c r="O2827" s="20">
        <f>+O2826+Movimientos_2026[[#This Row],[Neto]]</f>
        <v>4581558617.7962294</v>
      </c>
    </row>
    <row r="2828" spans="1:15" x14ac:dyDescent="0.25">
      <c r="A2828" s="13"/>
      <c r="B2828" s="12">
        <f>MONTH(Movimientos_2026[[#This Row],[Fecha]])</f>
        <v>1</v>
      </c>
      <c r="C2828" s="12" t="str">
        <f>VLOOKUP((WEEKDAY(Movimientos_2026[[#This Row],[Fecha]],2)),'5. Setup'!$D$6:$E$12,2,FALSE)</f>
        <v>Sab</v>
      </c>
      <c r="E2828" t="str">
        <f>IFERROR(+VLOOKUP(Movimientos_2026[[#This Row],[Codigo]],Plan_cuentas[],2,FALSE)," ")</f>
        <v xml:space="preserve"> </v>
      </c>
      <c r="F2828" t="str">
        <f>IFERROR(+VLOOKUP(Movimientos_2026[[#This Row],[Codigo]],Plan_cuentas[],3,FALSE)," ")</f>
        <v xml:space="preserve"> </v>
      </c>
      <c r="G2828" t="str">
        <f>IFERROR(+VLOOKUP(Movimientos_2026[[#This Row],[Codigo]],Plan_cuentas[],4,FALSE)," ")</f>
        <v xml:space="preserve"> </v>
      </c>
      <c r="H2828" t="str">
        <f>IFERROR(+VLOOKUP(Movimientos_2026[[#This Row],[Codigo]],Plan_cuentas[],5,FALSE)," ")</f>
        <v xml:space="preserve"> </v>
      </c>
      <c r="I2828" s="43"/>
      <c r="K2828" t="str">
        <f>IFERROR(+VLOOKUP(Movimientos_2026[[#This Row],[Codigo]],Plan_cuentas[],6,FALSE)," ")</f>
        <v xml:space="preserve"> </v>
      </c>
      <c r="L2828" s="50"/>
      <c r="M2828" s="50"/>
      <c r="N2828" s="20">
        <f>+Movimientos_2026[[#This Row],[Ingresos]]-Movimientos_2026[[#This Row],[Egresos]]</f>
        <v>0</v>
      </c>
      <c r="O2828" s="20">
        <f>+O2827+Movimientos_2026[[#This Row],[Neto]]</f>
        <v>4581558617.7962294</v>
      </c>
    </row>
    <row r="2829" spans="1:15" x14ac:dyDescent="0.25">
      <c r="A2829" s="13"/>
      <c r="B2829" s="12">
        <f>MONTH(Movimientos_2026[[#This Row],[Fecha]])</f>
        <v>1</v>
      </c>
      <c r="C2829" s="12" t="str">
        <f>VLOOKUP((WEEKDAY(Movimientos_2026[[#This Row],[Fecha]],2)),'5. Setup'!$D$6:$E$12,2,FALSE)</f>
        <v>Sab</v>
      </c>
      <c r="E2829" t="str">
        <f>IFERROR(+VLOOKUP(Movimientos_2026[[#This Row],[Codigo]],Plan_cuentas[],2,FALSE)," ")</f>
        <v xml:space="preserve"> </v>
      </c>
      <c r="F2829" t="str">
        <f>IFERROR(+VLOOKUP(Movimientos_2026[[#This Row],[Codigo]],Plan_cuentas[],3,FALSE)," ")</f>
        <v xml:space="preserve"> </v>
      </c>
      <c r="G2829" t="str">
        <f>IFERROR(+VLOOKUP(Movimientos_2026[[#This Row],[Codigo]],Plan_cuentas[],4,FALSE)," ")</f>
        <v xml:space="preserve"> </v>
      </c>
      <c r="H2829" t="str">
        <f>IFERROR(+VLOOKUP(Movimientos_2026[[#This Row],[Codigo]],Plan_cuentas[],5,FALSE)," ")</f>
        <v xml:space="preserve"> </v>
      </c>
      <c r="I2829" s="43"/>
      <c r="K2829" t="str">
        <f>IFERROR(+VLOOKUP(Movimientos_2026[[#This Row],[Codigo]],Plan_cuentas[],6,FALSE)," ")</f>
        <v xml:space="preserve"> </v>
      </c>
      <c r="L2829" s="50"/>
      <c r="M2829" s="50"/>
      <c r="N2829" s="20">
        <f>+Movimientos_2026[[#This Row],[Ingresos]]-Movimientos_2026[[#This Row],[Egresos]]</f>
        <v>0</v>
      </c>
      <c r="O2829" s="20">
        <f>+O2828+Movimientos_2026[[#This Row],[Neto]]</f>
        <v>4581558617.7962294</v>
      </c>
    </row>
    <row r="2830" spans="1:15" x14ac:dyDescent="0.25">
      <c r="A2830" s="13"/>
      <c r="B2830" s="12">
        <f>MONTH(Movimientos_2026[[#This Row],[Fecha]])</f>
        <v>1</v>
      </c>
      <c r="C2830" s="12" t="str">
        <f>VLOOKUP((WEEKDAY(Movimientos_2026[[#This Row],[Fecha]],2)),'5. Setup'!$D$6:$E$12,2,FALSE)</f>
        <v>Sab</v>
      </c>
      <c r="E2830" t="str">
        <f>IFERROR(+VLOOKUP(Movimientos_2026[[#This Row],[Codigo]],Plan_cuentas[],2,FALSE)," ")</f>
        <v xml:space="preserve"> </v>
      </c>
      <c r="F2830" t="str">
        <f>IFERROR(+VLOOKUP(Movimientos_2026[[#This Row],[Codigo]],Plan_cuentas[],3,FALSE)," ")</f>
        <v xml:space="preserve"> </v>
      </c>
      <c r="G2830" t="str">
        <f>IFERROR(+VLOOKUP(Movimientos_2026[[#This Row],[Codigo]],Plan_cuentas[],4,FALSE)," ")</f>
        <v xml:space="preserve"> </v>
      </c>
      <c r="H2830" t="str">
        <f>IFERROR(+VLOOKUP(Movimientos_2026[[#This Row],[Codigo]],Plan_cuentas[],5,FALSE)," ")</f>
        <v xml:space="preserve"> </v>
      </c>
      <c r="I2830" s="43"/>
      <c r="K2830" t="str">
        <f>IFERROR(+VLOOKUP(Movimientos_2026[[#This Row],[Codigo]],Plan_cuentas[],6,FALSE)," ")</f>
        <v xml:space="preserve"> </v>
      </c>
      <c r="L2830" s="50"/>
      <c r="M2830" s="50"/>
      <c r="N2830" s="20">
        <f>+Movimientos_2026[[#This Row],[Ingresos]]-Movimientos_2026[[#This Row],[Egresos]]</f>
        <v>0</v>
      </c>
      <c r="O2830" s="20">
        <f>+O2829+Movimientos_2026[[#This Row],[Neto]]</f>
        <v>4581558617.7962294</v>
      </c>
    </row>
    <row r="2831" spans="1:15" x14ac:dyDescent="0.25">
      <c r="A2831" s="13"/>
      <c r="B2831" s="12">
        <f>MONTH(Movimientos_2026[[#This Row],[Fecha]])</f>
        <v>1</v>
      </c>
      <c r="C2831" s="12" t="str">
        <f>VLOOKUP((WEEKDAY(Movimientos_2026[[#This Row],[Fecha]],2)),'5. Setup'!$D$6:$E$12,2,FALSE)</f>
        <v>Sab</v>
      </c>
      <c r="E2831" t="str">
        <f>IFERROR(+VLOOKUP(Movimientos_2026[[#This Row],[Codigo]],Plan_cuentas[],2,FALSE)," ")</f>
        <v xml:space="preserve"> </v>
      </c>
      <c r="F2831" t="str">
        <f>IFERROR(+VLOOKUP(Movimientos_2026[[#This Row],[Codigo]],Plan_cuentas[],3,FALSE)," ")</f>
        <v xml:space="preserve"> </v>
      </c>
      <c r="G2831" t="str">
        <f>IFERROR(+VLOOKUP(Movimientos_2026[[#This Row],[Codigo]],Plan_cuentas[],4,FALSE)," ")</f>
        <v xml:space="preserve"> </v>
      </c>
      <c r="H2831" t="str">
        <f>IFERROR(+VLOOKUP(Movimientos_2026[[#This Row],[Codigo]],Plan_cuentas[],5,FALSE)," ")</f>
        <v xml:space="preserve"> </v>
      </c>
      <c r="I2831" s="43"/>
      <c r="K2831" t="str">
        <f>IFERROR(+VLOOKUP(Movimientos_2026[[#This Row],[Codigo]],Plan_cuentas[],6,FALSE)," ")</f>
        <v xml:space="preserve"> </v>
      </c>
      <c r="L2831" s="50"/>
      <c r="M2831" s="50"/>
      <c r="N2831" s="20">
        <f>+Movimientos_2026[[#This Row],[Ingresos]]-Movimientos_2026[[#This Row],[Egresos]]</f>
        <v>0</v>
      </c>
      <c r="O2831" s="20">
        <f>+O2830+Movimientos_2026[[#This Row],[Neto]]</f>
        <v>4581558617.7962294</v>
      </c>
    </row>
    <row r="2832" spans="1:15" x14ac:dyDescent="0.25">
      <c r="A2832" s="13"/>
      <c r="B2832" s="12">
        <f>MONTH(Movimientos_2026[[#This Row],[Fecha]])</f>
        <v>1</v>
      </c>
      <c r="C2832" s="12" t="str">
        <f>VLOOKUP((WEEKDAY(Movimientos_2026[[#This Row],[Fecha]],2)),'5. Setup'!$D$6:$E$12,2,FALSE)</f>
        <v>Sab</v>
      </c>
      <c r="E2832" t="str">
        <f>IFERROR(+VLOOKUP(Movimientos_2026[[#This Row],[Codigo]],Plan_cuentas[],2,FALSE)," ")</f>
        <v xml:space="preserve"> </v>
      </c>
      <c r="F2832" t="str">
        <f>IFERROR(+VLOOKUP(Movimientos_2026[[#This Row],[Codigo]],Plan_cuentas[],3,FALSE)," ")</f>
        <v xml:space="preserve"> </v>
      </c>
      <c r="G2832" t="str">
        <f>IFERROR(+VLOOKUP(Movimientos_2026[[#This Row],[Codigo]],Plan_cuentas[],4,FALSE)," ")</f>
        <v xml:space="preserve"> </v>
      </c>
      <c r="H2832" t="str">
        <f>IFERROR(+VLOOKUP(Movimientos_2026[[#This Row],[Codigo]],Plan_cuentas[],5,FALSE)," ")</f>
        <v xml:space="preserve"> </v>
      </c>
      <c r="I2832" s="43"/>
      <c r="K2832" t="str">
        <f>IFERROR(+VLOOKUP(Movimientos_2026[[#This Row],[Codigo]],Plan_cuentas[],6,FALSE)," ")</f>
        <v xml:space="preserve"> </v>
      </c>
      <c r="L2832" s="50"/>
      <c r="M2832" s="50"/>
      <c r="N2832" s="20">
        <f>+Movimientos_2026[[#This Row],[Ingresos]]-Movimientos_2026[[#This Row],[Egresos]]</f>
        <v>0</v>
      </c>
      <c r="O2832" s="20">
        <f>+O2831+Movimientos_2026[[#This Row],[Neto]]</f>
        <v>4581558617.7962294</v>
      </c>
    </row>
    <row r="2833" spans="1:15" x14ac:dyDescent="0.25">
      <c r="A2833" s="13"/>
      <c r="B2833" s="12">
        <f>MONTH(Movimientos_2026[[#This Row],[Fecha]])</f>
        <v>1</v>
      </c>
      <c r="C2833" s="12" t="str">
        <f>VLOOKUP((WEEKDAY(Movimientos_2026[[#This Row],[Fecha]],2)),'5. Setup'!$D$6:$E$12,2,FALSE)</f>
        <v>Sab</v>
      </c>
      <c r="E2833" t="str">
        <f>IFERROR(+VLOOKUP(Movimientos_2026[[#This Row],[Codigo]],Plan_cuentas[],2,FALSE)," ")</f>
        <v xml:space="preserve"> </v>
      </c>
      <c r="F2833" t="str">
        <f>IFERROR(+VLOOKUP(Movimientos_2026[[#This Row],[Codigo]],Plan_cuentas[],3,FALSE)," ")</f>
        <v xml:space="preserve"> </v>
      </c>
      <c r="G2833" t="str">
        <f>IFERROR(+VLOOKUP(Movimientos_2026[[#This Row],[Codigo]],Plan_cuentas[],4,FALSE)," ")</f>
        <v xml:space="preserve"> </v>
      </c>
      <c r="H2833" t="str">
        <f>IFERROR(+VLOOKUP(Movimientos_2026[[#This Row],[Codigo]],Plan_cuentas[],5,FALSE)," ")</f>
        <v xml:space="preserve"> </v>
      </c>
      <c r="I2833" s="43"/>
      <c r="K2833" t="str">
        <f>IFERROR(+VLOOKUP(Movimientos_2026[[#This Row],[Codigo]],Plan_cuentas[],6,FALSE)," ")</f>
        <v xml:space="preserve"> </v>
      </c>
      <c r="L2833" s="50"/>
      <c r="M2833" s="50"/>
      <c r="N2833" s="20">
        <f>+Movimientos_2026[[#This Row],[Ingresos]]-Movimientos_2026[[#This Row],[Egresos]]</f>
        <v>0</v>
      </c>
      <c r="O2833" s="20">
        <f>+O2832+Movimientos_2026[[#This Row],[Neto]]</f>
        <v>4581558617.7962294</v>
      </c>
    </row>
    <row r="2834" spans="1:15" x14ac:dyDescent="0.25">
      <c r="A2834" s="13"/>
      <c r="B2834" s="12">
        <f>MONTH(Movimientos_2026[[#This Row],[Fecha]])</f>
        <v>1</v>
      </c>
      <c r="C2834" s="12" t="str">
        <f>VLOOKUP((WEEKDAY(Movimientos_2026[[#This Row],[Fecha]],2)),'5. Setup'!$D$6:$E$12,2,FALSE)</f>
        <v>Sab</v>
      </c>
      <c r="E2834" t="str">
        <f>IFERROR(+VLOOKUP(Movimientos_2026[[#This Row],[Codigo]],Plan_cuentas[],2,FALSE)," ")</f>
        <v xml:space="preserve"> </v>
      </c>
      <c r="F2834" t="str">
        <f>IFERROR(+VLOOKUP(Movimientos_2026[[#This Row],[Codigo]],Plan_cuentas[],3,FALSE)," ")</f>
        <v xml:space="preserve"> </v>
      </c>
      <c r="G2834" t="str">
        <f>IFERROR(+VLOOKUP(Movimientos_2026[[#This Row],[Codigo]],Plan_cuentas[],4,FALSE)," ")</f>
        <v xml:space="preserve"> </v>
      </c>
      <c r="H2834" t="str">
        <f>IFERROR(+VLOOKUP(Movimientos_2026[[#This Row],[Codigo]],Plan_cuentas[],5,FALSE)," ")</f>
        <v xml:space="preserve"> </v>
      </c>
      <c r="I2834" s="43"/>
      <c r="K2834" t="str">
        <f>IFERROR(+VLOOKUP(Movimientos_2026[[#This Row],[Codigo]],Plan_cuentas[],6,FALSE)," ")</f>
        <v xml:space="preserve"> </v>
      </c>
      <c r="L2834" s="50"/>
      <c r="M2834" s="50"/>
      <c r="N2834" s="20">
        <f>+Movimientos_2026[[#This Row],[Ingresos]]-Movimientos_2026[[#This Row],[Egresos]]</f>
        <v>0</v>
      </c>
      <c r="O2834" s="20">
        <f>+O2833+Movimientos_2026[[#This Row],[Neto]]</f>
        <v>4581558617.7962294</v>
      </c>
    </row>
    <row r="2835" spans="1:15" x14ac:dyDescent="0.25">
      <c r="A2835" s="13"/>
      <c r="B2835" s="12">
        <f>MONTH(Movimientos_2026[[#This Row],[Fecha]])</f>
        <v>1</v>
      </c>
      <c r="C2835" s="12" t="str">
        <f>VLOOKUP((WEEKDAY(Movimientos_2026[[#This Row],[Fecha]],2)),'5. Setup'!$D$6:$E$12,2,FALSE)</f>
        <v>Sab</v>
      </c>
      <c r="E2835" t="str">
        <f>IFERROR(+VLOOKUP(Movimientos_2026[[#This Row],[Codigo]],Plan_cuentas[],2,FALSE)," ")</f>
        <v xml:space="preserve"> </v>
      </c>
      <c r="F2835" t="str">
        <f>IFERROR(+VLOOKUP(Movimientos_2026[[#This Row],[Codigo]],Plan_cuentas[],3,FALSE)," ")</f>
        <v xml:space="preserve"> </v>
      </c>
      <c r="G2835" t="str">
        <f>IFERROR(+VLOOKUP(Movimientos_2026[[#This Row],[Codigo]],Plan_cuentas[],4,FALSE)," ")</f>
        <v xml:space="preserve"> </v>
      </c>
      <c r="H2835" t="str">
        <f>IFERROR(+VLOOKUP(Movimientos_2026[[#This Row],[Codigo]],Plan_cuentas[],5,FALSE)," ")</f>
        <v xml:space="preserve"> </v>
      </c>
      <c r="I2835" s="43"/>
      <c r="K2835" t="str">
        <f>IFERROR(+VLOOKUP(Movimientos_2026[[#This Row],[Codigo]],Plan_cuentas[],6,FALSE)," ")</f>
        <v xml:space="preserve"> </v>
      </c>
      <c r="L2835" s="50"/>
      <c r="M2835" s="50"/>
      <c r="N2835" s="20">
        <f>+Movimientos_2026[[#This Row],[Ingresos]]-Movimientos_2026[[#This Row],[Egresos]]</f>
        <v>0</v>
      </c>
      <c r="O2835" s="20">
        <f>+O2834+Movimientos_2026[[#This Row],[Neto]]</f>
        <v>4581558617.7962294</v>
      </c>
    </row>
    <row r="2836" spans="1:15" x14ac:dyDescent="0.25">
      <c r="A2836" s="13"/>
      <c r="B2836" s="12">
        <f>MONTH(Movimientos_2026[[#This Row],[Fecha]])</f>
        <v>1</v>
      </c>
      <c r="C2836" s="12" t="str">
        <f>VLOOKUP((WEEKDAY(Movimientos_2026[[#This Row],[Fecha]],2)),'5. Setup'!$D$6:$E$12,2,FALSE)</f>
        <v>Sab</v>
      </c>
      <c r="E2836" t="str">
        <f>IFERROR(+VLOOKUP(Movimientos_2026[[#This Row],[Codigo]],Plan_cuentas[],2,FALSE)," ")</f>
        <v xml:space="preserve"> </v>
      </c>
      <c r="F2836" t="str">
        <f>IFERROR(+VLOOKUP(Movimientos_2026[[#This Row],[Codigo]],Plan_cuentas[],3,FALSE)," ")</f>
        <v xml:space="preserve"> </v>
      </c>
      <c r="G2836" t="str">
        <f>IFERROR(+VLOOKUP(Movimientos_2026[[#This Row],[Codigo]],Plan_cuentas[],4,FALSE)," ")</f>
        <v xml:space="preserve"> </v>
      </c>
      <c r="H2836" t="str">
        <f>IFERROR(+VLOOKUP(Movimientos_2026[[#This Row],[Codigo]],Plan_cuentas[],5,FALSE)," ")</f>
        <v xml:space="preserve"> </v>
      </c>
      <c r="I2836" s="43"/>
      <c r="K2836" t="str">
        <f>IFERROR(+VLOOKUP(Movimientos_2026[[#This Row],[Codigo]],Plan_cuentas[],6,FALSE)," ")</f>
        <v xml:space="preserve"> </v>
      </c>
      <c r="L2836" s="50"/>
      <c r="M2836" s="50"/>
      <c r="N2836" s="20">
        <f>+Movimientos_2026[[#This Row],[Ingresos]]-Movimientos_2026[[#This Row],[Egresos]]</f>
        <v>0</v>
      </c>
      <c r="O2836" s="20">
        <f>+O2835+Movimientos_2026[[#This Row],[Neto]]</f>
        <v>4581558617.7962294</v>
      </c>
    </row>
    <row r="2837" spans="1:15" x14ac:dyDescent="0.25">
      <c r="A2837" s="13"/>
      <c r="B2837" s="12">
        <f>MONTH(Movimientos_2026[[#This Row],[Fecha]])</f>
        <v>1</v>
      </c>
      <c r="C2837" s="12" t="str">
        <f>VLOOKUP((WEEKDAY(Movimientos_2026[[#This Row],[Fecha]],2)),'5. Setup'!$D$6:$E$12,2,FALSE)</f>
        <v>Sab</v>
      </c>
      <c r="E2837" t="str">
        <f>IFERROR(+VLOOKUP(Movimientos_2026[[#This Row],[Codigo]],Plan_cuentas[],2,FALSE)," ")</f>
        <v xml:space="preserve"> </v>
      </c>
      <c r="F2837" t="str">
        <f>IFERROR(+VLOOKUP(Movimientos_2026[[#This Row],[Codigo]],Plan_cuentas[],3,FALSE)," ")</f>
        <v xml:space="preserve"> </v>
      </c>
      <c r="G2837" t="str">
        <f>IFERROR(+VLOOKUP(Movimientos_2026[[#This Row],[Codigo]],Plan_cuentas[],4,FALSE)," ")</f>
        <v xml:space="preserve"> </v>
      </c>
      <c r="H2837" t="str">
        <f>IFERROR(+VLOOKUP(Movimientos_2026[[#This Row],[Codigo]],Plan_cuentas[],5,FALSE)," ")</f>
        <v xml:space="preserve"> </v>
      </c>
      <c r="I2837" s="43"/>
      <c r="K2837" t="str">
        <f>IFERROR(+VLOOKUP(Movimientos_2026[[#This Row],[Codigo]],Plan_cuentas[],6,FALSE)," ")</f>
        <v xml:space="preserve"> </v>
      </c>
      <c r="L2837" s="50"/>
      <c r="M2837" s="50"/>
      <c r="N2837" s="20">
        <f>+Movimientos_2026[[#This Row],[Ingresos]]-Movimientos_2026[[#This Row],[Egresos]]</f>
        <v>0</v>
      </c>
      <c r="O2837" s="20">
        <f>+O2836+Movimientos_2026[[#This Row],[Neto]]</f>
        <v>4581558617.7962294</v>
      </c>
    </row>
    <row r="2838" spans="1:15" x14ac:dyDescent="0.25">
      <c r="A2838" s="13"/>
      <c r="B2838" s="12">
        <f>MONTH(Movimientos_2026[[#This Row],[Fecha]])</f>
        <v>1</v>
      </c>
      <c r="C2838" s="12" t="str">
        <f>VLOOKUP((WEEKDAY(Movimientos_2026[[#This Row],[Fecha]],2)),'5. Setup'!$D$6:$E$12,2,FALSE)</f>
        <v>Sab</v>
      </c>
      <c r="E2838" t="str">
        <f>IFERROR(+VLOOKUP(Movimientos_2026[[#This Row],[Codigo]],Plan_cuentas[],2,FALSE)," ")</f>
        <v xml:space="preserve"> </v>
      </c>
      <c r="F2838" t="str">
        <f>IFERROR(+VLOOKUP(Movimientos_2026[[#This Row],[Codigo]],Plan_cuentas[],3,FALSE)," ")</f>
        <v xml:space="preserve"> </v>
      </c>
      <c r="G2838" t="str">
        <f>IFERROR(+VLOOKUP(Movimientos_2026[[#This Row],[Codigo]],Plan_cuentas[],4,FALSE)," ")</f>
        <v xml:space="preserve"> </v>
      </c>
      <c r="H2838" t="str">
        <f>IFERROR(+VLOOKUP(Movimientos_2026[[#This Row],[Codigo]],Plan_cuentas[],5,FALSE)," ")</f>
        <v xml:space="preserve"> </v>
      </c>
      <c r="I2838" s="43"/>
      <c r="K2838" t="str">
        <f>IFERROR(+VLOOKUP(Movimientos_2026[[#This Row],[Codigo]],Plan_cuentas[],6,FALSE)," ")</f>
        <v xml:space="preserve"> </v>
      </c>
      <c r="L2838" s="50"/>
      <c r="M2838" s="50"/>
      <c r="N2838" s="20">
        <f>+Movimientos_2026[[#This Row],[Ingresos]]-Movimientos_2026[[#This Row],[Egresos]]</f>
        <v>0</v>
      </c>
      <c r="O2838" s="20">
        <f>+O2837+Movimientos_2026[[#This Row],[Neto]]</f>
        <v>4581558617.7962294</v>
      </c>
    </row>
    <row r="2839" spans="1:15" x14ac:dyDescent="0.25">
      <c r="A2839" s="13"/>
      <c r="B2839" s="12">
        <f>MONTH(Movimientos_2026[[#This Row],[Fecha]])</f>
        <v>1</v>
      </c>
      <c r="C2839" s="12" t="str">
        <f>VLOOKUP((WEEKDAY(Movimientos_2026[[#This Row],[Fecha]],2)),'5. Setup'!$D$6:$E$12,2,FALSE)</f>
        <v>Sab</v>
      </c>
      <c r="E2839" t="str">
        <f>IFERROR(+VLOOKUP(Movimientos_2026[[#This Row],[Codigo]],Plan_cuentas[],2,FALSE)," ")</f>
        <v xml:space="preserve"> </v>
      </c>
      <c r="F2839" t="str">
        <f>IFERROR(+VLOOKUP(Movimientos_2026[[#This Row],[Codigo]],Plan_cuentas[],3,FALSE)," ")</f>
        <v xml:space="preserve"> </v>
      </c>
      <c r="G2839" t="str">
        <f>IFERROR(+VLOOKUP(Movimientos_2026[[#This Row],[Codigo]],Plan_cuentas[],4,FALSE)," ")</f>
        <v xml:space="preserve"> </v>
      </c>
      <c r="H2839" t="str">
        <f>IFERROR(+VLOOKUP(Movimientos_2026[[#This Row],[Codigo]],Plan_cuentas[],5,FALSE)," ")</f>
        <v xml:space="preserve"> </v>
      </c>
      <c r="I2839" s="43"/>
      <c r="K2839" t="str">
        <f>IFERROR(+VLOOKUP(Movimientos_2026[[#This Row],[Codigo]],Plan_cuentas[],6,FALSE)," ")</f>
        <v xml:space="preserve"> </v>
      </c>
      <c r="L2839" s="50"/>
      <c r="M2839" s="50"/>
      <c r="N2839" s="20">
        <f>+Movimientos_2026[[#This Row],[Ingresos]]-Movimientos_2026[[#This Row],[Egresos]]</f>
        <v>0</v>
      </c>
      <c r="O2839" s="20">
        <f>+O2838+Movimientos_2026[[#This Row],[Neto]]</f>
        <v>4581558617.7962294</v>
      </c>
    </row>
    <row r="2840" spans="1:15" x14ac:dyDescent="0.25">
      <c r="A2840" s="13"/>
      <c r="B2840" s="12">
        <f>MONTH(Movimientos_2026[[#This Row],[Fecha]])</f>
        <v>1</v>
      </c>
      <c r="C2840" s="12" t="str">
        <f>VLOOKUP((WEEKDAY(Movimientos_2026[[#This Row],[Fecha]],2)),'5. Setup'!$D$6:$E$12,2,FALSE)</f>
        <v>Sab</v>
      </c>
      <c r="E2840" t="str">
        <f>IFERROR(+VLOOKUP(Movimientos_2026[[#This Row],[Codigo]],Plan_cuentas[],2,FALSE)," ")</f>
        <v xml:space="preserve"> </v>
      </c>
      <c r="F2840" t="str">
        <f>IFERROR(+VLOOKUP(Movimientos_2026[[#This Row],[Codigo]],Plan_cuentas[],3,FALSE)," ")</f>
        <v xml:space="preserve"> </v>
      </c>
      <c r="G2840" t="str">
        <f>IFERROR(+VLOOKUP(Movimientos_2026[[#This Row],[Codigo]],Plan_cuentas[],4,FALSE)," ")</f>
        <v xml:space="preserve"> </v>
      </c>
      <c r="H2840" t="str">
        <f>IFERROR(+VLOOKUP(Movimientos_2026[[#This Row],[Codigo]],Plan_cuentas[],5,FALSE)," ")</f>
        <v xml:space="preserve"> </v>
      </c>
      <c r="I2840" s="43"/>
      <c r="K2840" t="str">
        <f>IFERROR(+VLOOKUP(Movimientos_2026[[#This Row],[Codigo]],Plan_cuentas[],6,FALSE)," ")</f>
        <v xml:space="preserve"> </v>
      </c>
      <c r="L2840" s="50"/>
      <c r="M2840" s="50"/>
      <c r="N2840" s="20">
        <f>+Movimientos_2026[[#This Row],[Ingresos]]-Movimientos_2026[[#This Row],[Egresos]]</f>
        <v>0</v>
      </c>
      <c r="O2840" s="20">
        <f>+O2839+Movimientos_2026[[#This Row],[Neto]]</f>
        <v>4581558617.7962294</v>
      </c>
    </row>
    <row r="2841" spans="1:15" x14ac:dyDescent="0.25">
      <c r="A2841" s="13"/>
      <c r="B2841" s="12">
        <f>MONTH(Movimientos_2026[[#This Row],[Fecha]])</f>
        <v>1</v>
      </c>
      <c r="C2841" s="12" t="str">
        <f>VLOOKUP((WEEKDAY(Movimientos_2026[[#This Row],[Fecha]],2)),'5. Setup'!$D$6:$E$12,2,FALSE)</f>
        <v>Sab</v>
      </c>
      <c r="E2841" t="str">
        <f>IFERROR(+VLOOKUP(Movimientos_2026[[#This Row],[Codigo]],Plan_cuentas[],2,FALSE)," ")</f>
        <v xml:space="preserve"> </v>
      </c>
      <c r="F2841" t="str">
        <f>IFERROR(+VLOOKUP(Movimientos_2026[[#This Row],[Codigo]],Plan_cuentas[],3,FALSE)," ")</f>
        <v xml:space="preserve"> </v>
      </c>
      <c r="G2841" t="str">
        <f>IFERROR(+VLOOKUP(Movimientos_2026[[#This Row],[Codigo]],Plan_cuentas[],4,FALSE)," ")</f>
        <v xml:space="preserve"> </v>
      </c>
      <c r="H2841" t="str">
        <f>IFERROR(+VLOOKUP(Movimientos_2026[[#This Row],[Codigo]],Plan_cuentas[],5,FALSE)," ")</f>
        <v xml:space="preserve"> </v>
      </c>
      <c r="I2841" s="43"/>
      <c r="K2841" t="str">
        <f>IFERROR(+VLOOKUP(Movimientos_2026[[#This Row],[Codigo]],Plan_cuentas[],6,FALSE)," ")</f>
        <v xml:space="preserve"> </v>
      </c>
      <c r="L2841" s="50"/>
      <c r="M2841" s="50"/>
      <c r="N2841" s="20">
        <f>+Movimientos_2026[[#This Row],[Ingresos]]-Movimientos_2026[[#This Row],[Egresos]]</f>
        <v>0</v>
      </c>
      <c r="O2841" s="20">
        <f>+O2840+Movimientos_2026[[#This Row],[Neto]]</f>
        <v>4581558617.7962294</v>
      </c>
    </row>
    <row r="2842" spans="1:15" x14ac:dyDescent="0.25">
      <c r="A2842" s="13"/>
      <c r="B2842" s="12">
        <f>MONTH(Movimientos_2026[[#This Row],[Fecha]])</f>
        <v>1</v>
      </c>
      <c r="C2842" s="12" t="str">
        <f>VLOOKUP((WEEKDAY(Movimientos_2026[[#This Row],[Fecha]],2)),'5. Setup'!$D$6:$E$12,2,FALSE)</f>
        <v>Sab</v>
      </c>
      <c r="E2842" t="str">
        <f>IFERROR(+VLOOKUP(Movimientos_2026[[#This Row],[Codigo]],Plan_cuentas[],2,FALSE)," ")</f>
        <v xml:space="preserve"> </v>
      </c>
      <c r="F2842" t="str">
        <f>IFERROR(+VLOOKUP(Movimientos_2026[[#This Row],[Codigo]],Plan_cuentas[],3,FALSE)," ")</f>
        <v xml:space="preserve"> </v>
      </c>
      <c r="G2842" t="str">
        <f>IFERROR(+VLOOKUP(Movimientos_2026[[#This Row],[Codigo]],Plan_cuentas[],4,FALSE)," ")</f>
        <v xml:space="preserve"> </v>
      </c>
      <c r="H2842" t="str">
        <f>IFERROR(+VLOOKUP(Movimientos_2026[[#This Row],[Codigo]],Plan_cuentas[],5,FALSE)," ")</f>
        <v xml:space="preserve"> </v>
      </c>
      <c r="I2842" s="43"/>
      <c r="K2842" t="str">
        <f>IFERROR(+VLOOKUP(Movimientos_2026[[#This Row],[Codigo]],Plan_cuentas[],6,FALSE)," ")</f>
        <v xml:space="preserve"> </v>
      </c>
      <c r="L2842" s="50"/>
      <c r="M2842" s="50"/>
      <c r="N2842" s="20">
        <f>+Movimientos_2026[[#This Row],[Ingresos]]-Movimientos_2026[[#This Row],[Egresos]]</f>
        <v>0</v>
      </c>
      <c r="O2842" s="20">
        <f>+O2841+Movimientos_2026[[#This Row],[Neto]]</f>
        <v>4581558617.7962294</v>
      </c>
    </row>
    <row r="2843" spans="1:15" x14ac:dyDescent="0.25">
      <c r="A2843" s="13"/>
      <c r="B2843" s="12">
        <f>MONTH(Movimientos_2026[[#This Row],[Fecha]])</f>
        <v>1</v>
      </c>
      <c r="C2843" s="12" t="str">
        <f>VLOOKUP((WEEKDAY(Movimientos_2026[[#This Row],[Fecha]],2)),'5. Setup'!$D$6:$E$12,2,FALSE)</f>
        <v>Sab</v>
      </c>
      <c r="E2843" t="str">
        <f>IFERROR(+VLOOKUP(Movimientos_2026[[#This Row],[Codigo]],Plan_cuentas[],2,FALSE)," ")</f>
        <v xml:space="preserve"> </v>
      </c>
      <c r="F2843" t="str">
        <f>IFERROR(+VLOOKUP(Movimientos_2026[[#This Row],[Codigo]],Plan_cuentas[],3,FALSE)," ")</f>
        <v xml:space="preserve"> </v>
      </c>
      <c r="G2843" t="str">
        <f>IFERROR(+VLOOKUP(Movimientos_2026[[#This Row],[Codigo]],Plan_cuentas[],4,FALSE)," ")</f>
        <v xml:space="preserve"> </v>
      </c>
      <c r="H2843" t="str">
        <f>IFERROR(+VLOOKUP(Movimientos_2026[[#This Row],[Codigo]],Plan_cuentas[],5,FALSE)," ")</f>
        <v xml:space="preserve"> </v>
      </c>
      <c r="I2843" s="43"/>
      <c r="K2843" t="str">
        <f>IFERROR(+VLOOKUP(Movimientos_2026[[#This Row],[Codigo]],Plan_cuentas[],6,FALSE)," ")</f>
        <v xml:space="preserve"> </v>
      </c>
      <c r="L2843" s="50"/>
      <c r="M2843" s="50"/>
      <c r="N2843" s="20">
        <f>+Movimientos_2026[[#This Row],[Ingresos]]-Movimientos_2026[[#This Row],[Egresos]]</f>
        <v>0</v>
      </c>
      <c r="O2843" s="20">
        <f>+O2842+Movimientos_2026[[#This Row],[Neto]]</f>
        <v>4581558617.7962294</v>
      </c>
    </row>
    <row r="2844" spans="1:15" x14ac:dyDescent="0.25">
      <c r="A2844" s="13"/>
      <c r="B2844" s="12">
        <f>MONTH(Movimientos_2026[[#This Row],[Fecha]])</f>
        <v>1</v>
      </c>
      <c r="C2844" s="12" t="str">
        <f>VLOOKUP((WEEKDAY(Movimientos_2026[[#This Row],[Fecha]],2)),'5. Setup'!$D$6:$E$12,2,FALSE)</f>
        <v>Sab</v>
      </c>
      <c r="E2844" t="str">
        <f>IFERROR(+VLOOKUP(Movimientos_2026[[#This Row],[Codigo]],Plan_cuentas[],2,FALSE)," ")</f>
        <v xml:space="preserve"> </v>
      </c>
      <c r="F2844" t="str">
        <f>IFERROR(+VLOOKUP(Movimientos_2026[[#This Row],[Codigo]],Plan_cuentas[],3,FALSE)," ")</f>
        <v xml:space="preserve"> </v>
      </c>
      <c r="G2844" t="str">
        <f>IFERROR(+VLOOKUP(Movimientos_2026[[#This Row],[Codigo]],Plan_cuentas[],4,FALSE)," ")</f>
        <v xml:space="preserve"> </v>
      </c>
      <c r="H2844" t="str">
        <f>IFERROR(+VLOOKUP(Movimientos_2026[[#This Row],[Codigo]],Plan_cuentas[],5,FALSE)," ")</f>
        <v xml:space="preserve"> </v>
      </c>
      <c r="I2844" s="43"/>
      <c r="K2844" t="str">
        <f>IFERROR(+VLOOKUP(Movimientos_2026[[#This Row],[Codigo]],Plan_cuentas[],6,FALSE)," ")</f>
        <v xml:space="preserve"> </v>
      </c>
      <c r="L2844" s="50"/>
      <c r="M2844" s="50"/>
      <c r="N2844" s="20">
        <f>+Movimientos_2026[[#This Row],[Ingresos]]-Movimientos_2026[[#This Row],[Egresos]]</f>
        <v>0</v>
      </c>
      <c r="O2844" s="20">
        <f>+O2843+Movimientos_2026[[#This Row],[Neto]]</f>
        <v>4581558617.7962294</v>
      </c>
    </row>
    <row r="2845" spans="1:15" x14ac:dyDescent="0.25">
      <c r="A2845" s="13"/>
      <c r="B2845" s="12">
        <f>MONTH(Movimientos_2026[[#This Row],[Fecha]])</f>
        <v>1</v>
      </c>
      <c r="C2845" s="12" t="str">
        <f>VLOOKUP((WEEKDAY(Movimientos_2026[[#This Row],[Fecha]],2)),'5. Setup'!$D$6:$E$12,2,FALSE)</f>
        <v>Sab</v>
      </c>
      <c r="E2845" t="str">
        <f>IFERROR(+VLOOKUP(Movimientos_2026[[#This Row],[Codigo]],Plan_cuentas[],2,FALSE)," ")</f>
        <v xml:space="preserve"> </v>
      </c>
      <c r="F2845" t="str">
        <f>IFERROR(+VLOOKUP(Movimientos_2026[[#This Row],[Codigo]],Plan_cuentas[],3,FALSE)," ")</f>
        <v xml:space="preserve"> </v>
      </c>
      <c r="G2845" t="str">
        <f>IFERROR(+VLOOKUP(Movimientos_2026[[#This Row],[Codigo]],Plan_cuentas[],4,FALSE)," ")</f>
        <v xml:space="preserve"> </v>
      </c>
      <c r="H2845" t="str">
        <f>IFERROR(+VLOOKUP(Movimientos_2026[[#This Row],[Codigo]],Plan_cuentas[],5,FALSE)," ")</f>
        <v xml:space="preserve"> </v>
      </c>
      <c r="I2845" s="43"/>
      <c r="K2845" t="str">
        <f>IFERROR(+VLOOKUP(Movimientos_2026[[#This Row],[Codigo]],Plan_cuentas[],6,FALSE)," ")</f>
        <v xml:space="preserve"> </v>
      </c>
      <c r="L2845" s="50"/>
      <c r="M2845" s="50"/>
      <c r="N2845" s="20">
        <f>+Movimientos_2026[[#This Row],[Ingresos]]-Movimientos_2026[[#This Row],[Egresos]]</f>
        <v>0</v>
      </c>
      <c r="O2845" s="20">
        <f>+O2844+Movimientos_2026[[#This Row],[Neto]]</f>
        <v>4581558617.7962294</v>
      </c>
    </row>
    <row r="2846" spans="1:15" x14ac:dyDescent="0.25">
      <c r="A2846" s="13"/>
      <c r="B2846" s="12">
        <f>MONTH(Movimientos_2026[[#This Row],[Fecha]])</f>
        <v>1</v>
      </c>
      <c r="C2846" s="12" t="str">
        <f>VLOOKUP((WEEKDAY(Movimientos_2026[[#This Row],[Fecha]],2)),'5. Setup'!$D$6:$E$12,2,FALSE)</f>
        <v>Sab</v>
      </c>
      <c r="E2846" t="str">
        <f>IFERROR(+VLOOKUP(Movimientos_2026[[#This Row],[Codigo]],Plan_cuentas[],2,FALSE)," ")</f>
        <v xml:space="preserve"> </v>
      </c>
      <c r="F2846" t="str">
        <f>IFERROR(+VLOOKUP(Movimientos_2026[[#This Row],[Codigo]],Plan_cuentas[],3,FALSE)," ")</f>
        <v xml:space="preserve"> </v>
      </c>
      <c r="G2846" t="str">
        <f>IFERROR(+VLOOKUP(Movimientos_2026[[#This Row],[Codigo]],Plan_cuentas[],4,FALSE)," ")</f>
        <v xml:space="preserve"> </v>
      </c>
      <c r="H2846" t="str">
        <f>IFERROR(+VLOOKUP(Movimientos_2026[[#This Row],[Codigo]],Plan_cuentas[],5,FALSE)," ")</f>
        <v xml:space="preserve"> </v>
      </c>
      <c r="I2846" s="43"/>
      <c r="K2846" t="str">
        <f>IFERROR(+VLOOKUP(Movimientos_2026[[#This Row],[Codigo]],Plan_cuentas[],6,FALSE)," ")</f>
        <v xml:space="preserve"> </v>
      </c>
      <c r="L2846" s="50"/>
      <c r="M2846" s="50"/>
      <c r="N2846" s="20">
        <f>+Movimientos_2026[[#This Row],[Ingresos]]-Movimientos_2026[[#This Row],[Egresos]]</f>
        <v>0</v>
      </c>
      <c r="O2846" s="20">
        <f>+O2845+Movimientos_2026[[#This Row],[Neto]]</f>
        <v>4581558617.7962294</v>
      </c>
    </row>
    <row r="2847" spans="1:15" x14ac:dyDescent="0.25">
      <c r="A2847" s="13"/>
      <c r="B2847" s="12">
        <f>MONTH(Movimientos_2026[[#This Row],[Fecha]])</f>
        <v>1</v>
      </c>
      <c r="C2847" s="12" t="str">
        <f>VLOOKUP((WEEKDAY(Movimientos_2026[[#This Row],[Fecha]],2)),'5. Setup'!$D$6:$E$12,2,FALSE)</f>
        <v>Sab</v>
      </c>
      <c r="E2847" t="str">
        <f>IFERROR(+VLOOKUP(Movimientos_2026[[#This Row],[Codigo]],Plan_cuentas[],2,FALSE)," ")</f>
        <v xml:space="preserve"> </v>
      </c>
      <c r="F2847" t="str">
        <f>IFERROR(+VLOOKUP(Movimientos_2026[[#This Row],[Codigo]],Plan_cuentas[],3,FALSE)," ")</f>
        <v xml:space="preserve"> </v>
      </c>
      <c r="G2847" t="str">
        <f>IFERROR(+VLOOKUP(Movimientos_2026[[#This Row],[Codigo]],Plan_cuentas[],4,FALSE)," ")</f>
        <v xml:space="preserve"> </v>
      </c>
      <c r="H2847" t="str">
        <f>IFERROR(+VLOOKUP(Movimientos_2026[[#This Row],[Codigo]],Plan_cuentas[],5,FALSE)," ")</f>
        <v xml:space="preserve"> </v>
      </c>
      <c r="I2847" s="43"/>
      <c r="K2847" t="str">
        <f>IFERROR(+VLOOKUP(Movimientos_2026[[#This Row],[Codigo]],Plan_cuentas[],6,FALSE)," ")</f>
        <v xml:space="preserve"> </v>
      </c>
      <c r="L2847" s="50"/>
      <c r="M2847" s="50"/>
      <c r="N2847" s="20">
        <f>+Movimientos_2026[[#This Row],[Ingresos]]-Movimientos_2026[[#This Row],[Egresos]]</f>
        <v>0</v>
      </c>
      <c r="O2847" s="20">
        <f>+O2846+Movimientos_2026[[#This Row],[Neto]]</f>
        <v>4581558617.7962294</v>
      </c>
    </row>
    <row r="2848" spans="1:15" x14ac:dyDescent="0.25">
      <c r="A2848" s="13"/>
      <c r="B2848" s="12">
        <f>MONTH(Movimientos_2026[[#This Row],[Fecha]])</f>
        <v>1</v>
      </c>
      <c r="C2848" s="12" t="str">
        <f>VLOOKUP((WEEKDAY(Movimientos_2026[[#This Row],[Fecha]],2)),'5. Setup'!$D$6:$E$12,2,FALSE)</f>
        <v>Sab</v>
      </c>
      <c r="E2848" t="str">
        <f>IFERROR(+VLOOKUP(Movimientos_2026[[#This Row],[Codigo]],Plan_cuentas[],2,FALSE)," ")</f>
        <v xml:space="preserve"> </v>
      </c>
      <c r="F2848" t="str">
        <f>IFERROR(+VLOOKUP(Movimientos_2026[[#This Row],[Codigo]],Plan_cuentas[],3,FALSE)," ")</f>
        <v xml:space="preserve"> </v>
      </c>
      <c r="G2848" t="str">
        <f>IFERROR(+VLOOKUP(Movimientos_2026[[#This Row],[Codigo]],Plan_cuentas[],4,FALSE)," ")</f>
        <v xml:space="preserve"> </v>
      </c>
      <c r="H2848" t="str">
        <f>IFERROR(+VLOOKUP(Movimientos_2026[[#This Row],[Codigo]],Plan_cuentas[],5,FALSE)," ")</f>
        <v xml:space="preserve"> </v>
      </c>
      <c r="I2848" s="43"/>
      <c r="K2848" t="str">
        <f>IFERROR(+VLOOKUP(Movimientos_2026[[#This Row],[Codigo]],Plan_cuentas[],6,FALSE)," ")</f>
        <v xml:space="preserve"> </v>
      </c>
      <c r="L2848" s="50"/>
      <c r="M2848" s="50"/>
      <c r="N2848" s="20">
        <f>+Movimientos_2026[[#This Row],[Ingresos]]-Movimientos_2026[[#This Row],[Egresos]]</f>
        <v>0</v>
      </c>
      <c r="O2848" s="20">
        <f>+O2847+Movimientos_2026[[#This Row],[Neto]]</f>
        <v>4581558617.7962294</v>
      </c>
    </row>
    <row r="2849" spans="1:15" x14ac:dyDescent="0.25">
      <c r="A2849" s="13"/>
      <c r="B2849" s="12">
        <f>MONTH(Movimientos_2026[[#This Row],[Fecha]])</f>
        <v>1</v>
      </c>
      <c r="C2849" s="12" t="str">
        <f>VLOOKUP((WEEKDAY(Movimientos_2026[[#This Row],[Fecha]],2)),'5. Setup'!$D$6:$E$12,2,FALSE)</f>
        <v>Sab</v>
      </c>
      <c r="E2849" t="str">
        <f>IFERROR(+VLOOKUP(Movimientos_2026[[#This Row],[Codigo]],Plan_cuentas[],2,FALSE)," ")</f>
        <v xml:space="preserve"> </v>
      </c>
      <c r="F2849" t="str">
        <f>IFERROR(+VLOOKUP(Movimientos_2026[[#This Row],[Codigo]],Plan_cuentas[],3,FALSE)," ")</f>
        <v xml:space="preserve"> </v>
      </c>
      <c r="G2849" t="str">
        <f>IFERROR(+VLOOKUP(Movimientos_2026[[#This Row],[Codigo]],Plan_cuentas[],4,FALSE)," ")</f>
        <v xml:space="preserve"> </v>
      </c>
      <c r="H2849" t="str">
        <f>IFERROR(+VLOOKUP(Movimientos_2026[[#This Row],[Codigo]],Plan_cuentas[],5,FALSE)," ")</f>
        <v xml:space="preserve"> </v>
      </c>
      <c r="I2849" s="43"/>
      <c r="K2849" t="str">
        <f>IFERROR(+VLOOKUP(Movimientos_2026[[#This Row],[Codigo]],Plan_cuentas[],6,FALSE)," ")</f>
        <v xml:space="preserve"> </v>
      </c>
      <c r="L2849" s="50"/>
      <c r="M2849" s="50"/>
      <c r="N2849" s="20">
        <f>+Movimientos_2026[[#This Row],[Ingresos]]-Movimientos_2026[[#This Row],[Egresos]]</f>
        <v>0</v>
      </c>
      <c r="O2849" s="20">
        <f>+O2848+Movimientos_2026[[#This Row],[Neto]]</f>
        <v>4581558617.7962294</v>
      </c>
    </row>
    <row r="2850" spans="1:15" x14ac:dyDescent="0.25">
      <c r="A2850" s="13"/>
      <c r="B2850" s="12">
        <f>MONTH(Movimientos_2026[[#This Row],[Fecha]])</f>
        <v>1</v>
      </c>
      <c r="C2850" s="12" t="str">
        <f>VLOOKUP((WEEKDAY(Movimientos_2026[[#This Row],[Fecha]],2)),'5. Setup'!$D$6:$E$12,2,FALSE)</f>
        <v>Sab</v>
      </c>
      <c r="E2850" t="str">
        <f>IFERROR(+VLOOKUP(Movimientos_2026[[#This Row],[Codigo]],Plan_cuentas[],2,FALSE)," ")</f>
        <v xml:space="preserve"> </v>
      </c>
      <c r="F2850" t="str">
        <f>IFERROR(+VLOOKUP(Movimientos_2026[[#This Row],[Codigo]],Plan_cuentas[],3,FALSE)," ")</f>
        <v xml:space="preserve"> </v>
      </c>
      <c r="G2850" t="str">
        <f>IFERROR(+VLOOKUP(Movimientos_2026[[#This Row],[Codigo]],Plan_cuentas[],4,FALSE)," ")</f>
        <v xml:space="preserve"> </v>
      </c>
      <c r="H2850" t="str">
        <f>IFERROR(+VLOOKUP(Movimientos_2026[[#This Row],[Codigo]],Plan_cuentas[],5,FALSE)," ")</f>
        <v xml:space="preserve"> </v>
      </c>
      <c r="I2850" s="43"/>
      <c r="K2850" t="str">
        <f>IFERROR(+VLOOKUP(Movimientos_2026[[#This Row],[Codigo]],Plan_cuentas[],6,FALSE)," ")</f>
        <v xml:space="preserve"> </v>
      </c>
      <c r="L2850" s="50"/>
      <c r="M2850" s="50"/>
      <c r="N2850" s="20">
        <f>+Movimientos_2026[[#This Row],[Ingresos]]-Movimientos_2026[[#This Row],[Egresos]]</f>
        <v>0</v>
      </c>
      <c r="O2850" s="20">
        <f>+O2849+Movimientos_2026[[#This Row],[Neto]]</f>
        <v>4581558617.7962294</v>
      </c>
    </row>
    <row r="2851" spans="1:15" x14ac:dyDescent="0.25">
      <c r="A2851" s="13"/>
      <c r="B2851" s="12">
        <f>MONTH(Movimientos_2026[[#This Row],[Fecha]])</f>
        <v>1</v>
      </c>
      <c r="C2851" s="12" t="str">
        <f>VLOOKUP((WEEKDAY(Movimientos_2026[[#This Row],[Fecha]],2)),'5. Setup'!$D$6:$E$12,2,FALSE)</f>
        <v>Sab</v>
      </c>
      <c r="E2851" t="str">
        <f>IFERROR(+VLOOKUP(Movimientos_2026[[#This Row],[Codigo]],Plan_cuentas[],2,FALSE)," ")</f>
        <v xml:space="preserve"> </v>
      </c>
      <c r="F2851" t="str">
        <f>IFERROR(+VLOOKUP(Movimientos_2026[[#This Row],[Codigo]],Plan_cuentas[],3,FALSE)," ")</f>
        <v xml:space="preserve"> </v>
      </c>
      <c r="G2851" t="str">
        <f>IFERROR(+VLOOKUP(Movimientos_2026[[#This Row],[Codigo]],Plan_cuentas[],4,FALSE)," ")</f>
        <v xml:space="preserve"> </v>
      </c>
      <c r="H2851" t="str">
        <f>IFERROR(+VLOOKUP(Movimientos_2026[[#This Row],[Codigo]],Plan_cuentas[],5,FALSE)," ")</f>
        <v xml:space="preserve"> </v>
      </c>
      <c r="I2851" s="43"/>
      <c r="K2851" t="str">
        <f>IFERROR(+VLOOKUP(Movimientos_2026[[#This Row],[Codigo]],Plan_cuentas[],6,FALSE)," ")</f>
        <v xml:space="preserve"> </v>
      </c>
      <c r="L2851" s="50"/>
      <c r="M2851" s="50"/>
      <c r="N2851" s="20">
        <f>+Movimientos_2026[[#This Row],[Ingresos]]-Movimientos_2026[[#This Row],[Egresos]]</f>
        <v>0</v>
      </c>
      <c r="O2851" s="20">
        <f>+O2850+Movimientos_2026[[#This Row],[Neto]]</f>
        <v>4581558617.7962294</v>
      </c>
    </row>
    <row r="2852" spans="1:15" x14ac:dyDescent="0.25">
      <c r="A2852" s="13"/>
      <c r="B2852" s="12">
        <f>MONTH(Movimientos_2026[[#This Row],[Fecha]])</f>
        <v>1</v>
      </c>
      <c r="C2852" s="12" t="str">
        <f>VLOOKUP((WEEKDAY(Movimientos_2026[[#This Row],[Fecha]],2)),'5. Setup'!$D$6:$E$12,2,FALSE)</f>
        <v>Sab</v>
      </c>
      <c r="E2852" t="str">
        <f>IFERROR(+VLOOKUP(Movimientos_2026[[#This Row],[Codigo]],Plan_cuentas[],2,FALSE)," ")</f>
        <v xml:space="preserve"> </v>
      </c>
      <c r="F2852" t="str">
        <f>IFERROR(+VLOOKUP(Movimientos_2026[[#This Row],[Codigo]],Plan_cuentas[],3,FALSE)," ")</f>
        <v xml:space="preserve"> </v>
      </c>
      <c r="G2852" t="str">
        <f>IFERROR(+VLOOKUP(Movimientos_2026[[#This Row],[Codigo]],Plan_cuentas[],4,FALSE)," ")</f>
        <v xml:space="preserve"> </v>
      </c>
      <c r="H2852" t="str">
        <f>IFERROR(+VLOOKUP(Movimientos_2026[[#This Row],[Codigo]],Plan_cuentas[],5,FALSE)," ")</f>
        <v xml:space="preserve"> </v>
      </c>
      <c r="I2852" s="43"/>
      <c r="K2852" t="str">
        <f>IFERROR(+VLOOKUP(Movimientos_2026[[#This Row],[Codigo]],Plan_cuentas[],6,FALSE)," ")</f>
        <v xml:space="preserve"> </v>
      </c>
      <c r="L2852" s="50"/>
      <c r="M2852" s="50"/>
      <c r="N2852" s="20">
        <f>+Movimientos_2026[[#This Row],[Ingresos]]-Movimientos_2026[[#This Row],[Egresos]]</f>
        <v>0</v>
      </c>
      <c r="O2852" s="20">
        <f>+O2851+Movimientos_2026[[#This Row],[Neto]]</f>
        <v>4581558617.7962294</v>
      </c>
    </row>
    <row r="2853" spans="1:15" x14ac:dyDescent="0.25">
      <c r="A2853" s="13"/>
      <c r="B2853" s="12">
        <f>MONTH(Movimientos_2026[[#This Row],[Fecha]])</f>
        <v>1</v>
      </c>
      <c r="C2853" s="12" t="str">
        <f>VLOOKUP((WEEKDAY(Movimientos_2026[[#This Row],[Fecha]],2)),'5. Setup'!$D$6:$E$12,2,FALSE)</f>
        <v>Sab</v>
      </c>
      <c r="E2853" t="str">
        <f>IFERROR(+VLOOKUP(Movimientos_2026[[#This Row],[Codigo]],Plan_cuentas[],2,FALSE)," ")</f>
        <v xml:space="preserve"> </v>
      </c>
      <c r="F2853" t="str">
        <f>IFERROR(+VLOOKUP(Movimientos_2026[[#This Row],[Codigo]],Plan_cuentas[],3,FALSE)," ")</f>
        <v xml:space="preserve"> </v>
      </c>
      <c r="G2853" t="str">
        <f>IFERROR(+VLOOKUP(Movimientos_2026[[#This Row],[Codigo]],Plan_cuentas[],4,FALSE)," ")</f>
        <v xml:space="preserve"> </v>
      </c>
      <c r="H2853" t="str">
        <f>IFERROR(+VLOOKUP(Movimientos_2026[[#This Row],[Codigo]],Plan_cuentas[],5,FALSE)," ")</f>
        <v xml:space="preserve"> </v>
      </c>
      <c r="I2853" s="43"/>
      <c r="K2853" t="str">
        <f>IFERROR(+VLOOKUP(Movimientos_2026[[#This Row],[Codigo]],Plan_cuentas[],6,FALSE)," ")</f>
        <v xml:space="preserve"> </v>
      </c>
      <c r="L2853" s="50"/>
      <c r="M2853" s="50"/>
      <c r="N2853" s="20">
        <f>+Movimientos_2026[[#This Row],[Ingresos]]-Movimientos_2026[[#This Row],[Egresos]]</f>
        <v>0</v>
      </c>
      <c r="O2853" s="20">
        <f>+O2852+Movimientos_2026[[#This Row],[Neto]]</f>
        <v>4581558617.7962294</v>
      </c>
    </row>
    <row r="2854" spans="1:15" x14ac:dyDescent="0.25">
      <c r="A2854" s="13"/>
      <c r="B2854" s="12">
        <f>MONTH(Movimientos_2026[[#This Row],[Fecha]])</f>
        <v>1</v>
      </c>
      <c r="C2854" s="12" t="str">
        <f>VLOOKUP((WEEKDAY(Movimientos_2026[[#This Row],[Fecha]],2)),'5. Setup'!$D$6:$E$12,2,FALSE)</f>
        <v>Sab</v>
      </c>
      <c r="E2854" t="str">
        <f>IFERROR(+VLOOKUP(Movimientos_2026[[#This Row],[Codigo]],Plan_cuentas[],2,FALSE)," ")</f>
        <v xml:space="preserve"> </v>
      </c>
      <c r="F2854" t="str">
        <f>IFERROR(+VLOOKUP(Movimientos_2026[[#This Row],[Codigo]],Plan_cuentas[],3,FALSE)," ")</f>
        <v xml:space="preserve"> </v>
      </c>
      <c r="G2854" t="str">
        <f>IFERROR(+VLOOKUP(Movimientos_2026[[#This Row],[Codigo]],Plan_cuentas[],4,FALSE)," ")</f>
        <v xml:space="preserve"> </v>
      </c>
      <c r="H2854" t="str">
        <f>IFERROR(+VLOOKUP(Movimientos_2026[[#This Row],[Codigo]],Plan_cuentas[],5,FALSE)," ")</f>
        <v xml:space="preserve"> </v>
      </c>
      <c r="I2854" s="43"/>
      <c r="K2854" t="str">
        <f>IFERROR(+VLOOKUP(Movimientos_2026[[#This Row],[Codigo]],Plan_cuentas[],6,FALSE)," ")</f>
        <v xml:space="preserve"> </v>
      </c>
      <c r="L2854" s="50"/>
      <c r="M2854" s="50"/>
      <c r="N2854" s="20">
        <f>+Movimientos_2026[[#This Row],[Ingresos]]-Movimientos_2026[[#This Row],[Egresos]]</f>
        <v>0</v>
      </c>
      <c r="O2854" s="20">
        <f>+O2853+Movimientos_2026[[#This Row],[Neto]]</f>
        <v>4581558617.7962294</v>
      </c>
    </row>
    <row r="2855" spans="1:15" x14ac:dyDescent="0.25">
      <c r="A2855" s="13"/>
      <c r="B2855" s="12">
        <f>MONTH(Movimientos_2026[[#This Row],[Fecha]])</f>
        <v>1</v>
      </c>
      <c r="C2855" s="12" t="str">
        <f>VLOOKUP((WEEKDAY(Movimientos_2026[[#This Row],[Fecha]],2)),'5. Setup'!$D$6:$E$12,2,FALSE)</f>
        <v>Sab</v>
      </c>
      <c r="E2855" t="str">
        <f>IFERROR(+VLOOKUP(Movimientos_2026[[#This Row],[Codigo]],Plan_cuentas[],2,FALSE)," ")</f>
        <v xml:space="preserve"> </v>
      </c>
      <c r="F2855" t="str">
        <f>IFERROR(+VLOOKUP(Movimientos_2026[[#This Row],[Codigo]],Plan_cuentas[],3,FALSE)," ")</f>
        <v xml:space="preserve"> </v>
      </c>
      <c r="G2855" t="str">
        <f>IFERROR(+VLOOKUP(Movimientos_2026[[#This Row],[Codigo]],Plan_cuentas[],4,FALSE)," ")</f>
        <v xml:space="preserve"> </v>
      </c>
      <c r="H2855" t="str">
        <f>IFERROR(+VLOOKUP(Movimientos_2026[[#This Row],[Codigo]],Plan_cuentas[],5,FALSE)," ")</f>
        <v xml:space="preserve"> </v>
      </c>
      <c r="I2855" s="43"/>
      <c r="K2855" t="str">
        <f>IFERROR(+VLOOKUP(Movimientos_2026[[#This Row],[Codigo]],Plan_cuentas[],6,FALSE)," ")</f>
        <v xml:space="preserve"> </v>
      </c>
      <c r="L2855" s="50"/>
      <c r="M2855" s="50"/>
      <c r="N2855" s="20">
        <f>+Movimientos_2026[[#This Row],[Ingresos]]-Movimientos_2026[[#This Row],[Egresos]]</f>
        <v>0</v>
      </c>
      <c r="O2855" s="20">
        <f>+O2854+Movimientos_2026[[#This Row],[Neto]]</f>
        <v>4581558617.7962294</v>
      </c>
    </row>
    <row r="2856" spans="1:15" x14ac:dyDescent="0.25">
      <c r="A2856" s="13"/>
      <c r="B2856" s="12">
        <f>MONTH(Movimientos_2026[[#This Row],[Fecha]])</f>
        <v>1</v>
      </c>
      <c r="C2856" s="12" t="str">
        <f>VLOOKUP((WEEKDAY(Movimientos_2026[[#This Row],[Fecha]],2)),'5. Setup'!$D$6:$E$12,2,FALSE)</f>
        <v>Sab</v>
      </c>
      <c r="E2856" t="str">
        <f>IFERROR(+VLOOKUP(Movimientos_2026[[#This Row],[Codigo]],Plan_cuentas[],2,FALSE)," ")</f>
        <v xml:space="preserve"> </v>
      </c>
      <c r="F2856" t="str">
        <f>IFERROR(+VLOOKUP(Movimientos_2026[[#This Row],[Codigo]],Plan_cuentas[],3,FALSE)," ")</f>
        <v xml:space="preserve"> </v>
      </c>
      <c r="G2856" t="str">
        <f>IFERROR(+VLOOKUP(Movimientos_2026[[#This Row],[Codigo]],Plan_cuentas[],4,FALSE)," ")</f>
        <v xml:space="preserve"> </v>
      </c>
      <c r="H2856" t="str">
        <f>IFERROR(+VLOOKUP(Movimientos_2026[[#This Row],[Codigo]],Plan_cuentas[],5,FALSE)," ")</f>
        <v xml:space="preserve"> </v>
      </c>
      <c r="I2856" s="43"/>
      <c r="K2856" t="str">
        <f>IFERROR(+VLOOKUP(Movimientos_2026[[#This Row],[Codigo]],Plan_cuentas[],6,FALSE)," ")</f>
        <v xml:space="preserve"> </v>
      </c>
      <c r="L2856" s="50"/>
      <c r="M2856" s="50"/>
      <c r="N2856" s="20">
        <f>+Movimientos_2026[[#This Row],[Ingresos]]-Movimientos_2026[[#This Row],[Egresos]]</f>
        <v>0</v>
      </c>
      <c r="O2856" s="20">
        <f>+O2855+Movimientos_2026[[#This Row],[Neto]]</f>
        <v>4581558617.7962294</v>
      </c>
    </row>
    <row r="2857" spans="1:15" x14ac:dyDescent="0.25">
      <c r="A2857" s="13"/>
      <c r="B2857" s="12">
        <f>MONTH(Movimientos_2026[[#This Row],[Fecha]])</f>
        <v>1</v>
      </c>
      <c r="C2857" s="12" t="str">
        <f>VLOOKUP((WEEKDAY(Movimientos_2026[[#This Row],[Fecha]],2)),'5. Setup'!$D$6:$E$12,2,FALSE)</f>
        <v>Sab</v>
      </c>
      <c r="E2857" t="str">
        <f>IFERROR(+VLOOKUP(Movimientos_2026[[#This Row],[Codigo]],Plan_cuentas[],2,FALSE)," ")</f>
        <v xml:space="preserve"> </v>
      </c>
      <c r="F2857" t="str">
        <f>IFERROR(+VLOOKUP(Movimientos_2026[[#This Row],[Codigo]],Plan_cuentas[],3,FALSE)," ")</f>
        <v xml:space="preserve"> </v>
      </c>
      <c r="G2857" t="str">
        <f>IFERROR(+VLOOKUP(Movimientos_2026[[#This Row],[Codigo]],Plan_cuentas[],4,FALSE)," ")</f>
        <v xml:space="preserve"> </v>
      </c>
      <c r="H2857" t="str">
        <f>IFERROR(+VLOOKUP(Movimientos_2026[[#This Row],[Codigo]],Plan_cuentas[],5,FALSE)," ")</f>
        <v xml:space="preserve"> </v>
      </c>
      <c r="I2857" s="43"/>
      <c r="K2857" t="str">
        <f>IFERROR(+VLOOKUP(Movimientos_2026[[#This Row],[Codigo]],Plan_cuentas[],6,FALSE)," ")</f>
        <v xml:space="preserve"> </v>
      </c>
      <c r="L2857" s="50"/>
      <c r="M2857" s="50"/>
      <c r="N2857" s="20">
        <f>+Movimientos_2026[[#This Row],[Ingresos]]-Movimientos_2026[[#This Row],[Egresos]]</f>
        <v>0</v>
      </c>
      <c r="O2857" s="20">
        <f>+O2856+Movimientos_2026[[#This Row],[Neto]]</f>
        <v>4581558617.7962294</v>
      </c>
    </row>
    <row r="2858" spans="1:15" x14ac:dyDescent="0.25">
      <c r="A2858" s="13"/>
      <c r="B2858" s="12">
        <f>MONTH(Movimientos_2026[[#This Row],[Fecha]])</f>
        <v>1</v>
      </c>
      <c r="C2858" s="12" t="str">
        <f>VLOOKUP((WEEKDAY(Movimientos_2026[[#This Row],[Fecha]],2)),'5. Setup'!$D$6:$E$12,2,FALSE)</f>
        <v>Sab</v>
      </c>
      <c r="E2858" t="str">
        <f>IFERROR(+VLOOKUP(Movimientos_2026[[#This Row],[Codigo]],Plan_cuentas[],2,FALSE)," ")</f>
        <v xml:space="preserve"> </v>
      </c>
      <c r="F2858" t="str">
        <f>IFERROR(+VLOOKUP(Movimientos_2026[[#This Row],[Codigo]],Plan_cuentas[],3,FALSE)," ")</f>
        <v xml:space="preserve"> </v>
      </c>
      <c r="G2858" t="str">
        <f>IFERROR(+VLOOKUP(Movimientos_2026[[#This Row],[Codigo]],Plan_cuentas[],4,FALSE)," ")</f>
        <v xml:space="preserve"> </v>
      </c>
      <c r="H2858" t="str">
        <f>IFERROR(+VLOOKUP(Movimientos_2026[[#This Row],[Codigo]],Plan_cuentas[],5,FALSE)," ")</f>
        <v xml:space="preserve"> </v>
      </c>
      <c r="I2858" s="43"/>
      <c r="K2858" t="str">
        <f>IFERROR(+VLOOKUP(Movimientos_2026[[#This Row],[Codigo]],Plan_cuentas[],6,FALSE)," ")</f>
        <v xml:space="preserve"> </v>
      </c>
      <c r="L2858" s="50"/>
      <c r="M2858" s="50"/>
      <c r="N2858" s="20">
        <f>+Movimientos_2026[[#This Row],[Ingresos]]-Movimientos_2026[[#This Row],[Egresos]]</f>
        <v>0</v>
      </c>
      <c r="O2858" s="20">
        <f>+O2857+Movimientos_2026[[#This Row],[Neto]]</f>
        <v>4581558617.7962294</v>
      </c>
    </row>
    <row r="2859" spans="1:15" x14ac:dyDescent="0.25">
      <c r="A2859" s="13"/>
      <c r="B2859" s="12">
        <f>MONTH(Movimientos_2026[[#This Row],[Fecha]])</f>
        <v>1</v>
      </c>
      <c r="C2859" s="12" t="str">
        <f>VLOOKUP((WEEKDAY(Movimientos_2026[[#This Row],[Fecha]],2)),'5. Setup'!$D$6:$E$12,2,FALSE)</f>
        <v>Sab</v>
      </c>
      <c r="E2859" t="str">
        <f>IFERROR(+VLOOKUP(Movimientos_2026[[#This Row],[Codigo]],Plan_cuentas[],2,FALSE)," ")</f>
        <v xml:space="preserve"> </v>
      </c>
      <c r="F2859" t="str">
        <f>IFERROR(+VLOOKUP(Movimientos_2026[[#This Row],[Codigo]],Plan_cuentas[],3,FALSE)," ")</f>
        <v xml:space="preserve"> </v>
      </c>
      <c r="G2859" t="str">
        <f>IFERROR(+VLOOKUP(Movimientos_2026[[#This Row],[Codigo]],Plan_cuentas[],4,FALSE)," ")</f>
        <v xml:space="preserve"> </v>
      </c>
      <c r="H2859" t="str">
        <f>IFERROR(+VLOOKUP(Movimientos_2026[[#This Row],[Codigo]],Plan_cuentas[],5,FALSE)," ")</f>
        <v xml:space="preserve"> </v>
      </c>
      <c r="I2859" s="43"/>
      <c r="K2859" t="str">
        <f>IFERROR(+VLOOKUP(Movimientos_2026[[#This Row],[Codigo]],Plan_cuentas[],6,FALSE)," ")</f>
        <v xml:space="preserve"> </v>
      </c>
      <c r="L2859" s="50"/>
      <c r="M2859" s="50"/>
      <c r="N2859" s="20">
        <f>+Movimientos_2026[[#This Row],[Ingresos]]-Movimientos_2026[[#This Row],[Egresos]]</f>
        <v>0</v>
      </c>
      <c r="O2859" s="20">
        <f>+O2858+Movimientos_2026[[#This Row],[Neto]]</f>
        <v>4581558617.7962294</v>
      </c>
    </row>
    <row r="2860" spans="1:15" x14ac:dyDescent="0.25">
      <c r="A2860" s="13"/>
      <c r="B2860" s="12">
        <f>MONTH(Movimientos_2026[[#This Row],[Fecha]])</f>
        <v>1</v>
      </c>
      <c r="C2860" s="12" t="str">
        <f>VLOOKUP((WEEKDAY(Movimientos_2026[[#This Row],[Fecha]],2)),'5. Setup'!$D$6:$E$12,2,FALSE)</f>
        <v>Sab</v>
      </c>
      <c r="E2860" t="str">
        <f>IFERROR(+VLOOKUP(Movimientos_2026[[#This Row],[Codigo]],Plan_cuentas[],2,FALSE)," ")</f>
        <v xml:space="preserve"> </v>
      </c>
      <c r="F2860" t="str">
        <f>IFERROR(+VLOOKUP(Movimientos_2026[[#This Row],[Codigo]],Plan_cuentas[],3,FALSE)," ")</f>
        <v xml:space="preserve"> </v>
      </c>
      <c r="G2860" t="str">
        <f>IFERROR(+VLOOKUP(Movimientos_2026[[#This Row],[Codigo]],Plan_cuentas[],4,FALSE)," ")</f>
        <v xml:space="preserve"> </v>
      </c>
      <c r="H2860" t="str">
        <f>IFERROR(+VLOOKUP(Movimientos_2026[[#This Row],[Codigo]],Plan_cuentas[],5,FALSE)," ")</f>
        <v xml:space="preserve"> </v>
      </c>
      <c r="I2860" s="43"/>
      <c r="K2860" t="str">
        <f>IFERROR(+VLOOKUP(Movimientos_2026[[#This Row],[Codigo]],Plan_cuentas[],6,FALSE)," ")</f>
        <v xml:space="preserve"> </v>
      </c>
      <c r="L2860" s="50"/>
      <c r="M2860" s="50"/>
      <c r="N2860" s="20">
        <f>+Movimientos_2026[[#This Row],[Ingresos]]-Movimientos_2026[[#This Row],[Egresos]]</f>
        <v>0</v>
      </c>
      <c r="O2860" s="20">
        <f>+O2859+Movimientos_2026[[#This Row],[Neto]]</f>
        <v>4581558617.7962294</v>
      </c>
    </row>
    <row r="2861" spans="1:15" x14ac:dyDescent="0.25">
      <c r="A2861" s="13"/>
      <c r="B2861" s="12">
        <f>MONTH(Movimientos_2026[[#This Row],[Fecha]])</f>
        <v>1</v>
      </c>
      <c r="C2861" s="12" t="str">
        <f>VLOOKUP((WEEKDAY(Movimientos_2026[[#This Row],[Fecha]],2)),'5. Setup'!$D$6:$E$12,2,FALSE)</f>
        <v>Sab</v>
      </c>
      <c r="E2861" t="str">
        <f>IFERROR(+VLOOKUP(Movimientos_2026[[#This Row],[Codigo]],Plan_cuentas[],2,FALSE)," ")</f>
        <v xml:space="preserve"> </v>
      </c>
      <c r="F2861" t="str">
        <f>IFERROR(+VLOOKUP(Movimientos_2026[[#This Row],[Codigo]],Plan_cuentas[],3,FALSE)," ")</f>
        <v xml:space="preserve"> </v>
      </c>
      <c r="G2861" t="str">
        <f>IFERROR(+VLOOKUP(Movimientos_2026[[#This Row],[Codigo]],Plan_cuentas[],4,FALSE)," ")</f>
        <v xml:space="preserve"> </v>
      </c>
      <c r="H2861" t="str">
        <f>IFERROR(+VLOOKUP(Movimientos_2026[[#This Row],[Codigo]],Plan_cuentas[],5,FALSE)," ")</f>
        <v xml:space="preserve"> </v>
      </c>
      <c r="I2861" s="43"/>
      <c r="K2861" t="str">
        <f>IFERROR(+VLOOKUP(Movimientos_2026[[#This Row],[Codigo]],Plan_cuentas[],6,FALSE)," ")</f>
        <v xml:space="preserve"> </v>
      </c>
      <c r="L2861" s="50"/>
      <c r="M2861" s="50"/>
      <c r="N2861" s="20">
        <f>+Movimientos_2026[[#This Row],[Ingresos]]-Movimientos_2026[[#This Row],[Egresos]]</f>
        <v>0</v>
      </c>
      <c r="O2861" s="20">
        <f>+O2860+Movimientos_2026[[#This Row],[Neto]]</f>
        <v>4581558617.7962294</v>
      </c>
    </row>
    <row r="2862" spans="1:15" x14ac:dyDescent="0.25">
      <c r="A2862" s="13"/>
      <c r="B2862" s="12">
        <f>MONTH(Movimientos_2026[[#This Row],[Fecha]])</f>
        <v>1</v>
      </c>
      <c r="C2862" s="12" t="str">
        <f>VLOOKUP((WEEKDAY(Movimientos_2026[[#This Row],[Fecha]],2)),'5. Setup'!$D$6:$E$12,2,FALSE)</f>
        <v>Sab</v>
      </c>
      <c r="E2862" t="str">
        <f>IFERROR(+VLOOKUP(Movimientos_2026[[#This Row],[Codigo]],Plan_cuentas[],2,FALSE)," ")</f>
        <v xml:space="preserve"> </v>
      </c>
      <c r="F2862" t="str">
        <f>IFERROR(+VLOOKUP(Movimientos_2026[[#This Row],[Codigo]],Plan_cuentas[],3,FALSE)," ")</f>
        <v xml:space="preserve"> </v>
      </c>
      <c r="G2862" t="str">
        <f>IFERROR(+VLOOKUP(Movimientos_2026[[#This Row],[Codigo]],Plan_cuentas[],4,FALSE)," ")</f>
        <v xml:space="preserve"> </v>
      </c>
      <c r="H2862" t="str">
        <f>IFERROR(+VLOOKUP(Movimientos_2026[[#This Row],[Codigo]],Plan_cuentas[],5,FALSE)," ")</f>
        <v xml:space="preserve"> </v>
      </c>
      <c r="I2862" s="43"/>
      <c r="K2862" t="str">
        <f>IFERROR(+VLOOKUP(Movimientos_2026[[#This Row],[Codigo]],Plan_cuentas[],6,FALSE)," ")</f>
        <v xml:space="preserve"> </v>
      </c>
      <c r="L2862" s="50"/>
      <c r="M2862" s="50"/>
      <c r="N2862" s="20">
        <f>+Movimientos_2026[[#This Row],[Ingresos]]-Movimientos_2026[[#This Row],[Egresos]]</f>
        <v>0</v>
      </c>
      <c r="O2862" s="20">
        <f>+O2861+Movimientos_2026[[#This Row],[Neto]]</f>
        <v>4581558617.7962294</v>
      </c>
    </row>
    <row r="2863" spans="1:15" x14ac:dyDescent="0.25">
      <c r="A2863" s="13"/>
      <c r="B2863" s="12">
        <f>MONTH(Movimientos_2026[[#This Row],[Fecha]])</f>
        <v>1</v>
      </c>
      <c r="C2863" s="12" t="str">
        <f>VLOOKUP((WEEKDAY(Movimientos_2026[[#This Row],[Fecha]],2)),'5. Setup'!$D$6:$E$12,2,FALSE)</f>
        <v>Sab</v>
      </c>
      <c r="E2863" t="str">
        <f>IFERROR(+VLOOKUP(Movimientos_2026[[#This Row],[Codigo]],Plan_cuentas[],2,FALSE)," ")</f>
        <v xml:space="preserve"> </v>
      </c>
      <c r="F2863" t="str">
        <f>IFERROR(+VLOOKUP(Movimientos_2026[[#This Row],[Codigo]],Plan_cuentas[],3,FALSE)," ")</f>
        <v xml:space="preserve"> </v>
      </c>
      <c r="G2863" t="str">
        <f>IFERROR(+VLOOKUP(Movimientos_2026[[#This Row],[Codigo]],Plan_cuentas[],4,FALSE)," ")</f>
        <v xml:space="preserve"> </v>
      </c>
      <c r="H2863" t="str">
        <f>IFERROR(+VLOOKUP(Movimientos_2026[[#This Row],[Codigo]],Plan_cuentas[],5,FALSE)," ")</f>
        <v xml:space="preserve"> </v>
      </c>
      <c r="I2863" s="43"/>
      <c r="K2863" t="str">
        <f>IFERROR(+VLOOKUP(Movimientos_2026[[#This Row],[Codigo]],Plan_cuentas[],6,FALSE)," ")</f>
        <v xml:space="preserve"> </v>
      </c>
      <c r="L2863" s="50"/>
      <c r="M2863" s="50"/>
      <c r="N2863" s="20">
        <f>+Movimientos_2026[[#This Row],[Ingresos]]-Movimientos_2026[[#This Row],[Egresos]]</f>
        <v>0</v>
      </c>
      <c r="O2863" s="20">
        <f>+O2862+Movimientos_2026[[#This Row],[Neto]]</f>
        <v>4581558617.7962294</v>
      </c>
    </row>
    <row r="2864" spans="1:15" x14ac:dyDescent="0.25">
      <c r="A2864" s="13"/>
      <c r="B2864" s="12">
        <f>MONTH(Movimientos_2026[[#This Row],[Fecha]])</f>
        <v>1</v>
      </c>
      <c r="C2864" s="12" t="str">
        <f>VLOOKUP((WEEKDAY(Movimientos_2026[[#This Row],[Fecha]],2)),'5. Setup'!$D$6:$E$12,2,FALSE)</f>
        <v>Sab</v>
      </c>
      <c r="E2864" t="str">
        <f>IFERROR(+VLOOKUP(Movimientos_2026[[#This Row],[Codigo]],Plan_cuentas[],2,FALSE)," ")</f>
        <v xml:space="preserve"> </v>
      </c>
      <c r="F2864" t="str">
        <f>IFERROR(+VLOOKUP(Movimientos_2026[[#This Row],[Codigo]],Plan_cuentas[],3,FALSE)," ")</f>
        <v xml:space="preserve"> </v>
      </c>
      <c r="G2864" t="str">
        <f>IFERROR(+VLOOKUP(Movimientos_2026[[#This Row],[Codigo]],Plan_cuentas[],4,FALSE)," ")</f>
        <v xml:space="preserve"> </v>
      </c>
      <c r="H2864" t="str">
        <f>IFERROR(+VLOOKUP(Movimientos_2026[[#This Row],[Codigo]],Plan_cuentas[],5,FALSE)," ")</f>
        <v xml:space="preserve"> </v>
      </c>
      <c r="I2864" s="43"/>
      <c r="K2864" t="str">
        <f>IFERROR(+VLOOKUP(Movimientos_2026[[#This Row],[Codigo]],Plan_cuentas[],6,FALSE)," ")</f>
        <v xml:space="preserve"> </v>
      </c>
      <c r="L2864" s="50"/>
      <c r="M2864" s="50"/>
      <c r="N2864" s="20">
        <f>+Movimientos_2026[[#This Row],[Ingresos]]-Movimientos_2026[[#This Row],[Egresos]]</f>
        <v>0</v>
      </c>
      <c r="O2864" s="20">
        <f>+O2863+Movimientos_2026[[#This Row],[Neto]]</f>
        <v>4581558617.7962294</v>
      </c>
    </row>
    <row r="2865" spans="1:15" x14ac:dyDescent="0.25">
      <c r="A2865" s="13"/>
      <c r="B2865" s="12">
        <f>MONTH(Movimientos_2026[[#This Row],[Fecha]])</f>
        <v>1</v>
      </c>
      <c r="C2865" s="12" t="str">
        <f>VLOOKUP((WEEKDAY(Movimientos_2026[[#This Row],[Fecha]],2)),'5. Setup'!$D$6:$E$12,2,FALSE)</f>
        <v>Sab</v>
      </c>
      <c r="E2865" t="str">
        <f>IFERROR(+VLOOKUP(Movimientos_2026[[#This Row],[Codigo]],Plan_cuentas[],2,FALSE)," ")</f>
        <v xml:space="preserve"> </v>
      </c>
      <c r="F2865" t="str">
        <f>IFERROR(+VLOOKUP(Movimientos_2026[[#This Row],[Codigo]],Plan_cuentas[],3,FALSE)," ")</f>
        <v xml:space="preserve"> </v>
      </c>
      <c r="G2865" t="str">
        <f>IFERROR(+VLOOKUP(Movimientos_2026[[#This Row],[Codigo]],Plan_cuentas[],4,FALSE)," ")</f>
        <v xml:space="preserve"> </v>
      </c>
      <c r="H2865" t="str">
        <f>IFERROR(+VLOOKUP(Movimientos_2026[[#This Row],[Codigo]],Plan_cuentas[],5,FALSE)," ")</f>
        <v xml:space="preserve"> </v>
      </c>
      <c r="I2865" s="43"/>
      <c r="K2865" t="str">
        <f>IFERROR(+VLOOKUP(Movimientos_2026[[#This Row],[Codigo]],Plan_cuentas[],6,FALSE)," ")</f>
        <v xml:space="preserve"> </v>
      </c>
      <c r="L2865" s="50"/>
      <c r="M2865" s="50"/>
      <c r="N2865" s="20">
        <f>+Movimientos_2026[[#This Row],[Ingresos]]-Movimientos_2026[[#This Row],[Egresos]]</f>
        <v>0</v>
      </c>
      <c r="O2865" s="20">
        <f>+O2864+Movimientos_2026[[#This Row],[Neto]]</f>
        <v>4581558617.7962294</v>
      </c>
    </row>
    <row r="2866" spans="1:15" x14ac:dyDescent="0.25">
      <c r="A2866" s="13"/>
      <c r="B2866" s="12">
        <f>MONTH(Movimientos_2026[[#This Row],[Fecha]])</f>
        <v>1</v>
      </c>
      <c r="C2866" s="12" t="str">
        <f>VLOOKUP((WEEKDAY(Movimientos_2026[[#This Row],[Fecha]],2)),'5. Setup'!$D$6:$E$12,2,FALSE)</f>
        <v>Sab</v>
      </c>
      <c r="E2866" t="str">
        <f>IFERROR(+VLOOKUP(Movimientos_2026[[#This Row],[Codigo]],Plan_cuentas[],2,FALSE)," ")</f>
        <v xml:space="preserve"> </v>
      </c>
      <c r="F2866" t="str">
        <f>IFERROR(+VLOOKUP(Movimientos_2026[[#This Row],[Codigo]],Plan_cuentas[],3,FALSE)," ")</f>
        <v xml:space="preserve"> </v>
      </c>
      <c r="G2866" t="str">
        <f>IFERROR(+VLOOKUP(Movimientos_2026[[#This Row],[Codigo]],Plan_cuentas[],4,FALSE)," ")</f>
        <v xml:space="preserve"> </v>
      </c>
      <c r="H2866" t="str">
        <f>IFERROR(+VLOOKUP(Movimientos_2026[[#This Row],[Codigo]],Plan_cuentas[],5,FALSE)," ")</f>
        <v xml:space="preserve"> </v>
      </c>
      <c r="I2866" s="43"/>
      <c r="K2866" t="str">
        <f>IFERROR(+VLOOKUP(Movimientos_2026[[#This Row],[Codigo]],Plan_cuentas[],6,FALSE)," ")</f>
        <v xml:space="preserve"> </v>
      </c>
      <c r="L2866" s="50"/>
      <c r="M2866" s="50"/>
      <c r="N2866" s="20">
        <f>+Movimientos_2026[[#This Row],[Ingresos]]-Movimientos_2026[[#This Row],[Egresos]]</f>
        <v>0</v>
      </c>
      <c r="O2866" s="20">
        <f>+O2865+Movimientos_2026[[#This Row],[Neto]]</f>
        <v>4581558617.7962294</v>
      </c>
    </row>
    <row r="2867" spans="1:15" x14ac:dyDescent="0.25">
      <c r="A2867" s="13"/>
      <c r="B2867" s="12">
        <f>MONTH(Movimientos_2026[[#This Row],[Fecha]])</f>
        <v>1</v>
      </c>
      <c r="C2867" s="12" t="str">
        <f>VLOOKUP((WEEKDAY(Movimientos_2026[[#This Row],[Fecha]],2)),'5. Setup'!$D$6:$E$12,2,FALSE)</f>
        <v>Sab</v>
      </c>
      <c r="E2867" t="str">
        <f>IFERROR(+VLOOKUP(Movimientos_2026[[#This Row],[Codigo]],Plan_cuentas[],2,FALSE)," ")</f>
        <v xml:space="preserve"> </v>
      </c>
      <c r="F2867" t="str">
        <f>IFERROR(+VLOOKUP(Movimientos_2026[[#This Row],[Codigo]],Plan_cuentas[],3,FALSE)," ")</f>
        <v xml:space="preserve"> </v>
      </c>
      <c r="G2867" t="str">
        <f>IFERROR(+VLOOKUP(Movimientos_2026[[#This Row],[Codigo]],Plan_cuentas[],4,FALSE)," ")</f>
        <v xml:space="preserve"> </v>
      </c>
      <c r="H2867" t="str">
        <f>IFERROR(+VLOOKUP(Movimientos_2026[[#This Row],[Codigo]],Plan_cuentas[],5,FALSE)," ")</f>
        <v xml:space="preserve"> </v>
      </c>
      <c r="I2867" s="43"/>
      <c r="K2867" t="str">
        <f>IFERROR(+VLOOKUP(Movimientos_2026[[#This Row],[Codigo]],Plan_cuentas[],6,FALSE)," ")</f>
        <v xml:space="preserve"> </v>
      </c>
      <c r="L2867" s="50"/>
      <c r="M2867" s="50"/>
      <c r="N2867" s="20">
        <f>+Movimientos_2026[[#This Row],[Ingresos]]-Movimientos_2026[[#This Row],[Egresos]]</f>
        <v>0</v>
      </c>
      <c r="O2867" s="20">
        <f>+O2866+Movimientos_2026[[#This Row],[Neto]]</f>
        <v>4581558617.7962294</v>
      </c>
    </row>
    <row r="2868" spans="1:15" x14ac:dyDescent="0.25">
      <c r="A2868" s="13"/>
      <c r="B2868" s="12">
        <f>MONTH(Movimientos_2026[[#This Row],[Fecha]])</f>
        <v>1</v>
      </c>
      <c r="C2868" s="12" t="str">
        <f>VLOOKUP((WEEKDAY(Movimientos_2026[[#This Row],[Fecha]],2)),'5. Setup'!$D$6:$E$12,2,FALSE)</f>
        <v>Sab</v>
      </c>
      <c r="E2868" t="str">
        <f>IFERROR(+VLOOKUP(Movimientos_2026[[#This Row],[Codigo]],Plan_cuentas[],2,FALSE)," ")</f>
        <v xml:space="preserve"> </v>
      </c>
      <c r="F2868" t="str">
        <f>IFERROR(+VLOOKUP(Movimientos_2026[[#This Row],[Codigo]],Plan_cuentas[],3,FALSE)," ")</f>
        <v xml:space="preserve"> </v>
      </c>
      <c r="G2868" t="str">
        <f>IFERROR(+VLOOKUP(Movimientos_2026[[#This Row],[Codigo]],Plan_cuentas[],4,FALSE)," ")</f>
        <v xml:space="preserve"> </v>
      </c>
      <c r="H2868" t="str">
        <f>IFERROR(+VLOOKUP(Movimientos_2026[[#This Row],[Codigo]],Plan_cuentas[],5,FALSE)," ")</f>
        <v xml:space="preserve"> </v>
      </c>
      <c r="I2868" s="43"/>
      <c r="K2868" t="str">
        <f>IFERROR(+VLOOKUP(Movimientos_2026[[#This Row],[Codigo]],Plan_cuentas[],6,FALSE)," ")</f>
        <v xml:space="preserve"> </v>
      </c>
      <c r="L2868" s="50"/>
      <c r="M2868" s="50"/>
      <c r="N2868" s="20">
        <f>+Movimientos_2026[[#This Row],[Ingresos]]-Movimientos_2026[[#This Row],[Egresos]]</f>
        <v>0</v>
      </c>
      <c r="O2868" s="20">
        <f>+O2867+Movimientos_2026[[#This Row],[Neto]]</f>
        <v>4581558617.7962294</v>
      </c>
    </row>
    <row r="2869" spans="1:15" x14ac:dyDescent="0.25">
      <c r="A2869" s="13"/>
      <c r="B2869" s="12">
        <f>MONTH(Movimientos_2026[[#This Row],[Fecha]])</f>
        <v>1</v>
      </c>
      <c r="C2869" s="12" t="str">
        <f>VLOOKUP((WEEKDAY(Movimientos_2026[[#This Row],[Fecha]],2)),'5. Setup'!$D$6:$E$12,2,FALSE)</f>
        <v>Sab</v>
      </c>
      <c r="E2869" t="str">
        <f>IFERROR(+VLOOKUP(Movimientos_2026[[#This Row],[Codigo]],Plan_cuentas[],2,FALSE)," ")</f>
        <v xml:space="preserve"> </v>
      </c>
      <c r="F2869" t="str">
        <f>IFERROR(+VLOOKUP(Movimientos_2026[[#This Row],[Codigo]],Plan_cuentas[],3,FALSE)," ")</f>
        <v xml:space="preserve"> </v>
      </c>
      <c r="G2869" t="str">
        <f>IFERROR(+VLOOKUP(Movimientos_2026[[#This Row],[Codigo]],Plan_cuentas[],4,FALSE)," ")</f>
        <v xml:space="preserve"> </v>
      </c>
      <c r="H2869" t="str">
        <f>IFERROR(+VLOOKUP(Movimientos_2026[[#This Row],[Codigo]],Plan_cuentas[],5,FALSE)," ")</f>
        <v xml:space="preserve"> </v>
      </c>
      <c r="I2869" s="43"/>
      <c r="K2869" t="str">
        <f>IFERROR(+VLOOKUP(Movimientos_2026[[#This Row],[Codigo]],Plan_cuentas[],6,FALSE)," ")</f>
        <v xml:space="preserve"> </v>
      </c>
      <c r="L2869" s="50"/>
      <c r="M2869" s="50"/>
      <c r="N2869" s="20">
        <f>+Movimientos_2026[[#This Row],[Ingresos]]-Movimientos_2026[[#This Row],[Egresos]]</f>
        <v>0</v>
      </c>
      <c r="O2869" s="20">
        <f>+O2868+Movimientos_2026[[#This Row],[Neto]]</f>
        <v>4581558617.7962294</v>
      </c>
    </row>
    <row r="2870" spans="1:15" x14ac:dyDescent="0.25">
      <c r="A2870" s="13"/>
      <c r="B2870" s="12">
        <f>MONTH(Movimientos_2026[[#This Row],[Fecha]])</f>
        <v>1</v>
      </c>
      <c r="C2870" s="12" t="str">
        <f>VLOOKUP((WEEKDAY(Movimientos_2026[[#This Row],[Fecha]],2)),'5. Setup'!$D$6:$E$12,2,FALSE)</f>
        <v>Sab</v>
      </c>
      <c r="E2870" t="str">
        <f>IFERROR(+VLOOKUP(Movimientos_2026[[#This Row],[Codigo]],Plan_cuentas[],2,FALSE)," ")</f>
        <v xml:space="preserve"> </v>
      </c>
      <c r="F2870" t="str">
        <f>IFERROR(+VLOOKUP(Movimientos_2026[[#This Row],[Codigo]],Plan_cuentas[],3,FALSE)," ")</f>
        <v xml:space="preserve"> </v>
      </c>
      <c r="G2870" t="str">
        <f>IFERROR(+VLOOKUP(Movimientos_2026[[#This Row],[Codigo]],Plan_cuentas[],4,FALSE)," ")</f>
        <v xml:space="preserve"> </v>
      </c>
      <c r="H2870" t="str">
        <f>IFERROR(+VLOOKUP(Movimientos_2026[[#This Row],[Codigo]],Plan_cuentas[],5,FALSE)," ")</f>
        <v xml:space="preserve"> </v>
      </c>
      <c r="I2870" s="43"/>
      <c r="K2870" t="str">
        <f>IFERROR(+VLOOKUP(Movimientos_2026[[#This Row],[Codigo]],Plan_cuentas[],6,FALSE)," ")</f>
        <v xml:space="preserve"> </v>
      </c>
      <c r="L2870" s="50"/>
      <c r="M2870" s="50"/>
      <c r="N2870" s="20">
        <f>+Movimientos_2026[[#This Row],[Ingresos]]-Movimientos_2026[[#This Row],[Egresos]]</f>
        <v>0</v>
      </c>
      <c r="O2870" s="20">
        <f>+O2869+Movimientos_2026[[#This Row],[Neto]]</f>
        <v>4581558617.7962294</v>
      </c>
    </row>
    <row r="2871" spans="1:15" x14ac:dyDescent="0.25">
      <c r="A2871" s="13"/>
      <c r="B2871" s="12">
        <f>MONTH(Movimientos_2026[[#This Row],[Fecha]])</f>
        <v>1</v>
      </c>
      <c r="C2871" s="12" t="str">
        <f>VLOOKUP((WEEKDAY(Movimientos_2026[[#This Row],[Fecha]],2)),'5. Setup'!$D$6:$E$12,2,FALSE)</f>
        <v>Sab</v>
      </c>
      <c r="E2871" t="str">
        <f>IFERROR(+VLOOKUP(Movimientos_2026[[#This Row],[Codigo]],Plan_cuentas[],2,FALSE)," ")</f>
        <v xml:space="preserve"> </v>
      </c>
      <c r="F2871" t="str">
        <f>IFERROR(+VLOOKUP(Movimientos_2026[[#This Row],[Codigo]],Plan_cuentas[],3,FALSE)," ")</f>
        <v xml:space="preserve"> </v>
      </c>
      <c r="G2871" t="str">
        <f>IFERROR(+VLOOKUP(Movimientos_2026[[#This Row],[Codigo]],Plan_cuentas[],4,FALSE)," ")</f>
        <v xml:space="preserve"> </v>
      </c>
      <c r="H2871" t="str">
        <f>IFERROR(+VLOOKUP(Movimientos_2026[[#This Row],[Codigo]],Plan_cuentas[],5,FALSE)," ")</f>
        <v xml:space="preserve"> </v>
      </c>
      <c r="I2871" s="43"/>
      <c r="K2871" t="str">
        <f>IFERROR(+VLOOKUP(Movimientos_2026[[#This Row],[Codigo]],Plan_cuentas[],6,FALSE)," ")</f>
        <v xml:space="preserve"> </v>
      </c>
      <c r="L2871" s="50"/>
      <c r="M2871" s="50"/>
      <c r="N2871" s="20">
        <f>+Movimientos_2026[[#This Row],[Ingresos]]-Movimientos_2026[[#This Row],[Egresos]]</f>
        <v>0</v>
      </c>
      <c r="O2871" s="20">
        <f>+O2870+Movimientos_2026[[#This Row],[Neto]]</f>
        <v>4581558617.7962294</v>
      </c>
    </row>
    <row r="2872" spans="1:15" x14ac:dyDescent="0.25">
      <c r="A2872" s="13"/>
      <c r="B2872" s="12">
        <f>MONTH(Movimientos_2026[[#This Row],[Fecha]])</f>
        <v>1</v>
      </c>
      <c r="C2872" s="12" t="str">
        <f>VLOOKUP((WEEKDAY(Movimientos_2026[[#This Row],[Fecha]],2)),'5. Setup'!$D$6:$E$12,2,FALSE)</f>
        <v>Sab</v>
      </c>
      <c r="E2872" t="str">
        <f>IFERROR(+VLOOKUP(Movimientos_2026[[#This Row],[Codigo]],Plan_cuentas[],2,FALSE)," ")</f>
        <v xml:space="preserve"> </v>
      </c>
      <c r="F2872" t="str">
        <f>IFERROR(+VLOOKUP(Movimientos_2026[[#This Row],[Codigo]],Plan_cuentas[],3,FALSE)," ")</f>
        <v xml:space="preserve"> </v>
      </c>
      <c r="G2872" t="str">
        <f>IFERROR(+VLOOKUP(Movimientos_2026[[#This Row],[Codigo]],Plan_cuentas[],4,FALSE)," ")</f>
        <v xml:space="preserve"> </v>
      </c>
      <c r="H2872" t="str">
        <f>IFERROR(+VLOOKUP(Movimientos_2026[[#This Row],[Codigo]],Plan_cuentas[],5,FALSE)," ")</f>
        <v xml:space="preserve"> </v>
      </c>
      <c r="I2872" s="43"/>
      <c r="K2872" t="str">
        <f>IFERROR(+VLOOKUP(Movimientos_2026[[#This Row],[Codigo]],Plan_cuentas[],6,FALSE)," ")</f>
        <v xml:space="preserve"> </v>
      </c>
      <c r="L2872" s="50"/>
      <c r="M2872" s="50"/>
      <c r="N2872" s="20">
        <f>+Movimientos_2026[[#This Row],[Ingresos]]-Movimientos_2026[[#This Row],[Egresos]]</f>
        <v>0</v>
      </c>
      <c r="O2872" s="20">
        <f>+O2871+Movimientos_2026[[#This Row],[Neto]]</f>
        <v>4581558617.7962294</v>
      </c>
    </row>
    <row r="2873" spans="1:15" x14ac:dyDescent="0.25">
      <c r="A2873" s="13"/>
      <c r="B2873" s="12">
        <f>MONTH(Movimientos_2026[[#This Row],[Fecha]])</f>
        <v>1</v>
      </c>
      <c r="C2873" s="12" t="str">
        <f>VLOOKUP((WEEKDAY(Movimientos_2026[[#This Row],[Fecha]],2)),'5. Setup'!$D$6:$E$12,2,FALSE)</f>
        <v>Sab</v>
      </c>
      <c r="E2873" t="str">
        <f>IFERROR(+VLOOKUP(Movimientos_2026[[#This Row],[Codigo]],Plan_cuentas[],2,FALSE)," ")</f>
        <v xml:space="preserve"> </v>
      </c>
      <c r="F2873" t="str">
        <f>IFERROR(+VLOOKUP(Movimientos_2026[[#This Row],[Codigo]],Plan_cuentas[],3,FALSE)," ")</f>
        <v xml:space="preserve"> </v>
      </c>
      <c r="G2873" t="str">
        <f>IFERROR(+VLOOKUP(Movimientos_2026[[#This Row],[Codigo]],Plan_cuentas[],4,FALSE)," ")</f>
        <v xml:space="preserve"> </v>
      </c>
      <c r="H2873" t="str">
        <f>IFERROR(+VLOOKUP(Movimientos_2026[[#This Row],[Codigo]],Plan_cuentas[],5,FALSE)," ")</f>
        <v xml:space="preserve"> </v>
      </c>
      <c r="I2873" s="43"/>
      <c r="K2873" t="str">
        <f>IFERROR(+VLOOKUP(Movimientos_2026[[#This Row],[Codigo]],Plan_cuentas[],6,FALSE)," ")</f>
        <v xml:space="preserve"> </v>
      </c>
      <c r="L2873" s="50"/>
      <c r="M2873" s="50"/>
      <c r="N2873" s="20">
        <f>+Movimientos_2026[[#This Row],[Ingresos]]-Movimientos_2026[[#This Row],[Egresos]]</f>
        <v>0</v>
      </c>
      <c r="O2873" s="20">
        <f>+O2872+Movimientos_2026[[#This Row],[Neto]]</f>
        <v>4581558617.7962294</v>
      </c>
    </row>
    <row r="2874" spans="1:15" x14ac:dyDescent="0.25">
      <c r="A2874" s="13"/>
      <c r="B2874" s="12">
        <f>MONTH(Movimientos_2026[[#This Row],[Fecha]])</f>
        <v>1</v>
      </c>
      <c r="C2874" s="12" t="str">
        <f>VLOOKUP((WEEKDAY(Movimientos_2026[[#This Row],[Fecha]],2)),'5. Setup'!$D$6:$E$12,2,FALSE)</f>
        <v>Sab</v>
      </c>
      <c r="E2874" t="str">
        <f>IFERROR(+VLOOKUP(Movimientos_2026[[#This Row],[Codigo]],Plan_cuentas[],2,FALSE)," ")</f>
        <v xml:space="preserve"> </v>
      </c>
      <c r="F2874" t="str">
        <f>IFERROR(+VLOOKUP(Movimientos_2026[[#This Row],[Codigo]],Plan_cuentas[],3,FALSE)," ")</f>
        <v xml:space="preserve"> </v>
      </c>
      <c r="G2874" t="str">
        <f>IFERROR(+VLOOKUP(Movimientos_2026[[#This Row],[Codigo]],Plan_cuentas[],4,FALSE)," ")</f>
        <v xml:space="preserve"> </v>
      </c>
      <c r="H2874" t="str">
        <f>IFERROR(+VLOOKUP(Movimientos_2026[[#This Row],[Codigo]],Plan_cuentas[],5,FALSE)," ")</f>
        <v xml:space="preserve"> </v>
      </c>
      <c r="I2874" s="43"/>
      <c r="K2874" t="str">
        <f>IFERROR(+VLOOKUP(Movimientos_2026[[#This Row],[Codigo]],Plan_cuentas[],6,FALSE)," ")</f>
        <v xml:space="preserve"> </v>
      </c>
      <c r="L2874" s="50"/>
      <c r="M2874" s="50"/>
      <c r="N2874" s="20">
        <f>+Movimientos_2026[[#This Row],[Ingresos]]-Movimientos_2026[[#This Row],[Egresos]]</f>
        <v>0</v>
      </c>
      <c r="O2874" s="20">
        <f>+O2873+Movimientos_2026[[#This Row],[Neto]]</f>
        <v>4581558617.7962294</v>
      </c>
    </row>
    <row r="2875" spans="1:15" x14ac:dyDescent="0.25">
      <c r="A2875" s="13"/>
      <c r="B2875" s="12">
        <f>MONTH(Movimientos_2026[[#This Row],[Fecha]])</f>
        <v>1</v>
      </c>
      <c r="C2875" s="12" t="str">
        <f>VLOOKUP((WEEKDAY(Movimientos_2026[[#This Row],[Fecha]],2)),'5. Setup'!$D$6:$E$12,2,FALSE)</f>
        <v>Sab</v>
      </c>
      <c r="E2875" t="str">
        <f>IFERROR(+VLOOKUP(Movimientos_2026[[#This Row],[Codigo]],Plan_cuentas[],2,FALSE)," ")</f>
        <v xml:space="preserve"> </v>
      </c>
      <c r="F2875" t="str">
        <f>IFERROR(+VLOOKUP(Movimientos_2026[[#This Row],[Codigo]],Plan_cuentas[],3,FALSE)," ")</f>
        <v xml:space="preserve"> </v>
      </c>
      <c r="G2875" t="str">
        <f>IFERROR(+VLOOKUP(Movimientos_2026[[#This Row],[Codigo]],Plan_cuentas[],4,FALSE)," ")</f>
        <v xml:space="preserve"> </v>
      </c>
      <c r="H2875" t="str">
        <f>IFERROR(+VLOOKUP(Movimientos_2026[[#This Row],[Codigo]],Plan_cuentas[],5,FALSE)," ")</f>
        <v xml:space="preserve"> </v>
      </c>
      <c r="I2875" s="43"/>
      <c r="K2875" t="str">
        <f>IFERROR(+VLOOKUP(Movimientos_2026[[#This Row],[Codigo]],Plan_cuentas[],6,FALSE)," ")</f>
        <v xml:space="preserve"> </v>
      </c>
      <c r="L2875" s="50"/>
      <c r="M2875" s="50"/>
      <c r="N2875" s="20">
        <f>+Movimientos_2026[[#This Row],[Ingresos]]-Movimientos_2026[[#This Row],[Egresos]]</f>
        <v>0</v>
      </c>
      <c r="O2875" s="20">
        <f>+O2874+Movimientos_2026[[#This Row],[Neto]]</f>
        <v>4581558617.7962294</v>
      </c>
    </row>
    <row r="2876" spans="1:15" x14ac:dyDescent="0.25">
      <c r="A2876" s="13"/>
      <c r="B2876" s="12">
        <f>MONTH(Movimientos_2026[[#This Row],[Fecha]])</f>
        <v>1</v>
      </c>
      <c r="C2876" s="12" t="str">
        <f>VLOOKUP((WEEKDAY(Movimientos_2026[[#This Row],[Fecha]],2)),'5. Setup'!$D$6:$E$12,2,FALSE)</f>
        <v>Sab</v>
      </c>
      <c r="E2876" t="str">
        <f>IFERROR(+VLOOKUP(Movimientos_2026[[#This Row],[Codigo]],Plan_cuentas[],2,FALSE)," ")</f>
        <v xml:space="preserve"> </v>
      </c>
      <c r="F2876" t="str">
        <f>IFERROR(+VLOOKUP(Movimientos_2026[[#This Row],[Codigo]],Plan_cuentas[],3,FALSE)," ")</f>
        <v xml:space="preserve"> </v>
      </c>
      <c r="G2876" t="str">
        <f>IFERROR(+VLOOKUP(Movimientos_2026[[#This Row],[Codigo]],Plan_cuentas[],4,FALSE)," ")</f>
        <v xml:space="preserve"> </v>
      </c>
      <c r="H2876" t="str">
        <f>IFERROR(+VLOOKUP(Movimientos_2026[[#This Row],[Codigo]],Plan_cuentas[],5,FALSE)," ")</f>
        <v xml:space="preserve"> </v>
      </c>
      <c r="I2876" s="43"/>
      <c r="K2876" t="str">
        <f>IFERROR(+VLOOKUP(Movimientos_2026[[#This Row],[Codigo]],Plan_cuentas[],6,FALSE)," ")</f>
        <v xml:space="preserve"> </v>
      </c>
      <c r="L2876" s="50"/>
      <c r="M2876" s="50"/>
      <c r="N2876" s="20">
        <f>+Movimientos_2026[[#This Row],[Ingresos]]-Movimientos_2026[[#This Row],[Egresos]]</f>
        <v>0</v>
      </c>
      <c r="O2876" s="20">
        <f>+O2875+Movimientos_2026[[#This Row],[Neto]]</f>
        <v>4581558617.7962294</v>
      </c>
    </row>
    <row r="2877" spans="1:15" x14ac:dyDescent="0.25">
      <c r="A2877" s="13"/>
      <c r="B2877" s="12">
        <f>MONTH(Movimientos_2026[[#This Row],[Fecha]])</f>
        <v>1</v>
      </c>
      <c r="C2877" s="12" t="str">
        <f>VLOOKUP((WEEKDAY(Movimientos_2026[[#This Row],[Fecha]],2)),'5. Setup'!$D$6:$E$12,2,FALSE)</f>
        <v>Sab</v>
      </c>
      <c r="E2877" t="str">
        <f>IFERROR(+VLOOKUP(Movimientos_2026[[#This Row],[Codigo]],Plan_cuentas[],2,FALSE)," ")</f>
        <v xml:space="preserve"> </v>
      </c>
      <c r="F2877" t="str">
        <f>IFERROR(+VLOOKUP(Movimientos_2026[[#This Row],[Codigo]],Plan_cuentas[],3,FALSE)," ")</f>
        <v xml:space="preserve"> </v>
      </c>
      <c r="G2877" t="str">
        <f>IFERROR(+VLOOKUP(Movimientos_2026[[#This Row],[Codigo]],Plan_cuentas[],4,FALSE)," ")</f>
        <v xml:space="preserve"> </v>
      </c>
      <c r="H2877" t="str">
        <f>IFERROR(+VLOOKUP(Movimientos_2026[[#This Row],[Codigo]],Plan_cuentas[],5,FALSE)," ")</f>
        <v xml:space="preserve"> </v>
      </c>
      <c r="I2877" s="43"/>
      <c r="K2877" t="str">
        <f>IFERROR(+VLOOKUP(Movimientos_2026[[#This Row],[Codigo]],Plan_cuentas[],6,FALSE)," ")</f>
        <v xml:space="preserve"> </v>
      </c>
      <c r="L2877" s="50"/>
      <c r="M2877" s="50"/>
      <c r="N2877" s="20">
        <f>+Movimientos_2026[[#This Row],[Ingresos]]-Movimientos_2026[[#This Row],[Egresos]]</f>
        <v>0</v>
      </c>
      <c r="O2877" s="20">
        <f>+O2876+Movimientos_2026[[#This Row],[Neto]]</f>
        <v>4581558617.7962294</v>
      </c>
    </row>
    <row r="2878" spans="1:15" x14ac:dyDescent="0.25">
      <c r="A2878" s="13"/>
      <c r="B2878" s="12">
        <f>MONTH(Movimientos_2026[[#This Row],[Fecha]])</f>
        <v>1</v>
      </c>
      <c r="C2878" s="12" t="str">
        <f>VLOOKUP((WEEKDAY(Movimientos_2026[[#This Row],[Fecha]],2)),'5. Setup'!$D$6:$E$12,2,FALSE)</f>
        <v>Sab</v>
      </c>
      <c r="E2878" t="str">
        <f>IFERROR(+VLOOKUP(Movimientos_2026[[#This Row],[Codigo]],Plan_cuentas[],2,FALSE)," ")</f>
        <v xml:space="preserve"> </v>
      </c>
      <c r="F2878" t="str">
        <f>IFERROR(+VLOOKUP(Movimientos_2026[[#This Row],[Codigo]],Plan_cuentas[],3,FALSE)," ")</f>
        <v xml:space="preserve"> </v>
      </c>
      <c r="G2878" t="str">
        <f>IFERROR(+VLOOKUP(Movimientos_2026[[#This Row],[Codigo]],Plan_cuentas[],4,FALSE)," ")</f>
        <v xml:space="preserve"> </v>
      </c>
      <c r="H2878" t="str">
        <f>IFERROR(+VLOOKUP(Movimientos_2026[[#This Row],[Codigo]],Plan_cuentas[],5,FALSE)," ")</f>
        <v xml:space="preserve"> </v>
      </c>
      <c r="I2878" s="43"/>
      <c r="K2878" t="str">
        <f>IFERROR(+VLOOKUP(Movimientos_2026[[#This Row],[Codigo]],Plan_cuentas[],6,FALSE)," ")</f>
        <v xml:space="preserve"> </v>
      </c>
      <c r="L2878" s="50"/>
      <c r="M2878" s="50"/>
      <c r="N2878" s="20">
        <f>+Movimientos_2026[[#This Row],[Ingresos]]-Movimientos_2026[[#This Row],[Egresos]]</f>
        <v>0</v>
      </c>
      <c r="O2878" s="20">
        <f>+O2877+Movimientos_2026[[#This Row],[Neto]]</f>
        <v>4581558617.7962294</v>
      </c>
    </row>
    <row r="2879" spans="1:15" x14ac:dyDescent="0.25">
      <c r="A2879" s="13"/>
      <c r="B2879" s="12">
        <f>MONTH(Movimientos_2026[[#This Row],[Fecha]])</f>
        <v>1</v>
      </c>
      <c r="C2879" s="12" t="str">
        <f>VLOOKUP((WEEKDAY(Movimientos_2026[[#This Row],[Fecha]],2)),'5. Setup'!$D$6:$E$12,2,FALSE)</f>
        <v>Sab</v>
      </c>
      <c r="E2879" t="str">
        <f>IFERROR(+VLOOKUP(Movimientos_2026[[#This Row],[Codigo]],Plan_cuentas[],2,FALSE)," ")</f>
        <v xml:space="preserve"> </v>
      </c>
      <c r="F2879" t="str">
        <f>IFERROR(+VLOOKUP(Movimientos_2026[[#This Row],[Codigo]],Plan_cuentas[],3,FALSE)," ")</f>
        <v xml:space="preserve"> </v>
      </c>
      <c r="G2879" t="str">
        <f>IFERROR(+VLOOKUP(Movimientos_2026[[#This Row],[Codigo]],Plan_cuentas[],4,FALSE)," ")</f>
        <v xml:space="preserve"> </v>
      </c>
      <c r="H2879" t="str">
        <f>IFERROR(+VLOOKUP(Movimientos_2026[[#This Row],[Codigo]],Plan_cuentas[],5,FALSE)," ")</f>
        <v xml:space="preserve"> </v>
      </c>
      <c r="I2879" s="43"/>
      <c r="K2879" t="str">
        <f>IFERROR(+VLOOKUP(Movimientos_2026[[#This Row],[Codigo]],Plan_cuentas[],6,FALSE)," ")</f>
        <v xml:space="preserve"> </v>
      </c>
      <c r="L2879" s="50"/>
      <c r="M2879" s="50"/>
      <c r="N2879" s="20">
        <f>+Movimientos_2026[[#This Row],[Ingresos]]-Movimientos_2026[[#This Row],[Egresos]]</f>
        <v>0</v>
      </c>
      <c r="O2879" s="20">
        <f>+O2878+Movimientos_2026[[#This Row],[Neto]]</f>
        <v>4581558617.7962294</v>
      </c>
    </row>
    <row r="2880" spans="1:15" x14ac:dyDescent="0.25">
      <c r="A2880" s="13"/>
      <c r="B2880" s="12">
        <f>MONTH(Movimientos_2026[[#This Row],[Fecha]])</f>
        <v>1</v>
      </c>
      <c r="C2880" s="12" t="str">
        <f>VLOOKUP((WEEKDAY(Movimientos_2026[[#This Row],[Fecha]],2)),'5. Setup'!$D$6:$E$12,2,FALSE)</f>
        <v>Sab</v>
      </c>
      <c r="E2880" t="str">
        <f>IFERROR(+VLOOKUP(Movimientos_2026[[#This Row],[Codigo]],Plan_cuentas[],2,FALSE)," ")</f>
        <v xml:space="preserve"> </v>
      </c>
      <c r="F2880" t="str">
        <f>IFERROR(+VLOOKUP(Movimientos_2026[[#This Row],[Codigo]],Plan_cuentas[],3,FALSE)," ")</f>
        <v xml:space="preserve"> </v>
      </c>
      <c r="G2880" t="str">
        <f>IFERROR(+VLOOKUP(Movimientos_2026[[#This Row],[Codigo]],Plan_cuentas[],4,FALSE)," ")</f>
        <v xml:space="preserve"> </v>
      </c>
      <c r="H2880" t="str">
        <f>IFERROR(+VLOOKUP(Movimientos_2026[[#This Row],[Codigo]],Plan_cuentas[],5,FALSE)," ")</f>
        <v xml:space="preserve"> </v>
      </c>
      <c r="I2880" s="43"/>
      <c r="K2880" t="str">
        <f>IFERROR(+VLOOKUP(Movimientos_2026[[#This Row],[Codigo]],Plan_cuentas[],6,FALSE)," ")</f>
        <v xml:space="preserve"> </v>
      </c>
      <c r="L2880" s="50"/>
      <c r="M2880" s="50"/>
      <c r="N2880" s="20">
        <f>+Movimientos_2026[[#This Row],[Ingresos]]-Movimientos_2026[[#This Row],[Egresos]]</f>
        <v>0</v>
      </c>
      <c r="O2880" s="20">
        <f>+O2879+Movimientos_2026[[#This Row],[Neto]]</f>
        <v>4581558617.7962294</v>
      </c>
    </row>
    <row r="2881" spans="1:15" x14ac:dyDescent="0.25">
      <c r="A2881" s="13"/>
      <c r="B2881" s="12">
        <f>MONTH(Movimientos_2026[[#This Row],[Fecha]])</f>
        <v>1</v>
      </c>
      <c r="C2881" s="12" t="str">
        <f>VLOOKUP((WEEKDAY(Movimientos_2026[[#This Row],[Fecha]],2)),'5. Setup'!$D$6:$E$12,2,FALSE)</f>
        <v>Sab</v>
      </c>
      <c r="E2881" t="str">
        <f>IFERROR(+VLOOKUP(Movimientos_2026[[#This Row],[Codigo]],Plan_cuentas[],2,FALSE)," ")</f>
        <v xml:space="preserve"> </v>
      </c>
      <c r="F2881" t="str">
        <f>IFERROR(+VLOOKUP(Movimientos_2026[[#This Row],[Codigo]],Plan_cuentas[],3,FALSE)," ")</f>
        <v xml:space="preserve"> </v>
      </c>
      <c r="G2881" t="str">
        <f>IFERROR(+VLOOKUP(Movimientos_2026[[#This Row],[Codigo]],Plan_cuentas[],4,FALSE)," ")</f>
        <v xml:space="preserve"> </v>
      </c>
      <c r="H2881" t="str">
        <f>IFERROR(+VLOOKUP(Movimientos_2026[[#This Row],[Codigo]],Plan_cuentas[],5,FALSE)," ")</f>
        <v xml:space="preserve"> </v>
      </c>
      <c r="I2881" s="43"/>
      <c r="K2881" t="str">
        <f>IFERROR(+VLOOKUP(Movimientos_2026[[#This Row],[Codigo]],Plan_cuentas[],6,FALSE)," ")</f>
        <v xml:space="preserve"> </v>
      </c>
      <c r="L2881" s="50"/>
      <c r="M2881" s="50"/>
      <c r="N2881" s="20">
        <f>+Movimientos_2026[[#This Row],[Ingresos]]-Movimientos_2026[[#This Row],[Egresos]]</f>
        <v>0</v>
      </c>
      <c r="O2881" s="20">
        <f>+O2880+Movimientos_2026[[#This Row],[Neto]]</f>
        <v>4581558617.7962294</v>
      </c>
    </row>
    <row r="2882" spans="1:15" x14ac:dyDescent="0.25">
      <c r="A2882" s="13"/>
      <c r="B2882" s="12">
        <f>MONTH(Movimientos_2026[[#This Row],[Fecha]])</f>
        <v>1</v>
      </c>
      <c r="C2882" s="12" t="str">
        <f>VLOOKUP((WEEKDAY(Movimientos_2026[[#This Row],[Fecha]],2)),'5. Setup'!$D$6:$E$12,2,FALSE)</f>
        <v>Sab</v>
      </c>
      <c r="E2882" t="str">
        <f>IFERROR(+VLOOKUP(Movimientos_2026[[#This Row],[Codigo]],Plan_cuentas[],2,FALSE)," ")</f>
        <v xml:space="preserve"> </v>
      </c>
      <c r="F2882" t="str">
        <f>IFERROR(+VLOOKUP(Movimientos_2026[[#This Row],[Codigo]],Plan_cuentas[],3,FALSE)," ")</f>
        <v xml:space="preserve"> </v>
      </c>
      <c r="G2882" t="str">
        <f>IFERROR(+VLOOKUP(Movimientos_2026[[#This Row],[Codigo]],Plan_cuentas[],4,FALSE)," ")</f>
        <v xml:space="preserve"> </v>
      </c>
      <c r="H2882" t="str">
        <f>IFERROR(+VLOOKUP(Movimientos_2026[[#This Row],[Codigo]],Plan_cuentas[],5,FALSE)," ")</f>
        <v xml:space="preserve"> </v>
      </c>
      <c r="I2882" s="43"/>
      <c r="K2882" t="str">
        <f>IFERROR(+VLOOKUP(Movimientos_2026[[#This Row],[Codigo]],Plan_cuentas[],6,FALSE)," ")</f>
        <v xml:space="preserve"> </v>
      </c>
      <c r="L2882" s="50"/>
      <c r="M2882" s="50"/>
      <c r="N2882" s="20">
        <f>+Movimientos_2026[[#This Row],[Ingresos]]-Movimientos_2026[[#This Row],[Egresos]]</f>
        <v>0</v>
      </c>
      <c r="O2882" s="20">
        <f>+O2881+Movimientos_2026[[#This Row],[Neto]]</f>
        <v>4581558617.7962294</v>
      </c>
    </row>
    <row r="2883" spans="1:15" x14ac:dyDescent="0.25">
      <c r="A2883" s="13"/>
      <c r="B2883" s="12">
        <f>MONTH(Movimientos_2026[[#This Row],[Fecha]])</f>
        <v>1</v>
      </c>
      <c r="C2883" s="12" t="str">
        <f>VLOOKUP((WEEKDAY(Movimientos_2026[[#This Row],[Fecha]],2)),'5. Setup'!$D$6:$E$12,2,FALSE)</f>
        <v>Sab</v>
      </c>
      <c r="E2883" t="str">
        <f>IFERROR(+VLOOKUP(Movimientos_2026[[#This Row],[Codigo]],Plan_cuentas[],2,FALSE)," ")</f>
        <v xml:space="preserve"> </v>
      </c>
      <c r="F2883" t="str">
        <f>IFERROR(+VLOOKUP(Movimientos_2026[[#This Row],[Codigo]],Plan_cuentas[],3,FALSE)," ")</f>
        <v xml:space="preserve"> </v>
      </c>
      <c r="G2883" t="str">
        <f>IFERROR(+VLOOKUP(Movimientos_2026[[#This Row],[Codigo]],Plan_cuentas[],4,FALSE)," ")</f>
        <v xml:space="preserve"> </v>
      </c>
      <c r="H2883" t="str">
        <f>IFERROR(+VLOOKUP(Movimientos_2026[[#This Row],[Codigo]],Plan_cuentas[],5,FALSE)," ")</f>
        <v xml:space="preserve"> </v>
      </c>
      <c r="I2883" s="43"/>
      <c r="K2883" t="str">
        <f>IFERROR(+VLOOKUP(Movimientos_2026[[#This Row],[Codigo]],Plan_cuentas[],6,FALSE)," ")</f>
        <v xml:space="preserve"> </v>
      </c>
      <c r="L2883" s="50"/>
      <c r="M2883" s="50"/>
      <c r="N2883" s="20">
        <f>+Movimientos_2026[[#This Row],[Ingresos]]-Movimientos_2026[[#This Row],[Egresos]]</f>
        <v>0</v>
      </c>
      <c r="O2883" s="20">
        <f>+O2882+Movimientos_2026[[#This Row],[Neto]]</f>
        <v>4581558617.7962294</v>
      </c>
    </row>
    <row r="2884" spans="1:15" x14ac:dyDescent="0.25">
      <c r="A2884" s="13"/>
      <c r="B2884" s="12">
        <f>MONTH(Movimientos_2026[[#This Row],[Fecha]])</f>
        <v>1</v>
      </c>
      <c r="C2884" s="12" t="str">
        <f>VLOOKUP((WEEKDAY(Movimientos_2026[[#This Row],[Fecha]],2)),'5. Setup'!$D$6:$E$12,2,FALSE)</f>
        <v>Sab</v>
      </c>
      <c r="E2884" t="str">
        <f>IFERROR(+VLOOKUP(Movimientos_2026[[#This Row],[Codigo]],Plan_cuentas[],2,FALSE)," ")</f>
        <v xml:space="preserve"> </v>
      </c>
      <c r="F2884" t="str">
        <f>IFERROR(+VLOOKUP(Movimientos_2026[[#This Row],[Codigo]],Plan_cuentas[],3,FALSE)," ")</f>
        <v xml:space="preserve"> </v>
      </c>
      <c r="G2884" t="str">
        <f>IFERROR(+VLOOKUP(Movimientos_2026[[#This Row],[Codigo]],Plan_cuentas[],4,FALSE)," ")</f>
        <v xml:space="preserve"> </v>
      </c>
      <c r="H2884" t="str">
        <f>IFERROR(+VLOOKUP(Movimientos_2026[[#This Row],[Codigo]],Plan_cuentas[],5,FALSE)," ")</f>
        <v xml:space="preserve"> </v>
      </c>
      <c r="I2884" s="43"/>
      <c r="K2884" t="str">
        <f>IFERROR(+VLOOKUP(Movimientos_2026[[#This Row],[Codigo]],Plan_cuentas[],6,FALSE)," ")</f>
        <v xml:space="preserve"> </v>
      </c>
      <c r="L2884" s="50"/>
      <c r="M2884" s="50"/>
      <c r="N2884" s="20">
        <f>+Movimientos_2026[[#This Row],[Ingresos]]-Movimientos_2026[[#This Row],[Egresos]]</f>
        <v>0</v>
      </c>
      <c r="O2884" s="20">
        <f>+O2883+Movimientos_2026[[#This Row],[Neto]]</f>
        <v>4581558617.7962294</v>
      </c>
    </row>
    <row r="2885" spans="1:15" x14ac:dyDescent="0.25">
      <c r="A2885" s="13"/>
      <c r="B2885" s="12">
        <f>MONTH(Movimientos_2026[[#This Row],[Fecha]])</f>
        <v>1</v>
      </c>
      <c r="C2885" s="12" t="str">
        <f>VLOOKUP((WEEKDAY(Movimientos_2026[[#This Row],[Fecha]],2)),'5. Setup'!$D$6:$E$12,2,FALSE)</f>
        <v>Sab</v>
      </c>
      <c r="E2885" t="str">
        <f>IFERROR(+VLOOKUP(Movimientos_2026[[#This Row],[Codigo]],Plan_cuentas[],2,FALSE)," ")</f>
        <v xml:space="preserve"> </v>
      </c>
      <c r="F2885" t="str">
        <f>IFERROR(+VLOOKUP(Movimientos_2026[[#This Row],[Codigo]],Plan_cuentas[],3,FALSE)," ")</f>
        <v xml:space="preserve"> </v>
      </c>
      <c r="G2885" t="str">
        <f>IFERROR(+VLOOKUP(Movimientos_2026[[#This Row],[Codigo]],Plan_cuentas[],4,FALSE)," ")</f>
        <v xml:space="preserve"> </v>
      </c>
      <c r="H2885" t="str">
        <f>IFERROR(+VLOOKUP(Movimientos_2026[[#This Row],[Codigo]],Plan_cuentas[],5,FALSE)," ")</f>
        <v xml:space="preserve"> </v>
      </c>
      <c r="I2885" s="43"/>
      <c r="K2885" t="str">
        <f>IFERROR(+VLOOKUP(Movimientos_2026[[#This Row],[Codigo]],Plan_cuentas[],6,FALSE)," ")</f>
        <v xml:space="preserve"> </v>
      </c>
      <c r="L2885" s="50"/>
      <c r="M2885" s="50"/>
      <c r="N2885" s="20">
        <f>+Movimientos_2026[[#This Row],[Ingresos]]-Movimientos_2026[[#This Row],[Egresos]]</f>
        <v>0</v>
      </c>
      <c r="O2885" s="20">
        <f>+O2884+Movimientos_2026[[#This Row],[Neto]]</f>
        <v>4581558617.7962294</v>
      </c>
    </row>
    <row r="2886" spans="1:15" x14ac:dyDescent="0.25">
      <c r="A2886" s="13"/>
      <c r="B2886" s="12">
        <f>MONTH(Movimientos_2026[[#This Row],[Fecha]])</f>
        <v>1</v>
      </c>
      <c r="C2886" s="12" t="str">
        <f>VLOOKUP((WEEKDAY(Movimientos_2026[[#This Row],[Fecha]],2)),'5. Setup'!$D$6:$E$12,2,FALSE)</f>
        <v>Sab</v>
      </c>
      <c r="E2886" t="str">
        <f>IFERROR(+VLOOKUP(Movimientos_2026[[#This Row],[Codigo]],Plan_cuentas[],2,FALSE)," ")</f>
        <v xml:space="preserve"> </v>
      </c>
      <c r="F2886" t="str">
        <f>IFERROR(+VLOOKUP(Movimientos_2026[[#This Row],[Codigo]],Plan_cuentas[],3,FALSE)," ")</f>
        <v xml:space="preserve"> </v>
      </c>
      <c r="G2886" t="str">
        <f>IFERROR(+VLOOKUP(Movimientos_2026[[#This Row],[Codigo]],Plan_cuentas[],4,FALSE)," ")</f>
        <v xml:space="preserve"> </v>
      </c>
      <c r="H2886" t="str">
        <f>IFERROR(+VLOOKUP(Movimientos_2026[[#This Row],[Codigo]],Plan_cuentas[],5,FALSE)," ")</f>
        <v xml:space="preserve"> </v>
      </c>
      <c r="I2886" s="43"/>
      <c r="K2886" t="str">
        <f>IFERROR(+VLOOKUP(Movimientos_2026[[#This Row],[Codigo]],Plan_cuentas[],6,FALSE)," ")</f>
        <v xml:space="preserve"> </v>
      </c>
      <c r="L2886" s="50"/>
      <c r="M2886" s="50"/>
      <c r="N2886" s="20">
        <f>+Movimientos_2026[[#This Row],[Ingresos]]-Movimientos_2026[[#This Row],[Egresos]]</f>
        <v>0</v>
      </c>
      <c r="O2886" s="20">
        <f>+O2885+Movimientos_2026[[#This Row],[Neto]]</f>
        <v>4581558617.7962294</v>
      </c>
    </row>
    <row r="2887" spans="1:15" x14ac:dyDescent="0.25">
      <c r="A2887" s="13"/>
      <c r="B2887" s="12">
        <f>MONTH(Movimientos_2026[[#This Row],[Fecha]])</f>
        <v>1</v>
      </c>
      <c r="C2887" s="12" t="str">
        <f>VLOOKUP((WEEKDAY(Movimientos_2026[[#This Row],[Fecha]],2)),'5. Setup'!$D$6:$E$12,2,FALSE)</f>
        <v>Sab</v>
      </c>
      <c r="E2887" t="str">
        <f>IFERROR(+VLOOKUP(Movimientos_2026[[#This Row],[Codigo]],Plan_cuentas[],2,FALSE)," ")</f>
        <v xml:space="preserve"> </v>
      </c>
      <c r="F2887" t="str">
        <f>IFERROR(+VLOOKUP(Movimientos_2026[[#This Row],[Codigo]],Plan_cuentas[],3,FALSE)," ")</f>
        <v xml:space="preserve"> </v>
      </c>
      <c r="G2887" t="str">
        <f>IFERROR(+VLOOKUP(Movimientos_2026[[#This Row],[Codigo]],Plan_cuentas[],4,FALSE)," ")</f>
        <v xml:space="preserve"> </v>
      </c>
      <c r="H2887" t="str">
        <f>IFERROR(+VLOOKUP(Movimientos_2026[[#This Row],[Codigo]],Plan_cuentas[],5,FALSE)," ")</f>
        <v xml:space="preserve"> </v>
      </c>
      <c r="I2887" s="43"/>
      <c r="K2887" t="str">
        <f>IFERROR(+VLOOKUP(Movimientos_2026[[#This Row],[Codigo]],Plan_cuentas[],6,FALSE)," ")</f>
        <v xml:space="preserve"> </v>
      </c>
      <c r="L2887" s="50"/>
      <c r="M2887" s="50"/>
      <c r="N2887" s="20">
        <f>+Movimientos_2026[[#This Row],[Ingresos]]-Movimientos_2026[[#This Row],[Egresos]]</f>
        <v>0</v>
      </c>
      <c r="O2887" s="20">
        <f>+O2886+Movimientos_2026[[#This Row],[Neto]]</f>
        <v>4581558617.7962294</v>
      </c>
    </row>
    <row r="2888" spans="1:15" x14ac:dyDescent="0.25">
      <c r="A2888" s="13"/>
      <c r="B2888" s="12">
        <f>MONTH(Movimientos_2026[[#This Row],[Fecha]])</f>
        <v>1</v>
      </c>
      <c r="C2888" s="12" t="str">
        <f>VLOOKUP((WEEKDAY(Movimientos_2026[[#This Row],[Fecha]],2)),'5. Setup'!$D$6:$E$12,2,FALSE)</f>
        <v>Sab</v>
      </c>
      <c r="E2888" t="str">
        <f>IFERROR(+VLOOKUP(Movimientos_2026[[#This Row],[Codigo]],Plan_cuentas[],2,FALSE)," ")</f>
        <v xml:space="preserve"> </v>
      </c>
      <c r="F2888" t="str">
        <f>IFERROR(+VLOOKUP(Movimientos_2026[[#This Row],[Codigo]],Plan_cuentas[],3,FALSE)," ")</f>
        <v xml:space="preserve"> </v>
      </c>
      <c r="G2888" t="str">
        <f>IFERROR(+VLOOKUP(Movimientos_2026[[#This Row],[Codigo]],Plan_cuentas[],4,FALSE)," ")</f>
        <v xml:space="preserve"> </v>
      </c>
      <c r="H2888" t="str">
        <f>IFERROR(+VLOOKUP(Movimientos_2026[[#This Row],[Codigo]],Plan_cuentas[],5,FALSE)," ")</f>
        <v xml:space="preserve"> </v>
      </c>
      <c r="I2888" s="43"/>
      <c r="K2888" t="str">
        <f>IFERROR(+VLOOKUP(Movimientos_2026[[#This Row],[Codigo]],Plan_cuentas[],6,FALSE)," ")</f>
        <v xml:space="preserve"> </v>
      </c>
      <c r="L2888" s="50"/>
      <c r="M2888" s="50"/>
      <c r="N2888" s="20">
        <f>+Movimientos_2026[[#This Row],[Ingresos]]-Movimientos_2026[[#This Row],[Egresos]]</f>
        <v>0</v>
      </c>
      <c r="O2888" s="20">
        <f>+O2887+Movimientos_2026[[#This Row],[Neto]]</f>
        <v>4581558617.7962294</v>
      </c>
    </row>
    <row r="2889" spans="1:15" x14ac:dyDescent="0.25">
      <c r="A2889" s="13"/>
      <c r="B2889" s="12">
        <f>MONTH(Movimientos_2026[[#This Row],[Fecha]])</f>
        <v>1</v>
      </c>
      <c r="C2889" s="12" t="str">
        <f>VLOOKUP((WEEKDAY(Movimientos_2026[[#This Row],[Fecha]],2)),'5. Setup'!$D$6:$E$12,2,FALSE)</f>
        <v>Sab</v>
      </c>
      <c r="E2889" t="str">
        <f>IFERROR(+VLOOKUP(Movimientos_2026[[#This Row],[Codigo]],Plan_cuentas[],2,FALSE)," ")</f>
        <v xml:space="preserve"> </v>
      </c>
      <c r="F2889" t="str">
        <f>IFERROR(+VLOOKUP(Movimientos_2026[[#This Row],[Codigo]],Plan_cuentas[],3,FALSE)," ")</f>
        <v xml:space="preserve"> </v>
      </c>
      <c r="G2889" t="str">
        <f>IFERROR(+VLOOKUP(Movimientos_2026[[#This Row],[Codigo]],Plan_cuentas[],4,FALSE)," ")</f>
        <v xml:space="preserve"> </v>
      </c>
      <c r="H2889" t="str">
        <f>IFERROR(+VLOOKUP(Movimientos_2026[[#This Row],[Codigo]],Plan_cuentas[],5,FALSE)," ")</f>
        <v xml:space="preserve"> </v>
      </c>
      <c r="I2889" s="43"/>
      <c r="K2889" t="str">
        <f>IFERROR(+VLOOKUP(Movimientos_2026[[#This Row],[Codigo]],Plan_cuentas[],6,FALSE)," ")</f>
        <v xml:space="preserve"> </v>
      </c>
      <c r="L2889" s="50"/>
      <c r="M2889" s="50"/>
      <c r="N2889" s="20">
        <f>+Movimientos_2026[[#This Row],[Ingresos]]-Movimientos_2026[[#This Row],[Egresos]]</f>
        <v>0</v>
      </c>
      <c r="O2889" s="20">
        <f>+O2888+Movimientos_2026[[#This Row],[Neto]]</f>
        <v>4581558617.7962294</v>
      </c>
    </row>
    <row r="2890" spans="1:15" x14ac:dyDescent="0.25">
      <c r="A2890" s="13"/>
      <c r="B2890" s="12">
        <f>MONTH(Movimientos_2026[[#This Row],[Fecha]])</f>
        <v>1</v>
      </c>
      <c r="C2890" s="12" t="str">
        <f>VLOOKUP((WEEKDAY(Movimientos_2026[[#This Row],[Fecha]],2)),'5. Setup'!$D$6:$E$12,2,FALSE)</f>
        <v>Sab</v>
      </c>
      <c r="E2890" t="str">
        <f>IFERROR(+VLOOKUP(Movimientos_2026[[#This Row],[Codigo]],Plan_cuentas[],2,FALSE)," ")</f>
        <v xml:space="preserve"> </v>
      </c>
      <c r="F2890" t="str">
        <f>IFERROR(+VLOOKUP(Movimientos_2026[[#This Row],[Codigo]],Plan_cuentas[],3,FALSE)," ")</f>
        <v xml:space="preserve"> </v>
      </c>
      <c r="G2890" t="str">
        <f>IFERROR(+VLOOKUP(Movimientos_2026[[#This Row],[Codigo]],Plan_cuentas[],4,FALSE)," ")</f>
        <v xml:space="preserve"> </v>
      </c>
      <c r="H2890" t="str">
        <f>IFERROR(+VLOOKUP(Movimientos_2026[[#This Row],[Codigo]],Plan_cuentas[],5,FALSE)," ")</f>
        <v xml:space="preserve"> </v>
      </c>
      <c r="I2890" s="43"/>
      <c r="K2890" t="str">
        <f>IFERROR(+VLOOKUP(Movimientos_2026[[#This Row],[Codigo]],Plan_cuentas[],6,FALSE)," ")</f>
        <v xml:space="preserve"> </v>
      </c>
      <c r="L2890" s="50"/>
      <c r="M2890" s="50"/>
      <c r="N2890" s="20">
        <f>+Movimientos_2026[[#This Row],[Ingresos]]-Movimientos_2026[[#This Row],[Egresos]]</f>
        <v>0</v>
      </c>
      <c r="O2890" s="20">
        <f>+O2889+Movimientos_2026[[#This Row],[Neto]]</f>
        <v>4581558617.7962294</v>
      </c>
    </row>
    <row r="2891" spans="1:15" x14ac:dyDescent="0.25">
      <c r="A2891" s="13"/>
      <c r="B2891" s="12">
        <f>MONTH(Movimientos_2026[[#This Row],[Fecha]])</f>
        <v>1</v>
      </c>
      <c r="C2891" s="12" t="str">
        <f>VLOOKUP((WEEKDAY(Movimientos_2026[[#This Row],[Fecha]],2)),'5. Setup'!$D$6:$E$12,2,FALSE)</f>
        <v>Sab</v>
      </c>
      <c r="E2891" t="str">
        <f>IFERROR(+VLOOKUP(Movimientos_2026[[#This Row],[Codigo]],Plan_cuentas[],2,FALSE)," ")</f>
        <v xml:space="preserve"> </v>
      </c>
      <c r="F2891" t="str">
        <f>IFERROR(+VLOOKUP(Movimientos_2026[[#This Row],[Codigo]],Plan_cuentas[],3,FALSE)," ")</f>
        <v xml:space="preserve"> </v>
      </c>
      <c r="G2891" t="str">
        <f>IFERROR(+VLOOKUP(Movimientos_2026[[#This Row],[Codigo]],Plan_cuentas[],4,FALSE)," ")</f>
        <v xml:space="preserve"> </v>
      </c>
      <c r="H2891" t="str">
        <f>IFERROR(+VLOOKUP(Movimientos_2026[[#This Row],[Codigo]],Plan_cuentas[],5,FALSE)," ")</f>
        <v xml:space="preserve"> </v>
      </c>
      <c r="I2891" s="43"/>
      <c r="K2891" t="str">
        <f>IFERROR(+VLOOKUP(Movimientos_2026[[#This Row],[Codigo]],Plan_cuentas[],6,FALSE)," ")</f>
        <v xml:space="preserve"> </v>
      </c>
      <c r="L2891" s="50"/>
      <c r="M2891" s="50"/>
      <c r="N2891" s="20">
        <f>+Movimientos_2026[[#This Row],[Ingresos]]-Movimientos_2026[[#This Row],[Egresos]]</f>
        <v>0</v>
      </c>
      <c r="O2891" s="20">
        <f>+O2890+Movimientos_2026[[#This Row],[Neto]]</f>
        <v>4581558617.7962294</v>
      </c>
    </row>
    <row r="2892" spans="1:15" x14ac:dyDescent="0.25">
      <c r="A2892" s="13"/>
      <c r="B2892" s="12">
        <f>MONTH(Movimientos_2026[[#This Row],[Fecha]])</f>
        <v>1</v>
      </c>
      <c r="C2892" s="12" t="str">
        <f>VLOOKUP((WEEKDAY(Movimientos_2026[[#This Row],[Fecha]],2)),'5. Setup'!$D$6:$E$12,2,FALSE)</f>
        <v>Sab</v>
      </c>
      <c r="E2892" t="str">
        <f>IFERROR(+VLOOKUP(Movimientos_2026[[#This Row],[Codigo]],Plan_cuentas[],2,FALSE)," ")</f>
        <v xml:space="preserve"> </v>
      </c>
      <c r="F2892" t="str">
        <f>IFERROR(+VLOOKUP(Movimientos_2026[[#This Row],[Codigo]],Plan_cuentas[],3,FALSE)," ")</f>
        <v xml:space="preserve"> </v>
      </c>
      <c r="G2892" t="str">
        <f>IFERROR(+VLOOKUP(Movimientos_2026[[#This Row],[Codigo]],Plan_cuentas[],4,FALSE)," ")</f>
        <v xml:space="preserve"> </v>
      </c>
      <c r="H2892" t="str">
        <f>IFERROR(+VLOOKUP(Movimientos_2026[[#This Row],[Codigo]],Plan_cuentas[],5,FALSE)," ")</f>
        <v xml:space="preserve"> </v>
      </c>
      <c r="I2892" s="43"/>
      <c r="K2892" t="str">
        <f>IFERROR(+VLOOKUP(Movimientos_2026[[#This Row],[Codigo]],Plan_cuentas[],6,FALSE)," ")</f>
        <v xml:space="preserve"> </v>
      </c>
      <c r="L2892" s="50"/>
      <c r="M2892" s="50"/>
      <c r="N2892" s="20">
        <f>+Movimientos_2026[[#This Row],[Ingresos]]-Movimientos_2026[[#This Row],[Egresos]]</f>
        <v>0</v>
      </c>
      <c r="O2892" s="20">
        <f>+O2891+Movimientos_2026[[#This Row],[Neto]]</f>
        <v>4581558617.7962294</v>
      </c>
    </row>
    <row r="2893" spans="1:15" x14ac:dyDescent="0.25">
      <c r="A2893" s="13"/>
      <c r="B2893" s="12">
        <f>MONTH(Movimientos_2026[[#This Row],[Fecha]])</f>
        <v>1</v>
      </c>
      <c r="C2893" s="12" t="str">
        <f>VLOOKUP((WEEKDAY(Movimientos_2026[[#This Row],[Fecha]],2)),'5. Setup'!$D$6:$E$12,2,FALSE)</f>
        <v>Sab</v>
      </c>
      <c r="E2893" t="str">
        <f>IFERROR(+VLOOKUP(Movimientos_2026[[#This Row],[Codigo]],Plan_cuentas[],2,FALSE)," ")</f>
        <v xml:space="preserve"> </v>
      </c>
      <c r="F2893" t="str">
        <f>IFERROR(+VLOOKUP(Movimientos_2026[[#This Row],[Codigo]],Plan_cuentas[],3,FALSE)," ")</f>
        <v xml:space="preserve"> </v>
      </c>
      <c r="G2893" t="str">
        <f>IFERROR(+VLOOKUP(Movimientos_2026[[#This Row],[Codigo]],Plan_cuentas[],4,FALSE)," ")</f>
        <v xml:space="preserve"> </v>
      </c>
      <c r="H2893" t="str">
        <f>IFERROR(+VLOOKUP(Movimientos_2026[[#This Row],[Codigo]],Plan_cuentas[],5,FALSE)," ")</f>
        <v xml:space="preserve"> </v>
      </c>
      <c r="I2893" s="43"/>
      <c r="K2893" t="str">
        <f>IFERROR(+VLOOKUP(Movimientos_2026[[#This Row],[Codigo]],Plan_cuentas[],6,FALSE)," ")</f>
        <v xml:space="preserve"> </v>
      </c>
      <c r="L2893" s="50"/>
      <c r="M2893" s="50"/>
      <c r="N2893" s="20">
        <f>+Movimientos_2026[[#This Row],[Ingresos]]-Movimientos_2026[[#This Row],[Egresos]]</f>
        <v>0</v>
      </c>
      <c r="O2893" s="20">
        <f>+O2892+Movimientos_2026[[#This Row],[Neto]]</f>
        <v>4581558617.7962294</v>
      </c>
    </row>
    <row r="2894" spans="1:15" x14ac:dyDescent="0.25">
      <c r="A2894" s="13"/>
      <c r="B2894" s="12">
        <f>MONTH(Movimientos_2026[[#This Row],[Fecha]])</f>
        <v>1</v>
      </c>
      <c r="C2894" s="12" t="str">
        <f>VLOOKUP((WEEKDAY(Movimientos_2026[[#This Row],[Fecha]],2)),'5. Setup'!$D$6:$E$12,2,FALSE)</f>
        <v>Sab</v>
      </c>
      <c r="E2894" t="str">
        <f>IFERROR(+VLOOKUP(Movimientos_2026[[#This Row],[Codigo]],Plan_cuentas[],2,FALSE)," ")</f>
        <v xml:space="preserve"> </v>
      </c>
      <c r="F2894" t="str">
        <f>IFERROR(+VLOOKUP(Movimientos_2026[[#This Row],[Codigo]],Plan_cuentas[],3,FALSE)," ")</f>
        <v xml:space="preserve"> </v>
      </c>
      <c r="G2894" t="str">
        <f>IFERROR(+VLOOKUP(Movimientos_2026[[#This Row],[Codigo]],Plan_cuentas[],4,FALSE)," ")</f>
        <v xml:space="preserve"> </v>
      </c>
      <c r="H2894" t="str">
        <f>IFERROR(+VLOOKUP(Movimientos_2026[[#This Row],[Codigo]],Plan_cuentas[],5,FALSE)," ")</f>
        <v xml:space="preserve"> </v>
      </c>
      <c r="I2894" s="43"/>
      <c r="K2894" t="str">
        <f>IFERROR(+VLOOKUP(Movimientos_2026[[#This Row],[Codigo]],Plan_cuentas[],6,FALSE)," ")</f>
        <v xml:space="preserve"> </v>
      </c>
      <c r="L2894" s="50"/>
      <c r="M2894" s="50"/>
      <c r="N2894" s="20">
        <f>+Movimientos_2026[[#This Row],[Ingresos]]-Movimientos_2026[[#This Row],[Egresos]]</f>
        <v>0</v>
      </c>
      <c r="O2894" s="20">
        <f>+O2893+Movimientos_2026[[#This Row],[Neto]]</f>
        <v>4581558617.7962294</v>
      </c>
    </row>
    <row r="2895" spans="1:15" x14ac:dyDescent="0.25">
      <c r="A2895" s="13"/>
      <c r="B2895" s="12">
        <f>MONTH(Movimientos_2026[[#This Row],[Fecha]])</f>
        <v>1</v>
      </c>
      <c r="C2895" s="12" t="str">
        <f>VLOOKUP((WEEKDAY(Movimientos_2026[[#This Row],[Fecha]],2)),'5. Setup'!$D$6:$E$12,2,FALSE)</f>
        <v>Sab</v>
      </c>
      <c r="E2895" t="str">
        <f>IFERROR(+VLOOKUP(Movimientos_2026[[#This Row],[Codigo]],Plan_cuentas[],2,FALSE)," ")</f>
        <v xml:space="preserve"> </v>
      </c>
      <c r="F2895" t="str">
        <f>IFERROR(+VLOOKUP(Movimientos_2026[[#This Row],[Codigo]],Plan_cuentas[],3,FALSE)," ")</f>
        <v xml:space="preserve"> </v>
      </c>
      <c r="G2895" t="str">
        <f>IFERROR(+VLOOKUP(Movimientos_2026[[#This Row],[Codigo]],Plan_cuentas[],4,FALSE)," ")</f>
        <v xml:space="preserve"> </v>
      </c>
      <c r="H2895" t="str">
        <f>IFERROR(+VLOOKUP(Movimientos_2026[[#This Row],[Codigo]],Plan_cuentas[],5,FALSE)," ")</f>
        <v xml:space="preserve"> </v>
      </c>
      <c r="I2895" s="43"/>
      <c r="K2895" t="str">
        <f>IFERROR(+VLOOKUP(Movimientos_2026[[#This Row],[Codigo]],Plan_cuentas[],6,FALSE)," ")</f>
        <v xml:space="preserve"> </v>
      </c>
      <c r="L2895" s="50"/>
      <c r="M2895" s="50"/>
      <c r="N2895" s="20">
        <f>+Movimientos_2026[[#This Row],[Ingresos]]-Movimientos_2026[[#This Row],[Egresos]]</f>
        <v>0</v>
      </c>
      <c r="O2895" s="20">
        <f>+O2894+Movimientos_2026[[#This Row],[Neto]]</f>
        <v>4581558617.7962294</v>
      </c>
    </row>
    <row r="2896" spans="1:15" x14ac:dyDescent="0.25">
      <c r="A2896" s="13"/>
      <c r="B2896" s="12">
        <f>MONTH(Movimientos_2026[[#This Row],[Fecha]])</f>
        <v>1</v>
      </c>
      <c r="C2896" s="12" t="str">
        <f>VLOOKUP((WEEKDAY(Movimientos_2026[[#This Row],[Fecha]],2)),'5. Setup'!$D$6:$E$12,2,FALSE)</f>
        <v>Sab</v>
      </c>
      <c r="E2896" t="str">
        <f>IFERROR(+VLOOKUP(Movimientos_2026[[#This Row],[Codigo]],Plan_cuentas[],2,FALSE)," ")</f>
        <v xml:space="preserve"> </v>
      </c>
      <c r="F2896" t="str">
        <f>IFERROR(+VLOOKUP(Movimientos_2026[[#This Row],[Codigo]],Plan_cuentas[],3,FALSE)," ")</f>
        <v xml:space="preserve"> </v>
      </c>
      <c r="G2896" t="str">
        <f>IFERROR(+VLOOKUP(Movimientos_2026[[#This Row],[Codigo]],Plan_cuentas[],4,FALSE)," ")</f>
        <v xml:space="preserve"> </v>
      </c>
      <c r="H2896" t="str">
        <f>IFERROR(+VLOOKUP(Movimientos_2026[[#This Row],[Codigo]],Plan_cuentas[],5,FALSE)," ")</f>
        <v xml:space="preserve"> </v>
      </c>
      <c r="I2896" s="43"/>
      <c r="K2896" t="str">
        <f>IFERROR(+VLOOKUP(Movimientos_2026[[#This Row],[Codigo]],Plan_cuentas[],6,FALSE)," ")</f>
        <v xml:space="preserve"> </v>
      </c>
      <c r="L2896" s="50"/>
      <c r="M2896" s="50"/>
      <c r="N2896" s="20">
        <f>+Movimientos_2026[[#This Row],[Ingresos]]-Movimientos_2026[[#This Row],[Egresos]]</f>
        <v>0</v>
      </c>
      <c r="O2896" s="20">
        <f>+O2895+Movimientos_2026[[#This Row],[Neto]]</f>
        <v>4581558617.7962294</v>
      </c>
    </row>
    <row r="2897" spans="1:15" x14ac:dyDescent="0.25">
      <c r="A2897" s="13"/>
      <c r="B2897" s="12">
        <f>MONTH(Movimientos_2026[[#This Row],[Fecha]])</f>
        <v>1</v>
      </c>
      <c r="C2897" s="12" t="str">
        <f>VLOOKUP((WEEKDAY(Movimientos_2026[[#This Row],[Fecha]],2)),'5. Setup'!$D$6:$E$12,2,FALSE)</f>
        <v>Sab</v>
      </c>
      <c r="E2897" t="str">
        <f>IFERROR(+VLOOKUP(Movimientos_2026[[#This Row],[Codigo]],Plan_cuentas[],2,FALSE)," ")</f>
        <v xml:space="preserve"> </v>
      </c>
      <c r="F2897" t="str">
        <f>IFERROR(+VLOOKUP(Movimientos_2026[[#This Row],[Codigo]],Plan_cuentas[],3,FALSE)," ")</f>
        <v xml:space="preserve"> </v>
      </c>
      <c r="G2897" t="str">
        <f>IFERROR(+VLOOKUP(Movimientos_2026[[#This Row],[Codigo]],Plan_cuentas[],4,FALSE)," ")</f>
        <v xml:space="preserve"> </v>
      </c>
      <c r="H2897" t="str">
        <f>IFERROR(+VLOOKUP(Movimientos_2026[[#This Row],[Codigo]],Plan_cuentas[],5,FALSE)," ")</f>
        <v xml:space="preserve"> </v>
      </c>
      <c r="I2897" s="43"/>
      <c r="K2897" t="str">
        <f>IFERROR(+VLOOKUP(Movimientos_2026[[#This Row],[Codigo]],Plan_cuentas[],6,FALSE)," ")</f>
        <v xml:space="preserve"> </v>
      </c>
      <c r="L2897" s="50"/>
      <c r="M2897" s="50"/>
      <c r="N2897" s="20">
        <f>+Movimientos_2026[[#This Row],[Ingresos]]-Movimientos_2026[[#This Row],[Egresos]]</f>
        <v>0</v>
      </c>
      <c r="O2897" s="20">
        <f>+O2896+Movimientos_2026[[#This Row],[Neto]]</f>
        <v>4581558617.7962294</v>
      </c>
    </row>
    <row r="2898" spans="1:15" x14ac:dyDescent="0.25">
      <c r="A2898" s="13"/>
      <c r="B2898" s="12">
        <f>MONTH(Movimientos_2026[[#This Row],[Fecha]])</f>
        <v>1</v>
      </c>
      <c r="C2898" s="12" t="str">
        <f>VLOOKUP((WEEKDAY(Movimientos_2026[[#This Row],[Fecha]],2)),'5. Setup'!$D$6:$E$12,2,FALSE)</f>
        <v>Sab</v>
      </c>
      <c r="E2898" t="str">
        <f>IFERROR(+VLOOKUP(Movimientos_2026[[#This Row],[Codigo]],Plan_cuentas[],2,FALSE)," ")</f>
        <v xml:space="preserve"> </v>
      </c>
      <c r="F2898" t="str">
        <f>IFERROR(+VLOOKUP(Movimientos_2026[[#This Row],[Codigo]],Plan_cuentas[],3,FALSE)," ")</f>
        <v xml:space="preserve"> </v>
      </c>
      <c r="G2898" t="str">
        <f>IFERROR(+VLOOKUP(Movimientos_2026[[#This Row],[Codigo]],Plan_cuentas[],4,FALSE)," ")</f>
        <v xml:space="preserve"> </v>
      </c>
      <c r="H2898" t="str">
        <f>IFERROR(+VLOOKUP(Movimientos_2026[[#This Row],[Codigo]],Plan_cuentas[],5,FALSE)," ")</f>
        <v xml:space="preserve"> </v>
      </c>
      <c r="I2898" s="43"/>
      <c r="K2898" t="str">
        <f>IFERROR(+VLOOKUP(Movimientos_2026[[#This Row],[Codigo]],Plan_cuentas[],6,FALSE)," ")</f>
        <v xml:space="preserve"> </v>
      </c>
      <c r="L2898" s="50"/>
      <c r="M2898" s="50"/>
      <c r="N2898" s="20">
        <f>+Movimientos_2026[[#This Row],[Ingresos]]-Movimientos_2026[[#This Row],[Egresos]]</f>
        <v>0</v>
      </c>
      <c r="O2898" s="20">
        <f>+O2897+Movimientos_2026[[#This Row],[Neto]]</f>
        <v>4581558617.7962294</v>
      </c>
    </row>
    <row r="2899" spans="1:15" x14ac:dyDescent="0.25">
      <c r="A2899" s="13"/>
      <c r="B2899" s="12">
        <f>MONTH(Movimientos_2026[[#This Row],[Fecha]])</f>
        <v>1</v>
      </c>
      <c r="C2899" s="12" t="str">
        <f>VLOOKUP((WEEKDAY(Movimientos_2026[[#This Row],[Fecha]],2)),'5. Setup'!$D$6:$E$12,2,FALSE)</f>
        <v>Sab</v>
      </c>
      <c r="E2899" t="str">
        <f>IFERROR(+VLOOKUP(Movimientos_2026[[#This Row],[Codigo]],Plan_cuentas[],2,FALSE)," ")</f>
        <v xml:space="preserve"> </v>
      </c>
      <c r="F2899" t="str">
        <f>IFERROR(+VLOOKUP(Movimientos_2026[[#This Row],[Codigo]],Plan_cuentas[],3,FALSE)," ")</f>
        <v xml:space="preserve"> </v>
      </c>
      <c r="G2899" t="str">
        <f>IFERROR(+VLOOKUP(Movimientos_2026[[#This Row],[Codigo]],Plan_cuentas[],4,FALSE)," ")</f>
        <v xml:space="preserve"> </v>
      </c>
      <c r="H2899" t="str">
        <f>IFERROR(+VLOOKUP(Movimientos_2026[[#This Row],[Codigo]],Plan_cuentas[],5,FALSE)," ")</f>
        <v xml:space="preserve"> </v>
      </c>
      <c r="I2899" s="43"/>
      <c r="K2899" t="str">
        <f>IFERROR(+VLOOKUP(Movimientos_2026[[#This Row],[Codigo]],Plan_cuentas[],6,FALSE)," ")</f>
        <v xml:space="preserve"> </v>
      </c>
      <c r="L2899" s="50"/>
      <c r="M2899" s="50"/>
      <c r="N2899" s="20">
        <f>+Movimientos_2026[[#This Row],[Ingresos]]-Movimientos_2026[[#This Row],[Egresos]]</f>
        <v>0</v>
      </c>
      <c r="O2899" s="20">
        <f>+O2898+Movimientos_2026[[#This Row],[Neto]]</f>
        <v>4581558617.7962294</v>
      </c>
    </row>
    <row r="2900" spans="1:15" x14ac:dyDescent="0.25">
      <c r="A2900" s="13"/>
      <c r="B2900" s="12">
        <f>MONTH(Movimientos_2026[[#This Row],[Fecha]])</f>
        <v>1</v>
      </c>
      <c r="C2900" s="12" t="str">
        <f>VLOOKUP((WEEKDAY(Movimientos_2026[[#This Row],[Fecha]],2)),'5. Setup'!$D$6:$E$12,2,FALSE)</f>
        <v>Sab</v>
      </c>
      <c r="E2900" t="str">
        <f>IFERROR(+VLOOKUP(Movimientos_2026[[#This Row],[Codigo]],Plan_cuentas[],2,FALSE)," ")</f>
        <v xml:space="preserve"> </v>
      </c>
      <c r="F2900" t="str">
        <f>IFERROR(+VLOOKUP(Movimientos_2026[[#This Row],[Codigo]],Plan_cuentas[],3,FALSE)," ")</f>
        <v xml:space="preserve"> </v>
      </c>
      <c r="G2900" t="str">
        <f>IFERROR(+VLOOKUP(Movimientos_2026[[#This Row],[Codigo]],Plan_cuentas[],4,FALSE)," ")</f>
        <v xml:space="preserve"> </v>
      </c>
      <c r="H2900" t="str">
        <f>IFERROR(+VLOOKUP(Movimientos_2026[[#This Row],[Codigo]],Plan_cuentas[],5,FALSE)," ")</f>
        <v xml:space="preserve"> </v>
      </c>
      <c r="I2900" s="43"/>
      <c r="K2900" t="str">
        <f>IFERROR(+VLOOKUP(Movimientos_2026[[#This Row],[Codigo]],Plan_cuentas[],6,FALSE)," ")</f>
        <v xml:space="preserve"> </v>
      </c>
      <c r="L2900" s="50"/>
      <c r="M2900" s="50"/>
      <c r="N2900" s="20">
        <f>+Movimientos_2026[[#This Row],[Ingresos]]-Movimientos_2026[[#This Row],[Egresos]]</f>
        <v>0</v>
      </c>
      <c r="O2900" s="20">
        <f>+O2899+Movimientos_2026[[#This Row],[Neto]]</f>
        <v>4581558617.7962294</v>
      </c>
    </row>
    <row r="2901" spans="1:15" x14ac:dyDescent="0.25">
      <c r="A2901" s="13"/>
      <c r="B2901" s="12">
        <f>MONTH(Movimientos_2026[[#This Row],[Fecha]])</f>
        <v>1</v>
      </c>
      <c r="C2901" s="12" t="str">
        <f>VLOOKUP((WEEKDAY(Movimientos_2026[[#This Row],[Fecha]],2)),'5. Setup'!$D$6:$E$12,2,FALSE)</f>
        <v>Sab</v>
      </c>
      <c r="E2901" t="str">
        <f>IFERROR(+VLOOKUP(Movimientos_2026[[#This Row],[Codigo]],Plan_cuentas[],2,FALSE)," ")</f>
        <v xml:space="preserve"> </v>
      </c>
      <c r="F2901" t="str">
        <f>IFERROR(+VLOOKUP(Movimientos_2026[[#This Row],[Codigo]],Plan_cuentas[],3,FALSE)," ")</f>
        <v xml:space="preserve"> </v>
      </c>
      <c r="G2901" t="str">
        <f>IFERROR(+VLOOKUP(Movimientos_2026[[#This Row],[Codigo]],Plan_cuentas[],4,FALSE)," ")</f>
        <v xml:space="preserve"> </v>
      </c>
      <c r="H2901" t="str">
        <f>IFERROR(+VLOOKUP(Movimientos_2026[[#This Row],[Codigo]],Plan_cuentas[],5,FALSE)," ")</f>
        <v xml:space="preserve"> </v>
      </c>
      <c r="I2901" s="43"/>
      <c r="K2901" t="str">
        <f>IFERROR(+VLOOKUP(Movimientos_2026[[#This Row],[Codigo]],Plan_cuentas[],6,FALSE)," ")</f>
        <v xml:space="preserve"> </v>
      </c>
      <c r="L2901" s="50"/>
      <c r="M2901" s="50"/>
      <c r="N2901" s="20">
        <f>+Movimientos_2026[[#This Row],[Ingresos]]-Movimientos_2026[[#This Row],[Egresos]]</f>
        <v>0</v>
      </c>
      <c r="O2901" s="20">
        <f>+O2900+Movimientos_2026[[#This Row],[Neto]]</f>
        <v>4581558617.7962294</v>
      </c>
    </row>
    <row r="2902" spans="1:15" x14ac:dyDescent="0.25">
      <c r="A2902" s="13"/>
      <c r="B2902" s="12">
        <f>MONTH(Movimientos_2026[[#This Row],[Fecha]])</f>
        <v>1</v>
      </c>
      <c r="C2902" s="12" t="str">
        <f>VLOOKUP((WEEKDAY(Movimientos_2026[[#This Row],[Fecha]],2)),'5. Setup'!$D$6:$E$12,2,FALSE)</f>
        <v>Sab</v>
      </c>
      <c r="E2902" t="str">
        <f>IFERROR(+VLOOKUP(Movimientos_2026[[#This Row],[Codigo]],Plan_cuentas[],2,FALSE)," ")</f>
        <v xml:space="preserve"> </v>
      </c>
      <c r="F2902" t="str">
        <f>IFERROR(+VLOOKUP(Movimientos_2026[[#This Row],[Codigo]],Plan_cuentas[],3,FALSE)," ")</f>
        <v xml:space="preserve"> </v>
      </c>
      <c r="G2902" t="str">
        <f>IFERROR(+VLOOKUP(Movimientos_2026[[#This Row],[Codigo]],Plan_cuentas[],4,FALSE)," ")</f>
        <v xml:space="preserve"> </v>
      </c>
      <c r="H2902" t="str">
        <f>IFERROR(+VLOOKUP(Movimientos_2026[[#This Row],[Codigo]],Plan_cuentas[],5,FALSE)," ")</f>
        <v xml:space="preserve"> </v>
      </c>
      <c r="I2902" s="43"/>
      <c r="K2902" t="str">
        <f>IFERROR(+VLOOKUP(Movimientos_2026[[#This Row],[Codigo]],Plan_cuentas[],6,FALSE)," ")</f>
        <v xml:space="preserve"> </v>
      </c>
      <c r="L2902" s="50"/>
      <c r="M2902" s="50"/>
      <c r="N2902" s="20">
        <f>+Movimientos_2026[[#This Row],[Ingresos]]-Movimientos_2026[[#This Row],[Egresos]]</f>
        <v>0</v>
      </c>
      <c r="O2902" s="20">
        <f>+O2901+Movimientos_2026[[#This Row],[Neto]]</f>
        <v>4581558617.7962294</v>
      </c>
    </row>
    <row r="2903" spans="1:15" x14ac:dyDescent="0.25">
      <c r="A2903" s="13"/>
      <c r="B2903" s="12">
        <f>MONTH(Movimientos_2026[[#This Row],[Fecha]])</f>
        <v>1</v>
      </c>
      <c r="C2903" s="12" t="str">
        <f>VLOOKUP((WEEKDAY(Movimientos_2026[[#This Row],[Fecha]],2)),'5. Setup'!$D$6:$E$12,2,FALSE)</f>
        <v>Sab</v>
      </c>
      <c r="E2903" t="str">
        <f>IFERROR(+VLOOKUP(Movimientos_2026[[#This Row],[Codigo]],Plan_cuentas[],2,FALSE)," ")</f>
        <v xml:space="preserve"> </v>
      </c>
      <c r="F2903" t="str">
        <f>IFERROR(+VLOOKUP(Movimientos_2026[[#This Row],[Codigo]],Plan_cuentas[],3,FALSE)," ")</f>
        <v xml:space="preserve"> </v>
      </c>
      <c r="G2903" t="str">
        <f>IFERROR(+VLOOKUP(Movimientos_2026[[#This Row],[Codigo]],Plan_cuentas[],4,FALSE)," ")</f>
        <v xml:space="preserve"> </v>
      </c>
      <c r="H2903" t="str">
        <f>IFERROR(+VLOOKUP(Movimientos_2026[[#This Row],[Codigo]],Plan_cuentas[],5,FALSE)," ")</f>
        <v xml:space="preserve"> </v>
      </c>
      <c r="I2903" s="43"/>
      <c r="K2903" t="str">
        <f>IFERROR(+VLOOKUP(Movimientos_2026[[#This Row],[Codigo]],Plan_cuentas[],6,FALSE)," ")</f>
        <v xml:space="preserve"> </v>
      </c>
      <c r="L2903" s="50"/>
      <c r="M2903" s="50"/>
      <c r="N2903" s="20">
        <f>+Movimientos_2026[[#This Row],[Ingresos]]-Movimientos_2026[[#This Row],[Egresos]]</f>
        <v>0</v>
      </c>
      <c r="O2903" s="20">
        <f>+O2902+Movimientos_2026[[#This Row],[Neto]]</f>
        <v>4581558617.7962294</v>
      </c>
    </row>
    <row r="2904" spans="1:15" x14ac:dyDescent="0.25">
      <c r="A2904" s="13"/>
      <c r="B2904" s="12">
        <f>MONTH(Movimientos_2026[[#This Row],[Fecha]])</f>
        <v>1</v>
      </c>
      <c r="C2904" s="12" t="str">
        <f>VLOOKUP((WEEKDAY(Movimientos_2026[[#This Row],[Fecha]],2)),'5. Setup'!$D$6:$E$12,2,FALSE)</f>
        <v>Sab</v>
      </c>
      <c r="E2904" t="str">
        <f>IFERROR(+VLOOKUP(Movimientos_2026[[#This Row],[Codigo]],Plan_cuentas[],2,FALSE)," ")</f>
        <v xml:space="preserve"> </v>
      </c>
      <c r="F2904" t="str">
        <f>IFERROR(+VLOOKUP(Movimientos_2026[[#This Row],[Codigo]],Plan_cuentas[],3,FALSE)," ")</f>
        <v xml:space="preserve"> </v>
      </c>
      <c r="G2904" t="str">
        <f>IFERROR(+VLOOKUP(Movimientos_2026[[#This Row],[Codigo]],Plan_cuentas[],4,FALSE)," ")</f>
        <v xml:space="preserve"> </v>
      </c>
      <c r="H2904" t="str">
        <f>IFERROR(+VLOOKUP(Movimientos_2026[[#This Row],[Codigo]],Plan_cuentas[],5,FALSE)," ")</f>
        <v xml:space="preserve"> </v>
      </c>
      <c r="I2904" s="43"/>
      <c r="K2904" t="str">
        <f>IFERROR(+VLOOKUP(Movimientos_2026[[#This Row],[Codigo]],Plan_cuentas[],6,FALSE)," ")</f>
        <v xml:space="preserve"> </v>
      </c>
      <c r="L2904" s="50"/>
      <c r="M2904" s="50"/>
      <c r="N2904" s="20">
        <f>+Movimientos_2026[[#This Row],[Ingresos]]-Movimientos_2026[[#This Row],[Egresos]]</f>
        <v>0</v>
      </c>
      <c r="O2904" s="20">
        <f>+O2903+Movimientos_2026[[#This Row],[Neto]]</f>
        <v>4581558617.7962294</v>
      </c>
    </row>
    <row r="2905" spans="1:15" x14ac:dyDescent="0.25">
      <c r="A2905" s="13"/>
      <c r="B2905" s="12">
        <f>MONTH(Movimientos_2026[[#This Row],[Fecha]])</f>
        <v>1</v>
      </c>
      <c r="C2905" s="12" t="str">
        <f>VLOOKUP((WEEKDAY(Movimientos_2026[[#This Row],[Fecha]],2)),'5. Setup'!$D$6:$E$12,2,FALSE)</f>
        <v>Sab</v>
      </c>
      <c r="E2905" t="str">
        <f>IFERROR(+VLOOKUP(Movimientos_2026[[#This Row],[Codigo]],Plan_cuentas[],2,FALSE)," ")</f>
        <v xml:space="preserve"> </v>
      </c>
      <c r="F2905" t="str">
        <f>IFERROR(+VLOOKUP(Movimientos_2026[[#This Row],[Codigo]],Plan_cuentas[],3,FALSE)," ")</f>
        <v xml:space="preserve"> </v>
      </c>
      <c r="G2905" t="str">
        <f>IFERROR(+VLOOKUP(Movimientos_2026[[#This Row],[Codigo]],Plan_cuentas[],4,FALSE)," ")</f>
        <v xml:space="preserve"> </v>
      </c>
      <c r="H2905" t="str">
        <f>IFERROR(+VLOOKUP(Movimientos_2026[[#This Row],[Codigo]],Plan_cuentas[],5,FALSE)," ")</f>
        <v xml:space="preserve"> </v>
      </c>
      <c r="I2905" s="43"/>
      <c r="K2905" t="str">
        <f>IFERROR(+VLOOKUP(Movimientos_2026[[#This Row],[Codigo]],Plan_cuentas[],6,FALSE)," ")</f>
        <v xml:space="preserve"> </v>
      </c>
      <c r="L2905" s="50"/>
      <c r="M2905" s="50"/>
      <c r="N2905" s="20">
        <f>+Movimientos_2026[[#This Row],[Ingresos]]-Movimientos_2026[[#This Row],[Egresos]]</f>
        <v>0</v>
      </c>
      <c r="O2905" s="20">
        <f>+O2904+Movimientos_2026[[#This Row],[Neto]]</f>
        <v>4581558617.7962294</v>
      </c>
    </row>
    <row r="2906" spans="1:15" x14ac:dyDescent="0.25">
      <c r="A2906" s="13"/>
      <c r="B2906" s="12">
        <f>MONTH(Movimientos_2026[[#This Row],[Fecha]])</f>
        <v>1</v>
      </c>
      <c r="C2906" s="12" t="str">
        <f>VLOOKUP((WEEKDAY(Movimientos_2026[[#This Row],[Fecha]],2)),'5. Setup'!$D$6:$E$12,2,FALSE)</f>
        <v>Sab</v>
      </c>
      <c r="E2906" t="str">
        <f>IFERROR(+VLOOKUP(Movimientos_2026[[#This Row],[Codigo]],Plan_cuentas[],2,FALSE)," ")</f>
        <v xml:space="preserve"> </v>
      </c>
      <c r="F2906" t="str">
        <f>IFERROR(+VLOOKUP(Movimientos_2026[[#This Row],[Codigo]],Plan_cuentas[],3,FALSE)," ")</f>
        <v xml:space="preserve"> </v>
      </c>
      <c r="G2906" t="str">
        <f>IFERROR(+VLOOKUP(Movimientos_2026[[#This Row],[Codigo]],Plan_cuentas[],4,FALSE)," ")</f>
        <v xml:space="preserve"> </v>
      </c>
      <c r="H2906" t="str">
        <f>IFERROR(+VLOOKUP(Movimientos_2026[[#This Row],[Codigo]],Plan_cuentas[],5,FALSE)," ")</f>
        <v xml:space="preserve"> </v>
      </c>
      <c r="I2906" s="43"/>
      <c r="K2906" t="str">
        <f>IFERROR(+VLOOKUP(Movimientos_2026[[#This Row],[Codigo]],Plan_cuentas[],6,FALSE)," ")</f>
        <v xml:space="preserve"> </v>
      </c>
      <c r="L2906" s="50"/>
      <c r="M2906" s="50"/>
      <c r="N2906" s="20">
        <f>+Movimientos_2026[[#This Row],[Ingresos]]-Movimientos_2026[[#This Row],[Egresos]]</f>
        <v>0</v>
      </c>
      <c r="O2906" s="20">
        <f>+O2905+Movimientos_2026[[#This Row],[Neto]]</f>
        <v>4581558617.7962294</v>
      </c>
    </row>
    <row r="2907" spans="1:15" x14ac:dyDescent="0.25">
      <c r="A2907" s="13"/>
      <c r="B2907" s="12">
        <f>MONTH(Movimientos_2026[[#This Row],[Fecha]])</f>
        <v>1</v>
      </c>
      <c r="C2907" s="12" t="str">
        <f>VLOOKUP((WEEKDAY(Movimientos_2026[[#This Row],[Fecha]],2)),'5. Setup'!$D$6:$E$12,2,FALSE)</f>
        <v>Sab</v>
      </c>
      <c r="E2907" t="str">
        <f>IFERROR(+VLOOKUP(Movimientos_2026[[#This Row],[Codigo]],Plan_cuentas[],2,FALSE)," ")</f>
        <v xml:space="preserve"> </v>
      </c>
      <c r="F2907" t="str">
        <f>IFERROR(+VLOOKUP(Movimientos_2026[[#This Row],[Codigo]],Plan_cuentas[],3,FALSE)," ")</f>
        <v xml:space="preserve"> </v>
      </c>
      <c r="G2907" t="str">
        <f>IFERROR(+VLOOKUP(Movimientos_2026[[#This Row],[Codigo]],Plan_cuentas[],4,FALSE)," ")</f>
        <v xml:space="preserve"> </v>
      </c>
      <c r="H2907" t="str">
        <f>IFERROR(+VLOOKUP(Movimientos_2026[[#This Row],[Codigo]],Plan_cuentas[],5,FALSE)," ")</f>
        <v xml:space="preserve"> </v>
      </c>
      <c r="I2907" s="43"/>
      <c r="K2907" t="str">
        <f>IFERROR(+VLOOKUP(Movimientos_2026[[#This Row],[Codigo]],Plan_cuentas[],6,FALSE)," ")</f>
        <v xml:space="preserve"> </v>
      </c>
      <c r="L2907" s="50"/>
      <c r="M2907" s="50"/>
      <c r="N2907" s="20">
        <f>+Movimientos_2026[[#This Row],[Ingresos]]-Movimientos_2026[[#This Row],[Egresos]]</f>
        <v>0</v>
      </c>
      <c r="O2907" s="20">
        <f>+O2906+Movimientos_2026[[#This Row],[Neto]]</f>
        <v>4581558617.7962294</v>
      </c>
    </row>
    <row r="2908" spans="1:15" x14ac:dyDescent="0.25">
      <c r="A2908" s="13"/>
      <c r="B2908" s="12">
        <f>MONTH(Movimientos_2026[[#This Row],[Fecha]])</f>
        <v>1</v>
      </c>
      <c r="C2908" s="12" t="str">
        <f>VLOOKUP((WEEKDAY(Movimientos_2026[[#This Row],[Fecha]],2)),'5. Setup'!$D$6:$E$12,2,FALSE)</f>
        <v>Sab</v>
      </c>
      <c r="E2908" t="str">
        <f>IFERROR(+VLOOKUP(Movimientos_2026[[#This Row],[Codigo]],Plan_cuentas[],2,FALSE)," ")</f>
        <v xml:space="preserve"> </v>
      </c>
      <c r="F2908" t="str">
        <f>IFERROR(+VLOOKUP(Movimientos_2026[[#This Row],[Codigo]],Plan_cuentas[],3,FALSE)," ")</f>
        <v xml:space="preserve"> </v>
      </c>
      <c r="G2908" t="str">
        <f>IFERROR(+VLOOKUP(Movimientos_2026[[#This Row],[Codigo]],Plan_cuentas[],4,FALSE)," ")</f>
        <v xml:space="preserve"> </v>
      </c>
      <c r="H2908" t="str">
        <f>IFERROR(+VLOOKUP(Movimientos_2026[[#This Row],[Codigo]],Plan_cuentas[],5,FALSE)," ")</f>
        <v xml:space="preserve"> </v>
      </c>
      <c r="I2908" s="43"/>
      <c r="K2908" t="str">
        <f>IFERROR(+VLOOKUP(Movimientos_2026[[#This Row],[Codigo]],Plan_cuentas[],6,FALSE)," ")</f>
        <v xml:space="preserve"> </v>
      </c>
      <c r="L2908" s="50"/>
      <c r="M2908" s="50"/>
      <c r="N2908" s="20">
        <f>+Movimientos_2026[[#This Row],[Ingresos]]-Movimientos_2026[[#This Row],[Egresos]]</f>
        <v>0</v>
      </c>
      <c r="O2908" s="20">
        <f>+O2907+Movimientos_2026[[#This Row],[Neto]]</f>
        <v>4581558617.7962294</v>
      </c>
    </row>
    <row r="2909" spans="1:15" x14ac:dyDescent="0.25">
      <c r="A2909" s="13"/>
      <c r="B2909" s="12">
        <f>MONTH(Movimientos_2026[[#This Row],[Fecha]])</f>
        <v>1</v>
      </c>
      <c r="C2909" s="12" t="str">
        <f>VLOOKUP((WEEKDAY(Movimientos_2026[[#This Row],[Fecha]],2)),'5. Setup'!$D$6:$E$12,2,FALSE)</f>
        <v>Sab</v>
      </c>
      <c r="E2909" t="str">
        <f>IFERROR(+VLOOKUP(Movimientos_2026[[#This Row],[Codigo]],Plan_cuentas[],2,FALSE)," ")</f>
        <v xml:space="preserve"> </v>
      </c>
      <c r="F2909" t="str">
        <f>IFERROR(+VLOOKUP(Movimientos_2026[[#This Row],[Codigo]],Plan_cuentas[],3,FALSE)," ")</f>
        <v xml:space="preserve"> </v>
      </c>
      <c r="G2909" t="str">
        <f>IFERROR(+VLOOKUP(Movimientos_2026[[#This Row],[Codigo]],Plan_cuentas[],4,FALSE)," ")</f>
        <v xml:space="preserve"> </v>
      </c>
      <c r="H2909" t="str">
        <f>IFERROR(+VLOOKUP(Movimientos_2026[[#This Row],[Codigo]],Plan_cuentas[],5,FALSE)," ")</f>
        <v xml:space="preserve"> </v>
      </c>
      <c r="I2909" s="43"/>
      <c r="K2909" t="str">
        <f>IFERROR(+VLOOKUP(Movimientos_2026[[#This Row],[Codigo]],Plan_cuentas[],6,FALSE)," ")</f>
        <v xml:space="preserve"> </v>
      </c>
      <c r="L2909" s="50"/>
      <c r="M2909" s="50"/>
      <c r="N2909" s="20">
        <f>+Movimientos_2026[[#This Row],[Ingresos]]-Movimientos_2026[[#This Row],[Egresos]]</f>
        <v>0</v>
      </c>
      <c r="O2909" s="20">
        <f>+O2908+Movimientos_2026[[#This Row],[Neto]]</f>
        <v>4581558617.7962294</v>
      </c>
    </row>
    <row r="2910" spans="1:15" x14ac:dyDescent="0.25">
      <c r="A2910" s="13"/>
      <c r="B2910" s="12">
        <f>MONTH(Movimientos_2026[[#This Row],[Fecha]])</f>
        <v>1</v>
      </c>
      <c r="C2910" s="12" t="str">
        <f>VLOOKUP((WEEKDAY(Movimientos_2026[[#This Row],[Fecha]],2)),'5. Setup'!$D$6:$E$12,2,FALSE)</f>
        <v>Sab</v>
      </c>
      <c r="E2910" t="str">
        <f>IFERROR(+VLOOKUP(Movimientos_2026[[#This Row],[Codigo]],Plan_cuentas[],2,FALSE)," ")</f>
        <v xml:space="preserve"> </v>
      </c>
      <c r="F2910" t="str">
        <f>IFERROR(+VLOOKUP(Movimientos_2026[[#This Row],[Codigo]],Plan_cuentas[],3,FALSE)," ")</f>
        <v xml:space="preserve"> </v>
      </c>
      <c r="G2910" t="str">
        <f>IFERROR(+VLOOKUP(Movimientos_2026[[#This Row],[Codigo]],Plan_cuentas[],4,FALSE)," ")</f>
        <v xml:space="preserve"> </v>
      </c>
      <c r="H2910" t="str">
        <f>IFERROR(+VLOOKUP(Movimientos_2026[[#This Row],[Codigo]],Plan_cuentas[],5,FALSE)," ")</f>
        <v xml:space="preserve"> </v>
      </c>
      <c r="I2910" s="43"/>
      <c r="K2910" t="str">
        <f>IFERROR(+VLOOKUP(Movimientos_2026[[#This Row],[Codigo]],Plan_cuentas[],6,FALSE)," ")</f>
        <v xml:space="preserve"> </v>
      </c>
      <c r="L2910" s="50"/>
      <c r="M2910" s="50"/>
      <c r="N2910" s="20">
        <f>+Movimientos_2026[[#This Row],[Ingresos]]-Movimientos_2026[[#This Row],[Egresos]]</f>
        <v>0</v>
      </c>
      <c r="O2910" s="20">
        <f>+O2909+Movimientos_2026[[#This Row],[Neto]]</f>
        <v>4581558617.7962294</v>
      </c>
    </row>
    <row r="2911" spans="1:15" x14ac:dyDescent="0.25">
      <c r="A2911" s="13"/>
      <c r="B2911" s="12">
        <f>MONTH(Movimientos_2026[[#This Row],[Fecha]])</f>
        <v>1</v>
      </c>
      <c r="C2911" s="12" t="str">
        <f>VLOOKUP((WEEKDAY(Movimientos_2026[[#This Row],[Fecha]],2)),'5. Setup'!$D$6:$E$12,2,FALSE)</f>
        <v>Sab</v>
      </c>
      <c r="E2911" t="str">
        <f>IFERROR(+VLOOKUP(Movimientos_2026[[#This Row],[Codigo]],Plan_cuentas[],2,FALSE)," ")</f>
        <v xml:space="preserve"> </v>
      </c>
      <c r="F2911" t="str">
        <f>IFERROR(+VLOOKUP(Movimientos_2026[[#This Row],[Codigo]],Plan_cuentas[],3,FALSE)," ")</f>
        <v xml:space="preserve"> </v>
      </c>
      <c r="G2911" t="str">
        <f>IFERROR(+VLOOKUP(Movimientos_2026[[#This Row],[Codigo]],Plan_cuentas[],4,FALSE)," ")</f>
        <v xml:space="preserve"> </v>
      </c>
      <c r="H2911" t="str">
        <f>IFERROR(+VLOOKUP(Movimientos_2026[[#This Row],[Codigo]],Plan_cuentas[],5,FALSE)," ")</f>
        <v xml:space="preserve"> </v>
      </c>
      <c r="I2911" s="43"/>
      <c r="K2911" t="str">
        <f>IFERROR(+VLOOKUP(Movimientos_2026[[#This Row],[Codigo]],Plan_cuentas[],6,FALSE)," ")</f>
        <v xml:space="preserve"> </v>
      </c>
      <c r="L2911" s="50"/>
      <c r="M2911" s="50"/>
      <c r="N2911" s="20">
        <f>+Movimientos_2026[[#This Row],[Ingresos]]-Movimientos_2026[[#This Row],[Egresos]]</f>
        <v>0</v>
      </c>
      <c r="O2911" s="20">
        <f>+O2910+Movimientos_2026[[#This Row],[Neto]]</f>
        <v>4581558617.7962294</v>
      </c>
    </row>
    <row r="2912" spans="1:15" x14ac:dyDescent="0.25">
      <c r="A2912" s="13"/>
      <c r="B2912" s="12">
        <f>MONTH(Movimientos_2026[[#This Row],[Fecha]])</f>
        <v>1</v>
      </c>
      <c r="C2912" s="12" t="str">
        <f>VLOOKUP((WEEKDAY(Movimientos_2026[[#This Row],[Fecha]],2)),'5. Setup'!$D$6:$E$12,2,FALSE)</f>
        <v>Sab</v>
      </c>
      <c r="E2912" t="str">
        <f>IFERROR(+VLOOKUP(Movimientos_2026[[#This Row],[Codigo]],Plan_cuentas[],2,FALSE)," ")</f>
        <v xml:space="preserve"> </v>
      </c>
      <c r="F2912" t="str">
        <f>IFERROR(+VLOOKUP(Movimientos_2026[[#This Row],[Codigo]],Plan_cuentas[],3,FALSE)," ")</f>
        <v xml:space="preserve"> </v>
      </c>
      <c r="G2912" t="str">
        <f>IFERROR(+VLOOKUP(Movimientos_2026[[#This Row],[Codigo]],Plan_cuentas[],4,FALSE)," ")</f>
        <v xml:space="preserve"> </v>
      </c>
      <c r="H2912" t="str">
        <f>IFERROR(+VLOOKUP(Movimientos_2026[[#This Row],[Codigo]],Plan_cuentas[],5,FALSE)," ")</f>
        <v xml:space="preserve"> </v>
      </c>
      <c r="I2912" s="43"/>
      <c r="K2912" t="str">
        <f>IFERROR(+VLOOKUP(Movimientos_2026[[#This Row],[Codigo]],Plan_cuentas[],6,FALSE)," ")</f>
        <v xml:space="preserve"> </v>
      </c>
      <c r="L2912" s="50"/>
      <c r="M2912" s="50"/>
      <c r="N2912" s="20">
        <f>+Movimientos_2026[[#This Row],[Ingresos]]-Movimientos_2026[[#This Row],[Egresos]]</f>
        <v>0</v>
      </c>
      <c r="O2912" s="20">
        <f>+O2911+Movimientos_2026[[#This Row],[Neto]]</f>
        <v>4581558617.7962294</v>
      </c>
    </row>
    <row r="2913" spans="1:15" x14ac:dyDescent="0.25">
      <c r="A2913" s="13"/>
      <c r="B2913" s="12">
        <f>MONTH(Movimientos_2026[[#This Row],[Fecha]])</f>
        <v>1</v>
      </c>
      <c r="C2913" s="12" t="str">
        <f>VLOOKUP((WEEKDAY(Movimientos_2026[[#This Row],[Fecha]],2)),'5. Setup'!$D$6:$E$12,2,FALSE)</f>
        <v>Sab</v>
      </c>
      <c r="E2913" t="str">
        <f>IFERROR(+VLOOKUP(Movimientos_2026[[#This Row],[Codigo]],Plan_cuentas[],2,FALSE)," ")</f>
        <v xml:space="preserve"> </v>
      </c>
      <c r="F2913" t="str">
        <f>IFERROR(+VLOOKUP(Movimientos_2026[[#This Row],[Codigo]],Plan_cuentas[],3,FALSE)," ")</f>
        <v xml:space="preserve"> </v>
      </c>
      <c r="G2913" t="str">
        <f>IFERROR(+VLOOKUP(Movimientos_2026[[#This Row],[Codigo]],Plan_cuentas[],4,FALSE)," ")</f>
        <v xml:space="preserve"> </v>
      </c>
      <c r="H2913" t="str">
        <f>IFERROR(+VLOOKUP(Movimientos_2026[[#This Row],[Codigo]],Plan_cuentas[],5,FALSE)," ")</f>
        <v xml:space="preserve"> </v>
      </c>
      <c r="I2913" s="43"/>
      <c r="K2913" t="str">
        <f>IFERROR(+VLOOKUP(Movimientos_2026[[#This Row],[Codigo]],Plan_cuentas[],6,FALSE)," ")</f>
        <v xml:space="preserve"> </v>
      </c>
      <c r="L2913" s="50"/>
      <c r="M2913" s="50"/>
      <c r="N2913" s="20">
        <f>+Movimientos_2026[[#This Row],[Ingresos]]-Movimientos_2026[[#This Row],[Egresos]]</f>
        <v>0</v>
      </c>
      <c r="O2913" s="20">
        <f>+O2912+Movimientos_2026[[#This Row],[Neto]]</f>
        <v>4581558617.7962294</v>
      </c>
    </row>
    <row r="2914" spans="1:15" x14ac:dyDescent="0.25">
      <c r="A2914" s="13"/>
      <c r="B2914" s="12">
        <f>MONTH(Movimientos_2026[[#This Row],[Fecha]])</f>
        <v>1</v>
      </c>
      <c r="C2914" s="12" t="str">
        <f>VLOOKUP((WEEKDAY(Movimientos_2026[[#This Row],[Fecha]],2)),'5. Setup'!$D$6:$E$12,2,FALSE)</f>
        <v>Sab</v>
      </c>
      <c r="E2914" t="str">
        <f>IFERROR(+VLOOKUP(Movimientos_2026[[#This Row],[Codigo]],Plan_cuentas[],2,FALSE)," ")</f>
        <v xml:space="preserve"> </v>
      </c>
      <c r="F2914" t="str">
        <f>IFERROR(+VLOOKUP(Movimientos_2026[[#This Row],[Codigo]],Plan_cuentas[],3,FALSE)," ")</f>
        <v xml:space="preserve"> </v>
      </c>
      <c r="G2914" t="str">
        <f>IFERROR(+VLOOKUP(Movimientos_2026[[#This Row],[Codigo]],Plan_cuentas[],4,FALSE)," ")</f>
        <v xml:space="preserve"> </v>
      </c>
      <c r="H2914" t="str">
        <f>IFERROR(+VLOOKUP(Movimientos_2026[[#This Row],[Codigo]],Plan_cuentas[],5,FALSE)," ")</f>
        <v xml:space="preserve"> </v>
      </c>
      <c r="I2914" s="43"/>
      <c r="K2914" t="str">
        <f>IFERROR(+VLOOKUP(Movimientos_2026[[#This Row],[Codigo]],Plan_cuentas[],6,FALSE)," ")</f>
        <v xml:space="preserve"> </v>
      </c>
      <c r="L2914" s="50"/>
      <c r="M2914" s="50"/>
      <c r="N2914" s="20">
        <f>+Movimientos_2026[[#This Row],[Ingresos]]-Movimientos_2026[[#This Row],[Egresos]]</f>
        <v>0</v>
      </c>
      <c r="O2914" s="20">
        <f>+O2913+Movimientos_2026[[#This Row],[Neto]]</f>
        <v>4581558617.7962294</v>
      </c>
    </row>
    <row r="2915" spans="1:15" x14ac:dyDescent="0.25">
      <c r="A2915" s="13"/>
      <c r="B2915" s="12">
        <f>MONTH(Movimientos_2026[[#This Row],[Fecha]])</f>
        <v>1</v>
      </c>
      <c r="C2915" s="12" t="str">
        <f>VLOOKUP((WEEKDAY(Movimientos_2026[[#This Row],[Fecha]],2)),'5. Setup'!$D$6:$E$12,2,FALSE)</f>
        <v>Sab</v>
      </c>
      <c r="E2915" t="str">
        <f>IFERROR(+VLOOKUP(Movimientos_2026[[#This Row],[Codigo]],Plan_cuentas[],2,FALSE)," ")</f>
        <v xml:space="preserve"> </v>
      </c>
      <c r="F2915" t="str">
        <f>IFERROR(+VLOOKUP(Movimientos_2026[[#This Row],[Codigo]],Plan_cuentas[],3,FALSE)," ")</f>
        <v xml:space="preserve"> </v>
      </c>
      <c r="G2915" t="str">
        <f>IFERROR(+VLOOKUP(Movimientos_2026[[#This Row],[Codigo]],Plan_cuentas[],4,FALSE)," ")</f>
        <v xml:space="preserve"> </v>
      </c>
      <c r="H2915" t="str">
        <f>IFERROR(+VLOOKUP(Movimientos_2026[[#This Row],[Codigo]],Plan_cuentas[],5,FALSE)," ")</f>
        <v xml:space="preserve"> </v>
      </c>
      <c r="I2915" s="43"/>
      <c r="K2915" t="str">
        <f>IFERROR(+VLOOKUP(Movimientos_2026[[#This Row],[Codigo]],Plan_cuentas[],6,FALSE)," ")</f>
        <v xml:space="preserve"> </v>
      </c>
      <c r="L2915" s="50"/>
      <c r="M2915" s="50"/>
      <c r="N2915" s="20">
        <f>+Movimientos_2026[[#This Row],[Ingresos]]-Movimientos_2026[[#This Row],[Egresos]]</f>
        <v>0</v>
      </c>
      <c r="O2915" s="20">
        <f>+O2914+Movimientos_2026[[#This Row],[Neto]]</f>
        <v>4581558617.7962294</v>
      </c>
    </row>
    <row r="2916" spans="1:15" x14ac:dyDescent="0.25">
      <c r="A2916" s="13"/>
      <c r="B2916" s="12">
        <f>MONTH(Movimientos_2026[[#This Row],[Fecha]])</f>
        <v>1</v>
      </c>
      <c r="C2916" s="12" t="str">
        <f>VLOOKUP((WEEKDAY(Movimientos_2026[[#This Row],[Fecha]],2)),'5. Setup'!$D$6:$E$12,2,FALSE)</f>
        <v>Sab</v>
      </c>
      <c r="E2916" t="str">
        <f>IFERROR(+VLOOKUP(Movimientos_2026[[#This Row],[Codigo]],Plan_cuentas[],2,FALSE)," ")</f>
        <v xml:space="preserve"> </v>
      </c>
      <c r="F2916" t="str">
        <f>IFERROR(+VLOOKUP(Movimientos_2026[[#This Row],[Codigo]],Plan_cuentas[],3,FALSE)," ")</f>
        <v xml:space="preserve"> </v>
      </c>
      <c r="G2916" t="str">
        <f>IFERROR(+VLOOKUP(Movimientos_2026[[#This Row],[Codigo]],Plan_cuentas[],4,FALSE)," ")</f>
        <v xml:space="preserve"> </v>
      </c>
      <c r="H2916" t="str">
        <f>IFERROR(+VLOOKUP(Movimientos_2026[[#This Row],[Codigo]],Plan_cuentas[],5,FALSE)," ")</f>
        <v xml:space="preserve"> </v>
      </c>
      <c r="I2916" s="43"/>
      <c r="K2916" t="str">
        <f>IFERROR(+VLOOKUP(Movimientos_2026[[#This Row],[Codigo]],Plan_cuentas[],6,FALSE)," ")</f>
        <v xml:space="preserve"> </v>
      </c>
      <c r="L2916" s="50"/>
      <c r="M2916" s="50"/>
      <c r="N2916" s="20">
        <f>+Movimientos_2026[[#This Row],[Ingresos]]-Movimientos_2026[[#This Row],[Egresos]]</f>
        <v>0</v>
      </c>
      <c r="O2916" s="20">
        <f>+O2915+Movimientos_2026[[#This Row],[Neto]]</f>
        <v>4581558617.7962294</v>
      </c>
    </row>
    <row r="2917" spans="1:15" x14ac:dyDescent="0.25">
      <c r="A2917" s="13"/>
      <c r="B2917" s="12">
        <f>MONTH(Movimientos_2026[[#This Row],[Fecha]])</f>
        <v>1</v>
      </c>
      <c r="C2917" s="12" t="str">
        <f>VLOOKUP((WEEKDAY(Movimientos_2026[[#This Row],[Fecha]],2)),'5. Setup'!$D$6:$E$12,2,FALSE)</f>
        <v>Sab</v>
      </c>
      <c r="E2917" t="str">
        <f>IFERROR(+VLOOKUP(Movimientos_2026[[#This Row],[Codigo]],Plan_cuentas[],2,FALSE)," ")</f>
        <v xml:space="preserve"> </v>
      </c>
      <c r="F2917" t="str">
        <f>IFERROR(+VLOOKUP(Movimientos_2026[[#This Row],[Codigo]],Plan_cuentas[],3,FALSE)," ")</f>
        <v xml:space="preserve"> </v>
      </c>
      <c r="G2917" t="str">
        <f>IFERROR(+VLOOKUP(Movimientos_2026[[#This Row],[Codigo]],Plan_cuentas[],4,FALSE)," ")</f>
        <v xml:space="preserve"> </v>
      </c>
      <c r="H2917" t="str">
        <f>IFERROR(+VLOOKUP(Movimientos_2026[[#This Row],[Codigo]],Plan_cuentas[],5,FALSE)," ")</f>
        <v xml:space="preserve"> </v>
      </c>
      <c r="I2917" s="43"/>
      <c r="K2917" t="str">
        <f>IFERROR(+VLOOKUP(Movimientos_2026[[#This Row],[Codigo]],Plan_cuentas[],6,FALSE)," ")</f>
        <v xml:space="preserve"> </v>
      </c>
      <c r="L2917" s="50"/>
      <c r="M2917" s="50"/>
      <c r="N2917" s="20">
        <f>+Movimientos_2026[[#This Row],[Ingresos]]-Movimientos_2026[[#This Row],[Egresos]]</f>
        <v>0</v>
      </c>
      <c r="O2917" s="20">
        <f>+O2916+Movimientos_2026[[#This Row],[Neto]]</f>
        <v>4581558617.7962294</v>
      </c>
    </row>
    <row r="2918" spans="1:15" x14ac:dyDescent="0.25">
      <c r="A2918" s="13"/>
      <c r="B2918" s="12">
        <f>MONTH(Movimientos_2026[[#This Row],[Fecha]])</f>
        <v>1</v>
      </c>
      <c r="C2918" s="12" t="str">
        <f>VLOOKUP((WEEKDAY(Movimientos_2026[[#This Row],[Fecha]],2)),'5. Setup'!$D$6:$E$12,2,FALSE)</f>
        <v>Sab</v>
      </c>
      <c r="E2918" t="str">
        <f>IFERROR(+VLOOKUP(Movimientos_2026[[#This Row],[Codigo]],Plan_cuentas[],2,FALSE)," ")</f>
        <v xml:space="preserve"> </v>
      </c>
      <c r="F2918" t="str">
        <f>IFERROR(+VLOOKUP(Movimientos_2026[[#This Row],[Codigo]],Plan_cuentas[],3,FALSE)," ")</f>
        <v xml:space="preserve"> </v>
      </c>
      <c r="G2918" t="str">
        <f>IFERROR(+VLOOKUP(Movimientos_2026[[#This Row],[Codigo]],Plan_cuentas[],4,FALSE)," ")</f>
        <v xml:space="preserve"> </v>
      </c>
      <c r="H2918" t="str">
        <f>IFERROR(+VLOOKUP(Movimientos_2026[[#This Row],[Codigo]],Plan_cuentas[],5,FALSE)," ")</f>
        <v xml:space="preserve"> </v>
      </c>
      <c r="I2918" s="43"/>
      <c r="K2918" t="str">
        <f>IFERROR(+VLOOKUP(Movimientos_2026[[#This Row],[Codigo]],Plan_cuentas[],6,FALSE)," ")</f>
        <v xml:space="preserve"> </v>
      </c>
      <c r="L2918" s="50"/>
      <c r="M2918" s="50"/>
      <c r="N2918" s="20">
        <f>+Movimientos_2026[[#This Row],[Ingresos]]-Movimientos_2026[[#This Row],[Egresos]]</f>
        <v>0</v>
      </c>
      <c r="O2918" s="20">
        <f>+O2917+Movimientos_2026[[#This Row],[Neto]]</f>
        <v>4581558617.7962294</v>
      </c>
    </row>
    <row r="2919" spans="1:15" x14ac:dyDescent="0.25">
      <c r="A2919" s="13"/>
      <c r="B2919" s="12">
        <f>MONTH(Movimientos_2026[[#This Row],[Fecha]])</f>
        <v>1</v>
      </c>
      <c r="C2919" s="12" t="str">
        <f>VLOOKUP((WEEKDAY(Movimientos_2026[[#This Row],[Fecha]],2)),'5. Setup'!$D$6:$E$12,2,FALSE)</f>
        <v>Sab</v>
      </c>
      <c r="E2919" t="str">
        <f>IFERROR(+VLOOKUP(Movimientos_2026[[#This Row],[Codigo]],Plan_cuentas[],2,FALSE)," ")</f>
        <v xml:space="preserve"> </v>
      </c>
      <c r="F2919" t="str">
        <f>IFERROR(+VLOOKUP(Movimientos_2026[[#This Row],[Codigo]],Plan_cuentas[],3,FALSE)," ")</f>
        <v xml:space="preserve"> </v>
      </c>
      <c r="G2919" t="str">
        <f>IFERROR(+VLOOKUP(Movimientos_2026[[#This Row],[Codigo]],Plan_cuentas[],4,FALSE)," ")</f>
        <v xml:space="preserve"> </v>
      </c>
      <c r="H2919" t="str">
        <f>IFERROR(+VLOOKUP(Movimientos_2026[[#This Row],[Codigo]],Plan_cuentas[],5,FALSE)," ")</f>
        <v xml:space="preserve"> </v>
      </c>
      <c r="I2919" s="43"/>
      <c r="K2919" t="str">
        <f>IFERROR(+VLOOKUP(Movimientos_2026[[#This Row],[Codigo]],Plan_cuentas[],6,FALSE)," ")</f>
        <v xml:space="preserve"> </v>
      </c>
      <c r="L2919" s="50"/>
      <c r="M2919" s="50"/>
      <c r="N2919" s="20">
        <f>+Movimientos_2026[[#This Row],[Ingresos]]-Movimientos_2026[[#This Row],[Egresos]]</f>
        <v>0</v>
      </c>
      <c r="O2919" s="20">
        <f>+O2918+Movimientos_2026[[#This Row],[Neto]]</f>
        <v>4581558617.7962294</v>
      </c>
    </row>
    <row r="2920" spans="1:15" x14ac:dyDescent="0.25">
      <c r="A2920" s="13"/>
      <c r="B2920" s="12">
        <f>MONTH(Movimientos_2026[[#This Row],[Fecha]])</f>
        <v>1</v>
      </c>
      <c r="C2920" s="12" t="str">
        <f>VLOOKUP((WEEKDAY(Movimientos_2026[[#This Row],[Fecha]],2)),'5. Setup'!$D$6:$E$12,2,FALSE)</f>
        <v>Sab</v>
      </c>
      <c r="E2920" t="str">
        <f>IFERROR(+VLOOKUP(Movimientos_2026[[#This Row],[Codigo]],Plan_cuentas[],2,FALSE)," ")</f>
        <v xml:space="preserve"> </v>
      </c>
      <c r="F2920" t="str">
        <f>IFERROR(+VLOOKUP(Movimientos_2026[[#This Row],[Codigo]],Plan_cuentas[],3,FALSE)," ")</f>
        <v xml:space="preserve"> </v>
      </c>
      <c r="G2920" t="str">
        <f>IFERROR(+VLOOKUP(Movimientos_2026[[#This Row],[Codigo]],Plan_cuentas[],4,FALSE)," ")</f>
        <v xml:space="preserve"> </v>
      </c>
      <c r="H2920" t="str">
        <f>IFERROR(+VLOOKUP(Movimientos_2026[[#This Row],[Codigo]],Plan_cuentas[],5,FALSE)," ")</f>
        <v xml:space="preserve"> </v>
      </c>
      <c r="I2920" s="43"/>
      <c r="K2920" t="str">
        <f>IFERROR(+VLOOKUP(Movimientos_2026[[#This Row],[Codigo]],Plan_cuentas[],6,FALSE)," ")</f>
        <v xml:space="preserve"> </v>
      </c>
      <c r="L2920" s="50"/>
      <c r="M2920" s="50"/>
      <c r="N2920" s="20">
        <f>+Movimientos_2026[[#This Row],[Ingresos]]-Movimientos_2026[[#This Row],[Egresos]]</f>
        <v>0</v>
      </c>
      <c r="O2920" s="20">
        <f>+O2919+Movimientos_2026[[#This Row],[Neto]]</f>
        <v>4581558617.7962294</v>
      </c>
    </row>
    <row r="2921" spans="1:15" x14ac:dyDescent="0.25">
      <c r="A2921" s="13"/>
      <c r="B2921" s="12">
        <f>MONTH(Movimientos_2026[[#This Row],[Fecha]])</f>
        <v>1</v>
      </c>
      <c r="C2921" s="12" t="str">
        <f>VLOOKUP((WEEKDAY(Movimientos_2026[[#This Row],[Fecha]],2)),'5. Setup'!$D$6:$E$12,2,FALSE)</f>
        <v>Sab</v>
      </c>
      <c r="E2921" t="str">
        <f>IFERROR(+VLOOKUP(Movimientos_2026[[#This Row],[Codigo]],Plan_cuentas[],2,FALSE)," ")</f>
        <v xml:space="preserve"> </v>
      </c>
      <c r="F2921" t="str">
        <f>IFERROR(+VLOOKUP(Movimientos_2026[[#This Row],[Codigo]],Plan_cuentas[],3,FALSE)," ")</f>
        <v xml:space="preserve"> </v>
      </c>
      <c r="G2921" t="str">
        <f>IFERROR(+VLOOKUP(Movimientos_2026[[#This Row],[Codigo]],Plan_cuentas[],4,FALSE)," ")</f>
        <v xml:space="preserve"> </v>
      </c>
      <c r="H2921" t="str">
        <f>IFERROR(+VLOOKUP(Movimientos_2026[[#This Row],[Codigo]],Plan_cuentas[],5,FALSE)," ")</f>
        <v xml:space="preserve"> </v>
      </c>
      <c r="I2921" s="43"/>
      <c r="K2921" t="str">
        <f>IFERROR(+VLOOKUP(Movimientos_2026[[#This Row],[Codigo]],Plan_cuentas[],6,FALSE)," ")</f>
        <v xml:space="preserve"> </v>
      </c>
      <c r="L2921" s="50"/>
      <c r="M2921" s="50"/>
      <c r="N2921" s="20">
        <f>+Movimientos_2026[[#This Row],[Ingresos]]-Movimientos_2026[[#This Row],[Egresos]]</f>
        <v>0</v>
      </c>
      <c r="O2921" s="20">
        <f>+O2920+Movimientos_2026[[#This Row],[Neto]]</f>
        <v>4581558617.7962294</v>
      </c>
    </row>
    <row r="2922" spans="1:15" x14ac:dyDescent="0.25">
      <c r="A2922" s="13"/>
      <c r="B2922" s="12">
        <f>MONTH(Movimientos_2026[[#This Row],[Fecha]])</f>
        <v>1</v>
      </c>
      <c r="C2922" s="12" t="str">
        <f>VLOOKUP((WEEKDAY(Movimientos_2026[[#This Row],[Fecha]],2)),'5. Setup'!$D$6:$E$12,2,FALSE)</f>
        <v>Sab</v>
      </c>
      <c r="E2922" t="str">
        <f>IFERROR(+VLOOKUP(Movimientos_2026[[#This Row],[Codigo]],Plan_cuentas[],2,FALSE)," ")</f>
        <v xml:space="preserve"> </v>
      </c>
      <c r="F2922" t="str">
        <f>IFERROR(+VLOOKUP(Movimientos_2026[[#This Row],[Codigo]],Plan_cuentas[],3,FALSE)," ")</f>
        <v xml:space="preserve"> </v>
      </c>
      <c r="G2922" t="str">
        <f>IFERROR(+VLOOKUP(Movimientos_2026[[#This Row],[Codigo]],Plan_cuentas[],4,FALSE)," ")</f>
        <v xml:space="preserve"> </v>
      </c>
      <c r="H2922" t="str">
        <f>IFERROR(+VLOOKUP(Movimientos_2026[[#This Row],[Codigo]],Plan_cuentas[],5,FALSE)," ")</f>
        <v xml:space="preserve"> </v>
      </c>
      <c r="I2922" s="43"/>
      <c r="K2922" t="str">
        <f>IFERROR(+VLOOKUP(Movimientos_2026[[#This Row],[Codigo]],Plan_cuentas[],6,FALSE)," ")</f>
        <v xml:space="preserve"> </v>
      </c>
      <c r="L2922" s="50"/>
      <c r="M2922" s="50"/>
      <c r="N2922" s="20">
        <f>+Movimientos_2026[[#This Row],[Ingresos]]-Movimientos_2026[[#This Row],[Egresos]]</f>
        <v>0</v>
      </c>
      <c r="O2922" s="20">
        <f>+O2921+Movimientos_2026[[#This Row],[Neto]]</f>
        <v>4581558617.7962294</v>
      </c>
    </row>
    <row r="2923" spans="1:15" x14ac:dyDescent="0.25">
      <c r="A2923" s="13"/>
      <c r="B2923" s="12">
        <f>MONTH(Movimientos_2026[[#This Row],[Fecha]])</f>
        <v>1</v>
      </c>
      <c r="C2923" s="12" t="str">
        <f>VLOOKUP((WEEKDAY(Movimientos_2026[[#This Row],[Fecha]],2)),'5. Setup'!$D$6:$E$12,2,FALSE)</f>
        <v>Sab</v>
      </c>
      <c r="E2923" t="str">
        <f>IFERROR(+VLOOKUP(Movimientos_2026[[#This Row],[Codigo]],Plan_cuentas[],2,FALSE)," ")</f>
        <v xml:space="preserve"> </v>
      </c>
      <c r="F2923" t="str">
        <f>IFERROR(+VLOOKUP(Movimientos_2026[[#This Row],[Codigo]],Plan_cuentas[],3,FALSE)," ")</f>
        <v xml:space="preserve"> </v>
      </c>
      <c r="G2923" t="str">
        <f>IFERROR(+VLOOKUP(Movimientos_2026[[#This Row],[Codigo]],Plan_cuentas[],4,FALSE)," ")</f>
        <v xml:space="preserve"> </v>
      </c>
      <c r="H2923" t="str">
        <f>IFERROR(+VLOOKUP(Movimientos_2026[[#This Row],[Codigo]],Plan_cuentas[],5,FALSE)," ")</f>
        <v xml:space="preserve"> </v>
      </c>
      <c r="I2923" s="43"/>
      <c r="K2923" t="str">
        <f>IFERROR(+VLOOKUP(Movimientos_2026[[#This Row],[Codigo]],Plan_cuentas[],6,FALSE)," ")</f>
        <v xml:space="preserve"> </v>
      </c>
      <c r="L2923" s="50"/>
      <c r="M2923" s="50"/>
      <c r="N2923" s="20">
        <f>+Movimientos_2026[[#This Row],[Ingresos]]-Movimientos_2026[[#This Row],[Egresos]]</f>
        <v>0</v>
      </c>
      <c r="O2923" s="20">
        <f>+O2922+Movimientos_2026[[#This Row],[Neto]]</f>
        <v>4581558617.7962294</v>
      </c>
    </row>
    <row r="2924" spans="1:15" x14ac:dyDescent="0.25">
      <c r="A2924" s="13"/>
      <c r="B2924" s="12">
        <f>MONTH(Movimientos_2026[[#This Row],[Fecha]])</f>
        <v>1</v>
      </c>
      <c r="C2924" s="12" t="str">
        <f>VLOOKUP((WEEKDAY(Movimientos_2026[[#This Row],[Fecha]],2)),'5. Setup'!$D$6:$E$12,2,FALSE)</f>
        <v>Sab</v>
      </c>
      <c r="E2924" t="str">
        <f>IFERROR(+VLOOKUP(Movimientos_2026[[#This Row],[Codigo]],Plan_cuentas[],2,FALSE)," ")</f>
        <v xml:space="preserve"> </v>
      </c>
      <c r="F2924" t="str">
        <f>IFERROR(+VLOOKUP(Movimientos_2026[[#This Row],[Codigo]],Plan_cuentas[],3,FALSE)," ")</f>
        <v xml:space="preserve"> </v>
      </c>
      <c r="G2924" t="str">
        <f>IFERROR(+VLOOKUP(Movimientos_2026[[#This Row],[Codigo]],Plan_cuentas[],4,FALSE)," ")</f>
        <v xml:space="preserve"> </v>
      </c>
      <c r="H2924" t="str">
        <f>IFERROR(+VLOOKUP(Movimientos_2026[[#This Row],[Codigo]],Plan_cuentas[],5,FALSE)," ")</f>
        <v xml:space="preserve"> </v>
      </c>
      <c r="I2924" s="43"/>
      <c r="K2924" t="str">
        <f>IFERROR(+VLOOKUP(Movimientos_2026[[#This Row],[Codigo]],Plan_cuentas[],6,FALSE)," ")</f>
        <v xml:space="preserve"> </v>
      </c>
      <c r="L2924" s="50"/>
      <c r="M2924" s="50"/>
      <c r="N2924" s="20">
        <f>+Movimientos_2026[[#This Row],[Ingresos]]-Movimientos_2026[[#This Row],[Egresos]]</f>
        <v>0</v>
      </c>
      <c r="O2924" s="20">
        <f>+O2923+Movimientos_2026[[#This Row],[Neto]]</f>
        <v>4581558617.7962294</v>
      </c>
    </row>
    <row r="2925" spans="1:15" x14ac:dyDescent="0.25">
      <c r="A2925" s="13"/>
      <c r="B2925" s="12">
        <f>MONTH(Movimientos_2026[[#This Row],[Fecha]])</f>
        <v>1</v>
      </c>
      <c r="C2925" s="12" t="str">
        <f>VLOOKUP((WEEKDAY(Movimientos_2026[[#This Row],[Fecha]],2)),'5. Setup'!$D$6:$E$12,2,FALSE)</f>
        <v>Sab</v>
      </c>
      <c r="E2925" t="str">
        <f>IFERROR(+VLOOKUP(Movimientos_2026[[#This Row],[Codigo]],Plan_cuentas[],2,FALSE)," ")</f>
        <v xml:space="preserve"> </v>
      </c>
      <c r="F2925" t="str">
        <f>IFERROR(+VLOOKUP(Movimientos_2026[[#This Row],[Codigo]],Plan_cuentas[],3,FALSE)," ")</f>
        <v xml:space="preserve"> </v>
      </c>
      <c r="G2925" t="str">
        <f>IFERROR(+VLOOKUP(Movimientos_2026[[#This Row],[Codigo]],Plan_cuentas[],4,FALSE)," ")</f>
        <v xml:space="preserve"> </v>
      </c>
      <c r="H2925" t="str">
        <f>IFERROR(+VLOOKUP(Movimientos_2026[[#This Row],[Codigo]],Plan_cuentas[],5,FALSE)," ")</f>
        <v xml:space="preserve"> </v>
      </c>
      <c r="I2925" s="43"/>
      <c r="K2925" t="str">
        <f>IFERROR(+VLOOKUP(Movimientos_2026[[#This Row],[Codigo]],Plan_cuentas[],6,FALSE)," ")</f>
        <v xml:space="preserve"> </v>
      </c>
      <c r="L2925" s="50"/>
      <c r="M2925" s="50"/>
      <c r="N2925" s="20">
        <f>+Movimientos_2026[[#This Row],[Ingresos]]-Movimientos_2026[[#This Row],[Egresos]]</f>
        <v>0</v>
      </c>
      <c r="O2925" s="20">
        <f>+O2924+Movimientos_2026[[#This Row],[Neto]]</f>
        <v>4581558617.7962294</v>
      </c>
    </row>
    <row r="2926" spans="1:15" x14ac:dyDescent="0.25">
      <c r="A2926" s="13"/>
      <c r="B2926" s="12">
        <f>MONTH(Movimientos_2026[[#This Row],[Fecha]])</f>
        <v>1</v>
      </c>
      <c r="C2926" s="12" t="str">
        <f>VLOOKUP((WEEKDAY(Movimientos_2026[[#This Row],[Fecha]],2)),'5. Setup'!$D$6:$E$12,2,FALSE)</f>
        <v>Sab</v>
      </c>
      <c r="E2926" t="str">
        <f>IFERROR(+VLOOKUP(Movimientos_2026[[#This Row],[Codigo]],Plan_cuentas[],2,FALSE)," ")</f>
        <v xml:space="preserve"> </v>
      </c>
      <c r="F2926" t="str">
        <f>IFERROR(+VLOOKUP(Movimientos_2026[[#This Row],[Codigo]],Plan_cuentas[],3,FALSE)," ")</f>
        <v xml:space="preserve"> </v>
      </c>
      <c r="G2926" t="str">
        <f>IFERROR(+VLOOKUP(Movimientos_2026[[#This Row],[Codigo]],Plan_cuentas[],4,FALSE)," ")</f>
        <v xml:space="preserve"> </v>
      </c>
      <c r="H2926" t="str">
        <f>IFERROR(+VLOOKUP(Movimientos_2026[[#This Row],[Codigo]],Plan_cuentas[],5,FALSE)," ")</f>
        <v xml:space="preserve"> </v>
      </c>
      <c r="I2926" s="43"/>
      <c r="K2926" t="str">
        <f>IFERROR(+VLOOKUP(Movimientos_2026[[#This Row],[Codigo]],Plan_cuentas[],6,FALSE)," ")</f>
        <v xml:space="preserve"> </v>
      </c>
      <c r="L2926" s="50"/>
      <c r="M2926" s="50"/>
      <c r="N2926" s="20">
        <f>+Movimientos_2026[[#This Row],[Ingresos]]-Movimientos_2026[[#This Row],[Egresos]]</f>
        <v>0</v>
      </c>
      <c r="O2926" s="20">
        <f>+O2925+Movimientos_2026[[#This Row],[Neto]]</f>
        <v>4581558617.7962294</v>
      </c>
    </row>
    <row r="2927" spans="1:15" x14ac:dyDescent="0.25">
      <c r="A2927" s="13"/>
      <c r="B2927" s="12">
        <f>MONTH(Movimientos_2026[[#This Row],[Fecha]])</f>
        <v>1</v>
      </c>
      <c r="C2927" s="12" t="str">
        <f>VLOOKUP((WEEKDAY(Movimientos_2026[[#This Row],[Fecha]],2)),'5. Setup'!$D$6:$E$12,2,FALSE)</f>
        <v>Sab</v>
      </c>
      <c r="E2927" t="str">
        <f>IFERROR(+VLOOKUP(Movimientos_2026[[#This Row],[Codigo]],Plan_cuentas[],2,FALSE)," ")</f>
        <v xml:space="preserve"> </v>
      </c>
      <c r="F2927" t="str">
        <f>IFERROR(+VLOOKUP(Movimientos_2026[[#This Row],[Codigo]],Plan_cuentas[],3,FALSE)," ")</f>
        <v xml:space="preserve"> </v>
      </c>
      <c r="G2927" t="str">
        <f>IFERROR(+VLOOKUP(Movimientos_2026[[#This Row],[Codigo]],Plan_cuentas[],4,FALSE)," ")</f>
        <v xml:space="preserve"> </v>
      </c>
      <c r="H2927" t="str">
        <f>IFERROR(+VLOOKUP(Movimientos_2026[[#This Row],[Codigo]],Plan_cuentas[],5,FALSE)," ")</f>
        <v xml:space="preserve"> </v>
      </c>
      <c r="I2927" s="43"/>
      <c r="K2927" t="str">
        <f>IFERROR(+VLOOKUP(Movimientos_2026[[#This Row],[Codigo]],Plan_cuentas[],6,FALSE)," ")</f>
        <v xml:space="preserve"> </v>
      </c>
      <c r="L2927" s="50"/>
      <c r="M2927" s="50"/>
      <c r="N2927" s="20">
        <f>+Movimientos_2026[[#This Row],[Ingresos]]-Movimientos_2026[[#This Row],[Egresos]]</f>
        <v>0</v>
      </c>
      <c r="O2927" s="20">
        <f>+O2926+Movimientos_2026[[#This Row],[Neto]]</f>
        <v>4581558617.7962294</v>
      </c>
    </row>
    <row r="2928" spans="1:15" x14ac:dyDescent="0.25">
      <c r="A2928" s="13"/>
      <c r="B2928" s="12">
        <f>MONTH(Movimientos_2026[[#This Row],[Fecha]])</f>
        <v>1</v>
      </c>
      <c r="C2928" s="12" t="str">
        <f>VLOOKUP((WEEKDAY(Movimientos_2026[[#This Row],[Fecha]],2)),'5. Setup'!$D$6:$E$12,2,FALSE)</f>
        <v>Sab</v>
      </c>
      <c r="E2928" t="str">
        <f>IFERROR(+VLOOKUP(Movimientos_2026[[#This Row],[Codigo]],Plan_cuentas[],2,FALSE)," ")</f>
        <v xml:space="preserve"> </v>
      </c>
      <c r="F2928" t="str">
        <f>IFERROR(+VLOOKUP(Movimientos_2026[[#This Row],[Codigo]],Plan_cuentas[],3,FALSE)," ")</f>
        <v xml:space="preserve"> </v>
      </c>
      <c r="G2928" t="str">
        <f>IFERROR(+VLOOKUP(Movimientos_2026[[#This Row],[Codigo]],Plan_cuentas[],4,FALSE)," ")</f>
        <v xml:space="preserve"> </v>
      </c>
      <c r="H2928" t="str">
        <f>IFERROR(+VLOOKUP(Movimientos_2026[[#This Row],[Codigo]],Plan_cuentas[],5,FALSE)," ")</f>
        <v xml:space="preserve"> </v>
      </c>
      <c r="I2928" s="43"/>
      <c r="K2928" t="str">
        <f>IFERROR(+VLOOKUP(Movimientos_2026[[#This Row],[Codigo]],Plan_cuentas[],6,FALSE)," ")</f>
        <v xml:space="preserve"> </v>
      </c>
      <c r="L2928" s="50"/>
      <c r="M2928" s="50"/>
      <c r="N2928" s="20">
        <f>+Movimientos_2026[[#This Row],[Ingresos]]-Movimientos_2026[[#This Row],[Egresos]]</f>
        <v>0</v>
      </c>
      <c r="O2928" s="20">
        <f>+O2927+Movimientos_2026[[#This Row],[Neto]]</f>
        <v>4581558617.7962294</v>
      </c>
    </row>
    <row r="2929" spans="1:15" x14ac:dyDescent="0.25">
      <c r="A2929" s="13"/>
      <c r="B2929" s="12">
        <f>MONTH(Movimientos_2026[[#This Row],[Fecha]])</f>
        <v>1</v>
      </c>
      <c r="C2929" s="12" t="str">
        <f>VLOOKUP((WEEKDAY(Movimientos_2026[[#This Row],[Fecha]],2)),'5. Setup'!$D$6:$E$12,2,FALSE)</f>
        <v>Sab</v>
      </c>
      <c r="E2929" t="str">
        <f>IFERROR(+VLOOKUP(Movimientos_2026[[#This Row],[Codigo]],Plan_cuentas[],2,FALSE)," ")</f>
        <v xml:space="preserve"> </v>
      </c>
      <c r="F2929" t="str">
        <f>IFERROR(+VLOOKUP(Movimientos_2026[[#This Row],[Codigo]],Plan_cuentas[],3,FALSE)," ")</f>
        <v xml:space="preserve"> </v>
      </c>
      <c r="G2929" t="str">
        <f>IFERROR(+VLOOKUP(Movimientos_2026[[#This Row],[Codigo]],Plan_cuentas[],4,FALSE)," ")</f>
        <v xml:space="preserve"> </v>
      </c>
      <c r="H2929" t="str">
        <f>IFERROR(+VLOOKUP(Movimientos_2026[[#This Row],[Codigo]],Plan_cuentas[],5,FALSE)," ")</f>
        <v xml:space="preserve"> </v>
      </c>
      <c r="I2929" s="43"/>
      <c r="K2929" t="str">
        <f>IFERROR(+VLOOKUP(Movimientos_2026[[#This Row],[Codigo]],Plan_cuentas[],6,FALSE)," ")</f>
        <v xml:space="preserve"> </v>
      </c>
      <c r="L2929" s="50"/>
      <c r="M2929" s="50"/>
      <c r="N2929" s="20">
        <f>+Movimientos_2026[[#This Row],[Ingresos]]-Movimientos_2026[[#This Row],[Egresos]]</f>
        <v>0</v>
      </c>
      <c r="O2929" s="20">
        <f>+O2928+Movimientos_2026[[#This Row],[Neto]]</f>
        <v>4581558617.7962294</v>
      </c>
    </row>
    <row r="2930" spans="1:15" x14ac:dyDescent="0.25">
      <c r="A2930" s="13"/>
      <c r="B2930" s="12">
        <f>MONTH(Movimientos_2026[[#This Row],[Fecha]])</f>
        <v>1</v>
      </c>
      <c r="C2930" s="12" t="str">
        <f>VLOOKUP((WEEKDAY(Movimientos_2026[[#This Row],[Fecha]],2)),'5. Setup'!$D$6:$E$12,2,FALSE)</f>
        <v>Sab</v>
      </c>
      <c r="E2930" t="str">
        <f>IFERROR(+VLOOKUP(Movimientos_2026[[#This Row],[Codigo]],Plan_cuentas[],2,FALSE)," ")</f>
        <v xml:space="preserve"> </v>
      </c>
      <c r="F2930" t="str">
        <f>IFERROR(+VLOOKUP(Movimientos_2026[[#This Row],[Codigo]],Plan_cuentas[],3,FALSE)," ")</f>
        <v xml:space="preserve"> </v>
      </c>
      <c r="G2930" t="str">
        <f>IFERROR(+VLOOKUP(Movimientos_2026[[#This Row],[Codigo]],Plan_cuentas[],4,FALSE)," ")</f>
        <v xml:space="preserve"> </v>
      </c>
      <c r="H2930" t="str">
        <f>IFERROR(+VLOOKUP(Movimientos_2026[[#This Row],[Codigo]],Plan_cuentas[],5,FALSE)," ")</f>
        <v xml:space="preserve"> </v>
      </c>
      <c r="I2930" s="43"/>
      <c r="K2930" t="str">
        <f>IFERROR(+VLOOKUP(Movimientos_2026[[#This Row],[Codigo]],Plan_cuentas[],6,FALSE)," ")</f>
        <v xml:space="preserve"> </v>
      </c>
      <c r="L2930" s="50"/>
      <c r="M2930" s="50"/>
      <c r="N2930" s="20">
        <f>+Movimientos_2026[[#This Row],[Ingresos]]-Movimientos_2026[[#This Row],[Egresos]]</f>
        <v>0</v>
      </c>
      <c r="O2930" s="20">
        <f>+O2929+Movimientos_2026[[#This Row],[Neto]]</f>
        <v>4581558617.7962294</v>
      </c>
    </row>
    <row r="2931" spans="1:15" x14ac:dyDescent="0.25">
      <c r="A2931" s="13"/>
      <c r="B2931" s="12">
        <f>MONTH(Movimientos_2026[[#This Row],[Fecha]])</f>
        <v>1</v>
      </c>
      <c r="C2931" s="12" t="str">
        <f>VLOOKUP((WEEKDAY(Movimientos_2026[[#This Row],[Fecha]],2)),'5. Setup'!$D$6:$E$12,2,FALSE)</f>
        <v>Sab</v>
      </c>
      <c r="E2931" t="str">
        <f>IFERROR(+VLOOKUP(Movimientos_2026[[#This Row],[Codigo]],Plan_cuentas[],2,FALSE)," ")</f>
        <v xml:space="preserve"> </v>
      </c>
      <c r="F2931" t="str">
        <f>IFERROR(+VLOOKUP(Movimientos_2026[[#This Row],[Codigo]],Plan_cuentas[],3,FALSE)," ")</f>
        <v xml:space="preserve"> </v>
      </c>
      <c r="G2931" t="str">
        <f>IFERROR(+VLOOKUP(Movimientos_2026[[#This Row],[Codigo]],Plan_cuentas[],4,FALSE)," ")</f>
        <v xml:space="preserve"> </v>
      </c>
      <c r="H2931" t="str">
        <f>IFERROR(+VLOOKUP(Movimientos_2026[[#This Row],[Codigo]],Plan_cuentas[],5,FALSE)," ")</f>
        <v xml:space="preserve"> </v>
      </c>
      <c r="I2931" s="43"/>
      <c r="K2931" t="str">
        <f>IFERROR(+VLOOKUP(Movimientos_2026[[#This Row],[Codigo]],Plan_cuentas[],6,FALSE)," ")</f>
        <v xml:space="preserve"> </v>
      </c>
      <c r="L2931" s="50"/>
      <c r="M2931" s="50"/>
      <c r="N2931" s="20">
        <f>+Movimientos_2026[[#This Row],[Ingresos]]-Movimientos_2026[[#This Row],[Egresos]]</f>
        <v>0</v>
      </c>
      <c r="O2931" s="20">
        <f>+O2930+Movimientos_2026[[#This Row],[Neto]]</f>
        <v>4581558617.7962294</v>
      </c>
    </row>
    <row r="2932" spans="1:15" x14ac:dyDescent="0.25">
      <c r="A2932" s="13"/>
      <c r="B2932" s="12">
        <f>MONTH(Movimientos_2026[[#This Row],[Fecha]])</f>
        <v>1</v>
      </c>
      <c r="C2932" s="12" t="str">
        <f>VLOOKUP((WEEKDAY(Movimientos_2026[[#This Row],[Fecha]],2)),'5. Setup'!$D$6:$E$12,2,FALSE)</f>
        <v>Sab</v>
      </c>
      <c r="E2932" t="str">
        <f>IFERROR(+VLOOKUP(Movimientos_2026[[#This Row],[Codigo]],Plan_cuentas[],2,FALSE)," ")</f>
        <v xml:space="preserve"> </v>
      </c>
      <c r="F2932" t="str">
        <f>IFERROR(+VLOOKUP(Movimientos_2026[[#This Row],[Codigo]],Plan_cuentas[],3,FALSE)," ")</f>
        <v xml:space="preserve"> </v>
      </c>
      <c r="G2932" t="str">
        <f>IFERROR(+VLOOKUP(Movimientos_2026[[#This Row],[Codigo]],Plan_cuentas[],4,FALSE)," ")</f>
        <v xml:space="preserve"> </v>
      </c>
      <c r="H2932" t="str">
        <f>IFERROR(+VLOOKUP(Movimientos_2026[[#This Row],[Codigo]],Plan_cuentas[],5,FALSE)," ")</f>
        <v xml:space="preserve"> </v>
      </c>
      <c r="I2932" s="43"/>
      <c r="K2932" t="str">
        <f>IFERROR(+VLOOKUP(Movimientos_2026[[#This Row],[Codigo]],Plan_cuentas[],6,FALSE)," ")</f>
        <v xml:space="preserve"> </v>
      </c>
      <c r="L2932" s="50"/>
      <c r="M2932" s="50"/>
      <c r="N2932" s="20">
        <f>+Movimientos_2026[[#This Row],[Ingresos]]-Movimientos_2026[[#This Row],[Egresos]]</f>
        <v>0</v>
      </c>
      <c r="O2932" s="20">
        <f>+O2931+Movimientos_2026[[#This Row],[Neto]]</f>
        <v>4581558617.7962294</v>
      </c>
    </row>
    <row r="2933" spans="1:15" x14ac:dyDescent="0.25">
      <c r="A2933" s="13"/>
      <c r="B2933" s="12">
        <f>MONTH(Movimientos_2026[[#This Row],[Fecha]])</f>
        <v>1</v>
      </c>
      <c r="C2933" s="12" t="str">
        <f>VLOOKUP((WEEKDAY(Movimientos_2026[[#This Row],[Fecha]],2)),'5. Setup'!$D$6:$E$12,2,FALSE)</f>
        <v>Sab</v>
      </c>
      <c r="E2933" t="str">
        <f>IFERROR(+VLOOKUP(Movimientos_2026[[#This Row],[Codigo]],Plan_cuentas[],2,FALSE)," ")</f>
        <v xml:space="preserve"> </v>
      </c>
      <c r="F2933" t="str">
        <f>IFERROR(+VLOOKUP(Movimientos_2026[[#This Row],[Codigo]],Plan_cuentas[],3,FALSE)," ")</f>
        <v xml:space="preserve"> </v>
      </c>
      <c r="G2933" t="str">
        <f>IFERROR(+VLOOKUP(Movimientos_2026[[#This Row],[Codigo]],Plan_cuentas[],4,FALSE)," ")</f>
        <v xml:space="preserve"> </v>
      </c>
      <c r="H2933" t="str">
        <f>IFERROR(+VLOOKUP(Movimientos_2026[[#This Row],[Codigo]],Plan_cuentas[],5,FALSE)," ")</f>
        <v xml:space="preserve"> </v>
      </c>
      <c r="I2933" s="43"/>
      <c r="K2933" t="str">
        <f>IFERROR(+VLOOKUP(Movimientos_2026[[#This Row],[Codigo]],Plan_cuentas[],6,FALSE)," ")</f>
        <v xml:space="preserve"> </v>
      </c>
      <c r="L2933" s="50"/>
      <c r="M2933" s="50"/>
      <c r="N2933" s="20">
        <f>+Movimientos_2026[[#This Row],[Ingresos]]-Movimientos_2026[[#This Row],[Egresos]]</f>
        <v>0</v>
      </c>
      <c r="O2933" s="20">
        <f>+O2932+Movimientos_2026[[#This Row],[Neto]]</f>
        <v>4581558617.7962294</v>
      </c>
    </row>
    <row r="2934" spans="1:15" x14ac:dyDescent="0.25">
      <c r="A2934" s="13"/>
      <c r="B2934" s="12">
        <f>MONTH(Movimientos_2026[[#This Row],[Fecha]])</f>
        <v>1</v>
      </c>
      <c r="C2934" s="12" t="str">
        <f>VLOOKUP((WEEKDAY(Movimientos_2026[[#This Row],[Fecha]],2)),'5. Setup'!$D$6:$E$12,2,FALSE)</f>
        <v>Sab</v>
      </c>
      <c r="E2934" t="str">
        <f>IFERROR(+VLOOKUP(Movimientos_2026[[#This Row],[Codigo]],Plan_cuentas[],2,FALSE)," ")</f>
        <v xml:space="preserve"> </v>
      </c>
      <c r="F2934" t="str">
        <f>IFERROR(+VLOOKUP(Movimientos_2026[[#This Row],[Codigo]],Plan_cuentas[],3,FALSE)," ")</f>
        <v xml:space="preserve"> </v>
      </c>
      <c r="G2934" t="str">
        <f>IFERROR(+VLOOKUP(Movimientos_2026[[#This Row],[Codigo]],Plan_cuentas[],4,FALSE)," ")</f>
        <v xml:space="preserve"> </v>
      </c>
      <c r="H2934" t="str">
        <f>IFERROR(+VLOOKUP(Movimientos_2026[[#This Row],[Codigo]],Plan_cuentas[],5,FALSE)," ")</f>
        <v xml:space="preserve"> </v>
      </c>
      <c r="I2934" s="43"/>
      <c r="K2934" t="str">
        <f>IFERROR(+VLOOKUP(Movimientos_2026[[#This Row],[Codigo]],Plan_cuentas[],6,FALSE)," ")</f>
        <v xml:space="preserve"> </v>
      </c>
      <c r="L2934" s="50"/>
      <c r="M2934" s="50"/>
      <c r="N2934" s="20">
        <f>+Movimientos_2026[[#This Row],[Ingresos]]-Movimientos_2026[[#This Row],[Egresos]]</f>
        <v>0</v>
      </c>
      <c r="O2934" s="20">
        <f>+O2933+Movimientos_2026[[#This Row],[Neto]]</f>
        <v>4581558617.7962294</v>
      </c>
    </row>
    <row r="2935" spans="1:15" x14ac:dyDescent="0.25">
      <c r="A2935" s="13"/>
      <c r="B2935" s="12">
        <f>MONTH(Movimientos_2026[[#This Row],[Fecha]])</f>
        <v>1</v>
      </c>
      <c r="C2935" s="12" t="str">
        <f>VLOOKUP((WEEKDAY(Movimientos_2026[[#This Row],[Fecha]],2)),'5. Setup'!$D$6:$E$12,2,FALSE)</f>
        <v>Sab</v>
      </c>
      <c r="E2935" t="str">
        <f>IFERROR(+VLOOKUP(Movimientos_2026[[#This Row],[Codigo]],Plan_cuentas[],2,FALSE)," ")</f>
        <v xml:space="preserve"> </v>
      </c>
      <c r="F2935" t="str">
        <f>IFERROR(+VLOOKUP(Movimientos_2026[[#This Row],[Codigo]],Plan_cuentas[],3,FALSE)," ")</f>
        <v xml:space="preserve"> </v>
      </c>
      <c r="G2935" t="str">
        <f>IFERROR(+VLOOKUP(Movimientos_2026[[#This Row],[Codigo]],Plan_cuentas[],4,FALSE)," ")</f>
        <v xml:space="preserve"> </v>
      </c>
      <c r="H2935" t="str">
        <f>IFERROR(+VLOOKUP(Movimientos_2026[[#This Row],[Codigo]],Plan_cuentas[],5,FALSE)," ")</f>
        <v xml:space="preserve"> </v>
      </c>
      <c r="I2935" s="43"/>
      <c r="K2935" t="str">
        <f>IFERROR(+VLOOKUP(Movimientos_2026[[#This Row],[Codigo]],Plan_cuentas[],6,FALSE)," ")</f>
        <v xml:space="preserve"> </v>
      </c>
      <c r="L2935" s="50"/>
      <c r="M2935" s="50"/>
      <c r="N2935" s="20">
        <f>+Movimientos_2026[[#This Row],[Ingresos]]-Movimientos_2026[[#This Row],[Egresos]]</f>
        <v>0</v>
      </c>
      <c r="O2935" s="20">
        <f>+O2934+Movimientos_2026[[#This Row],[Neto]]</f>
        <v>4581558617.7962294</v>
      </c>
    </row>
    <row r="2936" spans="1:15" x14ac:dyDescent="0.25">
      <c r="A2936" s="13"/>
      <c r="B2936" s="12">
        <f>MONTH(Movimientos_2026[[#This Row],[Fecha]])</f>
        <v>1</v>
      </c>
      <c r="C2936" s="12" t="str">
        <f>VLOOKUP((WEEKDAY(Movimientos_2026[[#This Row],[Fecha]],2)),'5. Setup'!$D$6:$E$12,2,FALSE)</f>
        <v>Sab</v>
      </c>
      <c r="E2936" t="str">
        <f>IFERROR(+VLOOKUP(Movimientos_2026[[#This Row],[Codigo]],Plan_cuentas[],2,FALSE)," ")</f>
        <v xml:space="preserve"> </v>
      </c>
      <c r="F2936" t="str">
        <f>IFERROR(+VLOOKUP(Movimientos_2026[[#This Row],[Codigo]],Plan_cuentas[],3,FALSE)," ")</f>
        <v xml:space="preserve"> </v>
      </c>
      <c r="G2936" t="str">
        <f>IFERROR(+VLOOKUP(Movimientos_2026[[#This Row],[Codigo]],Plan_cuentas[],4,FALSE)," ")</f>
        <v xml:space="preserve"> </v>
      </c>
      <c r="H2936" t="str">
        <f>IFERROR(+VLOOKUP(Movimientos_2026[[#This Row],[Codigo]],Plan_cuentas[],5,FALSE)," ")</f>
        <v xml:space="preserve"> </v>
      </c>
      <c r="I2936" s="43"/>
      <c r="K2936" t="str">
        <f>IFERROR(+VLOOKUP(Movimientos_2026[[#This Row],[Codigo]],Plan_cuentas[],6,FALSE)," ")</f>
        <v xml:space="preserve"> </v>
      </c>
      <c r="L2936" s="50"/>
      <c r="M2936" s="50"/>
      <c r="N2936" s="20">
        <f>+Movimientos_2026[[#This Row],[Ingresos]]-Movimientos_2026[[#This Row],[Egresos]]</f>
        <v>0</v>
      </c>
      <c r="O2936" s="20">
        <f>+O2935+Movimientos_2026[[#This Row],[Neto]]</f>
        <v>4581558617.7962294</v>
      </c>
    </row>
    <row r="2937" spans="1:15" x14ac:dyDescent="0.25">
      <c r="A2937" s="13"/>
      <c r="B2937" s="12">
        <f>MONTH(Movimientos_2026[[#This Row],[Fecha]])</f>
        <v>1</v>
      </c>
      <c r="C2937" s="12" t="str">
        <f>VLOOKUP((WEEKDAY(Movimientos_2026[[#This Row],[Fecha]],2)),'5. Setup'!$D$6:$E$12,2,FALSE)</f>
        <v>Sab</v>
      </c>
      <c r="E2937" t="str">
        <f>IFERROR(+VLOOKUP(Movimientos_2026[[#This Row],[Codigo]],Plan_cuentas[],2,FALSE)," ")</f>
        <v xml:space="preserve"> </v>
      </c>
      <c r="F2937" t="str">
        <f>IFERROR(+VLOOKUP(Movimientos_2026[[#This Row],[Codigo]],Plan_cuentas[],3,FALSE)," ")</f>
        <v xml:space="preserve"> </v>
      </c>
      <c r="G2937" t="str">
        <f>IFERROR(+VLOOKUP(Movimientos_2026[[#This Row],[Codigo]],Plan_cuentas[],4,FALSE)," ")</f>
        <v xml:space="preserve"> </v>
      </c>
      <c r="H2937" t="str">
        <f>IFERROR(+VLOOKUP(Movimientos_2026[[#This Row],[Codigo]],Plan_cuentas[],5,FALSE)," ")</f>
        <v xml:space="preserve"> </v>
      </c>
      <c r="I2937" s="43"/>
      <c r="K2937" t="str">
        <f>IFERROR(+VLOOKUP(Movimientos_2026[[#This Row],[Codigo]],Plan_cuentas[],6,FALSE)," ")</f>
        <v xml:space="preserve"> </v>
      </c>
      <c r="L2937" s="50"/>
      <c r="M2937" s="50"/>
      <c r="N2937" s="20">
        <f>+Movimientos_2026[[#This Row],[Ingresos]]-Movimientos_2026[[#This Row],[Egresos]]</f>
        <v>0</v>
      </c>
      <c r="O2937" s="20">
        <f>+O2936+Movimientos_2026[[#This Row],[Neto]]</f>
        <v>4581558617.7962294</v>
      </c>
    </row>
    <row r="2938" spans="1:15" x14ac:dyDescent="0.25">
      <c r="A2938" s="13"/>
      <c r="B2938" s="12">
        <f>MONTH(Movimientos_2026[[#This Row],[Fecha]])</f>
        <v>1</v>
      </c>
      <c r="C2938" s="12" t="str">
        <f>VLOOKUP((WEEKDAY(Movimientos_2026[[#This Row],[Fecha]],2)),'5. Setup'!$D$6:$E$12,2,FALSE)</f>
        <v>Sab</v>
      </c>
      <c r="E2938" t="str">
        <f>IFERROR(+VLOOKUP(Movimientos_2026[[#This Row],[Codigo]],Plan_cuentas[],2,FALSE)," ")</f>
        <v xml:space="preserve"> </v>
      </c>
      <c r="F2938" t="str">
        <f>IFERROR(+VLOOKUP(Movimientos_2026[[#This Row],[Codigo]],Plan_cuentas[],3,FALSE)," ")</f>
        <v xml:space="preserve"> </v>
      </c>
      <c r="G2938" t="str">
        <f>IFERROR(+VLOOKUP(Movimientos_2026[[#This Row],[Codigo]],Plan_cuentas[],4,FALSE)," ")</f>
        <v xml:space="preserve"> </v>
      </c>
      <c r="H2938" t="str">
        <f>IFERROR(+VLOOKUP(Movimientos_2026[[#This Row],[Codigo]],Plan_cuentas[],5,FALSE)," ")</f>
        <v xml:space="preserve"> </v>
      </c>
      <c r="I2938" s="43"/>
      <c r="K2938" t="str">
        <f>IFERROR(+VLOOKUP(Movimientos_2026[[#This Row],[Codigo]],Plan_cuentas[],6,FALSE)," ")</f>
        <v xml:space="preserve"> </v>
      </c>
      <c r="L2938" s="50"/>
      <c r="M2938" s="50"/>
      <c r="N2938" s="20">
        <f>+Movimientos_2026[[#This Row],[Ingresos]]-Movimientos_2026[[#This Row],[Egresos]]</f>
        <v>0</v>
      </c>
      <c r="O2938" s="20">
        <f>+O2937+Movimientos_2026[[#This Row],[Neto]]</f>
        <v>4581558617.7962294</v>
      </c>
    </row>
    <row r="2939" spans="1:15" x14ac:dyDescent="0.25">
      <c r="A2939" s="13"/>
      <c r="B2939" s="12">
        <f>MONTH(Movimientos_2026[[#This Row],[Fecha]])</f>
        <v>1</v>
      </c>
      <c r="C2939" s="12" t="str">
        <f>VLOOKUP((WEEKDAY(Movimientos_2026[[#This Row],[Fecha]],2)),'5. Setup'!$D$6:$E$12,2,FALSE)</f>
        <v>Sab</v>
      </c>
      <c r="E2939" t="str">
        <f>IFERROR(+VLOOKUP(Movimientos_2026[[#This Row],[Codigo]],Plan_cuentas[],2,FALSE)," ")</f>
        <v xml:space="preserve"> </v>
      </c>
      <c r="F2939" t="str">
        <f>IFERROR(+VLOOKUP(Movimientos_2026[[#This Row],[Codigo]],Plan_cuentas[],3,FALSE)," ")</f>
        <v xml:space="preserve"> </v>
      </c>
      <c r="G2939" t="str">
        <f>IFERROR(+VLOOKUP(Movimientos_2026[[#This Row],[Codigo]],Plan_cuentas[],4,FALSE)," ")</f>
        <v xml:space="preserve"> </v>
      </c>
      <c r="H2939" t="str">
        <f>IFERROR(+VLOOKUP(Movimientos_2026[[#This Row],[Codigo]],Plan_cuentas[],5,FALSE)," ")</f>
        <v xml:space="preserve"> </v>
      </c>
      <c r="I2939" s="43"/>
      <c r="K2939" t="str">
        <f>IFERROR(+VLOOKUP(Movimientos_2026[[#This Row],[Codigo]],Plan_cuentas[],6,FALSE)," ")</f>
        <v xml:space="preserve"> </v>
      </c>
      <c r="L2939" s="50"/>
      <c r="M2939" s="50"/>
      <c r="N2939" s="20">
        <f>+Movimientos_2026[[#This Row],[Ingresos]]-Movimientos_2026[[#This Row],[Egresos]]</f>
        <v>0</v>
      </c>
      <c r="O2939" s="20">
        <f>+O2938+Movimientos_2026[[#This Row],[Neto]]</f>
        <v>4581558617.7962294</v>
      </c>
    </row>
    <row r="2940" spans="1:15" x14ac:dyDescent="0.25">
      <c r="A2940" s="13"/>
      <c r="B2940" s="12">
        <f>MONTH(Movimientos_2026[[#This Row],[Fecha]])</f>
        <v>1</v>
      </c>
      <c r="C2940" s="12" t="str">
        <f>VLOOKUP((WEEKDAY(Movimientos_2026[[#This Row],[Fecha]],2)),'5. Setup'!$D$6:$E$12,2,FALSE)</f>
        <v>Sab</v>
      </c>
      <c r="E2940" t="str">
        <f>IFERROR(+VLOOKUP(Movimientos_2026[[#This Row],[Codigo]],Plan_cuentas[],2,FALSE)," ")</f>
        <v xml:space="preserve"> </v>
      </c>
      <c r="F2940" t="str">
        <f>IFERROR(+VLOOKUP(Movimientos_2026[[#This Row],[Codigo]],Plan_cuentas[],3,FALSE)," ")</f>
        <v xml:space="preserve"> </v>
      </c>
      <c r="G2940" t="str">
        <f>IFERROR(+VLOOKUP(Movimientos_2026[[#This Row],[Codigo]],Plan_cuentas[],4,FALSE)," ")</f>
        <v xml:space="preserve"> </v>
      </c>
      <c r="H2940" t="str">
        <f>IFERROR(+VLOOKUP(Movimientos_2026[[#This Row],[Codigo]],Plan_cuentas[],5,FALSE)," ")</f>
        <v xml:space="preserve"> </v>
      </c>
      <c r="I2940" s="43"/>
      <c r="K2940" t="str">
        <f>IFERROR(+VLOOKUP(Movimientos_2026[[#This Row],[Codigo]],Plan_cuentas[],6,FALSE)," ")</f>
        <v xml:space="preserve"> </v>
      </c>
      <c r="L2940" s="50"/>
      <c r="M2940" s="50"/>
      <c r="N2940" s="20">
        <f>+Movimientos_2026[[#This Row],[Ingresos]]-Movimientos_2026[[#This Row],[Egresos]]</f>
        <v>0</v>
      </c>
      <c r="O2940" s="20">
        <f>+O2939+Movimientos_2026[[#This Row],[Neto]]</f>
        <v>4581558617.7962294</v>
      </c>
    </row>
    <row r="2941" spans="1:15" x14ac:dyDescent="0.25">
      <c r="A2941" s="13"/>
      <c r="B2941" s="12">
        <f>MONTH(Movimientos_2026[[#This Row],[Fecha]])</f>
        <v>1</v>
      </c>
      <c r="C2941" s="12" t="str">
        <f>VLOOKUP((WEEKDAY(Movimientos_2026[[#This Row],[Fecha]],2)),'5. Setup'!$D$6:$E$12,2,FALSE)</f>
        <v>Sab</v>
      </c>
      <c r="E2941" t="str">
        <f>IFERROR(+VLOOKUP(Movimientos_2026[[#This Row],[Codigo]],Plan_cuentas[],2,FALSE)," ")</f>
        <v xml:space="preserve"> </v>
      </c>
      <c r="F2941" t="str">
        <f>IFERROR(+VLOOKUP(Movimientos_2026[[#This Row],[Codigo]],Plan_cuentas[],3,FALSE)," ")</f>
        <v xml:space="preserve"> </v>
      </c>
      <c r="G2941" t="str">
        <f>IFERROR(+VLOOKUP(Movimientos_2026[[#This Row],[Codigo]],Plan_cuentas[],4,FALSE)," ")</f>
        <v xml:space="preserve"> </v>
      </c>
      <c r="H2941" t="str">
        <f>IFERROR(+VLOOKUP(Movimientos_2026[[#This Row],[Codigo]],Plan_cuentas[],5,FALSE)," ")</f>
        <v xml:space="preserve"> </v>
      </c>
      <c r="I2941" s="43"/>
      <c r="K2941" t="str">
        <f>IFERROR(+VLOOKUP(Movimientos_2026[[#This Row],[Codigo]],Plan_cuentas[],6,FALSE)," ")</f>
        <v xml:space="preserve"> </v>
      </c>
      <c r="L2941" s="50"/>
      <c r="M2941" s="50"/>
      <c r="N2941" s="20">
        <f>+Movimientos_2026[[#This Row],[Ingresos]]-Movimientos_2026[[#This Row],[Egresos]]</f>
        <v>0</v>
      </c>
      <c r="O2941" s="20">
        <f>+O2940+Movimientos_2026[[#This Row],[Neto]]</f>
        <v>4581558617.7962294</v>
      </c>
    </row>
    <row r="2942" spans="1:15" x14ac:dyDescent="0.25">
      <c r="A2942" s="13"/>
      <c r="B2942" s="12">
        <f>MONTH(Movimientos_2026[[#This Row],[Fecha]])</f>
        <v>1</v>
      </c>
      <c r="C2942" s="12" t="str">
        <f>VLOOKUP((WEEKDAY(Movimientos_2026[[#This Row],[Fecha]],2)),'5. Setup'!$D$6:$E$12,2,FALSE)</f>
        <v>Sab</v>
      </c>
      <c r="E2942" t="str">
        <f>IFERROR(+VLOOKUP(Movimientos_2026[[#This Row],[Codigo]],Plan_cuentas[],2,FALSE)," ")</f>
        <v xml:space="preserve"> </v>
      </c>
      <c r="F2942" t="str">
        <f>IFERROR(+VLOOKUP(Movimientos_2026[[#This Row],[Codigo]],Plan_cuentas[],3,FALSE)," ")</f>
        <v xml:space="preserve"> </v>
      </c>
      <c r="G2942" t="str">
        <f>IFERROR(+VLOOKUP(Movimientos_2026[[#This Row],[Codigo]],Plan_cuentas[],4,FALSE)," ")</f>
        <v xml:space="preserve"> </v>
      </c>
      <c r="H2942" t="str">
        <f>IFERROR(+VLOOKUP(Movimientos_2026[[#This Row],[Codigo]],Plan_cuentas[],5,FALSE)," ")</f>
        <v xml:space="preserve"> </v>
      </c>
      <c r="I2942" s="43"/>
      <c r="K2942" t="str">
        <f>IFERROR(+VLOOKUP(Movimientos_2026[[#This Row],[Codigo]],Plan_cuentas[],6,FALSE)," ")</f>
        <v xml:space="preserve"> </v>
      </c>
      <c r="L2942" s="50"/>
      <c r="M2942" s="50"/>
      <c r="N2942" s="20">
        <f>+Movimientos_2026[[#This Row],[Ingresos]]-Movimientos_2026[[#This Row],[Egresos]]</f>
        <v>0</v>
      </c>
      <c r="O2942" s="20">
        <f>+O2941+Movimientos_2026[[#This Row],[Neto]]</f>
        <v>4581558617.7962294</v>
      </c>
    </row>
    <row r="2943" spans="1:15" x14ac:dyDescent="0.25">
      <c r="A2943" s="13"/>
      <c r="B2943" s="12">
        <f>MONTH(Movimientos_2026[[#This Row],[Fecha]])</f>
        <v>1</v>
      </c>
      <c r="C2943" s="12" t="str">
        <f>VLOOKUP((WEEKDAY(Movimientos_2026[[#This Row],[Fecha]],2)),'5. Setup'!$D$6:$E$12,2,FALSE)</f>
        <v>Sab</v>
      </c>
      <c r="E2943" t="str">
        <f>IFERROR(+VLOOKUP(Movimientos_2026[[#This Row],[Codigo]],Plan_cuentas[],2,FALSE)," ")</f>
        <v xml:space="preserve"> </v>
      </c>
      <c r="F2943" t="str">
        <f>IFERROR(+VLOOKUP(Movimientos_2026[[#This Row],[Codigo]],Plan_cuentas[],3,FALSE)," ")</f>
        <v xml:space="preserve"> </v>
      </c>
      <c r="G2943" t="str">
        <f>IFERROR(+VLOOKUP(Movimientos_2026[[#This Row],[Codigo]],Plan_cuentas[],4,FALSE)," ")</f>
        <v xml:space="preserve"> </v>
      </c>
      <c r="H2943" t="str">
        <f>IFERROR(+VLOOKUP(Movimientos_2026[[#This Row],[Codigo]],Plan_cuentas[],5,FALSE)," ")</f>
        <v xml:space="preserve"> </v>
      </c>
      <c r="I2943" s="43"/>
      <c r="K2943" t="str">
        <f>IFERROR(+VLOOKUP(Movimientos_2026[[#This Row],[Codigo]],Plan_cuentas[],6,FALSE)," ")</f>
        <v xml:space="preserve"> </v>
      </c>
      <c r="L2943" s="50"/>
      <c r="M2943" s="50"/>
      <c r="N2943" s="20">
        <f>+Movimientos_2026[[#This Row],[Ingresos]]-Movimientos_2026[[#This Row],[Egresos]]</f>
        <v>0</v>
      </c>
      <c r="O2943" s="20">
        <f>+O2942+Movimientos_2026[[#This Row],[Neto]]</f>
        <v>4581558617.7962294</v>
      </c>
    </row>
    <row r="2944" spans="1:15" x14ac:dyDescent="0.25">
      <c r="A2944" s="13"/>
      <c r="B2944" s="12">
        <f>MONTH(Movimientos_2026[[#This Row],[Fecha]])</f>
        <v>1</v>
      </c>
      <c r="C2944" s="12" t="str">
        <f>VLOOKUP((WEEKDAY(Movimientos_2026[[#This Row],[Fecha]],2)),'5. Setup'!$D$6:$E$12,2,FALSE)</f>
        <v>Sab</v>
      </c>
      <c r="E2944" t="str">
        <f>IFERROR(+VLOOKUP(Movimientos_2026[[#This Row],[Codigo]],Plan_cuentas[],2,FALSE)," ")</f>
        <v xml:space="preserve"> </v>
      </c>
      <c r="F2944" t="str">
        <f>IFERROR(+VLOOKUP(Movimientos_2026[[#This Row],[Codigo]],Plan_cuentas[],3,FALSE)," ")</f>
        <v xml:space="preserve"> </v>
      </c>
      <c r="G2944" t="str">
        <f>IFERROR(+VLOOKUP(Movimientos_2026[[#This Row],[Codigo]],Plan_cuentas[],4,FALSE)," ")</f>
        <v xml:space="preserve"> </v>
      </c>
      <c r="H2944" t="str">
        <f>IFERROR(+VLOOKUP(Movimientos_2026[[#This Row],[Codigo]],Plan_cuentas[],5,FALSE)," ")</f>
        <v xml:space="preserve"> </v>
      </c>
      <c r="I2944" s="43"/>
      <c r="K2944" t="str">
        <f>IFERROR(+VLOOKUP(Movimientos_2026[[#This Row],[Codigo]],Plan_cuentas[],6,FALSE)," ")</f>
        <v xml:space="preserve"> </v>
      </c>
      <c r="L2944" s="50"/>
      <c r="M2944" s="50"/>
      <c r="N2944" s="20">
        <f>+Movimientos_2026[[#This Row],[Ingresos]]-Movimientos_2026[[#This Row],[Egresos]]</f>
        <v>0</v>
      </c>
      <c r="O2944" s="20">
        <f>+O2943+Movimientos_2026[[#This Row],[Neto]]</f>
        <v>4581558617.7962294</v>
      </c>
    </row>
    <row r="2945" spans="1:15" x14ac:dyDescent="0.25">
      <c r="A2945" s="13"/>
      <c r="B2945" s="12">
        <f>MONTH(Movimientos_2026[[#This Row],[Fecha]])</f>
        <v>1</v>
      </c>
      <c r="C2945" s="12" t="str">
        <f>VLOOKUP((WEEKDAY(Movimientos_2026[[#This Row],[Fecha]],2)),'5. Setup'!$D$6:$E$12,2,FALSE)</f>
        <v>Sab</v>
      </c>
      <c r="E2945" t="str">
        <f>IFERROR(+VLOOKUP(Movimientos_2026[[#This Row],[Codigo]],Plan_cuentas[],2,FALSE)," ")</f>
        <v xml:space="preserve"> </v>
      </c>
      <c r="F2945" t="str">
        <f>IFERROR(+VLOOKUP(Movimientos_2026[[#This Row],[Codigo]],Plan_cuentas[],3,FALSE)," ")</f>
        <v xml:space="preserve"> </v>
      </c>
      <c r="G2945" t="str">
        <f>IFERROR(+VLOOKUP(Movimientos_2026[[#This Row],[Codigo]],Plan_cuentas[],4,FALSE)," ")</f>
        <v xml:space="preserve"> </v>
      </c>
      <c r="H2945" t="str">
        <f>IFERROR(+VLOOKUP(Movimientos_2026[[#This Row],[Codigo]],Plan_cuentas[],5,FALSE)," ")</f>
        <v xml:space="preserve"> </v>
      </c>
      <c r="I2945" s="43"/>
      <c r="K2945" t="str">
        <f>IFERROR(+VLOOKUP(Movimientos_2026[[#This Row],[Codigo]],Plan_cuentas[],6,FALSE)," ")</f>
        <v xml:space="preserve"> </v>
      </c>
      <c r="L2945" s="50"/>
      <c r="M2945" s="50"/>
      <c r="N2945" s="20">
        <f>+Movimientos_2026[[#This Row],[Ingresos]]-Movimientos_2026[[#This Row],[Egresos]]</f>
        <v>0</v>
      </c>
      <c r="O2945" s="20">
        <f>+O2944+Movimientos_2026[[#This Row],[Neto]]</f>
        <v>4581558617.7962294</v>
      </c>
    </row>
    <row r="2946" spans="1:15" x14ac:dyDescent="0.25">
      <c r="A2946" s="13"/>
      <c r="B2946" s="12">
        <f>MONTH(Movimientos_2026[[#This Row],[Fecha]])</f>
        <v>1</v>
      </c>
      <c r="C2946" s="12" t="str">
        <f>VLOOKUP((WEEKDAY(Movimientos_2026[[#This Row],[Fecha]],2)),'5. Setup'!$D$6:$E$12,2,FALSE)</f>
        <v>Sab</v>
      </c>
      <c r="E2946" t="str">
        <f>IFERROR(+VLOOKUP(Movimientos_2026[[#This Row],[Codigo]],Plan_cuentas[],2,FALSE)," ")</f>
        <v xml:space="preserve"> </v>
      </c>
      <c r="F2946" t="str">
        <f>IFERROR(+VLOOKUP(Movimientos_2026[[#This Row],[Codigo]],Plan_cuentas[],3,FALSE)," ")</f>
        <v xml:space="preserve"> </v>
      </c>
      <c r="G2946" t="str">
        <f>IFERROR(+VLOOKUP(Movimientos_2026[[#This Row],[Codigo]],Plan_cuentas[],4,FALSE)," ")</f>
        <v xml:space="preserve"> </v>
      </c>
      <c r="H2946" t="str">
        <f>IFERROR(+VLOOKUP(Movimientos_2026[[#This Row],[Codigo]],Plan_cuentas[],5,FALSE)," ")</f>
        <v xml:space="preserve"> </v>
      </c>
      <c r="I2946" s="43"/>
      <c r="K2946" t="str">
        <f>IFERROR(+VLOOKUP(Movimientos_2026[[#This Row],[Codigo]],Plan_cuentas[],6,FALSE)," ")</f>
        <v xml:space="preserve"> </v>
      </c>
      <c r="L2946" s="50"/>
      <c r="M2946" s="50"/>
      <c r="N2946" s="20">
        <f>+Movimientos_2026[[#This Row],[Ingresos]]-Movimientos_2026[[#This Row],[Egresos]]</f>
        <v>0</v>
      </c>
      <c r="O2946" s="20">
        <f>+O2945+Movimientos_2026[[#This Row],[Neto]]</f>
        <v>4581558617.7962294</v>
      </c>
    </row>
    <row r="2947" spans="1:15" x14ac:dyDescent="0.25">
      <c r="A2947" s="13"/>
      <c r="B2947" s="12">
        <f>MONTH(Movimientos_2026[[#This Row],[Fecha]])</f>
        <v>1</v>
      </c>
      <c r="C2947" s="12" t="str">
        <f>VLOOKUP((WEEKDAY(Movimientos_2026[[#This Row],[Fecha]],2)),'5. Setup'!$D$6:$E$12,2,FALSE)</f>
        <v>Sab</v>
      </c>
      <c r="E2947" t="str">
        <f>IFERROR(+VLOOKUP(Movimientos_2026[[#This Row],[Codigo]],Plan_cuentas[],2,FALSE)," ")</f>
        <v xml:space="preserve"> </v>
      </c>
      <c r="F2947" t="str">
        <f>IFERROR(+VLOOKUP(Movimientos_2026[[#This Row],[Codigo]],Plan_cuentas[],3,FALSE)," ")</f>
        <v xml:space="preserve"> </v>
      </c>
      <c r="G2947" t="str">
        <f>IFERROR(+VLOOKUP(Movimientos_2026[[#This Row],[Codigo]],Plan_cuentas[],4,FALSE)," ")</f>
        <v xml:space="preserve"> </v>
      </c>
      <c r="H2947" t="str">
        <f>IFERROR(+VLOOKUP(Movimientos_2026[[#This Row],[Codigo]],Plan_cuentas[],5,FALSE)," ")</f>
        <v xml:space="preserve"> </v>
      </c>
      <c r="I2947" s="43"/>
      <c r="K2947" t="str">
        <f>IFERROR(+VLOOKUP(Movimientos_2026[[#This Row],[Codigo]],Plan_cuentas[],6,FALSE)," ")</f>
        <v xml:space="preserve"> </v>
      </c>
      <c r="L2947" s="50"/>
      <c r="M2947" s="52"/>
      <c r="N2947" s="20">
        <f>+Movimientos_2026[[#This Row],[Ingresos]]-Movimientos_2026[[#This Row],[Egresos]]</f>
        <v>0</v>
      </c>
      <c r="O2947" s="20">
        <f>+O2946+Movimientos_2026[[#This Row],[Neto]]</f>
        <v>4581558617.7962294</v>
      </c>
    </row>
    <row r="2948" spans="1:15" x14ac:dyDescent="0.25">
      <c r="A2948" s="13"/>
      <c r="B2948" s="12">
        <f>MONTH(Movimientos_2026[[#This Row],[Fecha]])</f>
        <v>1</v>
      </c>
      <c r="C2948" s="12" t="str">
        <f>VLOOKUP((WEEKDAY(Movimientos_2026[[#This Row],[Fecha]],2)),'5. Setup'!$D$6:$E$12,2,FALSE)</f>
        <v>Sab</v>
      </c>
      <c r="E2948" t="str">
        <f>IFERROR(+VLOOKUP(Movimientos_2026[[#This Row],[Codigo]],Plan_cuentas[],2,FALSE)," ")</f>
        <v xml:space="preserve"> </v>
      </c>
      <c r="F2948" t="str">
        <f>IFERROR(+VLOOKUP(Movimientos_2026[[#This Row],[Codigo]],Plan_cuentas[],3,FALSE)," ")</f>
        <v xml:space="preserve"> </v>
      </c>
      <c r="G2948" t="str">
        <f>IFERROR(+VLOOKUP(Movimientos_2026[[#This Row],[Codigo]],Plan_cuentas[],4,FALSE)," ")</f>
        <v xml:space="preserve"> </v>
      </c>
      <c r="H2948" t="str">
        <f>IFERROR(+VLOOKUP(Movimientos_2026[[#This Row],[Codigo]],Plan_cuentas[],5,FALSE)," ")</f>
        <v xml:space="preserve"> </v>
      </c>
      <c r="I2948" s="43"/>
      <c r="K2948" t="str">
        <f>IFERROR(+VLOOKUP(Movimientos_2026[[#This Row],[Codigo]],Plan_cuentas[],6,FALSE)," ")</f>
        <v xml:space="preserve"> </v>
      </c>
      <c r="L2948" s="50"/>
      <c r="M2948" s="50"/>
      <c r="N2948" s="20">
        <f>+Movimientos_2026[[#This Row],[Ingresos]]-Movimientos_2026[[#This Row],[Egresos]]</f>
        <v>0</v>
      </c>
      <c r="O2948" s="20">
        <f>+O2947+Movimientos_2026[[#This Row],[Neto]]</f>
        <v>4581558617.7962294</v>
      </c>
    </row>
    <row r="2949" spans="1:15" x14ac:dyDescent="0.25">
      <c r="A2949" s="13"/>
      <c r="B2949" s="12">
        <f>MONTH(Movimientos_2026[[#This Row],[Fecha]])</f>
        <v>1</v>
      </c>
      <c r="C2949" s="12" t="str">
        <f>VLOOKUP((WEEKDAY(Movimientos_2026[[#This Row],[Fecha]],2)),'5. Setup'!$D$6:$E$12,2,FALSE)</f>
        <v>Sab</v>
      </c>
      <c r="E2949" t="str">
        <f>IFERROR(+VLOOKUP(Movimientos_2026[[#This Row],[Codigo]],Plan_cuentas[],2,FALSE)," ")</f>
        <v xml:space="preserve"> </v>
      </c>
      <c r="F2949" t="str">
        <f>IFERROR(+VLOOKUP(Movimientos_2026[[#This Row],[Codigo]],Plan_cuentas[],3,FALSE)," ")</f>
        <v xml:space="preserve"> </v>
      </c>
      <c r="G2949" t="str">
        <f>IFERROR(+VLOOKUP(Movimientos_2026[[#This Row],[Codigo]],Plan_cuentas[],4,FALSE)," ")</f>
        <v xml:space="preserve"> </v>
      </c>
      <c r="H2949" t="str">
        <f>IFERROR(+VLOOKUP(Movimientos_2026[[#This Row],[Codigo]],Plan_cuentas[],5,FALSE)," ")</f>
        <v xml:space="preserve"> </v>
      </c>
      <c r="I2949" s="43"/>
      <c r="K2949" t="str">
        <f>IFERROR(+VLOOKUP(Movimientos_2026[[#This Row],[Codigo]],Plan_cuentas[],6,FALSE)," ")</f>
        <v xml:space="preserve"> </v>
      </c>
      <c r="L2949" s="50"/>
      <c r="M2949" s="50"/>
      <c r="N2949" s="20">
        <f>+Movimientos_2026[[#This Row],[Ingresos]]-Movimientos_2026[[#This Row],[Egresos]]</f>
        <v>0</v>
      </c>
      <c r="O2949" s="20">
        <f>+O2948+Movimientos_2026[[#This Row],[Neto]]</f>
        <v>4581558617.7962294</v>
      </c>
    </row>
    <row r="2950" spans="1:15" x14ac:dyDescent="0.25">
      <c r="A2950" s="13"/>
      <c r="B2950" s="12">
        <f>MONTH(Movimientos_2026[[#This Row],[Fecha]])</f>
        <v>1</v>
      </c>
      <c r="C2950" s="12" t="str">
        <f>VLOOKUP((WEEKDAY(Movimientos_2026[[#This Row],[Fecha]],2)),'5. Setup'!$D$6:$E$12,2,FALSE)</f>
        <v>Sab</v>
      </c>
      <c r="E2950" t="str">
        <f>IFERROR(+VLOOKUP(Movimientos_2026[[#This Row],[Codigo]],Plan_cuentas[],2,FALSE)," ")</f>
        <v xml:space="preserve"> </v>
      </c>
      <c r="F2950" t="str">
        <f>IFERROR(+VLOOKUP(Movimientos_2026[[#This Row],[Codigo]],Plan_cuentas[],3,FALSE)," ")</f>
        <v xml:space="preserve"> </v>
      </c>
      <c r="G2950" t="str">
        <f>IFERROR(+VLOOKUP(Movimientos_2026[[#This Row],[Codigo]],Plan_cuentas[],4,FALSE)," ")</f>
        <v xml:space="preserve"> </v>
      </c>
      <c r="H2950" t="str">
        <f>IFERROR(+VLOOKUP(Movimientos_2026[[#This Row],[Codigo]],Plan_cuentas[],5,FALSE)," ")</f>
        <v xml:space="preserve"> </v>
      </c>
      <c r="I2950" s="43"/>
      <c r="K2950" t="str">
        <f>IFERROR(+VLOOKUP(Movimientos_2026[[#This Row],[Codigo]],Plan_cuentas[],6,FALSE)," ")</f>
        <v xml:space="preserve"> </v>
      </c>
      <c r="L2950" s="50"/>
      <c r="M2950" s="50"/>
      <c r="N2950" s="20">
        <f>+Movimientos_2026[[#This Row],[Ingresos]]-Movimientos_2026[[#This Row],[Egresos]]</f>
        <v>0</v>
      </c>
      <c r="O2950" s="20">
        <f>+O2949+Movimientos_2026[[#This Row],[Neto]]</f>
        <v>4581558617.7962294</v>
      </c>
    </row>
    <row r="2951" spans="1:15" x14ac:dyDescent="0.25">
      <c r="A2951" s="13"/>
      <c r="B2951" s="12">
        <f>MONTH(Movimientos_2026[[#This Row],[Fecha]])</f>
        <v>1</v>
      </c>
      <c r="C2951" s="12" t="str">
        <f>VLOOKUP((WEEKDAY(Movimientos_2026[[#This Row],[Fecha]],2)),'5. Setup'!$D$6:$E$12,2,FALSE)</f>
        <v>Sab</v>
      </c>
      <c r="E2951" t="str">
        <f>IFERROR(+VLOOKUP(Movimientos_2026[[#This Row],[Codigo]],Plan_cuentas[],2,FALSE)," ")</f>
        <v xml:space="preserve"> </v>
      </c>
      <c r="F2951" t="str">
        <f>IFERROR(+VLOOKUP(Movimientos_2026[[#This Row],[Codigo]],Plan_cuentas[],3,FALSE)," ")</f>
        <v xml:space="preserve"> </v>
      </c>
      <c r="G2951" t="str">
        <f>IFERROR(+VLOOKUP(Movimientos_2026[[#This Row],[Codigo]],Plan_cuentas[],4,FALSE)," ")</f>
        <v xml:space="preserve"> </v>
      </c>
      <c r="H2951" t="str">
        <f>IFERROR(+VLOOKUP(Movimientos_2026[[#This Row],[Codigo]],Plan_cuentas[],5,FALSE)," ")</f>
        <v xml:space="preserve"> </v>
      </c>
      <c r="I2951" s="43"/>
      <c r="K2951" t="str">
        <f>IFERROR(+VLOOKUP(Movimientos_2026[[#This Row],[Codigo]],Plan_cuentas[],6,FALSE)," ")</f>
        <v xml:space="preserve"> </v>
      </c>
      <c r="L2951" s="50"/>
      <c r="M2951" s="50"/>
      <c r="N2951" s="20">
        <f>+Movimientos_2026[[#This Row],[Ingresos]]-Movimientos_2026[[#This Row],[Egresos]]</f>
        <v>0</v>
      </c>
      <c r="O2951" s="20">
        <f>+O2950+Movimientos_2026[[#This Row],[Neto]]</f>
        <v>4581558617.7962294</v>
      </c>
    </row>
    <row r="2952" spans="1:15" x14ac:dyDescent="0.25">
      <c r="A2952" s="13"/>
      <c r="B2952" s="12">
        <f>MONTH(Movimientos_2026[[#This Row],[Fecha]])</f>
        <v>1</v>
      </c>
      <c r="C2952" s="12" t="str">
        <f>VLOOKUP((WEEKDAY(Movimientos_2026[[#This Row],[Fecha]],2)),'5. Setup'!$D$6:$E$12,2,FALSE)</f>
        <v>Sab</v>
      </c>
      <c r="E2952" t="str">
        <f>IFERROR(+VLOOKUP(Movimientos_2026[[#This Row],[Codigo]],Plan_cuentas[],2,FALSE)," ")</f>
        <v xml:space="preserve"> </v>
      </c>
      <c r="F2952" t="str">
        <f>IFERROR(+VLOOKUP(Movimientos_2026[[#This Row],[Codigo]],Plan_cuentas[],3,FALSE)," ")</f>
        <v xml:space="preserve"> </v>
      </c>
      <c r="G2952" t="str">
        <f>IFERROR(+VLOOKUP(Movimientos_2026[[#This Row],[Codigo]],Plan_cuentas[],4,FALSE)," ")</f>
        <v xml:space="preserve"> </v>
      </c>
      <c r="H2952" t="str">
        <f>IFERROR(+VLOOKUP(Movimientos_2026[[#This Row],[Codigo]],Plan_cuentas[],5,FALSE)," ")</f>
        <v xml:space="preserve"> </v>
      </c>
      <c r="I2952" s="43"/>
      <c r="K2952" t="str">
        <f>IFERROR(+VLOOKUP(Movimientos_2026[[#This Row],[Codigo]],Plan_cuentas[],6,FALSE)," ")</f>
        <v xml:space="preserve"> </v>
      </c>
      <c r="L2952" s="50"/>
      <c r="M2952" s="50"/>
      <c r="N2952" s="20">
        <f>+Movimientos_2026[[#This Row],[Ingresos]]-Movimientos_2026[[#This Row],[Egresos]]</f>
        <v>0</v>
      </c>
      <c r="O2952" s="20">
        <f>+O2951+Movimientos_2026[[#This Row],[Neto]]</f>
        <v>4581558617.7962294</v>
      </c>
    </row>
    <row r="2953" spans="1:15" x14ac:dyDescent="0.25">
      <c r="A2953" s="13"/>
      <c r="B2953" s="12">
        <f>MONTH(Movimientos_2026[[#This Row],[Fecha]])</f>
        <v>1</v>
      </c>
      <c r="C2953" s="12" t="str">
        <f>VLOOKUP((WEEKDAY(Movimientos_2026[[#This Row],[Fecha]],2)),'5. Setup'!$D$6:$E$12,2,FALSE)</f>
        <v>Sab</v>
      </c>
      <c r="E2953" t="str">
        <f>IFERROR(+VLOOKUP(Movimientos_2026[[#This Row],[Codigo]],Plan_cuentas[],2,FALSE)," ")</f>
        <v xml:space="preserve"> </v>
      </c>
      <c r="F2953" t="str">
        <f>IFERROR(+VLOOKUP(Movimientos_2026[[#This Row],[Codigo]],Plan_cuentas[],3,FALSE)," ")</f>
        <v xml:space="preserve"> </v>
      </c>
      <c r="G2953" t="str">
        <f>IFERROR(+VLOOKUP(Movimientos_2026[[#This Row],[Codigo]],Plan_cuentas[],4,FALSE)," ")</f>
        <v xml:space="preserve"> </v>
      </c>
      <c r="H2953" t="str">
        <f>IFERROR(+VLOOKUP(Movimientos_2026[[#This Row],[Codigo]],Plan_cuentas[],5,FALSE)," ")</f>
        <v xml:space="preserve"> </v>
      </c>
      <c r="I2953" s="43"/>
      <c r="K2953" t="str">
        <f>IFERROR(+VLOOKUP(Movimientos_2026[[#This Row],[Codigo]],Plan_cuentas[],6,FALSE)," ")</f>
        <v xml:space="preserve"> </v>
      </c>
      <c r="L2953" s="50"/>
      <c r="M2953" s="50"/>
      <c r="N2953" s="20">
        <f>+Movimientos_2026[[#This Row],[Ingresos]]-Movimientos_2026[[#This Row],[Egresos]]</f>
        <v>0</v>
      </c>
      <c r="O2953" s="20">
        <f>+O2952+Movimientos_2026[[#This Row],[Neto]]</f>
        <v>4581558617.7962294</v>
      </c>
    </row>
    <row r="2954" spans="1:15" x14ac:dyDescent="0.25">
      <c r="A2954" s="13"/>
      <c r="B2954" s="12">
        <f>MONTH(Movimientos_2026[[#This Row],[Fecha]])</f>
        <v>1</v>
      </c>
      <c r="C2954" s="12" t="str">
        <f>VLOOKUP((WEEKDAY(Movimientos_2026[[#This Row],[Fecha]],2)),'5. Setup'!$D$6:$E$12,2,FALSE)</f>
        <v>Sab</v>
      </c>
      <c r="E2954" t="str">
        <f>IFERROR(+VLOOKUP(Movimientos_2026[[#This Row],[Codigo]],Plan_cuentas[],2,FALSE)," ")</f>
        <v xml:space="preserve"> </v>
      </c>
      <c r="F2954" t="str">
        <f>IFERROR(+VLOOKUP(Movimientos_2026[[#This Row],[Codigo]],Plan_cuentas[],3,FALSE)," ")</f>
        <v xml:space="preserve"> </v>
      </c>
      <c r="G2954" t="str">
        <f>IFERROR(+VLOOKUP(Movimientos_2026[[#This Row],[Codigo]],Plan_cuentas[],4,FALSE)," ")</f>
        <v xml:space="preserve"> </v>
      </c>
      <c r="H2954" t="str">
        <f>IFERROR(+VLOOKUP(Movimientos_2026[[#This Row],[Codigo]],Plan_cuentas[],5,FALSE)," ")</f>
        <v xml:space="preserve"> </v>
      </c>
      <c r="I2954" s="43"/>
      <c r="K2954" t="str">
        <f>IFERROR(+VLOOKUP(Movimientos_2026[[#This Row],[Codigo]],Plan_cuentas[],6,FALSE)," ")</f>
        <v xml:space="preserve"> </v>
      </c>
      <c r="L2954" s="50"/>
      <c r="M2954" s="50"/>
      <c r="N2954" s="20">
        <f>+Movimientos_2026[[#This Row],[Ingresos]]-Movimientos_2026[[#This Row],[Egresos]]</f>
        <v>0</v>
      </c>
      <c r="O2954" s="20">
        <f>+O2953+Movimientos_2026[[#This Row],[Neto]]</f>
        <v>4581558617.7962294</v>
      </c>
    </row>
    <row r="2955" spans="1:15" x14ac:dyDescent="0.25">
      <c r="A2955" s="13"/>
      <c r="B2955" s="12">
        <f>MONTH(Movimientos_2026[[#This Row],[Fecha]])</f>
        <v>1</v>
      </c>
      <c r="C2955" s="12" t="str">
        <f>VLOOKUP((WEEKDAY(Movimientos_2026[[#This Row],[Fecha]],2)),'5. Setup'!$D$6:$E$12,2,FALSE)</f>
        <v>Sab</v>
      </c>
      <c r="E2955" t="str">
        <f>IFERROR(+VLOOKUP(Movimientos_2026[[#This Row],[Codigo]],Plan_cuentas[],2,FALSE)," ")</f>
        <v xml:space="preserve"> </v>
      </c>
      <c r="F2955" t="str">
        <f>IFERROR(+VLOOKUP(Movimientos_2026[[#This Row],[Codigo]],Plan_cuentas[],3,FALSE)," ")</f>
        <v xml:space="preserve"> </v>
      </c>
      <c r="G2955" t="str">
        <f>IFERROR(+VLOOKUP(Movimientos_2026[[#This Row],[Codigo]],Plan_cuentas[],4,FALSE)," ")</f>
        <v xml:space="preserve"> </v>
      </c>
      <c r="H2955" t="str">
        <f>IFERROR(+VLOOKUP(Movimientos_2026[[#This Row],[Codigo]],Plan_cuentas[],5,FALSE)," ")</f>
        <v xml:space="preserve"> </v>
      </c>
      <c r="I2955" s="43"/>
      <c r="K2955" t="str">
        <f>IFERROR(+VLOOKUP(Movimientos_2026[[#This Row],[Codigo]],Plan_cuentas[],6,FALSE)," ")</f>
        <v xml:space="preserve"> </v>
      </c>
      <c r="L2955" s="50"/>
      <c r="M2955" s="50"/>
      <c r="N2955" s="20">
        <f>+Movimientos_2026[[#This Row],[Ingresos]]-Movimientos_2026[[#This Row],[Egresos]]</f>
        <v>0</v>
      </c>
      <c r="O2955" s="20">
        <f>+O2954+Movimientos_2026[[#This Row],[Neto]]</f>
        <v>4581558617.7962294</v>
      </c>
    </row>
    <row r="2956" spans="1:15" x14ac:dyDescent="0.25">
      <c r="A2956" s="13"/>
      <c r="B2956" s="12">
        <f>MONTH(Movimientos_2026[[#This Row],[Fecha]])</f>
        <v>1</v>
      </c>
      <c r="C2956" s="12" t="str">
        <f>VLOOKUP((WEEKDAY(Movimientos_2026[[#This Row],[Fecha]],2)),'5. Setup'!$D$6:$E$12,2,FALSE)</f>
        <v>Sab</v>
      </c>
      <c r="E2956" t="str">
        <f>IFERROR(+VLOOKUP(Movimientos_2026[[#This Row],[Codigo]],Plan_cuentas[],2,FALSE)," ")</f>
        <v xml:space="preserve"> </v>
      </c>
      <c r="F2956" t="str">
        <f>IFERROR(+VLOOKUP(Movimientos_2026[[#This Row],[Codigo]],Plan_cuentas[],3,FALSE)," ")</f>
        <v xml:space="preserve"> </v>
      </c>
      <c r="G2956" t="str">
        <f>IFERROR(+VLOOKUP(Movimientos_2026[[#This Row],[Codigo]],Plan_cuentas[],4,FALSE)," ")</f>
        <v xml:space="preserve"> </v>
      </c>
      <c r="H2956" t="str">
        <f>IFERROR(+VLOOKUP(Movimientos_2026[[#This Row],[Codigo]],Plan_cuentas[],5,FALSE)," ")</f>
        <v xml:space="preserve"> </v>
      </c>
      <c r="I2956" s="43"/>
      <c r="K2956" t="str">
        <f>IFERROR(+VLOOKUP(Movimientos_2026[[#This Row],[Codigo]],Plan_cuentas[],6,FALSE)," ")</f>
        <v xml:space="preserve"> </v>
      </c>
      <c r="L2956" s="50"/>
      <c r="M2956" s="50"/>
      <c r="N2956" s="20">
        <f>+Movimientos_2026[[#This Row],[Ingresos]]-Movimientos_2026[[#This Row],[Egresos]]</f>
        <v>0</v>
      </c>
      <c r="O2956" s="20">
        <f>+O2955+Movimientos_2026[[#This Row],[Neto]]</f>
        <v>4581558617.7962294</v>
      </c>
    </row>
    <row r="2957" spans="1:15" x14ac:dyDescent="0.25">
      <c r="A2957" s="13"/>
      <c r="B2957" s="12">
        <f>MONTH(Movimientos_2026[[#This Row],[Fecha]])</f>
        <v>1</v>
      </c>
      <c r="C2957" s="12" t="str">
        <f>VLOOKUP((WEEKDAY(Movimientos_2026[[#This Row],[Fecha]],2)),'5. Setup'!$D$6:$E$12,2,FALSE)</f>
        <v>Sab</v>
      </c>
      <c r="E2957" t="str">
        <f>IFERROR(+VLOOKUP(Movimientos_2026[[#This Row],[Codigo]],Plan_cuentas[],2,FALSE)," ")</f>
        <v xml:space="preserve"> </v>
      </c>
      <c r="F2957" t="str">
        <f>IFERROR(+VLOOKUP(Movimientos_2026[[#This Row],[Codigo]],Plan_cuentas[],3,FALSE)," ")</f>
        <v xml:space="preserve"> </v>
      </c>
      <c r="G2957" t="str">
        <f>IFERROR(+VLOOKUP(Movimientos_2026[[#This Row],[Codigo]],Plan_cuentas[],4,FALSE)," ")</f>
        <v xml:space="preserve"> </v>
      </c>
      <c r="H2957" t="str">
        <f>IFERROR(+VLOOKUP(Movimientos_2026[[#This Row],[Codigo]],Plan_cuentas[],5,FALSE)," ")</f>
        <v xml:space="preserve"> </v>
      </c>
      <c r="I2957" s="43"/>
      <c r="K2957" t="str">
        <f>IFERROR(+VLOOKUP(Movimientos_2026[[#This Row],[Codigo]],Plan_cuentas[],6,FALSE)," ")</f>
        <v xml:space="preserve"> </v>
      </c>
      <c r="L2957" s="50"/>
      <c r="M2957" s="50"/>
      <c r="N2957" s="20">
        <f>+Movimientos_2026[[#This Row],[Ingresos]]-Movimientos_2026[[#This Row],[Egresos]]</f>
        <v>0</v>
      </c>
      <c r="O2957" s="20">
        <f>+O2956+Movimientos_2026[[#This Row],[Neto]]</f>
        <v>4581558617.7962294</v>
      </c>
    </row>
    <row r="2958" spans="1:15" x14ac:dyDescent="0.25">
      <c r="A2958" s="13"/>
      <c r="B2958" s="12">
        <f>MONTH(Movimientos_2026[[#This Row],[Fecha]])</f>
        <v>1</v>
      </c>
      <c r="C2958" s="12" t="str">
        <f>VLOOKUP((WEEKDAY(Movimientos_2026[[#This Row],[Fecha]],2)),'5. Setup'!$D$6:$E$12,2,FALSE)</f>
        <v>Sab</v>
      </c>
      <c r="E2958" t="str">
        <f>IFERROR(+VLOOKUP(Movimientos_2026[[#This Row],[Codigo]],Plan_cuentas[],2,FALSE)," ")</f>
        <v xml:space="preserve"> </v>
      </c>
      <c r="F2958" t="str">
        <f>IFERROR(+VLOOKUP(Movimientos_2026[[#This Row],[Codigo]],Plan_cuentas[],3,FALSE)," ")</f>
        <v xml:space="preserve"> </v>
      </c>
      <c r="G2958" t="str">
        <f>IFERROR(+VLOOKUP(Movimientos_2026[[#This Row],[Codigo]],Plan_cuentas[],4,FALSE)," ")</f>
        <v xml:space="preserve"> </v>
      </c>
      <c r="H2958" t="str">
        <f>IFERROR(+VLOOKUP(Movimientos_2026[[#This Row],[Codigo]],Plan_cuentas[],5,FALSE)," ")</f>
        <v xml:space="preserve"> </v>
      </c>
      <c r="I2958" s="43"/>
      <c r="K2958" t="str">
        <f>IFERROR(+VLOOKUP(Movimientos_2026[[#This Row],[Codigo]],Plan_cuentas[],6,FALSE)," ")</f>
        <v xml:space="preserve"> </v>
      </c>
      <c r="L2958" s="50"/>
      <c r="M2958" s="50"/>
      <c r="N2958" s="20">
        <f>+Movimientos_2026[[#This Row],[Ingresos]]-Movimientos_2026[[#This Row],[Egresos]]</f>
        <v>0</v>
      </c>
      <c r="O2958" s="20">
        <f>+O2957+Movimientos_2026[[#This Row],[Neto]]</f>
        <v>4581558617.7962294</v>
      </c>
    </row>
    <row r="2959" spans="1:15" x14ac:dyDescent="0.25">
      <c r="A2959" s="13"/>
      <c r="B2959" s="12">
        <f>MONTH(Movimientos_2026[[#This Row],[Fecha]])</f>
        <v>1</v>
      </c>
      <c r="C2959" s="12" t="str">
        <f>VLOOKUP((WEEKDAY(Movimientos_2026[[#This Row],[Fecha]],2)),'5. Setup'!$D$6:$E$12,2,FALSE)</f>
        <v>Sab</v>
      </c>
      <c r="E2959" t="str">
        <f>IFERROR(+VLOOKUP(Movimientos_2026[[#This Row],[Codigo]],Plan_cuentas[],2,FALSE)," ")</f>
        <v xml:space="preserve"> </v>
      </c>
      <c r="F2959" t="str">
        <f>IFERROR(+VLOOKUP(Movimientos_2026[[#This Row],[Codigo]],Plan_cuentas[],3,FALSE)," ")</f>
        <v xml:space="preserve"> </v>
      </c>
      <c r="G2959" t="str">
        <f>IFERROR(+VLOOKUP(Movimientos_2026[[#This Row],[Codigo]],Plan_cuentas[],4,FALSE)," ")</f>
        <v xml:space="preserve"> </v>
      </c>
      <c r="H2959" t="str">
        <f>IFERROR(+VLOOKUP(Movimientos_2026[[#This Row],[Codigo]],Plan_cuentas[],5,FALSE)," ")</f>
        <v xml:space="preserve"> </v>
      </c>
      <c r="I2959" s="43"/>
      <c r="K2959" t="str">
        <f>IFERROR(+VLOOKUP(Movimientos_2026[[#This Row],[Codigo]],Plan_cuentas[],6,FALSE)," ")</f>
        <v xml:space="preserve"> </v>
      </c>
      <c r="L2959" s="50"/>
      <c r="M2959" s="50"/>
      <c r="N2959" s="20">
        <f>+Movimientos_2026[[#This Row],[Ingresos]]-Movimientos_2026[[#This Row],[Egresos]]</f>
        <v>0</v>
      </c>
      <c r="O2959" s="20">
        <f>+O2958+Movimientos_2026[[#This Row],[Neto]]</f>
        <v>4581558617.7962294</v>
      </c>
    </row>
    <row r="2960" spans="1:15" x14ac:dyDescent="0.25">
      <c r="A2960" s="13"/>
      <c r="B2960" s="12">
        <f>MONTH(Movimientos_2026[[#This Row],[Fecha]])</f>
        <v>1</v>
      </c>
      <c r="C2960" s="12" t="str">
        <f>VLOOKUP((WEEKDAY(Movimientos_2026[[#This Row],[Fecha]],2)),'5. Setup'!$D$6:$E$12,2,FALSE)</f>
        <v>Sab</v>
      </c>
      <c r="E2960" t="str">
        <f>IFERROR(+VLOOKUP(Movimientos_2026[[#This Row],[Codigo]],Plan_cuentas[],2,FALSE)," ")</f>
        <v xml:space="preserve"> </v>
      </c>
      <c r="F2960" t="str">
        <f>IFERROR(+VLOOKUP(Movimientos_2026[[#This Row],[Codigo]],Plan_cuentas[],3,FALSE)," ")</f>
        <v xml:space="preserve"> </v>
      </c>
      <c r="G2960" t="str">
        <f>IFERROR(+VLOOKUP(Movimientos_2026[[#This Row],[Codigo]],Plan_cuentas[],4,FALSE)," ")</f>
        <v xml:space="preserve"> </v>
      </c>
      <c r="H2960" t="str">
        <f>IFERROR(+VLOOKUP(Movimientos_2026[[#This Row],[Codigo]],Plan_cuentas[],5,FALSE)," ")</f>
        <v xml:space="preserve"> </v>
      </c>
      <c r="I2960" s="43"/>
      <c r="K2960" t="str">
        <f>IFERROR(+VLOOKUP(Movimientos_2026[[#This Row],[Codigo]],Plan_cuentas[],6,FALSE)," ")</f>
        <v xml:space="preserve"> </v>
      </c>
      <c r="L2960" s="50"/>
      <c r="M2960" s="50"/>
      <c r="N2960" s="20">
        <f>+Movimientos_2026[[#This Row],[Ingresos]]-Movimientos_2026[[#This Row],[Egresos]]</f>
        <v>0</v>
      </c>
      <c r="O2960" s="20">
        <f>+O2959+Movimientos_2026[[#This Row],[Neto]]</f>
        <v>4581558617.7962294</v>
      </c>
    </row>
    <row r="2961" spans="1:15" x14ac:dyDescent="0.25">
      <c r="A2961" s="13"/>
      <c r="B2961" s="12">
        <f>MONTH(Movimientos_2026[[#This Row],[Fecha]])</f>
        <v>1</v>
      </c>
      <c r="C2961" s="12" t="str">
        <f>VLOOKUP((WEEKDAY(Movimientos_2026[[#This Row],[Fecha]],2)),'5. Setup'!$D$6:$E$12,2,FALSE)</f>
        <v>Sab</v>
      </c>
      <c r="E2961" t="str">
        <f>IFERROR(+VLOOKUP(Movimientos_2026[[#This Row],[Codigo]],Plan_cuentas[],2,FALSE)," ")</f>
        <v xml:space="preserve"> </v>
      </c>
      <c r="F2961" t="str">
        <f>IFERROR(+VLOOKUP(Movimientos_2026[[#This Row],[Codigo]],Plan_cuentas[],3,FALSE)," ")</f>
        <v xml:space="preserve"> </v>
      </c>
      <c r="G2961" t="str">
        <f>IFERROR(+VLOOKUP(Movimientos_2026[[#This Row],[Codigo]],Plan_cuentas[],4,FALSE)," ")</f>
        <v xml:space="preserve"> </v>
      </c>
      <c r="H2961" t="str">
        <f>IFERROR(+VLOOKUP(Movimientos_2026[[#This Row],[Codigo]],Plan_cuentas[],5,FALSE)," ")</f>
        <v xml:space="preserve"> </v>
      </c>
      <c r="I2961" s="43"/>
      <c r="K2961" t="str">
        <f>IFERROR(+VLOOKUP(Movimientos_2026[[#This Row],[Codigo]],Plan_cuentas[],6,FALSE)," ")</f>
        <v xml:space="preserve"> </v>
      </c>
      <c r="L2961" s="50"/>
      <c r="M2961" s="50"/>
      <c r="N2961" s="20">
        <f>+Movimientos_2026[[#This Row],[Ingresos]]-Movimientos_2026[[#This Row],[Egresos]]</f>
        <v>0</v>
      </c>
      <c r="O2961" s="20">
        <f>+O2960+Movimientos_2026[[#This Row],[Neto]]</f>
        <v>4581558617.7962294</v>
      </c>
    </row>
    <row r="2962" spans="1:15" x14ac:dyDescent="0.25">
      <c r="A2962" s="13"/>
      <c r="B2962" s="12">
        <f>MONTH(Movimientos_2026[[#This Row],[Fecha]])</f>
        <v>1</v>
      </c>
      <c r="C2962" s="12" t="str">
        <f>VLOOKUP((WEEKDAY(Movimientos_2026[[#This Row],[Fecha]],2)),'5. Setup'!$D$6:$E$12,2,FALSE)</f>
        <v>Sab</v>
      </c>
      <c r="E2962" t="str">
        <f>IFERROR(+VLOOKUP(Movimientos_2026[[#This Row],[Codigo]],Plan_cuentas[],2,FALSE)," ")</f>
        <v xml:space="preserve"> </v>
      </c>
      <c r="F2962" t="str">
        <f>IFERROR(+VLOOKUP(Movimientos_2026[[#This Row],[Codigo]],Plan_cuentas[],3,FALSE)," ")</f>
        <v xml:space="preserve"> </v>
      </c>
      <c r="G2962" t="str">
        <f>IFERROR(+VLOOKUP(Movimientos_2026[[#This Row],[Codigo]],Plan_cuentas[],4,FALSE)," ")</f>
        <v xml:space="preserve"> </v>
      </c>
      <c r="H2962" t="str">
        <f>IFERROR(+VLOOKUP(Movimientos_2026[[#This Row],[Codigo]],Plan_cuentas[],5,FALSE)," ")</f>
        <v xml:space="preserve"> </v>
      </c>
      <c r="I2962" s="43"/>
      <c r="K2962" t="str">
        <f>IFERROR(+VLOOKUP(Movimientos_2026[[#This Row],[Codigo]],Plan_cuentas[],6,FALSE)," ")</f>
        <v xml:space="preserve"> </v>
      </c>
      <c r="L2962" s="50"/>
      <c r="M2962" s="50"/>
      <c r="N2962" s="20">
        <f>+Movimientos_2026[[#This Row],[Ingresos]]-Movimientos_2026[[#This Row],[Egresos]]</f>
        <v>0</v>
      </c>
      <c r="O2962" s="20">
        <f>+O2961+Movimientos_2026[[#This Row],[Neto]]</f>
        <v>4581558617.7962294</v>
      </c>
    </row>
    <row r="2963" spans="1:15" x14ac:dyDescent="0.25">
      <c r="A2963" s="13"/>
      <c r="B2963" s="12">
        <f>MONTH(Movimientos_2026[[#This Row],[Fecha]])</f>
        <v>1</v>
      </c>
      <c r="C2963" s="12" t="str">
        <f>VLOOKUP((WEEKDAY(Movimientos_2026[[#This Row],[Fecha]],2)),'5. Setup'!$D$6:$E$12,2,FALSE)</f>
        <v>Sab</v>
      </c>
      <c r="E2963" t="str">
        <f>IFERROR(+VLOOKUP(Movimientos_2026[[#This Row],[Codigo]],Plan_cuentas[],2,FALSE)," ")</f>
        <v xml:space="preserve"> </v>
      </c>
      <c r="F2963" t="str">
        <f>IFERROR(+VLOOKUP(Movimientos_2026[[#This Row],[Codigo]],Plan_cuentas[],3,FALSE)," ")</f>
        <v xml:space="preserve"> </v>
      </c>
      <c r="G2963" t="str">
        <f>IFERROR(+VLOOKUP(Movimientos_2026[[#This Row],[Codigo]],Plan_cuentas[],4,FALSE)," ")</f>
        <v xml:space="preserve"> </v>
      </c>
      <c r="H2963" t="str">
        <f>IFERROR(+VLOOKUP(Movimientos_2026[[#This Row],[Codigo]],Plan_cuentas[],5,FALSE)," ")</f>
        <v xml:space="preserve"> </v>
      </c>
      <c r="I2963" s="43"/>
      <c r="K2963" t="str">
        <f>IFERROR(+VLOOKUP(Movimientos_2026[[#This Row],[Codigo]],Plan_cuentas[],6,FALSE)," ")</f>
        <v xml:space="preserve"> </v>
      </c>
      <c r="L2963" s="50"/>
      <c r="M2963" s="50"/>
      <c r="N2963" s="20">
        <f>+Movimientos_2026[[#This Row],[Ingresos]]-Movimientos_2026[[#This Row],[Egresos]]</f>
        <v>0</v>
      </c>
      <c r="O2963" s="20">
        <f>+O2962+Movimientos_2026[[#This Row],[Neto]]</f>
        <v>4581558617.7962294</v>
      </c>
    </row>
    <row r="2964" spans="1:15" x14ac:dyDescent="0.25">
      <c r="A2964" s="13"/>
      <c r="B2964" s="12">
        <f>MONTH(Movimientos_2026[[#This Row],[Fecha]])</f>
        <v>1</v>
      </c>
      <c r="C2964" s="12" t="str">
        <f>VLOOKUP((WEEKDAY(Movimientos_2026[[#This Row],[Fecha]],2)),'5. Setup'!$D$6:$E$12,2,FALSE)</f>
        <v>Sab</v>
      </c>
      <c r="E2964" t="str">
        <f>IFERROR(+VLOOKUP(Movimientos_2026[[#This Row],[Codigo]],Plan_cuentas[],2,FALSE)," ")</f>
        <v xml:space="preserve"> </v>
      </c>
      <c r="F2964" t="str">
        <f>IFERROR(+VLOOKUP(Movimientos_2026[[#This Row],[Codigo]],Plan_cuentas[],3,FALSE)," ")</f>
        <v xml:space="preserve"> </v>
      </c>
      <c r="G2964" t="str">
        <f>IFERROR(+VLOOKUP(Movimientos_2026[[#This Row],[Codigo]],Plan_cuentas[],4,FALSE)," ")</f>
        <v xml:space="preserve"> </v>
      </c>
      <c r="H2964" t="str">
        <f>IFERROR(+VLOOKUP(Movimientos_2026[[#This Row],[Codigo]],Plan_cuentas[],5,FALSE)," ")</f>
        <v xml:space="preserve"> </v>
      </c>
      <c r="I2964" s="43"/>
      <c r="K2964" t="str">
        <f>IFERROR(+VLOOKUP(Movimientos_2026[[#This Row],[Codigo]],Plan_cuentas[],6,FALSE)," ")</f>
        <v xml:space="preserve"> </v>
      </c>
      <c r="L2964" s="50"/>
      <c r="M2964" s="50"/>
      <c r="N2964" s="20">
        <f>+Movimientos_2026[[#This Row],[Ingresos]]-Movimientos_2026[[#This Row],[Egresos]]</f>
        <v>0</v>
      </c>
      <c r="O2964" s="20">
        <f>+O2963+Movimientos_2026[[#This Row],[Neto]]</f>
        <v>4581558617.7962294</v>
      </c>
    </row>
    <row r="2965" spans="1:15" x14ac:dyDescent="0.25">
      <c r="A2965" s="13"/>
      <c r="B2965" s="12">
        <f>MONTH(Movimientos_2026[[#This Row],[Fecha]])</f>
        <v>1</v>
      </c>
      <c r="C2965" s="12" t="str">
        <f>VLOOKUP((WEEKDAY(Movimientos_2026[[#This Row],[Fecha]],2)),'5. Setup'!$D$6:$E$12,2,FALSE)</f>
        <v>Sab</v>
      </c>
      <c r="E2965" t="str">
        <f>IFERROR(+VLOOKUP(Movimientos_2026[[#This Row],[Codigo]],Plan_cuentas[],2,FALSE)," ")</f>
        <v xml:space="preserve"> </v>
      </c>
      <c r="F2965" t="str">
        <f>IFERROR(+VLOOKUP(Movimientos_2026[[#This Row],[Codigo]],Plan_cuentas[],3,FALSE)," ")</f>
        <v xml:space="preserve"> </v>
      </c>
      <c r="G2965" t="str">
        <f>IFERROR(+VLOOKUP(Movimientos_2026[[#This Row],[Codigo]],Plan_cuentas[],4,FALSE)," ")</f>
        <v xml:space="preserve"> </v>
      </c>
      <c r="H2965" t="str">
        <f>IFERROR(+VLOOKUP(Movimientos_2026[[#This Row],[Codigo]],Plan_cuentas[],5,FALSE)," ")</f>
        <v xml:space="preserve"> </v>
      </c>
      <c r="I2965" s="43"/>
      <c r="K2965" t="str">
        <f>IFERROR(+VLOOKUP(Movimientos_2026[[#This Row],[Codigo]],Plan_cuentas[],6,FALSE)," ")</f>
        <v xml:space="preserve"> </v>
      </c>
      <c r="L2965" s="50"/>
      <c r="M2965" s="50"/>
      <c r="N2965" s="20">
        <f>+Movimientos_2026[[#This Row],[Ingresos]]-Movimientos_2026[[#This Row],[Egresos]]</f>
        <v>0</v>
      </c>
      <c r="O2965" s="20">
        <f>+O2964+Movimientos_2026[[#This Row],[Neto]]</f>
        <v>4581558617.7962294</v>
      </c>
    </row>
    <row r="2966" spans="1:15" x14ac:dyDescent="0.25">
      <c r="A2966" s="13"/>
      <c r="B2966" s="12">
        <f>MONTH(Movimientos_2026[[#This Row],[Fecha]])</f>
        <v>1</v>
      </c>
      <c r="C2966" s="12" t="str">
        <f>VLOOKUP((WEEKDAY(Movimientos_2026[[#This Row],[Fecha]],2)),'5. Setup'!$D$6:$E$12,2,FALSE)</f>
        <v>Sab</v>
      </c>
      <c r="E2966" t="str">
        <f>IFERROR(+VLOOKUP(Movimientos_2026[[#This Row],[Codigo]],Plan_cuentas[],2,FALSE)," ")</f>
        <v xml:space="preserve"> </v>
      </c>
      <c r="F2966" t="str">
        <f>IFERROR(+VLOOKUP(Movimientos_2026[[#This Row],[Codigo]],Plan_cuentas[],3,FALSE)," ")</f>
        <v xml:space="preserve"> </v>
      </c>
      <c r="G2966" t="str">
        <f>IFERROR(+VLOOKUP(Movimientos_2026[[#This Row],[Codigo]],Plan_cuentas[],4,FALSE)," ")</f>
        <v xml:space="preserve"> </v>
      </c>
      <c r="H2966" t="str">
        <f>IFERROR(+VLOOKUP(Movimientos_2026[[#This Row],[Codigo]],Plan_cuentas[],5,FALSE)," ")</f>
        <v xml:space="preserve"> </v>
      </c>
      <c r="I2966" s="43"/>
      <c r="K2966" t="str">
        <f>IFERROR(+VLOOKUP(Movimientos_2026[[#This Row],[Codigo]],Plan_cuentas[],6,FALSE)," ")</f>
        <v xml:space="preserve"> </v>
      </c>
      <c r="L2966" s="50"/>
      <c r="M2966" s="50"/>
      <c r="N2966" s="20">
        <f>+Movimientos_2026[[#This Row],[Ingresos]]-Movimientos_2026[[#This Row],[Egresos]]</f>
        <v>0</v>
      </c>
      <c r="O2966" s="20">
        <f>+O2965+Movimientos_2026[[#This Row],[Neto]]</f>
        <v>4581558617.7962294</v>
      </c>
    </row>
    <row r="2967" spans="1:15" x14ac:dyDescent="0.25">
      <c r="A2967" s="13"/>
      <c r="B2967" s="12">
        <f>MONTH(Movimientos_2026[[#This Row],[Fecha]])</f>
        <v>1</v>
      </c>
      <c r="C2967" s="12" t="str">
        <f>VLOOKUP((WEEKDAY(Movimientos_2026[[#This Row],[Fecha]],2)),'5. Setup'!$D$6:$E$12,2,FALSE)</f>
        <v>Sab</v>
      </c>
      <c r="E2967" t="str">
        <f>IFERROR(+VLOOKUP(Movimientos_2026[[#This Row],[Codigo]],Plan_cuentas[],2,FALSE)," ")</f>
        <v xml:space="preserve"> </v>
      </c>
      <c r="F2967" t="str">
        <f>IFERROR(+VLOOKUP(Movimientos_2026[[#This Row],[Codigo]],Plan_cuentas[],3,FALSE)," ")</f>
        <v xml:space="preserve"> </v>
      </c>
      <c r="G2967" t="str">
        <f>IFERROR(+VLOOKUP(Movimientos_2026[[#This Row],[Codigo]],Plan_cuentas[],4,FALSE)," ")</f>
        <v xml:space="preserve"> </v>
      </c>
      <c r="H2967" t="str">
        <f>IFERROR(+VLOOKUP(Movimientos_2026[[#This Row],[Codigo]],Plan_cuentas[],5,FALSE)," ")</f>
        <v xml:space="preserve"> </v>
      </c>
      <c r="I2967" s="43"/>
      <c r="K2967" t="str">
        <f>IFERROR(+VLOOKUP(Movimientos_2026[[#This Row],[Codigo]],Plan_cuentas[],6,FALSE)," ")</f>
        <v xml:space="preserve"> </v>
      </c>
      <c r="L2967" s="50"/>
      <c r="M2967" s="50"/>
      <c r="N2967" s="20">
        <f>+Movimientos_2026[[#This Row],[Ingresos]]-Movimientos_2026[[#This Row],[Egresos]]</f>
        <v>0</v>
      </c>
      <c r="O2967" s="20">
        <f>+O2966+Movimientos_2026[[#This Row],[Neto]]</f>
        <v>4581558617.7962294</v>
      </c>
    </row>
    <row r="2968" spans="1:15" x14ac:dyDescent="0.25">
      <c r="A2968" s="13"/>
      <c r="B2968" s="12">
        <f>MONTH(Movimientos_2026[[#This Row],[Fecha]])</f>
        <v>1</v>
      </c>
      <c r="C2968" s="12" t="str">
        <f>VLOOKUP((WEEKDAY(Movimientos_2026[[#This Row],[Fecha]],2)),'5. Setup'!$D$6:$E$12,2,FALSE)</f>
        <v>Sab</v>
      </c>
      <c r="E2968" t="str">
        <f>IFERROR(+VLOOKUP(Movimientos_2026[[#This Row],[Codigo]],Plan_cuentas[],2,FALSE)," ")</f>
        <v xml:space="preserve"> </v>
      </c>
      <c r="F2968" t="str">
        <f>IFERROR(+VLOOKUP(Movimientos_2026[[#This Row],[Codigo]],Plan_cuentas[],3,FALSE)," ")</f>
        <v xml:space="preserve"> </v>
      </c>
      <c r="G2968" t="str">
        <f>IFERROR(+VLOOKUP(Movimientos_2026[[#This Row],[Codigo]],Plan_cuentas[],4,FALSE)," ")</f>
        <v xml:space="preserve"> </v>
      </c>
      <c r="H2968" t="str">
        <f>IFERROR(+VLOOKUP(Movimientos_2026[[#This Row],[Codigo]],Plan_cuentas[],5,FALSE)," ")</f>
        <v xml:space="preserve"> </v>
      </c>
      <c r="I2968" s="43"/>
      <c r="K2968" t="str">
        <f>IFERROR(+VLOOKUP(Movimientos_2026[[#This Row],[Codigo]],Plan_cuentas[],6,FALSE)," ")</f>
        <v xml:space="preserve"> </v>
      </c>
      <c r="L2968" s="50"/>
      <c r="M2968" s="50"/>
      <c r="N2968" s="20">
        <f>+Movimientos_2026[[#This Row],[Ingresos]]-Movimientos_2026[[#This Row],[Egresos]]</f>
        <v>0</v>
      </c>
      <c r="O2968" s="20">
        <f>+O2967+Movimientos_2026[[#This Row],[Neto]]</f>
        <v>4581558617.7962294</v>
      </c>
    </row>
    <row r="2969" spans="1:15" x14ac:dyDescent="0.25">
      <c r="A2969" s="13"/>
      <c r="B2969" s="12">
        <f>MONTH(Movimientos_2026[[#This Row],[Fecha]])</f>
        <v>1</v>
      </c>
      <c r="C2969" s="12" t="str">
        <f>VLOOKUP((WEEKDAY(Movimientos_2026[[#This Row],[Fecha]],2)),'5. Setup'!$D$6:$E$12,2,FALSE)</f>
        <v>Sab</v>
      </c>
      <c r="E2969" t="str">
        <f>IFERROR(+VLOOKUP(Movimientos_2026[[#This Row],[Codigo]],Plan_cuentas[],2,FALSE)," ")</f>
        <v xml:space="preserve"> </v>
      </c>
      <c r="F2969" t="str">
        <f>IFERROR(+VLOOKUP(Movimientos_2026[[#This Row],[Codigo]],Plan_cuentas[],3,FALSE)," ")</f>
        <v xml:space="preserve"> </v>
      </c>
      <c r="G2969" t="str">
        <f>IFERROR(+VLOOKUP(Movimientos_2026[[#This Row],[Codigo]],Plan_cuentas[],4,FALSE)," ")</f>
        <v xml:space="preserve"> </v>
      </c>
      <c r="H2969" t="str">
        <f>IFERROR(+VLOOKUP(Movimientos_2026[[#This Row],[Codigo]],Plan_cuentas[],5,FALSE)," ")</f>
        <v xml:space="preserve"> </v>
      </c>
      <c r="I2969" s="43"/>
      <c r="K2969" t="str">
        <f>IFERROR(+VLOOKUP(Movimientos_2026[[#This Row],[Codigo]],Plan_cuentas[],6,FALSE)," ")</f>
        <v xml:space="preserve"> </v>
      </c>
      <c r="L2969" s="50"/>
      <c r="M2969" s="50"/>
      <c r="N2969" s="20">
        <f>+Movimientos_2026[[#This Row],[Ingresos]]-Movimientos_2026[[#This Row],[Egresos]]</f>
        <v>0</v>
      </c>
      <c r="O2969" s="20">
        <f>+O2968+Movimientos_2026[[#This Row],[Neto]]</f>
        <v>4581558617.7962294</v>
      </c>
    </row>
    <row r="2970" spans="1:15" x14ac:dyDescent="0.25">
      <c r="A2970" s="13"/>
      <c r="B2970" s="12">
        <f>MONTH(Movimientos_2026[[#This Row],[Fecha]])</f>
        <v>1</v>
      </c>
      <c r="C2970" s="12" t="str">
        <f>VLOOKUP((WEEKDAY(Movimientos_2026[[#This Row],[Fecha]],2)),'5. Setup'!$D$6:$E$12,2,FALSE)</f>
        <v>Sab</v>
      </c>
      <c r="E2970" t="str">
        <f>IFERROR(+VLOOKUP(Movimientos_2026[[#This Row],[Codigo]],Plan_cuentas[],2,FALSE)," ")</f>
        <v xml:space="preserve"> </v>
      </c>
      <c r="F2970" t="str">
        <f>IFERROR(+VLOOKUP(Movimientos_2026[[#This Row],[Codigo]],Plan_cuentas[],3,FALSE)," ")</f>
        <v xml:space="preserve"> </v>
      </c>
      <c r="G2970" t="str">
        <f>IFERROR(+VLOOKUP(Movimientos_2026[[#This Row],[Codigo]],Plan_cuentas[],4,FALSE)," ")</f>
        <v xml:space="preserve"> </v>
      </c>
      <c r="H2970" t="str">
        <f>IFERROR(+VLOOKUP(Movimientos_2026[[#This Row],[Codigo]],Plan_cuentas[],5,FALSE)," ")</f>
        <v xml:space="preserve"> </v>
      </c>
      <c r="I2970" s="43"/>
      <c r="K2970" t="str">
        <f>IFERROR(+VLOOKUP(Movimientos_2026[[#This Row],[Codigo]],Plan_cuentas[],6,FALSE)," ")</f>
        <v xml:space="preserve"> </v>
      </c>
      <c r="L2970" s="50"/>
      <c r="M2970" s="50"/>
      <c r="N2970" s="20">
        <f>+Movimientos_2026[[#This Row],[Ingresos]]-Movimientos_2026[[#This Row],[Egresos]]</f>
        <v>0</v>
      </c>
      <c r="O2970" s="20">
        <f>+O2969+Movimientos_2026[[#This Row],[Neto]]</f>
        <v>4581558617.7962294</v>
      </c>
    </row>
    <row r="2971" spans="1:15" x14ac:dyDescent="0.25">
      <c r="A2971" s="13"/>
      <c r="B2971" s="12">
        <f>MONTH(Movimientos_2026[[#This Row],[Fecha]])</f>
        <v>1</v>
      </c>
      <c r="C2971" s="12" t="str">
        <f>VLOOKUP((WEEKDAY(Movimientos_2026[[#This Row],[Fecha]],2)),'5. Setup'!$D$6:$E$12,2,FALSE)</f>
        <v>Sab</v>
      </c>
      <c r="E2971" t="str">
        <f>IFERROR(+VLOOKUP(Movimientos_2026[[#This Row],[Codigo]],Plan_cuentas[],2,FALSE)," ")</f>
        <v xml:space="preserve"> </v>
      </c>
      <c r="F2971" t="str">
        <f>IFERROR(+VLOOKUP(Movimientos_2026[[#This Row],[Codigo]],Plan_cuentas[],3,FALSE)," ")</f>
        <v xml:space="preserve"> </v>
      </c>
      <c r="G2971" t="str">
        <f>IFERROR(+VLOOKUP(Movimientos_2026[[#This Row],[Codigo]],Plan_cuentas[],4,FALSE)," ")</f>
        <v xml:space="preserve"> </v>
      </c>
      <c r="H2971" t="str">
        <f>IFERROR(+VLOOKUP(Movimientos_2026[[#This Row],[Codigo]],Plan_cuentas[],5,FALSE)," ")</f>
        <v xml:space="preserve"> </v>
      </c>
      <c r="I2971" s="43"/>
      <c r="K2971" t="str">
        <f>IFERROR(+VLOOKUP(Movimientos_2026[[#This Row],[Codigo]],Plan_cuentas[],6,FALSE)," ")</f>
        <v xml:space="preserve"> </v>
      </c>
      <c r="L2971" s="50"/>
      <c r="M2971" s="50"/>
      <c r="N2971" s="20">
        <f>+Movimientos_2026[[#This Row],[Ingresos]]-Movimientos_2026[[#This Row],[Egresos]]</f>
        <v>0</v>
      </c>
      <c r="O2971" s="20">
        <f>+O2970+Movimientos_2026[[#This Row],[Neto]]</f>
        <v>4581558617.7962294</v>
      </c>
    </row>
    <row r="2972" spans="1:15" x14ac:dyDescent="0.25">
      <c r="A2972" s="13"/>
      <c r="B2972" s="12">
        <f>MONTH(Movimientos_2026[[#This Row],[Fecha]])</f>
        <v>1</v>
      </c>
      <c r="C2972" s="12" t="str">
        <f>VLOOKUP((WEEKDAY(Movimientos_2026[[#This Row],[Fecha]],2)),'5. Setup'!$D$6:$E$12,2,FALSE)</f>
        <v>Sab</v>
      </c>
      <c r="E2972" t="str">
        <f>IFERROR(+VLOOKUP(Movimientos_2026[[#This Row],[Codigo]],Plan_cuentas[],2,FALSE)," ")</f>
        <v xml:space="preserve"> </v>
      </c>
      <c r="F2972" t="str">
        <f>IFERROR(+VLOOKUP(Movimientos_2026[[#This Row],[Codigo]],Plan_cuentas[],3,FALSE)," ")</f>
        <v xml:space="preserve"> </v>
      </c>
      <c r="G2972" t="str">
        <f>IFERROR(+VLOOKUP(Movimientos_2026[[#This Row],[Codigo]],Plan_cuentas[],4,FALSE)," ")</f>
        <v xml:space="preserve"> </v>
      </c>
      <c r="H2972" t="str">
        <f>IFERROR(+VLOOKUP(Movimientos_2026[[#This Row],[Codigo]],Plan_cuentas[],5,FALSE)," ")</f>
        <v xml:space="preserve"> </v>
      </c>
      <c r="I2972" s="43"/>
      <c r="K2972" t="str">
        <f>IFERROR(+VLOOKUP(Movimientos_2026[[#This Row],[Codigo]],Plan_cuentas[],6,FALSE)," ")</f>
        <v xml:space="preserve"> </v>
      </c>
      <c r="L2972" s="50"/>
      <c r="M2972" s="50"/>
      <c r="N2972" s="20">
        <f>+Movimientos_2026[[#This Row],[Ingresos]]-Movimientos_2026[[#This Row],[Egresos]]</f>
        <v>0</v>
      </c>
      <c r="O2972" s="20">
        <f>+O2971+Movimientos_2026[[#This Row],[Neto]]</f>
        <v>4581558617.7962294</v>
      </c>
    </row>
    <row r="2973" spans="1:15" x14ac:dyDescent="0.25">
      <c r="A2973" s="13"/>
      <c r="B2973" s="12">
        <f>MONTH(Movimientos_2026[[#This Row],[Fecha]])</f>
        <v>1</v>
      </c>
      <c r="C2973" s="12" t="str">
        <f>VLOOKUP((WEEKDAY(Movimientos_2026[[#This Row],[Fecha]],2)),'5. Setup'!$D$6:$E$12,2,FALSE)</f>
        <v>Sab</v>
      </c>
      <c r="E2973" t="str">
        <f>IFERROR(+VLOOKUP(Movimientos_2026[[#This Row],[Codigo]],Plan_cuentas[],2,FALSE)," ")</f>
        <v xml:space="preserve"> </v>
      </c>
      <c r="F2973" t="str">
        <f>IFERROR(+VLOOKUP(Movimientos_2026[[#This Row],[Codigo]],Plan_cuentas[],3,FALSE)," ")</f>
        <v xml:space="preserve"> </v>
      </c>
      <c r="G2973" t="str">
        <f>IFERROR(+VLOOKUP(Movimientos_2026[[#This Row],[Codigo]],Plan_cuentas[],4,FALSE)," ")</f>
        <v xml:space="preserve"> </v>
      </c>
      <c r="H2973" t="str">
        <f>IFERROR(+VLOOKUP(Movimientos_2026[[#This Row],[Codigo]],Plan_cuentas[],5,FALSE)," ")</f>
        <v xml:space="preserve"> </v>
      </c>
      <c r="I2973" s="43"/>
      <c r="K2973" t="str">
        <f>IFERROR(+VLOOKUP(Movimientos_2026[[#This Row],[Codigo]],Plan_cuentas[],6,FALSE)," ")</f>
        <v xml:space="preserve"> </v>
      </c>
      <c r="L2973" s="50"/>
      <c r="M2973" s="50"/>
      <c r="N2973" s="20">
        <f>+Movimientos_2026[[#This Row],[Ingresos]]-Movimientos_2026[[#This Row],[Egresos]]</f>
        <v>0</v>
      </c>
      <c r="O2973" s="20">
        <f>+O2972+Movimientos_2026[[#This Row],[Neto]]</f>
        <v>4581558617.7962294</v>
      </c>
    </row>
    <row r="2974" spans="1:15" x14ac:dyDescent="0.25">
      <c r="A2974" s="13"/>
      <c r="B2974" s="12">
        <f>MONTH(Movimientos_2026[[#This Row],[Fecha]])</f>
        <v>1</v>
      </c>
      <c r="C2974" s="12" t="str">
        <f>VLOOKUP((WEEKDAY(Movimientos_2026[[#This Row],[Fecha]],2)),'5. Setup'!$D$6:$E$12,2,FALSE)</f>
        <v>Sab</v>
      </c>
      <c r="E2974" t="str">
        <f>IFERROR(+VLOOKUP(Movimientos_2026[[#This Row],[Codigo]],Plan_cuentas[],2,FALSE)," ")</f>
        <v xml:space="preserve"> </v>
      </c>
      <c r="F2974" t="str">
        <f>IFERROR(+VLOOKUP(Movimientos_2026[[#This Row],[Codigo]],Plan_cuentas[],3,FALSE)," ")</f>
        <v xml:space="preserve"> </v>
      </c>
      <c r="G2974" t="str">
        <f>IFERROR(+VLOOKUP(Movimientos_2026[[#This Row],[Codigo]],Plan_cuentas[],4,FALSE)," ")</f>
        <v xml:space="preserve"> </v>
      </c>
      <c r="H2974" t="str">
        <f>IFERROR(+VLOOKUP(Movimientos_2026[[#This Row],[Codigo]],Plan_cuentas[],5,FALSE)," ")</f>
        <v xml:space="preserve"> </v>
      </c>
      <c r="I2974" s="43"/>
      <c r="K2974" t="str">
        <f>IFERROR(+VLOOKUP(Movimientos_2026[[#This Row],[Codigo]],Plan_cuentas[],6,FALSE)," ")</f>
        <v xml:space="preserve"> </v>
      </c>
      <c r="L2974" s="50"/>
      <c r="M2974" s="50"/>
      <c r="N2974" s="20">
        <f>+Movimientos_2026[[#This Row],[Ingresos]]-Movimientos_2026[[#This Row],[Egresos]]</f>
        <v>0</v>
      </c>
      <c r="O2974" s="20">
        <f>+O2973+Movimientos_2026[[#This Row],[Neto]]</f>
        <v>4581558617.7962294</v>
      </c>
    </row>
    <row r="2975" spans="1:15" x14ac:dyDescent="0.25">
      <c r="A2975" s="13"/>
      <c r="B2975" s="12">
        <f>MONTH(Movimientos_2026[[#This Row],[Fecha]])</f>
        <v>1</v>
      </c>
      <c r="C2975" s="12" t="str">
        <f>VLOOKUP((WEEKDAY(Movimientos_2026[[#This Row],[Fecha]],2)),'5. Setup'!$D$6:$E$12,2,FALSE)</f>
        <v>Sab</v>
      </c>
      <c r="E2975" t="str">
        <f>IFERROR(+VLOOKUP(Movimientos_2026[[#This Row],[Codigo]],Plan_cuentas[],2,FALSE)," ")</f>
        <v xml:space="preserve"> </v>
      </c>
      <c r="F2975" t="str">
        <f>IFERROR(+VLOOKUP(Movimientos_2026[[#This Row],[Codigo]],Plan_cuentas[],3,FALSE)," ")</f>
        <v xml:space="preserve"> </v>
      </c>
      <c r="G2975" t="str">
        <f>IFERROR(+VLOOKUP(Movimientos_2026[[#This Row],[Codigo]],Plan_cuentas[],4,FALSE)," ")</f>
        <v xml:space="preserve"> </v>
      </c>
      <c r="H2975" t="str">
        <f>IFERROR(+VLOOKUP(Movimientos_2026[[#This Row],[Codigo]],Plan_cuentas[],5,FALSE)," ")</f>
        <v xml:space="preserve"> </v>
      </c>
      <c r="I2975" s="43"/>
      <c r="K2975" t="str">
        <f>IFERROR(+VLOOKUP(Movimientos_2026[[#This Row],[Codigo]],Plan_cuentas[],6,FALSE)," ")</f>
        <v xml:space="preserve"> </v>
      </c>
      <c r="L2975" s="50"/>
      <c r="M2975" s="50"/>
      <c r="N2975" s="20">
        <f>+Movimientos_2026[[#This Row],[Ingresos]]-Movimientos_2026[[#This Row],[Egresos]]</f>
        <v>0</v>
      </c>
      <c r="O2975" s="20">
        <f>+O2974+Movimientos_2026[[#This Row],[Neto]]</f>
        <v>4581558617.7962294</v>
      </c>
    </row>
    <row r="2976" spans="1:15" x14ac:dyDescent="0.25">
      <c r="A2976" s="13"/>
      <c r="B2976" s="12">
        <f>MONTH(Movimientos_2026[[#This Row],[Fecha]])</f>
        <v>1</v>
      </c>
      <c r="C2976" s="12" t="str">
        <f>VLOOKUP((WEEKDAY(Movimientos_2026[[#This Row],[Fecha]],2)),'5. Setup'!$D$6:$E$12,2,FALSE)</f>
        <v>Sab</v>
      </c>
      <c r="E2976" t="str">
        <f>IFERROR(+VLOOKUP(Movimientos_2026[[#This Row],[Codigo]],Plan_cuentas[],2,FALSE)," ")</f>
        <v xml:space="preserve"> </v>
      </c>
      <c r="F2976" t="str">
        <f>IFERROR(+VLOOKUP(Movimientos_2026[[#This Row],[Codigo]],Plan_cuentas[],3,FALSE)," ")</f>
        <v xml:space="preserve"> </v>
      </c>
      <c r="G2976" t="str">
        <f>IFERROR(+VLOOKUP(Movimientos_2026[[#This Row],[Codigo]],Plan_cuentas[],4,FALSE)," ")</f>
        <v xml:space="preserve"> </v>
      </c>
      <c r="H2976" t="str">
        <f>IFERROR(+VLOOKUP(Movimientos_2026[[#This Row],[Codigo]],Plan_cuentas[],5,FALSE)," ")</f>
        <v xml:space="preserve"> </v>
      </c>
      <c r="I2976" s="43"/>
      <c r="K2976" t="str">
        <f>IFERROR(+VLOOKUP(Movimientos_2026[[#This Row],[Codigo]],Plan_cuentas[],6,FALSE)," ")</f>
        <v xml:space="preserve"> </v>
      </c>
      <c r="L2976" s="50"/>
      <c r="M2976" s="50"/>
      <c r="N2976" s="20">
        <f>+Movimientos_2026[[#This Row],[Ingresos]]-Movimientos_2026[[#This Row],[Egresos]]</f>
        <v>0</v>
      </c>
      <c r="O2976" s="20">
        <f>+O2975+Movimientos_2026[[#This Row],[Neto]]</f>
        <v>4581558617.7962294</v>
      </c>
    </row>
    <row r="2977" spans="1:15" x14ac:dyDescent="0.25">
      <c r="A2977" s="13"/>
      <c r="B2977" s="12">
        <f>MONTH(Movimientos_2026[[#This Row],[Fecha]])</f>
        <v>1</v>
      </c>
      <c r="C2977" s="12" t="str">
        <f>VLOOKUP((WEEKDAY(Movimientos_2026[[#This Row],[Fecha]],2)),'5. Setup'!$D$6:$E$12,2,FALSE)</f>
        <v>Sab</v>
      </c>
      <c r="E2977" t="str">
        <f>IFERROR(+VLOOKUP(Movimientos_2026[[#This Row],[Codigo]],Plan_cuentas[],2,FALSE)," ")</f>
        <v xml:space="preserve"> </v>
      </c>
      <c r="F2977" t="str">
        <f>IFERROR(+VLOOKUP(Movimientos_2026[[#This Row],[Codigo]],Plan_cuentas[],3,FALSE)," ")</f>
        <v xml:space="preserve"> </v>
      </c>
      <c r="G2977" t="str">
        <f>IFERROR(+VLOOKUP(Movimientos_2026[[#This Row],[Codigo]],Plan_cuentas[],4,FALSE)," ")</f>
        <v xml:space="preserve"> </v>
      </c>
      <c r="H2977" t="str">
        <f>IFERROR(+VLOOKUP(Movimientos_2026[[#This Row],[Codigo]],Plan_cuentas[],5,FALSE)," ")</f>
        <v xml:space="preserve"> </v>
      </c>
      <c r="I2977" s="43"/>
      <c r="K2977" t="str">
        <f>IFERROR(+VLOOKUP(Movimientos_2026[[#This Row],[Codigo]],Plan_cuentas[],6,FALSE)," ")</f>
        <v xml:space="preserve"> </v>
      </c>
      <c r="L2977" s="50"/>
      <c r="M2977" s="50"/>
      <c r="N2977" s="20">
        <f>+Movimientos_2026[[#This Row],[Ingresos]]-Movimientos_2026[[#This Row],[Egresos]]</f>
        <v>0</v>
      </c>
      <c r="O2977" s="20">
        <f>+O2976+Movimientos_2026[[#This Row],[Neto]]</f>
        <v>4581558617.7962294</v>
      </c>
    </row>
    <row r="2978" spans="1:15" x14ac:dyDescent="0.25">
      <c r="A2978" s="13"/>
      <c r="B2978" s="12">
        <f>MONTH(Movimientos_2026[[#This Row],[Fecha]])</f>
        <v>1</v>
      </c>
      <c r="C2978" s="12" t="str">
        <f>VLOOKUP((WEEKDAY(Movimientos_2026[[#This Row],[Fecha]],2)),'5. Setup'!$D$6:$E$12,2,FALSE)</f>
        <v>Sab</v>
      </c>
      <c r="E2978" t="str">
        <f>IFERROR(+VLOOKUP(Movimientos_2026[[#This Row],[Codigo]],Plan_cuentas[],2,FALSE)," ")</f>
        <v xml:space="preserve"> </v>
      </c>
      <c r="F2978" t="str">
        <f>IFERROR(+VLOOKUP(Movimientos_2026[[#This Row],[Codigo]],Plan_cuentas[],3,FALSE)," ")</f>
        <v xml:space="preserve"> </v>
      </c>
      <c r="G2978" t="str">
        <f>IFERROR(+VLOOKUP(Movimientos_2026[[#This Row],[Codigo]],Plan_cuentas[],4,FALSE)," ")</f>
        <v xml:space="preserve"> </v>
      </c>
      <c r="H2978" t="str">
        <f>IFERROR(+VLOOKUP(Movimientos_2026[[#This Row],[Codigo]],Plan_cuentas[],5,FALSE)," ")</f>
        <v xml:space="preserve"> </v>
      </c>
      <c r="I2978" s="43"/>
      <c r="K2978" t="str">
        <f>IFERROR(+VLOOKUP(Movimientos_2026[[#This Row],[Codigo]],Plan_cuentas[],6,FALSE)," ")</f>
        <v xml:space="preserve"> </v>
      </c>
      <c r="L2978" s="50"/>
      <c r="M2978" s="50"/>
      <c r="N2978" s="20">
        <f>+Movimientos_2026[[#This Row],[Ingresos]]-Movimientos_2026[[#This Row],[Egresos]]</f>
        <v>0</v>
      </c>
      <c r="O2978" s="20">
        <f>+O2977+Movimientos_2026[[#This Row],[Neto]]</f>
        <v>4581558617.7962294</v>
      </c>
    </row>
    <row r="2979" spans="1:15" x14ac:dyDescent="0.25">
      <c r="A2979" s="13"/>
      <c r="B2979" s="12">
        <f>MONTH(Movimientos_2026[[#This Row],[Fecha]])</f>
        <v>1</v>
      </c>
      <c r="C2979" s="12" t="str">
        <f>VLOOKUP((WEEKDAY(Movimientos_2026[[#This Row],[Fecha]],2)),'5. Setup'!$D$6:$E$12,2,FALSE)</f>
        <v>Sab</v>
      </c>
      <c r="E2979" t="str">
        <f>IFERROR(+VLOOKUP(Movimientos_2026[[#This Row],[Codigo]],Plan_cuentas[],2,FALSE)," ")</f>
        <v xml:space="preserve"> </v>
      </c>
      <c r="F2979" t="str">
        <f>IFERROR(+VLOOKUP(Movimientos_2026[[#This Row],[Codigo]],Plan_cuentas[],3,FALSE)," ")</f>
        <v xml:space="preserve"> </v>
      </c>
      <c r="G2979" t="str">
        <f>IFERROR(+VLOOKUP(Movimientos_2026[[#This Row],[Codigo]],Plan_cuentas[],4,FALSE)," ")</f>
        <v xml:space="preserve"> </v>
      </c>
      <c r="H2979" t="str">
        <f>IFERROR(+VLOOKUP(Movimientos_2026[[#This Row],[Codigo]],Plan_cuentas[],5,FALSE)," ")</f>
        <v xml:space="preserve"> </v>
      </c>
      <c r="I2979" s="43"/>
      <c r="K2979" t="str">
        <f>IFERROR(+VLOOKUP(Movimientos_2026[[#This Row],[Codigo]],Plan_cuentas[],6,FALSE)," ")</f>
        <v xml:space="preserve"> </v>
      </c>
      <c r="L2979" s="50"/>
      <c r="M2979" s="50"/>
      <c r="N2979" s="20">
        <f>+Movimientos_2026[[#This Row],[Ingresos]]-Movimientos_2026[[#This Row],[Egresos]]</f>
        <v>0</v>
      </c>
      <c r="O2979" s="20">
        <f>+O2978+Movimientos_2026[[#This Row],[Neto]]</f>
        <v>4581558617.7962294</v>
      </c>
    </row>
    <row r="2980" spans="1:15" x14ac:dyDescent="0.25">
      <c r="A2980" s="13"/>
      <c r="B2980" s="12">
        <f>MONTH(Movimientos_2026[[#This Row],[Fecha]])</f>
        <v>1</v>
      </c>
      <c r="C2980" s="12" t="str">
        <f>VLOOKUP((WEEKDAY(Movimientos_2026[[#This Row],[Fecha]],2)),'5. Setup'!$D$6:$E$12,2,FALSE)</f>
        <v>Sab</v>
      </c>
      <c r="E2980" t="str">
        <f>IFERROR(+VLOOKUP(Movimientos_2026[[#This Row],[Codigo]],Plan_cuentas[],2,FALSE)," ")</f>
        <v xml:space="preserve"> </v>
      </c>
      <c r="F2980" t="str">
        <f>IFERROR(+VLOOKUP(Movimientos_2026[[#This Row],[Codigo]],Plan_cuentas[],3,FALSE)," ")</f>
        <v xml:space="preserve"> </v>
      </c>
      <c r="G2980" t="str">
        <f>IFERROR(+VLOOKUP(Movimientos_2026[[#This Row],[Codigo]],Plan_cuentas[],4,FALSE)," ")</f>
        <v xml:space="preserve"> </v>
      </c>
      <c r="H2980" t="str">
        <f>IFERROR(+VLOOKUP(Movimientos_2026[[#This Row],[Codigo]],Plan_cuentas[],5,FALSE)," ")</f>
        <v xml:space="preserve"> </v>
      </c>
      <c r="I2980" s="43"/>
      <c r="K2980" t="str">
        <f>IFERROR(+VLOOKUP(Movimientos_2026[[#This Row],[Codigo]],Plan_cuentas[],6,FALSE)," ")</f>
        <v xml:space="preserve"> </v>
      </c>
      <c r="L2980" s="50"/>
      <c r="M2980" s="50"/>
      <c r="N2980" s="20">
        <f>+Movimientos_2026[[#This Row],[Ingresos]]-Movimientos_2026[[#This Row],[Egresos]]</f>
        <v>0</v>
      </c>
      <c r="O2980" s="20">
        <f>+O2979+Movimientos_2026[[#This Row],[Neto]]</f>
        <v>4581558617.7962294</v>
      </c>
    </row>
    <row r="2981" spans="1:15" x14ac:dyDescent="0.25">
      <c r="A2981" s="13"/>
      <c r="B2981" s="12">
        <f>MONTH(Movimientos_2026[[#This Row],[Fecha]])</f>
        <v>1</v>
      </c>
      <c r="C2981" s="12" t="str">
        <f>VLOOKUP((WEEKDAY(Movimientos_2026[[#This Row],[Fecha]],2)),'5. Setup'!$D$6:$E$12,2,FALSE)</f>
        <v>Sab</v>
      </c>
      <c r="E2981" t="str">
        <f>IFERROR(+VLOOKUP(Movimientos_2026[[#This Row],[Codigo]],Plan_cuentas[],2,FALSE)," ")</f>
        <v xml:space="preserve"> </v>
      </c>
      <c r="F2981" t="str">
        <f>IFERROR(+VLOOKUP(Movimientos_2026[[#This Row],[Codigo]],Plan_cuentas[],3,FALSE)," ")</f>
        <v xml:space="preserve"> </v>
      </c>
      <c r="G2981" t="str">
        <f>IFERROR(+VLOOKUP(Movimientos_2026[[#This Row],[Codigo]],Plan_cuentas[],4,FALSE)," ")</f>
        <v xml:space="preserve"> </v>
      </c>
      <c r="H2981" t="str">
        <f>IFERROR(+VLOOKUP(Movimientos_2026[[#This Row],[Codigo]],Plan_cuentas[],5,FALSE)," ")</f>
        <v xml:space="preserve"> </v>
      </c>
      <c r="I2981" s="43"/>
      <c r="K2981" t="str">
        <f>IFERROR(+VLOOKUP(Movimientos_2026[[#This Row],[Codigo]],Plan_cuentas[],6,FALSE)," ")</f>
        <v xml:space="preserve"> </v>
      </c>
      <c r="L2981" s="50"/>
      <c r="M2981" s="50"/>
      <c r="N2981" s="20">
        <f>+Movimientos_2026[[#This Row],[Ingresos]]-Movimientos_2026[[#This Row],[Egresos]]</f>
        <v>0</v>
      </c>
      <c r="O2981" s="20">
        <f>+O2980+Movimientos_2026[[#This Row],[Neto]]</f>
        <v>4581558617.7962294</v>
      </c>
    </row>
    <row r="2982" spans="1:15" x14ac:dyDescent="0.25">
      <c r="A2982" s="13"/>
      <c r="B2982" s="12">
        <f>MONTH(Movimientos_2026[[#This Row],[Fecha]])</f>
        <v>1</v>
      </c>
      <c r="C2982" s="12" t="str">
        <f>VLOOKUP((WEEKDAY(Movimientos_2026[[#This Row],[Fecha]],2)),'5. Setup'!$D$6:$E$12,2,FALSE)</f>
        <v>Sab</v>
      </c>
      <c r="E2982" t="str">
        <f>IFERROR(+VLOOKUP(Movimientos_2026[[#This Row],[Codigo]],Plan_cuentas[],2,FALSE)," ")</f>
        <v xml:space="preserve"> </v>
      </c>
      <c r="F2982" t="str">
        <f>IFERROR(+VLOOKUP(Movimientos_2026[[#This Row],[Codigo]],Plan_cuentas[],3,FALSE)," ")</f>
        <v xml:space="preserve"> </v>
      </c>
      <c r="G2982" t="str">
        <f>IFERROR(+VLOOKUP(Movimientos_2026[[#This Row],[Codigo]],Plan_cuentas[],4,FALSE)," ")</f>
        <v xml:space="preserve"> </v>
      </c>
      <c r="H2982" t="str">
        <f>IFERROR(+VLOOKUP(Movimientos_2026[[#This Row],[Codigo]],Plan_cuentas[],5,FALSE)," ")</f>
        <v xml:space="preserve"> </v>
      </c>
      <c r="I2982" s="43"/>
      <c r="K2982" t="str">
        <f>IFERROR(+VLOOKUP(Movimientos_2026[[#This Row],[Codigo]],Plan_cuentas[],6,FALSE)," ")</f>
        <v xml:space="preserve"> </v>
      </c>
      <c r="L2982" s="50"/>
      <c r="M2982" s="52"/>
      <c r="N2982" s="20">
        <f>+Movimientos_2026[[#This Row],[Ingresos]]-Movimientos_2026[[#This Row],[Egresos]]</f>
        <v>0</v>
      </c>
      <c r="O2982" s="20">
        <f>+O2981+Movimientos_2026[[#This Row],[Neto]]</f>
        <v>4581558617.7962294</v>
      </c>
    </row>
    <row r="2983" spans="1:15" x14ac:dyDescent="0.25">
      <c r="A2983" s="13"/>
      <c r="B2983" s="12">
        <f>MONTH(Movimientos_2026[[#This Row],[Fecha]])</f>
        <v>1</v>
      </c>
      <c r="C2983" s="12" t="str">
        <f>VLOOKUP((WEEKDAY(Movimientos_2026[[#This Row],[Fecha]],2)),'5. Setup'!$D$6:$E$12,2,FALSE)</f>
        <v>Sab</v>
      </c>
      <c r="E2983" t="str">
        <f>IFERROR(+VLOOKUP(Movimientos_2026[[#This Row],[Codigo]],Plan_cuentas[],2,FALSE)," ")</f>
        <v xml:space="preserve"> </v>
      </c>
      <c r="F2983" t="str">
        <f>IFERROR(+VLOOKUP(Movimientos_2026[[#This Row],[Codigo]],Plan_cuentas[],3,FALSE)," ")</f>
        <v xml:space="preserve"> </v>
      </c>
      <c r="G2983" t="str">
        <f>IFERROR(+VLOOKUP(Movimientos_2026[[#This Row],[Codigo]],Plan_cuentas[],4,FALSE)," ")</f>
        <v xml:space="preserve"> </v>
      </c>
      <c r="H2983" t="str">
        <f>IFERROR(+VLOOKUP(Movimientos_2026[[#This Row],[Codigo]],Plan_cuentas[],5,FALSE)," ")</f>
        <v xml:space="preserve"> </v>
      </c>
      <c r="I2983" s="43"/>
      <c r="K2983" t="str">
        <f>IFERROR(+VLOOKUP(Movimientos_2026[[#This Row],[Codigo]],Plan_cuentas[],6,FALSE)," ")</f>
        <v xml:space="preserve"> </v>
      </c>
      <c r="L2983" s="50"/>
      <c r="M2983" s="50"/>
      <c r="N2983" s="20">
        <f>+Movimientos_2026[[#This Row],[Ingresos]]-Movimientos_2026[[#This Row],[Egresos]]</f>
        <v>0</v>
      </c>
      <c r="O2983" s="20">
        <f>+O2982+Movimientos_2026[[#This Row],[Neto]]</f>
        <v>4581558617.7962294</v>
      </c>
    </row>
    <row r="2984" spans="1:15" x14ac:dyDescent="0.25">
      <c r="A2984" s="13"/>
      <c r="B2984" s="12">
        <f>MONTH(Movimientos_2026[[#This Row],[Fecha]])</f>
        <v>1</v>
      </c>
      <c r="C2984" s="12" t="str">
        <f>VLOOKUP((WEEKDAY(Movimientos_2026[[#This Row],[Fecha]],2)),'5. Setup'!$D$6:$E$12,2,FALSE)</f>
        <v>Sab</v>
      </c>
      <c r="E2984" t="str">
        <f>IFERROR(+VLOOKUP(Movimientos_2026[[#This Row],[Codigo]],Plan_cuentas[],2,FALSE)," ")</f>
        <v xml:space="preserve"> </v>
      </c>
      <c r="F2984" t="str">
        <f>IFERROR(+VLOOKUP(Movimientos_2026[[#This Row],[Codigo]],Plan_cuentas[],3,FALSE)," ")</f>
        <v xml:space="preserve"> </v>
      </c>
      <c r="G2984" t="str">
        <f>IFERROR(+VLOOKUP(Movimientos_2026[[#This Row],[Codigo]],Plan_cuentas[],4,FALSE)," ")</f>
        <v xml:space="preserve"> </v>
      </c>
      <c r="H2984" t="str">
        <f>IFERROR(+VLOOKUP(Movimientos_2026[[#This Row],[Codigo]],Plan_cuentas[],5,FALSE)," ")</f>
        <v xml:space="preserve"> </v>
      </c>
      <c r="I2984" s="43"/>
      <c r="K2984" t="str">
        <f>IFERROR(+VLOOKUP(Movimientos_2026[[#This Row],[Codigo]],Plan_cuentas[],6,FALSE)," ")</f>
        <v xml:space="preserve"> </v>
      </c>
      <c r="L2984" s="50"/>
      <c r="M2984" s="50"/>
      <c r="N2984" s="20">
        <f>+Movimientos_2026[[#This Row],[Ingresos]]-Movimientos_2026[[#This Row],[Egresos]]</f>
        <v>0</v>
      </c>
      <c r="O2984" s="20">
        <f>+O2983+Movimientos_2026[[#This Row],[Neto]]</f>
        <v>4581558617.7962294</v>
      </c>
    </row>
    <row r="2985" spans="1:15" x14ac:dyDescent="0.25">
      <c r="A2985" s="13"/>
      <c r="B2985" s="12">
        <f>MONTH(Movimientos_2026[[#This Row],[Fecha]])</f>
        <v>1</v>
      </c>
      <c r="C2985" s="12" t="str">
        <f>VLOOKUP((WEEKDAY(Movimientos_2026[[#This Row],[Fecha]],2)),'5. Setup'!$D$6:$E$12,2,FALSE)</f>
        <v>Sab</v>
      </c>
      <c r="E2985" t="str">
        <f>IFERROR(+VLOOKUP(Movimientos_2026[[#This Row],[Codigo]],Plan_cuentas[],2,FALSE)," ")</f>
        <v xml:space="preserve"> </v>
      </c>
      <c r="F2985" t="str">
        <f>IFERROR(+VLOOKUP(Movimientos_2026[[#This Row],[Codigo]],Plan_cuentas[],3,FALSE)," ")</f>
        <v xml:space="preserve"> </v>
      </c>
      <c r="G2985" t="str">
        <f>IFERROR(+VLOOKUP(Movimientos_2026[[#This Row],[Codigo]],Plan_cuentas[],4,FALSE)," ")</f>
        <v xml:space="preserve"> </v>
      </c>
      <c r="H2985" t="str">
        <f>IFERROR(+VLOOKUP(Movimientos_2026[[#This Row],[Codigo]],Plan_cuentas[],5,FALSE)," ")</f>
        <v xml:space="preserve"> </v>
      </c>
      <c r="I2985" s="43"/>
      <c r="K2985" t="str">
        <f>IFERROR(+VLOOKUP(Movimientos_2026[[#This Row],[Codigo]],Plan_cuentas[],6,FALSE)," ")</f>
        <v xml:space="preserve"> </v>
      </c>
      <c r="L2985" s="50"/>
      <c r="M2985" s="50"/>
      <c r="N2985" s="20">
        <f>+Movimientos_2026[[#This Row],[Ingresos]]-Movimientos_2026[[#This Row],[Egresos]]</f>
        <v>0</v>
      </c>
      <c r="O2985" s="20">
        <f>+O2984+Movimientos_2026[[#This Row],[Neto]]</f>
        <v>4581558617.7962294</v>
      </c>
    </row>
    <row r="2986" spans="1:15" x14ac:dyDescent="0.25">
      <c r="A2986" s="13"/>
      <c r="B2986" s="12">
        <f>MONTH(Movimientos_2026[[#This Row],[Fecha]])</f>
        <v>1</v>
      </c>
      <c r="C2986" s="12" t="str">
        <f>VLOOKUP((WEEKDAY(Movimientos_2026[[#This Row],[Fecha]],2)),'5. Setup'!$D$6:$E$12,2,FALSE)</f>
        <v>Sab</v>
      </c>
      <c r="E2986" t="str">
        <f>IFERROR(+VLOOKUP(Movimientos_2026[[#This Row],[Codigo]],Plan_cuentas[],2,FALSE)," ")</f>
        <v xml:space="preserve"> </v>
      </c>
      <c r="F2986" t="str">
        <f>IFERROR(+VLOOKUP(Movimientos_2026[[#This Row],[Codigo]],Plan_cuentas[],3,FALSE)," ")</f>
        <v xml:space="preserve"> </v>
      </c>
      <c r="G2986" t="str">
        <f>IFERROR(+VLOOKUP(Movimientos_2026[[#This Row],[Codigo]],Plan_cuentas[],4,FALSE)," ")</f>
        <v xml:space="preserve"> </v>
      </c>
      <c r="H2986" t="str">
        <f>IFERROR(+VLOOKUP(Movimientos_2026[[#This Row],[Codigo]],Plan_cuentas[],5,FALSE)," ")</f>
        <v xml:space="preserve"> </v>
      </c>
      <c r="I2986" s="43"/>
      <c r="K2986" t="str">
        <f>IFERROR(+VLOOKUP(Movimientos_2026[[#This Row],[Codigo]],Plan_cuentas[],6,FALSE)," ")</f>
        <v xml:space="preserve"> </v>
      </c>
      <c r="L2986" s="50"/>
      <c r="M2986" s="50"/>
      <c r="N2986" s="20">
        <f>+Movimientos_2026[[#This Row],[Ingresos]]-Movimientos_2026[[#This Row],[Egresos]]</f>
        <v>0</v>
      </c>
      <c r="O2986" s="20">
        <f>+O2985+Movimientos_2026[[#This Row],[Neto]]</f>
        <v>4581558617.7962294</v>
      </c>
    </row>
    <row r="2987" spans="1:15" x14ac:dyDescent="0.25">
      <c r="A2987" s="13"/>
      <c r="B2987" s="12">
        <f>MONTH(Movimientos_2026[[#This Row],[Fecha]])</f>
        <v>1</v>
      </c>
      <c r="C2987" s="12" t="str">
        <f>VLOOKUP((WEEKDAY(Movimientos_2026[[#This Row],[Fecha]],2)),'5. Setup'!$D$6:$E$12,2,FALSE)</f>
        <v>Sab</v>
      </c>
      <c r="E2987" t="str">
        <f>IFERROR(+VLOOKUP(Movimientos_2026[[#This Row],[Codigo]],Plan_cuentas[],2,FALSE)," ")</f>
        <v xml:space="preserve"> </v>
      </c>
      <c r="F2987" t="str">
        <f>IFERROR(+VLOOKUP(Movimientos_2026[[#This Row],[Codigo]],Plan_cuentas[],3,FALSE)," ")</f>
        <v xml:space="preserve"> </v>
      </c>
      <c r="G2987" t="str">
        <f>IFERROR(+VLOOKUP(Movimientos_2026[[#This Row],[Codigo]],Plan_cuentas[],4,FALSE)," ")</f>
        <v xml:space="preserve"> </v>
      </c>
      <c r="H2987" t="str">
        <f>IFERROR(+VLOOKUP(Movimientos_2026[[#This Row],[Codigo]],Plan_cuentas[],5,FALSE)," ")</f>
        <v xml:space="preserve"> </v>
      </c>
      <c r="I2987" s="43"/>
      <c r="K2987" t="str">
        <f>IFERROR(+VLOOKUP(Movimientos_2026[[#This Row],[Codigo]],Plan_cuentas[],6,FALSE)," ")</f>
        <v xml:space="preserve"> </v>
      </c>
      <c r="L2987" s="50"/>
      <c r="M2987" s="50"/>
      <c r="N2987" s="20">
        <f>+Movimientos_2026[[#This Row],[Ingresos]]-Movimientos_2026[[#This Row],[Egresos]]</f>
        <v>0</v>
      </c>
      <c r="O2987" s="20">
        <f>+O2986+Movimientos_2026[[#This Row],[Neto]]</f>
        <v>4581558617.7962294</v>
      </c>
    </row>
    <row r="2988" spans="1:15" x14ac:dyDescent="0.25">
      <c r="A2988" s="13"/>
      <c r="B2988" s="12">
        <f>MONTH(Movimientos_2026[[#This Row],[Fecha]])</f>
        <v>1</v>
      </c>
      <c r="C2988" s="12" t="str">
        <f>VLOOKUP((WEEKDAY(Movimientos_2026[[#This Row],[Fecha]],2)),'5. Setup'!$D$6:$E$12,2,FALSE)</f>
        <v>Sab</v>
      </c>
      <c r="E2988" t="str">
        <f>IFERROR(+VLOOKUP(Movimientos_2026[[#This Row],[Codigo]],Plan_cuentas[],2,FALSE)," ")</f>
        <v xml:space="preserve"> </v>
      </c>
      <c r="F2988" t="str">
        <f>IFERROR(+VLOOKUP(Movimientos_2026[[#This Row],[Codigo]],Plan_cuentas[],3,FALSE)," ")</f>
        <v xml:space="preserve"> </v>
      </c>
      <c r="G2988" t="str">
        <f>IFERROR(+VLOOKUP(Movimientos_2026[[#This Row],[Codigo]],Plan_cuentas[],4,FALSE)," ")</f>
        <v xml:space="preserve"> </v>
      </c>
      <c r="H2988" t="str">
        <f>IFERROR(+VLOOKUP(Movimientos_2026[[#This Row],[Codigo]],Plan_cuentas[],5,FALSE)," ")</f>
        <v xml:space="preserve"> </v>
      </c>
      <c r="I2988" s="43"/>
      <c r="K2988" t="str">
        <f>IFERROR(+VLOOKUP(Movimientos_2026[[#This Row],[Codigo]],Plan_cuentas[],6,FALSE)," ")</f>
        <v xml:space="preserve"> </v>
      </c>
      <c r="L2988" s="50"/>
      <c r="M2988" s="50"/>
      <c r="N2988" s="20">
        <f>+Movimientos_2026[[#This Row],[Ingresos]]-Movimientos_2026[[#This Row],[Egresos]]</f>
        <v>0</v>
      </c>
      <c r="O2988" s="20">
        <f>+O2987+Movimientos_2026[[#This Row],[Neto]]</f>
        <v>4581558617.7962294</v>
      </c>
    </row>
    <row r="2989" spans="1:15" x14ac:dyDescent="0.25">
      <c r="A2989" s="13"/>
      <c r="B2989" s="12">
        <f>MONTH(Movimientos_2026[[#This Row],[Fecha]])</f>
        <v>1</v>
      </c>
      <c r="C2989" s="12" t="str">
        <f>VLOOKUP((WEEKDAY(Movimientos_2026[[#This Row],[Fecha]],2)),'5. Setup'!$D$6:$E$12,2,FALSE)</f>
        <v>Sab</v>
      </c>
      <c r="E2989" t="str">
        <f>IFERROR(+VLOOKUP(Movimientos_2026[[#This Row],[Codigo]],Plan_cuentas[],2,FALSE)," ")</f>
        <v xml:space="preserve"> </v>
      </c>
      <c r="F2989" t="str">
        <f>IFERROR(+VLOOKUP(Movimientos_2026[[#This Row],[Codigo]],Plan_cuentas[],3,FALSE)," ")</f>
        <v xml:space="preserve"> </v>
      </c>
      <c r="G2989" t="str">
        <f>IFERROR(+VLOOKUP(Movimientos_2026[[#This Row],[Codigo]],Plan_cuentas[],4,FALSE)," ")</f>
        <v xml:space="preserve"> </v>
      </c>
      <c r="H2989" t="str">
        <f>IFERROR(+VLOOKUP(Movimientos_2026[[#This Row],[Codigo]],Plan_cuentas[],5,FALSE)," ")</f>
        <v xml:space="preserve"> </v>
      </c>
      <c r="I2989" s="43"/>
      <c r="K2989" t="str">
        <f>IFERROR(+VLOOKUP(Movimientos_2026[[#This Row],[Codigo]],Plan_cuentas[],6,FALSE)," ")</f>
        <v xml:space="preserve"> </v>
      </c>
      <c r="L2989" s="50"/>
      <c r="M2989" s="50"/>
      <c r="N2989" s="20">
        <f>+Movimientos_2026[[#This Row],[Ingresos]]-Movimientos_2026[[#This Row],[Egresos]]</f>
        <v>0</v>
      </c>
      <c r="O2989" s="20">
        <f>+O2988+Movimientos_2026[[#This Row],[Neto]]</f>
        <v>4581558617.7962294</v>
      </c>
    </row>
    <row r="2990" spans="1:15" x14ac:dyDescent="0.25">
      <c r="A2990" s="13"/>
      <c r="B2990" s="12">
        <f>MONTH(Movimientos_2026[[#This Row],[Fecha]])</f>
        <v>1</v>
      </c>
      <c r="C2990" s="12" t="str">
        <f>VLOOKUP((WEEKDAY(Movimientos_2026[[#This Row],[Fecha]],2)),'5. Setup'!$D$6:$E$12,2,FALSE)</f>
        <v>Sab</v>
      </c>
      <c r="E2990" t="str">
        <f>IFERROR(+VLOOKUP(Movimientos_2026[[#This Row],[Codigo]],Plan_cuentas[],2,FALSE)," ")</f>
        <v xml:space="preserve"> </v>
      </c>
      <c r="F2990" t="str">
        <f>IFERROR(+VLOOKUP(Movimientos_2026[[#This Row],[Codigo]],Plan_cuentas[],3,FALSE)," ")</f>
        <v xml:space="preserve"> </v>
      </c>
      <c r="G2990" t="str">
        <f>IFERROR(+VLOOKUP(Movimientos_2026[[#This Row],[Codigo]],Plan_cuentas[],4,FALSE)," ")</f>
        <v xml:space="preserve"> </v>
      </c>
      <c r="H2990" t="str">
        <f>IFERROR(+VLOOKUP(Movimientos_2026[[#This Row],[Codigo]],Plan_cuentas[],5,FALSE)," ")</f>
        <v xml:space="preserve"> </v>
      </c>
      <c r="I2990" s="43"/>
      <c r="K2990" t="str">
        <f>IFERROR(+VLOOKUP(Movimientos_2026[[#This Row],[Codigo]],Plan_cuentas[],6,FALSE)," ")</f>
        <v xml:space="preserve"> </v>
      </c>
      <c r="L2990" s="50"/>
      <c r="M2990" s="50"/>
      <c r="N2990" s="20">
        <f>+Movimientos_2026[[#This Row],[Ingresos]]-Movimientos_2026[[#This Row],[Egresos]]</f>
        <v>0</v>
      </c>
      <c r="O2990" s="20">
        <f>+O2989+Movimientos_2026[[#This Row],[Neto]]</f>
        <v>4581558617.7962294</v>
      </c>
    </row>
    <row r="2991" spans="1:15" x14ac:dyDescent="0.25">
      <c r="A2991" s="13"/>
      <c r="B2991" s="12">
        <f>MONTH(Movimientos_2026[[#This Row],[Fecha]])</f>
        <v>1</v>
      </c>
      <c r="C2991" s="12" t="str">
        <f>VLOOKUP((WEEKDAY(Movimientos_2026[[#This Row],[Fecha]],2)),'5. Setup'!$D$6:$E$12,2,FALSE)</f>
        <v>Sab</v>
      </c>
      <c r="E2991" t="str">
        <f>IFERROR(+VLOOKUP(Movimientos_2026[[#This Row],[Codigo]],Plan_cuentas[],2,FALSE)," ")</f>
        <v xml:space="preserve"> </v>
      </c>
      <c r="F2991" t="str">
        <f>IFERROR(+VLOOKUP(Movimientos_2026[[#This Row],[Codigo]],Plan_cuentas[],3,FALSE)," ")</f>
        <v xml:space="preserve"> </v>
      </c>
      <c r="G2991" t="str">
        <f>IFERROR(+VLOOKUP(Movimientos_2026[[#This Row],[Codigo]],Plan_cuentas[],4,FALSE)," ")</f>
        <v xml:space="preserve"> </v>
      </c>
      <c r="H2991" t="str">
        <f>IFERROR(+VLOOKUP(Movimientos_2026[[#This Row],[Codigo]],Plan_cuentas[],5,FALSE)," ")</f>
        <v xml:space="preserve"> </v>
      </c>
      <c r="I2991" s="43"/>
      <c r="K2991" t="str">
        <f>IFERROR(+VLOOKUP(Movimientos_2026[[#This Row],[Codigo]],Plan_cuentas[],6,FALSE)," ")</f>
        <v xml:space="preserve"> </v>
      </c>
      <c r="L2991" s="50"/>
      <c r="M2991" s="50"/>
      <c r="N2991" s="20">
        <f>+Movimientos_2026[[#This Row],[Ingresos]]-Movimientos_2026[[#This Row],[Egresos]]</f>
        <v>0</v>
      </c>
      <c r="O2991" s="20">
        <f>+O2990+Movimientos_2026[[#This Row],[Neto]]</f>
        <v>4581558617.7962294</v>
      </c>
    </row>
    <row r="2992" spans="1:15" x14ac:dyDescent="0.25">
      <c r="A2992" s="13"/>
      <c r="B2992" s="12">
        <f>MONTH(Movimientos_2026[[#This Row],[Fecha]])</f>
        <v>1</v>
      </c>
      <c r="C2992" s="12" t="str">
        <f>VLOOKUP((WEEKDAY(Movimientos_2026[[#This Row],[Fecha]],2)),'5. Setup'!$D$6:$E$12,2,FALSE)</f>
        <v>Sab</v>
      </c>
      <c r="E2992" t="str">
        <f>IFERROR(+VLOOKUP(Movimientos_2026[[#This Row],[Codigo]],Plan_cuentas[],2,FALSE)," ")</f>
        <v xml:space="preserve"> </v>
      </c>
      <c r="F2992" t="str">
        <f>IFERROR(+VLOOKUP(Movimientos_2026[[#This Row],[Codigo]],Plan_cuentas[],3,FALSE)," ")</f>
        <v xml:space="preserve"> </v>
      </c>
      <c r="G2992" t="str">
        <f>IFERROR(+VLOOKUP(Movimientos_2026[[#This Row],[Codigo]],Plan_cuentas[],4,FALSE)," ")</f>
        <v xml:space="preserve"> </v>
      </c>
      <c r="H2992" t="str">
        <f>IFERROR(+VLOOKUP(Movimientos_2026[[#This Row],[Codigo]],Plan_cuentas[],5,FALSE)," ")</f>
        <v xml:space="preserve"> </v>
      </c>
      <c r="I2992" s="43"/>
      <c r="K2992" t="str">
        <f>IFERROR(+VLOOKUP(Movimientos_2026[[#This Row],[Codigo]],Plan_cuentas[],6,FALSE)," ")</f>
        <v xml:space="preserve"> </v>
      </c>
      <c r="L2992" s="50"/>
      <c r="M2992" s="50"/>
      <c r="N2992" s="20">
        <f>+Movimientos_2026[[#This Row],[Ingresos]]-Movimientos_2026[[#This Row],[Egresos]]</f>
        <v>0</v>
      </c>
      <c r="O2992" s="20">
        <f>+O2991+Movimientos_2026[[#This Row],[Neto]]</f>
        <v>4581558617.7962294</v>
      </c>
    </row>
    <row r="2993" spans="1:15" x14ac:dyDescent="0.25">
      <c r="A2993" s="13"/>
      <c r="B2993" s="12">
        <f>MONTH(Movimientos_2026[[#This Row],[Fecha]])</f>
        <v>1</v>
      </c>
      <c r="C2993" s="12" t="str">
        <f>VLOOKUP((WEEKDAY(Movimientos_2026[[#This Row],[Fecha]],2)),'5. Setup'!$D$6:$E$12,2,FALSE)</f>
        <v>Sab</v>
      </c>
      <c r="E2993" t="str">
        <f>IFERROR(+VLOOKUP(Movimientos_2026[[#This Row],[Codigo]],Plan_cuentas[],2,FALSE)," ")</f>
        <v xml:space="preserve"> </v>
      </c>
      <c r="F2993" t="str">
        <f>IFERROR(+VLOOKUP(Movimientos_2026[[#This Row],[Codigo]],Plan_cuentas[],3,FALSE)," ")</f>
        <v xml:space="preserve"> </v>
      </c>
      <c r="G2993" t="str">
        <f>IFERROR(+VLOOKUP(Movimientos_2026[[#This Row],[Codigo]],Plan_cuentas[],4,FALSE)," ")</f>
        <v xml:space="preserve"> </v>
      </c>
      <c r="H2993" t="str">
        <f>IFERROR(+VLOOKUP(Movimientos_2026[[#This Row],[Codigo]],Plan_cuentas[],5,FALSE)," ")</f>
        <v xml:space="preserve"> </v>
      </c>
      <c r="I2993" s="43"/>
      <c r="K2993" t="str">
        <f>IFERROR(+VLOOKUP(Movimientos_2026[[#This Row],[Codigo]],Plan_cuentas[],6,FALSE)," ")</f>
        <v xml:space="preserve"> </v>
      </c>
      <c r="L2993" s="50"/>
      <c r="M2993" s="50"/>
      <c r="N2993" s="20">
        <f>+Movimientos_2026[[#This Row],[Ingresos]]-Movimientos_2026[[#This Row],[Egresos]]</f>
        <v>0</v>
      </c>
      <c r="O2993" s="20">
        <f>+O2992+Movimientos_2026[[#This Row],[Neto]]</f>
        <v>4581558617.7962294</v>
      </c>
    </row>
    <row r="2994" spans="1:15" x14ac:dyDescent="0.25">
      <c r="A2994" s="13"/>
      <c r="B2994" s="12">
        <f>MONTH(Movimientos_2026[[#This Row],[Fecha]])</f>
        <v>1</v>
      </c>
      <c r="C2994" s="12" t="str">
        <f>VLOOKUP((WEEKDAY(Movimientos_2026[[#This Row],[Fecha]],2)),'5. Setup'!$D$6:$E$12,2,FALSE)</f>
        <v>Sab</v>
      </c>
      <c r="E2994" t="str">
        <f>IFERROR(+VLOOKUP(Movimientos_2026[[#This Row],[Codigo]],Plan_cuentas[],2,FALSE)," ")</f>
        <v xml:space="preserve"> </v>
      </c>
      <c r="F2994" t="str">
        <f>IFERROR(+VLOOKUP(Movimientos_2026[[#This Row],[Codigo]],Plan_cuentas[],3,FALSE)," ")</f>
        <v xml:space="preserve"> </v>
      </c>
      <c r="G2994" t="str">
        <f>IFERROR(+VLOOKUP(Movimientos_2026[[#This Row],[Codigo]],Plan_cuentas[],4,FALSE)," ")</f>
        <v xml:space="preserve"> </v>
      </c>
      <c r="H2994" t="str">
        <f>IFERROR(+VLOOKUP(Movimientos_2026[[#This Row],[Codigo]],Plan_cuentas[],5,FALSE)," ")</f>
        <v xml:space="preserve"> </v>
      </c>
      <c r="I2994" s="43"/>
      <c r="K2994" t="str">
        <f>IFERROR(+VLOOKUP(Movimientos_2026[[#This Row],[Codigo]],Plan_cuentas[],6,FALSE)," ")</f>
        <v xml:space="preserve"> </v>
      </c>
      <c r="L2994" s="50"/>
      <c r="M2994" s="50"/>
      <c r="N2994" s="20">
        <f>+Movimientos_2026[[#This Row],[Ingresos]]-Movimientos_2026[[#This Row],[Egresos]]</f>
        <v>0</v>
      </c>
      <c r="O2994" s="20">
        <f>+O2993+Movimientos_2026[[#This Row],[Neto]]</f>
        <v>4581558617.7962294</v>
      </c>
    </row>
    <row r="2995" spans="1:15" x14ac:dyDescent="0.25">
      <c r="A2995" s="13"/>
      <c r="B2995" s="12">
        <f>MONTH(Movimientos_2026[[#This Row],[Fecha]])</f>
        <v>1</v>
      </c>
      <c r="C2995" s="12" t="str">
        <f>VLOOKUP((WEEKDAY(Movimientos_2026[[#This Row],[Fecha]],2)),'5. Setup'!$D$6:$E$12,2,FALSE)</f>
        <v>Sab</v>
      </c>
      <c r="E2995" t="str">
        <f>IFERROR(+VLOOKUP(Movimientos_2026[[#This Row],[Codigo]],Plan_cuentas[],2,FALSE)," ")</f>
        <v xml:space="preserve"> </v>
      </c>
      <c r="F2995" t="str">
        <f>IFERROR(+VLOOKUP(Movimientos_2026[[#This Row],[Codigo]],Plan_cuentas[],3,FALSE)," ")</f>
        <v xml:space="preserve"> </v>
      </c>
      <c r="G2995" t="str">
        <f>IFERROR(+VLOOKUP(Movimientos_2026[[#This Row],[Codigo]],Plan_cuentas[],4,FALSE)," ")</f>
        <v xml:space="preserve"> </v>
      </c>
      <c r="H2995" t="str">
        <f>IFERROR(+VLOOKUP(Movimientos_2026[[#This Row],[Codigo]],Plan_cuentas[],5,FALSE)," ")</f>
        <v xml:space="preserve"> </v>
      </c>
      <c r="I2995" s="43"/>
      <c r="K2995" t="str">
        <f>IFERROR(+VLOOKUP(Movimientos_2026[[#This Row],[Codigo]],Plan_cuentas[],6,FALSE)," ")</f>
        <v xml:space="preserve"> </v>
      </c>
      <c r="L2995" s="50"/>
      <c r="M2995" s="50"/>
      <c r="N2995" s="20">
        <f>+Movimientos_2026[[#This Row],[Ingresos]]-Movimientos_2026[[#This Row],[Egresos]]</f>
        <v>0</v>
      </c>
      <c r="O2995" s="20">
        <f>+O2994+Movimientos_2026[[#This Row],[Neto]]</f>
        <v>4581558617.7962294</v>
      </c>
    </row>
    <row r="2996" spans="1:15" x14ac:dyDescent="0.25">
      <c r="A2996" s="13"/>
      <c r="B2996" s="12">
        <f>MONTH(Movimientos_2026[[#This Row],[Fecha]])</f>
        <v>1</v>
      </c>
      <c r="C2996" s="12" t="str">
        <f>VLOOKUP((WEEKDAY(Movimientos_2026[[#This Row],[Fecha]],2)),'5. Setup'!$D$6:$E$12,2,FALSE)</f>
        <v>Sab</v>
      </c>
      <c r="E2996" t="str">
        <f>IFERROR(+VLOOKUP(Movimientos_2026[[#This Row],[Codigo]],Plan_cuentas[],2,FALSE)," ")</f>
        <v xml:space="preserve"> </v>
      </c>
      <c r="F2996" t="str">
        <f>IFERROR(+VLOOKUP(Movimientos_2026[[#This Row],[Codigo]],Plan_cuentas[],3,FALSE)," ")</f>
        <v xml:space="preserve"> </v>
      </c>
      <c r="G2996" t="str">
        <f>IFERROR(+VLOOKUP(Movimientos_2026[[#This Row],[Codigo]],Plan_cuentas[],4,FALSE)," ")</f>
        <v xml:space="preserve"> </v>
      </c>
      <c r="H2996" t="str">
        <f>IFERROR(+VLOOKUP(Movimientos_2026[[#This Row],[Codigo]],Plan_cuentas[],5,FALSE)," ")</f>
        <v xml:space="preserve"> </v>
      </c>
      <c r="I2996" s="43"/>
      <c r="K2996" t="str">
        <f>IFERROR(+VLOOKUP(Movimientos_2026[[#This Row],[Codigo]],Plan_cuentas[],6,FALSE)," ")</f>
        <v xml:space="preserve"> </v>
      </c>
      <c r="L2996" s="50"/>
      <c r="M2996" s="50"/>
      <c r="N2996" s="20">
        <f>+Movimientos_2026[[#This Row],[Ingresos]]-Movimientos_2026[[#This Row],[Egresos]]</f>
        <v>0</v>
      </c>
      <c r="O2996" s="20">
        <f>+O2995+Movimientos_2026[[#This Row],[Neto]]</f>
        <v>4581558617.7962294</v>
      </c>
    </row>
    <row r="2997" spans="1:15" x14ac:dyDescent="0.25">
      <c r="A2997" s="13"/>
      <c r="B2997" s="12">
        <f>MONTH(Movimientos_2026[[#This Row],[Fecha]])</f>
        <v>1</v>
      </c>
      <c r="C2997" s="12" t="str">
        <f>VLOOKUP((WEEKDAY(Movimientos_2026[[#This Row],[Fecha]],2)),'5. Setup'!$D$6:$E$12,2,FALSE)</f>
        <v>Sab</v>
      </c>
      <c r="E2997" t="str">
        <f>IFERROR(+VLOOKUP(Movimientos_2026[[#This Row],[Codigo]],Plan_cuentas[],2,FALSE)," ")</f>
        <v xml:space="preserve"> </v>
      </c>
      <c r="F2997" t="str">
        <f>IFERROR(+VLOOKUP(Movimientos_2026[[#This Row],[Codigo]],Plan_cuentas[],3,FALSE)," ")</f>
        <v xml:space="preserve"> </v>
      </c>
      <c r="G2997" t="str">
        <f>IFERROR(+VLOOKUP(Movimientos_2026[[#This Row],[Codigo]],Plan_cuentas[],4,FALSE)," ")</f>
        <v xml:space="preserve"> </v>
      </c>
      <c r="H2997" t="str">
        <f>IFERROR(+VLOOKUP(Movimientos_2026[[#This Row],[Codigo]],Plan_cuentas[],5,FALSE)," ")</f>
        <v xml:space="preserve"> </v>
      </c>
      <c r="I2997" s="43"/>
      <c r="K2997" t="str">
        <f>IFERROR(+VLOOKUP(Movimientos_2026[[#This Row],[Codigo]],Plan_cuentas[],6,FALSE)," ")</f>
        <v xml:space="preserve"> </v>
      </c>
      <c r="L2997" s="50"/>
      <c r="M2997" s="50"/>
      <c r="N2997" s="20">
        <f>+Movimientos_2026[[#This Row],[Ingresos]]-Movimientos_2026[[#This Row],[Egresos]]</f>
        <v>0</v>
      </c>
      <c r="O2997" s="20">
        <f>+O2996+Movimientos_2026[[#This Row],[Neto]]</f>
        <v>4581558617.7962294</v>
      </c>
    </row>
    <row r="2998" spans="1:15" x14ac:dyDescent="0.25">
      <c r="A2998" s="13"/>
      <c r="B2998" s="12">
        <f>MONTH(Movimientos_2026[[#This Row],[Fecha]])</f>
        <v>1</v>
      </c>
      <c r="C2998" s="12" t="str">
        <f>VLOOKUP((WEEKDAY(Movimientos_2026[[#This Row],[Fecha]],2)),'5. Setup'!$D$6:$E$12,2,FALSE)</f>
        <v>Sab</v>
      </c>
      <c r="E2998" t="str">
        <f>IFERROR(+VLOOKUP(Movimientos_2026[[#This Row],[Codigo]],Plan_cuentas[],2,FALSE)," ")</f>
        <v xml:space="preserve"> </v>
      </c>
      <c r="F2998" t="str">
        <f>IFERROR(+VLOOKUP(Movimientos_2026[[#This Row],[Codigo]],Plan_cuentas[],3,FALSE)," ")</f>
        <v xml:space="preserve"> </v>
      </c>
      <c r="G2998" t="str">
        <f>IFERROR(+VLOOKUP(Movimientos_2026[[#This Row],[Codigo]],Plan_cuentas[],4,FALSE)," ")</f>
        <v xml:space="preserve"> </v>
      </c>
      <c r="H2998" t="str">
        <f>IFERROR(+VLOOKUP(Movimientos_2026[[#This Row],[Codigo]],Plan_cuentas[],5,FALSE)," ")</f>
        <v xml:space="preserve"> </v>
      </c>
      <c r="I2998" s="43"/>
      <c r="K2998" t="str">
        <f>IFERROR(+VLOOKUP(Movimientos_2026[[#This Row],[Codigo]],Plan_cuentas[],6,FALSE)," ")</f>
        <v xml:space="preserve"> </v>
      </c>
      <c r="L2998" s="50"/>
      <c r="M2998" s="50"/>
      <c r="N2998" s="20">
        <f>+Movimientos_2026[[#This Row],[Ingresos]]-Movimientos_2026[[#This Row],[Egresos]]</f>
        <v>0</v>
      </c>
      <c r="O2998" s="20">
        <f>+O2997+Movimientos_2026[[#This Row],[Neto]]</f>
        <v>4581558617.7962294</v>
      </c>
    </row>
    <row r="2999" spans="1:15" x14ac:dyDescent="0.25">
      <c r="A2999" s="13"/>
      <c r="B2999" s="12">
        <f>MONTH(Movimientos_2026[[#This Row],[Fecha]])</f>
        <v>1</v>
      </c>
      <c r="C2999" s="12" t="str">
        <f>VLOOKUP((WEEKDAY(Movimientos_2026[[#This Row],[Fecha]],2)),'5. Setup'!$D$6:$E$12,2,FALSE)</f>
        <v>Sab</v>
      </c>
      <c r="E2999" t="str">
        <f>IFERROR(+VLOOKUP(Movimientos_2026[[#This Row],[Codigo]],Plan_cuentas[],2,FALSE)," ")</f>
        <v xml:space="preserve"> </v>
      </c>
      <c r="F2999" t="str">
        <f>IFERROR(+VLOOKUP(Movimientos_2026[[#This Row],[Codigo]],Plan_cuentas[],3,FALSE)," ")</f>
        <v xml:space="preserve"> </v>
      </c>
      <c r="G2999" t="str">
        <f>IFERROR(+VLOOKUP(Movimientos_2026[[#This Row],[Codigo]],Plan_cuentas[],4,FALSE)," ")</f>
        <v xml:space="preserve"> </v>
      </c>
      <c r="H2999" t="str">
        <f>IFERROR(+VLOOKUP(Movimientos_2026[[#This Row],[Codigo]],Plan_cuentas[],5,FALSE)," ")</f>
        <v xml:space="preserve"> </v>
      </c>
      <c r="I2999" s="43"/>
      <c r="K2999" t="str">
        <f>IFERROR(+VLOOKUP(Movimientos_2026[[#This Row],[Codigo]],Plan_cuentas[],6,FALSE)," ")</f>
        <v xml:space="preserve"> </v>
      </c>
      <c r="L2999" s="50"/>
      <c r="M2999" s="50"/>
      <c r="N2999" s="20">
        <f>+Movimientos_2026[[#This Row],[Ingresos]]-Movimientos_2026[[#This Row],[Egresos]]</f>
        <v>0</v>
      </c>
      <c r="O2999" s="20">
        <f>+O2998+Movimientos_2026[[#This Row],[Neto]]</f>
        <v>4581558617.7962294</v>
      </c>
    </row>
    <row r="3000" spans="1:15" x14ac:dyDescent="0.25">
      <c r="A3000" s="13"/>
      <c r="B3000" s="12">
        <f>MONTH(Movimientos_2026[[#This Row],[Fecha]])</f>
        <v>1</v>
      </c>
      <c r="C3000" s="12" t="str">
        <f>VLOOKUP((WEEKDAY(Movimientos_2026[[#This Row],[Fecha]],2)),'5. Setup'!$D$6:$E$12,2,FALSE)</f>
        <v>Sab</v>
      </c>
      <c r="E3000" t="str">
        <f>IFERROR(+VLOOKUP(Movimientos_2026[[#This Row],[Codigo]],Plan_cuentas[],2,FALSE)," ")</f>
        <v xml:space="preserve"> </v>
      </c>
      <c r="F3000" t="str">
        <f>IFERROR(+VLOOKUP(Movimientos_2026[[#This Row],[Codigo]],Plan_cuentas[],3,FALSE)," ")</f>
        <v xml:space="preserve"> </v>
      </c>
      <c r="G3000" t="str">
        <f>IFERROR(+VLOOKUP(Movimientos_2026[[#This Row],[Codigo]],Plan_cuentas[],4,FALSE)," ")</f>
        <v xml:space="preserve"> </v>
      </c>
      <c r="H3000" t="str">
        <f>IFERROR(+VLOOKUP(Movimientos_2026[[#This Row],[Codigo]],Plan_cuentas[],5,FALSE)," ")</f>
        <v xml:space="preserve"> </v>
      </c>
      <c r="I3000" s="43"/>
      <c r="K3000" t="str">
        <f>IFERROR(+VLOOKUP(Movimientos_2026[[#This Row],[Codigo]],Plan_cuentas[],6,FALSE)," ")</f>
        <v xml:space="preserve"> </v>
      </c>
      <c r="L3000" s="50"/>
      <c r="M3000" s="50"/>
      <c r="N3000" s="20">
        <f>+Movimientos_2026[[#This Row],[Ingresos]]-Movimientos_2026[[#This Row],[Egresos]]</f>
        <v>0</v>
      </c>
      <c r="O3000" s="20">
        <f>+O2999+Movimientos_2026[[#This Row],[Neto]]</f>
        <v>4581558617.7962294</v>
      </c>
    </row>
    <row r="3001" spans="1:15" x14ac:dyDescent="0.25">
      <c r="A3001" s="13"/>
      <c r="B3001" s="12">
        <f>MONTH(Movimientos_2026[[#This Row],[Fecha]])</f>
        <v>1</v>
      </c>
      <c r="C3001" s="12" t="str">
        <f>VLOOKUP((WEEKDAY(Movimientos_2026[[#This Row],[Fecha]],2)),'5. Setup'!$D$6:$E$12,2,FALSE)</f>
        <v>Sab</v>
      </c>
      <c r="E3001" t="str">
        <f>IFERROR(+VLOOKUP(Movimientos_2026[[#This Row],[Codigo]],Plan_cuentas[],2,FALSE)," ")</f>
        <v xml:space="preserve"> </v>
      </c>
      <c r="F3001" t="str">
        <f>IFERROR(+VLOOKUP(Movimientos_2026[[#This Row],[Codigo]],Plan_cuentas[],3,FALSE)," ")</f>
        <v xml:space="preserve"> </v>
      </c>
      <c r="G3001" t="str">
        <f>IFERROR(+VLOOKUP(Movimientos_2026[[#This Row],[Codigo]],Plan_cuentas[],4,FALSE)," ")</f>
        <v xml:space="preserve"> </v>
      </c>
      <c r="H3001" t="str">
        <f>IFERROR(+VLOOKUP(Movimientos_2026[[#This Row],[Codigo]],Plan_cuentas[],5,FALSE)," ")</f>
        <v xml:space="preserve"> </v>
      </c>
      <c r="I3001" s="43"/>
      <c r="K3001" t="str">
        <f>IFERROR(+VLOOKUP(Movimientos_2026[[#This Row],[Codigo]],Plan_cuentas[],6,FALSE)," ")</f>
        <v xml:space="preserve"> </v>
      </c>
      <c r="L3001" s="50"/>
      <c r="M3001" s="50"/>
      <c r="N3001" s="20">
        <f>+Movimientos_2026[[#This Row],[Ingresos]]-Movimientos_2026[[#This Row],[Egresos]]</f>
        <v>0</v>
      </c>
      <c r="O3001" s="20">
        <f>+O3000+Movimientos_2026[[#This Row],[Neto]]</f>
        <v>4581558617.7962294</v>
      </c>
    </row>
    <row r="3002" spans="1:15" x14ac:dyDescent="0.25">
      <c r="A3002" s="13"/>
      <c r="B3002" s="12">
        <f>MONTH(Movimientos_2026[[#This Row],[Fecha]])</f>
        <v>1</v>
      </c>
      <c r="C3002" s="12" t="str">
        <f>VLOOKUP((WEEKDAY(Movimientos_2026[[#This Row],[Fecha]],2)),'5. Setup'!$D$6:$E$12,2,FALSE)</f>
        <v>Sab</v>
      </c>
      <c r="E3002" t="str">
        <f>IFERROR(+VLOOKUP(Movimientos_2026[[#This Row],[Codigo]],Plan_cuentas[],2,FALSE)," ")</f>
        <v xml:space="preserve"> </v>
      </c>
      <c r="F3002" t="str">
        <f>IFERROR(+VLOOKUP(Movimientos_2026[[#This Row],[Codigo]],Plan_cuentas[],3,FALSE)," ")</f>
        <v xml:space="preserve"> </v>
      </c>
      <c r="G3002" t="str">
        <f>IFERROR(+VLOOKUP(Movimientos_2026[[#This Row],[Codigo]],Plan_cuentas[],4,FALSE)," ")</f>
        <v xml:space="preserve"> </v>
      </c>
      <c r="H3002" t="str">
        <f>IFERROR(+VLOOKUP(Movimientos_2026[[#This Row],[Codigo]],Plan_cuentas[],5,FALSE)," ")</f>
        <v xml:space="preserve"> </v>
      </c>
      <c r="I3002" s="43"/>
      <c r="K3002" t="str">
        <f>IFERROR(+VLOOKUP(Movimientos_2026[[#This Row],[Codigo]],Plan_cuentas[],6,FALSE)," ")</f>
        <v xml:space="preserve"> </v>
      </c>
      <c r="L3002" s="50"/>
      <c r="M3002" s="50"/>
      <c r="N3002" s="20">
        <f>+Movimientos_2026[[#This Row],[Ingresos]]-Movimientos_2026[[#This Row],[Egresos]]</f>
        <v>0</v>
      </c>
      <c r="O3002" s="20">
        <f>+O3001+Movimientos_2026[[#This Row],[Neto]]</f>
        <v>4581558617.7962294</v>
      </c>
    </row>
    <row r="3003" spans="1:15" x14ac:dyDescent="0.25">
      <c r="A3003" s="13"/>
      <c r="B3003" s="12">
        <f>MONTH(Movimientos_2026[[#This Row],[Fecha]])</f>
        <v>1</v>
      </c>
      <c r="C3003" s="12" t="str">
        <f>VLOOKUP((WEEKDAY(Movimientos_2026[[#This Row],[Fecha]],2)),'5. Setup'!$D$6:$E$12,2,FALSE)</f>
        <v>Sab</v>
      </c>
      <c r="E3003" t="str">
        <f>IFERROR(+VLOOKUP(Movimientos_2026[[#This Row],[Codigo]],Plan_cuentas[],2,FALSE)," ")</f>
        <v xml:space="preserve"> </v>
      </c>
      <c r="F3003" t="str">
        <f>IFERROR(+VLOOKUP(Movimientos_2026[[#This Row],[Codigo]],Plan_cuentas[],3,FALSE)," ")</f>
        <v xml:space="preserve"> </v>
      </c>
      <c r="G3003" t="str">
        <f>IFERROR(+VLOOKUP(Movimientos_2026[[#This Row],[Codigo]],Plan_cuentas[],4,FALSE)," ")</f>
        <v xml:space="preserve"> </v>
      </c>
      <c r="H3003" t="str">
        <f>IFERROR(+VLOOKUP(Movimientos_2026[[#This Row],[Codigo]],Plan_cuentas[],5,FALSE)," ")</f>
        <v xml:space="preserve"> </v>
      </c>
      <c r="I3003" s="43"/>
      <c r="K3003" t="str">
        <f>IFERROR(+VLOOKUP(Movimientos_2026[[#This Row],[Codigo]],Plan_cuentas[],6,FALSE)," ")</f>
        <v xml:space="preserve"> </v>
      </c>
      <c r="L3003" s="50"/>
      <c r="M3003" s="50"/>
      <c r="N3003" s="20">
        <f>+Movimientos_2026[[#This Row],[Ingresos]]-Movimientos_2026[[#This Row],[Egresos]]</f>
        <v>0</v>
      </c>
      <c r="O3003" s="20">
        <f>+O3002+Movimientos_2026[[#This Row],[Neto]]</f>
        <v>4581558617.7962294</v>
      </c>
    </row>
    <row r="3004" spans="1:15" x14ac:dyDescent="0.25">
      <c r="A3004" s="13"/>
      <c r="B3004" s="12">
        <f>MONTH(Movimientos_2026[[#This Row],[Fecha]])</f>
        <v>1</v>
      </c>
      <c r="C3004" s="12" t="str">
        <f>VLOOKUP((WEEKDAY(Movimientos_2026[[#This Row],[Fecha]],2)),'5. Setup'!$D$6:$E$12,2,FALSE)</f>
        <v>Sab</v>
      </c>
      <c r="E3004" t="str">
        <f>IFERROR(+VLOOKUP(Movimientos_2026[[#This Row],[Codigo]],Plan_cuentas[],2,FALSE)," ")</f>
        <v xml:space="preserve"> </v>
      </c>
      <c r="F3004" t="str">
        <f>IFERROR(+VLOOKUP(Movimientos_2026[[#This Row],[Codigo]],Plan_cuentas[],3,FALSE)," ")</f>
        <v xml:space="preserve"> </v>
      </c>
      <c r="G3004" t="str">
        <f>IFERROR(+VLOOKUP(Movimientos_2026[[#This Row],[Codigo]],Plan_cuentas[],4,FALSE)," ")</f>
        <v xml:space="preserve"> </v>
      </c>
      <c r="H3004" t="str">
        <f>IFERROR(+VLOOKUP(Movimientos_2026[[#This Row],[Codigo]],Plan_cuentas[],5,FALSE)," ")</f>
        <v xml:space="preserve"> </v>
      </c>
      <c r="I3004" s="43"/>
      <c r="K3004" t="str">
        <f>IFERROR(+VLOOKUP(Movimientos_2026[[#This Row],[Codigo]],Plan_cuentas[],6,FALSE)," ")</f>
        <v xml:space="preserve"> </v>
      </c>
      <c r="L3004" s="50"/>
      <c r="M3004" s="50"/>
      <c r="N3004" s="20">
        <f>+Movimientos_2026[[#This Row],[Ingresos]]-Movimientos_2026[[#This Row],[Egresos]]</f>
        <v>0</v>
      </c>
      <c r="O3004" s="20">
        <f>+O3003+Movimientos_2026[[#This Row],[Neto]]</f>
        <v>4581558617.7962294</v>
      </c>
    </row>
    <row r="3005" spans="1:15" x14ac:dyDescent="0.25">
      <c r="A3005" s="13"/>
      <c r="B3005" s="12">
        <f>MONTH(Movimientos_2026[[#This Row],[Fecha]])</f>
        <v>1</v>
      </c>
      <c r="C3005" s="12" t="str">
        <f>VLOOKUP((WEEKDAY(Movimientos_2026[[#This Row],[Fecha]],2)),'5. Setup'!$D$6:$E$12,2,FALSE)</f>
        <v>Sab</v>
      </c>
      <c r="E3005" t="str">
        <f>IFERROR(+VLOOKUP(Movimientos_2026[[#This Row],[Codigo]],Plan_cuentas[],2,FALSE)," ")</f>
        <v xml:space="preserve"> </v>
      </c>
      <c r="F3005" t="str">
        <f>IFERROR(+VLOOKUP(Movimientos_2026[[#This Row],[Codigo]],Plan_cuentas[],3,FALSE)," ")</f>
        <v xml:space="preserve"> </v>
      </c>
      <c r="G3005" t="str">
        <f>IFERROR(+VLOOKUP(Movimientos_2026[[#This Row],[Codigo]],Plan_cuentas[],4,FALSE)," ")</f>
        <v xml:space="preserve"> </v>
      </c>
      <c r="H3005" t="str">
        <f>IFERROR(+VLOOKUP(Movimientos_2026[[#This Row],[Codigo]],Plan_cuentas[],5,FALSE)," ")</f>
        <v xml:space="preserve"> </v>
      </c>
      <c r="I3005" s="43"/>
      <c r="K3005" t="str">
        <f>IFERROR(+VLOOKUP(Movimientos_2026[[#This Row],[Codigo]],Plan_cuentas[],6,FALSE)," ")</f>
        <v xml:space="preserve"> </v>
      </c>
      <c r="L3005" s="50"/>
      <c r="M3005" s="50"/>
      <c r="N3005" s="20">
        <f>+Movimientos_2026[[#This Row],[Ingresos]]-Movimientos_2026[[#This Row],[Egresos]]</f>
        <v>0</v>
      </c>
      <c r="O3005" s="20">
        <f>+O3004+Movimientos_2026[[#This Row],[Neto]]</f>
        <v>4581558617.7962294</v>
      </c>
    </row>
    <row r="3006" spans="1:15" x14ac:dyDescent="0.25">
      <c r="A3006" s="13"/>
      <c r="B3006" s="12">
        <f>MONTH(Movimientos_2026[[#This Row],[Fecha]])</f>
        <v>1</v>
      </c>
      <c r="C3006" s="12" t="str">
        <f>VLOOKUP((WEEKDAY(Movimientos_2026[[#This Row],[Fecha]],2)),'5. Setup'!$D$6:$E$12,2,FALSE)</f>
        <v>Sab</v>
      </c>
      <c r="E3006" t="str">
        <f>IFERROR(+VLOOKUP(Movimientos_2026[[#This Row],[Codigo]],Plan_cuentas[],2,FALSE)," ")</f>
        <v xml:space="preserve"> </v>
      </c>
      <c r="F3006" t="str">
        <f>IFERROR(+VLOOKUP(Movimientos_2026[[#This Row],[Codigo]],Plan_cuentas[],3,FALSE)," ")</f>
        <v xml:space="preserve"> </v>
      </c>
      <c r="G3006" t="str">
        <f>IFERROR(+VLOOKUP(Movimientos_2026[[#This Row],[Codigo]],Plan_cuentas[],4,FALSE)," ")</f>
        <v xml:space="preserve"> </v>
      </c>
      <c r="H3006" t="str">
        <f>IFERROR(+VLOOKUP(Movimientos_2026[[#This Row],[Codigo]],Plan_cuentas[],5,FALSE)," ")</f>
        <v xml:space="preserve"> </v>
      </c>
      <c r="I3006" s="43"/>
      <c r="K3006" t="str">
        <f>IFERROR(+VLOOKUP(Movimientos_2026[[#This Row],[Codigo]],Plan_cuentas[],6,FALSE)," ")</f>
        <v xml:space="preserve"> </v>
      </c>
      <c r="L3006" s="50"/>
      <c r="M3006" s="50"/>
      <c r="N3006" s="20">
        <f>+Movimientos_2026[[#This Row],[Ingresos]]-Movimientos_2026[[#This Row],[Egresos]]</f>
        <v>0</v>
      </c>
      <c r="O3006" s="20">
        <f>+O3005+Movimientos_2026[[#This Row],[Neto]]</f>
        <v>4581558617.7962294</v>
      </c>
    </row>
    <row r="3007" spans="1:15" x14ac:dyDescent="0.25">
      <c r="A3007" s="13"/>
      <c r="B3007" s="12">
        <f>MONTH(Movimientos_2026[[#This Row],[Fecha]])</f>
        <v>1</v>
      </c>
      <c r="C3007" s="12" t="str">
        <f>VLOOKUP((WEEKDAY(Movimientos_2026[[#This Row],[Fecha]],2)),'5. Setup'!$D$6:$E$12,2,FALSE)</f>
        <v>Sab</v>
      </c>
      <c r="E3007" t="str">
        <f>IFERROR(+VLOOKUP(Movimientos_2026[[#This Row],[Codigo]],Plan_cuentas[],2,FALSE)," ")</f>
        <v xml:space="preserve"> </v>
      </c>
      <c r="F3007" t="str">
        <f>IFERROR(+VLOOKUP(Movimientos_2026[[#This Row],[Codigo]],Plan_cuentas[],3,FALSE)," ")</f>
        <v xml:space="preserve"> </v>
      </c>
      <c r="G3007" t="str">
        <f>IFERROR(+VLOOKUP(Movimientos_2026[[#This Row],[Codigo]],Plan_cuentas[],4,FALSE)," ")</f>
        <v xml:space="preserve"> </v>
      </c>
      <c r="H3007" t="str">
        <f>IFERROR(+VLOOKUP(Movimientos_2026[[#This Row],[Codigo]],Plan_cuentas[],5,FALSE)," ")</f>
        <v xml:space="preserve"> </v>
      </c>
      <c r="I3007" s="43"/>
      <c r="K3007" t="str">
        <f>IFERROR(+VLOOKUP(Movimientos_2026[[#This Row],[Codigo]],Plan_cuentas[],6,FALSE)," ")</f>
        <v xml:space="preserve"> </v>
      </c>
      <c r="L3007" s="50"/>
      <c r="M3007" s="50"/>
      <c r="N3007" s="20">
        <f>+Movimientos_2026[[#This Row],[Ingresos]]-Movimientos_2026[[#This Row],[Egresos]]</f>
        <v>0</v>
      </c>
      <c r="O3007" s="20">
        <f>+O3006+Movimientos_2026[[#This Row],[Neto]]</f>
        <v>4581558617.7962294</v>
      </c>
    </row>
    <row r="3008" spans="1:15" x14ac:dyDescent="0.25">
      <c r="A3008" s="13"/>
      <c r="B3008" s="12">
        <f>MONTH(Movimientos_2026[[#This Row],[Fecha]])</f>
        <v>1</v>
      </c>
      <c r="C3008" s="12" t="str">
        <f>VLOOKUP((WEEKDAY(Movimientos_2026[[#This Row],[Fecha]],2)),'5. Setup'!$D$6:$E$12,2,FALSE)</f>
        <v>Sab</v>
      </c>
      <c r="E3008" t="str">
        <f>IFERROR(+VLOOKUP(Movimientos_2026[[#This Row],[Codigo]],Plan_cuentas[],2,FALSE)," ")</f>
        <v xml:space="preserve"> </v>
      </c>
      <c r="F3008" t="str">
        <f>IFERROR(+VLOOKUP(Movimientos_2026[[#This Row],[Codigo]],Plan_cuentas[],3,FALSE)," ")</f>
        <v xml:space="preserve"> </v>
      </c>
      <c r="G3008" t="str">
        <f>IFERROR(+VLOOKUP(Movimientos_2026[[#This Row],[Codigo]],Plan_cuentas[],4,FALSE)," ")</f>
        <v xml:space="preserve"> </v>
      </c>
      <c r="H3008" t="str">
        <f>IFERROR(+VLOOKUP(Movimientos_2026[[#This Row],[Codigo]],Plan_cuentas[],5,FALSE)," ")</f>
        <v xml:space="preserve"> </v>
      </c>
      <c r="I3008" s="43"/>
      <c r="K3008" t="str">
        <f>IFERROR(+VLOOKUP(Movimientos_2026[[#This Row],[Codigo]],Plan_cuentas[],6,FALSE)," ")</f>
        <v xml:space="preserve"> </v>
      </c>
      <c r="L3008" s="50"/>
      <c r="M3008" s="50"/>
      <c r="N3008" s="20">
        <f>+Movimientos_2026[[#This Row],[Ingresos]]-Movimientos_2026[[#This Row],[Egresos]]</f>
        <v>0</v>
      </c>
      <c r="O3008" s="20">
        <f>+O3007+Movimientos_2026[[#This Row],[Neto]]</f>
        <v>4581558617.7962294</v>
      </c>
    </row>
    <row r="3009" spans="1:15" x14ac:dyDescent="0.25">
      <c r="A3009" s="13"/>
      <c r="B3009" s="12">
        <f>MONTH(Movimientos_2026[[#This Row],[Fecha]])</f>
        <v>1</v>
      </c>
      <c r="C3009" s="12" t="str">
        <f>VLOOKUP((WEEKDAY(Movimientos_2026[[#This Row],[Fecha]],2)),'5. Setup'!$D$6:$E$12,2,FALSE)</f>
        <v>Sab</v>
      </c>
      <c r="E3009" t="str">
        <f>IFERROR(+VLOOKUP(Movimientos_2026[[#This Row],[Codigo]],Plan_cuentas[],2,FALSE)," ")</f>
        <v xml:space="preserve"> </v>
      </c>
      <c r="F3009" t="str">
        <f>IFERROR(+VLOOKUP(Movimientos_2026[[#This Row],[Codigo]],Plan_cuentas[],3,FALSE)," ")</f>
        <v xml:space="preserve"> </v>
      </c>
      <c r="G3009" t="str">
        <f>IFERROR(+VLOOKUP(Movimientos_2026[[#This Row],[Codigo]],Plan_cuentas[],4,FALSE)," ")</f>
        <v xml:space="preserve"> </v>
      </c>
      <c r="H3009" t="str">
        <f>IFERROR(+VLOOKUP(Movimientos_2026[[#This Row],[Codigo]],Plan_cuentas[],5,FALSE)," ")</f>
        <v xml:space="preserve"> </v>
      </c>
      <c r="I3009" s="43"/>
      <c r="K3009" t="str">
        <f>IFERROR(+VLOOKUP(Movimientos_2026[[#This Row],[Codigo]],Plan_cuentas[],6,FALSE)," ")</f>
        <v xml:space="preserve"> </v>
      </c>
      <c r="L3009" s="50"/>
      <c r="M3009" s="50"/>
      <c r="N3009" s="20">
        <f>+Movimientos_2026[[#This Row],[Ingresos]]-Movimientos_2026[[#This Row],[Egresos]]</f>
        <v>0</v>
      </c>
      <c r="O3009" s="20">
        <f>+O3008+Movimientos_2026[[#This Row],[Neto]]</f>
        <v>4581558617.7962294</v>
      </c>
    </row>
    <row r="3010" spans="1:15" x14ac:dyDescent="0.25">
      <c r="A3010" s="13"/>
      <c r="B3010" s="12">
        <f>MONTH(Movimientos_2026[[#This Row],[Fecha]])</f>
        <v>1</v>
      </c>
      <c r="C3010" s="12" t="str">
        <f>VLOOKUP((WEEKDAY(Movimientos_2026[[#This Row],[Fecha]],2)),'5. Setup'!$D$6:$E$12,2,FALSE)</f>
        <v>Sab</v>
      </c>
      <c r="E3010" t="str">
        <f>IFERROR(+VLOOKUP(Movimientos_2026[[#This Row],[Codigo]],Plan_cuentas[],2,FALSE)," ")</f>
        <v xml:space="preserve"> </v>
      </c>
      <c r="F3010" t="str">
        <f>IFERROR(+VLOOKUP(Movimientos_2026[[#This Row],[Codigo]],Plan_cuentas[],3,FALSE)," ")</f>
        <v xml:space="preserve"> </v>
      </c>
      <c r="G3010" t="str">
        <f>IFERROR(+VLOOKUP(Movimientos_2026[[#This Row],[Codigo]],Plan_cuentas[],4,FALSE)," ")</f>
        <v xml:space="preserve"> </v>
      </c>
      <c r="H3010" t="str">
        <f>IFERROR(+VLOOKUP(Movimientos_2026[[#This Row],[Codigo]],Plan_cuentas[],5,FALSE)," ")</f>
        <v xml:space="preserve"> </v>
      </c>
      <c r="I3010" s="43"/>
      <c r="K3010" t="str">
        <f>IFERROR(+VLOOKUP(Movimientos_2026[[#This Row],[Codigo]],Plan_cuentas[],6,FALSE)," ")</f>
        <v xml:space="preserve"> </v>
      </c>
      <c r="L3010" s="50"/>
      <c r="M3010" s="50"/>
      <c r="N3010" s="20">
        <f>+Movimientos_2026[[#This Row],[Ingresos]]-Movimientos_2026[[#This Row],[Egresos]]</f>
        <v>0</v>
      </c>
      <c r="O3010" s="20">
        <f>+O3009+Movimientos_2026[[#This Row],[Neto]]</f>
        <v>4581558617.7962294</v>
      </c>
    </row>
    <row r="3011" spans="1:15" x14ac:dyDescent="0.25">
      <c r="A3011" s="13"/>
      <c r="B3011" s="12">
        <f>MONTH(Movimientos_2026[[#This Row],[Fecha]])</f>
        <v>1</v>
      </c>
      <c r="C3011" s="12" t="str">
        <f>VLOOKUP((WEEKDAY(Movimientos_2026[[#This Row],[Fecha]],2)),'5. Setup'!$D$6:$E$12,2,FALSE)</f>
        <v>Sab</v>
      </c>
      <c r="E3011" t="str">
        <f>IFERROR(+VLOOKUP(Movimientos_2026[[#This Row],[Codigo]],Plan_cuentas[],2,FALSE)," ")</f>
        <v xml:space="preserve"> </v>
      </c>
      <c r="F3011" t="str">
        <f>IFERROR(+VLOOKUP(Movimientos_2026[[#This Row],[Codigo]],Plan_cuentas[],3,FALSE)," ")</f>
        <v xml:space="preserve"> </v>
      </c>
      <c r="G3011" t="str">
        <f>IFERROR(+VLOOKUP(Movimientos_2026[[#This Row],[Codigo]],Plan_cuentas[],4,FALSE)," ")</f>
        <v xml:space="preserve"> </v>
      </c>
      <c r="H3011" t="str">
        <f>IFERROR(+VLOOKUP(Movimientos_2026[[#This Row],[Codigo]],Plan_cuentas[],5,FALSE)," ")</f>
        <v xml:space="preserve"> </v>
      </c>
      <c r="I3011" s="43"/>
      <c r="K3011" t="str">
        <f>IFERROR(+VLOOKUP(Movimientos_2026[[#This Row],[Codigo]],Plan_cuentas[],6,FALSE)," ")</f>
        <v xml:space="preserve"> </v>
      </c>
      <c r="L3011" s="50"/>
      <c r="M3011" s="50"/>
      <c r="N3011" s="20">
        <f>+Movimientos_2026[[#This Row],[Ingresos]]-Movimientos_2026[[#This Row],[Egresos]]</f>
        <v>0</v>
      </c>
      <c r="O3011" s="20">
        <f>+O3010+Movimientos_2026[[#This Row],[Neto]]</f>
        <v>4581558617.7962294</v>
      </c>
    </row>
    <row r="3012" spans="1:15" x14ac:dyDescent="0.25">
      <c r="A3012" s="13"/>
      <c r="B3012" s="12">
        <f>MONTH(Movimientos_2026[[#This Row],[Fecha]])</f>
        <v>1</v>
      </c>
      <c r="C3012" s="12" t="str">
        <f>VLOOKUP((WEEKDAY(Movimientos_2026[[#This Row],[Fecha]],2)),'5. Setup'!$D$6:$E$12,2,FALSE)</f>
        <v>Sab</v>
      </c>
      <c r="E3012" t="str">
        <f>IFERROR(+VLOOKUP(Movimientos_2026[[#This Row],[Codigo]],Plan_cuentas[],2,FALSE)," ")</f>
        <v xml:space="preserve"> </v>
      </c>
      <c r="F3012" t="str">
        <f>IFERROR(+VLOOKUP(Movimientos_2026[[#This Row],[Codigo]],Plan_cuentas[],3,FALSE)," ")</f>
        <v xml:space="preserve"> </v>
      </c>
      <c r="G3012" t="str">
        <f>IFERROR(+VLOOKUP(Movimientos_2026[[#This Row],[Codigo]],Plan_cuentas[],4,FALSE)," ")</f>
        <v xml:space="preserve"> </v>
      </c>
      <c r="H3012" t="str">
        <f>IFERROR(+VLOOKUP(Movimientos_2026[[#This Row],[Codigo]],Plan_cuentas[],5,FALSE)," ")</f>
        <v xml:space="preserve"> </v>
      </c>
      <c r="I3012" s="43"/>
      <c r="K3012" t="str">
        <f>IFERROR(+VLOOKUP(Movimientos_2026[[#This Row],[Codigo]],Plan_cuentas[],6,FALSE)," ")</f>
        <v xml:space="preserve"> </v>
      </c>
      <c r="L3012" s="50"/>
      <c r="M3012" s="50"/>
      <c r="N3012" s="20">
        <f>+Movimientos_2026[[#This Row],[Ingresos]]-Movimientos_2026[[#This Row],[Egresos]]</f>
        <v>0</v>
      </c>
      <c r="O3012" s="20">
        <f>+O3011+Movimientos_2026[[#This Row],[Neto]]</f>
        <v>4581558617.7962294</v>
      </c>
    </row>
    <row r="3013" spans="1:15" x14ac:dyDescent="0.25">
      <c r="A3013" s="13"/>
      <c r="B3013" s="12">
        <f>MONTH(Movimientos_2026[[#This Row],[Fecha]])</f>
        <v>1</v>
      </c>
      <c r="C3013" s="12" t="str">
        <f>VLOOKUP((WEEKDAY(Movimientos_2026[[#This Row],[Fecha]],2)),'5. Setup'!$D$6:$E$12,2,FALSE)</f>
        <v>Sab</v>
      </c>
      <c r="E3013" t="str">
        <f>IFERROR(+VLOOKUP(Movimientos_2026[[#This Row],[Codigo]],Plan_cuentas[],2,FALSE)," ")</f>
        <v xml:space="preserve"> </v>
      </c>
      <c r="F3013" t="str">
        <f>IFERROR(+VLOOKUP(Movimientos_2026[[#This Row],[Codigo]],Plan_cuentas[],3,FALSE)," ")</f>
        <v xml:space="preserve"> </v>
      </c>
      <c r="G3013" t="str">
        <f>IFERROR(+VLOOKUP(Movimientos_2026[[#This Row],[Codigo]],Plan_cuentas[],4,FALSE)," ")</f>
        <v xml:space="preserve"> </v>
      </c>
      <c r="H3013" t="str">
        <f>IFERROR(+VLOOKUP(Movimientos_2026[[#This Row],[Codigo]],Plan_cuentas[],5,FALSE)," ")</f>
        <v xml:space="preserve"> </v>
      </c>
      <c r="I3013" s="43"/>
      <c r="K3013" t="str">
        <f>IFERROR(+VLOOKUP(Movimientos_2026[[#This Row],[Codigo]],Plan_cuentas[],6,FALSE)," ")</f>
        <v xml:space="preserve"> </v>
      </c>
      <c r="L3013" s="50"/>
      <c r="M3013" s="50"/>
      <c r="N3013" s="20">
        <f>+Movimientos_2026[[#This Row],[Ingresos]]-Movimientos_2026[[#This Row],[Egresos]]</f>
        <v>0</v>
      </c>
      <c r="O3013" s="20">
        <f>+O3012+Movimientos_2026[[#This Row],[Neto]]</f>
        <v>4581558617.7962294</v>
      </c>
    </row>
    <row r="3014" spans="1:15" x14ac:dyDescent="0.25">
      <c r="A3014" s="13"/>
      <c r="B3014" s="12">
        <f>MONTH(Movimientos_2026[[#This Row],[Fecha]])</f>
        <v>1</v>
      </c>
      <c r="C3014" s="12" t="str">
        <f>VLOOKUP((WEEKDAY(Movimientos_2026[[#This Row],[Fecha]],2)),'5. Setup'!$D$6:$E$12,2,FALSE)</f>
        <v>Sab</v>
      </c>
      <c r="E3014" t="str">
        <f>IFERROR(+VLOOKUP(Movimientos_2026[[#This Row],[Codigo]],Plan_cuentas[],2,FALSE)," ")</f>
        <v xml:space="preserve"> </v>
      </c>
      <c r="F3014" t="str">
        <f>IFERROR(+VLOOKUP(Movimientos_2026[[#This Row],[Codigo]],Plan_cuentas[],3,FALSE)," ")</f>
        <v xml:space="preserve"> </v>
      </c>
      <c r="G3014" t="str">
        <f>IFERROR(+VLOOKUP(Movimientos_2026[[#This Row],[Codigo]],Plan_cuentas[],4,FALSE)," ")</f>
        <v xml:space="preserve"> </v>
      </c>
      <c r="H3014" t="str">
        <f>IFERROR(+VLOOKUP(Movimientos_2026[[#This Row],[Codigo]],Plan_cuentas[],5,FALSE)," ")</f>
        <v xml:space="preserve"> </v>
      </c>
      <c r="I3014" s="43"/>
      <c r="K3014" t="str">
        <f>IFERROR(+VLOOKUP(Movimientos_2026[[#This Row],[Codigo]],Plan_cuentas[],6,FALSE)," ")</f>
        <v xml:space="preserve"> </v>
      </c>
      <c r="L3014" s="50"/>
      <c r="M3014" s="50"/>
      <c r="N3014" s="20">
        <f>+Movimientos_2026[[#This Row],[Ingresos]]-Movimientos_2026[[#This Row],[Egresos]]</f>
        <v>0</v>
      </c>
      <c r="O3014" s="20">
        <f>+O3013+Movimientos_2026[[#This Row],[Neto]]</f>
        <v>4581558617.7962294</v>
      </c>
    </row>
    <row r="3015" spans="1:15" x14ac:dyDescent="0.25">
      <c r="A3015" s="13"/>
      <c r="B3015" s="12">
        <f>MONTH(Movimientos_2026[[#This Row],[Fecha]])</f>
        <v>1</v>
      </c>
      <c r="C3015" s="12" t="str">
        <f>VLOOKUP((WEEKDAY(Movimientos_2026[[#This Row],[Fecha]],2)),'5. Setup'!$D$6:$E$12,2,FALSE)</f>
        <v>Sab</v>
      </c>
      <c r="E3015" t="str">
        <f>IFERROR(+VLOOKUP(Movimientos_2026[[#This Row],[Codigo]],Plan_cuentas[],2,FALSE)," ")</f>
        <v xml:space="preserve"> </v>
      </c>
      <c r="F3015" t="str">
        <f>IFERROR(+VLOOKUP(Movimientos_2026[[#This Row],[Codigo]],Plan_cuentas[],3,FALSE)," ")</f>
        <v xml:space="preserve"> </v>
      </c>
      <c r="G3015" t="str">
        <f>IFERROR(+VLOOKUP(Movimientos_2026[[#This Row],[Codigo]],Plan_cuentas[],4,FALSE)," ")</f>
        <v xml:space="preserve"> </v>
      </c>
      <c r="H3015" t="str">
        <f>IFERROR(+VLOOKUP(Movimientos_2026[[#This Row],[Codigo]],Plan_cuentas[],5,FALSE)," ")</f>
        <v xml:space="preserve"> </v>
      </c>
      <c r="I3015" s="43"/>
      <c r="K3015" t="str">
        <f>IFERROR(+VLOOKUP(Movimientos_2026[[#This Row],[Codigo]],Plan_cuentas[],6,FALSE)," ")</f>
        <v xml:space="preserve"> </v>
      </c>
      <c r="L3015" s="50"/>
      <c r="M3015" s="50"/>
      <c r="N3015" s="20">
        <f>+Movimientos_2026[[#This Row],[Ingresos]]-Movimientos_2026[[#This Row],[Egresos]]</f>
        <v>0</v>
      </c>
      <c r="O3015" s="20">
        <f>+O3014+Movimientos_2026[[#This Row],[Neto]]</f>
        <v>4581558617.7962294</v>
      </c>
    </row>
    <row r="3016" spans="1:15" x14ac:dyDescent="0.25">
      <c r="A3016" s="13"/>
      <c r="B3016" s="12">
        <f>MONTH(Movimientos_2026[[#This Row],[Fecha]])</f>
        <v>1</v>
      </c>
      <c r="C3016" s="12" t="str">
        <f>VLOOKUP((WEEKDAY(Movimientos_2026[[#This Row],[Fecha]],2)),'5. Setup'!$D$6:$E$12,2,FALSE)</f>
        <v>Sab</v>
      </c>
      <c r="E3016" t="str">
        <f>IFERROR(+VLOOKUP(Movimientos_2026[[#This Row],[Codigo]],Plan_cuentas[],2,FALSE)," ")</f>
        <v xml:space="preserve"> </v>
      </c>
      <c r="F3016" t="str">
        <f>IFERROR(+VLOOKUP(Movimientos_2026[[#This Row],[Codigo]],Plan_cuentas[],3,FALSE)," ")</f>
        <v xml:space="preserve"> </v>
      </c>
      <c r="G3016" t="str">
        <f>IFERROR(+VLOOKUP(Movimientos_2026[[#This Row],[Codigo]],Plan_cuentas[],4,FALSE)," ")</f>
        <v xml:space="preserve"> </v>
      </c>
      <c r="H3016" t="str">
        <f>IFERROR(+VLOOKUP(Movimientos_2026[[#This Row],[Codigo]],Plan_cuentas[],5,FALSE)," ")</f>
        <v xml:space="preserve"> </v>
      </c>
      <c r="I3016" s="43"/>
      <c r="K3016" t="str">
        <f>IFERROR(+VLOOKUP(Movimientos_2026[[#This Row],[Codigo]],Plan_cuentas[],6,FALSE)," ")</f>
        <v xml:space="preserve"> </v>
      </c>
      <c r="L3016" s="50"/>
      <c r="M3016" s="50"/>
      <c r="N3016" s="20">
        <f>+Movimientos_2026[[#This Row],[Ingresos]]-Movimientos_2026[[#This Row],[Egresos]]</f>
        <v>0</v>
      </c>
      <c r="O3016" s="20">
        <f>+O3015+Movimientos_2026[[#This Row],[Neto]]</f>
        <v>4581558617.7962294</v>
      </c>
    </row>
    <row r="3017" spans="1:15" x14ac:dyDescent="0.25">
      <c r="A3017" s="13"/>
      <c r="B3017" s="12">
        <f>MONTH(Movimientos_2026[[#This Row],[Fecha]])</f>
        <v>1</v>
      </c>
      <c r="C3017" s="12" t="str">
        <f>VLOOKUP((WEEKDAY(Movimientos_2026[[#This Row],[Fecha]],2)),'5. Setup'!$D$6:$E$12,2,FALSE)</f>
        <v>Sab</v>
      </c>
      <c r="E3017" t="str">
        <f>IFERROR(+VLOOKUP(Movimientos_2026[[#This Row],[Codigo]],Plan_cuentas[],2,FALSE)," ")</f>
        <v xml:space="preserve"> </v>
      </c>
      <c r="F3017" t="str">
        <f>IFERROR(+VLOOKUP(Movimientos_2026[[#This Row],[Codigo]],Plan_cuentas[],3,FALSE)," ")</f>
        <v xml:space="preserve"> </v>
      </c>
      <c r="G3017" t="str">
        <f>IFERROR(+VLOOKUP(Movimientos_2026[[#This Row],[Codigo]],Plan_cuentas[],4,FALSE)," ")</f>
        <v xml:space="preserve"> </v>
      </c>
      <c r="H3017" t="str">
        <f>IFERROR(+VLOOKUP(Movimientos_2026[[#This Row],[Codigo]],Plan_cuentas[],5,FALSE)," ")</f>
        <v xml:space="preserve"> </v>
      </c>
      <c r="I3017" s="43"/>
      <c r="K3017" t="str">
        <f>IFERROR(+VLOOKUP(Movimientos_2026[[#This Row],[Codigo]],Plan_cuentas[],6,FALSE)," ")</f>
        <v xml:space="preserve"> </v>
      </c>
      <c r="L3017" s="50"/>
      <c r="M3017" s="50"/>
      <c r="N3017" s="20">
        <f>+Movimientos_2026[[#This Row],[Ingresos]]-Movimientos_2026[[#This Row],[Egresos]]</f>
        <v>0</v>
      </c>
      <c r="O3017" s="20">
        <f>+O3016+Movimientos_2026[[#This Row],[Neto]]</f>
        <v>4581558617.7962294</v>
      </c>
    </row>
    <row r="3018" spans="1:15" x14ac:dyDescent="0.25">
      <c r="A3018" s="13"/>
      <c r="B3018" s="12">
        <f>MONTH(Movimientos_2026[[#This Row],[Fecha]])</f>
        <v>1</v>
      </c>
      <c r="C3018" s="12" t="str">
        <f>VLOOKUP((WEEKDAY(Movimientos_2026[[#This Row],[Fecha]],2)),'5. Setup'!$D$6:$E$12,2,FALSE)</f>
        <v>Sab</v>
      </c>
      <c r="E3018" t="str">
        <f>IFERROR(+VLOOKUP(Movimientos_2026[[#This Row],[Codigo]],Plan_cuentas[],2,FALSE)," ")</f>
        <v xml:space="preserve"> </v>
      </c>
      <c r="F3018" t="str">
        <f>IFERROR(+VLOOKUP(Movimientos_2026[[#This Row],[Codigo]],Plan_cuentas[],3,FALSE)," ")</f>
        <v xml:space="preserve"> </v>
      </c>
      <c r="G3018" t="str">
        <f>IFERROR(+VLOOKUP(Movimientos_2026[[#This Row],[Codigo]],Plan_cuentas[],4,FALSE)," ")</f>
        <v xml:space="preserve"> </v>
      </c>
      <c r="H3018" t="str">
        <f>IFERROR(+VLOOKUP(Movimientos_2026[[#This Row],[Codigo]],Plan_cuentas[],5,FALSE)," ")</f>
        <v xml:space="preserve"> </v>
      </c>
      <c r="I3018" s="43"/>
      <c r="K3018" t="str">
        <f>IFERROR(+VLOOKUP(Movimientos_2026[[#This Row],[Codigo]],Plan_cuentas[],6,FALSE)," ")</f>
        <v xml:space="preserve"> </v>
      </c>
      <c r="L3018" s="50"/>
      <c r="M3018" s="50"/>
      <c r="N3018" s="20">
        <f>+Movimientos_2026[[#This Row],[Ingresos]]-Movimientos_2026[[#This Row],[Egresos]]</f>
        <v>0</v>
      </c>
      <c r="O3018" s="20">
        <f>+O3017+Movimientos_2026[[#This Row],[Neto]]</f>
        <v>4581558617.7962294</v>
      </c>
    </row>
    <row r="3019" spans="1:15" x14ac:dyDescent="0.25">
      <c r="A3019" s="13"/>
      <c r="B3019" s="12">
        <f>MONTH(Movimientos_2026[[#This Row],[Fecha]])</f>
        <v>1</v>
      </c>
      <c r="C3019" s="12" t="str">
        <f>VLOOKUP((WEEKDAY(Movimientos_2026[[#This Row],[Fecha]],2)),'5. Setup'!$D$6:$E$12,2,FALSE)</f>
        <v>Sab</v>
      </c>
      <c r="E3019" t="str">
        <f>IFERROR(+VLOOKUP(Movimientos_2026[[#This Row],[Codigo]],Plan_cuentas[],2,FALSE)," ")</f>
        <v xml:space="preserve"> </v>
      </c>
      <c r="F3019" t="str">
        <f>IFERROR(+VLOOKUP(Movimientos_2026[[#This Row],[Codigo]],Plan_cuentas[],3,FALSE)," ")</f>
        <v xml:space="preserve"> </v>
      </c>
      <c r="G3019" t="str">
        <f>IFERROR(+VLOOKUP(Movimientos_2026[[#This Row],[Codigo]],Plan_cuentas[],4,FALSE)," ")</f>
        <v xml:space="preserve"> </v>
      </c>
      <c r="H3019" t="str">
        <f>IFERROR(+VLOOKUP(Movimientos_2026[[#This Row],[Codigo]],Plan_cuentas[],5,FALSE)," ")</f>
        <v xml:space="preserve"> </v>
      </c>
      <c r="I3019" s="43"/>
      <c r="K3019" t="str">
        <f>IFERROR(+VLOOKUP(Movimientos_2026[[#This Row],[Codigo]],Plan_cuentas[],6,FALSE)," ")</f>
        <v xml:space="preserve"> </v>
      </c>
      <c r="L3019" s="50"/>
      <c r="M3019" s="50"/>
      <c r="N3019" s="20">
        <f>+Movimientos_2026[[#This Row],[Ingresos]]-Movimientos_2026[[#This Row],[Egresos]]</f>
        <v>0</v>
      </c>
      <c r="O3019" s="20">
        <f>+O3018+Movimientos_2026[[#This Row],[Neto]]</f>
        <v>4581558617.7962294</v>
      </c>
    </row>
    <row r="3020" spans="1:15" x14ac:dyDescent="0.25">
      <c r="A3020" s="13"/>
      <c r="B3020" s="12">
        <f>MONTH(Movimientos_2026[[#This Row],[Fecha]])</f>
        <v>1</v>
      </c>
      <c r="C3020" s="12" t="str">
        <f>VLOOKUP((WEEKDAY(Movimientos_2026[[#This Row],[Fecha]],2)),'5. Setup'!$D$6:$E$12,2,FALSE)</f>
        <v>Sab</v>
      </c>
      <c r="E3020" t="str">
        <f>IFERROR(+VLOOKUP(Movimientos_2026[[#This Row],[Codigo]],Plan_cuentas[],2,FALSE)," ")</f>
        <v xml:space="preserve"> </v>
      </c>
      <c r="F3020" t="str">
        <f>IFERROR(+VLOOKUP(Movimientos_2026[[#This Row],[Codigo]],Plan_cuentas[],3,FALSE)," ")</f>
        <v xml:space="preserve"> </v>
      </c>
      <c r="G3020" t="str">
        <f>IFERROR(+VLOOKUP(Movimientos_2026[[#This Row],[Codigo]],Plan_cuentas[],4,FALSE)," ")</f>
        <v xml:space="preserve"> </v>
      </c>
      <c r="H3020" t="str">
        <f>IFERROR(+VLOOKUP(Movimientos_2026[[#This Row],[Codigo]],Plan_cuentas[],5,FALSE)," ")</f>
        <v xml:space="preserve"> </v>
      </c>
      <c r="I3020" s="43"/>
      <c r="K3020" t="str">
        <f>IFERROR(+VLOOKUP(Movimientos_2026[[#This Row],[Codigo]],Plan_cuentas[],6,FALSE)," ")</f>
        <v xml:space="preserve"> </v>
      </c>
      <c r="L3020" s="50"/>
      <c r="M3020" s="50"/>
      <c r="N3020" s="20">
        <f>+Movimientos_2026[[#This Row],[Ingresos]]-Movimientos_2026[[#This Row],[Egresos]]</f>
        <v>0</v>
      </c>
      <c r="O3020" s="20">
        <f>+O3019+Movimientos_2026[[#This Row],[Neto]]</f>
        <v>4581558617.7962294</v>
      </c>
    </row>
    <row r="3021" spans="1:15" x14ac:dyDescent="0.25">
      <c r="A3021" s="13"/>
      <c r="B3021" s="12">
        <f>MONTH(Movimientos_2026[[#This Row],[Fecha]])</f>
        <v>1</v>
      </c>
      <c r="C3021" s="12" t="str">
        <f>VLOOKUP((WEEKDAY(Movimientos_2026[[#This Row],[Fecha]],2)),'5. Setup'!$D$6:$E$12,2,FALSE)</f>
        <v>Sab</v>
      </c>
      <c r="E3021" t="str">
        <f>IFERROR(+VLOOKUP(Movimientos_2026[[#This Row],[Codigo]],Plan_cuentas[],2,FALSE)," ")</f>
        <v xml:space="preserve"> </v>
      </c>
      <c r="F3021" t="str">
        <f>IFERROR(+VLOOKUP(Movimientos_2026[[#This Row],[Codigo]],Plan_cuentas[],3,FALSE)," ")</f>
        <v xml:space="preserve"> </v>
      </c>
      <c r="G3021" t="str">
        <f>IFERROR(+VLOOKUP(Movimientos_2026[[#This Row],[Codigo]],Plan_cuentas[],4,FALSE)," ")</f>
        <v xml:space="preserve"> </v>
      </c>
      <c r="H3021" t="str">
        <f>IFERROR(+VLOOKUP(Movimientos_2026[[#This Row],[Codigo]],Plan_cuentas[],5,FALSE)," ")</f>
        <v xml:space="preserve"> </v>
      </c>
      <c r="I3021" s="43"/>
      <c r="K3021" t="str">
        <f>IFERROR(+VLOOKUP(Movimientos_2026[[#This Row],[Codigo]],Plan_cuentas[],6,FALSE)," ")</f>
        <v xml:space="preserve"> </v>
      </c>
      <c r="L3021" s="50"/>
      <c r="M3021" s="50"/>
      <c r="N3021" s="20">
        <f>+Movimientos_2026[[#This Row],[Ingresos]]-Movimientos_2026[[#This Row],[Egresos]]</f>
        <v>0</v>
      </c>
      <c r="O3021" s="20">
        <f>+O3020+Movimientos_2026[[#This Row],[Neto]]</f>
        <v>4581558617.7962294</v>
      </c>
    </row>
    <row r="3022" spans="1:15" x14ac:dyDescent="0.25">
      <c r="A3022" s="13"/>
      <c r="B3022" s="12">
        <f>MONTH(Movimientos_2026[[#This Row],[Fecha]])</f>
        <v>1</v>
      </c>
      <c r="C3022" s="12" t="str">
        <f>VLOOKUP((WEEKDAY(Movimientos_2026[[#This Row],[Fecha]],2)),'5. Setup'!$D$6:$E$12,2,FALSE)</f>
        <v>Sab</v>
      </c>
      <c r="E3022" t="str">
        <f>IFERROR(+VLOOKUP(Movimientos_2026[[#This Row],[Codigo]],Plan_cuentas[],2,FALSE)," ")</f>
        <v xml:space="preserve"> </v>
      </c>
      <c r="F3022" t="str">
        <f>IFERROR(+VLOOKUP(Movimientos_2026[[#This Row],[Codigo]],Plan_cuentas[],3,FALSE)," ")</f>
        <v xml:space="preserve"> </v>
      </c>
      <c r="G3022" t="str">
        <f>IFERROR(+VLOOKUP(Movimientos_2026[[#This Row],[Codigo]],Plan_cuentas[],4,FALSE)," ")</f>
        <v xml:space="preserve"> </v>
      </c>
      <c r="H3022" t="str">
        <f>IFERROR(+VLOOKUP(Movimientos_2026[[#This Row],[Codigo]],Plan_cuentas[],5,FALSE)," ")</f>
        <v xml:space="preserve"> </v>
      </c>
      <c r="I3022" s="43"/>
      <c r="K3022" t="str">
        <f>IFERROR(+VLOOKUP(Movimientos_2026[[#This Row],[Codigo]],Plan_cuentas[],6,FALSE)," ")</f>
        <v xml:space="preserve"> </v>
      </c>
      <c r="L3022" s="50"/>
      <c r="M3022" s="50"/>
      <c r="N3022" s="20">
        <f>+Movimientos_2026[[#This Row],[Ingresos]]-Movimientos_2026[[#This Row],[Egresos]]</f>
        <v>0</v>
      </c>
      <c r="O3022" s="20">
        <f>+O3021+Movimientos_2026[[#This Row],[Neto]]</f>
        <v>4581558617.7962294</v>
      </c>
    </row>
    <row r="3023" spans="1:15" x14ac:dyDescent="0.25">
      <c r="A3023" s="13"/>
      <c r="B3023" s="12">
        <f>MONTH(Movimientos_2026[[#This Row],[Fecha]])</f>
        <v>1</v>
      </c>
      <c r="C3023" s="12" t="str">
        <f>VLOOKUP((WEEKDAY(Movimientos_2026[[#This Row],[Fecha]],2)),'5. Setup'!$D$6:$E$12,2,FALSE)</f>
        <v>Sab</v>
      </c>
      <c r="E3023" t="str">
        <f>IFERROR(+VLOOKUP(Movimientos_2026[[#This Row],[Codigo]],Plan_cuentas[],2,FALSE)," ")</f>
        <v xml:space="preserve"> </v>
      </c>
      <c r="F3023" t="str">
        <f>IFERROR(+VLOOKUP(Movimientos_2026[[#This Row],[Codigo]],Plan_cuentas[],3,FALSE)," ")</f>
        <v xml:space="preserve"> </v>
      </c>
      <c r="G3023" t="str">
        <f>IFERROR(+VLOOKUP(Movimientos_2026[[#This Row],[Codigo]],Plan_cuentas[],4,FALSE)," ")</f>
        <v xml:space="preserve"> </v>
      </c>
      <c r="H3023" t="str">
        <f>IFERROR(+VLOOKUP(Movimientos_2026[[#This Row],[Codigo]],Plan_cuentas[],5,FALSE)," ")</f>
        <v xml:space="preserve"> </v>
      </c>
      <c r="I3023" s="43"/>
      <c r="K3023" t="str">
        <f>IFERROR(+VLOOKUP(Movimientos_2026[[#This Row],[Codigo]],Plan_cuentas[],6,FALSE)," ")</f>
        <v xml:space="preserve"> </v>
      </c>
      <c r="L3023" s="50"/>
      <c r="M3023" s="50"/>
      <c r="N3023" s="20">
        <f>+Movimientos_2026[[#This Row],[Ingresos]]-Movimientos_2026[[#This Row],[Egresos]]</f>
        <v>0</v>
      </c>
      <c r="O3023" s="20">
        <f>+O3022+Movimientos_2026[[#This Row],[Neto]]</f>
        <v>4581558617.7962294</v>
      </c>
    </row>
    <row r="3024" spans="1:15" x14ac:dyDescent="0.25">
      <c r="A3024" s="13"/>
      <c r="B3024" s="12">
        <f>MONTH(Movimientos_2026[[#This Row],[Fecha]])</f>
        <v>1</v>
      </c>
      <c r="C3024" s="12" t="str">
        <f>VLOOKUP((WEEKDAY(Movimientos_2026[[#This Row],[Fecha]],2)),'5. Setup'!$D$6:$E$12,2,FALSE)</f>
        <v>Sab</v>
      </c>
      <c r="E3024" t="str">
        <f>IFERROR(+VLOOKUP(Movimientos_2026[[#This Row],[Codigo]],Plan_cuentas[],2,FALSE)," ")</f>
        <v xml:space="preserve"> </v>
      </c>
      <c r="F3024" t="str">
        <f>IFERROR(+VLOOKUP(Movimientos_2026[[#This Row],[Codigo]],Plan_cuentas[],3,FALSE)," ")</f>
        <v xml:space="preserve"> </v>
      </c>
      <c r="G3024" t="str">
        <f>IFERROR(+VLOOKUP(Movimientos_2026[[#This Row],[Codigo]],Plan_cuentas[],4,FALSE)," ")</f>
        <v xml:space="preserve"> </v>
      </c>
      <c r="H3024" t="str">
        <f>IFERROR(+VLOOKUP(Movimientos_2026[[#This Row],[Codigo]],Plan_cuentas[],5,FALSE)," ")</f>
        <v xml:space="preserve"> </v>
      </c>
      <c r="I3024" s="43"/>
      <c r="K3024" t="str">
        <f>IFERROR(+VLOOKUP(Movimientos_2026[[#This Row],[Codigo]],Plan_cuentas[],6,FALSE)," ")</f>
        <v xml:space="preserve"> </v>
      </c>
      <c r="L3024" s="50"/>
      <c r="M3024" s="50"/>
      <c r="N3024" s="20">
        <f>+Movimientos_2026[[#This Row],[Ingresos]]-Movimientos_2026[[#This Row],[Egresos]]</f>
        <v>0</v>
      </c>
      <c r="O3024" s="20">
        <f>+O3023+Movimientos_2026[[#This Row],[Neto]]</f>
        <v>4581558617.7962294</v>
      </c>
    </row>
    <row r="3025" spans="1:15" x14ac:dyDescent="0.25">
      <c r="A3025" s="13"/>
      <c r="B3025" s="12">
        <f>MONTH(Movimientos_2026[[#This Row],[Fecha]])</f>
        <v>1</v>
      </c>
      <c r="C3025" s="12" t="str">
        <f>VLOOKUP((WEEKDAY(Movimientos_2026[[#This Row],[Fecha]],2)),'5. Setup'!$D$6:$E$12,2,FALSE)</f>
        <v>Sab</v>
      </c>
      <c r="E3025" t="str">
        <f>IFERROR(+VLOOKUP(Movimientos_2026[[#This Row],[Codigo]],Plan_cuentas[],2,FALSE)," ")</f>
        <v xml:space="preserve"> </v>
      </c>
      <c r="F3025" t="str">
        <f>IFERROR(+VLOOKUP(Movimientos_2026[[#This Row],[Codigo]],Plan_cuentas[],3,FALSE)," ")</f>
        <v xml:space="preserve"> </v>
      </c>
      <c r="G3025" t="str">
        <f>IFERROR(+VLOOKUP(Movimientos_2026[[#This Row],[Codigo]],Plan_cuentas[],4,FALSE)," ")</f>
        <v xml:space="preserve"> </v>
      </c>
      <c r="H3025" t="str">
        <f>IFERROR(+VLOOKUP(Movimientos_2026[[#This Row],[Codigo]],Plan_cuentas[],5,FALSE)," ")</f>
        <v xml:space="preserve"> </v>
      </c>
      <c r="I3025" s="43"/>
      <c r="K3025" t="str">
        <f>IFERROR(+VLOOKUP(Movimientos_2026[[#This Row],[Codigo]],Plan_cuentas[],6,FALSE)," ")</f>
        <v xml:space="preserve"> </v>
      </c>
      <c r="L3025" s="50"/>
      <c r="M3025" s="50"/>
      <c r="N3025" s="20">
        <f>+Movimientos_2026[[#This Row],[Ingresos]]-Movimientos_2026[[#This Row],[Egresos]]</f>
        <v>0</v>
      </c>
      <c r="O3025" s="20">
        <f>+O3024+Movimientos_2026[[#This Row],[Neto]]</f>
        <v>4581558617.7962294</v>
      </c>
    </row>
    <row r="3026" spans="1:15" x14ac:dyDescent="0.25">
      <c r="A3026" s="13"/>
      <c r="B3026" s="12">
        <f>MONTH(Movimientos_2026[[#This Row],[Fecha]])</f>
        <v>1</v>
      </c>
      <c r="C3026" s="12" t="str">
        <f>VLOOKUP((WEEKDAY(Movimientos_2026[[#This Row],[Fecha]],2)),'5. Setup'!$D$6:$E$12,2,FALSE)</f>
        <v>Sab</v>
      </c>
      <c r="E3026" t="str">
        <f>IFERROR(+VLOOKUP(Movimientos_2026[[#This Row],[Codigo]],Plan_cuentas[],2,FALSE)," ")</f>
        <v xml:space="preserve"> </v>
      </c>
      <c r="F3026" t="str">
        <f>IFERROR(+VLOOKUP(Movimientos_2026[[#This Row],[Codigo]],Plan_cuentas[],3,FALSE)," ")</f>
        <v xml:space="preserve"> </v>
      </c>
      <c r="G3026" t="str">
        <f>IFERROR(+VLOOKUP(Movimientos_2026[[#This Row],[Codigo]],Plan_cuentas[],4,FALSE)," ")</f>
        <v xml:space="preserve"> </v>
      </c>
      <c r="H3026" t="str">
        <f>IFERROR(+VLOOKUP(Movimientos_2026[[#This Row],[Codigo]],Plan_cuentas[],5,FALSE)," ")</f>
        <v xml:space="preserve"> </v>
      </c>
      <c r="I3026" s="43"/>
      <c r="K3026" t="str">
        <f>IFERROR(+VLOOKUP(Movimientos_2026[[#This Row],[Codigo]],Plan_cuentas[],6,FALSE)," ")</f>
        <v xml:space="preserve"> </v>
      </c>
      <c r="L3026" s="50"/>
      <c r="M3026" s="50"/>
      <c r="N3026" s="20">
        <f>+Movimientos_2026[[#This Row],[Ingresos]]-Movimientos_2026[[#This Row],[Egresos]]</f>
        <v>0</v>
      </c>
      <c r="O3026" s="20">
        <f>+O3025+Movimientos_2026[[#This Row],[Neto]]</f>
        <v>4581558617.7962294</v>
      </c>
    </row>
    <row r="3027" spans="1:15" x14ac:dyDescent="0.25">
      <c r="A3027" s="13"/>
      <c r="B3027" s="12">
        <f>MONTH(Movimientos_2026[[#This Row],[Fecha]])</f>
        <v>1</v>
      </c>
      <c r="C3027" s="12" t="str">
        <f>VLOOKUP((WEEKDAY(Movimientos_2026[[#This Row],[Fecha]],2)),'5. Setup'!$D$6:$E$12,2,FALSE)</f>
        <v>Sab</v>
      </c>
      <c r="E3027" t="str">
        <f>IFERROR(+VLOOKUP(Movimientos_2026[[#This Row],[Codigo]],Plan_cuentas[],2,FALSE)," ")</f>
        <v xml:space="preserve"> </v>
      </c>
      <c r="F3027" t="str">
        <f>IFERROR(+VLOOKUP(Movimientos_2026[[#This Row],[Codigo]],Plan_cuentas[],3,FALSE)," ")</f>
        <v xml:space="preserve"> </v>
      </c>
      <c r="G3027" t="str">
        <f>IFERROR(+VLOOKUP(Movimientos_2026[[#This Row],[Codigo]],Plan_cuentas[],4,FALSE)," ")</f>
        <v xml:space="preserve"> </v>
      </c>
      <c r="H3027" t="str">
        <f>IFERROR(+VLOOKUP(Movimientos_2026[[#This Row],[Codigo]],Plan_cuentas[],5,FALSE)," ")</f>
        <v xml:space="preserve"> </v>
      </c>
      <c r="I3027" s="43"/>
      <c r="K3027" t="str">
        <f>IFERROR(+VLOOKUP(Movimientos_2026[[#This Row],[Codigo]],Plan_cuentas[],6,FALSE)," ")</f>
        <v xml:space="preserve"> </v>
      </c>
      <c r="L3027" s="50"/>
      <c r="M3027" s="50"/>
      <c r="N3027" s="20">
        <f>+Movimientos_2026[[#This Row],[Ingresos]]-Movimientos_2026[[#This Row],[Egresos]]</f>
        <v>0</v>
      </c>
      <c r="O3027" s="20">
        <f>+O3026+Movimientos_2026[[#This Row],[Neto]]</f>
        <v>4581558617.7962294</v>
      </c>
    </row>
    <row r="3028" spans="1:15" x14ac:dyDescent="0.25">
      <c r="A3028" s="13"/>
      <c r="B3028" s="12">
        <f>MONTH(Movimientos_2026[[#This Row],[Fecha]])</f>
        <v>1</v>
      </c>
      <c r="C3028" s="12" t="str">
        <f>VLOOKUP((WEEKDAY(Movimientos_2026[[#This Row],[Fecha]],2)),'5. Setup'!$D$6:$E$12,2,FALSE)</f>
        <v>Sab</v>
      </c>
      <c r="E3028" t="str">
        <f>IFERROR(+VLOOKUP(Movimientos_2026[[#This Row],[Codigo]],Plan_cuentas[],2,FALSE)," ")</f>
        <v xml:space="preserve"> </v>
      </c>
      <c r="F3028" t="str">
        <f>IFERROR(+VLOOKUP(Movimientos_2026[[#This Row],[Codigo]],Plan_cuentas[],3,FALSE)," ")</f>
        <v xml:space="preserve"> </v>
      </c>
      <c r="G3028" t="str">
        <f>IFERROR(+VLOOKUP(Movimientos_2026[[#This Row],[Codigo]],Plan_cuentas[],4,FALSE)," ")</f>
        <v xml:space="preserve"> </v>
      </c>
      <c r="H3028" t="str">
        <f>IFERROR(+VLOOKUP(Movimientos_2026[[#This Row],[Codigo]],Plan_cuentas[],5,FALSE)," ")</f>
        <v xml:space="preserve"> </v>
      </c>
      <c r="I3028" s="43"/>
      <c r="K3028" t="str">
        <f>IFERROR(+VLOOKUP(Movimientos_2026[[#This Row],[Codigo]],Plan_cuentas[],6,FALSE)," ")</f>
        <v xml:space="preserve"> </v>
      </c>
      <c r="L3028" s="50"/>
      <c r="M3028" s="50"/>
      <c r="N3028" s="20">
        <f>+Movimientos_2026[[#This Row],[Ingresos]]-Movimientos_2026[[#This Row],[Egresos]]</f>
        <v>0</v>
      </c>
      <c r="O3028" s="20">
        <f>+O3027+Movimientos_2026[[#This Row],[Neto]]</f>
        <v>4581558617.7962294</v>
      </c>
    </row>
    <row r="3029" spans="1:15" x14ac:dyDescent="0.25">
      <c r="A3029" s="13"/>
      <c r="B3029" s="12">
        <f>MONTH(Movimientos_2026[[#This Row],[Fecha]])</f>
        <v>1</v>
      </c>
      <c r="C3029" s="12" t="str">
        <f>VLOOKUP((WEEKDAY(Movimientos_2026[[#This Row],[Fecha]],2)),'5. Setup'!$D$6:$E$12,2,FALSE)</f>
        <v>Sab</v>
      </c>
      <c r="E3029" t="str">
        <f>IFERROR(+VLOOKUP(Movimientos_2026[[#This Row],[Codigo]],Plan_cuentas[],2,FALSE)," ")</f>
        <v xml:space="preserve"> </v>
      </c>
      <c r="F3029" t="str">
        <f>IFERROR(+VLOOKUP(Movimientos_2026[[#This Row],[Codigo]],Plan_cuentas[],3,FALSE)," ")</f>
        <v xml:space="preserve"> </v>
      </c>
      <c r="G3029" t="str">
        <f>IFERROR(+VLOOKUP(Movimientos_2026[[#This Row],[Codigo]],Plan_cuentas[],4,FALSE)," ")</f>
        <v xml:space="preserve"> </v>
      </c>
      <c r="H3029" t="str">
        <f>IFERROR(+VLOOKUP(Movimientos_2026[[#This Row],[Codigo]],Plan_cuentas[],5,FALSE)," ")</f>
        <v xml:space="preserve"> </v>
      </c>
      <c r="I3029" s="43"/>
      <c r="K3029" t="str">
        <f>IFERROR(+VLOOKUP(Movimientos_2026[[#This Row],[Codigo]],Plan_cuentas[],6,FALSE)," ")</f>
        <v xml:space="preserve"> </v>
      </c>
      <c r="L3029" s="50"/>
      <c r="M3029" s="50"/>
      <c r="N3029" s="20">
        <f>+Movimientos_2026[[#This Row],[Ingresos]]-Movimientos_2026[[#This Row],[Egresos]]</f>
        <v>0</v>
      </c>
      <c r="O3029" s="20">
        <f>+O3028+Movimientos_2026[[#This Row],[Neto]]</f>
        <v>4581558617.7962294</v>
      </c>
    </row>
    <row r="3030" spans="1:15" x14ac:dyDescent="0.25">
      <c r="A3030" s="13"/>
      <c r="B3030" s="12">
        <f>MONTH(Movimientos_2026[[#This Row],[Fecha]])</f>
        <v>1</v>
      </c>
      <c r="C3030" s="12" t="str">
        <f>VLOOKUP((WEEKDAY(Movimientos_2026[[#This Row],[Fecha]],2)),'5. Setup'!$D$6:$E$12,2,FALSE)</f>
        <v>Sab</v>
      </c>
      <c r="E3030" t="str">
        <f>IFERROR(+VLOOKUP(Movimientos_2026[[#This Row],[Codigo]],Plan_cuentas[],2,FALSE)," ")</f>
        <v xml:space="preserve"> </v>
      </c>
      <c r="F3030" t="str">
        <f>IFERROR(+VLOOKUP(Movimientos_2026[[#This Row],[Codigo]],Plan_cuentas[],3,FALSE)," ")</f>
        <v xml:space="preserve"> </v>
      </c>
      <c r="G3030" t="str">
        <f>IFERROR(+VLOOKUP(Movimientos_2026[[#This Row],[Codigo]],Plan_cuentas[],4,FALSE)," ")</f>
        <v xml:space="preserve"> </v>
      </c>
      <c r="H3030" t="str">
        <f>IFERROR(+VLOOKUP(Movimientos_2026[[#This Row],[Codigo]],Plan_cuentas[],5,FALSE)," ")</f>
        <v xml:space="preserve"> </v>
      </c>
      <c r="I3030" s="43"/>
      <c r="K3030" t="str">
        <f>IFERROR(+VLOOKUP(Movimientos_2026[[#This Row],[Codigo]],Plan_cuentas[],6,FALSE)," ")</f>
        <v xml:space="preserve"> </v>
      </c>
      <c r="L3030" s="50"/>
      <c r="M3030" s="50"/>
      <c r="N3030" s="20">
        <f>+Movimientos_2026[[#This Row],[Ingresos]]-Movimientos_2026[[#This Row],[Egresos]]</f>
        <v>0</v>
      </c>
      <c r="O3030" s="20">
        <f>+O3029+Movimientos_2026[[#This Row],[Neto]]</f>
        <v>4581558617.7962294</v>
      </c>
    </row>
    <row r="3031" spans="1:15" x14ac:dyDescent="0.25">
      <c r="A3031" s="13"/>
      <c r="B3031" s="12">
        <f>MONTH(Movimientos_2026[[#This Row],[Fecha]])</f>
        <v>1</v>
      </c>
      <c r="C3031" s="12" t="str">
        <f>VLOOKUP((WEEKDAY(Movimientos_2026[[#This Row],[Fecha]],2)),'5. Setup'!$D$6:$E$12,2,FALSE)</f>
        <v>Sab</v>
      </c>
      <c r="E3031" t="str">
        <f>IFERROR(+VLOOKUP(Movimientos_2026[[#This Row],[Codigo]],Plan_cuentas[],2,FALSE)," ")</f>
        <v xml:space="preserve"> </v>
      </c>
      <c r="F3031" t="str">
        <f>IFERROR(+VLOOKUP(Movimientos_2026[[#This Row],[Codigo]],Plan_cuentas[],3,FALSE)," ")</f>
        <v xml:space="preserve"> </v>
      </c>
      <c r="G3031" t="str">
        <f>IFERROR(+VLOOKUP(Movimientos_2026[[#This Row],[Codigo]],Plan_cuentas[],4,FALSE)," ")</f>
        <v xml:space="preserve"> </v>
      </c>
      <c r="H3031" t="str">
        <f>IFERROR(+VLOOKUP(Movimientos_2026[[#This Row],[Codigo]],Plan_cuentas[],5,FALSE)," ")</f>
        <v xml:space="preserve"> </v>
      </c>
      <c r="I3031" s="43"/>
      <c r="K3031" t="str">
        <f>IFERROR(+VLOOKUP(Movimientos_2026[[#This Row],[Codigo]],Plan_cuentas[],6,FALSE)," ")</f>
        <v xml:space="preserve"> </v>
      </c>
      <c r="L3031" s="50"/>
      <c r="M3031" s="50"/>
      <c r="N3031" s="20">
        <f>+Movimientos_2026[[#This Row],[Ingresos]]-Movimientos_2026[[#This Row],[Egresos]]</f>
        <v>0</v>
      </c>
      <c r="O3031" s="20">
        <f>+O3030+Movimientos_2026[[#This Row],[Neto]]</f>
        <v>4581558617.7962294</v>
      </c>
    </row>
    <row r="3032" spans="1:15" x14ac:dyDescent="0.25">
      <c r="A3032" s="13"/>
      <c r="B3032" s="12">
        <f>MONTH(Movimientos_2026[[#This Row],[Fecha]])</f>
        <v>1</v>
      </c>
      <c r="C3032" s="12" t="str">
        <f>VLOOKUP((WEEKDAY(Movimientos_2026[[#This Row],[Fecha]],2)),'5. Setup'!$D$6:$E$12,2,FALSE)</f>
        <v>Sab</v>
      </c>
      <c r="E3032" t="str">
        <f>IFERROR(+VLOOKUP(Movimientos_2026[[#This Row],[Codigo]],Plan_cuentas[],2,FALSE)," ")</f>
        <v xml:space="preserve"> </v>
      </c>
      <c r="F3032" t="str">
        <f>IFERROR(+VLOOKUP(Movimientos_2026[[#This Row],[Codigo]],Plan_cuentas[],3,FALSE)," ")</f>
        <v xml:space="preserve"> </v>
      </c>
      <c r="G3032" t="str">
        <f>IFERROR(+VLOOKUP(Movimientos_2026[[#This Row],[Codigo]],Plan_cuentas[],4,FALSE)," ")</f>
        <v xml:space="preserve"> </v>
      </c>
      <c r="H3032" t="str">
        <f>IFERROR(+VLOOKUP(Movimientos_2026[[#This Row],[Codigo]],Plan_cuentas[],5,FALSE)," ")</f>
        <v xml:space="preserve"> </v>
      </c>
      <c r="I3032" s="43"/>
      <c r="K3032" t="str">
        <f>IFERROR(+VLOOKUP(Movimientos_2026[[#This Row],[Codigo]],Plan_cuentas[],6,FALSE)," ")</f>
        <v xml:space="preserve"> </v>
      </c>
      <c r="L3032" s="50"/>
      <c r="M3032" s="50"/>
      <c r="N3032" s="20">
        <f>+Movimientos_2026[[#This Row],[Ingresos]]-Movimientos_2026[[#This Row],[Egresos]]</f>
        <v>0</v>
      </c>
      <c r="O3032" s="20">
        <f>+O3031+Movimientos_2026[[#This Row],[Neto]]</f>
        <v>4581558617.7962294</v>
      </c>
    </row>
    <row r="3033" spans="1:15" x14ac:dyDescent="0.25">
      <c r="A3033" s="13"/>
      <c r="B3033" s="12">
        <f>MONTH(Movimientos_2026[[#This Row],[Fecha]])</f>
        <v>1</v>
      </c>
      <c r="C3033" s="12" t="str">
        <f>VLOOKUP((WEEKDAY(Movimientos_2026[[#This Row],[Fecha]],2)),'5. Setup'!$D$6:$E$12,2,FALSE)</f>
        <v>Sab</v>
      </c>
      <c r="E3033" t="str">
        <f>IFERROR(+VLOOKUP(Movimientos_2026[[#This Row],[Codigo]],Plan_cuentas[],2,FALSE)," ")</f>
        <v xml:space="preserve"> </v>
      </c>
      <c r="F3033" t="str">
        <f>IFERROR(+VLOOKUP(Movimientos_2026[[#This Row],[Codigo]],Plan_cuentas[],3,FALSE)," ")</f>
        <v xml:space="preserve"> </v>
      </c>
      <c r="G3033" t="str">
        <f>IFERROR(+VLOOKUP(Movimientos_2026[[#This Row],[Codigo]],Plan_cuentas[],4,FALSE)," ")</f>
        <v xml:space="preserve"> </v>
      </c>
      <c r="H3033" t="str">
        <f>IFERROR(+VLOOKUP(Movimientos_2026[[#This Row],[Codigo]],Plan_cuentas[],5,FALSE)," ")</f>
        <v xml:space="preserve"> </v>
      </c>
      <c r="I3033" s="43"/>
      <c r="K3033" t="str">
        <f>IFERROR(+VLOOKUP(Movimientos_2026[[#This Row],[Codigo]],Plan_cuentas[],6,FALSE)," ")</f>
        <v xml:space="preserve"> </v>
      </c>
      <c r="L3033" s="50"/>
      <c r="M3033" s="50"/>
      <c r="N3033" s="20">
        <f>+Movimientos_2026[[#This Row],[Ingresos]]-Movimientos_2026[[#This Row],[Egresos]]</f>
        <v>0</v>
      </c>
      <c r="O3033" s="20">
        <f>+O3032+Movimientos_2026[[#This Row],[Neto]]</f>
        <v>4581558617.7962294</v>
      </c>
    </row>
    <row r="3034" spans="1:15" x14ac:dyDescent="0.25">
      <c r="A3034" s="13"/>
      <c r="B3034" s="12">
        <f>MONTH(Movimientos_2026[[#This Row],[Fecha]])</f>
        <v>1</v>
      </c>
      <c r="C3034" s="12" t="str">
        <f>VLOOKUP((WEEKDAY(Movimientos_2026[[#This Row],[Fecha]],2)),'5. Setup'!$D$6:$E$12,2,FALSE)</f>
        <v>Sab</v>
      </c>
      <c r="E3034" t="str">
        <f>IFERROR(+VLOOKUP(Movimientos_2026[[#This Row],[Codigo]],Plan_cuentas[],2,FALSE)," ")</f>
        <v xml:space="preserve"> </v>
      </c>
      <c r="F3034" t="str">
        <f>IFERROR(+VLOOKUP(Movimientos_2026[[#This Row],[Codigo]],Plan_cuentas[],3,FALSE)," ")</f>
        <v xml:space="preserve"> </v>
      </c>
      <c r="G3034" t="str">
        <f>IFERROR(+VLOOKUP(Movimientos_2026[[#This Row],[Codigo]],Plan_cuentas[],4,FALSE)," ")</f>
        <v xml:space="preserve"> </v>
      </c>
      <c r="H3034" t="str">
        <f>IFERROR(+VLOOKUP(Movimientos_2026[[#This Row],[Codigo]],Plan_cuentas[],5,FALSE)," ")</f>
        <v xml:space="preserve"> </v>
      </c>
      <c r="I3034" s="43"/>
      <c r="K3034" t="str">
        <f>IFERROR(+VLOOKUP(Movimientos_2026[[#This Row],[Codigo]],Plan_cuentas[],6,FALSE)," ")</f>
        <v xml:space="preserve"> </v>
      </c>
      <c r="L3034" s="50"/>
      <c r="M3034" s="50"/>
      <c r="N3034" s="20">
        <f>+Movimientos_2026[[#This Row],[Ingresos]]-Movimientos_2026[[#This Row],[Egresos]]</f>
        <v>0</v>
      </c>
      <c r="O3034" s="20">
        <f>+O3033+Movimientos_2026[[#This Row],[Neto]]</f>
        <v>4581558617.7962294</v>
      </c>
    </row>
    <row r="3035" spans="1:15" x14ac:dyDescent="0.25">
      <c r="A3035" s="13"/>
      <c r="B3035" s="12">
        <f>MONTH(Movimientos_2026[[#This Row],[Fecha]])</f>
        <v>1</v>
      </c>
      <c r="C3035" s="12" t="str">
        <f>VLOOKUP((WEEKDAY(Movimientos_2026[[#This Row],[Fecha]],2)),'5. Setup'!$D$6:$E$12,2,FALSE)</f>
        <v>Sab</v>
      </c>
      <c r="E3035" t="str">
        <f>IFERROR(+VLOOKUP(Movimientos_2026[[#This Row],[Codigo]],Plan_cuentas[],2,FALSE)," ")</f>
        <v xml:space="preserve"> </v>
      </c>
      <c r="F3035" t="str">
        <f>IFERROR(+VLOOKUP(Movimientos_2026[[#This Row],[Codigo]],Plan_cuentas[],3,FALSE)," ")</f>
        <v xml:space="preserve"> </v>
      </c>
      <c r="G3035" t="str">
        <f>IFERROR(+VLOOKUP(Movimientos_2026[[#This Row],[Codigo]],Plan_cuentas[],4,FALSE)," ")</f>
        <v xml:space="preserve"> </v>
      </c>
      <c r="H3035" t="str">
        <f>IFERROR(+VLOOKUP(Movimientos_2026[[#This Row],[Codigo]],Plan_cuentas[],5,FALSE)," ")</f>
        <v xml:space="preserve"> </v>
      </c>
      <c r="I3035" s="43"/>
      <c r="K3035" t="str">
        <f>IFERROR(+VLOOKUP(Movimientos_2026[[#This Row],[Codigo]],Plan_cuentas[],6,FALSE)," ")</f>
        <v xml:space="preserve"> </v>
      </c>
      <c r="L3035" s="50"/>
      <c r="M3035" s="50"/>
      <c r="N3035" s="20">
        <f>+Movimientos_2026[[#This Row],[Ingresos]]-Movimientos_2026[[#This Row],[Egresos]]</f>
        <v>0</v>
      </c>
      <c r="O3035" s="20">
        <f>+O3034+Movimientos_2026[[#This Row],[Neto]]</f>
        <v>4581558617.7962294</v>
      </c>
    </row>
    <row r="3036" spans="1:15" x14ac:dyDescent="0.25">
      <c r="A3036" s="13"/>
      <c r="B3036" s="12">
        <f>MONTH(Movimientos_2026[[#This Row],[Fecha]])</f>
        <v>1</v>
      </c>
      <c r="C3036" s="12" t="str">
        <f>VLOOKUP((WEEKDAY(Movimientos_2026[[#This Row],[Fecha]],2)),'5. Setup'!$D$6:$E$12,2,FALSE)</f>
        <v>Sab</v>
      </c>
      <c r="E3036" t="str">
        <f>IFERROR(+VLOOKUP(Movimientos_2026[[#This Row],[Codigo]],Plan_cuentas[],2,FALSE)," ")</f>
        <v xml:space="preserve"> </v>
      </c>
      <c r="F3036" t="str">
        <f>IFERROR(+VLOOKUP(Movimientos_2026[[#This Row],[Codigo]],Plan_cuentas[],3,FALSE)," ")</f>
        <v xml:space="preserve"> </v>
      </c>
      <c r="G3036" t="str">
        <f>IFERROR(+VLOOKUP(Movimientos_2026[[#This Row],[Codigo]],Plan_cuentas[],4,FALSE)," ")</f>
        <v xml:space="preserve"> </v>
      </c>
      <c r="H3036" t="str">
        <f>IFERROR(+VLOOKUP(Movimientos_2026[[#This Row],[Codigo]],Plan_cuentas[],5,FALSE)," ")</f>
        <v xml:space="preserve"> </v>
      </c>
      <c r="I3036" s="43"/>
      <c r="K3036" t="str">
        <f>IFERROR(+VLOOKUP(Movimientos_2026[[#This Row],[Codigo]],Plan_cuentas[],6,FALSE)," ")</f>
        <v xml:space="preserve"> </v>
      </c>
      <c r="L3036" s="50"/>
      <c r="M3036" s="50"/>
      <c r="N3036" s="20">
        <f>+Movimientos_2026[[#This Row],[Ingresos]]-Movimientos_2026[[#This Row],[Egresos]]</f>
        <v>0</v>
      </c>
      <c r="O3036" s="20">
        <f>+O3035+Movimientos_2026[[#This Row],[Neto]]</f>
        <v>4581558617.7962294</v>
      </c>
    </row>
    <row r="3037" spans="1:15" x14ac:dyDescent="0.25">
      <c r="A3037" s="13"/>
      <c r="B3037" s="12">
        <f>MONTH(Movimientos_2026[[#This Row],[Fecha]])</f>
        <v>1</v>
      </c>
      <c r="C3037" s="12" t="str">
        <f>VLOOKUP((WEEKDAY(Movimientos_2026[[#This Row],[Fecha]],2)),'5. Setup'!$D$6:$E$12,2,FALSE)</f>
        <v>Sab</v>
      </c>
      <c r="E3037" t="str">
        <f>IFERROR(+VLOOKUP(Movimientos_2026[[#This Row],[Codigo]],Plan_cuentas[],2,FALSE)," ")</f>
        <v xml:space="preserve"> </v>
      </c>
      <c r="F3037" t="str">
        <f>IFERROR(+VLOOKUP(Movimientos_2026[[#This Row],[Codigo]],Plan_cuentas[],3,FALSE)," ")</f>
        <v xml:space="preserve"> </v>
      </c>
      <c r="G3037" t="str">
        <f>IFERROR(+VLOOKUP(Movimientos_2026[[#This Row],[Codigo]],Plan_cuentas[],4,FALSE)," ")</f>
        <v xml:space="preserve"> </v>
      </c>
      <c r="H3037" t="str">
        <f>IFERROR(+VLOOKUP(Movimientos_2026[[#This Row],[Codigo]],Plan_cuentas[],5,FALSE)," ")</f>
        <v xml:space="preserve"> </v>
      </c>
      <c r="I3037" s="43"/>
      <c r="K3037" t="str">
        <f>IFERROR(+VLOOKUP(Movimientos_2026[[#This Row],[Codigo]],Plan_cuentas[],6,FALSE)," ")</f>
        <v xml:space="preserve"> </v>
      </c>
      <c r="L3037" s="50"/>
      <c r="M3037" s="50"/>
      <c r="N3037" s="20">
        <f>+Movimientos_2026[[#This Row],[Ingresos]]-Movimientos_2026[[#This Row],[Egresos]]</f>
        <v>0</v>
      </c>
      <c r="O3037" s="20">
        <f>+O3036+Movimientos_2026[[#This Row],[Neto]]</f>
        <v>4581558617.7962294</v>
      </c>
    </row>
    <row r="3038" spans="1:15" x14ac:dyDescent="0.25">
      <c r="A3038" s="13"/>
      <c r="B3038" s="12">
        <f>MONTH(Movimientos_2026[[#This Row],[Fecha]])</f>
        <v>1</v>
      </c>
      <c r="C3038" s="12" t="str">
        <f>VLOOKUP((WEEKDAY(Movimientos_2026[[#This Row],[Fecha]],2)),'5. Setup'!$D$6:$E$12,2,FALSE)</f>
        <v>Sab</v>
      </c>
      <c r="E3038" t="str">
        <f>IFERROR(+VLOOKUP(Movimientos_2026[[#This Row],[Codigo]],Plan_cuentas[],2,FALSE)," ")</f>
        <v xml:space="preserve"> </v>
      </c>
      <c r="F3038" t="str">
        <f>IFERROR(+VLOOKUP(Movimientos_2026[[#This Row],[Codigo]],Plan_cuentas[],3,FALSE)," ")</f>
        <v xml:space="preserve"> </v>
      </c>
      <c r="G3038" t="str">
        <f>IFERROR(+VLOOKUP(Movimientos_2026[[#This Row],[Codigo]],Plan_cuentas[],4,FALSE)," ")</f>
        <v xml:space="preserve"> </v>
      </c>
      <c r="H3038" t="str">
        <f>IFERROR(+VLOOKUP(Movimientos_2026[[#This Row],[Codigo]],Plan_cuentas[],5,FALSE)," ")</f>
        <v xml:space="preserve"> </v>
      </c>
      <c r="I3038" s="43"/>
      <c r="K3038" t="str">
        <f>IFERROR(+VLOOKUP(Movimientos_2026[[#This Row],[Codigo]],Plan_cuentas[],6,FALSE)," ")</f>
        <v xml:space="preserve"> </v>
      </c>
      <c r="L3038" s="50"/>
      <c r="M3038" s="50"/>
      <c r="N3038" s="20">
        <f>+Movimientos_2026[[#This Row],[Ingresos]]-Movimientos_2026[[#This Row],[Egresos]]</f>
        <v>0</v>
      </c>
      <c r="O3038" s="20">
        <f>+O3037+Movimientos_2026[[#This Row],[Neto]]</f>
        <v>4581558617.7962294</v>
      </c>
    </row>
    <row r="3039" spans="1:15" x14ac:dyDescent="0.25">
      <c r="A3039" s="13"/>
      <c r="B3039" s="12">
        <f>MONTH(Movimientos_2026[[#This Row],[Fecha]])</f>
        <v>1</v>
      </c>
      <c r="C3039" s="12" t="str">
        <f>VLOOKUP((WEEKDAY(Movimientos_2026[[#This Row],[Fecha]],2)),'5. Setup'!$D$6:$E$12,2,FALSE)</f>
        <v>Sab</v>
      </c>
      <c r="E3039" t="str">
        <f>IFERROR(+VLOOKUP(Movimientos_2026[[#This Row],[Codigo]],Plan_cuentas[],2,FALSE)," ")</f>
        <v xml:space="preserve"> </v>
      </c>
      <c r="F3039" t="str">
        <f>IFERROR(+VLOOKUP(Movimientos_2026[[#This Row],[Codigo]],Plan_cuentas[],3,FALSE)," ")</f>
        <v xml:space="preserve"> </v>
      </c>
      <c r="G3039" t="str">
        <f>IFERROR(+VLOOKUP(Movimientos_2026[[#This Row],[Codigo]],Plan_cuentas[],4,FALSE)," ")</f>
        <v xml:space="preserve"> </v>
      </c>
      <c r="H3039" t="str">
        <f>IFERROR(+VLOOKUP(Movimientos_2026[[#This Row],[Codigo]],Plan_cuentas[],5,FALSE)," ")</f>
        <v xml:space="preserve"> </v>
      </c>
      <c r="I3039" s="43"/>
      <c r="K3039" t="str">
        <f>IFERROR(+VLOOKUP(Movimientos_2026[[#This Row],[Codigo]],Plan_cuentas[],6,FALSE)," ")</f>
        <v xml:space="preserve"> </v>
      </c>
      <c r="L3039" s="50"/>
      <c r="M3039" s="50"/>
      <c r="N3039" s="20">
        <f>+Movimientos_2026[[#This Row],[Ingresos]]-Movimientos_2026[[#This Row],[Egresos]]</f>
        <v>0</v>
      </c>
      <c r="O3039" s="20">
        <f>+O3038+Movimientos_2026[[#This Row],[Neto]]</f>
        <v>4581558617.7962294</v>
      </c>
    </row>
    <row r="3040" spans="1:15" x14ac:dyDescent="0.25">
      <c r="A3040" s="13"/>
      <c r="B3040" s="12">
        <f>MONTH(Movimientos_2026[[#This Row],[Fecha]])</f>
        <v>1</v>
      </c>
      <c r="C3040" s="12" t="str">
        <f>VLOOKUP((WEEKDAY(Movimientos_2026[[#This Row],[Fecha]],2)),'5. Setup'!$D$6:$E$12,2,FALSE)</f>
        <v>Sab</v>
      </c>
      <c r="E3040" t="str">
        <f>IFERROR(+VLOOKUP(Movimientos_2026[[#This Row],[Codigo]],Plan_cuentas[],2,FALSE)," ")</f>
        <v xml:space="preserve"> </v>
      </c>
      <c r="F3040" t="str">
        <f>IFERROR(+VLOOKUP(Movimientos_2026[[#This Row],[Codigo]],Plan_cuentas[],3,FALSE)," ")</f>
        <v xml:space="preserve"> </v>
      </c>
      <c r="G3040" t="str">
        <f>IFERROR(+VLOOKUP(Movimientos_2026[[#This Row],[Codigo]],Plan_cuentas[],4,FALSE)," ")</f>
        <v xml:space="preserve"> </v>
      </c>
      <c r="H3040" t="str">
        <f>IFERROR(+VLOOKUP(Movimientos_2026[[#This Row],[Codigo]],Plan_cuentas[],5,FALSE)," ")</f>
        <v xml:space="preserve"> </v>
      </c>
      <c r="I3040" s="43"/>
      <c r="K3040" t="str">
        <f>IFERROR(+VLOOKUP(Movimientos_2026[[#This Row],[Codigo]],Plan_cuentas[],6,FALSE)," ")</f>
        <v xml:space="preserve"> </v>
      </c>
      <c r="L3040" s="50"/>
      <c r="M3040" s="50"/>
      <c r="N3040" s="20">
        <f>+Movimientos_2026[[#This Row],[Ingresos]]-Movimientos_2026[[#This Row],[Egresos]]</f>
        <v>0</v>
      </c>
      <c r="O3040" s="20">
        <f>+O3039+Movimientos_2026[[#This Row],[Neto]]</f>
        <v>4581558617.7962294</v>
      </c>
    </row>
    <row r="3041" spans="1:15" x14ac:dyDescent="0.25">
      <c r="A3041" s="13"/>
      <c r="B3041" s="12">
        <f>MONTH(Movimientos_2026[[#This Row],[Fecha]])</f>
        <v>1</v>
      </c>
      <c r="C3041" s="12" t="str">
        <f>VLOOKUP((WEEKDAY(Movimientos_2026[[#This Row],[Fecha]],2)),'5. Setup'!$D$6:$E$12,2,FALSE)</f>
        <v>Sab</v>
      </c>
      <c r="E3041" t="str">
        <f>IFERROR(+VLOOKUP(Movimientos_2026[[#This Row],[Codigo]],Plan_cuentas[],2,FALSE)," ")</f>
        <v xml:space="preserve"> </v>
      </c>
      <c r="F3041" t="str">
        <f>IFERROR(+VLOOKUP(Movimientos_2026[[#This Row],[Codigo]],Plan_cuentas[],3,FALSE)," ")</f>
        <v xml:space="preserve"> </v>
      </c>
      <c r="G3041" t="str">
        <f>IFERROR(+VLOOKUP(Movimientos_2026[[#This Row],[Codigo]],Plan_cuentas[],4,FALSE)," ")</f>
        <v xml:space="preserve"> </v>
      </c>
      <c r="H3041" t="str">
        <f>IFERROR(+VLOOKUP(Movimientos_2026[[#This Row],[Codigo]],Plan_cuentas[],5,FALSE)," ")</f>
        <v xml:space="preserve"> </v>
      </c>
      <c r="I3041" s="43"/>
      <c r="K3041" t="str">
        <f>IFERROR(+VLOOKUP(Movimientos_2026[[#This Row],[Codigo]],Plan_cuentas[],6,FALSE)," ")</f>
        <v xml:space="preserve"> </v>
      </c>
      <c r="L3041" s="50"/>
      <c r="M3041" s="50"/>
      <c r="N3041" s="20">
        <f>+Movimientos_2026[[#This Row],[Ingresos]]-Movimientos_2026[[#This Row],[Egresos]]</f>
        <v>0</v>
      </c>
      <c r="O3041" s="20">
        <f>+O3040+Movimientos_2026[[#This Row],[Neto]]</f>
        <v>4581558617.7962294</v>
      </c>
    </row>
    <row r="3042" spans="1:15" x14ac:dyDescent="0.25">
      <c r="A3042" s="13"/>
      <c r="B3042" s="12">
        <f>MONTH(Movimientos_2026[[#This Row],[Fecha]])</f>
        <v>1</v>
      </c>
      <c r="C3042" s="12" t="str">
        <f>VLOOKUP((WEEKDAY(Movimientos_2026[[#This Row],[Fecha]],2)),'5. Setup'!$D$6:$E$12,2,FALSE)</f>
        <v>Sab</v>
      </c>
      <c r="E3042" t="str">
        <f>IFERROR(+VLOOKUP(Movimientos_2026[[#This Row],[Codigo]],Plan_cuentas[],2,FALSE)," ")</f>
        <v xml:space="preserve"> </v>
      </c>
      <c r="F3042" t="str">
        <f>IFERROR(+VLOOKUP(Movimientos_2026[[#This Row],[Codigo]],Plan_cuentas[],3,FALSE)," ")</f>
        <v xml:space="preserve"> </v>
      </c>
      <c r="G3042" t="str">
        <f>IFERROR(+VLOOKUP(Movimientos_2026[[#This Row],[Codigo]],Plan_cuentas[],4,FALSE)," ")</f>
        <v xml:space="preserve"> </v>
      </c>
      <c r="H3042" t="str">
        <f>IFERROR(+VLOOKUP(Movimientos_2026[[#This Row],[Codigo]],Plan_cuentas[],5,FALSE)," ")</f>
        <v xml:space="preserve"> </v>
      </c>
      <c r="I3042" s="43"/>
      <c r="K3042" t="str">
        <f>IFERROR(+VLOOKUP(Movimientos_2026[[#This Row],[Codigo]],Plan_cuentas[],6,FALSE)," ")</f>
        <v xml:space="preserve"> </v>
      </c>
      <c r="L3042" s="50"/>
      <c r="M3042" s="50"/>
      <c r="N3042" s="20">
        <f>+Movimientos_2026[[#This Row],[Ingresos]]-Movimientos_2026[[#This Row],[Egresos]]</f>
        <v>0</v>
      </c>
      <c r="O3042" s="20">
        <f>+O3041+Movimientos_2026[[#This Row],[Neto]]</f>
        <v>4581558617.7962294</v>
      </c>
    </row>
    <row r="3043" spans="1:15" x14ac:dyDescent="0.25">
      <c r="A3043" s="13"/>
      <c r="B3043" s="12">
        <f>MONTH(Movimientos_2026[[#This Row],[Fecha]])</f>
        <v>1</v>
      </c>
      <c r="C3043" s="12" t="str">
        <f>VLOOKUP((WEEKDAY(Movimientos_2026[[#This Row],[Fecha]],2)),'5. Setup'!$D$6:$E$12,2,FALSE)</f>
        <v>Sab</v>
      </c>
      <c r="E3043" t="str">
        <f>IFERROR(+VLOOKUP(Movimientos_2026[[#This Row],[Codigo]],Plan_cuentas[],2,FALSE)," ")</f>
        <v xml:space="preserve"> </v>
      </c>
      <c r="F3043" t="str">
        <f>IFERROR(+VLOOKUP(Movimientos_2026[[#This Row],[Codigo]],Plan_cuentas[],3,FALSE)," ")</f>
        <v xml:space="preserve"> </v>
      </c>
      <c r="G3043" t="str">
        <f>IFERROR(+VLOOKUP(Movimientos_2026[[#This Row],[Codigo]],Plan_cuentas[],4,FALSE)," ")</f>
        <v xml:space="preserve"> </v>
      </c>
      <c r="H3043" t="str">
        <f>IFERROR(+VLOOKUP(Movimientos_2026[[#This Row],[Codigo]],Plan_cuentas[],5,FALSE)," ")</f>
        <v xml:space="preserve"> </v>
      </c>
      <c r="I3043" s="43"/>
      <c r="K3043" t="str">
        <f>IFERROR(+VLOOKUP(Movimientos_2026[[#This Row],[Codigo]],Plan_cuentas[],6,FALSE)," ")</f>
        <v xml:space="preserve"> </v>
      </c>
      <c r="L3043" s="50"/>
      <c r="M3043" s="50"/>
      <c r="N3043" s="20">
        <f>+Movimientos_2026[[#This Row],[Ingresos]]-Movimientos_2026[[#This Row],[Egresos]]</f>
        <v>0</v>
      </c>
      <c r="O3043" s="20">
        <f>+O3042+Movimientos_2026[[#This Row],[Neto]]</f>
        <v>4581558617.7962294</v>
      </c>
    </row>
    <row r="3044" spans="1:15" x14ac:dyDescent="0.25">
      <c r="A3044" s="13"/>
      <c r="B3044" s="12">
        <f>MONTH(Movimientos_2026[[#This Row],[Fecha]])</f>
        <v>1</v>
      </c>
      <c r="C3044" s="12" t="str">
        <f>VLOOKUP((WEEKDAY(Movimientos_2026[[#This Row],[Fecha]],2)),'5. Setup'!$D$6:$E$12,2,FALSE)</f>
        <v>Sab</v>
      </c>
      <c r="E3044" t="str">
        <f>IFERROR(+VLOOKUP(Movimientos_2026[[#This Row],[Codigo]],Plan_cuentas[],2,FALSE)," ")</f>
        <v xml:space="preserve"> </v>
      </c>
      <c r="F3044" t="str">
        <f>IFERROR(+VLOOKUP(Movimientos_2026[[#This Row],[Codigo]],Plan_cuentas[],3,FALSE)," ")</f>
        <v xml:space="preserve"> </v>
      </c>
      <c r="G3044" t="str">
        <f>IFERROR(+VLOOKUP(Movimientos_2026[[#This Row],[Codigo]],Plan_cuentas[],4,FALSE)," ")</f>
        <v xml:space="preserve"> </v>
      </c>
      <c r="H3044" t="str">
        <f>IFERROR(+VLOOKUP(Movimientos_2026[[#This Row],[Codigo]],Plan_cuentas[],5,FALSE)," ")</f>
        <v xml:space="preserve"> </v>
      </c>
      <c r="I3044" s="43"/>
      <c r="K3044" t="str">
        <f>IFERROR(+VLOOKUP(Movimientos_2026[[#This Row],[Codigo]],Plan_cuentas[],6,FALSE)," ")</f>
        <v xml:space="preserve"> </v>
      </c>
      <c r="L3044" s="50"/>
      <c r="M3044" s="50"/>
      <c r="N3044" s="20">
        <f>+Movimientos_2026[[#This Row],[Ingresos]]-Movimientos_2026[[#This Row],[Egresos]]</f>
        <v>0</v>
      </c>
      <c r="O3044" s="20">
        <f>+O3043+Movimientos_2026[[#This Row],[Neto]]</f>
        <v>4581558617.7962294</v>
      </c>
    </row>
    <row r="3045" spans="1:15" x14ac:dyDescent="0.25">
      <c r="A3045" s="13"/>
      <c r="B3045" s="12">
        <f>MONTH(Movimientos_2026[[#This Row],[Fecha]])</f>
        <v>1</v>
      </c>
      <c r="C3045" s="12" t="str">
        <f>VLOOKUP((WEEKDAY(Movimientos_2026[[#This Row],[Fecha]],2)),'5. Setup'!$D$6:$E$12,2,FALSE)</f>
        <v>Sab</v>
      </c>
      <c r="E3045" t="str">
        <f>IFERROR(+VLOOKUP(Movimientos_2026[[#This Row],[Codigo]],Plan_cuentas[],2,FALSE)," ")</f>
        <v xml:space="preserve"> </v>
      </c>
      <c r="F3045" t="str">
        <f>IFERROR(+VLOOKUP(Movimientos_2026[[#This Row],[Codigo]],Plan_cuentas[],3,FALSE)," ")</f>
        <v xml:space="preserve"> </v>
      </c>
      <c r="G3045" t="str">
        <f>IFERROR(+VLOOKUP(Movimientos_2026[[#This Row],[Codigo]],Plan_cuentas[],4,FALSE)," ")</f>
        <v xml:space="preserve"> </v>
      </c>
      <c r="H3045" t="str">
        <f>IFERROR(+VLOOKUP(Movimientos_2026[[#This Row],[Codigo]],Plan_cuentas[],5,FALSE)," ")</f>
        <v xml:space="preserve"> </v>
      </c>
      <c r="I3045" s="43"/>
      <c r="K3045" t="str">
        <f>IFERROR(+VLOOKUP(Movimientos_2026[[#This Row],[Codigo]],Plan_cuentas[],6,FALSE)," ")</f>
        <v xml:space="preserve"> </v>
      </c>
      <c r="L3045" s="50"/>
      <c r="M3045" s="50"/>
      <c r="N3045" s="20">
        <f>+Movimientos_2026[[#This Row],[Ingresos]]-Movimientos_2026[[#This Row],[Egresos]]</f>
        <v>0</v>
      </c>
      <c r="O3045" s="20">
        <f>+O3044+Movimientos_2026[[#This Row],[Neto]]</f>
        <v>4581558617.7962294</v>
      </c>
    </row>
    <row r="3046" spans="1:15" x14ac:dyDescent="0.25">
      <c r="A3046" s="13"/>
      <c r="B3046" s="12">
        <f>MONTH(Movimientos_2026[[#This Row],[Fecha]])</f>
        <v>1</v>
      </c>
      <c r="C3046" s="12" t="str">
        <f>VLOOKUP((WEEKDAY(Movimientos_2026[[#This Row],[Fecha]],2)),'5. Setup'!$D$6:$E$12,2,FALSE)</f>
        <v>Sab</v>
      </c>
      <c r="E3046" t="str">
        <f>IFERROR(+VLOOKUP(Movimientos_2026[[#This Row],[Codigo]],Plan_cuentas[],2,FALSE)," ")</f>
        <v xml:space="preserve"> </v>
      </c>
      <c r="F3046" t="str">
        <f>IFERROR(+VLOOKUP(Movimientos_2026[[#This Row],[Codigo]],Plan_cuentas[],3,FALSE)," ")</f>
        <v xml:space="preserve"> </v>
      </c>
      <c r="G3046" t="str">
        <f>IFERROR(+VLOOKUP(Movimientos_2026[[#This Row],[Codigo]],Plan_cuentas[],4,FALSE)," ")</f>
        <v xml:space="preserve"> </v>
      </c>
      <c r="H3046" t="str">
        <f>IFERROR(+VLOOKUP(Movimientos_2026[[#This Row],[Codigo]],Plan_cuentas[],5,FALSE)," ")</f>
        <v xml:space="preserve"> </v>
      </c>
      <c r="I3046" s="43"/>
      <c r="K3046" t="str">
        <f>IFERROR(+VLOOKUP(Movimientos_2026[[#This Row],[Codigo]],Plan_cuentas[],6,FALSE)," ")</f>
        <v xml:space="preserve"> </v>
      </c>
      <c r="L3046" s="50"/>
      <c r="M3046" s="50"/>
      <c r="N3046" s="20">
        <f>+Movimientos_2026[[#This Row],[Ingresos]]-Movimientos_2026[[#This Row],[Egresos]]</f>
        <v>0</v>
      </c>
      <c r="O3046" s="20">
        <f>+O3045+Movimientos_2026[[#This Row],[Neto]]</f>
        <v>4581558617.7962294</v>
      </c>
    </row>
    <row r="3047" spans="1:15" x14ac:dyDescent="0.25">
      <c r="A3047" s="13"/>
      <c r="B3047" s="12">
        <f>MONTH(Movimientos_2026[[#This Row],[Fecha]])</f>
        <v>1</v>
      </c>
      <c r="C3047" s="12" t="str">
        <f>VLOOKUP((WEEKDAY(Movimientos_2026[[#This Row],[Fecha]],2)),'5. Setup'!$D$6:$E$12,2,FALSE)</f>
        <v>Sab</v>
      </c>
      <c r="E3047" t="str">
        <f>IFERROR(+VLOOKUP(Movimientos_2026[[#This Row],[Codigo]],Plan_cuentas[],2,FALSE)," ")</f>
        <v xml:space="preserve"> </v>
      </c>
      <c r="F3047" t="str">
        <f>IFERROR(+VLOOKUP(Movimientos_2026[[#This Row],[Codigo]],Plan_cuentas[],3,FALSE)," ")</f>
        <v xml:space="preserve"> </v>
      </c>
      <c r="G3047" t="str">
        <f>IFERROR(+VLOOKUP(Movimientos_2026[[#This Row],[Codigo]],Plan_cuentas[],4,FALSE)," ")</f>
        <v xml:space="preserve"> </v>
      </c>
      <c r="H3047" t="str">
        <f>IFERROR(+VLOOKUP(Movimientos_2026[[#This Row],[Codigo]],Plan_cuentas[],5,FALSE)," ")</f>
        <v xml:space="preserve"> </v>
      </c>
      <c r="I3047" s="43"/>
      <c r="K3047" t="str">
        <f>IFERROR(+VLOOKUP(Movimientos_2026[[#This Row],[Codigo]],Plan_cuentas[],6,FALSE)," ")</f>
        <v xml:space="preserve"> </v>
      </c>
      <c r="L3047" s="50"/>
      <c r="M3047" s="50"/>
      <c r="N3047" s="20">
        <f>+Movimientos_2026[[#This Row],[Ingresos]]-Movimientos_2026[[#This Row],[Egresos]]</f>
        <v>0</v>
      </c>
      <c r="O3047" s="20">
        <f>+O3046+Movimientos_2026[[#This Row],[Neto]]</f>
        <v>4581558617.7962294</v>
      </c>
    </row>
    <row r="3048" spans="1:15" x14ac:dyDescent="0.25">
      <c r="A3048" s="13"/>
      <c r="B3048" s="12">
        <f>MONTH(Movimientos_2026[[#This Row],[Fecha]])</f>
        <v>1</v>
      </c>
      <c r="C3048" s="12" t="str">
        <f>VLOOKUP((WEEKDAY(Movimientos_2026[[#This Row],[Fecha]],2)),'5. Setup'!$D$6:$E$12,2,FALSE)</f>
        <v>Sab</v>
      </c>
      <c r="E3048" t="str">
        <f>IFERROR(+VLOOKUP(Movimientos_2026[[#This Row],[Codigo]],Plan_cuentas[],2,FALSE)," ")</f>
        <v xml:space="preserve"> </v>
      </c>
      <c r="F3048" t="str">
        <f>IFERROR(+VLOOKUP(Movimientos_2026[[#This Row],[Codigo]],Plan_cuentas[],3,FALSE)," ")</f>
        <v xml:space="preserve"> </v>
      </c>
      <c r="G3048" t="str">
        <f>IFERROR(+VLOOKUP(Movimientos_2026[[#This Row],[Codigo]],Plan_cuentas[],4,FALSE)," ")</f>
        <v xml:space="preserve"> </v>
      </c>
      <c r="H3048" t="str">
        <f>IFERROR(+VLOOKUP(Movimientos_2026[[#This Row],[Codigo]],Plan_cuentas[],5,FALSE)," ")</f>
        <v xml:space="preserve"> </v>
      </c>
      <c r="I3048" s="43"/>
      <c r="K3048" t="str">
        <f>IFERROR(+VLOOKUP(Movimientos_2026[[#This Row],[Codigo]],Plan_cuentas[],6,FALSE)," ")</f>
        <v xml:space="preserve"> </v>
      </c>
      <c r="L3048" s="50"/>
      <c r="M3048" s="50"/>
      <c r="N3048" s="20">
        <f>+Movimientos_2026[[#This Row],[Ingresos]]-Movimientos_2026[[#This Row],[Egresos]]</f>
        <v>0</v>
      </c>
      <c r="O3048" s="20">
        <f>+O3047+Movimientos_2026[[#This Row],[Neto]]</f>
        <v>4581558617.7962294</v>
      </c>
    </row>
    <row r="3049" spans="1:15" x14ac:dyDescent="0.25">
      <c r="A3049" s="13"/>
      <c r="B3049" s="12">
        <f>MONTH(Movimientos_2026[[#This Row],[Fecha]])</f>
        <v>1</v>
      </c>
      <c r="C3049" s="12" t="str">
        <f>VLOOKUP((WEEKDAY(Movimientos_2026[[#This Row],[Fecha]],2)),'5. Setup'!$D$6:$E$12,2,FALSE)</f>
        <v>Sab</v>
      </c>
      <c r="E3049" t="str">
        <f>IFERROR(+VLOOKUP(Movimientos_2026[[#This Row],[Codigo]],Plan_cuentas[],2,FALSE)," ")</f>
        <v xml:space="preserve"> </v>
      </c>
      <c r="F3049" t="str">
        <f>IFERROR(+VLOOKUP(Movimientos_2026[[#This Row],[Codigo]],Plan_cuentas[],3,FALSE)," ")</f>
        <v xml:space="preserve"> </v>
      </c>
      <c r="G3049" t="str">
        <f>IFERROR(+VLOOKUP(Movimientos_2026[[#This Row],[Codigo]],Plan_cuentas[],4,FALSE)," ")</f>
        <v xml:space="preserve"> </v>
      </c>
      <c r="H3049" t="str">
        <f>IFERROR(+VLOOKUP(Movimientos_2026[[#This Row],[Codigo]],Plan_cuentas[],5,FALSE)," ")</f>
        <v xml:space="preserve"> </v>
      </c>
      <c r="I3049" s="43"/>
      <c r="K3049" t="str">
        <f>IFERROR(+VLOOKUP(Movimientos_2026[[#This Row],[Codigo]],Plan_cuentas[],6,FALSE)," ")</f>
        <v xml:space="preserve"> </v>
      </c>
      <c r="L3049" s="50"/>
      <c r="M3049" s="50"/>
      <c r="N3049" s="20">
        <f>+Movimientos_2026[[#This Row],[Ingresos]]-Movimientos_2026[[#This Row],[Egresos]]</f>
        <v>0</v>
      </c>
      <c r="O3049" s="20">
        <f>+O3048+Movimientos_2026[[#This Row],[Neto]]</f>
        <v>4581558617.7962294</v>
      </c>
    </row>
    <row r="3050" spans="1:15" x14ac:dyDescent="0.25">
      <c r="A3050" s="13"/>
      <c r="B3050" s="12">
        <f>MONTH(Movimientos_2026[[#This Row],[Fecha]])</f>
        <v>1</v>
      </c>
      <c r="C3050" s="12" t="str">
        <f>VLOOKUP((WEEKDAY(Movimientos_2026[[#This Row],[Fecha]],2)),'5. Setup'!$D$6:$E$12,2,FALSE)</f>
        <v>Sab</v>
      </c>
      <c r="E3050" t="str">
        <f>IFERROR(+VLOOKUP(Movimientos_2026[[#This Row],[Codigo]],Plan_cuentas[],2,FALSE)," ")</f>
        <v xml:space="preserve"> </v>
      </c>
      <c r="F3050" t="str">
        <f>IFERROR(+VLOOKUP(Movimientos_2026[[#This Row],[Codigo]],Plan_cuentas[],3,FALSE)," ")</f>
        <v xml:space="preserve"> </v>
      </c>
      <c r="G3050" t="str">
        <f>IFERROR(+VLOOKUP(Movimientos_2026[[#This Row],[Codigo]],Plan_cuentas[],4,FALSE)," ")</f>
        <v xml:space="preserve"> </v>
      </c>
      <c r="H3050" t="str">
        <f>IFERROR(+VLOOKUP(Movimientos_2026[[#This Row],[Codigo]],Plan_cuentas[],5,FALSE)," ")</f>
        <v xml:space="preserve"> </v>
      </c>
      <c r="I3050" s="43"/>
      <c r="K3050" t="str">
        <f>IFERROR(+VLOOKUP(Movimientos_2026[[#This Row],[Codigo]],Plan_cuentas[],6,FALSE)," ")</f>
        <v xml:space="preserve"> </v>
      </c>
      <c r="L3050" s="50"/>
      <c r="M3050" s="50"/>
      <c r="N3050" s="20">
        <f>+Movimientos_2026[[#This Row],[Ingresos]]-Movimientos_2026[[#This Row],[Egresos]]</f>
        <v>0</v>
      </c>
      <c r="O3050" s="20">
        <f>+O3049+Movimientos_2026[[#This Row],[Neto]]</f>
        <v>4581558617.7962294</v>
      </c>
    </row>
    <row r="3051" spans="1:15" x14ac:dyDescent="0.25">
      <c r="A3051" s="13"/>
      <c r="B3051" s="12">
        <f>MONTH(Movimientos_2026[[#This Row],[Fecha]])</f>
        <v>1</v>
      </c>
      <c r="C3051" s="12" t="str">
        <f>VLOOKUP((WEEKDAY(Movimientos_2026[[#This Row],[Fecha]],2)),'5. Setup'!$D$6:$E$12,2,FALSE)</f>
        <v>Sab</v>
      </c>
      <c r="E3051" t="str">
        <f>IFERROR(+VLOOKUP(Movimientos_2026[[#This Row],[Codigo]],Plan_cuentas[],2,FALSE)," ")</f>
        <v xml:space="preserve"> </v>
      </c>
      <c r="F3051" t="str">
        <f>IFERROR(+VLOOKUP(Movimientos_2026[[#This Row],[Codigo]],Plan_cuentas[],3,FALSE)," ")</f>
        <v xml:space="preserve"> </v>
      </c>
      <c r="G3051" t="str">
        <f>IFERROR(+VLOOKUP(Movimientos_2026[[#This Row],[Codigo]],Plan_cuentas[],4,FALSE)," ")</f>
        <v xml:space="preserve"> </v>
      </c>
      <c r="H3051" t="str">
        <f>IFERROR(+VLOOKUP(Movimientos_2026[[#This Row],[Codigo]],Plan_cuentas[],5,FALSE)," ")</f>
        <v xml:space="preserve"> </v>
      </c>
      <c r="I3051" s="43"/>
      <c r="K3051" t="str">
        <f>IFERROR(+VLOOKUP(Movimientos_2026[[#This Row],[Codigo]],Plan_cuentas[],6,FALSE)," ")</f>
        <v xml:space="preserve"> </v>
      </c>
      <c r="L3051" s="50"/>
      <c r="M3051" s="50"/>
      <c r="N3051" s="20">
        <f>+Movimientos_2026[[#This Row],[Ingresos]]-Movimientos_2026[[#This Row],[Egresos]]</f>
        <v>0</v>
      </c>
      <c r="O3051" s="20">
        <f>+O3050+Movimientos_2026[[#This Row],[Neto]]</f>
        <v>4581558617.7962294</v>
      </c>
    </row>
    <row r="3052" spans="1:15" x14ac:dyDescent="0.25">
      <c r="A3052" s="13"/>
      <c r="B3052" s="12">
        <f>MONTH(Movimientos_2026[[#This Row],[Fecha]])</f>
        <v>1</v>
      </c>
      <c r="C3052" s="12" t="str">
        <f>VLOOKUP((WEEKDAY(Movimientos_2026[[#This Row],[Fecha]],2)),'5. Setup'!$D$6:$E$12,2,FALSE)</f>
        <v>Sab</v>
      </c>
      <c r="E3052" t="str">
        <f>IFERROR(+VLOOKUP(Movimientos_2026[[#This Row],[Codigo]],Plan_cuentas[],2,FALSE)," ")</f>
        <v xml:space="preserve"> </v>
      </c>
      <c r="F3052" t="str">
        <f>IFERROR(+VLOOKUP(Movimientos_2026[[#This Row],[Codigo]],Plan_cuentas[],3,FALSE)," ")</f>
        <v xml:space="preserve"> </v>
      </c>
      <c r="G3052" t="str">
        <f>IFERROR(+VLOOKUP(Movimientos_2026[[#This Row],[Codigo]],Plan_cuentas[],4,FALSE)," ")</f>
        <v xml:space="preserve"> </v>
      </c>
      <c r="H3052" t="str">
        <f>IFERROR(+VLOOKUP(Movimientos_2026[[#This Row],[Codigo]],Plan_cuentas[],5,FALSE)," ")</f>
        <v xml:space="preserve"> </v>
      </c>
      <c r="I3052" s="43"/>
      <c r="K3052" t="str">
        <f>IFERROR(+VLOOKUP(Movimientos_2026[[#This Row],[Codigo]],Plan_cuentas[],6,FALSE)," ")</f>
        <v xml:space="preserve"> </v>
      </c>
      <c r="L3052" s="50"/>
      <c r="M3052" s="50"/>
      <c r="N3052" s="20">
        <f>+Movimientos_2026[[#This Row],[Ingresos]]-Movimientos_2026[[#This Row],[Egresos]]</f>
        <v>0</v>
      </c>
      <c r="O3052" s="20">
        <f>+O3051+Movimientos_2026[[#This Row],[Neto]]</f>
        <v>4581558617.7962294</v>
      </c>
    </row>
    <row r="3053" spans="1:15" x14ac:dyDescent="0.25">
      <c r="A3053" s="13"/>
      <c r="B3053" s="12">
        <f>MONTH(Movimientos_2026[[#This Row],[Fecha]])</f>
        <v>1</v>
      </c>
      <c r="C3053" s="12" t="str">
        <f>VLOOKUP((WEEKDAY(Movimientos_2026[[#This Row],[Fecha]],2)),'5. Setup'!$D$6:$E$12,2,FALSE)</f>
        <v>Sab</v>
      </c>
      <c r="E3053" t="str">
        <f>IFERROR(+VLOOKUP(Movimientos_2026[[#This Row],[Codigo]],Plan_cuentas[],2,FALSE)," ")</f>
        <v xml:space="preserve"> </v>
      </c>
      <c r="F3053" t="str">
        <f>IFERROR(+VLOOKUP(Movimientos_2026[[#This Row],[Codigo]],Plan_cuentas[],3,FALSE)," ")</f>
        <v xml:space="preserve"> </v>
      </c>
      <c r="G3053" t="str">
        <f>IFERROR(+VLOOKUP(Movimientos_2026[[#This Row],[Codigo]],Plan_cuentas[],4,FALSE)," ")</f>
        <v xml:space="preserve"> </v>
      </c>
      <c r="H3053" t="str">
        <f>IFERROR(+VLOOKUP(Movimientos_2026[[#This Row],[Codigo]],Plan_cuentas[],5,FALSE)," ")</f>
        <v xml:space="preserve"> </v>
      </c>
      <c r="I3053" s="43"/>
      <c r="K3053" t="str">
        <f>IFERROR(+VLOOKUP(Movimientos_2026[[#This Row],[Codigo]],Plan_cuentas[],6,FALSE)," ")</f>
        <v xml:space="preserve"> </v>
      </c>
      <c r="L3053" s="50"/>
      <c r="M3053" s="50"/>
      <c r="N3053" s="20">
        <f>+Movimientos_2026[[#This Row],[Ingresos]]-Movimientos_2026[[#This Row],[Egresos]]</f>
        <v>0</v>
      </c>
      <c r="O3053" s="20">
        <f>+O3052+Movimientos_2026[[#This Row],[Neto]]</f>
        <v>4581558617.7962294</v>
      </c>
    </row>
    <row r="3054" spans="1:15" x14ac:dyDescent="0.25">
      <c r="A3054" s="13"/>
      <c r="B3054" s="12">
        <f>MONTH(Movimientos_2026[[#This Row],[Fecha]])</f>
        <v>1</v>
      </c>
      <c r="C3054" s="12" t="str">
        <f>VLOOKUP((WEEKDAY(Movimientos_2026[[#This Row],[Fecha]],2)),'5. Setup'!$D$6:$E$12,2,FALSE)</f>
        <v>Sab</v>
      </c>
      <c r="E3054" t="str">
        <f>IFERROR(+VLOOKUP(Movimientos_2026[[#This Row],[Codigo]],Plan_cuentas[],2,FALSE)," ")</f>
        <v xml:space="preserve"> </v>
      </c>
      <c r="F3054" t="str">
        <f>IFERROR(+VLOOKUP(Movimientos_2026[[#This Row],[Codigo]],Plan_cuentas[],3,FALSE)," ")</f>
        <v xml:space="preserve"> </v>
      </c>
      <c r="G3054" t="str">
        <f>IFERROR(+VLOOKUP(Movimientos_2026[[#This Row],[Codigo]],Plan_cuentas[],4,FALSE)," ")</f>
        <v xml:space="preserve"> </v>
      </c>
      <c r="H3054" t="str">
        <f>IFERROR(+VLOOKUP(Movimientos_2026[[#This Row],[Codigo]],Plan_cuentas[],5,FALSE)," ")</f>
        <v xml:space="preserve"> </v>
      </c>
      <c r="I3054" s="43"/>
      <c r="K3054" t="str">
        <f>IFERROR(+VLOOKUP(Movimientos_2026[[#This Row],[Codigo]],Plan_cuentas[],6,FALSE)," ")</f>
        <v xml:space="preserve"> </v>
      </c>
      <c r="L3054" s="50"/>
      <c r="M3054" s="50"/>
      <c r="N3054" s="20">
        <f>+Movimientos_2026[[#This Row],[Ingresos]]-Movimientos_2026[[#This Row],[Egresos]]</f>
        <v>0</v>
      </c>
      <c r="O3054" s="20">
        <f>+O3053+Movimientos_2026[[#This Row],[Neto]]</f>
        <v>4581558617.7962294</v>
      </c>
    </row>
    <row r="3055" spans="1:15" x14ac:dyDescent="0.25">
      <c r="A3055" s="13"/>
      <c r="B3055" s="12">
        <f>MONTH(Movimientos_2026[[#This Row],[Fecha]])</f>
        <v>1</v>
      </c>
      <c r="C3055" s="12" t="str">
        <f>VLOOKUP((WEEKDAY(Movimientos_2026[[#This Row],[Fecha]],2)),'5. Setup'!$D$6:$E$12,2,FALSE)</f>
        <v>Sab</v>
      </c>
      <c r="E3055" t="str">
        <f>IFERROR(+VLOOKUP(Movimientos_2026[[#This Row],[Codigo]],Plan_cuentas[],2,FALSE)," ")</f>
        <v xml:space="preserve"> </v>
      </c>
      <c r="F3055" t="str">
        <f>IFERROR(+VLOOKUP(Movimientos_2026[[#This Row],[Codigo]],Plan_cuentas[],3,FALSE)," ")</f>
        <v xml:space="preserve"> </v>
      </c>
      <c r="G3055" t="str">
        <f>IFERROR(+VLOOKUP(Movimientos_2026[[#This Row],[Codigo]],Plan_cuentas[],4,FALSE)," ")</f>
        <v xml:space="preserve"> </v>
      </c>
      <c r="H3055" t="str">
        <f>IFERROR(+VLOOKUP(Movimientos_2026[[#This Row],[Codigo]],Plan_cuentas[],5,FALSE)," ")</f>
        <v xml:space="preserve"> </v>
      </c>
      <c r="I3055" s="43"/>
      <c r="K3055" t="str">
        <f>IFERROR(+VLOOKUP(Movimientos_2026[[#This Row],[Codigo]],Plan_cuentas[],6,FALSE)," ")</f>
        <v xml:space="preserve"> </v>
      </c>
      <c r="L3055" s="50"/>
      <c r="M3055" s="50"/>
      <c r="N3055" s="20">
        <f>+Movimientos_2026[[#This Row],[Ingresos]]-Movimientos_2026[[#This Row],[Egresos]]</f>
        <v>0</v>
      </c>
      <c r="O3055" s="20">
        <f>+O3054+Movimientos_2026[[#This Row],[Neto]]</f>
        <v>4581558617.7962294</v>
      </c>
    </row>
    <row r="3056" spans="1:15" x14ac:dyDescent="0.25">
      <c r="A3056" s="13"/>
      <c r="B3056" s="12">
        <f>MONTH(Movimientos_2026[[#This Row],[Fecha]])</f>
        <v>1</v>
      </c>
      <c r="C3056" s="12" t="str">
        <f>VLOOKUP((WEEKDAY(Movimientos_2026[[#This Row],[Fecha]],2)),'5. Setup'!$D$6:$E$12,2,FALSE)</f>
        <v>Sab</v>
      </c>
      <c r="E3056" t="str">
        <f>IFERROR(+VLOOKUP(Movimientos_2026[[#This Row],[Codigo]],Plan_cuentas[],2,FALSE)," ")</f>
        <v xml:space="preserve"> </v>
      </c>
      <c r="F3056" t="str">
        <f>IFERROR(+VLOOKUP(Movimientos_2026[[#This Row],[Codigo]],Plan_cuentas[],3,FALSE)," ")</f>
        <v xml:space="preserve"> </v>
      </c>
      <c r="G3056" t="str">
        <f>IFERROR(+VLOOKUP(Movimientos_2026[[#This Row],[Codigo]],Plan_cuentas[],4,FALSE)," ")</f>
        <v xml:space="preserve"> </v>
      </c>
      <c r="H3056" t="str">
        <f>IFERROR(+VLOOKUP(Movimientos_2026[[#This Row],[Codigo]],Plan_cuentas[],5,FALSE)," ")</f>
        <v xml:space="preserve"> </v>
      </c>
      <c r="I3056" s="43"/>
      <c r="K3056" t="str">
        <f>IFERROR(+VLOOKUP(Movimientos_2026[[#This Row],[Codigo]],Plan_cuentas[],6,FALSE)," ")</f>
        <v xml:space="preserve"> </v>
      </c>
      <c r="L3056" s="50"/>
      <c r="M3056" s="50"/>
      <c r="N3056" s="20">
        <f>+Movimientos_2026[[#This Row],[Ingresos]]-Movimientos_2026[[#This Row],[Egresos]]</f>
        <v>0</v>
      </c>
      <c r="O3056" s="20">
        <f>+O3055+Movimientos_2026[[#This Row],[Neto]]</f>
        <v>4581558617.7962294</v>
      </c>
    </row>
    <row r="3057" spans="1:15" x14ac:dyDescent="0.25">
      <c r="A3057" s="13"/>
      <c r="B3057" s="12">
        <f>MONTH(Movimientos_2026[[#This Row],[Fecha]])</f>
        <v>1</v>
      </c>
      <c r="C3057" s="12" t="str">
        <f>VLOOKUP((WEEKDAY(Movimientos_2026[[#This Row],[Fecha]],2)),'5. Setup'!$D$6:$E$12,2,FALSE)</f>
        <v>Sab</v>
      </c>
      <c r="E3057" t="str">
        <f>IFERROR(+VLOOKUP(Movimientos_2026[[#This Row],[Codigo]],Plan_cuentas[],2,FALSE)," ")</f>
        <v xml:space="preserve"> </v>
      </c>
      <c r="F3057" t="str">
        <f>IFERROR(+VLOOKUP(Movimientos_2026[[#This Row],[Codigo]],Plan_cuentas[],3,FALSE)," ")</f>
        <v xml:space="preserve"> </v>
      </c>
      <c r="G3057" t="str">
        <f>IFERROR(+VLOOKUP(Movimientos_2026[[#This Row],[Codigo]],Plan_cuentas[],4,FALSE)," ")</f>
        <v xml:space="preserve"> </v>
      </c>
      <c r="H3057" t="str">
        <f>IFERROR(+VLOOKUP(Movimientos_2026[[#This Row],[Codigo]],Plan_cuentas[],5,FALSE)," ")</f>
        <v xml:space="preserve"> </v>
      </c>
      <c r="I3057" s="43"/>
      <c r="K3057" t="str">
        <f>IFERROR(+VLOOKUP(Movimientos_2026[[#This Row],[Codigo]],Plan_cuentas[],6,FALSE)," ")</f>
        <v xml:space="preserve"> </v>
      </c>
      <c r="L3057" s="50"/>
      <c r="M3057" s="50"/>
      <c r="N3057" s="20">
        <f>+Movimientos_2026[[#This Row],[Ingresos]]-Movimientos_2026[[#This Row],[Egresos]]</f>
        <v>0</v>
      </c>
      <c r="O3057" s="20">
        <f>+O3056+Movimientos_2026[[#This Row],[Neto]]</f>
        <v>4581558617.7962294</v>
      </c>
    </row>
    <row r="3058" spans="1:15" x14ac:dyDescent="0.25">
      <c r="A3058" s="13"/>
      <c r="B3058" s="12">
        <f>MONTH(Movimientos_2026[[#This Row],[Fecha]])</f>
        <v>1</v>
      </c>
      <c r="C3058" s="12" t="str">
        <f>VLOOKUP((WEEKDAY(Movimientos_2026[[#This Row],[Fecha]],2)),'5. Setup'!$D$6:$E$12,2,FALSE)</f>
        <v>Sab</v>
      </c>
      <c r="E3058" t="str">
        <f>IFERROR(+VLOOKUP(Movimientos_2026[[#This Row],[Codigo]],Plan_cuentas[],2,FALSE)," ")</f>
        <v xml:space="preserve"> </v>
      </c>
      <c r="F3058" t="str">
        <f>IFERROR(+VLOOKUP(Movimientos_2026[[#This Row],[Codigo]],Plan_cuentas[],3,FALSE)," ")</f>
        <v xml:space="preserve"> </v>
      </c>
      <c r="G3058" t="str">
        <f>IFERROR(+VLOOKUP(Movimientos_2026[[#This Row],[Codigo]],Plan_cuentas[],4,FALSE)," ")</f>
        <v xml:space="preserve"> </v>
      </c>
      <c r="H3058" t="str">
        <f>IFERROR(+VLOOKUP(Movimientos_2026[[#This Row],[Codigo]],Plan_cuentas[],5,FALSE)," ")</f>
        <v xml:space="preserve"> </v>
      </c>
      <c r="I3058" s="43"/>
      <c r="K3058" t="str">
        <f>IFERROR(+VLOOKUP(Movimientos_2026[[#This Row],[Codigo]],Plan_cuentas[],6,FALSE)," ")</f>
        <v xml:space="preserve"> </v>
      </c>
      <c r="L3058" s="50"/>
      <c r="M3058" s="50"/>
      <c r="N3058" s="20">
        <f>+Movimientos_2026[[#This Row],[Ingresos]]-Movimientos_2026[[#This Row],[Egresos]]</f>
        <v>0</v>
      </c>
      <c r="O3058" s="20">
        <f>+O3057+Movimientos_2026[[#This Row],[Neto]]</f>
        <v>4581558617.7962294</v>
      </c>
    </row>
    <row r="3059" spans="1:15" x14ac:dyDescent="0.25">
      <c r="A3059" s="13"/>
      <c r="B3059" s="12">
        <f>MONTH(Movimientos_2026[[#This Row],[Fecha]])</f>
        <v>1</v>
      </c>
      <c r="C3059" s="12" t="str">
        <f>VLOOKUP((WEEKDAY(Movimientos_2026[[#This Row],[Fecha]],2)),'5. Setup'!$D$6:$E$12,2,FALSE)</f>
        <v>Sab</v>
      </c>
      <c r="E3059" t="str">
        <f>IFERROR(+VLOOKUP(Movimientos_2026[[#This Row],[Codigo]],Plan_cuentas[],2,FALSE)," ")</f>
        <v xml:space="preserve"> </v>
      </c>
      <c r="F3059" t="str">
        <f>IFERROR(+VLOOKUP(Movimientos_2026[[#This Row],[Codigo]],Plan_cuentas[],3,FALSE)," ")</f>
        <v xml:space="preserve"> </v>
      </c>
      <c r="G3059" t="str">
        <f>IFERROR(+VLOOKUP(Movimientos_2026[[#This Row],[Codigo]],Plan_cuentas[],4,FALSE)," ")</f>
        <v xml:space="preserve"> </v>
      </c>
      <c r="H3059" t="str">
        <f>IFERROR(+VLOOKUP(Movimientos_2026[[#This Row],[Codigo]],Plan_cuentas[],5,FALSE)," ")</f>
        <v xml:space="preserve"> </v>
      </c>
      <c r="I3059" s="43"/>
      <c r="K3059" t="str">
        <f>IFERROR(+VLOOKUP(Movimientos_2026[[#This Row],[Codigo]],Plan_cuentas[],6,FALSE)," ")</f>
        <v xml:space="preserve"> </v>
      </c>
      <c r="L3059" s="50"/>
      <c r="M3059" s="50"/>
      <c r="N3059" s="20">
        <f>+Movimientos_2026[[#This Row],[Ingresos]]-Movimientos_2026[[#This Row],[Egresos]]</f>
        <v>0</v>
      </c>
      <c r="O3059" s="20">
        <f>+O3058+Movimientos_2026[[#This Row],[Neto]]</f>
        <v>4581558617.7962294</v>
      </c>
    </row>
    <row r="3060" spans="1:15" x14ac:dyDescent="0.25">
      <c r="A3060" s="13"/>
      <c r="B3060" s="12">
        <f>MONTH(Movimientos_2026[[#This Row],[Fecha]])</f>
        <v>1</v>
      </c>
      <c r="C3060" s="12" t="str">
        <f>VLOOKUP((WEEKDAY(Movimientos_2026[[#This Row],[Fecha]],2)),'5. Setup'!$D$6:$E$12,2,FALSE)</f>
        <v>Sab</v>
      </c>
      <c r="E3060" t="str">
        <f>IFERROR(+VLOOKUP(Movimientos_2026[[#This Row],[Codigo]],Plan_cuentas[],2,FALSE)," ")</f>
        <v xml:space="preserve"> </v>
      </c>
      <c r="F3060" t="str">
        <f>IFERROR(+VLOOKUP(Movimientos_2026[[#This Row],[Codigo]],Plan_cuentas[],3,FALSE)," ")</f>
        <v xml:space="preserve"> </v>
      </c>
      <c r="G3060" t="str">
        <f>IFERROR(+VLOOKUP(Movimientos_2026[[#This Row],[Codigo]],Plan_cuentas[],4,FALSE)," ")</f>
        <v xml:space="preserve"> </v>
      </c>
      <c r="H3060" t="str">
        <f>IFERROR(+VLOOKUP(Movimientos_2026[[#This Row],[Codigo]],Plan_cuentas[],5,FALSE)," ")</f>
        <v xml:space="preserve"> </v>
      </c>
      <c r="I3060" s="43"/>
      <c r="K3060" t="str">
        <f>IFERROR(+VLOOKUP(Movimientos_2026[[#This Row],[Codigo]],Plan_cuentas[],6,FALSE)," ")</f>
        <v xml:space="preserve"> </v>
      </c>
      <c r="L3060" s="50"/>
      <c r="M3060" s="50"/>
      <c r="N3060" s="20">
        <f>+Movimientos_2026[[#This Row],[Ingresos]]-Movimientos_2026[[#This Row],[Egresos]]</f>
        <v>0</v>
      </c>
      <c r="O3060" s="20">
        <f>+O3059+Movimientos_2026[[#This Row],[Neto]]</f>
        <v>4581558617.7962294</v>
      </c>
    </row>
    <row r="3061" spans="1:15" x14ac:dyDescent="0.25">
      <c r="A3061" s="13"/>
      <c r="B3061" s="12">
        <f>MONTH(Movimientos_2026[[#This Row],[Fecha]])</f>
        <v>1</v>
      </c>
      <c r="C3061" s="12" t="str">
        <f>VLOOKUP((WEEKDAY(Movimientos_2026[[#This Row],[Fecha]],2)),'5. Setup'!$D$6:$E$12,2,FALSE)</f>
        <v>Sab</v>
      </c>
      <c r="E3061" t="str">
        <f>IFERROR(+VLOOKUP(Movimientos_2026[[#This Row],[Codigo]],Plan_cuentas[],2,FALSE)," ")</f>
        <v xml:space="preserve"> </v>
      </c>
      <c r="F3061" t="str">
        <f>IFERROR(+VLOOKUP(Movimientos_2026[[#This Row],[Codigo]],Plan_cuentas[],3,FALSE)," ")</f>
        <v xml:space="preserve"> </v>
      </c>
      <c r="G3061" t="str">
        <f>IFERROR(+VLOOKUP(Movimientos_2026[[#This Row],[Codigo]],Plan_cuentas[],4,FALSE)," ")</f>
        <v xml:space="preserve"> </v>
      </c>
      <c r="H3061" t="str">
        <f>IFERROR(+VLOOKUP(Movimientos_2026[[#This Row],[Codigo]],Plan_cuentas[],5,FALSE)," ")</f>
        <v xml:space="preserve"> </v>
      </c>
      <c r="I3061" s="43"/>
      <c r="K3061" t="str">
        <f>IFERROR(+VLOOKUP(Movimientos_2026[[#This Row],[Codigo]],Plan_cuentas[],6,FALSE)," ")</f>
        <v xml:space="preserve"> </v>
      </c>
      <c r="L3061" s="50"/>
      <c r="M3061" s="50"/>
      <c r="N3061" s="20">
        <f>+Movimientos_2026[[#This Row],[Ingresos]]-Movimientos_2026[[#This Row],[Egresos]]</f>
        <v>0</v>
      </c>
      <c r="O3061" s="20">
        <f>+O3060+Movimientos_2026[[#This Row],[Neto]]</f>
        <v>4581558617.7962294</v>
      </c>
    </row>
    <row r="3062" spans="1:15" x14ac:dyDescent="0.25">
      <c r="A3062" s="13"/>
      <c r="B3062" s="12">
        <f>MONTH(Movimientos_2026[[#This Row],[Fecha]])</f>
        <v>1</v>
      </c>
      <c r="C3062" s="12" t="str">
        <f>VLOOKUP((WEEKDAY(Movimientos_2026[[#This Row],[Fecha]],2)),'5. Setup'!$D$6:$E$12,2,FALSE)</f>
        <v>Sab</v>
      </c>
      <c r="E3062" t="str">
        <f>IFERROR(+VLOOKUP(Movimientos_2026[[#This Row],[Codigo]],Plan_cuentas[],2,FALSE)," ")</f>
        <v xml:space="preserve"> </v>
      </c>
      <c r="F3062" t="str">
        <f>IFERROR(+VLOOKUP(Movimientos_2026[[#This Row],[Codigo]],Plan_cuentas[],3,FALSE)," ")</f>
        <v xml:space="preserve"> </v>
      </c>
      <c r="G3062" t="str">
        <f>IFERROR(+VLOOKUP(Movimientos_2026[[#This Row],[Codigo]],Plan_cuentas[],4,FALSE)," ")</f>
        <v xml:space="preserve"> </v>
      </c>
      <c r="H3062" t="str">
        <f>IFERROR(+VLOOKUP(Movimientos_2026[[#This Row],[Codigo]],Plan_cuentas[],5,FALSE)," ")</f>
        <v xml:space="preserve"> </v>
      </c>
      <c r="I3062" s="43"/>
      <c r="K3062" t="str">
        <f>IFERROR(+VLOOKUP(Movimientos_2026[[#This Row],[Codigo]],Plan_cuentas[],6,FALSE)," ")</f>
        <v xml:space="preserve"> </v>
      </c>
      <c r="L3062" s="50"/>
      <c r="M3062" s="50"/>
      <c r="N3062" s="20">
        <f>+Movimientos_2026[[#This Row],[Ingresos]]-Movimientos_2026[[#This Row],[Egresos]]</f>
        <v>0</v>
      </c>
      <c r="O3062" s="20">
        <f>+O3061+Movimientos_2026[[#This Row],[Neto]]</f>
        <v>4581558617.7962294</v>
      </c>
    </row>
    <row r="3063" spans="1:15" x14ac:dyDescent="0.25">
      <c r="A3063" s="13"/>
      <c r="B3063" s="12">
        <f>MONTH(Movimientos_2026[[#This Row],[Fecha]])</f>
        <v>1</v>
      </c>
      <c r="C3063" s="12" t="str">
        <f>VLOOKUP((WEEKDAY(Movimientos_2026[[#This Row],[Fecha]],2)),'5. Setup'!$D$6:$E$12,2,FALSE)</f>
        <v>Sab</v>
      </c>
      <c r="E3063" t="str">
        <f>IFERROR(+VLOOKUP(Movimientos_2026[[#This Row],[Codigo]],Plan_cuentas[],2,FALSE)," ")</f>
        <v xml:space="preserve"> </v>
      </c>
      <c r="F3063" t="str">
        <f>IFERROR(+VLOOKUP(Movimientos_2026[[#This Row],[Codigo]],Plan_cuentas[],3,FALSE)," ")</f>
        <v xml:space="preserve"> </v>
      </c>
      <c r="G3063" t="str">
        <f>IFERROR(+VLOOKUP(Movimientos_2026[[#This Row],[Codigo]],Plan_cuentas[],4,FALSE)," ")</f>
        <v xml:space="preserve"> </v>
      </c>
      <c r="H3063" t="str">
        <f>IFERROR(+VLOOKUP(Movimientos_2026[[#This Row],[Codigo]],Plan_cuentas[],5,FALSE)," ")</f>
        <v xml:space="preserve"> </v>
      </c>
      <c r="I3063" s="43"/>
      <c r="K3063" t="str">
        <f>IFERROR(+VLOOKUP(Movimientos_2026[[#This Row],[Codigo]],Plan_cuentas[],6,FALSE)," ")</f>
        <v xml:space="preserve"> </v>
      </c>
      <c r="L3063" s="50"/>
      <c r="M3063" s="50"/>
      <c r="N3063" s="20">
        <f>+Movimientos_2026[[#This Row],[Ingresos]]-Movimientos_2026[[#This Row],[Egresos]]</f>
        <v>0</v>
      </c>
      <c r="O3063" s="20">
        <f>+O3062+Movimientos_2026[[#This Row],[Neto]]</f>
        <v>4581558617.7962294</v>
      </c>
    </row>
    <row r="3064" spans="1:15" x14ac:dyDescent="0.25">
      <c r="A3064" s="13"/>
      <c r="B3064" s="12">
        <f>MONTH(Movimientos_2026[[#This Row],[Fecha]])</f>
        <v>1</v>
      </c>
      <c r="C3064" s="12" t="str">
        <f>VLOOKUP((WEEKDAY(Movimientos_2026[[#This Row],[Fecha]],2)),'5. Setup'!$D$6:$E$12,2,FALSE)</f>
        <v>Sab</v>
      </c>
      <c r="E3064" t="str">
        <f>IFERROR(+VLOOKUP(Movimientos_2026[[#This Row],[Codigo]],Plan_cuentas[],2,FALSE)," ")</f>
        <v xml:space="preserve"> </v>
      </c>
      <c r="F3064" t="str">
        <f>IFERROR(+VLOOKUP(Movimientos_2026[[#This Row],[Codigo]],Plan_cuentas[],3,FALSE)," ")</f>
        <v xml:space="preserve"> </v>
      </c>
      <c r="G3064" t="str">
        <f>IFERROR(+VLOOKUP(Movimientos_2026[[#This Row],[Codigo]],Plan_cuentas[],4,FALSE)," ")</f>
        <v xml:space="preserve"> </v>
      </c>
      <c r="H3064" t="str">
        <f>IFERROR(+VLOOKUP(Movimientos_2026[[#This Row],[Codigo]],Plan_cuentas[],5,FALSE)," ")</f>
        <v xml:space="preserve"> </v>
      </c>
      <c r="I3064" s="43"/>
      <c r="K3064" t="str">
        <f>IFERROR(+VLOOKUP(Movimientos_2026[[#This Row],[Codigo]],Plan_cuentas[],6,FALSE)," ")</f>
        <v xml:space="preserve"> </v>
      </c>
      <c r="L3064" s="50"/>
      <c r="M3064" s="50"/>
      <c r="N3064" s="20">
        <f>+Movimientos_2026[[#This Row],[Ingresos]]-Movimientos_2026[[#This Row],[Egresos]]</f>
        <v>0</v>
      </c>
      <c r="O3064" s="20">
        <f>+O3063+Movimientos_2026[[#This Row],[Neto]]</f>
        <v>4581558617.7962294</v>
      </c>
    </row>
    <row r="3065" spans="1:15" x14ac:dyDescent="0.25">
      <c r="A3065" s="13"/>
      <c r="B3065" s="12">
        <f>MONTH(Movimientos_2026[[#This Row],[Fecha]])</f>
        <v>1</v>
      </c>
      <c r="C3065" s="12" t="str">
        <f>VLOOKUP((WEEKDAY(Movimientos_2026[[#This Row],[Fecha]],2)),'5. Setup'!$D$6:$E$12,2,FALSE)</f>
        <v>Sab</v>
      </c>
      <c r="E3065" t="str">
        <f>IFERROR(+VLOOKUP(Movimientos_2026[[#This Row],[Codigo]],Plan_cuentas[],2,FALSE)," ")</f>
        <v xml:space="preserve"> </v>
      </c>
      <c r="F3065" t="str">
        <f>IFERROR(+VLOOKUP(Movimientos_2026[[#This Row],[Codigo]],Plan_cuentas[],3,FALSE)," ")</f>
        <v xml:space="preserve"> </v>
      </c>
      <c r="G3065" t="str">
        <f>IFERROR(+VLOOKUP(Movimientos_2026[[#This Row],[Codigo]],Plan_cuentas[],4,FALSE)," ")</f>
        <v xml:space="preserve"> </v>
      </c>
      <c r="H3065" t="str">
        <f>IFERROR(+VLOOKUP(Movimientos_2026[[#This Row],[Codigo]],Plan_cuentas[],5,FALSE)," ")</f>
        <v xml:space="preserve"> </v>
      </c>
      <c r="I3065" s="43"/>
      <c r="K3065" t="str">
        <f>IFERROR(+VLOOKUP(Movimientos_2026[[#This Row],[Codigo]],Plan_cuentas[],6,FALSE)," ")</f>
        <v xml:space="preserve"> </v>
      </c>
      <c r="L3065" s="50"/>
      <c r="M3065" s="50"/>
      <c r="N3065" s="20">
        <f>+Movimientos_2026[[#This Row],[Ingresos]]-Movimientos_2026[[#This Row],[Egresos]]</f>
        <v>0</v>
      </c>
      <c r="O3065" s="20">
        <f>+O3064+Movimientos_2026[[#This Row],[Neto]]</f>
        <v>4581558617.7962294</v>
      </c>
    </row>
    <row r="3066" spans="1:15" x14ac:dyDescent="0.25">
      <c r="A3066" s="13"/>
      <c r="B3066" s="12">
        <f>MONTH(Movimientos_2026[[#This Row],[Fecha]])</f>
        <v>1</v>
      </c>
      <c r="C3066" s="12" t="str">
        <f>VLOOKUP((WEEKDAY(Movimientos_2026[[#This Row],[Fecha]],2)),'5. Setup'!$D$6:$E$12,2,FALSE)</f>
        <v>Sab</v>
      </c>
      <c r="E3066" t="str">
        <f>IFERROR(+VLOOKUP(Movimientos_2026[[#This Row],[Codigo]],Plan_cuentas[],2,FALSE)," ")</f>
        <v xml:space="preserve"> </v>
      </c>
      <c r="F3066" t="str">
        <f>IFERROR(+VLOOKUP(Movimientos_2026[[#This Row],[Codigo]],Plan_cuentas[],3,FALSE)," ")</f>
        <v xml:space="preserve"> </v>
      </c>
      <c r="G3066" t="str">
        <f>IFERROR(+VLOOKUP(Movimientos_2026[[#This Row],[Codigo]],Plan_cuentas[],4,FALSE)," ")</f>
        <v xml:space="preserve"> </v>
      </c>
      <c r="H3066" t="str">
        <f>IFERROR(+VLOOKUP(Movimientos_2026[[#This Row],[Codigo]],Plan_cuentas[],5,FALSE)," ")</f>
        <v xml:space="preserve"> </v>
      </c>
      <c r="I3066" s="43"/>
      <c r="K3066" t="str">
        <f>IFERROR(+VLOOKUP(Movimientos_2026[[#This Row],[Codigo]],Plan_cuentas[],6,FALSE)," ")</f>
        <v xml:space="preserve"> </v>
      </c>
      <c r="L3066" s="50"/>
      <c r="M3066" s="52"/>
      <c r="N3066" s="20">
        <f>+Movimientos_2026[[#This Row],[Ingresos]]-Movimientos_2026[[#This Row],[Egresos]]</f>
        <v>0</v>
      </c>
      <c r="O3066" s="20">
        <f>+O3065+Movimientos_2026[[#This Row],[Neto]]</f>
        <v>4581558617.7962294</v>
      </c>
    </row>
    <row r="3067" spans="1:15" x14ac:dyDescent="0.25">
      <c r="A3067" s="13"/>
      <c r="B3067" s="12">
        <f>MONTH(Movimientos_2026[[#This Row],[Fecha]])</f>
        <v>1</v>
      </c>
      <c r="C3067" s="12" t="str">
        <f>VLOOKUP((WEEKDAY(Movimientos_2026[[#This Row],[Fecha]],2)),'5. Setup'!$D$6:$E$12,2,FALSE)</f>
        <v>Sab</v>
      </c>
      <c r="E3067" t="str">
        <f>IFERROR(+VLOOKUP(Movimientos_2026[[#This Row],[Codigo]],Plan_cuentas[],2,FALSE)," ")</f>
        <v xml:space="preserve"> </v>
      </c>
      <c r="F3067" t="str">
        <f>IFERROR(+VLOOKUP(Movimientos_2026[[#This Row],[Codigo]],Plan_cuentas[],3,FALSE)," ")</f>
        <v xml:space="preserve"> </v>
      </c>
      <c r="G3067" t="str">
        <f>IFERROR(+VLOOKUP(Movimientos_2026[[#This Row],[Codigo]],Plan_cuentas[],4,FALSE)," ")</f>
        <v xml:space="preserve"> </v>
      </c>
      <c r="H3067" t="str">
        <f>IFERROR(+VLOOKUP(Movimientos_2026[[#This Row],[Codigo]],Plan_cuentas[],5,FALSE)," ")</f>
        <v xml:space="preserve"> </v>
      </c>
      <c r="I3067" s="43"/>
      <c r="K3067" t="str">
        <f>IFERROR(+VLOOKUP(Movimientos_2026[[#This Row],[Codigo]],Plan_cuentas[],6,FALSE)," ")</f>
        <v xml:space="preserve"> </v>
      </c>
      <c r="L3067" s="50"/>
      <c r="M3067" s="50"/>
      <c r="N3067" s="20">
        <f>+Movimientos_2026[[#This Row],[Ingresos]]-Movimientos_2026[[#This Row],[Egresos]]</f>
        <v>0</v>
      </c>
      <c r="O3067" s="20">
        <f>+O3066+Movimientos_2026[[#This Row],[Neto]]</f>
        <v>4581558617.7962294</v>
      </c>
    </row>
    <row r="3068" spans="1:15" x14ac:dyDescent="0.25">
      <c r="A3068" s="13"/>
      <c r="B3068" s="12">
        <f>MONTH(Movimientos_2026[[#This Row],[Fecha]])</f>
        <v>1</v>
      </c>
      <c r="C3068" s="12" t="str">
        <f>VLOOKUP((WEEKDAY(Movimientos_2026[[#This Row],[Fecha]],2)),'5. Setup'!$D$6:$E$12,2,FALSE)</f>
        <v>Sab</v>
      </c>
      <c r="E3068" t="str">
        <f>IFERROR(+VLOOKUP(Movimientos_2026[[#This Row],[Codigo]],Plan_cuentas[],2,FALSE)," ")</f>
        <v xml:space="preserve"> </v>
      </c>
      <c r="F3068" t="str">
        <f>IFERROR(+VLOOKUP(Movimientos_2026[[#This Row],[Codigo]],Plan_cuentas[],3,FALSE)," ")</f>
        <v xml:space="preserve"> </v>
      </c>
      <c r="G3068" t="str">
        <f>IFERROR(+VLOOKUP(Movimientos_2026[[#This Row],[Codigo]],Plan_cuentas[],4,FALSE)," ")</f>
        <v xml:space="preserve"> </v>
      </c>
      <c r="H3068" t="str">
        <f>IFERROR(+VLOOKUP(Movimientos_2026[[#This Row],[Codigo]],Plan_cuentas[],5,FALSE)," ")</f>
        <v xml:space="preserve"> </v>
      </c>
      <c r="I3068" s="43"/>
      <c r="K3068" t="str">
        <f>IFERROR(+VLOOKUP(Movimientos_2026[[#This Row],[Codigo]],Plan_cuentas[],6,FALSE)," ")</f>
        <v xml:space="preserve"> </v>
      </c>
      <c r="L3068" s="50"/>
      <c r="M3068" s="50"/>
      <c r="N3068" s="20">
        <f>+Movimientos_2026[[#This Row],[Ingresos]]-Movimientos_2026[[#This Row],[Egresos]]</f>
        <v>0</v>
      </c>
      <c r="O3068" s="20">
        <f>+O3067+Movimientos_2026[[#This Row],[Neto]]</f>
        <v>4581558617.7962294</v>
      </c>
    </row>
    <row r="3069" spans="1:15" x14ac:dyDescent="0.25">
      <c r="A3069" s="13"/>
      <c r="B3069" s="12">
        <f>MONTH(Movimientos_2026[[#This Row],[Fecha]])</f>
        <v>1</v>
      </c>
      <c r="C3069" s="12" t="str">
        <f>VLOOKUP((WEEKDAY(Movimientos_2026[[#This Row],[Fecha]],2)),'5. Setup'!$D$6:$E$12,2,FALSE)</f>
        <v>Sab</v>
      </c>
      <c r="E3069" t="str">
        <f>IFERROR(+VLOOKUP(Movimientos_2026[[#This Row],[Codigo]],Plan_cuentas[],2,FALSE)," ")</f>
        <v xml:space="preserve"> </v>
      </c>
      <c r="F3069" t="str">
        <f>IFERROR(+VLOOKUP(Movimientos_2026[[#This Row],[Codigo]],Plan_cuentas[],3,FALSE)," ")</f>
        <v xml:space="preserve"> </v>
      </c>
      <c r="G3069" t="str">
        <f>IFERROR(+VLOOKUP(Movimientos_2026[[#This Row],[Codigo]],Plan_cuentas[],4,FALSE)," ")</f>
        <v xml:space="preserve"> </v>
      </c>
      <c r="H3069" t="str">
        <f>IFERROR(+VLOOKUP(Movimientos_2026[[#This Row],[Codigo]],Plan_cuentas[],5,FALSE)," ")</f>
        <v xml:space="preserve"> </v>
      </c>
      <c r="I3069" s="43"/>
      <c r="K3069" t="str">
        <f>IFERROR(+VLOOKUP(Movimientos_2026[[#This Row],[Codigo]],Plan_cuentas[],6,FALSE)," ")</f>
        <v xml:space="preserve"> </v>
      </c>
      <c r="L3069" s="50"/>
      <c r="M3069" s="50"/>
      <c r="N3069" s="20">
        <f>+Movimientos_2026[[#This Row],[Ingresos]]-Movimientos_2026[[#This Row],[Egresos]]</f>
        <v>0</v>
      </c>
      <c r="O3069" s="20">
        <f>+O3068+Movimientos_2026[[#This Row],[Neto]]</f>
        <v>4581558617.7962294</v>
      </c>
    </row>
    <row r="3070" spans="1:15" x14ac:dyDescent="0.25">
      <c r="A3070" s="13"/>
      <c r="B3070" s="12">
        <f>MONTH(Movimientos_2026[[#This Row],[Fecha]])</f>
        <v>1</v>
      </c>
      <c r="C3070" s="12" t="str">
        <f>VLOOKUP((WEEKDAY(Movimientos_2026[[#This Row],[Fecha]],2)),'5. Setup'!$D$6:$E$12,2,FALSE)</f>
        <v>Sab</v>
      </c>
      <c r="E3070" t="str">
        <f>IFERROR(+VLOOKUP(Movimientos_2026[[#This Row],[Codigo]],Plan_cuentas[],2,FALSE)," ")</f>
        <v xml:space="preserve"> </v>
      </c>
      <c r="F3070" t="str">
        <f>IFERROR(+VLOOKUP(Movimientos_2026[[#This Row],[Codigo]],Plan_cuentas[],3,FALSE)," ")</f>
        <v xml:space="preserve"> </v>
      </c>
      <c r="G3070" t="str">
        <f>IFERROR(+VLOOKUP(Movimientos_2026[[#This Row],[Codigo]],Plan_cuentas[],4,FALSE)," ")</f>
        <v xml:space="preserve"> </v>
      </c>
      <c r="H3070" t="str">
        <f>IFERROR(+VLOOKUP(Movimientos_2026[[#This Row],[Codigo]],Plan_cuentas[],5,FALSE)," ")</f>
        <v xml:space="preserve"> </v>
      </c>
      <c r="I3070" s="43"/>
      <c r="K3070" t="str">
        <f>IFERROR(+VLOOKUP(Movimientos_2026[[#This Row],[Codigo]],Plan_cuentas[],6,FALSE)," ")</f>
        <v xml:space="preserve"> </v>
      </c>
      <c r="L3070" s="50"/>
      <c r="M3070" s="50"/>
      <c r="N3070" s="20">
        <f>+Movimientos_2026[[#This Row],[Ingresos]]-Movimientos_2026[[#This Row],[Egresos]]</f>
        <v>0</v>
      </c>
      <c r="O3070" s="20">
        <f>+O3069+Movimientos_2026[[#This Row],[Neto]]</f>
        <v>4581558617.7962294</v>
      </c>
    </row>
    <row r="3071" spans="1:15" x14ac:dyDescent="0.25">
      <c r="A3071" s="13"/>
      <c r="B3071" s="12">
        <f>MONTH(Movimientos_2026[[#This Row],[Fecha]])</f>
        <v>1</v>
      </c>
      <c r="C3071" s="12" t="str">
        <f>VLOOKUP((WEEKDAY(Movimientos_2026[[#This Row],[Fecha]],2)),'5. Setup'!$D$6:$E$12,2,FALSE)</f>
        <v>Sab</v>
      </c>
      <c r="E3071" t="str">
        <f>IFERROR(+VLOOKUP(Movimientos_2026[[#This Row],[Codigo]],Plan_cuentas[],2,FALSE)," ")</f>
        <v xml:space="preserve"> </v>
      </c>
      <c r="F3071" t="str">
        <f>IFERROR(+VLOOKUP(Movimientos_2026[[#This Row],[Codigo]],Plan_cuentas[],3,FALSE)," ")</f>
        <v xml:space="preserve"> </v>
      </c>
      <c r="G3071" t="str">
        <f>IFERROR(+VLOOKUP(Movimientos_2026[[#This Row],[Codigo]],Plan_cuentas[],4,FALSE)," ")</f>
        <v xml:space="preserve"> </v>
      </c>
      <c r="H3071" t="str">
        <f>IFERROR(+VLOOKUP(Movimientos_2026[[#This Row],[Codigo]],Plan_cuentas[],5,FALSE)," ")</f>
        <v xml:space="preserve"> </v>
      </c>
      <c r="I3071" s="43"/>
      <c r="K3071" t="str">
        <f>IFERROR(+VLOOKUP(Movimientos_2026[[#This Row],[Codigo]],Plan_cuentas[],6,FALSE)," ")</f>
        <v xml:space="preserve"> </v>
      </c>
      <c r="L3071" s="50"/>
      <c r="M3071" s="50"/>
      <c r="N3071" s="20">
        <f>+Movimientos_2026[[#This Row],[Ingresos]]-Movimientos_2026[[#This Row],[Egresos]]</f>
        <v>0</v>
      </c>
      <c r="O3071" s="20">
        <f>+O3070+Movimientos_2026[[#This Row],[Neto]]</f>
        <v>4581558617.7962294</v>
      </c>
    </row>
    <row r="3072" spans="1:15" x14ac:dyDescent="0.25">
      <c r="A3072" s="13"/>
      <c r="B3072" s="12">
        <f>MONTH(Movimientos_2026[[#This Row],[Fecha]])</f>
        <v>1</v>
      </c>
      <c r="C3072" s="12" t="str">
        <f>VLOOKUP((WEEKDAY(Movimientos_2026[[#This Row],[Fecha]],2)),'5. Setup'!$D$6:$E$12,2,FALSE)</f>
        <v>Sab</v>
      </c>
      <c r="E3072" t="str">
        <f>IFERROR(+VLOOKUP(Movimientos_2026[[#This Row],[Codigo]],Plan_cuentas[],2,FALSE)," ")</f>
        <v xml:space="preserve"> </v>
      </c>
      <c r="F3072" t="str">
        <f>IFERROR(+VLOOKUP(Movimientos_2026[[#This Row],[Codigo]],Plan_cuentas[],3,FALSE)," ")</f>
        <v xml:space="preserve"> </v>
      </c>
      <c r="G3072" t="str">
        <f>IFERROR(+VLOOKUP(Movimientos_2026[[#This Row],[Codigo]],Plan_cuentas[],4,FALSE)," ")</f>
        <v xml:space="preserve"> </v>
      </c>
      <c r="H3072" t="str">
        <f>IFERROR(+VLOOKUP(Movimientos_2026[[#This Row],[Codigo]],Plan_cuentas[],5,FALSE)," ")</f>
        <v xml:space="preserve"> </v>
      </c>
      <c r="I3072" s="43"/>
      <c r="K3072" t="str">
        <f>IFERROR(+VLOOKUP(Movimientos_2026[[#This Row],[Codigo]],Plan_cuentas[],6,FALSE)," ")</f>
        <v xml:space="preserve"> </v>
      </c>
      <c r="L3072" s="50"/>
      <c r="M3072" s="50"/>
      <c r="N3072" s="20">
        <f>+Movimientos_2026[[#This Row],[Ingresos]]-Movimientos_2026[[#This Row],[Egresos]]</f>
        <v>0</v>
      </c>
      <c r="O3072" s="20">
        <f>+O3071+Movimientos_2026[[#This Row],[Neto]]</f>
        <v>4581558617.7962294</v>
      </c>
    </row>
    <row r="3073" spans="1:15" x14ac:dyDescent="0.25">
      <c r="A3073" s="13"/>
      <c r="B3073" s="12">
        <f>MONTH(Movimientos_2026[[#This Row],[Fecha]])</f>
        <v>1</v>
      </c>
      <c r="C3073" s="12" t="str">
        <f>VLOOKUP((WEEKDAY(Movimientos_2026[[#This Row],[Fecha]],2)),'5. Setup'!$D$6:$E$12,2,FALSE)</f>
        <v>Sab</v>
      </c>
      <c r="E3073" t="str">
        <f>IFERROR(+VLOOKUP(Movimientos_2026[[#This Row],[Codigo]],Plan_cuentas[],2,FALSE)," ")</f>
        <v xml:space="preserve"> </v>
      </c>
      <c r="F3073" t="str">
        <f>IFERROR(+VLOOKUP(Movimientos_2026[[#This Row],[Codigo]],Plan_cuentas[],3,FALSE)," ")</f>
        <v xml:space="preserve"> </v>
      </c>
      <c r="G3073" t="str">
        <f>IFERROR(+VLOOKUP(Movimientos_2026[[#This Row],[Codigo]],Plan_cuentas[],4,FALSE)," ")</f>
        <v xml:space="preserve"> </v>
      </c>
      <c r="H3073" t="str">
        <f>IFERROR(+VLOOKUP(Movimientos_2026[[#This Row],[Codigo]],Plan_cuentas[],5,FALSE)," ")</f>
        <v xml:space="preserve"> </v>
      </c>
      <c r="I3073" s="43"/>
      <c r="K3073" t="str">
        <f>IFERROR(+VLOOKUP(Movimientos_2026[[#This Row],[Codigo]],Plan_cuentas[],6,FALSE)," ")</f>
        <v xml:space="preserve"> </v>
      </c>
      <c r="L3073" s="50"/>
      <c r="M3073" s="50"/>
      <c r="N3073" s="20">
        <f>+Movimientos_2026[[#This Row],[Ingresos]]-Movimientos_2026[[#This Row],[Egresos]]</f>
        <v>0</v>
      </c>
      <c r="O3073" s="20">
        <f>+O3072+Movimientos_2026[[#This Row],[Neto]]</f>
        <v>4581558617.7962294</v>
      </c>
    </row>
    <row r="3074" spans="1:15" x14ac:dyDescent="0.25">
      <c r="A3074" s="13"/>
      <c r="B3074" s="12">
        <f>MONTH(Movimientos_2026[[#This Row],[Fecha]])</f>
        <v>1</v>
      </c>
      <c r="C3074" s="12" t="str">
        <f>VLOOKUP((WEEKDAY(Movimientos_2026[[#This Row],[Fecha]],2)),'5. Setup'!$D$6:$E$12,2,FALSE)</f>
        <v>Sab</v>
      </c>
      <c r="E3074" t="str">
        <f>IFERROR(+VLOOKUP(Movimientos_2026[[#This Row],[Codigo]],Plan_cuentas[],2,FALSE)," ")</f>
        <v xml:space="preserve"> </v>
      </c>
      <c r="F3074" t="str">
        <f>IFERROR(+VLOOKUP(Movimientos_2026[[#This Row],[Codigo]],Plan_cuentas[],3,FALSE)," ")</f>
        <v xml:space="preserve"> </v>
      </c>
      <c r="G3074" t="str">
        <f>IFERROR(+VLOOKUP(Movimientos_2026[[#This Row],[Codigo]],Plan_cuentas[],4,FALSE)," ")</f>
        <v xml:space="preserve"> </v>
      </c>
      <c r="H3074" t="str">
        <f>IFERROR(+VLOOKUP(Movimientos_2026[[#This Row],[Codigo]],Plan_cuentas[],5,FALSE)," ")</f>
        <v xml:space="preserve"> </v>
      </c>
      <c r="I3074" s="43"/>
      <c r="K3074" t="str">
        <f>IFERROR(+VLOOKUP(Movimientos_2026[[#This Row],[Codigo]],Plan_cuentas[],6,FALSE)," ")</f>
        <v xml:space="preserve"> </v>
      </c>
      <c r="L3074" s="50"/>
      <c r="M3074" s="50"/>
      <c r="N3074" s="20">
        <f>+Movimientos_2026[[#This Row],[Ingresos]]-Movimientos_2026[[#This Row],[Egresos]]</f>
        <v>0</v>
      </c>
      <c r="O3074" s="20">
        <f>+O3073+Movimientos_2026[[#This Row],[Neto]]</f>
        <v>4581558617.7962294</v>
      </c>
    </row>
    <row r="3075" spans="1:15" x14ac:dyDescent="0.25">
      <c r="A3075" s="13"/>
      <c r="B3075" s="12">
        <f>MONTH(Movimientos_2026[[#This Row],[Fecha]])</f>
        <v>1</v>
      </c>
      <c r="C3075" s="12" t="str">
        <f>VLOOKUP((WEEKDAY(Movimientos_2026[[#This Row],[Fecha]],2)),'5. Setup'!$D$6:$E$12,2,FALSE)</f>
        <v>Sab</v>
      </c>
      <c r="E3075" t="str">
        <f>IFERROR(+VLOOKUP(Movimientos_2026[[#This Row],[Codigo]],Plan_cuentas[],2,FALSE)," ")</f>
        <v xml:space="preserve"> </v>
      </c>
      <c r="F3075" t="str">
        <f>IFERROR(+VLOOKUP(Movimientos_2026[[#This Row],[Codigo]],Plan_cuentas[],3,FALSE)," ")</f>
        <v xml:space="preserve"> </v>
      </c>
      <c r="G3075" t="str">
        <f>IFERROR(+VLOOKUP(Movimientos_2026[[#This Row],[Codigo]],Plan_cuentas[],4,FALSE)," ")</f>
        <v xml:space="preserve"> </v>
      </c>
      <c r="H3075" t="str">
        <f>IFERROR(+VLOOKUP(Movimientos_2026[[#This Row],[Codigo]],Plan_cuentas[],5,FALSE)," ")</f>
        <v xml:space="preserve"> </v>
      </c>
      <c r="I3075" s="43"/>
      <c r="K3075" t="str">
        <f>IFERROR(+VLOOKUP(Movimientos_2026[[#This Row],[Codigo]],Plan_cuentas[],6,FALSE)," ")</f>
        <v xml:space="preserve"> </v>
      </c>
      <c r="L3075" s="50"/>
      <c r="M3075" s="50"/>
      <c r="N3075" s="20">
        <f>+Movimientos_2026[[#This Row],[Ingresos]]-Movimientos_2026[[#This Row],[Egresos]]</f>
        <v>0</v>
      </c>
      <c r="O3075" s="20">
        <f>+O3074+Movimientos_2026[[#This Row],[Neto]]</f>
        <v>4581558617.7962294</v>
      </c>
    </row>
    <row r="3076" spans="1:15" x14ac:dyDescent="0.25">
      <c r="A3076" s="13"/>
      <c r="B3076" s="12">
        <f>MONTH(Movimientos_2026[[#This Row],[Fecha]])</f>
        <v>1</v>
      </c>
      <c r="C3076" s="12" t="str">
        <f>VLOOKUP((WEEKDAY(Movimientos_2026[[#This Row],[Fecha]],2)),'5. Setup'!$D$6:$E$12,2,FALSE)</f>
        <v>Sab</v>
      </c>
      <c r="E3076" t="str">
        <f>IFERROR(+VLOOKUP(Movimientos_2026[[#This Row],[Codigo]],Plan_cuentas[],2,FALSE)," ")</f>
        <v xml:space="preserve"> </v>
      </c>
      <c r="F3076" t="str">
        <f>IFERROR(+VLOOKUP(Movimientos_2026[[#This Row],[Codigo]],Plan_cuentas[],3,FALSE)," ")</f>
        <v xml:space="preserve"> </v>
      </c>
      <c r="G3076" t="str">
        <f>IFERROR(+VLOOKUP(Movimientos_2026[[#This Row],[Codigo]],Plan_cuentas[],4,FALSE)," ")</f>
        <v xml:space="preserve"> </v>
      </c>
      <c r="H3076" t="str">
        <f>IFERROR(+VLOOKUP(Movimientos_2026[[#This Row],[Codigo]],Plan_cuentas[],5,FALSE)," ")</f>
        <v xml:space="preserve"> </v>
      </c>
      <c r="I3076" s="43"/>
      <c r="K3076" t="str">
        <f>IFERROR(+VLOOKUP(Movimientos_2026[[#This Row],[Codigo]],Plan_cuentas[],6,FALSE)," ")</f>
        <v xml:space="preserve"> </v>
      </c>
      <c r="L3076" s="50"/>
      <c r="M3076" s="50"/>
      <c r="N3076" s="20">
        <f>+Movimientos_2026[[#This Row],[Ingresos]]-Movimientos_2026[[#This Row],[Egresos]]</f>
        <v>0</v>
      </c>
      <c r="O3076" s="20">
        <f>+O3075+Movimientos_2026[[#This Row],[Neto]]</f>
        <v>4581558617.7962294</v>
      </c>
    </row>
    <row r="3077" spans="1:15" x14ac:dyDescent="0.25">
      <c r="A3077" s="13"/>
      <c r="B3077" s="12">
        <f>MONTH(Movimientos_2026[[#This Row],[Fecha]])</f>
        <v>1</v>
      </c>
      <c r="C3077" s="12" t="str">
        <f>VLOOKUP((WEEKDAY(Movimientos_2026[[#This Row],[Fecha]],2)),'5. Setup'!$D$6:$E$12,2,FALSE)</f>
        <v>Sab</v>
      </c>
      <c r="E3077" t="str">
        <f>IFERROR(+VLOOKUP(Movimientos_2026[[#This Row],[Codigo]],Plan_cuentas[],2,FALSE)," ")</f>
        <v xml:space="preserve"> </v>
      </c>
      <c r="F3077" t="str">
        <f>IFERROR(+VLOOKUP(Movimientos_2026[[#This Row],[Codigo]],Plan_cuentas[],3,FALSE)," ")</f>
        <v xml:space="preserve"> </v>
      </c>
      <c r="G3077" t="str">
        <f>IFERROR(+VLOOKUP(Movimientos_2026[[#This Row],[Codigo]],Plan_cuentas[],4,FALSE)," ")</f>
        <v xml:space="preserve"> </v>
      </c>
      <c r="H3077" t="str">
        <f>IFERROR(+VLOOKUP(Movimientos_2026[[#This Row],[Codigo]],Plan_cuentas[],5,FALSE)," ")</f>
        <v xml:space="preserve"> </v>
      </c>
      <c r="I3077" s="43"/>
      <c r="K3077" t="str">
        <f>IFERROR(+VLOOKUP(Movimientos_2026[[#This Row],[Codigo]],Plan_cuentas[],6,FALSE)," ")</f>
        <v xml:space="preserve"> </v>
      </c>
      <c r="L3077" s="50"/>
      <c r="M3077" s="50"/>
      <c r="N3077" s="20">
        <f>+Movimientos_2026[[#This Row],[Ingresos]]-Movimientos_2026[[#This Row],[Egresos]]</f>
        <v>0</v>
      </c>
      <c r="O3077" s="20">
        <f>+O3076+Movimientos_2026[[#This Row],[Neto]]</f>
        <v>4581558617.7962294</v>
      </c>
    </row>
    <row r="3078" spans="1:15" x14ac:dyDescent="0.25">
      <c r="A3078" s="13"/>
      <c r="B3078" s="12">
        <f>MONTH(Movimientos_2026[[#This Row],[Fecha]])</f>
        <v>1</v>
      </c>
      <c r="C3078" s="12" t="str">
        <f>VLOOKUP((WEEKDAY(Movimientos_2026[[#This Row],[Fecha]],2)),'5. Setup'!$D$6:$E$12,2,FALSE)</f>
        <v>Sab</v>
      </c>
      <c r="E3078" t="str">
        <f>IFERROR(+VLOOKUP(Movimientos_2026[[#This Row],[Codigo]],Plan_cuentas[],2,FALSE)," ")</f>
        <v xml:space="preserve"> </v>
      </c>
      <c r="F3078" t="str">
        <f>IFERROR(+VLOOKUP(Movimientos_2026[[#This Row],[Codigo]],Plan_cuentas[],3,FALSE)," ")</f>
        <v xml:space="preserve"> </v>
      </c>
      <c r="G3078" t="str">
        <f>IFERROR(+VLOOKUP(Movimientos_2026[[#This Row],[Codigo]],Plan_cuentas[],4,FALSE)," ")</f>
        <v xml:space="preserve"> </v>
      </c>
      <c r="H3078" t="str">
        <f>IFERROR(+VLOOKUP(Movimientos_2026[[#This Row],[Codigo]],Plan_cuentas[],5,FALSE)," ")</f>
        <v xml:space="preserve"> </v>
      </c>
      <c r="I3078" s="43"/>
      <c r="K3078" t="str">
        <f>IFERROR(+VLOOKUP(Movimientos_2026[[#This Row],[Codigo]],Plan_cuentas[],6,FALSE)," ")</f>
        <v xml:space="preserve"> </v>
      </c>
      <c r="L3078" s="50"/>
      <c r="M3078" s="50"/>
      <c r="N3078" s="20">
        <f>+Movimientos_2026[[#This Row],[Ingresos]]-Movimientos_2026[[#This Row],[Egresos]]</f>
        <v>0</v>
      </c>
      <c r="O3078" s="20">
        <f>+O3077+Movimientos_2026[[#This Row],[Neto]]</f>
        <v>4581558617.7962294</v>
      </c>
    </row>
    <row r="3079" spans="1:15" x14ac:dyDescent="0.25">
      <c r="A3079" s="13"/>
      <c r="B3079" s="12">
        <f>MONTH(Movimientos_2026[[#This Row],[Fecha]])</f>
        <v>1</v>
      </c>
      <c r="C3079" s="12" t="str">
        <f>VLOOKUP((WEEKDAY(Movimientos_2026[[#This Row],[Fecha]],2)),'5. Setup'!$D$6:$E$12,2,FALSE)</f>
        <v>Sab</v>
      </c>
      <c r="E3079" t="str">
        <f>IFERROR(+VLOOKUP(Movimientos_2026[[#This Row],[Codigo]],Plan_cuentas[],2,FALSE)," ")</f>
        <v xml:space="preserve"> </v>
      </c>
      <c r="F3079" t="str">
        <f>IFERROR(+VLOOKUP(Movimientos_2026[[#This Row],[Codigo]],Plan_cuentas[],3,FALSE)," ")</f>
        <v xml:space="preserve"> </v>
      </c>
      <c r="G3079" t="str">
        <f>IFERROR(+VLOOKUP(Movimientos_2026[[#This Row],[Codigo]],Plan_cuentas[],4,FALSE)," ")</f>
        <v xml:space="preserve"> </v>
      </c>
      <c r="H3079" t="str">
        <f>IFERROR(+VLOOKUP(Movimientos_2026[[#This Row],[Codigo]],Plan_cuentas[],5,FALSE)," ")</f>
        <v xml:space="preserve"> </v>
      </c>
      <c r="I3079" s="43"/>
      <c r="K3079" t="str">
        <f>IFERROR(+VLOOKUP(Movimientos_2026[[#This Row],[Codigo]],Plan_cuentas[],6,FALSE)," ")</f>
        <v xml:space="preserve"> </v>
      </c>
      <c r="L3079" s="50"/>
      <c r="M3079" s="50"/>
      <c r="N3079" s="20">
        <f>+Movimientos_2026[[#This Row],[Ingresos]]-Movimientos_2026[[#This Row],[Egresos]]</f>
        <v>0</v>
      </c>
      <c r="O3079" s="20">
        <f>+O3078+Movimientos_2026[[#This Row],[Neto]]</f>
        <v>4581558617.7962294</v>
      </c>
    </row>
    <row r="3080" spans="1:15" x14ac:dyDescent="0.25">
      <c r="A3080" s="13"/>
      <c r="B3080" s="12">
        <f>MONTH(Movimientos_2026[[#This Row],[Fecha]])</f>
        <v>1</v>
      </c>
      <c r="C3080" s="12" t="str">
        <f>VLOOKUP((WEEKDAY(Movimientos_2026[[#This Row],[Fecha]],2)),'5. Setup'!$D$6:$E$12,2,FALSE)</f>
        <v>Sab</v>
      </c>
      <c r="E3080" t="str">
        <f>IFERROR(+VLOOKUP(Movimientos_2026[[#This Row],[Codigo]],Plan_cuentas[],2,FALSE)," ")</f>
        <v xml:space="preserve"> </v>
      </c>
      <c r="F3080" t="str">
        <f>IFERROR(+VLOOKUP(Movimientos_2026[[#This Row],[Codigo]],Plan_cuentas[],3,FALSE)," ")</f>
        <v xml:space="preserve"> </v>
      </c>
      <c r="G3080" t="str">
        <f>IFERROR(+VLOOKUP(Movimientos_2026[[#This Row],[Codigo]],Plan_cuentas[],4,FALSE)," ")</f>
        <v xml:space="preserve"> </v>
      </c>
      <c r="H3080" t="str">
        <f>IFERROR(+VLOOKUP(Movimientos_2026[[#This Row],[Codigo]],Plan_cuentas[],5,FALSE)," ")</f>
        <v xml:space="preserve"> </v>
      </c>
      <c r="I3080" s="43"/>
      <c r="K3080" t="str">
        <f>IFERROR(+VLOOKUP(Movimientos_2026[[#This Row],[Codigo]],Plan_cuentas[],6,FALSE)," ")</f>
        <v xml:space="preserve"> </v>
      </c>
      <c r="L3080" s="50"/>
      <c r="M3080" s="50"/>
      <c r="N3080" s="20">
        <f>+Movimientos_2026[[#This Row],[Ingresos]]-Movimientos_2026[[#This Row],[Egresos]]</f>
        <v>0</v>
      </c>
      <c r="O3080" s="20">
        <f>+O3079+Movimientos_2026[[#This Row],[Neto]]</f>
        <v>4581558617.7962294</v>
      </c>
    </row>
    <row r="3081" spans="1:15" x14ac:dyDescent="0.25">
      <c r="A3081" s="13"/>
      <c r="B3081" s="12">
        <f>MONTH(Movimientos_2026[[#This Row],[Fecha]])</f>
        <v>1</v>
      </c>
      <c r="C3081" s="12" t="str">
        <f>VLOOKUP((WEEKDAY(Movimientos_2026[[#This Row],[Fecha]],2)),'5. Setup'!$D$6:$E$12,2,FALSE)</f>
        <v>Sab</v>
      </c>
      <c r="E3081" t="str">
        <f>IFERROR(+VLOOKUP(Movimientos_2026[[#This Row],[Codigo]],Plan_cuentas[],2,FALSE)," ")</f>
        <v xml:space="preserve"> </v>
      </c>
      <c r="F3081" t="str">
        <f>IFERROR(+VLOOKUP(Movimientos_2026[[#This Row],[Codigo]],Plan_cuentas[],3,FALSE)," ")</f>
        <v xml:space="preserve"> </v>
      </c>
      <c r="G3081" t="str">
        <f>IFERROR(+VLOOKUP(Movimientos_2026[[#This Row],[Codigo]],Plan_cuentas[],4,FALSE)," ")</f>
        <v xml:space="preserve"> </v>
      </c>
      <c r="H3081" t="str">
        <f>IFERROR(+VLOOKUP(Movimientos_2026[[#This Row],[Codigo]],Plan_cuentas[],5,FALSE)," ")</f>
        <v xml:space="preserve"> </v>
      </c>
      <c r="I3081" s="43"/>
      <c r="K3081" t="str">
        <f>IFERROR(+VLOOKUP(Movimientos_2026[[#This Row],[Codigo]],Plan_cuentas[],6,FALSE)," ")</f>
        <v xml:space="preserve"> </v>
      </c>
      <c r="L3081" s="50"/>
      <c r="M3081" s="50"/>
      <c r="N3081" s="20">
        <f>+Movimientos_2026[[#This Row],[Ingresos]]-Movimientos_2026[[#This Row],[Egresos]]</f>
        <v>0</v>
      </c>
      <c r="O3081" s="20">
        <f>+O3080+Movimientos_2026[[#This Row],[Neto]]</f>
        <v>4581558617.7962294</v>
      </c>
    </row>
    <row r="3082" spans="1:15" x14ac:dyDescent="0.25">
      <c r="A3082" s="13"/>
      <c r="B3082" s="12">
        <f>MONTH(Movimientos_2026[[#This Row],[Fecha]])</f>
        <v>1</v>
      </c>
      <c r="C3082" s="12" t="str">
        <f>VLOOKUP((WEEKDAY(Movimientos_2026[[#This Row],[Fecha]],2)),'5. Setup'!$D$6:$E$12,2,FALSE)</f>
        <v>Sab</v>
      </c>
      <c r="E3082" t="str">
        <f>IFERROR(+VLOOKUP(Movimientos_2026[[#This Row],[Codigo]],Plan_cuentas[],2,FALSE)," ")</f>
        <v xml:space="preserve"> </v>
      </c>
      <c r="F3082" t="str">
        <f>IFERROR(+VLOOKUP(Movimientos_2026[[#This Row],[Codigo]],Plan_cuentas[],3,FALSE)," ")</f>
        <v xml:space="preserve"> </v>
      </c>
      <c r="G3082" t="str">
        <f>IFERROR(+VLOOKUP(Movimientos_2026[[#This Row],[Codigo]],Plan_cuentas[],4,FALSE)," ")</f>
        <v xml:space="preserve"> </v>
      </c>
      <c r="H3082" t="str">
        <f>IFERROR(+VLOOKUP(Movimientos_2026[[#This Row],[Codigo]],Plan_cuentas[],5,FALSE)," ")</f>
        <v xml:space="preserve"> </v>
      </c>
      <c r="I3082" s="43"/>
      <c r="K3082" t="str">
        <f>IFERROR(+VLOOKUP(Movimientos_2026[[#This Row],[Codigo]],Plan_cuentas[],6,FALSE)," ")</f>
        <v xml:space="preserve"> </v>
      </c>
      <c r="L3082" s="50"/>
      <c r="M3082" s="50"/>
      <c r="N3082" s="20">
        <f>+Movimientos_2026[[#This Row],[Ingresos]]-Movimientos_2026[[#This Row],[Egresos]]</f>
        <v>0</v>
      </c>
      <c r="O3082" s="20">
        <f>+O3081+Movimientos_2026[[#This Row],[Neto]]</f>
        <v>4581558617.7962294</v>
      </c>
    </row>
    <row r="3083" spans="1:15" x14ac:dyDescent="0.25">
      <c r="A3083" s="13"/>
      <c r="B3083" s="12">
        <f>MONTH(Movimientos_2026[[#This Row],[Fecha]])</f>
        <v>1</v>
      </c>
      <c r="C3083" s="12" t="str">
        <f>VLOOKUP((WEEKDAY(Movimientos_2026[[#This Row],[Fecha]],2)),'5. Setup'!$D$6:$E$12,2,FALSE)</f>
        <v>Sab</v>
      </c>
      <c r="E3083" t="str">
        <f>IFERROR(+VLOOKUP(Movimientos_2026[[#This Row],[Codigo]],Plan_cuentas[],2,FALSE)," ")</f>
        <v xml:space="preserve"> </v>
      </c>
      <c r="F3083" t="str">
        <f>IFERROR(+VLOOKUP(Movimientos_2026[[#This Row],[Codigo]],Plan_cuentas[],3,FALSE)," ")</f>
        <v xml:space="preserve"> </v>
      </c>
      <c r="G3083" t="str">
        <f>IFERROR(+VLOOKUP(Movimientos_2026[[#This Row],[Codigo]],Plan_cuentas[],4,FALSE)," ")</f>
        <v xml:space="preserve"> </v>
      </c>
      <c r="H3083" t="str">
        <f>IFERROR(+VLOOKUP(Movimientos_2026[[#This Row],[Codigo]],Plan_cuentas[],5,FALSE)," ")</f>
        <v xml:space="preserve"> </v>
      </c>
      <c r="I3083" s="43"/>
      <c r="K3083" t="str">
        <f>IFERROR(+VLOOKUP(Movimientos_2026[[#This Row],[Codigo]],Plan_cuentas[],6,FALSE)," ")</f>
        <v xml:space="preserve"> </v>
      </c>
      <c r="L3083" s="50"/>
      <c r="M3083" s="50"/>
      <c r="N3083" s="20">
        <f>+Movimientos_2026[[#This Row],[Ingresos]]-Movimientos_2026[[#This Row],[Egresos]]</f>
        <v>0</v>
      </c>
      <c r="O3083" s="20">
        <f>+O3082+Movimientos_2026[[#This Row],[Neto]]</f>
        <v>4581558617.7962294</v>
      </c>
    </row>
    <row r="3084" spans="1:15" x14ac:dyDescent="0.25">
      <c r="A3084" s="13"/>
      <c r="B3084" s="12">
        <f>MONTH(Movimientos_2026[[#This Row],[Fecha]])</f>
        <v>1</v>
      </c>
      <c r="C3084" s="12" t="str">
        <f>VLOOKUP((WEEKDAY(Movimientos_2026[[#This Row],[Fecha]],2)),'5. Setup'!$D$6:$E$12,2,FALSE)</f>
        <v>Sab</v>
      </c>
      <c r="E3084" t="str">
        <f>IFERROR(+VLOOKUP(Movimientos_2026[[#This Row],[Codigo]],Plan_cuentas[],2,FALSE)," ")</f>
        <v xml:space="preserve"> </v>
      </c>
      <c r="F3084" t="str">
        <f>IFERROR(+VLOOKUP(Movimientos_2026[[#This Row],[Codigo]],Plan_cuentas[],3,FALSE)," ")</f>
        <v xml:space="preserve"> </v>
      </c>
      <c r="G3084" t="str">
        <f>IFERROR(+VLOOKUP(Movimientos_2026[[#This Row],[Codigo]],Plan_cuentas[],4,FALSE)," ")</f>
        <v xml:space="preserve"> </v>
      </c>
      <c r="H3084" t="str">
        <f>IFERROR(+VLOOKUP(Movimientos_2026[[#This Row],[Codigo]],Plan_cuentas[],5,FALSE)," ")</f>
        <v xml:space="preserve"> </v>
      </c>
      <c r="I3084" s="43"/>
      <c r="K3084" t="str">
        <f>IFERROR(+VLOOKUP(Movimientos_2026[[#This Row],[Codigo]],Plan_cuentas[],6,FALSE)," ")</f>
        <v xml:space="preserve"> </v>
      </c>
      <c r="L3084" s="50"/>
      <c r="M3084" s="50"/>
      <c r="N3084" s="20">
        <f>+Movimientos_2026[[#This Row],[Ingresos]]-Movimientos_2026[[#This Row],[Egresos]]</f>
        <v>0</v>
      </c>
      <c r="O3084" s="20">
        <f>+O3083+Movimientos_2026[[#This Row],[Neto]]</f>
        <v>4581558617.7962294</v>
      </c>
    </row>
    <row r="3085" spans="1:15" x14ac:dyDescent="0.25">
      <c r="A3085" s="13"/>
      <c r="B3085" s="12">
        <f>MONTH(Movimientos_2026[[#This Row],[Fecha]])</f>
        <v>1</v>
      </c>
      <c r="C3085" s="12" t="str">
        <f>VLOOKUP((WEEKDAY(Movimientos_2026[[#This Row],[Fecha]],2)),'5. Setup'!$D$6:$E$12,2,FALSE)</f>
        <v>Sab</v>
      </c>
      <c r="E3085" t="str">
        <f>IFERROR(+VLOOKUP(Movimientos_2026[[#This Row],[Codigo]],Plan_cuentas[],2,FALSE)," ")</f>
        <v xml:space="preserve"> </v>
      </c>
      <c r="F3085" t="str">
        <f>IFERROR(+VLOOKUP(Movimientos_2026[[#This Row],[Codigo]],Plan_cuentas[],3,FALSE)," ")</f>
        <v xml:space="preserve"> </v>
      </c>
      <c r="G3085" t="str">
        <f>IFERROR(+VLOOKUP(Movimientos_2026[[#This Row],[Codigo]],Plan_cuentas[],4,FALSE)," ")</f>
        <v xml:space="preserve"> </v>
      </c>
      <c r="H3085" t="str">
        <f>IFERROR(+VLOOKUP(Movimientos_2026[[#This Row],[Codigo]],Plan_cuentas[],5,FALSE)," ")</f>
        <v xml:space="preserve"> </v>
      </c>
      <c r="I3085" s="43"/>
      <c r="K3085" t="str">
        <f>IFERROR(+VLOOKUP(Movimientos_2026[[#This Row],[Codigo]],Plan_cuentas[],6,FALSE)," ")</f>
        <v xml:space="preserve"> </v>
      </c>
      <c r="L3085" s="50"/>
      <c r="M3085" s="50"/>
      <c r="N3085" s="20">
        <f>+Movimientos_2026[[#This Row],[Ingresos]]-Movimientos_2026[[#This Row],[Egresos]]</f>
        <v>0</v>
      </c>
      <c r="O3085" s="20">
        <f>+O3084+Movimientos_2026[[#This Row],[Neto]]</f>
        <v>4581558617.7962294</v>
      </c>
    </row>
    <row r="3086" spans="1:15" x14ac:dyDescent="0.25">
      <c r="A3086" s="13"/>
      <c r="B3086" s="12">
        <f>MONTH(Movimientos_2026[[#This Row],[Fecha]])</f>
        <v>1</v>
      </c>
      <c r="C3086" s="12" t="str">
        <f>VLOOKUP((WEEKDAY(Movimientos_2026[[#This Row],[Fecha]],2)),'5. Setup'!$D$6:$E$12,2,FALSE)</f>
        <v>Sab</v>
      </c>
      <c r="E3086" t="str">
        <f>IFERROR(+VLOOKUP(Movimientos_2026[[#This Row],[Codigo]],Plan_cuentas[],2,FALSE)," ")</f>
        <v xml:space="preserve"> </v>
      </c>
      <c r="F3086" t="str">
        <f>IFERROR(+VLOOKUP(Movimientos_2026[[#This Row],[Codigo]],Plan_cuentas[],3,FALSE)," ")</f>
        <v xml:space="preserve"> </v>
      </c>
      <c r="G3086" t="str">
        <f>IFERROR(+VLOOKUP(Movimientos_2026[[#This Row],[Codigo]],Plan_cuentas[],4,FALSE)," ")</f>
        <v xml:space="preserve"> </v>
      </c>
      <c r="H3086" t="str">
        <f>IFERROR(+VLOOKUP(Movimientos_2026[[#This Row],[Codigo]],Plan_cuentas[],5,FALSE)," ")</f>
        <v xml:space="preserve"> </v>
      </c>
      <c r="I3086" s="43"/>
      <c r="K3086" t="str">
        <f>IFERROR(+VLOOKUP(Movimientos_2026[[#This Row],[Codigo]],Plan_cuentas[],6,FALSE)," ")</f>
        <v xml:space="preserve"> </v>
      </c>
      <c r="L3086" s="50"/>
      <c r="M3086" s="50"/>
      <c r="N3086" s="20">
        <f>+Movimientos_2026[[#This Row],[Ingresos]]-Movimientos_2026[[#This Row],[Egresos]]</f>
        <v>0</v>
      </c>
      <c r="O3086" s="20">
        <f>+O3085+Movimientos_2026[[#This Row],[Neto]]</f>
        <v>4581558617.7962294</v>
      </c>
    </row>
    <row r="3087" spans="1:15" x14ac:dyDescent="0.25">
      <c r="A3087" s="13"/>
      <c r="B3087" s="12">
        <f>MONTH(Movimientos_2026[[#This Row],[Fecha]])</f>
        <v>1</v>
      </c>
      <c r="C3087" s="12" t="str">
        <f>VLOOKUP((WEEKDAY(Movimientos_2026[[#This Row],[Fecha]],2)),'5. Setup'!$D$6:$E$12,2,FALSE)</f>
        <v>Sab</v>
      </c>
      <c r="E3087" t="str">
        <f>IFERROR(+VLOOKUP(Movimientos_2026[[#This Row],[Codigo]],Plan_cuentas[],2,FALSE)," ")</f>
        <v xml:space="preserve"> </v>
      </c>
      <c r="F3087" t="str">
        <f>IFERROR(+VLOOKUP(Movimientos_2026[[#This Row],[Codigo]],Plan_cuentas[],3,FALSE)," ")</f>
        <v xml:space="preserve"> </v>
      </c>
      <c r="G3087" t="str">
        <f>IFERROR(+VLOOKUP(Movimientos_2026[[#This Row],[Codigo]],Plan_cuentas[],4,FALSE)," ")</f>
        <v xml:space="preserve"> </v>
      </c>
      <c r="H3087" t="str">
        <f>IFERROR(+VLOOKUP(Movimientos_2026[[#This Row],[Codigo]],Plan_cuentas[],5,FALSE)," ")</f>
        <v xml:space="preserve"> </v>
      </c>
      <c r="I3087" s="43"/>
      <c r="K3087" t="str">
        <f>IFERROR(+VLOOKUP(Movimientos_2026[[#This Row],[Codigo]],Plan_cuentas[],6,FALSE)," ")</f>
        <v xml:space="preserve"> </v>
      </c>
      <c r="L3087" s="50"/>
      <c r="M3087" s="50"/>
      <c r="N3087" s="20">
        <f>+Movimientos_2026[[#This Row],[Ingresos]]-Movimientos_2026[[#This Row],[Egresos]]</f>
        <v>0</v>
      </c>
      <c r="O3087" s="20">
        <f>+O3086+Movimientos_2026[[#This Row],[Neto]]</f>
        <v>4581558617.7962294</v>
      </c>
    </row>
    <row r="3088" spans="1:15" x14ac:dyDescent="0.25">
      <c r="A3088" s="13"/>
      <c r="B3088" s="12">
        <f>MONTH(Movimientos_2026[[#This Row],[Fecha]])</f>
        <v>1</v>
      </c>
      <c r="C3088" s="12" t="str">
        <f>VLOOKUP((WEEKDAY(Movimientos_2026[[#This Row],[Fecha]],2)),'5. Setup'!$D$6:$E$12,2,FALSE)</f>
        <v>Sab</v>
      </c>
      <c r="E3088" t="str">
        <f>IFERROR(+VLOOKUP(Movimientos_2026[[#This Row],[Codigo]],Plan_cuentas[],2,FALSE)," ")</f>
        <v xml:space="preserve"> </v>
      </c>
      <c r="F3088" t="str">
        <f>IFERROR(+VLOOKUP(Movimientos_2026[[#This Row],[Codigo]],Plan_cuentas[],3,FALSE)," ")</f>
        <v xml:space="preserve"> </v>
      </c>
      <c r="G3088" t="str">
        <f>IFERROR(+VLOOKUP(Movimientos_2026[[#This Row],[Codigo]],Plan_cuentas[],4,FALSE)," ")</f>
        <v xml:space="preserve"> </v>
      </c>
      <c r="H3088" t="str">
        <f>IFERROR(+VLOOKUP(Movimientos_2026[[#This Row],[Codigo]],Plan_cuentas[],5,FALSE)," ")</f>
        <v xml:space="preserve"> </v>
      </c>
      <c r="I3088" s="43"/>
      <c r="K3088" t="str">
        <f>IFERROR(+VLOOKUP(Movimientos_2026[[#This Row],[Codigo]],Plan_cuentas[],6,FALSE)," ")</f>
        <v xml:space="preserve"> </v>
      </c>
      <c r="L3088" s="50"/>
      <c r="M3088" s="50"/>
      <c r="N3088" s="20">
        <f>+Movimientos_2026[[#This Row],[Ingresos]]-Movimientos_2026[[#This Row],[Egresos]]</f>
        <v>0</v>
      </c>
      <c r="O3088" s="20">
        <f>+O3087+Movimientos_2026[[#This Row],[Neto]]</f>
        <v>4581558617.7962294</v>
      </c>
    </row>
    <row r="3089" spans="1:15" x14ac:dyDescent="0.25">
      <c r="A3089" s="13"/>
      <c r="B3089" s="12">
        <f>MONTH(Movimientos_2026[[#This Row],[Fecha]])</f>
        <v>1</v>
      </c>
      <c r="C3089" s="12" t="str">
        <f>VLOOKUP((WEEKDAY(Movimientos_2026[[#This Row],[Fecha]],2)),'5. Setup'!$D$6:$E$12,2,FALSE)</f>
        <v>Sab</v>
      </c>
      <c r="E3089" t="str">
        <f>IFERROR(+VLOOKUP(Movimientos_2026[[#This Row],[Codigo]],Plan_cuentas[],2,FALSE)," ")</f>
        <v xml:space="preserve"> </v>
      </c>
      <c r="F3089" t="str">
        <f>IFERROR(+VLOOKUP(Movimientos_2026[[#This Row],[Codigo]],Plan_cuentas[],3,FALSE)," ")</f>
        <v xml:space="preserve"> </v>
      </c>
      <c r="G3089" t="str">
        <f>IFERROR(+VLOOKUP(Movimientos_2026[[#This Row],[Codigo]],Plan_cuentas[],4,FALSE)," ")</f>
        <v xml:space="preserve"> </v>
      </c>
      <c r="H3089" t="str">
        <f>IFERROR(+VLOOKUP(Movimientos_2026[[#This Row],[Codigo]],Plan_cuentas[],5,FALSE)," ")</f>
        <v xml:space="preserve"> </v>
      </c>
      <c r="I3089" s="43"/>
      <c r="K3089" t="str">
        <f>IFERROR(+VLOOKUP(Movimientos_2026[[#This Row],[Codigo]],Plan_cuentas[],6,FALSE)," ")</f>
        <v xml:space="preserve"> </v>
      </c>
      <c r="L3089" s="50"/>
      <c r="M3089" s="50"/>
      <c r="N3089" s="20">
        <f>+Movimientos_2026[[#This Row],[Ingresos]]-Movimientos_2026[[#This Row],[Egresos]]</f>
        <v>0</v>
      </c>
      <c r="O3089" s="20">
        <f>+O3088+Movimientos_2026[[#This Row],[Neto]]</f>
        <v>4581558617.7962294</v>
      </c>
    </row>
    <row r="3090" spans="1:15" x14ac:dyDescent="0.25">
      <c r="A3090" s="13"/>
      <c r="B3090" s="12">
        <f>MONTH(Movimientos_2026[[#This Row],[Fecha]])</f>
        <v>1</v>
      </c>
      <c r="C3090" s="12" t="str">
        <f>VLOOKUP((WEEKDAY(Movimientos_2026[[#This Row],[Fecha]],2)),'5. Setup'!$D$6:$E$12,2,FALSE)</f>
        <v>Sab</v>
      </c>
      <c r="E3090" t="str">
        <f>IFERROR(+VLOOKUP(Movimientos_2026[[#This Row],[Codigo]],Plan_cuentas[],2,FALSE)," ")</f>
        <v xml:space="preserve"> </v>
      </c>
      <c r="F3090" t="str">
        <f>IFERROR(+VLOOKUP(Movimientos_2026[[#This Row],[Codigo]],Plan_cuentas[],3,FALSE)," ")</f>
        <v xml:space="preserve"> </v>
      </c>
      <c r="G3090" t="str">
        <f>IFERROR(+VLOOKUP(Movimientos_2026[[#This Row],[Codigo]],Plan_cuentas[],4,FALSE)," ")</f>
        <v xml:space="preserve"> </v>
      </c>
      <c r="H3090" t="str">
        <f>IFERROR(+VLOOKUP(Movimientos_2026[[#This Row],[Codigo]],Plan_cuentas[],5,FALSE)," ")</f>
        <v xml:space="preserve"> </v>
      </c>
      <c r="I3090" s="43"/>
      <c r="K3090" t="str">
        <f>IFERROR(+VLOOKUP(Movimientos_2026[[#This Row],[Codigo]],Plan_cuentas[],6,FALSE)," ")</f>
        <v xml:space="preserve"> </v>
      </c>
      <c r="L3090" s="50"/>
      <c r="M3090" s="50"/>
      <c r="N3090" s="20">
        <f>+Movimientos_2026[[#This Row],[Ingresos]]-Movimientos_2026[[#This Row],[Egresos]]</f>
        <v>0</v>
      </c>
      <c r="O3090" s="20">
        <f>+O3089+Movimientos_2026[[#This Row],[Neto]]</f>
        <v>4581558617.7962294</v>
      </c>
    </row>
    <row r="3091" spans="1:15" x14ac:dyDescent="0.25">
      <c r="A3091" s="13"/>
      <c r="B3091" s="12">
        <f>MONTH(Movimientos_2026[[#This Row],[Fecha]])</f>
        <v>1</v>
      </c>
      <c r="C3091" s="12" t="str">
        <f>VLOOKUP((WEEKDAY(Movimientos_2026[[#This Row],[Fecha]],2)),'5. Setup'!$D$6:$E$12,2,FALSE)</f>
        <v>Sab</v>
      </c>
      <c r="E3091" t="str">
        <f>IFERROR(+VLOOKUP(Movimientos_2026[[#This Row],[Codigo]],Plan_cuentas[],2,FALSE)," ")</f>
        <v xml:space="preserve"> </v>
      </c>
      <c r="F3091" t="str">
        <f>IFERROR(+VLOOKUP(Movimientos_2026[[#This Row],[Codigo]],Plan_cuentas[],3,FALSE)," ")</f>
        <v xml:space="preserve"> </v>
      </c>
      <c r="G3091" t="str">
        <f>IFERROR(+VLOOKUP(Movimientos_2026[[#This Row],[Codigo]],Plan_cuentas[],4,FALSE)," ")</f>
        <v xml:space="preserve"> </v>
      </c>
      <c r="H3091" t="str">
        <f>IFERROR(+VLOOKUP(Movimientos_2026[[#This Row],[Codigo]],Plan_cuentas[],5,FALSE)," ")</f>
        <v xml:space="preserve"> </v>
      </c>
      <c r="I3091" s="43"/>
      <c r="K3091" t="str">
        <f>IFERROR(+VLOOKUP(Movimientos_2026[[#This Row],[Codigo]],Plan_cuentas[],6,FALSE)," ")</f>
        <v xml:space="preserve"> </v>
      </c>
      <c r="L3091" s="50"/>
      <c r="M3091" s="50"/>
      <c r="N3091" s="20">
        <f>+Movimientos_2026[[#This Row],[Ingresos]]-Movimientos_2026[[#This Row],[Egresos]]</f>
        <v>0</v>
      </c>
      <c r="O3091" s="20">
        <f>+O3090+Movimientos_2026[[#This Row],[Neto]]</f>
        <v>4581558617.7962294</v>
      </c>
    </row>
    <row r="3092" spans="1:15" x14ac:dyDescent="0.25">
      <c r="A3092" s="13"/>
      <c r="B3092" s="12">
        <f>MONTH(Movimientos_2026[[#This Row],[Fecha]])</f>
        <v>1</v>
      </c>
      <c r="C3092" s="12" t="str">
        <f>VLOOKUP((WEEKDAY(Movimientos_2026[[#This Row],[Fecha]],2)),'5. Setup'!$D$6:$E$12,2,FALSE)</f>
        <v>Sab</v>
      </c>
      <c r="E3092" t="str">
        <f>IFERROR(+VLOOKUP(Movimientos_2026[[#This Row],[Codigo]],Plan_cuentas[],2,FALSE)," ")</f>
        <v xml:space="preserve"> </v>
      </c>
      <c r="F3092" t="str">
        <f>IFERROR(+VLOOKUP(Movimientos_2026[[#This Row],[Codigo]],Plan_cuentas[],3,FALSE)," ")</f>
        <v xml:space="preserve"> </v>
      </c>
      <c r="G3092" t="str">
        <f>IFERROR(+VLOOKUP(Movimientos_2026[[#This Row],[Codigo]],Plan_cuentas[],4,FALSE)," ")</f>
        <v xml:space="preserve"> </v>
      </c>
      <c r="H3092" t="str">
        <f>IFERROR(+VLOOKUP(Movimientos_2026[[#This Row],[Codigo]],Plan_cuentas[],5,FALSE)," ")</f>
        <v xml:space="preserve"> </v>
      </c>
      <c r="I3092" s="43"/>
      <c r="K3092" t="str">
        <f>IFERROR(+VLOOKUP(Movimientos_2026[[#This Row],[Codigo]],Plan_cuentas[],6,FALSE)," ")</f>
        <v xml:space="preserve"> </v>
      </c>
      <c r="L3092" s="50"/>
      <c r="M3092" s="50"/>
      <c r="N3092" s="20">
        <f>+Movimientos_2026[[#This Row],[Ingresos]]-Movimientos_2026[[#This Row],[Egresos]]</f>
        <v>0</v>
      </c>
      <c r="O3092" s="20">
        <f>+O3091+Movimientos_2026[[#This Row],[Neto]]</f>
        <v>4581558617.7962294</v>
      </c>
    </row>
    <row r="3093" spans="1:15" x14ac:dyDescent="0.25">
      <c r="A3093" s="13"/>
      <c r="B3093" s="12">
        <f>MONTH(Movimientos_2026[[#This Row],[Fecha]])</f>
        <v>1</v>
      </c>
      <c r="C3093" s="12" t="str">
        <f>VLOOKUP((WEEKDAY(Movimientos_2026[[#This Row],[Fecha]],2)),'5. Setup'!$D$6:$E$12,2,FALSE)</f>
        <v>Sab</v>
      </c>
      <c r="E3093" t="str">
        <f>IFERROR(+VLOOKUP(Movimientos_2026[[#This Row],[Codigo]],Plan_cuentas[],2,FALSE)," ")</f>
        <v xml:space="preserve"> </v>
      </c>
      <c r="F3093" t="str">
        <f>IFERROR(+VLOOKUP(Movimientos_2026[[#This Row],[Codigo]],Plan_cuentas[],3,FALSE)," ")</f>
        <v xml:space="preserve"> </v>
      </c>
      <c r="G3093" t="str">
        <f>IFERROR(+VLOOKUP(Movimientos_2026[[#This Row],[Codigo]],Plan_cuentas[],4,FALSE)," ")</f>
        <v xml:space="preserve"> </v>
      </c>
      <c r="H3093" t="str">
        <f>IFERROR(+VLOOKUP(Movimientos_2026[[#This Row],[Codigo]],Plan_cuentas[],5,FALSE)," ")</f>
        <v xml:space="preserve"> </v>
      </c>
      <c r="I3093" s="43"/>
      <c r="K3093" t="str">
        <f>IFERROR(+VLOOKUP(Movimientos_2026[[#This Row],[Codigo]],Plan_cuentas[],6,FALSE)," ")</f>
        <v xml:space="preserve"> </v>
      </c>
      <c r="L3093" s="50"/>
      <c r="M3093" s="50"/>
      <c r="N3093" s="20">
        <f>+Movimientos_2026[[#This Row],[Ingresos]]-Movimientos_2026[[#This Row],[Egresos]]</f>
        <v>0</v>
      </c>
      <c r="O3093" s="20">
        <f>+O3092+Movimientos_2026[[#This Row],[Neto]]</f>
        <v>4581558617.7962294</v>
      </c>
    </row>
    <row r="3094" spans="1:15" x14ac:dyDescent="0.25">
      <c r="A3094" s="13"/>
      <c r="B3094" s="12">
        <f>MONTH(Movimientos_2026[[#This Row],[Fecha]])</f>
        <v>1</v>
      </c>
      <c r="C3094" s="12" t="str">
        <f>VLOOKUP((WEEKDAY(Movimientos_2026[[#This Row],[Fecha]],2)),'5. Setup'!$D$6:$E$12,2,FALSE)</f>
        <v>Sab</v>
      </c>
      <c r="E3094" t="str">
        <f>IFERROR(+VLOOKUP(Movimientos_2026[[#This Row],[Codigo]],Plan_cuentas[],2,FALSE)," ")</f>
        <v xml:space="preserve"> </v>
      </c>
      <c r="F3094" t="str">
        <f>IFERROR(+VLOOKUP(Movimientos_2026[[#This Row],[Codigo]],Plan_cuentas[],3,FALSE)," ")</f>
        <v xml:space="preserve"> </v>
      </c>
      <c r="G3094" t="str">
        <f>IFERROR(+VLOOKUP(Movimientos_2026[[#This Row],[Codigo]],Plan_cuentas[],4,FALSE)," ")</f>
        <v xml:space="preserve"> </v>
      </c>
      <c r="H3094" t="str">
        <f>IFERROR(+VLOOKUP(Movimientos_2026[[#This Row],[Codigo]],Plan_cuentas[],5,FALSE)," ")</f>
        <v xml:space="preserve"> </v>
      </c>
      <c r="I3094" s="43"/>
      <c r="K3094" t="str">
        <f>IFERROR(+VLOOKUP(Movimientos_2026[[#This Row],[Codigo]],Plan_cuentas[],6,FALSE)," ")</f>
        <v xml:space="preserve"> </v>
      </c>
      <c r="L3094" s="50"/>
      <c r="M3094" s="50"/>
      <c r="N3094" s="20">
        <f>+Movimientos_2026[[#This Row],[Ingresos]]-Movimientos_2026[[#This Row],[Egresos]]</f>
        <v>0</v>
      </c>
      <c r="O3094" s="20">
        <f>+O3093+Movimientos_2026[[#This Row],[Neto]]</f>
        <v>4581558617.7962294</v>
      </c>
    </row>
    <row r="3095" spans="1:15" x14ac:dyDescent="0.25">
      <c r="A3095" s="13"/>
      <c r="B3095" s="12">
        <f>MONTH(Movimientos_2026[[#This Row],[Fecha]])</f>
        <v>1</v>
      </c>
      <c r="C3095" s="12" t="str">
        <f>VLOOKUP((WEEKDAY(Movimientos_2026[[#This Row],[Fecha]],2)),'5. Setup'!$D$6:$E$12,2,FALSE)</f>
        <v>Sab</v>
      </c>
      <c r="E3095" t="str">
        <f>IFERROR(+VLOOKUP(Movimientos_2026[[#This Row],[Codigo]],Plan_cuentas[],2,FALSE)," ")</f>
        <v xml:space="preserve"> </v>
      </c>
      <c r="F3095" t="str">
        <f>IFERROR(+VLOOKUP(Movimientos_2026[[#This Row],[Codigo]],Plan_cuentas[],3,FALSE)," ")</f>
        <v xml:space="preserve"> </v>
      </c>
      <c r="G3095" t="str">
        <f>IFERROR(+VLOOKUP(Movimientos_2026[[#This Row],[Codigo]],Plan_cuentas[],4,FALSE)," ")</f>
        <v xml:space="preserve"> </v>
      </c>
      <c r="H3095" t="str">
        <f>IFERROR(+VLOOKUP(Movimientos_2026[[#This Row],[Codigo]],Plan_cuentas[],5,FALSE)," ")</f>
        <v xml:space="preserve"> </v>
      </c>
      <c r="I3095" s="43"/>
      <c r="K3095" t="str">
        <f>IFERROR(+VLOOKUP(Movimientos_2026[[#This Row],[Codigo]],Plan_cuentas[],6,FALSE)," ")</f>
        <v xml:space="preserve"> </v>
      </c>
      <c r="L3095" s="50"/>
      <c r="M3095" s="50"/>
      <c r="N3095" s="20">
        <f>+Movimientos_2026[[#This Row],[Ingresos]]-Movimientos_2026[[#This Row],[Egresos]]</f>
        <v>0</v>
      </c>
      <c r="O3095" s="20">
        <f>+O3094+Movimientos_2026[[#This Row],[Neto]]</f>
        <v>4581558617.7962294</v>
      </c>
    </row>
    <row r="3096" spans="1:15" x14ac:dyDescent="0.25">
      <c r="A3096" s="13"/>
      <c r="B3096" s="12">
        <f>MONTH(Movimientos_2026[[#This Row],[Fecha]])</f>
        <v>1</v>
      </c>
      <c r="C3096" s="12" t="str">
        <f>VLOOKUP((WEEKDAY(Movimientos_2026[[#This Row],[Fecha]],2)),'5. Setup'!$D$6:$E$12,2,FALSE)</f>
        <v>Sab</v>
      </c>
      <c r="E3096" t="str">
        <f>IFERROR(+VLOOKUP(Movimientos_2026[[#This Row],[Codigo]],Plan_cuentas[],2,FALSE)," ")</f>
        <v xml:space="preserve"> </v>
      </c>
      <c r="F3096" t="str">
        <f>IFERROR(+VLOOKUP(Movimientos_2026[[#This Row],[Codigo]],Plan_cuentas[],3,FALSE)," ")</f>
        <v xml:space="preserve"> </v>
      </c>
      <c r="G3096" t="str">
        <f>IFERROR(+VLOOKUP(Movimientos_2026[[#This Row],[Codigo]],Plan_cuentas[],4,FALSE)," ")</f>
        <v xml:space="preserve"> </v>
      </c>
      <c r="H3096" t="str">
        <f>IFERROR(+VLOOKUP(Movimientos_2026[[#This Row],[Codigo]],Plan_cuentas[],5,FALSE)," ")</f>
        <v xml:space="preserve"> </v>
      </c>
      <c r="I3096" s="43"/>
      <c r="K3096" t="str">
        <f>IFERROR(+VLOOKUP(Movimientos_2026[[#This Row],[Codigo]],Plan_cuentas[],6,FALSE)," ")</f>
        <v xml:space="preserve"> </v>
      </c>
      <c r="L3096" s="50"/>
      <c r="M3096" s="50"/>
      <c r="N3096" s="20">
        <f>+Movimientos_2026[[#This Row],[Ingresos]]-Movimientos_2026[[#This Row],[Egresos]]</f>
        <v>0</v>
      </c>
      <c r="O3096" s="20">
        <f>+O3095+Movimientos_2026[[#This Row],[Neto]]</f>
        <v>4581558617.7962294</v>
      </c>
    </row>
    <row r="3097" spans="1:15" x14ac:dyDescent="0.25">
      <c r="A3097" s="13"/>
      <c r="B3097" s="12">
        <f>MONTH(Movimientos_2026[[#This Row],[Fecha]])</f>
        <v>1</v>
      </c>
      <c r="C3097" s="12" t="str">
        <f>VLOOKUP((WEEKDAY(Movimientos_2026[[#This Row],[Fecha]],2)),'5. Setup'!$D$6:$E$12,2,FALSE)</f>
        <v>Sab</v>
      </c>
      <c r="E3097" t="str">
        <f>IFERROR(+VLOOKUP(Movimientos_2026[[#This Row],[Codigo]],Plan_cuentas[],2,FALSE)," ")</f>
        <v xml:space="preserve"> </v>
      </c>
      <c r="F3097" t="str">
        <f>IFERROR(+VLOOKUP(Movimientos_2026[[#This Row],[Codigo]],Plan_cuentas[],3,FALSE)," ")</f>
        <v xml:space="preserve"> </v>
      </c>
      <c r="G3097" t="str">
        <f>IFERROR(+VLOOKUP(Movimientos_2026[[#This Row],[Codigo]],Plan_cuentas[],4,FALSE)," ")</f>
        <v xml:space="preserve"> </v>
      </c>
      <c r="H3097" t="str">
        <f>IFERROR(+VLOOKUP(Movimientos_2026[[#This Row],[Codigo]],Plan_cuentas[],5,FALSE)," ")</f>
        <v xml:space="preserve"> </v>
      </c>
      <c r="I3097" s="43"/>
      <c r="K3097" t="str">
        <f>IFERROR(+VLOOKUP(Movimientos_2026[[#This Row],[Codigo]],Plan_cuentas[],6,FALSE)," ")</f>
        <v xml:space="preserve"> </v>
      </c>
      <c r="L3097" s="50"/>
      <c r="M3097" s="50"/>
      <c r="N3097" s="20">
        <f>+Movimientos_2026[[#This Row],[Ingresos]]-Movimientos_2026[[#This Row],[Egresos]]</f>
        <v>0</v>
      </c>
      <c r="O3097" s="20">
        <f>+O3096+Movimientos_2026[[#This Row],[Neto]]</f>
        <v>4581558617.7962294</v>
      </c>
    </row>
    <row r="3098" spans="1:15" x14ac:dyDescent="0.25">
      <c r="A3098" s="13"/>
      <c r="B3098" s="12">
        <f>MONTH(Movimientos_2026[[#This Row],[Fecha]])</f>
        <v>1</v>
      </c>
      <c r="C3098" s="12" t="str">
        <f>VLOOKUP((WEEKDAY(Movimientos_2026[[#This Row],[Fecha]],2)),'5. Setup'!$D$6:$E$12,2,FALSE)</f>
        <v>Sab</v>
      </c>
      <c r="E3098" t="str">
        <f>IFERROR(+VLOOKUP(Movimientos_2026[[#This Row],[Codigo]],Plan_cuentas[],2,FALSE)," ")</f>
        <v xml:space="preserve"> </v>
      </c>
      <c r="F3098" t="str">
        <f>IFERROR(+VLOOKUP(Movimientos_2026[[#This Row],[Codigo]],Plan_cuentas[],3,FALSE)," ")</f>
        <v xml:space="preserve"> </v>
      </c>
      <c r="G3098" t="str">
        <f>IFERROR(+VLOOKUP(Movimientos_2026[[#This Row],[Codigo]],Plan_cuentas[],4,FALSE)," ")</f>
        <v xml:space="preserve"> </v>
      </c>
      <c r="H3098" t="str">
        <f>IFERROR(+VLOOKUP(Movimientos_2026[[#This Row],[Codigo]],Plan_cuentas[],5,FALSE)," ")</f>
        <v xml:space="preserve"> </v>
      </c>
      <c r="I3098" s="43"/>
      <c r="K3098" t="str">
        <f>IFERROR(+VLOOKUP(Movimientos_2026[[#This Row],[Codigo]],Plan_cuentas[],6,FALSE)," ")</f>
        <v xml:space="preserve"> </v>
      </c>
      <c r="L3098" s="50"/>
      <c r="M3098" s="50"/>
      <c r="N3098" s="20">
        <f>+Movimientos_2026[[#This Row],[Ingresos]]-Movimientos_2026[[#This Row],[Egresos]]</f>
        <v>0</v>
      </c>
      <c r="O3098" s="20">
        <f>+O3097+Movimientos_2026[[#This Row],[Neto]]</f>
        <v>4581558617.7962294</v>
      </c>
    </row>
    <row r="3099" spans="1:15" x14ac:dyDescent="0.25">
      <c r="A3099" s="13"/>
      <c r="B3099" s="12">
        <f>MONTH(Movimientos_2026[[#This Row],[Fecha]])</f>
        <v>1</v>
      </c>
      <c r="C3099" s="12" t="str">
        <f>VLOOKUP((WEEKDAY(Movimientos_2026[[#This Row],[Fecha]],2)),'5. Setup'!$D$6:$E$12,2,FALSE)</f>
        <v>Sab</v>
      </c>
      <c r="E3099" t="str">
        <f>IFERROR(+VLOOKUP(Movimientos_2026[[#This Row],[Codigo]],Plan_cuentas[],2,FALSE)," ")</f>
        <v xml:space="preserve"> </v>
      </c>
      <c r="F3099" t="str">
        <f>IFERROR(+VLOOKUP(Movimientos_2026[[#This Row],[Codigo]],Plan_cuentas[],3,FALSE)," ")</f>
        <v xml:space="preserve"> </v>
      </c>
      <c r="G3099" t="str">
        <f>IFERROR(+VLOOKUP(Movimientos_2026[[#This Row],[Codigo]],Plan_cuentas[],4,FALSE)," ")</f>
        <v xml:space="preserve"> </v>
      </c>
      <c r="H3099" t="str">
        <f>IFERROR(+VLOOKUP(Movimientos_2026[[#This Row],[Codigo]],Plan_cuentas[],5,FALSE)," ")</f>
        <v xml:space="preserve"> </v>
      </c>
      <c r="I3099" s="43"/>
      <c r="K3099" t="str">
        <f>IFERROR(+VLOOKUP(Movimientos_2026[[#This Row],[Codigo]],Plan_cuentas[],6,FALSE)," ")</f>
        <v xml:space="preserve"> </v>
      </c>
      <c r="L3099" s="50"/>
      <c r="M3099" s="50"/>
      <c r="N3099" s="20">
        <f>+Movimientos_2026[[#This Row],[Ingresos]]-Movimientos_2026[[#This Row],[Egresos]]</f>
        <v>0</v>
      </c>
      <c r="O3099" s="20">
        <f>+O3098+Movimientos_2026[[#This Row],[Neto]]</f>
        <v>4581558617.7962294</v>
      </c>
    </row>
    <row r="3100" spans="1:15" x14ac:dyDescent="0.25">
      <c r="A3100" s="13"/>
      <c r="B3100" s="12">
        <f>MONTH(Movimientos_2026[[#This Row],[Fecha]])</f>
        <v>1</v>
      </c>
      <c r="C3100" s="12" t="str">
        <f>VLOOKUP((WEEKDAY(Movimientos_2026[[#This Row],[Fecha]],2)),'5. Setup'!$D$6:$E$12,2,FALSE)</f>
        <v>Sab</v>
      </c>
      <c r="E3100" t="str">
        <f>IFERROR(+VLOOKUP(Movimientos_2026[[#This Row],[Codigo]],Plan_cuentas[],2,FALSE)," ")</f>
        <v xml:space="preserve"> </v>
      </c>
      <c r="F3100" t="str">
        <f>IFERROR(+VLOOKUP(Movimientos_2026[[#This Row],[Codigo]],Plan_cuentas[],3,FALSE)," ")</f>
        <v xml:space="preserve"> </v>
      </c>
      <c r="G3100" t="str">
        <f>IFERROR(+VLOOKUP(Movimientos_2026[[#This Row],[Codigo]],Plan_cuentas[],4,FALSE)," ")</f>
        <v xml:space="preserve"> </v>
      </c>
      <c r="H3100" t="str">
        <f>IFERROR(+VLOOKUP(Movimientos_2026[[#This Row],[Codigo]],Plan_cuentas[],5,FALSE)," ")</f>
        <v xml:space="preserve"> </v>
      </c>
      <c r="I3100" s="43"/>
      <c r="K3100" t="str">
        <f>IFERROR(+VLOOKUP(Movimientos_2026[[#This Row],[Codigo]],Plan_cuentas[],6,FALSE)," ")</f>
        <v xml:space="preserve"> </v>
      </c>
      <c r="L3100" s="50"/>
      <c r="M3100" s="50"/>
      <c r="N3100" s="20">
        <f>+Movimientos_2026[[#This Row],[Ingresos]]-Movimientos_2026[[#This Row],[Egresos]]</f>
        <v>0</v>
      </c>
      <c r="O3100" s="20">
        <f>+O3099+Movimientos_2026[[#This Row],[Neto]]</f>
        <v>4581558617.7962294</v>
      </c>
    </row>
    <row r="3101" spans="1:15" x14ac:dyDescent="0.25">
      <c r="A3101" s="13"/>
      <c r="B3101" s="12">
        <f>MONTH(Movimientos_2026[[#This Row],[Fecha]])</f>
        <v>1</v>
      </c>
      <c r="C3101" s="12" t="str">
        <f>VLOOKUP((WEEKDAY(Movimientos_2026[[#This Row],[Fecha]],2)),'5. Setup'!$D$6:$E$12,2,FALSE)</f>
        <v>Sab</v>
      </c>
      <c r="E3101" t="str">
        <f>IFERROR(+VLOOKUP(Movimientos_2026[[#This Row],[Codigo]],Plan_cuentas[],2,FALSE)," ")</f>
        <v xml:space="preserve"> </v>
      </c>
      <c r="F3101" t="str">
        <f>IFERROR(+VLOOKUP(Movimientos_2026[[#This Row],[Codigo]],Plan_cuentas[],3,FALSE)," ")</f>
        <v xml:space="preserve"> </v>
      </c>
      <c r="G3101" t="str">
        <f>IFERROR(+VLOOKUP(Movimientos_2026[[#This Row],[Codigo]],Plan_cuentas[],4,FALSE)," ")</f>
        <v xml:space="preserve"> </v>
      </c>
      <c r="H3101" t="str">
        <f>IFERROR(+VLOOKUP(Movimientos_2026[[#This Row],[Codigo]],Plan_cuentas[],5,FALSE)," ")</f>
        <v xml:space="preserve"> </v>
      </c>
      <c r="I3101" s="43"/>
      <c r="K3101" t="str">
        <f>IFERROR(+VLOOKUP(Movimientos_2026[[#This Row],[Codigo]],Plan_cuentas[],6,FALSE)," ")</f>
        <v xml:space="preserve"> </v>
      </c>
      <c r="L3101" s="50"/>
      <c r="M3101" s="50"/>
      <c r="N3101" s="20">
        <f>+Movimientos_2026[[#This Row],[Ingresos]]-Movimientos_2026[[#This Row],[Egresos]]</f>
        <v>0</v>
      </c>
      <c r="O3101" s="20">
        <f>+O3100+Movimientos_2026[[#This Row],[Neto]]</f>
        <v>4581558617.7962294</v>
      </c>
    </row>
    <row r="3102" spans="1:15" x14ac:dyDescent="0.25">
      <c r="A3102" s="13"/>
      <c r="B3102" s="12">
        <f>MONTH(Movimientos_2026[[#This Row],[Fecha]])</f>
        <v>1</v>
      </c>
      <c r="C3102" s="12" t="str">
        <f>VLOOKUP((WEEKDAY(Movimientos_2026[[#This Row],[Fecha]],2)),'5. Setup'!$D$6:$E$12,2,FALSE)</f>
        <v>Sab</v>
      </c>
      <c r="E3102" t="str">
        <f>IFERROR(+VLOOKUP(Movimientos_2026[[#This Row],[Codigo]],Plan_cuentas[],2,FALSE)," ")</f>
        <v xml:space="preserve"> </v>
      </c>
      <c r="F3102" t="str">
        <f>IFERROR(+VLOOKUP(Movimientos_2026[[#This Row],[Codigo]],Plan_cuentas[],3,FALSE)," ")</f>
        <v xml:space="preserve"> </v>
      </c>
      <c r="G3102" t="str">
        <f>IFERROR(+VLOOKUP(Movimientos_2026[[#This Row],[Codigo]],Plan_cuentas[],4,FALSE)," ")</f>
        <v xml:space="preserve"> </v>
      </c>
      <c r="H3102" t="str">
        <f>IFERROR(+VLOOKUP(Movimientos_2026[[#This Row],[Codigo]],Plan_cuentas[],5,FALSE)," ")</f>
        <v xml:space="preserve"> </v>
      </c>
      <c r="I3102" s="43"/>
      <c r="K3102" t="str">
        <f>IFERROR(+VLOOKUP(Movimientos_2026[[#This Row],[Codigo]],Plan_cuentas[],6,FALSE)," ")</f>
        <v xml:space="preserve"> </v>
      </c>
      <c r="L3102" s="50"/>
      <c r="M3102" s="50"/>
      <c r="N3102" s="20">
        <f>+Movimientos_2026[[#This Row],[Ingresos]]-Movimientos_2026[[#This Row],[Egresos]]</f>
        <v>0</v>
      </c>
      <c r="O3102" s="20">
        <f>+O3101+Movimientos_2026[[#This Row],[Neto]]</f>
        <v>4581558617.7962294</v>
      </c>
    </row>
    <row r="3103" spans="1:15" x14ac:dyDescent="0.25">
      <c r="A3103" s="13"/>
      <c r="B3103" s="12">
        <f>MONTH(Movimientos_2026[[#This Row],[Fecha]])</f>
        <v>1</v>
      </c>
      <c r="C3103" s="12" t="str">
        <f>VLOOKUP((WEEKDAY(Movimientos_2026[[#This Row],[Fecha]],2)),'5. Setup'!$D$6:$E$12,2,FALSE)</f>
        <v>Sab</v>
      </c>
      <c r="E3103" t="str">
        <f>IFERROR(+VLOOKUP(Movimientos_2026[[#This Row],[Codigo]],Plan_cuentas[],2,FALSE)," ")</f>
        <v xml:space="preserve"> </v>
      </c>
      <c r="F3103" t="str">
        <f>IFERROR(+VLOOKUP(Movimientos_2026[[#This Row],[Codigo]],Plan_cuentas[],3,FALSE)," ")</f>
        <v xml:space="preserve"> </v>
      </c>
      <c r="G3103" t="str">
        <f>IFERROR(+VLOOKUP(Movimientos_2026[[#This Row],[Codigo]],Plan_cuentas[],4,FALSE)," ")</f>
        <v xml:space="preserve"> </v>
      </c>
      <c r="H3103" t="str">
        <f>IFERROR(+VLOOKUP(Movimientos_2026[[#This Row],[Codigo]],Plan_cuentas[],5,FALSE)," ")</f>
        <v xml:space="preserve"> </v>
      </c>
      <c r="I3103" s="43"/>
      <c r="K3103" t="str">
        <f>IFERROR(+VLOOKUP(Movimientos_2026[[#This Row],[Codigo]],Plan_cuentas[],6,FALSE)," ")</f>
        <v xml:space="preserve"> </v>
      </c>
      <c r="L3103" s="50"/>
      <c r="M3103" s="50"/>
      <c r="N3103" s="20">
        <f>+Movimientos_2026[[#This Row],[Ingresos]]-Movimientos_2026[[#This Row],[Egresos]]</f>
        <v>0</v>
      </c>
      <c r="O3103" s="20">
        <f>+O3102+Movimientos_2026[[#This Row],[Neto]]</f>
        <v>4581558617.7962294</v>
      </c>
    </row>
    <row r="3104" spans="1:15" x14ac:dyDescent="0.25">
      <c r="A3104" s="13"/>
      <c r="B3104" s="12">
        <f>MONTH(Movimientos_2026[[#This Row],[Fecha]])</f>
        <v>1</v>
      </c>
      <c r="C3104" s="12" t="str">
        <f>VLOOKUP((WEEKDAY(Movimientos_2026[[#This Row],[Fecha]],2)),'5. Setup'!$D$6:$E$12,2,FALSE)</f>
        <v>Sab</v>
      </c>
      <c r="E3104" t="str">
        <f>IFERROR(+VLOOKUP(Movimientos_2026[[#This Row],[Codigo]],Plan_cuentas[],2,FALSE)," ")</f>
        <v xml:space="preserve"> </v>
      </c>
      <c r="F3104" t="str">
        <f>IFERROR(+VLOOKUP(Movimientos_2026[[#This Row],[Codigo]],Plan_cuentas[],3,FALSE)," ")</f>
        <v xml:space="preserve"> </v>
      </c>
      <c r="G3104" t="str">
        <f>IFERROR(+VLOOKUP(Movimientos_2026[[#This Row],[Codigo]],Plan_cuentas[],4,FALSE)," ")</f>
        <v xml:space="preserve"> </v>
      </c>
      <c r="H3104" t="str">
        <f>IFERROR(+VLOOKUP(Movimientos_2026[[#This Row],[Codigo]],Plan_cuentas[],5,FALSE)," ")</f>
        <v xml:space="preserve"> </v>
      </c>
      <c r="I3104" s="43"/>
      <c r="K3104" t="str">
        <f>IFERROR(+VLOOKUP(Movimientos_2026[[#This Row],[Codigo]],Plan_cuentas[],6,FALSE)," ")</f>
        <v xml:space="preserve"> </v>
      </c>
      <c r="L3104" s="50"/>
      <c r="M3104" s="50"/>
      <c r="N3104" s="20">
        <f>+Movimientos_2026[[#This Row],[Ingresos]]-Movimientos_2026[[#This Row],[Egresos]]</f>
        <v>0</v>
      </c>
      <c r="O3104" s="20">
        <f>+O3103+Movimientos_2026[[#This Row],[Neto]]</f>
        <v>4581558617.7962294</v>
      </c>
    </row>
    <row r="3105" spans="1:15" x14ac:dyDescent="0.25">
      <c r="A3105" s="13"/>
      <c r="B3105" s="12">
        <f>MONTH(Movimientos_2026[[#This Row],[Fecha]])</f>
        <v>1</v>
      </c>
      <c r="C3105" s="12" t="str">
        <f>VLOOKUP((WEEKDAY(Movimientos_2026[[#This Row],[Fecha]],2)),'5. Setup'!$D$6:$E$12,2,FALSE)</f>
        <v>Sab</v>
      </c>
      <c r="E3105" t="str">
        <f>IFERROR(+VLOOKUP(Movimientos_2026[[#This Row],[Codigo]],Plan_cuentas[],2,FALSE)," ")</f>
        <v xml:space="preserve"> </v>
      </c>
      <c r="F3105" t="str">
        <f>IFERROR(+VLOOKUP(Movimientos_2026[[#This Row],[Codigo]],Plan_cuentas[],3,FALSE)," ")</f>
        <v xml:space="preserve"> </v>
      </c>
      <c r="G3105" t="str">
        <f>IFERROR(+VLOOKUP(Movimientos_2026[[#This Row],[Codigo]],Plan_cuentas[],4,FALSE)," ")</f>
        <v xml:space="preserve"> </v>
      </c>
      <c r="H3105" t="str">
        <f>IFERROR(+VLOOKUP(Movimientos_2026[[#This Row],[Codigo]],Plan_cuentas[],5,FALSE)," ")</f>
        <v xml:space="preserve"> </v>
      </c>
      <c r="I3105" s="43"/>
      <c r="K3105" t="str">
        <f>IFERROR(+VLOOKUP(Movimientos_2026[[#This Row],[Codigo]],Plan_cuentas[],6,FALSE)," ")</f>
        <v xml:space="preserve"> </v>
      </c>
      <c r="L3105" s="50"/>
      <c r="M3105" s="50"/>
      <c r="N3105" s="20">
        <f>+Movimientos_2026[[#This Row],[Ingresos]]-Movimientos_2026[[#This Row],[Egresos]]</f>
        <v>0</v>
      </c>
      <c r="O3105" s="20">
        <f>+O3104+Movimientos_2026[[#This Row],[Neto]]</f>
        <v>4581558617.7962294</v>
      </c>
    </row>
    <row r="3106" spans="1:15" x14ac:dyDescent="0.25">
      <c r="A3106" s="13"/>
      <c r="B3106" s="12">
        <f>MONTH(Movimientos_2026[[#This Row],[Fecha]])</f>
        <v>1</v>
      </c>
      <c r="C3106" s="12" t="str">
        <f>VLOOKUP((WEEKDAY(Movimientos_2026[[#This Row],[Fecha]],2)),'5. Setup'!$D$6:$E$12,2,FALSE)</f>
        <v>Sab</v>
      </c>
      <c r="E3106" t="str">
        <f>IFERROR(+VLOOKUP(Movimientos_2026[[#This Row],[Codigo]],Plan_cuentas[],2,FALSE)," ")</f>
        <v xml:space="preserve"> </v>
      </c>
      <c r="F3106" t="str">
        <f>IFERROR(+VLOOKUP(Movimientos_2026[[#This Row],[Codigo]],Plan_cuentas[],3,FALSE)," ")</f>
        <v xml:space="preserve"> </v>
      </c>
      <c r="G3106" t="str">
        <f>IFERROR(+VLOOKUP(Movimientos_2026[[#This Row],[Codigo]],Plan_cuentas[],4,FALSE)," ")</f>
        <v xml:space="preserve"> </v>
      </c>
      <c r="H3106" t="str">
        <f>IFERROR(+VLOOKUP(Movimientos_2026[[#This Row],[Codigo]],Plan_cuentas[],5,FALSE)," ")</f>
        <v xml:space="preserve"> </v>
      </c>
      <c r="I3106" s="43"/>
      <c r="K3106" t="str">
        <f>IFERROR(+VLOOKUP(Movimientos_2026[[#This Row],[Codigo]],Plan_cuentas[],6,FALSE)," ")</f>
        <v xml:space="preserve"> </v>
      </c>
      <c r="L3106" s="50"/>
      <c r="M3106" s="50"/>
      <c r="N3106" s="20">
        <f>+Movimientos_2026[[#This Row],[Ingresos]]-Movimientos_2026[[#This Row],[Egresos]]</f>
        <v>0</v>
      </c>
      <c r="O3106" s="20">
        <f>+O3105+Movimientos_2026[[#This Row],[Neto]]</f>
        <v>4581558617.7962294</v>
      </c>
    </row>
    <row r="3107" spans="1:15" x14ac:dyDescent="0.25">
      <c r="A3107" s="13"/>
      <c r="B3107" s="12">
        <f>MONTH(Movimientos_2026[[#This Row],[Fecha]])</f>
        <v>1</v>
      </c>
      <c r="C3107" s="12" t="str">
        <f>VLOOKUP((WEEKDAY(Movimientos_2026[[#This Row],[Fecha]],2)),'5. Setup'!$D$6:$E$12,2,FALSE)</f>
        <v>Sab</v>
      </c>
      <c r="E3107" t="str">
        <f>IFERROR(+VLOOKUP(Movimientos_2026[[#This Row],[Codigo]],Plan_cuentas[],2,FALSE)," ")</f>
        <v xml:space="preserve"> </v>
      </c>
      <c r="F3107" t="str">
        <f>IFERROR(+VLOOKUP(Movimientos_2026[[#This Row],[Codigo]],Plan_cuentas[],3,FALSE)," ")</f>
        <v xml:space="preserve"> </v>
      </c>
      <c r="G3107" t="str">
        <f>IFERROR(+VLOOKUP(Movimientos_2026[[#This Row],[Codigo]],Plan_cuentas[],4,FALSE)," ")</f>
        <v xml:space="preserve"> </v>
      </c>
      <c r="H3107" t="str">
        <f>IFERROR(+VLOOKUP(Movimientos_2026[[#This Row],[Codigo]],Plan_cuentas[],5,FALSE)," ")</f>
        <v xml:space="preserve"> </v>
      </c>
      <c r="I3107" s="43"/>
      <c r="K3107" t="str">
        <f>IFERROR(+VLOOKUP(Movimientos_2026[[#This Row],[Codigo]],Plan_cuentas[],6,FALSE)," ")</f>
        <v xml:space="preserve"> </v>
      </c>
      <c r="L3107" s="50"/>
      <c r="M3107" s="50"/>
      <c r="N3107" s="20">
        <f>+Movimientos_2026[[#This Row],[Ingresos]]-Movimientos_2026[[#This Row],[Egresos]]</f>
        <v>0</v>
      </c>
      <c r="O3107" s="20">
        <f>+O3106+Movimientos_2026[[#This Row],[Neto]]</f>
        <v>4581558617.7962294</v>
      </c>
    </row>
    <row r="3108" spans="1:15" x14ac:dyDescent="0.25">
      <c r="A3108" s="13"/>
      <c r="B3108" s="12">
        <f>MONTH(Movimientos_2026[[#This Row],[Fecha]])</f>
        <v>1</v>
      </c>
      <c r="C3108" s="12" t="str">
        <f>VLOOKUP((WEEKDAY(Movimientos_2026[[#This Row],[Fecha]],2)),'5. Setup'!$D$6:$E$12,2,FALSE)</f>
        <v>Sab</v>
      </c>
      <c r="E3108" t="str">
        <f>IFERROR(+VLOOKUP(Movimientos_2026[[#This Row],[Codigo]],Plan_cuentas[],2,FALSE)," ")</f>
        <v xml:space="preserve"> </v>
      </c>
      <c r="F3108" t="str">
        <f>IFERROR(+VLOOKUP(Movimientos_2026[[#This Row],[Codigo]],Plan_cuentas[],3,FALSE)," ")</f>
        <v xml:space="preserve"> </v>
      </c>
      <c r="G3108" t="str">
        <f>IFERROR(+VLOOKUP(Movimientos_2026[[#This Row],[Codigo]],Plan_cuentas[],4,FALSE)," ")</f>
        <v xml:space="preserve"> </v>
      </c>
      <c r="H3108" t="str">
        <f>IFERROR(+VLOOKUP(Movimientos_2026[[#This Row],[Codigo]],Plan_cuentas[],5,FALSE)," ")</f>
        <v xml:space="preserve"> </v>
      </c>
      <c r="I3108" s="43"/>
      <c r="K3108" t="str">
        <f>IFERROR(+VLOOKUP(Movimientos_2026[[#This Row],[Codigo]],Plan_cuentas[],6,FALSE)," ")</f>
        <v xml:space="preserve"> </v>
      </c>
      <c r="L3108" s="50"/>
      <c r="M3108" s="50"/>
      <c r="N3108" s="20">
        <f>+Movimientos_2026[[#This Row],[Ingresos]]-Movimientos_2026[[#This Row],[Egresos]]</f>
        <v>0</v>
      </c>
      <c r="O3108" s="20">
        <f>+O3107+Movimientos_2026[[#This Row],[Neto]]</f>
        <v>4581558617.7962294</v>
      </c>
    </row>
    <row r="3109" spans="1:15" x14ac:dyDescent="0.25">
      <c r="A3109" s="13"/>
      <c r="B3109" s="12">
        <f>MONTH(Movimientos_2026[[#This Row],[Fecha]])</f>
        <v>1</v>
      </c>
      <c r="C3109" s="12" t="str">
        <f>VLOOKUP((WEEKDAY(Movimientos_2026[[#This Row],[Fecha]],2)),'5. Setup'!$D$6:$E$12,2,FALSE)</f>
        <v>Sab</v>
      </c>
      <c r="E3109" t="str">
        <f>IFERROR(+VLOOKUP(Movimientos_2026[[#This Row],[Codigo]],Plan_cuentas[],2,FALSE)," ")</f>
        <v xml:space="preserve"> </v>
      </c>
      <c r="F3109" t="str">
        <f>IFERROR(+VLOOKUP(Movimientos_2026[[#This Row],[Codigo]],Plan_cuentas[],3,FALSE)," ")</f>
        <v xml:space="preserve"> </v>
      </c>
      <c r="G3109" t="str">
        <f>IFERROR(+VLOOKUP(Movimientos_2026[[#This Row],[Codigo]],Plan_cuentas[],4,FALSE)," ")</f>
        <v xml:space="preserve"> </v>
      </c>
      <c r="H3109" t="str">
        <f>IFERROR(+VLOOKUP(Movimientos_2026[[#This Row],[Codigo]],Plan_cuentas[],5,FALSE)," ")</f>
        <v xml:space="preserve"> </v>
      </c>
      <c r="I3109" s="43"/>
      <c r="K3109" t="str">
        <f>IFERROR(+VLOOKUP(Movimientos_2026[[#This Row],[Codigo]],Plan_cuentas[],6,FALSE)," ")</f>
        <v xml:space="preserve"> </v>
      </c>
      <c r="L3109" s="50"/>
      <c r="M3109" s="50"/>
      <c r="N3109" s="20">
        <f>+Movimientos_2026[[#This Row],[Ingresos]]-Movimientos_2026[[#This Row],[Egresos]]</f>
        <v>0</v>
      </c>
      <c r="O3109" s="20">
        <f>+O3108+Movimientos_2026[[#This Row],[Neto]]</f>
        <v>4581558617.7962294</v>
      </c>
    </row>
    <row r="3110" spans="1:15" x14ac:dyDescent="0.25">
      <c r="A3110" s="13"/>
      <c r="B3110" s="12">
        <f>MONTH(Movimientos_2026[[#This Row],[Fecha]])</f>
        <v>1</v>
      </c>
      <c r="C3110" s="12" t="str">
        <f>VLOOKUP((WEEKDAY(Movimientos_2026[[#This Row],[Fecha]],2)),'5. Setup'!$D$6:$E$12,2,FALSE)</f>
        <v>Sab</v>
      </c>
      <c r="E3110" t="str">
        <f>IFERROR(+VLOOKUP(Movimientos_2026[[#This Row],[Codigo]],Plan_cuentas[],2,FALSE)," ")</f>
        <v xml:space="preserve"> </v>
      </c>
      <c r="F3110" t="str">
        <f>IFERROR(+VLOOKUP(Movimientos_2026[[#This Row],[Codigo]],Plan_cuentas[],3,FALSE)," ")</f>
        <v xml:space="preserve"> </v>
      </c>
      <c r="G3110" t="str">
        <f>IFERROR(+VLOOKUP(Movimientos_2026[[#This Row],[Codigo]],Plan_cuentas[],4,FALSE)," ")</f>
        <v xml:space="preserve"> </v>
      </c>
      <c r="H3110" t="str">
        <f>IFERROR(+VLOOKUP(Movimientos_2026[[#This Row],[Codigo]],Plan_cuentas[],5,FALSE)," ")</f>
        <v xml:space="preserve"> </v>
      </c>
      <c r="I3110" s="43"/>
      <c r="K3110" t="str">
        <f>IFERROR(+VLOOKUP(Movimientos_2026[[#This Row],[Codigo]],Plan_cuentas[],6,FALSE)," ")</f>
        <v xml:space="preserve"> </v>
      </c>
      <c r="L3110" s="50"/>
      <c r="M3110" s="50"/>
      <c r="N3110" s="20">
        <f>+Movimientos_2026[[#This Row],[Ingresos]]-Movimientos_2026[[#This Row],[Egresos]]</f>
        <v>0</v>
      </c>
      <c r="O3110" s="20">
        <f>+O3109+Movimientos_2026[[#This Row],[Neto]]</f>
        <v>4581558617.7962294</v>
      </c>
    </row>
    <row r="3111" spans="1:15" x14ac:dyDescent="0.25">
      <c r="A3111" s="13"/>
      <c r="B3111" s="12">
        <f>MONTH(Movimientos_2026[[#This Row],[Fecha]])</f>
        <v>1</v>
      </c>
      <c r="C3111" s="12" t="str">
        <f>VLOOKUP((WEEKDAY(Movimientos_2026[[#This Row],[Fecha]],2)),'5. Setup'!$D$6:$E$12,2,FALSE)</f>
        <v>Sab</v>
      </c>
      <c r="E3111" t="str">
        <f>IFERROR(+VLOOKUP(Movimientos_2026[[#This Row],[Codigo]],Plan_cuentas[],2,FALSE)," ")</f>
        <v xml:space="preserve"> </v>
      </c>
      <c r="F3111" t="str">
        <f>IFERROR(+VLOOKUP(Movimientos_2026[[#This Row],[Codigo]],Plan_cuentas[],3,FALSE)," ")</f>
        <v xml:space="preserve"> </v>
      </c>
      <c r="G3111" t="str">
        <f>IFERROR(+VLOOKUP(Movimientos_2026[[#This Row],[Codigo]],Plan_cuentas[],4,FALSE)," ")</f>
        <v xml:space="preserve"> </v>
      </c>
      <c r="H3111" t="str">
        <f>IFERROR(+VLOOKUP(Movimientos_2026[[#This Row],[Codigo]],Plan_cuentas[],5,FALSE)," ")</f>
        <v xml:space="preserve"> </v>
      </c>
      <c r="I3111" s="43"/>
      <c r="K3111" t="str">
        <f>IFERROR(+VLOOKUP(Movimientos_2026[[#This Row],[Codigo]],Plan_cuentas[],6,FALSE)," ")</f>
        <v xml:space="preserve"> </v>
      </c>
      <c r="L3111" s="50"/>
      <c r="M3111" s="50"/>
      <c r="N3111" s="20">
        <f>+Movimientos_2026[[#This Row],[Ingresos]]-Movimientos_2026[[#This Row],[Egresos]]</f>
        <v>0</v>
      </c>
      <c r="O3111" s="20">
        <f>+O3110+Movimientos_2026[[#This Row],[Neto]]</f>
        <v>4581558617.7962294</v>
      </c>
    </row>
    <row r="3112" spans="1:15" x14ac:dyDescent="0.25">
      <c r="A3112" s="13"/>
      <c r="B3112" s="12">
        <f>MONTH(Movimientos_2026[[#This Row],[Fecha]])</f>
        <v>1</v>
      </c>
      <c r="C3112" s="12" t="str">
        <f>VLOOKUP((WEEKDAY(Movimientos_2026[[#This Row],[Fecha]],2)),'5. Setup'!$D$6:$E$12,2,FALSE)</f>
        <v>Sab</v>
      </c>
      <c r="E3112" t="str">
        <f>IFERROR(+VLOOKUP(Movimientos_2026[[#This Row],[Codigo]],Plan_cuentas[],2,FALSE)," ")</f>
        <v xml:space="preserve"> </v>
      </c>
      <c r="F3112" t="str">
        <f>IFERROR(+VLOOKUP(Movimientos_2026[[#This Row],[Codigo]],Plan_cuentas[],3,FALSE)," ")</f>
        <v xml:space="preserve"> </v>
      </c>
      <c r="G3112" t="str">
        <f>IFERROR(+VLOOKUP(Movimientos_2026[[#This Row],[Codigo]],Plan_cuentas[],4,FALSE)," ")</f>
        <v xml:space="preserve"> </v>
      </c>
      <c r="H3112" t="str">
        <f>IFERROR(+VLOOKUP(Movimientos_2026[[#This Row],[Codigo]],Plan_cuentas[],5,FALSE)," ")</f>
        <v xml:space="preserve"> </v>
      </c>
      <c r="I3112" s="43"/>
      <c r="K3112" t="str">
        <f>IFERROR(+VLOOKUP(Movimientos_2026[[#This Row],[Codigo]],Plan_cuentas[],6,FALSE)," ")</f>
        <v xml:space="preserve"> </v>
      </c>
      <c r="L3112" s="50"/>
      <c r="M3112" s="50"/>
      <c r="N3112" s="20">
        <f>+Movimientos_2026[[#This Row],[Ingresos]]-Movimientos_2026[[#This Row],[Egresos]]</f>
        <v>0</v>
      </c>
      <c r="O3112" s="20">
        <f>+O3111+Movimientos_2026[[#This Row],[Neto]]</f>
        <v>4581558617.7962294</v>
      </c>
    </row>
    <row r="3113" spans="1:15" x14ac:dyDescent="0.25">
      <c r="A3113" s="13"/>
      <c r="B3113" s="12">
        <f>MONTH(Movimientos_2026[[#This Row],[Fecha]])</f>
        <v>1</v>
      </c>
      <c r="C3113" s="12" t="str">
        <f>VLOOKUP((WEEKDAY(Movimientos_2026[[#This Row],[Fecha]],2)),'5. Setup'!$D$6:$E$12,2,FALSE)</f>
        <v>Sab</v>
      </c>
      <c r="E3113" t="str">
        <f>IFERROR(+VLOOKUP(Movimientos_2026[[#This Row],[Codigo]],Plan_cuentas[],2,FALSE)," ")</f>
        <v xml:space="preserve"> </v>
      </c>
      <c r="F3113" t="str">
        <f>IFERROR(+VLOOKUP(Movimientos_2026[[#This Row],[Codigo]],Plan_cuentas[],3,FALSE)," ")</f>
        <v xml:space="preserve"> </v>
      </c>
      <c r="G3113" t="str">
        <f>IFERROR(+VLOOKUP(Movimientos_2026[[#This Row],[Codigo]],Plan_cuentas[],4,FALSE)," ")</f>
        <v xml:space="preserve"> </v>
      </c>
      <c r="H3113" t="str">
        <f>IFERROR(+VLOOKUP(Movimientos_2026[[#This Row],[Codigo]],Plan_cuentas[],5,FALSE)," ")</f>
        <v xml:space="preserve"> </v>
      </c>
      <c r="I3113" s="43"/>
      <c r="K3113" t="str">
        <f>IFERROR(+VLOOKUP(Movimientos_2026[[#This Row],[Codigo]],Plan_cuentas[],6,FALSE)," ")</f>
        <v xml:space="preserve"> </v>
      </c>
      <c r="L3113" s="50"/>
      <c r="M3113" s="50"/>
      <c r="N3113" s="20">
        <f>+Movimientos_2026[[#This Row],[Ingresos]]-Movimientos_2026[[#This Row],[Egresos]]</f>
        <v>0</v>
      </c>
      <c r="O3113" s="20">
        <f>+O3112+Movimientos_2026[[#This Row],[Neto]]</f>
        <v>4581558617.7962294</v>
      </c>
    </row>
    <row r="3114" spans="1:15" x14ac:dyDescent="0.25">
      <c r="A3114" s="13"/>
      <c r="B3114" s="12">
        <f>MONTH(Movimientos_2026[[#This Row],[Fecha]])</f>
        <v>1</v>
      </c>
      <c r="C3114" s="12" t="str">
        <f>VLOOKUP((WEEKDAY(Movimientos_2026[[#This Row],[Fecha]],2)),'5. Setup'!$D$6:$E$12,2,FALSE)</f>
        <v>Sab</v>
      </c>
      <c r="E3114" t="str">
        <f>IFERROR(+VLOOKUP(Movimientos_2026[[#This Row],[Codigo]],Plan_cuentas[],2,FALSE)," ")</f>
        <v xml:space="preserve"> </v>
      </c>
      <c r="F3114" t="str">
        <f>IFERROR(+VLOOKUP(Movimientos_2026[[#This Row],[Codigo]],Plan_cuentas[],3,FALSE)," ")</f>
        <v xml:space="preserve"> </v>
      </c>
      <c r="G3114" t="str">
        <f>IFERROR(+VLOOKUP(Movimientos_2026[[#This Row],[Codigo]],Plan_cuentas[],4,FALSE)," ")</f>
        <v xml:space="preserve"> </v>
      </c>
      <c r="H3114" t="str">
        <f>IFERROR(+VLOOKUP(Movimientos_2026[[#This Row],[Codigo]],Plan_cuentas[],5,FALSE)," ")</f>
        <v xml:space="preserve"> </v>
      </c>
      <c r="I3114" s="43"/>
      <c r="K3114" t="str">
        <f>IFERROR(+VLOOKUP(Movimientos_2026[[#This Row],[Codigo]],Plan_cuentas[],6,FALSE)," ")</f>
        <v xml:space="preserve"> </v>
      </c>
      <c r="L3114" s="50"/>
      <c r="M3114" s="50"/>
      <c r="N3114" s="20">
        <f>+Movimientos_2026[[#This Row],[Ingresos]]-Movimientos_2026[[#This Row],[Egresos]]</f>
        <v>0</v>
      </c>
      <c r="O3114" s="20">
        <f>+O3113+Movimientos_2026[[#This Row],[Neto]]</f>
        <v>4581558617.7962294</v>
      </c>
    </row>
    <row r="3115" spans="1:15" x14ac:dyDescent="0.25">
      <c r="A3115" s="13"/>
      <c r="B3115" s="12">
        <f>MONTH(Movimientos_2026[[#This Row],[Fecha]])</f>
        <v>1</v>
      </c>
      <c r="C3115" s="12" t="str">
        <f>VLOOKUP((WEEKDAY(Movimientos_2026[[#This Row],[Fecha]],2)),'5. Setup'!$D$6:$E$12,2,FALSE)</f>
        <v>Sab</v>
      </c>
      <c r="E3115" t="str">
        <f>IFERROR(+VLOOKUP(Movimientos_2026[[#This Row],[Codigo]],Plan_cuentas[],2,FALSE)," ")</f>
        <v xml:space="preserve"> </v>
      </c>
      <c r="F3115" t="str">
        <f>IFERROR(+VLOOKUP(Movimientos_2026[[#This Row],[Codigo]],Plan_cuentas[],3,FALSE)," ")</f>
        <v xml:space="preserve"> </v>
      </c>
      <c r="G3115" t="str">
        <f>IFERROR(+VLOOKUP(Movimientos_2026[[#This Row],[Codigo]],Plan_cuentas[],4,FALSE)," ")</f>
        <v xml:space="preserve"> </v>
      </c>
      <c r="H3115" t="str">
        <f>IFERROR(+VLOOKUP(Movimientos_2026[[#This Row],[Codigo]],Plan_cuentas[],5,FALSE)," ")</f>
        <v xml:space="preserve"> </v>
      </c>
      <c r="I3115" s="43"/>
      <c r="K3115" t="str">
        <f>IFERROR(+VLOOKUP(Movimientos_2026[[#This Row],[Codigo]],Plan_cuentas[],6,FALSE)," ")</f>
        <v xml:space="preserve"> </v>
      </c>
      <c r="L3115" s="50"/>
      <c r="M3115" s="50"/>
      <c r="N3115" s="20">
        <f>+Movimientos_2026[[#This Row],[Ingresos]]-Movimientos_2026[[#This Row],[Egresos]]</f>
        <v>0</v>
      </c>
      <c r="O3115" s="20">
        <f>+O3114+Movimientos_2026[[#This Row],[Neto]]</f>
        <v>4581558617.7962294</v>
      </c>
    </row>
    <row r="3116" spans="1:15" x14ac:dyDescent="0.25">
      <c r="A3116" s="13"/>
      <c r="B3116" s="12">
        <f>MONTH(Movimientos_2026[[#This Row],[Fecha]])</f>
        <v>1</v>
      </c>
      <c r="C3116" s="12" t="str">
        <f>VLOOKUP((WEEKDAY(Movimientos_2026[[#This Row],[Fecha]],2)),'5. Setup'!$D$6:$E$12,2,FALSE)</f>
        <v>Sab</v>
      </c>
      <c r="E3116" t="str">
        <f>IFERROR(+VLOOKUP(Movimientos_2026[[#This Row],[Codigo]],Plan_cuentas[],2,FALSE)," ")</f>
        <v xml:space="preserve"> </v>
      </c>
      <c r="F3116" t="str">
        <f>IFERROR(+VLOOKUP(Movimientos_2026[[#This Row],[Codigo]],Plan_cuentas[],3,FALSE)," ")</f>
        <v xml:space="preserve"> </v>
      </c>
      <c r="G3116" t="str">
        <f>IFERROR(+VLOOKUP(Movimientos_2026[[#This Row],[Codigo]],Plan_cuentas[],4,FALSE)," ")</f>
        <v xml:space="preserve"> </v>
      </c>
      <c r="H3116" t="str">
        <f>IFERROR(+VLOOKUP(Movimientos_2026[[#This Row],[Codigo]],Plan_cuentas[],5,FALSE)," ")</f>
        <v xml:space="preserve"> </v>
      </c>
      <c r="I3116" s="43"/>
      <c r="K3116" t="str">
        <f>IFERROR(+VLOOKUP(Movimientos_2026[[#This Row],[Codigo]],Plan_cuentas[],6,FALSE)," ")</f>
        <v xml:space="preserve"> </v>
      </c>
      <c r="L3116" s="50"/>
      <c r="M3116" s="50"/>
      <c r="N3116" s="20">
        <f>+Movimientos_2026[[#This Row],[Ingresos]]-Movimientos_2026[[#This Row],[Egresos]]</f>
        <v>0</v>
      </c>
      <c r="O3116" s="20">
        <f>+O3115+Movimientos_2026[[#This Row],[Neto]]</f>
        <v>4581558617.7962294</v>
      </c>
    </row>
    <row r="3117" spans="1:15" x14ac:dyDescent="0.25">
      <c r="A3117" s="13"/>
      <c r="B3117" s="12">
        <f>MONTH(Movimientos_2026[[#This Row],[Fecha]])</f>
        <v>1</v>
      </c>
      <c r="C3117" s="12" t="str">
        <f>VLOOKUP((WEEKDAY(Movimientos_2026[[#This Row],[Fecha]],2)),'5. Setup'!$D$6:$E$12,2,FALSE)</f>
        <v>Sab</v>
      </c>
      <c r="E3117" t="str">
        <f>IFERROR(+VLOOKUP(Movimientos_2026[[#This Row],[Codigo]],Plan_cuentas[],2,FALSE)," ")</f>
        <v xml:space="preserve"> </v>
      </c>
      <c r="F3117" t="str">
        <f>IFERROR(+VLOOKUP(Movimientos_2026[[#This Row],[Codigo]],Plan_cuentas[],3,FALSE)," ")</f>
        <v xml:space="preserve"> </v>
      </c>
      <c r="G3117" t="str">
        <f>IFERROR(+VLOOKUP(Movimientos_2026[[#This Row],[Codigo]],Plan_cuentas[],4,FALSE)," ")</f>
        <v xml:space="preserve"> </v>
      </c>
      <c r="H3117" t="str">
        <f>IFERROR(+VLOOKUP(Movimientos_2026[[#This Row],[Codigo]],Plan_cuentas[],5,FALSE)," ")</f>
        <v xml:space="preserve"> </v>
      </c>
      <c r="I3117" s="43"/>
      <c r="K3117" t="str">
        <f>IFERROR(+VLOOKUP(Movimientos_2026[[#This Row],[Codigo]],Plan_cuentas[],6,FALSE)," ")</f>
        <v xml:space="preserve"> </v>
      </c>
      <c r="L3117" s="50"/>
      <c r="M3117" s="50"/>
      <c r="N3117" s="20">
        <f>+Movimientos_2026[[#This Row],[Ingresos]]-Movimientos_2026[[#This Row],[Egresos]]</f>
        <v>0</v>
      </c>
      <c r="O3117" s="20">
        <f>+O3116+Movimientos_2026[[#This Row],[Neto]]</f>
        <v>4581558617.7962294</v>
      </c>
    </row>
    <row r="3118" spans="1:15" x14ac:dyDescent="0.25">
      <c r="A3118" s="13"/>
      <c r="B3118" s="12">
        <f>MONTH(Movimientos_2026[[#This Row],[Fecha]])</f>
        <v>1</v>
      </c>
      <c r="C3118" s="12" t="str">
        <f>VLOOKUP((WEEKDAY(Movimientos_2026[[#This Row],[Fecha]],2)),'5. Setup'!$D$6:$E$12,2,FALSE)</f>
        <v>Sab</v>
      </c>
      <c r="E3118" t="str">
        <f>IFERROR(+VLOOKUP(Movimientos_2026[[#This Row],[Codigo]],Plan_cuentas[],2,FALSE)," ")</f>
        <v xml:space="preserve"> </v>
      </c>
      <c r="F3118" t="str">
        <f>IFERROR(+VLOOKUP(Movimientos_2026[[#This Row],[Codigo]],Plan_cuentas[],3,FALSE)," ")</f>
        <v xml:space="preserve"> </v>
      </c>
      <c r="G3118" t="str">
        <f>IFERROR(+VLOOKUP(Movimientos_2026[[#This Row],[Codigo]],Plan_cuentas[],4,FALSE)," ")</f>
        <v xml:space="preserve"> </v>
      </c>
      <c r="H3118" t="str">
        <f>IFERROR(+VLOOKUP(Movimientos_2026[[#This Row],[Codigo]],Plan_cuentas[],5,FALSE)," ")</f>
        <v xml:space="preserve"> </v>
      </c>
      <c r="I3118" s="43"/>
      <c r="K3118" t="str">
        <f>IFERROR(+VLOOKUP(Movimientos_2026[[#This Row],[Codigo]],Plan_cuentas[],6,FALSE)," ")</f>
        <v xml:space="preserve"> </v>
      </c>
      <c r="L3118" s="50"/>
      <c r="M3118" s="50"/>
      <c r="N3118" s="20">
        <f>+Movimientos_2026[[#This Row],[Ingresos]]-Movimientos_2026[[#This Row],[Egresos]]</f>
        <v>0</v>
      </c>
      <c r="O3118" s="20">
        <f>+O3117+Movimientos_2026[[#This Row],[Neto]]</f>
        <v>4581558617.7962294</v>
      </c>
    </row>
    <row r="3119" spans="1:15" x14ac:dyDescent="0.25">
      <c r="A3119" s="13"/>
      <c r="B3119" s="12">
        <f>MONTH(Movimientos_2026[[#This Row],[Fecha]])</f>
        <v>1</v>
      </c>
      <c r="C3119" s="12" t="str">
        <f>VLOOKUP((WEEKDAY(Movimientos_2026[[#This Row],[Fecha]],2)),'5. Setup'!$D$6:$E$12,2,FALSE)</f>
        <v>Sab</v>
      </c>
      <c r="E3119" t="str">
        <f>IFERROR(+VLOOKUP(Movimientos_2026[[#This Row],[Codigo]],Plan_cuentas[],2,FALSE)," ")</f>
        <v xml:space="preserve"> </v>
      </c>
      <c r="F3119" t="str">
        <f>IFERROR(+VLOOKUP(Movimientos_2026[[#This Row],[Codigo]],Plan_cuentas[],3,FALSE)," ")</f>
        <v xml:space="preserve"> </v>
      </c>
      <c r="G3119" t="str">
        <f>IFERROR(+VLOOKUP(Movimientos_2026[[#This Row],[Codigo]],Plan_cuentas[],4,FALSE)," ")</f>
        <v xml:space="preserve"> </v>
      </c>
      <c r="H3119" t="str">
        <f>IFERROR(+VLOOKUP(Movimientos_2026[[#This Row],[Codigo]],Plan_cuentas[],5,FALSE)," ")</f>
        <v xml:space="preserve"> </v>
      </c>
      <c r="I3119" s="43"/>
      <c r="K3119" t="str">
        <f>IFERROR(+VLOOKUP(Movimientos_2026[[#This Row],[Codigo]],Plan_cuentas[],6,FALSE)," ")</f>
        <v xml:space="preserve"> </v>
      </c>
      <c r="L3119" s="50"/>
      <c r="M3119" s="50"/>
      <c r="N3119" s="20">
        <f>+Movimientos_2026[[#This Row],[Ingresos]]-Movimientos_2026[[#This Row],[Egresos]]</f>
        <v>0</v>
      </c>
      <c r="O3119" s="20">
        <f>+O3118+Movimientos_2026[[#This Row],[Neto]]</f>
        <v>4581558617.7962294</v>
      </c>
    </row>
    <row r="3120" spans="1:15" x14ac:dyDescent="0.25">
      <c r="A3120" s="13"/>
      <c r="B3120" s="12">
        <f>MONTH(Movimientos_2026[[#This Row],[Fecha]])</f>
        <v>1</v>
      </c>
      <c r="C3120" s="12" t="str">
        <f>VLOOKUP((WEEKDAY(Movimientos_2026[[#This Row],[Fecha]],2)),'5. Setup'!$D$6:$E$12,2,FALSE)</f>
        <v>Sab</v>
      </c>
      <c r="E3120" t="str">
        <f>IFERROR(+VLOOKUP(Movimientos_2026[[#This Row],[Codigo]],Plan_cuentas[],2,FALSE)," ")</f>
        <v xml:space="preserve"> </v>
      </c>
      <c r="F3120" t="str">
        <f>IFERROR(+VLOOKUP(Movimientos_2026[[#This Row],[Codigo]],Plan_cuentas[],3,FALSE)," ")</f>
        <v xml:space="preserve"> </v>
      </c>
      <c r="G3120" t="str">
        <f>IFERROR(+VLOOKUP(Movimientos_2026[[#This Row],[Codigo]],Plan_cuentas[],4,FALSE)," ")</f>
        <v xml:space="preserve"> </v>
      </c>
      <c r="H3120" t="str">
        <f>IFERROR(+VLOOKUP(Movimientos_2026[[#This Row],[Codigo]],Plan_cuentas[],5,FALSE)," ")</f>
        <v xml:space="preserve"> </v>
      </c>
      <c r="I3120" s="43"/>
      <c r="K3120" t="str">
        <f>IFERROR(+VLOOKUP(Movimientos_2026[[#This Row],[Codigo]],Plan_cuentas[],6,FALSE)," ")</f>
        <v xml:space="preserve"> </v>
      </c>
      <c r="L3120" s="50"/>
      <c r="M3120" s="50"/>
      <c r="N3120" s="20">
        <f>+Movimientos_2026[[#This Row],[Ingresos]]-Movimientos_2026[[#This Row],[Egresos]]</f>
        <v>0</v>
      </c>
      <c r="O3120" s="20">
        <f>+O3119+Movimientos_2026[[#This Row],[Neto]]</f>
        <v>4581558617.7962294</v>
      </c>
    </row>
    <row r="3121" spans="1:15" x14ac:dyDescent="0.25">
      <c r="A3121" s="13"/>
      <c r="B3121" s="12">
        <f>MONTH(Movimientos_2026[[#This Row],[Fecha]])</f>
        <v>1</v>
      </c>
      <c r="C3121" s="12" t="str">
        <f>VLOOKUP((WEEKDAY(Movimientos_2026[[#This Row],[Fecha]],2)),'5. Setup'!$D$6:$E$12,2,FALSE)</f>
        <v>Sab</v>
      </c>
      <c r="E3121" t="str">
        <f>IFERROR(+VLOOKUP(Movimientos_2026[[#This Row],[Codigo]],Plan_cuentas[],2,FALSE)," ")</f>
        <v xml:space="preserve"> </v>
      </c>
      <c r="F3121" t="str">
        <f>IFERROR(+VLOOKUP(Movimientos_2026[[#This Row],[Codigo]],Plan_cuentas[],3,FALSE)," ")</f>
        <v xml:space="preserve"> </v>
      </c>
      <c r="G3121" t="str">
        <f>IFERROR(+VLOOKUP(Movimientos_2026[[#This Row],[Codigo]],Plan_cuentas[],4,FALSE)," ")</f>
        <v xml:space="preserve"> </v>
      </c>
      <c r="H3121" t="str">
        <f>IFERROR(+VLOOKUP(Movimientos_2026[[#This Row],[Codigo]],Plan_cuentas[],5,FALSE)," ")</f>
        <v xml:space="preserve"> </v>
      </c>
      <c r="I3121" s="43"/>
      <c r="K3121" t="str">
        <f>IFERROR(+VLOOKUP(Movimientos_2026[[#This Row],[Codigo]],Plan_cuentas[],6,FALSE)," ")</f>
        <v xml:space="preserve"> </v>
      </c>
      <c r="L3121" s="50"/>
      <c r="M3121" s="50"/>
      <c r="N3121" s="20">
        <f>+Movimientos_2026[[#This Row],[Ingresos]]-Movimientos_2026[[#This Row],[Egresos]]</f>
        <v>0</v>
      </c>
      <c r="O3121" s="20">
        <f>+O3120+Movimientos_2026[[#This Row],[Neto]]</f>
        <v>4581558617.7962294</v>
      </c>
    </row>
    <row r="3122" spans="1:15" x14ac:dyDescent="0.25">
      <c r="A3122" s="13"/>
      <c r="B3122" s="12">
        <f>MONTH(Movimientos_2026[[#This Row],[Fecha]])</f>
        <v>1</v>
      </c>
      <c r="C3122" s="12" t="str">
        <f>VLOOKUP((WEEKDAY(Movimientos_2026[[#This Row],[Fecha]],2)),'5. Setup'!$D$6:$E$12,2,FALSE)</f>
        <v>Sab</v>
      </c>
      <c r="E3122" t="str">
        <f>IFERROR(+VLOOKUP(Movimientos_2026[[#This Row],[Codigo]],Plan_cuentas[],2,FALSE)," ")</f>
        <v xml:space="preserve"> </v>
      </c>
      <c r="F3122" t="str">
        <f>IFERROR(+VLOOKUP(Movimientos_2026[[#This Row],[Codigo]],Plan_cuentas[],3,FALSE)," ")</f>
        <v xml:space="preserve"> </v>
      </c>
      <c r="G3122" t="str">
        <f>IFERROR(+VLOOKUP(Movimientos_2026[[#This Row],[Codigo]],Plan_cuentas[],4,FALSE)," ")</f>
        <v xml:space="preserve"> </v>
      </c>
      <c r="H3122" t="str">
        <f>IFERROR(+VLOOKUP(Movimientos_2026[[#This Row],[Codigo]],Plan_cuentas[],5,FALSE)," ")</f>
        <v xml:space="preserve"> </v>
      </c>
      <c r="I3122" s="43"/>
      <c r="K3122" t="str">
        <f>IFERROR(+VLOOKUP(Movimientos_2026[[#This Row],[Codigo]],Plan_cuentas[],6,FALSE)," ")</f>
        <v xml:space="preserve"> </v>
      </c>
      <c r="L3122" s="50"/>
      <c r="M3122" s="50"/>
      <c r="N3122" s="20">
        <f>+Movimientos_2026[[#This Row],[Ingresos]]-Movimientos_2026[[#This Row],[Egresos]]</f>
        <v>0</v>
      </c>
      <c r="O3122" s="20">
        <f>+O3121+Movimientos_2026[[#This Row],[Neto]]</f>
        <v>4581558617.7962294</v>
      </c>
    </row>
    <row r="3123" spans="1:15" x14ac:dyDescent="0.25">
      <c r="A3123" s="13"/>
      <c r="B3123" s="12">
        <f>MONTH(Movimientos_2026[[#This Row],[Fecha]])</f>
        <v>1</v>
      </c>
      <c r="C3123" s="12" t="str">
        <f>VLOOKUP((WEEKDAY(Movimientos_2026[[#This Row],[Fecha]],2)),'5. Setup'!$D$6:$E$12,2,FALSE)</f>
        <v>Sab</v>
      </c>
      <c r="E3123" t="str">
        <f>IFERROR(+VLOOKUP(Movimientos_2026[[#This Row],[Codigo]],Plan_cuentas[],2,FALSE)," ")</f>
        <v xml:space="preserve"> </v>
      </c>
      <c r="F3123" t="str">
        <f>IFERROR(+VLOOKUP(Movimientos_2026[[#This Row],[Codigo]],Plan_cuentas[],3,FALSE)," ")</f>
        <v xml:space="preserve"> </v>
      </c>
      <c r="G3123" t="str">
        <f>IFERROR(+VLOOKUP(Movimientos_2026[[#This Row],[Codigo]],Plan_cuentas[],4,FALSE)," ")</f>
        <v xml:space="preserve"> </v>
      </c>
      <c r="H3123" t="str">
        <f>IFERROR(+VLOOKUP(Movimientos_2026[[#This Row],[Codigo]],Plan_cuentas[],5,FALSE)," ")</f>
        <v xml:space="preserve"> </v>
      </c>
      <c r="I3123" s="43"/>
      <c r="K3123" t="str">
        <f>IFERROR(+VLOOKUP(Movimientos_2026[[#This Row],[Codigo]],Plan_cuentas[],6,FALSE)," ")</f>
        <v xml:space="preserve"> </v>
      </c>
      <c r="L3123" s="50"/>
      <c r="M3123" s="50"/>
      <c r="N3123" s="20">
        <f>+Movimientos_2026[[#This Row],[Ingresos]]-Movimientos_2026[[#This Row],[Egresos]]</f>
        <v>0</v>
      </c>
      <c r="O3123" s="20">
        <f>+O3122+Movimientos_2026[[#This Row],[Neto]]</f>
        <v>4581558617.7962294</v>
      </c>
    </row>
    <row r="3124" spans="1:15" x14ac:dyDescent="0.25">
      <c r="A3124" s="13"/>
      <c r="B3124" s="12">
        <f>MONTH(Movimientos_2026[[#This Row],[Fecha]])</f>
        <v>1</v>
      </c>
      <c r="C3124" s="12" t="str">
        <f>VLOOKUP((WEEKDAY(Movimientos_2026[[#This Row],[Fecha]],2)),'5. Setup'!$D$6:$E$12,2,FALSE)</f>
        <v>Sab</v>
      </c>
      <c r="E3124" t="str">
        <f>IFERROR(+VLOOKUP(Movimientos_2026[[#This Row],[Codigo]],Plan_cuentas[],2,FALSE)," ")</f>
        <v xml:space="preserve"> </v>
      </c>
      <c r="F3124" t="str">
        <f>IFERROR(+VLOOKUP(Movimientos_2026[[#This Row],[Codigo]],Plan_cuentas[],3,FALSE)," ")</f>
        <v xml:space="preserve"> </v>
      </c>
      <c r="G3124" t="str">
        <f>IFERROR(+VLOOKUP(Movimientos_2026[[#This Row],[Codigo]],Plan_cuentas[],4,FALSE)," ")</f>
        <v xml:space="preserve"> </v>
      </c>
      <c r="H3124" t="str">
        <f>IFERROR(+VLOOKUP(Movimientos_2026[[#This Row],[Codigo]],Plan_cuentas[],5,FALSE)," ")</f>
        <v xml:space="preserve"> </v>
      </c>
      <c r="I3124" s="43"/>
      <c r="K3124" t="str">
        <f>IFERROR(+VLOOKUP(Movimientos_2026[[#This Row],[Codigo]],Plan_cuentas[],6,FALSE)," ")</f>
        <v xml:space="preserve"> </v>
      </c>
      <c r="L3124" s="50"/>
      <c r="M3124" s="50"/>
      <c r="N3124" s="20">
        <f>+Movimientos_2026[[#This Row],[Ingresos]]-Movimientos_2026[[#This Row],[Egresos]]</f>
        <v>0</v>
      </c>
      <c r="O3124" s="20">
        <f>+O3123+Movimientos_2026[[#This Row],[Neto]]</f>
        <v>4581558617.7962294</v>
      </c>
    </row>
    <row r="3125" spans="1:15" x14ac:dyDescent="0.25">
      <c r="A3125" s="13"/>
      <c r="B3125" s="12">
        <f>MONTH(Movimientos_2026[[#This Row],[Fecha]])</f>
        <v>1</v>
      </c>
      <c r="C3125" s="12" t="str">
        <f>VLOOKUP((WEEKDAY(Movimientos_2026[[#This Row],[Fecha]],2)),'5. Setup'!$D$6:$E$12,2,FALSE)</f>
        <v>Sab</v>
      </c>
      <c r="E3125" t="str">
        <f>IFERROR(+VLOOKUP(Movimientos_2026[[#This Row],[Codigo]],Plan_cuentas[],2,FALSE)," ")</f>
        <v xml:space="preserve"> </v>
      </c>
      <c r="F3125" t="str">
        <f>IFERROR(+VLOOKUP(Movimientos_2026[[#This Row],[Codigo]],Plan_cuentas[],3,FALSE)," ")</f>
        <v xml:space="preserve"> </v>
      </c>
      <c r="G3125" t="str">
        <f>IFERROR(+VLOOKUP(Movimientos_2026[[#This Row],[Codigo]],Plan_cuentas[],4,FALSE)," ")</f>
        <v xml:space="preserve"> </v>
      </c>
      <c r="H3125" t="str">
        <f>IFERROR(+VLOOKUP(Movimientos_2026[[#This Row],[Codigo]],Plan_cuentas[],5,FALSE)," ")</f>
        <v xml:space="preserve"> </v>
      </c>
      <c r="I3125" s="43"/>
      <c r="K3125" t="str">
        <f>IFERROR(+VLOOKUP(Movimientos_2026[[#This Row],[Codigo]],Plan_cuentas[],6,FALSE)," ")</f>
        <v xml:space="preserve"> </v>
      </c>
      <c r="L3125" s="50"/>
      <c r="M3125" s="50"/>
      <c r="N3125" s="20">
        <f>+Movimientos_2026[[#This Row],[Ingresos]]-Movimientos_2026[[#This Row],[Egresos]]</f>
        <v>0</v>
      </c>
      <c r="O3125" s="20">
        <f>+O3124+Movimientos_2026[[#This Row],[Neto]]</f>
        <v>4581558617.7962294</v>
      </c>
    </row>
    <row r="3126" spans="1:15" x14ac:dyDescent="0.25">
      <c r="A3126" s="13"/>
      <c r="B3126" s="12">
        <f>MONTH(Movimientos_2026[[#This Row],[Fecha]])</f>
        <v>1</v>
      </c>
      <c r="C3126" s="12" t="str">
        <f>VLOOKUP((WEEKDAY(Movimientos_2026[[#This Row],[Fecha]],2)),'5. Setup'!$D$6:$E$12,2,FALSE)</f>
        <v>Sab</v>
      </c>
      <c r="E3126" t="str">
        <f>IFERROR(+VLOOKUP(Movimientos_2026[[#This Row],[Codigo]],Plan_cuentas[],2,FALSE)," ")</f>
        <v xml:space="preserve"> </v>
      </c>
      <c r="F3126" t="str">
        <f>IFERROR(+VLOOKUP(Movimientos_2026[[#This Row],[Codigo]],Plan_cuentas[],3,FALSE)," ")</f>
        <v xml:space="preserve"> </v>
      </c>
      <c r="G3126" t="str">
        <f>IFERROR(+VLOOKUP(Movimientos_2026[[#This Row],[Codigo]],Plan_cuentas[],4,FALSE)," ")</f>
        <v xml:space="preserve"> </v>
      </c>
      <c r="H3126" t="str">
        <f>IFERROR(+VLOOKUP(Movimientos_2026[[#This Row],[Codigo]],Plan_cuentas[],5,FALSE)," ")</f>
        <v xml:space="preserve"> </v>
      </c>
      <c r="I3126" s="43"/>
      <c r="K3126" t="str">
        <f>IFERROR(+VLOOKUP(Movimientos_2026[[#This Row],[Codigo]],Plan_cuentas[],6,FALSE)," ")</f>
        <v xml:space="preserve"> </v>
      </c>
      <c r="L3126" s="50"/>
      <c r="M3126" s="50"/>
      <c r="N3126" s="20">
        <f>+Movimientos_2026[[#This Row],[Ingresos]]-Movimientos_2026[[#This Row],[Egresos]]</f>
        <v>0</v>
      </c>
      <c r="O3126" s="20">
        <f>+O3125+Movimientos_2026[[#This Row],[Neto]]</f>
        <v>4581558617.7962294</v>
      </c>
    </row>
    <row r="3127" spans="1:15" x14ac:dyDescent="0.25">
      <c r="A3127" s="13"/>
      <c r="B3127" s="12">
        <f>MONTH(Movimientos_2026[[#This Row],[Fecha]])</f>
        <v>1</v>
      </c>
      <c r="C3127" s="12" t="str">
        <f>VLOOKUP((WEEKDAY(Movimientos_2026[[#This Row],[Fecha]],2)),'5. Setup'!$D$6:$E$12,2,FALSE)</f>
        <v>Sab</v>
      </c>
      <c r="E3127" t="str">
        <f>IFERROR(+VLOOKUP(Movimientos_2026[[#This Row],[Codigo]],Plan_cuentas[],2,FALSE)," ")</f>
        <v xml:space="preserve"> </v>
      </c>
      <c r="F3127" t="str">
        <f>IFERROR(+VLOOKUP(Movimientos_2026[[#This Row],[Codigo]],Plan_cuentas[],3,FALSE)," ")</f>
        <v xml:space="preserve"> </v>
      </c>
      <c r="G3127" t="str">
        <f>IFERROR(+VLOOKUP(Movimientos_2026[[#This Row],[Codigo]],Plan_cuentas[],4,FALSE)," ")</f>
        <v xml:space="preserve"> </v>
      </c>
      <c r="H3127" t="str">
        <f>IFERROR(+VLOOKUP(Movimientos_2026[[#This Row],[Codigo]],Plan_cuentas[],5,FALSE)," ")</f>
        <v xml:space="preserve"> </v>
      </c>
      <c r="I3127" s="43"/>
      <c r="K3127" t="str">
        <f>IFERROR(+VLOOKUP(Movimientos_2026[[#This Row],[Codigo]],Plan_cuentas[],6,FALSE)," ")</f>
        <v xml:space="preserve"> </v>
      </c>
      <c r="L3127" s="50"/>
      <c r="M3127" s="50"/>
      <c r="N3127" s="20">
        <f>+Movimientos_2026[[#This Row],[Ingresos]]-Movimientos_2026[[#This Row],[Egresos]]</f>
        <v>0</v>
      </c>
      <c r="O3127" s="20">
        <f>+O3126+Movimientos_2026[[#This Row],[Neto]]</f>
        <v>4581558617.7962294</v>
      </c>
    </row>
    <row r="3128" spans="1:15" x14ac:dyDescent="0.25">
      <c r="A3128" s="13"/>
      <c r="B3128" s="12">
        <f>MONTH(Movimientos_2026[[#This Row],[Fecha]])</f>
        <v>1</v>
      </c>
      <c r="C3128" s="12" t="str">
        <f>VLOOKUP((WEEKDAY(Movimientos_2026[[#This Row],[Fecha]],2)),'5. Setup'!$D$6:$E$12,2,FALSE)</f>
        <v>Sab</v>
      </c>
      <c r="E3128" t="str">
        <f>IFERROR(+VLOOKUP(Movimientos_2026[[#This Row],[Codigo]],Plan_cuentas[],2,FALSE)," ")</f>
        <v xml:space="preserve"> </v>
      </c>
      <c r="F3128" t="str">
        <f>IFERROR(+VLOOKUP(Movimientos_2026[[#This Row],[Codigo]],Plan_cuentas[],3,FALSE)," ")</f>
        <v xml:space="preserve"> </v>
      </c>
      <c r="G3128" t="str">
        <f>IFERROR(+VLOOKUP(Movimientos_2026[[#This Row],[Codigo]],Plan_cuentas[],4,FALSE)," ")</f>
        <v xml:space="preserve"> </v>
      </c>
      <c r="H3128" t="str">
        <f>IFERROR(+VLOOKUP(Movimientos_2026[[#This Row],[Codigo]],Plan_cuentas[],5,FALSE)," ")</f>
        <v xml:space="preserve"> </v>
      </c>
      <c r="I3128" s="43"/>
      <c r="K3128" t="str">
        <f>IFERROR(+VLOOKUP(Movimientos_2026[[#This Row],[Codigo]],Plan_cuentas[],6,FALSE)," ")</f>
        <v xml:space="preserve"> </v>
      </c>
      <c r="L3128" s="50"/>
      <c r="M3128" s="50"/>
      <c r="N3128" s="20">
        <f>+Movimientos_2026[[#This Row],[Ingresos]]-Movimientos_2026[[#This Row],[Egresos]]</f>
        <v>0</v>
      </c>
      <c r="O3128" s="20">
        <f>+O3127+Movimientos_2026[[#This Row],[Neto]]</f>
        <v>4581558617.7962294</v>
      </c>
    </row>
    <row r="3129" spans="1:15" x14ac:dyDescent="0.25">
      <c r="A3129" s="13"/>
      <c r="B3129" s="12">
        <f>MONTH(Movimientos_2026[[#This Row],[Fecha]])</f>
        <v>1</v>
      </c>
      <c r="C3129" s="12" t="str">
        <f>VLOOKUP((WEEKDAY(Movimientos_2026[[#This Row],[Fecha]],2)),'5. Setup'!$D$6:$E$12,2,FALSE)</f>
        <v>Sab</v>
      </c>
      <c r="E3129" t="str">
        <f>IFERROR(+VLOOKUP(Movimientos_2026[[#This Row],[Codigo]],Plan_cuentas[],2,FALSE)," ")</f>
        <v xml:space="preserve"> </v>
      </c>
      <c r="F3129" t="str">
        <f>IFERROR(+VLOOKUP(Movimientos_2026[[#This Row],[Codigo]],Plan_cuentas[],3,FALSE)," ")</f>
        <v xml:space="preserve"> </v>
      </c>
      <c r="G3129" t="str">
        <f>IFERROR(+VLOOKUP(Movimientos_2026[[#This Row],[Codigo]],Plan_cuentas[],4,FALSE)," ")</f>
        <v xml:space="preserve"> </v>
      </c>
      <c r="H3129" t="str">
        <f>IFERROR(+VLOOKUP(Movimientos_2026[[#This Row],[Codigo]],Plan_cuentas[],5,FALSE)," ")</f>
        <v xml:space="preserve"> </v>
      </c>
      <c r="I3129" s="43"/>
      <c r="K3129" t="str">
        <f>IFERROR(+VLOOKUP(Movimientos_2026[[#This Row],[Codigo]],Plan_cuentas[],6,FALSE)," ")</f>
        <v xml:space="preserve"> </v>
      </c>
      <c r="L3129" s="50"/>
      <c r="M3129" s="50"/>
      <c r="N3129" s="20">
        <f>+Movimientos_2026[[#This Row],[Ingresos]]-Movimientos_2026[[#This Row],[Egresos]]</f>
        <v>0</v>
      </c>
      <c r="O3129" s="20">
        <f>+O3128+Movimientos_2026[[#This Row],[Neto]]</f>
        <v>4581558617.7962294</v>
      </c>
    </row>
    <row r="3130" spans="1:15" x14ac:dyDescent="0.25">
      <c r="A3130" s="13"/>
      <c r="B3130" s="12">
        <f>MONTH(Movimientos_2026[[#This Row],[Fecha]])</f>
        <v>1</v>
      </c>
      <c r="C3130" s="12" t="str">
        <f>VLOOKUP((WEEKDAY(Movimientos_2026[[#This Row],[Fecha]],2)),'5. Setup'!$D$6:$E$12,2,FALSE)</f>
        <v>Sab</v>
      </c>
      <c r="E3130" t="str">
        <f>IFERROR(+VLOOKUP(Movimientos_2026[[#This Row],[Codigo]],Plan_cuentas[],2,FALSE)," ")</f>
        <v xml:space="preserve"> </v>
      </c>
      <c r="F3130" t="str">
        <f>IFERROR(+VLOOKUP(Movimientos_2026[[#This Row],[Codigo]],Plan_cuentas[],3,FALSE)," ")</f>
        <v xml:space="preserve"> </v>
      </c>
      <c r="G3130" t="str">
        <f>IFERROR(+VLOOKUP(Movimientos_2026[[#This Row],[Codigo]],Plan_cuentas[],4,FALSE)," ")</f>
        <v xml:space="preserve"> </v>
      </c>
      <c r="H3130" t="str">
        <f>IFERROR(+VLOOKUP(Movimientos_2026[[#This Row],[Codigo]],Plan_cuentas[],5,FALSE)," ")</f>
        <v xml:space="preserve"> </v>
      </c>
      <c r="I3130" s="43"/>
      <c r="K3130" t="str">
        <f>IFERROR(+VLOOKUP(Movimientos_2026[[#This Row],[Codigo]],Plan_cuentas[],6,FALSE)," ")</f>
        <v xml:space="preserve"> </v>
      </c>
      <c r="L3130" s="50"/>
      <c r="M3130" s="50"/>
      <c r="N3130" s="20">
        <f>+Movimientos_2026[[#This Row],[Ingresos]]-Movimientos_2026[[#This Row],[Egresos]]</f>
        <v>0</v>
      </c>
      <c r="O3130" s="20">
        <f>+O3129+Movimientos_2026[[#This Row],[Neto]]</f>
        <v>4581558617.7962294</v>
      </c>
    </row>
    <row r="3131" spans="1:15" x14ac:dyDescent="0.25">
      <c r="A3131" s="13"/>
      <c r="B3131" s="12">
        <f>MONTH(Movimientos_2026[[#This Row],[Fecha]])</f>
        <v>1</v>
      </c>
      <c r="C3131" s="12" t="str">
        <f>VLOOKUP((WEEKDAY(Movimientos_2026[[#This Row],[Fecha]],2)),'5. Setup'!$D$6:$E$12,2,FALSE)</f>
        <v>Sab</v>
      </c>
      <c r="E3131" t="str">
        <f>IFERROR(+VLOOKUP(Movimientos_2026[[#This Row],[Codigo]],Plan_cuentas[],2,FALSE)," ")</f>
        <v xml:space="preserve"> </v>
      </c>
      <c r="F3131" t="str">
        <f>IFERROR(+VLOOKUP(Movimientos_2026[[#This Row],[Codigo]],Plan_cuentas[],3,FALSE)," ")</f>
        <v xml:space="preserve"> </v>
      </c>
      <c r="G3131" t="str">
        <f>IFERROR(+VLOOKUP(Movimientos_2026[[#This Row],[Codigo]],Plan_cuentas[],4,FALSE)," ")</f>
        <v xml:space="preserve"> </v>
      </c>
      <c r="H3131" t="str">
        <f>IFERROR(+VLOOKUP(Movimientos_2026[[#This Row],[Codigo]],Plan_cuentas[],5,FALSE)," ")</f>
        <v xml:space="preserve"> </v>
      </c>
      <c r="I3131" s="43"/>
      <c r="K3131" t="str">
        <f>IFERROR(+VLOOKUP(Movimientos_2026[[#This Row],[Codigo]],Plan_cuentas[],6,FALSE)," ")</f>
        <v xml:space="preserve"> </v>
      </c>
      <c r="L3131" s="50"/>
      <c r="M3131" s="50"/>
      <c r="N3131" s="20">
        <f>+Movimientos_2026[[#This Row],[Ingresos]]-Movimientos_2026[[#This Row],[Egresos]]</f>
        <v>0</v>
      </c>
      <c r="O3131" s="20">
        <f>+O3130+Movimientos_2026[[#This Row],[Neto]]</f>
        <v>4581558617.7962294</v>
      </c>
    </row>
    <row r="3132" spans="1:15" x14ac:dyDescent="0.25">
      <c r="A3132" s="13"/>
      <c r="B3132" s="12">
        <f>MONTH(Movimientos_2026[[#This Row],[Fecha]])</f>
        <v>1</v>
      </c>
      <c r="C3132" s="12" t="str">
        <f>VLOOKUP((WEEKDAY(Movimientos_2026[[#This Row],[Fecha]],2)),'5. Setup'!$D$6:$E$12,2,FALSE)</f>
        <v>Sab</v>
      </c>
      <c r="E3132" t="str">
        <f>IFERROR(+VLOOKUP(Movimientos_2026[[#This Row],[Codigo]],Plan_cuentas[],2,FALSE)," ")</f>
        <v xml:space="preserve"> </v>
      </c>
      <c r="F3132" t="str">
        <f>IFERROR(+VLOOKUP(Movimientos_2026[[#This Row],[Codigo]],Plan_cuentas[],3,FALSE)," ")</f>
        <v xml:space="preserve"> </v>
      </c>
      <c r="G3132" t="str">
        <f>IFERROR(+VLOOKUP(Movimientos_2026[[#This Row],[Codigo]],Plan_cuentas[],4,FALSE)," ")</f>
        <v xml:space="preserve"> </v>
      </c>
      <c r="H3132" t="str">
        <f>IFERROR(+VLOOKUP(Movimientos_2026[[#This Row],[Codigo]],Plan_cuentas[],5,FALSE)," ")</f>
        <v xml:space="preserve"> </v>
      </c>
      <c r="I3132" s="43"/>
      <c r="K3132" t="str">
        <f>IFERROR(+VLOOKUP(Movimientos_2026[[#This Row],[Codigo]],Plan_cuentas[],6,FALSE)," ")</f>
        <v xml:space="preserve"> </v>
      </c>
      <c r="L3132" s="50"/>
      <c r="M3132" s="50"/>
      <c r="N3132" s="20">
        <f>+Movimientos_2026[[#This Row],[Ingresos]]-Movimientos_2026[[#This Row],[Egresos]]</f>
        <v>0</v>
      </c>
      <c r="O3132" s="20">
        <f>+O3131+Movimientos_2026[[#This Row],[Neto]]</f>
        <v>4581558617.7962294</v>
      </c>
    </row>
    <row r="3133" spans="1:15" x14ac:dyDescent="0.25">
      <c r="A3133" s="13"/>
      <c r="B3133" s="12">
        <f>MONTH(Movimientos_2026[[#This Row],[Fecha]])</f>
        <v>1</v>
      </c>
      <c r="C3133" s="12" t="str">
        <f>VLOOKUP((WEEKDAY(Movimientos_2026[[#This Row],[Fecha]],2)),'5. Setup'!$D$6:$E$12,2,FALSE)</f>
        <v>Sab</v>
      </c>
      <c r="E3133" t="str">
        <f>IFERROR(+VLOOKUP(Movimientos_2026[[#This Row],[Codigo]],Plan_cuentas[],2,FALSE)," ")</f>
        <v xml:space="preserve"> </v>
      </c>
      <c r="F3133" t="str">
        <f>IFERROR(+VLOOKUP(Movimientos_2026[[#This Row],[Codigo]],Plan_cuentas[],3,FALSE)," ")</f>
        <v xml:space="preserve"> </v>
      </c>
      <c r="G3133" t="str">
        <f>IFERROR(+VLOOKUP(Movimientos_2026[[#This Row],[Codigo]],Plan_cuentas[],4,FALSE)," ")</f>
        <v xml:space="preserve"> </v>
      </c>
      <c r="H3133" t="str">
        <f>IFERROR(+VLOOKUP(Movimientos_2026[[#This Row],[Codigo]],Plan_cuentas[],5,FALSE)," ")</f>
        <v xml:space="preserve"> </v>
      </c>
      <c r="I3133" s="43"/>
      <c r="K3133" t="str">
        <f>IFERROR(+VLOOKUP(Movimientos_2026[[#This Row],[Codigo]],Plan_cuentas[],6,FALSE)," ")</f>
        <v xml:space="preserve"> </v>
      </c>
      <c r="L3133" s="50"/>
      <c r="M3133" s="50"/>
      <c r="N3133" s="20">
        <f>+Movimientos_2026[[#This Row],[Ingresos]]-Movimientos_2026[[#This Row],[Egresos]]</f>
        <v>0</v>
      </c>
      <c r="O3133" s="20">
        <f>+O3132+Movimientos_2026[[#This Row],[Neto]]</f>
        <v>4581558617.7962294</v>
      </c>
    </row>
    <row r="3134" spans="1:15" x14ac:dyDescent="0.25">
      <c r="A3134" s="13"/>
      <c r="B3134" s="12">
        <f>MONTH(Movimientos_2026[[#This Row],[Fecha]])</f>
        <v>1</v>
      </c>
      <c r="C3134" s="12" t="str">
        <f>VLOOKUP((WEEKDAY(Movimientos_2026[[#This Row],[Fecha]],2)),'5. Setup'!$D$6:$E$12,2,FALSE)</f>
        <v>Sab</v>
      </c>
      <c r="E3134" t="str">
        <f>IFERROR(+VLOOKUP(Movimientos_2026[[#This Row],[Codigo]],Plan_cuentas[],2,FALSE)," ")</f>
        <v xml:space="preserve"> </v>
      </c>
      <c r="F3134" t="str">
        <f>IFERROR(+VLOOKUP(Movimientos_2026[[#This Row],[Codigo]],Plan_cuentas[],3,FALSE)," ")</f>
        <v xml:space="preserve"> </v>
      </c>
      <c r="G3134" t="str">
        <f>IFERROR(+VLOOKUP(Movimientos_2026[[#This Row],[Codigo]],Plan_cuentas[],4,FALSE)," ")</f>
        <v xml:space="preserve"> </v>
      </c>
      <c r="H3134" t="str">
        <f>IFERROR(+VLOOKUP(Movimientos_2026[[#This Row],[Codigo]],Plan_cuentas[],5,FALSE)," ")</f>
        <v xml:space="preserve"> </v>
      </c>
      <c r="I3134" s="43"/>
      <c r="K3134" t="str">
        <f>IFERROR(+VLOOKUP(Movimientos_2026[[#This Row],[Codigo]],Plan_cuentas[],6,FALSE)," ")</f>
        <v xml:space="preserve"> </v>
      </c>
      <c r="L3134" s="50"/>
      <c r="M3134" s="50"/>
      <c r="N3134" s="20">
        <f>+Movimientos_2026[[#This Row],[Ingresos]]-Movimientos_2026[[#This Row],[Egresos]]</f>
        <v>0</v>
      </c>
      <c r="O3134" s="20">
        <f>+O3133+Movimientos_2026[[#This Row],[Neto]]</f>
        <v>4581558617.7962294</v>
      </c>
    </row>
    <row r="3135" spans="1:15" x14ac:dyDescent="0.25">
      <c r="A3135" s="13"/>
      <c r="B3135" s="12">
        <f>MONTH(Movimientos_2026[[#This Row],[Fecha]])</f>
        <v>1</v>
      </c>
      <c r="C3135" s="12" t="str">
        <f>VLOOKUP((WEEKDAY(Movimientos_2026[[#This Row],[Fecha]],2)),'5. Setup'!$D$6:$E$12,2,FALSE)</f>
        <v>Sab</v>
      </c>
      <c r="E3135" t="str">
        <f>IFERROR(+VLOOKUP(Movimientos_2026[[#This Row],[Codigo]],Plan_cuentas[],2,FALSE)," ")</f>
        <v xml:space="preserve"> </v>
      </c>
      <c r="F3135" t="str">
        <f>IFERROR(+VLOOKUP(Movimientos_2026[[#This Row],[Codigo]],Plan_cuentas[],3,FALSE)," ")</f>
        <v xml:space="preserve"> </v>
      </c>
      <c r="G3135" t="str">
        <f>IFERROR(+VLOOKUP(Movimientos_2026[[#This Row],[Codigo]],Plan_cuentas[],4,FALSE)," ")</f>
        <v xml:space="preserve"> </v>
      </c>
      <c r="H3135" t="str">
        <f>IFERROR(+VLOOKUP(Movimientos_2026[[#This Row],[Codigo]],Plan_cuentas[],5,FALSE)," ")</f>
        <v xml:space="preserve"> </v>
      </c>
      <c r="I3135" s="43"/>
      <c r="K3135" t="str">
        <f>IFERROR(+VLOOKUP(Movimientos_2026[[#This Row],[Codigo]],Plan_cuentas[],6,FALSE)," ")</f>
        <v xml:space="preserve"> </v>
      </c>
      <c r="L3135" s="50"/>
      <c r="M3135" s="50"/>
      <c r="N3135" s="20">
        <f>+Movimientos_2026[[#This Row],[Ingresos]]-Movimientos_2026[[#This Row],[Egresos]]</f>
        <v>0</v>
      </c>
      <c r="O3135" s="20">
        <f>+O3134+Movimientos_2026[[#This Row],[Neto]]</f>
        <v>4581558617.7962294</v>
      </c>
    </row>
    <row r="3136" spans="1:15" x14ac:dyDescent="0.25">
      <c r="A3136" s="13"/>
      <c r="B3136" s="12">
        <f>MONTH(Movimientos_2026[[#This Row],[Fecha]])</f>
        <v>1</v>
      </c>
      <c r="C3136" s="12" t="str">
        <f>VLOOKUP((WEEKDAY(Movimientos_2026[[#This Row],[Fecha]],2)),'5. Setup'!$D$6:$E$12,2,FALSE)</f>
        <v>Sab</v>
      </c>
      <c r="E3136" t="str">
        <f>IFERROR(+VLOOKUP(Movimientos_2026[[#This Row],[Codigo]],Plan_cuentas[],2,FALSE)," ")</f>
        <v xml:space="preserve"> </v>
      </c>
      <c r="F3136" t="str">
        <f>IFERROR(+VLOOKUP(Movimientos_2026[[#This Row],[Codigo]],Plan_cuentas[],3,FALSE)," ")</f>
        <v xml:space="preserve"> </v>
      </c>
      <c r="G3136" t="str">
        <f>IFERROR(+VLOOKUP(Movimientos_2026[[#This Row],[Codigo]],Plan_cuentas[],4,FALSE)," ")</f>
        <v xml:space="preserve"> </v>
      </c>
      <c r="H3136" t="str">
        <f>IFERROR(+VLOOKUP(Movimientos_2026[[#This Row],[Codigo]],Plan_cuentas[],5,FALSE)," ")</f>
        <v xml:space="preserve"> </v>
      </c>
      <c r="I3136" s="43"/>
      <c r="K3136" t="str">
        <f>IFERROR(+VLOOKUP(Movimientos_2026[[#This Row],[Codigo]],Plan_cuentas[],6,FALSE)," ")</f>
        <v xml:space="preserve"> </v>
      </c>
      <c r="L3136" s="50"/>
      <c r="M3136" s="50"/>
      <c r="N3136" s="20">
        <f>+Movimientos_2026[[#This Row],[Ingresos]]-Movimientos_2026[[#This Row],[Egresos]]</f>
        <v>0</v>
      </c>
      <c r="O3136" s="20">
        <f>+O3135+Movimientos_2026[[#This Row],[Neto]]</f>
        <v>4581558617.7962294</v>
      </c>
    </row>
    <row r="3137" spans="1:15" x14ac:dyDescent="0.25">
      <c r="A3137" s="13"/>
      <c r="B3137" s="12">
        <f>MONTH(Movimientos_2026[[#This Row],[Fecha]])</f>
        <v>1</v>
      </c>
      <c r="C3137" s="12" t="str">
        <f>VLOOKUP((WEEKDAY(Movimientos_2026[[#This Row],[Fecha]],2)),'5. Setup'!$D$6:$E$12,2,FALSE)</f>
        <v>Sab</v>
      </c>
      <c r="E3137" t="str">
        <f>IFERROR(+VLOOKUP(Movimientos_2026[[#This Row],[Codigo]],Plan_cuentas[],2,FALSE)," ")</f>
        <v xml:space="preserve"> </v>
      </c>
      <c r="F3137" t="str">
        <f>IFERROR(+VLOOKUP(Movimientos_2026[[#This Row],[Codigo]],Plan_cuentas[],3,FALSE)," ")</f>
        <v xml:space="preserve"> </v>
      </c>
      <c r="G3137" t="str">
        <f>IFERROR(+VLOOKUP(Movimientos_2026[[#This Row],[Codigo]],Plan_cuentas[],4,FALSE)," ")</f>
        <v xml:space="preserve"> </v>
      </c>
      <c r="H3137" t="str">
        <f>IFERROR(+VLOOKUP(Movimientos_2026[[#This Row],[Codigo]],Plan_cuentas[],5,FALSE)," ")</f>
        <v xml:space="preserve"> </v>
      </c>
      <c r="I3137" s="43"/>
      <c r="K3137" t="str">
        <f>IFERROR(+VLOOKUP(Movimientos_2026[[#This Row],[Codigo]],Plan_cuentas[],6,FALSE)," ")</f>
        <v xml:space="preserve"> </v>
      </c>
      <c r="L3137" s="50"/>
      <c r="M3137" s="50"/>
      <c r="N3137" s="20">
        <f>+Movimientos_2026[[#This Row],[Ingresos]]-Movimientos_2026[[#This Row],[Egresos]]</f>
        <v>0</v>
      </c>
      <c r="O3137" s="20">
        <f>+O3136+Movimientos_2026[[#This Row],[Neto]]</f>
        <v>4581558617.7962294</v>
      </c>
    </row>
    <row r="3138" spans="1:15" x14ac:dyDescent="0.25">
      <c r="A3138" s="13"/>
      <c r="B3138" s="12">
        <f>MONTH(Movimientos_2026[[#This Row],[Fecha]])</f>
        <v>1</v>
      </c>
      <c r="C3138" s="12" t="str">
        <f>VLOOKUP((WEEKDAY(Movimientos_2026[[#This Row],[Fecha]],2)),'5. Setup'!$D$6:$E$12,2,FALSE)</f>
        <v>Sab</v>
      </c>
      <c r="E3138" t="str">
        <f>IFERROR(+VLOOKUP(Movimientos_2026[[#This Row],[Codigo]],Plan_cuentas[],2,FALSE)," ")</f>
        <v xml:space="preserve"> </v>
      </c>
      <c r="F3138" t="str">
        <f>IFERROR(+VLOOKUP(Movimientos_2026[[#This Row],[Codigo]],Plan_cuentas[],3,FALSE)," ")</f>
        <v xml:space="preserve"> </v>
      </c>
      <c r="G3138" t="str">
        <f>IFERROR(+VLOOKUP(Movimientos_2026[[#This Row],[Codigo]],Plan_cuentas[],4,FALSE)," ")</f>
        <v xml:space="preserve"> </v>
      </c>
      <c r="H3138" t="str">
        <f>IFERROR(+VLOOKUP(Movimientos_2026[[#This Row],[Codigo]],Plan_cuentas[],5,FALSE)," ")</f>
        <v xml:space="preserve"> </v>
      </c>
      <c r="I3138" s="43"/>
      <c r="K3138" t="str">
        <f>IFERROR(+VLOOKUP(Movimientos_2026[[#This Row],[Codigo]],Plan_cuentas[],6,FALSE)," ")</f>
        <v xml:space="preserve"> </v>
      </c>
      <c r="L3138" s="50"/>
      <c r="M3138" s="50"/>
      <c r="N3138" s="20">
        <f>+Movimientos_2026[[#This Row],[Ingresos]]-Movimientos_2026[[#This Row],[Egresos]]</f>
        <v>0</v>
      </c>
      <c r="O3138" s="20">
        <f>+O3137+Movimientos_2026[[#This Row],[Neto]]</f>
        <v>4581558617.7962294</v>
      </c>
    </row>
    <row r="3139" spans="1:15" x14ac:dyDescent="0.25">
      <c r="A3139" s="13"/>
      <c r="B3139" s="12">
        <f>MONTH(Movimientos_2026[[#This Row],[Fecha]])</f>
        <v>1</v>
      </c>
      <c r="C3139" s="12" t="str">
        <f>VLOOKUP((WEEKDAY(Movimientos_2026[[#This Row],[Fecha]],2)),'5. Setup'!$D$6:$E$12,2,FALSE)</f>
        <v>Sab</v>
      </c>
      <c r="E3139" t="str">
        <f>IFERROR(+VLOOKUP(Movimientos_2026[[#This Row],[Codigo]],Plan_cuentas[],2,FALSE)," ")</f>
        <v xml:space="preserve"> </v>
      </c>
      <c r="F3139" t="str">
        <f>IFERROR(+VLOOKUP(Movimientos_2026[[#This Row],[Codigo]],Plan_cuentas[],3,FALSE)," ")</f>
        <v xml:space="preserve"> </v>
      </c>
      <c r="G3139" t="str">
        <f>IFERROR(+VLOOKUP(Movimientos_2026[[#This Row],[Codigo]],Plan_cuentas[],4,FALSE)," ")</f>
        <v xml:space="preserve"> </v>
      </c>
      <c r="H3139" t="str">
        <f>IFERROR(+VLOOKUP(Movimientos_2026[[#This Row],[Codigo]],Plan_cuentas[],5,FALSE)," ")</f>
        <v xml:space="preserve"> </v>
      </c>
      <c r="I3139" s="43"/>
      <c r="K3139" t="str">
        <f>IFERROR(+VLOOKUP(Movimientos_2026[[#This Row],[Codigo]],Plan_cuentas[],6,FALSE)," ")</f>
        <v xml:space="preserve"> </v>
      </c>
      <c r="L3139" s="50"/>
      <c r="M3139" s="50"/>
      <c r="N3139" s="20">
        <f>+Movimientos_2026[[#This Row],[Ingresos]]-Movimientos_2026[[#This Row],[Egresos]]</f>
        <v>0</v>
      </c>
      <c r="O3139" s="20">
        <f>+O3138+Movimientos_2026[[#This Row],[Neto]]</f>
        <v>4581558617.7962294</v>
      </c>
    </row>
    <row r="3140" spans="1:15" x14ac:dyDescent="0.25">
      <c r="A3140" s="13"/>
      <c r="B3140" s="12">
        <f>MONTH(Movimientos_2026[[#This Row],[Fecha]])</f>
        <v>1</v>
      </c>
      <c r="C3140" s="12" t="str">
        <f>VLOOKUP((WEEKDAY(Movimientos_2026[[#This Row],[Fecha]],2)),'5. Setup'!$D$6:$E$12,2,FALSE)</f>
        <v>Sab</v>
      </c>
      <c r="E3140" t="str">
        <f>IFERROR(+VLOOKUP(Movimientos_2026[[#This Row],[Codigo]],Plan_cuentas[],2,FALSE)," ")</f>
        <v xml:space="preserve"> </v>
      </c>
      <c r="F3140" t="str">
        <f>IFERROR(+VLOOKUP(Movimientos_2026[[#This Row],[Codigo]],Plan_cuentas[],3,FALSE)," ")</f>
        <v xml:space="preserve"> </v>
      </c>
      <c r="G3140" t="str">
        <f>IFERROR(+VLOOKUP(Movimientos_2026[[#This Row],[Codigo]],Plan_cuentas[],4,FALSE)," ")</f>
        <v xml:space="preserve"> </v>
      </c>
      <c r="H3140" t="str">
        <f>IFERROR(+VLOOKUP(Movimientos_2026[[#This Row],[Codigo]],Plan_cuentas[],5,FALSE)," ")</f>
        <v xml:space="preserve"> </v>
      </c>
      <c r="I3140" s="43"/>
      <c r="K3140" t="str">
        <f>IFERROR(+VLOOKUP(Movimientos_2026[[#This Row],[Codigo]],Plan_cuentas[],6,FALSE)," ")</f>
        <v xml:space="preserve"> </v>
      </c>
      <c r="L3140" s="50"/>
      <c r="M3140" s="50"/>
      <c r="N3140" s="20">
        <f>+Movimientos_2026[[#This Row],[Ingresos]]-Movimientos_2026[[#This Row],[Egresos]]</f>
        <v>0</v>
      </c>
      <c r="O3140" s="20">
        <f>+O3139+Movimientos_2026[[#This Row],[Neto]]</f>
        <v>4581558617.7962294</v>
      </c>
    </row>
    <row r="3141" spans="1:15" x14ac:dyDescent="0.25">
      <c r="A3141" s="13"/>
      <c r="B3141" s="12">
        <f>MONTH(Movimientos_2026[[#This Row],[Fecha]])</f>
        <v>1</v>
      </c>
      <c r="C3141" s="12" t="str">
        <f>VLOOKUP((WEEKDAY(Movimientos_2026[[#This Row],[Fecha]],2)),'5. Setup'!$D$6:$E$12,2,FALSE)</f>
        <v>Sab</v>
      </c>
      <c r="E3141" t="str">
        <f>IFERROR(+VLOOKUP(Movimientos_2026[[#This Row],[Codigo]],Plan_cuentas[],2,FALSE)," ")</f>
        <v xml:space="preserve"> </v>
      </c>
      <c r="F3141" t="str">
        <f>IFERROR(+VLOOKUP(Movimientos_2026[[#This Row],[Codigo]],Plan_cuentas[],3,FALSE)," ")</f>
        <v xml:space="preserve"> </v>
      </c>
      <c r="G3141" t="str">
        <f>IFERROR(+VLOOKUP(Movimientos_2026[[#This Row],[Codigo]],Plan_cuentas[],4,FALSE)," ")</f>
        <v xml:space="preserve"> </v>
      </c>
      <c r="H3141" t="str">
        <f>IFERROR(+VLOOKUP(Movimientos_2026[[#This Row],[Codigo]],Plan_cuentas[],5,FALSE)," ")</f>
        <v xml:space="preserve"> </v>
      </c>
      <c r="I3141" s="43"/>
      <c r="K3141" t="str">
        <f>IFERROR(+VLOOKUP(Movimientos_2026[[#This Row],[Codigo]],Plan_cuentas[],6,FALSE)," ")</f>
        <v xml:space="preserve"> </v>
      </c>
      <c r="L3141" s="50"/>
      <c r="M3141" s="50"/>
      <c r="N3141" s="20">
        <f>+Movimientos_2026[[#This Row],[Ingresos]]-Movimientos_2026[[#This Row],[Egresos]]</f>
        <v>0</v>
      </c>
      <c r="O3141" s="20">
        <f>+O3140+Movimientos_2026[[#This Row],[Neto]]</f>
        <v>4581558617.7962294</v>
      </c>
    </row>
    <row r="3142" spans="1:15" x14ac:dyDescent="0.25">
      <c r="A3142" s="13"/>
      <c r="B3142" s="12">
        <f>MONTH(Movimientos_2026[[#This Row],[Fecha]])</f>
        <v>1</v>
      </c>
      <c r="C3142" s="12" t="str">
        <f>VLOOKUP((WEEKDAY(Movimientos_2026[[#This Row],[Fecha]],2)),'5. Setup'!$D$6:$E$12,2,FALSE)</f>
        <v>Sab</v>
      </c>
      <c r="E3142" t="str">
        <f>IFERROR(+VLOOKUP(Movimientos_2026[[#This Row],[Codigo]],Plan_cuentas[],2,FALSE)," ")</f>
        <v xml:space="preserve"> </v>
      </c>
      <c r="F3142" t="str">
        <f>IFERROR(+VLOOKUP(Movimientos_2026[[#This Row],[Codigo]],Plan_cuentas[],3,FALSE)," ")</f>
        <v xml:space="preserve"> </v>
      </c>
      <c r="G3142" t="str">
        <f>IFERROR(+VLOOKUP(Movimientos_2026[[#This Row],[Codigo]],Plan_cuentas[],4,FALSE)," ")</f>
        <v xml:space="preserve"> </v>
      </c>
      <c r="H3142" t="str">
        <f>IFERROR(+VLOOKUP(Movimientos_2026[[#This Row],[Codigo]],Plan_cuentas[],5,FALSE)," ")</f>
        <v xml:space="preserve"> </v>
      </c>
      <c r="I3142" s="43"/>
      <c r="K3142" t="str">
        <f>IFERROR(+VLOOKUP(Movimientos_2026[[#This Row],[Codigo]],Plan_cuentas[],6,FALSE)," ")</f>
        <v xml:space="preserve"> </v>
      </c>
      <c r="L3142" s="50"/>
      <c r="M3142" s="50"/>
      <c r="N3142" s="20">
        <f>+Movimientos_2026[[#This Row],[Ingresos]]-Movimientos_2026[[#This Row],[Egresos]]</f>
        <v>0</v>
      </c>
      <c r="O3142" s="20">
        <f>+O3141+Movimientos_2026[[#This Row],[Neto]]</f>
        <v>4581558617.7962294</v>
      </c>
    </row>
    <row r="3143" spans="1:15" x14ac:dyDescent="0.25">
      <c r="A3143" s="13"/>
      <c r="B3143" s="12">
        <f>MONTH(Movimientos_2026[[#This Row],[Fecha]])</f>
        <v>1</v>
      </c>
      <c r="C3143" s="12" t="str">
        <f>VLOOKUP((WEEKDAY(Movimientos_2026[[#This Row],[Fecha]],2)),'5. Setup'!$D$6:$E$12,2,FALSE)</f>
        <v>Sab</v>
      </c>
      <c r="E3143" t="str">
        <f>IFERROR(+VLOOKUP(Movimientos_2026[[#This Row],[Codigo]],Plan_cuentas[],2,FALSE)," ")</f>
        <v xml:space="preserve"> </v>
      </c>
      <c r="F3143" t="str">
        <f>IFERROR(+VLOOKUP(Movimientos_2026[[#This Row],[Codigo]],Plan_cuentas[],3,FALSE)," ")</f>
        <v xml:space="preserve"> </v>
      </c>
      <c r="G3143" t="str">
        <f>IFERROR(+VLOOKUP(Movimientos_2026[[#This Row],[Codigo]],Plan_cuentas[],4,FALSE)," ")</f>
        <v xml:space="preserve"> </v>
      </c>
      <c r="H3143" t="str">
        <f>IFERROR(+VLOOKUP(Movimientos_2026[[#This Row],[Codigo]],Plan_cuentas[],5,FALSE)," ")</f>
        <v xml:space="preserve"> </v>
      </c>
      <c r="I3143" s="43"/>
      <c r="K3143" t="str">
        <f>IFERROR(+VLOOKUP(Movimientos_2026[[#This Row],[Codigo]],Plan_cuentas[],6,FALSE)," ")</f>
        <v xml:space="preserve"> </v>
      </c>
      <c r="L3143" s="50"/>
      <c r="M3143" s="50"/>
      <c r="N3143" s="20">
        <f>+Movimientos_2026[[#This Row],[Ingresos]]-Movimientos_2026[[#This Row],[Egresos]]</f>
        <v>0</v>
      </c>
      <c r="O3143" s="20">
        <f>+O3142+Movimientos_2026[[#This Row],[Neto]]</f>
        <v>4581558617.7962294</v>
      </c>
    </row>
    <row r="3144" spans="1:15" x14ac:dyDescent="0.25">
      <c r="A3144" s="13"/>
      <c r="B3144" s="12">
        <f>MONTH(Movimientos_2026[[#This Row],[Fecha]])</f>
        <v>1</v>
      </c>
      <c r="C3144" s="12" t="str">
        <f>VLOOKUP((WEEKDAY(Movimientos_2026[[#This Row],[Fecha]],2)),'5. Setup'!$D$6:$E$12,2,FALSE)</f>
        <v>Sab</v>
      </c>
      <c r="E3144" t="str">
        <f>IFERROR(+VLOOKUP(Movimientos_2026[[#This Row],[Codigo]],Plan_cuentas[],2,FALSE)," ")</f>
        <v xml:space="preserve"> </v>
      </c>
      <c r="F3144" t="str">
        <f>IFERROR(+VLOOKUP(Movimientos_2026[[#This Row],[Codigo]],Plan_cuentas[],3,FALSE)," ")</f>
        <v xml:space="preserve"> </v>
      </c>
      <c r="G3144" t="str">
        <f>IFERROR(+VLOOKUP(Movimientos_2026[[#This Row],[Codigo]],Plan_cuentas[],4,FALSE)," ")</f>
        <v xml:space="preserve"> </v>
      </c>
      <c r="H3144" t="str">
        <f>IFERROR(+VLOOKUP(Movimientos_2026[[#This Row],[Codigo]],Plan_cuentas[],5,FALSE)," ")</f>
        <v xml:space="preserve"> </v>
      </c>
      <c r="I3144" s="43"/>
      <c r="K3144" t="str">
        <f>IFERROR(+VLOOKUP(Movimientos_2026[[#This Row],[Codigo]],Plan_cuentas[],6,FALSE)," ")</f>
        <v xml:space="preserve"> </v>
      </c>
      <c r="L3144" s="50"/>
      <c r="M3144" s="50"/>
      <c r="N3144" s="20">
        <f>+Movimientos_2026[[#This Row],[Ingresos]]-Movimientos_2026[[#This Row],[Egresos]]</f>
        <v>0</v>
      </c>
      <c r="O3144" s="20">
        <f>+O3143+Movimientos_2026[[#This Row],[Neto]]</f>
        <v>4581558617.7962294</v>
      </c>
    </row>
    <row r="3145" spans="1:15" x14ac:dyDescent="0.25">
      <c r="A3145" s="13"/>
      <c r="B3145" s="12">
        <f>MONTH(Movimientos_2026[[#This Row],[Fecha]])</f>
        <v>1</v>
      </c>
      <c r="C3145" s="12" t="str">
        <f>VLOOKUP((WEEKDAY(Movimientos_2026[[#This Row],[Fecha]],2)),'5. Setup'!$D$6:$E$12,2,FALSE)</f>
        <v>Sab</v>
      </c>
      <c r="E3145" t="str">
        <f>IFERROR(+VLOOKUP(Movimientos_2026[[#This Row],[Codigo]],Plan_cuentas[],2,FALSE)," ")</f>
        <v xml:space="preserve"> </v>
      </c>
      <c r="F3145" t="str">
        <f>IFERROR(+VLOOKUP(Movimientos_2026[[#This Row],[Codigo]],Plan_cuentas[],3,FALSE)," ")</f>
        <v xml:space="preserve"> </v>
      </c>
      <c r="G3145" t="str">
        <f>IFERROR(+VLOOKUP(Movimientos_2026[[#This Row],[Codigo]],Plan_cuentas[],4,FALSE)," ")</f>
        <v xml:space="preserve"> </v>
      </c>
      <c r="H3145" t="str">
        <f>IFERROR(+VLOOKUP(Movimientos_2026[[#This Row],[Codigo]],Plan_cuentas[],5,FALSE)," ")</f>
        <v xml:space="preserve"> </v>
      </c>
      <c r="I3145" s="43"/>
      <c r="K3145" t="str">
        <f>IFERROR(+VLOOKUP(Movimientos_2026[[#This Row],[Codigo]],Plan_cuentas[],6,FALSE)," ")</f>
        <v xml:space="preserve"> </v>
      </c>
      <c r="L3145" s="50"/>
      <c r="M3145" s="50"/>
      <c r="N3145" s="20">
        <f>+Movimientos_2026[[#This Row],[Ingresos]]-Movimientos_2026[[#This Row],[Egresos]]</f>
        <v>0</v>
      </c>
      <c r="O3145" s="20">
        <f>+O3144+Movimientos_2026[[#This Row],[Neto]]</f>
        <v>4581558617.7962294</v>
      </c>
    </row>
    <row r="3146" spans="1:15" x14ac:dyDescent="0.25">
      <c r="A3146" s="13"/>
      <c r="B3146" s="12">
        <f>MONTH(Movimientos_2026[[#This Row],[Fecha]])</f>
        <v>1</v>
      </c>
      <c r="C3146" s="12" t="str">
        <f>VLOOKUP((WEEKDAY(Movimientos_2026[[#This Row],[Fecha]],2)),'5. Setup'!$D$6:$E$12,2,FALSE)</f>
        <v>Sab</v>
      </c>
      <c r="E3146" t="str">
        <f>IFERROR(+VLOOKUP(Movimientos_2026[[#This Row],[Codigo]],Plan_cuentas[],2,FALSE)," ")</f>
        <v xml:space="preserve"> </v>
      </c>
      <c r="F3146" t="str">
        <f>IFERROR(+VLOOKUP(Movimientos_2026[[#This Row],[Codigo]],Plan_cuentas[],3,FALSE)," ")</f>
        <v xml:space="preserve"> </v>
      </c>
      <c r="G3146" t="str">
        <f>IFERROR(+VLOOKUP(Movimientos_2026[[#This Row],[Codigo]],Plan_cuentas[],4,FALSE)," ")</f>
        <v xml:space="preserve"> </v>
      </c>
      <c r="H3146" t="str">
        <f>IFERROR(+VLOOKUP(Movimientos_2026[[#This Row],[Codigo]],Plan_cuentas[],5,FALSE)," ")</f>
        <v xml:space="preserve"> </v>
      </c>
      <c r="I3146" s="43"/>
      <c r="K3146" t="str">
        <f>IFERROR(+VLOOKUP(Movimientos_2026[[#This Row],[Codigo]],Plan_cuentas[],6,FALSE)," ")</f>
        <v xml:space="preserve"> </v>
      </c>
      <c r="L3146" s="50"/>
      <c r="M3146" s="50"/>
      <c r="N3146" s="20">
        <f>+Movimientos_2026[[#This Row],[Ingresos]]-Movimientos_2026[[#This Row],[Egresos]]</f>
        <v>0</v>
      </c>
      <c r="O3146" s="20">
        <f>+O3145+Movimientos_2026[[#This Row],[Neto]]</f>
        <v>4581558617.7962294</v>
      </c>
    </row>
    <row r="3147" spans="1:15" x14ac:dyDescent="0.25">
      <c r="A3147" s="13"/>
      <c r="B3147" s="12">
        <f>MONTH(Movimientos_2026[[#This Row],[Fecha]])</f>
        <v>1</v>
      </c>
      <c r="C3147" s="12" t="str">
        <f>VLOOKUP((WEEKDAY(Movimientos_2026[[#This Row],[Fecha]],2)),'5. Setup'!$D$6:$E$12,2,FALSE)</f>
        <v>Sab</v>
      </c>
      <c r="E3147" t="str">
        <f>IFERROR(+VLOOKUP(Movimientos_2026[[#This Row],[Codigo]],Plan_cuentas[],2,FALSE)," ")</f>
        <v xml:space="preserve"> </v>
      </c>
      <c r="F3147" t="str">
        <f>IFERROR(+VLOOKUP(Movimientos_2026[[#This Row],[Codigo]],Plan_cuentas[],3,FALSE)," ")</f>
        <v xml:space="preserve"> </v>
      </c>
      <c r="G3147" t="str">
        <f>IFERROR(+VLOOKUP(Movimientos_2026[[#This Row],[Codigo]],Plan_cuentas[],4,FALSE)," ")</f>
        <v xml:space="preserve"> </v>
      </c>
      <c r="H3147" t="str">
        <f>IFERROR(+VLOOKUP(Movimientos_2026[[#This Row],[Codigo]],Plan_cuentas[],5,FALSE)," ")</f>
        <v xml:space="preserve"> </v>
      </c>
      <c r="I3147" s="43"/>
      <c r="K3147" t="str">
        <f>IFERROR(+VLOOKUP(Movimientos_2026[[#This Row],[Codigo]],Plan_cuentas[],6,FALSE)," ")</f>
        <v xml:space="preserve"> </v>
      </c>
      <c r="L3147" s="50"/>
      <c r="M3147" s="50"/>
      <c r="N3147" s="20">
        <f>+Movimientos_2026[[#This Row],[Ingresos]]-Movimientos_2026[[#This Row],[Egresos]]</f>
        <v>0</v>
      </c>
      <c r="O3147" s="20">
        <f>+O3146+Movimientos_2026[[#This Row],[Neto]]</f>
        <v>4581558617.7962294</v>
      </c>
    </row>
    <row r="3148" spans="1:15" x14ac:dyDescent="0.25">
      <c r="A3148" s="13"/>
      <c r="B3148" s="12">
        <f>MONTH(Movimientos_2026[[#This Row],[Fecha]])</f>
        <v>1</v>
      </c>
      <c r="C3148" s="12" t="str">
        <f>VLOOKUP((WEEKDAY(Movimientos_2026[[#This Row],[Fecha]],2)),'5. Setup'!$D$6:$E$12,2,FALSE)</f>
        <v>Sab</v>
      </c>
      <c r="E3148" t="str">
        <f>IFERROR(+VLOOKUP(Movimientos_2026[[#This Row],[Codigo]],Plan_cuentas[],2,FALSE)," ")</f>
        <v xml:space="preserve"> </v>
      </c>
      <c r="F3148" t="str">
        <f>IFERROR(+VLOOKUP(Movimientos_2026[[#This Row],[Codigo]],Plan_cuentas[],3,FALSE)," ")</f>
        <v xml:space="preserve"> </v>
      </c>
      <c r="G3148" t="str">
        <f>IFERROR(+VLOOKUP(Movimientos_2026[[#This Row],[Codigo]],Plan_cuentas[],4,FALSE)," ")</f>
        <v xml:space="preserve"> </v>
      </c>
      <c r="H3148" t="str">
        <f>IFERROR(+VLOOKUP(Movimientos_2026[[#This Row],[Codigo]],Plan_cuentas[],5,FALSE)," ")</f>
        <v xml:space="preserve"> </v>
      </c>
      <c r="I3148" s="43"/>
      <c r="K3148" t="str">
        <f>IFERROR(+VLOOKUP(Movimientos_2026[[#This Row],[Codigo]],Plan_cuentas[],6,FALSE)," ")</f>
        <v xml:space="preserve"> </v>
      </c>
      <c r="L3148" s="50"/>
      <c r="M3148" s="50"/>
      <c r="N3148" s="20">
        <f>+Movimientos_2026[[#This Row],[Ingresos]]-Movimientos_2026[[#This Row],[Egresos]]</f>
        <v>0</v>
      </c>
      <c r="O3148" s="20">
        <f>+O3147+Movimientos_2026[[#This Row],[Neto]]</f>
        <v>4581558617.7962294</v>
      </c>
    </row>
    <row r="3149" spans="1:15" x14ac:dyDescent="0.25">
      <c r="A3149" s="13"/>
      <c r="B3149" s="12">
        <f>MONTH(Movimientos_2026[[#This Row],[Fecha]])</f>
        <v>1</v>
      </c>
      <c r="C3149" s="12" t="str">
        <f>VLOOKUP((WEEKDAY(Movimientos_2026[[#This Row],[Fecha]],2)),'5. Setup'!$D$6:$E$12,2,FALSE)</f>
        <v>Sab</v>
      </c>
      <c r="E3149" t="str">
        <f>IFERROR(+VLOOKUP(Movimientos_2026[[#This Row],[Codigo]],Plan_cuentas[],2,FALSE)," ")</f>
        <v xml:space="preserve"> </v>
      </c>
      <c r="F3149" t="str">
        <f>IFERROR(+VLOOKUP(Movimientos_2026[[#This Row],[Codigo]],Plan_cuentas[],3,FALSE)," ")</f>
        <v xml:space="preserve"> </v>
      </c>
      <c r="G3149" t="str">
        <f>IFERROR(+VLOOKUP(Movimientos_2026[[#This Row],[Codigo]],Plan_cuentas[],4,FALSE)," ")</f>
        <v xml:space="preserve"> </v>
      </c>
      <c r="H3149" t="str">
        <f>IFERROR(+VLOOKUP(Movimientos_2026[[#This Row],[Codigo]],Plan_cuentas[],5,FALSE)," ")</f>
        <v xml:space="preserve"> </v>
      </c>
      <c r="I3149" s="43"/>
      <c r="K3149" t="str">
        <f>IFERROR(+VLOOKUP(Movimientos_2026[[#This Row],[Codigo]],Plan_cuentas[],6,FALSE)," ")</f>
        <v xml:space="preserve"> </v>
      </c>
      <c r="L3149" s="50"/>
      <c r="M3149" s="50"/>
      <c r="N3149" s="20">
        <f>+Movimientos_2026[[#This Row],[Ingresos]]-Movimientos_2026[[#This Row],[Egresos]]</f>
        <v>0</v>
      </c>
      <c r="O3149" s="20">
        <f>+O3148+Movimientos_2026[[#This Row],[Neto]]</f>
        <v>4581558617.7962294</v>
      </c>
    </row>
    <row r="3150" spans="1:15" x14ac:dyDescent="0.25">
      <c r="A3150" s="13"/>
      <c r="B3150" s="12">
        <f>MONTH(Movimientos_2026[[#This Row],[Fecha]])</f>
        <v>1</v>
      </c>
      <c r="C3150" s="12" t="str">
        <f>VLOOKUP((WEEKDAY(Movimientos_2026[[#This Row],[Fecha]],2)),'5. Setup'!$D$6:$E$12,2,FALSE)</f>
        <v>Sab</v>
      </c>
      <c r="E3150" t="str">
        <f>IFERROR(+VLOOKUP(Movimientos_2026[[#This Row],[Codigo]],Plan_cuentas[],2,FALSE)," ")</f>
        <v xml:space="preserve"> </v>
      </c>
      <c r="F3150" t="str">
        <f>IFERROR(+VLOOKUP(Movimientos_2026[[#This Row],[Codigo]],Plan_cuentas[],3,FALSE)," ")</f>
        <v xml:space="preserve"> </v>
      </c>
      <c r="G3150" t="str">
        <f>IFERROR(+VLOOKUP(Movimientos_2026[[#This Row],[Codigo]],Plan_cuentas[],4,FALSE)," ")</f>
        <v xml:space="preserve"> </v>
      </c>
      <c r="H3150" t="str">
        <f>IFERROR(+VLOOKUP(Movimientos_2026[[#This Row],[Codigo]],Plan_cuentas[],5,FALSE)," ")</f>
        <v xml:space="preserve"> </v>
      </c>
      <c r="I3150" s="43"/>
      <c r="K3150" t="str">
        <f>IFERROR(+VLOOKUP(Movimientos_2026[[#This Row],[Codigo]],Plan_cuentas[],6,FALSE)," ")</f>
        <v xml:space="preserve"> </v>
      </c>
      <c r="L3150" s="50"/>
      <c r="M3150" s="50"/>
      <c r="N3150" s="20">
        <f>+Movimientos_2026[[#This Row],[Ingresos]]-Movimientos_2026[[#This Row],[Egresos]]</f>
        <v>0</v>
      </c>
      <c r="O3150" s="20">
        <f>+O3149+Movimientos_2026[[#This Row],[Neto]]</f>
        <v>4581558617.7962294</v>
      </c>
    </row>
    <row r="3151" spans="1:15" x14ac:dyDescent="0.25">
      <c r="A3151" s="13"/>
      <c r="B3151" s="12">
        <f>MONTH(Movimientos_2026[[#This Row],[Fecha]])</f>
        <v>1</v>
      </c>
      <c r="C3151" s="12" t="str">
        <f>VLOOKUP((WEEKDAY(Movimientos_2026[[#This Row],[Fecha]],2)),'5. Setup'!$D$6:$E$12,2,FALSE)</f>
        <v>Sab</v>
      </c>
      <c r="E3151" t="str">
        <f>IFERROR(+VLOOKUP(Movimientos_2026[[#This Row],[Codigo]],Plan_cuentas[],2,FALSE)," ")</f>
        <v xml:space="preserve"> </v>
      </c>
      <c r="F3151" t="str">
        <f>IFERROR(+VLOOKUP(Movimientos_2026[[#This Row],[Codigo]],Plan_cuentas[],3,FALSE)," ")</f>
        <v xml:space="preserve"> </v>
      </c>
      <c r="G3151" t="str">
        <f>IFERROR(+VLOOKUP(Movimientos_2026[[#This Row],[Codigo]],Plan_cuentas[],4,FALSE)," ")</f>
        <v xml:space="preserve"> </v>
      </c>
      <c r="H3151" t="str">
        <f>IFERROR(+VLOOKUP(Movimientos_2026[[#This Row],[Codigo]],Plan_cuentas[],5,FALSE)," ")</f>
        <v xml:space="preserve"> </v>
      </c>
      <c r="I3151" s="43"/>
      <c r="K3151" t="str">
        <f>IFERROR(+VLOOKUP(Movimientos_2026[[#This Row],[Codigo]],Plan_cuentas[],6,FALSE)," ")</f>
        <v xml:space="preserve"> </v>
      </c>
      <c r="L3151" s="50"/>
      <c r="M3151" s="50"/>
      <c r="N3151" s="20">
        <f>+Movimientos_2026[[#This Row],[Ingresos]]-Movimientos_2026[[#This Row],[Egresos]]</f>
        <v>0</v>
      </c>
      <c r="O3151" s="20">
        <f>+O3150+Movimientos_2026[[#This Row],[Neto]]</f>
        <v>4581558617.7962294</v>
      </c>
    </row>
    <row r="3152" spans="1:15" x14ac:dyDescent="0.25">
      <c r="A3152" s="13"/>
      <c r="B3152" s="12">
        <f>MONTH(Movimientos_2026[[#This Row],[Fecha]])</f>
        <v>1</v>
      </c>
      <c r="C3152" s="12" t="str">
        <f>VLOOKUP((WEEKDAY(Movimientos_2026[[#This Row],[Fecha]],2)),'5. Setup'!$D$6:$E$12,2,FALSE)</f>
        <v>Sab</v>
      </c>
      <c r="E3152" t="str">
        <f>IFERROR(+VLOOKUP(Movimientos_2026[[#This Row],[Codigo]],Plan_cuentas[],2,FALSE)," ")</f>
        <v xml:space="preserve"> </v>
      </c>
      <c r="F3152" t="str">
        <f>IFERROR(+VLOOKUP(Movimientos_2026[[#This Row],[Codigo]],Plan_cuentas[],3,FALSE)," ")</f>
        <v xml:space="preserve"> </v>
      </c>
      <c r="G3152" t="str">
        <f>IFERROR(+VLOOKUP(Movimientos_2026[[#This Row],[Codigo]],Plan_cuentas[],4,FALSE)," ")</f>
        <v xml:space="preserve"> </v>
      </c>
      <c r="H3152" t="str">
        <f>IFERROR(+VLOOKUP(Movimientos_2026[[#This Row],[Codigo]],Plan_cuentas[],5,FALSE)," ")</f>
        <v xml:space="preserve"> </v>
      </c>
      <c r="I3152" s="43"/>
      <c r="K3152" t="str">
        <f>IFERROR(+VLOOKUP(Movimientos_2026[[#This Row],[Codigo]],Plan_cuentas[],6,FALSE)," ")</f>
        <v xml:space="preserve"> </v>
      </c>
      <c r="L3152" s="50"/>
      <c r="M3152" s="50"/>
      <c r="N3152" s="20">
        <f>+Movimientos_2026[[#This Row],[Ingresos]]-Movimientos_2026[[#This Row],[Egresos]]</f>
        <v>0</v>
      </c>
      <c r="O3152" s="20">
        <f>+O3151+Movimientos_2026[[#This Row],[Neto]]</f>
        <v>4581558617.7962294</v>
      </c>
    </row>
    <row r="3153" spans="1:15" x14ac:dyDescent="0.25">
      <c r="A3153" s="13"/>
      <c r="B3153" s="12">
        <f>MONTH(Movimientos_2026[[#This Row],[Fecha]])</f>
        <v>1</v>
      </c>
      <c r="C3153" s="12" t="str">
        <f>VLOOKUP((WEEKDAY(Movimientos_2026[[#This Row],[Fecha]],2)),'5. Setup'!$D$6:$E$12,2,FALSE)</f>
        <v>Sab</v>
      </c>
      <c r="E3153" t="str">
        <f>IFERROR(+VLOOKUP(Movimientos_2026[[#This Row],[Codigo]],Plan_cuentas[],2,FALSE)," ")</f>
        <v xml:space="preserve"> </v>
      </c>
      <c r="F3153" t="str">
        <f>IFERROR(+VLOOKUP(Movimientos_2026[[#This Row],[Codigo]],Plan_cuentas[],3,FALSE)," ")</f>
        <v xml:space="preserve"> </v>
      </c>
      <c r="G3153" t="str">
        <f>IFERROR(+VLOOKUP(Movimientos_2026[[#This Row],[Codigo]],Plan_cuentas[],4,FALSE)," ")</f>
        <v xml:space="preserve"> </v>
      </c>
      <c r="H3153" t="str">
        <f>IFERROR(+VLOOKUP(Movimientos_2026[[#This Row],[Codigo]],Plan_cuentas[],5,FALSE)," ")</f>
        <v xml:space="preserve"> </v>
      </c>
      <c r="I3153" s="43"/>
      <c r="K3153" t="str">
        <f>IFERROR(+VLOOKUP(Movimientos_2026[[#This Row],[Codigo]],Plan_cuentas[],6,FALSE)," ")</f>
        <v xml:space="preserve"> </v>
      </c>
      <c r="L3153" s="50"/>
      <c r="M3153" s="50"/>
      <c r="N3153" s="20">
        <f>+Movimientos_2026[[#This Row],[Ingresos]]-Movimientos_2026[[#This Row],[Egresos]]</f>
        <v>0</v>
      </c>
      <c r="O3153" s="20">
        <f>+O3152+Movimientos_2026[[#This Row],[Neto]]</f>
        <v>4581558617.7962294</v>
      </c>
    </row>
    <row r="3154" spans="1:15" x14ac:dyDescent="0.25">
      <c r="A3154" s="13"/>
      <c r="B3154" s="12">
        <f>MONTH(Movimientos_2026[[#This Row],[Fecha]])</f>
        <v>1</v>
      </c>
      <c r="C3154" s="12" t="str">
        <f>VLOOKUP((WEEKDAY(Movimientos_2026[[#This Row],[Fecha]],2)),'5. Setup'!$D$6:$E$12,2,FALSE)</f>
        <v>Sab</v>
      </c>
      <c r="E3154" t="str">
        <f>IFERROR(+VLOOKUP(Movimientos_2026[[#This Row],[Codigo]],Plan_cuentas[],2,FALSE)," ")</f>
        <v xml:space="preserve"> </v>
      </c>
      <c r="F3154" t="str">
        <f>IFERROR(+VLOOKUP(Movimientos_2026[[#This Row],[Codigo]],Plan_cuentas[],3,FALSE)," ")</f>
        <v xml:space="preserve"> </v>
      </c>
      <c r="G3154" t="str">
        <f>IFERROR(+VLOOKUP(Movimientos_2026[[#This Row],[Codigo]],Plan_cuentas[],4,FALSE)," ")</f>
        <v xml:space="preserve"> </v>
      </c>
      <c r="H3154" t="str">
        <f>IFERROR(+VLOOKUP(Movimientos_2026[[#This Row],[Codigo]],Plan_cuentas[],5,FALSE)," ")</f>
        <v xml:space="preserve"> </v>
      </c>
      <c r="I3154" s="43"/>
      <c r="K3154" t="str">
        <f>IFERROR(+VLOOKUP(Movimientos_2026[[#This Row],[Codigo]],Plan_cuentas[],6,FALSE)," ")</f>
        <v xml:space="preserve"> </v>
      </c>
      <c r="L3154" s="50"/>
      <c r="M3154" s="50"/>
      <c r="N3154" s="20">
        <f>+Movimientos_2026[[#This Row],[Ingresos]]-Movimientos_2026[[#This Row],[Egresos]]</f>
        <v>0</v>
      </c>
      <c r="O3154" s="20">
        <f>+O3153+Movimientos_2026[[#This Row],[Neto]]</f>
        <v>4581558617.7962294</v>
      </c>
    </row>
    <row r="3155" spans="1:15" x14ac:dyDescent="0.25">
      <c r="A3155" s="13"/>
      <c r="B3155" s="12">
        <f>MONTH(Movimientos_2026[[#This Row],[Fecha]])</f>
        <v>1</v>
      </c>
      <c r="C3155" s="12" t="str">
        <f>VLOOKUP((WEEKDAY(Movimientos_2026[[#This Row],[Fecha]],2)),'5. Setup'!$D$6:$E$12,2,FALSE)</f>
        <v>Sab</v>
      </c>
      <c r="E3155" t="str">
        <f>IFERROR(+VLOOKUP(Movimientos_2026[[#This Row],[Codigo]],Plan_cuentas[],2,FALSE)," ")</f>
        <v xml:space="preserve"> </v>
      </c>
      <c r="F3155" t="str">
        <f>IFERROR(+VLOOKUP(Movimientos_2026[[#This Row],[Codigo]],Plan_cuentas[],3,FALSE)," ")</f>
        <v xml:space="preserve"> </v>
      </c>
      <c r="G3155" t="str">
        <f>IFERROR(+VLOOKUP(Movimientos_2026[[#This Row],[Codigo]],Plan_cuentas[],4,FALSE)," ")</f>
        <v xml:space="preserve"> </v>
      </c>
      <c r="H3155" t="str">
        <f>IFERROR(+VLOOKUP(Movimientos_2026[[#This Row],[Codigo]],Plan_cuentas[],5,FALSE)," ")</f>
        <v xml:space="preserve"> </v>
      </c>
      <c r="I3155" s="43"/>
      <c r="K3155" t="str">
        <f>IFERROR(+VLOOKUP(Movimientos_2026[[#This Row],[Codigo]],Plan_cuentas[],6,FALSE)," ")</f>
        <v xml:space="preserve"> </v>
      </c>
      <c r="L3155" s="50"/>
      <c r="M3155" s="50"/>
      <c r="N3155" s="20">
        <f>+Movimientos_2026[[#This Row],[Ingresos]]-Movimientos_2026[[#This Row],[Egresos]]</f>
        <v>0</v>
      </c>
      <c r="O3155" s="20">
        <f>+O3154+Movimientos_2026[[#This Row],[Neto]]</f>
        <v>4581558617.7962294</v>
      </c>
    </row>
    <row r="3156" spans="1:15" x14ac:dyDescent="0.25">
      <c r="A3156" s="13"/>
      <c r="B3156" s="12">
        <f>MONTH(Movimientos_2026[[#This Row],[Fecha]])</f>
        <v>1</v>
      </c>
      <c r="C3156" s="12" t="str">
        <f>VLOOKUP((WEEKDAY(Movimientos_2026[[#This Row],[Fecha]],2)),'5. Setup'!$D$6:$E$12,2,FALSE)</f>
        <v>Sab</v>
      </c>
      <c r="E3156" t="str">
        <f>IFERROR(+VLOOKUP(Movimientos_2026[[#This Row],[Codigo]],Plan_cuentas[],2,FALSE)," ")</f>
        <v xml:space="preserve"> </v>
      </c>
      <c r="F3156" t="str">
        <f>IFERROR(+VLOOKUP(Movimientos_2026[[#This Row],[Codigo]],Plan_cuentas[],3,FALSE)," ")</f>
        <v xml:space="preserve"> </v>
      </c>
      <c r="G3156" t="str">
        <f>IFERROR(+VLOOKUP(Movimientos_2026[[#This Row],[Codigo]],Plan_cuentas[],4,FALSE)," ")</f>
        <v xml:space="preserve"> </v>
      </c>
      <c r="H3156" t="str">
        <f>IFERROR(+VLOOKUP(Movimientos_2026[[#This Row],[Codigo]],Plan_cuentas[],5,FALSE)," ")</f>
        <v xml:space="preserve"> </v>
      </c>
      <c r="I3156" s="43"/>
      <c r="K3156" t="str">
        <f>IFERROR(+VLOOKUP(Movimientos_2026[[#This Row],[Codigo]],Plan_cuentas[],6,FALSE)," ")</f>
        <v xml:space="preserve"> </v>
      </c>
      <c r="L3156" s="50"/>
      <c r="M3156" s="50"/>
      <c r="N3156" s="20">
        <f>+Movimientos_2026[[#This Row],[Ingresos]]-Movimientos_2026[[#This Row],[Egresos]]</f>
        <v>0</v>
      </c>
      <c r="O3156" s="20">
        <f>+O3155+Movimientos_2026[[#This Row],[Neto]]</f>
        <v>4581558617.7962294</v>
      </c>
    </row>
    <row r="3157" spans="1:15" x14ac:dyDescent="0.25">
      <c r="A3157" s="13"/>
      <c r="B3157" s="12">
        <f>MONTH(Movimientos_2026[[#This Row],[Fecha]])</f>
        <v>1</v>
      </c>
      <c r="C3157" s="12" t="str">
        <f>VLOOKUP((WEEKDAY(Movimientos_2026[[#This Row],[Fecha]],2)),'5. Setup'!$D$6:$E$12,2,FALSE)</f>
        <v>Sab</v>
      </c>
      <c r="E3157" t="str">
        <f>IFERROR(+VLOOKUP(Movimientos_2026[[#This Row],[Codigo]],Plan_cuentas[],2,FALSE)," ")</f>
        <v xml:space="preserve"> </v>
      </c>
      <c r="F3157" t="str">
        <f>IFERROR(+VLOOKUP(Movimientos_2026[[#This Row],[Codigo]],Plan_cuentas[],3,FALSE)," ")</f>
        <v xml:space="preserve"> </v>
      </c>
      <c r="G3157" t="str">
        <f>IFERROR(+VLOOKUP(Movimientos_2026[[#This Row],[Codigo]],Plan_cuentas[],4,FALSE)," ")</f>
        <v xml:space="preserve"> </v>
      </c>
      <c r="H3157" t="str">
        <f>IFERROR(+VLOOKUP(Movimientos_2026[[#This Row],[Codigo]],Plan_cuentas[],5,FALSE)," ")</f>
        <v xml:space="preserve"> </v>
      </c>
      <c r="I3157" s="43"/>
      <c r="K3157" t="str">
        <f>IFERROR(+VLOOKUP(Movimientos_2026[[#This Row],[Codigo]],Plan_cuentas[],6,FALSE)," ")</f>
        <v xml:space="preserve"> </v>
      </c>
      <c r="L3157" s="50"/>
      <c r="M3157" s="50"/>
      <c r="N3157" s="20">
        <f>+Movimientos_2026[[#This Row],[Ingresos]]-Movimientos_2026[[#This Row],[Egresos]]</f>
        <v>0</v>
      </c>
      <c r="O3157" s="20">
        <f>+O3156+Movimientos_2026[[#This Row],[Neto]]</f>
        <v>4581558617.7962294</v>
      </c>
    </row>
    <row r="3158" spans="1:15" x14ac:dyDescent="0.25">
      <c r="A3158" s="13"/>
      <c r="B3158" s="12">
        <f>MONTH(Movimientos_2026[[#This Row],[Fecha]])</f>
        <v>1</v>
      </c>
      <c r="C3158" s="12" t="str">
        <f>VLOOKUP((WEEKDAY(Movimientos_2026[[#This Row],[Fecha]],2)),'5. Setup'!$D$6:$E$12,2,FALSE)</f>
        <v>Sab</v>
      </c>
      <c r="E3158" t="str">
        <f>IFERROR(+VLOOKUP(Movimientos_2026[[#This Row],[Codigo]],Plan_cuentas[],2,FALSE)," ")</f>
        <v xml:space="preserve"> </v>
      </c>
      <c r="F3158" t="str">
        <f>IFERROR(+VLOOKUP(Movimientos_2026[[#This Row],[Codigo]],Plan_cuentas[],3,FALSE)," ")</f>
        <v xml:space="preserve"> </v>
      </c>
      <c r="G3158" t="str">
        <f>IFERROR(+VLOOKUP(Movimientos_2026[[#This Row],[Codigo]],Plan_cuentas[],4,FALSE)," ")</f>
        <v xml:space="preserve"> </v>
      </c>
      <c r="H3158" t="str">
        <f>IFERROR(+VLOOKUP(Movimientos_2026[[#This Row],[Codigo]],Plan_cuentas[],5,FALSE)," ")</f>
        <v xml:space="preserve"> </v>
      </c>
      <c r="I3158" s="43"/>
      <c r="K3158" t="str">
        <f>IFERROR(+VLOOKUP(Movimientos_2026[[#This Row],[Codigo]],Plan_cuentas[],6,FALSE)," ")</f>
        <v xml:space="preserve"> </v>
      </c>
      <c r="L3158" s="50"/>
      <c r="M3158" s="50"/>
      <c r="N3158" s="20">
        <f>+Movimientos_2026[[#This Row],[Ingresos]]-Movimientos_2026[[#This Row],[Egresos]]</f>
        <v>0</v>
      </c>
      <c r="O3158" s="20">
        <f>+O3157+Movimientos_2026[[#This Row],[Neto]]</f>
        <v>4581558617.7962294</v>
      </c>
    </row>
    <row r="3159" spans="1:15" x14ac:dyDescent="0.25">
      <c r="A3159" s="13"/>
      <c r="B3159" s="12">
        <f>MONTH(Movimientos_2026[[#This Row],[Fecha]])</f>
        <v>1</v>
      </c>
      <c r="C3159" s="12" t="str">
        <f>VLOOKUP((WEEKDAY(Movimientos_2026[[#This Row],[Fecha]],2)),'5. Setup'!$D$6:$E$12,2,FALSE)</f>
        <v>Sab</v>
      </c>
      <c r="E3159" t="str">
        <f>IFERROR(+VLOOKUP(Movimientos_2026[[#This Row],[Codigo]],Plan_cuentas[],2,FALSE)," ")</f>
        <v xml:space="preserve"> </v>
      </c>
      <c r="F3159" t="str">
        <f>IFERROR(+VLOOKUP(Movimientos_2026[[#This Row],[Codigo]],Plan_cuentas[],3,FALSE)," ")</f>
        <v xml:space="preserve"> </v>
      </c>
      <c r="G3159" t="str">
        <f>IFERROR(+VLOOKUP(Movimientos_2026[[#This Row],[Codigo]],Plan_cuentas[],4,FALSE)," ")</f>
        <v xml:space="preserve"> </v>
      </c>
      <c r="H3159" t="str">
        <f>IFERROR(+VLOOKUP(Movimientos_2026[[#This Row],[Codigo]],Plan_cuentas[],5,FALSE)," ")</f>
        <v xml:space="preserve"> </v>
      </c>
      <c r="I3159" s="43"/>
      <c r="K3159" t="str">
        <f>IFERROR(+VLOOKUP(Movimientos_2026[[#This Row],[Codigo]],Plan_cuentas[],6,FALSE)," ")</f>
        <v xml:space="preserve"> </v>
      </c>
      <c r="L3159" s="50"/>
      <c r="M3159" s="50"/>
      <c r="N3159" s="20">
        <f>+Movimientos_2026[[#This Row],[Ingresos]]-Movimientos_2026[[#This Row],[Egresos]]</f>
        <v>0</v>
      </c>
      <c r="O3159" s="20">
        <f>+O3158+Movimientos_2026[[#This Row],[Neto]]</f>
        <v>4581558617.7962294</v>
      </c>
    </row>
    <row r="3160" spans="1:15" x14ac:dyDescent="0.25">
      <c r="A3160" s="13"/>
      <c r="B3160" s="12">
        <f>MONTH(Movimientos_2026[[#This Row],[Fecha]])</f>
        <v>1</v>
      </c>
      <c r="C3160" s="12" t="str">
        <f>VLOOKUP((WEEKDAY(Movimientos_2026[[#This Row],[Fecha]],2)),'5. Setup'!$D$6:$E$12,2,FALSE)</f>
        <v>Sab</v>
      </c>
      <c r="E3160" t="str">
        <f>IFERROR(+VLOOKUP(Movimientos_2026[[#This Row],[Codigo]],Plan_cuentas[],2,FALSE)," ")</f>
        <v xml:space="preserve"> </v>
      </c>
      <c r="F3160" t="str">
        <f>IFERROR(+VLOOKUP(Movimientos_2026[[#This Row],[Codigo]],Plan_cuentas[],3,FALSE)," ")</f>
        <v xml:space="preserve"> </v>
      </c>
      <c r="G3160" t="str">
        <f>IFERROR(+VLOOKUP(Movimientos_2026[[#This Row],[Codigo]],Plan_cuentas[],4,FALSE)," ")</f>
        <v xml:space="preserve"> </v>
      </c>
      <c r="H3160" t="str">
        <f>IFERROR(+VLOOKUP(Movimientos_2026[[#This Row],[Codigo]],Plan_cuentas[],5,FALSE)," ")</f>
        <v xml:space="preserve"> </v>
      </c>
      <c r="I3160" s="43"/>
      <c r="K3160" t="str">
        <f>IFERROR(+VLOOKUP(Movimientos_2026[[#This Row],[Codigo]],Plan_cuentas[],6,FALSE)," ")</f>
        <v xml:space="preserve"> </v>
      </c>
      <c r="L3160" s="50"/>
      <c r="M3160" s="50"/>
      <c r="N3160" s="20">
        <f>+Movimientos_2026[[#This Row],[Ingresos]]-Movimientos_2026[[#This Row],[Egresos]]</f>
        <v>0</v>
      </c>
      <c r="O3160" s="20">
        <f>+O3159+Movimientos_2026[[#This Row],[Neto]]</f>
        <v>4581558617.7962294</v>
      </c>
    </row>
    <row r="3161" spans="1:15" x14ac:dyDescent="0.25">
      <c r="A3161" s="13"/>
      <c r="B3161" s="12">
        <f>MONTH(Movimientos_2026[[#This Row],[Fecha]])</f>
        <v>1</v>
      </c>
      <c r="C3161" s="12" t="str">
        <f>VLOOKUP((WEEKDAY(Movimientos_2026[[#This Row],[Fecha]],2)),'5. Setup'!$D$6:$E$12,2,FALSE)</f>
        <v>Sab</v>
      </c>
      <c r="E3161" t="str">
        <f>IFERROR(+VLOOKUP(Movimientos_2026[[#This Row],[Codigo]],Plan_cuentas[],2,FALSE)," ")</f>
        <v xml:space="preserve"> </v>
      </c>
      <c r="F3161" t="str">
        <f>IFERROR(+VLOOKUP(Movimientos_2026[[#This Row],[Codigo]],Plan_cuentas[],3,FALSE)," ")</f>
        <v xml:space="preserve"> </v>
      </c>
      <c r="G3161" t="str">
        <f>IFERROR(+VLOOKUP(Movimientos_2026[[#This Row],[Codigo]],Plan_cuentas[],4,FALSE)," ")</f>
        <v xml:space="preserve"> </v>
      </c>
      <c r="H3161" t="str">
        <f>IFERROR(+VLOOKUP(Movimientos_2026[[#This Row],[Codigo]],Plan_cuentas[],5,FALSE)," ")</f>
        <v xml:space="preserve"> </v>
      </c>
      <c r="I3161" s="43"/>
      <c r="K3161" t="str">
        <f>IFERROR(+VLOOKUP(Movimientos_2026[[#This Row],[Codigo]],Plan_cuentas[],6,FALSE)," ")</f>
        <v xml:space="preserve"> </v>
      </c>
      <c r="L3161" s="50"/>
      <c r="M3161" s="50"/>
      <c r="N3161" s="20">
        <f>+Movimientos_2026[[#This Row],[Ingresos]]-Movimientos_2026[[#This Row],[Egresos]]</f>
        <v>0</v>
      </c>
      <c r="O3161" s="20">
        <f>+O3160+Movimientos_2026[[#This Row],[Neto]]</f>
        <v>4581558617.7962294</v>
      </c>
    </row>
    <row r="3162" spans="1:15" x14ac:dyDescent="0.25">
      <c r="A3162" s="13"/>
      <c r="B3162" s="12">
        <f>MONTH(Movimientos_2026[[#This Row],[Fecha]])</f>
        <v>1</v>
      </c>
      <c r="C3162" s="12" t="str">
        <f>VLOOKUP((WEEKDAY(Movimientos_2026[[#This Row],[Fecha]],2)),'5. Setup'!$D$6:$E$12,2,FALSE)</f>
        <v>Sab</v>
      </c>
      <c r="E3162" t="str">
        <f>IFERROR(+VLOOKUP(Movimientos_2026[[#This Row],[Codigo]],Plan_cuentas[],2,FALSE)," ")</f>
        <v xml:space="preserve"> </v>
      </c>
      <c r="F3162" t="str">
        <f>IFERROR(+VLOOKUP(Movimientos_2026[[#This Row],[Codigo]],Plan_cuentas[],3,FALSE)," ")</f>
        <v xml:space="preserve"> </v>
      </c>
      <c r="G3162" t="str">
        <f>IFERROR(+VLOOKUP(Movimientos_2026[[#This Row],[Codigo]],Plan_cuentas[],4,FALSE)," ")</f>
        <v xml:space="preserve"> </v>
      </c>
      <c r="H3162" t="str">
        <f>IFERROR(+VLOOKUP(Movimientos_2026[[#This Row],[Codigo]],Plan_cuentas[],5,FALSE)," ")</f>
        <v xml:space="preserve"> </v>
      </c>
      <c r="I3162" s="43"/>
      <c r="K3162" t="str">
        <f>IFERROR(+VLOOKUP(Movimientos_2026[[#This Row],[Codigo]],Plan_cuentas[],6,FALSE)," ")</f>
        <v xml:space="preserve"> </v>
      </c>
      <c r="L3162" s="50"/>
      <c r="M3162" s="50"/>
      <c r="N3162" s="20">
        <f>+Movimientos_2026[[#This Row],[Ingresos]]-Movimientos_2026[[#This Row],[Egresos]]</f>
        <v>0</v>
      </c>
      <c r="O3162" s="20">
        <f>+O3161+Movimientos_2026[[#This Row],[Neto]]</f>
        <v>4581558617.7962294</v>
      </c>
    </row>
    <row r="3163" spans="1:15" x14ac:dyDescent="0.25">
      <c r="A3163" s="13"/>
      <c r="B3163" s="12">
        <f>MONTH(Movimientos_2026[[#This Row],[Fecha]])</f>
        <v>1</v>
      </c>
      <c r="C3163" s="12" t="str">
        <f>VLOOKUP((WEEKDAY(Movimientos_2026[[#This Row],[Fecha]],2)),'5. Setup'!$D$6:$E$12,2,FALSE)</f>
        <v>Sab</v>
      </c>
      <c r="E3163" t="str">
        <f>IFERROR(+VLOOKUP(Movimientos_2026[[#This Row],[Codigo]],Plan_cuentas[],2,FALSE)," ")</f>
        <v xml:space="preserve"> </v>
      </c>
      <c r="F3163" t="str">
        <f>IFERROR(+VLOOKUP(Movimientos_2026[[#This Row],[Codigo]],Plan_cuentas[],3,FALSE)," ")</f>
        <v xml:space="preserve"> </v>
      </c>
      <c r="G3163" t="str">
        <f>IFERROR(+VLOOKUP(Movimientos_2026[[#This Row],[Codigo]],Plan_cuentas[],4,FALSE)," ")</f>
        <v xml:space="preserve"> </v>
      </c>
      <c r="H3163" t="str">
        <f>IFERROR(+VLOOKUP(Movimientos_2026[[#This Row],[Codigo]],Plan_cuentas[],5,FALSE)," ")</f>
        <v xml:space="preserve"> </v>
      </c>
      <c r="I3163" s="43"/>
      <c r="K3163" t="str">
        <f>IFERROR(+VLOOKUP(Movimientos_2026[[#This Row],[Codigo]],Plan_cuentas[],6,FALSE)," ")</f>
        <v xml:space="preserve"> </v>
      </c>
      <c r="L3163" s="50"/>
      <c r="M3163" s="50"/>
      <c r="N3163" s="20">
        <f>+Movimientos_2026[[#This Row],[Ingresos]]-Movimientos_2026[[#This Row],[Egresos]]</f>
        <v>0</v>
      </c>
      <c r="O3163" s="20">
        <f>+O3162+Movimientos_2026[[#This Row],[Neto]]</f>
        <v>4581558617.7962294</v>
      </c>
    </row>
    <row r="3164" spans="1:15" x14ac:dyDescent="0.25">
      <c r="A3164" s="13"/>
      <c r="B3164" s="12">
        <f>MONTH(Movimientos_2026[[#This Row],[Fecha]])</f>
        <v>1</v>
      </c>
      <c r="C3164" s="12" t="str">
        <f>VLOOKUP((WEEKDAY(Movimientos_2026[[#This Row],[Fecha]],2)),'5. Setup'!$D$6:$E$12,2,FALSE)</f>
        <v>Sab</v>
      </c>
      <c r="E3164" t="str">
        <f>IFERROR(+VLOOKUP(Movimientos_2026[[#This Row],[Codigo]],Plan_cuentas[],2,FALSE)," ")</f>
        <v xml:space="preserve"> </v>
      </c>
      <c r="F3164" t="str">
        <f>IFERROR(+VLOOKUP(Movimientos_2026[[#This Row],[Codigo]],Plan_cuentas[],3,FALSE)," ")</f>
        <v xml:space="preserve"> </v>
      </c>
      <c r="G3164" t="str">
        <f>IFERROR(+VLOOKUP(Movimientos_2026[[#This Row],[Codigo]],Plan_cuentas[],4,FALSE)," ")</f>
        <v xml:space="preserve"> </v>
      </c>
      <c r="H3164" t="str">
        <f>IFERROR(+VLOOKUP(Movimientos_2026[[#This Row],[Codigo]],Plan_cuentas[],5,FALSE)," ")</f>
        <v xml:space="preserve"> </v>
      </c>
      <c r="I3164" s="43"/>
      <c r="K3164" t="str">
        <f>IFERROR(+VLOOKUP(Movimientos_2026[[#This Row],[Codigo]],Plan_cuentas[],6,FALSE)," ")</f>
        <v xml:space="preserve"> </v>
      </c>
      <c r="L3164" s="50"/>
      <c r="M3164" s="50"/>
      <c r="N3164" s="20">
        <f>+Movimientos_2026[[#This Row],[Ingresos]]-Movimientos_2026[[#This Row],[Egresos]]</f>
        <v>0</v>
      </c>
      <c r="O3164" s="20">
        <f>+O3163+Movimientos_2026[[#This Row],[Neto]]</f>
        <v>4581558617.7962294</v>
      </c>
    </row>
    <row r="3165" spans="1:15" x14ac:dyDescent="0.25">
      <c r="A3165" s="13"/>
      <c r="B3165" s="12">
        <f>MONTH(Movimientos_2026[[#This Row],[Fecha]])</f>
        <v>1</v>
      </c>
      <c r="C3165" s="12" t="str">
        <f>VLOOKUP((WEEKDAY(Movimientos_2026[[#This Row],[Fecha]],2)),'5. Setup'!$D$6:$E$12,2,FALSE)</f>
        <v>Sab</v>
      </c>
      <c r="E3165" t="str">
        <f>IFERROR(+VLOOKUP(Movimientos_2026[[#This Row],[Codigo]],Plan_cuentas[],2,FALSE)," ")</f>
        <v xml:space="preserve"> </v>
      </c>
      <c r="F3165" t="str">
        <f>IFERROR(+VLOOKUP(Movimientos_2026[[#This Row],[Codigo]],Plan_cuentas[],3,FALSE)," ")</f>
        <v xml:space="preserve"> </v>
      </c>
      <c r="G3165" t="str">
        <f>IFERROR(+VLOOKUP(Movimientos_2026[[#This Row],[Codigo]],Plan_cuentas[],4,FALSE)," ")</f>
        <v xml:space="preserve"> </v>
      </c>
      <c r="H3165" t="str">
        <f>IFERROR(+VLOOKUP(Movimientos_2026[[#This Row],[Codigo]],Plan_cuentas[],5,FALSE)," ")</f>
        <v xml:space="preserve"> </v>
      </c>
      <c r="I3165" s="43"/>
      <c r="K3165" t="str">
        <f>IFERROR(+VLOOKUP(Movimientos_2026[[#This Row],[Codigo]],Plan_cuentas[],6,FALSE)," ")</f>
        <v xml:space="preserve"> </v>
      </c>
      <c r="L3165" s="50"/>
      <c r="M3165" s="50"/>
      <c r="N3165" s="20">
        <f>+Movimientos_2026[[#This Row],[Ingresos]]-Movimientos_2026[[#This Row],[Egresos]]</f>
        <v>0</v>
      </c>
      <c r="O3165" s="20">
        <f>+O3164+Movimientos_2026[[#This Row],[Neto]]</f>
        <v>4581558617.7962294</v>
      </c>
    </row>
    <row r="3166" spans="1:15" x14ac:dyDescent="0.25">
      <c r="A3166" s="13"/>
      <c r="B3166" s="12">
        <f>MONTH(Movimientos_2026[[#This Row],[Fecha]])</f>
        <v>1</v>
      </c>
      <c r="C3166" s="12" t="str">
        <f>VLOOKUP((WEEKDAY(Movimientos_2026[[#This Row],[Fecha]],2)),'5. Setup'!$D$6:$E$12,2,FALSE)</f>
        <v>Sab</v>
      </c>
      <c r="E3166" t="str">
        <f>IFERROR(+VLOOKUP(Movimientos_2026[[#This Row],[Codigo]],Plan_cuentas[],2,FALSE)," ")</f>
        <v xml:space="preserve"> </v>
      </c>
      <c r="F3166" t="str">
        <f>IFERROR(+VLOOKUP(Movimientos_2026[[#This Row],[Codigo]],Plan_cuentas[],3,FALSE)," ")</f>
        <v xml:space="preserve"> </v>
      </c>
      <c r="G3166" t="str">
        <f>IFERROR(+VLOOKUP(Movimientos_2026[[#This Row],[Codigo]],Plan_cuentas[],4,FALSE)," ")</f>
        <v xml:space="preserve"> </v>
      </c>
      <c r="H3166" t="str">
        <f>IFERROR(+VLOOKUP(Movimientos_2026[[#This Row],[Codigo]],Plan_cuentas[],5,FALSE)," ")</f>
        <v xml:space="preserve"> </v>
      </c>
      <c r="I3166" s="43"/>
      <c r="K3166" t="str">
        <f>IFERROR(+VLOOKUP(Movimientos_2026[[#This Row],[Codigo]],Plan_cuentas[],6,FALSE)," ")</f>
        <v xml:space="preserve"> </v>
      </c>
      <c r="L3166" s="50"/>
      <c r="M3166" s="50"/>
      <c r="N3166" s="20">
        <f>+Movimientos_2026[[#This Row],[Ingresos]]-Movimientos_2026[[#This Row],[Egresos]]</f>
        <v>0</v>
      </c>
      <c r="O3166" s="20">
        <f>+O3165+Movimientos_2026[[#This Row],[Neto]]</f>
        <v>4581558617.7962294</v>
      </c>
    </row>
    <row r="3167" spans="1:15" x14ac:dyDescent="0.25">
      <c r="A3167" s="13"/>
      <c r="B3167" s="12">
        <f>MONTH(Movimientos_2026[[#This Row],[Fecha]])</f>
        <v>1</v>
      </c>
      <c r="C3167" s="12" t="str">
        <f>VLOOKUP((WEEKDAY(Movimientos_2026[[#This Row],[Fecha]],2)),'5. Setup'!$D$6:$E$12,2,FALSE)</f>
        <v>Sab</v>
      </c>
      <c r="E3167" t="str">
        <f>IFERROR(+VLOOKUP(Movimientos_2026[[#This Row],[Codigo]],Plan_cuentas[],2,FALSE)," ")</f>
        <v xml:space="preserve"> </v>
      </c>
      <c r="F3167" t="str">
        <f>IFERROR(+VLOOKUP(Movimientos_2026[[#This Row],[Codigo]],Plan_cuentas[],3,FALSE)," ")</f>
        <v xml:space="preserve"> </v>
      </c>
      <c r="G3167" t="str">
        <f>IFERROR(+VLOOKUP(Movimientos_2026[[#This Row],[Codigo]],Plan_cuentas[],4,FALSE)," ")</f>
        <v xml:space="preserve"> </v>
      </c>
      <c r="H3167" t="str">
        <f>IFERROR(+VLOOKUP(Movimientos_2026[[#This Row],[Codigo]],Plan_cuentas[],5,FALSE)," ")</f>
        <v xml:space="preserve"> </v>
      </c>
      <c r="I3167" s="43"/>
      <c r="K3167" t="str">
        <f>IFERROR(+VLOOKUP(Movimientos_2026[[#This Row],[Codigo]],Plan_cuentas[],6,FALSE)," ")</f>
        <v xml:space="preserve"> </v>
      </c>
      <c r="L3167" s="50"/>
      <c r="M3167" s="50"/>
      <c r="N3167" s="20">
        <f>+Movimientos_2026[[#This Row],[Ingresos]]-Movimientos_2026[[#This Row],[Egresos]]</f>
        <v>0</v>
      </c>
      <c r="O3167" s="20">
        <f>+O3166+Movimientos_2026[[#This Row],[Neto]]</f>
        <v>4581558617.7962294</v>
      </c>
    </row>
    <row r="3168" spans="1:15" x14ac:dyDescent="0.25">
      <c r="A3168" s="13"/>
      <c r="B3168" s="12">
        <f>MONTH(Movimientos_2026[[#This Row],[Fecha]])</f>
        <v>1</v>
      </c>
      <c r="C3168" s="12" t="str">
        <f>VLOOKUP((WEEKDAY(Movimientos_2026[[#This Row],[Fecha]],2)),'5. Setup'!$D$6:$E$12,2,FALSE)</f>
        <v>Sab</v>
      </c>
      <c r="E3168" t="str">
        <f>IFERROR(+VLOOKUP(Movimientos_2026[[#This Row],[Codigo]],Plan_cuentas[],2,FALSE)," ")</f>
        <v xml:space="preserve"> </v>
      </c>
      <c r="F3168" t="str">
        <f>IFERROR(+VLOOKUP(Movimientos_2026[[#This Row],[Codigo]],Plan_cuentas[],3,FALSE)," ")</f>
        <v xml:space="preserve"> </v>
      </c>
      <c r="G3168" t="str">
        <f>IFERROR(+VLOOKUP(Movimientos_2026[[#This Row],[Codigo]],Plan_cuentas[],4,FALSE)," ")</f>
        <v xml:space="preserve"> </v>
      </c>
      <c r="H3168" t="str">
        <f>IFERROR(+VLOOKUP(Movimientos_2026[[#This Row],[Codigo]],Plan_cuentas[],5,FALSE)," ")</f>
        <v xml:space="preserve"> </v>
      </c>
      <c r="I3168" s="43"/>
      <c r="K3168" t="str">
        <f>IFERROR(+VLOOKUP(Movimientos_2026[[#This Row],[Codigo]],Plan_cuentas[],6,FALSE)," ")</f>
        <v xml:space="preserve"> </v>
      </c>
      <c r="L3168" s="50"/>
      <c r="M3168" s="50"/>
      <c r="N3168" s="20">
        <f>+Movimientos_2026[[#This Row],[Ingresos]]-Movimientos_2026[[#This Row],[Egresos]]</f>
        <v>0</v>
      </c>
      <c r="O3168" s="20">
        <f>+O3167+Movimientos_2026[[#This Row],[Neto]]</f>
        <v>4581558617.7962294</v>
      </c>
    </row>
    <row r="3169" spans="1:15" x14ac:dyDescent="0.25">
      <c r="A3169" s="13"/>
      <c r="B3169" s="12">
        <f>MONTH(Movimientos_2026[[#This Row],[Fecha]])</f>
        <v>1</v>
      </c>
      <c r="C3169" s="12" t="str">
        <f>VLOOKUP((WEEKDAY(Movimientos_2026[[#This Row],[Fecha]],2)),'5. Setup'!$D$6:$E$12,2,FALSE)</f>
        <v>Sab</v>
      </c>
      <c r="E3169" s="54" t="str">
        <f>IFERROR(+VLOOKUP(Movimientos_2026[[#This Row],[Codigo]],Plan_cuentas[],2,FALSE)," ")</f>
        <v xml:space="preserve"> </v>
      </c>
      <c r="F3169" t="str">
        <f>IFERROR(+VLOOKUP(Movimientos_2026[[#This Row],[Codigo]],Plan_cuentas[],3,FALSE)," ")</f>
        <v xml:space="preserve"> </v>
      </c>
      <c r="G3169" t="str">
        <f>IFERROR(+VLOOKUP(Movimientos_2026[[#This Row],[Codigo]],Plan_cuentas[],4,FALSE)," ")</f>
        <v xml:space="preserve"> </v>
      </c>
      <c r="H3169" t="str">
        <f>IFERROR(+VLOOKUP(Movimientos_2026[[#This Row],[Codigo]],Plan_cuentas[],5,FALSE)," ")</f>
        <v xml:space="preserve"> </v>
      </c>
      <c r="I3169" s="43"/>
      <c r="K3169" t="str">
        <f>IFERROR(+VLOOKUP(Movimientos_2026[[#This Row],[Codigo]],Plan_cuentas[],6,FALSE)," ")</f>
        <v xml:space="preserve"> </v>
      </c>
      <c r="L3169" s="50"/>
      <c r="M3169" s="50"/>
      <c r="N3169" s="20">
        <f>+Movimientos_2026[[#This Row],[Ingresos]]-Movimientos_2026[[#This Row],[Egresos]]</f>
        <v>0</v>
      </c>
      <c r="O3169" s="20">
        <f>+O3168+Movimientos_2026[[#This Row],[Neto]]</f>
        <v>4581558617.7962294</v>
      </c>
    </row>
    <row r="3170" spans="1:15" x14ac:dyDescent="0.25">
      <c r="A3170" s="13"/>
      <c r="B3170" s="12">
        <f>MONTH(Movimientos_2026[[#This Row],[Fecha]])</f>
        <v>1</v>
      </c>
      <c r="C3170" s="12" t="str">
        <f>VLOOKUP((WEEKDAY(Movimientos_2026[[#This Row],[Fecha]],2)),'5. Setup'!$D$6:$E$12,2,FALSE)</f>
        <v>Sab</v>
      </c>
      <c r="E3170" t="str">
        <f>IFERROR(+VLOOKUP(Movimientos_2026[[#This Row],[Codigo]],Plan_cuentas[],2,FALSE)," ")</f>
        <v xml:space="preserve"> </v>
      </c>
      <c r="F3170" t="str">
        <f>IFERROR(+VLOOKUP(Movimientos_2026[[#This Row],[Codigo]],Plan_cuentas[],3,FALSE)," ")</f>
        <v xml:space="preserve"> </v>
      </c>
      <c r="G3170" t="str">
        <f>IFERROR(+VLOOKUP(Movimientos_2026[[#This Row],[Codigo]],Plan_cuentas[],4,FALSE)," ")</f>
        <v xml:space="preserve"> </v>
      </c>
      <c r="H3170" t="str">
        <f>IFERROR(+VLOOKUP(Movimientos_2026[[#This Row],[Codigo]],Plan_cuentas[],5,FALSE)," ")</f>
        <v xml:space="preserve"> </v>
      </c>
      <c r="I3170" s="43"/>
      <c r="K3170" t="str">
        <f>IFERROR(+VLOOKUP(Movimientos_2026[[#This Row],[Codigo]],Plan_cuentas[],6,FALSE)," ")</f>
        <v xml:space="preserve"> </v>
      </c>
      <c r="L3170" s="50"/>
      <c r="M3170" s="50"/>
      <c r="N3170" s="20">
        <f>+Movimientos_2026[[#This Row],[Ingresos]]-Movimientos_2026[[#This Row],[Egresos]]</f>
        <v>0</v>
      </c>
      <c r="O3170" s="20">
        <f>+O3169+Movimientos_2026[[#This Row],[Neto]]</f>
        <v>4581558617.7962294</v>
      </c>
    </row>
    <row r="3171" spans="1:15" x14ac:dyDescent="0.25">
      <c r="A3171" s="13"/>
      <c r="B3171" s="12">
        <f>MONTH(Movimientos_2026[[#This Row],[Fecha]])</f>
        <v>1</v>
      </c>
      <c r="C3171" s="12" t="str">
        <f>VLOOKUP((WEEKDAY(Movimientos_2026[[#This Row],[Fecha]],2)),'5. Setup'!$D$6:$E$12,2,FALSE)</f>
        <v>Sab</v>
      </c>
      <c r="E3171" t="str">
        <f>IFERROR(+VLOOKUP(Movimientos_2026[[#This Row],[Codigo]],Plan_cuentas[],2,FALSE)," ")</f>
        <v xml:space="preserve"> </v>
      </c>
      <c r="F3171" t="str">
        <f>IFERROR(+VLOOKUP(Movimientos_2026[[#This Row],[Codigo]],Plan_cuentas[],3,FALSE)," ")</f>
        <v xml:space="preserve"> </v>
      </c>
      <c r="G3171" t="str">
        <f>IFERROR(+VLOOKUP(Movimientos_2026[[#This Row],[Codigo]],Plan_cuentas[],4,FALSE)," ")</f>
        <v xml:space="preserve"> </v>
      </c>
      <c r="H3171" t="str">
        <f>IFERROR(+VLOOKUP(Movimientos_2026[[#This Row],[Codigo]],Plan_cuentas[],5,FALSE)," ")</f>
        <v xml:space="preserve"> </v>
      </c>
      <c r="I3171" s="43"/>
      <c r="K3171" t="str">
        <f>IFERROR(+VLOOKUP(Movimientos_2026[[#This Row],[Codigo]],Plan_cuentas[],6,FALSE)," ")</f>
        <v xml:space="preserve"> </v>
      </c>
      <c r="L3171" s="50"/>
      <c r="M3171" s="50"/>
      <c r="N3171" s="20">
        <f>+Movimientos_2026[[#This Row],[Ingresos]]-Movimientos_2026[[#This Row],[Egresos]]</f>
        <v>0</v>
      </c>
      <c r="O3171" s="20">
        <f>+O3170+Movimientos_2026[[#This Row],[Neto]]</f>
        <v>4581558617.7962294</v>
      </c>
    </row>
    <row r="3172" spans="1:15" x14ac:dyDescent="0.25">
      <c r="A3172" s="13"/>
      <c r="B3172" s="12">
        <f>MONTH(Movimientos_2026[[#This Row],[Fecha]])</f>
        <v>1</v>
      </c>
      <c r="C3172" s="12" t="str">
        <f>VLOOKUP((WEEKDAY(Movimientos_2026[[#This Row],[Fecha]],2)),'5. Setup'!$D$6:$E$12,2,FALSE)</f>
        <v>Sab</v>
      </c>
      <c r="E3172" t="str">
        <f>IFERROR(+VLOOKUP(Movimientos_2026[[#This Row],[Codigo]],Plan_cuentas[],2,FALSE)," ")</f>
        <v xml:space="preserve"> </v>
      </c>
      <c r="F3172" t="str">
        <f>IFERROR(+VLOOKUP(Movimientos_2026[[#This Row],[Codigo]],Plan_cuentas[],3,FALSE)," ")</f>
        <v xml:space="preserve"> </v>
      </c>
      <c r="G3172" t="str">
        <f>IFERROR(+VLOOKUP(Movimientos_2026[[#This Row],[Codigo]],Plan_cuentas[],4,FALSE)," ")</f>
        <v xml:space="preserve"> </v>
      </c>
      <c r="H3172" t="str">
        <f>IFERROR(+VLOOKUP(Movimientos_2026[[#This Row],[Codigo]],Plan_cuentas[],5,FALSE)," ")</f>
        <v xml:space="preserve"> </v>
      </c>
      <c r="I3172" s="43"/>
      <c r="K3172" t="str">
        <f>IFERROR(+VLOOKUP(Movimientos_2026[[#This Row],[Codigo]],Plan_cuentas[],6,FALSE)," ")</f>
        <v xml:space="preserve"> </v>
      </c>
      <c r="L3172" s="50"/>
      <c r="M3172" s="50"/>
      <c r="N3172" s="20">
        <f>+Movimientos_2026[[#This Row],[Ingresos]]-Movimientos_2026[[#This Row],[Egresos]]</f>
        <v>0</v>
      </c>
      <c r="O3172" s="20">
        <f>+O3171+Movimientos_2026[[#This Row],[Neto]]</f>
        <v>4581558617.7962294</v>
      </c>
    </row>
    <row r="3173" spans="1:15" x14ac:dyDescent="0.25">
      <c r="A3173" s="13"/>
      <c r="B3173" s="12">
        <f>MONTH(Movimientos_2026[[#This Row],[Fecha]])</f>
        <v>1</v>
      </c>
      <c r="C3173" s="12" t="str">
        <f>VLOOKUP((WEEKDAY(Movimientos_2026[[#This Row],[Fecha]],2)),'5. Setup'!$D$6:$E$12,2,FALSE)</f>
        <v>Sab</v>
      </c>
      <c r="E3173" t="str">
        <f>IFERROR(+VLOOKUP(Movimientos_2026[[#This Row],[Codigo]],Plan_cuentas[],2,FALSE)," ")</f>
        <v xml:space="preserve"> </v>
      </c>
      <c r="F3173" t="str">
        <f>IFERROR(+VLOOKUP(Movimientos_2026[[#This Row],[Codigo]],Plan_cuentas[],3,FALSE)," ")</f>
        <v xml:space="preserve"> </v>
      </c>
      <c r="G3173" t="str">
        <f>IFERROR(+VLOOKUP(Movimientos_2026[[#This Row],[Codigo]],Plan_cuentas[],4,FALSE)," ")</f>
        <v xml:space="preserve"> </v>
      </c>
      <c r="H3173" t="str">
        <f>IFERROR(+VLOOKUP(Movimientos_2026[[#This Row],[Codigo]],Plan_cuentas[],5,FALSE)," ")</f>
        <v xml:space="preserve"> </v>
      </c>
      <c r="I3173" s="43"/>
      <c r="K3173" t="str">
        <f>IFERROR(+VLOOKUP(Movimientos_2026[[#This Row],[Codigo]],Plan_cuentas[],6,FALSE)," ")</f>
        <v xml:space="preserve"> </v>
      </c>
      <c r="L3173" s="50"/>
      <c r="M3173" s="50"/>
      <c r="N3173" s="20">
        <f>+Movimientos_2026[[#This Row],[Ingresos]]-Movimientos_2026[[#This Row],[Egresos]]</f>
        <v>0</v>
      </c>
      <c r="O3173" s="20">
        <f>+O3172+Movimientos_2026[[#This Row],[Neto]]</f>
        <v>4581558617.7962294</v>
      </c>
    </row>
    <row r="3174" spans="1:15" x14ac:dyDescent="0.25">
      <c r="A3174" s="13"/>
      <c r="B3174" s="12">
        <f>MONTH(Movimientos_2026[[#This Row],[Fecha]])</f>
        <v>1</v>
      </c>
      <c r="C3174" s="12" t="str">
        <f>VLOOKUP((WEEKDAY(Movimientos_2026[[#This Row],[Fecha]],2)),'5. Setup'!$D$6:$E$12,2,FALSE)</f>
        <v>Sab</v>
      </c>
      <c r="E3174" t="str">
        <f>IFERROR(+VLOOKUP(Movimientos_2026[[#This Row],[Codigo]],Plan_cuentas[],2,FALSE)," ")</f>
        <v xml:space="preserve"> </v>
      </c>
      <c r="F3174" t="str">
        <f>IFERROR(+VLOOKUP(Movimientos_2026[[#This Row],[Codigo]],Plan_cuentas[],3,FALSE)," ")</f>
        <v xml:space="preserve"> </v>
      </c>
      <c r="G3174" t="str">
        <f>IFERROR(+VLOOKUP(Movimientos_2026[[#This Row],[Codigo]],Plan_cuentas[],4,FALSE)," ")</f>
        <v xml:space="preserve"> </v>
      </c>
      <c r="H3174" t="str">
        <f>IFERROR(+VLOOKUP(Movimientos_2026[[#This Row],[Codigo]],Plan_cuentas[],5,FALSE)," ")</f>
        <v xml:space="preserve"> </v>
      </c>
      <c r="I3174" s="43"/>
      <c r="K3174" t="str">
        <f>IFERROR(+VLOOKUP(Movimientos_2026[[#This Row],[Codigo]],Plan_cuentas[],6,FALSE)," ")</f>
        <v xml:space="preserve"> </v>
      </c>
      <c r="L3174" s="50"/>
      <c r="M3174" s="50"/>
      <c r="N3174" s="20">
        <f>+Movimientos_2026[[#This Row],[Ingresos]]-Movimientos_2026[[#This Row],[Egresos]]</f>
        <v>0</v>
      </c>
      <c r="O3174" s="20">
        <f>+O3173+Movimientos_2026[[#This Row],[Neto]]</f>
        <v>4581558617.7962294</v>
      </c>
    </row>
    <row r="3175" spans="1:15" x14ac:dyDescent="0.25">
      <c r="A3175" s="13"/>
      <c r="B3175" s="12">
        <f>MONTH(Movimientos_2026[[#This Row],[Fecha]])</f>
        <v>1</v>
      </c>
      <c r="C3175" s="12" t="str">
        <f>VLOOKUP((WEEKDAY(Movimientos_2026[[#This Row],[Fecha]],2)),'5. Setup'!$D$6:$E$12,2,FALSE)</f>
        <v>Sab</v>
      </c>
      <c r="E3175" t="str">
        <f>IFERROR(+VLOOKUP(Movimientos_2026[[#This Row],[Codigo]],Plan_cuentas[],2,FALSE)," ")</f>
        <v xml:space="preserve"> </v>
      </c>
      <c r="F3175" t="str">
        <f>IFERROR(+VLOOKUP(Movimientos_2026[[#This Row],[Codigo]],Plan_cuentas[],3,FALSE)," ")</f>
        <v xml:space="preserve"> </v>
      </c>
      <c r="G3175" t="str">
        <f>IFERROR(+VLOOKUP(Movimientos_2026[[#This Row],[Codigo]],Plan_cuentas[],4,FALSE)," ")</f>
        <v xml:space="preserve"> </v>
      </c>
      <c r="H3175" t="str">
        <f>IFERROR(+VLOOKUP(Movimientos_2026[[#This Row],[Codigo]],Plan_cuentas[],5,FALSE)," ")</f>
        <v xml:space="preserve"> </v>
      </c>
      <c r="I3175" s="43"/>
      <c r="K3175" t="str">
        <f>IFERROR(+VLOOKUP(Movimientos_2026[[#This Row],[Codigo]],Plan_cuentas[],6,FALSE)," ")</f>
        <v xml:space="preserve"> </v>
      </c>
      <c r="L3175" s="50"/>
      <c r="M3175" s="50"/>
      <c r="N3175" s="20">
        <f>+Movimientos_2026[[#This Row],[Ingresos]]-Movimientos_2026[[#This Row],[Egresos]]</f>
        <v>0</v>
      </c>
      <c r="O3175" s="20">
        <f>+O3174+Movimientos_2026[[#This Row],[Neto]]</f>
        <v>4581558617.7962294</v>
      </c>
    </row>
    <row r="3176" spans="1:15" x14ac:dyDescent="0.25">
      <c r="A3176" s="13"/>
      <c r="B3176" s="12">
        <f>MONTH(Movimientos_2026[[#This Row],[Fecha]])</f>
        <v>1</v>
      </c>
      <c r="C3176" s="12" t="str">
        <f>VLOOKUP((WEEKDAY(Movimientos_2026[[#This Row],[Fecha]],2)),'5. Setup'!$D$6:$E$12,2,FALSE)</f>
        <v>Sab</v>
      </c>
      <c r="E3176" t="str">
        <f>IFERROR(+VLOOKUP(Movimientos_2026[[#This Row],[Codigo]],Plan_cuentas[],2,FALSE)," ")</f>
        <v xml:space="preserve"> </v>
      </c>
      <c r="F3176" t="str">
        <f>IFERROR(+VLOOKUP(Movimientos_2026[[#This Row],[Codigo]],Plan_cuentas[],3,FALSE)," ")</f>
        <v xml:space="preserve"> </v>
      </c>
      <c r="G3176" t="str">
        <f>IFERROR(+VLOOKUP(Movimientos_2026[[#This Row],[Codigo]],Plan_cuentas[],4,FALSE)," ")</f>
        <v xml:space="preserve"> </v>
      </c>
      <c r="H3176" t="str">
        <f>IFERROR(+VLOOKUP(Movimientos_2026[[#This Row],[Codigo]],Plan_cuentas[],5,FALSE)," ")</f>
        <v xml:space="preserve"> </v>
      </c>
      <c r="I3176" s="43"/>
      <c r="K3176" t="str">
        <f>IFERROR(+VLOOKUP(Movimientos_2026[[#This Row],[Codigo]],Plan_cuentas[],6,FALSE)," ")</f>
        <v xml:space="preserve"> </v>
      </c>
      <c r="L3176" s="50"/>
      <c r="M3176" s="50"/>
      <c r="N3176" s="20">
        <f>+Movimientos_2026[[#This Row],[Ingresos]]-Movimientos_2026[[#This Row],[Egresos]]</f>
        <v>0</v>
      </c>
      <c r="O3176" s="20">
        <f>+O3175+Movimientos_2026[[#This Row],[Neto]]</f>
        <v>4581558617.7962294</v>
      </c>
    </row>
    <row r="3177" spans="1:15" x14ac:dyDescent="0.25">
      <c r="A3177" s="13"/>
      <c r="B3177" s="12">
        <f>MONTH(Movimientos_2026[[#This Row],[Fecha]])</f>
        <v>1</v>
      </c>
      <c r="C3177" s="12" t="str">
        <f>VLOOKUP((WEEKDAY(Movimientos_2026[[#This Row],[Fecha]],2)),'5. Setup'!$D$6:$E$12,2,FALSE)</f>
        <v>Sab</v>
      </c>
      <c r="E3177" t="str">
        <f>IFERROR(+VLOOKUP(Movimientos_2026[[#This Row],[Codigo]],Plan_cuentas[],2,FALSE)," ")</f>
        <v xml:space="preserve"> </v>
      </c>
      <c r="F3177" t="str">
        <f>IFERROR(+VLOOKUP(Movimientos_2026[[#This Row],[Codigo]],Plan_cuentas[],3,FALSE)," ")</f>
        <v xml:space="preserve"> </v>
      </c>
      <c r="G3177" t="str">
        <f>IFERROR(+VLOOKUP(Movimientos_2026[[#This Row],[Codigo]],Plan_cuentas[],4,FALSE)," ")</f>
        <v xml:space="preserve"> </v>
      </c>
      <c r="H3177" t="str">
        <f>IFERROR(+VLOOKUP(Movimientos_2026[[#This Row],[Codigo]],Plan_cuentas[],5,FALSE)," ")</f>
        <v xml:space="preserve"> </v>
      </c>
      <c r="I3177" s="43"/>
      <c r="K3177" t="str">
        <f>IFERROR(+VLOOKUP(Movimientos_2026[[#This Row],[Codigo]],Plan_cuentas[],6,FALSE)," ")</f>
        <v xml:space="preserve"> </v>
      </c>
      <c r="L3177" s="50"/>
      <c r="M3177" s="50"/>
      <c r="N3177" s="20">
        <f>+Movimientos_2026[[#This Row],[Ingresos]]-Movimientos_2026[[#This Row],[Egresos]]</f>
        <v>0</v>
      </c>
      <c r="O3177" s="20">
        <f>+O3176+Movimientos_2026[[#This Row],[Neto]]</f>
        <v>4581558617.7962294</v>
      </c>
    </row>
    <row r="3178" spans="1:15" x14ac:dyDescent="0.25">
      <c r="A3178" s="13"/>
      <c r="B3178" s="12">
        <f>MONTH(Movimientos_2026[[#This Row],[Fecha]])</f>
        <v>1</v>
      </c>
      <c r="C3178" s="12" t="str">
        <f>VLOOKUP((WEEKDAY(Movimientos_2026[[#This Row],[Fecha]],2)),'5. Setup'!$D$6:$E$12,2,FALSE)</f>
        <v>Sab</v>
      </c>
      <c r="E3178" t="str">
        <f>IFERROR(+VLOOKUP(Movimientos_2026[[#This Row],[Codigo]],Plan_cuentas[],2,FALSE)," ")</f>
        <v xml:space="preserve"> </v>
      </c>
      <c r="F3178" t="str">
        <f>IFERROR(+VLOOKUP(Movimientos_2026[[#This Row],[Codigo]],Plan_cuentas[],3,FALSE)," ")</f>
        <v xml:space="preserve"> </v>
      </c>
      <c r="G3178" t="str">
        <f>IFERROR(+VLOOKUP(Movimientos_2026[[#This Row],[Codigo]],Plan_cuentas[],4,FALSE)," ")</f>
        <v xml:space="preserve"> </v>
      </c>
      <c r="H3178" t="str">
        <f>IFERROR(+VLOOKUP(Movimientos_2026[[#This Row],[Codigo]],Plan_cuentas[],5,FALSE)," ")</f>
        <v xml:space="preserve"> </v>
      </c>
      <c r="I3178" s="43"/>
      <c r="K3178" t="str">
        <f>IFERROR(+VLOOKUP(Movimientos_2026[[#This Row],[Codigo]],Plan_cuentas[],6,FALSE)," ")</f>
        <v xml:space="preserve"> </v>
      </c>
      <c r="L3178" s="50"/>
      <c r="M3178" s="50"/>
      <c r="N3178" s="20">
        <f>+Movimientos_2026[[#This Row],[Ingresos]]-Movimientos_2026[[#This Row],[Egresos]]</f>
        <v>0</v>
      </c>
      <c r="O3178" s="20">
        <f>+O3177+Movimientos_2026[[#This Row],[Neto]]</f>
        <v>4581558617.7962294</v>
      </c>
    </row>
    <row r="3179" spans="1:15" x14ac:dyDescent="0.25">
      <c r="A3179" s="13"/>
      <c r="B3179" s="12">
        <f>MONTH(Movimientos_2026[[#This Row],[Fecha]])</f>
        <v>1</v>
      </c>
      <c r="C3179" s="12" t="str">
        <f>VLOOKUP((WEEKDAY(Movimientos_2026[[#This Row],[Fecha]],2)),'5. Setup'!$D$6:$E$12,2,FALSE)</f>
        <v>Sab</v>
      </c>
      <c r="E3179" t="str">
        <f>IFERROR(+VLOOKUP(Movimientos_2026[[#This Row],[Codigo]],Plan_cuentas[],2,FALSE)," ")</f>
        <v xml:space="preserve"> </v>
      </c>
      <c r="F3179" t="str">
        <f>IFERROR(+VLOOKUP(Movimientos_2026[[#This Row],[Codigo]],Plan_cuentas[],3,FALSE)," ")</f>
        <v xml:space="preserve"> </v>
      </c>
      <c r="G3179" t="str">
        <f>IFERROR(+VLOOKUP(Movimientos_2026[[#This Row],[Codigo]],Plan_cuentas[],4,FALSE)," ")</f>
        <v xml:space="preserve"> </v>
      </c>
      <c r="H3179" t="str">
        <f>IFERROR(+VLOOKUP(Movimientos_2026[[#This Row],[Codigo]],Plan_cuentas[],5,FALSE)," ")</f>
        <v xml:space="preserve"> </v>
      </c>
      <c r="I3179" s="43"/>
      <c r="K3179" t="str">
        <f>IFERROR(+VLOOKUP(Movimientos_2026[[#This Row],[Codigo]],Plan_cuentas[],6,FALSE)," ")</f>
        <v xml:space="preserve"> </v>
      </c>
      <c r="L3179" s="50"/>
      <c r="M3179" s="50"/>
      <c r="N3179" s="20">
        <f>+Movimientos_2026[[#This Row],[Ingresos]]-Movimientos_2026[[#This Row],[Egresos]]</f>
        <v>0</v>
      </c>
      <c r="O3179" s="20">
        <f>+O3178+Movimientos_2026[[#This Row],[Neto]]</f>
        <v>4581558617.7962294</v>
      </c>
    </row>
    <row r="3180" spans="1:15" x14ac:dyDescent="0.25">
      <c r="A3180" s="13"/>
      <c r="B3180" s="12">
        <f>MONTH(Movimientos_2026[[#This Row],[Fecha]])</f>
        <v>1</v>
      </c>
      <c r="C3180" s="12" t="str">
        <f>VLOOKUP((WEEKDAY(Movimientos_2026[[#This Row],[Fecha]],2)),'5. Setup'!$D$6:$E$12,2,FALSE)</f>
        <v>Sab</v>
      </c>
      <c r="E3180" t="str">
        <f>IFERROR(+VLOOKUP(Movimientos_2026[[#This Row],[Codigo]],Plan_cuentas[],2,FALSE)," ")</f>
        <v xml:space="preserve"> </v>
      </c>
      <c r="F3180" t="str">
        <f>IFERROR(+VLOOKUP(Movimientos_2026[[#This Row],[Codigo]],Plan_cuentas[],3,FALSE)," ")</f>
        <v xml:space="preserve"> </v>
      </c>
      <c r="G3180" t="str">
        <f>IFERROR(+VLOOKUP(Movimientos_2026[[#This Row],[Codigo]],Plan_cuentas[],4,FALSE)," ")</f>
        <v xml:space="preserve"> </v>
      </c>
      <c r="H3180" t="str">
        <f>IFERROR(+VLOOKUP(Movimientos_2026[[#This Row],[Codigo]],Plan_cuentas[],5,FALSE)," ")</f>
        <v xml:space="preserve"> </v>
      </c>
      <c r="I3180" s="43"/>
      <c r="K3180" t="str">
        <f>IFERROR(+VLOOKUP(Movimientos_2026[[#This Row],[Codigo]],Plan_cuentas[],6,FALSE)," ")</f>
        <v xml:space="preserve"> </v>
      </c>
      <c r="L3180" s="50"/>
      <c r="M3180" s="50"/>
      <c r="N3180" s="20">
        <f>+Movimientos_2026[[#This Row],[Ingresos]]-Movimientos_2026[[#This Row],[Egresos]]</f>
        <v>0</v>
      </c>
      <c r="O3180" s="20">
        <f>+O3179+Movimientos_2026[[#This Row],[Neto]]</f>
        <v>4581558617.7962294</v>
      </c>
    </row>
    <row r="3181" spans="1:15" x14ac:dyDescent="0.25">
      <c r="A3181" s="13"/>
      <c r="B3181" s="12">
        <f>MONTH(Movimientos_2026[[#This Row],[Fecha]])</f>
        <v>1</v>
      </c>
      <c r="C3181" s="12" t="str">
        <f>VLOOKUP((WEEKDAY(Movimientos_2026[[#This Row],[Fecha]],2)),'5. Setup'!$D$6:$E$12,2,FALSE)</f>
        <v>Sab</v>
      </c>
      <c r="E3181" t="str">
        <f>IFERROR(+VLOOKUP(Movimientos_2026[[#This Row],[Codigo]],Plan_cuentas[],2,FALSE)," ")</f>
        <v xml:space="preserve"> </v>
      </c>
      <c r="F3181" t="str">
        <f>IFERROR(+VLOOKUP(Movimientos_2026[[#This Row],[Codigo]],Plan_cuentas[],3,FALSE)," ")</f>
        <v xml:space="preserve"> </v>
      </c>
      <c r="G3181" t="str">
        <f>IFERROR(+VLOOKUP(Movimientos_2026[[#This Row],[Codigo]],Plan_cuentas[],4,FALSE)," ")</f>
        <v xml:space="preserve"> </v>
      </c>
      <c r="H3181" t="str">
        <f>IFERROR(+VLOOKUP(Movimientos_2026[[#This Row],[Codigo]],Plan_cuentas[],5,FALSE)," ")</f>
        <v xml:space="preserve"> </v>
      </c>
      <c r="I3181" s="43"/>
      <c r="K3181" t="str">
        <f>IFERROR(+VLOOKUP(Movimientos_2026[[#This Row],[Codigo]],Plan_cuentas[],6,FALSE)," ")</f>
        <v xml:space="preserve"> </v>
      </c>
      <c r="L3181" s="50"/>
      <c r="M3181" s="50"/>
      <c r="N3181" s="20">
        <f>+Movimientos_2026[[#This Row],[Ingresos]]-Movimientos_2026[[#This Row],[Egresos]]</f>
        <v>0</v>
      </c>
      <c r="O3181" s="20">
        <f>+O3180+Movimientos_2026[[#This Row],[Neto]]</f>
        <v>4581558617.7962294</v>
      </c>
    </row>
    <row r="3182" spans="1:15" x14ac:dyDescent="0.25">
      <c r="A3182" s="13"/>
      <c r="B3182" s="12">
        <f>MONTH(Movimientos_2026[[#This Row],[Fecha]])</f>
        <v>1</v>
      </c>
      <c r="C3182" s="12" t="str">
        <f>VLOOKUP((WEEKDAY(Movimientos_2026[[#This Row],[Fecha]],2)),'5. Setup'!$D$6:$E$12,2,FALSE)</f>
        <v>Sab</v>
      </c>
      <c r="E3182" t="str">
        <f>IFERROR(+VLOOKUP(Movimientos_2026[[#This Row],[Codigo]],Plan_cuentas[],2,FALSE)," ")</f>
        <v xml:space="preserve"> </v>
      </c>
      <c r="F3182" t="str">
        <f>IFERROR(+VLOOKUP(Movimientos_2026[[#This Row],[Codigo]],Plan_cuentas[],3,FALSE)," ")</f>
        <v xml:space="preserve"> </v>
      </c>
      <c r="G3182" t="str">
        <f>IFERROR(+VLOOKUP(Movimientos_2026[[#This Row],[Codigo]],Plan_cuentas[],4,FALSE)," ")</f>
        <v xml:space="preserve"> </v>
      </c>
      <c r="H3182" t="str">
        <f>IFERROR(+VLOOKUP(Movimientos_2026[[#This Row],[Codigo]],Plan_cuentas[],5,FALSE)," ")</f>
        <v xml:space="preserve"> </v>
      </c>
      <c r="I3182" s="43"/>
      <c r="K3182" t="str">
        <f>IFERROR(+VLOOKUP(Movimientos_2026[[#This Row],[Codigo]],Plan_cuentas[],6,FALSE)," ")</f>
        <v xml:space="preserve"> </v>
      </c>
      <c r="L3182" s="50"/>
      <c r="M3182" s="50"/>
      <c r="N3182" s="20">
        <f>+Movimientos_2026[[#This Row],[Ingresos]]-Movimientos_2026[[#This Row],[Egresos]]</f>
        <v>0</v>
      </c>
      <c r="O3182" s="20">
        <f>+O3181+Movimientos_2026[[#This Row],[Neto]]</f>
        <v>4581558617.7962294</v>
      </c>
    </row>
    <row r="3183" spans="1:15" x14ac:dyDescent="0.25">
      <c r="A3183" s="13"/>
      <c r="B3183" s="12">
        <f>MONTH(Movimientos_2026[[#This Row],[Fecha]])</f>
        <v>1</v>
      </c>
      <c r="C3183" s="12" t="str">
        <f>VLOOKUP((WEEKDAY(Movimientos_2026[[#This Row],[Fecha]],2)),'5. Setup'!$D$6:$E$12,2,FALSE)</f>
        <v>Sab</v>
      </c>
      <c r="E3183" t="str">
        <f>IFERROR(+VLOOKUP(Movimientos_2026[[#This Row],[Codigo]],Plan_cuentas[],2,FALSE)," ")</f>
        <v xml:space="preserve"> </v>
      </c>
      <c r="F3183" t="str">
        <f>IFERROR(+VLOOKUP(Movimientos_2026[[#This Row],[Codigo]],Plan_cuentas[],3,FALSE)," ")</f>
        <v xml:space="preserve"> </v>
      </c>
      <c r="G3183" t="str">
        <f>IFERROR(+VLOOKUP(Movimientos_2026[[#This Row],[Codigo]],Plan_cuentas[],4,FALSE)," ")</f>
        <v xml:space="preserve"> </v>
      </c>
      <c r="H3183" t="str">
        <f>IFERROR(+VLOOKUP(Movimientos_2026[[#This Row],[Codigo]],Plan_cuentas[],5,FALSE)," ")</f>
        <v xml:space="preserve"> </v>
      </c>
      <c r="I3183" s="43"/>
      <c r="K3183" t="str">
        <f>IFERROR(+VLOOKUP(Movimientos_2026[[#This Row],[Codigo]],Plan_cuentas[],6,FALSE)," ")</f>
        <v xml:space="preserve"> </v>
      </c>
      <c r="L3183" s="50"/>
      <c r="M3183" s="50"/>
      <c r="N3183" s="20">
        <f>+Movimientos_2026[[#This Row],[Ingresos]]-Movimientos_2026[[#This Row],[Egresos]]</f>
        <v>0</v>
      </c>
      <c r="O3183" s="20">
        <f>+O3182+Movimientos_2026[[#This Row],[Neto]]</f>
        <v>4581558617.7962294</v>
      </c>
    </row>
    <row r="3184" spans="1:15" x14ac:dyDescent="0.25">
      <c r="A3184" s="13"/>
      <c r="B3184" s="12">
        <f>MONTH(Movimientos_2026[[#This Row],[Fecha]])</f>
        <v>1</v>
      </c>
      <c r="C3184" s="12" t="str">
        <f>VLOOKUP((WEEKDAY(Movimientos_2026[[#This Row],[Fecha]],2)),'5. Setup'!$D$6:$E$12,2,FALSE)</f>
        <v>Sab</v>
      </c>
      <c r="E3184" t="str">
        <f>IFERROR(+VLOOKUP(Movimientos_2026[[#This Row],[Codigo]],Plan_cuentas[],2,FALSE)," ")</f>
        <v xml:space="preserve"> </v>
      </c>
      <c r="F3184" t="str">
        <f>IFERROR(+VLOOKUP(Movimientos_2026[[#This Row],[Codigo]],Plan_cuentas[],3,FALSE)," ")</f>
        <v xml:space="preserve"> </v>
      </c>
      <c r="G3184" t="str">
        <f>IFERROR(+VLOOKUP(Movimientos_2026[[#This Row],[Codigo]],Plan_cuentas[],4,FALSE)," ")</f>
        <v xml:space="preserve"> </v>
      </c>
      <c r="H3184" t="str">
        <f>IFERROR(+VLOOKUP(Movimientos_2026[[#This Row],[Codigo]],Plan_cuentas[],5,FALSE)," ")</f>
        <v xml:space="preserve"> </v>
      </c>
      <c r="I3184" s="43"/>
      <c r="K3184" t="str">
        <f>IFERROR(+VLOOKUP(Movimientos_2026[[#This Row],[Codigo]],Plan_cuentas[],6,FALSE)," ")</f>
        <v xml:space="preserve"> </v>
      </c>
      <c r="L3184" s="50"/>
      <c r="M3184" s="50"/>
      <c r="N3184" s="20">
        <f>+Movimientos_2026[[#This Row],[Ingresos]]-Movimientos_2026[[#This Row],[Egresos]]</f>
        <v>0</v>
      </c>
      <c r="O3184" s="20">
        <f>+O3183+Movimientos_2026[[#This Row],[Neto]]</f>
        <v>4581558617.7962294</v>
      </c>
    </row>
    <row r="3185" spans="1:15" x14ac:dyDescent="0.25">
      <c r="A3185" s="13"/>
      <c r="B3185" s="12">
        <f>MONTH(Movimientos_2026[[#This Row],[Fecha]])</f>
        <v>1</v>
      </c>
      <c r="C3185" s="12" t="str">
        <f>VLOOKUP((WEEKDAY(Movimientos_2026[[#This Row],[Fecha]],2)),'5. Setup'!$D$6:$E$12,2,FALSE)</f>
        <v>Sab</v>
      </c>
      <c r="E3185" t="str">
        <f>IFERROR(+VLOOKUP(Movimientos_2026[[#This Row],[Codigo]],Plan_cuentas[],2,FALSE)," ")</f>
        <v xml:space="preserve"> </v>
      </c>
      <c r="F3185" t="str">
        <f>IFERROR(+VLOOKUP(Movimientos_2026[[#This Row],[Codigo]],Plan_cuentas[],3,FALSE)," ")</f>
        <v xml:space="preserve"> </v>
      </c>
      <c r="G3185" t="str">
        <f>IFERROR(+VLOOKUP(Movimientos_2026[[#This Row],[Codigo]],Plan_cuentas[],4,FALSE)," ")</f>
        <v xml:space="preserve"> </v>
      </c>
      <c r="H3185" t="str">
        <f>IFERROR(+VLOOKUP(Movimientos_2026[[#This Row],[Codigo]],Plan_cuentas[],5,FALSE)," ")</f>
        <v xml:space="preserve"> </v>
      </c>
      <c r="I3185" s="43"/>
      <c r="K3185" t="str">
        <f>IFERROR(+VLOOKUP(Movimientos_2026[[#This Row],[Codigo]],Plan_cuentas[],6,FALSE)," ")</f>
        <v xml:space="preserve"> </v>
      </c>
      <c r="L3185" s="50"/>
      <c r="M3185" s="50"/>
      <c r="N3185" s="20">
        <f>+Movimientos_2026[[#This Row],[Ingresos]]-Movimientos_2026[[#This Row],[Egresos]]</f>
        <v>0</v>
      </c>
      <c r="O3185" s="20">
        <f>+O3184+Movimientos_2026[[#This Row],[Neto]]</f>
        <v>4581558617.7962294</v>
      </c>
    </row>
    <row r="3186" spans="1:15" x14ac:dyDescent="0.25">
      <c r="A3186" s="13"/>
      <c r="B3186" s="12">
        <f>MONTH(Movimientos_2026[[#This Row],[Fecha]])</f>
        <v>1</v>
      </c>
      <c r="C3186" s="12" t="str">
        <f>VLOOKUP((WEEKDAY(Movimientos_2026[[#This Row],[Fecha]],2)),'5. Setup'!$D$6:$E$12,2,FALSE)</f>
        <v>Sab</v>
      </c>
      <c r="E3186" t="str">
        <f>IFERROR(+VLOOKUP(Movimientos_2026[[#This Row],[Codigo]],Plan_cuentas[],2,FALSE)," ")</f>
        <v xml:space="preserve"> </v>
      </c>
      <c r="F3186" t="str">
        <f>IFERROR(+VLOOKUP(Movimientos_2026[[#This Row],[Codigo]],Plan_cuentas[],3,FALSE)," ")</f>
        <v xml:space="preserve"> </v>
      </c>
      <c r="G3186" t="str">
        <f>IFERROR(+VLOOKUP(Movimientos_2026[[#This Row],[Codigo]],Plan_cuentas[],4,FALSE)," ")</f>
        <v xml:space="preserve"> </v>
      </c>
      <c r="H3186" t="str">
        <f>IFERROR(+VLOOKUP(Movimientos_2026[[#This Row],[Codigo]],Plan_cuentas[],5,FALSE)," ")</f>
        <v xml:space="preserve"> </v>
      </c>
      <c r="I3186" s="43"/>
      <c r="K3186" t="str">
        <f>IFERROR(+VLOOKUP(Movimientos_2026[[#This Row],[Codigo]],Plan_cuentas[],6,FALSE)," ")</f>
        <v xml:space="preserve"> </v>
      </c>
      <c r="L3186" s="50"/>
      <c r="M3186" s="50"/>
      <c r="N3186" s="20">
        <f>+Movimientos_2026[[#This Row],[Ingresos]]-Movimientos_2026[[#This Row],[Egresos]]</f>
        <v>0</v>
      </c>
      <c r="O3186" s="20">
        <f>+O3185+Movimientos_2026[[#This Row],[Neto]]</f>
        <v>4581558617.7962294</v>
      </c>
    </row>
    <row r="3187" spans="1:15" x14ac:dyDescent="0.25">
      <c r="A3187" s="13"/>
      <c r="B3187" s="12">
        <f>MONTH(Movimientos_2026[[#This Row],[Fecha]])</f>
        <v>1</v>
      </c>
      <c r="C3187" s="12" t="str">
        <f>VLOOKUP((WEEKDAY(Movimientos_2026[[#This Row],[Fecha]],2)),'5. Setup'!$D$6:$E$12,2,FALSE)</f>
        <v>Sab</v>
      </c>
      <c r="E3187" t="str">
        <f>IFERROR(+VLOOKUP(Movimientos_2026[[#This Row],[Codigo]],Plan_cuentas[],2,FALSE)," ")</f>
        <v xml:space="preserve"> </v>
      </c>
      <c r="F3187" t="str">
        <f>IFERROR(+VLOOKUP(Movimientos_2026[[#This Row],[Codigo]],Plan_cuentas[],3,FALSE)," ")</f>
        <v xml:space="preserve"> </v>
      </c>
      <c r="G3187" t="str">
        <f>IFERROR(+VLOOKUP(Movimientos_2026[[#This Row],[Codigo]],Plan_cuentas[],4,FALSE)," ")</f>
        <v xml:space="preserve"> </v>
      </c>
      <c r="H3187" t="str">
        <f>IFERROR(+VLOOKUP(Movimientos_2026[[#This Row],[Codigo]],Plan_cuentas[],5,FALSE)," ")</f>
        <v xml:space="preserve"> </v>
      </c>
      <c r="I3187" s="43"/>
      <c r="K3187" t="str">
        <f>IFERROR(+VLOOKUP(Movimientos_2026[[#This Row],[Codigo]],Plan_cuentas[],6,FALSE)," ")</f>
        <v xml:space="preserve"> </v>
      </c>
      <c r="L3187" s="50"/>
      <c r="M3187" s="50"/>
      <c r="N3187" s="20">
        <f>+Movimientos_2026[[#This Row],[Ingresos]]-Movimientos_2026[[#This Row],[Egresos]]</f>
        <v>0</v>
      </c>
      <c r="O3187" s="20">
        <f>+O3186+Movimientos_2026[[#This Row],[Neto]]</f>
        <v>4581558617.7962294</v>
      </c>
    </row>
    <row r="3188" spans="1:15" x14ac:dyDescent="0.25">
      <c r="A3188" s="13"/>
      <c r="B3188" s="12">
        <f>MONTH(Movimientos_2026[[#This Row],[Fecha]])</f>
        <v>1</v>
      </c>
      <c r="C3188" s="12" t="str">
        <f>VLOOKUP((WEEKDAY(Movimientos_2026[[#This Row],[Fecha]],2)),'5. Setup'!$D$6:$E$12,2,FALSE)</f>
        <v>Sab</v>
      </c>
      <c r="E3188" t="str">
        <f>IFERROR(+VLOOKUP(Movimientos_2026[[#This Row],[Codigo]],Plan_cuentas[],2,FALSE)," ")</f>
        <v xml:space="preserve"> </v>
      </c>
      <c r="F3188" t="str">
        <f>IFERROR(+VLOOKUP(Movimientos_2026[[#This Row],[Codigo]],Plan_cuentas[],3,FALSE)," ")</f>
        <v xml:space="preserve"> </v>
      </c>
      <c r="G3188" t="str">
        <f>IFERROR(+VLOOKUP(Movimientos_2026[[#This Row],[Codigo]],Plan_cuentas[],4,FALSE)," ")</f>
        <v xml:space="preserve"> </v>
      </c>
      <c r="H3188" t="str">
        <f>IFERROR(+VLOOKUP(Movimientos_2026[[#This Row],[Codigo]],Plan_cuentas[],5,FALSE)," ")</f>
        <v xml:space="preserve"> </v>
      </c>
      <c r="I3188" s="43"/>
      <c r="K3188" t="str">
        <f>IFERROR(+VLOOKUP(Movimientos_2026[[#This Row],[Codigo]],Plan_cuentas[],6,FALSE)," ")</f>
        <v xml:space="preserve"> </v>
      </c>
      <c r="L3188" s="50"/>
      <c r="M3188" s="50"/>
      <c r="N3188" s="20">
        <f>+Movimientos_2026[[#This Row],[Ingresos]]-Movimientos_2026[[#This Row],[Egresos]]</f>
        <v>0</v>
      </c>
      <c r="O3188" s="20">
        <f>+O3187+Movimientos_2026[[#This Row],[Neto]]</f>
        <v>4581558617.7962294</v>
      </c>
    </row>
    <row r="3189" spans="1:15" x14ac:dyDescent="0.25">
      <c r="A3189" s="13"/>
      <c r="B3189" s="12">
        <f>MONTH(Movimientos_2026[[#This Row],[Fecha]])</f>
        <v>1</v>
      </c>
      <c r="C3189" s="12" t="str">
        <f>VLOOKUP((WEEKDAY(Movimientos_2026[[#This Row],[Fecha]],2)),'5. Setup'!$D$6:$E$12,2,FALSE)</f>
        <v>Sab</v>
      </c>
      <c r="E3189" t="str">
        <f>IFERROR(+VLOOKUP(Movimientos_2026[[#This Row],[Codigo]],Plan_cuentas[],2,FALSE)," ")</f>
        <v xml:space="preserve"> </v>
      </c>
      <c r="F3189" t="str">
        <f>IFERROR(+VLOOKUP(Movimientos_2026[[#This Row],[Codigo]],Plan_cuentas[],3,FALSE)," ")</f>
        <v xml:space="preserve"> </v>
      </c>
      <c r="G3189" t="str">
        <f>IFERROR(+VLOOKUP(Movimientos_2026[[#This Row],[Codigo]],Plan_cuentas[],4,FALSE)," ")</f>
        <v xml:space="preserve"> </v>
      </c>
      <c r="H3189" t="str">
        <f>IFERROR(+VLOOKUP(Movimientos_2026[[#This Row],[Codigo]],Plan_cuentas[],5,FALSE)," ")</f>
        <v xml:space="preserve"> </v>
      </c>
      <c r="I3189" s="43"/>
      <c r="K3189" t="str">
        <f>IFERROR(+VLOOKUP(Movimientos_2026[[#This Row],[Codigo]],Plan_cuentas[],6,FALSE)," ")</f>
        <v xml:space="preserve"> </v>
      </c>
      <c r="L3189" s="50"/>
      <c r="M3189" s="50"/>
      <c r="N3189" s="20">
        <f>+Movimientos_2026[[#This Row],[Ingresos]]-Movimientos_2026[[#This Row],[Egresos]]</f>
        <v>0</v>
      </c>
      <c r="O3189" s="20">
        <f>+O3188+Movimientos_2026[[#This Row],[Neto]]</f>
        <v>4581558617.7962294</v>
      </c>
    </row>
    <row r="3190" spans="1:15" x14ac:dyDescent="0.25">
      <c r="A3190" s="13"/>
      <c r="B3190" s="12">
        <f>MONTH(Movimientos_2026[[#This Row],[Fecha]])</f>
        <v>1</v>
      </c>
      <c r="C3190" s="12" t="str">
        <f>VLOOKUP((WEEKDAY(Movimientos_2026[[#This Row],[Fecha]],2)),'5. Setup'!$D$6:$E$12,2,FALSE)</f>
        <v>Sab</v>
      </c>
      <c r="E3190" t="str">
        <f>IFERROR(+VLOOKUP(Movimientos_2026[[#This Row],[Codigo]],Plan_cuentas[],2,FALSE)," ")</f>
        <v xml:space="preserve"> </v>
      </c>
      <c r="F3190" t="str">
        <f>IFERROR(+VLOOKUP(Movimientos_2026[[#This Row],[Codigo]],Plan_cuentas[],3,FALSE)," ")</f>
        <v xml:space="preserve"> </v>
      </c>
      <c r="G3190" t="str">
        <f>IFERROR(+VLOOKUP(Movimientos_2026[[#This Row],[Codigo]],Plan_cuentas[],4,FALSE)," ")</f>
        <v xml:space="preserve"> </v>
      </c>
      <c r="H3190" t="str">
        <f>IFERROR(+VLOOKUP(Movimientos_2026[[#This Row],[Codigo]],Plan_cuentas[],5,FALSE)," ")</f>
        <v xml:space="preserve"> </v>
      </c>
      <c r="I3190" s="43"/>
      <c r="K3190" t="str">
        <f>IFERROR(+VLOOKUP(Movimientos_2026[[#This Row],[Codigo]],Plan_cuentas[],6,FALSE)," ")</f>
        <v xml:space="preserve"> </v>
      </c>
      <c r="L3190" s="50"/>
      <c r="M3190" s="50"/>
      <c r="N3190" s="20">
        <f>+Movimientos_2026[[#This Row],[Ingresos]]-Movimientos_2026[[#This Row],[Egresos]]</f>
        <v>0</v>
      </c>
      <c r="O3190" s="20">
        <f>+O3189+Movimientos_2026[[#This Row],[Neto]]</f>
        <v>4581558617.7962294</v>
      </c>
    </row>
    <row r="3191" spans="1:15" x14ac:dyDescent="0.25">
      <c r="A3191" s="13"/>
      <c r="B3191" s="12">
        <f>MONTH(Movimientos_2026[[#This Row],[Fecha]])</f>
        <v>1</v>
      </c>
      <c r="C3191" s="12" t="str">
        <f>VLOOKUP((WEEKDAY(Movimientos_2026[[#This Row],[Fecha]],2)),'5. Setup'!$D$6:$E$12,2,FALSE)</f>
        <v>Sab</v>
      </c>
      <c r="E3191" t="str">
        <f>IFERROR(+VLOOKUP(Movimientos_2026[[#This Row],[Codigo]],Plan_cuentas[],2,FALSE)," ")</f>
        <v xml:space="preserve"> </v>
      </c>
      <c r="F3191" t="str">
        <f>IFERROR(+VLOOKUP(Movimientos_2026[[#This Row],[Codigo]],Plan_cuentas[],3,FALSE)," ")</f>
        <v xml:space="preserve"> </v>
      </c>
      <c r="G3191" t="str">
        <f>IFERROR(+VLOOKUP(Movimientos_2026[[#This Row],[Codigo]],Plan_cuentas[],4,FALSE)," ")</f>
        <v xml:space="preserve"> </v>
      </c>
      <c r="H3191" t="str">
        <f>IFERROR(+VLOOKUP(Movimientos_2026[[#This Row],[Codigo]],Plan_cuentas[],5,FALSE)," ")</f>
        <v xml:space="preserve"> </v>
      </c>
      <c r="I3191" s="43"/>
      <c r="K3191" t="str">
        <f>IFERROR(+VLOOKUP(Movimientos_2026[[#This Row],[Codigo]],Plan_cuentas[],6,FALSE)," ")</f>
        <v xml:space="preserve"> </v>
      </c>
      <c r="L3191" s="50"/>
      <c r="M3191" s="50"/>
      <c r="N3191" s="20">
        <f>+Movimientos_2026[[#This Row],[Ingresos]]-Movimientos_2026[[#This Row],[Egresos]]</f>
        <v>0</v>
      </c>
      <c r="O3191" s="20">
        <f>+O3190+Movimientos_2026[[#This Row],[Neto]]</f>
        <v>4581558617.7962294</v>
      </c>
    </row>
    <row r="3192" spans="1:15" x14ac:dyDescent="0.25">
      <c r="A3192" s="13"/>
      <c r="B3192" s="12">
        <f>MONTH(Movimientos_2026[[#This Row],[Fecha]])</f>
        <v>1</v>
      </c>
      <c r="C3192" s="12" t="str">
        <f>VLOOKUP((WEEKDAY(Movimientos_2026[[#This Row],[Fecha]],2)),'5. Setup'!$D$6:$E$12,2,FALSE)</f>
        <v>Sab</v>
      </c>
      <c r="E3192" t="str">
        <f>IFERROR(+VLOOKUP(Movimientos_2026[[#This Row],[Codigo]],Plan_cuentas[],2,FALSE)," ")</f>
        <v xml:space="preserve"> </v>
      </c>
      <c r="F3192" t="str">
        <f>IFERROR(+VLOOKUP(Movimientos_2026[[#This Row],[Codigo]],Plan_cuentas[],3,FALSE)," ")</f>
        <v xml:space="preserve"> </v>
      </c>
      <c r="G3192" t="str">
        <f>IFERROR(+VLOOKUP(Movimientos_2026[[#This Row],[Codigo]],Plan_cuentas[],4,FALSE)," ")</f>
        <v xml:space="preserve"> </v>
      </c>
      <c r="H3192" t="str">
        <f>IFERROR(+VLOOKUP(Movimientos_2026[[#This Row],[Codigo]],Plan_cuentas[],5,FALSE)," ")</f>
        <v xml:space="preserve"> </v>
      </c>
      <c r="I3192" s="43"/>
      <c r="K3192" t="str">
        <f>IFERROR(+VLOOKUP(Movimientos_2026[[#This Row],[Codigo]],Plan_cuentas[],6,FALSE)," ")</f>
        <v xml:space="preserve"> </v>
      </c>
      <c r="L3192" s="50"/>
      <c r="M3192" s="50"/>
      <c r="N3192" s="20">
        <f>+Movimientos_2026[[#This Row],[Ingresos]]-Movimientos_2026[[#This Row],[Egresos]]</f>
        <v>0</v>
      </c>
      <c r="O3192" s="20">
        <f>+O3191+Movimientos_2026[[#This Row],[Neto]]</f>
        <v>4581558617.7962294</v>
      </c>
    </row>
    <row r="3193" spans="1:15" x14ac:dyDescent="0.25">
      <c r="A3193" s="13"/>
      <c r="B3193" s="12">
        <f>MONTH(Movimientos_2026[[#This Row],[Fecha]])</f>
        <v>1</v>
      </c>
      <c r="C3193" s="12" t="str">
        <f>VLOOKUP((WEEKDAY(Movimientos_2026[[#This Row],[Fecha]],2)),'5. Setup'!$D$6:$E$12,2,FALSE)</f>
        <v>Sab</v>
      </c>
      <c r="E3193" t="str">
        <f>IFERROR(+VLOOKUP(Movimientos_2026[[#This Row],[Codigo]],Plan_cuentas[],2,FALSE)," ")</f>
        <v xml:space="preserve"> </v>
      </c>
      <c r="F3193" t="str">
        <f>IFERROR(+VLOOKUP(Movimientos_2026[[#This Row],[Codigo]],Plan_cuentas[],3,FALSE)," ")</f>
        <v xml:space="preserve"> </v>
      </c>
      <c r="G3193" t="str">
        <f>IFERROR(+VLOOKUP(Movimientos_2026[[#This Row],[Codigo]],Plan_cuentas[],4,FALSE)," ")</f>
        <v xml:space="preserve"> </v>
      </c>
      <c r="H3193" t="str">
        <f>IFERROR(+VLOOKUP(Movimientos_2026[[#This Row],[Codigo]],Plan_cuentas[],5,FALSE)," ")</f>
        <v xml:space="preserve"> </v>
      </c>
      <c r="I3193" s="43"/>
      <c r="K3193" t="str">
        <f>IFERROR(+VLOOKUP(Movimientos_2026[[#This Row],[Codigo]],Plan_cuentas[],6,FALSE)," ")</f>
        <v xml:space="preserve"> </v>
      </c>
      <c r="L3193" s="50"/>
      <c r="M3193" s="50"/>
      <c r="N3193" s="20">
        <f>+Movimientos_2026[[#This Row],[Ingresos]]-Movimientos_2026[[#This Row],[Egresos]]</f>
        <v>0</v>
      </c>
      <c r="O3193" s="20">
        <f>+O3192+Movimientos_2026[[#This Row],[Neto]]</f>
        <v>4581558617.7962294</v>
      </c>
    </row>
    <row r="3194" spans="1:15" x14ac:dyDescent="0.25">
      <c r="A3194" s="13"/>
      <c r="B3194" s="12">
        <f>MONTH(Movimientos_2026[[#This Row],[Fecha]])</f>
        <v>1</v>
      </c>
      <c r="C3194" s="12" t="str">
        <f>VLOOKUP((WEEKDAY(Movimientos_2026[[#This Row],[Fecha]],2)),'5. Setup'!$D$6:$E$12,2,FALSE)</f>
        <v>Sab</v>
      </c>
      <c r="E3194" t="str">
        <f>IFERROR(+VLOOKUP(Movimientos_2026[[#This Row],[Codigo]],Plan_cuentas[],2,FALSE)," ")</f>
        <v xml:space="preserve"> </v>
      </c>
      <c r="F3194" t="str">
        <f>IFERROR(+VLOOKUP(Movimientos_2026[[#This Row],[Codigo]],Plan_cuentas[],3,FALSE)," ")</f>
        <v xml:space="preserve"> </v>
      </c>
      <c r="G3194" t="str">
        <f>IFERROR(+VLOOKUP(Movimientos_2026[[#This Row],[Codigo]],Plan_cuentas[],4,FALSE)," ")</f>
        <v xml:space="preserve"> </v>
      </c>
      <c r="H3194" t="str">
        <f>IFERROR(+VLOOKUP(Movimientos_2026[[#This Row],[Codigo]],Plan_cuentas[],5,FALSE)," ")</f>
        <v xml:space="preserve"> </v>
      </c>
      <c r="I3194" s="43"/>
      <c r="K3194" t="str">
        <f>IFERROR(+VLOOKUP(Movimientos_2026[[#This Row],[Codigo]],Plan_cuentas[],6,FALSE)," ")</f>
        <v xml:space="preserve"> </v>
      </c>
      <c r="L3194" s="50"/>
      <c r="M3194" s="50"/>
      <c r="N3194" s="20">
        <f>+Movimientos_2026[[#This Row],[Ingresos]]-Movimientos_2026[[#This Row],[Egresos]]</f>
        <v>0</v>
      </c>
      <c r="O3194" s="20">
        <f>+O3193+Movimientos_2026[[#This Row],[Neto]]</f>
        <v>4581558617.7962294</v>
      </c>
    </row>
    <row r="3195" spans="1:15" x14ac:dyDescent="0.25">
      <c r="A3195" s="13"/>
      <c r="B3195" s="12">
        <f>MONTH(Movimientos_2026[[#This Row],[Fecha]])</f>
        <v>1</v>
      </c>
      <c r="C3195" s="12" t="str">
        <f>VLOOKUP((WEEKDAY(Movimientos_2026[[#This Row],[Fecha]],2)),'5. Setup'!$D$6:$E$12,2,FALSE)</f>
        <v>Sab</v>
      </c>
      <c r="E3195" t="str">
        <f>IFERROR(+VLOOKUP(Movimientos_2026[[#This Row],[Codigo]],Plan_cuentas[],2,FALSE)," ")</f>
        <v xml:space="preserve"> </v>
      </c>
      <c r="F3195" t="str">
        <f>IFERROR(+VLOOKUP(Movimientos_2026[[#This Row],[Codigo]],Plan_cuentas[],3,FALSE)," ")</f>
        <v xml:space="preserve"> </v>
      </c>
      <c r="G3195" t="str">
        <f>IFERROR(+VLOOKUP(Movimientos_2026[[#This Row],[Codigo]],Plan_cuentas[],4,FALSE)," ")</f>
        <v xml:space="preserve"> </v>
      </c>
      <c r="H3195" t="str">
        <f>IFERROR(+VLOOKUP(Movimientos_2026[[#This Row],[Codigo]],Plan_cuentas[],5,FALSE)," ")</f>
        <v xml:space="preserve"> </v>
      </c>
      <c r="I3195" s="43"/>
      <c r="K3195" t="str">
        <f>IFERROR(+VLOOKUP(Movimientos_2026[[#This Row],[Codigo]],Plan_cuentas[],6,FALSE)," ")</f>
        <v xml:space="preserve"> </v>
      </c>
      <c r="L3195" s="50"/>
      <c r="M3195" s="50"/>
      <c r="N3195" s="20">
        <f>+Movimientos_2026[[#This Row],[Ingresos]]-Movimientos_2026[[#This Row],[Egresos]]</f>
        <v>0</v>
      </c>
      <c r="O3195" s="20">
        <f>+O3194+Movimientos_2026[[#This Row],[Neto]]</f>
        <v>4581558617.7962294</v>
      </c>
    </row>
    <row r="3196" spans="1:15" x14ac:dyDescent="0.25">
      <c r="A3196" s="13"/>
      <c r="B3196" s="12">
        <f>MONTH(Movimientos_2026[[#This Row],[Fecha]])</f>
        <v>1</v>
      </c>
      <c r="C3196" s="12" t="str">
        <f>VLOOKUP((WEEKDAY(Movimientos_2026[[#This Row],[Fecha]],2)),'5. Setup'!$D$6:$E$12,2,FALSE)</f>
        <v>Sab</v>
      </c>
      <c r="E3196" t="str">
        <f>IFERROR(+VLOOKUP(Movimientos_2026[[#This Row],[Codigo]],Plan_cuentas[],2,FALSE)," ")</f>
        <v xml:space="preserve"> </v>
      </c>
      <c r="F3196" t="str">
        <f>IFERROR(+VLOOKUP(Movimientos_2026[[#This Row],[Codigo]],Plan_cuentas[],3,FALSE)," ")</f>
        <v xml:space="preserve"> </v>
      </c>
      <c r="G3196" t="str">
        <f>IFERROR(+VLOOKUP(Movimientos_2026[[#This Row],[Codigo]],Plan_cuentas[],4,FALSE)," ")</f>
        <v xml:space="preserve"> </v>
      </c>
      <c r="H3196" t="str">
        <f>IFERROR(+VLOOKUP(Movimientos_2026[[#This Row],[Codigo]],Plan_cuentas[],5,FALSE)," ")</f>
        <v xml:space="preserve"> </v>
      </c>
      <c r="I3196" s="43"/>
      <c r="K3196" t="str">
        <f>IFERROR(+VLOOKUP(Movimientos_2026[[#This Row],[Codigo]],Plan_cuentas[],6,FALSE)," ")</f>
        <v xml:space="preserve"> </v>
      </c>
      <c r="L3196" s="50"/>
      <c r="M3196" s="50"/>
      <c r="N3196" s="20">
        <f>+Movimientos_2026[[#This Row],[Ingresos]]-Movimientos_2026[[#This Row],[Egresos]]</f>
        <v>0</v>
      </c>
      <c r="O3196" s="20">
        <f>+O3195+Movimientos_2026[[#This Row],[Neto]]</f>
        <v>4581558617.7962294</v>
      </c>
    </row>
    <row r="3197" spans="1:15" x14ac:dyDescent="0.25">
      <c r="A3197" s="13"/>
      <c r="B3197" s="12">
        <f>MONTH(Movimientos_2026[[#This Row],[Fecha]])</f>
        <v>1</v>
      </c>
      <c r="C3197" s="12" t="str">
        <f>VLOOKUP((WEEKDAY(Movimientos_2026[[#This Row],[Fecha]],2)),'5. Setup'!$D$6:$E$12,2,FALSE)</f>
        <v>Sab</v>
      </c>
      <c r="E3197" t="str">
        <f>IFERROR(+VLOOKUP(Movimientos_2026[[#This Row],[Codigo]],Plan_cuentas[],2,FALSE)," ")</f>
        <v xml:space="preserve"> </v>
      </c>
      <c r="F3197" t="str">
        <f>IFERROR(+VLOOKUP(Movimientos_2026[[#This Row],[Codigo]],Plan_cuentas[],3,FALSE)," ")</f>
        <v xml:space="preserve"> </v>
      </c>
      <c r="G3197" t="str">
        <f>IFERROR(+VLOOKUP(Movimientos_2026[[#This Row],[Codigo]],Plan_cuentas[],4,FALSE)," ")</f>
        <v xml:space="preserve"> </v>
      </c>
      <c r="H3197" t="str">
        <f>IFERROR(+VLOOKUP(Movimientos_2026[[#This Row],[Codigo]],Plan_cuentas[],5,FALSE)," ")</f>
        <v xml:space="preserve"> </v>
      </c>
      <c r="I3197" s="43"/>
      <c r="K3197" t="str">
        <f>IFERROR(+VLOOKUP(Movimientos_2026[[#This Row],[Codigo]],Plan_cuentas[],6,FALSE)," ")</f>
        <v xml:space="preserve"> </v>
      </c>
      <c r="L3197" s="50"/>
      <c r="M3197" s="50"/>
      <c r="N3197" s="20">
        <f>+Movimientos_2026[[#This Row],[Ingresos]]-Movimientos_2026[[#This Row],[Egresos]]</f>
        <v>0</v>
      </c>
      <c r="O3197" s="20">
        <f>+O3196+Movimientos_2026[[#This Row],[Neto]]</f>
        <v>4581558617.7962294</v>
      </c>
    </row>
    <row r="3198" spans="1:15" x14ac:dyDescent="0.25">
      <c r="A3198" s="13"/>
      <c r="B3198" s="12">
        <f>MONTH(Movimientos_2026[[#This Row],[Fecha]])</f>
        <v>1</v>
      </c>
      <c r="C3198" s="12" t="str">
        <f>VLOOKUP((WEEKDAY(Movimientos_2026[[#This Row],[Fecha]],2)),'5. Setup'!$D$6:$E$12,2,FALSE)</f>
        <v>Sab</v>
      </c>
      <c r="E3198" t="str">
        <f>IFERROR(+VLOOKUP(Movimientos_2026[[#This Row],[Codigo]],Plan_cuentas[],2,FALSE)," ")</f>
        <v xml:space="preserve"> </v>
      </c>
      <c r="F3198" t="str">
        <f>IFERROR(+VLOOKUP(Movimientos_2026[[#This Row],[Codigo]],Plan_cuentas[],3,FALSE)," ")</f>
        <v xml:space="preserve"> </v>
      </c>
      <c r="G3198" t="str">
        <f>IFERROR(+VLOOKUP(Movimientos_2026[[#This Row],[Codigo]],Plan_cuentas[],4,FALSE)," ")</f>
        <v xml:space="preserve"> </v>
      </c>
      <c r="H3198" t="str">
        <f>IFERROR(+VLOOKUP(Movimientos_2026[[#This Row],[Codigo]],Plan_cuentas[],5,FALSE)," ")</f>
        <v xml:space="preserve"> </v>
      </c>
      <c r="I3198" s="43"/>
      <c r="K3198" t="str">
        <f>IFERROR(+VLOOKUP(Movimientos_2026[[#This Row],[Codigo]],Plan_cuentas[],6,FALSE)," ")</f>
        <v xml:space="preserve"> </v>
      </c>
      <c r="L3198" s="50"/>
      <c r="M3198" s="50"/>
      <c r="N3198" s="20">
        <f>+Movimientos_2026[[#This Row],[Ingresos]]-Movimientos_2026[[#This Row],[Egresos]]</f>
        <v>0</v>
      </c>
      <c r="O3198" s="20">
        <f>+O3197+Movimientos_2026[[#This Row],[Neto]]</f>
        <v>4581558617.7962294</v>
      </c>
    </row>
    <row r="3199" spans="1:15" x14ac:dyDescent="0.25">
      <c r="A3199" s="13"/>
      <c r="B3199" s="12">
        <f>MONTH(Movimientos_2026[[#This Row],[Fecha]])</f>
        <v>1</v>
      </c>
      <c r="C3199" s="12" t="str">
        <f>VLOOKUP((WEEKDAY(Movimientos_2026[[#This Row],[Fecha]],2)),'5. Setup'!$D$6:$E$12,2,FALSE)</f>
        <v>Sab</v>
      </c>
      <c r="E3199" t="str">
        <f>IFERROR(+VLOOKUP(Movimientos_2026[[#This Row],[Codigo]],Plan_cuentas[],2,FALSE)," ")</f>
        <v xml:space="preserve"> </v>
      </c>
      <c r="F3199" t="str">
        <f>IFERROR(+VLOOKUP(Movimientos_2026[[#This Row],[Codigo]],Plan_cuentas[],3,FALSE)," ")</f>
        <v xml:space="preserve"> </v>
      </c>
      <c r="G3199" t="str">
        <f>IFERROR(+VLOOKUP(Movimientos_2026[[#This Row],[Codigo]],Plan_cuentas[],4,FALSE)," ")</f>
        <v xml:space="preserve"> </v>
      </c>
      <c r="H3199" t="str">
        <f>IFERROR(+VLOOKUP(Movimientos_2026[[#This Row],[Codigo]],Plan_cuentas[],5,FALSE)," ")</f>
        <v xml:space="preserve"> </v>
      </c>
      <c r="I3199" s="43"/>
      <c r="K3199" t="str">
        <f>IFERROR(+VLOOKUP(Movimientos_2026[[#This Row],[Codigo]],Plan_cuentas[],6,FALSE)," ")</f>
        <v xml:space="preserve"> </v>
      </c>
      <c r="L3199" s="50"/>
      <c r="M3199" s="50"/>
      <c r="N3199" s="20">
        <f>+Movimientos_2026[[#This Row],[Ingresos]]-Movimientos_2026[[#This Row],[Egresos]]</f>
        <v>0</v>
      </c>
      <c r="O3199" s="20">
        <f>+O3198+Movimientos_2026[[#This Row],[Neto]]</f>
        <v>4581558617.7962294</v>
      </c>
    </row>
    <row r="3200" spans="1:15" x14ac:dyDescent="0.25">
      <c r="A3200" s="13"/>
      <c r="B3200" s="12">
        <f>MONTH(Movimientos_2026[[#This Row],[Fecha]])</f>
        <v>1</v>
      </c>
      <c r="C3200" s="12" t="str">
        <f>VLOOKUP((WEEKDAY(Movimientos_2026[[#This Row],[Fecha]],2)),'5. Setup'!$D$6:$E$12,2,FALSE)</f>
        <v>Sab</v>
      </c>
      <c r="E3200" t="str">
        <f>IFERROR(+VLOOKUP(Movimientos_2026[[#This Row],[Codigo]],Plan_cuentas[],2,FALSE)," ")</f>
        <v xml:space="preserve"> </v>
      </c>
      <c r="F3200" t="str">
        <f>IFERROR(+VLOOKUP(Movimientos_2026[[#This Row],[Codigo]],Plan_cuentas[],3,FALSE)," ")</f>
        <v xml:space="preserve"> </v>
      </c>
      <c r="G3200" t="str">
        <f>IFERROR(+VLOOKUP(Movimientos_2026[[#This Row],[Codigo]],Plan_cuentas[],4,FALSE)," ")</f>
        <v xml:space="preserve"> </v>
      </c>
      <c r="H3200" t="str">
        <f>IFERROR(+VLOOKUP(Movimientos_2026[[#This Row],[Codigo]],Plan_cuentas[],5,FALSE)," ")</f>
        <v xml:space="preserve"> </v>
      </c>
      <c r="I3200" s="43"/>
      <c r="K3200" t="str">
        <f>IFERROR(+VLOOKUP(Movimientos_2026[[#This Row],[Codigo]],Plan_cuentas[],6,FALSE)," ")</f>
        <v xml:space="preserve"> </v>
      </c>
      <c r="L3200" s="50"/>
      <c r="M3200" s="50"/>
      <c r="N3200" s="20">
        <f>+Movimientos_2026[[#This Row],[Ingresos]]-Movimientos_2026[[#This Row],[Egresos]]</f>
        <v>0</v>
      </c>
      <c r="O3200" s="20">
        <f>+O3199+Movimientos_2026[[#This Row],[Neto]]</f>
        <v>4581558617.7962294</v>
      </c>
    </row>
    <row r="3201" spans="1:15" x14ac:dyDescent="0.25">
      <c r="A3201" s="13"/>
      <c r="B3201" s="12">
        <f>MONTH(Movimientos_2026[[#This Row],[Fecha]])</f>
        <v>1</v>
      </c>
      <c r="C3201" s="12" t="str">
        <f>VLOOKUP((WEEKDAY(Movimientos_2026[[#This Row],[Fecha]],2)),'5. Setup'!$D$6:$E$12,2,FALSE)</f>
        <v>Sab</v>
      </c>
      <c r="E3201" t="str">
        <f>IFERROR(+VLOOKUP(Movimientos_2026[[#This Row],[Codigo]],Plan_cuentas[],2,FALSE)," ")</f>
        <v xml:space="preserve"> </v>
      </c>
      <c r="F3201" t="str">
        <f>IFERROR(+VLOOKUP(Movimientos_2026[[#This Row],[Codigo]],Plan_cuentas[],3,FALSE)," ")</f>
        <v xml:space="preserve"> </v>
      </c>
      <c r="G3201" t="str">
        <f>IFERROR(+VLOOKUP(Movimientos_2026[[#This Row],[Codigo]],Plan_cuentas[],4,FALSE)," ")</f>
        <v xml:space="preserve"> </v>
      </c>
      <c r="H3201" t="str">
        <f>IFERROR(+VLOOKUP(Movimientos_2026[[#This Row],[Codigo]],Plan_cuentas[],5,FALSE)," ")</f>
        <v xml:space="preserve"> </v>
      </c>
      <c r="I3201" s="43"/>
      <c r="K3201" t="str">
        <f>IFERROR(+VLOOKUP(Movimientos_2026[[#This Row],[Codigo]],Plan_cuentas[],6,FALSE)," ")</f>
        <v xml:space="preserve"> </v>
      </c>
      <c r="L3201" s="50"/>
      <c r="M3201" s="50"/>
      <c r="N3201" s="20">
        <f>+Movimientos_2026[[#This Row],[Ingresos]]-Movimientos_2026[[#This Row],[Egresos]]</f>
        <v>0</v>
      </c>
      <c r="O3201" s="20">
        <f>+O3200+Movimientos_2026[[#This Row],[Neto]]</f>
        <v>4581558617.7962294</v>
      </c>
    </row>
    <row r="3202" spans="1:15" x14ac:dyDescent="0.25">
      <c r="A3202" s="13"/>
      <c r="B3202" s="12">
        <f>MONTH(Movimientos_2026[[#This Row],[Fecha]])</f>
        <v>1</v>
      </c>
      <c r="C3202" s="12" t="str">
        <f>VLOOKUP((WEEKDAY(Movimientos_2026[[#This Row],[Fecha]],2)),'5. Setup'!$D$6:$E$12,2,FALSE)</f>
        <v>Sab</v>
      </c>
      <c r="E3202" t="str">
        <f>IFERROR(+VLOOKUP(Movimientos_2026[[#This Row],[Codigo]],Plan_cuentas[],2,FALSE)," ")</f>
        <v xml:space="preserve"> </v>
      </c>
      <c r="F3202" t="str">
        <f>IFERROR(+VLOOKUP(Movimientos_2026[[#This Row],[Codigo]],Plan_cuentas[],3,FALSE)," ")</f>
        <v xml:space="preserve"> </v>
      </c>
      <c r="G3202" t="str">
        <f>IFERROR(+VLOOKUP(Movimientos_2026[[#This Row],[Codigo]],Plan_cuentas[],4,FALSE)," ")</f>
        <v xml:space="preserve"> </v>
      </c>
      <c r="H3202" t="str">
        <f>IFERROR(+VLOOKUP(Movimientos_2026[[#This Row],[Codigo]],Plan_cuentas[],5,FALSE)," ")</f>
        <v xml:space="preserve"> </v>
      </c>
      <c r="I3202" s="43"/>
      <c r="K3202" t="str">
        <f>IFERROR(+VLOOKUP(Movimientos_2026[[#This Row],[Codigo]],Plan_cuentas[],6,FALSE)," ")</f>
        <v xml:space="preserve"> </v>
      </c>
      <c r="L3202" s="50"/>
      <c r="M3202" s="50"/>
      <c r="N3202" s="20">
        <f>+Movimientos_2026[[#This Row],[Ingresos]]-Movimientos_2026[[#This Row],[Egresos]]</f>
        <v>0</v>
      </c>
      <c r="O3202" s="20">
        <f>+O3201+Movimientos_2026[[#This Row],[Neto]]</f>
        <v>4581558617.7962294</v>
      </c>
    </row>
    <row r="3203" spans="1:15" x14ac:dyDescent="0.25">
      <c r="A3203" s="13"/>
      <c r="B3203" s="12">
        <f>MONTH(Movimientos_2026[[#This Row],[Fecha]])</f>
        <v>1</v>
      </c>
      <c r="C3203" s="12" t="str">
        <f>VLOOKUP((WEEKDAY(Movimientos_2026[[#This Row],[Fecha]],2)),'5. Setup'!$D$6:$E$12,2,FALSE)</f>
        <v>Sab</v>
      </c>
      <c r="E3203" t="str">
        <f>IFERROR(+VLOOKUP(Movimientos_2026[[#This Row],[Codigo]],Plan_cuentas[],2,FALSE)," ")</f>
        <v xml:space="preserve"> </v>
      </c>
      <c r="F3203" t="str">
        <f>IFERROR(+VLOOKUP(Movimientos_2026[[#This Row],[Codigo]],Plan_cuentas[],3,FALSE)," ")</f>
        <v xml:space="preserve"> </v>
      </c>
      <c r="G3203" t="str">
        <f>IFERROR(+VLOOKUP(Movimientos_2026[[#This Row],[Codigo]],Plan_cuentas[],4,FALSE)," ")</f>
        <v xml:space="preserve"> </v>
      </c>
      <c r="H3203" t="str">
        <f>IFERROR(+VLOOKUP(Movimientos_2026[[#This Row],[Codigo]],Plan_cuentas[],5,FALSE)," ")</f>
        <v xml:space="preserve"> </v>
      </c>
      <c r="I3203" s="43"/>
      <c r="K3203" t="str">
        <f>IFERROR(+VLOOKUP(Movimientos_2026[[#This Row],[Codigo]],Plan_cuentas[],6,FALSE)," ")</f>
        <v xml:space="preserve"> </v>
      </c>
      <c r="L3203" s="50"/>
      <c r="M3203" s="50"/>
      <c r="N3203" s="20">
        <f>+Movimientos_2026[[#This Row],[Ingresos]]-Movimientos_2026[[#This Row],[Egresos]]</f>
        <v>0</v>
      </c>
      <c r="O3203" s="20">
        <f>+O3202+Movimientos_2026[[#This Row],[Neto]]</f>
        <v>4581558617.7962294</v>
      </c>
    </row>
    <row r="3204" spans="1:15" x14ac:dyDescent="0.25">
      <c r="A3204" s="13"/>
      <c r="B3204" s="12">
        <f>MONTH(Movimientos_2026[[#This Row],[Fecha]])</f>
        <v>1</v>
      </c>
      <c r="C3204" s="12" t="str">
        <f>VLOOKUP((WEEKDAY(Movimientos_2026[[#This Row],[Fecha]],2)),'5. Setup'!$D$6:$E$12,2,FALSE)</f>
        <v>Sab</v>
      </c>
      <c r="E3204" t="str">
        <f>IFERROR(+VLOOKUP(Movimientos_2026[[#This Row],[Codigo]],Plan_cuentas[],2,FALSE)," ")</f>
        <v xml:space="preserve"> </v>
      </c>
      <c r="F3204" t="str">
        <f>IFERROR(+VLOOKUP(Movimientos_2026[[#This Row],[Codigo]],Plan_cuentas[],3,FALSE)," ")</f>
        <v xml:space="preserve"> </v>
      </c>
      <c r="G3204" t="str">
        <f>IFERROR(+VLOOKUP(Movimientos_2026[[#This Row],[Codigo]],Plan_cuentas[],4,FALSE)," ")</f>
        <v xml:space="preserve"> </v>
      </c>
      <c r="H3204" t="str">
        <f>IFERROR(+VLOOKUP(Movimientos_2026[[#This Row],[Codigo]],Plan_cuentas[],5,FALSE)," ")</f>
        <v xml:space="preserve"> </v>
      </c>
      <c r="I3204" s="43"/>
      <c r="K3204" t="str">
        <f>IFERROR(+VLOOKUP(Movimientos_2026[[#This Row],[Codigo]],Plan_cuentas[],6,FALSE)," ")</f>
        <v xml:space="preserve"> </v>
      </c>
      <c r="L3204" s="50"/>
      <c r="M3204" s="50"/>
      <c r="N3204" s="20">
        <f>+Movimientos_2026[[#This Row],[Ingresos]]-Movimientos_2026[[#This Row],[Egresos]]</f>
        <v>0</v>
      </c>
      <c r="O3204" s="20">
        <f>+O3203+Movimientos_2026[[#This Row],[Neto]]</f>
        <v>4581558617.7962294</v>
      </c>
    </row>
    <row r="3205" spans="1:15" x14ac:dyDescent="0.25">
      <c r="A3205" s="13"/>
      <c r="B3205" s="12">
        <f>MONTH(Movimientos_2026[[#This Row],[Fecha]])</f>
        <v>1</v>
      </c>
      <c r="C3205" s="12" t="str">
        <f>VLOOKUP((WEEKDAY(Movimientos_2026[[#This Row],[Fecha]],2)),'5. Setup'!$D$6:$E$12,2,FALSE)</f>
        <v>Sab</v>
      </c>
      <c r="E3205" t="str">
        <f>IFERROR(+VLOOKUP(Movimientos_2026[[#This Row],[Codigo]],Plan_cuentas[],2,FALSE)," ")</f>
        <v xml:space="preserve"> </v>
      </c>
      <c r="F3205" t="str">
        <f>IFERROR(+VLOOKUP(Movimientos_2026[[#This Row],[Codigo]],Plan_cuentas[],3,FALSE)," ")</f>
        <v xml:space="preserve"> </v>
      </c>
      <c r="G3205" t="str">
        <f>IFERROR(+VLOOKUP(Movimientos_2026[[#This Row],[Codigo]],Plan_cuentas[],4,FALSE)," ")</f>
        <v xml:space="preserve"> </v>
      </c>
      <c r="H3205" t="str">
        <f>IFERROR(+VLOOKUP(Movimientos_2026[[#This Row],[Codigo]],Plan_cuentas[],5,FALSE)," ")</f>
        <v xml:space="preserve"> </v>
      </c>
      <c r="I3205" s="43"/>
      <c r="K3205" t="str">
        <f>IFERROR(+VLOOKUP(Movimientos_2026[[#This Row],[Codigo]],Plan_cuentas[],6,FALSE)," ")</f>
        <v xml:space="preserve"> </v>
      </c>
      <c r="L3205" s="50"/>
      <c r="M3205" s="50"/>
      <c r="N3205" s="20">
        <f>+Movimientos_2026[[#This Row],[Ingresos]]-Movimientos_2026[[#This Row],[Egresos]]</f>
        <v>0</v>
      </c>
      <c r="O3205" s="20">
        <f>+O3204+Movimientos_2026[[#This Row],[Neto]]</f>
        <v>4581558617.7962294</v>
      </c>
    </row>
    <row r="3206" spans="1:15" x14ac:dyDescent="0.25">
      <c r="A3206" s="13"/>
      <c r="B3206" s="12">
        <f>MONTH(Movimientos_2026[[#This Row],[Fecha]])</f>
        <v>1</v>
      </c>
      <c r="C3206" s="12" t="str">
        <f>VLOOKUP((WEEKDAY(Movimientos_2026[[#This Row],[Fecha]],2)),'5. Setup'!$D$6:$E$12,2,FALSE)</f>
        <v>Sab</v>
      </c>
      <c r="E3206" t="str">
        <f>IFERROR(+VLOOKUP(Movimientos_2026[[#This Row],[Codigo]],Plan_cuentas[],2,FALSE)," ")</f>
        <v xml:space="preserve"> </v>
      </c>
      <c r="F3206" t="str">
        <f>IFERROR(+VLOOKUP(Movimientos_2026[[#This Row],[Codigo]],Plan_cuentas[],3,FALSE)," ")</f>
        <v xml:space="preserve"> </v>
      </c>
      <c r="G3206" t="str">
        <f>IFERROR(+VLOOKUP(Movimientos_2026[[#This Row],[Codigo]],Plan_cuentas[],4,FALSE)," ")</f>
        <v xml:space="preserve"> </v>
      </c>
      <c r="H3206" t="str">
        <f>IFERROR(+VLOOKUP(Movimientos_2026[[#This Row],[Codigo]],Plan_cuentas[],5,FALSE)," ")</f>
        <v xml:space="preserve"> </v>
      </c>
      <c r="I3206" s="43"/>
      <c r="K3206" t="str">
        <f>IFERROR(+VLOOKUP(Movimientos_2026[[#This Row],[Codigo]],Plan_cuentas[],6,FALSE)," ")</f>
        <v xml:space="preserve"> </v>
      </c>
      <c r="L3206" s="50"/>
      <c r="M3206" s="50"/>
      <c r="N3206" s="20">
        <f>+Movimientos_2026[[#This Row],[Ingresos]]-Movimientos_2026[[#This Row],[Egresos]]</f>
        <v>0</v>
      </c>
      <c r="O3206" s="20">
        <f>+O3205+Movimientos_2026[[#This Row],[Neto]]</f>
        <v>4581558617.7962294</v>
      </c>
    </row>
    <row r="3207" spans="1:15" x14ac:dyDescent="0.25">
      <c r="A3207" s="13"/>
      <c r="B3207" s="12">
        <f>MONTH(Movimientos_2026[[#This Row],[Fecha]])</f>
        <v>1</v>
      </c>
      <c r="C3207" s="12" t="str">
        <f>VLOOKUP((WEEKDAY(Movimientos_2026[[#This Row],[Fecha]],2)),'5. Setup'!$D$6:$E$12,2,FALSE)</f>
        <v>Sab</v>
      </c>
      <c r="E3207" t="str">
        <f>IFERROR(+VLOOKUP(Movimientos_2026[[#This Row],[Codigo]],Plan_cuentas[],2,FALSE)," ")</f>
        <v xml:space="preserve"> </v>
      </c>
      <c r="F3207" t="str">
        <f>IFERROR(+VLOOKUP(Movimientos_2026[[#This Row],[Codigo]],Plan_cuentas[],3,FALSE)," ")</f>
        <v xml:space="preserve"> </v>
      </c>
      <c r="G3207" t="str">
        <f>IFERROR(+VLOOKUP(Movimientos_2026[[#This Row],[Codigo]],Plan_cuentas[],4,FALSE)," ")</f>
        <v xml:space="preserve"> </v>
      </c>
      <c r="H3207" t="str">
        <f>IFERROR(+VLOOKUP(Movimientos_2026[[#This Row],[Codigo]],Plan_cuentas[],5,FALSE)," ")</f>
        <v xml:space="preserve"> </v>
      </c>
      <c r="I3207" s="43"/>
      <c r="K3207" t="str">
        <f>IFERROR(+VLOOKUP(Movimientos_2026[[#This Row],[Codigo]],Plan_cuentas[],6,FALSE)," ")</f>
        <v xml:space="preserve"> </v>
      </c>
      <c r="L3207" s="50"/>
      <c r="M3207" s="50"/>
      <c r="N3207" s="20">
        <f>+Movimientos_2026[[#This Row],[Ingresos]]-Movimientos_2026[[#This Row],[Egresos]]</f>
        <v>0</v>
      </c>
      <c r="O3207" s="20">
        <f>+O3206+Movimientos_2026[[#This Row],[Neto]]</f>
        <v>4581558617.7962294</v>
      </c>
    </row>
    <row r="3208" spans="1:15" x14ac:dyDescent="0.25">
      <c r="A3208" s="13"/>
      <c r="B3208" s="12">
        <f>MONTH(Movimientos_2026[[#This Row],[Fecha]])</f>
        <v>1</v>
      </c>
      <c r="C3208" s="12" t="str">
        <f>VLOOKUP((WEEKDAY(Movimientos_2026[[#This Row],[Fecha]],2)),'5. Setup'!$D$6:$E$12,2,FALSE)</f>
        <v>Sab</v>
      </c>
      <c r="E3208" t="str">
        <f>IFERROR(+VLOOKUP(Movimientos_2026[[#This Row],[Codigo]],Plan_cuentas[],2,FALSE)," ")</f>
        <v xml:space="preserve"> </v>
      </c>
      <c r="F3208" t="str">
        <f>IFERROR(+VLOOKUP(Movimientos_2026[[#This Row],[Codigo]],Plan_cuentas[],3,FALSE)," ")</f>
        <v xml:space="preserve"> </v>
      </c>
      <c r="G3208" t="str">
        <f>IFERROR(+VLOOKUP(Movimientos_2026[[#This Row],[Codigo]],Plan_cuentas[],4,FALSE)," ")</f>
        <v xml:space="preserve"> </v>
      </c>
      <c r="H3208" t="str">
        <f>IFERROR(+VLOOKUP(Movimientos_2026[[#This Row],[Codigo]],Plan_cuentas[],5,FALSE)," ")</f>
        <v xml:space="preserve"> </v>
      </c>
      <c r="I3208" s="43"/>
      <c r="K3208" t="str">
        <f>IFERROR(+VLOOKUP(Movimientos_2026[[#This Row],[Codigo]],Plan_cuentas[],6,FALSE)," ")</f>
        <v xml:space="preserve"> </v>
      </c>
      <c r="L3208" s="50"/>
      <c r="M3208" s="50"/>
      <c r="N3208" s="20">
        <f>+Movimientos_2026[[#This Row],[Ingresos]]-Movimientos_2026[[#This Row],[Egresos]]</f>
        <v>0</v>
      </c>
      <c r="O3208" s="20">
        <f>+O3207+Movimientos_2026[[#This Row],[Neto]]</f>
        <v>4581558617.7962294</v>
      </c>
    </row>
    <row r="3209" spans="1:15" x14ac:dyDescent="0.25">
      <c r="A3209" s="13"/>
      <c r="B3209" s="12">
        <f>MONTH(Movimientos_2026[[#This Row],[Fecha]])</f>
        <v>1</v>
      </c>
      <c r="C3209" s="12" t="str">
        <f>VLOOKUP((WEEKDAY(Movimientos_2026[[#This Row],[Fecha]],2)),'5. Setup'!$D$6:$E$12,2,FALSE)</f>
        <v>Sab</v>
      </c>
      <c r="E3209" t="str">
        <f>IFERROR(+VLOOKUP(Movimientos_2026[[#This Row],[Codigo]],Plan_cuentas[],2,FALSE)," ")</f>
        <v xml:space="preserve"> </v>
      </c>
      <c r="F3209" t="str">
        <f>IFERROR(+VLOOKUP(Movimientos_2026[[#This Row],[Codigo]],Plan_cuentas[],3,FALSE)," ")</f>
        <v xml:space="preserve"> </v>
      </c>
      <c r="G3209" t="str">
        <f>IFERROR(+VLOOKUP(Movimientos_2026[[#This Row],[Codigo]],Plan_cuentas[],4,FALSE)," ")</f>
        <v xml:space="preserve"> </v>
      </c>
      <c r="H3209" t="str">
        <f>IFERROR(+VLOOKUP(Movimientos_2026[[#This Row],[Codigo]],Plan_cuentas[],5,FALSE)," ")</f>
        <v xml:space="preserve"> </v>
      </c>
      <c r="I3209" s="43"/>
      <c r="K3209" t="str">
        <f>IFERROR(+VLOOKUP(Movimientos_2026[[#This Row],[Codigo]],Plan_cuentas[],6,FALSE)," ")</f>
        <v xml:space="preserve"> </v>
      </c>
      <c r="L3209" s="50"/>
      <c r="M3209" s="50"/>
      <c r="N3209" s="20">
        <f>+Movimientos_2026[[#This Row],[Ingresos]]-Movimientos_2026[[#This Row],[Egresos]]</f>
        <v>0</v>
      </c>
      <c r="O3209" s="20">
        <f>+O3208+Movimientos_2026[[#This Row],[Neto]]</f>
        <v>4581558617.7962294</v>
      </c>
    </row>
    <row r="3210" spans="1:15" x14ac:dyDescent="0.25">
      <c r="A3210" s="13"/>
      <c r="B3210" s="12">
        <f>MONTH(Movimientos_2026[[#This Row],[Fecha]])</f>
        <v>1</v>
      </c>
      <c r="C3210" s="12" t="str">
        <f>VLOOKUP((WEEKDAY(Movimientos_2026[[#This Row],[Fecha]],2)),'5. Setup'!$D$6:$E$12,2,FALSE)</f>
        <v>Sab</v>
      </c>
      <c r="E3210" t="str">
        <f>IFERROR(+VLOOKUP(Movimientos_2026[[#This Row],[Codigo]],Plan_cuentas[],2,FALSE)," ")</f>
        <v xml:space="preserve"> </v>
      </c>
      <c r="F3210" t="str">
        <f>IFERROR(+VLOOKUP(Movimientos_2026[[#This Row],[Codigo]],Plan_cuentas[],3,FALSE)," ")</f>
        <v xml:space="preserve"> </v>
      </c>
      <c r="G3210" t="str">
        <f>IFERROR(+VLOOKUP(Movimientos_2026[[#This Row],[Codigo]],Plan_cuentas[],4,FALSE)," ")</f>
        <v xml:space="preserve"> </v>
      </c>
      <c r="H3210" t="str">
        <f>IFERROR(+VLOOKUP(Movimientos_2026[[#This Row],[Codigo]],Plan_cuentas[],5,FALSE)," ")</f>
        <v xml:space="preserve"> </v>
      </c>
      <c r="I3210" s="43"/>
      <c r="K3210" t="str">
        <f>IFERROR(+VLOOKUP(Movimientos_2026[[#This Row],[Codigo]],Plan_cuentas[],6,FALSE)," ")</f>
        <v xml:space="preserve"> </v>
      </c>
      <c r="L3210" s="50"/>
      <c r="M3210" s="50"/>
      <c r="N3210" s="20">
        <f>+Movimientos_2026[[#This Row],[Ingresos]]-Movimientos_2026[[#This Row],[Egresos]]</f>
        <v>0</v>
      </c>
      <c r="O3210" s="20">
        <f>+O3209+Movimientos_2026[[#This Row],[Neto]]</f>
        <v>4581558617.7962294</v>
      </c>
    </row>
    <row r="3211" spans="1:15" x14ac:dyDescent="0.25">
      <c r="A3211" s="13"/>
      <c r="B3211" s="12">
        <f>MONTH(Movimientos_2026[[#This Row],[Fecha]])</f>
        <v>1</v>
      </c>
      <c r="C3211" s="12" t="str">
        <f>VLOOKUP((WEEKDAY(Movimientos_2026[[#This Row],[Fecha]],2)),'5. Setup'!$D$6:$E$12,2,FALSE)</f>
        <v>Sab</v>
      </c>
      <c r="E3211" t="str">
        <f>IFERROR(+VLOOKUP(Movimientos_2026[[#This Row],[Codigo]],Plan_cuentas[],2,FALSE)," ")</f>
        <v xml:space="preserve"> </v>
      </c>
      <c r="F3211" t="str">
        <f>IFERROR(+VLOOKUP(Movimientos_2026[[#This Row],[Codigo]],Plan_cuentas[],3,FALSE)," ")</f>
        <v xml:space="preserve"> </v>
      </c>
      <c r="G3211" t="str">
        <f>IFERROR(+VLOOKUP(Movimientos_2026[[#This Row],[Codigo]],Plan_cuentas[],4,FALSE)," ")</f>
        <v xml:space="preserve"> </v>
      </c>
      <c r="H3211" t="str">
        <f>IFERROR(+VLOOKUP(Movimientos_2026[[#This Row],[Codigo]],Plan_cuentas[],5,FALSE)," ")</f>
        <v xml:space="preserve"> </v>
      </c>
      <c r="I3211" s="43"/>
      <c r="K3211" t="str">
        <f>IFERROR(+VLOOKUP(Movimientos_2026[[#This Row],[Codigo]],Plan_cuentas[],6,FALSE)," ")</f>
        <v xml:space="preserve"> </v>
      </c>
      <c r="L3211" s="50"/>
      <c r="M3211" s="50"/>
      <c r="N3211" s="20">
        <f>+Movimientos_2026[[#This Row],[Ingresos]]-Movimientos_2026[[#This Row],[Egresos]]</f>
        <v>0</v>
      </c>
      <c r="O3211" s="20">
        <f>+O3210+Movimientos_2026[[#This Row],[Neto]]</f>
        <v>4581558617.7962294</v>
      </c>
    </row>
    <row r="3212" spans="1:15" x14ac:dyDescent="0.25">
      <c r="A3212" s="13"/>
      <c r="B3212" s="12">
        <f>MONTH(Movimientos_2026[[#This Row],[Fecha]])</f>
        <v>1</v>
      </c>
      <c r="C3212" s="12" t="str">
        <f>VLOOKUP((WEEKDAY(Movimientos_2026[[#This Row],[Fecha]],2)),'5. Setup'!$D$6:$E$12,2,FALSE)</f>
        <v>Sab</v>
      </c>
      <c r="E3212" t="str">
        <f>IFERROR(+VLOOKUP(Movimientos_2026[[#This Row],[Codigo]],Plan_cuentas[],2,FALSE)," ")</f>
        <v xml:space="preserve"> </v>
      </c>
      <c r="F3212" t="str">
        <f>IFERROR(+VLOOKUP(Movimientos_2026[[#This Row],[Codigo]],Plan_cuentas[],3,FALSE)," ")</f>
        <v xml:space="preserve"> </v>
      </c>
      <c r="G3212" t="str">
        <f>IFERROR(+VLOOKUP(Movimientos_2026[[#This Row],[Codigo]],Plan_cuentas[],4,FALSE)," ")</f>
        <v xml:space="preserve"> </v>
      </c>
      <c r="H3212" t="str">
        <f>IFERROR(+VLOOKUP(Movimientos_2026[[#This Row],[Codigo]],Plan_cuentas[],5,FALSE)," ")</f>
        <v xml:space="preserve"> </v>
      </c>
      <c r="I3212" s="43"/>
      <c r="K3212" t="str">
        <f>IFERROR(+VLOOKUP(Movimientos_2026[[#This Row],[Codigo]],Plan_cuentas[],6,FALSE)," ")</f>
        <v xml:space="preserve"> </v>
      </c>
      <c r="L3212" s="50"/>
      <c r="M3212" s="50"/>
      <c r="N3212" s="20">
        <f>+Movimientos_2026[[#This Row],[Ingresos]]-Movimientos_2026[[#This Row],[Egresos]]</f>
        <v>0</v>
      </c>
      <c r="O3212" s="20">
        <f>+O3211+Movimientos_2026[[#This Row],[Neto]]</f>
        <v>4581558617.7962294</v>
      </c>
    </row>
    <row r="3213" spans="1:15" x14ac:dyDescent="0.25">
      <c r="A3213" s="13"/>
      <c r="B3213" s="12">
        <f>MONTH(Movimientos_2026[[#This Row],[Fecha]])</f>
        <v>1</v>
      </c>
      <c r="C3213" s="12" t="str">
        <f>VLOOKUP((WEEKDAY(Movimientos_2026[[#This Row],[Fecha]],2)),'5. Setup'!$D$6:$E$12,2,FALSE)</f>
        <v>Sab</v>
      </c>
      <c r="E3213" t="str">
        <f>IFERROR(+VLOOKUP(Movimientos_2026[[#This Row],[Codigo]],Plan_cuentas[],2,FALSE)," ")</f>
        <v xml:space="preserve"> </v>
      </c>
      <c r="F3213" t="str">
        <f>IFERROR(+VLOOKUP(Movimientos_2026[[#This Row],[Codigo]],Plan_cuentas[],3,FALSE)," ")</f>
        <v xml:space="preserve"> </v>
      </c>
      <c r="G3213" t="str">
        <f>IFERROR(+VLOOKUP(Movimientos_2026[[#This Row],[Codigo]],Plan_cuentas[],4,FALSE)," ")</f>
        <v xml:space="preserve"> </v>
      </c>
      <c r="H3213" t="str">
        <f>IFERROR(+VLOOKUP(Movimientos_2026[[#This Row],[Codigo]],Plan_cuentas[],5,FALSE)," ")</f>
        <v xml:space="preserve"> </v>
      </c>
      <c r="I3213" s="43"/>
      <c r="K3213" t="str">
        <f>IFERROR(+VLOOKUP(Movimientos_2026[[#This Row],[Codigo]],Plan_cuentas[],6,FALSE)," ")</f>
        <v xml:space="preserve"> </v>
      </c>
      <c r="L3213" s="50"/>
      <c r="M3213" s="50"/>
      <c r="N3213" s="20">
        <f>+Movimientos_2026[[#This Row],[Ingresos]]-Movimientos_2026[[#This Row],[Egresos]]</f>
        <v>0</v>
      </c>
      <c r="O3213" s="20">
        <f>+O3212+Movimientos_2026[[#This Row],[Neto]]</f>
        <v>4581558617.7962294</v>
      </c>
    </row>
    <row r="3214" spans="1:15" x14ac:dyDescent="0.25">
      <c r="A3214" s="13"/>
      <c r="B3214" s="12">
        <f>MONTH(Movimientos_2026[[#This Row],[Fecha]])</f>
        <v>1</v>
      </c>
      <c r="C3214" s="12" t="str">
        <f>VLOOKUP((WEEKDAY(Movimientos_2026[[#This Row],[Fecha]],2)),'5. Setup'!$D$6:$E$12,2,FALSE)</f>
        <v>Sab</v>
      </c>
      <c r="E3214" t="str">
        <f>IFERROR(+VLOOKUP(Movimientos_2026[[#This Row],[Codigo]],Plan_cuentas[],2,FALSE)," ")</f>
        <v xml:space="preserve"> </v>
      </c>
      <c r="F3214" t="str">
        <f>IFERROR(+VLOOKUP(Movimientos_2026[[#This Row],[Codigo]],Plan_cuentas[],3,FALSE)," ")</f>
        <v xml:space="preserve"> </v>
      </c>
      <c r="G3214" t="str">
        <f>IFERROR(+VLOOKUP(Movimientos_2026[[#This Row],[Codigo]],Plan_cuentas[],4,FALSE)," ")</f>
        <v xml:space="preserve"> </v>
      </c>
      <c r="H3214" t="str">
        <f>IFERROR(+VLOOKUP(Movimientos_2026[[#This Row],[Codigo]],Plan_cuentas[],5,FALSE)," ")</f>
        <v xml:space="preserve"> </v>
      </c>
      <c r="I3214" s="43"/>
      <c r="K3214" t="str">
        <f>IFERROR(+VLOOKUP(Movimientos_2026[[#This Row],[Codigo]],Plan_cuentas[],6,FALSE)," ")</f>
        <v xml:space="preserve"> </v>
      </c>
      <c r="L3214" s="50"/>
      <c r="M3214" s="50"/>
      <c r="N3214" s="20">
        <f>+Movimientos_2026[[#This Row],[Ingresos]]-Movimientos_2026[[#This Row],[Egresos]]</f>
        <v>0</v>
      </c>
      <c r="O3214" s="20">
        <f>+O3213+Movimientos_2026[[#This Row],[Neto]]</f>
        <v>4581558617.7962294</v>
      </c>
    </row>
    <row r="3215" spans="1:15" x14ac:dyDescent="0.25">
      <c r="A3215" s="13"/>
      <c r="B3215" s="12">
        <f>MONTH(Movimientos_2026[[#This Row],[Fecha]])</f>
        <v>1</v>
      </c>
      <c r="C3215" s="12" t="str">
        <f>VLOOKUP((WEEKDAY(Movimientos_2026[[#This Row],[Fecha]],2)),'5. Setup'!$D$6:$E$12,2,FALSE)</f>
        <v>Sab</v>
      </c>
      <c r="E3215" t="str">
        <f>IFERROR(+VLOOKUP(Movimientos_2026[[#This Row],[Codigo]],Plan_cuentas[],2,FALSE)," ")</f>
        <v xml:space="preserve"> </v>
      </c>
      <c r="F3215" t="str">
        <f>IFERROR(+VLOOKUP(Movimientos_2026[[#This Row],[Codigo]],Plan_cuentas[],3,FALSE)," ")</f>
        <v xml:space="preserve"> </v>
      </c>
      <c r="G3215" t="str">
        <f>IFERROR(+VLOOKUP(Movimientos_2026[[#This Row],[Codigo]],Plan_cuentas[],4,FALSE)," ")</f>
        <v xml:space="preserve"> </v>
      </c>
      <c r="H3215" t="str">
        <f>IFERROR(+VLOOKUP(Movimientos_2026[[#This Row],[Codigo]],Plan_cuentas[],5,FALSE)," ")</f>
        <v xml:space="preserve"> </v>
      </c>
      <c r="I3215" s="43"/>
      <c r="K3215" t="str">
        <f>IFERROR(+VLOOKUP(Movimientos_2026[[#This Row],[Codigo]],Plan_cuentas[],6,FALSE)," ")</f>
        <v xml:space="preserve"> </v>
      </c>
      <c r="L3215" s="50"/>
      <c r="M3215" s="50"/>
      <c r="N3215" s="20">
        <f>+Movimientos_2026[[#This Row],[Ingresos]]-Movimientos_2026[[#This Row],[Egresos]]</f>
        <v>0</v>
      </c>
      <c r="O3215" s="20">
        <f>+O3214+Movimientos_2026[[#This Row],[Neto]]</f>
        <v>4581558617.7962294</v>
      </c>
    </row>
    <row r="3216" spans="1:15" x14ac:dyDescent="0.25">
      <c r="A3216" s="13"/>
      <c r="B3216" s="12">
        <f>MONTH(Movimientos_2026[[#This Row],[Fecha]])</f>
        <v>1</v>
      </c>
      <c r="C3216" s="12" t="str">
        <f>VLOOKUP((WEEKDAY(Movimientos_2026[[#This Row],[Fecha]],2)),'5. Setup'!$D$6:$E$12,2,FALSE)</f>
        <v>Sab</v>
      </c>
      <c r="E3216" t="str">
        <f>IFERROR(+VLOOKUP(Movimientos_2026[[#This Row],[Codigo]],Plan_cuentas[],2,FALSE)," ")</f>
        <v xml:space="preserve"> </v>
      </c>
      <c r="F3216" t="str">
        <f>IFERROR(+VLOOKUP(Movimientos_2026[[#This Row],[Codigo]],Plan_cuentas[],3,FALSE)," ")</f>
        <v xml:space="preserve"> </v>
      </c>
      <c r="G3216" t="str">
        <f>IFERROR(+VLOOKUP(Movimientos_2026[[#This Row],[Codigo]],Plan_cuentas[],4,FALSE)," ")</f>
        <v xml:space="preserve"> </v>
      </c>
      <c r="H3216" t="str">
        <f>IFERROR(+VLOOKUP(Movimientos_2026[[#This Row],[Codigo]],Plan_cuentas[],5,FALSE)," ")</f>
        <v xml:space="preserve"> </v>
      </c>
      <c r="I3216" s="43"/>
      <c r="K3216" t="str">
        <f>IFERROR(+VLOOKUP(Movimientos_2026[[#This Row],[Codigo]],Plan_cuentas[],6,FALSE)," ")</f>
        <v xml:space="preserve"> </v>
      </c>
      <c r="L3216" s="50"/>
      <c r="M3216" s="50"/>
      <c r="N3216" s="20">
        <f>+Movimientos_2026[[#This Row],[Ingresos]]-Movimientos_2026[[#This Row],[Egresos]]</f>
        <v>0</v>
      </c>
      <c r="O3216" s="20">
        <f>+O3215+Movimientos_2026[[#This Row],[Neto]]</f>
        <v>4581558617.7962294</v>
      </c>
    </row>
    <row r="3217" spans="1:15" x14ac:dyDescent="0.25">
      <c r="A3217" s="13"/>
      <c r="B3217" s="12">
        <f>MONTH(Movimientos_2026[[#This Row],[Fecha]])</f>
        <v>1</v>
      </c>
      <c r="C3217" s="12" t="str">
        <f>VLOOKUP((WEEKDAY(Movimientos_2026[[#This Row],[Fecha]],2)),'5. Setup'!$D$6:$E$12,2,FALSE)</f>
        <v>Sab</v>
      </c>
      <c r="E3217" t="str">
        <f>IFERROR(+VLOOKUP(Movimientos_2026[[#This Row],[Codigo]],Plan_cuentas[],2,FALSE)," ")</f>
        <v xml:space="preserve"> </v>
      </c>
      <c r="F3217" t="str">
        <f>IFERROR(+VLOOKUP(Movimientos_2026[[#This Row],[Codigo]],Plan_cuentas[],3,FALSE)," ")</f>
        <v xml:space="preserve"> </v>
      </c>
      <c r="G3217" t="str">
        <f>IFERROR(+VLOOKUP(Movimientos_2026[[#This Row],[Codigo]],Plan_cuentas[],4,FALSE)," ")</f>
        <v xml:space="preserve"> </v>
      </c>
      <c r="H3217" t="str">
        <f>IFERROR(+VLOOKUP(Movimientos_2026[[#This Row],[Codigo]],Plan_cuentas[],5,FALSE)," ")</f>
        <v xml:space="preserve"> </v>
      </c>
      <c r="I3217" s="43"/>
      <c r="K3217" t="str">
        <f>IFERROR(+VLOOKUP(Movimientos_2026[[#This Row],[Codigo]],Plan_cuentas[],6,FALSE)," ")</f>
        <v xml:space="preserve"> </v>
      </c>
      <c r="L3217" s="50"/>
      <c r="M3217" s="50"/>
      <c r="N3217" s="20">
        <f>+Movimientos_2026[[#This Row],[Ingresos]]-Movimientos_2026[[#This Row],[Egresos]]</f>
        <v>0</v>
      </c>
      <c r="O3217" s="20">
        <f>+O3216+Movimientos_2026[[#This Row],[Neto]]</f>
        <v>4581558617.7962294</v>
      </c>
    </row>
    <row r="3218" spans="1:15" x14ac:dyDescent="0.25">
      <c r="A3218" s="13"/>
      <c r="B3218" s="12">
        <f>MONTH(Movimientos_2026[[#This Row],[Fecha]])</f>
        <v>1</v>
      </c>
      <c r="C3218" s="12" t="str">
        <f>VLOOKUP((WEEKDAY(Movimientos_2026[[#This Row],[Fecha]],2)),'5. Setup'!$D$6:$E$12,2,FALSE)</f>
        <v>Sab</v>
      </c>
      <c r="E3218" t="str">
        <f>IFERROR(+VLOOKUP(Movimientos_2026[[#This Row],[Codigo]],Plan_cuentas[],2,FALSE)," ")</f>
        <v xml:space="preserve"> </v>
      </c>
      <c r="F3218" t="str">
        <f>IFERROR(+VLOOKUP(Movimientos_2026[[#This Row],[Codigo]],Plan_cuentas[],3,FALSE)," ")</f>
        <v xml:space="preserve"> </v>
      </c>
      <c r="G3218" t="str">
        <f>IFERROR(+VLOOKUP(Movimientos_2026[[#This Row],[Codigo]],Plan_cuentas[],4,FALSE)," ")</f>
        <v xml:space="preserve"> </v>
      </c>
      <c r="H3218" t="str">
        <f>IFERROR(+VLOOKUP(Movimientos_2026[[#This Row],[Codigo]],Plan_cuentas[],5,FALSE)," ")</f>
        <v xml:space="preserve"> </v>
      </c>
      <c r="I3218" s="43"/>
      <c r="K3218" t="str">
        <f>IFERROR(+VLOOKUP(Movimientos_2026[[#This Row],[Codigo]],Plan_cuentas[],6,FALSE)," ")</f>
        <v xml:space="preserve"> </v>
      </c>
      <c r="L3218" s="50"/>
      <c r="M3218" s="50"/>
      <c r="N3218" s="20">
        <f>+Movimientos_2026[[#This Row],[Ingresos]]-Movimientos_2026[[#This Row],[Egresos]]</f>
        <v>0</v>
      </c>
      <c r="O3218" s="20">
        <f>+O3217+Movimientos_2026[[#This Row],[Neto]]</f>
        <v>4581558617.7962294</v>
      </c>
    </row>
    <row r="3219" spans="1:15" x14ac:dyDescent="0.25">
      <c r="A3219" s="13"/>
      <c r="B3219" s="12">
        <f>MONTH(Movimientos_2026[[#This Row],[Fecha]])</f>
        <v>1</v>
      </c>
      <c r="C3219" s="12" t="str">
        <f>VLOOKUP((WEEKDAY(Movimientos_2026[[#This Row],[Fecha]],2)),'5. Setup'!$D$6:$E$12,2,FALSE)</f>
        <v>Sab</v>
      </c>
      <c r="E3219" t="str">
        <f>IFERROR(+VLOOKUP(Movimientos_2026[[#This Row],[Codigo]],Plan_cuentas[],2,FALSE)," ")</f>
        <v xml:space="preserve"> </v>
      </c>
      <c r="F3219" t="str">
        <f>IFERROR(+VLOOKUP(Movimientos_2026[[#This Row],[Codigo]],Plan_cuentas[],3,FALSE)," ")</f>
        <v xml:space="preserve"> </v>
      </c>
      <c r="G3219" t="str">
        <f>IFERROR(+VLOOKUP(Movimientos_2026[[#This Row],[Codigo]],Plan_cuentas[],4,FALSE)," ")</f>
        <v xml:space="preserve"> </v>
      </c>
      <c r="H3219" t="str">
        <f>IFERROR(+VLOOKUP(Movimientos_2026[[#This Row],[Codigo]],Plan_cuentas[],5,FALSE)," ")</f>
        <v xml:space="preserve"> </v>
      </c>
      <c r="I3219" s="43"/>
      <c r="K3219" t="str">
        <f>IFERROR(+VLOOKUP(Movimientos_2026[[#This Row],[Codigo]],Plan_cuentas[],6,FALSE)," ")</f>
        <v xml:space="preserve"> </v>
      </c>
      <c r="L3219" s="50"/>
      <c r="M3219" s="50"/>
      <c r="N3219" s="20">
        <f>+Movimientos_2026[[#This Row],[Ingresos]]-Movimientos_2026[[#This Row],[Egresos]]</f>
        <v>0</v>
      </c>
      <c r="O3219" s="20">
        <f>+O3218+Movimientos_2026[[#This Row],[Neto]]</f>
        <v>4581558617.7962294</v>
      </c>
    </row>
    <row r="3220" spans="1:15" x14ac:dyDescent="0.25">
      <c r="A3220" s="13"/>
      <c r="B3220" s="12">
        <f>MONTH(Movimientos_2026[[#This Row],[Fecha]])</f>
        <v>1</v>
      </c>
      <c r="C3220" s="12" t="str">
        <f>VLOOKUP((WEEKDAY(Movimientos_2026[[#This Row],[Fecha]],2)),'5. Setup'!$D$6:$E$12,2,FALSE)</f>
        <v>Sab</v>
      </c>
      <c r="E3220" t="str">
        <f>IFERROR(+VLOOKUP(Movimientos_2026[[#This Row],[Codigo]],Plan_cuentas[],2,FALSE)," ")</f>
        <v xml:space="preserve"> </v>
      </c>
      <c r="F3220" t="str">
        <f>IFERROR(+VLOOKUP(Movimientos_2026[[#This Row],[Codigo]],Plan_cuentas[],3,FALSE)," ")</f>
        <v xml:space="preserve"> </v>
      </c>
      <c r="G3220" t="str">
        <f>IFERROR(+VLOOKUP(Movimientos_2026[[#This Row],[Codigo]],Plan_cuentas[],4,FALSE)," ")</f>
        <v xml:space="preserve"> </v>
      </c>
      <c r="H3220" t="str">
        <f>IFERROR(+VLOOKUP(Movimientos_2026[[#This Row],[Codigo]],Plan_cuentas[],5,FALSE)," ")</f>
        <v xml:space="preserve"> </v>
      </c>
      <c r="I3220" s="43"/>
      <c r="K3220" t="str">
        <f>IFERROR(+VLOOKUP(Movimientos_2026[[#This Row],[Codigo]],Plan_cuentas[],6,FALSE)," ")</f>
        <v xml:space="preserve"> </v>
      </c>
      <c r="L3220" s="50"/>
      <c r="M3220" s="50"/>
      <c r="N3220" s="20">
        <f>+Movimientos_2026[[#This Row],[Ingresos]]-Movimientos_2026[[#This Row],[Egresos]]</f>
        <v>0</v>
      </c>
      <c r="O3220" s="20">
        <f>+O3219+Movimientos_2026[[#This Row],[Neto]]</f>
        <v>4581558617.7962294</v>
      </c>
    </row>
    <row r="3221" spans="1:15" x14ac:dyDescent="0.25">
      <c r="A3221" s="13"/>
      <c r="B3221" s="12">
        <f>MONTH(Movimientos_2026[[#This Row],[Fecha]])</f>
        <v>1</v>
      </c>
      <c r="C3221" s="12" t="str">
        <f>VLOOKUP((WEEKDAY(Movimientos_2026[[#This Row],[Fecha]],2)),'5. Setup'!$D$6:$E$12,2,FALSE)</f>
        <v>Sab</v>
      </c>
      <c r="E3221" t="str">
        <f>IFERROR(+VLOOKUP(Movimientos_2026[[#This Row],[Codigo]],Plan_cuentas[],2,FALSE)," ")</f>
        <v xml:space="preserve"> </v>
      </c>
      <c r="F3221" t="str">
        <f>IFERROR(+VLOOKUP(Movimientos_2026[[#This Row],[Codigo]],Plan_cuentas[],3,FALSE)," ")</f>
        <v xml:space="preserve"> </v>
      </c>
      <c r="G3221" t="str">
        <f>IFERROR(+VLOOKUP(Movimientos_2026[[#This Row],[Codigo]],Plan_cuentas[],4,FALSE)," ")</f>
        <v xml:space="preserve"> </v>
      </c>
      <c r="H3221" t="str">
        <f>IFERROR(+VLOOKUP(Movimientos_2026[[#This Row],[Codigo]],Plan_cuentas[],5,FALSE)," ")</f>
        <v xml:space="preserve"> </v>
      </c>
      <c r="I3221" s="43"/>
      <c r="K3221" t="str">
        <f>IFERROR(+VLOOKUP(Movimientos_2026[[#This Row],[Codigo]],Plan_cuentas[],6,FALSE)," ")</f>
        <v xml:space="preserve"> </v>
      </c>
      <c r="L3221" s="50"/>
      <c r="M3221" s="50"/>
      <c r="N3221" s="20">
        <f>+Movimientos_2026[[#This Row],[Ingresos]]-Movimientos_2026[[#This Row],[Egresos]]</f>
        <v>0</v>
      </c>
      <c r="O3221" s="20">
        <f>+O3220+Movimientos_2026[[#This Row],[Neto]]</f>
        <v>4581558617.7962294</v>
      </c>
    </row>
    <row r="3222" spans="1:15" x14ac:dyDescent="0.25">
      <c r="A3222" s="13"/>
      <c r="B3222" s="12">
        <f>MONTH(Movimientos_2026[[#This Row],[Fecha]])</f>
        <v>1</v>
      </c>
      <c r="C3222" s="12" t="str">
        <f>VLOOKUP((WEEKDAY(Movimientos_2026[[#This Row],[Fecha]],2)),'5. Setup'!$D$6:$E$12,2,FALSE)</f>
        <v>Sab</v>
      </c>
      <c r="E3222" t="str">
        <f>IFERROR(+VLOOKUP(Movimientos_2026[[#This Row],[Codigo]],Plan_cuentas[],2,FALSE)," ")</f>
        <v xml:space="preserve"> </v>
      </c>
      <c r="F3222" t="str">
        <f>IFERROR(+VLOOKUP(Movimientos_2026[[#This Row],[Codigo]],Plan_cuentas[],3,FALSE)," ")</f>
        <v xml:space="preserve"> </v>
      </c>
      <c r="G3222" t="str">
        <f>IFERROR(+VLOOKUP(Movimientos_2026[[#This Row],[Codigo]],Plan_cuentas[],4,FALSE)," ")</f>
        <v xml:space="preserve"> </v>
      </c>
      <c r="H3222" t="str">
        <f>IFERROR(+VLOOKUP(Movimientos_2026[[#This Row],[Codigo]],Plan_cuentas[],5,FALSE)," ")</f>
        <v xml:space="preserve"> </v>
      </c>
      <c r="I3222" s="43"/>
      <c r="K3222" t="str">
        <f>IFERROR(+VLOOKUP(Movimientos_2026[[#This Row],[Codigo]],Plan_cuentas[],6,FALSE)," ")</f>
        <v xml:space="preserve"> </v>
      </c>
      <c r="L3222" s="50"/>
      <c r="M3222" s="50"/>
      <c r="N3222" s="20">
        <f>+Movimientos_2026[[#This Row],[Ingresos]]-Movimientos_2026[[#This Row],[Egresos]]</f>
        <v>0</v>
      </c>
      <c r="O3222" s="20">
        <f>+O3221+Movimientos_2026[[#This Row],[Neto]]</f>
        <v>4581558617.7962294</v>
      </c>
    </row>
    <row r="3223" spans="1:15" x14ac:dyDescent="0.25">
      <c r="A3223" s="13"/>
      <c r="B3223" s="12">
        <f>MONTH(Movimientos_2026[[#This Row],[Fecha]])</f>
        <v>1</v>
      </c>
      <c r="C3223" s="12" t="str">
        <f>VLOOKUP((WEEKDAY(Movimientos_2026[[#This Row],[Fecha]],2)),'5. Setup'!$D$6:$E$12,2,FALSE)</f>
        <v>Sab</v>
      </c>
      <c r="E3223" t="str">
        <f>IFERROR(+VLOOKUP(Movimientos_2026[[#This Row],[Codigo]],Plan_cuentas[],2,FALSE)," ")</f>
        <v xml:space="preserve"> </v>
      </c>
      <c r="F3223" t="str">
        <f>IFERROR(+VLOOKUP(Movimientos_2026[[#This Row],[Codigo]],Plan_cuentas[],3,FALSE)," ")</f>
        <v xml:space="preserve"> </v>
      </c>
      <c r="G3223" t="str">
        <f>IFERROR(+VLOOKUP(Movimientos_2026[[#This Row],[Codigo]],Plan_cuentas[],4,FALSE)," ")</f>
        <v xml:space="preserve"> </v>
      </c>
      <c r="H3223" t="str">
        <f>IFERROR(+VLOOKUP(Movimientos_2026[[#This Row],[Codigo]],Plan_cuentas[],5,FALSE)," ")</f>
        <v xml:space="preserve"> </v>
      </c>
      <c r="I3223" s="43"/>
      <c r="K3223" t="str">
        <f>IFERROR(+VLOOKUP(Movimientos_2026[[#This Row],[Codigo]],Plan_cuentas[],6,FALSE)," ")</f>
        <v xml:space="preserve"> </v>
      </c>
      <c r="L3223" s="50"/>
      <c r="M3223" s="50"/>
      <c r="N3223" s="20">
        <f>+Movimientos_2026[[#This Row],[Ingresos]]-Movimientos_2026[[#This Row],[Egresos]]</f>
        <v>0</v>
      </c>
      <c r="O3223" s="20">
        <f>+O3222+Movimientos_2026[[#This Row],[Neto]]</f>
        <v>4581558617.7962294</v>
      </c>
    </row>
    <row r="3224" spans="1:15" x14ac:dyDescent="0.25">
      <c r="A3224" s="13"/>
      <c r="B3224" s="12">
        <f>MONTH(Movimientos_2026[[#This Row],[Fecha]])</f>
        <v>1</v>
      </c>
      <c r="C3224" s="12" t="str">
        <f>VLOOKUP((WEEKDAY(Movimientos_2026[[#This Row],[Fecha]],2)),'5. Setup'!$D$6:$E$12,2,FALSE)</f>
        <v>Sab</v>
      </c>
      <c r="E3224" t="str">
        <f>IFERROR(+VLOOKUP(Movimientos_2026[[#This Row],[Codigo]],Plan_cuentas[],2,FALSE)," ")</f>
        <v xml:space="preserve"> </v>
      </c>
      <c r="F3224" t="str">
        <f>IFERROR(+VLOOKUP(Movimientos_2026[[#This Row],[Codigo]],Plan_cuentas[],3,FALSE)," ")</f>
        <v xml:space="preserve"> </v>
      </c>
      <c r="G3224" t="str">
        <f>IFERROR(+VLOOKUP(Movimientos_2026[[#This Row],[Codigo]],Plan_cuentas[],4,FALSE)," ")</f>
        <v xml:space="preserve"> </v>
      </c>
      <c r="H3224" t="str">
        <f>IFERROR(+VLOOKUP(Movimientos_2026[[#This Row],[Codigo]],Plan_cuentas[],5,FALSE)," ")</f>
        <v xml:space="preserve"> </v>
      </c>
      <c r="I3224" s="43"/>
      <c r="K3224" t="str">
        <f>IFERROR(+VLOOKUP(Movimientos_2026[[#This Row],[Codigo]],Plan_cuentas[],6,FALSE)," ")</f>
        <v xml:space="preserve"> </v>
      </c>
      <c r="L3224" s="50"/>
      <c r="M3224" s="50"/>
      <c r="N3224" s="20">
        <f>+Movimientos_2026[[#This Row],[Ingresos]]-Movimientos_2026[[#This Row],[Egresos]]</f>
        <v>0</v>
      </c>
      <c r="O3224" s="20">
        <f>+O3223+Movimientos_2026[[#This Row],[Neto]]</f>
        <v>4581558617.7962294</v>
      </c>
    </row>
    <row r="3225" spans="1:15" x14ac:dyDescent="0.25">
      <c r="A3225" s="13"/>
      <c r="B3225" s="12">
        <f>MONTH(Movimientos_2026[[#This Row],[Fecha]])</f>
        <v>1</v>
      </c>
      <c r="C3225" s="12" t="str">
        <f>VLOOKUP((WEEKDAY(Movimientos_2026[[#This Row],[Fecha]],2)),'5. Setup'!$D$6:$E$12,2,FALSE)</f>
        <v>Sab</v>
      </c>
      <c r="E3225" t="str">
        <f>IFERROR(+VLOOKUP(Movimientos_2026[[#This Row],[Codigo]],Plan_cuentas[],2,FALSE)," ")</f>
        <v xml:space="preserve"> </v>
      </c>
      <c r="F3225" t="str">
        <f>IFERROR(+VLOOKUP(Movimientos_2026[[#This Row],[Codigo]],Plan_cuentas[],3,FALSE)," ")</f>
        <v xml:space="preserve"> </v>
      </c>
      <c r="G3225" t="str">
        <f>IFERROR(+VLOOKUP(Movimientos_2026[[#This Row],[Codigo]],Plan_cuentas[],4,FALSE)," ")</f>
        <v xml:space="preserve"> </v>
      </c>
      <c r="H3225" t="str">
        <f>IFERROR(+VLOOKUP(Movimientos_2026[[#This Row],[Codigo]],Plan_cuentas[],5,FALSE)," ")</f>
        <v xml:space="preserve"> </v>
      </c>
      <c r="I3225" s="43"/>
      <c r="K3225" t="str">
        <f>IFERROR(+VLOOKUP(Movimientos_2026[[#This Row],[Codigo]],Plan_cuentas[],6,FALSE)," ")</f>
        <v xml:space="preserve"> </v>
      </c>
      <c r="L3225" s="50"/>
      <c r="M3225" s="50"/>
      <c r="N3225" s="20">
        <f>+Movimientos_2026[[#This Row],[Ingresos]]-Movimientos_2026[[#This Row],[Egresos]]</f>
        <v>0</v>
      </c>
      <c r="O3225" s="20">
        <f>+O3224+Movimientos_2026[[#This Row],[Neto]]</f>
        <v>4581558617.7962294</v>
      </c>
    </row>
    <row r="3226" spans="1:15" x14ac:dyDescent="0.25">
      <c r="A3226" s="13"/>
      <c r="B3226" s="12">
        <f>MONTH(Movimientos_2026[[#This Row],[Fecha]])</f>
        <v>1</v>
      </c>
      <c r="C3226" s="12" t="str">
        <f>VLOOKUP((WEEKDAY(Movimientos_2026[[#This Row],[Fecha]],2)),'5. Setup'!$D$6:$E$12,2,FALSE)</f>
        <v>Sab</v>
      </c>
      <c r="E3226" t="str">
        <f>IFERROR(+VLOOKUP(Movimientos_2026[[#This Row],[Codigo]],Plan_cuentas[],2,FALSE)," ")</f>
        <v xml:space="preserve"> </v>
      </c>
      <c r="F3226" t="str">
        <f>IFERROR(+VLOOKUP(Movimientos_2026[[#This Row],[Codigo]],Plan_cuentas[],3,FALSE)," ")</f>
        <v xml:space="preserve"> </v>
      </c>
      <c r="G3226" t="str">
        <f>IFERROR(+VLOOKUP(Movimientos_2026[[#This Row],[Codigo]],Plan_cuentas[],4,FALSE)," ")</f>
        <v xml:space="preserve"> </v>
      </c>
      <c r="H3226" t="str">
        <f>IFERROR(+VLOOKUP(Movimientos_2026[[#This Row],[Codigo]],Plan_cuentas[],5,FALSE)," ")</f>
        <v xml:space="preserve"> </v>
      </c>
      <c r="I3226" s="43"/>
      <c r="K3226" t="str">
        <f>IFERROR(+VLOOKUP(Movimientos_2026[[#This Row],[Codigo]],Plan_cuentas[],6,FALSE)," ")</f>
        <v xml:space="preserve"> </v>
      </c>
      <c r="L3226" s="50"/>
      <c r="M3226" s="50"/>
      <c r="N3226" s="20">
        <f>+Movimientos_2026[[#This Row],[Ingresos]]-Movimientos_2026[[#This Row],[Egresos]]</f>
        <v>0</v>
      </c>
      <c r="O3226" s="20">
        <f>+O3225+Movimientos_2026[[#This Row],[Neto]]</f>
        <v>4581558617.7962294</v>
      </c>
    </row>
    <row r="3227" spans="1:15" x14ac:dyDescent="0.25">
      <c r="A3227" s="13"/>
      <c r="B3227" s="12">
        <f>MONTH(Movimientos_2026[[#This Row],[Fecha]])</f>
        <v>1</v>
      </c>
      <c r="C3227" s="12" t="str">
        <f>VLOOKUP((WEEKDAY(Movimientos_2026[[#This Row],[Fecha]],2)),'5. Setup'!$D$6:$E$12,2,FALSE)</f>
        <v>Sab</v>
      </c>
      <c r="E3227" t="str">
        <f>IFERROR(+VLOOKUP(Movimientos_2026[[#This Row],[Codigo]],Plan_cuentas[],2,FALSE)," ")</f>
        <v xml:space="preserve"> </v>
      </c>
      <c r="F3227" t="str">
        <f>IFERROR(+VLOOKUP(Movimientos_2026[[#This Row],[Codigo]],Plan_cuentas[],3,FALSE)," ")</f>
        <v xml:space="preserve"> </v>
      </c>
      <c r="G3227" t="str">
        <f>IFERROR(+VLOOKUP(Movimientos_2026[[#This Row],[Codigo]],Plan_cuentas[],4,FALSE)," ")</f>
        <v xml:space="preserve"> </v>
      </c>
      <c r="H3227" t="str">
        <f>IFERROR(+VLOOKUP(Movimientos_2026[[#This Row],[Codigo]],Plan_cuentas[],5,FALSE)," ")</f>
        <v xml:space="preserve"> </v>
      </c>
      <c r="I3227" s="43"/>
      <c r="K3227" t="str">
        <f>IFERROR(+VLOOKUP(Movimientos_2026[[#This Row],[Codigo]],Plan_cuentas[],6,FALSE)," ")</f>
        <v xml:space="preserve"> </v>
      </c>
      <c r="L3227" s="50"/>
      <c r="M3227" s="50"/>
      <c r="N3227" s="20">
        <f>+Movimientos_2026[[#This Row],[Ingresos]]-Movimientos_2026[[#This Row],[Egresos]]</f>
        <v>0</v>
      </c>
      <c r="O3227" s="20">
        <f>+O3226+Movimientos_2026[[#This Row],[Neto]]</f>
        <v>4581558617.7962294</v>
      </c>
    </row>
    <row r="3228" spans="1:15" x14ac:dyDescent="0.25">
      <c r="A3228" s="13"/>
      <c r="B3228" s="12">
        <f>MONTH(Movimientos_2026[[#This Row],[Fecha]])</f>
        <v>1</v>
      </c>
      <c r="C3228" s="12" t="str">
        <f>VLOOKUP((WEEKDAY(Movimientos_2026[[#This Row],[Fecha]],2)),'5. Setup'!$D$6:$E$12,2,FALSE)</f>
        <v>Sab</v>
      </c>
      <c r="E3228" t="str">
        <f>IFERROR(+VLOOKUP(Movimientos_2026[[#This Row],[Codigo]],Plan_cuentas[],2,FALSE)," ")</f>
        <v xml:space="preserve"> </v>
      </c>
      <c r="F3228" t="str">
        <f>IFERROR(+VLOOKUP(Movimientos_2026[[#This Row],[Codigo]],Plan_cuentas[],3,FALSE)," ")</f>
        <v xml:space="preserve"> </v>
      </c>
      <c r="G3228" t="str">
        <f>IFERROR(+VLOOKUP(Movimientos_2026[[#This Row],[Codigo]],Plan_cuentas[],4,FALSE)," ")</f>
        <v xml:space="preserve"> </v>
      </c>
      <c r="H3228" t="str">
        <f>IFERROR(+VLOOKUP(Movimientos_2026[[#This Row],[Codigo]],Plan_cuentas[],5,FALSE)," ")</f>
        <v xml:space="preserve"> </v>
      </c>
      <c r="I3228" s="43"/>
      <c r="K3228" t="str">
        <f>IFERROR(+VLOOKUP(Movimientos_2026[[#This Row],[Codigo]],Plan_cuentas[],6,FALSE)," ")</f>
        <v xml:space="preserve"> </v>
      </c>
      <c r="L3228" s="50"/>
      <c r="M3228" s="50"/>
      <c r="N3228" s="20">
        <f>+Movimientos_2026[[#This Row],[Ingresos]]-Movimientos_2026[[#This Row],[Egresos]]</f>
        <v>0</v>
      </c>
      <c r="O3228" s="20">
        <f>+O3227+Movimientos_2026[[#This Row],[Neto]]</f>
        <v>4581558617.7962294</v>
      </c>
    </row>
    <row r="3229" spans="1:15" x14ac:dyDescent="0.25">
      <c r="A3229" s="13"/>
      <c r="B3229" s="12">
        <f>MONTH(Movimientos_2026[[#This Row],[Fecha]])</f>
        <v>1</v>
      </c>
      <c r="C3229" s="12" t="str">
        <f>VLOOKUP((WEEKDAY(Movimientos_2026[[#This Row],[Fecha]],2)),'5. Setup'!$D$6:$E$12,2,FALSE)</f>
        <v>Sab</v>
      </c>
      <c r="E3229" t="str">
        <f>IFERROR(+VLOOKUP(Movimientos_2026[[#This Row],[Codigo]],Plan_cuentas[],2,FALSE)," ")</f>
        <v xml:space="preserve"> </v>
      </c>
      <c r="F3229" t="str">
        <f>IFERROR(+VLOOKUP(Movimientos_2026[[#This Row],[Codigo]],Plan_cuentas[],3,FALSE)," ")</f>
        <v xml:space="preserve"> </v>
      </c>
      <c r="G3229" t="str">
        <f>IFERROR(+VLOOKUP(Movimientos_2026[[#This Row],[Codigo]],Plan_cuentas[],4,FALSE)," ")</f>
        <v xml:space="preserve"> </v>
      </c>
      <c r="H3229" t="str">
        <f>IFERROR(+VLOOKUP(Movimientos_2026[[#This Row],[Codigo]],Plan_cuentas[],5,FALSE)," ")</f>
        <v xml:space="preserve"> </v>
      </c>
      <c r="I3229" s="43"/>
      <c r="K3229" t="str">
        <f>IFERROR(+VLOOKUP(Movimientos_2026[[#This Row],[Codigo]],Plan_cuentas[],6,FALSE)," ")</f>
        <v xml:space="preserve"> </v>
      </c>
      <c r="L3229" s="50"/>
      <c r="M3229" s="50"/>
      <c r="N3229" s="20">
        <f>+Movimientos_2026[[#This Row],[Ingresos]]-Movimientos_2026[[#This Row],[Egresos]]</f>
        <v>0</v>
      </c>
      <c r="O3229" s="20">
        <f>+O3228+Movimientos_2026[[#This Row],[Neto]]</f>
        <v>4581558617.7962294</v>
      </c>
    </row>
    <row r="3230" spans="1:15" x14ac:dyDescent="0.25">
      <c r="A3230" s="13"/>
      <c r="B3230" s="12">
        <f>MONTH(Movimientos_2026[[#This Row],[Fecha]])</f>
        <v>1</v>
      </c>
      <c r="C3230" s="12" t="str">
        <f>VLOOKUP((WEEKDAY(Movimientos_2026[[#This Row],[Fecha]],2)),'5. Setup'!$D$6:$E$12,2,FALSE)</f>
        <v>Sab</v>
      </c>
      <c r="E3230" t="str">
        <f>IFERROR(+VLOOKUP(Movimientos_2026[[#This Row],[Codigo]],Plan_cuentas[],2,FALSE)," ")</f>
        <v xml:space="preserve"> </v>
      </c>
      <c r="F3230" t="str">
        <f>IFERROR(+VLOOKUP(Movimientos_2026[[#This Row],[Codigo]],Plan_cuentas[],3,FALSE)," ")</f>
        <v xml:space="preserve"> </v>
      </c>
      <c r="G3230" t="str">
        <f>IFERROR(+VLOOKUP(Movimientos_2026[[#This Row],[Codigo]],Plan_cuentas[],4,FALSE)," ")</f>
        <v xml:space="preserve"> </v>
      </c>
      <c r="H3230" t="str">
        <f>IFERROR(+VLOOKUP(Movimientos_2026[[#This Row],[Codigo]],Plan_cuentas[],5,FALSE)," ")</f>
        <v xml:space="preserve"> </v>
      </c>
      <c r="I3230" s="43"/>
      <c r="K3230" t="str">
        <f>IFERROR(+VLOOKUP(Movimientos_2026[[#This Row],[Codigo]],Plan_cuentas[],6,FALSE)," ")</f>
        <v xml:space="preserve"> </v>
      </c>
      <c r="L3230" s="50"/>
      <c r="M3230" s="50"/>
      <c r="N3230" s="20">
        <f>+Movimientos_2026[[#This Row],[Ingresos]]-Movimientos_2026[[#This Row],[Egresos]]</f>
        <v>0</v>
      </c>
      <c r="O3230" s="20">
        <f>+O3229+Movimientos_2026[[#This Row],[Neto]]</f>
        <v>4581558617.7962294</v>
      </c>
    </row>
    <row r="3231" spans="1:15" x14ac:dyDescent="0.25">
      <c r="A3231" s="13"/>
      <c r="B3231" s="12">
        <f>MONTH(Movimientos_2026[[#This Row],[Fecha]])</f>
        <v>1</v>
      </c>
      <c r="C3231" s="12" t="str">
        <f>VLOOKUP((WEEKDAY(Movimientos_2026[[#This Row],[Fecha]],2)),'5. Setup'!$D$6:$E$12,2,FALSE)</f>
        <v>Sab</v>
      </c>
      <c r="E3231" t="str">
        <f>IFERROR(+VLOOKUP(Movimientos_2026[[#This Row],[Codigo]],Plan_cuentas[],2,FALSE)," ")</f>
        <v xml:space="preserve"> </v>
      </c>
      <c r="F3231" t="str">
        <f>IFERROR(+VLOOKUP(Movimientos_2026[[#This Row],[Codigo]],Plan_cuentas[],3,FALSE)," ")</f>
        <v xml:space="preserve"> </v>
      </c>
      <c r="G3231" t="str">
        <f>IFERROR(+VLOOKUP(Movimientos_2026[[#This Row],[Codigo]],Plan_cuentas[],4,FALSE)," ")</f>
        <v xml:space="preserve"> </v>
      </c>
      <c r="H3231" t="str">
        <f>IFERROR(+VLOOKUP(Movimientos_2026[[#This Row],[Codigo]],Plan_cuentas[],5,FALSE)," ")</f>
        <v xml:space="preserve"> </v>
      </c>
      <c r="I3231" s="43"/>
      <c r="K3231" t="str">
        <f>IFERROR(+VLOOKUP(Movimientos_2026[[#This Row],[Codigo]],Plan_cuentas[],6,FALSE)," ")</f>
        <v xml:space="preserve"> </v>
      </c>
      <c r="L3231" s="50"/>
      <c r="M3231" s="50"/>
      <c r="N3231" s="20">
        <f>+Movimientos_2026[[#This Row],[Ingresos]]-Movimientos_2026[[#This Row],[Egresos]]</f>
        <v>0</v>
      </c>
      <c r="O3231" s="20">
        <f>+O3230+Movimientos_2026[[#This Row],[Neto]]</f>
        <v>4581558617.7962294</v>
      </c>
    </row>
    <row r="3232" spans="1:15" x14ac:dyDescent="0.25">
      <c r="A3232" s="13"/>
      <c r="B3232" s="12">
        <f>MONTH(Movimientos_2026[[#This Row],[Fecha]])</f>
        <v>1</v>
      </c>
      <c r="C3232" s="12" t="str">
        <f>VLOOKUP((WEEKDAY(Movimientos_2026[[#This Row],[Fecha]],2)),'5. Setup'!$D$6:$E$12,2,FALSE)</f>
        <v>Sab</v>
      </c>
      <c r="E3232" t="str">
        <f>IFERROR(+VLOOKUP(Movimientos_2026[[#This Row],[Codigo]],Plan_cuentas[],2,FALSE)," ")</f>
        <v xml:space="preserve"> </v>
      </c>
      <c r="F3232" t="str">
        <f>IFERROR(+VLOOKUP(Movimientos_2026[[#This Row],[Codigo]],Plan_cuentas[],3,FALSE)," ")</f>
        <v xml:space="preserve"> </v>
      </c>
      <c r="G3232" t="str">
        <f>IFERROR(+VLOOKUP(Movimientos_2026[[#This Row],[Codigo]],Plan_cuentas[],4,FALSE)," ")</f>
        <v xml:space="preserve"> </v>
      </c>
      <c r="H3232" t="str">
        <f>IFERROR(+VLOOKUP(Movimientos_2026[[#This Row],[Codigo]],Plan_cuentas[],5,FALSE)," ")</f>
        <v xml:space="preserve"> </v>
      </c>
      <c r="I3232" s="43"/>
      <c r="K3232" t="str">
        <f>IFERROR(+VLOOKUP(Movimientos_2026[[#This Row],[Codigo]],Plan_cuentas[],6,FALSE)," ")</f>
        <v xml:space="preserve"> </v>
      </c>
      <c r="L3232" s="50"/>
      <c r="M3232" s="50"/>
      <c r="N3232" s="20">
        <f>+Movimientos_2026[[#This Row],[Ingresos]]-Movimientos_2026[[#This Row],[Egresos]]</f>
        <v>0</v>
      </c>
      <c r="O3232" s="20">
        <f>+O3231+Movimientos_2026[[#This Row],[Neto]]</f>
        <v>4581558617.7962294</v>
      </c>
    </row>
    <row r="3233" spans="1:15" x14ac:dyDescent="0.25">
      <c r="A3233" s="13"/>
      <c r="B3233" s="12">
        <f>MONTH(Movimientos_2026[[#This Row],[Fecha]])</f>
        <v>1</v>
      </c>
      <c r="C3233" s="12" t="str">
        <f>VLOOKUP((WEEKDAY(Movimientos_2026[[#This Row],[Fecha]],2)),'5. Setup'!$D$6:$E$12,2,FALSE)</f>
        <v>Sab</v>
      </c>
      <c r="E3233" t="str">
        <f>IFERROR(+VLOOKUP(Movimientos_2026[[#This Row],[Codigo]],Plan_cuentas[],2,FALSE)," ")</f>
        <v xml:space="preserve"> </v>
      </c>
      <c r="F3233" t="str">
        <f>IFERROR(+VLOOKUP(Movimientos_2026[[#This Row],[Codigo]],Plan_cuentas[],3,FALSE)," ")</f>
        <v xml:space="preserve"> </v>
      </c>
      <c r="G3233" t="str">
        <f>IFERROR(+VLOOKUP(Movimientos_2026[[#This Row],[Codigo]],Plan_cuentas[],4,FALSE)," ")</f>
        <v xml:space="preserve"> </v>
      </c>
      <c r="H3233" t="str">
        <f>IFERROR(+VLOOKUP(Movimientos_2026[[#This Row],[Codigo]],Plan_cuentas[],5,FALSE)," ")</f>
        <v xml:space="preserve"> </v>
      </c>
      <c r="I3233" s="43"/>
      <c r="K3233" t="str">
        <f>IFERROR(+VLOOKUP(Movimientos_2026[[#This Row],[Codigo]],Plan_cuentas[],6,FALSE)," ")</f>
        <v xml:space="preserve"> </v>
      </c>
      <c r="L3233" s="50"/>
      <c r="M3233" s="50"/>
      <c r="N3233" s="20">
        <f>+Movimientos_2026[[#This Row],[Ingresos]]-Movimientos_2026[[#This Row],[Egresos]]</f>
        <v>0</v>
      </c>
      <c r="O3233" s="20">
        <f>+O3232+Movimientos_2026[[#This Row],[Neto]]</f>
        <v>4581558617.7962294</v>
      </c>
    </row>
    <row r="3234" spans="1:15" x14ac:dyDescent="0.25">
      <c r="A3234" s="13"/>
      <c r="B3234" s="12">
        <f>MONTH(Movimientos_2026[[#This Row],[Fecha]])</f>
        <v>1</v>
      </c>
      <c r="C3234" s="12" t="str">
        <f>VLOOKUP((WEEKDAY(Movimientos_2026[[#This Row],[Fecha]],2)),'5. Setup'!$D$6:$E$12,2,FALSE)</f>
        <v>Sab</v>
      </c>
      <c r="E3234" t="str">
        <f>IFERROR(+VLOOKUP(Movimientos_2026[[#This Row],[Codigo]],Plan_cuentas[],2,FALSE)," ")</f>
        <v xml:space="preserve"> </v>
      </c>
      <c r="F3234" t="str">
        <f>IFERROR(+VLOOKUP(Movimientos_2026[[#This Row],[Codigo]],Plan_cuentas[],3,FALSE)," ")</f>
        <v xml:space="preserve"> </v>
      </c>
      <c r="G3234" t="str">
        <f>IFERROR(+VLOOKUP(Movimientos_2026[[#This Row],[Codigo]],Plan_cuentas[],4,FALSE)," ")</f>
        <v xml:space="preserve"> </v>
      </c>
      <c r="H3234" t="str">
        <f>IFERROR(+VLOOKUP(Movimientos_2026[[#This Row],[Codigo]],Plan_cuentas[],5,FALSE)," ")</f>
        <v xml:space="preserve"> </v>
      </c>
      <c r="I3234" s="43"/>
      <c r="K3234" t="str">
        <f>IFERROR(+VLOOKUP(Movimientos_2026[[#This Row],[Codigo]],Plan_cuentas[],6,FALSE)," ")</f>
        <v xml:space="preserve"> </v>
      </c>
      <c r="L3234" s="50"/>
      <c r="M3234" s="50"/>
      <c r="N3234" s="20">
        <f>+Movimientos_2026[[#This Row],[Ingresos]]-Movimientos_2026[[#This Row],[Egresos]]</f>
        <v>0</v>
      </c>
      <c r="O3234" s="20">
        <f>+O3233+Movimientos_2026[[#This Row],[Neto]]</f>
        <v>4581558617.7962294</v>
      </c>
    </row>
    <row r="3235" spans="1:15" x14ac:dyDescent="0.25">
      <c r="A3235" s="13"/>
      <c r="B3235" s="12">
        <f>MONTH(Movimientos_2026[[#This Row],[Fecha]])</f>
        <v>1</v>
      </c>
      <c r="C3235" s="12" t="str">
        <f>VLOOKUP((WEEKDAY(Movimientos_2026[[#This Row],[Fecha]],2)),'5. Setup'!$D$6:$E$12,2,FALSE)</f>
        <v>Sab</v>
      </c>
      <c r="E3235" t="str">
        <f>IFERROR(+VLOOKUP(Movimientos_2026[[#This Row],[Codigo]],Plan_cuentas[],2,FALSE)," ")</f>
        <v xml:space="preserve"> </v>
      </c>
      <c r="F3235" t="str">
        <f>IFERROR(+VLOOKUP(Movimientos_2026[[#This Row],[Codigo]],Plan_cuentas[],3,FALSE)," ")</f>
        <v xml:space="preserve"> </v>
      </c>
      <c r="G3235" t="str">
        <f>IFERROR(+VLOOKUP(Movimientos_2026[[#This Row],[Codigo]],Plan_cuentas[],4,FALSE)," ")</f>
        <v xml:space="preserve"> </v>
      </c>
      <c r="H3235" t="str">
        <f>IFERROR(+VLOOKUP(Movimientos_2026[[#This Row],[Codigo]],Plan_cuentas[],5,FALSE)," ")</f>
        <v xml:space="preserve"> </v>
      </c>
      <c r="I3235" s="43"/>
      <c r="K3235" t="str">
        <f>IFERROR(+VLOOKUP(Movimientos_2026[[#This Row],[Codigo]],Plan_cuentas[],6,FALSE)," ")</f>
        <v xml:space="preserve"> </v>
      </c>
      <c r="L3235" s="50"/>
      <c r="M3235" s="50"/>
      <c r="N3235" s="20">
        <f>+Movimientos_2026[[#This Row],[Ingresos]]-Movimientos_2026[[#This Row],[Egresos]]</f>
        <v>0</v>
      </c>
      <c r="O3235" s="20">
        <f>+O3234+Movimientos_2026[[#This Row],[Neto]]</f>
        <v>4581558617.7962294</v>
      </c>
    </row>
    <row r="3236" spans="1:15" x14ac:dyDescent="0.25">
      <c r="A3236" s="13"/>
      <c r="B3236" s="12">
        <f>MONTH(Movimientos_2026[[#This Row],[Fecha]])</f>
        <v>1</v>
      </c>
      <c r="C3236" s="12" t="str">
        <f>VLOOKUP((WEEKDAY(Movimientos_2026[[#This Row],[Fecha]],2)),'5. Setup'!$D$6:$E$12,2,FALSE)</f>
        <v>Sab</v>
      </c>
      <c r="E3236" t="str">
        <f>IFERROR(+VLOOKUP(Movimientos_2026[[#This Row],[Codigo]],Plan_cuentas[],2,FALSE)," ")</f>
        <v xml:space="preserve"> </v>
      </c>
      <c r="F3236" t="str">
        <f>IFERROR(+VLOOKUP(Movimientos_2026[[#This Row],[Codigo]],Plan_cuentas[],3,FALSE)," ")</f>
        <v xml:space="preserve"> </v>
      </c>
      <c r="G3236" t="str">
        <f>IFERROR(+VLOOKUP(Movimientos_2026[[#This Row],[Codigo]],Plan_cuentas[],4,FALSE)," ")</f>
        <v xml:space="preserve"> </v>
      </c>
      <c r="H3236" t="str">
        <f>IFERROR(+VLOOKUP(Movimientos_2026[[#This Row],[Codigo]],Plan_cuentas[],5,FALSE)," ")</f>
        <v xml:space="preserve"> </v>
      </c>
      <c r="I3236" s="43"/>
      <c r="K3236" t="str">
        <f>IFERROR(+VLOOKUP(Movimientos_2026[[#This Row],[Codigo]],Plan_cuentas[],6,FALSE)," ")</f>
        <v xml:space="preserve"> </v>
      </c>
      <c r="L3236" s="50"/>
      <c r="M3236" s="50"/>
      <c r="N3236" s="20">
        <f>+Movimientos_2026[[#This Row],[Ingresos]]-Movimientos_2026[[#This Row],[Egresos]]</f>
        <v>0</v>
      </c>
      <c r="O3236" s="20">
        <f>+O3235+Movimientos_2026[[#This Row],[Neto]]</f>
        <v>4581558617.7962294</v>
      </c>
    </row>
    <row r="3237" spans="1:15" x14ac:dyDescent="0.25">
      <c r="A3237" s="13"/>
      <c r="B3237" s="12">
        <f>MONTH(Movimientos_2026[[#This Row],[Fecha]])</f>
        <v>1</v>
      </c>
      <c r="C3237" s="12" t="str">
        <f>VLOOKUP((WEEKDAY(Movimientos_2026[[#This Row],[Fecha]],2)),'5. Setup'!$D$6:$E$12,2,FALSE)</f>
        <v>Sab</v>
      </c>
      <c r="E3237" t="str">
        <f>IFERROR(+VLOOKUP(Movimientos_2026[[#This Row],[Codigo]],Plan_cuentas[],2,FALSE)," ")</f>
        <v xml:space="preserve"> </v>
      </c>
      <c r="F3237" t="str">
        <f>IFERROR(+VLOOKUP(Movimientos_2026[[#This Row],[Codigo]],Plan_cuentas[],3,FALSE)," ")</f>
        <v xml:space="preserve"> </v>
      </c>
      <c r="G3237" t="str">
        <f>IFERROR(+VLOOKUP(Movimientos_2026[[#This Row],[Codigo]],Plan_cuentas[],4,FALSE)," ")</f>
        <v xml:space="preserve"> </v>
      </c>
      <c r="H3237" t="str">
        <f>IFERROR(+VLOOKUP(Movimientos_2026[[#This Row],[Codigo]],Plan_cuentas[],5,FALSE)," ")</f>
        <v xml:space="preserve"> </v>
      </c>
      <c r="I3237" s="43"/>
      <c r="K3237" t="str">
        <f>IFERROR(+VLOOKUP(Movimientos_2026[[#This Row],[Codigo]],Plan_cuentas[],6,FALSE)," ")</f>
        <v xml:space="preserve"> </v>
      </c>
      <c r="L3237" s="50"/>
      <c r="M3237" s="50"/>
      <c r="N3237" s="20">
        <f>+Movimientos_2026[[#This Row],[Ingresos]]-Movimientos_2026[[#This Row],[Egresos]]</f>
        <v>0</v>
      </c>
      <c r="O3237" s="20">
        <f>+O3236+Movimientos_2026[[#This Row],[Neto]]</f>
        <v>4581558617.7962294</v>
      </c>
    </row>
    <row r="3238" spans="1:15" x14ac:dyDescent="0.25">
      <c r="A3238" s="13"/>
      <c r="B3238" s="12">
        <f>MONTH(Movimientos_2026[[#This Row],[Fecha]])</f>
        <v>1</v>
      </c>
      <c r="C3238" s="12" t="str">
        <f>VLOOKUP((WEEKDAY(Movimientos_2026[[#This Row],[Fecha]],2)),'5. Setup'!$D$6:$E$12,2,FALSE)</f>
        <v>Sab</v>
      </c>
      <c r="E3238" t="str">
        <f>IFERROR(+VLOOKUP(Movimientos_2026[[#This Row],[Codigo]],Plan_cuentas[],2,FALSE)," ")</f>
        <v xml:space="preserve"> </v>
      </c>
      <c r="F3238" t="str">
        <f>IFERROR(+VLOOKUP(Movimientos_2026[[#This Row],[Codigo]],Plan_cuentas[],3,FALSE)," ")</f>
        <v xml:space="preserve"> </v>
      </c>
      <c r="G3238" t="str">
        <f>IFERROR(+VLOOKUP(Movimientos_2026[[#This Row],[Codigo]],Plan_cuentas[],4,FALSE)," ")</f>
        <v xml:space="preserve"> </v>
      </c>
      <c r="H3238" t="str">
        <f>IFERROR(+VLOOKUP(Movimientos_2026[[#This Row],[Codigo]],Plan_cuentas[],5,FALSE)," ")</f>
        <v xml:space="preserve"> </v>
      </c>
      <c r="I3238" s="43"/>
      <c r="K3238" t="str">
        <f>IFERROR(+VLOOKUP(Movimientos_2026[[#This Row],[Codigo]],Plan_cuentas[],6,FALSE)," ")</f>
        <v xml:space="preserve"> </v>
      </c>
      <c r="L3238" s="50"/>
      <c r="M3238" s="50"/>
      <c r="N3238" s="20">
        <f>+Movimientos_2026[[#This Row],[Ingresos]]-Movimientos_2026[[#This Row],[Egresos]]</f>
        <v>0</v>
      </c>
      <c r="O3238" s="20">
        <f>+O3237+Movimientos_2026[[#This Row],[Neto]]</f>
        <v>4581558617.7962294</v>
      </c>
    </row>
    <row r="3239" spans="1:15" x14ac:dyDescent="0.25">
      <c r="A3239" s="13"/>
      <c r="B3239" s="12">
        <f>MONTH(Movimientos_2026[[#This Row],[Fecha]])</f>
        <v>1</v>
      </c>
      <c r="C3239" s="12" t="str">
        <f>VLOOKUP((WEEKDAY(Movimientos_2026[[#This Row],[Fecha]],2)),'5. Setup'!$D$6:$E$12,2,FALSE)</f>
        <v>Sab</v>
      </c>
      <c r="E3239" t="str">
        <f>IFERROR(+VLOOKUP(Movimientos_2026[[#This Row],[Codigo]],Plan_cuentas[],2,FALSE)," ")</f>
        <v xml:space="preserve"> </v>
      </c>
      <c r="F3239" t="str">
        <f>IFERROR(+VLOOKUP(Movimientos_2026[[#This Row],[Codigo]],Plan_cuentas[],3,FALSE)," ")</f>
        <v xml:space="preserve"> </v>
      </c>
      <c r="G3239" t="str">
        <f>IFERROR(+VLOOKUP(Movimientos_2026[[#This Row],[Codigo]],Plan_cuentas[],4,FALSE)," ")</f>
        <v xml:space="preserve"> </v>
      </c>
      <c r="H3239" t="str">
        <f>IFERROR(+VLOOKUP(Movimientos_2026[[#This Row],[Codigo]],Plan_cuentas[],5,FALSE)," ")</f>
        <v xml:space="preserve"> </v>
      </c>
      <c r="I3239" s="43"/>
      <c r="K3239" t="str">
        <f>IFERROR(+VLOOKUP(Movimientos_2026[[#This Row],[Codigo]],Plan_cuentas[],6,FALSE)," ")</f>
        <v xml:space="preserve"> </v>
      </c>
      <c r="L3239" s="50"/>
      <c r="M3239" s="50"/>
      <c r="N3239" s="20">
        <f>+Movimientos_2026[[#This Row],[Ingresos]]-Movimientos_2026[[#This Row],[Egresos]]</f>
        <v>0</v>
      </c>
      <c r="O3239" s="20">
        <f>+O3238+Movimientos_2026[[#This Row],[Neto]]</f>
        <v>4581558617.7962294</v>
      </c>
    </row>
    <row r="3240" spans="1:15" x14ac:dyDescent="0.25">
      <c r="A3240" s="13"/>
      <c r="B3240" s="12">
        <f>MONTH(Movimientos_2026[[#This Row],[Fecha]])</f>
        <v>1</v>
      </c>
      <c r="C3240" s="12" t="str">
        <f>VLOOKUP((WEEKDAY(Movimientos_2026[[#This Row],[Fecha]],2)),'5. Setup'!$D$6:$E$12,2,FALSE)</f>
        <v>Sab</v>
      </c>
      <c r="E3240" t="str">
        <f>IFERROR(+VLOOKUP(Movimientos_2026[[#This Row],[Codigo]],Plan_cuentas[],2,FALSE)," ")</f>
        <v xml:space="preserve"> </v>
      </c>
      <c r="F3240" t="str">
        <f>IFERROR(+VLOOKUP(Movimientos_2026[[#This Row],[Codigo]],Plan_cuentas[],3,FALSE)," ")</f>
        <v xml:space="preserve"> </v>
      </c>
      <c r="G3240" t="str">
        <f>IFERROR(+VLOOKUP(Movimientos_2026[[#This Row],[Codigo]],Plan_cuentas[],4,FALSE)," ")</f>
        <v xml:space="preserve"> </v>
      </c>
      <c r="H3240" t="str">
        <f>IFERROR(+VLOOKUP(Movimientos_2026[[#This Row],[Codigo]],Plan_cuentas[],5,FALSE)," ")</f>
        <v xml:space="preserve"> </v>
      </c>
      <c r="I3240" s="43"/>
      <c r="K3240" t="str">
        <f>IFERROR(+VLOOKUP(Movimientos_2026[[#This Row],[Codigo]],Plan_cuentas[],6,FALSE)," ")</f>
        <v xml:space="preserve"> </v>
      </c>
      <c r="L3240" s="50"/>
      <c r="M3240" s="50"/>
      <c r="N3240" s="20">
        <f>+Movimientos_2026[[#This Row],[Ingresos]]-Movimientos_2026[[#This Row],[Egresos]]</f>
        <v>0</v>
      </c>
      <c r="O3240" s="20">
        <f>+O3239+Movimientos_2026[[#This Row],[Neto]]</f>
        <v>4581558617.7962294</v>
      </c>
    </row>
    <row r="3241" spans="1:15" x14ac:dyDescent="0.25">
      <c r="A3241" s="13"/>
      <c r="B3241" s="12">
        <f>MONTH(Movimientos_2026[[#This Row],[Fecha]])</f>
        <v>1</v>
      </c>
      <c r="C3241" s="12" t="str">
        <f>VLOOKUP((WEEKDAY(Movimientos_2026[[#This Row],[Fecha]],2)),'5. Setup'!$D$6:$E$12,2,FALSE)</f>
        <v>Sab</v>
      </c>
      <c r="E3241" t="str">
        <f>IFERROR(+VLOOKUP(Movimientos_2026[[#This Row],[Codigo]],Plan_cuentas[],2,FALSE)," ")</f>
        <v xml:space="preserve"> </v>
      </c>
      <c r="F3241" t="str">
        <f>IFERROR(+VLOOKUP(Movimientos_2026[[#This Row],[Codigo]],Plan_cuentas[],3,FALSE)," ")</f>
        <v xml:space="preserve"> </v>
      </c>
      <c r="G3241" t="str">
        <f>IFERROR(+VLOOKUP(Movimientos_2026[[#This Row],[Codigo]],Plan_cuentas[],4,FALSE)," ")</f>
        <v xml:space="preserve"> </v>
      </c>
      <c r="H3241" t="str">
        <f>IFERROR(+VLOOKUP(Movimientos_2026[[#This Row],[Codigo]],Plan_cuentas[],5,FALSE)," ")</f>
        <v xml:space="preserve"> </v>
      </c>
      <c r="I3241" s="43"/>
      <c r="K3241" t="str">
        <f>IFERROR(+VLOOKUP(Movimientos_2026[[#This Row],[Codigo]],Plan_cuentas[],6,FALSE)," ")</f>
        <v xml:space="preserve"> </v>
      </c>
      <c r="L3241" s="50"/>
      <c r="M3241" s="50"/>
      <c r="N3241" s="20">
        <f>+Movimientos_2026[[#This Row],[Ingresos]]-Movimientos_2026[[#This Row],[Egresos]]</f>
        <v>0</v>
      </c>
      <c r="O3241" s="20">
        <f>+O3240+Movimientos_2026[[#This Row],[Neto]]</f>
        <v>4581558617.7962294</v>
      </c>
    </row>
    <row r="3242" spans="1:15" x14ac:dyDescent="0.25">
      <c r="A3242" s="13"/>
      <c r="B3242" s="12">
        <f>MONTH(Movimientos_2026[[#This Row],[Fecha]])</f>
        <v>1</v>
      </c>
      <c r="C3242" s="12" t="str">
        <f>VLOOKUP((WEEKDAY(Movimientos_2026[[#This Row],[Fecha]],2)),'5. Setup'!$D$6:$E$12,2,FALSE)</f>
        <v>Sab</v>
      </c>
      <c r="E3242" t="str">
        <f>IFERROR(+VLOOKUP(Movimientos_2026[[#This Row],[Codigo]],Plan_cuentas[],2,FALSE)," ")</f>
        <v xml:space="preserve"> </v>
      </c>
      <c r="F3242" t="str">
        <f>IFERROR(+VLOOKUP(Movimientos_2026[[#This Row],[Codigo]],Plan_cuentas[],3,FALSE)," ")</f>
        <v xml:space="preserve"> </v>
      </c>
      <c r="G3242" t="str">
        <f>IFERROR(+VLOOKUP(Movimientos_2026[[#This Row],[Codigo]],Plan_cuentas[],4,FALSE)," ")</f>
        <v xml:space="preserve"> </v>
      </c>
      <c r="H3242" t="str">
        <f>IFERROR(+VLOOKUP(Movimientos_2026[[#This Row],[Codigo]],Plan_cuentas[],5,FALSE)," ")</f>
        <v xml:space="preserve"> </v>
      </c>
      <c r="I3242" s="43"/>
      <c r="K3242" t="str">
        <f>IFERROR(+VLOOKUP(Movimientos_2026[[#This Row],[Codigo]],Plan_cuentas[],6,FALSE)," ")</f>
        <v xml:space="preserve"> </v>
      </c>
      <c r="L3242" s="50"/>
      <c r="M3242" s="50"/>
      <c r="N3242" s="20">
        <f>+Movimientos_2026[[#This Row],[Ingresos]]-Movimientos_2026[[#This Row],[Egresos]]</f>
        <v>0</v>
      </c>
      <c r="O3242" s="20">
        <f>+O3241+Movimientos_2026[[#This Row],[Neto]]</f>
        <v>4581558617.7962294</v>
      </c>
    </row>
    <row r="3243" spans="1:15" x14ac:dyDescent="0.25">
      <c r="A3243" s="13"/>
      <c r="B3243" s="12">
        <f>MONTH(Movimientos_2026[[#This Row],[Fecha]])</f>
        <v>1</v>
      </c>
      <c r="C3243" s="12" t="str">
        <f>VLOOKUP((WEEKDAY(Movimientos_2026[[#This Row],[Fecha]],2)),'5. Setup'!$D$6:$E$12,2,FALSE)</f>
        <v>Sab</v>
      </c>
      <c r="E3243" t="str">
        <f>IFERROR(+VLOOKUP(Movimientos_2026[[#This Row],[Codigo]],Plan_cuentas[],2,FALSE)," ")</f>
        <v xml:space="preserve"> </v>
      </c>
      <c r="F3243" t="str">
        <f>IFERROR(+VLOOKUP(Movimientos_2026[[#This Row],[Codigo]],Plan_cuentas[],3,FALSE)," ")</f>
        <v xml:space="preserve"> </v>
      </c>
      <c r="G3243" t="str">
        <f>IFERROR(+VLOOKUP(Movimientos_2026[[#This Row],[Codigo]],Plan_cuentas[],4,FALSE)," ")</f>
        <v xml:space="preserve"> </v>
      </c>
      <c r="H3243" t="str">
        <f>IFERROR(+VLOOKUP(Movimientos_2026[[#This Row],[Codigo]],Plan_cuentas[],5,FALSE)," ")</f>
        <v xml:space="preserve"> </v>
      </c>
      <c r="I3243" s="43"/>
      <c r="K3243" t="str">
        <f>IFERROR(+VLOOKUP(Movimientos_2026[[#This Row],[Codigo]],Plan_cuentas[],6,FALSE)," ")</f>
        <v xml:space="preserve"> </v>
      </c>
      <c r="L3243" s="50"/>
      <c r="M3243" s="50"/>
      <c r="N3243" s="20">
        <f>+Movimientos_2026[[#This Row],[Ingresos]]-Movimientos_2026[[#This Row],[Egresos]]</f>
        <v>0</v>
      </c>
      <c r="O3243" s="20">
        <f>+O3242+Movimientos_2026[[#This Row],[Neto]]</f>
        <v>4581558617.7962294</v>
      </c>
    </row>
    <row r="3244" spans="1:15" x14ac:dyDescent="0.25">
      <c r="A3244" s="13"/>
      <c r="B3244" s="12">
        <f>MONTH(Movimientos_2026[[#This Row],[Fecha]])</f>
        <v>1</v>
      </c>
      <c r="C3244" s="12" t="str">
        <f>VLOOKUP((WEEKDAY(Movimientos_2026[[#This Row],[Fecha]],2)),'5. Setup'!$D$6:$E$12,2,FALSE)</f>
        <v>Sab</v>
      </c>
      <c r="E3244" t="str">
        <f>IFERROR(+VLOOKUP(Movimientos_2026[[#This Row],[Codigo]],Plan_cuentas[],2,FALSE)," ")</f>
        <v xml:space="preserve"> </v>
      </c>
      <c r="F3244" t="str">
        <f>IFERROR(+VLOOKUP(Movimientos_2026[[#This Row],[Codigo]],Plan_cuentas[],3,FALSE)," ")</f>
        <v xml:space="preserve"> </v>
      </c>
      <c r="G3244" t="str">
        <f>IFERROR(+VLOOKUP(Movimientos_2026[[#This Row],[Codigo]],Plan_cuentas[],4,FALSE)," ")</f>
        <v xml:space="preserve"> </v>
      </c>
      <c r="H3244" t="str">
        <f>IFERROR(+VLOOKUP(Movimientos_2026[[#This Row],[Codigo]],Plan_cuentas[],5,FALSE)," ")</f>
        <v xml:space="preserve"> </v>
      </c>
      <c r="I3244" s="43"/>
      <c r="K3244" t="str">
        <f>IFERROR(+VLOOKUP(Movimientos_2026[[#This Row],[Codigo]],Plan_cuentas[],6,FALSE)," ")</f>
        <v xml:space="preserve"> </v>
      </c>
      <c r="L3244" s="50"/>
      <c r="M3244" s="50"/>
      <c r="N3244" s="20">
        <f>+Movimientos_2026[[#This Row],[Ingresos]]-Movimientos_2026[[#This Row],[Egresos]]</f>
        <v>0</v>
      </c>
      <c r="O3244" s="20">
        <f>+O3243+Movimientos_2026[[#This Row],[Neto]]</f>
        <v>4581558617.7962294</v>
      </c>
    </row>
    <row r="3245" spans="1:15" x14ac:dyDescent="0.25">
      <c r="A3245" s="13"/>
      <c r="B3245" s="12">
        <f>MONTH(Movimientos_2026[[#This Row],[Fecha]])</f>
        <v>1</v>
      </c>
      <c r="C3245" s="12" t="str">
        <f>VLOOKUP((WEEKDAY(Movimientos_2026[[#This Row],[Fecha]],2)),'5. Setup'!$D$6:$E$12,2,FALSE)</f>
        <v>Sab</v>
      </c>
      <c r="E3245" t="str">
        <f>IFERROR(+VLOOKUP(Movimientos_2026[[#This Row],[Codigo]],Plan_cuentas[],2,FALSE)," ")</f>
        <v xml:space="preserve"> </v>
      </c>
      <c r="F3245" t="str">
        <f>IFERROR(+VLOOKUP(Movimientos_2026[[#This Row],[Codigo]],Plan_cuentas[],3,FALSE)," ")</f>
        <v xml:space="preserve"> </v>
      </c>
      <c r="G3245" t="str">
        <f>IFERROR(+VLOOKUP(Movimientos_2026[[#This Row],[Codigo]],Plan_cuentas[],4,FALSE)," ")</f>
        <v xml:space="preserve"> </v>
      </c>
      <c r="H3245" t="str">
        <f>IFERROR(+VLOOKUP(Movimientos_2026[[#This Row],[Codigo]],Plan_cuentas[],5,FALSE)," ")</f>
        <v xml:space="preserve"> </v>
      </c>
      <c r="I3245" s="43"/>
      <c r="K3245" t="str">
        <f>IFERROR(+VLOOKUP(Movimientos_2026[[#This Row],[Codigo]],Plan_cuentas[],6,FALSE)," ")</f>
        <v xml:space="preserve"> </v>
      </c>
      <c r="L3245" s="50"/>
      <c r="M3245" s="50"/>
      <c r="N3245" s="20">
        <f>+Movimientos_2026[[#This Row],[Ingresos]]-Movimientos_2026[[#This Row],[Egresos]]</f>
        <v>0</v>
      </c>
      <c r="O3245" s="20">
        <f>+O3244+Movimientos_2026[[#This Row],[Neto]]</f>
        <v>4581558617.7962294</v>
      </c>
    </row>
    <row r="3246" spans="1:15" x14ac:dyDescent="0.25">
      <c r="A3246" s="13"/>
      <c r="B3246" s="12">
        <f>MONTH(Movimientos_2026[[#This Row],[Fecha]])</f>
        <v>1</v>
      </c>
      <c r="C3246" s="12" t="str">
        <f>VLOOKUP((WEEKDAY(Movimientos_2026[[#This Row],[Fecha]],2)),'5. Setup'!$D$6:$E$12,2,FALSE)</f>
        <v>Sab</v>
      </c>
      <c r="E3246" t="str">
        <f>IFERROR(+VLOOKUP(Movimientos_2026[[#This Row],[Codigo]],Plan_cuentas[],2,FALSE)," ")</f>
        <v xml:space="preserve"> </v>
      </c>
      <c r="F3246" t="str">
        <f>IFERROR(+VLOOKUP(Movimientos_2026[[#This Row],[Codigo]],Plan_cuentas[],3,FALSE)," ")</f>
        <v xml:space="preserve"> </v>
      </c>
      <c r="G3246" t="str">
        <f>IFERROR(+VLOOKUP(Movimientos_2026[[#This Row],[Codigo]],Plan_cuentas[],4,FALSE)," ")</f>
        <v xml:space="preserve"> </v>
      </c>
      <c r="H3246" t="str">
        <f>IFERROR(+VLOOKUP(Movimientos_2026[[#This Row],[Codigo]],Plan_cuentas[],5,FALSE)," ")</f>
        <v xml:space="preserve"> </v>
      </c>
      <c r="I3246" s="43"/>
      <c r="K3246" t="str">
        <f>IFERROR(+VLOOKUP(Movimientos_2026[[#This Row],[Codigo]],Plan_cuentas[],6,FALSE)," ")</f>
        <v xml:space="preserve"> </v>
      </c>
      <c r="L3246" s="50"/>
      <c r="M3246" s="50"/>
      <c r="N3246" s="20">
        <f>+Movimientos_2026[[#This Row],[Ingresos]]-Movimientos_2026[[#This Row],[Egresos]]</f>
        <v>0</v>
      </c>
      <c r="O3246" s="20">
        <f>+O3245+Movimientos_2026[[#This Row],[Neto]]</f>
        <v>4581558617.7962294</v>
      </c>
    </row>
    <row r="3247" spans="1:15" x14ac:dyDescent="0.25">
      <c r="A3247" s="13"/>
      <c r="B3247" s="12">
        <f>MONTH(Movimientos_2026[[#This Row],[Fecha]])</f>
        <v>1</v>
      </c>
      <c r="C3247" s="12" t="str">
        <f>VLOOKUP((WEEKDAY(Movimientos_2026[[#This Row],[Fecha]],2)),'5. Setup'!$D$6:$E$12,2,FALSE)</f>
        <v>Sab</v>
      </c>
      <c r="E3247" t="str">
        <f>IFERROR(+VLOOKUP(Movimientos_2026[[#This Row],[Codigo]],Plan_cuentas[],2,FALSE)," ")</f>
        <v xml:space="preserve"> </v>
      </c>
      <c r="F3247" t="str">
        <f>IFERROR(+VLOOKUP(Movimientos_2026[[#This Row],[Codigo]],Plan_cuentas[],3,FALSE)," ")</f>
        <v xml:space="preserve"> </v>
      </c>
      <c r="G3247" t="str">
        <f>IFERROR(+VLOOKUP(Movimientos_2026[[#This Row],[Codigo]],Plan_cuentas[],4,FALSE)," ")</f>
        <v xml:space="preserve"> </v>
      </c>
      <c r="H3247" t="str">
        <f>IFERROR(+VLOOKUP(Movimientos_2026[[#This Row],[Codigo]],Plan_cuentas[],5,FALSE)," ")</f>
        <v xml:space="preserve"> </v>
      </c>
      <c r="I3247" s="43"/>
      <c r="K3247" t="str">
        <f>IFERROR(+VLOOKUP(Movimientos_2026[[#This Row],[Codigo]],Plan_cuentas[],6,FALSE)," ")</f>
        <v xml:space="preserve"> </v>
      </c>
      <c r="L3247" s="50"/>
      <c r="M3247" s="50"/>
      <c r="N3247" s="20">
        <f>+Movimientos_2026[[#This Row],[Ingresos]]-Movimientos_2026[[#This Row],[Egresos]]</f>
        <v>0</v>
      </c>
      <c r="O3247" s="20">
        <f>+O3246+Movimientos_2026[[#This Row],[Neto]]</f>
        <v>4581558617.7962294</v>
      </c>
    </row>
    <row r="3248" spans="1:15" x14ac:dyDescent="0.25">
      <c r="A3248" s="13"/>
      <c r="B3248" s="12">
        <f>MONTH(Movimientos_2026[[#This Row],[Fecha]])</f>
        <v>1</v>
      </c>
      <c r="C3248" s="12" t="str">
        <f>VLOOKUP((WEEKDAY(Movimientos_2026[[#This Row],[Fecha]],2)),'5. Setup'!$D$6:$E$12,2,FALSE)</f>
        <v>Sab</v>
      </c>
      <c r="E3248" t="str">
        <f>IFERROR(+VLOOKUP(Movimientos_2026[[#This Row],[Codigo]],Plan_cuentas[],2,FALSE)," ")</f>
        <v xml:space="preserve"> </v>
      </c>
      <c r="F3248" t="str">
        <f>IFERROR(+VLOOKUP(Movimientos_2026[[#This Row],[Codigo]],Plan_cuentas[],3,FALSE)," ")</f>
        <v xml:space="preserve"> </v>
      </c>
      <c r="G3248" t="str">
        <f>IFERROR(+VLOOKUP(Movimientos_2026[[#This Row],[Codigo]],Plan_cuentas[],4,FALSE)," ")</f>
        <v xml:space="preserve"> </v>
      </c>
      <c r="H3248" t="str">
        <f>IFERROR(+VLOOKUP(Movimientos_2026[[#This Row],[Codigo]],Plan_cuentas[],5,FALSE)," ")</f>
        <v xml:space="preserve"> </v>
      </c>
      <c r="I3248" s="43"/>
      <c r="K3248" t="str">
        <f>IFERROR(+VLOOKUP(Movimientos_2026[[#This Row],[Codigo]],Plan_cuentas[],6,FALSE)," ")</f>
        <v xml:space="preserve"> </v>
      </c>
      <c r="L3248" s="50"/>
      <c r="M3248" s="50"/>
      <c r="N3248" s="20">
        <f>+Movimientos_2026[[#This Row],[Ingresos]]-Movimientos_2026[[#This Row],[Egresos]]</f>
        <v>0</v>
      </c>
      <c r="O3248" s="20">
        <f>+O3247+Movimientos_2026[[#This Row],[Neto]]</f>
        <v>4581558617.7962294</v>
      </c>
    </row>
    <row r="3249" spans="1:15" x14ac:dyDescent="0.25">
      <c r="A3249" s="13"/>
      <c r="B3249" s="12">
        <f>MONTH(Movimientos_2026[[#This Row],[Fecha]])</f>
        <v>1</v>
      </c>
      <c r="C3249" s="12" t="str">
        <f>VLOOKUP((WEEKDAY(Movimientos_2026[[#This Row],[Fecha]],2)),'5. Setup'!$D$6:$E$12,2,FALSE)</f>
        <v>Sab</v>
      </c>
      <c r="E3249" t="str">
        <f>IFERROR(+VLOOKUP(Movimientos_2026[[#This Row],[Codigo]],Plan_cuentas[],2,FALSE)," ")</f>
        <v xml:space="preserve"> </v>
      </c>
      <c r="F3249" t="str">
        <f>IFERROR(+VLOOKUP(Movimientos_2026[[#This Row],[Codigo]],Plan_cuentas[],3,FALSE)," ")</f>
        <v xml:space="preserve"> </v>
      </c>
      <c r="G3249" t="str">
        <f>IFERROR(+VLOOKUP(Movimientos_2026[[#This Row],[Codigo]],Plan_cuentas[],4,FALSE)," ")</f>
        <v xml:space="preserve"> </v>
      </c>
      <c r="H3249" t="str">
        <f>IFERROR(+VLOOKUP(Movimientos_2026[[#This Row],[Codigo]],Plan_cuentas[],5,FALSE)," ")</f>
        <v xml:space="preserve"> </v>
      </c>
      <c r="I3249" s="43"/>
      <c r="K3249" t="str">
        <f>IFERROR(+VLOOKUP(Movimientos_2026[[#This Row],[Codigo]],Plan_cuentas[],6,FALSE)," ")</f>
        <v xml:space="preserve"> </v>
      </c>
      <c r="L3249" s="50"/>
      <c r="M3249" s="50"/>
      <c r="N3249" s="20">
        <f>+Movimientos_2026[[#This Row],[Ingresos]]-Movimientos_2026[[#This Row],[Egresos]]</f>
        <v>0</v>
      </c>
      <c r="O3249" s="20">
        <f>+O3248+Movimientos_2026[[#This Row],[Neto]]</f>
        <v>4581558617.7962294</v>
      </c>
    </row>
    <row r="3250" spans="1:15" x14ac:dyDescent="0.25">
      <c r="A3250" s="13"/>
      <c r="B3250" s="12">
        <f>MONTH(Movimientos_2026[[#This Row],[Fecha]])</f>
        <v>1</v>
      </c>
      <c r="C3250" s="12" t="str">
        <f>VLOOKUP((WEEKDAY(Movimientos_2026[[#This Row],[Fecha]],2)),'5. Setup'!$D$6:$E$12,2,FALSE)</f>
        <v>Sab</v>
      </c>
      <c r="E3250" t="str">
        <f>IFERROR(+VLOOKUP(Movimientos_2026[[#This Row],[Codigo]],Plan_cuentas[],2,FALSE)," ")</f>
        <v xml:space="preserve"> </v>
      </c>
      <c r="F3250" t="str">
        <f>IFERROR(+VLOOKUP(Movimientos_2026[[#This Row],[Codigo]],Plan_cuentas[],3,FALSE)," ")</f>
        <v xml:space="preserve"> </v>
      </c>
      <c r="G3250" t="str">
        <f>IFERROR(+VLOOKUP(Movimientos_2026[[#This Row],[Codigo]],Plan_cuentas[],4,FALSE)," ")</f>
        <v xml:space="preserve"> </v>
      </c>
      <c r="H3250" t="str">
        <f>IFERROR(+VLOOKUP(Movimientos_2026[[#This Row],[Codigo]],Plan_cuentas[],5,FALSE)," ")</f>
        <v xml:space="preserve"> </v>
      </c>
      <c r="I3250" s="43"/>
      <c r="K3250" t="str">
        <f>IFERROR(+VLOOKUP(Movimientos_2026[[#This Row],[Codigo]],Plan_cuentas[],6,FALSE)," ")</f>
        <v xml:space="preserve"> </v>
      </c>
      <c r="L3250" s="50"/>
      <c r="M3250" s="50"/>
      <c r="N3250" s="20">
        <f>+Movimientos_2026[[#This Row],[Ingresos]]-Movimientos_2026[[#This Row],[Egresos]]</f>
        <v>0</v>
      </c>
      <c r="O3250" s="20">
        <f>+O3249+Movimientos_2026[[#This Row],[Neto]]</f>
        <v>4581558617.7962294</v>
      </c>
    </row>
    <row r="3251" spans="1:15" x14ac:dyDescent="0.25">
      <c r="A3251" s="13"/>
      <c r="B3251" s="12">
        <f>MONTH(Movimientos_2026[[#This Row],[Fecha]])</f>
        <v>1</v>
      </c>
      <c r="C3251" s="12" t="str">
        <f>VLOOKUP((WEEKDAY(Movimientos_2026[[#This Row],[Fecha]],2)),'5. Setup'!$D$6:$E$12,2,FALSE)</f>
        <v>Sab</v>
      </c>
      <c r="E3251" t="str">
        <f>IFERROR(+VLOOKUP(Movimientos_2026[[#This Row],[Codigo]],Plan_cuentas[],2,FALSE)," ")</f>
        <v xml:space="preserve"> </v>
      </c>
      <c r="F3251" t="str">
        <f>IFERROR(+VLOOKUP(Movimientos_2026[[#This Row],[Codigo]],Plan_cuentas[],3,FALSE)," ")</f>
        <v xml:space="preserve"> </v>
      </c>
      <c r="G3251" t="str">
        <f>IFERROR(+VLOOKUP(Movimientos_2026[[#This Row],[Codigo]],Plan_cuentas[],4,FALSE)," ")</f>
        <v xml:space="preserve"> </v>
      </c>
      <c r="H3251" t="str">
        <f>IFERROR(+VLOOKUP(Movimientos_2026[[#This Row],[Codigo]],Plan_cuentas[],5,FALSE)," ")</f>
        <v xml:space="preserve"> </v>
      </c>
      <c r="I3251" s="43"/>
      <c r="K3251" t="str">
        <f>IFERROR(+VLOOKUP(Movimientos_2026[[#This Row],[Codigo]],Plan_cuentas[],6,FALSE)," ")</f>
        <v xml:space="preserve"> </v>
      </c>
      <c r="L3251" s="50"/>
      <c r="M3251" s="50"/>
      <c r="N3251" s="20">
        <f>+Movimientos_2026[[#This Row],[Ingresos]]-Movimientos_2026[[#This Row],[Egresos]]</f>
        <v>0</v>
      </c>
      <c r="O3251" s="20">
        <f>+O3250+Movimientos_2026[[#This Row],[Neto]]</f>
        <v>4581558617.7962294</v>
      </c>
    </row>
    <row r="3252" spans="1:15" x14ac:dyDescent="0.25">
      <c r="A3252" s="13"/>
      <c r="B3252" s="12">
        <f>MONTH(Movimientos_2026[[#This Row],[Fecha]])</f>
        <v>1</v>
      </c>
      <c r="C3252" s="12" t="str">
        <f>VLOOKUP((WEEKDAY(Movimientos_2026[[#This Row],[Fecha]],2)),'5. Setup'!$D$6:$E$12,2,FALSE)</f>
        <v>Sab</v>
      </c>
      <c r="E3252" t="str">
        <f>IFERROR(+VLOOKUP(Movimientos_2026[[#This Row],[Codigo]],Plan_cuentas[],2,FALSE)," ")</f>
        <v xml:space="preserve"> </v>
      </c>
      <c r="F3252" t="str">
        <f>IFERROR(+VLOOKUP(Movimientos_2026[[#This Row],[Codigo]],Plan_cuentas[],3,FALSE)," ")</f>
        <v xml:space="preserve"> </v>
      </c>
      <c r="G3252" t="str">
        <f>IFERROR(+VLOOKUP(Movimientos_2026[[#This Row],[Codigo]],Plan_cuentas[],4,FALSE)," ")</f>
        <v xml:space="preserve"> </v>
      </c>
      <c r="H3252" t="str">
        <f>IFERROR(+VLOOKUP(Movimientos_2026[[#This Row],[Codigo]],Plan_cuentas[],5,FALSE)," ")</f>
        <v xml:space="preserve"> </v>
      </c>
      <c r="I3252" s="43"/>
      <c r="K3252" t="str">
        <f>IFERROR(+VLOOKUP(Movimientos_2026[[#This Row],[Codigo]],Plan_cuentas[],6,FALSE)," ")</f>
        <v xml:space="preserve"> </v>
      </c>
      <c r="L3252" s="50"/>
      <c r="M3252" s="50"/>
      <c r="N3252" s="20">
        <f>+Movimientos_2026[[#This Row],[Ingresos]]-Movimientos_2026[[#This Row],[Egresos]]</f>
        <v>0</v>
      </c>
      <c r="O3252" s="20">
        <f>+O3251+Movimientos_2026[[#This Row],[Neto]]</f>
        <v>4581558617.7962294</v>
      </c>
    </row>
    <row r="3253" spans="1:15" x14ac:dyDescent="0.25">
      <c r="A3253" s="13"/>
      <c r="B3253" s="12">
        <f>MONTH(Movimientos_2026[[#This Row],[Fecha]])</f>
        <v>1</v>
      </c>
      <c r="C3253" s="12" t="str">
        <f>VLOOKUP((WEEKDAY(Movimientos_2026[[#This Row],[Fecha]],2)),'5. Setup'!$D$6:$E$12,2,FALSE)</f>
        <v>Sab</v>
      </c>
      <c r="E3253" t="str">
        <f>IFERROR(+VLOOKUP(Movimientos_2026[[#This Row],[Codigo]],Plan_cuentas[],2,FALSE)," ")</f>
        <v xml:space="preserve"> </v>
      </c>
      <c r="F3253" t="str">
        <f>IFERROR(+VLOOKUP(Movimientos_2026[[#This Row],[Codigo]],Plan_cuentas[],3,FALSE)," ")</f>
        <v xml:space="preserve"> </v>
      </c>
      <c r="G3253" t="str">
        <f>IFERROR(+VLOOKUP(Movimientos_2026[[#This Row],[Codigo]],Plan_cuentas[],4,FALSE)," ")</f>
        <v xml:space="preserve"> </v>
      </c>
      <c r="H3253" t="str">
        <f>IFERROR(+VLOOKUP(Movimientos_2026[[#This Row],[Codigo]],Plan_cuentas[],5,FALSE)," ")</f>
        <v xml:space="preserve"> </v>
      </c>
      <c r="I3253" s="43"/>
      <c r="K3253" t="str">
        <f>IFERROR(+VLOOKUP(Movimientos_2026[[#This Row],[Codigo]],Plan_cuentas[],6,FALSE)," ")</f>
        <v xml:space="preserve"> </v>
      </c>
      <c r="L3253" s="50"/>
      <c r="M3253" s="50"/>
      <c r="N3253" s="20">
        <f>+Movimientos_2026[[#This Row],[Ingresos]]-Movimientos_2026[[#This Row],[Egresos]]</f>
        <v>0</v>
      </c>
      <c r="O3253" s="20">
        <f>+O3252+Movimientos_2026[[#This Row],[Neto]]</f>
        <v>4581558617.7962294</v>
      </c>
    </row>
    <row r="3254" spans="1:15" x14ac:dyDescent="0.25">
      <c r="A3254" s="13"/>
      <c r="B3254" s="12">
        <f>MONTH(Movimientos_2026[[#This Row],[Fecha]])</f>
        <v>1</v>
      </c>
      <c r="C3254" s="12" t="str">
        <f>VLOOKUP((WEEKDAY(Movimientos_2026[[#This Row],[Fecha]],2)),'5. Setup'!$D$6:$E$12,2,FALSE)</f>
        <v>Sab</v>
      </c>
      <c r="E3254" t="str">
        <f>IFERROR(+VLOOKUP(Movimientos_2026[[#This Row],[Codigo]],Plan_cuentas[],2,FALSE)," ")</f>
        <v xml:space="preserve"> </v>
      </c>
      <c r="F3254" t="str">
        <f>IFERROR(+VLOOKUP(Movimientos_2026[[#This Row],[Codigo]],Plan_cuentas[],3,FALSE)," ")</f>
        <v xml:space="preserve"> </v>
      </c>
      <c r="G3254" t="str">
        <f>IFERROR(+VLOOKUP(Movimientos_2026[[#This Row],[Codigo]],Plan_cuentas[],4,FALSE)," ")</f>
        <v xml:space="preserve"> </v>
      </c>
      <c r="H3254" t="str">
        <f>IFERROR(+VLOOKUP(Movimientos_2026[[#This Row],[Codigo]],Plan_cuentas[],5,FALSE)," ")</f>
        <v xml:space="preserve"> </v>
      </c>
      <c r="I3254" s="43"/>
      <c r="K3254" t="str">
        <f>IFERROR(+VLOOKUP(Movimientos_2026[[#This Row],[Codigo]],Plan_cuentas[],6,FALSE)," ")</f>
        <v xml:space="preserve"> </v>
      </c>
      <c r="L3254" s="50"/>
      <c r="M3254" s="50"/>
      <c r="N3254" s="20">
        <f>+Movimientos_2026[[#This Row],[Ingresos]]-Movimientos_2026[[#This Row],[Egresos]]</f>
        <v>0</v>
      </c>
      <c r="O3254" s="20">
        <f>+O3253+Movimientos_2026[[#This Row],[Neto]]</f>
        <v>4581558617.7962294</v>
      </c>
    </row>
    <row r="3255" spans="1:15" x14ac:dyDescent="0.25">
      <c r="A3255" s="13"/>
      <c r="B3255" s="12">
        <f>MONTH(Movimientos_2026[[#This Row],[Fecha]])</f>
        <v>1</v>
      </c>
      <c r="C3255" s="12" t="str">
        <f>VLOOKUP((WEEKDAY(Movimientos_2026[[#This Row],[Fecha]],2)),'5. Setup'!$D$6:$E$12,2,FALSE)</f>
        <v>Sab</v>
      </c>
      <c r="E3255" t="str">
        <f>IFERROR(+VLOOKUP(Movimientos_2026[[#This Row],[Codigo]],Plan_cuentas[],2,FALSE)," ")</f>
        <v xml:space="preserve"> </v>
      </c>
      <c r="F3255" t="str">
        <f>IFERROR(+VLOOKUP(Movimientos_2026[[#This Row],[Codigo]],Plan_cuentas[],3,FALSE)," ")</f>
        <v xml:space="preserve"> </v>
      </c>
      <c r="G3255" t="str">
        <f>IFERROR(+VLOOKUP(Movimientos_2026[[#This Row],[Codigo]],Plan_cuentas[],4,FALSE)," ")</f>
        <v xml:space="preserve"> </v>
      </c>
      <c r="H3255" t="str">
        <f>IFERROR(+VLOOKUP(Movimientos_2026[[#This Row],[Codigo]],Plan_cuentas[],5,FALSE)," ")</f>
        <v xml:space="preserve"> </v>
      </c>
      <c r="I3255" s="43"/>
      <c r="K3255" t="str">
        <f>IFERROR(+VLOOKUP(Movimientos_2026[[#This Row],[Codigo]],Plan_cuentas[],6,FALSE)," ")</f>
        <v xml:space="preserve"> </v>
      </c>
      <c r="L3255" s="50"/>
      <c r="M3255" s="50"/>
      <c r="N3255" s="20">
        <f>+Movimientos_2026[[#This Row],[Ingresos]]-Movimientos_2026[[#This Row],[Egresos]]</f>
        <v>0</v>
      </c>
      <c r="O3255" s="20">
        <f>+O3254+Movimientos_2026[[#This Row],[Neto]]</f>
        <v>4581558617.7962294</v>
      </c>
    </row>
    <row r="3256" spans="1:15" x14ac:dyDescent="0.25">
      <c r="A3256" s="13"/>
      <c r="B3256" s="12">
        <f>MONTH(Movimientos_2026[[#This Row],[Fecha]])</f>
        <v>1</v>
      </c>
      <c r="C3256" s="12" t="str">
        <f>VLOOKUP((WEEKDAY(Movimientos_2026[[#This Row],[Fecha]],2)),'5. Setup'!$D$6:$E$12,2,FALSE)</f>
        <v>Sab</v>
      </c>
      <c r="E3256" t="str">
        <f>IFERROR(+VLOOKUP(Movimientos_2026[[#This Row],[Codigo]],Plan_cuentas[],2,FALSE)," ")</f>
        <v xml:space="preserve"> </v>
      </c>
      <c r="F3256" t="str">
        <f>IFERROR(+VLOOKUP(Movimientos_2026[[#This Row],[Codigo]],Plan_cuentas[],3,FALSE)," ")</f>
        <v xml:space="preserve"> </v>
      </c>
      <c r="G3256" t="str">
        <f>IFERROR(+VLOOKUP(Movimientos_2026[[#This Row],[Codigo]],Plan_cuentas[],4,FALSE)," ")</f>
        <v xml:space="preserve"> </v>
      </c>
      <c r="H3256" t="str">
        <f>IFERROR(+VLOOKUP(Movimientos_2026[[#This Row],[Codigo]],Plan_cuentas[],5,FALSE)," ")</f>
        <v xml:space="preserve"> </v>
      </c>
      <c r="I3256" s="43"/>
      <c r="K3256" t="str">
        <f>IFERROR(+VLOOKUP(Movimientos_2026[[#This Row],[Codigo]],Plan_cuentas[],6,FALSE)," ")</f>
        <v xml:space="preserve"> </v>
      </c>
      <c r="L3256" s="50"/>
      <c r="M3256" s="50"/>
      <c r="N3256" s="20">
        <f>+Movimientos_2026[[#This Row],[Ingresos]]-Movimientos_2026[[#This Row],[Egresos]]</f>
        <v>0</v>
      </c>
      <c r="O3256" s="20">
        <f>+O3255+Movimientos_2026[[#This Row],[Neto]]</f>
        <v>4581558617.7962294</v>
      </c>
    </row>
    <row r="3257" spans="1:15" x14ac:dyDescent="0.25">
      <c r="A3257" s="13"/>
      <c r="B3257" s="12">
        <f>MONTH(Movimientos_2026[[#This Row],[Fecha]])</f>
        <v>1</v>
      </c>
      <c r="C3257" s="12" t="str">
        <f>VLOOKUP((WEEKDAY(Movimientos_2026[[#This Row],[Fecha]],2)),'5. Setup'!$D$6:$E$12,2,FALSE)</f>
        <v>Sab</v>
      </c>
      <c r="E3257" t="str">
        <f>IFERROR(+VLOOKUP(Movimientos_2026[[#This Row],[Codigo]],Plan_cuentas[],2,FALSE)," ")</f>
        <v xml:space="preserve"> </v>
      </c>
      <c r="F3257" t="str">
        <f>IFERROR(+VLOOKUP(Movimientos_2026[[#This Row],[Codigo]],Plan_cuentas[],3,FALSE)," ")</f>
        <v xml:space="preserve"> </v>
      </c>
      <c r="G3257" t="str">
        <f>IFERROR(+VLOOKUP(Movimientos_2026[[#This Row],[Codigo]],Plan_cuentas[],4,FALSE)," ")</f>
        <v xml:space="preserve"> </v>
      </c>
      <c r="H3257" t="str">
        <f>IFERROR(+VLOOKUP(Movimientos_2026[[#This Row],[Codigo]],Plan_cuentas[],5,FALSE)," ")</f>
        <v xml:space="preserve"> </v>
      </c>
      <c r="I3257" s="43"/>
      <c r="K3257" t="str">
        <f>IFERROR(+VLOOKUP(Movimientos_2026[[#This Row],[Codigo]],Plan_cuentas[],6,FALSE)," ")</f>
        <v xml:space="preserve"> </v>
      </c>
      <c r="L3257" s="50"/>
      <c r="M3257" s="50"/>
      <c r="N3257" s="20">
        <f>+Movimientos_2026[[#This Row],[Ingresos]]-Movimientos_2026[[#This Row],[Egresos]]</f>
        <v>0</v>
      </c>
      <c r="O3257" s="20">
        <f>+O3256+Movimientos_2026[[#This Row],[Neto]]</f>
        <v>4581558617.7962294</v>
      </c>
    </row>
    <row r="3258" spans="1:15" x14ac:dyDescent="0.25">
      <c r="A3258" s="13"/>
      <c r="B3258" s="12">
        <f>MONTH(Movimientos_2026[[#This Row],[Fecha]])</f>
        <v>1</v>
      </c>
      <c r="C3258" s="12" t="str">
        <f>VLOOKUP((WEEKDAY(Movimientos_2026[[#This Row],[Fecha]],2)),'5. Setup'!$D$6:$E$12,2,FALSE)</f>
        <v>Sab</v>
      </c>
      <c r="E3258" t="str">
        <f>IFERROR(+VLOOKUP(Movimientos_2026[[#This Row],[Codigo]],Plan_cuentas[],2,FALSE)," ")</f>
        <v xml:space="preserve"> </v>
      </c>
      <c r="F3258" t="str">
        <f>IFERROR(+VLOOKUP(Movimientos_2026[[#This Row],[Codigo]],Plan_cuentas[],3,FALSE)," ")</f>
        <v xml:space="preserve"> </v>
      </c>
      <c r="G3258" t="str">
        <f>IFERROR(+VLOOKUP(Movimientos_2026[[#This Row],[Codigo]],Plan_cuentas[],4,FALSE)," ")</f>
        <v xml:space="preserve"> </v>
      </c>
      <c r="H3258" t="str">
        <f>IFERROR(+VLOOKUP(Movimientos_2026[[#This Row],[Codigo]],Plan_cuentas[],5,FALSE)," ")</f>
        <v xml:space="preserve"> </v>
      </c>
      <c r="I3258" s="43"/>
      <c r="K3258" t="str">
        <f>IFERROR(+VLOOKUP(Movimientos_2026[[#This Row],[Codigo]],Plan_cuentas[],6,FALSE)," ")</f>
        <v xml:space="preserve"> </v>
      </c>
      <c r="L3258" s="50"/>
      <c r="M3258" s="50"/>
      <c r="N3258" s="20">
        <f>+Movimientos_2026[[#This Row],[Ingresos]]-Movimientos_2026[[#This Row],[Egresos]]</f>
        <v>0</v>
      </c>
      <c r="O3258" s="20">
        <f>+O3257+Movimientos_2026[[#This Row],[Neto]]</f>
        <v>4581558617.7962294</v>
      </c>
    </row>
    <row r="3259" spans="1:15" x14ac:dyDescent="0.25">
      <c r="A3259" s="13"/>
      <c r="B3259" s="12">
        <f>MONTH(Movimientos_2026[[#This Row],[Fecha]])</f>
        <v>1</v>
      </c>
      <c r="C3259" s="12" t="str">
        <f>VLOOKUP((WEEKDAY(Movimientos_2026[[#This Row],[Fecha]],2)),'5. Setup'!$D$6:$E$12,2,FALSE)</f>
        <v>Sab</v>
      </c>
      <c r="E3259" t="str">
        <f>IFERROR(+VLOOKUP(Movimientos_2026[[#This Row],[Codigo]],Plan_cuentas[],2,FALSE)," ")</f>
        <v xml:space="preserve"> </v>
      </c>
      <c r="F3259" t="str">
        <f>IFERROR(+VLOOKUP(Movimientos_2026[[#This Row],[Codigo]],Plan_cuentas[],3,FALSE)," ")</f>
        <v xml:space="preserve"> </v>
      </c>
      <c r="G3259" t="str">
        <f>IFERROR(+VLOOKUP(Movimientos_2026[[#This Row],[Codigo]],Plan_cuentas[],4,FALSE)," ")</f>
        <v xml:space="preserve"> </v>
      </c>
      <c r="H3259" t="str">
        <f>IFERROR(+VLOOKUP(Movimientos_2026[[#This Row],[Codigo]],Plan_cuentas[],5,FALSE)," ")</f>
        <v xml:space="preserve"> </v>
      </c>
      <c r="I3259" s="43"/>
      <c r="K3259" t="str">
        <f>IFERROR(+VLOOKUP(Movimientos_2026[[#This Row],[Codigo]],Plan_cuentas[],6,FALSE)," ")</f>
        <v xml:space="preserve"> </v>
      </c>
      <c r="L3259" s="50"/>
      <c r="M3259" s="50"/>
      <c r="N3259" s="20">
        <f>+Movimientos_2026[[#This Row],[Ingresos]]-Movimientos_2026[[#This Row],[Egresos]]</f>
        <v>0</v>
      </c>
      <c r="O3259" s="20">
        <f>+O3258+Movimientos_2026[[#This Row],[Neto]]</f>
        <v>4581558617.7962294</v>
      </c>
    </row>
    <row r="3260" spans="1:15" x14ac:dyDescent="0.25">
      <c r="A3260" s="13"/>
      <c r="B3260" s="12">
        <f>MONTH(Movimientos_2026[[#This Row],[Fecha]])</f>
        <v>1</v>
      </c>
      <c r="C3260" s="12" t="str">
        <f>VLOOKUP((WEEKDAY(Movimientos_2026[[#This Row],[Fecha]],2)),'5. Setup'!$D$6:$E$12,2,FALSE)</f>
        <v>Sab</v>
      </c>
      <c r="E3260" t="str">
        <f>IFERROR(+VLOOKUP(Movimientos_2026[[#This Row],[Codigo]],Plan_cuentas[],2,FALSE)," ")</f>
        <v xml:space="preserve"> </v>
      </c>
      <c r="F3260" t="str">
        <f>IFERROR(+VLOOKUP(Movimientos_2026[[#This Row],[Codigo]],Plan_cuentas[],3,FALSE)," ")</f>
        <v xml:space="preserve"> </v>
      </c>
      <c r="G3260" t="str">
        <f>IFERROR(+VLOOKUP(Movimientos_2026[[#This Row],[Codigo]],Plan_cuentas[],4,FALSE)," ")</f>
        <v xml:space="preserve"> </v>
      </c>
      <c r="H3260" t="str">
        <f>IFERROR(+VLOOKUP(Movimientos_2026[[#This Row],[Codigo]],Plan_cuentas[],5,FALSE)," ")</f>
        <v xml:space="preserve"> </v>
      </c>
      <c r="I3260" s="43"/>
      <c r="K3260" t="str">
        <f>IFERROR(+VLOOKUP(Movimientos_2026[[#This Row],[Codigo]],Plan_cuentas[],6,FALSE)," ")</f>
        <v xml:space="preserve"> </v>
      </c>
      <c r="L3260" s="50"/>
      <c r="M3260" s="50"/>
      <c r="N3260" s="20">
        <f>+Movimientos_2026[[#This Row],[Ingresos]]-Movimientos_2026[[#This Row],[Egresos]]</f>
        <v>0</v>
      </c>
      <c r="O3260" s="20">
        <f>+O3259+Movimientos_2026[[#This Row],[Neto]]</f>
        <v>4581558617.7962294</v>
      </c>
    </row>
    <row r="3261" spans="1:15" x14ac:dyDescent="0.25">
      <c r="A3261" s="13"/>
      <c r="B3261" s="12">
        <f>MONTH(Movimientos_2026[[#This Row],[Fecha]])</f>
        <v>1</v>
      </c>
      <c r="C3261" s="12" t="str">
        <f>VLOOKUP((WEEKDAY(Movimientos_2026[[#This Row],[Fecha]],2)),'5. Setup'!$D$6:$E$12,2,FALSE)</f>
        <v>Sab</v>
      </c>
      <c r="E3261" t="str">
        <f>IFERROR(+VLOOKUP(Movimientos_2026[[#This Row],[Codigo]],Plan_cuentas[],2,FALSE)," ")</f>
        <v xml:space="preserve"> </v>
      </c>
      <c r="F3261" t="str">
        <f>IFERROR(+VLOOKUP(Movimientos_2026[[#This Row],[Codigo]],Plan_cuentas[],3,FALSE)," ")</f>
        <v xml:space="preserve"> </v>
      </c>
      <c r="G3261" t="str">
        <f>IFERROR(+VLOOKUP(Movimientos_2026[[#This Row],[Codigo]],Plan_cuentas[],4,FALSE)," ")</f>
        <v xml:space="preserve"> </v>
      </c>
      <c r="H3261" t="str">
        <f>IFERROR(+VLOOKUP(Movimientos_2026[[#This Row],[Codigo]],Plan_cuentas[],5,FALSE)," ")</f>
        <v xml:space="preserve"> </v>
      </c>
      <c r="I3261" s="43"/>
      <c r="K3261" t="str">
        <f>IFERROR(+VLOOKUP(Movimientos_2026[[#This Row],[Codigo]],Plan_cuentas[],6,FALSE)," ")</f>
        <v xml:space="preserve"> </v>
      </c>
      <c r="L3261" s="50"/>
      <c r="M3261" s="50"/>
      <c r="N3261" s="20">
        <f>+Movimientos_2026[[#This Row],[Ingresos]]-Movimientos_2026[[#This Row],[Egresos]]</f>
        <v>0</v>
      </c>
      <c r="O3261" s="20">
        <f>+O3260+Movimientos_2026[[#This Row],[Neto]]</f>
        <v>4581558617.7962294</v>
      </c>
    </row>
    <row r="3262" spans="1:15" x14ac:dyDescent="0.25">
      <c r="A3262" s="13"/>
      <c r="B3262" s="12">
        <f>MONTH(Movimientos_2026[[#This Row],[Fecha]])</f>
        <v>1</v>
      </c>
      <c r="C3262" s="12" t="str">
        <f>VLOOKUP((WEEKDAY(Movimientos_2026[[#This Row],[Fecha]],2)),'5. Setup'!$D$6:$E$12,2,FALSE)</f>
        <v>Sab</v>
      </c>
      <c r="E3262" t="str">
        <f>IFERROR(+VLOOKUP(Movimientos_2026[[#This Row],[Codigo]],Plan_cuentas[],2,FALSE)," ")</f>
        <v xml:space="preserve"> </v>
      </c>
      <c r="F3262" t="str">
        <f>IFERROR(+VLOOKUP(Movimientos_2026[[#This Row],[Codigo]],Plan_cuentas[],3,FALSE)," ")</f>
        <v xml:space="preserve"> </v>
      </c>
      <c r="G3262" t="str">
        <f>IFERROR(+VLOOKUP(Movimientos_2026[[#This Row],[Codigo]],Plan_cuentas[],4,FALSE)," ")</f>
        <v xml:space="preserve"> </v>
      </c>
      <c r="H3262" t="str">
        <f>IFERROR(+VLOOKUP(Movimientos_2026[[#This Row],[Codigo]],Plan_cuentas[],5,FALSE)," ")</f>
        <v xml:space="preserve"> </v>
      </c>
      <c r="I3262" s="43"/>
      <c r="K3262" t="str">
        <f>IFERROR(+VLOOKUP(Movimientos_2026[[#This Row],[Codigo]],Plan_cuentas[],6,FALSE)," ")</f>
        <v xml:space="preserve"> </v>
      </c>
      <c r="L3262" s="50"/>
      <c r="M3262" s="50"/>
      <c r="N3262" s="20">
        <f>+Movimientos_2026[[#This Row],[Ingresos]]-Movimientos_2026[[#This Row],[Egresos]]</f>
        <v>0</v>
      </c>
      <c r="O3262" s="20">
        <f>+O3261+Movimientos_2026[[#This Row],[Neto]]</f>
        <v>4581558617.7962294</v>
      </c>
    </row>
    <row r="3263" spans="1:15" x14ac:dyDescent="0.25">
      <c r="A3263" s="13"/>
      <c r="B3263" s="12">
        <f>MONTH(Movimientos_2026[[#This Row],[Fecha]])</f>
        <v>1</v>
      </c>
      <c r="C3263" s="12" t="str">
        <f>VLOOKUP((WEEKDAY(Movimientos_2026[[#This Row],[Fecha]],2)),'5. Setup'!$D$6:$E$12,2,FALSE)</f>
        <v>Sab</v>
      </c>
      <c r="E3263" t="str">
        <f>IFERROR(+VLOOKUP(Movimientos_2026[[#This Row],[Codigo]],Plan_cuentas[],2,FALSE)," ")</f>
        <v xml:space="preserve"> </v>
      </c>
      <c r="F3263" t="str">
        <f>IFERROR(+VLOOKUP(Movimientos_2026[[#This Row],[Codigo]],Plan_cuentas[],3,FALSE)," ")</f>
        <v xml:space="preserve"> </v>
      </c>
      <c r="G3263" t="str">
        <f>IFERROR(+VLOOKUP(Movimientos_2026[[#This Row],[Codigo]],Plan_cuentas[],4,FALSE)," ")</f>
        <v xml:space="preserve"> </v>
      </c>
      <c r="H3263" t="str">
        <f>IFERROR(+VLOOKUP(Movimientos_2026[[#This Row],[Codigo]],Plan_cuentas[],5,FALSE)," ")</f>
        <v xml:space="preserve"> </v>
      </c>
      <c r="I3263" s="43"/>
      <c r="K3263" t="str">
        <f>IFERROR(+VLOOKUP(Movimientos_2026[[#This Row],[Codigo]],Plan_cuentas[],6,FALSE)," ")</f>
        <v xml:space="preserve"> </v>
      </c>
      <c r="L3263" s="50"/>
      <c r="M3263" s="50"/>
      <c r="N3263" s="20">
        <f>+Movimientos_2026[[#This Row],[Ingresos]]-Movimientos_2026[[#This Row],[Egresos]]</f>
        <v>0</v>
      </c>
      <c r="O3263" s="20">
        <f>+O3262+Movimientos_2026[[#This Row],[Neto]]</f>
        <v>4581558617.7962294</v>
      </c>
    </row>
    <row r="3264" spans="1:15" x14ac:dyDescent="0.25">
      <c r="A3264" s="13"/>
      <c r="B3264" s="12">
        <f>MONTH(Movimientos_2026[[#This Row],[Fecha]])</f>
        <v>1</v>
      </c>
      <c r="C3264" s="12" t="str">
        <f>VLOOKUP((WEEKDAY(Movimientos_2026[[#This Row],[Fecha]],2)),'5. Setup'!$D$6:$E$12,2,FALSE)</f>
        <v>Sab</v>
      </c>
      <c r="E3264" t="str">
        <f>IFERROR(+VLOOKUP(Movimientos_2026[[#This Row],[Codigo]],Plan_cuentas[],2,FALSE)," ")</f>
        <v xml:space="preserve"> </v>
      </c>
      <c r="F3264" t="str">
        <f>IFERROR(+VLOOKUP(Movimientos_2026[[#This Row],[Codigo]],Plan_cuentas[],3,FALSE)," ")</f>
        <v xml:space="preserve"> </v>
      </c>
      <c r="G3264" t="str">
        <f>IFERROR(+VLOOKUP(Movimientos_2026[[#This Row],[Codigo]],Plan_cuentas[],4,FALSE)," ")</f>
        <v xml:space="preserve"> </v>
      </c>
      <c r="H3264" t="str">
        <f>IFERROR(+VLOOKUP(Movimientos_2026[[#This Row],[Codigo]],Plan_cuentas[],5,FALSE)," ")</f>
        <v xml:space="preserve"> </v>
      </c>
      <c r="I3264" s="43"/>
      <c r="K3264" t="str">
        <f>IFERROR(+VLOOKUP(Movimientos_2026[[#This Row],[Codigo]],Plan_cuentas[],6,FALSE)," ")</f>
        <v xml:space="preserve"> </v>
      </c>
      <c r="L3264" s="50"/>
      <c r="M3264" s="50"/>
      <c r="N3264" s="20">
        <f>+Movimientos_2026[[#This Row],[Ingresos]]-Movimientos_2026[[#This Row],[Egresos]]</f>
        <v>0</v>
      </c>
      <c r="O3264" s="20">
        <f>+O3263+Movimientos_2026[[#This Row],[Neto]]</f>
        <v>4581558617.7962294</v>
      </c>
    </row>
    <row r="3265" spans="1:15" x14ac:dyDescent="0.25">
      <c r="A3265" s="13"/>
      <c r="B3265" s="12">
        <f>MONTH(Movimientos_2026[[#This Row],[Fecha]])</f>
        <v>1</v>
      </c>
      <c r="C3265" s="12" t="str">
        <f>VLOOKUP((WEEKDAY(Movimientos_2026[[#This Row],[Fecha]],2)),'5. Setup'!$D$6:$E$12,2,FALSE)</f>
        <v>Sab</v>
      </c>
      <c r="E3265" t="str">
        <f>IFERROR(+VLOOKUP(Movimientos_2026[[#This Row],[Codigo]],Plan_cuentas[],2,FALSE)," ")</f>
        <v xml:space="preserve"> </v>
      </c>
      <c r="F3265" t="str">
        <f>IFERROR(+VLOOKUP(Movimientos_2026[[#This Row],[Codigo]],Plan_cuentas[],3,FALSE)," ")</f>
        <v xml:space="preserve"> </v>
      </c>
      <c r="G3265" t="str">
        <f>IFERROR(+VLOOKUP(Movimientos_2026[[#This Row],[Codigo]],Plan_cuentas[],4,FALSE)," ")</f>
        <v xml:space="preserve"> </v>
      </c>
      <c r="H3265" t="str">
        <f>IFERROR(+VLOOKUP(Movimientos_2026[[#This Row],[Codigo]],Plan_cuentas[],5,FALSE)," ")</f>
        <v xml:space="preserve"> </v>
      </c>
      <c r="I3265" s="43"/>
      <c r="K3265" t="str">
        <f>IFERROR(+VLOOKUP(Movimientos_2026[[#This Row],[Codigo]],Plan_cuentas[],6,FALSE)," ")</f>
        <v xml:space="preserve"> </v>
      </c>
      <c r="L3265" s="50"/>
      <c r="M3265" s="50"/>
      <c r="N3265" s="20">
        <f>+Movimientos_2026[[#This Row],[Ingresos]]-Movimientos_2026[[#This Row],[Egresos]]</f>
        <v>0</v>
      </c>
      <c r="O3265" s="20">
        <f>+O3264+Movimientos_2026[[#This Row],[Neto]]</f>
        <v>4581558617.7962294</v>
      </c>
    </row>
    <row r="3266" spans="1:15" x14ac:dyDescent="0.25">
      <c r="A3266" s="13"/>
      <c r="B3266" s="12">
        <f>MONTH(Movimientos_2026[[#This Row],[Fecha]])</f>
        <v>1</v>
      </c>
      <c r="C3266" s="12" t="str">
        <f>VLOOKUP((WEEKDAY(Movimientos_2026[[#This Row],[Fecha]],2)),'5. Setup'!$D$6:$E$12,2,FALSE)</f>
        <v>Sab</v>
      </c>
      <c r="E3266" t="str">
        <f>IFERROR(+VLOOKUP(Movimientos_2026[[#This Row],[Codigo]],Plan_cuentas[],2,FALSE)," ")</f>
        <v xml:space="preserve"> </v>
      </c>
      <c r="F3266" t="str">
        <f>IFERROR(+VLOOKUP(Movimientos_2026[[#This Row],[Codigo]],Plan_cuentas[],3,FALSE)," ")</f>
        <v xml:space="preserve"> </v>
      </c>
      <c r="G3266" t="str">
        <f>IFERROR(+VLOOKUP(Movimientos_2026[[#This Row],[Codigo]],Plan_cuentas[],4,FALSE)," ")</f>
        <v xml:space="preserve"> </v>
      </c>
      <c r="H3266" t="str">
        <f>IFERROR(+VLOOKUP(Movimientos_2026[[#This Row],[Codigo]],Plan_cuentas[],5,FALSE)," ")</f>
        <v xml:space="preserve"> </v>
      </c>
      <c r="I3266" s="43"/>
      <c r="K3266" t="str">
        <f>IFERROR(+VLOOKUP(Movimientos_2026[[#This Row],[Codigo]],Plan_cuentas[],6,FALSE)," ")</f>
        <v xml:space="preserve"> </v>
      </c>
      <c r="L3266" s="50"/>
      <c r="M3266" s="50"/>
      <c r="N3266" s="20">
        <f>+Movimientos_2026[[#This Row],[Ingresos]]-Movimientos_2026[[#This Row],[Egresos]]</f>
        <v>0</v>
      </c>
      <c r="O3266" s="20">
        <f>+O3265+Movimientos_2026[[#This Row],[Neto]]</f>
        <v>4581558617.7962294</v>
      </c>
    </row>
    <row r="3267" spans="1:15" x14ac:dyDescent="0.25">
      <c r="A3267" s="13"/>
      <c r="B3267" s="12">
        <f>MONTH(Movimientos_2026[[#This Row],[Fecha]])</f>
        <v>1</v>
      </c>
      <c r="C3267" s="12" t="str">
        <f>VLOOKUP((WEEKDAY(Movimientos_2026[[#This Row],[Fecha]],2)),'5. Setup'!$D$6:$E$12,2,FALSE)</f>
        <v>Sab</v>
      </c>
      <c r="E3267" t="str">
        <f>IFERROR(+VLOOKUP(Movimientos_2026[[#This Row],[Codigo]],Plan_cuentas[],2,FALSE)," ")</f>
        <v xml:space="preserve"> </v>
      </c>
      <c r="F3267" t="str">
        <f>IFERROR(+VLOOKUP(Movimientos_2026[[#This Row],[Codigo]],Plan_cuentas[],3,FALSE)," ")</f>
        <v xml:space="preserve"> </v>
      </c>
      <c r="G3267" t="str">
        <f>IFERROR(+VLOOKUP(Movimientos_2026[[#This Row],[Codigo]],Plan_cuentas[],4,FALSE)," ")</f>
        <v xml:space="preserve"> </v>
      </c>
      <c r="H3267" t="str">
        <f>IFERROR(+VLOOKUP(Movimientos_2026[[#This Row],[Codigo]],Plan_cuentas[],5,FALSE)," ")</f>
        <v xml:space="preserve"> </v>
      </c>
      <c r="I3267" s="43"/>
      <c r="K3267" t="str">
        <f>IFERROR(+VLOOKUP(Movimientos_2026[[#This Row],[Codigo]],Plan_cuentas[],6,FALSE)," ")</f>
        <v xml:space="preserve"> </v>
      </c>
      <c r="L3267" s="50"/>
      <c r="M3267" s="50"/>
      <c r="N3267" s="20">
        <f>+Movimientos_2026[[#This Row],[Ingresos]]-Movimientos_2026[[#This Row],[Egresos]]</f>
        <v>0</v>
      </c>
      <c r="O3267" s="20">
        <f>+O3266+Movimientos_2026[[#This Row],[Neto]]</f>
        <v>4581558617.7962294</v>
      </c>
    </row>
    <row r="3268" spans="1:15" x14ac:dyDescent="0.25">
      <c r="A3268" s="13"/>
      <c r="B3268" s="12">
        <f>MONTH(Movimientos_2026[[#This Row],[Fecha]])</f>
        <v>1</v>
      </c>
      <c r="C3268" s="12" t="str">
        <f>VLOOKUP((WEEKDAY(Movimientos_2026[[#This Row],[Fecha]],2)),'5. Setup'!$D$6:$E$12,2,FALSE)</f>
        <v>Sab</v>
      </c>
      <c r="E3268" t="str">
        <f>IFERROR(+VLOOKUP(Movimientos_2026[[#This Row],[Codigo]],Plan_cuentas[],2,FALSE)," ")</f>
        <v xml:space="preserve"> </v>
      </c>
      <c r="F3268" t="str">
        <f>IFERROR(+VLOOKUP(Movimientos_2026[[#This Row],[Codigo]],Plan_cuentas[],3,FALSE)," ")</f>
        <v xml:space="preserve"> </v>
      </c>
      <c r="G3268" t="str">
        <f>IFERROR(+VLOOKUP(Movimientos_2026[[#This Row],[Codigo]],Plan_cuentas[],4,FALSE)," ")</f>
        <v xml:space="preserve"> </v>
      </c>
      <c r="H3268" t="str">
        <f>IFERROR(+VLOOKUP(Movimientos_2026[[#This Row],[Codigo]],Plan_cuentas[],5,FALSE)," ")</f>
        <v xml:space="preserve"> </v>
      </c>
      <c r="I3268" s="43"/>
      <c r="K3268" t="str">
        <f>IFERROR(+VLOOKUP(Movimientos_2026[[#This Row],[Codigo]],Plan_cuentas[],6,FALSE)," ")</f>
        <v xml:space="preserve"> </v>
      </c>
      <c r="L3268" s="50"/>
      <c r="M3268" s="50"/>
      <c r="N3268" s="20">
        <f>+Movimientos_2026[[#This Row],[Ingresos]]-Movimientos_2026[[#This Row],[Egresos]]</f>
        <v>0</v>
      </c>
      <c r="O3268" s="20">
        <f>+O3267+Movimientos_2026[[#This Row],[Neto]]</f>
        <v>4581558617.7962294</v>
      </c>
    </row>
    <row r="3269" spans="1:15" x14ac:dyDescent="0.25">
      <c r="A3269" s="13"/>
      <c r="B3269" s="12">
        <f>MONTH(Movimientos_2026[[#This Row],[Fecha]])</f>
        <v>1</v>
      </c>
      <c r="C3269" s="12" t="str">
        <f>VLOOKUP((WEEKDAY(Movimientos_2026[[#This Row],[Fecha]],2)),'5. Setup'!$D$6:$E$12,2,FALSE)</f>
        <v>Sab</v>
      </c>
      <c r="E3269" t="str">
        <f>IFERROR(+VLOOKUP(Movimientos_2026[[#This Row],[Codigo]],Plan_cuentas[],2,FALSE)," ")</f>
        <v xml:space="preserve"> </v>
      </c>
      <c r="F3269" t="str">
        <f>IFERROR(+VLOOKUP(Movimientos_2026[[#This Row],[Codigo]],Plan_cuentas[],3,FALSE)," ")</f>
        <v xml:space="preserve"> </v>
      </c>
      <c r="G3269" t="str">
        <f>IFERROR(+VLOOKUP(Movimientos_2026[[#This Row],[Codigo]],Plan_cuentas[],4,FALSE)," ")</f>
        <v xml:space="preserve"> </v>
      </c>
      <c r="H3269" t="str">
        <f>IFERROR(+VLOOKUP(Movimientos_2026[[#This Row],[Codigo]],Plan_cuentas[],5,FALSE)," ")</f>
        <v xml:space="preserve"> </v>
      </c>
      <c r="I3269" s="43"/>
      <c r="K3269" t="str">
        <f>IFERROR(+VLOOKUP(Movimientos_2026[[#This Row],[Codigo]],Plan_cuentas[],6,FALSE)," ")</f>
        <v xml:space="preserve"> </v>
      </c>
      <c r="L3269" s="50"/>
      <c r="M3269" s="50"/>
      <c r="N3269" s="20">
        <f>+Movimientos_2026[[#This Row],[Ingresos]]-Movimientos_2026[[#This Row],[Egresos]]</f>
        <v>0</v>
      </c>
      <c r="O3269" s="20">
        <f>+O3268+Movimientos_2026[[#This Row],[Neto]]</f>
        <v>4581558617.7962294</v>
      </c>
    </row>
    <row r="3270" spans="1:15" x14ac:dyDescent="0.25">
      <c r="A3270" s="13"/>
      <c r="B3270" s="12">
        <f>MONTH(Movimientos_2026[[#This Row],[Fecha]])</f>
        <v>1</v>
      </c>
      <c r="C3270" s="12" t="str">
        <f>VLOOKUP((WEEKDAY(Movimientos_2026[[#This Row],[Fecha]],2)),'5. Setup'!$D$6:$E$12,2,FALSE)</f>
        <v>Sab</v>
      </c>
      <c r="E3270" t="str">
        <f>IFERROR(+VLOOKUP(Movimientos_2026[[#This Row],[Codigo]],Plan_cuentas[],2,FALSE)," ")</f>
        <v xml:space="preserve"> </v>
      </c>
      <c r="F3270" t="str">
        <f>IFERROR(+VLOOKUP(Movimientos_2026[[#This Row],[Codigo]],Plan_cuentas[],3,FALSE)," ")</f>
        <v xml:space="preserve"> </v>
      </c>
      <c r="G3270" t="str">
        <f>IFERROR(+VLOOKUP(Movimientos_2026[[#This Row],[Codigo]],Plan_cuentas[],4,FALSE)," ")</f>
        <v xml:space="preserve"> </v>
      </c>
      <c r="H3270" t="str">
        <f>IFERROR(+VLOOKUP(Movimientos_2026[[#This Row],[Codigo]],Plan_cuentas[],5,FALSE)," ")</f>
        <v xml:space="preserve"> </v>
      </c>
      <c r="I3270" s="43"/>
      <c r="K3270" t="str">
        <f>IFERROR(+VLOOKUP(Movimientos_2026[[#This Row],[Codigo]],Plan_cuentas[],6,FALSE)," ")</f>
        <v xml:space="preserve"> </v>
      </c>
      <c r="L3270" s="50"/>
      <c r="M3270" s="50"/>
      <c r="N3270" s="20">
        <f>+Movimientos_2026[[#This Row],[Ingresos]]-Movimientos_2026[[#This Row],[Egresos]]</f>
        <v>0</v>
      </c>
      <c r="O3270" s="20">
        <f>+O3269+Movimientos_2026[[#This Row],[Neto]]</f>
        <v>4581558617.7962294</v>
      </c>
    </row>
    <row r="3271" spans="1:15" x14ac:dyDescent="0.25">
      <c r="A3271" s="13"/>
      <c r="B3271" s="12">
        <f>MONTH(Movimientos_2026[[#This Row],[Fecha]])</f>
        <v>1</v>
      </c>
      <c r="C3271" s="12" t="str">
        <f>VLOOKUP((WEEKDAY(Movimientos_2026[[#This Row],[Fecha]],2)),'5. Setup'!$D$6:$E$12,2,FALSE)</f>
        <v>Sab</v>
      </c>
      <c r="E3271" t="str">
        <f>IFERROR(+VLOOKUP(Movimientos_2026[[#This Row],[Codigo]],Plan_cuentas[],2,FALSE)," ")</f>
        <v xml:space="preserve"> </v>
      </c>
      <c r="F3271" t="str">
        <f>IFERROR(+VLOOKUP(Movimientos_2026[[#This Row],[Codigo]],Plan_cuentas[],3,FALSE)," ")</f>
        <v xml:space="preserve"> </v>
      </c>
      <c r="G3271" t="str">
        <f>IFERROR(+VLOOKUP(Movimientos_2026[[#This Row],[Codigo]],Plan_cuentas[],4,FALSE)," ")</f>
        <v xml:space="preserve"> </v>
      </c>
      <c r="H3271" t="str">
        <f>IFERROR(+VLOOKUP(Movimientos_2026[[#This Row],[Codigo]],Plan_cuentas[],5,FALSE)," ")</f>
        <v xml:space="preserve"> </v>
      </c>
      <c r="I3271" s="43"/>
      <c r="K3271" t="str">
        <f>IFERROR(+VLOOKUP(Movimientos_2026[[#This Row],[Codigo]],Plan_cuentas[],6,FALSE)," ")</f>
        <v xml:space="preserve"> </v>
      </c>
      <c r="L3271" s="50"/>
      <c r="M3271" s="50"/>
      <c r="N3271" s="20">
        <f>+Movimientos_2026[[#This Row],[Ingresos]]-Movimientos_2026[[#This Row],[Egresos]]</f>
        <v>0</v>
      </c>
      <c r="O3271" s="20">
        <f>+O3270+Movimientos_2026[[#This Row],[Neto]]</f>
        <v>4581558617.7962294</v>
      </c>
    </row>
    <row r="3272" spans="1:15" x14ac:dyDescent="0.25">
      <c r="A3272" s="13"/>
      <c r="B3272" s="12">
        <f>MONTH(Movimientos_2026[[#This Row],[Fecha]])</f>
        <v>1</v>
      </c>
      <c r="C3272" s="12" t="str">
        <f>VLOOKUP((WEEKDAY(Movimientos_2026[[#This Row],[Fecha]],2)),'5. Setup'!$D$6:$E$12,2,FALSE)</f>
        <v>Sab</v>
      </c>
      <c r="E3272" t="str">
        <f>IFERROR(+VLOOKUP(Movimientos_2026[[#This Row],[Codigo]],Plan_cuentas[],2,FALSE)," ")</f>
        <v xml:space="preserve"> </v>
      </c>
      <c r="F3272" t="str">
        <f>IFERROR(+VLOOKUP(Movimientos_2026[[#This Row],[Codigo]],Plan_cuentas[],3,FALSE)," ")</f>
        <v xml:space="preserve"> </v>
      </c>
      <c r="G3272" t="str">
        <f>IFERROR(+VLOOKUP(Movimientos_2026[[#This Row],[Codigo]],Plan_cuentas[],4,FALSE)," ")</f>
        <v xml:space="preserve"> </v>
      </c>
      <c r="H3272" t="str">
        <f>IFERROR(+VLOOKUP(Movimientos_2026[[#This Row],[Codigo]],Plan_cuentas[],5,FALSE)," ")</f>
        <v xml:space="preserve"> </v>
      </c>
      <c r="I3272" s="43"/>
      <c r="K3272" t="str">
        <f>IFERROR(+VLOOKUP(Movimientos_2026[[#This Row],[Codigo]],Plan_cuentas[],6,FALSE)," ")</f>
        <v xml:space="preserve"> </v>
      </c>
      <c r="L3272" s="50"/>
      <c r="M3272" s="50"/>
      <c r="N3272" s="20">
        <f>+Movimientos_2026[[#This Row],[Ingresos]]-Movimientos_2026[[#This Row],[Egresos]]</f>
        <v>0</v>
      </c>
      <c r="O3272" s="20">
        <f>+O3271+Movimientos_2026[[#This Row],[Neto]]</f>
        <v>4581558617.7962294</v>
      </c>
    </row>
    <row r="3273" spans="1:15" x14ac:dyDescent="0.25">
      <c r="A3273" s="13"/>
      <c r="B3273" s="12">
        <f>MONTH(Movimientos_2026[[#This Row],[Fecha]])</f>
        <v>1</v>
      </c>
      <c r="C3273" s="12" t="str">
        <f>VLOOKUP((WEEKDAY(Movimientos_2026[[#This Row],[Fecha]],2)),'5. Setup'!$D$6:$E$12,2,FALSE)</f>
        <v>Sab</v>
      </c>
      <c r="E3273" t="str">
        <f>IFERROR(+VLOOKUP(Movimientos_2026[[#This Row],[Codigo]],Plan_cuentas[],2,FALSE)," ")</f>
        <v xml:space="preserve"> </v>
      </c>
      <c r="F3273" t="str">
        <f>IFERROR(+VLOOKUP(Movimientos_2026[[#This Row],[Codigo]],Plan_cuentas[],3,FALSE)," ")</f>
        <v xml:space="preserve"> </v>
      </c>
      <c r="G3273" t="str">
        <f>IFERROR(+VLOOKUP(Movimientos_2026[[#This Row],[Codigo]],Plan_cuentas[],4,FALSE)," ")</f>
        <v xml:space="preserve"> </v>
      </c>
      <c r="H3273" t="str">
        <f>IFERROR(+VLOOKUP(Movimientos_2026[[#This Row],[Codigo]],Plan_cuentas[],5,FALSE)," ")</f>
        <v xml:space="preserve"> </v>
      </c>
      <c r="I3273" s="43"/>
      <c r="K3273" t="str">
        <f>IFERROR(+VLOOKUP(Movimientos_2026[[#This Row],[Codigo]],Plan_cuentas[],6,FALSE)," ")</f>
        <v xml:space="preserve"> </v>
      </c>
      <c r="L3273" s="50"/>
      <c r="M3273" s="50"/>
      <c r="N3273" s="20">
        <f>+Movimientos_2026[[#This Row],[Ingresos]]-Movimientos_2026[[#This Row],[Egresos]]</f>
        <v>0</v>
      </c>
      <c r="O3273" s="20">
        <f>+O3272+Movimientos_2026[[#This Row],[Neto]]</f>
        <v>4581558617.7962294</v>
      </c>
    </row>
    <row r="3274" spans="1:15" x14ac:dyDescent="0.25">
      <c r="A3274" s="13"/>
      <c r="B3274" s="12">
        <f>MONTH(Movimientos_2026[[#This Row],[Fecha]])</f>
        <v>1</v>
      </c>
      <c r="C3274" s="12" t="str">
        <f>VLOOKUP((WEEKDAY(Movimientos_2026[[#This Row],[Fecha]],2)),'5. Setup'!$D$6:$E$12,2,FALSE)</f>
        <v>Sab</v>
      </c>
      <c r="E3274" t="str">
        <f>IFERROR(+VLOOKUP(Movimientos_2026[[#This Row],[Codigo]],Plan_cuentas[],2,FALSE)," ")</f>
        <v xml:space="preserve"> </v>
      </c>
      <c r="F3274" t="str">
        <f>IFERROR(+VLOOKUP(Movimientos_2026[[#This Row],[Codigo]],Plan_cuentas[],3,FALSE)," ")</f>
        <v xml:space="preserve"> </v>
      </c>
      <c r="G3274" t="str">
        <f>IFERROR(+VLOOKUP(Movimientos_2026[[#This Row],[Codigo]],Plan_cuentas[],4,FALSE)," ")</f>
        <v xml:space="preserve"> </v>
      </c>
      <c r="H3274" t="str">
        <f>IFERROR(+VLOOKUP(Movimientos_2026[[#This Row],[Codigo]],Plan_cuentas[],5,FALSE)," ")</f>
        <v xml:space="preserve"> </v>
      </c>
      <c r="I3274" s="43"/>
      <c r="K3274" t="str">
        <f>IFERROR(+VLOOKUP(Movimientos_2026[[#This Row],[Codigo]],Plan_cuentas[],6,FALSE)," ")</f>
        <v xml:space="preserve"> </v>
      </c>
      <c r="L3274" s="50"/>
      <c r="M3274" s="50"/>
      <c r="N3274" s="20">
        <f>+Movimientos_2026[[#This Row],[Ingresos]]-Movimientos_2026[[#This Row],[Egresos]]</f>
        <v>0</v>
      </c>
      <c r="O3274" s="20">
        <f>+O3273+Movimientos_2026[[#This Row],[Neto]]</f>
        <v>4581558617.7962294</v>
      </c>
    </row>
    <row r="3275" spans="1:15" x14ac:dyDescent="0.25">
      <c r="A3275" s="13"/>
      <c r="B3275" s="12">
        <f>MONTH(Movimientos_2026[[#This Row],[Fecha]])</f>
        <v>1</v>
      </c>
      <c r="C3275" s="12" t="str">
        <f>VLOOKUP((WEEKDAY(Movimientos_2026[[#This Row],[Fecha]],2)),'5. Setup'!$D$6:$E$12,2,FALSE)</f>
        <v>Sab</v>
      </c>
      <c r="E3275" t="str">
        <f>IFERROR(+VLOOKUP(Movimientos_2026[[#This Row],[Codigo]],Plan_cuentas[],2,FALSE)," ")</f>
        <v xml:space="preserve"> </v>
      </c>
      <c r="F3275" t="str">
        <f>IFERROR(+VLOOKUP(Movimientos_2026[[#This Row],[Codigo]],Plan_cuentas[],3,FALSE)," ")</f>
        <v xml:space="preserve"> </v>
      </c>
      <c r="G3275" t="str">
        <f>IFERROR(+VLOOKUP(Movimientos_2026[[#This Row],[Codigo]],Plan_cuentas[],4,FALSE)," ")</f>
        <v xml:space="preserve"> </v>
      </c>
      <c r="H3275" t="str">
        <f>IFERROR(+VLOOKUP(Movimientos_2026[[#This Row],[Codigo]],Plan_cuentas[],5,FALSE)," ")</f>
        <v xml:space="preserve"> </v>
      </c>
      <c r="I3275" s="43"/>
      <c r="K3275" t="str">
        <f>IFERROR(+VLOOKUP(Movimientos_2026[[#This Row],[Codigo]],Plan_cuentas[],6,FALSE)," ")</f>
        <v xml:space="preserve"> </v>
      </c>
      <c r="L3275" s="50"/>
      <c r="M3275" s="50"/>
      <c r="N3275" s="20">
        <f>+Movimientos_2026[[#This Row],[Ingresos]]-Movimientos_2026[[#This Row],[Egresos]]</f>
        <v>0</v>
      </c>
      <c r="O3275" s="20">
        <f>+O3274+Movimientos_2026[[#This Row],[Neto]]</f>
        <v>4581558617.7962294</v>
      </c>
    </row>
    <row r="3276" spans="1:15" x14ac:dyDescent="0.25">
      <c r="A3276" s="13"/>
      <c r="B3276" s="12">
        <f>MONTH(Movimientos_2026[[#This Row],[Fecha]])</f>
        <v>1</v>
      </c>
      <c r="C3276" s="12" t="str">
        <f>VLOOKUP((WEEKDAY(Movimientos_2026[[#This Row],[Fecha]],2)),'5. Setup'!$D$6:$E$12,2,FALSE)</f>
        <v>Sab</v>
      </c>
      <c r="E3276" t="str">
        <f>IFERROR(+VLOOKUP(Movimientos_2026[[#This Row],[Codigo]],Plan_cuentas[],2,FALSE)," ")</f>
        <v xml:space="preserve"> </v>
      </c>
      <c r="F3276" t="str">
        <f>IFERROR(+VLOOKUP(Movimientos_2026[[#This Row],[Codigo]],Plan_cuentas[],3,FALSE)," ")</f>
        <v xml:space="preserve"> </v>
      </c>
      <c r="G3276" t="str">
        <f>IFERROR(+VLOOKUP(Movimientos_2026[[#This Row],[Codigo]],Plan_cuentas[],4,FALSE)," ")</f>
        <v xml:space="preserve"> </v>
      </c>
      <c r="H3276" t="str">
        <f>IFERROR(+VLOOKUP(Movimientos_2026[[#This Row],[Codigo]],Plan_cuentas[],5,FALSE)," ")</f>
        <v xml:space="preserve"> </v>
      </c>
      <c r="I3276" s="43"/>
      <c r="K3276" t="str">
        <f>IFERROR(+VLOOKUP(Movimientos_2026[[#This Row],[Codigo]],Plan_cuentas[],6,FALSE)," ")</f>
        <v xml:space="preserve"> </v>
      </c>
      <c r="L3276" s="50"/>
      <c r="M3276" s="50"/>
      <c r="N3276" s="20">
        <f>+Movimientos_2026[[#This Row],[Ingresos]]-Movimientos_2026[[#This Row],[Egresos]]</f>
        <v>0</v>
      </c>
      <c r="O3276" s="20">
        <f>+O3275+Movimientos_2026[[#This Row],[Neto]]</f>
        <v>4581558617.7962294</v>
      </c>
    </row>
    <row r="3277" spans="1:15" x14ac:dyDescent="0.25">
      <c r="A3277" s="13"/>
      <c r="B3277" s="12">
        <f>MONTH(Movimientos_2026[[#This Row],[Fecha]])</f>
        <v>1</v>
      </c>
      <c r="C3277" s="12" t="str">
        <f>VLOOKUP((WEEKDAY(Movimientos_2026[[#This Row],[Fecha]],2)),'5. Setup'!$D$6:$E$12,2,FALSE)</f>
        <v>Sab</v>
      </c>
      <c r="E3277" t="str">
        <f>IFERROR(+VLOOKUP(Movimientos_2026[[#This Row],[Codigo]],Plan_cuentas[],2,FALSE)," ")</f>
        <v xml:space="preserve"> </v>
      </c>
      <c r="F3277" t="str">
        <f>IFERROR(+VLOOKUP(Movimientos_2026[[#This Row],[Codigo]],Plan_cuentas[],3,FALSE)," ")</f>
        <v xml:space="preserve"> </v>
      </c>
      <c r="G3277" t="str">
        <f>IFERROR(+VLOOKUP(Movimientos_2026[[#This Row],[Codigo]],Plan_cuentas[],4,FALSE)," ")</f>
        <v xml:space="preserve"> </v>
      </c>
      <c r="H3277" t="str">
        <f>IFERROR(+VLOOKUP(Movimientos_2026[[#This Row],[Codigo]],Plan_cuentas[],5,FALSE)," ")</f>
        <v xml:space="preserve"> </v>
      </c>
      <c r="I3277" s="43"/>
      <c r="K3277" t="str">
        <f>IFERROR(+VLOOKUP(Movimientos_2026[[#This Row],[Codigo]],Plan_cuentas[],6,FALSE)," ")</f>
        <v xml:space="preserve"> </v>
      </c>
      <c r="L3277" s="50"/>
      <c r="M3277" s="50"/>
      <c r="N3277" s="20">
        <f>+Movimientos_2026[[#This Row],[Ingresos]]-Movimientos_2026[[#This Row],[Egresos]]</f>
        <v>0</v>
      </c>
      <c r="O3277" s="20">
        <f>+O3276+Movimientos_2026[[#This Row],[Neto]]</f>
        <v>4581558617.7962294</v>
      </c>
    </row>
    <row r="3278" spans="1:15" x14ac:dyDescent="0.25">
      <c r="A3278" s="13"/>
      <c r="B3278" s="12">
        <f>MONTH(Movimientos_2026[[#This Row],[Fecha]])</f>
        <v>1</v>
      </c>
      <c r="C3278" s="12" t="str">
        <f>VLOOKUP((WEEKDAY(Movimientos_2026[[#This Row],[Fecha]],2)),'5. Setup'!$D$6:$E$12,2,FALSE)</f>
        <v>Sab</v>
      </c>
      <c r="E3278" t="str">
        <f>IFERROR(+VLOOKUP(Movimientos_2026[[#This Row],[Codigo]],Plan_cuentas[],2,FALSE)," ")</f>
        <v xml:space="preserve"> </v>
      </c>
      <c r="F3278" t="str">
        <f>IFERROR(+VLOOKUP(Movimientos_2026[[#This Row],[Codigo]],Plan_cuentas[],3,FALSE)," ")</f>
        <v xml:space="preserve"> </v>
      </c>
      <c r="G3278" t="str">
        <f>IFERROR(+VLOOKUP(Movimientos_2026[[#This Row],[Codigo]],Plan_cuentas[],4,FALSE)," ")</f>
        <v xml:space="preserve"> </v>
      </c>
      <c r="H3278" t="str">
        <f>IFERROR(+VLOOKUP(Movimientos_2026[[#This Row],[Codigo]],Plan_cuentas[],5,FALSE)," ")</f>
        <v xml:space="preserve"> </v>
      </c>
      <c r="I3278" s="43"/>
      <c r="K3278" t="str">
        <f>IFERROR(+VLOOKUP(Movimientos_2026[[#This Row],[Codigo]],Plan_cuentas[],6,FALSE)," ")</f>
        <v xml:space="preserve"> </v>
      </c>
      <c r="L3278" s="50"/>
      <c r="M3278" s="50"/>
      <c r="N3278" s="20">
        <f>+Movimientos_2026[[#This Row],[Ingresos]]-Movimientos_2026[[#This Row],[Egresos]]</f>
        <v>0</v>
      </c>
      <c r="O3278" s="20">
        <f>+O3277+Movimientos_2026[[#This Row],[Neto]]</f>
        <v>4581558617.7962294</v>
      </c>
    </row>
    <row r="3279" spans="1:15" x14ac:dyDescent="0.25">
      <c r="A3279" s="13"/>
      <c r="B3279" s="12">
        <f>MONTH(Movimientos_2026[[#This Row],[Fecha]])</f>
        <v>1</v>
      </c>
      <c r="C3279" s="12" t="str">
        <f>VLOOKUP((WEEKDAY(Movimientos_2026[[#This Row],[Fecha]],2)),'5. Setup'!$D$6:$E$12,2,FALSE)</f>
        <v>Sab</v>
      </c>
      <c r="E3279" t="str">
        <f>IFERROR(+VLOOKUP(Movimientos_2026[[#This Row],[Codigo]],Plan_cuentas[],2,FALSE)," ")</f>
        <v xml:space="preserve"> </v>
      </c>
      <c r="F3279" t="str">
        <f>IFERROR(+VLOOKUP(Movimientos_2026[[#This Row],[Codigo]],Plan_cuentas[],3,FALSE)," ")</f>
        <v xml:space="preserve"> </v>
      </c>
      <c r="G3279" t="str">
        <f>IFERROR(+VLOOKUP(Movimientos_2026[[#This Row],[Codigo]],Plan_cuentas[],4,FALSE)," ")</f>
        <v xml:space="preserve"> </v>
      </c>
      <c r="H3279" t="str">
        <f>IFERROR(+VLOOKUP(Movimientos_2026[[#This Row],[Codigo]],Plan_cuentas[],5,FALSE)," ")</f>
        <v xml:space="preserve"> </v>
      </c>
      <c r="I3279" s="43"/>
      <c r="K3279" t="str">
        <f>IFERROR(+VLOOKUP(Movimientos_2026[[#This Row],[Codigo]],Plan_cuentas[],6,FALSE)," ")</f>
        <v xml:space="preserve"> </v>
      </c>
      <c r="L3279" s="50"/>
      <c r="M3279" s="50"/>
      <c r="N3279" s="20">
        <f>+Movimientos_2026[[#This Row],[Ingresos]]-Movimientos_2026[[#This Row],[Egresos]]</f>
        <v>0</v>
      </c>
      <c r="O3279" s="20">
        <f>+O3278+Movimientos_2026[[#This Row],[Neto]]</f>
        <v>4581558617.7962294</v>
      </c>
    </row>
    <row r="3280" spans="1:15" x14ac:dyDescent="0.25">
      <c r="A3280" s="13"/>
      <c r="B3280" s="12">
        <f>MONTH(Movimientos_2026[[#This Row],[Fecha]])</f>
        <v>1</v>
      </c>
      <c r="C3280" s="12" t="str">
        <f>VLOOKUP((WEEKDAY(Movimientos_2026[[#This Row],[Fecha]],2)),'5. Setup'!$D$6:$E$12,2,FALSE)</f>
        <v>Sab</v>
      </c>
      <c r="E3280" t="str">
        <f>IFERROR(+VLOOKUP(Movimientos_2026[[#This Row],[Codigo]],Plan_cuentas[],2,FALSE)," ")</f>
        <v xml:space="preserve"> </v>
      </c>
      <c r="F3280" t="str">
        <f>IFERROR(+VLOOKUP(Movimientos_2026[[#This Row],[Codigo]],Plan_cuentas[],3,FALSE)," ")</f>
        <v xml:space="preserve"> </v>
      </c>
      <c r="G3280" t="str">
        <f>IFERROR(+VLOOKUP(Movimientos_2026[[#This Row],[Codigo]],Plan_cuentas[],4,FALSE)," ")</f>
        <v xml:space="preserve"> </v>
      </c>
      <c r="H3280" t="str">
        <f>IFERROR(+VLOOKUP(Movimientos_2026[[#This Row],[Codigo]],Plan_cuentas[],5,FALSE)," ")</f>
        <v xml:space="preserve"> </v>
      </c>
      <c r="I3280" s="43"/>
      <c r="K3280" t="str">
        <f>IFERROR(+VLOOKUP(Movimientos_2026[[#This Row],[Codigo]],Plan_cuentas[],6,FALSE)," ")</f>
        <v xml:space="preserve"> </v>
      </c>
      <c r="L3280" s="50"/>
      <c r="M3280" s="50"/>
      <c r="N3280" s="20">
        <f>+Movimientos_2026[[#This Row],[Ingresos]]-Movimientos_2026[[#This Row],[Egresos]]</f>
        <v>0</v>
      </c>
      <c r="O3280" s="20">
        <f>+O3279+Movimientos_2026[[#This Row],[Neto]]</f>
        <v>4581558617.7962294</v>
      </c>
    </row>
    <row r="3281" spans="1:15" x14ac:dyDescent="0.25">
      <c r="A3281" s="13"/>
      <c r="B3281" s="12">
        <f>MONTH(Movimientos_2026[[#This Row],[Fecha]])</f>
        <v>1</v>
      </c>
      <c r="C3281" s="12" t="str">
        <f>VLOOKUP((WEEKDAY(Movimientos_2026[[#This Row],[Fecha]],2)),'5. Setup'!$D$6:$E$12,2,FALSE)</f>
        <v>Sab</v>
      </c>
      <c r="E3281" t="str">
        <f>IFERROR(+VLOOKUP(Movimientos_2026[[#This Row],[Codigo]],Plan_cuentas[],2,FALSE)," ")</f>
        <v xml:space="preserve"> </v>
      </c>
      <c r="F3281" t="str">
        <f>IFERROR(+VLOOKUP(Movimientos_2026[[#This Row],[Codigo]],Plan_cuentas[],3,FALSE)," ")</f>
        <v xml:space="preserve"> </v>
      </c>
      <c r="G3281" t="str">
        <f>IFERROR(+VLOOKUP(Movimientos_2026[[#This Row],[Codigo]],Plan_cuentas[],4,FALSE)," ")</f>
        <v xml:space="preserve"> </v>
      </c>
      <c r="H3281" t="str">
        <f>IFERROR(+VLOOKUP(Movimientos_2026[[#This Row],[Codigo]],Plan_cuentas[],5,FALSE)," ")</f>
        <v xml:space="preserve"> </v>
      </c>
      <c r="I3281" s="43"/>
      <c r="K3281" t="str">
        <f>IFERROR(+VLOOKUP(Movimientos_2026[[#This Row],[Codigo]],Plan_cuentas[],6,FALSE)," ")</f>
        <v xml:space="preserve"> </v>
      </c>
      <c r="L3281" s="50"/>
      <c r="M3281" s="50"/>
      <c r="N3281" s="20">
        <f>+Movimientos_2026[[#This Row],[Ingresos]]-Movimientos_2026[[#This Row],[Egresos]]</f>
        <v>0</v>
      </c>
      <c r="O3281" s="20">
        <f>+O3280+Movimientos_2026[[#This Row],[Neto]]</f>
        <v>4581558617.7962294</v>
      </c>
    </row>
    <row r="3282" spans="1:15" x14ac:dyDescent="0.25">
      <c r="A3282" s="13"/>
      <c r="B3282" s="12">
        <f>MONTH(Movimientos_2026[[#This Row],[Fecha]])</f>
        <v>1</v>
      </c>
      <c r="C3282" s="12" t="str">
        <f>VLOOKUP((WEEKDAY(Movimientos_2026[[#This Row],[Fecha]],2)),'5. Setup'!$D$6:$E$12,2,FALSE)</f>
        <v>Sab</v>
      </c>
      <c r="E3282" t="str">
        <f>IFERROR(+VLOOKUP(Movimientos_2026[[#This Row],[Codigo]],Plan_cuentas[],2,FALSE)," ")</f>
        <v xml:space="preserve"> </v>
      </c>
      <c r="F3282" t="str">
        <f>IFERROR(+VLOOKUP(Movimientos_2026[[#This Row],[Codigo]],Plan_cuentas[],3,FALSE)," ")</f>
        <v xml:space="preserve"> </v>
      </c>
      <c r="G3282" t="str">
        <f>IFERROR(+VLOOKUP(Movimientos_2026[[#This Row],[Codigo]],Plan_cuentas[],4,FALSE)," ")</f>
        <v xml:space="preserve"> </v>
      </c>
      <c r="H3282" t="str">
        <f>IFERROR(+VLOOKUP(Movimientos_2026[[#This Row],[Codigo]],Plan_cuentas[],5,FALSE)," ")</f>
        <v xml:space="preserve"> </v>
      </c>
      <c r="I3282" s="43"/>
      <c r="K3282" t="str">
        <f>IFERROR(+VLOOKUP(Movimientos_2026[[#This Row],[Codigo]],Plan_cuentas[],6,FALSE)," ")</f>
        <v xml:space="preserve"> </v>
      </c>
      <c r="L3282" s="50"/>
      <c r="M3282" s="50"/>
      <c r="N3282" s="20">
        <f>+Movimientos_2026[[#This Row],[Ingresos]]-Movimientos_2026[[#This Row],[Egresos]]</f>
        <v>0</v>
      </c>
      <c r="O3282" s="20">
        <f>+O3281+Movimientos_2026[[#This Row],[Neto]]</f>
        <v>4581558617.7962294</v>
      </c>
    </row>
    <row r="3283" spans="1:15" x14ac:dyDescent="0.25">
      <c r="A3283" s="13"/>
      <c r="B3283" s="12">
        <f>MONTH(Movimientos_2026[[#This Row],[Fecha]])</f>
        <v>1</v>
      </c>
      <c r="C3283" s="12" t="str">
        <f>VLOOKUP((WEEKDAY(Movimientos_2026[[#This Row],[Fecha]],2)),'5. Setup'!$D$6:$E$12,2,FALSE)</f>
        <v>Sab</v>
      </c>
      <c r="E3283" t="str">
        <f>IFERROR(+VLOOKUP(Movimientos_2026[[#This Row],[Codigo]],Plan_cuentas[],2,FALSE)," ")</f>
        <v xml:space="preserve"> </v>
      </c>
      <c r="F3283" t="str">
        <f>IFERROR(+VLOOKUP(Movimientos_2026[[#This Row],[Codigo]],Plan_cuentas[],3,FALSE)," ")</f>
        <v xml:space="preserve"> </v>
      </c>
      <c r="G3283" t="str">
        <f>IFERROR(+VLOOKUP(Movimientos_2026[[#This Row],[Codigo]],Plan_cuentas[],4,FALSE)," ")</f>
        <v xml:space="preserve"> </v>
      </c>
      <c r="H3283" t="str">
        <f>IFERROR(+VLOOKUP(Movimientos_2026[[#This Row],[Codigo]],Plan_cuentas[],5,FALSE)," ")</f>
        <v xml:space="preserve"> </v>
      </c>
      <c r="I3283" s="43"/>
      <c r="K3283" t="str">
        <f>IFERROR(+VLOOKUP(Movimientos_2026[[#This Row],[Codigo]],Plan_cuentas[],6,FALSE)," ")</f>
        <v xml:space="preserve"> </v>
      </c>
      <c r="L3283" s="50"/>
      <c r="M3283" s="50"/>
      <c r="N3283" s="20">
        <f>+Movimientos_2026[[#This Row],[Ingresos]]-Movimientos_2026[[#This Row],[Egresos]]</f>
        <v>0</v>
      </c>
      <c r="O3283" s="20">
        <f>+O3282+Movimientos_2026[[#This Row],[Neto]]</f>
        <v>4581558617.7962294</v>
      </c>
    </row>
    <row r="3284" spans="1:15" x14ac:dyDescent="0.25">
      <c r="A3284" s="13"/>
      <c r="B3284" s="12">
        <f>MONTH(Movimientos_2026[[#This Row],[Fecha]])</f>
        <v>1</v>
      </c>
      <c r="C3284" s="12" t="str">
        <f>VLOOKUP((WEEKDAY(Movimientos_2026[[#This Row],[Fecha]],2)),'5. Setup'!$D$6:$E$12,2,FALSE)</f>
        <v>Sab</v>
      </c>
      <c r="E3284" t="str">
        <f>IFERROR(+VLOOKUP(Movimientos_2026[[#This Row],[Codigo]],Plan_cuentas[],2,FALSE)," ")</f>
        <v xml:space="preserve"> </v>
      </c>
      <c r="F3284" t="str">
        <f>IFERROR(+VLOOKUP(Movimientos_2026[[#This Row],[Codigo]],Plan_cuentas[],3,FALSE)," ")</f>
        <v xml:space="preserve"> </v>
      </c>
      <c r="G3284" t="str">
        <f>IFERROR(+VLOOKUP(Movimientos_2026[[#This Row],[Codigo]],Plan_cuentas[],4,FALSE)," ")</f>
        <v xml:space="preserve"> </v>
      </c>
      <c r="H3284" t="str">
        <f>IFERROR(+VLOOKUP(Movimientos_2026[[#This Row],[Codigo]],Plan_cuentas[],5,FALSE)," ")</f>
        <v xml:space="preserve"> </v>
      </c>
      <c r="I3284" s="43"/>
      <c r="K3284" t="str">
        <f>IFERROR(+VLOOKUP(Movimientos_2026[[#This Row],[Codigo]],Plan_cuentas[],6,FALSE)," ")</f>
        <v xml:space="preserve"> </v>
      </c>
      <c r="L3284" s="50"/>
      <c r="M3284" s="50"/>
      <c r="N3284" s="20">
        <f>+Movimientos_2026[[#This Row],[Ingresos]]-Movimientos_2026[[#This Row],[Egresos]]</f>
        <v>0</v>
      </c>
      <c r="O3284" s="20">
        <f>+O3283+Movimientos_2026[[#This Row],[Neto]]</f>
        <v>4581558617.7962294</v>
      </c>
    </row>
    <row r="3285" spans="1:15" x14ac:dyDescent="0.25">
      <c r="A3285" s="13"/>
      <c r="B3285" s="12">
        <f>MONTH(Movimientos_2026[[#This Row],[Fecha]])</f>
        <v>1</v>
      </c>
      <c r="C3285" s="12" t="str">
        <f>VLOOKUP((WEEKDAY(Movimientos_2026[[#This Row],[Fecha]],2)),'5. Setup'!$D$6:$E$12,2,FALSE)</f>
        <v>Sab</v>
      </c>
      <c r="E3285" t="str">
        <f>IFERROR(+VLOOKUP(Movimientos_2026[[#This Row],[Codigo]],Plan_cuentas[],2,FALSE)," ")</f>
        <v xml:space="preserve"> </v>
      </c>
      <c r="F3285" t="str">
        <f>IFERROR(+VLOOKUP(Movimientos_2026[[#This Row],[Codigo]],Plan_cuentas[],3,FALSE)," ")</f>
        <v xml:space="preserve"> </v>
      </c>
      <c r="G3285" t="str">
        <f>IFERROR(+VLOOKUP(Movimientos_2026[[#This Row],[Codigo]],Plan_cuentas[],4,FALSE)," ")</f>
        <v xml:space="preserve"> </v>
      </c>
      <c r="H3285" t="str">
        <f>IFERROR(+VLOOKUP(Movimientos_2026[[#This Row],[Codigo]],Plan_cuentas[],5,FALSE)," ")</f>
        <v xml:space="preserve"> </v>
      </c>
      <c r="I3285" s="43"/>
      <c r="K3285" t="str">
        <f>IFERROR(+VLOOKUP(Movimientos_2026[[#This Row],[Codigo]],Plan_cuentas[],6,FALSE)," ")</f>
        <v xml:space="preserve"> </v>
      </c>
      <c r="L3285" s="50"/>
      <c r="M3285" s="50"/>
      <c r="N3285" s="20">
        <f>+Movimientos_2026[[#This Row],[Ingresos]]-Movimientos_2026[[#This Row],[Egresos]]</f>
        <v>0</v>
      </c>
      <c r="O3285" s="20">
        <f>+O3284+Movimientos_2026[[#This Row],[Neto]]</f>
        <v>4581558617.7962294</v>
      </c>
    </row>
    <row r="3286" spans="1:15" x14ac:dyDescent="0.25">
      <c r="A3286" s="13"/>
      <c r="B3286" s="12">
        <f>MONTH(Movimientos_2026[[#This Row],[Fecha]])</f>
        <v>1</v>
      </c>
      <c r="C3286" s="12" t="str">
        <f>VLOOKUP((WEEKDAY(Movimientos_2026[[#This Row],[Fecha]],2)),'5. Setup'!$D$6:$E$12,2,FALSE)</f>
        <v>Sab</v>
      </c>
      <c r="E3286" t="str">
        <f>IFERROR(+VLOOKUP(Movimientos_2026[[#This Row],[Codigo]],Plan_cuentas[],2,FALSE)," ")</f>
        <v xml:space="preserve"> </v>
      </c>
      <c r="F3286" t="str">
        <f>IFERROR(+VLOOKUP(Movimientos_2026[[#This Row],[Codigo]],Plan_cuentas[],3,FALSE)," ")</f>
        <v xml:space="preserve"> </v>
      </c>
      <c r="G3286" t="str">
        <f>IFERROR(+VLOOKUP(Movimientos_2026[[#This Row],[Codigo]],Plan_cuentas[],4,FALSE)," ")</f>
        <v xml:space="preserve"> </v>
      </c>
      <c r="H3286" t="str">
        <f>IFERROR(+VLOOKUP(Movimientos_2026[[#This Row],[Codigo]],Plan_cuentas[],5,FALSE)," ")</f>
        <v xml:space="preserve"> </v>
      </c>
      <c r="I3286" s="43"/>
      <c r="K3286" t="str">
        <f>IFERROR(+VLOOKUP(Movimientos_2026[[#This Row],[Codigo]],Plan_cuentas[],6,FALSE)," ")</f>
        <v xml:space="preserve"> </v>
      </c>
      <c r="L3286" s="50"/>
      <c r="M3286" s="50"/>
      <c r="N3286" s="20">
        <f>+Movimientos_2026[[#This Row],[Ingresos]]-Movimientos_2026[[#This Row],[Egresos]]</f>
        <v>0</v>
      </c>
      <c r="O3286" s="20">
        <f>+O3285+Movimientos_2026[[#This Row],[Neto]]</f>
        <v>4581558617.7962294</v>
      </c>
    </row>
    <row r="3287" spans="1:15" x14ac:dyDescent="0.25">
      <c r="A3287" s="13"/>
      <c r="B3287" s="12">
        <f>MONTH(Movimientos_2026[[#This Row],[Fecha]])</f>
        <v>1</v>
      </c>
      <c r="C3287" s="12" t="str">
        <f>VLOOKUP((WEEKDAY(Movimientos_2026[[#This Row],[Fecha]],2)),'5. Setup'!$D$6:$E$12,2,FALSE)</f>
        <v>Sab</v>
      </c>
      <c r="E3287" t="str">
        <f>IFERROR(+VLOOKUP(Movimientos_2026[[#This Row],[Codigo]],Plan_cuentas[],2,FALSE)," ")</f>
        <v xml:space="preserve"> </v>
      </c>
      <c r="F3287" t="str">
        <f>IFERROR(+VLOOKUP(Movimientos_2026[[#This Row],[Codigo]],Plan_cuentas[],3,FALSE)," ")</f>
        <v xml:space="preserve"> </v>
      </c>
      <c r="G3287" t="str">
        <f>IFERROR(+VLOOKUP(Movimientos_2026[[#This Row],[Codigo]],Plan_cuentas[],4,FALSE)," ")</f>
        <v xml:space="preserve"> </v>
      </c>
      <c r="H3287" t="str">
        <f>IFERROR(+VLOOKUP(Movimientos_2026[[#This Row],[Codigo]],Plan_cuentas[],5,FALSE)," ")</f>
        <v xml:space="preserve"> </v>
      </c>
      <c r="I3287" s="43"/>
      <c r="K3287" t="str">
        <f>IFERROR(+VLOOKUP(Movimientos_2026[[#This Row],[Codigo]],Plan_cuentas[],6,FALSE)," ")</f>
        <v xml:space="preserve"> </v>
      </c>
      <c r="L3287" s="50"/>
      <c r="M3287" s="50"/>
      <c r="N3287" s="20">
        <f>+Movimientos_2026[[#This Row],[Ingresos]]-Movimientos_2026[[#This Row],[Egresos]]</f>
        <v>0</v>
      </c>
      <c r="O3287" s="20">
        <f>+O3286+Movimientos_2026[[#This Row],[Neto]]</f>
        <v>4581558617.7962294</v>
      </c>
    </row>
    <row r="3288" spans="1:15" x14ac:dyDescent="0.25">
      <c r="A3288" s="13"/>
      <c r="B3288" s="12">
        <f>MONTH(Movimientos_2026[[#This Row],[Fecha]])</f>
        <v>1</v>
      </c>
      <c r="C3288" s="12" t="str">
        <f>VLOOKUP((WEEKDAY(Movimientos_2026[[#This Row],[Fecha]],2)),'5. Setup'!$D$6:$E$12,2,FALSE)</f>
        <v>Sab</v>
      </c>
      <c r="E3288" t="str">
        <f>IFERROR(+VLOOKUP(Movimientos_2026[[#This Row],[Codigo]],Plan_cuentas[],2,FALSE)," ")</f>
        <v xml:space="preserve"> </v>
      </c>
      <c r="F3288" t="str">
        <f>IFERROR(+VLOOKUP(Movimientos_2026[[#This Row],[Codigo]],Plan_cuentas[],3,FALSE)," ")</f>
        <v xml:space="preserve"> </v>
      </c>
      <c r="G3288" t="str">
        <f>IFERROR(+VLOOKUP(Movimientos_2026[[#This Row],[Codigo]],Plan_cuentas[],4,FALSE)," ")</f>
        <v xml:space="preserve"> </v>
      </c>
      <c r="H3288" t="str">
        <f>IFERROR(+VLOOKUP(Movimientos_2026[[#This Row],[Codigo]],Plan_cuentas[],5,FALSE)," ")</f>
        <v xml:space="preserve"> </v>
      </c>
      <c r="I3288" s="43"/>
      <c r="K3288" t="str">
        <f>IFERROR(+VLOOKUP(Movimientos_2026[[#This Row],[Codigo]],Plan_cuentas[],6,FALSE)," ")</f>
        <v xml:space="preserve"> </v>
      </c>
      <c r="L3288" s="50"/>
      <c r="M3288" s="50"/>
      <c r="N3288" s="20">
        <f>+Movimientos_2026[[#This Row],[Ingresos]]-Movimientos_2026[[#This Row],[Egresos]]</f>
        <v>0</v>
      </c>
      <c r="O3288" s="20">
        <f>+O3287+Movimientos_2026[[#This Row],[Neto]]</f>
        <v>4581558617.7962294</v>
      </c>
    </row>
    <row r="3289" spans="1:15" x14ac:dyDescent="0.25">
      <c r="A3289" s="13"/>
      <c r="B3289" s="12">
        <f>MONTH(Movimientos_2026[[#This Row],[Fecha]])</f>
        <v>1</v>
      </c>
      <c r="C3289" s="12" t="str">
        <f>VLOOKUP((WEEKDAY(Movimientos_2026[[#This Row],[Fecha]],2)),'5. Setup'!$D$6:$E$12,2,FALSE)</f>
        <v>Sab</v>
      </c>
      <c r="E3289" t="str">
        <f>IFERROR(+VLOOKUP(Movimientos_2026[[#This Row],[Codigo]],Plan_cuentas[],2,FALSE)," ")</f>
        <v xml:space="preserve"> </v>
      </c>
      <c r="F3289" t="str">
        <f>IFERROR(+VLOOKUP(Movimientos_2026[[#This Row],[Codigo]],Plan_cuentas[],3,FALSE)," ")</f>
        <v xml:space="preserve"> </v>
      </c>
      <c r="G3289" t="str">
        <f>IFERROR(+VLOOKUP(Movimientos_2026[[#This Row],[Codigo]],Plan_cuentas[],4,FALSE)," ")</f>
        <v xml:space="preserve"> </v>
      </c>
      <c r="H3289" t="str">
        <f>IFERROR(+VLOOKUP(Movimientos_2026[[#This Row],[Codigo]],Plan_cuentas[],5,FALSE)," ")</f>
        <v xml:space="preserve"> </v>
      </c>
      <c r="I3289" s="43"/>
      <c r="K3289" t="str">
        <f>IFERROR(+VLOOKUP(Movimientos_2026[[#This Row],[Codigo]],Plan_cuentas[],6,FALSE)," ")</f>
        <v xml:space="preserve"> </v>
      </c>
      <c r="L3289" s="50"/>
      <c r="M3289" s="50"/>
      <c r="N3289" s="20">
        <f>+Movimientos_2026[[#This Row],[Ingresos]]-Movimientos_2026[[#This Row],[Egresos]]</f>
        <v>0</v>
      </c>
      <c r="O3289" s="20">
        <f>+O3288+Movimientos_2026[[#This Row],[Neto]]</f>
        <v>4581558617.7962294</v>
      </c>
    </row>
    <row r="3290" spans="1:15" x14ac:dyDescent="0.25">
      <c r="A3290" s="13"/>
      <c r="B3290" s="12">
        <f>MONTH(Movimientos_2026[[#This Row],[Fecha]])</f>
        <v>1</v>
      </c>
      <c r="C3290" s="12" t="str">
        <f>VLOOKUP((WEEKDAY(Movimientos_2026[[#This Row],[Fecha]],2)),'5. Setup'!$D$6:$E$12,2,FALSE)</f>
        <v>Sab</v>
      </c>
      <c r="E3290" t="str">
        <f>IFERROR(+VLOOKUP(Movimientos_2026[[#This Row],[Codigo]],Plan_cuentas[],2,FALSE)," ")</f>
        <v xml:space="preserve"> </v>
      </c>
      <c r="F3290" t="str">
        <f>IFERROR(+VLOOKUP(Movimientos_2026[[#This Row],[Codigo]],Plan_cuentas[],3,FALSE)," ")</f>
        <v xml:space="preserve"> </v>
      </c>
      <c r="G3290" t="str">
        <f>IFERROR(+VLOOKUP(Movimientos_2026[[#This Row],[Codigo]],Plan_cuentas[],4,FALSE)," ")</f>
        <v xml:space="preserve"> </v>
      </c>
      <c r="H3290" t="str">
        <f>IFERROR(+VLOOKUP(Movimientos_2026[[#This Row],[Codigo]],Plan_cuentas[],5,FALSE)," ")</f>
        <v xml:space="preserve"> </v>
      </c>
      <c r="I3290" s="43"/>
      <c r="K3290" t="str">
        <f>IFERROR(+VLOOKUP(Movimientos_2026[[#This Row],[Codigo]],Plan_cuentas[],6,FALSE)," ")</f>
        <v xml:space="preserve"> </v>
      </c>
      <c r="L3290" s="50"/>
      <c r="M3290" s="50"/>
      <c r="N3290" s="20">
        <f>+Movimientos_2026[[#This Row],[Ingresos]]-Movimientos_2026[[#This Row],[Egresos]]</f>
        <v>0</v>
      </c>
      <c r="O3290" s="20">
        <f>+O3289+Movimientos_2026[[#This Row],[Neto]]</f>
        <v>4581558617.7962294</v>
      </c>
    </row>
    <row r="3291" spans="1:15" x14ac:dyDescent="0.25">
      <c r="A3291" s="13"/>
      <c r="B3291" s="12">
        <f>MONTH(Movimientos_2026[[#This Row],[Fecha]])</f>
        <v>1</v>
      </c>
      <c r="C3291" s="12" t="str">
        <f>VLOOKUP((WEEKDAY(Movimientos_2026[[#This Row],[Fecha]],2)),'5. Setup'!$D$6:$E$12,2,FALSE)</f>
        <v>Sab</v>
      </c>
      <c r="E3291" t="str">
        <f>IFERROR(+VLOOKUP(Movimientos_2026[[#This Row],[Codigo]],Plan_cuentas[],2,FALSE)," ")</f>
        <v xml:space="preserve"> </v>
      </c>
      <c r="F3291" t="str">
        <f>IFERROR(+VLOOKUP(Movimientos_2026[[#This Row],[Codigo]],Plan_cuentas[],3,FALSE)," ")</f>
        <v xml:space="preserve"> </v>
      </c>
      <c r="G3291" t="str">
        <f>IFERROR(+VLOOKUP(Movimientos_2026[[#This Row],[Codigo]],Plan_cuentas[],4,FALSE)," ")</f>
        <v xml:space="preserve"> </v>
      </c>
      <c r="H3291" t="str">
        <f>IFERROR(+VLOOKUP(Movimientos_2026[[#This Row],[Codigo]],Plan_cuentas[],5,FALSE)," ")</f>
        <v xml:space="preserve"> </v>
      </c>
      <c r="I3291" s="43"/>
      <c r="K3291" t="str">
        <f>IFERROR(+VLOOKUP(Movimientos_2026[[#This Row],[Codigo]],Plan_cuentas[],6,FALSE)," ")</f>
        <v xml:space="preserve"> </v>
      </c>
      <c r="L3291" s="50"/>
      <c r="M3291" s="50"/>
      <c r="N3291" s="20">
        <f>+Movimientos_2026[[#This Row],[Ingresos]]-Movimientos_2026[[#This Row],[Egresos]]</f>
        <v>0</v>
      </c>
      <c r="O3291" s="20">
        <f>+O3290+Movimientos_2026[[#This Row],[Neto]]</f>
        <v>4581558617.7962294</v>
      </c>
    </row>
    <row r="3292" spans="1:15" x14ac:dyDescent="0.25">
      <c r="A3292" s="13"/>
      <c r="B3292" s="12">
        <f>MONTH(Movimientos_2026[[#This Row],[Fecha]])</f>
        <v>1</v>
      </c>
      <c r="C3292" s="12" t="str">
        <f>VLOOKUP((WEEKDAY(Movimientos_2026[[#This Row],[Fecha]],2)),'5. Setup'!$D$6:$E$12,2,FALSE)</f>
        <v>Sab</v>
      </c>
      <c r="E3292" t="str">
        <f>IFERROR(+VLOOKUP(Movimientos_2026[[#This Row],[Codigo]],Plan_cuentas[],2,FALSE)," ")</f>
        <v xml:space="preserve"> </v>
      </c>
      <c r="F3292" t="str">
        <f>IFERROR(+VLOOKUP(Movimientos_2026[[#This Row],[Codigo]],Plan_cuentas[],3,FALSE)," ")</f>
        <v xml:space="preserve"> </v>
      </c>
      <c r="G3292" t="str">
        <f>IFERROR(+VLOOKUP(Movimientos_2026[[#This Row],[Codigo]],Plan_cuentas[],4,FALSE)," ")</f>
        <v xml:space="preserve"> </v>
      </c>
      <c r="H3292" t="str">
        <f>IFERROR(+VLOOKUP(Movimientos_2026[[#This Row],[Codigo]],Plan_cuentas[],5,FALSE)," ")</f>
        <v xml:space="preserve"> </v>
      </c>
      <c r="I3292" s="43"/>
      <c r="K3292" t="str">
        <f>IFERROR(+VLOOKUP(Movimientos_2026[[#This Row],[Codigo]],Plan_cuentas[],6,FALSE)," ")</f>
        <v xml:space="preserve"> </v>
      </c>
      <c r="L3292" s="50"/>
      <c r="M3292" s="50"/>
      <c r="N3292" s="20">
        <f>+Movimientos_2026[[#This Row],[Ingresos]]-Movimientos_2026[[#This Row],[Egresos]]</f>
        <v>0</v>
      </c>
      <c r="O3292" s="20">
        <f>+O3291+Movimientos_2026[[#This Row],[Neto]]</f>
        <v>4581558617.7962294</v>
      </c>
    </row>
    <row r="3293" spans="1:15" x14ac:dyDescent="0.25">
      <c r="A3293" s="13"/>
      <c r="B3293" s="12">
        <f>MONTH(Movimientos_2026[[#This Row],[Fecha]])</f>
        <v>1</v>
      </c>
      <c r="C3293" s="12" t="str">
        <f>VLOOKUP((WEEKDAY(Movimientos_2026[[#This Row],[Fecha]],2)),'5. Setup'!$D$6:$E$12,2,FALSE)</f>
        <v>Sab</v>
      </c>
      <c r="E3293" t="str">
        <f>IFERROR(+VLOOKUP(Movimientos_2026[[#This Row],[Codigo]],Plan_cuentas[],2,FALSE)," ")</f>
        <v xml:space="preserve"> </v>
      </c>
      <c r="F3293" t="str">
        <f>IFERROR(+VLOOKUP(Movimientos_2026[[#This Row],[Codigo]],Plan_cuentas[],3,FALSE)," ")</f>
        <v xml:space="preserve"> </v>
      </c>
      <c r="G3293" t="str">
        <f>IFERROR(+VLOOKUP(Movimientos_2026[[#This Row],[Codigo]],Plan_cuentas[],4,FALSE)," ")</f>
        <v xml:space="preserve"> </v>
      </c>
      <c r="H3293" t="str">
        <f>IFERROR(+VLOOKUP(Movimientos_2026[[#This Row],[Codigo]],Plan_cuentas[],5,FALSE)," ")</f>
        <v xml:space="preserve"> </v>
      </c>
      <c r="I3293" s="43"/>
      <c r="K3293" t="str">
        <f>IFERROR(+VLOOKUP(Movimientos_2026[[#This Row],[Codigo]],Plan_cuentas[],6,FALSE)," ")</f>
        <v xml:space="preserve"> </v>
      </c>
      <c r="L3293" s="50"/>
      <c r="M3293" s="50"/>
      <c r="N3293" s="20">
        <f>+Movimientos_2026[[#This Row],[Ingresos]]-Movimientos_2026[[#This Row],[Egresos]]</f>
        <v>0</v>
      </c>
      <c r="O3293" s="20">
        <f>+O3292+Movimientos_2026[[#This Row],[Neto]]</f>
        <v>4581558617.7962294</v>
      </c>
    </row>
    <row r="3294" spans="1:15" x14ac:dyDescent="0.25">
      <c r="A3294" s="13"/>
      <c r="B3294" s="12">
        <f>MONTH(Movimientos_2026[[#This Row],[Fecha]])</f>
        <v>1</v>
      </c>
      <c r="C3294" s="12" t="str">
        <f>VLOOKUP((WEEKDAY(Movimientos_2026[[#This Row],[Fecha]],2)),'5. Setup'!$D$6:$E$12,2,FALSE)</f>
        <v>Sab</v>
      </c>
      <c r="E3294" t="str">
        <f>IFERROR(+VLOOKUP(Movimientos_2026[[#This Row],[Codigo]],Plan_cuentas[],2,FALSE)," ")</f>
        <v xml:space="preserve"> </v>
      </c>
      <c r="F3294" t="str">
        <f>IFERROR(+VLOOKUP(Movimientos_2026[[#This Row],[Codigo]],Plan_cuentas[],3,FALSE)," ")</f>
        <v xml:space="preserve"> </v>
      </c>
      <c r="G3294" t="str">
        <f>IFERROR(+VLOOKUP(Movimientos_2026[[#This Row],[Codigo]],Plan_cuentas[],4,FALSE)," ")</f>
        <v xml:space="preserve"> </v>
      </c>
      <c r="H3294" t="str">
        <f>IFERROR(+VLOOKUP(Movimientos_2026[[#This Row],[Codigo]],Plan_cuentas[],5,FALSE)," ")</f>
        <v xml:space="preserve"> </v>
      </c>
      <c r="I3294" s="43"/>
      <c r="K3294" t="str">
        <f>IFERROR(+VLOOKUP(Movimientos_2026[[#This Row],[Codigo]],Plan_cuentas[],6,FALSE)," ")</f>
        <v xml:space="preserve"> </v>
      </c>
      <c r="L3294" s="50"/>
      <c r="M3294" s="50"/>
      <c r="N3294" s="20">
        <f>+Movimientos_2026[[#This Row],[Ingresos]]-Movimientos_2026[[#This Row],[Egresos]]</f>
        <v>0</v>
      </c>
      <c r="O3294" s="20">
        <f>+O3293+Movimientos_2026[[#This Row],[Neto]]</f>
        <v>4581558617.7962294</v>
      </c>
    </row>
    <row r="3295" spans="1:15" x14ac:dyDescent="0.25">
      <c r="A3295" s="13"/>
      <c r="B3295" s="12">
        <f>MONTH(Movimientos_2026[[#This Row],[Fecha]])</f>
        <v>1</v>
      </c>
      <c r="C3295" s="12" t="str">
        <f>VLOOKUP((WEEKDAY(Movimientos_2026[[#This Row],[Fecha]],2)),'5. Setup'!$D$6:$E$12,2,FALSE)</f>
        <v>Sab</v>
      </c>
      <c r="E3295" t="str">
        <f>IFERROR(+VLOOKUP(Movimientos_2026[[#This Row],[Codigo]],Plan_cuentas[],2,FALSE)," ")</f>
        <v xml:space="preserve"> </v>
      </c>
      <c r="F3295" t="str">
        <f>IFERROR(+VLOOKUP(Movimientos_2026[[#This Row],[Codigo]],Plan_cuentas[],3,FALSE)," ")</f>
        <v xml:space="preserve"> </v>
      </c>
      <c r="G3295" t="str">
        <f>IFERROR(+VLOOKUP(Movimientos_2026[[#This Row],[Codigo]],Plan_cuentas[],4,FALSE)," ")</f>
        <v xml:space="preserve"> </v>
      </c>
      <c r="H3295" t="str">
        <f>IFERROR(+VLOOKUP(Movimientos_2026[[#This Row],[Codigo]],Plan_cuentas[],5,FALSE)," ")</f>
        <v xml:space="preserve"> </v>
      </c>
      <c r="I3295" s="43"/>
      <c r="K3295" t="str">
        <f>IFERROR(+VLOOKUP(Movimientos_2026[[#This Row],[Codigo]],Plan_cuentas[],6,FALSE)," ")</f>
        <v xml:space="preserve"> </v>
      </c>
      <c r="L3295" s="50"/>
      <c r="M3295" s="50"/>
      <c r="N3295" s="20">
        <f>+Movimientos_2026[[#This Row],[Ingresos]]-Movimientos_2026[[#This Row],[Egresos]]</f>
        <v>0</v>
      </c>
      <c r="O3295" s="20">
        <f>+O3294+Movimientos_2026[[#This Row],[Neto]]</f>
        <v>4581558617.7962294</v>
      </c>
    </row>
    <row r="3296" spans="1:15" x14ac:dyDescent="0.25">
      <c r="A3296" s="13"/>
      <c r="B3296" s="12">
        <f>MONTH(Movimientos_2026[[#This Row],[Fecha]])</f>
        <v>1</v>
      </c>
      <c r="C3296" s="12" t="str">
        <f>VLOOKUP((WEEKDAY(Movimientos_2026[[#This Row],[Fecha]],2)),'5. Setup'!$D$6:$E$12,2,FALSE)</f>
        <v>Sab</v>
      </c>
      <c r="E3296" t="str">
        <f>IFERROR(+VLOOKUP(Movimientos_2026[[#This Row],[Codigo]],Plan_cuentas[],2,FALSE)," ")</f>
        <v xml:space="preserve"> </v>
      </c>
      <c r="F3296" t="str">
        <f>IFERROR(+VLOOKUP(Movimientos_2026[[#This Row],[Codigo]],Plan_cuentas[],3,FALSE)," ")</f>
        <v xml:space="preserve"> </v>
      </c>
      <c r="G3296" t="str">
        <f>IFERROR(+VLOOKUP(Movimientos_2026[[#This Row],[Codigo]],Plan_cuentas[],4,FALSE)," ")</f>
        <v xml:space="preserve"> </v>
      </c>
      <c r="H3296" t="str">
        <f>IFERROR(+VLOOKUP(Movimientos_2026[[#This Row],[Codigo]],Plan_cuentas[],5,FALSE)," ")</f>
        <v xml:space="preserve"> </v>
      </c>
      <c r="I3296" s="43"/>
      <c r="K3296" t="str">
        <f>IFERROR(+VLOOKUP(Movimientos_2026[[#This Row],[Codigo]],Plan_cuentas[],6,FALSE)," ")</f>
        <v xml:space="preserve"> </v>
      </c>
      <c r="L3296" s="50"/>
      <c r="M3296" s="50"/>
      <c r="N3296" s="20">
        <f>+Movimientos_2026[[#This Row],[Ingresos]]-Movimientos_2026[[#This Row],[Egresos]]</f>
        <v>0</v>
      </c>
      <c r="O3296" s="20">
        <f>+O3295+Movimientos_2026[[#This Row],[Neto]]</f>
        <v>4581558617.7962294</v>
      </c>
    </row>
    <row r="3297" spans="1:15" x14ac:dyDescent="0.25">
      <c r="A3297" s="13"/>
      <c r="B3297" s="12">
        <f>MONTH(Movimientos_2026[[#This Row],[Fecha]])</f>
        <v>1</v>
      </c>
      <c r="C3297" s="12" t="str">
        <f>VLOOKUP((WEEKDAY(Movimientos_2026[[#This Row],[Fecha]],2)),'5. Setup'!$D$6:$E$12,2,FALSE)</f>
        <v>Sab</v>
      </c>
      <c r="E3297" t="str">
        <f>IFERROR(+VLOOKUP(Movimientos_2026[[#This Row],[Codigo]],Plan_cuentas[],2,FALSE)," ")</f>
        <v xml:space="preserve"> </v>
      </c>
      <c r="F3297" t="str">
        <f>IFERROR(+VLOOKUP(Movimientos_2026[[#This Row],[Codigo]],Plan_cuentas[],3,FALSE)," ")</f>
        <v xml:space="preserve"> </v>
      </c>
      <c r="G3297" t="str">
        <f>IFERROR(+VLOOKUP(Movimientos_2026[[#This Row],[Codigo]],Plan_cuentas[],4,FALSE)," ")</f>
        <v xml:space="preserve"> </v>
      </c>
      <c r="H3297" t="str">
        <f>IFERROR(+VLOOKUP(Movimientos_2026[[#This Row],[Codigo]],Plan_cuentas[],5,FALSE)," ")</f>
        <v xml:space="preserve"> </v>
      </c>
      <c r="I3297" s="43"/>
      <c r="K3297" t="str">
        <f>IFERROR(+VLOOKUP(Movimientos_2026[[#This Row],[Codigo]],Plan_cuentas[],6,FALSE)," ")</f>
        <v xml:space="preserve"> </v>
      </c>
      <c r="L3297" s="50"/>
      <c r="M3297" s="50"/>
      <c r="N3297" s="20">
        <f>+Movimientos_2026[[#This Row],[Ingresos]]-Movimientos_2026[[#This Row],[Egresos]]</f>
        <v>0</v>
      </c>
      <c r="O3297" s="20">
        <f>+O3296+Movimientos_2026[[#This Row],[Neto]]</f>
        <v>4581558617.7962294</v>
      </c>
    </row>
    <row r="3298" spans="1:15" x14ac:dyDescent="0.25">
      <c r="A3298" s="13"/>
      <c r="B3298" s="12">
        <f>MONTH(Movimientos_2026[[#This Row],[Fecha]])</f>
        <v>1</v>
      </c>
      <c r="C3298" s="12" t="str">
        <f>VLOOKUP((WEEKDAY(Movimientos_2026[[#This Row],[Fecha]],2)),'5. Setup'!$D$6:$E$12,2,FALSE)</f>
        <v>Sab</v>
      </c>
      <c r="E3298" t="str">
        <f>IFERROR(+VLOOKUP(Movimientos_2026[[#This Row],[Codigo]],Plan_cuentas[],2,FALSE)," ")</f>
        <v xml:space="preserve"> </v>
      </c>
      <c r="F3298" t="str">
        <f>IFERROR(+VLOOKUP(Movimientos_2026[[#This Row],[Codigo]],Plan_cuentas[],3,FALSE)," ")</f>
        <v xml:space="preserve"> </v>
      </c>
      <c r="G3298" t="str">
        <f>IFERROR(+VLOOKUP(Movimientos_2026[[#This Row],[Codigo]],Plan_cuentas[],4,FALSE)," ")</f>
        <v xml:space="preserve"> </v>
      </c>
      <c r="H3298" t="str">
        <f>IFERROR(+VLOOKUP(Movimientos_2026[[#This Row],[Codigo]],Plan_cuentas[],5,FALSE)," ")</f>
        <v xml:space="preserve"> </v>
      </c>
      <c r="I3298" s="43"/>
      <c r="K3298" t="str">
        <f>IFERROR(+VLOOKUP(Movimientos_2026[[#This Row],[Codigo]],Plan_cuentas[],6,FALSE)," ")</f>
        <v xml:space="preserve"> </v>
      </c>
      <c r="L3298" s="50"/>
      <c r="M3298" s="50"/>
      <c r="N3298" s="20">
        <f>+Movimientos_2026[[#This Row],[Ingresos]]-Movimientos_2026[[#This Row],[Egresos]]</f>
        <v>0</v>
      </c>
      <c r="O3298" s="20">
        <f>+O3297+Movimientos_2026[[#This Row],[Neto]]</f>
        <v>4581558617.7962294</v>
      </c>
    </row>
    <row r="3299" spans="1:15" x14ac:dyDescent="0.25">
      <c r="A3299" s="13"/>
      <c r="B3299" s="12">
        <f>MONTH(Movimientos_2026[[#This Row],[Fecha]])</f>
        <v>1</v>
      </c>
      <c r="C3299" s="12" t="str">
        <f>VLOOKUP((WEEKDAY(Movimientos_2026[[#This Row],[Fecha]],2)),'5. Setup'!$D$6:$E$12,2,FALSE)</f>
        <v>Sab</v>
      </c>
      <c r="E3299" t="str">
        <f>IFERROR(+VLOOKUP(Movimientos_2026[[#This Row],[Codigo]],Plan_cuentas[],2,FALSE)," ")</f>
        <v xml:space="preserve"> </v>
      </c>
      <c r="F3299" t="str">
        <f>IFERROR(+VLOOKUP(Movimientos_2026[[#This Row],[Codigo]],Plan_cuentas[],3,FALSE)," ")</f>
        <v xml:space="preserve"> </v>
      </c>
      <c r="G3299" t="str">
        <f>IFERROR(+VLOOKUP(Movimientos_2026[[#This Row],[Codigo]],Plan_cuentas[],4,FALSE)," ")</f>
        <v xml:space="preserve"> </v>
      </c>
      <c r="H3299" t="str">
        <f>IFERROR(+VLOOKUP(Movimientos_2026[[#This Row],[Codigo]],Plan_cuentas[],5,FALSE)," ")</f>
        <v xml:space="preserve"> </v>
      </c>
      <c r="I3299" s="43"/>
      <c r="K3299" t="str">
        <f>IFERROR(+VLOOKUP(Movimientos_2026[[#This Row],[Codigo]],Plan_cuentas[],6,FALSE)," ")</f>
        <v xml:space="preserve"> </v>
      </c>
      <c r="L3299" s="50"/>
      <c r="M3299" s="50"/>
      <c r="N3299" s="20">
        <f>+Movimientos_2026[[#This Row],[Ingresos]]-Movimientos_2026[[#This Row],[Egresos]]</f>
        <v>0</v>
      </c>
      <c r="O3299" s="20">
        <f>+O3298+Movimientos_2026[[#This Row],[Neto]]</f>
        <v>4581558617.7962294</v>
      </c>
    </row>
    <row r="3300" spans="1:15" x14ac:dyDescent="0.25">
      <c r="A3300" s="13"/>
      <c r="B3300" s="12">
        <f>MONTH(Movimientos_2026[[#This Row],[Fecha]])</f>
        <v>1</v>
      </c>
      <c r="C3300" s="12" t="str">
        <f>VLOOKUP((WEEKDAY(Movimientos_2026[[#This Row],[Fecha]],2)),'5. Setup'!$D$6:$E$12,2,FALSE)</f>
        <v>Sab</v>
      </c>
      <c r="E3300" t="str">
        <f>IFERROR(+VLOOKUP(Movimientos_2026[[#This Row],[Codigo]],Plan_cuentas[],2,FALSE)," ")</f>
        <v xml:space="preserve"> </v>
      </c>
      <c r="F3300" t="str">
        <f>IFERROR(+VLOOKUP(Movimientos_2026[[#This Row],[Codigo]],Plan_cuentas[],3,FALSE)," ")</f>
        <v xml:space="preserve"> </v>
      </c>
      <c r="G3300" t="str">
        <f>IFERROR(+VLOOKUP(Movimientos_2026[[#This Row],[Codigo]],Plan_cuentas[],4,FALSE)," ")</f>
        <v xml:space="preserve"> </v>
      </c>
      <c r="H3300" t="str">
        <f>IFERROR(+VLOOKUP(Movimientos_2026[[#This Row],[Codigo]],Plan_cuentas[],5,FALSE)," ")</f>
        <v xml:space="preserve"> </v>
      </c>
      <c r="I3300" s="43"/>
      <c r="K3300" t="str">
        <f>IFERROR(+VLOOKUP(Movimientos_2026[[#This Row],[Codigo]],Plan_cuentas[],6,FALSE)," ")</f>
        <v xml:space="preserve"> </v>
      </c>
      <c r="L3300" s="50"/>
      <c r="M3300" s="50"/>
      <c r="N3300" s="20">
        <f>+Movimientos_2026[[#This Row],[Ingresos]]-Movimientos_2026[[#This Row],[Egresos]]</f>
        <v>0</v>
      </c>
      <c r="O3300" s="20">
        <f>+O3299+Movimientos_2026[[#This Row],[Neto]]</f>
        <v>4581558617.7962294</v>
      </c>
    </row>
    <row r="3301" spans="1:15" x14ac:dyDescent="0.25">
      <c r="A3301" s="13"/>
      <c r="B3301" s="12">
        <f>MONTH(Movimientos_2026[[#This Row],[Fecha]])</f>
        <v>1</v>
      </c>
      <c r="C3301" s="12" t="str">
        <f>VLOOKUP((WEEKDAY(Movimientos_2026[[#This Row],[Fecha]],2)),'5. Setup'!$D$6:$E$12,2,FALSE)</f>
        <v>Sab</v>
      </c>
      <c r="E3301" t="str">
        <f>IFERROR(+VLOOKUP(Movimientos_2026[[#This Row],[Codigo]],Plan_cuentas[],2,FALSE)," ")</f>
        <v xml:space="preserve"> </v>
      </c>
      <c r="F3301" t="str">
        <f>IFERROR(+VLOOKUP(Movimientos_2026[[#This Row],[Codigo]],Plan_cuentas[],3,FALSE)," ")</f>
        <v xml:space="preserve"> </v>
      </c>
      <c r="G3301" t="str">
        <f>IFERROR(+VLOOKUP(Movimientos_2026[[#This Row],[Codigo]],Plan_cuentas[],4,FALSE)," ")</f>
        <v xml:space="preserve"> </v>
      </c>
      <c r="H3301" t="str">
        <f>IFERROR(+VLOOKUP(Movimientos_2026[[#This Row],[Codigo]],Plan_cuentas[],5,FALSE)," ")</f>
        <v xml:space="preserve"> </v>
      </c>
      <c r="I3301" s="43"/>
      <c r="K3301" t="str">
        <f>IFERROR(+VLOOKUP(Movimientos_2026[[#This Row],[Codigo]],Plan_cuentas[],6,FALSE)," ")</f>
        <v xml:space="preserve"> </v>
      </c>
      <c r="L3301" s="50"/>
      <c r="M3301" s="50"/>
      <c r="N3301" s="20">
        <f>+Movimientos_2026[[#This Row],[Ingresos]]-Movimientos_2026[[#This Row],[Egresos]]</f>
        <v>0</v>
      </c>
      <c r="O3301" s="20">
        <f>+O3300+Movimientos_2026[[#This Row],[Neto]]</f>
        <v>4581558617.7962294</v>
      </c>
    </row>
    <row r="3302" spans="1:15" x14ac:dyDescent="0.25">
      <c r="A3302" s="13"/>
      <c r="B3302" s="12">
        <f>MONTH(Movimientos_2026[[#This Row],[Fecha]])</f>
        <v>1</v>
      </c>
      <c r="C3302" s="12" t="str">
        <f>VLOOKUP((WEEKDAY(Movimientos_2026[[#This Row],[Fecha]],2)),'5. Setup'!$D$6:$E$12,2,FALSE)</f>
        <v>Sab</v>
      </c>
      <c r="E3302" t="str">
        <f>IFERROR(+VLOOKUP(Movimientos_2026[[#This Row],[Codigo]],Plan_cuentas[],2,FALSE)," ")</f>
        <v xml:space="preserve"> </v>
      </c>
      <c r="F3302" t="str">
        <f>IFERROR(+VLOOKUP(Movimientos_2026[[#This Row],[Codigo]],Plan_cuentas[],3,FALSE)," ")</f>
        <v xml:space="preserve"> </v>
      </c>
      <c r="G3302" t="str">
        <f>IFERROR(+VLOOKUP(Movimientos_2026[[#This Row],[Codigo]],Plan_cuentas[],4,FALSE)," ")</f>
        <v xml:space="preserve"> </v>
      </c>
      <c r="H3302" t="str">
        <f>IFERROR(+VLOOKUP(Movimientos_2026[[#This Row],[Codigo]],Plan_cuentas[],5,FALSE)," ")</f>
        <v xml:space="preserve"> </v>
      </c>
      <c r="I3302" s="43"/>
      <c r="K3302" t="str">
        <f>IFERROR(+VLOOKUP(Movimientos_2026[[#This Row],[Codigo]],Plan_cuentas[],6,FALSE)," ")</f>
        <v xml:space="preserve"> </v>
      </c>
      <c r="L3302" s="50"/>
      <c r="M3302" s="50"/>
      <c r="N3302" s="20">
        <f>+Movimientos_2026[[#This Row],[Ingresos]]-Movimientos_2026[[#This Row],[Egresos]]</f>
        <v>0</v>
      </c>
      <c r="O3302" s="20">
        <f>+O3301+Movimientos_2026[[#This Row],[Neto]]</f>
        <v>4581558617.7962294</v>
      </c>
    </row>
    <row r="3303" spans="1:15" x14ac:dyDescent="0.25">
      <c r="A3303" s="13"/>
      <c r="B3303" s="12">
        <f>MONTH(Movimientos_2026[[#This Row],[Fecha]])</f>
        <v>1</v>
      </c>
      <c r="C3303" s="12" t="str">
        <f>VLOOKUP((WEEKDAY(Movimientos_2026[[#This Row],[Fecha]],2)),'5. Setup'!$D$6:$E$12,2,FALSE)</f>
        <v>Sab</v>
      </c>
      <c r="E3303" t="str">
        <f>IFERROR(+VLOOKUP(Movimientos_2026[[#This Row],[Codigo]],Plan_cuentas[],2,FALSE)," ")</f>
        <v xml:space="preserve"> </v>
      </c>
      <c r="F3303" t="str">
        <f>IFERROR(+VLOOKUP(Movimientos_2026[[#This Row],[Codigo]],Plan_cuentas[],3,FALSE)," ")</f>
        <v xml:space="preserve"> </v>
      </c>
      <c r="G3303" t="str">
        <f>IFERROR(+VLOOKUP(Movimientos_2026[[#This Row],[Codigo]],Plan_cuentas[],4,FALSE)," ")</f>
        <v xml:space="preserve"> </v>
      </c>
      <c r="H3303" t="str">
        <f>IFERROR(+VLOOKUP(Movimientos_2026[[#This Row],[Codigo]],Plan_cuentas[],5,FALSE)," ")</f>
        <v xml:space="preserve"> </v>
      </c>
      <c r="I3303" s="43"/>
      <c r="K3303" t="str">
        <f>IFERROR(+VLOOKUP(Movimientos_2026[[#This Row],[Codigo]],Plan_cuentas[],6,FALSE)," ")</f>
        <v xml:space="preserve"> </v>
      </c>
      <c r="L3303" s="50"/>
      <c r="M3303" s="50"/>
      <c r="N3303" s="20">
        <f>+Movimientos_2026[[#This Row],[Ingresos]]-Movimientos_2026[[#This Row],[Egresos]]</f>
        <v>0</v>
      </c>
      <c r="O3303" s="20">
        <f>+O3302+Movimientos_2026[[#This Row],[Neto]]</f>
        <v>4581558617.7962294</v>
      </c>
    </row>
    <row r="3304" spans="1:15" x14ac:dyDescent="0.25">
      <c r="A3304" s="13"/>
      <c r="B3304" s="12">
        <f>MONTH(Movimientos_2026[[#This Row],[Fecha]])</f>
        <v>1</v>
      </c>
      <c r="C3304" s="12" t="str">
        <f>VLOOKUP((WEEKDAY(Movimientos_2026[[#This Row],[Fecha]],2)),'5. Setup'!$D$6:$E$12,2,FALSE)</f>
        <v>Sab</v>
      </c>
      <c r="E3304" t="str">
        <f>IFERROR(+VLOOKUP(Movimientos_2026[[#This Row],[Codigo]],Plan_cuentas[],2,FALSE)," ")</f>
        <v xml:space="preserve"> </v>
      </c>
      <c r="F3304" t="str">
        <f>IFERROR(+VLOOKUP(Movimientos_2026[[#This Row],[Codigo]],Plan_cuentas[],3,FALSE)," ")</f>
        <v xml:space="preserve"> </v>
      </c>
      <c r="G3304" t="str">
        <f>IFERROR(+VLOOKUP(Movimientos_2026[[#This Row],[Codigo]],Plan_cuentas[],4,FALSE)," ")</f>
        <v xml:space="preserve"> </v>
      </c>
      <c r="H3304" t="str">
        <f>IFERROR(+VLOOKUP(Movimientos_2026[[#This Row],[Codigo]],Plan_cuentas[],5,FALSE)," ")</f>
        <v xml:space="preserve"> </v>
      </c>
      <c r="I3304" s="43"/>
      <c r="K3304" t="str">
        <f>IFERROR(+VLOOKUP(Movimientos_2026[[#This Row],[Codigo]],Plan_cuentas[],6,FALSE)," ")</f>
        <v xml:space="preserve"> </v>
      </c>
      <c r="L3304" s="50"/>
      <c r="M3304" s="50"/>
      <c r="N3304" s="20">
        <f>+Movimientos_2026[[#This Row],[Ingresos]]-Movimientos_2026[[#This Row],[Egresos]]</f>
        <v>0</v>
      </c>
      <c r="O3304" s="20">
        <f>+O3303+Movimientos_2026[[#This Row],[Neto]]</f>
        <v>4581558617.7962294</v>
      </c>
    </row>
    <row r="3305" spans="1:15" x14ac:dyDescent="0.25">
      <c r="A3305" s="13"/>
      <c r="B3305" s="12">
        <f>MONTH(Movimientos_2026[[#This Row],[Fecha]])</f>
        <v>1</v>
      </c>
      <c r="C3305" s="12" t="str">
        <f>VLOOKUP((WEEKDAY(Movimientos_2026[[#This Row],[Fecha]],2)),'5. Setup'!$D$6:$E$12,2,FALSE)</f>
        <v>Sab</v>
      </c>
      <c r="E3305" t="str">
        <f>IFERROR(+VLOOKUP(Movimientos_2026[[#This Row],[Codigo]],Plan_cuentas[],2,FALSE)," ")</f>
        <v xml:space="preserve"> </v>
      </c>
      <c r="F3305" t="str">
        <f>IFERROR(+VLOOKUP(Movimientos_2026[[#This Row],[Codigo]],Plan_cuentas[],3,FALSE)," ")</f>
        <v xml:space="preserve"> </v>
      </c>
      <c r="G3305" t="str">
        <f>IFERROR(+VLOOKUP(Movimientos_2026[[#This Row],[Codigo]],Plan_cuentas[],4,FALSE)," ")</f>
        <v xml:space="preserve"> </v>
      </c>
      <c r="H3305" t="str">
        <f>IFERROR(+VLOOKUP(Movimientos_2026[[#This Row],[Codigo]],Plan_cuentas[],5,FALSE)," ")</f>
        <v xml:space="preserve"> </v>
      </c>
      <c r="I3305" s="43"/>
      <c r="K3305" t="str">
        <f>IFERROR(+VLOOKUP(Movimientos_2026[[#This Row],[Codigo]],Plan_cuentas[],6,FALSE)," ")</f>
        <v xml:space="preserve"> </v>
      </c>
      <c r="L3305" s="50"/>
      <c r="M3305" s="50"/>
      <c r="N3305" s="20">
        <f>+Movimientos_2026[[#This Row],[Ingresos]]-Movimientos_2026[[#This Row],[Egresos]]</f>
        <v>0</v>
      </c>
      <c r="O3305" s="20">
        <f>+O3304+Movimientos_2026[[#This Row],[Neto]]</f>
        <v>4581558617.7962294</v>
      </c>
    </row>
    <row r="3306" spans="1:15" x14ac:dyDescent="0.25">
      <c r="A3306" s="13"/>
      <c r="B3306" s="12">
        <f>MONTH(Movimientos_2026[[#This Row],[Fecha]])</f>
        <v>1</v>
      </c>
      <c r="C3306" s="12" t="str">
        <f>VLOOKUP((WEEKDAY(Movimientos_2026[[#This Row],[Fecha]],2)),'5. Setup'!$D$6:$E$12,2,FALSE)</f>
        <v>Sab</v>
      </c>
      <c r="E3306" t="str">
        <f>IFERROR(+VLOOKUP(Movimientos_2026[[#This Row],[Codigo]],Plan_cuentas[],2,FALSE)," ")</f>
        <v xml:space="preserve"> </v>
      </c>
      <c r="F3306" t="str">
        <f>IFERROR(+VLOOKUP(Movimientos_2026[[#This Row],[Codigo]],Plan_cuentas[],3,FALSE)," ")</f>
        <v xml:space="preserve"> </v>
      </c>
      <c r="G3306" t="str">
        <f>IFERROR(+VLOOKUP(Movimientos_2026[[#This Row],[Codigo]],Plan_cuentas[],4,FALSE)," ")</f>
        <v xml:space="preserve"> </v>
      </c>
      <c r="H3306" t="str">
        <f>IFERROR(+VLOOKUP(Movimientos_2026[[#This Row],[Codigo]],Plan_cuentas[],5,FALSE)," ")</f>
        <v xml:space="preserve"> </v>
      </c>
      <c r="I3306" s="43"/>
      <c r="K3306" t="str">
        <f>IFERROR(+VLOOKUP(Movimientos_2026[[#This Row],[Codigo]],Plan_cuentas[],6,FALSE)," ")</f>
        <v xml:space="preserve"> </v>
      </c>
      <c r="L3306" s="50"/>
      <c r="M3306" s="50"/>
      <c r="N3306" s="20">
        <f>+Movimientos_2026[[#This Row],[Ingresos]]-Movimientos_2026[[#This Row],[Egresos]]</f>
        <v>0</v>
      </c>
      <c r="O3306" s="20">
        <f>+O3305+Movimientos_2026[[#This Row],[Neto]]</f>
        <v>4581558617.7962294</v>
      </c>
    </row>
    <row r="3307" spans="1:15" x14ac:dyDescent="0.25">
      <c r="A3307" s="13"/>
      <c r="B3307" s="12">
        <f>MONTH(Movimientos_2026[[#This Row],[Fecha]])</f>
        <v>1</v>
      </c>
      <c r="C3307" s="12" t="str">
        <f>VLOOKUP((WEEKDAY(Movimientos_2026[[#This Row],[Fecha]],2)),'5. Setup'!$D$6:$E$12,2,FALSE)</f>
        <v>Sab</v>
      </c>
      <c r="E3307" t="str">
        <f>IFERROR(+VLOOKUP(Movimientos_2026[[#This Row],[Codigo]],Plan_cuentas[],2,FALSE)," ")</f>
        <v xml:space="preserve"> </v>
      </c>
      <c r="F3307" t="str">
        <f>IFERROR(+VLOOKUP(Movimientos_2026[[#This Row],[Codigo]],Plan_cuentas[],3,FALSE)," ")</f>
        <v xml:space="preserve"> </v>
      </c>
      <c r="G3307" t="str">
        <f>IFERROR(+VLOOKUP(Movimientos_2026[[#This Row],[Codigo]],Plan_cuentas[],4,FALSE)," ")</f>
        <v xml:space="preserve"> </v>
      </c>
      <c r="H3307" t="str">
        <f>IFERROR(+VLOOKUP(Movimientos_2026[[#This Row],[Codigo]],Plan_cuentas[],5,FALSE)," ")</f>
        <v xml:space="preserve"> </v>
      </c>
      <c r="I3307" s="43"/>
      <c r="K3307" t="str">
        <f>IFERROR(+VLOOKUP(Movimientos_2026[[#This Row],[Codigo]],Plan_cuentas[],6,FALSE)," ")</f>
        <v xml:space="preserve"> </v>
      </c>
      <c r="L3307" s="50"/>
      <c r="M3307" s="50"/>
      <c r="N3307" s="20">
        <f>+Movimientos_2026[[#This Row],[Ingresos]]-Movimientos_2026[[#This Row],[Egresos]]</f>
        <v>0</v>
      </c>
      <c r="O3307" s="20">
        <f>+O3306+Movimientos_2026[[#This Row],[Neto]]</f>
        <v>4581558617.7962294</v>
      </c>
    </row>
    <row r="3308" spans="1:15" x14ac:dyDescent="0.25">
      <c r="A3308" s="13"/>
      <c r="B3308" s="12">
        <f>MONTH(Movimientos_2026[[#This Row],[Fecha]])</f>
        <v>1</v>
      </c>
      <c r="C3308" s="12" t="str">
        <f>VLOOKUP((WEEKDAY(Movimientos_2026[[#This Row],[Fecha]],2)),'5. Setup'!$D$6:$E$12,2,FALSE)</f>
        <v>Sab</v>
      </c>
      <c r="E3308" t="str">
        <f>IFERROR(+VLOOKUP(Movimientos_2026[[#This Row],[Codigo]],Plan_cuentas[],2,FALSE)," ")</f>
        <v xml:space="preserve"> </v>
      </c>
      <c r="F3308" t="str">
        <f>IFERROR(+VLOOKUP(Movimientos_2026[[#This Row],[Codigo]],Plan_cuentas[],3,FALSE)," ")</f>
        <v xml:space="preserve"> </v>
      </c>
      <c r="G3308" t="str">
        <f>IFERROR(+VLOOKUP(Movimientos_2026[[#This Row],[Codigo]],Plan_cuentas[],4,FALSE)," ")</f>
        <v xml:space="preserve"> </v>
      </c>
      <c r="H3308" t="str">
        <f>IFERROR(+VLOOKUP(Movimientos_2026[[#This Row],[Codigo]],Plan_cuentas[],5,FALSE)," ")</f>
        <v xml:space="preserve"> </v>
      </c>
      <c r="I3308" s="43"/>
      <c r="K3308" t="str">
        <f>IFERROR(+VLOOKUP(Movimientos_2026[[#This Row],[Codigo]],Plan_cuentas[],6,FALSE)," ")</f>
        <v xml:space="preserve"> </v>
      </c>
      <c r="L3308" s="50"/>
      <c r="M3308" s="50"/>
      <c r="N3308" s="20">
        <f>+Movimientos_2026[[#This Row],[Ingresos]]-Movimientos_2026[[#This Row],[Egresos]]</f>
        <v>0</v>
      </c>
      <c r="O3308" s="20">
        <f>+O3307+Movimientos_2026[[#This Row],[Neto]]</f>
        <v>4581558617.7962294</v>
      </c>
    </row>
    <row r="3309" spans="1:15" x14ac:dyDescent="0.25">
      <c r="A3309" s="13"/>
      <c r="B3309" s="12">
        <f>MONTH(Movimientos_2026[[#This Row],[Fecha]])</f>
        <v>1</v>
      </c>
      <c r="C3309" s="12" t="str">
        <f>VLOOKUP((WEEKDAY(Movimientos_2026[[#This Row],[Fecha]],2)),'5. Setup'!$D$6:$E$12,2,FALSE)</f>
        <v>Sab</v>
      </c>
      <c r="E3309" t="str">
        <f>IFERROR(+VLOOKUP(Movimientos_2026[[#This Row],[Codigo]],Plan_cuentas[],2,FALSE)," ")</f>
        <v xml:space="preserve"> </v>
      </c>
      <c r="F3309" t="str">
        <f>IFERROR(+VLOOKUP(Movimientos_2026[[#This Row],[Codigo]],Plan_cuentas[],3,FALSE)," ")</f>
        <v xml:space="preserve"> </v>
      </c>
      <c r="G3309" t="str">
        <f>IFERROR(+VLOOKUP(Movimientos_2026[[#This Row],[Codigo]],Plan_cuentas[],4,FALSE)," ")</f>
        <v xml:space="preserve"> </v>
      </c>
      <c r="H3309" t="str">
        <f>IFERROR(+VLOOKUP(Movimientos_2026[[#This Row],[Codigo]],Plan_cuentas[],5,FALSE)," ")</f>
        <v xml:space="preserve"> </v>
      </c>
      <c r="I3309" s="43"/>
      <c r="K3309" t="str">
        <f>IFERROR(+VLOOKUP(Movimientos_2026[[#This Row],[Codigo]],Plan_cuentas[],6,FALSE)," ")</f>
        <v xml:space="preserve"> </v>
      </c>
      <c r="L3309" s="50"/>
      <c r="M3309" s="50"/>
      <c r="N3309" s="20">
        <f>+Movimientos_2026[[#This Row],[Ingresos]]-Movimientos_2026[[#This Row],[Egresos]]</f>
        <v>0</v>
      </c>
      <c r="O3309" s="20">
        <f>+O3308+Movimientos_2026[[#This Row],[Neto]]</f>
        <v>4581558617.7962294</v>
      </c>
    </row>
    <row r="3310" spans="1:15" x14ac:dyDescent="0.25">
      <c r="A3310" s="13"/>
      <c r="B3310" s="12">
        <f>MONTH(Movimientos_2026[[#This Row],[Fecha]])</f>
        <v>1</v>
      </c>
      <c r="C3310" s="12" t="str">
        <f>VLOOKUP((WEEKDAY(Movimientos_2026[[#This Row],[Fecha]],2)),'5. Setup'!$D$6:$E$12,2,FALSE)</f>
        <v>Sab</v>
      </c>
      <c r="E3310" t="str">
        <f>IFERROR(+VLOOKUP(Movimientos_2026[[#This Row],[Codigo]],Plan_cuentas[],2,FALSE)," ")</f>
        <v xml:space="preserve"> </v>
      </c>
      <c r="F3310" t="str">
        <f>IFERROR(+VLOOKUP(Movimientos_2026[[#This Row],[Codigo]],Plan_cuentas[],3,FALSE)," ")</f>
        <v xml:space="preserve"> </v>
      </c>
      <c r="G3310" t="str">
        <f>IFERROR(+VLOOKUP(Movimientos_2026[[#This Row],[Codigo]],Plan_cuentas[],4,FALSE)," ")</f>
        <v xml:space="preserve"> </v>
      </c>
      <c r="H3310" t="str">
        <f>IFERROR(+VLOOKUP(Movimientos_2026[[#This Row],[Codigo]],Plan_cuentas[],5,FALSE)," ")</f>
        <v xml:space="preserve"> </v>
      </c>
      <c r="I3310" s="43"/>
      <c r="K3310" t="str">
        <f>IFERROR(+VLOOKUP(Movimientos_2026[[#This Row],[Codigo]],Plan_cuentas[],6,FALSE)," ")</f>
        <v xml:space="preserve"> </v>
      </c>
      <c r="L3310" s="50"/>
      <c r="M3310" s="50"/>
      <c r="N3310" s="20">
        <f>+Movimientos_2026[[#This Row],[Ingresos]]-Movimientos_2026[[#This Row],[Egresos]]</f>
        <v>0</v>
      </c>
      <c r="O3310" s="20">
        <f>+O3309+Movimientos_2026[[#This Row],[Neto]]</f>
        <v>4581558617.7962294</v>
      </c>
    </row>
    <row r="3311" spans="1:15" x14ac:dyDescent="0.25">
      <c r="A3311" s="13"/>
      <c r="B3311" s="12">
        <f>MONTH(Movimientos_2026[[#This Row],[Fecha]])</f>
        <v>1</v>
      </c>
      <c r="C3311" s="12" t="str">
        <f>VLOOKUP((WEEKDAY(Movimientos_2026[[#This Row],[Fecha]],2)),'5. Setup'!$D$6:$E$12,2,FALSE)</f>
        <v>Sab</v>
      </c>
      <c r="E3311" t="str">
        <f>IFERROR(+VLOOKUP(Movimientos_2026[[#This Row],[Codigo]],Plan_cuentas[],2,FALSE)," ")</f>
        <v xml:space="preserve"> </v>
      </c>
      <c r="F3311" t="str">
        <f>IFERROR(+VLOOKUP(Movimientos_2026[[#This Row],[Codigo]],Plan_cuentas[],3,FALSE)," ")</f>
        <v xml:space="preserve"> </v>
      </c>
      <c r="G3311" t="str">
        <f>IFERROR(+VLOOKUP(Movimientos_2026[[#This Row],[Codigo]],Plan_cuentas[],4,FALSE)," ")</f>
        <v xml:space="preserve"> </v>
      </c>
      <c r="H3311" t="str">
        <f>IFERROR(+VLOOKUP(Movimientos_2026[[#This Row],[Codigo]],Plan_cuentas[],5,FALSE)," ")</f>
        <v xml:space="preserve"> </v>
      </c>
      <c r="I3311" s="43"/>
      <c r="K3311" t="str">
        <f>IFERROR(+VLOOKUP(Movimientos_2026[[#This Row],[Codigo]],Plan_cuentas[],6,FALSE)," ")</f>
        <v xml:space="preserve"> </v>
      </c>
      <c r="L3311" s="50"/>
      <c r="M3311" s="50"/>
      <c r="N3311" s="20">
        <f>+Movimientos_2026[[#This Row],[Ingresos]]-Movimientos_2026[[#This Row],[Egresos]]</f>
        <v>0</v>
      </c>
      <c r="O3311" s="20">
        <f>+O3310+Movimientos_2026[[#This Row],[Neto]]</f>
        <v>4581558617.7962294</v>
      </c>
    </row>
    <row r="3312" spans="1:15" x14ac:dyDescent="0.25">
      <c r="A3312" s="13"/>
      <c r="B3312" s="12">
        <f>MONTH(Movimientos_2026[[#This Row],[Fecha]])</f>
        <v>1</v>
      </c>
      <c r="C3312" s="12" t="str">
        <f>VLOOKUP((WEEKDAY(Movimientos_2026[[#This Row],[Fecha]],2)),'5. Setup'!$D$6:$E$12,2,FALSE)</f>
        <v>Sab</v>
      </c>
      <c r="E3312" t="str">
        <f>IFERROR(+VLOOKUP(Movimientos_2026[[#This Row],[Codigo]],Plan_cuentas[],2,FALSE)," ")</f>
        <v xml:space="preserve"> </v>
      </c>
      <c r="F3312" t="str">
        <f>IFERROR(+VLOOKUP(Movimientos_2026[[#This Row],[Codigo]],Plan_cuentas[],3,FALSE)," ")</f>
        <v xml:space="preserve"> </v>
      </c>
      <c r="G3312" t="str">
        <f>IFERROR(+VLOOKUP(Movimientos_2026[[#This Row],[Codigo]],Plan_cuentas[],4,FALSE)," ")</f>
        <v xml:space="preserve"> </v>
      </c>
      <c r="H3312" t="str">
        <f>IFERROR(+VLOOKUP(Movimientos_2026[[#This Row],[Codigo]],Plan_cuentas[],5,FALSE)," ")</f>
        <v xml:space="preserve"> </v>
      </c>
      <c r="I3312" s="43"/>
      <c r="K3312" t="str">
        <f>IFERROR(+VLOOKUP(Movimientos_2026[[#This Row],[Codigo]],Plan_cuentas[],6,FALSE)," ")</f>
        <v xml:space="preserve"> </v>
      </c>
      <c r="L3312" s="50"/>
      <c r="M3312" s="50"/>
      <c r="N3312" s="20">
        <f>+Movimientos_2026[[#This Row],[Ingresos]]-Movimientos_2026[[#This Row],[Egresos]]</f>
        <v>0</v>
      </c>
      <c r="O3312" s="20">
        <f>+O3311+Movimientos_2026[[#This Row],[Neto]]</f>
        <v>4581558617.7962294</v>
      </c>
    </row>
    <row r="3313" spans="1:15" x14ac:dyDescent="0.25">
      <c r="A3313" s="13"/>
      <c r="B3313" s="12">
        <f>MONTH(Movimientos_2026[[#This Row],[Fecha]])</f>
        <v>1</v>
      </c>
      <c r="C3313" s="12" t="str">
        <f>VLOOKUP((WEEKDAY(Movimientos_2026[[#This Row],[Fecha]],2)),'5. Setup'!$D$6:$E$12,2,FALSE)</f>
        <v>Sab</v>
      </c>
      <c r="E3313" t="str">
        <f>IFERROR(+VLOOKUP(Movimientos_2026[[#This Row],[Codigo]],Plan_cuentas[],2,FALSE)," ")</f>
        <v xml:space="preserve"> </v>
      </c>
      <c r="F3313" t="str">
        <f>IFERROR(+VLOOKUP(Movimientos_2026[[#This Row],[Codigo]],Plan_cuentas[],3,FALSE)," ")</f>
        <v xml:space="preserve"> </v>
      </c>
      <c r="G3313" t="str">
        <f>IFERROR(+VLOOKUP(Movimientos_2026[[#This Row],[Codigo]],Plan_cuentas[],4,FALSE)," ")</f>
        <v xml:space="preserve"> </v>
      </c>
      <c r="H3313" t="str">
        <f>IFERROR(+VLOOKUP(Movimientos_2026[[#This Row],[Codigo]],Plan_cuentas[],5,FALSE)," ")</f>
        <v xml:space="preserve"> </v>
      </c>
      <c r="I3313" s="43"/>
      <c r="K3313" t="str">
        <f>IFERROR(+VLOOKUP(Movimientos_2026[[#This Row],[Codigo]],Plan_cuentas[],6,FALSE)," ")</f>
        <v xml:space="preserve"> </v>
      </c>
      <c r="L3313" s="50"/>
      <c r="M3313" s="50"/>
      <c r="N3313" s="20">
        <f>+Movimientos_2026[[#This Row],[Ingresos]]-Movimientos_2026[[#This Row],[Egresos]]</f>
        <v>0</v>
      </c>
      <c r="O3313" s="20">
        <f>+O3312+Movimientos_2026[[#This Row],[Neto]]</f>
        <v>4581558617.7962294</v>
      </c>
    </row>
    <row r="3314" spans="1:15" x14ac:dyDescent="0.25">
      <c r="A3314" s="13"/>
      <c r="B3314" s="12">
        <f>MONTH(Movimientos_2026[[#This Row],[Fecha]])</f>
        <v>1</v>
      </c>
      <c r="C3314" s="12" t="str">
        <f>VLOOKUP((WEEKDAY(Movimientos_2026[[#This Row],[Fecha]],2)),'5. Setup'!$D$6:$E$12,2,FALSE)</f>
        <v>Sab</v>
      </c>
      <c r="E3314" t="str">
        <f>IFERROR(+VLOOKUP(Movimientos_2026[[#This Row],[Codigo]],Plan_cuentas[],2,FALSE)," ")</f>
        <v xml:space="preserve"> </v>
      </c>
      <c r="F3314" t="str">
        <f>IFERROR(+VLOOKUP(Movimientos_2026[[#This Row],[Codigo]],Plan_cuentas[],3,FALSE)," ")</f>
        <v xml:space="preserve"> </v>
      </c>
      <c r="G3314" t="str">
        <f>IFERROR(+VLOOKUP(Movimientos_2026[[#This Row],[Codigo]],Plan_cuentas[],4,FALSE)," ")</f>
        <v xml:space="preserve"> </v>
      </c>
      <c r="H3314" t="str">
        <f>IFERROR(+VLOOKUP(Movimientos_2026[[#This Row],[Codigo]],Plan_cuentas[],5,FALSE)," ")</f>
        <v xml:space="preserve"> </v>
      </c>
      <c r="I3314" s="43"/>
      <c r="K3314" t="str">
        <f>IFERROR(+VLOOKUP(Movimientos_2026[[#This Row],[Codigo]],Plan_cuentas[],6,FALSE)," ")</f>
        <v xml:space="preserve"> </v>
      </c>
      <c r="L3314" s="50"/>
      <c r="M3314" s="50"/>
      <c r="N3314" s="20">
        <f>+Movimientos_2026[[#This Row],[Ingresos]]-Movimientos_2026[[#This Row],[Egresos]]</f>
        <v>0</v>
      </c>
      <c r="O3314" s="20">
        <f>+O3313+Movimientos_2026[[#This Row],[Neto]]</f>
        <v>4581558617.7962294</v>
      </c>
    </row>
    <row r="3315" spans="1:15" x14ac:dyDescent="0.25">
      <c r="A3315" s="13"/>
      <c r="B3315" s="12">
        <f>MONTH(Movimientos_2026[[#This Row],[Fecha]])</f>
        <v>1</v>
      </c>
      <c r="C3315" s="12" t="str">
        <f>VLOOKUP((WEEKDAY(Movimientos_2026[[#This Row],[Fecha]],2)),'5. Setup'!$D$6:$E$12,2,FALSE)</f>
        <v>Sab</v>
      </c>
      <c r="E3315" t="str">
        <f>IFERROR(+VLOOKUP(Movimientos_2026[[#This Row],[Codigo]],Plan_cuentas[],2,FALSE)," ")</f>
        <v xml:space="preserve"> </v>
      </c>
      <c r="F3315" t="str">
        <f>IFERROR(+VLOOKUP(Movimientos_2026[[#This Row],[Codigo]],Plan_cuentas[],3,FALSE)," ")</f>
        <v xml:space="preserve"> </v>
      </c>
      <c r="G3315" t="str">
        <f>IFERROR(+VLOOKUP(Movimientos_2026[[#This Row],[Codigo]],Plan_cuentas[],4,FALSE)," ")</f>
        <v xml:space="preserve"> </v>
      </c>
      <c r="H3315" t="str">
        <f>IFERROR(+VLOOKUP(Movimientos_2026[[#This Row],[Codigo]],Plan_cuentas[],5,FALSE)," ")</f>
        <v xml:space="preserve"> </v>
      </c>
      <c r="I3315" s="43"/>
      <c r="K3315" t="str">
        <f>IFERROR(+VLOOKUP(Movimientos_2026[[#This Row],[Codigo]],Plan_cuentas[],6,FALSE)," ")</f>
        <v xml:space="preserve"> </v>
      </c>
      <c r="L3315" s="50"/>
      <c r="M3315" s="50"/>
      <c r="N3315" s="20">
        <f>+Movimientos_2026[[#This Row],[Ingresos]]-Movimientos_2026[[#This Row],[Egresos]]</f>
        <v>0</v>
      </c>
      <c r="O3315" s="20">
        <f>+O3314+Movimientos_2026[[#This Row],[Neto]]</f>
        <v>4581558617.7962294</v>
      </c>
    </row>
    <row r="3316" spans="1:15" x14ac:dyDescent="0.25">
      <c r="A3316" s="13"/>
      <c r="B3316" s="12">
        <f>MONTH(Movimientos_2026[[#This Row],[Fecha]])</f>
        <v>1</v>
      </c>
      <c r="C3316" s="12" t="str">
        <f>VLOOKUP((WEEKDAY(Movimientos_2026[[#This Row],[Fecha]],2)),'5. Setup'!$D$6:$E$12,2,FALSE)</f>
        <v>Sab</v>
      </c>
      <c r="E3316" t="str">
        <f>IFERROR(+VLOOKUP(Movimientos_2026[[#This Row],[Codigo]],Plan_cuentas[],2,FALSE)," ")</f>
        <v xml:space="preserve"> </v>
      </c>
      <c r="F3316" t="str">
        <f>IFERROR(+VLOOKUP(Movimientos_2026[[#This Row],[Codigo]],Plan_cuentas[],3,FALSE)," ")</f>
        <v xml:space="preserve"> </v>
      </c>
      <c r="G3316" t="str">
        <f>IFERROR(+VLOOKUP(Movimientos_2026[[#This Row],[Codigo]],Plan_cuentas[],4,FALSE)," ")</f>
        <v xml:space="preserve"> </v>
      </c>
      <c r="H3316" t="str">
        <f>IFERROR(+VLOOKUP(Movimientos_2026[[#This Row],[Codigo]],Plan_cuentas[],5,FALSE)," ")</f>
        <v xml:space="preserve"> </v>
      </c>
      <c r="I3316" s="43"/>
      <c r="K3316" t="str">
        <f>IFERROR(+VLOOKUP(Movimientos_2026[[#This Row],[Codigo]],Plan_cuentas[],6,FALSE)," ")</f>
        <v xml:space="preserve"> </v>
      </c>
      <c r="L3316" s="50"/>
      <c r="M3316" s="50"/>
      <c r="N3316" s="20">
        <f>+Movimientos_2026[[#This Row],[Ingresos]]-Movimientos_2026[[#This Row],[Egresos]]</f>
        <v>0</v>
      </c>
      <c r="O3316" s="20">
        <f>+O3315+Movimientos_2026[[#This Row],[Neto]]</f>
        <v>4581558617.7962294</v>
      </c>
    </row>
    <row r="3317" spans="1:15" x14ac:dyDescent="0.25">
      <c r="A3317" s="13"/>
      <c r="B3317" s="12">
        <f>MONTH(Movimientos_2026[[#This Row],[Fecha]])</f>
        <v>1</v>
      </c>
      <c r="C3317" s="12" t="str">
        <f>VLOOKUP((WEEKDAY(Movimientos_2026[[#This Row],[Fecha]],2)),'5. Setup'!$D$6:$E$12,2,FALSE)</f>
        <v>Sab</v>
      </c>
      <c r="E3317" t="str">
        <f>IFERROR(+VLOOKUP(Movimientos_2026[[#This Row],[Codigo]],Plan_cuentas[],2,FALSE)," ")</f>
        <v xml:space="preserve"> </v>
      </c>
      <c r="F3317" t="str">
        <f>IFERROR(+VLOOKUP(Movimientos_2026[[#This Row],[Codigo]],Plan_cuentas[],3,FALSE)," ")</f>
        <v xml:space="preserve"> </v>
      </c>
      <c r="G3317" t="str">
        <f>IFERROR(+VLOOKUP(Movimientos_2026[[#This Row],[Codigo]],Plan_cuentas[],4,FALSE)," ")</f>
        <v xml:space="preserve"> </v>
      </c>
      <c r="H3317" t="str">
        <f>IFERROR(+VLOOKUP(Movimientos_2026[[#This Row],[Codigo]],Plan_cuentas[],5,FALSE)," ")</f>
        <v xml:space="preserve"> </v>
      </c>
      <c r="I3317" s="43"/>
      <c r="K3317" t="str">
        <f>IFERROR(+VLOOKUP(Movimientos_2026[[#This Row],[Codigo]],Plan_cuentas[],6,FALSE)," ")</f>
        <v xml:space="preserve"> </v>
      </c>
      <c r="L3317" s="50"/>
      <c r="M3317" s="50"/>
      <c r="N3317" s="20">
        <f>+Movimientos_2026[[#This Row],[Ingresos]]-Movimientos_2026[[#This Row],[Egresos]]</f>
        <v>0</v>
      </c>
      <c r="O3317" s="20">
        <f>+O3316+Movimientos_2026[[#This Row],[Neto]]</f>
        <v>4581558617.7962294</v>
      </c>
    </row>
    <row r="3318" spans="1:15" x14ac:dyDescent="0.25">
      <c r="A3318" s="13"/>
      <c r="B3318" s="12">
        <f>MONTH(Movimientos_2026[[#This Row],[Fecha]])</f>
        <v>1</v>
      </c>
      <c r="C3318" s="12" t="str">
        <f>VLOOKUP((WEEKDAY(Movimientos_2026[[#This Row],[Fecha]],2)),'5. Setup'!$D$6:$E$12,2,FALSE)</f>
        <v>Sab</v>
      </c>
      <c r="E3318" t="str">
        <f>IFERROR(+VLOOKUP(Movimientos_2026[[#This Row],[Codigo]],Plan_cuentas[],2,FALSE)," ")</f>
        <v xml:space="preserve"> </v>
      </c>
      <c r="F3318" t="str">
        <f>IFERROR(+VLOOKUP(Movimientos_2026[[#This Row],[Codigo]],Plan_cuentas[],3,FALSE)," ")</f>
        <v xml:space="preserve"> </v>
      </c>
      <c r="G3318" t="str">
        <f>IFERROR(+VLOOKUP(Movimientos_2026[[#This Row],[Codigo]],Plan_cuentas[],4,FALSE)," ")</f>
        <v xml:space="preserve"> </v>
      </c>
      <c r="H3318" t="str">
        <f>IFERROR(+VLOOKUP(Movimientos_2026[[#This Row],[Codigo]],Plan_cuentas[],5,FALSE)," ")</f>
        <v xml:space="preserve"> </v>
      </c>
      <c r="I3318" s="43"/>
      <c r="K3318" t="str">
        <f>IFERROR(+VLOOKUP(Movimientos_2026[[#This Row],[Codigo]],Plan_cuentas[],6,FALSE)," ")</f>
        <v xml:space="preserve"> </v>
      </c>
      <c r="L3318" s="50"/>
      <c r="M3318" s="50"/>
      <c r="N3318" s="20">
        <f>+Movimientos_2026[[#This Row],[Ingresos]]-Movimientos_2026[[#This Row],[Egresos]]</f>
        <v>0</v>
      </c>
      <c r="O3318" s="20">
        <f>+O3317+Movimientos_2026[[#This Row],[Neto]]</f>
        <v>4581558617.7962294</v>
      </c>
    </row>
    <row r="3319" spans="1:15" x14ac:dyDescent="0.25">
      <c r="A3319" s="13"/>
      <c r="B3319" s="12">
        <f>MONTH(Movimientos_2026[[#This Row],[Fecha]])</f>
        <v>1</v>
      </c>
      <c r="C3319" s="12" t="str">
        <f>VLOOKUP((WEEKDAY(Movimientos_2026[[#This Row],[Fecha]],2)),'5. Setup'!$D$6:$E$12,2,FALSE)</f>
        <v>Sab</v>
      </c>
      <c r="E3319" t="str">
        <f>IFERROR(+VLOOKUP(Movimientos_2026[[#This Row],[Codigo]],Plan_cuentas[],2,FALSE)," ")</f>
        <v xml:space="preserve"> </v>
      </c>
      <c r="F3319" t="str">
        <f>IFERROR(+VLOOKUP(Movimientos_2026[[#This Row],[Codigo]],Plan_cuentas[],3,FALSE)," ")</f>
        <v xml:space="preserve"> </v>
      </c>
      <c r="G3319" t="str">
        <f>IFERROR(+VLOOKUP(Movimientos_2026[[#This Row],[Codigo]],Plan_cuentas[],4,FALSE)," ")</f>
        <v xml:space="preserve"> </v>
      </c>
      <c r="H3319" t="str">
        <f>IFERROR(+VLOOKUP(Movimientos_2026[[#This Row],[Codigo]],Plan_cuentas[],5,FALSE)," ")</f>
        <v xml:space="preserve"> </v>
      </c>
      <c r="I3319" s="43"/>
      <c r="K3319" t="str">
        <f>IFERROR(+VLOOKUP(Movimientos_2026[[#This Row],[Codigo]],Plan_cuentas[],6,FALSE)," ")</f>
        <v xml:space="preserve"> </v>
      </c>
      <c r="L3319" s="50"/>
      <c r="M3319" s="50"/>
      <c r="N3319" s="20">
        <f>+Movimientos_2026[[#This Row],[Ingresos]]-Movimientos_2026[[#This Row],[Egresos]]</f>
        <v>0</v>
      </c>
      <c r="O3319" s="20">
        <f>+O3318+Movimientos_2026[[#This Row],[Neto]]</f>
        <v>4581558617.7962294</v>
      </c>
    </row>
    <row r="3320" spans="1:15" x14ac:dyDescent="0.25">
      <c r="A3320" s="13"/>
      <c r="B3320" s="12">
        <f>MONTH(Movimientos_2026[[#This Row],[Fecha]])</f>
        <v>1</v>
      </c>
      <c r="C3320" s="12" t="str">
        <f>VLOOKUP((WEEKDAY(Movimientos_2026[[#This Row],[Fecha]],2)),'5. Setup'!$D$6:$E$12,2,FALSE)</f>
        <v>Sab</v>
      </c>
      <c r="E3320" t="str">
        <f>IFERROR(+VLOOKUP(Movimientos_2026[[#This Row],[Codigo]],Plan_cuentas[],2,FALSE)," ")</f>
        <v xml:space="preserve"> </v>
      </c>
      <c r="F3320" t="str">
        <f>IFERROR(+VLOOKUP(Movimientos_2026[[#This Row],[Codigo]],Plan_cuentas[],3,FALSE)," ")</f>
        <v xml:space="preserve"> </v>
      </c>
      <c r="G3320" t="str">
        <f>IFERROR(+VLOOKUP(Movimientos_2026[[#This Row],[Codigo]],Plan_cuentas[],4,FALSE)," ")</f>
        <v xml:space="preserve"> </v>
      </c>
      <c r="H3320" t="str">
        <f>IFERROR(+VLOOKUP(Movimientos_2026[[#This Row],[Codigo]],Plan_cuentas[],5,FALSE)," ")</f>
        <v xml:space="preserve"> </v>
      </c>
      <c r="I3320" s="43"/>
      <c r="K3320" t="str">
        <f>IFERROR(+VLOOKUP(Movimientos_2026[[#This Row],[Codigo]],Plan_cuentas[],6,FALSE)," ")</f>
        <v xml:space="preserve"> </v>
      </c>
      <c r="L3320" s="50"/>
      <c r="M3320" s="50"/>
      <c r="N3320" s="20">
        <f>+Movimientos_2026[[#This Row],[Ingresos]]-Movimientos_2026[[#This Row],[Egresos]]</f>
        <v>0</v>
      </c>
      <c r="O3320" s="20">
        <f>+O3319+Movimientos_2026[[#This Row],[Neto]]</f>
        <v>4581558617.7962294</v>
      </c>
    </row>
    <row r="3321" spans="1:15" x14ac:dyDescent="0.25">
      <c r="A3321" s="13"/>
      <c r="B3321" s="12">
        <f>MONTH(Movimientos_2026[[#This Row],[Fecha]])</f>
        <v>1</v>
      </c>
      <c r="C3321" s="12" t="str">
        <f>VLOOKUP((WEEKDAY(Movimientos_2026[[#This Row],[Fecha]],2)),'5. Setup'!$D$6:$E$12,2,FALSE)</f>
        <v>Sab</v>
      </c>
      <c r="E3321" t="str">
        <f>IFERROR(+VLOOKUP(Movimientos_2026[[#This Row],[Codigo]],Plan_cuentas[],2,FALSE)," ")</f>
        <v xml:space="preserve"> </v>
      </c>
      <c r="F3321" t="str">
        <f>IFERROR(+VLOOKUP(Movimientos_2026[[#This Row],[Codigo]],Plan_cuentas[],3,FALSE)," ")</f>
        <v xml:space="preserve"> </v>
      </c>
      <c r="G3321" t="str">
        <f>IFERROR(+VLOOKUP(Movimientos_2026[[#This Row],[Codigo]],Plan_cuentas[],4,FALSE)," ")</f>
        <v xml:space="preserve"> </v>
      </c>
      <c r="H3321" t="str">
        <f>IFERROR(+VLOOKUP(Movimientos_2026[[#This Row],[Codigo]],Plan_cuentas[],5,FALSE)," ")</f>
        <v xml:space="preserve"> </v>
      </c>
      <c r="I3321" s="43"/>
      <c r="K3321" t="str">
        <f>IFERROR(+VLOOKUP(Movimientos_2026[[#This Row],[Codigo]],Plan_cuentas[],6,FALSE)," ")</f>
        <v xml:space="preserve"> </v>
      </c>
      <c r="L3321" s="50"/>
      <c r="M3321" s="50"/>
      <c r="N3321" s="20">
        <f>+Movimientos_2026[[#This Row],[Ingresos]]-Movimientos_2026[[#This Row],[Egresos]]</f>
        <v>0</v>
      </c>
      <c r="O3321" s="20">
        <f>+O3320+Movimientos_2026[[#This Row],[Neto]]</f>
        <v>4581558617.7962294</v>
      </c>
    </row>
    <row r="3322" spans="1:15" x14ac:dyDescent="0.25">
      <c r="A3322" s="13"/>
      <c r="B3322" s="12">
        <f>MONTH(Movimientos_2026[[#This Row],[Fecha]])</f>
        <v>1</v>
      </c>
      <c r="C3322" s="12" t="str">
        <f>VLOOKUP((WEEKDAY(Movimientos_2026[[#This Row],[Fecha]],2)),'5. Setup'!$D$6:$E$12,2,FALSE)</f>
        <v>Sab</v>
      </c>
      <c r="E3322" t="str">
        <f>IFERROR(+VLOOKUP(Movimientos_2026[[#This Row],[Codigo]],Plan_cuentas[],2,FALSE)," ")</f>
        <v xml:space="preserve"> </v>
      </c>
      <c r="F3322" t="str">
        <f>IFERROR(+VLOOKUP(Movimientos_2026[[#This Row],[Codigo]],Plan_cuentas[],3,FALSE)," ")</f>
        <v xml:space="preserve"> </v>
      </c>
      <c r="G3322" t="str">
        <f>IFERROR(+VLOOKUP(Movimientos_2026[[#This Row],[Codigo]],Plan_cuentas[],4,FALSE)," ")</f>
        <v xml:space="preserve"> </v>
      </c>
      <c r="H3322" t="str">
        <f>IFERROR(+VLOOKUP(Movimientos_2026[[#This Row],[Codigo]],Plan_cuentas[],5,FALSE)," ")</f>
        <v xml:space="preserve"> </v>
      </c>
      <c r="I3322" s="43"/>
      <c r="K3322" t="str">
        <f>IFERROR(+VLOOKUP(Movimientos_2026[[#This Row],[Codigo]],Plan_cuentas[],6,FALSE)," ")</f>
        <v xml:space="preserve"> </v>
      </c>
      <c r="L3322" s="50"/>
      <c r="M3322" s="50"/>
      <c r="N3322" s="20">
        <f>+Movimientos_2026[[#This Row],[Ingresos]]-Movimientos_2026[[#This Row],[Egresos]]</f>
        <v>0</v>
      </c>
      <c r="O3322" s="20">
        <f>+O3321+Movimientos_2026[[#This Row],[Neto]]</f>
        <v>4581558617.7962294</v>
      </c>
    </row>
    <row r="3323" spans="1:15" x14ac:dyDescent="0.25">
      <c r="A3323" s="13"/>
      <c r="B3323" s="12">
        <f>MONTH(Movimientos_2026[[#This Row],[Fecha]])</f>
        <v>1</v>
      </c>
      <c r="C3323" s="12" t="str">
        <f>VLOOKUP((WEEKDAY(Movimientos_2026[[#This Row],[Fecha]],2)),'5. Setup'!$D$6:$E$12,2,FALSE)</f>
        <v>Sab</v>
      </c>
      <c r="E3323" t="str">
        <f>IFERROR(+VLOOKUP(Movimientos_2026[[#This Row],[Codigo]],Plan_cuentas[],2,FALSE)," ")</f>
        <v xml:space="preserve"> </v>
      </c>
      <c r="F3323" t="str">
        <f>IFERROR(+VLOOKUP(Movimientos_2026[[#This Row],[Codigo]],Plan_cuentas[],3,FALSE)," ")</f>
        <v xml:space="preserve"> </v>
      </c>
      <c r="G3323" t="str">
        <f>IFERROR(+VLOOKUP(Movimientos_2026[[#This Row],[Codigo]],Plan_cuentas[],4,FALSE)," ")</f>
        <v xml:space="preserve"> </v>
      </c>
      <c r="H3323" t="str">
        <f>IFERROR(+VLOOKUP(Movimientos_2026[[#This Row],[Codigo]],Plan_cuentas[],5,FALSE)," ")</f>
        <v xml:space="preserve"> </v>
      </c>
      <c r="I3323" s="43"/>
      <c r="K3323" t="str">
        <f>IFERROR(+VLOOKUP(Movimientos_2026[[#This Row],[Codigo]],Plan_cuentas[],6,FALSE)," ")</f>
        <v xml:space="preserve"> </v>
      </c>
      <c r="L3323" s="50"/>
      <c r="M3323" s="50"/>
      <c r="N3323" s="20">
        <f>+Movimientos_2026[[#This Row],[Ingresos]]-Movimientos_2026[[#This Row],[Egresos]]</f>
        <v>0</v>
      </c>
      <c r="O3323" s="20">
        <f>+O3322+Movimientos_2026[[#This Row],[Neto]]</f>
        <v>4581558617.7962294</v>
      </c>
    </row>
    <row r="3324" spans="1:15" x14ac:dyDescent="0.25">
      <c r="A3324" s="13"/>
      <c r="B3324" s="12">
        <f>MONTH(Movimientos_2026[[#This Row],[Fecha]])</f>
        <v>1</v>
      </c>
      <c r="C3324" s="12" t="str">
        <f>VLOOKUP((WEEKDAY(Movimientos_2026[[#This Row],[Fecha]],2)),'5. Setup'!$D$6:$E$12,2,FALSE)</f>
        <v>Sab</v>
      </c>
      <c r="E3324" t="str">
        <f>IFERROR(+VLOOKUP(Movimientos_2026[[#This Row],[Codigo]],Plan_cuentas[],2,FALSE)," ")</f>
        <v xml:space="preserve"> </v>
      </c>
      <c r="F3324" t="str">
        <f>IFERROR(+VLOOKUP(Movimientos_2026[[#This Row],[Codigo]],Plan_cuentas[],3,FALSE)," ")</f>
        <v xml:space="preserve"> </v>
      </c>
      <c r="G3324" t="str">
        <f>IFERROR(+VLOOKUP(Movimientos_2026[[#This Row],[Codigo]],Plan_cuentas[],4,FALSE)," ")</f>
        <v xml:space="preserve"> </v>
      </c>
      <c r="H3324" t="str">
        <f>IFERROR(+VLOOKUP(Movimientos_2026[[#This Row],[Codigo]],Plan_cuentas[],5,FALSE)," ")</f>
        <v xml:space="preserve"> </v>
      </c>
      <c r="I3324" s="43"/>
      <c r="K3324" t="str">
        <f>IFERROR(+VLOOKUP(Movimientos_2026[[#This Row],[Codigo]],Plan_cuentas[],6,FALSE)," ")</f>
        <v xml:space="preserve"> </v>
      </c>
      <c r="L3324" s="50"/>
      <c r="M3324" s="50"/>
      <c r="N3324" s="20">
        <f>+Movimientos_2026[[#This Row],[Ingresos]]-Movimientos_2026[[#This Row],[Egresos]]</f>
        <v>0</v>
      </c>
      <c r="O3324" s="20">
        <f>+O3323+Movimientos_2026[[#This Row],[Neto]]</f>
        <v>4581558617.7962294</v>
      </c>
    </row>
    <row r="3325" spans="1:15" x14ac:dyDescent="0.25">
      <c r="A3325" s="13"/>
      <c r="B3325" s="12">
        <f>MONTH(Movimientos_2026[[#This Row],[Fecha]])</f>
        <v>1</v>
      </c>
      <c r="C3325" s="12" t="str">
        <f>VLOOKUP((WEEKDAY(Movimientos_2026[[#This Row],[Fecha]],2)),'5. Setup'!$D$6:$E$12,2,FALSE)</f>
        <v>Sab</v>
      </c>
      <c r="E3325" t="str">
        <f>IFERROR(+VLOOKUP(Movimientos_2026[[#This Row],[Codigo]],Plan_cuentas[],2,FALSE)," ")</f>
        <v xml:space="preserve"> </v>
      </c>
      <c r="F3325" t="str">
        <f>IFERROR(+VLOOKUP(Movimientos_2026[[#This Row],[Codigo]],Plan_cuentas[],3,FALSE)," ")</f>
        <v xml:space="preserve"> </v>
      </c>
      <c r="G3325" t="str">
        <f>IFERROR(+VLOOKUP(Movimientos_2026[[#This Row],[Codigo]],Plan_cuentas[],4,FALSE)," ")</f>
        <v xml:space="preserve"> </v>
      </c>
      <c r="H3325" t="str">
        <f>IFERROR(+VLOOKUP(Movimientos_2026[[#This Row],[Codigo]],Plan_cuentas[],5,FALSE)," ")</f>
        <v xml:space="preserve"> </v>
      </c>
      <c r="I3325" s="43"/>
      <c r="K3325" t="str">
        <f>IFERROR(+VLOOKUP(Movimientos_2026[[#This Row],[Codigo]],Plan_cuentas[],6,FALSE)," ")</f>
        <v xml:space="preserve"> </v>
      </c>
      <c r="L3325" s="50"/>
      <c r="M3325" s="50"/>
      <c r="N3325" s="20">
        <f>+Movimientos_2026[[#This Row],[Ingresos]]-Movimientos_2026[[#This Row],[Egresos]]</f>
        <v>0</v>
      </c>
      <c r="O3325" s="20">
        <f>+O3324+Movimientos_2026[[#This Row],[Neto]]</f>
        <v>4581558617.7962294</v>
      </c>
    </row>
    <row r="3326" spans="1:15" x14ac:dyDescent="0.25">
      <c r="A3326" s="13"/>
      <c r="B3326" s="12">
        <f>MONTH(Movimientos_2026[[#This Row],[Fecha]])</f>
        <v>1</v>
      </c>
      <c r="C3326" s="12" t="str">
        <f>VLOOKUP((WEEKDAY(Movimientos_2026[[#This Row],[Fecha]],2)),'5. Setup'!$D$6:$E$12,2,FALSE)</f>
        <v>Sab</v>
      </c>
      <c r="E3326" t="str">
        <f>IFERROR(+VLOOKUP(Movimientos_2026[[#This Row],[Codigo]],Plan_cuentas[],2,FALSE)," ")</f>
        <v xml:space="preserve"> </v>
      </c>
      <c r="F3326" t="str">
        <f>IFERROR(+VLOOKUP(Movimientos_2026[[#This Row],[Codigo]],Plan_cuentas[],3,FALSE)," ")</f>
        <v xml:space="preserve"> </v>
      </c>
      <c r="G3326" t="str">
        <f>IFERROR(+VLOOKUP(Movimientos_2026[[#This Row],[Codigo]],Plan_cuentas[],4,FALSE)," ")</f>
        <v xml:space="preserve"> </v>
      </c>
      <c r="H3326" t="str">
        <f>IFERROR(+VLOOKUP(Movimientos_2026[[#This Row],[Codigo]],Plan_cuentas[],5,FALSE)," ")</f>
        <v xml:space="preserve"> </v>
      </c>
      <c r="I3326" s="43"/>
      <c r="K3326" t="str">
        <f>IFERROR(+VLOOKUP(Movimientos_2026[[#This Row],[Codigo]],Plan_cuentas[],6,FALSE)," ")</f>
        <v xml:space="preserve"> </v>
      </c>
      <c r="L3326" s="50"/>
      <c r="M3326" s="50"/>
      <c r="N3326" s="20">
        <f>+Movimientos_2026[[#This Row],[Ingresos]]-Movimientos_2026[[#This Row],[Egresos]]</f>
        <v>0</v>
      </c>
      <c r="O3326" s="20">
        <f>+O3325+Movimientos_2026[[#This Row],[Neto]]</f>
        <v>4581558617.7962294</v>
      </c>
    </row>
    <row r="3327" spans="1:15" x14ac:dyDescent="0.25">
      <c r="A3327" s="13"/>
      <c r="B3327" s="12">
        <f>MONTH(Movimientos_2026[[#This Row],[Fecha]])</f>
        <v>1</v>
      </c>
      <c r="C3327" s="12" t="str">
        <f>VLOOKUP((WEEKDAY(Movimientos_2026[[#This Row],[Fecha]],2)),'5. Setup'!$D$6:$E$12,2,FALSE)</f>
        <v>Sab</v>
      </c>
      <c r="E3327" t="str">
        <f>IFERROR(+VLOOKUP(Movimientos_2026[[#This Row],[Codigo]],Plan_cuentas[],2,FALSE)," ")</f>
        <v xml:space="preserve"> </v>
      </c>
      <c r="F3327" t="str">
        <f>IFERROR(+VLOOKUP(Movimientos_2026[[#This Row],[Codigo]],Plan_cuentas[],3,FALSE)," ")</f>
        <v xml:space="preserve"> </v>
      </c>
      <c r="G3327" t="str">
        <f>IFERROR(+VLOOKUP(Movimientos_2026[[#This Row],[Codigo]],Plan_cuentas[],4,FALSE)," ")</f>
        <v xml:space="preserve"> </v>
      </c>
      <c r="H3327" t="str">
        <f>IFERROR(+VLOOKUP(Movimientos_2026[[#This Row],[Codigo]],Plan_cuentas[],5,FALSE)," ")</f>
        <v xml:space="preserve"> </v>
      </c>
      <c r="I3327" s="43"/>
      <c r="K3327" t="str">
        <f>IFERROR(+VLOOKUP(Movimientos_2026[[#This Row],[Codigo]],Plan_cuentas[],6,FALSE)," ")</f>
        <v xml:space="preserve"> </v>
      </c>
      <c r="L3327" s="50"/>
      <c r="M3327" s="50"/>
      <c r="N3327" s="20">
        <f>+Movimientos_2026[[#This Row],[Ingresos]]-Movimientos_2026[[#This Row],[Egresos]]</f>
        <v>0</v>
      </c>
      <c r="O3327" s="20">
        <f>+O3326+Movimientos_2026[[#This Row],[Neto]]</f>
        <v>4581558617.7962294</v>
      </c>
    </row>
    <row r="3328" spans="1:15" x14ac:dyDescent="0.25">
      <c r="A3328" s="13"/>
      <c r="B3328" s="12">
        <f>MONTH(Movimientos_2026[[#This Row],[Fecha]])</f>
        <v>1</v>
      </c>
      <c r="C3328" s="12" t="str">
        <f>VLOOKUP((WEEKDAY(Movimientos_2026[[#This Row],[Fecha]],2)),'5. Setup'!$D$6:$E$12,2,FALSE)</f>
        <v>Sab</v>
      </c>
      <c r="E3328" t="str">
        <f>IFERROR(+VLOOKUP(Movimientos_2026[[#This Row],[Codigo]],Plan_cuentas[],2,FALSE)," ")</f>
        <v xml:space="preserve"> </v>
      </c>
      <c r="F3328" t="str">
        <f>IFERROR(+VLOOKUP(Movimientos_2026[[#This Row],[Codigo]],Plan_cuentas[],3,FALSE)," ")</f>
        <v xml:space="preserve"> </v>
      </c>
      <c r="G3328" t="str">
        <f>IFERROR(+VLOOKUP(Movimientos_2026[[#This Row],[Codigo]],Plan_cuentas[],4,FALSE)," ")</f>
        <v xml:space="preserve"> </v>
      </c>
      <c r="H3328" t="str">
        <f>IFERROR(+VLOOKUP(Movimientos_2026[[#This Row],[Codigo]],Plan_cuentas[],5,FALSE)," ")</f>
        <v xml:space="preserve"> </v>
      </c>
      <c r="I3328" s="43"/>
      <c r="K3328" t="str">
        <f>IFERROR(+VLOOKUP(Movimientos_2026[[#This Row],[Codigo]],Plan_cuentas[],6,FALSE)," ")</f>
        <v xml:space="preserve"> </v>
      </c>
      <c r="L3328" s="50"/>
      <c r="M3328" s="50"/>
      <c r="N3328" s="20">
        <f>+Movimientos_2026[[#This Row],[Ingresos]]-Movimientos_2026[[#This Row],[Egresos]]</f>
        <v>0</v>
      </c>
      <c r="O3328" s="20">
        <f>+O3327+Movimientos_2026[[#This Row],[Neto]]</f>
        <v>4581558617.7962294</v>
      </c>
    </row>
    <row r="3329" spans="1:15" x14ac:dyDescent="0.25">
      <c r="A3329" s="13"/>
      <c r="B3329" s="12">
        <f>MONTH(Movimientos_2026[[#This Row],[Fecha]])</f>
        <v>1</v>
      </c>
      <c r="C3329" s="12" t="str">
        <f>VLOOKUP((WEEKDAY(Movimientos_2026[[#This Row],[Fecha]],2)),'5. Setup'!$D$6:$E$12,2,FALSE)</f>
        <v>Sab</v>
      </c>
      <c r="E3329" t="str">
        <f>IFERROR(+VLOOKUP(Movimientos_2026[[#This Row],[Codigo]],Plan_cuentas[],2,FALSE)," ")</f>
        <v xml:space="preserve"> </v>
      </c>
      <c r="F3329" t="str">
        <f>IFERROR(+VLOOKUP(Movimientos_2026[[#This Row],[Codigo]],Plan_cuentas[],3,FALSE)," ")</f>
        <v xml:space="preserve"> </v>
      </c>
      <c r="G3329" t="str">
        <f>IFERROR(+VLOOKUP(Movimientos_2026[[#This Row],[Codigo]],Plan_cuentas[],4,FALSE)," ")</f>
        <v xml:space="preserve"> </v>
      </c>
      <c r="H3329" t="str">
        <f>IFERROR(+VLOOKUP(Movimientos_2026[[#This Row],[Codigo]],Plan_cuentas[],5,FALSE)," ")</f>
        <v xml:space="preserve"> </v>
      </c>
      <c r="I3329" s="43"/>
      <c r="K3329" t="str">
        <f>IFERROR(+VLOOKUP(Movimientos_2026[[#This Row],[Codigo]],Plan_cuentas[],6,FALSE)," ")</f>
        <v xml:space="preserve"> </v>
      </c>
      <c r="L3329" s="50"/>
      <c r="M3329" s="50"/>
      <c r="N3329" s="20">
        <f>+Movimientos_2026[[#This Row],[Ingresos]]-Movimientos_2026[[#This Row],[Egresos]]</f>
        <v>0</v>
      </c>
      <c r="O3329" s="20">
        <f>+O3328+Movimientos_2026[[#This Row],[Neto]]</f>
        <v>4581558617.7962294</v>
      </c>
    </row>
    <row r="3330" spans="1:15" x14ac:dyDescent="0.25">
      <c r="A3330" s="13"/>
      <c r="B3330" s="12">
        <f>MONTH(Movimientos_2026[[#This Row],[Fecha]])</f>
        <v>1</v>
      </c>
      <c r="C3330" s="12" t="str">
        <f>VLOOKUP((WEEKDAY(Movimientos_2026[[#This Row],[Fecha]],2)),'5. Setup'!$D$6:$E$12,2,FALSE)</f>
        <v>Sab</v>
      </c>
      <c r="E3330" t="str">
        <f>IFERROR(+VLOOKUP(Movimientos_2026[[#This Row],[Codigo]],Plan_cuentas[],2,FALSE)," ")</f>
        <v xml:space="preserve"> </v>
      </c>
      <c r="F3330" t="str">
        <f>IFERROR(+VLOOKUP(Movimientos_2026[[#This Row],[Codigo]],Plan_cuentas[],3,FALSE)," ")</f>
        <v xml:space="preserve"> </v>
      </c>
      <c r="G3330" t="str">
        <f>IFERROR(+VLOOKUP(Movimientos_2026[[#This Row],[Codigo]],Plan_cuentas[],4,FALSE)," ")</f>
        <v xml:space="preserve"> </v>
      </c>
      <c r="H3330" t="str">
        <f>IFERROR(+VLOOKUP(Movimientos_2026[[#This Row],[Codigo]],Plan_cuentas[],5,FALSE)," ")</f>
        <v xml:space="preserve"> </v>
      </c>
      <c r="I3330" s="43"/>
      <c r="K3330" t="str">
        <f>IFERROR(+VLOOKUP(Movimientos_2026[[#This Row],[Codigo]],Plan_cuentas[],6,FALSE)," ")</f>
        <v xml:space="preserve"> </v>
      </c>
      <c r="L3330" s="50"/>
      <c r="M3330" s="50"/>
      <c r="N3330" s="20">
        <f>+Movimientos_2026[[#This Row],[Ingresos]]-Movimientos_2026[[#This Row],[Egresos]]</f>
        <v>0</v>
      </c>
      <c r="O3330" s="20">
        <f>+O3329+Movimientos_2026[[#This Row],[Neto]]</f>
        <v>4581558617.7962294</v>
      </c>
    </row>
    <row r="3331" spans="1:15" x14ac:dyDescent="0.25">
      <c r="A3331" s="13"/>
      <c r="B3331" s="12">
        <f>MONTH(Movimientos_2026[[#This Row],[Fecha]])</f>
        <v>1</v>
      </c>
      <c r="C3331" s="12" t="str">
        <f>VLOOKUP((WEEKDAY(Movimientos_2026[[#This Row],[Fecha]],2)),'5. Setup'!$D$6:$E$12,2,FALSE)</f>
        <v>Sab</v>
      </c>
      <c r="E3331" t="str">
        <f>IFERROR(+VLOOKUP(Movimientos_2026[[#This Row],[Codigo]],Plan_cuentas[],2,FALSE)," ")</f>
        <v xml:space="preserve"> </v>
      </c>
      <c r="F3331" t="str">
        <f>IFERROR(+VLOOKUP(Movimientos_2026[[#This Row],[Codigo]],Plan_cuentas[],3,FALSE)," ")</f>
        <v xml:space="preserve"> </v>
      </c>
      <c r="G3331" t="str">
        <f>IFERROR(+VLOOKUP(Movimientos_2026[[#This Row],[Codigo]],Plan_cuentas[],4,FALSE)," ")</f>
        <v xml:space="preserve"> </v>
      </c>
      <c r="H3331" t="str">
        <f>IFERROR(+VLOOKUP(Movimientos_2026[[#This Row],[Codigo]],Plan_cuentas[],5,FALSE)," ")</f>
        <v xml:space="preserve"> </v>
      </c>
      <c r="I3331" s="43"/>
      <c r="K3331" t="str">
        <f>IFERROR(+VLOOKUP(Movimientos_2026[[#This Row],[Codigo]],Plan_cuentas[],6,FALSE)," ")</f>
        <v xml:space="preserve"> </v>
      </c>
      <c r="L3331" s="50"/>
      <c r="M3331" s="50"/>
      <c r="N3331" s="20">
        <f>+Movimientos_2026[[#This Row],[Ingresos]]-Movimientos_2026[[#This Row],[Egresos]]</f>
        <v>0</v>
      </c>
      <c r="O3331" s="20">
        <f>+O3330+Movimientos_2026[[#This Row],[Neto]]</f>
        <v>4581558617.7962294</v>
      </c>
    </row>
    <row r="3332" spans="1:15" x14ac:dyDescent="0.25">
      <c r="A3332" s="13"/>
      <c r="B3332" s="12">
        <f>MONTH(Movimientos_2026[[#This Row],[Fecha]])</f>
        <v>1</v>
      </c>
      <c r="C3332" s="12" t="str">
        <f>VLOOKUP((WEEKDAY(Movimientos_2026[[#This Row],[Fecha]],2)),'5. Setup'!$D$6:$E$12,2,FALSE)</f>
        <v>Sab</v>
      </c>
      <c r="E3332" t="str">
        <f>IFERROR(+VLOOKUP(Movimientos_2026[[#This Row],[Codigo]],Plan_cuentas[],2,FALSE)," ")</f>
        <v xml:space="preserve"> </v>
      </c>
      <c r="F3332" t="str">
        <f>IFERROR(+VLOOKUP(Movimientos_2026[[#This Row],[Codigo]],Plan_cuentas[],3,FALSE)," ")</f>
        <v xml:space="preserve"> </v>
      </c>
      <c r="G3332" t="str">
        <f>IFERROR(+VLOOKUP(Movimientos_2026[[#This Row],[Codigo]],Plan_cuentas[],4,FALSE)," ")</f>
        <v xml:space="preserve"> </v>
      </c>
      <c r="H3332" t="str">
        <f>IFERROR(+VLOOKUP(Movimientos_2026[[#This Row],[Codigo]],Plan_cuentas[],5,FALSE)," ")</f>
        <v xml:space="preserve"> </v>
      </c>
      <c r="I3332" s="43"/>
      <c r="K3332" t="str">
        <f>IFERROR(+VLOOKUP(Movimientos_2026[[#This Row],[Codigo]],Plan_cuentas[],6,FALSE)," ")</f>
        <v xml:space="preserve"> </v>
      </c>
      <c r="L3332" s="50"/>
      <c r="M3332" s="50"/>
      <c r="N3332" s="20">
        <f>+Movimientos_2026[[#This Row],[Ingresos]]-Movimientos_2026[[#This Row],[Egresos]]</f>
        <v>0</v>
      </c>
      <c r="O3332" s="20">
        <f>+O3331+Movimientos_2026[[#This Row],[Neto]]</f>
        <v>4581558617.7962294</v>
      </c>
    </row>
    <row r="3333" spans="1:15" x14ac:dyDescent="0.25">
      <c r="A3333" s="13"/>
      <c r="B3333" s="12">
        <f>MONTH(Movimientos_2026[[#This Row],[Fecha]])</f>
        <v>1</v>
      </c>
      <c r="C3333" s="12" t="str">
        <f>VLOOKUP((WEEKDAY(Movimientos_2026[[#This Row],[Fecha]],2)),'5. Setup'!$D$6:$E$12,2,FALSE)</f>
        <v>Sab</v>
      </c>
      <c r="E3333" t="str">
        <f>IFERROR(+VLOOKUP(Movimientos_2026[[#This Row],[Codigo]],Plan_cuentas[],2,FALSE)," ")</f>
        <v xml:space="preserve"> </v>
      </c>
      <c r="F3333" t="str">
        <f>IFERROR(+VLOOKUP(Movimientos_2026[[#This Row],[Codigo]],Plan_cuentas[],3,FALSE)," ")</f>
        <v xml:space="preserve"> </v>
      </c>
      <c r="G3333" t="str">
        <f>IFERROR(+VLOOKUP(Movimientos_2026[[#This Row],[Codigo]],Plan_cuentas[],4,FALSE)," ")</f>
        <v xml:space="preserve"> </v>
      </c>
      <c r="H3333" t="str">
        <f>IFERROR(+VLOOKUP(Movimientos_2026[[#This Row],[Codigo]],Plan_cuentas[],5,FALSE)," ")</f>
        <v xml:space="preserve"> </v>
      </c>
      <c r="I3333" s="43"/>
      <c r="K3333" t="str">
        <f>IFERROR(+VLOOKUP(Movimientos_2026[[#This Row],[Codigo]],Plan_cuentas[],6,FALSE)," ")</f>
        <v xml:space="preserve"> </v>
      </c>
      <c r="L3333" s="50"/>
      <c r="M3333" s="50"/>
      <c r="N3333" s="20">
        <f>+Movimientos_2026[[#This Row],[Ingresos]]-Movimientos_2026[[#This Row],[Egresos]]</f>
        <v>0</v>
      </c>
      <c r="O3333" s="20">
        <f>+O3332+Movimientos_2026[[#This Row],[Neto]]</f>
        <v>4581558617.7962294</v>
      </c>
    </row>
    <row r="3334" spans="1:15" x14ac:dyDescent="0.25">
      <c r="A3334" s="13"/>
      <c r="B3334" s="12">
        <f>MONTH(Movimientos_2026[[#This Row],[Fecha]])</f>
        <v>1</v>
      </c>
      <c r="C3334" s="12" t="str">
        <f>VLOOKUP((WEEKDAY(Movimientos_2026[[#This Row],[Fecha]],2)),'5. Setup'!$D$6:$E$12,2,FALSE)</f>
        <v>Sab</v>
      </c>
      <c r="E3334" t="str">
        <f>IFERROR(+VLOOKUP(Movimientos_2026[[#This Row],[Codigo]],Plan_cuentas[],2,FALSE)," ")</f>
        <v xml:space="preserve"> </v>
      </c>
      <c r="F3334" t="str">
        <f>IFERROR(+VLOOKUP(Movimientos_2026[[#This Row],[Codigo]],Plan_cuentas[],3,FALSE)," ")</f>
        <v xml:space="preserve"> </v>
      </c>
      <c r="G3334" t="str">
        <f>IFERROR(+VLOOKUP(Movimientos_2026[[#This Row],[Codigo]],Plan_cuentas[],4,FALSE)," ")</f>
        <v xml:space="preserve"> </v>
      </c>
      <c r="H3334" t="str">
        <f>IFERROR(+VLOOKUP(Movimientos_2026[[#This Row],[Codigo]],Plan_cuentas[],5,FALSE)," ")</f>
        <v xml:space="preserve"> </v>
      </c>
      <c r="I3334" s="43"/>
      <c r="K3334" t="str">
        <f>IFERROR(+VLOOKUP(Movimientos_2026[[#This Row],[Codigo]],Plan_cuentas[],6,FALSE)," ")</f>
        <v xml:space="preserve"> </v>
      </c>
      <c r="L3334" s="50"/>
      <c r="M3334" s="50"/>
      <c r="N3334" s="20">
        <f>+Movimientos_2026[[#This Row],[Ingresos]]-Movimientos_2026[[#This Row],[Egresos]]</f>
        <v>0</v>
      </c>
      <c r="O3334" s="20">
        <f>+O3333+Movimientos_2026[[#This Row],[Neto]]</f>
        <v>4581558617.7962294</v>
      </c>
    </row>
    <row r="3335" spans="1:15" x14ac:dyDescent="0.25">
      <c r="A3335" s="13"/>
      <c r="B3335" s="12">
        <f>MONTH(Movimientos_2026[[#This Row],[Fecha]])</f>
        <v>1</v>
      </c>
      <c r="C3335" s="12" t="str">
        <f>VLOOKUP((WEEKDAY(Movimientos_2026[[#This Row],[Fecha]],2)),'5. Setup'!$D$6:$E$12,2,FALSE)</f>
        <v>Sab</v>
      </c>
      <c r="E3335" t="str">
        <f>IFERROR(+VLOOKUP(Movimientos_2026[[#This Row],[Codigo]],Plan_cuentas[],2,FALSE)," ")</f>
        <v xml:space="preserve"> </v>
      </c>
      <c r="F3335" t="str">
        <f>IFERROR(+VLOOKUP(Movimientos_2026[[#This Row],[Codigo]],Plan_cuentas[],3,FALSE)," ")</f>
        <v xml:space="preserve"> </v>
      </c>
      <c r="G3335" t="str">
        <f>IFERROR(+VLOOKUP(Movimientos_2026[[#This Row],[Codigo]],Plan_cuentas[],4,FALSE)," ")</f>
        <v xml:space="preserve"> </v>
      </c>
      <c r="H3335" t="str">
        <f>IFERROR(+VLOOKUP(Movimientos_2026[[#This Row],[Codigo]],Plan_cuentas[],5,FALSE)," ")</f>
        <v xml:space="preserve"> </v>
      </c>
      <c r="I3335" s="43"/>
      <c r="K3335" t="str">
        <f>IFERROR(+VLOOKUP(Movimientos_2026[[#This Row],[Codigo]],Plan_cuentas[],6,FALSE)," ")</f>
        <v xml:space="preserve"> </v>
      </c>
      <c r="L3335" s="50"/>
      <c r="M3335" s="50"/>
      <c r="N3335" s="20">
        <f>+Movimientos_2026[[#This Row],[Ingresos]]-Movimientos_2026[[#This Row],[Egresos]]</f>
        <v>0</v>
      </c>
      <c r="O3335" s="20">
        <f>+O3334+Movimientos_2026[[#This Row],[Neto]]</f>
        <v>4581558617.7962294</v>
      </c>
    </row>
    <row r="3336" spans="1:15" x14ac:dyDescent="0.25">
      <c r="A3336" s="13"/>
      <c r="B3336" s="12">
        <f>MONTH(Movimientos_2026[[#This Row],[Fecha]])</f>
        <v>1</v>
      </c>
      <c r="C3336" s="12" t="str">
        <f>VLOOKUP((WEEKDAY(Movimientos_2026[[#This Row],[Fecha]],2)),'5. Setup'!$D$6:$E$12,2,FALSE)</f>
        <v>Sab</v>
      </c>
      <c r="E3336" t="str">
        <f>IFERROR(+VLOOKUP(Movimientos_2026[[#This Row],[Codigo]],Plan_cuentas[],2,FALSE)," ")</f>
        <v xml:space="preserve"> </v>
      </c>
      <c r="F3336" t="str">
        <f>IFERROR(+VLOOKUP(Movimientos_2026[[#This Row],[Codigo]],Plan_cuentas[],3,FALSE)," ")</f>
        <v xml:space="preserve"> </v>
      </c>
      <c r="G3336" t="str">
        <f>IFERROR(+VLOOKUP(Movimientos_2026[[#This Row],[Codigo]],Plan_cuentas[],4,FALSE)," ")</f>
        <v xml:space="preserve"> </v>
      </c>
      <c r="H3336" t="str">
        <f>IFERROR(+VLOOKUP(Movimientos_2026[[#This Row],[Codigo]],Plan_cuentas[],5,FALSE)," ")</f>
        <v xml:space="preserve"> </v>
      </c>
      <c r="I3336" s="43"/>
      <c r="K3336" t="str">
        <f>IFERROR(+VLOOKUP(Movimientos_2026[[#This Row],[Codigo]],Plan_cuentas[],6,FALSE)," ")</f>
        <v xml:space="preserve"> </v>
      </c>
      <c r="L3336" s="50"/>
      <c r="M3336" s="50"/>
      <c r="N3336" s="20">
        <f>+Movimientos_2026[[#This Row],[Ingresos]]-Movimientos_2026[[#This Row],[Egresos]]</f>
        <v>0</v>
      </c>
      <c r="O3336" s="20">
        <f>+O3335+Movimientos_2026[[#This Row],[Neto]]</f>
        <v>4581558617.7962294</v>
      </c>
    </row>
    <row r="3337" spans="1:15" x14ac:dyDescent="0.25">
      <c r="A3337" s="13"/>
      <c r="B3337" s="12">
        <f>MONTH(Movimientos_2026[[#This Row],[Fecha]])</f>
        <v>1</v>
      </c>
      <c r="C3337" s="12" t="str">
        <f>VLOOKUP((WEEKDAY(Movimientos_2026[[#This Row],[Fecha]],2)),'5. Setup'!$D$6:$E$12,2,FALSE)</f>
        <v>Sab</v>
      </c>
      <c r="E3337" t="str">
        <f>IFERROR(+VLOOKUP(Movimientos_2026[[#This Row],[Codigo]],Plan_cuentas[],2,FALSE)," ")</f>
        <v xml:space="preserve"> </v>
      </c>
      <c r="F3337" t="str">
        <f>IFERROR(+VLOOKUP(Movimientos_2026[[#This Row],[Codigo]],Plan_cuentas[],3,FALSE)," ")</f>
        <v xml:space="preserve"> </v>
      </c>
      <c r="G3337" t="str">
        <f>IFERROR(+VLOOKUP(Movimientos_2026[[#This Row],[Codigo]],Plan_cuentas[],4,FALSE)," ")</f>
        <v xml:space="preserve"> </v>
      </c>
      <c r="H3337" t="str">
        <f>IFERROR(+VLOOKUP(Movimientos_2026[[#This Row],[Codigo]],Plan_cuentas[],5,FALSE)," ")</f>
        <v xml:space="preserve"> </v>
      </c>
      <c r="I3337" s="43"/>
      <c r="K3337" t="str">
        <f>IFERROR(+VLOOKUP(Movimientos_2026[[#This Row],[Codigo]],Plan_cuentas[],6,FALSE)," ")</f>
        <v xml:space="preserve"> </v>
      </c>
      <c r="L3337" s="50"/>
      <c r="M3337" s="50"/>
      <c r="N3337" s="20">
        <f>+Movimientos_2026[[#This Row],[Ingresos]]-Movimientos_2026[[#This Row],[Egresos]]</f>
        <v>0</v>
      </c>
      <c r="O3337" s="20">
        <f>+O3336+Movimientos_2026[[#This Row],[Neto]]</f>
        <v>4581558617.7962294</v>
      </c>
    </row>
    <row r="3338" spans="1:15" x14ac:dyDescent="0.25">
      <c r="A3338" s="13"/>
      <c r="B3338" s="12">
        <f>MONTH(Movimientos_2026[[#This Row],[Fecha]])</f>
        <v>1</v>
      </c>
      <c r="C3338" s="12" t="str">
        <f>VLOOKUP((WEEKDAY(Movimientos_2026[[#This Row],[Fecha]],2)),'5. Setup'!$D$6:$E$12,2,FALSE)</f>
        <v>Sab</v>
      </c>
      <c r="E3338" t="str">
        <f>IFERROR(+VLOOKUP(Movimientos_2026[[#This Row],[Codigo]],Plan_cuentas[],2,FALSE)," ")</f>
        <v xml:space="preserve"> </v>
      </c>
      <c r="F3338" t="str">
        <f>IFERROR(+VLOOKUP(Movimientos_2026[[#This Row],[Codigo]],Plan_cuentas[],3,FALSE)," ")</f>
        <v xml:space="preserve"> </v>
      </c>
      <c r="G3338" t="str">
        <f>IFERROR(+VLOOKUP(Movimientos_2026[[#This Row],[Codigo]],Plan_cuentas[],4,FALSE)," ")</f>
        <v xml:space="preserve"> </v>
      </c>
      <c r="H3338" t="str">
        <f>IFERROR(+VLOOKUP(Movimientos_2026[[#This Row],[Codigo]],Plan_cuentas[],5,FALSE)," ")</f>
        <v xml:space="preserve"> </v>
      </c>
      <c r="I3338" s="43"/>
      <c r="K3338" t="str">
        <f>IFERROR(+VLOOKUP(Movimientos_2026[[#This Row],[Codigo]],Plan_cuentas[],6,FALSE)," ")</f>
        <v xml:space="preserve"> </v>
      </c>
      <c r="L3338" s="50"/>
      <c r="M3338" s="50"/>
      <c r="N3338" s="20">
        <f>+Movimientos_2026[[#This Row],[Ingresos]]-Movimientos_2026[[#This Row],[Egresos]]</f>
        <v>0</v>
      </c>
      <c r="O3338" s="20">
        <f>+O3337+Movimientos_2026[[#This Row],[Neto]]</f>
        <v>4581558617.7962294</v>
      </c>
    </row>
    <row r="3339" spans="1:15" x14ac:dyDescent="0.25">
      <c r="A3339" s="13"/>
      <c r="B3339" s="12">
        <f>MONTH(Movimientos_2026[[#This Row],[Fecha]])</f>
        <v>1</v>
      </c>
      <c r="C3339" s="12" t="str">
        <f>VLOOKUP((WEEKDAY(Movimientos_2026[[#This Row],[Fecha]],2)),'5. Setup'!$D$6:$E$12,2,FALSE)</f>
        <v>Sab</v>
      </c>
      <c r="E3339" t="str">
        <f>IFERROR(+VLOOKUP(Movimientos_2026[[#This Row],[Codigo]],Plan_cuentas[],2,FALSE)," ")</f>
        <v xml:space="preserve"> </v>
      </c>
      <c r="F3339" t="str">
        <f>IFERROR(+VLOOKUP(Movimientos_2026[[#This Row],[Codigo]],Plan_cuentas[],3,FALSE)," ")</f>
        <v xml:space="preserve"> </v>
      </c>
      <c r="G3339" t="str">
        <f>IFERROR(+VLOOKUP(Movimientos_2026[[#This Row],[Codigo]],Plan_cuentas[],4,FALSE)," ")</f>
        <v xml:space="preserve"> </v>
      </c>
      <c r="H3339" t="str">
        <f>IFERROR(+VLOOKUP(Movimientos_2026[[#This Row],[Codigo]],Plan_cuentas[],5,FALSE)," ")</f>
        <v xml:space="preserve"> </v>
      </c>
      <c r="I3339" s="43"/>
      <c r="K3339" t="str">
        <f>IFERROR(+VLOOKUP(Movimientos_2026[[#This Row],[Codigo]],Plan_cuentas[],6,FALSE)," ")</f>
        <v xml:space="preserve"> </v>
      </c>
      <c r="L3339" s="50"/>
      <c r="M3339" s="50"/>
      <c r="N3339" s="20">
        <f>+Movimientos_2026[[#This Row],[Ingresos]]-Movimientos_2026[[#This Row],[Egresos]]</f>
        <v>0</v>
      </c>
      <c r="O3339" s="20">
        <f>+O3338+Movimientos_2026[[#This Row],[Neto]]</f>
        <v>4581558617.7962294</v>
      </c>
    </row>
    <row r="3340" spans="1:15" x14ac:dyDescent="0.25">
      <c r="A3340" s="13"/>
      <c r="B3340" s="12">
        <f>MONTH(Movimientos_2026[[#This Row],[Fecha]])</f>
        <v>1</v>
      </c>
      <c r="C3340" s="12" t="str">
        <f>VLOOKUP((WEEKDAY(Movimientos_2026[[#This Row],[Fecha]],2)),'5. Setup'!$D$6:$E$12,2,FALSE)</f>
        <v>Sab</v>
      </c>
      <c r="E3340" t="str">
        <f>IFERROR(+VLOOKUP(Movimientos_2026[[#This Row],[Codigo]],Plan_cuentas[],2,FALSE)," ")</f>
        <v xml:space="preserve"> </v>
      </c>
      <c r="F3340" t="str">
        <f>IFERROR(+VLOOKUP(Movimientos_2026[[#This Row],[Codigo]],Plan_cuentas[],3,FALSE)," ")</f>
        <v xml:space="preserve"> </v>
      </c>
      <c r="G3340" t="str">
        <f>IFERROR(+VLOOKUP(Movimientos_2026[[#This Row],[Codigo]],Plan_cuentas[],4,FALSE)," ")</f>
        <v xml:space="preserve"> </v>
      </c>
      <c r="H3340" t="str">
        <f>IFERROR(+VLOOKUP(Movimientos_2026[[#This Row],[Codigo]],Plan_cuentas[],5,FALSE)," ")</f>
        <v xml:space="preserve"> </v>
      </c>
      <c r="I3340" s="43"/>
      <c r="K3340" t="str">
        <f>IFERROR(+VLOOKUP(Movimientos_2026[[#This Row],[Codigo]],Plan_cuentas[],6,FALSE)," ")</f>
        <v xml:space="preserve"> </v>
      </c>
      <c r="L3340" s="50"/>
      <c r="M3340" s="50"/>
      <c r="N3340" s="20">
        <f>+Movimientos_2026[[#This Row],[Ingresos]]-Movimientos_2026[[#This Row],[Egresos]]</f>
        <v>0</v>
      </c>
      <c r="O3340" s="20">
        <f>+O3339+Movimientos_2026[[#This Row],[Neto]]</f>
        <v>4581558617.7962294</v>
      </c>
    </row>
    <row r="3341" spans="1:15" x14ac:dyDescent="0.25">
      <c r="A3341" s="13"/>
      <c r="B3341" s="12">
        <f>MONTH(Movimientos_2026[[#This Row],[Fecha]])</f>
        <v>1</v>
      </c>
      <c r="C3341" s="12" t="str">
        <f>VLOOKUP((WEEKDAY(Movimientos_2026[[#This Row],[Fecha]],2)),'5. Setup'!$D$6:$E$12,2,FALSE)</f>
        <v>Sab</v>
      </c>
      <c r="E3341" t="str">
        <f>IFERROR(+VLOOKUP(Movimientos_2026[[#This Row],[Codigo]],Plan_cuentas[],2,FALSE)," ")</f>
        <v xml:space="preserve"> </v>
      </c>
      <c r="F3341" t="str">
        <f>IFERROR(+VLOOKUP(Movimientos_2026[[#This Row],[Codigo]],Plan_cuentas[],3,FALSE)," ")</f>
        <v xml:space="preserve"> </v>
      </c>
      <c r="G3341" t="str">
        <f>IFERROR(+VLOOKUP(Movimientos_2026[[#This Row],[Codigo]],Plan_cuentas[],4,FALSE)," ")</f>
        <v xml:space="preserve"> </v>
      </c>
      <c r="H3341" t="str">
        <f>IFERROR(+VLOOKUP(Movimientos_2026[[#This Row],[Codigo]],Plan_cuentas[],5,FALSE)," ")</f>
        <v xml:space="preserve"> </v>
      </c>
      <c r="I3341" s="43"/>
      <c r="K3341" t="str">
        <f>IFERROR(+VLOOKUP(Movimientos_2026[[#This Row],[Codigo]],Plan_cuentas[],6,FALSE)," ")</f>
        <v xml:space="preserve"> </v>
      </c>
      <c r="L3341" s="50"/>
      <c r="M3341" s="50"/>
      <c r="N3341" s="20">
        <f>+Movimientos_2026[[#This Row],[Ingresos]]-Movimientos_2026[[#This Row],[Egresos]]</f>
        <v>0</v>
      </c>
      <c r="O3341" s="20">
        <f>+O3340+Movimientos_2026[[#This Row],[Neto]]</f>
        <v>4581558617.7962294</v>
      </c>
    </row>
    <row r="3342" spans="1:15" x14ac:dyDescent="0.25">
      <c r="A3342" s="13"/>
      <c r="B3342" s="12">
        <f>MONTH(Movimientos_2026[[#This Row],[Fecha]])</f>
        <v>1</v>
      </c>
      <c r="C3342" s="12" t="str">
        <f>VLOOKUP((WEEKDAY(Movimientos_2026[[#This Row],[Fecha]],2)),'5. Setup'!$D$6:$E$12,2,FALSE)</f>
        <v>Sab</v>
      </c>
      <c r="E3342" t="str">
        <f>IFERROR(+VLOOKUP(Movimientos_2026[[#This Row],[Codigo]],Plan_cuentas[],2,FALSE)," ")</f>
        <v xml:space="preserve"> </v>
      </c>
      <c r="F3342" t="str">
        <f>IFERROR(+VLOOKUP(Movimientos_2026[[#This Row],[Codigo]],Plan_cuentas[],3,FALSE)," ")</f>
        <v xml:space="preserve"> </v>
      </c>
      <c r="G3342" t="str">
        <f>IFERROR(+VLOOKUP(Movimientos_2026[[#This Row],[Codigo]],Plan_cuentas[],4,FALSE)," ")</f>
        <v xml:space="preserve"> </v>
      </c>
      <c r="H3342" t="str">
        <f>IFERROR(+VLOOKUP(Movimientos_2026[[#This Row],[Codigo]],Plan_cuentas[],5,FALSE)," ")</f>
        <v xml:space="preserve"> </v>
      </c>
      <c r="I3342" s="43"/>
      <c r="K3342" t="str">
        <f>IFERROR(+VLOOKUP(Movimientos_2026[[#This Row],[Codigo]],Plan_cuentas[],6,FALSE)," ")</f>
        <v xml:space="preserve"> </v>
      </c>
      <c r="L3342" s="50"/>
      <c r="M3342" s="50"/>
      <c r="N3342" s="20">
        <f>+Movimientos_2026[[#This Row],[Ingresos]]-Movimientos_2026[[#This Row],[Egresos]]</f>
        <v>0</v>
      </c>
      <c r="O3342" s="20">
        <f>+O3341+Movimientos_2026[[#This Row],[Neto]]</f>
        <v>4581558617.7962294</v>
      </c>
    </row>
    <row r="3343" spans="1:15" x14ac:dyDescent="0.25">
      <c r="A3343" s="13"/>
      <c r="B3343" s="12">
        <f>MONTH(Movimientos_2026[[#This Row],[Fecha]])</f>
        <v>1</v>
      </c>
      <c r="C3343" s="12" t="str">
        <f>VLOOKUP((WEEKDAY(Movimientos_2026[[#This Row],[Fecha]],2)),'5. Setup'!$D$6:$E$12,2,FALSE)</f>
        <v>Sab</v>
      </c>
      <c r="E3343" t="str">
        <f>IFERROR(+VLOOKUP(Movimientos_2026[[#This Row],[Codigo]],Plan_cuentas[],2,FALSE)," ")</f>
        <v xml:space="preserve"> </v>
      </c>
      <c r="F3343" t="str">
        <f>IFERROR(+VLOOKUP(Movimientos_2026[[#This Row],[Codigo]],Plan_cuentas[],3,FALSE)," ")</f>
        <v xml:space="preserve"> </v>
      </c>
      <c r="G3343" t="str">
        <f>IFERROR(+VLOOKUP(Movimientos_2026[[#This Row],[Codigo]],Plan_cuentas[],4,FALSE)," ")</f>
        <v xml:space="preserve"> </v>
      </c>
      <c r="H3343" t="str">
        <f>IFERROR(+VLOOKUP(Movimientos_2026[[#This Row],[Codigo]],Plan_cuentas[],5,FALSE)," ")</f>
        <v xml:space="preserve"> </v>
      </c>
      <c r="I3343" s="43"/>
      <c r="K3343" t="str">
        <f>IFERROR(+VLOOKUP(Movimientos_2026[[#This Row],[Codigo]],Plan_cuentas[],6,FALSE)," ")</f>
        <v xml:space="preserve"> </v>
      </c>
      <c r="L3343" s="50"/>
      <c r="M3343" s="50"/>
      <c r="N3343" s="20">
        <f>+Movimientos_2026[[#This Row],[Ingresos]]-Movimientos_2026[[#This Row],[Egresos]]</f>
        <v>0</v>
      </c>
      <c r="O3343" s="20">
        <f>+O3342+Movimientos_2026[[#This Row],[Neto]]</f>
        <v>4581558617.7962294</v>
      </c>
    </row>
    <row r="3344" spans="1:15" x14ac:dyDescent="0.25">
      <c r="A3344" s="13"/>
      <c r="B3344" s="12">
        <f>MONTH(Movimientos_2026[[#This Row],[Fecha]])</f>
        <v>1</v>
      </c>
      <c r="C3344" s="12" t="str">
        <f>VLOOKUP((WEEKDAY(Movimientos_2026[[#This Row],[Fecha]],2)),'5. Setup'!$D$6:$E$12,2,FALSE)</f>
        <v>Sab</v>
      </c>
      <c r="E3344" t="str">
        <f>IFERROR(+VLOOKUP(Movimientos_2026[[#This Row],[Codigo]],Plan_cuentas[],2,FALSE)," ")</f>
        <v xml:space="preserve"> </v>
      </c>
      <c r="F3344" t="str">
        <f>IFERROR(+VLOOKUP(Movimientos_2026[[#This Row],[Codigo]],Plan_cuentas[],3,FALSE)," ")</f>
        <v xml:space="preserve"> </v>
      </c>
      <c r="G3344" t="str">
        <f>IFERROR(+VLOOKUP(Movimientos_2026[[#This Row],[Codigo]],Plan_cuentas[],4,FALSE)," ")</f>
        <v xml:space="preserve"> </v>
      </c>
      <c r="H3344" t="str">
        <f>IFERROR(+VLOOKUP(Movimientos_2026[[#This Row],[Codigo]],Plan_cuentas[],5,FALSE)," ")</f>
        <v xml:space="preserve"> </v>
      </c>
      <c r="I3344" s="43"/>
      <c r="K3344" t="str">
        <f>IFERROR(+VLOOKUP(Movimientos_2026[[#This Row],[Codigo]],Plan_cuentas[],6,FALSE)," ")</f>
        <v xml:space="preserve"> </v>
      </c>
      <c r="L3344" s="50"/>
      <c r="M3344" s="50"/>
      <c r="N3344" s="20">
        <f>+Movimientos_2026[[#This Row],[Ingresos]]-Movimientos_2026[[#This Row],[Egresos]]</f>
        <v>0</v>
      </c>
      <c r="O3344" s="20">
        <f>+O3343+Movimientos_2026[[#This Row],[Neto]]</f>
        <v>4581558617.7962294</v>
      </c>
    </row>
    <row r="3345" spans="1:15" x14ac:dyDescent="0.25">
      <c r="A3345" s="13"/>
      <c r="B3345" s="12">
        <f>MONTH(Movimientos_2026[[#This Row],[Fecha]])</f>
        <v>1</v>
      </c>
      <c r="C3345" s="12" t="str">
        <f>VLOOKUP((WEEKDAY(Movimientos_2026[[#This Row],[Fecha]],2)),'5. Setup'!$D$6:$E$12,2,FALSE)</f>
        <v>Sab</v>
      </c>
      <c r="E3345" t="str">
        <f>IFERROR(+VLOOKUP(Movimientos_2026[[#This Row],[Codigo]],Plan_cuentas[],2,FALSE)," ")</f>
        <v xml:space="preserve"> </v>
      </c>
      <c r="F3345" t="str">
        <f>IFERROR(+VLOOKUP(Movimientos_2026[[#This Row],[Codigo]],Plan_cuentas[],3,FALSE)," ")</f>
        <v xml:space="preserve"> </v>
      </c>
      <c r="G3345" t="str">
        <f>IFERROR(+VLOOKUP(Movimientos_2026[[#This Row],[Codigo]],Plan_cuentas[],4,FALSE)," ")</f>
        <v xml:space="preserve"> </v>
      </c>
      <c r="H3345" t="str">
        <f>IFERROR(+VLOOKUP(Movimientos_2026[[#This Row],[Codigo]],Plan_cuentas[],5,FALSE)," ")</f>
        <v xml:space="preserve"> </v>
      </c>
      <c r="I3345" s="43"/>
      <c r="K3345" t="str">
        <f>IFERROR(+VLOOKUP(Movimientos_2026[[#This Row],[Codigo]],Plan_cuentas[],6,FALSE)," ")</f>
        <v xml:space="preserve"> </v>
      </c>
      <c r="L3345" s="50"/>
      <c r="M3345" s="50"/>
      <c r="N3345" s="20">
        <f>+Movimientos_2026[[#This Row],[Ingresos]]-Movimientos_2026[[#This Row],[Egresos]]</f>
        <v>0</v>
      </c>
      <c r="O3345" s="20">
        <f>+O3344+Movimientos_2026[[#This Row],[Neto]]</f>
        <v>4581558617.7962294</v>
      </c>
    </row>
    <row r="3346" spans="1:15" x14ac:dyDescent="0.25">
      <c r="A3346" s="13"/>
      <c r="B3346" s="12">
        <f>MONTH(Movimientos_2026[[#This Row],[Fecha]])</f>
        <v>1</v>
      </c>
      <c r="C3346" s="12" t="str">
        <f>VLOOKUP((WEEKDAY(Movimientos_2026[[#This Row],[Fecha]],2)),'5. Setup'!$D$6:$E$12,2,FALSE)</f>
        <v>Sab</v>
      </c>
      <c r="E3346" t="str">
        <f>IFERROR(+VLOOKUP(Movimientos_2026[[#This Row],[Codigo]],Plan_cuentas[],2,FALSE)," ")</f>
        <v xml:space="preserve"> </v>
      </c>
      <c r="F3346" t="str">
        <f>IFERROR(+VLOOKUP(Movimientos_2026[[#This Row],[Codigo]],Plan_cuentas[],3,FALSE)," ")</f>
        <v xml:space="preserve"> </v>
      </c>
      <c r="G3346" t="str">
        <f>IFERROR(+VLOOKUP(Movimientos_2026[[#This Row],[Codigo]],Plan_cuentas[],4,FALSE)," ")</f>
        <v xml:space="preserve"> </v>
      </c>
      <c r="H3346" t="str">
        <f>IFERROR(+VLOOKUP(Movimientos_2026[[#This Row],[Codigo]],Plan_cuentas[],5,FALSE)," ")</f>
        <v xml:space="preserve"> </v>
      </c>
      <c r="I3346" s="43"/>
      <c r="K3346" t="str">
        <f>IFERROR(+VLOOKUP(Movimientos_2026[[#This Row],[Codigo]],Plan_cuentas[],6,FALSE)," ")</f>
        <v xml:space="preserve"> </v>
      </c>
      <c r="L3346" s="50"/>
      <c r="M3346" s="50"/>
      <c r="N3346" s="20">
        <f>+Movimientos_2026[[#This Row],[Ingresos]]-Movimientos_2026[[#This Row],[Egresos]]</f>
        <v>0</v>
      </c>
      <c r="O3346" s="20">
        <f>+O3345+Movimientos_2026[[#This Row],[Neto]]</f>
        <v>4581558617.7962294</v>
      </c>
    </row>
    <row r="3347" spans="1:15" x14ac:dyDescent="0.25">
      <c r="A3347" s="13"/>
      <c r="B3347" s="12">
        <f>MONTH(Movimientos_2026[[#This Row],[Fecha]])</f>
        <v>1</v>
      </c>
      <c r="C3347" s="12" t="str">
        <f>VLOOKUP((WEEKDAY(Movimientos_2026[[#This Row],[Fecha]],2)),'5. Setup'!$D$6:$E$12,2,FALSE)</f>
        <v>Sab</v>
      </c>
      <c r="E3347" t="str">
        <f>IFERROR(+VLOOKUP(Movimientos_2026[[#This Row],[Codigo]],Plan_cuentas[],2,FALSE)," ")</f>
        <v xml:space="preserve"> </v>
      </c>
      <c r="F3347" t="str">
        <f>IFERROR(+VLOOKUP(Movimientos_2026[[#This Row],[Codigo]],Plan_cuentas[],3,FALSE)," ")</f>
        <v xml:space="preserve"> </v>
      </c>
      <c r="G3347" t="str">
        <f>IFERROR(+VLOOKUP(Movimientos_2026[[#This Row],[Codigo]],Plan_cuentas[],4,FALSE)," ")</f>
        <v xml:space="preserve"> </v>
      </c>
      <c r="H3347" t="str">
        <f>IFERROR(+VLOOKUP(Movimientos_2026[[#This Row],[Codigo]],Plan_cuentas[],5,FALSE)," ")</f>
        <v xml:space="preserve"> </v>
      </c>
      <c r="I3347" s="43"/>
      <c r="K3347" t="str">
        <f>IFERROR(+VLOOKUP(Movimientos_2026[[#This Row],[Codigo]],Plan_cuentas[],6,FALSE)," ")</f>
        <v xml:space="preserve"> </v>
      </c>
      <c r="L3347" s="50"/>
      <c r="M3347" s="50"/>
      <c r="N3347" s="20">
        <f>+Movimientos_2026[[#This Row],[Ingresos]]-Movimientos_2026[[#This Row],[Egresos]]</f>
        <v>0</v>
      </c>
      <c r="O3347" s="20">
        <f>+O3346+Movimientos_2026[[#This Row],[Neto]]</f>
        <v>4581558617.7962294</v>
      </c>
    </row>
    <row r="3348" spans="1:15" x14ac:dyDescent="0.25">
      <c r="A3348" s="13"/>
      <c r="B3348" s="12">
        <f>MONTH(Movimientos_2026[[#This Row],[Fecha]])</f>
        <v>1</v>
      </c>
      <c r="C3348" s="12" t="str">
        <f>VLOOKUP((WEEKDAY(Movimientos_2026[[#This Row],[Fecha]],2)),'5. Setup'!$D$6:$E$12,2,FALSE)</f>
        <v>Sab</v>
      </c>
      <c r="E3348" t="str">
        <f>IFERROR(+VLOOKUP(Movimientos_2026[[#This Row],[Codigo]],Plan_cuentas[],2,FALSE)," ")</f>
        <v xml:space="preserve"> </v>
      </c>
      <c r="F3348" t="str">
        <f>IFERROR(+VLOOKUP(Movimientos_2026[[#This Row],[Codigo]],Plan_cuentas[],3,FALSE)," ")</f>
        <v xml:space="preserve"> </v>
      </c>
      <c r="G3348" t="str">
        <f>IFERROR(+VLOOKUP(Movimientos_2026[[#This Row],[Codigo]],Plan_cuentas[],4,FALSE)," ")</f>
        <v xml:space="preserve"> </v>
      </c>
      <c r="H3348" t="str">
        <f>IFERROR(+VLOOKUP(Movimientos_2026[[#This Row],[Codigo]],Plan_cuentas[],5,FALSE)," ")</f>
        <v xml:space="preserve"> </v>
      </c>
      <c r="I3348" s="43"/>
      <c r="K3348" t="str">
        <f>IFERROR(+VLOOKUP(Movimientos_2026[[#This Row],[Codigo]],Plan_cuentas[],6,FALSE)," ")</f>
        <v xml:space="preserve"> </v>
      </c>
      <c r="L3348" s="50"/>
      <c r="M3348" s="50"/>
      <c r="N3348" s="20">
        <f>+Movimientos_2026[[#This Row],[Ingresos]]-Movimientos_2026[[#This Row],[Egresos]]</f>
        <v>0</v>
      </c>
      <c r="O3348" s="20">
        <f>+O3347+Movimientos_2026[[#This Row],[Neto]]</f>
        <v>4581558617.7962294</v>
      </c>
    </row>
    <row r="3349" spans="1:15" x14ac:dyDescent="0.25">
      <c r="A3349" s="13"/>
      <c r="B3349" s="12">
        <f>MONTH(Movimientos_2026[[#This Row],[Fecha]])</f>
        <v>1</v>
      </c>
      <c r="C3349" s="12" t="str">
        <f>VLOOKUP((WEEKDAY(Movimientos_2026[[#This Row],[Fecha]],2)),'5. Setup'!$D$6:$E$12,2,FALSE)</f>
        <v>Sab</v>
      </c>
      <c r="E3349" t="str">
        <f>IFERROR(+VLOOKUP(Movimientos_2026[[#This Row],[Codigo]],Plan_cuentas[],2,FALSE)," ")</f>
        <v xml:space="preserve"> </v>
      </c>
      <c r="F3349" t="str">
        <f>IFERROR(+VLOOKUP(Movimientos_2026[[#This Row],[Codigo]],Plan_cuentas[],3,FALSE)," ")</f>
        <v xml:space="preserve"> </v>
      </c>
      <c r="G3349" t="str">
        <f>IFERROR(+VLOOKUP(Movimientos_2026[[#This Row],[Codigo]],Plan_cuentas[],4,FALSE)," ")</f>
        <v xml:space="preserve"> </v>
      </c>
      <c r="H3349" t="str">
        <f>IFERROR(+VLOOKUP(Movimientos_2026[[#This Row],[Codigo]],Plan_cuentas[],5,FALSE)," ")</f>
        <v xml:space="preserve"> </v>
      </c>
      <c r="I3349" s="43"/>
      <c r="K3349" t="str">
        <f>IFERROR(+VLOOKUP(Movimientos_2026[[#This Row],[Codigo]],Plan_cuentas[],6,FALSE)," ")</f>
        <v xml:space="preserve"> </v>
      </c>
      <c r="L3349" s="50"/>
      <c r="M3349" s="50"/>
      <c r="N3349" s="20">
        <f>+Movimientos_2026[[#This Row],[Ingresos]]-Movimientos_2026[[#This Row],[Egresos]]</f>
        <v>0</v>
      </c>
      <c r="O3349" s="20">
        <f>+O3348+Movimientos_2026[[#This Row],[Neto]]</f>
        <v>4581558617.7962294</v>
      </c>
    </row>
    <row r="3350" spans="1:15" x14ac:dyDescent="0.25">
      <c r="A3350" s="13"/>
      <c r="B3350" s="12">
        <f>MONTH(Movimientos_2026[[#This Row],[Fecha]])</f>
        <v>1</v>
      </c>
      <c r="C3350" s="12" t="str">
        <f>VLOOKUP((WEEKDAY(Movimientos_2026[[#This Row],[Fecha]],2)),'5. Setup'!$D$6:$E$12,2,FALSE)</f>
        <v>Sab</v>
      </c>
      <c r="E3350" t="str">
        <f>IFERROR(+VLOOKUP(Movimientos_2026[[#This Row],[Codigo]],Plan_cuentas[],2,FALSE)," ")</f>
        <v xml:space="preserve"> </v>
      </c>
      <c r="F3350" t="str">
        <f>IFERROR(+VLOOKUP(Movimientos_2026[[#This Row],[Codigo]],Plan_cuentas[],3,FALSE)," ")</f>
        <v xml:space="preserve"> </v>
      </c>
      <c r="G3350" t="str">
        <f>IFERROR(+VLOOKUP(Movimientos_2026[[#This Row],[Codigo]],Plan_cuentas[],4,FALSE)," ")</f>
        <v xml:space="preserve"> </v>
      </c>
      <c r="H3350" t="str">
        <f>IFERROR(+VLOOKUP(Movimientos_2026[[#This Row],[Codigo]],Plan_cuentas[],5,FALSE)," ")</f>
        <v xml:space="preserve"> </v>
      </c>
      <c r="I3350" s="43"/>
      <c r="K3350" t="str">
        <f>IFERROR(+VLOOKUP(Movimientos_2026[[#This Row],[Codigo]],Plan_cuentas[],6,FALSE)," ")</f>
        <v xml:space="preserve"> </v>
      </c>
      <c r="L3350" s="50"/>
      <c r="M3350" s="50"/>
      <c r="N3350" s="20">
        <f>+Movimientos_2026[[#This Row],[Ingresos]]-Movimientos_2026[[#This Row],[Egresos]]</f>
        <v>0</v>
      </c>
      <c r="O3350" s="20">
        <f>+O3349+Movimientos_2026[[#This Row],[Neto]]</f>
        <v>4581558617.7962294</v>
      </c>
    </row>
    <row r="3351" spans="1:15" x14ac:dyDescent="0.25">
      <c r="A3351" s="13"/>
      <c r="B3351" s="12">
        <f>MONTH(Movimientos_2026[[#This Row],[Fecha]])</f>
        <v>1</v>
      </c>
      <c r="C3351" s="12" t="str">
        <f>VLOOKUP((WEEKDAY(Movimientos_2026[[#This Row],[Fecha]],2)),'5. Setup'!$D$6:$E$12,2,FALSE)</f>
        <v>Sab</v>
      </c>
      <c r="E3351" t="str">
        <f>IFERROR(+VLOOKUP(Movimientos_2026[[#This Row],[Codigo]],Plan_cuentas[],2,FALSE)," ")</f>
        <v xml:space="preserve"> </v>
      </c>
      <c r="F3351" t="str">
        <f>IFERROR(+VLOOKUP(Movimientos_2026[[#This Row],[Codigo]],Plan_cuentas[],3,FALSE)," ")</f>
        <v xml:space="preserve"> </v>
      </c>
      <c r="G3351" t="str">
        <f>IFERROR(+VLOOKUP(Movimientos_2026[[#This Row],[Codigo]],Plan_cuentas[],4,FALSE)," ")</f>
        <v xml:space="preserve"> </v>
      </c>
      <c r="H3351" t="str">
        <f>IFERROR(+VLOOKUP(Movimientos_2026[[#This Row],[Codigo]],Plan_cuentas[],5,FALSE)," ")</f>
        <v xml:space="preserve"> </v>
      </c>
      <c r="I3351" s="43"/>
      <c r="K3351" t="str">
        <f>IFERROR(+VLOOKUP(Movimientos_2026[[#This Row],[Codigo]],Plan_cuentas[],6,FALSE)," ")</f>
        <v xml:space="preserve"> </v>
      </c>
      <c r="L3351" s="50"/>
      <c r="M3351" s="50"/>
      <c r="N3351" s="20">
        <f>+Movimientos_2026[[#This Row],[Ingresos]]-Movimientos_2026[[#This Row],[Egresos]]</f>
        <v>0</v>
      </c>
      <c r="O3351" s="20">
        <f>+O3350+Movimientos_2026[[#This Row],[Neto]]</f>
        <v>4581558617.7962294</v>
      </c>
    </row>
    <row r="3352" spans="1:15" x14ac:dyDescent="0.25">
      <c r="A3352" s="13"/>
      <c r="B3352" s="12">
        <f>MONTH(Movimientos_2026[[#This Row],[Fecha]])</f>
        <v>1</v>
      </c>
      <c r="C3352" s="12" t="str">
        <f>VLOOKUP((WEEKDAY(Movimientos_2026[[#This Row],[Fecha]],2)),'5. Setup'!$D$6:$E$12,2,FALSE)</f>
        <v>Sab</v>
      </c>
      <c r="E3352" t="str">
        <f>IFERROR(+VLOOKUP(Movimientos_2026[[#This Row],[Codigo]],Plan_cuentas[],2,FALSE)," ")</f>
        <v xml:space="preserve"> </v>
      </c>
      <c r="F3352" t="str">
        <f>IFERROR(+VLOOKUP(Movimientos_2026[[#This Row],[Codigo]],Plan_cuentas[],3,FALSE)," ")</f>
        <v xml:space="preserve"> </v>
      </c>
      <c r="G3352" t="str">
        <f>IFERROR(+VLOOKUP(Movimientos_2026[[#This Row],[Codigo]],Plan_cuentas[],4,FALSE)," ")</f>
        <v xml:space="preserve"> </v>
      </c>
      <c r="H3352" t="str">
        <f>IFERROR(+VLOOKUP(Movimientos_2026[[#This Row],[Codigo]],Plan_cuentas[],5,FALSE)," ")</f>
        <v xml:space="preserve"> </v>
      </c>
      <c r="I3352" s="43"/>
      <c r="K3352" t="str">
        <f>IFERROR(+VLOOKUP(Movimientos_2026[[#This Row],[Codigo]],Plan_cuentas[],6,FALSE)," ")</f>
        <v xml:space="preserve"> </v>
      </c>
      <c r="L3352" s="50"/>
      <c r="M3352" s="50"/>
      <c r="N3352" s="20">
        <f>+Movimientos_2026[[#This Row],[Ingresos]]-Movimientos_2026[[#This Row],[Egresos]]</f>
        <v>0</v>
      </c>
      <c r="O3352" s="20">
        <f>+O3351+Movimientos_2026[[#This Row],[Neto]]</f>
        <v>4581558617.7962294</v>
      </c>
    </row>
    <row r="3353" spans="1:15" x14ac:dyDescent="0.25">
      <c r="A3353" s="13"/>
      <c r="B3353" s="12">
        <f>MONTH(Movimientos_2026[[#This Row],[Fecha]])</f>
        <v>1</v>
      </c>
      <c r="C3353" s="12" t="str">
        <f>VLOOKUP((WEEKDAY(Movimientos_2026[[#This Row],[Fecha]],2)),'5. Setup'!$D$6:$E$12,2,FALSE)</f>
        <v>Sab</v>
      </c>
      <c r="E3353" t="str">
        <f>IFERROR(+VLOOKUP(Movimientos_2026[[#This Row],[Codigo]],Plan_cuentas[],2,FALSE)," ")</f>
        <v xml:space="preserve"> </v>
      </c>
      <c r="F3353" t="str">
        <f>IFERROR(+VLOOKUP(Movimientos_2026[[#This Row],[Codigo]],Plan_cuentas[],3,FALSE)," ")</f>
        <v xml:space="preserve"> </v>
      </c>
      <c r="G3353" t="str">
        <f>IFERROR(+VLOOKUP(Movimientos_2026[[#This Row],[Codigo]],Plan_cuentas[],4,FALSE)," ")</f>
        <v xml:space="preserve"> </v>
      </c>
      <c r="H3353" t="str">
        <f>IFERROR(+VLOOKUP(Movimientos_2026[[#This Row],[Codigo]],Plan_cuentas[],5,FALSE)," ")</f>
        <v xml:space="preserve"> </v>
      </c>
      <c r="I3353" s="43"/>
      <c r="K3353" t="str">
        <f>IFERROR(+VLOOKUP(Movimientos_2026[[#This Row],[Codigo]],Plan_cuentas[],6,FALSE)," ")</f>
        <v xml:space="preserve"> </v>
      </c>
      <c r="L3353" s="50"/>
      <c r="M3353" s="50"/>
      <c r="N3353" s="20">
        <f>+Movimientos_2026[[#This Row],[Ingresos]]-Movimientos_2026[[#This Row],[Egresos]]</f>
        <v>0</v>
      </c>
      <c r="O3353" s="20">
        <f>+O3352+Movimientos_2026[[#This Row],[Neto]]</f>
        <v>4581558617.7962294</v>
      </c>
    </row>
    <row r="3354" spans="1:15" x14ac:dyDescent="0.25">
      <c r="A3354" s="13"/>
      <c r="B3354" s="12">
        <f>MONTH(Movimientos_2026[[#This Row],[Fecha]])</f>
        <v>1</v>
      </c>
      <c r="C3354" s="12" t="str">
        <f>VLOOKUP((WEEKDAY(Movimientos_2026[[#This Row],[Fecha]],2)),'5. Setup'!$D$6:$E$12,2,FALSE)</f>
        <v>Sab</v>
      </c>
      <c r="E3354" t="str">
        <f>IFERROR(+VLOOKUP(Movimientos_2026[[#This Row],[Codigo]],Plan_cuentas[],2,FALSE)," ")</f>
        <v xml:space="preserve"> </v>
      </c>
      <c r="F3354" t="str">
        <f>IFERROR(+VLOOKUP(Movimientos_2026[[#This Row],[Codigo]],Plan_cuentas[],3,FALSE)," ")</f>
        <v xml:space="preserve"> </v>
      </c>
      <c r="G3354" t="str">
        <f>IFERROR(+VLOOKUP(Movimientos_2026[[#This Row],[Codigo]],Plan_cuentas[],4,FALSE)," ")</f>
        <v xml:space="preserve"> </v>
      </c>
      <c r="H3354" t="str">
        <f>IFERROR(+VLOOKUP(Movimientos_2026[[#This Row],[Codigo]],Plan_cuentas[],5,FALSE)," ")</f>
        <v xml:space="preserve"> </v>
      </c>
      <c r="I3354" s="43"/>
      <c r="K3354" t="str">
        <f>IFERROR(+VLOOKUP(Movimientos_2026[[#This Row],[Codigo]],Plan_cuentas[],6,FALSE)," ")</f>
        <v xml:space="preserve"> </v>
      </c>
      <c r="L3354" s="50"/>
      <c r="M3354" s="50"/>
      <c r="N3354" s="20">
        <f>+Movimientos_2026[[#This Row],[Ingresos]]-Movimientos_2026[[#This Row],[Egresos]]</f>
        <v>0</v>
      </c>
      <c r="O3354" s="20">
        <f>+O3353+Movimientos_2026[[#This Row],[Neto]]</f>
        <v>4581558617.7962294</v>
      </c>
    </row>
    <row r="3355" spans="1:15" x14ac:dyDescent="0.25">
      <c r="A3355" s="13"/>
      <c r="B3355" s="12">
        <f>MONTH(Movimientos_2026[[#This Row],[Fecha]])</f>
        <v>1</v>
      </c>
      <c r="C3355" s="12" t="str">
        <f>VLOOKUP((WEEKDAY(Movimientos_2026[[#This Row],[Fecha]],2)),'5. Setup'!$D$6:$E$12,2,FALSE)</f>
        <v>Sab</v>
      </c>
      <c r="E3355" t="str">
        <f>IFERROR(+VLOOKUP(Movimientos_2026[[#This Row],[Codigo]],Plan_cuentas[],2,FALSE)," ")</f>
        <v xml:space="preserve"> </v>
      </c>
      <c r="F3355" t="str">
        <f>IFERROR(+VLOOKUP(Movimientos_2026[[#This Row],[Codigo]],Plan_cuentas[],3,FALSE)," ")</f>
        <v xml:space="preserve"> </v>
      </c>
      <c r="G3355" t="str">
        <f>IFERROR(+VLOOKUP(Movimientos_2026[[#This Row],[Codigo]],Plan_cuentas[],4,FALSE)," ")</f>
        <v xml:space="preserve"> </v>
      </c>
      <c r="H3355" t="str">
        <f>IFERROR(+VLOOKUP(Movimientos_2026[[#This Row],[Codigo]],Plan_cuentas[],5,FALSE)," ")</f>
        <v xml:space="preserve"> </v>
      </c>
      <c r="I3355" s="43"/>
      <c r="K3355" t="str">
        <f>IFERROR(+VLOOKUP(Movimientos_2026[[#This Row],[Codigo]],Plan_cuentas[],6,FALSE)," ")</f>
        <v xml:space="preserve"> </v>
      </c>
      <c r="L3355" s="50"/>
      <c r="M3355" s="50"/>
      <c r="N3355" s="20">
        <f>+Movimientos_2026[[#This Row],[Ingresos]]-Movimientos_2026[[#This Row],[Egresos]]</f>
        <v>0</v>
      </c>
      <c r="O3355" s="20">
        <f>+O3354+Movimientos_2026[[#This Row],[Neto]]</f>
        <v>4581558617.7962294</v>
      </c>
    </row>
    <row r="3356" spans="1:15" x14ac:dyDescent="0.25">
      <c r="A3356" s="13"/>
      <c r="B3356" s="12">
        <f>MONTH(Movimientos_2026[[#This Row],[Fecha]])</f>
        <v>1</v>
      </c>
      <c r="C3356" s="12" t="str">
        <f>VLOOKUP((WEEKDAY(Movimientos_2026[[#This Row],[Fecha]],2)),'5. Setup'!$D$6:$E$12,2,FALSE)</f>
        <v>Sab</v>
      </c>
      <c r="E3356" t="str">
        <f>IFERROR(+VLOOKUP(Movimientos_2026[[#This Row],[Codigo]],Plan_cuentas[],2,FALSE)," ")</f>
        <v xml:space="preserve"> </v>
      </c>
      <c r="F3356" t="str">
        <f>IFERROR(+VLOOKUP(Movimientos_2026[[#This Row],[Codigo]],Plan_cuentas[],3,FALSE)," ")</f>
        <v xml:space="preserve"> </v>
      </c>
      <c r="G3356" t="str">
        <f>IFERROR(+VLOOKUP(Movimientos_2026[[#This Row],[Codigo]],Plan_cuentas[],4,FALSE)," ")</f>
        <v xml:space="preserve"> </v>
      </c>
      <c r="H3356" t="str">
        <f>IFERROR(+VLOOKUP(Movimientos_2026[[#This Row],[Codigo]],Plan_cuentas[],5,FALSE)," ")</f>
        <v xml:space="preserve"> </v>
      </c>
      <c r="I3356" s="43"/>
      <c r="K3356" t="str">
        <f>IFERROR(+VLOOKUP(Movimientos_2026[[#This Row],[Codigo]],Plan_cuentas[],6,FALSE)," ")</f>
        <v xml:space="preserve"> </v>
      </c>
      <c r="L3356" s="50"/>
      <c r="M3356" s="50"/>
      <c r="N3356" s="20">
        <f>+Movimientos_2026[[#This Row],[Ingresos]]-Movimientos_2026[[#This Row],[Egresos]]</f>
        <v>0</v>
      </c>
      <c r="O3356" s="20">
        <f>+O3355+Movimientos_2026[[#This Row],[Neto]]</f>
        <v>4581558617.7962294</v>
      </c>
    </row>
    <row r="3357" spans="1:15" x14ac:dyDescent="0.25">
      <c r="A3357" s="13"/>
      <c r="B3357" s="12">
        <f>MONTH(Movimientos_2026[[#This Row],[Fecha]])</f>
        <v>1</v>
      </c>
      <c r="C3357" s="12" t="str">
        <f>VLOOKUP((WEEKDAY(Movimientos_2026[[#This Row],[Fecha]],2)),'5. Setup'!$D$6:$E$12,2,FALSE)</f>
        <v>Sab</v>
      </c>
      <c r="E3357" t="str">
        <f>IFERROR(+VLOOKUP(Movimientos_2026[[#This Row],[Codigo]],Plan_cuentas[],2,FALSE)," ")</f>
        <v xml:space="preserve"> </v>
      </c>
      <c r="F3357" t="str">
        <f>IFERROR(+VLOOKUP(Movimientos_2026[[#This Row],[Codigo]],Plan_cuentas[],3,FALSE)," ")</f>
        <v xml:space="preserve"> </v>
      </c>
      <c r="G3357" t="str">
        <f>IFERROR(+VLOOKUP(Movimientos_2026[[#This Row],[Codigo]],Plan_cuentas[],4,FALSE)," ")</f>
        <v xml:space="preserve"> </v>
      </c>
      <c r="H3357" t="str">
        <f>IFERROR(+VLOOKUP(Movimientos_2026[[#This Row],[Codigo]],Plan_cuentas[],5,FALSE)," ")</f>
        <v xml:space="preserve"> </v>
      </c>
      <c r="I3357" s="43"/>
      <c r="K3357" t="str">
        <f>IFERROR(+VLOOKUP(Movimientos_2026[[#This Row],[Codigo]],Plan_cuentas[],6,FALSE)," ")</f>
        <v xml:space="preserve"> </v>
      </c>
      <c r="L3357" s="50"/>
      <c r="M3357" s="50"/>
      <c r="N3357" s="20">
        <f>+Movimientos_2026[[#This Row],[Ingresos]]-Movimientos_2026[[#This Row],[Egresos]]</f>
        <v>0</v>
      </c>
      <c r="O3357" s="20">
        <f>+O3356+Movimientos_2026[[#This Row],[Neto]]</f>
        <v>4581558617.7962294</v>
      </c>
    </row>
    <row r="3358" spans="1:15" x14ac:dyDescent="0.25">
      <c r="A3358" s="13"/>
      <c r="B3358" s="12">
        <f>MONTH(Movimientos_2026[[#This Row],[Fecha]])</f>
        <v>1</v>
      </c>
      <c r="C3358" s="12" t="str">
        <f>VLOOKUP((WEEKDAY(Movimientos_2026[[#This Row],[Fecha]],2)),'5. Setup'!$D$6:$E$12,2,FALSE)</f>
        <v>Sab</v>
      </c>
      <c r="E3358" t="str">
        <f>IFERROR(+VLOOKUP(Movimientos_2026[[#This Row],[Codigo]],Plan_cuentas[],2,FALSE)," ")</f>
        <v xml:space="preserve"> </v>
      </c>
      <c r="F3358" t="str">
        <f>IFERROR(+VLOOKUP(Movimientos_2026[[#This Row],[Codigo]],Plan_cuentas[],3,FALSE)," ")</f>
        <v xml:space="preserve"> </v>
      </c>
      <c r="G3358" t="str">
        <f>IFERROR(+VLOOKUP(Movimientos_2026[[#This Row],[Codigo]],Plan_cuentas[],4,FALSE)," ")</f>
        <v xml:space="preserve"> </v>
      </c>
      <c r="H3358" t="str">
        <f>IFERROR(+VLOOKUP(Movimientos_2026[[#This Row],[Codigo]],Plan_cuentas[],5,FALSE)," ")</f>
        <v xml:space="preserve"> </v>
      </c>
      <c r="I3358" s="43"/>
      <c r="K3358" t="str">
        <f>IFERROR(+VLOOKUP(Movimientos_2026[[#This Row],[Codigo]],Plan_cuentas[],6,FALSE)," ")</f>
        <v xml:space="preserve"> </v>
      </c>
      <c r="L3358" s="50"/>
      <c r="M3358" s="50"/>
      <c r="N3358" s="20">
        <f>+Movimientos_2026[[#This Row],[Ingresos]]-Movimientos_2026[[#This Row],[Egresos]]</f>
        <v>0</v>
      </c>
      <c r="O3358" s="20">
        <f>+O3357+Movimientos_2026[[#This Row],[Neto]]</f>
        <v>4581558617.7962294</v>
      </c>
    </row>
    <row r="3359" spans="1:15" x14ac:dyDescent="0.25">
      <c r="A3359" s="13"/>
      <c r="B3359" s="12">
        <f>MONTH(Movimientos_2026[[#This Row],[Fecha]])</f>
        <v>1</v>
      </c>
      <c r="C3359" s="12" t="str">
        <f>VLOOKUP((WEEKDAY(Movimientos_2026[[#This Row],[Fecha]],2)),'5. Setup'!$D$6:$E$12,2,FALSE)</f>
        <v>Sab</v>
      </c>
      <c r="E3359" t="str">
        <f>IFERROR(+VLOOKUP(Movimientos_2026[[#This Row],[Codigo]],Plan_cuentas[],2,FALSE)," ")</f>
        <v xml:space="preserve"> </v>
      </c>
      <c r="F3359" t="str">
        <f>IFERROR(+VLOOKUP(Movimientos_2026[[#This Row],[Codigo]],Plan_cuentas[],3,FALSE)," ")</f>
        <v xml:space="preserve"> </v>
      </c>
      <c r="G3359" t="str">
        <f>IFERROR(+VLOOKUP(Movimientos_2026[[#This Row],[Codigo]],Plan_cuentas[],4,FALSE)," ")</f>
        <v xml:space="preserve"> </v>
      </c>
      <c r="H3359" t="str">
        <f>IFERROR(+VLOOKUP(Movimientos_2026[[#This Row],[Codigo]],Plan_cuentas[],5,FALSE)," ")</f>
        <v xml:space="preserve"> </v>
      </c>
      <c r="I3359" s="43"/>
      <c r="K3359" t="str">
        <f>IFERROR(+VLOOKUP(Movimientos_2026[[#This Row],[Codigo]],Plan_cuentas[],6,FALSE)," ")</f>
        <v xml:space="preserve"> </v>
      </c>
      <c r="L3359" s="50"/>
      <c r="M3359" s="50"/>
      <c r="N3359" s="20">
        <f>+Movimientos_2026[[#This Row],[Ingresos]]-Movimientos_2026[[#This Row],[Egresos]]</f>
        <v>0</v>
      </c>
      <c r="O3359" s="20">
        <f>+O3358+Movimientos_2026[[#This Row],[Neto]]</f>
        <v>4581558617.7962294</v>
      </c>
    </row>
    <row r="3360" spans="1:15" x14ac:dyDescent="0.25">
      <c r="A3360" s="13"/>
      <c r="B3360" s="12">
        <f>MONTH(Movimientos_2026[[#This Row],[Fecha]])</f>
        <v>1</v>
      </c>
      <c r="C3360" s="12" t="str">
        <f>VLOOKUP((WEEKDAY(Movimientos_2026[[#This Row],[Fecha]],2)),'5. Setup'!$D$6:$E$12,2,FALSE)</f>
        <v>Sab</v>
      </c>
      <c r="E3360" t="str">
        <f>IFERROR(+VLOOKUP(Movimientos_2026[[#This Row],[Codigo]],Plan_cuentas[],2,FALSE)," ")</f>
        <v xml:space="preserve"> </v>
      </c>
      <c r="F3360" t="str">
        <f>IFERROR(+VLOOKUP(Movimientos_2026[[#This Row],[Codigo]],Plan_cuentas[],3,FALSE)," ")</f>
        <v xml:space="preserve"> </v>
      </c>
      <c r="G3360" t="str">
        <f>IFERROR(+VLOOKUP(Movimientos_2026[[#This Row],[Codigo]],Plan_cuentas[],4,FALSE)," ")</f>
        <v xml:space="preserve"> </v>
      </c>
      <c r="H3360" t="str">
        <f>IFERROR(+VLOOKUP(Movimientos_2026[[#This Row],[Codigo]],Plan_cuentas[],5,FALSE)," ")</f>
        <v xml:space="preserve"> </v>
      </c>
      <c r="I3360" s="43"/>
      <c r="K3360" t="str">
        <f>IFERROR(+VLOOKUP(Movimientos_2026[[#This Row],[Codigo]],Plan_cuentas[],6,FALSE)," ")</f>
        <v xml:space="preserve"> </v>
      </c>
      <c r="L3360" s="50"/>
      <c r="M3360" s="50"/>
      <c r="N3360" s="20">
        <f>+Movimientos_2026[[#This Row],[Ingresos]]-Movimientos_2026[[#This Row],[Egresos]]</f>
        <v>0</v>
      </c>
      <c r="O3360" s="20">
        <f>+O3359+Movimientos_2026[[#This Row],[Neto]]</f>
        <v>4581558617.7962294</v>
      </c>
    </row>
    <row r="3361" spans="1:15" x14ac:dyDescent="0.25">
      <c r="A3361" s="13"/>
      <c r="B3361" s="12">
        <f>MONTH(Movimientos_2026[[#This Row],[Fecha]])</f>
        <v>1</v>
      </c>
      <c r="C3361" s="12" t="str">
        <f>VLOOKUP((WEEKDAY(Movimientos_2026[[#This Row],[Fecha]],2)),'5. Setup'!$D$6:$E$12,2,FALSE)</f>
        <v>Sab</v>
      </c>
      <c r="E3361" t="str">
        <f>IFERROR(+VLOOKUP(Movimientos_2026[[#This Row],[Codigo]],Plan_cuentas[],2,FALSE)," ")</f>
        <v xml:space="preserve"> </v>
      </c>
      <c r="F3361" t="str">
        <f>IFERROR(+VLOOKUP(Movimientos_2026[[#This Row],[Codigo]],Plan_cuentas[],3,FALSE)," ")</f>
        <v xml:space="preserve"> </v>
      </c>
      <c r="G3361" t="str">
        <f>IFERROR(+VLOOKUP(Movimientos_2026[[#This Row],[Codigo]],Plan_cuentas[],4,FALSE)," ")</f>
        <v xml:space="preserve"> </v>
      </c>
      <c r="H3361" t="str">
        <f>IFERROR(+VLOOKUP(Movimientos_2026[[#This Row],[Codigo]],Plan_cuentas[],5,FALSE)," ")</f>
        <v xml:space="preserve"> </v>
      </c>
      <c r="I3361" s="43"/>
      <c r="K3361" t="str">
        <f>IFERROR(+VLOOKUP(Movimientos_2026[[#This Row],[Codigo]],Plan_cuentas[],6,FALSE)," ")</f>
        <v xml:space="preserve"> </v>
      </c>
      <c r="L3361" s="50"/>
      <c r="M3361" s="50"/>
      <c r="N3361" s="20">
        <f>+Movimientos_2026[[#This Row],[Ingresos]]-Movimientos_2026[[#This Row],[Egresos]]</f>
        <v>0</v>
      </c>
      <c r="O3361" s="20">
        <f>+O3360+Movimientos_2026[[#This Row],[Neto]]</f>
        <v>4581558617.7962294</v>
      </c>
    </row>
    <row r="3362" spans="1:15" x14ac:dyDescent="0.25">
      <c r="A3362" s="13"/>
      <c r="B3362" s="12">
        <f>MONTH(Movimientos_2026[[#This Row],[Fecha]])</f>
        <v>1</v>
      </c>
      <c r="C3362" s="12" t="str">
        <f>VLOOKUP((WEEKDAY(Movimientos_2026[[#This Row],[Fecha]],2)),'5. Setup'!$D$6:$E$12,2,FALSE)</f>
        <v>Sab</v>
      </c>
      <c r="E3362" t="str">
        <f>IFERROR(+VLOOKUP(Movimientos_2026[[#This Row],[Codigo]],Plan_cuentas[],2,FALSE)," ")</f>
        <v xml:space="preserve"> </v>
      </c>
      <c r="F3362" t="str">
        <f>IFERROR(+VLOOKUP(Movimientos_2026[[#This Row],[Codigo]],Plan_cuentas[],3,FALSE)," ")</f>
        <v xml:space="preserve"> </v>
      </c>
      <c r="G3362" t="str">
        <f>IFERROR(+VLOOKUP(Movimientos_2026[[#This Row],[Codigo]],Plan_cuentas[],4,FALSE)," ")</f>
        <v xml:space="preserve"> </v>
      </c>
      <c r="H3362" t="str">
        <f>IFERROR(+VLOOKUP(Movimientos_2026[[#This Row],[Codigo]],Plan_cuentas[],5,FALSE)," ")</f>
        <v xml:space="preserve"> </v>
      </c>
      <c r="I3362" s="43"/>
      <c r="K3362" t="str">
        <f>IFERROR(+VLOOKUP(Movimientos_2026[[#This Row],[Codigo]],Plan_cuentas[],6,FALSE)," ")</f>
        <v xml:space="preserve"> </v>
      </c>
      <c r="L3362" s="50"/>
      <c r="M3362" s="50"/>
      <c r="N3362" s="20">
        <f>+Movimientos_2026[[#This Row],[Ingresos]]-Movimientos_2026[[#This Row],[Egresos]]</f>
        <v>0</v>
      </c>
      <c r="O3362" s="20">
        <f>+O3361+Movimientos_2026[[#This Row],[Neto]]</f>
        <v>4581558617.7962294</v>
      </c>
    </row>
    <row r="3363" spans="1:15" x14ac:dyDescent="0.25">
      <c r="A3363" s="13"/>
      <c r="B3363" s="12">
        <f>MONTH(Movimientos_2026[[#This Row],[Fecha]])</f>
        <v>1</v>
      </c>
      <c r="C3363" s="12" t="str">
        <f>VLOOKUP((WEEKDAY(Movimientos_2026[[#This Row],[Fecha]],2)),'5. Setup'!$D$6:$E$12,2,FALSE)</f>
        <v>Sab</v>
      </c>
      <c r="E3363" t="str">
        <f>IFERROR(+VLOOKUP(Movimientos_2026[[#This Row],[Codigo]],Plan_cuentas[],2,FALSE)," ")</f>
        <v xml:space="preserve"> </v>
      </c>
      <c r="F3363" t="str">
        <f>IFERROR(+VLOOKUP(Movimientos_2026[[#This Row],[Codigo]],Plan_cuentas[],3,FALSE)," ")</f>
        <v xml:space="preserve"> </v>
      </c>
      <c r="G3363" t="str">
        <f>IFERROR(+VLOOKUP(Movimientos_2026[[#This Row],[Codigo]],Plan_cuentas[],4,FALSE)," ")</f>
        <v xml:space="preserve"> </v>
      </c>
      <c r="H3363" t="str">
        <f>IFERROR(+VLOOKUP(Movimientos_2026[[#This Row],[Codigo]],Plan_cuentas[],5,FALSE)," ")</f>
        <v xml:space="preserve"> </v>
      </c>
      <c r="I3363" s="43"/>
      <c r="K3363" t="str">
        <f>IFERROR(+VLOOKUP(Movimientos_2026[[#This Row],[Codigo]],Plan_cuentas[],6,FALSE)," ")</f>
        <v xml:space="preserve"> </v>
      </c>
      <c r="L3363" s="50"/>
      <c r="M3363" s="50"/>
      <c r="N3363" s="20">
        <f>+Movimientos_2026[[#This Row],[Ingresos]]-Movimientos_2026[[#This Row],[Egresos]]</f>
        <v>0</v>
      </c>
      <c r="O3363" s="20">
        <f>+O3362+Movimientos_2026[[#This Row],[Neto]]</f>
        <v>4581558617.7962294</v>
      </c>
    </row>
    <row r="3364" spans="1:15" x14ac:dyDescent="0.25">
      <c r="A3364" s="13"/>
      <c r="B3364" s="12">
        <f>MONTH(Movimientos_2026[[#This Row],[Fecha]])</f>
        <v>1</v>
      </c>
      <c r="C3364" s="12" t="str">
        <f>VLOOKUP((WEEKDAY(Movimientos_2026[[#This Row],[Fecha]],2)),'5. Setup'!$D$6:$E$12,2,FALSE)</f>
        <v>Sab</v>
      </c>
      <c r="E3364" t="str">
        <f>IFERROR(+VLOOKUP(Movimientos_2026[[#This Row],[Codigo]],Plan_cuentas[],2,FALSE)," ")</f>
        <v xml:space="preserve"> </v>
      </c>
      <c r="F3364" t="str">
        <f>IFERROR(+VLOOKUP(Movimientos_2026[[#This Row],[Codigo]],Plan_cuentas[],3,FALSE)," ")</f>
        <v xml:space="preserve"> </v>
      </c>
      <c r="G3364" t="str">
        <f>IFERROR(+VLOOKUP(Movimientos_2026[[#This Row],[Codigo]],Plan_cuentas[],4,FALSE)," ")</f>
        <v xml:space="preserve"> </v>
      </c>
      <c r="H3364" t="str">
        <f>IFERROR(+VLOOKUP(Movimientos_2026[[#This Row],[Codigo]],Plan_cuentas[],5,FALSE)," ")</f>
        <v xml:space="preserve"> </v>
      </c>
      <c r="I3364" s="43"/>
      <c r="K3364" t="str">
        <f>IFERROR(+VLOOKUP(Movimientos_2026[[#This Row],[Codigo]],Plan_cuentas[],6,FALSE)," ")</f>
        <v xml:space="preserve"> </v>
      </c>
      <c r="L3364" s="50"/>
      <c r="M3364" s="50"/>
      <c r="N3364" s="20">
        <f>+Movimientos_2026[[#This Row],[Ingresos]]-Movimientos_2026[[#This Row],[Egresos]]</f>
        <v>0</v>
      </c>
      <c r="O3364" s="20">
        <f>+O3363+Movimientos_2026[[#This Row],[Neto]]</f>
        <v>4581558617.7962294</v>
      </c>
    </row>
    <row r="3365" spans="1:15" x14ac:dyDescent="0.25">
      <c r="A3365" s="13"/>
      <c r="B3365" s="12">
        <f>MONTH(Movimientos_2026[[#This Row],[Fecha]])</f>
        <v>1</v>
      </c>
      <c r="C3365" s="12" t="str">
        <f>VLOOKUP((WEEKDAY(Movimientos_2026[[#This Row],[Fecha]],2)),'5. Setup'!$D$6:$E$12,2,FALSE)</f>
        <v>Sab</v>
      </c>
      <c r="E3365" t="str">
        <f>IFERROR(+VLOOKUP(Movimientos_2026[[#This Row],[Codigo]],Plan_cuentas[],2,FALSE)," ")</f>
        <v xml:space="preserve"> </v>
      </c>
      <c r="F3365" t="str">
        <f>IFERROR(+VLOOKUP(Movimientos_2026[[#This Row],[Codigo]],Plan_cuentas[],3,FALSE)," ")</f>
        <v xml:space="preserve"> </v>
      </c>
      <c r="G3365" t="str">
        <f>IFERROR(+VLOOKUP(Movimientos_2026[[#This Row],[Codigo]],Plan_cuentas[],4,FALSE)," ")</f>
        <v xml:space="preserve"> </v>
      </c>
      <c r="H3365" t="str">
        <f>IFERROR(+VLOOKUP(Movimientos_2026[[#This Row],[Codigo]],Plan_cuentas[],5,FALSE)," ")</f>
        <v xml:space="preserve"> </v>
      </c>
      <c r="I3365" s="43"/>
      <c r="K3365" t="str">
        <f>IFERROR(+VLOOKUP(Movimientos_2026[[#This Row],[Codigo]],Plan_cuentas[],6,FALSE)," ")</f>
        <v xml:space="preserve"> </v>
      </c>
      <c r="L3365" s="50"/>
      <c r="M3365" s="50"/>
      <c r="N3365" s="20">
        <f>+Movimientos_2026[[#This Row],[Ingresos]]-Movimientos_2026[[#This Row],[Egresos]]</f>
        <v>0</v>
      </c>
      <c r="O3365" s="20">
        <f>+O3364+Movimientos_2026[[#This Row],[Neto]]</f>
        <v>4581558617.7962294</v>
      </c>
    </row>
    <row r="3366" spans="1:15" x14ac:dyDescent="0.25">
      <c r="A3366" s="13"/>
      <c r="B3366" s="12">
        <f>MONTH(Movimientos_2026[[#This Row],[Fecha]])</f>
        <v>1</v>
      </c>
      <c r="C3366" s="12" t="str">
        <f>VLOOKUP((WEEKDAY(Movimientos_2026[[#This Row],[Fecha]],2)),'5. Setup'!$D$6:$E$12,2,FALSE)</f>
        <v>Sab</v>
      </c>
      <c r="E3366" t="str">
        <f>IFERROR(+VLOOKUP(Movimientos_2026[[#This Row],[Codigo]],Plan_cuentas[],2,FALSE)," ")</f>
        <v xml:space="preserve"> </v>
      </c>
      <c r="F3366" t="str">
        <f>IFERROR(+VLOOKUP(Movimientos_2026[[#This Row],[Codigo]],Plan_cuentas[],3,FALSE)," ")</f>
        <v xml:space="preserve"> </v>
      </c>
      <c r="G3366" t="str">
        <f>IFERROR(+VLOOKUP(Movimientos_2026[[#This Row],[Codigo]],Plan_cuentas[],4,FALSE)," ")</f>
        <v xml:space="preserve"> </v>
      </c>
      <c r="H3366" t="str">
        <f>IFERROR(+VLOOKUP(Movimientos_2026[[#This Row],[Codigo]],Plan_cuentas[],5,FALSE)," ")</f>
        <v xml:space="preserve"> </v>
      </c>
      <c r="I3366" s="43"/>
      <c r="K3366" t="str">
        <f>IFERROR(+VLOOKUP(Movimientos_2026[[#This Row],[Codigo]],Plan_cuentas[],6,FALSE)," ")</f>
        <v xml:space="preserve"> </v>
      </c>
      <c r="L3366" s="50"/>
      <c r="M3366" s="50"/>
      <c r="N3366" s="20">
        <f>+Movimientos_2026[[#This Row],[Ingresos]]-Movimientos_2026[[#This Row],[Egresos]]</f>
        <v>0</v>
      </c>
      <c r="O3366" s="20">
        <f>+O3365+Movimientos_2026[[#This Row],[Neto]]</f>
        <v>4581558617.7962294</v>
      </c>
    </row>
    <row r="3367" spans="1:15" x14ac:dyDescent="0.25">
      <c r="A3367" s="13"/>
      <c r="B3367" s="12">
        <f>MONTH(Movimientos_2026[[#This Row],[Fecha]])</f>
        <v>1</v>
      </c>
      <c r="C3367" s="12" t="str">
        <f>VLOOKUP((WEEKDAY(Movimientos_2026[[#This Row],[Fecha]],2)),'5. Setup'!$D$6:$E$12,2,FALSE)</f>
        <v>Sab</v>
      </c>
      <c r="E3367" t="str">
        <f>IFERROR(+VLOOKUP(Movimientos_2026[[#This Row],[Codigo]],Plan_cuentas[],2,FALSE)," ")</f>
        <v xml:space="preserve"> </v>
      </c>
      <c r="F3367" t="str">
        <f>IFERROR(+VLOOKUP(Movimientos_2026[[#This Row],[Codigo]],Plan_cuentas[],3,FALSE)," ")</f>
        <v xml:space="preserve"> </v>
      </c>
      <c r="G3367" t="str">
        <f>IFERROR(+VLOOKUP(Movimientos_2026[[#This Row],[Codigo]],Plan_cuentas[],4,FALSE)," ")</f>
        <v xml:space="preserve"> </v>
      </c>
      <c r="H3367" t="str">
        <f>IFERROR(+VLOOKUP(Movimientos_2026[[#This Row],[Codigo]],Plan_cuentas[],5,FALSE)," ")</f>
        <v xml:space="preserve"> </v>
      </c>
      <c r="I3367" s="43"/>
      <c r="K3367" t="str">
        <f>IFERROR(+VLOOKUP(Movimientos_2026[[#This Row],[Codigo]],Plan_cuentas[],6,FALSE)," ")</f>
        <v xml:space="preserve"> </v>
      </c>
      <c r="L3367" s="50"/>
      <c r="M3367" s="50"/>
      <c r="N3367" s="20">
        <f>+Movimientos_2026[[#This Row],[Ingresos]]-Movimientos_2026[[#This Row],[Egresos]]</f>
        <v>0</v>
      </c>
      <c r="O3367" s="20">
        <f>+O3366+Movimientos_2026[[#This Row],[Neto]]</f>
        <v>4581558617.7962294</v>
      </c>
    </row>
    <row r="3368" spans="1:15" x14ac:dyDescent="0.25">
      <c r="A3368" s="13"/>
      <c r="B3368" s="12">
        <f>MONTH(Movimientos_2026[[#This Row],[Fecha]])</f>
        <v>1</v>
      </c>
      <c r="C3368" s="12" t="str">
        <f>VLOOKUP((WEEKDAY(Movimientos_2026[[#This Row],[Fecha]],2)),'5. Setup'!$D$6:$E$12,2,FALSE)</f>
        <v>Sab</v>
      </c>
      <c r="E3368" t="str">
        <f>IFERROR(+VLOOKUP(Movimientos_2026[[#This Row],[Codigo]],Plan_cuentas[],2,FALSE)," ")</f>
        <v xml:space="preserve"> </v>
      </c>
      <c r="F3368" t="str">
        <f>IFERROR(+VLOOKUP(Movimientos_2026[[#This Row],[Codigo]],Plan_cuentas[],3,FALSE)," ")</f>
        <v xml:space="preserve"> </v>
      </c>
      <c r="G3368" t="str">
        <f>IFERROR(+VLOOKUP(Movimientos_2026[[#This Row],[Codigo]],Plan_cuentas[],4,FALSE)," ")</f>
        <v xml:space="preserve"> </v>
      </c>
      <c r="H3368" t="str">
        <f>IFERROR(+VLOOKUP(Movimientos_2026[[#This Row],[Codigo]],Plan_cuentas[],5,FALSE)," ")</f>
        <v xml:space="preserve"> </v>
      </c>
      <c r="I3368" s="43"/>
      <c r="K3368" t="str">
        <f>IFERROR(+VLOOKUP(Movimientos_2026[[#This Row],[Codigo]],Plan_cuentas[],6,FALSE)," ")</f>
        <v xml:space="preserve"> </v>
      </c>
      <c r="L3368" s="50"/>
      <c r="M3368" s="50"/>
      <c r="N3368" s="20">
        <f>+Movimientos_2026[[#This Row],[Ingresos]]-Movimientos_2026[[#This Row],[Egresos]]</f>
        <v>0</v>
      </c>
      <c r="O3368" s="20">
        <f>+O3367+Movimientos_2026[[#This Row],[Neto]]</f>
        <v>4581558617.7962294</v>
      </c>
    </row>
    <row r="3369" spans="1:15" x14ac:dyDescent="0.25">
      <c r="A3369" s="13"/>
      <c r="B3369" s="12">
        <f>MONTH(Movimientos_2026[[#This Row],[Fecha]])</f>
        <v>1</v>
      </c>
      <c r="C3369" s="12" t="str">
        <f>VLOOKUP((WEEKDAY(Movimientos_2026[[#This Row],[Fecha]],2)),'5. Setup'!$D$6:$E$12,2,FALSE)</f>
        <v>Sab</v>
      </c>
      <c r="E3369" t="str">
        <f>IFERROR(+VLOOKUP(Movimientos_2026[[#This Row],[Codigo]],Plan_cuentas[],2,FALSE)," ")</f>
        <v xml:space="preserve"> </v>
      </c>
      <c r="F3369" t="str">
        <f>IFERROR(+VLOOKUP(Movimientos_2026[[#This Row],[Codigo]],Plan_cuentas[],3,FALSE)," ")</f>
        <v xml:space="preserve"> </v>
      </c>
      <c r="G3369" t="str">
        <f>IFERROR(+VLOOKUP(Movimientos_2026[[#This Row],[Codigo]],Plan_cuentas[],4,FALSE)," ")</f>
        <v xml:space="preserve"> </v>
      </c>
      <c r="H3369" t="str">
        <f>IFERROR(+VLOOKUP(Movimientos_2026[[#This Row],[Codigo]],Plan_cuentas[],5,FALSE)," ")</f>
        <v xml:space="preserve"> </v>
      </c>
      <c r="I3369" s="43"/>
      <c r="K3369" t="str">
        <f>IFERROR(+VLOOKUP(Movimientos_2026[[#This Row],[Codigo]],Plan_cuentas[],6,FALSE)," ")</f>
        <v xml:space="preserve"> </v>
      </c>
      <c r="L3369" s="50"/>
      <c r="M3369" s="50"/>
      <c r="N3369" s="20">
        <f>+Movimientos_2026[[#This Row],[Ingresos]]-Movimientos_2026[[#This Row],[Egresos]]</f>
        <v>0</v>
      </c>
      <c r="O3369" s="20">
        <f>+O3368+Movimientos_2026[[#This Row],[Neto]]</f>
        <v>4581558617.7962294</v>
      </c>
    </row>
    <row r="3370" spans="1:15" x14ac:dyDescent="0.25">
      <c r="A3370" s="13"/>
      <c r="B3370" s="12">
        <f>MONTH(Movimientos_2026[[#This Row],[Fecha]])</f>
        <v>1</v>
      </c>
      <c r="C3370" s="12" t="str">
        <f>VLOOKUP((WEEKDAY(Movimientos_2026[[#This Row],[Fecha]],2)),'5. Setup'!$D$6:$E$12,2,FALSE)</f>
        <v>Sab</v>
      </c>
      <c r="E3370" t="str">
        <f>IFERROR(+VLOOKUP(Movimientos_2026[[#This Row],[Codigo]],Plan_cuentas[],2,FALSE)," ")</f>
        <v xml:space="preserve"> </v>
      </c>
      <c r="F3370" t="str">
        <f>IFERROR(+VLOOKUP(Movimientos_2026[[#This Row],[Codigo]],Plan_cuentas[],3,FALSE)," ")</f>
        <v xml:space="preserve"> </v>
      </c>
      <c r="G3370" t="str">
        <f>IFERROR(+VLOOKUP(Movimientos_2026[[#This Row],[Codigo]],Plan_cuentas[],4,FALSE)," ")</f>
        <v xml:space="preserve"> </v>
      </c>
      <c r="H3370" t="str">
        <f>IFERROR(+VLOOKUP(Movimientos_2026[[#This Row],[Codigo]],Plan_cuentas[],5,FALSE)," ")</f>
        <v xml:space="preserve"> </v>
      </c>
      <c r="I3370" s="43"/>
      <c r="K3370" t="str">
        <f>IFERROR(+VLOOKUP(Movimientos_2026[[#This Row],[Codigo]],Plan_cuentas[],6,FALSE)," ")</f>
        <v xml:space="preserve"> </v>
      </c>
      <c r="L3370" s="50"/>
      <c r="M3370" s="50"/>
      <c r="N3370" s="20">
        <f>+Movimientos_2026[[#This Row],[Ingresos]]-Movimientos_2026[[#This Row],[Egresos]]</f>
        <v>0</v>
      </c>
      <c r="O3370" s="20">
        <f>+O3369+Movimientos_2026[[#This Row],[Neto]]</f>
        <v>4581558617.7962294</v>
      </c>
    </row>
    <row r="3371" spans="1:15" x14ac:dyDescent="0.25">
      <c r="A3371" s="13"/>
      <c r="B3371" s="12">
        <f>MONTH(Movimientos_2026[[#This Row],[Fecha]])</f>
        <v>1</v>
      </c>
      <c r="C3371" s="12" t="str">
        <f>VLOOKUP((WEEKDAY(Movimientos_2026[[#This Row],[Fecha]],2)),'5. Setup'!$D$6:$E$12,2,FALSE)</f>
        <v>Sab</v>
      </c>
      <c r="E3371" t="str">
        <f>IFERROR(+VLOOKUP(Movimientos_2026[[#This Row],[Codigo]],Plan_cuentas[],2,FALSE)," ")</f>
        <v xml:space="preserve"> </v>
      </c>
      <c r="F3371" t="str">
        <f>IFERROR(+VLOOKUP(Movimientos_2026[[#This Row],[Codigo]],Plan_cuentas[],3,FALSE)," ")</f>
        <v xml:space="preserve"> </v>
      </c>
      <c r="G3371" t="str">
        <f>IFERROR(+VLOOKUP(Movimientos_2026[[#This Row],[Codigo]],Plan_cuentas[],4,FALSE)," ")</f>
        <v xml:space="preserve"> </v>
      </c>
      <c r="H3371" t="str">
        <f>IFERROR(+VLOOKUP(Movimientos_2026[[#This Row],[Codigo]],Plan_cuentas[],5,FALSE)," ")</f>
        <v xml:space="preserve"> </v>
      </c>
      <c r="I3371" s="43"/>
      <c r="K3371" t="str">
        <f>IFERROR(+VLOOKUP(Movimientos_2026[[#This Row],[Codigo]],Plan_cuentas[],6,FALSE)," ")</f>
        <v xml:space="preserve"> </v>
      </c>
      <c r="L3371" s="50"/>
      <c r="M3371" s="50"/>
      <c r="N3371" s="20">
        <f>+Movimientos_2026[[#This Row],[Ingresos]]-Movimientos_2026[[#This Row],[Egresos]]</f>
        <v>0</v>
      </c>
      <c r="O3371" s="20">
        <f>+O3370+Movimientos_2026[[#This Row],[Neto]]</f>
        <v>4581558617.7962294</v>
      </c>
    </row>
    <row r="3372" spans="1:15" x14ac:dyDescent="0.25">
      <c r="A3372" s="13"/>
      <c r="B3372" s="12">
        <f>MONTH(Movimientos_2026[[#This Row],[Fecha]])</f>
        <v>1</v>
      </c>
      <c r="C3372" s="12" t="str">
        <f>VLOOKUP((WEEKDAY(Movimientos_2026[[#This Row],[Fecha]],2)),'5. Setup'!$D$6:$E$12,2,FALSE)</f>
        <v>Sab</v>
      </c>
      <c r="E3372" t="str">
        <f>IFERROR(+VLOOKUP(Movimientos_2026[[#This Row],[Codigo]],Plan_cuentas[],2,FALSE)," ")</f>
        <v xml:space="preserve"> </v>
      </c>
      <c r="F3372" t="str">
        <f>IFERROR(+VLOOKUP(Movimientos_2026[[#This Row],[Codigo]],Plan_cuentas[],3,FALSE)," ")</f>
        <v xml:space="preserve"> </v>
      </c>
      <c r="G3372" t="str">
        <f>IFERROR(+VLOOKUP(Movimientos_2026[[#This Row],[Codigo]],Plan_cuentas[],4,FALSE)," ")</f>
        <v xml:space="preserve"> </v>
      </c>
      <c r="H3372" t="str">
        <f>IFERROR(+VLOOKUP(Movimientos_2026[[#This Row],[Codigo]],Plan_cuentas[],5,FALSE)," ")</f>
        <v xml:space="preserve"> </v>
      </c>
      <c r="I3372" s="43"/>
      <c r="K3372" t="str">
        <f>IFERROR(+VLOOKUP(Movimientos_2026[[#This Row],[Codigo]],Plan_cuentas[],6,FALSE)," ")</f>
        <v xml:space="preserve"> </v>
      </c>
      <c r="L3372" s="50"/>
      <c r="M3372" s="50"/>
      <c r="N3372" s="20">
        <f>+Movimientos_2026[[#This Row],[Ingresos]]-Movimientos_2026[[#This Row],[Egresos]]</f>
        <v>0</v>
      </c>
      <c r="O3372" s="20">
        <f>+O3371+Movimientos_2026[[#This Row],[Neto]]</f>
        <v>4581558617.7962294</v>
      </c>
    </row>
    <row r="3373" spans="1:15" x14ac:dyDescent="0.25">
      <c r="A3373" s="13"/>
      <c r="B3373" s="12">
        <f>MONTH(Movimientos_2026[[#This Row],[Fecha]])</f>
        <v>1</v>
      </c>
      <c r="C3373" s="12" t="str">
        <f>VLOOKUP((WEEKDAY(Movimientos_2026[[#This Row],[Fecha]],2)),'5. Setup'!$D$6:$E$12,2,FALSE)</f>
        <v>Sab</v>
      </c>
      <c r="E3373" t="str">
        <f>IFERROR(+VLOOKUP(Movimientos_2026[[#This Row],[Codigo]],Plan_cuentas[],2,FALSE)," ")</f>
        <v xml:space="preserve"> </v>
      </c>
      <c r="F3373" t="str">
        <f>IFERROR(+VLOOKUP(Movimientos_2026[[#This Row],[Codigo]],Plan_cuentas[],3,FALSE)," ")</f>
        <v xml:space="preserve"> </v>
      </c>
      <c r="G3373" t="str">
        <f>IFERROR(+VLOOKUP(Movimientos_2026[[#This Row],[Codigo]],Plan_cuentas[],4,FALSE)," ")</f>
        <v xml:space="preserve"> </v>
      </c>
      <c r="H3373" t="str">
        <f>IFERROR(+VLOOKUP(Movimientos_2026[[#This Row],[Codigo]],Plan_cuentas[],5,FALSE)," ")</f>
        <v xml:space="preserve"> </v>
      </c>
      <c r="I3373" s="43"/>
      <c r="K3373" t="str">
        <f>IFERROR(+VLOOKUP(Movimientos_2026[[#This Row],[Codigo]],Plan_cuentas[],6,FALSE)," ")</f>
        <v xml:space="preserve"> </v>
      </c>
      <c r="L3373" s="50"/>
      <c r="M3373" s="50"/>
      <c r="N3373" s="20">
        <f>+Movimientos_2026[[#This Row],[Ingresos]]-Movimientos_2026[[#This Row],[Egresos]]</f>
        <v>0</v>
      </c>
      <c r="O3373" s="20">
        <f>+O3372+Movimientos_2026[[#This Row],[Neto]]</f>
        <v>4581558617.7962294</v>
      </c>
    </row>
    <row r="3374" spans="1:15" x14ac:dyDescent="0.25">
      <c r="A3374" s="13"/>
      <c r="B3374" s="12">
        <f>MONTH(Movimientos_2026[[#This Row],[Fecha]])</f>
        <v>1</v>
      </c>
      <c r="C3374" s="12" t="str">
        <f>VLOOKUP((WEEKDAY(Movimientos_2026[[#This Row],[Fecha]],2)),'5. Setup'!$D$6:$E$12,2,FALSE)</f>
        <v>Sab</v>
      </c>
      <c r="E3374" t="str">
        <f>IFERROR(+VLOOKUP(Movimientos_2026[[#This Row],[Codigo]],Plan_cuentas[],2,FALSE)," ")</f>
        <v xml:space="preserve"> </v>
      </c>
      <c r="F3374" t="str">
        <f>IFERROR(+VLOOKUP(Movimientos_2026[[#This Row],[Codigo]],Plan_cuentas[],3,FALSE)," ")</f>
        <v xml:space="preserve"> </v>
      </c>
      <c r="G3374" t="str">
        <f>IFERROR(+VLOOKUP(Movimientos_2026[[#This Row],[Codigo]],Plan_cuentas[],4,FALSE)," ")</f>
        <v xml:space="preserve"> </v>
      </c>
      <c r="H3374" t="str">
        <f>IFERROR(+VLOOKUP(Movimientos_2026[[#This Row],[Codigo]],Plan_cuentas[],5,FALSE)," ")</f>
        <v xml:space="preserve"> </v>
      </c>
      <c r="I3374" s="43"/>
      <c r="K3374" t="str">
        <f>IFERROR(+VLOOKUP(Movimientos_2026[[#This Row],[Codigo]],Plan_cuentas[],6,FALSE)," ")</f>
        <v xml:space="preserve"> </v>
      </c>
      <c r="L3374" s="50"/>
      <c r="M3374" s="50"/>
      <c r="N3374" s="20">
        <f>+Movimientos_2026[[#This Row],[Ingresos]]-Movimientos_2026[[#This Row],[Egresos]]</f>
        <v>0</v>
      </c>
      <c r="O3374" s="20">
        <f>+O3373+Movimientos_2026[[#This Row],[Neto]]</f>
        <v>4581558617.7962294</v>
      </c>
    </row>
    <row r="3375" spans="1:15" x14ac:dyDescent="0.25">
      <c r="A3375" s="13"/>
      <c r="B3375" s="12">
        <f>MONTH(Movimientos_2026[[#This Row],[Fecha]])</f>
        <v>1</v>
      </c>
      <c r="C3375" s="12" t="str">
        <f>VLOOKUP((WEEKDAY(Movimientos_2026[[#This Row],[Fecha]],2)),'5. Setup'!$D$6:$E$12,2,FALSE)</f>
        <v>Sab</v>
      </c>
      <c r="E3375" t="str">
        <f>IFERROR(+VLOOKUP(Movimientos_2026[[#This Row],[Codigo]],Plan_cuentas[],2,FALSE)," ")</f>
        <v xml:space="preserve"> </v>
      </c>
      <c r="F3375" t="str">
        <f>IFERROR(+VLOOKUP(Movimientos_2026[[#This Row],[Codigo]],Plan_cuentas[],3,FALSE)," ")</f>
        <v xml:space="preserve"> </v>
      </c>
      <c r="G3375" t="str">
        <f>IFERROR(+VLOOKUP(Movimientos_2026[[#This Row],[Codigo]],Plan_cuentas[],4,FALSE)," ")</f>
        <v xml:space="preserve"> </v>
      </c>
      <c r="H3375" t="str">
        <f>IFERROR(+VLOOKUP(Movimientos_2026[[#This Row],[Codigo]],Plan_cuentas[],5,FALSE)," ")</f>
        <v xml:space="preserve"> </v>
      </c>
      <c r="I3375" s="43"/>
      <c r="K3375" t="str">
        <f>IFERROR(+VLOOKUP(Movimientos_2026[[#This Row],[Codigo]],Plan_cuentas[],6,FALSE)," ")</f>
        <v xml:space="preserve"> </v>
      </c>
      <c r="L3375" s="50"/>
      <c r="M3375" s="50"/>
      <c r="N3375" s="20">
        <f>+Movimientos_2026[[#This Row],[Ingresos]]-Movimientos_2026[[#This Row],[Egresos]]</f>
        <v>0</v>
      </c>
      <c r="O3375" s="20">
        <f>+O3374+Movimientos_2026[[#This Row],[Neto]]</f>
        <v>4581558617.7962294</v>
      </c>
    </row>
    <row r="3376" spans="1:15" x14ac:dyDescent="0.25">
      <c r="A3376" s="13"/>
      <c r="B3376" s="12">
        <f>MONTH(Movimientos_2026[[#This Row],[Fecha]])</f>
        <v>1</v>
      </c>
      <c r="C3376" s="12" t="str">
        <f>VLOOKUP((WEEKDAY(Movimientos_2026[[#This Row],[Fecha]],2)),'5. Setup'!$D$6:$E$12,2,FALSE)</f>
        <v>Sab</v>
      </c>
      <c r="E3376" t="str">
        <f>IFERROR(+VLOOKUP(Movimientos_2026[[#This Row],[Codigo]],Plan_cuentas[],2,FALSE)," ")</f>
        <v xml:space="preserve"> </v>
      </c>
      <c r="F3376" t="str">
        <f>IFERROR(+VLOOKUP(Movimientos_2026[[#This Row],[Codigo]],Plan_cuentas[],3,FALSE)," ")</f>
        <v xml:space="preserve"> </v>
      </c>
      <c r="G3376" t="str">
        <f>IFERROR(+VLOOKUP(Movimientos_2026[[#This Row],[Codigo]],Plan_cuentas[],4,FALSE)," ")</f>
        <v xml:space="preserve"> </v>
      </c>
      <c r="H3376" t="str">
        <f>IFERROR(+VLOOKUP(Movimientos_2026[[#This Row],[Codigo]],Plan_cuentas[],5,FALSE)," ")</f>
        <v xml:space="preserve"> </v>
      </c>
      <c r="I3376" s="43"/>
      <c r="K3376" t="str">
        <f>IFERROR(+VLOOKUP(Movimientos_2026[[#This Row],[Codigo]],Plan_cuentas[],6,FALSE)," ")</f>
        <v xml:space="preserve"> </v>
      </c>
      <c r="L3376" s="50"/>
      <c r="M3376" s="50"/>
      <c r="N3376" s="20">
        <f>+Movimientos_2026[[#This Row],[Ingresos]]-Movimientos_2026[[#This Row],[Egresos]]</f>
        <v>0</v>
      </c>
      <c r="O3376" s="20">
        <f>+O3375+Movimientos_2026[[#This Row],[Neto]]</f>
        <v>4581558617.7962294</v>
      </c>
    </row>
    <row r="3377" spans="1:15" x14ac:dyDescent="0.25">
      <c r="A3377" s="13"/>
      <c r="B3377" s="12">
        <f>MONTH(Movimientos_2026[[#This Row],[Fecha]])</f>
        <v>1</v>
      </c>
      <c r="C3377" s="12" t="str">
        <f>VLOOKUP((WEEKDAY(Movimientos_2026[[#This Row],[Fecha]],2)),'5. Setup'!$D$6:$E$12,2,FALSE)</f>
        <v>Sab</v>
      </c>
      <c r="E3377" t="str">
        <f>IFERROR(+VLOOKUP(Movimientos_2026[[#This Row],[Codigo]],Plan_cuentas[],2,FALSE)," ")</f>
        <v xml:space="preserve"> </v>
      </c>
      <c r="F3377" t="str">
        <f>IFERROR(+VLOOKUP(Movimientos_2026[[#This Row],[Codigo]],Plan_cuentas[],3,FALSE)," ")</f>
        <v xml:space="preserve"> </v>
      </c>
      <c r="G3377" t="str">
        <f>IFERROR(+VLOOKUP(Movimientos_2026[[#This Row],[Codigo]],Plan_cuentas[],4,FALSE)," ")</f>
        <v xml:space="preserve"> </v>
      </c>
      <c r="H3377" t="str">
        <f>IFERROR(+VLOOKUP(Movimientos_2026[[#This Row],[Codigo]],Plan_cuentas[],5,FALSE)," ")</f>
        <v xml:space="preserve"> </v>
      </c>
      <c r="I3377" s="43"/>
      <c r="K3377" t="str">
        <f>IFERROR(+VLOOKUP(Movimientos_2026[[#This Row],[Codigo]],Plan_cuentas[],6,FALSE)," ")</f>
        <v xml:space="preserve"> </v>
      </c>
      <c r="L3377" s="50"/>
      <c r="M3377" s="50"/>
      <c r="N3377" s="20">
        <f>+Movimientos_2026[[#This Row],[Ingresos]]-Movimientos_2026[[#This Row],[Egresos]]</f>
        <v>0</v>
      </c>
      <c r="O3377" s="20">
        <f>+O3376+Movimientos_2026[[#This Row],[Neto]]</f>
        <v>4581558617.7962294</v>
      </c>
    </row>
    <row r="3378" spans="1:15" x14ac:dyDescent="0.25">
      <c r="A3378" s="13"/>
      <c r="B3378" s="12">
        <f>MONTH(Movimientos_2026[[#This Row],[Fecha]])</f>
        <v>1</v>
      </c>
      <c r="C3378" s="12" t="str">
        <f>VLOOKUP((WEEKDAY(Movimientos_2026[[#This Row],[Fecha]],2)),'5. Setup'!$D$6:$E$12,2,FALSE)</f>
        <v>Sab</v>
      </c>
      <c r="E3378" t="str">
        <f>IFERROR(+VLOOKUP(Movimientos_2026[[#This Row],[Codigo]],Plan_cuentas[],2,FALSE)," ")</f>
        <v xml:space="preserve"> </v>
      </c>
      <c r="F3378" t="str">
        <f>IFERROR(+VLOOKUP(Movimientos_2026[[#This Row],[Codigo]],Plan_cuentas[],3,FALSE)," ")</f>
        <v xml:space="preserve"> </v>
      </c>
      <c r="G3378" t="str">
        <f>IFERROR(+VLOOKUP(Movimientos_2026[[#This Row],[Codigo]],Plan_cuentas[],4,FALSE)," ")</f>
        <v xml:space="preserve"> </v>
      </c>
      <c r="H3378" t="str">
        <f>IFERROR(+VLOOKUP(Movimientos_2026[[#This Row],[Codigo]],Plan_cuentas[],5,FALSE)," ")</f>
        <v xml:space="preserve"> </v>
      </c>
      <c r="I3378" s="43"/>
      <c r="K3378" t="str">
        <f>IFERROR(+VLOOKUP(Movimientos_2026[[#This Row],[Codigo]],Plan_cuentas[],6,FALSE)," ")</f>
        <v xml:space="preserve"> </v>
      </c>
      <c r="L3378" s="50"/>
      <c r="M3378" s="50"/>
      <c r="N3378" s="20">
        <f>+Movimientos_2026[[#This Row],[Ingresos]]-Movimientos_2026[[#This Row],[Egresos]]</f>
        <v>0</v>
      </c>
      <c r="O3378" s="20">
        <f>+O3377+Movimientos_2026[[#This Row],[Neto]]</f>
        <v>4581558617.7962294</v>
      </c>
    </row>
    <row r="3379" spans="1:15" x14ac:dyDescent="0.25">
      <c r="A3379" s="13"/>
      <c r="B3379" s="12">
        <f>MONTH(Movimientos_2026[[#This Row],[Fecha]])</f>
        <v>1</v>
      </c>
      <c r="C3379" s="12" t="str">
        <f>VLOOKUP((WEEKDAY(Movimientos_2026[[#This Row],[Fecha]],2)),'5. Setup'!$D$6:$E$12,2,FALSE)</f>
        <v>Sab</v>
      </c>
      <c r="E3379" t="str">
        <f>IFERROR(+VLOOKUP(Movimientos_2026[[#This Row],[Codigo]],Plan_cuentas[],2,FALSE)," ")</f>
        <v xml:space="preserve"> </v>
      </c>
      <c r="F3379" t="str">
        <f>IFERROR(+VLOOKUP(Movimientos_2026[[#This Row],[Codigo]],Plan_cuentas[],3,FALSE)," ")</f>
        <v xml:space="preserve"> </v>
      </c>
      <c r="G3379" t="str">
        <f>IFERROR(+VLOOKUP(Movimientos_2026[[#This Row],[Codigo]],Plan_cuentas[],4,FALSE)," ")</f>
        <v xml:space="preserve"> </v>
      </c>
      <c r="H3379" t="str">
        <f>IFERROR(+VLOOKUP(Movimientos_2026[[#This Row],[Codigo]],Plan_cuentas[],5,FALSE)," ")</f>
        <v xml:space="preserve"> </v>
      </c>
      <c r="I3379" s="43"/>
      <c r="K3379" t="str">
        <f>IFERROR(+VLOOKUP(Movimientos_2026[[#This Row],[Codigo]],Plan_cuentas[],6,FALSE)," ")</f>
        <v xml:space="preserve"> </v>
      </c>
      <c r="L3379" s="50"/>
      <c r="M3379" s="50"/>
      <c r="N3379" s="20">
        <f>+Movimientos_2026[[#This Row],[Ingresos]]-Movimientos_2026[[#This Row],[Egresos]]</f>
        <v>0</v>
      </c>
      <c r="O3379" s="20">
        <f>+O3378+Movimientos_2026[[#This Row],[Neto]]</f>
        <v>4581558617.7962294</v>
      </c>
    </row>
    <row r="3380" spans="1:15" x14ac:dyDescent="0.25">
      <c r="A3380" s="13"/>
      <c r="B3380" s="12">
        <f>MONTH(Movimientos_2026[[#This Row],[Fecha]])</f>
        <v>1</v>
      </c>
      <c r="C3380" s="12" t="str">
        <f>VLOOKUP((WEEKDAY(Movimientos_2026[[#This Row],[Fecha]],2)),'5. Setup'!$D$6:$E$12,2,FALSE)</f>
        <v>Sab</v>
      </c>
      <c r="E3380" t="str">
        <f>IFERROR(+VLOOKUP(Movimientos_2026[[#This Row],[Codigo]],Plan_cuentas[],2,FALSE)," ")</f>
        <v xml:space="preserve"> </v>
      </c>
      <c r="F3380" t="str">
        <f>IFERROR(+VLOOKUP(Movimientos_2026[[#This Row],[Codigo]],Plan_cuentas[],3,FALSE)," ")</f>
        <v xml:space="preserve"> </v>
      </c>
      <c r="G3380" t="str">
        <f>IFERROR(+VLOOKUP(Movimientos_2026[[#This Row],[Codigo]],Plan_cuentas[],4,FALSE)," ")</f>
        <v xml:space="preserve"> </v>
      </c>
      <c r="H3380" t="str">
        <f>IFERROR(+VLOOKUP(Movimientos_2026[[#This Row],[Codigo]],Plan_cuentas[],5,FALSE)," ")</f>
        <v xml:space="preserve"> </v>
      </c>
      <c r="I3380" s="43"/>
      <c r="K3380" t="str">
        <f>IFERROR(+VLOOKUP(Movimientos_2026[[#This Row],[Codigo]],Plan_cuentas[],6,FALSE)," ")</f>
        <v xml:space="preserve"> </v>
      </c>
      <c r="L3380" s="50"/>
      <c r="M3380" s="50"/>
      <c r="N3380" s="20">
        <f>+Movimientos_2026[[#This Row],[Ingresos]]-Movimientos_2026[[#This Row],[Egresos]]</f>
        <v>0</v>
      </c>
      <c r="O3380" s="20">
        <f>+O3379+Movimientos_2026[[#This Row],[Neto]]</f>
        <v>4581558617.7962294</v>
      </c>
    </row>
    <row r="3381" spans="1:15" x14ac:dyDescent="0.25">
      <c r="A3381" s="13"/>
      <c r="B3381" s="12">
        <f>MONTH(Movimientos_2026[[#This Row],[Fecha]])</f>
        <v>1</v>
      </c>
      <c r="C3381" s="12" t="str">
        <f>VLOOKUP((WEEKDAY(Movimientos_2026[[#This Row],[Fecha]],2)),'5. Setup'!$D$6:$E$12,2,FALSE)</f>
        <v>Sab</v>
      </c>
      <c r="E3381" t="str">
        <f>IFERROR(+VLOOKUP(Movimientos_2026[[#This Row],[Codigo]],Plan_cuentas[],2,FALSE)," ")</f>
        <v xml:space="preserve"> </v>
      </c>
      <c r="F3381" t="str">
        <f>IFERROR(+VLOOKUP(Movimientos_2026[[#This Row],[Codigo]],Plan_cuentas[],3,FALSE)," ")</f>
        <v xml:space="preserve"> </v>
      </c>
      <c r="G3381" t="str">
        <f>IFERROR(+VLOOKUP(Movimientos_2026[[#This Row],[Codigo]],Plan_cuentas[],4,FALSE)," ")</f>
        <v xml:space="preserve"> </v>
      </c>
      <c r="H3381" t="str">
        <f>IFERROR(+VLOOKUP(Movimientos_2026[[#This Row],[Codigo]],Plan_cuentas[],5,FALSE)," ")</f>
        <v xml:space="preserve"> </v>
      </c>
      <c r="I3381" s="43"/>
      <c r="K3381" t="str">
        <f>IFERROR(+VLOOKUP(Movimientos_2026[[#This Row],[Codigo]],Plan_cuentas[],6,FALSE)," ")</f>
        <v xml:space="preserve"> </v>
      </c>
      <c r="L3381" s="50"/>
      <c r="M3381" s="50"/>
      <c r="N3381" s="20">
        <f>+Movimientos_2026[[#This Row],[Ingresos]]-Movimientos_2026[[#This Row],[Egresos]]</f>
        <v>0</v>
      </c>
      <c r="O3381" s="20">
        <f>+O3380+Movimientos_2026[[#This Row],[Neto]]</f>
        <v>4581558617.7962294</v>
      </c>
    </row>
    <row r="3382" spans="1:15" x14ac:dyDescent="0.25">
      <c r="A3382" s="13"/>
      <c r="B3382" s="12">
        <f>MONTH(Movimientos_2026[[#This Row],[Fecha]])</f>
        <v>1</v>
      </c>
      <c r="C3382" s="12" t="str">
        <f>VLOOKUP((WEEKDAY(Movimientos_2026[[#This Row],[Fecha]],2)),'5. Setup'!$D$6:$E$12,2,FALSE)</f>
        <v>Sab</v>
      </c>
      <c r="E3382" t="str">
        <f>IFERROR(+VLOOKUP(Movimientos_2026[[#This Row],[Codigo]],Plan_cuentas[],2,FALSE)," ")</f>
        <v xml:space="preserve"> </v>
      </c>
      <c r="F3382" t="str">
        <f>IFERROR(+VLOOKUP(Movimientos_2026[[#This Row],[Codigo]],Plan_cuentas[],3,FALSE)," ")</f>
        <v xml:space="preserve"> </v>
      </c>
      <c r="G3382" t="str">
        <f>IFERROR(+VLOOKUP(Movimientos_2026[[#This Row],[Codigo]],Plan_cuentas[],4,FALSE)," ")</f>
        <v xml:space="preserve"> </v>
      </c>
      <c r="H3382" t="str">
        <f>IFERROR(+VLOOKUP(Movimientos_2026[[#This Row],[Codigo]],Plan_cuentas[],5,FALSE)," ")</f>
        <v xml:space="preserve"> </v>
      </c>
      <c r="I3382" s="43"/>
      <c r="K3382" t="str">
        <f>IFERROR(+VLOOKUP(Movimientos_2026[[#This Row],[Codigo]],Plan_cuentas[],6,FALSE)," ")</f>
        <v xml:space="preserve"> </v>
      </c>
      <c r="L3382" s="50"/>
      <c r="M3382" s="50"/>
      <c r="N3382" s="20">
        <f>+Movimientos_2026[[#This Row],[Ingresos]]-Movimientos_2026[[#This Row],[Egresos]]</f>
        <v>0</v>
      </c>
      <c r="O3382" s="20">
        <f>+O3381+Movimientos_2026[[#This Row],[Neto]]</f>
        <v>4581558617.7962294</v>
      </c>
    </row>
    <row r="3383" spans="1:15" x14ac:dyDescent="0.25">
      <c r="A3383" s="13"/>
      <c r="B3383" s="12">
        <f>MONTH(Movimientos_2026[[#This Row],[Fecha]])</f>
        <v>1</v>
      </c>
      <c r="C3383" s="12" t="str">
        <f>VLOOKUP((WEEKDAY(Movimientos_2026[[#This Row],[Fecha]],2)),'5. Setup'!$D$6:$E$12,2,FALSE)</f>
        <v>Sab</v>
      </c>
      <c r="E3383" t="str">
        <f>IFERROR(+VLOOKUP(Movimientos_2026[[#This Row],[Codigo]],Plan_cuentas[],2,FALSE)," ")</f>
        <v xml:space="preserve"> </v>
      </c>
      <c r="F3383" t="str">
        <f>IFERROR(+VLOOKUP(Movimientos_2026[[#This Row],[Codigo]],Plan_cuentas[],3,FALSE)," ")</f>
        <v xml:space="preserve"> </v>
      </c>
      <c r="G3383" t="str">
        <f>IFERROR(+VLOOKUP(Movimientos_2026[[#This Row],[Codigo]],Plan_cuentas[],4,FALSE)," ")</f>
        <v xml:space="preserve"> </v>
      </c>
      <c r="H3383" t="str">
        <f>IFERROR(+VLOOKUP(Movimientos_2026[[#This Row],[Codigo]],Plan_cuentas[],5,FALSE)," ")</f>
        <v xml:space="preserve"> </v>
      </c>
      <c r="I3383" s="43"/>
      <c r="K3383" t="str">
        <f>IFERROR(+VLOOKUP(Movimientos_2026[[#This Row],[Codigo]],Plan_cuentas[],6,FALSE)," ")</f>
        <v xml:space="preserve"> </v>
      </c>
      <c r="L3383" s="50"/>
      <c r="M3383" s="50"/>
      <c r="N3383" s="20">
        <f>+Movimientos_2026[[#This Row],[Ingresos]]-Movimientos_2026[[#This Row],[Egresos]]</f>
        <v>0</v>
      </c>
      <c r="O3383" s="20">
        <f>+O3382+Movimientos_2026[[#This Row],[Neto]]</f>
        <v>4581558617.7962294</v>
      </c>
    </row>
    <row r="3384" spans="1:15" x14ac:dyDescent="0.25">
      <c r="A3384" s="13"/>
      <c r="B3384" s="12">
        <f>MONTH(Movimientos_2026[[#This Row],[Fecha]])</f>
        <v>1</v>
      </c>
      <c r="C3384" s="12" t="str">
        <f>VLOOKUP((WEEKDAY(Movimientos_2026[[#This Row],[Fecha]],2)),'5. Setup'!$D$6:$E$12,2,FALSE)</f>
        <v>Sab</v>
      </c>
      <c r="E3384" t="str">
        <f>IFERROR(+VLOOKUP(Movimientos_2026[[#This Row],[Codigo]],Plan_cuentas[],2,FALSE)," ")</f>
        <v xml:space="preserve"> </v>
      </c>
      <c r="F3384" t="str">
        <f>IFERROR(+VLOOKUP(Movimientos_2026[[#This Row],[Codigo]],Plan_cuentas[],3,FALSE)," ")</f>
        <v xml:space="preserve"> </v>
      </c>
      <c r="G3384" t="str">
        <f>IFERROR(+VLOOKUP(Movimientos_2026[[#This Row],[Codigo]],Plan_cuentas[],4,FALSE)," ")</f>
        <v xml:space="preserve"> </v>
      </c>
      <c r="H3384" t="str">
        <f>IFERROR(+VLOOKUP(Movimientos_2026[[#This Row],[Codigo]],Plan_cuentas[],5,FALSE)," ")</f>
        <v xml:space="preserve"> </v>
      </c>
      <c r="I3384" s="43"/>
      <c r="K3384" t="str">
        <f>IFERROR(+VLOOKUP(Movimientos_2026[[#This Row],[Codigo]],Plan_cuentas[],6,FALSE)," ")</f>
        <v xml:space="preserve"> </v>
      </c>
      <c r="L3384" s="50"/>
      <c r="M3384" s="50"/>
      <c r="N3384" s="20">
        <f>+Movimientos_2026[[#This Row],[Ingresos]]-Movimientos_2026[[#This Row],[Egresos]]</f>
        <v>0</v>
      </c>
      <c r="O3384" s="20">
        <f>+O3383+Movimientos_2026[[#This Row],[Neto]]</f>
        <v>4581558617.7962294</v>
      </c>
    </row>
    <row r="3385" spans="1:15" x14ac:dyDescent="0.25">
      <c r="A3385" s="13"/>
      <c r="B3385" s="12">
        <f>MONTH(Movimientos_2026[[#This Row],[Fecha]])</f>
        <v>1</v>
      </c>
      <c r="C3385" s="12" t="str">
        <f>VLOOKUP((WEEKDAY(Movimientos_2026[[#This Row],[Fecha]],2)),'5. Setup'!$D$6:$E$12,2,FALSE)</f>
        <v>Sab</v>
      </c>
      <c r="E3385" t="str">
        <f>IFERROR(+VLOOKUP(Movimientos_2026[[#This Row],[Codigo]],Plan_cuentas[],2,FALSE)," ")</f>
        <v xml:space="preserve"> </v>
      </c>
      <c r="F3385" t="str">
        <f>IFERROR(+VLOOKUP(Movimientos_2026[[#This Row],[Codigo]],Plan_cuentas[],3,FALSE)," ")</f>
        <v xml:space="preserve"> </v>
      </c>
      <c r="G3385" t="str">
        <f>IFERROR(+VLOOKUP(Movimientos_2026[[#This Row],[Codigo]],Plan_cuentas[],4,FALSE)," ")</f>
        <v xml:space="preserve"> </v>
      </c>
      <c r="H3385" t="str">
        <f>IFERROR(+VLOOKUP(Movimientos_2026[[#This Row],[Codigo]],Plan_cuentas[],5,FALSE)," ")</f>
        <v xml:space="preserve"> </v>
      </c>
      <c r="I3385" s="43"/>
      <c r="K3385" t="str">
        <f>IFERROR(+VLOOKUP(Movimientos_2026[[#This Row],[Codigo]],Plan_cuentas[],6,FALSE)," ")</f>
        <v xml:space="preserve"> </v>
      </c>
      <c r="L3385" s="50"/>
      <c r="M3385" s="50"/>
      <c r="N3385" s="20">
        <f>+Movimientos_2026[[#This Row],[Ingresos]]-Movimientos_2026[[#This Row],[Egresos]]</f>
        <v>0</v>
      </c>
      <c r="O3385" s="20">
        <f>+O3384+Movimientos_2026[[#This Row],[Neto]]</f>
        <v>4581558617.7962294</v>
      </c>
    </row>
    <row r="3386" spans="1:15" x14ac:dyDescent="0.25">
      <c r="A3386" s="13"/>
      <c r="B3386" s="12">
        <f>MONTH(Movimientos_2026[[#This Row],[Fecha]])</f>
        <v>1</v>
      </c>
      <c r="C3386" s="12" t="str">
        <f>VLOOKUP((WEEKDAY(Movimientos_2026[[#This Row],[Fecha]],2)),'5. Setup'!$D$6:$E$12,2,FALSE)</f>
        <v>Sab</v>
      </c>
      <c r="E3386" t="str">
        <f>IFERROR(+VLOOKUP(Movimientos_2026[[#This Row],[Codigo]],Plan_cuentas[],2,FALSE)," ")</f>
        <v xml:space="preserve"> </v>
      </c>
      <c r="F3386" t="str">
        <f>IFERROR(+VLOOKUP(Movimientos_2026[[#This Row],[Codigo]],Plan_cuentas[],3,FALSE)," ")</f>
        <v xml:space="preserve"> </v>
      </c>
      <c r="G3386" t="str">
        <f>IFERROR(+VLOOKUP(Movimientos_2026[[#This Row],[Codigo]],Plan_cuentas[],4,FALSE)," ")</f>
        <v xml:space="preserve"> </v>
      </c>
      <c r="H3386" t="str">
        <f>IFERROR(+VLOOKUP(Movimientos_2026[[#This Row],[Codigo]],Plan_cuentas[],5,FALSE)," ")</f>
        <v xml:space="preserve"> </v>
      </c>
      <c r="I3386" s="43"/>
      <c r="K3386" t="str">
        <f>IFERROR(+VLOOKUP(Movimientos_2026[[#This Row],[Codigo]],Plan_cuentas[],6,FALSE)," ")</f>
        <v xml:space="preserve"> </v>
      </c>
      <c r="L3386" s="50"/>
      <c r="M3386" s="50"/>
      <c r="N3386" s="20">
        <f>+Movimientos_2026[[#This Row],[Ingresos]]-Movimientos_2026[[#This Row],[Egresos]]</f>
        <v>0</v>
      </c>
      <c r="O3386" s="20">
        <f>+O3385+Movimientos_2026[[#This Row],[Neto]]</f>
        <v>4581558617.7962294</v>
      </c>
    </row>
    <row r="3387" spans="1:15" x14ac:dyDescent="0.25">
      <c r="A3387" s="13"/>
      <c r="B3387" s="12">
        <f>MONTH(Movimientos_2026[[#This Row],[Fecha]])</f>
        <v>1</v>
      </c>
      <c r="C3387" s="12" t="str">
        <f>VLOOKUP((WEEKDAY(Movimientos_2026[[#This Row],[Fecha]],2)),'5. Setup'!$D$6:$E$12,2,FALSE)</f>
        <v>Sab</v>
      </c>
      <c r="E3387" t="str">
        <f>IFERROR(+VLOOKUP(Movimientos_2026[[#This Row],[Codigo]],Plan_cuentas[],2,FALSE)," ")</f>
        <v xml:space="preserve"> </v>
      </c>
      <c r="F3387" t="str">
        <f>IFERROR(+VLOOKUP(Movimientos_2026[[#This Row],[Codigo]],Plan_cuentas[],3,FALSE)," ")</f>
        <v xml:space="preserve"> </v>
      </c>
      <c r="G3387" t="str">
        <f>IFERROR(+VLOOKUP(Movimientos_2026[[#This Row],[Codigo]],Plan_cuentas[],4,FALSE)," ")</f>
        <v xml:space="preserve"> </v>
      </c>
      <c r="H3387" t="str">
        <f>IFERROR(+VLOOKUP(Movimientos_2026[[#This Row],[Codigo]],Plan_cuentas[],5,FALSE)," ")</f>
        <v xml:space="preserve"> </v>
      </c>
      <c r="I3387" s="43"/>
      <c r="K3387" t="str">
        <f>IFERROR(+VLOOKUP(Movimientos_2026[[#This Row],[Codigo]],Plan_cuentas[],6,FALSE)," ")</f>
        <v xml:space="preserve"> </v>
      </c>
      <c r="L3387" s="50"/>
      <c r="M3387" s="50"/>
      <c r="N3387" s="20">
        <f>+Movimientos_2026[[#This Row],[Ingresos]]-Movimientos_2026[[#This Row],[Egresos]]</f>
        <v>0</v>
      </c>
      <c r="O3387" s="20">
        <f>+O3386+Movimientos_2026[[#This Row],[Neto]]</f>
        <v>4581558617.7962294</v>
      </c>
    </row>
    <row r="3388" spans="1:15" x14ac:dyDescent="0.25">
      <c r="A3388" s="13"/>
      <c r="B3388" s="12">
        <f>MONTH(Movimientos_2026[[#This Row],[Fecha]])</f>
        <v>1</v>
      </c>
      <c r="C3388" s="12" t="str">
        <f>VLOOKUP((WEEKDAY(Movimientos_2026[[#This Row],[Fecha]],2)),'5. Setup'!$D$6:$E$12,2,FALSE)</f>
        <v>Sab</v>
      </c>
      <c r="E3388" t="str">
        <f>IFERROR(+VLOOKUP(Movimientos_2026[[#This Row],[Codigo]],Plan_cuentas[],2,FALSE)," ")</f>
        <v xml:space="preserve"> </v>
      </c>
      <c r="F3388" t="str">
        <f>IFERROR(+VLOOKUP(Movimientos_2026[[#This Row],[Codigo]],Plan_cuentas[],3,FALSE)," ")</f>
        <v xml:space="preserve"> </v>
      </c>
      <c r="G3388" t="str">
        <f>IFERROR(+VLOOKUP(Movimientos_2026[[#This Row],[Codigo]],Plan_cuentas[],4,FALSE)," ")</f>
        <v xml:space="preserve"> </v>
      </c>
      <c r="H3388" t="str">
        <f>IFERROR(+VLOOKUP(Movimientos_2026[[#This Row],[Codigo]],Plan_cuentas[],5,FALSE)," ")</f>
        <v xml:space="preserve"> </v>
      </c>
      <c r="I3388" s="43"/>
      <c r="K3388" t="str">
        <f>IFERROR(+VLOOKUP(Movimientos_2026[[#This Row],[Codigo]],Plan_cuentas[],6,FALSE)," ")</f>
        <v xml:space="preserve"> </v>
      </c>
      <c r="L3388" s="50"/>
      <c r="M3388" s="50"/>
      <c r="N3388" s="20">
        <f>+Movimientos_2026[[#This Row],[Ingresos]]-Movimientos_2026[[#This Row],[Egresos]]</f>
        <v>0</v>
      </c>
      <c r="O3388" s="20">
        <f>+O3387+Movimientos_2026[[#This Row],[Neto]]</f>
        <v>4581558617.7962294</v>
      </c>
    </row>
    <row r="3389" spans="1:15" x14ac:dyDescent="0.25">
      <c r="A3389" s="13"/>
      <c r="B3389" s="12">
        <f>MONTH(Movimientos_2026[[#This Row],[Fecha]])</f>
        <v>1</v>
      </c>
      <c r="C3389" s="12" t="str">
        <f>VLOOKUP((WEEKDAY(Movimientos_2026[[#This Row],[Fecha]],2)),'5. Setup'!$D$6:$E$12,2,FALSE)</f>
        <v>Sab</v>
      </c>
      <c r="E3389" t="str">
        <f>IFERROR(+VLOOKUP(Movimientos_2026[[#This Row],[Codigo]],Plan_cuentas[],2,FALSE)," ")</f>
        <v xml:space="preserve"> </v>
      </c>
      <c r="F3389" t="str">
        <f>IFERROR(+VLOOKUP(Movimientos_2026[[#This Row],[Codigo]],Plan_cuentas[],3,FALSE)," ")</f>
        <v xml:space="preserve"> </v>
      </c>
      <c r="G3389" t="str">
        <f>IFERROR(+VLOOKUP(Movimientos_2026[[#This Row],[Codigo]],Plan_cuentas[],4,FALSE)," ")</f>
        <v xml:space="preserve"> </v>
      </c>
      <c r="H3389" t="str">
        <f>IFERROR(+VLOOKUP(Movimientos_2026[[#This Row],[Codigo]],Plan_cuentas[],5,FALSE)," ")</f>
        <v xml:space="preserve"> </v>
      </c>
      <c r="I3389" s="43"/>
      <c r="K3389" t="str">
        <f>IFERROR(+VLOOKUP(Movimientos_2026[[#This Row],[Codigo]],Plan_cuentas[],6,FALSE)," ")</f>
        <v xml:space="preserve"> </v>
      </c>
      <c r="L3389" s="50"/>
      <c r="M3389" s="50"/>
      <c r="N3389" s="20">
        <f>+Movimientos_2026[[#This Row],[Ingresos]]-Movimientos_2026[[#This Row],[Egresos]]</f>
        <v>0</v>
      </c>
      <c r="O3389" s="20">
        <f>+O3388+Movimientos_2026[[#This Row],[Neto]]</f>
        <v>4581558617.7962294</v>
      </c>
    </row>
    <row r="3390" spans="1:15" x14ac:dyDescent="0.25">
      <c r="A3390" s="13"/>
      <c r="B3390" s="12">
        <f>MONTH(Movimientos_2026[[#This Row],[Fecha]])</f>
        <v>1</v>
      </c>
      <c r="C3390" s="12" t="str">
        <f>VLOOKUP((WEEKDAY(Movimientos_2026[[#This Row],[Fecha]],2)),'5. Setup'!$D$6:$E$12,2,FALSE)</f>
        <v>Sab</v>
      </c>
      <c r="E3390" t="str">
        <f>IFERROR(+VLOOKUP(Movimientos_2026[[#This Row],[Codigo]],Plan_cuentas[],2,FALSE)," ")</f>
        <v xml:space="preserve"> </v>
      </c>
      <c r="F3390" t="str">
        <f>IFERROR(+VLOOKUP(Movimientos_2026[[#This Row],[Codigo]],Plan_cuentas[],3,FALSE)," ")</f>
        <v xml:space="preserve"> </v>
      </c>
      <c r="G3390" t="str">
        <f>IFERROR(+VLOOKUP(Movimientos_2026[[#This Row],[Codigo]],Plan_cuentas[],4,FALSE)," ")</f>
        <v xml:space="preserve"> </v>
      </c>
      <c r="H3390" t="str">
        <f>IFERROR(+VLOOKUP(Movimientos_2026[[#This Row],[Codigo]],Plan_cuentas[],5,FALSE)," ")</f>
        <v xml:space="preserve"> </v>
      </c>
      <c r="I3390" s="43"/>
      <c r="K3390" t="str">
        <f>IFERROR(+VLOOKUP(Movimientos_2026[[#This Row],[Codigo]],Plan_cuentas[],6,FALSE)," ")</f>
        <v xml:space="preserve"> </v>
      </c>
      <c r="L3390" s="50"/>
      <c r="M3390" s="50"/>
      <c r="N3390" s="20">
        <f>+Movimientos_2026[[#This Row],[Ingresos]]-Movimientos_2026[[#This Row],[Egresos]]</f>
        <v>0</v>
      </c>
      <c r="O3390" s="20">
        <f>+O3389+Movimientos_2026[[#This Row],[Neto]]</f>
        <v>4581558617.7962294</v>
      </c>
    </row>
    <row r="3391" spans="1:15" x14ac:dyDescent="0.25">
      <c r="A3391" s="13"/>
      <c r="B3391" s="12">
        <f>MONTH(Movimientos_2026[[#This Row],[Fecha]])</f>
        <v>1</v>
      </c>
      <c r="C3391" s="12" t="str">
        <f>VLOOKUP((WEEKDAY(Movimientos_2026[[#This Row],[Fecha]],2)),'5. Setup'!$D$6:$E$12,2,FALSE)</f>
        <v>Sab</v>
      </c>
      <c r="E3391" t="str">
        <f>IFERROR(+VLOOKUP(Movimientos_2026[[#This Row],[Codigo]],Plan_cuentas[],2,FALSE)," ")</f>
        <v xml:space="preserve"> </v>
      </c>
      <c r="F3391" t="str">
        <f>IFERROR(+VLOOKUP(Movimientos_2026[[#This Row],[Codigo]],Plan_cuentas[],3,FALSE)," ")</f>
        <v xml:space="preserve"> </v>
      </c>
      <c r="G3391" t="str">
        <f>IFERROR(+VLOOKUP(Movimientos_2026[[#This Row],[Codigo]],Plan_cuentas[],4,FALSE)," ")</f>
        <v xml:space="preserve"> </v>
      </c>
      <c r="H3391" t="str">
        <f>IFERROR(+VLOOKUP(Movimientos_2026[[#This Row],[Codigo]],Plan_cuentas[],5,FALSE)," ")</f>
        <v xml:space="preserve"> </v>
      </c>
      <c r="I3391" s="43"/>
      <c r="K3391" t="str">
        <f>IFERROR(+VLOOKUP(Movimientos_2026[[#This Row],[Codigo]],Plan_cuentas[],6,FALSE)," ")</f>
        <v xml:space="preserve"> </v>
      </c>
      <c r="L3391" s="50"/>
      <c r="M3391" s="50"/>
      <c r="N3391" s="20">
        <f>+Movimientos_2026[[#This Row],[Ingresos]]-Movimientos_2026[[#This Row],[Egresos]]</f>
        <v>0</v>
      </c>
      <c r="O3391" s="20">
        <f>+O3390+Movimientos_2026[[#This Row],[Neto]]</f>
        <v>4581558617.7962294</v>
      </c>
    </row>
    <row r="3392" spans="1:15" x14ac:dyDescent="0.25">
      <c r="A3392" s="13"/>
      <c r="B3392" s="12">
        <f>MONTH(Movimientos_2026[[#This Row],[Fecha]])</f>
        <v>1</v>
      </c>
      <c r="C3392" s="12" t="str">
        <f>VLOOKUP((WEEKDAY(Movimientos_2026[[#This Row],[Fecha]],2)),'5. Setup'!$D$6:$E$12,2,FALSE)</f>
        <v>Sab</v>
      </c>
      <c r="E3392" t="str">
        <f>IFERROR(+VLOOKUP(Movimientos_2026[[#This Row],[Codigo]],Plan_cuentas[],2,FALSE)," ")</f>
        <v xml:space="preserve"> </v>
      </c>
      <c r="F3392" t="str">
        <f>IFERROR(+VLOOKUP(Movimientos_2026[[#This Row],[Codigo]],Plan_cuentas[],3,FALSE)," ")</f>
        <v xml:space="preserve"> </v>
      </c>
      <c r="G3392" t="str">
        <f>IFERROR(+VLOOKUP(Movimientos_2026[[#This Row],[Codigo]],Plan_cuentas[],4,FALSE)," ")</f>
        <v xml:space="preserve"> </v>
      </c>
      <c r="H3392" t="str">
        <f>IFERROR(+VLOOKUP(Movimientos_2026[[#This Row],[Codigo]],Plan_cuentas[],5,FALSE)," ")</f>
        <v xml:space="preserve"> </v>
      </c>
      <c r="I3392" s="43"/>
      <c r="K3392" t="str">
        <f>IFERROR(+VLOOKUP(Movimientos_2026[[#This Row],[Codigo]],Plan_cuentas[],6,FALSE)," ")</f>
        <v xml:space="preserve"> </v>
      </c>
      <c r="L3392" s="50"/>
      <c r="M3392" s="50"/>
      <c r="N3392" s="20">
        <f>+Movimientos_2026[[#This Row],[Ingresos]]-Movimientos_2026[[#This Row],[Egresos]]</f>
        <v>0</v>
      </c>
      <c r="O3392" s="20">
        <f>+O3391+Movimientos_2026[[#This Row],[Neto]]</f>
        <v>4581558617.7962294</v>
      </c>
    </row>
    <row r="3393" spans="1:15" x14ac:dyDescent="0.25">
      <c r="A3393" s="13"/>
      <c r="B3393" s="12">
        <f>MONTH(Movimientos_2026[[#This Row],[Fecha]])</f>
        <v>1</v>
      </c>
      <c r="C3393" s="12" t="str">
        <f>VLOOKUP((WEEKDAY(Movimientos_2026[[#This Row],[Fecha]],2)),'5. Setup'!$D$6:$E$12,2,FALSE)</f>
        <v>Sab</v>
      </c>
      <c r="E3393" t="str">
        <f>IFERROR(+VLOOKUP(Movimientos_2026[[#This Row],[Codigo]],Plan_cuentas[],2,FALSE)," ")</f>
        <v xml:space="preserve"> </v>
      </c>
      <c r="F3393" t="str">
        <f>IFERROR(+VLOOKUP(Movimientos_2026[[#This Row],[Codigo]],Plan_cuentas[],3,FALSE)," ")</f>
        <v xml:space="preserve"> </v>
      </c>
      <c r="G3393" t="str">
        <f>IFERROR(+VLOOKUP(Movimientos_2026[[#This Row],[Codigo]],Plan_cuentas[],4,FALSE)," ")</f>
        <v xml:space="preserve"> </v>
      </c>
      <c r="H3393" t="str">
        <f>IFERROR(+VLOOKUP(Movimientos_2026[[#This Row],[Codigo]],Plan_cuentas[],5,FALSE)," ")</f>
        <v xml:space="preserve"> </v>
      </c>
      <c r="I3393" s="43"/>
      <c r="K3393" t="str">
        <f>IFERROR(+VLOOKUP(Movimientos_2026[[#This Row],[Codigo]],Plan_cuentas[],6,FALSE)," ")</f>
        <v xml:space="preserve"> </v>
      </c>
      <c r="L3393" s="50"/>
      <c r="M3393" s="50"/>
      <c r="N3393" s="20">
        <f>+Movimientos_2026[[#This Row],[Ingresos]]-Movimientos_2026[[#This Row],[Egresos]]</f>
        <v>0</v>
      </c>
      <c r="O3393" s="20">
        <f>+O3392+Movimientos_2026[[#This Row],[Neto]]</f>
        <v>4581558617.7962294</v>
      </c>
    </row>
    <row r="3394" spans="1:15" x14ac:dyDescent="0.25">
      <c r="A3394" s="13"/>
      <c r="B3394" s="12">
        <f>MONTH(Movimientos_2026[[#This Row],[Fecha]])</f>
        <v>1</v>
      </c>
      <c r="C3394" s="12" t="str">
        <f>VLOOKUP((WEEKDAY(Movimientos_2026[[#This Row],[Fecha]],2)),'5. Setup'!$D$6:$E$12,2,FALSE)</f>
        <v>Sab</v>
      </c>
      <c r="E3394" t="str">
        <f>IFERROR(+VLOOKUP(Movimientos_2026[[#This Row],[Codigo]],Plan_cuentas[],2,FALSE)," ")</f>
        <v xml:space="preserve"> </v>
      </c>
      <c r="F3394" t="str">
        <f>IFERROR(+VLOOKUP(Movimientos_2026[[#This Row],[Codigo]],Plan_cuentas[],3,FALSE)," ")</f>
        <v xml:space="preserve"> </v>
      </c>
      <c r="G3394" t="str">
        <f>IFERROR(+VLOOKUP(Movimientos_2026[[#This Row],[Codigo]],Plan_cuentas[],4,FALSE)," ")</f>
        <v xml:space="preserve"> </v>
      </c>
      <c r="H3394" t="str">
        <f>IFERROR(+VLOOKUP(Movimientos_2026[[#This Row],[Codigo]],Plan_cuentas[],5,FALSE)," ")</f>
        <v xml:space="preserve"> </v>
      </c>
      <c r="I3394" s="43"/>
      <c r="K3394" t="str">
        <f>IFERROR(+VLOOKUP(Movimientos_2026[[#This Row],[Codigo]],Plan_cuentas[],6,FALSE)," ")</f>
        <v xml:space="preserve"> </v>
      </c>
      <c r="L3394" s="50"/>
      <c r="M3394" s="50"/>
      <c r="N3394" s="20">
        <f>+Movimientos_2026[[#This Row],[Ingresos]]-Movimientos_2026[[#This Row],[Egresos]]</f>
        <v>0</v>
      </c>
      <c r="O3394" s="20">
        <f>+O3393+Movimientos_2026[[#This Row],[Neto]]</f>
        <v>4581558617.7962294</v>
      </c>
    </row>
    <row r="3395" spans="1:15" x14ac:dyDescent="0.25">
      <c r="A3395" s="13"/>
      <c r="B3395" s="12">
        <f>MONTH(Movimientos_2026[[#This Row],[Fecha]])</f>
        <v>1</v>
      </c>
      <c r="C3395" s="12" t="str">
        <f>VLOOKUP((WEEKDAY(Movimientos_2026[[#This Row],[Fecha]],2)),'5. Setup'!$D$6:$E$12,2,FALSE)</f>
        <v>Sab</v>
      </c>
      <c r="E3395" t="str">
        <f>IFERROR(+VLOOKUP(Movimientos_2026[[#This Row],[Codigo]],Plan_cuentas[],2,FALSE)," ")</f>
        <v xml:space="preserve"> </v>
      </c>
      <c r="F3395" t="str">
        <f>IFERROR(+VLOOKUP(Movimientos_2026[[#This Row],[Codigo]],Plan_cuentas[],3,FALSE)," ")</f>
        <v xml:space="preserve"> </v>
      </c>
      <c r="G3395" t="str">
        <f>IFERROR(+VLOOKUP(Movimientos_2026[[#This Row],[Codigo]],Plan_cuentas[],4,FALSE)," ")</f>
        <v xml:space="preserve"> </v>
      </c>
      <c r="H3395" t="str">
        <f>IFERROR(+VLOOKUP(Movimientos_2026[[#This Row],[Codigo]],Plan_cuentas[],5,FALSE)," ")</f>
        <v xml:space="preserve"> </v>
      </c>
      <c r="I3395" s="43"/>
      <c r="K3395" t="str">
        <f>IFERROR(+VLOOKUP(Movimientos_2026[[#This Row],[Codigo]],Plan_cuentas[],6,FALSE)," ")</f>
        <v xml:space="preserve"> </v>
      </c>
      <c r="L3395" s="50"/>
      <c r="M3395" s="50"/>
      <c r="N3395" s="20">
        <f>+Movimientos_2026[[#This Row],[Ingresos]]-Movimientos_2026[[#This Row],[Egresos]]</f>
        <v>0</v>
      </c>
      <c r="O3395" s="20">
        <f>+O3394+Movimientos_2026[[#This Row],[Neto]]</f>
        <v>4581558617.7962294</v>
      </c>
    </row>
    <row r="3396" spans="1:15" x14ac:dyDescent="0.25">
      <c r="A3396" s="13"/>
      <c r="B3396" s="12">
        <f>MONTH(Movimientos_2026[[#This Row],[Fecha]])</f>
        <v>1</v>
      </c>
      <c r="C3396" s="12" t="str">
        <f>VLOOKUP((WEEKDAY(Movimientos_2026[[#This Row],[Fecha]],2)),'5. Setup'!$D$6:$E$12,2,FALSE)</f>
        <v>Sab</v>
      </c>
      <c r="E3396" t="str">
        <f>IFERROR(+VLOOKUP(Movimientos_2026[[#This Row],[Codigo]],Plan_cuentas[],2,FALSE)," ")</f>
        <v xml:space="preserve"> </v>
      </c>
      <c r="F3396" t="str">
        <f>IFERROR(+VLOOKUP(Movimientos_2026[[#This Row],[Codigo]],Plan_cuentas[],3,FALSE)," ")</f>
        <v xml:space="preserve"> </v>
      </c>
      <c r="G3396" t="str">
        <f>IFERROR(+VLOOKUP(Movimientos_2026[[#This Row],[Codigo]],Plan_cuentas[],4,FALSE)," ")</f>
        <v xml:space="preserve"> </v>
      </c>
      <c r="H3396" t="str">
        <f>IFERROR(+VLOOKUP(Movimientos_2026[[#This Row],[Codigo]],Plan_cuentas[],5,FALSE)," ")</f>
        <v xml:space="preserve"> </v>
      </c>
      <c r="I3396" s="43"/>
      <c r="K3396" t="str">
        <f>IFERROR(+VLOOKUP(Movimientos_2026[[#This Row],[Codigo]],Plan_cuentas[],6,FALSE)," ")</f>
        <v xml:space="preserve"> </v>
      </c>
      <c r="L3396" s="50"/>
      <c r="M3396" s="50"/>
      <c r="N3396" s="20">
        <f>+Movimientos_2026[[#This Row],[Ingresos]]-Movimientos_2026[[#This Row],[Egresos]]</f>
        <v>0</v>
      </c>
      <c r="O3396" s="20">
        <f>+O3395+Movimientos_2026[[#This Row],[Neto]]</f>
        <v>4581558617.7962294</v>
      </c>
    </row>
    <row r="3397" spans="1:15" x14ac:dyDescent="0.25">
      <c r="A3397" s="13"/>
      <c r="B3397" s="12">
        <f>MONTH(Movimientos_2026[[#This Row],[Fecha]])</f>
        <v>1</v>
      </c>
      <c r="C3397" s="12" t="str">
        <f>VLOOKUP((WEEKDAY(Movimientos_2026[[#This Row],[Fecha]],2)),'5. Setup'!$D$6:$E$12,2,FALSE)</f>
        <v>Sab</v>
      </c>
      <c r="E3397" t="str">
        <f>IFERROR(+VLOOKUP(Movimientos_2026[[#This Row],[Codigo]],Plan_cuentas[],2,FALSE)," ")</f>
        <v xml:space="preserve"> </v>
      </c>
      <c r="F3397" t="str">
        <f>IFERROR(+VLOOKUP(Movimientos_2026[[#This Row],[Codigo]],Plan_cuentas[],3,FALSE)," ")</f>
        <v xml:space="preserve"> </v>
      </c>
      <c r="G3397" t="str">
        <f>IFERROR(+VLOOKUP(Movimientos_2026[[#This Row],[Codigo]],Plan_cuentas[],4,FALSE)," ")</f>
        <v xml:space="preserve"> </v>
      </c>
      <c r="H3397" t="str">
        <f>IFERROR(+VLOOKUP(Movimientos_2026[[#This Row],[Codigo]],Plan_cuentas[],5,FALSE)," ")</f>
        <v xml:space="preserve"> </v>
      </c>
      <c r="I3397" s="43"/>
      <c r="K3397" t="str">
        <f>IFERROR(+VLOOKUP(Movimientos_2026[[#This Row],[Codigo]],Plan_cuentas[],6,FALSE)," ")</f>
        <v xml:space="preserve"> </v>
      </c>
      <c r="L3397" s="50"/>
      <c r="M3397" s="50"/>
      <c r="N3397" s="20">
        <f>+Movimientos_2026[[#This Row],[Ingresos]]-Movimientos_2026[[#This Row],[Egresos]]</f>
        <v>0</v>
      </c>
      <c r="O3397" s="20">
        <f>+O3396+Movimientos_2026[[#This Row],[Neto]]</f>
        <v>4581558617.7962294</v>
      </c>
    </row>
    <row r="3398" spans="1:15" x14ac:dyDescent="0.25">
      <c r="A3398" s="13"/>
      <c r="B3398" s="12">
        <f>MONTH(Movimientos_2026[[#This Row],[Fecha]])</f>
        <v>1</v>
      </c>
      <c r="C3398" s="12" t="str">
        <f>VLOOKUP((WEEKDAY(Movimientos_2026[[#This Row],[Fecha]],2)),'5. Setup'!$D$6:$E$12,2,FALSE)</f>
        <v>Sab</v>
      </c>
      <c r="E3398" t="str">
        <f>IFERROR(+VLOOKUP(Movimientos_2026[[#This Row],[Codigo]],Plan_cuentas[],2,FALSE)," ")</f>
        <v xml:space="preserve"> </v>
      </c>
      <c r="F3398" t="str">
        <f>IFERROR(+VLOOKUP(Movimientos_2026[[#This Row],[Codigo]],Plan_cuentas[],3,FALSE)," ")</f>
        <v xml:space="preserve"> </v>
      </c>
      <c r="G3398" t="str">
        <f>IFERROR(+VLOOKUP(Movimientos_2026[[#This Row],[Codigo]],Plan_cuentas[],4,FALSE)," ")</f>
        <v xml:space="preserve"> </v>
      </c>
      <c r="H3398" t="str">
        <f>IFERROR(+VLOOKUP(Movimientos_2026[[#This Row],[Codigo]],Plan_cuentas[],5,FALSE)," ")</f>
        <v xml:space="preserve"> </v>
      </c>
      <c r="I3398" s="43"/>
      <c r="K3398" t="str">
        <f>IFERROR(+VLOOKUP(Movimientos_2026[[#This Row],[Codigo]],Plan_cuentas[],6,FALSE)," ")</f>
        <v xml:space="preserve"> </v>
      </c>
      <c r="L3398" s="50"/>
      <c r="M3398" s="50"/>
      <c r="N3398" s="20">
        <f>+Movimientos_2026[[#This Row],[Ingresos]]-Movimientos_2026[[#This Row],[Egresos]]</f>
        <v>0</v>
      </c>
      <c r="O3398" s="20">
        <f>+O3397+Movimientos_2026[[#This Row],[Neto]]</f>
        <v>4581558617.7962294</v>
      </c>
    </row>
    <row r="3399" spans="1:15" x14ac:dyDescent="0.25">
      <c r="A3399" s="13"/>
      <c r="B3399" s="12">
        <f>MONTH(Movimientos_2026[[#This Row],[Fecha]])</f>
        <v>1</v>
      </c>
      <c r="C3399" s="12" t="str">
        <f>VLOOKUP((WEEKDAY(Movimientos_2026[[#This Row],[Fecha]],2)),'5. Setup'!$D$6:$E$12,2,FALSE)</f>
        <v>Sab</v>
      </c>
      <c r="E3399" t="str">
        <f>IFERROR(+VLOOKUP(Movimientos_2026[[#This Row],[Codigo]],Plan_cuentas[],2,FALSE)," ")</f>
        <v xml:space="preserve"> </v>
      </c>
      <c r="F3399" t="str">
        <f>IFERROR(+VLOOKUP(Movimientos_2026[[#This Row],[Codigo]],Plan_cuentas[],3,FALSE)," ")</f>
        <v xml:space="preserve"> </v>
      </c>
      <c r="G3399" t="str">
        <f>IFERROR(+VLOOKUP(Movimientos_2026[[#This Row],[Codigo]],Plan_cuentas[],4,FALSE)," ")</f>
        <v xml:space="preserve"> </v>
      </c>
      <c r="H3399" t="str">
        <f>IFERROR(+VLOOKUP(Movimientos_2026[[#This Row],[Codigo]],Plan_cuentas[],5,FALSE)," ")</f>
        <v xml:space="preserve"> </v>
      </c>
      <c r="I3399" s="43"/>
      <c r="K3399" t="str">
        <f>IFERROR(+VLOOKUP(Movimientos_2026[[#This Row],[Codigo]],Plan_cuentas[],6,FALSE)," ")</f>
        <v xml:space="preserve"> </v>
      </c>
      <c r="L3399" s="50"/>
      <c r="M3399" s="50"/>
      <c r="N3399" s="20">
        <f>+Movimientos_2026[[#This Row],[Ingresos]]-Movimientos_2026[[#This Row],[Egresos]]</f>
        <v>0</v>
      </c>
      <c r="O3399" s="20">
        <f>+O3398+Movimientos_2026[[#This Row],[Neto]]</f>
        <v>4581558617.7962294</v>
      </c>
    </row>
    <row r="3400" spans="1:15" x14ac:dyDescent="0.25">
      <c r="A3400" s="13"/>
      <c r="B3400" s="12">
        <f>MONTH(Movimientos_2026[[#This Row],[Fecha]])</f>
        <v>1</v>
      </c>
      <c r="C3400" s="12" t="str">
        <f>VLOOKUP((WEEKDAY(Movimientos_2026[[#This Row],[Fecha]],2)),'5. Setup'!$D$6:$E$12,2,FALSE)</f>
        <v>Sab</v>
      </c>
      <c r="E3400" t="str">
        <f>IFERROR(+VLOOKUP(Movimientos_2026[[#This Row],[Codigo]],Plan_cuentas[],2,FALSE)," ")</f>
        <v xml:space="preserve"> </v>
      </c>
      <c r="F3400" t="str">
        <f>IFERROR(+VLOOKUP(Movimientos_2026[[#This Row],[Codigo]],Plan_cuentas[],3,FALSE)," ")</f>
        <v xml:space="preserve"> </v>
      </c>
      <c r="G3400" t="str">
        <f>IFERROR(+VLOOKUP(Movimientos_2026[[#This Row],[Codigo]],Plan_cuentas[],4,FALSE)," ")</f>
        <v xml:space="preserve"> </v>
      </c>
      <c r="H3400" t="str">
        <f>IFERROR(+VLOOKUP(Movimientos_2026[[#This Row],[Codigo]],Plan_cuentas[],5,FALSE)," ")</f>
        <v xml:space="preserve"> </v>
      </c>
      <c r="I3400" s="43"/>
      <c r="K3400" t="str">
        <f>IFERROR(+VLOOKUP(Movimientos_2026[[#This Row],[Codigo]],Plan_cuentas[],6,FALSE)," ")</f>
        <v xml:space="preserve"> </v>
      </c>
      <c r="L3400" s="50"/>
      <c r="M3400" s="50"/>
      <c r="N3400" s="20">
        <f>+Movimientos_2026[[#This Row],[Ingresos]]-Movimientos_2026[[#This Row],[Egresos]]</f>
        <v>0</v>
      </c>
      <c r="O3400" s="20">
        <f>+O3399+Movimientos_2026[[#This Row],[Neto]]</f>
        <v>4581558617.7962294</v>
      </c>
    </row>
    <row r="3401" spans="1:15" x14ac:dyDescent="0.25">
      <c r="A3401" s="13"/>
      <c r="B3401" s="12">
        <f>MONTH(Movimientos_2026[[#This Row],[Fecha]])</f>
        <v>1</v>
      </c>
      <c r="C3401" s="12" t="str">
        <f>VLOOKUP((WEEKDAY(Movimientos_2026[[#This Row],[Fecha]],2)),'5. Setup'!$D$6:$E$12,2,FALSE)</f>
        <v>Sab</v>
      </c>
      <c r="E3401" t="str">
        <f>IFERROR(+VLOOKUP(Movimientos_2026[[#This Row],[Codigo]],Plan_cuentas[],2,FALSE)," ")</f>
        <v xml:space="preserve"> </v>
      </c>
      <c r="F3401" t="str">
        <f>IFERROR(+VLOOKUP(Movimientos_2026[[#This Row],[Codigo]],Plan_cuentas[],3,FALSE)," ")</f>
        <v xml:space="preserve"> </v>
      </c>
      <c r="G3401" t="str">
        <f>IFERROR(+VLOOKUP(Movimientos_2026[[#This Row],[Codigo]],Plan_cuentas[],4,FALSE)," ")</f>
        <v xml:space="preserve"> </v>
      </c>
      <c r="H3401" t="str">
        <f>IFERROR(+VLOOKUP(Movimientos_2026[[#This Row],[Codigo]],Plan_cuentas[],5,FALSE)," ")</f>
        <v xml:space="preserve"> </v>
      </c>
      <c r="I3401" s="43"/>
      <c r="K3401" t="str">
        <f>IFERROR(+VLOOKUP(Movimientos_2026[[#This Row],[Codigo]],Plan_cuentas[],6,FALSE)," ")</f>
        <v xml:space="preserve"> </v>
      </c>
      <c r="L3401" s="50"/>
      <c r="M3401" s="50"/>
      <c r="N3401" s="20">
        <f>+Movimientos_2026[[#This Row],[Ingresos]]-Movimientos_2026[[#This Row],[Egresos]]</f>
        <v>0</v>
      </c>
      <c r="O3401" s="20">
        <f>+O3400+Movimientos_2026[[#This Row],[Neto]]</f>
        <v>4581558617.7962294</v>
      </c>
    </row>
    <row r="3402" spans="1:15" x14ac:dyDescent="0.25">
      <c r="A3402" s="13"/>
      <c r="B3402" s="12">
        <f>MONTH(Movimientos_2026[[#This Row],[Fecha]])</f>
        <v>1</v>
      </c>
      <c r="C3402" s="12" t="str">
        <f>VLOOKUP((WEEKDAY(Movimientos_2026[[#This Row],[Fecha]],2)),'5. Setup'!$D$6:$E$12,2,FALSE)</f>
        <v>Sab</v>
      </c>
      <c r="E3402" t="str">
        <f>IFERROR(+VLOOKUP(Movimientos_2026[[#This Row],[Codigo]],Plan_cuentas[],2,FALSE)," ")</f>
        <v xml:space="preserve"> </v>
      </c>
      <c r="F3402" t="str">
        <f>IFERROR(+VLOOKUP(Movimientos_2026[[#This Row],[Codigo]],Plan_cuentas[],3,FALSE)," ")</f>
        <v xml:space="preserve"> </v>
      </c>
      <c r="G3402" t="str">
        <f>IFERROR(+VLOOKUP(Movimientos_2026[[#This Row],[Codigo]],Plan_cuentas[],4,FALSE)," ")</f>
        <v xml:space="preserve"> </v>
      </c>
      <c r="H3402" t="str">
        <f>IFERROR(+VLOOKUP(Movimientos_2026[[#This Row],[Codigo]],Plan_cuentas[],5,FALSE)," ")</f>
        <v xml:space="preserve"> </v>
      </c>
      <c r="I3402" s="43"/>
      <c r="K3402" t="str">
        <f>IFERROR(+VLOOKUP(Movimientos_2026[[#This Row],[Codigo]],Plan_cuentas[],6,FALSE)," ")</f>
        <v xml:space="preserve"> </v>
      </c>
      <c r="L3402" s="50"/>
      <c r="M3402" s="50"/>
      <c r="N3402" s="20">
        <f>+Movimientos_2026[[#This Row],[Ingresos]]-Movimientos_2026[[#This Row],[Egresos]]</f>
        <v>0</v>
      </c>
      <c r="O3402" s="20">
        <f>+O3401+Movimientos_2026[[#This Row],[Neto]]</f>
        <v>4581558617.7962294</v>
      </c>
    </row>
    <row r="3403" spans="1:15" x14ac:dyDescent="0.25">
      <c r="A3403" s="13"/>
      <c r="B3403" s="12">
        <f>MONTH(Movimientos_2026[[#This Row],[Fecha]])</f>
        <v>1</v>
      </c>
      <c r="C3403" s="12" t="str">
        <f>VLOOKUP((WEEKDAY(Movimientos_2026[[#This Row],[Fecha]],2)),'5. Setup'!$D$6:$E$12,2,FALSE)</f>
        <v>Sab</v>
      </c>
      <c r="E3403" t="str">
        <f>IFERROR(+VLOOKUP(Movimientos_2026[[#This Row],[Codigo]],Plan_cuentas[],2,FALSE)," ")</f>
        <v xml:space="preserve"> </v>
      </c>
      <c r="F3403" t="str">
        <f>IFERROR(+VLOOKUP(Movimientos_2026[[#This Row],[Codigo]],Plan_cuentas[],3,FALSE)," ")</f>
        <v xml:space="preserve"> </v>
      </c>
      <c r="G3403" t="str">
        <f>IFERROR(+VLOOKUP(Movimientos_2026[[#This Row],[Codigo]],Plan_cuentas[],4,FALSE)," ")</f>
        <v xml:space="preserve"> </v>
      </c>
      <c r="H3403" t="str">
        <f>IFERROR(+VLOOKUP(Movimientos_2026[[#This Row],[Codigo]],Plan_cuentas[],5,FALSE)," ")</f>
        <v xml:space="preserve"> </v>
      </c>
      <c r="I3403" s="43"/>
      <c r="K3403" t="str">
        <f>IFERROR(+VLOOKUP(Movimientos_2026[[#This Row],[Codigo]],Plan_cuentas[],6,FALSE)," ")</f>
        <v xml:space="preserve"> </v>
      </c>
      <c r="L3403" s="50"/>
      <c r="M3403" s="50"/>
      <c r="N3403" s="20">
        <f>+Movimientos_2026[[#This Row],[Ingresos]]-Movimientos_2026[[#This Row],[Egresos]]</f>
        <v>0</v>
      </c>
      <c r="O3403" s="20">
        <f>+O3402+Movimientos_2026[[#This Row],[Neto]]</f>
        <v>4581558617.7962294</v>
      </c>
    </row>
    <row r="3404" spans="1:15" x14ac:dyDescent="0.25">
      <c r="A3404" s="13"/>
      <c r="B3404" s="12">
        <f>MONTH(Movimientos_2026[[#This Row],[Fecha]])</f>
        <v>1</v>
      </c>
      <c r="C3404" s="12" t="str">
        <f>VLOOKUP((WEEKDAY(Movimientos_2026[[#This Row],[Fecha]],2)),'5. Setup'!$D$6:$E$12,2,FALSE)</f>
        <v>Sab</v>
      </c>
      <c r="E3404" t="str">
        <f>IFERROR(+VLOOKUP(Movimientos_2026[[#This Row],[Codigo]],Plan_cuentas[],2,FALSE)," ")</f>
        <v xml:space="preserve"> </v>
      </c>
      <c r="F3404" t="str">
        <f>IFERROR(+VLOOKUP(Movimientos_2026[[#This Row],[Codigo]],Plan_cuentas[],3,FALSE)," ")</f>
        <v xml:space="preserve"> </v>
      </c>
      <c r="G3404" t="str">
        <f>IFERROR(+VLOOKUP(Movimientos_2026[[#This Row],[Codigo]],Plan_cuentas[],4,FALSE)," ")</f>
        <v xml:space="preserve"> </v>
      </c>
      <c r="H3404" t="str">
        <f>IFERROR(+VLOOKUP(Movimientos_2026[[#This Row],[Codigo]],Plan_cuentas[],5,FALSE)," ")</f>
        <v xml:space="preserve"> </v>
      </c>
      <c r="I3404" s="43"/>
      <c r="K3404" t="str">
        <f>IFERROR(+VLOOKUP(Movimientos_2026[[#This Row],[Codigo]],Plan_cuentas[],6,FALSE)," ")</f>
        <v xml:space="preserve"> </v>
      </c>
      <c r="L3404" s="50"/>
      <c r="M3404" s="50"/>
      <c r="N3404" s="20">
        <f>+Movimientos_2026[[#This Row],[Ingresos]]-Movimientos_2026[[#This Row],[Egresos]]</f>
        <v>0</v>
      </c>
      <c r="O3404" s="20">
        <f>+O3403+Movimientos_2026[[#This Row],[Neto]]</f>
        <v>4581558617.7962294</v>
      </c>
    </row>
    <row r="3405" spans="1:15" x14ac:dyDescent="0.25">
      <c r="A3405" s="13"/>
      <c r="B3405" s="12">
        <f>MONTH(Movimientos_2026[[#This Row],[Fecha]])</f>
        <v>1</v>
      </c>
      <c r="C3405" s="12" t="str">
        <f>VLOOKUP((WEEKDAY(Movimientos_2026[[#This Row],[Fecha]],2)),'5. Setup'!$D$6:$E$12,2,FALSE)</f>
        <v>Sab</v>
      </c>
      <c r="E3405" t="str">
        <f>IFERROR(+VLOOKUP(Movimientos_2026[[#This Row],[Codigo]],Plan_cuentas[],2,FALSE)," ")</f>
        <v xml:space="preserve"> </v>
      </c>
      <c r="F3405" t="str">
        <f>IFERROR(+VLOOKUP(Movimientos_2026[[#This Row],[Codigo]],Plan_cuentas[],3,FALSE)," ")</f>
        <v xml:space="preserve"> </v>
      </c>
      <c r="G3405" t="str">
        <f>IFERROR(+VLOOKUP(Movimientos_2026[[#This Row],[Codigo]],Plan_cuentas[],4,FALSE)," ")</f>
        <v xml:space="preserve"> </v>
      </c>
      <c r="H3405" t="str">
        <f>IFERROR(+VLOOKUP(Movimientos_2026[[#This Row],[Codigo]],Plan_cuentas[],5,FALSE)," ")</f>
        <v xml:space="preserve"> </v>
      </c>
      <c r="I3405" s="43"/>
      <c r="K3405" t="str">
        <f>IFERROR(+VLOOKUP(Movimientos_2026[[#This Row],[Codigo]],Plan_cuentas[],6,FALSE)," ")</f>
        <v xml:space="preserve"> </v>
      </c>
      <c r="L3405" s="50"/>
      <c r="M3405" s="50"/>
      <c r="N3405" s="20">
        <f>+Movimientos_2026[[#This Row],[Ingresos]]-Movimientos_2026[[#This Row],[Egresos]]</f>
        <v>0</v>
      </c>
      <c r="O3405" s="20">
        <f>+O3404+Movimientos_2026[[#This Row],[Neto]]</f>
        <v>4581558617.7962294</v>
      </c>
    </row>
    <row r="3406" spans="1:15" x14ac:dyDescent="0.25">
      <c r="A3406" s="13"/>
      <c r="B3406" s="12">
        <f>MONTH(Movimientos_2026[[#This Row],[Fecha]])</f>
        <v>1</v>
      </c>
      <c r="C3406" s="12" t="str">
        <f>VLOOKUP((WEEKDAY(Movimientos_2026[[#This Row],[Fecha]],2)),'5. Setup'!$D$6:$E$12,2,FALSE)</f>
        <v>Sab</v>
      </c>
      <c r="E3406" t="str">
        <f>IFERROR(+VLOOKUP(Movimientos_2026[[#This Row],[Codigo]],Plan_cuentas[],2,FALSE)," ")</f>
        <v xml:space="preserve"> </v>
      </c>
      <c r="F3406" t="str">
        <f>IFERROR(+VLOOKUP(Movimientos_2026[[#This Row],[Codigo]],Plan_cuentas[],3,FALSE)," ")</f>
        <v xml:space="preserve"> </v>
      </c>
      <c r="G3406" t="str">
        <f>IFERROR(+VLOOKUP(Movimientos_2026[[#This Row],[Codigo]],Plan_cuentas[],4,FALSE)," ")</f>
        <v xml:space="preserve"> </v>
      </c>
      <c r="H3406" t="str">
        <f>IFERROR(+VLOOKUP(Movimientos_2026[[#This Row],[Codigo]],Plan_cuentas[],5,FALSE)," ")</f>
        <v xml:space="preserve"> </v>
      </c>
      <c r="I3406" s="43"/>
      <c r="K3406" t="str">
        <f>IFERROR(+VLOOKUP(Movimientos_2026[[#This Row],[Codigo]],Plan_cuentas[],6,FALSE)," ")</f>
        <v xml:space="preserve"> </v>
      </c>
      <c r="L3406" s="50"/>
      <c r="M3406" s="50"/>
      <c r="N3406" s="20">
        <f>+Movimientos_2026[[#This Row],[Ingresos]]-Movimientos_2026[[#This Row],[Egresos]]</f>
        <v>0</v>
      </c>
      <c r="O3406" s="20">
        <f>+O3405+Movimientos_2026[[#This Row],[Neto]]</f>
        <v>4581558617.7962294</v>
      </c>
    </row>
    <row r="3407" spans="1:15" x14ac:dyDescent="0.25">
      <c r="A3407" s="13"/>
      <c r="B3407" s="12">
        <f>MONTH(Movimientos_2026[[#This Row],[Fecha]])</f>
        <v>1</v>
      </c>
      <c r="C3407" s="12" t="str">
        <f>VLOOKUP((WEEKDAY(Movimientos_2026[[#This Row],[Fecha]],2)),'5. Setup'!$D$6:$E$12,2,FALSE)</f>
        <v>Sab</v>
      </c>
      <c r="E3407" t="str">
        <f>IFERROR(+VLOOKUP(Movimientos_2026[[#This Row],[Codigo]],Plan_cuentas[],2,FALSE)," ")</f>
        <v xml:space="preserve"> </v>
      </c>
      <c r="F3407" t="str">
        <f>IFERROR(+VLOOKUP(Movimientos_2026[[#This Row],[Codigo]],Plan_cuentas[],3,FALSE)," ")</f>
        <v xml:space="preserve"> </v>
      </c>
      <c r="G3407" t="str">
        <f>IFERROR(+VLOOKUP(Movimientos_2026[[#This Row],[Codigo]],Plan_cuentas[],4,FALSE)," ")</f>
        <v xml:space="preserve"> </v>
      </c>
      <c r="H3407" t="str">
        <f>IFERROR(+VLOOKUP(Movimientos_2026[[#This Row],[Codigo]],Plan_cuentas[],5,FALSE)," ")</f>
        <v xml:space="preserve"> </v>
      </c>
      <c r="I3407" s="43"/>
      <c r="K3407" t="str">
        <f>IFERROR(+VLOOKUP(Movimientos_2026[[#This Row],[Codigo]],Plan_cuentas[],6,FALSE)," ")</f>
        <v xml:space="preserve"> </v>
      </c>
      <c r="L3407" s="50"/>
      <c r="M3407" s="50"/>
      <c r="N3407" s="20">
        <f>+Movimientos_2026[[#This Row],[Ingresos]]-Movimientos_2026[[#This Row],[Egresos]]</f>
        <v>0</v>
      </c>
      <c r="O3407" s="20">
        <f>+O3406+Movimientos_2026[[#This Row],[Neto]]</f>
        <v>4581558617.7962294</v>
      </c>
    </row>
    <row r="3408" spans="1:15" x14ac:dyDescent="0.25">
      <c r="A3408" s="13"/>
      <c r="B3408" s="12">
        <f>MONTH(Movimientos_2026[[#This Row],[Fecha]])</f>
        <v>1</v>
      </c>
      <c r="C3408" s="12" t="str">
        <f>VLOOKUP((WEEKDAY(Movimientos_2026[[#This Row],[Fecha]],2)),'5. Setup'!$D$6:$E$12,2,FALSE)</f>
        <v>Sab</v>
      </c>
      <c r="E3408" t="str">
        <f>IFERROR(+VLOOKUP(Movimientos_2026[[#This Row],[Codigo]],Plan_cuentas[],2,FALSE)," ")</f>
        <v xml:space="preserve"> </v>
      </c>
      <c r="F3408" t="str">
        <f>IFERROR(+VLOOKUP(Movimientos_2026[[#This Row],[Codigo]],Plan_cuentas[],3,FALSE)," ")</f>
        <v xml:space="preserve"> </v>
      </c>
      <c r="G3408" t="str">
        <f>IFERROR(+VLOOKUP(Movimientos_2026[[#This Row],[Codigo]],Plan_cuentas[],4,FALSE)," ")</f>
        <v xml:space="preserve"> </v>
      </c>
      <c r="H3408" t="str">
        <f>IFERROR(+VLOOKUP(Movimientos_2026[[#This Row],[Codigo]],Plan_cuentas[],5,FALSE)," ")</f>
        <v xml:space="preserve"> </v>
      </c>
      <c r="I3408" s="43"/>
      <c r="K3408" t="str">
        <f>IFERROR(+VLOOKUP(Movimientos_2026[[#This Row],[Codigo]],Plan_cuentas[],6,FALSE)," ")</f>
        <v xml:space="preserve"> </v>
      </c>
      <c r="L3408" s="50"/>
      <c r="M3408" s="50"/>
      <c r="N3408" s="20">
        <f>+Movimientos_2026[[#This Row],[Ingresos]]-Movimientos_2026[[#This Row],[Egresos]]</f>
        <v>0</v>
      </c>
      <c r="O3408" s="20">
        <f>+O3407+Movimientos_2026[[#This Row],[Neto]]</f>
        <v>4581558617.7962294</v>
      </c>
    </row>
    <row r="3409" spans="1:15" x14ac:dyDescent="0.25">
      <c r="A3409" s="13"/>
      <c r="B3409" s="12">
        <f>MONTH(Movimientos_2026[[#This Row],[Fecha]])</f>
        <v>1</v>
      </c>
      <c r="C3409" s="12" t="str">
        <f>VLOOKUP((WEEKDAY(Movimientos_2026[[#This Row],[Fecha]],2)),'5. Setup'!$D$6:$E$12,2,FALSE)</f>
        <v>Sab</v>
      </c>
      <c r="E3409" t="str">
        <f>IFERROR(+VLOOKUP(Movimientos_2026[[#This Row],[Codigo]],Plan_cuentas[],2,FALSE)," ")</f>
        <v xml:space="preserve"> </v>
      </c>
      <c r="F3409" t="str">
        <f>IFERROR(+VLOOKUP(Movimientos_2026[[#This Row],[Codigo]],Plan_cuentas[],3,FALSE)," ")</f>
        <v xml:space="preserve"> </v>
      </c>
      <c r="G3409" t="str">
        <f>IFERROR(+VLOOKUP(Movimientos_2026[[#This Row],[Codigo]],Plan_cuentas[],4,FALSE)," ")</f>
        <v xml:space="preserve"> </v>
      </c>
      <c r="H3409" t="str">
        <f>IFERROR(+VLOOKUP(Movimientos_2026[[#This Row],[Codigo]],Plan_cuentas[],5,FALSE)," ")</f>
        <v xml:space="preserve"> </v>
      </c>
      <c r="I3409" s="43"/>
      <c r="K3409" t="str">
        <f>IFERROR(+VLOOKUP(Movimientos_2026[[#This Row],[Codigo]],Plan_cuentas[],6,FALSE)," ")</f>
        <v xml:space="preserve"> </v>
      </c>
      <c r="L3409" s="50"/>
      <c r="M3409" s="50"/>
      <c r="N3409" s="20">
        <f>+Movimientos_2026[[#This Row],[Ingresos]]-Movimientos_2026[[#This Row],[Egresos]]</f>
        <v>0</v>
      </c>
      <c r="O3409" s="20">
        <f>+O3408+Movimientos_2026[[#This Row],[Neto]]</f>
        <v>4581558617.7962294</v>
      </c>
    </row>
    <row r="3410" spans="1:15" x14ac:dyDescent="0.25">
      <c r="A3410" s="13"/>
      <c r="B3410" s="12">
        <f>MONTH(Movimientos_2026[[#This Row],[Fecha]])</f>
        <v>1</v>
      </c>
      <c r="C3410" s="12" t="str">
        <f>VLOOKUP((WEEKDAY(Movimientos_2026[[#This Row],[Fecha]],2)),'5. Setup'!$D$6:$E$12,2,FALSE)</f>
        <v>Sab</v>
      </c>
      <c r="E3410" t="str">
        <f>IFERROR(+VLOOKUP(Movimientos_2026[[#This Row],[Codigo]],Plan_cuentas[],2,FALSE)," ")</f>
        <v xml:space="preserve"> </v>
      </c>
      <c r="F3410" t="str">
        <f>IFERROR(+VLOOKUP(Movimientos_2026[[#This Row],[Codigo]],Plan_cuentas[],3,FALSE)," ")</f>
        <v xml:space="preserve"> </v>
      </c>
      <c r="G3410" t="str">
        <f>IFERROR(+VLOOKUP(Movimientos_2026[[#This Row],[Codigo]],Plan_cuentas[],4,FALSE)," ")</f>
        <v xml:space="preserve"> </v>
      </c>
      <c r="H3410" t="str">
        <f>IFERROR(+VLOOKUP(Movimientos_2026[[#This Row],[Codigo]],Plan_cuentas[],5,FALSE)," ")</f>
        <v xml:space="preserve"> </v>
      </c>
      <c r="I3410" s="43"/>
      <c r="K3410" t="str">
        <f>IFERROR(+VLOOKUP(Movimientos_2026[[#This Row],[Codigo]],Plan_cuentas[],6,FALSE)," ")</f>
        <v xml:space="preserve"> </v>
      </c>
      <c r="L3410" s="50"/>
      <c r="M3410" s="50"/>
      <c r="N3410" s="20">
        <f>+Movimientos_2026[[#This Row],[Ingresos]]-Movimientos_2026[[#This Row],[Egresos]]</f>
        <v>0</v>
      </c>
      <c r="O3410" s="20">
        <f>+O3409+Movimientos_2026[[#This Row],[Neto]]</f>
        <v>4581558617.7962294</v>
      </c>
    </row>
    <row r="3411" spans="1:15" x14ac:dyDescent="0.25">
      <c r="A3411" s="13"/>
      <c r="B3411" s="12">
        <f>MONTH(Movimientos_2026[[#This Row],[Fecha]])</f>
        <v>1</v>
      </c>
      <c r="C3411" s="12" t="str">
        <f>VLOOKUP((WEEKDAY(Movimientos_2026[[#This Row],[Fecha]],2)),'5. Setup'!$D$6:$E$12,2,FALSE)</f>
        <v>Sab</v>
      </c>
      <c r="E3411" t="str">
        <f>IFERROR(+VLOOKUP(Movimientos_2026[[#This Row],[Codigo]],Plan_cuentas[],2,FALSE)," ")</f>
        <v xml:space="preserve"> </v>
      </c>
      <c r="F3411" t="str">
        <f>IFERROR(+VLOOKUP(Movimientos_2026[[#This Row],[Codigo]],Plan_cuentas[],3,FALSE)," ")</f>
        <v xml:space="preserve"> </v>
      </c>
      <c r="G3411" t="str">
        <f>IFERROR(+VLOOKUP(Movimientos_2026[[#This Row],[Codigo]],Plan_cuentas[],4,FALSE)," ")</f>
        <v xml:space="preserve"> </v>
      </c>
      <c r="H3411" t="str">
        <f>IFERROR(+VLOOKUP(Movimientos_2026[[#This Row],[Codigo]],Plan_cuentas[],5,FALSE)," ")</f>
        <v xml:space="preserve"> </v>
      </c>
      <c r="I3411" s="43"/>
      <c r="K3411" t="str">
        <f>IFERROR(+VLOOKUP(Movimientos_2026[[#This Row],[Codigo]],Plan_cuentas[],6,FALSE)," ")</f>
        <v xml:space="preserve"> </v>
      </c>
      <c r="L3411" s="50"/>
      <c r="M3411" s="50"/>
      <c r="N3411" s="20">
        <f>+Movimientos_2026[[#This Row],[Ingresos]]-Movimientos_2026[[#This Row],[Egresos]]</f>
        <v>0</v>
      </c>
      <c r="O3411" s="20">
        <f>+O3410+Movimientos_2026[[#This Row],[Neto]]</f>
        <v>4581558617.7962294</v>
      </c>
    </row>
    <row r="3412" spans="1:15" x14ac:dyDescent="0.25">
      <c r="A3412" s="13"/>
      <c r="B3412" s="12">
        <f>MONTH(Movimientos_2026[[#This Row],[Fecha]])</f>
        <v>1</v>
      </c>
      <c r="C3412" s="12" t="str">
        <f>VLOOKUP((WEEKDAY(Movimientos_2026[[#This Row],[Fecha]],2)),'5. Setup'!$D$6:$E$12,2,FALSE)</f>
        <v>Sab</v>
      </c>
      <c r="E3412" t="str">
        <f>IFERROR(+VLOOKUP(Movimientos_2026[[#This Row],[Codigo]],Plan_cuentas[],2,FALSE)," ")</f>
        <v xml:space="preserve"> </v>
      </c>
      <c r="F3412" t="str">
        <f>IFERROR(+VLOOKUP(Movimientos_2026[[#This Row],[Codigo]],Plan_cuentas[],3,FALSE)," ")</f>
        <v xml:space="preserve"> </v>
      </c>
      <c r="G3412" t="str">
        <f>IFERROR(+VLOOKUP(Movimientos_2026[[#This Row],[Codigo]],Plan_cuentas[],4,FALSE)," ")</f>
        <v xml:space="preserve"> </v>
      </c>
      <c r="H3412" t="str">
        <f>IFERROR(+VLOOKUP(Movimientos_2026[[#This Row],[Codigo]],Plan_cuentas[],5,FALSE)," ")</f>
        <v xml:space="preserve"> </v>
      </c>
      <c r="I3412" s="43"/>
      <c r="K3412" t="str">
        <f>IFERROR(+VLOOKUP(Movimientos_2026[[#This Row],[Codigo]],Plan_cuentas[],6,FALSE)," ")</f>
        <v xml:space="preserve"> </v>
      </c>
      <c r="L3412" s="50"/>
      <c r="M3412" s="50"/>
      <c r="N3412" s="20">
        <f>+Movimientos_2026[[#This Row],[Ingresos]]-Movimientos_2026[[#This Row],[Egresos]]</f>
        <v>0</v>
      </c>
      <c r="O3412" s="20">
        <f>+O3411+Movimientos_2026[[#This Row],[Neto]]</f>
        <v>4581558617.7962294</v>
      </c>
    </row>
    <row r="3413" spans="1:15" x14ac:dyDescent="0.25">
      <c r="A3413" s="13"/>
      <c r="B3413" s="12">
        <f>MONTH(Movimientos_2026[[#This Row],[Fecha]])</f>
        <v>1</v>
      </c>
      <c r="C3413" s="12" t="str">
        <f>VLOOKUP((WEEKDAY(Movimientos_2026[[#This Row],[Fecha]],2)),'5. Setup'!$D$6:$E$12,2,FALSE)</f>
        <v>Sab</v>
      </c>
      <c r="E3413" t="str">
        <f>IFERROR(+VLOOKUP(Movimientos_2026[[#This Row],[Codigo]],Plan_cuentas[],2,FALSE)," ")</f>
        <v xml:space="preserve"> </v>
      </c>
      <c r="F3413" t="str">
        <f>IFERROR(+VLOOKUP(Movimientos_2026[[#This Row],[Codigo]],Plan_cuentas[],3,FALSE)," ")</f>
        <v xml:space="preserve"> </v>
      </c>
      <c r="G3413" t="str">
        <f>IFERROR(+VLOOKUP(Movimientos_2026[[#This Row],[Codigo]],Plan_cuentas[],4,FALSE)," ")</f>
        <v xml:space="preserve"> </v>
      </c>
      <c r="H3413" t="str">
        <f>IFERROR(+VLOOKUP(Movimientos_2026[[#This Row],[Codigo]],Plan_cuentas[],5,FALSE)," ")</f>
        <v xml:space="preserve"> </v>
      </c>
      <c r="I3413" s="43"/>
      <c r="K3413" t="str">
        <f>IFERROR(+VLOOKUP(Movimientos_2026[[#This Row],[Codigo]],Plan_cuentas[],6,FALSE)," ")</f>
        <v xml:space="preserve"> </v>
      </c>
      <c r="L3413" s="50"/>
      <c r="M3413" s="50"/>
      <c r="N3413" s="20">
        <f>+Movimientos_2026[[#This Row],[Ingresos]]-Movimientos_2026[[#This Row],[Egresos]]</f>
        <v>0</v>
      </c>
      <c r="O3413" s="20">
        <f>+O3412+Movimientos_2026[[#This Row],[Neto]]</f>
        <v>4581558617.7962294</v>
      </c>
    </row>
    <row r="3414" spans="1:15" x14ac:dyDescent="0.25">
      <c r="A3414" s="13"/>
      <c r="B3414" s="12">
        <f>MONTH(Movimientos_2026[[#This Row],[Fecha]])</f>
        <v>1</v>
      </c>
      <c r="C3414" s="12" t="str">
        <f>VLOOKUP((WEEKDAY(Movimientos_2026[[#This Row],[Fecha]],2)),'5. Setup'!$D$6:$E$12,2,FALSE)</f>
        <v>Sab</v>
      </c>
      <c r="E3414" t="str">
        <f>IFERROR(+VLOOKUP(Movimientos_2026[[#This Row],[Codigo]],Plan_cuentas[],2,FALSE)," ")</f>
        <v xml:space="preserve"> </v>
      </c>
      <c r="F3414" t="str">
        <f>IFERROR(+VLOOKUP(Movimientos_2026[[#This Row],[Codigo]],Plan_cuentas[],3,FALSE)," ")</f>
        <v xml:space="preserve"> </v>
      </c>
      <c r="G3414" t="str">
        <f>IFERROR(+VLOOKUP(Movimientos_2026[[#This Row],[Codigo]],Plan_cuentas[],4,FALSE)," ")</f>
        <v xml:space="preserve"> </v>
      </c>
      <c r="H3414" t="str">
        <f>IFERROR(+VLOOKUP(Movimientos_2026[[#This Row],[Codigo]],Plan_cuentas[],5,FALSE)," ")</f>
        <v xml:space="preserve"> </v>
      </c>
      <c r="I3414" s="43"/>
      <c r="K3414" t="str">
        <f>IFERROR(+VLOOKUP(Movimientos_2026[[#This Row],[Codigo]],Plan_cuentas[],6,FALSE)," ")</f>
        <v xml:space="preserve"> </v>
      </c>
      <c r="L3414" s="50"/>
      <c r="M3414" s="50"/>
      <c r="N3414" s="20">
        <f>+Movimientos_2026[[#This Row],[Ingresos]]-Movimientos_2026[[#This Row],[Egresos]]</f>
        <v>0</v>
      </c>
      <c r="O3414" s="20">
        <f>+O3413+Movimientos_2026[[#This Row],[Neto]]</f>
        <v>4581558617.7962294</v>
      </c>
    </row>
    <row r="3415" spans="1:15" x14ac:dyDescent="0.25">
      <c r="A3415" s="13"/>
      <c r="B3415" s="12">
        <f>MONTH(Movimientos_2026[[#This Row],[Fecha]])</f>
        <v>1</v>
      </c>
      <c r="C3415" s="12" t="str">
        <f>VLOOKUP((WEEKDAY(Movimientos_2026[[#This Row],[Fecha]],2)),'5. Setup'!$D$6:$E$12,2,FALSE)</f>
        <v>Sab</v>
      </c>
      <c r="E3415" t="str">
        <f>IFERROR(+VLOOKUP(Movimientos_2026[[#This Row],[Codigo]],Plan_cuentas[],2,FALSE)," ")</f>
        <v xml:space="preserve"> </v>
      </c>
      <c r="F3415" t="str">
        <f>IFERROR(+VLOOKUP(Movimientos_2026[[#This Row],[Codigo]],Plan_cuentas[],3,FALSE)," ")</f>
        <v xml:space="preserve"> </v>
      </c>
      <c r="G3415" t="str">
        <f>IFERROR(+VLOOKUP(Movimientos_2026[[#This Row],[Codigo]],Plan_cuentas[],4,FALSE)," ")</f>
        <v xml:space="preserve"> </v>
      </c>
      <c r="H3415" t="str">
        <f>IFERROR(+VLOOKUP(Movimientos_2026[[#This Row],[Codigo]],Plan_cuentas[],5,FALSE)," ")</f>
        <v xml:space="preserve"> </v>
      </c>
      <c r="I3415" s="43"/>
      <c r="K3415" t="str">
        <f>IFERROR(+VLOOKUP(Movimientos_2026[[#This Row],[Codigo]],Plan_cuentas[],6,FALSE)," ")</f>
        <v xml:space="preserve"> </v>
      </c>
      <c r="L3415" s="50"/>
      <c r="M3415" s="50"/>
      <c r="N3415" s="20">
        <f>+Movimientos_2026[[#This Row],[Ingresos]]-Movimientos_2026[[#This Row],[Egresos]]</f>
        <v>0</v>
      </c>
      <c r="O3415" s="20">
        <f>+O3414+Movimientos_2026[[#This Row],[Neto]]</f>
        <v>4581558617.7962294</v>
      </c>
    </row>
    <row r="3416" spans="1:15" x14ac:dyDescent="0.25">
      <c r="A3416" s="13"/>
      <c r="B3416" s="12">
        <f>MONTH(Movimientos_2026[[#This Row],[Fecha]])</f>
        <v>1</v>
      </c>
      <c r="C3416" s="12" t="str">
        <f>VLOOKUP((WEEKDAY(Movimientos_2026[[#This Row],[Fecha]],2)),'5. Setup'!$D$6:$E$12,2,FALSE)</f>
        <v>Sab</v>
      </c>
      <c r="E3416" t="str">
        <f>IFERROR(+VLOOKUP(Movimientos_2026[[#This Row],[Codigo]],Plan_cuentas[],2,FALSE)," ")</f>
        <v xml:space="preserve"> </v>
      </c>
      <c r="F3416" t="str">
        <f>IFERROR(+VLOOKUP(Movimientos_2026[[#This Row],[Codigo]],Plan_cuentas[],3,FALSE)," ")</f>
        <v xml:space="preserve"> </v>
      </c>
      <c r="G3416" t="str">
        <f>IFERROR(+VLOOKUP(Movimientos_2026[[#This Row],[Codigo]],Plan_cuentas[],4,FALSE)," ")</f>
        <v xml:space="preserve"> </v>
      </c>
      <c r="H3416" t="str">
        <f>IFERROR(+VLOOKUP(Movimientos_2026[[#This Row],[Codigo]],Plan_cuentas[],5,FALSE)," ")</f>
        <v xml:space="preserve"> </v>
      </c>
      <c r="I3416" s="43"/>
      <c r="K3416" t="str">
        <f>IFERROR(+VLOOKUP(Movimientos_2026[[#This Row],[Codigo]],Plan_cuentas[],6,FALSE)," ")</f>
        <v xml:space="preserve"> </v>
      </c>
      <c r="L3416" s="50"/>
      <c r="M3416" s="50"/>
      <c r="N3416" s="20">
        <f>+Movimientos_2026[[#This Row],[Ingresos]]-Movimientos_2026[[#This Row],[Egresos]]</f>
        <v>0</v>
      </c>
      <c r="O3416" s="20">
        <f>+O3415+Movimientos_2026[[#This Row],[Neto]]</f>
        <v>4581558617.7962294</v>
      </c>
    </row>
    <row r="3417" spans="1:15" x14ac:dyDescent="0.25">
      <c r="A3417" s="13"/>
      <c r="B3417" s="12">
        <f>MONTH(Movimientos_2026[[#This Row],[Fecha]])</f>
        <v>1</v>
      </c>
      <c r="C3417" s="12" t="str">
        <f>VLOOKUP((WEEKDAY(Movimientos_2026[[#This Row],[Fecha]],2)),'5. Setup'!$D$6:$E$12,2,FALSE)</f>
        <v>Sab</v>
      </c>
      <c r="E3417" t="str">
        <f>IFERROR(+VLOOKUP(Movimientos_2026[[#This Row],[Codigo]],Plan_cuentas[],2,FALSE)," ")</f>
        <v xml:space="preserve"> </v>
      </c>
      <c r="F3417" t="str">
        <f>IFERROR(+VLOOKUP(Movimientos_2026[[#This Row],[Codigo]],Plan_cuentas[],3,FALSE)," ")</f>
        <v xml:space="preserve"> </v>
      </c>
      <c r="G3417" t="str">
        <f>IFERROR(+VLOOKUP(Movimientos_2026[[#This Row],[Codigo]],Plan_cuentas[],4,FALSE)," ")</f>
        <v xml:space="preserve"> </v>
      </c>
      <c r="H3417" t="str">
        <f>IFERROR(+VLOOKUP(Movimientos_2026[[#This Row],[Codigo]],Plan_cuentas[],5,FALSE)," ")</f>
        <v xml:space="preserve"> </v>
      </c>
      <c r="I3417" s="43"/>
      <c r="K3417" t="str">
        <f>IFERROR(+VLOOKUP(Movimientos_2026[[#This Row],[Codigo]],Plan_cuentas[],6,FALSE)," ")</f>
        <v xml:space="preserve"> </v>
      </c>
      <c r="L3417" s="50"/>
      <c r="M3417" s="50"/>
      <c r="N3417" s="20">
        <f>+Movimientos_2026[[#This Row],[Ingresos]]-Movimientos_2026[[#This Row],[Egresos]]</f>
        <v>0</v>
      </c>
      <c r="O3417" s="20">
        <f>+O3416+Movimientos_2026[[#This Row],[Neto]]</f>
        <v>4581558617.7962294</v>
      </c>
    </row>
    <row r="3418" spans="1:15" x14ac:dyDescent="0.25">
      <c r="A3418" s="13"/>
      <c r="B3418" s="12">
        <f>MONTH(Movimientos_2026[[#This Row],[Fecha]])</f>
        <v>1</v>
      </c>
      <c r="C3418" s="12" t="str">
        <f>VLOOKUP((WEEKDAY(Movimientos_2026[[#This Row],[Fecha]],2)),'5. Setup'!$D$6:$E$12,2,FALSE)</f>
        <v>Sab</v>
      </c>
      <c r="E3418" t="str">
        <f>IFERROR(+VLOOKUP(Movimientos_2026[[#This Row],[Codigo]],Plan_cuentas[],2,FALSE)," ")</f>
        <v xml:space="preserve"> </v>
      </c>
      <c r="F3418" t="str">
        <f>IFERROR(+VLOOKUP(Movimientos_2026[[#This Row],[Codigo]],Plan_cuentas[],3,FALSE)," ")</f>
        <v xml:space="preserve"> </v>
      </c>
      <c r="G3418" t="str">
        <f>IFERROR(+VLOOKUP(Movimientos_2026[[#This Row],[Codigo]],Plan_cuentas[],4,FALSE)," ")</f>
        <v xml:space="preserve"> </v>
      </c>
      <c r="H3418" t="str">
        <f>IFERROR(+VLOOKUP(Movimientos_2026[[#This Row],[Codigo]],Plan_cuentas[],5,FALSE)," ")</f>
        <v xml:space="preserve"> </v>
      </c>
      <c r="I3418" s="43"/>
      <c r="K3418" t="str">
        <f>IFERROR(+VLOOKUP(Movimientos_2026[[#This Row],[Codigo]],Plan_cuentas[],6,FALSE)," ")</f>
        <v xml:space="preserve"> </v>
      </c>
      <c r="L3418" s="50"/>
      <c r="M3418" s="50"/>
      <c r="N3418" s="20">
        <f>+Movimientos_2026[[#This Row],[Ingresos]]-Movimientos_2026[[#This Row],[Egresos]]</f>
        <v>0</v>
      </c>
      <c r="O3418" s="20">
        <f>+O3417+Movimientos_2026[[#This Row],[Neto]]</f>
        <v>4581558617.7962294</v>
      </c>
    </row>
    <row r="3419" spans="1:15" x14ac:dyDescent="0.25">
      <c r="A3419" s="13"/>
      <c r="B3419" s="12">
        <f>MONTH(Movimientos_2026[[#This Row],[Fecha]])</f>
        <v>1</v>
      </c>
      <c r="C3419" s="12" t="str">
        <f>VLOOKUP((WEEKDAY(Movimientos_2026[[#This Row],[Fecha]],2)),'5. Setup'!$D$6:$E$12,2,FALSE)</f>
        <v>Sab</v>
      </c>
      <c r="E3419" t="str">
        <f>IFERROR(+VLOOKUP(Movimientos_2026[[#This Row],[Codigo]],Plan_cuentas[],2,FALSE)," ")</f>
        <v xml:space="preserve"> </v>
      </c>
      <c r="F3419" t="str">
        <f>IFERROR(+VLOOKUP(Movimientos_2026[[#This Row],[Codigo]],Plan_cuentas[],3,FALSE)," ")</f>
        <v xml:space="preserve"> </v>
      </c>
      <c r="G3419" t="str">
        <f>IFERROR(+VLOOKUP(Movimientos_2026[[#This Row],[Codigo]],Plan_cuentas[],4,FALSE)," ")</f>
        <v xml:space="preserve"> </v>
      </c>
      <c r="H3419" t="str">
        <f>IFERROR(+VLOOKUP(Movimientos_2026[[#This Row],[Codigo]],Plan_cuentas[],5,FALSE)," ")</f>
        <v xml:space="preserve"> </v>
      </c>
      <c r="I3419" s="43"/>
      <c r="K3419" t="str">
        <f>IFERROR(+VLOOKUP(Movimientos_2026[[#This Row],[Codigo]],Plan_cuentas[],6,FALSE)," ")</f>
        <v xml:space="preserve"> </v>
      </c>
      <c r="L3419" s="50"/>
      <c r="M3419" s="50"/>
      <c r="N3419" s="20">
        <f>+Movimientos_2026[[#This Row],[Ingresos]]-Movimientos_2026[[#This Row],[Egresos]]</f>
        <v>0</v>
      </c>
      <c r="O3419" s="20">
        <f>+O3418+Movimientos_2026[[#This Row],[Neto]]</f>
        <v>4581558617.7962294</v>
      </c>
    </row>
    <row r="3420" spans="1:15" x14ac:dyDescent="0.25">
      <c r="A3420" s="13"/>
      <c r="B3420" s="12">
        <f>MONTH(Movimientos_2026[[#This Row],[Fecha]])</f>
        <v>1</v>
      </c>
      <c r="C3420" s="12" t="str">
        <f>VLOOKUP((WEEKDAY(Movimientos_2026[[#This Row],[Fecha]],2)),'5. Setup'!$D$6:$E$12,2,FALSE)</f>
        <v>Sab</v>
      </c>
      <c r="E3420" t="str">
        <f>IFERROR(+VLOOKUP(Movimientos_2026[[#This Row],[Codigo]],Plan_cuentas[],2,FALSE)," ")</f>
        <v xml:space="preserve"> </v>
      </c>
      <c r="F3420" t="str">
        <f>IFERROR(+VLOOKUP(Movimientos_2026[[#This Row],[Codigo]],Plan_cuentas[],3,FALSE)," ")</f>
        <v xml:space="preserve"> </v>
      </c>
      <c r="G3420" t="str">
        <f>IFERROR(+VLOOKUP(Movimientos_2026[[#This Row],[Codigo]],Plan_cuentas[],4,FALSE)," ")</f>
        <v xml:space="preserve"> </v>
      </c>
      <c r="H3420" t="str">
        <f>IFERROR(+VLOOKUP(Movimientos_2026[[#This Row],[Codigo]],Plan_cuentas[],5,FALSE)," ")</f>
        <v xml:space="preserve"> </v>
      </c>
      <c r="I3420" s="43"/>
      <c r="K3420" t="str">
        <f>IFERROR(+VLOOKUP(Movimientos_2026[[#This Row],[Codigo]],Plan_cuentas[],6,FALSE)," ")</f>
        <v xml:space="preserve"> </v>
      </c>
      <c r="L3420" s="50"/>
      <c r="M3420" s="50"/>
      <c r="N3420" s="20">
        <f>+Movimientos_2026[[#This Row],[Ingresos]]-Movimientos_2026[[#This Row],[Egresos]]</f>
        <v>0</v>
      </c>
      <c r="O3420" s="20">
        <f>+O3419+Movimientos_2026[[#This Row],[Neto]]</f>
        <v>4581558617.7962294</v>
      </c>
    </row>
    <row r="3421" spans="1:15" x14ac:dyDescent="0.25">
      <c r="A3421" s="13"/>
      <c r="B3421" s="12">
        <f>MONTH(Movimientos_2026[[#This Row],[Fecha]])</f>
        <v>1</v>
      </c>
      <c r="C3421" s="12" t="str">
        <f>VLOOKUP((WEEKDAY(Movimientos_2026[[#This Row],[Fecha]],2)),'5. Setup'!$D$6:$E$12,2,FALSE)</f>
        <v>Sab</v>
      </c>
      <c r="E3421" t="str">
        <f>IFERROR(+VLOOKUP(Movimientos_2026[[#This Row],[Codigo]],Plan_cuentas[],2,FALSE)," ")</f>
        <v xml:space="preserve"> </v>
      </c>
      <c r="F3421" t="str">
        <f>IFERROR(+VLOOKUP(Movimientos_2026[[#This Row],[Codigo]],Plan_cuentas[],3,FALSE)," ")</f>
        <v xml:space="preserve"> </v>
      </c>
      <c r="G3421" t="str">
        <f>IFERROR(+VLOOKUP(Movimientos_2026[[#This Row],[Codigo]],Plan_cuentas[],4,FALSE)," ")</f>
        <v xml:space="preserve"> </v>
      </c>
      <c r="H3421" t="str">
        <f>IFERROR(+VLOOKUP(Movimientos_2026[[#This Row],[Codigo]],Plan_cuentas[],5,FALSE)," ")</f>
        <v xml:space="preserve"> </v>
      </c>
      <c r="I3421" s="43"/>
      <c r="K3421" t="str">
        <f>IFERROR(+VLOOKUP(Movimientos_2026[[#This Row],[Codigo]],Plan_cuentas[],6,FALSE)," ")</f>
        <v xml:space="preserve"> </v>
      </c>
      <c r="L3421" s="50"/>
      <c r="M3421" s="50"/>
      <c r="N3421" s="20">
        <f>+Movimientos_2026[[#This Row],[Ingresos]]-Movimientos_2026[[#This Row],[Egresos]]</f>
        <v>0</v>
      </c>
      <c r="O3421" s="20">
        <f>+O3420+Movimientos_2026[[#This Row],[Neto]]</f>
        <v>4581558617.7962294</v>
      </c>
    </row>
    <row r="3422" spans="1:15" x14ac:dyDescent="0.25">
      <c r="A3422" s="13"/>
      <c r="B3422" s="12">
        <f>MONTH(Movimientos_2026[[#This Row],[Fecha]])</f>
        <v>1</v>
      </c>
      <c r="C3422" s="12" t="str">
        <f>VLOOKUP((WEEKDAY(Movimientos_2026[[#This Row],[Fecha]],2)),'5. Setup'!$D$6:$E$12,2,FALSE)</f>
        <v>Sab</v>
      </c>
      <c r="E3422" t="str">
        <f>IFERROR(+VLOOKUP(Movimientos_2026[[#This Row],[Codigo]],Plan_cuentas[],2,FALSE)," ")</f>
        <v xml:space="preserve"> </v>
      </c>
      <c r="F3422" t="str">
        <f>IFERROR(+VLOOKUP(Movimientos_2026[[#This Row],[Codigo]],Plan_cuentas[],3,FALSE)," ")</f>
        <v xml:space="preserve"> </v>
      </c>
      <c r="G3422" t="str">
        <f>IFERROR(+VLOOKUP(Movimientos_2026[[#This Row],[Codigo]],Plan_cuentas[],4,FALSE)," ")</f>
        <v xml:space="preserve"> </v>
      </c>
      <c r="H3422" t="str">
        <f>IFERROR(+VLOOKUP(Movimientos_2026[[#This Row],[Codigo]],Plan_cuentas[],5,FALSE)," ")</f>
        <v xml:space="preserve"> </v>
      </c>
      <c r="I3422" s="43"/>
      <c r="K3422" t="str">
        <f>IFERROR(+VLOOKUP(Movimientos_2026[[#This Row],[Codigo]],Plan_cuentas[],6,FALSE)," ")</f>
        <v xml:space="preserve"> </v>
      </c>
      <c r="L3422" s="50"/>
      <c r="M3422" s="50"/>
      <c r="N3422" s="20">
        <f>+Movimientos_2026[[#This Row],[Ingresos]]-Movimientos_2026[[#This Row],[Egresos]]</f>
        <v>0</v>
      </c>
      <c r="O3422" s="20">
        <f>+O3421+Movimientos_2026[[#This Row],[Neto]]</f>
        <v>4581558617.7962294</v>
      </c>
    </row>
    <row r="3423" spans="1:15" x14ac:dyDescent="0.25">
      <c r="A3423" s="13"/>
      <c r="B3423" s="12">
        <f>MONTH(Movimientos_2026[[#This Row],[Fecha]])</f>
        <v>1</v>
      </c>
      <c r="C3423" s="12" t="str">
        <f>VLOOKUP((WEEKDAY(Movimientos_2026[[#This Row],[Fecha]],2)),'5. Setup'!$D$6:$E$12,2,FALSE)</f>
        <v>Sab</v>
      </c>
      <c r="E3423" t="str">
        <f>IFERROR(+VLOOKUP(Movimientos_2026[[#This Row],[Codigo]],Plan_cuentas[],2,FALSE)," ")</f>
        <v xml:space="preserve"> </v>
      </c>
      <c r="F3423" t="str">
        <f>IFERROR(+VLOOKUP(Movimientos_2026[[#This Row],[Codigo]],Plan_cuentas[],3,FALSE)," ")</f>
        <v xml:space="preserve"> </v>
      </c>
      <c r="G3423" t="str">
        <f>IFERROR(+VLOOKUP(Movimientos_2026[[#This Row],[Codigo]],Plan_cuentas[],4,FALSE)," ")</f>
        <v xml:space="preserve"> </v>
      </c>
      <c r="H3423" t="str">
        <f>IFERROR(+VLOOKUP(Movimientos_2026[[#This Row],[Codigo]],Plan_cuentas[],5,FALSE)," ")</f>
        <v xml:space="preserve"> </v>
      </c>
      <c r="I3423" s="43"/>
      <c r="K3423" t="str">
        <f>IFERROR(+VLOOKUP(Movimientos_2026[[#This Row],[Codigo]],Plan_cuentas[],6,FALSE)," ")</f>
        <v xml:space="preserve"> </v>
      </c>
      <c r="L3423" s="50"/>
      <c r="M3423" s="50"/>
      <c r="N3423" s="20">
        <f>+Movimientos_2026[[#This Row],[Ingresos]]-Movimientos_2026[[#This Row],[Egresos]]</f>
        <v>0</v>
      </c>
      <c r="O3423" s="20">
        <f>+O3422+Movimientos_2026[[#This Row],[Neto]]</f>
        <v>4581558617.7962294</v>
      </c>
    </row>
    <row r="3424" spans="1:15" x14ac:dyDescent="0.25">
      <c r="A3424" s="13"/>
      <c r="B3424" s="12">
        <f>MONTH(Movimientos_2026[[#This Row],[Fecha]])</f>
        <v>1</v>
      </c>
      <c r="C3424" s="12" t="str">
        <f>VLOOKUP((WEEKDAY(Movimientos_2026[[#This Row],[Fecha]],2)),'5. Setup'!$D$6:$E$12,2,FALSE)</f>
        <v>Sab</v>
      </c>
      <c r="E3424" t="str">
        <f>IFERROR(+VLOOKUP(Movimientos_2026[[#This Row],[Codigo]],Plan_cuentas[],2,FALSE)," ")</f>
        <v xml:space="preserve"> </v>
      </c>
      <c r="F3424" t="str">
        <f>IFERROR(+VLOOKUP(Movimientos_2026[[#This Row],[Codigo]],Plan_cuentas[],3,FALSE)," ")</f>
        <v xml:space="preserve"> </v>
      </c>
      <c r="G3424" t="str">
        <f>IFERROR(+VLOOKUP(Movimientos_2026[[#This Row],[Codigo]],Plan_cuentas[],4,FALSE)," ")</f>
        <v xml:space="preserve"> </v>
      </c>
      <c r="H3424" t="str">
        <f>IFERROR(+VLOOKUP(Movimientos_2026[[#This Row],[Codigo]],Plan_cuentas[],5,FALSE)," ")</f>
        <v xml:space="preserve"> </v>
      </c>
      <c r="I3424" s="43"/>
      <c r="K3424" t="str">
        <f>IFERROR(+VLOOKUP(Movimientos_2026[[#This Row],[Codigo]],Plan_cuentas[],6,FALSE)," ")</f>
        <v xml:space="preserve"> </v>
      </c>
      <c r="L3424" s="50"/>
      <c r="M3424" s="50"/>
      <c r="N3424" s="20">
        <f>+Movimientos_2026[[#This Row],[Ingresos]]-Movimientos_2026[[#This Row],[Egresos]]</f>
        <v>0</v>
      </c>
      <c r="O3424" s="20">
        <f>+O3423+Movimientos_2026[[#This Row],[Neto]]</f>
        <v>4581558617.7962294</v>
      </c>
    </row>
    <row r="3425" spans="1:15" x14ac:dyDescent="0.25">
      <c r="A3425" s="13"/>
      <c r="B3425" s="12">
        <f>MONTH(Movimientos_2026[[#This Row],[Fecha]])</f>
        <v>1</v>
      </c>
      <c r="C3425" s="12" t="str">
        <f>VLOOKUP((WEEKDAY(Movimientos_2026[[#This Row],[Fecha]],2)),'5. Setup'!$D$6:$E$12,2,FALSE)</f>
        <v>Sab</v>
      </c>
      <c r="E3425" t="str">
        <f>IFERROR(+VLOOKUP(Movimientos_2026[[#This Row],[Codigo]],Plan_cuentas[],2,FALSE)," ")</f>
        <v xml:space="preserve"> </v>
      </c>
      <c r="F3425" t="str">
        <f>IFERROR(+VLOOKUP(Movimientos_2026[[#This Row],[Codigo]],Plan_cuentas[],3,FALSE)," ")</f>
        <v xml:space="preserve"> </v>
      </c>
      <c r="G3425" t="str">
        <f>IFERROR(+VLOOKUP(Movimientos_2026[[#This Row],[Codigo]],Plan_cuentas[],4,FALSE)," ")</f>
        <v xml:space="preserve"> </v>
      </c>
      <c r="H3425" t="str">
        <f>IFERROR(+VLOOKUP(Movimientos_2026[[#This Row],[Codigo]],Plan_cuentas[],5,FALSE)," ")</f>
        <v xml:space="preserve"> </v>
      </c>
      <c r="I3425" s="43"/>
      <c r="K3425" t="str">
        <f>IFERROR(+VLOOKUP(Movimientos_2026[[#This Row],[Codigo]],Plan_cuentas[],6,FALSE)," ")</f>
        <v xml:space="preserve"> </v>
      </c>
      <c r="L3425" s="50"/>
      <c r="M3425" s="50"/>
      <c r="N3425" s="20">
        <f>+Movimientos_2026[[#This Row],[Ingresos]]-Movimientos_2026[[#This Row],[Egresos]]</f>
        <v>0</v>
      </c>
      <c r="O3425" s="20">
        <f>+O3424+Movimientos_2026[[#This Row],[Neto]]</f>
        <v>4581558617.7962294</v>
      </c>
    </row>
    <row r="3426" spans="1:15" x14ac:dyDescent="0.25">
      <c r="A3426" s="13"/>
      <c r="B3426" s="12">
        <f>MONTH(Movimientos_2026[[#This Row],[Fecha]])</f>
        <v>1</v>
      </c>
      <c r="C3426" s="12" t="str">
        <f>VLOOKUP((WEEKDAY(Movimientos_2026[[#This Row],[Fecha]],2)),'5. Setup'!$D$6:$E$12,2,FALSE)</f>
        <v>Sab</v>
      </c>
      <c r="E3426" t="str">
        <f>IFERROR(+VLOOKUP(Movimientos_2026[[#This Row],[Codigo]],Plan_cuentas[],2,FALSE)," ")</f>
        <v xml:space="preserve"> </v>
      </c>
      <c r="F3426" t="str">
        <f>IFERROR(+VLOOKUP(Movimientos_2026[[#This Row],[Codigo]],Plan_cuentas[],3,FALSE)," ")</f>
        <v xml:space="preserve"> </v>
      </c>
      <c r="G3426" t="str">
        <f>IFERROR(+VLOOKUP(Movimientos_2026[[#This Row],[Codigo]],Plan_cuentas[],4,FALSE)," ")</f>
        <v xml:space="preserve"> </v>
      </c>
      <c r="H3426" t="str">
        <f>IFERROR(+VLOOKUP(Movimientos_2026[[#This Row],[Codigo]],Plan_cuentas[],5,FALSE)," ")</f>
        <v xml:space="preserve"> </v>
      </c>
      <c r="I3426" s="43"/>
      <c r="K3426" t="str">
        <f>IFERROR(+VLOOKUP(Movimientos_2026[[#This Row],[Codigo]],Plan_cuentas[],6,FALSE)," ")</f>
        <v xml:space="preserve"> </v>
      </c>
      <c r="L3426" s="50"/>
      <c r="M3426" s="50"/>
      <c r="N3426" s="20">
        <f>+Movimientos_2026[[#This Row],[Ingresos]]-Movimientos_2026[[#This Row],[Egresos]]</f>
        <v>0</v>
      </c>
      <c r="O3426" s="20">
        <f>+O3425+Movimientos_2026[[#This Row],[Neto]]</f>
        <v>4581558617.7962294</v>
      </c>
    </row>
    <row r="3427" spans="1:15" x14ac:dyDescent="0.25">
      <c r="A3427" s="13"/>
      <c r="B3427" s="12">
        <f>MONTH(Movimientos_2026[[#This Row],[Fecha]])</f>
        <v>1</v>
      </c>
      <c r="C3427" s="12" t="str">
        <f>VLOOKUP((WEEKDAY(Movimientos_2026[[#This Row],[Fecha]],2)),'5. Setup'!$D$6:$E$12,2,FALSE)</f>
        <v>Sab</v>
      </c>
      <c r="E3427" t="str">
        <f>IFERROR(+VLOOKUP(Movimientos_2026[[#This Row],[Codigo]],Plan_cuentas[],2,FALSE)," ")</f>
        <v xml:space="preserve"> </v>
      </c>
      <c r="F3427" t="str">
        <f>IFERROR(+VLOOKUP(Movimientos_2026[[#This Row],[Codigo]],Plan_cuentas[],3,FALSE)," ")</f>
        <v xml:space="preserve"> </v>
      </c>
      <c r="G3427" t="str">
        <f>IFERROR(+VLOOKUP(Movimientos_2026[[#This Row],[Codigo]],Plan_cuentas[],4,FALSE)," ")</f>
        <v xml:space="preserve"> </v>
      </c>
      <c r="H3427" t="str">
        <f>IFERROR(+VLOOKUP(Movimientos_2026[[#This Row],[Codigo]],Plan_cuentas[],5,FALSE)," ")</f>
        <v xml:space="preserve"> </v>
      </c>
      <c r="I3427" s="43"/>
      <c r="K3427" t="str">
        <f>IFERROR(+VLOOKUP(Movimientos_2026[[#This Row],[Codigo]],Plan_cuentas[],6,FALSE)," ")</f>
        <v xml:space="preserve"> </v>
      </c>
      <c r="L3427" s="50"/>
      <c r="M3427" s="50"/>
      <c r="N3427" s="20">
        <f>+Movimientos_2026[[#This Row],[Ingresos]]-Movimientos_2026[[#This Row],[Egresos]]</f>
        <v>0</v>
      </c>
      <c r="O3427" s="20">
        <f>+O3426+Movimientos_2026[[#This Row],[Neto]]</f>
        <v>4581558617.7962294</v>
      </c>
    </row>
    <row r="3428" spans="1:15" x14ac:dyDescent="0.25">
      <c r="A3428" s="13"/>
      <c r="B3428" s="12">
        <f>MONTH(Movimientos_2026[[#This Row],[Fecha]])</f>
        <v>1</v>
      </c>
      <c r="C3428" s="12" t="str">
        <f>VLOOKUP((WEEKDAY(Movimientos_2026[[#This Row],[Fecha]],2)),'5. Setup'!$D$6:$E$12,2,FALSE)</f>
        <v>Sab</v>
      </c>
      <c r="E3428" t="str">
        <f>IFERROR(+VLOOKUP(Movimientos_2026[[#This Row],[Codigo]],Plan_cuentas[],2,FALSE)," ")</f>
        <v xml:space="preserve"> </v>
      </c>
      <c r="F3428" t="str">
        <f>IFERROR(+VLOOKUP(Movimientos_2026[[#This Row],[Codigo]],Plan_cuentas[],3,FALSE)," ")</f>
        <v xml:space="preserve"> </v>
      </c>
      <c r="G3428" t="str">
        <f>IFERROR(+VLOOKUP(Movimientos_2026[[#This Row],[Codigo]],Plan_cuentas[],4,FALSE)," ")</f>
        <v xml:space="preserve"> </v>
      </c>
      <c r="H3428" t="str">
        <f>IFERROR(+VLOOKUP(Movimientos_2026[[#This Row],[Codigo]],Plan_cuentas[],5,FALSE)," ")</f>
        <v xml:space="preserve"> </v>
      </c>
      <c r="I3428" s="43"/>
      <c r="K3428" t="str">
        <f>IFERROR(+VLOOKUP(Movimientos_2026[[#This Row],[Codigo]],Plan_cuentas[],6,FALSE)," ")</f>
        <v xml:space="preserve"> </v>
      </c>
      <c r="L3428" s="50"/>
      <c r="M3428" s="50"/>
      <c r="N3428" s="20">
        <f>+Movimientos_2026[[#This Row],[Ingresos]]-Movimientos_2026[[#This Row],[Egresos]]</f>
        <v>0</v>
      </c>
      <c r="O3428" s="20">
        <f>+O3427+Movimientos_2026[[#This Row],[Neto]]</f>
        <v>4581558617.7962294</v>
      </c>
    </row>
    <row r="3429" spans="1:15" x14ac:dyDescent="0.25">
      <c r="A3429" s="13"/>
      <c r="B3429" s="12">
        <f>MONTH(Movimientos_2026[[#This Row],[Fecha]])</f>
        <v>1</v>
      </c>
      <c r="C3429" s="12" t="str">
        <f>VLOOKUP((WEEKDAY(Movimientos_2026[[#This Row],[Fecha]],2)),'5. Setup'!$D$6:$E$12,2,FALSE)</f>
        <v>Sab</v>
      </c>
      <c r="E3429" t="str">
        <f>IFERROR(+VLOOKUP(Movimientos_2026[[#This Row],[Codigo]],Plan_cuentas[],2,FALSE)," ")</f>
        <v xml:space="preserve"> </v>
      </c>
      <c r="F3429" t="str">
        <f>IFERROR(+VLOOKUP(Movimientos_2026[[#This Row],[Codigo]],Plan_cuentas[],3,FALSE)," ")</f>
        <v xml:space="preserve"> </v>
      </c>
      <c r="G3429" t="str">
        <f>IFERROR(+VLOOKUP(Movimientos_2026[[#This Row],[Codigo]],Plan_cuentas[],4,FALSE)," ")</f>
        <v xml:space="preserve"> </v>
      </c>
      <c r="H3429" t="str">
        <f>IFERROR(+VLOOKUP(Movimientos_2026[[#This Row],[Codigo]],Plan_cuentas[],5,FALSE)," ")</f>
        <v xml:space="preserve"> </v>
      </c>
      <c r="I3429" s="43"/>
      <c r="K3429" t="str">
        <f>IFERROR(+VLOOKUP(Movimientos_2026[[#This Row],[Codigo]],Plan_cuentas[],6,FALSE)," ")</f>
        <v xml:space="preserve"> </v>
      </c>
      <c r="L3429" s="50"/>
      <c r="M3429" s="50"/>
      <c r="N3429" s="20">
        <f>+Movimientos_2026[[#This Row],[Ingresos]]-Movimientos_2026[[#This Row],[Egresos]]</f>
        <v>0</v>
      </c>
      <c r="O3429" s="20">
        <f>+O3428+Movimientos_2026[[#This Row],[Neto]]</f>
        <v>4581558617.7962294</v>
      </c>
    </row>
    <row r="3430" spans="1:15" x14ac:dyDescent="0.25">
      <c r="A3430" s="13"/>
      <c r="B3430" s="12">
        <f>MONTH(Movimientos_2026[[#This Row],[Fecha]])</f>
        <v>1</v>
      </c>
      <c r="C3430" s="12" t="str">
        <f>VLOOKUP((WEEKDAY(Movimientos_2026[[#This Row],[Fecha]],2)),'5. Setup'!$D$6:$E$12,2,FALSE)</f>
        <v>Sab</v>
      </c>
      <c r="E3430" t="str">
        <f>IFERROR(+VLOOKUP(Movimientos_2026[[#This Row],[Codigo]],Plan_cuentas[],2,FALSE)," ")</f>
        <v xml:space="preserve"> </v>
      </c>
      <c r="F3430" t="str">
        <f>IFERROR(+VLOOKUP(Movimientos_2026[[#This Row],[Codigo]],Plan_cuentas[],3,FALSE)," ")</f>
        <v xml:space="preserve"> </v>
      </c>
      <c r="G3430" t="str">
        <f>IFERROR(+VLOOKUP(Movimientos_2026[[#This Row],[Codigo]],Plan_cuentas[],4,FALSE)," ")</f>
        <v xml:space="preserve"> </v>
      </c>
      <c r="H3430" t="str">
        <f>IFERROR(+VLOOKUP(Movimientos_2026[[#This Row],[Codigo]],Plan_cuentas[],5,FALSE)," ")</f>
        <v xml:space="preserve"> </v>
      </c>
      <c r="I3430" s="43"/>
      <c r="K3430" t="str">
        <f>IFERROR(+VLOOKUP(Movimientos_2026[[#This Row],[Codigo]],Plan_cuentas[],6,FALSE)," ")</f>
        <v xml:space="preserve"> </v>
      </c>
      <c r="L3430" s="50"/>
      <c r="M3430" s="50"/>
      <c r="N3430" s="20">
        <f>+Movimientos_2026[[#This Row],[Ingresos]]-Movimientos_2026[[#This Row],[Egresos]]</f>
        <v>0</v>
      </c>
      <c r="O3430" s="20">
        <f>+O3429+Movimientos_2026[[#This Row],[Neto]]</f>
        <v>4581558617.7962294</v>
      </c>
    </row>
    <row r="3431" spans="1:15" x14ac:dyDescent="0.25">
      <c r="A3431" s="13"/>
      <c r="B3431" s="12">
        <f>MONTH(Movimientos_2026[[#This Row],[Fecha]])</f>
        <v>1</v>
      </c>
      <c r="C3431" s="12" t="str">
        <f>VLOOKUP((WEEKDAY(Movimientos_2026[[#This Row],[Fecha]],2)),'5. Setup'!$D$6:$E$12,2,FALSE)</f>
        <v>Sab</v>
      </c>
      <c r="E3431" t="str">
        <f>IFERROR(+VLOOKUP(Movimientos_2026[[#This Row],[Codigo]],Plan_cuentas[],2,FALSE)," ")</f>
        <v xml:space="preserve"> </v>
      </c>
      <c r="F3431" t="str">
        <f>IFERROR(+VLOOKUP(Movimientos_2026[[#This Row],[Codigo]],Plan_cuentas[],3,FALSE)," ")</f>
        <v xml:space="preserve"> </v>
      </c>
      <c r="G3431" t="str">
        <f>IFERROR(+VLOOKUP(Movimientos_2026[[#This Row],[Codigo]],Plan_cuentas[],4,FALSE)," ")</f>
        <v xml:space="preserve"> </v>
      </c>
      <c r="H3431" t="str">
        <f>IFERROR(+VLOOKUP(Movimientos_2026[[#This Row],[Codigo]],Plan_cuentas[],5,FALSE)," ")</f>
        <v xml:space="preserve"> </v>
      </c>
      <c r="I3431" s="43"/>
      <c r="K3431" t="str">
        <f>IFERROR(+VLOOKUP(Movimientos_2026[[#This Row],[Codigo]],Plan_cuentas[],6,FALSE)," ")</f>
        <v xml:space="preserve"> </v>
      </c>
      <c r="L3431" s="50"/>
      <c r="M3431" s="50"/>
      <c r="N3431" s="20">
        <f>+Movimientos_2026[[#This Row],[Ingresos]]-Movimientos_2026[[#This Row],[Egresos]]</f>
        <v>0</v>
      </c>
      <c r="O3431" s="20">
        <f>+O3430+Movimientos_2026[[#This Row],[Neto]]</f>
        <v>4581558617.7962294</v>
      </c>
    </row>
    <row r="3432" spans="1:15" x14ac:dyDescent="0.25">
      <c r="A3432" s="13"/>
      <c r="B3432" s="12">
        <f>MONTH(Movimientos_2026[[#This Row],[Fecha]])</f>
        <v>1</v>
      </c>
      <c r="C3432" s="12" t="str">
        <f>VLOOKUP((WEEKDAY(Movimientos_2026[[#This Row],[Fecha]],2)),'5. Setup'!$D$6:$E$12,2,FALSE)</f>
        <v>Sab</v>
      </c>
      <c r="E3432" t="str">
        <f>IFERROR(+VLOOKUP(Movimientos_2026[[#This Row],[Codigo]],Plan_cuentas[],2,FALSE)," ")</f>
        <v xml:space="preserve"> </v>
      </c>
      <c r="F3432" t="str">
        <f>IFERROR(+VLOOKUP(Movimientos_2026[[#This Row],[Codigo]],Plan_cuentas[],3,FALSE)," ")</f>
        <v xml:space="preserve"> </v>
      </c>
      <c r="G3432" t="str">
        <f>IFERROR(+VLOOKUP(Movimientos_2026[[#This Row],[Codigo]],Plan_cuentas[],4,FALSE)," ")</f>
        <v xml:space="preserve"> </v>
      </c>
      <c r="H3432" t="str">
        <f>IFERROR(+VLOOKUP(Movimientos_2026[[#This Row],[Codigo]],Plan_cuentas[],5,FALSE)," ")</f>
        <v xml:space="preserve"> </v>
      </c>
      <c r="I3432" s="43"/>
      <c r="K3432" t="str">
        <f>IFERROR(+VLOOKUP(Movimientos_2026[[#This Row],[Codigo]],Plan_cuentas[],6,FALSE)," ")</f>
        <v xml:space="preserve"> </v>
      </c>
      <c r="L3432" s="50"/>
      <c r="M3432" s="50"/>
      <c r="N3432" s="20">
        <f>+Movimientos_2026[[#This Row],[Ingresos]]-Movimientos_2026[[#This Row],[Egresos]]</f>
        <v>0</v>
      </c>
      <c r="O3432" s="20">
        <f>+O3431+Movimientos_2026[[#This Row],[Neto]]</f>
        <v>4581558617.7962294</v>
      </c>
    </row>
    <row r="3433" spans="1:15" x14ac:dyDescent="0.25">
      <c r="A3433" s="13"/>
      <c r="B3433" s="12">
        <f>MONTH(Movimientos_2026[[#This Row],[Fecha]])</f>
        <v>1</v>
      </c>
      <c r="C3433" s="12" t="str">
        <f>VLOOKUP((WEEKDAY(Movimientos_2026[[#This Row],[Fecha]],2)),'5. Setup'!$D$6:$E$12,2,FALSE)</f>
        <v>Sab</v>
      </c>
      <c r="E3433" t="str">
        <f>IFERROR(+VLOOKUP(Movimientos_2026[[#This Row],[Codigo]],Plan_cuentas[],2,FALSE)," ")</f>
        <v xml:space="preserve"> </v>
      </c>
      <c r="F3433" t="str">
        <f>IFERROR(+VLOOKUP(Movimientos_2026[[#This Row],[Codigo]],Plan_cuentas[],3,FALSE)," ")</f>
        <v xml:space="preserve"> </v>
      </c>
      <c r="G3433" t="str">
        <f>IFERROR(+VLOOKUP(Movimientos_2026[[#This Row],[Codigo]],Plan_cuentas[],4,FALSE)," ")</f>
        <v xml:space="preserve"> </v>
      </c>
      <c r="H3433" t="str">
        <f>IFERROR(+VLOOKUP(Movimientos_2026[[#This Row],[Codigo]],Plan_cuentas[],5,FALSE)," ")</f>
        <v xml:space="preserve"> </v>
      </c>
      <c r="I3433" s="43"/>
      <c r="K3433" t="str">
        <f>IFERROR(+VLOOKUP(Movimientos_2026[[#This Row],[Codigo]],Plan_cuentas[],6,FALSE)," ")</f>
        <v xml:space="preserve"> </v>
      </c>
      <c r="L3433" s="50"/>
      <c r="M3433" s="50"/>
      <c r="N3433" s="20">
        <f>+Movimientos_2026[[#This Row],[Ingresos]]-Movimientos_2026[[#This Row],[Egresos]]</f>
        <v>0</v>
      </c>
      <c r="O3433" s="20">
        <f>+O3432+Movimientos_2026[[#This Row],[Neto]]</f>
        <v>4581558617.7962294</v>
      </c>
    </row>
    <row r="3434" spans="1:15" x14ac:dyDescent="0.25">
      <c r="A3434" s="13"/>
      <c r="B3434" s="12">
        <f>MONTH(Movimientos_2026[[#This Row],[Fecha]])</f>
        <v>1</v>
      </c>
      <c r="C3434" s="12" t="str">
        <f>VLOOKUP((WEEKDAY(Movimientos_2026[[#This Row],[Fecha]],2)),'5. Setup'!$D$6:$E$12,2,FALSE)</f>
        <v>Sab</v>
      </c>
      <c r="E3434" t="str">
        <f>IFERROR(+VLOOKUP(Movimientos_2026[[#This Row],[Codigo]],Plan_cuentas[],2,FALSE)," ")</f>
        <v xml:space="preserve"> </v>
      </c>
      <c r="F3434" t="str">
        <f>IFERROR(+VLOOKUP(Movimientos_2026[[#This Row],[Codigo]],Plan_cuentas[],3,FALSE)," ")</f>
        <v xml:space="preserve"> </v>
      </c>
      <c r="G3434" t="str">
        <f>IFERROR(+VLOOKUP(Movimientos_2026[[#This Row],[Codigo]],Plan_cuentas[],4,FALSE)," ")</f>
        <v xml:space="preserve"> </v>
      </c>
      <c r="H3434" t="str">
        <f>IFERROR(+VLOOKUP(Movimientos_2026[[#This Row],[Codigo]],Plan_cuentas[],5,FALSE)," ")</f>
        <v xml:space="preserve"> </v>
      </c>
      <c r="I3434" s="43"/>
      <c r="K3434" t="str">
        <f>IFERROR(+VLOOKUP(Movimientos_2026[[#This Row],[Codigo]],Plan_cuentas[],6,FALSE)," ")</f>
        <v xml:space="preserve"> </v>
      </c>
      <c r="L3434" s="50"/>
      <c r="M3434" s="50"/>
      <c r="N3434" s="20">
        <f>+Movimientos_2026[[#This Row],[Ingresos]]-Movimientos_2026[[#This Row],[Egresos]]</f>
        <v>0</v>
      </c>
      <c r="O3434" s="20">
        <f>+O3433+Movimientos_2026[[#This Row],[Neto]]</f>
        <v>4581558617.7962294</v>
      </c>
    </row>
    <row r="3435" spans="1:15" x14ac:dyDescent="0.25">
      <c r="A3435" s="13"/>
      <c r="B3435" s="12">
        <f>MONTH(Movimientos_2026[[#This Row],[Fecha]])</f>
        <v>1</v>
      </c>
      <c r="C3435" s="12" t="str">
        <f>VLOOKUP((WEEKDAY(Movimientos_2026[[#This Row],[Fecha]],2)),'5. Setup'!$D$6:$E$12,2,FALSE)</f>
        <v>Sab</v>
      </c>
      <c r="E3435" t="str">
        <f>IFERROR(+VLOOKUP(Movimientos_2026[[#This Row],[Codigo]],Plan_cuentas[],2,FALSE)," ")</f>
        <v xml:space="preserve"> </v>
      </c>
      <c r="F3435" t="str">
        <f>IFERROR(+VLOOKUP(Movimientos_2026[[#This Row],[Codigo]],Plan_cuentas[],3,FALSE)," ")</f>
        <v xml:space="preserve"> </v>
      </c>
      <c r="G3435" t="str">
        <f>IFERROR(+VLOOKUP(Movimientos_2026[[#This Row],[Codigo]],Plan_cuentas[],4,FALSE)," ")</f>
        <v xml:space="preserve"> </v>
      </c>
      <c r="H3435" t="str">
        <f>IFERROR(+VLOOKUP(Movimientos_2026[[#This Row],[Codigo]],Plan_cuentas[],5,FALSE)," ")</f>
        <v xml:space="preserve"> </v>
      </c>
      <c r="I3435" s="43"/>
      <c r="K3435" t="str">
        <f>IFERROR(+VLOOKUP(Movimientos_2026[[#This Row],[Codigo]],Plan_cuentas[],6,FALSE)," ")</f>
        <v xml:space="preserve"> </v>
      </c>
      <c r="L3435" s="50"/>
      <c r="M3435" s="50"/>
      <c r="N3435" s="20">
        <f>+Movimientos_2026[[#This Row],[Ingresos]]-Movimientos_2026[[#This Row],[Egresos]]</f>
        <v>0</v>
      </c>
      <c r="O3435" s="20">
        <f>+O3434+Movimientos_2026[[#This Row],[Neto]]</f>
        <v>4581558617.7962294</v>
      </c>
    </row>
    <row r="3436" spans="1:15" x14ac:dyDescent="0.25">
      <c r="A3436" s="13"/>
      <c r="B3436" s="12">
        <f>MONTH(Movimientos_2026[[#This Row],[Fecha]])</f>
        <v>1</v>
      </c>
      <c r="C3436" s="12" t="str">
        <f>VLOOKUP((WEEKDAY(Movimientos_2026[[#This Row],[Fecha]],2)),'5. Setup'!$D$6:$E$12,2,FALSE)</f>
        <v>Sab</v>
      </c>
      <c r="E3436" t="str">
        <f>IFERROR(+VLOOKUP(Movimientos_2026[[#This Row],[Codigo]],Plan_cuentas[],2,FALSE)," ")</f>
        <v xml:space="preserve"> </v>
      </c>
      <c r="F3436" t="str">
        <f>IFERROR(+VLOOKUP(Movimientos_2026[[#This Row],[Codigo]],Plan_cuentas[],3,FALSE)," ")</f>
        <v xml:space="preserve"> </v>
      </c>
      <c r="G3436" t="str">
        <f>IFERROR(+VLOOKUP(Movimientos_2026[[#This Row],[Codigo]],Plan_cuentas[],4,FALSE)," ")</f>
        <v xml:space="preserve"> </v>
      </c>
      <c r="H3436" t="str">
        <f>IFERROR(+VLOOKUP(Movimientos_2026[[#This Row],[Codigo]],Plan_cuentas[],5,FALSE)," ")</f>
        <v xml:space="preserve"> </v>
      </c>
      <c r="I3436" s="43"/>
      <c r="K3436" t="str">
        <f>IFERROR(+VLOOKUP(Movimientos_2026[[#This Row],[Codigo]],Plan_cuentas[],6,FALSE)," ")</f>
        <v xml:space="preserve"> </v>
      </c>
      <c r="L3436" s="50"/>
      <c r="M3436" s="50"/>
      <c r="N3436" s="20">
        <f>+Movimientos_2026[[#This Row],[Ingresos]]-Movimientos_2026[[#This Row],[Egresos]]</f>
        <v>0</v>
      </c>
      <c r="O3436" s="20">
        <f>+O3435+Movimientos_2026[[#This Row],[Neto]]</f>
        <v>4581558617.7962294</v>
      </c>
    </row>
    <row r="3437" spans="1:15" x14ac:dyDescent="0.25">
      <c r="A3437" s="13"/>
      <c r="B3437" s="12">
        <f>MONTH(Movimientos_2026[[#This Row],[Fecha]])</f>
        <v>1</v>
      </c>
      <c r="C3437" s="12" t="str">
        <f>VLOOKUP((WEEKDAY(Movimientos_2026[[#This Row],[Fecha]],2)),'5. Setup'!$D$6:$E$12,2,FALSE)</f>
        <v>Sab</v>
      </c>
      <c r="E3437" t="str">
        <f>IFERROR(+VLOOKUP(Movimientos_2026[[#This Row],[Codigo]],Plan_cuentas[],2,FALSE)," ")</f>
        <v xml:space="preserve"> </v>
      </c>
      <c r="F3437" t="str">
        <f>IFERROR(+VLOOKUP(Movimientos_2026[[#This Row],[Codigo]],Plan_cuentas[],3,FALSE)," ")</f>
        <v xml:space="preserve"> </v>
      </c>
      <c r="G3437" t="str">
        <f>IFERROR(+VLOOKUP(Movimientos_2026[[#This Row],[Codigo]],Plan_cuentas[],4,FALSE)," ")</f>
        <v xml:space="preserve"> </v>
      </c>
      <c r="H3437" t="str">
        <f>IFERROR(+VLOOKUP(Movimientos_2026[[#This Row],[Codigo]],Plan_cuentas[],5,FALSE)," ")</f>
        <v xml:space="preserve"> </v>
      </c>
      <c r="I3437" s="43"/>
      <c r="K3437" t="str">
        <f>IFERROR(+VLOOKUP(Movimientos_2026[[#This Row],[Codigo]],Plan_cuentas[],6,FALSE)," ")</f>
        <v xml:space="preserve"> </v>
      </c>
      <c r="L3437" s="50"/>
      <c r="M3437" s="50"/>
      <c r="N3437" s="20">
        <f>+Movimientos_2026[[#This Row],[Ingresos]]-Movimientos_2026[[#This Row],[Egresos]]</f>
        <v>0</v>
      </c>
      <c r="O3437" s="20">
        <f>+O3436+Movimientos_2026[[#This Row],[Neto]]</f>
        <v>4581558617.7962294</v>
      </c>
    </row>
    <row r="3438" spans="1:15" x14ac:dyDescent="0.25">
      <c r="A3438" s="13"/>
      <c r="B3438" s="12">
        <f>MONTH(Movimientos_2026[[#This Row],[Fecha]])</f>
        <v>1</v>
      </c>
      <c r="C3438" s="12" t="str">
        <f>VLOOKUP((WEEKDAY(Movimientos_2026[[#This Row],[Fecha]],2)),'5. Setup'!$D$6:$E$12,2,FALSE)</f>
        <v>Sab</v>
      </c>
      <c r="E3438" t="str">
        <f>IFERROR(+VLOOKUP(Movimientos_2026[[#This Row],[Codigo]],Plan_cuentas[],2,FALSE)," ")</f>
        <v xml:space="preserve"> </v>
      </c>
      <c r="F3438" t="str">
        <f>IFERROR(+VLOOKUP(Movimientos_2026[[#This Row],[Codigo]],Plan_cuentas[],3,FALSE)," ")</f>
        <v xml:space="preserve"> </v>
      </c>
      <c r="G3438" t="str">
        <f>IFERROR(+VLOOKUP(Movimientos_2026[[#This Row],[Codigo]],Plan_cuentas[],4,FALSE)," ")</f>
        <v xml:space="preserve"> </v>
      </c>
      <c r="H3438" t="str">
        <f>IFERROR(+VLOOKUP(Movimientos_2026[[#This Row],[Codigo]],Plan_cuentas[],5,FALSE)," ")</f>
        <v xml:space="preserve"> </v>
      </c>
      <c r="I3438" s="43"/>
      <c r="K3438" t="str">
        <f>IFERROR(+VLOOKUP(Movimientos_2026[[#This Row],[Codigo]],Plan_cuentas[],6,FALSE)," ")</f>
        <v xml:space="preserve"> </v>
      </c>
      <c r="L3438" s="50"/>
      <c r="M3438" s="50"/>
      <c r="N3438" s="20">
        <f>+Movimientos_2026[[#This Row],[Ingresos]]-Movimientos_2026[[#This Row],[Egresos]]</f>
        <v>0</v>
      </c>
      <c r="O3438" s="20">
        <f>+O3437+Movimientos_2026[[#This Row],[Neto]]</f>
        <v>4581558617.7962294</v>
      </c>
    </row>
    <row r="3439" spans="1:15" x14ac:dyDescent="0.25">
      <c r="A3439" s="13"/>
      <c r="B3439" s="12">
        <f>MONTH(Movimientos_2026[[#This Row],[Fecha]])</f>
        <v>1</v>
      </c>
      <c r="C3439" s="12" t="str">
        <f>VLOOKUP((WEEKDAY(Movimientos_2026[[#This Row],[Fecha]],2)),'5. Setup'!$D$6:$E$12,2,FALSE)</f>
        <v>Sab</v>
      </c>
      <c r="E3439" t="str">
        <f>IFERROR(+VLOOKUP(Movimientos_2026[[#This Row],[Codigo]],Plan_cuentas[],2,FALSE)," ")</f>
        <v xml:space="preserve"> </v>
      </c>
      <c r="F3439" t="str">
        <f>IFERROR(+VLOOKUP(Movimientos_2026[[#This Row],[Codigo]],Plan_cuentas[],3,FALSE)," ")</f>
        <v xml:space="preserve"> </v>
      </c>
      <c r="G3439" t="str">
        <f>IFERROR(+VLOOKUP(Movimientos_2026[[#This Row],[Codigo]],Plan_cuentas[],4,FALSE)," ")</f>
        <v xml:space="preserve"> </v>
      </c>
      <c r="H3439" t="str">
        <f>IFERROR(+VLOOKUP(Movimientos_2026[[#This Row],[Codigo]],Plan_cuentas[],5,FALSE)," ")</f>
        <v xml:space="preserve"> </v>
      </c>
      <c r="I3439" s="43"/>
      <c r="K3439" t="str">
        <f>IFERROR(+VLOOKUP(Movimientos_2026[[#This Row],[Codigo]],Plan_cuentas[],6,FALSE)," ")</f>
        <v xml:space="preserve"> </v>
      </c>
      <c r="L3439" s="50"/>
      <c r="M3439" s="50"/>
      <c r="N3439" s="20">
        <f>+Movimientos_2026[[#This Row],[Ingresos]]-Movimientos_2026[[#This Row],[Egresos]]</f>
        <v>0</v>
      </c>
      <c r="O3439" s="20">
        <f>+O3438+Movimientos_2026[[#This Row],[Neto]]</f>
        <v>4581558617.7962294</v>
      </c>
    </row>
    <row r="3440" spans="1:15" x14ac:dyDescent="0.25">
      <c r="A3440" s="13"/>
      <c r="B3440" s="12">
        <f>MONTH(Movimientos_2026[[#This Row],[Fecha]])</f>
        <v>1</v>
      </c>
      <c r="C3440" s="12" t="str">
        <f>VLOOKUP((WEEKDAY(Movimientos_2026[[#This Row],[Fecha]],2)),'5. Setup'!$D$6:$E$12,2,FALSE)</f>
        <v>Sab</v>
      </c>
      <c r="E3440" t="str">
        <f>IFERROR(+VLOOKUP(Movimientos_2026[[#This Row],[Codigo]],Plan_cuentas[],2,FALSE)," ")</f>
        <v xml:space="preserve"> </v>
      </c>
      <c r="F3440" t="str">
        <f>IFERROR(+VLOOKUP(Movimientos_2026[[#This Row],[Codigo]],Plan_cuentas[],3,FALSE)," ")</f>
        <v xml:space="preserve"> </v>
      </c>
      <c r="G3440" t="str">
        <f>IFERROR(+VLOOKUP(Movimientos_2026[[#This Row],[Codigo]],Plan_cuentas[],4,FALSE)," ")</f>
        <v xml:space="preserve"> </v>
      </c>
      <c r="H3440" t="str">
        <f>IFERROR(+VLOOKUP(Movimientos_2026[[#This Row],[Codigo]],Plan_cuentas[],5,FALSE)," ")</f>
        <v xml:space="preserve"> </v>
      </c>
      <c r="I3440" s="43"/>
      <c r="K3440" t="str">
        <f>IFERROR(+VLOOKUP(Movimientos_2026[[#This Row],[Codigo]],Plan_cuentas[],6,FALSE)," ")</f>
        <v xml:space="preserve"> </v>
      </c>
      <c r="L3440" s="50"/>
      <c r="M3440" s="50"/>
      <c r="N3440" s="20">
        <f>+Movimientos_2026[[#This Row],[Ingresos]]-Movimientos_2026[[#This Row],[Egresos]]</f>
        <v>0</v>
      </c>
      <c r="O3440" s="20">
        <f>+O3439+Movimientos_2026[[#This Row],[Neto]]</f>
        <v>4581558617.7962294</v>
      </c>
    </row>
    <row r="3441" spans="1:15" x14ac:dyDescent="0.25">
      <c r="A3441" s="13"/>
      <c r="B3441" s="12">
        <f>MONTH(Movimientos_2026[[#This Row],[Fecha]])</f>
        <v>1</v>
      </c>
      <c r="C3441" s="12" t="str">
        <f>VLOOKUP((WEEKDAY(Movimientos_2026[[#This Row],[Fecha]],2)),'5. Setup'!$D$6:$E$12,2,FALSE)</f>
        <v>Sab</v>
      </c>
      <c r="E3441" t="str">
        <f>IFERROR(+VLOOKUP(Movimientos_2026[[#This Row],[Codigo]],Plan_cuentas[],2,FALSE)," ")</f>
        <v xml:space="preserve"> </v>
      </c>
      <c r="F3441" t="str">
        <f>IFERROR(+VLOOKUP(Movimientos_2026[[#This Row],[Codigo]],Plan_cuentas[],3,FALSE)," ")</f>
        <v xml:space="preserve"> </v>
      </c>
      <c r="G3441" t="str">
        <f>IFERROR(+VLOOKUP(Movimientos_2026[[#This Row],[Codigo]],Plan_cuentas[],4,FALSE)," ")</f>
        <v xml:space="preserve"> </v>
      </c>
      <c r="H3441" t="str">
        <f>IFERROR(+VLOOKUP(Movimientos_2026[[#This Row],[Codigo]],Plan_cuentas[],5,FALSE)," ")</f>
        <v xml:space="preserve"> </v>
      </c>
      <c r="I3441" s="43"/>
      <c r="K3441" t="str">
        <f>IFERROR(+VLOOKUP(Movimientos_2026[[#This Row],[Codigo]],Plan_cuentas[],6,FALSE)," ")</f>
        <v xml:space="preserve"> </v>
      </c>
      <c r="L3441" s="50"/>
      <c r="M3441" s="50"/>
      <c r="N3441" s="20">
        <f>+Movimientos_2026[[#This Row],[Ingresos]]-Movimientos_2026[[#This Row],[Egresos]]</f>
        <v>0</v>
      </c>
      <c r="O3441" s="20">
        <f>+O3440+Movimientos_2026[[#This Row],[Neto]]</f>
        <v>4581558617.7962294</v>
      </c>
    </row>
    <row r="3442" spans="1:15" x14ac:dyDescent="0.25">
      <c r="A3442" s="13"/>
      <c r="B3442" s="12">
        <f>MONTH(Movimientos_2026[[#This Row],[Fecha]])</f>
        <v>1</v>
      </c>
      <c r="C3442" s="12" t="str">
        <f>VLOOKUP((WEEKDAY(Movimientos_2026[[#This Row],[Fecha]],2)),'5. Setup'!$D$6:$E$12,2,FALSE)</f>
        <v>Sab</v>
      </c>
      <c r="E3442" t="str">
        <f>IFERROR(+VLOOKUP(Movimientos_2026[[#This Row],[Codigo]],Plan_cuentas[],2,FALSE)," ")</f>
        <v xml:space="preserve"> </v>
      </c>
      <c r="F3442" t="str">
        <f>IFERROR(+VLOOKUP(Movimientos_2026[[#This Row],[Codigo]],Plan_cuentas[],3,FALSE)," ")</f>
        <v xml:space="preserve"> </v>
      </c>
      <c r="G3442" t="str">
        <f>IFERROR(+VLOOKUP(Movimientos_2026[[#This Row],[Codigo]],Plan_cuentas[],4,FALSE)," ")</f>
        <v xml:space="preserve"> </v>
      </c>
      <c r="H3442" t="str">
        <f>IFERROR(+VLOOKUP(Movimientos_2026[[#This Row],[Codigo]],Plan_cuentas[],5,FALSE)," ")</f>
        <v xml:space="preserve"> </v>
      </c>
      <c r="I3442" s="43"/>
      <c r="K3442" t="str">
        <f>IFERROR(+VLOOKUP(Movimientos_2026[[#This Row],[Codigo]],Plan_cuentas[],6,FALSE)," ")</f>
        <v xml:space="preserve"> </v>
      </c>
      <c r="L3442" s="50"/>
      <c r="M3442" s="50"/>
      <c r="N3442" s="20">
        <f>+Movimientos_2026[[#This Row],[Ingresos]]-Movimientos_2026[[#This Row],[Egresos]]</f>
        <v>0</v>
      </c>
      <c r="O3442" s="20">
        <f>+O3441+Movimientos_2026[[#This Row],[Neto]]</f>
        <v>4581558617.7962294</v>
      </c>
    </row>
    <row r="3443" spans="1:15" x14ac:dyDescent="0.25">
      <c r="A3443" s="13"/>
      <c r="B3443" s="12">
        <f>MONTH(Movimientos_2026[[#This Row],[Fecha]])</f>
        <v>1</v>
      </c>
      <c r="C3443" s="12" t="str">
        <f>VLOOKUP((WEEKDAY(Movimientos_2026[[#This Row],[Fecha]],2)),'5. Setup'!$D$6:$E$12,2,FALSE)</f>
        <v>Sab</v>
      </c>
      <c r="E3443" t="str">
        <f>IFERROR(+VLOOKUP(Movimientos_2026[[#This Row],[Codigo]],Plan_cuentas[],2,FALSE)," ")</f>
        <v xml:space="preserve"> </v>
      </c>
      <c r="F3443" t="str">
        <f>IFERROR(+VLOOKUP(Movimientos_2026[[#This Row],[Codigo]],Plan_cuentas[],3,FALSE)," ")</f>
        <v xml:space="preserve"> </v>
      </c>
      <c r="G3443" t="str">
        <f>IFERROR(+VLOOKUP(Movimientos_2026[[#This Row],[Codigo]],Plan_cuentas[],4,FALSE)," ")</f>
        <v xml:space="preserve"> </v>
      </c>
      <c r="H3443" t="str">
        <f>IFERROR(+VLOOKUP(Movimientos_2026[[#This Row],[Codigo]],Plan_cuentas[],5,FALSE)," ")</f>
        <v xml:space="preserve"> </v>
      </c>
      <c r="I3443" s="43"/>
      <c r="K3443" t="str">
        <f>IFERROR(+VLOOKUP(Movimientos_2026[[#This Row],[Codigo]],Plan_cuentas[],6,FALSE)," ")</f>
        <v xml:space="preserve"> </v>
      </c>
      <c r="L3443" s="50"/>
      <c r="M3443" s="50"/>
      <c r="N3443" s="20">
        <f>+Movimientos_2026[[#This Row],[Ingresos]]-Movimientos_2026[[#This Row],[Egresos]]</f>
        <v>0</v>
      </c>
      <c r="O3443" s="20">
        <f>+O3442+Movimientos_2026[[#This Row],[Neto]]</f>
        <v>4581558617.7962294</v>
      </c>
    </row>
    <row r="3444" spans="1:15" x14ac:dyDescent="0.25">
      <c r="A3444" s="13"/>
      <c r="B3444" s="12">
        <f>MONTH(Movimientos_2026[[#This Row],[Fecha]])</f>
        <v>1</v>
      </c>
      <c r="C3444" s="12" t="str">
        <f>VLOOKUP((WEEKDAY(Movimientos_2026[[#This Row],[Fecha]],2)),'5. Setup'!$D$6:$E$12,2,FALSE)</f>
        <v>Sab</v>
      </c>
      <c r="E3444" t="str">
        <f>IFERROR(+VLOOKUP(Movimientos_2026[[#This Row],[Codigo]],Plan_cuentas[],2,FALSE)," ")</f>
        <v xml:space="preserve"> </v>
      </c>
      <c r="F3444" t="str">
        <f>IFERROR(+VLOOKUP(Movimientos_2026[[#This Row],[Codigo]],Plan_cuentas[],3,FALSE)," ")</f>
        <v xml:space="preserve"> </v>
      </c>
      <c r="G3444" t="str">
        <f>IFERROR(+VLOOKUP(Movimientos_2026[[#This Row],[Codigo]],Plan_cuentas[],4,FALSE)," ")</f>
        <v xml:space="preserve"> </v>
      </c>
      <c r="H3444" t="str">
        <f>IFERROR(+VLOOKUP(Movimientos_2026[[#This Row],[Codigo]],Plan_cuentas[],5,FALSE)," ")</f>
        <v xml:space="preserve"> </v>
      </c>
      <c r="I3444" s="43"/>
      <c r="K3444" t="str">
        <f>IFERROR(+VLOOKUP(Movimientos_2026[[#This Row],[Codigo]],Plan_cuentas[],6,FALSE)," ")</f>
        <v xml:space="preserve"> </v>
      </c>
      <c r="L3444" s="50"/>
      <c r="M3444" s="50"/>
      <c r="N3444" s="20">
        <f>+Movimientos_2026[[#This Row],[Ingresos]]-Movimientos_2026[[#This Row],[Egresos]]</f>
        <v>0</v>
      </c>
      <c r="O3444" s="20">
        <f>+O3443+Movimientos_2026[[#This Row],[Neto]]</f>
        <v>4581558617.7962294</v>
      </c>
    </row>
    <row r="3445" spans="1:15" x14ac:dyDescent="0.25">
      <c r="A3445" s="13"/>
      <c r="B3445" s="12">
        <f>MONTH(Movimientos_2026[[#This Row],[Fecha]])</f>
        <v>1</v>
      </c>
      <c r="C3445" s="12" t="str">
        <f>VLOOKUP((WEEKDAY(Movimientos_2026[[#This Row],[Fecha]],2)),'5. Setup'!$D$6:$E$12,2,FALSE)</f>
        <v>Sab</v>
      </c>
      <c r="E3445" t="str">
        <f>IFERROR(+VLOOKUP(Movimientos_2026[[#This Row],[Codigo]],Plan_cuentas[],2,FALSE)," ")</f>
        <v xml:space="preserve"> </v>
      </c>
      <c r="F3445" t="str">
        <f>IFERROR(+VLOOKUP(Movimientos_2026[[#This Row],[Codigo]],Plan_cuentas[],3,FALSE)," ")</f>
        <v xml:space="preserve"> </v>
      </c>
      <c r="G3445" t="str">
        <f>IFERROR(+VLOOKUP(Movimientos_2026[[#This Row],[Codigo]],Plan_cuentas[],4,FALSE)," ")</f>
        <v xml:space="preserve"> </v>
      </c>
      <c r="H3445" t="str">
        <f>IFERROR(+VLOOKUP(Movimientos_2026[[#This Row],[Codigo]],Plan_cuentas[],5,FALSE)," ")</f>
        <v xml:space="preserve"> </v>
      </c>
      <c r="I3445" s="43"/>
      <c r="K3445" t="str">
        <f>IFERROR(+VLOOKUP(Movimientos_2026[[#This Row],[Codigo]],Plan_cuentas[],6,FALSE)," ")</f>
        <v xml:space="preserve"> </v>
      </c>
      <c r="L3445" s="50"/>
      <c r="M3445" s="50"/>
      <c r="N3445" s="20">
        <f>+Movimientos_2026[[#This Row],[Ingresos]]-Movimientos_2026[[#This Row],[Egresos]]</f>
        <v>0</v>
      </c>
      <c r="O3445" s="20">
        <f>+O3444+Movimientos_2026[[#This Row],[Neto]]</f>
        <v>4581558617.7962294</v>
      </c>
    </row>
    <row r="3446" spans="1:15" x14ac:dyDescent="0.25">
      <c r="A3446" s="13"/>
      <c r="B3446" s="12">
        <f>MONTH(Movimientos_2026[[#This Row],[Fecha]])</f>
        <v>1</v>
      </c>
      <c r="C3446" s="12" t="str">
        <f>VLOOKUP((WEEKDAY(Movimientos_2026[[#This Row],[Fecha]],2)),'5. Setup'!$D$6:$E$12,2,FALSE)</f>
        <v>Sab</v>
      </c>
      <c r="E3446" t="str">
        <f>IFERROR(+VLOOKUP(Movimientos_2026[[#This Row],[Codigo]],Plan_cuentas[],2,FALSE)," ")</f>
        <v xml:space="preserve"> </v>
      </c>
      <c r="F3446" t="str">
        <f>IFERROR(+VLOOKUP(Movimientos_2026[[#This Row],[Codigo]],Plan_cuentas[],3,FALSE)," ")</f>
        <v xml:space="preserve"> </v>
      </c>
      <c r="G3446" t="str">
        <f>IFERROR(+VLOOKUP(Movimientos_2026[[#This Row],[Codigo]],Plan_cuentas[],4,FALSE)," ")</f>
        <v xml:space="preserve"> </v>
      </c>
      <c r="H3446" t="str">
        <f>IFERROR(+VLOOKUP(Movimientos_2026[[#This Row],[Codigo]],Plan_cuentas[],5,FALSE)," ")</f>
        <v xml:space="preserve"> </v>
      </c>
      <c r="I3446" s="43"/>
      <c r="K3446" t="str">
        <f>IFERROR(+VLOOKUP(Movimientos_2026[[#This Row],[Codigo]],Plan_cuentas[],6,FALSE)," ")</f>
        <v xml:space="preserve"> </v>
      </c>
      <c r="L3446" s="50"/>
      <c r="M3446" s="50"/>
      <c r="N3446" s="20">
        <f>+Movimientos_2026[[#This Row],[Ingresos]]-Movimientos_2026[[#This Row],[Egresos]]</f>
        <v>0</v>
      </c>
      <c r="O3446" s="20">
        <f>+O3445+Movimientos_2026[[#This Row],[Neto]]</f>
        <v>4581558617.7962294</v>
      </c>
    </row>
    <row r="3447" spans="1:15" x14ac:dyDescent="0.25">
      <c r="A3447" s="13"/>
      <c r="B3447" s="12">
        <f>MONTH(Movimientos_2026[[#This Row],[Fecha]])</f>
        <v>1</v>
      </c>
      <c r="C3447" s="12" t="str">
        <f>VLOOKUP((WEEKDAY(Movimientos_2026[[#This Row],[Fecha]],2)),'5. Setup'!$D$6:$E$12,2,FALSE)</f>
        <v>Sab</v>
      </c>
      <c r="E3447" t="str">
        <f>IFERROR(+VLOOKUP(Movimientos_2026[[#This Row],[Codigo]],Plan_cuentas[],2,FALSE)," ")</f>
        <v xml:space="preserve"> </v>
      </c>
      <c r="F3447" t="str">
        <f>IFERROR(+VLOOKUP(Movimientos_2026[[#This Row],[Codigo]],Plan_cuentas[],3,FALSE)," ")</f>
        <v xml:space="preserve"> </v>
      </c>
      <c r="G3447" t="str">
        <f>IFERROR(+VLOOKUP(Movimientos_2026[[#This Row],[Codigo]],Plan_cuentas[],4,FALSE)," ")</f>
        <v xml:space="preserve"> </v>
      </c>
      <c r="H3447" t="str">
        <f>IFERROR(+VLOOKUP(Movimientos_2026[[#This Row],[Codigo]],Plan_cuentas[],5,FALSE)," ")</f>
        <v xml:space="preserve"> </v>
      </c>
      <c r="I3447" s="43"/>
      <c r="K3447" t="str">
        <f>IFERROR(+VLOOKUP(Movimientos_2026[[#This Row],[Codigo]],Plan_cuentas[],6,FALSE)," ")</f>
        <v xml:space="preserve"> </v>
      </c>
      <c r="L3447" s="50"/>
      <c r="M3447" s="50"/>
      <c r="N3447" s="20">
        <f>+Movimientos_2026[[#This Row],[Ingresos]]-Movimientos_2026[[#This Row],[Egresos]]</f>
        <v>0</v>
      </c>
      <c r="O3447" s="20">
        <f>+O3446+Movimientos_2026[[#This Row],[Neto]]</f>
        <v>4581558617.7962294</v>
      </c>
    </row>
    <row r="3448" spans="1:15" x14ac:dyDescent="0.25">
      <c r="A3448" s="13"/>
      <c r="B3448" s="12">
        <f>MONTH(Movimientos_2026[[#This Row],[Fecha]])</f>
        <v>1</v>
      </c>
      <c r="C3448" s="12" t="str">
        <f>VLOOKUP((WEEKDAY(Movimientos_2026[[#This Row],[Fecha]],2)),'5. Setup'!$D$6:$E$12,2,FALSE)</f>
        <v>Sab</v>
      </c>
      <c r="E3448" t="str">
        <f>IFERROR(+VLOOKUP(Movimientos_2026[[#This Row],[Codigo]],Plan_cuentas[],2,FALSE)," ")</f>
        <v xml:space="preserve"> </v>
      </c>
      <c r="F3448" t="str">
        <f>IFERROR(+VLOOKUP(Movimientos_2026[[#This Row],[Codigo]],Plan_cuentas[],3,FALSE)," ")</f>
        <v xml:space="preserve"> </v>
      </c>
      <c r="G3448" t="str">
        <f>IFERROR(+VLOOKUP(Movimientos_2026[[#This Row],[Codigo]],Plan_cuentas[],4,FALSE)," ")</f>
        <v xml:space="preserve"> </v>
      </c>
      <c r="H3448" t="str">
        <f>IFERROR(+VLOOKUP(Movimientos_2026[[#This Row],[Codigo]],Plan_cuentas[],5,FALSE)," ")</f>
        <v xml:space="preserve"> </v>
      </c>
      <c r="I3448" s="43"/>
      <c r="K3448" t="str">
        <f>IFERROR(+VLOOKUP(Movimientos_2026[[#This Row],[Codigo]],Plan_cuentas[],6,FALSE)," ")</f>
        <v xml:space="preserve"> </v>
      </c>
      <c r="L3448" s="50"/>
      <c r="M3448" s="50"/>
      <c r="N3448" s="20">
        <f>+Movimientos_2026[[#This Row],[Ingresos]]-Movimientos_2026[[#This Row],[Egresos]]</f>
        <v>0</v>
      </c>
      <c r="O3448" s="20">
        <f>+O3447+Movimientos_2026[[#This Row],[Neto]]</f>
        <v>4581558617.7962294</v>
      </c>
    </row>
    <row r="3449" spans="1:15" x14ac:dyDescent="0.25">
      <c r="A3449" s="13"/>
      <c r="B3449" s="12">
        <f>MONTH(Movimientos_2026[[#This Row],[Fecha]])</f>
        <v>1</v>
      </c>
      <c r="C3449" s="12" t="str">
        <f>VLOOKUP((WEEKDAY(Movimientos_2026[[#This Row],[Fecha]],2)),'5. Setup'!$D$6:$E$12,2,FALSE)</f>
        <v>Sab</v>
      </c>
      <c r="E3449" t="str">
        <f>IFERROR(+VLOOKUP(Movimientos_2026[[#This Row],[Codigo]],Plan_cuentas[],2,FALSE)," ")</f>
        <v xml:space="preserve"> </v>
      </c>
      <c r="F3449" t="str">
        <f>IFERROR(+VLOOKUP(Movimientos_2026[[#This Row],[Codigo]],Plan_cuentas[],3,FALSE)," ")</f>
        <v xml:space="preserve"> </v>
      </c>
      <c r="G3449" t="str">
        <f>IFERROR(+VLOOKUP(Movimientos_2026[[#This Row],[Codigo]],Plan_cuentas[],4,FALSE)," ")</f>
        <v xml:space="preserve"> </v>
      </c>
      <c r="H3449" t="str">
        <f>IFERROR(+VLOOKUP(Movimientos_2026[[#This Row],[Codigo]],Plan_cuentas[],5,FALSE)," ")</f>
        <v xml:space="preserve"> </v>
      </c>
      <c r="I3449" s="43"/>
      <c r="K3449" t="str">
        <f>IFERROR(+VLOOKUP(Movimientos_2026[[#This Row],[Codigo]],Plan_cuentas[],6,FALSE)," ")</f>
        <v xml:space="preserve"> </v>
      </c>
      <c r="L3449" s="50"/>
      <c r="M3449" s="50"/>
      <c r="N3449" s="20">
        <f>+Movimientos_2026[[#This Row],[Ingresos]]-Movimientos_2026[[#This Row],[Egresos]]</f>
        <v>0</v>
      </c>
      <c r="O3449" s="20">
        <f>+O3448+Movimientos_2026[[#This Row],[Neto]]</f>
        <v>4581558617.7962294</v>
      </c>
    </row>
    <row r="3450" spans="1:15" x14ac:dyDescent="0.25">
      <c r="A3450" s="13"/>
      <c r="B3450" s="12">
        <f>MONTH(Movimientos_2026[[#This Row],[Fecha]])</f>
        <v>1</v>
      </c>
      <c r="C3450" s="12" t="str">
        <f>VLOOKUP((WEEKDAY(Movimientos_2026[[#This Row],[Fecha]],2)),'5. Setup'!$D$6:$E$12,2,FALSE)</f>
        <v>Sab</v>
      </c>
      <c r="E3450" t="str">
        <f>IFERROR(+VLOOKUP(Movimientos_2026[[#This Row],[Codigo]],Plan_cuentas[],2,FALSE)," ")</f>
        <v xml:space="preserve"> </v>
      </c>
      <c r="F3450" t="str">
        <f>IFERROR(+VLOOKUP(Movimientos_2026[[#This Row],[Codigo]],Plan_cuentas[],3,FALSE)," ")</f>
        <v xml:space="preserve"> </v>
      </c>
      <c r="G3450" t="str">
        <f>IFERROR(+VLOOKUP(Movimientos_2026[[#This Row],[Codigo]],Plan_cuentas[],4,FALSE)," ")</f>
        <v xml:space="preserve"> </v>
      </c>
      <c r="H3450" t="str">
        <f>IFERROR(+VLOOKUP(Movimientos_2026[[#This Row],[Codigo]],Plan_cuentas[],5,FALSE)," ")</f>
        <v xml:space="preserve"> </v>
      </c>
      <c r="I3450" s="43"/>
      <c r="K3450" t="str">
        <f>IFERROR(+VLOOKUP(Movimientos_2026[[#This Row],[Codigo]],Plan_cuentas[],6,FALSE)," ")</f>
        <v xml:space="preserve"> </v>
      </c>
      <c r="L3450" s="50"/>
      <c r="M3450" s="50"/>
      <c r="N3450" s="20">
        <f>+Movimientos_2026[[#This Row],[Ingresos]]-Movimientos_2026[[#This Row],[Egresos]]</f>
        <v>0</v>
      </c>
      <c r="O3450" s="20">
        <f>+O3449+Movimientos_2026[[#This Row],[Neto]]</f>
        <v>4581558617.7962294</v>
      </c>
    </row>
    <row r="3451" spans="1:15" x14ac:dyDescent="0.25">
      <c r="A3451" s="13"/>
      <c r="B3451" s="12">
        <f>MONTH(Movimientos_2026[[#This Row],[Fecha]])</f>
        <v>1</v>
      </c>
      <c r="C3451" s="12" t="str">
        <f>VLOOKUP((WEEKDAY(Movimientos_2026[[#This Row],[Fecha]],2)),'5. Setup'!$D$6:$E$12,2,FALSE)</f>
        <v>Sab</v>
      </c>
      <c r="E3451" t="str">
        <f>IFERROR(+VLOOKUP(Movimientos_2026[[#This Row],[Codigo]],Plan_cuentas[],2,FALSE)," ")</f>
        <v xml:space="preserve"> </v>
      </c>
      <c r="F3451" t="str">
        <f>IFERROR(+VLOOKUP(Movimientos_2026[[#This Row],[Codigo]],Plan_cuentas[],3,FALSE)," ")</f>
        <v xml:space="preserve"> </v>
      </c>
      <c r="G3451" t="str">
        <f>IFERROR(+VLOOKUP(Movimientos_2026[[#This Row],[Codigo]],Plan_cuentas[],4,FALSE)," ")</f>
        <v xml:space="preserve"> </v>
      </c>
      <c r="H3451" t="str">
        <f>IFERROR(+VLOOKUP(Movimientos_2026[[#This Row],[Codigo]],Plan_cuentas[],5,FALSE)," ")</f>
        <v xml:space="preserve"> </v>
      </c>
      <c r="I3451" s="43"/>
      <c r="K3451" t="str">
        <f>IFERROR(+VLOOKUP(Movimientos_2026[[#This Row],[Codigo]],Plan_cuentas[],6,FALSE)," ")</f>
        <v xml:space="preserve"> </v>
      </c>
      <c r="L3451" s="50"/>
      <c r="M3451" s="50"/>
      <c r="N3451" s="20">
        <f>+Movimientos_2026[[#This Row],[Ingresos]]-Movimientos_2026[[#This Row],[Egresos]]</f>
        <v>0</v>
      </c>
      <c r="O3451" s="20">
        <f>+O3450+Movimientos_2026[[#This Row],[Neto]]</f>
        <v>4581558617.7962294</v>
      </c>
    </row>
    <row r="3452" spans="1:15" x14ac:dyDescent="0.25">
      <c r="A3452" s="13"/>
      <c r="B3452" s="12">
        <f>MONTH(Movimientos_2026[[#This Row],[Fecha]])</f>
        <v>1</v>
      </c>
      <c r="C3452" s="12" t="str">
        <f>VLOOKUP((WEEKDAY(Movimientos_2026[[#This Row],[Fecha]],2)),'5. Setup'!$D$6:$E$12,2,FALSE)</f>
        <v>Sab</v>
      </c>
      <c r="E3452" t="str">
        <f>IFERROR(+VLOOKUP(Movimientos_2026[[#This Row],[Codigo]],Plan_cuentas[],2,FALSE)," ")</f>
        <v xml:space="preserve"> </v>
      </c>
      <c r="F3452" t="str">
        <f>IFERROR(+VLOOKUP(Movimientos_2026[[#This Row],[Codigo]],Plan_cuentas[],3,FALSE)," ")</f>
        <v xml:space="preserve"> </v>
      </c>
      <c r="G3452" t="str">
        <f>IFERROR(+VLOOKUP(Movimientos_2026[[#This Row],[Codigo]],Plan_cuentas[],4,FALSE)," ")</f>
        <v xml:space="preserve"> </v>
      </c>
      <c r="H3452" t="str">
        <f>IFERROR(+VLOOKUP(Movimientos_2026[[#This Row],[Codigo]],Plan_cuentas[],5,FALSE)," ")</f>
        <v xml:space="preserve"> </v>
      </c>
      <c r="I3452" s="43"/>
      <c r="K3452" t="str">
        <f>IFERROR(+VLOOKUP(Movimientos_2026[[#This Row],[Codigo]],Plan_cuentas[],6,FALSE)," ")</f>
        <v xml:space="preserve"> </v>
      </c>
      <c r="L3452" s="50"/>
      <c r="M3452" s="50"/>
      <c r="N3452" s="20">
        <f>+Movimientos_2026[[#This Row],[Ingresos]]-Movimientos_2026[[#This Row],[Egresos]]</f>
        <v>0</v>
      </c>
      <c r="O3452" s="20">
        <f>+O3451+Movimientos_2026[[#This Row],[Neto]]</f>
        <v>4581558617.7962294</v>
      </c>
    </row>
    <row r="3453" spans="1:15" x14ac:dyDescent="0.25">
      <c r="A3453" s="13"/>
      <c r="B3453" s="12">
        <f>MONTH(Movimientos_2026[[#This Row],[Fecha]])</f>
        <v>1</v>
      </c>
      <c r="C3453" s="12" t="str">
        <f>VLOOKUP((WEEKDAY(Movimientos_2026[[#This Row],[Fecha]],2)),'5. Setup'!$D$6:$E$12,2,FALSE)</f>
        <v>Sab</v>
      </c>
      <c r="E3453" t="str">
        <f>IFERROR(+VLOOKUP(Movimientos_2026[[#This Row],[Codigo]],Plan_cuentas[],2,FALSE)," ")</f>
        <v xml:space="preserve"> </v>
      </c>
      <c r="F3453" t="str">
        <f>IFERROR(+VLOOKUP(Movimientos_2026[[#This Row],[Codigo]],Plan_cuentas[],3,FALSE)," ")</f>
        <v xml:space="preserve"> </v>
      </c>
      <c r="G3453" t="str">
        <f>IFERROR(+VLOOKUP(Movimientos_2026[[#This Row],[Codigo]],Plan_cuentas[],4,FALSE)," ")</f>
        <v xml:space="preserve"> </v>
      </c>
      <c r="H3453" t="str">
        <f>IFERROR(+VLOOKUP(Movimientos_2026[[#This Row],[Codigo]],Plan_cuentas[],5,FALSE)," ")</f>
        <v xml:space="preserve"> </v>
      </c>
      <c r="I3453" s="43"/>
      <c r="K3453" t="str">
        <f>IFERROR(+VLOOKUP(Movimientos_2026[[#This Row],[Codigo]],Plan_cuentas[],6,FALSE)," ")</f>
        <v xml:space="preserve"> </v>
      </c>
      <c r="L3453" s="50"/>
      <c r="M3453" s="50"/>
      <c r="N3453" s="20">
        <f>+Movimientos_2026[[#This Row],[Ingresos]]-Movimientos_2026[[#This Row],[Egresos]]</f>
        <v>0</v>
      </c>
      <c r="O3453" s="20">
        <f>+O3452+Movimientos_2026[[#This Row],[Neto]]</f>
        <v>4581558617.7962294</v>
      </c>
    </row>
    <row r="3454" spans="1:15" x14ac:dyDescent="0.25">
      <c r="A3454" s="13"/>
      <c r="B3454" s="12">
        <f>MONTH(Movimientos_2026[[#This Row],[Fecha]])</f>
        <v>1</v>
      </c>
      <c r="C3454" s="12" t="str">
        <f>VLOOKUP((WEEKDAY(Movimientos_2026[[#This Row],[Fecha]],2)),'5. Setup'!$D$6:$E$12,2,FALSE)</f>
        <v>Sab</v>
      </c>
      <c r="E3454" t="str">
        <f>IFERROR(+VLOOKUP(Movimientos_2026[[#This Row],[Codigo]],Plan_cuentas[],2,FALSE)," ")</f>
        <v xml:space="preserve"> </v>
      </c>
      <c r="F3454" t="str">
        <f>IFERROR(+VLOOKUP(Movimientos_2026[[#This Row],[Codigo]],Plan_cuentas[],3,FALSE)," ")</f>
        <v xml:space="preserve"> </v>
      </c>
      <c r="G3454" t="str">
        <f>IFERROR(+VLOOKUP(Movimientos_2026[[#This Row],[Codigo]],Plan_cuentas[],4,FALSE)," ")</f>
        <v xml:space="preserve"> </v>
      </c>
      <c r="H3454" t="str">
        <f>IFERROR(+VLOOKUP(Movimientos_2026[[#This Row],[Codigo]],Plan_cuentas[],5,FALSE)," ")</f>
        <v xml:space="preserve"> </v>
      </c>
      <c r="I3454" s="43"/>
      <c r="K3454" t="str">
        <f>IFERROR(+VLOOKUP(Movimientos_2026[[#This Row],[Codigo]],Plan_cuentas[],6,FALSE)," ")</f>
        <v xml:space="preserve"> </v>
      </c>
      <c r="L3454" s="50"/>
      <c r="M3454" s="50"/>
      <c r="N3454" s="20">
        <f>+Movimientos_2026[[#This Row],[Ingresos]]-Movimientos_2026[[#This Row],[Egresos]]</f>
        <v>0</v>
      </c>
      <c r="O3454" s="20">
        <f>+O3453+Movimientos_2026[[#This Row],[Neto]]</f>
        <v>4581558617.7962294</v>
      </c>
    </row>
    <row r="3455" spans="1:15" x14ac:dyDescent="0.25">
      <c r="A3455" s="13"/>
      <c r="B3455" s="12">
        <f>MONTH(Movimientos_2026[[#This Row],[Fecha]])</f>
        <v>1</v>
      </c>
      <c r="C3455" s="12" t="str">
        <f>VLOOKUP((WEEKDAY(Movimientos_2026[[#This Row],[Fecha]],2)),'5. Setup'!$D$6:$E$12,2,FALSE)</f>
        <v>Sab</v>
      </c>
      <c r="E3455" t="str">
        <f>IFERROR(+VLOOKUP(Movimientos_2026[[#This Row],[Codigo]],Plan_cuentas[],2,FALSE)," ")</f>
        <v xml:space="preserve"> </v>
      </c>
      <c r="F3455" t="str">
        <f>IFERROR(+VLOOKUP(Movimientos_2026[[#This Row],[Codigo]],Plan_cuentas[],3,FALSE)," ")</f>
        <v xml:space="preserve"> </v>
      </c>
      <c r="G3455" t="str">
        <f>IFERROR(+VLOOKUP(Movimientos_2026[[#This Row],[Codigo]],Plan_cuentas[],4,FALSE)," ")</f>
        <v xml:space="preserve"> </v>
      </c>
      <c r="H3455" t="str">
        <f>IFERROR(+VLOOKUP(Movimientos_2026[[#This Row],[Codigo]],Plan_cuentas[],5,FALSE)," ")</f>
        <v xml:space="preserve"> </v>
      </c>
      <c r="I3455" s="43"/>
      <c r="K3455" t="str">
        <f>IFERROR(+VLOOKUP(Movimientos_2026[[#This Row],[Codigo]],Plan_cuentas[],6,FALSE)," ")</f>
        <v xml:space="preserve"> </v>
      </c>
      <c r="L3455" s="50"/>
      <c r="M3455" s="50"/>
      <c r="N3455" s="20">
        <f>+Movimientos_2026[[#This Row],[Ingresos]]-Movimientos_2026[[#This Row],[Egresos]]</f>
        <v>0</v>
      </c>
      <c r="O3455" s="20">
        <f>+O3454+Movimientos_2026[[#This Row],[Neto]]</f>
        <v>4581558617.7962294</v>
      </c>
    </row>
    <row r="3456" spans="1:15" x14ac:dyDescent="0.25">
      <c r="A3456" s="13"/>
      <c r="B3456" s="12">
        <f>MONTH(Movimientos_2026[[#This Row],[Fecha]])</f>
        <v>1</v>
      </c>
      <c r="C3456" s="12" t="str">
        <f>VLOOKUP((WEEKDAY(Movimientos_2026[[#This Row],[Fecha]],2)),'5. Setup'!$D$6:$E$12,2,FALSE)</f>
        <v>Sab</v>
      </c>
      <c r="E3456" t="str">
        <f>IFERROR(+VLOOKUP(Movimientos_2026[[#This Row],[Codigo]],Plan_cuentas[],2,FALSE)," ")</f>
        <v xml:space="preserve"> </v>
      </c>
      <c r="F3456" t="str">
        <f>IFERROR(+VLOOKUP(Movimientos_2026[[#This Row],[Codigo]],Plan_cuentas[],3,FALSE)," ")</f>
        <v xml:space="preserve"> </v>
      </c>
      <c r="G3456" t="str">
        <f>IFERROR(+VLOOKUP(Movimientos_2026[[#This Row],[Codigo]],Plan_cuentas[],4,FALSE)," ")</f>
        <v xml:space="preserve"> </v>
      </c>
      <c r="H3456" t="str">
        <f>IFERROR(+VLOOKUP(Movimientos_2026[[#This Row],[Codigo]],Plan_cuentas[],5,FALSE)," ")</f>
        <v xml:space="preserve"> </v>
      </c>
      <c r="I3456" s="43"/>
      <c r="K3456" t="str">
        <f>IFERROR(+VLOOKUP(Movimientos_2026[[#This Row],[Codigo]],Plan_cuentas[],6,FALSE)," ")</f>
        <v xml:space="preserve"> </v>
      </c>
      <c r="L3456" s="50"/>
      <c r="M3456" s="50"/>
      <c r="N3456" s="20">
        <f>+Movimientos_2026[[#This Row],[Ingresos]]-Movimientos_2026[[#This Row],[Egresos]]</f>
        <v>0</v>
      </c>
      <c r="O3456" s="20">
        <f>+O3455+Movimientos_2026[[#This Row],[Neto]]</f>
        <v>4581558617.7962294</v>
      </c>
    </row>
    <row r="3457" spans="1:15" x14ac:dyDescent="0.25">
      <c r="A3457" s="13"/>
      <c r="B3457" s="12">
        <f>MONTH(Movimientos_2026[[#This Row],[Fecha]])</f>
        <v>1</v>
      </c>
      <c r="C3457" s="12" t="str">
        <f>VLOOKUP((WEEKDAY(Movimientos_2026[[#This Row],[Fecha]],2)),'5. Setup'!$D$6:$E$12,2,FALSE)</f>
        <v>Sab</v>
      </c>
      <c r="E3457" s="54" t="str">
        <f>IFERROR(+VLOOKUP(Movimientos_2026[[#This Row],[Codigo]],Plan_cuentas[],2,FALSE)," ")</f>
        <v xml:space="preserve"> </v>
      </c>
      <c r="F3457" t="str">
        <f>IFERROR(+VLOOKUP(Movimientos_2026[[#This Row],[Codigo]],Plan_cuentas[],3,FALSE)," ")</f>
        <v xml:space="preserve"> </v>
      </c>
      <c r="G3457" t="str">
        <f>IFERROR(+VLOOKUP(Movimientos_2026[[#This Row],[Codigo]],Plan_cuentas[],4,FALSE)," ")</f>
        <v xml:space="preserve"> </v>
      </c>
      <c r="H3457" t="str">
        <f>IFERROR(+VLOOKUP(Movimientos_2026[[#This Row],[Codigo]],Plan_cuentas[],5,FALSE)," ")</f>
        <v xml:space="preserve"> </v>
      </c>
      <c r="I3457" s="43"/>
      <c r="K3457" t="str">
        <f>IFERROR(+VLOOKUP(Movimientos_2026[[#This Row],[Codigo]],Plan_cuentas[],6,FALSE)," ")</f>
        <v xml:space="preserve"> </v>
      </c>
      <c r="L3457" s="50"/>
      <c r="M3457" s="50"/>
      <c r="N3457" s="20">
        <f>+Movimientos_2026[[#This Row],[Ingresos]]-Movimientos_2026[[#This Row],[Egresos]]</f>
        <v>0</v>
      </c>
      <c r="O3457" s="20">
        <f>+O3456+Movimientos_2026[[#This Row],[Neto]]</f>
        <v>4581558617.7962294</v>
      </c>
    </row>
    <row r="3458" spans="1:15" x14ac:dyDescent="0.25">
      <c r="A3458" s="13"/>
      <c r="B3458" s="12">
        <f>MONTH(Movimientos_2026[[#This Row],[Fecha]])</f>
        <v>1</v>
      </c>
      <c r="C3458" s="12" t="str">
        <f>VLOOKUP((WEEKDAY(Movimientos_2026[[#This Row],[Fecha]],2)),'5. Setup'!$D$6:$E$12,2,FALSE)</f>
        <v>Sab</v>
      </c>
      <c r="E3458" t="str">
        <f>IFERROR(+VLOOKUP(Movimientos_2026[[#This Row],[Codigo]],Plan_cuentas[],2,FALSE)," ")</f>
        <v xml:space="preserve"> </v>
      </c>
      <c r="F3458" t="str">
        <f>IFERROR(+VLOOKUP(Movimientos_2026[[#This Row],[Codigo]],Plan_cuentas[],3,FALSE)," ")</f>
        <v xml:space="preserve"> </v>
      </c>
      <c r="G3458" t="str">
        <f>IFERROR(+VLOOKUP(Movimientos_2026[[#This Row],[Codigo]],Plan_cuentas[],4,FALSE)," ")</f>
        <v xml:space="preserve"> </v>
      </c>
      <c r="H3458" t="str">
        <f>IFERROR(+VLOOKUP(Movimientos_2026[[#This Row],[Codigo]],Plan_cuentas[],5,FALSE)," ")</f>
        <v xml:space="preserve"> </v>
      </c>
      <c r="I3458" s="43"/>
      <c r="K3458" t="str">
        <f>IFERROR(+VLOOKUP(Movimientos_2026[[#This Row],[Codigo]],Plan_cuentas[],6,FALSE)," ")</f>
        <v xml:space="preserve"> </v>
      </c>
      <c r="L3458" s="50"/>
      <c r="M3458" s="50"/>
      <c r="N3458" s="20">
        <f>+Movimientos_2026[[#This Row],[Ingresos]]-Movimientos_2026[[#This Row],[Egresos]]</f>
        <v>0</v>
      </c>
      <c r="O3458" s="20">
        <f>+O3457+Movimientos_2026[[#This Row],[Neto]]</f>
        <v>4581558617.7962294</v>
      </c>
    </row>
    <row r="3459" spans="1:15" x14ac:dyDescent="0.25">
      <c r="A3459" s="13"/>
      <c r="B3459" s="12">
        <f>MONTH(Movimientos_2026[[#This Row],[Fecha]])</f>
        <v>1</v>
      </c>
      <c r="C3459" s="12" t="str">
        <f>VLOOKUP((WEEKDAY(Movimientos_2026[[#This Row],[Fecha]],2)),'5. Setup'!$D$6:$E$12,2,FALSE)</f>
        <v>Sab</v>
      </c>
      <c r="E3459" t="str">
        <f>IFERROR(+VLOOKUP(Movimientos_2026[[#This Row],[Codigo]],Plan_cuentas[],2,FALSE)," ")</f>
        <v xml:space="preserve"> </v>
      </c>
      <c r="F3459" t="str">
        <f>IFERROR(+VLOOKUP(Movimientos_2026[[#This Row],[Codigo]],Plan_cuentas[],3,FALSE)," ")</f>
        <v xml:space="preserve"> </v>
      </c>
      <c r="G3459" t="str">
        <f>IFERROR(+VLOOKUP(Movimientos_2026[[#This Row],[Codigo]],Plan_cuentas[],4,FALSE)," ")</f>
        <v xml:space="preserve"> </v>
      </c>
      <c r="H3459" t="str">
        <f>IFERROR(+VLOOKUP(Movimientos_2026[[#This Row],[Codigo]],Plan_cuentas[],5,FALSE)," ")</f>
        <v xml:space="preserve"> </v>
      </c>
      <c r="I3459" s="43"/>
      <c r="K3459" t="str">
        <f>IFERROR(+VLOOKUP(Movimientos_2026[[#This Row],[Codigo]],Plan_cuentas[],6,FALSE)," ")</f>
        <v xml:space="preserve"> </v>
      </c>
      <c r="L3459" s="50"/>
      <c r="M3459" s="50"/>
      <c r="N3459" s="20">
        <f>+Movimientos_2026[[#This Row],[Ingresos]]-Movimientos_2026[[#This Row],[Egresos]]</f>
        <v>0</v>
      </c>
      <c r="O3459" s="20">
        <f>+O3458+Movimientos_2026[[#This Row],[Neto]]</f>
        <v>4581558617.7962294</v>
      </c>
    </row>
    <row r="3460" spans="1:15" x14ac:dyDescent="0.25">
      <c r="A3460" s="13"/>
      <c r="B3460" s="12">
        <f>MONTH(Movimientos_2026[[#This Row],[Fecha]])</f>
        <v>1</v>
      </c>
      <c r="C3460" s="12" t="str">
        <f>VLOOKUP((WEEKDAY(Movimientos_2026[[#This Row],[Fecha]],2)),'5. Setup'!$D$6:$E$12,2,FALSE)</f>
        <v>Sab</v>
      </c>
      <c r="E3460" t="str">
        <f>IFERROR(+VLOOKUP(Movimientos_2026[[#This Row],[Codigo]],Plan_cuentas[],2,FALSE)," ")</f>
        <v xml:space="preserve"> </v>
      </c>
      <c r="F3460" t="str">
        <f>IFERROR(+VLOOKUP(Movimientos_2026[[#This Row],[Codigo]],Plan_cuentas[],3,FALSE)," ")</f>
        <v xml:space="preserve"> </v>
      </c>
      <c r="G3460" t="str">
        <f>IFERROR(+VLOOKUP(Movimientos_2026[[#This Row],[Codigo]],Plan_cuentas[],4,FALSE)," ")</f>
        <v xml:space="preserve"> </v>
      </c>
      <c r="H3460" t="str">
        <f>IFERROR(+VLOOKUP(Movimientos_2026[[#This Row],[Codigo]],Plan_cuentas[],5,FALSE)," ")</f>
        <v xml:space="preserve"> </v>
      </c>
      <c r="I3460" s="43"/>
      <c r="K3460" t="str">
        <f>IFERROR(+VLOOKUP(Movimientos_2026[[#This Row],[Codigo]],Plan_cuentas[],6,FALSE)," ")</f>
        <v xml:space="preserve"> </v>
      </c>
      <c r="L3460" s="50"/>
      <c r="M3460" s="50"/>
      <c r="N3460" s="20">
        <f>+Movimientos_2026[[#This Row],[Ingresos]]-Movimientos_2026[[#This Row],[Egresos]]</f>
        <v>0</v>
      </c>
      <c r="O3460" s="20">
        <f>+O3459+Movimientos_2026[[#This Row],[Neto]]</f>
        <v>4581558617.7962294</v>
      </c>
    </row>
    <row r="3461" spans="1:15" x14ac:dyDescent="0.25">
      <c r="A3461" s="13"/>
      <c r="B3461" s="12">
        <f>MONTH(Movimientos_2026[[#This Row],[Fecha]])</f>
        <v>1</v>
      </c>
      <c r="C3461" s="12" t="str">
        <f>VLOOKUP((WEEKDAY(Movimientos_2026[[#This Row],[Fecha]],2)),'5. Setup'!$D$6:$E$12,2,FALSE)</f>
        <v>Sab</v>
      </c>
      <c r="E3461" t="str">
        <f>IFERROR(+VLOOKUP(Movimientos_2026[[#This Row],[Codigo]],Plan_cuentas[],2,FALSE)," ")</f>
        <v xml:space="preserve"> </v>
      </c>
      <c r="F3461" t="str">
        <f>IFERROR(+VLOOKUP(Movimientos_2026[[#This Row],[Codigo]],Plan_cuentas[],3,FALSE)," ")</f>
        <v xml:space="preserve"> </v>
      </c>
      <c r="G3461" t="str">
        <f>IFERROR(+VLOOKUP(Movimientos_2026[[#This Row],[Codigo]],Plan_cuentas[],4,FALSE)," ")</f>
        <v xml:space="preserve"> </v>
      </c>
      <c r="H3461" t="str">
        <f>IFERROR(+VLOOKUP(Movimientos_2026[[#This Row],[Codigo]],Plan_cuentas[],5,FALSE)," ")</f>
        <v xml:space="preserve"> </v>
      </c>
      <c r="I3461" s="43"/>
      <c r="K3461" t="str">
        <f>IFERROR(+VLOOKUP(Movimientos_2026[[#This Row],[Codigo]],Plan_cuentas[],6,FALSE)," ")</f>
        <v xml:space="preserve"> </v>
      </c>
      <c r="L3461" s="50"/>
      <c r="M3461" s="50"/>
      <c r="N3461" s="20">
        <f>+Movimientos_2026[[#This Row],[Ingresos]]-Movimientos_2026[[#This Row],[Egresos]]</f>
        <v>0</v>
      </c>
      <c r="O3461" s="20">
        <f>+O3460+Movimientos_2026[[#This Row],[Neto]]</f>
        <v>4581558617.7962294</v>
      </c>
    </row>
    <row r="3462" spans="1:15" x14ac:dyDescent="0.25">
      <c r="A3462" s="13"/>
      <c r="B3462" s="12">
        <f>MONTH(Movimientos_2026[[#This Row],[Fecha]])</f>
        <v>1</v>
      </c>
      <c r="C3462" s="12" t="str">
        <f>VLOOKUP((WEEKDAY(Movimientos_2026[[#This Row],[Fecha]],2)),'5. Setup'!$D$6:$E$12,2,FALSE)</f>
        <v>Sab</v>
      </c>
      <c r="E3462" t="str">
        <f>IFERROR(+VLOOKUP(Movimientos_2026[[#This Row],[Codigo]],Plan_cuentas[],2,FALSE)," ")</f>
        <v xml:space="preserve"> </v>
      </c>
      <c r="F3462" t="str">
        <f>IFERROR(+VLOOKUP(Movimientos_2026[[#This Row],[Codigo]],Plan_cuentas[],3,FALSE)," ")</f>
        <v xml:space="preserve"> </v>
      </c>
      <c r="G3462" t="str">
        <f>IFERROR(+VLOOKUP(Movimientos_2026[[#This Row],[Codigo]],Plan_cuentas[],4,FALSE)," ")</f>
        <v xml:space="preserve"> </v>
      </c>
      <c r="H3462" t="str">
        <f>IFERROR(+VLOOKUP(Movimientos_2026[[#This Row],[Codigo]],Plan_cuentas[],5,FALSE)," ")</f>
        <v xml:space="preserve"> </v>
      </c>
      <c r="I3462" s="43"/>
      <c r="K3462" t="str">
        <f>IFERROR(+VLOOKUP(Movimientos_2026[[#This Row],[Codigo]],Plan_cuentas[],6,FALSE)," ")</f>
        <v xml:space="preserve"> </v>
      </c>
      <c r="L3462" s="50"/>
      <c r="M3462" s="50"/>
      <c r="N3462" s="20">
        <f>+Movimientos_2026[[#This Row],[Ingresos]]-Movimientos_2026[[#This Row],[Egresos]]</f>
        <v>0</v>
      </c>
      <c r="O3462" s="20">
        <f>+O3461+Movimientos_2026[[#This Row],[Neto]]</f>
        <v>4581558617.7962294</v>
      </c>
    </row>
    <row r="3463" spans="1:15" x14ac:dyDescent="0.25">
      <c r="A3463" s="13"/>
      <c r="B3463" s="12">
        <f>MONTH(Movimientos_2026[[#This Row],[Fecha]])</f>
        <v>1</v>
      </c>
      <c r="C3463" s="12" t="str">
        <f>VLOOKUP((WEEKDAY(Movimientos_2026[[#This Row],[Fecha]],2)),'5. Setup'!$D$6:$E$12,2,FALSE)</f>
        <v>Sab</v>
      </c>
      <c r="E3463" t="str">
        <f>IFERROR(+VLOOKUP(Movimientos_2026[[#This Row],[Codigo]],Plan_cuentas[],2,FALSE)," ")</f>
        <v xml:space="preserve"> </v>
      </c>
      <c r="F3463" t="str">
        <f>IFERROR(+VLOOKUP(Movimientos_2026[[#This Row],[Codigo]],Plan_cuentas[],3,FALSE)," ")</f>
        <v xml:space="preserve"> </v>
      </c>
      <c r="G3463" t="str">
        <f>IFERROR(+VLOOKUP(Movimientos_2026[[#This Row],[Codigo]],Plan_cuentas[],4,FALSE)," ")</f>
        <v xml:space="preserve"> </v>
      </c>
      <c r="H3463" t="str">
        <f>IFERROR(+VLOOKUP(Movimientos_2026[[#This Row],[Codigo]],Plan_cuentas[],5,FALSE)," ")</f>
        <v xml:space="preserve"> </v>
      </c>
      <c r="I3463" s="43"/>
      <c r="K3463" t="str">
        <f>IFERROR(+VLOOKUP(Movimientos_2026[[#This Row],[Codigo]],Plan_cuentas[],6,FALSE)," ")</f>
        <v xml:space="preserve"> </v>
      </c>
      <c r="L3463" s="50"/>
      <c r="M3463" s="50"/>
      <c r="N3463" s="20">
        <f>+Movimientos_2026[[#This Row],[Ingresos]]-Movimientos_2026[[#This Row],[Egresos]]</f>
        <v>0</v>
      </c>
      <c r="O3463" s="20">
        <f>+O3462+Movimientos_2026[[#This Row],[Neto]]</f>
        <v>4581558617.7962294</v>
      </c>
    </row>
    <row r="3464" spans="1:15" x14ac:dyDescent="0.25">
      <c r="A3464" s="13"/>
      <c r="B3464" s="12">
        <f>MONTH(Movimientos_2026[[#This Row],[Fecha]])</f>
        <v>1</v>
      </c>
      <c r="C3464" s="12" t="str">
        <f>VLOOKUP((WEEKDAY(Movimientos_2026[[#This Row],[Fecha]],2)),'5. Setup'!$D$6:$E$12,2,FALSE)</f>
        <v>Sab</v>
      </c>
      <c r="E3464" t="str">
        <f>IFERROR(+VLOOKUP(Movimientos_2026[[#This Row],[Codigo]],Plan_cuentas[],2,FALSE)," ")</f>
        <v xml:space="preserve"> </v>
      </c>
      <c r="F3464" t="str">
        <f>IFERROR(+VLOOKUP(Movimientos_2026[[#This Row],[Codigo]],Plan_cuentas[],3,FALSE)," ")</f>
        <v xml:space="preserve"> </v>
      </c>
      <c r="G3464" t="str">
        <f>IFERROR(+VLOOKUP(Movimientos_2026[[#This Row],[Codigo]],Plan_cuentas[],4,FALSE)," ")</f>
        <v xml:space="preserve"> </v>
      </c>
      <c r="H3464" t="str">
        <f>IFERROR(+VLOOKUP(Movimientos_2026[[#This Row],[Codigo]],Plan_cuentas[],5,FALSE)," ")</f>
        <v xml:space="preserve"> </v>
      </c>
      <c r="I3464" s="43"/>
      <c r="K3464" t="str">
        <f>IFERROR(+VLOOKUP(Movimientos_2026[[#This Row],[Codigo]],Plan_cuentas[],6,FALSE)," ")</f>
        <v xml:space="preserve"> </v>
      </c>
      <c r="L3464" s="50"/>
      <c r="M3464" s="50"/>
      <c r="N3464" s="20">
        <f>+Movimientos_2026[[#This Row],[Ingresos]]-Movimientos_2026[[#This Row],[Egresos]]</f>
        <v>0</v>
      </c>
      <c r="O3464" s="20">
        <f>+O3463+Movimientos_2026[[#This Row],[Neto]]</f>
        <v>4581558617.7962294</v>
      </c>
    </row>
    <row r="3465" spans="1:15" x14ac:dyDescent="0.25">
      <c r="A3465" s="13"/>
      <c r="B3465" s="12">
        <f>MONTH(Movimientos_2026[[#This Row],[Fecha]])</f>
        <v>1</v>
      </c>
      <c r="C3465" s="12" t="str">
        <f>VLOOKUP((WEEKDAY(Movimientos_2026[[#This Row],[Fecha]],2)),'5. Setup'!$D$6:$E$12,2,FALSE)</f>
        <v>Sab</v>
      </c>
      <c r="E3465" t="str">
        <f>IFERROR(+VLOOKUP(Movimientos_2026[[#This Row],[Codigo]],Plan_cuentas[],2,FALSE)," ")</f>
        <v xml:space="preserve"> </v>
      </c>
      <c r="F3465" t="str">
        <f>IFERROR(+VLOOKUP(Movimientos_2026[[#This Row],[Codigo]],Plan_cuentas[],3,FALSE)," ")</f>
        <v xml:space="preserve"> </v>
      </c>
      <c r="G3465" t="str">
        <f>IFERROR(+VLOOKUP(Movimientos_2026[[#This Row],[Codigo]],Plan_cuentas[],4,FALSE)," ")</f>
        <v xml:space="preserve"> </v>
      </c>
      <c r="H3465" t="str">
        <f>IFERROR(+VLOOKUP(Movimientos_2026[[#This Row],[Codigo]],Plan_cuentas[],5,FALSE)," ")</f>
        <v xml:space="preserve"> </v>
      </c>
      <c r="I3465" s="43"/>
      <c r="K3465" t="str">
        <f>IFERROR(+VLOOKUP(Movimientos_2026[[#This Row],[Codigo]],Plan_cuentas[],6,FALSE)," ")</f>
        <v xml:space="preserve"> </v>
      </c>
      <c r="L3465" s="50"/>
      <c r="M3465" s="50"/>
      <c r="N3465" s="20">
        <f>+Movimientos_2026[[#This Row],[Ingresos]]-Movimientos_2026[[#This Row],[Egresos]]</f>
        <v>0</v>
      </c>
      <c r="O3465" s="20">
        <f>+O3464+Movimientos_2026[[#This Row],[Neto]]</f>
        <v>4581558617.7962294</v>
      </c>
    </row>
    <row r="3466" spans="1:15" x14ac:dyDescent="0.25">
      <c r="A3466" s="13"/>
      <c r="B3466" s="12">
        <f>MONTH(Movimientos_2026[[#This Row],[Fecha]])</f>
        <v>1</v>
      </c>
      <c r="C3466" s="12" t="str">
        <f>VLOOKUP((WEEKDAY(Movimientos_2026[[#This Row],[Fecha]],2)),'5. Setup'!$D$6:$E$12,2,FALSE)</f>
        <v>Sab</v>
      </c>
      <c r="E3466" t="str">
        <f>IFERROR(+VLOOKUP(Movimientos_2026[[#This Row],[Codigo]],Plan_cuentas[],2,FALSE)," ")</f>
        <v xml:space="preserve"> </v>
      </c>
      <c r="F3466" t="str">
        <f>IFERROR(+VLOOKUP(Movimientos_2026[[#This Row],[Codigo]],Plan_cuentas[],3,FALSE)," ")</f>
        <v xml:space="preserve"> </v>
      </c>
      <c r="G3466" t="str">
        <f>IFERROR(+VLOOKUP(Movimientos_2026[[#This Row],[Codigo]],Plan_cuentas[],4,FALSE)," ")</f>
        <v xml:space="preserve"> </v>
      </c>
      <c r="H3466" t="str">
        <f>IFERROR(+VLOOKUP(Movimientos_2026[[#This Row],[Codigo]],Plan_cuentas[],5,FALSE)," ")</f>
        <v xml:space="preserve"> </v>
      </c>
      <c r="I3466" s="43"/>
      <c r="K3466" t="str">
        <f>IFERROR(+VLOOKUP(Movimientos_2026[[#This Row],[Codigo]],Plan_cuentas[],6,FALSE)," ")</f>
        <v xml:space="preserve"> </v>
      </c>
      <c r="L3466" s="50"/>
      <c r="M3466" s="50"/>
      <c r="N3466" s="20">
        <f>+Movimientos_2026[[#This Row],[Ingresos]]-Movimientos_2026[[#This Row],[Egresos]]</f>
        <v>0</v>
      </c>
      <c r="O3466" s="20">
        <f>+O3465+Movimientos_2026[[#This Row],[Neto]]</f>
        <v>4581558617.7962294</v>
      </c>
    </row>
    <row r="3467" spans="1:15" x14ac:dyDescent="0.25">
      <c r="A3467" s="13"/>
      <c r="B3467" s="12">
        <f>MONTH(Movimientos_2026[[#This Row],[Fecha]])</f>
        <v>1</v>
      </c>
      <c r="C3467" s="12" t="str">
        <f>VLOOKUP((WEEKDAY(Movimientos_2026[[#This Row],[Fecha]],2)),'5. Setup'!$D$6:$E$12,2,FALSE)</f>
        <v>Sab</v>
      </c>
      <c r="E3467" t="str">
        <f>IFERROR(+VLOOKUP(Movimientos_2026[[#This Row],[Codigo]],Plan_cuentas[],2,FALSE)," ")</f>
        <v xml:space="preserve"> </v>
      </c>
      <c r="F3467" t="str">
        <f>IFERROR(+VLOOKUP(Movimientos_2026[[#This Row],[Codigo]],Plan_cuentas[],3,FALSE)," ")</f>
        <v xml:space="preserve"> </v>
      </c>
      <c r="G3467" t="str">
        <f>IFERROR(+VLOOKUP(Movimientos_2026[[#This Row],[Codigo]],Plan_cuentas[],4,FALSE)," ")</f>
        <v xml:space="preserve"> </v>
      </c>
      <c r="H3467" t="str">
        <f>IFERROR(+VLOOKUP(Movimientos_2026[[#This Row],[Codigo]],Plan_cuentas[],5,FALSE)," ")</f>
        <v xml:space="preserve"> </v>
      </c>
      <c r="I3467" s="43"/>
      <c r="K3467" t="str">
        <f>IFERROR(+VLOOKUP(Movimientos_2026[[#This Row],[Codigo]],Plan_cuentas[],6,FALSE)," ")</f>
        <v xml:space="preserve"> </v>
      </c>
      <c r="L3467" s="50"/>
      <c r="M3467" s="50"/>
      <c r="N3467" s="20">
        <f>+Movimientos_2026[[#This Row],[Ingresos]]-Movimientos_2026[[#This Row],[Egresos]]</f>
        <v>0</v>
      </c>
      <c r="O3467" s="20">
        <f>+O3466+Movimientos_2026[[#This Row],[Neto]]</f>
        <v>4581558617.7962294</v>
      </c>
    </row>
    <row r="3468" spans="1:15" x14ac:dyDescent="0.25">
      <c r="A3468" s="13"/>
      <c r="B3468" s="12">
        <f>MONTH(Movimientos_2026[[#This Row],[Fecha]])</f>
        <v>1</v>
      </c>
      <c r="C3468" s="12" t="str">
        <f>VLOOKUP((WEEKDAY(Movimientos_2026[[#This Row],[Fecha]],2)),'5. Setup'!$D$6:$E$12,2,FALSE)</f>
        <v>Sab</v>
      </c>
      <c r="E3468" t="str">
        <f>IFERROR(+VLOOKUP(Movimientos_2026[[#This Row],[Codigo]],Plan_cuentas[],2,FALSE)," ")</f>
        <v xml:space="preserve"> </v>
      </c>
      <c r="F3468" t="str">
        <f>IFERROR(+VLOOKUP(Movimientos_2026[[#This Row],[Codigo]],Plan_cuentas[],3,FALSE)," ")</f>
        <v xml:space="preserve"> </v>
      </c>
      <c r="G3468" t="str">
        <f>IFERROR(+VLOOKUP(Movimientos_2026[[#This Row],[Codigo]],Plan_cuentas[],4,FALSE)," ")</f>
        <v xml:space="preserve"> </v>
      </c>
      <c r="H3468" t="str">
        <f>IFERROR(+VLOOKUP(Movimientos_2026[[#This Row],[Codigo]],Plan_cuentas[],5,FALSE)," ")</f>
        <v xml:space="preserve"> </v>
      </c>
      <c r="I3468" s="43"/>
      <c r="K3468" t="str">
        <f>IFERROR(+VLOOKUP(Movimientos_2026[[#This Row],[Codigo]],Plan_cuentas[],6,FALSE)," ")</f>
        <v xml:space="preserve"> </v>
      </c>
      <c r="L3468" s="50"/>
      <c r="M3468" s="50"/>
      <c r="N3468" s="20">
        <f>+Movimientos_2026[[#This Row],[Ingresos]]-Movimientos_2026[[#This Row],[Egresos]]</f>
        <v>0</v>
      </c>
      <c r="O3468" s="20">
        <f>+O3467+Movimientos_2026[[#This Row],[Neto]]</f>
        <v>4581558617.7962294</v>
      </c>
    </row>
    <row r="3469" spans="1:15" x14ac:dyDescent="0.25">
      <c r="A3469" s="13"/>
      <c r="B3469" s="12">
        <f>MONTH(Movimientos_2026[[#This Row],[Fecha]])</f>
        <v>1</v>
      </c>
      <c r="C3469" s="12" t="str">
        <f>VLOOKUP((WEEKDAY(Movimientos_2026[[#This Row],[Fecha]],2)),'5. Setup'!$D$6:$E$12,2,FALSE)</f>
        <v>Sab</v>
      </c>
      <c r="E3469" t="str">
        <f>IFERROR(+VLOOKUP(Movimientos_2026[[#This Row],[Codigo]],Plan_cuentas[],2,FALSE)," ")</f>
        <v xml:space="preserve"> </v>
      </c>
      <c r="F3469" t="str">
        <f>IFERROR(+VLOOKUP(Movimientos_2026[[#This Row],[Codigo]],Plan_cuentas[],3,FALSE)," ")</f>
        <v xml:space="preserve"> </v>
      </c>
      <c r="G3469" t="str">
        <f>IFERROR(+VLOOKUP(Movimientos_2026[[#This Row],[Codigo]],Plan_cuentas[],4,FALSE)," ")</f>
        <v xml:space="preserve"> </v>
      </c>
      <c r="H3469" t="str">
        <f>IFERROR(+VLOOKUP(Movimientos_2026[[#This Row],[Codigo]],Plan_cuentas[],5,FALSE)," ")</f>
        <v xml:space="preserve"> </v>
      </c>
      <c r="I3469" s="43"/>
      <c r="K3469" t="str">
        <f>IFERROR(+VLOOKUP(Movimientos_2026[[#This Row],[Codigo]],Plan_cuentas[],6,FALSE)," ")</f>
        <v xml:space="preserve"> </v>
      </c>
      <c r="L3469" s="50"/>
      <c r="M3469" s="50"/>
      <c r="N3469" s="20">
        <f>+Movimientos_2026[[#This Row],[Ingresos]]-Movimientos_2026[[#This Row],[Egresos]]</f>
        <v>0</v>
      </c>
      <c r="O3469" s="20">
        <f>+O3468+Movimientos_2026[[#This Row],[Neto]]</f>
        <v>4581558617.7962294</v>
      </c>
    </row>
    <row r="3470" spans="1:15" x14ac:dyDescent="0.25">
      <c r="A3470" s="13"/>
      <c r="B3470" s="12">
        <f>MONTH(Movimientos_2026[[#This Row],[Fecha]])</f>
        <v>1</v>
      </c>
      <c r="C3470" s="12" t="str">
        <f>VLOOKUP((WEEKDAY(Movimientos_2026[[#This Row],[Fecha]],2)),'5. Setup'!$D$6:$E$12,2,FALSE)</f>
        <v>Sab</v>
      </c>
      <c r="E3470" t="str">
        <f>IFERROR(+VLOOKUP(Movimientos_2026[[#This Row],[Codigo]],Plan_cuentas[],2,FALSE)," ")</f>
        <v xml:space="preserve"> </v>
      </c>
      <c r="F3470" t="str">
        <f>IFERROR(+VLOOKUP(Movimientos_2026[[#This Row],[Codigo]],Plan_cuentas[],3,FALSE)," ")</f>
        <v xml:space="preserve"> </v>
      </c>
      <c r="G3470" t="str">
        <f>IFERROR(+VLOOKUP(Movimientos_2026[[#This Row],[Codigo]],Plan_cuentas[],4,FALSE)," ")</f>
        <v xml:space="preserve"> </v>
      </c>
      <c r="H3470" t="str">
        <f>IFERROR(+VLOOKUP(Movimientos_2026[[#This Row],[Codigo]],Plan_cuentas[],5,FALSE)," ")</f>
        <v xml:space="preserve"> </v>
      </c>
      <c r="I3470" s="43"/>
      <c r="K3470" t="str">
        <f>IFERROR(+VLOOKUP(Movimientos_2026[[#This Row],[Codigo]],Plan_cuentas[],6,FALSE)," ")</f>
        <v xml:space="preserve"> </v>
      </c>
      <c r="L3470" s="50"/>
      <c r="M3470" s="50"/>
      <c r="N3470" s="20">
        <f>+Movimientos_2026[[#This Row],[Ingresos]]-Movimientos_2026[[#This Row],[Egresos]]</f>
        <v>0</v>
      </c>
      <c r="O3470" s="20">
        <f>+O3469+Movimientos_2026[[#This Row],[Neto]]</f>
        <v>4581558617.7962294</v>
      </c>
    </row>
    <row r="3471" spans="1:15" x14ac:dyDescent="0.25">
      <c r="A3471" s="13"/>
      <c r="B3471" s="12">
        <f>MONTH(Movimientos_2026[[#This Row],[Fecha]])</f>
        <v>1</v>
      </c>
      <c r="C3471" s="12" t="str">
        <f>VLOOKUP((WEEKDAY(Movimientos_2026[[#This Row],[Fecha]],2)),'5. Setup'!$D$6:$E$12,2,FALSE)</f>
        <v>Sab</v>
      </c>
      <c r="E3471" t="str">
        <f>IFERROR(+VLOOKUP(Movimientos_2026[[#This Row],[Codigo]],Plan_cuentas[],2,FALSE)," ")</f>
        <v xml:space="preserve"> </v>
      </c>
      <c r="F3471" t="str">
        <f>IFERROR(+VLOOKUP(Movimientos_2026[[#This Row],[Codigo]],Plan_cuentas[],3,FALSE)," ")</f>
        <v xml:space="preserve"> </v>
      </c>
      <c r="G3471" t="str">
        <f>IFERROR(+VLOOKUP(Movimientos_2026[[#This Row],[Codigo]],Plan_cuentas[],4,FALSE)," ")</f>
        <v xml:space="preserve"> </v>
      </c>
      <c r="H3471" t="str">
        <f>IFERROR(+VLOOKUP(Movimientos_2026[[#This Row],[Codigo]],Plan_cuentas[],5,FALSE)," ")</f>
        <v xml:space="preserve"> </v>
      </c>
      <c r="I3471" s="43"/>
      <c r="K3471" t="str">
        <f>IFERROR(+VLOOKUP(Movimientos_2026[[#This Row],[Codigo]],Plan_cuentas[],6,FALSE)," ")</f>
        <v xml:space="preserve"> </v>
      </c>
      <c r="L3471" s="50"/>
      <c r="M3471" s="50"/>
      <c r="N3471" s="20">
        <f>+Movimientos_2026[[#This Row],[Ingresos]]-Movimientos_2026[[#This Row],[Egresos]]</f>
        <v>0</v>
      </c>
      <c r="O3471" s="20">
        <f>+O3470+Movimientos_2026[[#This Row],[Neto]]</f>
        <v>4581558617.7962294</v>
      </c>
    </row>
    <row r="3472" spans="1:15" x14ac:dyDescent="0.25">
      <c r="A3472" s="13"/>
      <c r="B3472" s="12">
        <f>MONTH(Movimientos_2026[[#This Row],[Fecha]])</f>
        <v>1</v>
      </c>
      <c r="C3472" s="12" t="str">
        <f>VLOOKUP((WEEKDAY(Movimientos_2026[[#This Row],[Fecha]],2)),'5. Setup'!$D$6:$E$12,2,FALSE)</f>
        <v>Sab</v>
      </c>
      <c r="E3472" t="str">
        <f>IFERROR(+VLOOKUP(Movimientos_2026[[#This Row],[Codigo]],Plan_cuentas[],2,FALSE)," ")</f>
        <v xml:space="preserve"> </v>
      </c>
      <c r="F3472" t="str">
        <f>IFERROR(+VLOOKUP(Movimientos_2026[[#This Row],[Codigo]],Plan_cuentas[],3,FALSE)," ")</f>
        <v xml:space="preserve"> </v>
      </c>
      <c r="G3472" t="str">
        <f>IFERROR(+VLOOKUP(Movimientos_2026[[#This Row],[Codigo]],Plan_cuentas[],4,FALSE)," ")</f>
        <v xml:space="preserve"> </v>
      </c>
      <c r="H3472" t="str">
        <f>IFERROR(+VLOOKUP(Movimientos_2026[[#This Row],[Codigo]],Plan_cuentas[],5,FALSE)," ")</f>
        <v xml:space="preserve"> </v>
      </c>
      <c r="I3472" s="43"/>
      <c r="K3472" t="str">
        <f>IFERROR(+VLOOKUP(Movimientos_2026[[#This Row],[Codigo]],Plan_cuentas[],6,FALSE)," ")</f>
        <v xml:space="preserve"> </v>
      </c>
      <c r="L3472" s="50"/>
      <c r="M3472" s="50"/>
      <c r="N3472" s="20">
        <f>+Movimientos_2026[[#This Row],[Ingresos]]-Movimientos_2026[[#This Row],[Egresos]]</f>
        <v>0</v>
      </c>
      <c r="O3472" s="20">
        <f>+O3471+Movimientos_2026[[#This Row],[Neto]]</f>
        <v>4581558617.7962294</v>
      </c>
    </row>
    <row r="3473" spans="1:15" x14ac:dyDescent="0.25">
      <c r="A3473" s="13"/>
      <c r="B3473" s="12">
        <f>MONTH(Movimientos_2026[[#This Row],[Fecha]])</f>
        <v>1</v>
      </c>
      <c r="C3473" s="12" t="str">
        <f>VLOOKUP((WEEKDAY(Movimientos_2026[[#This Row],[Fecha]],2)),'5. Setup'!$D$6:$E$12,2,FALSE)</f>
        <v>Sab</v>
      </c>
      <c r="E3473" t="str">
        <f>IFERROR(+VLOOKUP(Movimientos_2026[[#This Row],[Codigo]],Plan_cuentas[],2,FALSE)," ")</f>
        <v xml:space="preserve"> </v>
      </c>
      <c r="F3473" t="str">
        <f>IFERROR(+VLOOKUP(Movimientos_2026[[#This Row],[Codigo]],Plan_cuentas[],3,FALSE)," ")</f>
        <v xml:space="preserve"> </v>
      </c>
      <c r="G3473" t="str">
        <f>IFERROR(+VLOOKUP(Movimientos_2026[[#This Row],[Codigo]],Plan_cuentas[],4,FALSE)," ")</f>
        <v xml:space="preserve"> </v>
      </c>
      <c r="H3473" t="str">
        <f>IFERROR(+VLOOKUP(Movimientos_2026[[#This Row],[Codigo]],Plan_cuentas[],5,FALSE)," ")</f>
        <v xml:space="preserve"> </v>
      </c>
      <c r="I3473" s="43"/>
      <c r="K3473" t="str">
        <f>IFERROR(+VLOOKUP(Movimientos_2026[[#This Row],[Codigo]],Plan_cuentas[],6,FALSE)," ")</f>
        <v xml:space="preserve"> </v>
      </c>
      <c r="L3473" s="50"/>
      <c r="M3473" s="50"/>
      <c r="N3473" s="20">
        <f>+Movimientos_2026[[#This Row],[Ingresos]]-Movimientos_2026[[#This Row],[Egresos]]</f>
        <v>0</v>
      </c>
      <c r="O3473" s="20">
        <f>+O3472+Movimientos_2026[[#This Row],[Neto]]</f>
        <v>4581558617.7962294</v>
      </c>
    </row>
    <row r="3474" spans="1:15" x14ac:dyDescent="0.25">
      <c r="A3474" s="13"/>
      <c r="B3474" s="12">
        <f>MONTH(Movimientos_2026[[#This Row],[Fecha]])</f>
        <v>1</v>
      </c>
      <c r="C3474" s="12" t="str">
        <f>VLOOKUP((WEEKDAY(Movimientos_2026[[#This Row],[Fecha]],2)),'5. Setup'!$D$6:$E$12,2,FALSE)</f>
        <v>Sab</v>
      </c>
      <c r="E3474" t="str">
        <f>IFERROR(+VLOOKUP(Movimientos_2026[[#This Row],[Codigo]],Plan_cuentas[],2,FALSE)," ")</f>
        <v xml:space="preserve"> </v>
      </c>
      <c r="F3474" t="str">
        <f>IFERROR(+VLOOKUP(Movimientos_2026[[#This Row],[Codigo]],Plan_cuentas[],3,FALSE)," ")</f>
        <v xml:space="preserve"> </v>
      </c>
      <c r="G3474" t="str">
        <f>IFERROR(+VLOOKUP(Movimientos_2026[[#This Row],[Codigo]],Plan_cuentas[],4,FALSE)," ")</f>
        <v xml:space="preserve"> </v>
      </c>
      <c r="H3474" t="str">
        <f>IFERROR(+VLOOKUP(Movimientos_2026[[#This Row],[Codigo]],Plan_cuentas[],5,FALSE)," ")</f>
        <v xml:space="preserve"> </v>
      </c>
      <c r="I3474" s="43"/>
      <c r="K3474" t="str">
        <f>IFERROR(+VLOOKUP(Movimientos_2026[[#This Row],[Codigo]],Plan_cuentas[],6,FALSE)," ")</f>
        <v xml:space="preserve"> </v>
      </c>
      <c r="L3474" s="50"/>
      <c r="M3474" s="50"/>
      <c r="N3474" s="20">
        <f>+Movimientos_2026[[#This Row],[Ingresos]]-Movimientos_2026[[#This Row],[Egresos]]</f>
        <v>0</v>
      </c>
      <c r="O3474" s="20">
        <f>+O3473+Movimientos_2026[[#This Row],[Neto]]</f>
        <v>4581558617.7962294</v>
      </c>
    </row>
    <row r="3475" spans="1:15" x14ac:dyDescent="0.25">
      <c r="A3475" s="13"/>
      <c r="B3475" s="12">
        <f>MONTH(Movimientos_2026[[#This Row],[Fecha]])</f>
        <v>1</v>
      </c>
      <c r="C3475" s="12" t="str">
        <f>VLOOKUP((WEEKDAY(Movimientos_2026[[#This Row],[Fecha]],2)),'5. Setup'!$D$6:$E$12,2,FALSE)</f>
        <v>Sab</v>
      </c>
      <c r="E3475" t="str">
        <f>IFERROR(+VLOOKUP(Movimientos_2026[[#This Row],[Codigo]],Plan_cuentas[],2,FALSE)," ")</f>
        <v xml:space="preserve"> </v>
      </c>
      <c r="F3475" t="str">
        <f>IFERROR(+VLOOKUP(Movimientos_2026[[#This Row],[Codigo]],Plan_cuentas[],3,FALSE)," ")</f>
        <v xml:space="preserve"> </v>
      </c>
      <c r="G3475" t="str">
        <f>IFERROR(+VLOOKUP(Movimientos_2026[[#This Row],[Codigo]],Plan_cuentas[],4,FALSE)," ")</f>
        <v xml:space="preserve"> </v>
      </c>
      <c r="H3475" t="str">
        <f>IFERROR(+VLOOKUP(Movimientos_2026[[#This Row],[Codigo]],Plan_cuentas[],5,FALSE)," ")</f>
        <v xml:space="preserve"> </v>
      </c>
      <c r="I3475" s="43"/>
      <c r="K3475" t="str">
        <f>IFERROR(+VLOOKUP(Movimientos_2026[[#This Row],[Codigo]],Plan_cuentas[],6,FALSE)," ")</f>
        <v xml:space="preserve"> </v>
      </c>
      <c r="L3475" s="50"/>
      <c r="M3475" s="50"/>
      <c r="N3475" s="20">
        <f>+Movimientos_2026[[#This Row],[Ingresos]]-Movimientos_2026[[#This Row],[Egresos]]</f>
        <v>0</v>
      </c>
      <c r="O3475" s="20">
        <f>+O3474+Movimientos_2026[[#This Row],[Neto]]</f>
        <v>4581558617.7962294</v>
      </c>
    </row>
    <row r="3476" spans="1:15" x14ac:dyDescent="0.25">
      <c r="A3476" s="13"/>
      <c r="B3476" s="12">
        <f>MONTH(Movimientos_2026[[#This Row],[Fecha]])</f>
        <v>1</v>
      </c>
      <c r="C3476" s="12" t="str">
        <f>VLOOKUP((WEEKDAY(Movimientos_2026[[#This Row],[Fecha]],2)),'5. Setup'!$D$6:$E$12,2,FALSE)</f>
        <v>Sab</v>
      </c>
      <c r="E3476" t="str">
        <f>IFERROR(+VLOOKUP(Movimientos_2026[[#This Row],[Codigo]],Plan_cuentas[],2,FALSE)," ")</f>
        <v xml:space="preserve"> </v>
      </c>
      <c r="F3476" t="str">
        <f>IFERROR(+VLOOKUP(Movimientos_2026[[#This Row],[Codigo]],Plan_cuentas[],3,FALSE)," ")</f>
        <v xml:space="preserve"> </v>
      </c>
      <c r="G3476" t="str">
        <f>IFERROR(+VLOOKUP(Movimientos_2026[[#This Row],[Codigo]],Plan_cuentas[],4,FALSE)," ")</f>
        <v xml:space="preserve"> </v>
      </c>
      <c r="H3476" t="str">
        <f>IFERROR(+VLOOKUP(Movimientos_2026[[#This Row],[Codigo]],Plan_cuentas[],5,FALSE)," ")</f>
        <v xml:space="preserve"> </v>
      </c>
      <c r="I3476" s="43"/>
      <c r="K3476" t="str">
        <f>IFERROR(+VLOOKUP(Movimientos_2026[[#This Row],[Codigo]],Plan_cuentas[],6,FALSE)," ")</f>
        <v xml:space="preserve"> </v>
      </c>
      <c r="L3476" s="50"/>
      <c r="M3476" s="50"/>
      <c r="N3476" s="20">
        <f>+Movimientos_2026[[#This Row],[Ingresos]]-Movimientos_2026[[#This Row],[Egresos]]</f>
        <v>0</v>
      </c>
      <c r="O3476" s="20">
        <f>+O3475+Movimientos_2026[[#This Row],[Neto]]</f>
        <v>4581558617.7962294</v>
      </c>
    </row>
    <row r="3477" spans="1:15" x14ac:dyDescent="0.25">
      <c r="A3477" s="13"/>
      <c r="B3477" s="12">
        <f>MONTH(Movimientos_2026[[#This Row],[Fecha]])</f>
        <v>1</v>
      </c>
      <c r="C3477" s="12" t="str">
        <f>VLOOKUP((WEEKDAY(Movimientos_2026[[#This Row],[Fecha]],2)),'5. Setup'!$D$6:$E$12,2,FALSE)</f>
        <v>Sab</v>
      </c>
      <c r="E3477" t="str">
        <f>IFERROR(+VLOOKUP(Movimientos_2026[[#This Row],[Codigo]],Plan_cuentas[],2,FALSE)," ")</f>
        <v xml:space="preserve"> </v>
      </c>
      <c r="F3477" t="str">
        <f>IFERROR(+VLOOKUP(Movimientos_2026[[#This Row],[Codigo]],Plan_cuentas[],3,FALSE)," ")</f>
        <v xml:space="preserve"> </v>
      </c>
      <c r="G3477" t="str">
        <f>IFERROR(+VLOOKUP(Movimientos_2026[[#This Row],[Codigo]],Plan_cuentas[],4,FALSE)," ")</f>
        <v xml:space="preserve"> </v>
      </c>
      <c r="H3477" t="str">
        <f>IFERROR(+VLOOKUP(Movimientos_2026[[#This Row],[Codigo]],Plan_cuentas[],5,FALSE)," ")</f>
        <v xml:space="preserve"> </v>
      </c>
      <c r="I3477" s="43"/>
      <c r="K3477" t="str">
        <f>IFERROR(+VLOOKUP(Movimientos_2026[[#This Row],[Codigo]],Plan_cuentas[],6,FALSE)," ")</f>
        <v xml:space="preserve"> </v>
      </c>
      <c r="L3477" s="50"/>
      <c r="M3477" s="50"/>
      <c r="N3477" s="20">
        <f>+Movimientos_2026[[#This Row],[Ingresos]]-Movimientos_2026[[#This Row],[Egresos]]</f>
        <v>0</v>
      </c>
      <c r="O3477" s="20">
        <f>+O3476+Movimientos_2026[[#This Row],[Neto]]</f>
        <v>4581558617.7962294</v>
      </c>
    </row>
    <row r="3478" spans="1:15" x14ac:dyDescent="0.25">
      <c r="A3478" s="13"/>
      <c r="B3478" s="12">
        <f>MONTH(Movimientos_2026[[#This Row],[Fecha]])</f>
        <v>1</v>
      </c>
      <c r="C3478" s="12" t="str">
        <f>VLOOKUP((WEEKDAY(Movimientos_2026[[#This Row],[Fecha]],2)),'5. Setup'!$D$6:$E$12,2,FALSE)</f>
        <v>Sab</v>
      </c>
      <c r="E3478" t="str">
        <f>IFERROR(+VLOOKUP(Movimientos_2026[[#This Row],[Codigo]],Plan_cuentas[],2,FALSE)," ")</f>
        <v xml:space="preserve"> </v>
      </c>
      <c r="F3478" t="str">
        <f>IFERROR(+VLOOKUP(Movimientos_2026[[#This Row],[Codigo]],Plan_cuentas[],3,FALSE)," ")</f>
        <v xml:space="preserve"> </v>
      </c>
      <c r="G3478" t="str">
        <f>IFERROR(+VLOOKUP(Movimientos_2026[[#This Row],[Codigo]],Plan_cuentas[],4,FALSE)," ")</f>
        <v xml:space="preserve"> </v>
      </c>
      <c r="H3478" t="str">
        <f>IFERROR(+VLOOKUP(Movimientos_2026[[#This Row],[Codigo]],Plan_cuentas[],5,FALSE)," ")</f>
        <v xml:space="preserve"> </v>
      </c>
      <c r="I3478" s="43"/>
      <c r="K3478" t="str">
        <f>IFERROR(+VLOOKUP(Movimientos_2026[[#This Row],[Codigo]],Plan_cuentas[],6,FALSE)," ")</f>
        <v xml:space="preserve"> </v>
      </c>
      <c r="L3478" s="50"/>
      <c r="M3478" s="50"/>
      <c r="N3478" s="20">
        <f>+Movimientos_2026[[#This Row],[Ingresos]]-Movimientos_2026[[#This Row],[Egresos]]</f>
        <v>0</v>
      </c>
      <c r="O3478" s="20">
        <f>+O3477+Movimientos_2026[[#This Row],[Neto]]</f>
        <v>4581558617.7962294</v>
      </c>
    </row>
    <row r="3479" spans="1:15" x14ac:dyDescent="0.25">
      <c r="A3479" s="13"/>
      <c r="B3479" s="12">
        <f>MONTH(Movimientos_2026[[#This Row],[Fecha]])</f>
        <v>1</v>
      </c>
      <c r="C3479" s="12" t="str">
        <f>VLOOKUP((WEEKDAY(Movimientos_2026[[#This Row],[Fecha]],2)),'5. Setup'!$D$6:$E$12,2,FALSE)</f>
        <v>Sab</v>
      </c>
      <c r="E3479" t="str">
        <f>IFERROR(+VLOOKUP(Movimientos_2026[[#This Row],[Codigo]],Plan_cuentas[],2,FALSE)," ")</f>
        <v xml:space="preserve"> </v>
      </c>
      <c r="F3479" t="str">
        <f>IFERROR(+VLOOKUP(Movimientos_2026[[#This Row],[Codigo]],Plan_cuentas[],3,FALSE)," ")</f>
        <v xml:space="preserve"> </v>
      </c>
      <c r="G3479" t="str">
        <f>IFERROR(+VLOOKUP(Movimientos_2026[[#This Row],[Codigo]],Plan_cuentas[],4,FALSE)," ")</f>
        <v xml:space="preserve"> </v>
      </c>
      <c r="H3479" t="str">
        <f>IFERROR(+VLOOKUP(Movimientos_2026[[#This Row],[Codigo]],Plan_cuentas[],5,FALSE)," ")</f>
        <v xml:space="preserve"> </v>
      </c>
      <c r="I3479" s="43"/>
      <c r="K3479" t="str">
        <f>IFERROR(+VLOOKUP(Movimientos_2026[[#This Row],[Codigo]],Plan_cuentas[],6,FALSE)," ")</f>
        <v xml:space="preserve"> </v>
      </c>
      <c r="L3479" s="50"/>
      <c r="M3479" s="50"/>
      <c r="N3479" s="20">
        <f>+Movimientos_2026[[#This Row],[Ingresos]]-Movimientos_2026[[#This Row],[Egresos]]</f>
        <v>0</v>
      </c>
      <c r="O3479" s="20">
        <f>+O3478+Movimientos_2026[[#This Row],[Neto]]</f>
        <v>4581558617.7962294</v>
      </c>
    </row>
    <row r="3480" spans="1:15" x14ac:dyDescent="0.25">
      <c r="A3480" s="13"/>
      <c r="B3480" s="12">
        <f>MONTH(Movimientos_2026[[#This Row],[Fecha]])</f>
        <v>1</v>
      </c>
      <c r="C3480" s="12" t="str">
        <f>VLOOKUP((WEEKDAY(Movimientos_2026[[#This Row],[Fecha]],2)),'5. Setup'!$D$6:$E$12,2,FALSE)</f>
        <v>Sab</v>
      </c>
      <c r="E3480" t="str">
        <f>IFERROR(+VLOOKUP(Movimientos_2026[[#This Row],[Codigo]],Plan_cuentas[],2,FALSE)," ")</f>
        <v xml:space="preserve"> </v>
      </c>
      <c r="F3480" t="str">
        <f>IFERROR(+VLOOKUP(Movimientos_2026[[#This Row],[Codigo]],Plan_cuentas[],3,FALSE)," ")</f>
        <v xml:space="preserve"> </v>
      </c>
      <c r="G3480" t="str">
        <f>IFERROR(+VLOOKUP(Movimientos_2026[[#This Row],[Codigo]],Plan_cuentas[],4,FALSE)," ")</f>
        <v xml:space="preserve"> </v>
      </c>
      <c r="H3480" t="str">
        <f>IFERROR(+VLOOKUP(Movimientos_2026[[#This Row],[Codigo]],Plan_cuentas[],5,FALSE)," ")</f>
        <v xml:space="preserve"> </v>
      </c>
      <c r="I3480" s="43"/>
      <c r="K3480" t="str">
        <f>IFERROR(+VLOOKUP(Movimientos_2026[[#This Row],[Codigo]],Plan_cuentas[],6,FALSE)," ")</f>
        <v xml:space="preserve"> </v>
      </c>
      <c r="L3480" s="50"/>
      <c r="M3480" s="50"/>
      <c r="N3480" s="20">
        <f>+Movimientos_2026[[#This Row],[Ingresos]]-Movimientos_2026[[#This Row],[Egresos]]</f>
        <v>0</v>
      </c>
      <c r="O3480" s="20">
        <f>+O3479+Movimientos_2026[[#This Row],[Neto]]</f>
        <v>4581558617.7962294</v>
      </c>
    </row>
    <row r="3481" spans="1:15" x14ac:dyDescent="0.25">
      <c r="A3481" s="13"/>
      <c r="B3481" s="12">
        <f>MONTH(Movimientos_2026[[#This Row],[Fecha]])</f>
        <v>1</v>
      </c>
      <c r="C3481" s="12" t="str">
        <f>VLOOKUP((WEEKDAY(Movimientos_2026[[#This Row],[Fecha]],2)),'5. Setup'!$D$6:$E$12,2,FALSE)</f>
        <v>Sab</v>
      </c>
      <c r="E3481" t="str">
        <f>IFERROR(+VLOOKUP(Movimientos_2026[[#This Row],[Codigo]],Plan_cuentas[],2,FALSE)," ")</f>
        <v xml:space="preserve"> </v>
      </c>
      <c r="F3481" t="str">
        <f>IFERROR(+VLOOKUP(Movimientos_2026[[#This Row],[Codigo]],Plan_cuentas[],3,FALSE)," ")</f>
        <v xml:space="preserve"> </v>
      </c>
      <c r="G3481" t="str">
        <f>IFERROR(+VLOOKUP(Movimientos_2026[[#This Row],[Codigo]],Plan_cuentas[],4,FALSE)," ")</f>
        <v xml:space="preserve"> </v>
      </c>
      <c r="H3481" t="str">
        <f>IFERROR(+VLOOKUP(Movimientos_2026[[#This Row],[Codigo]],Plan_cuentas[],5,FALSE)," ")</f>
        <v xml:space="preserve"> </v>
      </c>
      <c r="I3481" s="43"/>
      <c r="K3481" t="str">
        <f>IFERROR(+VLOOKUP(Movimientos_2026[[#This Row],[Codigo]],Plan_cuentas[],6,FALSE)," ")</f>
        <v xml:space="preserve"> </v>
      </c>
      <c r="L3481" s="50"/>
      <c r="M3481" s="50"/>
      <c r="N3481" s="20">
        <f>+Movimientos_2026[[#This Row],[Ingresos]]-Movimientos_2026[[#This Row],[Egresos]]</f>
        <v>0</v>
      </c>
      <c r="O3481" s="20">
        <f>+O3480+Movimientos_2026[[#This Row],[Neto]]</f>
        <v>4581558617.7962294</v>
      </c>
    </row>
    <row r="3482" spans="1:15" x14ac:dyDescent="0.25">
      <c r="A3482" s="13"/>
      <c r="B3482" s="12">
        <f>MONTH(Movimientos_2026[[#This Row],[Fecha]])</f>
        <v>1</v>
      </c>
      <c r="C3482" s="12" t="str">
        <f>VLOOKUP((WEEKDAY(Movimientos_2026[[#This Row],[Fecha]],2)),'5. Setup'!$D$6:$E$12,2,FALSE)</f>
        <v>Sab</v>
      </c>
      <c r="E3482" t="str">
        <f>IFERROR(+VLOOKUP(Movimientos_2026[[#This Row],[Codigo]],Plan_cuentas[],2,FALSE)," ")</f>
        <v xml:space="preserve"> </v>
      </c>
      <c r="F3482" t="str">
        <f>IFERROR(+VLOOKUP(Movimientos_2026[[#This Row],[Codigo]],Plan_cuentas[],3,FALSE)," ")</f>
        <v xml:space="preserve"> </v>
      </c>
      <c r="G3482" t="str">
        <f>IFERROR(+VLOOKUP(Movimientos_2026[[#This Row],[Codigo]],Plan_cuentas[],4,FALSE)," ")</f>
        <v xml:space="preserve"> </v>
      </c>
      <c r="H3482" t="str">
        <f>IFERROR(+VLOOKUP(Movimientos_2026[[#This Row],[Codigo]],Plan_cuentas[],5,FALSE)," ")</f>
        <v xml:space="preserve"> </v>
      </c>
      <c r="I3482" s="43"/>
      <c r="K3482" t="str">
        <f>IFERROR(+VLOOKUP(Movimientos_2026[[#This Row],[Codigo]],Plan_cuentas[],6,FALSE)," ")</f>
        <v xml:space="preserve"> </v>
      </c>
      <c r="L3482" s="50"/>
      <c r="M3482" s="50"/>
      <c r="N3482" s="20">
        <f>+Movimientos_2026[[#This Row],[Ingresos]]-Movimientos_2026[[#This Row],[Egresos]]</f>
        <v>0</v>
      </c>
      <c r="O3482" s="20">
        <f>+O3481+Movimientos_2026[[#This Row],[Neto]]</f>
        <v>4581558617.7962294</v>
      </c>
    </row>
    <row r="3483" spans="1:15" x14ac:dyDescent="0.25">
      <c r="A3483" s="13"/>
      <c r="B3483" s="12">
        <f>MONTH(Movimientos_2026[[#This Row],[Fecha]])</f>
        <v>1</v>
      </c>
      <c r="C3483" s="12" t="str">
        <f>VLOOKUP((WEEKDAY(Movimientos_2026[[#This Row],[Fecha]],2)),'5. Setup'!$D$6:$E$12,2,FALSE)</f>
        <v>Sab</v>
      </c>
      <c r="E3483" t="str">
        <f>IFERROR(+VLOOKUP(Movimientos_2026[[#This Row],[Codigo]],Plan_cuentas[],2,FALSE)," ")</f>
        <v xml:space="preserve"> </v>
      </c>
      <c r="F3483" t="str">
        <f>IFERROR(+VLOOKUP(Movimientos_2026[[#This Row],[Codigo]],Plan_cuentas[],3,FALSE)," ")</f>
        <v xml:space="preserve"> </v>
      </c>
      <c r="G3483" t="str">
        <f>IFERROR(+VLOOKUP(Movimientos_2026[[#This Row],[Codigo]],Plan_cuentas[],4,FALSE)," ")</f>
        <v xml:space="preserve"> </v>
      </c>
      <c r="H3483" t="str">
        <f>IFERROR(+VLOOKUP(Movimientos_2026[[#This Row],[Codigo]],Plan_cuentas[],5,FALSE)," ")</f>
        <v xml:space="preserve"> </v>
      </c>
      <c r="I3483" s="43"/>
      <c r="K3483" t="str">
        <f>IFERROR(+VLOOKUP(Movimientos_2026[[#This Row],[Codigo]],Plan_cuentas[],6,FALSE)," ")</f>
        <v xml:space="preserve"> </v>
      </c>
      <c r="L3483" s="50"/>
      <c r="M3483" s="50"/>
      <c r="N3483" s="20">
        <f>+Movimientos_2026[[#This Row],[Ingresos]]-Movimientos_2026[[#This Row],[Egresos]]</f>
        <v>0</v>
      </c>
      <c r="O3483" s="20">
        <f>+O3482+Movimientos_2026[[#This Row],[Neto]]</f>
        <v>4581558617.7962294</v>
      </c>
    </row>
    <row r="3484" spans="1:15" x14ac:dyDescent="0.25">
      <c r="A3484" s="13"/>
      <c r="B3484" s="12">
        <f>MONTH(Movimientos_2026[[#This Row],[Fecha]])</f>
        <v>1</v>
      </c>
      <c r="C3484" s="12" t="str">
        <f>VLOOKUP((WEEKDAY(Movimientos_2026[[#This Row],[Fecha]],2)),'5. Setup'!$D$6:$E$12,2,FALSE)</f>
        <v>Sab</v>
      </c>
      <c r="E3484" t="str">
        <f>IFERROR(+VLOOKUP(Movimientos_2026[[#This Row],[Codigo]],Plan_cuentas[],2,FALSE)," ")</f>
        <v xml:space="preserve"> </v>
      </c>
      <c r="F3484" t="str">
        <f>IFERROR(+VLOOKUP(Movimientos_2026[[#This Row],[Codigo]],Plan_cuentas[],3,FALSE)," ")</f>
        <v xml:space="preserve"> </v>
      </c>
      <c r="G3484" t="str">
        <f>IFERROR(+VLOOKUP(Movimientos_2026[[#This Row],[Codigo]],Plan_cuentas[],4,FALSE)," ")</f>
        <v xml:space="preserve"> </v>
      </c>
      <c r="H3484" t="str">
        <f>IFERROR(+VLOOKUP(Movimientos_2026[[#This Row],[Codigo]],Plan_cuentas[],5,FALSE)," ")</f>
        <v xml:space="preserve"> </v>
      </c>
      <c r="I3484" s="43"/>
      <c r="K3484" t="str">
        <f>IFERROR(+VLOOKUP(Movimientos_2026[[#This Row],[Codigo]],Plan_cuentas[],6,FALSE)," ")</f>
        <v xml:space="preserve"> </v>
      </c>
      <c r="L3484" s="50"/>
      <c r="M3484" s="50"/>
      <c r="N3484" s="20">
        <f>+Movimientos_2026[[#This Row],[Ingresos]]-Movimientos_2026[[#This Row],[Egresos]]</f>
        <v>0</v>
      </c>
      <c r="O3484" s="20">
        <f>+O3483+Movimientos_2026[[#This Row],[Neto]]</f>
        <v>4581558617.7962294</v>
      </c>
    </row>
    <row r="3485" spans="1:15" x14ac:dyDescent="0.25">
      <c r="A3485" s="13"/>
      <c r="B3485" s="12">
        <f>MONTH(Movimientos_2026[[#This Row],[Fecha]])</f>
        <v>1</v>
      </c>
      <c r="C3485" s="12" t="str">
        <f>VLOOKUP((WEEKDAY(Movimientos_2026[[#This Row],[Fecha]],2)),'5. Setup'!$D$6:$E$12,2,FALSE)</f>
        <v>Sab</v>
      </c>
      <c r="E3485" t="str">
        <f>IFERROR(+VLOOKUP(Movimientos_2026[[#This Row],[Codigo]],Plan_cuentas[],2,FALSE)," ")</f>
        <v xml:space="preserve"> </v>
      </c>
      <c r="F3485" t="str">
        <f>IFERROR(+VLOOKUP(Movimientos_2026[[#This Row],[Codigo]],Plan_cuentas[],3,FALSE)," ")</f>
        <v xml:space="preserve"> </v>
      </c>
      <c r="G3485" t="str">
        <f>IFERROR(+VLOOKUP(Movimientos_2026[[#This Row],[Codigo]],Plan_cuentas[],4,FALSE)," ")</f>
        <v xml:space="preserve"> </v>
      </c>
      <c r="H3485" t="str">
        <f>IFERROR(+VLOOKUP(Movimientos_2026[[#This Row],[Codigo]],Plan_cuentas[],5,FALSE)," ")</f>
        <v xml:space="preserve"> </v>
      </c>
      <c r="I3485" s="43"/>
      <c r="K3485" t="str">
        <f>IFERROR(+VLOOKUP(Movimientos_2026[[#This Row],[Codigo]],Plan_cuentas[],6,FALSE)," ")</f>
        <v xml:space="preserve"> </v>
      </c>
      <c r="L3485" s="50"/>
      <c r="M3485" s="50"/>
      <c r="N3485" s="20">
        <f>+Movimientos_2026[[#This Row],[Ingresos]]-Movimientos_2026[[#This Row],[Egresos]]</f>
        <v>0</v>
      </c>
      <c r="O3485" s="20">
        <f>+O3484+Movimientos_2026[[#This Row],[Neto]]</f>
        <v>4581558617.7962294</v>
      </c>
    </row>
    <row r="3486" spans="1:15" x14ac:dyDescent="0.25">
      <c r="A3486" s="13"/>
      <c r="B3486" s="12">
        <f>MONTH(Movimientos_2026[[#This Row],[Fecha]])</f>
        <v>1</v>
      </c>
      <c r="C3486" s="12" t="str">
        <f>VLOOKUP((WEEKDAY(Movimientos_2026[[#This Row],[Fecha]],2)),'5. Setup'!$D$6:$E$12,2,FALSE)</f>
        <v>Sab</v>
      </c>
      <c r="E3486" t="str">
        <f>IFERROR(+VLOOKUP(Movimientos_2026[[#This Row],[Codigo]],Plan_cuentas[],2,FALSE)," ")</f>
        <v xml:space="preserve"> </v>
      </c>
      <c r="F3486" t="str">
        <f>IFERROR(+VLOOKUP(Movimientos_2026[[#This Row],[Codigo]],Plan_cuentas[],3,FALSE)," ")</f>
        <v xml:space="preserve"> </v>
      </c>
      <c r="G3486" t="str">
        <f>IFERROR(+VLOOKUP(Movimientos_2026[[#This Row],[Codigo]],Plan_cuentas[],4,FALSE)," ")</f>
        <v xml:space="preserve"> </v>
      </c>
      <c r="H3486" t="str">
        <f>IFERROR(+VLOOKUP(Movimientos_2026[[#This Row],[Codigo]],Plan_cuentas[],5,FALSE)," ")</f>
        <v xml:space="preserve"> </v>
      </c>
      <c r="I3486" s="43"/>
      <c r="K3486" t="str">
        <f>IFERROR(+VLOOKUP(Movimientos_2026[[#This Row],[Codigo]],Plan_cuentas[],6,FALSE)," ")</f>
        <v xml:space="preserve"> </v>
      </c>
      <c r="L3486" s="50"/>
      <c r="M3486" s="50"/>
      <c r="N3486" s="20">
        <f>+Movimientos_2026[[#This Row],[Ingresos]]-Movimientos_2026[[#This Row],[Egresos]]</f>
        <v>0</v>
      </c>
      <c r="O3486" s="20">
        <f>+O3485+Movimientos_2026[[#This Row],[Neto]]</f>
        <v>4581558617.7962294</v>
      </c>
    </row>
    <row r="3487" spans="1:15" x14ac:dyDescent="0.25">
      <c r="A3487" s="13"/>
      <c r="B3487" s="12">
        <f>MONTH(Movimientos_2026[[#This Row],[Fecha]])</f>
        <v>1</v>
      </c>
      <c r="C3487" s="12" t="str">
        <f>VLOOKUP((WEEKDAY(Movimientos_2026[[#This Row],[Fecha]],2)),'5. Setup'!$D$6:$E$12,2,FALSE)</f>
        <v>Sab</v>
      </c>
      <c r="E3487" t="str">
        <f>IFERROR(+VLOOKUP(Movimientos_2026[[#This Row],[Codigo]],Plan_cuentas[],2,FALSE)," ")</f>
        <v xml:space="preserve"> </v>
      </c>
      <c r="F3487" t="str">
        <f>IFERROR(+VLOOKUP(Movimientos_2026[[#This Row],[Codigo]],Plan_cuentas[],3,FALSE)," ")</f>
        <v xml:space="preserve"> </v>
      </c>
      <c r="G3487" t="str">
        <f>IFERROR(+VLOOKUP(Movimientos_2026[[#This Row],[Codigo]],Plan_cuentas[],4,FALSE)," ")</f>
        <v xml:space="preserve"> </v>
      </c>
      <c r="H3487" t="str">
        <f>IFERROR(+VLOOKUP(Movimientos_2026[[#This Row],[Codigo]],Plan_cuentas[],5,FALSE)," ")</f>
        <v xml:space="preserve"> </v>
      </c>
      <c r="I3487" s="43"/>
      <c r="K3487" t="str">
        <f>IFERROR(+VLOOKUP(Movimientos_2026[[#This Row],[Codigo]],Plan_cuentas[],6,FALSE)," ")</f>
        <v xml:space="preserve"> </v>
      </c>
      <c r="L3487" s="50"/>
      <c r="M3487" s="50"/>
      <c r="N3487" s="20">
        <f>+Movimientos_2026[[#This Row],[Ingresos]]-Movimientos_2026[[#This Row],[Egresos]]</f>
        <v>0</v>
      </c>
      <c r="O3487" s="20">
        <f>+O3486+Movimientos_2026[[#This Row],[Neto]]</f>
        <v>4581558617.7962294</v>
      </c>
    </row>
    <row r="3488" spans="1:15" x14ac:dyDescent="0.25">
      <c r="A3488" s="13"/>
      <c r="B3488" s="12">
        <f>MONTH(Movimientos_2026[[#This Row],[Fecha]])</f>
        <v>1</v>
      </c>
      <c r="C3488" s="12" t="str">
        <f>VLOOKUP((WEEKDAY(Movimientos_2026[[#This Row],[Fecha]],2)),'5. Setup'!$D$6:$E$12,2,FALSE)</f>
        <v>Sab</v>
      </c>
      <c r="E3488" t="str">
        <f>IFERROR(+VLOOKUP(Movimientos_2026[[#This Row],[Codigo]],Plan_cuentas[],2,FALSE)," ")</f>
        <v xml:space="preserve"> </v>
      </c>
      <c r="F3488" t="str">
        <f>IFERROR(+VLOOKUP(Movimientos_2026[[#This Row],[Codigo]],Plan_cuentas[],3,FALSE)," ")</f>
        <v xml:space="preserve"> </v>
      </c>
      <c r="G3488" t="str">
        <f>IFERROR(+VLOOKUP(Movimientos_2026[[#This Row],[Codigo]],Plan_cuentas[],4,FALSE)," ")</f>
        <v xml:space="preserve"> </v>
      </c>
      <c r="H3488" t="str">
        <f>IFERROR(+VLOOKUP(Movimientos_2026[[#This Row],[Codigo]],Plan_cuentas[],5,FALSE)," ")</f>
        <v xml:space="preserve"> </v>
      </c>
      <c r="I3488" s="43"/>
      <c r="K3488" t="str">
        <f>IFERROR(+VLOOKUP(Movimientos_2026[[#This Row],[Codigo]],Plan_cuentas[],6,FALSE)," ")</f>
        <v xml:space="preserve"> </v>
      </c>
      <c r="L3488" s="50"/>
      <c r="M3488" s="50"/>
      <c r="N3488" s="20">
        <f>+Movimientos_2026[[#This Row],[Ingresos]]-Movimientos_2026[[#This Row],[Egresos]]</f>
        <v>0</v>
      </c>
      <c r="O3488" s="20">
        <f>+O3487+Movimientos_2026[[#This Row],[Neto]]</f>
        <v>4581558617.7962294</v>
      </c>
    </row>
    <row r="3489" spans="1:15" x14ac:dyDescent="0.25">
      <c r="A3489" s="13"/>
      <c r="B3489" s="12">
        <f>MONTH(Movimientos_2026[[#This Row],[Fecha]])</f>
        <v>1</v>
      </c>
      <c r="C3489" s="12" t="str">
        <f>VLOOKUP((WEEKDAY(Movimientos_2026[[#This Row],[Fecha]],2)),'5. Setup'!$D$6:$E$12,2,FALSE)</f>
        <v>Sab</v>
      </c>
      <c r="E3489" t="str">
        <f>IFERROR(+VLOOKUP(Movimientos_2026[[#This Row],[Codigo]],Plan_cuentas[],2,FALSE)," ")</f>
        <v xml:space="preserve"> </v>
      </c>
      <c r="F3489" t="str">
        <f>IFERROR(+VLOOKUP(Movimientos_2026[[#This Row],[Codigo]],Plan_cuentas[],3,FALSE)," ")</f>
        <v xml:space="preserve"> </v>
      </c>
      <c r="G3489" t="str">
        <f>IFERROR(+VLOOKUP(Movimientos_2026[[#This Row],[Codigo]],Plan_cuentas[],4,FALSE)," ")</f>
        <v xml:space="preserve"> </v>
      </c>
      <c r="H3489" t="str">
        <f>IFERROR(+VLOOKUP(Movimientos_2026[[#This Row],[Codigo]],Plan_cuentas[],5,FALSE)," ")</f>
        <v xml:space="preserve"> </v>
      </c>
      <c r="I3489" s="43"/>
      <c r="K3489" t="str">
        <f>IFERROR(+VLOOKUP(Movimientos_2026[[#This Row],[Codigo]],Plan_cuentas[],6,FALSE)," ")</f>
        <v xml:space="preserve"> </v>
      </c>
      <c r="L3489" s="50"/>
      <c r="M3489" s="50"/>
      <c r="N3489" s="20">
        <f>+Movimientos_2026[[#This Row],[Ingresos]]-Movimientos_2026[[#This Row],[Egresos]]</f>
        <v>0</v>
      </c>
      <c r="O3489" s="20">
        <f>+O3488+Movimientos_2026[[#This Row],[Neto]]</f>
        <v>4581558617.7962294</v>
      </c>
    </row>
    <row r="3490" spans="1:15" x14ac:dyDescent="0.25">
      <c r="A3490" s="13"/>
      <c r="B3490" s="12">
        <f>MONTH(Movimientos_2026[[#This Row],[Fecha]])</f>
        <v>1</v>
      </c>
      <c r="C3490" s="12" t="str">
        <f>VLOOKUP((WEEKDAY(Movimientos_2026[[#This Row],[Fecha]],2)),'5. Setup'!$D$6:$E$12,2,FALSE)</f>
        <v>Sab</v>
      </c>
      <c r="E3490" t="str">
        <f>IFERROR(+VLOOKUP(Movimientos_2026[[#This Row],[Codigo]],Plan_cuentas[],2,FALSE)," ")</f>
        <v xml:space="preserve"> </v>
      </c>
      <c r="F3490" t="str">
        <f>IFERROR(+VLOOKUP(Movimientos_2026[[#This Row],[Codigo]],Plan_cuentas[],3,FALSE)," ")</f>
        <v xml:space="preserve"> </v>
      </c>
      <c r="G3490" t="str">
        <f>IFERROR(+VLOOKUP(Movimientos_2026[[#This Row],[Codigo]],Plan_cuentas[],4,FALSE)," ")</f>
        <v xml:space="preserve"> </v>
      </c>
      <c r="H3490" t="str">
        <f>IFERROR(+VLOOKUP(Movimientos_2026[[#This Row],[Codigo]],Plan_cuentas[],5,FALSE)," ")</f>
        <v xml:space="preserve"> </v>
      </c>
      <c r="I3490" s="43"/>
      <c r="K3490" t="str">
        <f>IFERROR(+VLOOKUP(Movimientos_2026[[#This Row],[Codigo]],Plan_cuentas[],6,FALSE)," ")</f>
        <v xml:space="preserve"> </v>
      </c>
      <c r="L3490" s="50"/>
      <c r="M3490" s="50"/>
      <c r="N3490" s="20">
        <f>+Movimientos_2026[[#This Row],[Ingresos]]-Movimientos_2026[[#This Row],[Egresos]]</f>
        <v>0</v>
      </c>
      <c r="O3490" s="20">
        <f>+O3489+Movimientos_2026[[#This Row],[Neto]]</f>
        <v>4581558617.7962294</v>
      </c>
    </row>
    <row r="3491" spans="1:15" x14ac:dyDescent="0.25">
      <c r="A3491" s="13"/>
      <c r="B3491" s="12">
        <f>MONTH(Movimientos_2026[[#This Row],[Fecha]])</f>
        <v>1</v>
      </c>
      <c r="C3491" s="12" t="str">
        <f>VLOOKUP((WEEKDAY(Movimientos_2026[[#This Row],[Fecha]],2)),'5. Setup'!$D$6:$E$12,2,FALSE)</f>
        <v>Sab</v>
      </c>
      <c r="E3491" t="str">
        <f>IFERROR(+VLOOKUP(Movimientos_2026[[#This Row],[Codigo]],Plan_cuentas[],2,FALSE)," ")</f>
        <v xml:space="preserve"> </v>
      </c>
      <c r="F3491" t="str">
        <f>IFERROR(+VLOOKUP(Movimientos_2026[[#This Row],[Codigo]],Plan_cuentas[],3,FALSE)," ")</f>
        <v xml:space="preserve"> </v>
      </c>
      <c r="G3491" t="str">
        <f>IFERROR(+VLOOKUP(Movimientos_2026[[#This Row],[Codigo]],Plan_cuentas[],4,FALSE)," ")</f>
        <v xml:space="preserve"> </v>
      </c>
      <c r="H3491" t="str">
        <f>IFERROR(+VLOOKUP(Movimientos_2026[[#This Row],[Codigo]],Plan_cuentas[],5,FALSE)," ")</f>
        <v xml:space="preserve"> </v>
      </c>
      <c r="I3491" s="43"/>
      <c r="K3491" t="str">
        <f>IFERROR(+VLOOKUP(Movimientos_2026[[#This Row],[Codigo]],Plan_cuentas[],6,FALSE)," ")</f>
        <v xml:space="preserve"> </v>
      </c>
      <c r="L3491" s="50"/>
      <c r="M3491" s="50"/>
      <c r="N3491" s="20">
        <f>+Movimientos_2026[[#This Row],[Ingresos]]-Movimientos_2026[[#This Row],[Egresos]]</f>
        <v>0</v>
      </c>
      <c r="O3491" s="20">
        <f>+O3490+Movimientos_2026[[#This Row],[Neto]]</f>
        <v>4581558617.7962294</v>
      </c>
    </row>
    <row r="3492" spans="1:15" x14ac:dyDescent="0.25">
      <c r="A3492" s="13"/>
      <c r="B3492" s="12">
        <f>MONTH(Movimientos_2026[[#This Row],[Fecha]])</f>
        <v>1</v>
      </c>
      <c r="C3492" s="12" t="str">
        <f>VLOOKUP((WEEKDAY(Movimientos_2026[[#This Row],[Fecha]],2)),'5. Setup'!$D$6:$E$12,2,FALSE)</f>
        <v>Sab</v>
      </c>
      <c r="E3492" t="str">
        <f>IFERROR(+VLOOKUP(Movimientos_2026[[#This Row],[Codigo]],Plan_cuentas[],2,FALSE)," ")</f>
        <v xml:space="preserve"> </v>
      </c>
      <c r="F3492" t="str">
        <f>IFERROR(+VLOOKUP(Movimientos_2026[[#This Row],[Codigo]],Plan_cuentas[],3,FALSE)," ")</f>
        <v xml:space="preserve"> </v>
      </c>
      <c r="G3492" t="str">
        <f>IFERROR(+VLOOKUP(Movimientos_2026[[#This Row],[Codigo]],Plan_cuentas[],4,FALSE)," ")</f>
        <v xml:space="preserve"> </v>
      </c>
      <c r="H3492" t="str">
        <f>IFERROR(+VLOOKUP(Movimientos_2026[[#This Row],[Codigo]],Plan_cuentas[],5,FALSE)," ")</f>
        <v xml:space="preserve"> </v>
      </c>
      <c r="I3492" s="43"/>
      <c r="K3492" t="str">
        <f>IFERROR(+VLOOKUP(Movimientos_2026[[#This Row],[Codigo]],Plan_cuentas[],6,FALSE)," ")</f>
        <v xml:space="preserve"> </v>
      </c>
      <c r="L3492" s="50"/>
      <c r="M3492" s="50"/>
      <c r="N3492" s="20">
        <f>+Movimientos_2026[[#This Row],[Ingresos]]-Movimientos_2026[[#This Row],[Egresos]]</f>
        <v>0</v>
      </c>
      <c r="O3492" s="20">
        <f>+O3491+Movimientos_2026[[#This Row],[Neto]]</f>
        <v>4581558617.7962294</v>
      </c>
    </row>
    <row r="3493" spans="1:15" x14ac:dyDescent="0.25">
      <c r="A3493" s="13"/>
      <c r="B3493" s="12">
        <f>MONTH(Movimientos_2026[[#This Row],[Fecha]])</f>
        <v>1</v>
      </c>
      <c r="C3493" s="12" t="str">
        <f>VLOOKUP((WEEKDAY(Movimientos_2026[[#This Row],[Fecha]],2)),'5. Setup'!$D$6:$E$12,2,FALSE)</f>
        <v>Sab</v>
      </c>
      <c r="E3493" t="str">
        <f>IFERROR(+VLOOKUP(Movimientos_2026[[#This Row],[Codigo]],Plan_cuentas[],2,FALSE)," ")</f>
        <v xml:space="preserve"> </v>
      </c>
      <c r="F3493" t="str">
        <f>IFERROR(+VLOOKUP(Movimientos_2026[[#This Row],[Codigo]],Plan_cuentas[],3,FALSE)," ")</f>
        <v xml:space="preserve"> </v>
      </c>
      <c r="G3493" t="str">
        <f>IFERROR(+VLOOKUP(Movimientos_2026[[#This Row],[Codigo]],Plan_cuentas[],4,FALSE)," ")</f>
        <v xml:space="preserve"> </v>
      </c>
      <c r="H3493" t="str">
        <f>IFERROR(+VLOOKUP(Movimientos_2026[[#This Row],[Codigo]],Plan_cuentas[],5,FALSE)," ")</f>
        <v xml:space="preserve"> </v>
      </c>
      <c r="I3493" s="43"/>
      <c r="K3493" t="str">
        <f>IFERROR(+VLOOKUP(Movimientos_2026[[#This Row],[Codigo]],Plan_cuentas[],6,FALSE)," ")</f>
        <v xml:space="preserve"> </v>
      </c>
      <c r="L3493" s="50"/>
      <c r="M3493" s="50"/>
      <c r="N3493" s="20">
        <f>+Movimientos_2026[[#This Row],[Ingresos]]-Movimientos_2026[[#This Row],[Egresos]]</f>
        <v>0</v>
      </c>
      <c r="O3493" s="20">
        <f>+O3492+Movimientos_2026[[#This Row],[Neto]]</f>
        <v>4581558617.7962294</v>
      </c>
    </row>
    <row r="3494" spans="1:15" x14ac:dyDescent="0.25">
      <c r="A3494" s="13"/>
      <c r="B3494" s="12">
        <f>MONTH(Movimientos_2026[[#This Row],[Fecha]])</f>
        <v>1</v>
      </c>
      <c r="C3494" s="12" t="str">
        <f>VLOOKUP((WEEKDAY(Movimientos_2026[[#This Row],[Fecha]],2)),'5. Setup'!$D$6:$E$12,2,FALSE)</f>
        <v>Sab</v>
      </c>
      <c r="E3494" t="str">
        <f>IFERROR(+VLOOKUP(Movimientos_2026[[#This Row],[Codigo]],Plan_cuentas[],2,FALSE)," ")</f>
        <v xml:space="preserve"> </v>
      </c>
      <c r="F3494" t="str">
        <f>IFERROR(+VLOOKUP(Movimientos_2026[[#This Row],[Codigo]],Plan_cuentas[],3,FALSE)," ")</f>
        <v xml:space="preserve"> </v>
      </c>
      <c r="G3494" t="str">
        <f>IFERROR(+VLOOKUP(Movimientos_2026[[#This Row],[Codigo]],Plan_cuentas[],4,FALSE)," ")</f>
        <v xml:space="preserve"> </v>
      </c>
      <c r="H3494" t="str">
        <f>IFERROR(+VLOOKUP(Movimientos_2026[[#This Row],[Codigo]],Plan_cuentas[],5,FALSE)," ")</f>
        <v xml:space="preserve"> </v>
      </c>
      <c r="I3494" s="43"/>
      <c r="K3494" t="str">
        <f>IFERROR(+VLOOKUP(Movimientos_2026[[#This Row],[Codigo]],Plan_cuentas[],6,FALSE)," ")</f>
        <v xml:space="preserve"> </v>
      </c>
      <c r="L3494" s="50"/>
      <c r="M3494" s="50"/>
      <c r="N3494" s="20">
        <f>+Movimientos_2026[[#This Row],[Ingresos]]-Movimientos_2026[[#This Row],[Egresos]]</f>
        <v>0</v>
      </c>
      <c r="O3494" s="20">
        <f>+O3493+Movimientos_2026[[#This Row],[Neto]]</f>
        <v>4581558617.7962294</v>
      </c>
    </row>
    <row r="3495" spans="1:15" x14ac:dyDescent="0.25">
      <c r="A3495" s="13"/>
      <c r="B3495" s="12">
        <f>MONTH(Movimientos_2026[[#This Row],[Fecha]])</f>
        <v>1</v>
      </c>
      <c r="C3495" s="12" t="str">
        <f>VLOOKUP((WEEKDAY(Movimientos_2026[[#This Row],[Fecha]],2)),'5. Setup'!$D$6:$E$12,2,FALSE)</f>
        <v>Sab</v>
      </c>
      <c r="E3495" t="str">
        <f>IFERROR(+VLOOKUP(Movimientos_2026[[#This Row],[Codigo]],Plan_cuentas[],2,FALSE)," ")</f>
        <v xml:space="preserve"> </v>
      </c>
      <c r="F3495" t="str">
        <f>IFERROR(+VLOOKUP(Movimientos_2026[[#This Row],[Codigo]],Plan_cuentas[],3,FALSE)," ")</f>
        <v xml:space="preserve"> </v>
      </c>
      <c r="G3495" t="str">
        <f>IFERROR(+VLOOKUP(Movimientos_2026[[#This Row],[Codigo]],Plan_cuentas[],4,FALSE)," ")</f>
        <v xml:space="preserve"> </v>
      </c>
      <c r="H3495" t="str">
        <f>IFERROR(+VLOOKUP(Movimientos_2026[[#This Row],[Codigo]],Plan_cuentas[],5,FALSE)," ")</f>
        <v xml:space="preserve"> </v>
      </c>
      <c r="I3495" s="43"/>
      <c r="K3495" t="str">
        <f>IFERROR(+VLOOKUP(Movimientos_2026[[#This Row],[Codigo]],Plan_cuentas[],6,FALSE)," ")</f>
        <v xml:space="preserve"> </v>
      </c>
      <c r="L3495" s="50"/>
      <c r="M3495" s="50"/>
      <c r="N3495" s="20">
        <f>+Movimientos_2026[[#This Row],[Ingresos]]-Movimientos_2026[[#This Row],[Egresos]]</f>
        <v>0</v>
      </c>
      <c r="O3495" s="20">
        <f>+O3494+Movimientos_2026[[#This Row],[Neto]]</f>
        <v>4581558617.7962294</v>
      </c>
    </row>
    <row r="3496" spans="1:15" x14ac:dyDescent="0.25">
      <c r="A3496" s="13"/>
      <c r="B3496" s="12">
        <f>MONTH(Movimientos_2026[[#This Row],[Fecha]])</f>
        <v>1</v>
      </c>
      <c r="C3496" s="12" t="str">
        <f>VLOOKUP((WEEKDAY(Movimientos_2026[[#This Row],[Fecha]],2)),'5. Setup'!$D$6:$E$12,2,FALSE)</f>
        <v>Sab</v>
      </c>
      <c r="E3496" t="str">
        <f>IFERROR(+VLOOKUP(Movimientos_2026[[#This Row],[Codigo]],Plan_cuentas[],2,FALSE)," ")</f>
        <v xml:space="preserve"> </v>
      </c>
      <c r="F3496" t="str">
        <f>IFERROR(+VLOOKUP(Movimientos_2026[[#This Row],[Codigo]],Plan_cuentas[],3,FALSE)," ")</f>
        <v xml:space="preserve"> </v>
      </c>
      <c r="G3496" t="str">
        <f>IFERROR(+VLOOKUP(Movimientos_2026[[#This Row],[Codigo]],Plan_cuentas[],4,FALSE)," ")</f>
        <v xml:space="preserve"> </v>
      </c>
      <c r="H3496" t="str">
        <f>IFERROR(+VLOOKUP(Movimientos_2026[[#This Row],[Codigo]],Plan_cuentas[],5,FALSE)," ")</f>
        <v xml:space="preserve"> </v>
      </c>
      <c r="I3496" s="43"/>
      <c r="K3496" t="str">
        <f>IFERROR(+VLOOKUP(Movimientos_2026[[#This Row],[Codigo]],Plan_cuentas[],6,FALSE)," ")</f>
        <v xml:space="preserve"> </v>
      </c>
      <c r="L3496" s="50"/>
      <c r="M3496" s="50"/>
      <c r="N3496" s="20">
        <f>+Movimientos_2026[[#This Row],[Ingresos]]-Movimientos_2026[[#This Row],[Egresos]]</f>
        <v>0</v>
      </c>
      <c r="O3496" s="20">
        <f>+O3495+Movimientos_2026[[#This Row],[Neto]]</f>
        <v>4581558617.7962294</v>
      </c>
    </row>
    <row r="3497" spans="1:15" x14ac:dyDescent="0.25">
      <c r="A3497" s="13"/>
      <c r="B3497" s="12">
        <f>MONTH(Movimientos_2026[[#This Row],[Fecha]])</f>
        <v>1</v>
      </c>
      <c r="C3497" s="12" t="str">
        <f>VLOOKUP((WEEKDAY(Movimientos_2026[[#This Row],[Fecha]],2)),'5. Setup'!$D$6:$E$12,2,FALSE)</f>
        <v>Sab</v>
      </c>
      <c r="E3497" t="str">
        <f>IFERROR(+VLOOKUP(Movimientos_2026[[#This Row],[Codigo]],Plan_cuentas[],2,FALSE)," ")</f>
        <v xml:space="preserve"> </v>
      </c>
      <c r="F3497" t="str">
        <f>IFERROR(+VLOOKUP(Movimientos_2026[[#This Row],[Codigo]],Plan_cuentas[],3,FALSE)," ")</f>
        <v xml:space="preserve"> </v>
      </c>
      <c r="G3497" t="str">
        <f>IFERROR(+VLOOKUP(Movimientos_2026[[#This Row],[Codigo]],Plan_cuentas[],4,FALSE)," ")</f>
        <v xml:space="preserve"> </v>
      </c>
      <c r="H3497" t="str">
        <f>IFERROR(+VLOOKUP(Movimientos_2026[[#This Row],[Codigo]],Plan_cuentas[],5,FALSE)," ")</f>
        <v xml:space="preserve"> </v>
      </c>
      <c r="I3497" s="43"/>
      <c r="K3497" t="str">
        <f>IFERROR(+VLOOKUP(Movimientos_2026[[#This Row],[Codigo]],Plan_cuentas[],6,FALSE)," ")</f>
        <v xml:space="preserve"> </v>
      </c>
      <c r="L3497" s="50"/>
      <c r="M3497" s="50"/>
      <c r="N3497" s="20">
        <f>+Movimientos_2026[[#This Row],[Ingresos]]-Movimientos_2026[[#This Row],[Egresos]]</f>
        <v>0</v>
      </c>
      <c r="O3497" s="20">
        <f>+O3496+Movimientos_2026[[#This Row],[Neto]]</f>
        <v>4581558617.7962294</v>
      </c>
    </row>
    <row r="3498" spans="1:15" x14ac:dyDescent="0.25">
      <c r="A3498" s="13"/>
      <c r="B3498" s="12">
        <f>MONTH(Movimientos_2026[[#This Row],[Fecha]])</f>
        <v>1</v>
      </c>
      <c r="C3498" s="12" t="str">
        <f>VLOOKUP((WEEKDAY(Movimientos_2026[[#This Row],[Fecha]],2)),'5. Setup'!$D$6:$E$12,2,FALSE)</f>
        <v>Sab</v>
      </c>
      <c r="E3498" t="str">
        <f>IFERROR(+VLOOKUP(Movimientos_2026[[#This Row],[Codigo]],Plan_cuentas[],2,FALSE)," ")</f>
        <v xml:space="preserve"> </v>
      </c>
      <c r="F3498" t="str">
        <f>IFERROR(+VLOOKUP(Movimientos_2026[[#This Row],[Codigo]],Plan_cuentas[],3,FALSE)," ")</f>
        <v xml:space="preserve"> </v>
      </c>
      <c r="G3498" t="str">
        <f>IFERROR(+VLOOKUP(Movimientos_2026[[#This Row],[Codigo]],Plan_cuentas[],4,FALSE)," ")</f>
        <v xml:space="preserve"> </v>
      </c>
      <c r="H3498" t="str">
        <f>IFERROR(+VLOOKUP(Movimientos_2026[[#This Row],[Codigo]],Plan_cuentas[],5,FALSE)," ")</f>
        <v xml:space="preserve"> </v>
      </c>
      <c r="I3498" s="43"/>
      <c r="K3498" t="str">
        <f>IFERROR(+VLOOKUP(Movimientos_2026[[#This Row],[Codigo]],Plan_cuentas[],6,FALSE)," ")</f>
        <v xml:space="preserve"> </v>
      </c>
      <c r="L3498" s="50"/>
      <c r="M3498" s="50"/>
      <c r="N3498" s="20">
        <f>+Movimientos_2026[[#This Row],[Ingresos]]-Movimientos_2026[[#This Row],[Egresos]]</f>
        <v>0</v>
      </c>
      <c r="O3498" s="20">
        <f>+O3497+Movimientos_2026[[#This Row],[Neto]]</f>
        <v>4581558617.7962294</v>
      </c>
    </row>
    <row r="3499" spans="1:15" x14ac:dyDescent="0.25">
      <c r="A3499" s="13"/>
      <c r="B3499" s="12">
        <f>MONTH(Movimientos_2026[[#This Row],[Fecha]])</f>
        <v>1</v>
      </c>
      <c r="C3499" s="12" t="str">
        <f>VLOOKUP((WEEKDAY(Movimientos_2026[[#This Row],[Fecha]],2)),'5. Setup'!$D$6:$E$12,2,FALSE)</f>
        <v>Sab</v>
      </c>
      <c r="E3499" t="str">
        <f>IFERROR(+VLOOKUP(Movimientos_2026[[#This Row],[Codigo]],Plan_cuentas[],2,FALSE)," ")</f>
        <v xml:space="preserve"> </v>
      </c>
      <c r="F3499" t="str">
        <f>IFERROR(+VLOOKUP(Movimientos_2026[[#This Row],[Codigo]],Plan_cuentas[],3,FALSE)," ")</f>
        <v xml:space="preserve"> </v>
      </c>
      <c r="G3499" t="str">
        <f>IFERROR(+VLOOKUP(Movimientos_2026[[#This Row],[Codigo]],Plan_cuentas[],4,FALSE)," ")</f>
        <v xml:space="preserve"> </v>
      </c>
      <c r="H3499" t="str">
        <f>IFERROR(+VLOOKUP(Movimientos_2026[[#This Row],[Codigo]],Plan_cuentas[],5,FALSE)," ")</f>
        <v xml:space="preserve"> </v>
      </c>
      <c r="I3499" s="43"/>
      <c r="K3499" t="str">
        <f>IFERROR(+VLOOKUP(Movimientos_2026[[#This Row],[Codigo]],Plan_cuentas[],6,FALSE)," ")</f>
        <v xml:space="preserve"> </v>
      </c>
      <c r="L3499" s="50"/>
      <c r="M3499" s="50"/>
      <c r="N3499" s="20">
        <f>+Movimientos_2026[[#This Row],[Ingresos]]-Movimientos_2026[[#This Row],[Egresos]]</f>
        <v>0</v>
      </c>
      <c r="O3499" s="20">
        <f>+O3498+Movimientos_2026[[#This Row],[Neto]]</f>
        <v>4581558617.7962294</v>
      </c>
    </row>
    <row r="3500" spans="1:15" x14ac:dyDescent="0.25">
      <c r="A3500" s="13"/>
      <c r="B3500" s="12">
        <f>MONTH(Movimientos_2026[[#This Row],[Fecha]])</f>
        <v>1</v>
      </c>
      <c r="C3500" s="12" t="str">
        <f>VLOOKUP((WEEKDAY(Movimientos_2026[[#This Row],[Fecha]],2)),'5. Setup'!$D$6:$E$12,2,FALSE)</f>
        <v>Sab</v>
      </c>
      <c r="E3500" t="str">
        <f>IFERROR(+VLOOKUP(Movimientos_2026[[#This Row],[Codigo]],Plan_cuentas[],2,FALSE)," ")</f>
        <v xml:space="preserve"> </v>
      </c>
      <c r="F3500" t="str">
        <f>IFERROR(+VLOOKUP(Movimientos_2026[[#This Row],[Codigo]],Plan_cuentas[],3,FALSE)," ")</f>
        <v xml:space="preserve"> </v>
      </c>
      <c r="G3500" t="str">
        <f>IFERROR(+VLOOKUP(Movimientos_2026[[#This Row],[Codigo]],Plan_cuentas[],4,FALSE)," ")</f>
        <v xml:space="preserve"> </v>
      </c>
      <c r="H3500" t="str">
        <f>IFERROR(+VLOOKUP(Movimientos_2026[[#This Row],[Codigo]],Plan_cuentas[],5,FALSE)," ")</f>
        <v xml:space="preserve"> </v>
      </c>
      <c r="I3500" s="43"/>
      <c r="K3500" t="str">
        <f>IFERROR(+VLOOKUP(Movimientos_2026[[#This Row],[Codigo]],Plan_cuentas[],6,FALSE)," ")</f>
        <v xml:space="preserve"> </v>
      </c>
      <c r="L3500" s="50"/>
      <c r="M3500" s="50"/>
      <c r="N3500" s="20">
        <f>+Movimientos_2026[[#This Row],[Ingresos]]-Movimientos_2026[[#This Row],[Egresos]]</f>
        <v>0</v>
      </c>
      <c r="O3500" s="20">
        <f>+O3499+Movimientos_2026[[#This Row],[Neto]]</f>
        <v>4581558617.7962294</v>
      </c>
    </row>
    <row r="3501" spans="1:15" x14ac:dyDescent="0.25">
      <c r="A3501" s="13"/>
      <c r="B3501" s="12">
        <f>MONTH(Movimientos_2026[[#This Row],[Fecha]])</f>
        <v>1</v>
      </c>
      <c r="C3501" s="12" t="str">
        <f>VLOOKUP((WEEKDAY(Movimientos_2026[[#This Row],[Fecha]],2)),'5. Setup'!$D$6:$E$12,2,FALSE)</f>
        <v>Sab</v>
      </c>
      <c r="E3501" t="str">
        <f>IFERROR(+VLOOKUP(Movimientos_2026[[#This Row],[Codigo]],Plan_cuentas[],2,FALSE)," ")</f>
        <v xml:space="preserve"> </v>
      </c>
      <c r="F3501" t="str">
        <f>IFERROR(+VLOOKUP(Movimientos_2026[[#This Row],[Codigo]],Plan_cuentas[],3,FALSE)," ")</f>
        <v xml:space="preserve"> </v>
      </c>
      <c r="G3501" t="str">
        <f>IFERROR(+VLOOKUP(Movimientos_2026[[#This Row],[Codigo]],Plan_cuentas[],4,FALSE)," ")</f>
        <v xml:space="preserve"> </v>
      </c>
      <c r="H3501" t="str">
        <f>IFERROR(+VLOOKUP(Movimientos_2026[[#This Row],[Codigo]],Plan_cuentas[],5,FALSE)," ")</f>
        <v xml:space="preserve"> </v>
      </c>
      <c r="I3501" s="43"/>
      <c r="K3501" t="str">
        <f>IFERROR(+VLOOKUP(Movimientos_2026[[#This Row],[Codigo]],Plan_cuentas[],6,FALSE)," ")</f>
        <v xml:space="preserve"> </v>
      </c>
      <c r="L3501" s="50"/>
      <c r="M3501" s="50"/>
      <c r="N3501" s="20">
        <f>+Movimientos_2026[[#This Row],[Ingresos]]-Movimientos_2026[[#This Row],[Egresos]]</f>
        <v>0</v>
      </c>
      <c r="O3501" s="20">
        <f>+O3500+Movimientos_2026[[#This Row],[Neto]]</f>
        <v>4581558617.7962294</v>
      </c>
    </row>
    <row r="3502" spans="1:15" x14ac:dyDescent="0.25">
      <c r="A3502" s="13"/>
      <c r="B3502" s="12">
        <f>MONTH(Movimientos_2026[[#This Row],[Fecha]])</f>
        <v>1</v>
      </c>
      <c r="C3502" s="12" t="str">
        <f>VLOOKUP((WEEKDAY(Movimientos_2026[[#This Row],[Fecha]],2)),'5. Setup'!$D$6:$E$12,2,FALSE)</f>
        <v>Sab</v>
      </c>
      <c r="E3502" t="str">
        <f>IFERROR(+VLOOKUP(Movimientos_2026[[#This Row],[Codigo]],Plan_cuentas[],2,FALSE)," ")</f>
        <v xml:space="preserve"> </v>
      </c>
      <c r="F3502" t="str">
        <f>IFERROR(+VLOOKUP(Movimientos_2026[[#This Row],[Codigo]],Plan_cuentas[],3,FALSE)," ")</f>
        <v xml:space="preserve"> </v>
      </c>
      <c r="G3502" t="str">
        <f>IFERROR(+VLOOKUP(Movimientos_2026[[#This Row],[Codigo]],Plan_cuentas[],4,FALSE)," ")</f>
        <v xml:space="preserve"> </v>
      </c>
      <c r="H3502" t="str">
        <f>IFERROR(+VLOOKUP(Movimientos_2026[[#This Row],[Codigo]],Plan_cuentas[],5,FALSE)," ")</f>
        <v xml:space="preserve"> </v>
      </c>
      <c r="I3502" s="43"/>
      <c r="K3502" t="str">
        <f>IFERROR(+VLOOKUP(Movimientos_2026[[#This Row],[Codigo]],Plan_cuentas[],6,FALSE)," ")</f>
        <v xml:space="preserve"> </v>
      </c>
      <c r="L3502" s="50"/>
      <c r="M3502" s="50"/>
      <c r="N3502" s="20">
        <f>+Movimientos_2026[[#This Row],[Ingresos]]-Movimientos_2026[[#This Row],[Egresos]]</f>
        <v>0</v>
      </c>
      <c r="O3502" s="20">
        <f>+O3501+Movimientos_2026[[#This Row],[Neto]]</f>
        <v>4581558617.7962294</v>
      </c>
    </row>
    <row r="3503" spans="1:15" x14ac:dyDescent="0.25">
      <c r="A3503" s="13"/>
      <c r="B3503" s="12">
        <f>MONTH(Movimientos_2026[[#This Row],[Fecha]])</f>
        <v>1</v>
      </c>
      <c r="C3503" s="12" t="str">
        <f>VLOOKUP((WEEKDAY(Movimientos_2026[[#This Row],[Fecha]],2)),'5. Setup'!$D$6:$E$12,2,FALSE)</f>
        <v>Sab</v>
      </c>
      <c r="E3503" t="str">
        <f>IFERROR(+VLOOKUP(Movimientos_2026[[#This Row],[Codigo]],Plan_cuentas[],2,FALSE)," ")</f>
        <v xml:space="preserve"> </v>
      </c>
      <c r="F3503" t="str">
        <f>IFERROR(+VLOOKUP(Movimientos_2026[[#This Row],[Codigo]],Plan_cuentas[],3,FALSE)," ")</f>
        <v xml:space="preserve"> </v>
      </c>
      <c r="G3503" t="str">
        <f>IFERROR(+VLOOKUP(Movimientos_2026[[#This Row],[Codigo]],Plan_cuentas[],4,FALSE)," ")</f>
        <v xml:space="preserve"> </v>
      </c>
      <c r="H3503" t="str">
        <f>IFERROR(+VLOOKUP(Movimientos_2026[[#This Row],[Codigo]],Plan_cuentas[],5,FALSE)," ")</f>
        <v xml:space="preserve"> </v>
      </c>
      <c r="I3503" s="43"/>
      <c r="K3503" t="str">
        <f>IFERROR(+VLOOKUP(Movimientos_2026[[#This Row],[Codigo]],Plan_cuentas[],6,FALSE)," ")</f>
        <v xml:space="preserve"> </v>
      </c>
      <c r="L3503" s="50"/>
      <c r="M3503" s="50"/>
      <c r="N3503" s="20">
        <f>+Movimientos_2026[[#This Row],[Ingresos]]-Movimientos_2026[[#This Row],[Egresos]]</f>
        <v>0</v>
      </c>
      <c r="O3503" s="20">
        <f>+O3502+Movimientos_2026[[#This Row],[Neto]]</f>
        <v>4581558617.7962294</v>
      </c>
    </row>
    <row r="3504" spans="1:15" x14ac:dyDescent="0.25">
      <c r="A3504" s="13"/>
      <c r="B3504" s="12">
        <f>MONTH(Movimientos_2026[[#This Row],[Fecha]])</f>
        <v>1</v>
      </c>
      <c r="C3504" s="12" t="str">
        <f>VLOOKUP((WEEKDAY(Movimientos_2026[[#This Row],[Fecha]],2)),'5. Setup'!$D$6:$E$12,2,FALSE)</f>
        <v>Sab</v>
      </c>
      <c r="E3504" t="str">
        <f>IFERROR(+VLOOKUP(Movimientos_2026[[#This Row],[Codigo]],Plan_cuentas[],2,FALSE)," ")</f>
        <v xml:space="preserve"> </v>
      </c>
      <c r="F3504" t="str">
        <f>IFERROR(+VLOOKUP(Movimientos_2026[[#This Row],[Codigo]],Plan_cuentas[],3,FALSE)," ")</f>
        <v xml:space="preserve"> </v>
      </c>
      <c r="G3504" t="str">
        <f>IFERROR(+VLOOKUP(Movimientos_2026[[#This Row],[Codigo]],Plan_cuentas[],4,FALSE)," ")</f>
        <v xml:space="preserve"> </v>
      </c>
      <c r="H3504" t="str">
        <f>IFERROR(+VLOOKUP(Movimientos_2026[[#This Row],[Codigo]],Plan_cuentas[],5,FALSE)," ")</f>
        <v xml:space="preserve"> </v>
      </c>
      <c r="I3504" s="43"/>
      <c r="K3504" t="str">
        <f>IFERROR(+VLOOKUP(Movimientos_2026[[#This Row],[Codigo]],Plan_cuentas[],6,FALSE)," ")</f>
        <v xml:space="preserve"> </v>
      </c>
      <c r="L3504" s="50"/>
      <c r="M3504" s="50"/>
      <c r="N3504" s="20">
        <f>+Movimientos_2026[[#This Row],[Ingresos]]-Movimientos_2026[[#This Row],[Egresos]]</f>
        <v>0</v>
      </c>
      <c r="O3504" s="20">
        <f>+O3503+Movimientos_2026[[#This Row],[Neto]]</f>
        <v>4581558617.7962294</v>
      </c>
    </row>
    <row r="3505" spans="1:15" x14ac:dyDescent="0.25">
      <c r="A3505" s="13"/>
      <c r="B3505" s="12">
        <f>MONTH(Movimientos_2026[[#This Row],[Fecha]])</f>
        <v>1</v>
      </c>
      <c r="C3505" s="12" t="str">
        <f>VLOOKUP((WEEKDAY(Movimientos_2026[[#This Row],[Fecha]],2)),'5. Setup'!$D$6:$E$12,2,FALSE)</f>
        <v>Sab</v>
      </c>
      <c r="E3505" t="str">
        <f>IFERROR(+VLOOKUP(Movimientos_2026[[#This Row],[Codigo]],Plan_cuentas[],2,FALSE)," ")</f>
        <v xml:space="preserve"> </v>
      </c>
      <c r="F3505" t="str">
        <f>IFERROR(+VLOOKUP(Movimientos_2026[[#This Row],[Codigo]],Plan_cuentas[],3,FALSE)," ")</f>
        <v xml:space="preserve"> </v>
      </c>
      <c r="G3505" t="str">
        <f>IFERROR(+VLOOKUP(Movimientos_2026[[#This Row],[Codigo]],Plan_cuentas[],4,FALSE)," ")</f>
        <v xml:space="preserve"> </v>
      </c>
      <c r="H3505" t="str">
        <f>IFERROR(+VLOOKUP(Movimientos_2026[[#This Row],[Codigo]],Plan_cuentas[],5,FALSE)," ")</f>
        <v xml:space="preserve"> </v>
      </c>
      <c r="I3505" s="43"/>
      <c r="K3505" t="str">
        <f>IFERROR(+VLOOKUP(Movimientos_2026[[#This Row],[Codigo]],Plan_cuentas[],6,FALSE)," ")</f>
        <v xml:space="preserve"> </v>
      </c>
      <c r="L3505" s="50"/>
      <c r="M3505" s="50"/>
      <c r="N3505" s="20">
        <f>+Movimientos_2026[[#This Row],[Ingresos]]-Movimientos_2026[[#This Row],[Egresos]]</f>
        <v>0</v>
      </c>
      <c r="O3505" s="20">
        <f>+O3504+Movimientos_2026[[#This Row],[Neto]]</f>
        <v>4581558617.7962294</v>
      </c>
    </row>
    <row r="3506" spans="1:15" x14ac:dyDescent="0.25">
      <c r="A3506" s="13"/>
      <c r="B3506" s="12">
        <f>MONTH(Movimientos_2026[[#This Row],[Fecha]])</f>
        <v>1</v>
      </c>
      <c r="C3506" s="12" t="str">
        <f>VLOOKUP((WEEKDAY(Movimientos_2026[[#This Row],[Fecha]],2)),'5. Setup'!$D$6:$E$12,2,FALSE)</f>
        <v>Sab</v>
      </c>
      <c r="E3506" t="str">
        <f>IFERROR(+VLOOKUP(Movimientos_2026[[#This Row],[Codigo]],Plan_cuentas[],2,FALSE)," ")</f>
        <v xml:space="preserve"> </v>
      </c>
      <c r="F3506" t="str">
        <f>IFERROR(+VLOOKUP(Movimientos_2026[[#This Row],[Codigo]],Plan_cuentas[],3,FALSE)," ")</f>
        <v xml:space="preserve"> </v>
      </c>
      <c r="G3506" t="str">
        <f>IFERROR(+VLOOKUP(Movimientos_2026[[#This Row],[Codigo]],Plan_cuentas[],4,FALSE)," ")</f>
        <v xml:space="preserve"> </v>
      </c>
      <c r="H3506" t="str">
        <f>IFERROR(+VLOOKUP(Movimientos_2026[[#This Row],[Codigo]],Plan_cuentas[],5,FALSE)," ")</f>
        <v xml:space="preserve"> </v>
      </c>
      <c r="I3506" s="43"/>
      <c r="K3506" t="str">
        <f>IFERROR(+VLOOKUP(Movimientos_2026[[#This Row],[Codigo]],Plan_cuentas[],6,FALSE)," ")</f>
        <v xml:space="preserve"> </v>
      </c>
      <c r="L3506" s="50"/>
      <c r="M3506" s="50"/>
      <c r="N3506" s="20">
        <f>+Movimientos_2026[[#This Row],[Ingresos]]-Movimientos_2026[[#This Row],[Egresos]]</f>
        <v>0</v>
      </c>
      <c r="O3506" s="20">
        <f>+O3505+Movimientos_2026[[#This Row],[Neto]]</f>
        <v>4581558617.7962294</v>
      </c>
    </row>
    <row r="3507" spans="1:15" x14ac:dyDescent="0.25">
      <c r="A3507" s="13"/>
      <c r="B3507" s="12">
        <f>MONTH(Movimientos_2026[[#This Row],[Fecha]])</f>
        <v>1</v>
      </c>
      <c r="C3507" s="12" t="str">
        <f>VLOOKUP((WEEKDAY(Movimientos_2026[[#This Row],[Fecha]],2)),'5. Setup'!$D$6:$E$12,2,FALSE)</f>
        <v>Sab</v>
      </c>
      <c r="E3507" t="str">
        <f>IFERROR(+VLOOKUP(Movimientos_2026[[#This Row],[Codigo]],Plan_cuentas[],2,FALSE)," ")</f>
        <v xml:space="preserve"> </v>
      </c>
      <c r="F3507" t="str">
        <f>IFERROR(+VLOOKUP(Movimientos_2026[[#This Row],[Codigo]],Plan_cuentas[],3,FALSE)," ")</f>
        <v xml:space="preserve"> </v>
      </c>
      <c r="G3507" t="str">
        <f>IFERROR(+VLOOKUP(Movimientos_2026[[#This Row],[Codigo]],Plan_cuentas[],4,FALSE)," ")</f>
        <v xml:space="preserve"> </v>
      </c>
      <c r="H3507" t="str">
        <f>IFERROR(+VLOOKUP(Movimientos_2026[[#This Row],[Codigo]],Plan_cuentas[],5,FALSE)," ")</f>
        <v xml:space="preserve"> </v>
      </c>
      <c r="I3507" s="43"/>
      <c r="K3507" t="str">
        <f>IFERROR(+VLOOKUP(Movimientos_2026[[#This Row],[Codigo]],Plan_cuentas[],6,FALSE)," ")</f>
        <v xml:space="preserve"> </v>
      </c>
      <c r="L3507" s="50"/>
      <c r="M3507" s="50"/>
      <c r="N3507" s="20">
        <f>+Movimientos_2026[[#This Row],[Ingresos]]-Movimientos_2026[[#This Row],[Egresos]]</f>
        <v>0</v>
      </c>
      <c r="O3507" s="20">
        <f>+O3506+Movimientos_2026[[#This Row],[Neto]]</f>
        <v>4581558617.7962294</v>
      </c>
    </row>
    <row r="3508" spans="1:15" x14ac:dyDescent="0.25">
      <c r="A3508" s="13"/>
      <c r="B3508" s="12">
        <f>MONTH(Movimientos_2026[[#This Row],[Fecha]])</f>
        <v>1</v>
      </c>
      <c r="C3508" s="12" t="str">
        <f>VLOOKUP((WEEKDAY(Movimientos_2026[[#This Row],[Fecha]],2)),'5. Setup'!$D$6:$E$12,2,FALSE)</f>
        <v>Sab</v>
      </c>
      <c r="E3508" t="str">
        <f>IFERROR(+VLOOKUP(Movimientos_2026[[#This Row],[Codigo]],Plan_cuentas[],2,FALSE)," ")</f>
        <v xml:space="preserve"> </v>
      </c>
      <c r="F3508" t="str">
        <f>IFERROR(+VLOOKUP(Movimientos_2026[[#This Row],[Codigo]],Plan_cuentas[],3,FALSE)," ")</f>
        <v xml:space="preserve"> </v>
      </c>
      <c r="G3508" t="str">
        <f>IFERROR(+VLOOKUP(Movimientos_2026[[#This Row],[Codigo]],Plan_cuentas[],4,FALSE)," ")</f>
        <v xml:space="preserve"> </v>
      </c>
      <c r="H3508" t="str">
        <f>IFERROR(+VLOOKUP(Movimientos_2026[[#This Row],[Codigo]],Plan_cuentas[],5,FALSE)," ")</f>
        <v xml:space="preserve"> </v>
      </c>
      <c r="I3508" s="43"/>
      <c r="K3508" t="str">
        <f>IFERROR(+VLOOKUP(Movimientos_2026[[#This Row],[Codigo]],Plan_cuentas[],6,FALSE)," ")</f>
        <v xml:space="preserve"> </v>
      </c>
      <c r="L3508" s="50"/>
      <c r="M3508" s="50"/>
      <c r="N3508" s="20">
        <f>+Movimientos_2026[[#This Row],[Ingresos]]-Movimientos_2026[[#This Row],[Egresos]]</f>
        <v>0</v>
      </c>
      <c r="O3508" s="20">
        <f>+O3507+Movimientos_2026[[#This Row],[Neto]]</f>
        <v>4581558617.7962294</v>
      </c>
    </row>
    <row r="3509" spans="1:15" x14ac:dyDescent="0.25">
      <c r="A3509" s="13"/>
      <c r="B3509" s="12">
        <f>MONTH(Movimientos_2026[[#This Row],[Fecha]])</f>
        <v>1</v>
      </c>
      <c r="C3509" s="12" t="str">
        <f>VLOOKUP((WEEKDAY(Movimientos_2026[[#This Row],[Fecha]],2)),'5. Setup'!$D$6:$E$12,2,FALSE)</f>
        <v>Sab</v>
      </c>
      <c r="E3509" t="str">
        <f>IFERROR(+VLOOKUP(Movimientos_2026[[#This Row],[Codigo]],Plan_cuentas[],2,FALSE)," ")</f>
        <v xml:space="preserve"> </v>
      </c>
      <c r="F3509" t="str">
        <f>IFERROR(+VLOOKUP(Movimientos_2026[[#This Row],[Codigo]],Plan_cuentas[],3,FALSE)," ")</f>
        <v xml:space="preserve"> </v>
      </c>
      <c r="G3509" t="str">
        <f>IFERROR(+VLOOKUP(Movimientos_2026[[#This Row],[Codigo]],Plan_cuentas[],4,FALSE)," ")</f>
        <v xml:space="preserve"> </v>
      </c>
      <c r="H3509" t="str">
        <f>IFERROR(+VLOOKUP(Movimientos_2026[[#This Row],[Codigo]],Plan_cuentas[],5,FALSE)," ")</f>
        <v xml:space="preserve"> </v>
      </c>
      <c r="I3509" s="43"/>
      <c r="K3509" t="str">
        <f>IFERROR(+VLOOKUP(Movimientos_2026[[#This Row],[Codigo]],Plan_cuentas[],6,FALSE)," ")</f>
        <v xml:space="preserve"> </v>
      </c>
      <c r="L3509" s="50"/>
      <c r="M3509" s="50"/>
      <c r="N3509" s="20">
        <f>+Movimientos_2026[[#This Row],[Ingresos]]-Movimientos_2026[[#This Row],[Egresos]]</f>
        <v>0</v>
      </c>
      <c r="O3509" s="20">
        <f>+O3508+Movimientos_2026[[#This Row],[Neto]]</f>
        <v>4581558617.7962294</v>
      </c>
    </row>
    <row r="3510" spans="1:15" x14ac:dyDescent="0.25">
      <c r="A3510" s="13"/>
      <c r="B3510" s="12">
        <f>MONTH(Movimientos_2026[[#This Row],[Fecha]])</f>
        <v>1</v>
      </c>
      <c r="C3510" s="12" t="str">
        <f>VLOOKUP((WEEKDAY(Movimientos_2026[[#This Row],[Fecha]],2)),'5. Setup'!$D$6:$E$12,2,FALSE)</f>
        <v>Sab</v>
      </c>
      <c r="E3510" t="str">
        <f>IFERROR(+VLOOKUP(Movimientos_2026[[#This Row],[Codigo]],Plan_cuentas[],2,FALSE)," ")</f>
        <v xml:space="preserve"> </v>
      </c>
      <c r="F3510" t="str">
        <f>IFERROR(+VLOOKUP(Movimientos_2026[[#This Row],[Codigo]],Plan_cuentas[],3,FALSE)," ")</f>
        <v xml:space="preserve"> </v>
      </c>
      <c r="G3510" t="str">
        <f>IFERROR(+VLOOKUP(Movimientos_2026[[#This Row],[Codigo]],Plan_cuentas[],4,FALSE)," ")</f>
        <v xml:space="preserve"> </v>
      </c>
      <c r="H3510" t="str">
        <f>IFERROR(+VLOOKUP(Movimientos_2026[[#This Row],[Codigo]],Plan_cuentas[],5,FALSE)," ")</f>
        <v xml:space="preserve"> </v>
      </c>
      <c r="I3510" s="43"/>
      <c r="K3510" t="str">
        <f>IFERROR(+VLOOKUP(Movimientos_2026[[#This Row],[Codigo]],Plan_cuentas[],6,FALSE)," ")</f>
        <v xml:space="preserve"> </v>
      </c>
      <c r="L3510" s="50"/>
      <c r="M3510" s="50"/>
      <c r="N3510" s="20">
        <f>+Movimientos_2026[[#This Row],[Ingresos]]-Movimientos_2026[[#This Row],[Egresos]]</f>
        <v>0</v>
      </c>
      <c r="O3510" s="20">
        <f>+O3509+Movimientos_2026[[#This Row],[Neto]]</f>
        <v>4581558617.7962294</v>
      </c>
    </row>
    <row r="3511" spans="1:15" x14ac:dyDescent="0.25">
      <c r="A3511" s="13"/>
      <c r="B3511" s="12">
        <f>MONTH(Movimientos_2026[[#This Row],[Fecha]])</f>
        <v>1</v>
      </c>
      <c r="C3511" s="12" t="str">
        <f>VLOOKUP((WEEKDAY(Movimientos_2026[[#This Row],[Fecha]],2)),'5. Setup'!$D$6:$E$12,2,FALSE)</f>
        <v>Sab</v>
      </c>
      <c r="E3511" t="str">
        <f>IFERROR(+VLOOKUP(Movimientos_2026[[#This Row],[Codigo]],Plan_cuentas[],2,FALSE)," ")</f>
        <v xml:space="preserve"> </v>
      </c>
      <c r="F3511" t="str">
        <f>IFERROR(+VLOOKUP(Movimientos_2026[[#This Row],[Codigo]],Plan_cuentas[],3,FALSE)," ")</f>
        <v xml:space="preserve"> </v>
      </c>
      <c r="G3511" t="str">
        <f>IFERROR(+VLOOKUP(Movimientos_2026[[#This Row],[Codigo]],Plan_cuentas[],4,FALSE)," ")</f>
        <v xml:space="preserve"> </v>
      </c>
      <c r="H3511" t="str">
        <f>IFERROR(+VLOOKUP(Movimientos_2026[[#This Row],[Codigo]],Plan_cuentas[],5,FALSE)," ")</f>
        <v xml:space="preserve"> </v>
      </c>
      <c r="I3511" s="43"/>
      <c r="K3511" t="str">
        <f>IFERROR(+VLOOKUP(Movimientos_2026[[#This Row],[Codigo]],Plan_cuentas[],6,FALSE)," ")</f>
        <v xml:space="preserve"> </v>
      </c>
      <c r="L3511" s="50"/>
      <c r="M3511" s="50"/>
      <c r="N3511" s="20">
        <f>+Movimientos_2026[[#This Row],[Ingresos]]-Movimientos_2026[[#This Row],[Egresos]]</f>
        <v>0</v>
      </c>
      <c r="O3511" s="20">
        <f>+O3510+Movimientos_2026[[#This Row],[Neto]]</f>
        <v>4581558617.7962294</v>
      </c>
    </row>
    <row r="3512" spans="1:15" x14ac:dyDescent="0.25">
      <c r="A3512" s="13"/>
      <c r="B3512" s="12">
        <f>MONTH(Movimientos_2026[[#This Row],[Fecha]])</f>
        <v>1</v>
      </c>
      <c r="C3512" s="12" t="str">
        <f>VLOOKUP((WEEKDAY(Movimientos_2026[[#This Row],[Fecha]],2)),'5. Setup'!$D$6:$E$12,2,FALSE)</f>
        <v>Sab</v>
      </c>
      <c r="E3512" t="str">
        <f>IFERROR(+VLOOKUP(Movimientos_2026[[#This Row],[Codigo]],Plan_cuentas[],2,FALSE)," ")</f>
        <v xml:space="preserve"> </v>
      </c>
      <c r="F3512" t="str">
        <f>IFERROR(+VLOOKUP(Movimientos_2026[[#This Row],[Codigo]],Plan_cuentas[],3,FALSE)," ")</f>
        <v xml:space="preserve"> </v>
      </c>
      <c r="G3512" t="str">
        <f>IFERROR(+VLOOKUP(Movimientos_2026[[#This Row],[Codigo]],Plan_cuentas[],4,FALSE)," ")</f>
        <v xml:space="preserve"> </v>
      </c>
      <c r="H3512" t="str">
        <f>IFERROR(+VLOOKUP(Movimientos_2026[[#This Row],[Codigo]],Plan_cuentas[],5,FALSE)," ")</f>
        <v xml:space="preserve"> </v>
      </c>
      <c r="I3512" s="43"/>
      <c r="K3512" t="str">
        <f>IFERROR(+VLOOKUP(Movimientos_2026[[#This Row],[Codigo]],Plan_cuentas[],6,FALSE)," ")</f>
        <v xml:space="preserve"> </v>
      </c>
      <c r="L3512" s="50"/>
      <c r="M3512" s="50"/>
      <c r="N3512" s="20">
        <f>+Movimientos_2026[[#This Row],[Ingresos]]-Movimientos_2026[[#This Row],[Egresos]]</f>
        <v>0</v>
      </c>
      <c r="O3512" s="20">
        <f>+O3511+Movimientos_2026[[#This Row],[Neto]]</f>
        <v>4581558617.7962294</v>
      </c>
    </row>
    <row r="3513" spans="1:15" x14ac:dyDescent="0.25">
      <c r="A3513" s="13"/>
      <c r="B3513" s="12">
        <f>MONTH(Movimientos_2026[[#This Row],[Fecha]])</f>
        <v>1</v>
      </c>
      <c r="C3513" s="12" t="str">
        <f>VLOOKUP((WEEKDAY(Movimientos_2026[[#This Row],[Fecha]],2)),'5. Setup'!$D$6:$E$12,2,FALSE)</f>
        <v>Sab</v>
      </c>
      <c r="E3513" t="str">
        <f>IFERROR(+VLOOKUP(Movimientos_2026[[#This Row],[Codigo]],Plan_cuentas[],2,FALSE)," ")</f>
        <v xml:space="preserve"> </v>
      </c>
      <c r="F3513" t="str">
        <f>IFERROR(+VLOOKUP(Movimientos_2026[[#This Row],[Codigo]],Plan_cuentas[],3,FALSE)," ")</f>
        <v xml:space="preserve"> </v>
      </c>
      <c r="G3513" t="str">
        <f>IFERROR(+VLOOKUP(Movimientos_2026[[#This Row],[Codigo]],Plan_cuentas[],4,FALSE)," ")</f>
        <v xml:space="preserve"> </v>
      </c>
      <c r="H3513" t="str">
        <f>IFERROR(+VLOOKUP(Movimientos_2026[[#This Row],[Codigo]],Plan_cuentas[],5,FALSE)," ")</f>
        <v xml:space="preserve"> </v>
      </c>
      <c r="I3513" s="43"/>
      <c r="K3513" t="str">
        <f>IFERROR(+VLOOKUP(Movimientos_2026[[#This Row],[Codigo]],Plan_cuentas[],6,FALSE)," ")</f>
        <v xml:space="preserve"> </v>
      </c>
      <c r="L3513" s="50"/>
      <c r="M3513" s="50"/>
      <c r="N3513" s="20">
        <f>+Movimientos_2026[[#This Row],[Ingresos]]-Movimientos_2026[[#This Row],[Egresos]]</f>
        <v>0</v>
      </c>
      <c r="O3513" s="20">
        <f>+O3512+Movimientos_2026[[#This Row],[Neto]]</f>
        <v>4581558617.7962294</v>
      </c>
    </row>
    <row r="3514" spans="1:15" x14ac:dyDescent="0.25">
      <c r="A3514" s="13"/>
      <c r="B3514" s="12">
        <f>MONTH(Movimientos_2026[[#This Row],[Fecha]])</f>
        <v>1</v>
      </c>
      <c r="C3514" s="12" t="str">
        <f>VLOOKUP((WEEKDAY(Movimientos_2026[[#This Row],[Fecha]],2)),'5. Setup'!$D$6:$E$12,2,FALSE)</f>
        <v>Sab</v>
      </c>
      <c r="E3514" t="str">
        <f>IFERROR(+VLOOKUP(Movimientos_2026[[#This Row],[Codigo]],Plan_cuentas[],2,FALSE)," ")</f>
        <v xml:space="preserve"> </v>
      </c>
      <c r="F3514" t="str">
        <f>IFERROR(+VLOOKUP(Movimientos_2026[[#This Row],[Codigo]],Plan_cuentas[],3,FALSE)," ")</f>
        <v xml:space="preserve"> </v>
      </c>
      <c r="G3514" t="str">
        <f>IFERROR(+VLOOKUP(Movimientos_2026[[#This Row],[Codigo]],Plan_cuentas[],4,FALSE)," ")</f>
        <v xml:space="preserve"> </v>
      </c>
      <c r="H3514" t="str">
        <f>IFERROR(+VLOOKUP(Movimientos_2026[[#This Row],[Codigo]],Plan_cuentas[],5,FALSE)," ")</f>
        <v xml:space="preserve"> </v>
      </c>
      <c r="I3514" s="43"/>
      <c r="K3514" t="str">
        <f>IFERROR(+VLOOKUP(Movimientos_2026[[#This Row],[Codigo]],Plan_cuentas[],6,FALSE)," ")</f>
        <v xml:space="preserve"> </v>
      </c>
      <c r="L3514" s="50"/>
      <c r="M3514" s="50"/>
      <c r="N3514" s="20">
        <f>+Movimientos_2026[[#This Row],[Ingresos]]-Movimientos_2026[[#This Row],[Egresos]]</f>
        <v>0</v>
      </c>
      <c r="O3514" s="20">
        <f>+O3513+Movimientos_2026[[#This Row],[Neto]]</f>
        <v>4581558617.7962294</v>
      </c>
    </row>
    <row r="3515" spans="1:15" x14ac:dyDescent="0.25">
      <c r="A3515" s="13"/>
      <c r="B3515" s="12">
        <f>MONTH(Movimientos_2026[[#This Row],[Fecha]])</f>
        <v>1</v>
      </c>
      <c r="C3515" s="12" t="str">
        <f>VLOOKUP((WEEKDAY(Movimientos_2026[[#This Row],[Fecha]],2)),'5. Setup'!$D$6:$E$12,2,FALSE)</f>
        <v>Sab</v>
      </c>
      <c r="E3515" t="str">
        <f>IFERROR(+VLOOKUP(Movimientos_2026[[#This Row],[Codigo]],Plan_cuentas[],2,FALSE)," ")</f>
        <v xml:space="preserve"> </v>
      </c>
      <c r="F3515" t="str">
        <f>IFERROR(+VLOOKUP(Movimientos_2026[[#This Row],[Codigo]],Plan_cuentas[],3,FALSE)," ")</f>
        <v xml:space="preserve"> </v>
      </c>
      <c r="G3515" t="str">
        <f>IFERROR(+VLOOKUP(Movimientos_2026[[#This Row],[Codigo]],Plan_cuentas[],4,FALSE)," ")</f>
        <v xml:space="preserve"> </v>
      </c>
      <c r="H3515" t="str">
        <f>IFERROR(+VLOOKUP(Movimientos_2026[[#This Row],[Codigo]],Plan_cuentas[],5,FALSE)," ")</f>
        <v xml:space="preserve"> </v>
      </c>
      <c r="I3515" s="43"/>
      <c r="K3515" t="str">
        <f>IFERROR(+VLOOKUP(Movimientos_2026[[#This Row],[Codigo]],Plan_cuentas[],6,FALSE)," ")</f>
        <v xml:space="preserve"> </v>
      </c>
      <c r="L3515" s="50"/>
      <c r="M3515" s="50"/>
      <c r="N3515" s="20">
        <f>+Movimientos_2026[[#This Row],[Ingresos]]-Movimientos_2026[[#This Row],[Egresos]]</f>
        <v>0</v>
      </c>
      <c r="O3515" s="20">
        <f>+O3514+Movimientos_2026[[#This Row],[Neto]]</f>
        <v>4581558617.7962294</v>
      </c>
    </row>
    <row r="3516" spans="1:15" x14ac:dyDescent="0.25">
      <c r="A3516" s="13"/>
      <c r="B3516" s="12">
        <f>MONTH(Movimientos_2026[[#This Row],[Fecha]])</f>
        <v>1</v>
      </c>
      <c r="C3516" s="12" t="str">
        <f>VLOOKUP((WEEKDAY(Movimientos_2026[[#This Row],[Fecha]],2)),'5. Setup'!$D$6:$E$12,2,FALSE)</f>
        <v>Sab</v>
      </c>
      <c r="E3516" t="str">
        <f>IFERROR(+VLOOKUP(Movimientos_2026[[#This Row],[Codigo]],Plan_cuentas[],2,FALSE)," ")</f>
        <v xml:space="preserve"> </v>
      </c>
      <c r="F3516" t="str">
        <f>IFERROR(+VLOOKUP(Movimientos_2026[[#This Row],[Codigo]],Plan_cuentas[],3,FALSE)," ")</f>
        <v xml:space="preserve"> </v>
      </c>
      <c r="G3516" t="str">
        <f>IFERROR(+VLOOKUP(Movimientos_2026[[#This Row],[Codigo]],Plan_cuentas[],4,FALSE)," ")</f>
        <v xml:space="preserve"> </v>
      </c>
      <c r="H3516" t="str">
        <f>IFERROR(+VLOOKUP(Movimientos_2026[[#This Row],[Codigo]],Plan_cuentas[],5,FALSE)," ")</f>
        <v xml:space="preserve"> </v>
      </c>
      <c r="I3516" s="43"/>
      <c r="K3516" t="str">
        <f>IFERROR(+VLOOKUP(Movimientos_2026[[#This Row],[Codigo]],Plan_cuentas[],6,FALSE)," ")</f>
        <v xml:space="preserve"> </v>
      </c>
      <c r="L3516" s="50"/>
      <c r="M3516" s="50"/>
      <c r="N3516" s="20">
        <f>+Movimientos_2026[[#This Row],[Ingresos]]-Movimientos_2026[[#This Row],[Egresos]]</f>
        <v>0</v>
      </c>
      <c r="O3516" s="20">
        <f>+O3515+Movimientos_2026[[#This Row],[Neto]]</f>
        <v>4581558617.7962294</v>
      </c>
    </row>
    <row r="3517" spans="1:15" x14ac:dyDescent="0.25">
      <c r="A3517" s="13"/>
      <c r="B3517" s="12">
        <f>MONTH(Movimientos_2026[[#This Row],[Fecha]])</f>
        <v>1</v>
      </c>
      <c r="C3517" s="12" t="str">
        <f>VLOOKUP((WEEKDAY(Movimientos_2026[[#This Row],[Fecha]],2)),'5. Setup'!$D$6:$E$12,2,FALSE)</f>
        <v>Sab</v>
      </c>
      <c r="E3517" t="str">
        <f>IFERROR(+VLOOKUP(Movimientos_2026[[#This Row],[Codigo]],Plan_cuentas[],2,FALSE)," ")</f>
        <v xml:space="preserve"> </v>
      </c>
      <c r="F3517" t="str">
        <f>IFERROR(+VLOOKUP(Movimientos_2026[[#This Row],[Codigo]],Plan_cuentas[],3,FALSE)," ")</f>
        <v xml:space="preserve"> </v>
      </c>
      <c r="G3517" t="str">
        <f>IFERROR(+VLOOKUP(Movimientos_2026[[#This Row],[Codigo]],Plan_cuentas[],4,FALSE)," ")</f>
        <v xml:space="preserve"> </v>
      </c>
      <c r="H3517" t="str">
        <f>IFERROR(+VLOOKUP(Movimientos_2026[[#This Row],[Codigo]],Plan_cuentas[],5,FALSE)," ")</f>
        <v xml:space="preserve"> </v>
      </c>
      <c r="I3517" s="43"/>
      <c r="K3517" t="str">
        <f>IFERROR(+VLOOKUP(Movimientos_2026[[#This Row],[Codigo]],Plan_cuentas[],6,FALSE)," ")</f>
        <v xml:space="preserve"> </v>
      </c>
      <c r="L3517" s="50"/>
      <c r="M3517" s="50"/>
      <c r="N3517" s="20">
        <f>+Movimientos_2026[[#This Row],[Ingresos]]-Movimientos_2026[[#This Row],[Egresos]]</f>
        <v>0</v>
      </c>
      <c r="O3517" s="20">
        <f>+O3516+Movimientos_2026[[#This Row],[Neto]]</f>
        <v>4581558617.7962294</v>
      </c>
    </row>
    <row r="3518" spans="1:15" x14ac:dyDescent="0.25">
      <c r="A3518" s="13"/>
      <c r="B3518" s="12">
        <f>MONTH(Movimientos_2026[[#This Row],[Fecha]])</f>
        <v>1</v>
      </c>
      <c r="C3518" s="12" t="str">
        <f>VLOOKUP((WEEKDAY(Movimientos_2026[[#This Row],[Fecha]],2)),'5. Setup'!$D$6:$E$12,2,FALSE)</f>
        <v>Sab</v>
      </c>
      <c r="E3518" t="str">
        <f>IFERROR(+VLOOKUP(Movimientos_2026[[#This Row],[Codigo]],Plan_cuentas[],2,FALSE)," ")</f>
        <v xml:space="preserve"> </v>
      </c>
      <c r="F3518" t="str">
        <f>IFERROR(+VLOOKUP(Movimientos_2026[[#This Row],[Codigo]],Plan_cuentas[],3,FALSE)," ")</f>
        <v xml:space="preserve"> </v>
      </c>
      <c r="G3518" t="str">
        <f>IFERROR(+VLOOKUP(Movimientos_2026[[#This Row],[Codigo]],Plan_cuentas[],4,FALSE)," ")</f>
        <v xml:space="preserve"> </v>
      </c>
      <c r="H3518" t="str">
        <f>IFERROR(+VLOOKUP(Movimientos_2026[[#This Row],[Codigo]],Plan_cuentas[],5,FALSE)," ")</f>
        <v xml:space="preserve"> </v>
      </c>
      <c r="I3518" s="43"/>
      <c r="K3518" t="str">
        <f>IFERROR(+VLOOKUP(Movimientos_2026[[#This Row],[Codigo]],Plan_cuentas[],6,FALSE)," ")</f>
        <v xml:space="preserve"> </v>
      </c>
      <c r="L3518" s="50"/>
      <c r="M3518" s="50"/>
      <c r="N3518" s="20">
        <f>+Movimientos_2026[[#This Row],[Ingresos]]-Movimientos_2026[[#This Row],[Egresos]]</f>
        <v>0</v>
      </c>
      <c r="O3518" s="20">
        <f>+O3517+Movimientos_2026[[#This Row],[Neto]]</f>
        <v>4581558617.7962294</v>
      </c>
    </row>
    <row r="3519" spans="1:15" x14ac:dyDescent="0.25">
      <c r="A3519" s="13"/>
      <c r="B3519" s="12">
        <f>MONTH(Movimientos_2026[[#This Row],[Fecha]])</f>
        <v>1</v>
      </c>
      <c r="C3519" s="12" t="str">
        <f>VLOOKUP((WEEKDAY(Movimientos_2026[[#This Row],[Fecha]],2)),'5. Setup'!$D$6:$E$12,2,FALSE)</f>
        <v>Sab</v>
      </c>
      <c r="E3519" t="str">
        <f>IFERROR(+VLOOKUP(Movimientos_2026[[#This Row],[Codigo]],Plan_cuentas[],2,FALSE)," ")</f>
        <v xml:space="preserve"> </v>
      </c>
      <c r="F3519" t="str">
        <f>IFERROR(+VLOOKUP(Movimientos_2026[[#This Row],[Codigo]],Plan_cuentas[],3,FALSE)," ")</f>
        <v xml:space="preserve"> </v>
      </c>
      <c r="G3519" t="str">
        <f>IFERROR(+VLOOKUP(Movimientos_2026[[#This Row],[Codigo]],Plan_cuentas[],4,FALSE)," ")</f>
        <v xml:space="preserve"> </v>
      </c>
      <c r="H3519" t="str">
        <f>IFERROR(+VLOOKUP(Movimientos_2026[[#This Row],[Codigo]],Plan_cuentas[],5,FALSE)," ")</f>
        <v xml:space="preserve"> </v>
      </c>
      <c r="I3519" s="43"/>
      <c r="K3519" t="str">
        <f>IFERROR(+VLOOKUP(Movimientos_2026[[#This Row],[Codigo]],Plan_cuentas[],6,FALSE)," ")</f>
        <v xml:space="preserve"> </v>
      </c>
      <c r="L3519" s="50"/>
      <c r="M3519" s="50"/>
      <c r="N3519" s="20">
        <f>+Movimientos_2026[[#This Row],[Ingresos]]-Movimientos_2026[[#This Row],[Egresos]]</f>
        <v>0</v>
      </c>
      <c r="O3519" s="20">
        <f>+O3518+Movimientos_2026[[#This Row],[Neto]]</f>
        <v>4581558617.7962294</v>
      </c>
    </row>
    <row r="3520" spans="1:15" x14ac:dyDescent="0.25">
      <c r="A3520" s="13"/>
      <c r="B3520" s="12">
        <f>MONTH(Movimientos_2026[[#This Row],[Fecha]])</f>
        <v>1</v>
      </c>
      <c r="C3520" s="12" t="str">
        <f>VLOOKUP((WEEKDAY(Movimientos_2026[[#This Row],[Fecha]],2)),'5. Setup'!$D$6:$E$12,2,FALSE)</f>
        <v>Sab</v>
      </c>
      <c r="E3520" t="str">
        <f>IFERROR(+VLOOKUP(Movimientos_2026[[#This Row],[Codigo]],Plan_cuentas[],2,FALSE)," ")</f>
        <v xml:space="preserve"> </v>
      </c>
      <c r="F3520" t="str">
        <f>IFERROR(+VLOOKUP(Movimientos_2026[[#This Row],[Codigo]],Plan_cuentas[],3,FALSE)," ")</f>
        <v xml:space="preserve"> </v>
      </c>
      <c r="G3520" t="str">
        <f>IFERROR(+VLOOKUP(Movimientos_2026[[#This Row],[Codigo]],Plan_cuentas[],4,FALSE)," ")</f>
        <v xml:space="preserve"> </v>
      </c>
      <c r="H3520" t="str">
        <f>IFERROR(+VLOOKUP(Movimientos_2026[[#This Row],[Codigo]],Plan_cuentas[],5,FALSE)," ")</f>
        <v xml:space="preserve"> </v>
      </c>
      <c r="I3520" s="43"/>
      <c r="K3520" t="str">
        <f>IFERROR(+VLOOKUP(Movimientos_2026[[#This Row],[Codigo]],Plan_cuentas[],6,FALSE)," ")</f>
        <v xml:space="preserve"> </v>
      </c>
      <c r="L3520" s="50"/>
      <c r="M3520" s="50"/>
      <c r="N3520" s="20">
        <f>+Movimientos_2026[[#This Row],[Ingresos]]-Movimientos_2026[[#This Row],[Egresos]]</f>
        <v>0</v>
      </c>
      <c r="O3520" s="20">
        <f>+O3519+Movimientos_2026[[#This Row],[Neto]]</f>
        <v>4581558617.7962294</v>
      </c>
    </row>
    <row r="3521" spans="1:15" x14ac:dyDescent="0.25">
      <c r="A3521" s="13"/>
      <c r="B3521" s="12">
        <f>MONTH(Movimientos_2026[[#This Row],[Fecha]])</f>
        <v>1</v>
      </c>
      <c r="C3521" s="12" t="str">
        <f>VLOOKUP((WEEKDAY(Movimientos_2026[[#This Row],[Fecha]],2)),'5. Setup'!$D$6:$E$12,2,FALSE)</f>
        <v>Sab</v>
      </c>
      <c r="E3521" t="str">
        <f>IFERROR(+VLOOKUP(Movimientos_2026[[#This Row],[Codigo]],Plan_cuentas[],2,FALSE)," ")</f>
        <v xml:space="preserve"> </v>
      </c>
      <c r="F3521" t="str">
        <f>IFERROR(+VLOOKUP(Movimientos_2026[[#This Row],[Codigo]],Plan_cuentas[],3,FALSE)," ")</f>
        <v xml:space="preserve"> </v>
      </c>
      <c r="G3521" t="str">
        <f>IFERROR(+VLOOKUP(Movimientos_2026[[#This Row],[Codigo]],Plan_cuentas[],4,FALSE)," ")</f>
        <v xml:space="preserve"> </v>
      </c>
      <c r="H3521" t="str">
        <f>IFERROR(+VLOOKUP(Movimientos_2026[[#This Row],[Codigo]],Plan_cuentas[],5,FALSE)," ")</f>
        <v xml:space="preserve"> </v>
      </c>
      <c r="I3521" s="43"/>
      <c r="K3521" t="str">
        <f>IFERROR(+VLOOKUP(Movimientos_2026[[#This Row],[Codigo]],Plan_cuentas[],6,FALSE)," ")</f>
        <v xml:space="preserve"> </v>
      </c>
      <c r="L3521" s="50"/>
      <c r="M3521" s="50"/>
      <c r="N3521" s="20">
        <f>+Movimientos_2026[[#This Row],[Ingresos]]-Movimientos_2026[[#This Row],[Egresos]]</f>
        <v>0</v>
      </c>
      <c r="O3521" s="20">
        <f>+O3520+Movimientos_2026[[#This Row],[Neto]]</f>
        <v>4581558617.7962294</v>
      </c>
    </row>
    <row r="3522" spans="1:15" x14ac:dyDescent="0.25">
      <c r="A3522" s="13"/>
      <c r="B3522" s="12">
        <f>MONTH(Movimientos_2026[[#This Row],[Fecha]])</f>
        <v>1</v>
      </c>
      <c r="C3522" s="12" t="str">
        <f>VLOOKUP((WEEKDAY(Movimientos_2026[[#This Row],[Fecha]],2)),'5. Setup'!$D$6:$E$12,2,FALSE)</f>
        <v>Sab</v>
      </c>
      <c r="E3522" t="str">
        <f>IFERROR(+VLOOKUP(Movimientos_2026[[#This Row],[Codigo]],Plan_cuentas[],2,FALSE)," ")</f>
        <v xml:space="preserve"> </v>
      </c>
      <c r="F3522" t="str">
        <f>IFERROR(+VLOOKUP(Movimientos_2026[[#This Row],[Codigo]],Plan_cuentas[],3,FALSE)," ")</f>
        <v xml:space="preserve"> </v>
      </c>
      <c r="G3522" t="str">
        <f>IFERROR(+VLOOKUP(Movimientos_2026[[#This Row],[Codigo]],Plan_cuentas[],4,FALSE)," ")</f>
        <v xml:space="preserve"> </v>
      </c>
      <c r="H3522" t="str">
        <f>IFERROR(+VLOOKUP(Movimientos_2026[[#This Row],[Codigo]],Plan_cuentas[],5,FALSE)," ")</f>
        <v xml:space="preserve"> </v>
      </c>
      <c r="I3522" s="43"/>
      <c r="K3522" t="str">
        <f>IFERROR(+VLOOKUP(Movimientos_2026[[#This Row],[Codigo]],Plan_cuentas[],6,FALSE)," ")</f>
        <v xml:space="preserve"> </v>
      </c>
      <c r="L3522" s="50"/>
      <c r="M3522" s="50"/>
      <c r="N3522" s="20">
        <f>+Movimientos_2026[[#This Row],[Ingresos]]-Movimientos_2026[[#This Row],[Egresos]]</f>
        <v>0</v>
      </c>
      <c r="O3522" s="20">
        <f>+O3521+Movimientos_2026[[#This Row],[Neto]]</f>
        <v>4581558617.7962294</v>
      </c>
    </row>
    <row r="3523" spans="1:15" x14ac:dyDescent="0.25">
      <c r="A3523" s="13"/>
      <c r="B3523" s="12">
        <f>MONTH(Movimientos_2026[[#This Row],[Fecha]])</f>
        <v>1</v>
      </c>
      <c r="C3523" s="12" t="str">
        <f>VLOOKUP((WEEKDAY(Movimientos_2026[[#This Row],[Fecha]],2)),'5. Setup'!$D$6:$E$12,2,FALSE)</f>
        <v>Sab</v>
      </c>
      <c r="E3523" t="str">
        <f>IFERROR(+VLOOKUP(Movimientos_2026[[#This Row],[Codigo]],Plan_cuentas[],2,FALSE)," ")</f>
        <v xml:space="preserve"> </v>
      </c>
      <c r="F3523" t="str">
        <f>IFERROR(+VLOOKUP(Movimientos_2026[[#This Row],[Codigo]],Plan_cuentas[],3,FALSE)," ")</f>
        <v xml:space="preserve"> </v>
      </c>
      <c r="G3523" t="str">
        <f>IFERROR(+VLOOKUP(Movimientos_2026[[#This Row],[Codigo]],Plan_cuentas[],4,FALSE)," ")</f>
        <v xml:space="preserve"> </v>
      </c>
      <c r="H3523" t="str">
        <f>IFERROR(+VLOOKUP(Movimientos_2026[[#This Row],[Codigo]],Plan_cuentas[],5,FALSE)," ")</f>
        <v xml:space="preserve"> </v>
      </c>
      <c r="I3523" s="43"/>
      <c r="K3523" t="str">
        <f>IFERROR(+VLOOKUP(Movimientos_2026[[#This Row],[Codigo]],Plan_cuentas[],6,FALSE)," ")</f>
        <v xml:space="preserve"> </v>
      </c>
      <c r="L3523" s="50"/>
      <c r="M3523" s="50"/>
      <c r="N3523" s="20">
        <f>+Movimientos_2026[[#This Row],[Ingresos]]-Movimientos_2026[[#This Row],[Egresos]]</f>
        <v>0</v>
      </c>
      <c r="O3523" s="20">
        <f>+O3522+Movimientos_2026[[#This Row],[Neto]]</f>
        <v>4581558617.7962294</v>
      </c>
    </row>
    <row r="3524" spans="1:15" x14ac:dyDescent="0.25">
      <c r="A3524" s="13"/>
      <c r="B3524" s="12">
        <f>MONTH(Movimientos_2026[[#This Row],[Fecha]])</f>
        <v>1</v>
      </c>
      <c r="C3524" s="12" t="str">
        <f>VLOOKUP((WEEKDAY(Movimientos_2026[[#This Row],[Fecha]],2)),'5. Setup'!$D$6:$E$12,2,FALSE)</f>
        <v>Sab</v>
      </c>
      <c r="E3524" t="str">
        <f>IFERROR(+VLOOKUP(Movimientos_2026[[#This Row],[Codigo]],Plan_cuentas[],2,FALSE)," ")</f>
        <v xml:space="preserve"> </v>
      </c>
      <c r="F3524" t="str">
        <f>IFERROR(+VLOOKUP(Movimientos_2026[[#This Row],[Codigo]],Plan_cuentas[],3,FALSE)," ")</f>
        <v xml:space="preserve"> </v>
      </c>
      <c r="G3524" t="str">
        <f>IFERROR(+VLOOKUP(Movimientos_2026[[#This Row],[Codigo]],Plan_cuentas[],4,FALSE)," ")</f>
        <v xml:space="preserve"> </v>
      </c>
      <c r="H3524" t="str">
        <f>IFERROR(+VLOOKUP(Movimientos_2026[[#This Row],[Codigo]],Plan_cuentas[],5,FALSE)," ")</f>
        <v xml:space="preserve"> </v>
      </c>
      <c r="I3524" s="43"/>
      <c r="K3524" t="str">
        <f>IFERROR(+VLOOKUP(Movimientos_2026[[#This Row],[Codigo]],Plan_cuentas[],6,FALSE)," ")</f>
        <v xml:space="preserve"> </v>
      </c>
      <c r="L3524" s="50"/>
      <c r="M3524" s="50"/>
      <c r="N3524" s="20">
        <f>+Movimientos_2026[[#This Row],[Ingresos]]-Movimientos_2026[[#This Row],[Egresos]]</f>
        <v>0</v>
      </c>
      <c r="O3524" s="20">
        <f>+O3523+Movimientos_2026[[#This Row],[Neto]]</f>
        <v>4581558617.7962294</v>
      </c>
    </row>
    <row r="3525" spans="1:15" x14ac:dyDescent="0.25">
      <c r="A3525" s="13"/>
      <c r="B3525" s="12">
        <f>MONTH(Movimientos_2026[[#This Row],[Fecha]])</f>
        <v>1</v>
      </c>
      <c r="C3525" s="12" t="str">
        <f>VLOOKUP((WEEKDAY(Movimientos_2026[[#This Row],[Fecha]],2)),'5. Setup'!$D$6:$E$12,2,FALSE)</f>
        <v>Sab</v>
      </c>
      <c r="E3525" t="str">
        <f>IFERROR(+VLOOKUP(Movimientos_2026[[#This Row],[Codigo]],Plan_cuentas[],2,FALSE)," ")</f>
        <v xml:space="preserve"> </v>
      </c>
      <c r="F3525" t="str">
        <f>IFERROR(+VLOOKUP(Movimientos_2026[[#This Row],[Codigo]],Plan_cuentas[],3,FALSE)," ")</f>
        <v xml:space="preserve"> </v>
      </c>
      <c r="G3525" t="str">
        <f>IFERROR(+VLOOKUP(Movimientos_2026[[#This Row],[Codigo]],Plan_cuentas[],4,FALSE)," ")</f>
        <v xml:space="preserve"> </v>
      </c>
      <c r="H3525" t="str">
        <f>IFERROR(+VLOOKUP(Movimientos_2026[[#This Row],[Codigo]],Plan_cuentas[],5,FALSE)," ")</f>
        <v xml:space="preserve"> </v>
      </c>
      <c r="I3525" s="43"/>
      <c r="K3525" t="str">
        <f>IFERROR(+VLOOKUP(Movimientos_2026[[#This Row],[Codigo]],Plan_cuentas[],6,FALSE)," ")</f>
        <v xml:space="preserve"> </v>
      </c>
      <c r="L3525" s="50"/>
      <c r="M3525" s="50"/>
      <c r="N3525" s="20">
        <f>+Movimientos_2026[[#This Row],[Ingresos]]-Movimientos_2026[[#This Row],[Egresos]]</f>
        <v>0</v>
      </c>
      <c r="O3525" s="20">
        <f>+O3524+Movimientos_2026[[#This Row],[Neto]]</f>
        <v>4581558617.7962294</v>
      </c>
    </row>
    <row r="3526" spans="1:15" x14ac:dyDescent="0.25">
      <c r="A3526" s="13"/>
      <c r="B3526" s="12">
        <f>MONTH(Movimientos_2026[[#This Row],[Fecha]])</f>
        <v>1</v>
      </c>
      <c r="C3526" s="12" t="str">
        <f>VLOOKUP((WEEKDAY(Movimientos_2026[[#This Row],[Fecha]],2)),'5. Setup'!$D$6:$E$12,2,FALSE)</f>
        <v>Sab</v>
      </c>
      <c r="E3526" t="str">
        <f>IFERROR(+VLOOKUP(Movimientos_2026[[#This Row],[Codigo]],Plan_cuentas[],2,FALSE)," ")</f>
        <v xml:space="preserve"> </v>
      </c>
      <c r="F3526" t="str">
        <f>IFERROR(+VLOOKUP(Movimientos_2026[[#This Row],[Codigo]],Plan_cuentas[],3,FALSE)," ")</f>
        <v xml:space="preserve"> </v>
      </c>
      <c r="G3526" t="str">
        <f>IFERROR(+VLOOKUP(Movimientos_2026[[#This Row],[Codigo]],Plan_cuentas[],4,FALSE)," ")</f>
        <v xml:space="preserve"> </v>
      </c>
      <c r="H3526" t="str">
        <f>IFERROR(+VLOOKUP(Movimientos_2026[[#This Row],[Codigo]],Plan_cuentas[],5,FALSE)," ")</f>
        <v xml:space="preserve"> </v>
      </c>
      <c r="I3526" s="43"/>
      <c r="K3526" t="str">
        <f>IFERROR(+VLOOKUP(Movimientos_2026[[#This Row],[Codigo]],Plan_cuentas[],6,FALSE)," ")</f>
        <v xml:space="preserve"> </v>
      </c>
      <c r="L3526" s="50"/>
      <c r="M3526" s="50"/>
      <c r="N3526" s="20">
        <f>+Movimientos_2026[[#This Row],[Ingresos]]-Movimientos_2026[[#This Row],[Egresos]]</f>
        <v>0</v>
      </c>
      <c r="O3526" s="20">
        <f>+O3525+Movimientos_2026[[#This Row],[Neto]]</f>
        <v>4581558617.7962294</v>
      </c>
    </row>
    <row r="3527" spans="1:15" x14ac:dyDescent="0.25">
      <c r="A3527" s="13"/>
      <c r="B3527" s="12">
        <f>MONTH(Movimientos_2026[[#This Row],[Fecha]])</f>
        <v>1</v>
      </c>
      <c r="C3527" s="12" t="str">
        <f>VLOOKUP((WEEKDAY(Movimientos_2026[[#This Row],[Fecha]],2)),'5. Setup'!$D$6:$E$12,2,FALSE)</f>
        <v>Sab</v>
      </c>
      <c r="E3527" t="str">
        <f>IFERROR(+VLOOKUP(Movimientos_2026[[#This Row],[Codigo]],Plan_cuentas[],2,FALSE)," ")</f>
        <v xml:space="preserve"> </v>
      </c>
      <c r="F3527" t="str">
        <f>IFERROR(+VLOOKUP(Movimientos_2026[[#This Row],[Codigo]],Plan_cuentas[],3,FALSE)," ")</f>
        <v xml:space="preserve"> </v>
      </c>
      <c r="G3527" t="str">
        <f>IFERROR(+VLOOKUP(Movimientos_2026[[#This Row],[Codigo]],Plan_cuentas[],4,FALSE)," ")</f>
        <v xml:space="preserve"> </v>
      </c>
      <c r="H3527" t="str">
        <f>IFERROR(+VLOOKUP(Movimientos_2026[[#This Row],[Codigo]],Plan_cuentas[],5,FALSE)," ")</f>
        <v xml:space="preserve"> </v>
      </c>
      <c r="I3527" s="43"/>
      <c r="K3527" t="str">
        <f>IFERROR(+VLOOKUP(Movimientos_2026[[#This Row],[Codigo]],Plan_cuentas[],6,FALSE)," ")</f>
        <v xml:space="preserve"> </v>
      </c>
      <c r="L3527" s="50"/>
      <c r="M3527" s="50"/>
      <c r="N3527" s="20">
        <f>+Movimientos_2026[[#This Row],[Ingresos]]-Movimientos_2026[[#This Row],[Egresos]]</f>
        <v>0</v>
      </c>
      <c r="O3527" s="20">
        <f>+O3526+Movimientos_2026[[#This Row],[Neto]]</f>
        <v>4581558617.7962294</v>
      </c>
    </row>
    <row r="3528" spans="1:15" x14ac:dyDescent="0.25">
      <c r="A3528" s="13"/>
      <c r="B3528" s="12">
        <f>MONTH(Movimientos_2026[[#This Row],[Fecha]])</f>
        <v>1</v>
      </c>
      <c r="C3528" s="12" t="str">
        <f>VLOOKUP((WEEKDAY(Movimientos_2026[[#This Row],[Fecha]],2)),'5. Setup'!$D$6:$E$12,2,FALSE)</f>
        <v>Sab</v>
      </c>
      <c r="E3528" t="str">
        <f>IFERROR(+VLOOKUP(Movimientos_2026[[#This Row],[Codigo]],Plan_cuentas[],2,FALSE)," ")</f>
        <v xml:space="preserve"> </v>
      </c>
      <c r="F3528" t="str">
        <f>IFERROR(+VLOOKUP(Movimientos_2026[[#This Row],[Codigo]],Plan_cuentas[],3,FALSE)," ")</f>
        <v xml:space="preserve"> </v>
      </c>
      <c r="G3528" t="str">
        <f>IFERROR(+VLOOKUP(Movimientos_2026[[#This Row],[Codigo]],Plan_cuentas[],4,FALSE)," ")</f>
        <v xml:space="preserve"> </v>
      </c>
      <c r="H3528" t="str">
        <f>IFERROR(+VLOOKUP(Movimientos_2026[[#This Row],[Codigo]],Plan_cuentas[],5,FALSE)," ")</f>
        <v xml:space="preserve"> </v>
      </c>
      <c r="I3528" s="43"/>
      <c r="K3528" t="str">
        <f>IFERROR(+VLOOKUP(Movimientos_2026[[#This Row],[Codigo]],Plan_cuentas[],6,FALSE)," ")</f>
        <v xml:space="preserve"> </v>
      </c>
      <c r="L3528" s="50"/>
      <c r="M3528" s="50"/>
      <c r="N3528" s="20">
        <f>+Movimientos_2026[[#This Row],[Ingresos]]-Movimientos_2026[[#This Row],[Egresos]]</f>
        <v>0</v>
      </c>
      <c r="O3528" s="20">
        <f>+O3527+Movimientos_2026[[#This Row],[Neto]]</f>
        <v>4581558617.7962294</v>
      </c>
    </row>
    <row r="3529" spans="1:15" x14ac:dyDescent="0.25">
      <c r="A3529" s="13"/>
      <c r="B3529" s="12">
        <f>MONTH(Movimientos_2026[[#This Row],[Fecha]])</f>
        <v>1</v>
      </c>
      <c r="C3529" s="12" t="str">
        <f>VLOOKUP((WEEKDAY(Movimientos_2026[[#This Row],[Fecha]],2)),'5. Setup'!$D$6:$E$12,2,FALSE)</f>
        <v>Sab</v>
      </c>
      <c r="E3529" t="str">
        <f>IFERROR(+VLOOKUP(Movimientos_2026[[#This Row],[Codigo]],Plan_cuentas[],2,FALSE)," ")</f>
        <v xml:space="preserve"> </v>
      </c>
      <c r="F3529" t="str">
        <f>IFERROR(+VLOOKUP(Movimientos_2026[[#This Row],[Codigo]],Plan_cuentas[],3,FALSE)," ")</f>
        <v xml:space="preserve"> </v>
      </c>
      <c r="G3529" t="str">
        <f>IFERROR(+VLOOKUP(Movimientos_2026[[#This Row],[Codigo]],Plan_cuentas[],4,FALSE)," ")</f>
        <v xml:space="preserve"> </v>
      </c>
      <c r="H3529" t="str">
        <f>IFERROR(+VLOOKUP(Movimientos_2026[[#This Row],[Codigo]],Plan_cuentas[],5,FALSE)," ")</f>
        <v xml:space="preserve"> </v>
      </c>
      <c r="I3529" s="43"/>
      <c r="K3529" t="str">
        <f>IFERROR(+VLOOKUP(Movimientos_2026[[#This Row],[Codigo]],Plan_cuentas[],6,FALSE)," ")</f>
        <v xml:space="preserve"> </v>
      </c>
      <c r="L3529" s="50"/>
      <c r="M3529" s="50"/>
      <c r="N3529" s="20">
        <f>+Movimientos_2026[[#This Row],[Ingresos]]-Movimientos_2026[[#This Row],[Egresos]]</f>
        <v>0</v>
      </c>
      <c r="O3529" s="20">
        <f>+O3528+Movimientos_2026[[#This Row],[Neto]]</f>
        <v>4581558617.7962294</v>
      </c>
    </row>
    <row r="3530" spans="1:15" x14ac:dyDescent="0.25">
      <c r="A3530" s="13"/>
      <c r="B3530" s="12">
        <f>MONTH(Movimientos_2026[[#This Row],[Fecha]])</f>
        <v>1</v>
      </c>
      <c r="C3530" s="12" t="str">
        <f>VLOOKUP((WEEKDAY(Movimientos_2026[[#This Row],[Fecha]],2)),'5. Setup'!$D$6:$E$12,2,FALSE)</f>
        <v>Sab</v>
      </c>
      <c r="E3530" t="str">
        <f>IFERROR(+VLOOKUP(Movimientos_2026[[#This Row],[Codigo]],Plan_cuentas[],2,FALSE)," ")</f>
        <v xml:space="preserve"> </v>
      </c>
      <c r="F3530" t="str">
        <f>IFERROR(+VLOOKUP(Movimientos_2026[[#This Row],[Codigo]],Plan_cuentas[],3,FALSE)," ")</f>
        <v xml:space="preserve"> </v>
      </c>
      <c r="G3530" t="str">
        <f>IFERROR(+VLOOKUP(Movimientos_2026[[#This Row],[Codigo]],Plan_cuentas[],4,FALSE)," ")</f>
        <v xml:space="preserve"> </v>
      </c>
      <c r="H3530" t="str">
        <f>IFERROR(+VLOOKUP(Movimientos_2026[[#This Row],[Codigo]],Plan_cuentas[],5,FALSE)," ")</f>
        <v xml:space="preserve"> </v>
      </c>
      <c r="I3530" s="43"/>
      <c r="K3530" t="str">
        <f>IFERROR(+VLOOKUP(Movimientos_2026[[#This Row],[Codigo]],Plan_cuentas[],6,FALSE)," ")</f>
        <v xml:space="preserve"> </v>
      </c>
      <c r="L3530" s="50"/>
      <c r="M3530" s="50"/>
      <c r="N3530" s="20">
        <f>+Movimientos_2026[[#This Row],[Ingresos]]-Movimientos_2026[[#This Row],[Egresos]]</f>
        <v>0</v>
      </c>
      <c r="O3530" s="20">
        <f>+O3529+Movimientos_2026[[#This Row],[Neto]]</f>
        <v>4581558617.7962294</v>
      </c>
    </row>
    <row r="3531" spans="1:15" x14ac:dyDescent="0.25">
      <c r="A3531" s="13"/>
      <c r="B3531" s="12">
        <f>MONTH(Movimientos_2026[[#This Row],[Fecha]])</f>
        <v>1</v>
      </c>
      <c r="C3531" s="12" t="str">
        <f>VLOOKUP((WEEKDAY(Movimientos_2026[[#This Row],[Fecha]],2)),'5. Setup'!$D$6:$E$12,2,FALSE)</f>
        <v>Sab</v>
      </c>
      <c r="E3531" t="str">
        <f>IFERROR(+VLOOKUP(Movimientos_2026[[#This Row],[Codigo]],Plan_cuentas[],2,FALSE)," ")</f>
        <v xml:space="preserve"> </v>
      </c>
      <c r="F3531" t="str">
        <f>IFERROR(+VLOOKUP(Movimientos_2026[[#This Row],[Codigo]],Plan_cuentas[],3,FALSE)," ")</f>
        <v xml:space="preserve"> </v>
      </c>
      <c r="G3531" t="str">
        <f>IFERROR(+VLOOKUP(Movimientos_2026[[#This Row],[Codigo]],Plan_cuentas[],4,FALSE)," ")</f>
        <v xml:space="preserve"> </v>
      </c>
      <c r="H3531" t="str">
        <f>IFERROR(+VLOOKUP(Movimientos_2026[[#This Row],[Codigo]],Plan_cuentas[],5,FALSE)," ")</f>
        <v xml:space="preserve"> </v>
      </c>
      <c r="I3531" s="43"/>
      <c r="K3531" t="str">
        <f>IFERROR(+VLOOKUP(Movimientos_2026[[#This Row],[Codigo]],Plan_cuentas[],6,FALSE)," ")</f>
        <v xml:space="preserve"> </v>
      </c>
      <c r="L3531" s="50"/>
      <c r="M3531" s="50"/>
      <c r="N3531" s="20">
        <f>+Movimientos_2026[[#This Row],[Ingresos]]-Movimientos_2026[[#This Row],[Egresos]]</f>
        <v>0</v>
      </c>
      <c r="O3531" s="20">
        <f>+O3530+Movimientos_2026[[#This Row],[Neto]]</f>
        <v>4581558617.7962294</v>
      </c>
    </row>
    <row r="3532" spans="1:15" x14ac:dyDescent="0.25">
      <c r="A3532" s="13"/>
      <c r="B3532" s="12">
        <f>MONTH(Movimientos_2026[[#This Row],[Fecha]])</f>
        <v>1</v>
      </c>
      <c r="C3532" s="12" t="str">
        <f>VLOOKUP((WEEKDAY(Movimientos_2026[[#This Row],[Fecha]],2)),'5. Setup'!$D$6:$E$12,2,FALSE)</f>
        <v>Sab</v>
      </c>
      <c r="E3532" t="str">
        <f>IFERROR(+VLOOKUP(Movimientos_2026[[#This Row],[Codigo]],Plan_cuentas[],2,FALSE)," ")</f>
        <v xml:space="preserve"> </v>
      </c>
      <c r="F3532" t="str">
        <f>IFERROR(+VLOOKUP(Movimientos_2026[[#This Row],[Codigo]],Plan_cuentas[],3,FALSE)," ")</f>
        <v xml:space="preserve"> </v>
      </c>
      <c r="G3532" t="str">
        <f>IFERROR(+VLOOKUP(Movimientos_2026[[#This Row],[Codigo]],Plan_cuentas[],4,FALSE)," ")</f>
        <v xml:space="preserve"> </v>
      </c>
      <c r="H3532" t="str">
        <f>IFERROR(+VLOOKUP(Movimientos_2026[[#This Row],[Codigo]],Plan_cuentas[],5,FALSE)," ")</f>
        <v xml:space="preserve"> </v>
      </c>
      <c r="I3532" s="43"/>
      <c r="K3532" t="str">
        <f>IFERROR(+VLOOKUP(Movimientos_2026[[#This Row],[Codigo]],Plan_cuentas[],6,FALSE)," ")</f>
        <v xml:space="preserve"> </v>
      </c>
      <c r="L3532" s="50"/>
      <c r="M3532" s="50"/>
      <c r="N3532" s="20">
        <f>+Movimientos_2026[[#This Row],[Ingresos]]-Movimientos_2026[[#This Row],[Egresos]]</f>
        <v>0</v>
      </c>
      <c r="O3532" s="20">
        <f>+O3531+Movimientos_2026[[#This Row],[Neto]]</f>
        <v>4581558617.7962294</v>
      </c>
    </row>
    <row r="3533" spans="1:15" x14ac:dyDescent="0.25">
      <c r="A3533" s="13"/>
      <c r="B3533" s="12">
        <f>MONTH(Movimientos_2026[[#This Row],[Fecha]])</f>
        <v>1</v>
      </c>
      <c r="C3533" s="12" t="str">
        <f>VLOOKUP((WEEKDAY(Movimientos_2026[[#This Row],[Fecha]],2)),'5. Setup'!$D$6:$E$12,2,FALSE)</f>
        <v>Sab</v>
      </c>
      <c r="E3533" t="str">
        <f>IFERROR(+VLOOKUP(Movimientos_2026[[#This Row],[Codigo]],Plan_cuentas[],2,FALSE)," ")</f>
        <v xml:space="preserve"> </v>
      </c>
      <c r="F3533" t="str">
        <f>IFERROR(+VLOOKUP(Movimientos_2026[[#This Row],[Codigo]],Plan_cuentas[],3,FALSE)," ")</f>
        <v xml:space="preserve"> </v>
      </c>
      <c r="G3533" t="str">
        <f>IFERROR(+VLOOKUP(Movimientos_2026[[#This Row],[Codigo]],Plan_cuentas[],4,FALSE)," ")</f>
        <v xml:space="preserve"> </v>
      </c>
      <c r="H3533" t="str">
        <f>IFERROR(+VLOOKUP(Movimientos_2026[[#This Row],[Codigo]],Plan_cuentas[],5,FALSE)," ")</f>
        <v xml:space="preserve"> </v>
      </c>
      <c r="I3533" s="43"/>
      <c r="K3533" t="str">
        <f>IFERROR(+VLOOKUP(Movimientos_2026[[#This Row],[Codigo]],Plan_cuentas[],6,FALSE)," ")</f>
        <v xml:space="preserve"> </v>
      </c>
      <c r="L3533" s="50"/>
      <c r="M3533" s="50"/>
      <c r="N3533" s="20">
        <f>+Movimientos_2026[[#This Row],[Ingresos]]-Movimientos_2026[[#This Row],[Egresos]]</f>
        <v>0</v>
      </c>
      <c r="O3533" s="20">
        <f>+O3532+Movimientos_2026[[#This Row],[Neto]]</f>
        <v>4581558617.7962294</v>
      </c>
    </row>
    <row r="3534" spans="1:15" x14ac:dyDescent="0.25">
      <c r="A3534" s="13"/>
      <c r="B3534" s="12">
        <f>MONTH(Movimientos_2026[[#This Row],[Fecha]])</f>
        <v>1</v>
      </c>
      <c r="C3534" s="12" t="str">
        <f>VLOOKUP((WEEKDAY(Movimientos_2026[[#This Row],[Fecha]],2)),'5. Setup'!$D$6:$E$12,2,FALSE)</f>
        <v>Sab</v>
      </c>
      <c r="E3534" t="str">
        <f>IFERROR(+VLOOKUP(Movimientos_2026[[#This Row],[Codigo]],Plan_cuentas[],2,FALSE)," ")</f>
        <v xml:space="preserve"> </v>
      </c>
      <c r="F3534" t="str">
        <f>IFERROR(+VLOOKUP(Movimientos_2026[[#This Row],[Codigo]],Plan_cuentas[],3,FALSE)," ")</f>
        <v xml:space="preserve"> </v>
      </c>
      <c r="G3534" t="str">
        <f>IFERROR(+VLOOKUP(Movimientos_2026[[#This Row],[Codigo]],Plan_cuentas[],4,FALSE)," ")</f>
        <v xml:space="preserve"> </v>
      </c>
      <c r="H3534" t="str">
        <f>IFERROR(+VLOOKUP(Movimientos_2026[[#This Row],[Codigo]],Plan_cuentas[],5,FALSE)," ")</f>
        <v xml:space="preserve"> </v>
      </c>
      <c r="I3534" s="43"/>
      <c r="K3534" t="str">
        <f>IFERROR(+VLOOKUP(Movimientos_2026[[#This Row],[Codigo]],Plan_cuentas[],6,FALSE)," ")</f>
        <v xml:space="preserve"> </v>
      </c>
      <c r="L3534" s="50"/>
      <c r="M3534" s="50"/>
      <c r="N3534" s="20">
        <f>+Movimientos_2026[[#This Row],[Ingresos]]-Movimientos_2026[[#This Row],[Egresos]]</f>
        <v>0</v>
      </c>
      <c r="O3534" s="20">
        <f>+O3533+Movimientos_2026[[#This Row],[Neto]]</f>
        <v>4581558617.7962294</v>
      </c>
    </row>
    <row r="3535" spans="1:15" x14ac:dyDescent="0.25">
      <c r="A3535" s="13"/>
      <c r="B3535" s="12">
        <f>MONTH(Movimientos_2026[[#This Row],[Fecha]])</f>
        <v>1</v>
      </c>
      <c r="C3535" s="12" t="str">
        <f>VLOOKUP((WEEKDAY(Movimientos_2026[[#This Row],[Fecha]],2)),'5. Setup'!$D$6:$E$12,2,FALSE)</f>
        <v>Sab</v>
      </c>
      <c r="E3535" t="str">
        <f>IFERROR(+VLOOKUP(Movimientos_2026[[#This Row],[Codigo]],Plan_cuentas[],2,FALSE)," ")</f>
        <v xml:space="preserve"> </v>
      </c>
      <c r="F3535" t="str">
        <f>IFERROR(+VLOOKUP(Movimientos_2026[[#This Row],[Codigo]],Plan_cuentas[],3,FALSE)," ")</f>
        <v xml:space="preserve"> </v>
      </c>
      <c r="G3535" t="str">
        <f>IFERROR(+VLOOKUP(Movimientos_2026[[#This Row],[Codigo]],Plan_cuentas[],4,FALSE)," ")</f>
        <v xml:space="preserve"> </v>
      </c>
      <c r="H3535" t="str">
        <f>IFERROR(+VLOOKUP(Movimientos_2026[[#This Row],[Codigo]],Plan_cuentas[],5,FALSE)," ")</f>
        <v xml:space="preserve"> </v>
      </c>
      <c r="I3535" s="43"/>
      <c r="K3535" t="str">
        <f>IFERROR(+VLOOKUP(Movimientos_2026[[#This Row],[Codigo]],Plan_cuentas[],6,FALSE)," ")</f>
        <v xml:space="preserve"> </v>
      </c>
      <c r="L3535" s="50"/>
      <c r="M3535" s="50"/>
      <c r="N3535" s="20">
        <f>+Movimientos_2026[[#This Row],[Ingresos]]-Movimientos_2026[[#This Row],[Egresos]]</f>
        <v>0</v>
      </c>
      <c r="O3535" s="20">
        <f>+O3534+Movimientos_2026[[#This Row],[Neto]]</f>
        <v>4581558617.7962294</v>
      </c>
    </row>
    <row r="3536" spans="1:15" x14ac:dyDescent="0.25">
      <c r="A3536" s="13"/>
      <c r="B3536" s="12">
        <f>MONTH(Movimientos_2026[[#This Row],[Fecha]])</f>
        <v>1</v>
      </c>
      <c r="C3536" s="12" t="str">
        <f>VLOOKUP((WEEKDAY(Movimientos_2026[[#This Row],[Fecha]],2)),'5. Setup'!$D$6:$E$12,2,FALSE)</f>
        <v>Sab</v>
      </c>
      <c r="E3536" t="str">
        <f>IFERROR(+VLOOKUP(Movimientos_2026[[#This Row],[Codigo]],Plan_cuentas[],2,FALSE)," ")</f>
        <v xml:space="preserve"> </v>
      </c>
      <c r="F3536" t="str">
        <f>IFERROR(+VLOOKUP(Movimientos_2026[[#This Row],[Codigo]],Plan_cuentas[],3,FALSE)," ")</f>
        <v xml:space="preserve"> </v>
      </c>
      <c r="G3536" t="str">
        <f>IFERROR(+VLOOKUP(Movimientos_2026[[#This Row],[Codigo]],Plan_cuentas[],4,FALSE)," ")</f>
        <v xml:space="preserve"> </v>
      </c>
      <c r="H3536" t="str">
        <f>IFERROR(+VLOOKUP(Movimientos_2026[[#This Row],[Codigo]],Plan_cuentas[],5,FALSE)," ")</f>
        <v xml:space="preserve"> </v>
      </c>
      <c r="I3536" s="43"/>
      <c r="K3536" t="str">
        <f>IFERROR(+VLOOKUP(Movimientos_2026[[#This Row],[Codigo]],Plan_cuentas[],6,FALSE)," ")</f>
        <v xml:space="preserve"> </v>
      </c>
      <c r="L3536" s="50"/>
      <c r="M3536" s="50"/>
      <c r="N3536" s="20">
        <f>+Movimientos_2026[[#This Row],[Ingresos]]-Movimientos_2026[[#This Row],[Egresos]]</f>
        <v>0</v>
      </c>
      <c r="O3536" s="20">
        <f>+O3535+Movimientos_2026[[#This Row],[Neto]]</f>
        <v>4581558617.7962294</v>
      </c>
    </row>
    <row r="3537" spans="1:15" x14ac:dyDescent="0.25">
      <c r="A3537" s="13"/>
      <c r="B3537" s="12">
        <f>MONTH(Movimientos_2026[[#This Row],[Fecha]])</f>
        <v>1</v>
      </c>
      <c r="C3537" s="12" t="str">
        <f>VLOOKUP((WEEKDAY(Movimientos_2026[[#This Row],[Fecha]],2)),'5. Setup'!$D$6:$E$12,2,FALSE)</f>
        <v>Sab</v>
      </c>
      <c r="E3537" t="str">
        <f>IFERROR(+VLOOKUP(Movimientos_2026[[#This Row],[Codigo]],Plan_cuentas[],2,FALSE)," ")</f>
        <v xml:space="preserve"> </v>
      </c>
      <c r="F3537" t="str">
        <f>IFERROR(+VLOOKUP(Movimientos_2026[[#This Row],[Codigo]],Plan_cuentas[],3,FALSE)," ")</f>
        <v xml:space="preserve"> </v>
      </c>
      <c r="G3537" t="str">
        <f>IFERROR(+VLOOKUP(Movimientos_2026[[#This Row],[Codigo]],Plan_cuentas[],4,FALSE)," ")</f>
        <v xml:space="preserve"> </v>
      </c>
      <c r="H3537" t="str">
        <f>IFERROR(+VLOOKUP(Movimientos_2026[[#This Row],[Codigo]],Plan_cuentas[],5,FALSE)," ")</f>
        <v xml:space="preserve"> </v>
      </c>
      <c r="I3537" s="43"/>
      <c r="K3537" t="str">
        <f>IFERROR(+VLOOKUP(Movimientos_2026[[#This Row],[Codigo]],Plan_cuentas[],6,FALSE)," ")</f>
        <v xml:space="preserve"> </v>
      </c>
      <c r="L3537" s="50"/>
      <c r="M3537" s="50"/>
      <c r="N3537" s="20">
        <f>+Movimientos_2026[[#This Row],[Ingresos]]-Movimientos_2026[[#This Row],[Egresos]]</f>
        <v>0</v>
      </c>
      <c r="O3537" s="20">
        <f>+O3536+Movimientos_2026[[#This Row],[Neto]]</f>
        <v>4581558617.7962294</v>
      </c>
    </row>
    <row r="3538" spans="1:15" x14ac:dyDescent="0.25">
      <c r="A3538" s="13"/>
      <c r="B3538" s="12">
        <f>MONTH(Movimientos_2026[[#This Row],[Fecha]])</f>
        <v>1</v>
      </c>
      <c r="C3538" s="12" t="str">
        <f>VLOOKUP((WEEKDAY(Movimientos_2026[[#This Row],[Fecha]],2)),'5. Setup'!$D$6:$E$12,2,FALSE)</f>
        <v>Sab</v>
      </c>
      <c r="E3538" t="str">
        <f>IFERROR(+VLOOKUP(Movimientos_2026[[#This Row],[Codigo]],Plan_cuentas[],2,FALSE)," ")</f>
        <v xml:space="preserve"> </v>
      </c>
      <c r="F3538" t="str">
        <f>IFERROR(+VLOOKUP(Movimientos_2026[[#This Row],[Codigo]],Plan_cuentas[],3,FALSE)," ")</f>
        <v xml:space="preserve"> </v>
      </c>
      <c r="G3538" t="str">
        <f>IFERROR(+VLOOKUP(Movimientos_2026[[#This Row],[Codigo]],Plan_cuentas[],4,FALSE)," ")</f>
        <v xml:space="preserve"> </v>
      </c>
      <c r="H3538" t="str">
        <f>IFERROR(+VLOOKUP(Movimientos_2026[[#This Row],[Codigo]],Plan_cuentas[],5,FALSE)," ")</f>
        <v xml:space="preserve"> </v>
      </c>
      <c r="I3538" s="43"/>
      <c r="K3538" t="str">
        <f>IFERROR(+VLOOKUP(Movimientos_2026[[#This Row],[Codigo]],Plan_cuentas[],6,FALSE)," ")</f>
        <v xml:space="preserve"> </v>
      </c>
      <c r="L3538" s="50"/>
      <c r="M3538" s="50"/>
      <c r="N3538" s="20">
        <f>+Movimientos_2026[[#This Row],[Ingresos]]-Movimientos_2026[[#This Row],[Egresos]]</f>
        <v>0</v>
      </c>
      <c r="O3538" s="20">
        <f>+O3537+Movimientos_2026[[#This Row],[Neto]]</f>
        <v>4581558617.7962294</v>
      </c>
    </row>
    <row r="3539" spans="1:15" x14ac:dyDescent="0.25">
      <c r="A3539" s="13"/>
      <c r="B3539" s="12">
        <f>MONTH(Movimientos_2026[[#This Row],[Fecha]])</f>
        <v>1</v>
      </c>
      <c r="C3539" s="12" t="str">
        <f>VLOOKUP((WEEKDAY(Movimientos_2026[[#This Row],[Fecha]],2)),'5. Setup'!$D$6:$E$12,2,FALSE)</f>
        <v>Sab</v>
      </c>
      <c r="E3539" t="str">
        <f>IFERROR(+VLOOKUP(Movimientos_2026[[#This Row],[Codigo]],Plan_cuentas[],2,FALSE)," ")</f>
        <v xml:space="preserve"> </v>
      </c>
      <c r="F3539" t="str">
        <f>IFERROR(+VLOOKUP(Movimientos_2026[[#This Row],[Codigo]],Plan_cuentas[],3,FALSE)," ")</f>
        <v xml:space="preserve"> </v>
      </c>
      <c r="G3539" t="str">
        <f>IFERROR(+VLOOKUP(Movimientos_2026[[#This Row],[Codigo]],Plan_cuentas[],4,FALSE)," ")</f>
        <v xml:space="preserve"> </v>
      </c>
      <c r="H3539" t="str">
        <f>IFERROR(+VLOOKUP(Movimientos_2026[[#This Row],[Codigo]],Plan_cuentas[],5,FALSE)," ")</f>
        <v xml:space="preserve"> </v>
      </c>
      <c r="I3539" s="43"/>
      <c r="K3539" t="str">
        <f>IFERROR(+VLOOKUP(Movimientos_2026[[#This Row],[Codigo]],Plan_cuentas[],6,FALSE)," ")</f>
        <v xml:space="preserve"> </v>
      </c>
      <c r="L3539" s="50"/>
      <c r="M3539" s="50"/>
      <c r="N3539" s="20">
        <f>+Movimientos_2026[[#This Row],[Ingresos]]-Movimientos_2026[[#This Row],[Egresos]]</f>
        <v>0</v>
      </c>
      <c r="O3539" s="20">
        <f>+O3538+Movimientos_2026[[#This Row],[Neto]]</f>
        <v>4581558617.7962294</v>
      </c>
    </row>
    <row r="3540" spans="1:15" x14ac:dyDescent="0.25">
      <c r="A3540" s="13"/>
      <c r="B3540" s="12">
        <f>MONTH(Movimientos_2026[[#This Row],[Fecha]])</f>
        <v>1</v>
      </c>
      <c r="C3540" s="12" t="str">
        <f>VLOOKUP((WEEKDAY(Movimientos_2026[[#This Row],[Fecha]],2)),'5. Setup'!$D$6:$E$12,2,FALSE)</f>
        <v>Sab</v>
      </c>
      <c r="E3540" t="str">
        <f>IFERROR(+VLOOKUP(Movimientos_2026[[#This Row],[Codigo]],Plan_cuentas[],2,FALSE)," ")</f>
        <v xml:space="preserve"> </v>
      </c>
      <c r="F3540" t="str">
        <f>IFERROR(+VLOOKUP(Movimientos_2026[[#This Row],[Codigo]],Plan_cuentas[],3,FALSE)," ")</f>
        <v xml:space="preserve"> </v>
      </c>
      <c r="G3540" t="str">
        <f>IFERROR(+VLOOKUP(Movimientos_2026[[#This Row],[Codigo]],Plan_cuentas[],4,FALSE)," ")</f>
        <v xml:space="preserve"> </v>
      </c>
      <c r="H3540" t="str">
        <f>IFERROR(+VLOOKUP(Movimientos_2026[[#This Row],[Codigo]],Plan_cuentas[],5,FALSE)," ")</f>
        <v xml:space="preserve"> </v>
      </c>
      <c r="I3540" s="43"/>
      <c r="K3540" t="str">
        <f>IFERROR(+VLOOKUP(Movimientos_2026[[#This Row],[Codigo]],Plan_cuentas[],6,FALSE)," ")</f>
        <v xml:space="preserve"> </v>
      </c>
      <c r="L3540" s="50"/>
      <c r="M3540" s="50"/>
      <c r="N3540" s="20">
        <f>+Movimientos_2026[[#This Row],[Ingresos]]-Movimientos_2026[[#This Row],[Egresos]]</f>
        <v>0</v>
      </c>
      <c r="O3540" s="20">
        <f>+O3539+Movimientos_2026[[#This Row],[Neto]]</f>
        <v>4581558617.7962294</v>
      </c>
    </row>
    <row r="3541" spans="1:15" x14ac:dyDescent="0.25">
      <c r="A3541" s="13"/>
      <c r="B3541" s="12">
        <f>MONTH(Movimientos_2026[[#This Row],[Fecha]])</f>
        <v>1</v>
      </c>
      <c r="C3541" s="12" t="str">
        <f>VLOOKUP((WEEKDAY(Movimientos_2026[[#This Row],[Fecha]],2)),'5. Setup'!$D$6:$E$12,2,FALSE)</f>
        <v>Sab</v>
      </c>
      <c r="E3541" t="str">
        <f>IFERROR(+VLOOKUP(Movimientos_2026[[#This Row],[Codigo]],Plan_cuentas[],2,FALSE)," ")</f>
        <v xml:space="preserve"> </v>
      </c>
      <c r="F3541" t="str">
        <f>IFERROR(+VLOOKUP(Movimientos_2026[[#This Row],[Codigo]],Plan_cuentas[],3,FALSE)," ")</f>
        <v xml:space="preserve"> </v>
      </c>
      <c r="G3541" t="str">
        <f>IFERROR(+VLOOKUP(Movimientos_2026[[#This Row],[Codigo]],Plan_cuentas[],4,FALSE)," ")</f>
        <v xml:space="preserve"> </v>
      </c>
      <c r="H3541" t="str">
        <f>IFERROR(+VLOOKUP(Movimientos_2026[[#This Row],[Codigo]],Plan_cuentas[],5,FALSE)," ")</f>
        <v xml:space="preserve"> </v>
      </c>
      <c r="I3541" s="43"/>
      <c r="K3541" t="str">
        <f>IFERROR(+VLOOKUP(Movimientos_2026[[#This Row],[Codigo]],Plan_cuentas[],6,FALSE)," ")</f>
        <v xml:space="preserve"> </v>
      </c>
      <c r="L3541" s="50"/>
      <c r="M3541" s="50"/>
      <c r="N3541" s="20">
        <f>+Movimientos_2026[[#This Row],[Ingresos]]-Movimientos_2026[[#This Row],[Egresos]]</f>
        <v>0</v>
      </c>
      <c r="O3541" s="20">
        <f>+O3540+Movimientos_2026[[#This Row],[Neto]]</f>
        <v>4581558617.7962294</v>
      </c>
    </row>
    <row r="3542" spans="1:15" x14ac:dyDescent="0.25">
      <c r="A3542" s="13"/>
      <c r="B3542" s="12">
        <f>MONTH(Movimientos_2026[[#This Row],[Fecha]])</f>
        <v>1</v>
      </c>
      <c r="C3542" s="12" t="str">
        <f>VLOOKUP((WEEKDAY(Movimientos_2026[[#This Row],[Fecha]],2)),'5. Setup'!$D$6:$E$12,2,FALSE)</f>
        <v>Sab</v>
      </c>
      <c r="E3542" t="str">
        <f>IFERROR(+VLOOKUP(Movimientos_2026[[#This Row],[Codigo]],Plan_cuentas[],2,FALSE)," ")</f>
        <v xml:space="preserve"> </v>
      </c>
      <c r="F3542" t="str">
        <f>IFERROR(+VLOOKUP(Movimientos_2026[[#This Row],[Codigo]],Plan_cuentas[],3,FALSE)," ")</f>
        <v xml:space="preserve"> </v>
      </c>
      <c r="G3542" t="str">
        <f>IFERROR(+VLOOKUP(Movimientos_2026[[#This Row],[Codigo]],Plan_cuentas[],4,FALSE)," ")</f>
        <v xml:space="preserve"> </v>
      </c>
      <c r="H3542" t="str">
        <f>IFERROR(+VLOOKUP(Movimientos_2026[[#This Row],[Codigo]],Plan_cuentas[],5,FALSE)," ")</f>
        <v xml:space="preserve"> </v>
      </c>
      <c r="I3542" s="43"/>
      <c r="K3542" t="str">
        <f>IFERROR(+VLOOKUP(Movimientos_2026[[#This Row],[Codigo]],Plan_cuentas[],6,FALSE)," ")</f>
        <v xml:space="preserve"> </v>
      </c>
      <c r="L3542" s="50"/>
      <c r="M3542" s="50"/>
      <c r="N3542" s="20">
        <f>+Movimientos_2026[[#This Row],[Ingresos]]-Movimientos_2026[[#This Row],[Egresos]]</f>
        <v>0</v>
      </c>
      <c r="O3542" s="20">
        <f>+O3541+Movimientos_2026[[#This Row],[Neto]]</f>
        <v>4581558617.7962294</v>
      </c>
    </row>
    <row r="3543" spans="1:15" x14ac:dyDescent="0.25">
      <c r="A3543" s="13"/>
      <c r="B3543" s="12">
        <f>MONTH(Movimientos_2026[[#This Row],[Fecha]])</f>
        <v>1</v>
      </c>
      <c r="C3543" s="12" t="str">
        <f>VLOOKUP((WEEKDAY(Movimientos_2026[[#This Row],[Fecha]],2)),'5. Setup'!$D$6:$E$12,2,FALSE)</f>
        <v>Sab</v>
      </c>
      <c r="E3543" t="str">
        <f>IFERROR(+VLOOKUP(Movimientos_2026[[#This Row],[Codigo]],Plan_cuentas[],2,FALSE)," ")</f>
        <v xml:space="preserve"> </v>
      </c>
      <c r="F3543" t="str">
        <f>IFERROR(+VLOOKUP(Movimientos_2026[[#This Row],[Codigo]],Plan_cuentas[],3,FALSE)," ")</f>
        <v xml:space="preserve"> </v>
      </c>
      <c r="G3543" t="str">
        <f>IFERROR(+VLOOKUP(Movimientos_2026[[#This Row],[Codigo]],Plan_cuentas[],4,FALSE)," ")</f>
        <v xml:space="preserve"> </v>
      </c>
      <c r="H3543" t="str">
        <f>IFERROR(+VLOOKUP(Movimientos_2026[[#This Row],[Codigo]],Plan_cuentas[],5,FALSE)," ")</f>
        <v xml:space="preserve"> </v>
      </c>
      <c r="I3543" s="43"/>
      <c r="K3543" t="str">
        <f>IFERROR(+VLOOKUP(Movimientos_2026[[#This Row],[Codigo]],Plan_cuentas[],6,FALSE)," ")</f>
        <v xml:space="preserve"> </v>
      </c>
      <c r="L3543" s="50"/>
      <c r="M3543" s="50"/>
      <c r="N3543" s="20">
        <f>+Movimientos_2026[[#This Row],[Ingresos]]-Movimientos_2026[[#This Row],[Egresos]]</f>
        <v>0</v>
      </c>
      <c r="O3543" s="20">
        <f>+O3542+Movimientos_2026[[#This Row],[Neto]]</f>
        <v>4581558617.7962294</v>
      </c>
    </row>
    <row r="3544" spans="1:15" x14ac:dyDescent="0.25">
      <c r="A3544" s="13"/>
      <c r="B3544" s="12">
        <f>MONTH(Movimientos_2026[[#This Row],[Fecha]])</f>
        <v>1</v>
      </c>
      <c r="C3544" s="12" t="str">
        <f>VLOOKUP((WEEKDAY(Movimientos_2026[[#This Row],[Fecha]],2)),'5. Setup'!$D$6:$E$12,2,FALSE)</f>
        <v>Sab</v>
      </c>
      <c r="E3544" t="str">
        <f>IFERROR(+VLOOKUP(Movimientos_2026[[#This Row],[Codigo]],Plan_cuentas[],2,FALSE)," ")</f>
        <v xml:space="preserve"> </v>
      </c>
      <c r="F3544" t="str">
        <f>IFERROR(+VLOOKUP(Movimientos_2026[[#This Row],[Codigo]],Plan_cuentas[],3,FALSE)," ")</f>
        <v xml:space="preserve"> </v>
      </c>
      <c r="G3544" t="str">
        <f>IFERROR(+VLOOKUP(Movimientos_2026[[#This Row],[Codigo]],Plan_cuentas[],4,FALSE)," ")</f>
        <v xml:space="preserve"> </v>
      </c>
      <c r="H3544" t="str">
        <f>IFERROR(+VLOOKUP(Movimientos_2026[[#This Row],[Codigo]],Plan_cuentas[],5,FALSE)," ")</f>
        <v xml:space="preserve"> </v>
      </c>
      <c r="I3544" s="43"/>
      <c r="K3544" t="str">
        <f>IFERROR(+VLOOKUP(Movimientos_2026[[#This Row],[Codigo]],Plan_cuentas[],6,FALSE)," ")</f>
        <v xml:space="preserve"> </v>
      </c>
      <c r="L3544" s="50"/>
      <c r="M3544" s="50"/>
      <c r="N3544" s="20">
        <f>+Movimientos_2026[[#This Row],[Ingresos]]-Movimientos_2026[[#This Row],[Egresos]]</f>
        <v>0</v>
      </c>
      <c r="O3544" s="20">
        <f>+O3543+Movimientos_2026[[#This Row],[Neto]]</f>
        <v>4581558617.7962294</v>
      </c>
    </row>
    <row r="3545" spans="1:15" x14ac:dyDescent="0.25">
      <c r="A3545" s="13"/>
      <c r="B3545" s="12">
        <f>MONTH(Movimientos_2026[[#This Row],[Fecha]])</f>
        <v>1</v>
      </c>
      <c r="C3545" s="12" t="str">
        <f>VLOOKUP((WEEKDAY(Movimientos_2026[[#This Row],[Fecha]],2)),'5. Setup'!$D$6:$E$12,2,FALSE)</f>
        <v>Sab</v>
      </c>
      <c r="E3545" t="str">
        <f>IFERROR(+VLOOKUP(Movimientos_2026[[#This Row],[Codigo]],Plan_cuentas[],2,FALSE)," ")</f>
        <v xml:space="preserve"> </v>
      </c>
      <c r="F3545" t="str">
        <f>IFERROR(+VLOOKUP(Movimientos_2026[[#This Row],[Codigo]],Plan_cuentas[],3,FALSE)," ")</f>
        <v xml:space="preserve"> </v>
      </c>
      <c r="G3545" t="str">
        <f>IFERROR(+VLOOKUP(Movimientos_2026[[#This Row],[Codigo]],Plan_cuentas[],4,FALSE)," ")</f>
        <v xml:space="preserve"> </v>
      </c>
      <c r="H3545" t="str">
        <f>IFERROR(+VLOOKUP(Movimientos_2026[[#This Row],[Codigo]],Plan_cuentas[],5,FALSE)," ")</f>
        <v xml:space="preserve"> </v>
      </c>
      <c r="I3545" s="43"/>
      <c r="K3545" t="str">
        <f>IFERROR(+VLOOKUP(Movimientos_2026[[#This Row],[Codigo]],Plan_cuentas[],6,FALSE)," ")</f>
        <v xml:space="preserve"> </v>
      </c>
      <c r="L3545" s="50"/>
      <c r="M3545" s="50"/>
      <c r="N3545" s="20">
        <f>+Movimientos_2026[[#This Row],[Ingresos]]-Movimientos_2026[[#This Row],[Egresos]]</f>
        <v>0</v>
      </c>
      <c r="O3545" s="20">
        <f>+O3544+Movimientos_2026[[#This Row],[Neto]]</f>
        <v>4581558617.7962294</v>
      </c>
    </row>
    <row r="3546" spans="1:15" x14ac:dyDescent="0.25">
      <c r="A3546" s="13"/>
      <c r="B3546" s="12">
        <f>MONTH(Movimientos_2026[[#This Row],[Fecha]])</f>
        <v>1</v>
      </c>
      <c r="C3546" s="12" t="str">
        <f>VLOOKUP((WEEKDAY(Movimientos_2026[[#This Row],[Fecha]],2)),'5. Setup'!$D$6:$E$12,2,FALSE)</f>
        <v>Sab</v>
      </c>
      <c r="E3546" t="str">
        <f>IFERROR(+VLOOKUP(Movimientos_2026[[#This Row],[Codigo]],Plan_cuentas[],2,FALSE)," ")</f>
        <v xml:space="preserve"> </v>
      </c>
      <c r="F3546" t="str">
        <f>IFERROR(+VLOOKUP(Movimientos_2026[[#This Row],[Codigo]],Plan_cuentas[],3,FALSE)," ")</f>
        <v xml:space="preserve"> </v>
      </c>
      <c r="G3546" t="str">
        <f>IFERROR(+VLOOKUP(Movimientos_2026[[#This Row],[Codigo]],Plan_cuentas[],4,FALSE)," ")</f>
        <v xml:space="preserve"> </v>
      </c>
      <c r="H3546" t="str">
        <f>IFERROR(+VLOOKUP(Movimientos_2026[[#This Row],[Codigo]],Plan_cuentas[],5,FALSE)," ")</f>
        <v xml:space="preserve"> </v>
      </c>
      <c r="I3546" s="43"/>
      <c r="K3546" t="str">
        <f>IFERROR(+VLOOKUP(Movimientos_2026[[#This Row],[Codigo]],Plan_cuentas[],6,FALSE)," ")</f>
        <v xml:space="preserve"> </v>
      </c>
      <c r="L3546" s="50"/>
      <c r="M3546" s="50"/>
      <c r="N3546" s="20">
        <f>+Movimientos_2026[[#This Row],[Ingresos]]-Movimientos_2026[[#This Row],[Egresos]]</f>
        <v>0</v>
      </c>
      <c r="O3546" s="20">
        <f>+O3545+Movimientos_2026[[#This Row],[Neto]]</f>
        <v>4581558617.7962294</v>
      </c>
    </row>
    <row r="3547" spans="1:15" x14ac:dyDescent="0.25">
      <c r="A3547" s="13"/>
      <c r="B3547" s="12">
        <f>MONTH(Movimientos_2026[[#This Row],[Fecha]])</f>
        <v>1</v>
      </c>
      <c r="C3547" s="12" t="str">
        <f>VLOOKUP((WEEKDAY(Movimientos_2026[[#This Row],[Fecha]],2)),'5. Setup'!$D$6:$E$12,2,FALSE)</f>
        <v>Sab</v>
      </c>
      <c r="E3547" t="str">
        <f>IFERROR(+VLOOKUP(Movimientos_2026[[#This Row],[Codigo]],Plan_cuentas[],2,FALSE)," ")</f>
        <v xml:space="preserve"> </v>
      </c>
      <c r="F3547" t="str">
        <f>IFERROR(+VLOOKUP(Movimientos_2026[[#This Row],[Codigo]],Plan_cuentas[],3,FALSE)," ")</f>
        <v xml:space="preserve"> </v>
      </c>
      <c r="G3547" t="str">
        <f>IFERROR(+VLOOKUP(Movimientos_2026[[#This Row],[Codigo]],Plan_cuentas[],4,FALSE)," ")</f>
        <v xml:space="preserve"> </v>
      </c>
      <c r="H3547" t="str">
        <f>IFERROR(+VLOOKUP(Movimientos_2026[[#This Row],[Codigo]],Plan_cuentas[],5,FALSE)," ")</f>
        <v xml:space="preserve"> </v>
      </c>
      <c r="I3547" s="43"/>
      <c r="K3547" t="str">
        <f>IFERROR(+VLOOKUP(Movimientos_2026[[#This Row],[Codigo]],Plan_cuentas[],6,FALSE)," ")</f>
        <v xml:space="preserve"> </v>
      </c>
      <c r="L3547" s="50"/>
      <c r="M3547" s="50"/>
      <c r="N3547" s="20">
        <f>+Movimientos_2026[[#This Row],[Ingresos]]-Movimientos_2026[[#This Row],[Egresos]]</f>
        <v>0</v>
      </c>
      <c r="O3547" s="20">
        <f>+O3546+Movimientos_2026[[#This Row],[Neto]]</f>
        <v>4581558617.7962294</v>
      </c>
    </row>
    <row r="3548" spans="1:15" x14ac:dyDescent="0.25">
      <c r="A3548" s="13"/>
      <c r="B3548" s="12">
        <f>MONTH(Movimientos_2026[[#This Row],[Fecha]])</f>
        <v>1</v>
      </c>
      <c r="C3548" s="12" t="str">
        <f>VLOOKUP((WEEKDAY(Movimientos_2026[[#This Row],[Fecha]],2)),'5. Setup'!$D$6:$E$12,2,FALSE)</f>
        <v>Sab</v>
      </c>
      <c r="E3548" t="str">
        <f>IFERROR(+VLOOKUP(Movimientos_2026[[#This Row],[Codigo]],Plan_cuentas[],2,FALSE)," ")</f>
        <v xml:space="preserve"> </v>
      </c>
      <c r="F3548" t="str">
        <f>IFERROR(+VLOOKUP(Movimientos_2026[[#This Row],[Codigo]],Plan_cuentas[],3,FALSE)," ")</f>
        <v xml:space="preserve"> </v>
      </c>
      <c r="G3548" t="str">
        <f>IFERROR(+VLOOKUP(Movimientos_2026[[#This Row],[Codigo]],Plan_cuentas[],4,FALSE)," ")</f>
        <v xml:space="preserve"> </v>
      </c>
      <c r="H3548" t="str">
        <f>IFERROR(+VLOOKUP(Movimientos_2026[[#This Row],[Codigo]],Plan_cuentas[],5,FALSE)," ")</f>
        <v xml:space="preserve"> </v>
      </c>
      <c r="I3548" s="43"/>
      <c r="K3548" t="str">
        <f>IFERROR(+VLOOKUP(Movimientos_2026[[#This Row],[Codigo]],Plan_cuentas[],6,FALSE)," ")</f>
        <v xml:space="preserve"> </v>
      </c>
      <c r="L3548" s="50"/>
      <c r="M3548" s="50"/>
      <c r="N3548" s="20">
        <f>+Movimientos_2026[[#This Row],[Ingresos]]-Movimientos_2026[[#This Row],[Egresos]]</f>
        <v>0</v>
      </c>
      <c r="O3548" s="20">
        <f>+O3547+Movimientos_2026[[#This Row],[Neto]]</f>
        <v>4581558617.7962294</v>
      </c>
    </row>
    <row r="3549" spans="1:15" x14ac:dyDescent="0.25">
      <c r="A3549" s="13"/>
      <c r="B3549" s="12">
        <f>MONTH(Movimientos_2026[[#This Row],[Fecha]])</f>
        <v>1</v>
      </c>
      <c r="C3549" s="12" t="str">
        <f>VLOOKUP((WEEKDAY(Movimientos_2026[[#This Row],[Fecha]],2)),'5. Setup'!$D$6:$E$12,2,FALSE)</f>
        <v>Sab</v>
      </c>
      <c r="E3549" t="str">
        <f>IFERROR(+VLOOKUP(Movimientos_2026[[#This Row],[Codigo]],Plan_cuentas[],2,FALSE)," ")</f>
        <v xml:space="preserve"> </v>
      </c>
      <c r="F3549" t="str">
        <f>IFERROR(+VLOOKUP(Movimientos_2026[[#This Row],[Codigo]],Plan_cuentas[],3,FALSE)," ")</f>
        <v xml:space="preserve"> </v>
      </c>
      <c r="G3549" t="str">
        <f>IFERROR(+VLOOKUP(Movimientos_2026[[#This Row],[Codigo]],Plan_cuentas[],4,FALSE)," ")</f>
        <v xml:space="preserve"> </v>
      </c>
      <c r="H3549" t="str">
        <f>IFERROR(+VLOOKUP(Movimientos_2026[[#This Row],[Codigo]],Plan_cuentas[],5,FALSE)," ")</f>
        <v xml:space="preserve"> </v>
      </c>
      <c r="I3549" s="43"/>
      <c r="K3549" t="str">
        <f>IFERROR(+VLOOKUP(Movimientos_2026[[#This Row],[Codigo]],Plan_cuentas[],6,FALSE)," ")</f>
        <v xml:space="preserve"> </v>
      </c>
      <c r="L3549" s="50"/>
      <c r="M3549" s="50"/>
      <c r="N3549" s="20">
        <f>+Movimientos_2026[[#This Row],[Ingresos]]-Movimientos_2026[[#This Row],[Egresos]]</f>
        <v>0</v>
      </c>
      <c r="O3549" s="20">
        <f>+O3548+Movimientos_2026[[#This Row],[Neto]]</f>
        <v>4581558617.7962294</v>
      </c>
    </row>
    <row r="3550" spans="1:15" x14ac:dyDescent="0.25">
      <c r="A3550" s="13"/>
      <c r="B3550" s="12">
        <f>MONTH(Movimientos_2026[[#This Row],[Fecha]])</f>
        <v>1</v>
      </c>
      <c r="C3550" s="12" t="str">
        <f>VLOOKUP((WEEKDAY(Movimientos_2026[[#This Row],[Fecha]],2)),'5. Setup'!$D$6:$E$12,2,FALSE)</f>
        <v>Sab</v>
      </c>
      <c r="E3550" t="str">
        <f>IFERROR(+VLOOKUP(Movimientos_2026[[#This Row],[Codigo]],Plan_cuentas[],2,FALSE)," ")</f>
        <v xml:space="preserve"> </v>
      </c>
      <c r="F3550" t="str">
        <f>IFERROR(+VLOOKUP(Movimientos_2026[[#This Row],[Codigo]],Plan_cuentas[],3,FALSE)," ")</f>
        <v xml:space="preserve"> </v>
      </c>
      <c r="G3550" t="str">
        <f>IFERROR(+VLOOKUP(Movimientos_2026[[#This Row],[Codigo]],Plan_cuentas[],4,FALSE)," ")</f>
        <v xml:space="preserve"> </v>
      </c>
      <c r="H3550" t="str">
        <f>IFERROR(+VLOOKUP(Movimientos_2026[[#This Row],[Codigo]],Plan_cuentas[],5,FALSE)," ")</f>
        <v xml:space="preserve"> </v>
      </c>
      <c r="I3550" s="43"/>
      <c r="K3550" t="str">
        <f>IFERROR(+VLOOKUP(Movimientos_2026[[#This Row],[Codigo]],Plan_cuentas[],6,FALSE)," ")</f>
        <v xml:space="preserve"> </v>
      </c>
      <c r="L3550" s="50"/>
      <c r="M3550" s="50"/>
      <c r="N3550" s="20">
        <f>+Movimientos_2026[[#This Row],[Ingresos]]-Movimientos_2026[[#This Row],[Egresos]]</f>
        <v>0</v>
      </c>
      <c r="O3550" s="20">
        <f>+O3549+Movimientos_2026[[#This Row],[Neto]]</f>
        <v>4581558617.7962294</v>
      </c>
    </row>
    <row r="3551" spans="1:15" x14ac:dyDescent="0.25">
      <c r="A3551" s="13"/>
      <c r="B3551" s="12">
        <f>MONTH(Movimientos_2026[[#This Row],[Fecha]])</f>
        <v>1</v>
      </c>
      <c r="C3551" s="12" t="str">
        <f>VLOOKUP((WEEKDAY(Movimientos_2026[[#This Row],[Fecha]],2)),'5. Setup'!$D$6:$E$12,2,FALSE)</f>
        <v>Sab</v>
      </c>
      <c r="E3551" t="str">
        <f>IFERROR(+VLOOKUP(Movimientos_2026[[#This Row],[Codigo]],Plan_cuentas[],2,FALSE)," ")</f>
        <v xml:space="preserve"> </v>
      </c>
      <c r="F3551" t="str">
        <f>IFERROR(+VLOOKUP(Movimientos_2026[[#This Row],[Codigo]],Plan_cuentas[],3,FALSE)," ")</f>
        <v xml:space="preserve"> </v>
      </c>
      <c r="G3551" t="str">
        <f>IFERROR(+VLOOKUP(Movimientos_2026[[#This Row],[Codigo]],Plan_cuentas[],4,FALSE)," ")</f>
        <v xml:space="preserve"> </v>
      </c>
      <c r="H3551" t="str">
        <f>IFERROR(+VLOOKUP(Movimientos_2026[[#This Row],[Codigo]],Plan_cuentas[],5,FALSE)," ")</f>
        <v xml:space="preserve"> </v>
      </c>
      <c r="I3551" s="43"/>
      <c r="K3551" t="str">
        <f>IFERROR(+VLOOKUP(Movimientos_2026[[#This Row],[Codigo]],Plan_cuentas[],6,FALSE)," ")</f>
        <v xml:space="preserve"> </v>
      </c>
      <c r="L3551" s="50"/>
      <c r="M3551" s="50"/>
      <c r="N3551" s="20">
        <f>+Movimientos_2026[[#This Row],[Ingresos]]-Movimientos_2026[[#This Row],[Egresos]]</f>
        <v>0</v>
      </c>
      <c r="O3551" s="20">
        <f>+O3550+Movimientos_2026[[#This Row],[Neto]]</f>
        <v>4581558617.7962294</v>
      </c>
    </row>
    <row r="3552" spans="1:15" x14ac:dyDescent="0.25">
      <c r="A3552" s="13"/>
      <c r="B3552" s="12">
        <f>MONTH(Movimientos_2026[[#This Row],[Fecha]])</f>
        <v>1</v>
      </c>
      <c r="C3552" s="12" t="str">
        <f>VLOOKUP((WEEKDAY(Movimientos_2026[[#This Row],[Fecha]],2)),'5. Setup'!$D$6:$E$12,2,FALSE)</f>
        <v>Sab</v>
      </c>
      <c r="E3552" t="str">
        <f>IFERROR(+VLOOKUP(Movimientos_2026[[#This Row],[Codigo]],Plan_cuentas[],2,FALSE)," ")</f>
        <v xml:space="preserve"> </v>
      </c>
      <c r="F3552" t="str">
        <f>IFERROR(+VLOOKUP(Movimientos_2026[[#This Row],[Codigo]],Plan_cuentas[],3,FALSE)," ")</f>
        <v xml:space="preserve"> </v>
      </c>
      <c r="G3552" t="str">
        <f>IFERROR(+VLOOKUP(Movimientos_2026[[#This Row],[Codigo]],Plan_cuentas[],4,FALSE)," ")</f>
        <v xml:space="preserve"> </v>
      </c>
      <c r="H3552" t="str">
        <f>IFERROR(+VLOOKUP(Movimientos_2026[[#This Row],[Codigo]],Plan_cuentas[],5,FALSE)," ")</f>
        <v xml:space="preserve"> </v>
      </c>
      <c r="I3552" s="43"/>
      <c r="K3552" t="str">
        <f>IFERROR(+VLOOKUP(Movimientos_2026[[#This Row],[Codigo]],Plan_cuentas[],6,FALSE)," ")</f>
        <v xml:space="preserve"> </v>
      </c>
      <c r="L3552" s="50"/>
      <c r="M3552" s="50"/>
      <c r="N3552" s="20">
        <f>+Movimientos_2026[[#This Row],[Ingresos]]-Movimientos_2026[[#This Row],[Egresos]]</f>
        <v>0</v>
      </c>
      <c r="O3552" s="20">
        <f>+O3551+Movimientos_2026[[#This Row],[Neto]]</f>
        <v>4581558617.7962294</v>
      </c>
    </row>
    <row r="3553" spans="1:15" x14ac:dyDescent="0.25">
      <c r="A3553" s="13"/>
      <c r="B3553" s="12">
        <f>MONTH(Movimientos_2026[[#This Row],[Fecha]])</f>
        <v>1</v>
      </c>
      <c r="C3553" s="12" t="str">
        <f>VLOOKUP((WEEKDAY(Movimientos_2026[[#This Row],[Fecha]],2)),'5. Setup'!$D$6:$E$12,2,FALSE)</f>
        <v>Sab</v>
      </c>
      <c r="E3553" t="str">
        <f>IFERROR(+VLOOKUP(Movimientos_2026[[#This Row],[Codigo]],Plan_cuentas[],2,FALSE)," ")</f>
        <v xml:space="preserve"> </v>
      </c>
      <c r="F3553" t="str">
        <f>IFERROR(+VLOOKUP(Movimientos_2026[[#This Row],[Codigo]],Plan_cuentas[],3,FALSE)," ")</f>
        <v xml:space="preserve"> </v>
      </c>
      <c r="G3553" t="str">
        <f>IFERROR(+VLOOKUP(Movimientos_2026[[#This Row],[Codigo]],Plan_cuentas[],4,FALSE)," ")</f>
        <v xml:space="preserve"> </v>
      </c>
      <c r="H3553" t="str">
        <f>IFERROR(+VLOOKUP(Movimientos_2026[[#This Row],[Codigo]],Plan_cuentas[],5,FALSE)," ")</f>
        <v xml:space="preserve"> </v>
      </c>
      <c r="I3553" s="43"/>
      <c r="K3553" t="str">
        <f>IFERROR(+VLOOKUP(Movimientos_2026[[#This Row],[Codigo]],Plan_cuentas[],6,FALSE)," ")</f>
        <v xml:space="preserve"> </v>
      </c>
      <c r="L3553" s="50"/>
      <c r="M3553" s="50"/>
      <c r="N3553" s="20">
        <f>+Movimientos_2026[[#This Row],[Ingresos]]-Movimientos_2026[[#This Row],[Egresos]]</f>
        <v>0</v>
      </c>
      <c r="O3553" s="20">
        <f>+O3552+Movimientos_2026[[#This Row],[Neto]]</f>
        <v>4581558617.7962294</v>
      </c>
    </row>
    <row r="3554" spans="1:15" x14ac:dyDescent="0.25">
      <c r="A3554" s="13"/>
      <c r="B3554" s="12">
        <f>MONTH(Movimientos_2026[[#This Row],[Fecha]])</f>
        <v>1</v>
      </c>
      <c r="C3554" s="12" t="str">
        <f>VLOOKUP((WEEKDAY(Movimientos_2026[[#This Row],[Fecha]],2)),'5. Setup'!$D$6:$E$12,2,FALSE)</f>
        <v>Sab</v>
      </c>
      <c r="E3554" t="str">
        <f>IFERROR(+VLOOKUP(Movimientos_2026[[#This Row],[Codigo]],Plan_cuentas[],2,FALSE)," ")</f>
        <v xml:space="preserve"> </v>
      </c>
      <c r="F3554" t="str">
        <f>IFERROR(+VLOOKUP(Movimientos_2026[[#This Row],[Codigo]],Plan_cuentas[],3,FALSE)," ")</f>
        <v xml:space="preserve"> </v>
      </c>
      <c r="G3554" t="str">
        <f>IFERROR(+VLOOKUP(Movimientos_2026[[#This Row],[Codigo]],Plan_cuentas[],4,FALSE)," ")</f>
        <v xml:space="preserve"> </v>
      </c>
      <c r="H3554" t="str">
        <f>IFERROR(+VLOOKUP(Movimientos_2026[[#This Row],[Codigo]],Plan_cuentas[],5,FALSE)," ")</f>
        <v xml:space="preserve"> </v>
      </c>
      <c r="I3554" s="43"/>
      <c r="K3554" t="str">
        <f>IFERROR(+VLOOKUP(Movimientos_2026[[#This Row],[Codigo]],Plan_cuentas[],6,FALSE)," ")</f>
        <v xml:space="preserve"> </v>
      </c>
      <c r="L3554" s="50"/>
      <c r="M3554" s="50"/>
      <c r="N3554" s="20">
        <f>+Movimientos_2026[[#This Row],[Ingresos]]-Movimientos_2026[[#This Row],[Egresos]]</f>
        <v>0</v>
      </c>
      <c r="O3554" s="20">
        <f>+O3553+Movimientos_2026[[#This Row],[Neto]]</f>
        <v>4581558617.7962294</v>
      </c>
    </row>
    <row r="3555" spans="1:15" x14ac:dyDescent="0.25">
      <c r="A3555" s="13"/>
      <c r="B3555" s="12">
        <f>MONTH(Movimientos_2026[[#This Row],[Fecha]])</f>
        <v>1</v>
      </c>
      <c r="C3555" s="12" t="str">
        <f>VLOOKUP((WEEKDAY(Movimientos_2026[[#This Row],[Fecha]],2)),'5. Setup'!$D$6:$E$12,2,FALSE)</f>
        <v>Sab</v>
      </c>
      <c r="E3555" t="str">
        <f>IFERROR(+VLOOKUP(Movimientos_2026[[#This Row],[Codigo]],Plan_cuentas[],2,FALSE)," ")</f>
        <v xml:space="preserve"> </v>
      </c>
      <c r="F3555" t="str">
        <f>IFERROR(+VLOOKUP(Movimientos_2026[[#This Row],[Codigo]],Plan_cuentas[],3,FALSE)," ")</f>
        <v xml:space="preserve"> </v>
      </c>
      <c r="G3555" t="str">
        <f>IFERROR(+VLOOKUP(Movimientos_2026[[#This Row],[Codigo]],Plan_cuentas[],4,FALSE)," ")</f>
        <v xml:space="preserve"> </v>
      </c>
      <c r="H3555" t="str">
        <f>IFERROR(+VLOOKUP(Movimientos_2026[[#This Row],[Codigo]],Plan_cuentas[],5,FALSE)," ")</f>
        <v xml:space="preserve"> </v>
      </c>
      <c r="I3555" s="43"/>
      <c r="K3555" t="str">
        <f>IFERROR(+VLOOKUP(Movimientos_2026[[#This Row],[Codigo]],Plan_cuentas[],6,FALSE)," ")</f>
        <v xml:space="preserve"> </v>
      </c>
      <c r="L3555" s="50"/>
      <c r="M3555" s="50"/>
      <c r="N3555" s="20">
        <f>+Movimientos_2026[[#This Row],[Ingresos]]-Movimientos_2026[[#This Row],[Egresos]]</f>
        <v>0</v>
      </c>
      <c r="O3555" s="20">
        <f>+O3554+Movimientos_2026[[#This Row],[Neto]]</f>
        <v>4581558617.7962294</v>
      </c>
    </row>
    <row r="3556" spans="1:15" x14ac:dyDescent="0.25">
      <c r="A3556" s="13"/>
      <c r="B3556" s="12">
        <f>MONTH(Movimientos_2026[[#This Row],[Fecha]])</f>
        <v>1</v>
      </c>
      <c r="C3556" s="12" t="str">
        <f>VLOOKUP((WEEKDAY(Movimientos_2026[[#This Row],[Fecha]],2)),'5. Setup'!$D$6:$E$12,2,FALSE)</f>
        <v>Sab</v>
      </c>
      <c r="E3556" t="str">
        <f>IFERROR(+VLOOKUP(Movimientos_2026[[#This Row],[Codigo]],Plan_cuentas[],2,FALSE)," ")</f>
        <v xml:space="preserve"> </v>
      </c>
      <c r="F3556" t="str">
        <f>IFERROR(+VLOOKUP(Movimientos_2026[[#This Row],[Codigo]],Plan_cuentas[],3,FALSE)," ")</f>
        <v xml:space="preserve"> </v>
      </c>
      <c r="G3556" t="str">
        <f>IFERROR(+VLOOKUP(Movimientos_2026[[#This Row],[Codigo]],Plan_cuentas[],4,FALSE)," ")</f>
        <v xml:space="preserve"> </v>
      </c>
      <c r="H3556" t="str">
        <f>IFERROR(+VLOOKUP(Movimientos_2026[[#This Row],[Codigo]],Plan_cuentas[],5,FALSE)," ")</f>
        <v xml:space="preserve"> </v>
      </c>
      <c r="I3556" s="43"/>
      <c r="K3556" t="str">
        <f>IFERROR(+VLOOKUP(Movimientos_2026[[#This Row],[Codigo]],Plan_cuentas[],6,FALSE)," ")</f>
        <v xml:space="preserve"> </v>
      </c>
      <c r="L3556" s="50"/>
      <c r="M3556" s="50"/>
      <c r="N3556" s="20">
        <f>+Movimientos_2026[[#This Row],[Ingresos]]-Movimientos_2026[[#This Row],[Egresos]]</f>
        <v>0</v>
      </c>
      <c r="O3556" s="20">
        <f>+O3555+Movimientos_2026[[#This Row],[Neto]]</f>
        <v>4581558617.7962294</v>
      </c>
    </row>
    <row r="3557" spans="1:15" x14ac:dyDescent="0.25">
      <c r="A3557" s="13"/>
      <c r="B3557" s="12">
        <f>MONTH(Movimientos_2026[[#This Row],[Fecha]])</f>
        <v>1</v>
      </c>
      <c r="C3557" s="12" t="str">
        <f>VLOOKUP((WEEKDAY(Movimientos_2026[[#This Row],[Fecha]],2)),'5. Setup'!$D$6:$E$12,2,FALSE)</f>
        <v>Sab</v>
      </c>
      <c r="E3557" t="str">
        <f>IFERROR(+VLOOKUP(Movimientos_2026[[#This Row],[Codigo]],Plan_cuentas[],2,FALSE)," ")</f>
        <v xml:space="preserve"> </v>
      </c>
      <c r="F3557" t="str">
        <f>IFERROR(+VLOOKUP(Movimientos_2026[[#This Row],[Codigo]],Plan_cuentas[],3,FALSE)," ")</f>
        <v xml:space="preserve"> </v>
      </c>
      <c r="G3557" t="str">
        <f>IFERROR(+VLOOKUP(Movimientos_2026[[#This Row],[Codigo]],Plan_cuentas[],4,FALSE)," ")</f>
        <v xml:space="preserve"> </v>
      </c>
      <c r="H3557" t="str">
        <f>IFERROR(+VLOOKUP(Movimientos_2026[[#This Row],[Codigo]],Plan_cuentas[],5,FALSE)," ")</f>
        <v xml:space="preserve"> </v>
      </c>
      <c r="I3557" s="43"/>
      <c r="K3557" t="str">
        <f>IFERROR(+VLOOKUP(Movimientos_2026[[#This Row],[Codigo]],Plan_cuentas[],6,FALSE)," ")</f>
        <v xml:space="preserve"> </v>
      </c>
      <c r="L3557" s="50"/>
      <c r="M3557" s="50"/>
      <c r="N3557" s="20">
        <f>+Movimientos_2026[[#This Row],[Ingresos]]-Movimientos_2026[[#This Row],[Egresos]]</f>
        <v>0</v>
      </c>
      <c r="O3557" s="20">
        <f>+O3556+Movimientos_2026[[#This Row],[Neto]]</f>
        <v>4581558617.7962294</v>
      </c>
    </row>
    <row r="3558" spans="1:15" x14ac:dyDescent="0.25">
      <c r="A3558" s="13"/>
      <c r="B3558" s="12">
        <f>MONTH(Movimientos_2026[[#This Row],[Fecha]])</f>
        <v>1</v>
      </c>
      <c r="C3558" s="12" t="str">
        <f>VLOOKUP((WEEKDAY(Movimientos_2026[[#This Row],[Fecha]],2)),'5. Setup'!$D$6:$E$12,2,FALSE)</f>
        <v>Sab</v>
      </c>
      <c r="E3558" t="str">
        <f>IFERROR(+VLOOKUP(Movimientos_2026[[#This Row],[Codigo]],Plan_cuentas[],2,FALSE)," ")</f>
        <v xml:space="preserve"> </v>
      </c>
      <c r="F3558" t="str">
        <f>IFERROR(+VLOOKUP(Movimientos_2026[[#This Row],[Codigo]],Plan_cuentas[],3,FALSE)," ")</f>
        <v xml:space="preserve"> </v>
      </c>
      <c r="G3558" t="str">
        <f>IFERROR(+VLOOKUP(Movimientos_2026[[#This Row],[Codigo]],Plan_cuentas[],4,FALSE)," ")</f>
        <v xml:space="preserve"> </v>
      </c>
      <c r="H3558" t="str">
        <f>IFERROR(+VLOOKUP(Movimientos_2026[[#This Row],[Codigo]],Plan_cuentas[],5,FALSE)," ")</f>
        <v xml:space="preserve"> </v>
      </c>
      <c r="I3558" s="43"/>
      <c r="K3558" t="str">
        <f>IFERROR(+VLOOKUP(Movimientos_2026[[#This Row],[Codigo]],Plan_cuentas[],6,FALSE)," ")</f>
        <v xml:space="preserve"> </v>
      </c>
      <c r="L3558" s="50"/>
      <c r="M3558" s="50"/>
      <c r="N3558" s="20">
        <f>+Movimientos_2026[[#This Row],[Ingresos]]-Movimientos_2026[[#This Row],[Egresos]]</f>
        <v>0</v>
      </c>
      <c r="O3558" s="20">
        <f>+O3557+Movimientos_2026[[#This Row],[Neto]]</f>
        <v>4581558617.7962294</v>
      </c>
    </row>
    <row r="3559" spans="1:15" x14ac:dyDescent="0.25">
      <c r="A3559" s="13"/>
      <c r="B3559" s="12">
        <f>MONTH(Movimientos_2026[[#This Row],[Fecha]])</f>
        <v>1</v>
      </c>
      <c r="C3559" s="12" t="str">
        <f>VLOOKUP((WEEKDAY(Movimientos_2026[[#This Row],[Fecha]],2)),'5. Setup'!$D$6:$E$12,2,FALSE)</f>
        <v>Sab</v>
      </c>
      <c r="E3559" t="str">
        <f>IFERROR(+VLOOKUP(Movimientos_2026[[#This Row],[Codigo]],Plan_cuentas[],2,FALSE)," ")</f>
        <v xml:space="preserve"> </v>
      </c>
      <c r="F3559" t="str">
        <f>IFERROR(+VLOOKUP(Movimientos_2026[[#This Row],[Codigo]],Plan_cuentas[],3,FALSE)," ")</f>
        <v xml:space="preserve"> </v>
      </c>
      <c r="G3559" t="str">
        <f>IFERROR(+VLOOKUP(Movimientos_2026[[#This Row],[Codigo]],Plan_cuentas[],4,FALSE)," ")</f>
        <v xml:space="preserve"> </v>
      </c>
      <c r="H3559" t="str">
        <f>IFERROR(+VLOOKUP(Movimientos_2026[[#This Row],[Codigo]],Plan_cuentas[],5,FALSE)," ")</f>
        <v xml:space="preserve"> </v>
      </c>
      <c r="I3559" s="43"/>
      <c r="K3559" t="str">
        <f>IFERROR(+VLOOKUP(Movimientos_2026[[#This Row],[Codigo]],Plan_cuentas[],6,FALSE)," ")</f>
        <v xml:space="preserve"> </v>
      </c>
      <c r="L3559" s="50"/>
      <c r="M3559" s="50"/>
      <c r="N3559" s="20">
        <f>+Movimientos_2026[[#This Row],[Ingresos]]-Movimientos_2026[[#This Row],[Egresos]]</f>
        <v>0</v>
      </c>
      <c r="O3559" s="20">
        <f>+O3558+Movimientos_2026[[#This Row],[Neto]]</f>
        <v>4581558617.7962294</v>
      </c>
    </row>
    <row r="3560" spans="1:15" x14ac:dyDescent="0.25">
      <c r="A3560" s="13"/>
      <c r="B3560" s="12">
        <f>MONTH(Movimientos_2026[[#This Row],[Fecha]])</f>
        <v>1</v>
      </c>
      <c r="C3560" s="12" t="str">
        <f>VLOOKUP((WEEKDAY(Movimientos_2026[[#This Row],[Fecha]],2)),'5. Setup'!$D$6:$E$12,2,FALSE)</f>
        <v>Sab</v>
      </c>
      <c r="E3560" t="str">
        <f>IFERROR(+VLOOKUP(Movimientos_2026[[#This Row],[Codigo]],Plan_cuentas[],2,FALSE)," ")</f>
        <v xml:space="preserve"> </v>
      </c>
      <c r="F3560" t="str">
        <f>IFERROR(+VLOOKUP(Movimientos_2026[[#This Row],[Codigo]],Plan_cuentas[],3,FALSE)," ")</f>
        <v xml:space="preserve"> </v>
      </c>
      <c r="G3560" t="str">
        <f>IFERROR(+VLOOKUP(Movimientos_2026[[#This Row],[Codigo]],Plan_cuentas[],4,FALSE)," ")</f>
        <v xml:space="preserve"> </v>
      </c>
      <c r="H3560" t="str">
        <f>IFERROR(+VLOOKUP(Movimientos_2026[[#This Row],[Codigo]],Plan_cuentas[],5,FALSE)," ")</f>
        <v xml:space="preserve"> </v>
      </c>
      <c r="I3560" s="43"/>
      <c r="K3560" t="str">
        <f>IFERROR(+VLOOKUP(Movimientos_2026[[#This Row],[Codigo]],Plan_cuentas[],6,FALSE)," ")</f>
        <v xml:space="preserve"> </v>
      </c>
      <c r="L3560" s="50"/>
      <c r="M3560" s="50"/>
      <c r="N3560" s="20">
        <f>+Movimientos_2026[[#This Row],[Ingresos]]-Movimientos_2026[[#This Row],[Egresos]]</f>
        <v>0</v>
      </c>
      <c r="O3560" s="20">
        <f>+O3559+Movimientos_2026[[#This Row],[Neto]]</f>
        <v>4581558617.7962294</v>
      </c>
    </row>
    <row r="3561" spans="1:15" x14ac:dyDescent="0.25">
      <c r="A3561" s="13"/>
      <c r="B3561" s="12">
        <f>MONTH(Movimientos_2026[[#This Row],[Fecha]])</f>
        <v>1</v>
      </c>
      <c r="C3561" s="12" t="str">
        <f>VLOOKUP((WEEKDAY(Movimientos_2026[[#This Row],[Fecha]],2)),'5. Setup'!$D$6:$E$12,2,FALSE)</f>
        <v>Sab</v>
      </c>
      <c r="E3561" t="str">
        <f>IFERROR(+VLOOKUP(Movimientos_2026[[#This Row],[Codigo]],Plan_cuentas[],2,FALSE)," ")</f>
        <v xml:space="preserve"> </v>
      </c>
      <c r="F3561" t="str">
        <f>IFERROR(+VLOOKUP(Movimientos_2026[[#This Row],[Codigo]],Plan_cuentas[],3,FALSE)," ")</f>
        <v xml:space="preserve"> </v>
      </c>
      <c r="G3561" t="str">
        <f>IFERROR(+VLOOKUP(Movimientos_2026[[#This Row],[Codigo]],Plan_cuentas[],4,FALSE)," ")</f>
        <v xml:space="preserve"> </v>
      </c>
      <c r="H3561" t="str">
        <f>IFERROR(+VLOOKUP(Movimientos_2026[[#This Row],[Codigo]],Plan_cuentas[],5,FALSE)," ")</f>
        <v xml:space="preserve"> </v>
      </c>
      <c r="I3561" s="43"/>
      <c r="K3561" t="str">
        <f>IFERROR(+VLOOKUP(Movimientos_2026[[#This Row],[Codigo]],Plan_cuentas[],6,FALSE)," ")</f>
        <v xml:space="preserve"> </v>
      </c>
      <c r="L3561" s="50"/>
      <c r="M3561" s="50"/>
      <c r="N3561" s="20">
        <f>+Movimientos_2026[[#This Row],[Ingresos]]-Movimientos_2026[[#This Row],[Egresos]]</f>
        <v>0</v>
      </c>
      <c r="O3561" s="20">
        <f>+O3560+Movimientos_2026[[#This Row],[Neto]]</f>
        <v>4581558617.7962294</v>
      </c>
    </row>
    <row r="3562" spans="1:15" x14ac:dyDescent="0.25">
      <c r="A3562" s="13"/>
      <c r="B3562" s="12">
        <f>MONTH(Movimientos_2026[[#This Row],[Fecha]])</f>
        <v>1</v>
      </c>
      <c r="C3562" s="12" t="str">
        <f>VLOOKUP((WEEKDAY(Movimientos_2026[[#This Row],[Fecha]],2)),'5. Setup'!$D$6:$E$12,2,FALSE)</f>
        <v>Sab</v>
      </c>
      <c r="E3562" t="str">
        <f>IFERROR(+VLOOKUP(Movimientos_2026[[#This Row],[Codigo]],Plan_cuentas[],2,FALSE)," ")</f>
        <v xml:space="preserve"> </v>
      </c>
      <c r="F3562" t="str">
        <f>IFERROR(+VLOOKUP(Movimientos_2026[[#This Row],[Codigo]],Plan_cuentas[],3,FALSE)," ")</f>
        <v xml:space="preserve"> </v>
      </c>
      <c r="G3562" t="str">
        <f>IFERROR(+VLOOKUP(Movimientos_2026[[#This Row],[Codigo]],Plan_cuentas[],4,FALSE)," ")</f>
        <v xml:space="preserve"> </v>
      </c>
      <c r="H3562" t="str">
        <f>IFERROR(+VLOOKUP(Movimientos_2026[[#This Row],[Codigo]],Plan_cuentas[],5,FALSE)," ")</f>
        <v xml:space="preserve"> </v>
      </c>
      <c r="I3562" s="43"/>
      <c r="K3562" t="str">
        <f>IFERROR(+VLOOKUP(Movimientos_2026[[#This Row],[Codigo]],Plan_cuentas[],6,FALSE)," ")</f>
        <v xml:space="preserve"> </v>
      </c>
      <c r="L3562" s="50"/>
      <c r="M3562" s="50"/>
      <c r="N3562" s="20">
        <f>+Movimientos_2026[[#This Row],[Ingresos]]-Movimientos_2026[[#This Row],[Egresos]]</f>
        <v>0</v>
      </c>
      <c r="O3562" s="20">
        <f>+O3561+Movimientos_2026[[#This Row],[Neto]]</f>
        <v>4581558617.7962294</v>
      </c>
    </row>
    <row r="3563" spans="1:15" x14ac:dyDescent="0.25">
      <c r="A3563" s="13"/>
      <c r="B3563" s="12">
        <f>MONTH(Movimientos_2026[[#This Row],[Fecha]])</f>
        <v>1</v>
      </c>
      <c r="C3563" s="12" t="str">
        <f>VLOOKUP((WEEKDAY(Movimientos_2026[[#This Row],[Fecha]],2)),'5. Setup'!$D$6:$E$12,2,FALSE)</f>
        <v>Sab</v>
      </c>
      <c r="E3563" t="str">
        <f>IFERROR(+VLOOKUP(Movimientos_2026[[#This Row],[Codigo]],Plan_cuentas[],2,FALSE)," ")</f>
        <v xml:space="preserve"> </v>
      </c>
      <c r="F3563" t="str">
        <f>IFERROR(+VLOOKUP(Movimientos_2026[[#This Row],[Codigo]],Plan_cuentas[],3,FALSE)," ")</f>
        <v xml:space="preserve"> </v>
      </c>
      <c r="G3563" t="str">
        <f>IFERROR(+VLOOKUP(Movimientos_2026[[#This Row],[Codigo]],Plan_cuentas[],4,FALSE)," ")</f>
        <v xml:space="preserve"> </v>
      </c>
      <c r="H3563" t="str">
        <f>IFERROR(+VLOOKUP(Movimientos_2026[[#This Row],[Codigo]],Plan_cuentas[],5,FALSE)," ")</f>
        <v xml:space="preserve"> </v>
      </c>
      <c r="I3563" s="43"/>
      <c r="K3563" t="str">
        <f>IFERROR(+VLOOKUP(Movimientos_2026[[#This Row],[Codigo]],Plan_cuentas[],6,FALSE)," ")</f>
        <v xml:space="preserve"> </v>
      </c>
      <c r="L3563" s="50"/>
      <c r="M3563" s="50"/>
      <c r="N3563" s="20">
        <f>+Movimientos_2026[[#This Row],[Ingresos]]-Movimientos_2026[[#This Row],[Egresos]]</f>
        <v>0</v>
      </c>
      <c r="O3563" s="20">
        <f>+O3562+Movimientos_2026[[#This Row],[Neto]]</f>
        <v>4581558617.7962294</v>
      </c>
    </row>
    <row r="3564" spans="1:15" x14ac:dyDescent="0.25">
      <c r="A3564" s="13"/>
      <c r="B3564" s="12">
        <f>MONTH(Movimientos_2026[[#This Row],[Fecha]])</f>
        <v>1</v>
      </c>
      <c r="C3564" s="12" t="str">
        <f>VLOOKUP((WEEKDAY(Movimientos_2026[[#This Row],[Fecha]],2)),'5. Setup'!$D$6:$E$12,2,FALSE)</f>
        <v>Sab</v>
      </c>
      <c r="E3564" t="str">
        <f>IFERROR(+VLOOKUP(Movimientos_2026[[#This Row],[Codigo]],Plan_cuentas[],2,FALSE)," ")</f>
        <v xml:space="preserve"> </v>
      </c>
      <c r="F3564" t="str">
        <f>IFERROR(+VLOOKUP(Movimientos_2026[[#This Row],[Codigo]],Plan_cuentas[],3,FALSE)," ")</f>
        <v xml:space="preserve"> </v>
      </c>
      <c r="G3564" t="str">
        <f>IFERROR(+VLOOKUP(Movimientos_2026[[#This Row],[Codigo]],Plan_cuentas[],4,FALSE)," ")</f>
        <v xml:space="preserve"> </v>
      </c>
      <c r="H3564" t="str">
        <f>IFERROR(+VLOOKUP(Movimientos_2026[[#This Row],[Codigo]],Plan_cuentas[],5,FALSE)," ")</f>
        <v xml:space="preserve"> </v>
      </c>
      <c r="I3564" s="43"/>
      <c r="K3564" t="str">
        <f>IFERROR(+VLOOKUP(Movimientos_2026[[#This Row],[Codigo]],Plan_cuentas[],6,FALSE)," ")</f>
        <v xml:space="preserve"> </v>
      </c>
      <c r="L3564" s="50"/>
      <c r="M3564" s="50"/>
      <c r="N3564" s="20">
        <f>+Movimientos_2026[[#This Row],[Ingresos]]-Movimientos_2026[[#This Row],[Egresos]]</f>
        <v>0</v>
      </c>
      <c r="O3564" s="20">
        <f>+O3563+Movimientos_2026[[#This Row],[Neto]]</f>
        <v>4581558617.7962294</v>
      </c>
    </row>
    <row r="3565" spans="1:15" x14ac:dyDescent="0.25">
      <c r="A3565" s="13"/>
      <c r="B3565" s="12">
        <f>MONTH(Movimientos_2026[[#This Row],[Fecha]])</f>
        <v>1</v>
      </c>
      <c r="C3565" s="12" t="str">
        <f>VLOOKUP((WEEKDAY(Movimientos_2026[[#This Row],[Fecha]],2)),'5. Setup'!$D$6:$E$12,2,FALSE)</f>
        <v>Sab</v>
      </c>
      <c r="E3565" t="str">
        <f>IFERROR(+VLOOKUP(Movimientos_2026[[#This Row],[Codigo]],Plan_cuentas[],2,FALSE)," ")</f>
        <v xml:space="preserve"> </v>
      </c>
      <c r="F3565" t="str">
        <f>IFERROR(+VLOOKUP(Movimientos_2026[[#This Row],[Codigo]],Plan_cuentas[],3,FALSE)," ")</f>
        <v xml:space="preserve"> </v>
      </c>
      <c r="G3565" t="str">
        <f>IFERROR(+VLOOKUP(Movimientos_2026[[#This Row],[Codigo]],Plan_cuentas[],4,FALSE)," ")</f>
        <v xml:space="preserve"> </v>
      </c>
      <c r="H3565" t="str">
        <f>IFERROR(+VLOOKUP(Movimientos_2026[[#This Row],[Codigo]],Plan_cuentas[],5,FALSE)," ")</f>
        <v xml:space="preserve"> </v>
      </c>
      <c r="I3565" s="43"/>
      <c r="K3565" t="str">
        <f>IFERROR(+VLOOKUP(Movimientos_2026[[#This Row],[Codigo]],Plan_cuentas[],6,FALSE)," ")</f>
        <v xml:space="preserve"> </v>
      </c>
      <c r="L3565" s="50"/>
      <c r="M3565" s="50"/>
      <c r="N3565" s="20">
        <f>+Movimientos_2026[[#This Row],[Ingresos]]-Movimientos_2026[[#This Row],[Egresos]]</f>
        <v>0</v>
      </c>
      <c r="O3565" s="20">
        <f>+O3564+Movimientos_2026[[#This Row],[Neto]]</f>
        <v>4581558617.7962294</v>
      </c>
    </row>
    <row r="3566" spans="1:15" x14ac:dyDescent="0.25">
      <c r="A3566" s="13"/>
      <c r="B3566" s="12">
        <f>MONTH(Movimientos_2026[[#This Row],[Fecha]])</f>
        <v>1</v>
      </c>
      <c r="C3566" s="12" t="str">
        <f>VLOOKUP((WEEKDAY(Movimientos_2026[[#This Row],[Fecha]],2)),'5. Setup'!$D$6:$E$12,2,FALSE)</f>
        <v>Sab</v>
      </c>
      <c r="E3566" t="str">
        <f>IFERROR(+VLOOKUP(Movimientos_2026[[#This Row],[Codigo]],Plan_cuentas[],2,FALSE)," ")</f>
        <v xml:space="preserve"> </v>
      </c>
      <c r="F3566" t="str">
        <f>IFERROR(+VLOOKUP(Movimientos_2026[[#This Row],[Codigo]],Plan_cuentas[],3,FALSE)," ")</f>
        <v xml:space="preserve"> </v>
      </c>
      <c r="G3566" t="str">
        <f>IFERROR(+VLOOKUP(Movimientos_2026[[#This Row],[Codigo]],Plan_cuentas[],4,FALSE)," ")</f>
        <v xml:space="preserve"> </v>
      </c>
      <c r="H3566" t="str">
        <f>IFERROR(+VLOOKUP(Movimientos_2026[[#This Row],[Codigo]],Plan_cuentas[],5,FALSE)," ")</f>
        <v xml:space="preserve"> </v>
      </c>
      <c r="I3566" s="43"/>
      <c r="K3566" t="str">
        <f>IFERROR(+VLOOKUP(Movimientos_2026[[#This Row],[Codigo]],Plan_cuentas[],6,FALSE)," ")</f>
        <v xml:space="preserve"> </v>
      </c>
      <c r="L3566" s="50"/>
      <c r="M3566" s="50"/>
      <c r="N3566" s="20">
        <f>+Movimientos_2026[[#This Row],[Ingresos]]-Movimientos_2026[[#This Row],[Egresos]]</f>
        <v>0</v>
      </c>
      <c r="O3566" s="20">
        <f>+O3565+Movimientos_2026[[#This Row],[Neto]]</f>
        <v>4581558617.7962294</v>
      </c>
    </row>
    <row r="3567" spans="1:15" x14ac:dyDescent="0.25">
      <c r="A3567" s="13"/>
      <c r="B3567" s="12">
        <f>MONTH(Movimientos_2026[[#This Row],[Fecha]])</f>
        <v>1</v>
      </c>
      <c r="C3567" s="12" t="str">
        <f>VLOOKUP((WEEKDAY(Movimientos_2026[[#This Row],[Fecha]],2)),'5. Setup'!$D$6:$E$12,2,FALSE)</f>
        <v>Sab</v>
      </c>
      <c r="E3567" t="str">
        <f>IFERROR(+VLOOKUP(Movimientos_2026[[#This Row],[Codigo]],Plan_cuentas[],2,FALSE)," ")</f>
        <v xml:space="preserve"> </v>
      </c>
      <c r="F3567" t="str">
        <f>IFERROR(+VLOOKUP(Movimientos_2026[[#This Row],[Codigo]],Plan_cuentas[],3,FALSE)," ")</f>
        <v xml:space="preserve"> </v>
      </c>
      <c r="G3567" t="str">
        <f>IFERROR(+VLOOKUP(Movimientos_2026[[#This Row],[Codigo]],Plan_cuentas[],4,FALSE)," ")</f>
        <v xml:space="preserve"> </v>
      </c>
      <c r="H3567" t="str">
        <f>IFERROR(+VLOOKUP(Movimientos_2026[[#This Row],[Codigo]],Plan_cuentas[],5,FALSE)," ")</f>
        <v xml:space="preserve"> </v>
      </c>
      <c r="I3567" s="43"/>
      <c r="K3567" t="str">
        <f>IFERROR(+VLOOKUP(Movimientos_2026[[#This Row],[Codigo]],Plan_cuentas[],6,FALSE)," ")</f>
        <v xml:space="preserve"> </v>
      </c>
      <c r="L3567" s="50"/>
      <c r="M3567" s="50"/>
      <c r="N3567" s="20">
        <f>+Movimientos_2026[[#This Row],[Ingresos]]-Movimientos_2026[[#This Row],[Egresos]]</f>
        <v>0</v>
      </c>
      <c r="O3567" s="20">
        <f>+O3566+Movimientos_2026[[#This Row],[Neto]]</f>
        <v>4581558617.7962294</v>
      </c>
    </row>
    <row r="3568" spans="1:15" x14ac:dyDescent="0.25">
      <c r="A3568" s="13"/>
      <c r="B3568" s="12">
        <f>MONTH(Movimientos_2026[[#This Row],[Fecha]])</f>
        <v>1</v>
      </c>
      <c r="C3568" s="12" t="str">
        <f>VLOOKUP((WEEKDAY(Movimientos_2026[[#This Row],[Fecha]],2)),'5. Setup'!$D$6:$E$12,2,FALSE)</f>
        <v>Sab</v>
      </c>
      <c r="E3568" t="str">
        <f>IFERROR(+VLOOKUP(Movimientos_2026[[#This Row],[Codigo]],Plan_cuentas[],2,FALSE)," ")</f>
        <v xml:space="preserve"> </v>
      </c>
      <c r="F3568" t="str">
        <f>IFERROR(+VLOOKUP(Movimientos_2026[[#This Row],[Codigo]],Plan_cuentas[],3,FALSE)," ")</f>
        <v xml:space="preserve"> </v>
      </c>
      <c r="G3568" t="str">
        <f>IFERROR(+VLOOKUP(Movimientos_2026[[#This Row],[Codigo]],Plan_cuentas[],4,FALSE)," ")</f>
        <v xml:space="preserve"> </v>
      </c>
      <c r="H3568" t="str">
        <f>IFERROR(+VLOOKUP(Movimientos_2026[[#This Row],[Codigo]],Plan_cuentas[],5,FALSE)," ")</f>
        <v xml:space="preserve"> </v>
      </c>
      <c r="I3568" s="43"/>
      <c r="K3568" t="str">
        <f>IFERROR(+VLOOKUP(Movimientos_2026[[#This Row],[Codigo]],Plan_cuentas[],6,FALSE)," ")</f>
        <v xml:space="preserve"> </v>
      </c>
      <c r="L3568" s="50"/>
      <c r="M3568" s="50"/>
      <c r="N3568" s="20">
        <f>+Movimientos_2026[[#This Row],[Ingresos]]-Movimientos_2026[[#This Row],[Egresos]]</f>
        <v>0</v>
      </c>
      <c r="O3568" s="20">
        <f>+O3567+Movimientos_2026[[#This Row],[Neto]]</f>
        <v>4581558617.7962294</v>
      </c>
    </row>
    <row r="3569" spans="1:15" x14ac:dyDescent="0.25">
      <c r="A3569" s="13"/>
      <c r="B3569" s="12">
        <f>MONTH(Movimientos_2026[[#This Row],[Fecha]])</f>
        <v>1</v>
      </c>
      <c r="C3569" s="12" t="str">
        <f>VLOOKUP((WEEKDAY(Movimientos_2026[[#This Row],[Fecha]],2)),'5. Setup'!$D$6:$E$12,2,FALSE)</f>
        <v>Sab</v>
      </c>
      <c r="E3569" t="str">
        <f>IFERROR(+VLOOKUP(Movimientos_2026[[#This Row],[Codigo]],Plan_cuentas[],2,FALSE)," ")</f>
        <v xml:space="preserve"> </v>
      </c>
      <c r="F3569" t="str">
        <f>IFERROR(+VLOOKUP(Movimientos_2026[[#This Row],[Codigo]],Plan_cuentas[],3,FALSE)," ")</f>
        <v xml:space="preserve"> </v>
      </c>
      <c r="G3569" t="str">
        <f>IFERROR(+VLOOKUP(Movimientos_2026[[#This Row],[Codigo]],Plan_cuentas[],4,FALSE)," ")</f>
        <v xml:space="preserve"> </v>
      </c>
      <c r="H3569" t="str">
        <f>IFERROR(+VLOOKUP(Movimientos_2026[[#This Row],[Codigo]],Plan_cuentas[],5,FALSE)," ")</f>
        <v xml:space="preserve"> </v>
      </c>
      <c r="I3569" s="43"/>
      <c r="K3569" t="str">
        <f>IFERROR(+VLOOKUP(Movimientos_2026[[#This Row],[Codigo]],Plan_cuentas[],6,FALSE)," ")</f>
        <v xml:space="preserve"> </v>
      </c>
      <c r="L3569" s="50"/>
      <c r="M3569" s="50"/>
      <c r="N3569" s="20">
        <f>+Movimientos_2026[[#This Row],[Ingresos]]-Movimientos_2026[[#This Row],[Egresos]]</f>
        <v>0</v>
      </c>
      <c r="O3569" s="20">
        <f>+O3568+Movimientos_2026[[#This Row],[Neto]]</f>
        <v>4581558617.7962294</v>
      </c>
    </row>
    <row r="3570" spans="1:15" x14ac:dyDescent="0.25">
      <c r="A3570" s="13"/>
      <c r="B3570" s="12">
        <f>MONTH(Movimientos_2026[[#This Row],[Fecha]])</f>
        <v>1</v>
      </c>
      <c r="C3570" s="12" t="str">
        <f>VLOOKUP((WEEKDAY(Movimientos_2026[[#This Row],[Fecha]],2)),'5. Setup'!$D$6:$E$12,2,FALSE)</f>
        <v>Sab</v>
      </c>
      <c r="E3570" t="str">
        <f>IFERROR(+VLOOKUP(Movimientos_2026[[#This Row],[Codigo]],Plan_cuentas[],2,FALSE)," ")</f>
        <v xml:space="preserve"> </v>
      </c>
      <c r="F3570" t="str">
        <f>IFERROR(+VLOOKUP(Movimientos_2026[[#This Row],[Codigo]],Plan_cuentas[],3,FALSE)," ")</f>
        <v xml:space="preserve"> </v>
      </c>
      <c r="G3570" t="str">
        <f>IFERROR(+VLOOKUP(Movimientos_2026[[#This Row],[Codigo]],Plan_cuentas[],4,FALSE)," ")</f>
        <v xml:space="preserve"> </v>
      </c>
      <c r="H3570" t="str">
        <f>IFERROR(+VLOOKUP(Movimientos_2026[[#This Row],[Codigo]],Plan_cuentas[],5,FALSE)," ")</f>
        <v xml:space="preserve"> </v>
      </c>
      <c r="I3570" s="43"/>
      <c r="K3570" t="str">
        <f>IFERROR(+VLOOKUP(Movimientos_2026[[#This Row],[Codigo]],Plan_cuentas[],6,FALSE)," ")</f>
        <v xml:space="preserve"> </v>
      </c>
      <c r="L3570" s="50"/>
      <c r="M3570" s="50"/>
      <c r="N3570" s="20">
        <f>+Movimientos_2026[[#This Row],[Ingresos]]-Movimientos_2026[[#This Row],[Egresos]]</f>
        <v>0</v>
      </c>
      <c r="O3570" s="20">
        <f>+O3569+Movimientos_2026[[#This Row],[Neto]]</f>
        <v>4581558617.7962294</v>
      </c>
    </row>
    <row r="3571" spans="1:15" x14ac:dyDescent="0.25">
      <c r="A3571" s="13"/>
      <c r="B3571" s="12">
        <f>MONTH(Movimientos_2026[[#This Row],[Fecha]])</f>
        <v>1</v>
      </c>
      <c r="C3571" s="12" t="str">
        <f>VLOOKUP((WEEKDAY(Movimientos_2026[[#This Row],[Fecha]],2)),'5. Setup'!$D$6:$E$12,2,FALSE)</f>
        <v>Sab</v>
      </c>
      <c r="E3571" t="str">
        <f>IFERROR(+VLOOKUP(Movimientos_2026[[#This Row],[Codigo]],Plan_cuentas[],2,FALSE)," ")</f>
        <v xml:space="preserve"> </v>
      </c>
      <c r="F3571" t="str">
        <f>IFERROR(+VLOOKUP(Movimientos_2026[[#This Row],[Codigo]],Plan_cuentas[],3,FALSE)," ")</f>
        <v xml:space="preserve"> </v>
      </c>
      <c r="G3571" t="str">
        <f>IFERROR(+VLOOKUP(Movimientos_2026[[#This Row],[Codigo]],Plan_cuentas[],4,FALSE)," ")</f>
        <v xml:space="preserve"> </v>
      </c>
      <c r="H3571" t="str">
        <f>IFERROR(+VLOOKUP(Movimientos_2026[[#This Row],[Codigo]],Plan_cuentas[],5,FALSE)," ")</f>
        <v xml:space="preserve"> </v>
      </c>
      <c r="I3571" s="43"/>
      <c r="K3571" t="str">
        <f>IFERROR(+VLOOKUP(Movimientos_2026[[#This Row],[Codigo]],Plan_cuentas[],6,FALSE)," ")</f>
        <v xml:space="preserve"> </v>
      </c>
      <c r="L3571" s="50"/>
      <c r="M3571" s="50"/>
      <c r="N3571" s="20">
        <f>+Movimientos_2026[[#This Row],[Ingresos]]-Movimientos_2026[[#This Row],[Egresos]]</f>
        <v>0</v>
      </c>
      <c r="O3571" s="20">
        <f>+O3570+Movimientos_2026[[#This Row],[Neto]]</f>
        <v>4581558617.7962294</v>
      </c>
    </row>
    <row r="3572" spans="1:15" x14ac:dyDescent="0.25">
      <c r="A3572" s="13"/>
      <c r="B3572" s="12">
        <f>MONTH(Movimientos_2026[[#This Row],[Fecha]])</f>
        <v>1</v>
      </c>
      <c r="C3572" s="12" t="str">
        <f>VLOOKUP((WEEKDAY(Movimientos_2026[[#This Row],[Fecha]],2)),'5. Setup'!$D$6:$E$12,2,FALSE)</f>
        <v>Sab</v>
      </c>
      <c r="E3572" t="str">
        <f>IFERROR(+VLOOKUP(Movimientos_2026[[#This Row],[Codigo]],Plan_cuentas[],2,FALSE)," ")</f>
        <v xml:space="preserve"> </v>
      </c>
      <c r="F3572" t="str">
        <f>IFERROR(+VLOOKUP(Movimientos_2026[[#This Row],[Codigo]],Plan_cuentas[],3,FALSE)," ")</f>
        <v xml:space="preserve"> </v>
      </c>
      <c r="G3572" t="str">
        <f>IFERROR(+VLOOKUP(Movimientos_2026[[#This Row],[Codigo]],Plan_cuentas[],4,FALSE)," ")</f>
        <v xml:space="preserve"> </v>
      </c>
      <c r="H3572" t="str">
        <f>IFERROR(+VLOOKUP(Movimientos_2026[[#This Row],[Codigo]],Plan_cuentas[],5,FALSE)," ")</f>
        <v xml:space="preserve"> </v>
      </c>
      <c r="I3572" s="43"/>
      <c r="K3572" t="str">
        <f>IFERROR(+VLOOKUP(Movimientos_2026[[#This Row],[Codigo]],Plan_cuentas[],6,FALSE)," ")</f>
        <v xml:space="preserve"> </v>
      </c>
      <c r="L3572" s="50"/>
      <c r="M3572" s="50"/>
      <c r="N3572" s="20">
        <f>+Movimientos_2026[[#This Row],[Ingresos]]-Movimientos_2026[[#This Row],[Egresos]]</f>
        <v>0</v>
      </c>
      <c r="O3572" s="20">
        <f>+O3571+Movimientos_2026[[#This Row],[Neto]]</f>
        <v>4581558617.7962294</v>
      </c>
    </row>
    <row r="3573" spans="1:15" x14ac:dyDescent="0.25">
      <c r="A3573" s="13"/>
      <c r="B3573" s="12">
        <f>MONTH(Movimientos_2026[[#This Row],[Fecha]])</f>
        <v>1</v>
      </c>
      <c r="C3573" s="12" t="str">
        <f>VLOOKUP((WEEKDAY(Movimientos_2026[[#This Row],[Fecha]],2)),'5. Setup'!$D$6:$E$12,2,FALSE)</f>
        <v>Sab</v>
      </c>
      <c r="E3573" t="str">
        <f>IFERROR(+VLOOKUP(Movimientos_2026[[#This Row],[Codigo]],Plan_cuentas[],2,FALSE)," ")</f>
        <v xml:space="preserve"> </v>
      </c>
      <c r="F3573" t="str">
        <f>IFERROR(+VLOOKUP(Movimientos_2026[[#This Row],[Codigo]],Plan_cuentas[],3,FALSE)," ")</f>
        <v xml:space="preserve"> </v>
      </c>
      <c r="G3573" t="str">
        <f>IFERROR(+VLOOKUP(Movimientos_2026[[#This Row],[Codigo]],Plan_cuentas[],4,FALSE)," ")</f>
        <v xml:space="preserve"> </v>
      </c>
      <c r="H3573" t="str">
        <f>IFERROR(+VLOOKUP(Movimientos_2026[[#This Row],[Codigo]],Plan_cuentas[],5,FALSE)," ")</f>
        <v xml:space="preserve"> </v>
      </c>
      <c r="I3573" s="43"/>
      <c r="K3573" t="str">
        <f>IFERROR(+VLOOKUP(Movimientos_2026[[#This Row],[Codigo]],Plan_cuentas[],6,FALSE)," ")</f>
        <v xml:space="preserve"> </v>
      </c>
      <c r="L3573" s="50"/>
      <c r="M3573" s="50"/>
      <c r="N3573" s="20">
        <f>+Movimientos_2026[[#This Row],[Ingresos]]-Movimientos_2026[[#This Row],[Egresos]]</f>
        <v>0</v>
      </c>
      <c r="O3573" s="20">
        <f>+O3572+Movimientos_2026[[#This Row],[Neto]]</f>
        <v>4581558617.7962294</v>
      </c>
    </row>
    <row r="3574" spans="1:15" x14ac:dyDescent="0.25">
      <c r="A3574" s="13"/>
      <c r="B3574" s="12">
        <f>MONTH(Movimientos_2026[[#This Row],[Fecha]])</f>
        <v>1</v>
      </c>
      <c r="C3574" s="12" t="str">
        <f>VLOOKUP((WEEKDAY(Movimientos_2026[[#This Row],[Fecha]],2)),'5. Setup'!$D$6:$E$12,2,FALSE)</f>
        <v>Sab</v>
      </c>
      <c r="E3574" t="str">
        <f>IFERROR(+VLOOKUP(Movimientos_2026[[#This Row],[Codigo]],Plan_cuentas[],2,FALSE)," ")</f>
        <v xml:space="preserve"> </v>
      </c>
      <c r="F3574" t="str">
        <f>IFERROR(+VLOOKUP(Movimientos_2026[[#This Row],[Codigo]],Plan_cuentas[],3,FALSE)," ")</f>
        <v xml:space="preserve"> </v>
      </c>
      <c r="G3574" t="str">
        <f>IFERROR(+VLOOKUP(Movimientos_2026[[#This Row],[Codigo]],Plan_cuentas[],4,FALSE)," ")</f>
        <v xml:space="preserve"> </v>
      </c>
      <c r="H3574" t="str">
        <f>IFERROR(+VLOOKUP(Movimientos_2026[[#This Row],[Codigo]],Plan_cuentas[],5,FALSE)," ")</f>
        <v xml:space="preserve"> </v>
      </c>
      <c r="I3574" s="43"/>
      <c r="K3574" t="str">
        <f>IFERROR(+VLOOKUP(Movimientos_2026[[#This Row],[Codigo]],Plan_cuentas[],6,FALSE)," ")</f>
        <v xml:space="preserve"> </v>
      </c>
      <c r="L3574" s="50"/>
      <c r="M3574" s="50"/>
      <c r="N3574" s="20">
        <f>+Movimientos_2026[[#This Row],[Ingresos]]-Movimientos_2026[[#This Row],[Egresos]]</f>
        <v>0</v>
      </c>
      <c r="O3574" s="20">
        <f>+O3573+Movimientos_2026[[#This Row],[Neto]]</f>
        <v>4581558617.7962294</v>
      </c>
    </row>
    <row r="3575" spans="1:15" x14ac:dyDescent="0.25">
      <c r="A3575" s="13"/>
      <c r="B3575" s="12">
        <f>MONTH(Movimientos_2026[[#This Row],[Fecha]])</f>
        <v>1</v>
      </c>
      <c r="C3575" s="12" t="str">
        <f>VLOOKUP((WEEKDAY(Movimientos_2026[[#This Row],[Fecha]],2)),'5. Setup'!$D$6:$E$12,2,FALSE)</f>
        <v>Sab</v>
      </c>
      <c r="E3575" t="str">
        <f>IFERROR(+VLOOKUP(Movimientos_2026[[#This Row],[Codigo]],Plan_cuentas[],2,FALSE)," ")</f>
        <v xml:space="preserve"> </v>
      </c>
      <c r="F3575" t="str">
        <f>IFERROR(+VLOOKUP(Movimientos_2026[[#This Row],[Codigo]],Plan_cuentas[],3,FALSE)," ")</f>
        <v xml:space="preserve"> </v>
      </c>
      <c r="G3575" t="str">
        <f>IFERROR(+VLOOKUP(Movimientos_2026[[#This Row],[Codigo]],Plan_cuentas[],4,FALSE)," ")</f>
        <v xml:space="preserve"> </v>
      </c>
      <c r="H3575" t="str">
        <f>IFERROR(+VLOOKUP(Movimientos_2026[[#This Row],[Codigo]],Plan_cuentas[],5,FALSE)," ")</f>
        <v xml:space="preserve"> </v>
      </c>
      <c r="I3575" s="43"/>
      <c r="K3575" t="str">
        <f>IFERROR(+VLOOKUP(Movimientos_2026[[#This Row],[Codigo]],Plan_cuentas[],6,FALSE)," ")</f>
        <v xml:space="preserve"> </v>
      </c>
      <c r="L3575" s="50"/>
      <c r="M3575" s="50"/>
      <c r="N3575" s="20">
        <f>+Movimientos_2026[[#This Row],[Ingresos]]-Movimientos_2026[[#This Row],[Egresos]]</f>
        <v>0</v>
      </c>
      <c r="O3575" s="20">
        <f>+O3574+Movimientos_2026[[#This Row],[Neto]]</f>
        <v>4581558617.7962294</v>
      </c>
    </row>
    <row r="3576" spans="1:15" x14ac:dyDescent="0.25">
      <c r="A3576" s="13"/>
      <c r="B3576" s="12">
        <f>MONTH(Movimientos_2026[[#This Row],[Fecha]])</f>
        <v>1</v>
      </c>
      <c r="C3576" s="12" t="str">
        <f>VLOOKUP((WEEKDAY(Movimientos_2026[[#This Row],[Fecha]],2)),'5. Setup'!$D$6:$E$12,2,FALSE)</f>
        <v>Sab</v>
      </c>
      <c r="E3576" t="str">
        <f>IFERROR(+VLOOKUP(Movimientos_2026[[#This Row],[Codigo]],Plan_cuentas[],2,FALSE)," ")</f>
        <v xml:space="preserve"> </v>
      </c>
      <c r="F3576" t="str">
        <f>IFERROR(+VLOOKUP(Movimientos_2026[[#This Row],[Codigo]],Plan_cuentas[],3,FALSE)," ")</f>
        <v xml:space="preserve"> </v>
      </c>
      <c r="G3576" t="str">
        <f>IFERROR(+VLOOKUP(Movimientos_2026[[#This Row],[Codigo]],Plan_cuentas[],4,FALSE)," ")</f>
        <v xml:space="preserve"> </v>
      </c>
      <c r="H3576" t="str">
        <f>IFERROR(+VLOOKUP(Movimientos_2026[[#This Row],[Codigo]],Plan_cuentas[],5,FALSE)," ")</f>
        <v xml:space="preserve"> </v>
      </c>
      <c r="I3576" s="43"/>
      <c r="K3576" t="str">
        <f>IFERROR(+VLOOKUP(Movimientos_2026[[#This Row],[Codigo]],Plan_cuentas[],6,FALSE)," ")</f>
        <v xml:space="preserve"> </v>
      </c>
      <c r="L3576" s="50"/>
      <c r="M3576" s="50"/>
      <c r="N3576" s="20">
        <f>+Movimientos_2026[[#This Row],[Ingresos]]-Movimientos_2026[[#This Row],[Egresos]]</f>
        <v>0</v>
      </c>
      <c r="O3576" s="20">
        <f>+O3575+Movimientos_2026[[#This Row],[Neto]]</f>
        <v>4581558617.7962294</v>
      </c>
    </row>
    <row r="3577" spans="1:15" x14ac:dyDescent="0.25">
      <c r="A3577" s="13"/>
      <c r="B3577" s="12">
        <f>MONTH(Movimientos_2026[[#This Row],[Fecha]])</f>
        <v>1</v>
      </c>
      <c r="C3577" s="12" t="str">
        <f>VLOOKUP((WEEKDAY(Movimientos_2026[[#This Row],[Fecha]],2)),'5. Setup'!$D$6:$E$12,2,FALSE)</f>
        <v>Sab</v>
      </c>
      <c r="E3577" t="str">
        <f>IFERROR(+VLOOKUP(Movimientos_2026[[#This Row],[Codigo]],Plan_cuentas[],2,FALSE)," ")</f>
        <v xml:space="preserve"> </v>
      </c>
      <c r="F3577" t="str">
        <f>IFERROR(+VLOOKUP(Movimientos_2026[[#This Row],[Codigo]],Plan_cuentas[],3,FALSE)," ")</f>
        <v xml:space="preserve"> </v>
      </c>
      <c r="G3577" t="str">
        <f>IFERROR(+VLOOKUP(Movimientos_2026[[#This Row],[Codigo]],Plan_cuentas[],4,FALSE)," ")</f>
        <v xml:space="preserve"> </v>
      </c>
      <c r="H3577" t="str">
        <f>IFERROR(+VLOOKUP(Movimientos_2026[[#This Row],[Codigo]],Plan_cuentas[],5,FALSE)," ")</f>
        <v xml:space="preserve"> </v>
      </c>
      <c r="I3577" s="43"/>
      <c r="K3577" t="str">
        <f>IFERROR(+VLOOKUP(Movimientos_2026[[#This Row],[Codigo]],Plan_cuentas[],6,FALSE)," ")</f>
        <v xml:space="preserve"> </v>
      </c>
      <c r="L3577" s="50"/>
      <c r="M3577" s="50"/>
      <c r="N3577" s="20">
        <f>+Movimientos_2026[[#This Row],[Ingresos]]-Movimientos_2026[[#This Row],[Egresos]]</f>
        <v>0</v>
      </c>
      <c r="O3577" s="20">
        <f>+O3576+Movimientos_2026[[#This Row],[Neto]]</f>
        <v>4581558617.7962294</v>
      </c>
    </row>
    <row r="3578" spans="1:15" x14ac:dyDescent="0.25">
      <c r="A3578" s="13"/>
      <c r="B3578" s="12">
        <f>MONTH(Movimientos_2026[[#This Row],[Fecha]])</f>
        <v>1</v>
      </c>
      <c r="C3578" s="12" t="str">
        <f>VLOOKUP((WEEKDAY(Movimientos_2026[[#This Row],[Fecha]],2)),'5. Setup'!$D$6:$E$12,2,FALSE)</f>
        <v>Sab</v>
      </c>
      <c r="E3578" t="str">
        <f>IFERROR(+VLOOKUP(Movimientos_2026[[#This Row],[Codigo]],Plan_cuentas[],2,FALSE)," ")</f>
        <v xml:space="preserve"> </v>
      </c>
      <c r="F3578" t="str">
        <f>IFERROR(+VLOOKUP(Movimientos_2026[[#This Row],[Codigo]],Plan_cuentas[],3,FALSE)," ")</f>
        <v xml:space="preserve"> </v>
      </c>
      <c r="G3578" t="str">
        <f>IFERROR(+VLOOKUP(Movimientos_2026[[#This Row],[Codigo]],Plan_cuentas[],4,FALSE)," ")</f>
        <v xml:space="preserve"> </v>
      </c>
      <c r="H3578" t="str">
        <f>IFERROR(+VLOOKUP(Movimientos_2026[[#This Row],[Codigo]],Plan_cuentas[],5,FALSE)," ")</f>
        <v xml:space="preserve"> </v>
      </c>
      <c r="I3578" s="43"/>
      <c r="K3578" t="str">
        <f>IFERROR(+VLOOKUP(Movimientos_2026[[#This Row],[Codigo]],Plan_cuentas[],6,FALSE)," ")</f>
        <v xml:space="preserve"> </v>
      </c>
      <c r="L3578" s="50"/>
      <c r="M3578" s="50"/>
      <c r="N3578" s="20">
        <f>+Movimientos_2026[[#This Row],[Ingresos]]-Movimientos_2026[[#This Row],[Egresos]]</f>
        <v>0</v>
      </c>
      <c r="O3578" s="20">
        <f>+O3577+Movimientos_2026[[#This Row],[Neto]]</f>
        <v>4581558617.7962294</v>
      </c>
    </row>
    <row r="3579" spans="1:15" x14ac:dyDescent="0.25">
      <c r="A3579" s="13"/>
      <c r="B3579" s="12">
        <f>MONTH(Movimientos_2026[[#This Row],[Fecha]])</f>
        <v>1</v>
      </c>
      <c r="C3579" s="12" t="str">
        <f>VLOOKUP((WEEKDAY(Movimientos_2026[[#This Row],[Fecha]],2)),'5. Setup'!$D$6:$E$12,2,FALSE)</f>
        <v>Sab</v>
      </c>
      <c r="E3579" t="str">
        <f>IFERROR(+VLOOKUP(Movimientos_2026[[#This Row],[Codigo]],Plan_cuentas[],2,FALSE)," ")</f>
        <v xml:space="preserve"> </v>
      </c>
      <c r="F3579" t="str">
        <f>IFERROR(+VLOOKUP(Movimientos_2026[[#This Row],[Codigo]],Plan_cuentas[],3,FALSE)," ")</f>
        <v xml:space="preserve"> </v>
      </c>
      <c r="G3579" t="str">
        <f>IFERROR(+VLOOKUP(Movimientos_2026[[#This Row],[Codigo]],Plan_cuentas[],4,FALSE)," ")</f>
        <v xml:space="preserve"> </v>
      </c>
      <c r="H3579" t="str">
        <f>IFERROR(+VLOOKUP(Movimientos_2026[[#This Row],[Codigo]],Plan_cuentas[],5,FALSE)," ")</f>
        <v xml:space="preserve"> </v>
      </c>
      <c r="I3579" s="43"/>
      <c r="K3579" t="str">
        <f>IFERROR(+VLOOKUP(Movimientos_2026[[#This Row],[Codigo]],Plan_cuentas[],6,FALSE)," ")</f>
        <v xml:space="preserve"> </v>
      </c>
      <c r="L3579" s="50"/>
      <c r="M3579" s="50"/>
      <c r="N3579" s="20">
        <f>+Movimientos_2026[[#This Row],[Ingresos]]-Movimientos_2026[[#This Row],[Egresos]]</f>
        <v>0</v>
      </c>
      <c r="O3579" s="20">
        <f>+O3578+Movimientos_2026[[#This Row],[Neto]]</f>
        <v>4581558617.7962294</v>
      </c>
    </row>
    <row r="3580" spans="1:15" x14ac:dyDescent="0.25">
      <c r="A3580" s="13"/>
      <c r="B3580" s="12">
        <f>MONTH(Movimientos_2026[[#This Row],[Fecha]])</f>
        <v>1</v>
      </c>
      <c r="C3580" s="12" t="str">
        <f>VLOOKUP((WEEKDAY(Movimientos_2026[[#This Row],[Fecha]],2)),'5. Setup'!$D$6:$E$12,2,FALSE)</f>
        <v>Sab</v>
      </c>
      <c r="E3580" t="str">
        <f>IFERROR(+VLOOKUP(Movimientos_2026[[#This Row],[Codigo]],Plan_cuentas[],2,FALSE)," ")</f>
        <v xml:space="preserve"> </v>
      </c>
      <c r="F3580" t="str">
        <f>IFERROR(+VLOOKUP(Movimientos_2026[[#This Row],[Codigo]],Plan_cuentas[],3,FALSE)," ")</f>
        <v xml:space="preserve"> </v>
      </c>
      <c r="G3580" t="str">
        <f>IFERROR(+VLOOKUP(Movimientos_2026[[#This Row],[Codigo]],Plan_cuentas[],4,FALSE)," ")</f>
        <v xml:space="preserve"> </v>
      </c>
      <c r="H3580" t="str">
        <f>IFERROR(+VLOOKUP(Movimientos_2026[[#This Row],[Codigo]],Plan_cuentas[],5,FALSE)," ")</f>
        <v xml:space="preserve"> </v>
      </c>
      <c r="I3580" s="43"/>
      <c r="K3580" t="str">
        <f>IFERROR(+VLOOKUP(Movimientos_2026[[#This Row],[Codigo]],Plan_cuentas[],6,FALSE)," ")</f>
        <v xml:space="preserve"> </v>
      </c>
      <c r="L3580" s="50"/>
      <c r="M3580" s="50"/>
      <c r="N3580" s="20">
        <f>+Movimientos_2026[[#This Row],[Ingresos]]-Movimientos_2026[[#This Row],[Egresos]]</f>
        <v>0</v>
      </c>
      <c r="O3580" s="20">
        <f>+O3579+Movimientos_2026[[#This Row],[Neto]]</f>
        <v>4581558617.7962294</v>
      </c>
    </row>
    <row r="3581" spans="1:15" x14ac:dyDescent="0.25">
      <c r="A3581" s="13"/>
      <c r="B3581" s="12">
        <f>MONTH(Movimientos_2026[[#This Row],[Fecha]])</f>
        <v>1</v>
      </c>
      <c r="C3581" s="12" t="str">
        <f>VLOOKUP((WEEKDAY(Movimientos_2026[[#This Row],[Fecha]],2)),'5. Setup'!$D$6:$E$12,2,FALSE)</f>
        <v>Sab</v>
      </c>
      <c r="E3581" t="str">
        <f>IFERROR(+VLOOKUP(Movimientos_2026[[#This Row],[Codigo]],Plan_cuentas[],2,FALSE)," ")</f>
        <v xml:space="preserve"> </v>
      </c>
      <c r="F3581" t="str">
        <f>IFERROR(+VLOOKUP(Movimientos_2026[[#This Row],[Codigo]],Plan_cuentas[],3,FALSE)," ")</f>
        <v xml:space="preserve"> </v>
      </c>
      <c r="G3581" t="str">
        <f>IFERROR(+VLOOKUP(Movimientos_2026[[#This Row],[Codigo]],Plan_cuentas[],4,FALSE)," ")</f>
        <v xml:space="preserve"> </v>
      </c>
      <c r="H3581" t="str">
        <f>IFERROR(+VLOOKUP(Movimientos_2026[[#This Row],[Codigo]],Plan_cuentas[],5,FALSE)," ")</f>
        <v xml:space="preserve"> </v>
      </c>
      <c r="I3581" s="43"/>
      <c r="K3581" t="str">
        <f>IFERROR(+VLOOKUP(Movimientos_2026[[#This Row],[Codigo]],Plan_cuentas[],6,FALSE)," ")</f>
        <v xml:space="preserve"> </v>
      </c>
      <c r="L3581" s="50"/>
      <c r="M3581" s="50"/>
      <c r="N3581" s="20">
        <f>+Movimientos_2026[[#This Row],[Ingresos]]-Movimientos_2026[[#This Row],[Egresos]]</f>
        <v>0</v>
      </c>
      <c r="O3581" s="20">
        <f>+O3580+Movimientos_2026[[#This Row],[Neto]]</f>
        <v>4581558617.7962294</v>
      </c>
    </row>
    <row r="3582" spans="1:15" x14ac:dyDescent="0.25">
      <c r="A3582" s="13"/>
      <c r="B3582" s="12">
        <f>MONTH(Movimientos_2026[[#This Row],[Fecha]])</f>
        <v>1</v>
      </c>
      <c r="C3582" s="12" t="str">
        <f>VLOOKUP((WEEKDAY(Movimientos_2026[[#This Row],[Fecha]],2)),'5. Setup'!$D$6:$E$12,2,FALSE)</f>
        <v>Sab</v>
      </c>
      <c r="E3582" t="str">
        <f>IFERROR(+VLOOKUP(Movimientos_2026[[#This Row],[Codigo]],Plan_cuentas[],2,FALSE)," ")</f>
        <v xml:space="preserve"> </v>
      </c>
      <c r="F3582" t="str">
        <f>IFERROR(+VLOOKUP(Movimientos_2026[[#This Row],[Codigo]],Plan_cuentas[],3,FALSE)," ")</f>
        <v xml:space="preserve"> </v>
      </c>
      <c r="G3582" t="str">
        <f>IFERROR(+VLOOKUP(Movimientos_2026[[#This Row],[Codigo]],Plan_cuentas[],4,FALSE)," ")</f>
        <v xml:space="preserve"> </v>
      </c>
      <c r="H3582" t="str">
        <f>IFERROR(+VLOOKUP(Movimientos_2026[[#This Row],[Codigo]],Plan_cuentas[],5,FALSE)," ")</f>
        <v xml:space="preserve"> </v>
      </c>
      <c r="I3582" s="43"/>
      <c r="K3582" t="str">
        <f>IFERROR(+VLOOKUP(Movimientos_2026[[#This Row],[Codigo]],Plan_cuentas[],6,FALSE)," ")</f>
        <v xml:space="preserve"> </v>
      </c>
      <c r="L3582" s="50"/>
      <c r="M3582" s="50"/>
      <c r="N3582" s="20">
        <f>+Movimientos_2026[[#This Row],[Ingresos]]-Movimientos_2026[[#This Row],[Egresos]]</f>
        <v>0</v>
      </c>
      <c r="O3582" s="20">
        <f>+O3581+Movimientos_2026[[#This Row],[Neto]]</f>
        <v>4581558617.7962294</v>
      </c>
    </row>
    <row r="3583" spans="1:15" x14ac:dyDescent="0.25">
      <c r="A3583" s="13"/>
      <c r="B3583" s="12">
        <f>MONTH(Movimientos_2026[[#This Row],[Fecha]])</f>
        <v>1</v>
      </c>
      <c r="C3583" s="12" t="str">
        <f>VLOOKUP((WEEKDAY(Movimientos_2026[[#This Row],[Fecha]],2)),'5. Setup'!$D$6:$E$12,2,FALSE)</f>
        <v>Sab</v>
      </c>
      <c r="E3583" t="str">
        <f>IFERROR(+VLOOKUP(Movimientos_2026[[#This Row],[Codigo]],Plan_cuentas[],2,FALSE)," ")</f>
        <v xml:space="preserve"> </v>
      </c>
      <c r="F3583" t="str">
        <f>IFERROR(+VLOOKUP(Movimientos_2026[[#This Row],[Codigo]],Plan_cuentas[],3,FALSE)," ")</f>
        <v xml:space="preserve"> </v>
      </c>
      <c r="G3583" t="str">
        <f>IFERROR(+VLOOKUP(Movimientos_2026[[#This Row],[Codigo]],Plan_cuentas[],4,FALSE)," ")</f>
        <v xml:space="preserve"> </v>
      </c>
      <c r="H3583" t="str">
        <f>IFERROR(+VLOOKUP(Movimientos_2026[[#This Row],[Codigo]],Plan_cuentas[],5,FALSE)," ")</f>
        <v xml:space="preserve"> </v>
      </c>
      <c r="I3583" s="43"/>
      <c r="K3583" t="str">
        <f>IFERROR(+VLOOKUP(Movimientos_2026[[#This Row],[Codigo]],Plan_cuentas[],6,FALSE)," ")</f>
        <v xml:space="preserve"> </v>
      </c>
      <c r="L3583" s="50"/>
      <c r="M3583" s="50"/>
      <c r="N3583" s="20">
        <f>+Movimientos_2026[[#This Row],[Ingresos]]-Movimientos_2026[[#This Row],[Egresos]]</f>
        <v>0</v>
      </c>
      <c r="O3583" s="20">
        <f>+O3582+Movimientos_2026[[#This Row],[Neto]]</f>
        <v>4581558617.7962294</v>
      </c>
    </row>
    <row r="3584" spans="1:15" x14ac:dyDescent="0.25">
      <c r="A3584" s="13"/>
      <c r="B3584" s="12">
        <f>MONTH(Movimientos_2026[[#This Row],[Fecha]])</f>
        <v>1</v>
      </c>
      <c r="C3584" s="12" t="str">
        <f>VLOOKUP((WEEKDAY(Movimientos_2026[[#This Row],[Fecha]],2)),'5. Setup'!$D$6:$E$12,2,FALSE)</f>
        <v>Sab</v>
      </c>
      <c r="E3584" t="str">
        <f>IFERROR(+VLOOKUP(Movimientos_2026[[#This Row],[Codigo]],Plan_cuentas[],2,FALSE)," ")</f>
        <v xml:space="preserve"> </v>
      </c>
      <c r="F3584" t="str">
        <f>IFERROR(+VLOOKUP(Movimientos_2026[[#This Row],[Codigo]],Plan_cuentas[],3,FALSE)," ")</f>
        <v xml:space="preserve"> </v>
      </c>
      <c r="G3584" t="str">
        <f>IFERROR(+VLOOKUP(Movimientos_2026[[#This Row],[Codigo]],Plan_cuentas[],4,FALSE)," ")</f>
        <v xml:space="preserve"> </v>
      </c>
      <c r="H3584" t="str">
        <f>IFERROR(+VLOOKUP(Movimientos_2026[[#This Row],[Codigo]],Plan_cuentas[],5,FALSE)," ")</f>
        <v xml:space="preserve"> </v>
      </c>
      <c r="I3584" s="43"/>
      <c r="K3584" t="str">
        <f>IFERROR(+VLOOKUP(Movimientos_2026[[#This Row],[Codigo]],Plan_cuentas[],6,FALSE)," ")</f>
        <v xml:space="preserve"> </v>
      </c>
      <c r="L3584" s="50"/>
      <c r="M3584" s="50"/>
      <c r="N3584" s="20">
        <f>+Movimientos_2026[[#This Row],[Ingresos]]-Movimientos_2026[[#This Row],[Egresos]]</f>
        <v>0</v>
      </c>
      <c r="O3584" s="20">
        <f>+O3583+Movimientos_2026[[#This Row],[Neto]]</f>
        <v>4581558617.7962294</v>
      </c>
    </row>
    <row r="3585" spans="1:15" x14ac:dyDescent="0.25">
      <c r="A3585" s="13"/>
      <c r="B3585" s="12">
        <f>MONTH(Movimientos_2026[[#This Row],[Fecha]])</f>
        <v>1</v>
      </c>
      <c r="C3585" s="12" t="str">
        <f>VLOOKUP((WEEKDAY(Movimientos_2026[[#This Row],[Fecha]],2)),'5. Setup'!$D$6:$E$12,2,FALSE)</f>
        <v>Sab</v>
      </c>
      <c r="E3585" t="str">
        <f>IFERROR(+VLOOKUP(Movimientos_2026[[#This Row],[Codigo]],Plan_cuentas[],2,FALSE)," ")</f>
        <v xml:space="preserve"> </v>
      </c>
      <c r="F3585" t="str">
        <f>IFERROR(+VLOOKUP(Movimientos_2026[[#This Row],[Codigo]],Plan_cuentas[],3,FALSE)," ")</f>
        <v xml:space="preserve"> </v>
      </c>
      <c r="G3585" t="str">
        <f>IFERROR(+VLOOKUP(Movimientos_2026[[#This Row],[Codigo]],Plan_cuentas[],4,FALSE)," ")</f>
        <v xml:space="preserve"> </v>
      </c>
      <c r="H3585" t="str">
        <f>IFERROR(+VLOOKUP(Movimientos_2026[[#This Row],[Codigo]],Plan_cuentas[],5,FALSE)," ")</f>
        <v xml:space="preserve"> </v>
      </c>
      <c r="I3585" s="43"/>
      <c r="K3585" t="str">
        <f>IFERROR(+VLOOKUP(Movimientos_2026[[#This Row],[Codigo]],Plan_cuentas[],6,FALSE)," ")</f>
        <v xml:space="preserve"> </v>
      </c>
      <c r="L3585" s="50"/>
      <c r="M3585" s="50"/>
      <c r="N3585" s="20">
        <f>+Movimientos_2026[[#This Row],[Ingresos]]-Movimientos_2026[[#This Row],[Egresos]]</f>
        <v>0</v>
      </c>
      <c r="O3585" s="20">
        <f>+O3584+Movimientos_2026[[#This Row],[Neto]]</f>
        <v>4581558617.7962294</v>
      </c>
    </row>
    <row r="3586" spans="1:15" x14ac:dyDescent="0.25">
      <c r="A3586" s="13"/>
      <c r="B3586" s="12">
        <f>MONTH(Movimientos_2026[[#This Row],[Fecha]])</f>
        <v>1</v>
      </c>
      <c r="C3586" s="12" t="str">
        <f>VLOOKUP((WEEKDAY(Movimientos_2026[[#This Row],[Fecha]],2)),'5. Setup'!$D$6:$E$12,2,FALSE)</f>
        <v>Sab</v>
      </c>
      <c r="E3586" t="str">
        <f>IFERROR(+VLOOKUP(Movimientos_2026[[#This Row],[Codigo]],Plan_cuentas[],2,FALSE)," ")</f>
        <v xml:space="preserve"> </v>
      </c>
      <c r="F3586" t="str">
        <f>IFERROR(+VLOOKUP(Movimientos_2026[[#This Row],[Codigo]],Plan_cuentas[],3,FALSE)," ")</f>
        <v xml:space="preserve"> </v>
      </c>
      <c r="G3586" t="str">
        <f>IFERROR(+VLOOKUP(Movimientos_2026[[#This Row],[Codigo]],Plan_cuentas[],4,FALSE)," ")</f>
        <v xml:space="preserve"> </v>
      </c>
      <c r="H3586" t="str">
        <f>IFERROR(+VLOOKUP(Movimientos_2026[[#This Row],[Codigo]],Plan_cuentas[],5,FALSE)," ")</f>
        <v xml:space="preserve"> </v>
      </c>
      <c r="I3586" s="43"/>
      <c r="K3586" t="str">
        <f>IFERROR(+VLOOKUP(Movimientos_2026[[#This Row],[Codigo]],Plan_cuentas[],6,FALSE)," ")</f>
        <v xml:space="preserve"> </v>
      </c>
      <c r="L3586" s="50"/>
      <c r="M3586" s="50"/>
      <c r="N3586" s="20">
        <f>+Movimientos_2026[[#This Row],[Ingresos]]-Movimientos_2026[[#This Row],[Egresos]]</f>
        <v>0</v>
      </c>
      <c r="O3586" s="20">
        <f>+O3585+Movimientos_2026[[#This Row],[Neto]]</f>
        <v>4581558617.7962294</v>
      </c>
    </row>
    <row r="3587" spans="1:15" x14ac:dyDescent="0.25">
      <c r="A3587" s="13"/>
      <c r="B3587" s="12">
        <f>MONTH(Movimientos_2026[[#This Row],[Fecha]])</f>
        <v>1</v>
      </c>
      <c r="C3587" s="12" t="str">
        <f>VLOOKUP((WEEKDAY(Movimientos_2026[[#This Row],[Fecha]],2)),'5. Setup'!$D$6:$E$12,2,FALSE)</f>
        <v>Sab</v>
      </c>
      <c r="E3587" t="str">
        <f>IFERROR(+VLOOKUP(Movimientos_2026[[#This Row],[Codigo]],Plan_cuentas[],2,FALSE)," ")</f>
        <v xml:space="preserve"> </v>
      </c>
      <c r="F3587" t="str">
        <f>IFERROR(+VLOOKUP(Movimientos_2026[[#This Row],[Codigo]],Plan_cuentas[],3,FALSE)," ")</f>
        <v xml:space="preserve"> </v>
      </c>
      <c r="G3587" t="str">
        <f>IFERROR(+VLOOKUP(Movimientos_2026[[#This Row],[Codigo]],Plan_cuentas[],4,FALSE)," ")</f>
        <v xml:space="preserve"> </v>
      </c>
      <c r="H3587" t="str">
        <f>IFERROR(+VLOOKUP(Movimientos_2026[[#This Row],[Codigo]],Plan_cuentas[],5,FALSE)," ")</f>
        <v xml:space="preserve"> </v>
      </c>
      <c r="I3587" s="43"/>
      <c r="K3587" t="str">
        <f>IFERROR(+VLOOKUP(Movimientos_2026[[#This Row],[Codigo]],Plan_cuentas[],6,FALSE)," ")</f>
        <v xml:space="preserve"> </v>
      </c>
      <c r="L3587" s="50"/>
      <c r="M3587" s="50"/>
      <c r="N3587" s="20">
        <f>+Movimientos_2026[[#This Row],[Ingresos]]-Movimientos_2026[[#This Row],[Egresos]]</f>
        <v>0</v>
      </c>
      <c r="O3587" s="20">
        <f>+O3586+Movimientos_2026[[#This Row],[Neto]]</f>
        <v>4581558617.7962294</v>
      </c>
    </row>
    <row r="3588" spans="1:15" x14ac:dyDescent="0.25">
      <c r="A3588" s="13"/>
      <c r="B3588" s="12">
        <f>MONTH(Movimientos_2026[[#This Row],[Fecha]])</f>
        <v>1</v>
      </c>
      <c r="C3588" s="12" t="str">
        <f>VLOOKUP((WEEKDAY(Movimientos_2026[[#This Row],[Fecha]],2)),'5. Setup'!$D$6:$E$12,2,FALSE)</f>
        <v>Sab</v>
      </c>
      <c r="E3588" t="str">
        <f>IFERROR(+VLOOKUP(Movimientos_2026[[#This Row],[Codigo]],Plan_cuentas[],2,FALSE)," ")</f>
        <v xml:space="preserve"> </v>
      </c>
      <c r="F3588" t="str">
        <f>IFERROR(+VLOOKUP(Movimientos_2026[[#This Row],[Codigo]],Plan_cuentas[],3,FALSE)," ")</f>
        <v xml:space="preserve"> </v>
      </c>
      <c r="G3588" t="str">
        <f>IFERROR(+VLOOKUP(Movimientos_2026[[#This Row],[Codigo]],Plan_cuentas[],4,FALSE)," ")</f>
        <v xml:space="preserve"> </v>
      </c>
      <c r="H3588" t="str">
        <f>IFERROR(+VLOOKUP(Movimientos_2026[[#This Row],[Codigo]],Plan_cuentas[],5,FALSE)," ")</f>
        <v xml:space="preserve"> </v>
      </c>
      <c r="I3588" s="43"/>
      <c r="K3588" t="str">
        <f>IFERROR(+VLOOKUP(Movimientos_2026[[#This Row],[Codigo]],Plan_cuentas[],6,FALSE)," ")</f>
        <v xml:space="preserve"> </v>
      </c>
      <c r="L3588" s="50"/>
      <c r="M3588" s="50"/>
      <c r="N3588" s="20">
        <f>+Movimientos_2026[[#This Row],[Ingresos]]-Movimientos_2026[[#This Row],[Egresos]]</f>
        <v>0</v>
      </c>
      <c r="O3588" s="20">
        <f>+O3587+Movimientos_2026[[#This Row],[Neto]]</f>
        <v>4581558617.7962294</v>
      </c>
    </row>
    <row r="3589" spans="1:15" x14ac:dyDescent="0.25">
      <c r="A3589" s="13"/>
      <c r="B3589" s="12">
        <f>MONTH(Movimientos_2026[[#This Row],[Fecha]])</f>
        <v>1</v>
      </c>
      <c r="C3589" s="12" t="str">
        <f>VLOOKUP((WEEKDAY(Movimientos_2026[[#This Row],[Fecha]],2)),'5. Setup'!$D$6:$E$12,2,FALSE)</f>
        <v>Sab</v>
      </c>
      <c r="E3589" t="str">
        <f>IFERROR(+VLOOKUP(Movimientos_2026[[#This Row],[Codigo]],Plan_cuentas[],2,FALSE)," ")</f>
        <v xml:space="preserve"> </v>
      </c>
      <c r="F3589" t="str">
        <f>IFERROR(+VLOOKUP(Movimientos_2026[[#This Row],[Codigo]],Plan_cuentas[],3,FALSE)," ")</f>
        <v xml:space="preserve"> </v>
      </c>
      <c r="G3589" t="str">
        <f>IFERROR(+VLOOKUP(Movimientos_2026[[#This Row],[Codigo]],Plan_cuentas[],4,FALSE)," ")</f>
        <v xml:space="preserve"> </v>
      </c>
      <c r="H3589" t="str">
        <f>IFERROR(+VLOOKUP(Movimientos_2026[[#This Row],[Codigo]],Plan_cuentas[],5,FALSE)," ")</f>
        <v xml:space="preserve"> </v>
      </c>
      <c r="I3589" s="43"/>
      <c r="K3589" t="str">
        <f>IFERROR(+VLOOKUP(Movimientos_2026[[#This Row],[Codigo]],Plan_cuentas[],6,FALSE)," ")</f>
        <v xml:space="preserve"> </v>
      </c>
      <c r="L3589" s="50"/>
      <c r="M3589" s="50"/>
      <c r="N3589" s="20">
        <f>+Movimientos_2026[[#This Row],[Ingresos]]-Movimientos_2026[[#This Row],[Egresos]]</f>
        <v>0</v>
      </c>
      <c r="O3589" s="20">
        <f>+O3588+Movimientos_2026[[#This Row],[Neto]]</f>
        <v>4581558617.7962294</v>
      </c>
    </row>
    <row r="3590" spans="1:15" x14ac:dyDescent="0.25">
      <c r="A3590" s="13"/>
      <c r="B3590" s="12">
        <f>MONTH(Movimientos_2026[[#This Row],[Fecha]])</f>
        <v>1</v>
      </c>
      <c r="C3590" s="12" t="str">
        <f>VLOOKUP((WEEKDAY(Movimientos_2026[[#This Row],[Fecha]],2)),'5. Setup'!$D$6:$E$12,2,FALSE)</f>
        <v>Sab</v>
      </c>
      <c r="E3590" t="str">
        <f>IFERROR(+VLOOKUP(Movimientos_2026[[#This Row],[Codigo]],Plan_cuentas[],2,FALSE)," ")</f>
        <v xml:space="preserve"> </v>
      </c>
      <c r="F3590" t="str">
        <f>IFERROR(+VLOOKUP(Movimientos_2026[[#This Row],[Codigo]],Plan_cuentas[],3,FALSE)," ")</f>
        <v xml:space="preserve"> </v>
      </c>
      <c r="G3590" t="str">
        <f>IFERROR(+VLOOKUP(Movimientos_2026[[#This Row],[Codigo]],Plan_cuentas[],4,FALSE)," ")</f>
        <v xml:space="preserve"> </v>
      </c>
      <c r="H3590" t="str">
        <f>IFERROR(+VLOOKUP(Movimientos_2026[[#This Row],[Codigo]],Plan_cuentas[],5,FALSE)," ")</f>
        <v xml:space="preserve"> </v>
      </c>
      <c r="I3590" s="43"/>
      <c r="K3590" t="str">
        <f>IFERROR(+VLOOKUP(Movimientos_2026[[#This Row],[Codigo]],Plan_cuentas[],6,FALSE)," ")</f>
        <v xml:space="preserve"> </v>
      </c>
      <c r="L3590" s="50"/>
      <c r="M3590" s="50"/>
      <c r="N3590" s="20">
        <f>+Movimientos_2026[[#This Row],[Ingresos]]-Movimientos_2026[[#This Row],[Egresos]]</f>
        <v>0</v>
      </c>
      <c r="O3590" s="20">
        <f>+O3589+Movimientos_2026[[#This Row],[Neto]]</f>
        <v>4581558617.7962294</v>
      </c>
    </row>
    <row r="3591" spans="1:15" x14ac:dyDescent="0.25">
      <c r="A3591" s="13"/>
      <c r="B3591" s="12">
        <f>MONTH(Movimientos_2026[[#This Row],[Fecha]])</f>
        <v>1</v>
      </c>
      <c r="C3591" s="12" t="str">
        <f>VLOOKUP((WEEKDAY(Movimientos_2026[[#This Row],[Fecha]],2)),'5. Setup'!$D$6:$E$12,2,FALSE)</f>
        <v>Sab</v>
      </c>
      <c r="E3591" t="str">
        <f>IFERROR(+VLOOKUP(Movimientos_2026[[#This Row],[Codigo]],Plan_cuentas[],2,FALSE)," ")</f>
        <v xml:space="preserve"> </v>
      </c>
      <c r="F3591" t="str">
        <f>IFERROR(+VLOOKUP(Movimientos_2026[[#This Row],[Codigo]],Plan_cuentas[],3,FALSE)," ")</f>
        <v xml:space="preserve"> </v>
      </c>
      <c r="G3591" t="str">
        <f>IFERROR(+VLOOKUP(Movimientos_2026[[#This Row],[Codigo]],Plan_cuentas[],4,FALSE)," ")</f>
        <v xml:space="preserve"> </v>
      </c>
      <c r="H3591" t="str">
        <f>IFERROR(+VLOOKUP(Movimientos_2026[[#This Row],[Codigo]],Plan_cuentas[],5,FALSE)," ")</f>
        <v xml:space="preserve"> </v>
      </c>
      <c r="I3591" s="43"/>
      <c r="K3591" t="str">
        <f>IFERROR(+VLOOKUP(Movimientos_2026[[#This Row],[Codigo]],Plan_cuentas[],6,FALSE)," ")</f>
        <v xml:space="preserve"> </v>
      </c>
      <c r="L3591" s="50"/>
      <c r="M3591" s="50"/>
      <c r="N3591" s="20">
        <f>+Movimientos_2026[[#This Row],[Ingresos]]-Movimientos_2026[[#This Row],[Egresos]]</f>
        <v>0</v>
      </c>
      <c r="O3591" s="20">
        <f>+O3590+Movimientos_2026[[#This Row],[Neto]]</f>
        <v>4581558617.7962294</v>
      </c>
    </row>
    <row r="3592" spans="1:15" x14ac:dyDescent="0.25">
      <c r="A3592" s="13"/>
      <c r="B3592" s="12">
        <f>MONTH(Movimientos_2026[[#This Row],[Fecha]])</f>
        <v>1</v>
      </c>
      <c r="C3592" s="12" t="str">
        <f>VLOOKUP((WEEKDAY(Movimientos_2026[[#This Row],[Fecha]],2)),'5. Setup'!$D$6:$E$12,2,FALSE)</f>
        <v>Sab</v>
      </c>
      <c r="E3592" t="str">
        <f>IFERROR(+VLOOKUP(Movimientos_2026[[#This Row],[Codigo]],Plan_cuentas[],2,FALSE)," ")</f>
        <v xml:space="preserve"> </v>
      </c>
      <c r="F3592" t="str">
        <f>IFERROR(+VLOOKUP(Movimientos_2026[[#This Row],[Codigo]],Plan_cuentas[],3,FALSE)," ")</f>
        <v xml:space="preserve"> </v>
      </c>
      <c r="G3592" t="str">
        <f>IFERROR(+VLOOKUP(Movimientos_2026[[#This Row],[Codigo]],Plan_cuentas[],4,FALSE)," ")</f>
        <v xml:space="preserve"> </v>
      </c>
      <c r="H3592" t="str">
        <f>IFERROR(+VLOOKUP(Movimientos_2026[[#This Row],[Codigo]],Plan_cuentas[],5,FALSE)," ")</f>
        <v xml:space="preserve"> </v>
      </c>
      <c r="I3592" s="43"/>
      <c r="K3592" t="str">
        <f>IFERROR(+VLOOKUP(Movimientos_2026[[#This Row],[Codigo]],Plan_cuentas[],6,FALSE)," ")</f>
        <v xml:space="preserve"> </v>
      </c>
      <c r="L3592" s="50"/>
      <c r="M3592" s="50"/>
      <c r="N3592" s="20">
        <f>+Movimientos_2026[[#This Row],[Ingresos]]-Movimientos_2026[[#This Row],[Egresos]]</f>
        <v>0</v>
      </c>
      <c r="O3592" s="20">
        <f>+O3591+Movimientos_2026[[#This Row],[Neto]]</f>
        <v>4581558617.7962294</v>
      </c>
    </row>
    <row r="3593" spans="1:15" x14ac:dyDescent="0.25">
      <c r="A3593" s="13"/>
      <c r="B3593" s="12">
        <f>MONTH(Movimientos_2026[[#This Row],[Fecha]])</f>
        <v>1</v>
      </c>
      <c r="C3593" s="12" t="str">
        <f>VLOOKUP((WEEKDAY(Movimientos_2026[[#This Row],[Fecha]],2)),'5. Setup'!$D$6:$E$12,2,FALSE)</f>
        <v>Sab</v>
      </c>
      <c r="E3593" t="str">
        <f>IFERROR(+VLOOKUP(Movimientos_2026[[#This Row],[Codigo]],Plan_cuentas[],2,FALSE)," ")</f>
        <v xml:space="preserve"> </v>
      </c>
      <c r="F3593" t="str">
        <f>IFERROR(+VLOOKUP(Movimientos_2026[[#This Row],[Codigo]],Plan_cuentas[],3,FALSE)," ")</f>
        <v xml:space="preserve"> </v>
      </c>
      <c r="G3593" t="str">
        <f>IFERROR(+VLOOKUP(Movimientos_2026[[#This Row],[Codigo]],Plan_cuentas[],4,FALSE)," ")</f>
        <v xml:space="preserve"> </v>
      </c>
      <c r="H3593" t="str">
        <f>IFERROR(+VLOOKUP(Movimientos_2026[[#This Row],[Codigo]],Plan_cuentas[],5,FALSE)," ")</f>
        <v xml:space="preserve"> </v>
      </c>
      <c r="I3593" s="43"/>
      <c r="K3593" t="str">
        <f>IFERROR(+VLOOKUP(Movimientos_2026[[#This Row],[Codigo]],Plan_cuentas[],6,FALSE)," ")</f>
        <v xml:space="preserve"> </v>
      </c>
      <c r="L3593" s="50"/>
      <c r="M3593" s="50"/>
      <c r="N3593" s="20">
        <f>+Movimientos_2026[[#This Row],[Ingresos]]-Movimientos_2026[[#This Row],[Egresos]]</f>
        <v>0</v>
      </c>
      <c r="O3593" s="20">
        <f>+O3592+Movimientos_2026[[#This Row],[Neto]]</f>
        <v>4581558617.7962294</v>
      </c>
    </row>
    <row r="3594" spans="1:15" x14ac:dyDescent="0.25">
      <c r="A3594" s="13"/>
      <c r="B3594" s="12">
        <f>MONTH(Movimientos_2026[[#This Row],[Fecha]])</f>
        <v>1</v>
      </c>
      <c r="C3594" s="12" t="str">
        <f>VLOOKUP((WEEKDAY(Movimientos_2026[[#This Row],[Fecha]],2)),'5. Setup'!$D$6:$E$12,2,FALSE)</f>
        <v>Sab</v>
      </c>
      <c r="E3594" t="str">
        <f>IFERROR(+VLOOKUP(Movimientos_2026[[#This Row],[Codigo]],Plan_cuentas[],2,FALSE)," ")</f>
        <v xml:space="preserve"> </v>
      </c>
      <c r="F3594" t="str">
        <f>IFERROR(+VLOOKUP(Movimientos_2026[[#This Row],[Codigo]],Plan_cuentas[],3,FALSE)," ")</f>
        <v xml:space="preserve"> </v>
      </c>
      <c r="G3594" t="str">
        <f>IFERROR(+VLOOKUP(Movimientos_2026[[#This Row],[Codigo]],Plan_cuentas[],4,FALSE)," ")</f>
        <v xml:space="preserve"> </v>
      </c>
      <c r="H3594" t="str">
        <f>IFERROR(+VLOOKUP(Movimientos_2026[[#This Row],[Codigo]],Plan_cuentas[],5,FALSE)," ")</f>
        <v xml:space="preserve"> </v>
      </c>
      <c r="I3594" s="43"/>
      <c r="K3594" t="str">
        <f>IFERROR(+VLOOKUP(Movimientos_2026[[#This Row],[Codigo]],Plan_cuentas[],6,FALSE)," ")</f>
        <v xml:space="preserve"> </v>
      </c>
      <c r="L3594" s="50"/>
      <c r="M3594" s="50"/>
      <c r="N3594" s="20">
        <f>+Movimientos_2026[[#This Row],[Ingresos]]-Movimientos_2026[[#This Row],[Egresos]]</f>
        <v>0</v>
      </c>
      <c r="O3594" s="20">
        <f>+O3593+Movimientos_2026[[#This Row],[Neto]]</f>
        <v>4581558617.7962294</v>
      </c>
    </row>
    <row r="3595" spans="1:15" x14ac:dyDescent="0.25">
      <c r="A3595" s="13"/>
      <c r="B3595" s="12">
        <f>MONTH(Movimientos_2026[[#This Row],[Fecha]])</f>
        <v>1</v>
      </c>
      <c r="C3595" s="12" t="str">
        <f>VLOOKUP((WEEKDAY(Movimientos_2026[[#This Row],[Fecha]],2)),'5. Setup'!$D$6:$E$12,2,FALSE)</f>
        <v>Sab</v>
      </c>
      <c r="E3595" t="str">
        <f>IFERROR(+VLOOKUP(Movimientos_2026[[#This Row],[Codigo]],Plan_cuentas[],2,FALSE)," ")</f>
        <v xml:space="preserve"> </v>
      </c>
      <c r="F3595" t="str">
        <f>IFERROR(+VLOOKUP(Movimientos_2026[[#This Row],[Codigo]],Plan_cuentas[],3,FALSE)," ")</f>
        <v xml:space="preserve"> </v>
      </c>
      <c r="G3595" t="str">
        <f>IFERROR(+VLOOKUP(Movimientos_2026[[#This Row],[Codigo]],Plan_cuentas[],4,FALSE)," ")</f>
        <v xml:space="preserve"> </v>
      </c>
      <c r="H3595" t="str">
        <f>IFERROR(+VLOOKUP(Movimientos_2026[[#This Row],[Codigo]],Plan_cuentas[],5,FALSE)," ")</f>
        <v xml:space="preserve"> </v>
      </c>
      <c r="I3595" s="43"/>
      <c r="K3595" t="str">
        <f>IFERROR(+VLOOKUP(Movimientos_2026[[#This Row],[Codigo]],Plan_cuentas[],6,FALSE)," ")</f>
        <v xml:space="preserve"> </v>
      </c>
      <c r="L3595" s="50"/>
      <c r="M3595" s="50"/>
      <c r="N3595" s="20">
        <f>+Movimientos_2026[[#This Row],[Ingresos]]-Movimientos_2026[[#This Row],[Egresos]]</f>
        <v>0</v>
      </c>
      <c r="O3595" s="20">
        <f>+O3594+Movimientos_2026[[#This Row],[Neto]]</f>
        <v>4581558617.7962294</v>
      </c>
    </row>
    <row r="3596" spans="1:15" x14ac:dyDescent="0.25">
      <c r="A3596" s="13"/>
      <c r="B3596" s="12">
        <f>MONTH(Movimientos_2026[[#This Row],[Fecha]])</f>
        <v>1</v>
      </c>
      <c r="C3596" s="12" t="str">
        <f>VLOOKUP((WEEKDAY(Movimientos_2026[[#This Row],[Fecha]],2)),'5. Setup'!$D$6:$E$12,2,FALSE)</f>
        <v>Sab</v>
      </c>
      <c r="E3596" t="str">
        <f>IFERROR(+VLOOKUP(Movimientos_2026[[#This Row],[Codigo]],Plan_cuentas[],2,FALSE)," ")</f>
        <v xml:space="preserve"> </v>
      </c>
      <c r="F3596" t="str">
        <f>IFERROR(+VLOOKUP(Movimientos_2026[[#This Row],[Codigo]],Plan_cuentas[],3,FALSE)," ")</f>
        <v xml:space="preserve"> </v>
      </c>
      <c r="G3596" t="str">
        <f>IFERROR(+VLOOKUP(Movimientos_2026[[#This Row],[Codigo]],Plan_cuentas[],4,FALSE)," ")</f>
        <v xml:space="preserve"> </v>
      </c>
      <c r="H3596" t="str">
        <f>IFERROR(+VLOOKUP(Movimientos_2026[[#This Row],[Codigo]],Plan_cuentas[],5,FALSE)," ")</f>
        <v xml:space="preserve"> </v>
      </c>
      <c r="I3596" s="43"/>
      <c r="K3596" t="str">
        <f>IFERROR(+VLOOKUP(Movimientos_2026[[#This Row],[Codigo]],Plan_cuentas[],6,FALSE)," ")</f>
        <v xml:space="preserve"> </v>
      </c>
      <c r="L3596" s="50"/>
      <c r="M3596" s="50"/>
      <c r="N3596" s="20">
        <f>+Movimientos_2026[[#This Row],[Ingresos]]-Movimientos_2026[[#This Row],[Egresos]]</f>
        <v>0</v>
      </c>
      <c r="O3596" s="20">
        <f>+O3595+Movimientos_2026[[#This Row],[Neto]]</f>
        <v>4581558617.7962294</v>
      </c>
    </row>
    <row r="3597" spans="1:15" x14ac:dyDescent="0.25">
      <c r="A3597" s="13"/>
      <c r="B3597" s="12">
        <f>MONTH(Movimientos_2026[[#This Row],[Fecha]])</f>
        <v>1</v>
      </c>
      <c r="C3597" s="12" t="str">
        <f>VLOOKUP((WEEKDAY(Movimientos_2026[[#This Row],[Fecha]],2)),'5. Setup'!$D$6:$E$12,2,FALSE)</f>
        <v>Sab</v>
      </c>
      <c r="E3597" t="str">
        <f>IFERROR(+VLOOKUP(Movimientos_2026[[#This Row],[Codigo]],Plan_cuentas[],2,FALSE)," ")</f>
        <v xml:space="preserve"> </v>
      </c>
      <c r="F3597" t="str">
        <f>IFERROR(+VLOOKUP(Movimientos_2026[[#This Row],[Codigo]],Plan_cuentas[],3,FALSE)," ")</f>
        <v xml:space="preserve"> </v>
      </c>
      <c r="G3597" t="str">
        <f>IFERROR(+VLOOKUP(Movimientos_2026[[#This Row],[Codigo]],Plan_cuentas[],4,FALSE)," ")</f>
        <v xml:space="preserve"> </v>
      </c>
      <c r="H3597" t="str">
        <f>IFERROR(+VLOOKUP(Movimientos_2026[[#This Row],[Codigo]],Plan_cuentas[],5,FALSE)," ")</f>
        <v xml:space="preserve"> </v>
      </c>
      <c r="I3597" s="43"/>
      <c r="K3597" t="str">
        <f>IFERROR(+VLOOKUP(Movimientos_2026[[#This Row],[Codigo]],Plan_cuentas[],6,FALSE)," ")</f>
        <v xml:space="preserve"> </v>
      </c>
      <c r="L3597" s="50"/>
      <c r="M3597" s="50"/>
      <c r="N3597" s="20">
        <f>+Movimientos_2026[[#This Row],[Ingresos]]-Movimientos_2026[[#This Row],[Egresos]]</f>
        <v>0</v>
      </c>
      <c r="O3597" s="20">
        <f>+O3596+Movimientos_2026[[#This Row],[Neto]]</f>
        <v>4581558617.7962294</v>
      </c>
    </row>
    <row r="3598" spans="1:15" x14ac:dyDescent="0.25">
      <c r="A3598" s="13"/>
      <c r="B3598" s="12">
        <f>MONTH(Movimientos_2026[[#This Row],[Fecha]])</f>
        <v>1</v>
      </c>
      <c r="C3598" s="12" t="str">
        <f>VLOOKUP((WEEKDAY(Movimientos_2026[[#This Row],[Fecha]],2)),'5. Setup'!$D$6:$E$12,2,FALSE)</f>
        <v>Sab</v>
      </c>
      <c r="E3598" t="str">
        <f>IFERROR(+VLOOKUP(Movimientos_2026[[#This Row],[Codigo]],Plan_cuentas[],2,FALSE)," ")</f>
        <v xml:space="preserve"> </v>
      </c>
      <c r="F3598" t="str">
        <f>IFERROR(+VLOOKUP(Movimientos_2026[[#This Row],[Codigo]],Plan_cuentas[],3,FALSE)," ")</f>
        <v xml:space="preserve"> </v>
      </c>
      <c r="G3598" t="str">
        <f>IFERROR(+VLOOKUP(Movimientos_2026[[#This Row],[Codigo]],Plan_cuentas[],4,FALSE)," ")</f>
        <v xml:space="preserve"> </v>
      </c>
      <c r="H3598" t="str">
        <f>IFERROR(+VLOOKUP(Movimientos_2026[[#This Row],[Codigo]],Plan_cuentas[],5,FALSE)," ")</f>
        <v xml:space="preserve"> </v>
      </c>
      <c r="I3598" s="43"/>
      <c r="K3598" t="str">
        <f>IFERROR(+VLOOKUP(Movimientos_2026[[#This Row],[Codigo]],Plan_cuentas[],6,FALSE)," ")</f>
        <v xml:space="preserve"> </v>
      </c>
      <c r="L3598" s="50"/>
      <c r="M3598" s="50"/>
      <c r="N3598" s="20">
        <f>+Movimientos_2026[[#This Row],[Ingresos]]-Movimientos_2026[[#This Row],[Egresos]]</f>
        <v>0</v>
      </c>
      <c r="O3598" s="20">
        <f>+O3597+Movimientos_2026[[#This Row],[Neto]]</f>
        <v>4581558617.7962294</v>
      </c>
    </row>
    <row r="3599" spans="1:15" x14ac:dyDescent="0.25">
      <c r="A3599" s="13"/>
      <c r="B3599" s="12">
        <f>MONTH(Movimientos_2026[[#This Row],[Fecha]])</f>
        <v>1</v>
      </c>
      <c r="C3599" s="12" t="str">
        <f>VLOOKUP((WEEKDAY(Movimientos_2026[[#This Row],[Fecha]],2)),'5. Setup'!$D$6:$E$12,2,FALSE)</f>
        <v>Sab</v>
      </c>
      <c r="E3599" t="str">
        <f>IFERROR(+VLOOKUP(Movimientos_2026[[#This Row],[Codigo]],Plan_cuentas[],2,FALSE)," ")</f>
        <v xml:space="preserve"> </v>
      </c>
      <c r="F3599" t="str">
        <f>IFERROR(+VLOOKUP(Movimientos_2026[[#This Row],[Codigo]],Plan_cuentas[],3,FALSE)," ")</f>
        <v xml:space="preserve"> </v>
      </c>
      <c r="G3599" t="str">
        <f>IFERROR(+VLOOKUP(Movimientos_2026[[#This Row],[Codigo]],Plan_cuentas[],4,FALSE)," ")</f>
        <v xml:space="preserve"> </v>
      </c>
      <c r="H3599" t="str">
        <f>IFERROR(+VLOOKUP(Movimientos_2026[[#This Row],[Codigo]],Plan_cuentas[],5,FALSE)," ")</f>
        <v xml:space="preserve"> </v>
      </c>
      <c r="I3599" s="43"/>
      <c r="K3599" t="str">
        <f>IFERROR(+VLOOKUP(Movimientos_2026[[#This Row],[Codigo]],Plan_cuentas[],6,FALSE)," ")</f>
        <v xml:space="preserve"> </v>
      </c>
      <c r="L3599" s="50"/>
      <c r="M3599" s="50"/>
      <c r="N3599" s="20">
        <f>+Movimientos_2026[[#This Row],[Ingresos]]-Movimientos_2026[[#This Row],[Egresos]]</f>
        <v>0</v>
      </c>
      <c r="O3599" s="20">
        <f>+O3598+Movimientos_2026[[#This Row],[Neto]]</f>
        <v>4581558617.7962294</v>
      </c>
    </row>
    <row r="3600" spans="1:15" x14ac:dyDescent="0.25">
      <c r="A3600" s="13"/>
      <c r="B3600" s="12">
        <f>MONTH(Movimientos_2026[[#This Row],[Fecha]])</f>
        <v>1</v>
      </c>
      <c r="C3600" s="12" t="str">
        <f>VLOOKUP((WEEKDAY(Movimientos_2026[[#This Row],[Fecha]],2)),'5. Setup'!$D$6:$E$12,2,FALSE)</f>
        <v>Sab</v>
      </c>
      <c r="E3600" t="str">
        <f>IFERROR(+VLOOKUP(Movimientos_2026[[#This Row],[Codigo]],Plan_cuentas[],2,FALSE)," ")</f>
        <v xml:space="preserve"> </v>
      </c>
      <c r="F3600" t="str">
        <f>IFERROR(+VLOOKUP(Movimientos_2026[[#This Row],[Codigo]],Plan_cuentas[],3,FALSE)," ")</f>
        <v xml:space="preserve"> </v>
      </c>
      <c r="G3600" t="str">
        <f>IFERROR(+VLOOKUP(Movimientos_2026[[#This Row],[Codigo]],Plan_cuentas[],4,FALSE)," ")</f>
        <v xml:space="preserve"> </v>
      </c>
      <c r="H3600" t="str">
        <f>IFERROR(+VLOOKUP(Movimientos_2026[[#This Row],[Codigo]],Plan_cuentas[],5,FALSE)," ")</f>
        <v xml:space="preserve"> </v>
      </c>
      <c r="I3600" s="43"/>
      <c r="K3600" t="str">
        <f>IFERROR(+VLOOKUP(Movimientos_2026[[#This Row],[Codigo]],Plan_cuentas[],6,FALSE)," ")</f>
        <v xml:space="preserve"> </v>
      </c>
      <c r="L3600" s="50"/>
      <c r="M3600" s="50"/>
      <c r="N3600" s="20">
        <f>+Movimientos_2026[[#This Row],[Ingresos]]-Movimientos_2026[[#This Row],[Egresos]]</f>
        <v>0</v>
      </c>
      <c r="O3600" s="20">
        <f>+O3599+Movimientos_2026[[#This Row],[Neto]]</f>
        <v>4581558617.7962294</v>
      </c>
    </row>
    <row r="3601" spans="1:15" x14ac:dyDescent="0.25">
      <c r="A3601" s="13"/>
      <c r="B3601" s="12">
        <f>MONTH(Movimientos_2026[[#This Row],[Fecha]])</f>
        <v>1</v>
      </c>
      <c r="C3601" s="12" t="str">
        <f>VLOOKUP((WEEKDAY(Movimientos_2026[[#This Row],[Fecha]],2)),'5. Setup'!$D$6:$E$12,2,FALSE)</f>
        <v>Sab</v>
      </c>
      <c r="E3601" t="str">
        <f>IFERROR(+VLOOKUP(Movimientos_2026[[#This Row],[Codigo]],Plan_cuentas[],2,FALSE)," ")</f>
        <v xml:space="preserve"> </v>
      </c>
      <c r="F3601" t="str">
        <f>IFERROR(+VLOOKUP(Movimientos_2026[[#This Row],[Codigo]],Plan_cuentas[],3,FALSE)," ")</f>
        <v xml:space="preserve"> </v>
      </c>
      <c r="G3601" t="str">
        <f>IFERROR(+VLOOKUP(Movimientos_2026[[#This Row],[Codigo]],Plan_cuentas[],4,FALSE)," ")</f>
        <v xml:space="preserve"> </v>
      </c>
      <c r="H3601" t="str">
        <f>IFERROR(+VLOOKUP(Movimientos_2026[[#This Row],[Codigo]],Plan_cuentas[],5,FALSE)," ")</f>
        <v xml:space="preserve"> </v>
      </c>
      <c r="I3601" s="43"/>
      <c r="K3601" t="str">
        <f>IFERROR(+VLOOKUP(Movimientos_2026[[#This Row],[Codigo]],Plan_cuentas[],6,FALSE)," ")</f>
        <v xml:space="preserve"> </v>
      </c>
      <c r="L3601" s="50"/>
      <c r="M3601" s="50"/>
      <c r="N3601" s="20">
        <f>+Movimientos_2026[[#This Row],[Ingresos]]-Movimientos_2026[[#This Row],[Egresos]]</f>
        <v>0</v>
      </c>
      <c r="O3601" s="20">
        <f>+O3600+Movimientos_2026[[#This Row],[Neto]]</f>
        <v>4581558617.7962294</v>
      </c>
    </row>
    <row r="3602" spans="1:15" x14ac:dyDescent="0.25">
      <c r="A3602" s="13"/>
      <c r="B3602" s="12">
        <f>MONTH(Movimientos_2026[[#This Row],[Fecha]])</f>
        <v>1</v>
      </c>
      <c r="C3602" s="12" t="str">
        <f>VLOOKUP((WEEKDAY(Movimientos_2026[[#This Row],[Fecha]],2)),'5. Setup'!$D$6:$E$12,2,FALSE)</f>
        <v>Sab</v>
      </c>
      <c r="E3602" t="str">
        <f>IFERROR(+VLOOKUP(Movimientos_2026[[#This Row],[Codigo]],Plan_cuentas[],2,FALSE)," ")</f>
        <v xml:space="preserve"> </v>
      </c>
      <c r="F3602" t="str">
        <f>IFERROR(+VLOOKUP(Movimientos_2026[[#This Row],[Codigo]],Plan_cuentas[],3,FALSE)," ")</f>
        <v xml:space="preserve"> </v>
      </c>
      <c r="G3602" t="str">
        <f>IFERROR(+VLOOKUP(Movimientos_2026[[#This Row],[Codigo]],Plan_cuentas[],4,FALSE)," ")</f>
        <v xml:space="preserve"> </v>
      </c>
      <c r="H3602" t="str">
        <f>IFERROR(+VLOOKUP(Movimientos_2026[[#This Row],[Codigo]],Plan_cuentas[],5,FALSE)," ")</f>
        <v xml:space="preserve"> </v>
      </c>
      <c r="I3602" s="43"/>
      <c r="K3602" t="str">
        <f>IFERROR(+VLOOKUP(Movimientos_2026[[#This Row],[Codigo]],Plan_cuentas[],6,FALSE)," ")</f>
        <v xml:space="preserve"> </v>
      </c>
      <c r="L3602" s="50"/>
      <c r="M3602" s="50"/>
      <c r="N3602" s="20">
        <f>+Movimientos_2026[[#This Row],[Ingresos]]-Movimientos_2026[[#This Row],[Egresos]]</f>
        <v>0</v>
      </c>
      <c r="O3602" s="20">
        <f>+O3601+Movimientos_2026[[#This Row],[Neto]]</f>
        <v>4581558617.7962294</v>
      </c>
    </row>
    <row r="3603" spans="1:15" x14ac:dyDescent="0.25">
      <c r="A3603" s="13"/>
      <c r="B3603" s="12">
        <f>MONTH(Movimientos_2026[[#This Row],[Fecha]])</f>
        <v>1</v>
      </c>
      <c r="C3603" s="12" t="str">
        <f>VLOOKUP((WEEKDAY(Movimientos_2026[[#This Row],[Fecha]],2)),'5. Setup'!$D$6:$E$12,2,FALSE)</f>
        <v>Sab</v>
      </c>
      <c r="E3603" t="str">
        <f>IFERROR(+VLOOKUP(Movimientos_2026[[#This Row],[Codigo]],Plan_cuentas[],2,FALSE)," ")</f>
        <v xml:space="preserve"> </v>
      </c>
      <c r="F3603" t="str">
        <f>IFERROR(+VLOOKUP(Movimientos_2026[[#This Row],[Codigo]],Plan_cuentas[],3,FALSE)," ")</f>
        <v xml:space="preserve"> </v>
      </c>
      <c r="G3603" t="str">
        <f>IFERROR(+VLOOKUP(Movimientos_2026[[#This Row],[Codigo]],Plan_cuentas[],4,FALSE)," ")</f>
        <v xml:space="preserve"> </v>
      </c>
      <c r="H3603" t="str">
        <f>IFERROR(+VLOOKUP(Movimientos_2026[[#This Row],[Codigo]],Plan_cuentas[],5,FALSE)," ")</f>
        <v xml:space="preserve"> </v>
      </c>
      <c r="I3603" s="43"/>
      <c r="K3603" t="str">
        <f>IFERROR(+VLOOKUP(Movimientos_2026[[#This Row],[Codigo]],Plan_cuentas[],6,FALSE)," ")</f>
        <v xml:space="preserve"> </v>
      </c>
      <c r="L3603" s="50"/>
      <c r="M3603" s="50"/>
      <c r="N3603" s="20">
        <f>+Movimientos_2026[[#This Row],[Ingresos]]-Movimientos_2026[[#This Row],[Egresos]]</f>
        <v>0</v>
      </c>
      <c r="O3603" s="20">
        <f>+O3602+Movimientos_2026[[#This Row],[Neto]]</f>
        <v>4581558617.7962294</v>
      </c>
    </row>
    <row r="3604" spans="1:15" x14ac:dyDescent="0.25">
      <c r="A3604" s="13"/>
      <c r="B3604" s="12">
        <f>MONTH(Movimientos_2026[[#This Row],[Fecha]])</f>
        <v>1</v>
      </c>
      <c r="C3604" s="12" t="str">
        <f>VLOOKUP((WEEKDAY(Movimientos_2026[[#This Row],[Fecha]],2)),'5. Setup'!$D$6:$E$12,2,FALSE)</f>
        <v>Sab</v>
      </c>
      <c r="E3604" t="str">
        <f>IFERROR(+VLOOKUP(Movimientos_2026[[#This Row],[Codigo]],Plan_cuentas[],2,FALSE)," ")</f>
        <v xml:space="preserve"> </v>
      </c>
      <c r="F3604" t="str">
        <f>IFERROR(+VLOOKUP(Movimientos_2026[[#This Row],[Codigo]],Plan_cuentas[],3,FALSE)," ")</f>
        <v xml:space="preserve"> </v>
      </c>
      <c r="G3604" t="str">
        <f>IFERROR(+VLOOKUP(Movimientos_2026[[#This Row],[Codigo]],Plan_cuentas[],4,FALSE)," ")</f>
        <v xml:space="preserve"> </v>
      </c>
      <c r="H3604" t="str">
        <f>IFERROR(+VLOOKUP(Movimientos_2026[[#This Row],[Codigo]],Plan_cuentas[],5,FALSE)," ")</f>
        <v xml:space="preserve"> </v>
      </c>
      <c r="I3604" s="43"/>
      <c r="K3604" t="str">
        <f>IFERROR(+VLOOKUP(Movimientos_2026[[#This Row],[Codigo]],Plan_cuentas[],6,FALSE)," ")</f>
        <v xml:space="preserve"> </v>
      </c>
      <c r="L3604" s="50"/>
      <c r="M3604" s="50"/>
      <c r="N3604" s="20">
        <f>+Movimientos_2026[[#This Row],[Ingresos]]-Movimientos_2026[[#This Row],[Egresos]]</f>
        <v>0</v>
      </c>
      <c r="O3604" s="20">
        <f>+O3603+Movimientos_2026[[#This Row],[Neto]]</f>
        <v>4581558617.7962294</v>
      </c>
    </row>
    <row r="3605" spans="1:15" x14ac:dyDescent="0.25">
      <c r="A3605" s="13"/>
      <c r="B3605" s="12">
        <f>MONTH(Movimientos_2026[[#This Row],[Fecha]])</f>
        <v>1</v>
      </c>
      <c r="C3605" s="12" t="str">
        <f>VLOOKUP((WEEKDAY(Movimientos_2026[[#This Row],[Fecha]],2)),'5. Setup'!$D$6:$E$12,2,FALSE)</f>
        <v>Sab</v>
      </c>
      <c r="E3605" t="str">
        <f>IFERROR(+VLOOKUP(Movimientos_2026[[#This Row],[Codigo]],Plan_cuentas[],2,FALSE)," ")</f>
        <v xml:space="preserve"> </v>
      </c>
      <c r="F3605" t="str">
        <f>IFERROR(+VLOOKUP(Movimientos_2026[[#This Row],[Codigo]],Plan_cuentas[],3,FALSE)," ")</f>
        <v xml:space="preserve"> </v>
      </c>
      <c r="G3605" t="str">
        <f>IFERROR(+VLOOKUP(Movimientos_2026[[#This Row],[Codigo]],Plan_cuentas[],4,FALSE)," ")</f>
        <v xml:space="preserve"> </v>
      </c>
      <c r="H3605" t="str">
        <f>IFERROR(+VLOOKUP(Movimientos_2026[[#This Row],[Codigo]],Plan_cuentas[],5,FALSE)," ")</f>
        <v xml:space="preserve"> </v>
      </c>
      <c r="I3605" s="43"/>
      <c r="K3605" t="str">
        <f>IFERROR(+VLOOKUP(Movimientos_2026[[#This Row],[Codigo]],Plan_cuentas[],6,FALSE)," ")</f>
        <v xml:space="preserve"> </v>
      </c>
      <c r="L3605" s="50"/>
      <c r="M3605" s="50"/>
      <c r="N3605" s="20">
        <f>+Movimientos_2026[[#This Row],[Ingresos]]-Movimientos_2026[[#This Row],[Egresos]]</f>
        <v>0</v>
      </c>
      <c r="O3605" s="20">
        <f>+O3604+Movimientos_2026[[#This Row],[Neto]]</f>
        <v>4581558617.7962294</v>
      </c>
    </row>
    <row r="3606" spans="1:15" x14ac:dyDescent="0.25">
      <c r="A3606" s="13"/>
      <c r="B3606" s="12">
        <f>MONTH(Movimientos_2026[[#This Row],[Fecha]])</f>
        <v>1</v>
      </c>
      <c r="C3606" s="12" t="str">
        <f>VLOOKUP((WEEKDAY(Movimientos_2026[[#This Row],[Fecha]],2)),'5. Setup'!$D$6:$E$12,2,FALSE)</f>
        <v>Sab</v>
      </c>
      <c r="E3606" t="str">
        <f>IFERROR(+VLOOKUP(Movimientos_2026[[#This Row],[Codigo]],Plan_cuentas[],2,FALSE)," ")</f>
        <v xml:space="preserve"> </v>
      </c>
      <c r="F3606" t="str">
        <f>IFERROR(+VLOOKUP(Movimientos_2026[[#This Row],[Codigo]],Plan_cuentas[],3,FALSE)," ")</f>
        <v xml:space="preserve"> </v>
      </c>
      <c r="G3606" t="str">
        <f>IFERROR(+VLOOKUP(Movimientos_2026[[#This Row],[Codigo]],Plan_cuentas[],4,FALSE)," ")</f>
        <v xml:space="preserve"> </v>
      </c>
      <c r="H3606" t="str">
        <f>IFERROR(+VLOOKUP(Movimientos_2026[[#This Row],[Codigo]],Plan_cuentas[],5,FALSE)," ")</f>
        <v xml:space="preserve"> </v>
      </c>
      <c r="I3606" s="43"/>
      <c r="K3606" t="str">
        <f>IFERROR(+VLOOKUP(Movimientos_2026[[#This Row],[Codigo]],Plan_cuentas[],6,FALSE)," ")</f>
        <v xml:space="preserve"> </v>
      </c>
      <c r="L3606" s="50"/>
      <c r="M3606" s="50"/>
      <c r="N3606" s="20">
        <f>+Movimientos_2026[[#This Row],[Ingresos]]-Movimientos_2026[[#This Row],[Egresos]]</f>
        <v>0</v>
      </c>
      <c r="O3606" s="20">
        <f>+O3605+Movimientos_2026[[#This Row],[Neto]]</f>
        <v>4581558617.7962294</v>
      </c>
    </row>
    <row r="3607" spans="1:15" x14ac:dyDescent="0.25">
      <c r="A3607" s="13"/>
      <c r="B3607" s="12">
        <f>MONTH(Movimientos_2026[[#This Row],[Fecha]])</f>
        <v>1</v>
      </c>
      <c r="C3607" s="12" t="str">
        <f>VLOOKUP((WEEKDAY(Movimientos_2026[[#This Row],[Fecha]],2)),'5. Setup'!$D$6:$E$12,2,FALSE)</f>
        <v>Sab</v>
      </c>
      <c r="E3607" t="str">
        <f>IFERROR(+VLOOKUP(Movimientos_2026[[#This Row],[Codigo]],Plan_cuentas[],2,FALSE)," ")</f>
        <v xml:space="preserve"> </v>
      </c>
      <c r="F3607" t="str">
        <f>IFERROR(+VLOOKUP(Movimientos_2026[[#This Row],[Codigo]],Plan_cuentas[],3,FALSE)," ")</f>
        <v xml:space="preserve"> </v>
      </c>
      <c r="G3607" t="str">
        <f>IFERROR(+VLOOKUP(Movimientos_2026[[#This Row],[Codigo]],Plan_cuentas[],4,FALSE)," ")</f>
        <v xml:space="preserve"> </v>
      </c>
      <c r="H3607" t="str">
        <f>IFERROR(+VLOOKUP(Movimientos_2026[[#This Row],[Codigo]],Plan_cuentas[],5,FALSE)," ")</f>
        <v xml:space="preserve"> </v>
      </c>
      <c r="I3607" s="43"/>
      <c r="K3607" t="str">
        <f>IFERROR(+VLOOKUP(Movimientos_2026[[#This Row],[Codigo]],Plan_cuentas[],6,FALSE)," ")</f>
        <v xml:space="preserve"> </v>
      </c>
      <c r="L3607" s="50"/>
      <c r="M3607" s="50"/>
      <c r="N3607" s="20">
        <f>+Movimientos_2026[[#This Row],[Ingresos]]-Movimientos_2026[[#This Row],[Egresos]]</f>
        <v>0</v>
      </c>
      <c r="O3607" s="20">
        <f>+O3606+Movimientos_2026[[#This Row],[Neto]]</f>
        <v>4581558617.7962294</v>
      </c>
    </row>
    <row r="3608" spans="1:15" x14ac:dyDescent="0.25">
      <c r="A3608" s="13"/>
      <c r="B3608" s="12">
        <f>MONTH(Movimientos_2026[[#This Row],[Fecha]])</f>
        <v>1</v>
      </c>
      <c r="C3608" s="12" t="str">
        <f>VLOOKUP((WEEKDAY(Movimientos_2026[[#This Row],[Fecha]],2)),'5. Setup'!$D$6:$E$12,2,FALSE)</f>
        <v>Sab</v>
      </c>
      <c r="E3608" t="str">
        <f>IFERROR(+VLOOKUP(Movimientos_2026[[#This Row],[Codigo]],Plan_cuentas[],2,FALSE)," ")</f>
        <v xml:space="preserve"> </v>
      </c>
      <c r="F3608" t="str">
        <f>IFERROR(+VLOOKUP(Movimientos_2026[[#This Row],[Codigo]],Plan_cuentas[],3,FALSE)," ")</f>
        <v xml:space="preserve"> </v>
      </c>
      <c r="G3608" t="str">
        <f>IFERROR(+VLOOKUP(Movimientos_2026[[#This Row],[Codigo]],Plan_cuentas[],4,FALSE)," ")</f>
        <v xml:space="preserve"> </v>
      </c>
      <c r="H3608" t="str">
        <f>IFERROR(+VLOOKUP(Movimientos_2026[[#This Row],[Codigo]],Plan_cuentas[],5,FALSE)," ")</f>
        <v xml:space="preserve"> </v>
      </c>
      <c r="I3608" s="43"/>
      <c r="K3608" t="str">
        <f>IFERROR(+VLOOKUP(Movimientos_2026[[#This Row],[Codigo]],Plan_cuentas[],6,FALSE)," ")</f>
        <v xml:space="preserve"> </v>
      </c>
      <c r="L3608" s="50"/>
      <c r="M3608" s="50"/>
      <c r="N3608" s="20">
        <f>+Movimientos_2026[[#This Row],[Ingresos]]-Movimientos_2026[[#This Row],[Egresos]]</f>
        <v>0</v>
      </c>
      <c r="O3608" s="20">
        <f>+O3607+Movimientos_2026[[#This Row],[Neto]]</f>
        <v>4581558617.7962294</v>
      </c>
    </row>
    <row r="3609" spans="1:15" x14ac:dyDescent="0.25">
      <c r="A3609" s="13"/>
      <c r="B3609" s="12">
        <f>MONTH(Movimientos_2026[[#This Row],[Fecha]])</f>
        <v>1</v>
      </c>
      <c r="C3609" s="12" t="str">
        <f>VLOOKUP((WEEKDAY(Movimientos_2026[[#This Row],[Fecha]],2)),'5. Setup'!$D$6:$E$12,2,FALSE)</f>
        <v>Sab</v>
      </c>
      <c r="E3609" t="str">
        <f>IFERROR(+VLOOKUP(Movimientos_2026[[#This Row],[Codigo]],Plan_cuentas[],2,FALSE)," ")</f>
        <v xml:space="preserve"> </v>
      </c>
      <c r="F3609" t="str">
        <f>IFERROR(+VLOOKUP(Movimientos_2026[[#This Row],[Codigo]],Plan_cuentas[],3,FALSE)," ")</f>
        <v xml:space="preserve"> </v>
      </c>
      <c r="G3609" t="str">
        <f>IFERROR(+VLOOKUP(Movimientos_2026[[#This Row],[Codigo]],Plan_cuentas[],4,FALSE)," ")</f>
        <v xml:space="preserve"> </v>
      </c>
      <c r="H3609" t="str">
        <f>IFERROR(+VLOOKUP(Movimientos_2026[[#This Row],[Codigo]],Plan_cuentas[],5,FALSE)," ")</f>
        <v xml:space="preserve"> </v>
      </c>
      <c r="I3609" s="43"/>
      <c r="K3609" t="str">
        <f>IFERROR(+VLOOKUP(Movimientos_2026[[#This Row],[Codigo]],Plan_cuentas[],6,FALSE)," ")</f>
        <v xml:space="preserve"> </v>
      </c>
      <c r="L3609" s="50"/>
      <c r="M3609" s="50"/>
      <c r="N3609" s="20">
        <f>+Movimientos_2026[[#This Row],[Ingresos]]-Movimientos_2026[[#This Row],[Egresos]]</f>
        <v>0</v>
      </c>
      <c r="O3609" s="20">
        <f>+O3608+Movimientos_2026[[#This Row],[Neto]]</f>
        <v>4581558617.7962294</v>
      </c>
    </row>
    <row r="3610" spans="1:15" x14ac:dyDescent="0.25">
      <c r="A3610" s="13"/>
      <c r="B3610" s="12">
        <f>MONTH(Movimientos_2026[[#This Row],[Fecha]])</f>
        <v>1</v>
      </c>
      <c r="C3610" s="12" t="str">
        <f>VLOOKUP((WEEKDAY(Movimientos_2026[[#This Row],[Fecha]],2)),'5. Setup'!$D$6:$E$12,2,FALSE)</f>
        <v>Sab</v>
      </c>
      <c r="E3610" t="str">
        <f>IFERROR(+VLOOKUP(Movimientos_2026[[#This Row],[Codigo]],Plan_cuentas[],2,FALSE)," ")</f>
        <v xml:space="preserve"> </v>
      </c>
      <c r="F3610" t="str">
        <f>IFERROR(+VLOOKUP(Movimientos_2026[[#This Row],[Codigo]],Plan_cuentas[],3,FALSE)," ")</f>
        <v xml:space="preserve"> </v>
      </c>
      <c r="G3610" t="str">
        <f>IFERROR(+VLOOKUP(Movimientos_2026[[#This Row],[Codigo]],Plan_cuentas[],4,FALSE)," ")</f>
        <v xml:space="preserve"> </v>
      </c>
      <c r="H3610" t="str">
        <f>IFERROR(+VLOOKUP(Movimientos_2026[[#This Row],[Codigo]],Plan_cuentas[],5,FALSE)," ")</f>
        <v xml:space="preserve"> </v>
      </c>
      <c r="I3610" s="43"/>
      <c r="K3610" t="str">
        <f>IFERROR(+VLOOKUP(Movimientos_2026[[#This Row],[Codigo]],Plan_cuentas[],6,FALSE)," ")</f>
        <v xml:space="preserve"> </v>
      </c>
      <c r="L3610" s="50"/>
      <c r="M3610" s="50"/>
      <c r="N3610" s="20">
        <f>+Movimientos_2026[[#This Row],[Ingresos]]-Movimientos_2026[[#This Row],[Egresos]]</f>
        <v>0</v>
      </c>
      <c r="O3610" s="20">
        <f>+O3609+Movimientos_2026[[#This Row],[Neto]]</f>
        <v>4581558617.7962294</v>
      </c>
    </row>
    <row r="3611" spans="1:15" x14ac:dyDescent="0.25">
      <c r="A3611" s="13"/>
      <c r="B3611" s="12">
        <f>MONTH(Movimientos_2026[[#This Row],[Fecha]])</f>
        <v>1</v>
      </c>
      <c r="C3611" s="12" t="str">
        <f>VLOOKUP((WEEKDAY(Movimientos_2026[[#This Row],[Fecha]],2)),'5. Setup'!$D$6:$E$12,2,FALSE)</f>
        <v>Sab</v>
      </c>
      <c r="E3611" t="str">
        <f>IFERROR(+VLOOKUP(Movimientos_2026[[#This Row],[Codigo]],Plan_cuentas[],2,FALSE)," ")</f>
        <v xml:space="preserve"> </v>
      </c>
      <c r="F3611" t="str">
        <f>IFERROR(+VLOOKUP(Movimientos_2026[[#This Row],[Codigo]],Plan_cuentas[],3,FALSE)," ")</f>
        <v xml:space="preserve"> </v>
      </c>
      <c r="G3611" t="str">
        <f>IFERROR(+VLOOKUP(Movimientos_2026[[#This Row],[Codigo]],Plan_cuentas[],4,FALSE)," ")</f>
        <v xml:space="preserve"> </v>
      </c>
      <c r="H3611" t="str">
        <f>IFERROR(+VLOOKUP(Movimientos_2026[[#This Row],[Codigo]],Plan_cuentas[],5,FALSE)," ")</f>
        <v xml:space="preserve"> </v>
      </c>
      <c r="I3611" s="43"/>
      <c r="K3611" t="str">
        <f>IFERROR(+VLOOKUP(Movimientos_2026[[#This Row],[Codigo]],Plan_cuentas[],6,FALSE)," ")</f>
        <v xml:space="preserve"> </v>
      </c>
      <c r="L3611" s="50"/>
      <c r="M3611" s="50"/>
      <c r="N3611" s="20">
        <f>+Movimientos_2026[[#This Row],[Ingresos]]-Movimientos_2026[[#This Row],[Egresos]]</f>
        <v>0</v>
      </c>
      <c r="O3611" s="20">
        <f>+O3610+Movimientos_2026[[#This Row],[Neto]]</f>
        <v>4581558617.7962294</v>
      </c>
    </row>
    <row r="3612" spans="1:15" x14ac:dyDescent="0.25">
      <c r="A3612" s="13"/>
      <c r="B3612" s="12">
        <f>MONTH(Movimientos_2026[[#This Row],[Fecha]])</f>
        <v>1</v>
      </c>
      <c r="C3612" s="12" t="str">
        <f>VLOOKUP((WEEKDAY(Movimientos_2026[[#This Row],[Fecha]],2)),'5. Setup'!$D$6:$E$12,2,FALSE)</f>
        <v>Sab</v>
      </c>
      <c r="E3612" t="str">
        <f>IFERROR(+VLOOKUP(Movimientos_2026[[#This Row],[Codigo]],Plan_cuentas[],2,FALSE)," ")</f>
        <v xml:space="preserve"> </v>
      </c>
      <c r="F3612" t="str">
        <f>IFERROR(+VLOOKUP(Movimientos_2026[[#This Row],[Codigo]],Plan_cuentas[],3,FALSE)," ")</f>
        <v xml:space="preserve"> </v>
      </c>
      <c r="G3612" t="str">
        <f>IFERROR(+VLOOKUP(Movimientos_2026[[#This Row],[Codigo]],Plan_cuentas[],4,FALSE)," ")</f>
        <v xml:space="preserve"> </v>
      </c>
      <c r="H3612" t="str">
        <f>IFERROR(+VLOOKUP(Movimientos_2026[[#This Row],[Codigo]],Plan_cuentas[],5,FALSE)," ")</f>
        <v xml:space="preserve"> </v>
      </c>
      <c r="I3612" s="43"/>
      <c r="K3612" t="str">
        <f>IFERROR(+VLOOKUP(Movimientos_2026[[#This Row],[Codigo]],Plan_cuentas[],6,FALSE)," ")</f>
        <v xml:space="preserve"> </v>
      </c>
      <c r="L3612" s="50"/>
      <c r="M3612" s="50"/>
      <c r="N3612" s="20">
        <f>+Movimientos_2026[[#This Row],[Ingresos]]-Movimientos_2026[[#This Row],[Egresos]]</f>
        <v>0</v>
      </c>
      <c r="O3612" s="20">
        <f>+O3611+Movimientos_2026[[#This Row],[Neto]]</f>
        <v>4581558617.7962294</v>
      </c>
    </row>
    <row r="3613" spans="1:15" x14ac:dyDescent="0.25">
      <c r="A3613" s="13"/>
      <c r="B3613" s="12">
        <f>MONTH(Movimientos_2026[[#This Row],[Fecha]])</f>
        <v>1</v>
      </c>
      <c r="C3613" s="12" t="str">
        <f>VLOOKUP((WEEKDAY(Movimientos_2026[[#This Row],[Fecha]],2)),'5. Setup'!$D$6:$E$12,2,FALSE)</f>
        <v>Sab</v>
      </c>
      <c r="E3613" t="str">
        <f>IFERROR(+VLOOKUP(Movimientos_2026[[#This Row],[Codigo]],Plan_cuentas[],2,FALSE)," ")</f>
        <v xml:space="preserve"> </v>
      </c>
      <c r="F3613" t="str">
        <f>IFERROR(+VLOOKUP(Movimientos_2026[[#This Row],[Codigo]],Plan_cuentas[],3,FALSE)," ")</f>
        <v xml:space="preserve"> </v>
      </c>
      <c r="G3613" t="str">
        <f>IFERROR(+VLOOKUP(Movimientos_2026[[#This Row],[Codigo]],Plan_cuentas[],4,FALSE)," ")</f>
        <v xml:space="preserve"> </v>
      </c>
      <c r="H3613" t="str">
        <f>IFERROR(+VLOOKUP(Movimientos_2026[[#This Row],[Codigo]],Plan_cuentas[],5,FALSE)," ")</f>
        <v xml:space="preserve"> </v>
      </c>
      <c r="I3613" s="43"/>
      <c r="K3613" t="str">
        <f>IFERROR(+VLOOKUP(Movimientos_2026[[#This Row],[Codigo]],Plan_cuentas[],6,FALSE)," ")</f>
        <v xml:space="preserve"> </v>
      </c>
      <c r="L3613" s="50"/>
      <c r="M3613" s="50"/>
      <c r="N3613" s="20">
        <f>+Movimientos_2026[[#This Row],[Ingresos]]-Movimientos_2026[[#This Row],[Egresos]]</f>
        <v>0</v>
      </c>
      <c r="O3613" s="20">
        <f>+O3612+Movimientos_2026[[#This Row],[Neto]]</f>
        <v>4581558617.7962294</v>
      </c>
    </row>
    <row r="3614" spans="1:15" x14ac:dyDescent="0.25">
      <c r="A3614" s="13"/>
      <c r="B3614" s="12">
        <f>MONTH(Movimientos_2026[[#This Row],[Fecha]])</f>
        <v>1</v>
      </c>
      <c r="C3614" s="12" t="str">
        <f>VLOOKUP((WEEKDAY(Movimientos_2026[[#This Row],[Fecha]],2)),'5. Setup'!$D$6:$E$12,2,FALSE)</f>
        <v>Sab</v>
      </c>
      <c r="E3614" t="str">
        <f>IFERROR(+VLOOKUP(Movimientos_2026[[#This Row],[Codigo]],Plan_cuentas[],2,FALSE)," ")</f>
        <v xml:space="preserve"> </v>
      </c>
      <c r="F3614" t="str">
        <f>IFERROR(+VLOOKUP(Movimientos_2026[[#This Row],[Codigo]],Plan_cuentas[],3,FALSE)," ")</f>
        <v xml:space="preserve"> </v>
      </c>
      <c r="G3614" t="str">
        <f>IFERROR(+VLOOKUP(Movimientos_2026[[#This Row],[Codigo]],Plan_cuentas[],4,FALSE)," ")</f>
        <v xml:space="preserve"> </v>
      </c>
      <c r="H3614" t="str">
        <f>IFERROR(+VLOOKUP(Movimientos_2026[[#This Row],[Codigo]],Plan_cuentas[],5,FALSE)," ")</f>
        <v xml:space="preserve"> </v>
      </c>
      <c r="I3614" s="43"/>
      <c r="K3614" t="str">
        <f>IFERROR(+VLOOKUP(Movimientos_2026[[#This Row],[Codigo]],Plan_cuentas[],6,FALSE)," ")</f>
        <v xml:space="preserve"> </v>
      </c>
      <c r="L3614" s="50"/>
      <c r="M3614" s="50"/>
      <c r="N3614" s="20">
        <f>+Movimientos_2026[[#This Row],[Ingresos]]-Movimientos_2026[[#This Row],[Egresos]]</f>
        <v>0</v>
      </c>
      <c r="O3614" s="20">
        <f>+O3613+Movimientos_2026[[#This Row],[Neto]]</f>
        <v>4581558617.7962294</v>
      </c>
    </row>
    <row r="3615" spans="1:15" x14ac:dyDescent="0.25">
      <c r="A3615" s="13"/>
      <c r="B3615" s="12">
        <f>MONTH(Movimientos_2026[[#This Row],[Fecha]])</f>
        <v>1</v>
      </c>
      <c r="C3615" s="12" t="str">
        <f>VLOOKUP((WEEKDAY(Movimientos_2026[[#This Row],[Fecha]],2)),'5. Setup'!$D$6:$E$12,2,FALSE)</f>
        <v>Sab</v>
      </c>
      <c r="E3615" t="str">
        <f>IFERROR(+VLOOKUP(Movimientos_2026[[#This Row],[Codigo]],Plan_cuentas[],2,FALSE)," ")</f>
        <v xml:space="preserve"> </v>
      </c>
      <c r="F3615" t="str">
        <f>IFERROR(+VLOOKUP(Movimientos_2026[[#This Row],[Codigo]],Plan_cuentas[],3,FALSE)," ")</f>
        <v xml:space="preserve"> </v>
      </c>
      <c r="G3615" t="str">
        <f>IFERROR(+VLOOKUP(Movimientos_2026[[#This Row],[Codigo]],Plan_cuentas[],4,FALSE)," ")</f>
        <v xml:space="preserve"> </v>
      </c>
      <c r="H3615" t="str">
        <f>IFERROR(+VLOOKUP(Movimientos_2026[[#This Row],[Codigo]],Plan_cuentas[],5,FALSE)," ")</f>
        <v xml:space="preserve"> </v>
      </c>
      <c r="I3615" s="43"/>
      <c r="K3615" t="str">
        <f>IFERROR(+VLOOKUP(Movimientos_2026[[#This Row],[Codigo]],Plan_cuentas[],6,FALSE)," ")</f>
        <v xml:space="preserve"> </v>
      </c>
      <c r="L3615" s="50"/>
      <c r="M3615" s="50"/>
      <c r="N3615" s="20">
        <f>+Movimientos_2026[[#This Row],[Ingresos]]-Movimientos_2026[[#This Row],[Egresos]]</f>
        <v>0</v>
      </c>
      <c r="O3615" s="20">
        <f>+O3614+Movimientos_2026[[#This Row],[Neto]]</f>
        <v>4581558617.7962294</v>
      </c>
    </row>
    <row r="3616" spans="1:15" x14ac:dyDescent="0.25">
      <c r="A3616" s="13"/>
      <c r="B3616" s="12">
        <f>MONTH(Movimientos_2026[[#This Row],[Fecha]])</f>
        <v>1</v>
      </c>
      <c r="C3616" s="12" t="str">
        <f>VLOOKUP((WEEKDAY(Movimientos_2026[[#This Row],[Fecha]],2)),'5. Setup'!$D$6:$E$12,2,FALSE)</f>
        <v>Sab</v>
      </c>
      <c r="E3616" t="str">
        <f>IFERROR(+VLOOKUP(Movimientos_2026[[#This Row],[Codigo]],Plan_cuentas[],2,FALSE)," ")</f>
        <v xml:space="preserve"> </v>
      </c>
      <c r="F3616" t="str">
        <f>IFERROR(+VLOOKUP(Movimientos_2026[[#This Row],[Codigo]],Plan_cuentas[],3,FALSE)," ")</f>
        <v xml:space="preserve"> </v>
      </c>
      <c r="G3616" t="str">
        <f>IFERROR(+VLOOKUP(Movimientos_2026[[#This Row],[Codigo]],Plan_cuentas[],4,FALSE)," ")</f>
        <v xml:space="preserve"> </v>
      </c>
      <c r="H3616" t="str">
        <f>IFERROR(+VLOOKUP(Movimientos_2026[[#This Row],[Codigo]],Plan_cuentas[],5,FALSE)," ")</f>
        <v xml:space="preserve"> </v>
      </c>
      <c r="I3616" s="43"/>
      <c r="K3616" t="str">
        <f>IFERROR(+VLOOKUP(Movimientos_2026[[#This Row],[Codigo]],Plan_cuentas[],6,FALSE)," ")</f>
        <v xml:space="preserve"> </v>
      </c>
      <c r="L3616" s="50"/>
      <c r="M3616" s="50"/>
      <c r="N3616" s="20">
        <f>+Movimientos_2026[[#This Row],[Ingresos]]-Movimientos_2026[[#This Row],[Egresos]]</f>
        <v>0</v>
      </c>
      <c r="O3616" s="20">
        <f>+O3615+Movimientos_2026[[#This Row],[Neto]]</f>
        <v>4581558617.7962294</v>
      </c>
    </row>
    <row r="3617" spans="1:15" x14ac:dyDescent="0.25">
      <c r="A3617" s="13"/>
      <c r="B3617" s="12">
        <f>MONTH(Movimientos_2026[[#This Row],[Fecha]])</f>
        <v>1</v>
      </c>
      <c r="C3617" s="12" t="str">
        <f>VLOOKUP((WEEKDAY(Movimientos_2026[[#This Row],[Fecha]],2)),'5. Setup'!$D$6:$E$12,2,FALSE)</f>
        <v>Sab</v>
      </c>
      <c r="E3617" t="str">
        <f>IFERROR(+VLOOKUP(Movimientos_2026[[#This Row],[Codigo]],Plan_cuentas[],2,FALSE)," ")</f>
        <v xml:space="preserve"> </v>
      </c>
      <c r="F3617" t="str">
        <f>IFERROR(+VLOOKUP(Movimientos_2026[[#This Row],[Codigo]],Plan_cuentas[],3,FALSE)," ")</f>
        <v xml:space="preserve"> </v>
      </c>
      <c r="G3617" t="str">
        <f>IFERROR(+VLOOKUP(Movimientos_2026[[#This Row],[Codigo]],Plan_cuentas[],4,FALSE)," ")</f>
        <v xml:space="preserve"> </v>
      </c>
      <c r="H3617" t="str">
        <f>IFERROR(+VLOOKUP(Movimientos_2026[[#This Row],[Codigo]],Plan_cuentas[],5,FALSE)," ")</f>
        <v xml:space="preserve"> </v>
      </c>
      <c r="I3617" s="43"/>
      <c r="K3617" t="str">
        <f>IFERROR(+VLOOKUP(Movimientos_2026[[#This Row],[Codigo]],Plan_cuentas[],6,FALSE)," ")</f>
        <v xml:space="preserve"> </v>
      </c>
      <c r="L3617" s="50"/>
      <c r="M3617" s="50"/>
      <c r="N3617" s="20">
        <f>+Movimientos_2026[[#This Row],[Ingresos]]-Movimientos_2026[[#This Row],[Egresos]]</f>
        <v>0</v>
      </c>
      <c r="O3617" s="20">
        <f>+O3616+Movimientos_2026[[#This Row],[Neto]]</f>
        <v>4581558617.7962294</v>
      </c>
    </row>
    <row r="3618" spans="1:15" x14ac:dyDescent="0.25">
      <c r="A3618" s="13"/>
      <c r="B3618" s="12">
        <f>MONTH(Movimientos_2026[[#This Row],[Fecha]])</f>
        <v>1</v>
      </c>
      <c r="C3618" s="12" t="str">
        <f>VLOOKUP((WEEKDAY(Movimientos_2026[[#This Row],[Fecha]],2)),'5. Setup'!$D$6:$E$12,2,FALSE)</f>
        <v>Sab</v>
      </c>
      <c r="E3618" t="str">
        <f>IFERROR(+VLOOKUP(Movimientos_2026[[#This Row],[Codigo]],Plan_cuentas[],2,FALSE)," ")</f>
        <v xml:space="preserve"> </v>
      </c>
      <c r="F3618" t="str">
        <f>IFERROR(+VLOOKUP(Movimientos_2026[[#This Row],[Codigo]],Plan_cuentas[],3,FALSE)," ")</f>
        <v xml:space="preserve"> </v>
      </c>
      <c r="G3618" t="str">
        <f>IFERROR(+VLOOKUP(Movimientos_2026[[#This Row],[Codigo]],Plan_cuentas[],4,FALSE)," ")</f>
        <v xml:space="preserve"> </v>
      </c>
      <c r="H3618" t="str">
        <f>IFERROR(+VLOOKUP(Movimientos_2026[[#This Row],[Codigo]],Plan_cuentas[],5,FALSE)," ")</f>
        <v xml:space="preserve"> </v>
      </c>
      <c r="I3618" s="43"/>
      <c r="K3618" t="str">
        <f>IFERROR(+VLOOKUP(Movimientos_2026[[#This Row],[Codigo]],Plan_cuentas[],6,FALSE)," ")</f>
        <v xml:space="preserve"> </v>
      </c>
      <c r="L3618" s="50"/>
      <c r="M3618" s="50"/>
      <c r="N3618" s="20">
        <f>+Movimientos_2026[[#This Row],[Ingresos]]-Movimientos_2026[[#This Row],[Egresos]]</f>
        <v>0</v>
      </c>
      <c r="O3618" s="20">
        <f>+O3617+Movimientos_2026[[#This Row],[Neto]]</f>
        <v>4581558617.7962294</v>
      </c>
    </row>
    <row r="3619" spans="1:15" x14ac:dyDescent="0.25">
      <c r="A3619" s="13"/>
      <c r="B3619" s="12">
        <f>MONTH(Movimientos_2026[[#This Row],[Fecha]])</f>
        <v>1</v>
      </c>
      <c r="C3619" s="12" t="str">
        <f>VLOOKUP((WEEKDAY(Movimientos_2026[[#This Row],[Fecha]],2)),'5. Setup'!$D$6:$E$12,2,FALSE)</f>
        <v>Sab</v>
      </c>
      <c r="E3619" t="str">
        <f>IFERROR(+VLOOKUP(Movimientos_2026[[#This Row],[Codigo]],Plan_cuentas[],2,FALSE)," ")</f>
        <v xml:space="preserve"> </v>
      </c>
      <c r="F3619" t="str">
        <f>IFERROR(+VLOOKUP(Movimientos_2026[[#This Row],[Codigo]],Plan_cuentas[],3,FALSE)," ")</f>
        <v xml:space="preserve"> </v>
      </c>
      <c r="G3619" t="str">
        <f>IFERROR(+VLOOKUP(Movimientos_2026[[#This Row],[Codigo]],Plan_cuentas[],4,FALSE)," ")</f>
        <v xml:space="preserve"> </v>
      </c>
      <c r="H3619" t="str">
        <f>IFERROR(+VLOOKUP(Movimientos_2026[[#This Row],[Codigo]],Plan_cuentas[],5,FALSE)," ")</f>
        <v xml:space="preserve"> </v>
      </c>
      <c r="I3619" s="43"/>
      <c r="K3619" t="str">
        <f>IFERROR(+VLOOKUP(Movimientos_2026[[#This Row],[Codigo]],Plan_cuentas[],6,FALSE)," ")</f>
        <v xml:space="preserve"> </v>
      </c>
      <c r="L3619" s="50"/>
      <c r="M3619" s="50"/>
      <c r="N3619" s="20">
        <f>+Movimientos_2026[[#This Row],[Ingresos]]-Movimientos_2026[[#This Row],[Egresos]]</f>
        <v>0</v>
      </c>
      <c r="O3619" s="20">
        <f>+O3618+Movimientos_2026[[#This Row],[Neto]]</f>
        <v>4581558617.7962294</v>
      </c>
    </row>
    <row r="3620" spans="1:15" x14ac:dyDescent="0.25">
      <c r="A3620" s="13"/>
      <c r="B3620" s="12">
        <f>MONTH(Movimientos_2026[[#This Row],[Fecha]])</f>
        <v>1</v>
      </c>
      <c r="C3620" s="12" t="str">
        <f>VLOOKUP((WEEKDAY(Movimientos_2026[[#This Row],[Fecha]],2)),'5. Setup'!$D$6:$E$12,2,FALSE)</f>
        <v>Sab</v>
      </c>
      <c r="E3620" t="str">
        <f>IFERROR(+VLOOKUP(Movimientos_2026[[#This Row],[Codigo]],Plan_cuentas[],2,FALSE)," ")</f>
        <v xml:space="preserve"> </v>
      </c>
      <c r="F3620" t="str">
        <f>IFERROR(+VLOOKUP(Movimientos_2026[[#This Row],[Codigo]],Plan_cuentas[],3,FALSE)," ")</f>
        <v xml:space="preserve"> </v>
      </c>
      <c r="G3620" t="str">
        <f>IFERROR(+VLOOKUP(Movimientos_2026[[#This Row],[Codigo]],Plan_cuentas[],4,FALSE)," ")</f>
        <v xml:space="preserve"> </v>
      </c>
      <c r="H3620" t="str">
        <f>IFERROR(+VLOOKUP(Movimientos_2026[[#This Row],[Codigo]],Plan_cuentas[],5,FALSE)," ")</f>
        <v xml:space="preserve"> </v>
      </c>
      <c r="I3620" s="43"/>
      <c r="K3620" t="str">
        <f>IFERROR(+VLOOKUP(Movimientos_2026[[#This Row],[Codigo]],Plan_cuentas[],6,FALSE)," ")</f>
        <v xml:space="preserve"> </v>
      </c>
      <c r="L3620" s="50"/>
      <c r="M3620" s="50"/>
      <c r="N3620" s="20">
        <f>+Movimientos_2026[[#This Row],[Ingresos]]-Movimientos_2026[[#This Row],[Egresos]]</f>
        <v>0</v>
      </c>
      <c r="O3620" s="20">
        <f>+O3619+Movimientos_2026[[#This Row],[Neto]]</f>
        <v>4581558617.7962294</v>
      </c>
    </row>
    <row r="3621" spans="1:15" x14ac:dyDescent="0.25">
      <c r="A3621" s="13"/>
      <c r="B3621" s="12">
        <f>MONTH(Movimientos_2026[[#This Row],[Fecha]])</f>
        <v>1</v>
      </c>
      <c r="C3621" s="12" t="str">
        <f>VLOOKUP((WEEKDAY(Movimientos_2026[[#This Row],[Fecha]],2)),'5. Setup'!$D$6:$E$12,2,FALSE)</f>
        <v>Sab</v>
      </c>
      <c r="E3621" t="str">
        <f>IFERROR(+VLOOKUP(Movimientos_2026[[#This Row],[Codigo]],Plan_cuentas[],2,FALSE)," ")</f>
        <v xml:space="preserve"> </v>
      </c>
      <c r="F3621" t="str">
        <f>IFERROR(+VLOOKUP(Movimientos_2026[[#This Row],[Codigo]],Plan_cuentas[],3,FALSE)," ")</f>
        <v xml:space="preserve"> </v>
      </c>
      <c r="G3621" t="str">
        <f>IFERROR(+VLOOKUP(Movimientos_2026[[#This Row],[Codigo]],Plan_cuentas[],4,FALSE)," ")</f>
        <v xml:space="preserve"> </v>
      </c>
      <c r="H3621" t="str">
        <f>IFERROR(+VLOOKUP(Movimientos_2026[[#This Row],[Codigo]],Plan_cuentas[],5,FALSE)," ")</f>
        <v xml:space="preserve"> </v>
      </c>
      <c r="I3621" s="43"/>
      <c r="K3621" t="str">
        <f>IFERROR(+VLOOKUP(Movimientos_2026[[#This Row],[Codigo]],Plan_cuentas[],6,FALSE)," ")</f>
        <v xml:space="preserve"> </v>
      </c>
      <c r="L3621" s="50"/>
      <c r="M3621" s="50"/>
      <c r="N3621" s="20">
        <f>+Movimientos_2026[[#This Row],[Ingresos]]-Movimientos_2026[[#This Row],[Egresos]]</f>
        <v>0</v>
      </c>
      <c r="O3621" s="20">
        <f>+O3620+Movimientos_2026[[#This Row],[Neto]]</f>
        <v>4581558617.7962294</v>
      </c>
    </row>
    <row r="3622" spans="1:15" x14ac:dyDescent="0.25">
      <c r="A3622" s="13"/>
      <c r="B3622" s="12">
        <f>MONTH(Movimientos_2026[[#This Row],[Fecha]])</f>
        <v>1</v>
      </c>
      <c r="C3622" s="12" t="str">
        <f>VLOOKUP((WEEKDAY(Movimientos_2026[[#This Row],[Fecha]],2)),'5. Setup'!$D$6:$E$12,2,FALSE)</f>
        <v>Sab</v>
      </c>
      <c r="E3622" t="str">
        <f>IFERROR(+VLOOKUP(Movimientos_2026[[#This Row],[Codigo]],Plan_cuentas[],2,FALSE)," ")</f>
        <v xml:space="preserve"> </v>
      </c>
      <c r="F3622" t="str">
        <f>IFERROR(+VLOOKUP(Movimientos_2026[[#This Row],[Codigo]],Plan_cuentas[],3,FALSE)," ")</f>
        <v xml:space="preserve"> </v>
      </c>
      <c r="G3622" t="str">
        <f>IFERROR(+VLOOKUP(Movimientos_2026[[#This Row],[Codigo]],Plan_cuentas[],4,FALSE)," ")</f>
        <v xml:space="preserve"> </v>
      </c>
      <c r="H3622" t="str">
        <f>IFERROR(+VLOOKUP(Movimientos_2026[[#This Row],[Codigo]],Plan_cuentas[],5,FALSE)," ")</f>
        <v xml:space="preserve"> </v>
      </c>
      <c r="I3622" s="43"/>
      <c r="K3622" t="str">
        <f>IFERROR(+VLOOKUP(Movimientos_2026[[#This Row],[Codigo]],Plan_cuentas[],6,FALSE)," ")</f>
        <v xml:space="preserve"> </v>
      </c>
      <c r="L3622" s="50"/>
      <c r="M3622" s="50"/>
      <c r="N3622" s="20">
        <f>+Movimientos_2026[[#This Row],[Ingresos]]-Movimientos_2026[[#This Row],[Egresos]]</f>
        <v>0</v>
      </c>
      <c r="O3622" s="20">
        <f>+O3621+Movimientos_2026[[#This Row],[Neto]]</f>
        <v>4581558617.7962294</v>
      </c>
    </row>
    <row r="3623" spans="1:15" x14ac:dyDescent="0.25">
      <c r="A3623" s="13"/>
      <c r="B3623" s="12">
        <f>MONTH(Movimientos_2026[[#This Row],[Fecha]])</f>
        <v>1</v>
      </c>
      <c r="C3623" s="12" t="str">
        <f>VLOOKUP((WEEKDAY(Movimientos_2026[[#This Row],[Fecha]],2)),'5. Setup'!$D$6:$E$12,2,FALSE)</f>
        <v>Sab</v>
      </c>
      <c r="E3623" t="str">
        <f>IFERROR(+VLOOKUP(Movimientos_2026[[#This Row],[Codigo]],Plan_cuentas[],2,FALSE)," ")</f>
        <v xml:space="preserve"> </v>
      </c>
      <c r="F3623" t="str">
        <f>IFERROR(+VLOOKUP(Movimientos_2026[[#This Row],[Codigo]],Plan_cuentas[],3,FALSE)," ")</f>
        <v xml:space="preserve"> </v>
      </c>
      <c r="G3623" t="str">
        <f>IFERROR(+VLOOKUP(Movimientos_2026[[#This Row],[Codigo]],Plan_cuentas[],4,FALSE)," ")</f>
        <v xml:space="preserve"> </v>
      </c>
      <c r="H3623" t="str">
        <f>IFERROR(+VLOOKUP(Movimientos_2026[[#This Row],[Codigo]],Plan_cuentas[],5,FALSE)," ")</f>
        <v xml:space="preserve"> </v>
      </c>
      <c r="I3623" s="43"/>
      <c r="K3623" t="str">
        <f>IFERROR(+VLOOKUP(Movimientos_2026[[#This Row],[Codigo]],Plan_cuentas[],6,FALSE)," ")</f>
        <v xml:space="preserve"> </v>
      </c>
      <c r="L3623" s="50"/>
      <c r="M3623" s="50"/>
      <c r="N3623" s="20">
        <f>+Movimientos_2026[[#This Row],[Ingresos]]-Movimientos_2026[[#This Row],[Egresos]]</f>
        <v>0</v>
      </c>
      <c r="O3623" s="20">
        <f>+O3622+Movimientos_2026[[#This Row],[Neto]]</f>
        <v>4581558617.7962294</v>
      </c>
    </row>
    <row r="3624" spans="1:15" x14ac:dyDescent="0.25">
      <c r="A3624" s="13"/>
      <c r="B3624" s="12">
        <f>MONTH(Movimientos_2026[[#This Row],[Fecha]])</f>
        <v>1</v>
      </c>
      <c r="C3624" s="12" t="str">
        <f>VLOOKUP((WEEKDAY(Movimientos_2026[[#This Row],[Fecha]],2)),'5. Setup'!$D$6:$E$12,2,FALSE)</f>
        <v>Sab</v>
      </c>
      <c r="E3624" t="str">
        <f>IFERROR(+VLOOKUP(Movimientos_2026[[#This Row],[Codigo]],Plan_cuentas[],2,FALSE)," ")</f>
        <v xml:space="preserve"> </v>
      </c>
      <c r="F3624" t="str">
        <f>IFERROR(+VLOOKUP(Movimientos_2026[[#This Row],[Codigo]],Plan_cuentas[],3,FALSE)," ")</f>
        <v xml:space="preserve"> </v>
      </c>
      <c r="G3624" t="str">
        <f>IFERROR(+VLOOKUP(Movimientos_2026[[#This Row],[Codigo]],Plan_cuentas[],4,FALSE)," ")</f>
        <v xml:space="preserve"> </v>
      </c>
      <c r="H3624" t="str">
        <f>IFERROR(+VLOOKUP(Movimientos_2026[[#This Row],[Codigo]],Plan_cuentas[],5,FALSE)," ")</f>
        <v xml:space="preserve"> </v>
      </c>
      <c r="I3624" s="43"/>
      <c r="K3624" t="str">
        <f>IFERROR(+VLOOKUP(Movimientos_2026[[#This Row],[Codigo]],Plan_cuentas[],6,FALSE)," ")</f>
        <v xml:space="preserve"> </v>
      </c>
      <c r="L3624" s="50"/>
      <c r="M3624" s="50"/>
      <c r="N3624" s="20">
        <f>+Movimientos_2026[[#This Row],[Ingresos]]-Movimientos_2026[[#This Row],[Egresos]]</f>
        <v>0</v>
      </c>
      <c r="O3624" s="20">
        <f>+O3623+Movimientos_2026[[#This Row],[Neto]]</f>
        <v>4581558617.7962294</v>
      </c>
    </row>
    <row r="3625" spans="1:15" x14ac:dyDescent="0.25">
      <c r="A3625" s="13"/>
      <c r="B3625" s="12">
        <f>MONTH(Movimientos_2026[[#This Row],[Fecha]])</f>
        <v>1</v>
      </c>
      <c r="C3625" s="12" t="str">
        <f>VLOOKUP((WEEKDAY(Movimientos_2026[[#This Row],[Fecha]],2)),'5. Setup'!$D$6:$E$12,2,FALSE)</f>
        <v>Sab</v>
      </c>
      <c r="E3625" t="str">
        <f>IFERROR(+VLOOKUP(Movimientos_2026[[#This Row],[Codigo]],Plan_cuentas[],2,FALSE)," ")</f>
        <v xml:space="preserve"> </v>
      </c>
      <c r="F3625" t="str">
        <f>IFERROR(+VLOOKUP(Movimientos_2026[[#This Row],[Codigo]],Plan_cuentas[],3,FALSE)," ")</f>
        <v xml:space="preserve"> </v>
      </c>
      <c r="G3625" t="str">
        <f>IFERROR(+VLOOKUP(Movimientos_2026[[#This Row],[Codigo]],Plan_cuentas[],4,FALSE)," ")</f>
        <v xml:space="preserve"> </v>
      </c>
      <c r="H3625" t="str">
        <f>IFERROR(+VLOOKUP(Movimientos_2026[[#This Row],[Codigo]],Plan_cuentas[],5,FALSE)," ")</f>
        <v xml:space="preserve"> </v>
      </c>
      <c r="I3625" s="43"/>
      <c r="K3625" t="str">
        <f>IFERROR(+VLOOKUP(Movimientos_2026[[#This Row],[Codigo]],Plan_cuentas[],6,FALSE)," ")</f>
        <v xml:space="preserve"> </v>
      </c>
      <c r="L3625" s="50"/>
      <c r="M3625" s="50"/>
      <c r="N3625" s="20">
        <f>+Movimientos_2026[[#This Row],[Ingresos]]-Movimientos_2026[[#This Row],[Egresos]]</f>
        <v>0</v>
      </c>
      <c r="O3625" s="20">
        <f>+O3624+Movimientos_2026[[#This Row],[Neto]]</f>
        <v>4581558617.7962294</v>
      </c>
    </row>
    <row r="3626" spans="1:15" x14ac:dyDescent="0.25">
      <c r="A3626" s="13"/>
      <c r="B3626" s="12">
        <f>MONTH(Movimientos_2026[[#This Row],[Fecha]])</f>
        <v>1</v>
      </c>
      <c r="C3626" s="12" t="str">
        <f>VLOOKUP((WEEKDAY(Movimientos_2026[[#This Row],[Fecha]],2)),'5. Setup'!$D$6:$E$12,2,FALSE)</f>
        <v>Sab</v>
      </c>
      <c r="E3626" t="str">
        <f>IFERROR(+VLOOKUP(Movimientos_2026[[#This Row],[Codigo]],Plan_cuentas[],2,FALSE)," ")</f>
        <v xml:space="preserve"> </v>
      </c>
      <c r="F3626" t="str">
        <f>IFERROR(+VLOOKUP(Movimientos_2026[[#This Row],[Codigo]],Plan_cuentas[],3,FALSE)," ")</f>
        <v xml:space="preserve"> </v>
      </c>
      <c r="G3626" t="str">
        <f>IFERROR(+VLOOKUP(Movimientos_2026[[#This Row],[Codigo]],Plan_cuentas[],4,FALSE)," ")</f>
        <v xml:space="preserve"> </v>
      </c>
      <c r="H3626" t="str">
        <f>IFERROR(+VLOOKUP(Movimientos_2026[[#This Row],[Codigo]],Plan_cuentas[],5,FALSE)," ")</f>
        <v xml:space="preserve"> </v>
      </c>
      <c r="I3626" s="43"/>
      <c r="K3626" t="str">
        <f>IFERROR(+VLOOKUP(Movimientos_2026[[#This Row],[Codigo]],Plan_cuentas[],6,FALSE)," ")</f>
        <v xml:space="preserve"> </v>
      </c>
      <c r="L3626" s="50"/>
      <c r="M3626" s="50"/>
      <c r="N3626" s="20">
        <f>+Movimientos_2026[[#This Row],[Ingresos]]-Movimientos_2026[[#This Row],[Egresos]]</f>
        <v>0</v>
      </c>
      <c r="O3626" s="20">
        <f>+O3625+Movimientos_2026[[#This Row],[Neto]]</f>
        <v>4581558617.7962294</v>
      </c>
    </row>
    <row r="3627" spans="1:15" x14ac:dyDescent="0.25">
      <c r="A3627" s="13"/>
      <c r="B3627" s="12">
        <f>MONTH(Movimientos_2026[[#This Row],[Fecha]])</f>
        <v>1</v>
      </c>
      <c r="C3627" s="12" t="str">
        <f>VLOOKUP((WEEKDAY(Movimientos_2026[[#This Row],[Fecha]],2)),'5. Setup'!$D$6:$E$12,2,FALSE)</f>
        <v>Sab</v>
      </c>
      <c r="E3627" t="str">
        <f>IFERROR(+VLOOKUP(Movimientos_2026[[#This Row],[Codigo]],Plan_cuentas[],2,FALSE)," ")</f>
        <v xml:space="preserve"> </v>
      </c>
      <c r="F3627" t="str">
        <f>IFERROR(+VLOOKUP(Movimientos_2026[[#This Row],[Codigo]],Plan_cuentas[],3,FALSE)," ")</f>
        <v xml:space="preserve"> </v>
      </c>
      <c r="G3627" t="str">
        <f>IFERROR(+VLOOKUP(Movimientos_2026[[#This Row],[Codigo]],Plan_cuentas[],4,FALSE)," ")</f>
        <v xml:space="preserve"> </v>
      </c>
      <c r="H3627" t="str">
        <f>IFERROR(+VLOOKUP(Movimientos_2026[[#This Row],[Codigo]],Plan_cuentas[],5,FALSE)," ")</f>
        <v xml:space="preserve"> </v>
      </c>
      <c r="I3627" s="43"/>
      <c r="K3627" t="str">
        <f>IFERROR(+VLOOKUP(Movimientos_2026[[#This Row],[Codigo]],Plan_cuentas[],6,FALSE)," ")</f>
        <v xml:space="preserve"> </v>
      </c>
      <c r="L3627" s="50"/>
      <c r="M3627" s="50"/>
      <c r="N3627" s="20">
        <f>+Movimientos_2026[[#This Row],[Ingresos]]-Movimientos_2026[[#This Row],[Egresos]]</f>
        <v>0</v>
      </c>
      <c r="O3627" s="20">
        <f>+O3626+Movimientos_2026[[#This Row],[Neto]]</f>
        <v>4581558617.7962294</v>
      </c>
    </row>
    <row r="3628" spans="1:15" x14ac:dyDescent="0.25">
      <c r="A3628" s="13"/>
      <c r="B3628" s="12">
        <f>MONTH(Movimientos_2026[[#This Row],[Fecha]])</f>
        <v>1</v>
      </c>
      <c r="C3628" s="12" t="str">
        <f>VLOOKUP((WEEKDAY(Movimientos_2026[[#This Row],[Fecha]],2)),'5. Setup'!$D$6:$E$12,2,FALSE)</f>
        <v>Sab</v>
      </c>
      <c r="E3628" t="str">
        <f>IFERROR(+VLOOKUP(Movimientos_2026[[#This Row],[Codigo]],Plan_cuentas[],2,FALSE)," ")</f>
        <v xml:space="preserve"> </v>
      </c>
      <c r="F3628" t="str">
        <f>IFERROR(+VLOOKUP(Movimientos_2026[[#This Row],[Codigo]],Plan_cuentas[],3,FALSE)," ")</f>
        <v xml:space="preserve"> </v>
      </c>
      <c r="G3628" t="str">
        <f>IFERROR(+VLOOKUP(Movimientos_2026[[#This Row],[Codigo]],Plan_cuentas[],4,FALSE)," ")</f>
        <v xml:space="preserve"> </v>
      </c>
      <c r="H3628" t="str">
        <f>IFERROR(+VLOOKUP(Movimientos_2026[[#This Row],[Codigo]],Plan_cuentas[],5,FALSE)," ")</f>
        <v xml:space="preserve"> </v>
      </c>
      <c r="I3628" s="43"/>
      <c r="K3628" t="str">
        <f>IFERROR(+VLOOKUP(Movimientos_2026[[#This Row],[Codigo]],Plan_cuentas[],6,FALSE)," ")</f>
        <v xml:space="preserve"> </v>
      </c>
      <c r="L3628" s="50"/>
      <c r="M3628" s="50"/>
      <c r="N3628" s="20">
        <f>+Movimientos_2026[[#This Row],[Ingresos]]-Movimientos_2026[[#This Row],[Egresos]]</f>
        <v>0</v>
      </c>
      <c r="O3628" s="20">
        <f>+O3627+Movimientos_2026[[#This Row],[Neto]]</f>
        <v>4581558617.7962294</v>
      </c>
    </row>
    <row r="3629" spans="1:15" x14ac:dyDescent="0.25">
      <c r="A3629" s="13"/>
      <c r="B3629" s="12">
        <f>MONTH(Movimientos_2026[[#This Row],[Fecha]])</f>
        <v>1</v>
      </c>
      <c r="C3629" s="12" t="str">
        <f>VLOOKUP((WEEKDAY(Movimientos_2026[[#This Row],[Fecha]],2)),'5. Setup'!$D$6:$E$12,2,FALSE)</f>
        <v>Sab</v>
      </c>
      <c r="E3629" t="str">
        <f>IFERROR(+VLOOKUP(Movimientos_2026[[#This Row],[Codigo]],Plan_cuentas[],2,FALSE)," ")</f>
        <v xml:space="preserve"> </v>
      </c>
      <c r="F3629" t="str">
        <f>IFERROR(+VLOOKUP(Movimientos_2026[[#This Row],[Codigo]],Plan_cuentas[],3,FALSE)," ")</f>
        <v xml:space="preserve"> </v>
      </c>
      <c r="G3629" t="str">
        <f>IFERROR(+VLOOKUP(Movimientos_2026[[#This Row],[Codigo]],Plan_cuentas[],4,FALSE)," ")</f>
        <v xml:space="preserve"> </v>
      </c>
      <c r="H3629" t="str">
        <f>IFERROR(+VLOOKUP(Movimientos_2026[[#This Row],[Codigo]],Plan_cuentas[],5,FALSE)," ")</f>
        <v xml:space="preserve"> </v>
      </c>
      <c r="I3629" s="43"/>
      <c r="K3629" t="str">
        <f>IFERROR(+VLOOKUP(Movimientos_2026[[#This Row],[Codigo]],Plan_cuentas[],6,FALSE)," ")</f>
        <v xml:space="preserve"> </v>
      </c>
      <c r="L3629" s="50"/>
      <c r="M3629" s="50"/>
      <c r="N3629" s="20">
        <f>+Movimientos_2026[[#This Row],[Ingresos]]-Movimientos_2026[[#This Row],[Egresos]]</f>
        <v>0</v>
      </c>
      <c r="O3629" s="20">
        <f>+O3628+Movimientos_2026[[#This Row],[Neto]]</f>
        <v>4581558617.7962294</v>
      </c>
    </row>
    <row r="3630" spans="1:15" x14ac:dyDescent="0.25">
      <c r="A3630" s="13"/>
      <c r="B3630" s="12">
        <f>MONTH(Movimientos_2026[[#This Row],[Fecha]])</f>
        <v>1</v>
      </c>
      <c r="C3630" s="12" t="str">
        <f>VLOOKUP((WEEKDAY(Movimientos_2026[[#This Row],[Fecha]],2)),'5. Setup'!$D$6:$E$12,2,FALSE)</f>
        <v>Sab</v>
      </c>
      <c r="E3630" t="str">
        <f>IFERROR(+VLOOKUP(Movimientos_2026[[#This Row],[Codigo]],Plan_cuentas[],2,FALSE)," ")</f>
        <v xml:space="preserve"> </v>
      </c>
      <c r="F3630" t="str">
        <f>IFERROR(+VLOOKUP(Movimientos_2026[[#This Row],[Codigo]],Plan_cuentas[],3,FALSE)," ")</f>
        <v xml:space="preserve"> </v>
      </c>
      <c r="G3630" t="str">
        <f>IFERROR(+VLOOKUP(Movimientos_2026[[#This Row],[Codigo]],Plan_cuentas[],4,FALSE)," ")</f>
        <v xml:space="preserve"> </v>
      </c>
      <c r="H3630" t="str">
        <f>IFERROR(+VLOOKUP(Movimientos_2026[[#This Row],[Codigo]],Plan_cuentas[],5,FALSE)," ")</f>
        <v xml:space="preserve"> </v>
      </c>
      <c r="I3630" s="43"/>
      <c r="K3630" t="str">
        <f>IFERROR(+VLOOKUP(Movimientos_2026[[#This Row],[Codigo]],Plan_cuentas[],6,FALSE)," ")</f>
        <v xml:space="preserve"> </v>
      </c>
      <c r="L3630" s="50"/>
      <c r="M3630" s="50"/>
      <c r="N3630" s="20">
        <f>+Movimientos_2026[[#This Row],[Ingresos]]-Movimientos_2026[[#This Row],[Egresos]]</f>
        <v>0</v>
      </c>
      <c r="O3630" s="20">
        <f>+O3629+Movimientos_2026[[#This Row],[Neto]]</f>
        <v>4581558617.7962294</v>
      </c>
    </row>
    <row r="3631" spans="1:15" x14ac:dyDescent="0.25">
      <c r="A3631" s="13"/>
      <c r="B3631" s="12">
        <f>MONTH(Movimientos_2026[[#This Row],[Fecha]])</f>
        <v>1</v>
      </c>
      <c r="C3631" s="12" t="str">
        <f>VLOOKUP((WEEKDAY(Movimientos_2026[[#This Row],[Fecha]],2)),'5. Setup'!$D$6:$E$12,2,FALSE)</f>
        <v>Sab</v>
      </c>
      <c r="E3631" t="str">
        <f>IFERROR(+VLOOKUP(Movimientos_2026[[#This Row],[Codigo]],Plan_cuentas[],2,FALSE)," ")</f>
        <v xml:space="preserve"> </v>
      </c>
      <c r="F3631" t="str">
        <f>IFERROR(+VLOOKUP(Movimientos_2026[[#This Row],[Codigo]],Plan_cuentas[],3,FALSE)," ")</f>
        <v xml:space="preserve"> </v>
      </c>
      <c r="G3631" t="str">
        <f>IFERROR(+VLOOKUP(Movimientos_2026[[#This Row],[Codigo]],Plan_cuentas[],4,FALSE)," ")</f>
        <v xml:space="preserve"> </v>
      </c>
      <c r="H3631" t="str">
        <f>IFERROR(+VLOOKUP(Movimientos_2026[[#This Row],[Codigo]],Plan_cuentas[],5,FALSE)," ")</f>
        <v xml:space="preserve"> </v>
      </c>
      <c r="I3631" s="43"/>
      <c r="K3631" t="str">
        <f>IFERROR(+VLOOKUP(Movimientos_2026[[#This Row],[Codigo]],Plan_cuentas[],6,FALSE)," ")</f>
        <v xml:space="preserve"> </v>
      </c>
      <c r="L3631" s="50"/>
      <c r="M3631" s="50"/>
      <c r="N3631" s="20">
        <f>+Movimientos_2026[[#This Row],[Ingresos]]-Movimientos_2026[[#This Row],[Egresos]]</f>
        <v>0</v>
      </c>
      <c r="O3631" s="20">
        <f>+O3630+Movimientos_2026[[#This Row],[Neto]]</f>
        <v>4581558617.7962294</v>
      </c>
    </row>
    <row r="3632" spans="1:15" x14ac:dyDescent="0.25">
      <c r="A3632" s="13"/>
      <c r="B3632" s="12">
        <f>MONTH(Movimientos_2026[[#This Row],[Fecha]])</f>
        <v>1</v>
      </c>
      <c r="C3632" s="12" t="str">
        <f>VLOOKUP((WEEKDAY(Movimientos_2026[[#This Row],[Fecha]],2)),'5. Setup'!$D$6:$E$12,2,FALSE)</f>
        <v>Sab</v>
      </c>
      <c r="E3632" t="str">
        <f>IFERROR(+VLOOKUP(Movimientos_2026[[#This Row],[Codigo]],Plan_cuentas[],2,FALSE)," ")</f>
        <v xml:space="preserve"> </v>
      </c>
      <c r="F3632" t="str">
        <f>IFERROR(+VLOOKUP(Movimientos_2026[[#This Row],[Codigo]],Plan_cuentas[],3,FALSE)," ")</f>
        <v xml:space="preserve"> </v>
      </c>
      <c r="G3632" t="str">
        <f>IFERROR(+VLOOKUP(Movimientos_2026[[#This Row],[Codigo]],Plan_cuentas[],4,FALSE)," ")</f>
        <v xml:space="preserve"> </v>
      </c>
      <c r="H3632" t="str">
        <f>IFERROR(+VLOOKUP(Movimientos_2026[[#This Row],[Codigo]],Plan_cuentas[],5,FALSE)," ")</f>
        <v xml:space="preserve"> </v>
      </c>
      <c r="I3632" s="43"/>
      <c r="K3632" t="str">
        <f>IFERROR(+VLOOKUP(Movimientos_2026[[#This Row],[Codigo]],Plan_cuentas[],6,FALSE)," ")</f>
        <v xml:space="preserve"> </v>
      </c>
      <c r="L3632" s="50"/>
      <c r="M3632" s="50"/>
      <c r="N3632" s="20">
        <f>+Movimientos_2026[[#This Row],[Ingresos]]-Movimientos_2026[[#This Row],[Egresos]]</f>
        <v>0</v>
      </c>
      <c r="O3632" s="20">
        <f>+O3631+Movimientos_2026[[#This Row],[Neto]]</f>
        <v>4581558617.7962294</v>
      </c>
    </row>
    <row r="3633" spans="1:15" x14ac:dyDescent="0.25">
      <c r="A3633" s="13"/>
      <c r="B3633" s="12">
        <f>MONTH(Movimientos_2026[[#This Row],[Fecha]])</f>
        <v>1</v>
      </c>
      <c r="C3633" s="12" t="str">
        <f>VLOOKUP((WEEKDAY(Movimientos_2026[[#This Row],[Fecha]],2)),'5. Setup'!$D$6:$E$12,2,FALSE)</f>
        <v>Sab</v>
      </c>
      <c r="E3633" t="str">
        <f>IFERROR(+VLOOKUP(Movimientos_2026[[#This Row],[Codigo]],Plan_cuentas[],2,FALSE)," ")</f>
        <v xml:space="preserve"> </v>
      </c>
      <c r="F3633" t="str">
        <f>IFERROR(+VLOOKUP(Movimientos_2026[[#This Row],[Codigo]],Plan_cuentas[],3,FALSE)," ")</f>
        <v xml:space="preserve"> </v>
      </c>
      <c r="G3633" t="str">
        <f>IFERROR(+VLOOKUP(Movimientos_2026[[#This Row],[Codigo]],Plan_cuentas[],4,FALSE)," ")</f>
        <v xml:space="preserve"> </v>
      </c>
      <c r="H3633" t="str">
        <f>IFERROR(+VLOOKUP(Movimientos_2026[[#This Row],[Codigo]],Plan_cuentas[],5,FALSE)," ")</f>
        <v xml:space="preserve"> </v>
      </c>
      <c r="I3633" s="43"/>
      <c r="K3633" t="str">
        <f>IFERROR(+VLOOKUP(Movimientos_2026[[#This Row],[Codigo]],Plan_cuentas[],6,FALSE)," ")</f>
        <v xml:space="preserve"> </v>
      </c>
      <c r="L3633" s="50"/>
      <c r="M3633" s="50"/>
      <c r="N3633" s="20">
        <f>+Movimientos_2026[[#This Row],[Ingresos]]-Movimientos_2026[[#This Row],[Egresos]]</f>
        <v>0</v>
      </c>
      <c r="O3633" s="20">
        <f>+O3632+Movimientos_2026[[#This Row],[Neto]]</f>
        <v>4581558617.7962294</v>
      </c>
    </row>
    <row r="3634" spans="1:15" x14ac:dyDescent="0.25">
      <c r="A3634" s="13"/>
      <c r="B3634" s="12">
        <f>MONTH(Movimientos_2026[[#This Row],[Fecha]])</f>
        <v>1</v>
      </c>
      <c r="C3634" s="12" t="str">
        <f>VLOOKUP((WEEKDAY(Movimientos_2026[[#This Row],[Fecha]],2)),'5. Setup'!$D$6:$E$12,2,FALSE)</f>
        <v>Sab</v>
      </c>
      <c r="E3634" t="str">
        <f>IFERROR(+VLOOKUP(Movimientos_2026[[#This Row],[Codigo]],Plan_cuentas[],2,FALSE)," ")</f>
        <v xml:space="preserve"> </v>
      </c>
      <c r="F3634" t="str">
        <f>IFERROR(+VLOOKUP(Movimientos_2026[[#This Row],[Codigo]],Plan_cuentas[],3,FALSE)," ")</f>
        <v xml:space="preserve"> </v>
      </c>
      <c r="G3634" t="str">
        <f>IFERROR(+VLOOKUP(Movimientos_2026[[#This Row],[Codigo]],Plan_cuentas[],4,FALSE)," ")</f>
        <v xml:space="preserve"> </v>
      </c>
      <c r="H3634" t="str">
        <f>IFERROR(+VLOOKUP(Movimientos_2026[[#This Row],[Codigo]],Plan_cuentas[],5,FALSE)," ")</f>
        <v xml:space="preserve"> </v>
      </c>
      <c r="I3634" s="43"/>
      <c r="K3634" t="str">
        <f>IFERROR(+VLOOKUP(Movimientos_2026[[#This Row],[Codigo]],Plan_cuentas[],6,FALSE)," ")</f>
        <v xml:space="preserve"> </v>
      </c>
      <c r="L3634" s="50"/>
      <c r="M3634" s="50"/>
      <c r="N3634" s="20">
        <f>+Movimientos_2026[[#This Row],[Ingresos]]-Movimientos_2026[[#This Row],[Egresos]]</f>
        <v>0</v>
      </c>
      <c r="O3634" s="20">
        <f>+O3633+Movimientos_2026[[#This Row],[Neto]]</f>
        <v>4581558617.7962294</v>
      </c>
    </row>
    <row r="3635" spans="1:15" x14ac:dyDescent="0.25">
      <c r="A3635" s="13"/>
      <c r="B3635" s="12">
        <f>MONTH(Movimientos_2026[[#This Row],[Fecha]])</f>
        <v>1</v>
      </c>
      <c r="C3635" s="12" t="str">
        <f>VLOOKUP((WEEKDAY(Movimientos_2026[[#This Row],[Fecha]],2)),'5. Setup'!$D$6:$E$12,2,FALSE)</f>
        <v>Sab</v>
      </c>
      <c r="E3635" t="str">
        <f>IFERROR(+VLOOKUP(Movimientos_2026[[#This Row],[Codigo]],Plan_cuentas[],2,FALSE)," ")</f>
        <v xml:space="preserve"> </v>
      </c>
      <c r="F3635" t="str">
        <f>IFERROR(+VLOOKUP(Movimientos_2026[[#This Row],[Codigo]],Plan_cuentas[],3,FALSE)," ")</f>
        <v xml:space="preserve"> </v>
      </c>
      <c r="G3635" t="str">
        <f>IFERROR(+VLOOKUP(Movimientos_2026[[#This Row],[Codigo]],Plan_cuentas[],4,FALSE)," ")</f>
        <v xml:space="preserve"> </v>
      </c>
      <c r="H3635" t="str">
        <f>IFERROR(+VLOOKUP(Movimientos_2026[[#This Row],[Codigo]],Plan_cuentas[],5,FALSE)," ")</f>
        <v xml:space="preserve"> </v>
      </c>
      <c r="I3635" s="43"/>
      <c r="K3635" t="str">
        <f>IFERROR(+VLOOKUP(Movimientos_2026[[#This Row],[Codigo]],Plan_cuentas[],6,FALSE)," ")</f>
        <v xml:space="preserve"> </v>
      </c>
      <c r="L3635" s="50"/>
      <c r="M3635" s="50"/>
      <c r="N3635" s="20">
        <f>+Movimientos_2026[[#This Row],[Ingresos]]-Movimientos_2026[[#This Row],[Egresos]]</f>
        <v>0</v>
      </c>
      <c r="O3635" s="20">
        <f>+O3634+Movimientos_2026[[#This Row],[Neto]]</f>
        <v>4581558617.7962294</v>
      </c>
    </row>
    <row r="3636" spans="1:15" x14ac:dyDescent="0.25">
      <c r="A3636" s="13"/>
      <c r="B3636" s="12">
        <f>MONTH(Movimientos_2026[[#This Row],[Fecha]])</f>
        <v>1</v>
      </c>
      <c r="C3636" s="12" t="str">
        <f>VLOOKUP((WEEKDAY(Movimientos_2026[[#This Row],[Fecha]],2)),'5. Setup'!$D$6:$E$12,2,FALSE)</f>
        <v>Sab</v>
      </c>
      <c r="E3636" t="str">
        <f>IFERROR(+VLOOKUP(Movimientos_2026[[#This Row],[Codigo]],Plan_cuentas[],2,FALSE)," ")</f>
        <v xml:space="preserve"> </v>
      </c>
      <c r="F3636" t="str">
        <f>IFERROR(+VLOOKUP(Movimientos_2026[[#This Row],[Codigo]],Plan_cuentas[],3,FALSE)," ")</f>
        <v xml:space="preserve"> </v>
      </c>
      <c r="G3636" t="str">
        <f>IFERROR(+VLOOKUP(Movimientos_2026[[#This Row],[Codigo]],Plan_cuentas[],4,FALSE)," ")</f>
        <v xml:space="preserve"> </v>
      </c>
      <c r="H3636" t="str">
        <f>IFERROR(+VLOOKUP(Movimientos_2026[[#This Row],[Codigo]],Plan_cuentas[],5,FALSE)," ")</f>
        <v xml:space="preserve"> </v>
      </c>
      <c r="I3636" s="43"/>
      <c r="K3636" t="str">
        <f>IFERROR(+VLOOKUP(Movimientos_2026[[#This Row],[Codigo]],Plan_cuentas[],6,FALSE)," ")</f>
        <v xml:space="preserve"> </v>
      </c>
      <c r="L3636" s="50"/>
      <c r="M3636" s="50"/>
      <c r="N3636" s="20">
        <f>+Movimientos_2026[[#This Row],[Ingresos]]-Movimientos_2026[[#This Row],[Egresos]]</f>
        <v>0</v>
      </c>
      <c r="O3636" s="20">
        <f>+O3635+Movimientos_2026[[#This Row],[Neto]]</f>
        <v>4581558617.7962294</v>
      </c>
    </row>
    <row r="3637" spans="1:15" x14ac:dyDescent="0.25">
      <c r="A3637" s="13"/>
      <c r="B3637" s="12">
        <f>MONTH(Movimientos_2026[[#This Row],[Fecha]])</f>
        <v>1</v>
      </c>
      <c r="C3637" s="12" t="str">
        <f>VLOOKUP((WEEKDAY(Movimientos_2026[[#This Row],[Fecha]],2)),'5. Setup'!$D$6:$E$12,2,FALSE)</f>
        <v>Sab</v>
      </c>
      <c r="E3637" t="str">
        <f>IFERROR(+VLOOKUP(Movimientos_2026[[#This Row],[Codigo]],Plan_cuentas[],2,FALSE)," ")</f>
        <v xml:space="preserve"> </v>
      </c>
      <c r="F3637" t="str">
        <f>IFERROR(+VLOOKUP(Movimientos_2026[[#This Row],[Codigo]],Plan_cuentas[],3,FALSE)," ")</f>
        <v xml:space="preserve"> </v>
      </c>
      <c r="G3637" t="str">
        <f>IFERROR(+VLOOKUP(Movimientos_2026[[#This Row],[Codigo]],Plan_cuentas[],4,FALSE)," ")</f>
        <v xml:space="preserve"> </v>
      </c>
      <c r="H3637" t="str">
        <f>IFERROR(+VLOOKUP(Movimientos_2026[[#This Row],[Codigo]],Plan_cuentas[],5,FALSE)," ")</f>
        <v xml:space="preserve"> </v>
      </c>
      <c r="I3637" s="43"/>
      <c r="K3637" t="str">
        <f>IFERROR(+VLOOKUP(Movimientos_2026[[#This Row],[Codigo]],Plan_cuentas[],6,FALSE)," ")</f>
        <v xml:space="preserve"> </v>
      </c>
      <c r="L3637" s="50"/>
      <c r="M3637" s="50"/>
      <c r="N3637" s="20">
        <f>+Movimientos_2026[[#This Row],[Ingresos]]-Movimientos_2026[[#This Row],[Egresos]]</f>
        <v>0</v>
      </c>
      <c r="O3637" s="20">
        <f>+O3636+Movimientos_2026[[#This Row],[Neto]]</f>
        <v>4581558617.7962294</v>
      </c>
    </row>
    <row r="3638" spans="1:15" x14ac:dyDescent="0.25">
      <c r="A3638" s="13"/>
      <c r="B3638" s="12">
        <f>MONTH(Movimientos_2026[[#This Row],[Fecha]])</f>
        <v>1</v>
      </c>
      <c r="C3638" s="12" t="str">
        <f>VLOOKUP((WEEKDAY(Movimientos_2026[[#This Row],[Fecha]],2)),'5. Setup'!$D$6:$E$12,2,FALSE)</f>
        <v>Sab</v>
      </c>
      <c r="E3638" t="str">
        <f>IFERROR(+VLOOKUP(Movimientos_2026[[#This Row],[Codigo]],Plan_cuentas[],2,FALSE)," ")</f>
        <v xml:space="preserve"> </v>
      </c>
      <c r="F3638" t="str">
        <f>IFERROR(+VLOOKUP(Movimientos_2026[[#This Row],[Codigo]],Plan_cuentas[],3,FALSE)," ")</f>
        <v xml:space="preserve"> </v>
      </c>
      <c r="G3638" t="str">
        <f>IFERROR(+VLOOKUP(Movimientos_2026[[#This Row],[Codigo]],Plan_cuentas[],4,FALSE)," ")</f>
        <v xml:space="preserve"> </v>
      </c>
      <c r="H3638" t="str">
        <f>IFERROR(+VLOOKUP(Movimientos_2026[[#This Row],[Codigo]],Plan_cuentas[],5,FALSE)," ")</f>
        <v xml:space="preserve"> </v>
      </c>
      <c r="I3638" s="43"/>
      <c r="K3638" t="str">
        <f>IFERROR(+VLOOKUP(Movimientos_2026[[#This Row],[Codigo]],Plan_cuentas[],6,FALSE)," ")</f>
        <v xml:space="preserve"> </v>
      </c>
      <c r="L3638" s="50"/>
      <c r="M3638" s="50"/>
      <c r="N3638" s="20">
        <f>+Movimientos_2026[[#This Row],[Ingresos]]-Movimientos_2026[[#This Row],[Egresos]]</f>
        <v>0</v>
      </c>
      <c r="O3638" s="20">
        <f>+O3637+Movimientos_2026[[#This Row],[Neto]]</f>
        <v>4581558617.7962294</v>
      </c>
    </row>
    <row r="3639" spans="1:15" x14ac:dyDescent="0.25">
      <c r="A3639" s="13"/>
      <c r="B3639" s="12">
        <f>MONTH(Movimientos_2026[[#This Row],[Fecha]])</f>
        <v>1</v>
      </c>
      <c r="C3639" s="12" t="str">
        <f>VLOOKUP((WEEKDAY(Movimientos_2026[[#This Row],[Fecha]],2)),'5. Setup'!$D$6:$E$12,2,FALSE)</f>
        <v>Sab</v>
      </c>
      <c r="E3639" t="str">
        <f>IFERROR(+VLOOKUP(Movimientos_2026[[#This Row],[Codigo]],Plan_cuentas[],2,FALSE)," ")</f>
        <v xml:space="preserve"> </v>
      </c>
      <c r="F3639" t="str">
        <f>IFERROR(+VLOOKUP(Movimientos_2026[[#This Row],[Codigo]],Plan_cuentas[],3,FALSE)," ")</f>
        <v xml:space="preserve"> </v>
      </c>
      <c r="G3639" t="str">
        <f>IFERROR(+VLOOKUP(Movimientos_2026[[#This Row],[Codigo]],Plan_cuentas[],4,FALSE)," ")</f>
        <v xml:space="preserve"> </v>
      </c>
      <c r="H3639" t="str">
        <f>IFERROR(+VLOOKUP(Movimientos_2026[[#This Row],[Codigo]],Plan_cuentas[],5,FALSE)," ")</f>
        <v xml:space="preserve"> </v>
      </c>
      <c r="I3639" s="43"/>
      <c r="K3639" t="str">
        <f>IFERROR(+VLOOKUP(Movimientos_2026[[#This Row],[Codigo]],Plan_cuentas[],6,FALSE)," ")</f>
        <v xml:space="preserve"> </v>
      </c>
      <c r="L3639" s="50"/>
      <c r="M3639" s="50"/>
      <c r="N3639" s="20">
        <f>+Movimientos_2026[[#This Row],[Ingresos]]-Movimientos_2026[[#This Row],[Egresos]]</f>
        <v>0</v>
      </c>
      <c r="O3639" s="20">
        <f>+O3638+Movimientos_2026[[#This Row],[Neto]]</f>
        <v>4581558617.7962294</v>
      </c>
    </row>
    <row r="3640" spans="1:15" x14ac:dyDescent="0.25">
      <c r="A3640" s="13"/>
      <c r="B3640" s="12">
        <f>MONTH(Movimientos_2026[[#This Row],[Fecha]])</f>
        <v>1</v>
      </c>
      <c r="C3640" s="12" t="str">
        <f>VLOOKUP((WEEKDAY(Movimientos_2026[[#This Row],[Fecha]],2)),'5. Setup'!$D$6:$E$12,2,FALSE)</f>
        <v>Sab</v>
      </c>
      <c r="E3640" t="str">
        <f>IFERROR(+VLOOKUP(Movimientos_2026[[#This Row],[Codigo]],Plan_cuentas[],2,FALSE)," ")</f>
        <v xml:space="preserve"> </v>
      </c>
      <c r="F3640" t="str">
        <f>IFERROR(+VLOOKUP(Movimientos_2026[[#This Row],[Codigo]],Plan_cuentas[],3,FALSE)," ")</f>
        <v xml:space="preserve"> </v>
      </c>
      <c r="G3640" t="str">
        <f>IFERROR(+VLOOKUP(Movimientos_2026[[#This Row],[Codigo]],Plan_cuentas[],4,FALSE)," ")</f>
        <v xml:space="preserve"> </v>
      </c>
      <c r="H3640" t="str">
        <f>IFERROR(+VLOOKUP(Movimientos_2026[[#This Row],[Codigo]],Plan_cuentas[],5,FALSE)," ")</f>
        <v xml:space="preserve"> </v>
      </c>
      <c r="I3640" s="43"/>
      <c r="K3640" t="str">
        <f>IFERROR(+VLOOKUP(Movimientos_2026[[#This Row],[Codigo]],Plan_cuentas[],6,FALSE)," ")</f>
        <v xml:space="preserve"> </v>
      </c>
      <c r="L3640" s="50"/>
      <c r="M3640" s="50"/>
      <c r="N3640" s="20">
        <f>+Movimientos_2026[[#This Row],[Ingresos]]-Movimientos_2026[[#This Row],[Egresos]]</f>
        <v>0</v>
      </c>
      <c r="O3640" s="20">
        <f>+O3639+Movimientos_2026[[#This Row],[Neto]]</f>
        <v>4581558617.7962294</v>
      </c>
    </row>
    <row r="3641" spans="1:15" x14ac:dyDescent="0.25">
      <c r="A3641" s="13"/>
      <c r="B3641" s="12">
        <f>MONTH(Movimientos_2026[[#This Row],[Fecha]])</f>
        <v>1</v>
      </c>
      <c r="C3641" s="12" t="str">
        <f>VLOOKUP((WEEKDAY(Movimientos_2026[[#This Row],[Fecha]],2)),'5. Setup'!$D$6:$E$12,2,FALSE)</f>
        <v>Sab</v>
      </c>
      <c r="E3641" t="str">
        <f>IFERROR(+VLOOKUP(Movimientos_2026[[#This Row],[Codigo]],Plan_cuentas[],2,FALSE)," ")</f>
        <v xml:space="preserve"> </v>
      </c>
      <c r="F3641" t="str">
        <f>IFERROR(+VLOOKUP(Movimientos_2026[[#This Row],[Codigo]],Plan_cuentas[],3,FALSE)," ")</f>
        <v xml:space="preserve"> </v>
      </c>
      <c r="G3641" t="str">
        <f>IFERROR(+VLOOKUP(Movimientos_2026[[#This Row],[Codigo]],Plan_cuentas[],4,FALSE)," ")</f>
        <v xml:space="preserve"> </v>
      </c>
      <c r="H3641" t="str">
        <f>IFERROR(+VLOOKUP(Movimientos_2026[[#This Row],[Codigo]],Plan_cuentas[],5,FALSE)," ")</f>
        <v xml:space="preserve"> </v>
      </c>
      <c r="I3641" s="43"/>
      <c r="K3641" t="str">
        <f>IFERROR(+VLOOKUP(Movimientos_2026[[#This Row],[Codigo]],Plan_cuentas[],6,FALSE)," ")</f>
        <v xml:space="preserve"> </v>
      </c>
      <c r="L3641" s="50"/>
      <c r="M3641" s="50"/>
      <c r="N3641" s="20">
        <f>+Movimientos_2026[[#This Row],[Ingresos]]-Movimientos_2026[[#This Row],[Egresos]]</f>
        <v>0</v>
      </c>
      <c r="O3641" s="20">
        <f>+O3640+Movimientos_2026[[#This Row],[Neto]]</f>
        <v>4581558617.7962294</v>
      </c>
    </row>
    <row r="3642" spans="1:15" x14ac:dyDescent="0.25">
      <c r="A3642" s="13"/>
      <c r="B3642" s="12">
        <f>MONTH(Movimientos_2026[[#This Row],[Fecha]])</f>
        <v>1</v>
      </c>
      <c r="C3642" s="12" t="str">
        <f>VLOOKUP((WEEKDAY(Movimientos_2026[[#This Row],[Fecha]],2)),'5. Setup'!$D$6:$E$12,2,FALSE)</f>
        <v>Sab</v>
      </c>
      <c r="E3642" t="str">
        <f>IFERROR(+VLOOKUP(Movimientos_2026[[#This Row],[Codigo]],Plan_cuentas[],2,FALSE)," ")</f>
        <v xml:space="preserve"> </v>
      </c>
      <c r="F3642" t="str">
        <f>IFERROR(+VLOOKUP(Movimientos_2026[[#This Row],[Codigo]],Plan_cuentas[],3,FALSE)," ")</f>
        <v xml:space="preserve"> </v>
      </c>
      <c r="G3642" t="str">
        <f>IFERROR(+VLOOKUP(Movimientos_2026[[#This Row],[Codigo]],Plan_cuentas[],4,FALSE)," ")</f>
        <v xml:space="preserve"> </v>
      </c>
      <c r="H3642" t="str">
        <f>IFERROR(+VLOOKUP(Movimientos_2026[[#This Row],[Codigo]],Plan_cuentas[],5,FALSE)," ")</f>
        <v xml:space="preserve"> </v>
      </c>
      <c r="I3642" s="43"/>
      <c r="K3642" t="str">
        <f>IFERROR(+VLOOKUP(Movimientos_2026[[#This Row],[Codigo]],Plan_cuentas[],6,FALSE)," ")</f>
        <v xml:space="preserve"> </v>
      </c>
      <c r="L3642" s="50"/>
      <c r="M3642" s="50"/>
      <c r="N3642" s="20">
        <f>+Movimientos_2026[[#This Row],[Ingresos]]-Movimientos_2026[[#This Row],[Egresos]]</f>
        <v>0</v>
      </c>
      <c r="O3642" s="20">
        <f>+O3641+Movimientos_2026[[#This Row],[Neto]]</f>
        <v>4581558617.7962294</v>
      </c>
    </row>
    <row r="3643" spans="1:15" x14ac:dyDescent="0.25">
      <c r="A3643" s="13"/>
      <c r="B3643" s="12">
        <f>MONTH(Movimientos_2026[[#This Row],[Fecha]])</f>
        <v>1</v>
      </c>
      <c r="C3643" s="12" t="str">
        <f>VLOOKUP((WEEKDAY(Movimientos_2026[[#This Row],[Fecha]],2)),'5. Setup'!$D$6:$E$12,2,FALSE)</f>
        <v>Sab</v>
      </c>
      <c r="E3643" t="str">
        <f>IFERROR(+VLOOKUP(Movimientos_2026[[#This Row],[Codigo]],Plan_cuentas[],2,FALSE)," ")</f>
        <v xml:space="preserve"> </v>
      </c>
      <c r="F3643" t="str">
        <f>IFERROR(+VLOOKUP(Movimientos_2026[[#This Row],[Codigo]],Plan_cuentas[],3,FALSE)," ")</f>
        <v xml:space="preserve"> </v>
      </c>
      <c r="G3643" t="str">
        <f>IFERROR(+VLOOKUP(Movimientos_2026[[#This Row],[Codigo]],Plan_cuentas[],4,FALSE)," ")</f>
        <v xml:space="preserve"> </v>
      </c>
      <c r="H3643" t="str">
        <f>IFERROR(+VLOOKUP(Movimientos_2026[[#This Row],[Codigo]],Plan_cuentas[],5,FALSE)," ")</f>
        <v xml:space="preserve"> </v>
      </c>
      <c r="I3643" s="43"/>
      <c r="K3643" t="str">
        <f>IFERROR(+VLOOKUP(Movimientos_2026[[#This Row],[Codigo]],Plan_cuentas[],6,FALSE)," ")</f>
        <v xml:space="preserve"> </v>
      </c>
      <c r="L3643" s="50"/>
      <c r="M3643" s="50"/>
      <c r="N3643" s="20">
        <f>+Movimientos_2026[[#This Row],[Ingresos]]-Movimientos_2026[[#This Row],[Egresos]]</f>
        <v>0</v>
      </c>
      <c r="O3643" s="20">
        <f>+O3642+Movimientos_2026[[#This Row],[Neto]]</f>
        <v>4581558617.7962294</v>
      </c>
    </row>
    <row r="3644" spans="1:15" x14ac:dyDescent="0.25">
      <c r="A3644" s="13"/>
      <c r="B3644" s="12">
        <f>MONTH(Movimientos_2026[[#This Row],[Fecha]])</f>
        <v>1</v>
      </c>
      <c r="C3644" s="12" t="str">
        <f>VLOOKUP((WEEKDAY(Movimientos_2026[[#This Row],[Fecha]],2)),'5. Setup'!$D$6:$E$12,2,FALSE)</f>
        <v>Sab</v>
      </c>
      <c r="E3644" t="str">
        <f>IFERROR(+VLOOKUP(Movimientos_2026[[#This Row],[Codigo]],Plan_cuentas[],2,FALSE)," ")</f>
        <v xml:space="preserve"> </v>
      </c>
      <c r="F3644" t="str">
        <f>IFERROR(+VLOOKUP(Movimientos_2026[[#This Row],[Codigo]],Plan_cuentas[],3,FALSE)," ")</f>
        <v xml:space="preserve"> </v>
      </c>
      <c r="G3644" t="str">
        <f>IFERROR(+VLOOKUP(Movimientos_2026[[#This Row],[Codigo]],Plan_cuentas[],4,FALSE)," ")</f>
        <v xml:space="preserve"> </v>
      </c>
      <c r="H3644" t="str">
        <f>IFERROR(+VLOOKUP(Movimientos_2026[[#This Row],[Codigo]],Plan_cuentas[],5,FALSE)," ")</f>
        <v xml:space="preserve"> </v>
      </c>
      <c r="I3644" s="43"/>
      <c r="K3644" t="str">
        <f>IFERROR(+VLOOKUP(Movimientos_2026[[#This Row],[Codigo]],Plan_cuentas[],6,FALSE)," ")</f>
        <v xml:space="preserve"> </v>
      </c>
      <c r="L3644" s="50"/>
      <c r="M3644" s="50"/>
      <c r="N3644" s="20">
        <f>+Movimientos_2026[[#This Row],[Ingresos]]-Movimientos_2026[[#This Row],[Egresos]]</f>
        <v>0</v>
      </c>
      <c r="O3644" s="20">
        <f>+O3643+Movimientos_2026[[#This Row],[Neto]]</f>
        <v>4581558617.7962294</v>
      </c>
    </row>
    <row r="3645" spans="1:15" x14ac:dyDescent="0.25">
      <c r="A3645" s="13"/>
      <c r="B3645" s="12">
        <f>MONTH(Movimientos_2026[[#This Row],[Fecha]])</f>
        <v>1</v>
      </c>
      <c r="C3645" s="12" t="str">
        <f>VLOOKUP((WEEKDAY(Movimientos_2026[[#This Row],[Fecha]],2)),'5. Setup'!$D$6:$E$12,2,FALSE)</f>
        <v>Sab</v>
      </c>
      <c r="E3645" t="str">
        <f>IFERROR(+VLOOKUP(Movimientos_2026[[#This Row],[Codigo]],Plan_cuentas[],2,FALSE)," ")</f>
        <v xml:space="preserve"> </v>
      </c>
      <c r="F3645" t="str">
        <f>IFERROR(+VLOOKUP(Movimientos_2026[[#This Row],[Codigo]],Plan_cuentas[],3,FALSE)," ")</f>
        <v xml:space="preserve"> </v>
      </c>
      <c r="G3645" t="str">
        <f>IFERROR(+VLOOKUP(Movimientos_2026[[#This Row],[Codigo]],Plan_cuentas[],4,FALSE)," ")</f>
        <v xml:space="preserve"> </v>
      </c>
      <c r="H3645" t="str">
        <f>IFERROR(+VLOOKUP(Movimientos_2026[[#This Row],[Codigo]],Plan_cuentas[],5,FALSE)," ")</f>
        <v xml:space="preserve"> </v>
      </c>
      <c r="I3645" s="43"/>
      <c r="K3645" t="str">
        <f>IFERROR(+VLOOKUP(Movimientos_2026[[#This Row],[Codigo]],Plan_cuentas[],6,FALSE)," ")</f>
        <v xml:space="preserve"> </v>
      </c>
      <c r="L3645" s="50"/>
      <c r="M3645" s="50"/>
      <c r="N3645" s="20">
        <f>+Movimientos_2026[[#This Row],[Ingresos]]-Movimientos_2026[[#This Row],[Egresos]]</f>
        <v>0</v>
      </c>
      <c r="O3645" s="20">
        <f>+O3644+Movimientos_2026[[#This Row],[Neto]]</f>
        <v>4581558617.7962294</v>
      </c>
    </row>
    <row r="3646" spans="1:15" x14ac:dyDescent="0.25">
      <c r="A3646" s="13"/>
      <c r="B3646" s="12">
        <f>MONTH(Movimientos_2026[[#This Row],[Fecha]])</f>
        <v>1</v>
      </c>
      <c r="C3646" s="12" t="str">
        <f>VLOOKUP((WEEKDAY(Movimientos_2026[[#This Row],[Fecha]],2)),'5. Setup'!$D$6:$E$12,2,FALSE)</f>
        <v>Sab</v>
      </c>
      <c r="E3646" t="str">
        <f>IFERROR(+VLOOKUP(Movimientos_2026[[#This Row],[Codigo]],Plan_cuentas[],2,FALSE)," ")</f>
        <v xml:space="preserve"> </v>
      </c>
      <c r="F3646" t="str">
        <f>IFERROR(+VLOOKUP(Movimientos_2026[[#This Row],[Codigo]],Plan_cuentas[],3,FALSE)," ")</f>
        <v xml:space="preserve"> </v>
      </c>
      <c r="G3646" t="str">
        <f>IFERROR(+VLOOKUP(Movimientos_2026[[#This Row],[Codigo]],Plan_cuentas[],4,FALSE)," ")</f>
        <v xml:space="preserve"> </v>
      </c>
      <c r="H3646" t="str">
        <f>IFERROR(+VLOOKUP(Movimientos_2026[[#This Row],[Codigo]],Plan_cuentas[],5,FALSE)," ")</f>
        <v xml:space="preserve"> </v>
      </c>
      <c r="I3646" s="43"/>
      <c r="K3646" t="str">
        <f>IFERROR(+VLOOKUP(Movimientos_2026[[#This Row],[Codigo]],Plan_cuentas[],6,FALSE)," ")</f>
        <v xml:space="preserve"> </v>
      </c>
      <c r="L3646" s="50"/>
      <c r="M3646" s="50"/>
      <c r="N3646" s="20">
        <f>+Movimientos_2026[[#This Row],[Ingresos]]-Movimientos_2026[[#This Row],[Egresos]]</f>
        <v>0</v>
      </c>
      <c r="O3646" s="20">
        <f>+O3645+Movimientos_2026[[#This Row],[Neto]]</f>
        <v>4581558617.7962294</v>
      </c>
    </row>
    <row r="3647" spans="1:15" x14ac:dyDescent="0.25">
      <c r="A3647" s="13"/>
      <c r="B3647" s="12">
        <f>MONTH(Movimientos_2026[[#This Row],[Fecha]])</f>
        <v>1</v>
      </c>
      <c r="C3647" s="12" t="str">
        <f>VLOOKUP((WEEKDAY(Movimientos_2026[[#This Row],[Fecha]],2)),'5. Setup'!$D$6:$E$12,2,FALSE)</f>
        <v>Sab</v>
      </c>
      <c r="E3647" t="str">
        <f>IFERROR(+VLOOKUP(Movimientos_2026[[#This Row],[Codigo]],Plan_cuentas[],2,FALSE)," ")</f>
        <v xml:space="preserve"> </v>
      </c>
      <c r="F3647" t="str">
        <f>IFERROR(+VLOOKUP(Movimientos_2026[[#This Row],[Codigo]],Plan_cuentas[],3,FALSE)," ")</f>
        <v xml:space="preserve"> </v>
      </c>
      <c r="G3647" t="str">
        <f>IFERROR(+VLOOKUP(Movimientos_2026[[#This Row],[Codigo]],Plan_cuentas[],4,FALSE)," ")</f>
        <v xml:space="preserve"> </v>
      </c>
      <c r="H3647" t="str">
        <f>IFERROR(+VLOOKUP(Movimientos_2026[[#This Row],[Codigo]],Plan_cuentas[],5,FALSE)," ")</f>
        <v xml:space="preserve"> </v>
      </c>
      <c r="I3647" s="43"/>
      <c r="K3647" t="str">
        <f>IFERROR(+VLOOKUP(Movimientos_2026[[#This Row],[Codigo]],Plan_cuentas[],6,FALSE)," ")</f>
        <v xml:space="preserve"> </v>
      </c>
      <c r="L3647" s="50"/>
      <c r="M3647" s="50"/>
      <c r="N3647" s="20">
        <f>+Movimientos_2026[[#This Row],[Ingresos]]-Movimientos_2026[[#This Row],[Egresos]]</f>
        <v>0</v>
      </c>
      <c r="O3647" s="20">
        <f>+O3646+Movimientos_2026[[#This Row],[Neto]]</f>
        <v>4581558617.7962294</v>
      </c>
    </row>
    <row r="3648" spans="1:15" x14ac:dyDescent="0.25">
      <c r="A3648" s="13"/>
      <c r="B3648" s="12">
        <f>MONTH(Movimientos_2026[[#This Row],[Fecha]])</f>
        <v>1</v>
      </c>
      <c r="C3648" s="12" t="str">
        <f>VLOOKUP((WEEKDAY(Movimientos_2026[[#This Row],[Fecha]],2)),'5. Setup'!$D$6:$E$12,2,FALSE)</f>
        <v>Sab</v>
      </c>
      <c r="E3648" t="str">
        <f>IFERROR(+VLOOKUP(Movimientos_2026[[#This Row],[Codigo]],Plan_cuentas[],2,FALSE)," ")</f>
        <v xml:space="preserve"> </v>
      </c>
      <c r="F3648" t="str">
        <f>IFERROR(+VLOOKUP(Movimientos_2026[[#This Row],[Codigo]],Plan_cuentas[],3,FALSE)," ")</f>
        <v xml:space="preserve"> </v>
      </c>
      <c r="G3648" t="str">
        <f>IFERROR(+VLOOKUP(Movimientos_2026[[#This Row],[Codigo]],Plan_cuentas[],4,FALSE)," ")</f>
        <v xml:space="preserve"> </v>
      </c>
      <c r="H3648" t="str">
        <f>IFERROR(+VLOOKUP(Movimientos_2026[[#This Row],[Codigo]],Plan_cuentas[],5,FALSE)," ")</f>
        <v xml:space="preserve"> </v>
      </c>
      <c r="I3648" s="43"/>
      <c r="K3648" t="str">
        <f>IFERROR(+VLOOKUP(Movimientos_2026[[#This Row],[Codigo]],Plan_cuentas[],6,FALSE)," ")</f>
        <v xml:space="preserve"> </v>
      </c>
      <c r="L3648" s="50"/>
      <c r="M3648" s="50"/>
      <c r="N3648" s="20">
        <f>+Movimientos_2026[[#This Row],[Ingresos]]-Movimientos_2026[[#This Row],[Egresos]]</f>
        <v>0</v>
      </c>
      <c r="O3648" s="20">
        <f>+O3647+Movimientos_2026[[#This Row],[Neto]]</f>
        <v>4581558617.7962294</v>
      </c>
    </row>
    <row r="3649" spans="1:15" x14ac:dyDescent="0.25">
      <c r="A3649" s="13"/>
      <c r="B3649" s="12">
        <f>MONTH(Movimientos_2026[[#This Row],[Fecha]])</f>
        <v>1</v>
      </c>
      <c r="C3649" s="12" t="str">
        <f>VLOOKUP((WEEKDAY(Movimientos_2026[[#This Row],[Fecha]],2)),'5. Setup'!$D$6:$E$12,2,FALSE)</f>
        <v>Sab</v>
      </c>
      <c r="E3649" t="str">
        <f>IFERROR(+VLOOKUP(Movimientos_2026[[#This Row],[Codigo]],Plan_cuentas[],2,FALSE)," ")</f>
        <v xml:space="preserve"> </v>
      </c>
      <c r="F3649" t="str">
        <f>IFERROR(+VLOOKUP(Movimientos_2026[[#This Row],[Codigo]],Plan_cuentas[],3,FALSE)," ")</f>
        <v xml:space="preserve"> </v>
      </c>
      <c r="G3649" t="str">
        <f>IFERROR(+VLOOKUP(Movimientos_2026[[#This Row],[Codigo]],Plan_cuentas[],4,FALSE)," ")</f>
        <v xml:space="preserve"> </v>
      </c>
      <c r="H3649" t="str">
        <f>IFERROR(+VLOOKUP(Movimientos_2026[[#This Row],[Codigo]],Plan_cuentas[],5,FALSE)," ")</f>
        <v xml:space="preserve"> </v>
      </c>
      <c r="I3649" s="43"/>
      <c r="K3649" t="str">
        <f>IFERROR(+VLOOKUP(Movimientos_2026[[#This Row],[Codigo]],Plan_cuentas[],6,FALSE)," ")</f>
        <v xml:space="preserve"> </v>
      </c>
      <c r="L3649" s="50"/>
      <c r="M3649" s="50"/>
      <c r="N3649" s="20">
        <f>+Movimientos_2026[[#This Row],[Ingresos]]-Movimientos_2026[[#This Row],[Egresos]]</f>
        <v>0</v>
      </c>
      <c r="O3649" s="20">
        <f>+O3648+Movimientos_2026[[#This Row],[Neto]]</f>
        <v>4581558617.7962294</v>
      </c>
    </row>
    <row r="3650" spans="1:15" x14ac:dyDescent="0.25">
      <c r="A3650" s="13"/>
      <c r="B3650" s="12">
        <f>MONTH(Movimientos_2026[[#This Row],[Fecha]])</f>
        <v>1</v>
      </c>
      <c r="C3650" s="12" t="str">
        <f>VLOOKUP((WEEKDAY(Movimientos_2026[[#This Row],[Fecha]],2)),'5. Setup'!$D$6:$E$12,2,FALSE)</f>
        <v>Sab</v>
      </c>
      <c r="E3650" t="str">
        <f>IFERROR(+VLOOKUP(Movimientos_2026[[#This Row],[Codigo]],Plan_cuentas[],2,FALSE)," ")</f>
        <v xml:space="preserve"> </v>
      </c>
      <c r="F3650" t="str">
        <f>IFERROR(+VLOOKUP(Movimientos_2026[[#This Row],[Codigo]],Plan_cuentas[],3,FALSE)," ")</f>
        <v xml:space="preserve"> </v>
      </c>
      <c r="G3650" t="str">
        <f>IFERROR(+VLOOKUP(Movimientos_2026[[#This Row],[Codigo]],Plan_cuentas[],4,FALSE)," ")</f>
        <v xml:space="preserve"> </v>
      </c>
      <c r="H3650" t="str">
        <f>IFERROR(+VLOOKUP(Movimientos_2026[[#This Row],[Codigo]],Plan_cuentas[],5,FALSE)," ")</f>
        <v xml:space="preserve"> </v>
      </c>
      <c r="I3650" s="43"/>
      <c r="K3650" t="str">
        <f>IFERROR(+VLOOKUP(Movimientos_2026[[#This Row],[Codigo]],Plan_cuentas[],6,FALSE)," ")</f>
        <v xml:space="preserve"> </v>
      </c>
      <c r="L3650" s="50"/>
      <c r="M3650" s="50"/>
      <c r="N3650" s="20">
        <f>+Movimientos_2026[[#This Row],[Ingresos]]-Movimientos_2026[[#This Row],[Egresos]]</f>
        <v>0</v>
      </c>
      <c r="O3650" s="20">
        <f>+O3649+Movimientos_2026[[#This Row],[Neto]]</f>
        <v>4581558617.7962294</v>
      </c>
    </row>
    <row r="3651" spans="1:15" x14ac:dyDescent="0.25">
      <c r="A3651" s="13"/>
      <c r="B3651" s="12">
        <f>MONTH(Movimientos_2026[[#This Row],[Fecha]])</f>
        <v>1</v>
      </c>
      <c r="C3651" s="12" t="str">
        <f>VLOOKUP((WEEKDAY(Movimientos_2026[[#This Row],[Fecha]],2)),'5. Setup'!$D$6:$E$12,2,FALSE)</f>
        <v>Sab</v>
      </c>
      <c r="E3651" t="str">
        <f>IFERROR(+VLOOKUP(Movimientos_2026[[#This Row],[Codigo]],Plan_cuentas[],2,FALSE)," ")</f>
        <v xml:space="preserve"> </v>
      </c>
      <c r="F3651" t="str">
        <f>IFERROR(+VLOOKUP(Movimientos_2026[[#This Row],[Codigo]],Plan_cuentas[],3,FALSE)," ")</f>
        <v xml:space="preserve"> </v>
      </c>
      <c r="G3651" t="str">
        <f>IFERROR(+VLOOKUP(Movimientos_2026[[#This Row],[Codigo]],Plan_cuentas[],4,FALSE)," ")</f>
        <v xml:space="preserve"> </v>
      </c>
      <c r="H3651" t="str">
        <f>IFERROR(+VLOOKUP(Movimientos_2026[[#This Row],[Codigo]],Plan_cuentas[],5,FALSE)," ")</f>
        <v xml:space="preserve"> </v>
      </c>
      <c r="I3651" s="43"/>
      <c r="K3651" t="str">
        <f>IFERROR(+VLOOKUP(Movimientos_2026[[#This Row],[Codigo]],Plan_cuentas[],6,FALSE)," ")</f>
        <v xml:space="preserve"> </v>
      </c>
      <c r="L3651" s="50"/>
      <c r="M3651" s="50"/>
      <c r="N3651" s="20">
        <f>+Movimientos_2026[[#This Row],[Ingresos]]-Movimientos_2026[[#This Row],[Egresos]]</f>
        <v>0</v>
      </c>
      <c r="O3651" s="20">
        <f>+O3650+Movimientos_2026[[#This Row],[Neto]]</f>
        <v>4581558617.7962294</v>
      </c>
    </row>
    <row r="3652" spans="1:15" x14ac:dyDescent="0.25">
      <c r="A3652" s="13"/>
      <c r="B3652" s="12">
        <f>MONTH(Movimientos_2026[[#This Row],[Fecha]])</f>
        <v>1</v>
      </c>
      <c r="C3652" s="12" t="str">
        <f>VLOOKUP((WEEKDAY(Movimientos_2026[[#This Row],[Fecha]],2)),'5. Setup'!$D$6:$E$12,2,FALSE)</f>
        <v>Sab</v>
      </c>
      <c r="E3652" t="str">
        <f>IFERROR(+VLOOKUP(Movimientos_2026[[#This Row],[Codigo]],Plan_cuentas[],2,FALSE)," ")</f>
        <v xml:space="preserve"> </v>
      </c>
      <c r="F3652" t="str">
        <f>IFERROR(+VLOOKUP(Movimientos_2026[[#This Row],[Codigo]],Plan_cuentas[],3,FALSE)," ")</f>
        <v xml:space="preserve"> </v>
      </c>
      <c r="G3652" t="str">
        <f>IFERROR(+VLOOKUP(Movimientos_2026[[#This Row],[Codigo]],Plan_cuentas[],4,FALSE)," ")</f>
        <v xml:space="preserve"> </v>
      </c>
      <c r="H3652" t="str">
        <f>IFERROR(+VLOOKUP(Movimientos_2026[[#This Row],[Codigo]],Plan_cuentas[],5,FALSE)," ")</f>
        <v xml:space="preserve"> </v>
      </c>
      <c r="I3652" s="43"/>
      <c r="K3652" t="str">
        <f>IFERROR(+VLOOKUP(Movimientos_2026[[#This Row],[Codigo]],Plan_cuentas[],6,FALSE)," ")</f>
        <v xml:space="preserve"> </v>
      </c>
      <c r="L3652" s="50"/>
      <c r="M3652" s="50"/>
      <c r="N3652" s="20">
        <f>+Movimientos_2026[[#This Row],[Ingresos]]-Movimientos_2026[[#This Row],[Egresos]]</f>
        <v>0</v>
      </c>
      <c r="O3652" s="20">
        <f>+O3651+Movimientos_2026[[#This Row],[Neto]]</f>
        <v>4581558617.7962294</v>
      </c>
    </row>
    <row r="3653" spans="1:15" x14ac:dyDescent="0.25">
      <c r="A3653" s="13"/>
      <c r="B3653" s="12">
        <f>MONTH(Movimientos_2026[[#This Row],[Fecha]])</f>
        <v>1</v>
      </c>
      <c r="C3653" s="12" t="str">
        <f>VLOOKUP((WEEKDAY(Movimientos_2026[[#This Row],[Fecha]],2)),'5. Setup'!$D$6:$E$12,2,FALSE)</f>
        <v>Sab</v>
      </c>
      <c r="E3653" t="str">
        <f>IFERROR(+VLOOKUP(Movimientos_2026[[#This Row],[Codigo]],Plan_cuentas[],2,FALSE)," ")</f>
        <v xml:space="preserve"> </v>
      </c>
      <c r="F3653" t="str">
        <f>IFERROR(+VLOOKUP(Movimientos_2026[[#This Row],[Codigo]],Plan_cuentas[],3,FALSE)," ")</f>
        <v xml:space="preserve"> </v>
      </c>
      <c r="G3653" t="str">
        <f>IFERROR(+VLOOKUP(Movimientos_2026[[#This Row],[Codigo]],Plan_cuentas[],4,FALSE)," ")</f>
        <v xml:space="preserve"> </v>
      </c>
      <c r="H3653" t="str">
        <f>IFERROR(+VLOOKUP(Movimientos_2026[[#This Row],[Codigo]],Plan_cuentas[],5,FALSE)," ")</f>
        <v xml:space="preserve"> </v>
      </c>
      <c r="I3653" s="43"/>
      <c r="K3653" t="str">
        <f>IFERROR(+VLOOKUP(Movimientos_2026[[#This Row],[Codigo]],Plan_cuentas[],6,FALSE)," ")</f>
        <v xml:space="preserve"> </v>
      </c>
      <c r="L3653" s="50"/>
      <c r="M3653" s="50"/>
      <c r="N3653" s="20">
        <f>+Movimientos_2026[[#This Row],[Ingresos]]-Movimientos_2026[[#This Row],[Egresos]]</f>
        <v>0</v>
      </c>
      <c r="O3653" s="20">
        <f>+O3652+Movimientos_2026[[#This Row],[Neto]]</f>
        <v>4581558617.7962294</v>
      </c>
    </row>
    <row r="3654" spans="1:15" x14ac:dyDescent="0.25">
      <c r="A3654" s="13"/>
      <c r="B3654" s="12">
        <f>MONTH(Movimientos_2026[[#This Row],[Fecha]])</f>
        <v>1</v>
      </c>
      <c r="C3654" s="12" t="str">
        <f>VLOOKUP((WEEKDAY(Movimientos_2026[[#This Row],[Fecha]],2)),'5. Setup'!$D$6:$E$12,2,FALSE)</f>
        <v>Sab</v>
      </c>
      <c r="E3654" t="str">
        <f>IFERROR(+VLOOKUP(Movimientos_2026[[#This Row],[Codigo]],Plan_cuentas[],2,FALSE)," ")</f>
        <v xml:space="preserve"> </v>
      </c>
      <c r="F3654" t="str">
        <f>IFERROR(+VLOOKUP(Movimientos_2026[[#This Row],[Codigo]],Plan_cuentas[],3,FALSE)," ")</f>
        <v xml:space="preserve"> </v>
      </c>
      <c r="G3654" t="str">
        <f>IFERROR(+VLOOKUP(Movimientos_2026[[#This Row],[Codigo]],Plan_cuentas[],4,FALSE)," ")</f>
        <v xml:space="preserve"> </v>
      </c>
      <c r="H3654" t="str">
        <f>IFERROR(+VLOOKUP(Movimientos_2026[[#This Row],[Codigo]],Plan_cuentas[],5,FALSE)," ")</f>
        <v xml:space="preserve"> </v>
      </c>
      <c r="I3654" s="43"/>
      <c r="K3654" t="str">
        <f>IFERROR(+VLOOKUP(Movimientos_2026[[#This Row],[Codigo]],Plan_cuentas[],6,FALSE)," ")</f>
        <v xml:space="preserve"> </v>
      </c>
      <c r="L3654" s="50"/>
      <c r="M3654" s="50"/>
      <c r="N3654" s="20">
        <f>+Movimientos_2026[[#This Row],[Ingresos]]-Movimientos_2026[[#This Row],[Egresos]]</f>
        <v>0</v>
      </c>
      <c r="O3654" s="20">
        <f>+O3653+Movimientos_2026[[#This Row],[Neto]]</f>
        <v>4581558617.7962294</v>
      </c>
    </row>
    <row r="3655" spans="1:15" x14ac:dyDescent="0.25">
      <c r="A3655" s="13"/>
      <c r="B3655" s="12">
        <f>MONTH(Movimientos_2026[[#This Row],[Fecha]])</f>
        <v>1</v>
      </c>
      <c r="C3655" s="12" t="str">
        <f>VLOOKUP((WEEKDAY(Movimientos_2026[[#This Row],[Fecha]],2)),'5. Setup'!$D$6:$E$12,2,FALSE)</f>
        <v>Sab</v>
      </c>
      <c r="E3655" t="str">
        <f>IFERROR(+VLOOKUP(Movimientos_2026[[#This Row],[Codigo]],Plan_cuentas[],2,FALSE)," ")</f>
        <v xml:space="preserve"> </v>
      </c>
      <c r="F3655" t="str">
        <f>IFERROR(+VLOOKUP(Movimientos_2026[[#This Row],[Codigo]],Plan_cuentas[],3,FALSE)," ")</f>
        <v xml:space="preserve"> </v>
      </c>
      <c r="G3655" t="str">
        <f>IFERROR(+VLOOKUP(Movimientos_2026[[#This Row],[Codigo]],Plan_cuentas[],4,FALSE)," ")</f>
        <v xml:space="preserve"> </v>
      </c>
      <c r="H3655" t="str">
        <f>IFERROR(+VLOOKUP(Movimientos_2026[[#This Row],[Codigo]],Plan_cuentas[],5,FALSE)," ")</f>
        <v xml:space="preserve"> </v>
      </c>
      <c r="I3655" s="43"/>
      <c r="K3655" t="str">
        <f>IFERROR(+VLOOKUP(Movimientos_2026[[#This Row],[Codigo]],Plan_cuentas[],6,FALSE)," ")</f>
        <v xml:space="preserve"> </v>
      </c>
      <c r="L3655" s="50"/>
      <c r="M3655" s="50"/>
      <c r="N3655" s="20">
        <f>+Movimientos_2026[[#This Row],[Ingresos]]-Movimientos_2026[[#This Row],[Egresos]]</f>
        <v>0</v>
      </c>
      <c r="O3655" s="20">
        <f>+O3654+Movimientos_2026[[#This Row],[Neto]]</f>
        <v>4581558617.7962294</v>
      </c>
    </row>
    <row r="3656" spans="1:15" x14ac:dyDescent="0.25">
      <c r="A3656" s="13"/>
      <c r="B3656" s="12">
        <f>MONTH(Movimientos_2026[[#This Row],[Fecha]])</f>
        <v>1</v>
      </c>
      <c r="C3656" s="12" t="str">
        <f>VLOOKUP((WEEKDAY(Movimientos_2026[[#This Row],[Fecha]],2)),'5. Setup'!$D$6:$E$12,2,FALSE)</f>
        <v>Sab</v>
      </c>
      <c r="E3656" t="str">
        <f>IFERROR(+VLOOKUP(Movimientos_2026[[#This Row],[Codigo]],Plan_cuentas[],2,FALSE)," ")</f>
        <v xml:space="preserve"> </v>
      </c>
      <c r="F3656" t="str">
        <f>IFERROR(+VLOOKUP(Movimientos_2026[[#This Row],[Codigo]],Plan_cuentas[],3,FALSE)," ")</f>
        <v xml:space="preserve"> </v>
      </c>
      <c r="G3656" t="str">
        <f>IFERROR(+VLOOKUP(Movimientos_2026[[#This Row],[Codigo]],Plan_cuentas[],4,FALSE)," ")</f>
        <v xml:space="preserve"> </v>
      </c>
      <c r="H3656" t="str">
        <f>IFERROR(+VLOOKUP(Movimientos_2026[[#This Row],[Codigo]],Plan_cuentas[],5,FALSE)," ")</f>
        <v xml:space="preserve"> </v>
      </c>
      <c r="I3656" s="43"/>
      <c r="K3656" t="str">
        <f>IFERROR(+VLOOKUP(Movimientos_2026[[#This Row],[Codigo]],Plan_cuentas[],6,FALSE)," ")</f>
        <v xml:space="preserve"> </v>
      </c>
      <c r="L3656" s="50"/>
      <c r="M3656" s="50"/>
      <c r="N3656" s="20">
        <f>+Movimientos_2026[[#This Row],[Ingresos]]-Movimientos_2026[[#This Row],[Egresos]]</f>
        <v>0</v>
      </c>
      <c r="O3656" s="20">
        <f>+O3655+Movimientos_2026[[#This Row],[Neto]]</f>
        <v>4581558617.7962294</v>
      </c>
    </row>
    <row r="3657" spans="1:15" x14ac:dyDescent="0.25">
      <c r="A3657" s="13"/>
      <c r="B3657" s="12">
        <f>MONTH(Movimientos_2026[[#This Row],[Fecha]])</f>
        <v>1</v>
      </c>
      <c r="C3657" s="12" t="str">
        <f>VLOOKUP((WEEKDAY(Movimientos_2026[[#This Row],[Fecha]],2)),'5. Setup'!$D$6:$E$12,2,FALSE)</f>
        <v>Sab</v>
      </c>
      <c r="E3657" t="str">
        <f>IFERROR(+VLOOKUP(Movimientos_2026[[#This Row],[Codigo]],Plan_cuentas[],2,FALSE)," ")</f>
        <v xml:space="preserve"> </v>
      </c>
      <c r="F3657" t="str">
        <f>IFERROR(+VLOOKUP(Movimientos_2026[[#This Row],[Codigo]],Plan_cuentas[],3,FALSE)," ")</f>
        <v xml:space="preserve"> </v>
      </c>
      <c r="G3657" t="str">
        <f>IFERROR(+VLOOKUP(Movimientos_2026[[#This Row],[Codigo]],Plan_cuentas[],4,FALSE)," ")</f>
        <v xml:space="preserve"> </v>
      </c>
      <c r="H3657" t="str">
        <f>IFERROR(+VLOOKUP(Movimientos_2026[[#This Row],[Codigo]],Plan_cuentas[],5,FALSE)," ")</f>
        <v xml:space="preserve"> </v>
      </c>
      <c r="I3657" s="43"/>
      <c r="K3657" t="str">
        <f>IFERROR(+VLOOKUP(Movimientos_2026[[#This Row],[Codigo]],Plan_cuentas[],6,FALSE)," ")</f>
        <v xml:space="preserve"> </v>
      </c>
      <c r="L3657" s="50"/>
      <c r="M3657" s="50"/>
      <c r="N3657" s="20">
        <f>+Movimientos_2026[[#This Row],[Ingresos]]-Movimientos_2026[[#This Row],[Egresos]]</f>
        <v>0</v>
      </c>
      <c r="O3657" s="20">
        <f>+O3656+Movimientos_2026[[#This Row],[Neto]]</f>
        <v>4581558617.7962294</v>
      </c>
    </row>
    <row r="3658" spans="1:15" x14ac:dyDescent="0.25">
      <c r="A3658" s="13"/>
      <c r="B3658" s="12">
        <f>MONTH(Movimientos_2026[[#This Row],[Fecha]])</f>
        <v>1</v>
      </c>
      <c r="C3658" s="12" t="str">
        <f>VLOOKUP((WEEKDAY(Movimientos_2026[[#This Row],[Fecha]],2)),'5. Setup'!$D$6:$E$12,2,FALSE)</f>
        <v>Sab</v>
      </c>
      <c r="E3658" t="str">
        <f>IFERROR(+VLOOKUP(Movimientos_2026[[#This Row],[Codigo]],Plan_cuentas[],2,FALSE)," ")</f>
        <v xml:space="preserve"> </v>
      </c>
      <c r="F3658" t="str">
        <f>IFERROR(+VLOOKUP(Movimientos_2026[[#This Row],[Codigo]],Plan_cuentas[],3,FALSE)," ")</f>
        <v xml:space="preserve"> </v>
      </c>
      <c r="G3658" t="str">
        <f>IFERROR(+VLOOKUP(Movimientos_2026[[#This Row],[Codigo]],Plan_cuentas[],4,FALSE)," ")</f>
        <v xml:space="preserve"> </v>
      </c>
      <c r="H3658" t="str">
        <f>IFERROR(+VLOOKUP(Movimientos_2026[[#This Row],[Codigo]],Plan_cuentas[],5,FALSE)," ")</f>
        <v xml:space="preserve"> </v>
      </c>
      <c r="I3658" s="43"/>
      <c r="K3658" t="str">
        <f>IFERROR(+VLOOKUP(Movimientos_2026[[#This Row],[Codigo]],Plan_cuentas[],6,FALSE)," ")</f>
        <v xml:space="preserve"> </v>
      </c>
      <c r="L3658" s="50"/>
      <c r="M3658" s="50"/>
      <c r="N3658" s="20">
        <f>+Movimientos_2026[[#This Row],[Ingresos]]-Movimientos_2026[[#This Row],[Egresos]]</f>
        <v>0</v>
      </c>
      <c r="O3658" s="20">
        <f>+O3657+Movimientos_2026[[#This Row],[Neto]]</f>
        <v>4581558617.7962294</v>
      </c>
    </row>
    <row r="3659" spans="1:15" x14ac:dyDescent="0.25">
      <c r="A3659" s="13"/>
      <c r="B3659" s="12">
        <f>MONTH(Movimientos_2026[[#This Row],[Fecha]])</f>
        <v>1</v>
      </c>
      <c r="C3659" s="12" t="str">
        <f>VLOOKUP((WEEKDAY(Movimientos_2026[[#This Row],[Fecha]],2)),'5. Setup'!$D$6:$E$12,2,FALSE)</f>
        <v>Sab</v>
      </c>
      <c r="E3659" t="str">
        <f>IFERROR(+VLOOKUP(Movimientos_2026[[#This Row],[Codigo]],Plan_cuentas[],2,FALSE)," ")</f>
        <v xml:space="preserve"> </v>
      </c>
      <c r="F3659" t="str">
        <f>IFERROR(+VLOOKUP(Movimientos_2026[[#This Row],[Codigo]],Plan_cuentas[],3,FALSE)," ")</f>
        <v xml:space="preserve"> </v>
      </c>
      <c r="G3659" t="str">
        <f>IFERROR(+VLOOKUP(Movimientos_2026[[#This Row],[Codigo]],Plan_cuentas[],4,FALSE)," ")</f>
        <v xml:space="preserve"> </v>
      </c>
      <c r="H3659" t="str">
        <f>IFERROR(+VLOOKUP(Movimientos_2026[[#This Row],[Codigo]],Plan_cuentas[],5,FALSE)," ")</f>
        <v xml:space="preserve"> </v>
      </c>
      <c r="I3659" s="43"/>
      <c r="K3659" t="str">
        <f>IFERROR(+VLOOKUP(Movimientos_2026[[#This Row],[Codigo]],Plan_cuentas[],6,FALSE)," ")</f>
        <v xml:space="preserve"> </v>
      </c>
      <c r="L3659" s="50"/>
      <c r="M3659" s="50"/>
      <c r="N3659" s="20">
        <f>+Movimientos_2026[[#This Row],[Ingresos]]-Movimientos_2026[[#This Row],[Egresos]]</f>
        <v>0</v>
      </c>
      <c r="O3659" s="20">
        <f>+O3658+Movimientos_2026[[#This Row],[Neto]]</f>
        <v>4581558617.7962294</v>
      </c>
    </row>
    <row r="3660" spans="1:15" x14ac:dyDescent="0.25">
      <c r="A3660" s="13"/>
      <c r="B3660" s="12">
        <f>MONTH(Movimientos_2026[[#This Row],[Fecha]])</f>
        <v>1</v>
      </c>
      <c r="C3660" s="12" t="str">
        <f>VLOOKUP((WEEKDAY(Movimientos_2026[[#This Row],[Fecha]],2)),'5. Setup'!$D$6:$E$12,2,FALSE)</f>
        <v>Sab</v>
      </c>
      <c r="E3660" t="str">
        <f>IFERROR(+VLOOKUP(Movimientos_2026[[#This Row],[Codigo]],Plan_cuentas[],2,FALSE)," ")</f>
        <v xml:space="preserve"> </v>
      </c>
      <c r="F3660" t="str">
        <f>IFERROR(+VLOOKUP(Movimientos_2026[[#This Row],[Codigo]],Plan_cuentas[],3,FALSE)," ")</f>
        <v xml:space="preserve"> </v>
      </c>
      <c r="G3660" t="str">
        <f>IFERROR(+VLOOKUP(Movimientos_2026[[#This Row],[Codigo]],Plan_cuentas[],4,FALSE)," ")</f>
        <v xml:space="preserve"> </v>
      </c>
      <c r="H3660" t="str">
        <f>IFERROR(+VLOOKUP(Movimientos_2026[[#This Row],[Codigo]],Plan_cuentas[],5,FALSE)," ")</f>
        <v xml:space="preserve"> </v>
      </c>
      <c r="I3660" s="43"/>
      <c r="K3660" t="str">
        <f>IFERROR(+VLOOKUP(Movimientos_2026[[#This Row],[Codigo]],Plan_cuentas[],6,FALSE)," ")</f>
        <v xml:space="preserve"> </v>
      </c>
      <c r="L3660" s="50"/>
      <c r="M3660" s="50"/>
      <c r="N3660" s="20">
        <f>+Movimientos_2026[[#This Row],[Ingresos]]-Movimientos_2026[[#This Row],[Egresos]]</f>
        <v>0</v>
      </c>
      <c r="O3660" s="20">
        <f>+O3659+Movimientos_2026[[#This Row],[Neto]]</f>
        <v>4581558617.7962294</v>
      </c>
    </row>
    <row r="3661" spans="1:15" x14ac:dyDescent="0.25">
      <c r="A3661" s="13"/>
      <c r="B3661" s="12">
        <f>MONTH(Movimientos_2026[[#This Row],[Fecha]])</f>
        <v>1</v>
      </c>
      <c r="C3661" s="12" t="str">
        <f>VLOOKUP((WEEKDAY(Movimientos_2026[[#This Row],[Fecha]],2)),'5. Setup'!$D$6:$E$12,2,FALSE)</f>
        <v>Sab</v>
      </c>
      <c r="E3661" t="str">
        <f>IFERROR(+VLOOKUP(Movimientos_2026[[#This Row],[Codigo]],Plan_cuentas[],2,FALSE)," ")</f>
        <v xml:space="preserve"> </v>
      </c>
      <c r="F3661" t="str">
        <f>IFERROR(+VLOOKUP(Movimientos_2026[[#This Row],[Codigo]],Plan_cuentas[],3,FALSE)," ")</f>
        <v xml:space="preserve"> </v>
      </c>
      <c r="G3661" t="str">
        <f>IFERROR(+VLOOKUP(Movimientos_2026[[#This Row],[Codigo]],Plan_cuentas[],4,FALSE)," ")</f>
        <v xml:space="preserve"> </v>
      </c>
      <c r="H3661" t="str">
        <f>IFERROR(+VLOOKUP(Movimientos_2026[[#This Row],[Codigo]],Plan_cuentas[],5,FALSE)," ")</f>
        <v xml:space="preserve"> </v>
      </c>
      <c r="I3661" s="43"/>
      <c r="K3661" t="str">
        <f>IFERROR(+VLOOKUP(Movimientos_2026[[#This Row],[Codigo]],Plan_cuentas[],6,FALSE)," ")</f>
        <v xml:space="preserve"> </v>
      </c>
      <c r="L3661" s="50"/>
      <c r="M3661" s="50"/>
      <c r="N3661" s="20">
        <f>+Movimientos_2026[[#This Row],[Ingresos]]-Movimientos_2026[[#This Row],[Egresos]]</f>
        <v>0</v>
      </c>
      <c r="O3661" s="20">
        <f>+O3660+Movimientos_2026[[#This Row],[Neto]]</f>
        <v>4581558617.7962294</v>
      </c>
    </row>
    <row r="3662" spans="1:15" x14ac:dyDescent="0.25">
      <c r="A3662" s="13"/>
      <c r="B3662" s="12">
        <f>MONTH(Movimientos_2026[[#This Row],[Fecha]])</f>
        <v>1</v>
      </c>
      <c r="C3662" s="12" t="str">
        <f>VLOOKUP((WEEKDAY(Movimientos_2026[[#This Row],[Fecha]],2)),'5. Setup'!$D$6:$E$12,2,FALSE)</f>
        <v>Sab</v>
      </c>
      <c r="E3662" t="str">
        <f>IFERROR(+VLOOKUP(Movimientos_2026[[#This Row],[Codigo]],Plan_cuentas[],2,FALSE)," ")</f>
        <v xml:space="preserve"> </v>
      </c>
      <c r="F3662" t="str">
        <f>IFERROR(+VLOOKUP(Movimientos_2026[[#This Row],[Codigo]],Plan_cuentas[],3,FALSE)," ")</f>
        <v xml:space="preserve"> </v>
      </c>
      <c r="G3662" t="str">
        <f>IFERROR(+VLOOKUP(Movimientos_2026[[#This Row],[Codigo]],Plan_cuentas[],4,FALSE)," ")</f>
        <v xml:space="preserve"> </v>
      </c>
      <c r="H3662" t="str">
        <f>IFERROR(+VLOOKUP(Movimientos_2026[[#This Row],[Codigo]],Plan_cuentas[],5,FALSE)," ")</f>
        <v xml:space="preserve"> </v>
      </c>
      <c r="I3662" s="43"/>
      <c r="K3662" t="str">
        <f>IFERROR(+VLOOKUP(Movimientos_2026[[#This Row],[Codigo]],Plan_cuentas[],6,FALSE)," ")</f>
        <v xml:space="preserve"> </v>
      </c>
      <c r="L3662" s="50"/>
      <c r="M3662" s="50"/>
      <c r="N3662" s="20">
        <f>+Movimientos_2026[[#This Row],[Ingresos]]-Movimientos_2026[[#This Row],[Egresos]]</f>
        <v>0</v>
      </c>
      <c r="O3662" s="20">
        <f>+O3661+Movimientos_2026[[#This Row],[Neto]]</f>
        <v>4581558617.7962294</v>
      </c>
    </row>
    <row r="3663" spans="1:15" x14ac:dyDescent="0.25">
      <c r="A3663" s="13"/>
      <c r="B3663" s="12">
        <f>MONTH(Movimientos_2026[[#This Row],[Fecha]])</f>
        <v>1</v>
      </c>
      <c r="C3663" s="12" t="str">
        <f>VLOOKUP((WEEKDAY(Movimientos_2026[[#This Row],[Fecha]],2)),'5. Setup'!$D$6:$E$12,2,FALSE)</f>
        <v>Sab</v>
      </c>
      <c r="E3663" t="str">
        <f>IFERROR(+VLOOKUP(Movimientos_2026[[#This Row],[Codigo]],Plan_cuentas[],2,FALSE)," ")</f>
        <v xml:space="preserve"> </v>
      </c>
      <c r="F3663" t="str">
        <f>IFERROR(+VLOOKUP(Movimientos_2026[[#This Row],[Codigo]],Plan_cuentas[],3,FALSE)," ")</f>
        <v xml:space="preserve"> </v>
      </c>
      <c r="G3663" t="str">
        <f>IFERROR(+VLOOKUP(Movimientos_2026[[#This Row],[Codigo]],Plan_cuentas[],4,FALSE)," ")</f>
        <v xml:space="preserve"> </v>
      </c>
      <c r="H3663" t="str">
        <f>IFERROR(+VLOOKUP(Movimientos_2026[[#This Row],[Codigo]],Plan_cuentas[],5,FALSE)," ")</f>
        <v xml:space="preserve"> </v>
      </c>
      <c r="I3663" s="43"/>
      <c r="K3663" t="str">
        <f>IFERROR(+VLOOKUP(Movimientos_2026[[#This Row],[Codigo]],Plan_cuentas[],6,FALSE)," ")</f>
        <v xml:space="preserve"> </v>
      </c>
      <c r="L3663" s="50"/>
      <c r="M3663" s="50"/>
      <c r="N3663" s="20">
        <f>+Movimientos_2026[[#This Row],[Ingresos]]-Movimientos_2026[[#This Row],[Egresos]]</f>
        <v>0</v>
      </c>
      <c r="O3663" s="20">
        <f>+O3662+Movimientos_2026[[#This Row],[Neto]]</f>
        <v>4581558617.7962294</v>
      </c>
    </row>
    <row r="3664" spans="1:15" x14ac:dyDescent="0.25">
      <c r="A3664" s="13"/>
      <c r="B3664" s="12">
        <f>MONTH(Movimientos_2026[[#This Row],[Fecha]])</f>
        <v>1</v>
      </c>
      <c r="C3664" s="12" t="str">
        <f>VLOOKUP((WEEKDAY(Movimientos_2026[[#This Row],[Fecha]],2)),'5. Setup'!$D$6:$E$12,2,FALSE)</f>
        <v>Sab</v>
      </c>
      <c r="E3664" t="str">
        <f>IFERROR(+VLOOKUP(Movimientos_2026[[#This Row],[Codigo]],Plan_cuentas[],2,FALSE)," ")</f>
        <v xml:space="preserve"> </v>
      </c>
      <c r="F3664" t="str">
        <f>IFERROR(+VLOOKUP(Movimientos_2026[[#This Row],[Codigo]],Plan_cuentas[],3,FALSE)," ")</f>
        <v xml:space="preserve"> </v>
      </c>
      <c r="G3664" t="str">
        <f>IFERROR(+VLOOKUP(Movimientos_2026[[#This Row],[Codigo]],Plan_cuentas[],4,FALSE)," ")</f>
        <v xml:space="preserve"> </v>
      </c>
      <c r="H3664" t="str">
        <f>IFERROR(+VLOOKUP(Movimientos_2026[[#This Row],[Codigo]],Plan_cuentas[],5,FALSE)," ")</f>
        <v xml:space="preserve"> </v>
      </c>
      <c r="I3664" s="43"/>
      <c r="K3664" t="str">
        <f>IFERROR(+VLOOKUP(Movimientos_2026[[#This Row],[Codigo]],Plan_cuentas[],6,FALSE)," ")</f>
        <v xml:space="preserve"> </v>
      </c>
      <c r="L3664" s="50"/>
      <c r="M3664" s="50"/>
      <c r="N3664" s="20">
        <f>+Movimientos_2026[[#This Row],[Ingresos]]-Movimientos_2026[[#This Row],[Egresos]]</f>
        <v>0</v>
      </c>
      <c r="O3664" s="20">
        <f>+O3663+Movimientos_2026[[#This Row],[Neto]]</f>
        <v>4581558617.7962294</v>
      </c>
    </row>
    <row r="3665" spans="1:15" x14ac:dyDescent="0.25">
      <c r="A3665" s="13"/>
      <c r="B3665" s="12">
        <f>MONTH(Movimientos_2026[[#This Row],[Fecha]])</f>
        <v>1</v>
      </c>
      <c r="C3665" s="12" t="str">
        <f>VLOOKUP((WEEKDAY(Movimientos_2026[[#This Row],[Fecha]],2)),'5. Setup'!$D$6:$E$12,2,FALSE)</f>
        <v>Sab</v>
      </c>
      <c r="E3665" t="str">
        <f>IFERROR(+VLOOKUP(Movimientos_2026[[#This Row],[Codigo]],Plan_cuentas[],2,FALSE)," ")</f>
        <v xml:space="preserve"> </v>
      </c>
      <c r="F3665" t="str">
        <f>IFERROR(+VLOOKUP(Movimientos_2026[[#This Row],[Codigo]],Plan_cuentas[],3,FALSE)," ")</f>
        <v xml:space="preserve"> </v>
      </c>
      <c r="G3665" t="str">
        <f>IFERROR(+VLOOKUP(Movimientos_2026[[#This Row],[Codigo]],Plan_cuentas[],4,FALSE)," ")</f>
        <v xml:space="preserve"> </v>
      </c>
      <c r="H3665" t="str">
        <f>IFERROR(+VLOOKUP(Movimientos_2026[[#This Row],[Codigo]],Plan_cuentas[],5,FALSE)," ")</f>
        <v xml:space="preserve"> </v>
      </c>
      <c r="I3665" s="43"/>
      <c r="K3665" t="str">
        <f>IFERROR(+VLOOKUP(Movimientos_2026[[#This Row],[Codigo]],Plan_cuentas[],6,FALSE)," ")</f>
        <v xml:space="preserve"> </v>
      </c>
      <c r="L3665" s="50"/>
      <c r="M3665" s="50"/>
      <c r="N3665" s="20">
        <f>+Movimientos_2026[[#This Row],[Ingresos]]-Movimientos_2026[[#This Row],[Egresos]]</f>
        <v>0</v>
      </c>
      <c r="O3665" s="20">
        <f>+O3664+Movimientos_2026[[#This Row],[Neto]]</f>
        <v>4581558617.7962294</v>
      </c>
    </row>
    <row r="3666" spans="1:15" x14ac:dyDescent="0.25">
      <c r="A3666" s="13"/>
      <c r="B3666" s="12">
        <f>MONTH(Movimientos_2026[[#This Row],[Fecha]])</f>
        <v>1</v>
      </c>
      <c r="C3666" s="12" t="str">
        <f>VLOOKUP((WEEKDAY(Movimientos_2026[[#This Row],[Fecha]],2)),'5. Setup'!$D$6:$E$12,2,FALSE)</f>
        <v>Sab</v>
      </c>
      <c r="E3666" t="str">
        <f>IFERROR(+VLOOKUP(Movimientos_2026[[#This Row],[Codigo]],Plan_cuentas[],2,FALSE)," ")</f>
        <v xml:space="preserve"> </v>
      </c>
      <c r="F3666" t="str">
        <f>IFERROR(+VLOOKUP(Movimientos_2026[[#This Row],[Codigo]],Plan_cuentas[],3,FALSE)," ")</f>
        <v xml:space="preserve"> </v>
      </c>
      <c r="G3666" t="str">
        <f>IFERROR(+VLOOKUP(Movimientos_2026[[#This Row],[Codigo]],Plan_cuentas[],4,FALSE)," ")</f>
        <v xml:space="preserve"> </v>
      </c>
      <c r="H3666" t="str">
        <f>IFERROR(+VLOOKUP(Movimientos_2026[[#This Row],[Codigo]],Plan_cuentas[],5,FALSE)," ")</f>
        <v xml:space="preserve"> </v>
      </c>
      <c r="I3666" s="43"/>
      <c r="K3666" t="str">
        <f>IFERROR(+VLOOKUP(Movimientos_2026[[#This Row],[Codigo]],Plan_cuentas[],6,FALSE)," ")</f>
        <v xml:space="preserve"> </v>
      </c>
      <c r="L3666" s="50"/>
      <c r="M3666" s="50"/>
      <c r="N3666" s="20">
        <f>+Movimientos_2026[[#This Row],[Ingresos]]-Movimientos_2026[[#This Row],[Egresos]]</f>
        <v>0</v>
      </c>
      <c r="O3666" s="20">
        <f>+O3665+Movimientos_2026[[#This Row],[Neto]]</f>
        <v>4581558617.7962294</v>
      </c>
    </row>
    <row r="3667" spans="1:15" x14ac:dyDescent="0.25">
      <c r="A3667" s="13"/>
      <c r="B3667" s="12">
        <f>MONTH(Movimientos_2026[[#This Row],[Fecha]])</f>
        <v>1</v>
      </c>
      <c r="C3667" s="12" t="str">
        <f>VLOOKUP((WEEKDAY(Movimientos_2026[[#This Row],[Fecha]],2)),'5. Setup'!$D$6:$E$12,2,FALSE)</f>
        <v>Sab</v>
      </c>
      <c r="E3667" t="str">
        <f>IFERROR(+VLOOKUP(Movimientos_2026[[#This Row],[Codigo]],Plan_cuentas[],2,FALSE)," ")</f>
        <v xml:space="preserve"> </v>
      </c>
      <c r="F3667" t="str">
        <f>IFERROR(+VLOOKUP(Movimientos_2026[[#This Row],[Codigo]],Plan_cuentas[],3,FALSE)," ")</f>
        <v xml:space="preserve"> </v>
      </c>
      <c r="G3667" t="str">
        <f>IFERROR(+VLOOKUP(Movimientos_2026[[#This Row],[Codigo]],Plan_cuentas[],4,FALSE)," ")</f>
        <v xml:space="preserve"> </v>
      </c>
      <c r="H3667" t="str">
        <f>IFERROR(+VLOOKUP(Movimientos_2026[[#This Row],[Codigo]],Plan_cuentas[],5,FALSE)," ")</f>
        <v xml:space="preserve"> </v>
      </c>
      <c r="I3667" s="43"/>
      <c r="K3667" t="str">
        <f>IFERROR(+VLOOKUP(Movimientos_2026[[#This Row],[Codigo]],Plan_cuentas[],6,FALSE)," ")</f>
        <v xml:space="preserve"> </v>
      </c>
      <c r="L3667" s="50"/>
      <c r="M3667" s="50"/>
      <c r="N3667" s="20">
        <f>+Movimientos_2026[[#This Row],[Ingresos]]-Movimientos_2026[[#This Row],[Egresos]]</f>
        <v>0</v>
      </c>
      <c r="O3667" s="20">
        <f>+O3666+Movimientos_2026[[#This Row],[Neto]]</f>
        <v>4581558617.7962294</v>
      </c>
    </row>
    <row r="3668" spans="1:15" x14ac:dyDescent="0.25">
      <c r="A3668" s="13"/>
      <c r="B3668" s="12">
        <f>MONTH(Movimientos_2026[[#This Row],[Fecha]])</f>
        <v>1</v>
      </c>
      <c r="C3668" s="12" t="str">
        <f>VLOOKUP((WEEKDAY(Movimientos_2026[[#This Row],[Fecha]],2)),'5. Setup'!$D$6:$E$12,2,FALSE)</f>
        <v>Sab</v>
      </c>
      <c r="E3668" t="str">
        <f>IFERROR(+VLOOKUP(Movimientos_2026[[#This Row],[Codigo]],Plan_cuentas[],2,FALSE)," ")</f>
        <v xml:space="preserve"> </v>
      </c>
      <c r="F3668" t="str">
        <f>IFERROR(+VLOOKUP(Movimientos_2026[[#This Row],[Codigo]],Plan_cuentas[],3,FALSE)," ")</f>
        <v xml:space="preserve"> </v>
      </c>
      <c r="G3668" t="str">
        <f>IFERROR(+VLOOKUP(Movimientos_2026[[#This Row],[Codigo]],Plan_cuentas[],4,FALSE)," ")</f>
        <v xml:space="preserve"> </v>
      </c>
      <c r="H3668" t="str">
        <f>IFERROR(+VLOOKUP(Movimientos_2026[[#This Row],[Codigo]],Plan_cuentas[],5,FALSE)," ")</f>
        <v xml:space="preserve"> </v>
      </c>
      <c r="I3668" s="43"/>
      <c r="K3668" t="str">
        <f>IFERROR(+VLOOKUP(Movimientos_2026[[#This Row],[Codigo]],Plan_cuentas[],6,FALSE)," ")</f>
        <v xml:space="preserve"> </v>
      </c>
      <c r="L3668" s="50"/>
      <c r="M3668" s="50"/>
      <c r="N3668" s="20">
        <f>+Movimientos_2026[[#This Row],[Ingresos]]-Movimientos_2026[[#This Row],[Egresos]]</f>
        <v>0</v>
      </c>
      <c r="O3668" s="20">
        <f>+O3667+Movimientos_2026[[#This Row],[Neto]]</f>
        <v>4581558617.7962294</v>
      </c>
    </row>
    <row r="3669" spans="1:15" x14ac:dyDescent="0.25">
      <c r="A3669" s="13"/>
      <c r="B3669" s="12">
        <f>MONTH(Movimientos_2026[[#This Row],[Fecha]])</f>
        <v>1</v>
      </c>
      <c r="C3669" s="12" t="str">
        <f>VLOOKUP((WEEKDAY(Movimientos_2026[[#This Row],[Fecha]],2)),'5. Setup'!$D$6:$E$12,2,FALSE)</f>
        <v>Sab</v>
      </c>
      <c r="E3669" t="str">
        <f>IFERROR(+VLOOKUP(Movimientos_2026[[#This Row],[Codigo]],Plan_cuentas[],2,FALSE)," ")</f>
        <v xml:space="preserve"> </v>
      </c>
      <c r="F3669" t="str">
        <f>IFERROR(+VLOOKUP(Movimientos_2026[[#This Row],[Codigo]],Plan_cuentas[],3,FALSE)," ")</f>
        <v xml:space="preserve"> </v>
      </c>
      <c r="G3669" t="str">
        <f>IFERROR(+VLOOKUP(Movimientos_2026[[#This Row],[Codigo]],Plan_cuentas[],4,FALSE)," ")</f>
        <v xml:space="preserve"> </v>
      </c>
      <c r="H3669" t="str">
        <f>IFERROR(+VLOOKUP(Movimientos_2026[[#This Row],[Codigo]],Plan_cuentas[],5,FALSE)," ")</f>
        <v xml:space="preserve"> </v>
      </c>
      <c r="I3669" s="43"/>
      <c r="K3669" t="str">
        <f>IFERROR(+VLOOKUP(Movimientos_2026[[#This Row],[Codigo]],Plan_cuentas[],6,FALSE)," ")</f>
        <v xml:space="preserve"> </v>
      </c>
      <c r="L3669" s="50"/>
      <c r="M3669" s="50"/>
      <c r="N3669" s="20">
        <f>+Movimientos_2026[[#This Row],[Ingresos]]-Movimientos_2026[[#This Row],[Egresos]]</f>
        <v>0</v>
      </c>
      <c r="O3669" s="20">
        <f>+O3668+Movimientos_2026[[#This Row],[Neto]]</f>
        <v>4581558617.7962294</v>
      </c>
    </row>
    <row r="3670" spans="1:15" x14ac:dyDescent="0.25">
      <c r="A3670" s="13"/>
      <c r="B3670" s="12">
        <f>MONTH(Movimientos_2026[[#This Row],[Fecha]])</f>
        <v>1</v>
      </c>
      <c r="C3670" s="12" t="str">
        <f>VLOOKUP((WEEKDAY(Movimientos_2026[[#This Row],[Fecha]],2)),'5. Setup'!$D$6:$E$12,2,FALSE)</f>
        <v>Sab</v>
      </c>
      <c r="E3670" t="str">
        <f>IFERROR(+VLOOKUP(Movimientos_2026[[#This Row],[Codigo]],Plan_cuentas[],2,FALSE)," ")</f>
        <v xml:space="preserve"> </v>
      </c>
      <c r="F3670" t="str">
        <f>IFERROR(+VLOOKUP(Movimientos_2026[[#This Row],[Codigo]],Plan_cuentas[],3,FALSE)," ")</f>
        <v xml:space="preserve"> </v>
      </c>
      <c r="G3670" t="str">
        <f>IFERROR(+VLOOKUP(Movimientos_2026[[#This Row],[Codigo]],Plan_cuentas[],4,FALSE)," ")</f>
        <v xml:space="preserve"> </v>
      </c>
      <c r="H3670" t="str">
        <f>IFERROR(+VLOOKUP(Movimientos_2026[[#This Row],[Codigo]],Plan_cuentas[],5,FALSE)," ")</f>
        <v xml:space="preserve"> </v>
      </c>
      <c r="I3670" s="43"/>
      <c r="K3670" t="str">
        <f>IFERROR(+VLOOKUP(Movimientos_2026[[#This Row],[Codigo]],Plan_cuentas[],6,FALSE)," ")</f>
        <v xml:space="preserve"> </v>
      </c>
      <c r="L3670" s="50"/>
      <c r="M3670" s="50"/>
      <c r="N3670" s="20">
        <f>+Movimientos_2026[[#This Row],[Ingresos]]-Movimientos_2026[[#This Row],[Egresos]]</f>
        <v>0</v>
      </c>
      <c r="O3670" s="20">
        <f>+O3669+Movimientos_2026[[#This Row],[Neto]]</f>
        <v>4581558617.7962294</v>
      </c>
    </row>
    <row r="3671" spans="1:15" x14ac:dyDescent="0.25">
      <c r="A3671" s="13"/>
      <c r="B3671" s="12">
        <f>MONTH(Movimientos_2026[[#This Row],[Fecha]])</f>
        <v>1</v>
      </c>
      <c r="C3671" s="12" t="str">
        <f>VLOOKUP((WEEKDAY(Movimientos_2026[[#This Row],[Fecha]],2)),'5. Setup'!$D$6:$E$12,2,FALSE)</f>
        <v>Sab</v>
      </c>
      <c r="E3671" t="str">
        <f>IFERROR(+VLOOKUP(Movimientos_2026[[#This Row],[Codigo]],Plan_cuentas[],2,FALSE)," ")</f>
        <v xml:space="preserve"> </v>
      </c>
      <c r="F3671" t="str">
        <f>IFERROR(+VLOOKUP(Movimientos_2026[[#This Row],[Codigo]],Plan_cuentas[],3,FALSE)," ")</f>
        <v xml:space="preserve"> </v>
      </c>
      <c r="G3671" t="str">
        <f>IFERROR(+VLOOKUP(Movimientos_2026[[#This Row],[Codigo]],Plan_cuentas[],4,FALSE)," ")</f>
        <v xml:space="preserve"> </v>
      </c>
      <c r="H3671" t="str">
        <f>IFERROR(+VLOOKUP(Movimientos_2026[[#This Row],[Codigo]],Plan_cuentas[],5,FALSE)," ")</f>
        <v xml:space="preserve"> </v>
      </c>
      <c r="I3671" s="43"/>
      <c r="K3671" t="str">
        <f>IFERROR(+VLOOKUP(Movimientos_2026[[#This Row],[Codigo]],Plan_cuentas[],6,FALSE)," ")</f>
        <v xml:space="preserve"> </v>
      </c>
      <c r="L3671" s="50"/>
      <c r="M3671" s="50"/>
      <c r="N3671" s="20">
        <f>+Movimientos_2026[[#This Row],[Ingresos]]-Movimientos_2026[[#This Row],[Egresos]]</f>
        <v>0</v>
      </c>
      <c r="O3671" s="20">
        <f>+O3670+Movimientos_2026[[#This Row],[Neto]]</f>
        <v>4581558617.7962294</v>
      </c>
    </row>
    <row r="3672" spans="1:15" x14ac:dyDescent="0.25">
      <c r="A3672" s="13"/>
      <c r="B3672" s="12">
        <f>MONTH(Movimientos_2026[[#This Row],[Fecha]])</f>
        <v>1</v>
      </c>
      <c r="C3672" s="12" t="str">
        <f>VLOOKUP((WEEKDAY(Movimientos_2026[[#This Row],[Fecha]],2)),'5. Setup'!$D$6:$E$12,2,FALSE)</f>
        <v>Sab</v>
      </c>
      <c r="E3672" t="str">
        <f>IFERROR(+VLOOKUP(Movimientos_2026[[#This Row],[Codigo]],Plan_cuentas[],2,FALSE)," ")</f>
        <v xml:space="preserve"> </v>
      </c>
      <c r="F3672" t="str">
        <f>IFERROR(+VLOOKUP(Movimientos_2026[[#This Row],[Codigo]],Plan_cuentas[],3,FALSE)," ")</f>
        <v xml:space="preserve"> </v>
      </c>
      <c r="G3672" t="str">
        <f>IFERROR(+VLOOKUP(Movimientos_2026[[#This Row],[Codigo]],Plan_cuentas[],4,FALSE)," ")</f>
        <v xml:space="preserve"> </v>
      </c>
      <c r="H3672" t="str">
        <f>IFERROR(+VLOOKUP(Movimientos_2026[[#This Row],[Codigo]],Plan_cuentas[],5,FALSE)," ")</f>
        <v xml:space="preserve"> </v>
      </c>
      <c r="I3672" s="43"/>
      <c r="K3672" t="str">
        <f>IFERROR(+VLOOKUP(Movimientos_2026[[#This Row],[Codigo]],Plan_cuentas[],6,FALSE)," ")</f>
        <v xml:space="preserve"> </v>
      </c>
      <c r="L3672" s="50"/>
      <c r="M3672" s="50"/>
      <c r="N3672" s="20">
        <f>+Movimientos_2026[[#This Row],[Ingresos]]-Movimientos_2026[[#This Row],[Egresos]]</f>
        <v>0</v>
      </c>
      <c r="O3672" s="20">
        <f>+O3671+Movimientos_2026[[#This Row],[Neto]]</f>
        <v>4581558617.7962294</v>
      </c>
    </row>
    <row r="3673" spans="1:15" x14ac:dyDescent="0.25">
      <c r="A3673" s="13"/>
      <c r="B3673" s="12">
        <f>MONTH(Movimientos_2026[[#This Row],[Fecha]])</f>
        <v>1</v>
      </c>
      <c r="C3673" s="12" t="str">
        <f>VLOOKUP((WEEKDAY(Movimientos_2026[[#This Row],[Fecha]],2)),'5. Setup'!$D$6:$E$12,2,FALSE)</f>
        <v>Sab</v>
      </c>
      <c r="E3673" t="str">
        <f>IFERROR(+VLOOKUP(Movimientos_2026[[#This Row],[Codigo]],Plan_cuentas[],2,FALSE)," ")</f>
        <v xml:space="preserve"> </v>
      </c>
      <c r="F3673" t="str">
        <f>IFERROR(+VLOOKUP(Movimientos_2026[[#This Row],[Codigo]],Plan_cuentas[],3,FALSE)," ")</f>
        <v xml:space="preserve"> </v>
      </c>
      <c r="G3673" t="str">
        <f>IFERROR(+VLOOKUP(Movimientos_2026[[#This Row],[Codigo]],Plan_cuentas[],4,FALSE)," ")</f>
        <v xml:space="preserve"> </v>
      </c>
      <c r="H3673" t="str">
        <f>IFERROR(+VLOOKUP(Movimientos_2026[[#This Row],[Codigo]],Plan_cuentas[],5,FALSE)," ")</f>
        <v xml:space="preserve"> </v>
      </c>
      <c r="I3673" s="43"/>
      <c r="K3673" t="str">
        <f>IFERROR(+VLOOKUP(Movimientos_2026[[#This Row],[Codigo]],Plan_cuentas[],6,FALSE)," ")</f>
        <v xml:space="preserve"> </v>
      </c>
      <c r="L3673" s="50"/>
      <c r="M3673" s="50"/>
      <c r="N3673" s="20">
        <f>+Movimientos_2026[[#This Row],[Ingresos]]-Movimientos_2026[[#This Row],[Egresos]]</f>
        <v>0</v>
      </c>
      <c r="O3673" s="20">
        <f>+O3672+Movimientos_2026[[#This Row],[Neto]]</f>
        <v>4581558617.7962294</v>
      </c>
    </row>
    <row r="3674" spans="1:15" x14ac:dyDescent="0.25">
      <c r="A3674" s="13"/>
      <c r="B3674" s="12">
        <f>MONTH(Movimientos_2026[[#This Row],[Fecha]])</f>
        <v>1</v>
      </c>
      <c r="C3674" s="12" t="str">
        <f>VLOOKUP((WEEKDAY(Movimientos_2026[[#This Row],[Fecha]],2)),'5. Setup'!$D$6:$E$12,2,FALSE)</f>
        <v>Sab</v>
      </c>
      <c r="E3674" t="str">
        <f>IFERROR(+VLOOKUP(Movimientos_2026[[#This Row],[Codigo]],Plan_cuentas[],2,FALSE)," ")</f>
        <v xml:space="preserve"> </v>
      </c>
      <c r="F3674" t="str">
        <f>IFERROR(+VLOOKUP(Movimientos_2026[[#This Row],[Codigo]],Plan_cuentas[],3,FALSE)," ")</f>
        <v xml:space="preserve"> </v>
      </c>
      <c r="G3674" t="str">
        <f>IFERROR(+VLOOKUP(Movimientos_2026[[#This Row],[Codigo]],Plan_cuentas[],4,FALSE)," ")</f>
        <v xml:space="preserve"> </v>
      </c>
      <c r="H3674" t="str">
        <f>IFERROR(+VLOOKUP(Movimientos_2026[[#This Row],[Codigo]],Plan_cuentas[],5,FALSE)," ")</f>
        <v xml:space="preserve"> </v>
      </c>
      <c r="I3674" s="43"/>
      <c r="K3674" t="str">
        <f>IFERROR(+VLOOKUP(Movimientos_2026[[#This Row],[Codigo]],Plan_cuentas[],6,FALSE)," ")</f>
        <v xml:space="preserve"> </v>
      </c>
      <c r="L3674" s="50"/>
      <c r="M3674" s="50"/>
      <c r="N3674" s="20">
        <f>+Movimientos_2026[[#This Row],[Ingresos]]-Movimientos_2026[[#This Row],[Egresos]]</f>
        <v>0</v>
      </c>
      <c r="O3674" s="20">
        <f>+O3673+Movimientos_2026[[#This Row],[Neto]]</f>
        <v>4581558617.7962294</v>
      </c>
    </row>
    <row r="3675" spans="1:15" x14ac:dyDescent="0.25">
      <c r="A3675" s="13"/>
      <c r="B3675" s="12">
        <f>MONTH(Movimientos_2026[[#This Row],[Fecha]])</f>
        <v>1</v>
      </c>
      <c r="C3675" s="12" t="str">
        <f>VLOOKUP((WEEKDAY(Movimientos_2026[[#This Row],[Fecha]],2)),'5. Setup'!$D$6:$E$12,2,FALSE)</f>
        <v>Sab</v>
      </c>
      <c r="E3675" t="str">
        <f>IFERROR(+VLOOKUP(Movimientos_2026[[#This Row],[Codigo]],Plan_cuentas[],2,FALSE)," ")</f>
        <v xml:space="preserve"> </v>
      </c>
      <c r="F3675" t="str">
        <f>IFERROR(+VLOOKUP(Movimientos_2026[[#This Row],[Codigo]],Plan_cuentas[],3,FALSE)," ")</f>
        <v xml:space="preserve"> </v>
      </c>
      <c r="G3675" t="str">
        <f>IFERROR(+VLOOKUP(Movimientos_2026[[#This Row],[Codigo]],Plan_cuentas[],4,FALSE)," ")</f>
        <v xml:space="preserve"> </v>
      </c>
      <c r="H3675" t="str">
        <f>IFERROR(+VLOOKUP(Movimientos_2026[[#This Row],[Codigo]],Plan_cuentas[],5,FALSE)," ")</f>
        <v xml:space="preserve"> </v>
      </c>
      <c r="I3675" s="43"/>
      <c r="K3675" t="str">
        <f>IFERROR(+VLOOKUP(Movimientos_2026[[#This Row],[Codigo]],Plan_cuentas[],6,FALSE)," ")</f>
        <v xml:space="preserve"> </v>
      </c>
      <c r="L3675" s="50"/>
      <c r="M3675" s="50"/>
      <c r="N3675" s="20">
        <f>+Movimientos_2026[[#This Row],[Ingresos]]-Movimientos_2026[[#This Row],[Egresos]]</f>
        <v>0</v>
      </c>
      <c r="O3675" s="20">
        <f>+O3674+Movimientos_2026[[#This Row],[Neto]]</f>
        <v>4581558617.7962294</v>
      </c>
    </row>
    <row r="3676" spans="1:15" x14ac:dyDescent="0.25">
      <c r="A3676" s="13"/>
      <c r="B3676" s="12">
        <f>MONTH(Movimientos_2026[[#This Row],[Fecha]])</f>
        <v>1</v>
      </c>
      <c r="C3676" s="12" t="str">
        <f>VLOOKUP((WEEKDAY(Movimientos_2026[[#This Row],[Fecha]],2)),'5. Setup'!$D$6:$E$12,2,FALSE)</f>
        <v>Sab</v>
      </c>
      <c r="E3676" t="str">
        <f>IFERROR(+VLOOKUP(Movimientos_2026[[#This Row],[Codigo]],Plan_cuentas[],2,FALSE)," ")</f>
        <v xml:space="preserve"> </v>
      </c>
      <c r="F3676" t="str">
        <f>IFERROR(+VLOOKUP(Movimientos_2026[[#This Row],[Codigo]],Plan_cuentas[],3,FALSE)," ")</f>
        <v xml:space="preserve"> </v>
      </c>
      <c r="G3676" t="str">
        <f>IFERROR(+VLOOKUP(Movimientos_2026[[#This Row],[Codigo]],Plan_cuentas[],4,FALSE)," ")</f>
        <v xml:space="preserve"> </v>
      </c>
      <c r="H3676" t="str">
        <f>IFERROR(+VLOOKUP(Movimientos_2026[[#This Row],[Codigo]],Plan_cuentas[],5,FALSE)," ")</f>
        <v xml:space="preserve"> </v>
      </c>
      <c r="I3676" s="43"/>
      <c r="K3676" t="str">
        <f>IFERROR(+VLOOKUP(Movimientos_2026[[#This Row],[Codigo]],Plan_cuentas[],6,FALSE)," ")</f>
        <v xml:space="preserve"> </v>
      </c>
      <c r="L3676" s="50"/>
      <c r="M3676" s="50"/>
      <c r="N3676" s="20">
        <f>+Movimientos_2026[[#This Row],[Ingresos]]-Movimientos_2026[[#This Row],[Egresos]]</f>
        <v>0</v>
      </c>
      <c r="O3676" s="20">
        <f>+O3675+Movimientos_2026[[#This Row],[Neto]]</f>
        <v>4581558617.7962294</v>
      </c>
    </row>
    <row r="3677" spans="1:15" x14ac:dyDescent="0.25">
      <c r="A3677" s="13"/>
      <c r="B3677" s="12">
        <f>MONTH(Movimientos_2026[[#This Row],[Fecha]])</f>
        <v>1</v>
      </c>
      <c r="C3677" s="12" t="str">
        <f>VLOOKUP((WEEKDAY(Movimientos_2026[[#This Row],[Fecha]],2)),'5. Setup'!$D$6:$E$12,2,FALSE)</f>
        <v>Sab</v>
      </c>
      <c r="E3677" t="str">
        <f>IFERROR(+VLOOKUP(Movimientos_2026[[#This Row],[Codigo]],Plan_cuentas[],2,FALSE)," ")</f>
        <v xml:space="preserve"> </v>
      </c>
      <c r="F3677" t="str">
        <f>IFERROR(+VLOOKUP(Movimientos_2026[[#This Row],[Codigo]],Plan_cuentas[],3,FALSE)," ")</f>
        <v xml:space="preserve"> </v>
      </c>
      <c r="G3677" t="str">
        <f>IFERROR(+VLOOKUP(Movimientos_2026[[#This Row],[Codigo]],Plan_cuentas[],4,FALSE)," ")</f>
        <v xml:space="preserve"> </v>
      </c>
      <c r="H3677" t="str">
        <f>IFERROR(+VLOOKUP(Movimientos_2026[[#This Row],[Codigo]],Plan_cuentas[],5,FALSE)," ")</f>
        <v xml:space="preserve"> </v>
      </c>
      <c r="I3677" s="43"/>
      <c r="K3677" t="str">
        <f>IFERROR(+VLOOKUP(Movimientos_2026[[#This Row],[Codigo]],Plan_cuentas[],6,FALSE)," ")</f>
        <v xml:space="preserve"> </v>
      </c>
      <c r="L3677" s="50"/>
      <c r="M3677" s="50"/>
      <c r="N3677" s="20">
        <f>+Movimientos_2026[[#This Row],[Ingresos]]-Movimientos_2026[[#This Row],[Egresos]]</f>
        <v>0</v>
      </c>
      <c r="O3677" s="20">
        <f>+O3676+Movimientos_2026[[#This Row],[Neto]]</f>
        <v>4581558617.7962294</v>
      </c>
    </row>
    <row r="3678" spans="1:15" x14ac:dyDescent="0.25">
      <c r="A3678" s="13"/>
      <c r="B3678" s="12">
        <f>MONTH(Movimientos_2026[[#This Row],[Fecha]])</f>
        <v>1</v>
      </c>
      <c r="C3678" s="12" t="str">
        <f>VLOOKUP((WEEKDAY(Movimientos_2026[[#This Row],[Fecha]],2)),'5. Setup'!$D$6:$E$12,2,FALSE)</f>
        <v>Sab</v>
      </c>
      <c r="E3678" t="str">
        <f>IFERROR(+VLOOKUP(Movimientos_2026[[#This Row],[Codigo]],Plan_cuentas[],2,FALSE)," ")</f>
        <v xml:space="preserve"> </v>
      </c>
      <c r="F3678" t="str">
        <f>IFERROR(+VLOOKUP(Movimientos_2026[[#This Row],[Codigo]],Plan_cuentas[],3,FALSE)," ")</f>
        <v xml:space="preserve"> </v>
      </c>
      <c r="G3678" t="str">
        <f>IFERROR(+VLOOKUP(Movimientos_2026[[#This Row],[Codigo]],Plan_cuentas[],4,FALSE)," ")</f>
        <v xml:space="preserve"> </v>
      </c>
      <c r="H3678" t="str">
        <f>IFERROR(+VLOOKUP(Movimientos_2026[[#This Row],[Codigo]],Plan_cuentas[],5,FALSE)," ")</f>
        <v xml:space="preserve"> </v>
      </c>
      <c r="I3678" s="43"/>
      <c r="K3678" t="str">
        <f>IFERROR(+VLOOKUP(Movimientos_2026[[#This Row],[Codigo]],Plan_cuentas[],6,FALSE)," ")</f>
        <v xml:space="preserve"> </v>
      </c>
      <c r="L3678" s="50"/>
      <c r="M3678" s="50"/>
      <c r="N3678" s="20">
        <f>+Movimientos_2026[[#This Row],[Ingresos]]-Movimientos_2026[[#This Row],[Egresos]]</f>
        <v>0</v>
      </c>
      <c r="O3678" s="20">
        <f>+O3677+Movimientos_2026[[#This Row],[Neto]]</f>
        <v>4581558617.7962294</v>
      </c>
    </row>
    <row r="3679" spans="1:15" x14ac:dyDescent="0.25">
      <c r="A3679" s="13"/>
      <c r="B3679" s="12">
        <f>MONTH(Movimientos_2026[[#This Row],[Fecha]])</f>
        <v>1</v>
      </c>
      <c r="C3679" s="12" t="str">
        <f>VLOOKUP((WEEKDAY(Movimientos_2026[[#This Row],[Fecha]],2)),'5. Setup'!$D$6:$E$12,2,FALSE)</f>
        <v>Sab</v>
      </c>
      <c r="E3679" t="str">
        <f>IFERROR(+VLOOKUP(Movimientos_2026[[#This Row],[Codigo]],Plan_cuentas[],2,FALSE)," ")</f>
        <v xml:space="preserve"> </v>
      </c>
      <c r="F3679" t="str">
        <f>IFERROR(+VLOOKUP(Movimientos_2026[[#This Row],[Codigo]],Plan_cuentas[],3,FALSE)," ")</f>
        <v xml:space="preserve"> </v>
      </c>
      <c r="G3679" t="str">
        <f>IFERROR(+VLOOKUP(Movimientos_2026[[#This Row],[Codigo]],Plan_cuentas[],4,FALSE)," ")</f>
        <v xml:space="preserve"> </v>
      </c>
      <c r="H3679" t="str">
        <f>IFERROR(+VLOOKUP(Movimientos_2026[[#This Row],[Codigo]],Plan_cuentas[],5,FALSE)," ")</f>
        <v xml:space="preserve"> </v>
      </c>
      <c r="I3679" s="43"/>
      <c r="K3679" t="str">
        <f>IFERROR(+VLOOKUP(Movimientos_2026[[#This Row],[Codigo]],Plan_cuentas[],6,FALSE)," ")</f>
        <v xml:space="preserve"> </v>
      </c>
      <c r="L3679" s="50"/>
      <c r="M3679" s="50"/>
      <c r="N3679" s="20">
        <f>+Movimientos_2026[[#This Row],[Ingresos]]-Movimientos_2026[[#This Row],[Egresos]]</f>
        <v>0</v>
      </c>
      <c r="O3679" s="20">
        <f>+O3678+Movimientos_2026[[#This Row],[Neto]]</f>
        <v>4581558617.7962294</v>
      </c>
    </row>
    <row r="3680" spans="1:15" x14ac:dyDescent="0.25">
      <c r="A3680" s="13"/>
      <c r="B3680" s="12">
        <f>MONTH(Movimientos_2026[[#This Row],[Fecha]])</f>
        <v>1</v>
      </c>
      <c r="C3680" s="12" t="str">
        <f>VLOOKUP((WEEKDAY(Movimientos_2026[[#This Row],[Fecha]],2)),'5. Setup'!$D$6:$E$12,2,FALSE)</f>
        <v>Sab</v>
      </c>
      <c r="E3680" t="str">
        <f>IFERROR(+VLOOKUP(Movimientos_2026[[#This Row],[Codigo]],Plan_cuentas[],2,FALSE)," ")</f>
        <v xml:space="preserve"> </v>
      </c>
      <c r="F3680" t="str">
        <f>IFERROR(+VLOOKUP(Movimientos_2026[[#This Row],[Codigo]],Plan_cuentas[],3,FALSE)," ")</f>
        <v xml:space="preserve"> </v>
      </c>
      <c r="G3680" t="str">
        <f>IFERROR(+VLOOKUP(Movimientos_2026[[#This Row],[Codigo]],Plan_cuentas[],4,FALSE)," ")</f>
        <v xml:space="preserve"> </v>
      </c>
      <c r="H3680" t="str">
        <f>IFERROR(+VLOOKUP(Movimientos_2026[[#This Row],[Codigo]],Plan_cuentas[],5,FALSE)," ")</f>
        <v xml:space="preserve"> </v>
      </c>
      <c r="I3680" s="43"/>
      <c r="K3680" t="str">
        <f>IFERROR(+VLOOKUP(Movimientos_2026[[#This Row],[Codigo]],Plan_cuentas[],6,FALSE)," ")</f>
        <v xml:space="preserve"> </v>
      </c>
      <c r="L3680" s="50"/>
      <c r="M3680" s="50"/>
      <c r="N3680" s="20">
        <f>+Movimientos_2026[[#This Row],[Ingresos]]-Movimientos_2026[[#This Row],[Egresos]]</f>
        <v>0</v>
      </c>
      <c r="O3680" s="20">
        <f>+O3679+Movimientos_2026[[#This Row],[Neto]]</f>
        <v>4581558617.7962294</v>
      </c>
    </row>
    <row r="3681" spans="1:15" x14ac:dyDescent="0.25">
      <c r="A3681" s="13"/>
      <c r="B3681" s="12">
        <f>MONTH(Movimientos_2026[[#This Row],[Fecha]])</f>
        <v>1</v>
      </c>
      <c r="C3681" s="12" t="str">
        <f>VLOOKUP((WEEKDAY(Movimientos_2026[[#This Row],[Fecha]],2)),'5. Setup'!$D$6:$E$12,2,FALSE)</f>
        <v>Sab</v>
      </c>
      <c r="E3681" t="str">
        <f>IFERROR(+VLOOKUP(Movimientos_2026[[#This Row],[Codigo]],Plan_cuentas[],2,FALSE)," ")</f>
        <v xml:space="preserve"> </v>
      </c>
      <c r="F3681" t="str">
        <f>IFERROR(+VLOOKUP(Movimientos_2026[[#This Row],[Codigo]],Plan_cuentas[],3,FALSE)," ")</f>
        <v xml:space="preserve"> </v>
      </c>
      <c r="G3681" t="str">
        <f>IFERROR(+VLOOKUP(Movimientos_2026[[#This Row],[Codigo]],Plan_cuentas[],4,FALSE)," ")</f>
        <v xml:space="preserve"> </v>
      </c>
      <c r="H3681" t="str">
        <f>IFERROR(+VLOOKUP(Movimientos_2026[[#This Row],[Codigo]],Plan_cuentas[],5,FALSE)," ")</f>
        <v xml:space="preserve"> </v>
      </c>
      <c r="I3681" s="43"/>
      <c r="K3681" t="str">
        <f>IFERROR(+VLOOKUP(Movimientos_2026[[#This Row],[Codigo]],Plan_cuentas[],6,FALSE)," ")</f>
        <v xml:space="preserve"> </v>
      </c>
      <c r="L3681" s="50"/>
      <c r="M3681" s="50"/>
      <c r="N3681" s="20">
        <f>+Movimientos_2026[[#This Row],[Ingresos]]-Movimientos_2026[[#This Row],[Egresos]]</f>
        <v>0</v>
      </c>
      <c r="O3681" s="20">
        <f>+O3680+Movimientos_2026[[#This Row],[Neto]]</f>
        <v>4581558617.7962294</v>
      </c>
    </row>
    <row r="3682" spans="1:15" x14ac:dyDescent="0.25">
      <c r="A3682" s="13"/>
      <c r="B3682" s="12">
        <f>MONTH(Movimientos_2026[[#This Row],[Fecha]])</f>
        <v>1</v>
      </c>
      <c r="C3682" s="12" t="str">
        <f>VLOOKUP((WEEKDAY(Movimientos_2026[[#This Row],[Fecha]],2)),'5. Setup'!$D$6:$E$12,2,FALSE)</f>
        <v>Sab</v>
      </c>
      <c r="E3682" t="str">
        <f>IFERROR(+VLOOKUP(Movimientos_2026[[#This Row],[Codigo]],Plan_cuentas[],2,FALSE)," ")</f>
        <v xml:space="preserve"> </v>
      </c>
      <c r="F3682" t="str">
        <f>IFERROR(+VLOOKUP(Movimientos_2026[[#This Row],[Codigo]],Plan_cuentas[],3,FALSE)," ")</f>
        <v xml:space="preserve"> </v>
      </c>
      <c r="G3682" t="str">
        <f>IFERROR(+VLOOKUP(Movimientos_2026[[#This Row],[Codigo]],Plan_cuentas[],4,FALSE)," ")</f>
        <v xml:space="preserve"> </v>
      </c>
      <c r="H3682" t="str">
        <f>IFERROR(+VLOOKUP(Movimientos_2026[[#This Row],[Codigo]],Plan_cuentas[],5,FALSE)," ")</f>
        <v xml:space="preserve"> </v>
      </c>
      <c r="I3682" s="43"/>
      <c r="K3682" t="str">
        <f>IFERROR(+VLOOKUP(Movimientos_2026[[#This Row],[Codigo]],Plan_cuentas[],6,FALSE)," ")</f>
        <v xml:space="preserve"> </v>
      </c>
      <c r="L3682" s="50"/>
      <c r="M3682" s="50"/>
      <c r="N3682" s="20">
        <f>+Movimientos_2026[[#This Row],[Ingresos]]-Movimientos_2026[[#This Row],[Egresos]]</f>
        <v>0</v>
      </c>
      <c r="O3682" s="20">
        <f>+O3681+Movimientos_2026[[#This Row],[Neto]]</f>
        <v>4581558617.7962294</v>
      </c>
    </row>
    <row r="3683" spans="1:15" x14ac:dyDescent="0.25">
      <c r="A3683" s="13"/>
      <c r="B3683" s="12">
        <f>MONTH(Movimientos_2026[[#This Row],[Fecha]])</f>
        <v>1</v>
      </c>
      <c r="C3683" s="12" t="str">
        <f>VLOOKUP((WEEKDAY(Movimientos_2026[[#This Row],[Fecha]],2)),'5. Setup'!$D$6:$E$12,2,FALSE)</f>
        <v>Sab</v>
      </c>
      <c r="E3683" t="str">
        <f>IFERROR(+VLOOKUP(Movimientos_2026[[#This Row],[Codigo]],Plan_cuentas[],2,FALSE)," ")</f>
        <v xml:space="preserve"> </v>
      </c>
      <c r="F3683" t="str">
        <f>IFERROR(+VLOOKUP(Movimientos_2026[[#This Row],[Codigo]],Plan_cuentas[],3,FALSE)," ")</f>
        <v xml:space="preserve"> </v>
      </c>
      <c r="G3683" t="str">
        <f>IFERROR(+VLOOKUP(Movimientos_2026[[#This Row],[Codigo]],Plan_cuentas[],4,FALSE)," ")</f>
        <v xml:space="preserve"> </v>
      </c>
      <c r="H3683" t="str">
        <f>IFERROR(+VLOOKUP(Movimientos_2026[[#This Row],[Codigo]],Plan_cuentas[],5,FALSE)," ")</f>
        <v xml:space="preserve"> </v>
      </c>
      <c r="I3683" s="43"/>
      <c r="K3683" t="str">
        <f>IFERROR(+VLOOKUP(Movimientos_2026[[#This Row],[Codigo]],Plan_cuentas[],6,FALSE)," ")</f>
        <v xml:space="preserve"> </v>
      </c>
      <c r="L3683" s="50"/>
      <c r="M3683" s="50"/>
      <c r="N3683" s="20">
        <f>+Movimientos_2026[[#This Row],[Ingresos]]-Movimientos_2026[[#This Row],[Egresos]]</f>
        <v>0</v>
      </c>
      <c r="O3683" s="20">
        <f>+O3682+Movimientos_2026[[#This Row],[Neto]]</f>
        <v>4581558617.7962294</v>
      </c>
    </row>
    <row r="3684" spans="1:15" x14ac:dyDescent="0.25">
      <c r="A3684" s="13"/>
      <c r="B3684" s="12">
        <f>MONTH(Movimientos_2026[[#This Row],[Fecha]])</f>
        <v>1</v>
      </c>
      <c r="C3684" s="12" t="str">
        <f>VLOOKUP((WEEKDAY(Movimientos_2026[[#This Row],[Fecha]],2)),'5. Setup'!$D$6:$E$12,2,FALSE)</f>
        <v>Sab</v>
      </c>
      <c r="E3684" t="str">
        <f>IFERROR(+VLOOKUP(Movimientos_2026[[#This Row],[Codigo]],Plan_cuentas[],2,FALSE)," ")</f>
        <v xml:space="preserve"> </v>
      </c>
      <c r="F3684" t="str">
        <f>IFERROR(+VLOOKUP(Movimientos_2026[[#This Row],[Codigo]],Plan_cuentas[],3,FALSE)," ")</f>
        <v xml:space="preserve"> </v>
      </c>
      <c r="G3684" t="str">
        <f>IFERROR(+VLOOKUP(Movimientos_2026[[#This Row],[Codigo]],Plan_cuentas[],4,FALSE)," ")</f>
        <v xml:space="preserve"> </v>
      </c>
      <c r="H3684" t="str">
        <f>IFERROR(+VLOOKUP(Movimientos_2026[[#This Row],[Codigo]],Plan_cuentas[],5,FALSE)," ")</f>
        <v xml:space="preserve"> </v>
      </c>
      <c r="I3684" s="43"/>
      <c r="K3684" t="str">
        <f>IFERROR(+VLOOKUP(Movimientos_2026[[#This Row],[Codigo]],Plan_cuentas[],6,FALSE)," ")</f>
        <v xml:space="preserve"> </v>
      </c>
      <c r="L3684" s="50"/>
      <c r="M3684" s="50"/>
      <c r="N3684" s="20">
        <f>+Movimientos_2026[[#This Row],[Ingresos]]-Movimientos_2026[[#This Row],[Egresos]]</f>
        <v>0</v>
      </c>
      <c r="O3684" s="20">
        <f>+O3683+Movimientos_2026[[#This Row],[Neto]]</f>
        <v>4581558617.7962294</v>
      </c>
    </row>
    <row r="3685" spans="1:15" x14ac:dyDescent="0.25">
      <c r="A3685" s="13"/>
      <c r="B3685" s="12">
        <f>MONTH(Movimientos_2026[[#This Row],[Fecha]])</f>
        <v>1</v>
      </c>
      <c r="C3685" s="12" t="str">
        <f>VLOOKUP((WEEKDAY(Movimientos_2026[[#This Row],[Fecha]],2)),'5. Setup'!$D$6:$E$12,2,FALSE)</f>
        <v>Sab</v>
      </c>
      <c r="E3685" t="str">
        <f>IFERROR(+VLOOKUP(Movimientos_2026[[#This Row],[Codigo]],Plan_cuentas[],2,FALSE)," ")</f>
        <v xml:space="preserve"> </v>
      </c>
      <c r="F3685" t="str">
        <f>IFERROR(+VLOOKUP(Movimientos_2026[[#This Row],[Codigo]],Plan_cuentas[],3,FALSE)," ")</f>
        <v xml:space="preserve"> </v>
      </c>
      <c r="G3685" t="str">
        <f>IFERROR(+VLOOKUP(Movimientos_2026[[#This Row],[Codigo]],Plan_cuentas[],4,FALSE)," ")</f>
        <v xml:space="preserve"> </v>
      </c>
      <c r="H3685" t="str">
        <f>IFERROR(+VLOOKUP(Movimientos_2026[[#This Row],[Codigo]],Plan_cuentas[],5,FALSE)," ")</f>
        <v xml:space="preserve"> </v>
      </c>
      <c r="I3685" s="43"/>
      <c r="K3685" t="str">
        <f>IFERROR(+VLOOKUP(Movimientos_2026[[#This Row],[Codigo]],Plan_cuentas[],6,FALSE)," ")</f>
        <v xml:space="preserve"> </v>
      </c>
      <c r="L3685" s="50"/>
      <c r="M3685" s="50"/>
      <c r="N3685" s="20">
        <f>+Movimientos_2026[[#This Row],[Ingresos]]-Movimientos_2026[[#This Row],[Egresos]]</f>
        <v>0</v>
      </c>
      <c r="O3685" s="20">
        <f>+O3684+Movimientos_2026[[#This Row],[Neto]]</f>
        <v>4581558617.7962294</v>
      </c>
    </row>
    <row r="3686" spans="1:15" x14ac:dyDescent="0.25">
      <c r="A3686" s="13"/>
      <c r="B3686" s="12">
        <f>MONTH(Movimientos_2026[[#This Row],[Fecha]])</f>
        <v>1</v>
      </c>
      <c r="C3686" s="12" t="str">
        <f>VLOOKUP((WEEKDAY(Movimientos_2026[[#This Row],[Fecha]],2)),'5. Setup'!$D$6:$E$12,2,FALSE)</f>
        <v>Sab</v>
      </c>
      <c r="E3686" t="str">
        <f>IFERROR(+VLOOKUP(Movimientos_2026[[#This Row],[Codigo]],Plan_cuentas[],2,FALSE)," ")</f>
        <v xml:space="preserve"> </v>
      </c>
      <c r="F3686" t="str">
        <f>IFERROR(+VLOOKUP(Movimientos_2026[[#This Row],[Codigo]],Plan_cuentas[],3,FALSE)," ")</f>
        <v xml:space="preserve"> </v>
      </c>
      <c r="G3686" t="str">
        <f>IFERROR(+VLOOKUP(Movimientos_2026[[#This Row],[Codigo]],Plan_cuentas[],4,FALSE)," ")</f>
        <v xml:space="preserve"> </v>
      </c>
      <c r="H3686" t="str">
        <f>IFERROR(+VLOOKUP(Movimientos_2026[[#This Row],[Codigo]],Plan_cuentas[],5,FALSE)," ")</f>
        <v xml:space="preserve"> </v>
      </c>
      <c r="I3686" s="43"/>
      <c r="K3686" t="str">
        <f>IFERROR(+VLOOKUP(Movimientos_2026[[#This Row],[Codigo]],Plan_cuentas[],6,FALSE)," ")</f>
        <v xml:space="preserve"> </v>
      </c>
      <c r="L3686" s="50"/>
      <c r="M3686" s="50"/>
      <c r="N3686" s="20">
        <f>+Movimientos_2026[[#This Row],[Ingresos]]-Movimientos_2026[[#This Row],[Egresos]]</f>
        <v>0</v>
      </c>
      <c r="O3686" s="20">
        <f>+O3685+Movimientos_2026[[#This Row],[Neto]]</f>
        <v>4581558617.7962294</v>
      </c>
    </row>
    <row r="3687" spans="1:15" x14ac:dyDescent="0.25">
      <c r="A3687" s="13"/>
      <c r="B3687" s="12">
        <f>MONTH(Movimientos_2026[[#This Row],[Fecha]])</f>
        <v>1</v>
      </c>
      <c r="C3687" s="12" t="str">
        <f>VLOOKUP((WEEKDAY(Movimientos_2026[[#This Row],[Fecha]],2)),'5. Setup'!$D$6:$E$12,2,FALSE)</f>
        <v>Sab</v>
      </c>
      <c r="E3687" t="str">
        <f>IFERROR(+VLOOKUP(Movimientos_2026[[#This Row],[Codigo]],Plan_cuentas[],2,FALSE)," ")</f>
        <v xml:space="preserve"> </v>
      </c>
      <c r="F3687" t="str">
        <f>IFERROR(+VLOOKUP(Movimientos_2026[[#This Row],[Codigo]],Plan_cuentas[],3,FALSE)," ")</f>
        <v xml:space="preserve"> </v>
      </c>
      <c r="G3687" t="str">
        <f>IFERROR(+VLOOKUP(Movimientos_2026[[#This Row],[Codigo]],Plan_cuentas[],4,FALSE)," ")</f>
        <v xml:space="preserve"> </v>
      </c>
      <c r="H3687" t="str">
        <f>IFERROR(+VLOOKUP(Movimientos_2026[[#This Row],[Codigo]],Plan_cuentas[],5,FALSE)," ")</f>
        <v xml:space="preserve"> </v>
      </c>
      <c r="I3687" s="43"/>
      <c r="K3687" t="str">
        <f>IFERROR(+VLOOKUP(Movimientos_2026[[#This Row],[Codigo]],Plan_cuentas[],6,FALSE)," ")</f>
        <v xml:space="preserve"> </v>
      </c>
      <c r="L3687" s="50"/>
      <c r="M3687" s="50"/>
      <c r="N3687" s="20">
        <f>+Movimientos_2026[[#This Row],[Ingresos]]-Movimientos_2026[[#This Row],[Egresos]]</f>
        <v>0</v>
      </c>
      <c r="O3687" s="20">
        <f>+O3686+Movimientos_2026[[#This Row],[Neto]]</f>
        <v>4581558617.7962294</v>
      </c>
    </row>
    <row r="3688" spans="1:15" x14ac:dyDescent="0.25">
      <c r="A3688" s="13"/>
      <c r="B3688" s="12">
        <f>MONTH(Movimientos_2026[[#This Row],[Fecha]])</f>
        <v>1</v>
      </c>
      <c r="C3688" s="12" t="str">
        <f>VLOOKUP((WEEKDAY(Movimientos_2026[[#This Row],[Fecha]],2)),'5. Setup'!$D$6:$E$12,2,FALSE)</f>
        <v>Sab</v>
      </c>
      <c r="E3688" t="str">
        <f>IFERROR(+VLOOKUP(Movimientos_2026[[#This Row],[Codigo]],Plan_cuentas[],2,FALSE)," ")</f>
        <v xml:space="preserve"> </v>
      </c>
      <c r="F3688" t="str">
        <f>IFERROR(+VLOOKUP(Movimientos_2026[[#This Row],[Codigo]],Plan_cuentas[],3,FALSE)," ")</f>
        <v xml:space="preserve"> </v>
      </c>
      <c r="G3688" t="str">
        <f>IFERROR(+VLOOKUP(Movimientos_2026[[#This Row],[Codigo]],Plan_cuentas[],4,FALSE)," ")</f>
        <v xml:space="preserve"> </v>
      </c>
      <c r="H3688" t="str">
        <f>IFERROR(+VLOOKUP(Movimientos_2026[[#This Row],[Codigo]],Plan_cuentas[],5,FALSE)," ")</f>
        <v xml:space="preserve"> </v>
      </c>
      <c r="I3688" s="43"/>
      <c r="K3688" t="str">
        <f>IFERROR(+VLOOKUP(Movimientos_2026[[#This Row],[Codigo]],Plan_cuentas[],6,FALSE)," ")</f>
        <v xml:space="preserve"> </v>
      </c>
      <c r="L3688" s="50"/>
      <c r="M3688" s="50"/>
      <c r="N3688" s="20">
        <f>+Movimientos_2026[[#This Row],[Ingresos]]-Movimientos_2026[[#This Row],[Egresos]]</f>
        <v>0</v>
      </c>
      <c r="O3688" s="20">
        <f>+O3687+Movimientos_2026[[#This Row],[Neto]]</f>
        <v>4581558617.7962294</v>
      </c>
    </row>
    <row r="3689" spans="1:15" x14ac:dyDescent="0.25">
      <c r="A3689" s="13"/>
      <c r="B3689" s="12">
        <f>MONTH(Movimientos_2026[[#This Row],[Fecha]])</f>
        <v>1</v>
      </c>
      <c r="C3689" s="12" t="str">
        <f>VLOOKUP((WEEKDAY(Movimientos_2026[[#This Row],[Fecha]],2)),'5. Setup'!$D$6:$E$12,2,FALSE)</f>
        <v>Sab</v>
      </c>
      <c r="E3689" t="str">
        <f>IFERROR(+VLOOKUP(Movimientos_2026[[#This Row],[Codigo]],Plan_cuentas[],2,FALSE)," ")</f>
        <v xml:space="preserve"> </v>
      </c>
      <c r="F3689" t="str">
        <f>IFERROR(+VLOOKUP(Movimientos_2026[[#This Row],[Codigo]],Plan_cuentas[],3,FALSE)," ")</f>
        <v xml:space="preserve"> </v>
      </c>
      <c r="G3689" t="str">
        <f>IFERROR(+VLOOKUP(Movimientos_2026[[#This Row],[Codigo]],Plan_cuentas[],4,FALSE)," ")</f>
        <v xml:space="preserve"> </v>
      </c>
      <c r="H3689" t="str">
        <f>IFERROR(+VLOOKUP(Movimientos_2026[[#This Row],[Codigo]],Plan_cuentas[],5,FALSE)," ")</f>
        <v xml:space="preserve"> </v>
      </c>
      <c r="I3689" s="43"/>
      <c r="K3689" t="str">
        <f>IFERROR(+VLOOKUP(Movimientos_2026[[#This Row],[Codigo]],Plan_cuentas[],6,FALSE)," ")</f>
        <v xml:space="preserve"> </v>
      </c>
      <c r="L3689" s="50"/>
      <c r="M3689" s="50"/>
      <c r="N3689" s="20">
        <f>+Movimientos_2026[[#This Row],[Ingresos]]-Movimientos_2026[[#This Row],[Egresos]]</f>
        <v>0</v>
      </c>
      <c r="O3689" s="20">
        <f>+O3688+Movimientos_2026[[#This Row],[Neto]]</f>
        <v>4581558617.7962294</v>
      </c>
    </row>
    <row r="3690" spans="1:15" x14ac:dyDescent="0.25">
      <c r="A3690" s="13"/>
      <c r="B3690" s="12">
        <f>MONTH(Movimientos_2026[[#This Row],[Fecha]])</f>
        <v>1</v>
      </c>
      <c r="C3690" s="12" t="str">
        <f>VLOOKUP((WEEKDAY(Movimientos_2026[[#This Row],[Fecha]],2)),'5. Setup'!$D$6:$E$12,2,FALSE)</f>
        <v>Sab</v>
      </c>
      <c r="E3690" t="str">
        <f>IFERROR(+VLOOKUP(Movimientos_2026[[#This Row],[Codigo]],Plan_cuentas[],2,FALSE)," ")</f>
        <v xml:space="preserve"> </v>
      </c>
      <c r="F3690" t="str">
        <f>IFERROR(+VLOOKUP(Movimientos_2026[[#This Row],[Codigo]],Plan_cuentas[],3,FALSE)," ")</f>
        <v xml:space="preserve"> </v>
      </c>
      <c r="G3690" t="str">
        <f>IFERROR(+VLOOKUP(Movimientos_2026[[#This Row],[Codigo]],Plan_cuentas[],4,FALSE)," ")</f>
        <v xml:space="preserve"> </v>
      </c>
      <c r="H3690" t="str">
        <f>IFERROR(+VLOOKUP(Movimientos_2026[[#This Row],[Codigo]],Plan_cuentas[],5,FALSE)," ")</f>
        <v xml:space="preserve"> </v>
      </c>
      <c r="I3690" s="43"/>
      <c r="K3690" t="str">
        <f>IFERROR(+VLOOKUP(Movimientos_2026[[#This Row],[Codigo]],Plan_cuentas[],6,FALSE)," ")</f>
        <v xml:space="preserve"> </v>
      </c>
      <c r="L3690" s="50"/>
      <c r="M3690" s="50"/>
      <c r="N3690" s="20">
        <f>+Movimientos_2026[[#This Row],[Ingresos]]-Movimientos_2026[[#This Row],[Egresos]]</f>
        <v>0</v>
      </c>
      <c r="O3690" s="20">
        <f>+O3689+Movimientos_2026[[#This Row],[Neto]]</f>
        <v>4581558617.7962294</v>
      </c>
    </row>
    <row r="3691" spans="1:15" x14ac:dyDescent="0.25">
      <c r="A3691" s="13"/>
      <c r="B3691" s="12">
        <f>MONTH(Movimientos_2026[[#This Row],[Fecha]])</f>
        <v>1</v>
      </c>
      <c r="C3691" s="12" t="str">
        <f>VLOOKUP((WEEKDAY(Movimientos_2026[[#This Row],[Fecha]],2)),'5. Setup'!$D$6:$E$12,2,FALSE)</f>
        <v>Sab</v>
      </c>
      <c r="E3691" t="str">
        <f>IFERROR(+VLOOKUP(Movimientos_2026[[#This Row],[Codigo]],Plan_cuentas[],2,FALSE)," ")</f>
        <v xml:space="preserve"> </v>
      </c>
      <c r="F3691" t="str">
        <f>IFERROR(+VLOOKUP(Movimientos_2026[[#This Row],[Codigo]],Plan_cuentas[],3,FALSE)," ")</f>
        <v xml:space="preserve"> </v>
      </c>
      <c r="G3691" t="str">
        <f>IFERROR(+VLOOKUP(Movimientos_2026[[#This Row],[Codigo]],Plan_cuentas[],4,FALSE)," ")</f>
        <v xml:space="preserve"> </v>
      </c>
      <c r="H3691" t="str">
        <f>IFERROR(+VLOOKUP(Movimientos_2026[[#This Row],[Codigo]],Plan_cuentas[],5,FALSE)," ")</f>
        <v xml:space="preserve"> </v>
      </c>
      <c r="I3691" s="43"/>
      <c r="K3691" t="str">
        <f>IFERROR(+VLOOKUP(Movimientos_2026[[#This Row],[Codigo]],Plan_cuentas[],6,FALSE)," ")</f>
        <v xml:space="preserve"> </v>
      </c>
      <c r="L3691" s="50"/>
      <c r="M3691" s="50"/>
      <c r="N3691" s="20">
        <f>+Movimientos_2026[[#This Row],[Ingresos]]-Movimientos_2026[[#This Row],[Egresos]]</f>
        <v>0</v>
      </c>
      <c r="O3691" s="20">
        <f>+O3690+Movimientos_2026[[#This Row],[Neto]]</f>
        <v>4581558617.7962294</v>
      </c>
    </row>
    <row r="3692" spans="1:15" x14ac:dyDescent="0.25">
      <c r="A3692" s="13"/>
      <c r="B3692" s="12">
        <f>MONTH(Movimientos_2026[[#This Row],[Fecha]])</f>
        <v>1</v>
      </c>
      <c r="C3692" s="12" t="str">
        <f>VLOOKUP((WEEKDAY(Movimientos_2026[[#This Row],[Fecha]],2)),'5. Setup'!$D$6:$E$12,2,FALSE)</f>
        <v>Sab</v>
      </c>
      <c r="E3692" t="str">
        <f>IFERROR(+VLOOKUP(Movimientos_2026[[#This Row],[Codigo]],Plan_cuentas[],2,FALSE)," ")</f>
        <v xml:space="preserve"> </v>
      </c>
      <c r="F3692" t="str">
        <f>IFERROR(+VLOOKUP(Movimientos_2026[[#This Row],[Codigo]],Plan_cuentas[],3,FALSE)," ")</f>
        <v xml:space="preserve"> </v>
      </c>
      <c r="G3692" t="str">
        <f>IFERROR(+VLOOKUP(Movimientos_2026[[#This Row],[Codigo]],Plan_cuentas[],4,FALSE)," ")</f>
        <v xml:space="preserve"> </v>
      </c>
      <c r="H3692" t="str">
        <f>IFERROR(+VLOOKUP(Movimientos_2026[[#This Row],[Codigo]],Plan_cuentas[],5,FALSE)," ")</f>
        <v xml:space="preserve"> </v>
      </c>
      <c r="I3692" s="43"/>
      <c r="K3692" t="str">
        <f>IFERROR(+VLOOKUP(Movimientos_2026[[#This Row],[Codigo]],Plan_cuentas[],6,FALSE)," ")</f>
        <v xml:space="preserve"> </v>
      </c>
      <c r="L3692" s="50"/>
      <c r="M3692" s="50"/>
      <c r="N3692" s="20">
        <f>+Movimientos_2026[[#This Row],[Ingresos]]-Movimientos_2026[[#This Row],[Egresos]]</f>
        <v>0</v>
      </c>
      <c r="O3692" s="20">
        <f>+O3691+Movimientos_2026[[#This Row],[Neto]]</f>
        <v>4581558617.7962294</v>
      </c>
    </row>
    <row r="3693" spans="1:15" x14ac:dyDescent="0.25">
      <c r="A3693" s="13"/>
      <c r="B3693" s="12">
        <f>MONTH(Movimientos_2026[[#This Row],[Fecha]])</f>
        <v>1</v>
      </c>
      <c r="C3693" s="12" t="str">
        <f>VLOOKUP((WEEKDAY(Movimientos_2026[[#This Row],[Fecha]],2)),'5. Setup'!$D$6:$E$12,2,FALSE)</f>
        <v>Sab</v>
      </c>
      <c r="E3693" t="str">
        <f>IFERROR(+VLOOKUP(Movimientos_2026[[#This Row],[Codigo]],Plan_cuentas[],2,FALSE)," ")</f>
        <v xml:space="preserve"> </v>
      </c>
      <c r="F3693" t="str">
        <f>IFERROR(+VLOOKUP(Movimientos_2026[[#This Row],[Codigo]],Plan_cuentas[],3,FALSE)," ")</f>
        <v xml:space="preserve"> </v>
      </c>
      <c r="G3693" t="str">
        <f>IFERROR(+VLOOKUP(Movimientos_2026[[#This Row],[Codigo]],Plan_cuentas[],4,FALSE)," ")</f>
        <v xml:space="preserve"> </v>
      </c>
      <c r="H3693" t="str">
        <f>IFERROR(+VLOOKUP(Movimientos_2026[[#This Row],[Codigo]],Plan_cuentas[],5,FALSE)," ")</f>
        <v xml:space="preserve"> </v>
      </c>
      <c r="I3693" s="43"/>
      <c r="K3693" t="str">
        <f>IFERROR(+VLOOKUP(Movimientos_2026[[#This Row],[Codigo]],Plan_cuentas[],6,FALSE)," ")</f>
        <v xml:space="preserve"> </v>
      </c>
      <c r="L3693" s="50"/>
      <c r="M3693" s="50"/>
      <c r="N3693" s="20">
        <f>+Movimientos_2026[[#This Row],[Ingresos]]-Movimientos_2026[[#This Row],[Egresos]]</f>
        <v>0</v>
      </c>
      <c r="O3693" s="20">
        <f>+O3692+Movimientos_2026[[#This Row],[Neto]]</f>
        <v>4581558617.7962294</v>
      </c>
    </row>
    <row r="3694" spans="1:15" x14ac:dyDescent="0.25">
      <c r="A3694" s="13"/>
      <c r="B3694" s="12">
        <f>MONTH(Movimientos_2026[[#This Row],[Fecha]])</f>
        <v>1</v>
      </c>
      <c r="C3694" s="12" t="str">
        <f>VLOOKUP((WEEKDAY(Movimientos_2026[[#This Row],[Fecha]],2)),'5. Setup'!$D$6:$E$12,2,FALSE)</f>
        <v>Sab</v>
      </c>
      <c r="E3694" t="str">
        <f>IFERROR(+VLOOKUP(Movimientos_2026[[#This Row],[Codigo]],Plan_cuentas[],2,FALSE)," ")</f>
        <v xml:space="preserve"> </v>
      </c>
      <c r="F3694" t="str">
        <f>IFERROR(+VLOOKUP(Movimientos_2026[[#This Row],[Codigo]],Plan_cuentas[],3,FALSE)," ")</f>
        <v xml:space="preserve"> </v>
      </c>
      <c r="G3694" t="str">
        <f>IFERROR(+VLOOKUP(Movimientos_2026[[#This Row],[Codigo]],Plan_cuentas[],4,FALSE)," ")</f>
        <v xml:space="preserve"> </v>
      </c>
      <c r="H3694" t="str">
        <f>IFERROR(+VLOOKUP(Movimientos_2026[[#This Row],[Codigo]],Plan_cuentas[],5,FALSE)," ")</f>
        <v xml:space="preserve"> </v>
      </c>
      <c r="I3694" s="43"/>
      <c r="K3694" t="str">
        <f>IFERROR(+VLOOKUP(Movimientos_2026[[#This Row],[Codigo]],Plan_cuentas[],6,FALSE)," ")</f>
        <v xml:space="preserve"> </v>
      </c>
      <c r="L3694" s="50"/>
      <c r="M3694" s="50"/>
      <c r="N3694" s="20">
        <f>+Movimientos_2026[[#This Row],[Ingresos]]-Movimientos_2026[[#This Row],[Egresos]]</f>
        <v>0</v>
      </c>
      <c r="O3694" s="20">
        <f>+O3693+Movimientos_2026[[#This Row],[Neto]]</f>
        <v>4581558617.7962294</v>
      </c>
    </row>
    <row r="3695" spans="1:15" x14ac:dyDescent="0.25">
      <c r="A3695" s="13"/>
      <c r="B3695" s="12">
        <f>MONTH(Movimientos_2026[[#This Row],[Fecha]])</f>
        <v>1</v>
      </c>
      <c r="C3695" s="12" t="str">
        <f>VLOOKUP((WEEKDAY(Movimientos_2026[[#This Row],[Fecha]],2)),'5. Setup'!$D$6:$E$12,2,FALSE)</f>
        <v>Sab</v>
      </c>
      <c r="E3695" t="str">
        <f>IFERROR(+VLOOKUP(Movimientos_2026[[#This Row],[Codigo]],Plan_cuentas[],2,FALSE)," ")</f>
        <v xml:space="preserve"> </v>
      </c>
      <c r="F3695" t="str">
        <f>IFERROR(+VLOOKUP(Movimientos_2026[[#This Row],[Codigo]],Plan_cuentas[],3,FALSE)," ")</f>
        <v xml:space="preserve"> </v>
      </c>
      <c r="G3695" t="str">
        <f>IFERROR(+VLOOKUP(Movimientos_2026[[#This Row],[Codigo]],Plan_cuentas[],4,FALSE)," ")</f>
        <v xml:space="preserve"> </v>
      </c>
      <c r="H3695" t="str">
        <f>IFERROR(+VLOOKUP(Movimientos_2026[[#This Row],[Codigo]],Plan_cuentas[],5,FALSE)," ")</f>
        <v xml:space="preserve"> </v>
      </c>
      <c r="I3695" s="43"/>
      <c r="K3695" t="str">
        <f>IFERROR(+VLOOKUP(Movimientos_2026[[#This Row],[Codigo]],Plan_cuentas[],6,FALSE)," ")</f>
        <v xml:space="preserve"> </v>
      </c>
      <c r="L3695" s="50"/>
      <c r="M3695" s="50"/>
      <c r="N3695" s="20">
        <f>+Movimientos_2026[[#This Row],[Ingresos]]-Movimientos_2026[[#This Row],[Egresos]]</f>
        <v>0</v>
      </c>
      <c r="O3695" s="20">
        <f>+O3694+Movimientos_2026[[#This Row],[Neto]]</f>
        <v>4581558617.7962294</v>
      </c>
    </row>
    <row r="3696" spans="1:15" x14ac:dyDescent="0.25">
      <c r="A3696" s="13"/>
      <c r="B3696" s="12">
        <f>MONTH(Movimientos_2026[[#This Row],[Fecha]])</f>
        <v>1</v>
      </c>
      <c r="C3696" s="12" t="str">
        <f>VLOOKUP((WEEKDAY(Movimientos_2026[[#This Row],[Fecha]],2)),'5. Setup'!$D$6:$E$12,2,FALSE)</f>
        <v>Sab</v>
      </c>
      <c r="E3696" t="str">
        <f>IFERROR(+VLOOKUP(Movimientos_2026[[#This Row],[Codigo]],Plan_cuentas[],2,FALSE)," ")</f>
        <v xml:space="preserve"> </v>
      </c>
      <c r="F3696" t="str">
        <f>IFERROR(+VLOOKUP(Movimientos_2026[[#This Row],[Codigo]],Plan_cuentas[],3,FALSE)," ")</f>
        <v xml:space="preserve"> </v>
      </c>
      <c r="G3696" t="str">
        <f>IFERROR(+VLOOKUP(Movimientos_2026[[#This Row],[Codigo]],Plan_cuentas[],4,FALSE)," ")</f>
        <v xml:space="preserve"> </v>
      </c>
      <c r="H3696" t="str">
        <f>IFERROR(+VLOOKUP(Movimientos_2026[[#This Row],[Codigo]],Plan_cuentas[],5,FALSE)," ")</f>
        <v xml:space="preserve"> </v>
      </c>
      <c r="I3696" s="43"/>
      <c r="K3696" t="str">
        <f>IFERROR(+VLOOKUP(Movimientos_2026[[#This Row],[Codigo]],Plan_cuentas[],6,FALSE)," ")</f>
        <v xml:space="preserve"> </v>
      </c>
      <c r="L3696" s="50"/>
      <c r="M3696" s="50"/>
      <c r="N3696" s="20">
        <f>+Movimientos_2026[[#This Row],[Ingresos]]-Movimientos_2026[[#This Row],[Egresos]]</f>
        <v>0</v>
      </c>
      <c r="O3696" s="20">
        <f>+O3695+Movimientos_2026[[#This Row],[Neto]]</f>
        <v>4581558617.7962294</v>
      </c>
    </row>
    <row r="3697" spans="1:15" x14ac:dyDescent="0.25">
      <c r="A3697" s="13"/>
      <c r="B3697" s="12">
        <f>MONTH(Movimientos_2026[[#This Row],[Fecha]])</f>
        <v>1</v>
      </c>
      <c r="C3697" s="12" t="str">
        <f>VLOOKUP((WEEKDAY(Movimientos_2026[[#This Row],[Fecha]],2)),'5. Setup'!$D$6:$E$12,2,FALSE)</f>
        <v>Sab</v>
      </c>
      <c r="E3697" t="str">
        <f>IFERROR(+VLOOKUP(Movimientos_2026[[#This Row],[Codigo]],Plan_cuentas[],2,FALSE)," ")</f>
        <v xml:space="preserve"> </v>
      </c>
      <c r="F3697" t="str">
        <f>IFERROR(+VLOOKUP(Movimientos_2026[[#This Row],[Codigo]],Plan_cuentas[],3,FALSE)," ")</f>
        <v xml:space="preserve"> </v>
      </c>
      <c r="G3697" t="str">
        <f>IFERROR(+VLOOKUP(Movimientos_2026[[#This Row],[Codigo]],Plan_cuentas[],4,FALSE)," ")</f>
        <v xml:space="preserve"> </v>
      </c>
      <c r="H3697" t="str">
        <f>IFERROR(+VLOOKUP(Movimientos_2026[[#This Row],[Codigo]],Plan_cuentas[],5,FALSE)," ")</f>
        <v xml:space="preserve"> </v>
      </c>
      <c r="I3697" s="43"/>
      <c r="K3697" t="str">
        <f>IFERROR(+VLOOKUP(Movimientos_2026[[#This Row],[Codigo]],Plan_cuentas[],6,FALSE)," ")</f>
        <v xml:space="preserve"> </v>
      </c>
      <c r="L3697" s="50"/>
      <c r="M3697" s="50"/>
      <c r="N3697" s="20">
        <f>+Movimientos_2026[[#This Row],[Ingresos]]-Movimientos_2026[[#This Row],[Egresos]]</f>
        <v>0</v>
      </c>
      <c r="O3697" s="20">
        <f>+O3696+Movimientos_2026[[#This Row],[Neto]]</f>
        <v>4581558617.7962294</v>
      </c>
    </row>
    <row r="3698" spans="1:15" x14ac:dyDescent="0.25">
      <c r="A3698" s="13"/>
      <c r="B3698" s="12">
        <f>MONTH(Movimientos_2026[[#This Row],[Fecha]])</f>
        <v>1</v>
      </c>
      <c r="C3698" s="12" t="str">
        <f>VLOOKUP((WEEKDAY(Movimientos_2026[[#This Row],[Fecha]],2)),'5. Setup'!$D$6:$E$12,2,FALSE)</f>
        <v>Sab</v>
      </c>
      <c r="E3698" t="str">
        <f>IFERROR(+VLOOKUP(Movimientos_2026[[#This Row],[Codigo]],Plan_cuentas[],2,FALSE)," ")</f>
        <v xml:space="preserve"> </v>
      </c>
      <c r="F3698" t="str">
        <f>IFERROR(+VLOOKUP(Movimientos_2026[[#This Row],[Codigo]],Plan_cuentas[],3,FALSE)," ")</f>
        <v xml:space="preserve"> </v>
      </c>
      <c r="G3698" t="str">
        <f>IFERROR(+VLOOKUP(Movimientos_2026[[#This Row],[Codigo]],Plan_cuentas[],4,FALSE)," ")</f>
        <v xml:space="preserve"> </v>
      </c>
      <c r="H3698" t="str">
        <f>IFERROR(+VLOOKUP(Movimientos_2026[[#This Row],[Codigo]],Plan_cuentas[],5,FALSE)," ")</f>
        <v xml:space="preserve"> </v>
      </c>
      <c r="I3698" s="43"/>
      <c r="K3698" t="str">
        <f>IFERROR(+VLOOKUP(Movimientos_2026[[#This Row],[Codigo]],Plan_cuentas[],6,FALSE)," ")</f>
        <v xml:space="preserve"> </v>
      </c>
      <c r="L3698" s="50"/>
      <c r="M3698" s="50"/>
      <c r="N3698" s="20">
        <f>+Movimientos_2026[[#This Row],[Ingresos]]-Movimientos_2026[[#This Row],[Egresos]]</f>
        <v>0</v>
      </c>
      <c r="O3698" s="20">
        <f>+O3697+Movimientos_2026[[#This Row],[Neto]]</f>
        <v>4581558617.7962294</v>
      </c>
    </row>
    <row r="3699" spans="1:15" x14ac:dyDescent="0.25">
      <c r="A3699" s="13"/>
      <c r="B3699" s="12">
        <f>MONTH(Movimientos_2026[[#This Row],[Fecha]])</f>
        <v>1</v>
      </c>
      <c r="C3699" s="12" t="str">
        <f>VLOOKUP((WEEKDAY(Movimientos_2026[[#This Row],[Fecha]],2)),'5. Setup'!$D$6:$E$12,2,FALSE)</f>
        <v>Sab</v>
      </c>
      <c r="E3699" t="str">
        <f>IFERROR(+VLOOKUP(Movimientos_2026[[#This Row],[Codigo]],Plan_cuentas[],2,FALSE)," ")</f>
        <v xml:space="preserve"> </v>
      </c>
      <c r="F3699" t="str">
        <f>IFERROR(+VLOOKUP(Movimientos_2026[[#This Row],[Codigo]],Plan_cuentas[],3,FALSE)," ")</f>
        <v xml:space="preserve"> </v>
      </c>
      <c r="G3699" t="str">
        <f>IFERROR(+VLOOKUP(Movimientos_2026[[#This Row],[Codigo]],Plan_cuentas[],4,FALSE)," ")</f>
        <v xml:space="preserve"> </v>
      </c>
      <c r="H3699" t="str">
        <f>IFERROR(+VLOOKUP(Movimientos_2026[[#This Row],[Codigo]],Plan_cuentas[],5,FALSE)," ")</f>
        <v xml:space="preserve"> </v>
      </c>
      <c r="I3699" s="43"/>
      <c r="K3699" t="str">
        <f>IFERROR(+VLOOKUP(Movimientos_2026[[#This Row],[Codigo]],Plan_cuentas[],6,FALSE)," ")</f>
        <v xml:space="preserve"> </v>
      </c>
      <c r="L3699" s="50"/>
      <c r="M3699" s="50"/>
      <c r="N3699" s="20">
        <f>+Movimientos_2026[[#This Row],[Ingresos]]-Movimientos_2026[[#This Row],[Egresos]]</f>
        <v>0</v>
      </c>
      <c r="O3699" s="20">
        <f>+O3698+Movimientos_2026[[#This Row],[Neto]]</f>
        <v>4581558617.7962294</v>
      </c>
    </row>
    <row r="3700" spans="1:15" x14ac:dyDescent="0.25">
      <c r="A3700" s="13"/>
      <c r="B3700" s="12">
        <f>MONTH(Movimientos_2026[[#This Row],[Fecha]])</f>
        <v>1</v>
      </c>
      <c r="C3700" s="12" t="str">
        <f>VLOOKUP((WEEKDAY(Movimientos_2026[[#This Row],[Fecha]],2)),'5. Setup'!$D$6:$E$12,2,FALSE)</f>
        <v>Sab</v>
      </c>
      <c r="E3700" t="str">
        <f>IFERROR(+VLOOKUP(Movimientos_2026[[#This Row],[Codigo]],Plan_cuentas[],2,FALSE)," ")</f>
        <v xml:space="preserve"> </v>
      </c>
      <c r="F3700" t="str">
        <f>IFERROR(+VLOOKUP(Movimientos_2026[[#This Row],[Codigo]],Plan_cuentas[],3,FALSE)," ")</f>
        <v xml:space="preserve"> </v>
      </c>
      <c r="G3700" t="str">
        <f>IFERROR(+VLOOKUP(Movimientos_2026[[#This Row],[Codigo]],Plan_cuentas[],4,FALSE)," ")</f>
        <v xml:space="preserve"> </v>
      </c>
      <c r="H3700" t="str">
        <f>IFERROR(+VLOOKUP(Movimientos_2026[[#This Row],[Codigo]],Plan_cuentas[],5,FALSE)," ")</f>
        <v xml:space="preserve"> </v>
      </c>
      <c r="I3700" s="43"/>
      <c r="K3700" t="str">
        <f>IFERROR(+VLOOKUP(Movimientos_2026[[#This Row],[Codigo]],Plan_cuentas[],6,FALSE)," ")</f>
        <v xml:space="preserve"> </v>
      </c>
      <c r="L3700" s="50"/>
      <c r="M3700" s="50"/>
      <c r="N3700" s="20">
        <f>+Movimientos_2026[[#This Row],[Ingresos]]-Movimientos_2026[[#This Row],[Egresos]]</f>
        <v>0</v>
      </c>
      <c r="O3700" s="20">
        <f>+O3699+Movimientos_2026[[#This Row],[Neto]]</f>
        <v>4581558617.7962294</v>
      </c>
    </row>
    <row r="3701" spans="1:15" x14ac:dyDescent="0.25">
      <c r="A3701" s="13"/>
      <c r="B3701" s="12">
        <f>MONTH(Movimientos_2026[[#This Row],[Fecha]])</f>
        <v>1</v>
      </c>
      <c r="C3701" s="12" t="str">
        <f>VLOOKUP((WEEKDAY(Movimientos_2026[[#This Row],[Fecha]],2)),'5. Setup'!$D$6:$E$12,2,FALSE)</f>
        <v>Sab</v>
      </c>
      <c r="E3701" t="str">
        <f>IFERROR(+VLOOKUP(Movimientos_2026[[#This Row],[Codigo]],Plan_cuentas[],2,FALSE)," ")</f>
        <v xml:space="preserve"> </v>
      </c>
      <c r="F3701" t="str">
        <f>IFERROR(+VLOOKUP(Movimientos_2026[[#This Row],[Codigo]],Plan_cuentas[],3,FALSE)," ")</f>
        <v xml:space="preserve"> </v>
      </c>
      <c r="G3701" t="str">
        <f>IFERROR(+VLOOKUP(Movimientos_2026[[#This Row],[Codigo]],Plan_cuentas[],4,FALSE)," ")</f>
        <v xml:space="preserve"> </v>
      </c>
      <c r="H3701" t="str">
        <f>IFERROR(+VLOOKUP(Movimientos_2026[[#This Row],[Codigo]],Plan_cuentas[],5,FALSE)," ")</f>
        <v xml:space="preserve"> </v>
      </c>
      <c r="I3701" s="43"/>
      <c r="K3701" t="str">
        <f>IFERROR(+VLOOKUP(Movimientos_2026[[#This Row],[Codigo]],Plan_cuentas[],6,FALSE)," ")</f>
        <v xml:space="preserve"> </v>
      </c>
      <c r="L3701" s="50"/>
      <c r="M3701" s="50"/>
      <c r="N3701" s="20">
        <f>+Movimientos_2026[[#This Row],[Ingresos]]-Movimientos_2026[[#This Row],[Egresos]]</f>
        <v>0</v>
      </c>
      <c r="O3701" s="20">
        <f>+O3700+Movimientos_2026[[#This Row],[Neto]]</f>
        <v>4581558617.7962294</v>
      </c>
    </row>
    <row r="3702" spans="1:15" x14ac:dyDescent="0.25">
      <c r="A3702" s="13"/>
      <c r="B3702" s="12">
        <f>MONTH(Movimientos_2026[[#This Row],[Fecha]])</f>
        <v>1</v>
      </c>
      <c r="C3702" s="12" t="str">
        <f>VLOOKUP((WEEKDAY(Movimientos_2026[[#This Row],[Fecha]],2)),'5. Setup'!$D$6:$E$12,2,FALSE)</f>
        <v>Sab</v>
      </c>
      <c r="E3702" t="str">
        <f>IFERROR(+VLOOKUP(Movimientos_2026[[#This Row],[Codigo]],Plan_cuentas[],2,FALSE)," ")</f>
        <v xml:space="preserve"> </v>
      </c>
      <c r="F3702" t="str">
        <f>IFERROR(+VLOOKUP(Movimientos_2026[[#This Row],[Codigo]],Plan_cuentas[],3,FALSE)," ")</f>
        <v xml:space="preserve"> </v>
      </c>
      <c r="G3702" t="str">
        <f>IFERROR(+VLOOKUP(Movimientos_2026[[#This Row],[Codigo]],Plan_cuentas[],4,FALSE)," ")</f>
        <v xml:space="preserve"> </v>
      </c>
      <c r="H3702" t="str">
        <f>IFERROR(+VLOOKUP(Movimientos_2026[[#This Row],[Codigo]],Plan_cuentas[],5,FALSE)," ")</f>
        <v xml:space="preserve"> </v>
      </c>
      <c r="I3702" s="43"/>
      <c r="K3702" t="str">
        <f>IFERROR(+VLOOKUP(Movimientos_2026[[#This Row],[Codigo]],Plan_cuentas[],6,FALSE)," ")</f>
        <v xml:space="preserve"> </v>
      </c>
      <c r="L3702" s="50"/>
      <c r="M3702" s="50"/>
      <c r="N3702" s="20">
        <f>+Movimientos_2026[[#This Row],[Ingresos]]-Movimientos_2026[[#This Row],[Egresos]]</f>
        <v>0</v>
      </c>
      <c r="O3702" s="20">
        <f>+O3701+Movimientos_2026[[#This Row],[Neto]]</f>
        <v>4581558617.7962294</v>
      </c>
    </row>
    <row r="3703" spans="1:15" x14ac:dyDescent="0.25">
      <c r="A3703" s="13"/>
      <c r="B3703" s="12">
        <f>MONTH(Movimientos_2026[[#This Row],[Fecha]])</f>
        <v>1</v>
      </c>
      <c r="C3703" s="12" t="str">
        <f>VLOOKUP((WEEKDAY(Movimientos_2026[[#This Row],[Fecha]],2)),'5. Setup'!$D$6:$E$12,2,FALSE)</f>
        <v>Sab</v>
      </c>
      <c r="E3703" t="str">
        <f>IFERROR(+VLOOKUP(Movimientos_2026[[#This Row],[Codigo]],Plan_cuentas[],2,FALSE)," ")</f>
        <v xml:space="preserve"> </v>
      </c>
      <c r="F3703" t="str">
        <f>IFERROR(+VLOOKUP(Movimientos_2026[[#This Row],[Codigo]],Plan_cuentas[],3,FALSE)," ")</f>
        <v xml:space="preserve"> </v>
      </c>
      <c r="G3703" t="str">
        <f>IFERROR(+VLOOKUP(Movimientos_2026[[#This Row],[Codigo]],Plan_cuentas[],4,FALSE)," ")</f>
        <v xml:space="preserve"> </v>
      </c>
      <c r="H3703" t="str">
        <f>IFERROR(+VLOOKUP(Movimientos_2026[[#This Row],[Codigo]],Plan_cuentas[],5,FALSE)," ")</f>
        <v xml:space="preserve"> </v>
      </c>
      <c r="I3703" s="43"/>
      <c r="K3703" t="str">
        <f>IFERROR(+VLOOKUP(Movimientos_2026[[#This Row],[Codigo]],Plan_cuentas[],6,FALSE)," ")</f>
        <v xml:space="preserve"> </v>
      </c>
      <c r="L3703" s="50"/>
      <c r="M3703" s="50"/>
      <c r="N3703" s="20">
        <f>+Movimientos_2026[[#This Row],[Ingresos]]-Movimientos_2026[[#This Row],[Egresos]]</f>
        <v>0</v>
      </c>
      <c r="O3703" s="20">
        <f>+O3702+Movimientos_2026[[#This Row],[Neto]]</f>
        <v>4581558617.7962294</v>
      </c>
    </row>
    <row r="3704" spans="1:15" x14ac:dyDescent="0.25">
      <c r="A3704" s="13"/>
      <c r="B3704" s="12">
        <f>MONTH(Movimientos_2026[[#This Row],[Fecha]])</f>
        <v>1</v>
      </c>
      <c r="C3704" s="12" t="str">
        <f>VLOOKUP((WEEKDAY(Movimientos_2026[[#This Row],[Fecha]],2)),'5. Setup'!$D$6:$E$12,2,FALSE)</f>
        <v>Sab</v>
      </c>
      <c r="E3704" t="str">
        <f>IFERROR(+VLOOKUP(Movimientos_2026[[#This Row],[Codigo]],Plan_cuentas[],2,FALSE)," ")</f>
        <v xml:space="preserve"> </v>
      </c>
      <c r="F3704" t="str">
        <f>IFERROR(+VLOOKUP(Movimientos_2026[[#This Row],[Codigo]],Plan_cuentas[],3,FALSE)," ")</f>
        <v xml:space="preserve"> </v>
      </c>
      <c r="G3704" t="str">
        <f>IFERROR(+VLOOKUP(Movimientos_2026[[#This Row],[Codigo]],Plan_cuentas[],4,FALSE)," ")</f>
        <v xml:space="preserve"> </v>
      </c>
      <c r="H3704" t="str">
        <f>IFERROR(+VLOOKUP(Movimientos_2026[[#This Row],[Codigo]],Plan_cuentas[],5,FALSE)," ")</f>
        <v xml:space="preserve"> </v>
      </c>
      <c r="I3704" s="43"/>
      <c r="K3704" t="str">
        <f>IFERROR(+VLOOKUP(Movimientos_2026[[#This Row],[Codigo]],Plan_cuentas[],6,FALSE)," ")</f>
        <v xml:space="preserve"> </v>
      </c>
      <c r="L3704" s="50"/>
      <c r="M3704" s="50"/>
      <c r="N3704" s="20">
        <f>+Movimientos_2026[[#This Row],[Ingresos]]-Movimientos_2026[[#This Row],[Egresos]]</f>
        <v>0</v>
      </c>
      <c r="O3704" s="20">
        <f>+O3703+Movimientos_2026[[#This Row],[Neto]]</f>
        <v>4581558617.7962294</v>
      </c>
    </row>
    <row r="3705" spans="1:15" x14ac:dyDescent="0.25">
      <c r="A3705" s="13"/>
      <c r="B3705" s="12">
        <f>MONTH(Movimientos_2026[[#This Row],[Fecha]])</f>
        <v>1</v>
      </c>
      <c r="C3705" s="12" t="str">
        <f>VLOOKUP((WEEKDAY(Movimientos_2026[[#This Row],[Fecha]],2)),'5. Setup'!$D$6:$E$12,2,FALSE)</f>
        <v>Sab</v>
      </c>
      <c r="E3705" t="str">
        <f>IFERROR(+VLOOKUP(Movimientos_2026[[#This Row],[Codigo]],Plan_cuentas[],2,FALSE)," ")</f>
        <v xml:space="preserve"> </v>
      </c>
      <c r="F3705" t="str">
        <f>IFERROR(+VLOOKUP(Movimientos_2026[[#This Row],[Codigo]],Plan_cuentas[],3,FALSE)," ")</f>
        <v xml:space="preserve"> </v>
      </c>
      <c r="G3705" t="str">
        <f>IFERROR(+VLOOKUP(Movimientos_2026[[#This Row],[Codigo]],Plan_cuentas[],4,FALSE)," ")</f>
        <v xml:space="preserve"> </v>
      </c>
      <c r="H3705" t="str">
        <f>IFERROR(+VLOOKUP(Movimientos_2026[[#This Row],[Codigo]],Plan_cuentas[],5,FALSE)," ")</f>
        <v xml:space="preserve"> </v>
      </c>
      <c r="I3705" s="43"/>
      <c r="K3705" t="str">
        <f>IFERROR(+VLOOKUP(Movimientos_2026[[#This Row],[Codigo]],Plan_cuentas[],6,FALSE)," ")</f>
        <v xml:space="preserve"> </v>
      </c>
      <c r="L3705" s="50"/>
      <c r="M3705" s="50"/>
      <c r="N3705" s="20">
        <f>+Movimientos_2026[[#This Row],[Ingresos]]-Movimientos_2026[[#This Row],[Egresos]]</f>
        <v>0</v>
      </c>
      <c r="O3705" s="20">
        <f>+O3704+Movimientos_2026[[#This Row],[Neto]]</f>
        <v>4581558617.7962294</v>
      </c>
    </row>
    <row r="3706" spans="1:15" x14ac:dyDescent="0.25">
      <c r="A3706" s="13"/>
      <c r="B3706" s="12">
        <f>MONTH(Movimientos_2026[[#This Row],[Fecha]])</f>
        <v>1</v>
      </c>
      <c r="C3706" s="12" t="str">
        <f>VLOOKUP((WEEKDAY(Movimientos_2026[[#This Row],[Fecha]],2)),'5. Setup'!$D$6:$E$12,2,FALSE)</f>
        <v>Sab</v>
      </c>
      <c r="E3706" t="str">
        <f>IFERROR(+VLOOKUP(Movimientos_2026[[#This Row],[Codigo]],Plan_cuentas[],2,FALSE)," ")</f>
        <v xml:space="preserve"> </v>
      </c>
      <c r="F3706" t="str">
        <f>IFERROR(+VLOOKUP(Movimientos_2026[[#This Row],[Codigo]],Plan_cuentas[],3,FALSE)," ")</f>
        <v xml:space="preserve"> </v>
      </c>
      <c r="G3706" t="str">
        <f>IFERROR(+VLOOKUP(Movimientos_2026[[#This Row],[Codigo]],Plan_cuentas[],4,FALSE)," ")</f>
        <v xml:space="preserve"> </v>
      </c>
      <c r="H3706" t="str">
        <f>IFERROR(+VLOOKUP(Movimientos_2026[[#This Row],[Codigo]],Plan_cuentas[],5,FALSE)," ")</f>
        <v xml:space="preserve"> </v>
      </c>
      <c r="I3706" s="43"/>
      <c r="K3706" t="str">
        <f>IFERROR(+VLOOKUP(Movimientos_2026[[#This Row],[Codigo]],Plan_cuentas[],6,FALSE)," ")</f>
        <v xml:space="preserve"> </v>
      </c>
      <c r="L3706" s="50"/>
      <c r="M3706" s="50"/>
      <c r="N3706" s="20">
        <f>+Movimientos_2026[[#This Row],[Ingresos]]-Movimientos_2026[[#This Row],[Egresos]]</f>
        <v>0</v>
      </c>
      <c r="O3706" s="20">
        <f>+O3705+Movimientos_2026[[#This Row],[Neto]]</f>
        <v>4581558617.7962294</v>
      </c>
    </row>
    <row r="3707" spans="1:15" x14ac:dyDescent="0.25">
      <c r="A3707" s="13"/>
      <c r="B3707" s="12">
        <f>MONTH(Movimientos_2026[[#This Row],[Fecha]])</f>
        <v>1</v>
      </c>
      <c r="C3707" s="12" t="str">
        <f>VLOOKUP((WEEKDAY(Movimientos_2026[[#This Row],[Fecha]],2)),'5. Setup'!$D$6:$E$12,2,FALSE)</f>
        <v>Sab</v>
      </c>
      <c r="E3707" t="str">
        <f>IFERROR(+VLOOKUP(Movimientos_2026[[#This Row],[Codigo]],Plan_cuentas[],2,FALSE)," ")</f>
        <v xml:space="preserve"> </v>
      </c>
      <c r="F3707" t="str">
        <f>IFERROR(+VLOOKUP(Movimientos_2026[[#This Row],[Codigo]],Plan_cuentas[],3,FALSE)," ")</f>
        <v xml:space="preserve"> </v>
      </c>
      <c r="G3707" t="str">
        <f>IFERROR(+VLOOKUP(Movimientos_2026[[#This Row],[Codigo]],Plan_cuentas[],4,FALSE)," ")</f>
        <v xml:space="preserve"> </v>
      </c>
      <c r="H3707" t="str">
        <f>IFERROR(+VLOOKUP(Movimientos_2026[[#This Row],[Codigo]],Plan_cuentas[],5,FALSE)," ")</f>
        <v xml:space="preserve"> </v>
      </c>
      <c r="I3707" s="43"/>
      <c r="K3707" t="str">
        <f>IFERROR(+VLOOKUP(Movimientos_2026[[#This Row],[Codigo]],Plan_cuentas[],6,FALSE)," ")</f>
        <v xml:space="preserve"> </v>
      </c>
      <c r="L3707" s="50"/>
      <c r="M3707" s="50"/>
      <c r="N3707" s="20">
        <f>+Movimientos_2026[[#This Row],[Ingresos]]-Movimientos_2026[[#This Row],[Egresos]]</f>
        <v>0</v>
      </c>
      <c r="O3707" s="20">
        <f>+O3706+Movimientos_2026[[#This Row],[Neto]]</f>
        <v>4581558617.7962294</v>
      </c>
    </row>
    <row r="3708" spans="1:15" x14ac:dyDescent="0.25">
      <c r="A3708" s="13"/>
      <c r="B3708" s="12">
        <f>MONTH(Movimientos_2026[[#This Row],[Fecha]])</f>
        <v>1</v>
      </c>
      <c r="C3708" s="12" t="str">
        <f>VLOOKUP((WEEKDAY(Movimientos_2026[[#This Row],[Fecha]],2)),'5. Setup'!$D$6:$E$12,2,FALSE)</f>
        <v>Sab</v>
      </c>
      <c r="E3708" t="str">
        <f>IFERROR(+VLOOKUP(Movimientos_2026[[#This Row],[Codigo]],Plan_cuentas[],2,FALSE)," ")</f>
        <v xml:space="preserve"> </v>
      </c>
      <c r="F3708" t="str">
        <f>IFERROR(+VLOOKUP(Movimientos_2026[[#This Row],[Codigo]],Plan_cuentas[],3,FALSE)," ")</f>
        <v xml:space="preserve"> </v>
      </c>
      <c r="G3708" t="str">
        <f>IFERROR(+VLOOKUP(Movimientos_2026[[#This Row],[Codigo]],Plan_cuentas[],4,FALSE)," ")</f>
        <v xml:space="preserve"> </v>
      </c>
      <c r="H3708" t="str">
        <f>IFERROR(+VLOOKUP(Movimientos_2026[[#This Row],[Codigo]],Plan_cuentas[],5,FALSE)," ")</f>
        <v xml:space="preserve"> </v>
      </c>
      <c r="I3708" s="43"/>
      <c r="K3708" t="str">
        <f>IFERROR(+VLOOKUP(Movimientos_2026[[#This Row],[Codigo]],Plan_cuentas[],6,FALSE)," ")</f>
        <v xml:space="preserve"> </v>
      </c>
      <c r="L3708" s="50"/>
      <c r="M3708" s="50"/>
      <c r="N3708" s="20">
        <f>+Movimientos_2026[[#This Row],[Ingresos]]-Movimientos_2026[[#This Row],[Egresos]]</f>
        <v>0</v>
      </c>
      <c r="O3708" s="20">
        <f>+O3707+Movimientos_2026[[#This Row],[Neto]]</f>
        <v>4581558617.7962294</v>
      </c>
    </row>
    <row r="3709" spans="1:15" x14ac:dyDescent="0.25">
      <c r="A3709" s="13"/>
      <c r="B3709" s="12">
        <f>MONTH(Movimientos_2026[[#This Row],[Fecha]])</f>
        <v>1</v>
      </c>
      <c r="C3709" s="12" t="str">
        <f>VLOOKUP((WEEKDAY(Movimientos_2026[[#This Row],[Fecha]],2)),'5. Setup'!$D$6:$E$12,2,FALSE)</f>
        <v>Sab</v>
      </c>
      <c r="E3709" t="str">
        <f>IFERROR(+VLOOKUP(Movimientos_2026[[#This Row],[Codigo]],Plan_cuentas[],2,FALSE)," ")</f>
        <v xml:space="preserve"> </v>
      </c>
      <c r="F3709" t="str">
        <f>IFERROR(+VLOOKUP(Movimientos_2026[[#This Row],[Codigo]],Plan_cuentas[],3,FALSE)," ")</f>
        <v xml:space="preserve"> </v>
      </c>
      <c r="G3709" t="str">
        <f>IFERROR(+VLOOKUP(Movimientos_2026[[#This Row],[Codigo]],Plan_cuentas[],4,FALSE)," ")</f>
        <v xml:space="preserve"> </v>
      </c>
      <c r="H3709" t="str">
        <f>IFERROR(+VLOOKUP(Movimientos_2026[[#This Row],[Codigo]],Plan_cuentas[],5,FALSE)," ")</f>
        <v xml:space="preserve"> </v>
      </c>
      <c r="I3709" s="43"/>
      <c r="K3709" t="str">
        <f>IFERROR(+VLOOKUP(Movimientos_2026[[#This Row],[Codigo]],Plan_cuentas[],6,FALSE)," ")</f>
        <v xml:space="preserve"> </v>
      </c>
      <c r="L3709" s="50"/>
      <c r="M3709" s="50"/>
      <c r="N3709" s="20">
        <f>+Movimientos_2026[[#This Row],[Ingresos]]-Movimientos_2026[[#This Row],[Egresos]]</f>
        <v>0</v>
      </c>
      <c r="O3709" s="20">
        <f>+O3708+Movimientos_2026[[#This Row],[Neto]]</f>
        <v>4581558617.7962294</v>
      </c>
    </row>
    <row r="3710" spans="1:15" x14ac:dyDescent="0.25">
      <c r="A3710" s="13"/>
      <c r="B3710" s="12">
        <f>MONTH(Movimientos_2026[[#This Row],[Fecha]])</f>
        <v>1</v>
      </c>
      <c r="C3710" s="12" t="str">
        <f>VLOOKUP((WEEKDAY(Movimientos_2026[[#This Row],[Fecha]],2)),'5. Setup'!$D$6:$E$12,2,FALSE)</f>
        <v>Sab</v>
      </c>
      <c r="E3710" t="str">
        <f>IFERROR(+VLOOKUP(Movimientos_2026[[#This Row],[Codigo]],Plan_cuentas[],2,FALSE)," ")</f>
        <v xml:space="preserve"> </v>
      </c>
      <c r="F3710" t="str">
        <f>IFERROR(+VLOOKUP(Movimientos_2026[[#This Row],[Codigo]],Plan_cuentas[],3,FALSE)," ")</f>
        <v xml:space="preserve"> </v>
      </c>
      <c r="G3710" t="str">
        <f>IFERROR(+VLOOKUP(Movimientos_2026[[#This Row],[Codigo]],Plan_cuentas[],4,FALSE)," ")</f>
        <v xml:space="preserve"> </v>
      </c>
      <c r="H3710" t="str">
        <f>IFERROR(+VLOOKUP(Movimientos_2026[[#This Row],[Codigo]],Plan_cuentas[],5,FALSE)," ")</f>
        <v xml:space="preserve"> </v>
      </c>
      <c r="I3710" s="43"/>
      <c r="K3710" t="str">
        <f>IFERROR(+VLOOKUP(Movimientos_2026[[#This Row],[Codigo]],Plan_cuentas[],6,FALSE)," ")</f>
        <v xml:space="preserve"> </v>
      </c>
      <c r="L3710" s="50"/>
      <c r="M3710" s="50"/>
      <c r="N3710" s="20">
        <f>+Movimientos_2026[[#This Row],[Ingresos]]-Movimientos_2026[[#This Row],[Egresos]]</f>
        <v>0</v>
      </c>
      <c r="O3710" s="20">
        <f>+O3709+Movimientos_2026[[#This Row],[Neto]]</f>
        <v>4581558617.7962294</v>
      </c>
    </row>
    <row r="3711" spans="1:15" x14ac:dyDescent="0.25">
      <c r="A3711" s="13"/>
      <c r="B3711" s="12">
        <f>MONTH(Movimientos_2026[[#This Row],[Fecha]])</f>
        <v>1</v>
      </c>
      <c r="C3711" s="12" t="str">
        <f>VLOOKUP((WEEKDAY(Movimientos_2026[[#This Row],[Fecha]],2)),'5. Setup'!$D$6:$E$12,2,FALSE)</f>
        <v>Sab</v>
      </c>
      <c r="E3711" t="str">
        <f>IFERROR(+VLOOKUP(Movimientos_2026[[#This Row],[Codigo]],Plan_cuentas[],2,FALSE)," ")</f>
        <v xml:space="preserve"> </v>
      </c>
      <c r="F3711" t="str">
        <f>IFERROR(+VLOOKUP(Movimientos_2026[[#This Row],[Codigo]],Plan_cuentas[],3,FALSE)," ")</f>
        <v xml:space="preserve"> </v>
      </c>
      <c r="G3711" t="str">
        <f>IFERROR(+VLOOKUP(Movimientos_2026[[#This Row],[Codigo]],Plan_cuentas[],4,FALSE)," ")</f>
        <v xml:space="preserve"> </v>
      </c>
      <c r="H3711" t="str">
        <f>IFERROR(+VLOOKUP(Movimientos_2026[[#This Row],[Codigo]],Plan_cuentas[],5,FALSE)," ")</f>
        <v xml:space="preserve"> </v>
      </c>
      <c r="I3711" s="43"/>
      <c r="K3711" t="str">
        <f>IFERROR(+VLOOKUP(Movimientos_2026[[#This Row],[Codigo]],Plan_cuentas[],6,FALSE)," ")</f>
        <v xml:space="preserve"> </v>
      </c>
      <c r="L3711" s="50"/>
      <c r="M3711" s="50"/>
      <c r="N3711" s="20">
        <f>+Movimientos_2026[[#This Row],[Ingresos]]-Movimientos_2026[[#This Row],[Egresos]]</f>
        <v>0</v>
      </c>
      <c r="O3711" s="20">
        <f>+O3710+Movimientos_2026[[#This Row],[Neto]]</f>
        <v>4581558617.7962294</v>
      </c>
    </row>
    <row r="3712" spans="1:15" x14ac:dyDescent="0.25">
      <c r="A3712" s="13"/>
      <c r="B3712" s="12">
        <f>MONTH(Movimientos_2026[[#This Row],[Fecha]])</f>
        <v>1</v>
      </c>
      <c r="C3712" s="12" t="str">
        <f>VLOOKUP((WEEKDAY(Movimientos_2026[[#This Row],[Fecha]],2)),'5. Setup'!$D$6:$E$12,2,FALSE)</f>
        <v>Sab</v>
      </c>
      <c r="E3712" t="str">
        <f>IFERROR(+VLOOKUP(Movimientos_2026[[#This Row],[Codigo]],Plan_cuentas[],2,FALSE)," ")</f>
        <v xml:space="preserve"> </v>
      </c>
      <c r="F3712" t="str">
        <f>IFERROR(+VLOOKUP(Movimientos_2026[[#This Row],[Codigo]],Plan_cuentas[],3,FALSE)," ")</f>
        <v xml:space="preserve"> </v>
      </c>
      <c r="G3712" t="str">
        <f>IFERROR(+VLOOKUP(Movimientos_2026[[#This Row],[Codigo]],Plan_cuentas[],4,FALSE)," ")</f>
        <v xml:space="preserve"> </v>
      </c>
      <c r="H3712" t="str">
        <f>IFERROR(+VLOOKUP(Movimientos_2026[[#This Row],[Codigo]],Plan_cuentas[],5,FALSE)," ")</f>
        <v xml:space="preserve"> </v>
      </c>
      <c r="I3712" s="43"/>
      <c r="K3712" t="str">
        <f>IFERROR(+VLOOKUP(Movimientos_2026[[#This Row],[Codigo]],Plan_cuentas[],6,FALSE)," ")</f>
        <v xml:space="preserve"> </v>
      </c>
      <c r="L3712" s="50"/>
      <c r="M3712" s="50"/>
      <c r="N3712" s="20">
        <f>+Movimientos_2026[[#This Row],[Ingresos]]-Movimientos_2026[[#This Row],[Egresos]]</f>
        <v>0</v>
      </c>
      <c r="O3712" s="20">
        <f>+O3711+Movimientos_2026[[#This Row],[Neto]]</f>
        <v>4581558617.7962294</v>
      </c>
    </row>
    <row r="3713" spans="1:15" x14ac:dyDescent="0.25">
      <c r="A3713" s="13"/>
      <c r="B3713" s="12">
        <f>MONTH(Movimientos_2026[[#This Row],[Fecha]])</f>
        <v>1</v>
      </c>
      <c r="C3713" s="12" t="str">
        <f>VLOOKUP((WEEKDAY(Movimientos_2026[[#This Row],[Fecha]],2)),'5. Setup'!$D$6:$E$12,2,FALSE)</f>
        <v>Sab</v>
      </c>
      <c r="E3713" t="str">
        <f>IFERROR(+VLOOKUP(Movimientos_2026[[#This Row],[Codigo]],Plan_cuentas[],2,FALSE)," ")</f>
        <v xml:space="preserve"> </v>
      </c>
      <c r="F3713" t="str">
        <f>IFERROR(+VLOOKUP(Movimientos_2026[[#This Row],[Codigo]],Plan_cuentas[],3,FALSE)," ")</f>
        <v xml:space="preserve"> </v>
      </c>
      <c r="G3713" t="str">
        <f>IFERROR(+VLOOKUP(Movimientos_2026[[#This Row],[Codigo]],Plan_cuentas[],4,FALSE)," ")</f>
        <v xml:space="preserve"> </v>
      </c>
      <c r="H3713" t="str">
        <f>IFERROR(+VLOOKUP(Movimientos_2026[[#This Row],[Codigo]],Plan_cuentas[],5,FALSE)," ")</f>
        <v xml:space="preserve"> </v>
      </c>
      <c r="I3713" s="43"/>
      <c r="K3713" t="str">
        <f>IFERROR(+VLOOKUP(Movimientos_2026[[#This Row],[Codigo]],Plan_cuentas[],6,FALSE)," ")</f>
        <v xml:space="preserve"> </v>
      </c>
      <c r="L3713" s="50"/>
      <c r="M3713" s="50"/>
      <c r="N3713" s="20">
        <f>+Movimientos_2026[[#This Row],[Ingresos]]-Movimientos_2026[[#This Row],[Egresos]]</f>
        <v>0</v>
      </c>
      <c r="O3713" s="20">
        <f>+O3712+Movimientos_2026[[#This Row],[Neto]]</f>
        <v>4581558617.7962294</v>
      </c>
    </row>
    <row r="3714" spans="1:15" x14ac:dyDescent="0.25">
      <c r="A3714" s="13"/>
      <c r="B3714" s="12">
        <f>MONTH(Movimientos_2026[[#This Row],[Fecha]])</f>
        <v>1</v>
      </c>
      <c r="C3714" s="12" t="str">
        <f>VLOOKUP((WEEKDAY(Movimientos_2026[[#This Row],[Fecha]],2)),'5. Setup'!$D$6:$E$12,2,FALSE)</f>
        <v>Sab</v>
      </c>
      <c r="E3714" t="str">
        <f>IFERROR(+VLOOKUP(Movimientos_2026[[#This Row],[Codigo]],Plan_cuentas[],2,FALSE)," ")</f>
        <v xml:space="preserve"> </v>
      </c>
      <c r="F3714" t="str">
        <f>IFERROR(+VLOOKUP(Movimientos_2026[[#This Row],[Codigo]],Plan_cuentas[],3,FALSE)," ")</f>
        <v xml:space="preserve"> </v>
      </c>
      <c r="G3714" t="str">
        <f>IFERROR(+VLOOKUP(Movimientos_2026[[#This Row],[Codigo]],Plan_cuentas[],4,FALSE)," ")</f>
        <v xml:space="preserve"> </v>
      </c>
      <c r="H3714" t="str">
        <f>IFERROR(+VLOOKUP(Movimientos_2026[[#This Row],[Codigo]],Plan_cuentas[],5,FALSE)," ")</f>
        <v xml:space="preserve"> </v>
      </c>
      <c r="I3714" s="43"/>
      <c r="K3714" t="str">
        <f>IFERROR(+VLOOKUP(Movimientos_2026[[#This Row],[Codigo]],Plan_cuentas[],6,FALSE)," ")</f>
        <v xml:space="preserve"> </v>
      </c>
      <c r="L3714" s="50"/>
      <c r="M3714" s="50"/>
      <c r="N3714" s="20">
        <f>+Movimientos_2026[[#This Row],[Ingresos]]-Movimientos_2026[[#This Row],[Egresos]]</f>
        <v>0</v>
      </c>
      <c r="O3714" s="20">
        <f>+O3713+Movimientos_2026[[#This Row],[Neto]]</f>
        <v>4581558617.7962294</v>
      </c>
    </row>
    <row r="3715" spans="1:15" x14ac:dyDescent="0.25">
      <c r="A3715" s="13"/>
      <c r="B3715" s="12">
        <f>MONTH(Movimientos_2026[[#This Row],[Fecha]])</f>
        <v>1</v>
      </c>
      <c r="C3715" s="12" t="str">
        <f>VLOOKUP((WEEKDAY(Movimientos_2026[[#This Row],[Fecha]],2)),'5. Setup'!$D$6:$E$12,2,FALSE)</f>
        <v>Sab</v>
      </c>
      <c r="E3715" t="str">
        <f>IFERROR(+VLOOKUP(Movimientos_2026[[#This Row],[Codigo]],Plan_cuentas[],2,FALSE)," ")</f>
        <v xml:space="preserve"> </v>
      </c>
      <c r="F3715" t="str">
        <f>IFERROR(+VLOOKUP(Movimientos_2026[[#This Row],[Codigo]],Plan_cuentas[],3,FALSE)," ")</f>
        <v xml:space="preserve"> </v>
      </c>
      <c r="G3715" t="str">
        <f>IFERROR(+VLOOKUP(Movimientos_2026[[#This Row],[Codigo]],Plan_cuentas[],4,FALSE)," ")</f>
        <v xml:space="preserve"> </v>
      </c>
      <c r="H3715" t="str">
        <f>IFERROR(+VLOOKUP(Movimientos_2026[[#This Row],[Codigo]],Plan_cuentas[],5,FALSE)," ")</f>
        <v xml:space="preserve"> </v>
      </c>
      <c r="I3715" s="43"/>
      <c r="K3715" t="str">
        <f>IFERROR(+VLOOKUP(Movimientos_2026[[#This Row],[Codigo]],Plan_cuentas[],6,FALSE)," ")</f>
        <v xml:space="preserve"> </v>
      </c>
      <c r="L3715" s="50"/>
      <c r="M3715" s="50"/>
      <c r="N3715" s="20">
        <f>+Movimientos_2026[[#This Row],[Ingresos]]-Movimientos_2026[[#This Row],[Egresos]]</f>
        <v>0</v>
      </c>
      <c r="O3715" s="20">
        <f>+O3714+Movimientos_2026[[#This Row],[Neto]]</f>
        <v>4581558617.7962294</v>
      </c>
    </row>
    <row r="3716" spans="1:15" x14ac:dyDescent="0.25">
      <c r="A3716" s="13"/>
      <c r="B3716" s="12">
        <f>MONTH(Movimientos_2026[[#This Row],[Fecha]])</f>
        <v>1</v>
      </c>
      <c r="C3716" s="12" t="str">
        <f>VLOOKUP((WEEKDAY(Movimientos_2026[[#This Row],[Fecha]],2)),'5. Setup'!$D$6:$E$12,2,FALSE)</f>
        <v>Sab</v>
      </c>
      <c r="E3716" t="str">
        <f>IFERROR(+VLOOKUP(Movimientos_2026[[#This Row],[Codigo]],Plan_cuentas[],2,FALSE)," ")</f>
        <v xml:space="preserve"> </v>
      </c>
      <c r="F3716" t="str">
        <f>IFERROR(+VLOOKUP(Movimientos_2026[[#This Row],[Codigo]],Plan_cuentas[],3,FALSE)," ")</f>
        <v xml:space="preserve"> </v>
      </c>
      <c r="G3716" t="str">
        <f>IFERROR(+VLOOKUP(Movimientos_2026[[#This Row],[Codigo]],Plan_cuentas[],4,FALSE)," ")</f>
        <v xml:space="preserve"> </v>
      </c>
      <c r="H3716" t="str">
        <f>IFERROR(+VLOOKUP(Movimientos_2026[[#This Row],[Codigo]],Plan_cuentas[],5,FALSE)," ")</f>
        <v xml:space="preserve"> </v>
      </c>
      <c r="I3716" s="43"/>
      <c r="K3716" t="str">
        <f>IFERROR(+VLOOKUP(Movimientos_2026[[#This Row],[Codigo]],Plan_cuentas[],6,FALSE)," ")</f>
        <v xml:space="preserve"> </v>
      </c>
      <c r="L3716" s="50"/>
      <c r="M3716" s="50"/>
      <c r="N3716" s="20">
        <f>+Movimientos_2026[[#This Row],[Ingresos]]-Movimientos_2026[[#This Row],[Egresos]]</f>
        <v>0</v>
      </c>
      <c r="O3716" s="20">
        <f>+O3715+Movimientos_2026[[#This Row],[Neto]]</f>
        <v>4581558617.7962294</v>
      </c>
    </row>
    <row r="3717" spans="1:15" x14ac:dyDescent="0.25">
      <c r="A3717" s="13"/>
      <c r="B3717" s="12">
        <f>MONTH(Movimientos_2026[[#This Row],[Fecha]])</f>
        <v>1</v>
      </c>
      <c r="C3717" s="12" t="str">
        <f>VLOOKUP((WEEKDAY(Movimientos_2026[[#This Row],[Fecha]],2)),'5. Setup'!$D$6:$E$12,2,FALSE)</f>
        <v>Sab</v>
      </c>
      <c r="E3717" t="str">
        <f>IFERROR(+VLOOKUP(Movimientos_2026[[#This Row],[Codigo]],Plan_cuentas[],2,FALSE)," ")</f>
        <v xml:space="preserve"> </v>
      </c>
      <c r="F3717" t="str">
        <f>IFERROR(+VLOOKUP(Movimientos_2026[[#This Row],[Codigo]],Plan_cuentas[],3,FALSE)," ")</f>
        <v xml:space="preserve"> </v>
      </c>
      <c r="G3717" t="str">
        <f>IFERROR(+VLOOKUP(Movimientos_2026[[#This Row],[Codigo]],Plan_cuentas[],4,FALSE)," ")</f>
        <v xml:space="preserve"> </v>
      </c>
      <c r="H3717" t="str">
        <f>IFERROR(+VLOOKUP(Movimientos_2026[[#This Row],[Codigo]],Plan_cuentas[],5,FALSE)," ")</f>
        <v xml:space="preserve"> </v>
      </c>
      <c r="I3717" s="43"/>
      <c r="K3717" t="str">
        <f>IFERROR(+VLOOKUP(Movimientos_2026[[#This Row],[Codigo]],Plan_cuentas[],6,FALSE)," ")</f>
        <v xml:space="preserve"> </v>
      </c>
      <c r="L3717" s="50"/>
      <c r="M3717" s="50"/>
      <c r="N3717" s="20">
        <f>+Movimientos_2026[[#This Row],[Ingresos]]-Movimientos_2026[[#This Row],[Egresos]]</f>
        <v>0</v>
      </c>
      <c r="O3717" s="20">
        <f>+O3716+Movimientos_2026[[#This Row],[Neto]]</f>
        <v>4581558617.7962294</v>
      </c>
    </row>
    <row r="3718" spans="1:15" x14ac:dyDescent="0.25">
      <c r="A3718" s="13"/>
      <c r="B3718" s="12">
        <f>MONTH(Movimientos_2026[[#This Row],[Fecha]])</f>
        <v>1</v>
      </c>
      <c r="C3718" s="12" t="str">
        <f>VLOOKUP((WEEKDAY(Movimientos_2026[[#This Row],[Fecha]],2)),'5. Setup'!$D$6:$E$12,2,FALSE)</f>
        <v>Sab</v>
      </c>
      <c r="E3718" t="str">
        <f>IFERROR(+VLOOKUP(Movimientos_2026[[#This Row],[Codigo]],Plan_cuentas[],2,FALSE)," ")</f>
        <v xml:space="preserve"> </v>
      </c>
      <c r="F3718" t="str">
        <f>IFERROR(+VLOOKUP(Movimientos_2026[[#This Row],[Codigo]],Plan_cuentas[],3,FALSE)," ")</f>
        <v xml:space="preserve"> </v>
      </c>
      <c r="G3718" t="str">
        <f>IFERROR(+VLOOKUP(Movimientos_2026[[#This Row],[Codigo]],Plan_cuentas[],4,FALSE)," ")</f>
        <v xml:space="preserve"> </v>
      </c>
      <c r="H3718" t="str">
        <f>IFERROR(+VLOOKUP(Movimientos_2026[[#This Row],[Codigo]],Plan_cuentas[],5,FALSE)," ")</f>
        <v xml:space="preserve"> </v>
      </c>
      <c r="I3718" s="43"/>
      <c r="K3718" t="str">
        <f>IFERROR(+VLOOKUP(Movimientos_2026[[#This Row],[Codigo]],Plan_cuentas[],6,FALSE)," ")</f>
        <v xml:space="preserve"> </v>
      </c>
      <c r="L3718" s="50"/>
      <c r="M3718" s="50"/>
      <c r="N3718" s="20">
        <f>+Movimientos_2026[[#This Row],[Ingresos]]-Movimientos_2026[[#This Row],[Egresos]]</f>
        <v>0</v>
      </c>
      <c r="O3718" s="20">
        <f>+O3717+Movimientos_2026[[#This Row],[Neto]]</f>
        <v>4581558617.7962294</v>
      </c>
    </row>
    <row r="3719" spans="1:15" x14ac:dyDescent="0.25">
      <c r="A3719" s="13"/>
      <c r="B3719" s="12">
        <f>MONTH(Movimientos_2026[[#This Row],[Fecha]])</f>
        <v>1</v>
      </c>
      <c r="C3719" s="12" t="str">
        <f>VLOOKUP((WEEKDAY(Movimientos_2026[[#This Row],[Fecha]],2)),'5. Setup'!$D$6:$E$12,2,FALSE)</f>
        <v>Sab</v>
      </c>
      <c r="E3719" t="str">
        <f>IFERROR(+VLOOKUP(Movimientos_2026[[#This Row],[Codigo]],Plan_cuentas[],2,FALSE)," ")</f>
        <v xml:space="preserve"> </v>
      </c>
      <c r="F3719" t="str">
        <f>IFERROR(+VLOOKUP(Movimientos_2026[[#This Row],[Codigo]],Plan_cuentas[],3,FALSE)," ")</f>
        <v xml:space="preserve"> </v>
      </c>
      <c r="G3719" t="str">
        <f>IFERROR(+VLOOKUP(Movimientos_2026[[#This Row],[Codigo]],Plan_cuentas[],4,FALSE)," ")</f>
        <v xml:space="preserve"> </v>
      </c>
      <c r="H3719" t="str">
        <f>IFERROR(+VLOOKUP(Movimientos_2026[[#This Row],[Codigo]],Plan_cuentas[],5,FALSE)," ")</f>
        <v xml:space="preserve"> </v>
      </c>
      <c r="I3719" s="43"/>
      <c r="K3719" t="str">
        <f>IFERROR(+VLOOKUP(Movimientos_2026[[#This Row],[Codigo]],Plan_cuentas[],6,FALSE)," ")</f>
        <v xml:space="preserve"> </v>
      </c>
      <c r="L3719" s="50"/>
      <c r="M3719" s="50"/>
      <c r="N3719" s="20">
        <f>+Movimientos_2026[[#This Row],[Ingresos]]-Movimientos_2026[[#This Row],[Egresos]]</f>
        <v>0</v>
      </c>
      <c r="O3719" s="20">
        <f>+O3718+Movimientos_2026[[#This Row],[Neto]]</f>
        <v>4581558617.7962294</v>
      </c>
    </row>
    <row r="3720" spans="1:15" x14ac:dyDescent="0.25">
      <c r="A3720" s="13"/>
      <c r="B3720" s="12">
        <f>MONTH(Movimientos_2026[[#This Row],[Fecha]])</f>
        <v>1</v>
      </c>
      <c r="C3720" s="12" t="str">
        <f>VLOOKUP((WEEKDAY(Movimientos_2026[[#This Row],[Fecha]],2)),'5. Setup'!$D$6:$E$12,2,FALSE)</f>
        <v>Sab</v>
      </c>
      <c r="E3720" t="str">
        <f>IFERROR(+VLOOKUP(Movimientos_2026[[#This Row],[Codigo]],Plan_cuentas[],2,FALSE)," ")</f>
        <v xml:space="preserve"> </v>
      </c>
      <c r="F3720" t="str">
        <f>IFERROR(+VLOOKUP(Movimientos_2026[[#This Row],[Codigo]],Plan_cuentas[],3,FALSE)," ")</f>
        <v xml:space="preserve"> </v>
      </c>
      <c r="G3720" t="str">
        <f>IFERROR(+VLOOKUP(Movimientos_2026[[#This Row],[Codigo]],Plan_cuentas[],4,FALSE)," ")</f>
        <v xml:space="preserve"> </v>
      </c>
      <c r="H3720" t="str">
        <f>IFERROR(+VLOOKUP(Movimientos_2026[[#This Row],[Codigo]],Plan_cuentas[],5,FALSE)," ")</f>
        <v xml:space="preserve"> </v>
      </c>
      <c r="I3720" s="43"/>
      <c r="K3720" t="str">
        <f>IFERROR(+VLOOKUP(Movimientos_2026[[#This Row],[Codigo]],Plan_cuentas[],6,FALSE)," ")</f>
        <v xml:space="preserve"> </v>
      </c>
      <c r="L3720" s="50"/>
      <c r="M3720" s="50"/>
      <c r="N3720" s="20">
        <f>+Movimientos_2026[[#This Row],[Ingresos]]-Movimientos_2026[[#This Row],[Egresos]]</f>
        <v>0</v>
      </c>
      <c r="O3720" s="20">
        <f>+O3719+Movimientos_2026[[#This Row],[Neto]]</f>
        <v>4581558617.7962294</v>
      </c>
    </row>
    <row r="3721" spans="1:15" x14ac:dyDescent="0.25">
      <c r="A3721" s="13"/>
      <c r="B3721" s="12">
        <f>MONTH(Movimientos_2026[[#This Row],[Fecha]])</f>
        <v>1</v>
      </c>
      <c r="C3721" s="12" t="str">
        <f>VLOOKUP((WEEKDAY(Movimientos_2026[[#This Row],[Fecha]],2)),'5. Setup'!$D$6:$E$12,2,FALSE)</f>
        <v>Sab</v>
      </c>
      <c r="E3721" t="str">
        <f>IFERROR(+VLOOKUP(Movimientos_2026[[#This Row],[Codigo]],Plan_cuentas[],2,FALSE)," ")</f>
        <v xml:space="preserve"> </v>
      </c>
      <c r="F3721" t="str">
        <f>IFERROR(+VLOOKUP(Movimientos_2026[[#This Row],[Codigo]],Plan_cuentas[],3,FALSE)," ")</f>
        <v xml:space="preserve"> </v>
      </c>
      <c r="G3721" t="str">
        <f>IFERROR(+VLOOKUP(Movimientos_2026[[#This Row],[Codigo]],Plan_cuentas[],4,FALSE)," ")</f>
        <v xml:space="preserve"> </v>
      </c>
      <c r="H3721" t="str">
        <f>IFERROR(+VLOOKUP(Movimientos_2026[[#This Row],[Codigo]],Plan_cuentas[],5,FALSE)," ")</f>
        <v xml:space="preserve"> </v>
      </c>
      <c r="I3721" s="43"/>
      <c r="K3721" t="str">
        <f>IFERROR(+VLOOKUP(Movimientos_2026[[#This Row],[Codigo]],Plan_cuentas[],6,FALSE)," ")</f>
        <v xml:space="preserve"> </v>
      </c>
      <c r="L3721" s="50"/>
      <c r="M3721" s="50"/>
      <c r="N3721" s="20">
        <f>+Movimientos_2026[[#This Row],[Ingresos]]-Movimientos_2026[[#This Row],[Egresos]]</f>
        <v>0</v>
      </c>
      <c r="O3721" s="20">
        <f>+O3720+Movimientos_2026[[#This Row],[Neto]]</f>
        <v>4581558617.7962294</v>
      </c>
    </row>
    <row r="3722" spans="1:15" x14ac:dyDescent="0.25">
      <c r="A3722" s="13"/>
      <c r="B3722" s="12">
        <f>MONTH(Movimientos_2026[[#This Row],[Fecha]])</f>
        <v>1</v>
      </c>
      <c r="C3722" s="12" t="str">
        <f>VLOOKUP((WEEKDAY(Movimientos_2026[[#This Row],[Fecha]],2)),'5. Setup'!$D$6:$E$12,2,FALSE)</f>
        <v>Sab</v>
      </c>
      <c r="E3722" t="str">
        <f>IFERROR(+VLOOKUP(Movimientos_2026[[#This Row],[Codigo]],Plan_cuentas[],2,FALSE)," ")</f>
        <v xml:space="preserve"> </v>
      </c>
      <c r="F3722" t="str">
        <f>IFERROR(+VLOOKUP(Movimientos_2026[[#This Row],[Codigo]],Plan_cuentas[],3,FALSE)," ")</f>
        <v xml:space="preserve"> </v>
      </c>
      <c r="G3722" t="str">
        <f>IFERROR(+VLOOKUP(Movimientos_2026[[#This Row],[Codigo]],Plan_cuentas[],4,FALSE)," ")</f>
        <v xml:space="preserve"> </v>
      </c>
      <c r="H3722" t="str">
        <f>IFERROR(+VLOOKUP(Movimientos_2026[[#This Row],[Codigo]],Plan_cuentas[],5,FALSE)," ")</f>
        <v xml:space="preserve"> </v>
      </c>
      <c r="I3722" s="43"/>
      <c r="K3722" t="str">
        <f>IFERROR(+VLOOKUP(Movimientos_2026[[#This Row],[Codigo]],Plan_cuentas[],6,FALSE)," ")</f>
        <v xml:space="preserve"> </v>
      </c>
      <c r="L3722" s="50"/>
      <c r="M3722" s="50"/>
      <c r="N3722" s="20">
        <f>+Movimientos_2026[[#This Row],[Ingresos]]-Movimientos_2026[[#This Row],[Egresos]]</f>
        <v>0</v>
      </c>
      <c r="O3722" s="20">
        <f>+O3721+Movimientos_2026[[#This Row],[Neto]]</f>
        <v>4581558617.7962294</v>
      </c>
    </row>
    <row r="3723" spans="1:15" x14ac:dyDescent="0.25">
      <c r="A3723" s="13"/>
      <c r="B3723" s="12">
        <f>MONTH(Movimientos_2026[[#This Row],[Fecha]])</f>
        <v>1</v>
      </c>
      <c r="C3723" s="12" t="str">
        <f>VLOOKUP((WEEKDAY(Movimientos_2026[[#This Row],[Fecha]],2)),'5. Setup'!$D$6:$E$12,2,FALSE)</f>
        <v>Sab</v>
      </c>
      <c r="E3723" t="str">
        <f>IFERROR(+VLOOKUP(Movimientos_2026[[#This Row],[Codigo]],Plan_cuentas[],2,FALSE)," ")</f>
        <v xml:space="preserve"> </v>
      </c>
      <c r="F3723" t="str">
        <f>IFERROR(+VLOOKUP(Movimientos_2026[[#This Row],[Codigo]],Plan_cuentas[],3,FALSE)," ")</f>
        <v xml:space="preserve"> </v>
      </c>
      <c r="G3723" t="str">
        <f>IFERROR(+VLOOKUP(Movimientos_2026[[#This Row],[Codigo]],Plan_cuentas[],4,FALSE)," ")</f>
        <v xml:space="preserve"> </v>
      </c>
      <c r="H3723" t="str">
        <f>IFERROR(+VLOOKUP(Movimientos_2026[[#This Row],[Codigo]],Plan_cuentas[],5,FALSE)," ")</f>
        <v xml:space="preserve"> </v>
      </c>
      <c r="I3723" s="43"/>
      <c r="K3723" t="str">
        <f>IFERROR(+VLOOKUP(Movimientos_2026[[#This Row],[Codigo]],Plan_cuentas[],6,FALSE)," ")</f>
        <v xml:space="preserve"> </v>
      </c>
      <c r="L3723" s="50"/>
      <c r="M3723" s="50"/>
      <c r="N3723" s="20">
        <f>+Movimientos_2026[[#This Row],[Ingresos]]-Movimientos_2026[[#This Row],[Egresos]]</f>
        <v>0</v>
      </c>
      <c r="O3723" s="20">
        <f>+O3722+Movimientos_2026[[#This Row],[Neto]]</f>
        <v>4581558617.7962294</v>
      </c>
    </row>
    <row r="3724" spans="1:15" x14ac:dyDescent="0.25">
      <c r="A3724" s="13"/>
      <c r="B3724" s="12">
        <f>MONTH(Movimientos_2026[[#This Row],[Fecha]])</f>
        <v>1</v>
      </c>
      <c r="C3724" s="12" t="str">
        <f>VLOOKUP((WEEKDAY(Movimientos_2026[[#This Row],[Fecha]],2)),'5. Setup'!$D$6:$E$12,2,FALSE)</f>
        <v>Sab</v>
      </c>
      <c r="E3724" t="str">
        <f>IFERROR(+VLOOKUP(Movimientos_2026[[#This Row],[Codigo]],Plan_cuentas[],2,FALSE)," ")</f>
        <v xml:space="preserve"> </v>
      </c>
      <c r="F3724" t="str">
        <f>IFERROR(+VLOOKUP(Movimientos_2026[[#This Row],[Codigo]],Plan_cuentas[],3,FALSE)," ")</f>
        <v xml:space="preserve"> </v>
      </c>
      <c r="G3724" t="str">
        <f>IFERROR(+VLOOKUP(Movimientos_2026[[#This Row],[Codigo]],Plan_cuentas[],4,FALSE)," ")</f>
        <v xml:space="preserve"> </v>
      </c>
      <c r="H3724" t="str">
        <f>IFERROR(+VLOOKUP(Movimientos_2026[[#This Row],[Codigo]],Plan_cuentas[],5,FALSE)," ")</f>
        <v xml:space="preserve"> </v>
      </c>
      <c r="I3724" s="43"/>
      <c r="K3724" t="str">
        <f>IFERROR(+VLOOKUP(Movimientos_2026[[#This Row],[Codigo]],Plan_cuentas[],6,FALSE)," ")</f>
        <v xml:space="preserve"> </v>
      </c>
      <c r="L3724" s="50"/>
      <c r="M3724" s="50"/>
      <c r="N3724" s="20">
        <f>+Movimientos_2026[[#This Row],[Ingresos]]-Movimientos_2026[[#This Row],[Egresos]]</f>
        <v>0</v>
      </c>
      <c r="O3724" s="20">
        <f>+O3723+Movimientos_2026[[#This Row],[Neto]]</f>
        <v>4581558617.7962294</v>
      </c>
    </row>
    <row r="3725" spans="1:15" x14ac:dyDescent="0.25">
      <c r="A3725" s="13"/>
      <c r="B3725" s="12">
        <f>MONTH(Movimientos_2026[[#This Row],[Fecha]])</f>
        <v>1</v>
      </c>
      <c r="C3725" s="12" t="str">
        <f>VLOOKUP((WEEKDAY(Movimientos_2026[[#This Row],[Fecha]],2)),'5. Setup'!$D$6:$E$12,2,FALSE)</f>
        <v>Sab</v>
      </c>
      <c r="E3725" t="str">
        <f>IFERROR(+VLOOKUP(Movimientos_2026[[#This Row],[Codigo]],Plan_cuentas[],2,FALSE)," ")</f>
        <v xml:space="preserve"> </v>
      </c>
      <c r="F3725" t="str">
        <f>IFERROR(+VLOOKUP(Movimientos_2026[[#This Row],[Codigo]],Plan_cuentas[],3,FALSE)," ")</f>
        <v xml:space="preserve"> </v>
      </c>
      <c r="G3725" t="str">
        <f>IFERROR(+VLOOKUP(Movimientos_2026[[#This Row],[Codigo]],Plan_cuentas[],4,FALSE)," ")</f>
        <v xml:space="preserve"> </v>
      </c>
      <c r="H3725" t="str">
        <f>IFERROR(+VLOOKUP(Movimientos_2026[[#This Row],[Codigo]],Plan_cuentas[],5,FALSE)," ")</f>
        <v xml:space="preserve"> </v>
      </c>
      <c r="I3725" s="43"/>
      <c r="K3725" t="str">
        <f>IFERROR(+VLOOKUP(Movimientos_2026[[#This Row],[Codigo]],Plan_cuentas[],6,FALSE)," ")</f>
        <v xml:space="preserve"> </v>
      </c>
      <c r="L3725" s="50"/>
      <c r="M3725" s="50"/>
      <c r="N3725" s="20">
        <f>+Movimientos_2026[[#This Row],[Ingresos]]-Movimientos_2026[[#This Row],[Egresos]]</f>
        <v>0</v>
      </c>
      <c r="O3725" s="20">
        <f>+O3724+Movimientos_2026[[#This Row],[Neto]]</f>
        <v>4581558617.7962294</v>
      </c>
    </row>
    <row r="3726" spans="1:15" x14ac:dyDescent="0.25">
      <c r="A3726" s="13"/>
      <c r="B3726" s="12">
        <f>MONTH(Movimientos_2026[[#This Row],[Fecha]])</f>
        <v>1</v>
      </c>
      <c r="C3726" s="12" t="str">
        <f>VLOOKUP((WEEKDAY(Movimientos_2026[[#This Row],[Fecha]],2)),'5. Setup'!$D$6:$E$12,2,FALSE)</f>
        <v>Sab</v>
      </c>
      <c r="E3726" t="str">
        <f>IFERROR(+VLOOKUP(Movimientos_2026[[#This Row],[Codigo]],Plan_cuentas[],2,FALSE)," ")</f>
        <v xml:space="preserve"> </v>
      </c>
      <c r="F3726" t="str">
        <f>IFERROR(+VLOOKUP(Movimientos_2026[[#This Row],[Codigo]],Plan_cuentas[],3,FALSE)," ")</f>
        <v xml:space="preserve"> </v>
      </c>
      <c r="G3726" t="str">
        <f>IFERROR(+VLOOKUP(Movimientos_2026[[#This Row],[Codigo]],Plan_cuentas[],4,FALSE)," ")</f>
        <v xml:space="preserve"> </v>
      </c>
      <c r="H3726" t="str">
        <f>IFERROR(+VLOOKUP(Movimientos_2026[[#This Row],[Codigo]],Plan_cuentas[],5,FALSE)," ")</f>
        <v xml:space="preserve"> </v>
      </c>
      <c r="I3726" s="43"/>
      <c r="K3726" t="str">
        <f>IFERROR(+VLOOKUP(Movimientos_2026[[#This Row],[Codigo]],Plan_cuentas[],6,FALSE)," ")</f>
        <v xml:space="preserve"> </v>
      </c>
      <c r="L3726" s="50"/>
      <c r="M3726" s="50"/>
      <c r="N3726" s="20">
        <f>+Movimientos_2026[[#This Row],[Ingresos]]-Movimientos_2026[[#This Row],[Egresos]]</f>
        <v>0</v>
      </c>
      <c r="O3726" s="20">
        <f>+O3725+Movimientos_2026[[#This Row],[Neto]]</f>
        <v>4581558617.7962294</v>
      </c>
    </row>
    <row r="3727" spans="1:15" x14ac:dyDescent="0.25">
      <c r="A3727" s="13"/>
      <c r="B3727" s="12">
        <f>MONTH(Movimientos_2026[[#This Row],[Fecha]])</f>
        <v>1</v>
      </c>
      <c r="C3727" s="12" t="str">
        <f>VLOOKUP((WEEKDAY(Movimientos_2026[[#This Row],[Fecha]],2)),'5. Setup'!$D$6:$E$12,2,FALSE)</f>
        <v>Sab</v>
      </c>
      <c r="E3727" t="str">
        <f>IFERROR(+VLOOKUP(Movimientos_2026[[#This Row],[Codigo]],Plan_cuentas[],2,FALSE)," ")</f>
        <v xml:space="preserve"> </v>
      </c>
      <c r="F3727" t="str">
        <f>IFERROR(+VLOOKUP(Movimientos_2026[[#This Row],[Codigo]],Plan_cuentas[],3,FALSE)," ")</f>
        <v xml:space="preserve"> </v>
      </c>
      <c r="G3727" t="str">
        <f>IFERROR(+VLOOKUP(Movimientos_2026[[#This Row],[Codigo]],Plan_cuentas[],4,FALSE)," ")</f>
        <v xml:space="preserve"> </v>
      </c>
      <c r="H3727" t="str">
        <f>IFERROR(+VLOOKUP(Movimientos_2026[[#This Row],[Codigo]],Plan_cuentas[],5,FALSE)," ")</f>
        <v xml:space="preserve"> </v>
      </c>
      <c r="I3727" s="43"/>
      <c r="K3727" t="str">
        <f>IFERROR(+VLOOKUP(Movimientos_2026[[#This Row],[Codigo]],Plan_cuentas[],6,FALSE)," ")</f>
        <v xml:space="preserve"> </v>
      </c>
      <c r="L3727" s="50"/>
      <c r="M3727" s="50"/>
      <c r="N3727" s="20">
        <f>+Movimientos_2026[[#This Row],[Ingresos]]-Movimientos_2026[[#This Row],[Egresos]]</f>
        <v>0</v>
      </c>
      <c r="O3727" s="20">
        <f>+O3726+Movimientos_2026[[#This Row],[Neto]]</f>
        <v>4581558617.7962294</v>
      </c>
    </row>
    <row r="3728" spans="1:15" x14ac:dyDescent="0.25">
      <c r="A3728" s="13"/>
      <c r="B3728" s="12">
        <f>MONTH(Movimientos_2026[[#This Row],[Fecha]])</f>
        <v>1</v>
      </c>
      <c r="C3728" s="12" t="str">
        <f>VLOOKUP((WEEKDAY(Movimientos_2026[[#This Row],[Fecha]],2)),'5. Setup'!$D$6:$E$12,2,FALSE)</f>
        <v>Sab</v>
      </c>
      <c r="E3728" t="str">
        <f>IFERROR(+VLOOKUP(Movimientos_2026[[#This Row],[Codigo]],Plan_cuentas[],2,FALSE)," ")</f>
        <v xml:space="preserve"> </v>
      </c>
      <c r="F3728" t="str">
        <f>IFERROR(+VLOOKUP(Movimientos_2026[[#This Row],[Codigo]],Plan_cuentas[],3,FALSE)," ")</f>
        <v xml:space="preserve"> </v>
      </c>
      <c r="G3728" t="str">
        <f>IFERROR(+VLOOKUP(Movimientos_2026[[#This Row],[Codigo]],Plan_cuentas[],4,FALSE)," ")</f>
        <v xml:space="preserve"> </v>
      </c>
      <c r="H3728" t="str">
        <f>IFERROR(+VLOOKUP(Movimientos_2026[[#This Row],[Codigo]],Plan_cuentas[],5,FALSE)," ")</f>
        <v xml:space="preserve"> </v>
      </c>
      <c r="I3728" s="43"/>
      <c r="K3728" t="str">
        <f>IFERROR(+VLOOKUP(Movimientos_2026[[#This Row],[Codigo]],Plan_cuentas[],6,FALSE)," ")</f>
        <v xml:space="preserve"> </v>
      </c>
      <c r="L3728" s="50"/>
      <c r="M3728" s="50"/>
      <c r="N3728" s="20">
        <f>+Movimientos_2026[[#This Row],[Ingresos]]-Movimientos_2026[[#This Row],[Egresos]]</f>
        <v>0</v>
      </c>
      <c r="O3728" s="20">
        <f>+O3727+Movimientos_2026[[#This Row],[Neto]]</f>
        <v>4581558617.7962294</v>
      </c>
    </row>
    <row r="3729" spans="1:15" x14ac:dyDescent="0.25">
      <c r="A3729" s="13"/>
      <c r="B3729" s="12">
        <f>MONTH(Movimientos_2026[[#This Row],[Fecha]])</f>
        <v>1</v>
      </c>
      <c r="C3729" s="12" t="str">
        <f>VLOOKUP((WEEKDAY(Movimientos_2026[[#This Row],[Fecha]],2)),'5. Setup'!$D$6:$E$12,2,FALSE)</f>
        <v>Sab</v>
      </c>
      <c r="E3729" t="str">
        <f>IFERROR(+VLOOKUP(Movimientos_2026[[#This Row],[Codigo]],Plan_cuentas[],2,FALSE)," ")</f>
        <v xml:space="preserve"> </v>
      </c>
      <c r="F3729" t="str">
        <f>IFERROR(+VLOOKUP(Movimientos_2026[[#This Row],[Codigo]],Plan_cuentas[],3,FALSE)," ")</f>
        <v xml:space="preserve"> </v>
      </c>
      <c r="G3729" t="str">
        <f>IFERROR(+VLOOKUP(Movimientos_2026[[#This Row],[Codigo]],Plan_cuentas[],4,FALSE)," ")</f>
        <v xml:space="preserve"> </v>
      </c>
      <c r="H3729" t="str">
        <f>IFERROR(+VLOOKUP(Movimientos_2026[[#This Row],[Codigo]],Plan_cuentas[],5,FALSE)," ")</f>
        <v xml:space="preserve"> </v>
      </c>
      <c r="I3729" s="43"/>
      <c r="K3729" t="str">
        <f>IFERROR(+VLOOKUP(Movimientos_2026[[#This Row],[Codigo]],Plan_cuentas[],6,FALSE)," ")</f>
        <v xml:space="preserve"> </v>
      </c>
      <c r="L3729" s="50"/>
      <c r="M3729" s="50"/>
      <c r="N3729" s="20">
        <f>+Movimientos_2026[[#This Row],[Ingresos]]-Movimientos_2026[[#This Row],[Egresos]]</f>
        <v>0</v>
      </c>
      <c r="O3729" s="20">
        <f>+O3728+Movimientos_2026[[#This Row],[Neto]]</f>
        <v>4581558617.7962294</v>
      </c>
    </row>
    <row r="3730" spans="1:15" x14ac:dyDescent="0.25">
      <c r="A3730" s="13"/>
      <c r="B3730" s="12">
        <f>MONTH(Movimientos_2026[[#This Row],[Fecha]])</f>
        <v>1</v>
      </c>
      <c r="C3730" s="12" t="str">
        <f>VLOOKUP((WEEKDAY(Movimientos_2026[[#This Row],[Fecha]],2)),'5. Setup'!$D$6:$E$12,2,FALSE)</f>
        <v>Sab</v>
      </c>
      <c r="E3730" t="str">
        <f>IFERROR(+VLOOKUP(Movimientos_2026[[#This Row],[Codigo]],Plan_cuentas[],2,FALSE)," ")</f>
        <v xml:space="preserve"> </v>
      </c>
      <c r="F3730" t="str">
        <f>IFERROR(+VLOOKUP(Movimientos_2026[[#This Row],[Codigo]],Plan_cuentas[],3,FALSE)," ")</f>
        <v xml:space="preserve"> </v>
      </c>
      <c r="G3730" t="str">
        <f>IFERROR(+VLOOKUP(Movimientos_2026[[#This Row],[Codigo]],Plan_cuentas[],4,FALSE)," ")</f>
        <v xml:space="preserve"> </v>
      </c>
      <c r="H3730" t="str">
        <f>IFERROR(+VLOOKUP(Movimientos_2026[[#This Row],[Codigo]],Plan_cuentas[],5,FALSE)," ")</f>
        <v xml:space="preserve"> </v>
      </c>
      <c r="I3730" s="43"/>
      <c r="K3730" t="str">
        <f>IFERROR(+VLOOKUP(Movimientos_2026[[#This Row],[Codigo]],Plan_cuentas[],6,FALSE)," ")</f>
        <v xml:space="preserve"> </v>
      </c>
      <c r="L3730" s="50"/>
      <c r="M3730" s="50"/>
      <c r="N3730" s="20">
        <f>+Movimientos_2026[[#This Row],[Ingresos]]-Movimientos_2026[[#This Row],[Egresos]]</f>
        <v>0</v>
      </c>
      <c r="O3730" s="20">
        <f>+O3729+Movimientos_2026[[#This Row],[Neto]]</f>
        <v>4581558617.7962294</v>
      </c>
    </row>
    <row r="3731" spans="1:15" x14ac:dyDescent="0.25">
      <c r="A3731" s="13"/>
      <c r="B3731" s="12">
        <f>MONTH(Movimientos_2026[[#This Row],[Fecha]])</f>
        <v>1</v>
      </c>
      <c r="C3731" s="12" t="str">
        <f>VLOOKUP((WEEKDAY(Movimientos_2026[[#This Row],[Fecha]],2)),'5. Setup'!$D$6:$E$12,2,FALSE)</f>
        <v>Sab</v>
      </c>
      <c r="E3731" t="str">
        <f>IFERROR(+VLOOKUP(Movimientos_2026[[#This Row],[Codigo]],Plan_cuentas[],2,FALSE)," ")</f>
        <v xml:space="preserve"> </v>
      </c>
      <c r="F3731" t="str">
        <f>IFERROR(+VLOOKUP(Movimientos_2026[[#This Row],[Codigo]],Plan_cuentas[],3,FALSE)," ")</f>
        <v xml:space="preserve"> </v>
      </c>
      <c r="G3731" t="str">
        <f>IFERROR(+VLOOKUP(Movimientos_2026[[#This Row],[Codigo]],Plan_cuentas[],4,FALSE)," ")</f>
        <v xml:space="preserve"> </v>
      </c>
      <c r="H3731" t="str">
        <f>IFERROR(+VLOOKUP(Movimientos_2026[[#This Row],[Codigo]],Plan_cuentas[],5,FALSE)," ")</f>
        <v xml:space="preserve"> </v>
      </c>
      <c r="I3731" s="43"/>
      <c r="K3731" t="str">
        <f>IFERROR(+VLOOKUP(Movimientos_2026[[#This Row],[Codigo]],Plan_cuentas[],6,FALSE)," ")</f>
        <v xml:space="preserve"> </v>
      </c>
      <c r="L3731" s="50"/>
      <c r="M3731" s="50"/>
      <c r="N3731" s="20">
        <f>+Movimientos_2026[[#This Row],[Ingresos]]-Movimientos_2026[[#This Row],[Egresos]]</f>
        <v>0</v>
      </c>
      <c r="O3731" s="20">
        <f>+O3730+Movimientos_2026[[#This Row],[Neto]]</f>
        <v>4581558617.7962294</v>
      </c>
    </row>
    <row r="3732" spans="1:15" x14ac:dyDescent="0.25">
      <c r="A3732" s="13"/>
      <c r="B3732" s="12">
        <f>MONTH(Movimientos_2026[[#This Row],[Fecha]])</f>
        <v>1</v>
      </c>
      <c r="C3732" s="12" t="str">
        <f>VLOOKUP((WEEKDAY(Movimientos_2026[[#This Row],[Fecha]],2)),'5. Setup'!$D$6:$E$12,2,FALSE)</f>
        <v>Sab</v>
      </c>
      <c r="E3732" t="str">
        <f>IFERROR(+VLOOKUP(Movimientos_2026[[#This Row],[Codigo]],Plan_cuentas[],2,FALSE)," ")</f>
        <v xml:space="preserve"> </v>
      </c>
      <c r="F3732" t="str">
        <f>IFERROR(+VLOOKUP(Movimientos_2026[[#This Row],[Codigo]],Plan_cuentas[],3,FALSE)," ")</f>
        <v xml:space="preserve"> </v>
      </c>
      <c r="G3732" t="str">
        <f>IFERROR(+VLOOKUP(Movimientos_2026[[#This Row],[Codigo]],Plan_cuentas[],4,FALSE)," ")</f>
        <v xml:space="preserve"> </v>
      </c>
      <c r="H3732" t="str">
        <f>IFERROR(+VLOOKUP(Movimientos_2026[[#This Row],[Codigo]],Plan_cuentas[],5,FALSE)," ")</f>
        <v xml:space="preserve"> </v>
      </c>
      <c r="I3732" s="43"/>
      <c r="K3732" t="str">
        <f>IFERROR(+VLOOKUP(Movimientos_2026[[#This Row],[Codigo]],Plan_cuentas[],6,FALSE)," ")</f>
        <v xml:space="preserve"> </v>
      </c>
      <c r="L3732" s="50"/>
      <c r="M3732" s="50"/>
      <c r="N3732" s="20">
        <f>+Movimientos_2026[[#This Row],[Ingresos]]-Movimientos_2026[[#This Row],[Egresos]]</f>
        <v>0</v>
      </c>
      <c r="O3732" s="20">
        <f>+O3731+Movimientos_2026[[#This Row],[Neto]]</f>
        <v>4581558617.7962294</v>
      </c>
    </row>
    <row r="3733" spans="1:15" x14ac:dyDescent="0.25">
      <c r="A3733" s="13"/>
      <c r="B3733" s="12">
        <f>MONTH(Movimientos_2026[[#This Row],[Fecha]])</f>
        <v>1</v>
      </c>
      <c r="C3733" s="12" t="str">
        <f>VLOOKUP((WEEKDAY(Movimientos_2026[[#This Row],[Fecha]],2)),'5. Setup'!$D$6:$E$12,2,FALSE)</f>
        <v>Sab</v>
      </c>
      <c r="E3733" t="str">
        <f>IFERROR(+VLOOKUP(Movimientos_2026[[#This Row],[Codigo]],Plan_cuentas[],2,FALSE)," ")</f>
        <v xml:space="preserve"> </v>
      </c>
      <c r="F3733" t="str">
        <f>IFERROR(+VLOOKUP(Movimientos_2026[[#This Row],[Codigo]],Plan_cuentas[],3,FALSE)," ")</f>
        <v xml:space="preserve"> </v>
      </c>
      <c r="G3733" t="str">
        <f>IFERROR(+VLOOKUP(Movimientos_2026[[#This Row],[Codigo]],Plan_cuentas[],4,FALSE)," ")</f>
        <v xml:space="preserve"> </v>
      </c>
      <c r="H3733" t="str">
        <f>IFERROR(+VLOOKUP(Movimientos_2026[[#This Row],[Codigo]],Plan_cuentas[],5,FALSE)," ")</f>
        <v xml:space="preserve"> </v>
      </c>
      <c r="I3733" s="43"/>
      <c r="K3733" t="str">
        <f>IFERROR(+VLOOKUP(Movimientos_2026[[#This Row],[Codigo]],Plan_cuentas[],6,FALSE)," ")</f>
        <v xml:space="preserve"> </v>
      </c>
      <c r="L3733" s="50"/>
      <c r="M3733" s="50"/>
      <c r="N3733" s="20">
        <f>+Movimientos_2026[[#This Row],[Ingresos]]-Movimientos_2026[[#This Row],[Egresos]]</f>
        <v>0</v>
      </c>
      <c r="O3733" s="20">
        <f>+O3732+Movimientos_2026[[#This Row],[Neto]]</f>
        <v>4581558617.7962294</v>
      </c>
    </row>
    <row r="3734" spans="1:15" x14ac:dyDescent="0.25">
      <c r="A3734" s="13"/>
      <c r="B3734" s="12">
        <f>MONTH(Movimientos_2026[[#This Row],[Fecha]])</f>
        <v>1</v>
      </c>
      <c r="C3734" s="12" t="str">
        <f>VLOOKUP((WEEKDAY(Movimientos_2026[[#This Row],[Fecha]],2)),'5. Setup'!$D$6:$E$12,2,FALSE)</f>
        <v>Sab</v>
      </c>
      <c r="E3734" t="str">
        <f>IFERROR(+VLOOKUP(Movimientos_2026[[#This Row],[Codigo]],Plan_cuentas[],2,FALSE)," ")</f>
        <v xml:space="preserve"> </v>
      </c>
      <c r="F3734" t="str">
        <f>IFERROR(+VLOOKUP(Movimientos_2026[[#This Row],[Codigo]],Plan_cuentas[],3,FALSE)," ")</f>
        <v xml:space="preserve"> </v>
      </c>
      <c r="G3734" t="str">
        <f>IFERROR(+VLOOKUP(Movimientos_2026[[#This Row],[Codigo]],Plan_cuentas[],4,FALSE)," ")</f>
        <v xml:space="preserve"> </v>
      </c>
      <c r="H3734" t="str">
        <f>IFERROR(+VLOOKUP(Movimientos_2026[[#This Row],[Codigo]],Plan_cuentas[],5,FALSE)," ")</f>
        <v xml:space="preserve"> </v>
      </c>
      <c r="I3734" s="43"/>
      <c r="K3734" t="str">
        <f>IFERROR(+VLOOKUP(Movimientos_2026[[#This Row],[Codigo]],Plan_cuentas[],6,FALSE)," ")</f>
        <v xml:space="preserve"> </v>
      </c>
      <c r="L3734" s="50"/>
      <c r="M3734" s="50"/>
      <c r="N3734" s="20">
        <f>+Movimientos_2026[[#This Row],[Ingresos]]-Movimientos_2026[[#This Row],[Egresos]]</f>
        <v>0</v>
      </c>
      <c r="O3734" s="20">
        <f>+O3733+Movimientos_2026[[#This Row],[Neto]]</f>
        <v>4581558617.7962294</v>
      </c>
    </row>
    <row r="3735" spans="1:15" x14ac:dyDescent="0.25">
      <c r="A3735" s="13"/>
      <c r="B3735" s="12">
        <f>MONTH(Movimientos_2026[[#This Row],[Fecha]])</f>
        <v>1</v>
      </c>
      <c r="C3735" s="12" t="str">
        <f>VLOOKUP((WEEKDAY(Movimientos_2026[[#This Row],[Fecha]],2)),'5. Setup'!$D$6:$E$12,2,FALSE)</f>
        <v>Sab</v>
      </c>
      <c r="E3735" t="str">
        <f>IFERROR(+VLOOKUP(Movimientos_2026[[#This Row],[Codigo]],Plan_cuentas[],2,FALSE)," ")</f>
        <v xml:space="preserve"> </v>
      </c>
      <c r="F3735" t="str">
        <f>IFERROR(+VLOOKUP(Movimientos_2026[[#This Row],[Codigo]],Plan_cuentas[],3,FALSE)," ")</f>
        <v xml:space="preserve"> </v>
      </c>
      <c r="G3735" t="str">
        <f>IFERROR(+VLOOKUP(Movimientos_2026[[#This Row],[Codigo]],Plan_cuentas[],4,FALSE)," ")</f>
        <v xml:space="preserve"> </v>
      </c>
      <c r="H3735" t="str">
        <f>IFERROR(+VLOOKUP(Movimientos_2026[[#This Row],[Codigo]],Plan_cuentas[],5,FALSE)," ")</f>
        <v xml:space="preserve"> </v>
      </c>
      <c r="I3735" s="43"/>
      <c r="K3735" t="str">
        <f>IFERROR(+VLOOKUP(Movimientos_2026[[#This Row],[Codigo]],Plan_cuentas[],6,FALSE)," ")</f>
        <v xml:space="preserve"> </v>
      </c>
      <c r="L3735" s="50"/>
      <c r="M3735" s="50"/>
      <c r="N3735" s="20">
        <f>+Movimientos_2026[[#This Row],[Ingresos]]-Movimientos_2026[[#This Row],[Egresos]]</f>
        <v>0</v>
      </c>
      <c r="O3735" s="20">
        <f>+O3734+Movimientos_2026[[#This Row],[Neto]]</f>
        <v>4581558617.7962294</v>
      </c>
    </row>
    <row r="3736" spans="1:15" x14ac:dyDescent="0.25">
      <c r="A3736" s="13"/>
      <c r="B3736" s="12">
        <f>MONTH(Movimientos_2026[[#This Row],[Fecha]])</f>
        <v>1</v>
      </c>
      <c r="C3736" s="12" t="str">
        <f>VLOOKUP((WEEKDAY(Movimientos_2026[[#This Row],[Fecha]],2)),'5. Setup'!$D$6:$E$12,2,FALSE)</f>
        <v>Sab</v>
      </c>
      <c r="E3736" t="str">
        <f>IFERROR(+VLOOKUP(Movimientos_2026[[#This Row],[Codigo]],Plan_cuentas[],2,FALSE)," ")</f>
        <v xml:space="preserve"> </v>
      </c>
      <c r="F3736" t="str">
        <f>IFERROR(+VLOOKUP(Movimientos_2026[[#This Row],[Codigo]],Plan_cuentas[],3,FALSE)," ")</f>
        <v xml:space="preserve"> </v>
      </c>
      <c r="G3736" t="str">
        <f>IFERROR(+VLOOKUP(Movimientos_2026[[#This Row],[Codigo]],Plan_cuentas[],4,FALSE)," ")</f>
        <v xml:space="preserve"> </v>
      </c>
      <c r="H3736" t="str">
        <f>IFERROR(+VLOOKUP(Movimientos_2026[[#This Row],[Codigo]],Plan_cuentas[],5,FALSE)," ")</f>
        <v xml:space="preserve"> </v>
      </c>
      <c r="I3736" s="43"/>
      <c r="K3736" t="str">
        <f>IFERROR(+VLOOKUP(Movimientos_2026[[#This Row],[Codigo]],Plan_cuentas[],6,FALSE)," ")</f>
        <v xml:space="preserve"> </v>
      </c>
      <c r="L3736" s="50"/>
      <c r="M3736" s="50"/>
      <c r="N3736" s="20">
        <f>+Movimientos_2026[[#This Row],[Ingresos]]-Movimientos_2026[[#This Row],[Egresos]]</f>
        <v>0</v>
      </c>
      <c r="O3736" s="20">
        <f>+O3735+Movimientos_2026[[#This Row],[Neto]]</f>
        <v>4581558617.7962294</v>
      </c>
    </row>
    <row r="3737" spans="1:15" x14ac:dyDescent="0.25">
      <c r="A3737" s="13"/>
      <c r="B3737" s="12">
        <f>MONTH(Movimientos_2026[[#This Row],[Fecha]])</f>
        <v>1</v>
      </c>
      <c r="C3737" s="12" t="str">
        <f>VLOOKUP((WEEKDAY(Movimientos_2026[[#This Row],[Fecha]],2)),'5. Setup'!$D$6:$E$12,2,FALSE)</f>
        <v>Sab</v>
      </c>
      <c r="E3737" t="str">
        <f>IFERROR(+VLOOKUP(Movimientos_2026[[#This Row],[Codigo]],Plan_cuentas[],2,FALSE)," ")</f>
        <v xml:space="preserve"> </v>
      </c>
      <c r="F3737" t="str">
        <f>IFERROR(+VLOOKUP(Movimientos_2026[[#This Row],[Codigo]],Plan_cuentas[],3,FALSE)," ")</f>
        <v xml:space="preserve"> </v>
      </c>
      <c r="G3737" t="str">
        <f>IFERROR(+VLOOKUP(Movimientos_2026[[#This Row],[Codigo]],Plan_cuentas[],4,FALSE)," ")</f>
        <v xml:space="preserve"> </v>
      </c>
      <c r="H3737" t="str">
        <f>IFERROR(+VLOOKUP(Movimientos_2026[[#This Row],[Codigo]],Plan_cuentas[],5,FALSE)," ")</f>
        <v xml:space="preserve"> </v>
      </c>
      <c r="I3737" s="43"/>
      <c r="K3737" t="str">
        <f>IFERROR(+VLOOKUP(Movimientos_2026[[#This Row],[Codigo]],Plan_cuentas[],6,FALSE)," ")</f>
        <v xml:space="preserve"> </v>
      </c>
      <c r="L3737" s="50"/>
      <c r="M3737" s="50"/>
      <c r="N3737" s="20">
        <f>+Movimientos_2026[[#This Row],[Ingresos]]-Movimientos_2026[[#This Row],[Egresos]]</f>
        <v>0</v>
      </c>
      <c r="O3737" s="20">
        <f>+O3736+Movimientos_2026[[#This Row],[Neto]]</f>
        <v>4581558617.7962294</v>
      </c>
    </row>
    <row r="3738" spans="1:15" x14ac:dyDescent="0.25">
      <c r="A3738" s="13"/>
      <c r="B3738" s="12">
        <f>MONTH(Movimientos_2026[[#This Row],[Fecha]])</f>
        <v>1</v>
      </c>
      <c r="C3738" s="12" t="str">
        <f>VLOOKUP((WEEKDAY(Movimientos_2026[[#This Row],[Fecha]],2)),'5. Setup'!$D$6:$E$12,2,FALSE)</f>
        <v>Sab</v>
      </c>
      <c r="E3738" t="str">
        <f>IFERROR(+VLOOKUP(Movimientos_2026[[#This Row],[Codigo]],Plan_cuentas[],2,FALSE)," ")</f>
        <v xml:space="preserve"> </v>
      </c>
      <c r="F3738" t="str">
        <f>IFERROR(+VLOOKUP(Movimientos_2026[[#This Row],[Codigo]],Plan_cuentas[],3,FALSE)," ")</f>
        <v xml:space="preserve"> </v>
      </c>
      <c r="G3738" t="str">
        <f>IFERROR(+VLOOKUP(Movimientos_2026[[#This Row],[Codigo]],Plan_cuentas[],4,FALSE)," ")</f>
        <v xml:space="preserve"> </v>
      </c>
      <c r="H3738" t="str">
        <f>IFERROR(+VLOOKUP(Movimientos_2026[[#This Row],[Codigo]],Plan_cuentas[],5,FALSE)," ")</f>
        <v xml:space="preserve"> </v>
      </c>
      <c r="I3738" s="43"/>
      <c r="K3738" t="str">
        <f>IFERROR(+VLOOKUP(Movimientos_2026[[#This Row],[Codigo]],Plan_cuentas[],6,FALSE)," ")</f>
        <v xml:space="preserve"> </v>
      </c>
      <c r="L3738" s="50"/>
      <c r="M3738" s="50"/>
      <c r="N3738" s="20">
        <f>+Movimientos_2026[[#This Row],[Ingresos]]-Movimientos_2026[[#This Row],[Egresos]]</f>
        <v>0</v>
      </c>
      <c r="O3738" s="20">
        <f>+O3737+Movimientos_2026[[#This Row],[Neto]]</f>
        <v>4581558617.7962294</v>
      </c>
    </row>
    <row r="3739" spans="1:15" x14ac:dyDescent="0.25">
      <c r="A3739" s="13"/>
      <c r="B3739" s="12">
        <f>MONTH(Movimientos_2026[[#This Row],[Fecha]])</f>
        <v>1</v>
      </c>
      <c r="C3739" s="12" t="str">
        <f>VLOOKUP((WEEKDAY(Movimientos_2026[[#This Row],[Fecha]],2)),'5. Setup'!$D$6:$E$12,2,FALSE)</f>
        <v>Sab</v>
      </c>
      <c r="E3739" t="str">
        <f>IFERROR(+VLOOKUP(Movimientos_2026[[#This Row],[Codigo]],Plan_cuentas[],2,FALSE)," ")</f>
        <v xml:space="preserve"> </v>
      </c>
      <c r="F3739" t="str">
        <f>IFERROR(+VLOOKUP(Movimientos_2026[[#This Row],[Codigo]],Plan_cuentas[],3,FALSE)," ")</f>
        <v xml:space="preserve"> </v>
      </c>
      <c r="G3739" t="str">
        <f>IFERROR(+VLOOKUP(Movimientos_2026[[#This Row],[Codigo]],Plan_cuentas[],4,FALSE)," ")</f>
        <v xml:space="preserve"> </v>
      </c>
      <c r="H3739" t="str">
        <f>IFERROR(+VLOOKUP(Movimientos_2026[[#This Row],[Codigo]],Plan_cuentas[],5,FALSE)," ")</f>
        <v xml:space="preserve"> </v>
      </c>
      <c r="I3739" s="43"/>
      <c r="K3739" t="str">
        <f>IFERROR(+VLOOKUP(Movimientos_2026[[#This Row],[Codigo]],Plan_cuentas[],6,FALSE)," ")</f>
        <v xml:space="preserve"> </v>
      </c>
      <c r="L3739" s="50"/>
      <c r="M3739" s="50"/>
      <c r="N3739" s="20">
        <f>+Movimientos_2026[[#This Row],[Ingresos]]-Movimientos_2026[[#This Row],[Egresos]]</f>
        <v>0</v>
      </c>
      <c r="O3739" s="20">
        <f>+O3738+Movimientos_2026[[#This Row],[Neto]]</f>
        <v>4581558617.7962294</v>
      </c>
    </row>
    <row r="3740" spans="1:15" x14ac:dyDescent="0.25">
      <c r="A3740" s="13"/>
      <c r="B3740" s="12">
        <f>MONTH(Movimientos_2026[[#This Row],[Fecha]])</f>
        <v>1</v>
      </c>
      <c r="C3740" s="12" t="str">
        <f>VLOOKUP((WEEKDAY(Movimientos_2026[[#This Row],[Fecha]],2)),'5. Setup'!$D$6:$E$12,2,FALSE)</f>
        <v>Sab</v>
      </c>
      <c r="E3740" t="str">
        <f>IFERROR(+VLOOKUP(Movimientos_2026[[#This Row],[Codigo]],Plan_cuentas[],2,FALSE)," ")</f>
        <v xml:space="preserve"> </v>
      </c>
      <c r="F3740" t="str">
        <f>IFERROR(+VLOOKUP(Movimientos_2026[[#This Row],[Codigo]],Plan_cuentas[],3,FALSE)," ")</f>
        <v xml:space="preserve"> </v>
      </c>
      <c r="G3740" t="str">
        <f>IFERROR(+VLOOKUP(Movimientos_2026[[#This Row],[Codigo]],Plan_cuentas[],4,FALSE)," ")</f>
        <v xml:space="preserve"> </v>
      </c>
      <c r="H3740" t="str">
        <f>IFERROR(+VLOOKUP(Movimientos_2026[[#This Row],[Codigo]],Plan_cuentas[],5,FALSE)," ")</f>
        <v xml:space="preserve"> </v>
      </c>
      <c r="I3740" s="43"/>
      <c r="K3740" t="str">
        <f>IFERROR(+VLOOKUP(Movimientos_2026[[#This Row],[Codigo]],Plan_cuentas[],6,FALSE)," ")</f>
        <v xml:space="preserve"> </v>
      </c>
      <c r="L3740" s="50"/>
      <c r="M3740" s="50"/>
      <c r="N3740" s="20">
        <f>+Movimientos_2026[[#This Row],[Ingresos]]-Movimientos_2026[[#This Row],[Egresos]]</f>
        <v>0</v>
      </c>
      <c r="O3740" s="20">
        <f>+O3739+Movimientos_2026[[#This Row],[Neto]]</f>
        <v>4581558617.7962294</v>
      </c>
    </row>
    <row r="3741" spans="1:15" x14ac:dyDescent="0.25">
      <c r="A3741" s="13"/>
      <c r="B3741" s="12">
        <f>MONTH(Movimientos_2026[[#This Row],[Fecha]])</f>
        <v>1</v>
      </c>
      <c r="C3741" s="12" t="str">
        <f>VLOOKUP((WEEKDAY(Movimientos_2026[[#This Row],[Fecha]],2)),'5. Setup'!$D$6:$E$12,2,FALSE)</f>
        <v>Sab</v>
      </c>
      <c r="E3741" t="str">
        <f>IFERROR(+VLOOKUP(Movimientos_2026[[#This Row],[Codigo]],Plan_cuentas[],2,FALSE)," ")</f>
        <v xml:space="preserve"> </v>
      </c>
      <c r="F3741" t="str">
        <f>IFERROR(+VLOOKUP(Movimientos_2026[[#This Row],[Codigo]],Plan_cuentas[],3,FALSE)," ")</f>
        <v xml:space="preserve"> </v>
      </c>
      <c r="G3741" t="str">
        <f>IFERROR(+VLOOKUP(Movimientos_2026[[#This Row],[Codigo]],Plan_cuentas[],4,FALSE)," ")</f>
        <v xml:space="preserve"> </v>
      </c>
      <c r="H3741" t="str">
        <f>IFERROR(+VLOOKUP(Movimientos_2026[[#This Row],[Codigo]],Plan_cuentas[],5,FALSE)," ")</f>
        <v xml:space="preserve"> </v>
      </c>
      <c r="I3741" s="43"/>
      <c r="K3741" t="str">
        <f>IFERROR(+VLOOKUP(Movimientos_2026[[#This Row],[Codigo]],Plan_cuentas[],6,FALSE)," ")</f>
        <v xml:space="preserve"> </v>
      </c>
      <c r="L3741" s="50"/>
      <c r="M3741" s="50"/>
      <c r="N3741" s="20">
        <f>+Movimientos_2026[[#This Row],[Ingresos]]-Movimientos_2026[[#This Row],[Egresos]]</f>
        <v>0</v>
      </c>
      <c r="O3741" s="20">
        <f>+O3740+Movimientos_2026[[#This Row],[Neto]]</f>
        <v>4581558617.7962294</v>
      </c>
    </row>
    <row r="3742" spans="1:15" x14ac:dyDescent="0.25">
      <c r="A3742" s="13"/>
      <c r="B3742" s="12">
        <f>MONTH(Movimientos_2026[[#This Row],[Fecha]])</f>
        <v>1</v>
      </c>
      <c r="C3742" s="12" t="str">
        <f>VLOOKUP((WEEKDAY(Movimientos_2026[[#This Row],[Fecha]],2)),'5. Setup'!$D$6:$E$12,2,FALSE)</f>
        <v>Sab</v>
      </c>
      <c r="E3742" t="str">
        <f>IFERROR(+VLOOKUP(Movimientos_2026[[#This Row],[Codigo]],Plan_cuentas[],2,FALSE)," ")</f>
        <v xml:space="preserve"> </v>
      </c>
      <c r="F3742" t="str">
        <f>IFERROR(+VLOOKUP(Movimientos_2026[[#This Row],[Codigo]],Plan_cuentas[],3,FALSE)," ")</f>
        <v xml:space="preserve"> </v>
      </c>
      <c r="G3742" t="str">
        <f>IFERROR(+VLOOKUP(Movimientos_2026[[#This Row],[Codigo]],Plan_cuentas[],4,FALSE)," ")</f>
        <v xml:space="preserve"> </v>
      </c>
      <c r="H3742" t="str">
        <f>IFERROR(+VLOOKUP(Movimientos_2026[[#This Row],[Codigo]],Plan_cuentas[],5,FALSE)," ")</f>
        <v xml:space="preserve"> </v>
      </c>
      <c r="I3742" s="43"/>
      <c r="K3742" t="str">
        <f>IFERROR(+VLOOKUP(Movimientos_2026[[#This Row],[Codigo]],Plan_cuentas[],6,FALSE)," ")</f>
        <v xml:space="preserve"> </v>
      </c>
      <c r="L3742" s="50"/>
      <c r="M3742" s="50"/>
      <c r="N3742" s="20">
        <f>+Movimientos_2026[[#This Row],[Ingresos]]-Movimientos_2026[[#This Row],[Egresos]]</f>
        <v>0</v>
      </c>
      <c r="O3742" s="20">
        <f>+O3741+Movimientos_2026[[#This Row],[Neto]]</f>
        <v>4581558617.7962294</v>
      </c>
    </row>
    <row r="3743" spans="1:15" x14ac:dyDescent="0.25">
      <c r="A3743" s="13"/>
      <c r="B3743" s="12">
        <f>MONTH(Movimientos_2026[[#This Row],[Fecha]])</f>
        <v>1</v>
      </c>
      <c r="C3743" s="12" t="str">
        <f>VLOOKUP((WEEKDAY(Movimientos_2026[[#This Row],[Fecha]],2)),'5. Setup'!$D$6:$E$12,2,FALSE)</f>
        <v>Sab</v>
      </c>
      <c r="E3743" t="str">
        <f>IFERROR(+VLOOKUP(Movimientos_2026[[#This Row],[Codigo]],Plan_cuentas[],2,FALSE)," ")</f>
        <v xml:space="preserve"> </v>
      </c>
      <c r="F3743" t="str">
        <f>IFERROR(+VLOOKUP(Movimientos_2026[[#This Row],[Codigo]],Plan_cuentas[],3,FALSE)," ")</f>
        <v xml:space="preserve"> </v>
      </c>
      <c r="G3743" t="str">
        <f>IFERROR(+VLOOKUP(Movimientos_2026[[#This Row],[Codigo]],Plan_cuentas[],4,FALSE)," ")</f>
        <v xml:space="preserve"> </v>
      </c>
      <c r="H3743" t="str">
        <f>IFERROR(+VLOOKUP(Movimientos_2026[[#This Row],[Codigo]],Plan_cuentas[],5,FALSE)," ")</f>
        <v xml:space="preserve"> </v>
      </c>
      <c r="I3743" s="43"/>
      <c r="K3743" t="str">
        <f>IFERROR(+VLOOKUP(Movimientos_2026[[#This Row],[Codigo]],Plan_cuentas[],6,FALSE)," ")</f>
        <v xml:space="preserve"> </v>
      </c>
      <c r="L3743" s="50"/>
      <c r="M3743" s="50"/>
      <c r="N3743" s="20">
        <f>+Movimientos_2026[[#This Row],[Ingresos]]-Movimientos_2026[[#This Row],[Egresos]]</f>
        <v>0</v>
      </c>
      <c r="O3743" s="20">
        <f>+O3742+Movimientos_2026[[#This Row],[Neto]]</f>
        <v>4581558617.7962294</v>
      </c>
    </row>
    <row r="3744" spans="1:15" x14ac:dyDescent="0.25">
      <c r="A3744" s="13"/>
      <c r="B3744" s="12">
        <f>MONTH(Movimientos_2026[[#This Row],[Fecha]])</f>
        <v>1</v>
      </c>
      <c r="C3744" s="12" t="str">
        <f>VLOOKUP((WEEKDAY(Movimientos_2026[[#This Row],[Fecha]],2)),'5. Setup'!$D$6:$E$12,2,FALSE)</f>
        <v>Sab</v>
      </c>
      <c r="E3744" t="str">
        <f>IFERROR(+VLOOKUP(Movimientos_2026[[#This Row],[Codigo]],Plan_cuentas[],2,FALSE)," ")</f>
        <v xml:space="preserve"> </v>
      </c>
      <c r="F3744" t="str">
        <f>IFERROR(+VLOOKUP(Movimientos_2026[[#This Row],[Codigo]],Plan_cuentas[],3,FALSE)," ")</f>
        <v xml:space="preserve"> </v>
      </c>
      <c r="G3744" t="str">
        <f>IFERROR(+VLOOKUP(Movimientos_2026[[#This Row],[Codigo]],Plan_cuentas[],4,FALSE)," ")</f>
        <v xml:space="preserve"> </v>
      </c>
      <c r="H3744" t="str">
        <f>IFERROR(+VLOOKUP(Movimientos_2026[[#This Row],[Codigo]],Plan_cuentas[],5,FALSE)," ")</f>
        <v xml:space="preserve"> </v>
      </c>
      <c r="I3744" s="43"/>
      <c r="K3744" t="str">
        <f>IFERROR(+VLOOKUP(Movimientos_2026[[#This Row],[Codigo]],Plan_cuentas[],6,FALSE)," ")</f>
        <v xml:space="preserve"> </v>
      </c>
      <c r="L3744" s="50"/>
      <c r="M3744" s="50"/>
      <c r="N3744" s="20">
        <f>+Movimientos_2026[[#This Row],[Ingresos]]-Movimientos_2026[[#This Row],[Egresos]]</f>
        <v>0</v>
      </c>
      <c r="O3744" s="20">
        <f>+O3743+Movimientos_2026[[#This Row],[Neto]]</f>
        <v>4581558617.7962294</v>
      </c>
    </row>
    <row r="3745" spans="1:15" x14ac:dyDescent="0.25">
      <c r="A3745" s="13"/>
      <c r="B3745" s="12">
        <f>MONTH(Movimientos_2026[[#This Row],[Fecha]])</f>
        <v>1</v>
      </c>
      <c r="C3745" s="12" t="str">
        <f>VLOOKUP((WEEKDAY(Movimientos_2026[[#This Row],[Fecha]],2)),'5. Setup'!$D$6:$E$12,2,FALSE)</f>
        <v>Sab</v>
      </c>
      <c r="E3745" t="str">
        <f>IFERROR(+VLOOKUP(Movimientos_2026[[#This Row],[Codigo]],Plan_cuentas[],2,FALSE)," ")</f>
        <v xml:space="preserve"> </v>
      </c>
      <c r="F3745" t="str">
        <f>IFERROR(+VLOOKUP(Movimientos_2026[[#This Row],[Codigo]],Plan_cuentas[],3,FALSE)," ")</f>
        <v xml:space="preserve"> </v>
      </c>
      <c r="G3745" t="str">
        <f>IFERROR(+VLOOKUP(Movimientos_2026[[#This Row],[Codigo]],Plan_cuentas[],4,FALSE)," ")</f>
        <v xml:space="preserve"> </v>
      </c>
      <c r="H3745" t="str">
        <f>IFERROR(+VLOOKUP(Movimientos_2026[[#This Row],[Codigo]],Plan_cuentas[],5,FALSE)," ")</f>
        <v xml:space="preserve"> </v>
      </c>
      <c r="I3745" s="43"/>
      <c r="K3745" t="str">
        <f>IFERROR(+VLOOKUP(Movimientos_2026[[#This Row],[Codigo]],Plan_cuentas[],6,FALSE)," ")</f>
        <v xml:space="preserve"> </v>
      </c>
      <c r="L3745" s="50"/>
      <c r="M3745" s="50"/>
      <c r="N3745" s="20">
        <f>+Movimientos_2026[[#This Row],[Ingresos]]-Movimientos_2026[[#This Row],[Egresos]]</f>
        <v>0</v>
      </c>
      <c r="O3745" s="20">
        <f>+O3744+Movimientos_2026[[#This Row],[Neto]]</f>
        <v>4581558617.7962294</v>
      </c>
    </row>
    <row r="3746" spans="1:15" x14ac:dyDescent="0.25">
      <c r="A3746" s="13"/>
      <c r="B3746" s="12">
        <f>MONTH(Movimientos_2026[[#This Row],[Fecha]])</f>
        <v>1</v>
      </c>
      <c r="C3746" s="12" t="str">
        <f>VLOOKUP((WEEKDAY(Movimientos_2026[[#This Row],[Fecha]],2)),'5. Setup'!$D$6:$E$12,2,FALSE)</f>
        <v>Sab</v>
      </c>
      <c r="E3746" t="str">
        <f>IFERROR(+VLOOKUP(Movimientos_2026[[#This Row],[Codigo]],Plan_cuentas[],2,FALSE)," ")</f>
        <v xml:space="preserve"> </v>
      </c>
      <c r="F3746" t="str">
        <f>IFERROR(+VLOOKUP(Movimientos_2026[[#This Row],[Codigo]],Plan_cuentas[],3,FALSE)," ")</f>
        <v xml:space="preserve"> </v>
      </c>
      <c r="G3746" t="str">
        <f>IFERROR(+VLOOKUP(Movimientos_2026[[#This Row],[Codigo]],Plan_cuentas[],4,FALSE)," ")</f>
        <v xml:space="preserve"> </v>
      </c>
      <c r="H3746" t="str">
        <f>IFERROR(+VLOOKUP(Movimientos_2026[[#This Row],[Codigo]],Plan_cuentas[],5,FALSE)," ")</f>
        <v xml:space="preserve"> </v>
      </c>
      <c r="I3746" s="43"/>
      <c r="K3746" t="str">
        <f>IFERROR(+VLOOKUP(Movimientos_2026[[#This Row],[Codigo]],Plan_cuentas[],6,FALSE)," ")</f>
        <v xml:space="preserve"> </v>
      </c>
      <c r="L3746" s="50"/>
      <c r="M3746" s="50"/>
      <c r="N3746" s="20">
        <f>+Movimientos_2026[[#This Row],[Ingresos]]-Movimientos_2026[[#This Row],[Egresos]]</f>
        <v>0</v>
      </c>
      <c r="O3746" s="20">
        <f>+O3745+Movimientos_2026[[#This Row],[Neto]]</f>
        <v>4581558617.7962294</v>
      </c>
    </row>
    <row r="3747" spans="1:15" x14ac:dyDescent="0.25">
      <c r="A3747" s="13"/>
      <c r="B3747" s="12">
        <f>MONTH(Movimientos_2026[[#This Row],[Fecha]])</f>
        <v>1</v>
      </c>
      <c r="C3747" s="12" t="str">
        <f>VLOOKUP((WEEKDAY(Movimientos_2026[[#This Row],[Fecha]],2)),'5. Setup'!$D$6:$E$12,2,FALSE)</f>
        <v>Sab</v>
      </c>
      <c r="E3747" t="str">
        <f>IFERROR(+VLOOKUP(Movimientos_2026[[#This Row],[Codigo]],Plan_cuentas[],2,FALSE)," ")</f>
        <v xml:space="preserve"> </v>
      </c>
      <c r="F3747" t="str">
        <f>IFERROR(+VLOOKUP(Movimientos_2026[[#This Row],[Codigo]],Plan_cuentas[],3,FALSE)," ")</f>
        <v xml:space="preserve"> </v>
      </c>
      <c r="G3747" t="str">
        <f>IFERROR(+VLOOKUP(Movimientos_2026[[#This Row],[Codigo]],Plan_cuentas[],4,FALSE)," ")</f>
        <v xml:space="preserve"> </v>
      </c>
      <c r="H3747" t="str">
        <f>IFERROR(+VLOOKUP(Movimientos_2026[[#This Row],[Codigo]],Plan_cuentas[],5,FALSE)," ")</f>
        <v xml:space="preserve"> </v>
      </c>
      <c r="I3747" s="43"/>
      <c r="K3747" t="str">
        <f>IFERROR(+VLOOKUP(Movimientos_2026[[#This Row],[Codigo]],Plan_cuentas[],6,FALSE)," ")</f>
        <v xml:space="preserve"> </v>
      </c>
      <c r="L3747" s="50"/>
      <c r="M3747" s="50"/>
      <c r="N3747" s="20">
        <f>+Movimientos_2026[[#This Row],[Ingresos]]-Movimientos_2026[[#This Row],[Egresos]]</f>
        <v>0</v>
      </c>
      <c r="O3747" s="20">
        <f>+O3746+Movimientos_2026[[#This Row],[Neto]]</f>
        <v>4581558617.7962294</v>
      </c>
    </row>
    <row r="3748" spans="1:15" x14ac:dyDescent="0.25">
      <c r="A3748" s="13"/>
      <c r="B3748" s="12">
        <f>MONTH(Movimientos_2026[[#This Row],[Fecha]])</f>
        <v>1</v>
      </c>
      <c r="C3748" s="12" t="str">
        <f>VLOOKUP((WEEKDAY(Movimientos_2026[[#This Row],[Fecha]],2)),'5. Setup'!$D$6:$E$12,2,FALSE)</f>
        <v>Sab</v>
      </c>
      <c r="E3748" t="str">
        <f>IFERROR(+VLOOKUP(Movimientos_2026[[#This Row],[Codigo]],Plan_cuentas[],2,FALSE)," ")</f>
        <v xml:space="preserve"> </v>
      </c>
      <c r="F3748" t="str">
        <f>IFERROR(+VLOOKUP(Movimientos_2026[[#This Row],[Codigo]],Plan_cuentas[],3,FALSE)," ")</f>
        <v xml:space="preserve"> </v>
      </c>
      <c r="G3748" t="str">
        <f>IFERROR(+VLOOKUP(Movimientos_2026[[#This Row],[Codigo]],Plan_cuentas[],4,FALSE)," ")</f>
        <v xml:space="preserve"> </v>
      </c>
      <c r="H3748" t="str">
        <f>IFERROR(+VLOOKUP(Movimientos_2026[[#This Row],[Codigo]],Plan_cuentas[],5,FALSE)," ")</f>
        <v xml:space="preserve"> </v>
      </c>
      <c r="I3748" s="43"/>
      <c r="K3748" t="str">
        <f>IFERROR(+VLOOKUP(Movimientos_2026[[#This Row],[Codigo]],Plan_cuentas[],6,FALSE)," ")</f>
        <v xml:space="preserve"> </v>
      </c>
      <c r="L3748" s="50"/>
      <c r="M3748" s="50"/>
      <c r="N3748" s="20">
        <f>+Movimientos_2026[[#This Row],[Ingresos]]-Movimientos_2026[[#This Row],[Egresos]]</f>
        <v>0</v>
      </c>
      <c r="O3748" s="20">
        <f>+O3747+Movimientos_2026[[#This Row],[Neto]]</f>
        <v>4581558617.7962294</v>
      </c>
    </row>
    <row r="3749" spans="1:15" x14ac:dyDescent="0.25">
      <c r="A3749" s="13"/>
      <c r="B3749" s="12">
        <f>MONTH(Movimientos_2026[[#This Row],[Fecha]])</f>
        <v>1</v>
      </c>
      <c r="C3749" s="12" t="str">
        <f>VLOOKUP((WEEKDAY(Movimientos_2026[[#This Row],[Fecha]],2)),'5. Setup'!$D$6:$E$12,2,FALSE)</f>
        <v>Sab</v>
      </c>
      <c r="E3749" t="str">
        <f>IFERROR(+VLOOKUP(Movimientos_2026[[#This Row],[Codigo]],Plan_cuentas[],2,FALSE)," ")</f>
        <v xml:space="preserve"> </v>
      </c>
      <c r="F3749" t="str">
        <f>IFERROR(+VLOOKUP(Movimientos_2026[[#This Row],[Codigo]],Plan_cuentas[],3,FALSE)," ")</f>
        <v xml:space="preserve"> </v>
      </c>
      <c r="G3749" t="str">
        <f>IFERROR(+VLOOKUP(Movimientos_2026[[#This Row],[Codigo]],Plan_cuentas[],4,FALSE)," ")</f>
        <v xml:space="preserve"> </v>
      </c>
      <c r="H3749" t="str">
        <f>IFERROR(+VLOOKUP(Movimientos_2026[[#This Row],[Codigo]],Plan_cuentas[],5,FALSE)," ")</f>
        <v xml:space="preserve"> </v>
      </c>
      <c r="I3749" s="43"/>
      <c r="K3749" t="str">
        <f>IFERROR(+VLOOKUP(Movimientos_2026[[#This Row],[Codigo]],Plan_cuentas[],6,FALSE)," ")</f>
        <v xml:space="preserve"> </v>
      </c>
      <c r="L3749" s="50"/>
      <c r="M3749" s="50"/>
      <c r="N3749" s="20">
        <f>+Movimientos_2026[[#This Row],[Ingresos]]-Movimientos_2026[[#This Row],[Egresos]]</f>
        <v>0</v>
      </c>
      <c r="O3749" s="20">
        <f>+O3748+Movimientos_2026[[#This Row],[Neto]]</f>
        <v>4581558617.7962294</v>
      </c>
    </row>
    <row r="3750" spans="1:15" x14ac:dyDescent="0.25">
      <c r="A3750" s="13"/>
      <c r="B3750" s="12">
        <f>MONTH(Movimientos_2026[[#This Row],[Fecha]])</f>
        <v>1</v>
      </c>
      <c r="C3750" s="12" t="str">
        <f>VLOOKUP((WEEKDAY(Movimientos_2026[[#This Row],[Fecha]],2)),'5. Setup'!$D$6:$E$12,2,FALSE)</f>
        <v>Sab</v>
      </c>
      <c r="E3750" t="str">
        <f>IFERROR(+VLOOKUP(Movimientos_2026[[#This Row],[Codigo]],Plan_cuentas[],2,FALSE)," ")</f>
        <v xml:space="preserve"> </v>
      </c>
      <c r="F3750" t="str">
        <f>IFERROR(+VLOOKUP(Movimientos_2026[[#This Row],[Codigo]],Plan_cuentas[],3,FALSE)," ")</f>
        <v xml:space="preserve"> </v>
      </c>
      <c r="G3750" t="str">
        <f>IFERROR(+VLOOKUP(Movimientos_2026[[#This Row],[Codigo]],Plan_cuentas[],4,FALSE)," ")</f>
        <v xml:space="preserve"> </v>
      </c>
      <c r="H3750" t="str">
        <f>IFERROR(+VLOOKUP(Movimientos_2026[[#This Row],[Codigo]],Plan_cuentas[],5,FALSE)," ")</f>
        <v xml:space="preserve"> </v>
      </c>
      <c r="I3750" s="43"/>
      <c r="K3750" t="str">
        <f>IFERROR(+VLOOKUP(Movimientos_2026[[#This Row],[Codigo]],Plan_cuentas[],6,FALSE)," ")</f>
        <v xml:space="preserve"> </v>
      </c>
      <c r="L3750" s="50"/>
      <c r="M3750" s="50"/>
      <c r="N3750" s="20">
        <f>+Movimientos_2026[[#This Row],[Ingresos]]-Movimientos_2026[[#This Row],[Egresos]]</f>
        <v>0</v>
      </c>
      <c r="O3750" s="20">
        <f>+O3749+Movimientos_2026[[#This Row],[Neto]]</f>
        <v>4581558617.7962294</v>
      </c>
    </row>
    <row r="3751" spans="1:15" x14ac:dyDescent="0.25">
      <c r="A3751" s="13"/>
      <c r="B3751" s="12">
        <f>MONTH(Movimientos_2026[[#This Row],[Fecha]])</f>
        <v>1</v>
      </c>
      <c r="C3751" s="12" t="str">
        <f>VLOOKUP((WEEKDAY(Movimientos_2026[[#This Row],[Fecha]],2)),'5. Setup'!$D$6:$E$12,2,FALSE)</f>
        <v>Sab</v>
      </c>
      <c r="E3751" t="str">
        <f>IFERROR(+VLOOKUP(Movimientos_2026[[#This Row],[Codigo]],Plan_cuentas[],2,FALSE)," ")</f>
        <v xml:space="preserve"> </v>
      </c>
      <c r="F3751" t="str">
        <f>IFERROR(+VLOOKUP(Movimientos_2026[[#This Row],[Codigo]],Plan_cuentas[],3,FALSE)," ")</f>
        <v xml:space="preserve"> </v>
      </c>
      <c r="G3751" t="str">
        <f>IFERROR(+VLOOKUP(Movimientos_2026[[#This Row],[Codigo]],Plan_cuentas[],4,FALSE)," ")</f>
        <v xml:space="preserve"> </v>
      </c>
      <c r="H3751" t="str">
        <f>IFERROR(+VLOOKUP(Movimientos_2026[[#This Row],[Codigo]],Plan_cuentas[],5,FALSE)," ")</f>
        <v xml:space="preserve"> </v>
      </c>
      <c r="I3751" s="43"/>
      <c r="K3751" t="str">
        <f>IFERROR(+VLOOKUP(Movimientos_2026[[#This Row],[Codigo]],Plan_cuentas[],6,FALSE)," ")</f>
        <v xml:space="preserve"> </v>
      </c>
      <c r="L3751" s="50"/>
      <c r="M3751" s="50"/>
      <c r="N3751" s="20">
        <f>+Movimientos_2026[[#This Row],[Ingresos]]-Movimientos_2026[[#This Row],[Egresos]]</f>
        <v>0</v>
      </c>
      <c r="O3751" s="20">
        <f>+O3750+Movimientos_2026[[#This Row],[Neto]]</f>
        <v>4581558617.7962294</v>
      </c>
    </row>
    <row r="3752" spans="1:15" x14ac:dyDescent="0.25">
      <c r="A3752" s="13"/>
      <c r="B3752" s="12">
        <f>MONTH(Movimientos_2026[[#This Row],[Fecha]])</f>
        <v>1</v>
      </c>
      <c r="C3752" s="12" t="str">
        <f>VLOOKUP((WEEKDAY(Movimientos_2026[[#This Row],[Fecha]],2)),'5. Setup'!$D$6:$E$12,2,FALSE)</f>
        <v>Sab</v>
      </c>
      <c r="E3752" t="str">
        <f>IFERROR(+VLOOKUP(Movimientos_2026[[#This Row],[Codigo]],Plan_cuentas[],2,FALSE)," ")</f>
        <v xml:space="preserve"> </v>
      </c>
      <c r="F3752" t="str">
        <f>IFERROR(+VLOOKUP(Movimientos_2026[[#This Row],[Codigo]],Plan_cuentas[],3,FALSE)," ")</f>
        <v xml:space="preserve"> </v>
      </c>
      <c r="G3752" t="str">
        <f>IFERROR(+VLOOKUP(Movimientos_2026[[#This Row],[Codigo]],Plan_cuentas[],4,FALSE)," ")</f>
        <v xml:space="preserve"> </v>
      </c>
      <c r="H3752" t="str">
        <f>IFERROR(+VLOOKUP(Movimientos_2026[[#This Row],[Codigo]],Plan_cuentas[],5,FALSE)," ")</f>
        <v xml:space="preserve"> </v>
      </c>
      <c r="I3752" s="43"/>
      <c r="K3752" t="str">
        <f>IFERROR(+VLOOKUP(Movimientos_2026[[#This Row],[Codigo]],Plan_cuentas[],6,FALSE)," ")</f>
        <v xml:space="preserve"> </v>
      </c>
      <c r="L3752" s="50"/>
      <c r="M3752" s="50"/>
      <c r="N3752" s="20">
        <f>+Movimientos_2026[[#This Row],[Ingresos]]-Movimientos_2026[[#This Row],[Egresos]]</f>
        <v>0</v>
      </c>
      <c r="O3752" s="20">
        <f>+O3751+Movimientos_2026[[#This Row],[Neto]]</f>
        <v>4581558617.7962294</v>
      </c>
    </row>
    <row r="3753" spans="1:15" x14ac:dyDescent="0.25">
      <c r="A3753" s="13"/>
      <c r="B3753" s="12">
        <f>MONTH(Movimientos_2026[[#This Row],[Fecha]])</f>
        <v>1</v>
      </c>
      <c r="C3753" s="12" t="str">
        <f>VLOOKUP((WEEKDAY(Movimientos_2026[[#This Row],[Fecha]],2)),'5. Setup'!$D$6:$E$12,2,FALSE)</f>
        <v>Sab</v>
      </c>
      <c r="E3753" t="str">
        <f>IFERROR(+VLOOKUP(Movimientos_2026[[#This Row],[Codigo]],Plan_cuentas[],2,FALSE)," ")</f>
        <v xml:space="preserve"> </v>
      </c>
      <c r="F3753" t="str">
        <f>IFERROR(+VLOOKUP(Movimientos_2026[[#This Row],[Codigo]],Plan_cuentas[],3,FALSE)," ")</f>
        <v xml:space="preserve"> </v>
      </c>
      <c r="G3753" t="str">
        <f>IFERROR(+VLOOKUP(Movimientos_2026[[#This Row],[Codigo]],Plan_cuentas[],4,FALSE)," ")</f>
        <v xml:space="preserve"> </v>
      </c>
      <c r="H3753" t="str">
        <f>IFERROR(+VLOOKUP(Movimientos_2026[[#This Row],[Codigo]],Plan_cuentas[],5,FALSE)," ")</f>
        <v xml:space="preserve"> </v>
      </c>
      <c r="I3753" s="43"/>
      <c r="K3753" t="str">
        <f>IFERROR(+VLOOKUP(Movimientos_2026[[#This Row],[Codigo]],Plan_cuentas[],6,FALSE)," ")</f>
        <v xml:space="preserve"> </v>
      </c>
      <c r="L3753" s="50"/>
      <c r="M3753" s="50"/>
      <c r="N3753" s="20">
        <f>+Movimientos_2026[[#This Row],[Ingresos]]-Movimientos_2026[[#This Row],[Egresos]]</f>
        <v>0</v>
      </c>
      <c r="O3753" s="20">
        <f>+O3752+Movimientos_2026[[#This Row],[Neto]]</f>
        <v>4581558617.7962294</v>
      </c>
    </row>
    <row r="3754" spans="1:15" x14ac:dyDescent="0.25">
      <c r="A3754" s="13"/>
      <c r="B3754" s="12">
        <f>MONTH(Movimientos_2026[[#This Row],[Fecha]])</f>
        <v>1</v>
      </c>
      <c r="C3754" s="12" t="str">
        <f>VLOOKUP((WEEKDAY(Movimientos_2026[[#This Row],[Fecha]],2)),'5. Setup'!$D$6:$E$12,2,FALSE)</f>
        <v>Sab</v>
      </c>
      <c r="E3754" t="str">
        <f>IFERROR(+VLOOKUP(Movimientos_2026[[#This Row],[Codigo]],Plan_cuentas[],2,FALSE)," ")</f>
        <v xml:space="preserve"> </v>
      </c>
      <c r="F3754" t="str">
        <f>IFERROR(+VLOOKUP(Movimientos_2026[[#This Row],[Codigo]],Plan_cuentas[],3,FALSE)," ")</f>
        <v xml:space="preserve"> </v>
      </c>
      <c r="G3754" t="str">
        <f>IFERROR(+VLOOKUP(Movimientos_2026[[#This Row],[Codigo]],Plan_cuentas[],4,FALSE)," ")</f>
        <v xml:space="preserve"> </v>
      </c>
      <c r="H3754" t="str">
        <f>IFERROR(+VLOOKUP(Movimientos_2026[[#This Row],[Codigo]],Plan_cuentas[],5,FALSE)," ")</f>
        <v xml:space="preserve"> </v>
      </c>
      <c r="I3754" s="43"/>
      <c r="K3754" t="str">
        <f>IFERROR(+VLOOKUP(Movimientos_2026[[#This Row],[Codigo]],Plan_cuentas[],6,FALSE)," ")</f>
        <v xml:space="preserve"> </v>
      </c>
      <c r="L3754" s="50"/>
      <c r="M3754" s="50"/>
      <c r="N3754" s="20">
        <f>+Movimientos_2026[[#This Row],[Ingresos]]-Movimientos_2026[[#This Row],[Egresos]]</f>
        <v>0</v>
      </c>
      <c r="O3754" s="20">
        <f>+O3753+Movimientos_2026[[#This Row],[Neto]]</f>
        <v>4581558617.7962294</v>
      </c>
    </row>
    <row r="3755" spans="1:15" x14ac:dyDescent="0.25">
      <c r="A3755" s="13"/>
      <c r="B3755" s="12">
        <f>MONTH(Movimientos_2026[[#This Row],[Fecha]])</f>
        <v>1</v>
      </c>
      <c r="C3755" s="12" t="str">
        <f>VLOOKUP((WEEKDAY(Movimientos_2026[[#This Row],[Fecha]],2)),'5. Setup'!$D$6:$E$12,2,FALSE)</f>
        <v>Sab</v>
      </c>
      <c r="E3755" t="str">
        <f>IFERROR(+VLOOKUP(Movimientos_2026[[#This Row],[Codigo]],Plan_cuentas[],2,FALSE)," ")</f>
        <v xml:space="preserve"> </v>
      </c>
      <c r="F3755" t="str">
        <f>IFERROR(+VLOOKUP(Movimientos_2026[[#This Row],[Codigo]],Plan_cuentas[],3,FALSE)," ")</f>
        <v xml:space="preserve"> </v>
      </c>
      <c r="G3755" t="str">
        <f>IFERROR(+VLOOKUP(Movimientos_2026[[#This Row],[Codigo]],Plan_cuentas[],4,FALSE)," ")</f>
        <v xml:space="preserve"> </v>
      </c>
      <c r="H3755" t="str">
        <f>IFERROR(+VLOOKUP(Movimientos_2026[[#This Row],[Codigo]],Plan_cuentas[],5,FALSE)," ")</f>
        <v xml:space="preserve"> </v>
      </c>
      <c r="I3755" s="43"/>
      <c r="K3755" t="str">
        <f>IFERROR(+VLOOKUP(Movimientos_2026[[#This Row],[Codigo]],Plan_cuentas[],6,FALSE)," ")</f>
        <v xml:space="preserve"> </v>
      </c>
      <c r="L3755" s="50"/>
      <c r="M3755" s="50"/>
      <c r="N3755" s="20">
        <f>+Movimientos_2026[[#This Row],[Ingresos]]-Movimientos_2026[[#This Row],[Egresos]]</f>
        <v>0</v>
      </c>
      <c r="O3755" s="20">
        <f>+O3754+Movimientos_2026[[#This Row],[Neto]]</f>
        <v>4581558617.7962294</v>
      </c>
    </row>
    <row r="3756" spans="1:15" x14ac:dyDescent="0.25">
      <c r="A3756" s="13"/>
      <c r="B3756" s="12">
        <f>MONTH(Movimientos_2026[[#This Row],[Fecha]])</f>
        <v>1</v>
      </c>
      <c r="C3756" s="12" t="str">
        <f>VLOOKUP((WEEKDAY(Movimientos_2026[[#This Row],[Fecha]],2)),'5. Setup'!$D$6:$E$12,2,FALSE)</f>
        <v>Sab</v>
      </c>
      <c r="E3756" t="str">
        <f>IFERROR(+VLOOKUP(Movimientos_2026[[#This Row],[Codigo]],Plan_cuentas[],2,FALSE)," ")</f>
        <v xml:space="preserve"> </v>
      </c>
      <c r="F3756" t="str">
        <f>IFERROR(+VLOOKUP(Movimientos_2026[[#This Row],[Codigo]],Plan_cuentas[],3,FALSE)," ")</f>
        <v xml:space="preserve"> </v>
      </c>
      <c r="G3756" t="str">
        <f>IFERROR(+VLOOKUP(Movimientos_2026[[#This Row],[Codigo]],Plan_cuentas[],4,FALSE)," ")</f>
        <v xml:space="preserve"> </v>
      </c>
      <c r="H3756" t="str">
        <f>IFERROR(+VLOOKUP(Movimientos_2026[[#This Row],[Codigo]],Plan_cuentas[],5,FALSE)," ")</f>
        <v xml:space="preserve"> </v>
      </c>
      <c r="I3756" s="43"/>
      <c r="K3756" t="str">
        <f>IFERROR(+VLOOKUP(Movimientos_2026[[#This Row],[Codigo]],Plan_cuentas[],6,FALSE)," ")</f>
        <v xml:space="preserve"> </v>
      </c>
      <c r="L3756" s="50"/>
      <c r="M3756" s="50"/>
      <c r="N3756" s="20">
        <f>+Movimientos_2026[[#This Row],[Ingresos]]-Movimientos_2026[[#This Row],[Egresos]]</f>
        <v>0</v>
      </c>
      <c r="O3756" s="20">
        <f>+O3755+Movimientos_2026[[#This Row],[Neto]]</f>
        <v>4581558617.7962294</v>
      </c>
    </row>
    <row r="3757" spans="1:15" x14ac:dyDescent="0.25">
      <c r="A3757" s="13"/>
      <c r="B3757" s="12">
        <f>MONTH(Movimientos_2026[[#This Row],[Fecha]])</f>
        <v>1</v>
      </c>
      <c r="C3757" s="12" t="str">
        <f>VLOOKUP((WEEKDAY(Movimientos_2026[[#This Row],[Fecha]],2)),'5. Setup'!$D$6:$E$12,2,FALSE)</f>
        <v>Sab</v>
      </c>
      <c r="E3757" t="str">
        <f>IFERROR(+VLOOKUP(Movimientos_2026[[#This Row],[Codigo]],Plan_cuentas[],2,FALSE)," ")</f>
        <v xml:space="preserve"> </v>
      </c>
      <c r="F3757" t="str">
        <f>IFERROR(+VLOOKUP(Movimientos_2026[[#This Row],[Codigo]],Plan_cuentas[],3,FALSE)," ")</f>
        <v xml:space="preserve"> </v>
      </c>
      <c r="G3757" t="str">
        <f>IFERROR(+VLOOKUP(Movimientos_2026[[#This Row],[Codigo]],Plan_cuentas[],4,FALSE)," ")</f>
        <v xml:space="preserve"> </v>
      </c>
      <c r="H3757" t="str">
        <f>IFERROR(+VLOOKUP(Movimientos_2026[[#This Row],[Codigo]],Plan_cuentas[],5,FALSE)," ")</f>
        <v xml:space="preserve"> </v>
      </c>
      <c r="I3757" s="43"/>
      <c r="K3757" t="str">
        <f>IFERROR(+VLOOKUP(Movimientos_2026[[#This Row],[Codigo]],Plan_cuentas[],6,FALSE)," ")</f>
        <v xml:space="preserve"> </v>
      </c>
      <c r="L3757" s="50"/>
      <c r="M3757" s="50"/>
      <c r="N3757" s="20">
        <f>+Movimientos_2026[[#This Row],[Ingresos]]-Movimientos_2026[[#This Row],[Egresos]]</f>
        <v>0</v>
      </c>
      <c r="O3757" s="20">
        <f>+O3756+Movimientos_2026[[#This Row],[Neto]]</f>
        <v>4581558617.7962294</v>
      </c>
    </row>
    <row r="3758" spans="1:15" x14ac:dyDescent="0.25">
      <c r="A3758" s="13"/>
      <c r="B3758" s="12">
        <f>MONTH(Movimientos_2026[[#This Row],[Fecha]])</f>
        <v>1</v>
      </c>
      <c r="C3758" s="12" t="str">
        <f>VLOOKUP((WEEKDAY(Movimientos_2026[[#This Row],[Fecha]],2)),'5. Setup'!$D$6:$E$12,2,FALSE)</f>
        <v>Sab</v>
      </c>
      <c r="E3758" t="str">
        <f>IFERROR(+VLOOKUP(Movimientos_2026[[#This Row],[Codigo]],Plan_cuentas[],2,FALSE)," ")</f>
        <v xml:space="preserve"> </v>
      </c>
      <c r="F3758" t="str">
        <f>IFERROR(+VLOOKUP(Movimientos_2026[[#This Row],[Codigo]],Plan_cuentas[],3,FALSE)," ")</f>
        <v xml:space="preserve"> </v>
      </c>
      <c r="G3758" t="str">
        <f>IFERROR(+VLOOKUP(Movimientos_2026[[#This Row],[Codigo]],Plan_cuentas[],4,FALSE)," ")</f>
        <v xml:space="preserve"> </v>
      </c>
      <c r="H3758" t="str">
        <f>IFERROR(+VLOOKUP(Movimientos_2026[[#This Row],[Codigo]],Plan_cuentas[],5,FALSE)," ")</f>
        <v xml:space="preserve"> </v>
      </c>
      <c r="I3758" s="43"/>
      <c r="K3758" t="str">
        <f>IFERROR(+VLOOKUP(Movimientos_2026[[#This Row],[Codigo]],Plan_cuentas[],6,FALSE)," ")</f>
        <v xml:space="preserve"> </v>
      </c>
      <c r="L3758" s="50"/>
      <c r="M3758" s="50"/>
      <c r="N3758" s="20">
        <f>+Movimientos_2026[[#This Row],[Ingresos]]-Movimientos_2026[[#This Row],[Egresos]]</f>
        <v>0</v>
      </c>
      <c r="O3758" s="20">
        <f>+O3757+Movimientos_2026[[#This Row],[Neto]]</f>
        <v>4581558617.7962294</v>
      </c>
    </row>
    <row r="3759" spans="1:15" x14ac:dyDescent="0.25">
      <c r="A3759" s="13"/>
      <c r="B3759" s="12">
        <f>MONTH(Movimientos_2026[[#This Row],[Fecha]])</f>
        <v>1</v>
      </c>
      <c r="C3759" s="12" t="str">
        <f>VLOOKUP((WEEKDAY(Movimientos_2026[[#This Row],[Fecha]],2)),'5. Setup'!$D$6:$E$12,2,FALSE)</f>
        <v>Sab</v>
      </c>
      <c r="E3759" t="str">
        <f>IFERROR(+VLOOKUP(Movimientos_2026[[#This Row],[Codigo]],Plan_cuentas[],2,FALSE)," ")</f>
        <v xml:space="preserve"> </v>
      </c>
      <c r="F3759" t="str">
        <f>IFERROR(+VLOOKUP(Movimientos_2026[[#This Row],[Codigo]],Plan_cuentas[],3,FALSE)," ")</f>
        <v xml:space="preserve"> </v>
      </c>
      <c r="G3759" t="str">
        <f>IFERROR(+VLOOKUP(Movimientos_2026[[#This Row],[Codigo]],Plan_cuentas[],4,FALSE)," ")</f>
        <v xml:space="preserve"> </v>
      </c>
      <c r="H3759" t="str">
        <f>IFERROR(+VLOOKUP(Movimientos_2026[[#This Row],[Codigo]],Plan_cuentas[],5,FALSE)," ")</f>
        <v xml:space="preserve"> </v>
      </c>
      <c r="I3759" s="43"/>
      <c r="K3759" t="str">
        <f>IFERROR(+VLOOKUP(Movimientos_2026[[#This Row],[Codigo]],Plan_cuentas[],6,FALSE)," ")</f>
        <v xml:space="preserve"> </v>
      </c>
      <c r="L3759" s="50"/>
      <c r="M3759" s="50"/>
      <c r="N3759" s="20">
        <f>+Movimientos_2026[[#This Row],[Ingresos]]-Movimientos_2026[[#This Row],[Egresos]]</f>
        <v>0</v>
      </c>
      <c r="O3759" s="20">
        <f>+O3758+Movimientos_2026[[#This Row],[Neto]]</f>
        <v>4581558617.7962294</v>
      </c>
    </row>
    <row r="3760" spans="1:15" x14ac:dyDescent="0.25">
      <c r="A3760" s="13"/>
      <c r="B3760" s="12">
        <f>MONTH(Movimientos_2026[[#This Row],[Fecha]])</f>
        <v>1</v>
      </c>
      <c r="C3760" s="12" t="str">
        <f>VLOOKUP((WEEKDAY(Movimientos_2026[[#This Row],[Fecha]],2)),'5. Setup'!$D$6:$E$12,2,FALSE)</f>
        <v>Sab</v>
      </c>
      <c r="E3760" t="str">
        <f>IFERROR(+VLOOKUP(Movimientos_2026[[#This Row],[Codigo]],Plan_cuentas[],2,FALSE)," ")</f>
        <v xml:space="preserve"> </v>
      </c>
      <c r="F3760" t="str">
        <f>IFERROR(+VLOOKUP(Movimientos_2026[[#This Row],[Codigo]],Plan_cuentas[],3,FALSE)," ")</f>
        <v xml:space="preserve"> </v>
      </c>
      <c r="G3760" t="str">
        <f>IFERROR(+VLOOKUP(Movimientos_2026[[#This Row],[Codigo]],Plan_cuentas[],4,FALSE)," ")</f>
        <v xml:space="preserve"> </v>
      </c>
      <c r="H3760" t="str">
        <f>IFERROR(+VLOOKUP(Movimientos_2026[[#This Row],[Codigo]],Plan_cuentas[],5,FALSE)," ")</f>
        <v xml:space="preserve"> </v>
      </c>
      <c r="I3760" s="43"/>
      <c r="K3760" t="str">
        <f>IFERROR(+VLOOKUP(Movimientos_2026[[#This Row],[Codigo]],Plan_cuentas[],6,FALSE)," ")</f>
        <v xml:space="preserve"> </v>
      </c>
      <c r="L3760" s="50"/>
      <c r="M3760" s="50"/>
      <c r="N3760" s="20">
        <f>+Movimientos_2026[[#This Row],[Ingresos]]-Movimientos_2026[[#This Row],[Egresos]]</f>
        <v>0</v>
      </c>
      <c r="O3760" s="20">
        <f>+O3759+Movimientos_2026[[#This Row],[Neto]]</f>
        <v>4581558617.7962294</v>
      </c>
    </row>
    <row r="3761" spans="1:15" x14ac:dyDescent="0.25">
      <c r="A3761" s="13"/>
      <c r="B3761" s="12">
        <f>MONTH(Movimientos_2026[[#This Row],[Fecha]])</f>
        <v>1</v>
      </c>
      <c r="C3761" s="12" t="str">
        <f>VLOOKUP((WEEKDAY(Movimientos_2026[[#This Row],[Fecha]],2)),'5. Setup'!$D$6:$E$12,2,FALSE)</f>
        <v>Sab</v>
      </c>
      <c r="E3761" t="str">
        <f>IFERROR(+VLOOKUP(Movimientos_2026[[#This Row],[Codigo]],Plan_cuentas[],2,FALSE)," ")</f>
        <v xml:space="preserve"> </v>
      </c>
      <c r="F3761" t="str">
        <f>IFERROR(+VLOOKUP(Movimientos_2026[[#This Row],[Codigo]],Plan_cuentas[],3,FALSE)," ")</f>
        <v xml:space="preserve"> </v>
      </c>
      <c r="G3761" t="str">
        <f>IFERROR(+VLOOKUP(Movimientos_2026[[#This Row],[Codigo]],Plan_cuentas[],4,FALSE)," ")</f>
        <v xml:space="preserve"> </v>
      </c>
      <c r="H3761" t="str">
        <f>IFERROR(+VLOOKUP(Movimientos_2026[[#This Row],[Codigo]],Plan_cuentas[],5,FALSE)," ")</f>
        <v xml:space="preserve"> </v>
      </c>
      <c r="I3761" s="43"/>
      <c r="K3761" t="str">
        <f>IFERROR(+VLOOKUP(Movimientos_2026[[#This Row],[Codigo]],Plan_cuentas[],6,FALSE)," ")</f>
        <v xml:space="preserve"> </v>
      </c>
      <c r="L3761" s="50"/>
      <c r="M3761" s="50"/>
      <c r="N3761" s="20">
        <f>+Movimientos_2026[[#This Row],[Ingresos]]-Movimientos_2026[[#This Row],[Egresos]]</f>
        <v>0</v>
      </c>
      <c r="O3761" s="20">
        <f>+O3760+Movimientos_2026[[#This Row],[Neto]]</f>
        <v>4581558617.7962294</v>
      </c>
    </row>
    <row r="3762" spans="1:15" x14ac:dyDescent="0.25">
      <c r="A3762" s="13"/>
      <c r="B3762" s="12">
        <f>MONTH(Movimientos_2026[[#This Row],[Fecha]])</f>
        <v>1</v>
      </c>
      <c r="C3762" s="12" t="str">
        <f>VLOOKUP((WEEKDAY(Movimientos_2026[[#This Row],[Fecha]],2)),'5. Setup'!$D$6:$E$12,2,FALSE)</f>
        <v>Sab</v>
      </c>
      <c r="E3762" t="str">
        <f>IFERROR(+VLOOKUP(Movimientos_2026[[#This Row],[Codigo]],Plan_cuentas[],2,FALSE)," ")</f>
        <v xml:space="preserve"> </v>
      </c>
      <c r="F3762" t="str">
        <f>IFERROR(+VLOOKUP(Movimientos_2026[[#This Row],[Codigo]],Plan_cuentas[],3,FALSE)," ")</f>
        <v xml:space="preserve"> </v>
      </c>
      <c r="G3762" t="str">
        <f>IFERROR(+VLOOKUP(Movimientos_2026[[#This Row],[Codigo]],Plan_cuentas[],4,FALSE)," ")</f>
        <v xml:space="preserve"> </v>
      </c>
      <c r="H3762" t="str">
        <f>IFERROR(+VLOOKUP(Movimientos_2026[[#This Row],[Codigo]],Plan_cuentas[],5,FALSE)," ")</f>
        <v xml:space="preserve"> </v>
      </c>
      <c r="I3762" s="43"/>
      <c r="K3762" t="str">
        <f>IFERROR(+VLOOKUP(Movimientos_2026[[#This Row],[Codigo]],Plan_cuentas[],6,FALSE)," ")</f>
        <v xml:space="preserve"> </v>
      </c>
      <c r="L3762" s="50"/>
      <c r="M3762" s="50"/>
      <c r="N3762" s="20">
        <f>+Movimientos_2026[[#This Row],[Ingresos]]-Movimientos_2026[[#This Row],[Egresos]]</f>
        <v>0</v>
      </c>
      <c r="O3762" s="20">
        <f>+O3761+Movimientos_2026[[#This Row],[Neto]]</f>
        <v>4581558617.7962294</v>
      </c>
    </row>
    <row r="3763" spans="1:15" x14ac:dyDescent="0.25">
      <c r="A3763" s="13"/>
      <c r="B3763" s="12">
        <f>MONTH(Movimientos_2026[[#This Row],[Fecha]])</f>
        <v>1</v>
      </c>
      <c r="C3763" s="12" t="str">
        <f>VLOOKUP((WEEKDAY(Movimientos_2026[[#This Row],[Fecha]],2)),'5. Setup'!$D$6:$E$12,2,FALSE)</f>
        <v>Sab</v>
      </c>
      <c r="E3763" t="str">
        <f>IFERROR(+VLOOKUP(Movimientos_2026[[#This Row],[Codigo]],Plan_cuentas[],2,FALSE)," ")</f>
        <v xml:space="preserve"> </v>
      </c>
      <c r="F3763" t="str">
        <f>IFERROR(+VLOOKUP(Movimientos_2026[[#This Row],[Codigo]],Plan_cuentas[],3,FALSE)," ")</f>
        <v xml:space="preserve"> </v>
      </c>
      <c r="G3763" t="str">
        <f>IFERROR(+VLOOKUP(Movimientos_2026[[#This Row],[Codigo]],Plan_cuentas[],4,FALSE)," ")</f>
        <v xml:space="preserve"> </v>
      </c>
      <c r="H3763" t="str">
        <f>IFERROR(+VLOOKUP(Movimientos_2026[[#This Row],[Codigo]],Plan_cuentas[],5,FALSE)," ")</f>
        <v xml:space="preserve"> </v>
      </c>
      <c r="I3763" s="43"/>
      <c r="K3763" t="str">
        <f>IFERROR(+VLOOKUP(Movimientos_2026[[#This Row],[Codigo]],Plan_cuentas[],6,FALSE)," ")</f>
        <v xml:space="preserve"> </v>
      </c>
      <c r="L3763" s="50"/>
      <c r="M3763" s="50"/>
      <c r="N3763" s="20">
        <f>+Movimientos_2026[[#This Row],[Ingresos]]-Movimientos_2026[[#This Row],[Egresos]]</f>
        <v>0</v>
      </c>
      <c r="O3763" s="20">
        <f>+O3762+Movimientos_2026[[#This Row],[Neto]]</f>
        <v>4581558617.7962294</v>
      </c>
    </row>
    <row r="3764" spans="1:15" x14ac:dyDescent="0.25">
      <c r="A3764" s="13"/>
      <c r="B3764" s="12">
        <f>MONTH(Movimientos_2026[[#This Row],[Fecha]])</f>
        <v>1</v>
      </c>
      <c r="C3764" s="12" t="str">
        <f>VLOOKUP((WEEKDAY(Movimientos_2026[[#This Row],[Fecha]],2)),'5. Setup'!$D$6:$E$12,2,FALSE)</f>
        <v>Sab</v>
      </c>
      <c r="E3764" t="str">
        <f>IFERROR(+VLOOKUP(Movimientos_2026[[#This Row],[Codigo]],Plan_cuentas[],2,FALSE)," ")</f>
        <v xml:space="preserve"> </v>
      </c>
      <c r="F3764" t="str">
        <f>IFERROR(+VLOOKUP(Movimientos_2026[[#This Row],[Codigo]],Plan_cuentas[],3,FALSE)," ")</f>
        <v xml:space="preserve"> </v>
      </c>
      <c r="G3764" t="str">
        <f>IFERROR(+VLOOKUP(Movimientos_2026[[#This Row],[Codigo]],Plan_cuentas[],4,FALSE)," ")</f>
        <v xml:space="preserve"> </v>
      </c>
      <c r="H3764" t="str">
        <f>IFERROR(+VLOOKUP(Movimientos_2026[[#This Row],[Codigo]],Plan_cuentas[],5,FALSE)," ")</f>
        <v xml:space="preserve"> </v>
      </c>
      <c r="I3764" s="43"/>
      <c r="K3764" t="str">
        <f>IFERROR(+VLOOKUP(Movimientos_2026[[#This Row],[Codigo]],Plan_cuentas[],6,FALSE)," ")</f>
        <v xml:space="preserve"> </v>
      </c>
      <c r="L3764" s="50"/>
      <c r="M3764" s="50"/>
      <c r="N3764" s="20">
        <f>+Movimientos_2026[[#This Row],[Ingresos]]-Movimientos_2026[[#This Row],[Egresos]]</f>
        <v>0</v>
      </c>
      <c r="O3764" s="20">
        <f>+O3763+Movimientos_2026[[#This Row],[Neto]]</f>
        <v>4581558617.7962294</v>
      </c>
    </row>
    <row r="3765" spans="1:15" x14ac:dyDescent="0.25">
      <c r="A3765" s="13"/>
      <c r="B3765" s="12">
        <f>MONTH(Movimientos_2026[[#This Row],[Fecha]])</f>
        <v>1</v>
      </c>
      <c r="C3765" s="12" t="str">
        <f>VLOOKUP((WEEKDAY(Movimientos_2026[[#This Row],[Fecha]],2)),'5. Setup'!$D$6:$E$12,2,FALSE)</f>
        <v>Sab</v>
      </c>
      <c r="E3765" t="str">
        <f>IFERROR(+VLOOKUP(Movimientos_2026[[#This Row],[Codigo]],Plan_cuentas[],2,FALSE)," ")</f>
        <v xml:space="preserve"> </v>
      </c>
      <c r="F3765" t="str">
        <f>IFERROR(+VLOOKUP(Movimientos_2026[[#This Row],[Codigo]],Plan_cuentas[],3,FALSE)," ")</f>
        <v xml:space="preserve"> </v>
      </c>
      <c r="G3765" t="str">
        <f>IFERROR(+VLOOKUP(Movimientos_2026[[#This Row],[Codigo]],Plan_cuentas[],4,FALSE)," ")</f>
        <v xml:space="preserve"> </v>
      </c>
      <c r="H3765" t="str">
        <f>IFERROR(+VLOOKUP(Movimientos_2026[[#This Row],[Codigo]],Plan_cuentas[],5,FALSE)," ")</f>
        <v xml:space="preserve"> </v>
      </c>
      <c r="I3765" s="43"/>
      <c r="K3765" t="str">
        <f>IFERROR(+VLOOKUP(Movimientos_2026[[#This Row],[Codigo]],Plan_cuentas[],6,FALSE)," ")</f>
        <v xml:space="preserve"> </v>
      </c>
      <c r="L3765" s="50"/>
      <c r="M3765" s="50"/>
      <c r="N3765" s="20">
        <f>+Movimientos_2026[[#This Row],[Ingresos]]-Movimientos_2026[[#This Row],[Egresos]]</f>
        <v>0</v>
      </c>
      <c r="O3765" s="20">
        <f>+O3764+Movimientos_2026[[#This Row],[Neto]]</f>
        <v>4581558617.7962294</v>
      </c>
    </row>
    <row r="3766" spans="1:15" x14ac:dyDescent="0.25">
      <c r="A3766" s="13"/>
      <c r="B3766" s="12">
        <f>MONTH(Movimientos_2026[[#This Row],[Fecha]])</f>
        <v>1</v>
      </c>
      <c r="C3766" s="12" t="str">
        <f>VLOOKUP((WEEKDAY(Movimientos_2026[[#This Row],[Fecha]],2)),'5. Setup'!$D$6:$E$12,2,FALSE)</f>
        <v>Sab</v>
      </c>
      <c r="E3766" t="str">
        <f>IFERROR(+VLOOKUP(Movimientos_2026[[#This Row],[Codigo]],Plan_cuentas[],2,FALSE)," ")</f>
        <v xml:space="preserve"> </v>
      </c>
      <c r="F3766" t="str">
        <f>IFERROR(+VLOOKUP(Movimientos_2026[[#This Row],[Codigo]],Plan_cuentas[],3,FALSE)," ")</f>
        <v xml:space="preserve"> </v>
      </c>
      <c r="G3766" t="str">
        <f>IFERROR(+VLOOKUP(Movimientos_2026[[#This Row],[Codigo]],Plan_cuentas[],4,FALSE)," ")</f>
        <v xml:space="preserve"> </v>
      </c>
      <c r="H3766" t="str">
        <f>IFERROR(+VLOOKUP(Movimientos_2026[[#This Row],[Codigo]],Plan_cuentas[],5,FALSE)," ")</f>
        <v xml:space="preserve"> </v>
      </c>
      <c r="I3766" s="43"/>
      <c r="K3766" t="str">
        <f>IFERROR(+VLOOKUP(Movimientos_2026[[#This Row],[Codigo]],Plan_cuentas[],6,FALSE)," ")</f>
        <v xml:space="preserve"> </v>
      </c>
      <c r="L3766" s="50"/>
      <c r="M3766" s="50"/>
      <c r="N3766" s="20">
        <f>+Movimientos_2026[[#This Row],[Ingresos]]-Movimientos_2026[[#This Row],[Egresos]]</f>
        <v>0</v>
      </c>
      <c r="O3766" s="20">
        <f>+O3765+Movimientos_2026[[#This Row],[Neto]]</f>
        <v>4581558617.7962294</v>
      </c>
    </row>
    <row r="3767" spans="1:15" x14ac:dyDescent="0.25">
      <c r="A3767" s="13"/>
      <c r="B3767" s="12">
        <f>MONTH(Movimientos_2026[[#This Row],[Fecha]])</f>
        <v>1</v>
      </c>
      <c r="C3767" s="12" t="str">
        <f>VLOOKUP((WEEKDAY(Movimientos_2026[[#This Row],[Fecha]],2)),'5. Setup'!$D$6:$E$12,2,FALSE)</f>
        <v>Sab</v>
      </c>
      <c r="E3767" t="str">
        <f>IFERROR(+VLOOKUP(Movimientos_2026[[#This Row],[Codigo]],Plan_cuentas[],2,FALSE)," ")</f>
        <v xml:space="preserve"> </v>
      </c>
      <c r="F3767" t="str">
        <f>IFERROR(+VLOOKUP(Movimientos_2026[[#This Row],[Codigo]],Plan_cuentas[],3,FALSE)," ")</f>
        <v xml:space="preserve"> </v>
      </c>
      <c r="G3767" t="str">
        <f>IFERROR(+VLOOKUP(Movimientos_2026[[#This Row],[Codigo]],Plan_cuentas[],4,FALSE)," ")</f>
        <v xml:space="preserve"> </v>
      </c>
      <c r="H3767" t="str">
        <f>IFERROR(+VLOOKUP(Movimientos_2026[[#This Row],[Codigo]],Plan_cuentas[],5,FALSE)," ")</f>
        <v xml:space="preserve"> </v>
      </c>
      <c r="I3767" s="43"/>
      <c r="K3767" t="str">
        <f>IFERROR(+VLOOKUP(Movimientos_2026[[#This Row],[Codigo]],Plan_cuentas[],6,FALSE)," ")</f>
        <v xml:space="preserve"> </v>
      </c>
      <c r="L3767" s="50"/>
      <c r="M3767" s="50"/>
      <c r="N3767" s="20">
        <f>+Movimientos_2026[[#This Row],[Ingresos]]-Movimientos_2026[[#This Row],[Egresos]]</f>
        <v>0</v>
      </c>
      <c r="O3767" s="20">
        <f>+O3766+Movimientos_2026[[#This Row],[Neto]]</f>
        <v>4581558617.7962294</v>
      </c>
    </row>
    <row r="3768" spans="1:15" x14ac:dyDescent="0.25">
      <c r="A3768" s="13"/>
      <c r="B3768" s="12">
        <f>MONTH(Movimientos_2026[[#This Row],[Fecha]])</f>
        <v>1</v>
      </c>
      <c r="C3768" s="12" t="str">
        <f>VLOOKUP((WEEKDAY(Movimientos_2026[[#This Row],[Fecha]],2)),'5. Setup'!$D$6:$E$12,2,FALSE)</f>
        <v>Sab</v>
      </c>
      <c r="E3768" t="str">
        <f>IFERROR(+VLOOKUP(Movimientos_2026[[#This Row],[Codigo]],Plan_cuentas[],2,FALSE)," ")</f>
        <v xml:space="preserve"> </v>
      </c>
      <c r="F3768" t="str">
        <f>IFERROR(+VLOOKUP(Movimientos_2026[[#This Row],[Codigo]],Plan_cuentas[],3,FALSE)," ")</f>
        <v xml:space="preserve"> </v>
      </c>
      <c r="G3768" t="str">
        <f>IFERROR(+VLOOKUP(Movimientos_2026[[#This Row],[Codigo]],Plan_cuentas[],4,FALSE)," ")</f>
        <v xml:space="preserve"> </v>
      </c>
      <c r="H3768" t="str">
        <f>IFERROR(+VLOOKUP(Movimientos_2026[[#This Row],[Codigo]],Plan_cuentas[],5,FALSE)," ")</f>
        <v xml:space="preserve"> </v>
      </c>
      <c r="I3768" s="43"/>
      <c r="K3768" t="str">
        <f>IFERROR(+VLOOKUP(Movimientos_2026[[#This Row],[Codigo]],Plan_cuentas[],6,FALSE)," ")</f>
        <v xml:space="preserve"> </v>
      </c>
      <c r="L3768" s="50"/>
      <c r="M3768" s="50"/>
      <c r="N3768" s="20">
        <f>+Movimientos_2026[[#This Row],[Ingresos]]-Movimientos_2026[[#This Row],[Egresos]]</f>
        <v>0</v>
      </c>
      <c r="O3768" s="20">
        <f>+O3767+Movimientos_2026[[#This Row],[Neto]]</f>
        <v>4581558617.7962294</v>
      </c>
    </row>
    <row r="3769" spans="1:15" x14ac:dyDescent="0.25">
      <c r="A3769" s="13"/>
      <c r="B3769" s="12">
        <f>MONTH(Movimientos_2026[[#This Row],[Fecha]])</f>
        <v>1</v>
      </c>
      <c r="C3769" s="12" t="str">
        <f>VLOOKUP((WEEKDAY(Movimientos_2026[[#This Row],[Fecha]],2)),'5. Setup'!$D$6:$E$12,2,FALSE)</f>
        <v>Sab</v>
      </c>
      <c r="E3769" t="str">
        <f>IFERROR(+VLOOKUP(Movimientos_2026[[#This Row],[Codigo]],Plan_cuentas[],2,FALSE)," ")</f>
        <v xml:space="preserve"> </v>
      </c>
      <c r="F3769" t="str">
        <f>IFERROR(+VLOOKUP(Movimientos_2026[[#This Row],[Codigo]],Plan_cuentas[],3,FALSE)," ")</f>
        <v xml:space="preserve"> </v>
      </c>
      <c r="G3769" t="str">
        <f>IFERROR(+VLOOKUP(Movimientos_2026[[#This Row],[Codigo]],Plan_cuentas[],4,FALSE)," ")</f>
        <v xml:space="preserve"> </v>
      </c>
      <c r="H3769" t="str">
        <f>IFERROR(+VLOOKUP(Movimientos_2026[[#This Row],[Codigo]],Plan_cuentas[],5,FALSE)," ")</f>
        <v xml:space="preserve"> </v>
      </c>
      <c r="I3769" s="43"/>
      <c r="K3769" t="str">
        <f>IFERROR(+VLOOKUP(Movimientos_2026[[#This Row],[Codigo]],Plan_cuentas[],6,FALSE)," ")</f>
        <v xml:space="preserve"> </v>
      </c>
      <c r="L3769" s="50"/>
      <c r="M3769" s="50"/>
      <c r="N3769" s="20">
        <f>+Movimientos_2026[[#This Row],[Ingresos]]-Movimientos_2026[[#This Row],[Egresos]]</f>
        <v>0</v>
      </c>
      <c r="O3769" s="20">
        <f>+O3768+Movimientos_2026[[#This Row],[Neto]]</f>
        <v>4581558617.7962294</v>
      </c>
    </row>
    <row r="3770" spans="1:15" x14ac:dyDescent="0.25">
      <c r="A3770" s="13"/>
      <c r="B3770" s="12">
        <f>MONTH(Movimientos_2026[[#This Row],[Fecha]])</f>
        <v>1</v>
      </c>
      <c r="C3770" s="12" t="str">
        <f>VLOOKUP((WEEKDAY(Movimientos_2026[[#This Row],[Fecha]],2)),'5. Setup'!$D$6:$E$12,2,FALSE)</f>
        <v>Sab</v>
      </c>
      <c r="E3770" t="str">
        <f>IFERROR(+VLOOKUP(Movimientos_2026[[#This Row],[Codigo]],Plan_cuentas[],2,FALSE)," ")</f>
        <v xml:space="preserve"> </v>
      </c>
      <c r="F3770" t="str">
        <f>IFERROR(+VLOOKUP(Movimientos_2026[[#This Row],[Codigo]],Plan_cuentas[],3,FALSE)," ")</f>
        <v xml:space="preserve"> </v>
      </c>
      <c r="G3770" t="str">
        <f>IFERROR(+VLOOKUP(Movimientos_2026[[#This Row],[Codigo]],Plan_cuentas[],4,FALSE)," ")</f>
        <v xml:space="preserve"> </v>
      </c>
      <c r="H3770" t="str">
        <f>IFERROR(+VLOOKUP(Movimientos_2026[[#This Row],[Codigo]],Plan_cuentas[],5,FALSE)," ")</f>
        <v xml:space="preserve"> </v>
      </c>
      <c r="I3770" s="43"/>
      <c r="K3770" t="str">
        <f>IFERROR(+VLOOKUP(Movimientos_2026[[#This Row],[Codigo]],Plan_cuentas[],6,FALSE)," ")</f>
        <v xml:space="preserve"> </v>
      </c>
      <c r="L3770" s="50"/>
      <c r="M3770" s="50"/>
      <c r="N3770" s="20">
        <f>+Movimientos_2026[[#This Row],[Ingresos]]-Movimientos_2026[[#This Row],[Egresos]]</f>
        <v>0</v>
      </c>
      <c r="O3770" s="20">
        <f>+O3769+Movimientos_2026[[#This Row],[Neto]]</f>
        <v>4581558617.7962294</v>
      </c>
    </row>
    <row r="3771" spans="1:15" x14ac:dyDescent="0.25">
      <c r="A3771" s="13"/>
      <c r="B3771" s="12">
        <f>MONTH(Movimientos_2026[[#This Row],[Fecha]])</f>
        <v>1</v>
      </c>
      <c r="C3771" s="12" t="str">
        <f>VLOOKUP((WEEKDAY(Movimientos_2026[[#This Row],[Fecha]],2)),'5. Setup'!$D$6:$E$12,2,FALSE)</f>
        <v>Sab</v>
      </c>
      <c r="E3771" t="str">
        <f>IFERROR(+VLOOKUP(Movimientos_2026[[#This Row],[Codigo]],Plan_cuentas[],2,FALSE)," ")</f>
        <v xml:space="preserve"> </v>
      </c>
      <c r="F3771" t="str">
        <f>IFERROR(+VLOOKUP(Movimientos_2026[[#This Row],[Codigo]],Plan_cuentas[],3,FALSE)," ")</f>
        <v xml:space="preserve"> </v>
      </c>
      <c r="G3771" t="str">
        <f>IFERROR(+VLOOKUP(Movimientos_2026[[#This Row],[Codigo]],Plan_cuentas[],4,FALSE)," ")</f>
        <v xml:space="preserve"> </v>
      </c>
      <c r="H3771" t="str">
        <f>IFERROR(+VLOOKUP(Movimientos_2026[[#This Row],[Codigo]],Plan_cuentas[],5,FALSE)," ")</f>
        <v xml:space="preserve"> </v>
      </c>
      <c r="I3771" s="43"/>
      <c r="K3771" t="str">
        <f>IFERROR(+VLOOKUP(Movimientos_2026[[#This Row],[Codigo]],Plan_cuentas[],6,FALSE)," ")</f>
        <v xml:space="preserve"> </v>
      </c>
      <c r="L3771" s="50"/>
      <c r="M3771" s="50"/>
      <c r="N3771" s="20">
        <f>+Movimientos_2026[[#This Row],[Ingresos]]-Movimientos_2026[[#This Row],[Egresos]]</f>
        <v>0</v>
      </c>
      <c r="O3771" s="20">
        <f>+O3770+Movimientos_2026[[#This Row],[Neto]]</f>
        <v>4581558617.7962294</v>
      </c>
    </row>
    <row r="3772" spans="1:15" x14ac:dyDescent="0.25">
      <c r="A3772" s="13"/>
      <c r="B3772" s="12">
        <f>MONTH(Movimientos_2026[[#This Row],[Fecha]])</f>
        <v>1</v>
      </c>
      <c r="C3772" s="12" t="str">
        <f>VLOOKUP((WEEKDAY(Movimientos_2026[[#This Row],[Fecha]],2)),'5. Setup'!$D$6:$E$12,2,FALSE)</f>
        <v>Sab</v>
      </c>
      <c r="E3772" t="str">
        <f>IFERROR(+VLOOKUP(Movimientos_2026[[#This Row],[Codigo]],Plan_cuentas[],2,FALSE)," ")</f>
        <v xml:space="preserve"> </v>
      </c>
      <c r="F3772" t="str">
        <f>IFERROR(+VLOOKUP(Movimientos_2026[[#This Row],[Codigo]],Plan_cuentas[],3,FALSE)," ")</f>
        <v xml:space="preserve"> </v>
      </c>
      <c r="G3772" t="str">
        <f>IFERROR(+VLOOKUP(Movimientos_2026[[#This Row],[Codigo]],Plan_cuentas[],4,FALSE)," ")</f>
        <v xml:space="preserve"> </v>
      </c>
      <c r="H3772" t="str">
        <f>IFERROR(+VLOOKUP(Movimientos_2026[[#This Row],[Codigo]],Plan_cuentas[],5,FALSE)," ")</f>
        <v xml:space="preserve"> </v>
      </c>
      <c r="I3772" s="43"/>
      <c r="K3772" t="str">
        <f>IFERROR(+VLOOKUP(Movimientos_2026[[#This Row],[Codigo]],Plan_cuentas[],6,FALSE)," ")</f>
        <v xml:space="preserve"> </v>
      </c>
      <c r="L3772" s="50"/>
      <c r="M3772" s="50"/>
      <c r="N3772" s="20">
        <f>+Movimientos_2026[[#This Row],[Ingresos]]-Movimientos_2026[[#This Row],[Egresos]]</f>
        <v>0</v>
      </c>
      <c r="O3772" s="20">
        <f>+O3771+Movimientos_2026[[#This Row],[Neto]]</f>
        <v>4581558617.7962294</v>
      </c>
    </row>
    <row r="3773" spans="1:15" x14ac:dyDescent="0.25">
      <c r="A3773" s="13"/>
      <c r="B3773" s="12">
        <f>MONTH(Movimientos_2026[[#This Row],[Fecha]])</f>
        <v>1</v>
      </c>
      <c r="C3773" s="12" t="str">
        <f>VLOOKUP((WEEKDAY(Movimientos_2026[[#This Row],[Fecha]],2)),'5. Setup'!$D$6:$E$12,2,FALSE)</f>
        <v>Sab</v>
      </c>
      <c r="E3773" t="str">
        <f>IFERROR(+VLOOKUP(Movimientos_2026[[#This Row],[Codigo]],Plan_cuentas[],2,FALSE)," ")</f>
        <v xml:space="preserve"> </v>
      </c>
      <c r="F3773" t="str">
        <f>IFERROR(+VLOOKUP(Movimientos_2026[[#This Row],[Codigo]],Plan_cuentas[],3,FALSE)," ")</f>
        <v xml:space="preserve"> </v>
      </c>
      <c r="G3773" t="str">
        <f>IFERROR(+VLOOKUP(Movimientos_2026[[#This Row],[Codigo]],Plan_cuentas[],4,FALSE)," ")</f>
        <v xml:space="preserve"> </v>
      </c>
      <c r="H3773" t="str">
        <f>IFERROR(+VLOOKUP(Movimientos_2026[[#This Row],[Codigo]],Plan_cuentas[],5,FALSE)," ")</f>
        <v xml:space="preserve"> </v>
      </c>
      <c r="I3773" s="43"/>
      <c r="K3773" t="str">
        <f>IFERROR(+VLOOKUP(Movimientos_2026[[#This Row],[Codigo]],Plan_cuentas[],6,FALSE)," ")</f>
        <v xml:space="preserve"> </v>
      </c>
      <c r="L3773" s="50"/>
      <c r="M3773" s="50"/>
      <c r="N3773" s="20">
        <f>+Movimientos_2026[[#This Row],[Ingresos]]-Movimientos_2026[[#This Row],[Egresos]]</f>
        <v>0</v>
      </c>
      <c r="O3773" s="20">
        <f>+O3772+Movimientos_2026[[#This Row],[Neto]]</f>
        <v>4581558617.7962294</v>
      </c>
    </row>
    <row r="3774" spans="1:15" x14ac:dyDescent="0.25">
      <c r="A3774" s="13"/>
      <c r="B3774" s="12">
        <f>MONTH(Movimientos_2026[[#This Row],[Fecha]])</f>
        <v>1</v>
      </c>
      <c r="C3774" s="12" t="str">
        <f>VLOOKUP((WEEKDAY(Movimientos_2026[[#This Row],[Fecha]],2)),'5. Setup'!$D$6:$E$12,2,FALSE)</f>
        <v>Sab</v>
      </c>
      <c r="E3774" t="str">
        <f>IFERROR(+VLOOKUP(Movimientos_2026[[#This Row],[Codigo]],Plan_cuentas[],2,FALSE)," ")</f>
        <v xml:space="preserve"> </v>
      </c>
      <c r="F3774" t="str">
        <f>IFERROR(+VLOOKUP(Movimientos_2026[[#This Row],[Codigo]],Plan_cuentas[],3,FALSE)," ")</f>
        <v xml:space="preserve"> </v>
      </c>
      <c r="G3774" t="str">
        <f>IFERROR(+VLOOKUP(Movimientos_2026[[#This Row],[Codigo]],Plan_cuentas[],4,FALSE)," ")</f>
        <v xml:space="preserve"> </v>
      </c>
      <c r="H3774" t="str">
        <f>IFERROR(+VLOOKUP(Movimientos_2026[[#This Row],[Codigo]],Plan_cuentas[],5,FALSE)," ")</f>
        <v xml:space="preserve"> </v>
      </c>
      <c r="I3774" s="43"/>
      <c r="K3774" t="str">
        <f>IFERROR(+VLOOKUP(Movimientos_2026[[#This Row],[Codigo]],Plan_cuentas[],6,FALSE)," ")</f>
        <v xml:space="preserve"> </v>
      </c>
      <c r="L3774" s="50"/>
      <c r="M3774" s="50"/>
      <c r="N3774" s="20">
        <f>+Movimientos_2026[[#This Row],[Ingresos]]-Movimientos_2026[[#This Row],[Egresos]]</f>
        <v>0</v>
      </c>
      <c r="O3774" s="20">
        <f>+O3773+Movimientos_2026[[#This Row],[Neto]]</f>
        <v>4581558617.7962294</v>
      </c>
    </row>
    <row r="3775" spans="1:15" x14ac:dyDescent="0.25">
      <c r="A3775" s="13"/>
      <c r="B3775" s="12">
        <f>MONTH(Movimientos_2026[[#This Row],[Fecha]])</f>
        <v>1</v>
      </c>
      <c r="C3775" s="12" t="str">
        <f>VLOOKUP((WEEKDAY(Movimientos_2026[[#This Row],[Fecha]],2)),'5. Setup'!$D$6:$E$12,2,FALSE)</f>
        <v>Sab</v>
      </c>
      <c r="E3775" t="str">
        <f>IFERROR(+VLOOKUP(Movimientos_2026[[#This Row],[Codigo]],Plan_cuentas[],2,FALSE)," ")</f>
        <v xml:space="preserve"> </v>
      </c>
      <c r="F3775" t="str">
        <f>IFERROR(+VLOOKUP(Movimientos_2026[[#This Row],[Codigo]],Plan_cuentas[],3,FALSE)," ")</f>
        <v xml:space="preserve"> </v>
      </c>
      <c r="G3775" t="str">
        <f>IFERROR(+VLOOKUP(Movimientos_2026[[#This Row],[Codigo]],Plan_cuentas[],4,FALSE)," ")</f>
        <v xml:space="preserve"> </v>
      </c>
      <c r="H3775" t="str">
        <f>IFERROR(+VLOOKUP(Movimientos_2026[[#This Row],[Codigo]],Plan_cuentas[],5,FALSE)," ")</f>
        <v xml:space="preserve"> </v>
      </c>
      <c r="I3775" s="43"/>
      <c r="K3775" t="str">
        <f>IFERROR(+VLOOKUP(Movimientos_2026[[#This Row],[Codigo]],Plan_cuentas[],6,FALSE)," ")</f>
        <v xml:space="preserve"> </v>
      </c>
      <c r="L3775" s="50"/>
      <c r="M3775" s="50"/>
      <c r="N3775" s="20">
        <f>+Movimientos_2026[[#This Row],[Ingresos]]-Movimientos_2026[[#This Row],[Egresos]]</f>
        <v>0</v>
      </c>
      <c r="O3775" s="20">
        <f>+O3774+Movimientos_2026[[#This Row],[Neto]]</f>
        <v>4581558617.7962294</v>
      </c>
    </row>
    <row r="3776" spans="1:15" x14ac:dyDescent="0.25">
      <c r="A3776" s="13"/>
      <c r="B3776" s="12">
        <f>MONTH(Movimientos_2026[[#This Row],[Fecha]])</f>
        <v>1</v>
      </c>
      <c r="C3776" s="12" t="str">
        <f>VLOOKUP((WEEKDAY(Movimientos_2026[[#This Row],[Fecha]],2)),'5. Setup'!$D$6:$E$12,2,FALSE)</f>
        <v>Sab</v>
      </c>
      <c r="E3776" t="str">
        <f>IFERROR(+VLOOKUP(Movimientos_2026[[#This Row],[Codigo]],Plan_cuentas[],2,FALSE)," ")</f>
        <v xml:space="preserve"> </v>
      </c>
      <c r="F3776" t="str">
        <f>IFERROR(+VLOOKUP(Movimientos_2026[[#This Row],[Codigo]],Plan_cuentas[],3,FALSE)," ")</f>
        <v xml:space="preserve"> </v>
      </c>
      <c r="G3776" t="str">
        <f>IFERROR(+VLOOKUP(Movimientos_2026[[#This Row],[Codigo]],Plan_cuentas[],4,FALSE)," ")</f>
        <v xml:space="preserve"> </v>
      </c>
      <c r="H3776" t="str">
        <f>IFERROR(+VLOOKUP(Movimientos_2026[[#This Row],[Codigo]],Plan_cuentas[],5,FALSE)," ")</f>
        <v xml:space="preserve"> </v>
      </c>
      <c r="I3776" s="43"/>
      <c r="K3776" t="str">
        <f>IFERROR(+VLOOKUP(Movimientos_2026[[#This Row],[Codigo]],Plan_cuentas[],6,FALSE)," ")</f>
        <v xml:space="preserve"> </v>
      </c>
      <c r="L3776" s="50"/>
      <c r="M3776" s="50"/>
      <c r="N3776" s="20">
        <f>+Movimientos_2026[[#This Row],[Ingresos]]-Movimientos_2026[[#This Row],[Egresos]]</f>
        <v>0</v>
      </c>
      <c r="O3776" s="20">
        <f>+O3775+Movimientos_2026[[#This Row],[Neto]]</f>
        <v>4581558617.7962294</v>
      </c>
    </row>
    <row r="3777" spans="1:15" x14ac:dyDescent="0.25">
      <c r="A3777" s="13"/>
      <c r="B3777" s="12">
        <f>MONTH(Movimientos_2026[[#This Row],[Fecha]])</f>
        <v>1</v>
      </c>
      <c r="C3777" s="12" t="str">
        <f>VLOOKUP((WEEKDAY(Movimientos_2026[[#This Row],[Fecha]],2)),'5. Setup'!$D$6:$E$12,2,FALSE)</f>
        <v>Sab</v>
      </c>
      <c r="E3777" t="str">
        <f>IFERROR(+VLOOKUP(Movimientos_2026[[#This Row],[Codigo]],Plan_cuentas[],2,FALSE)," ")</f>
        <v xml:space="preserve"> </v>
      </c>
      <c r="F3777" t="str">
        <f>IFERROR(+VLOOKUP(Movimientos_2026[[#This Row],[Codigo]],Plan_cuentas[],3,FALSE)," ")</f>
        <v xml:space="preserve"> </v>
      </c>
      <c r="G3777" t="str">
        <f>IFERROR(+VLOOKUP(Movimientos_2026[[#This Row],[Codigo]],Plan_cuentas[],4,FALSE)," ")</f>
        <v xml:space="preserve"> </v>
      </c>
      <c r="H3777" t="str">
        <f>IFERROR(+VLOOKUP(Movimientos_2026[[#This Row],[Codigo]],Plan_cuentas[],5,FALSE)," ")</f>
        <v xml:space="preserve"> </v>
      </c>
      <c r="I3777" s="43"/>
      <c r="K3777" t="str">
        <f>IFERROR(+VLOOKUP(Movimientos_2026[[#This Row],[Codigo]],Plan_cuentas[],6,FALSE)," ")</f>
        <v xml:space="preserve"> </v>
      </c>
      <c r="L3777" s="50"/>
      <c r="M3777" s="50"/>
      <c r="N3777" s="20">
        <f>+Movimientos_2026[[#This Row],[Ingresos]]-Movimientos_2026[[#This Row],[Egresos]]</f>
        <v>0</v>
      </c>
      <c r="O3777" s="20">
        <f>+O3776+Movimientos_2026[[#This Row],[Neto]]</f>
        <v>4581558617.7962294</v>
      </c>
    </row>
    <row r="3778" spans="1:15" x14ac:dyDescent="0.25">
      <c r="A3778" s="13"/>
      <c r="B3778" s="12">
        <f>MONTH(Movimientos_2026[[#This Row],[Fecha]])</f>
        <v>1</v>
      </c>
      <c r="C3778" s="12" t="str">
        <f>VLOOKUP((WEEKDAY(Movimientos_2026[[#This Row],[Fecha]],2)),'5. Setup'!$D$6:$E$12,2,FALSE)</f>
        <v>Sab</v>
      </c>
      <c r="E3778" t="str">
        <f>IFERROR(+VLOOKUP(Movimientos_2026[[#This Row],[Codigo]],Plan_cuentas[],2,FALSE)," ")</f>
        <v xml:space="preserve"> </v>
      </c>
      <c r="F3778" t="str">
        <f>IFERROR(+VLOOKUP(Movimientos_2026[[#This Row],[Codigo]],Plan_cuentas[],3,FALSE)," ")</f>
        <v xml:space="preserve"> </v>
      </c>
      <c r="G3778" t="str">
        <f>IFERROR(+VLOOKUP(Movimientos_2026[[#This Row],[Codigo]],Plan_cuentas[],4,FALSE)," ")</f>
        <v xml:space="preserve"> </v>
      </c>
      <c r="H3778" t="str">
        <f>IFERROR(+VLOOKUP(Movimientos_2026[[#This Row],[Codigo]],Plan_cuentas[],5,FALSE)," ")</f>
        <v xml:space="preserve"> </v>
      </c>
      <c r="I3778" s="43"/>
      <c r="K3778" t="str">
        <f>IFERROR(+VLOOKUP(Movimientos_2026[[#This Row],[Codigo]],Plan_cuentas[],6,FALSE)," ")</f>
        <v xml:space="preserve"> </v>
      </c>
      <c r="L3778" s="50"/>
      <c r="M3778" s="50"/>
      <c r="N3778" s="20">
        <f>+Movimientos_2026[[#This Row],[Ingresos]]-Movimientos_2026[[#This Row],[Egresos]]</f>
        <v>0</v>
      </c>
      <c r="O3778" s="20">
        <f>+O3777+Movimientos_2026[[#This Row],[Neto]]</f>
        <v>4581558617.7962294</v>
      </c>
    </row>
    <row r="3779" spans="1:15" x14ac:dyDescent="0.25">
      <c r="A3779" s="13"/>
      <c r="B3779" s="12">
        <f>MONTH(Movimientos_2026[[#This Row],[Fecha]])</f>
        <v>1</v>
      </c>
      <c r="C3779" s="12" t="str">
        <f>VLOOKUP((WEEKDAY(Movimientos_2026[[#This Row],[Fecha]],2)),'5. Setup'!$D$6:$E$12,2,FALSE)</f>
        <v>Sab</v>
      </c>
      <c r="E3779" t="str">
        <f>IFERROR(+VLOOKUP(Movimientos_2026[[#This Row],[Codigo]],Plan_cuentas[],2,FALSE)," ")</f>
        <v xml:space="preserve"> </v>
      </c>
      <c r="F3779" t="str">
        <f>IFERROR(+VLOOKUP(Movimientos_2026[[#This Row],[Codigo]],Plan_cuentas[],3,FALSE)," ")</f>
        <v xml:space="preserve"> </v>
      </c>
      <c r="G3779" t="str">
        <f>IFERROR(+VLOOKUP(Movimientos_2026[[#This Row],[Codigo]],Plan_cuentas[],4,FALSE)," ")</f>
        <v xml:space="preserve"> </v>
      </c>
      <c r="H3779" t="str">
        <f>IFERROR(+VLOOKUP(Movimientos_2026[[#This Row],[Codigo]],Plan_cuentas[],5,FALSE)," ")</f>
        <v xml:space="preserve"> </v>
      </c>
      <c r="I3779" s="43"/>
      <c r="K3779" t="str">
        <f>IFERROR(+VLOOKUP(Movimientos_2026[[#This Row],[Codigo]],Plan_cuentas[],6,FALSE)," ")</f>
        <v xml:space="preserve"> </v>
      </c>
      <c r="L3779" s="50"/>
      <c r="M3779" s="50"/>
      <c r="N3779" s="20">
        <f>+Movimientos_2026[[#This Row],[Ingresos]]-Movimientos_2026[[#This Row],[Egresos]]</f>
        <v>0</v>
      </c>
      <c r="O3779" s="20">
        <f>+O3778+Movimientos_2026[[#This Row],[Neto]]</f>
        <v>4581558617.7962294</v>
      </c>
    </row>
    <row r="3780" spans="1:15" x14ac:dyDescent="0.25">
      <c r="A3780" s="13"/>
      <c r="B3780" s="12">
        <f>MONTH(Movimientos_2026[[#This Row],[Fecha]])</f>
        <v>1</v>
      </c>
      <c r="C3780" s="12" t="str">
        <f>VLOOKUP((WEEKDAY(Movimientos_2026[[#This Row],[Fecha]],2)),'5. Setup'!$D$6:$E$12,2,FALSE)</f>
        <v>Sab</v>
      </c>
      <c r="E3780" t="str">
        <f>IFERROR(+VLOOKUP(Movimientos_2026[[#This Row],[Codigo]],Plan_cuentas[],2,FALSE)," ")</f>
        <v xml:space="preserve"> </v>
      </c>
      <c r="F3780" t="str">
        <f>IFERROR(+VLOOKUP(Movimientos_2026[[#This Row],[Codigo]],Plan_cuentas[],3,FALSE)," ")</f>
        <v xml:space="preserve"> </v>
      </c>
      <c r="G3780" t="str">
        <f>IFERROR(+VLOOKUP(Movimientos_2026[[#This Row],[Codigo]],Plan_cuentas[],4,FALSE)," ")</f>
        <v xml:space="preserve"> </v>
      </c>
      <c r="H3780" t="str">
        <f>IFERROR(+VLOOKUP(Movimientos_2026[[#This Row],[Codigo]],Plan_cuentas[],5,FALSE)," ")</f>
        <v xml:space="preserve"> </v>
      </c>
      <c r="I3780" s="43"/>
      <c r="K3780" t="str">
        <f>IFERROR(+VLOOKUP(Movimientos_2026[[#This Row],[Codigo]],Plan_cuentas[],6,FALSE)," ")</f>
        <v xml:space="preserve"> </v>
      </c>
      <c r="L3780" s="50"/>
      <c r="M3780" s="50"/>
      <c r="N3780" s="20">
        <f>+Movimientos_2026[[#This Row],[Ingresos]]-Movimientos_2026[[#This Row],[Egresos]]</f>
        <v>0</v>
      </c>
      <c r="O3780" s="20">
        <f>+O3779+Movimientos_2026[[#This Row],[Neto]]</f>
        <v>4581558617.7962294</v>
      </c>
    </row>
    <row r="3781" spans="1:15" x14ac:dyDescent="0.25">
      <c r="A3781" s="13"/>
      <c r="B3781" s="12">
        <f>MONTH(Movimientos_2026[[#This Row],[Fecha]])</f>
        <v>1</v>
      </c>
      <c r="C3781" s="12" t="str">
        <f>VLOOKUP((WEEKDAY(Movimientos_2026[[#This Row],[Fecha]],2)),'5. Setup'!$D$6:$E$12,2,FALSE)</f>
        <v>Sab</v>
      </c>
      <c r="E3781" t="str">
        <f>IFERROR(+VLOOKUP(Movimientos_2026[[#This Row],[Codigo]],Plan_cuentas[],2,FALSE)," ")</f>
        <v xml:space="preserve"> </v>
      </c>
      <c r="F3781" t="str">
        <f>IFERROR(+VLOOKUP(Movimientos_2026[[#This Row],[Codigo]],Plan_cuentas[],3,FALSE)," ")</f>
        <v xml:space="preserve"> </v>
      </c>
      <c r="G3781" t="str">
        <f>IFERROR(+VLOOKUP(Movimientos_2026[[#This Row],[Codigo]],Plan_cuentas[],4,FALSE)," ")</f>
        <v xml:space="preserve"> </v>
      </c>
      <c r="H3781" t="str">
        <f>IFERROR(+VLOOKUP(Movimientos_2026[[#This Row],[Codigo]],Plan_cuentas[],5,FALSE)," ")</f>
        <v xml:space="preserve"> </v>
      </c>
      <c r="I3781" s="43"/>
      <c r="K3781" t="str">
        <f>IFERROR(+VLOOKUP(Movimientos_2026[[#This Row],[Codigo]],Plan_cuentas[],6,FALSE)," ")</f>
        <v xml:space="preserve"> </v>
      </c>
      <c r="L3781" s="50"/>
      <c r="M3781" s="50"/>
      <c r="N3781" s="20">
        <f>+Movimientos_2026[[#This Row],[Ingresos]]-Movimientos_2026[[#This Row],[Egresos]]</f>
        <v>0</v>
      </c>
      <c r="O3781" s="20">
        <f>+O3780+Movimientos_2026[[#This Row],[Neto]]</f>
        <v>4581558617.7962294</v>
      </c>
    </row>
    <row r="3782" spans="1:15" x14ac:dyDescent="0.25">
      <c r="A3782" s="13"/>
      <c r="B3782" s="12">
        <f>MONTH(Movimientos_2026[[#This Row],[Fecha]])</f>
        <v>1</v>
      </c>
      <c r="C3782" s="12" t="str">
        <f>VLOOKUP((WEEKDAY(Movimientos_2026[[#This Row],[Fecha]],2)),'5. Setup'!$D$6:$E$12,2,FALSE)</f>
        <v>Sab</v>
      </c>
      <c r="E3782" t="str">
        <f>IFERROR(+VLOOKUP(Movimientos_2026[[#This Row],[Codigo]],Plan_cuentas[],2,FALSE)," ")</f>
        <v xml:space="preserve"> </v>
      </c>
      <c r="F3782" t="str">
        <f>IFERROR(+VLOOKUP(Movimientos_2026[[#This Row],[Codigo]],Plan_cuentas[],3,FALSE)," ")</f>
        <v xml:space="preserve"> </v>
      </c>
      <c r="G3782" t="str">
        <f>IFERROR(+VLOOKUP(Movimientos_2026[[#This Row],[Codigo]],Plan_cuentas[],4,FALSE)," ")</f>
        <v xml:space="preserve"> </v>
      </c>
      <c r="H3782" t="str">
        <f>IFERROR(+VLOOKUP(Movimientos_2026[[#This Row],[Codigo]],Plan_cuentas[],5,FALSE)," ")</f>
        <v xml:space="preserve"> </v>
      </c>
      <c r="I3782" s="43"/>
      <c r="K3782" t="str">
        <f>IFERROR(+VLOOKUP(Movimientos_2026[[#This Row],[Codigo]],Plan_cuentas[],6,FALSE)," ")</f>
        <v xml:space="preserve"> </v>
      </c>
      <c r="L3782" s="50"/>
      <c r="M3782" s="50"/>
      <c r="N3782" s="20">
        <f>+Movimientos_2026[[#This Row],[Ingresos]]-Movimientos_2026[[#This Row],[Egresos]]</f>
        <v>0</v>
      </c>
      <c r="O3782" s="20">
        <f>+O3781+Movimientos_2026[[#This Row],[Neto]]</f>
        <v>4581558617.7962294</v>
      </c>
    </row>
    <row r="3783" spans="1:15" x14ac:dyDescent="0.25">
      <c r="A3783" s="13"/>
      <c r="B3783" s="12">
        <f>MONTH(Movimientos_2026[[#This Row],[Fecha]])</f>
        <v>1</v>
      </c>
      <c r="C3783" s="12" t="str">
        <f>VLOOKUP((WEEKDAY(Movimientos_2026[[#This Row],[Fecha]],2)),'5. Setup'!$D$6:$E$12,2,FALSE)</f>
        <v>Sab</v>
      </c>
      <c r="E3783" t="str">
        <f>IFERROR(+VLOOKUP(Movimientos_2026[[#This Row],[Codigo]],Plan_cuentas[],2,FALSE)," ")</f>
        <v xml:space="preserve"> </v>
      </c>
      <c r="F3783" t="str">
        <f>IFERROR(+VLOOKUP(Movimientos_2026[[#This Row],[Codigo]],Plan_cuentas[],3,FALSE)," ")</f>
        <v xml:space="preserve"> </v>
      </c>
      <c r="G3783" t="str">
        <f>IFERROR(+VLOOKUP(Movimientos_2026[[#This Row],[Codigo]],Plan_cuentas[],4,FALSE)," ")</f>
        <v xml:space="preserve"> </v>
      </c>
      <c r="H3783" t="str">
        <f>IFERROR(+VLOOKUP(Movimientos_2026[[#This Row],[Codigo]],Plan_cuentas[],5,FALSE)," ")</f>
        <v xml:space="preserve"> </v>
      </c>
      <c r="I3783" s="43"/>
      <c r="K3783" t="str">
        <f>IFERROR(+VLOOKUP(Movimientos_2026[[#This Row],[Codigo]],Plan_cuentas[],6,FALSE)," ")</f>
        <v xml:space="preserve"> </v>
      </c>
      <c r="L3783" s="50"/>
      <c r="M3783" s="50"/>
      <c r="N3783" s="20">
        <f>+Movimientos_2026[[#This Row],[Ingresos]]-Movimientos_2026[[#This Row],[Egresos]]</f>
        <v>0</v>
      </c>
      <c r="O3783" s="20">
        <f>+O3782+Movimientos_2026[[#This Row],[Neto]]</f>
        <v>4581558617.7962294</v>
      </c>
    </row>
    <row r="3784" spans="1:15" x14ac:dyDescent="0.25">
      <c r="A3784" s="13"/>
      <c r="B3784" s="12">
        <f>MONTH(Movimientos_2026[[#This Row],[Fecha]])</f>
        <v>1</v>
      </c>
      <c r="C3784" s="12" t="str">
        <f>VLOOKUP((WEEKDAY(Movimientos_2026[[#This Row],[Fecha]],2)),'5. Setup'!$D$6:$E$12,2,FALSE)</f>
        <v>Sab</v>
      </c>
      <c r="E3784" t="str">
        <f>IFERROR(+VLOOKUP(Movimientos_2026[[#This Row],[Codigo]],Plan_cuentas[],2,FALSE)," ")</f>
        <v xml:space="preserve"> </v>
      </c>
      <c r="F3784" t="str">
        <f>IFERROR(+VLOOKUP(Movimientos_2026[[#This Row],[Codigo]],Plan_cuentas[],3,FALSE)," ")</f>
        <v xml:space="preserve"> </v>
      </c>
      <c r="G3784" t="str">
        <f>IFERROR(+VLOOKUP(Movimientos_2026[[#This Row],[Codigo]],Plan_cuentas[],4,FALSE)," ")</f>
        <v xml:space="preserve"> </v>
      </c>
      <c r="H3784" t="str">
        <f>IFERROR(+VLOOKUP(Movimientos_2026[[#This Row],[Codigo]],Plan_cuentas[],5,FALSE)," ")</f>
        <v xml:space="preserve"> </v>
      </c>
      <c r="I3784" s="43"/>
      <c r="K3784" t="str">
        <f>IFERROR(+VLOOKUP(Movimientos_2026[[#This Row],[Codigo]],Plan_cuentas[],6,FALSE)," ")</f>
        <v xml:space="preserve"> </v>
      </c>
      <c r="L3784" s="50"/>
      <c r="M3784" s="50"/>
      <c r="N3784" s="20">
        <f>+Movimientos_2026[[#This Row],[Ingresos]]-Movimientos_2026[[#This Row],[Egresos]]</f>
        <v>0</v>
      </c>
      <c r="O3784" s="20">
        <f>+O3783+Movimientos_2026[[#This Row],[Neto]]</f>
        <v>4581558617.7962294</v>
      </c>
    </row>
    <row r="3785" spans="1:15" x14ac:dyDescent="0.25">
      <c r="A3785" s="13"/>
      <c r="B3785" s="12">
        <f>MONTH(Movimientos_2026[[#This Row],[Fecha]])</f>
        <v>1</v>
      </c>
      <c r="C3785" s="12" t="str">
        <f>VLOOKUP((WEEKDAY(Movimientos_2026[[#This Row],[Fecha]],2)),'5. Setup'!$D$6:$E$12,2,FALSE)</f>
        <v>Sab</v>
      </c>
      <c r="E3785" t="str">
        <f>IFERROR(+VLOOKUP(Movimientos_2026[[#This Row],[Codigo]],Plan_cuentas[],2,FALSE)," ")</f>
        <v xml:space="preserve"> </v>
      </c>
      <c r="F3785" t="str">
        <f>IFERROR(+VLOOKUP(Movimientos_2026[[#This Row],[Codigo]],Plan_cuentas[],3,FALSE)," ")</f>
        <v xml:space="preserve"> </v>
      </c>
      <c r="G3785" t="str">
        <f>IFERROR(+VLOOKUP(Movimientos_2026[[#This Row],[Codigo]],Plan_cuentas[],4,FALSE)," ")</f>
        <v xml:space="preserve"> </v>
      </c>
      <c r="H3785" t="str">
        <f>IFERROR(+VLOOKUP(Movimientos_2026[[#This Row],[Codigo]],Plan_cuentas[],5,FALSE)," ")</f>
        <v xml:space="preserve"> </v>
      </c>
      <c r="I3785" s="43"/>
      <c r="K3785" t="str">
        <f>IFERROR(+VLOOKUP(Movimientos_2026[[#This Row],[Codigo]],Plan_cuentas[],6,FALSE)," ")</f>
        <v xml:space="preserve"> </v>
      </c>
      <c r="L3785" s="50"/>
      <c r="M3785" s="50"/>
      <c r="N3785" s="20">
        <f>+Movimientos_2026[[#This Row],[Ingresos]]-Movimientos_2026[[#This Row],[Egresos]]</f>
        <v>0</v>
      </c>
      <c r="O3785" s="20">
        <f>+O3784+Movimientos_2026[[#This Row],[Neto]]</f>
        <v>4581558617.7962294</v>
      </c>
    </row>
    <row r="3786" spans="1:15" x14ac:dyDescent="0.25">
      <c r="A3786" s="13"/>
      <c r="B3786" s="12">
        <f>MONTH(Movimientos_2026[[#This Row],[Fecha]])</f>
        <v>1</v>
      </c>
      <c r="C3786" s="12" t="str">
        <f>VLOOKUP((WEEKDAY(Movimientos_2026[[#This Row],[Fecha]],2)),'5. Setup'!$D$6:$E$12,2,FALSE)</f>
        <v>Sab</v>
      </c>
      <c r="E3786" t="str">
        <f>IFERROR(+VLOOKUP(Movimientos_2026[[#This Row],[Codigo]],Plan_cuentas[],2,FALSE)," ")</f>
        <v xml:space="preserve"> </v>
      </c>
      <c r="F3786" t="str">
        <f>IFERROR(+VLOOKUP(Movimientos_2026[[#This Row],[Codigo]],Plan_cuentas[],3,FALSE)," ")</f>
        <v xml:space="preserve"> </v>
      </c>
      <c r="G3786" t="str">
        <f>IFERROR(+VLOOKUP(Movimientos_2026[[#This Row],[Codigo]],Plan_cuentas[],4,FALSE)," ")</f>
        <v xml:space="preserve"> </v>
      </c>
      <c r="H3786" t="str">
        <f>IFERROR(+VLOOKUP(Movimientos_2026[[#This Row],[Codigo]],Plan_cuentas[],5,FALSE)," ")</f>
        <v xml:space="preserve"> </v>
      </c>
      <c r="I3786" s="43"/>
      <c r="K3786" t="str">
        <f>IFERROR(+VLOOKUP(Movimientos_2026[[#This Row],[Codigo]],Plan_cuentas[],6,FALSE)," ")</f>
        <v xml:space="preserve"> </v>
      </c>
      <c r="L3786" s="50"/>
      <c r="M3786" s="50"/>
      <c r="N3786" s="20">
        <f>+Movimientos_2026[[#This Row],[Ingresos]]-Movimientos_2026[[#This Row],[Egresos]]</f>
        <v>0</v>
      </c>
      <c r="O3786" s="20">
        <f>+O3785+Movimientos_2026[[#This Row],[Neto]]</f>
        <v>4581558617.7962294</v>
      </c>
    </row>
    <row r="3787" spans="1:15" x14ac:dyDescent="0.25">
      <c r="A3787" s="13"/>
      <c r="B3787" s="12">
        <f>MONTH(Movimientos_2026[[#This Row],[Fecha]])</f>
        <v>1</v>
      </c>
      <c r="C3787" s="12" t="str">
        <f>VLOOKUP((WEEKDAY(Movimientos_2026[[#This Row],[Fecha]],2)),'5. Setup'!$D$6:$E$12,2,FALSE)</f>
        <v>Sab</v>
      </c>
      <c r="E3787" t="str">
        <f>IFERROR(+VLOOKUP(Movimientos_2026[[#This Row],[Codigo]],Plan_cuentas[],2,FALSE)," ")</f>
        <v xml:space="preserve"> </v>
      </c>
      <c r="F3787" t="str">
        <f>IFERROR(+VLOOKUP(Movimientos_2026[[#This Row],[Codigo]],Plan_cuentas[],3,FALSE)," ")</f>
        <v xml:space="preserve"> </v>
      </c>
      <c r="G3787" t="str">
        <f>IFERROR(+VLOOKUP(Movimientos_2026[[#This Row],[Codigo]],Plan_cuentas[],4,FALSE)," ")</f>
        <v xml:space="preserve"> </v>
      </c>
      <c r="H3787" t="str">
        <f>IFERROR(+VLOOKUP(Movimientos_2026[[#This Row],[Codigo]],Plan_cuentas[],5,FALSE)," ")</f>
        <v xml:space="preserve"> </v>
      </c>
      <c r="I3787" s="43"/>
      <c r="K3787" t="str">
        <f>IFERROR(+VLOOKUP(Movimientos_2026[[#This Row],[Codigo]],Plan_cuentas[],6,FALSE)," ")</f>
        <v xml:space="preserve"> </v>
      </c>
      <c r="L3787" s="50"/>
      <c r="M3787" s="50"/>
      <c r="N3787" s="20">
        <f>+Movimientos_2026[[#This Row],[Ingresos]]-Movimientos_2026[[#This Row],[Egresos]]</f>
        <v>0</v>
      </c>
      <c r="O3787" s="20">
        <f>+O3786+Movimientos_2026[[#This Row],[Neto]]</f>
        <v>4581558617.7962294</v>
      </c>
    </row>
    <row r="3788" spans="1:15" x14ac:dyDescent="0.25">
      <c r="A3788" s="13"/>
      <c r="B3788" s="12">
        <f>MONTH(Movimientos_2026[[#This Row],[Fecha]])</f>
        <v>1</v>
      </c>
      <c r="C3788" s="12" t="str">
        <f>VLOOKUP((WEEKDAY(Movimientos_2026[[#This Row],[Fecha]],2)),'5. Setup'!$D$6:$E$12,2,FALSE)</f>
        <v>Sab</v>
      </c>
      <c r="E3788" t="str">
        <f>IFERROR(+VLOOKUP(Movimientos_2026[[#This Row],[Codigo]],Plan_cuentas[],2,FALSE)," ")</f>
        <v xml:space="preserve"> </v>
      </c>
      <c r="F3788" t="str">
        <f>IFERROR(+VLOOKUP(Movimientos_2026[[#This Row],[Codigo]],Plan_cuentas[],3,FALSE)," ")</f>
        <v xml:space="preserve"> </v>
      </c>
      <c r="G3788" t="str">
        <f>IFERROR(+VLOOKUP(Movimientos_2026[[#This Row],[Codigo]],Plan_cuentas[],4,FALSE)," ")</f>
        <v xml:space="preserve"> </v>
      </c>
      <c r="H3788" t="str">
        <f>IFERROR(+VLOOKUP(Movimientos_2026[[#This Row],[Codigo]],Plan_cuentas[],5,FALSE)," ")</f>
        <v xml:space="preserve"> </v>
      </c>
      <c r="I3788" s="43"/>
      <c r="K3788" t="str">
        <f>IFERROR(+VLOOKUP(Movimientos_2026[[#This Row],[Codigo]],Plan_cuentas[],6,FALSE)," ")</f>
        <v xml:space="preserve"> </v>
      </c>
      <c r="L3788" s="50"/>
      <c r="M3788" s="50"/>
      <c r="N3788" s="20">
        <f>+Movimientos_2026[[#This Row],[Ingresos]]-Movimientos_2026[[#This Row],[Egresos]]</f>
        <v>0</v>
      </c>
      <c r="O3788" s="20">
        <f>+O3787+Movimientos_2026[[#This Row],[Neto]]</f>
        <v>4581558617.7962294</v>
      </c>
    </row>
    <row r="3789" spans="1:15" x14ac:dyDescent="0.25">
      <c r="A3789" s="13"/>
      <c r="B3789" s="12">
        <f>MONTH(Movimientos_2026[[#This Row],[Fecha]])</f>
        <v>1</v>
      </c>
      <c r="C3789" s="12" t="str">
        <f>VLOOKUP((WEEKDAY(Movimientos_2026[[#This Row],[Fecha]],2)),'5. Setup'!$D$6:$E$12,2,FALSE)</f>
        <v>Sab</v>
      </c>
      <c r="E3789" t="str">
        <f>IFERROR(+VLOOKUP(Movimientos_2026[[#This Row],[Codigo]],Plan_cuentas[],2,FALSE)," ")</f>
        <v xml:space="preserve"> </v>
      </c>
      <c r="F3789" t="str">
        <f>IFERROR(+VLOOKUP(Movimientos_2026[[#This Row],[Codigo]],Plan_cuentas[],3,FALSE)," ")</f>
        <v xml:space="preserve"> </v>
      </c>
      <c r="G3789" t="str">
        <f>IFERROR(+VLOOKUP(Movimientos_2026[[#This Row],[Codigo]],Plan_cuentas[],4,FALSE)," ")</f>
        <v xml:space="preserve"> </v>
      </c>
      <c r="H3789" t="str">
        <f>IFERROR(+VLOOKUP(Movimientos_2026[[#This Row],[Codigo]],Plan_cuentas[],5,FALSE)," ")</f>
        <v xml:space="preserve"> </v>
      </c>
      <c r="I3789" s="43"/>
      <c r="K3789" t="str">
        <f>IFERROR(+VLOOKUP(Movimientos_2026[[#This Row],[Codigo]],Plan_cuentas[],6,FALSE)," ")</f>
        <v xml:space="preserve"> </v>
      </c>
      <c r="L3789" s="50"/>
      <c r="M3789" s="50"/>
      <c r="N3789" s="20">
        <f>+Movimientos_2026[[#This Row],[Ingresos]]-Movimientos_2026[[#This Row],[Egresos]]</f>
        <v>0</v>
      </c>
      <c r="O3789" s="20">
        <f>+O3788+Movimientos_2026[[#This Row],[Neto]]</f>
        <v>4581558617.7962294</v>
      </c>
    </row>
    <row r="3790" spans="1:15" x14ac:dyDescent="0.25">
      <c r="A3790" s="13"/>
      <c r="B3790" s="12">
        <f>MONTH(Movimientos_2026[[#This Row],[Fecha]])</f>
        <v>1</v>
      </c>
      <c r="C3790" s="12" t="str">
        <f>VLOOKUP((WEEKDAY(Movimientos_2026[[#This Row],[Fecha]],2)),'5. Setup'!$D$6:$E$12,2,FALSE)</f>
        <v>Sab</v>
      </c>
      <c r="E3790" t="str">
        <f>IFERROR(+VLOOKUP(Movimientos_2026[[#This Row],[Codigo]],Plan_cuentas[],2,FALSE)," ")</f>
        <v xml:space="preserve"> </v>
      </c>
      <c r="F3790" t="str">
        <f>IFERROR(+VLOOKUP(Movimientos_2026[[#This Row],[Codigo]],Plan_cuentas[],3,FALSE)," ")</f>
        <v xml:space="preserve"> </v>
      </c>
      <c r="G3790" t="str">
        <f>IFERROR(+VLOOKUP(Movimientos_2026[[#This Row],[Codigo]],Plan_cuentas[],4,FALSE)," ")</f>
        <v xml:space="preserve"> </v>
      </c>
      <c r="H3790" t="str">
        <f>IFERROR(+VLOOKUP(Movimientos_2026[[#This Row],[Codigo]],Plan_cuentas[],5,FALSE)," ")</f>
        <v xml:space="preserve"> </v>
      </c>
      <c r="I3790" s="43"/>
      <c r="K3790" t="str">
        <f>IFERROR(+VLOOKUP(Movimientos_2026[[#This Row],[Codigo]],Plan_cuentas[],6,FALSE)," ")</f>
        <v xml:space="preserve"> </v>
      </c>
      <c r="L3790" s="50"/>
      <c r="M3790" s="50"/>
      <c r="N3790" s="20">
        <f>+Movimientos_2026[[#This Row],[Ingresos]]-Movimientos_2026[[#This Row],[Egresos]]</f>
        <v>0</v>
      </c>
      <c r="O3790" s="20">
        <f>+O3789+Movimientos_2026[[#This Row],[Neto]]</f>
        <v>4581558617.7962294</v>
      </c>
    </row>
    <row r="3791" spans="1:15" x14ac:dyDescent="0.25">
      <c r="A3791" s="13"/>
      <c r="B3791" s="12">
        <f>MONTH(Movimientos_2026[[#This Row],[Fecha]])</f>
        <v>1</v>
      </c>
      <c r="C3791" s="12" t="str">
        <f>VLOOKUP((WEEKDAY(Movimientos_2026[[#This Row],[Fecha]],2)),'5. Setup'!$D$6:$E$12,2,FALSE)</f>
        <v>Sab</v>
      </c>
      <c r="E3791" t="str">
        <f>IFERROR(+VLOOKUP(Movimientos_2026[[#This Row],[Codigo]],Plan_cuentas[],2,FALSE)," ")</f>
        <v xml:space="preserve"> </v>
      </c>
      <c r="F3791" t="str">
        <f>IFERROR(+VLOOKUP(Movimientos_2026[[#This Row],[Codigo]],Plan_cuentas[],3,FALSE)," ")</f>
        <v xml:space="preserve"> </v>
      </c>
      <c r="G3791" t="str">
        <f>IFERROR(+VLOOKUP(Movimientos_2026[[#This Row],[Codigo]],Plan_cuentas[],4,FALSE)," ")</f>
        <v xml:space="preserve"> </v>
      </c>
      <c r="H3791" t="str">
        <f>IFERROR(+VLOOKUP(Movimientos_2026[[#This Row],[Codigo]],Plan_cuentas[],5,FALSE)," ")</f>
        <v xml:space="preserve"> </v>
      </c>
      <c r="I3791" s="43"/>
      <c r="K3791" t="str">
        <f>IFERROR(+VLOOKUP(Movimientos_2026[[#This Row],[Codigo]],Plan_cuentas[],6,FALSE)," ")</f>
        <v xml:space="preserve"> </v>
      </c>
      <c r="L3791" s="50"/>
      <c r="M3791" s="50"/>
      <c r="N3791" s="20">
        <f>+Movimientos_2026[[#This Row],[Ingresos]]-Movimientos_2026[[#This Row],[Egresos]]</f>
        <v>0</v>
      </c>
      <c r="O3791" s="20">
        <f>+O3790+Movimientos_2026[[#This Row],[Neto]]</f>
        <v>4581558617.7962294</v>
      </c>
    </row>
    <row r="3792" spans="1:15" x14ac:dyDescent="0.25">
      <c r="A3792" s="13"/>
      <c r="B3792" s="12">
        <f>MONTH(Movimientos_2026[[#This Row],[Fecha]])</f>
        <v>1</v>
      </c>
      <c r="C3792" s="12" t="str">
        <f>VLOOKUP((WEEKDAY(Movimientos_2026[[#This Row],[Fecha]],2)),'5. Setup'!$D$6:$E$12,2,FALSE)</f>
        <v>Sab</v>
      </c>
      <c r="E3792" s="54" t="str">
        <f>IFERROR(+VLOOKUP(Movimientos_2026[[#This Row],[Codigo]],Plan_cuentas[],2,FALSE)," ")</f>
        <v xml:space="preserve"> </v>
      </c>
      <c r="F3792" t="str">
        <f>IFERROR(+VLOOKUP(Movimientos_2026[[#This Row],[Codigo]],Plan_cuentas[],3,FALSE)," ")</f>
        <v xml:space="preserve"> </v>
      </c>
      <c r="G3792" t="str">
        <f>IFERROR(+VLOOKUP(Movimientos_2026[[#This Row],[Codigo]],Plan_cuentas[],4,FALSE)," ")</f>
        <v xml:space="preserve"> </v>
      </c>
      <c r="H3792" t="str">
        <f>IFERROR(+VLOOKUP(Movimientos_2026[[#This Row],[Codigo]],Plan_cuentas[],5,FALSE)," ")</f>
        <v xml:space="preserve"> </v>
      </c>
      <c r="I3792" s="43"/>
      <c r="K3792" t="str">
        <f>IFERROR(+VLOOKUP(Movimientos_2026[[#This Row],[Codigo]],Plan_cuentas[],6,FALSE)," ")</f>
        <v xml:space="preserve"> </v>
      </c>
      <c r="L3792" s="50"/>
      <c r="M3792" s="50"/>
      <c r="N3792" s="20">
        <f>+Movimientos_2026[[#This Row],[Ingresos]]-Movimientos_2026[[#This Row],[Egresos]]</f>
        <v>0</v>
      </c>
      <c r="O3792" s="20">
        <f>+O3791+Movimientos_2026[[#This Row],[Neto]]</f>
        <v>4581558617.7962294</v>
      </c>
    </row>
    <row r="3793" spans="1:15" x14ac:dyDescent="0.25">
      <c r="A3793" s="13"/>
      <c r="B3793" s="12">
        <f>MONTH(Movimientos_2026[[#This Row],[Fecha]])</f>
        <v>1</v>
      </c>
      <c r="C3793" s="12" t="str">
        <f>VLOOKUP((WEEKDAY(Movimientos_2026[[#This Row],[Fecha]],2)),'5. Setup'!$D$6:$E$12,2,FALSE)</f>
        <v>Sab</v>
      </c>
      <c r="E3793" s="55" t="str">
        <f>IFERROR(+VLOOKUP(Movimientos_2026[[#This Row],[Codigo]],Plan_cuentas[],2,FALSE)," ")</f>
        <v xml:space="preserve"> </v>
      </c>
      <c r="F3793" t="str">
        <f>IFERROR(+VLOOKUP(Movimientos_2026[[#This Row],[Codigo]],Plan_cuentas[],3,FALSE)," ")</f>
        <v xml:space="preserve"> </v>
      </c>
      <c r="G3793" t="str">
        <f>IFERROR(+VLOOKUP(Movimientos_2026[[#This Row],[Codigo]],Plan_cuentas[],4,FALSE)," ")</f>
        <v xml:space="preserve"> </v>
      </c>
      <c r="H3793" t="str">
        <f>IFERROR(+VLOOKUP(Movimientos_2026[[#This Row],[Codigo]],Plan_cuentas[],5,FALSE)," ")</f>
        <v xml:space="preserve"> </v>
      </c>
      <c r="I3793" s="43"/>
      <c r="K3793" t="str">
        <f>IFERROR(+VLOOKUP(Movimientos_2026[[#This Row],[Codigo]],Plan_cuentas[],6,FALSE)," ")</f>
        <v xml:space="preserve"> </v>
      </c>
      <c r="L3793" s="50"/>
      <c r="M3793" s="50"/>
      <c r="N3793" s="20">
        <f>+Movimientos_2026[[#This Row],[Ingresos]]-Movimientos_2026[[#This Row],[Egresos]]</f>
        <v>0</v>
      </c>
      <c r="O3793" s="20">
        <f>+O3792+Movimientos_2026[[#This Row],[Neto]]</f>
        <v>4581558617.7962294</v>
      </c>
    </row>
    <row r="3794" spans="1:15" x14ac:dyDescent="0.25">
      <c r="A3794" s="13"/>
      <c r="B3794" s="12">
        <f>MONTH(Movimientos_2026[[#This Row],[Fecha]])</f>
        <v>1</v>
      </c>
      <c r="C3794" s="12" t="str">
        <f>VLOOKUP((WEEKDAY(Movimientos_2026[[#This Row],[Fecha]],2)),'5. Setup'!$D$6:$E$12,2,FALSE)</f>
        <v>Sab</v>
      </c>
      <c r="E3794" s="55" t="str">
        <f>IFERROR(+VLOOKUP(Movimientos_2026[[#This Row],[Codigo]],Plan_cuentas[],2,FALSE)," ")</f>
        <v xml:space="preserve"> </v>
      </c>
      <c r="F3794" t="str">
        <f>IFERROR(+VLOOKUP(Movimientos_2026[[#This Row],[Codigo]],Plan_cuentas[],3,FALSE)," ")</f>
        <v xml:space="preserve"> </v>
      </c>
      <c r="G3794" t="str">
        <f>IFERROR(+VLOOKUP(Movimientos_2026[[#This Row],[Codigo]],Plan_cuentas[],4,FALSE)," ")</f>
        <v xml:space="preserve"> </v>
      </c>
      <c r="H3794" t="str">
        <f>IFERROR(+VLOOKUP(Movimientos_2026[[#This Row],[Codigo]],Plan_cuentas[],5,FALSE)," ")</f>
        <v xml:space="preserve"> </v>
      </c>
      <c r="I3794" s="43"/>
      <c r="K3794" t="str">
        <f>IFERROR(+VLOOKUP(Movimientos_2026[[#This Row],[Codigo]],Plan_cuentas[],6,FALSE)," ")</f>
        <v xml:space="preserve"> </v>
      </c>
      <c r="L3794" s="50"/>
      <c r="M3794" s="50"/>
      <c r="N3794" s="20">
        <f>+Movimientos_2026[[#This Row],[Ingresos]]-Movimientos_2026[[#This Row],[Egresos]]</f>
        <v>0</v>
      </c>
      <c r="O3794" s="20">
        <f>+O3793+Movimientos_2026[[#This Row],[Neto]]</f>
        <v>4581558617.7962294</v>
      </c>
    </row>
    <row r="3795" spans="1:15" x14ac:dyDescent="0.25">
      <c r="A3795" s="13"/>
      <c r="B3795" s="12">
        <f>MONTH(Movimientos_2026[[#This Row],[Fecha]])</f>
        <v>1</v>
      </c>
      <c r="C3795" s="12" t="str">
        <f>VLOOKUP((WEEKDAY(Movimientos_2026[[#This Row],[Fecha]],2)),'5. Setup'!$D$6:$E$12,2,FALSE)</f>
        <v>Sab</v>
      </c>
      <c r="E3795" s="55" t="str">
        <f>IFERROR(+VLOOKUP(Movimientos_2026[[#This Row],[Codigo]],Plan_cuentas[],2,FALSE)," ")</f>
        <v xml:space="preserve"> </v>
      </c>
      <c r="F3795" t="str">
        <f>IFERROR(+VLOOKUP(Movimientos_2026[[#This Row],[Codigo]],Plan_cuentas[],3,FALSE)," ")</f>
        <v xml:space="preserve"> </v>
      </c>
      <c r="G3795" t="str">
        <f>IFERROR(+VLOOKUP(Movimientos_2026[[#This Row],[Codigo]],Plan_cuentas[],4,FALSE)," ")</f>
        <v xml:space="preserve"> </v>
      </c>
      <c r="H3795" t="str">
        <f>IFERROR(+VLOOKUP(Movimientos_2026[[#This Row],[Codigo]],Plan_cuentas[],5,FALSE)," ")</f>
        <v xml:space="preserve"> </v>
      </c>
      <c r="I3795" s="43"/>
      <c r="K3795" t="str">
        <f>IFERROR(+VLOOKUP(Movimientos_2026[[#This Row],[Codigo]],Plan_cuentas[],6,FALSE)," ")</f>
        <v xml:space="preserve"> </v>
      </c>
      <c r="L3795" s="50"/>
      <c r="M3795" s="50"/>
      <c r="N3795" s="20">
        <f>+Movimientos_2026[[#This Row],[Ingresos]]-Movimientos_2026[[#This Row],[Egresos]]</f>
        <v>0</v>
      </c>
      <c r="O3795" s="20">
        <f>+O3794+Movimientos_2026[[#This Row],[Neto]]</f>
        <v>4581558617.7962294</v>
      </c>
    </row>
    <row r="3796" spans="1:15" x14ac:dyDescent="0.25">
      <c r="A3796" s="13"/>
      <c r="B3796" s="12">
        <f>MONTH(Movimientos_2026[[#This Row],[Fecha]])</f>
        <v>1</v>
      </c>
      <c r="C3796" s="12" t="str">
        <f>VLOOKUP((WEEKDAY(Movimientos_2026[[#This Row],[Fecha]],2)),'5. Setup'!$D$6:$E$12,2,FALSE)</f>
        <v>Sab</v>
      </c>
      <c r="E3796" t="str">
        <f>IFERROR(+VLOOKUP(Movimientos_2026[[#This Row],[Codigo]],Plan_cuentas[],2,FALSE)," ")</f>
        <v xml:space="preserve"> </v>
      </c>
      <c r="F3796" t="str">
        <f>IFERROR(+VLOOKUP(Movimientos_2026[[#This Row],[Codigo]],Plan_cuentas[],3,FALSE)," ")</f>
        <v xml:space="preserve"> </v>
      </c>
      <c r="G3796" t="str">
        <f>IFERROR(+VLOOKUP(Movimientos_2026[[#This Row],[Codigo]],Plan_cuentas[],4,FALSE)," ")</f>
        <v xml:space="preserve"> </v>
      </c>
      <c r="H3796" t="str">
        <f>IFERROR(+VLOOKUP(Movimientos_2026[[#This Row],[Codigo]],Plan_cuentas[],5,FALSE)," ")</f>
        <v xml:space="preserve"> </v>
      </c>
      <c r="I3796" s="43"/>
      <c r="K3796" t="str">
        <f>IFERROR(+VLOOKUP(Movimientos_2026[[#This Row],[Codigo]],Plan_cuentas[],6,FALSE)," ")</f>
        <v xml:space="preserve"> </v>
      </c>
      <c r="L3796" s="50"/>
      <c r="M3796" s="50"/>
      <c r="N3796" s="20">
        <f>+Movimientos_2026[[#This Row],[Ingresos]]-Movimientos_2026[[#This Row],[Egresos]]</f>
        <v>0</v>
      </c>
      <c r="O3796" s="20">
        <f>+O3795+Movimientos_2026[[#This Row],[Neto]]</f>
        <v>4581558617.7962294</v>
      </c>
    </row>
    <row r="3797" spans="1:15" x14ac:dyDescent="0.25">
      <c r="A3797" s="13"/>
      <c r="B3797" s="12">
        <f>MONTH(Movimientos_2026[[#This Row],[Fecha]])</f>
        <v>1</v>
      </c>
      <c r="C3797" s="12" t="str">
        <f>VLOOKUP((WEEKDAY(Movimientos_2026[[#This Row],[Fecha]],2)),'5. Setup'!$D$6:$E$12,2,FALSE)</f>
        <v>Sab</v>
      </c>
      <c r="E3797" t="str">
        <f>IFERROR(+VLOOKUP(Movimientos_2026[[#This Row],[Codigo]],Plan_cuentas[],2,FALSE)," ")</f>
        <v xml:space="preserve"> </v>
      </c>
      <c r="F3797" t="str">
        <f>IFERROR(+VLOOKUP(Movimientos_2026[[#This Row],[Codigo]],Plan_cuentas[],3,FALSE)," ")</f>
        <v xml:space="preserve"> </v>
      </c>
      <c r="G3797" t="str">
        <f>IFERROR(+VLOOKUP(Movimientos_2026[[#This Row],[Codigo]],Plan_cuentas[],4,FALSE)," ")</f>
        <v xml:space="preserve"> </v>
      </c>
      <c r="H3797" t="str">
        <f>IFERROR(+VLOOKUP(Movimientos_2026[[#This Row],[Codigo]],Plan_cuentas[],5,FALSE)," ")</f>
        <v xml:space="preserve"> </v>
      </c>
      <c r="I3797" s="43"/>
      <c r="K3797" t="str">
        <f>IFERROR(+VLOOKUP(Movimientos_2026[[#This Row],[Codigo]],Plan_cuentas[],6,FALSE)," ")</f>
        <v xml:space="preserve"> </v>
      </c>
      <c r="L3797" s="50"/>
      <c r="M3797" s="50"/>
      <c r="N3797" s="20">
        <f>+Movimientos_2026[[#This Row],[Ingresos]]-Movimientos_2026[[#This Row],[Egresos]]</f>
        <v>0</v>
      </c>
      <c r="O3797" s="20">
        <f>+O3796+Movimientos_2026[[#This Row],[Neto]]</f>
        <v>4581558617.7962294</v>
      </c>
    </row>
    <row r="3798" spans="1:15" x14ac:dyDescent="0.25">
      <c r="A3798" s="13"/>
      <c r="B3798" s="12">
        <f>MONTH(Movimientos_2026[[#This Row],[Fecha]])</f>
        <v>1</v>
      </c>
      <c r="C3798" s="12" t="str">
        <f>VLOOKUP((WEEKDAY(Movimientos_2026[[#This Row],[Fecha]],2)),'5. Setup'!$D$6:$E$12,2,FALSE)</f>
        <v>Sab</v>
      </c>
      <c r="E3798" t="str">
        <f>IFERROR(+VLOOKUP(Movimientos_2026[[#This Row],[Codigo]],Plan_cuentas[],2,FALSE)," ")</f>
        <v xml:space="preserve"> </v>
      </c>
      <c r="F3798" t="str">
        <f>IFERROR(+VLOOKUP(Movimientos_2026[[#This Row],[Codigo]],Plan_cuentas[],3,FALSE)," ")</f>
        <v xml:space="preserve"> </v>
      </c>
      <c r="G3798" t="str">
        <f>IFERROR(+VLOOKUP(Movimientos_2026[[#This Row],[Codigo]],Plan_cuentas[],4,FALSE)," ")</f>
        <v xml:space="preserve"> </v>
      </c>
      <c r="H3798" t="str">
        <f>IFERROR(+VLOOKUP(Movimientos_2026[[#This Row],[Codigo]],Plan_cuentas[],5,FALSE)," ")</f>
        <v xml:space="preserve"> </v>
      </c>
      <c r="I3798" s="43"/>
      <c r="K3798" t="str">
        <f>IFERROR(+VLOOKUP(Movimientos_2026[[#This Row],[Codigo]],Plan_cuentas[],6,FALSE)," ")</f>
        <v xml:space="preserve"> </v>
      </c>
      <c r="L3798" s="50"/>
      <c r="M3798" s="50"/>
      <c r="N3798" s="20">
        <f>+Movimientos_2026[[#This Row],[Ingresos]]-Movimientos_2026[[#This Row],[Egresos]]</f>
        <v>0</v>
      </c>
      <c r="O3798" s="20">
        <f>+O3797+Movimientos_2026[[#This Row],[Neto]]</f>
        <v>4581558617.7962294</v>
      </c>
    </row>
    <row r="3799" spans="1:15" x14ac:dyDescent="0.25">
      <c r="A3799" s="13"/>
      <c r="B3799" s="12">
        <f>MONTH(Movimientos_2026[[#This Row],[Fecha]])</f>
        <v>1</v>
      </c>
      <c r="C3799" s="12" t="str">
        <f>VLOOKUP((WEEKDAY(Movimientos_2026[[#This Row],[Fecha]],2)),'5. Setup'!$D$6:$E$12,2,FALSE)</f>
        <v>Sab</v>
      </c>
      <c r="E3799" t="str">
        <f>IFERROR(+VLOOKUP(Movimientos_2026[[#This Row],[Codigo]],Plan_cuentas[],2,FALSE)," ")</f>
        <v xml:space="preserve"> </v>
      </c>
      <c r="F3799" t="str">
        <f>IFERROR(+VLOOKUP(Movimientos_2026[[#This Row],[Codigo]],Plan_cuentas[],3,FALSE)," ")</f>
        <v xml:space="preserve"> </v>
      </c>
      <c r="G3799" t="str">
        <f>IFERROR(+VLOOKUP(Movimientos_2026[[#This Row],[Codigo]],Plan_cuentas[],4,FALSE)," ")</f>
        <v xml:space="preserve"> </v>
      </c>
      <c r="H3799" t="str">
        <f>IFERROR(+VLOOKUP(Movimientos_2026[[#This Row],[Codigo]],Plan_cuentas[],5,FALSE)," ")</f>
        <v xml:space="preserve"> </v>
      </c>
      <c r="I3799" s="43"/>
      <c r="K3799" t="str">
        <f>IFERROR(+VLOOKUP(Movimientos_2026[[#This Row],[Codigo]],Plan_cuentas[],6,FALSE)," ")</f>
        <v xml:space="preserve"> </v>
      </c>
      <c r="L3799" s="50"/>
      <c r="M3799" s="50"/>
      <c r="N3799" s="20">
        <f>+Movimientos_2026[[#This Row],[Ingresos]]-Movimientos_2026[[#This Row],[Egresos]]</f>
        <v>0</v>
      </c>
      <c r="O3799" s="20">
        <f>+O3798+Movimientos_2026[[#This Row],[Neto]]</f>
        <v>4581558617.7962294</v>
      </c>
    </row>
    <row r="3800" spans="1:15" x14ac:dyDescent="0.25">
      <c r="A3800" s="13"/>
      <c r="B3800" s="12">
        <f>MONTH(Movimientos_2026[[#This Row],[Fecha]])</f>
        <v>1</v>
      </c>
      <c r="C3800" s="12" t="str">
        <f>VLOOKUP((WEEKDAY(Movimientos_2026[[#This Row],[Fecha]],2)),'5. Setup'!$D$6:$E$12,2,FALSE)</f>
        <v>Sab</v>
      </c>
      <c r="E3800" t="str">
        <f>IFERROR(+VLOOKUP(Movimientos_2026[[#This Row],[Codigo]],Plan_cuentas[],2,FALSE)," ")</f>
        <v xml:space="preserve"> </v>
      </c>
      <c r="F3800" t="str">
        <f>IFERROR(+VLOOKUP(Movimientos_2026[[#This Row],[Codigo]],Plan_cuentas[],3,FALSE)," ")</f>
        <v xml:space="preserve"> </v>
      </c>
      <c r="G3800" t="str">
        <f>IFERROR(+VLOOKUP(Movimientos_2026[[#This Row],[Codigo]],Plan_cuentas[],4,FALSE)," ")</f>
        <v xml:space="preserve"> </v>
      </c>
      <c r="H3800" t="str">
        <f>IFERROR(+VLOOKUP(Movimientos_2026[[#This Row],[Codigo]],Plan_cuentas[],5,FALSE)," ")</f>
        <v xml:space="preserve"> </v>
      </c>
      <c r="I3800" s="43"/>
      <c r="K3800" t="str">
        <f>IFERROR(+VLOOKUP(Movimientos_2026[[#This Row],[Codigo]],Plan_cuentas[],6,FALSE)," ")</f>
        <v xml:space="preserve"> </v>
      </c>
      <c r="L3800" s="50"/>
      <c r="M3800" s="50"/>
      <c r="N3800" s="20">
        <f>+Movimientos_2026[[#This Row],[Ingresos]]-Movimientos_2026[[#This Row],[Egresos]]</f>
        <v>0</v>
      </c>
      <c r="O3800" s="20">
        <f>+O3799+Movimientos_2026[[#This Row],[Neto]]</f>
        <v>4581558617.7962294</v>
      </c>
    </row>
    <row r="3801" spans="1:15" x14ac:dyDescent="0.25">
      <c r="A3801" s="13"/>
      <c r="B3801" s="12">
        <f>MONTH(Movimientos_2026[[#This Row],[Fecha]])</f>
        <v>1</v>
      </c>
      <c r="C3801" s="12" t="str">
        <f>VLOOKUP((WEEKDAY(Movimientos_2026[[#This Row],[Fecha]],2)),'5. Setup'!$D$6:$E$12,2,FALSE)</f>
        <v>Sab</v>
      </c>
      <c r="E3801" t="str">
        <f>IFERROR(+VLOOKUP(Movimientos_2026[[#This Row],[Codigo]],Plan_cuentas[],2,FALSE)," ")</f>
        <v xml:space="preserve"> </v>
      </c>
      <c r="F3801" t="str">
        <f>IFERROR(+VLOOKUP(Movimientos_2026[[#This Row],[Codigo]],Plan_cuentas[],3,FALSE)," ")</f>
        <v xml:space="preserve"> </v>
      </c>
      <c r="G3801" t="str">
        <f>IFERROR(+VLOOKUP(Movimientos_2026[[#This Row],[Codigo]],Plan_cuentas[],4,FALSE)," ")</f>
        <v xml:space="preserve"> </v>
      </c>
      <c r="H3801" t="str">
        <f>IFERROR(+VLOOKUP(Movimientos_2026[[#This Row],[Codigo]],Plan_cuentas[],5,FALSE)," ")</f>
        <v xml:space="preserve"> </v>
      </c>
      <c r="I3801" s="43"/>
      <c r="K3801" t="str">
        <f>IFERROR(+VLOOKUP(Movimientos_2026[[#This Row],[Codigo]],Plan_cuentas[],6,FALSE)," ")</f>
        <v xml:space="preserve"> </v>
      </c>
      <c r="L3801" s="50"/>
      <c r="M3801" s="50"/>
      <c r="N3801" s="20">
        <f>+Movimientos_2026[[#This Row],[Ingresos]]-Movimientos_2026[[#This Row],[Egresos]]</f>
        <v>0</v>
      </c>
      <c r="O3801" s="20">
        <f>+O3800+Movimientos_2026[[#This Row],[Neto]]</f>
        <v>4581558617.7962294</v>
      </c>
    </row>
    <row r="3802" spans="1:15" x14ac:dyDescent="0.25">
      <c r="A3802" s="13"/>
      <c r="B3802" s="12">
        <f>MONTH(Movimientos_2026[[#This Row],[Fecha]])</f>
        <v>1</v>
      </c>
      <c r="C3802" s="12" t="str">
        <f>VLOOKUP((WEEKDAY(Movimientos_2026[[#This Row],[Fecha]],2)),'5. Setup'!$D$6:$E$12,2,FALSE)</f>
        <v>Sab</v>
      </c>
      <c r="E3802" t="str">
        <f>IFERROR(+VLOOKUP(Movimientos_2026[[#This Row],[Codigo]],Plan_cuentas[],2,FALSE)," ")</f>
        <v xml:space="preserve"> </v>
      </c>
      <c r="F3802" t="str">
        <f>IFERROR(+VLOOKUP(Movimientos_2026[[#This Row],[Codigo]],Plan_cuentas[],3,FALSE)," ")</f>
        <v xml:space="preserve"> </v>
      </c>
      <c r="G3802" t="str">
        <f>IFERROR(+VLOOKUP(Movimientos_2026[[#This Row],[Codigo]],Plan_cuentas[],4,FALSE)," ")</f>
        <v xml:space="preserve"> </v>
      </c>
      <c r="H3802" t="str">
        <f>IFERROR(+VLOOKUP(Movimientos_2026[[#This Row],[Codigo]],Plan_cuentas[],5,FALSE)," ")</f>
        <v xml:space="preserve"> </v>
      </c>
      <c r="I3802" s="43"/>
      <c r="K3802" t="str">
        <f>IFERROR(+VLOOKUP(Movimientos_2026[[#This Row],[Codigo]],Plan_cuentas[],6,FALSE)," ")</f>
        <v xml:space="preserve"> </v>
      </c>
      <c r="L3802" s="50"/>
      <c r="M3802" s="50"/>
      <c r="N3802" s="20">
        <f>+Movimientos_2026[[#This Row],[Ingresos]]-Movimientos_2026[[#This Row],[Egresos]]</f>
        <v>0</v>
      </c>
      <c r="O3802" s="20">
        <f>+O3801+Movimientos_2026[[#This Row],[Neto]]</f>
        <v>4581558617.7962294</v>
      </c>
    </row>
    <row r="3803" spans="1:15" x14ac:dyDescent="0.25">
      <c r="A3803" s="13"/>
      <c r="B3803" s="12">
        <f>MONTH(Movimientos_2026[[#This Row],[Fecha]])</f>
        <v>1</v>
      </c>
      <c r="C3803" s="12" t="str">
        <f>VLOOKUP((WEEKDAY(Movimientos_2026[[#This Row],[Fecha]],2)),'5. Setup'!$D$6:$E$12,2,FALSE)</f>
        <v>Sab</v>
      </c>
      <c r="E3803" t="str">
        <f>IFERROR(+VLOOKUP(Movimientos_2026[[#This Row],[Codigo]],Plan_cuentas[],2,FALSE)," ")</f>
        <v xml:space="preserve"> </v>
      </c>
      <c r="F3803" t="str">
        <f>IFERROR(+VLOOKUP(Movimientos_2026[[#This Row],[Codigo]],Plan_cuentas[],3,FALSE)," ")</f>
        <v xml:space="preserve"> </v>
      </c>
      <c r="G3803" t="str">
        <f>IFERROR(+VLOOKUP(Movimientos_2026[[#This Row],[Codigo]],Plan_cuentas[],4,FALSE)," ")</f>
        <v xml:space="preserve"> </v>
      </c>
      <c r="H3803" t="str">
        <f>IFERROR(+VLOOKUP(Movimientos_2026[[#This Row],[Codigo]],Plan_cuentas[],5,FALSE)," ")</f>
        <v xml:space="preserve"> </v>
      </c>
      <c r="I3803" s="43"/>
      <c r="K3803" t="str">
        <f>IFERROR(+VLOOKUP(Movimientos_2026[[#This Row],[Codigo]],Plan_cuentas[],6,FALSE)," ")</f>
        <v xml:space="preserve"> </v>
      </c>
      <c r="L3803" s="50"/>
      <c r="M3803" s="50"/>
      <c r="N3803" s="20">
        <f>+Movimientos_2026[[#This Row],[Ingresos]]-Movimientos_2026[[#This Row],[Egresos]]</f>
        <v>0</v>
      </c>
      <c r="O3803" s="20">
        <f>+O3802+Movimientos_2026[[#This Row],[Neto]]</f>
        <v>4581558617.7962294</v>
      </c>
    </row>
    <row r="3804" spans="1:15" x14ac:dyDescent="0.25">
      <c r="A3804" s="13"/>
      <c r="B3804" s="12">
        <f>MONTH(Movimientos_2026[[#This Row],[Fecha]])</f>
        <v>1</v>
      </c>
      <c r="C3804" s="12" t="str">
        <f>VLOOKUP((WEEKDAY(Movimientos_2026[[#This Row],[Fecha]],2)),'5. Setup'!$D$6:$E$12,2,FALSE)</f>
        <v>Sab</v>
      </c>
      <c r="E3804" t="str">
        <f>IFERROR(+VLOOKUP(Movimientos_2026[[#This Row],[Codigo]],Plan_cuentas[],2,FALSE)," ")</f>
        <v xml:space="preserve"> </v>
      </c>
      <c r="F3804" t="str">
        <f>IFERROR(+VLOOKUP(Movimientos_2026[[#This Row],[Codigo]],Plan_cuentas[],3,FALSE)," ")</f>
        <v xml:space="preserve"> </v>
      </c>
      <c r="G3804" t="str">
        <f>IFERROR(+VLOOKUP(Movimientos_2026[[#This Row],[Codigo]],Plan_cuentas[],4,FALSE)," ")</f>
        <v xml:space="preserve"> </v>
      </c>
      <c r="H3804" t="str">
        <f>IFERROR(+VLOOKUP(Movimientos_2026[[#This Row],[Codigo]],Plan_cuentas[],5,FALSE)," ")</f>
        <v xml:space="preserve"> </v>
      </c>
      <c r="I3804" s="43"/>
      <c r="K3804" t="str">
        <f>IFERROR(+VLOOKUP(Movimientos_2026[[#This Row],[Codigo]],Plan_cuentas[],6,FALSE)," ")</f>
        <v xml:space="preserve"> </v>
      </c>
      <c r="L3804" s="50"/>
      <c r="M3804" s="50"/>
      <c r="N3804" s="20">
        <f>+Movimientos_2026[[#This Row],[Ingresos]]-Movimientos_2026[[#This Row],[Egresos]]</f>
        <v>0</v>
      </c>
      <c r="O3804" s="20">
        <f>+O3803+Movimientos_2026[[#This Row],[Neto]]</f>
        <v>4581558617.7962294</v>
      </c>
    </row>
    <row r="3805" spans="1:15" x14ac:dyDescent="0.25">
      <c r="A3805" s="13"/>
      <c r="B3805" s="12">
        <f>MONTH(Movimientos_2026[[#This Row],[Fecha]])</f>
        <v>1</v>
      </c>
      <c r="C3805" s="12" t="str">
        <f>VLOOKUP((WEEKDAY(Movimientos_2026[[#This Row],[Fecha]],2)),'5. Setup'!$D$6:$E$12,2,FALSE)</f>
        <v>Sab</v>
      </c>
      <c r="E3805" t="str">
        <f>IFERROR(+VLOOKUP(Movimientos_2026[[#This Row],[Codigo]],Plan_cuentas[],2,FALSE)," ")</f>
        <v xml:space="preserve"> </v>
      </c>
      <c r="F3805" t="str">
        <f>IFERROR(+VLOOKUP(Movimientos_2026[[#This Row],[Codigo]],Plan_cuentas[],3,FALSE)," ")</f>
        <v xml:space="preserve"> </v>
      </c>
      <c r="G3805" t="str">
        <f>IFERROR(+VLOOKUP(Movimientos_2026[[#This Row],[Codigo]],Plan_cuentas[],4,FALSE)," ")</f>
        <v xml:space="preserve"> </v>
      </c>
      <c r="H3805" t="str">
        <f>IFERROR(+VLOOKUP(Movimientos_2026[[#This Row],[Codigo]],Plan_cuentas[],5,FALSE)," ")</f>
        <v xml:space="preserve"> </v>
      </c>
      <c r="I3805" s="43"/>
      <c r="K3805" t="str">
        <f>IFERROR(+VLOOKUP(Movimientos_2026[[#This Row],[Codigo]],Plan_cuentas[],6,FALSE)," ")</f>
        <v xml:space="preserve"> </v>
      </c>
      <c r="L3805" s="50"/>
      <c r="M3805" s="50"/>
      <c r="N3805" s="20">
        <f>+Movimientos_2026[[#This Row],[Ingresos]]-Movimientos_2026[[#This Row],[Egresos]]</f>
        <v>0</v>
      </c>
      <c r="O3805" s="20">
        <f>+O3804+Movimientos_2026[[#This Row],[Neto]]</f>
        <v>4581558617.7962294</v>
      </c>
    </row>
    <row r="3806" spans="1:15" x14ac:dyDescent="0.25">
      <c r="A3806" s="13"/>
      <c r="B3806" s="12">
        <f>MONTH(Movimientos_2026[[#This Row],[Fecha]])</f>
        <v>1</v>
      </c>
      <c r="C3806" s="12" t="str">
        <f>VLOOKUP((WEEKDAY(Movimientos_2026[[#This Row],[Fecha]],2)),'5. Setup'!$D$6:$E$12,2,FALSE)</f>
        <v>Sab</v>
      </c>
      <c r="E3806" t="str">
        <f>IFERROR(+VLOOKUP(Movimientos_2026[[#This Row],[Codigo]],Plan_cuentas[],2,FALSE)," ")</f>
        <v xml:space="preserve"> </v>
      </c>
      <c r="F3806" t="str">
        <f>IFERROR(+VLOOKUP(Movimientos_2026[[#This Row],[Codigo]],Plan_cuentas[],3,FALSE)," ")</f>
        <v xml:space="preserve"> </v>
      </c>
      <c r="G3806" t="str">
        <f>IFERROR(+VLOOKUP(Movimientos_2026[[#This Row],[Codigo]],Plan_cuentas[],4,FALSE)," ")</f>
        <v xml:space="preserve"> </v>
      </c>
      <c r="H3806" t="str">
        <f>IFERROR(+VLOOKUP(Movimientos_2026[[#This Row],[Codigo]],Plan_cuentas[],5,FALSE)," ")</f>
        <v xml:space="preserve"> </v>
      </c>
      <c r="I3806" s="43"/>
      <c r="K3806" t="str">
        <f>IFERROR(+VLOOKUP(Movimientos_2026[[#This Row],[Codigo]],Plan_cuentas[],6,FALSE)," ")</f>
        <v xml:space="preserve"> </v>
      </c>
      <c r="L3806" s="50"/>
      <c r="M3806" s="50"/>
      <c r="N3806" s="20">
        <f>+Movimientos_2026[[#This Row],[Ingresos]]-Movimientos_2026[[#This Row],[Egresos]]</f>
        <v>0</v>
      </c>
      <c r="O3806" s="20">
        <f>+O3805+Movimientos_2026[[#This Row],[Neto]]</f>
        <v>4581558617.7962294</v>
      </c>
    </row>
    <row r="3807" spans="1:15" x14ac:dyDescent="0.25">
      <c r="A3807" s="13"/>
      <c r="B3807" s="12">
        <f>MONTH(Movimientos_2026[[#This Row],[Fecha]])</f>
        <v>1</v>
      </c>
      <c r="C3807" s="12" t="str">
        <f>VLOOKUP((WEEKDAY(Movimientos_2026[[#This Row],[Fecha]],2)),'5. Setup'!$D$6:$E$12,2,FALSE)</f>
        <v>Sab</v>
      </c>
      <c r="E3807" t="str">
        <f>IFERROR(+VLOOKUP(Movimientos_2026[[#This Row],[Codigo]],Plan_cuentas[],2,FALSE)," ")</f>
        <v xml:space="preserve"> </v>
      </c>
      <c r="F3807" t="str">
        <f>IFERROR(+VLOOKUP(Movimientos_2026[[#This Row],[Codigo]],Plan_cuentas[],3,FALSE)," ")</f>
        <v xml:space="preserve"> </v>
      </c>
      <c r="G3807" t="str">
        <f>IFERROR(+VLOOKUP(Movimientos_2026[[#This Row],[Codigo]],Plan_cuentas[],4,FALSE)," ")</f>
        <v xml:space="preserve"> </v>
      </c>
      <c r="H3807" t="str">
        <f>IFERROR(+VLOOKUP(Movimientos_2026[[#This Row],[Codigo]],Plan_cuentas[],5,FALSE)," ")</f>
        <v xml:space="preserve"> </v>
      </c>
      <c r="I3807" s="43"/>
      <c r="K3807" t="str">
        <f>IFERROR(+VLOOKUP(Movimientos_2026[[#This Row],[Codigo]],Plan_cuentas[],6,FALSE)," ")</f>
        <v xml:space="preserve"> </v>
      </c>
      <c r="L3807" s="50"/>
      <c r="M3807" s="50"/>
      <c r="N3807" s="20">
        <f>+Movimientos_2026[[#This Row],[Ingresos]]-Movimientos_2026[[#This Row],[Egresos]]</f>
        <v>0</v>
      </c>
      <c r="O3807" s="20">
        <f>+O3806+Movimientos_2026[[#This Row],[Neto]]</f>
        <v>4581558617.7962294</v>
      </c>
    </row>
    <row r="3808" spans="1:15" x14ac:dyDescent="0.25">
      <c r="A3808" s="13"/>
      <c r="B3808" s="12">
        <f>MONTH(Movimientos_2026[[#This Row],[Fecha]])</f>
        <v>1</v>
      </c>
      <c r="C3808" s="12" t="str">
        <f>VLOOKUP((WEEKDAY(Movimientos_2026[[#This Row],[Fecha]],2)),'5. Setup'!$D$6:$E$12,2,FALSE)</f>
        <v>Sab</v>
      </c>
      <c r="E3808" t="str">
        <f>IFERROR(+VLOOKUP(Movimientos_2026[[#This Row],[Codigo]],Plan_cuentas[],2,FALSE)," ")</f>
        <v xml:space="preserve"> </v>
      </c>
      <c r="F3808" t="str">
        <f>IFERROR(+VLOOKUP(Movimientos_2026[[#This Row],[Codigo]],Plan_cuentas[],3,FALSE)," ")</f>
        <v xml:space="preserve"> </v>
      </c>
      <c r="G3808" t="str">
        <f>IFERROR(+VLOOKUP(Movimientos_2026[[#This Row],[Codigo]],Plan_cuentas[],4,FALSE)," ")</f>
        <v xml:space="preserve"> </v>
      </c>
      <c r="H3808" t="str">
        <f>IFERROR(+VLOOKUP(Movimientos_2026[[#This Row],[Codigo]],Plan_cuentas[],5,FALSE)," ")</f>
        <v xml:space="preserve"> </v>
      </c>
      <c r="I3808" s="43"/>
      <c r="K3808" t="str">
        <f>IFERROR(+VLOOKUP(Movimientos_2026[[#This Row],[Codigo]],Plan_cuentas[],6,FALSE)," ")</f>
        <v xml:space="preserve"> </v>
      </c>
      <c r="L3808" s="50"/>
      <c r="M3808" s="50"/>
      <c r="N3808" s="20">
        <f>+Movimientos_2026[[#This Row],[Ingresos]]-Movimientos_2026[[#This Row],[Egresos]]</f>
        <v>0</v>
      </c>
      <c r="O3808" s="20">
        <f>+O3807+Movimientos_2026[[#This Row],[Neto]]</f>
        <v>4581558617.7962294</v>
      </c>
    </row>
    <row r="3809" spans="1:15" x14ac:dyDescent="0.25">
      <c r="A3809" s="13"/>
      <c r="B3809" s="12">
        <f>MONTH(Movimientos_2026[[#This Row],[Fecha]])</f>
        <v>1</v>
      </c>
      <c r="C3809" s="12" t="str">
        <f>VLOOKUP((WEEKDAY(Movimientos_2026[[#This Row],[Fecha]],2)),'5. Setup'!$D$6:$E$12,2,FALSE)</f>
        <v>Sab</v>
      </c>
      <c r="E3809" t="str">
        <f>IFERROR(+VLOOKUP(Movimientos_2026[[#This Row],[Codigo]],Plan_cuentas[],2,FALSE)," ")</f>
        <v xml:space="preserve"> </v>
      </c>
      <c r="F3809" t="str">
        <f>IFERROR(+VLOOKUP(Movimientos_2026[[#This Row],[Codigo]],Plan_cuentas[],3,FALSE)," ")</f>
        <v xml:space="preserve"> </v>
      </c>
      <c r="G3809" t="str">
        <f>IFERROR(+VLOOKUP(Movimientos_2026[[#This Row],[Codigo]],Plan_cuentas[],4,FALSE)," ")</f>
        <v xml:space="preserve"> </v>
      </c>
      <c r="H3809" t="str">
        <f>IFERROR(+VLOOKUP(Movimientos_2026[[#This Row],[Codigo]],Plan_cuentas[],5,FALSE)," ")</f>
        <v xml:space="preserve"> </v>
      </c>
      <c r="I3809" s="43"/>
      <c r="K3809" t="str">
        <f>IFERROR(+VLOOKUP(Movimientos_2026[[#This Row],[Codigo]],Plan_cuentas[],6,FALSE)," ")</f>
        <v xml:space="preserve"> </v>
      </c>
      <c r="L3809" s="50"/>
      <c r="M3809" s="50"/>
      <c r="N3809" s="20">
        <f>+Movimientos_2026[[#This Row],[Ingresos]]-Movimientos_2026[[#This Row],[Egresos]]</f>
        <v>0</v>
      </c>
      <c r="O3809" s="20">
        <f>+O3808+Movimientos_2026[[#This Row],[Neto]]</f>
        <v>4581558617.7962294</v>
      </c>
    </row>
    <row r="3810" spans="1:15" x14ac:dyDescent="0.25">
      <c r="A3810" s="13"/>
      <c r="B3810" s="12">
        <f>MONTH(Movimientos_2026[[#This Row],[Fecha]])</f>
        <v>1</v>
      </c>
      <c r="C3810" s="12" t="str">
        <f>VLOOKUP((WEEKDAY(Movimientos_2026[[#This Row],[Fecha]],2)),'5. Setup'!$D$6:$E$12,2,FALSE)</f>
        <v>Sab</v>
      </c>
      <c r="E3810" t="str">
        <f>IFERROR(+VLOOKUP(Movimientos_2026[[#This Row],[Codigo]],Plan_cuentas[],2,FALSE)," ")</f>
        <v xml:space="preserve"> </v>
      </c>
      <c r="F3810" t="str">
        <f>IFERROR(+VLOOKUP(Movimientos_2026[[#This Row],[Codigo]],Plan_cuentas[],3,FALSE)," ")</f>
        <v xml:space="preserve"> </v>
      </c>
      <c r="G3810" t="str">
        <f>IFERROR(+VLOOKUP(Movimientos_2026[[#This Row],[Codigo]],Plan_cuentas[],4,FALSE)," ")</f>
        <v xml:space="preserve"> </v>
      </c>
      <c r="H3810" t="str">
        <f>IFERROR(+VLOOKUP(Movimientos_2026[[#This Row],[Codigo]],Plan_cuentas[],5,FALSE)," ")</f>
        <v xml:space="preserve"> </v>
      </c>
      <c r="I3810" s="43"/>
      <c r="K3810" t="str">
        <f>IFERROR(+VLOOKUP(Movimientos_2026[[#This Row],[Codigo]],Plan_cuentas[],6,FALSE)," ")</f>
        <v xml:space="preserve"> </v>
      </c>
      <c r="L3810" s="50"/>
      <c r="M3810" s="50"/>
      <c r="N3810" s="20">
        <f>+Movimientos_2026[[#This Row],[Ingresos]]-Movimientos_2026[[#This Row],[Egresos]]</f>
        <v>0</v>
      </c>
      <c r="O3810" s="20">
        <f>+O3809+Movimientos_2026[[#This Row],[Neto]]</f>
        <v>4581558617.7962294</v>
      </c>
    </row>
    <row r="3811" spans="1:15" x14ac:dyDescent="0.25">
      <c r="A3811" s="13"/>
      <c r="B3811" s="12">
        <f>MONTH(Movimientos_2026[[#This Row],[Fecha]])</f>
        <v>1</v>
      </c>
      <c r="C3811" s="12" t="str">
        <f>VLOOKUP((WEEKDAY(Movimientos_2026[[#This Row],[Fecha]],2)),'5. Setup'!$D$6:$E$12,2,FALSE)</f>
        <v>Sab</v>
      </c>
      <c r="E3811" t="str">
        <f>IFERROR(+VLOOKUP(Movimientos_2026[[#This Row],[Codigo]],Plan_cuentas[],2,FALSE)," ")</f>
        <v xml:space="preserve"> </v>
      </c>
      <c r="F3811" t="str">
        <f>IFERROR(+VLOOKUP(Movimientos_2026[[#This Row],[Codigo]],Plan_cuentas[],3,FALSE)," ")</f>
        <v xml:space="preserve"> </v>
      </c>
      <c r="G3811" t="str">
        <f>IFERROR(+VLOOKUP(Movimientos_2026[[#This Row],[Codigo]],Plan_cuentas[],4,FALSE)," ")</f>
        <v xml:space="preserve"> </v>
      </c>
      <c r="H3811" t="str">
        <f>IFERROR(+VLOOKUP(Movimientos_2026[[#This Row],[Codigo]],Plan_cuentas[],5,FALSE)," ")</f>
        <v xml:space="preserve"> </v>
      </c>
      <c r="I3811" s="43"/>
      <c r="K3811" t="str">
        <f>IFERROR(+VLOOKUP(Movimientos_2026[[#This Row],[Codigo]],Plan_cuentas[],6,FALSE)," ")</f>
        <v xml:space="preserve"> </v>
      </c>
      <c r="L3811" s="50"/>
      <c r="M3811" s="50"/>
      <c r="N3811" s="20">
        <f>+Movimientos_2026[[#This Row],[Ingresos]]-Movimientos_2026[[#This Row],[Egresos]]</f>
        <v>0</v>
      </c>
      <c r="O3811" s="20">
        <f>+O3810+Movimientos_2026[[#This Row],[Neto]]</f>
        <v>4581558617.7962294</v>
      </c>
    </row>
    <row r="3812" spans="1:15" x14ac:dyDescent="0.25">
      <c r="A3812" s="13"/>
      <c r="B3812" s="12">
        <f>MONTH(Movimientos_2026[[#This Row],[Fecha]])</f>
        <v>1</v>
      </c>
      <c r="C3812" s="12" t="str">
        <f>VLOOKUP((WEEKDAY(Movimientos_2026[[#This Row],[Fecha]],2)),'5. Setup'!$D$6:$E$12,2,FALSE)</f>
        <v>Sab</v>
      </c>
      <c r="E3812" t="str">
        <f>IFERROR(+VLOOKUP(Movimientos_2026[[#This Row],[Codigo]],Plan_cuentas[],2,FALSE)," ")</f>
        <v xml:space="preserve"> </v>
      </c>
      <c r="F3812" t="str">
        <f>IFERROR(+VLOOKUP(Movimientos_2026[[#This Row],[Codigo]],Plan_cuentas[],3,FALSE)," ")</f>
        <v xml:space="preserve"> </v>
      </c>
      <c r="G3812" t="str">
        <f>IFERROR(+VLOOKUP(Movimientos_2026[[#This Row],[Codigo]],Plan_cuentas[],4,FALSE)," ")</f>
        <v xml:space="preserve"> </v>
      </c>
      <c r="H3812" t="str">
        <f>IFERROR(+VLOOKUP(Movimientos_2026[[#This Row],[Codigo]],Plan_cuentas[],5,FALSE)," ")</f>
        <v xml:space="preserve"> </v>
      </c>
      <c r="I3812" s="43"/>
      <c r="K3812" t="str">
        <f>IFERROR(+VLOOKUP(Movimientos_2026[[#This Row],[Codigo]],Plan_cuentas[],6,FALSE)," ")</f>
        <v xml:space="preserve"> </v>
      </c>
      <c r="L3812" s="50"/>
      <c r="M3812" s="50"/>
      <c r="N3812" s="20">
        <f>+Movimientos_2026[[#This Row],[Ingresos]]-Movimientos_2026[[#This Row],[Egresos]]</f>
        <v>0</v>
      </c>
      <c r="O3812" s="20">
        <f>+O3811+Movimientos_2026[[#This Row],[Neto]]</f>
        <v>4581558617.7962294</v>
      </c>
    </row>
    <row r="3813" spans="1:15" x14ac:dyDescent="0.25">
      <c r="A3813" s="13"/>
      <c r="B3813" s="12">
        <f>MONTH(Movimientos_2026[[#This Row],[Fecha]])</f>
        <v>1</v>
      </c>
      <c r="C3813" s="12" t="str">
        <f>VLOOKUP((WEEKDAY(Movimientos_2026[[#This Row],[Fecha]],2)),'5. Setup'!$D$6:$E$12,2,FALSE)</f>
        <v>Sab</v>
      </c>
      <c r="E3813" t="str">
        <f>IFERROR(+VLOOKUP(Movimientos_2026[[#This Row],[Codigo]],Plan_cuentas[],2,FALSE)," ")</f>
        <v xml:space="preserve"> </v>
      </c>
      <c r="F3813" t="str">
        <f>IFERROR(+VLOOKUP(Movimientos_2026[[#This Row],[Codigo]],Plan_cuentas[],3,FALSE)," ")</f>
        <v xml:space="preserve"> </v>
      </c>
      <c r="G3813" t="str">
        <f>IFERROR(+VLOOKUP(Movimientos_2026[[#This Row],[Codigo]],Plan_cuentas[],4,FALSE)," ")</f>
        <v xml:space="preserve"> </v>
      </c>
      <c r="H3813" t="str">
        <f>IFERROR(+VLOOKUP(Movimientos_2026[[#This Row],[Codigo]],Plan_cuentas[],5,FALSE)," ")</f>
        <v xml:space="preserve"> </v>
      </c>
      <c r="I3813" s="43"/>
      <c r="K3813" t="str">
        <f>IFERROR(+VLOOKUP(Movimientos_2026[[#This Row],[Codigo]],Plan_cuentas[],6,FALSE)," ")</f>
        <v xml:space="preserve"> </v>
      </c>
      <c r="L3813" s="50"/>
      <c r="M3813" s="50"/>
      <c r="N3813" s="20">
        <f>+Movimientos_2026[[#This Row],[Ingresos]]-Movimientos_2026[[#This Row],[Egresos]]</f>
        <v>0</v>
      </c>
      <c r="O3813" s="20">
        <f>+O3812+Movimientos_2026[[#This Row],[Neto]]</f>
        <v>4581558617.7962294</v>
      </c>
    </row>
    <row r="3814" spans="1:15" x14ac:dyDescent="0.25">
      <c r="A3814" s="13"/>
      <c r="B3814" s="12">
        <f>MONTH(Movimientos_2026[[#This Row],[Fecha]])</f>
        <v>1</v>
      </c>
      <c r="C3814" s="12" t="str">
        <f>VLOOKUP((WEEKDAY(Movimientos_2026[[#This Row],[Fecha]],2)),'5. Setup'!$D$6:$E$12,2,FALSE)</f>
        <v>Sab</v>
      </c>
      <c r="E3814" t="str">
        <f>IFERROR(+VLOOKUP(Movimientos_2026[[#This Row],[Codigo]],Plan_cuentas[],2,FALSE)," ")</f>
        <v xml:space="preserve"> </v>
      </c>
      <c r="F3814" t="str">
        <f>IFERROR(+VLOOKUP(Movimientos_2026[[#This Row],[Codigo]],Plan_cuentas[],3,FALSE)," ")</f>
        <v xml:space="preserve"> </v>
      </c>
      <c r="G3814" t="str">
        <f>IFERROR(+VLOOKUP(Movimientos_2026[[#This Row],[Codigo]],Plan_cuentas[],4,FALSE)," ")</f>
        <v xml:space="preserve"> </v>
      </c>
      <c r="H3814" t="str">
        <f>IFERROR(+VLOOKUP(Movimientos_2026[[#This Row],[Codigo]],Plan_cuentas[],5,FALSE)," ")</f>
        <v xml:space="preserve"> </v>
      </c>
      <c r="I3814" s="43"/>
      <c r="K3814" t="str">
        <f>IFERROR(+VLOOKUP(Movimientos_2026[[#This Row],[Codigo]],Plan_cuentas[],6,FALSE)," ")</f>
        <v xml:space="preserve"> </v>
      </c>
      <c r="L3814" s="50"/>
      <c r="M3814" s="50"/>
      <c r="N3814" s="20">
        <f>+Movimientos_2026[[#This Row],[Ingresos]]-Movimientos_2026[[#This Row],[Egresos]]</f>
        <v>0</v>
      </c>
      <c r="O3814" s="20">
        <f>+O3813+Movimientos_2026[[#This Row],[Neto]]</f>
        <v>4581558617.7962294</v>
      </c>
    </row>
    <row r="3815" spans="1:15" x14ac:dyDescent="0.25">
      <c r="A3815" s="13"/>
      <c r="B3815" s="12">
        <f>MONTH(Movimientos_2026[[#This Row],[Fecha]])</f>
        <v>1</v>
      </c>
      <c r="C3815" s="12" t="str">
        <f>VLOOKUP((WEEKDAY(Movimientos_2026[[#This Row],[Fecha]],2)),'5. Setup'!$D$6:$E$12,2,FALSE)</f>
        <v>Sab</v>
      </c>
      <c r="E3815" t="str">
        <f>IFERROR(+VLOOKUP(Movimientos_2026[[#This Row],[Codigo]],Plan_cuentas[],2,FALSE)," ")</f>
        <v xml:space="preserve"> </v>
      </c>
      <c r="F3815" t="str">
        <f>IFERROR(+VLOOKUP(Movimientos_2026[[#This Row],[Codigo]],Plan_cuentas[],3,FALSE)," ")</f>
        <v xml:space="preserve"> </v>
      </c>
      <c r="G3815" t="str">
        <f>IFERROR(+VLOOKUP(Movimientos_2026[[#This Row],[Codigo]],Plan_cuentas[],4,FALSE)," ")</f>
        <v xml:space="preserve"> </v>
      </c>
      <c r="H3815" t="str">
        <f>IFERROR(+VLOOKUP(Movimientos_2026[[#This Row],[Codigo]],Plan_cuentas[],5,FALSE)," ")</f>
        <v xml:space="preserve"> </v>
      </c>
      <c r="I3815" s="43"/>
      <c r="K3815" t="str">
        <f>IFERROR(+VLOOKUP(Movimientos_2026[[#This Row],[Codigo]],Plan_cuentas[],6,FALSE)," ")</f>
        <v xml:space="preserve"> </v>
      </c>
      <c r="L3815" s="50"/>
      <c r="M3815" s="50"/>
      <c r="N3815" s="20">
        <f>+Movimientos_2026[[#This Row],[Ingresos]]-Movimientos_2026[[#This Row],[Egresos]]</f>
        <v>0</v>
      </c>
      <c r="O3815" s="20">
        <f>+O3814+Movimientos_2026[[#This Row],[Neto]]</f>
        <v>4581558617.7962294</v>
      </c>
    </row>
    <row r="3816" spans="1:15" x14ac:dyDescent="0.25">
      <c r="A3816" s="13"/>
      <c r="B3816" s="12">
        <f>MONTH(Movimientos_2026[[#This Row],[Fecha]])</f>
        <v>1</v>
      </c>
      <c r="C3816" s="12" t="str">
        <f>VLOOKUP((WEEKDAY(Movimientos_2026[[#This Row],[Fecha]],2)),'5. Setup'!$D$6:$E$12,2,FALSE)</f>
        <v>Sab</v>
      </c>
      <c r="E3816" t="str">
        <f>IFERROR(+VLOOKUP(Movimientos_2026[[#This Row],[Codigo]],Plan_cuentas[],2,FALSE)," ")</f>
        <v xml:space="preserve"> </v>
      </c>
      <c r="F3816" t="str">
        <f>IFERROR(+VLOOKUP(Movimientos_2026[[#This Row],[Codigo]],Plan_cuentas[],3,FALSE)," ")</f>
        <v xml:space="preserve"> </v>
      </c>
      <c r="G3816" t="str">
        <f>IFERROR(+VLOOKUP(Movimientos_2026[[#This Row],[Codigo]],Plan_cuentas[],4,FALSE)," ")</f>
        <v xml:space="preserve"> </v>
      </c>
      <c r="H3816" t="str">
        <f>IFERROR(+VLOOKUP(Movimientos_2026[[#This Row],[Codigo]],Plan_cuentas[],5,FALSE)," ")</f>
        <v xml:space="preserve"> </v>
      </c>
      <c r="I3816" s="43"/>
      <c r="K3816" t="str">
        <f>IFERROR(+VLOOKUP(Movimientos_2026[[#This Row],[Codigo]],Plan_cuentas[],6,FALSE)," ")</f>
        <v xml:space="preserve"> </v>
      </c>
      <c r="L3816" s="50"/>
      <c r="M3816" s="50"/>
      <c r="N3816" s="20">
        <f>+Movimientos_2026[[#This Row],[Ingresos]]-Movimientos_2026[[#This Row],[Egresos]]</f>
        <v>0</v>
      </c>
      <c r="O3816" s="20">
        <f>+O3815+Movimientos_2026[[#This Row],[Neto]]</f>
        <v>4581558617.7962294</v>
      </c>
    </row>
    <row r="3817" spans="1:15" x14ac:dyDescent="0.25">
      <c r="A3817" s="13"/>
      <c r="B3817" s="12">
        <f>MONTH(Movimientos_2026[[#This Row],[Fecha]])</f>
        <v>1</v>
      </c>
      <c r="C3817" s="12" t="str">
        <f>VLOOKUP((WEEKDAY(Movimientos_2026[[#This Row],[Fecha]],2)),'5. Setup'!$D$6:$E$12,2,FALSE)</f>
        <v>Sab</v>
      </c>
      <c r="E3817" t="str">
        <f>IFERROR(+VLOOKUP(Movimientos_2026[[#This Row],[Codigo]],Plan_cuentas[],2,FALSE)," ")</f>
        <v xml:space="preserve"> </v>
      </c>
      <c r="F3817" t="str">
        <f>IFERROR(+VLOOKUP(Movimientos_2026[[#This Row],[Codigo]],Plan_cuentas[],3,FALSE)," ")</f>
        <v xml:space="preserve"> </v>
      </c>
      <c r="G3817" t="str">
        <f>IFERROR(+VLOOKUP(Movimientos_2026[[#This Row],[Codigo]],Plan_cuentas[],4,FALSE)," ")</f>
        <v xml:space="preserve"> </v>
      </c>
      <c r="H3817" t="str">
        <f>IFERROR(+VLOOKUP(Movimientos_2026[[#This Row],[Codigo]],Plan_cuentas[],5,FALSE)," ")</f>
        <v xml:space="preserve"> </v>
      </c>
      <c r="I3817" s="43"/>
      <c r="K3817" t="str">
        <f>IFERROR(+VLOOKUP(Movimientos_2026[[#This Row],[Codigo]],Plan_cuentas[],6,FALSE)," ")</f>
        <v xml:space="preserve"> </v>
      </c>
      <c r="L3817" s="50"/>
      <c r="M3817" s="50"/>
      <c r="N3817" s="20">
        <f>+Movimientos_2026[[#This Row],[Ingresos]]-Movimientos_2026[[#This Row],[Egresos]]</f>
        <v>0</v>
      </c>
      <c r="O3817" s="20">
        <f>+O3816+Movimientos_2026[[#This Row],[Neto]]</f>
        <v>4581558617.7962294</v>
      </c>
    </row>
    <row r="3818" spans="1:15" x14ac:dyDescent="0.25">
      <c r="A3818" s="13"/>
      <c r="B3818" s="12">
        <f>MONTH(Movimientos_2026[[#This Row],[Fecha]])</f>
        <v>1</v>
      </c>
      <c r="C3818" s="12" t="str">
        <f>VLOOKUP((WEEKDAY(Movimientos_2026[[#This Row],[Fecha]],2)),'5. Setup'!$D$6:$E$12,2,FALSE)</f>
        <v>Sab</v>
      </c>
      <c r="E3818" t="str">
        <f>IFERROR(+VLOOKUP(Movimientos_2026[[#This Row],[Codigo]],Plan_cuentas[],2,FALSE)," ")</f>
        <v xml:space="preserve"> </v>
      </c>
      <c r="F3818" t="str">
        <f>IFERROR(+VLOOKUP(Movimientos_2026[[#This Row],[Codigo]],Plan_cuentas[],3,FALSE)," ")</f>
        <v xml:space="preserve"> </v>
      </c>
      <c r="G3818" t="str">
        <f>IFERROR(+VLOOKUP(Movimientos_2026[[#This Row],[Codigo]],Plan_cuentas[],4,FALSE)," ")</f>
        <v xml:space="preserve"> </v>
      </c>
      <c r="H3818" t="str">
        <f>IFERROR(+VLOOKUP(Movimientos_2026[[#This Row],[Codigo]],Plan_cuentas[],5,FALSE)," ")</f>
        <v xml:space="preserve"> </v>
      </c>
      <c r="I3818" s="43"/>
      <c r="K3818" t="str">
        <f>IFERROR(+VLOOKUP(Movimientos_2026[[#This Row],[Codigo]],Plan_cuentas[],6,FALSE)," ")</f>
        <v xml:space="preserve"> </v>
      </c>
      <c r="L3818" s="50"/>
      <c r="M3818" s="50"/>
      <c r="N3818" s="20">
        <f>+Movimientos_2026[[#This Row],[Ingresos]]-Movimientos_2026[[#This Row],[Egresos]]</f>
        <v>0</v>
      </c>
      <c r="O3818" s="20">
        <f>+O3817+Movimientos_2026[[#This Row],[Neto]]</f>
        <v>4581558617.7962294</v>
      </c>
    </row>
    <row r="3819" spans="1:15" x14ac:dyDescent="0.25">
      <c r="A3819" s="13"/>
      <c r="B3819" s="12">
        <f>MONTH(Movimientos_2026[[#This Row],[Fecha]])</f>
        <v>1</v>
      </c>
      <c r="C3819" s="12" t="str">
        <f>VLOOKUP((WEEKDAY(Movimientos_2026[[#This Row],[Fecha]],2)),'5. Setup'!$D$6:$E$12,2,FALSE)</f>
        <v>Sab</v>
      </c>
      <c r="E3819" t="str">
        <f>IFERROR(+VLOOKUP(Movimientos_2026[[#This Row],[Codigo]],Plan_cuentas[],2,FALSE)," ")</f>
        <v xml:space="preserve"> </v>
      </c>
      <c r="F3819" t="str">
        <f>IFERROR(+VLOOKUP(Movimientos_2026[[#This Row],[Codigo]],Plan_cuentas[],3,FALSE)," ")</f>
        <v xml:space="preserve"> </v>
      </c>
      <c r="G3819" t="str">
        <f>IFERROR(+VLOOKUP(Movimientos_2026[[#This Row],[Codigo]],Plan_cuentas[],4,FALSE)," ")</f>
        <v xml:space="preserve"> </v>
      </c>
      <c r="H3819" t="str">
        <f>IFERROR(+VLOOKUP(Movimientos_2026[[#This Row],[Codigo]],Plan_cuentas[],5,FALSE)," ")</f>
        <v xml:space="preserve"> </v>
      </c>
      <c r="I3819" s="43"/>
      <c r="K3819" t="str">
        <f>IFERROR(+VLOOKUP(Movimientos_2026[[#This Row],[Codigo]],Plan_cuentas[],6,FALSE)," ")</f>
        <v xml:space="preserve"> </v>
      </c>
      <c r="L3819" s="50"/>
      <c r="M3819" s="50"/>
      <c r="N3819" s="20">
        <f>+Movimientos_2026[[#This Row],[Ingresos]]-Movimientos_2026[[#This Row],[Egresos]]</f>
        <v>0</v>
      </c>
      <c r="O3819" s="20">
        <f>+O3818+Movimientos_2026[[#This Row],[Neto]]</f>
        <v>4581558617.7962294</v>
      </c>
    </row>
    <row r="3820" spans="1:15" x14ac:dyDescent="0.25">
      <c r="A3820" s="13"/>
      <c r="B3820" s="12">
        <f>MONTH(Movimientos_2026[[#This Row],[Fecha]])</f>
        <v>1</v>
      </c>
      <c r="C3820" s="12" t="str">
        <f>VLOOKUP((WEEKDAY(Movimientos_2026[[#This Row],[Fecha]],2)),'5. Setup'!$D$6:$E$12,2,FALSE)</f>
        <v>Sab</v>
      </c>
      <c r="E3820" t="str">
        <f>IFERROR(+VLOOKUP(Movimientos_2026[[#This Row],[Codigo]],Plan_cuentas[],2,FALSE)," ")</f>
        <v xml:space="preserve"> </v>
      </c>
      <c r="F3820" t="str">
        <f>IFERROR(+VLOOKUP(Movimientos_2026[[#This Row],[Codigo]],Plan_cuentas[],3,FALSE)," ")</f>
        <v xml:space="preserve"> </v>
      </c>
      <c r="G3820" t="str">
        <f>IFERROR(+VLOOKUP(Movimientos_2026[[#This Row],[Codigo]],Plan_cuentas[],4,FALSE)," ")</f>
        <v xml:space="preserve"> </v>
      </c>
      <c r="H3820" t="str">
        <f>IFERROR(+VLOOKUP(Movimientos_2026[[#This Row],[Codigo]],Plan_cuentas[],5,FALSE)," ")</f>
        <v xml:space="preserve"> </v>
      </c>
      <c r="I3820" s="43"/>
      <c r="K3820" t="str">
        <f>IFERROR(+VLOOKUP(Movimientos_2026[[#This Row],[Codigo]],Plan_cuentas[],6,FALSE)," ")</f>
        <v xml:space="preserve"> </v>
      </c>
      <c r="L3820" s="50"/>
      <c r="M3820" s="50"/>
      <c r="N3820" s="20">
        <f>+Movimientos_2026[[#This Row],[Ingresos]]-Movimientos_2026[[#This Row],[Egresos]]</f>
        <v>0</v>
      </c>
      <c r="O3820" s="20">
        <f>+O3819+Movimientos_2026[[#This Row],[Neto]]</f>
        <v>4581558617.7962294</v>
      </c>
    </row>
    <row r="3821" spans="1:15" x14ac:dyDescent="0.25">
      <c r="A3821" s="13"/>
      <c r="B3821" s="12">
        <f>MONTH(Movimientos_2026[[#This Row],[Fecha]])</f>
        <v>1</v>
      </c>
      <c r="C3821" s="12" t="str">
        <f>VLOOKUP((WEEKDAY(Movimientos_2026[[#This Row],[Fecha]],2)),'5. Setup'!$D$6:$E$12,2,FALSE)</f>
        <v>Sab</v>
      </c>
      <c r="E3821" t="str">
        <f>IFERROR(+VLOOKUP(Movimientos_2026[[#This Row],[Codigo]],Plan_cuentas[],2,FALSE)," ")</f>
        <v xml:space="preserve"> </v>
      </c>
      <c r="F3821" t="str">
        <f>IFERROR(+VLOOKUP(Movimientos_2026[[#This Row],[Codigo]],Plan_cuentas[],3,FALSE)," ")</f>
        <v xml:space="preserve"> </v>
      </c>
      <c r="G3821" t="str">
        <f>IFERROR(+VLOOKUP(Movimientos_2026[[#This Row],[Codigo]],Plan_cuentas[],4,FALSE)," ")</f>
        <v xml:space="preserve"> </v>
      </c>
      <c r="H3821" t="str">
        <f>IFERROR(+VLOOKUP(Movimientos_2026[[#This Row],[Codigo]],Plan_cuentas[],5,FALSE)," ")</f>
        <v xml:space="preserve"> </v>
      </c>
      <c r="I3821" s="43"/>
      <c r="K3821" t="str">
        <f>IFERROR(+VLOOKUP(Movimientos_2026[[#This Row],[Codigo]],Plan_cuentas[],6,FALSE)," ")</f>
        <v xml:space="preserve"> </v>
      </c>
      <c r="L3821" s="50"/>
      <c r="M3821" s="50"/>
      <c r="N3821" s="20">
        <f>+Movimientos_2026[[#This Row],[Ingresos]]-Movimientos_2026[[#This Row],[Egresos]]</f>
        <v>0</v>
      </c>
      <c r="O3821" s="20">
        <f>+O3820+Movimientos_2026[[#This Row],[Neto]]</f>
        <v>4581558617.7962294</v>
      </c>
    </row>
    <row r="3822" spans="1:15" x14ac:dyDescent="0.25">
      <c r="A3822" s="13"/>
      <c r="B3822" s="12">
        <f>MONTH(Movimientos_2026[[#This Row],[Fecha]])</f>
        <v>1</v>
      </c>
      <c r="C3822" s="12" t="str">
        <f>VLOOKUP((WEEKDAY(Movimientos_2026[[#This Row],[Fecha]],2)),'5. Setup'!$D$6:$E$12,2,FALSE)</f>
        <v>Sab</v>
      </c>
      <c r="E3822" t="str">
        <f>IFERROR(+VLOOKUP(Movimientos_2026[[#This Row],[Codigo]],Plan_cuentas[],2,FALSE)," ")</f>
        <v xml:space="preserve"> </v>
      </c>
      <c r="F3822" t="str">
        <f>IFERROR(+VLOOKUP(Movimientos_2026[[#This Row],[Codigo]],Plan_cuentas[],3,FALSE)," ")</f>
        <v xml:space="preserve"> </v>
      </c>
      <c r="G3822" t="str">
        <f>IFERROR(+VLOOKUP(Movimientos_2026[[#This Row],[Codigo]],Plan_cuentas[],4,FALSE)," ")</f>
        <v xml:space="preserve"> </v>
      </c>
      <c r="H3822" t="str">
        <f>IFERROR(+VLOOKUP(Movimientos_2026[[#This Row],[Codigo]],Plan_cuentas[],5,FALSE)," ")</f>
        <v xml:space="preserve"> </v>
      </c>
      <c r="I3822" s="43"/>
      <c r="K3822" t="str">
        <f>IFERROR(+VLOOKUP(Movimientos_2026[[#This Row],[Codigo]],Plan_cuentas[],6,FALSE)," ")</f>
        <v xml:space="preserve"> </v>
      </c>
      <c r="L3822" s="50"/>
      <c r="M3822" s="50"/>
      <c r="N3822" s="20">
        <f>+Movimientos_2026[[#This Row],[Ingresos]]-Movimientos_2026[[#This Row],[Egresos]]</f>
        <v>0</v>
      </c>
      <c r="O3822" s="20">
        <f>+O3821+Movimientos_2026[[#This Row],[Neto]]</f>
        <v>4581558617.7962294</v>
      </c>
    </row>
    <row r="3823" spans="1:15" x14ac:dyDescent="0.25">
      <c r="A3823" s="13"/>
      <c r="B3823" s="12">
        <f>MONTH(Movimientos_2026[[#This Row],[Fecha]])</f>
        <v>1</v>
      </c>
      <c r="C3823" s="12" t="str">
        <f>VLOOKUP((WEEKDAY(Movimientos_2026[[#This Row],[Fecha]],2)),'5. Setup'!$D$6:$E$12,2,FALSE)</f>
        <v>Sab</v>
      </c>
      <c r="E3823" t="str">
        <f>IFERROR(+VLOOKUP(Movimientos_2026[[#This Row],[Codigo]],Plan_cuentas[],2,FALSE)," ")</f>
        <v xml:space="preserve"> </v>
      </c>
      <c r="F3823" t="str">
        <f>IFERROR(+VLOOKUP(Movimientos_2026[[#This Row],[Codigo]],Plan_cuentas[],3,FALSE)," ")</f>
        <v xml:space="preserve"> </v>
      </c>
      <c r="G3823" t="str">
        <f>IFERROR(+VLOOKUP(Movimientos_2026[[#This Row],[Codigo]],Plan_cuentas[],4,FALSE)," ")</f>
        <v xml:space="preserve"> </v>
      </c>
      <c r="H3823" t="str">
        <f>IFERROR(+VLOOKUP(Movimientos_2026[[#This Row],[Codigo]],Plan_cuentas[],5,FALSE)," ")</f>
        <v xml:space="preserve"> </v>
      </c>
      <c r="I3823" s="43"/>
      <c r="K3823" t="str">
        <f>IFERROR(+VLOOKUP(Movimientos_2026[[#This Row],[Codigo]],Plan_cuentas[],6,FALSE)," ")</f>
        <v xml:space="preserve"> </v>
      </c>
      <c r="L3823" s="50"/>
      <c r="M3823" s="50"/>
      <c r="N3823" s="20">
        <f>+Movimientos_2026[[#This Row],[Ingresos]]-Movimientos_2026[[#This Row],[Egresos]]</f>
        <v>0</v>
      </c>
      <c r="O3823" s="20">
        <f>+O3822+Movimientos_2026[[#This Row],[Neto]]</f>
        <v>4581558617.7962294</v>
      </c>
    </row>
    <row r="3824" spans="1:15" x14ac:dyDescent="0.25">
      <c r="A3824" s="13"/>
      <c r="B3824" s="12">
        <f>MONTH(Movimientos_2026[[#This Row],[Fecha]])</f>
        <v>1</v>
      </c>
      <c r="C3824" s="12" t="str">
        <f>VLOOKUP((WEEKDAY(Movimientos_2026[[#This Row],[Fecha]],2)),'5. Setup'!$D$6:$E$12,2,FALSE)</f>
        <v>Sab</v>
      </c>
      <c r="E3824" t="str">
        <f>IFERROR(+VLOOKUP(Movimientos_2026[[#This Row],[Codigo]],Plan_cuentas[],2,FALSE)," ")</f>
        <v xml:space="preserve"> </v>
      </c>
      <c r="F3824" t="str">
        <f>IFERROR(+VLOOKUP(Movimientos_2026[[#This Row],[Codigo]],Plan_cuentas[],3,FALSE)," ")</f>
        <v xml:space="preserve"> </v>
      </c>
      <c r="G3824" t="str">
        <f>IFERROR(+VLOOKUP(Movimientos_2026[[#This Row],[Codigo]],Plan_cuentas[],4,FALSE)," ")</f>
        <v xml:space="preserve"> </v>
      </c>
      <c r="H3824" t="str">
        <f>IFERROR(+VLOOKUP(Movimientos_2026[[#This Row],[Codigo]],Plan_cuentas[],5,FALSE)," ")</f>
        <v xml:space="preserve"> </v>
      </c>
      <c r="I3824" s="43"/>
      <c r="K3824" t="str">
        <f>IFERROR(+VLOOKUP(Movimientos_2026[[#This Row],[Codigo]],Plan_cuentas[],6,FALSE)," ")</f>
        <v xml:space="preserve"> </v>
      </c>
      <c r="L3824" s="50"/>
      <c r="M3824" s="50"/>
      <c r="N3824" s="20">
        <f>+Movimientos_2026[[#This Row],[Ingresos]]-Movimientos_2026[[#This Row],[Egresos]]</f>
        <v>0</v>
      </c>
      <c r="O3824" s="20">
        <f>+O3823+Movimientos_2026[[#This Row],[Neto]]</f>
        <v>4581558617.7962294</v>
      </c>
    </row>
    <row r="3825" spans="1:15" x14ac:dyDescent="0.25">
      <c r="A3825" s="13"/>
      <c r="B3825" s="12">
        <f>MONTH(Movimientos_2026[[#This Row],[Fecha]])</f>
        <v>1</v>
      </c>
      <c r="C3825" s="12" t="str">
        <f>VLOOKUP((WEEKDAY(Movimientos_2026[[#This Row],[Fecha]],2)),'5. Setup'!$D$6:$E$12,2,FALSE)</f>
        <v>Sab</v>
      </c>
      <c r="E3825" t="str">
        <f>IFERROR(+VLOOKUP(Movimientos_2026[[#This Row],[Codigo]],Plan_cuentas[],2,FALSE)," ")</f>
        <v xml:space="preserve"> </v>
      </c>
      <c r="F3825" t="str">
        <f>IFERROR(+VLOOKUP(Movimientos_2026[[#This Row],[Codigo]],Plan_cuentas[],3,FALSE)," ")</f>
        <v xml:space="preserve"> </v>
      </c>
      <c r="G3825" t="str">
        <f>IFERROR(+VLOOKUP(Movimientos_2026[[#This Row],[Codigo]],Plan_cuentas[],4,FALSE)," ")</f>
        <v xml:space="preserve"> </v>
      </c>
      <c r="H3825" t="str">
        <f>IFERROR(+VLOOKUP(Movimientos_2026[[#This Row],[Codigo]],Plan_cuentas[],5,FALSE)," ")</f>
        <v xml:space="preserve"> </v>
      </c>
      <c r="I3825" s="43"/>
      <c r="K3825" t="str">
        <f>IFERROR(+VLOOKUP(Movimientos_2026[[#This Row],[Codigo]],Plan_cuentas[],6,FALSE)," ")</f>
        <v xml:space="preserve"> </v>
      </c>
      <c r="L3825" s="50"/>
      <c r="M3825" s="50"/>
      <c r="N3825" s="20">
        <f>+Movimientos_2026[[#This Row],[Ingresos]]-Movimientos_2026[[#This Row],[Egresos]]</f>
        <v>0</v>
      </c>
      <c r="O3825" s="20">
        <f>+O3824+Movimientos_2026[[#This Row],[Neto]]</f>
        <v>4581558617.7962294</v>
      </c>
    </row>
    <row r="3826" spans="1:15" x14ac:dyDescent="0.25">
      <c r="A3826" s="13"/>
      <c r="B3826" s="12">
        <f>MONTH(Movimientos_2026[[#This Row],[Fecha]])</f>
        <v>1</v>
      </c>
      <c r="C3826" s="12" t="str">
        <f>VLOOKUP((WEEKDAY(Movimientos_2026[[#This Row],[Fecha]],2)),'5. Setup'!$D$6:$E$12,2,FALSE)</f>
        <v>Sab</v>
      </c>
      <c r="E3826" t="str">
        <f>IFERROR(+VLOOKUP(Movimientos_2026[[#This Row],[Codigo]],Plan_cuentas[],2,FALSE)," ")</f>
        <v xml:space="preserve"> </v>
      </c>
      <c r="F3826" t="str">
        <f>IFERROR(+VLOOKUP(Movimientos_2026[[#This Row],[Codigo]],Plan_cuentas[],3,FALSE)," ")</f>
        <v xml:space="preserve"> </v>
      </c>
      <c r="G3826" t="str">
        <f>IFERROR(+VLOOKUP(Movimientos_2026[[#This Row],[Codigo]],Plan_cuentas[],4,FALSE)," ")</f>
        <v xml:space="preserve"> </v>
      </c>
      <c r="H3826" t="str">
        <f>IFERROR(+VLOOKUP(Movimientos_2026[[#This Row],[Codigo]],Plan_cuentas[],5,FALSE)," ")</f>
        <v xml:space="preserve"> </v>
      </c>
      <c r="I3826" s="43"/>
      <c r="K3826" t="str">
        <f>IFERROR(+VLOOKUP(Movimientos_2026[[#This Row],[Codigo]],Plan_cuentas[],6,FALSE)," ")</f>
        <v xml:space="preserve"> </v>
      </c>
      <c r="L3826" s="50"/>
      <c r="M3826" s="50"/>
      <c r="N3826" s="20">
        <f>+Movimientos_2026[[#This Row],[Ingresos]]-Movimientos_2026[[#This Row],[Egresos]]</f>
        <v>0</v>
      </c>
      <c r="O3826" s="20">
        <f>+O3825+Movimientos_2026[[#This Row],[Neto]]</f>
        <v>4581558617.7962294</v>
      </c>
    </row>
    <row r="3827" spans="1:15" x14ac:dyDescent="0.25">
      <c r="A3827" s="13"/>
      <c r="B3827" s="12">
        <f>MONTH(Movimientos_2026[[#This Row],[Fecha]])</f>
        <v>1</v>
      </c>
      <c r="C3827" s="12" t="str">
        <f>VLOOKUP((WEEKDAY(Movimientos_2026[[#This Row],[Fecha]],2)),'5. Setup'!$D$6:$E$12,2,FALSE)</f>
        <v>Sab</v>
      </c>
      <c r="E3827" t="str">
        <f>IFERROR(+VLOOKUP(Movimientos_2026[[#This Row],[Codigo]],Plan_cuentas[],2,FALSE)," ")</f>
        <v xml:space="preserve"> </v>
      </c>
      <c r="F3827" t="str">
        <f>IFERROR(+VLOOKUP(Movimientos_2026[[#This Row],[Codigo]],Plan_cuentas[],3,FALSE)," ")</f>
        <v xml:space="preserve"> </v>
      </c>
      <c r="G3827" t="str">
        <f>IFERROR(+VLOOKUP(Movimientos_2026[[#This Row],[Codigo]],Plan_cuentas[],4,FALSE)," ")</f>
        <v xml:space="preserve"> </v>
      </c>
      <c r="H3827" t="str">
        <f>IFERROR(+VLOOKUP(Movimientos_2026[[#This Row],[Codigo]],Plan_cuentas[],5,FALSE)," ")</f>
        <v xml:space="preserve"> </v>
      </c>
      <c r="I3827" s="43"/>
      <c r="K3827" t="str">
        <f>IFERROR(+VLOOKUP(Movimientos_2026[[#This Row],[Codigo]],Plan_cuentas[],6,FALSE)," ")</f>
        <v xml:space="preserve"> </v>
      </c>
      <c r="L3827" s="50"/>
      <c r="M3827" s="50"/>
      <c r="N3827" s="20">
        <f>+Movimientos_2026[[#This Row],[Ingresos]]-Movimientos_2026[[#This Row],[Egresos]]</f>
        <v>0</v>
      </c>
      <c r="O3827" s="20">
        <f>+O3826+Movimientos_2026[[#This Row],[Neto]]</f>
        <v>4581558617.7962294</v>
      </c>
    </row>
    <row r="3828" spans="1:15" x14ac:dyDescent="0.25">
      <c r="A3828" s="13"/>
      <c r="B3828" s="12">
        <f>MONTH(Movimientos_2026[[#This Row],[Fecha]])</f>
        <v>1</v>
      </c>
      <c r="C3828" s="12" t="str">
        <f>VLOOKUP((WEEKDAY(Movimientos_2026[[#This Row],[Fecha]],2)),'5. Setup'!$D$6:$E$12,2,FALSE)</f>
        <v>Sab</v>
      </c>
      <c r="E3828" t="str">
        <f>IFERROR(+VLOOKUP(Movimientos_2026[[#This Row],[Codigo]],Plan_cuentas[],2,FALSE)," ")</f>
        <v xml:space="preserve"> </v>
      </c>
      <c r="F3828" t="str">
        <f>IFERROR(+VLOOKUP(Movimientos_2026[[#This Row],[Codigo]],Plan_cuentas[],3,FALSE)," ")</f>
        <v xml:space="preserve"> </v>
      </c>
      <c r="G3828" t="str">
        <f>IFERROR(+VLOOKUP(Movimientos_2026[[#This Row],[Codigo]],Plan_cuentas[],4,FALSE)," ")</f>
        <v xml:space="preserve"> </v>
      </c>
      <c r="H3828" t="str">
        <f>IFERROR(+VLOOKUP(Movimientos_2026[[#This Row],[Codigo]],Plan_cuentas[],5,FALSE)," ")</f>
        <v xml:space="preserve"> </v>
      </c>
      <c r="I3828" s="43"/>
      <c r="K3828" t="str">
        <f>IFERROR(+VLOOKUP(Movimientos_2026[[#This Row],[Codigo]],Plan_cuentas[],6,FALSE)," ")</f>
        <v xml:space="preserve"> </v>
      </c>
      <c r="L3828" s="50"/>
      <c r="M3828" s="50"/>
      <c r="N3828" s="20">
        <f>+Movimientos_2026[[#This Row],[Ingresos]]-Movimientos_2026[[#This Row],[Egresos]]</f>
        <v>0</v>
      </c>
      <c r="O3828" s="20">
        <f>+O3827+Movimientos_2026[[#This Row],[Neto]]</f>
        <v>4581558617.7962294</v>
      </c>
    </row>
    <row r="3829" spans="1:15" x14ac:dyDescent="0.25">
      <c r="A3829" s="13"/>
      <c r="B3829" s="12">
        <f>MONTH(Movimientos_2026[[#This Row],[Fecha]])</f>
        <v>1</v>
      </c>
      <c r="C3829" s="12" t="str">
        <f>VLOOKUP((WEEKDAY(Movimientos_2026[[#This Row],[Fecha]],2)),'5. Setup'!$D$6:$E$12,2,FALSE)</f>
        <v>Sab</v>
      </c>
      <c r="E3829" t="str">
        <f>IFERROR(+VLOOKUP(Movimientos_2026[[#This Row],[Codigo]],Plan_cuentas[],2,FALSE)," ")</f>
        <v xml:space="preserve"> </v>
      </c>
      <c r="F3829" t="str">
        <f>IFERROR(+VLOOKUP(Movimientos_2026[[#This Row],[Codigo]],Plan_cuentas[],3,FALSE)," ")</f>
        <v xml:space="preserve"> </v>
      </c>
      <c r="G3829" t="str">
        <f>IFERROR(+VLOOKUP(Movimientos_2026[[#This Row],[Codigo]],Plan_cuentas[],4,FALSE)," ")</f>
        <v xml:space="preserve"> </v>
      </c>
      <c r="H3829" t="str">
        <f>IFERROR(+VLOOKUP(Movimientos_2026[[#This Row],[Codigo]],Plan_cuentas[],5,FALSE)," ")</f>
        <v xml:space="preserve"> </v>
      </c>
      <c r="I3829" s="43"/>
      <c r="K3829" t="str">
        <f>IFERROR(+VLOOKUP(Movimientos_2026[[#This Row],[Codigo]],Plan_cuentas[],6,FALSE)," ")</f>
        <v xml:space="preserve"> </v>
      </c>
      <c r="L3829" s="50"/>
      <c r="M3829" s="50"/>
      <c r="N3829" s="20">
        <f>+Movimientos_2026[[#This Row],[Ingresos]]-Movimientos_2026[[#This Row],[Egresos]]</f>
        <v>0</v>
      </c>
      <c r="O3829" s="20">
        <f>+O3828+Movimientos_2026[[#This Row],[Neto]]</f>
        <v>4581558617.7962294</v>
      </c>
    </row>
    <row r="3830" spans="1:15" x14ac:dyDescent="0.25">
      <c r="A3830" s="13"/>
      <c r="B3830" s="12">
        <f>MONTH(Movimientos_2026[[#This Row],[Fecha]])</f>
        <v>1</v>
      </c>
      <c r="C3830" s="12" t="str">
        <f>VLOOKUP((WEEKDAY(Movimientos_2026[[#This Row],[Fecha]],2)),'5. Setup'!$D$6:$E$12,2,FALSE)</f>
        <v>Sab</v>
      </c>
      <c r="E3830" t="str">
        <f>IFERROR(+VLOOKUP(Movimientos_2026[[#This Row],[Codigo]],Plan_cuentas[],2,FALSE)," ")</f>
        <v xml:space="preserve"> </v>
      </c>
      <c r="F3830" t="str">
        <f>IFERROR(+VLOOKUP(Movimientos_2026[[#This Row],[Codigo]],Plan_cuentas[],3,FALSE)," ")</f>
        <v xml:space="preserve"> </v>
      </c>
      <c r="G3830" t="str">
        <f>IFERROR(+VLOOKUP(Movimientos_2026[[#This Row],[Codigo]],Plan_cuentas[],4,FALSE)," ")</f>
        <v xml:space="preserve"> </v>
      </c>
      <c r="H3830" t="str">
        <f>IFERROR(+VLOOKUP(Movimientos_2026[[#This Row],[Codigo]],Plan_cuentas[],5,FALSE)," ")</f>
        <v xml:space="preserve"> </v>
      </c>
      <c r="I3830" s="43"/>
      <c r="K3830" t="str">
        <f>IFERROR(+VLOOKUP(Movimientos_2026[[#This Row],[Codigo]],Plan_cuentas[],6,FALSE)," ")</f>
        <v xml:space="preserve"> </v>
      </c>
      <c r="L3830" s="50"/>
      <c r="M3830" s="50"/>
      <c r="N3830" s="20">
        <f>+Movimientos_2026[[#This Row],[Ingresos]]-Movimientos_2026[[#This Row],[Egresos]]</f>
        <v>0</v>
      </c>
      <c r="O3830" s="20">
        <f>+O3829+Movimientos_2026[[#This Row],[Neto]]</f>
        <v>4581558617.7962294</v>
      </c>
    </row>
    <row r="3831" spans="1:15" x14ac:dyDescent="0.25">
      <c r="A3831" s="13"/>
      <c r="B3831" s="12">
        <f>MONTH(Movimientos_2026[[#This Row],[Fecha]])</f>
        <v>1</v>
      </c>
      <c r="C3831" s="12" t="str">
        <f>VLOOKUP((WEEKDAY(Movimientos_2026[[#This Row],[Fecha]],2)),'5. Setup'!$D$6:$E$12,2,FALSE)</f>
        <v>Sab</v>
      </c>
      <c r="E3831" t="str">
        <f>IFERROR(+VLOOKUP(Movimientos_2026[[#This Row],[Codigo]],Plan_cuentas[],2,FALSE)," ")</f>
        <v xml:space="preserve"> </v>
      </c>
      <c r="F3831" t="str">
        <f>IFERROR(+VLOOKUP(Movimientos_2026[[#This Row],[Codigo]],Plan_cuentas[],3,FALSE)," ")</f>
        <v xml:space="preserve"> </v>
      </c>
      <c r="G3831" t="str">
        <f>IFERROR(+VLOOKUP(Movimientos_2026[[#This Row],[Codigo]],Plan_cuentas[],4,FALSE)," ")</f>
        <v xml:space="preserve"> </v>
      </c>
      <c r="H3831" t="str">
        <f>IFERROR(+VLOOKUP(Movimientos_2026[[#This Row],[Codigo]],Plan_cuentas[],5,FALSE)," ")</f>
        <v xml:space="preserve"> </v>
      </c>
      <c r="I3831" s="43"/>
      <c r="K3831" t="str">
        <f>IFERROR(+VLOOKUP(Movimientos_2026[[#This Row],[Codigo]],Plan_cuentas[],6,FALSE)," ")</f>
        <v xml:space="preserve"> </v>
      </c>
      <c r="L3831" s="50"/>
      <c r="M3831" s="50"/>
      <c r="N3831" s="20">
        <f>+Movimientos_2026[[#This Row],[Ingresos]]-Movimientos_2026[[#This Row],[Egresos]]</f>
        <v>0</v>
      </c>
      <c r="O3831" s="20">
        <f>+O3830+Movimientos_2026[[#This Row],[Neto]]</f>
        <v>4581558617.7962294</v>
      </c>
    </row>
    <row r="3832" spans="1:15" x14ac:dyDescent="0.25">
      <c r="A3832" s="13"/>
      <c r="B3832" s="12">
        <f>MONTH(Movimientos_2026[[#This Row],[Fecha]])</f>
        <v>1</v>
      </c>
      <c r="C3832" s="12" t="str">
        <f>VLOOKUP((WEEKDAY(Movimientos_2026[[#This Row],[Fecha]],2)),'5. Setup'!$D$6:$E$12,2,FALSE)</f>
        <v>Sab</v>
      </c>
      <c r="E3832" t="str">
        <f>IFERROR(+VLOOKUP(Movimientos_2026[[#This Row],[Codigo]],Plan_cuentas[],2,FALSE)," ")</f>
        <v xml:space="preserve"> </v>
      </c>
      <c r="F3832" t="str">
        <f>IFERROR(+VLOOKUP(Movimientos_2026[[#This Row],[Codigo]],Plan_cuentas[],3,FALSE)," ")</f>
        <v xml:space="preserve"> </v>
      </c>
      <c r="G3832" t="str">
        <f>IFERROR(+VLOOKUP(Movimientos_2026[[#This Row],[Codigo]],Plan_cuentas[],4,FALSE)," ")</f>
        <v xml:space="preserve"> </v>
      </c>
      <c r="H3832" t="str">
        <f>IFERROR(+VLOOKUP(Movimientos_2026[[#This Row],[Codigo]],Plan_cuentas[],5,FALSE)," ")</f>
        <v xml:space="preserve"> </v>
      </c>
      <c r="I3832" s="43"/>
      <c r="K3832" t="str">
        <f>IFERROR(+VLOOKUP(Movimientos_2026[[#This Row],[Codigo]],Plan_cuentas[],6,FALSE)," ")</f>
        <v xml:space="preserve"> </v>
      </c>
      <c r="L3832" s="50"/>
      <c r="M3832" s="50"/>
      <c r="N3832" s="20">
        <f>+Movimientos_2026[[#This Row],[Ingresos]]-Movimientos_2026[[#This Row],[Egresos]]</f>
        <v>0</v>
      </c>
      <c r="O3832" s="20">
        <f>+O3831+Movimientos_2026[[#This Row],[Neto]]</f>
        <v>4581558617.7962294</v>
      </c>
    </row>
    <row r="3833" spans="1:15" x14ac:dyDescent="0.25">
      <c r="A3833" s="13"/>
      <c r="B3833" s="12">
        <f>MONTH(Movimientos_2026[[#This Row],[Fecha]])</f>
        <v>1</v>
      </c>
      <c r="C3833" s="12" t="str">
        <f>VLOOKUP((WEEKDAY(Movimientos_2026[[#This Row],[Fecha]],2)),'5. Setup'!$D$6:$E$12,2,FALSE)</f>
        <v>Sab</v>
      </c>
      <c r="E3833" t="str">
        <f>IFERROR(+VLOOKUP(Movimientos_2026[[#This Row],[Codigo]],Plan_cuentas[],2,FALSE)," ")</f>
        <v xml:space="preserve"> </v>
      </c>
      <c r="F3833" t="str">
        <f>IFERROR(+VLOOKUP(Movimientos_2026[[#This Row],[Codigo]],Plan_cuentas[],3,FALSE)," ")</f>
        <v xml:space="preserve"> </v>
      </c>
      <c r="G3833" t="str">
        <f>IFERROR(+VLOOKUP(Movimientos_2026[[#This Row],[Codigo]],Plan_cuentas[],4,FALSE)," ")</f>
        <v xml:space="preserve"> </v>
      </c>
      <c r="H3833" t="str">
        <f>IFERROR(+VLOOKUP(Movimientos_2026[[#This Row],[Codigo]],Plan_cuentas[],5,FALSE)," ")</f>
        <v xml:space="preserve"> </v>
      </c>
      <c r="I3833" s="43"/>
      <c r="K3833" t="str">
        <f>IFERROR(+VLOOKUP(Movimientos_2026[[#This Row],[Codigo]],Plan_cuentas[],6,FALSE)," ")</f>
        <v xml:space="preserve"> </v>
      </c>
      <c r="L3833" s="50"/>
      <c r="M3833" s="50"/>
      <c r="N3833" s="20">
        <f>+Movimientos_2026[[#This Row],[Ingresos]]-Movimientos_2026[[#This Row],[Egresos]]</f>
        <v>0</v>
      </c>
      <c r="O3833" s="20">
        <f>+O3832+Movimientos_2026[[#This Row],[Neto]]</f>
        <v>4581558617.7962294</v>
      </c>
    </row>
    <row r="3834" spans="1:15" x14ac:dyDescent="0.25">
      <c r="A3834" s="13"/>
      <c r="B3834" s="12">
        <f>MONTH(Movimientos_2026[[#This Row],[Fecha]])</f>
        <v>1</v>
      </c>
      <c r="C3834" s="12" t="str">
        <f>VLOOKUP((WEEKDAY(Movimientos_2026[[#This Row],[Fecha]],2)),'5. Setup'!$D$6:$E$12,2,FALSE)</f>
        <v>Sab</v>
      </c>
      <c r="E3834" t="str">
        <f>IFERROR(+VLOOKUP(Movimientos_2026[[#This Row],[Codigo]],Plan_cuentas[],2,FALSE)," ")</f>
        <v xml:space="preserve"> </v>
      </c>
      <c r="F3834" t="str">
        <f>IFERROR(+VLOOKUP(Movimientos_2026[[#This Row],[Codigo]],Plan_cuentas[],3,FALSE)," ")</f>
        <v xml:space="preserve"> </v>
      </c>
      <c r="G3834" t="str">
        <f>IFERROR(+VLOOKUP(Movimientos_2026[[#This Row],[Codigo]],Plan_cuentas[],4,FALSE)," ")</f>
        <v xml:space="preserve"> </v>
      </c>
      <c r="H3834" t="str">
        <f>IFERROR(+VLOOKUP(Movimientos_2026[[#This Row],[Codigo]],Plan_cuentas[],5,FALSE)," ")</f>
        <v xml:space="preserve"> </v>
      </c>
      <c r="I3834" s="43"/>
      <c r="K3834" t="str">
        <f>IFERROR(+VLOOKUP(Movimientos_2026[[#This Row],[Codigo]],Plan_cuentas[],6,FALSE)," ")</f>
        <v xml:space="preserve"> </v>
      </c>
      <c r="L3834" s="50"/>
      <c r="M3834" s="50"/>
      <c r="N3834" s="20">
        <f>+Movimientos_2026[[#This Row],[Ingresos]]-Movimientos_2026[[#This Row],[Egresos]]</f>
        <v>0</v>
      </c>
      <c r="O3834" s="20">
        <f>+O3833+Movimientos_2026[[#This Row],[Neto]]</f>
        <v>4581558617.7962294</v>
      </c>
    </row>
    <row r="3835" spans="1:15" x14ac:dyDescent="0.25">
      <c r="A3835" s="13"/>
      <c r="B3835" s="12">
        <f>MONTH(Movimientos_2026[[#This Row],[Fecha]])</f>
        <v>1</v>
      </c>
      <c r="C3835" s="12" t="str">
        <f>VLOOKUP((WEEKDAY(Movimientos_2026[[#This Row],[Fecha]],2)),'5. Setup'!$D$6:$E$12,2,FALSE)</f>
        <v>Sab</v>
      </c>
      <c r="E3835" t="str">
        <f>IFERROR(+VLOOKUP(Movimientos_2026[[#This Row],[Codigo]],Plan_cuentas[],2,FALSE)," ")</f>
        <v xml:space="preserve"> </v>
      </c>
      <c r="F3835" t="str">
        <f>IFERROR(+VLOOKUP(Movimientos_2026[[#This Row],[Codigo]],Plan_cuentas[],3,FALSE)," ")</f>
        <v xml:space="preserve"> </v>
      </c>
      <c r="G3835" t="str">
        <f>IFERROR(+VLOOKUP(Movimientos_2026[[#This Row],[Codigo]],Plan_cuentas[],4,FALSE)," ")</f>
        <v xml:space="preserve"> </v>
      </c>
      <c r="H3835" t="str">
        <f>IFERROR(+VLOOKUP(Movimientos_2026[[#This Row],[Codigo]],Plan_cuentas[],5,FALSE)," ")</f>
        <v xml:space="preserve"> </v>
      </c>
      <c r="I3835" s="43"/>
      <c r="K3835" t="str">
        <f>IFERROR(+VLOOKUP(Movimientos_2026[[#This Row],[Codigo]],Plan_cuentas[],6,FALSE)," ")</f>
        <v xml:space="preserve"> </v>
      </c>
      <c r="L3835" s="50"/>
      <c r="M3835" s="50"/>
      <c r="N3835" s="20">
        <f>+Movimientos_2026[[#This Row],[Ingresos]]-Movimientos_2026[[#This Row],[Egresos]]</f>
        <v>0</v>
      </c>
      <c r="O3835" s="20">
        <f>+O3834+Movimientos_2026[[#This Row],[Neto]]</f>
        <v>4581558617.7962294</v>
      </c>
    </row>
    <row r="3836" spans="1:15" x14ac:dyDescent="0.25">
      <c r="A3836" s="13"/>
      <c r="B3836" s="12">
        <f>MONTH(Movimientos_2026[[#This Row],[Fecha]])</f>
        <v>1</v>
      </c>
      <c r="C3836" s="12" t="str">
        <f>VLOOKUP((WEEKDAY(Movimientos_2026[[#This Row],[Fecha]],2)),'5. Setup'!$D$6:$E$12,2,FALSE)</f>
        <v>Sab</v>
      </c>
      <c r="E3836" t="str">
        <f>IFERROR(+VLOOKUP(Movimientos_2026[[#This Row],[Codigo]],Plan_cuentas[],2,FALSE)," ")</f>
        <v xml:space="preserve"> </v>
      </c>
      <c r="F3836" t="str">
        <f>IFERROR(+VLOOKUP(Movimientos_2026[[#This Row],[Codigo]],Plan_cuentas[],3,FALSE)," ")</f>
        <v xml:space="preserve"> </v>
      </c>
      <c r="G3836" t="str">
        <f>IFERROR(+VLOOKUP(Movimientos_2026[[#This Row],[Codigo]],Plan_cuentas[],4,FALSE)," ")</f>
        <v xml:space="preserve"> </v>
      </c>
      <c r="H3836" t="str">
        <f>IFERROR(+VLOOKUP(Movimientos_2026[[#This Row],[Codigo]],Plan_cuentas[],5,FALSE)," ")</f>
        <v xml:space="preserve"> </v>
      </c>
      <c r="I3836" s="43"/>
      <c r="K3836" t="str">
        <f>IFERROR(+VLOOKUP(Movimientos_2026[[#This Row],[Codigo]],Plan_cuentas[],6,FALSE)," ")</f>
        <v xml:space="preserve"> </v>
      </c>
      <c r="L3836" s="50"/>
      <c r="M3836" s="50"/>
      <c r="N3836" s="20">
        <f>+Movimientos_2026[[#This Row],[Ingresos]]-Movimientos_2026[[#This Row],[Egresos]]</f>
        <v>0</v>
      </c>
      <c r="O3836" s="20">
        <f>+O3835+Movimientos_2026[[#This Row],[Neto]]</f>
        <v>4581558617.7962294</v>
      </c>
    </row>
    <row r="3837" spans="1:15" x14ac:dyDescent="0.25">
      <c r="A3837" s="13"/>
      <c r="B3837" s="12">
        <f>MONTH(Movimientos_2026[[#This Row],[Fecha]])</f>
        <v>1</v>
      </c>
      <c r="C3837" s="12" t="str">
        <f>VLOOKUP((WEEKDAY(Movimientos_2026[[#This Row],[Fecha]],2)),'5. Setup'!$D$6:$E$12,2,FALSE)</f>
        <v>Sab</v>
      </c>
      <c r="E3837" t="str">
        <f>IFERROR(+VLOOKUP(Movimientos_2026[[#This Row],[Codigo]],Plan_cuentas[],2,FALSE)," ")</f>
        <v xml:space="preserve"> </v>
      </c>
      <c r="F3837" t="str">
        <f>IFERROR(+VLOOKUP(Movimientos_2026[[#This Row],[Codigo]],Plan_cuentas[],3,FALSE)," ")</f>
        <v xml:space="preserve"> </v>
      </c>
      <c r="G3837" t="str">
        <f>IFERROR(+VLOOKUP(Movimientos_2026[[#This Row],[Codigo]],Plan_cuentas[],4,FALSE)," ")</f>
        <v xml:space="preserve"> </v>
      </c>
      <c r="H3837" t="str">
        <f>IFERROR(+VLOOKUP(Movimientos_2026[[#This Row],[Codigo]],Plan_cuentas[],5,FALSE)," ")</f>
        <v xml:space="preserve"> </v>
      </c>
      <c r="I3837" s="43"/>
      <c r="K3837" t="str">
        <f>IFERROR(+VLOOKUP(Movimientos_2026[[#This Row],[Codigo]],Plan_cuentas[],6,FALSE)," ")</f>
        <v xml:space="preserve"> </v>
      </c>
      <c r="L3837" s="50"/>
      <c r="M3837" s="50"/>
      <c r="N3837" s="20">
        <f>+Movimientos_2026[[#This Row],[Ingresos]]-Movimientos_2026[[#This Row],[Egresos]]</f>
        <v>0</v>
      </c>
      <c r="O3837" s="20">
        <f>+O3836+Movimientos_2026[[#This Row],[Neto]]</f>
        <v>4581558617.7962294</v>
      </c>
    </row>
    <row r="3838" spans="1:15" x14ac:dyDescent="0.25">
      <c r="A3838" s="13"/>
      <c r="B3838" s="12">
        <f>MONTH(Movimientos_2026[[#This Row],[Fecha]])</f>
        <v>1</v>
      </c>
      <c r="C3838" s="12" t="str">
        <f>VLOOKUP((WEEKDAY(Movimientos_2026[[#This Row],[Fecha]],2)),'5. Setup'!$D$6:$E$12,2,FALSE)</f>
        <v>Sab</v>
      </c>
      <c r="E3838" t="str">
        <f>IFERROR(+VLOOKUP(Movimientos_2026[[#This Row],[Codigo]],Plan_cuentas[],2,FALSE)," ")</f>
        <v xml:space="preserve"> </v>
      </c>
      <c r="F3838" t="str">
        <f>IFERROR(+VLOOKUP(Movimientos_2026[[#This Row],[Codigo]],Plan_cuentas[],3,FALSE)," ")</f>
        <v xml:space="preserve"> </v>
      </c>
      <c r="G3838" t="str">
        <f>IFERROR(+VLOOKUP(Movimientos_2026[[#This Row],[Codigo]],Plan_cuentas[],4,FALSE)," ")</f>
        <v xml:space="preserve"> </v>
      </c>
      <c r="H3838" t="str">
        <f>IFERROR(+VLOOKUP(Movimientos_2026[[#This Row],[Codigo]],Plan_cuentas[],5,FALSE)," ")</f>
        <v xml:space="preserve"> </v>
      </c>
      <c r="I3838" s="43"/>
      <c r="K3838" t="str">
        <f>IFERROR(+VLOOKUP(Movimientos_2026[[#This Row],[Codigo]],Plan_cuentas[],6,FALSE)," ")</f>
        <v xml:space="preserve"> </v>
      </c>
      <c r="L3838" s="50"/>
      <c r="M3838" s="50"/>
      <c r="N3838" s="20">
        <f>+Movimientos_2026[[#This Row],[Ingresos]]-Movimientos_2026[[#This Row],[Egresos]]</f>
        <v>0</v>
      </c>
      <c r="O3838" s="20">
        <f>+O3837+Movimientos_2026[[#This Row],[Neto]]</f>
        <v>4581558617.7962294</v>
      </c>
    </row>
    <row r="3839" spans="1:15" x14ac:dyDescent="0.25">
      <c r="A3839" s="13"/>
      <c r="B3839" s="12">
        <f>MONTH(Movimientos_2026[[#This Row],[Fecha]])</f>
        <v>1</v>
      </c>
      <c r="C3839" s="12" t="str">
        <f>VLOOKUP((WEEKDAY(Movimientos_2026[[#This Row],[Fecha]],2)),'5. Setup'!$D$6:$E$12,2,FALSE)</f>
        <v>Sab</v>
      </c>
      <c r="E3839" t="str">
        <f>IFERROR(+VLOOKUP(Movimientos_2026[[#This Row],[Codigo]],Plan_cuentas[],2,FALSE)," ")</f>
        <v xml:space="preserve"> </v>
      </c>
      <c r="F3839" t="str">
        <f>IFERROR(+VLOOKUP(Movimientos_2026[[#This Row],[Codigo]],Plan_cuentas[],3,FALSE)," ")</f>
        <v xml:space="preserve"> </v>
      </c>
      <c r="G3839" t="str">
        <f>IFERROR(+VLOOKUP(Movimientos_2026[[#This Row],[Codigo]],Plan_cuentas[],4,FALSE)," ")</f>
        <v xml:space="preserve"> </v>
      </c>
      <c r="H3839" t="str">
        <f>IFERROR(+VLOOKUP(Movimientos_2026[[#This Row],[Codigo]],Plan_cuentas[],5,FALSE)," ")</f>
        <v xml:space="preserve"> </v>
      </c>
      <c r="I3839" s="43"/>
      <c r="K3839" t="str">
        <f>IFERROR(+VLOOKUP(Movimientos_2026[[#This Row],[Codigo]],Plan_cuentas[],6,FALSE)," ")</f>
        <v xml:space="preserve"> </v>
      </c>
      <c r="L3839" s="50"/>
      <c r="M3839" s="50"/>
      <c r="N3839" s="20">
        <f>+Movimientos_2026[[#This Row],[Ingresos]]-Movimientos_2026[[#This Row],[Egresos]]</f>
        <v>0</v>
      </c>
      <c r="O3839" s="20">
        <f>+O3838+Movimientos_2026[[#This Row],[Neto]]</f>
        <v>4581558617.7962294</v>
      </c>
    </row>
    <row r="3840" spans="1:15" x14ac:dyDescent="0.25">
      <c r="A3840" s="13"/>
      <c r="B3840" s="12">
        <f>MONTH(Movimientos_2026[[#This Row],[Fecha]])</f>
        <v>1</v>
      </c>
      <c r="C3840" s="12" t="str">
        <f>VLOOKUP((WEEKDAY(Movimientos_2026[[#This Row],[Fecha]],2)),'5. Setup'!$D$6:$E$12,2,FALSE)</f>
        <v>Sab</v>
      </c>
      <c r="E3840" t="str">
        <f>IFERROR(+VLOOKUP(Movimientos_2026[[#This Row],[Codigo]],Plan_cuentas[],2,FALSE)," ")</f>
        <v xml:space="preserve"> </v>
      </c>
      <c r="F3840" t="str">
        <f>IFERROR(+VLOOKUP(Movimientos_2026[[#This Row],[Codigo]],Plan_cuentas[],3,FALSE)," ")</f>
        <v xml:space="preserve"> </v>
      </c>
      <c r="G3840" t="str">
        <f>IFERROR(+VLOOKUP(Movimientos_2026[[#This Row],[Codigo]],Plan_cuentas[],4,FALSE)," ")</f>
        <v xml:space="preserve"> </v>
      </c>
      <c r="H3840" t="str">
        <f>IFERROR(+VLOOKUP(Movimientos_2026[[#This Row],[Codigo]],Plan_cuentas[],5,FALSE)," ")</f>
        <v xml:space="preserve"> </v>
      </c>
      <c r="I3840" s="43"/>
      <c r="K3840" t="str">
        <f>IFERROR(+VLOOKUP(Movimientos_2026[[#This Row],[Codigo]],Plan_cuentas[],6,FALSE)," ")</f>
        <v xml:space="preserve"> </v>
      </c>
      <c r="L3840" s="50"/>
      <c r="M3840" s="50"/>
      <c r="N3840" s="20">
        <f>+Movimientos_2026[[#This Row],[Ingresos]]-Movimientos_2026[[#This Row],[Egresos]]</f>
        <v>0</v>
      </c>
      <c r="O3840" s="20">
        <f>+O3839+Movimientos_2026[[#This Row],[Neto]]</f>
        <v>4581558617.7962294</v>
      </c>
    </row>
    <row r="3841" spans="1:15" x14ac:dyDescent="0.25">
      <c r="A3841" s="13"/>
      <c r="B3841" s="12">
        <f>MONTH(Movimientos_2026[[#This Row],[Fecha]])</f>
        <v>1</v>
      </c>
      <c r="C3841" s="12" t="str">
        <f>VLOOKUP((WEEKDAY(Movimientos_2026[[#This Row],[Fecha]],2)),'5. Setup'!$D$6:$E$12,2,FALSE)</f>
        <v>Sab</v>
      </c>
      <c r="E3841" t="str">
        <f>IFERROR(+VLOOKUP(Movimientos_2026[[#This Row],[Codigo]],Plan_cuentas[],2,FALSE)," ")</f>
        <v xml:space="preserve"> </v>
      </c>
      <c r="F3841" t="str">
        <f>IFERROR(+VLOOKUP(Movimientos_2026[[#This Row],[Codigo]],Plan_cuentas[],3,FALSE)," ")</f>
        <v xml:space="preserve"> </v>
      </c>
      <c r="G3841" t="str">
        <f>IFERROR(+VLOOKUP(Movimientos_2026[[#This Row],[Codigo]],Plan_cuentas[],4,FALSE)," ")</f>
        <v xml:space="preserve"> </v>
      </c>
      <c r="H3841" t="str">
        <f>IFERROR(+VLOOKUP(Movimientos_2026[[#This Row],[Codigo]],Plan_cuentas[],5,FALSE)," ")</f>
        <v xml:space="preserve"> </v>
      </c>
      <c r="I3841" s="43"/>
      <c r="K3841" t="str">
        <f>IFERROR(+VLOOKUP(Movimientos_2026[[#This Row],[Codigo]],Plan_cuentas[],6,FALSE)," ")</f>
        <v xml:space="preserve"> </v>
      </c>
      <c r="L3841" s="50"/>
      <c r="M3841" s="50"/>
      <c r="N3841" s="20">
        <f>+Movimientos_2026[[#This Row],[Ingresos]]-Movimientos_2026[[#This Row],[Egresos]]</f>
        <v>0</v>
      </c>
      <c r="O3841" s="20">
        <f>+O3840+Movimientos_2026[[#This Row],[Neto]]</f>
        <v>4581558617.7962294</v>
      </c>
    </row>
    <row r="3842" spans="1:15" x14ac:dyDescent="0.25">
      <c r="A3842" s="13"/>
      <c r="B3842" s="12">
        <f>MONTH(Movimientos_2026[[#This Row],[Fecha]])</f>
        <v>1</v>
      </c>
      <c r="C3842" s="12" t="str">
        <f>VLOOKUP((WEEKDAY(Movimientos_2026[[#This Row],[Fecha]],2)),'5. Setup'!$D$6:$E$12,2,FALSE)</f>
        <v>Sab</v>
      </c>
      <c r="E3842" t="str">
        <f>IFERROR(+VLOOKUP(Movimientos_2026[[#This Row],[Codigo]],Plan_cuentas[],2,FALSE)," ")</f>
        <v xml:space="preserve"> </v>
      </c>
      <c r="F3842" t="str">
        <f>IFERROR(+VLOOKUP(Movimientos_2026[[#This Row],[Codigo]],Plan_cuentas[],3,FALSE)," ")</f>
        <v xml:space="preserve"> </v>
      </c>
      <c r="G3842" t="str">
        <f>IFERROR(+VLOOKUP(Movimientos_2026[[#This Row],[Codigo]],Plan_cuentas[],4,FALSE)," ")</f>
        <v xml:space="preserve"> </v>
      </c>
      <c r="H3842" t="str">
        <f>IFERROR(+VLOOKUP(Movimientos_2026[[#This Row],[Codigo]],Plan_cuentas[],5,FALSE)," ")</f>
        <v xml:space="preserve"> </v>
      </c>
      <c r="I3842" s="43"/>
      <c r="K3842" t="str">
        <f>IFERROR(+VLOOKUP(Movimientos_2026[[#This Row],[Codigo]],Plan_cuentas[],6,FALSE)," ")</f>
        <v xml:space="preserve"> </v>
      </c>
      <c r="L3842" s="50"/>
      <c r="M3842" s="50"/>
      <c r="N3842" s="20">
        <f>+Movimientos_2026[[#This Row],[Ingresos]]-Movimientos_2026[[#This Row],[Egresos]]</f>
        <v>0</v>
      </c>
      <c r="O3842" s="20">
        <f>+O3841+Movimientos_2026[[#This Row],[Neto]]</f>
        <v>4581558617.7962294</v>
      </c>
    </row>
    <row r="3843" spans="1:15" x14ac:dyDescent="0.25">
      <c r="A3843" s="13"/>
      <c r="B3843" s="12">
        <f>MONTH(Movimientos_2026[[#This Row],[Fecha]])</f>
        <v>1</v>
      </c>
      <c r="C3843" s="12" t="str">
        <f>VLOOKUP((WEEKDAY(Movimientos_2026[[#This Row],[Fecha]],2)),'5. Setup'!$D$6:$E$12,2,FALSE)</f>
        <v>Sab</v>
      </c>
      <c r="E3843" t="str">
        <f>IFERROR(+VLOOKUP(Movimientos_2026[[#This Row],[Codigo]],Plan_cuentas[],2,FALSE)," ")</f>
        <v xml:space="preserve"> </v>
      </c>
      <c r="F3843" t="str">
        <f>IFERROR(+VLOOKUP(Movimientos_2026[[#This Row],[Codigo]],Plan_cuentas[],3,FALSE)," ")</f>
        <v xml:space="preserve"> </v>
      </c>
      <c r="G3843" t="str">
        <f>IFERROR(+VLOOKUP(Movimientos_2026[[#This Row],[Codigo]],Plan_cuentas[],4,FALSE)," ")</f>
        <v xml:space="preserve"> </v>
      </c>
      <c r="H3843" t="str">
        <f>IFERROR(+VLOOKUP(Movimientos_2026[[#This Row],[Codigo]],Plan_cuentas[],5,FALSE)," ")</f>
        <v xml:space="preserve"> </v>
      </c>
      <c r="I3843" s="43"/>
      <c r="K3843" t="str">
        <f>IFERROR(+VLOOKUP(Movimientos_2026[[#This Row],[Codigo]],Plan_cuentas[],6,FALSE)," ")</f>
        <v xml:space="preserve"> </v>
      </c>
      <c r="L3843" s="50"/>
      <c r="M3843" s="50"/>
      <c r="N3843" s="20">
        <f>+Movimientos_2026[[#This Row],[Ingresos]]-Movimientos_2026[[#This Row],[Egresos]]</f>
        <v>0</v>
      </c>
      <c r="O3843" s="20">
        <f>+O3842+Movimientos_2026[[#This Row],[Neto]]</f>
        <v>4581558617.7962294</v>
      </c>
    </row>
    <row r="3844" spans="1:15" x14ac:dyDescent="0.25">
      <c r="A3844" s="13"/>
      <c r="B3844" s="12">
        <f>MONTH(Movimientos_2026[[#This Row],[Fecha]])</f>
        <v>1</v>
      </c>
      <c r="C3844" s="12" t="str">
        <f>VLOOKUP((WEEKDAY(Movimientos_2026[[#This Row],[Fecha]],2)),'5. Setup'!$D$6:$E$12,2,FALSE)</f>
        <v>Sab</v>
      </c>
      <c r="E3844" t="str">
        <f>IFERROR(+VLOOKUP(Movimientos_2026[[#This Row],[Codigo]],Plan_cuentas[],2,FALSE)," ")</f>
        <v xml:space="preserve"> </v>
      </c>
      <c r="F3844" t="str">
        <f>IFERROR(+VLOOKUP(Movimientos_2026[[#This Row],[Codigo]],Plan_cuentas[],3,FALSE)," ")</f>
        <v xml:space="preserve"> </v>
      </c>
      <c r="G3844" t="str">
        <f>IFERROR(+VLOOKUP(Movimientos_2026[[#This Row],[Codigo]],Plan_cuentas[],4,FALSE)," ")</f>
        <v xml:space="preserve"> </v>
      </c>
      <c r="H3844" t="str">
        <f>IFERROR(+VLOOKUP(Movimientos_2026[[#This Row],[Codigo]],Plan_cuentas[],5,FALSE)," ")</f>
        <v xml:space="preserve"> </v>
      </c>
      <c r="I3844" s="43"/>
      <c r="K3844" t="str">
        <f>IFERROR(+VLOOKUP(Movimientos_2026[[#This Row],[Codigo]],Plan_cuentas[],6,FALSE)," ")</f>
        <v xml:space="preserve"> </v>
      </c>
      <c r="L3844" s="50"/>
      <c r="M3844" s="50"/>
      <c r="N3844" s="20">
        <f>+Movimientos_2026[[#This Row],[Ingresos]]-Movimientos_2026[[#This Row],[Egresos]]</f>
        <v>0</v>
      </c>
      <c r="O3844" s="20">
        <f>+O3843+Movimientos_2026[[#This Row],[Neto]]</f>
        <v>4581558617.7962294</v>
      </c>
    </row>
    <row r="3845" spans="1:15" x14ac:dyDescent="0.25">
      <c r="A3845" s="13"/>
      <c r="B3845" s="12">
        <f>MONTH(Movimientos_2026[[#This Row],[Fecha]])</f>
        <v>1</v>
      </c>
      <c r="C3845" s="12" t="str">
        <f>VLOOKUP((WEEKDAY(Movimientos_2026[[#This Row],[Fecha]],2)),'5. Setup'!$D$6:$E$12,2,FALSE)</f>
        <v>Sab</v>
      </c>
      <c r="E3845" t="str">
        <f>IFERROR(+VLOOKUP(Movimientos_2026[[#This Row],[Codigo]],Plan_cuentas[],2,FALSE)," ")</f>
        <v xml:space="preserve"> </v>
      </c>
      <c r="F3845" t="str">
        <f>IFERROR(+VLOOKUP(Movimientos_2026[[#This Row],[Codigo]],Plan_cuentas[],3,FALSE)," ")</f>
        <v xml:space="preserve"> </v>
      </c>
      <c r="G3845" t="str">
        <f>IFERROR(+VLOOKUP(Movimientos_2026[[#This Row],[Codigo]],Plan_cuentas[],4,FALSE)," ")</f>
        <v xml:space="preserve"> </v>
      </c>
      <c r="H3845" t="str">
        <f>IFERROR(+VLOOKUP(Movimientos_2026[[#This Row],[Codigo]],Plan_cuentas[],5,FALSE)," ")</f>
        <v xml:space="preserve"> </v>
      </c>
      <c r="I3845" s="43"/>
      <c r="K3845" t="str">
        <f>IFERROR(+VLOOKUP(Movimientos_2026[[#This Row],[Codigo]],Plan_cuentas[],6,FALSE)," ")</f>
        <v xml:space="preserve"> </v>
      </c>
      <c r="L3845" s="50"/>
      <c r="M3845" s="50"/>
      <c r="N3845" s="20">
        <f>+Movimientos_2026[[#This Row],[Ingresos]]-Movimientos_2026[[#This Row],[Egresos]]</f>
        <v>0</v>
      </c>
      <c r="O3845" s="20">
        <f>+O3844+Movimientos_2026[[#This Row],[Neto]]</f>
        <v>4581558617.7962294</v>
      </c>
    </row>
    <row r="3846" spans="1:15" x14ac:dyDescent="0.25">
      <c r="A3846" s="13"/>
      <c r="B3846" s="12">
        <f>MONTH(Movimientos_2026[[#This Row],[Fecha]])</f>
        <v>1</v>
      </c>
      <c r="C3846" s="12" t="str">
        <f>VLOOKUP((WEEKDAY(Movimientos_2026[[#This Row],[Fecha]],2)),'5. Setup'!$D$6:$E$12,2,FALSE)</f>
        <v>Sab</v>
      </c>
      <c r="E3846" t="str">
        <f>IFERROR(+VLOOKUP(Movimientos_2026[[#This Row],[Codigo]],Plan_cuentas[],2,FALSE)," ")</f>
        <v xml:space="preserve"> </v>
      </c>
      <c r="F3846" t="str">
        <f>IFERROR(+VLOOKUP(Movimientos_2026[[#This Row],[Codigo]],Plan_cuentas[],3,FALSE)," ")</f>
        <v xml:space="preserve"> </v>
      </c>
      <c r="G3846" t="str">
        <f>IFERROR(+VLOOKUP(Movimientos_2026[[#This Row],[Codigo]],Plan_cuentas[],4,FALSE)," ")</f>
        <v xml:space="preserve"> </v>
      </c>
      <c r="H3846" t="str">
        <f>IFERROR(+VLOOKUP(Movimientos_2026[[#This Row],[Codigo]],Plan_cuentas[],5,FALSE)," ")</f>
        <v xml:space="preserve"> </v>
      </c>
      <c r="I3846" s="43"/>
      <c r="K3846" t="str">
        <f>IFERROR(+VLOOKUP(Movimientos_2026[[#This Row],[Codigo]],Plan_cuentas[],6,FALSE)," ")</f>
        <v xml:space="preserve"> </v>
      </c>
      <c r="L3846" s="50"/>
      <c r="M3846" s="50"/>
      <c r="N3846" s="20">
        <f>+Movimientos_2026[[#This Row],[Ingresos]]-Movimientos_2026[[#This Row],[Egresos]]</f>
        <v>0</v>
      </c>
      <c r="O3846" s="20">
        <f>+O3845+Movimientos_2026[[#This Row],[Neto]]</f>
        <v>4581558617.7962294</v>
      </c>
    </row>
    <row r="3847" spans="1:15" x14ac:dyDescent="0.25">
      <c r="A3847" s="13"/>
      <c r="B3847" s="12">
        <f>MONTH(Movimientos_2026[[#This Row],[Fecha]])</f>
        <v>1</v>
      </c>
      <c r="C3847" s="12" t="str">
        <f>VLOOKUP((WEEKDAY(Movimientos_2026[[#This Row],[Fecha]],2)),'5. Setup'!$D$6:$E$12,2,FALSE)</f>
        <v>Sab</v>
      </c>
      <c r="E3847" t="str">
        <f>IFERROR(+VLOOKUP(Movimientos_2026[[#This Row],[Codigo]],Plan_cuentas[],2,FALSE)," ")</f>
        <v xml:space="preserve"> </v>
      </c>
      <c r="F3847" t="str">
        <f>IFERROR(+VLOOKUP(Movimientos_2026[[#This Row],[Codigo]],Plan_cuentas[],3,FALSE)," ")</f>
        <v xml:space="preserve"> </v>
      </c>
      <c r="G3847" t="str">
        <f>IFERROR(+VLOOKUP(Movimientos_2026[[#This Row],[Codigo]],Plan_cuentas[],4,FALSE)," ")</f>
        <v xml:space="preserve"> </v>
      </c>
      <c r="H3847" t="str">
        <f>IFERROR(+VLOOKUP(Movimientos_2026[[#This Row],[Codigo]],Plan_cuentas[],5,FALSE)," ")</f>
        <v xml:space="preserve"> </v>
      </c>
      <c r="I3847" s="43"/>
      <c r="K3847" t="str">
        <f>IFERROR(+VLOOKUP(Movimientos_2026[[#This Row],[Codigo]],Plan_cuentas[],6,FALSE)," ")</f>
        <v xml:space="preserve"> </v>
      </c>
      <c r="L3847" s="50"/>
      <c r="M3847" s="50"/>
      <c r="N3847" s="20">
        <f>+Movimientos_2026[[#This Row],[Ingresos]]-Movimientos_2026[[#This Row],[Egresos]]</f>
        <v>0</v>
      </c>
      <c r="O3847" s="20">
        <f>+O3846+Movimientos_2026[[#This Row],[Neto]]</f>
        <v>4581558617.7962294</v>
      </c>
    </row>
    <row r="3848" spans="1:15" x14ac:dyDescent="0.25">
      <c r="A3848" s="13"/>
      <c r="B3848" s="12">
        <f>MONTH(Movimientos_2026[[#This Row],[Fecha]])</f>
        <v>1</v>
      </c>
      <c r="C3848" s="12" t="str">
        <f>VLOOKUP((WEEKDAY(Movimientos_2026[[#This Row],[Fecha]],2)),'5. Setup'!$D$6:$E$12,2,FALSE)</f>
        <v>Sab</v>
      </c>
      <c r="E3848" t="str">
        <f>IFERROR(+VLOOKUP(Movimientos_2026[[#This Row],[Codigo]],Plan_cuentas[],2,FALSE)," ")</f>
        <v xml:space="preserve"> </v>
      </c>
      <c r="F3848" t="str">
        <f>IFERROR(+VLOOKUP(Movimientos_2026[[#This Row],[Codigo]],Plan_cuentas[],3,FALSE)," ")</f>
        <v xml:space="preserve"> </v>
      </c>
      <c r="G3848" t="str">
        <f>IFERROR(+VLOOKUP(Movimientos_2026[[#This Row],[Codigo]],Plan_cuentas[],4,FALSE)," ")</f>
        <v xml:space="preserve"> </v>
      </c>
      <c r="H3848" t="str">
        <f>IFERROR(+VLOOKUP(Movimientos_2026[[#This Row],[Codigo]],Plan_cuentas[],5,FALSE)," ")</f>
        <v xml:space="preserve"> </v>
      </c>
      <c r="I3848" s="43"/>
      <c r="K3848" t="str">
        <f>IFERROR(+VLOOKUP(Movimientos_2026[[#This Row],[Codigo]],Plan_cuentas[],6,FALSE)," ")</f>
        <v xml:space="preserve"> </v>
      </c>
      <c r="L3848" s="50"/>
      <c r="M3848" s="50"/>
      <c r="N3848" s="20">
        <f>+Movimientos_2026[[#This Row],[Ingresos]]-Movimientos_2026[[#This Row],[Egresos]]</f>
        <v>0</v>
      </c>
      <c r="O3848" s="20">
        <f>+O3847+Movimientos_2026[[#This Row],[Neto]]</f>
        <v>4581558617.7962294</v>
      </c>
    </row>
    <row r="3849" spans="1:15" x14ac:dyDescent="0.25">
      <c r="A3849" s="13"/>
      <c r="B3849" s="12">
        <f>MONTH(Movimientos_2026[[#This Row],[Fecha]])</f>
        <v>1</v>
      </c>
      <c r="C3849" s="12" t="str">
        <f>VLOOKUP((WEEKDAY(Movimientos_2026[[#This Row],[Fecha]],2)),'5. Setup'!$D$6:$E$12,2,FALSE)</f>
        <v>Sab</v>
      </c>
      <c r="E3849" t="str">
        <f>IFERROR(+VLOOKUP(Movimientos_2026[[#This Row],[Codigo]],Plan_cuentas[],2,FALSE)," ")</f>
        <v xml:space="preserve"> </v>
      </c>
      <c r="F3849" t="str">
        <f>IFERROR(+VLOOKUP(Movimientos_2026[[#This Row],[Codigo]],Plan_cuentas[],3,FALSE)," ")</f>
        <v xml:space="preserve"> </v>
      </c>
      <c r="G3849" t="str">
        <f>IFERROR(+VLOOKUP(Movimientos_2026[[#This Row],[Codigo]],Plan_cuentas[],4,FALSE)," ")</f>
        <v xml:space="preserve"> </v>
      </c>
      <c r="H3849" t="str">
        <f>IFERROR(+VLOOKUP(Movimientos_2026[[#This Row],[Codigo]],Plan_cuentas[],5,FALSE)," ")</f>
        <v xml:space="preserve"> </v>
      </c>
      <c r="I3849" s="43"/>
      <c r="K3849" t="str">
        <f>IFERROR(+VLOOKUP(Movimientos_2026[[#This Row],[Codigo]],Plan_cuentas[],6,FALSE)," ")</f>
        <v xml:space="preserve"> </v>
      </c>
      <c r="L3849" s="50"/>
      <c r="M3849" s="50"/>
      <c r="N3849" s="20">
        <f>+Movimientos_2026[[#This Row],[Ingresos]]-Movimientos_2026[[#This Row],[Egresos]]</f>
        <v>0</v>
      </c>
      <c r="O3849" s="20">
        <f>+O3848+Movimientos_2026[[#This Row],[Neto]]</f>
        <v>4581558617.7962294</v>
      </c>
    </row>
    <row r="3850" spans="1:15" x14ac:dyDescent="0.25">
      <c r="A3850" s="13"/>
      <c r="B3850" s="12">
        <f>MONTH(Movimientos_2026[[#This Row],[Fecha]])</f>
        <v>1</v>
      </c>
      <c r="C3850" s="12" t="str">
        <f>VLOOKUP((WEEKDAY(Movimientos_2026[[#This Row],[Fecha]],2)),'5. Setup'!$D$6:$E$12,2,FALSE)</f>
        <v>Sab</v>
      </c>
      <c r="E3850" t="str">
        <f>IFERROR(+VLOOKUP(Movimientos_2026[[#This Row],[Codigo]],Plan_cuentas[],2,FALSE)," ")</f>
        <v xml:space="preserve"> </v>
      </c>
      <c r="F3850" t="str">
        <f>IFERROR(+VLOOKUP(Movimientos_2026[[#This Row],[Codigo]],Plan_cuentas[],3,FALSE)," ")</f>
        <v xml:space="preserve"> </v>
      </c>
      <c r="G3850" t="str">
        <f>IFERROR(+VLOOKUP(Movimientos_2026[[#This Row],[Codigo]],Plan_cuentas[],4,FALSE)," ")</f>
        <v xml:space="preserve"> </v>
      </c>
      <c r="H3850" t="str">
        <f>IFERROR(+VLOOKUP(Movimientos_2026[[#This Row],[Codigo]],Plan_cuentas[],5,FALSE)," ")</f>
        <v xml:space="preserve"> </v>
      </c>
      <c r="I3850" s="43"/>
      <c r="K3850" t="str">
        <f>IFERROR(+VLOOKUP(Movimientos_2026[[#This Row],[Codigo]],Plan_cuentas[],6,FALSE)," ")</f>
        <v xml:space="preserve"> </v>
      </c>
      <c r="L3850" s="50"/>
      <c r="M3850" s="50"/>
      <c r="N3850" s="20">
        <f>+Movimientos_2026[[#This Row],[Ingresos]]-Movimientos_2026[[#This Row],[Egresos]]</f>
        <v>0</v>
      </c>
      <c r="O3850" s="20">
        <f>+O3849+Movimientos_2026[[#This Row],[Neto]]</f>
        <v>4581558617.7962294</v>
      </c>
    </row>
    <row r="3851" spans="1:15" x14ac:dyDescent="0.25">
      <c r="A3851" s="13"/>
      <c r="B3851" s="12">
        <f>MONTH(Movimientos_2026[[#This Row],[Fecha]])</f>
        <v>1</v>
      </c>
      <c r="C3851" s="12" t="str">
        <f>VLOOKUP((WEEKDAY(Movimientos_2026[[#This Row],[Fecha]],2)),'5. Setup'!$D$6:$E$12,2,FALSE)</f>
        <v>Sab</v>
      </c>
      <c r="E3851" t="str">
        <f>IFERROR(+VLOOKUP(Movimientos_2026[[#This Row],[Codigo]],Plan_cuentas[],2,FALSE)," ")</f>
        <v xml:space="preserve"> </v>
      </c>
      <c r="F3851" t="str">
        <f>IFERROR(+VLOOKUP(Movimientos_2026[[#This Row],[Codigo]],Plan_cuentas[],3,FALSE)," ")</f>
        <v xml:space="preserve"> </v>
      </c>
      <c r="G3851" t="str">
        <f>IFERROR(+VLOOKUP(Movimientos_2026[[#This Row],[Codigo]],Plan_cuentas[],4,FALSE)," ")</f>
        <v xml:space="preserve"> </v>
      </c>
      <c r="H3851" t="str">
        <f>IFERROR(+VLOOKUP(Movimientos_2026[[#This Row],[Codigo]],Plan_cuentas[],5,FALSE)," ")</f>
        <v xml:space="preserve"> </v>
      </c>
      <c r="I3851" s="43"/>
      <c r="K3851" t="str">
        <f>IFERROR(+VLOOKUP(Movimientos_2026[[#This Row],[Codigo]],Plan_cuentas[],6,FALSE)," ")</f>
        <v xml:space="preserve"> </v>
      </c>
      <c r="L3851" s="50"/>
      <c r="M3851" s="50"/>
      <c r="N3851" s="20">
        <f>+Movimientos_2026[[#This Row],[Ingresos]]-Movimientos_2026[[#This Row],[Egresos]]</f>
        <v>0</v>
      </c>
      <c r="O3851" s="20">
        <f>+O3850+Movimientos_2026[[#This Row],[Neto]]</f>
        <v>4581558617.7962294</v>
      </c>
    </row>
    <row r="3852" spans="1:15" x14ac:dyDescent="0.25">
      <c r="A3852" s="13"/>
      <c r="B3852" s="12">
        <f>MONTH(Movimientos_2026[[#This Row],[Fecha]])</f>
        <v>1</v>
      </c>
      <c r="C3852" s="12" t="str">
        <f>VLOOKUP((WEEKDAY(Movimientos_2026[[#This Row],[Fecha]],2)),'5. Setup'!$D$6:$E$12,2,FALSE)</f>
        <v>Sab</v>
      </c>
      <c r="E3852" t="str">
        <f>IFERROR(+VLOOKUP(Movimientos_2026[[#This Row],[Codigo]],Plan_cuentas[],2,FALSE)," ")</f>
        <v xml:space="preserve"> </v>
      </c>
      <c r="F3852" t="str">
        <f>IFERROR(+VLOOKUP(Movimientos_2026[[#This Row],[Codigo]],Plan_cuentas[],3,FALSE)," ")</f>
        <v xml:space="preserve"> </v>
      </c>
      <c r="G3852" t="str">
        <f>IFERROR(+VLOOKUP(Movimientos_2026[[#This Row],[Codigo]],Plan_cuentas[],4,FALSE)," ")</f>
        <v xml:space="preserve"> </v>
      </c>
      <c r="H3852" t="str">
        <f>IFERROR(+VLOOKUP(Movimientos_2026[[#This Row],[Codigo]],Plan_cuentas[],5,FALSE)," ")</f>
        <v xml:space="preserve"> </v>
      </c>
      <c r="I3852" s="43"/>
      <c r="K3852" t="str">
        <f>IFERROR(+VLOOKUP(Movimientos_2026[[#This Row],[Codigo]],Plan_cuentas[],6,FALSE)," ")</f>
        <v xml:space="preserve"> </v>
      </c>
      <c r="L3852" s="50"/>
      <c r="M3852" s="50"/>
      <c r="N3852" s="20">
        <f>+Movimientos_2026[[#This Row],[Ingresos]]-Movimientos_2026[[#This Row],[Egresos]]</f>
        <v>0</v>
      </c>
      <c r="O3852" s="20">
        <f>+O3851+Movimientos_2026[[#This Row],[Neto]]</f>
        <v>4581558617.7962294</v>
      </c>
    </row>
    <row r="3853" spans="1:15" x14ac:dyDescent="0.25">
      <c r="A3853" s="13"/>
      <c r="B3853" s="12">
        <f>MONTH(Movimientos_2026[[#This Row],[Fecha]])</f>
        <v>1</v>
      </c>
      <c r="C3853" s="12" t="str">
        <f>VLOOKUP((WEEKDAY(Movimientos_2026[[#This Row],[Fecha]],2)),'5. Setup'!$D$6:$E$12,2,FALSE)</f>
        <v>Sab</v>
      </c>
      <c r="E3853" t="str">
        <f>IFERROR(+VLOOKUP(Movimientos_2026[[#This Row],[Codigo]],Plan_cuentas[],2,FALSE)," ")</f>
        <v xml:space="preserve"> </v>
      </c>
      <c r="F3853" t="str">
        <f>IFERROR(+VLOOKUP(Movimientos_2026[[#This Row],[Codigo]],Plan_cuentas[],3,FALSE)," ")</f>
        <v xml:space="preserve"> </v>
      </c>
      <c r="G3853" t="str">
        <f>IFERROR(+VLOOKUP(Movimientos_2026[[#This Row],[Codigo]],Plan_cuentas[],4,FALSE)," ")</f>
        <v xml:space="preserve"> </v>
      </c>
      <c r="H3853" t="str">
        <f>IFERROR(+VLOOKUP(Movimientos_2026[[#This Row],[Codigo]],Plan_cuentas[],5,FALSE)," ")</f>
        <v xml:space="preserve"> </v>
      </c>
      <c r="I3853" s="43"/>
      <c r="K3853" t="str">
        <f>IFERROR(+VLOOKUP(Movimientos_2026[[#This Row],[Codigo]],Plan_cuentas[],6,FALSE)," ")</f>
        <v xml:space="preserve"> </v>
      </c>
      <c r="L3853" s="50"/>
      <c r="M3853" s="50"/>
      <c r="N3853" s="20">
        <f>+Movimientos_2026[[#This Row],[Ingresos]]-Movimientos_2026[[#This Row],[Egresos]]</f>
        <v>0</v>
      </c>
      <c r="O3853" s="20">
        <f>+O3852+Movimientos_2026[[#This Row],[Neto]]</f>
        <v>4581558617.7962294</v>
      </c>
    </row>
    <row r="3854" spans="1:15" x14ac:dyDescent="0.25">
      <c r="A3854" s="13"/>
      <c r="B3854" s="12">
        <f>MONTH(Movimientos_2026[[#This Row],[Fecha]])</f>
        <v>1</v>
      </c>
      <c r="C3854" s="12" t="str">
        <f>VLOOKUP((WEEKDAY(Movimientos_2026[[#This Row],[Fecha]],2)),'5. Setup'!$D$6:$E$12,2,FALSE)</f>
        <v>Sab</v>
      </c>
      <c r="E3854" t="str">
        <f>IFERROR(+VLOOKUP(Movimientos_2026[[#This Row],[Codigo]],Plan_cuentas[],2,FALSE)," ")</f>
        <v xml:space="preserve"> </v>
      </c>
      <c r="F3854" t="str">
        <f>IFERROR(+VLOOKUP(Movimientos_2026[[#This Row],[Codigo]],Plan_cuentas[],3,FALSE)," ")</f>
        <v xml:space="preserve"> </v>
      </c>
      <c r="G3854" t="str">
        <f>IFERROR(+VLOOKUP(Movimientos_2026[[#This Row],[Codigo]],Plan_cuentas[],4,FALSE)," ")</f>
        <v xml:space="preserve"> </v>
      </c>
      <c r="H3854" t="str">
        <f>IFERROR(+VLOOKUP(Movimientos_2026[[#This Row],[Codigo]],Plan_cuentas[],5,FALSE)," ")</f>
        <v xml:space="preserve"> </v>
      </c>
      <c r="I3854" s="43"/>
      <c r="K3854" t="str">
        <f>IFERROR(+VLOOKUP(Movimientos_2026[[#This Row],[Codigo]],Plan_cuentas[],6,FALSE)," ")</f>
        <v xml:space="preserve"> </v>
      </c>
      <c r="L3854" s="50"/>
      <c r="M3854" s="50"/>
      <c r="N3854" s="20">
        <f>+Movimientos_2026[[#This Row],[Ingresos]]-Movimientos_2026[[#This Row],[Egresos]]</f>
        <v>0</v>
      </c>
      <c r="O3854" s="20">
        <f>+O3853+Movimientos_2026[[#This Row],[Neto]]</f>
        <v>4581558617.7962294</v>
      </c>
    </row>
    <row r="3855" spans="1:15" x14ac:dyDescent="0.25">
      <c r="A3855" s="13"/>
      <c r="B3855" s="12">
        <f>MONTH(Movimientos_2026[[#This Row],[Fecha]])</f>
        <v>1</v>
      </c>
      <c r="C3855" s="12" t="str">
        <f>VLOOKUP((WEEKDAY(Movimientos_2026[[#This Row],[Fecha]],2)),'5. Setup'!$D$6:$E$12,2,FALSE)</f>
        <v>Sab</v>
      </c>
      <c r="E3855" t="str">
        <f>IFERROR(+VLOOKUP(Movimientos_2026[[#This Row],[Codigo]],Plan_cuentas[],2,FALSE)," ")</f>
        <v xml:space="preserve"> </v>
      </c>
      <c r="F3855" t="str">
        <f>IFERROR(+VLOOKUP(Movimientos_2026[[#This Row],[Codigo]],Plan_cuentas[],3,FALSE)," ")</f>
        <v xml:space="preserve"> </v>
      </c>
      <c r="G3855" t="str">
        <f>IFERROR(+VLOOKUP(Movimientos_2026[[#This Row],[Codigo]],Plan_cuentas[],4,FALSE)," ")</f>
        <v xml:space="preserve"> </v>
      </c>
      <c r="H3855" t="str">
        <f>IFERROR(+VLOOKUP(Movimientos_2026[[#This Row],[Codigo]],Plan_cuentas[],5,FALSE)," ")</f>
        <v xml:space="preserve"> </v>
      </c>
      <c r="I3855" s="43"/>
      <c r="K3855" t="str">
        <f>IFERROR(+VLOOKUP(Movimientos_2026[[#This Row],[Codigo]],Plan_cuentas[],6,FALSE)," ")</f>
        <v xml:space="preserve"> </v>
      </c>
      <c r="L3855" s="50"/>
      <c r="M3855" s="50"/>
      <c r="N3855" s="20">
        <f>+Movimientos_2026[[#This Row],[Ingresos]]-Movimientos_2026[[#This Row],[Egresos]]</f>
        <v>0</v>
      </c>
      <c r="O3855" s="20">
        <f>+O3854+Movimientos_2026[[#This Row],[Neto]]</f>
        <v>4581558617.7962294</v>
      </c>
    </row>
    <row r="3856" spans="1:15" x14ac:dyDescent="0.25">
      <c r="A3856" s="13"/>
      <c r="B3856" s="12">
        <f>MONTH(Movimientos_2026[[#This Row],[Fecha]])</f>
        <v>1</v>
      </c>
      <c r="C3856" s="12" t="str">
        <f>VLOOKUP((WEEKDAY(Movimientos_2026[[#This Row],[Fecha]],2)),'5. Setup'!$D$6:$E$12,2,FALSE)</f>
        <v>Sab</v>
      </c>
      <c r="E3856" t="str">
        <f>IFERROR(+VLOOKUP(Movimientos_2026[[#This Row],[Codigo]],Plan_cuentas[],2,FALSE)," ")</f>
        <v xml:space="preserve"> </v>
      </c>
      <c r="F3856" t="str">
        <f>IFERROR(+VLOOKUP(Movimientos_2026[[#This Row],[Codigo]],Plan_cuentas[],3,FALSE)," ")</f>
        <v xml:space="preserve"> </v>
      </c>
      <c r="G3856" t="str">
        <f>IFERROR(+VLOOKUP(Movimientos_2026[[#This Row],[Codigo]],Plan_cuentas[],4,FALSE)," ")</f>
        <v xml:space="preserve"> </v>
      </c>
      <c r="H3856" t="str">
        <f>IFERROR(+VLOOKUP(Movimientos_2026[[#This Row],[Codigo]],Plan_cuentas[],5,FALSE)," ")</f>
        <v xml:space="preserve"> </v>
      </c>
      <c r="I3856" s="43"/>
      <c r="K3856" t="str">
        <f>IFERROR(+VLOOKUP(Movimientos_2026[[#This Row],[Codigo]],Plan_cuentas[],6,FALSE)," ")</f>
        <v xml:space="preserve"> </v>
      </c>
      <c r="L3856" s="50"/>
      <c r="M3856" s="50"/>
      <c r="N3856" s="20">
        <f>+Movimientos_2026[[#This Row],[Ingresos]]-Movimientos_2026[[#This Row],[Egresos]]</f>
        <v>0</v>
      </c>
      <c r="O3856" s="20">
        <f>+O3855+Movimientos_2026[[#This Row],[Neto]]</f>
        <v>4581558617.7962294</v>
      </c>
    </row>
    <row r="3857" spans="1:15" x14ac:dyDescent="0.25">
      <c r="A3857" s="13"/>
      <c r="B3857" s="12">
        <f>MONTH(Movimientos_2026[[#This Row],[Fecha]])</f>
        <v>1</v>
      </c>
      <c r="C3857" s="12" t="str">
        <f>VLOOKUP((WEEKDAY(Movimientos_2026[[#This Row],[Fecha]],2)),'5. Setup'!$D$6:$E$12,2,FALSE)</f>
        <v>Sab</v>
      </c>
      <c r="E3857" t="str">
        <f>IFERROR(+VLOOKUP(Movimientos_2026[[#This Row],[Codigo]],Plan_cuentas[],2,FALSE)," ")</f>
        <v xml:space="preserve"> </v>
      </c>
      <c r="F3857" t="str">
        <f>IFERROR(+VLOOKUP(Movimientos_2026[[#This Row],[Codigo]],Plan_cuentas[],3,FALSE)," ")</f>
        <v xml:space="preserve"> </v>
      </c>
      <c r="G3857" t="str">
        <f>IFERROR(+VLOOKUP(Movimientos_2026[[#This Row],[Codigo]],Plan_cuentas[],4,FALSE)," ")</f>
        <v xml:space="preserve"> </v>
      </c>
      <c r="H3857" t="str">
        <f>IFERROR(+VLOOKUP(Movimientos_2026[[#This Row],[Codigo]],Plan_cuentas[],5,FALSE)," ")</f>
        <v xml:space="preserve"> </v>
      </c>
      <c r="I3857" s="43"/>
      <c r="K3857" t="str">
        <f>IFERROR(+VLOOKUP(Movimientos_2026[[#This Row],[Codigo]],Plan_cuentas[],6,FALSE)," ")</f>
        <v xml:space="preserve"> </v>
      </c>
      <c r="L3857" s="50"/>
      <c r="M3857" s="50"/>
      <c r="N3857" s="20">
        <f>+Movimientos_2026[[#This Row],[Ingresos]]-Movimientos_2026[[#This Row],[Egresos]]</f>
        <v>0</v>
      </c>
      <c r="O3857" s="20">
        <f>+O3856+Movimientos_2026[[#This Row],[Neto]]</f>
        <v>4581558617.7962294</v>
      </c>
    </row>
    <row r="3858" spans="1:15" x14ac:dyDescent="0.25">
      <c r="A3858" s="13"/>
      <c r="B3858" s="12">
        <f>MONTH(Movimientos_2026[[#This Row],[Fecha]])</f>
        <v>1</v>
      </c>
      <c r="C3858" s="12" t="str">
        <f>VLOOKUP((WEEKDAY(Movimientos_2026[[#This Row],[Fecha]],2)),'5. Setup'!$D$6:$E$12,2,FALSE)</f>
        <v>Sab</v>
      </c>
      <c r="E3858" t="str">
        <f>IFERROR(+VLOOKUP(Movimientos_2026[[#This Row],[Codigo]],Plan_cuentas[],2,FALSE)," ")</f>
        <v xml:space="preserve"> </v>
      </c>
      <c r="F3858" t="str">
        <f>IFERROR(+VLOOKUP(Movimientos_2026[[#This Row],[Codigo]],Plan_cuentas[],3,FALSE)," ")</f>
        <v xml:space="preserve"> </v>
      </c>
      <c r="G3858" t="str">
        <f>IFERROR(+VLOOKUP(Movimientos_2026[[#This Row],[Codigo]],Plan_cuentas[],4,FALSE)," ")</f>
        <v xml:space="preserve"> </v>
      </c>
      <c r="H3858" t="str">
        <f>IFERROR(+VLOOKUP(Movimientos_2026[[#This Row],[Codigo]],Plan_cuentas[],5,FALSE)," ")</f>
        <v xml:space="preserve"> </v>
      </c>
      <c r="I3858" s="43"/>
      <c r="K3858" t="str">
        <f>IFERROR(+VLOOKUP(Movimientos_2026[[#This Row],[Codigo]],Plan_cuentas[],6,FALSE)," ")</f>
        <v xml:space="preserve"> </v>
      </c>
      <c r="L3858" s="50"/>
      <c r="M3858" s="50"/>
      <c r="N3858" s="20">
        <f>+Movimientos_2026[[#This Row],[Ingresos]]-Movimientos_2026[[#This Row],[Egresos]]</f>
        <v>0</v>
      </c>
      <c r="O3858" s="20">
        <f>+O3857+Movimientos_2026[[#This Row],[Neto]]</f>
        <v>4581558617.7962294</v>
      </c>
    </row>
    <row r="3859" spans="1:15" x14ac:dyDescent="0.25">
      <c r="A3859" s="13"/>
      <c r="B3859" s="12">
        <f>MONTH(Movimientos_2026[[#This Row],[Fecha]])</f>
        <v>1</v>
      </c>
      <c r="C3859" s="12" t="str">
        <f>VLOOKUP((WEEKDAY(Movimientos_2026[[#This Row],[Fecha]],2)),'5. Setup'!$D$6:$E$12,2,FALSE)</f>
        <v>Sab</v>
      </c>
      <c r="E3859" t="str">
        <f>IFERROR(+VLOOKUP(Movimientos_2026[[#This Row],[Codigo]],Plan_cuentas[],2,FALSE)," ")</f>
        <v xml:space="preserve"> </v>
      </c>
      <c r="F3859" t="str">
        <f>IFERROR(+VLOOKUP(Movimientos_2026[[#This Row],[Codigo]],Plan_cuentas[],3,FALSE)," ")</f>
        <v xml:space="preserve"> </v>
      </c>
      <c r="G3859" t="str">
        <f>IFERROR(+VLOOKUP(Movimientos_2026[[#This Row],[Codigo]],Plan_cuentas[],4,FALSE)," ")</f>
        <v xml:space="preserve"> </v>
      </c>
      <c r="H3859" t="str">
        <f>IFERROR(+VLOOKUP(Movimientos_2026[[#This Row],[Codigo]],Plan_cuentas[],5,FALSE)," ")</f>
        <v xml:space="preserve"> </v>
      </c>
      <c r="I3859" s="43"/>
      <c r="K3859" t="str">
        <f>IFERROR(+VLOOKUP(Movimientos_2026[[#This Row],[Codigo]],Plan_cuentas[],6,FALSE)," ")</f>
        <v xml:space="preserve"> </v>
      </c>
      <c r="L3859" s="50"/>
      <c r="M3859" s="50"/>
      <c r="N3859" s="20">
        <f>+Movimientos_2026[[#This Row],[Ingresos]]-Movimientos_2026[[#This Row],[Egresos]]</f>
        <v>0</v>
      </c>
      <c r="O3859" s="20">
        <f>+O3858+Movimientos_2026[[#This Row],[Neto]]</f>
        <v>4581558617.7962294</v>
      </c>
    </row>
    <row r="3860" spans="1:15" x14ac:dyDescent="0.25">
      <c r="A3860" s="13"/>
      <c r="B3860" s="12">
        <f>MONTH(Movimientos_2026[[#This Row],[Fecha]])</f>
        <v>1</v>
      </c>
      <c r="C3860" s="12" t="str">
        <f>VLOOKUP((WEEKDAY(Movimientos_2026[[#This Row],[Fecha]],2)),'5. Setup'!$D$6:$E$12,2,FALSE)</f>
        <v>Sab</v>
      </c>
      <c r="E3860" t="str">
        <f>IFERROR(+VLOOKUP(Movimientos_2026[[#This Row],[Codigo]],Plan_cuentas[],2,FALSE)," ")</f>
        <v xml:space="preserve"> </v>
      </c>
      <c r="F3860" t="str">
        <f>IFERROR(+VLOOKUP(Movimientos_2026[[#This Row],[Codigo]],Plan_cuentas[],3,FALSE)," ")</f>
        <v xml:space="preserve"> </v>
      </c>
      <c r="G3860" t="str">
        <f>IFERROR(+VLOOKUP(Movimientos_2026[[#This Row],[Codigo]],Plan_cuentas[],4,FALSE)," ")</f>
        <v xml:space="preserve"> </v>
      </c>
      <c r="H3860" t="str">
        <f>IFERROR(+VLOOKUP(Movimientos_2026[[#This Row],[Codigo]],Plan_cuentas[],5,FALSE)," ")</f>
        <v xml:space="preserve"> </v>
      </c>
      <c r="I3860" s="43"/>
      <c r="K3860" t="str">
        <f>IFERROR(+VLOOKUP(Movimientos_2026[[#This Row],[Codigo]],Plan_cuentas[],6,FALSE)," ")</f>
        <v xml:space="preserve"> </v>
      </c>
      <c r="L3860" s="50"/>
      <c r="M3860" s="50"/>
      <c r="N3860" s="20">
        <f>+Movimientos_2026[[#This Row],[Ingresos]]-Movimientos_2026[[#This Row],[Egresos]]</f>
        <v>0</v>
      </c>
      <c r="O3860" s="20">
        <f>+O3859+Movimientos_2026[[#This Row],[Neto]]</f>
        <v>4581558617.7962294</v>
      </c>
    </row>
    <row r="3861" spans="1:15" x14ac:dyDescent="0.25">
      <c r="A3861" s="13"/>
      <c r="B3861" s="12">
        <f>MONTH(Movimientos_2026[[#This Row],[Fecha]])</f>
        <v>1</v>
      </c>
      <c r="C3861" s="12" t="str">
        <f>VLOOKUP((WEEKDAY(Movimientos_2026[[#This Row],[Fecha]],2)),'5. Setup'!$D$6:$E$12,2,FALSE)</f>
        <v>Sab</v>
      </c>
      <c r="E3861" t="str">
        <f>IFERROR(+VLOOKUP(Movimientos_2026[[#This Row],[Codigo]],Plan_cuentas[],2,FALSE)," ")</f>
        <v xml:space="preserve"> </v>
      </c>
      <c r="F3861" t="str">
        <f>IFERROR(+VLOOKUP(Movimientos_2026[[#This Row],[Codigo]],Plan_cuentas[],3,FALSE)," ")</f>
        <v xml:space="preserve"> </v>
      </c>
      <c r="G3861" t="str">
        <f>IFERROR(+VLOOKUP(Movimientos_2026[[#This Row],[Codigo]],Plan_cuentas[],4,FALSE)," ")</f>
        <v xml:space="preserve"> </v>
      </c>
      <c r="H3861" t="str">
        <f>IFERROR(+VLOOKUP(Movimientos_2026[[#This Row],[Codigo]],Plan_cuentas[],5,FALSE)," ")</f>
        <v xml:space="preserve"> </v>
      </c>
      <c r="I3861" s="43"/>
      <c r="K3861" t="str">
        <f>IFERROR(+VLOOKUP(Movimientos_2026[[#This Row],[Codigo]],Plan_cuentas[],6,FALSE)," ")</f>
        <v xml:space="preserve"> </v>
      </c>
      <c r="L3861" s="50"/>
      <c r="M3861" s="50"/>
      <c r="N3861" s="20">
        <f>+Movimientos_2026[[#This Row],[Ingresos]]-Movimientos_2026[[#This Row],[Egresos]]</f>
        <v>0</v>
      </c>
      <c r="O3861" s="20">
        <f>+O3860+Movimientos_2026[[#This Row],[Neto]]</f>
        <v>4581558617.7962294</v>
      </c>
    </row>
    <row r="3862" spans="1:15" x14ac:dyDescent="0.25">
      <c r="A3862" s="13"/>
      <c r="B3862" s="12">
        <f>MONTH(Movimientos_2026[[#This Row],[Fecha]])</f>
        <v>1</v>
      </c>
      <c r="C3862" s="12" t="str">
        <f>VLOOKUP((WEEKDAY(Movimientos_2026[[#This Row],[Fecha]],2)),'5. Setup'!$D$6:$E$12,2,FALSE)</f>
        <v>Sab</v>
      </c>
      <c r="E3862" t="str">
        <f>IFERROR(+VLOOKUP(Movimientos_2026[[#This Row],[Codigo]],Plan_cuentas[],2,FALSE)," ")</f>
        <v xml:space="preserve"> </v>
      </c>
      <c r="F3862" t="str">
        <f>IFERROR(+VLOOKUP(Movimientos_2026[[#This Row],[Codigo]],Plan_cuentas[],3,FALSE)," ")</f>
        <v xml:space="preserve"> </v>
      </c>
      <c r="G3862" t="str">
        <f>IFERROR(+VLOOKUP(Movimientos_2026[[#This Row],[Codigo]],Plan_cuentas[],4,FALSE)," ")</f>
        <v xml:space="preserve"> </v>
      </c>
      <c r="H3862" t="str">
        <f>IFERROR(+VLOOKUP(Movimientos_2026[[#This Row],[Codigo]],Plan_cuentas[],5,FALSE)," ")</f>
        <v xml:space="preserve"> </v>
      </c>
      <c r="I3862" s="43"/>
      <c r="K3862" t="str">
        <f>IFERROR(+VLOOKUP(Movimientos_2026[[#This Row],[Codigo]],Plan_cuentas[],6,FALSE)," ")</f>
        <v xml:space="preserve"> </v>
      </c>
      <c r="L3862" s="50"/>
      <c r="M3862" s="50"/>
      <c r="N3862" s="20">
        <f>+Movimientos_2026[[#This Row],[Ingresos]]-Movimientos_2026[[#This Row],[Egresos]]</f>
        <v>0</v>
      </c>
      <c r="O3862" s="20">
        <f>+O3861+Movimientos_2026[[#This Row],[Neto]]</f>
        <v>4581558617.7962294</v>
      </c>
    </row>
    <row r="3863" spans="1:15" x14ac:dyDescent="0.25">
      <c r="A3863" s="13"/>
      <c r="B3863" s="12">
        <f>MONTH(Movimientos_2026[[#This Row],[Fecha]])</f>
        <v>1</v>
      </c>
      <c r="C3863" s="12" t="str">
        <f>VLOOKUP((WEEKDAY(Movimientos_2026[[#This Row],[Fecha]],2)),'5. Setup'!$D$6:$E$12,2,FALSE)</f>
        <v>Sab</v>
      </c>
      <c r="E3863" t="str">
        <f>IFERROR(+VLOOKUP(Movimientos_2026[[#This Row],[Codigo]],Plan_cuentas[],2,FALSE)," ")</f>
        <v xml:space="preserve"> </v>
      </c>
      <c r="F3863" t="str">
        <f>IFERROR(+VLOOKUP(Movimientos_2026[[#This Row],[Codigo]],Plan_cuentas[],3,FALSE)," ")</f>
        <v xml:space="preserve"> </v>
      </c>
      <c r="G3863" t="str">
        <f>IFERROR(+VLOOKUP(Movimientos_2026[[#This Row],[Codigo]],Plan_cuentas[],4,FALSE)," ")</f>
        <v xml:space="preserve"> </v>
      </c>
      <c r="H3863" t="str">
        <f>IFERROR(+VLOOKUP(Movimientos_2026[[#This Row],[Codigo]],Plan_cuentas[],5,FALSE)," ")</f>
        <v xml:space="preserve"> </v>
      </c>
      <c r="I3863" s="43"/>
      <c r="K3863" t="str">
        <f>IFERROR(+VLOOKUP(Movimientos_2026[[#This Row],[Codigo]],Plan_cuentas[],6,FALSE)," ")</f>
        <v xml:space="preserve"> </v>
      </c>
      <c r="L3863" s="50"/>
      <c r="M3863" s="50"/>
      <c r="N3863" s="20">
        <f>+Movimientos_2026[[#This Row],[Ingresos]]-Movimientos_2026[[#This Row],[Egresos]]</f>
        <v>0</v>
      </c>
      <c r="O3863" s="20">
        <f>+O3862+Movimientos_2026[[#This Row],[Neto]]</f>
        <v>4581558617.7962294</v>
      </c>
    </row>
    <row r="3864" spans="1:15" x14ac:dyDescent="0.25">
      <c r="A3864" s="13"/>
      <c r="B3864" s="12">
        <f>MONTH(Movimientos_2026[[#This Row],[Fecha]])</f>
        <v>1</v>
      </c>
      <c r="C3864" s="12" t="str">
        <f>VLOOKUP((WEEKDAY(Movimientos_2026[[#This Row],[Fecha]],2)),'5. Setup'!$D$6:$E$12,2,FALSE)</f>
        <v>Sab</v>
      </c>
      <c r="E3864" t="str">
        <f>IFERROR(+VLOOKUP(Movimientos_2026[[#This Row],[Codigo]],Plan_cuentas[],2,FALSE)," ")</f>
        <v xml:space="preserve"> </v>
      </c>
      <c r="F3864" t="str">
        <f>IFERROR(+VLOOKUP(Movimientos_2026[[#This Row],[Codigo]],Plan_cuentas[],3,FALSE)," ")</f>
        <v xml:space="preserve"> </v>
      </c>
      <c r="G3864" t="str">
        <f>IFERROR(+VLOOKUP(Movimientos_2026[[#This Row],[Codigo]],Plan_cuentas[],4,FALSE)," ")</f>
        <v xml:space="preserve"> </v>
      </c>
      <c r="H3864" t="str">
        <f>IFERROR(+VLOOKUP(Movimientos_2026[[#This Row],[Codigo]],Plan_cuentas[],5,FALSE)," ")</f>
        <v xml:space="preserve"> </v>
      </c>
      <c r="I3864" s="43"/>
      <c r="K3864" t="str">
        <f>IFERROR(+VLOOKUP(Movimientos_2026[[#This Row],[Codigo]],Plan_cuentas[],6,FALSE)," ")</f>
        <v xml:space="preserve"> </v>
      </c>
      <c r="L3864" s="50"/>
      <c r="M3864" s="50"/>
      <c r="N3864" s="20">
        <f>+Movimientos_2026[[#This Row],[Ingresos]]-Movimientos_2026[[#This Row],[Egresos]]</f>
        <v>0</v>
      </c>
      <c r="O3864" s="20">
        <f>+O3863+Movimientos_2026[[#This Row],[Neto]]</f>
        <v>4581558617.7962294</v>
      </c>
    </row>
    <row r="3865" spans="1:15" x14ac:dyDescent="0.25">
      <c r="A3865" s="13"/>
      <c r="B3865" s="12">
        <f>MONTH(Movimientos_2026[[#This Row],[Fecha]])</f>
        <v>1</v>
      </c>
      <c r="C3865" s="12" t="str">
        <f>VLOOKUP((WEEKDAY(Movimientos_2026[[#This Row],[Fecha]],2)),'5. Setup'!$D$6:$E$12,2,FALSE)</f>
        <v>Sab</v>
      </c>
      <c r="E3865" t="str">
        <f>IFERROR(+VLOOKUP(Movimientos_2026[[#This Row],[Codigo]],Plan_cuentas[],2,FALSE)," ")</f>
        <v xml:space="preserve"> </v>
      </c>
      <c r="F3865" t="str">
        <f>IFERROR(+VLOOKUP(Movimientos_2026[[#This Row],[Codigo]],Plan_cuentas[],3,FALSE)," ")</f>
        <v xml:space="preserve"> </v>
      </c>
      <c r="G3865" t="str">
        <f>IFERROR(+VLOOKUP(Movimientos_2026[[#This Row],[Codigo]],Plan_cuentas[],4,FALSE)," ")</f>
        <v xml:space="preserve"> </v>
      </c>
      <c r="H3865" t="str">
        <f>IFERROR(+VLOOKUP(Movimientos_2026[[#This Row],[Codigo]],Plan_cuentas[],5,FALSE)," ")</f>
        <v xml:space="preserve"> </v>
      </c>
      <c r="I3865" s="43"/>
      <c r="K3865" t="str">
        <f>IFERROR(+VLOOKUP(Movimientos_2026[[#This Row],[Codigo]],Plan_cuentas[],6,FALSE)," ")</f>
        <v xml:space="preserve"> </v>
      </c>
      <c r="L3865" s="50"/>
      <c r="M3865" s="50"/>
      <c r="N3865" s="20">
        <f>+Movimientos_2026[[#This Row],[Ingresos]]-Movimientos_2026[[#This Row],[Egresos]]</f>
        <v>0</v>
      </c>
      <c r="O3865" s="20">
        <f>+O3864+Movimientos_2026[[#This Row],[Neto]]</f>
        <v>4581558617.7962294</v>
      </c>
    </row>
    <row r="3866" spans="1:15" x14ac:dyDescent="0.25">
      <c r="A3866" s="13"/>
      <c r="B3866" s="12">
        <f>MONTH(Movimientos_2026[[#This Row],[Fecha]])</f>
        <v>1</v>
      </c>
      <c r="C3866" s="12" t="str">
        <f>VLOOKUP((WEEKDAY(Movimientos_2026[[#This Row],[Fecha]],2)),'5. Setup'!$D$6:$E$12,2,FALSE)</f>
        <v>Sab</v>
      </c>
      <c r="E3866" t="str">
        <f>IFERROR(+VLOOKUP(Movimientos_2026[[#This Row],[Codigo]],Plan_cuentas[],2,FALSE)," ")</f>
        <v xml:space="preserve"> </v>
      </c>
      <c r="F3866" t="str">
        <f>IFERROR(+VLOOKUP(Movimientos_2026[[#This Row],[Codigo]],Plan_cuentas[],3,FALSE)," ")</f>
        <v xml:space="preserve"> </v>
      </c>
      <c r="G3866" t="str">
        <f>IFERROR(+VLOOKUP(Movimientos_2026[[#This Row],[Codigo]],Plan_cuentas[],4,FALSE)," ")</f>
        <v xml:space="preserve"> </v>
      </c>
      <c r="H3866" t="str">
        <f>IFERROR(+VLOOKUP(Movimientos_2026[[#This Row],[Codigo]],Plan_cuentas[],5,FALSE)," ")</f>
        <v xml:space="preserve"> </v>
      </c>
      <c r="I3866" s="43"/>
      <c r="K3866" t="str">
        <f>IFERROR(+VLOOKUP(Movimientos_2026[[#This Row],[Codigo]],Plan_cuentas[],6,FALSE)," ")</f>
        <v xml:space="preserve"> </v>
      </c>
      <c r="L3866" s="50"/>
      <c r="M3866" s="50"/>
      <c r="N3866" s="20">
        <f>+Movimientos_2026[[#This Row],[Ingresos]]-Movimientos_2026[[#This Row],[Egresos]]</f>
        <v>0</v>
      </c>
      <c r="O3866" s="20">
        <f>+O3865+Movimientos_2026[[#This Row],[Neto]]</f>
        <v>4581558617.7962294</v>
      </c>
    </row>
    <row r="3867" spans="1:15" x14ac:dyDescent="0.25">
      <c r="A3867" s="13"/>
      <c r="B3867" s="12">
        <f>MONTH(Movimientos_2026[[#This Row],[Fecha]])</f>
        <v>1</v>
      </c>
      <c r="C3867" s="12" t="str">
        <f>VLOOKUP((WEEKDAY(Movimientos_2026[[#This Row],[Fecha]],2)),'5. Setup'!$D$6:$E$12,2,FALSE)</f>
        <v>Sab</v>
      </c>
      <c r="E3867" t="str">
        <f>IFERROR(+VLOOKUP(Movimientos_2026[[#This Row],[Codigo]],Plan_cuentas[],2,FALSE)," ")</f>
        <v xml:space="preserve"> </v>
      </c>
      <c r="F3867" t="str">
        <f>IFERROR(+VLOOKUP(Movimientos_2026[[#This Row],[Codigo]],Plan_cuentas[],3,FALSE)," ")</f>
        <v xml:space="preserve"> </v>
      </c>
      <c r="G3867" t="str">
        <f>IFERROR(+VLOOKUP(Movimientos_2026[[#This Row],[Codigo]],Plan_cuentas[],4,FALSE)," ")</f>
        <v xml:space="preserve"> </v>
      </c>
      <c r="H3867" t="str">
        <f>IFERROR(+VLOOKUP(Movimientos_2026[[#This Row],[Codigo]],Plan_cuentas[],5,FALSE)," ")</f>
        <v xml:space="preserve"> </v>
      </c>
      <c r="I3867" s="43"/>
      <c r="K3867" t="str">
        <f>IFERROR(+VLOOKUP(Movimientos_2026[[#This Row],[Codigo]],Plan_cuentas[],6,FALSE)," ")</f>
        <v xml:space="preserve"> </v>
      </c>
      <c r="L3867" s="50"/>
      <c r="M3867" s="50"/>
      <c r="N3867" s="20">
        <f>+Movimientos_2026[[#This Row],[Ingresos]]-Movimientos_2026[[#This Row],[Egresos]]</f>
        <v>0</v>
      </c>
      <c r="O3867" s="20">
        <f>+O3866+Movimientos_2026[[#This Row],[Neto]]</f>
        <v>4581558617.7962294</v>
      </c>
    </row>
    <row r="3868" spans="1:15" x14ac:dyDescent="0.25">
      <c r="A3868" s="13"/>
      <c r="B3868" s="12">
        <f>MONTH(Movimientos_2026[[#This Row],[Fecha]])</f>
        <v>1</v>
      </c>
      <c r="C3868" s="12" t="str">
        <f>VLOOKUP((WEEKDAY(Movimientos_2026[[#This Row],[Fecha]],2)),'5. Setup'!$D$6:$E$12,2,FALSE)</f>
        <v>Sab</v>
      </c>
      <c r="E3868" t="str">
        <f>IFERROR(+VLOOKUP(Movimientos_2026[[#This Row],[Codigo]],Plan_cuentas[],2,FALSE)," ")</f>
        <v xml:space="preserve"> </v>
      </c>
      <c r="F3868" t="str">
        <f>IFERROR(+VLOOKUP(Movimientos_2026[[#This Row],[Codigo]],Plan_cuentas[],3,FALSE)," ")</f>
        <v xml:space="preserve"> </v>
      </c>
      <c r="G3868" t="str">
        <f>IFERROR(+VLOOKUP(Movimientos_2026[[#This Row],[Codigo]],Plan_cuentas[],4,FALSE)," ")</f>
        <v xml:space="preserve"> </v>
      </c>
      <c r="H3868" t="str">
        <f>IFERROR(+VLOOKUP(Movimientos_2026[[#This Row],[Codigo]],Plan_cuentas[],5,FALSE)," ")</f>
        <v xml:space="preserve"> </v>
      </c>
      <c r="I3868" s="43"/>
      <c r="K3868" t="str">
        <f>IFERROR(+VLOOKUP(Movimientos_2026[[#This Row],[Codigo]],Plan_cuentas[],6,FALSE)," ")</f>
        <v xml:space="preserve"> </v>
      </c>
      <c r="L3868" s="50"/>
      <c r="M3868" s="50"/>
      <c r="N3868" s="20">
        <f>+Movimientos_2026[[#This Row],[Ingresos]]-Movimientos_2026[[#This Row],[Egresos]]</f>
        <v>0</v>
      </c>
      <c r="O3868" s="20">
        <f>+O3867+Movimientos_2026[[#This Row],[Neto]]</f>
        <v>4581558617.7962294</v>
      </c>
    </row>
    <row r="3869" spans="1:15" x14ac:dyDescent="0.25">
      <c r="A3869" s="13"/>
      <c r="B3869" s="12">
        <f>MONTH(Movimientos_2026[[#This Row],[Fecha]])</f>
        <v>1</v>
      </c>
      <c r="C3869" s="12" t="str">
        <f>VLOOKUP((WEEKDAY(Movimientos_2026[[#This Row],[Fecha]],2)),'5. Setup'!$D$6:$E$12,2,FALSE)</f>
        <v>Sab</v>
      </c>
      <c r="E3869" t="str">
        <f>IFERROR(+VLOOKUP(Movimientos_2026[[#This Row],[Codigo]],Plan_cuentas[],2,FALSE)," ")</f>
        <v xml:space="preserve"> </v>
      </c>
      <c r="F3869" t="str">
        <f>IFERROR(+VLOOKUP(Movimientos_2026[[#This Row],[Codigo]],Plan_cuentas[],3,FALSE)," ")</f>
        <v xml:space="preserve"> </v>
      </c>
      <c r="G3869" t="str">
        <f>IFERROR(+VLOOKUP(Movimientos_2026[[#This Row],[Codigo]],Plan_cuentas[],4,FALSE)," ")</f>
        <v xml:space="preserve"> </v>
      </c>
      <c r="H3869" t="str">
        <f>IFERROR(+VLOOKUP(Movimientos_2026[[#This Row],[Codigo]],Plan_cuentas[],5,FALSE)," ")</f>
        <v xml:space="preserve"> </v>
      </c>
      <c r="I3869" s="43"/>
      <c r="K3869" t="str">
        <f>IFERROR(+VLOOKUP(Movimientos_2026[[#This Row],[Codigo]],Plan_cuentas[],6,FALSE)," ")</f>
        <v xml:space="preserve"> </v>
      </c>
      <c r="L3869" s="50"/>
      <c r="M3869" s="50"/>
      <c r="N3869" s="20">
        <f>+Movimientos_2026[[#This Row],[Ingresos]]-Movimientos_2026[[#This Row],[Egresos]]</f>
        <v>0</v>
      </c>
      <c r="O3869" s="20">
        <f>+O3868+Movimientos_2026[[#This Row],[Neto]]</f>
        <v>4581558617.7962294</v>
      </c>
    </row>
    <row r="3870" spans="1:15" x14ac:dyDescent="0.25">
      <c r="A3870" s="13"/>
      <c r="B3870" s="12">
        <f>MONTH(Movimientos_2026[[#This Row],[Fecha]])</f>
        <v>1</v>
      </c>
      <c r="C3870" s="12" t="str">
        <f>VLOOKUP((WEEKDAY(Movimientos_2026[[#This Row],[Fecha]],2)),'5. Setup'!$D$6:$E$12,2,FALSE)</f>
        <v>Sab</v>
      </c>
      <c r="E3870" t="str">
        <f>IFERROR(+VLOOKUP(Movimientos_2026[[#This Row],[Codigo]],Plan_cuentas[],2,FALSE)," ")</f>
        <v xml:space="preserve"> </v>
      </c>
      <c r="F3870" t="str">
        <f>IFERROR(+VLOOKUP(Movimientos_2026[[#This Row],[Codigo]],Plan_cuentas[],3,FALSE)," ")</f>
        <v xml:space="preserve"> </v>
      </c>
      <c r="G3870" t="str">
        <f>IFERROR(+VLOOKUP(Movimientos_2026[[#This Row],[Codigo]],Plan_cuentas[],4,FALSE)," ")</f>
        <v xml:space="preserve"> </v>
      </c>
      <c r="H3870" t="str">
        <f>IFERROR(+VLOOKUP(Movimientos_2026[[#This Row],[Codigo]],Plan_cuentas[],5,FALSE)," ")</f>
        <v xml:space="preserve"> </v>
      </c>
      <c r="I3870" s="43"/>
      <c r="K3870" t="str">
        <f>IFERROR(+VLOOKUP(Movimientos_2026[[#This Row],[Codigo]],Plan_cuentas[],6,FALSE)," ")</f>
        <v xml:space="preserve"> </v>
      </c>
      <c r="L3870" s="50"/>
      <c r="M3870" s="50"/>
      <c r="N3870" s="20">
        <f>+Movimientos_2026[[#This Row],[Ingresos]]-Movimientos_2026[[#This Row],[Egresos]]</f>
        <v>0</v>
      </c>
      <c r="O3870" s="20">
        <f>+O3869+Movimientos_2026[[#This Row],[Neto]]</f>
        <v>4581558617.7962294</v>
      </c>
    </row>
    <row r="3871" spans="1:15" x14ac:dyDescent="0.25">
      <c r="A3871" s="13"/>
      <c r="B3871" s="12">
        <f>MONTH(Movimientos_2026[[#This Row],[Fecha]])</f>
        <v>1</v>
      </c>
      <c r="C3871" s="12" t="str">
        <f>VLOOKUP((WEEKDAY(Movimientos_2026[[#This Row],[Fecha]],2)),'5. Setup'!$D$6:$E$12,2,FALSE)</f>
        <v>Sab</v>
      </c>
      <c r="E3871" t="str">
        <f>IFERROR(+VLOOKUP(Movimientos_2026[[#This Row],[Codigo]],Plan_cuentas[],2,FALSE)," ")</f>
        <v xml:space="preserve"> </v>
      </c>
      <c r="F3871" t="str">
        <f>IFERROR(+VLOOKUP(Movimientos_2026[[#This Row],[Codigo]],Plan_cuentas[],3,FALSE)," ")</f>
        <v xml:space="preserve"> </v>
      </c>
      <c r="G3871" t="str">
        <f>IFERROR(+VLOOKUP(Movimientos_2026[[#This Row],[Codigo]],Plan_cuentas[],4,FALSE)," ")</f>
        <v xml:space="preserve"> </v>
      </c>
      <c r="H3871" t="str">
        <f>IFERROR(+VLOOKUP(Movimientos_2026[[#This Row],[Codigo]],Plan_cuentas[],5,FALSE)," ")</f>
        <v xml:space="preserve"> </v>
      </c>
      <c r="I3871" s="43"/>
      <c r="K3871" t="str">
        <f>IFERROR(+VLOOKUP(Movimientos_2026[[#This Row],[Codigo]],Plan_cuentas[],6,FALSE)," ")</f>
        <v xml:space="preserve"> </v>
      </c>
      <c r="L3871" s="50"/>
      <c r="M3871" s="50"/>
      <c r="N3871" s="20">
        <f>+Movimientos_2026[[#This Row],[Ingresos]]-Movimientos_2026[[#This Row],[Egresos]]</f>
        <v>0</v>
      </c>
      <c r="O3871" s="20">
        <f>+O3870+Movimientos_2026[[#This Row],[Neto]]</f>
        <v>4581558617.7962294</v>
      </c>
    </row>
    <row r="3872" spans="1:15" x14ac:dyDescent="0.25">
      <c r="A3872" s="13"/>
      <c r="B3872" s="12">
        <f>MONTH(Movimientos_2026[[#This Row],[Fecha]])</f>
        <v>1</v>
      </c>
      <c r="C3872" s="12" t="str">
        <f>VLOOKUP((WEEKDAY(Movimientos_2026[[#This Row],[Fecha]],2)),'5. Setup'!$D$6:$E$12,2,FALSE)</f>
        <v>Sab</v>
      </c>
      <c r="E3872" t="str">
        <f>IFERROR(+VLOOKUP(Movimientos_2026[[#This Row],[Codigo]],Plan_cuentas[],2,FALSE)," ")</f>
        <v xml:space="preserve"> </v>
      </c>
      <c r="F3872" t="str">
        <f>IFERROR(+VLOOKUP(Movimientos_2026[[#This Row],[Codigo]],Plan_cuentas[],3,FALSE)," ")</f>
        <v xml:space="preserve"> </v>
      </c>
      <c r="G3872" t="str">
        <f>IFERROR(+VLOOKUP(Movimientos_2026[[#This Row],[Codigo]],Plan_cuentas[],4,FALSE)," ")</f>
        <v xml:space="preserve"> </v>
      </c>
      <c r="H3872" t="str">
        <f>IFERROR(+VLOOKUP(Movimientos_2026[[#This Row],[Codigo]],Plan_cuentas[],5,FALSE)," ")</f>
        <v xml:space="preserve"> </v>
      </c>
      <c r="I3872" s="43"/>
      <c r="K3872" t="str">
        <f>IFERROR(+VLOOKUP(Movimientos_2026[[#This Row],[Codigo]],Plan_cuentas[],6,FALSE)," ")</f>
        <v xml:space="preserve"> </v>
      </c>
      <c r="L3872" s="50"/>
      <c r="M3872" s="50"/>
      <c r="N3872" s="20">
        <f>+Movimientos_2026[[#This Row],[Ingresos]]-Movimientos_2026[[#This Row],[Egresos]]</f>
        <v>0</v>
      </c>
      <c r="O3872" s="20">
        <f>+O3871+Movimientos_2026[[#This Row],[Neto]]</f>
        <v>4581558617.7962294</v>
      </c>
    </row>
    <row r="3873" spans="1:15" x14ac:dyDescent="0.25">
      <c r="A3873" s="13"/>
      <c r="B3873" s="12">
        <f>MONTH(Movimientos_2026[[#This Row],[Fecha]])</f>
        <v>1</v>
      </c>
      <c r="C3873" s="12" t="str">
        <f>VLOOKUP((WEEKDAY(Movimientos_2026[[#This Row],[Fecha]],2)),'5. Setup'!$D$6:$E$12,2,FALSE)</f>
        <v>Sab</v>
      </c>
      <c r="E3873" t="str">
        <f>IFERROR(+VLOOKUP(Movimientos_2026[[#This Row],[Codigo]],Plan_cuentas[],2,FALSE)," ")</f>
        <v xml:space="preserve"> </v>
      </c>
      <c r="F3873" t="str">
        <f>IFERROR(+VLOOKUP(Movimientos_2026[[#This Row],[Codigo]],Plan_cuentas[],3,FALSE)," ")</f>
        <v xml:space="preserve"> </v>
      </c>
      <c r="G3873" t="str">
        <f>IFERROR(+VLOOKUP(Movimientos_2026[[#This Row],[Codigo]],Plan_cuentas[],4,FALSE)," ")</f>
        <v xml:space="preserve"> </v>
      </c>
      <c r="H3873" t="str">
        <f>IFERROR(+VLOOKUP(Movimientos_2026[[#This Row],[Codigo]],Plan_cuentas[],5,FALSE)," ")</f>
        <v xml:space="preserve"> </v>
      </c>
      <c r="I3873" s="43"/>
      <c r="K3873" t="str">
        <f>IFERROR(+VLOOKUP(Movimientos_2026[[#This Row],[Codigo]],Plan_cuentas[],6,FALSE)," ")</f>
        <v xml:space="preserve"> </v>
      </c>
      <c r="L3873" s="50"/>
      <c r="M3873" s="50"/>
      <c r="N3873" s="20">
        <f>+Movimientos_2026[[#This Row],[Ingresos]]-Movimientos_2026[[#This Row],[Egresos]]</f>
        <v>0</v>
      </c>
      <c r="O3873" s="20">
        <f>+O3872+Movimientos_2026[[#This Row],[Neto]]</f>
        <v>4581558617.7962294</v>
      </c>
    </row>
    <row r="3874" spans="1:15" x14ac:dyDescent="0.25">
      <c r="A3874" s="13"/>
      <c r="B3874" s="12">
        <f>MONTH(Movimientos_2026[[#This Row],[Fecha]])</f>
        <v>1</v>
      </c>
      <c r="C3874" s="12" t="str">
        <f>VLOOKUP((WEEKDAY(Movimientos_2026[[#This Row],[Fecha]],2)),'5. Setup'!$D$6:$E$12,2,FALSE)</f>
        <v>Sab</v>
      </c>
      <c r="E3874" t="str">
        <f>IFERROR(+VLOOKUP(Movimientos_2026[[#This Row],[Codigo]],Plan_cuentas[],2,FALSE)," ")</f>
        <v xml:space="preserve"> </v>
      </c>
      <c r="F3874" t="str">
        <f>IFERROR(+VLOOKUP(Movimientos_2026[[#This Row],[Codigo]],Plan_cuentas[],3,FALSE)," ")</f>
        <v xml:space="preserve"> </v>
      </c>
      <c r="G3874" t="str">
        <f>IFERROR(+VLOOKUP(Movimientos_2026[[#This Row],[Codigo]],Plan_cuentas[],4,FALSE)," ")</f>
        <v xml:space="preserve"> </v>
      </c>
      <c r="H3874" t="str">
        <f>IFERROR(+VLOOKUP(Movimientos_2026[[#This Row],[Codigo]],Plan_cuentas[],5,FALSE)," ")</f>
        <v xml:space="preserve"> </v>
      </c>
      <c r="I3874" s="43"/>
      <c r="K3874" t="str">
        <f>IFERROR(+VLOOKUP(Movimientos_2026[[#This Row],[Codigo]],Plan_cuentas[],6,FALSE)," ")</f>
        <v xml:space="preserve"> </v>
      </c>
      <c r="L3874" s="50"/>
      <c r="M3874" s="50"/>
      <c r="N3874" s="20">
        <f>+Movimientos_2026[[#This Row],[Ingresos]]-Movimientos_2026[[#This Row],[Egresos]]</f>
        <v>0</v>
      </c>
      <c r="O3874" s="20">
        <f>+O3873+Movimientos_2026[[#This Row],[Neto]]</f>
        <v>4581558617.7962294</v>
      </c>
    </row>
    <row r="3875" spans="1:15" x14ac:dyDescent="0.25">
      <c r="A3875" s="13"/>
      <c r="B3875" s="12">
        <f>MONTH(Movimientos_2026[[#This Row],[Fecha]])</f>
        <v>1</v>
      </c>
      <c r="C3875" s="12" t="str">
        <f>VLOOKUP((WEEKDAY(Movimientos_2026[[#This Row],[Fecha]],2)),'5. Setup'!$D$6:$E$12,2,FALSE)</f>
        <v>Sab</v>
      </c>
      <c r="E3875" t="str">
        <f>IFERROR(+VLOOKUP(Movimientos_2026[[#This Row],[Codigo]],Plan_cuentas[],2,FALSE)," ")</f>
        <v xml:space="preserve"> </v>
      </c>
      <c r="F3875" t="str">
        <f>IFERROR(+VLOOKUP(Movimientos_2026[[#This Row],[Codigo]],Plan_cuentas[],3,FALSE)," ")</f>
        <v xml:space="preserve"> </v>
      </c>
      <c r="G3875" t="str">
        <f>IFERROR(+VLOOKUP(Movimientos_2026[[#This Row],[Codigo]],Plan_cuentas[],4,FALSE)," ")</f>
        <v xml:space="preserve"> </v>
      </c>
      <c r="H3875" t="str">
        <f>IFERROR(+VLOOKUP(Movimientos_2026[[#This Row],[Codigo]],Plan_cuentas[],5,FALSE)," ")</f>
        <v xml:space="preserve"> </v>
      </c>
      <c r="I3875" s="43"/>
      <c r="K3875" t="str">
        <f>IFERROR(+VLOOKUP(Movimientos_2026[[#This Row],[Codigo]],Plan_cuentas[],6,FALSE)," ")</f>
        <v xml:space="preserve"> </v>
      </c>
      <c r="L3875" s="50"/>
      <c r="M3875" s="50"/>
      <c r="N3875" s="20">
        <f>+Movimientos_2026[[#This Row],[Ingresos]]-Movimientos_2026[[#This Row],[Egresos]]</f>
        <v>0</v>
      </c>
      <c r="O3875" s="20">
        <f>+O3874+Movimientos_2026[[#This Row],[Neto]]</f>
        <v>4581558617.7962294</v>
      </c>
    </row>
    <row r="3876" spans="1:15" x14ac:dyDescent="0.25">
      <c r="A3876" s="13"/>
      <c r="B3876" s="12">
        <f>MONTH(Movimientos_2026[[#This Row],[Fecha]])</f>
        <v>1</v>
      </c>
      <c r="C3876" s="12" t="str">
        <f>VLOOKUP((WEEKDAY(Movimientos_2026[[#This Row],[Fecha]],2)),'5. Setup'!$D$6:$E$12,2,FALSE)</f>
        <v>Sab</v>
      </c>
      <c r="E3876" t="str">
        <f>IFERROR(+VLOOKUP(Movimientos_2026[[#This Row],[Codigo]],Plan_cuentas[],2,FALSE)," ")</f>
        <v xml:space="preserve"> </v>
      </c>
      <c r="F3876" t="str">
        <f>IFERROR(+VLOOKUP(Movimientos_2026[[#This Row],[Codigo]],Plan_cuentas[],3,FALSE)," ")</f>
        <v xml:space="preserve"> </v>
      </c>
      <c r="G3876" t="str">
        <f>IFERROR(+VLOOKUP(Movimientos_2026[[#This Row],[Codigo]],Plan_cuentas[],4,FALSE)," ")</f>
        <v xml:space="preserve"> </v>
      </c>
      <c r="H3876" t="str">
        <f>IFERROR(+VLOOKUP(Movimientos_2026[[#This Row],[Codigo]],Plan_cuentas[],5,FALSE)," ")</f>
        <v xml:space="preserve"> </v>
      </c>
      <c r="I3876" s="43"/>
      <c r="K3876" t="str">
        <f>IFERROR(+VLOOKUP(Movimientos_2026[[#This Row],[Codigo]],Plan_cuentas[],6,FALSE)," ")</f>
        <v xml:space="preserve"> </v>
      </c>
      <c r="L3876" s="50"/>
      <c r="M3876" s="50"/>
      <c r="N3876" s="20">
        <f>+Movimientos_2026[[#This Row],[Ingresos]]-Movimientos_2026[[#This Row],[Egresos]]</f>
        <v>0</v>
      </c>
      <c r="O3876" s="20">
        <f>+O3875+Movimientos_2026[[#This Row],[Neto]]</f>
        <v>4581558617.7962294</v>
      </c>
    </row>
    <row r="3877" spans="1:15" x14ac:dyDescent="0.25">
      <c r="A3877" s="13"/>
      <c r="B3877" s="12">
        <f>MONTH(Movimientos_2026[[#This Row],[Fecha]])</f>
        <v>1</v>
      </c>
      <c r="C3877" s="12" t="str">
        <f>VLOOKUP((WEEKDAY(Movimientos_2026[[#This Row],[Fecha]],2)),'5. Setup'!$D$6:$E$12,2,FALSE)</f>
        <v>Sab</v>
      </c>
      <c r="E3877" t="str">
        <f>IFERROR(+VLOOKUP(Movimientos_2026[[#This Row],[Codigo]],Plan_cuentas[],2,FALSE)," ")</f>
        <v xml:space="preserve"> </v>
      </c>
      <c r="F3877" t="str">
        <f>IFERROR(+VLOOKUP(Movimientos_2026[[#This Row],[Codigo]],Plan_cuentas[],3,FALSE)," ")</f>
        <v xml:space="preserve"> </v>
      </c>
      <c r="G3877" t="str">
        <f>IFERROR(+VLOOKUP(Movimientos_2026[[#This Row],[Codigo]],Plan_cuentas[],4,FALSE)," ")</f>
        <v xml:space="preserve"> </v>
      </c>
      <c r="H3877" t="str">
        <f>IFERROR(+VLOOKUP(Movimientos_2026[[#This Row],[Codigo]],Plan_cuentas[],5,FALSE)," ")</f>
        <v xml:space="preserve"> </v>
      </c>
      <c r="I3877" s="43"/>
      <c r="K3877" t="str">
        <f>IFERROR(+VLOOKUP(Movimientos_2026[[#This Row],[Codigo]],Plan_cuentas[],6,FALSE)," ")</f>
        <v xml:space="preserve"> </v>
      </c>
      <c r="L3877" s="50"/>
      <c r="M3877" s="50"/>
      <c r="N3877" s="20">
        <f>+Movimientos_2026[[#This Row],[Ingresos]]-Movimientos_2026[[#This Row],[Egresos]]</f>
        <v>0</v>
      </c>
      <c r="O3877" s="20">
        <f>+O3876+Movimientos_2026[[#This Row],[Neto]]</f>
        <v>4581558617.7962294</v>
      </c>
    </row>
    <row r="3878" spans="1:15" x14ac:dyDescent="0.25">
      <c r="A3878" s="13"/>
      <c r="B3878" s="12">
        <f>MONTH(Movimientos_2026[[#This Row],[Fecha]])</f>
        <v>1</v>
      </c>
      <c r="C3878" s="12" t="str">
        <f>VLOOKUP((WEEKDAY(Movimientos_2026[[#This Row],[Fecha]],2)),'5. Setup'!$D$6:$E$12,2,FALSE)</f>
        <v>Sab</v>
      </c>
      <c r="E3878" t="str">
        <f>IFERROR(+VLOOKUP(Movimientos_2026[[#This Row],[Codigo]],Plan_cuentas[],2,FALSE)," ")</f>
        <v xml:space="preserve"> </v>
      </c>
      <c r="F3878" t="str">
        <f>IFERROR(+VLOOKUP(Movimientos_2026[[#This Row],[Codigo]],Plan_cuentas[],3,FALSE)," ")</f>
        <v xml:space="preserve"> </v>
      </c>
      <c r="G3878" t="str">
        <f>IFERROR(+VLOOKUP(Movimientos_2026[[#This Row],[Codigo]],Plan_cuentas[],4,FALSE)," ")</f>
        <v xml:space="preserve"> </v>
      </c>
      <c r="H3878" t="str">
        <f>IFERROR(+VLOOKUP(Movimientos_2026[[#This Row],[Codigo]],Plan_cuentas[],5,FALSE)," ")</f>
        <v xml:space="preserve"> </v>
      </c>
      <c r="I3878" s="43"/>
      <c r="K3878" t="str">
        <f>IFERROR(+VLOOKUP(Movimientos_2026[[#This Row],[Codigo]],Plan_cuentas[],6,FALSE)," ")</f>
        <v xml:space="preserve"> </v>
      </c>
      <c r="L3878" s="50"/>
      <c r="M3878" s="50"/>
      <c r="N3878" s="20">
        <f>+Movimientos_2026[[#This Row],[Ingresos]]-Movimientos_2026[[#This Row],[Egresos]]</f>
        <v>0</v>
      </c>
      <c r="O3878" s="20">
        <f>+O3877+Movimientos_2026[[#This Row],[Neto]]</f>
        <v>4581558617.7962294</v>
      </c>
    </row>
    <row r="3879" spans="1:15" x14ac:dyDescent="0.25">
      <c r="A3879" s="13"/>
      <c r="B3879" s="12">
        <f>MONTH(Movimientos_2026[[#This Row],[Fecha]])</f>
        <v>1</v>
      </c>
      <c r="C3879" s="12" t="str">
        <f>VLOOKUP((WEEKDAY(Movimientos_2026[[#This Row],[Fecha]],2)),'5. Setup'!$D$6:$E$12,2,FALSE)</f>
        <v>Sab</v>
      </c>
      <c r="E3879" t="str">
        <f>IFERROR(+VLOOKUP(Movimientos_2026[[#This Row],[Codigo]],Plan_cuentas[],2,FALSE)," ")</f>
        <v xml:space="preserve"> </v>
      </c>
      <c r="F3879" t="str">
        <f>IFERROR(+VLOOKUP(Movimientos_2026[[#This Row],[Codigo]],Plan_cuentas[],3,FALSE)," ")</f>
        <v xml:space="preserve"> </v>
      </c>
      <c r="G3879" t="str">
        <f>IFERROR(+VLOOKUP(Movimientos_2026[[#This Row],[Codigo]],Plan_cuentas[],4,FALSE)," ")</f>
        <v xml:space="preserve"> </v>
      </c>
      <c r="H3879" t="str">
        <f>IFERROR(+VLOOKUP(Movimientos_2026[[#This Row],[Codigo]],Plan_cuentas[],5,FALSE)," ")</f>
        <v xml:space="preserve"> </v>
      </c>
      <c r="I3879" s="43"/>
      <c r="K3879" t="str">
        <f>IFERROR(+VLOOKUP(Movimientos_2026[[#This Row],[Codigo]],Plan_cuentas[],6,FALSE)," ")</f>
        <v xml:space="preserve"> </v>
      </c>
      <c r="L3879" s="50"/>
      <c r="M3879" s="50"/>
      <c r="N3879" s="20">
        <f>+Movimientos_2026[[#This Row],[Ingresos]]-Movimientos_2026[[#This Row],[Egresos]]</f>
        <v>0</v>
      </c>
      <c r="O3879" s="20">
        <f>+O3878+Movimientos_2026[[#This Row],[Neto]]</f>
        <v>4581558617.7962294</v>
      </c>
    </row>
    <row r="3880" spans="1:15" x14ac:dyDescent="0.25">
      <c r="A3880" s="13"/>
      <c r="B3880" s="12">
        <f>MONTH(Movimientos_2026[[#This Row],[Fecha]])</f>
        <v>1</v>
      </c>
      <c r="C3880" s="12" t="str">
        <f>VLOOKUP((WEEKDAY(Movimientos_2026[[#This Row],[Fecha]],2)),'5. Setup'!$D$6:$E$12,2,FALSE)</f>
        <v>Sab</v>
      </c>
      <c r="E3880" t="str">
        <f>IFERROR(+VLOOKUP(Movimientos_2026[[#This Row],[Codigo]],Plan_cuentas[],2,FALSE)," ")</f>
        <v xml:space="preserve"> </v>
      </c>
      <c r="F3880" t="str">
        <f>IFERROR(+VLOOKUP(Movimientos_2026[[#This Row],[Codigo]],Plan_cuentas[],3,FALSE)," ")</f>
        <v xml:space="preserve"> </v>
      </c>
      <c r="G3880" t="str">
        <f>IFERROR(+VLOOKUP(Movimientos_2026[[#This Row],[Codigo]],Plan_cuentas[],4,FALSE)," ")</f>
        <v xml:space="preserve"> </v>
      </c>
      <c r="H3880" t="str">
        <f>IFERROR(+VLOOKUP(Movimientos_2026[[#This Row],[Codigo]],Plan_cuentas[],5,FALSE)," ")</f>
        <v xml:space="preserve"> </v>
      </c>
      <c r="I3880" s="43"/>
      <c r="K3880" t="str">
        <f>IFERROR(+VLOOKUP(Movimientos_2026[[#This Row],[Codigo]],Plan_cuentas[],6,FALSE)," ")</f>
        <v xml:space="preserve"> </v>
      </c>
      <c r="L3880" s="50"/>
      <c r="M3880" s="50"/>
      <c r="N3880" s="20">
        <f>+Movimientos_2026[[#This Row],[Ingresos]]-Movimientos_2026[[#This Row],[Egresos]]</f>
        <v>0</v>
      </c>
      <c r="O3880" s="20">
        <f>+O3879+Movimientos_2026[[#This Row],[Neto]]</f>
        <v>4581558617.7962294</v>
      </c>
    </row>
    <row r="3881" spans="1:15" x14ac:dyDescent="0.25">
      <c r="A3881" s="13"/>
      <c r="B3881" s="12">
        <f>MONTH(Movimientos_2026[[#This Row],[Fecha]])</f>
        <v>1</v>
      </c>
      <c r="C3881" s="12" t="str">
        <f>VLOOKUP((WEEKDAY(Movimientos_2026[[#This Row],[Fecha]],2)),'5. Setup'!$D$6:$E$12,2,FALSE)</f>
        <v>Sab</v>
      </c>
      <c r="E3881" t="str">
        <f>IFERROR(+VLOOKUP(Movimientos_2026[[#This Row],[Codigo]],Plan_cuentas[],2,FALSE)," ")</f>
        <v xml:space="preserve"> </v>
      </c>
      <c r="F3881" t="str">
        <f>IFERROR(+VLOOKUP(Movimientos_2026[[#This Row],[Codigo]],Plan_cuentas[],3,FALSE)," ")</f>
        <v xml:space="preserve"> </v>
      </c>
      <c r="G3881" t="str">
        <f>IFERROR(+VLOOKUP(Movimientos_2026[[#This Row],[Codigo]],Plan_cuentas[],4,FALSE)," ")</f>
        <v xml:space="preserve"> </v>
      </c>
      <c r="H3881" t="str">
        <f>IFERROR(+VLOOKUP(Movimientos_2026[[#This Row],[Codigo]],Plan_cuentas[],5,FALSE)," ")</f>
        <v xml:space="preserve"> </v>
      </c>
      <c r="I3881" s="43"/>
      <c r="K3881" t="str">
        <f>IFERROR(+VLOOKUP(Movimientos_2026[[#This Row],[Codigo]],Plan_cuentas[],6,FALSE)," ")</f>
        <v xml:space="preserve"> </v>
      </c>
      <c r="L3881" s="50"/>
      <c r="M3881" s="50"/>
      <c r="N3881" s="20">
        <f>+Movimientos_2026[[#This Row],[Ingresos]]-Movimientos_2026[[#This Row],[Egresos]]</f>
        <v>0</v>
      </c>
      <c r="O3881" s="20">
        <f>+O3880+Movimientos_2026[[#This Row],[Neto]]</f>
        <v>4581558617.7962294</v>
      </c>
    </row>
    <row r="3882" spans="1:15" x14ac:dyDescent="0.25">
      <c r="A3882" s="13"/>
      <c r="B3882" s="12">
        <f>MONTH(Movimientos_2026[[#This Row],[Fecha]])</f>
        <v>1</v>
      </c>
      <c r="C3882" s="12" t="str">
        <f>VLOOKUP((WEEKDAY(Movimientos_2026[[#This Row],[Fecha]],2)),'5. Setup'!$D$6:$E$12,2,FALSE)</f>
        <v>Sab</v>
      </c>
      <c r="E3882" t="str">
        <f>IFERROR(+VLOOKUP(Movimientos_2026[[#This Row],[Codigo]],Plan_cuentas[],2,FALSE)," ")</f>
        <v xml:space="preserve"> </v>
      </c>
      <c r="F3882" t="str">
        <f>IFERROR(+VLOOKUP(Movimientos_2026[[#This Row],[Codigo]],Plan_cuentas[],3,FALSE)," ")</f>
        <v xml:space="preserve"> </v>
      </c>
      <c r="G3882" t="str">
        <f>IFERROR(+VLOOKUP(Movimientos_2026[[#This Row],[Codigo]],Plan_cuentas[],4,FALSE)," ")</f>
        <v xml:space="preserve"> </v>
      </c>
      <c r="H3882" t="str">
        <f>IFERROR(+VLOOKUP(Movimientos_2026[[#This Row],[Codigo]],Plan_cuentas[],5,FALSE)," ")</f>
        <v xml:space="preserve"> </v>
      </c>
      <c r="I3882" s="43"/>
      <c r="K3882" t="str">
        <f>IFERROR(+VLOOKUP(Movimientos_2026[[#This Row],[Codigo]],Plan_cuentas[],6,FALSE)," ")</f>
        <v xml:space="preserve"> </v>
      </c>
      <c r="L3882" s="50"/>
      <c r="M3882" s="50"/>
      <c r="N3882" s="20">
        <f>+Movimientos_2026[[#This Row],[Ingresos]]-Movimientos_2026[[#This Row],[Egresos]]</f>
        <v>0</v>
      </c>
      <c r="O3882" s="20">
        <f>+O3881+Movimientos_2026[[#This Row],[Neto]]</f>
        <v>4581558617.7962294</v>
      </c>
    </row>
    <row r="3883" spans="1:15" x14ac:dyDescent="0.25">
      <c r="A3883" s="13"/>
      <c r="B3883" s="12">
        <f>MONTH(Movimientos_2026[[#This Row],[Fecha]])</f>
        <v>1</v>
      </c>
      <c r="C3883" s="12" t="str">
        <f>VLOOKUP((WEEKDAY(Movimientos_2026[[#This Row],[Fecha]],2)),'5. Setup'!$D$6:$E$12,2,FALSE)</f>
        <v>Sab</v>
      </c>
      <c r="E3883" t="str">
        <f>IFERROR(+VLOOKUP(Movimientos_2026[[#This Row],[Codigo]],Plan_cuentas[],2,FALSE)," ")</f>
        <v xml:space="preserve"> </v>
      </c>
      <c r="F3883" t="str">
        <f>IFERROR(+VLOOKUP(Movimientos_2026[[#This Row],[Codigo]],Plan_cuentas[],3,FALSE)," ")</f>
        <v xml:space="preserve"> </v>
      </c>
      <c r="G3883" t="str">
        <f>IFERROR(+VLOOKUP(Movimientos_2026[[#This Row],[Codigo]],Plan_cuentas[],4,FALSE)," ")</f>
        <v xml:space="preserve"> </v>
      </c>
      <c r="H3883" t="str">
        <f>IFERROR(+VLOOKUP(Movimientos_2026[[#This Row],[Codigo]],Plan_cuentas[],5,FALSE)," ")</f>
        <v xml:space="preserve"> </v>
      </c>
      <c r="I3883" s="43"/>
      <c r="K3883" t="str">
        <f>IFERROR(+VLOOKUP(Movimientos_2026[[#This Row],[Codigo]],Plan_cuentas[],6,FALSE)," ")</f>
        <v xml:space="preserve"> </v>
      </c>
      <c r="L3883" s="50"/>
      <c r="M3883" s="50"/>
      <c r="N3883" s="20">
        <f>+Movimientos_2026[[#This Row],[Ingresos]]-Movimientos_2026[[#This Row],[Egresos]]</f>
        <v>0</v>
      </c>
      <c r="O3883" s="20">
        <f>+O3882+Movimientos_2026[[#This Row],[Neto]]</f>
        <v>4581558617.7962294</v>
      </c>
    </row>
    <row r="3884" spans="1:15" x14ac:dyDescent="0.25">
      <c r="A3884" s="13"/>
      <c r="B3884" s="12">
        <f>MONTH(Movimientos_2026[[#This Row],[Fecha]])</f>
        <v>1</v>
      </c>
      <c r="C3884" s="12" t="str">
        <f>VLOOKUP((WEEKDAY(Movimientos_2026[[#This Row],[Fecha]],2)),'5. Setup'!$D$6:$E$12,2,FALSE)</f>
        <v>Sab</v>
      </c>
      <c r="E3884" t="str">
        <f>IFERROR(+VLOOKUP(Movimientos_2026[[#This Row],[Codigo]],Plan_cuentas[],2,FALSE)," ")</f>
        <v xml:space="preserve"> </v>
      </c>
      <c r="F3884" t="str">
        <f>IFERROR(+VLOOKUP(Movimientos_2026[[#This Row],[Codigo]],Plan_cuentas[],3,FALSE)," ")</f>
        <v xml:space="preserve"> </v>
      </c>
      <c r="G3884" t="str">
        <f>IFERROR(+VLOOKUP(Movimientos_2026[[#This Row],[Codigo]],Plan_cuentas[],4,FALSE)," ")</f>
        <v xml:space="preserve"> </v>
      </c>
      <c r="H3884" t="str">
        <f>IFERROR(+VLOOKUP(Movimientos_2026[[#This Row],[Codigo]],Plan_cuentas[],5,FALSE)," ")</f>
        <v xml:space="preserve"> </v>
      </c>
      <c r="I3884" s="43"/>
      <c r="K3884" t="str">
        <f>IFERROR(+VLOOKUP(Movimientos_2026[[#This Row],[Codigo]],Plan_cuentas[],6,FALSE)," ")</f>
        <v xml:space="preserve"> </v>
      </c>
      <c r="L3884" s="50"/>
      <c r="M3884" s="50"/>
      <c r="N3884" s="20">
        <f>+Movimientos_2026[[#This Row],[Ingresos]]-Movimientos_2026[[#This Row],[Egresos]]</f>
        <v>0</v>
      </c>
      <c r="O3884" s="20">
        <f>+O3883+Movimientos_2026[[#This Row],[Neto]]</f>
        <v>4581558617.7962294</v>
      </c>
    </row>
    <row r="3885" spans="1:15" x14ac:dyDescent="0.25">
      <c r="A3885" s="13"/>
      <c r="B3885" s="12">
        <f>MONTH(Movimientos_2026[[#This Row],[Fecha]])</f>
        <v>1</v>
      </c>
      <c r="C3885" s="12" t="str">
        <f>VLOOKUP((WEEKDAY(Movimientos_2026[[#This Row],[Fecha]],2)),'5. Setup'!$D$6:$E$12,2,FALSE)</f>
        <v>Sab</v>
      </c>
      <c r="E3885" t="str">
        <f>IFERROR(+VLOOKUP(Movimientos_2026[[#This Row],[Codigo]],Plan_cuentas[],2,FALSE)," ")</f>
        <v xml:space="preserve"> </v>
      </c>
      <c r="F3885" t="str">
        <f>IFERROR(+VLOOKUP(Movimientos_2026[[#This Row],[Codigo]],Plan_cuentas[],3,FALSE)," ")</f>
        <v xml:space="preserve"> </v>
      </c>
      <c r="G3885" t="str">
        <f>IFERROR(+VLOOKUP(Movimientos_2026[[#This Row],[Codigo]],Plan_cuentas[],4,FALSE)," ")</f>
        <v xml:space="preserve"> </v>
      </c>
      <c r="H3885" t="str">
        <f>IFERROR(+VLOOKUP(Movimientos_2026[[#This Row],[Codigo]],Plan_cuentas[],5,FALSE)," ")</f>
        <v xml:space="preserve"> </v>
      </c>
      <c r="I3885" s="43"/>
      <c r="K3885" t="str">
        <f>IFERROR(+VLOOKUP(Movimientos_2026[[#This Row],[Codigo]],Plan_cuentas[],6,FALSE)," ")</f>
        <v xml:space="preserve"> </v>
      </c>
      <c r="L3885" s="50"/>
      <c r="M3885" s="50"/>
      <c r="N3885" s="20">
        <f>+Movimientos_2026[[#This Row],[Ingresos]]-Movimientos_2026[[#This Row],[Egresos]]</f>
        <v>0</v>
      </c>
      <c r="O3885" s="20">
        <f>+O3884+Movimientos_2026[[#This Row],[Neto]]</f>
        <v>4581558617.7962294</v>
      </c>
    </row>
    <row r="3886" spans="1:15" x14ac:dyDescent="0.25">
      <c r="A3886" s="13"/>
      <c r="B3886" s="12">
        <f>MONTH(Movimientos_2026[[#This Row],[Fecha]])</f>
        <v>1</v>
      </c>
      <c r="C3886" s="12" t="str">
        <f>VLOOKUP((WEEKDAY(Movimientos_2026[[#This Row],[Fecha]],2)),'5. Setup'!$D$6:$E$12,2,FALSE)</f>
        <v>Sab</v>
      </c>
      <c r="E3886" t="str">
        <f>IFERROR(+VLOOKUP(Movimientos_2026[[#This Row],[Codigo]],Plan_cuentas[],2,FALSE)," ")</f>
        <v xml:space="preserve"> </v>
      </c>
      <c r="F3886" t="str">
        <f>IFERROR(+VLOOKUP(Movimientos_2026[[#This Row],[Codigo]],Plan_cuentas[],3,FALSE)," ")</f>
        <v xml:space="preserve"> </v>
      </c>
      <c r="G3886" t="str">
        <f>IFERROR(+VLOOKUP(Movimientos_2026[[#This Row],[Codigo]],Plan_cuentas[],4,FALSE)," ")</f>
        <v xml:space="preserve"> </v>
      </c>
      <c r="H3886" t="str">
        <f>IFERROR(+VLOOKUP(Movimientos_2026[[#This Row],[Codigo]],Plan_cuentas[],5,FALSE)," ")</f>
        <v xml:space="preserve"> </v>
      </c>
      <c r="I3886" s="43"/>
      <c r="K3886" t="str">
        <f>IFERROR(+VLOOKUP(Movimientos_2026[[#This Row],[Codigo]],Plan_cuentas[],6,FALSE)," ")</f>
        <v xml:space="preserve"> </v>
      </c>
      <c r="L3886" s="50"/>
      <c r="M3886" s="50"/>
      <c r="N3886" s="20">
        <f>+Movimientos_2026[[#This Row],[Ingresos]]-Movimientos_2026[[#This Row],[Egresos]]</f>
        <v>0</v>
      </c>
      <c r="O3886" s="20">
        <f>+O3885+Movimientos_2026[[#This Row],[Neto]]</f>
        <v>4581558617.7962294</v>
      </c>
    </row>
    <row r="3887" spans="1:15" x14ac:dyDescent="0.25">
      <c r="A3887" s="13"/>
      <c r="B3887" s="12">
        <f>MONTH(Movimientos_2026[[#This Row],[Fecha]])</f>
        <v>1</v>
      </c>
      <c r="C3887" s="12" t="str">
        <f>VLOOKUP((WEEKDAY(Movimientos_2026[[#This Row],[Fecha]],2)),'5. Setup'!$D$6:$E$12,2,FALSE)</f>
        <v>Sab</v>
      </c>
      <c r="E3887" t="str">
        <f>IFERROR(+VLOOKUP(Movimientos_2026[[#This Row],[Codigo]],Plan_cuentas[],2,FALSE)," ")</f>
        <v xml:space="preserve"> </v>
      </c>
      <c r="F3887" t="str">
        <f>IFERROR(+VLOOKUP(Movimientos_2026[[#This Row],[Codigo]],Plan_cuentas[],3,FALSE)," ")</f>
        <v xml:space="preserve"> </v>
      </c>
      <c r="G3887" t="str">
        <f>IFERROR(+VLOOKUP(Movimientos_2026[[#This Row],[Codigo]],Plan_cuentas[],4,FALSE)," ")</f>
        <v xml:space="preserve"> </v>
      </c>
      <c r="H3887" t="str">
        <f>IFERROR(+VLOOKUP(Movimientos_2026[[#This Row],[Codigo]],Plan_cuentas[],5,FALSE)," ")</f>
        <v xml:space="preserve"> </v>
      </c>
      <c r="I3887" s="43"/>
      <c r="K3887" t="str">
        <f>IFERROR(+VLOOKUP(Movimientos_2026[[#This Row],[Codigo]],Plan_cuentas[],6,FALSE)," ")</f>
        <v xml:space="preserve"> </v>
      </c>
      <c r="L3887" s="50"/>
      <c r="M3887" s="50"/>
      <c r="N3887" s="20">
        <f>+Movimientos_2026[[#This Row],[Ingresos]]-Movimientos_2026[[#This Row],[Egresos]]</f>
        <v>0</v>
      </c>
      <c r="O3887" s="20">
        <f>+O3886+Movimientos_2026[[#This Row],[Neto]]</f>
        <v>4581558617.7962294</v>
      </c>
    </row>
    <row r="3888" spans="1:15" x14ac:dyDescent="0.25">
      <c r="A3888" s="13"/>
      <c r="B3888" s="12">
        <f>MONTH(Movimientos_2026[[#This Row],[Fecha]])</f>
        <v>1</v>
      </c>
      <c r="C3888" s="12" t="str">
        <f>VLOOKUP((WEEKDAY(Movimientos_2026[[#This Row],[Fecha]],2)),'5. Setup'!$D$6:$E$12,2,FALSE)</f>
        <v>Sab</v>
      </c>
      <c r="E3888" t="str">
        <f>IFERROR(+VLOOKUP(Movimientos_2026[[#This Row],[Codigo]],Plan_cuentas[],2,FALSE)," ")</f>
        <v xml:space="preserve"> </v>
      </c>
      <c r="F3888" t="str">
        <f>IFERROR(+VLOOKUP(Movimientos_2026[[#This Row],[Codigo]],Plan_cuentas[],3,FALSE)," ")</f>
        <v xml:space="preserve"> </v>
      </c>
      <c r="G3888" t="str">
        <f>IFERROR(+VLOOKUP(Movimientos_2026[[#This Row],[Codigo]],Plan_cuentas[],4,FALSE)," ")</f>
        <v xml:space="preserve"> </v>
      </c>
      <c r="H3888" t="str">
        <f>IFERROR(+VLOOKUP(Movimientos_2026[[#This Row],[Codigo]],Plan_cuentas[],5,FALSE)," ")</f>
        <v xml:space="preserve"> </v>
      </c>
      <c r="I3888" s="43"/>
      <c r="K3888" t="str">
        <f>IFERROR(+VLOOKUP(Movimientos_2026[[#This Row],[Codigo]],Plan_cuentas[],6,FALSE)," ")</f>
        <v xml:space="preserve"> </v>
      </c>
      <c r="L3888" s="50"/>
      <c r="M3888" s="50"/>
      <c r="N3888" s="20">
        <f>+Movimientos_2026[[#This Row],[Ingresos]]-Movimientos_2026[[#This Row],[Egresos]]</f>
        <v>0</v>
      </c>
      <c r="O3888" s="20">
        <f>+O3887+Movimientos_2026[[#This Row],[Neto]]</f>
        <v>4581558617.7962294</v>
      </c>
    </row>
    <row r="3889" spans="1:15" x14ac:dyDescent="0.25">
      <c r="A3889" s="13"/>
      <c r="B3889" s="12">
        <f>MONTH(Movimientos_2026[[#This Row],[Fecha]])</f>
        <v>1</v>
      </c>
      <c r="C3889" s="12" t="str">
        <f>VLOOKUP((WEEKDAY(Movimientos_2026[[#This Row],[Fecha]],2)),'5. Setup'!$D$6:$E$12,2,FALSE)</f>
        <v>Sab</v>
      </c>
      <c r="E3889" t="str">
        <f>IFERROR(+VLOOKUP(Movimientos_2026[[#This Row],[Codigo]],Plan_cuentas[],2,FALSE)," ")</f>
        <v xml:space="preserve"> </v>
      </c>
      <c r="F3889" t="str">
        <f>IFERROR(+VLOOKUP(Movimientos_2026[[#This Row],[Codigo]],Plan_cuentas[],3,FALSE)," ")</f>
        <v xml:space="preserve"> </v>
      </c>
      <c r="G3889" t="str">
        <f>IFERROR(+VLOOKUP(Movimientos_2026[[#This Row],[Codigo]],Plan_cuentas[],4,FALSE)," ")</f>
        <v xml:space="preserve"> </v>
      </c>
      <c r="H3889" t="str">
        <f>IFERROR(+VLOOKUP(Movimientos_2026[[#This Row],[Codigo]],Plan_cuentas[],5,FALSE)," ")</f>
        <v xml:space="preserve"> </v>
      </c>
      <c r="I3889" s="43"/>
      <c r="K3889" t="str">
        <f>IFERROR(+VLOOKUP(Movimientos_2026[[#This Row],[Codigo]],Plan_cuentas[],6,FALSE)," ")</f>
        <v xml:space="preserve"> </v>
      </c>
      <c r="L3889" s="50"/>
      <c r="M3889" s="50"/>
      <c r="N3889" s="20">
        <f>+Movimientos_2026[[#This Row],[Ingresos]]-Movimientos_2026[[#This Row],[Egresos]]</f>
        <v>0</v>
      </c>
      <c r="O3889" s="20">
        <f>+O3888+Movimientos_2026[[#This Row],[Neto]]</f>
        <v>4581558617.7962294</v>
      </c>
    </row>
    <row r="3890" spans="1:15" x14ac:dyDescent="0.25">
      <c r="A3890" s="13"/>
      <c r="B3890" s="12">
        <f>MONTH(Movimientos_2026[[#This Row],[Fecha]])</f>
        <v>1</v>
      </c>
      <c r="C3890" s="12" t="str">
        <f>VLOOKUP((WEEKDAY(Movimientos_2026[[#This Row],[Fecha]],2)),'5. Setup'!$D$6:$E$12,2,FALSE)</f>
        <v>Sab</v>
      </c>
      <c r="E3890" t="str">
        <f>IFERROR(+VLOOKUP(Movimientos_2026[[#This Row],[Codigo]],Plan_cuentas[],2,FALSE)," ")</f>
        <v xml:space="preserve"> </v>
      </c>
      <c r="F3890" t="str">
        <f>IFERROR(+VLOOKUP(Movimientos_2026[[#This Row],[Codigo]],Plan_cuentas[],3,FALSE)," ")</f>
        <v xml:space="preserve"> </v>
      </c>
      <c r="G3890" t="str">
        <f>IFERROR(+VLOOKUP(Movimientos_2026[[#This Row],[Codigo]],Plan_cuentas[],4,FALSE)," ")</f>
        <v xml:space="preserve"> </v>
      </c>
      <c r="H3890" t="str">
        <f>IFERROR(+VLOOKUP(Movimientos_2026[[#This Row],[Codigo]],Plan_cuentas[],5,FALSE)," ")</f>
        <v xml:space="preserve"> </v>
      </c>
      <c r="I3890" s="43"/>
      <c r="K3890" t="str">
        <f>IFERROR(+VLOOKUP(Movimientos_2026[[#This Row],[Codigo]],Plan_cuentas[],6,FALSE)," ")</f>
        <v xml:space="preserve"> </v>
      </c>
      <c r="L3890" s="50"/>
      <c r="M3890" s="50"/>
      <c r="N3890" s="20">
        <f>+Movimientos_2026[[#This Row],[Ingresos]]-Movimientos_2026[[#This Row],[Egresos]]</f>
        <v>0</v>
      </c>
      <c r="O3890" s="20">
        <f>+O3889+Movimientos_2026[[#This Row],[Neto]]</f>
        <v>4581558617.7962294</v>
      </c>
    </row>
    <row r="3891" spans="1:15" x14ac:dyDescent="0.25">
      <c r="A3891" s="13"/>
      <c r="B3891" s="12">
        <f>MONTH(Movimientos_2026[[#This Row],[Fecha]])</f>
        <v>1</v>
      </c>
      <c r="C3891" s="12" t="str">
        <f>VLOOKUP((WEEKDAY(Movimientos_2026[[#This Row],[Fecha]],2)),'5. Setup'!$D$6:$E$12,2,FALSE)</f>
        <v>Sab</v>
      </c>
      <c r="E3891" t="str">
        <f>IFERROR(+VLOOKUP(Movimientos_2026[[#This Row],[Codigo]],Plan_cuentas[],2,FALSE)," ")</f>
        <v xml:space="preserve"> </v>
      </c>
      <c r="F3891" t="str">
        <f>IFERROR(+VLOOKUP(Movimientos_2026[[#This Row],[Codigo]],Plan_cuentas[],3,FALSE)," ")</f>
        <v xml:space="preserve"> </v>
      </c>
      <c r="G3891" t="str">
        <f>IFERROR(+VLOOKUP(Movimientos_2026[[#This Row],[Codigo]],Plan_cuentas[],4,FALSE)," ")</f>
        <v xml:space="preserve"> </v>
      </c>
      <c r="H3891" t="str">
        <f>IFERROR(+VLOOKUP(Movimientos_2026[[#This Row],[Codigo]],Plan_cuentas[],5,FALSE)," ")</f>
        <v xml:space="preserve"> </v>
      </c>
      <c r="I3891" s="43"/>
      <c r="K3891" t="str">
        <f>IFERROR(+VLOOKUP(Movimientos_2026[[#This Row],[Codigo]],Plan_cuentas[],6,FALSE)," ")</f>
        <v xml:space="preserve"> </v>
      </c>
      <c r="L3891" s="50"/>
      <c r="M3891" s="50"/>
      <c r="N3891" s="20">
        <f>+Movimientos_2026[[#This Row],[Ingresos]]-Movimientos_2026[[#This Row],[Egresos]]</f>
        <v>0</v>
      </c>
      <c r="O3891" s="20">
        <f>+O3890+Movimientos_2026[[#This Row],[Neto]]</f>
        <v>4581558617.7962294</v>
      </c>
    </row>
    <row r="3892" spans="1:15" x14ac:dyDescent="0.25">
      <c r="A3892" s="13"/>
      <c r="B3892" s="12">
        <f>MONTH(Movimientos_2026[[#This Row],[Fecha]])</f>
        <v>1</v>
      </c>
      <c r="C3892" s="12" t="str">
        <f>VLOOKUP((WEEKDAY(Movimientos_2026[[#This Row],[Fecha]],2)),'5. Setup'!$D$6:$E$12,2,FALSE)</f>
        <v>Sab</v>
      </c>
      <c r="E3892" t="str">
        <f>IFERROR(+VLOOKUP(Movimientos_2026[[#This Row],[Codigo]],Plan_cuentas[],2,FALSE)," ")</f>
        <v xml:space="preserve"> </v>
      </c>
      <c r="F3892" t="str">
        <f>IFERROR(+VLOOKUP(Movimientos_2026[[#This Row],[Codigo]],Plan_cuentas[],3,FALSE)," ")</f>
        <v xml:space="preserve"> </v>
      </c>
      <c r="G3892" t="str">
        <f>IFERROR(+VLOOKUP(Movimientos_2026[[#This Row],[Codigo]],Plan_cuentas[],4,FALSE)," ")</f>
        <v xml:space="preserve"> </v>
      </c>
      <c r="H3892" t="str">
        <f>IFERROR(+VLOOKUP(Movimientos_2026[[#This Row],[Codigo]],Plan_cuentas[],5,FALSE)," ")</f>
        <v xml:space="preserve"> </v>
      </c>
      <c r="I3892" s="43"/>
      <c r="K3892" t="str">
        <f>IFERROR(+VLOOKUP(Movimientos_2026[[#This Row],[Codigo]],Plan_cuentas[],6,FALSE)," ")</f>
        <v xml:space="preserve"> </v>
      </c>
      <c r="L3892" s="50"/>
      <c r="M3892" s="50"/>
      <c r="N3892" s="20">
        <f>+Movimientos_2026[[#This Row],[Ingresos]]-Movimientos_2026[[#This Row],[Egresos]]</f>
        <v>0</v>
      </c>
      <c r="O3892" s="20">
        <f>+O3891+Movimientos_2026[[#This Row],[Neto]]</f>
        <v>4581558617.7962294</v>
      </c>
    </row>
    <row r="3893" spans="1:15" x14ac:dyDescent="0.25">
      <c r="A3893" s="13"/>
      <c r="B3893" s="12">
        <f>MONTH(Movimientos_2026[[#This Row],[Fecha]])</f>
        <v>1</v>
      </c>
      <c r="C3893" s="12" t="str">
        <f>VLOOKUP((WEEKDAY(Movimientos_2026[[#This Row],[Fecha]],2)),'5. Setup'!$D$6:$E$12,2,FALSE)</f>
        <v>Sab</v>
      </c>
      <c r="E3893" t="str">
        <f>IFERROR(+VLOOKUP(Movimientos_2026[[#This Row],[Codigo]],Plan_cuentas[],2,FALSE)," ")</f>
        <v xml:space="preserve"> </v>
      </c>
      <c r="F3893" t="str">
        <f>IFERROR(+VLOOKUP(Movimientos_2026[[#This Row],[Codigo]],Plan_cuentas[],3,FALSE)," ")</f>
        <v xml:space="preserve"> </v>
      </c>
      <c r="G3893" t="str">
        <f>IFERROR(+VLOOKUP(Movimientos_2026[[#This Row],[Codigo]],Plan_cuentas[],4,FALSE)," ")</f>
        <v xml:space="preserve"> </v>
      </c>
      <c r="H3893" t="str">
        <f>IFERROR(+VLOOKUP(Movimientos_2026[[#This Row],[Codigo]],Plan_cuentas[],5,FALSE)," ")</f>
        <v xml:space="preserve"> </v>
      </c>
      <c r="I3893" s="43"/>
      <c r="K3893" t="str">
        <f>IFERROR(+VLOOKUP(Movimientos_2026[[#This Row],[Codigo]],Plan_cuentas[],6,FALSE)," ")</f>
        <v xml:space="preserve"> </v>
      </c>
      <c r="L3893" s="50"/>
      <c r="M3893" s="50"/>
      <c r="N3893" s="20">
        <f>+Movimientos_2026[[#This Row],[Ingresos]]-Movimientos_2026[[#This Row],[Egresos]]</f>
        <v>0</v>
      </c>
      <c r="O3893" s="20">
        <f>+O3892+Movimientos_2026[[#This Row],[Neto]]</f>
        <v>4581558617.7962294</v>
      </c>
    </row>
    <row r="3894" spans="1:15" x14ac:dyDescent="0.25">
      <c r="A3894" s="13"/>
      <c r="B3894" s="12">
        <f>MONTH(Movimientos_2026[[#This Row],[Fecha]])</f>
        <v>1</v>
      </c>
      <c r="C3894" s="12" t="str">
        <f>VLOOKUP((WEEKDAY(Movimientos_2026[[#This Row],[Fecha]],2)),'5. Setup'!$D$6:$E$12,2,FALSE)</f>
        <v>Sab</v>
      </c>
      <c r="E3894" t="str">
        <f>IFERROR(+VLOOKUP(Movimientos_2026[[#This Row],[Codigo]],Plan_cuentas[],2,FALSE)," ")</f>
        <v xml:space="preserve"> </v>
      </c>
      <c r="F3894" t="str">
        <f>IFERROR(+VLOOKUP(Movimientos_2026[[#This Row],[Codigo]],Plan_cuentas[],3,FALSE)," ")</f>
        <v xml:space="preserve"> </v>
      </c>
      <c r="G3894" t="str">
        <f>IFERROR(+VLOOKUP(Movimientos_2026[[#This Row],[Codigo]],Plan_cuentas[],4,FALSE)," ")</f>
        <v xml:space="preserve"> </v>
      </c>
      <c r="H3894" t="str">
        <f>IFERROR(+VLOOKUP(Movimientos_2026[[#This Row],[Codigo]],Plan_cuentas[],5,FALSE)," ")</f>
        <v xml:space="preserve"> </v>
      </c>
      <c r="I3894" s="43"/>
      <c r="K3894" t="str">
        <f>IFERROR(+VLOOKUP(Movimientos_2026[[#This Row],[Codigo]],Plan_cuentas[],6,FALSE)," ")</f>
        <v xml:space="preserve"> </v>
      </c>
      <c r="L3894" s="50"/>
      <c r="M3894" s="50"/>
      <c r="N3894" s="20">
        <f>+Movimientos_2026[[#This Row],[Ingresos]]-Movimientos_2026[[#This Row],[Egresos]]</f>
        <v>0</v>
      </c>
      <c r="O3894" s="20">
        <f>+O3893+Movimientos_2026[[#This Row],[Neto]]</f>
        <v>4581558617.7962294</v>
      </c>
    </row>
    <row r="3895" spans="1:15" x14ac:dyDescent="0.25">
      <c r="A3895" s="13"/>
      <c r="B3895" s="12">
        <f>MONTH(Movimientos_2026[[#This Row],[Fecha]])</f>
        <v>1</v>
      </c>
      <c r="C3895" s="12" t="str">
        <f>VLOOKUP((WEEKDAY(Movimientos_2026[[#This Row],[Fecha]],2)),'5. Setup'!$D$6:$E$12,2,FALSE)</f>
        <v>Sab</v>
      </c>
      <c r="E3895" t="str">
        <f>IFERROR(+VLOOKUP(Movimientos_2026[[#This Row],[Codigo]],Plan_cuentas[],2,FALSE)," ")</f>
        <v xml:space="preserve"> </v>
      </c>
      <c r="F3895" t="str">
        <f>IFERROR(+VLOOKUP(Movimientos_2026[[#This Row],[Codigo]],Plan_cuentas[],3,FALSE)," ")</f>
        <v xml:space="preserve"> </v>
      </c>
      <c r="G3895" t="str">
        <f>IFERROR(+VLOOKUP(Movimientos_2026[[#This Row],[Codigo]],Plan_cuentas[],4,FALSE)," ")</f>
        <v xml:space="preserve"> </v>
      </c>
      <c r="H3895" t="str">
        <f>IFERROR(+VLOOKUP(Movimientos_2026[[#This Row],[Codigo]],Plan_cuentas[],5,FALSE)," ")</f>
        <v xml:space="preserve"> </v>
      </c>
      <c r="I3895" s="43"/>
      <c r="K3895" t="str">
        <f>IFERROR(+VLOOKUP(Movimientos_2026[[#This Row],[Codigo]],Plan_cuentas[],6,FALSE)," ")</f>
        <v xml:space="preserve"> </v>
      </c>
      <c r="L3895" s="50"/>
      <c r="M3895" s="50"/>
      <c r="N3895" s="20">
        <f>+Movimientos_2026[[#This Row],[Ingresos]]-Movimientos_2026[[#This Row],[Egresos]]</f>
        <v>0</v>
      </c>
      <c r="O3895" s="20">
        <f>+O3894+Movimientos_2026[[#This Row],[Neto]]</f>
        <v>4581558617.7962294</v>
      </c>
    </row>
    <row r="3896" spans="1:15" x14ac:dyDescent="0.25">
      <c r="A3896" s="13"/>
      <c r="B3896" s="12">
        <f>MONTH(Movimientos_2026[[#This Row],[Fecha]])</f>
        <v>1</v>
      </c>
      <c r="C3896" s="12" t="str">
        <f>VLOOKUP((WEEKDAY(Movimientos_2026[[#This Row],[Fecha]],2)),'5. Setup'!$D$6:$E$12,2,FALSE)</f>
        <v>Sab</v>
      </c>
      <c r="E3896" t="str">
        <f>IFERROR(+VLOOKUP(Movimientos_2026[[#This Row],[Codigo]],Plan_cuentas[],2,FALSE)," ")</f>
        <v xml:space="preserve"> </v>
      </c>
      <c r="F3896" t="str">
        <f>IFERROR(+VLOOKUP(Movimientos_2026[[#This Row],[Codigo]],Plan_cuentas[],3,FALSE)," ")</f>
        <v xml:space="preserve"> </v>
      </c>
      <c r="G3896" t="str">
        <f>IFERROR(+VLOOKUP(Movimientos_2026[[#This Row],[Codigo]],Plan_cuentas[],4,FALSE)," ")</f>
        <v xml:space="preserve"> </v>
      </c>
      <c r="H3896" t="str">
        <f>IFERROR(+VLOOKUP(Movimientos_2026[[#This Row],[Codigo]],Plan_cuentas[],5,FALSE)," ")</f>
        <v xml:space="preserve"> </v>
      </c>
      <c r="I3896" s="43"/>
      <c r="K3896" t="str">
        <f>IFERROR(+VLOOKUP(Movimientos_2026[[#This Row],[Codigo]],Plan_cuentas[],6,FALSE)," ")</f>
        <v xml:space="preserve"> </v>
      </c>
      <c r="L3896" s="50"/>
      <c r="M3896" s="50"/>
      <c r="N3896" s="20">
        <f>+Movimientos_2026[[#This Row],[Ingresos]]-Movimientos_2026[[#This Row],[Egresos]]</f>
        <v>0</v>
      </c>
      <c r="O3896" s="20">
        <f>+O3895+Movimientos_2026[[#This Row],[Neto]]</f>
        <v>4581558617.7962294</v>
      </c>
    </row>
    <row r="3897" spans="1:15" x14ac:dyDescent="0.25">
      <c r="A3897" s="13"/>
      <c r="B3897" s="12">
        <f>MONTH(Movimientos_2026[[#This Row],[Fecha]])</f>
        <v>1</v>
      </c>
      <c r="C3897" s="12" t="str">
        <f>VLOOKUP((WEEKDAY(Movimientos_2026[[#This Row],[Fecha]],2)),'5. Setup'!$D$6:$E$12,2,FALSE)</f>
        <v>Sab</v>
      </c>
      <c r="E3897" t="str">
        <f>IFERROR(+VLOOKUP(Movimientos_2026[[#This Row],[Codigo]],Plan_cuentas[],2,FALSE)," ")</f>
        <v xml:space="preserve"> </v>
      </c>
      <c r="F3897" t="str">
        <f>IFERROR(+VLOOKUP(Movimientos_2026[[#This Row],[Codigo]],Plan_cuentas[],3,FALSE)," ")</f>
        <v xml:space="preserve"> </v>
      </c>
      <c r="G3897" t="str">
        <f>IFERROR(+VLOOKUP(Movimientos_2026[[#This Row],[Codigo]],Plan_cuentas[],4,FALSE)," ")</f>
        <v xml:space="preserve"> </v>
      </c>
      <c r="H3897" t="str">
        <f>IFERROR(+VLOOKUP(Movimientos_2026[[#This Row],[Codigo]],Plan_cuentas[],5,FALSE)," ")</f>
        <v xml:space="preserve"> </v>
      </c>
      <c r="I3897" s="43"/>
      <c r="K3897" t="str">
        <f>IFERROR(+VLOOKUP(Movimientos_2026[[#This Row],[Codigo]],Plan_cuentas[],6,FALSE)," ")</f>
        <v xml:space="preserve"> </v>
      </c>
      <c r="L3897" s="50"/>
      <c r="M3897" s="50"/>
      <c r="N3897" s="20">
        <f>+Movimientos_2026[[#This Row],[Ingresos]]-Movimientos_2026[[#This Row],[Egresos]]</f>
        <v>0</v>
      </c>
      <c r="O3897" s="20">
        <f>+O3896+Movimientos_2026[[#This Row],[Neto]]</f>
        <v>4581558617.7962294</v>
      </c>
    </row>
    <row r="3898" spans="1:15" x14ac:dyDescent="0.25">
      <c r="A3898" s="13"/>
      <c r="B3898" s="12">
        <f>MONTH(Movimientos_2026[[#This Row],[Fecha]])</f>
        <v>1</v>
      </c>
      <c r="C3898" s="12" t="str">
        <f>VLOOKUP((WEEKDAY(Movimientos_2026[[#This Row],[Fecha]],2)),'5. Setup'!$D$6:$E$12,2,FALSE)</f>
        <v>Sab</v>
      </c>
      <c r="E3898" t="str">
        <f>IFERROR(+VLOOKUP(Movimientos_2026[[#This Row],[Codigo]],Plan_cuentas[],2,FALSE)," ")</f>
        <v xml:space="preserve"> </v>
      </c>
      <c r="F3898" t="str">
        <f>IFERROR(+VLOOKUP(Movimientos_2026[[#This Row],[Codigo]],Plan_cuentas[],3,FALSE)," ")</f>
        <v xml:space="preserve"> </v>
      </c>
      <c r="G3898" t="str">
        <f>IFERROR(+VLOOKUP(Movimientos_2026[[#This Row],[Codigo]],Plan_cuentas[],4,FALSE)," ")</f>
        <v xml:space="preserve"> </v>
      </c>
      <c r="H3898" t="str">
        <f>IFERROR(+VLOOKUP(Movimientos_2026[[#This Row],[Codigo]],Plan_cuentas[],5,FALSE)," ")</f>
        <v xml:space="preserve"> </v>
      </c>
      <c r="I3898" s="43"/>
      <c r="K3898" t="str">
        <f>IFERROR(+VLOOKUP(Movimientos_2026[[#This Row],[Codigo]],Plan_cuentas[],6,FALSE)," ")</f>
        <v xml:space="preserve"> </v>
      </c>
      <c r="L3898" s="50"/>
      <c r="M3898" s="50"/>
      <c r="N3898" s="20">
        <f>+Movimientos_2026[[#This Row],[Ingresos]]-Movimientos_2026[[#This Row],[Egresos]]</f>
        <v>0</v>
      </c>
      <c r="O3898" s="20">
        <f>+O3897+Movimientos_2026[[#This Row],[Neto]]</f>
        <v>4581558617.7962294</v>
      </c>
    </row>
    <row r="3899" spans="1:15" x14ac:dyDescent="0.25">
      <c r="A3899" s="13"/>
      <c r="B3899" s="12">
        <f>MONTH(Movimientos_2026[[#This Row],[Fecha]])</f>
        <v>1</v>
      </c>
      <c r="C3899" s="12" t="str">
        <f>VLOOKUP((WEEKDAY(Movimientos_2026[[#This Row],[Fecha]],2)),'5. Setup'!$D$6:$E$12,2,FALSE)</f>
        <v>Sab</v>
      </c>
      <c r="E3899" t="str">
        <f>IFERROR(+VLOOKUP(Movimientos_2026[[#This Row],[Codigo]],Plan_cuentas[],2,FALSE)," ")</f>
        <v xml:space="preserve"> </v>
      </c>
      <c r="F3899" t="str">
        <f>IFERROR(+VLOOKUP(Movimientos_2026[[#This Row],[Codigo]],Plan_cuentas[],3,FALSE)," ")</f>
        <v xml:space="preserve"> </v>
      </c>
      <c r="G3899" t="str">
        <f>IFERROR(+VLOOKUP(Movimientos_2026[[#This Row],[Codigo]],Plan_cuentas[],4,FALSE)," ")</f>
        <v xml:space="preserve"> </v>
      </c>
      <c r="H3899" t="str">
        <f>IFERROR(+VLOOKUP(Movimientos_2026[[#This Row],[Codigo]],Plan_cuentas[],5,FALSE)," ")</f>
        <v xml:space="preserve"> </v>
      </c>
      <c r="I3899" s="43"/>
      <c r="K3899" t="str">
        <f>IFERROR(+VLOOKUP(Movimientos_2026[[#This Row],[Codigo]],Plan_cuentas[],6,FALSE)," ")</f>
        <v xml:space="preserve"> </v>
      </c>
      <c r="L3899" s="50"/>
      <c r="M3899" s="50"/>
      <c r="N3899" s="20">
        <f>+Movimientos_2026[[#This Row],[Ingresos]]-Movimientos_2026[[#This Row],[Egresos]]</f>
        <v>0</v>
      </c>
      <c r="O3899" s="20">
        <f>+O3898+Movimientos_2026[[#This Row],[Neto]]</f>
        <v>4581558617.7962294</v>
      </c>
    </row>
    <row r="3900" spans="1:15" x14ac:dyDescent="0.25">
      <c r="A3900" s="13"/>
      <c r="B3900" s="12">
        <f>MONTH(Movimientos_2026[[#This Row],[Fecha]])</f>
        <v>1</v>
      </c>
      <c r="C3900" s="12" t="str">
        <f>VLOOKUP((WEEKDAY(Movimientos_2026[[#This Row],[Fecha]],2)),'5. Setup'!$D$6:$E$12,2,FALSE)</f>
        <v>Sab</v>
      </c>
      <c r="E3900" t="str">
        <f>IFERROR(+VLOOKUP(Movimientos_2026[[#This Row],[Codigo]],Plan_cuentas[],2,FALSE)," ")</f>
        <v xml:space="preserve"> </v>
      </c>
      <c r="F3900" t="str">
        <f>IFERROR(+VLOOKUP(Movimientos_2026[[#This Row],[Codigo]],Plan_cuentas[],3,FALSE)," ")</f>
        <v xml:space="preserve"> </v>
      </c>
      <c r="G3900" t="str">
        <f>IFERROR(+VLOOKUP(Movimientos_2026[[#This Row],[Codigo]],Plan_cuentas[],4,FALSE)," ")</f>
        <v xml:space="preserve"> </v>
      </c>
      <c r="H3900" t="str">
        <f>IFERROR(+VLOOKUP(Movimientos_2026[[#This Row],[Codigo]],Plan_cuentas[],5,FALSE)," ")</f>
        <v xml:space="preserve"> </v>
      </c>
      <c r="I3900" s="43"/>
      <c r="K3900" t="str">
        <f>IFERROR(+VLOOKUP(Movimientos_2026[[#This Row],[Codigo]],Plan_cuentas[],6,FALSE)," ")</f>
        <v xml:space="preserve"> </v>
      </c>
      <c r="L3900" s="50"/>
      <c r="M3900" s="50"/>
      <c r="N3900" s="20">
        <f>+Movimientos_2026[[#This Row],[Ingresos]]-Movimientos_2026[[#This Row],[Egresos]]</f>
        <v>0</v>
      </c>
      <c r="O3900" s="20">
        <f>+O3899+Movimientos_2026[[#This Row],[Neto]]</f>
        <v>4581558617.7962294</v>
      </c>
    </row>
    <row r="3901" spans="1:15" x14ac:dyDescent="0.25">
      <c r="A3901" s="13"/>
      <c r="B3901" s="12">
        <f>MONTH(Movimientos_2026[[#This Row],[Fecha]])</f>
        <v>1</v>
      </c>
      <c r="C3901" s="12" t="str">
        <f>VLOOKUP((WEEKDAY(Movimientos_2026[[#This Row],[Fecha]],2)),'5. Setup'!$D$6:$E$12,2,FALSE)</f>
        <v>Sab</v>
      </c>
      <c r="E3901" t="str">
        <f>IFERROR(+VLOOKUP(Movimientos_2026[[#This Row],[Codigo]],Plan_cuentas[],2,FALSE)," ")</f>
        <v xml:space="preserve"> </v>
      </c>
      <c r="F3901" t="str">
        <f>IFERROR(+VLOOKUP(Movimientos_2026[[#This Row],[Codigo]],Plan_cuentas[],3,FALSE)," ")</f>
        <v xml:space="preserve"> </v>
      </c>
      <c r="G3901" t="str">
        <f>IFERROR(+VLOOKUP(Movimientos_2026[[#This Row],[Codigo]],Plan_cuentas[],4,FALSE)," ")</f>
        <v xml:space="preserve"> </v>
      </c>
      <c r="H3901" t="str">
        <f>IFERROR(+VLOOKUP(Movimientos_2026[[#This Row],[Codigo]],Plan_cuentas[],5,FALSE)," ")</f>
        <v xml:space="preserve"> </v>
      </c>
      <c r="I3901" s="43"/>
      <c r="K3901" t="str">
        <f>IFERROR(+VLOOKUP(Movimientos_2026[[#This Row],[Codigo]],Plan_cuentas[],6,FALSE)," ")</f>
        <v xml:space="preserve"> </v>
      </c>
      <c r="L3901" s="50"/>
      <c r="M3901" s="50"/>
      <c r="N3901" s="20">
        <f>+Movimientos_2026[[#This Row],[Ingresos]]-Movimientos_2026[[#This Row],[Egresos]]</f>
        <v>0</v>
      </c>
      <c r="O3901" s="20">
        <f>+O3900+Movimientos_2026[[#This Row],[Neto]]</f>
        <v>4581558617.7962294</v>
      </c>
    </row>
    <row r="3902" spans="1:15" x14ac:dyDescent="0.25">
      <c r="A3902" s="13"/>
      <c r="B3902" s="12">
        <f>MONTH(Movimientos_2026[[#This Row],[Fecha]])</f>
        <v>1</v>
      </c>
      <c r="C3902" s="12" t="str">
        <f>VLOOKUP((WEEKDAY(Movimientos_2026[[#This Row],[Fecha]],2)),'5. Setup'!$D$6:$E$12,2,FALSE)</f>
        <v>Sab</v>
      </c>
      <c r="E3902" t="str">
        <f>IFERROR(+VLOOKUP(Movimientos_2026[[#This Row],[Codigo]],Plan_cuentas[],2,FALSE)," ")</f>
        <v xml:space="preserve"> </v>
      </c>
      <c r="F3902" t="str">
        <f>IFERROR(+VLOOKUP(Movimientos_2026[[#This Row],[Codigo]],Plan_cuentas[],3,FALSE)," ")</f>
        <v xml:space="preserve"> </v>
      </c>
      <c r="G3902" t="str">
        <f>IFERROR(+VLOOKUP(Movimientos_2026[[#This Row],[Codigo]],Plan_cuentas[],4,FALSE)," ")</f>
        <v xml:space="preserve"> </v>
      </c>
      <c r="H3902" t="str">
        <f>IFERROR(+VLOOKUP(Movimientos_2026[[#This Row],[Codigo]],Plan_cuentas[],5,FALSE)," ")</f>
        <v xml:space="preserve"> </v>
      </c>
      <c r="I3902" s="43"/>
      <c r="K3902" t="str">
        <f>IFERROR(+VLOOKUP(Movimientos_2026[[#This Row],[Codigo]],Plan_cuentas[],6,FALSE)," ")</f>
        <v xml:space="preserve"> </v>
      </c>
      <c r="L3902" s="50"/>
      <c r="M3902" s="50"/>
      <c r="N3902" s="20">
        <f>+Movimientos_2026[[#This Row],[Ingresos]]-Movimientos_2026[[#This Row],[Egresos]]</f>
        <v>0</v>
      </c>
      <c r="O3902" s="20">
        <f>+O3901+Movimientos_2026[[#This Row],[Neto]]</f>
        <v>4581558617.7962294</v>
      </c>
    </row>
    <row r="3903" spans="1:15" x14ac:dyDescent="0.25">
      <c r="A3903" s="13"/>
      <c r="B3903" s="12">
        <f>MONTH(Movimientos_2026[[#This Row],[Fecha]])</f>
        <v>1</v>
      </c>
      <c r="C3903" s="12" t="str">
        <f>VLOOKUP((WEEKDAY(Movimientos_2026[[#This Row],[Fecha]],2)),'5. Setup'!$D$6:$E$12,2,FALSE)</f>
        <v>Sab</v>
      </c>
      <c r="E3903" t="str">
        <f>IFERROR(+VLOOKUP(Movimientos_2026[[#This Row],[Codigo]],Plan_cuentas[],2,FALSE)," ")</f>
        <v xml:space="preserve"> </v>
      </c>
      <c r="F3903" t="str">
        <f>IFERROR(+VLOOKUP(Movimientos_2026[[#This Row],[Codigo]],Plan_cuentas[],3,FALSE)," ")</f>
        <v xml:space="preserve"> </v>
      </c>
      <c r="G3903" t="str">
        <f>IFERROR(+VLOOKUP(Movimientos_2026[[#This Row],[Codigo]],Plan_cuentas[],4,FALSE)," ")</f>
        <v xml:space="preserve"> </v>
      </c>
      <c r="H3903" t="str">
        <f>IFERROR(+VLOOKUP(Movimientos_2026[[#This Row],[Codigo]],Plan_cuentas[],5,FALSE)," ")</f>
        <v xml:space="preserve"> </v>
      </c>
      <c r="I3903" s="43"/>
      <c r="K3903" t="str">
        <f>IFERROR(+VLOOKUP(Movimientos_2026[[#This Row],[Codigo]],Plan_cuentas[],6,FALSE)," ")</f>
        <v xml:space="preserve"> </v>
      </c>
      <c r="L3903" s="50"/>
      <c r="M3903" s="50"/>
      <c r="N3903" s="20">
        <f>+Movimientos_2026[[#This Row],[Ingresos]]-Movimientos_2026[[#This Row],[Egresos]]</f>
        <v>0</v>
      </c>
      <c r="O3903" s="20">
        <f>+O3902+Movimientos_2026[[#This Row],[Neto]]</f>
        <v>4581558617.7962294</v>
      </c>
    </row>
    <row r="3904" spans="1:15" x14ac:dyDescent="0.25">
      <c r="A3904" s="13"/>
      <c r="B3904" s="12">
        <f>MONTH(Movimientos_2026[[#This Row],[Fecha]])</f>
        <v>1</v>
      </c>
      <c r="C3904" s="12" t="str">
        <f>VLOOKUP((WEEKDAY(Movimientos_2026[[#This Row],[Fecha]],2)),'5. Setup'!$D$6:$E$12,2,FALSE)</f>
        <v>Sab</v>
      </c>
      <c r="E3904" t="str">
        <f>IFERROR(+VLOOKUP(Movimientos_2026[[#This Row],[Codigo]],Plan_cuentas[],2,FALSE)," ")</f>
        <v xml:space="preserve"> </v>
      </c>
      <c r="F3904" t="str">
        <f>IFERROR(+VLOOKUP(Movimientos_2026[[#This Row],[Codigo]],Plan_cuentas[],3,FALSE)," ")</f>
        <v xml:space="preserve"> </v>
      </c>
      <c r="G3904" t="str">
        <f>IFERROR(+VLOOKUP(Movimientos_2026[[#This Row],[Codigo]],Plan_cuentas[],4,FALSE)," ")</f>
        <v xml:space="preserve"> </v>
      </c>
      <c r="H3904" t="str">
        <f>IFERROR(+VLOOKUP(Movimientos_2026[[#This Row],[Codigo]],Plan_cuentas[],5,FALSE)," ")</f>
        <v xml:space="preserve"> </v>
      </c>
      <c r="I3904" s="43"/>
      <c r="K3904" t="str">
        <f>IFERROR(+VLOOKUP(Movimientos_2026[[#This Row],[Codigo]],Plan_cuentas[],6,FALSE)," ")</f>
        <v xml:space="preserve"> </v>
      </c>
      <c r="L3904" s="50"/>
      <c r="M3904" s="50"/>
      <c r="N3904" s="20">
        <f>+Movimientos_2026[[#This Row],[Ingresos]]-Movimientos_2026[[#This Row],[Egresos]]</f>
        <v>0</v>
      </c>
      <c r="O3904" s="20">
        <f>+O3903+Movimientos_2026[[#This Row],[Neto]]</f>
        <v>4581558617.7962294</v>
      </c>
    </row>
    <row r="3905" spans="1:15" x14ac:dyDescent="0.25">
      <c r="A3905" s="13"/>
      <c r="B3905" s="12">
        <f>MONTH(Movimientos_2026[[#This Row],[Fecha]])</f>
        <v>1</v>
      </c>
      <c r="C3905" s="12" t="str">
        <f>VLOOKUP((WEEKDAY(Movimientos_2026[[#This Row],[Fecha]],2)),'5. Setup'!$D$6:$E$12,2,FALSE)</f>
        <v>Sab</v>
      </c>
      <c r="E3905" t="str">
        <f>IFERROR(+VLOOKUP(Movimientos_2026[[#This Row],[Codigo]],Plan_cuentas[],2,FALSE)," ")</f>
        <v xml:space="preserve"> </v>
      </c>
      <c r="F3905" t="str">
        <f>IFERROR(+VLOOKUP(Movimientos_2026[[#This Row],[Codigo]],Plan_cuentas[],3,FALSE)," ")</f>
        <v xml:space="preserve"> </v>
      </c>
      <c r="G3905" t="str">
        <f>IFERROR(+VLOOKUP(Movimientos_2026[[#This Row],[Codigo]],Plan_cuentas[],4,FALSE)," ")</f>
        <v xml:space="preserve"> </v>
      </c>
      <c r="H3905" t="str">
        <f>IFERROR(+VLOOKUP(Movimientos_2026[[#This Row],[Codigo]],Plan_cuentas[],5,FALSE)," ")</f>
        <v xml:space="preserve"> </v>
      </c>
      <c r="I3905" s="43"/>
      <c r="K3905" t="str">
        <f>IFERROR(+VLOOKUP(Movimientos_2026[[#This Row],[Codigo]],Plan_cuentas[],6,FALSE)," ")</f>
        <v xml:space="preserve"> </v>
      </c>
      <c r="L3905" s="50"/>
      <c r="M3905" s="50"/>
      <c r="N3905" s="20">
        <f>+Movimientos_2026[[#This Row],[Ingresos]]-Movimientos_2026[[#This Row],[Egresos]]</f>
        <v>0</v>
      </c>
      <c r="O3905" s="20">
        <f>+O3904+Movimientos_2026[[#This Row],[Neto]]</f>
        <v>4581558617.7962294</v>
      </c>
    </row>
    <row r="3906" spans="1:15" x14ac:dyDescent="0.25">
      <c r="A3906" s="13"/>
      <c r="B3906" s="12">
        <f>MONTH(Movimientos_2026[[#This Row],[Fecha]])</f>
        <v>1</v>
      </c>
      <c r="C3906" s="12" t="str">
        <f>VLOOKUP((WEEKDAY(Movimientos_2026[[#This Row],[Fecha]],2)),'5. Setup'!$D$6:$E$12,2,FALSE)</f>
        <v>Sab</v>
      </c>
      <c r="E3906" t="str">
        <f>IFERROR(+VLOOKUP(Movimientos_2026[[#This Row],[Codigo]],Plan_cuentas[],2,FALSE)," ")</f>
        <v xml:space="preserve"> </v>
      </c>
      <c r="F3906" t="str">
        <f>IFERROR(+VLOOKUP(Movimientos_2026[[#This Row],[Codigo]],Plan_cuentas[],3,FALSE)," ")</f>
        <v xml:space="preserve"> </v>
      </c>
      <c r="G3906" t="str">
        <f>IFERROR(+VLOOKUP(Movimientos_2026[[#This Row],[Codigo]],Plan_cuentas[],4,FALSE)," ")</f>
        <v xml:space="preserve"> </v>
      </c>
      <c r="H3906" t="str">
        <f>IFERROR(+VLOOKUP(Movimientos_2026[[#This Row],[Codigo]],Plan_cuentas[],5,FALSE)," ")</f>
        <v xml:space="preserve"> </v>
      </c>
      <c r="I3906" s="43"/>
      <c r="K3906" t="str">
        <f>IFERROR(+VLOOKUP(Movimientos_2026[[#This Row],[Codigo]],Plan_cuentas[],6,FALSE)," ")</f>
        <v xml:space="preserve"> </v>
      </c>
      <c r="L3906" s="50"/>
      <c r="M3906" s="50"/>
      <c r="N3906" s="20">
        <f>+Movimientos_2026[[#This Row],[Ingresos]]-Movimientos_2026[[#This Row],[Egresos]]</f>
        <v>0</v>
      </c>
      <c r="O3906" s="20">
        <f>+O3905+Movimientos_2026[[#This Row],[Neto]]</f>
        <v>4581558617.7962294</v>
      </c>
    </row>
    <row r="3907" spans="1:15" x14ac:dyDescent="0.25">
      <c r="A3907" s="13"/>
      <c r="B3907" s="12">
        <f>MONTH(Movimientos_2026[[#This Row],[Fecha]])</f>
        <v>1</v>
      </c>
      <c r="C3907" s="12" t="str">
        <f>VLOOKUP((WEEKDAY(Movimientos_2026[[#This Row],[Fecha]],2)),'5. Setup'!$D$6:$E$12,2,FALSE)</f>
        <v>Sab</v>
      </c>
      <c r="E3907" t="str">
        <f>IFERROR(+VLOOKUP(Movimientos_2026[[#This Row],[Codigo]],Plan_cuentas[],2,FALSE)," ")</f>
        <v xml:space="preserve"> </v>
      </c>
      <c r="F3907" t="str">
        <f>IFERROR(+VLOOKUP(Movimientos_2026[[#This Row],[Codigo]],Plan_cuentas[],3,FALSE)," ")</f>
        <v xml:space="preserve"> </v>
      </c>
      <c r="G3907" t="str">
        <f>IFERROR(+VLOOKUP(Movimientos_2026[[#This Row],[Codigo]],Plan_cuentas[],4,FALSE)," ")</f>
        <v xml:space="preserve"> </v>
      </c>
      <c r="H3907" t="str">
        <f>IFERROR(+VLOOKUP(Movimientos_2026[[#This Row],[Codigo]],Plan_cuentas[],5,FALSE)," ")</f>
        <v xml:space="preserve"> </v>
      </c>
      <c r="I3907" s="43"/>
      <c r="K3907" t="str">
        <f>IFERROR(+VLOOKUP(Movimientos_2026[[#This Row],[Codigo]],Plan_cuentas[],6,FALSE)," ")</f>
        <v xml:space="preserve"> </v>
      </c>
      <c r="L3907" s="50"/>
      <c r="M3907" s="50"/>
      <c r="N3907" s="20">
        <f>+Movimientos_2026[[#This Row],[Ingresos]]-Movimientos_2026[[#This Row],[Egresos]]</f>
        <v>0</v>
      </c>
      <c r="O3907" s="20">
        <f>+O3906+Movimientos_2026[[#This Row],[Neto]]</f>
        <v>4581558617.7962294</v>
      </c>
    </row>
    <row r="3908" spans="1:15" x14ac:dyDescent="0.25">
      <c r="A3908" s="13"/>
      <c r="B3908" s="12">
        <f>MONTH(Movimientos_2026[[#This Row],[Fecha]])</f>
        <v>1</v>
      </c>
      <c r="C3908" s="12" t="str">
        <f>VLOOKUP((WEEKDAY(Movimientos_2026[[#This Row],[Fecha]],2)),'5. Setup'!$D$6:$E$12,2,FALSE)</f>
        <v>Sab</v>
      </c>
      <c r="E3908" t="str">
        <f>IFERROR(+VLOOKUP(Movimientos_2026[[#This Row],[Codigo]],Plan_cuentas[],2,FALSE)," ")</f>
        <v xml:space="preserve"> </v>
      </c>
      <c r="F3908" t="str">
        <f>IFERROR(+VLOOKUP(Movimientos_2026[[#This Row],[Codigo]],Plan_cuentas[],3,FALSE)," ")</f>
        <v xml:space="preserve"> </v>
      </c>
      <c r="G3908" t="str">
        <f>IFERROR(+VLOOKUP(Movimientos_2026[[#This Row],[Codigo]],Plan_cuentas[],4,FALSE)," ")</f>
        <v xml:space="preserve"> </v>
      </c>
      <c r="H3908" t="str">
        <f>IFERROR(+VLOOKUP(Movimientos_2026[[#This Row],[Codigo]],Plan_cuentas[],5,FALSE)," ")</f>
        <v xml:space="preserve"> </v>
      </c>
      <c r="I3908" s="43"/>
      <c r="K3908" t="str">
        <f>IFERROR(+VLOOKUP(Movimientos_2026[[#This Row],[Codigo]],Plan_cuentas[],6,FALSE)," ")</f>
        <v xml:space="preserve"> </v>
      </c>
      <c r="L3908" s="50"/>
      <c r="M3908" s="50"/>
      <c r="N3908" s="20">
        <f>+Movimientos_2026[[#This Row],[Ingresos]]-Movimientos_2026[[#This Row],[Egresos]]</f>
        <v>0</v>
      </c>
      <c r="O3908" s="20">
        <f>+O3907+Movimientos_2026[[#This Row],[Neto]]</f>
        <v>4581558617.7962294</v>
      </c>
    </row>
    <row r="3909" spans="1:15" x14ac:dyDescent="0.25">
      <c r="A3909" s="13"/>
      <c r="B3909" s="12">
        <f>MONTH(Movimientos_2026[[#This Row],[Fecha]])</f>
        <v>1</v>
      </c>
      <c r="C3909" s="12" t="str">
        <f>VLOOKUP((WEEKDAY(Movimientos_2026[[#This Row],[Fecha]],2)),'5. Setup'!$D$6:$E$12,2,FALSE)</f>
        <v>Sab</v>
      </c>
      <c r="E3909" t="str">
        <f>IFERROR(+VLOOKUP(Movimientos_2026[[#This Row],[Codigo]],Plan_cuentas[],2,FALSE)," ")</f>
        <v xml:space="preserve"> </v>
      </c>
      <c r="F3909" t="str">
        <f>IFERROR(+VLOOKUP(Movimientos_2026[[#This Row],[Codigo]],Plan_cuentas[],3,FALSE)," ")</f>
        <v xml:space="preserve"> </v>
      </c>
      <c r="G3909" t="str">
        <f>IFERROR(+VLOOKUP(Movimientos_2026[[#This Row],[Codigo]],Plan_cuentas[],4,FALSE)," ")</f>
        <v xml:space="preserve"> </v>
      </c>
      <c r="H3909" t="str">
        <f>IFERROR(+VLOOKUP(Movimientos_2026[[#This Row],[Codigo]],Plan_cuentas[],5,FALSE)," ")</f>
        <v xml:space="preserve"> </v>
      </c>
      <c r="I3909" s="43"/>
      <c r="K3909" t="str">
        <f>IFERROR(+VLOOKUP(Movimientos_2026[[#This Row],[Codigo]],Plan_cuentas[],6,FALSE)," ")</f>
        <v xml:space="preserve"> </v>
      </c>
      <c r="L3909" s="50"/>
      <c r="M3909" s="50"/>
      <c r="N3909" s="20">
        <f>+Movimientos_2026[[#This Row],[Ingresos]]-Movimientos_2026[[#This Row],[Egresos]]</f>
        <v>0</v>
      </c>
      <c r="O3909" s="20">
        <f>+O3908+Movimientos_2026[[#This Row],[Neto]]</f>
        <v>4581558617.7962294</v>
      </c>
    </row>
    <row r="3910" spans="1:15" x14ac:dyDescent="0.25">
      <c r="A3910" s="13"/>
      <c r="B3910" s="12">
        <f>MONTH(Movimientos_2026[[#This Row],[Fecha]])</f>
        <v>1</v>
      </c>
      <c r="C3910" s="12" t="str">
        <f>VLOOKUP((WEEKDAY(Movimientos_2026[[#This Row],[Fecha]],2)),'5. Setup'!$D$6:$E$12,2,FALSE)</f>
        <v>Sab</v>
      </c>
      <c r="E3910" t="str">
        <f>IFERROR(+VLOOKUP(Movimientos_2026[[#This Row],[Codigo]],Plan_cuentas[],2,FALSE)," ")</f>
        <v xml:space="preserve"> </v>
      </c>
      <c r="F3910" t="str">
        <f>IFERROR(+VLOOKUP(Movimientos_2026[[#This Row],[Codigo]],Plan_cuentas[],3,FALSE)," ")</f>
        <v xml:space="preserve"> </v>
      </c>
      <c r="G3910" t="str">
        <f>IFERROR(+VLOOKUP(Movimientos_2026[[#This Row],[Codigo]],Plan_cuentas[],4,FALSE)," ")</f>
        <v xml:space="preserve"> </v>
      </c>
      <c r="H3910" t="str">
        <f>IFERROR(+VLOOKUP(Movimientos_2026[[#This Row],[Codigo]],Plan_cuentas[],5,FALSE)," ")</f>
        <v xml:space="preserve"> </v>
      </c>
      <c r="I3910" s="43"/>
      <c r="K3910" t="str">
        <f>IFERROR(+VLOOKUP(Movimientos_2026[[#This Row],[Codigo]],Plan_cuentas[],6,FALSE)," ")</f>
        <v xml:space="preserve"> </v>
      </c>
      <c r="L3910" s="50"/>
      <c r="M3910" s="50"/>
      <c r="N3910" s="20">
        <f>+Movimientos_2026[[#This Row],[Ingresos]]-Movimientos_2026[[#This Row],[Egresos]]</f>
        <v>0</v>
      </c>
      <c r="O3910" s="20">
        <f>+O3909+Movimientos_2026[[#This Row],[Neto]]</f>
        <v>4581558617.7962294</v>
      </c>
    </row>
    <row r="3911" spans="1:15" x14ac:dyDescent="0.25">
      <c r="A3911" s="13"/>
      <c r="B3911" s="12">
        <f>MONTH(Movimientos_2026[[#This Row],[Fecha]])</f>
        <v>1</v>
      </c>
      <c r="C3911" s="12" t="str">
        <f>VLOOKUP((WEEKDAY(Movimientos_2026[[#This Row],[Fecha]],2)),'5. Setup'!$D$6:$E$12,2,FALSE)</f>
        <v>Sab</v>
      </c>
      <c r="E3911" t="str">
        <f>IFERROR(+VLOOKUP(Movimientos_2026[[#This Row],[Codigo]],Plan_cuentas[],2,FALSE)," ")</f>
        <v xml:space="preserve"> </v>
      </c>
      <c r="F3911" t="str">
        <f>IFERROR(+VLOOKUP(Movimientos_2026[[#This Row],[Codigo]],Plan_cuentas[],3,FALSE)," ")</f>
        <v xml:space="preserve"> </v>
      </c>
      <c r="G3911" t="str">
        <f>IFERROR(+VLOOKUP(Movimientos_2026[[#This Row],[Codigo]],Plan_cuentas[],4,FALSE)," ")</f>
        <v xml:space="preserve"> </v>
      </c>
      <c r="H3911" t="str">
        <f>IFERROR(+VLOOKUP(Movimientos_2026[[#This Row],[Codigo]],Plan_cuentas[],5,FALSE)," ")</f>
        <v xml:space="preserve"> </v>
      </c>
      <c r="I3911" s="43"/>
      <c r="K3911" t="str">
        <f>IFERROR(+VLOOKUP(Movimientos_2026[[#This Row],[Codigo]],Plan_cuentas[],6,FALSE)," ")</f>
        <v xml:space="preserve"> </v>
      </c>
      <c r="L3911" s="50"/>
      <c r="M3911" s="50"/>
      <c r="N3911" s="20">
        <f>+Movimientos_2026[[#This Row],[Ingresos]]-Movimientos_2026[[#This Row],[Egresos]]</f>
        <v>0</v>
      </c>
      <c r="O3911" s="20">
        <f>+O3910+Movimientos_2026[[#This Row],[Neto]]</f>
        <v>4581558617.7962294</v>
      </c>
    </row>
    <row r="3912" spans="1:15" x14ac:dyDescent="0.25">
      <c r="A3912" s="13"/>
      <c r="B3912" s="12">
        <f>MONTH(Movimientos_2026[[#This Row],[Fecha]])</f>
        <v>1</v>
      </c>
      <c r="C3912" s="12" t="str">
        <f>VLOOKUP((WEEKDAY(Movimientos_2026[[#This Row],[Fecha]],2)),'5. Setup'!$D$6:$E$12,2,FALSE)</f>
        <v>Sab</v>
      </c>
      <c r="E3912" t="str">
        <f>IFERROR(+VLOOKUP(Movimientos_2026[[#This Row],[Codigo]],Plan_cuentas[],2,FALSE)," ")</f>
        <v xml:space="preserve"> </v>
      </c>
      <c r="F3912" t="str">
        <f>IFERROR(+VLOOKUP(Movimientos_2026[[#This Row],[Codigo]],Plan_cuentas[],3,FALSE)," ")</f>
        <v xml:space="preserve"> </v>
      </c>
      <c r="G3912" t="str">
        <f>IFERROR(+VLOOKUP(Movimientos_2026[[#This Row],[Codigo]],Plan_cuentas[],4,FALSE)," ")</f>
        <v xml:space="preserve"> </v>
      </c>
      <c r="H3912" t="str">
        <f>IFERROR(+VLOOKUP(Movimientos_2026[[#This Row],[Codigo]],Plan_cuentas[],5,FALSE)," ")</f>
        <v xml:space="preserve"> </v>
      </c>
      <c r="I3912" s="43"/>
      <c r="K3912" t="str">
        <f>IFERROR(+VLOOKUP(Movimientos_2026[[#This Row],[Codigo]],Plan_cuentas[],6,FALSE)," ")</f>
        <v xml:space="preserve"> </v>
      </c>
      <c r="L3912" s="50"/>
      <c r="M3912" s="50"/>
      <c r="N3912" s="20">
        <f>+Movimientos_2026[[#This Row],[Ingresos]]-Movimientos_2026[[#This Row],[Egresos]]</f>
        <v>0</v>
      </c>
      <c r="O3912" s="20">
        <f>+O3911+Movimientos_2026[[#This Row],[Neto]]</f>
        <v>4581558617.7962294</v>
      </c>
    </row>
    <row r="3913" spans="1:15" x14ac:dyDescent="0.25">
      <c r="A3913" s="13"/>
      <c r="B3913" s="12">
        <f>MONTH(Movimientos_2026[[#This Row],[Fecha]])</f>
        <v>1</v>
      </c>
      <c r="C3913" s="12" t="str">
        <f>VLOOKUP((WEEKDAY(Movimientos_2026[[#This Row],[Fecha]],2)),'5. Setup'!$D$6:$E$12,2,FALSE)</f>
        <v>Sab</v>
      </c>
      <c r="E3913" t="str">
        <f>IFERROR(+VLOOKUP(Movimientos_2026[[#This Row],[Codigo]],Plan_cuentas[],2,FALSE)," ")</f>
        <v xml:space="preserve"> </v>
      </c>
      <c r="F3913" t="str">
        <f>IFERROR(+VLOOKUP(Movimientos_2026[[#This Row],[Codigo]],Plan_cuentas[],3,FALSE)," ")</f>
        <v xml:space="preserve"> </v>
      </c>
      <c r="G3913" t="str">
        <f>IFERROR(+VLOOKUP(Movimientos_2026[[#This Row],[Codigo]],Plan_cuentas[],4,FALSE)," ")</f>
        <v xml:space="preserve"> </v>
      </c>
      <c r="H3913" t="str">
        <f>IFERROR(+VLOOKUP(Movimientos_2026[[#This Row],[Codigo]],Plan_cuentas[],5,FALSE)," ")</f>
        <v xml:space="preserve"> </v>
      </c>
      <c r="I3913" s="43"/>
      <c r="K3913" t="str">
        <f>IFERROR(+VLOOKUP(Movimientos_2026[[#This Row],[Codigo]],Plan_cuentas[],6,FALSE)," ")</f>
        <v xml:space="preserve"> </v>
      </c>
      <c r="L3913" s="50"/>
      <c r="M3913" s="50"/>
      <c r="N3913" s="20">
        <f>+Movimientos_2026[[#This Row],[Ingresos]]-Movimientos_2026[[#This Row],[Egresos]]</f>
        <v>0</v>
      </c>
      <c r="O3913" s="20">
        <f>+O3912+Movimientos_2026[[#This Row],[Neto]]</f>
        <v>4581558617.7962294</v>
      </c>
    </row>
    <row r="3914" spans="1:15" x14ac:dyDescent="0.25">
      <c r="A3914" s="13"/>
      <c r="B3914" s="12">
        <f>MONTH(Movimientos_2026[[#This Row],[Fecha]])</f>
        <v>1</v>
      </c>
      <c r="C3914" s="12" t="str">
        <f>VLOOKUP((WEEKDAY(Movimientos_2026[[#This Row],[Fecha]],2)),'5. Setup'!$D$6:$E$12,2,FALSE)</f>
        <v>Sab</v>
      </c>
      <c r="E3914" t="str">
        <f>IFERROR(+VLOOKUP(Movimientos_2026[[#This Row],[Codigo]],Plan_cuentas[],2,FALSE)," ")</f>
        <v xml:space="preserve"> </v>
      </c>
      <c r="F3914" t="str">
        <f>IFERROR(+VLOOKUP(Movimientos_2026[[#This Row],[Codigo]],Plan_cuentas[],3,FALSE)," ")</f>
        <v xml:space="preserve"> </v>
      </c>
      <c r="G3914" t="str">
        <f>IFERROR(+VLOOKUP(Movimientos_2026[[#This Row],[Codigo]],Plan_cuentas[],4,FALSE)," ")</f>
        <v xml:space="preserve"> </v>
      </c>
      <c r="H3914" t="str">
        <f>IFERROR(+VLOOKUP(Movimientos_2026[[#This Row],[Codigo]],Plan_cuentas[],5,FALSE)," ")</f>
        <v xml:space="preserve"> </v>
      </c>
      <c r="I3914" s="43"/>
      <c r="K3914" t="str">
        <f>IFERROR(+VLOOKUP(Movimientos_2026[[#This Row],[Codigo]],Plan_cuentas[],6,FALSE)," ")</f>
        <v xml:space="preserve"> </v>
      </c>
      <c r="L3914" s="50"/>
      <c r="M3914" s="50"/>
      <c r="N3914" s="20">
        <f>+Movimientos_2026[[#This Row],[Ingresos]]-Movimientos_2026[[#This Row],[Egresos]]</f>
        <v>0</v>
      </c>
      <c r="O3914" s="20">
        <f>+O3913+Movimientos_2026[[#This Row],[Neto]]</f>
        <v>4581558617.7962294</v>
      </c>
    </row>
    <row r="3915" spans="1:15" x14ac:dyDescent="0.25">
      <c r="A3915" s="13"/>
      <c r="B3915" s="12">
        <f>MONTH(Movimientos_2026[[#This Row],[Fecha]])</f>
        <v>1</v>
      </c>
      <c r="C3915" s="12" t="str">
        <f>VLOOKUP((WEEKDAY(Movimientos_2026[[#This Row],[Fecha]],2)),'5. Setup'!$D$6:$E$12,2,FALSE)</f>
        <v>Sab</v>
      </c>
      <c r="E3915" t="str">
        <f>IFERROR(+VLOOKUP(Movimientos_2026[[#This Row],[Codigo]],Plan_cuentas[],2,FALSE)," ")</f>
        <v xml:space="preserve"> </v>
      </c>
      <c r="F3915" t="str">
        <f>IFERROR(+VLOOKUP(Movimientos_2026[[#This Row],[Codigo]],Plan_cuentas[],3,FALSE)," ")</f>
        <v xml:space="preserve"> </v>
      </c>
      <c r="G3915" t="str">
        <f>IFERROR(+VLOOKUP(Movimientos_2026[[#This Row],[Codigo]],Plan_cuentas[],4,FALSE)," ")</f>
        <v xml:space="preserve"> </v>
      </c>
      <c r="H3915" t="str">
        <f>IFERROR(+VLOOKUP(Movimientos_2026[[#This Row],[Codigo]],Plan_cuentas[],5,FALSE)," ")</f>
        <v xml:space="preserve"> </v>
      </c>
      <c r="I3915" s="43"/>
      <c r="K3915" t="str">
        <f>IFERROR(+VLOOKUP(Movimientos_2026[[#This Row],[Codigo]],Plan_cuentas[],6,FALSE)," ")</f>
        <v xml:space="preserve"> </v>
      </c>
      <c r="L3915" s="50"/>
      <c r="M3915" s="50"/>
      <c r="N3915" s="20">
        <f>+Movimientos_2026[[#This Row],[Ingresos]]-Movimientos_2026[[#This Row],[Egresos]]</f>
        <v>0</v>
      </c>
      <c r="O3915" s="20">
        <f>+O3914+Movimientos_2026[[#This Row],[Neto]]</f>
        <v>4581558617.7962294</v>
      </c>
    </row>
    <row r="3916" spans="1:15" x14ac:dyDescent="0.25">
      <c r="A3916" s="13"/>
      <c r="B3916" s="12">
        <f>MONTH(Movimientos_2026[[#This Row],[Fecha]])</f>
        <v>1</v>
      </c>
      <c r="C3916" s="12" t="str">
        <f>VLOOKUP((WEEKDAY(Movimientos_2026[[#This Row],[Fecha]],2)),'5. Setup'!$D$6:$E$12,2,FALSE)</f>
        <v>Sab</v>
      </c>
      <c r="E3916" t="str">
        <f>IFERROR(+VLOOKUP(Movimientos_2026[[#This Row],[Codigo]],Plan_cuentas[],2,FALSE)," ")</f>
        <v xml:space="preserve"> </v>
      </c>
      <c r="F3916" t="str">
        <f>IFERROR(+VLOOKUP(Movimientos_2026[[#This Row],[Codigo]],Plan_cuentas[],3,FALSE)," ")</f>
        <v xml:space="preserve"> </v>
      </c>
      <c r="G3916" t="str">
        <f>IFERROR(+VLOOKUP(Movimientos_2026[[#This Row],[Codigo]],Plan_cuentas[],4,FALSE)," ")</f>
        <v xml:space="preserve"> </v>
      </c>
      <c r="H3916" t="str">
        <f>IFERROR(+VLOOKUP(Movimientos_2026[[#This Row],[Codigo]],Plan_cuentas[],5,FALSE)," ")</f>
        <v xml:space="preserve"> </v>
      </c>
      <c r="I3916" s="43"/>
      <c r="K3916" t="str">
        <f>IFERROR(+VLOOKUP(Movimientos_2026[[#This Row],[Codigo]],Plan_cuentas[],6,FALSE)," ")</f>
        <v xml:space="preserve"> </v>
      </c>
      <c r="L3916" s="50"/>
      <c r="M3916" s="50"/>
      <c r="N3916" s="20">
        <f>+Movimientos_2026[[#This Row],[Ingresos]]-Movimientos_2026[[#This Row],[Egresos]]</f>
        <v>0</v>
      </c>
      <c r="O3916" s="20">
        <f>+O3915+Movimientos_2026[[#This Row],[Neto]]</f>
        <v>4581558617.7962294</v>
      </c>
    </row>
    <row r="3917" spans="1:15" x14ac:dyDescent="0.25">
      <c r="A3917" s="13"/>
      <c r="B3917" s="12">
        <f>MONTH(Movimientos_2026[[#This Row],[Fecha]])</f>
        <v>1</v>
      </c>
      <c r="C3917" s="12" t="str">
        <f>VLOOKUP((WEEKDAY(Movimientos_2026[[#This Row],[Fecha]],2)),'5. Setup'!$D$6:$E$12,2,FALSE)</f>
        <v>Sab</v>
      </c>
      <c r="E3917" t="str">
        <f>IFERROR(+VLOOKUP(Movimientos_2026[[#This Row],[Codigo]],Plan_cuentas[],2,FALSE)," ")</f>
        <v xml:space="preserve"> </v>
      </c>
      <c r="F3917" t="str">
        <f>IFERROR(+VLOOKUP(Movimientos_2026[[#This Row],[Codigo]],Plan_cuentas[],3,FALSE)," ")</f>
        <v xml:space="preserve"> </v>
      </c>
      <c r="G3917" t="str">
        <f>IFERROR(+VLOOKUP(Movimientos_2026[[#This Row],[Codigo]],Plan_cuentas[],4,FALSE)," ")</f>
        <v xml:space="preserve"> </v>
      </c>
      <c r="H3917" t="str">
        <f>IFERROR(+VLOOKUP(Movimientos_2026[[#This Row],[Codigo]],Plan_cuentas[],5,FALSE)," ")</f>
        <v xml:space="preserve"> </v>
      </c>
      <c r="I3917" s="43"/>
      <c r="K3917" t="str">
        <f>IFERROR(+VLOOKUP(Movimientos_2026[[#This Row],[Codigo]],Plan_cuentas[],6,FALSE)," ")</f>
        <v xml:space="preserve"> </v>
      </c>
      <c r="L3917" s="50"/>
      <c r="M3917" s="50"/>
      <c r="N3917" s="20">
        <f>+Movimientos_2026[[#This Row],[Ingresos]]-Movimientos_2026[[#This Row],[Egresos]]</f>
        <v>0</v>
      </c>
      <c r="O3917" s="20">
        <f>+O3916+Movimientos_2026[[#This Row],[Neto]]</f>
        <v>4581558617.7962294</v>
      </c>
    </row>
    <row r="3918" spans="1:15" x14ac:dyDescent="0.25">
      <c r="A3918" s="13"/>
      <c r="B3918" s="12">
        <f>MONTH(Movimientos_2026[[#This Row],[Fecha]])</f>
        <v>1</v>
      </c>
      <c r="C3918" s="12" t="str">
        <f>VLOOKUP((WEEKDAY(Movimientos_2026[[#This Row],[Fecha]],2)),'5. Setup'!$D$6:$E$12,2,FALSE)</f>
        <v>Sab</v>
      </c>
      <c r="E3918" t="str">
        <f>IFERROR(+VLOOKUP(Movimientos_2026[[#This Row],[Codigo]],Plan_cuentas[],2,FALSE)," ")</f>
        <v xml:space="preserve"> </v>
      </c>
      <c r="F3918" t="str">
        <f>IFERROR(+VLOOKUP(Movimientos_2026[[#This Row],[Codigo]],Plan_cuentas[],3,FALSE)," ")</f>
        <v xml:space="preserve"> </v>
      </c>
      <c r="G3918" t="str">
        <f>IFERROR(+VLOOKUP(Movimientos_2026[[#This Row],[Codigo]],Plan_cuentas[],4,FALSE)," ")</f>
        <v xml:space="preserve"> </v>
      </c>
      <c r="H3918" t="str">
        <f>IFERROR(+VLOOKUP(Movimientos_2026[[#This Row],[Codigo]],Plan_cuentas[],5,FALSE)," ")</f>
        <v xml:space="preserve"> </v>
      </c>
      <c r="I3918" s="43"/>
      <c r="K3918" t="str">
        <f>IFERROR(+VLOOKUP(Movimientos_2026[[#This Row],[Codigo]],Plan_cuentas[],6,FALSE)," ")</f>
        <v xml:space="preserve"> </v>
      </c>
      <c r="L3918" s="50"/>
      <c r="M3918" s="50"/>
      <c r="N3918" s="20">
        <f>+Movimientos_2026[[#This Row],[Ingresos]]-Movimientos_2026[[#This Row],[Egresos]]</f>
        <v>0</v>
      </c>
      <c r="O3918" s="20">
        <f>+O3917+Movimientos_2026[[#This Row],[Neto]]</f>
        <v>4581558617.7962294</v>
      </c>
    </row>
    <row r="3919" spans="1:15" ht="15.75" customHeight="1" x14ac:dyDescent="0.25">
      <c r="A3919" s="13"/>
      <c r="B3919" s="12">
        <f>MONTH(Movimientos_2026[[#This Row],[Fecha]])</f>
        <v>1</v>
      </c>
      <c r="C3919" s="12" t="str">
        <f>VLOOKUP((WEEKDAY(Movimientos_2026[[#This Row],[Fecha]],2)),'5. Setup'!$D$6:$E$12,2,FALSE)</f>
        <v>Sab</v>
      </c>
      <c r="E3919" t="str">
        <f>IFERROR(+VLOOKUP(Movimientos_2026[[#This Row],[Codigo]],Plan_cuentas[],2,FALSE)," ")</f>
        <v xml:space="preserve"> </v>
      </c>
      <c r="F3919" t="str">
        <f>IFERROR(+VLOOKUP(Movimientos_2026[[#This Row],[Codigo]],Plan_cuentas[],3,FALSE)," ")</f>
        <v xml:space="preserve"> </v>
      </c>
      <c r="G3919" t="str">
        <f>IFERROR(+VLOOKUP(Movimientos_2026[[#This Row],[Codigo]],Plan_cuentas[],4,FALSE)," ")</f>
        <v xml:space="preserve"> </v>
      </c>
      <c r="H3919" t="str">
        <f>IFERROR(+VLOOKUP(Movimientos_2026[[#This Row],[Codigo]],Plan_cuentas[],5,FALSE)," ")</f>
        <v xml:space="preserve"> </v>
      </c>
      <c r="I3919" s="43"/>
      <c r="K3919" t="str">
        <f>IFERROR(+VLOOKUP(Movimientos_2026[[#This Row],[Codigo]],Plan_cuentas[],6,FALSE)," ")</f>
        <v xml:space="preserve"> </v>
      </c>
      <c r="L3919" s="50"/>
      <c r="M3919" s="50"/>
      <c r="N3919" s="20">
        <f>+Movimientos_2026[[#This Row],[Ingresos]]-Movimientos_2026[[#This Row],[Egresos]]</f>
        <v>0</v>
      </c>
      <c r="O3919" s="20">
        <f>+O3918+Movimientos_2026[[#This Row],[Neto]]</f>
        <v>4581558617.7962294</v>
      </c>
    </row>
    <row r="3920" spans="1:15" x14ac:dyDescent="0.25">
      <c r="A3920" s="13"/>
      <c r="B3920" s="12">
        <f>MONTH(Movimientos_2026[[#This Row],[Fecha]])</f>
        <v>1</v>
      </c>
      <c r="C3920" s="12" t="str">
        <f>VLOOKUP((WEEKDAY(Movimientos_2026[[#This Row],[Fecha]],2)),'5. Setup'!$D$6:$E$12,2,FALSE)</f>
        <v>Sab</v>
      </c>
      <c r="E3920" t="str">
        <f>IFERROR(+VLOOKUP(Movimientos_2026[[#This Row],[Codigo]],Plan_cuentas[],2,FALSE)," ")</f>
        <v xml:space="preserve"> </v>
      </c>
      <c r="F3920" t="str">
        <f>IFERROR(+VLOOKUP(Movimientos_2026[[#This Row],[Codigo]],Plan_cuentas[],3,FALSE)," ")</f>
        <v xml:space="preserve"> </v>
      </c>
      <c r="G3920" t="str">
        <f>IFERROR(+VLOOKUP(Movimientos_2026[[#This Row],[Codigo]],Plan_cuentas[],4,FALSE)," ")</f>
        <v xml:space="preserve"> </v>
      </c>
      <c r="H3920" t="str">
        <f>IFERROR(+VLOOKUP(Movimientos_2026[[#This Row],[Codigo]],Plan_cuentas[],5,FALSE)," ")</f>
        <v xml:space="preserve"> </v>
      </c>
      <c r="I3920" s="43"/>
      <c r="K3920" t="str">
        <f>IFERROR(+VLOOKUP(Movimientos_2026[[#This Row],[Codigo]],Plan_cuentas[],6,FALSE)," ")</f>
        <v xml:space="preserve"> </v>
      </c>
      <c r="L3920" s="50"/>
      <c r="M3920" s="50"/>
      <c r="N3920" s="20">
        <f>+Movimientos_2026[[#This Row],[Ingresos]]-Movimientos_2026[[#This Row],[Egresos]]</f>
        <v>0</v>
      </c>
      <c r="O3920" s="20">
        <f>+O3919+Movimientos_2026[[#This Row],[Neto]]</f>
        <v>4581558617.7962294</v>
      </c>
    </row>
    <row r="3921" spans="1:15" x14ac:dyDescent="0.25">
      <c r="A3921" s="13"/>
      <c r="B3921" s="12">
        <f>MONTH(Movimientos_2026[[#This Row],[Fecha]])</f>
        <v>1</v>
      </c>
      <c r="C3921" s="12" t="str">
        <f>VLOOKUP((WEEKDAY(Movimientos_2026[[#This Row],[Fecha]],2)),'5. Setup'!$D$6:$E$12,2,FALSE)</f>
        <v>Sab</v>
      </c>
      <c r="E3921" t="str">
        <f>IFERROR(+VLOOKUP(Movimientos_2026[[#This Row],[Codigo]],Plan_cuentas[],2,FALSE)," ")</f>
        <v xml:space="preserve"> </v>
      </c>
      <c r="F3921" t="str">
        <f>IFERROR(+VLOOKUP(Movimientos_2026[[#This Row],[Codigo]],Plan_cuentas[],3,FALSE)," ")</f>
        <v xml:space="preserve"> </v>
      </c>
      <c r="G3921" t="str">
        <f>IFERROR(+VLOOKUP(Movimientos_2026[[#This Row],[Codigo]],Plan_cuentas[],4,FALSE)," ")</f>
        <v xml:space="preserve"> </v>
      </c>
      <c r="H3921" t="str">
        <f>IFERROR(+VLOOKUP(Movimientos_2026[[#This Row],[Codigo]],Plan_cuentas[],5,FALSE)," ")</f>
        <v xml:space="preserve"> </v>
      </c>
      <c r="I3921" s="43"/>
      <c r="K3921" t="str">
        <f>IFERROR(+VLOOKUP(Movimientos_2026[[#This Row],[Codigo]],Plan_cuentas[],6,FALSE)," ")</f>
        <v xml:space="preserve"> </v>
      </c>
      <c r="L3921" s="50"/>
      <c r="M3921" s="50"/>
      <c r="N3921" s="20">
        <f>+Movimientos_2026[[#This Row],[Ingresos]]-Movimientos_2026[[#This Row],[Egresos]]</f>
        <v>0</v>
      </c>
      <c r="O3921" s="20">
        <f>+O3920+Movimientos_2026[[#This Row],[Neto]]</f>
        <v>4581558617.7962294</v>
      </c>
    </row>
    <row r="3922" spans="1:15" x14ac:dyDescent="0.25">
      <c r="A3922" s="13"/>
      <c r="B3922" s="12">
        <f>MONTH(Movimientos_2026[[#This Row],[Fecha]])</f>
        <v>1</v>
      </c>
      <c r="C3922" s="12" t="str">
        <f>VLOOKUP((WEEKDAY(Movimientos_2026[[#This Row],[Fecha]],2)),'5. Setup'!$D$6:$E$12,2,FALSE)</f>
        <v>Sab</v>
      </c>
      <c r="E3922" t="str">
        <f>IFERROR(+VLOOKUP(Movimientos_2026[[#This Row],[Codigo]],Plan_cuentas[],2,FALSE)," ")</f>
        <v xml:space="preserve"> </v>
      </c>
      <c r="F3922" t="str">
        <f>IFERROR(+VLOOKUP(Movimientos_2026[[#This Row],[Codigo]],Plan_cuentas[],3,FALSE)," ")</f>
        <v xml:space="preserve"> </v>
      </c>
      <c r="G3922" t="str">
        <f>IFERROR(+VLOOKUP(Movimientos_2026[[#This Row],[Codigo]],Plan_cuentas[],4,FALSE)," ")</f>
        <v xml:space="preserve"> </v>
      </c>
      <c r="H3922" t="str">
        <f>IFERROR(+VLOOKUP(Movimientos_2026[[#This Row],[Codigo]],Plan_cuentas[],5,FALSE)," ")</f>
        <v xml:space="preserve"> </v>
      </c>
      <c r="I3922" s="43"/>
      <c r="K3922" t="str">
        <f>IFERROR(+VLOOKUP(Movimientos_2026[[#This Row],[Codigo]],Plan_cuentas[],6,FALSE)," ")</f>
        <v xml:space="preserve"> </v>
      </c>
      <c r="L3922" s="50"/>
      <c r="M3922" s="50"/>
      <c r="N3922" s="20">
        <f>+Movimientos_2026[[#This Row],[Ingresos]]-Movimientos_2026[[#This Row],[Egresos]]</f>
        <v>0</v>
      </c>
      <c r="O3922" s="20">
        <f>+O3921+Movimientos_2026[[#This Row],[Neto]]</f>
        <v>4581558617.7962294</v>
      </c>
    </row>
    <row r="3923" spans="1:15" x14ac:dyDescent="0.25">
      <c r="A3923" s="13"/>
      <c r="B3923" s="12">
        <f>MONTH(Movimientos_2026[[#This Row],[Fecha]])</f>
        <v>1</v>
      </c>
      <c r="C3923" s="12" t="str">
        <f>VLOOKUP((WEEKDAY(Movimientos_2026[[#This Row],[Fecha]],2)),'5. Setup'!$D$6:$E$12,2,FALSE)</f>
        <v>Sab</v>
      </c>
      <c r="E3923" t="str">
        <f>IFERROR(+VLOOKUP(Movimientos_2026[[#This Row],[Codigo]],Plan_cuentas[],2,FALSE)," ")</f>
        <v xml:space="preserve"> </v>
      </c>
      <c r="F3923" t="str">
        <f>IFERROR(+VLOOKUP(Movimientos_2026[[#This Row],[Codigo]],Plan_cuentas[],3,FALSE)," ")</f>
        <v xml:space="preserve"> </v>
      </c>
      <c r="G3923" t="str">
        <f>IFERROR(+VLOOKUP(Movimientos_2026[[#This Row],[Codigo]],Plan_cuentas[],4,FALSE)," ")</f>
        <v xml:space="preserve"> </v>
      </c>
      <c r="H3923" t="str">
        <f>IFERROR(+VLOOKUP(Movimientos_2026[[#This Row],[Codigo]],Plan_cuentas[],5,FALSE)," ")</f>
        <v xml:space="preserve"> </v>
      </c>
      <c r="I3923" s="43"/>
      <c r="K3923" t="str">
        <f>IFERROR(+VLOOKUP(Movimientos_2026[[#This Row],[Codigo]],Plan_cuentas[],6,FALSE)," ")</f>
        <v xml:space="preserve"> </v>
      </c>
      <c r="L3923" s="50"/>
      <c r="M3923" s="50"/>
      <c r="N3923" s="20">
        <f>+Movimientos_2026[[#This Row],[Ingresos]]-Movimientos_2026[[#This Row],[Egresos]]</f>
        <v>0</v>
      </c>
      <c r="O3923" s="20">
        <f>+O3922+Movimientos_2026[[#This Row],[Neto]]</f>
        <v>4581558617.7962294</v>
      </c>
    </row>
    <row r="3924" spans="1:15" x14ac:dyDescent="0.25">
      <c r="A3924" s="13"/>
      <c r="B3924" s="12">
        <f>MONTH(Movimientos_2026[[#This Row],[Fecha]])</f>
        <v>1</v>
      </c>
      <c r="C3924" s="12" t="str">
        <f>VLOOKUP((WEEKDAY(Movimientos_2026[[#This Row],[Fecha]],2)),'5. Setup'!$D$6:$E$12,2,FALSE)</f>
        <v>Sab</v>
      </c>
      <c r="E3924" t="str">
        <f>IFERROR(+VLOOKUP(Movimientos_2026[[#This Row],[Codigo]],Plan_cuentas[],2,FALSE)," ")</f>
        <v xml:space="preserve"> </v>
      </c>
      <c r="F3924" t="str">
        <f>IFERROR(+VLOOKUP(Movimientos_2026[[#This Row],[Codigo]],Plan_cuentas[],3,FALSE)," ")</f>
        <v xml:space="preserve"> </v>
      </c>
      <c r="G3924" t="str">
        <f>IFERROR(+VLOOKUP(Movimientos_2026[[#This Row],[Codigo]],Plan_cuentas[],4,FALSE)," ")</f>
        <v xml:space="preserve"> </v>
      </c>
      <c r="H3924" t="str">
        <f>IFERROR(+VLOOKUP(Movimientos_2026[[#This Row],[Codigo]],Plan_cuentas[],5,FALSE)," ")</f>
        <v xml:space="preserve"> </v>
      </c>
      <c r="I3924" s="43"/>
      <c r="K3924" t="str">
        <f>IFERROR(+VLOOKUP(Movimientos_2026[[#This Row],[Codigo]],Plan_cuentas[],6,FALSE)," ")</f>
        <v xml:space="preserve"> </v>
      </c>
      <c r="L3924" s="50"/>
      <c r="M3924" s="50"/>
      <c r="N3924" s="20">
        <f>+Movimientos_2026[[#This Row],[Ingresos]]-Movimientos_2026[[#This Row],[Egresos]]</f>
        <v>0</v>
      </c>
      <c r="O3924" s="20">
        <f>+O3923+Movimientos_2026[[#This Row],[Neto]]</f>
        <v>4581558617.7962294</v>
      </c>
    </row>
    <row r="3925" spans="1:15" x14ac:dyDescent="0.25">
      <c r="A3925" s="13"/>
      <c r="B3925" s="12">
        <f>MONTH(Movimientos_2026[[#This Row],[Fecha]])</f>
        <v>1</v>
      </c>
      <c r="C3925" s="12" t="str">
        <f>VLOOKUP((WEEKDAY(Movimientos_2026[[#This Row],[Fecha]],2)),'5. Setup'!$D$6:$E$12,2,FALSE)</f>
        <v>Sab</v>
      </c>
      <c r="E3925" t="str">
        <f>IFERROR(+VLOOKUP(Movimientos_2026[[#This Row],[Codigo]],Plan_cuentas[],2,FALSE)," ")</f>
        <v xml:space="preserve"> </v>
      </c>
      <c r="F3925" t="str">
        <f>IFERROR(+VLOOKUP(Movimientos_2026[[#This Row],[Codigo]],Plan_cuentas[],3,FALSE)," ")</f>
        <v xml:space="preserve"> </v>
      </c>
      <c r="G3925" t="str">
        <f>IFERROR(+VLOOKUP(Movimientos_2026[[#This Row],[Codigo]],Plan_cuentas[],4,FALSE)," ")</f>
        <v xml:space="preserve"> </v>
      </c>
      <c r="H3925" t="str">
        <f>IFERROR(+VLOOKUP(Movimientos_2026[[#This Row],[Codigo]],Plan_cuentas[],5,FALSE)," ")</f>
        <v xml:space="preserve"> </v>
      </c>
      <c r="I3925" s="43"/>
      <c r="K3925" t="str">
        <f>IFERROR(+VLOOKUP(Movimientos_2026[[#This Row],[Codigo]],Plan_cuentas[],6,FALSE)," ")</f>
        <v xml:space="preserve"> </v>
      </c>
      <c r="L3925" s="50"/>
      <c r="M3925" s="50"/>
      <c r="N3925" s="20">
        <f>+Movimientos_2026[[#This Row],[Ingresos]]-Movimientos_2026[[#This Row],[Egresos]]</f>
        <v>0</v>
      </c>
      <c r="O3925" s="20">
        <f>+O3924+Movimientos_2026[[#This Row],[Neto]]</f>
        <v>4581558617.7962294</v>
      </c>
    </row>
    <row r="3926" spans="1:15" x14ac:dyDescent="0.25">
      <c r="A3926" s="13"/>
      <c r="B3926" s="12">
        <f>MONTH(Movimientos_2026[[#This Row],[Fecha]])</f>
        <v>1</v>
      </c>
      <c r="C3926" s="12" t="str">
        <f>VLOOKUP((WEEKDAY(Movimientos_2026[[#This Row],[Fecha]],2)),'5. Setup'!$D$6:$E$12,2,FALSE)</f>
        <v>Sab</v>
      </c>
      <c r="E3926" t="str">
        <f>IFERROR(+VLOOKUP(Movimientos_2026[[#This Row],[Codigo]],Plan_cuentas[],2,FALSE)," ")</f>
        <v xml:space="preserve"> </v>
      </c>
      <c r="F3926" t="str">
        <f>IFERROR(+VLOOKUP(Movimientos_2026[[#This Row],[Codigo]],Plan_cuentas[],3,FALSE)," ")</f>
        <v xml:space="preserve"> </v>
      </c>
      <c r="G3926" t="str">
        <f>IFERROR(+VLOOKUP(Movimientos_2026[[#This Row],[Codigo]],Plan_cuentas[],4,FALSE)," ")</f>
        <v xml:space="preserve"> </v>
      </c>
      <c r="H3926" t="str">
        <f>IFERROR(+VLOOKUP(Movimientos_2026[[#This Row],[Codigo]],Plan_cuentas[],5,FALSE)," ")</f>
        <v xml:space="preserve"> </v>
      </c>
      <c r="I3926" s="43"/>
      <c r="K3926" t="str">
        <f>IFERROR(+VLOOKUP(Movimientos_2026[[#This Row],[Codigo]],Plan_cuentas[],6,FALSE)," ")</f>
        <v xml:space="preserve"> </v>
      </c>
      <c r="L3926" s="50"/>
      <c r="M3926" s="50"/>
      <c r="N3926" s="20">
        <f>+Movimientos_2026[[#This Row],[Ingresos]]-Movimientos_2026[[#This Row],[Egresos]]</f>
        <v>0</v>
      </c>
      <c r="O3926" s="20">
        <f>+O3925+Movimientos_2026[[#This Row],[Neto]]</f>
        <v>4581558617.7962294</v>
      </c>
    </row>
    <row r="3927" spans="1:15" x14ac:dyDescent="0.25">
      <c r="A3927" s="13"/>
      <c r="B3927" s="12">
        <f>MONTH(Movimientos_2026[[#This Row],[Fecha]])</f>
        <v>1</v>
      </c>
      <c r="C3927" s="12" t="str">
        <f>VLOOKUP((WEEKDAY(Movimientos_2026[[#This Row],[Fecha]],2)),'5. Setup'!$D$6:$E$12,2,FALSE)</f>
        <v>Sab</v>
      </c>
      <c r="E3927" t="str">
        <f>IFERROR(+VLOOKUP(Movimientos_2026[[#This Row],[Codigo]],Plan_cuentas[],2,FALSE)," ")</f>
        <v xml:space="preserve"> </v>
      </c>
      <c r="F3927" t="str">
        <f>IFERROR(+VLOOKUP(Movimientos_2026[[#This Row],[Codigo]],Plan_cuentas[],3,FALSE)," ")</f>
        <v xml:space="preserve"> </v>
      </c>
      <c r="G3927" t="str">
        <f>IFERROR(+VLOOKUP(Movimientos_2026[[#This Row],[Codigo]],Plan_cuentas[],4,FALSE)," ")</f>
        <v xml:space="preserve"> </v>
      </c>
      <c r="H3927" t="str">
        <f>IFERROR(+VLOOKUP(Movimientos_2026[[#This Row],[Codigo]],Plan_cuentas[],5,FALSE)," ")</f>
        <v xml:space="preserve"> </v>
      </c>
      <c r="I3927" s="43"/>
      <c r="K3927" t="str">
        <f>IFERROR(+VLOOKUP(Movimientos_2026[[#This Row],[Codigo]],Plan_cuentas[],6,FALSE)," ")</f>
        <v xml:space="preserve"> </v>
      </c>
      <c r="L3927" s="50"/>
      <c r="M3927" s="50"/>
      <c r="N3927" s="20">
        <f>+Movimientos_2026[[#This Row],[Ingresos]]-Movimientos_2026[[#This Row],[Egresos]]</f>
        <v>0</v>
      </c>
      <c r="O3927" s="20">
        <f>+O3926+Movimientos_2026[[#This Row],[Neto]]</f>
        <v>4581558617.7962294</v>
      </c>
    </row>
    <row r="3928" spans="1:15" x14ac:dyDescent="0.25">
      <c r="A3928" s="13"/>
      <c r="B3928" s="12">
        <f>MONTH(Movimientos_2026[[#This Row],[Fecha]])</f>
        <v>1</v>
      </c>
      <c r="C3928" s="12" t="str">
        <f>VLOOKUP((WEEKDAY(Movimientos_2026[[#This Row],[Fecha]],2)),'5. Setup'!$D$6:$E$12,2,FALSE)</f>
        <v>Sab</v>
      </c>
      <c r="E3928" t="str">
        <f>IFERROR(+VLOOKUP(Movimientos_2026[[#This Row],[Codigo]],Plan_cuentas[],2,FALSE)," ")</f>
        <v xml:space="preserve"> </v>
      </c>
      <c r="F3928" t="str">
        <f>IFERROR(+VLOOKUP(Movimientos_2026[[#This Row],[Codigo]],Plan_cuentas[],3,FALSE)," ")</f>
        <v xml:space="preserve"> </v>
      </c>
      <c r="G3928" t="str">
        <f>IFERROR(+VLOOKUP(Movimientos_2026[[#This Row],[Codigo]],Plan_cuentas[],4,FALSE)," ")</f>
        <v xml:space="preserve"> </v>
      </c>
      <c r="H3928" t="str">
        <f>IFERROR(+VLOOKUP(Movimientos_2026[[#This Row],[Codigo]],Plan_cuentas[],5,FALSE)," ")</f>
        <v xml:space="preserve"> </v>
      </c>
      <c r="I3928" s="43"/>
      <c r="K3928" t="str">
        <f>IFERROR(+VLOOKUP(Movimientos_2026[[#This Row],[Codigo]],Plan_cuentas[],6,FALSE)," ")</f>
        <v xml:space="preserve"> </v>
      </c>
      <c r="L3928" s="50"/>
      <c r="M3928" s="50"/>
      <c r="N3928" s="20">
        <f>+Movimientos_2026[[#This Row],[Ingresos]]-Movimientos_2026[[#This Row],[Egresos]]</f>
        <v>0</v>
      </c>
      <c r="O3928" s="20">
        <f>+O3927+Movimientos_2026[[#This Row],[Neto]]</f>
        <v>4581558617.7962294</v>
      </c>
    </row>
    <row r="3929" spans="1:15" x14ac:dyDescent="0.25">
      <c r="A3929" s="13"/>
      <c r="B3929" s="12">
        <f>MONTH(Movimientos_2026[[#This Row],[Fecha]])</f>
        <v>1</v>
      </c>
      <c r="C3929" s="12" t="str">
        <f>VLOOKUP((WEEKDAY(Movimientos_2026[[#This Row],[Fecha]],2)),'5. Setup'!$D$6:$E$12,2,FALSE)</f>
        <v>Sab</v>
      </c>
      <c r="E3929" t="str">
        <f>IFERROR(+VLOOKUP(Movimientos_2026[[#This Row],[Codigo]],Plan_cuentas[],2,FALSE)," ")</f>
        <v xml:space="preserve"> </v>
      </c>
      <c r="F3929" t="str">
        <f>IFERROR(+VLOOKUP(Movimientos_2026[[#This Row],[Codigo]],Plan_cuentas[],3,FALSE)," ")</f>
        <v xml:space="preserve"> </v>
      </c>
      <c r="G3929" t="str">
        <f>IFERROR(+VLOOKUP(Movimientos_2026[[#This Row],[Codigo]],Plan_cuentas[],4,FALSE)," ")</f>
        <v xml:space="preserve"> </v>
      </c>
      <c r="H3929" t="str">
        <f>IFERROR(+VLOOKUP(Movimientos_2026[[#This Row],[Codigo]],Plan_cuentas[],5,FALSE)," ")</f>
        <v xml:space="preserve"> </v>
      </c>
      <c r="I3929" s="43"/>
      <c r="K3929" t="str">
        <f>IFERROR(+VLOOKUP(Movimientos_2026[[#This Row],[Codigo]],Plan_cuentas[],6,FALSE)," ")</f>
        <v xml:space="preserve"> </v>
      </c>
      <c r="L3929" s="50"/>
      <c r="M3929" s="50"/>
      <c r="N3929" s="20">
        <f>+Movimientos_2026[[#This Row],[Ingresos]]-Movimientos_2026[[#This Row],[Egresos]]</f>
        <v>0</v>
      </c>
      <c r="O3929" s="20">
        <f>+O3928+Movimientos_2026[[#This Row],[Neto]]</f>
        <v>4581558617.7962294</v>
      </c>
    </row>
    <row r="3930" spans="1:15" x14ac:dyDescent="0.25">
      <c r="A3930" s="13"/>
      <c r="B3930" s="12">
        <f>MONTH(Movimientos_2026[[#This Row],[Fecha]])</f>
        <v>1</v>
      </c>
      <c r="C3930" s="12" t="str">
        <f>VLOOKUP((WEEKDAY(Movimientos_2026[[#This Row],[Fecha]],2)),'5. Setup'!$D$6:$E$12,2,FALSE)</f>
        <v>Sab</v>
      </c>
      <c r="E3930" t="str">
        <f>IFERROR(+VLOOKUP(Movimientos_2026[[#This Row],[Codigo]],Plan_cuentas[],2,FALSE)," ")</f>
        <v xml:space="preserve"> </v>
      </c>
      <c r="F3930" t="str">
        <f>IFERROR(+VLOOKUP(Movimientos_2026[[#This Row],[Codigo]],Plan_cuentas[],3,FALSE)," ")</f>
        <v xml:space="preserve"> </v>
      </c>
      <c r="G3930" t="str">
        <f>IFERROR(+VLOOKUP(Movimientos_2026[[#This Row],[Codigo]],Plan_cuentas[],4,FALSE)," ")</f>
        <v xml:space="preserve"> </v>
      </c>
      <c r="H3930" t="str">
        <f>IFERROR(+VLOOKUP(Movimientos_2026[[#This Row],[Codigo]],Plan_cuentas[],5,FALSE)," ")</f>
        <v xml:space="preserve"> </v>
      </c>
      <c r="I3930" s="43"/>
      <c r="K3930" t="str">
        <f>IFERROR(+VLOOKUP(Movimientos_2026[[#This Row],[Codigo]],Plan_cuentas[],6,FALSE)," ")</f>
        <v xml:space="preserve"> </v>
      </c>
      <c r="L3930" s="50"/>
      <c r="M3930" s="50"/>
      <c r="N3930" s="20">
        <f>+Movimientos_2026[[#This Row],[Ingresos]]-Movimientos_2026[[#This Row],[Egresos]]</f>
        <v>0</v>
      </c>
      <c r="O3930" s="20">
        <f>+O3929+Movimientos_2026[[#This Row],[Neto]]</f>
        <v>4581558617.7962294</v>
      </c>
    </row>
    <row r="3931" spans="1:15" x14ac:dyDescent="0.25">
      <c r="A3931" s="13"/>
      <c r="B3931" s="12">
        <f>MONTH(Movimientos_2026[[#This Row],[Fecha]])</f>
        <v>1</v>
      </c>
      <c r="C3931" s="12" t="str">
        <f>VLOOKUP((WEEKDAY(Movimientos_2026[[#This Row],[Fecha]],2)),'5. Setup'!$D$6:$E$12,2,FALSE)</f>
        <v>Sab</v>
      </c>
      <c r="E3931" t="str">
        <f>IFERROR(+VLOOKUP(Movimientos_2026[[#This Row],[Codigo]],Plan_cuentas[],2,FALSE)," ")</f>
        <v xml:space="preserve"> </v>
      </c>
      <c r="F3931" t="str">
        <f>IFERROR(+VLOOKUP(Movimientos_2026[[#This Row],[Codigo]],Plan_cuentas[],3,FALSE)," ")</f>
        <v xml:space="preserve"> </v>
      </c>
      <c r="G3931" t="str">
        <f>IFERROR(+VLOOKUP(Movimientos_2026[[#This Row],[Codigo]],Plan_cuentas[],4,FALSE)," ")</f>
        <v xml:space="preserve"> </v>
      </c>
      <c r="H3931" t="str">
        <f>IFERROR(+VLOOKUP(Movimientos_2026[[#This Row],[Codigo]],Plan_cuentas[],5,FALSE)," ")</f>
        <v xml:space="preserve"> </v>
      </c>
      <c r="I3931" s="43"/>
      <c r="K3931" t="str">
        <f>IFERROR(+VLOOKUP(Movimientos_2026[[#This Row],[Codigo]],Plan_cuentas[],6,FALSE)," ")</f>
        <v xml:space="preserve"> </v>
      </c>
      <c r="L3931" s="50"/>
      <c r="M3931" s="50"/>
      <c r="N3931" s="20">
        <f>+Movimientos_2026[[#This Row],[Ingresos]]-Movimientos_2026[[#This Row],[Egresos]]</f>
        <v>0</v>
      </c>
      <c r="O3931" s="20">
        <f>+O3930+Movimientos_2026[[#This Row],[Neto]]</f>
        <v>4581558617.7962294</v>
      </c>
    </row>
    <row r="3932" spans="1:15" x14ac:dyDescent="0.25">
      <c r="A3932" s="13"/>
      <c r="B3932" s="12">
        <f>MONTH(Movimientos_2026[[#This Row],[Fecha]])</f>
        <v>1</v>
      </c>
      <c r="C3932" s="12" t="str">
        <f>VLOOKUP((WEEKDAY(Movimientos_2026[[#This Row],[Fecha]],2)),'5. Setup'!$D$6:$E$12,2,FALSE)</f>
        <v>Sab</v>
      </c>
      <c r="E3932" t="str">
        <f>IFERROR(+VLOOKUP(Movimientos_2026[[#This Row],[Codigo]],Plan_cuentas[],2,FALSE)," ")</f>
        <v xml:space="preserve"> </v>
      </c>
      <c r="F3932" t="str">
        <f>IFERROR(+VLOOKUP(Movimientos_2026[[#This Row],[Codigo]],Plan_cuentas[],3,FALSE)," ")</f>
        <v xml:space="preserve"> </v>
      </c>
      <c r="G3932" t="str">
        <f>IFERROR(+VLOOKUP(Movimientos_2026[[#This Row],[Codigo]],Plan_cuentas[],4,FALSE)," ")</f>
        <v xml:space="preserve"> </v>
      </c>
      <c r="H3932" t="str">
        <f>IFERROR(+VLOOKUP(Movimientos_2026[[#This Row],[Codigo]],Plan_cuentas[],5,FALSE)," ")</f>
        <v xml:space="preserve"> </v>
      </c>
      <c r="I3932" s="43"/>
      <c r="K3932" t="str">
        <f>IFERROR(+VLOOKUP(Movimientos_2026[[#This Row],[Codigo]],Plan_cuentas[],6,FALSE)," ")</f>
        <v xml:space="preserve"> </v>
      </c>
      <c r="L3932" s="50"/>
      <c r="M3932" s="50"/>
      <c r="N3932" s="20">
        <f>+Movimientos_2026[[#This Row],[Ingresos]]-Movimientos_2026[[#This Row],[Egresos]]</f>
        <v>0</v>
      </c>
      <c r="O3932" s="20">
        <f>+O3931+Movimientos_2026[[#This Row],[Neto]]</f>
        <v>4581558617.7962294</v>
      </c>
    </row>
    <row r="3933" spans="1:15" x14ac:dyDescent="0.25">
      <c r="A3933" s="13"/>
      <c r="B3933" s="12">
        <f>MONTH(Movimientos_2026[[#This Row],[Fecha]])</f>
        <v>1</v>
      </c>
      <c r="C3933" s="12" t="str">
        <f>VLOOKUP((WEEKDAY(Movimientos_2026[[#This Row],[Fecha]],2)),'5. Setup'!$D$6:$E$12,2,FALSE)</f>
        <v>Sab</v>
      </c>
      <c r="E3933" t="str">
        <f>IFERROR(+VLOOKUP(Movimientos_2026[[#This Row],[Codigo]],Plan_cuentas[],2,FALSE)," ")</f>
        <v xml:space="preserve"> </v>
      </c>
      <c r="F3933" t="str">
        <f>IFERROR(+VLOOKUP(Movimientos_2026[[#This Row],[Codigo]],Plan_cuentas[],3,FALSE)," ")</f>
        <v xml:space="preserve"> </v>
      </c>
      <c r="G3933" t="str">
        <f>IFERROR(+VLOOKUP(Movimientos_2026[[#This Row],[Codigo]],Plan_cuentas[],4,FALSE)," ")</f>
        <v xml:space="preserve"> </v>
      </c>
      <c r="H3933" t="str">
        <f>IFERROR(+VLOOKUP(Movimientos_2026[[#This Row],[Codigo]],Plan_cuentas[],5,FALSE)," ")</f>
        <v xml:space="preserve"> </v>
      </c>
      <c r="I3933" s="43"/>
      <c r="K3933" t="str">
        <f>IFERROR(+VLOOKUP(Movimientos_2026[[#This Row],[Codigo]],Plan_cuentas[],6,FALSE)," ")</f>
        <v xml:space="preserve"> </v>
      </c>
      <c r="L3933" s="50"/>
      <c r="M3933" s="50"/>
      <c r="N3933" s="20">
        <f>+Movimientos_2026[[#This Row],[Ingresos]]-Movimientos_2026[[#This Row],[Egresos]]</f>
        <v>0</v>
      </c>
      <c r="O3933" s="20">
        <f>+O3932+Movimientos_2026[[#This Row],[Neto]]</f>
        <v>4581558617.7962294</v>
      </c>
    </row>
    <row r="3934" spans="1:15" x14ac:dyDescent="0.25">
      <c r="A3934" s="13"/>
      <c r="B3934" s="12">
        <f>MONTH(Movimientos_2026[[#This Row],[Fecha]])</f>
        <v>1</v>
      </c>
      <c r="C3934" s="12" t="str">
        <f>VLOOKUP((WEEKDAY(Movimientos_2026[[#This Row],[Fecha]],2)),'5. Setup'!$D$6:$E$12,2,FALSE)</f>
        <v>Sab</v>
      </c>
      <c r="E3934" t="str">
        <f>IFERROR(+VLOOKUP(Movimientos_2026[[#This Row],[Codigo]],Plan_cuentas[],2,FALSE)," ")</f>
        <v xml:space="preserve"> </v>
      </c>
      <c r="F3934" t="str">
        <f>IFERROR(+VLOOKUP(Movimientos_2026[[#This Row],[Codigo]],Plan_cuentas[],3,FALSE)," ")</f>
        <v xml:space="preserve"> </v>
      </c>
      <c r="G3934" t="str">
        <f>IFERROR(+VLOOKUP(Movimientos_2026[[#This Row],[Codigo]],Plan_cuentas[],4,FALSE)," ")</f>
        <v xml:space="preserve"> </v>
      </c>
      <c r="H3934" t="str">
        <f>IFERROR(+VLOOKUP(Movimientos_2026[[#This Row],[Codigo]],Plan_cuentas[],5,FALSE)," ")</f>
        <v xml:space="preserve"> </v>
      </c>
      <c r="I3934" s="43"/>
      <c r="K3934" t="str">
        <f>IFERROR(+VLOOKUP(Movimientos_2026[[#This Row],[Codigo]],Plan_cuentas[],6,FALSE)," ")</f>
        <v xml:space="preserve"> </v>
      </c>
      <c r="L3934" s="50"/>
      <c r="M3934" s="50"/>
      <c r="N3934" s="20">
        <f>+Movimientos_2026[[#This Row],[Ingresos]]-Movimientos_2026[[#This Row],[Egresos]]</f>
        <v>0</v>
      </c>
      <c r="O3934" s="20">
        <f>+O3933+Movimientos_2026[[#This Row],[Neto]]</f>
        <v>4581558617.7962294</v>
      </c>
    </row>
    <row r="3935" spans="1:15" x14ac:dyDescent="0.25">
      <c r="A3935" s="13"/>
      <c r="B3935" s="12">
        <f>MONTH(Movimientos_2026[[#This Row],[Fecha]])</f>
        <v>1</v>
      </c>
      <c r="C3935" s="12" t="str">
        <f>VLOOKUP((WEEKDAY(Movimientos_2026[[#This Row],[Fecha]],2)),'5. Setup'!$D$6:$E$12,2,FALSE)</f>
        <v>Sab</v>
      </c>
      <c r="E3935" t="str">
        <f>IFERROR(+VLOOKUP(Movimientos_2026[[#This Row],[Codigo]],Plan_cuentas[],2,FALSE)," ")</f>
        <v xml:space="preserve"> </v>
      </c>
      <c r="F3935" t="str">
        <f>IFERROR(+VLOOKUP(Movimientos_2026[[#This Row],[Codigo]],Plan_cuentas[],3,FALSE)," ")</f>
        <v xml:space="preserve"> </v>
      </c>
      <c r="G3935" t="str">
        <f>IFERROR(+VLOOKUP(Movimientos_2026[[#This Row],[Codigo]],Plan_cuentas[],4,FALSE)," ")</f>
        <v xml:space="preserve"> </v>
      </c>
      <c r="H3935" t="str">
        <f>IFERROR(+VLOOKUP(Movimientos_2026[[#This Row],[Codigo]],Plan_cuentas[],5,FALSE)," ")</f>
        <v xml:space="preserve"> </v>
      </c>
      <c r="I3935" s="43"/>
      <c r="K3935" t="str">
        <f>IFERROR(+VLOOKUP(Movimientos_2026[[#This Row],[Codigo]],Plan_cuentas[],6,FALSE)," ")</f>
        <v xml:space="preserve"> </v>
      </c>
      <c r="L3935" s="50"/>
      <c r="M3935" s="50"/>
      <c r="N3935" s="20">
        <f>+Movimientos_2026[[#This Row],[Ingresos]]-Movimientos_2026[[#This Row],[Egresos]]</f>
        <v>0</v>
      </c>
      <c r="O3935" s="20">
        <f>+O3934+Movimientos_2026[[#This Row],[Neto]]</f>
        <v>4581558617.7962294</v>
      </c>
    </row>
    <row r="3936" spans="1:15" x14ac:dyDescent="0.25">
      <c r="A3936" s="13"/>
      <c r="B3936" s="12">
        <f>MONTH(Movimientos_2026[[#This Row],[Fecha]])</f>
        <v>1</v>
      </c>
      <c r="C3936" s="12" t="str">
        <f>VLOOKUP((WEEKDAY(Movimientos_2026[[#This Row],[Fecha]],2)),'5. Setup'!$D$6:$E$12,2,FALSE)</f>
        <v>Sab</v>
      </c>
      <c r="E3936" t="str">
        <f>IFERROR(+VLOOKUP(Movimientos_2026[[#This Row],[Codigo]],Plan_cuentas[],2,FALSE)," ")</f>
        <v xml:space="preserve"> </v>
      </c>
      <c r="F3936" t="str">
        <f>IFERROR(+VLOOKUP(Movimientos_2026[[#This Row],[Codigo]],Plan_cuentas[],3,FALSE)," ")</f>
        <v xml:space="preserve"> </v>
      </c>
      <c r="G3936" t="str">
        <f>IFERROR(+VLOOKUP(Movimientos_2026[[#This Row],[Codigo]],Plan_cuentas[],4,FALSE)," ")</f>
        <v xml:space="preserve"> </v>
      </c>
      <c r="H3936" t="str">
        <f>IFERROR(+VLOOKUP(Movimientos_2026[[#This Row],[Codigo]],Plan_cuentas[],5,FALSE)," ")</f>
        <v xml:space="preserve"> </v>
      </c>
      <c r="I3936" s="43"/>
      <c r="K3936" t="str">
        <f>IFERROR(+VLOOKUP(Movimientos_2026[[#This Row],[Codigo]],Plan_cuentas[],6,FALSE)," ")</f>
        <v xml:space="preserve"> </v>
      </c>
      <c r="L3936" s="50"/>
      <c r="M3936" s="50"/>
      <c r="N3936" s="20">
        <f>+Movimientos_2026[[#This Row],[Ingresos]]-Movimientos_2026[[#This Row],[Egresos]]</f>
        <v>0</v>
      </c>
      <c r="O3936" s="20">
        <f>+O3935+Movimientos_2026[[#This Row],[Neto]]</f>
        <v>4581558617.7962294</v>
      </c>
    </row>
    <row r="3937" spans="1:15" x14ac:dyDescent="0.25">
      <c r="A3937" s="13"/>
      <c r="B3937" s="12">
        <f>MONTH(Movimientos_2026[[#This Row],[Fecha]])</f>
        <v>1</v>
      </c>
      <c r="C3937" s="12" t="str">
        <f>VLOOKUP((WEEKDAY(Movimientos_2026[[#This Row],[Fecha]],2)),'5. Setup'!$D$6:$E$12,2,FALSE)</f>
        <v>Sab</v>
      </c>
      <c r="E3937" t="str">
        <f>IFERROR(+VLOOKUP(Movimientos_2026[[#This Row],[Codigo]],Plan_cuentas[],2,FALSE)," ")</f>
        <v xml:space="preserve"> </v>
      </c>
      <c r="F3937" t="str">
        <f>IFERROR(+VLOOKUP(Movimientos_2026[[#This Row],[Codigo]],Plan_cuentas[],3,FALSE)," ")</f>
        <v xml:space="preserve"> </v>
      </c>
      <c r="G3937" t="str">
        <f>IFERROR(+VLOOKUP(Movimientos_2026[[#This Row],[Codigo]],Plan_cuentas[],4,FALSE)," ")</f>
        <v xml:space="preserve"> </v>
      </c>
      <c r="H3937" t="str">
        <f>IFERROR(+VLOOKUP(Movimientos_2026[[#This Row],[Codigo]],Plan_cuentas[],5,FALSE)," ")</f>
        <v xml:space="preserve"> </v>
      </c>
      <c r="I3937" s="43"/>
      <c r="K3937" t="str">
        <f>IFERROR(+VLOOKUP(Movimientos_2026[[#This Row],[Codigo]],Plan_cuentas[],6,FALSE)," ")</f>
        <v xml:space="preserve"> </v>
      </c>
      <c r="L3937" s="50"/>
      <c r="M3937" s="50"/>
      <c r="N3937" s="20">
        <f>+Movimientos_2026[[#This Row],[Ingresos]]-Movimientos_2026[[#This Row],[Egresos]]</f>
        <v>0</v>
      </c>
      <c r="O3937" s="20">
        <f>+O3936+Movimientos_2026[[#This Row],[Neto]]</f>
        <v>4581558617.7962294</v>
      </c>
    </row>
    <row r="3938" spans="1:15" x14ac:dyDescent="0.25">
      <c r="A3938" s="13"/>
      <c r="B3938" s="12">
        <f>MONTH(Movimientos_2026[[#This Row],[Fecha]])</f>
        <v>1</v>
      </c>
      <c r="C3938" s="12" t="str">
        <f>VLOOKUP((WEEKDAY(Movimientos_2026[[#This Row],[Fecha]],2)),'5. Setup'!$D$6:$E$12,2,FALSE)</f>
        <v>Sab</v>
      </c>
      <c r="E3938" t="str">
        <f>IFERROR(+VLOOKUP(Movimientos_2026[[#This Row],[Codigo]],Plan_cuentas[],2,FALSE)," ")</f>
        <v xml:space="preserve"> </v>
      </c>
      <c r="F3938" t="str">
        <f>IFERROR(+VLOOKUP(Movimientos_2026[[#This Row],[Codigo]],Plan_cuentas[],3,FALSE)," ")</f>
        <v xml:space="preserve"> </v>
      </c>
      <c r="G3938" t="str">
        <f>IFERROR(+VLOOKUP(Movimientos_2026[[#This Row],[Codigo]],Plan_cuentas[],4,FALSE)," ")</f>
        <v xml:space="preserve"> </v>
      </c>
      <c r="H3938" t="str">
        <f>IFERROR(+VLOOKUP(Movimientos_2026[[#This Row],[Codigo]],Plan_cuentas[],5,FALSE)," ")</f>
        <v xml:space="preserve"> </v>
      </c>
      <c r="I3938" s="43"/>
      <c r="K3938" t="str">
        <f>IFERROR(+VLOOKUP(Movimientos_2026[[#This Row],[Codigo]],Plan_cuentas[],6,FALSE)," ")</f>
        <v xml:space="preserve"> </v>
      </c>
      <c r="L3938" s="50"/>
      <c r="M3938" s="50"/>
      <c r="N3938" s="20">
        <f>+Movimientos_2026[[#This Row],[Ingresos]]-Movimientos_2026[[#This Row],[Egresos]]</f>
        <v>0</v>
      </c>
      <c r="O3938" s="20">
        <f>+O3937+Movimientos_2026[[#This Row],[Neto]]</f>
        <v>4581558617.7962294</v>
      </c>
    </row>
    <row r="3939" spans="1:15" x14ac:dyDescent="0.25">
      <c r="A3939" s="13"/>
      <c r="B3939" s="12">
        <f>MONTH(Movimientos_2026[[#This Row],[Fecha]])</f>
        <v>1</v>
      </c>
      <c r="C3939" s="12" t="str">
        <f>VLOOKUP((WEEKDAY(Movimientos_2026[[#This Row],[Fecha]],2)),'5. Setup'!$D$6:$E$12,2,FALSE)</f>
        <v>Sab</v>
      </c>
      <c r="E3939" t="str">
        <f>IFERROR(+VLOOKUP(Movimientos_2026[[#This Row],[Codigo]],Plan_cuentas[],2,FALSE)," ")</f>
        <v xml:space="preserve"> </v>
      </c>
      <c r="F3939" t="str">
        <f>IFERROR(+VLOOKUP(Movimientos_2026[[#This Row],[Codigo]],Plan_cuentas[],3,FALSE)," ")</f>
        <v xml:space="preserve"> </v>
      </c>
      <c r="G3939" t="str">
        <f>IFERROR(+VLOOKUP(Movimientos_2026[[#This Row],[Codigo]],Plan_cuentas[],4,FALSE)," ")</f>
        <v xml:space="preserve"> </v>
      </c>
      <c r="H3939" t="str">
        <f>IFERROR(+VLOOKUP(Movimientos_2026[[#This Row],[Codigo]],Plan_cuentas[],5,FALSE)," ")</f>
        <v xml:space="preserve"> </v>
      </c>
      <c r="I3939" s="43"/>
      <c r="K3939" t="str">
        <f>IFERROR(+VLOOKUP(Movimientos_2026[[#This Row],[Codigo]],Plan_cuentas[],6,FALSE)," ")</f>
        <v xml:space="preserve"> </v>
      </c>
      <c r="L3939" s="50"/>
      <c r="M3939" s="50"/>
      <c r="N3939" s="20">
        <f>+Movimientos_2026[[#This Row],[Ingresos]]-Movimientos_2026[[#This Row],[Egresos]]</f>
        <v>0</v>
      </c>
      <c r="O3939" s="20">
        <f>+O3938+Movimientos_2026[[#This Row],[Neto]]</f>
        <v>4581558617.7962294</v>
      </c>
    </row>
    <row r="3940" spans="1:15" x14ac:dyDescent="0.25">
      <c r="A3940" s="13"/>
      <c r="B3940" s="12">
        <f>MONTH(Movimientos_2026[[#This Row],[Fecha]])</f>
        <v>1</v>
      </c>
      <c r="C3940" s="12" t="str">
        <f>VLOOKUP((WEEKDAY(Movimientos_2026[[#This Row],[Fecha]],2)),'5. Setup'!$D$6:$E$12,2,FALSE)</f>
        <v>Sab</v>
      </c>
      <c r="E3940" t="str">
        <f>IFERROR(+VLOOKUP(Movimientos_2026[[#This Row],[Codigo]],Plan_cuentas[],2,FALSE)," ")</f>
        <v xml:space="preserve"> </v>
      </c>
      <c r="F3940" t="str">
        <f>IFERROR(+VLOOKUP(Movimientos_2026[[#This Row],[Codigo]],Plan_cuentas[],3,FALSE)," ")</f>
        <v xml:space="preserve"> </v>
      </c>
      <c r="G3940" t="str">
        <f>IFERROR(+VLOOKUP(Movimientos_2026[[#This Row],[Codigo]],Plan_cuentas[],4,FALSE)," ")</f>
        <v xml:space="preserve"> </v>
      </c>
      <c r="H3940" t="str">
        <f>IFERROR(+VLOOKUP(Movimientos_2026[[#This Row],[Codigo]],Plan_cuentas[],5,FALSE)," ")</f>
        <v xml:space="preserve"> </v>
      </c>
      <c r="I3940" s="43"/>
      <c r="K3940" t="str">
        <f>IFERROR(+VLOOKUP(Movimientos_2026[[#This Row],[Codigo]],Plan_cuentas[],6,FALSE)," ")</f>
        <v xml:space="preserve"> </v>
      </c>
      <c r="L3940" s="50"/>
      <c r="M3940" s="50"/>
      <c r="N3940" s="20">
        <f>+Movimientos_2026[[#This Row],[Ingresos]]-Movimientos_2026[[#This Row],[Egresos]]</f>
        <v>0</v>
      </c>
      <c r="O3940" s="20">
        <f>+O3939+Movimientos_2026[[#This Row],[Neto]]</f>
        <v>4581558617.7962294</v>
      </c>
    </row>
    <row r="3941" spans="1:15" x14ac:dyDescent="0.25">
      <c r="A3941" s="13"/>
      <c r="B3941" s="12">
        <f>MONTH(Movimientos_2026[[#This Row],[Fecha]])</f>
        <v>1</v>
      </c>
      <c r="C3941" s="12" t="str">
        <f>VLOOKUP((WEEKDAY(Movimientos_2026[[#This Row],[Fecha]],2)),'5. Setup'!$D$6:$E$12,2,FALSE)</f>
        <v>Sab</v>
      </c>
      <c r="E3941" t="str">
        <f>IFERROR(+VLOOKUP(Movimientos_2026[[#This Row],[Codigo]],Plan_cuentas[],2,FALSE)," ")</f>
        <v xml:space="preserve"> </v>
      </c>
      <c r="F3941" t="str">
        <f>IFERROR(+VLOOKUP(Movimientos_2026[[#This Row],[Codigo]],Plan_cuentas[],3,FALSE)," ")</f>
        <v xml:space="preserve"> </v>
      </c>
      <c r="G3941" t="str">
        <f>IFERROR(+VLOOKUP(Movimientos_2026[[#This Row],[Codigo]],Plan_cuentas[],4,FALSE)," ")</f>
        <v xml:space="preserve"> </v>
      </c>
      <c r="H3941" t="str">
        <f>IFERROR(+VLOOKUP(Movimientos_2026[[#This Row],[Codigo]],Plan_cuentas[],5,FALSE)," ")</f>
        <v xml:space="preserve"> </v>
      </c>
      <c r="I3941" s="43"/>
      <c r="K3941" t="str">
        <f>IFERROR(+VLOOKUP(Movimientos_2026[[#This Row],[Codigo]],Plan_cuentas[],6,FALSE)," ")</f>
        <v xml:space="preserve"> </v>
      </c>
      <c r="L3941" s="50"/>
      <c r="M3941" s="50"/>
      <c r="N3941" s="20">
        <f>+Movimientos_2026[[#This Row],[Ingresos]]-Movimientos_2026[[#This Row],[Egresos]]</f>
        <v>0</v>
      </c>
      <c r="O3941" s="20">
        <f>+O3940+Movimientos_2026[[#This Row],[Neto]]</f>
        <v>4581558617.7962294</v>
      </c>
    </row>
    <row r="3942" spans="1:15" x14ac:dyDescent="0.25">
      <c r="A3942" s="13"/>
      <c r="B3942" s="12">
        <f>MONTH(Movimientos_2026[[#This Row],[Fecha]])</f>
        <v>1</v>
      </c>
      <c r="C3942" s="12" t="str">
        <f>VLOOKUP((WEEKDAY(Movimientos_2026[[#This Row],[Fecha]],2)),'5. Setup'!$D$6:$E$12,2,FALSE)</f>
        <v>Sab</v>
      </c>
      <c r="E3942" t="str">
        <f>IFERROR(+VLOOKUP(Movimientos_2026[[#This Row],[Codigo]],Plan_cuentas[],2,FALSE)," ")</f>
        <v xml:space="preserve"> </v>
      </c>
      <c r="F3942" t="str">
        <f>IFERROR(+VLOOKUP(Movimientos_2026[[#This Row],[Codigo]],Plan_cuentas[],3,FALSE)," ")</f>
        <v xml:space="preserve"> </v>
      </c>
      <c r="G3942" t="str">
        <f>IFERROR(+VLOOKUP(Movimientos_2026[[#This Row],[Codigo]],Plan_cuentas[],4,FALSE)," ")</f>
        <v xml:space="preserve"> </v>
      </c>
      <c r="H3942" t="str">
        <f>IFERROR(+VLOOKUP(Movimientos_2026[[#This Row],[Codigo]],Plan_cuentas[],5,FALSE)," ")</f>
        <v xml:space="preserve"> </v>
      </c>
      <c r="I3942" s="43"/>
      <c r="K3942" t="str">
        <f>IFERROR(+VLOOKUP(Movimientos_2026[[#This Row],[Codigo]],Plan_cuentas[],6,FALSE)," ")</f>
        <v xml:space="preserve"> </v>
      </c>
      <c r="L3942" s="50"/>
      <c r="M3942" s="50"/>
      <c r="N3942" s="20">
        <f>+Movimientos_2026[[#This Row],[Ingresos]]-Movimientos_2026[[#This Row],[Egresos]]</f>
        <v>0</v>
      </c>
      <c r="O3942" s="20">
        <f>+O3941+Movimientos_2026[[#This Row],[Neto]]</f>
        <v>4581558617.7962294</v>
      </c>
    </row>
    <row r="3943" spans="1:15" x14ac:dyDescent="0.25">
      <c r="A3943" s="13"/>
      <c r="B3943" s="12">
        <f>MONTH(Movimientos_2026[[#This Row],[Fecha]])</f>
        <v>1</v>
      </c>
      <c r="C3943" s="12" t="str">
        <f>VLOOKUP((WEEKDAY(Movimientos_2026[[#This Row],[Fecha]],2)),'5. Setup'!$D$6:$E$12,2,FALSE)</f>
        <v>Sab</v>
      </c>
      <c r="E3943" t="str">
        <f>IFERROR(+VLOOKUP(Movimientos_2026[[#This Row],[Codigo]],Plan_cuentas[],2,FALSE)," ")</f>
        <v xml:space="preserve"> </v>
      </c>
      <c r="F3943" t="str">
        <f>IFERROR(+VLOOKUP(Movimientos_2026[[#This Row],[Codigo]],Plan_cuentas[],3,FALSE)," ")</f>
        <v xml:space="preserve"> </v>
      </c>
      <c r="G3943" t="str">
        <f>IFERROR(+VLOOKUP(Movimientos_2026[[#This Row],[Codigo]],Plan_cuentas[],4,FALSE)," ")</f>
        <v xml:space="preserve"> </v>
      </c>
      <c r="H3943" t="str">
        <f>IFERROR(+VLOOKUP(Movimientos_2026[[#This Row],[Codigo]],Plan_cuentas[],5,FALSE)," ")</f>
        <v xml:space="preserve"> </v>
      </c>
      <c r="I3943" s="43"/>
      <c r="K3943" t="str">
        <f>IFERROR(+VLOOKUP(Movimientos_2026[[#This Row],[Codigo]],Plan_cuentas[],6,FALSE)," ")</f>
        <v xml:space="preserve"> </v>
      </c>
      <c r="L3943" s="50"/>
      <c r="M3943" s="50"/>
      <c r="N3943" s="20">
        <f>+Movimientos_2026[[#This Row],[Ingresos]]-Movimientos_2026[[#This Row],[Egresos]]</f>
        <v>0</v>
      </c>
      <c r="O3943" s="20">
        <f>+O3942+Movimientos_2026[[#This Row],[Neto]]</f>
        <v>4581558617.7962294</v>
      </c>
    </row>
    <row r="3944" spans="1:15" x14ac:dyDescent="0.25">
      <c r="A3944" s="13"/>
      <c r="B3944" s="12">
        <f>MONTH(Movimientos_2026[[#This Row],[Fecha]])</f>
        <v>1</v>
      </c>
      <c r="C3944" s="12" t="str">
        <f>VLOOKUP((WEEKDAY(Movimientos_2026[[#This Row],[Fecha]],2)),'5. Setup'!$D$6:$E$12,2,FALSE)</f>
        <v>Sab</v>
      </c>
      <c r="E3944" t="str">
        <f>IFERROR(+VLOOKUP(Movimientos_2026[[#This Row],[Codigo]],Plan_cuentas[],2,FALSE)," ")</f>
        <v xml:space="preserve"> </v>
      </c>
      <c r="F3944" t="str">
        <f>IFERROR(+VLOOKUP(Movimientos_2026[[#This Row],[Codigo]],Plan_cuentas[],3,FALSE)," ")</f>
        <v xml:space="preserve"> </v>
      </c>
      <c r="G3944" t="str">
        <f>IFERROR(+VLOOKUP(Movimientos_2026[[#This Row],[Codigo]],Plan_cuentas[],4,FALSE)," ")</f>
        <v xml:space="preserve"> </v>
      </c>
      <c r="H3944" t="str">
        <f>IFERROR(+VLOOKUP(Movimientos_2026[[#This Row],[Codigo]],Plan_cuentas[],5,FALSE)," ")</f>
        <v xml:space="preserve"> </v>
      </c>
      <c r="I3944" s="43"/>
      <c r="K3944" t="str">
        <f>IFERROR(+VLOOKUP(Movimientos_2026[[#This Row],[Codigo]],Plan_cuentas[],6,FALSE)," ")</f>
        <v xml:space="preserve"> </v>
      </c>
      <c r="L3944" s="50"/>
      <c r="M3944" s="50"/>
      <c r="N3944" s="20">
        <f>+Movimientos_2026[[#This Row],[Ingresos]]-Movimientos_2026[[#This Row],[Egresos]]</f>
        <v>0</v>
      </c>
      <c r="O3944" s="20">
        <f>+O3943+Movimientos_2026[[#This Row],[Neto]]</f>
        <v>4581558617.7962294</v>
      </c>
    </row>
    <row r="3945" spans="1:15" x14ac:dyDescent="0.25">
      <c r="A3945" s="13"/>
      <c r="B3945" s="12">
        <f>MONTH(Movimientos_2026[[#This Row],[Fecha]])</f>
        <v>1</v>
      </c>
      <c r="C3945" s="12" t="str">
        <f>VLOOKUP((WEEKDAY(Movimientos_2026[[#This Row],[Fecha]],2)),'5. Setup'!$D$6:$E$12,2,FALSE)</f>
        <v>Sab</v>
      </c>
      <c r="E3945" t="str">
        <f>IFERROR(+VLOOKUP(Movimientos_2026[[#This Row],[Codigo]],Plan_cuentas[],2,FALSE)," ")</f>
        <v xml:space="preserve"> </v>
      </c>
      <c r="F3945" t="str">
        <f>IFERROR(+VLOOKUP(Movimientos_2026[[#This Row],[Codigo]],Plan_cuentas[],3,FALSE)," ")</f>
        <v xml:space="preserve"> </v>
      </c>
      <c r="G3945" t="str">
        <f>IFERROR(+VLOOKUP(Movimientos_2026[[#This Row],[Codigo]],Plan_cuentas[],4,FALSE)," ")</f>
        <v xml:space="preserve"> </v>
      </c>
      <c r="H3945" t="str">
        <f>IFERROR(+VLOOKUP(Movimientos_2026[[#This Row],[Codigo]],Plan_cuentas[],5,FALSE)," ")</f>
        <v xml:space="preserve"> </v>
      </c>
      <c r="I3945" s="43"/>
      <c r="K3945" t="str">
        <f>IFERROR(+VLOOKUP(Movimientos_2026[[#This Row],[Codigo]],Plan_cuentas[],6,FALSE)," ")</f>
        <v xml:space="preserve"> </v>
      </c>
      <c r="L3945" s="50"/>
      <c r="M3945" s="50"/>
      <c r="N3945" s="20">
        <f>+Movimientos_2026[[#This Row],[Ingresos]]-Movimientos_2026[[#This Row],[Egresos]]</f>
        <v>0</v>
      </c>
      <c r="O3945" s="20">
        <f>+O3944+Movimientos_2026[[#This Row],[Neto]]</f>
        <v>4581558617.7962294</v>
      </c>
    </row>
    <row r="3946" spans="1:15" x14ac:dyDescent="0.25">
      <c r="A3946" s="13"/>
      <c r="B3946" s="12">
        <f>MONTH(Movimientos_2026[[#This Row],[Fecha]])</f>
        <v>1</v>
      </c>
      <c r="C3946" s="12" t="str">
        <f>VLOOKUP((WEEKDAY(Movimientos_2026[[#This Row],[Fecha]],2)),'5. Setup'!$D$6:$E$12,2,FALSE)</f>
        <v>Sab</v>
      </c>
      <c r="E3946" t="str">
        <f>IFERROR(+VLOOKUP(Movimientos_2026[[#This Row],[Codigo]],Plan_cuentas[],2,FALSE)," ")</f>
        <v xml:space="preserve"> </v>
      </c>
      <c r="F3946" t="str">
        <f>IFERROR(+VLOOKUP(Movimientos_2026[[#This Row],[Codigo]],Plan_cuentas[],3,FALSE)," ")</f>
        <v xml:space="preserve"> </v>
      </c>
      <c r="G3946" t="str">
        <f>IFERROR(+VLOOKUP(Movimientos_2026[[#This Row],[Codigo]],Plan_cuentas[],4,FALSE)," ")</f>
        <v xml:space="preserve"> </v>
      </c>
      <c r="H3946" t="str">
        <f>IFERROR(+VLOOKUP(Movimientos_2026[[#This Row],[Codigo]],Plan_cuentas[],5,FALSE)," ")</f>
        <v xml:space="preserve"> </v>
      </c>
      <c r="I3946" s="43"/>
      <c r="K3946" t="str">
        <f>IFERROR(+VLOOKUP(Movimientos_2026[[#This Row],[Codigo]],Plan_cuentas[],6,FALSE)," ")</f>
        <v xml:space="preserve"> </v>
      </c>
      <c r="L3946" s="50"/>
      <c r="M3946" s="50"/>
      <c r="N3946" s="20">
        <f>+Movimientos_2026[[#This Row],[Ingresos]]-Movimientos_2026[[#This Row],[Egresos]]</f>
        <v>0</v>
      </c>
      <c r="O3946" s="20">
        <f>+O3945+Movimientos_2026[[#This Row],[Neto]]</f>
        <v>4581558617.7962294</v>
      </c>
    </row>
    <row r="3947" spans="1:15" x14ac:dyDescent="0.25">
      <c r="A3947" s="13"/>
      <c r="B3947" s="12">
        <f>MONTH(Movimientos_2026[[#This Row],[Fecha]])</f>
        <v>1</v>
      </c>
      <c r="C3947" s="12" t="str">
        <f>VLOOKUP((WEEKDAY(Movimientos_2026[[#This Row],[Fecha]],2)),'5. Setup'!$D$6:$E$12,2,FALSE)</f>
        <v>Sab</v>
      </c>
      <c r="E3947" t="str">
        <f>IFERROR(+VLOOKUP(Movimientos_2026[[#This Row],[Codigo]],Plan_cuentas[],2,FALSE)," ")</f>
        <v xml:space="preserve"> </v>
      </c>
      <c r="F3947" t="str">
        <f>IFERROR(+VLOOKUP(Movimientos_2026[[#This Row],[Codigo]],Plan_cuentas[],3,FALSE)," ")</f>
        <v xml:space="preserve"> </v>
      </c>
      <c r="G3947" t="str">
        <f>IFERROR(+VLOOKUP(Movimientos_2026[[#This Row],[Codigo]],Plan_cuentas[],4,FALSE)," ")</f>
        <v xml:space="preserve"> </v>
      </c>
      <c r="H3947" t="str">
        <f>IFERROR(+VLOOKUP(Movimientos_2026[[#This Row],[Codigo]],Plan_cuentas[],5,FALSE)," ")</f>
        <v xml:space="preserve"> </v>
      </c>
      <c r="I3947" s="43"/>
      <c r="K3947" t="str">
        <f>IFERROR(+VLOOKUP(Movimientos_2026[[#This Row],[Codigo]],Plan_cuentas[],6,FALSE)," ")</f>
        <v xml:space="preserve"> </v>
      </c>
      <c r="L3947" s="50"/>
      <c r="M3947" s="50"/>
      <c r="N3947" s="20">
        <f>+Movimientos_2026[[#This Row],[Ingresos]]-Movimientos_2026[[#This Row],[Egresos]]</f>
        <v>0</v>
      </c>
      <c r="O3947" s="20">
        <f>+O3946+Movimientos_2026[[#This Row],[Neto]]</f>
        <v>4581558617.7962294</v>
      </c>
    </row>
    <row r="3948" spans="1:15" x14ac:dyDescent="0.25">
      <c r="A3948" s="13"/>
      <c r="B3948" s="12">
        <f>MONTH(Movimientos_2026[[#This Row],[Fecha]])</f>
        <v>1</v>
      </c>
      <c r="C3948" s="12" t="str">
        <f>VLOOKUP((WEEKDAY(Movimientos_2026[[#This Row],[Fecha]],2)),'5. Setup'!$D$6:$E$12,2,FALSE)</f>
        <v>Sab</v>
      </c>
      <c r="E3948" t="str">
        <f>IFERROR(+VLOOKUP(Movimientos_2026[[#This Row],[Codigo]],Plan_cuentas[],2,FALSE)," ")</f>
        <v xml:space="preserve"> </v>
      </c>
      <c r="F3948" t="str">
        <f>IFERROR(+VLOOKUP(Movimientos_2026[[#This Row],[Codigo]],Plan_cuentas[],3,FALSE)," ")</f>
        <v xml:space="preserve"> </v>
      </c>
      <c r="G3948" t="str">
        <f>IFERROR(+VLOOKUP(Movimientos_2026[[#This Row],[Codigo]],Plan_cuentas[],4,FALSE)," ")</f>
        <v xml:space="preserve"> </v>
      </c>
      <c r="H3948" t="str">
        <f>IFERROR(+VLOOKUP(Movimientos_2026[[#This Row],[Codigo]],Plan_cuentas[],5,FALSE)," ")</f>
        <v xml:space="preserve"> </v>
      </c>
      <c r="I3948" s="43"/>
      <c r="K3948" t="str">
        <f>IFERROR(+VLOOKUP(Movimientos_2026[[#This Row],[Codigo]],Plan_cuentas[],6,FALSE)," ")</f>
        <v xml:space="preserve"> </v>
      </c>
      <c r="L3948" s="50"/>
      <c r="M3948" s="50"/>
      <c r="N3948" s="20">
        <f>+Movimientos_2026[[#This Row],[Ingresos]]-Movimientos_2026[[#This Row],[Egresos]]</f>
        <v>0</v>
      </c>
      <c r="O3948" s="20">
        <f>+O3947+Movimientos_2026[[#This Row],[Neto]]</f>
        <v>4581558617.7962294</v>
      </c>
    </row>
    <row r="3949" spans="1:15" x14ac:dyDescent="0.25">
      <c r="A3949" s="13"/>
      <c r="B3949" s="12">
        <f>MONTH(Movimientos_2026[[#This Row],[Fecha]])</f>
        <v>1</v>
      </c>
      <c r="C3949" s="12" t="str">
        <f>VLOOKUP((WEEKDAY(Movimientos_2026[[#This Row],[Fecha]],2)),'5. Setup'!$D$6:$E$12,2,FALSE)</f>
        <v>Sab</v>
      </c>
      <c r="E3949" t="str">
        <f>IFERROR(+VLOOKUP(Movimientos_2026[[#This Row],[Codigo]],Plan_cuentas[],2,FALSE)," ")</f>
        <v xml:space="preserve"> </v>
      </c>
      <c r="F3949" t="str">
        <f>IFERROR(+VLOOKUP(Movimientos_2026[[#This Row],[Codigo]],Plan_cuentas[],3,FALSE)," ")</f>
        <v xml:space="preserve"> </v>
      </c>
      <c r="G3949" t="str">
        <f>IFERROR(+VLOOKUP(Movimientos_2026[[#This Row],[Codigo]],Plan_cuentas[],4,FALSE)," ")</f>
        <v xml:space="preserve"> </v>
      </c>
      <c r="H3949" t="str">
        <f>IFERROR(+VLOOKUP(Movimientos_2026[[#This Row],[Codigo]],Plan_cuentas[],5,FALSE)," ")</f>
        <v xml:space="preserve"> </v>
      </c>
      <c r="I3949" s="43"/>
      <c r="K3949" t="str">
        <f>IFERROR(+VLOOKUP(Movimientos_2026[[#This Row],[Codigo]],Plan_cuentas[],6,FALSE)," ")</f>
        <v xml:space="preserve"> </v>
      </c>
      <c r="L3949" s="50"/>
      <c r="M3949" s="50"/>
      <c r="N3949" s="20">
        <f>+Movimientos_2026[[#This Row],[Ingresos]]-Movimientos_2026[[#This Row],[Egresos]]</f>
        <v>0</v>
      </c>
      <c r="O3949" s="20">
        <f>+O3948+Movimientos_2026[[#This Row],[Neto]]</f>
        <v>4581558617.7962294</v>
      </c>
    </row>
    <row r="3950" spans="1:15" x14ac:dyDescent="0.25">
      <c r="A3950" s="13"/>
      <c r="B3950" s="12">
        <f>MONTH(Movimientos_2026[[#This Row],[Fecha]])</f>
        <v>1</v>
      </c>
      <c r="C3950" s="12" t="str">
        <f>VLOOKUP((WEEKDAY(Movimientos_2026[[#This Row],[Fecha]],2)),'5. Setup'!$D$6:$E$12,2,FALSE)</f>
        <v>Sab</v>
      </c>
      <c r="E3950" t="str">
        <f>IFERROR(+VLOOKUP(Movimientos_2026[[#This Row],[Codigo]],Plan_cuentas[],2,FALSE)," ")</f>
        <v xml:space="preserve"> </v>
      </c>
      <c r="F3950" t="str">
        <f>IFERROR(+VLOOKUP(Movimientos_2026[[#This Row],[Codigo]],Plan_cuentas[],3,FALSE)," ")</f>
        <v xml:space="preserve"> </v>
      </c>
      <c r="G3950" t="str">
        <f>IFERROR(+VLOOKUP(Movimientos_2026[[#This Row],[Codigo]],Plan_cuentas[],4,FALSE)," ")</f>
        <v xml:space="preserve"> </v>
      </c>
      <c r="H3950" t="str">
        <f>IFERROR(+VLOOKUP(Movimientos_2026[[#This Row],[Codigo]],Plan_cuentas[],5,FALSE)," ")</f>
        <v xml:space="preserve"> </v>
      </c>
      <c r="I3950" s="43"/>
      <c r="K3950" t="str">
        <f>IFERROR(+VLOOKUP(Movimientos_2026[[#This Row],[Codigo]],Plan_cuentas[],6,FALSE)," ")</f>
        <v xml:space="preserve"> </v>
      </c>
      <c r="L3950" s="50"/>
      <c r="M3950" s="50"/>
      <c r="N3950" s="20">
        <f>+Movimientos_2026[[#This Row],[Ingresos]]-Movimientos_2026[[#This Row],[Egresos]]</f>
        <v>0</v>
      </c>
      <c r="O3950" s="20">
        <f>+O3949+Movimientos_2026[[#This Row],[Neto]]</f>
        <v>4581558617.7962294</v>
      </c>
    </row>
    <row r="3951" spans="1:15" x14ac:dyDescent="0.25">
      <c r="A3951" s="13"/>
      <c r="B3951" s="12">
        <f>MONTH(Movimientos_2026[[#This Row],[Fecha]])</f>
        <v>1</v>
      </c>
      <c r="C3951" s="12" t="str">
        <f>VLOOKUP((WEEKDAY(Movimientos_2026[[#This Row],[Fecha]],2)),'5. Setup'!$D$6:$E$12,2,FALSE)</f>
        <v>Sab</v>
      </c>
      <c r="E3951" t="str">
        <f>IFERROR(+VLOOKUP(Movimientos_2026[[#This Row],[Codigo]],Plan_cuentas[],2,FALSE)," ")</f>
        <v xml:space="preserve"> </v>
      </c>
      <c r="F3951" t="str">
        <f>IFERROR(+VLOOKUP(Movimientos_2026[[#This Row],[Codigo]],Plan_cuentas[],3,FALSE)," ")</f>
        <v xml:space="preserve"> </v>
      </c>
      <c r="G3951" t="str">
        <f>IFERROR(+VLOOKUP(Movimientos_2026[[#This Row],[Codigo]],Plan_cuentas[],4,FALSE)," ")</f>
        <v xml:space="preserve"> </v>
      </c>
      <c r="H3951" t="str">
        <f>IFERROR(+VLOOKUP(Movimientos_2026[[#This Row],[Codigo]],Plan_cuentas[],5,FALSE)," ")</f>
        <v xml:space="preserve"> </v>
      </c>
      <c r="I3951" s="43"/>
      <c r="K3951" t="str">
        <f>IFERROR(+VLOOKUP(Movimientos_2026[[#This Row],[Codigo]],Plan_cuentas[],6,FALSE)," ")</f>
        <v xml:space="preserve"> </v>
      </c>
      <c r="L3951" s="50"/>
      <c r="M3951" s="50"/>
      <c r="N3951" s="20">
        <f>+Movimientos_2026[[#This Row],[Ingresos]]-Movimientos_2026[[#This Row],[Egresos]]</f>
        <v>0</v>
      </c>
      <c r="O3951" s="20">
        <f>+O3950+Movimientos_2026[[#This Row],[Neto]]</f>
        <v>4581558617.7962294</v>
      </c>
    </row>
    <row r="3952" spans="1:15" x14ac:dyDescent="0.25">
      <c r="A3952" s="13"/>
      <c r="B3952" s="12">
        <f>MONTH(Movimientos_2026[[#This Row],[Fecha]])</f>
        <v>1</v>
      </c>
      <c r="C3952" s="12" t="str">
        <f>VLOOKUP((WEEKDAY(Movimientos_2026[[#This Row],[Fecha]],2)),'5. Setup'!$D$6:$E$12,2,FALSE)</f>
        <v>Sab</v>
      </c>
      <c r="E3952" t="str">
        <f>IFERROR(+VLOOKUP(Movimientos_2026[[#This Row],[Codigo]],Plan_cuentas[],2,FALSE)," ")</f>
        <v xml:space="preserve"> </v>
      </c>
      <c r="F3952" t="str">
        <f>IFERROR(+VLOOKUP(Movimientos_2026[[#This Row],[Codigo]],Plan_cuentas[],3,FALSE)," ")</f>
        <v xml:space="preserve"> </v>
      </c>
      <c r="G3952" t="str">
        <f>IFERROR(+VLOOKUP(Movimientos_2026[[#This Row],[Codigo]],Plan_cuentas[],4,FALSE)," ")</f>
        <v xml:space="preserve"> </v>
      </c>
      <c r="H3952" t="str">
        <f>IFERROR(+VLOOKUP(Movimientos_2026[[#This Row],[Codigo]],Plan_cuentas[],5,FALSE)," ")</f>
        <v xml:space="preserve"> </v>
      </c>
      <c r="I3952" s="43"/>
      <c r="K3952" t="str">
        <f>IFERROR(+VLOOKUP(Movimientos_2026[[#This Row],[Codigo]],Plan_cuentas[],6,FALSE)," ")</f>
        <v xml:space="preserve"> </v>
      </c>
      <c r="L3952" s="50"/>
      <c r="M3952" s="50"/>
      <c r="N3952" s="20">
        <f>+Movimientos_2026[[#This Row],[Ingresos]]-Movimientos_2026[[#This Row],[Egresos]]</f>
        <v>0</v>
      </c>
      <c r="O3952" s="20">
        <f>+O3951+Movimientos_2026[[#This Row],[Neto]]</f>
        <v>4581558617.7962294</v>
      </c>
    </row>
    <row r="3953" spans="1:15" x14ac:dyDescent="0.25">
      <c r="A3953" s="13"/>
      <c r="B3953" s="12">
        <f>MONTH(Movimientos_2026[[#This Row],[Fecha]])</f>
        <v>1</v>
      </c>
      <c r="C3953" s="12" t="str">
        <f>VLOOKUP((WEEKDAY(Movimientos_2026[[#This Row],[Fecha]],2)),'5. Setup'!$D$6:$E$12,2,FALSE)</f>
        <v>Sab</v>
      </c>
      <c r="E3953" t="str">
        <f>IFERROR(+VLOOKUP(Movimientos_2026[[#This Row],[Codigo]],Plan_cuentas[],2,FALSE)," ")</f>
        <v xml:space="preserve"> </v>
      </c>
      <c r="F3953" t="str">
        <f>IFERROR(+VLOOKUP(Movimientos_2026[[#This Row],[Codigo]],Plan_cuentas[],3,FALSE)," ")</f>
        <v xml:space="preserve"> </v>
      </c>
      <c r="G3953" t="str">
        <f>IFERROR(+VLOOKUP(Movimientos_2026[[#This Row],[Codigo]],Plan_cuentas[],4,FALSE)," ")</f>
        <v xml:space="preserve"> </v>
      </c>
      <c r="H3953" t="str">
        <f>IFERROR(+VLOOKUP(Movimientos_2026[[#This Row],[Codigo]],Plan_cuentas[],5,FALSE)," ")</f>
        <v xml:space="preserve"> </v>
      </c>
      <c r="I3953" s="43"/>
      <c r="K3953" t="str">
        <f>IFERROR(+VLOOKUP(Movimientos_2026[[#This Row],[Codigo]],Plan_cuentas[],6,FALSE)," ")</f>
        <v xml:space="preserve"> </v>
      </c>
      <c r="L3953" s="50"/>
      <c r="M3953" s="50"/>
      <c r="N3953" s="20">
        <f>+Movimientos_2026[[#This Row],[Ingresos]]-Movimientos_2026[[#This Row],[Egresos]]</f>
        <v>0</v>
      </c>
      <c r="O3953" s="20">
        <f>+O3952+Movimientos_2026[[#This Row],[Neto]]</f>
        <v>4581558617.7962294</v>
      </c>
    </row>
    <row r="3954" spans="1:15" x14ac:dyDescent="0.25">
      <c r="A3954" s="13"/>
      <c r="B3954" s="12">
        <f>MONTH(Movimientos_2026[[#This Row],[Fecha]])</f>
        <v>1</v>
      </c>
      <c r="C3954" s="12" t="str">
        <f>VLOOKUP((WEEKDAY(Movimientos_2026[[#This Row],[Fecha]],2)),'5. Setup'!$D$6:$E$12,2,FALSE)</f>
        <v>Sab</v>
      </c>
      <c r="E3954" t="str">
        <f>IFERROR(+VLOOKUP(Movimientos_2026[[#This Row],[Codigo]],Plan_cuentas[],2,FALSE)," ")</f>
        <v xml:space="preserve"> </v>
      </c>
      <c r="F3954" t="str">
        <f>IFERROR(+VLOOKUP(Movimientos_2026[[#This Row],[Codigo]],Plan_cuentas[],3,FALSE)," ")</f>
        <v xml:space="preserve"> </v>
      </c>
      <c r="G3954" t="str">
        <f>IFERROR(+VLOOKUP(Movimientos_2026[[#This Row],[Codigo]],Plan_cuentas[],4,FALSE)," ")</f>
        <v xml:space="preserve"> </v>
      </c>
      <c r="H3954" t="str">
        <f>IFERROR(+VLOOKUP(Movimientos_2026[[#This Row],[Codigo]],Plan_cuentas[],5,FALSE)," ")</f>
        <v xml:space="preserve"> </v>
      </c>
      <c r="I3954" s="43"/>
      <c r="K3954" t="str">
        <f>IFERROR(+VLOOKUP(Movimientos_2026[[#This Row],[Codigo]],Plan_cuentas[],6,FALSE)," ")</f>
        <v xml:space="preserve"> </v>
      </c>
      <c r="L3954" s="50"/>
      <c r="M3954" s="50"/>
      <c r="N3954" s="20">
        <f>+Movimientos_2026[[#This Row],[Ingresos]]-Movimientos_2026[[#This Row],[Egresos]]</f>
        <v>0</v>
      </c>
      <c r="O3954" s="20">
        <f>+O3953+Movimientos_2026[[#This Row],[Neto]]</f>
        <v>4581558617.7962294</v>
      </c>
    </row>
    <row r="3955" spans="1:15" x14ac:dyDescent="0.25">
      <c r="A3955" s="13"/>
      <c r="B3955" s="12">
        <f>MONTH(Movimientos_2026[[#This Row],[Fecha]])</f>
        <v>1</v>
      </c>
      <c r="C3955" s="12" t="str">
        <f>VLOOKUP((WEEKDAY(Movimientos_2026[[#This Row],[Fecha]],2)),'5. Setup'!$D$6:$E$12,2,FALSE)</f>
        <v>Sab</v>
      </c>
      <c r="E3955" t="str">
        <f>IFERROR(+VLOOKUP(Movimientos_2026[[#This Row],[Codigo]],Plan_cuentas[],2,FALSE)," ")</f>
        <v xml:space="preserve"> </v>
      </c>
      <c r="F3955" t="str">
        <f>IFERROR(+VLOOKUP(Movimientos_2026[[#This Row],[Codigo]],Plan_cuentas[],3,FALSE)," ")</f>
        <v xml:space="preserve"> </v>
      </c>
      <c r="G3955" t="str">
        <f>IFERROR(+VLOOKUP(Movimientos_2026[[#This Row],[Codigo]],Plan_cuentas[],4,FALSE)," ")</f>
        <v xml:space="preserve"> </v>
      </c>
      <c r="H3955" t="str">
        <f>IFERROR(+VLOOKUP(Movimientos_2026[[#This Row],[Codigo]],Plan_cuentas[],5,FALSE)," ")</f>
        <v xml:space="preserve"> </v>
      </c>
      <c r="I3955" s="43"/>
      <c r="K3955" t="str">
        <f>IFERROR(+VLOOKUP(Movimientos_2026[[#This Row],[Codigo]],Plan_cuentas[],6,FALSE)," ")</f>
        <v xml:space="preserve"> </v>
      </c>
      <c r="L3955" s="50"/>
      <c r="M3955" s="50"/>
      <c r="N3955" s="20">
        <f>+Movimientos_2026[[#This Row],[Ingresos]]-Movimientos_2026[[#This Row],[Egresos]]</f>
        <v>0</v>
      </c>
      <c r="O3955" s="20">
        <f>+O3954+Movimientos_2026[[#This Row],[Neto]]</f>
        <v>4581558617.7962294</v>
      </c>
    </row>
    <row r="3956" spans="1:15" x14ac:dyDescent="0.25">
      <c r="A3956" s="13"/>
      <c r="B3956" s="12">
        <f>MONTH(Movimientos_2026[[#This Row],[Fecha]])</f>
        <v>1</v>
      </c>
      <c r="C3956" s="12" t="str">
        <f>VLOOKUP((WEEKDAY(Movimientos_2026[[#This Row],[Fecha]],2)),'5. Setup'!$D$6:$E$12,2,FALSE)</f>
        <v>Sab</v>
      </c>
      <c r="E3956" t="str">
        <f>IFERROR(+VLOOKUP(Movimientos_2026[[#This Row],[Codigo]],Plan_cuentas[],2,FALSE)," ")</f>
        <v xml:space="preserve"> </v>
      </c>
      <c r="F3956" t="str">
        <f>IFERROR(+VLOOKUP(Movimientos_2026[[#This Row],[Codigo]],Plan_cuentas[],3,FALSE)," ")</f>
        <v xml:space="preserve"> </v>
      </c>
      <c r="G3956" t="str">
        <f>IFERROR(+VLOOKUP(Movimientos_2026[[#This Row],[Codigo]],Plan_cuentas[],4,FALSE)," ")</f>
        <v xml:space="preserve"> </v>
      </c>
      <c r="H3956" t="str">
        <f>IFERROR(+VLOOKUP(Movimientos_2026[[#This Row],[Codigo]],Plan_cuentas[],5,FALSE)," ")</f>
        <v xml:space="preserve"> </v>
      </c>
      <c r="I3956" s="43"/>
      <c r="K3956" t="str">
        <f>IFERROR(+VLOOKUP(Movimientos_2026[[#This Row],[Codigo]],Plan_cuentas[],6,FALSE)," ")</f>
        <v xml:space="preserve"> </v>
      </c>
      <c r="L3956" s="50"/>
      <c r="M3956" s="50"/>
      <c r="N3956" s="20">
        <f>+Movimientos_2026[[#This Row],[Ingresos]]-Movimientos_2026[[#This Row],[Egresos]]</f>
        <v>0</v>
      </c>
      <c r="O3956" s="20">
        <f>+O3955+Movimientos_2026[[#This Row],[Neto]]</f>
        <v>4581558617.7962294</v>
      </c>
    </row>
    <row r="3957" spans="1:15" x14ac:dyDescent="0.25">
      <c r="A3957" s="13"/>
      <c r="B3957" s="12">
        <f>MONTH(Movimientos_2026[[#This Row],[Fecha]])</f>
        <v>1</v>
      </c>
      <c r="C3957" s="12" t="str">
        <f>VLOOKUP((WEEKDAY(Movimientos_2026[[#This Row],[Fecha]],2)),'5. Setup'!$D$6:$E$12,2,FALSE)</f>
        <v>Sab</v>
      </c>
      <c r="E3957" t="str">
        <f>IFERROR(+VLOOKUP(Movimientos_2026[[#This Row],[Codigo]],Plan_cuentas[],2,FALSE)," ")</f>
        <v xml:space="preserve"> </v>
      </c>
      <c r="F3957" t="str">
        <f>IFERROR(+VLOOKUP(Movimientos_2026[[#This Row],[Codigo]],Plan_cuentas[],3,FALSE)," ")</f>
        <v xml:space="preserve"> </v>
      </c>
      <c r="G3957" t="str">
        <f>IFERROR(+VLOOKUP(Movimientos_2026[[#This Row],[Codigo]],Plan_cuentas[],4,FALSE)," ")</f>
        <v xml:space="preserve"> </v>
      </c>
      <c r="H3957" t="str">
        <f>IFERROR(+VLOOKUP(Movimientos_2026[[#This Row],[Codigo]],Plan_cuentas[],5,FALSE)," ")</f>
        <v xml:space="preserve"> </v>
      </c>
      <c r="I3957" s="43"/>
      <c r="K3957" t="str">
        <f>IFERROR(+VLOOKUP(Movimientos_2026[[#This Row],[Codigo]],Plan_cuentas[],6,FALSE)," ")</f>
        <v xml:space="preserve"> </v>
      </c>
      <c r="L3957" s="50"/>
      <c r="M3957" s="50"/>
      <c r="N3957" s="20">
        <f>+Movimientos_2026[[#This Row],[Ingresos]]-Movimientos_2026[[#This Row],[Egresos]]</f>
        <v>0</v>
      </c>
      <c r="O3957" s="20">
        <f>+O3956+Movimientos_2026[[#This Row],[Neto]]</f>
        <v>4581558617.7962294</v>
      </c>
    </row>
    <row r="3958" spans="1:15" x14ac:dyDescent="0.25">
      <c r="A3958" s="13"/>
      <c r="B3958" s="12">
        <f>MONTH(Movimientos_2026[[#This Row],[Fecha]])</f>
        <v>1</v>
      </c>
      <c r="C3958" s="12" t="str">
        <f>VLOOKUP((WEEKDAY(Movimientos_2026[[#This Row],[Fecha]],2)),'5. Setup'!$D$6:$E$12,2,FALSE)</f>
        <v>Sab</v>
      </c>
      <c r="E3958" t="str">
        <f>IFERROR(+VLOOKUP(Movimientos_2026[[#This Row],[Codigo]],Plan_cuentas[],2,FALSE)," ")</f>
        <v xml:space="preserve"> </v>
      </c>
      <c r="F3958" t="str">
        <f>IFERROR(+VLOOKUP(Movimientos_2026[[#This Row],[Codigo]],Plan_cuentas[],3,FALSE)," ")</f>
        <v xml:space="preserve"> </v>
      </c>
      <c r="G3958" t="str">
        <f>IFERROR(+VLOOKUP(Movimientos_2026[[#This Row],[Codigo]],Plan_cuentas[],4,FALSE)," ")</f>
        <v xml:space="preserve"> </v>
      </c>
      <c r="H3958" t="str">
        <f>IFERROR(+VLOOKUP(Movimientos_2026[[#This Row],[Codigo]],Plan_cuentas[],5,FALSE)," ")</f>
        <v xml:space="preserve"> </v>
      </c>
      <c r="I3958" s="43"/>
      <c r="K3958" t="str">
        <f>IFERROR(+VLOOKUP(Movimientos_2026[[#This Row],[Codigo]],Plan_cuentas[],6,FALSE)," ")</f>
        <v xml:space="preserve"> </v>
      </c>
      <c r="L3958" s="50"/>
      <c r="M3958" s="50"/>
      <c r="N3958" s="20">
        <f>+Movimientos_2026[[#This Row],[Ingresos]]-Movimientos_2026[[#This Row],[Egresos]]</f>
        <v>0</v>
      </c>
      <c r="O3958" s="20">
        <f>+O3957+Movimientos_2026[[#This Row],[Neto]]</f>
        <v>4581558617.7962294</v>
      </c>
    </row>
    <row r="3959" spans="1:15" x14ac:dyDescent="0.25">
      <c r="A3959" s="13"/>
      <c r="B3959" s="12">
        <f>MONTH(Movimientos_2026[[#This Row],[Fecha]])</f>
        <v>1</v>
      </c>
      <c r="C3959" s="12" t="str">
        <f>VLOOKUP((WEEKDAY(Movimientos_2026[[#This Row],[Fecha]],2)),'5. Setup'!$D$6:$E$12,2,FALSE)</f>
        <v>Sab</v>
      </c>
      <c r="E3959" t="str">
        <f>IFERROR(+VLOOKUP(Movimientos_2026[[#This Row],[Codigo]],Plan_cuentas[],2,FALSE)," ")</f>
        <v xml:space="preserve"> </v>
      </c>
      <c r="F3959" t="str">
        <f>IFERROR(+VLOOKUP(Movimientos_2026[[#This Row],[Codigo]],Plan_cuentas[],3,FALSE)," ")</f>
        <v xml:space="preserve"> </v>
      </c>
      <c r="G3959" t="str">
        <f>IFERROR(+VLOOKUP(Movimientos_2026[[#This Row],[Codigo]],Plan_cuentas[],4,FALSE)," ")</f>
        <v xml:space="preserve"> </v>
      </c>
      <c r="H3959" t="str">
        <f>IFERROR(+VLOOKUP(Movimientos_2026[[#This Row],[Codigo]],Plan_cuentas[],5,FALSE)," ")</f>
        <v xml:space="preserve"> </v>
      </c>
      <c r="I3959" s="43"/>
      <c r="K3959" t="str">
        <f>IFERROR(+VLOOKUP(Movimientos_2026[[#This Row],[Codigo]],Plan_cuentas[],6,FALSE)," ")</f>
        <v xml:space="preserve"> </v>
      </c>
      <c r="L3959" s="50"/>
      <c r="M3959" s="50"/>
      <c r="N3959" s="20">
        <f>+Movimientos_2026[[#This Row],[Ingresos]]-Movimientos_2026[[#This Row],[Egresos]]</f>
        <v>0</v>
      </c>
      <c r="O3959" s="20">
        <f>+O3958+Movimientos_2026[[#This Row],[Neto]]</f>
        <v>4581558617.7962294</v>
      </c>
    </row>
    <row r="3960" spans="1:15" x14ac:dyDescent="0.25">
      <c r="A3960" s="13"/>
      <c r="B3960" s="12">
        <f>MONTH(Movimientos_2026[[#This Row],[Fecha]])</f>
        <v>1</v>
      </c>
      <c r="C3960" s="12" t="str">
        <f>VLOOKUP((WEEKDAY(Movimientos_2026[[#This Row],[Fecha]],2)),'5. Setup'!$D$6:$E$12,2,FALSE)</f>
        <v>Sab</v>
      </c>
      <c r="E3960" t="str">
        <f>IFERROR(+VLOOKUP(Movimientos_2026[[#This Row],[Codigo]],Plan_cuentas[],2,FALSE)," ")</f>
        <v xml:space="preserve"> </v>
      </c>
      <c r="F3960" t="str">
        <f>IFERROR(+VLOOKUP(Movimientos_2026[[#This Row],[Codigo]],Plan_cuentas[],3,FALSE)," ")</f>
        <v xml:space="preserve"> </v>
      </c>
      <c r="G3960" t="str">
        <f>IFERROR(+VLOOKUP(Movimientos_2026[[#This Row],[Codigo]],Plan_cuentas[],4,FALSE)," ")</f>
        <v xml:space="preserve"> </v>
      </c>
      <c r="H3960" t="str">
        <f>IFERROR(+VLOOKUP(Movimientos_2026[[#This Row],[Codigo]],Plan_cuentas[],5,FALSE)," ")</f>
        <v xml:space="preserve"> </v>
      </c>
      <c r="I3960" s="43"/>
      <c r="K3960" t="str">
        <f>IFERROR(+VLOOKUP(Movimientos_2026[[#This Row],[Codigo]],Plan_cuentas[],6,FALSE)," ")</f>
        <v xml:space="preserve"> </v>
      </c>
      <c r="L3960" s="50"/>
      <c r="M3960" s="50"/>
      <c r="N3960" s="20">
        <f>+Movimientos_2026[[#This Row],[Ingresos]]-Movimientos_2026[[#This Row],[Egresos]]</f>
        <v>0</v>
      </c>
      <c r="O3960" s="20">
        <f>+O3959+Movimientos_2026[[#This Row],[Neto]]</f>
        <v>4581558617.7962294</v>
      </c>
    </row>
    <row r="3961" spans="1:15" x14ac:dyDescent="0.25">
      <c r="A3961" s="13"/>
      <c r="B3961" s="12">
        <f>MONTH(Movimientos_2026[[#This Row],[Fecha]])</f>
        <v>1</v>
      </c>
      <c r="C3961" s="12" t="str">
        <f>VLOOKUP((WEEKDAY(Movimientos_2026[[#This Row],[Fecha]],2)),'5. Setup'!$D$6:$E$12,2,FALSE)</f>
        <v>Sab</v>
      </c>
      <c r="E3961" t="str">
        <f>IFERROR(+VLOOKUP(Movimientos_2026[[#This Row],[Codigo]],Plan_cuentas[],2,FALSE)," ")</f>
        <v xml:space="preserve"> </v>
      </c>
      <c r="F3961" t="str">
        <f>IFERROR(+VLOOKUP(Movimientos_2026[[#This Row],[Codigo]],Plan_cuentas[],3,FALSE)," ")</f>
        <v xml:space="preserve"> </v>
      </c>
      <c r="G3961" t="str">
        <f>IFERROR(+VLOOKUP(Movimientos_2026[[#This Row],[Codigo]],Plan_cuentas[],4,FALSE)," ")</f>
        <v xml:space="preserve"> </v>
      </c>
      <c r="H3961" t="str">
        <f>IFERROR(+VLOOKUP(Movimientos_2026[[#This Row],[Codigo]],Plan_cuentas[],5,FALSE)," ")</f>
        <v xml:space="preserve"> </v>
      </c>
      <c r="I3961" s="43"/>
      <c r="K3961" t="str">
        <f>IFERROR(+VLOOKUP(Movimientos_2026[[#This Row],[Codigo]],Plan_cuentas[],6,FALSE)," ")</f>
        <v xml:space="preserve"> </v>
      </c>
      <c r="L3961" s="50"/>
      <c r="M3961" s="50"/>
      <c r="N3961" s="20">
        <f>+Movimientos_2026[[#This Row],[Ingresos]]-Movimientos_2026[[#This Row],[Egresos]]</f>
        <v>0</v>
      </c>
      <c r="O3961" s="20">
        <f>+O3960+Movimientos_2026[[#This Row],[Neto]]</f>
        <v>4581558617.7962294</v>
      </c>
    </row>
    <row r="3962" spans="1:15" x14ac:dyDescent="0.25">
      <c r="A3962" s="13"/>
      <c r="B3962" s="12">
        <f>MONTH(Movimientos_2026[[#This Row],[Fecha]])</f>
        <v>1</v>
      </c>
      <c r="C3962" s="12" t="str">
        <f>VLOOKUP((WEEKDAY(Movimientos_2026[[#This Row],[Fecha]],2)),'5. Setup'!$D$6:$E$12,2,FALSE)</f>
        <v>Sab</v>
      </c>
      <c r="E3962" t="str">
        <f>IFERROR(+VLOOKUP(Movimientos_2026[[#This Row],[Codigo]],Plan_cuentas[],2,FALSE)," ")</f>
        <v xml:space="preserve"> </v>
      </c>
      <c r="F3962" t="str">
        <f>IFERROR(+VLOOKUP(Movimientos_2026[[#This Row],[Codigo]],Plan_cuentas[],3,FALSE)," ")</f>
        <v xml:space="preserve"> </v>
      </c>
      <c r="G3962" t="str">
        <f>IFERROR(+VLOOKUP(Movimientos_2026[[#This Row],[Codigo]],Plan_cuentas[],4,FALSE)," ")</f>
        <v xml:space="preserve"> </v>
      </c>
      <c r="H3962" t="str">
        <f>IFERROR(+VLOOKUP(Movimientos_2026[[#This Row],[Codigo]],Plan_cuentas[],5,FALSE)," ")</f>
        <v xml:space="preserve"> </v>
      </c>
      <c r="I3962" s="43"/>
      <c r="K3962" t="str">
        <f>IFERROR(+VLOOKUP(Movimientos_2026[[#This Row],[Codigo]],Plan_cuentas[],6,FALSE)," ")</f>
        <v xml:space="preserve"> </v>
      </c>
      <c r="L3962" s="50"/>
      <c r="M3962" s="50"/>
      <c r="N3962" s="20">
        <f>+Movimientos_2026[[#This Row],[Ingresos]]-Movimientos_2026[[#This Row],[Egresos]]</f>
        <v>0</v>
      </c>
      <c r="O3962" s="20">
        <f>+O3961+Movimientos_2026[[#This Row],[Neto]]</f>
        <v>4581558617.7962294</v>
      </c>
    </row>
    <row r="3963" spans="1:15" x14ac:dyDescent="0.25">
      <c r="A3963" s="13"/>
      <c r="B3963" s="12">
        <f>MONTH(Movimientos_2026[[#This Row],[Fecha]])</f>
        <v>1</v>
      </c>
      <c r="C3963" s="12" t="str">
        <f>VLOOKUP((WEEKDAY(Movimientos_2026[[#This Row],[Fecha]],2)),'5. Setup'!$D$6:$E$12,2,FALSE)</f>
        <v>Sab</v>
      </c>
      <c r="E3963" t="str">
        <f>IFERROR(+VLOOKUP(Movimientos_2026[[#This Row],[Codigo]],Plan_cuentas[],2,FALSE)," ")</f>
        <v xml:space="preserve"> </v>
      </c>
      <c r="F3963" t="str">
        <f>IFERROR(+VLOOKUP(Movimientos_2026[[#This Row],[Codigo]],Plan_cuentas[],3,FALSE)," ")</f>
        <v xml:space="preserve"> </v>
      </c>
      <c r="G3963" t="str">
        <f>IFERROR(+VLOOKUP(Movimientos_2026[[#This Row],[Codigo]],Plan_cuentas[],4,FALSE)," ")</f>
        <v xml:space="preserve"> </v>
      </c>
      <c r="H3963" t="str">
        <f>IFERROR(+VLOOKUP(Movimientos_2026[[#This Row],[Codigo]],Plan_cuentas[],5,FALSE)," ")</f>
        <v xml:space="preserve"> </v>
      </c>
      <c r="I3963" s="43"/>
      <c r="K3963" t="str">
        <f>IFERROR(+VLOOKUP(Movimientos_2026[[#This Row],[Codigo]],Plan_cuentas[],6,FALSE)," ")</f>
        <v xml:space="preserve"> </v>
      </c>
      <c r="L3963" s="50"/>
      <c r="M3963" s="50"/>
      <c r="N3963" s="20">
        <f>+Movimientos_2026[[#This Row],[Ingresos]]-Movimientos_2026[[#This Row],[Egresos]]</f>
        <v>0</v>
      </c>
      <c r="O3963" s="20">
        <f>+O3962+Movimientos_2026[[#This Row],[Neto]]</f>
        <v>4581558617.7962294</v>
      </c>
    </row>
    <row r="3964" spans="1:15" x14ac:dyDescent="0.25">
      <c r="A3964" s="13"/>
      <c r="B3964" s="12">
        <f>MONTH(Movimientos_2026[[#This Row],[Fecha]])</f>
        <v>1</v>
      </c>
      <c r="C3964" s="12" t="str">
        <f>VLOOKUP((WEEKDAY(Movimientos_2026[[#This Row],[Fecha]],2)),'5. Setup'!$D$6:$E$12,2,FALSE)</f>
        <v>Sab</v>
      </c>
      <c r="E3964" t="str">
        <f>IFERROR(+VLOOKUP(Movimientos_2026[[#This Row],[Codigo]],Plan_cuentas[],2,FALSE)," ")</f>
        <v xml:space="preserve"> </v>
      </c>
      <c r="F3964" t="str">
        <f>IFERROR(+VLOOKUP(Movimientos_2026[[#This Row],[Codigo]],Plan_cuentas[],3,FALSE)," ")</f>
        <v xml:space="preserve"> </v>
      </c>
      <c r="G3964" t="str">
        <f>IFERROR(+VLOOKUP(Movimientos_2026[[#This Row],[Codigo]],Plan_cuentas[],4,FALSE)," ")</f>
        <v xml:space="preserve"> </v>
      </c>
      <c r="H3964" t="str">
        <f>IFERROR(+VLOOKUP(Movimientos_2026[[#This Row],[Codigo]],Plan_cuentas[],5,FALSE)," ")</f>
        <v xml:space="preserve"> </v>
      </c>
      <c r="I3964" s="43"/>
      <c r="K3964" t="str">
        <f>IFERROR(+VLOOKUP(Movimientos_2026[[#This Row],[Codigo]],Plan_cuentas[],6,FALSE)," ")</f>
        <v xml:space="preserve"> </v>
      </c>
      <c r="L3964" s="50"/>
      <c r="M3964" s="50"/>
      <c r="N3964" s="20">
        <f>+Movimientos_2026[[#This Row],[Ingresos]]-Movimientos_2026[[#This Row],[Egresos]]</f>
        <v>0</v>
      </c>
      <c r="O3964" s="20">
        <f>+O3963+Movimientos_2026[[#This Row],[Neto]]</f>
        <v>4581558617.7962294</v>
      </c>
    </row>
    <row r="3965" spans="1:15" x14ac:dyDescent="0.25">
      <c r="A3965" s="13"/>
      <c r="B3965" s="12">
        <f>MONTH(Movimientos_2026[[#This Row],[Fecha]])</f>
        <v>1</v>
      </c>
      <c r="C3965" s="12" t="str">
        <f>VLOOKUP((WEEKDAY(Movimientos_2026[[#This Row],[Fecha]],2)),'5. Setup'!$D$6:$E$12,2,FALSE)</f>
        <v>Sab</v>
      </c>
      <c r="E3965" t="str">
        <f>IFERROR(+VLOOKUP(Movimientos_2026[[#This Row],[Codigo]],Plan_cuentas[],2,FALSE)," ")</f>
        <v xml:space="preserve"> </v>
      </c>
      <c r="F3965" t="str">
        <f>IFERROR(+VLOOKUP(Movimientos_2026[[#This Row],[Codigo]],Plan_cuentas[],3,FALSE)," ")</f>
        <v xml:space="preserve"> </v>
      </c>
      <c r="G3965" t="str">
        <f>IFERROR(+VLOOKUP(Movimientos_2026[[#This Row],[Codigo]],Plan_cuentas[],4,FALSE)," ")</f>
        <v xml:space="preserve"> </v>
      </c>
      <c r="H3965" t="str">
        <f>IFERROR(+VLOOKUP(Movimientos_2026[[#This Row],[Codigo]],Plan_cuentas[],5,FALSE)," ")</f>
        <v xml:space="preserve"> </v>
      </c>
      <c r="I3965" s="43"/>
      <c r="K3965" t="str">
        <f>IFERROR(+VLOOKUP(Movimientos_2026[[#This Row],[Codigo]],Plan_cuentas[],6,FALSE)," ")</f>
        <v xml:space="preserve"> </v>
      </c>
      <c r="L3965" s="50"/>
      <c r="M3965" s="50"/>
      <c r="N3965" s="20">
        <f>+Movimientos_2026[[#This Row],[Ingresos]]-Movimientos_2026[[#This Row],[Egresos]]</f>
        <v>0</v>
      </c>
      <c r="O3965" s="20">
        <f>+O3964+Movimientos_2026[[#This Row],[Neto]]</f>
        <v>4581558617.7962294</v>
      </c>
    </row>
    <row r="3966" spans="1:15" x14ac:dyDescent="0.25">
      <c r="A3966" s="13"/>
      <c r="B3966" s="12">
        <f>MONTH(Movimientos_2026[[#This Row],[Fecha]])</f>
        <v>1</v>
      </c>
      <c r="C3966" s="12" t="str">
        <f>VLOOKUP((WEEKDAY(Movimientos_2026[[#This Row],[Fecha]],2)),'5. Setup'!$D$6:$E$12,2,FALSE)</f>
        <v>Sab</v>
      </c>
      <c r="E3966" t="str">
        <f>IFERROR(+VLOOKUP(Movimientos_2026[[#This Row],[Codigo]],Plan_cuentas[],2,FALSE)," ")</f>
        <v xml:space="preserve"> </v>
      </c>
      <c r="F3966" t="str">
        <f>IFERROR(+VLOOKUP(Movimientos_2026[[#This Row],[Codigo]],Plan_cuentas[],3,FALSE)," ")</f>
        <v xml:space="preserve"> </v>
      </c>
      <c r="G3966" t="str">
        <f>IFERROR(+VLOOKUP(Movimientos_2026[[#This Row],[Codigo]],Plan_cuentas[],4,FALSE)," ")</f>
        <v xml:space="preserve"> </v>
      </c>
      <c r="H3966" t="str">
        <f>IFERROR(+VLOOKUP(Movimientos_2026[[#This Row],[Codigo]],Plan_cuentas[],5,FALSE)," ")</f>
        <v xml:space="preserve"> </v>
      </c>
      <c r="I3966" s="43"/>
      <c r="K3966" t="str">
        <f>IFERROR(+VLOOKUP(Movimientos_2026[[#This Row],[Codigo]],Plan_cuentas[],6,FALSE)," ")</f>
        <v xml:space="preserve"> </v>
      </c>
      <c r="L3966" s="50"/>
      <c r="M3966" s="50"/>
      <c r="N3966" s="20">
        <f>+Movimientos_2026[[#This Row],[Ingresos]]-Movimientos_2026[[#This Row],[Egresos]]</f>
        <v>0</v>
      </c>
      <c r="O3966" s="20">
        <f>+O3965+Movimientos_2026[[#This Row],[Neto]]</f>
        <v>4581558617.7962294</v>
      </c>
    </row>
    <row r="3967" spans="1:15" x14ac:dyDescent="0.25">
      <c r="A3967" s="13"/>
      <c r="B3967" s="12">
        <f>MONTH(Movimientos_2026[[#This Row],[Fecha]])</f>
        <v>1</v>
      </c>
      <c r="C3967" s="12" t="str">
        <f>VLOOKUP((WEEKDAY(Movimientos_2026[[#This Row],[Fecha]],2)),'5. Setup'!$D$6:$E$12,2,FALSE)</f>
        <v>Sab</v>
      </c>
      <c r="E3967" t="str">
        <f>IFERROR(+VLOOKUP(Movimientos_2026[[#This Row],[Codigo]],Plan_cuentas[],2,FALSE)," ")</f>
        <v xml:space="preserve"> </v>
      </c>
      <c r="F3967" t="str">
        <f>IFERROR(+VLOOKUP(Movimientos_2026[[#This Row],[Codigo]],Plan_cuentas[],3,FALSE)," ")</f>
        <v xml:space="preserve"> </v>
      </c>
      <c r="G3967" t="str">
        <f>IFERROR(+VLOOKUP(Movimientos_2026[[#This Row],[Codigo]],Plan_cuentas[],4,FALSE)," ")</f>
        <v xml:space="preserve"> </v>
      </c>
      <c r="H3967" t="str">
        <f>IFERROR(+VLOOKUP(Movimientos_2026[[#This Row],[Codigo]],Plan_cuentas[],5,FALSE)," ")</f>
        <v xml:space="preserve"> </v>
      </c>
      <c r="I3967" s="43"/>
      <c r="K3967" t="str">
        <f>IFERROR(+VLOOKUP(Movimientos_2026[[#This Row],[Codigo]],Plan_cuentas[],6,FALSE)," ")</f>
        <v xml:space="preserve"> </v>
      </c>
      <c r="L3967" s="50"/>
      <c r="M3967" s="50"/>
      <c r="N3967" s="20">
        <f>+Movimientos_2026[[#This Row],[Ingresos]]-Movimientos_2026[[#This Row],[Egresos]]</f>
        <v>0</v>
      </c>
      <c r="O3967" s="20">
        <f>+O3966+Movimientos_2026[[#This Row],[Neto]]</f>
        <v>4581558617.7962294</v>
      </c>
    </row>
    <row r="3968" spans="1:15" x14ac:dyDescent="0.25">
      <c r="A3968" s="13"/>
      <c r="B3968" s="12">
        <f>MONTH(Movimientos_2026[[#This Row],[Fecha]])</f>
        <v>1</v>
      </c>
      <c r="C3968" s="12" t="str">
        <f>VLOOKUP((WEEKDAY(Movimientos_2026[[#This Row],[Fecha]],2)),'5. Setup'!$D$6:$E$12,2,FALSE)</f>
        <v>Sab</v>
      </c>
      <c r="E3968" t="str">
        <f>IFERROR(+VLOOKUP(Movimientos_2026[[#This Row],[Codigo]],Plan_cuentas[],2,FALSE)," ")</f>
        <v xml:space="preserve"> </v>
      </c>
      <c r="F3968" t="str">
        <f>IFERROR(+VLOOKUP(Movimientos_2026[[#This Row],[Codigo]],Plan_cuentas[],3,FALSE)," ")</f>
        <v xml:space="preserve"> </v>
      </c>
      <c r="G3968" t="str">
        <f>IFERROR(+VLOOKUP(Movimientos_2026[[#This Row],[Codigo]],Plan_cuentas[],4,FALSE)," ")</f>
        <v xml:space="preserve"> </v>
      </c>
      <c r="H3968" t="str">
        <f>IFERROR(+VLOOKUP(Movimientos_2026[[#This Row],[Codigo]],Plan_cuentas[],5,FALSE)," ")</f>
        <v xml:space="preserve"> </v>
      </c>
      <c r="I3968" s="43"/>
      <c r="K3968" t="str">
        <f>IFERROR(+VLOOKUP(Movimientos_2026[[#This Row],[Codigo]],Plan_cuentas[],6,FALSE)," ")</f>
        <v xml:space="preserve"> </v>
      </c>
      <c r="L3968" s="50"/>
      <c r="M3968" s="50"/>
      <c r="N3968" s="20">
        <f>+Movimientos_2026[[#This Row],[Ingresos]]-Movimientos_2026[[#This Row],[Egresos]]</f>
        <v>0</v>
      </c>
      <c r="O3968" s="20">
        <f>+O3967+Movimientos_2026[[#This Row],[Neto]]</f>
        <v>4581558617.7962294</v>
      </c>
    </row>
    <row r="3969" spans="1:15" x14ac:dyDescent="0.25">
      <c r="A3969" s="13"/>
      <c r="B3969" s="12">
        <f>MONTH(Movimientos_2026[[#This Row],[Fecha]])</f>
        <v>1</v>
      </c>
      <c r="C3969" s="12" t="str">
        <f>VLOOKUP((WEEKDAY(Movimientos_2026[[#This Row],[Fecha]],2)),'5. Setup'!$D$6:$E$12,2,FALSE)</f>
        <v>Sab</v>
      </c>
      <c r="E3969" t="str">
        <f>IFERROR(+VLOOKUP(Movimientos_2026[[#This Row],[Codigo]],Plan_cuentas[],2,FALSE)," ")</f>
        <v xml:space="preserve"> </v>
      </c>
      <c r="F3969" t="str">
        <f>IFERROR(+VLOOKUP(Movimientos_2026[[#This Row],[Codigo]],Plan_cuentas[],3,FALSE)," ")</f>
        <v xml:space="preserve"> </v>
      </c>
      <c r="G3969" t="str">
        <f>IFERROR(+VLOOKUP(Movimientos_2026[[#This Row],[Codigo]],Plan_cuentas[],4,FALSE)," ")</f>
        <v xml:space="preserve"> </v>
      </c>
      <c r="H3969" t="str">
        <f>IFERROR(+VLOOKUP(Movimientos_2026[[#This Row],[Codigo]],Plan_cuentas[],5,FALSE)," ")</f>
        <v xml:space="preserve"> </v>
      </c>
      <c r="I3969" s="43"/>
      <c r="K3969" t="str">
        <f>IFERROR(+VLOOKUP(Movimientos_2026[[#This Row],[Codigo]],Plan_cuentas[],6,FALSE)," ")</f>
        <v xml:space="preserve"> </v>
      </c>
      <c r="L3969" s="50"/>
      <c r="M3969" s="50"/>
      <c r="N3969" s="20">
        <f>+Movimientos_2026[[#This Row],[Ingresos]]-Movimientos_2026[[#This Row],[Egresos]]</f>
        <v>0</v>
      </c>
      <c r="O3969" s="20">
        <f>+O3968+Movimientos_2026[[#This Row],[Neto]]</f>
        <v>4581558617.7962294</v>
      </c>
    </row>
    <row r="3970" spans="1:15" x14ac:dyDescent="0.25">
      <c r="A3970" s="13"/>
      <c r="B3970" s="12">
        <f>MONTH(Movimientos_2026[[#This Row],[Fecha]])</f>
        <v>1</v>
      </c>
      <c r="C3970" s="12" t="str">
        <f>VLOOKUP((WEEKDAY(Movimientos_2026[[#This Row],[Fecha]],2)),'5. Setup'!$D$6:$E$12,2,FALSE)</f>
        <v>Sab</v>
      </c>
      <c r="E3970" t="str">
        <f>IFERROR(+VLOOKUP(Movimientos_2026[[#This Row],[Codigo]],Plan_cuentas[],2,FALSE)," ")</f>
        <v xml:space="preserve"> </v>
      </c>
      <c r="F3970" t="str">
        <f>IFERROR(+VLOOKUP(Movimientos_2026[[#This Row],[Codigo]],Plan_cuentas[],3,FALSE)," ")</f>
        <v xml:space="preserve"> </v>
      </c>
      <c r="G3970" t="str">
        <f>IFERROR(+VLOOKUP(Movimientos_2026[[#This Row],[Codigo]],Plan_cuentas[],4,FALSE)," ")</f>
        <v xml:space="preserve"> </v>
      </c>
      <c r="H3970" t="str">
        <f>IFERROR(+VLOOKUP(Movimientos_2026[[#This Row],[Codigo]],Plan_cuentas[],5,FALSE)," ")</f>
        <v xml:space="preserve"> </v>
      </c>
      <c r="I3970" s="43"/>
      <c r="K3970" t="str">
        <f>IFERROR(+VLOOKUP(Movimientos_2026[[#This Row],[Codigo]],Plan_cuentas[],6,FALSE)," ")</f>
        <v xml:space="preserve"> </v>
      </c>
      <c r="L3970" s="50"/>
      <c r="M3970" s="50"/>
      <c r="N3970" s="20">
        <f>+Movimientos_2026[[#This Row],[Ingresos]]-Movimientos_2026[[#This Row],[Egresos]]</f>
        <v>0</v>
      </c>
      <c r="O3970" s="20">
        <f>+O3969+Movimientos_2026[[#This Row],[Neto]]</f>
        <v>4581558617.7962294</v>
      </c>
    </row>
    <row r="3971" spans="1:15" x14ac:dyDescent="0.25">
      <c r="A3971" s="13"/>
      <c r="B3971" s="12">
        <f>MONTH(Movimientos_2026[[#This Row],[Fecha]])</f>
        <v>1</v>
      </c>
      <c r="C3971" s="12" t="str">
        <f>VLOOKUP((WEEKDAY(Movimientos_2026[[#This Row],[Fecha]],2)),'5. Setup'!$D$6:$E$12,2,FALSE)</f>
        <v>Sab</v>
      </c>
      <c r="E3971" t="str">
        <f>IFERROR(+VLOOKUP(Movimientos_2026[[#This Row],[Codigo]],Plan_cuentas[],2,FALSE)," ")</f>
        <v xml:space="preserve"> </v>
      </c>
      <c r="F3971" t="str">
        <f>IFERROR(+VLOOKUP(Movimientos_2026[[#This Row],[Codigo]],Plan_cuentas[],3,FALSE)," ")</f>
        <v xml:space="preserve"> </v>
      </c>
      <c r="G3971" t="str">
        <f>IFERROR(+VLOOKUP(Movimientos_2026[[#This Row],[Codigo]],Plan_cuentas[],4,FALSE)," ")</f>
        <v xml:space="preserve"> </v>
      </c>
      <c r="H3971" t="str">
        <f>IFERROR(+VLOOKUP(Movimientos_2026[[#This Row],[Codigo]],Plan_cuentas[],5,FALSE)," ")</f>
        <v xml:space="preserve"> </v>
      </c>
      <c r="I3971" s="43"/>
      <c r="K3971" t="str">
        <f>IFERROR(+VLOOKUP(Movimientos_2026[[#This Row],[Codigo]],Plan_cuentas[],6,FALSE)," ")</f>
        <v xml:space="preserve"> </v>
      </c>
      <c r="L3971" s="50"/>
      <c r="M3971" s="50"/>
      <c r="N3971" s="20">
        <f>+Movimientos_2026[[#This Row],[Ingresos]]-Movimientos_2026[[#This Row],[Egresos]]</f>
        <v>0</v>
      </c>
      <c r="O3971" s="20">
        <f>+O3970+Movimientos_2026[[#This Row],[Neto]]</f>
        <v>4581558617.7962294</v>
      </c>
    </row>
    <row r="3972" spans="1:15" x14ac:dyDescent="0.25">
      <c r="A3972" s="13"/>
      <c r="B3972" s="12">
        <f>MONTH(Movimientos_2026[[#This Row],[Fecha]])</f>
        <v>1</v>
      </c>
      <c r="C3972" s="12" t="str">
        <f>VLOOKUP((WEEKDAY(Movimientos_2026[[#This Row],[Fecha]],2)),'5. Setup'!$D$6:$E$12,2,FALSE)</f>
        <v>Sab</v>
      </c>
      <c r="E3972" t="str">
        <f>IFERROR(+VLOOKUP(Movimientos_2026[[#This Row],[Codigo]],Plan_cuentas[],2,FALSE)," ")</f>
        <v xml:space="preserve"> </v>
      </c>
      <c r="F3972" t="str">
        <f>IFERROR(+VLOOKUP(Movimientos_2026[[#This Row],[Codigo]],Plan_cuentas[],3,FALSE)," ")</f>
        <v xml:space="preserve"> </v>
      </c>
      <c r="G3972" t="str">
        <f>IFERROR(+VLOOKUP(Movimientos_2026[[#This Row],[Codigo]],Plan_cuentas[],4,FALSE)," ")</f>
        <v xml:space="preserve"> </v>
      </c>
      <c r="H3972" t="str">
        <f>IFERROR(+VLOOKUP(Movimientos_2026[[#This Row],[Codigo]],Plan_cuentas[],5,FALSE)," ")</f>
        <v xml:space="preserve"> </v>
      </c>
      <c r="I3972" s="43"/>
      <c r="K3972" t="str">
        <f>IFERROR(+VLOOKUP(Movimientos_2026[[#This Row],[Codigo]],Plan_cuentas[],6,FALSE)," ")</f>
        <v xml:space="preserve"> </v>
      </c>
      <c r="L3972" s="50"/>
      <c r="M3972" s="50"/>
      <c r="N3972" s="20">
        <f>+Movimientos_2026[[#This Row],[Ingresos]]-Movimientos_2026[[#This Row],[Egresos]]</f>
        <v>0</v>
      </c>
      <c r="O3972" s="20">
        <f>+O3971+Movimientos_2026[[#This Row],[Neto]]</f>
        <v>4581558617.7962294</v>
      </c>
    </row>
    <row r="3973" spans="1:15" x14ac:dyDescent="0.25">
      <c r="A3973" s="13"/>
      <c r="B3973" s="12">
        <f>MONTH(Movimientos_2026[[#This Row],[Fecha]])</f>
        <v>1</v>
      </c>
      <c r="C3973" s="12" t="str">
        <f>VLOOKUP((WEEKDAY(Movimientos_2026[[#This Row],[Fecha]],2)),'5. Setup'!$D$6:$E$12,2,FALSE)</f>
        <v>Sab</v>
      </c>
      <c r="E3973" t="str">
        <f>IFERROR(+VLOOKUP(Movimientos_2026[[#This Row],[Codigo]],Plan_cuentas[],2,FALSE)," ")</f>
        <v xml:space="preserve"> </v>
      </c>
      <c r="F3973" t="str">
        <f>IFERROR(+VLOOKUP(Movimientos_2026[[#This Row],[Codigo]],Plan_cuentas[],3,FALSE)," ")</f>
        <v xml:space="preserve"> </v>
      </c>
      <c r="G3973" t="str">
        <f>IFERROR(+VLOOKUP(Movimientos_2026[[#This Row],[Codigo]],Plan_cuentas[],4,FALSE)," ")</f>
        <v xml:space="preserve"> </v>
      </c>
      <c r="H3973" t="str">
        <f>IFERROR(+VLOOKUP(Movimientos_2026[[#This Row],[Codigo]],Plan_cuentas[],5,FALSE)," ")</f>
        <v xml:space="preserve"> </v>
      </c>
      <c r="I3973" s="43"/>
      <c r="K3973" t="str">
        <f>IFERROR(+VLOOKUP(Movimientos_2026[[#This Row],[Codigo]],Plan_cuentas[],6,FALSE)," ")</f>
        <v xml:space="preserve"> </v>
      </c>
      <c r="L3973" s="50"/>
      <c r="M3973" s="50"/>
      <c r="N3973" s="20">
        <f>+Movimientos_2026[[#This Row],[Ingresos]]-Movimientos_2026[[#This Row],[Egresos]]</f>
        <v>0</v>
      </c>
      <c r="O3973" s="20">
        <f>+O3972+Movimientos_2026[[#This Row],[Neto]]</f>
        <v>4581558617.7962294</v>
      </c>
    </row>
    <row r="3974" spans="1:15" x14ac:dyDescent="0.25">
      <c r="A3974" s="13"/>
      <c r="B3974" s="12">
        <f>MONTH(Movimientos_2026[[#This Row],[Fecha]])</f>
        <v>1</v>
      </c>
      <c r="C3974" s="12" t="str">
        <f>VLOOKUP((WEEKDAY(Movimientos_2026[[#This Row],[Fecha]],2)),'5. Setup'!$D$6:$E$12,2,FALSE)</f>
        <v>Sab</v>
      </c>
      <c r="E3974" t="str">
        <f>IFERROR(+VLOOKUP(Movimientos_2026[[#This Row],[Codigo]],Plan_cuentas[],2,FALSE)," ")</f>
        <v xml:space="preserve"> </v>
      </c>
      <c r="F3974" t="str">
        <f>IFERROR(+VLOOKUP(Movimientos_2026[[#This Row],[Codigo]],Plan_cuentas[],3,FALSE)," ")</f>
        <v xml:space="preserve"> </v>
      </c>
      <c r="G3974" t="str">
        <f>IFERROR(+VLOOKUP(Movimientos_2026[[#This Row],[Codigo]],Plan_cuentas[],4,FALSE)," ")</f>
        <v xml:space="preserve"> </v>
      </c>
      <c r="H3974" t="str">
        <f>IFERROR(+VLOOKUP(Movimientos_2026[[#This Row],[Codigo]],Plan_cuentas[],5,FALSE)," ")</f>
        <v xml:space="preserve"> </v>
      </c>
      <c r="I3974" s="43"/>
      <c r="K3974" t="str">
        <f>IFERROR(+VLOOKUP(Movimientos_2026[[#This Row],[Codigo]],Plan_cuentas[],6,FALSE)," ")</f>
        <v xml:space="preserve"> </v>
      </c>
      <c r="L3974" s="50"/>
      <c r="M3974" s="50"/>
      <c r="N3974" s="20">
        <f>+Movimientos_2026[[#This Row],[Ingresos]]-Movimientos_2026[[#This Row],[Egresos]]</f>
        <v>0</v>
      </c>
      <c r="O3974" s="20">
        <f>+O3973+Movimientos_2026[[#This Row],[Neto]]</f>
        <v>4581558617.7962294</v>
      </c>
    </row>
    <row r="3975" spans="1:15" x14ac:dyDescent="0.25">
      <c r="A3975" s="13"/>
      <c r="B3975" s="12">
        <f>MONTH(Movimientos_2026[[#This Row],[Fecha]])</f>
        <v>1</v>
      </c>
      <c r="C3975" s="12" t="str">
        <f>VLOOKUP((WEEKDAY(Movimientos_2026[[#This Row],[Fecha]],2)),'5. Setup'!$D$6:$E$12,2,FALSE)</f>
        <v>Sab</v>
      </c>
      <c r="E3975" t="str">
        <f>IFERROR(+VLOOKUP(Movimientos_2026[[#This Row],[Codigo]],Plan_cuentas[],2,FALSE)," ")</f>
        <v xml:space="preserve"> </v>
      </c>
      <c r="F3975" t="str">
        <f>IFERROR(+VLOOKUP(Movimientos_2026[[#This Row],[Codigo]],Plan_cuentas[],3,FALSE)," ")</f>
        <v xml:space="preserve"> </v>
      </c>
      <c r="G3975" t="str">
        <f>IFERROR(+VLOOKUP(Movimientos_2026[[#This Row],[Codigo]],Plan_cuentas[],4,FALSE)," ")</f>
        <v xml:space="preserve"> </v>
      </c>
      <c r="H3975" t="str">
        <f>IFERROR(+VLOOKUP(Movimientos_2026[[#This Row],[Codigo]],Plan_cuentas[],5,FALSE)," ")</f>
        <v xml:space="preserve"> </v>
      </c>
      <c r="I3975" s="43"/>
      <c r="K3975" t="str">
        <f>IFERROR(+VLOOKUP(Movimientos_2026[[#This Row],[Codigo]],Plan_cuentas[],6,FALSE)," ")</f>
        <v xml:space="preserve"> </v>
      </c>
      <c r="L3975" s="50"/>
      <c r="M3975" s="50"/>
      <c r="N3975" s="20">
        <f>+Movimientos_2026[[#This Row],[Ingresos]]-Movimientos_2026[[#This Row],[Egresos]]</f>
        <v>0</v>
      </c>
      <c r="O3975" s="20">
        <f>+O3974+Movimientos_2026[[#This Row],[Neto]]</f>
        <v>4581558617.7962294</v>
      </c>
    </row>
    <row r="3976" spans="1:15" x14ac:dyDescent="0.25">
      <c r="A3976" s="13"/>
      <c r="B3976" s="12">
        <f>MONTH(Movimientos_2026[[#This Row],[Fecha]])</f>
        <v>1</v>
      </c>
      <c r="C3976" s="12" t="str">
        <f>VLOOKUP((WEEKDAY(Movimientos_2026[[#This Row],[Fecha]],2)),'5. Setup'!$D$6:$E$12,2,FALSE)</f>
        <v>Sab</v>
      </c>
      <c r="E3976" t="str">
        <f>IFERROR(+VLOOKUP(Movimientos_2026[[#This Row],[Codigo]],Plan_cuentas[],2,FALSE)," ")</f>
        <v xml:space="preserve"> </v>
      </c>
      <c r="F3976" t="str">
        <f>IFERROR(+VLOOKUP(Movimientos_2026[[#This Row],[Codigo]],Plan_cuentas[],3,FALSE)," ")</f>
        <v xml:space="preserve"> </v>
      </c>
      <c r="G3976" t="str">
        <f>IFERROR(+VLOOKUP(Movimientos_2026[[#This Row],[Codigo]],Plan_cuentas[],4,FALSE)," ")</f>
        <v xml:space="preserve"> </v>
      </c>
      <c r="H3976" t="str">
        <f>IFERROR(+VLOOKUP(Movimientos_2026[[#This Row],[Codigo]],Plan_cuentas[],5,FALSE)," ")</f>
        <v xml:space="preserve"> </v>
      </c>
      <c r="I3976" s="43"/>
      <c r="K3976" t="str">
        <f>IFERROR(+VLOOKUP(Movimientos_2026[[#This Row],[Codigo]],Plan_cuentas[],6,FALSE)," ")</f>
        <v xml:space="preserve"> </v>
      </c>
      <c r="L3976" s="50"/>
      <c r="M3976" s="50"/>
      <c r="N3976" s="20">
        <f>+Movimientos_2026[[#This Row],[Ingresos]]-Movimientos_2026[[#This Row],[Egresos]]</f>
        <v>0</v>
      </c>
      <c r="O3976" s="20">
        <f>+O3975+Movimientos_2026[[#This Row],[Neto]]</f>
        <v>4581558617.7962294</v>
      </c>
    </row>
    <row r="3977" spans="1:15" x14ac:dyDescent="0.25">
      <c r="A3977" s="13"/>
      <c r="B3977" s="12">
        <f>MONTH(Movimientos_2026[[#This Row],[Fecha]])</f>
        <v>1</v>
      </c>
      <c r="C3977" s="12" t="str">
        <f>VLOOKUP((WEEKDAY(Movimientos_2026[[#This Row],[Fecha]],2)),'5. Setup'!$D$6:$E$12,2,FALSE)</f>
        <v>Sab</v>
      </c>
      <c r="E3977" t="str">
        <f>IFERROR(+VLOOKUP(Movimientos_2026[[#This Row],[Codigo]],Plan_cuentas[],2,FALSE)," ")</f>
        <v xml:space="preserve"> </v>
      </c>
      <c r="F3977" t="str">
        <f>IFERROR(+VLOOKUP(Movimientos_2026[[#This Row],[Codigo]],Plan_cuentas[],3,FALSE)," ")</f>
        <v xml:space="preserve"> </v>
      </c>
      <c r="G3977" t="str">
        <f>IFERROR(+VLOOKUP(Movimientos_2026[[#This Row],[Codigo]],Plan_cuentas[],4,FALSE)," ")</f>
        <v xml:space="preserve"> </v>
      </c>
      <c r="H3977" t="str">
        <f>IFERROR(+VLOOKUP(Movimientos_2026[[#This Row],[Codigo]],Plan_cuentas[],5,FALSE)," ")</f>
        <v xml:space="preserve"> </v>
      </c>
      <c r="I3977" s="43"/>
      <c r="K3977" t="str">
        <f>IFERROR(+VLOOKUP(Movimientos_2026[[#This Row],[Codigo]],Plan_cuentas[],6,FALSE)," ")</f>
        <v xml:space="preserve"> </v>
      </c>
      <c r="L3977" s="50"/>
      <c r="M3977" s="50"/>
      <c r="N3977" s="20">
        <f>+Movimientos_2026[[#This Row],[Ingresos]]-Movimientos_2026[[#This Row],[Egresos]]</f>
        <v>0</v>
      </c>
      <c r="O3977" s="20">
        <f>+O3976+Movimientos_2026[[#This Row],[Neto]]</f>
        <v>4581558617.7962294</v>
      </c>
    </row>
    <row r="3978" spans="1:15" x14ac:dyDescent="0.25">
      <c r="A3978" s="13"/>
      <c r="B3978" s="12">
        <f>MONTH(Movimientos_2026[[#This Row],[Fecha]])</f>
        <v>1</v>
      </c>
      <c r="C3978" s="12" t="str">
        <f>VLOOKUP((WEEKDAY(Movimientos_2026[[#This Row],[Fecha]],2)),'5. Setup'!$D$6:$E$12,2,FALSE)</f>
        <v>Sab</v>
      </c>
      <c r="E3978" t="str">
        <f>IFERROR(+VLOOKUP(Movimientos_2026[[#This Row],[Codigo]],Plan_cuentas[],2,FALSE)," ")</f>
        <v xml:space="preserve"> </v>
      </c>
      <c r="F3978" t="str">
        <f>IFERROR(+VLOOKUP(Movimientos_2026[[#This Row],[Codigo]],Plan_cuentas[],3,FALSE)," ")</f>
        <v xml:space="preserve"> </v>
      </c>
      <c r="G3978" t="str">
        <f>IFERROR(+VLOOKUP(Movimientos_2026[[#This Row],[Codigo]],Plan_cuentas[],4,FALSE)," ")</f>
        <v xml:space="preserve"> </v>
      </c>
      <c r="H3978" t="str">
        <f>IFERROR(+VLOOKUP(Movimientos_2026[[#This Row],[Codigo]],Plan_cuentas[],5,FALSE)," ")</f>
        <v xml:space="preserve"> </v>
      </c>
      <c r="I3978" s="43"/>
      <c r="K3978" t="str">
        <f>IFERROR(+VLOOKUP(Movimientos_2026[[#This Row],[Codigo]],Plan_cuentas[],6,FALSE)," ")</f>
        <v xml:space="preserve"> </v>
      </c>
      <c r="L3978" s="50"/>
      <c r="M3978" s="50"/>
      <c r="N3978" s="20">
        <f>+Movimientos_2026[[#This Row],[Ingresos]]-Movimientos_2026[[#This Row],[Egresos]]</f>
        <v>0</v>
      </c>
      <c r="O3978" s="20">
        <f>+O3977+Movimientos_2026[[#This Row],[Neto]]</f>
        <v>4581558617.7962294</v>
      </c>
    </row>
    <row r="3979" spans="1:15" x14ac:dyDescent="0.25">
      <c r="A3979" s="13"/>
      <c r="B3979" s="12">
        <f>MONTH(Movimientos_2026[[#This Row],[Fecha]])</f>
        <v>1</v>
      </c>
      <c r="C3979" s="12" t="str">
        <f>VLOOKUP((WEEKDAY(Movimientos_2026[[#This Row],[Fecha]],2)),'5. Setup'!$D$6:$E$12,2,FALSE)</f>
        <v>Sab</v>
      </c>
      <c r="E3979" t="str">
        <f>IFERROR(+VLOOKUP(Movimientos_2026[[#This Row],[Codigo]],Plan_cuentas[],2,FALSE)," ")</f>
        <v xml:space="preserve"> </v>
      </c>
      <c r="F3979" t="str">
        <f>IFERROR(+VLOOKUP(Movimientos_2026[[#This Row],[Codigo]],Plan_cuentas[],3,FALSE)," ")</f>
        <v xml:space="preserve"> </v>
      </c>
      <c r="G3979" t="str">
        <f>IFERROR(+VLOOKUP(Movimientos_2026[[#This Row],[Codigo]],Plan_cuentas[],4,FALSE)," ")</f>
        <v xml:space="preserve"> </v>
      </c>
      <c r="H3979" t="str">
        <f>IFERROR(+VLOOKUP(Movimientos_2026[[#This Row],[Codigo]],Plan_cuentas[],5,FALSE)," ")</f>
        <v xml:space="preserve"> </v>
      </c>
      <c r="I3979" s="43"/>
      <c r="K3979" t="str">
        <f>IFERROR(+VLOOKUP(Movimientos_2026[[#This Row],[Codigo]],Plan_cuentas[],6,FALSE)," ")</f>
        <v xml:space="preserve"> </v>
      </c>
      <c r="L3979" s="50"/>
      <c r="M3979" s="50"/>
      <c r="N3979" s="20">
        <f>+Movimientos_2026[[#This Row],[Ingresos]]-Movimientos_2026[[#This Row],[Egresos]]</f>
        <v>0</v>
      </c>
      <c r="O3979" s="20">
        <f>+O3978+Movimientos_2026[[#This Row],[Neto]]</f>
        <v>4581558617.7962294</v>
      </c>
    </row>
    <row r="3980" spans="1:15" x14ac:dyDescent="0.25">
      <c r="A3980" s="13"/>
      <c r="B3980" s="12">
        <f>MONTH(Movimientos_2026[[#This Row],[Fecha]])</f>
        <v>1</v>
      </c>
      <c r="C3980" s="12" t="str">
        <f>VLOOKUP((WEEKDAY(Movimientos_2026[[#This Row],[Fecha]],2)),'5. Setup'!$D$6:$E$12,2,FALSE)</f>
        <v>Sab</v>
      </c>
      <c r="E3980" t="str">
        <f>IFERROR(+VLOOKUP(Movimientos_2026[[#This Row],[Codigo]],Plan_cuentas[],2,FALSE)," ")</f>
        <v xml:space="preserve"> </v>
      </c>
      <c r="F3980" t="str">
        <f>IFERROR(+VLOOKUP(Movimientos_2026[[#This Row],[Codigo]],Plan_cuentas[],3,FALSE)," ")</f>
        <v xml:space="preserve"> </v>
      </c>
      <c r="G3980" t="str">
        <f>IFERROR(+VLOOKUP(Movimientos_2026[[#This Row],[Codigo]],Plan_cuentas[],4,FALSE)," ")</f>
        <v xml:space="preserve"> </v>
      </c>
      <c r="H3980" t="str">
        <f>IFERROR(+VLOOKUP(Movimientos_2026[[#This Row],[Codigo]],Plan_cuentas[],5,FALSE)," ")</f>
        <v xml:space="preserve"> </v>
      </c>
      <c r="I3980" s="43"/>
      <c r="K3980" t="str">
        <f>IFERROR(+VLOOKUP(Movimientos_2026[[#This Row],[Codigo]],Plan_cuentas[],6,FALSE)," ")</f>
        <v xml:space="preserve"> </v>
      </c>
      <c r="L3980" s="50"/>
      <c r="M3980" s="50"/>
      <c r="N3980" s="20">
        <f>+Movimientos_2026[[#This Row],[Ingresos]]-Movimientos_2026[[#This Row],[Egresos]]</f>
        <v>0</v>
      </c>
      <c r="O3980" s="20">
        <f>+O3979+Movimientos_2026[[#This Row],[Neto]]</f>
        <v>4581558617.7962294</v>
      </c>
    </row>
    <row r="3981" spans="1:15" x14ac:dyDescent="0.25">
      <c r="A3981" s="13"/>
      <c r="B3981" s="12">
        <f>MONTH(Movimientos_2026[[#This Row],[Fecha]])</f>
        <v>1</v>
      </c>
      <c r="C3981" s="12" t="str">
        <f>VLOOKUP((WEEKDAY(Movimientos_2026[[#This Row],[Fecha]],2)),'5. Setup'!$D$6:$E$12,2,FALSE)</f>
        <v>Sab</v>
      </c>
      <c r="E3981" t="str">
        <f>IFERROR(+VLOOKUP(Movimientos_2026[[#This Row],[Codigo]],Plan_cuentas[],2,FALSE)," ")</f>
        <v xml:space="preserve"> </v>
      </c>
      <c r="F3981" t="str">
        <f>IFERROR(+VLOOKUP(Movimientos_2026[[#This Row],[Codigo]],Plan_cuentas[],3,FALSE)," ")</f>
        <v xml:space="preserve"> </v>
      </c>
      <c r="G3981" t="str">
        <f>IFERROR(+VLOOKUP(Movimientos_2026[[#This Row],[Codigo]],Plan_cuentas[],4,FALSE)," ")</f>
        <v xml:space="preserve"> </v>
      </c>
      <c r="H3981" t="str">
        <f>IFERROR(+VLOOKUP(Movimientos_2026[[#This Row],[Codigo]],Plan_cuentas[],5,FALSE)," ")</f>
        <v xml:space="preserve"> </v>
      </c>
      <c r="I3981" s="43"/>
      <c r="K3981" t="str">
        <f>IFERROR(+VLOOKUP(Movimientos_2026[[#This Row],[Codigo]],Plan_cuentas[],6,FALSE)," ")</f>
        <v xml:space="preserve"> </v>
      </c>
      <c r="L3981" s="50"/>
      <c r="M3981" s="50"/>
      <c r="N3981" s="20">
        <f>+Movimientos_2026[[#This Row],[Ingresos]]-Movimientos_2026[[#This Row],[Egresos]]</f>
        <v>0</v>
      </c>
      <c r="O3981" s="20">
        <f>+O3980+Movimientos_2026[[#This Row],[Neto]]</f>
        <v>4581558617.7962294</v>
      </c>
    </row>
    <row r="3982" spans="1:15" x14ac:dyDescent="0.25">
      <c r="A3982" s="13"/>
      <c r="B3982" s="12">
        <f>MONTH(Movimientos_2026[[#This Row],[Fecha]])</f>
        <v>1</v>
      </c>
      <c r="C3982" s="12" t="str">
        <f>VLOOKUP((WEEKDAY(Movimientos_2026[[#This Row],[Fecha]],2)),'5. Setup'!$D$6:$E$12,2,FALSE)</f>
        <v>Sab</v>
      </c>
      <c r="E3982" t="str">
        <f>IFERROR(+VLOOKUP(Movimientos_2026[[#This Row],[Codigo]],Plan_cuentas[],2,FALSE)," ")</f>
        <v xml:space="preserve"> </v>
      </c>
      <c r="F3982" t="str">
        <f>IFERROR(+VLOOKUP(Movimientos_2026[[#This Row],[Codigo]],Plan_cuentas[],3,FALSE)," ")</f>
        <v xml:space="preserve"> </v>
      </c>
      <c r="G3982" t="str">
        <f>IFERROR(+VLOOKUP(Movimientos_2026[[#This Row],[Codigo]],Plan_cuentas[],4,FALSE)," ")</f>
        <v xml:space="preserve"> </v>
      </c>
      <c r="H3982" t="str">
        <f>IFERROR(+VLOOKUP(Movimientos_2026[[#This Row],[Codigo]],Plan_cuentas[],5,FALSE)," ")</f>
        <v xml:space="preserve"> </v>
      </c>
      <c r="I3982" s="43"/>
      <c r="K3982" t="str">
        <f>IFERROR(+VLOOKUP(Movimientos_2026[[#This Row],[Codigo]],Plan_cuentas[],6,FALSE)," ")</f>
        <v xml:space="preserve"> </v>
      </c>
      <c r="L3982" s="50"/>
      <c r="M3982" s="50"/>
      <c r="N3982" s="20">
        <f>+Movimientos_2026[[#This Row],[Ingresos]]-Movimientos_2026[[#This Row],[Egresos]]</f>
        <v>0</v>
      </c>
      <c r="O3982" s="20">
        <f>+O3981+Movimientos_2026[[#This Row],[Neto]]</f>
        <v>4581558617.7962294</v>
      </c>
    </row>
    <row r="3983" spans="1:15" x14ac:dyDescent="0.25">
      <c r="A3983" s="13"/>
      <c r="B3983" s="12">
        <f>MONTH(Movimientos_2026[[#This Row],[Fecha]])</f>
        <v>1</v>
      </c>
      <c r="C3983" s="12" t="str">
        <f>VLOOKUP((WEEKDAY(Movimientos_2026[[#This Row],[Fecha]],2)),'5. Setup'!$D$6:$E$12,2,FALSE)</f>
        <v>Sab</v>
      </c>
      <c r="E3983" t="str">
        <f>IFERROR(+VLOOKUP(Movimientos_2026[[#This Row],[Codigo]],Plan_cuentas[],2,FALSE)," ")</f>
        <v xml:space="preserve"> </v>
      </c>
      <c r="F3983" t="str">
        <f>IFERROR(+VLOOKUP(Movimientos_2026[[#This Row],[Codigo]],Plan_cuentas[],3,FALSE)," ")</f>
        <v xml:space="preserve"> </v>
      </c>
      <c r="G3983" t="str">
        <f>IFERROR(+VLOOKUP(Movimientos_2026[[#This Row],[Codigo]],Plan_cuentas[],4,FALSE)," ")</f>
        <v xml:space="preserve"> </v>
      </c>
      <c r="H3983" t="str">
        <f>IFERROR(+VLOOKUP(Movimientos_2026[[#This Row],[Codigo]],Plan_cuentas[],5,FALSE)," ")</f>
        <v xml:space="preserve"> </v>
      </c>
      <c r="I3983" s="43"/>
      <c r="K3983" t="str">
        <f>IFERROR(+VLOOKUP(Movimientos_2026[[#This Row],[Codigo]],Plan_cuentas[],6,FALSE)," ")</f>
        <v xml:space="preserve"> </v>
      </c>
      <c r="L3983" s="50"/>
      <c r="M3983" s="50"/>
      <c r="N3983" s="20">
        <f>+Movimientos_2026[[#This Row],[Ingresos]]-Movimientos_2026[[#This Row],[Egresos]]</f>
        <v>0</v>
      </c>
      <c r="O3983" s="20">
        <f>+O3982+Movimientos_2026[[#This Row],[Neto]]</f>
        <v>4581558617.7962294</v>
      </c>
    </row>
    <row r="3984" spans="1:15" x14ac:dyDescent="0.25">
      <c r="A3984" s="13"/>
      <c r="B3984" s="12">
        <f>MONTH(Movimientos_2026[[#This Row],[Fecha]])</f>
        <v>1</v>
      </c>
      <c r="C3984" s="12" t="str">
        <f>VLOOKUP((WEEKDAY(Movimientos_2026[[#This Row],[Fecha]],2)),'5. Setup'!$D$6:$E$12,2,FALSE)</f>
        <v>Sab</v>
      </c>
      <c r="E3984" t="str">
        <f>IFERROR(+VLOOKUP(Movimientos_2026[[#This Row],[Codigo]],Plan_cuentas[],2,FALSE)," ")</f>
        <v xml:space="preserve"> </v>
      </c>
      <c r="F3984" t="str">
        <f>IFERROR(+VLOOKUP(Movimientos_2026[[#This Row],[Codigo]],Plan_cuentas[],3,FALSE)," ")</f>
        <v xml:space="preserve"> </v>
      </c>
      <c r="G3984" t="str">
        <f>IFERROR(+VLOOKUP(Movimientos_2026[[#This Row],[Codigo]],Plan_cuentas[],4,FALSE)," ")</f>
        <v xml:space="preserve"> </v>
      </c>
      <c r="H3984" t="str">
        <f>IFERROR(+VLOOKUP(Movimientos_2026[[#This Row],[Codigo]],Plan_cuentas[],5,FALSE)," ")</f>
        <v xml:space="preserve"> </v>
      </c>
      <c r="I3984" s="43"/>
      <c r="K3984" t="str">
        <f>IFERROR(+VLOOKUP(Movimientos_2026[[#This Row],[Codigo]],Plan_cuentas[],6,FALSE)," ")</f>
        <v xml:space="preserve"> </v>
      </c>
      <c r="L3984" s="50"/>
      <c r="M3984" s="50"/>
      <c r="N3984" s="20">
        <f>+Movimientos_2026[[#This Row],[Ingresos]]-Movimientos_2026[[#This Row],[Egresos]]</f>
        <v>0</v>
      </c>
      <c r="O3984" s="20">
        <f>+O3983+Movimientos_2026[[#This Row],[Neto]]</f>
        <v>4581558617.7962294</v>
      </c>
    </row>
    <row r="3985" spans="1:15" x14ac:dyDescent="0.25">
      <c r="A3985" s="13"/>
      <c r="B3985" s="12">
        <f>MONTH(Movimientos_2026[[#This Row],[Fecha]])</f>
        <v>1</v>
      </c>
      <c r="C3985" s="12" t="str">
        <f>VLOOKUP((WEEKDAY(Movimientos_2026[[#This Row],[Fecha]],2)),'5. Setup'!$D$6:$E$12,2,FALSE)</f>
        <v>Sab</v>
      </c>
      <c r="E3985" t="str">
        <f>IFERROR(+VLOOKUP(Movimientos_2026[[#This Row],[Codigo]],Plan_cuentas[],2,FALSE)," ")</f>
        <v xml:space="preserve"> </v>
      </c>
      <c r="F3985" t="str">
        <f>IFERROR(+VLOOKUP(Movimientos_2026[[#This Row],[Codigo]],Plan_cuentas[],3,FALSE)," ")</f>
        <v xml:space="preserve"> </v>
      </c>
      <c r="G3985" t="str">
        <f>IFERROR(+VLOOKUP(Movimientos_2026[[#This Row],[Codigo]],Plan_cuentas[],4,FALSE)," ")</f>
        <v xml:space="preserve"> </v>
      </c>
      <c r="H3985" t="str">
        <f>IFERROR(+VLOOKUP(Movimientos_2026[[#This Row],[Codigo]],Plan_cuentas[],5,FALSE)," ")</f>
        <v xml:space="preserve"> </v>
      </c>
      <c r="I3985" s="43"/>
      <c r="K3985" t="str">
        <f>IFERROR(+VLOOKUP(Movimientos_2026[[#This Row],[Codigo]],Plan_cuentas[],6,FALSE)," ")</f>
        <v xml:space="preserve"> </v>
      </c>
      <c r="L3985" s="50"/>
      <c r="M3985" s="50"/>
      <c r="N3985" s="20">
        <f>+Movimientos_2026[[#This Row],[Ingresos]]-Movimientos_2026[[#This Row],[Egresos]]</f>
        <v>0</v>
      </c>
      <c r="O3985" s="20">
        <f>+O3984+Movimientos_2026[[#This Row],[Neto]]</f>
        <v>4581558617.7962294</v>
      </c>
    </row>
    <row r="3986" spans="1:15" x14ac:dyDescent="0.25">
      <c r="A3986" s="13"/>
      <c r="B3986" s="12">
        <f>MONTH(Movimientos_2026[[#This Row],[Fecha]])</f>
        <v>1</v>
      </c>
      <c r="C3986" s="12" t="str">
        <f>VLOOKUP((WEEKDAY(Movimientos_2026[[#This Row],[Fecha]],2)),'5. Setup'!$D$6:$E$12,2,FALSE)</f>
        <v>Sab</v>
      </c>
      <c r="E3986" t="str">
        <f>IFERROR(+VLOOKUP(Movimientos_2026[[#This Row],[Codigo]],Plan_cuentas[],2,FALSE)," ")</f>
        <v xml:space="preserve"> </v>
      </c>
      <c r="F3986" t="str">
        <f>IFERROR(+VLOOKUP(Movimientos_2026[[#This Row],[Codigo]],Plan_cuentas[],3,FALSE)," ")</f>
        <v xml:space="preserve"> </v>
      </c>
      <c r="G3986" t="str">
        <f>IFERROR(+VLOOKUP(Movimientos_2026[[#This Row],[Codigo]],Plan_cuentas[],4,FALSE)," ")</f>
        <v xml:space="preserve"> </v>
      </c>
      <c r="H3986" t="str">
        <f>IFERROR(+VLOOKUP(Movimientos_2026[[#This Row],[Codigo]],Plan_cuentas[],5,FALSE)," ")</f>
        <v xml:space="preserve"> </v>
      </c>
      <c r="I3986" s="43"/>
      <c r="K3986" t="str">
        <f>IFERROR(+VLOOKUP(Movimientos_2026[[#This Row],[Codigo]],Plan_cuentas[],6,FALSE)," ")</f>
        <v xml:space="preserve"> </v>
      </c>
      <c r="L3986" s="50"/>
      <c r="M3986" s="50"/>
      <c r="N3986" s="20">
        <f>+Movimientos_2026[[#This Row],[Ingresos]]-Movimientos_2026[[#This Row],[Egresos]]</f>
        <v>0</v>
      </c>
      <c r="O3986" s="20">
        <f>+O3985+Movimientos_2026[[#This Row],[Neto]]</f>
        <v>4581558617.7962294</v>
      </c>
    </row>
    <row r="3987" spans="1:15" x14ac:dyDescent="0.25">
      <c r="A3987" s="13"/>
      <c r="B3987" s="12">
        <f>MONTH(Movimientos_2026[[#This Row],[Fecha]])</f>
        <v>1</v>
      </c>
      <c r="C3987" s="12" t="str">
        <f>VLOOKUP((WEEKDAY(Movimientos_2026[[#This Row],[Fecha]],2)),'5. Setup'!$D$6:$E$12,2,FALSE)</f>
        <v>Sab</v>
      </c>
      <c r="E3987" t="str">
        <f>IFERROR(+VLOOKUP(Movimientos_2026[[#This Row],[Codigo]],Plan_cuentas[],2,FALSE)," ")</f>
        <v xml:space="preserve"> </v>
      </c>
      <c r="F3987" t="str">
        <f>IFERROR(+VLOOKUP(Movimientos_2026[[#This Row],[Codigo]],Plan_cuentas[],3,FALSE)," ")</f>
        <v xml:space="preserve"> </v>
      </c>
      <c r="G3987" t="str">
        <f>IFERROR(+VLOOKUP(Movimientos_2026[[#This Row],[Codigo]],Plan_cuentas[],4,FALSE)," ")</f>
        <v xml:space="preserve"> </v>
      </c>
      <c r="H3987" t="str">
        <f>IFERROR(+VLOOKUP(Movimientos_2026[[#This Row],[Codigo]],Plan_cuentas[],5,FALSE)," ")</f>
        <v xml:space="preserve"> </v>
      </c>
      <c r="I3987" s="43"/>
      <c r="K3987" t="str">
        <f>IFERROR(+VLOOKUP(Movimientos_2026[[#This Row],[Codigo]],Plan_cuentas[],6,FALSE)," ")</f>
        <v xml:space="preserve"> </v>
      </c>
      <c r="L3987" s="50"/>
      <c r="M3987" s="50"/>
      <c r="N3987" s="20">
        <f>+Movimientos_2026[[#This Row],[Ingresos]]-Movimientos_2026[[#This Row],[Egresos]]</f>
        <v>0</v>
      </c>
      <c r="O3987" s="20">
        <f>+O3986+Movimientos_2026[[#This Row],[Neto]]</f>
        <v>4581558617.7962294</v>
      </c>
    </row>
    <row r="3988" spans="1:15" x14ac:dyDescent="0.25">
      <c r="A3988" s="13"/>
      <c r="B3988" s="12">
        <f>MONTH(Movimientos_2026[[#This Row],[Fecha]])</f>
        <v>1</v>
      </c>
      <c r="C3988" s="12" t="str">
        <f>VLOOKUP((WEEKDAY(Movimientos_2026[[#This Row],[Fecha]],2)),'5. Setup'!$D$6:$E$12,2,FALSE)</f>
        <v>Sab</v>
      </c>
      <c r="E3988" t="str">
        <f>IFERROR(+VLOOKUP(Movimientos_2026[[#This Row],[Codigo]],Plan_cuentas[],2,FALSE)," ")</f>
        <v xml:space="preserve"> </v>
      </c>
      <c r="F3988" t="str">
        <f>IFERROR(+VLOOKUP(Movimientos_2026[[#This Row],[Codigo]],Plan_cuentas[],3,FALSE)," ")</f>
        <v xml:space="preserve"> </v>
      </c>
      <c r="G3988" t="str">
        <f>IFERROR(+VLOOKUP(Movimientos_2026[[#This Row],[Codigo]],Plan_cuentas[],4,FALSE)," ")</f>
        <v xml:space="preserve"> </v>
      </c>
      <c r="H3988" t="str">
        <f>IFERROR(+VLOOKUP(Movimientos_2026[[#This Row],[Codigo]],Plan_cuentas[],5,FALSE)," ")</f>
        <v xml:space="preserve"> </v>
      </c>
      <c r="I3988" s="43"/>
      <c r="K3988" t="str">
        <f>IFERROR(+VLOOKUP(Movimientos_2026[[#This Row],[Codigo]],Plan_cuentas[],6,FALSE)," ")</f>
        <v xml:space="preserve"> </v>
      </c>
      <c r="L3988" s="50"/>
      <c r="M3988" s="50"/>
      <c r="N3988" s="20">
        <f>+Movimientos_2026[[#This Row],[Ingresos]]-Movimientos_2026[[#This Row],[Egresos]]</f>
        <v>0</v>
      </c>
      <c r="O3988" s="20">
        <f>+O3987+Movimientos_2026[[#This Row],[Neto]]</f>
        <v>4581558617.7962294</v>
      </c>
    </row>
    <row r="3989" spans="1:15" x14ac:dyDescent="0.25">
      <c r="A3989" s="13"/>
      <c r="B3989" s="12">
        <f>MONTH(Movimientos_2026[[#This Row],[Fecha]])</f>
        <v>1</v>
      </c>
      <c r="C3989" s="12" t="str">
        <f>VLOOKUP((WEEKDAY(Movimientos_2026[[#This Row],[Fecha]],2)),'5. Setup'!$D$6:$E$12,2,FALSE)</f>
        <v>Sab</v>
      </c>
      <c r="E3989" t="str">
        <f>IFERROR(+VLOOKUP(Movimientos_2026[[#This Row],[Codigo]],Plan_cuentas[],2,FALSE)," ")</f>
        <v xml:space="preserve"> </v>
      </c>
      <c r="F3989" t="str">
        <f>IFERROR(+VLOOKUP(Movimientos_2026[[#This Row],[Codigo]],Plan_cuentas[],3,FALSE)," ")</f>
        <v xml:space="preserve"> </v>
      </c>
      <c r="G3989" t="str">
        <f>IFERROR(+VLOOKUP(Movimientos_2026[[#This Row],[Codigo]],Plan_cuentas[],4,FALSE)," ")</f>
        <v xml:space="preserve"> </v>
      </c>
      <c r="H3989" t="str">
        <f>IFERROR(+VLOOKUP(Movimientos_2026[[#This Row],[Codigo]],Plan_cuentas[],5,FALSE)," ")</f>
        <v xml:space="preserve"> </v>
      </c>
      <c r="I3989" s="43"/>
      <c r="K3989" t="str">
        <f>IFERROR(+VLOOKUP(Movimientos_2026[[#This Row],[Codigo]],Plan_cuentas[],6,FALSE)," ")</f>
        <v xml:space="preserve"> </v>
      </c>
      <c r="L3989" s="50"/>
      <c r="M3989" s="50"/>
      <c r="N3989" s="20">
        <f>+Movimientos_2026[[#This Row],[Ingresos]]-Movimientos_2026[[#This Row],[Egresos]]</f>
        <v>0</v>
      </c>
      <c r="O3989" s="20">
        <f>+O3988+Movimientos_2026[[#This Row],[Neto]]</f>
        <v>4581558617.7962294</v>
      </c>
    </row>
    <row r="3990" spans="1:15" x14ac:dyDescent="0.25">
      <c r="A3990" s="13"/>
      <c r="B3990" s="12">
        <f>MONTH(Movimientos_2026[[#This Row],[Fecha]])</f>
        <v>1</v>
      </c>
      <c r="C3990" s="12" t="str">
        <f>VLOOKUP((WEEKDAY(Movimientos_2026[[#This Row],[Fecha]],2)),'5. Setup'!$D$6:$E$12,2,FALSE)</f>
        <v>Sab</v>
      </c>
      <c r="E3990" t="str">
        <f>IFERROR(+VLOOKUP(Movimientos_2026[[#This Row],[Codigo]],Plan_cuentas[],2,FALSE)," ")</f>
        <v xml:space="preserve"> </v>
      </c>
      <c r="F3990" t="str">
        <f>IFERROR(+VLOOKUP(Movimientos_2026[[#This Row],[Codigo]],Plan_cuentas[],3,FALSE)," ")</f>
        <v xml:space="preserve"> </v>
      </c>
      <c r="G3990" t="str">
        <f>IFERROR(+VLOOKUP(Movimientos_2026[[#This Row],[Codigo]],Plan_cuentas[],4,FALSE)," ")</f>
        <v xml:space="preserve"> </v>
      </c>
      <c r="H3990" t="str">
        <f>IFERROR(+VLOOKUP(Movimientos_2026[[#This Row],[Codigo]],Plan_cuentas[],5,FALSE)," ")</f>
        <v xml:space="preserve"> </v>
      </c>
      <c r="I3990" s="43"/>
      <c r="K3990" t="str">
        <f>IFERROR(+VLOOKUP(Movimientos_2026[[#This Row],[Codigo]],Plan_cuentas[],6,FALSE)," ")</f>
        <v xml:space="preserve"> </v>
      </c>
      <c r="L3990" s="50"/>
      <c r="M3990" s="50"/>
      <c r="N3990" s="20">
        <f>+Movimientos_2026[[#This Row],[Ingresos]]-Movimientos_2026[[#This Row],[Egresos]]</f>
        <v>0</v>
      </c>
      <c r="O3990" s="20">
        <f>+O3989+Movimientos_2026[[#This Row],[Neto]]</f>
        <v>4581558617.7962294</v>
      </c>
    </row>
    <row r="3991" spans="1:15" x14ac:dyDescent="0.25">
      <c r="A3991" s="13"/>
      <c r="B3991" s="12">
        <f>MONTH(Movimientos_2026[[#This Row],[Fecha]])</f>
        <v>1</v>
      </c>
      <c r="C3991" s="12" t="str">
        <f>VLOOKUP((WEEKDAY(Movimientos_2026[[#This Row],[Fecha]],2)),'5. Setup'!$D$6:$E$12,2,FALSE)</f>
        <v>Sab</v>
      </c>
      <c r="E3991" t="str">
        <f>IFERROR(+VLOOKUP(Movimientos_2026[[#This Row],[Codigo]],Plan_cuentas[],2,FALSE)," ")</f>
        <v xml:space="preserve"> </v>
      </c>
      <c r="F3991" t="str">
        <f>IFERROR(+VLOOKUP(Movimientos_2026[[#This Row],[Codigo]],Plan_cuentas[],3,FALSE)," ")</f>
        <v xml:space="preserve"> </v>
      </c>
      <c r="G3991" t="str">
        <f>IFERROR(+VLOOKUP(Movimientos_2026[[#This Row],[Codigo]],Plan_cuentas[],4,FALSE)," ")</f>
        <v xml:space="preserve"> </v>
      </c>
      <c r="H3991" t="str">
        <f>IFERROR(+VLOOKUP(Movimientos_2026[[#This Row],[Codigo]],Plan_cuentas[],5,FALSE)," ")</f>
        <v xml:space="preserve"> </v>
      </c>
      <c r="I3991" s="43"/>
      <c r="K3991" t="str">
        <f>IFERROR(+VLOOKUP(Movimientos_2026[[#This Row],[Codigo]],Plan_cuentas[],6,FALSE)," ")</f>
        <v xml:space="preserve"> </v>
      </c>
      <c r="L3991" s="50"/>
      <c r="M3991" s="50"/>
      <c r="N3991" s="20">
        <f>+Movimientos_2026[[#This Row],[Ingresos]]-Movimientos_2026[[#This Row],[Egresos]]</f>
        <v>0</v>
      </c>
      <c r="O3991" s="20">
        <f>+O3990+Movimientos_2026[[#This Row],[Neto]]</f>
        <v>4581558617.7962294</v>
      </c>
    </row>
    <row r="3992" spans="1:15" x14ac:dyDescent="0.25">
      <c r="A3992" s="13"/>
      <c r="B3992" s="12">
        <f>MONTH(Movimientos_2026[[#This Row],[Fecha]])</f>
        <v>1</v>
      </c>
      <c r="C3992" s="12" t="str">
        <f>VLOOKUP((WEEKDAY(Movimientos_2026[[#This Row],[Fecha]],2)),'5. Setup'!$D$6:$E$12,2,FALSE)</f>
        <v>Sab</v>
      </c>
      <c r="E3992" t="str">
        <f>IFERROR(+VLOOKUP(Movimientos_2026[[#This Row],[Codigo]],Plan_cuentas[],2,FALSE)," ")</f>
        <v xml:space="preserve"> </v>
      </c>
      <c r="F3992" t="str">
        <f>IFERROR(+VLOOKUP(Movimientos_2026[[#This Row],[Codigo]],Plan_cuentas[],3,FALSE)," ")</f>
        <v xml:space="preserve"> </v>
      </c>
      <c r="G3992" t="str">
        <f>IFERROR(+VLOOKUP(Movimientos_2026[[#This Row],[Codigo]],Plan_cuentas[],4,FALSE)," ")</f>
        <v xml:space="preserve"> </v>
      </c>
      <c r="H3992" t="str">
        <f>IFERROR(+VLOOKUP(Movimientos_2026[[#This Row],[Codigo]],Plan_cuentas[],5,FALSE)," ")</f>
        <v xml:space="preserve"> </v>
      </c>
      <c r="I3992" s="43"/>
      <c r="K3992" t="str">
        <f>IFERROR(+VLOOKUP(Movimientos_2026[[#This Row],[Codigo]],Plan_cuentas[],6,FALSE)," ")</f>
        <v xml:space="preserve"> </v>
      </c>
      <c r="L3992" s="50"/>
      <c r="M3992" s="50"/>
      <c r="N3992" s="20">
        <f>+Movimientos_2026[[#This Row],[Ingresos]]-Movimientos_2026[[#This Row],[Egresos]]</f>
        <v>0</v>
      </c>
      <c r="O3992" s="20">
        <f>+O3991+Movimientos_2026[[#This Row],[Neto]]</f>
        <v>4581558617.7962294</v>
      </c>
    </row>
    <row r="3993" spans="1:15" x14ac:dyDescent="0.25">
      <c r="A3993" s="13"/>
      <c r="B3993" s="12">
        <f>MONTH(Movimientos_2026[[#This Row],[Fecha]])</f>
        <v>1</v>
      </c>
      <c r="C3993" s="12" t="str">
        <f>VLOOKUP((WEEKDAY(Movimientos_2026[[#This Row],[Fecha]],2)),'5. Setup'!$D$6:$E$12,2,FALSE)</f>
        <v>Sab</v>
      </c>
      <c r="E3993" t="str">
        <f>IFERROR(+VLOOKUP(Movimientos_2026[[#This Row],[Codigo]],Plan_cuentas[],2,FALSE)," ")</f>
        <v xml:space="preserve"> </v>
      </c>
      <c r="F3993" t="str">
        <f>IFERROR(+VLOOKUP(Movimientos_2026[[#This Row],[Codigo]],Plan_cuentas[],3,FALSE)," ")</f>
        <v xml:space="preserve"> </v>
      </c>
      <c r="G3993" t="str">
        <f>IFERROR(+VLOOKUP(Movimientos_2026[[#This Row],[Codigo]],Plan_cuentas[],4,FALSE)," ")</f>
        <v xml:space="preserve"> </v>
      </c>
      <c r="H3993" t="str">
        <f>IFERROR(+VLOOKUP(Movimientos_2026[[#This Row],[Codigo]],Plan_cuentas[],5,FALSE)," ")</f>
        <v xml:space="preserve"> </v>
      </c>
      <c r="I3993" s="43"/>
      <c r="K3993" t="str">
        <f>IFERROR(+VLOOKUP(Movimientos_2026[[#This Row],[Codigo]],Plan_cuentas[],6,FALSE)," ")</f>
        <v xml:space="preserve"> </v>
      </c>
      <c r="L3993" s="50"/>
      <c r="M3993" s="50"/>
      <c r="N3993" s="20">
        <f>+Movimientos_2026[[#This Row],[Ingresos]]-Movimientos_2026[[#This Row],[Egresos]]</f>
        <v>0</v>
      </c>
      <c r="O3993" s="20">
        <f>+O3992+Movimientos_2026[[#This Row],[Neto]]</f>
        <v>4581558617.7962294</v>
      </c>
    </row>
    <row r="3994" spans="1:15" x14ac:dyDescent="0.25">
      <c r="A3994" s="13"/>
      <c r="B3994" s="12">
        <f>MONTH(Movimientos_2026[[#This Row],[Fecha]])</f>
        <v>1</v>
      </c>
      <c r="C3994" s="12" t="str">
        <f>VLOOKUP((WEEKDAY(Movimientos_2026[[#This Row],[Fecha]],2)),'5. Setup'!$D$6:$E$12,2,FALSE)</f>
        <v>Sab</v>
      </c>
      <c r="E3994" t="str">
        <f>IFERROR(+VLOOKUP(Movimientos_2026[[#This Row],[Codigo]],Plan_cuentas[],2,FALSE)," ")</f>
        <v xml:space="preserve"> </v>
      </c>
      <c r="F3994" t="str">
        <f>IFERROR(+VLOOKUP(Movimientos_2026[[#This Row],[Codigo]],Plan_cuentas[],3,FALSE)," ")</f>
        <v xml:space="preserve"> </v>
      </c>
      <c r="G3994" t="str">
        <f>IFERROR(+VLOOKUP(Movimientos_2026[[#This Row],[Codigo]],Plan_cuentas[],4,FALSE)," ")</f>
        <v xml:space="preserve"> </v>
      </c>
      <c r="H3994" t="str">
        <f>IFERROR(+VLOOKUP(Movimientos_2026[[#This Row],[Codigo]],Plan_cuentas[],5,FALSE)," ")</f>
        <v xml:space="preserve"> </v>
      </c>
      <c r="I3994" s="43"/>
      <c r="K3994" t="str">
        <f>IFERROR(+VLOOKUP(Movimientos_2026[[#This Row],[Codigo]],Plan_cuentas[],6,FALSE)," ")</f>
        <v xml:space="preserve"> </v>
      </c>
      <c r="L3994" s="50"/>
      <c r="M3994" s="50"/>
      <c r="N3994" s="20">
        <f>+Movimientos_2026[[#This Row],[Ingresos]]-Movimientos_2026[[#This Row],[Egresos]]</f>
        <v>0</v>
      </c>
      <c r="O3994" s="20">
        <f>+O3993+Movimientos_2026[[#This Row],[Neto]]</f>
        <v>4581558617.7962294</v>
      </c>
    </row>
    <row r="3995" spans="1:15" x14ac:dyDescent="0.25">
      <c r="A3995" s="13"/>
      <c r="B3995" s="12">
        <f>MONTH(Movimientos_2026[[#This Row],[Fecha]])</f>
        <v>1</v>
      </c>
      <c r="C3995" s="12" t="str">
        <f>VLOOKUP((WEEKDAY(Movimientos_2026[[#This Row],[Fecha]],2)),'5. Setup'!$D$6:$E$12,2,FALSE)</f>
        <v>Sab</v>
      </c>
      <c r="E3995" t="str">
        <f>IFERROR(+VLOOKUP(Movimientos_2026[[#This Row],[Codigo]],Plan_cuentas[],2,FALSE)," ")</f>
        <v xml:space="preserve"> </v>
      </c>
      <c r="F3995" t="str">
        <f>IFERROR(+VLOOKUP(Movimientos_2026[[#This Row],[Codigo]],Plan_cuentas[],3,FALSE)," ")</f>
        <v xml:space="preserve"> </v>
      </c>
      <c r="G3995" t="str">
        <f>IFERROR(+VLOOKUP(Movimientos_2026[[#This Row],[Codigo]],Plan_cuentas[],4,FALSE)," ")</f>
        <v xml:space="preserve"> </v>
      </c>
      <c r="H3995" t="str">
        <f>IFERROR(+VLOOKUP(Movimientos_2026[[#This Row],[Codigo]],Plan_cuentas[],5,FALSE)," ")</f>
        <v xml:space="preserve"> </v>
      </c>
      <c r="I3995" s="43"/>
      <c r="K3995" t="str">
        <f>IFERROR(+VLOOKUP(Movimientos_2026[[#This Row],[Codigo]],Plan_cuentas[],6,FALSE)," ")</f>
        <v xml:space="preserve"> </v>
      </c>
      <c r="L3995" s="50"/>
      <c r="M3995" s="50"/>
      <c r="N3995" s="20">
        <f>+Movimientos_2026[[#This Row],[Ingresos]]-Movimientos_2026[[#This Row],[Egresos]]</f>
        <v>0</v>
      </c>
      <c r="O3995" s="20">
        <f>+O3994+Movimientos_2026[[#This Row],[Neto]]</f>
        <v>4581558617.7962294</v>
      </c>
    </row>
    <row r="3996" spans="1:15" x14ac:dyDescent="0.25">
      <c r="A3996" s="13"/>
      <c r="B3996" s="12">
        <f>MONTH(Movimientos_2026[[#This Row],[Fecha]])</f>
        <v>1</v>
      </c>
      <c r="C3996" s="12" t="str">
        <f>VLOOKUP((WEEKDAY(Movimientos_2026[[#This Row],[Fecha]],2)),'5. Setup'!$D$6:$E$12,2,FALSE)</f>
        <v>Sab</v>
      </c>
      <c r="E3996" t="str">
        <f>IFERROR(+VLOOKUP(Movimientos_2026[[#This Row],[Codigo]],Plan_cuentas[],2,FALSE)," ")</f>
        <v xml:space="preserve"> </v>
      </c>
      <c r="F3996" t="str">
        <f>IFERROR(+VLOOKUP(Movimientos_2026[[#This Row],[Codigo]],Plan_cuentas[],3,FALSE)," ")</f>
        <v xml:space="preserve"> </v>
      </c>
      <c r="G3996" t="str">
        <f>IFERROR(+VLOOKUP(Movimientos_2026[[#This Row],[Codigo]],Plan_cuentas[],4,FALSE)," ")</f>
        <v xml:space="preserve"> </v>
      </c>
      <c r="H3996" t="str">
        <f>IFERROR(+VLOOKUP(Movimientos_2026[[#This Row],[Codigo]],Plan_cuentas[],5,FALSE)," ")</f>
        <v xml:space="preserve"> </v>
      </c>
      <c r="I3996" s="43"/>
      <c r="K3996" t="str">
        <f>IFERROR(+VLOOKUP(Movimientos_2026[[#This Row],[Codigo]],Plan_cuentas[],6,FALSE)," ")</f>
        <v xml:space="preserve"> </v>
      </c>
      <c r="L3996" s="50"/>
      <c r="M3996" s="50"/>
      <c r="N3996" s="20">
        <f>+Movimientos_2026[[#This Row],[Ingresos]]-Movimientos_2026[[#This Row],[Egresos]]</f>
        <v>0</v>
      </c>
      <c r="O3996" s="20">
        <f>+O3995+Movimientos_2026[[#This Row],[Neto]]</f>
        <v>4581558617.7962294</v>
      </c>
    </row>
    <row r="3997" spans="1:15" x14ac:dyDescent="0.25">
      <c r="A3997" s="13"/>
      <c r="B3997" s="12">
        <f>MONTH(Movimientos_2026[[#This Row],[Fecha]])</f>
        <v>1</v>
      </c>
      <c r="C3997" s="12" t="str">
        <f>VLOOKUP((WEEKDAY(Movimientos_2026[[#This Row],[Fecha]],2)),'5. Setup'!$D$6:$E$12,2,FALSE)</f>
        <v>Sab</v>
      </c>
      <c r="E3997" t="str">
        <f>IFERROR(+VLOOKUP(Movimientos_2026[[#This Row],[Codigo]],Plan_cuentas[],2,FALSE)," ")</f>
        <v xml:space="preserve"> </v>
      </c>
      <c r="F3997" t="str">
        <f>IFERROR(+VLOOKUP(Movimientos_2026[[#This Row],[Codigo]],Plan_cuentas[],3,FALSE)," ")</f>
        <v xml:space="preserve"> </v>
      </c>
      <c r="G3997" t="str">
        <f>IFERROR(+VLOOKUP(Movimientos_2026[[#This Row],[Codigo]],Plan_cuentas[],4,FALSE)," ")</f>
        <v xml:space="preserve"> </v>
      </c>
      <c r="H3997" t="str">
        <f>IFERROR(+VLOOKUP(Movimientos_2026[[#This Row],[Codigo]],Plan_cuentas[],5,FALSE)," ")</f>
        <v xml:space="preserve"> </v>
      </c>
      <c r="I3997" s="43"/>
      <c r="K3997" t="str">
        <f>IFERROR(+VLOOKUP(Movimientos_2026[[#This Row],[Codigo]],Plan_cuentas[],6,FALSE)," ")</f>
        <v xml:space="preserve"> </v>
      </c>
      <c r="L3997" s="50"/>
      <c r="M3997" s="50"/>
      <c r="N3997" s="20">
        <f>+Movimientos_2026[[#This Row],[Ingresos]]-Movimientos_2026[[#This Row],[Egresos]]</f>
        <v>0</v>
      </c>
      <c r="O3997" s="20">
        <f>+O3996+Movimientos_2026[[#This Row],[Neto]]</f>
        <v>4581558617.7962294</v>
      </c>
    </row>
    <row r="3998" spans="1:15" x14ac:dyDescent="0.25">
      <c r="A3998" s="13"/>
      <c r="B3998" s="12">
        <f>MONTH(Movimientos_2026[[#This Row],[Fecha]])</f>
        <v>1</v>
      </c>
      <c r="C3998" s="12" t="str">
        <f>VLOOKUP((WEEKDAY(Movimientos_2026[[#This Row],[Fecha]],2)),'5. Setup'!$D$6:$E$12,2,FALSE)</f>
        <v>Sab</v>
      </c>
      <c r="E3998" t="str">
        <f>IFERROR(+VLOOKUP(Movimientos_2026[[#This Row],[Codigo]],Plan_cuentas[],2,FALSE)," ")</f>
        <v xml:space="preserve"> </v>
      </c>
      <c r="F3998" t="str">
        <f>IFERROR(+VLOOKUP(Movimientos_2026[[#This Row],[Codigo]],Plan_cuentas[],3,FALSE)," ")</f>
        <v xml:space="preserve"> </v>
      </c>
      <c r="G3998" t="str">
        <f>IFERROR(+VLOOKUP(Movimientos_2026[[#This Row],[Codigo]],Plan_cuentas[],4,FALSE)," ")</f>
        <v xml:space="preserve"> </v>
      </c>
      <c r="H3998" t="str">
        <f>IFERROR(+VLOOKUP(Movimientos_2026[[#This Row],[Codigo]],Plan_cuentas[],5,FALSE)," ")</f>
        <v xml:space="preserve"> </v>
      </c>
      <c r="I3998" s="43"/>
      <c r="K3998" t="str">
        <f>IFERROR(+VLOOKUP(Movimientos_2026[[#This Row],[Codigo]],Plan_cuentas[],6,FALSE)," ")</f>
        <v xml:space="preserve"> </v>
      </c>
      <c r="L3998" s="50"/>
      <c r="M3998" s="50"/>
      <c r="N3998" s="20">
        <f>+Movimientos_2026[[#This Row],[Ingresos]]-Movimientos_2026[[#This Row],[Egresos]]</f>
        <v>0</v>
      </c>
      <c r="O3998" s="20">
        <f>+O3997+Movimientos_2026[[#This Row],[Neto]]</f>
        <v>4581558617.7962294</v>
      </c>
    </row>
    <row r="3999" spans="1:15" x14ac:dyDescent="0.25">
      <c r="A3999" s="13"/>
      <c r="B3999" s="12">
        <f>MONTH(Movimientos_2026[[#This Row],[Fecha]])</f>
        <v>1</v>
      </c>
      <c r="C3999" s="12" t="str">
        <f>VLOOKUP((WEEKDAY(Movimientos_2026[[#This Row],[Fecha]],2)),'5. Setup'!$D$6:$E$12,2,FALSE)</f>
        <v>Sab</v>
      </c>
      <c r="E3999" t="str">
        <f>IFERROR(+VLOOKUP(Movimientos_2026[[#This Row],[Codigo]],Plan_cuentas[],2,FALSE)," ")</f>
        <v xml:space="preserve"> </v>
      </c>
      <c r="F3999" t="str">
        <f>IFERROR(+VLOOKUP(Movimientos_2026[[#This Row],[Codigo]],Plan_cuentas[],3,FALSE)," ")</f>
        <v xml:space="preserve"> </v>
      </c>
      <c r="G3999" t="str">
        <f>IFERROR(+VLOOKUP(Movimientos_2026[[#This Row],[Codigo]],Plan_cuentas[],4,FALSE)," ")</f>
        <v xml:space="preserve"> </v>
      </c>
      <c r="H3999" t="str">
        <f>IFERROR(+VLOOKUP(Movimientos_2026[[#This Row],[Codigo]],Plan_cuentas[],5,FALSE)," ")</f>
        <v xml:space="preserve"> </v>
      </c>
      <c r="I3999" s="43"/>
      <c r="K3999" t="str">
        <f>IFERROR(+VLOOKUP(Movimientos_2026[[#This Row],[Codigo]],Plan_cuentas[],6,FALSE)," ")</f>
        <v xml:space="preserve"> </v>
      </c>
      <c r="L3999" s="50"/>
      <c r="M3999" s="50"/>
      <c r="N3999" s="20">
        <f>+Movimientos_2026[[#This Row],[Ingresos]]-Movimientos_2026[[#This Row],[Egresos]]</f>
        <v>0</v>
      </c>
      <c r="O3999" s="20">
        <f>+O3998+Movimientos_2026[[#This Row],[Neto]]</f>
        <v>4581558617.7962294</v>
      </c>
    </row>
    <row r="4000" spans="1:15" x14ac:dyDescent="0.25">
      <c r="A4000" s="13"/>
      <c r="B4000" s="12">
        <f>MONTH(Movimientos_2026[[#This Row],[Fecha]])</f>
        <v>1</v>
      </c>
      <c r="C4000" s="12" t="str">
        <f>VLOOKUP((WEEKDAY(Movimientos_2026[[#This Row],[Fecha]],2)),'5. Setup'!$D$6:$E$12,2,FALSE)</f>
        <v>Sab</v>
      </c>
      <c r="E4000" t="str">
        <f>IFERROR(+VLOOKUP(Movimientos_2026[[#This Row],[Codigo]],Plan_cuentas[],2,FALSE)," ")</f>
        <v xml:space="preserve"> </v>
      </c>
      <c r="F4000" t="str">
        <f>IFERROR(+VLOOKUP(Movimientos_2026[[#This Row],[Codigo]],Plan_cuentas[],3,FALSE)," ")</f>
        <v xml:space="preserve"> </v>
      </c>
      <c r="G4000" t="str">
        <f>IFERROR(+VLOOKUP(Movimientos_2026[[#This Row],[Codigo]],Plan_cuentas[],4,FALSE)," ")</f>
        <v xml:space="preserve"> </v>
      </c>
      <c r="H4000" t="str">
        <f>IFERROR(+VLOOKUP(Movimientos_2026[[#This Row],[Codigo]],Plan_cuentas[],5,FALSE)," ")</f>
        <v xml:space="preserve"> </v>
      </c>
      <c r="I4000" s="43"/>
      <c r="K4000" t="str">
        <f>IFERROR(+VLOOKUP(Movimientos_2026[[#This Row],[Codigo]],Plan_cuentas[],6,FALSE)," ")</f>
        <v xml:space="preserve"> </v>
      </c>
      <c r="L4000" s="50"/>
      <c r="M4000" s="50"/>
      <c r="N4000" s="20">
        <f>+Movimientos_2026[[#This Row],[Ingresos]]-Movimientos_2026[[#This Row],[Egresos]]</f>
        <v>0</v>
      </c>
      <c r="O4000" s="20">
        <f>+O3999+Movimientos_2026[[#This Row],[Neto]]</f>
        <v>4581558617.7962294</v>
      </c>
    </row>
    <row r="4001" spans="1:15" x14ac:dyDescent="0.25">
      <c r="A4001" s="13"/>
      <c r="B4001" s="12">
        <f>MONTH(Movimientos_2026[[#This Row],[Fecha]])</f>
        <v>1</v>
      </c>
      <c r="C4001" s="12" t="str">
        <f>VLOOKUP((WEEKDAY(Movimientos_2026[[#This Row],[Fecha]],2)),'5. Setup'!$D$6:$E$12,2,FALSE)</f>
        <v>Sab</v>
      </c>
      <c r="E4001" t="str">
        <f>IFERROR(+VLOOKUP(Movimientos_2026[[#This Row],[Codigo]],Plan_cuentas[],2,FALSE)," ")</f>
        <v xml:space="preserve"> </v>
      </c>
      <c r="F4001" t="str">
        <f>IFERROR(+VLOOKUP(Movimientos_2026[[#This Row],[Codigo]],Plan_cuentas[],3,FALSE)," ")</f>
        <v xml:space="preserve"> </v>
      </c>
      <c r="G4001" t="str">
        <f>IFERROR(+VLOOKUP(Movimientos_2026[[#This Row],[Codigo]],Plan_cuentas[],4,FALSE)," ")</f>
        <v xml:space="preserve"> </v>
      </c>
      <c r="H4001" t="str">
        <f>IFERROR(+VLOOKUP(Movimientos_2026[[#This Row],[Codigo]],Plan_cuentas[],5,FALSE)," ")</f>
        <v xml:space="preserve"> </v>
      </c>
      <c r="I4001" s="43"/>
      <c r="K4001" t="str">
        <f>IFERROR(+VLOOKUP(Movimientos_2026[[#This Row],[Codigo]],Plan_cuentas[],6,FALSE)," ")</f>
        <v xml:space="preserve"> </v>
      </c>
      <c r="L4001" s="50"/>
      <c r="M4001" s="50"/>
      <c r="N4001" s="20">
        <f>+Movimientos_2026[[#This Row],[Ingresos]]-Movimientos_2026[[#This Row],[Egresos]]</f>
        <v>0</v>
      </c>
      <c r="O4001" s="20">
        <f>+O4000+Movimientos_2026[[#This Row],[Neto]]</f>
        <v>4581558617.7962294</v>
      </c>
    </row>
    <row r="4002" spans="1:15" x14ac:dyDescent="0.25">
      <c r="A4002" s="13"/>
      <c r="B4002" s="12">
        <f>MONTH(Movimientos_2026[[#This Row],[Fecha]])</f>
        <v>1</v>
      </c>
      <c r="C4002" s="12" t="str">
        <f>VLOOKUP((WEEKDAY(Movimientos_2026[[#This Row],[Fecha]],2)),'5. Setup'!$D$6:$E$12,2,FALSE)</f>
        <v>Sab</v>
      </c>
      <c r="E4002" t="str">
        <f>IFERROR(+VLOOKUP(Movimientos_2026[[#This Row],[Codigo]],Plan_cuentas[],2,FALSE)," ")</f>
        <v xml:space="preserve"> </v>
      </c>
      <c r="F4002" t="str">
        <f>IFERROR(+VLOOKUP(Movimientos_2026[[#This Row],[Codigo]],Plan_cuentas[],3,FALSE)," ")</f>
        <v xml:space="preserve"> </v>
      </c>
      <c r="G4002" t="str">
        <f>IFERROR(+VLOOKUP(Movimientos_2026[[#This Row],[Codigo]],Plan_cuentas[],4,FALSE)," ")</f>
        <v xml:space="preserve"> </v>
      </c>
      <c r="H4002" t="str">
        <f>IFERROR(+VLOOKUP(Movimientos_2026[[#This Row],[Codigo]],Plan_cuentas[],5,FALSE)," ")</f>
        <v xml:space="preserve"> </v>
      </c>
      <c r="I4002" s="43"/>
      <c r="K4002" t="str">
        <f>IFERROR(+VLOOKUP(Movimientos_2026[[#This Row],[Codigo]],Plan_cuentas[],6,FALSE)," ")</f>
        <v xml:space="preserve"> </v>
      </c>
      <c r="L4002" s="50"/>
      <c r="M4002" s="50"/>
      <c r="N4002" s="20">
        <f>+Movimientos_2026[[#This Row],[Ingresos]]-Movimientos_2026[[#This Row],[Egresos]]</f>
        <v>0</v>
      </c>
      <c r="O4002" s="20">
        <f>+O4001+Movimientos_2026[[#This Row],[Neto]]</f>
        <v>4581558617.7962294</v>
      </c>
    </row>
    <row r="4003" spans="1:15" x14ac:dyDescent="0.25">
      <c r="A4003" s="13"/>
      <c r="B4003" s="12">
        <f>MONTH(Movimientos_2026[[#This Row],[Fecha]])</f>
        <v>1</v>
      </c>
      <c r="C4003" s="12" t="str">
        <f>VLOOKUP((WEEKDAY(Movimientos_2026[[#This Row],[Fecha]],2)),'5. Setup'!$D$6:$E$12,2,FALSE)</f>
        <v>Sab</v>
      </c>
      <c r="E4003" t="str">
        <f>IFERROR(+VLOOKUP(Movimientos_2026[[#This Row],[Codigo]],Plan_cuentas[],2,FALSE)," ")</f>
        <v xml:space="preserve"> </v>
      </c>
      <c r="F4003" t="str">
        <f>IFERROR(+VLOOKUP(Movimientos_2026[[#This Row],[Codigo]],Plan_cuentas[],3,FALSE)," ")</f>
        <v xml:space="preserve"> </v>
      </c>
      <c r="G4003" t="str">
        <f>IFERROR(+VLOOKUP(Movimientos_2026[[#This Row],[Codigo]],Plan_cuentas[],4,FALSE)," ")</f>
        <v xml:space="preserve"> </v>
      </c>
      <c r="H4003" t="str">
        <f>IFERROR(+VLOOKUP(Movimientos_2026[[#This Row],[Codigo]],Plan_cuentas[],5,FALSE)," ")</f>
        <v xml:space="preserve"> </v>
      </c>
      <c r="I4003" s="43"/>
      <c r="K4003" t="str">
        <f>IFERROR(+VLOOKUP(Movimientos_2026[[#This Row],[Codigo]],Plan_cuentas[],6,FALSE)," ")</f>
        <v xml:space="preserve"> </v>
      </c>
      <c r="L4003" s="50"/>
      <c r="M4003" s="50"/>
      <c r="N4003" s="20">
        <f>+Movimientos_2026[[#This Row],[Ingresos]]-Movimientos_2026[[#This Row],[Egresos]]</f>
        <v>0</v>
      </c>
      <c r="O4003" s="20">
        <f>+O4002+Movimientos_2026[[#This Row],[Neto]]</f>
        <v>4581558617.7962294</v>
      </c>
    </row>
    <row r="4004" spans="1:15" x14ac:dyDescent="0.25">
      <c r="A4004" s="13"/>
      <c r="B4004" s="12">
        <f>MONTH(Movimientos_2026[[#This Row],[Fecha]])</f>
        <v>1</v>
      </c>
      <c r="C4004" s="12" t="str">
        <f>VLOOKUP((WEEKDAY(Movimientos_2026[[#This Row],[Fecha]],2)),'5. Setup'!$D$6:$E$12,2,FALSE)</f>
        <v>Sab</v>
      </c>
      <c r="E4004" t="str">
        <f>IFERROR(+VLOOKUP(Movimientos_2026[[#This Row],[Codigo]],Plan_cuentas[],2,FALSE)," ")</f>
        <v xml:space="preserve"> </v>
      </c>
      <c r="F4004" t="str">
        <f>IFERROR(+VLOOKUP(Movimientos_2026[[#This Row],[Codigo]],Plan_cuentas[],3,FALSE)," ")</f>
        <v xml:space="preserve"> </v>
      </c>
      <c r="G4004" t="str">
        <f>IFERROR(+VLOOKUP(Movimientos_2026[[#This Row],[Codigo]],Plan_cuentas[],4,FALSE)," ")</f>
        <v xml:space="preserve"> </v>
      </c>
      <c r="H4004" t="str">
        <f>IFERROR(+VLOOKUP(Movimientos_2026[[#This Row],[Codigo]],Plan_cuentas[],5,FALSE)," ")</f>
        <v xml:space="preserve"> </v>
      </c>
      <c r="I4004" s="43"/>
      <c r="K4004" t="str">
        <f>IFERROR(+VLOOKUP(Movimientos_2026[[#This Row],[Codigo]],Plan_cuentas[],6,FALSE)," ")</f>
        <v xml:space="preserve"> </v>
      </c>
      <c r="L4004" s="50"/>
      <c r="M4004" s="50"/>
      <c r="N4004" s="20">
        <f>+Movimientos_2026[[#This Row],[Ingresos]]-Movimientos_2026[[#This Row],[Egresos]]</f>
        <v>0</v>
      </c>
      <c r="O4004" s="20">
        <f>+O4003+Movimientos_2026[[#This Row],[Neto]]</f>
        <v>4581558617.7962294</v>
      </c>
    </row>
    <row r="4005" spans="1:15" x14ac:dyDescent="0.25">
      <c r="A4005" s="13"/>
      <c r="B4005" s="12">
        <f>MONTH(Movimientos_2026[[#This Row],[Fecha]])</f>
        <v>1</v>
      </c>
      <c r="C4005" s="12" t="str">
        <f>VLOOKUP((WEEKDAY(Movimientos_2026[[#This Row],[Fecha]],2)),'5. Setup'!$D$6:$E$12,2,FALSE)</f>
        <v>Sab</v>
      </c>
      <c r="E4005" t="str">
        <f>IFERROR(+VLOOKUP(Movimientos_2026[[#This Row],[Codigo]],Plan_cuentas[],2,FALSE)," ")</f>
        <v xml:space="preserve"> </v>
      </c>
      <c r="F4005" t="str">
        <f>IFERROR(+VLOOKUP(Movimientos_2026[[#This Row],[Codigo]],Plan_cuentas[],3,FALSE)," ")</f>
        <v xml:space="preserve"> </v>
      </c>
      <c r="G4005" t="str">
        <f>IFERROR(+VLOOKUP(Movimientos_2026[[#This Row],[Codigo]],Plan_cuentas[],4,FALSE)," ")</f>
        <v xml:space="preserve"> </v>
      </c>
      <c r="H4005" t="str">
        <f>IFERROR(+VLOOKUP(Movimientos_2026[[#This Row],[Codigo]],Plan_cuentas[],5,FALSE)," ")</f>
        <v xml:space="preserve"> </v>
      </c>
      <c r="I4005" s="43"/>
      <c r="K4005" t="str">
        <f>IFERROR(+VLOOKUP(Movimientos_2026[[#This Row],[Codigo]],Plan_cuentas[],6,FALSE)," ")</f>
        <v xml:space="preserve"> </v>
      </c>
      <c r="L4005" s="50"/>
      <c r="M4005" s="50"/>
      <c r="N4005" s="20">
        <f>+Movimientos_2026[[#This Row],[Ingresos]]-Movimientos_2026[[#This Row],[Egresos]]</f>
        <v>0</v>
      </c>
      <c r="O4005" s="20">
        <f>+O4004+Movimientos_2026[[#This Row],[Neto]]</f>
        <v>4581558617.7962294</v>
      </c>
    </row>
    <row r="4006" spans="1:15" x14ac:dyDescent="0.25">
      <c r="A4006" s="13"/>
      <c r="B4006" s="12">
        <f>MONTH(Movimientos_2026[[#This Row],[Fecha]])</f>
        <v>1</v>
      </c>
      <c r="C4006" s="12" t="str">
        <f>VLOOKUP((WEEKDAY(Movimientos_2026[[#This Row],[Fecha]],2)),'5. Setup'!$D$6:$E$12,2,FALSE)</f>
        <v>Sab</v>
      </c>
      <c r="E4006" t="str">
        <f>IFERROR(+VLOOKUP(Movimientos_2026[[#This Row],[Codigo]],Plan_cuentas[],2,FALSE)," ")</f>
        <v xml:space="preserve"> </v>
      </c>
      <c r="F4006" t="str">
        <f>IFERROR(+VLOOKUP(Movimientos_2026[[#This Row],[Codigo]],Plan_cuentas[],3,FALSE)," ")</f>
        <v xml:space="preserve"> </v>
      </c>
      <c r="G4006" t="str">
        <f>IFERROR(+VLOOKUP(Movimientos_2026[[#This Row],[Codigo]],Plan_cuentas[],4,FALSE)," ")</f>
        <v xml:space="preserve"> </v>
      </c>
      <c r="H4006" t="str">
        <f>IFERROR(+VLOOKUP(Movimientos_2026[[#This Row],[Codigo]],Plan_cuentas[],5,FALSE)," ")</f>
        <v xml:space="preserve"> </v>
      </c>
      <c r="I4006" s="43"/>
      <c r="K4006" t="str">
        <f>IFERROR(+VLOOKUP(Movimientos_2026[[#This Row],[Codigo]],Plan_cuentas[],6,FALSE)," ")</f>
        <v xml:space="preserve"> </v>
      </c>
      <c r="L4006" s="50"/>
      <c r="M4006" s="50"/>
      <c r="N4006" s="20">
        <f>+Movimientos_2026[[#This Row],[Ingresos]]-Movimientos_2026[[#This Row],[Egresos]]</f>
        <v>0</v>
      </c>
      <c r="O4006" s="20">
        <f>+O4005+Movimientos_2026[[#This Row],[Neto]]</f>
        <v>4581558617.7962294</v>
      </c>
    </row>
    <row r="4007" spans="1:15" x14ac:dyDescent="0.25">
      <c r="A4007" s="13"/>
      <c r="B4007" s="12">
        <f>MONTH(Movimientos_2026[[#This Row],[Fecha]])</f>
        <v>1</v>
      </c>
      <c r="C4007" s="12" t="str">
        <f>VLOOKUP((WEEKDAY(Movimientos_2026[[#This Row],[Fecha]],2)),'5. Setup'!$D$6:$E$12,2,FALSE)</f>
        <v>Sab</v>
      </c>
      <c r="E4007" t="str">
        <f>IFERROR(+VLOOKUP(Movimientos_2026[[#This Row],[Codigo]],Plan_cuentas[],2,FALSE)," ")</f>
        <v xml:space="preserve"> </v>
      </c>
      <c r="F4007" t="str">
        <f>IFERROR(+VLOOKUP(Movimientos_2026[[#This Row],[Codigo]],Plan_cuentas[],3,FALSE)," ")</f>
        <v xml:space="preserve"> </v>
      </c>
      <c r="G4007" t="str">
        <f>IFERROR(+VLOOKUP(Movimientos_2026[[#This Row],[Codigo]],Plan_cuentas[],4,FALSE)," ")</f>
        <v xml:space="preserve"> </v>
      </c>
      <c r="H4007" t="str">
        <f>IFERROR(+VLOOKUP(Movimientos_2026[[#This Row],[Codigo]],Plan_cuentas[],5,FALSE)," ")</f>
        <v xml:space="preserve"> </v>
      </c>
      <c r="I4007" s="43"/>
      <c r="K4007" t="str">
        <f>IFERROR(+VLOOKUP(Movimientos_2026[[#This Row],[Codigo]],Plan_cuentas[],6,FALSE)," ")</f>
        <v xml:space="preserve"> </v>
      </c>
      <c r="L4007" s="50"/>
      <c r="M4007" s="50"/>
      <c r="N4007" s="20">
        <f>+Movimientos_2026[[#This Row],[Ingresos]]-Movimientos_2026[[#This Row],[Egresos]]</f>
        <v>0</v>
      </c>
      <c r="O4007" s="20">
        <f>+O4006+Movimientos_2026[[#This Row],[Neto]]</f>
        <v>4581558617.7962294</v>
      </c>
    </row>
    <row r="4008" spans="1:15" x14ac:dyDescent="0.25">
      <c r="A4008" s="13"/>
      <c r="B4008" s="12">
        <f>MONTH(Movimientos_2026[[#This Row],[Fecha]])</f>
        <v>1</v>
      </c>
      <c r="C4008" s="12" t="str">
        <f>VLOOKUP((WEEKDAY(Movimientos_2026[[#This Row],[Fecha]],2)),'5. Setup'!$D$6:$E$12,2,FALSE)</f>
        <v>Sab</v>
      </c>
      <c r="E4008" t="str">
        <f>IFERROR(+VLOOKUP(Movimientos_2026[[#This Row],[Codigo]],Plan_cuentas[],2,FALSE)," ")</f>
        <v xml:space="preserve"> </v>
      </c>
      <c r="F4008" t="str">
        <f>IFERROR(+VLOOKUP(Movimientos_2026[[#This Row],[Codigo]],Plan_cuentas[],3,FALSE)," ")</f>
        <v xml:space="preserve"> </v>
      </c>
      <c r="G4008" t="str">
        <f>IFERROR(+VLOOKUP(Movimientos_2026[[#This Row],[Codigo]],Plan_cuentas[],4,FALSE)," ")</f>
        <v xml:space="preserve"> </v>
      </c>
      <c r="H4008" t="str">
        <f>IFERROR(+VLOOKUP(Movimientos_2026[[#This Row],[Codigo]],Plan_cuentas[],5,FALSE)," ")</f>
        <v xml:space="preserve"> </v>
      </c>
      <c r="I4008" s="43"/>
      <c r="K4008" t="str">
        <f>IFERROR(+VLOOKUP(Movimientos_2026[[#This Row],[Codigo]],Plan_cuentas[],6,FALSE)," ")</f>
        <v xml:space="preserve"> </v>
      </c>
      <c r="L4008" s="50"/>
      <c r="M4008" s="50"/>
      <c r="N4008" s="20">
        <f>+Movimientos_2026[[#This Row],[Ingresos]]-Movimientos_2026[[#This Row],[Egresos]]</f>
        <v>0</v>
      </c>
      <c r="O4008" s="20">
        <f>+O4007+Movimientos_2026[[#This Row],[Neto]]</f>
        <v>4581558617.7962294</v>
      </c>
    </row>
    <row r="4009" spans="1:15" x14ac:dyDescent="0.25">
      <c r="A4009" s="13"/>
      <c r="B4009" s="12">
        <f>MONTH(Movimientos_2026[[#This Row],[Fecha]])</f>
        <v>1</v>
      </c>
      <c r="C4009" s="12" t="str">
        <f>VLOOKUP((WEEKDAY(Movimientos_2026[[#This Row],[Fecha]],2)),'5. Setup'!$D$6:$E$12,2,FALSE)</f>
        <v>Sab</v>
      </c>
      <c r="E4009" t="str">
        <f>IFERROR(+VLOOKUP(Movimientos_2026[[#This Row],[Codigo]],Plan_cuentas[],2,FALSE)," ")</f>
        <v xml:space="preserve"> </v>
      </c>
      <c r="F4009" t="str">
        <f>IFERROR(+VLOOKUP(Movimientos_2026[[#This Row],[Codigo]],Plan_cuentas[],3,FALSE)," ")</f>
        <v xml:space="preserve"> </v>
      </c>
      <c r="G4009" t="str">
        <f>IFERROR(+VLOOKUP(Movimientos_2026[[#This Row],[Codigo]],Plan_cuentas[],4,FALSE)," ")</f>
        <v xml:space="preserve"> </v>
      </c>
      <c r="H4009" t="str">
        <f>IFERROR(+VLOOKUP(Movimientos_2026[[#This Row],[Codigo]],Plan_cuentas[],5,FALSE)," ")</f>
        <v xml:space="preserve"> </v>
      </c>
      <c r="I4009" s="43"/>
      <c r="K4009" t="str">
        <f>IFERROR(+VLOOKUP(Movimientos_2026[[#This Row],[Codigo]],Plan_cuentas[],6,FALSE)," ")</f>
        <v xml:space="preserve"> </v>
      </c>
      <c r="L4009" s="50"/>
      <c r="M4009" s="50"/>
      <c r="N4009" s="20">
        <f>+Movimientos_2026[[#This Row],[Ingresos]]-Movimientos_2026[[#This Row],[Egresos]]</f>
        <v>0</v>
      </c>
      <c r="O4009" s="20">
        <f>+O4008+Movimientos_2026[[#This Row],[Neto]]</f>
        <v>4581558617.7962294</v>
      </c>
    </row>
    <row r="4010" spans="1:15" x14ac:dyDescent="0.25">
      <c r="A4010" s="13"/>
      <c r="B4010" s="12">
        <f>MONTH(Movimientos_2026[[#This Row],[Fecha]])</f>
        <v>1</v>
      </c>
      <c r="C4010" s="12" t="str">
        <f>VLOOKUP((WEEKDAY(Movimientos_2026[[#This Row],[Fecha]],2)),'5. Setup'!$D$6:$E$12,2,FALSE)</f>
        <v>Sab</v>
      </c>
      <c r="E4010" t="str">
        <f>IFERROR(+VLOOKUP(Movimientos_2026[[#This Row],[Codigo]],Plan_cuentas[],2,FALSE)," ")</f>
        <v xml:space="preserve"> </v>
      </c>
      <c r="F4010" t="str">
        <f>IFERROR(+VLOOKUP(Movimientos_2026[[#This Row],[Codigo]],Plan_cuentas[],3,FALSE)," ")</f>
        <v xml:space="preserve"> </v>
      </c>
      <c r="G4010" t="str">
        <f>IFERROR(+VLOOKUP(Movimientos_2026[[#This Row],[Codigo]],Plan_cuentas[],4,FALSE)," ")</f>
        <v xml:space="preserve"> </v>
      </c>
      <c r="H4010" t="str">
        <f>IFERROR(+VLOOKUP(Movimientos_2026[[#This Row],[Codigo]],Plan_cuentas[],5,FALSE)," ")</f>
        <v xml:space="preserve"> </v>
      </c>
      <c r="I4010" s="43"/>
      <c r="K4010" t="str">
        <f>IFERROR(+VLOOKUP(Movimientos_2026[[#This Row],[Codigo]],Plan_cuentas[],6,FALSE)," ")</f>
        <v xml:space="preserve"> </v>
      </c>
      <c r="L4010" s="50"/>
      <c r="M4010" s="50"/>
      <c r="N4010" s="20">
        <f>+Movimientos_2026[[#This Row],[Ingresos]]-Movimientos_2026[[#This Row],[Egresos]]</f>
        <v>0</v>
      </c>
      <c r="O4010" s="20">
        <f>+O4009+Movimientos_2026[[#This Row],[Neto]]</f>
        <v>4581558617.7962294</v>
      </c>
    </row>
    <row r="4011" spans="1:15" x14ac:dyDescent="0.25">
      <c r="A4011" s="13"/>
      <c r="B4011" s="12">
        <f>MONTH(Movimientos_2026[[#This Row],[Fecha]])</f>
        <v>1</v>
      </c>
      <c r="C4011" s="12" t="str">
        <f>VLOOKUP((WEEKDAY(Movimientos_2026[[#This Row],[Fecha]],2)),'5. Setup'!$D$6:$E$12,2,FALSE)</f>
        <v>Sab</v>
      </c>
      <c r="E4011" t="str">
        <f>IFERROR(+VLOOKUP(Movimientos_2026[[#This Row],[Codigo]],Plan_cuentas[],2,FALSE)," ")</f>
        <v xml:space="preserve"> </v>
      </c>
      <c r="F4011" t="str">
        <f>IFERROR(+VLOOKUP(Movimientos_2026[[#This Row],[Codigo]],Plan_cuentas[],3,FALSE)," ")</f>
        <v xml:space="preserve"> </v>
      </c>
      <c r="G4011" t="str">
        <f>IFERROR(+VLOOKUP(Movimientos_2026[[#This Row],[Codigo]],Plan_cuentas[],4,FALSE)," ")</f>
        <v xml:space="preserve"> </v>
      </c>
      <c r="H4011" t="str">
        <f>IFERROR(+VLOOKUP(Movimientos_2026[[#This Row],[Codigo]],Plan_cuentas[],5,FALSE)," ")</f>
        <v xml:space="preserve"> </v>
      </c>
      <c r="I4011" s="43"/>
      <c r="K4011" t="str">
        <f>IFERROR(+VLOOKUP(Movimientos_2026[[#This Row],[Codigo]],Plan_cuentas[],6,FALSE)," ")</f>
        <v xml:space="preserve"> </v>
      </c>
      <c r="L4011" s="50"/>
      <c r="M4011" s="50"/>
      <c r="N4011" s="20">
        <f>+Movimientos_2026[[#This Row],[Ingresos]]-Movimientos_2026[[#This Row],[Egresos]]</f>
        <v>0</v>
      </c>
      <c r="O4011" s="20">
        <f>+O4010+Movimientos_2026[[#This Row],[Neto]]</f>
        <v>4581558617.7962294</v>
      </c>
    </row>
    <row r="4012" spans="1:15" x14ac:dyDescent="0.25">
      <c r="A4012" s="13"/>
      <c r="B4012" s="12">
        <f>MONTH(Movimientos_2026[[#This Row],[Fecha]])</f>
        <v>1</v>
      </c>
      <c r="C4012" s="12" t="str">
        <f>VLOOKUP((WEEKDAY(Movimientos_2026[[#This Row],[Fecha]],2)),'5. Setup'!$D$6:$E$12,2,FALSE)</f>
        <v>Sab</v>
      </c>
      <c r="E4012" t="str">
        <f>IFERROR(+VLOOKUP(Movimientos_2026[[#This Row],[Codigo]],Plan_cuentas[],2,FALSE)," ")</f>
        <v xml:space="preserve"> </v>
      </c>
      <c r="F4012" t="str">
        <f>IFERROR(+VLOOKUP(Movimientos_2026[[#This Row],[Codigo]],Plan_cuentas[],3,FALSE)," ")</f>
        <v xml:space="preserve"> </v>
      </c>
      <c r="G4012" t="str">
        <f>IFERROR(+VLOOKUP(Movimientos_2026[[#This Row],[Codigo]],Plan_cuentas[],4,FALSE)," ")</f>
        <v xml:space="preserve"> </v>
      </c>
      <c r="H4012" t="str">
        <f>IFERROR(+VLOOKUP(Movimientos_2026[[#This Row],[Codigo]],Plan_cuentas[],5,FALSE)," ")</f>
        <v xml:space="preserve"> </v>
      </c>
      <c r="I4012" s="43"/>
      <c r="K4012" t="str">
        <f>IFERROR(+VLOOKUP(Movimientos_2026[[#This Row],[Codigo]],Plan_cuentas[],6,FALSE)," ")</f>
        <v xml:space="preserve"> </v>
      </c>
      <c r="L4012" s="50"/>
      <c r="M4012" s="50"/>
      <c r="N4012" s="20">
        <f>+Movimientos_2026[[#This Row],[Ingresos]]-Movimientos_2026[[#This Row],[Egresos]]</f>
        <v>0</v>
      </c>
      <c r="O4012" s="20">
        <f>+O4011+Movimientos_2026[[#This Row],[Neto]]</f>
        <v>4581558617.7962294</v>
      </c>
    </row>
    <row r="4013" spans="1:15" x14ac:dyDescent="0.25">
      <c r="A4013" s="13"/>
      <c r="B4013" s="12">
        <f>MONTH(Movimientos_2026[[#This Row],[Fecha]])</f>
        <v>1</v>
      </c>
      <c r="C4013" s="12" t="str">
        <f>VLOOKUP((WEEKDAY(Movimientos_2026[[#This Row],[Fecha]],2)),'5. Setup'!$D$6:$E$12,2,FALSE)</f>
        <v>Sab</v>
      </c>
      <c r="E4013" t="str">
        <f>IFERROR(+VLOOKUP(Movimientos_2026[[#This Row],[Codigo]],Plan_cuentas[],2,FALSE)," ")</f>
        <v xml:space="preserve"> </v>
      </c>
      <c r="F4013" t="str">
        <f>IFERROR(+VLOOKUP(Movimientos_2026[[#This Row],[Codigo]],Plan_cuentas[],3,FALSE)," ")</f>
        <v xml:space="preserve"> </v>
      </c>
      <c r="G4013" t="str">
        <f>IFERROR(+VLOOKUP(Movimientos_2026[[#This Row],[Codigo]],Plan_cuentas[],4,FALSE)," ")</f>
        <v xml:space="preserve"> </v>
      </c>
      <c r="H4013" t="str">
        <f>IFERROR(+VLOOKUP(Movimientos_2026[[#This Row],[Codigo]],Plan_cuentas[],5,FALSE)," ")</f>
        <v xml:space="preserve"> </v>
      </c>
      <c r="I4013" s="43"/>
      <c r="K4013" t="str">
        <f>IFERROR(+VLOOKUP(Movimientos_2026[[#This Row],[Codigo]],Plan_cuentas[],6,FALSE)," ")</f>
        <v xml:space="preserve"> </v>
      </c>
      <c r="L4013" s="50"/>
      <c r="M4013" s="50"/>
      <c r="N4013" s="20">
        <f>+Movimientos_2026[[#This Row],[Ingresos]]-Movimientos_2026[[#This Row],[Egresos]]</f>
        <v>0</v>
      </c>
      <c r="O4013" s="20">
        <f>+O4012+Movimientos_2026[[#This Row],[Neto]]</f>
        <v>4581558617.7962294</v>
      </c>
    </row>
    <row r="4014" spans="1:15" x14ac:dyDescent="0.25">
      <c r="A4014" s="13"/>
      <c r="B4014" s="12">
        <f>MONTH(Movimientos_2026[[#This Row],[Fecha]])</f>
        <v>1</v>
      </c>
      <c r="C4014" s="12" t="str">
        <f>VLOOKUP((WEEKDAY(Movimientos_2026[[#This Row],[Fecha]],2)),'5. Setup'!$D$6:$E$12,2,FALSE)</f>
        <v>Sab</v>
      </c>
      <c r="E4014" t="str">
        <f>IFERROR(+VLOOKUP(Movimientos_2026[[#This Row],[Codigo]],Plan_cuentas[],2,FALSE)," ")</f>
        <v xml:space="preserve"> </v>
      </c>
      <c r="F4014" t="str">
        <f>IFERROR(+VLOOKUP(Movimientos_2026[[#This Row],[Codigo]],Plan_cuentas[],3,FALSE)," ")</f>
        <v xml:space="preserve"> </v>
      </c>
      <c r="G4014" t="str">
        <f>IFERROR(+VLOOKUP(Movimientos_2026[[#This Row],[Codigo]],Plan_cuentas[],4,FALSE)," ")</f>
        <v xml:space="preserve"> </v>
      </c>
      <c r="H4014" t="str">
        <f>IFERROR(+VLOOKUP(Movimientos_2026[[#This Row],[Codigo]],Plan_cuentas[],5,FALSE)," ")</f>
        <v xml:space="preserve"> </v>
      </c>
      <c r="I4014" s="43"/>
      <c r="K4014" t="str">
        <f>IFERROR(+VLOOKUP(Movimientos_2026[[#This Row],[Codigo]],Plan_cuentas[],6,FALSE)," ")</f>
        <v xml:space="preserve"> </v>
      </c>
      <c r="L4014" s="50"/>
      <c r="M4014" s="50"/>
      <c r="N4014" s="20">
        <f>+Movimientos_2026[[#This Row],[Ingresos]]-Movimientos_2026[[#This Row],[Egresos]]</f>
        <v>0</v>
      </c>
      <c r="O4014" s="20">
        <f>+O4013+Movimientos_2026[[#This Row],[Neto]]</f>
        <v>4581558617.7962294</v>
      </c>
    </row>
    <row r="4015" spans="1:15" x14ac:dyDescent="0.25">
      <c r="A4015" s="13"/>
      <c r="B4015" s="12">
        <f>MONTH(Movimientos_2026[[#This Row],[Fecha]])</f>
        <v>1</v>
      </c>
      <c r="C4015" s="12" t="str">
        <f>VLOOKUP((WEEKDAY(Movimientos_2026[[#This Row],[Fecha]],2)),'5. Setup'!$D$6:$E$12,2,FALSE)</f>
        <v>Sab</v>
      </c>
      <c r="E4015" t="str">
        <f>IFERROR(+VLOOKUP(Movimientos_2026[[#This Row],[Codigo]],Plan_cuentas[],2,FALSE)," ")</f>
        <v xml:space="preserve"> </v>
      </c>
      <c r="F4015" t="str">
        <f>IFERROR(+VLOOKUP(Movimientos_2026[[#This Row],[Codigo]],Plan_cuentas[],3,FALSE)," ")</f>
        <v xml:space="preserve"> </v>
      </c>
      <c r="G4015" t="str">
        <f>IFERROR(+VLOOKUP(Movimientos_2026[[#This Row],[Codigo]],Plan_cuentas[],4,FALSE)," ")</f>
        <v xml:space="preserve"> </v>
      </c>
      <c r="H4015" t="str">
        <f>IFERROR(+VLOOKUP(Movimientos_2026[[#This Row],[Codigo]],Plan_cuentas[],5,FALSE)," ")</f>
        <v xml:space="preserve"> </v>
      </c>
      <c r="I4015" s="43"/>
      <c r="K4015" t="str">
        <f>IFERROR(+VLOOKUP(Movimientos_2026[[#This Row],[Codigo]],Plan_cuentas[],6,FALSE)," ")</f>
        <v xml:space="preserve"> </v>
      </c>
      <c r="L4015" s="50"/>
      <c r="M4015" s="50"/>
      <c r="N4015" s="20">
        <f>+Movimientos_2026[[#This Row],[Ingresos]]-Movimientos_2026[[#This Row],[Egresos]]</f>
        <v>0</v>
      </c>
      <c r="O4015" s="20">
        <f>+O4014+Movimientos_2026[[#This Row],[Neto]]</f>
        <v>4581558617.7962294</v>
      </c>
    </row>
    <row r="4016" spans="1:15" x14ac:dyDescent="0.25">
      <c r="A4016" s="13"/>
      <c r="B4016" s="12">
        <f>MONTH(Movimientos_2026[[#This Row],[Fecha]])</f>
        <v>1</v>
      </c>
      <c r="C4016" s="12" t="str">
        <f>VLOOKUP((WEEKDAY(Movimientos_2026[[#This Row],[Fecha]],2)),'5. Setup'!$D$6:$E$12,2,FALSE)</f>
        <v>Sab</v>
      </c>
      <c r="E4016" t="str">
        <f>IFERROR(+VLOOKUP(Movimientos_2026[[#This Row],[Codigo]],Plan_cuentas[],2,FALSE)," ")</f>
        <v xml:space="preserve"> </v>
      </c>
      <c r="F4016" t="str">
        <f>IFERROR(+VLOOKUP(Movimientos_2026[[#This Row],[Codigo]],Plan_cuentas[],3,FALSE)," ")</f>
        <v xml:space="preserve"> </v>
      </c>
      <c r="G4016" t="str">
        <f>IFERROR(+VLOOKUP(Movimientos_2026[[#This Row],[Codigo]],Plan_cuentas[],4,FALSE)," ")</f>
        <v xml:space="preserve"> </v>
      </c>
      <c r="H4016" t="str">
        <f>IFERROR(+VLOOKUP(Movimientos_2026[[#This Row],[Codigo]],Plan_cuentas[],5,FALSE)," ")</f>
        <v xml:space="preserve"> </v>
      </c>
      <c r="I4016" s="43"/>
      <c r="K4016" t="str">
        <f>IFERROR(+VLOOKUP(Movimientos_2026[[#This Row],[Codigo]],Plan_cuentas[],6,FALSE)," ")</f>
        <v xml:space="preserve"> </v>
      </c>
      <c r="L4016" s="50"/>
      <c r="M4016" s="50"/>
      <c r="N4016" s="20">
        <f>+Movimientos_2026[[#This Row],[Ingresos]]-Movimientos_2026[[#This Row],[Egresos]]</f>
        <v>0</v>
      </c>
      <c r="O4016" s="20">
        <f>+O4015+Movimientos_2026[[#This Row],[Neto]]</f>
        <v>4581558617.7962294</v>
      </c>
    </row>
    <row r="4017" spans="1:15" x14ac:dyDescent="0.25">
      <c r="A4017" s="13"/>
      <c r="B4017" s="12">
        <f>MONTH(Movimientos_2026[[#This Row],[Fecha]])</f>
        <v>1</v>
      </c>
      <c r="C4017" s="12" t="str">
        <f>VLOOKUP((WEEKDAY(Movimientos_2026[[#This Row],[Fecha]],2)),'5. Setup'!$D$6:$E$12,2,FALSE)</f>
        <v>Sab</v>
      </c>
      <c r="E4017" t="str">
        <f>IFERROR(+VLOOKUP(Movimientos_2026[[#This Row],[Codigo]],Plan_cuentas[],2,FALSE)," ")</f>
        <v xml:space="preserve"> </v>
      </c>
      <c r="F4017" t="str">
        <f>IFERROR(+VLOOKUP(Movimientos_2026[[#This Row],[Codigo]],Plan_cuentas[],3,FALSE)," ")</f>
        <v xml:space="preserve"> </v>
      </c>
      <c r="G4017" t="str">
        <f>IFERROR(+VLOOKUP(Movimientos_2026[[#This Row],[Codigo]],Plan_cuentas[],4,FALSE)," ")</f>
        <v xml:space="preserve"> </v>
      </c>
      <c r="H4017" t="str">
        <f>IFERROR(+VLOOKUP(Movimientos_2026[[#This Row],[Codigo]],Plan_cuentas[],5,FALSE)," ")</f>
        <v xml:space="preserve"> </v>
      </c>
      <c r="I4017" s="43"/>
      <c r="K4017" t="str">
        <f>IFERROR(+VLOOKUP(Movimientos_2026[[#This Row],[Codigo]],Plan_cuentas[],6,FALSE)," ")</f>
        <v xml:space="preserve"> </v>
      </c>
      <c r="L4017" s="50"/>
      <c r="M4017" s="50"/>
      <c r="N4017" s="20">
        <f>+Movimientos_2026[[#This Row],[Ingresos]]-Movimientos_2026[[#This Row],[Egresos]]</f>
        <v>0</v>
      </c>
      <c r="O4017" s="20">
        <f>+O4016+Movimientos_2026[[#This Row],[Neto]]</f>
        <v>4581558617.7962294</v>
      </c>
    </row>
    <row r="4018" spans="1:15" x14ac:dyDescent="0.25">
      <c r="A4018" s="13"/>
      <c r="B4018" s="12">
        <f>MONTH(Movimientos_2026[[#This Row],[Fecha]])</f>
        <v>1</v>
      </c>
      <c r="C4018" s="12" t="str">
        <f>VLOOKUP((WEEKDAY(Movimientos_2026[[#This Row],[Fecha]],2)),'5. Setup'!$D$6:$E$12,2,FALSE)</f>
        <v>Sab</v>
      </c>
      <c r="E4018" t="str">
        <f>IFERROR(+VLOOKUP(Movimientos_2026[[#This Row],[Codigo]],Plan_cuentas[],2,FALSE)," ")</f>
        <v xml:space="preserve"> </v>
      </c>
      <c r="F4018" t="str">
        <f>IFERROR(+VLOOKUP(Movimientos_2026[[#This Row],[Codigo]],Plan_cuentas[],3,FALSE)," ")</f>
        <v xml:space="preserve"> </v>
      </c>
      <c r="G4018" t="str">
        <f>IFERROR(+VLOOKUP(Movimientos_2026[[#This Row],[Codigo]],Plan_cuentas[],4,FALSE)," ")</f>
        <v xml:space="preserve"> </v>
      </c>
      <c r="H4018" t="str">
        <f>IFERROR(+VLOOKUP(Movimientos_2026[[#This Row],[Codigo]],Plan_cuentas[],5,FALSE)," ")</f>
        <v xml:space="preserve"> </v>
      </c>
      <c r="I4018" s="43"/>
      <c r="K4018" t="str">
        <f>IFERROR(+VLOOKUP(Movimientos_2026[[#This Row],[Codigo]],Plan_cuentas[],6,FALSE)," ")</f>
        <v xml:space="preserve"> </v>
      </c>
      <c r="L4018" s="50"/>
      <c r="M4018" s="50"/>
      <c r="N4018" s="20">
        <f>+Movimientos_2026[[#This Row],[Ingresos]]-Movimientos_2026[[#This Row],[Egresos]]</f>
        <v>0</v>
      </c>
      <c r="O4018" s="20">
        <f>+O4017+Movimientos_2026[[#This Row],[Neto]]</f>
        <v>4581558617.7962294</v>
      </c>
    </row>
    <row r="4019" spans="1:15" x14ac:dyDescent="0.25">
      <c r="A4019" s="13"/>
      <c r="B4019" s="12">
        <f>MONTH(Movimientos_2026[[#This Row],[Fecha]])</f>
        <v>1</v>
      </c>
      <c r="C4019" s="12" t="str">
        <f>VLOOKUP((WEEKDAY(Movimientos_2026[[#This Row],[Fecha]],2)),'5. Setup'!$D$6:$E$12,2,FALSE)</f>
        <v>Sab</v>
      </c>
      <c r="E4019" t="str">
        <f>IFERROR(+VLOOKUP(Movimientos_2026[[#This Row],[Codigo]],Plan_cuentas[],2,FALSE)," ")</f>
        <v xml:space="preserve"> </v>
      </c>
      <c r="F4019" t="str">
        <f>IFERROR(+VLOOKUP(Movimientos_2026[[#This Row],[Codigo]],Plan_cuentas[],3,FALSE)," ")</f>
        <v xml:space="preserve"> </v>
      </c>
      <c r="G4019" t="str">
        <f>IFERROR(+VLOOKUP(Movimientos_2026[[#This Row],[Codigo]],Plan_cuentas[],4,FALSE)," ")</f>
        <v xml:space="preserve"> </v>
      </c>
      <c r="H4019" t="str">
        <f>IFERROR(+VLOOKUP(Movimientos_2026[[#This Row],[Codigo]],Plan_cuentas[],5,FALSE)," ")</f>
        <v xml:space="preserve"> </v>
      </c>
      <c r="I4019" s="43"/>
      <c r="K4019" t="str">
        <f>IFERROR(+VLOOKUP(Movimientos_2026[[#This Row],[Codigo]],Plan_cuentas[],6,FALSE)," ")</f>
        <v xml:space="preserve"> </v>
      </c>
      <c r="L4019" s="50"/>
      <c r="M4019" s="50"/>
      <c r="N4019" s="20">
        <f>+Movimientos_2026[[#This Row],[Ingresos]]-Movimientos_2026[[#This Row],[Egresos]]</f>
        <v>0</v>
      </c>
      <c r="O4019" s="20">
        <f>+O4018+Movimientos_2026[[#This Row],[Neto]]</f>
        <v>4581558617.7962294</v>
      </c>
    </row>
    <row r="4020" spans="1:15" x14ac:dyDescent="0.25">
      <c r="A4020" s="13"/>
      <c r="B4020" s="12">
        <f>MONTH(Movimientos_2026[[#This Row],[Fecha]])</f>
        <v>1</v>
      </c>
      <c r="C4020" s="12" t="str">
        <f>VLOOKUP((WEEKDAY(Movimientos_2026[[#This Row],[Fecha]],2)),'5. Setup'!$D$6:$E$12,2,FALSE)</f>
        <v>Sab</v>
      </c>
      <c r="E4020" t="str">
        <f>IFERROR(+VLOOKUP(Movimientos_2026[[#This Row],[Codigo]],Plan_cuentas[],2,FALSE)," ")</f>
        <v xml:space="preserve"> </v>
      </c>
      <c r="F4020" t="str">
        <f>IFERROR(+VLOOKUP(Movimientos_2026[[#This Row],[Codigo]],Plan_cuentas[],3,FALSE)," ")</f>
        <v xml:space="preserve"> </v>
      </c>
      <c r="G4020" t="str">
        <f>IFERROR(+VLOOKUP(Movimientos_2026[[#This Row],[Codigo]],Plan_cuentas[],4,FALSE)," ")</f>
        <v xml:space="preserve"> </v>
      </c>
      <c r="H4020" t="str">
        <f>IFERROR(+VLOOKUP(Movimientos_2026[[#This Row],[Codigo]],Plan_cuentas[],5,FALSE)," ")</f>
        <v xml:space="preserve"> </v>
      </c>
      <c r="I4020" s="43"/>
      <c r="K4020" t="str">
        <f>IFERROR(+VLOOKUP(Movimientos_2026[[#This Row],[Codigo]],Plan_cuentas[],6,FALSE)," ")</f>
        <v xml:space="preserve"> </v>
      </c>
      <c r="L4020" s="50"/>
      <c r="M4020" s="50"/>
      <c r="N4020" s="20">
        <f>+Movimientos_2026[[#This Row],[Ingresos]]-Movimientos_2026[[#This Row],[Egresos]]</f>
        <v>0</v>
      </c>
      <c r="O4020" s="20">
        <f>+O4019+Movimientos_2026[[#This Row],[Neto]]</f>
        <v>4581558617.7962294</v>
      </c>
    </row>
    <row r="4021" spans="1:15" x14ac:dyDescent="0.25">
      <c r="A4021" s="13"/>
      <c r="B4021" s="12">
        <f>MONTH(Movimientos_2026[[#This Row],[Fecha]])</f>
        <v>1</v>
      </c>
      <c r="C4021" s="12" t="str">
        <f>VLOOKUP((WEEKDAY(Movimientos_2026[[#This Row],[Fecha]],2)),'5. Setup'!$D$6:$E$12,2,FALSE)</f>
        <v>Sab</v>
      </c>
      <c r="E4021" t="str">
        <f>IFERROR(+VLOOKUP(Movimientos_2026[[#This Row],[Codigo]],Plan_cuentas[],2,FALSE)," ")</f>
        <v xml:space="preserve"> </v>
      </c>
      <c r="F4021" t="str">
        <f>IFERROR(+VLOOKUP(Movimientos_2026[[#This Row],[Codigo]],Plan_cuentas[],3,FALSE)," ")</f>
        <v xml:space="preserve"> </v>
      </c>
      <c r="G4021" t="str">
        <f>IFERROR(+VLOOKUP(Movimientos_2026[[#This Row],[Codigo]],Plan_cuentas[],4,FALSE)," ")</f>
        <v xml:space="preserve"> </v>
      </c>
      <c r="H4021" t="str">
        <f>IFERROR(+VLOOKUP(Movimientos_2026[[#This Row],[Codigo]],Plan_cuentas[],5,FALSE)," ")</f>
        <v xml:space="preserve"> </v>
      </c>
      <c r="I4021" s="43"/>
      <c r="K4021" t="str">
        <f>IFERROR(+VLOOKUP(Movimientos_2026[[#This Row],[Codigo]],Plan_cuentas[],6,FALSE)," ")</f>
        <v xml:space="preserve"> </v>
      </c>
      <c r="L4021" s="50"/>
      <c r="M4021" s="50"/>
      <c r="N4021" s="20">
        <f>+Movimientos_2026[[#This Row],[Ingresos]]-Movimientos_2026[[#This Row],[Egresos]]</f>
        <v>0</v>
      </c>
      <c r="O4021" s="20">
        <f>+O4020+Movimientos_2026[[#This Row],[Neto]]</f>
        <v>4581558617.7962294</v>
      </c>
    </row>
    <row r="4022" spans="1:15" x14ac:dyDescent="0.25">
      <c r="A4022" s="13"/>
      <c r="B4022" s="12">
        <f>MONTH(Movimientos_2026[[#This Row],[Fecha]])</f>
        <v>1</v>
      </c>
      <c r="C4022" s="12" t="str">
        <f>VLOOKUP((WEEKDAY(Movimientos_2026[[#This Row],[Fecha]],2)),'5. Setup'!$D$6:$E$12,2,FALSE)</f>
        <v>Sab</v>
      </c>
      <c r="E4022" t="str">
        <f>IFERROR(+VLOOKUP(Movimientos_2026[[#This Row],[Codigo]],Plan_cuentas[],2,FALSE)," ")</f>
        <v xml:space="preserve"> </v>
      </c>
      <c r="F4022" t="str">
        <f>IFERROR(+VLOOKUP(Movimientos_2026[[#This Row],[Codigo]],Plan_cuentas[],3,FALSE)," ")</f>
        <v xml:space="preserve"> </v>
      </c>
      <c r="G4022" t="str">
        <f>IFERROR(+VLOOKUP(Movimientos_2026[[#This Row],[Codigo]],Plan_cuentas[],4,FALSE)," ")</f>
        <v xml:space="preserve"> </v>
      </c>
      <c r="H4022" t="str">
        <f>IFERROR(+VLOOKUP(Movimientos_2026[[#This Row],[Codigo]],Plan_cuentas[],5,FALSE)," ")</f>
        <v xml:space="preserve"> </v>
      </c>
      <c r="I4022" s="43"/>
      <c r="K4022" t="str">
        <f>IFERROR(+VLOOKUP(Movimientos_2026[[#This Row],[Codigo]],Plan_cuentas[],6,FALSE)," ")</f>
        <v xml:space="preserve"> </v>
      </c>
      <c r="L4022" s="50"/>
      <c r="M4022" s="50"/>
      <c r="N4022" s="20">
        <f>+Movimientos_2026[[#This Row],[Ingresos]]-Movimientos_2026[[#This Row],[Egresos]]</f>
        <v>0</v>
      </c>
      <c r="O4022" s="20">
        <f>+O4021+Movimientos_2026[[#This Row],[Neto]]</f>
        <v>4581558617.7962294</v>
      </c>
    </row>
    <row r="4023" spans="1:15" x14ac:dyDescent="0.25">
      <c r="A4023" s="13"/>
      <c r="B4023" s="12">
        <f>MONTH(Movimientos_2026[[#This Row],[Fecha]])</f>
        <v>1</v>
      </c>
      <c r="C4023" s="12" t="str">
        <f>VLOOKUP((WEEKDAY(Movimientos_2026[[#This Row],[Fecha]],2)),'5. Setup'!$D$6:$E$12,2,FALSE)</f>
        <v>Sab</v>
      </c>
      <c r="E4023" t="str">
        <f>IFERROR(+VLOOKUP(Movimientos_2026[[#This Row],[Codigo]],Plan_cuentas[],2,FALSE)," ")</f>
        <v xml:space="preserve"> </v>
      </c>
      <c r="F4023" t="str">
        <f>IFERROR(+VLOOKUP(Movimientos_2026[[#This Row],[Codigo]],Plan_cuentas[],3,FALSE)," ")</f>
        <v xml:space="preserve"> </v>
      </c>
      <c r="G4023" t="str">
        <f>IFERROR(+VLOOKUP(Movimientos_2026[[#This Row],[Codigo]],Plan_cuentas[],4,FALSE)," ")</f>
        <v xml:space="preserve"> </v>
      </c>
      <c r="H4023" t="str">
        <f>IFERROR(+VLOOKUP(Movimientos_2026[[#This Row],[Codigo]],Plan_cuentas[],5,FALSE)," ")</f>
        <v xml:space="preserve"> </v>
      </c>
      <c r="I4023" s="43"/>
      <c r="K4023" t="str">
        <f>IFERROR(+VLOOKUP(Movimientos_2026[[#This Row],[Codigo]],Plan_cuentas[],6,FALSE)," ")</f>
        <v xml:space="preserve"> </v>
      </c>
      <c r="L4023" s="50"/>
      <c r="M4023" s="50"/>
      <c r="N4023" s="20">
        <f>+Movimientos_2026[[#This Row],[Ingresos]]-Movimientos_2026[[#This Row],[Egresos]]</f>
        <v>0</v>
      </c>
      <c r="O4023" s="20">
        <f>+O4022+Movimientos_2026[[#This Row],[Neto]]</f>
        <v>4581558617.7962294</v>
      </c>
    </row>
    <row r="4024" spans="1:15" x14ac:dyDescent="0.25">
      <c r="A4024" s="13"/>
      <c r="B4024" s="12">
        <f>MONTH(Movimientos_2026[[#This Row],[Fecha]])</f>
        <v>1</v>
      </c>
      <c r="C4024" s="12" t="str">
        <f>VLOOKUP((WEEKDAY(Movimientos_2026[[#This Row],[Fecha]],2)),'5. Setup'!$D$6:$E$12,2,FALSE)</f>
        <v>Sab</v>
      </c>
      <c r="E4024" t="str">
        <f>IFERROR(+VLOOKUP(Movimientos_2026[[#This Row],[Codigo]],Plan_cuentas[],2,FALSE)," ")</f>
        <v xml:space="preserve"> </v>
      </c>
      <c r="F4024" t="str">
        <f>IFERROR(+VLOOKUP(Movimientos_2026[[#This Row],[Codigo]],Plan_cuentas[],3,FALSE)," ")</f>
        <v xml:space="preserve"> </v>
      </c>
      <c r="G4024" t="str">
        <f>IFERROR(+VLOOKUP(Movimientos_2026[[#This Row],[Codigo]],Plan_cuentas[],4,FALSE)," ")</f>
        <v xml:space="preserve"> </v>
      </c>
      <c r="H4024" t="str">
        <f>IFERROR(+VLOOKUP(Movimientos_2026[[#This Row],[Codigo]],Plan_cuentas[],5,FALSE)," ")</f>
        <v xml:space="preserve"> </v>
      </c>
      <c r="I4024" s="43"/>
      <c r="K4024" t="str">
        <f>IFERROR(+VLOOKUP(Movimientos_2026[[#This Row],[Codigo]],Plan_cuentas[],6,FALSE)," ")</f>
        <v xml:space="preserve"> </v>
      </c>
      <c r="L4024" s="50"/>
      <c r="M4024" s="50"/>
      <c r="N4024" s="20">
        <f>+Movimientos_2026[[#This Row],[Ingresos]]-Movimientos_2026[[#This Row],[Egresos]]</f>
        <v>0</v>
      </c>
      <c r="O4024" s="20">
        <f>+O4023+Movimientos_2026[[#This Row],[Neto]]</f>
        <v>4581558617.7962294</v>
      </c>
    </row>
    <row r="4025" spans="1:15" x14ac:dyDescent="0.25">
      <c r="A4025" s="13"/>
      <c r="B4025" s="12">
        <f>MONTH(Movimientos_2026[[#This Row],[Fecha]])</f>
        <v>1</v>
      </c>
      <c r="C4025" s="12" t="str">
        <f>VLOOKUP((WEEKDAY(Movimientos_2026[[#This Row],[Fecha]],2)),'5. Setup'!$D$6:$E$12,2,FALSE)</f>
        <v>Sab</v>
      </c>
      <c r="E4025" t="str">
        <f>IFERROR(+VLOOKUP(Movimientos_2026[[#This Row],[Codigo]],Plan_cuentas[],2,FALSE)," ")</f>
        <v xml:space="preserve"> </v>
      </c>
      <c r="F4025" t="str">
        <f>IFERROR(+VLOOKUP(Movimientos_2026[[#This Row],[Codigo]],Plan_cuentas[],3,FALSE)," ")</f>
        <v xml:space="preserve"> </v>
      </c>
      <c r="G4025" t="str">
        <f>IFERROR(+VLOOKUP(Movimientos_2026[[#This Row],[Codigo]],Plan_cuentas[],4,FALSE)," ")</f>
        <v xml:space="preserve"> </v>
      </c>
      <c r="H4025" t="str">
        <f>IFERROR(+VLOOKUP(Movimientos_2026[[#This Row],[Codigo]],Plan_cuentas[],5,FALSE)," ")</f>
        <v xml:space="preserve"> </v>
      </c>
      <c r="I4025" s="43"/>
      <c r="K4025" t="str">
        <f>IFERROR(+VLOOKUP(Movimientos_2026[[#This Row],[Codigo]],Plan_cuentas[],6,FALSE)," ")</f>
        <v xml:space="preserve"> </v>
      </c>
      <c r="L4025" s="50"/>
      <c r="M4025" s="50"/>
      <c r="N4025" s="20">
        <f>+Movimientos_2026[[#This Row],[Ingresos]]-Movimientos_2026[[#This Row],[Egresos]]</f>
        <v>0</v>
      </c>
      <c r="O4025" s="20">
        <f>+O4024+Movimientos_2026[[#This Row],[Neto]]</f>
        <v>4581558617.7962294</v>
      </c>
    </row>
    <row r="4026" spans="1:15" x14ac:dyDescent="0.25">
      <c r="A4026" s="13"/>
      <c r="B4026" s="12">
        <f>MONTH(Movimientos_2026[[#This Row],[Fecha]])</f>
        <v>1</v>
      </c>
      <c r="C4026" s="12" t="str">
        <f>VLOOKUP((WEEKDAY(Movimientos_2026[[#This Row],[Fecha]],2)),'5. Setup'!$D$6:$E$12,2,FALSE)</f>
        <v>Sab</v>
      </c>
      <c r="E4026" t="str">
        <f>IFERROR(+VLOOKUP(Movimientos_2026[[#This Row],[Codigo]],Plan_cuentas[],2,FALSE)," ")</f>
        <v xml:space="preserve"> </v>
      </c>
      <c r="F4026" t="str">
        <f>IFERROR(+VLOOKUP(Movimientos_2026[[#This Row],[Codigo]],Plan_cuentas[],3,FALSE)," ")</f>
        <v xml:space="preserve"> </v>
      </c>
      <c r="G4026" t="str">
        <f>IFERROR(+VLOOKUP(Movimientos_2026[[#This Row],[Codigo]],Plan_cuentas[],4,FALSE)," ")</f>
        <v xml:space="preserve"> </v>
      </c>
      <c r="H4026" t="str">
        <f>IFERROR(+VLOOKUP(Movimientos_2026[[#This Row],[Codigo]],Plan_cuentas[],5,FALSE)," ")</f>
        <v xml:space="preserve"> </v>
      </c>
      <c r="I4026" s="43"/>
      <c r="K4026" t="str">
        <f>IFERROR(+VLOOKUP(Movimientos_2026[[#This Row],[Codigo]],Plan_cuentas[],6,FALSE)," ")</f>
        <v xml:space="preserve"> </v>
      </c>
      <c r="L4026" s="50"/>
      <c r="M4026" s="50"/>
      <c r="N4026" s="20">
        <f>+Movimientos_2026[[#This Row],[Ingresos]]-Movimientos_2026[[#This Row],[Egresos]]</f>
        <v>0</v>
      </c>
      <c r="O4026" s="20">
        <f>+O4025+Movimientos_2026[[#This Row],[Neto]]</f>
        <v>4581558617.7962294</v>
      </c>
    </row>
    <row r="4027" spans="1:15" x14ac:dyDescent="0.25">
      <c r="A4027" s="13"/>
      <c r="B4027" s="12">
        <f>MONTH(Movimientos_2026[[#This Row],[Fecha]])</f>
        <v>1</v>
      </c>
      <c r="C4027" s="12" t="str">
        <f>VLOOKUP((WEEKDAY(Movimientos_2026[[#This Row],[Fecha]],2)),'5. Setup'!$D$6:$E$12,2,FALSE)</f>
        <v>Sab</v>
      </c>
      <c r="E4027" t="str">
        <f>IFERROR(+VLOOKUP(Movimientos_2026[[#This Row],[Codigo]],Plan_cuentas[],2,FALSE)," ")</f>
        <v xml:space="preserve"> </v>
      </c>
      <c r="F4027" t="str">
        <f>IFERROR(+VLOOKUP(Movimientos_2026[[#This Row],[Codigo]],Plan_cuentas[],3,FALSE)," ")</f>
        <v xml:space="preserve"> </v>
      </c>
      <c r="G4027" t="str">
        <f>IFERROR(+VLOOKUP(Movimientos_2026[[#This Row],[Codigo]],Plan_cuentas[],4,FALSE)," ")</f>
        <v xml:space="preserve"> </v>
      </c>
      <c r="H4027" t="str">
        <f>IFERROR(+VLOOKUP(Movimientos_2026[[#This Row],[Codigo]],Plan_cuentas[],5,FALSE)," ")</f>
        <v xml:space="preserve"> </v>
      </c>
      <c r="I4027" s="43"/>
      <c r="K4027" t="str">
        <f>IFERROR(+VLOOKUP(Movimientos_2026[[#This Row],[Codigo]],Plan_cuentas[],6,FALSE)," ")</f>
        <v xml:space="preserve"> </v>
      </c>
      <c r="L4027" s="50"/>
      <c r="M4027" s="50"/>
      <c r="N4027" s="20">
        <f>+Movimientos_2026[[#This Row],[Ingresos]]-Movimientos_2026[[#This Row],[Egresos]]</f>
        <v>0</v>
      </c>
      <c r="O4027" s="20">
        <f>+O4026+Movimientos_2026[[#This Row],[Neto]]</f>
        <v>4581558617.7962294</v>
      </c>
    </row>
    <row r="4028" spans="1:15" x14ac:dyDescent="0.25">
      <c r="A4028" s="13"/>
      <c r="B4028" s="12">
        <f>MONTH(Movimientos_2026[[#This Row],[Fecha]])</f>
        <v>1</v>
      </c>
      <c r="C4028" s="12" t="str">
        <f>VLOOKUP((WEEKDAY(Movimientos_2026[[#This Row],[Fecha]],2)),'5. Setup'!$D$6:$E$12,2,FALSE)</f>
        <v>Sab</v>
      </c>
      <c r="E4028" t="str">
        <f>IFERROR(+VLOOKUP(Movimientos_2026[[#This Row],[Codigo]],Plan_cuentas[],2,FALSE)," ")</f>
        <v xml:space="preserve"> </v>
      </c>
      <c r="F4028" t="str">
        <f>IFERROR(+VLOOKUP(Movimientos_2026[[#This Row],[Codigo]],Plan_cuentas[],3,FALSE)," ")</f>
        <v xml:space="preserve"> </v>
      </c>
      <c r="G4028" t="str">
        <f>IFERROR(+VLOOKUP(Movimientos_2026[[#This Row],[Codigo]],Plan_cuentas[],4,FALSE)," ")</f>
        <v xml:space="preserve"> </v>
      </c>
      <c r="H4028" t="str">
        <f>IFERROR(+VLOOKUP(Movimientos_2026[[#This Row],[Codigo]],Plan_cuentas[],5,FALSE)," ")</f>
        <v xml:space="preserve"> </v>
      </c>
      <c r="I4028" s="43"/>
      <c r="K4028" t="str">
        <f>IFERROR(+VLOOKUP(Movimientos_2026[[#This Row],[Codigo]],Plan_cuentas[],6,FALSE)," ")</f>
        <v xml:space="preserve"> </v>
      </c>
      <c r="L4028" s="50"/>
      <c r="M4028" s="50"/>
      <c r="N4028" s="20">
        <f>+Movimientos_2026[[#This Row],[Ingresos]]-Movimientos_2026[[#This Row],[Egresos]]</f>
        <v>0</v>
      </c>
      <c r="O4028" s="20">
        <f>+O4027+Movimientos_2026[[#This Row],[Neto]]</f>
        <v>4581558617.7962294</v>
      </c>
    </row>
    <row r="4029" spans="1:15" x14ac:dyDescent="0.25">
      <c r="A4029" s="13"/>
      <c r="B4029" s="12">
        <f>MONTH(Movimientos_2026[[#This Row],[Fecha]])</f>
        <v>1</v>
      </c>
      <c r="C4029" s="12" t="str">
        <f>VLOOKUP((WEEKDAY(Movimientos_2026[[#This Row],[Fecha]],2)),'5. Setup'!$D$6:$E$12,2,FALSE)</f>
        <v>Sab</v>
      </c>
      <c r="E4029" t="str">
        <f>IFERROR(+VLOOKUP(Movimientos_2026[[#This Row],[Codigo]],Plan_cuentas[],2,FALSE)," ")</f>
        <v xml:space="preserve"> </v>
      </c>
      <c r="F4029" t="str">
        <f>IFERROR(+VLOOKUP(Movimientos_2026[[#This Row],[Codigo]],Plan_cuentas[],3,FALSE)," ")</f>
        <v xml:space="preserve"> </v>
      </c>
      <c r="G4029" t="str">
        <f>IFERROR(+VLOOKUP(Movimientos_2026[[#This Row],[Codigo]],Plan_cuentas[],4,FALSE)," ")</f>
        <v xml:space="preserve"> </v>
      </c>
      <c r="H4029" t="str">
        <f>IFERROR(+VLOOKUP(Movimientos_2026[[#This Row],[Codigo]],Plan_cuentas[],5,FALSE)," ")</f>
        <v xml:space="preserve"> </v>
      </c>
      <c r="I4029" s="43"/>
      <c r="K4029" t="str">
        <f>IFERROR(+VLOOKUP(Movimientos_2026[[#This Row],[Codigo]],Plan_cuentas[],6,FALSE)," ")</f>
        <v xml:space="preserve"> </v>
      </c>
      <c r="L4029" s="50"/>
      <c r="M4029" s="50"/>
      <c r="N4029" s="20">
        <f>+Movimientos_2026[[#This Row],[Ingresos]]-Movimientos_2026[[#This Row],[Egresos]]</f>
        <v>0</v>
      </c>
      <c r="O4029" s="20">
        <f>+O4028+Movimientos_2026[[#This Row],[Neto]]</f>
        <v>4581558617.7962294</v>
      </c>
    </row>
    <row r="4030" spans="1:15" x14ac:dyDescent="0.25">
      <c r="A4030" s="13"/>
      <c r="B4030" s="12">
        <f>MONTH(Movimientos_2026[[#This Row],[Fecha]])</f>
        <v>1</v>
      </c>
      <c r="C4030" s="12" t="str">
        <f>VLOOKUP((WEEKDAY(Movimientos_2026[[#This Row],[Fecha]],2)),'5. Setup'!$D$6:$E$12,2,FALSE)</f>
        <v>Sab</v>
      </c>
      <c r="E4030" t="str">
        <f>IFERROR(+VLOOKUP(Movimientos_2026[[#This Row],[Codigo]],Plan_cuentas[],2,FALSE)," ")</f>
        <v xml:space="preserve"> </v>
      </c>
      <c r="F4030" t="str">
        <f>IFERROR(+VLOOKUP(Movimientos_2026[[#This Row],[Codigo]],Plan_cuentas[],3,FALSE)," ")</f>
        <v xml:space="preserve"> </v>
      </c>
      <c r="G4030" t="str">
        <f>IFERROR(+VLOOKUP(Movimientos_2026[[#This Row],[Codigo]],Plan_cuentas[],4,FALSE)," ")</f>
        <v xml:space="preserve"> </v>
      </c>
      <c r="H4030" t="str">
        <f>IFERROR(+VLOOKUP(Movimientos_2026[[#This Row],[Codigo]],Plan_cuentas[],5,FALSE)," ")</f>
        <v xml:space="preserve"> </v>
      </c>
      <c r="I4030" s="43"/>
      <c r="K4030" t="str">
        <f>IFERROR(+VLOOKUP(Movimientos_2026[[#This Row],[Codigo]],Plan_cuentas[],6,FALSE)," ")</f>
        <v xml:space="preserve"> </v>
      </c>
      <c r="L4030" s="50"/>
      <c r="M4030" s="50"/>
      <c r="N4030" s="20">
        <f>+Movimientos_2026[[#This Row],[Ingresos]]-Movimientos_2026[[#This Row],[Egresos]]</f>
        <v>0</v>
      </c>
      <c r="O4030" s="20">
        <f>+O4029+Movimientos_2026[[#This Row],[Neto]]</f>
        <v>4581558617.7962294</v>
      </c>
    </row>
    <row r="4031" spans="1:15" x14ac:dyDescent="0.25">
      <c r="A4031" s="13"/>
      <c r="B4031" s="12">
        <f>MONTH(Movimientos_2026[[#This Row],[Fecha]])</f>
        <v>1</v>
      </c>
      <c r="C4031" s="12" t="str">
        <f>VLOOKUP((WEEKDAY(Movimientos_2026[[#This Row],[Fecha]],2)),'5. Setup'!$D$6:$E$12,2,FALSE)</f>
        <v>Sab</v>
      </c>
      <c r="E4031" t="str">
        <f>IFERROR(+VLOOKUP(Movimientos_2026[[#This Row],[Codigo]],Plan_cuentas[],2,FALSE)," ")</f>
        <v xml:space="preserve"> </v>
      </c>
      <c r="F4031" t="str">
        <f>IFERROR(+VLOOKUP(Movimientos_2026[[#This Row],[Codigo]],Plan_cuentas[],3,FALSE)," ")</f>
        <v xml:space="preserve"> </v>
      </c>
      <c r="G4031" t="str">
        <f>IFERROR(+VLOOKUP(Movimientos_2026[[#This Row],[Codigo]],Plan_cuentas[],4,FALSE)," ")</f>
        <v xml:space="preserve"> </v>
      </c>
      <c r="H4031" t="str">
        <f>IFERROR(+VLOOKUP(Movimientos_2026[[#This Row],[Codigo]],Plan_cuentas[],5,FALSE)," ")</f>
        <v xml:space="preserve"> </v>
      </c>
      <c r="I4031" s="43"/>
      <c r="K4031" t="str">
        <f>IFERROR(+VLOOKUP(Movimientos_2026[[#This Row],[Codigo]],Plan_cuentas[],6,FALSE)," ")</f>
        <v xml:space="preserve"> </v>
      </c>
      <c r="L4031" s="50"/>
      <c r="M4031" s="50"/>
      <c r="N4031" s="20">
        <f>+Movimientos_2026[[#This Row],[Ingresos]]-Movimientos_2026[[#This Row],[Egresos]]</f>
        <v>0</v>
      </c>
      <c r="O4031" s="20">
        <f>+O4030+Movimientos_2026[[#This Row],[Neto]]</f>
        <v>4581558617.7962294</v>
      </c>
    </row>
    <row r="4032" spans="1:15" x14ac:dyDescent="0.25">
      <c r="A4032" s="13"/>
      <c r="B4032" s="12">
        <f>MONTH(Movimientos_2026[[#This Row],[Fecha]])</f>
        <v>1</v>
      </c>
      <c r="C4032" s="12" t="str">
        <f>VLOOKUP((WEEKDAY(Movimientos_2026[[#This Row],[Fecha]],2)),'5. Setup'!$D$6:$E$12,2,FALSE)</f>
        <v>Sab</v>
      </c>
      <c r="E4032" t="str">
        <f>IFERROR(+VLOOKUP(Movimientos_2026[[#This Row],[Codigo]],Plan_cuentas[],2,FALSE)," ")</f>
        <v xml:space="preserve"> </v>
      </c>
      <c r="F4032" t="str">
        <f>IFERROR(+VLOOKUP(Movimientos_2026[[#This Row],[Codigo]],Plan_cuentas[],3,FALSE)," ")</f>
        <v xml:space="preserve"> </v>
      </c>
      <c r="G4032" t="str">
        <f>IFERROR(+VLOOKUP(Movimientos_2026[[#This Row],[Codigo]],Plan_cuentas[],4,FALSE)," ")</f>
        <v xml:space="preserve"> </v>
      </c>
      <c r="H4032" t="str">
        <f>IFERROR(+VLOOKUP(Movimientos_2026[[#This Row],[Codigo]],Plan_cuentas[],5,FALSE)," ")</f>
        <v xml:space="preserve"> </v>
      </c>
      <c r="I4032" s="43"/>
      <c r="K4032" t="str">
        <f>IFERROR(+VLOOKUP(Movimientos_2026[[#This Row],[Codigo]],Plan_cuentas[],6,FALSE)," ")</f>
        <v xml:space="preserve"> </v>
      </c>
      <c r="L4032" s="50"/>
      <c r="M4032" s="50"/>
      <c r="N4032" s="20">
        <f>+Movimientos_2026[[#This Row],[Ingresos]]-Movimientos_2026[[#This Row],[Egresos]]</f>
        <v>0</v>
      </c>
      <c r="O4032" s="20">
        <f>+O4031+Movimientos_2026[[#This Row],[Neto]]</f>
        <v>4581558617.7962294</v>
      </c>
    </row>
    <row r="4033" spans="1:15" x14ac:dyDescent="0.25">
      <c r="A4033" s="13"/>
      <c r="B4033" s="12">
        <f>MONTH(Movimientos_2026[[#This Row],[Fecha]])</f>
        <v>1</v>
      </c>
      <c r="C4033" s="12" t="str">
        <f>VLOOKUP((WEEKDAY(Movimientos_2026[[#This Row],[Fecha]],2)),'5. Setup'!$D$6:$E$12,2,FALSE)</f>
        <v>Sab</v>
      </c>
      <c r="E4033" t="str">
        <f>IFERROR(+VLOOKUP(Movimientos_2026[[#This Row],[Codigo]],Plan_cuentas[],2,FALSE)," ")</f>
        <v xml:space="preserve"> </v>
      </c>
      <c r="F4033" t="str">
        <f>IFERROR(+VLOOKUP(Movimientos_2026[[#This Row],[Codigo]],Plan_cuentas[],3,FALSE)," ")</f>
        <v xml:space="preserve"> </v>
      </c>
      <c r="G4033" t="str">
        <f>IFERROR(+VLOOKUP(Movimientos_2026[[#This Row],[Codigo]],Plan_cuentas[],4,FALSE)," ")</f>
        <v xml:space="preserve"> </v>
      </c>
      <c r="H4033" t="str">
        <f>IFERROR(+VLOOKUP(Movimientos_2026[[#This Row],[Codigo]],Plan_cuentas[],5,FALSE)," ")</f>
        <v xml:space="preserve"> </v>
      </c>
      <c r="I4033" s="43"/>
      <c r="K4033" t="str">
        <f>IFERROR(+VLOOKUP(Movimientos_2026[[#This Row],[Codigo]],Plan_cuentas[],6,FALSE)," ")</f>
        <v xml:space="preserve"> </v>
      </c>
      <c r="L4033" s="50"/>
      <c r="M4033" s="50"/>
      <c r="N4033" s="20">
        <f>+Movimientos_2026[[#This Row],[Ingresos]]-Movimientos_2026[[#This Row],[Egresos]]</f>
        <v>0</v>
      </c>
      <c r="O4033" s="20">
        <f>+O4032+Movimientos_2026[[#This Row],[Neto]]</f>
        <v>4581558617.7962294</v>
      </c>
    </row>
    <row r="4034" spans="1:15" x14ac:dyDescent="0.25">
      <c r="A4034" s="13"/>
      <c r="B4034" s="12">
        <f>MONTH(Movimientos_2026[[#This Row],[Fecha]])</f>
        <v>1</v>
      </c>
      <c r="C4034" s="12" t="str">
        <f>VLOOKUP((WEEKDAY(Movimientos_2026[[#This Row],[Fecha]],2)),'5. Setup'!$D$6:$E$12,2,FALSE)</f>
        <v>Sab</v>
      </c>
      <c r="E4034" t="str">
        <f>IFERROR(+VLOOKUP(Movimientos_2026[[#This Row],[Codigo]],Plan_cuentas[],2,FALSE)," ")</f>
        <v xml:space="preserve"> </v>
      </c>
      <c r="F4034" t="str">
        <f>IFERROR(+VLOOKUP(Movimientos_2026[[#This Row],[Codigo]],Plan_cuentas[],3,FALSE)," ")</f>
        <v xml:space="preserve"> </v>
      </c>
      <c r="G4034" t="str">
        <f>IFERROR(+VLOOKUP(Movimientos_2026[[#This Row],[Codigo]],Plan_cuentas[],4,FALSE)," ")</f>
        <v xml:space="preserve"> </v>
      </c>
      <c r="H4034" t="str">
        <f>IFERROR(+VLOOKUP(Movimientos_2026[[#This Row],[Codigo]],Plan_cuentas[],5,FALSE)," ")</f>
        <v xml:space="preserve"> </v>
      </c>
      <c r="I4034" s="43"/>
      <c r="K4034" t="str">
        <f>IFERROR(+VLOOKUP(Movimientos_2026[[#This Row],[Codigo]],Plan_cuentas[],6,FALSE)," ")</f>
        <v xml:space="preserve"> </v>
      </c>
      <c r="L4034" s="50"/>
      <c r="M4034" s="50"/>
      <c r="N4034" s="20">
        <f>+Movimientos_2026[[#This Row],[Ingresos]]-Movimientos_2026[[#This Row],[Egresos]]</f>
        <v>0</v>
      </c>
      <c r="O4034" s="20">
        <f>+O4033+Movimientos_2026[[#This Row],[Neto]]</f>
        <v>4581558617.7962294</v>
      </c>
    </row>
    <row r="4035" spans="1:15" x14ac:dyDescent="0.25">
      <c r="A4035" s="13"/>
      <c r="B4035" s="12">
        <f>MONTH(Movimientos_2026[[#This Row],[Fecha]])</f>
        <v>1</v>
      </c>
      <c r="C4035" s="12" t="str">
        <f>VLOOKUP((WEEKDAY(Movimientos_2026[[#This Row],[Fecha]],2)),'5. Setup'!$D$6:$E$12,2,FALSE)</f>
        <v>Sab</v>
      </c>
      <c r="E4035" t="str">
        <f>IFERROR(+VLOOKUP(Movimientos_2026[[#This Row],[Codigo]],Plan_cuentas[],2,FALSE)," ")</f>
        <v xml:space="preserve"> </v>
      </c>
      <c r="F4035" t="str">
        <f>IFERROR(+VLOOKUP(Movimientos_2026[[#This Row],[Codigo]],Plan_cuentas[],3,FALSE)," ")</f>
        <v xml:space="preserve"> </v>
      </c>
      <c r="G4035" t="str">
        <f>IFERROR(+VLOOKUP(Movimientos_2026[[#This Row],[Codigo]],Plan_cuentas[],4,FALSE)," ")</f>
        <v xml:space="preserve"> </v>
      </c>
      <c r="H4035" t="str">
        <f>IFERROR(+VLOOKUP(Movimientos_2026[[#This Row],[Codigo]],Plan_cuentas[],5,FALSE)," ")</f>
        <v xml:space="preserve"> </v>
      </c>
      <c r="I4035" s="43"/>
      <c r="K4035" t="str">
        <f>IFERROR(+VLOOKUP(Movimientos_2026[[#This Row],[Codigo]],Plan_cuentas[],6,FALSE)," ")</f>
        <v xml:space="preserve"> </v>
      </c>
      <c r="L4035" s="50"/>
      <c r="M4035" s="50"/>
      <c r="N4035" s="20">
        <f>+Movimientos_2026[[#This Row],[Ingresos]]-Movimientos_2026[[#This Row],[Egresos]]</f>
        <v>0</v>
      </c>
      <c r="O4035" s="20">
        <f>+O4034+Movimientos_2026[[#This Row],[Neto]]</f>
        <v>4581558617.7962294</v>
      </c>
    </row>
    <row r="4036" spans="1:15" x14ac:dyDescent="0.25">
      <c r="A4036" s="13"/>
      <c r="B4036" s="12">
        <f>MONTH(Movimientos_2026[[#This Row],[Fecha]])</f>
        <v>1</v>
      </c>
      <c r="C4036" s="12" t="str">
        <f>VLOOKUP((WEEKDAY(Movimientos_2026[[#This Row],[Fecha]],2)),'5. Setup'!$D$6:$E$12,2,FALSE)</f>
        <v>Sab</v>
      </c>
      <c r="E4036" t="str">
        <f>IFERROR(+VLOOKUP(Movimientos_2026[[#This Row],[Codigo]],Plan_cuentas[],2,FALSE)," ")</f>
        <v xml:space="preserve"> </v>
      </c>
      <c r="F4036" t="str">
        <f>IFERROR(+VLOOKUP(Movimientos_2026[[#This Row],[Codigo]],Plan_cuentas[],3,FALSE)," ")</f>
        <v xml:space="preserve"> </v>
      </c>
      <c r="G4036" t="str">
        <f>IFERROR(+VLOOKUP(Movimientos_2026[[#This Row],[Codigo]],Plan_cuentas[],4,FALSE)," ")</f>
        <v xml:space="preserve"> </v>
      </c>
      <c r="H4036" t="str">
        <f>IFERROR(+VLOOKUP(Movimientos_2026[[#This Row],[Codigo]],Plan_cuentas[],5,FALSE)," ")</f>
        <v xml:space="preserve"> </v>
      </c>
      <c r="I4036" s="43"/>
      <c r="K4036" t="str">
        <f>IFERROR(+VLOOKUP(Movimientos_2026[[#This Row],[Codigo]],Plan_cuentas[],6,FALSE)," ")</f>
        <v xml:space="preserve"> </v>
      </c>
      <c r="L4036" s="50"/>
      <c r="M4036" s="50"/>
      <c r="N4036" s="20">
        <f>+Movimientos_2026[[#This Row],[Ingresos]]-Movimientos_2026[[#This Row],[Egresos]]</f>
        <v>0</v>
      </c>
      <c r="O4036" s="20">
        <f>+O4035+Movimientos_2026[[#This Row],[Neto]]</f>
        <v>4581558617.7962294</v>
      </c>
    </row>
    <row r="4037" spans="1:15" x14ac:dyDescent="0.25">
      <c r="A4037" s="13"/>
      <c r="B4037" s="12">
        <f>MONTH(Movimientos_2026[[#This Row],[Fecha]])</f>
        <v>1</v>
      </c>
      <c r="C4037" s="12" t="str">
        <f>VLOOKUP((WEEKDAY(Movimientos_2026[[#This Row],[Fecha]],2)),'5. Setup'!$D$6:$E$12,2,FALSE)</f>
        <v>Sab</v>
      </c>
      <c r="E4037" t="str">
        <f>IFERROR(+VLOOKUP(Movimientos_2026[[#This Row],[Codigo]],Plan_cuentas[],2,FALSE)," ")</f>
        <v xml:space="preserve"> </v>
      </c>
      <c r="F4037" t="str">
        <f>IFERROR(+VLOOKUP(Movimientos_2026[[#This Row],[Codigo]],Plan_cuentas[],3,FALSE)," ")</f>
        <v xml:space="preserve"> </v>
      </c>
      <c r="G4037" t="str">
        <f>IFERROR(+VLOOKUP(Movimientos_2026[[#This Row],[Codigo]],Plan_cuentas[],4,FALSE)," ")</f>
        <v xml:space="preserve"> </v>
      </c>
      <c r="H4037" t="str">
        <f>IFERROR(+VLOOKUP(Movimientos_2026[[#This Row],[Codigo]],Plan_cuentas[],5,FALSE)," ")</f>
        <v xml:space="preserve"> </v>
      </c>
      <c r="I4037" s="43"/>
      <c r="K4037" t="str">
        <f>IFERROR(+VLOOKUP(Movimientos_2026[[#This Row],[Codigo]],Plan_cuentas[],6,FALSE)," ")</f>
        <v xml:space="preserve"> </v>
      </c>
      <c r="L4037" s="50"/>
      <c r="M4037" s="50"/>
      <c r="N4037" s="20">
        <f>+Movimientos_2026[[#This Row],[Ingresos]]-Movimientos_2026[[#This Row],[Egresos]]</f>
        <v>0</v>
      </c>
      <c r="O4037" s="20">
        <f>+O4036+Movimientos_2026[[#This Row],[Neto]]</f>
        <v>4581558617.7962294</v>
      </c>
    </row>
    <row r="4038" spans="1:15" x14ac:dyDescent="0.25">
      <c r="A4038" s="13"/>
      <c r="B4038" s="12">
        <f>MONTH(Movimientos_2026[[#This Row],[Fecha]])</f>
        <v>1</v>
      </c>
      <c r="C4038" s="12" t="str">
        <f>VLOOKUP((WEEKDAY(Movimientos_2026[[#This Row],[Fecha]],2)),'5. Setup'!$D$6:$E$12,2,FALSE)</f>
        <v>Sab</v>
      </c>
      <c r="E4038" t="str">
        <f>IFERROR(+VLOOKUP(Movimientos_2026[[#This Row],[Codigo]],Plan_cuentas[],2,FALSE)," ")</f>
        <v xml:space="preserve"> </v>
      </c>
      <c r="F4038" t="str">
        <f>IFERROR(+VLOOKUP(Movimientos_2026[[#This Row],[Codigo]],Plan_cuentas[],3,FALSE)," ")</f>
        <v xml:space="preserve"> </v>
      </c>
      <c r="G4038" t="str">
        <f>IFERROR(+VLOOKUP(Movimientos_2026[[#This Row],[Codigo]],Plan_cuentas[],4,FALSE)," ")</f>
        <v xml:space="preserve"> </v>
      </c>
      <c r="H4038" t="str">
        <f>IFERROR(+VLOOKUP(Movimientos_2026[[#This Row],[Codigo]],Plan_cuentas[],5,FALSE)," ")</f>
        <v xml:space="preserve"> </v>
      </c>
      <c r="I4038" s="43"/>
      <c r="K4038" t="str">
        <f>IFERROR(+VLOOKUP(Movimientos_2026[[#This Row],[Codigo]],Plan_cuentas[],6,FALSE)," ")</f>
        <v xml:space="preserve"> </v>
      </c>
      <c r="L4038" s="50"/>
      <c r="M4038" s="50"/>
      <c r="N4038" s="20">
        <f>+Movimientos_2026[[#This Row],[Ingresos]]-Movimientos_2026[[#This Row],[Egresos]]</f>
        <v>0</v>
      </c>
      <c r="O4038" s="20">
        <f>+O4037+Movimientos_2026[[#This Row],[Neto]]</f>
        <v>4581558617.7962294</v>
      </c>
    </row>
    <row r="4039" spans="1:15" x14ac:dyDescent="0.25">
      <c r="A4039" s="13"/>
      <c r="B4039" s="12">
        <f>MONTH(Movimientos_2026[[#This Row],[Fecha]])</f>
        <v>1</v>
      </c>
      <c r="C4039" s="12" t="str">
        <f>VLOOKUP((WEEKDAY(Movimientos_2026[[#This Row],[Fecha]],2)),'5. Setup'!$D$6:$E$12,2,FALSE)</f>
        <v>Sab</v>
      </c>
      <c r="E4039" t="str">
        <f>IFERROR(+VLOOKUP(Movimientos_2026[[#This Row],[Codigo]],Plan_cuentas[],2,FALSE)," ")</f>
        <v xml:space="preserve"> </v>
      </c>
      <c r="F4039" t="str">
        <f>IFERROR(+VLOOKUP(Movimientos_2026[[#This Row],[Codigo]],Plan_cuentas[],3,FALSE)," ")</f>
        <v xml:space="preserve"> </v>
      </c>
      <c r="G4039" t="str">
        <f>IFERROR(+VLOOKUP(Movimientos_2026[[#This Row],[Codigo]],Plan_cuentas[],4,FALSE)," ")</f>
        <v xml:space="preserve"> </v>
      </c>
      <c r="H4039" t="str">
        <f>IFERROR(+VLOOKUP(Movimientos_2026[[#This Row],[Codigo]],Plan_cuentas[],5,FALSE)," ")</f>
        <v xml:space="preserve"> </v>
      </c>
      <c r="I4039" s="43"/>
      <c r="K4039" t="str">
        <f>IFERROR(+VLOOKUP(Movimientos_2026[[#This Row],[Codigo]],Plan_cuentas[],6,FALSE)," ")</f>
        <v xml:space="preserve"> </v>
      </c>
      <c r="L4039" s="50"/>
      <c r="M4039" s="50"/>
      <c r="N4039" s="20">
        <f>+Movimientos_2026[[#This Row],[Ingresos]]-Movimientos_2026[[#This Row],[Egresos]]</f>
        <v>0</v>
      </c>
      <c r="O4039" s="20">
        <f>+O4038+Movimientos_2026[[#This Row],[Neto]]</f>
        <v>4581558617.7962294</v>
      </c>
    </row>
    <row r="4040" spans="1:15" x14ac:dyDescent="0.25">
      <c r="A4040" s="13"/>
      <c r="B4040" s="12">
        <f>MONTH(Movimientos_2026[[#This Row],[Fecha]])</f>
        <v>1</v>
      </c>
      <c r="C4040" s="12" t="str">
        <f>VLOOKUP((WEEKDAY(Movimientos_2026[[#This Row],[Fecha]],2)),'5. Setup'!$D$6:$E$12,2,FALSE)</f>
        <v>Sab</v>
      </c>
      <c r="E4040" t="str">
        <f>IFERROR(+VLOOKUP(Movimientos_2026[[#This Row],[Codigo]],Plan_cuentas[],2,FALSE)," ")</f>
        <v xml:space="preserve"> </v>
      </c>
      <c r="F4040" t="str">
        <f>IFERROR(+VLOOKUP(Movimientos_2026[[#This Row],[Codigo]],Plan_cuentas[],3,FALSE)," ")</f>
        <v xml:space="preserve"> </v>
      </c>
      <c r="G4040" t="str">
        <f>IFERROR(+VLOOKUP(Movimientos_2026[[#This Row],[Codigo]],Plan_cuentas[],4,FALSE)," ")</f>
        <v xml:space="preserve"> </v>
      </c>
      <c r="H4040" t="str">
        <f>IFERROR(+VLOOKUP(Movimientos_2026[[#This Row],[Codigo]],Plan_cuentas[],5,FALSE)," ")</f>
        <v xml:space="preserve"> </v>
      </c>
      <c r="I4040" s="43"/>
      <c r="K4040" t="str">
        <f>IFERROR(+VLOOKUP(Movimientos_2026[[#This Row],[Codigo]],Plan_cuentas[],6,FALSE)," ")</f>
        <v xml:space="preserve"> </v>
      </c>
      <c r="L4040" s="50"/>
      <c r="M4040" s="50"/>
      <c r="N4040" s="20">
        <f>+Movimientos_2026[[#This Row],[Ingresos]]-Movimientos_2026[[#This Row],[Egresos]]</f>
        <v>0</v>
      </c>
      <c r="O4040" s="20">
        <f>+O4039+Movimientos_2026[[#This Row],[Neto]]</f>
        <v>4581558617.7962294</v>
      </c>
    </row>
    <row r="4041" spans="1:15" x14ac:dyDescent="0.25">
      <c r="A4041" s="13"/>
      <c r="B4041" s="12">
        <f>MONTH(Movimientos_2026[[#This Row],[Fecha]])</f>
        <v>1</v>
      </c>
      <c r="C4041" s="12" t="str">
        <f>VLOOKUP((WEEKDAY(Movimientos_2026[[#This Row],[Fecha]],2)),'5. Setup'!$D$6:$E$12,2,FALSE)</f>
        <v>Sab</v>
      </c>
      <c r="E4041" t="str">
        <f>IFERROR(+VLOOKUP(Movimientos_2026[[#This Row],[Codigo]],Plan_cuentas[],2,FALSE)," ")</f>
        <v xml:space="preserve"> </v>
      </c>
      <c r="F4041" t="str">
        <f>IFERROR(+VLOOKUP(Movimientos_2026[[#This Row],[Codigo]],Plan_cuentas[],3,FALSE)," ")</f>
        <v xml:space="preserve"> </v>
      </c>
      <c r="G4041" t="str">
        <f>IFERROR(+VLOOKUP(Movimientos_2026[[#This Row],[Codigo]],Plan_cuentas[],4,FALSE)," ")</f>
        <v xml:space="preserve"> </v>
      </c>
      <c r="H4041" t="str">
        <f>IFERROR(+VLOOKUP(Movimientos_2026[[#This Row],[Codigo]],Plan_cuentas[],5,FALSE)," ")</f>
        <v xml:space="preserve"> </v>
      </c>
      <c r="I4041" s="43"/>
      <c r="K4041" t="str">
        <f>IFERROR(+VLOOKUP(Movimientos_2026[[#This Row],[Codigo]],Plan_cuentas[],6,FALSE)," ")</f>
        <v xml:space="preserve"> </v>
      </c>
      <c r="L4041" s="50"/>
      <c r="M4041" s="50"/>
      <c r="N4041" s="20">
        <f>+Movimientos_2026[[#This Row],[Ingresos]]-Movimientos_2026[[#This Row],[Egresos]]</f>
        <v>0</v>
      </c>
      <c r="O4041" s="20">
        <f>+O4040+Movimientos_2026[[#This Row],[Neto]]</f>
        <v>4581558617.7962294</v>
      </c>
    </row>
    <row r="4042" spans="1:15" x14ac:dyDescent="0.25">
      <c r="A4042" s="13"/>
      <c r="B4042" s="12">
        <f>MONTH(Movimientos_2026[[#This Row],[Fecha]])</f>
        <v>1</v>
      </c>
      <c r="C4042" s="12" t="str">
        <f>VLOOKUP((WEEKDAY(Movimientos_2026[[#This Row],[Fecha]],2)),'5. Setup'!$D$6:$E$12,2,FALSE)</f>
        <v>Sab</v>
      </c>
      <c r="E4042" t="str">
        <f>IFERROR(+VLOOKUP(Movimientos_2026[[#This Row],[Codigo]],Plan_cuentas[],2,FALSE)," ")</f>
        <v xml:space="preserve"> </v>
      </c>
      <c r="F4042" t="str">
        <f>IFERROR(+VLOOKUP(Movimientos_2026[[#This Row],[Codigo]],Plan_cuentas[],3,FALSE)," ")</f>
        <v xml:space="preserve"> </v>
      </c>
      <c r="G4042" t="str">
        <f>IFERROR(+VLOOKUP(Movimientos_2026[[#This Row],[Codigo]],Plan_cuentas[],4,FALSE)," ")</f>
        <v xml:space="preserve"> </v>
      </c>
      <c r="H4042" t="str">
        <f>IFERROR(+VLOOKUP(Movimientos_2026[[#This Row],[Codigo]],Plan_cuentas[],5,FALSE)," ")</f>
        <v xml:space="preserve"> </v>
      </c>
      <c r="I4042" s="43"/>
      <c r="K4042" t="str">
        <f>IFERROR(+VLOOKUP(Movimientos_2026[[#This Row],[Codigo]],Plan_cuentas[],6,FALSE)," ")</f>
        <v xml:space="preserve"> </v>
      </c>
      <c r="L4042" s="50"/>
      <c r="M4042" s="50"/>
      <c r="N4042" s="20">
        <f>+Movimientos_2026[[#This Row],[Ingresos]]-Movimientos_2026[[#This Row],[Egresos]]</f>
        <v>0</v>
      </c>
      <c r="O4042" s="20">
        <f>+O4041+Movimientos_2026[[#This Row],[Neto]]</f>
        <v>4581558617.7962294</v>
      </c>
    </row>
    <row r="4043" spans="1:15" x14ac:dyDescent="0.25">
      <c r="A4043" s="13"/>
      <c r="B4043" s="12">
        <f>MONTH(Movimientos_2026[[#This Row],[Fecha]])</f>
        <v>1</v>
      </c>
      <c r="C4043" s="12" t="str">
        <f>VLOOKUP((WEEKDAY(Movimientos_2026[[#This Row],[Fecha]],2)),'5. Setup'!$D$6:$E$12,2,FALSE)</f>
        <v>Sab</v>
      </c>
      <c r="E4043" t="str">
        <f>IFERROR(+VLOOKUP(Movimientos_2026[[#This Row],[Codigo]],Plan_cuentas[],2,FALSE)," ")</f>
        <v xml:space="preserve"> </v>
      </c>
      <c r="F4043" t="str">
        <f>IFERROR(+VLOOKUP(Movimientos_2026[[#This Row],[Codigo]],Plan_cuentas[],3,FALSE)," ")</f>
        <v xml:space="preserve"> </v>
      </c>
      <c r="G4043" t="str">
        <f>IFERROR(+VLOOKUP(Movimientos_2026[[#This Row],[Codigo]],Plan_cuentas[],4,FALSE)," ")</f>
        <v xml:space="preserve"> </v>
      </c>
      <c r="H4043" t="str">
        <f>IFERROR(+VLOOKUP(Movimientos_2026[[#This Row],[Codigo]],Plan_cuentas[],5,FALSE)," ")</f>
        <v xml:space="preserve"> </v>
      </c>
      <c r="I4043" s="43"/>
      <c r="K4043" t="str">
        <f>IFERROR(+VLOOKUP(Movimientos_2026[[#This Row],[Codigo]],Plan_cuentas[],6,FALSE)," ")</f>
        <v xml:space="preserve"> </v>
      </c>
      <c r="L4043" s="50"/>
      <c r="M4043" s="50"/>
      <c r="N4043" s="20">
        <f>+Movimientos_2026[[#This Row],[Ingresos]]-Movimientos_2026[[#This Row],[Egresos]]</f>
        <v>0</v>
      </c>
      <c r="O4043" s="20">
        <f>+O4042+Movimientos_2026[[#This Row],[Neto]]</f>
        <v>4581558617.7962294</v>
      </c>
    </row>
    <row r="4044" spans="1:15" x14ac:dyDescent="0.25">
      <c r="A4044" s="13"/>
      <c r="B4044" s="12">
        <f>MONTH(Movimientos_2026[[#This Row],[Fecha]])</f>
        <v>1</v>
      </c>
      <c r="C4044" s="12" t="str">
        <f>VLOOKUP((WEEKDAY(Movimientos_2026[[#This Row],[Fecha]],2)),'5. Setup'!$D$6:$E$12,2,FALSE)</f>
        <v>Sab</v>
      </c>
      <c r="E4044" t="str">
        <f>IFERROR(+VLOOKUP(Movimientos_2026[[#This Row],[Codigo]],Plan_cuentas[],2,FALSE)," ")</f>
        <v xml:space="preserve"> </v>
      </c>
      <c r="F4044" t="str">
        <f>IFERROR(+VLOOKUP(Movimientos_2026[[#This Row],[Codigo]],Plan_cuentas[],3,FALSE)," ")</f>
        <v xml:space="preserve"> </v>
      </c>
      <c r="G4044" t="str">
        <f>IFERROR(+VLOOKUP(Movimientos_2026[[#This Row],[Codigo]],Plan_cuentas[],4,FALSE)," ")</f>
        <v xml:space="preserve"> </v>
      </c>
      <c r="H4044" t="str">
        <f>IFERROR(+VLOOKUP(Movimientos_2026[[#This Row],[Codigo]],Plan_cuentas[],5,FALSE)," ")</f>
        <v xml:space="preserve"> </v>
      </c>
      <c r="I4044" s="43"/>
      <c r="K4044" t="str">
        <f>IFERROR(+VLOOKUP(Movimientos_2026[[#This Row],[Codigo]],Plan_cuentas[],6,FALSE)," ")</f>
        <v xml:space="preserve"> </v>
      </c>
      <c r="L4044" s="50"/>
      <c r="M4044" s="50"/>
      <c r="N4044" s="20">
        <f>+Movimientos_2026[[#This Row],[Ingresos]]-Movimientos_2026[[#This Row],[Egresos]]</f>
        <v>0</v>
      </c>
      <c r="O4044" s="20">
        <f>+O4043+Movimientos_2026[[#This Row],[Neto]]</f>
        <v>4581558617.7962294</v>
      </c>
    </row>
    <row r="4045" spans="1:15" x14ac:dyDescent="0.25">
      <c r="A4045" s="13"/>
      <c r="B4045" s="12">
        <f>MONTH(Movimientos_2026[[#This Row],[Fecha]])</f>
        <v>1</v>
      </c>
      <c r="C4045" s="12" t="str">
        <f>VLOOKUP((WEEKDAY(Movimientos_2026[[#This Row],[Fecha]],2)),'5. Setup'!$D$6:$E$12,2,FALSE)</f>
        <v>Sab</v>
      </c>
      <c r="E4045" t="str">
        <f>IFERROR(+VLOOKUP(Movimientos_2026[[#This Row],[Codigo]],Plan_cuentas[],2,FALSE)," ")</f>
        <v xml:space="preserve"> </v>
      </c>
      <c r="F4045" t="str">
        <f>IFERROR(+VLOOKUP(Movimientos_2026[[#This Row],[Codigo]],Plan_cuentas[],3,FALSE)," ")</f>
        <v xml:space="preserve"> </v>
      </c>
      <c r="G4045" t="str">
        <f>IFERROR(+VLOOKUP(Movimientos_2026[[#This Row],[Codigo]],Plan_cuentas[],4,FALSE)," ")</f>
        <v xml:space="preserve"> </v>
      </c>
      <c r="H4045" t="str">
        <f>IFERROR(+VLOOKUP(Movimientos_2026[[#This Row],[Codigo]],Plan_cuentas[],5,FALSE)," ")</f>
        <v xml:space="preserve"> </v>
      </c>
      <c r="I4045" s="43"/>
      <c r="K4045" t="str">
        <f>IFERROR(+VLOOKUP(Movimientos_2026[[#This Row],[Codigo]],Plan_cuentas[],6,FALSE)," ")</f>
        <v xml:space="preserve"> </v>
      </c>
      <c r="L4045" s="50"/>
      <c r="M4045" s="50"/>
      <c r="N4045" s="20">
        <f>+Movimientos_2026[[#This Row],[Ingresos]]-Movimientos_2026[[#This Row],[Egresos]]</f>
        <v>0</v>
      </c>
      <c r="O4045" s="20">
        <f>+O4044+Movimientos_2026[[#This Row],[Neto]]</f>
        <v>4581558617.7962294</v>
      </c>
    </row>
    <row r="4046" spans="1:15" x14ac:dyDescent="0.25">
      <c r="A4046" s="13"/>
      <c r="B4046" s="12">
        <f>MONTH(Movimientos_2026[[#This Row],[Fecha]])</f>
        <v>1</v>
      </c>
      <c r="C4046" s="12" t="str">
        <f>VLOOKUP((WEEKDAY(Movimientos_2026[[#This Row],[Fecha]],2)),'5. Setup'!$D$6:$E$12,2,FALSE)</f>
        <v>Sab</v>
      </c>
      <c r="E4046" t="str">
        <f>IFERROR(+VLOOKUP(Movimientos_2026[[#This Row],[Codigo]],Plan_cuentas[],2,FALSE)," ")</f>
        <v xml:space="preserve"> </v>
      </c>
      <c r="F4046" t="str">
        <f>IFERROR(+VLOOKUP(Movimientos_2026[[#This Row],[Codigo]],Plan_cuentas[],3,FALSE)," ")</f>
        <v xml:space="preserve"> </v>
      </c>
      <c r="G4046" t="str">
        <f>IFERROR(+VLOOKUP(Movimientos_2026[[#This Row],[Codigo]],Plan_cuentas[],4,FALSE)," ")</f>
        <v xml:space="preserve"> </v>
      </c>
      <c r="H4046" t="str">
        <f>IFERROR(+VLOOKUP(Movimientos_2026[[#This Row],[Codigo]],Plan_cuentas[],5,FALSE)," ")</f>
        <v xml:space="preserve"> </v>
      </c>
      <c r="I4046" s="43"/>
      <c r="K4046" t="str">
        <f>IFERROR(+VLOOKUP(Movimientos_2026[[#This Row],[Codigo]],Plan_cuentas[],6,FALSE)," ")</f>
        <v xml:space="preserve"> </v>
      </c>
      <c r="L4046" s="50"/>
      <c r="M4046" s="50"/>
      <c r="N4046" s="20">
        <f>+Movimientos_2026[[#This Row],[Ingresos]]-Movimientos_2026[[#This Row],[Egresos]]</f>
        <v>0</v>
      </c>
      <c r="O4046" s="20">
        <f>+O4045+Movimientos_2026[[#This Row],[Neto]]</f>
        <v>4581558617.7962294</v>
      </c>
    </row>
    <row r="4047" spans="1:15" x14ac:dyDescent="0.25">
      <c r="A4047" s="13"/>
      <c r="B4047" s="12">
        <f>MONTH(Movimientos_2026[[#This Row],[Fecha]])</f>
        <v>1</v>
      </c>
      <c r="C4047" s="12" t="str">
        <f>VLOOKUP((WEEKDAY(Movimientos_2026[[#This Row],[Fecha]],2)),'5. Setup'!$D$6:$E$12,2,FALSE)</f>
        <v>Sab</v>
      </c>
      <c r="E4047" t="str">
        <f>IFERROR(+VLOOKUP(Movimientos_2026[[#This Row],[Codigo]],Plan_cuentas[],2,FALSE)," ")</f>
        <v xml:space="preserve"> </v>
      </c>
      <c r="F4047" t="str">
        <f>IFERROR(+VLOOKUP(Movimientos_2026[[#This Row],[Codigo]],Plan_cuentas[],3,FALSE)," ")</f>
        <v xml:space="preserve"> </v>
      </c>
      <c r="G4047" t="str">
        <f>IFERROR(+VLOOKUP(Movimientos_2026[[#This Row],[Codigo]],Plan_cuentas[],4,FALSE)," ")</f>
        <v xml:space="preserve"> </v>
      </c>
      <c r="H4047" t="str">
        <f>IFERROR(+VLOOKUP(Movimientos_2026[[#This Row],[Codigo]],Plan_cuentas[],5,FALSE)," ")</f>
        <v xml:space="preserve"> </v>
      </c>
      <c r="I4047" s="43"/>
      <c r="K4047" t="str">
        <f>IFERROR(+VLOOKUP(Movimientos_2026[[#This Row],[Codigo]],Plan_cuentas[],6,FALSE)," ")</f>
        <v xml:space="preserve"> </v>
      </c>
      <c r="L4047" s="50"/>
      <c r="M4047" s="50"/>
      <c r="N4047" s="20">
        <f>+Movimientos_2026[[#This Row],[Ingresos]]-Movimientos_2026[[#This Row],[Egresos]]</f>
        <v>0</v>
      </c>
      <c r="O4047" s="20">
        <f>+O4046+Movimientos_2026[[#This Row],[Neto]]</f>
        <v>4581558617.7962294</v>
      </c>
    </row>
    <row r="4048" spans="1:15" x14ac:dyDescent="0.25">
      <c r="A4048" s="13"/>
      <c r="B4048" s="12">
        <f>MONTH(Movimientos_2026[[#This Row],[Fecha]])</f>
        <v>1</v>
      </c>
      <c r="C4048" s="12" t="str">
        <f>VLOOKUP((WEEKDAY(Movimientos_2026[[#This Row],[Fecha]],2)),'5. Setup'!$D$6:$E$12,2,FALSE)</f>
        <v>Sab</v>
      </c>
      <c r="E4048" t="str">
        <f>IFERROR(+VLOOKUP(Movimientos_2026[[#This Row],[Codigo]],Plan_cuentas[],2,FALSE)," ")</f>
        <v xml:space="preserve"> </v>
      </c>
      <c r="F4048" t="str">
        <f>IFERROR(+VLOOKUP(Movimientos_2026[[#This Row],[Codigo]],Plan_cuentas[],3,FALSE)," ")</f>
        <v xml:space="preserve"> </v>
      </c>
      <c r="G4048" t="str">
        <f>IFERROR(+VLOOKUP(Movimientos_2026[[#This Row],[Codigo]],Plan_cuentas[],4,FALSE)," ")</f>
        <v xml:space="preserve"> </v>
      </c>
      <c r="H4048" t="str">
        <f>IFERROR(+VLOOKUP(Movimientos_2026[[#This Row],[Codigo]],Plan_cuentas[],5,FALSE)," ")</f>
        <v xml:space="preserve"> </v>
      </c>
      <c r="I4048" s="43"/>
      <c r="K4048" t="str">
        <f>IFERROR(+VLOOKUP(Movimientos_2026[[#This Row],[Codigo]],Plan_cuentas[],6,FALSE)," ")</f>
        <v xml:space="preserve"> </v>
      </c>
      <c r="L4048" s="50"/>
      <c r="M4048" s="50"/>
      <c r="N4048" s="20">
        <f>+Movimientos_2026[[#This Row],[Ingresos]]-Movimientos_2026[[#This Row],[Egresos]]</f>
        <v>0</v>
      </c>
      <c r="O4048" s="20">
        <f>+O4047+Movimientos_2026[[#This Row],[Neto]]</f>
        <v>4581558617.7962294</v>
      </c>
    </row>
    <row r="4049" spans="1:15" x14ac:dyDescent="0.25">
      <c r="A4049" s="13"/>
      <c r="B4049" s="12">
        <f>MONTH(Movimientos_2026[[#This Row],[Fecha]])</f>
        <v>1</v>
      </c>
      <c r="C4049" s="12" t="str">
        <f>VLOOKUP((WEEKDAY(Movimientos_2026[[#This Row],[Fecha]],2)),'5. Setup'!$D$6:$E$12,2,FALSE)</f>
        <v>Sab</v>
      </c>
      <c r="E4049" t="str">
        <f>IFERROR(+VLOOKUP(Movimientos_2026[[#This Row],[Codigo]],Plan_cuentas[],2,FALSE)," ")</f>
        <v xml:space="preserve"> </v>
      </c>
      <c r="F4049" t="str">
        <f>IFERROR(+VLOOKUP(Movimientos_2026[[#This Row],[Codigo]],Plan_cuentas[],3,FALSE)," ")</f>
        <v xml:space="preserve"> </v>
      </c>
      <c r="G4049" t="str">
        <f>IFERROR(+VLOOKUP(Movimientos_2026[[#This Row],[Codigo]],Plan_cuentas[],4,FALSE)," ")</f>
        <v xml:space="preserve"> </v>
      </c>
      <c r="H4049" t="str">
        <f>IFERROR(+VLOOKUP(Movimientos_2026[[#This Row],[Codigo]],Plan_cuentas[],5,FALSE)," ")</f>
        <v xml:space="preserve"> </v>
      </c>
      <c r="I4049" s="43"/>
      <c r="K4049" t="str">
        <f>IFERROR(+VLOOKUP(Movimientos_2026[[#This Row],[Codigo]],Plan_cuentas[],6,FALSE)," ")</f>
        <v xml:space="preserve"> </v>
      </c>
      <c r="L4049" s="50"/>
      <c r="M4049" s="50"/>
      <c r="N4049" s="20">
        <f>+Movimientos_2026[[#This Row],[Ingresos]]-Movimientos_2026[[#This Row],[Egresos]]</f>
        <v>0</v>
      </c>
      <c r="O4049" s="20">
        <f>+O4048+Movimientos_2026[[#This Row],[Neto]]</f>
        <v>4581558617.7962294</v>
      </c>
    </row>
    <row r="4050" spans="1:15" x14ac:dyDescent="0.25">
      <c r="A4050" s="13"/>
      <c r="B4050" s="12">
        <f>MONTH(Movimientos_2026[[#This Row],[Fecha]])</f>
        <v>1</v>
      </c>
      <c r="C4050" s="12" t="str">
        <f>VLOOKUP((WEEKDAY(Movimientos_2026[[#This Row],[Fecha]],2)),'5. Setup'!$D$6:$E$12,2,FALSE)</f>
        <v>Sab</v>
      </c>
      <c r="E4050" t="str">
        <f>IFERROR(+VLOOKUP(Movimientos_2026[[#This Row],[Codigo]],Plan_cuentas[],2,FALSE)," ")</f>
        <v xml:space="preserve"> </v>
      </c>
      <c r="F4050" t="str">
        <f>IFERROR(+VLOOKUP(Movimientos_2026[[#This Row],[Codigo]],Plan_cuentas[],3,FALSE)," ")</f>
        <v xml:space="preserve"> </v>
      </c>
      <c r="G4050" t="str">
        <f>IFERROR(+VLOOKUP(Movimientos_2026[[#This Row],[Codigo]],Plan_cuentas[],4,FALSE)," ")</f>
        <v xml:space="preserve"> </v>
      </c>
      <c r="H4050" t="str">
        <f>IFERROR(+VLOOKUP(Movimientos_2026[[#This Row],[Codigo]],Plan_cuentas[],5,FALSE)," ")</f>
        <v xml:space="preserve"> </v>
      </c>
      <c r="I4050" s="43"/>
      <c r="K4050" t="str">
        <f>IFERROR(+VLOOKUP(Movimientos_2026[[#This Row],[Codigo]],Plan_cuentas[],6,FALSE)," ")</f>
        <v xml:space="preserve"> </v>
      </c>
      <c r="L4050" s="50"/>
      <c r="M4050" s="50"/>
      <c r="N4050" s="20">
        <f>+Movimientos_2026[[#This Row],[Ingresos]]-Movimientos_2026[[#This Row],[Egresos]]</f>
        <v>0</v>
      </c>
      <c r="O4050" s="20">
        <f>+O4049+Movimientos_2026[[#This Row],[Neto]]</f>
        <v>4581558617.7962294</v>
      </c>
    </row>
    <row r="4051" spans="1:15" x14ac:dyDescent="0.25">
      <c r="A4051" s="13"/>
      <c r="B4051" s="12">
        <f>MONTH(Movimientos_2026[[#This Row],[Fecha]])</f>
        <v>1</v>
      </c>
      <c r="C4051" s="12" t="str">
        <f>VLOOKUP((WEEKDAY(Movimientos_2026[[#This Row],[Fecha]],2)),'5. Setup'!$D$6:$E$12,2,FALSE)</f>
        <v>Sab</v>
      </c>
      <c r="E4051" t="str">
        <f>IFERROR(+VLOOKUP(Movimientos_2026[[#This Row],[Codigo]],Plan_cuentas[],2,FALSE)," ")</f>
        <v xml:space="preserve"> </v>
      </c>
      <c r="F4051" t="str">
        <f>IFERROR(+VLOOKUP(Movimientos_2026[[#This Row],[Codigo]],Plan_cuentas[],3,FALSE)," ")</f>
        <v xml:space="preserve"> </v>
      </c>
      <c r="G4051" t="str">
        <f>IFERROR(+VLOOKUP(Movimientos_2026[[#This Row],[Codigo]],Plan_cuentas[],4,FALSE)," ")</f>
        <v xml:space="preserve"> </v>
      </c>
      <c r="H4051" t="str">
        <f>IFERROR(+VLOOKUP(Movimientos_2026[[#This Row],[Codigo]],Plan_cuentas[],5,FALSE)," ")</f>
        <v xml:space="preserve"> </v>
      </c>
      <c r="I4051" s="43"/>
      <c r="K4051" t="str">
        <f>IFERROR(+VLOOKUP(Movimientos_2026[[#This Row],[Codigo]],Plan_cuentas[],6,FALSE)," ")</f>
        <v xml:space="preserve"> </v>
      </c>
      <c r="L4051" s="50"/>
      <c r="M4051" s="50"/>
      <c r="N4051" s="20">
        <f>+Movimientos_2026[[#This Row],[Ingresos]]-Movimientos_2026[[#This Row],[Egresos]]</f>
        <v>0</v>
      </c>
      <c r="O4051" s="20">
        <f>+O4050+Movimientos_2026[[#This Row],[Neto]]</f>
        <v>4581558617.7962294</v>
      </c>
    </row>
    <row r="4052" spans="1:15" x14ac:dyDescent="0.25">
      <c r="A4052" s="13"/>
      <c r="B4052" s="12">
        <f>MONTH(Movimientos_2026[[#This Row],[Fecha]])</f>
        <v>1</v>
      </c>
      <c r="C4052" s="12" t="str">
        <f>VLOOKUP((WEEKDAY(Movimientos_2026[[#This Row],[Fecha]],2)),'5. Setup'!$D$6:$E$12,2,FALSE)</f>
        <v>Sab</v>
      </c>
      <c r="E4052" t="str">
        <f>IFERROR(+VLOOKUP(Movimientos_2026[[#This Row],[Codigo]],Plan_cuentas[],2,FALSE)," ")</f>
        <v xml:space="preserve"> </v>
      </c>
      <c r="F4052" t="str">
        <f>IFERROR(+VLOOKUP(Movimientos_2026[[#This Row],[Codigo]],Plan_cuentas[],3,FALSE)," ")</f>
        <v xml:space="preserve"> </v>
      </c>
      <c r="G4052" t="str">
        <f>IFERROR(+VLOOKUP(Movimientos_2026[[#This Row],[Codigo]],Plan_cuentas[],4,FALSE)," ")</f>
        <v xml:space="preserve"> </v>
      </c>
      <c r="H4052" t="str">
        <f>IFERROR(+VLOOKUP(Movimientos_2026[[#This Row],[Codigo]],Plan_cuentas[],5,FALSE)," ")</f>
        <v xml:space="preserve"> </v>
      </c>
      <c r="I4052" s="43"/>
      <c r="K4052" t="str">
        <f>IFERROR(+VLOOKUP(Movimientos_2026[[#This Row],[Codigo]],Plan_cuentas[],6,FALSE)," ")</f>
        <v xml:space="preserve"> </v>
      </c>
      <c r="L4052" s="50"/>
      <c r="M4052" s="50"/>
      <c r="N4052" s="20">
        <f>+Movimientos_2026[[#This Row],[Ingresos]]-Movimientos_2026[[#This Row],[Egresos]]</f>
        <v>0</v>
      </c>
      <c r="O4052" s="20">
        <f>+O4051+Movimientos_2026[[#This Row],[Neto]]</f>
        <v>4581558617.7962294</v>
      </c>
    </row>
    <row r="4053" spans="1:15" x14ac:dyDescent="0.25">
      <c r="A4053" s="13"/>
      <c r="B4053" s="12">
        <f>MONTH(Movimientos_2026[[#This Row],[Fecha]])</f>
        <v>1</v>
      </c>
      <c r="C4053" s="12" t="str">
        <f>VLOOKUP((WEEKDAY(Movimientos_2026[[#This Row],[Fecha]],2)),'5. Setup'!$D$6:$E$12,2,FALSE)</f>
        <v>Sab</v>
      </c>
      <c r="E4053" t="str">
        <f>IFERROR(+VLOOKUP(Movimientos_2026[[#This Row],[Codigo]],Plan_cuentas[],2,FALSE)," ")</f>
        <v xml:space="preserve"> </v>
      </c>
      <c r="F4053" t="str">
        <f>IFERROR(+VLOOKUP(Movimientos_2026[[#This Row],[Codigo]],Plan_cuentas[],3,FALSE)," ")</f>
        <v xml:space="preserve"> </v>
      </c>
      <c r="G4053" t="str">
        <f>IFERROR(+VLOOKUP(Movimientos_2026[[#This Row],[Codigo]],Plan_cuentas[],4,FALSE)," ")</f>
        <v xml:space="preserve"> </v>
      </c>
      <c r="H4053" t="str">
        <f>IFERROR(+VLOOKUP(Movimientos_2026[[#This Row],[Codigo]],Plan_cuentas[],5,FALSE)," ")</f>
        <v xml:space="preserve"> </v>
      </c>
      <c r="I4053" s="43"/>
      <c r="K4053" t="str">
        <f>IFERROR(+VLOOKUP(Movimientos_2026[[#This Row],[Codigo]],Plan_cuentas[],6,FALSE)," ")</f>
        <v xml:space="preserve"> </v>
      </c>
      <c r="L4053" s="50"/>
      <c r="M4053" s="50"/>
      <c r="N4053" s="20">
        <f>+Movimientos_2026[[#This Row],[Ingresos]]-Movimientos_2026[[#This Row],[Egresos]]</f>
        <v>0</v>
      </c>
      <c r="O4053" s="20">
        <f>+O4052+Movimientos_2026[[#This Row],[Neto]]</f>
        <v>4581558617.7962294</v>
      </c>
    </row>
    <row r="4054" spans="1:15" x14ac:dyDescent="0.25">
      <c r="A4054" s="13"/>
      <c r="B4054" s="12">
        <f>MONTH(Movimientos_2026[[#This Row],[Fecha]])</f>
        <v>1</v>
      </c>
      <c r="C4054" s="12" t="str">
        <f>VLOOKUP((WEEKDAY(Movimientos_2026[[#This Row],[Fecha]],2)),'5. Setup'!$D$6:$E$12,2,FALSE)</f>
        <v>Sab</v>
      </c>
      <c r="E4054" t="str">
        <f>IFERROR(+VLOOKUP(Movimientos_2026[[#This Row],[Codigo]],Plan_cuentas[],2,FALSE)," ")</f>
        <v xml:space="preserve"> </v>
      </c>
      <c r="F4054" t="str">
        <f>IFERROR(+VLOOKUP(Movimientos_2026[[#This Row],[Codigo]],Plan_cuentas[],3,FALSE)," ")</f>
        <v xml:space="preserve"> </v>
      </c>
      <c r="G4054" t="str">
        <f>IFERROR(+VLOOKUP(Movimientos_2026[[#This Row],[Codigo]],Plan_cuentas[],4,FALSE)," ")</f>
        <v xml:space="preserve"> </v>
      </c>
      <c r="H4054" t="str">
        <f>IFERROR(+VLOOKUP(Movimientos_2026[[#This Row],[Codigo]],Plan_cuentas[],5,FALSE)," ")</f>
        <v xml:space="preserve"> </v>
      </c>
      <c r="I4054" s="43"/>
      <c r="K4054" t="str">
        <f>IFERROR(+VLOOKUP(Movimientos_2026[[#This Row],[Codigo]],Plan_cuentas[],6,FALSE)," ")</f>
        <v xml:space="preserve"> </v>
      </c>
      <c r="L4054" s="50"/>
      <c r="M4054" s="50"/>
      <c r="N4054" s="20">
        <f>+Movimientos_2026[[#This Row],[Ingresos]]-Movimientos_2026[[#This Row],[Egresos]]</f>
        <v>0</v>
      </c>
      <c r="O4054" s="20">
        <f>+O4053+Movimientos_2026[[#This Row],[Neto]]</f>
        <v>4581558617.7962294</v>
      </c>
    </row>
    <row r="4055" spans="1:15" x14ac:dyDescent="0.25">
      <c r="A4055" s="13"/>
      <c r="B4055" s="12">
        <f>MONTH(Movimientos_2026[[#This Row],[Fecha]])</f>
        <v>1</v>
      </c>
      <c r="C4055" s="12" t="str">
        <f>VLOOKUP((WEEKDAY(Movimientos_2026[[#This Row],[Fecha]],2)),'5. Setup'!$D$6:$E$12,2,FALSE)</f>
        <v>Sab</v>
      </c>
      <c r="E4055" t="str">
        <f>IFERROR(+VLOOKUP(Movimientos_2026[[#This Row],[Codigo]],Plan_cuentas[],2,FALSE)," ")</f>
        <v xml:space="preserve"> </v>
      </c>
      <c r="F4055" t="str">
        <f>IFERROR(+VLOOKUP(Movimientos_2026[[#This Row],[Codigo]],Plan_cuentas[],3,FALSE)," ")</f>
        <v xml:space="preserve"> </v>
      </c>
      <c r="G4055" t="str">
        <f>IFERROR(+VLOOKUP(Movimientos_2026[[#This Row],[Codigo]],Plan_cuentas[],4,FALSE)," ")</f>
        <v xml:space="preserve"> </v>
      </c>
      <c r="H4055" t="str">
        <f>IFERROR(+VLOOKUP(Movimientos_2026[[#This Row],[Codigo]],Plan_cuentas[],5,FALSE)," ")</f>
        <v xml:space="preserve"> </v>
      </c>
      <c r="I4055" s="43"/>
      <c r="K4055" t="str">
        <f>IFERROR(+VLOOKUP(Movimientos_2026[[#This Row],[Codigo]],Plan_cuentas[],6,FALSE)," ")</f>
        <v xml:space="preserve"> </v>
      </c>
      <c r="L4055" s="50"/>
      <c r="M4055" s="50"/>
      <c r="N4055" s="20">
        <f>+Movimientos_2026[[#This Row],[Ingresos]]-Movimientos_2026[[#This Row],[Egresos]]</f>
        <v>0</v>
      </c>
      <c r="O4055" s="20">
        <f>+O4054+Movimientos_2026[[#This Row],[Neto]]</f>
        <v>4581558617.7962294</v>
      </c>
    </row>
    <row r="4056" spans="1:15" x14ac:dyDescent="0.25">
      <c r="A4056" s="13"/>
      <c r="B4056" s="12">
        <f>MONTH(Movimientos_2026[[#This Row],[Fecha]])</f>
        <v>1</v>
      </c>
      <c r="C4056" s="12" t="str">
        <f>VLOOKUP((WEEKDAY(Movimientos_2026[[#This Row],[Fecha]],2)),'5. Setup'!$D$6:$E$12,2,FALSE)</f>
        <v>Sab</v>
      </c>
      <c r="E4056" t="str">
        <f>IFERROR(+VLOOKUP(Movimientos_2026[[#This Row],[Codigo]],Plan_cuentas[],2,FALSE)," ")</f>
        <v xml:space="preserve"> </v>
      </c>
      <c r="F4056" t="str">
        <f>IFERROR(+VLOOKUP(Movimientos_2026[[#This Row],[Codigo]],Plan_cuentas[],3,FALSE)," ")</f>
        <v xml:space="preserve"> </v>
      </c>
      <c r="G4056" t="str">
        <f>IFERROR(+VLOOKUP(Movimientos_2026[[#This Row],[Codigo]],Plan_cuentas[],4,FALSE)," ")</f>
        <v xml:space="preserve"> </v>
      </c>
      <c r="H4056" t="str">
        <f>IFERROR(+VLOOKUP(Movimientos_2026[[#This Row],[Codigo]],Plan_cuentas[],5,FALSE)," ")</f>
        <v xml:space="preserve"> </v>
      </c>
      <c r="I4056" s="43"/>
      <c r="K4056" t="str">
        <f>IFERROR(+VLOOKUP(Movimientos_2026[[#This Row],[Codigo]],Plan_cuentas[],6,FALSE)," ")</f>
        <v xml:space="preserve"> </v>
      </c>
      <c r="L4056" s="50"/>
      <c r="M4056" s="50"/>
      <c r="N4056" s="20">
        <f>+Movimientos_2026[[#This Row],[Ingresos]]-Movimientos_2026[[#This Row],[Egresos]]</f>
        <v>0</v>
      </c>
      <c r="O4056" s="20">
        <f>+O4055+Movimientos_2026[[#This Row],[Neto]]</f>
        <v>4581558617.7962294</v>
      </c>
    </row>
    <row r="4057" spans="1:15" x14ac:dyDescent="0.25">
      <c r="A4057" s="13"/>
      <c r="B4057" s="12">
        <f>MONTH(Movimientos_2026[[#This Row],[Fecha]])</f>
        <v>1</v>
      </c>
      <c r="C4057" s="12" t="str">
        <f>VLOOKUP((WEEKDAY(Movimientos_2026[[#This Row],[Fecha]],2)),'5. Setup'!$D$6:$E$12,2,FALSE)</f>
        <v>Sab</v>
      </c>
      <c r="E4057" t="str">
        <f>IFERROR(+VLOOKUP(Movimientos_2026[[#This Row],[Codigo]],Plan_cuentas[],2,FALSE)," ")</f>
        <v xml:space="preserve"> </v>
      </c>
      <c r="F4057" t="str">
        <f>IFERROR(+VLOOKUP(Movimientos_2026[[#This Row],[Codigo]],Plan_cuentas[],3,FALSE)," ")</f>
        <v xml:space="preserve"> </v>
      </c>
      <c r="G4057" t="str">
        <f>IFERROR(+VLOOKUP(Movimientos_2026[[#This Row],[Codigo]],Plan_cuentas[],4,FALSE)," ")</f>
        <v xml:space="preserve"> </v>
      </c>
      <c r="H4057" t="str">
        <f>IFERROR(+VLOOKUP(Movimientos_2026[[#This Row],[Codigo]],Plan_cuentas[],5,FALSE)," ")</f>
        <v xml:space="preserve"> </v>
      </c>
      <c r="I4057" s="43"/>
      <c r="K4057" t="str">
        <f>IFERROR(+VLOOKUP(Movimientos_2026[[#This Row],[Codigo]],Plan_cuentas[],6,FALSE)," ")</f>
        <v xml:space="preserve"> </v>
      </c>
      <c r="L4057" s="50"/>
      <c r="M4057" s="50"/>
      <c r="N4057" s="20">
        <f>+Movimientos_2026[[#This Row],[Ingresos]]-Movimientos_2026[[#This Row],[Egresos]]</f>
        <v>0</v>
      </c>
      <c r="O4057" s="20">
        <f>+O4056+Movimientos_2026[[#This Row],[Neto]]</f>
        <v>4581558617.7962294</v>
      </c>
    </row>
    <row r="4058" spans="1:15" x14ac:dyDescent="0.25">
      <c r="A4058" s="13"/>
      <c r="B4058" s="12">
        <f>MONTH(Movimientos_2026[[#This Row],[Fecha]])</f>
        <v>1</v>
      </c>
      <c r="C4058" s="12" t="str">
        <f>VLOOKUP((WEEKDAY(Movimientos_2026[[#This Row],[Fecha]],2)),'5. Setup'!$D$6:$E$12,2,FALSE)</f>
        <v>Sab</v>
      </c>
      <c r="E4058" t="str">
        <f>IFERROR(+VLOOKUP(Movimientos_2026[[#This Row],[Codigo]],Plan_cuentas[],2,FALSE)," ")</f>
        <v xml:space="preserve"> </v>
      </c>
      <c r="F4058" t="str">
        <f>IFERROR(+VLOOKUP(Movimientos_2026[[#This Row],[Codigo]],Plan_cuentas[],3,FALSE)," ")</f>
        <v xml:space="preserve"> </v>
      </c>
      <c r="G4058" t="str">
        <f>IFERROR(+VLOOKUP(Movimientos_2026[[#This Row],[Codigo]],Plan_cuentas[],4,FALSE)," ")</f>
        <v xml:space="preserve"> </v>
      </c>
      <c r="H4058" t="str">
        <f>IFERROR(+VLOOKUP(Movimientos_2026[[#This Row],[Codigo]],Plan_cuentas[],5,FALSE)," ")</f>
        <v xml:space="preserve"> </v>
      </c>
      <c r="I4058" s="43"/>
      <c r="K4058" t="str">
        <f>IFERROR(+VLOOKUP(Movimientos_2026[[#This Row],[Codigo]],Plan_cuentas[],6,FALSE)," ")</f>
        <v xml:space="preserve"> </v>
      </c>
      <c r="L4058" s="50"/>
      <c r="M4058" s="50"/>
      <c r="N4058" s="20">
        <f>+Movimientos_2026[[#This Row],[Ingresos]]-Movimientos_2026[[#This Row],[Egresos]]</f>
        <v>0</v>
      </c>
      <c r="O4058" s="20">
        <f>+O4057+Movimientos_2026[[#This Row],[Neto]]</f>
        <v>4581558617.7962294</v>
      </c>
    </row>
    <row r="4059" spans="1:15" x14ac:dyDescent="0.25">
      <c r="A4059" s="13"/>
      <c r="B4059" s="12">
        <f>MONTH(Movimientos_2026[[#This Row],[Fecha]])</f>
        <v>1</v>
      </c>
      <c r="C4059" s="12" t="str">
        <f>VLOOKUP((WEEKDAY(Movimientos_2026[[#This Row],[Fecha]],2)),'5. Setup'!$D$6:$E$12,2,FALSE)</f>
        <v>Sab</v>
      </c>
      <c r="E4059" t="str">
        <f>IFERROR(+VLOOKUP(Movimientos_2026[[#This Row],[Codigo]],Plan_cuentas[],2,FALSE)," ")</f>
        <v xml:space="preserve"> </v>
      </c>
      <c r="F4059" t="str">
        <f>IFERROR(+VLOOKUP(Movimientos_2026[[#This Row],[Codigo]],Plan_cuentas[],3,FALSE)," ")</f>
        <v xml:space="preserve"> </v>
      </c>
      <c r="G4059" t="str">
        <f>IFERROR(+VLOOKUP(Movimientos_2026[[#This Row],[Codigo]],Plan_cuentas[],4,FALSE)," ")</f>
        <v xml:space="preserve"> </v>
      </c>
      <c r="H4059" t="str">
        <f>IFERROR(+VLOOKUP(Movimientos_2026[[#This Row],[Codigo]],Plan_cuentas[],5,FALSE)," ")</f>
        <v xml:space="preserve"> </v>
      </c>
      <c r="I4059" s="43"/>
      <c r="K4059" t="str">
        <f>IFERROR(+VLOOKUP(Movimientos_2026[[#This Row],[Codigo]],Plan_cuentas[],6,FALSE)," ")</f>
        <v xml:space="preserve"> </v>
      </c>
      <c r="L4059" s="50"/>
      <c r="M4059" s="50"/>
      <c r="N4059" s="20">
        <f>+Movimientos_2026[[#This Row],[Ingresos]]-Movimientos_2026[[#This Row],[Egresos]]</f>
        <v>0</v>
      </c>
      <c r="O4059" s="20">
        <f>+O4058+Movimientos_2026[[#This Row],[Neto]]</f>
        <v>4581558617.7962294</v>
      </c>
    </row>
    <row r="4060" spans="1:15" x14ac:dyDescent="0.25">
      <c r="A4060" s="13"/>
      <c r="B4060" s="12">
        <f>MONTH(Movimientos_2026[[#This Row],[Fecha]])</f>
        <v>1</v>
      </c>
      <c r="C4060" s="12" t="str">
        <f>VLOOKUP((WEEKDAY(Movimientos_2026[[#This Row],[Fecha]],2)),'5. Setup'!$D$6:$E$12,2,FALSE)</f>
        <v>Sab</v>
      </c>
      <c r="E4060" t="str">
        <f>IFERROR(+VLOOKUP(Movimientos_2026[[#This Row],[Codigo]],Plan_cuentas[],2,FALSE)," ")</f>
        <v xml:space="preserve"> </v>
      </c>
      <c r="F4060" t="str">
        <f>IFERROR(+VLOOKUP(Movimientos_2026[[#This Row],[Codigo]],Plan_cuentas[],3,FALSE)," ")</f>
        <v xml:space="preserve"> </v>
      </c>
      <c r="G4060" t="str">
        <f>IFERROR(+VLOOKUP(Movimientos_2026[[#This Row],[Codigo]],Plan_cuentas[],4,FALSE)," ")</f>
        <v xml:space="preserve"> </v>
      </c>
      <c r="H4060" t="str">
        <f>IFERROR(+VLOOKUP(Movimientos_2026[[#This Row],[Codigo]],Plan_cuentas[],5,FALSE)," ")</f>
        <v xml:space="preserve"> </v>
      </c>
      <c r="I4060" s="43"/>
      <c r="K4060" t="str">
        <f>IFERROR(+VLOOKUP(Movimientos_2026[[#This Row],[Codigo]],Plan_cuentas[],6,FALSE)," ")</f>
        <v xml:space="preserve"> </v>
      </c>
      <c r="L4060" s="50"/>
      <c r="M4060" s="50"/>
      <c r="N4060" s="20">
        <f>+Movimientos_2026[[#This Row],[Ingresos]]-Movimientos_2026[[#This Row],[Egresos]]</f>
        <v>0</v>
      </c>
      <c r="O4060" s="20">
        <f>+O4059+Movimientos_2026[[#This Row],[Neto]]</f>
        <v>4581558617.7962294</v>
      </c>
    </row>
    <row r="4061" spans="1:15" x14ac:dyDescent="0.25">
      <c r="A4061" s="13"/>
      <c r="B4061" s="12">
        <f>MONTH(Movimientos_2026[[#This Row],[Fecha]])</f>
        <v>1</v>
      </c>
      <c r="C4061" s="12" t="str">
        <f>VLOOKUP((WEEKDAY(Movimientos_2026[[#This Row],[Fecha]],2)),'5. Setup'!$D$6:$E$12,2,FALSE)</f>
        <v>Sab</v>
      </c>
      <c r="E4061" t="str">
        <f>IFERROR(+VLOOKUP(Movimientos_2026[[#This Row],[Codigo]],Plan_cuentas[],2,FALSE)," ")</f>
        <v xml:space="preserve"> </v>
      </c>
      <c r="F4061" t="str">
        <f>IFERROR(+VLOOKUP(Movimientos_2026[[#This Row],[Codigo]],Plan_cuentas[],3,FALSE)," ")</f>
        <v xml:space="preserve"> </v>
      </c>
      <c r="G4061" t="str">
        <f>IFERROR(+VLOOKUP(Movimientos_2026[[#This Row],[Codigo]],Plan_cuentas[],4,FALSE)," ")</f>
        <v xml:space="preserve"> </v>
      </c>
      <c r="H4061" t="str">
        <f>IFERROR(+VLOOKUP(Movimientos_2026[[#This Row],[Codigo]],Plan_cuentas[],5,FALSE)," ")</f>
        <v xml:space="preserve"> </v>
      </c>
      <c r="I4061" s="43"/>
      <c r="K4061" t="str">
        <f>IFERROR(+VLOOKUP(Movimientos_2026[[#This Row],[Codigo]],Plan_cuentas[],6,FALSE)," ")</f>
        <v xml:space="preserve"> </v>
      </c>
      <c r="L4061" s="50"/>
      <c r="M4061" s="50"/>
      <c r="N4061" s="20">
        <f>+Movimientos_2026[[#This Row],[Ingresos]]-Movimientos_2026[[#This Row],[Egresos]]</f>
        <v>0</v>
      </c>
      <c r="O4061" s="20">
        <f>+O4060+Movimientos_2026[[#This Row],[Neto]]</f>
        <v>4581558617.7962294</v>
      </c>
    </row>
    <row r="4062" spans="1:15" x14ac:dyDescent="0.25">
      <c r="A4062" s="13"/>
      <c r="B4062" s="12">
        <f>MONTH(Movimientos_2026[[#This Row],[Fecha]])</f>
        <v>1</v>
      </c>
      <c r="C4062" s="12" t="str">
        <f>VLOOKUP((WEEKDAY(Movimientos_2026[[#This Row],[Fecha]],2)),'5. Setup'!$D$6:$E$12,2,FALSE)</f>
        <v>Sab</v>
      </c>
      <c r="E4062" t="str">
        <f>IFERROR(+VLOOKUP(Movimientos_2026[[#This Row],[Codigo]],Plan_cuentas[],2,FALSE)," ")</f>
        <v xml:space="preserve"> </v>
      </c>
      <c r="F4062" t="str">
        <f>IFERROR(+VLOOKUP(Movimientos_2026[[#This Row],[Codigo]],Plan_cuentas[],3,FALSE)," ")</f>
        <v xml:space="preserve"> </v>
      </c>
      <c r="G4062" t="str">
        <f>IFERROR(+VLOOKUP(Movimientos_2026[[#This Row],[Codigo]],Plan_cuentas[],4,FALSE)," ")</f>
        <v xml:space="preserve"> </v>
      </c>
      <c r="H4062" t="str">
        <f>IFERROR(+VLOOKUP(Movimientos_2026[[#This Row],[Codigo]],Plan_cuentas[],5,FALSE)," ")</f>
        <v xml:space="preserve"> </v>
      </c>
      <c r="I4062" s="43"/>
      <c r="K4062" t="str">
        <f>IFERROR(+VLOOKUP(Movimientos_2026[[#This Row],[Codigo]],Plan_cuentas[],6,FALSE)," ")</f>
        <v xml:space="preserve"> </v>
      </c>
      <c r="L4062" s="50"/>
      <c r="M4062" s="50"/>
      <c r="N4062" s="20">
        <f>+Movimientos_2026[[#This Row],[Ingresos]]-Movimientos_2026[[#This Row],[Egresos]]</f>
        <v>0</v>
      </c>
      <c r="O4062" s="20">
        <f>+O4061+Movimientos_2026[[#This Row],[Neto]]</f>
        <v>4581558617.7962294</v>
      </c>
    </row>
    <row r="4063" spans="1:15" x14ac:dyDescent="0.25">
      <c r="A4063" s="13"/>
      <c r="B4063" s="12">
        <f>MONTH(Movimientos_2026[[#This Row],[Fecha]])</f>
        <v>1</v>
      </c>
      <c r="C4063" s="12" t="str">
        <f>VLOOKUP((WEEKDAY(Movimientos_2026[[#This Row],[Fecha]],2)),'5. Setup'!$D$6:$E$12,2,FALSE)</f>
        <v>Sab</v>
      </c>
      <c r="E4063" t="str">
        <f>IFERROR(+VLOOKUP(Movimientos_2026[[#This Row],[Codigo]],Plan_cuentas[],2,FALSE)," ")</f>
        <v xml:space="preserve"> </v>
      </c>
      <c r="F4063" t="str">
        <f>IFERROR(+VLOOKUP(Movimientos_2026[[#This Row],[Codigo]],Plan_cuentas[],3,FALSE)," ")</f>
        <v xml:space="preserve"> </v>
      </c>
      <c r="G4063" t="str">
        <f>IFERROR(+VLOOKUP(Movimientos_2026[[#This Row],[Codigo]],Plan_cuentas[],4,FALSE)," ")</f>
        <v xml:space="preserve"> </v>
      </c>
      <c r="H4063" t="str">
        <f>IFERROR(+VLOOKUP(Movimientos_2026[[#This Row],[Codigo]],Plan_cuentas[],5,FALSE)," ")</f>
        <v xml:space="preserve"> </v>
      </c>
      <c r="I4063" s="43"/>
      <c r="K4063" t="str">
        <f>IFERROR(+VLOOKUP(Movimientos_2026[[#This Row],[Codigo]],Plan_cuentas[],6,FALSE)," ")</f>
        <v xml:space="preserve"> </v>
      </c>
      <c r="L4063" s="50"/>
      <c r="M4063" s="50"/>
      <c r="N4063" s="20">
        <f>+Movimientos_2026[[#This Row],[Ingresos]]-Movimientos_2026[[#This Row],[Egresos]]</f>
        <v>0</v>
      </c>
      <c r="O4063" s="20">
        <f>+O4062+Movimientos_2026[[#This Row],[Neto]]</f>
        <v>4581558617.7962294</v>
      </c>
    </row>
    <row r="4064" spans="1:15" x14ac:dyDescent="0.25">
      <c r="A4064" s="13"/>
      <c r="B4064" s="12">
        <f>MONTH(Movimientos_2026[[#This Row],[Fecha]])</f>
        <v>1</v>
      </c>
      <c r="C4064" s="12" t="str">
        <f>VLOOKUP((WEEKDAY(Movimientos_2026[[#This Row],[Fecha]],2)),'5. Setup'!$D$6:$E$12,2,FALSE)</f>
        <v>Sab</v>
      </c>
      <c r="E4064" t="str">
        <f>IFERROR(+VLOOKUP(Movimientos_2026[[#This Row],[Codigo]],Plan_cuentas[],2,FALSE)," ")</f>
        <v xml:space="preserve"> </v>
      </c>
      <c r="F4064" t="str">
        <f>IFERROR(+VLOOKUP(Movimientos_2026[[#This Row],[Codigo]],Plan_cuentas[],3,FALSE)," ")</f>
        <v xml:space="preserve"> </v>
      </c>
      <c r="G4064" t="str">
        <f>IFERROR(+VLOOKUP(Movimientos_2026[[#This Row],[Codigo]],Plan_cuentas[],4,FALSE)," ")</f>
        <v xml:space="preserve"> </v>
      </c>
      <c r="H4064" t="str">
        <f>IFERROR(+VLOOKUP(Movimientos_2026[[#This Row],[Codigo]],Plan_cuentas[],5,FALSE)," ")</f>
        <v xml:space="preserve"> </v>
      </c>
      <c r="I4064" s="43"/>
      <c r="K4064" t="str">
        <f>IFERROR(+VLOOKUP(Movimientos_2026[[#This Row],[Codigo]],Plan_cuentas[],6,FALSE)," ")</f>
        <v xml:space="preserve"> </v>
      </c>
      <c r="L4064" s="50"/>
      <c r="M4064" s="50"/>
      <c r="N4064" s="20">
        <f>+Movimientos_2026[[#This Row],[Ingresos]]-Movimientos_2026[[#This Row],[Egresos]]</f>
        <v>0</v>
      </c>
      <c r="O4064" s="20">
        <f>+O4063+Movimientos_2026[[#This Row],[Neto]]</f>
        <v>4581558617.7962294</v>
      </c>
    </row>
    <row r="4065" spans="1:15" x14ac:dyDescent="0.25">
      <c r="A4065" s="13"/>
      <c r="B4065" s="12">
        <f>MONTH(Movimientos_2026[[#This Row],[Fecha]])</f>
        <v>1</v>
      </c>
      <c r="C4065" s="12" t="str">
        <f>VLOOKUP((WEEKDAY(Movimientos_2026[[#This Row],[Fecha]],2)),'5. Setup'!$D$6:$E$12,2,FALSE)</f>
        <v>Sab</v>
      </c>
      <c r="E4065" t="str">
        <f>IFERROR(+VLOOKUP(Movimientos_2026[[#This Row],[Codigo]],Plan_cuentas[],2,FALSE)," ")</f>
        <v xml:space="preserve"> </v>
      </c>
      <c r="F4065" t="str">
        <f>IFERROR(+VLOOKUP(Movimientos_2026[[#This Row],[Codigo]],Plan_cuentas[],3,FALSE)," ")</f>
        <v xml:space="preserve"> </v>
      </c>
      <c r="G4065" t="str">
        <f>IFERROR(+VLOOKUP(Movimientos_2026[[#This Row],[Codigo]],Plan_cuentas[],4,FALSE)," ")</f>
        <v xml:space="preserve"> </v>
      </c>
      <c r="H4065" t="str">
        <f>IFERROR(+VLOOKUP(Movimientos_2026[[#This Row],[Codigo]],Plan_cuentas[],5,FALSE)," ")</f>
        <v xml:space="preserve"> </v>
      </c>
      <c r="I4065" s="43"/>
      <c r="K4065" t="str">
        <f>IFERROR(+VLOOKUP(Movimientos_2026[[#This Row],[Codigo]],Plan_cuentas[],6,FALSE)," ")</f>
        <v xml:space="preserve"> </v>
      </c>
      <c r="L4065" s="50"/>
      <c r="M4065" s="50"/>
      <c r="N4065" s="20">
        <f>+Movimientos_2026[[#This Row],[Ingresos]]-Movimientos_2026[[#This Row],[Egresos]]</f>
        <v>0</v>
      </c>
      <c r="O4065" s="20">
        <f>+O4064+Movimientos_2026[[#This Row],[Neto]]</f>
        <v>4581558617.7962294</v>
      </c>
    </row>
    <row r="4066" spans="1:15" x14ac:dyDescent="0.25">
      <c r="A4066" s="13"/>
      <c r="B4066" s="12">
        <f>MONTH(Movimientos_2026[[#This Row],[Fecha]])</f>
        <v>1</v>
      </c>
      <c r="C4066" s="12" t="str">
        <f>VLOOKUP((WEEKDAY(Movimientos_2026[[#This Row],[Fecha]],2)),'5. Setup'!$D$6:$E$12,2,FALSE)</f>
        <v>Sab</v>
      </c>
      <c r="E4066" t="str">
        <f>IFERROR(+VLOOKUP(Movimientos_2026[[#This Row],[Codigo]],Plan_cuentas[],2,FALSE)," ")</f>
        <v xml:space="preserve"> </v>
      </c>
      <c r="F4066" t="str">
        <f>IFERROR(+VLOOKUP(Movimientos_2026[[#This Row],[Codigo]],Plan_cuentas[],3,FALSE)," ")</f>
        <v xml:space="preserve"> </v>
      </c>
      <c r="G4066" t="str">
        <f>IFERROR(+VLOOKUP(Movimientos_2026[[#This Row],[Codigo]],Plan_cuentas[],4,FALSE)," ")</f>
        <v xml:space="preserve"> </v>
      </c>
      <c r="H4066" t="str">
        <f>IFERROR(+VLOOKUP(Movimientos_2026[[#This Row],[Codigo]],Plan_cuentas[],5,FALSE)," ")</f>
        <v xml:space="preserve"> </v>
      </c>
      <c r="I4066" s="43"/>
      <c r="K4066" t="str">
        <f>IFERROR(+VLOOKUP(Movimientos_2026[[#This Row],[Codigo]],Plan_cuentas[],6,FALSE)," ")</f>
        <v xml:space="preserve"> </v>
      </c>
      <c r="L4066" s="50"/>
      <c r="M4066" s="50"/>
      <c r="N4066" s="20">
        <f>+Movimientos_2026[[#This Row],[Ingresos]]-Movimientos_2026[[#This Row],[Egresos]]</f>
        <v>0</v>
      </c>
      <c r="O4066" s="20">
        <f>+O4065+Movimientos_2026[[#This Row],[Neto]]</f>
        <v>4581558617.7962294</v>
      </c>
    </row>
    <row r="4067" spans="1:15" x14ac:dyDescent="0.25">
      <c r="A4067" s="13"/>
      <c r="B4067" s="12">
        <f>MONTH(Movimientos_2026[[#This Row],[Fecha]])</f>
        <v>1</v>
      </c>
      <c r="C4067" s="12" t="str">
        <f>VLOOKUP((WEEKDAY(Movimientos_2026[[#This Row],[Fecha]],2)),'5. Setup'!$D$6:$E$12,2,FALSE)</f>
        <v>Sab</v>
      </c>
      <c r="E4067" t="str">
        <f>IFERROR(+VLOOKUP(Movimientos_2026[[#This Row],[Codigo]],Plan_cuentas[],2,FALSE)," ")</f>
        <v xml:space="preserve"> </v>
      </c>
      <c r="F4067" t="str">
        <f>IFERROR(+VLOOKUP(Movimientos_2026[[#This Row],[Codigo]],Plan_cuentas[],3,FALSE)," ")</f>
        <v xml:space="preserve"> </v>
      </c>
      <c r="G4067" t="str">
        <f>IFERROR(+VLOOKUP(Movimientos_2026[[#This Row],[Codigo]],Plan_cuentas[],4,FALSE)," ")</f>
        <v xml:space="preserve"> </v>
      </c>
      <c r="H4067" t="str">
        <f>IFERROR(+VLOOKUP(Movimientos_2026[[#This Row],[Codigo]],Plan_cuentas[],5,FALSE)," ")</f>
        <v xml:space="preserve"> </v>
      </c>
      <c r="I4067" s="43"/>
      <c r="K4067" t="str">
        <f>IFERROR(+VLOOKUP(Movimientos_2026[[#This Row],[Codigo]],Plan_cuentas[],6,FALSE)," ")</f>
        <v xml:space="preserve"> </v>
      </c>
      <c r="L4067" s="50"/>
      <c r="M4067" s="50"/>
      <c r="N4067" s="20">
        <f>+Movimientos_2026[[#This Row],[Ingresos]]-Movimientos_2026[[#This Row],[Egresos]]</f>
        <v>0</v>
      </c>
      <c r="O4067" s="20">
        <f>+O4066+Movimientos_2026[[#This Row],[Neto]]</f>
        <v>4581558617.7962294</v>
      </c>
    </row>
    <row r="4068" spans="1:15" x14ac:dyDescent="0.25">
      <c r="A4068" s="13"/>
      <c r="B4068" s="12">
        <f>MONTH(Movimientos_2026[[#This Row],[Fecha]])</f>
        <v>1</v>
      </c>
      <c r="C4068" s="12" t="str">
        <f>VLOOKUP((WEEKDAY(Movimientos_2026[[#This Row],[Fecha]],2)),'5. Setup'!$D$6:$E$12,2,FALSE)</f>
        <v>Sab</v>
      </c>
      <c r="E4068" t="str">
        <f>IFERROR(+VLOOKUP(Movimientos_2026[[#This Row],[Codigo]],Plan_cuentas[],2,FALSE)," ")</f>
        <v xml:space="preserve"> </v>
      </c>
      <c r="F4068" t="str">
        <f>IFERROR(+VLOOKUP(Movimientos_2026[[#This Row],[Codigo]],Plan_cuentas[],3,FALSE)," ")</f>
        <v xml:space="preserve"> </v>
      </c>
      <c r="G4068" t="str">
        <f>IFERROR(+VLOOKUP(Movimientos_2026[[#This Row],[Codigo]],Plan_cuentas[],4,FALSE)," ")</f>
        <v xml:space="preserve"> </v>
      </c>
      <c r="H4068" t="str">
        <f>IFERROR(+VLOOKUP(Movimientos_2026[[#This Row],[Codigo]],Plan_cuentas[],5,FALSE)," ")</f>
        <v xml:space="preserve"> </v>
      </c>
      <c r="I4068" s="43"/>
      <c r="K4068" t="str">
        <f>IFERROR(+VLOOKUP(Movimientos_2026[[#This Row],[Codigo]],Plan_cuentas[],6,FALSE)," ")</f>
        <v xml:space="preserve"> </v>
      </c>
      <c r="L4068" s="50"/>
      <c r="M4068" s="50"/>
      <c r="N4068" s="20">
        <f>+Movimientos_2026[[#This Row],[Ingresos]]-Movimientos_2026[[#This Row],[Egresos]]</f>
        <v>0</v>
      </c>
      <c r="O4068" s="20">
        <f>+O4067+Movimientos_2026[[#This Row],[Neto]]</f>
        <v>4581558617.7962294</v>
      </c>
    </row>
    <row r="4069" spans="1:15" x14ac:dyDescent="0.25">
      <c r="A4069" s="13"/>
      <c r="B4069" s="12">
        <f>MONTH(Movimientos_2026[[#This Row],[Fecha]])</f>
        <v>1</v>
      </c>
      <c r="C4069" s="12" t="str">
        <f>VLOOKUP((WEEKDAY(Movimientos_2026[[#This Row],[Fecha]],2)),'5. Setup'!$D$6:$E$12,2,FALSE)</f>
        <v>Sab</v>
      </c>
      <c r="E4069" t="str">
        <f>IFERROR(+VLOOKUP(Movimientos_2026[[#This Row],[Codigo]],Plan_cuentas[],2,FALSE)," ")</f>
        <v xml:space="preserve"> </v>
      </c>
      <c r="F4069" t="str">
        <f>IFERROR(+VLOOKUP(Movimientos_2026[[#This Row],[Codigo]],Plan_cuentas[],3,FALSE)," ")</f>
        <v xml:space="preserve"> </v>
      </c>
      <c r="G4069" t="str">
        <f>IFERROR(+VLOOKUP(Movimientos_2026[[#This Row],[Codigo]],Plan_cuentas[],4,FALSE)," ")</f>
        <v xml:space="preserve"> </v>
      </c>
      <c r="H4069" t="str">
        <f>IFERROR(+VLOOKUP(Movimientos_2026[[#This Row],[Codigo]],Plan_cuentas[],5,FALSE)," ")</f>
        <v xml:space="preserve"> </v>
      </c>
      <c r="I4069" s="43"/>
      <c r="K4069" t="str">
        <f>IFERROR(+VLOOKUP(Movimientos_2026[[#This Row],[Codigo]],Plan_cuentas[],6,FALSE)," ")</f>
        <v xml:space="preserve"> </v>
      </c>
      <c r="L4069" s="50"/>
      <c r="M4069" s="50"/>
      <c r="N4069" s="20">
        <f>+Movimientos_2026[[#This Row],[Ingresos]]-Movimientos_2026[[#This Row],[Egresos]]</f>
        <v>0</v>
      </c>
      <c r="O4069" s="20">
        <f>+O4068+Movimientos_2026[[#This Row],[Neto]]</f>
        <v>4581558617.7962294</v>
      </c>
    </row>
    <row r="4070" spans="1:15" x14ac:dyDescent="0.25">
      <c r="A4070" s="13"/>
      <c r="B4070" s="12">
        <f>MONTH(Movimientos_2026[[#This Row],[Fecha]])</f>
        <v>1</v>
      </c>
      <c r="C4070" s="12" t="str">
        <f>VLOOKUP((WEEKDAY(Movimientos_2026[[#This Row],[Fecha]],2)),'5. Setup'!$D$6:$E$12,2,FALSE)</f>
        <v>Sab</v>
      </c>
      <c r="E4070" t="str">
        <f>IFERROR(+VLOOKUP(Movimientos_2026[[#This Row],[Codigo]],Plan_cuentas[],2,FALSE)," ")</f>
        <v xml:space="preserve"> </v>
      </c>
      <c r="F4070" t="str">
        <f>IFERROR(+VLOOKUP(Movimientos_2026[[#This Row],[Codigo]],Plan_cuentas[],3,FALSE)," ")</f>
        <v xml:space="preserve"> </v>
      </c>
      <c r="G4070" t="str">
        <f>IFERROR(+VLOOKUP(Movimientos_2026[[#This Row],[Codigo]],Plan_cuentas[],4,FALSE)," ")</f>
        <v xml:space="preserve"> </v>
      </c>
      <c r="H4070" t="str">
        <f>IFERROR(+VLOOKUP(Movimientos_2026[[#This Row],[Codigo]],Plan_cuentas[],5,FALSE)," ")</f>
        <v xml:space="preserve"> </v>
      </c>
      <c r="I4070" s="43"/>
      <c r="K4070" t="str">
        <f>IFERROR(+VLOOKUP(Movimientos_2026[[#This Row],[Codigo]],Plan_cuentas[],6,FALSE)," ")</f>
        <v xml:space="preserve"> </v>
      </c>
      <c r="L4070" s="50"/>
      <c r="M4070" s="50"/>
      <c r="N4070" s="20">
        <f>+Movimientos_2026[[#This Row],[Ingresos]]-Movimientos_2026[[#This Row],[Egresos]]</f>
        <v>0</v>
      </c>
      <c r="O4070" s="20">
        <f>+O4069+Movimientos_2026[[#This Row],[Neto]]</f>
        <v>4581558617.7962294</v>
      </c>
    </row>
    <row r="4071" spans="1:15" x14ac:dyDescent="0.25">
      <c r="A4071" s="13"/>
      <c r="B4071" s="12">
        <f>MONTH(Movimientos_2026[[#This Row],[Fecha]])</f>
        <v>1</v>
      </c>
      <c r="C4071" s="12" t="str">
        <f>VLOOKUP((WEEKDAY(Movimientos_2026[[#This Row],[Fecha]],2)),'5. Setup'!$D$6:$E$12,2,FALSE)</f>
        <v>Sab</v>
      </c>
      <c r="E4071" t="str">
        <f>IFERROR(+VLOOKUP(Movimientos_2026[[#This Row],[Codigo]],Plan_cuentas[],2,FALSE)," ")</f>
        <v xml:space="preserve"> </v>
      </c>
      <c r="F4071" t="str">
        <f>IFERROR(+VLOOKUP(Movimientos_2026[[#This Row],[Codigo]],Plan_cuentas[],3,FALSE)," ")</f>
        <v xml:space="preserve"> </v>
      </c>
      <c r="G4071" t="str">
        <f>IFERROR(+VLOOKUP(Movimientos_2026[[#This Row],[Codigo]],Plan_cuentas[],4,FALSE)," ")</f>
        <v xml:space="preserve"> </v>
      </c>
      <c r="H4071" t="str">
        <f>IFERROR(+VLOOKUP(Movimientos_2026[[#This Row],[Codigo]],Plan_cuentas[],5,FALSE)," ")</f>
        <v xml:space="preserve"> </v>
      </c>
      <c r="I4071" s="43"/>
      <c r="K4071" t="str">
        <f>IFERROR(+VLOOKUP(Movimientos_2026[[#This Row],[Codigo]],Plan_cuentas[],6,FALSE)," ")</f>
        <v xml:space="preserve"> </v>
      </c>
      <c r="L4071" s="50"/>
      <c r="M4071" s="50"/>
      <c r="N4071" s="20">
        <f>+Movimientos_2026[[#This Row],[Ingresos]]-Movimientos_2026[[#This Row],[Egresos]]</f>
        <v>0</v>
      </c>
      <c r="O4071" s="20">
        <f>+O4070+Movimientos_2026[[#This Row],[Neto]]</f>
        <v>4581558617.7962294</v>
      </c>
    </row>
    <row r="4072" spans="1:15" x14ac:dyDescent="0.25">
      <c r="A4072" s="13"/>
      <c r="B4072" s="12">
        <f>MONTH(Movimientos_2026[[#This Row],[Fecha]])</f>
        <v>1</v>
      </c>
      <c r="C4072" s="12" t="str">
        <f>VLOOKUP((WEEKDAY(Movimientos_2026[[#This Row],[Fecha]],2)),'5. Setup'!$D$6:$E$12,2,FALSE)</f>
        <v>Sab</v>
      </c>
      <c r="E4072" t="str">
        <f>IFERROR(+VLOOKUP(Movimientos_2026[[#This Row],[Codigo]],Plan_cuentas[],2,FALSE)," ")</f>
        <v xml:space="preserve"> </v>
      </c>
      <c r="F4072" t="str">
        <f>IFERROR(+VLOOKUP(Movimientos_2026[[#This Row],[Codigo]],Plan_cuentas[],3,FALSE)," ")</f>
        <v xml:space="preserve"> </v>
      </c>
      <c r="G4072" t="str">
        <f>IFERROR(+VLOOKUP(Movimientos_2026[[#This Row],[Codigo]],Plan_cuentas[],4,FALSE)," ")</f>
        <v xml:space="preserve"> </v>
      </c>
      <c r="H4072" t="str">
        <f>IFERROR(+VLOOKUP(Movimientos_2026[[#This Row],[Codigo]],Plan_cuentas[],5,FALSE)," ")</f>
        <v xml:space="preserve"> </v>
      </c>
      <c r="I4072" s="43"/>
      <c r="K4072" t="str">
        <f>IFERROR(+VLOOKUP(Movimientos_2026[[#This Row],[Codigo]],Plan_cuentas[],6,FALSE)," ")</f>
        <v xml:space="preserve"> </v>
      </c>
      <c r="L4072" s="50"/>
      <c r="M4072" s="50"/>
      <c r="N4072" s="20">
        <f>+Movimientos_2026[[#This Row],[Ingresos]]-Movimientos_2026[[#This Row],[Egresos]]</f>
        <v>0</v>
      </c>
      <c r="O4072" s="20">
        <f>+O4071+Movimientos_2026[[#This Row],[Neto]]</f>
        <v>4581558617.7962294</v>
      </c>
    </row>
    <row r="4073" spans="1:15" x14ac:dyDescent="0.25">
      <c r="A4073" s="13"/>
      <c r="B4073" s="12">
        <f>MONTH(Movimientos_2026[[#This Row],[Fecha]])</f>
        <v>1</v>
      </c>
      <c r="C4073" s="12" t="str">
        <f>VLOOKUP((WEEKDAY(Movimientos_2026[[#This Row],[Fecha]],2)),'5. Setup'!$D$6:$E$12,2,FALSE)</f>
        <v>Sab</v>
      </c>
      <c r="E4073" t="str">
        <f>IFERROR(+VLOOKUP(Movimientos_2026[[#This Row],[Codigo]],Plan_cuentas[],2,FALSE)," ")</f>
        <v xml:space="preserve"> </v>
      </c>
      <c r="F4073" t="str">
        <f>IFERROR(+VLOOKUP(Movimientos_2026[[#This Row],[Codigo]],Plan_cuentas[],3,FALSE)," ")</f>
        <v xml:space="preserve"> </v>
      </c>
      <c r="G4073" t="str">
        <f>IFERROR(+VLOOKUP(Movimientos_2026[[#This Row],[Codigo]],Plan_cuentas[],4,FALSE)," ")</f>
        <v xml:space="preserve"> </v>
      </c>
      <c r="H4073" t="str">
        <f>IFERROR(+VLOOKUP(Movimientos_2026[[#This Row],[Codigo]],Plan_cuentas[],5,FALSE)," ")</f>
        <v xml:space="preserve"> </v>
      </c>
      <c r="I4073" s="43"/>
      <c r="K4073" t="str">
        <f>IFERROR(+VLOOKUP(Movimientos_2026[[#This Row],[Codigo]],Plan_cuentas[],6,FALSE)," ")</f>
        <v xml:space="preserve"> </v>
      </c>
      <c r="L4073" s="50"/>
      <c r="M4073" s="50"/>
      <c r="N4073" s="20">
        <f>+Movimientos_2026[[#This Row],[Ingresos]]-Movimientos_2026[[#This Row],[Egresos]]</f>
        <v>0</v>
      </c>
      <c r="O4073" s="20">
        <f>+O4072+Movimientos_2026[[#This Row],[Neto]]</f>
        <v>4581558617.7962294</v>
      </c>
    </row>
    <row r="4074" spans="1:15" x14ac:dyDescent="0.25">
      <c r="A4074" s="13"/>
      <c r="B4074" s="12">
        <f>MONTH(Movimientos_2026[[#This Row],[Fecha]])</f>
        <v>1</v>
      </c>
      <c r="C4074" s="12" t="str">
        <f>VLOOKUP((WEEKDAY(Movimientos_2026[[#This Row],[Fecha]],2)),'5. Setup'!$D$6:$E$12,2,FALSE)</f>
        <v>Sab</v>
      </c>
      <c r="E4074" t="str">
        <f>IFERROR(+VLOOKUP(Movimientos_2026[[#This Row],[Codigo]],Plan_cuentas[],2,FALSE)," ")</f>
        <v xml:space="preserve"> </v>
      </c>
      <c r="F4074" t="str">
        <f>IFERROR(+VLOOKUP(Movimientos_2026[[#This Row],[Codigo]],Plan_cuentas[],3,FALSE)," ")</f>
        <v xml:space="preserve"> </v>
      </c>
      <c r="G4074" t="str">
        <f>IFERROR(+VLOOKUP(Movimientos_2026[[#This Row],[Codigo]],Plan_cuentas[],4,FALSE)," ")</f>
        <v xml:space="preserve"> </v>
      </c>
      <c r="H4074" t="str">
        <f>IFERROR(+VLOOKUP(Movimientos_2026[[#This Row],[Codigo]],Plan_cuentas[],5,FALSE)," ")</f>
        <v xml:space="preserve"> </v>
      </c>
      <c r="I4074" s="43"/>
      <c r="K4074" t="str">
        <f>IFERROR(+VLOOKUP(Movimientos_2026[[#This Row],[Codigo]],Plan_cuentas[],6,FALSE)," ")</f>
        <v xml:space="preserve"> </v>
      </c>
      <c r="L4074" s="50"/>
      <c r="M4074" s="50"/>
      <c r="N4074" s="20">
        <f>+Movimientos_2026[[#This Row],[Ingresos]]-Movimientos_2026[[#This Row],[Egresos]]</f>
        <v>0</v>
      </c>
      <c r="O4074" s="20">
        <f>+O4073+Movimientos_2026[[#This Row],[Neto]]</f>
        <v>4581558617.7962294</v>
      </c>
    </row>
    <row r="4075" spans="1:15" x14ac:dyDescent="0.25">
      <c r="A4075" s="13"/>
      <c r="B4075" s="12">
        <f>MONTH(Movimientos_2026[[#This Row],[Fecha]])</f>
        <v>1</v>
      </c>
      <c r="C4075" s="12" t="str">
        <f>VLOOKUP((WEEKDAY(Movimientos_2026[[#This Row],[Fecha]],2)),'5. Setup'!$D$6:$E$12,2,FALSE)</f>
        <v>Sab</v>
      </c>
      <c r="E4075" t="str">
        <f>IFERROR(+VLOOKUP(Movimientos_2026[[#This Row],[Codigo]],Plan_cuentas[],2,FALSE)," ")</f>
        <v xml:space="preserve"> </v>
      </c>
      <c r="F4075" t="str">
        <f>IFERROR(+VLOOKUP(Movimientos_2026[[#This Row],[Codigo]],Plan_cuentas[],3,FALSE)," ")</f>
        <v xml:space="preserve"> </v>
      </c>
      <c r="G4075" t="str">
        <f>IFERROR(+VLOOKUP(Movimientos_2026[[#This Row],[Codigo]],Plan_cuentas[],4,FALSE)," ")</f>
        <v xml:space="preserve"> </v>
      </c>
      <c r="H4075" t="str">
        <f>IFERROR(+VLOOKUP(Movimientos_2026[[#This Row],[Codigo]],Plan_cuentas[],5,FALSE)," ")</f>
        <v xml:space="preserve"> </v>
      </c>
      <c r="I4075" s="43"/>
      <c r="K4075" t="str">
        <f>IFERROR(+VLOOKUP(Movimientos_2026[[#This Row],[Codigo]],Plan_cuentas[],6,FALSE)," ")</f>
        <v xml:space="preserve"> </v>
      </c>
      <c r="L4075" s="50"/>
      <c r="M4075" s="50"/>
      <c r="N4075" s="20">
        <f>+Movimientos_2026[[#This Row],[Ingresos]]-Movimientos_2026[[#This Row],[Egresos]]</f>
        <v>0</v>
      </c>
      <c r="O4075" s="20">
        <f>+O4074+Movimientos_2026[[#This Row],[Neto]]</f>
        <v>4581558617.7962294</v>
      </c>
    </row>
    <row r="4076" spans="1:15" x14ac:dyDescent="0.25">
      <c r="A4076" s="13"/>
      <c r="B4076" s="12">
        <f>MONTH(Movimientos_2026[[#This Row],[Fecha]])</f>
        <v>1</v>
      </c>
      <c r="C4076" s="12" t="str">
        <f>VLOOKUP((WEEKDAY(Movimientos_2026[[#This Row],[Fecha]],2)),'5. Setup'!$D$6:$E$12,2,FALSE)</f>
        <v>Sab</v>
      </c>
      <c r="E4076" t="str">
        <f>IFERROR(+VLOOKUP(Movimientos_2026[[#This Row],[Codigo]],Plan_cuentas[],2,FALSE)," ")</f>
        <v xml:space="preserve"> </v>
      </c>
      <c r="F4076" t="str">
        <f>IFERROR(+VLOOKUP(Movimientos_2026[[#This Row],[Codigo]],Plan_cuentas[],3,FALSE)," ")</f>
        <v xml:space="preserve"> </v>
      </c>
      <c r="G4076" t="str">
        <f>IFERROR(+VLOOKUP(Movimientos_2026[[#This Row],[Codigo]],Plan_cuentas[],4,FALSE)," ")</f>
        <v xml:space="preserve"> </v>
      </c>
      <c r="H4076" t="str">
        <f>IFERROR(+VLOOKUP(Movimientos_2026[[#This Row],[Codigo]],Plan_cuentas[],5,FALSE)," ")</f>
        <v xml:space="preserve"> </v>
      </c>
      <c r="I4076" s="43"/>
      <c r="K4076" t="str">
        <f>IFERROR(+VLOOKUP(Movimientos_2026[[#This Row],[Codigo]],Plan_cuentas[],6,FALSE)," ")</f>
        <v xml:space="preserve"> </v>
      </c>
      <c r="L4076" s="50"/>
      <c r="M4076" s="50"/>
      <c r="N4076" s="20">
        <f>+Movimientos_2026[[#This Row],[Ingresos]]-Movimientos_2026[[#This Row],[Egresos]]</f>
        <v>0</v>
      </c>
      <c r="O4076" s="20">
        <f>+O4075+Movimientos_2026[[#This Row],[Neto]]</f>
        <v>4581558617.7962294</v>
      </c>
    </row>
    <row r="4077" spans="1:15" x14ac:dyDescent="0.25">
      <c r="A4077" s="13"/>
      <c r="B4077" s="12">
        <f>MONTH(Movimientos_2026[[#This Row],[Fecha]])</f>
        <v>1</v>
      </c>
      <c r="C4077" s="12" t="str">
        <f>VLOOKUP((WEEKDAY(Movimientos_2026[[#This Row],[Fecha]],2)),'5. Setup'!$D$6:$E$12,2,FALSE)</f>
        <v>Sab</v>
      </c>
      <c r="E4077" t="str">
        <f>IFERROR(+VLOOKUP(Movimientos_2026[[#This Row],[Codigo]],Plan_cuentas[],2,FALSE)," ")</f>
        <v xml:space="preserve"> </v>
      </c>
      <c r="F4077" t="str">
        <f>IFERROR(+VLOOKUP(Movimientos_2026[[#This Row],[Codigo]],Plan_cuentas[],3,FALSE)," ")</f>
        <v xml:space="preserve"> </v>
      </c>
      <c r="G4077" t="str">
        <f>IFERROR(+VLOOKUP(Movimientos_2026[[#This Row],[Codigo]],Plan_cuentas[],4,FALSE)," ")</f>
        <v xml:space="preserve"> </v>
      </c>
      <c r="H4077" t="str">
        <f>IFERROR(+VLOOKUP(Movimientos_2026[[#This Row],[Codigo]],Plan_cuentas[],5,FALSE)," ")</f>
        <v xml:space="preserve"> </v>
      </c>
      <c r="I4077" s="43"/>
      <c r="K4077" t="str">
        <f>IFERROR(+VLOOKUP(Movimientos_2026[[#This Row],[Codigo]],Plan_cuentas[],6,FALSE)," ")</f>
        <v xml:space="preserve"> </v>
      </c>
      <c r="L4077" s="50"/>
      <c r="M4077" s="50"/>
      <c r="N4077" s="20">
        <f>+Movimientos_2026[[#This Row],[Ingresos]]-Movimientos_2026[[#This Row],[Egresos]]</f>
        <v>0</v>
      </c>
      <c r="O4077" s="20">
        <f>+O4076+Movimientos_2026[[#This Row],[Neto]]</f>
        <v>4581558617.7962294</v>
      </c>
    </row>
    <row r="4078" spans="1:15" x14ac:dyDescent="0.25">
      <c r="A4078" s="13"/>
      <c r="B4078" s="12">
        <f>MONTH(Movimientos_2026[[#This Row],[Fecha]])</f>
        <v>1</v>
      </c>
      <c r="C4078" s="12" t="str">
        <f>VLOOKUP((WEEKDAY(Movimientos_2026[[#This Row],[Fecha]],2)),'5. Setup'!$D$6:$E$12,2,FALSE)</f>
        <v>Sab</v>
      </c>
      <c r="E4078" t="str">
        <f>IFERROR(+VLOOKUP(Movimientos_2026[[#This Row],[Codigo]],Plan_cuentas[],2,FALSE)," ")</f>
        <v xml:space="preserve"> </v>
      </c>
      <c r="F4078" t="str">
        <f>IFERROR(+VLOOKUP(Movimientos_2026[[#This Row],[Codigo]],Plan_cuentas[],3,FALSE)," ")</f>
        <v xml:space="preserve"> </v>
      </c>
      <c r="G4078" t="str">
        <f>IFERROR(+VLOOKUP(Movimientos_2026[[#This Row],[Codigo]],Plan_cuentas[],4,FALSE)," ")</f>
        <v xml:space="preserve"> </v>
      </c>
      <c r="H4078" t="str">
        <f>IFERROR(+VLOOKUP(Movimientos_2026[[#This Row],[Codigo]],Plan_cuentas[],5,FALSE)," ")</f>
        <v xml:space="preserve"> </v>
      </c>
      <c r="I4078" s="43"/>
      <c r="K4078" t="str">
        <f>IFERROR(+VLOOKUP(Movimientos_2026[[#This Row],[Codigo]],Plan_cuentas[],6,FALSE)," ")</f>
        <v xml:space="preserve"> </v>
      </c>
      <c r="L4078" s="50"/>
      <c r="M4078" s="50"/>
      <c r="N4078" s="20">
        <f>+Movimientos_2026[[#This Row],[Ingresos]]-Movimientos_2026[[#This Row],[Egresos]]</f>
        <v>0</v>
      </c>
      <c r="O4078" s="20">
        <f>+O4077+Movimientos_2026[[#This Row],[Neto]]</f>
        <v>4581558617.7962294</v>
      </c>
    </row>
    <row r="4079" spans="1:15" x14ac:dyDescent="0.25">
      <c r="A4079" s="13"/>
      <c r="B4079" s="12">
        <f>MONTH(Movimientos_2026[[#This Row],[Fecha]])</f>
        <v>1</v>
      </c>
      <c r="C4079" s="12" t="str">
        <f>VLOOKUP((WEEKDAY(Movimientos_2026[[#This Row],[Fecha]],2)),'5. Setup'!$D$6:$E$12,2,FALSE)</f>
        <v>Sab</v>
      </c>
      <c r="E4079" t="str">
        <f>IFERROR(+VLOOKUP(Movimientos_2026[[#This Row],[Codigo]],Plan_cuentas[],2,FALSE)," ")</f>
        <v xml:space="preserve"> </v>
      </c>
      <c r="F4079" t="str">
        <f>IFERROR(+VLOOKUP(Movimientos_2026[[#This Row],[Codigo]],Plan_cuentas[],3,FALSE)," ")</f>
        <v xml:space="preserve"> </v>
      </c>
      <c r="G4079" t="str">
        <f>IFERROR(+VLOOKUP(Movimientos_2026[[#This Row],[Codigo]],Plan_cuentas[],4,FALSE)," ")</f>
        <v xml:space="preserve"> </v>
      </c>
      <c r="H4079" t="str">
        <f>IFERROR(+VLOOKUP(Movimientos_2026[[#This Row],[Codigo]],Plan_cuentas[],5,FALSE)," ")</f>
        <v xml:space="preserve"> </v>
      </c>
      <c r="I4079" s="43"/>
      <c r="K4079" t="str">
        <f>IFERROR(+VLOOKUP(Movimientos_2026[[#This Row],[Codigo]],Plan_cuentas[],6,FALSE)," ")</f>
        <v xml:space="preserve"> </v>
      </c>
      <c r="L4079" s="50"/>
      <c r="M4079" s="50"/>
      <c r="N4079" s="20">
        <f>+Movimientos_2026[[#This Row],[Ingresos]]-Movimientos_2026[[#This Row],[Egresos]]</f>
        <v>0</v>
      </c>
      <c r="O4079" s="20">
        <f>+O4078+Movimientos_2026[[#This Row],[Neto]]</f>
        <v>4581558617.7962294</v>
      </c>
    </row>
    <row r="4080" spans="1:15" x14ac:dyDescent="0.25">
      <c r="A4080" s="13"/>
      <c r="B4080" s="12">
        <f>MONTH(Movimientos_2026[[#This Row],[Fecha]])</f>
        <v>1</v>
      </c>
      <c r="C4080" s="12" t="str">
        <f>VLOOKUP((WEEKDAY(Movimientos_2026[[#This Row],[Fecha]],2)),'5. Setup'!$D$6:$E$12,2,FALSE)</f>
        <v>Sab</v>
      </c>
      <c r="E4080" t="str">
        <f>IFERROR(+VLOOKUP(Movimientos_2026[[#This Row],[Codigo]],Plan_cuentas[],2,FALSE)," ")</f>
        <v xml:space="preserve"> </v>
      </c>
      <c r="F4080" t="str">
        <f>IFERROR(+VLOOKUP(Movimientos_2026[[#This Row],[Codigo]],Plan_cuentas[],3,FALSE)," ")</f>
        <v xml:space="preserve"> </v>
      </c>
      <c r="G4080" t="str">
        <f>IFERROR(+VLOOKUP(Movimientos_2026[[#This Row],[Codigo]],Plan_cuentas[],4,FALSE)," ")</f>
        <v xml:space="preserve"> </v>
      </c>
      <c r="H4080" t="str">
        <f>IFERROR(+VLOOKUP(Movimientos_2026[[#This Row],[Codigo]],Plan_cuentas[],5,FALSE)," ")</f>
        <v xml:space="preserve"> </v>
      </c>
      <c r="I4080" s="43"/>
      <c r="K4080" t="str">
        <f>IFERROR(+VLOOKUP(Movimientos_2026[[#This Row],[Codigo]],Plan_cuentas[],6,FALSE)," ")</f>
        <v xml:space="preserve"> </v>
      </c>
      <c r="L4080" s="50"/>
      <c r="M4080" s="50"/>
      <c r="N4080" s="20">
        <f>+Movimientos_2026[[#This Row],[Ingresos]]-Movimientos_2026[[#This Row],[Egresos]]</f>
        <v>0</v>
      </c>
      <c r="O4080" s="20">
        <f>+O4079+Movimientos_2026[[#This Row],[Neto]]</f>
        <v>4581558617.7962294</v>
      </c>
    </row>
    <row r="4081" spans="1:15" x14ac:dyDescent="0.25">
      <c r="A4081" s="13"/>
      <c r="B4081" s="12">
        <f>MONTH(Movimientos_2026[[#This Row],[Fecha]])</f>
        <v>1</v>
      </c>
      <c r="C4081" s="12" t="str">
        <f>VLOOKUP((WEEKDAY(Movimientos_2026[[#This Row],[Fecha]],2)),'5. Setup'!$D$6:$E$12,2,FALSE)</f>
        <v>Sab</v>
      </c>
      <c r="E4081" t="str">
        <f>IFERROR(+VLOOKUP(Movimientos_2026[[#This Row],[Codigo]],Plan_cuentas[],2,FALSE)," ")</f>
        <v xml:space="preserve"> </v>
      </c>
      <c r="F4081" t="str">
        <f>IFERROR(+VLOOKUP(Movimientos_2026[[#This Row],[Codigo]],Plan_cuentas[],3,FALSE)," ")</f>
        <v xml:space="preserve"> </v>
      </c>
      <c r="G4081" t="str">
        <f>IFERROR(+VLOOKUP(Movimientos_2026[[#This Row],[Codigo]],Plan_cuentas[],4,FALSE)," ")</f>
        <v xml:space="preserve"> </v>
      </c>
      <c r="H4081" t="str">
        <f>IFERROR(+VLOOKUP(Movimientos_2026[[#This Row],[Codigo]],Plan_cuentas[],5,FALSE)," ")</f>
        <v xml:space="preserve"> </v>
      </c>
      <c r="I4081" s="43"/>
      <c r="K4081" t="str">
        <f>IFERROR(+VLOOKUP(Movimientos_2026[[#This Row],[Codigo]],Plan_cuentas[],6,FALSE)," ")</f>
        <v xml:space="preserve"> </v>
      </c>
      <c r="L4081" s="50"/>
      <c r="M4081" s="50"/>
      <c r="N4081" s="20">
        <f>+Movimientos_2026[[#This Row],[Ingresos]]-Movimientos_2026[[#This Row],[Egresos]]</f>
        <v>0</v>
      </c>
      <c r="O4081" s="20">
        <f>+O4080+Movimientos_2026[[#This Row],[Neto]]</f>
        <v>4581558617.7962294</v>
      </c>
    </row>
    <row r="4082" spans="1:15" x14ac:dyDescent="0.25">
      <c r="A4082" s="13"/>
      <c r="B4082" s="12">
        <f>MONTH(Movimientos_2026[[#This Row],[Fecha]])</f>
        <v>1</v>
      </c>
      <c r="C4082" s="12" t="str">
        <f>VLOOKUP((WEEKDAY(Movimientos_2026[[#This Row],[Fecha]],2)),'5. Setup'!$D$6:$E$12,2,FALSE)</f>
        <v>Sab</v>
      </c>
      <c r="E4082" t="str">
        <f>IFERROR(+VLOOKUP(Movimientos_2026[[#This Row],[Codigo]],Plan_cuentas[],2,FALSE)," ")</f>
        <v xml:space="preserve"> </v>
      </c>
      <c r="F4082" t="str">
        <f>IFERROR(+VLOOKUP(Movimientos_2026[[#This Row],[Codigo]],Plan_cuentas[],3,FALSE)," ")</f>
        <v xml:space="preserve"> </v>
      </c>
      <c r="G4082" t="str">
        <f>IFERROR(+VLOOKUP(Movimientos_2026[[#This Row],[Codigo]],Plan_cuentas[],4,FALSE)," ")</f>
        <v xml:space="preserve"> </v>
      </c>
      <c r="H4082" t="str">
        <f>IFERROR(+VLOOKUP(Movimientos_2026[[#This Row],[Codigo]],Plan_cuentas[],5,FALSE)," ")</f>
        <v xml:space="preserve"> </v>
      </c>
      <c r="I4082" s="43"/>
      <c r="K4082" t="str">
        <f>IFERROR(+VLOOKUP(Movimientos_2026[[#This Row],[Codigo]],Plan_cuentas[],6,FALSE)," ")</f>
        <v xml:space="preserve"> </v>
      </c>
      <c r="L4082" s="50"/>
      <c r="M4082" s="50"/>
      <c r="N4082" s="20">
        <f>+Movimientos_2026[[#This Row],[Ingresos]]-Movimientos_2026[[#This Row],[Egresos]]</f>
        <v>0</v>
      </c>
      <c r="O4082" s="20">
        <f>+O4081+Movimientos_2026[[#This Row],[Neto]]</f>
        <v>4581558617.7962294</v>
      </c>
    </row>
    <row r="4083" spans="1:15" x14ac:dyDescent="0.25">
      <c r="A4083" s="13"/>
      <c r="B4083" s="12">
        <f>MONTH(Movimientos_2026[[#This Row],[Fecha]])</f>
        <v>1</v>
      </c>
      <c r="C4083" s="12" t="str">
        <f>VLOOKUP((WEEKDAY(Movimientos_2026[[#This Row],[Fecha]],2)),'5. Setup'!$D$6:$E$12,2,FALSE)</f>
        <v>Sab</v>
      </c>
      <c r="E4083" t="str">
        <f>IFERROR(+VLOOKUP(Movimientos_2026[[#This Row],[Codigo]],Plan_cuentas[],2,FALSE)," ")</f>
        <v xml:space="preserve"> </v>
      </c>
      <c r="F4083" t="str">
        <f>IFERROR(+VLOOKUP(Movimientos_2026[[#This Row],[Codigo]],Plan_cuentas[],3,FALSE)," ")</f>
        <v xml:space="preserve"> </v>
      </c>
      <c r="G4083" t="str">
        <f>IFERROR(+VLOOKUP(Movimientos_2026[[#This Row],[Codigo]],Plan_cuentas[],4,FALSE)," ")</f>
        <v xml:space="preserve"> </v>
      </c>
      <c r="H4083" t="str">
        <f>IFERROR(+VLOOKUP(Movimientos_2026[[#This Row],[Codigo]],Plan_cuentas[],5,FALSE)," ")</f>
        <v xml:space="preserve"> </v>
      </c>
      <c r="I4083" s="43"/>
      <c r="K4083" t="str">
        <f>IFERROR(+VLOOKUP(Movimientos_2026[[#This Row],[Codigo]],Plan_cuentas[],6,FALSE)," ")</f>
        <v xml:space="preserve"> </v>
      </c>
      <c r="L4083" s="50"/>
      <c r="M4083" s="50"/>
      <c r="N4083" s="20">
        <f>+Movimientos_2026[[#This Row],[Ingresos]]-Movimientos_2026[[#This Row],[Egresos]]</f>
        <v>0</v>
      </c>
      <c r="O4083" s="20">
        <f>+O4082+Movimientos_2026[[#This Row],[Neto]]</f>
        <v>4581558617.7962294</v>
      </c>
    </row>
    <row r="4084" spans="1:15" x14ac:dyDescent="0.25">
      <c r="A4084" s="13"/>
      <c r="B4084" s="12">
        <f>MONTH(Movimientos_2026[[#This Row],[Fecha]])</f>
        <v>1</v>
      </c>
      <c r="C4084" s="12" t="str">
        <f>VLOOKUP((WEEKDAY(Movimientos_2026[[#This Row],[Fecha]],2)),'5. Setup'!$D$6:$E$12,2,FALSE)</f>
        <v>Sab</v>
      </c>
      <c r="E4084" t="str">
        <f>IFERROR(+VLOOKUP(Movimientos_2026[[#This Row],[Codigo]],Plan_cuentas[],2,FALSE)," ")</f>
        <v xml:space="preserve"> </v>
      </c>
      <c r="F4084" t="str">
        <f>IFERROR(+VLOOKUP(Movimientos_2026[[#This Row],[Codigo]],Plan_cuentas[],3,FALSE)," ")</f>
        <v xml:space="preserve"> </v>
      </c>
      <c r="G4084" t="str">
        <f>IFERROR(+VLOOKUP(Movimientos_2026[[#This Row],[Codigo]],Plan_cuentas[],4,FALSE)," ")</f>
        <v xml:space="preserve"> </v>
      </c>
      <c r="H4084" t="str">
        <f>IFERROR(+VLOOKUP(Movimientos_2026[[#This Row],[Codigo]],Plan_cuentas[],5,FALSE)," ")</f>
        <v xml:space="preserve"> </v>
      </c>
      <c r="I4084" s="43"/>
      <c r="K4084" t="str">
        <f>IFERROR(+VLOOKUP(Movimientos_2026[[#This Row],[Codigo]],Plan_cuentas[],6,FALSE)," ")</f>
        <v xml:space="preserve"> </v>
      </c>
      <c r="L4084" s="50"/>
      <c r="M4084" s="50"/>
      <c r="N4084" s="20">
        <f>+Movimientos_2026[[#This Row],[Ingresos]]-Movimientos_2026[[#This Row],[Egresos]]</f>
        <v>0</v>
      </c>
      <c r="O4084" s="20">
        <f>+O4083+Movimientos_2026[[#This Row],[Neto]]</f>
        <v>4581558617.7962294</v>
      </c>
    </row>
    <row r="4085" spans="1:15" x14ac:dyDescent="0.25">
      <c r="A4085" s="13"/>
      <c r="B4085" s="12">
        <f>MONTH(Movimientos_2026[[#This Row],[Fecha]])</f>
        <v>1</v>
      </c>
      <c r="C4085" s="12" t="str">
        <f>VLOOKUP((WEEKDAY(Movimientos_2026[[#This Row],[Fecha]],2)),'5. Setup'!$D$6:$E$12,2,FALSE)</f>
        <v>Sab</v>
      </c>
      <c r="E4085" t="str">
        <f>IFERROR(+VLOOKUP(Movimientos_2026[[#This Row],[Codigo]],Plan_cuentas[],2,FALSE)," ")</f>
        <v xml:space="preserve"> </v>
      </c>
      <c r="F4085" t="str">
        <f>IFERROR(+VLOOKUP(Movimientos_2026[[#This Row],[Codigo]],Plan_cuentas[],3,FALSE)," ")</f>
        <v xml:space="preserve"> </v>
      </c>
      <c r="G4085" t="str">
        <f>IFERROR(+VLOOKUP(Movimientos_2026[[#This Row],[Codigo]],Plan_cuentas[],4,FALSE)," ")</f>
        <v xml:space="preserve"> </v>
      </c>
      <c r="H4085" t="str">
        <f>IFERROR(+VLOOKUP(Movimientos_2026[[#This Row],[Codigo]],Plan_cuentas[],5,FALSE)," ")</f>
        <v xml:space="preserve"> </v>
      </c>
      <c r="I4085" s="43"/>
      <c r="K4085" t="str">
        <f>IFERROR(+VLOOKUP(Movimientos_2026[[#This Row],[Codigo]],Plan_cuentas[],6,FALSE)," ")</f>
        <v xml:space="preserve"> </v>
      </c>
      <c r="L4085" s="50"/>
      <c r="M4085" s="50"/>
      <c r="N4085" s="20">
        <f>+Movimientos_2026[[#This Row],[Ingresos]]-Movimientos_2026[[#This Row],[Egresos]]</f>
        <v>0</v>
      </c>
      <c r="O4085" s="20">
        <f>+O4084+Movimientos_2026[[#This Row],[Neto]]</f>
        <v>4581558617.7962294</v>
      </c>
    </row>
    <row r="4086" spans="1:15" x14ac:dyDescent="0.25">
      <c r="A4086" s="13"/>
      <c r="B4086" s="12">
        <f>MONTH(Movimientos_2026[[#This Row],[Fecha]])</f>
        <v>1</v>
      </c>
      <c r="C4086" s="12" t="str">
        <f>VLOOKUP((WEEKDAY(Movimientos_2026[[#This Row],[Fecha]],2)),'5. Setup'!$D$6:$E$12,2,FALSE)</f>
        <v>Sab</v>
      </c>
      <c r="E4086" t="str">
        <f>IFERROR(+VLOOKUP(Movimientos_2026[[#This Row],[Codigo]],Plan_cuentas[],2,FALSE)," ")</f>
        <v xml:space="preserve"> </v>
      </c>
      <c r="F4086" t="str">
        <f>IFERROR(+VLOOKUP(Movimientos_2026[[#This Row],[Codigo]],Plan_cuentas[],3,FALSE)," ")</f>
        <v xml:space="preserve"> </v>
      </c>
      <c r="G4086" t="str">
        <f>IFERROR(+VLOOKUP(Movimientos_2026[[#This Row],[Codigo]],Plan_cuentas[],4,FALSE)," ")</f>
        <v xml:space="preserve"> </v>
      </c>
      <c r="H4086" t="str">
        <f>IFERROR(+VLOOKUP(Movimientos_2026[[#This Row],[Codigo]],Plan_cuentas[],5,FALSE)," ")</f>
        <v xml:space="preserve"> </v>
      </c>
      <c r="I4086" s="43"/>
      <c r="K4086" t="str">
        <f>IFERROR(+VLOOKUP(Movimientos_2026[[#This Row],[Codigo]],Plan_cuentas[],6,FALSE)," ")</f>
        <v xml:space="preserve"> </v>
      </c>
      <c r="L4086" s="50"/>
      <c r="M4086" s="50"/>
      <c r="N4086" s="20">
        <f>+Movimientos_2026[[#This Row],[Ingresos]]-Movimientos_2026[[#This Row],[Egresos]]</f>
        <v>0</v>
      </c>
      <c r="O4086" s="20">
        <f>+O4085+Movimientos_2026[[#This Row],[Neto]]</f>
        <v>4581558617.7962294</v>
      </c>
    </row>
    <row r="4087" spans="1:15" x14ac:dyDescent="0.25">
      <c r="A4087" s="13"/>
      <c r="B4087" s="12">
        <f>MONTH(Movimientos_2026[[#This Row],[Fecha]])</f>
        <v>1</v>
      </c>
      <c r="C4087" s="12" t="str">
        <f>VLOOKUP((WEEKDAY(Movimientos_2026[[#This Row],[Fecha]],2)),'5. Setup'!$D$6:$E$12,2,FALSE)</f>
        <v>Sab</v>
      </c>
      <c r="E4087" t="str">
        <f>IFERROR(+VLOOKUP(Movimientos_2026[[#This Row],[Codigo]],Plan_cuentas[],2,FALSE)," ")</f>
        <v xml:space="preserve"> </v>
      </c>
      <c r="F4087" t="str">
        <f>IFERROR(+VLOOKUP(Movimientos_2026[[#This Row],[Codigo]],Plan_cuentas[],3,FALSE)," ")</f>
        <v xml:space="preserve"> </v>
      </c>
      <c r="G4087" t="str">
        <f>IFERROR(+VLOOKUP(Movimientos_2026[[#This Row],[Codigo]],Plan_cuentas[],4,FALSE)," ")</f>
        <v xml:space="preserve"> </v>
      </c>
      <c r="H4087" t="str">
        <f>IFERROR(+VLOOKUP(Movimientos_2026[[#This Row],[Codigo]],Plan_cuentas[],5,FALSE)," ")</f>
        <v xml:space="preserve"> </v>
      </c>
      <c r="I4087" s="43"/>
      <c r="K4087" t="str">
        <f>IFERROR(+VLOOKUP(Movimientos_2026[[#This Row],[Codigo]],Plan_cuentas[],6,FALSE)," ")</f>
        <v xml:space="preserve"> </v>
      </c>
      <c r="L4087" s="50"/>
      <c r="M4087" s="50"/>
      <c r="N4087" s="20">
        <f>+Movimientos_2026[[#This Row],[Ingresos]]-Movimientos_2026[[#This Row],[Egresos]]</f>
        <v>0</v>
      </c>
      <c r="O4087" s="20">
        <f>+O4086+Movimientos_2026[[#This Row],[Neto]]</f>
        <v>4581558617.7962294</v>
      </c>
    </row>
    <row r="4088" spans="1:15" x14ac:dyDescent="0.25">
      <c r="A4088" s="13"/>
      <c r="B4088" s="12">
        <f>MONTH(Movimientos_2026[[#This Row],[Fecha]])</f>
        <v>1</v>
      </c>
      <c r="C4088" s="12" t="str">
        <f>VLOOKUP((WEEKDAY(Movimientos_2026[[#This Row],[Fecha]],2)),'5. Setup'!$D$6:$E$12,2,FALSE)</f>
        <v>Sab</v>
      </c>
      <c r="E4088" t="str">
        <f>IFERROR(+VLOOKUP(Movimientos_2026[[#This Row],[Codigo]],Plan_cuentas[],2,FALSE)," ")</f>
        <v xml:space="preserve"> </v>
      </c>
      <c r="F4088" t="str">
        <f>IFERROR(+VLOOKUP(Movimientos_2026[[#This Row],[Codigo]],Plan_cuentas[],3,FALSE)," ")</f>
        <v xml:space="preserve"> </v>
      </c>
      <c r="G4088" t="str">
        <f>IFERROR(+VLOOKUP(Movimientos_2026[[#This Row],[Codigo]],Plan_cuentas[],4,FALSE)," ")</f>
        <v xml:space="preserve"> </v>
      </c>
      <c r="H4088" t="str">
        <f>IFERROR(+VLOOKUP(Movimientos_2026[[#This Row],[Codigo]],Plan_cuentas[],5,FALSE)," ")</f>
        <v xml:space="preserve"> </v>
      </c>
      <c r="I4088" s="43"/>
      <c r="K4088" t="str">
        <f>IFERROR(+VLOOKUP(Movimientos_2026[[#This Row],[Codigo]],Plan_cuentas[],6,FALSE)," ")</f>
        <v xml:space="preserve"> </v>
      </c>
      <c r="L4088" s="50"/>
      <c r="M4088" s="50"/>
      <c r="N4088" s="20">
        <f>+Movimientos_2026[[#This Row],[Ingresos]]-Movimientos_2026[[#This Row],[Egresos]]</f>
        <v>0</v>
      </c>
      <c r="O4088" s="20">
        <f>+O4087+Movimientos_2026[[#This Row],[Neto]]</f>
        <v>4581558617.7962294</v>
      </c>
    </row>
    <row r="4089" spans="1:15" x14ac:dyDescent="0.25">
      <c r="A4089" s="13"/>
      <c r="B4089" s="12">
        <f>MONTH(Movimientos_2026[[#This Row],[Fecha]])</f>
        <v>1</v>
      </c>
      <c r="C4089" s="12" t="str">
        <f>VLOOKUP((WEEKDAY(Movimientos_2026[[#This Row],[Fecha]],2)),'5. Setup'!$D$6:$E$12,2,FALSE)</f>
        <v>Sab</v>
      </c>
      <c r="E4089" t="str">
        <f>IFERROR(+VLOOKUP(Movimientos_2026[[#This Row],[Codigo]],Plan_cuentas[],2,FALSE)," ")</f>
        <v xml:space="preserve"> </v>
      </c>
      <c r="F4089" t="str">
        <f>IFERROR(+VLOOKUP(Movimientos_2026[[#This Row],[Codigo]],Plan_cuentas[],3,FALSE)," ")</f>
        <v xml:space="preserve"> </v>
      </c>
      <c r="G4089" t="str">
        <f>IFERROR(+VLOOKUP(Movimientos_2026[[#This Row],[Codigo]],Plan_cuentas[],4,FALSE)," ")</f>
        <v xml:space="preserve"> </v>
      </c>
      <c r="H4089" t="str">
        <f>IFERROR(+VLOOKUP(Movimientos_2026[[#This Row],[Codigo]],Plan_cuentas[],5,FALSE)," ")</f>
        <v xml:space="preserve"> </v>
      </c>
      <c r="I4089" s="43"/>
      <c r="K4089" t="str">
        <f>IFERROR(+VLOOKUP(Movimientos_2026[[#This Row],[Codigo]],Plan_cuentas[],6,FALSE)," ")</f>
        <v xml:space="preserve"> </v>
      </c>
      <c r="L4089" s="50"/>
      <c r="M4089" s="50"/>
      <c r="N4089" s="20">
        <f>+Movimientos_2026[[#This Row],[Ingresos]]-Movimientos_2026[[#This Row],[Egresos]]</f>
        <v>0</v>
      </c>
      <c r="O4089" s="20">
        <f>+O4088+Movimientos_2026[[#This Row],[Neto]]</f>
        <v>4581558617.7962294</v>
      </c>
    </row>
    <row r="4090" spans="1:15" x14ac:dyDescent="0.25">
      <c r="A4090" s="13"/>
      <c r="B4090" s="12">
        <f>MONTH(Movimientos_2026[[#This Row],[Fecha]])</f>
        <v>1</v>
      </c>
      <c r="C4090" s="12" t="str">
        <f>VLOOKUP((WEEKDAY(Movimientos_2026[[#This Row],[Fecha]],2)),'5. Setup'!$D$6:$E$12,2,FALSE)</f>
        <v>Sab</v>
      </c>
      <c r="E4090" t="str">
        <f>IFERROR(+VLOOKUP(Movimientos_2026[[#This Row],[Codigo]],Plan_cuentas[],2,FALSE)," ")</f>
        <v xml:space="preserve"> </v>
      </c>
      <c r="F4090" t="str">
        <f>IFERROR(+VLOOKUP(Movimientos_2026[[#This Row],[Codigo]],Plan_cuentas[],3,FALSE)," ")</f>
        <v xml:space="preserve"> </v>
      </c>
      <c r="G4090" t="str">
        <f>IFERROR(+VLOOKUP(Movimientos_2026[[#This Row],[Codigo]],Plan_cuentas[],4,FALSE)," ")</f>
        <v xml:space="preserve"> </v>
      </c>
      <c r="H4090" t="str">
        <f>IFERROR(+VLOOKUP(Movimientos_2026[[#This Row],[Codigo]],Plan_cuentas[],5,FALSE)," ")</f>
        <v xml:space="preserve"> </v>
      </c>
      <c r="I4090" s="43"/>
      <c r="K4090" t="str">
        <f>IFERROR(+VLOOKUP(Movimientos_2026[[#This Row],[Codigo]],Plan_cuentas[],6,FALSE)," ")</f>
        <v xml:space="preserve"> </v>
      </c>
      <c r="L4090" s="50"/>
      <c r="M4090" s="50"/>
      <c r="N4090" s="20">
        <f>+Movimientos_2026[[#This Row],[Ingresos]]-Movimientos_2026[[#This Row],[Egresos]]</f>
        <v>0</v>
      </c>
      <c r="O4090" s="20">
        <f>+O4089+Movimientos_2026[[#This Row],[Neto]]</f>
        <v>4581558617.7962294</v>
      </c>
    </row>
    <row r="4091" spans="1:15" x14ac:dyDescent="0.25">
      <c r="A4091" s="13"/>
      <c r="B4091" s="12">
        <f>MONTH(Movimientos_2026[[#This Row],[Fecha]])</f>
        <v>1</v>
      </c>
      <c r="C4091" s="12" t="str">
        <f>VLOOKUP((WEEKDAY(Movimientos_2026[[#This Row],[Fecha]],2)),'5. Setup'!$D$6:$E$12,2,FALSE)</f>
        <v>Sab</v>
      </c>
      <c r="E4091" t="str">
        <f>IFERROR(+VLOOKUP(Movimientos_2026[[#This Row],[Codigo]],Plan_cuentas[],2,FALSE)," ")</f>
        <v xml:space="preserve"> </v>
      </c>
      <c r="F4091" t="str">
        <f>IFERROR(+VLOOKUP(Movimientos_2026[[#This Row],[Codigo]],Plan_cuentas[],3,FALSE)," ")</f>
        <v xml:space="preserve"> </v>
      </c>
      <c r="G4091" t="str">
        <f>IFERROR(+VLOOKUP(Movimientos_2026[[#This Row],[Codigo]],Plan_cuentas[],4,FALSE)," ")</f>
        <v xml:space="preserve"> </v>
      </c>
      <c r="H4091" t="str">
        <f>IFERROR(+VLOOKUP(Movimientos_2026[[#This Row],[Codigo]],Plan_cuentas[],5,FALSE)," ")</f>
        <v xml:space="preserve"> </v>
      </c>
      <c r="I4091" s="43"/>
      <c r="K4091" t="str">
        <f>IFERROR(+VLOOKUP(Movimientos_2026[[#This Row],[Codigo]],Plan_cuentas[],6,FALSE)," ")</f>
        <v xml:space="preserve"> </v>
      </c>
      <c r="L4091" s="50"/>
      <c r="M4091" s="50"/>
      <c r="N4091" s="20">
        <f>+Movimientos_2026[[#This Row],[Ingresos]]-Movimientos_2026[[#This Row],[Egresos]]</f>
        <v>0</v>
      </c>
      <c r="O4091" s="20">
        <f>+O4090+Movimientos_2026[[#This Row],[Neto]]</f>
        <v>4581558617.7962294</v>
      </c>
    </row>
    <row r="4092" spans="1:15" x14ac:dyDescent="0.25">
      <c r="A4092" s="13"/>
      <c r="B4092" s="12">
        <f>MONTH(Movimientos_2026[[#This Row],[Fecha]])</f>
        <v>1</v>
      </c>
      <c r="C4092" s="12" t="str">
        <f>VLOOKUP((WEEKDAY(Movimientos_2026[[#This Row],[Fecha]],2)),'5. Setup'!$D$6:$E$12,2,FALSE)</f>
        <v>Sab</v>
      </c>
      <c r="E4092" t="str">
        <f>IFERROR(+VLOOKUP(Movimientos_2026[[#This Row],[Codigo]],Plan_cuentas[],2,FALSE)," ")</f>
        <v xml:space="preserve"> </v>
      </c>
      <c r="F4092" t="str">
        <f>IFERROR(+VLOOKUP(Movimientos_2026[[#This Row],[Codigo]],Plan_cuentas[],3,FALSE)," ")</f>
        <v xml:space="preserve"> </v>
      </c>
      <c r="G4092" t="str">
        <f>IFERROR(+VLOOKUP(Movimientos_2026[[#This Row],[Codigo]],Plan_cuentas[],4,FALSE)," ")</f>
        <v xml:space="preserve"> </v>
      </c>
      <c r="H4092" t="str">
        <f>IFERROR(+VLOOKUP(Movimientos_2026[[#This Row],[Codigo]],Plan_cuentas[],5,FALSE)," ")</f>
        <v xml:space="preserve"> </v>
      </c>
      <c r="I4092" s="43"/>
      <c r="K4092" t="str">
        <f>IFERROR(+VLOOKUP(Movimientos_2026[[#This Row],[Codigo]],Plan_cuentas[],6,FALSE)," ")</f>
        <v xml:space="preserve"> </v>
      </c>
      <c r="L4092" s="50"/>
      <c r="M4092" s="50"/>
      <c r="N4092" s="20">
        <f>+Movimientos_2026[[#This Row],[Ingresos]]-Movimientos_2026[[#This Row],[Egresos]]</f>
        <v>0</v>
      </c>
      <c r="O4092" s="20">
        <f>+O4091+Movimientos_2026[[#This Row],[Neto]]</f>
        <v>4581558617.7962294</v>
      </c>
    </row>
    <row r="4093" spans="1:15" x14ac:dyDescent="0.25">
      <c r="A4093" s="13"/>
      <c r="B4093" s="12">
        <f>MONTH(Movimientos_2026[[#This Row],[Fecha]])</f>
        <v>1</v>
      </c>
      <c r="C4093" s="12" t="str">
        <f>VLOOKUP((WEEKDAY(Movimientos_2026[[#This Row],[Fecha]],2)),'5. Setup'!$D$6:$E$12,2,FALSE)</f>
        <v>Sab</v>
      </c>
      <c r="E4093" t="str">
        <f>IFERROR(+VLOOKUP(Movimientos_2026[[#This Row],[Codigo]],Plan_cuentas[],2,FALSE)," ")</f>
        <v xml:space="preserve"> </v>
      </c>
      <c r="F4093" t="str">
        <f>IFERROR(+VLOOKUP(Movimientos_2026[[#This Row],[Codigo]],Plan_cuentas[],3,FALSE)," ")</f>
        <v xml:space="preserve"> </v>
      </c>
      <c r="G4093" t="str">
        <f>IFERROR(+VLOOKUP(Movimientos_2026[[#This Row],[Codigo]],Plan_cuentas[],4,FALSE)," ")</f>
        <v xml:space="preserve"> </v>
      </c>
      <c r="H4093" t="str">
        <f>IFERROR(+VLOOKUP(Movimientos_2026[[#This Row],[Codigo]],Plan_cuentas[],5,FALSE)," ")</f>
        <v xml:space="preserve"> </v>
      </c>
      <c r="I4093" s="43"/>
      <c r="K4093" t="str">
        <f>IFERROR(+VLOOKUP(Movimientos_2026[[#This Row],[Codigo]],Plan_cuentas[],6,FALSE)," ")</f>
        <v xml:space="preserve"> </v>
      </c>
      <c r="L4093" s="50"/>
      <c r="M4093" s="50"/>
      <c r="N4093" s="20">
        <f>+Movimientos_2026[[#This Row],[Ingresos]]-Movimientos_2026[[#This Row],[Egresos]]</f>
        <v>0</v>
      </c>
      <c r="O4093" s="20">
        <f>+O4092+Movimientos_2026[[#This Row],[Neto]]</f>
        <v>4581558617.7962294</v>
      </c>
    </row>
    <row r="4094" spans="1:15" x14ac:dyDescent="0.25">
      <c r="A4094" s="13"/>
      <c r="B4094" s="12">
        <f>MONTH(Movimientos_2026[[#This Row],[Fecha]])</f>
        <v>1</v>
      </c>
      <c r="C4094" s="12" t="str">
        <f>VLOOKUP((WEEKDAY(Movimientos_2026[[#This Row],[Fecha]],2)),'5. Setup'!$D$6:$E$12,2,FALSE)</f>
        <v>Sab</v>
      </c>
      <c r="E4094" t="str">
        <f>IFERROR(+VLOOKUP(Movimientos_2026[[#This Row],[Codigo]],Plan_cuentas[],2,FALSE)," ")</f>
        <v xml:space="preserve"> </v>
      </c>
      <c r="F4094" t="str">
        <f>IFERROR(+VLOOKUP(Movimientos_2026[[#This Row],[Codigo]],Plan_cuentas[],3,FALSE)," ")</f>
        <v xml:space="preserve"> </v>
      </c>
      <c r="G4094" t="str">
        <f>IFERROR(+VLOOKUP(Movimientos_2026[[#This Row],[Codigo]],Plan_cuentas[],4,FALSE)," ")</f>
        <v xml:space="preserve"> </v>
      </c>
      <c r="H4094" t="str">
        <f>IFERROR(+VLOOKUP(Movimientos_2026[[#This Row],[Codigo]],Plan_cuentas[],5,FALSE)," ")</f>
        <v xml:space="preserve"> </v>
      </c>
      <c r="I4094" s="43"/>
      <c r="K4094" t="str">
        <f>IFERROR(+VLOOKUP(Movimientos_2026[[#This Row],[Codigo]],Plan_cuentas[],6,FALSE)," ")</f>
        <v xml:space="preserve"> </v>
      </c>
      <c r="L4094" s="50"/>
      <c r="M4094" s="50"/>
      <c r="N4094" s="20">
        <f>+Movimientos_2026[[#This Row],[Ingresos]]-Movimientos_2026[[#This Row],[Egresos]]</f>
        <v>0</v>
      </c>
      <c r="O4094" s="20">
        <f>+O4093+Movimientos_2026[[#This Row],[Neto]]</f>
        <v>4581558617.7962294</v>
      </c>
    </row>
    <row r="4095" spans="1:15" x14ac:dyDescent="0.25">
      <c r="A4095" s="13"/>
      <c r="B4095" s="12">
        <f>MONTH(Movimientos_2026[[#This Row],[Fecha]])</f>
        <v>1</v>
      </c>
      <c r="C4095" s="12" t="str">
        <f>VLOOKUP((WEEKDAY(Movimientos_2026[[#This Row],[Fecha]],2)),'5. Setup'!$D$6:$E$12,2,FALSE)</f>
        <v>Sab</v>
      </c>
      <c r="E4095" t="str">
        <f>IFERROR(+VLOOKUP(Movimientos_2026[[#This Row],[Codigo]],Plan_cuentas[],2,FALSE)," ")</f>
        <v xml:space="preserve"> </v>
      </c>
      <c r="F4095" t="str">
        <f>IFERROR(+VLOOKUP(Movimientos_2026[[#This Row],[Codigo]],Plan_cuentas[],3,FALSE)," ")</f>
        <v xml:space="preserve"> </v>
      </c>
      <c r="G4095" t="str">
        <f>IFERROR(+VLOOKUP(Movimientos_2026[[#This Row],[Codigo]],Plan_cuentas[],4,FALSE)," ")</f>
        <v xml:space="preserve"> </v>
      </c>
      <c r="H4095" t="str">
        <f>IFERROR(+VLOOKUP(Movimientos_2026[[#This Row],[Codigo]],Plan_cuentas[],5,FALSE)," ")</f>
        <v xml:space="preserve"> </v>
      </c>
      <c r="I4095" s="43"/>
      <c r="K4095" t="str">
        <f>IFERROR(+VLOOKUP(Movimientos_2026[[#This Row],[Codigo]],Plan_cuentas[],6,FALSE)," ")</f>
        <v xml:space="preserve"> </v>
      </c>
      <c r="L4095" s="50"/>
      <c r="M4095" s="50"/>
      <c r="N4095" s="20">
        <f>+Movimientos_2026[[#This Row],[Ingresos]]-Movimientos_2026[[#This Row],[Egresos]]</f>
        <v>0</v>
      </c>
      <c r="O4095" s="20">
        <f>+O4094+Movimientos_2026[[#This Row],[Neto]]</f>
        <v>4581558617.7962294</v>
      </c>
    </row>
    <row r="4096" spans="1:15" x14ac:dyDescent="0.25">
      <c r="A4096" s="13"/>
      <c r="B4096" s="12">
        <f>MONTH(Movimientos_2026[[#This Row],[Fecha]])</f>
        <v>1</v>
      </c>
      <c r="C4096" s="12" t="str">
        <f>VLOOKUP((WEEKDAY(Movimientos_2026[[#This Row],[Fecha]],2)),'5. Setup'!$D$6:$E$12,2,FALSE)</f>
        <v>Sab</v>
      </c>
      <c r="E4096" t="str">
        <f>IFERROR(+VLOOKUP(Movimientos_2026[[#This Row],[Codigo]],Plan_cuentas[],2,FALSE)," ")</f>
        <v xml:space="preserve"> </v>
      </c>
      <c r="F4096" t="str">
        <f>IFERROR(+VLOOKUP(Movimientos_2026[[#This Row],[Codigo]],Plan_cuentas[],3,FALSE)," ")</f>
        <v xml:space="preserve"> </v>
      </c>
      <c r="G4096" t="str">
        <f>IFERROR(+VLOOKUP(Movimientos_2026[[#This Row],[Codigo]],Plan_cuentas[],4,FALSE)," ")</f>
        <v xml:space="preserve"> </v>
      </c>
      <c r="H4096" t="str">
        <f>IFERROR(+VLOOKUP(Movimientos_2026[[#This Row],[Codigo]],Plan_cuentas[],5,FALSE)," ")</f>
        <v xml:space="preserve"> </v>
      </c>
      <c r="I4096" s="43"/>
      <c r="K4096" t="str">
        <f>IFERROR(+VLOOKUP(Movimientos_2026[[#This Row],[Codigo]],Plan_cuentas[],6,FALSE)," ")</f>
        <v xml:space="preserve"> </v>
      </c>
      <c r="L4096" s="50"/>
      <c r="M4096" s="50"/>
      <c r="N4096" s="20">
        <f>+Movimientos_2026[[#This Row],[Ingresos]]-Movimientos_2026[[#This Row],[Egresos]]</f>
        <v>0</v>
      </c>
      <c r="O4096" s="20">
        <f>+O4095+Movimientos_2026[[#This Row],[Neto]]</f>
        <v>4581558617.7962294</v>
      </c>
    </row>
    <row r="4097" spans="1:15" x14ac:dyDescent="0.25">
      <c r="A4097" s="13"/>
      <c r="B4097" s="12">
        <f>MONTH(Movimientos_2026[[#This Row],[Fecha]])</f>
        <v>1</v>
      </c>
      <c r="C4097" s="12" t="str">
        <f>VLOOKUP((WEEKDAY(Movimientos_2026[[#This Row],[Fecha]],2)),'5. Setup'!$D$6:$E$12,2,FALSE)</f>
        <v>Sab</v>
      </c>
      <c r="E4097" t="str">
        <f>IFERROR(+VLOOKUP(Movimientos_2026[[#This Row],[Codigo]],Plan_cuentas[],2,FALSE)," ")</f>
        <v xml:space="preserve"> </v>
      </c>
      <c r="F4097" t="str">
        <f>IFERROR(+VLOOKUP(Movimientos_2026[[#This Row],[Codigo]],Plan_cuentas[],3,FALSE)," ")</f>
        <v xml:space="preserve"> </v>
      </c>
      <c r="G4097" t="str">
        <f>IFERROR(+VLOOKUP(Movimientos_2026[[#This Row],[Codigo]],Plan_cuentas[],4,FALSE)," ")</f>
        <v xml:space="preserve"> </v>
      </c>
      <c r="H4097" t="str">
        <f>IFERROR(+VLOOKUP(Movimientos_2026[[#This Row],[Codigo]],Plan_cuentas[],5,FALSE)," ")</f>
        <v xml:space="preserve"> </v>
      </c>
      <c r="I4097" s="43"/>
      <c r="K4097" t="str">
        <f>IFERROR(+VLOOKUP(Movimientos_2026[[#This Row],[Codigo]],Plan_cuentas[],6,FALSE)," ")</f>
        <v xml:space="preserve"> </v>
      </c>
      <c r="L4097" s="50"/>
      <c r="M4097" s="50"/>
      <c r="N4097" s="20">
        <f>+Movimientos_2026[[#This Row],[Ingresos]]-Movimientos_2026[[#This Row],[Egresos]]</f>
        <v>0</v>
      </c>
      <c r="O4097" s="20">
        <f>+O4096+Movimientos_2026[[#This Row],[Neto]]</f>
        <v>4581558617.7962294</v>
      </c>
    </row>
    <row r="4098" spans="1:15" x14ac:dyDescent="0.25">
      <c r="A4098" s="13"/>
      <c r="B4098" s="12">
        <f>MONTH(Movimientos_2026[[#This Row],[Fecha]])</f>
        <v>1</v>
      </c>
      <c r="C4098" s="12" t="str">
        <f>VLOOKUP((WEEKDAY(Movimientos_2026[[#This Row],[Fecha]],2)),'5. Setup'!$D$6:$E$12,2,FALSE)</f>
        <v>Sab</v>
      </c>
      <c r="E4098" t="str">
        <f>IFERROR(+VLOOKUP(Movimientos_2026[[#This Row],[Codigo]],Plan_cuentas[],2,FALSE)," ")</f>
        <v xml:space="preserve"> </v>
      </c>
      <c r="F4098" t="str">
        <f>IFERROR(+VLOOKUP(Movimientos_2026[[#This Row],[Codigo]],Plan_cuentas[],3,FALSE)," ")</f>
        <v xml:space="preserve"> </v>
      </c>
      <c r="G4098" t="str">
        <f>IFERROR(+VLOOKUP(Movimientos_2026[[#This Row],[Codigo]],Plan_cuentas[],4,FALSE)," ")</f>
        <v xml:space="preserve"> </v>
      </c>
      <c r="H4098" t="str">
        <f>IFERROR(+VLOOKUP(Movimientos_2026[[#This Row],[Codigo]],Plan_cuentas[],5,FALSE)," ")</f>
        <v xml:space="preserve"> </v>
      </c>
      <c r="I4098" s="43"/>
      <c r="K4098" t="str">
        <f>IFERROR(+VLOOKUP(Movimientos_2026[[#This Row],[Codigo]],Plan_cuentas[],6,FALSE)," ")</f>
        <v xml:space="preserve"> </v>
      </c>
      <c r="L4098" s="50"/>
      <c r="M4098" s="50"/>
      <c r="N4098" s="20">
        <f>+Movimientos_2026[[#This Row],[Ingresos]]-Movimientos_2026[[#This Row],[Egresos]]</f>
        <v>0</v>
      </c>
      <c r="O4098" s="20">
        <f>+O4097+Movimientos_2026[[#This Row],[Neto]]</f>
        <v>4581558617.7962294</v>
      </c>
    </row>
    <row r="4099" spans="1:15" x14ac:dyDescent="0.25">
      <c r="A4099" s="13"/>
      <c r="B4099" s="12">
        <f>MONTH(Movimientos_2026[[#This Row],[Fecha]])</f>
        <v>1</v>
      </c>
      <c r="C4099" s="12" t="str">
        <f>VLOOKUP((WEEKDAY(Movimientos_2026[[#This Row],[Fecha]],2)),'5. Setup'!$D$6:$E$12,2,FALSE)</f>
        <v>Sab</v>
      </c>
      <c r="E4099" t="str">
        <f>IFERROR(+VLOOKUP(Movimientos_2026[[#This Row],[Codigo]],Plan_cuentas[],2,FALSE)," ")</f>
        <v xml:space="preserve"> </v>
      </c>
      <c r="F4099" t="str">
        <f>IFERROR(+VLOOKUP(Movimientos_2026[[#This Row],[Codigo]],Plan_cuentas[],3,FALSE)," ")</f>
        <v xml:space="preserve"> </v>
      </c>
      <c r="G4099" t="str">
        <f>IFERROR(+VLOOKUP(Movimientos_2026[[#This Row],[Codigo]],Plan_cuentas[],4,FALSE)," ")</f>
        <v xml:space="preserve"> </v>
      </c>
      <c r="H4099" t="str">
        <f>IFERROR(+VLOOKUP(Movimientos_2026[[#This Row],[Codigo]],Plan_cuentas[],5,FALSE)," ")</f>
        <v xml:space="preserve"> </v>
      </c>
      <c r="I4099" s="43"/>
      <c r="K4099" t="str">
        <f>IFERROR(+VLOOKUP(Movimientos_2026[[#This Row],[Codigo]],Plan_cuentas[],6,FALSE)," ")</f>
        <v xml:space="preserve"> </v>
      </c>
      <c r="L4099" s="50"/>
      <c r="M4099" s="50"/>
      <c r="N4099" s="20">
        <f>+Movimientos_2026[[#This Row],[Ingresos]]-Movimientos_2026[[#This Row],[Egresos]]</f>
        <v>0</v>
      </c>
      <c r="O4099" s="20">
        <f>+O4098+Movimientos_2026[[#This Row],[Neto]]</f>
        <v>4581558617.7962294</v>
      </c>
    </row>
    <row r="4100" spans="1:15" x14ac:dyDescent="0.25">
      <c r="A4100" s="13"/>
      <c r="B4100" s="12">
        <f>MONTH(Movimientos_2026[[#This Row],[Fecha]])</f>
        <v>1</v>
      </c>
      <c r="C4100" s="12" t="str">
        <f>VLOOKUP((WEEKDAY(Movimientos_2026[[#This Row],[Fecha]],2)),'5. Setup'!$D$6:$E$12,2,FALSE)</f>
        <v>Sab</v>
      </c>
      <c r="E4100" t="str">
        <f>IFERROR(+VLOOKUP(Movimientos_2026[[#This Row],[Codigo]],Plan_cuentas[],2,FALSE)," ")</f>
        <v xml:space="preserve"> </v>
      </c>
      <c r="F4100" t="str">
        <f>IFERROR(+VLOOKUP(Movimientos_2026[[#This Row],[Codigo]],Plan_cuentas[],3,FALSE)," ")</f>
        <v xml:space="preserve"> </v>
      </c>
      <c r="G4100" t="str">
        <f>IFERROR(+VLOOKUP(Movimientos_2026[[#This Row],[Codigo]],Plan_cuentas[],4,FALSE)," ")</f>
        <v xml:space="preserve"> </v>
      </c>
      <c r="H4100" t="str">
        <f>IFERROR(+VLOOKUP(Movimientos_2026[[#This Row],[Codigo]],Plan_cuentas[],5,FALSE)," ")</f>
        <v xml:space="preserve"> </v>
      </c>
      <c r="I4100" s="43"/>
      <c r="K4100" t="str">
        <f>IFERROR(+VLOOKUP(Movimientos_2026[[#This Row],[Codigo]],Plan_cuentas[],6,FALSE)," ")</f>
        <v xml:space="preserve"> </v>
      </c>
      <c r="L4100" s="50"/>
      <c r="M4100" s="50"/>
      <c r="N4100" s="20">
        <f>+Movimientos_2026[[#This Row],[Ingresos]]-Movimientos_2026[[#This Row],[Egresos]]</f>
        <v>0</v>
      </c>
      <c r="O4100" s="20">
        <f>+O4099+Movimientos_2026[[#This Row],[Neto]]</f>
        <v>4581558617.7962294</v>
      </c>
    </row>
    <row r="4101" spans="1:15" x14ac:dyDescent="0.25">
      <c r="A4101" s="13"/>
      <c r="B4101" s="12">
        <f>MONTH(Movimientos_2026[[#This Row],[Fecha]])</f>
        <v>1</v>
      </c>
      <c r="C4101" s="12" t="str">
        <f>VLOOKUP((WEEKDAY(Movimientos_2026[[#This Row],[Fecha]],2)),'5. Setup'!$D$6:$E$12,2,FALSE)</f>
        <v>Sab</v>
      </c>
      <c r="E4101" t="str">
        <f>IFERROR(+VLOOKUP(Movimientos_2026[[#This Row],[Codigo]],Plan_cuentas[],2,FALSE)," ")</f>
        <v xml:space="preserve"> </v>
      </c>
      <c r="F4101" t="str">
        <f>IFERROR(+VLOOKUP(Movimientos_2026[[#This Row],[Codigo]],Plan_cuentas[],3,FALSE)," ")</f>
        <v xml:space="preserve"> </v>
      </c>
      <c r="G4101" t="str">
        <f>IFERROR(+VLOOKUP(Movimientos_2026[[#This Row],[Codigo]],Plan_cuentas[],4,FALSE)," ")</f>
        <v xml:space="preserve"> </v>
      </c>
      <c r="H4101" t="str">
        <f>IFERROR(+VLOOKUP(Movimientos_2026[[#This Row],[Codigo]],Plan_cuentas[],5,FALSE)," ")</f>
        <v xml:space="preserve"> </v>
      </c>
      <c r="I4101" s="43"/>
      <c r="K4101" t="str">
        <f>IFERROR(+VLOOKUP(Movimientos_2026[[#This Row],[Codigo]],Plan_cuentas[],6,FALSE)," ")</f>
        <v xml:space="preserve"> </v>
      </c>
      <c r="L4101" s="50"/>
      <c r="M4101" s="50"/>
      <c r="N4101" s="20">
        <f>+Movimientos_2026[[#This Row],[Ingresos]]-Movimientos_2026[[#This Row],[Egresos]]</f>
        <v>0</v>
      </c>
      <c r="O4101" s="20">
        <f>+O4100+Movimientos_2026[[#This Row],[Neto]]</f>
        <v>4581558617.7962294</v>
      </c>
    </row>
    <row r="4102" spans="1:15" x14ac:dyDescent="0.25">
      <c r="A4102" s="13"/>
      <c r="B4102" s="12">
        <f>MONTH(Movimientos_2026[[#This Row],[Fecha]])</f>
        <v>1</v>
      </c>
      <c r="C4102" s="12" t="str">
        <f>VLOOKUP((WEEKDAY(Movimientos_2026[[#This Row],[Fecha]],2)),'5. Setup'!$D$6:$E$12,2,FALSE)</f>
        <v>Sab</v>
      </c>
      <c r="E4102" t="str">
        <f>IFERROR(+VLOOKUP(Movimientos_2026[[#This Row],[Codigo]],Plan_cuentas[],2,FALSE)," ")</f>
        <v xml:space="preserve"> </v>
      </c>
      <c r="F4102" t="str">
        <f>IFERROR(+VLOOKUP(Movimientos_2026[[#This Row],[Codigo]],Plan_cuentas[],3,FALSE)," ")</f>
        <v xml:space="preserve"> </v>
      </c>
      <c r="G4102" t="str">
        <f>IFERROR(+VLOOKUP(Movimientos_2026[[#This Row],[Codigo]],Plan_cuentas[],4,FALSE)," ")</f>
        <v xml:space="preserve"> </v>
      </c>
      <c r="H4102" t="str">
        <f>IFERROR(+VLOOKUP(Movimientos_2026[[#This Row],[Codigo]],Plan_cuentas[],5,FALSE)," ")</f>
        <v xml:space="preserve"> </v>
      </c>
      <c r="I4102" s="43"/>
      <c r="K4102" t="str">
        <f>IFERROR(+VLOOKUP(Movimientos_2026[[#This Row],[Codigo]],Plan_cuentas[],6,FALSE)," ")</f>
        <v xml:space="preserve"> </v>
      </c>
      <c r="L4102" s="50"/>
      <c r="M4102" s="50"/>
      <c r="N4102" s="20">
        <f>+Movimientos_2026[[#This Row],[Ingresos]]-Movimientos_2026[[#This Row],[Egresos]]</f>
        <v>0</v>
      </c>
      <c r="O4102" s="20">
        <f>+O4101+Movimientos_2026[[#This Row],[Neto]]</f>
        <v>4581558617.7962294</v>
      </c>
    </row>
    <row r="4103" spans="1:15" x14ac:dyDescent="0.25">
      <c r="A4103" s="13"/>
      <c r="B4103" s="12">
        <f>MONTH(Movimientos_2026[[#This Row],[Fecha]])</f>
        <v>1</v>
      </c>
      <c r="C4103" s="12" t="str">
        <f>VLOOKUP((WEEKDAY(Movimientos_2026[[#This Row],[Fecha]],2)),'5. Setup'!$D$6:$E$12,2,FALSE)</f>
        <v>Sab</v>
      </c>
      <c r="E4103" t="str">
        <f>IFERROR(+VLOOKUP(Movimientos_2026[[#This Row],[Codigo]],Plan_cuentas[],2,FALSE)," ")</f>
        <v xml:space="preserve"> </v>
      </c>
      <c r="F4103" t="str">
        <f>IFERROR(+VLOOKUP(Movimientos_2026[[#This Row],[Codigo]],Plan_cuentas[],3,FALSE)," ")</f>
        <v xml:space="preserve"> </v>
      </c>
      <c r="G4103" t="str">
        <f>IFERROR(+VLOOKUP(Movimientos_2026[[#This Row],[Codigo]],Plan_cuentas[],4,FALSE)," ")</f>
        <v xml:space="preserve"> </v>
      </c>
      <c r="H4103" t="str">
        <f>IFERROR(+VLOOKUP(Movimientos_2026[[#This Row],[Codigo]],Plan_cuentas[],5,FALSE)," ")</f>
        <v xml:space="preserve"> </v>
      </c>
      <c r="I4103" s="43"/>
      <c r="K4103" t="str">
        <f>IFERROR(+VLOOKUP(Movimientos_2026[[#This Row],[Codigo]],Plan_cuentas[],6,FALSE)," ")</f>
        <v xml:space="preserve"> </v>
      </c>
      <c r="L4103" s="50"/>
      <c r="M4103" s="50"/>
      <c r="N4103" s="20">
        <f>+Movimientos_2026[[#This Row],[Ingresos]]-Movimientos_2026[[#This Row],[Egresos]]</f>
        <v>0</v>
      </c>
      <c r="O4103" s="20">
        <f>+O4102+Movimientos_2026[[#This Row],[Neto]]</f>
        <v>4581558617.7962294</v>
      </c>
    </row>
    <row r="4104" spans="1:15" x14ac:dyDescent="0.25">
      <c r="A4104" s="13"/>
      <c r="B4104" s="12">
        <f>MONTH(Movimientos_2026[[#This Row],[Fecha]])</f>
        <v>1</v>
      </c>
      <c r="C4104" s="12" t="str">
        <f>VLOOKUP((WEEKDAY(Movimientos_2026[[#This Row],[Fecha]],2)),'5. Setup'!$D$6:$E$12,2,FALSE)</f>
        <v>Sab</v>
      </c>
      <c r="E4104" t="str">
        <f>IFERROR(+VLOOKUP(Movimientos_2026[[#This Row],[Codigo]],Plan_cuentas[],2,FALSE)," ")</f>
        <v xml:space="preserve"> </v>
      </c>
      <c r="F4104" t="str">
        <f>IFERROR(+VLOOKUP(Movimientos_2026[[#This Row],[Codigo]],Plan_cuentas[],3,FALSE)," ")</f>
        <v xml:space="preserve"> </v>
      </c>
      <c r="G4104" t="str">
        <f>IFERROR(+VLOOKUP(Movimientos_2026[[#This Row],[Codigo]],Plan_cuentas[],4,FALSE)," ")</f>
        <v xml:space="preserve"> </v>
      </c>
      <c r="H4104" t="str">
        <f>IFERROR(+VLOOKUP(Movimientos_2026[[#This Row],[Codigo]],Plan_cuentas[],5,FALSE)," ")</f>
        <v xml:space="preserve"> </v>
      </c>
      <c r="I4104" s="43"/>
      <c r="K4104" t="str">
        <f>IFERROR(+VLOOKUP(Movimientos_2026[[#This Row],[Codigo]],Plan_cuentas[],6,FALSE)," ")</f>
        <v xml:space="preserve"> </v>
      </c>
      <c r="L4104" s="50"/>
      <c r="M4104" s="50"/>
      <c r="N4104" s="20">
        <f>+Movimientos_2026[[#This Row],[Ingresos]]-Movimientos_2026[[#This Row],[Egresos]]</f>
        <v>0</v>
      </c>
      <c r="O4104" s="20">
        <f>+O4103+Movimientos_2026[[#This Row],[Neto]]</f>
        <v>4581558617.7962294</v>
      </c>
    </row>
    <row r="4105" spans="1:15" x14ac:dyDescent="0.25">
      <c r="A4105" s="13"/>
      <c r="B4105" s="12">
        <f>MONTH(Movimientos_2026[[#This Row],[Fecha]])</f>
        <v>1</v>
      </c>
      <c r="C4105" s="12" t="str">
        <f>VLOOKUP((WEEKDAY(Movimientos_2026[[#This Row],[Fecha]],2)),'5. Setup'!$D$6:$E$12,2,FALSE)</f>
        <v>Sab</v>
      </c>
      <c r="E4105" t="str">
        <f>IFERROR(+VLOOKUP(Movimientos_2026[[#This Row],[Codigo]],Plan_cuentas[],2,FALSE)," ")</f>
        <v xml:space="preserve"> </v>
      </c>
      <c r="F4105" t="str">
        <f>IFERROR(+VLOOKUP(Movimientos_2026[[#This Row],[Codigo]],Plan_cuentas[],3,FALSE)," ")</f>
        <v xml:space="preserve"> </v>
      </c>
      <c r="G4105" t="str">
        <f>IFERROR(+VLOOKUP(Movimientos_2026[[#This Row],[Codigo]],Plan_cuentas[],4,FALSE)," ")</f>
        <v xml:space="preserve"> </v>
      </c>
      <c r="H4105" t="str">
        <f>IFERROR(+VLOOKUP(Movimientos_2026[[#This Row],[Codigo]],Plan_cuentas[],5,FALSE)," ")</f>
        <v xml:space="preserve"> </v>
      </c>
      <c r="I4105" s="43"/>
      <c r="K4105" t="str">
        <f>IFERROR(+VLOOKUP(Movimientos_2026[[#This Row],[Codigo]],Plan_cuentas[],6,FALSE)," ")</f>
        <v xml:space="preserve"> </v>
      </c>
      <c r="L4105" s="50"/>
      <c r="M4105" s="50"/>
      <c r="N4105" s="20">
        <f>+Movimientos_2026[[#This Row],[Ingresos]]-Movimientos_2026[[#This Row],[Egresos]]</f>
        <v>0</v>
      </c>
      <c r="O4105" s="20">
        <f>+O4104+Movimientos_2026[[#This Row],[Neto]]</f>
        <v>4581558617.7962294</v>
      </c>
    </row>
    <row r="4106" spans="1:15" x14ac:dyDescent="0.25">
      <c r="A4106" s="13"/>
      <c r="B4106" s="12">
        <f>MONTH(Movimientos_2026[[#This Row],[Fecha]])</f>
        <v>1</v>
      </c>
      <c r="C4106" s="12" t="str">
        <f>VLOOKUP((WEEKDAY(Movimientos_2026[[#This Row],[Fecha]],2)),'5. Setup'!$D$6:$E$12,2,FALSE)</f>
        <v>Sab</v>
      </c>
      <c r="E4106" t="str">
        <f>IFERROR(+VLOOKUP(Movimientos_2026[[#This Row],[Codigo]],Plan_cuentas[],2,FALSE)," ")</f>
        <v xml:space="preserve"> </v>
      </c>
      <c r="F4106" t="str">
        <f>IFERROR(+VLOOKUP(Movimientos_2026[[#This Row],[Codigo]],Plan_cuentas[],3,FALSE)," ")</f>
        <v xml:space="preserve"> </v>
      </c>
      <c r="G4106" t="str">
        <f>IFERROR(+VLOOKUP(Movimientos_2026[[#This Row],[Codigo]],Plan_cuentas[],4,FALSE)," ")</f>
        <v xml:space="preserve"> </v>
      </c>
      <c r="H4106" t="str">
        <f>IFERROR(+VLOOKUP(Movimientos_2026[[#This Row],[Codigo]],Plan_cuentas[],5,FALSE)," ")</f>
        <v xml:space="preserve"> </v>
      </c>
      <c r="I4106" s="43"/>
      <c r="K4106" t="str">
        <f>IFERROR(+VLOOKUP(Movimientos_2026[[#This Row],[Codigo]],Plan_cuentas[],6,FALSE)," ")</f>
        <v xml:space="preserve"> </v>
      </c>
      <c r="L4106" s="50"/>
      <c r="M4106" s="50"/>
      <c r="N4106" s="20">
        <f>+Movimientos_2026[[#This Row],[Ingresos]]-Movimientos_2026[[#This Row],[Egresos]]</f>
        <v>0</v>
      </c>
      <c r="O4106" s="20">
        <f>+O4105+Movimientos_2026[[#This Row],[Neto]]</f>
        <v>4581558617.7962294</v>
      </c>
    </row>
    <row r="4107" spans="1:15" x14ac:dyDescent="0.25">
      <c r="A4107" s="13"/>
      <c r="B4107" s="12">
        <f>MONTH(Movimientos_2026[[#This Row],[Fecha]])</f>
        <v>1</v>
      </c>
      <c r="C4107" s="12" t="str">
        <f>VLOOKUP((WEEKDAY(Movimientos_2026[[#This Row],[Fecha]],2)),'5. Setup'!$D$6:$E$12,2,FALSE)</f>
        <v>Sab</v>
      </c>
      <c r="E4107" t="str">
        <f>IFERROR(+VLOOKUP(Movimientos_2026[[#This Row],[Codigo]],Plan_cuentas[],2,FALSE)," ")</f>
        <v xml:space="preserve"> </v>
      </c>
      <c r="F4107" t="str">
        <f>IFERROR(+VLOOKUP(Movimientos_2026[[#This Row],[Codigo]],Plan_cuentas[],3,FALSE)," ")</f>
        <v xml:space="preserve"> </v>
      </c>
      <c r="G4107" t="str">
        <f>IFERROR(+VLOOKUP(Movimientos_2026[[#This Row],[Codigo]],Plan_cuentas[],4,FALSE)," ")</f>
        <v xml:space="preserve"> </v>
      </c>
      <c r="H4107" t="str">
        <f>IFERROR(+VLOOKUP(Movimientos_2026[[#This Row],[Codigo]],Plan_cuentas[],5,FALSE)," ")</f>
        <v xml:space="preserve"> </v>
      </c>
      <c r="I4107" s="43"/>
      <c r="K4107" t="str">
        <f>IFERROR(+VLOOKUP(Movimientos_2026[[#This Row],[Codigo]],Plan_cuentas[],6,FALSE)," ")</f>
        <v xml:space="preserve"> </v>
      </c>
      <c r="L4107" s="50"/>
      <c r="M4107" s="50"/>
      <c r="N4107" s="20">
        <f>+Movimientos_2026[[#This Row],[Ingresos]]-Movimientos_2026[[#This Row],[Egresos]]</f>
        <v>0</v>
      </c>
      <c r="O4107" s="20">
        <f>+O4106+Movimientos_2026[[#This Row],[Neto]]</f>
        <v>4581558617.7962294</v>
      </c>
    </row>
    <row r="4108" spans="1:15" x14ac:dyDescent="0.25">
      <c r="A4108" s="13"/>
      <c r="B4108" s="12">
        <f>MONTH(Movimientos_2026[[#This Row],[Fecha]])</f>
        <v>1</v>
      </c>
      <c r="C4108" s="12" t="str">
        <f>VLOOKUP((WEEKDAY(Movimientos_2026[[#This Row],[Fecha]],2)),'5. Setup'!$D$6:$E$12,2,FALSE)</f>
        <v>Sab</v>
      </c>
      <c r="E4108" t="str">
        <f>IFERROR(+VLOOKUP(Movimientos_2026[[#This Row],[Codigo]],Plan_cuentas[],2,FALSE)," ")</f>
        <v xml:space="preserve"> </v>
      </c>
      <c r="F4108" t="str">
        <f>IFERROR(+VLOOKUP(Movimientos_2026[[#This Row],[Codigo]],Plan_cuentas[],3,FALSE)," ")</f>
        <v xml:space="preserve"> </v>
      </c>
      <c r="G4108" t="str">
        <f>IFERROR(+VLOOKUP(Movimientos_2026[[#This Row],[Codigo]],Plan_cuentas[],4,FALSE)," ")</f>
        <v xml:space="preserve"> </v>
      </c>
      <c r="H4108" t="str">
        <f>IFERROR(+VLOOKUP(Movimientos_2026[[#This Row],[Codigo]],Plan_cuentas[],5,FALSE)," ")</f>
        <v xml:space="preserve"> </v>
      </c>
      <c r="I4108" s="43"/>
      <c r="K4108" t="str">
        <f>IFERROR(+VLOOKUP(Movimientos_2026[[#This Row],[Codigo]],Plan_cuentas[],6,FALSE)," ")</f>
        <v xml:space="preserve"> </v>
      </c>
      <c r="L4108" s="50"/>
      <c r="M4108" s="50"/>
      <c r="N4108" s="20">
        <f>+Movimientos_2026[[#This Row],[Ingresos]]-Movimientos_2026[[#This Row],[Egresos]]</f>
        <v>0</v>
      </c>
      <c r="O4108" s="20">
        <f>+O4107+Movimientos_2026[[#This Row],[Neto]]</f>
        <v>4581558617.7962294</v>
      </c>
    </row>
    <row r="4109" spans="1:15" x14ac:dyDescent="0.25">
      <c r="A4109" s="13"/>
      <c r="B4109" s="12">
        <f>MONTH(Movimientos_2026[[#This Row],[Fecha]])</f>
        <v>1</v>
      </c>
      <c r="C4109" s="12" t="str">
        <f>VLOOKUP((WEEKDAY(Movimientos_2026[[#This Row],[Fecha]],2)),'5. Setup'!$D$6:$E$12,2,FALSE)</f>
        <v>Sab</v>
      </c>
      <c r="E4109" t="str">
        <f>IFERROR(+VLOOKUP(Movimientos_2026[[#This Row],[Codigo]],Plan_cuentas[],2,FALSE)," ")</f>
        <v xml:space="preserve"> </v>
      </c>
      <c r="F4109" t="str">
        <f>IFERROR(+VLOOKUP(Movimientos_2026[[#This Row],[Codigo]],Plan_cuentas[],3,FALSE)," ")</f>
        <v xml:space="preserve"> </v>
      </c>
      <c r="G4109" t="str">
        <f>IFERROR(+VLOOKUP(Movimientos_2026[[#This Row],[Codigo]],Plan_cuentas[],4,FALSE)," ")</f>
        <v xml:space="preserve"> </v>
      </c>
      <c r="H4109" t="str">
        <f>IFERROR(+VLOOKUP(Movimientos_2026[[#This Row],[Codigo]],Plan_cuentas[],5,FALSE)," ")</f>
        <v xml:space="preserve"> </v>
      </c>
      <c r="I4109" s="43"/>
      <c r="K4109" t="str">
        <f>IFERROR(+VLOOKUP(Movimientos_2026[[#This Row],[Codigo]],Plan_cuentas[],6,FALSE)," ")</f>
        <v xml:space="preserve"> </v>
      </c>
      <c r="L4109" s="50"/>
      <c r="M4109" s="50"/>
      <c r="N4109" s="20">
        <f>+Movimientos_2026[[#This Row],[Ingresos]]-Movimientos_2026[[#This Row],[Egresos]]</f>
        <v>0</v>
      </c>
      <c r="O4109" s="20">
        <f>+O4108+Movimientos_2026[[#This Row],[Neto]]</f>
        <v>4581558617.7962294</v>
      </c>
    </row>
    <row r="4110" spans="1:15" x14ac:dyDescent="0.25">
      <c r="A4110" s="13"/>
      <c r="B4110" s="12">
        <f>MONTH(Movimientos_2026[[#This Row],[Fecha]])</f>
        <v>1</v>
      </c>
      <c r="C4110" s="12" t="str">
        <f>VLOOKUP((WEEKDAY(Movimientos_2026[[#This Row],[Fecha]],2)),'5. Setup'!$D$6:$E$12,2,FALSE)</f>
        <v>Sab</v>
      </c>
      <c r="E4110" t="str">
        <f>IFERROR(+VLOOKUP(Movimientos_2026[[#This Row],[Codigo]],Plan_cuentas[],2,FALSE)," ")</f>
        <v xml:space="preserve"> </v>
      </c>
      <c r="F4110" t="str">
        <f>IFERROR(+VLOOKUP(Movimientos_2026[[#This Row],[Codigo]],Plan_cuentas[],3,FALSE)," ")</f>
        <v xml:space="preserve"> </v>
      </c>
      <c r="G4110" t="str">
        <f>IFERROR(+VLOOKUP(Movimientos_2026[[#This Row],[Codigo]],Plan_cuentas[],4,FALSE)," ")</f>
        <v xml:space="preserve"> </v>
      </c>
      <c r="H4110" t="str">
        <f>IFERROR(+VLOOKUP(Movimientos_2026[[#This Row],[Codigo]],Plan_cuentas[],5,FALSE)," ")</f>
        <v xml:space="preserve"> </v>
      </c>
      <c r="I4110" s="43"/>
      <c r="K4110" t="str">
        <f>IFERROR(+VLOOKUP(Movimientos_2026[[#This Row],[Codigo]],Plan_cuentas[],6,FALSE)," ")</f>
        <v xml:space="preserve"> </v>
      </c>
      <c r="L4110" s="50"/>
      <c r="M4110" s="50"/>
      <c r="N4110" s="20">
        <f>+Movimientos_2026[[#This Row],[Ingresos]]-Movimientos_2026[[#This Row],[Egresos]]</f>
        <v>0</v>
      </c>
      <c r="O4110" s="20">
        <f>+O4109+Movimientos_2026[[#This Row],[Neto]]</f>
        <v>4581558617.7962294</v>
      </c>
    </row>
    <row r="4111" spans="1:15" x14ac:dyDescent="0.25">
      <c r="A4111" s="13"/>
      <c r="B4111" s="12">
        <f>MONTH(Movimientos_2026[[#This Row],[Fecha]])</f>
        <v>1</v>
      </c>
      <c r="C4111" s="12" t="str">
        <f>VLOOKUP((WEEKDAY(Movimientos_2026[[#This Row],[Fecha]],2)),'5. Setup'!$D$6:$E$12,2,FALSE)</f>
        <v>Sab</v>
      </c>
      <c r="E4111" t="str">
        <f>IFERROR(+VLOOKUP(Movimientos_2026[[#This Row],[Codigo]],Plan_cuentas[],2,FALSE)," ")</f>
        <v xml:space="preserve"> </v>
      </c>
      <c r="F4111" t="str">
        <f>IFERROR(+VLOOKUP(Movimientos_2026[[#This Row],[Codigo]],Plan_cuentas[],3,FALSE)," ")</f>
        <v xml:space="preserve"> </v>
      </c>
      <c r="G4111" t="str">
        <f>IFERROR(+VLOOKUP(Movimientos_2026[[#This Row],[Codigo]],Plan_cuentas[],4,FALSE)," ")</f>
        <v xml:space="preserve"> </v>
      </c>
      <c r="H4111" t="str">
        <f>IFERROR(+VLOOKUP(Movimientos_2026[[#This Row],[Codigo]],Plan_cuentas[],5,FALSE)," ")</f>
        <v xml:space="preserve"> </v>
      </c>
      <c r="I4111" s="43"/>
      <c r="K4111" t="str">
        <f>IFERROR(+VLOOKUP(Movimientos_2026[[#This Row],[Codigo]],Plan_cuentas[],6,FALSE)," ")</f>
        <v xml:space="preserve"> </v>
      </c>
      <c r="L4111" s="50"/>
      <c r="M4111" s="50"/>
      <c r="N4111" s="20">
        <f>+Movimientos_2026[[#This Row],[Ingresos]]-Movimientos_2026[[#This Row],[Egresos]]</f>
        <v>0</v>
      </c>
      <c r="O4111" s="20">
        <f>+O4110+Movimientos_2026[[#This Row],[Neto]]</f>
        <v>4581558617.7962294</v>
      </c>
    </row>
    <row r="4112" spans="1:15" x14ac:dyDescent="0.25">
      <c r="A4112" s="13"/>
      <c r="B4112" s="12">
        <f>MONTH(Movimientos_2026[[#This Row],[Fecha]])</f>
        <v>1</v>
      </c>
      <c r="C4112" s="12" t="str">
        <f>VLOOKUP((WEEKDAY(Movimientos_2026[[#This Row],[Fecha]],2)),'5. Setup'!$D$6:$E$12,2,FALSE)</f>
        <v>Sab</v>
      </c>
      <c r="E4112" t="str">
        <f>IFERROR(+VLOOKUP(Movimientos_2026[[#This Row],[Codigo]],Plan_cuentas[],2,FALSE)," ")</f>
        <v xml:space="preserve"> </v>
      </c>
      <c r="F4112" t="str">
        <f>IFERROR(+VLOOKUP(Movimientos_2026[[#This Row],[Codigo]],Plan_cuentas[],3,FALSE)," ")</f>
        <v xml:space="preserve"> </v>
      </c>
      <c r="G4112" t="str">
        <f>IFERROR(+VLOOKUP(Movimientos_2026[[#This Row],[Codigo]],Plan_cuentas[],4,FALSE)," ")</f>
        <v xml:space="preserve"> </v>
      </c>
      <c r="H4112" t="str">
        <f>IFERROR(+VLOOKUP(Movimientos_2026[[#This Row],[Codigo]],Plan_cuentas[],5,FALSE)," ")</f>
        <v xml:space="preserve"> </v>
      </c>
      <c r="I4112" s="43"/>
      <c r="K4112" t="str">
        <f>IFERROR(+VLOOKUP(Movimientos_2026[[#This Row],[Codigo]],Plan_cuentas[],6,FALSE)," ")</f>
        <v xml:space="preserve"> </v>
      </c>
      <c r="L4112" s="50"/>
      <c r="M4112" s="50"/>
      <c r="N4112" s="20">
        <f>+Movimientos_2026[[#This Row],[Ingresos]]-Movimientos_2026[[#This Row],[Egresos]]</f>
        <v>0</v>
      </c>
      <c r="O4112" s="20">
        <f>+O4111+Movimientos_2026[[#This Row],[Neto]]</f>
        <v>4581558617.7962294</v>
      </c>
    </row>
    <row r="4113" spans="1:15" x14ac:dyDescent="0.25">
      <c r="A4113" s="13"/>
      <c r="B4113" s="12">
        <f>MONTH(Movimientos_2026[[#This Row],[Fecha]])</f>
        <v>1</v>
      </c>
      <c r="C4113" s="12" t="str">
        <f>VLOOKUP((WEEKDAY(Movimientos_2026[[#This Row],[Fecha]],2)),'5. Setup'!$D$6:$E$12,2,FALSE)</f>
        <v>Sab</v>
      </c>
      <c r="E4113" t="str">
        <f>IFERROR(+VLOOKUP(Movimientos_2026[[#This Row],[Codigo]],Plan_cuentas[],2,FALSE)," ")</f>
        <v xml:space="preserve"> </v>
      </c>
      <c r="F4113" t="str">
        <f>IFERROR(+VLOOKUP(Movimientos_2026[[#This Row],[Codigo]],Plan_cuentas[],3,FALSE)," ")</f>
        <v xml:space="preserve"> </v>
      </c>
      <c r="G4113" t="str">
        <f>IFERROR(+VLOOKUP(Movimientos_2026[[#This Row],[Codigo]],Plan_cuentas[],4,FALSE)," ")</f>
        <v xml:space="preserve"> </v>
      </c>
      <c r="H4113" t="str">
        <f>IFERROR(+VLOOKUP(Movimientos_2026[[#This Row],[Codigo]],Plan_cuentas[],5,FALSE)," ")</f>
        <v xml:space="preserve"> </v>
      </c>
      <c r="I4113" s="43"/>
      <c r="K4113" t="str">
        <f>IFERROR(+VLOOKUP(Movimientos_2026[[#This Row],[Codigo]],Plan_cuentas[],6,FALSE)," ")</f>
        <v xml:space="preserve"> </v>
      </c>
      <c r="L4113" s="50"/>
      <c r="M4113" s="50"/>
      <c r="N4113" s="20">
        <f>+Movimientos_2026[[#This Row],[Ingresos]]-Movimientos_2026[[#This Row],[Egresos]]</f>
        <v>0</v>
      </c>
      <c r="O4113" s="20">
        <f>+O4112+Movimientos_2026[[#This Row],[Neto]]</f>
        <v>4581558617.7962294</v>
      </c>
    </row>
    <row r="4114" spans="1:15" x14ac:dyDescent="0.25">
      <c r="A4114" s="13"/>
      <c r="B4114" s="12">
        <f>MONTH(Movimientos_2026[[#This Row],[Fecha]])</f>
        <v>1</v>
      </c>
      <c r="C4114" s="12" t="str">
        <f>VLOOKUP((WEEKDAY(Movimientos_2026[[#This Row],[Fecha]],2)),'5. Setup'!$D$6:$E$12,2,FALSE)</f>
        <v>Sab</v>
      </c>
      <c r="E4114" t="str">
        <f>IFERROR(+VLOOKUP(Movimientos_2026[[#This Row],[Codigo]],Plan_cuentas[],2,FALSE)," ")</f>
        <v xml:space="preserve"> </v>
      </c>
      <c r="F4114" t="str">
        <f>IFERROR(+VLOOKUP(Movimientos_2026[[#This Row],[Codigo]],Plan_cuentas[],3,FALSE)," ")</f>
        <v xml:space="preserve"> </v>
      </c>
      <c r="G4114" t="str">
        <f>IFERROR(+VLOOKUP(Movimientos_2026[[#This Row],[Codigo]],Plan_cuentas[],4,FALSE)," ")</f>
        <v xml:space="preserve"> </v>
      </c>
      <c r="H4114" t="str">
        <f>IFERROR(+VLOOKUP(Movimientos_2026[[#This Row],[Codigo]],Plan_cuentas[],5,FALSE)," ")</f>
        <v xml:space="preserve"> </v>
      </c>
      <c r="I4114" s="43"/>
      <c r="K4114" t="str">
        <f>IFERROR(+VLOOKUP(Movimientos_2026[[#This Row],[Codigo]],Plan_cuentas[],6,FALSE)," ")</f>
        <v xml:space="preserve"> </v>
      </c>
      <c r="L4114" s="50"/>
      <c r="M4114" s="50"/>
      <c r="N4114" s="20">
        <f>+Movimientos_2026[[#This Row],[Ingresos]]-Movimientos_2026[[#This Row],[Egresos]]</f>
        <v>0</v>
      </c>
      <c r="O4114" s="20">
        <f>+O4113+Movimientos_2026[[#This Row],[Neto]]</f>
        <v>4581558617.7962294</v>
      </c>
    </row>
    <row r="4115" spans="1:15" x14ac:dyDescent="0.25">
      <c r="A4115" s="13"/>
      <c r="B4115" s="12">
        <f>MONTH(Movimientos_2026[[#This Row],[Fecha]])</f>
        <v>1</v>
      </c>
      <c r="C4115" s="12" t="str">
        <f>VLOOKUP((WEEKDAY(Movimientos_2026[[#This Row],[Fecha]],2)),'5. Setup'!$D$6:$E$12,2,FALSE)</f>
        <v>Sab</v>
      </c>
      <c r="E4115" t="str">
        <f>IFERROR(+VLOOKUP(Movimientos_2026[[#This Row],[Codigo]],Plan_cuentas[],2,FALSE)," ")</f>
        <v xml:space="preserve"> </v>
      </c>
      <c r="F4115" t="str">
        <f>IFERROR(+VLOOKUP(Movimientos_2026[[#This Row],[Codigo]],Plan_cuentas[],3,FALSE)," ")</f>
        <v xml:space="preserve"> </v>
      </c>
      <c r="G4115" t="str">
        <f>IFERROR(+VLOOKUP(Movimientos_2026[[#This Row],[Codigo]],Plan_cuentas[],4,FALSE)," ")</f>
        <v xml:space="preserve"> </v>
      </c>
      <c r="H4115" t="str">
        <f>IFERROR(+VLOOKUP(Movimientos_2026[[#This Row],[Codigo]],Plan_cuentas[],5,FALSE)," ")</f>
        <v xml:space="preserve"> </v>
      </c>
      <c r="I4115" s="43"/>
      <c r="K4115" t="str">
        <f>IFERROR(+VLOOKUP(Movimientos_2026[[#This Row],[Codigo]],Plan_cuentas[],6,FALSE)," ")</f>
        <v xml:space="preserve"> </v>
      </c>
      <c r="L4115" s="50"/>
      <c r="M4115" s="50"/>
      <c r="N4115" s="20">
        <f>+Movimientos_2026[[#This Row],[Ingresos]]-Movimientos_2026[[#This Row],[Egresos]]</f>
        <v>0</v>
      </c>
      <c r="O4115" s="20">
        <f>+O4114+Movimientos_2026[[#This Row],[Neto]]</f>
        <v>4581558617.7962294</v>
      </c>
    </row>
    <row r="4116" spans="1:15" x14ac:dyDescent="0.25">
      <c r="A4116" s="13"/>
      <c r="B4116" s="12">
        <f>MONTH(Movimientos_2026[[#This Row],[Fecha]])</f>
        <v>1</v>
      </c>
      <c r="C4116" s="12" t="str">
        <f>VLOOKUP((WEEKDAY(Movimientos_2026[[#This Row],[Fecha]],2)),'5. Setup'!$D$6:$E$12,2,FALSE)</f>
        <v>Sab</v>
      </c>
      <c r="E4116" t="str">
        <f>IFERROR(+VLOOKUP(Movimientos_2026[[#This Row],[Codigo]],Plan_cuentas[],2,FALSE)," ")</f>
        <v xml:space="preserve"> </v>
      </c>
      <c r="F4116" t="str">
        <f>IFERROR(+VLOOKUP(Movimientos_2026[[#This Row],[Codigo]],Plan_cuentas[],3,FALSE)," ")</f>
        <v xml:space="preserve"> </v>
      </c>
      <c r="G4116" t="str">
        <f>IFERROR(+VLOOKUP(Movimientos_2026[[#This Row],[Codigo]],Plan_cuentas[],4,FALSE)," ")</f>
        <v xml:space="preserve"> </v>
      </c>
      <c r="H4116" t="str">
        <f>IFERROR(+VLOOKUP(Movimientos_2026[[#This Row],[Codigo]],Plan_cuentas[],5,FALSE)," ")</f>
        <v xml:space="preserve"> </v>
      </c>
      <c r="I4116" s="43"/>
      <c r="K4116" t="str">
        <f>IFERROR(+VLOOKUP(Movimientos_2026[[#This Row],[Codigo]],Plan_cuentas[],6,FALSE)," ")</f>
        <v xml:space="preserve"> </v>
      </c>
      <c r="L4116" s="50"/>
      <c r="M4116" s="50"/>
      <c r="N4116" s="20">
        <f>+Movimientos_2026[[#This Row],[Ingresos]]-Movimientos_2026[[#This Row],[Egresos]]</f>
        <v>0</v>
      </c>
      <c r="O4116" s="20">
        <f>+O4115+Movimientos_2026[[#This Row],[Neto]]</f>
        <v>4581558617.7962294</v>
      </c>
    </row>
    <row r="4117" spans="1:15" x14ac:dyDescent="0.25">
      <c r="A4117" s="13"/>
      <c r="B4117" s="12">
        <f>MONTH(Movimientos_2026[[#This Row],[Fecha]])</f>
        <v>1</v>
      </c>
      <c r="C4117" s="12" t="str">
        <f>VLOOKUP((WEEKDAY(Movimientos_2026[[#This Row],[Fecha]],2)),'5. Setup'!$D$6:$E$12,2,FALSE)</f>
        <v>Sab</v>
      </c>
      <c r="E4117" t="str">
        <f>IFERROR(+VLOOKUP(Movimientos_2026[[#This Row],[Codigo]],Plan_cuentas[],2,FALSE)," ")</f>
        <v xml:space="preserve"> </v>
      </c>
      <c r="F4117" t="str">
        <f>IFERROR(+VLOOKUP(Movimientos_2026[[#This Row],[Codigo]],Plan_cuentas[],3,FALSE)," ")</f>
        <v xml:space="preserve"> </v>
      </c>
      <c r="G4117" t="str">
        <f>IFERROR(+VLOOKUP(Movimientos_2026[[#This Row],[Codigo]],Plan_cuentas[],4,FALSE)," ")</f>
        <v xml:space="preserve"> </v>
      </c>
      <c r="H4117" t="str">
        <f>IFERROR(+VLOOKUP(Movimientos_2026[[#This Row],[Codigo]],Plan_cuentas[],5,FALSE)," ")</f>
        <v xml:space="preserve"> </v>
      </c>
      <c r="I4117" s="43"/>
      <c r="K4117" t="str">
        <f>IFERROR(+VLOOKUP(Movimientos_2026[[#This Row],[Codigo]],Plan_cuentas[],6,FALSE)," ")</f>
        <v xml:space="preserve"> </v>
      </c>
      <c r="L4117" s="50"/>
      <c r="M4117" s="50"/>
      <c r="N4117" s="20">
        <f>+Movimientos_2026[[#This Row],[Ingresos]]-Movimientos_2026[[#This Row],[Egresos]]</f>
        <v>0</v>
      </c>
      <c r="O4117" s="20">
        <f>+O4116+Movimientos_2026[[#This Row],[Neto]]</f>
        <v>4581558617.7962294</v>
      </c>
    </row>
    <row r="4118" spans="1:15" x14ac:dyDescent="0.25">
      <c r="A4118" s="13"/>
      <c r="B4118" s="12">
        <f>MONTH(Movimientos_2026[[#This Row],[Fecha]])</f>
        <v>1</v>
      </c>
      <c r="C4118" s="12" t="str">
        <f>VLOOKUP((WEEKDAY(Movimientos_2026[[#This Row],[Fecha]],2)),'5. Setup'!$D$6:$E$12,2,FALSE)</f>
        <v>Sab</v>
      </c>
      <c r="E4118" t="str">
        <f>IFERROR(+VLOOKUP(Movimientos_2026[[#This Row],[Codigo]],Plan_cuentas[],2,FALSE)," ")</f>
        <v xml:space="preserve"> </v>
      </c>
      <c r="F4118" t="str">
        <f>IFERROR(+VLOOKUP(Movimientos_2026[[#This Row],[Codigo]],Plan_cuentas[],3,FALSE)," ")</f>
        <v xml:space="preserve"> </v>
      </c>
      <c r="G4118" t="str">
        <f>IFERROR(+VLOOKUP(Movimientos_2026[[#This Row],[Codigo]],Plan_cuentas[],4,FALSE)," ")</f>
        <v xml:space="preserve"> </v>
      </c>
      <c r="H4118" t="str">
        <f>IFERROR(+VLOOKUP(Movimientos_2026[[#This Row],[Codigo]],Plan_cuentas[],5,FALSE)," ")</f>
        <v xml:space="preserve"> </v>
      </c>
      <c r="I4118" s="43"/>
      <c r="K4118" t="str">
        <f>IFERROR(+VLOOKUP(Movimientos_2026[[#This Row],[Codigo]],Plan_cuentas[],6,FALSE)," ")</f>
        <v xml:space="preserve"> </v>
      </c>
      <c r="L4118" s="50"/>
      <c r="M4118" s="50"/>
      <c r="N4118" s="20">
        <f>+Movimientos_2026[[#This Row],[Ingresos]]-Movimientos_2026[[#This Row],[Egresos]]</f>
        <v>0</v>
      </c>
      <c r="O4118" s="20">
        <f>+O4117+Movimientos_2026[[#This Row],[Neto]]</f>
        <v>4581558617.7962294</v>
      </c>
    </row>
    <row r="4119" spans="1:15" x14ac:dyDescent="0.25">
      <c r="A4119" s="13"/>
      <c r="B4119" s="12">
        <f>MONTH(Movimientos_2026[[#This Row],[Fecha]])</f>
        <v>1</v>
      </c>
      <c r="C4119" s="12" t="str">
        <f>VLOOKUP((WEEKDAY(Movimientos_2026[[#This Row],[Fecha]],2)),'5. Setup'!$D$6:$E$12,2,FALSE)</f>
        <v>Sab</v>
      </c>
      <c r="E4119" t="str">
        <f>IFERROR(+VLOOKUP(Movimientos_2026[[#This Row],[Codigo]],Plan_cuentas[],2,FALSE)," ")</f>
        <v xml:space="preserve"> </v>
      </c>
      <c r="F4119" t="str">
        <f>IFERROR(+VLOOKUP(Movimientos_2026[[#This Row],[Codigo]],Plan_cuentas[],3,FALSE)," ")</f>
        <v xml:space="preserve"> </v>
      </c>
      <c r="G4119" t="str">
        <f>IFERROR(+VLOOKUP(Movimientos_2026[[#This Row],[Codigo]],Plan_cuentas[],4,FALSE)," ")</f>
        <v xml:space="preserve"> </v>
      </c>
      <c r="H4119" t="str">
        <f>IFERROR(+VLOOKUP(Movimientos_2026[[#This Row],[Codigo]],Plan_cuentas[],5,FALSE)," ")</f>
        <v xml:space="preserve"> </v>
      </c>
      <c r="I4119" s="43"/>
      <c r="K4119" t="str">
        <f>IFERROR(+VLOOKUP(Movimientos_2026[[#This Row],[Codigo]],Plan_cuentas[],6,FALSE)," ")</f>
        <v xml:space="preserve"> </v>
      </c>
      <c r="L4119" s="50"/>
      <c r="M4119" s="50"/>
      <c r="N4119" s="20">
        <f>+Movimientos_2026[[#This Row],[Ingresos]]-Movimientos_2026[[#This Row],[Egresos]]</f>
        <v>0</v>
      </c>
      <c r="O4119" s="20">
        <f>+O4118+Movimientos_2026[[#This Row],[Neto]]</f>
        <v>4581558617.7962294</v>
      </c>
    </row>
    <row r="4120" spans="1:15" x14ac:dyDescent="0.25">
      <c r="A4120" s="13"/>
      <c r="B4120" s="12">
        <f>MONTH(Movimientos_2026[[#This Row],[Fecha]])</f>
        <v>1</v>
      </c>
      <c r="C4120" s="12" t="str">
        <f>VLOOKUP((WEEKDAY(Movimientos_2026[[#This Row],[Fecha]],2)),'5. Setup'!$D$6:$E$12,2,FALSE)</f>
        <v>Sab</v>
      </c>
      <c r="E4120" t="str">
        <f>IFERROR(+VLOOKUP(Movimientos_2026[[#This Row],[Codigo]],Plan_cuentas[],2,FALSE)," ")</f>
        <v xml:space="preserve"> </v>
      </c>
      <c r="F4120" t="str">
        <f>IFERROR(+VLOOKUP(Movimientos_2026[[#This Row],[Codigo]],Plan_cuentas[],3,FALSE)," ")</f>
        <v xml:space="preserve"> </v>
      </c>
      <c r="G4120" t="str">
        <f>IFERROR(+VLOOKUP(Movimientos_2026[[#This Row],[Codigo]],Plan_cuentas[],4,FALSE)," ")</f>
        <v xml:space="preserve"> </v>
      </c>
      <c r="H4120" t="str">
        <f>IFERROR(+VLOOKUP(Movimientos_2026[[#This Row],[Codigo]],Plan_cuentas[],5,FALSE)," ")</f>
        <v xml:space="preserve"> </v>
      </c>
      <c r="I4120" s="43"/>
      <c r="K4120" t="str">
        <f>IFERROR(+VLOOKUP(Movimientos_2026[[#This Row],[Codigo]],Plan_cuentas[],6,FALSE)," ")</f>
        <v xml:space="preserve"> </v>
      </c>
      <c r="L4120" s="50"/>
      <c r="M4120" s="50"/>
      <c r="N4120" s="20">
        <f>+Movimientos_2026[[#This Row],[Ingresos]]-Movimientos_2026[[#This Row],[Egresos]]</f>
        <v>0</v>
      </c>
      <c r="O4120" s="20">
        <f>+O4119+Movimientos_2026[[#This Row],[Neto]]</f>
        <v>4581558617.7962294</v>
      </c>
    </row>
    <row r="4121" spans="1:15" x14ac:dyDescent="0.25">
      <c r="A4121" s="13"/>
      <c r="B4121" s="12">
        <f>MONTH(Movimientos_2026[[#This Row],[Fecha]])</f>
        <v>1</v>
      </c>
      <c r="C4121" s="12" t="str">
        <f>VLOOKUP((WEEKDAY(Movimientos_2026[[#This Row],[Fecha]],2)),'5. Setup'!$D$6:$E$12,2,FALSE)</f>
        <v>Sab</v>
      </c>
      <c r="E4121" t="str">
        <f>IFERROR(+VLOOKUP(Movimientos_2026[[#This Row],[Codigo]],Plan_cuentas[],2,FALSE)," ")</f>
        <v xml:space="preserve"> </v>
      </c>
      <c r="F4121" t="str">
        <f>IFERROR(+VLOOKUP(Movimientos_2026[[#This Row],[Codigo]],Plan_cuentas[],3,FALSE)," ")</f>
        <v xml:space="preserve"> </v>
      </c>
      <c r="G4121" t="str">
        <f>IFERROR(+VLOOKUP(Movimientos_2026[[#This Row],[Codigo]],Plan_cuentas[],4,FALSE)," ")</f>
        <v xml:space="preserve"> </v>
      </c>
      <c r="H4121" t="str">
        <f>IFERROR(+VLOOKUP(Movimientos_2026[[#This Row],[Codigo]],Plan_cuentas[],5,FALSE)," ")</f>
        <v xml:space="preserve"> </v>
      </c>
      <c r="I4121" s="43"/>
      <c r="K4121" t="str">
        <f>IFERROR(+VLOOKUP(Movimientos_2026[[#This Row],[Codigo]],Plan_cuentas[],6,FALSE)," ")</f>
        <v xml:space="preserve"> </v>
      </c>
      <c r="L4121" s="50"/>
      <c r="M4121" s="50"/>
      <c r="N4121" s="20">
        <f>+Movimientos_2026[[#This Row],[Ingresos]]-Movimientos_2026[[#This Row],[Egresos]]</f>
        <v>0</v>
      </c>
      <c r="O4121" s="20">
        <f>+O4120+Movimientos_2026[[#This Row],[Neto]]</f>
        <v>4581558617.7962294</v>
      </c>
    </row>
    <row r="4122" spans="1:15" x14ac:dyDescent="0.25">
      <c r="A4122" s="13"/>
      <c r="B4122" s="12">
        <f>MONTH(Movimientos_2026[[#This Row],[Fecha]])</f>
        <v>1</v>
      </c>
      <c r="C4122" s="12" t="str">
        <f>VLOOKUP((WEEKDAY(Movimientos_2026[[#This Row],[Fecha]],2)),'5. Setup'!$D$6:$E$12,2,FALSE)</f>
        <v>Sab</v>
      </c>
      <c r="E4122" t="str">
        <f>IFERROR(+VLOOKUP(Movimientos_2026[[#This Row],[Codigo]],Plan_cuentas[],2,FALSE)," ")</f>
        <v xml:space="preserve"> </v>
      </c>
      <c r="F4122" t="str">
        <f>IFERROR(+VLOOKUP(Movimientos_2026[[#This Row],[Codigo]],Plan_cuentas[],3,FALSE)," ")</f>
        <v xml:space="preserve"> </v>
      </c>
      <c r="G4122" t="str">
        <f>IFERROR(+VLOOKUP(Movimientos_2026[[#This Row],[Codigo]],Plan_cuentas[],4,FALSE)," ")</f>
        <v xml:space="preserve"> </v>
      </c>
      <c r="H4122" t="str">
        <f>IFERROR(+VLOOKUP(Movimientos_2026[[#This Row],[Codigo]],Plan_cuentas[],5,FALSE)," ")</f>
        <v xml:space="preserve"> </v>
      </c>
      <c r="I4122" s="43"/>
      <c r="K4122" t="str">
        <f>IFERROR(+VLOOKUP(Movimientos_2026[[#This Row],[Codigo]],Plan_cuentas[],6,FALSE)," ")</f>
        <v xml:space="preserve"> </v>
      </c>
      <c r="L4122" s="50"/>
      <c r="M4122" s="50"/>
      <c r="N4122" s="20">
        <f>+Movimientos_2026[[#This Row],[Ingresos]]-Movimientos_2026[[#This Row],[Egresos]]</f>
        <v>0</v>
      </c>
      <c r="O4122" s="20">
        <f>+O4121+Movimientos_2026[[#This Row],[Neto]]</f>
        <v>4581558617.7962294</v>
      </c>
    </row>
    <row r="4123" spans="1:15" x14ac:dyDescent="0.25">
      <c r="A4123" s="13"/>
      <c r="B4123" s="12">
        <f>MONTH(Movimientos_2026[[#This Row],[Fecha]])</f>
        <v>1</v>
      </c>
      <c r="C4123" s="12" t="str">
        <f>VLOOKUP((WEEKDAY(Movimientos_2026[[#This Row],[Fecha]],2)),'5. Setup'!$D$6:$E$12,2,FALSE)</f>
        <v>Sab</v>
      </c>
      <c r="E4123" t="str">
        <f>IFERROR(+VLOOKUP(Movimientos_2026[[#This Row],[Codigo]],Plan_cuentas[],2,FALSE)," ")</f>
        <v xml:space="preserve"> </v>
      </c>
      <c r="F4123" t="str">
        <f>IFERROR(+VLOOKUP(Movimientos_2026[[#This Row],[Codigo]],Plan_cuentas[],3,FALSE)," ")</f>
        <v xml:space="preserve"> </v>
      </c>
      <c r="G4123" t="str">
        <f>IFERROR(+VLOOKUP(Movimientos_2026[[#This Row],[Codigo]],Plan_cuentas[],4,FALSE)," ")</f>
        <v xml:space="preserve"> </v>
      </c>
      <c r="H4123" t="str">
        <f>IFERROR(+VLOOKUP(Movimientos_2026[[#This Row],[Codigo]],Plan_cuentas[],5,FALSE)," ")</f>
        <v xml:space="preserve"> </v>
      </c>
      <c r="I4123" s="43"/>
      <c r="K4123" t="str">
        <f>IFERROR(+VLOOKUP(Movimientos_2026[[#This Row],[Codigo]],Plan_cuentas[],6,FALSE)," ")</f>
        <v xml:space="preserve"> </v>
      </c>
      <c r="L4123" s="50"/>
      <c r="M4123" s="50"/>
      <c r="N4123" s="20">
        <f>+Movimientos_2026[[#This Row],[Ingresos]]-Movimientos_2026[[#This Row],[Egresos]]</f>
        <v>0</v>
      </c>
      <c r="O4123" s="20">
        <f>+O4122+Movimientos_2026[[#This Row],[Neto]]</f>
        <v>4581558617.7962294</v>
      </c>
    </row>
    <row r="4124" spans="1:15" x14ac:dyDescent="0.25">
      <c r="A4124" s="13"/>
      <c r="B4124" s="12">
        <f>MONTH(Movimientos_2026[[#This Row],[Fecha]])</f>
        <v>1</v>
      </c>
      <c r="C4124" s="12" t="str">
        <f>VLOOKUP((WEEKDAY(Movimientos_2026[[#This Row],[Fecha]],2)),'5. Setup'!$D$6:$E$12,2,FALSE)</f>
        <v>Sab</v>
      </c>
      <c r="E4124" t="str">
        <f>IFERROR(+VLOOKUP(Movimientos_2026[[#This Row],[Codigo]],Plan_cuentas[],2,FALSE)," ")</f>
        <v xml:space="preserve"> </v>
      </c>
      <c r="F4124" t="str">
        <f>IFERROR(+VLOOKUP(Movimientos_2026[[#This Row],[Codigo]],Plan_cuentas[],3,FALSE)," ")</f>
        <v xml:space="preserve"> </v>
      </c>
      <c r="G4124" t="str">
        <f>IFERROR(+VLOOKUP(Movimientos_2026[[#This Row],[Codigo]],Plan_cuentas[],4,FALSE)," ")</f>
        <v xml:space="preserve"> </v>
      </c>
      <c r="H4124" t="str">
        <f>IFERROR(+VLOOKUP(Movimientos_2026[[#This Row],[Codigo]],Plan_cuentas[],5,FALSE)," ")</f>
        <v xml:space="preserve"> </v>
      </c>
      <c r="I4124" s="43"/>
      <c r="K4124" t="str">
        <f>IFERROR(+VLOOKUP(Movimientos_2026[[#This Row],[Codigo]],Plan_cuentas[],6,FALSE)," ")</f>
        <v xml:space="preserve"> </v>
      </c>
      <c r="L4124" s="50"/>
      <c r="M4124" s="50"/>
      <c r="N4124" s="20">
        <f>+Movimientos_2026[[#This Row],[Ingresos]]-Movimientos_2026[[#This Row],[Egresos]]</f>
        <v>0</v>
      </c>
      <c r="O4124" s="20">
        <f>+O4123+Movimientos_2026[[#This Row],[Neto]]</f>
        <v>4581558617.7962294</v>
      </c>
    </row>
    <row r="4125" spans="1:15" x14ac:dyDescent="0.25">
      <c r="A4125" s="13"/>
      <c r="B4125" s="12">
        <f>MONTH(Movimientos_2026[[#This Row],[Fecha]])</f>
        <v>1</v>
      </c>
      <c r="C4125" s="12" t="str">
        <f>VLOOKUP((WEEKDAY(Movimientos_2026[[#This Row],[Fecha]],2)),'5. Setup'!$D$6:$E$12,2,FALSE)</f>
        <v>Sab</v>
      </c>
      <c r="E4125" t="str">
        <f>IFERROR(+VLOOKUP(Movimientos_2026[[#This Row],[Codigo]],Plan_cuentas[],2,FALSE)," ")</f>
        <v xml:space="preserve"> </v>
      </c>
      <c r="F4125" t="str">
        <f>IFERROR(+VLOOKUP(Movimientos_2026[[#This Row],[Codigo]],Plan_cuentas[],3,FALSE)," ")</f>
        <v xml:space="preserve"> </v>
      </c>
      <c r="G4125" t="str">
        <f>IFERROR(+VLOOKUP(Movimientos_2026[[#This Row],[Codigo]],Plan_cuentas[],4,FALSE)," ")</f>
        <v xml:space="preserve"> </v>
      </c>
      <c r="H4125" t="str">
        <f>IFERROR(+VLOOKUP(Movimientos_2026[[#This Row],[Codigo]],Plan_cuentas[],5,FALSE)," ")</f>
        <v xml:space="preserve"> </v>
      </c>
      <c r="I4125" s="43"/>
      <c r="K4125" t="str">
        <f>IFERROR(+VLOOKUP(Movimientos_2026[[#This Row],[Codigo]],Plan_cuentas[],6,FALSE)," ")</f>
        <v xml:space="preserve"> </v>
      </c>
      <c r="L4125" s="50"/>
      <c r="M4125" s="50"/>
      <c r="N4125" s="20">
        <f>+Movimientos_2026[[#This Row],[Ingresos]]-Movimientos_2026[[#This Row],[Egresos]]</f>
        <v>0</v>
      </c>
      <c r="O4125" s="20">
        <f>+O4124+Movimientos_2026[[#This Row],[Neto]]</f>
        <v>4581558617.7962294</v>
      </c>
    </row>
    <row r="4126" spans="1:15" x14ac:dyDescent="0.25">
      <c r="A4126" s="13"/>
      <c r="B4126" s="12">
        <f>MONTH(Movimientos_2026[[#This Row],[Fecha]])</f>
        <v>1</v>
      </c>
      <c r="C4126" s="12" t="str">
        <f>VLOOKUP((WEEKDAY(Movimientos_2026[[#This Row],[Fecha]],2)),'5. Setup'!$D$6:$E$12,2,FALSE)</f>
        <v>Sab</v>
      </c>
      <c r="E4126" t="str">
        <f>IFERROR(+VLOOKUP(Movimientos_2026[[#This Row],[Codigo]],Plan_cuentas[],2,FALSE)," ")</f>
        <v xml:space="preserve"> </v>
      </c>
      <c r="F4126" t="str">
        <f>IFERROR(+VLOOKUP(Movimientos_2026[[#This Row],[Codigo]],Plan_cuentas[],3,FALSE)," ")</f>
        <v xml:space="preserve"> </v>
      </c>
      <c r="G4126" t="str">
        <f>IFERROR(+VLOOKUP(Movimientos_2026[[#This Row],[Codigo]],Plan_cuentas[],4,FALSE)," ")</f>
        <v xml:space="preserve"> </v>
      </c>
      <c r="H4126" t="str">
        <f>IFERROR(+VLOOKUP(Movimientos_2026[[#This Row],[Codigo]],Plan_cuentas[],5,FALSE)," ")</f>
        <v xml:space="preserve"> </v>
      </c>
      <c r="I4126" s="43"/>
      <c r="K4126" t="str">
        <f>IFERROR(+VLOOKUP(Movimientos_2026[[#This Row],[Codigo]],Plan_cuentas[],6,FALSE)," ")</f>
        <v xml:space="preserve"> </v>
      </c>
      <c r="L4126" s="50"/>
      <c r="M4126" s="50"/>
      <c r="N4126" s="20">
        <f>+Movimientos_2026[[#This Row],[Ingresos]]-Movimientos_2026[[#This Row],[Egresos]]</f>
        <v>0</v>
      </c>
      <c r="O4126" s="20">
        <f>+O4125+Movimientos_2026[[#This Row],[Neto]]</f>
        <v>4581558617.7962294</v>
      </c>
    </row>
    <row r="4127" spans="1:15" x14ac:dyDescent="0.25">
      <c r="A4127" s="13"/>
      <c r="B4127" s="12">
        <f>MONTH(Movimientos_2026[[#This Row],[Fecha]])</f>
        <v>1</v>
      </c>
      <c r="C4127" s="12" t="str">
        <f>VLOOKUP((WEEKDAY(Movimientos_2026[[#This Row],[Fecha]],2)),'5. Setup'!$D$6:$E$12,2,FALSE)</f>
        <v>Sab</v>
      </c>
      <c r="E4127" t="str">
        <f>IFERROR(+VLOOKUP(Movimientos_2026[[#This Row],[Codigo]],Plan_cuentas[],2,FALSE)," ")</f>
        <v xml:space="preserve"> </v>
      </c>
      <c r="F4127" t="str">
        <f>IFERROR(+VLOOKUP(Movimientos_2026[[#This Row],[Codigo]],Plan_cuentas[],3,FALSE)," ")</f>
        <v xml:space="preserve"> </v>
      </c>
      <c r="G4127" t="str">
        <f>IFERROR(+VLOOKUP(Movimientos_2026[[#This Row],[Codigo]],Plan_cuentas[],4,FALSE)," ")</f>
        <v xml:space="preserve"> </v>
      </c>
      <c r="H4127" t="str">
        <f>IFERROR(+VLOOKUP(Movimientos_2026[[#This Row],[Codigo]],Plan_cuentas[],5,FALSE)," ")</f>
        <v xml:space="preserve"> </v>
      </c>
      <c r="I4127" s="43"/>
      <c r="K4127" t="str">
        <f>IFERROR(+VLOOKUP(Movimientos_2026[[#This Row],[Codigo]],Plan_cuentas[],6,FALSE)," ")</f>
        <v xml:space="preserve"> </v>
      </c>
      <c r="L4127" s="50"/>
      <c r="M4127" s="50"/>
      <c r="N4127" s="20">
        <f>+Movimientos_2026[[#This Row],[Ingresos]]-Movimientos_2026[[#This Row],[Egresos]]</f>
        <v>0</v>
      </c>
      <c r="O4127" s="20">
        <f>+O4126+Movimientos_2026[[#This Row],[Neto]]</f>
        <v>4581558617.7962294</v>
      </c>
    </row>
    <row r="4128" spans="1:15" x14ac:dyDescent="0.25">
      <c r="A4128" s="13"/>
      <c r="B4128" s="12">
        <f>MONTH(Movimientos_2026[[#This Row],[Fecha]])</f>
        <v>1</v>
      </c>
      <c r="C4128" s="12" t="str">
        <f>VLOOKUP((WEEKDAY(Movimientos_2026[[#This Row],[Fecha]],2)),'5. Setup'!$D$6:$E$12,2,FALSE)</f>
        <v>Sab</v>
      </c>
      <c r="E4128" t="str">
        <f>IFERROR(+VLOOKUP(Movimientos_2026[[#This Row],[Codigo]],Plan_cuentas[],2,FALSE)," ")</f>
        <v xml:space="preserve"> </v>
      </c>
      <c r="F4128" t="str">
        <f>IFERROR(+VLOOKUP(Movimientos_2026[[#This Row],[Codigo]],Plan_cuentas[],3,FALSE)," ")</f>
        <v xml:space="preserve"> </v>
      </c>
      <c r="G4128" t="str">
        <f>IFERROR(+VLOOKUP(Movimientos_2026[[#This Row],[Codigo]],Plan_cuentas[],4,FALSE)," ")</f>
        <v xml:space="preserve"> </v>
      </c>
      <c r="H4128" t="str">
        <f>IFERROR(+VLOOKUP(Movimientos_2026[[#This Row],[Codigo]],Plan_cuentas[],5,FALSE)," ")</f>
        <v xml:space="preserve"> </v>
      </c>
      <c r="I4128" s="43"/>
      <c r="K4128" t="str">
        <f>IFERROR(+VLOOKUP(Movimientos_2026[[#This Row],[Codigo]],Plan_cuentas[],6,FALSE)," ")</f>
        <v xml:space="preserve"> </v>
      </c>
      <c r="L4128" s="50"/>
      <c r="M4128" s="50"/>
      <c r="N4128" s="20">
        <f>+Movimientos_2026[[#This Row],[Ingresos]]-Movimientos_2026[[#This Row],[Egresos]]</f>
        <v>0</v>
      </c>
      <c r="O4128" s="20">
        <f>+O4127+Movimientos_2026[[#This Row],[Neto]]</f>
        <v>4581558617.7962294</v>
      </c>
    </row>
    <row r="4129" spans="1:15" x14ac:dyDescent="0.25">
      <c r="A4129" s="13"/>
      <c r="B4129" s="12">
        <f>MONTH(Movimientos_2026[[#This Row],[Fecha]])</f>
        <v>1</v>
      </c>
      <c r="C4129" s="12" t="str">
        <f>VLOOKUP((WEEKDAY(Movimientos_2026[[#This Row],[Fecha]],2)),'5. Setup'!$D$6:$E$12,2,FALSE)</f>
        <v>Sab</v>
      </c>
      <c r="E4129" t="str">
        <f>IFERROR(+VLOOKUP(Movimientos_2026[[#This Row],[Codigo]],Plan_cuentas[],2,FALSE)," ")</f>
        <v xml:space="preserve"> </v>
      </c>
      <c r="F4129" t="str">
        <f>IFERROR(+VLOOKUP(Movimientos_2026[[#This Row],[Codigo]],Plan_cuentas[],3,FALSE)," ")</f>
        <v xml:space="preserve"> </v>
      </c>
      <c r="G4129" t="str">
        <f>IFERROR(+VLOOKUP(Movimientos_2026[[#This Row],[Codigo]],Plan_cuentas[],4,FALSE)," ")</f>
        <v xml:space="preserve"> </v>
      </c>
      <c r="H4129" t="str">
        <f>IFERROR(+VLOOKUP(Movimientos_2026[[#This Row],[Codigo]],Plan_cuentas[],5,FALSE)," ")</f>
        <v xml:space="preserve"> </v>
      </c>
      <c r="I4129" s="43"/>
      <c r="K4129" t="str">
        <f>IFERROR(+VLOOKUP(Movimientos_2026[[#This Row],[Codigo]],Plan_cuentas[],6,FALSE)," ")</f>
        <v xml:space="preserve"> </v>
      </c>
      <c r="L4129" s="50"/>
      <c r="M4129" s="50"/>
      <c r="N4129" s="20">
        <f>+Movimientos_2026[[#This Row],[Ingresos]]-Movimientos_2026[[#This Row],[Egresos]]</f>
        <v>0</v>
      </c>
      <c r="O4129" s="20">
        <f>+O4128+Movimientos_2026[[#This Row],[Neto]]</f>
        <v>4581558617.7962294</v>
      </c>
    </row>
    <row r="4130" spans="1:15" x14ac:dyDescent="0.25">
      <c r="A4130" s="13"/>
      <c r="B4130" s="12">
        <f>MONTH(Movimientos_2026[[#This Row],[Fecha]])</f>
        <v>1</v>
      </c>
      <c r="C4130" s="12" t="str">
        <f>VLOOKUP((WEEKDAY(Movimientos_2026[[#This Row],[Fecha]],2)),'5. Setup'!$D$6:$E$12,2,FALSE)</f>
        <v>Sab</v>
      </c>
      <c r="E4130" t="str">
        <f>IFERROR(+VLOOKUP(Movimientos_2026[[#This Row],[Codigo]],Plan_cuentas[],2,FALSE)," ")</f>
        <v xml:space="preserve"> </v>
      </c>
      <c r="F4130" t="str">
        <f>IFERROR(+VLOOKUP(Movimientos_2026[[#This Row],[Codigo]],Plan_cuentas[],3,FALSE)," ")</f>
        <v xml:space="preserve"> </v>
      </c>
      <c r="G4130" t="str">
        <f>IFERROR(+VLOOKUP(Movimientos_2026[[#This Row],[Codigo]],Plan_cuentas[],4,FALSE)," ")</f>
        <v xml:space="preserve"> </v>
      </c>
      <c r="H4130" t="str">
        <f>IFERROR(+VLOOKUP(Movimientos_2026[[#This Row],[Codigo]],Plan_cuentas[],5,FALSE)," ")</f>
        <v xml:space="preserve"> </v>
      </c>
      <c r="I4130" s="43"/>
      <c r="K4130" t="str">
        <f>IFERROR(+VLOOKUP(Movimientos_2026[[#This Row],[Codigo]],Plan_cuentas[],6,FALSE)," ")</f>
        <v xml:space="preserve"> </v>
      </c>
      <c r="L4130" s="50"/>
      <c r="M4130" s="50"/>
      <c r="N4130" s="20">
        <f>+Movimientos_2026[[#This Row],[Ingresos]]-Movimientos_2026[[#This Row],[Egresos]]</f>
        <v>0</v>
      </c>
      <c r="O4130" s="20">
        <f>+O4129+Movimientos_2026[[#This Row],[Neto]]</f>
        <v>4581558617.7962294</v>
      </c>
    </row>
    <row r="4131" spans="1:15" x14ac:dyDescent="0.25">
      <c r="A4131" s="13"/>
      <c r="B4131" s="12">
        <f>MONTH(Movimientos_2026[[#This Row],[Fecha]])</f>
        <v>1</v>
      </c>
      <c r="C4131" s="12" t="str">
        <f>VLOOKUP((WEEKDAY(Movimientos_2026[[#This Row],[Fecha]],2)),'5. Setup'!$D$6:$E$12,2,FALSE)</f>
        <v>Sab</v>
      </c>
      <c r="E4131" t="str">
        <f>IFERROR(+VLOOKUP(Movimientos_2026[[#This Row],[Codigo]],Plan_cuentas[],2,FALSE)," ")</f>
        <v xml:space="preserve"> </v>
      </c>
      <c r="F4131" t="str">
        <f>IFERROR(+VLOOKUP(Movimientos_2026[[#This Row],[Codigo]],Plan_cuentas[],3,FALSE)," ")</f>
        <v xml:space="preserve"> </v>
      </c>
      <c r="G4131" t="str">
        <f>IFERROR(+VLOOKUP(Movimientos_2026[[#This Row],[Codigo]],Plan_cuentas[],4,FALSE)," ")</f>
        <v xml:space="preserve"> </v>
      </c>
      <c r="H4131" t="str">
        <f>IFERROR(+VLOOKUP(Movimientos_2026[[#This Row],[Codigo]],Plan_cuentas[],5,FALSE)," ")</f>
        <v xml:space="preserve"> </v>
      </c>
      <c r="I4131" s="43"/>
      <c r="K4131" t="str">
        <f>IFERROR(+VLOOKUP(Movimientos_2026[[#This Row],[Codigo]],Plan_cuentas[],6,FALSE)," ")</f>
        <v xml:space="preserve"> </v>
      </c>
      <c r="L4131" s="50"/>
      <c r="M4131" s="50"/>
      <c r="N4131" s="20">
        <f>+Movimientos_2026[[#This Row],[Ingresos]]-Movimientos_2026[[#This Row],[Egresos]]</f>
        <v>0</v>
      </c>
      <c r="O4131" s="20">
        <f>+O4130+Movimientos_2026[[#This Row],[Neto]]</f>
        <v>4581558617.7962294</v>
      </c>
    </row>
    <row r="4132" spans="1:15" x14ac:dyDescent="0.25">
      <c r="A4132" s="13"/>
      <c r="B4132" s="12">
        <f>MONTH(Movimientos_2026[[#This Row],[Fecha]])</f>
        <v>1</v>
      </c>
      <c r="C4132" s="12" t="str">
        <f>VLOOKUP((WEEKDAY(Movimientos_2026[[#This Row],[Fecha]],2)),'5. Setup'!$D$6:$E$12,2,FALSE)</f>
        <v>Sab</v>
      </c>
      <c r="E4132" t="str">
        <f>IFERROR(+VLOOKUP(Movimientos_2026[[#This Row],[Codigo]],Plan_cuentas[],2,FALSE)," ")</f>
        <v xml:space="preserve"> </v>
      </c>
      <c r="F4132" t="str">
        <f>IFERROR(+VLOOKUP(Movimientos_2026[[#This Row],[Codigo]],Plan_cuentas[],3,FALSE)," ")</f>
        <v xml:space="preserve"> </v>
      </c>
      <c r="G4132" t="str">
        <f>IFERROR(+VLOOKUP(Movimientos_2026[[#This Row],[Codigo]],Plan_cuentas[],4,FALSE)," ")</f>
        <v xml:space="preserve"> </v>
      </c>
      <c r="H4132" t="str">
        <f>IFERROR(+VLOOKUP(Movimientos_2026[[#This Row],[Codigo]],Plan_cuentas[],5,FALSE)," ")</f>
        <v xml:space="preserve"> </v>
      </c>
      <c r="I4132" s="43"/>
      <c r="K4132" t="str">
        <f>IFERROR(+VLOOKUP(Movimientos_2026[[#This Row],[Codigo]],Plan_cuentas[],6,FALSE)," ")</f>
        <v xml:space="preserve"> </v>
      </c>
      <c r="L4132" s="50"/>
      <c r="M4132" s="50"/>
      <c r="N4132" s="20">
        <f>+Movimientos_2026[[#This Row],[Ingresos]]-Movimientos_2026[[#This Row],[Egresos]]</f>
        <v>0</v>
      </c>
      <c r="O4132" s="20">
        <f>+O4131+Movimientos_2026[[#This Row],[Neto]]</f>
        <v>4581558617.7962294</v>
      </c>
    </row>
    <row r="4133" spans="1:15" x14ac:dyDescent="0.25">
      <c r="A4133" s="13"/>
      <c r="B4133" s="12">
        <f>MONTH(Movimientos_2026[[#This Row],[Fecha]])</f>
        <v>1</v>
      </c>
      <c r="C4133" s="12" t="str">
        <f>VLOOKUP((WEEKDAY(Movimientos_2026[[#This Row],[Fecha]],2)),'5. Setup'!$D$6:$E$12,2,FALSE)</f>
        <v>Sab</v>
      </c>
      <c r="E4133" t="str">
        <f>IFERROR(+VLOOKUP(Movimientos_2026[[#This Row],[Codigo]],Plan_cuentas[],2,FALSE)," ")</f>
        <v xml:space="preserve"> </v>
      </c>
      <c r="F4133" t="str">
        <f>IFERROR(+VLOOKUP(Movimientos_2026[[#This Row],[Codigo]],Plan_cuentas[],3,FALSE)," ")</f>
        <v xml:space="preserve"> </v>
      </c>
      <c r="G4133" t="str">
        <f>IFERROR(+VLOOKUP(Movimientos_2026[[#This Row],[Codigo]],Plan_cuentas[],4,FALSE)," ")</f>
        <v xml:space="preserve"> </v>
      </c>
      <c r="H4133" t="str">
        <f>IFERROR(+VLOOKUP(Movimientos_2026[[#This Row],[Codigo]],Plan_cuentas[],5,FALSE)," ")</f>
        <v xml:space="preserve"> </v>
      </c>
      <c r="I4133" s="43"/>
      <c r="K4133" t="str">
        <f>IFERROR(+VLOOKUP(Movimientos_2026[[#This Row],[Codigo]],Plan_cuentas[],6,FALSE)," ")</f>
        <v xml:space="preserve"> </v>
      </c>
      <c r="L4133" s="50"/>
      <c r="M4133" s="50"/>
      <c r="N4133" s="20">
        <f>+Movimientos_2026[[#This Row],[Ingresos]]-Movimientos_2026[[#This Row],[Egresos]]</f>
        <v>0</v>
      </c>
      <c r="O4133" s="20">
        <f>+O4132+Movimientos_2026[[#This Row],[Neto]]</f>
        <v>4581558617.7962294</v>
      </c>
    </row>
    <row r="4134" spans="1:15" x14ac:dyDescent="0.25">
      <c r="A4134" s="13"/>
      <c r="B4134" s="12">
        <f>MONTH(Movimientos_2026[[#This Row],[Fecha]])</f>
        <v>1</v>
      </c>
      <c r="C4134" s="12" t="str">
        <f>VLOOKUP((WEEKDAY(Movimientos_2026[[#This Row],[Fecha]],2)),'5. Setup'!$D$6:$E$12,2,FALSE)</f>
        <v>Sab</v>
      </c>
      <c r="E4134" t="str">
        <f>IFERROR(+VLOOKUP(Movimientos_2026[[#This Row],[Codigo]],Plan_cuentas[],2,FALSE)," ")</f>
        <v xml:space="preserve"> </v>
      </c>
      <c r="F4134" t="str">
        <f>IFERROR(+VLOOKUP(Movimientos_2026[[#This Row],[Codigo]],Plan_cuentas[],3,FALSE)," ")</f>
        <v xml:space="preserve"> </v>
      </c>
      <c r="G4134" t="str">
        <f>IFERROR(+VLOOKUP(Movimientos_2026[[#This Row],[Codigo]],Plan_cuentas[],4,FALSE)," ")</f>
        <v xml:space="preserve"> </v>
      </c>
      <c r="H4134" t="str">
        <f>IFERROR(+VLOOKUP(Movimientos_2026[[#This Row],[Codigo]],Plan_cuentas[],5,FALSE)," ")</f>
        <v xml:space="preserve"> </v>
      </c>
      <c r="I4134" s="43"/>
      <c r="K4134" t="str">
        <f>IFERROR(+VLOOKUP(Movimientos_2026[[#This Row],[Codigo]],Plan_cuentas[],6,FALSE)," ")</f>
        <v xml:space="preserve"> </v>
      </c>
      <c r="L4134" s="50"/>
      <c r="M4134" s="50"/>
      <c r="N4134" s="20">
        <f>+Movimientos_2026[[#This Row],[Ingresos]]-Movimientos_2026[[#This Row],[Egresos]]</f>
        <v>0</v>
      </c>
      <c r="O4134" s="20">
        <f>+O4133+Movimientos_2026[[#This Row],[Neto]]</f>
        <v>4581558617.7962294</v>
      </c>
    </row>
    <row r="4135" spans="1:15" x14ac:dyDescent="0.25">
      <c r="A4135" s="13"/>
      <c r="B4135" s="12">
        <f>MONTH(Movimientos_2026[[#This Row],[Fecha]])</f>
        <v>1</v>
      </c>
      <c r="C4135" s="12" t="str">
        <f>VLOOKUP((WEEKDAY(Movimientos_2026[[#This Row],[Fecha]],2)),'5. Setup'!$D$6:$E$12,2,FALSE)</f>
        <v>Sab</v>
      </c>
      <c r="E4135" t="str">
        <f>IFERROR(+VLOOKUP(Movimientos_2026[[#This Row],[Codigo]],Plan_cuentas[],2,FALSE)," ")</f>
        <v xml:space="preserve"> </v>
      </c>
      <c r="F4135" t="str">
        <f>IFERROR(+VLOOKUP(Movimientos_2026[[#This Row],[Codigo]],Plan_cuentas[],3,FALSE)," ")</f>
        <v xml:space="preserve"> </v>
      </c>
      <c r="G4135" t="str">
        <f>IFERROR(+VLOOKUP(Movimientos_2026[[#This Row],[Codigo]],Plan_cuentas[],4,FALSE)," ")</f>
        <v xml:space="preserve"> </v>
      </c>
      <c r="H4135" t="str">
        <f>IFERROR(+VLOOKUP(Movimientos_2026[[#This Row],[Codigo]],Plan_cuentas[],5,FALSE)," ")</f>
        <v xml:space="preserve"> </v>
      </c>
      <c r="I4135" s="43"/>
      <c r="K4135" t="str">
        <f>IFERROR(+VLOOKUP(Movimientos_2026[[#This Row],[Codigo]],Plan_cuentas[],6,FALSE)," ")</f>
        <v xml:space="preserve"> </v>
      </c>
      <c r="L4135" s="50"/>
      <c r="M4135" s="50"/>
      <c r="N4135" s="20">
        <f>+Movimientos_2026[[#This Row],[Ingresos]]-Movimientos_2026[[#This Row],[Egresos]]</f>
        <v>0</v>
      </c>
      <c r="O4135" s="20">
        <f>+O4134+Movimientos_2026[[#This Row],[Neto]]</f>
        <v>4581558617.7962294</v>
      </c>
    </row>
    <row r="4136" spans="1:15" x14ac:dyDescent="0.25">
      <c r="A4136" s="13"/>
      <c r="B4136" s="12">
        <f>MONTH(Movimientos_2026[[#This Row],[Fecha]])</f>
        <v>1</v>
      </c>
      <c r="C4136" s="12" t="str">
        <f>VLOOKUP((WEEKDAY(Movimientos_2026[[#This Row],[Fecha]],2)),'5. Setup'!$D$6:$E$12,2,FALSE)</f>
        <v>Sab</v>
      </c>
      <c r="E4136" t="str">
        <f>IFERROR(+VLOOKUP(Movimientos_2026[[#This Row],[Codigo]],Plan_cuentas[],2,FALSE)," ")</f>
        <v xml:space="preserve"> </v>
      </c>
      <c r="F4136" t="str">
        <f>IFERROR(+VLOOKUP(Movimientos_2026[[#This Row],[Codigo]],Plan_cuentas[],3,FALSE)," ")</f>
        <v xml:space="preserve"> </v>
      </c>
      <c r="G4136" t="str">
        <f>IFERROR(+VLOOKUP(Movimientos_2026[[#This Row],[Codigo]],Plan_cuentas[],4,FALSE)," ")</f>
        <v xml:space="preserve"> </v>
      </c>
      <c r="H4136" t="str">
        <f>IFERROR(+VLOOKUP(Movimientos_2026[[#This Row],[Codigo]],Plan_cuentas[],5,FALSE)," ")</f>
        <v xml:space="preserve"> </v>
      </c>
      <c r="I4136" s="43"/>
      <c r="K4136" t="str">
        <f>IFERROR(+VLOOKUP(Movimientos_2026[[#This Row],[Codigo]],Plan_cuentas[],6,FALSE)," ")</f>
        <v xml:space="preserve"> </v>
      </c>
      <c r="L4136" s="50"/>
      <c r="M4136" s="50"/>
      <c r="N4136" s="20">
        <f>+Movimientos_2026[[#This Row],[Ingresos]]-Movimientos_2026[[#This Row],[Egresos]]</f>
        <v>0</v>
      </c>
      <c r="O4136" s="20">
        <f>+O4135+Movimientos_2026[[#This Row],[Neto]]</f>
        <v>4581558617.7962294</v>
      </c>
    </row>
    <row r="4137" spans="1:15" x14ac:dyDescent="0.25">
      <c r="A4137" s="13"/>
      <c r="B4137" s="12">
        <f>MONTH(Movimientos_2026[[#This Row],[Fecha]])</f>
        <v>1</v>
      </c>
      <c r="C4137" s="12" t="str">
        <f>VLOOKUP((WEEKDAY(Movimientos_2026[[#This Row],[Fecha]],2)),'5. Setup'!$D$6:$E$12,2,FALSE)</f>
        <v>Sab</v>
      </c>
      <c r="E4137" t="str">
        <f>IFERROR(+VLOOKUP(Movimientos_2026[[#This Row],[Codigo]],Plan_cuentas[],2,FALSE)," ")</f>
        <v xml:space="preserve"> </v>
      </c>
      <c r="F4137" t="str">
        <f>IFERROR(+VLOOKUP(Movimientos_2026[[#This Row],[Codigo]],Plan_cuentas[],3,FALSE)," ")</f>
        <v xml:space="preserve"> </v>
      </c>
      <c r="G4137" t="str">
        <f>IFERROR(+VLOOKUP(Movimientos_2026[[#This Row],[Codigo]],Plan_cuentas[],4,FALSE)," ")</f>
        <v xml:space="preserve"> </v>
      </c>
      <c r="H4137" t="str">
        <f>IFERROR(+VLOOKUP(Movimientos_2026[[#This Row],[Codigo]],Plan_cuentas[],5,FALSE)," ")</f>
        <v xml:space="preserve"> </v>
      </c>
      <c r="I4137" s="43"/>
      <c r="K4137" t="str">
        <f>IFERROR(+VLOOKUP(Movimientos_2026[[#This Row],[Codigo]],Plan_cuentas[],6,FALSE)," ")</f>
        <v xml:space="preserve"> </v>
      </c>
      <c r="L4137" s="50"/>
      <c r="M4137" s="50"/>
      <c r="N4137" s="20">
        <f>+Movimientos_2026[[#This Row],[Ingresos]]-Movimientos_2026[[#This Row],[Egresos]]</f>
        <v>0</v>
      </c>
      <c r="O4137" s="20">
        <f>+O4136+Movimientos_2026[[#This Row],[Neto]]</f>
        <v>4581558617.7962294</v>
      </c>
    </row>
    <row r="4138" spans="1:15" x14ac:dyDescent="0.25">
      <c r="A4138" s="13"/>
      <c r="B4138" s="12">
        <f>MONTH(Movimientos_2026[[#This Row],[Fecha]])</f>
        <v>1</v>
      </c>
      <c r="C4138" s="12" t="str">
        <f>VLOOKUP((WEEKDAY(Movimientos_2026[[#This Row],[Fecha]],2)),'5. Setup'!$D$6:$E$12,2,FALSE)</f>
        <v>Sab</v>
      </c>
      <c r="E4138" t="str">
        <f>IFERROR(+VLOOKUP(Movimientos_2026[[#This Row],[Codigo]],Plan_cuentas[],2,FALSE)," ")</f>
        <v xml:space="preserve"> </v>
      </c>
      <c r="F4138" t="str">
        <f>IFERROR(+VLOOKUP(Movimientos_2026[[#This Row],[Codigo]],Plan_cuentas[],3,FALSE)," ")</f>
        <v xml:space="preserve"> </v>
      </c>
      <c r="G4138" t="str">
        <f>IFERROR(+VLOOKUP(Movimientos_2026[[#This Row],[Codigo]],Plan_cuentas[],4,FALSE)," ")</f>
        <v xml:space="preserve"> </v>
      </c>
      <c r="H4138" t="str">
        <f>IFERROR(+VLOOKUP(Movimientos_2026[[#This Row],[Codigo]],Plan_cuentas[],5,FALSE)," ")</f>
        <v xml:space="preserve"> </v>
      </c>
      <c r="I4138" s="43"/>
      <c r="K4138" t="str">
        <f>IFERROR(+VLOOKUP(Movimientos_2026[[#This Row],[Codigo]],Plan_cuentas[],6,FALSE)," ")</f>
        <v xml:space="preserve"> </v>
      </c>
      <c r="L4138" s="50"/>
      <c r="M4138" s="50"/>
      <c r="N4138" s="20">
        <f>+Movimientos_2026[[#This Row],[Ingresos]]-Movimientos_2026[[#This Row],[Egresos]]</f>
        <v>0</v>
      </c>
      <c r="O4138" s="20">
        <f>+O4137+Movimientos_2026[[#This Row],[Neto]]</f>
        <v>4581558617.7962294</v>
      </c>
    </row>
    <row r="4139" spans="1:15" x14ac:dyDescent="0.25">
      <c r="A4139" s="13"/>
      <c r="B4139" s="12">
        <f>MONTH(Movimientos_2026[[#This Row],[Fecha]])</f>
        <v>1</v>
      </c>
      <c r="C4139" s="12" t="str">
        <f>VLOOKUP((WEEKDAY(Movimientos_2026[[#This Row],[Fecha]],2)),'5. Setup'!$D$6:$E$12,2,FALSE)</f>
        <v>Sab</v>
      </c>
      <c r="E4139" t="str">
        <f>IFERROR(+VLOOKUP(Movimientos_2026[[#This Row],[Codigo]],Plan_cuentas[],2,FALSE)," ")</f>
        <v xml:space="preserve"> </v>
      </c>
      <c r="F4139" t="str">
        <f>IFERROR(+VLOOKUP(Movimientos_2026[[#This Row],[Codigo]],Plan_cuentas[],3,FALSE)," ")</f>
        <v xml:space="preserve"> </v>
      </c>
      <c r="G4139" t="str">
        <f>IFERROR(+VLOOKUP(Movimientos_2026[[#This Row],[Codigo]],Plan_cuentas[],4,FALSE)," ")</f>
        <v xml:space="preserve"> </v>
      </c>
      <c r="H4139" t="str">
        <f>IFERROR(+VLOOKUP(Movimientos_2026[[#This Row],[Codigo]],Plan_cuentas[],5,FALSE)," ")</f>
        <v xml:space="preserve"> </v>
      </c>
      <c r="I4139" s="43"/>
      <c r="K4139" t="str">
        <f>IFERROR(+VLOOKUP(Movimientos_2026[[#This Row],[Codigo]],Plan_cuentas[],6,FALSE)," ")</f>
        <v xml:space="preserve"> </v>
      </c>
      <c r="L4139" s="50"/>
      <c r="M4139" s="50"/>
      <c r="N4139" s="20">
        <f>+Movimientos_2026[[#This Row],[Ingresos]]-Movimientos_2026[[#This Row],[Egresos]]</f>
        <v>0</v>
      </c>
      <c r="O4139" s="20">
        <f>+O4138+Movimientos_2026[[#This Row],[Neto]]</f>
        <v>4581558617.7962294</v>
      </c>
    </row>
    <row r="4140" spans="1:15" x14ac:dyDescent="0.25">
      <c r="A4140" s="13"/>
      <c r="B4140" s="12">
        <f>MONTH(Movimientos_2026[[#This Row],[Fecha]])</f>
        <v>1</v>
      </c>
      <c r="C4140" s="12" t="str">
        <f>VLOOKUP((WEEKDAY(Movimientos_2026[[#This Row],[Fecha]],2)),'5. Setup'!$D$6:$E$12,2,FALSE)</f>
        <v>Sab</v>
      </c>
      <c r="E4140" t="str">
        <f>IFERROR(+VLOOKUP(Movimientos_2026[[#This Row],[Codigo]],Plan_cuentas[],2,FALSE)," ")</f>
        <v xml:space="preserve"> </v>
      </c>
      <c r="F4140" t="str">
        <f>IFERROR(+VLOOKUP(Movimientos_2026[[#This Row],[Codigo]],Plan_cuentas[],3,FALSE)," ")</f>
        <v xml:space="preserve"> </v>
      </c>
      <c r="G4140" t="str">
        <f>IFERROR(+VLOOKUP(Movimientos_2026[[#This Row],[Codigo]],Plan_cuentas[],4,FALSE)," ")</f>
        <v xml:space="preserve"> </v>
      </c>
      <c r="H4140" t="str">
        <f>IFERROR(+VLOOKUP(Movimientos_2026[[#This Row],[Codigo]],Plan_cuentas[],5,FALSE)," ")</f>
        <v xml:space="preserve"> </v>
      </c>
      <c r="I4140" s="43"/>
      <c r="K4140" t="str">
        <f>IFERROR(+VLOOKUP(Movimientos_2026[[#This Row],[Codigo]],Plan_cuentas[],6,FALSE)," ")</f>
        <v xml:space="preserve"> </v>
      </c>
      <c r="L4140" s="50"/>
      <c r="M4140" s="50"/>
      <c r="N4140" s="20">
        <f>+Movimientos_2026[[#This Row],[Ingresos]]-Movimientos_2026[[#This Row],[Egresos]]</f>
        <v>0</v>
      </c>
      <c r="O4140" s="20">
        <f>+O4139+Movimientos_2026[[#This Row],[Neto]]</f>
        <v>4581558617.7962294</v>
      </c>
    </row>
    <row r="4141" spans="1:15" x14ac:dyDescent="0.25">
      <c r="A4141" s="13"/>
      <c r="B4141" s="12">
        <f>MONTH(Movimientos_2026[[#This Row],[Fecha]])</f>
        <v>1</v>
      </c>
      <c r="C4141" s="12" t="str">
        <f>VLOOKUP((WEEKDAY(Movimientos_2026[[#This Row],[Fecha]],2)),'5. Setup'!$D$6:$E$12,2,FALSE)</f>
        <v>Sab</v>
      </c>
      <c r="E4141" t="str">
        <f>IFERROR(+VLOOKUP(Movimientos_2026[[#This Row],[Codigo]],Plan_cuentas[],2,FALSE)," ")</f>
        <v xml:space="preserve"> </v>
      </c>
      <c r="F4141" t="str">
        <f>IFERROR(+VLOOKUP(Movimientos_2026[[#This Row],[Codigo]],Plan_cuentas[],3,FALSE)," ")</f>
        <v xml:space="preserve"> </v>
      </c>
      <c r="G4141" t="str">
        <f>IFERROR(+VLOOKUP(Movimientos_2026[[#This Row],[Codigo]],Plan_cuentas[],4,FALSE)," ")</f>
        <v xml:space="preserve"> </v>
      </c>
      <c r="H4141" t="str">
        <f>IFERROR(+VLOOKUP(Movimientos_2026[[#This Row],[Codigo]],Plan_cuentas[],5,FALSE)," ")</f>
        <v xml:space="preserve"> </v>
      </c>
      <c r="I4141" s="43"/>
      <c r="K4141" t="str">
        <f>IFERROR(+VLOOKUP(Movimientos_2026[[#This Row],[Codigo]],Plan_cuentas[],6,FALSE)," ")</f>
        <v xml:space="preserve"> </v>
      </c>
      <c r="L4141" s="50"/>
      <c r="M4141" s="50"/>
      <c r="N4141" s="20">
        <f>+Movimientos_2026[[#This Row],[Ingresos]]-Movimientos_2026[[#This Row],[Egresos]]</f>
        <v>0</v>
      </c>
      <c r="O4141" s="20">
        <f>+O4140+Movimientos_2026[[#This Row],[Neto]]</f>
        <v>4581558617.7962294</v>
      </c>
    </row>
    <row r="4142" spans="1:15" x14ac:dyDescent="0.25">
      <c r="A4142" s="13"/>
      <c r="B4142" s="12">
        <f>MONTH(Movimientos_2026[[#This Row],[Fecha]])</f>
        <v>1</v>
      </c>
      <c r="C4142" s="12" t="str">
        <f>VLOOKUP((WEEKDAY(Movimientos_2026[[#This Row],[Fecha]],2)),'5. Setup'!$D$6:$E$12,2,FALSE)</f>
        <v>Sab</v>
      </c>
      <c r="E4142" t="str">
        <f>IFERROR(+VLOOKUP(Movimientos_2026[[#This Row],[Codigo]],Plan_cuentas[],2,FALSE)," ")</f>
        <v xml:space="preserve"> </v>
      </c>
      <c r="F4142" t="str">
        <f>IFERROR(+VLOOKUP(Movimientos_2026[[#This Row],[Codigo]],Plan_cuentas[],3,FALSE)," ")</f>
        <v xml:space="preserve"> </v>
      </c>
      <c r="G4142" t="str">
        <f>IFERROR(+VLOOKUP(Movimientos_2026[[#This Row],[Codigo]],Plan_cuentas[],4,FALSE)," ")</f>
        <v xml:space="preserve"> </v>
      </c>
      <c r="H4142" t="str">
        <f>IFERROR(+VLOOKUP(Movimientos_2026[[#This Row],[Codigo]],Plan_cuentas[],5,FALSE)," ")</f>
        <v xml:space="preserve"> </v>
      </c>
      <c r="I4142" s="43"/>
      <c r="K4142" t="str">
        <f>IFERROR(+VLOOKUP(Movimientos_2026[[#This Row],[Codigo]],Plan_cuentas[],6,FALSE)," ")</f>
        <v xml:space="preserve"> </v>
      </c>
      <c r="L4142" s="50"/>
      <c r="M4142" s="50"/>
      <c r="N4142" s="20">
        <f>+Movimientos_2026[[#This Row],[Ingresos]]-Movimientos_2026[[#This Row],[Egresos]]</f>
        <v>0</v>
      </c>
      <c r="O4142" s="20">
        <f>+O4141+Movimientos_2026[[#This Row],[Neto]]</f>
        <v>4581558617.7962294</v>
      </c>
    </row>
    <row r="4143" spans="1:15" x14ac:dyDescent="0.25">
      <c r="A4143" s="13"/>
      <c r="B4143" s="12">
        <f>MONTH(Movimientos_2026[[#This Row],[Fecha]])</f>
        <v>1</v>
      </c>
      <c r="C4143" s="12" t="str">
        <f>VLOOKUP((WEEKDAY(Movimientos_2026[[#This Row],[Fecha]],2)),'5. Setup'!$D$6:$E$12,2,FALSE)</f>
        <v>Sab</v>
      </c>
      <c r="E4143" t="str">
        <f>IFERROR(+VLOOKUP(Movimientos_2026[[#This Row],[Codigo]],Plan_cuentas[],2,FALSE)," ")</f>
        <v xml:space="preserve"> </v>
      </c>
      <c r="F4143" t="str">
        <f>IFERROR(+VLOOKUP(Movimientos_2026[[#This Row],[Codigo]],Plan_cuentas[],3,FALSE)," ")</f>
        <v xml:space="preserve"> </v>
      </c>
      <c r="G4143" t="str">
        <f>IFERROR(+VLOOKUP(Movimientos_2026[[#This Row],[Codigo]],Plan_cuentas[],4,FALSE)," ")</f>
        <v xml:space="preserve"> </v>
      </c>
      <c r="H4143" t="str">
        <f>IFERROR(+VLOOKUP(Movimientos_2026[[#This Row],[Codigo]],Plan_cuentas[],5,FALSE)," ")</f>
        <v xml:space="preserve"> </v>
      </c>
      <c r="I4143" s="43"/>
      <c r="K4143" t="str">
        <f>IFERROR(+VLOOKUP(Movimientos_2026[[#This Row],[Codigo]],Plan_cuentas[],6,FALSE)," ")</f>
        <v xml:space="preserve"> </v>
      </c>
      <c r="L4143" s="50"/>
      <c r="M4143" s="50"/>
      <c r="N4143" s="20">
        <f>+Movimientos_2026[[#This Row],[Ingresos]]-Movimientos_2026[[#This Row],[Egresos]]</f>
        <v>0</v>
      </c>
      <c r="O4143" s="20">
        <f>+O4142+Movimientos_2026[[#This Row],[Neto]]</f>
        <v>4581558617.7962294</v>
      </c>
    </row>
    <row r="4144" spans="1:15" x14ac:dyDescent="0.25">
      <c r="A4144" s="13"/>
      <c r="B4144" s="12">
        <f>MONTH(Movimientos_2026[[#This Row],[Fecha]])</f>
        <v>1</v>
      </c>
      <c r="C4144" s="12" t="str">
        <f>VLOOKUP((WEEKDAY(Movimientos_2026[[#This Row],[Fecha]],2)),'5. Setup'!$D$6:$E$12,2,FALSE)</f>
        <v>Sab</v>
      </c>
      <c r="E4144" t="str">
        <f>IFERROR(+VLOOKUP(Movimientos_2026[[#This Row],[Codigo]],Plan_cuentas[],2,FALSE)," ")</f>
        <v xml:space="preserve"> </v>
      </c>
      <c r="F4144" t="str">
        <f>IFERROR(+VLOOKUP(Movimientos_2026[[#This Row],[Codigo]],Plan_cuentas[],3,FALSE)," ")</f>
        <v xml:space="preserve"> </v>
      </c>
      <c r="G4144" t="str">
        <f>IFERROR(+VLOOKUP(Movimientos_2026[[#This Row],[Codigo]],Plan_cuentas[],4,FALSE)," ")</f>
        <v xml:space="preserve"> </v>
      </c>
      <c r="H4144" t="str">
        <f>IFERROR(+VLOOKUP(Movimientos_2026[[#This Row],[Codigo]],Plan_cuentas[],5,FALSE)," ")</f>
        <v xml:space="preserve"> </v>
      </c>
      <c r="I4144" s="43"/>
      <c r="K4144" t="str">
        <f>IFERROR(+VLOOKUP(Movimientos_2026[[#This Row],[Codigo]],Plan_cuentas[],6,FALSE)," ")</f>
        <v xml:space="preserve"> </v>
      </c>
      <c r="L4144" s="50"/>
      <c r="M4144" s="50"/>
      <c r="N4144" s="20">
        <f>+Movimientos_2026[[#This Row],[Ingresos]]-Movimientos_2026[[#This Row],[Egresos]]</f>
        <v>0</v>
      </c>
      <c r="O4144" s="20">
        <f>+O4143+Movimientos_2026[[#This Row],[Neto]]</f>
        <v>4581558617.7962294</v>
      </c>
    </row>
    <row r="4145" spans="1:15" x14ac:dyDescent="0.25">
      <c r="A4145" s="13"/>
      <c r="B4145" s="12">
        <f>MONTH(Movimientos_2026[[#This Row],[Fecha]])</f>
        <v>1</v>
      </c>
      <c r="C4145" s="12" t="str">
        <f>VLOOKUP((WEEKDAY(Movimientos_2026[[#This Row],[Fecha]],2)),'5. Setup'!$D$6:$E$12,2,FALSE)</f>
        <v>Sab</v>
      </c>
      <c r="E4145" t="str">
        <f>IFERROR(+VLOOKUP(Movimientos_2026[[#This Row],[Codigo]],Plan_cuentas[],2,FALSE)," ")</f>
        <v xml:space="preserve"> </v>
      </c>
      <c r="F4145" t="str">
        <f>IFERROR(+VLOOKUP(Movimientos_2026[[#This Row],[Codigo]],Plan_cuentas[],3,FALSE)," ")</f>
        <v xml:space="preserve"> </v>
      </c>
      <c r="G4145" t="str">
        <f>IFERROR(+VLOOKUP(Movimientos_2026[[#This Row],[Codigo]],Plan_cuentas[],4,FALSE)," ")</f>
        <v xml:space="preserve"> </v>
      </c>
      <c r="H4145" t="str">
        <f>IFERROR(+VLOOKUP(Movimientos_2026[[#This Row],[Codigo]],Plan_cuentas[],5,FALSE)," ")</f>
        <v xml:space="preserve"> </v>
      </c>
      <c r="I4145" s="43"/>
      <c r="K4145" t="str">
        <f>IFERROR(+VLOOKUP(Movimientos_2026[[#This Row],[Codigo]],Plan_cuentas[],6,FALSE)," ")</f>
        <v xml:space="preserve"> </v>
      </c>
      <c r="L4145" s="50"/>
      <c r="M4145" s="50"/>
      <c r="N4145" s="20">
        <f>+Movimientos_2026[[#This Row],[Ingresos]]-Movimientos_2026[[#This Row],[Egresos]]</f>
        <v>0</v>
      </c>
      <c r="O4145" s="20">
        <f>+O4144+Movimientos_2026[[#This Row],[Neto]]</f>
        <v>4581558617.7962294</v>
      </c>
    </row>
    <row r="4146" spans="1:15" x14ac:dyDescent="0.25">
      <c r="A4146" s="13"/>
      <c r="B4146" s="12">
        <f>MONTH(Movimientos_2026[[#This Row],[Fecha]])</f>
        <v>1</v>
      </c>
      <c r="C4146" s="12" t="str">
        <f>VLOOKUP((WEEKDAY(Movimientos_2026[[#This Row],[Fecha]],2)),'5. Setup'!$D$6:$E$12,2,FALSE)</f>
        <v>Sab</v>
      </c>
      <c r="E4146" t="str">
        <f>IFERROR(+VLOOKUP(Movimientos_2026[[#This Row],[Codigo]],Plan_cuentas[],2,FALSE)," ")</f>
        <v xml:space="preserve"> </v>
      </c>
      <c r="F4146" t="str">
        <f>IFERROR(+VLOOKUP(Movimientos_2026[[#This Row],[Codigo]],Plan_cuentas[],3,FALSE)," ")</f>
        <v xml:space="preserve"> </v>
      </c>
      <c r="G4146" t="str">
        <f>IFERROR(+VLOOKUP(Movimientos_2026[[#This Row],[Codigo]],Plan_cuentas[],4,FALSE)," ")</f>
        <v xml:space="preserve"> </v>
      </c>
      <c r="H4146" t="str">
        <f>IFERROR(+VLOOKUP(Movimientos_2026[[#This Row],[Codigo]],Plan_cuentas[],5,FALSE)," ")</f>
        <v xml:space="preserve"> </v>
      </c>
      <c r="I4146" s="43"/>
      <c r="K4146" t="str">
        <f>IFERROR(+VLOOKUP(Movimientos_2026[[#This Row],[Codigo]],Plan_cuentas[],6,FALSE)," ")</f>
        <v xml:space="preserve"> </v>
      </c>
      <c r="L4146" s="50"/>
      <c r="M4146" s="50"/>
      <c r="N4146" s="20">
        <f>+Movimientos_2026[[#This Row],[Ingresos]]-Movimientos_2026[[#This Row],[Egresos]]</f>
        <v>0</v>
      </c>
      <c r="O4146" s="20">
        <f>+O4145+Movimientos_2026[[#This Row],[Neto]]</f>
        <v>4581558617.7962294</v>
      </c>
    </row>
    <row r="4147" spans="1:15" x14ac:dyDescent="0.25">
      <c r="A4147" s="13"/>
      <c r="B4147" s="12">
        <f>MONTH(Movimientos_2026[[#This Row],[Fecha]])</f>
        <v>1</v>
      </c>
      <c r="C4147" s="12" t="str">
        <f>VLOOKUP((WEEKDAY(Movimientos_2026[[#This Row],[Fecha]],2)),'5. Setup'!$D$6:$E$12,2,FALSE)</f>
        <v>Sab</v>
      </c>
      <c r="E4147" t="str">
        <f>IFERROR(+VLOOKUP(Movimientos_2026[[#This Row],[Codigo]],Plan_cuentas[],2,FALSE)," ")</f>
        <v xml:space="preserve"> </v>
      </c>
      <c r="F4147" t="str">
        <f>IFERROR(+VLOOKUP(Movimientos_2026[[#This Row],[Codigo]],Plan_cuentas[],3,FALSE)," ")</f>
        <v xml:space="preserve"> </v>
      </c>
      <c r="G4147" t="str">
        <f>IFERROR(+VLOOKUP(Movimientos_2026[[#This Row],[Codigo]],Plan_cuentas[],4,FALSE)," ")</f>
        <v xml:space="preserve"> </v>
      </c>
      <c r="H4147" t="str">
        <f>IFERROR(+VLOOKUP(Movimientos_2026[[#This Row],[Codigo]],Plan_cuentas[],5,FALSE)," ")</f>
        <v xml:space="preserve"> </v>
      </c>
      <c r="I4147" s="43"/>
      <c r="K4147" t="str">
        <f>IFERROR(+VLOOKUP(Movimientos_2026[[#This Row],[Codigo]],Plan_cuentas[],6,FALSE)," ")</f>
        <v xml:space="preserve"> </v>
      </c>
      <c r="L4147" s="50"/>
      <c r="M4147" s="50"/>
      <c r="N4147" s="20">
        <f>+Movimientos_2026[[#This Row],[Ingresos]]-Movimientos_2026[[#This Row],[Egresos]]</f>
        <v>0</v>
      </c>
      <c r="O4147" s="20">
        <f>+O4146+Movimientos_2026[[#This Row],[Neto]]</f>
        <v>4581558617.7962294</v>
      </c>
    </row>
    <row r="4148" spans="1:15" x14ac:dyDescent="0.25">
      <c r="A4148" s="13"/>
      <c r="B4148" s="12">
        <f>MONTH(Movimientos_2026[[#This Row],[Fecha]])</f>
        <v>1</v>
      </c>
      <c r="C4148" s="12" t="str">
        <f>VLOOKUP((WEEKDAY(Movimientos_2026[[#This Row],[Fecha]],2)),'5. Setup'!$D$6:$E$12,2,FALSE)</f>
        <v>Sab</v>
      </c>
      <c r="E4148" t="str">
        <f>IFERROR(+VLOOKUP(Movimientos_2026[[#This Row],[Codigo]],Plan_cuentas[],2,FALSE)," ")</f>
        <v xml:space="preserve"> </v>
      </c>
      <c r="F4148" t="str">
        <f>IFERROR(+VLOOKUP(Movimientos_2026[[#This Row],[Codigo]],Plan_cuentas[],3,FALSE)," ")</f>
        <v xml:space="preserve"> </v>
      </c>
      <c r="G4148" t="str">
        <f>IFERROR(+VLOOKUP(Movimientos_2026[[#This Row],[Codigo]],Plan_cuentas[],4,FALSE)," ")</f>
        <v xml:space="preserve"> </v>
      </c>
      <c r="H4148" t="str">
        <f>IFERROR(+VLOOKUP(Movimientos_2026[[#This Row],[Codigo]],Plan_cuentas[],5,FALSE)," ")</f>
        <v xml:space="preserve"> </v>
      </c>
      <c r="I4148" s="43"/>
      <c r="K4148" t="str">
        <f>IFERROR(+VLOOKUP(Movimientos_2026[[#This Row],[Codigo]],Plan_cuentas[],6,FALSE)," ")</f>
        <v xml:space="preserve"> </v>
      </c>
      <c r="L4148" s="50"/>
      <c r="M4148" s="50"/>
      <c r="N4148" s="20">
        <f>+Movimientos_2026[[#This Row],[Ingresos]]-Movimientos_2026[[#This Row],[Egresos]]</f>
        <v>0</v>
      </c>
      <c r="O4148" s="20">
        <f>+O4147+Movimientos_2026[[#This Row],[Neto]]</f>
        <v>4581558617.7962294</v>
      </c>
    </row>
    <row r="4149" spans="1:15" x14ac:dyDescent="0.25">
      <c r="A4149" s="13"/>
      <c r="B4149" s="12">
        <f>MONTH(Movimientos_2026[[#This Row],[Fecha]])</f>
        <v>1</v>
      </c>
      <c r="C4149" s="12" t="str">
        <f>VLOOKUP((WEEKDAY(Movimientos_2026[[#This Row],[Fecha]],2)),'5. Setup'!$D$6:$E$12,2,FALSE)</f>
        <v>Sab</v>
      </c>
      <c r="E4149" t="str">
        <f>IFERROR(+VLOOKUP(Movimientos_2026[[#This Row],[Codigo]],Plan_cuentas[],2,FALSE)," ")</f>
        <v xml:space="preserve"> </v>
      </c>
      <c r="F4149" t="str">
        <f>IFERROR(+VLOOKUP(Movimientos_2026[[#This Row],[Codigo]],Plan_cuentas[],3,FALSE)," ")</f>
        <v xml:space="preserve"> </v>
      </c>
      <c r="G4149" t="str">
        <f>IFERROR(+VLOOKUP(Movimientos_2026[[#This Row],[Codigo]],Plan_cuentas[],4,FALSE)," ")</f>
        <v xml:space="preserve"> </v>
      </c>
      <c r="H4149" t="str">
        <f>IFERROR(+VLOOKUP(Movimientos_2026[[#This Row],[Codigo]],Plan_cuentas[],5,FALSE)," ")</f>
        <v xml:space="preserve"> </v>
      </c>
      <c r="I4149" s="43"/>
      <c r="K4149" t="str">
        <f>IFERROR(+VLOOKUP(Movimientos_2026[[#This Row],[Codigo]],Plan_cuentas[],6,FALSE)," ")</f>
        <v xml:space="preserve"> </v>
      </c>
      <c r="L4149" s="50"/>
      <c r="M4149" s="50"/>
      <c r="N4149" s="20">
        <f>+Movimientos_2026[[#This Row],[Ingresos]]-Movimientos_2026[[#This Row],[Egresos]]</f>
        <v>0</v>
      </c>
      <c r="O4149" s="20">
        <f>+O4148+Movimientos_2026[[#This Row],[Neto]]</f>
        <v>4581558617.7962294</v>
      </c>
    </row>
    <row r="4150" spans="1:15" x14ac:dyDescent="0.25">
      <c r="A4150" s="13"/>
      <c r="B4150" s="12">
        <f>MONTH(Movimientos_2026[[#This Row],[Fecha]])</f>
        <v>1</v>
      </c>
      <c r="C4150" s="12" t="str">
        <f>VLOOKUP((WEEKDAY(Movimientos_2026[[#This Row],[Fecha]],2)),'5. Setup'!$D$6:$E$12,2,FALSE)</f>
        <v>Sab</v>
      </c>
      <c r="E4150" t="str">
        <f>IFERROR(+VLOOKUP(Movimientos_2026[[#This Row],[Codigo]],Plan_cuentas[],2,FALSE)," ")</f>
        <v xml:space="preserve"> </v>
      </c>
      <c r="F4150" t="str">
        <f>IFERROR(+VLOOKUP(Movimientos_2026[[#This Row],[Codigo]],Plan_cuentas[],3,FALSE)," ")</f>
        <v xml:space="preserve"> </v>
      </c>
      <c r="G4150" t="str">
        <f>IFERROR(+VLOOKUP(Movimientos_2026[[#This Row],[Codigo]],Plan_cuentas[],4,FALSE)," ")</f>
        <v xml:space="preserve"> </v>
      </c>
      <c r="H4150" t="str">
        <f>IFERROR(+VLOOKUP(Movimientos_2026[[#This Row],[Codigo]],Plan_cuentas[],5,FALSE)," ")</f>
        <v xml:space="preserve"> </v>
      </c>
      <c r="I4150" s="43"/>
      <c r="K4150" t="str">
        <f>IFERROR(+VLOOKUP(Movimientos_2026[[#This Row],[Codigo]],Plan_cuentas[],6,FALSE)," ")</f>
        <v xml:space="preserve"> </v>
      </c>
      <c r="L4150" s="50"/>
      <c r="M4150" s="50"/>
      <c r="N4150" s="20">
        <f>+Movimientos_2026[[#This Row],[Ingresos]]-Movimientos_2026[[#This Row],[Egresos]]</f>
        <v>0</v>
      </c>
      <c r="O4150" s="20">
        <f>+O4149+Movimientos_2026[[#This Row],[Neto]]</f>
        <v>4581558617.7962294</v>
      </c>
    </row>
    <row r="4151" spans="1:15" x14ac:dyDescent="0.25">
      <c r="A4151" s="13"/>
      <c r="B4151" s="12">
        <f>MONTH(Movimientos_2026[[#This Row],[Fecha]])</f>
        <v>1</v>
      </c>
      <c r="C4151" s="12" t="str">
        <f>VLOOKUP((WEEKDAY(Movimientos_2026[[#This Row],[Fecha]],2)),'5. Setup'!$D$6:$E$12,2,FALSE)</f>
        <v>Sab</v>
      </c>
      <c r="E4151" t="str">
        <f>IFERROR(+VLOOKUP(Movimientos_2026[[#This Row],[Codigo]],Plan_cuentas[],2,FALSE)," ")</f>
        <v xml:space="preserve"> </v>
      </c>
      <c r="F4151" t="str">
        <f>IFERROR(+VLOOKUP(Movimientos_2026[[#This Row],[Codigo]],Plan_cuentas[],3,FALSE)," ")</f>
        <v xml:space="preserve"> </v>
      </c>
      <c r="G4151" t="str">
        <f>IFERROR(+VLOOKUP(Movimientos_2026[[#This Row],[Codigo]],Plan_cuentas[],4,FALSE)," ")</f>
        <v xml:space="preserve"> </v>
      </c>
      <c r="H4151" t="str">
        <f>IFERROR(+VLOOKUP(Movimientos_2026[[#This Row],[Codigo]],Plan_cuentas[],5,FALSE)," ")</f>
        <v xml:space="preserve"> </v>
      </c>
      <c r="I4151" s="43"/>
      <c r="K4151" t="str">
        <f>IFERROR(+VLOOKUP(Movimientos_2026[[#This Row],[Codigo]],Plan_cuentas[],6,FALSE)," ")</f>
        <v xml:space="preserve"> </v>
      </c>
      <c r="L4151" s="50"/>
      <c r="M4151" s="50"/>
      <c r="N4151" s="20">
        <f>+Movimientos_2026[[#This Row],[Ingresos]]-Movimientos_2026[[#This Row],[Egresos]]</f>
        <v>0</v>
      </c>
      <c r="O4151" s="20">
        <f>+O4150+Movimientos_2026[[#This Row],[Neto]]</f>
        <v>4581558617.7962294</v>
      </c>
    </row>
    <row r="4152" spans="1:15" x14ac:dyDescent="0.25">
      <c r="A4152" s="13"/>
      <c r="B4152" s="12">
        <f>MONTH(Movimientos_2026[[#This Row],[Fecha]])</f>
        <v>1</v>
      </c>
      <c r="C4152" s="12" t="str">
        <f>VLOOKUP((WEEKDAY(Movimientos_2026[[#This Row],[Fecha]],2)),'5. Setup'!$D$6:$E$12,2,FALSE)</f>
        <v>Sab</v>
      </c>
      <c r="E4152" t="str">
        <f>IFERROR(+VLOOKUP(Movimientos_2026[[#This Row],[Codigo]],Plan_cuentas[],2,FALSE)," ")</f>
        <v xml:space="preserve"> </v>
      </c>
      <c r="F4152" t="str">
        <f>IFERROR(+VLOOKUP(Movimientos_2026[[#This Row],[Codigo]],Plan_cuentas[],3,FALSE)," ")</f>
        <v xml:space="preserve"> </v>
      </c>
      <c r="G4152" t="str">
        <f>IFERROR(+VLOOKUP(Movimientos_2026[[#This Row],[Codigo]],Plan_cuentas[],4,FALSE)," ")</f>
        <v xml:space="preserve"> </v>
      </c>
      <c r="H4152" t="str">
        <f>IFERROR(+VLOOKUP(Movimientos_2026[[#This Row],[Codigo]],Plan_cuentas[],5,FALSE)," ")</f>
        <v xml:space="preserve"> </v>
      </c>
      <c r="I4152" s="43"/>
      <c r="K4152" t="str">
        <f>IFERROR(+VLOOKUP(Movimientos_2026[[#This Row],[Codigo]],Plan_cuentas[],6,FALSE)," ")</f>
        <v xml:space="preserve"> </v>
      </c>
      <c r="L4152" s="50"/>
      <c r="M4152" s="50"/>
      <c r="N4152" s="20">
        <f>+Movimientos_2026[[#This Row],[Ingresos]]-Movimientos_2026[[#This Row],[Egresos]]</f>
        <v>0</v>
      </c>
      <c r="O4152" s="20">
        <f>+O4151+Movimientos_2026[[#This Row],[Neto]]</f>
        <v>4581558617.7962294</v>
      </c>
    </row>
    <row r="4153" spans="1:15" x14ac:dyDescent="0.25">
      <c r="A4153" s="13"/>
      <c r="B4153" s="12">
        <f>MONTH(Movimientos_2026[[#This Row],[Fecha]])</f>
        <v>1</v>
      </c>
      <c r="C4153" s="12" t="str">
        <f>VLOOKUP((WEEKDAY(Movimientos_2026[[#This Row],[Fecha]],2)),'5. Setup'!$D$6:$E$12,2,FALSE)</f>
        <v>Sab</v>
      </c>
      <c r="E4153" t="str">
        <f>IFERROR(+VLOOKUP(Movimientos_2026[[#This Row],[Codigo]],Plan_cuentas[],2,FALSE)," ")</f>
        <v xml:space="preserve"> </v>
      </c>
      <c r="F4153" t="str">
        <f>IFERROR(+VLOOKUP(Movimientos_2026[[#This Row],[Codigo]],Plan_cuentas[],3,FALSE)," ")</f>
        <v xml:space="preserve"> </v>
      </c>
      <c r="G4153" t="str">
        <f>IFERROR(+VLOOKUP(Movimientos_2026[[#This Row],[Codigo]],Plan_cuentas[],4,FALSE)," ")</f>
        <v xml:space="preserve"> </v>
      </c>
      <c r="H4153" t="str">
        <f>IFERROR(+VLOOKUP(Movimientos_2026[[#This Row],[Codigo]],Plan_cuentas[],5,FALSE)," ")</f>
        <v xml:space="preserve"> </v>
      </c>
      <c r="I4153" s="43"/>
      <c r="K4153" t="str">
        <f>IFERROR(+VLOOKUP(Movimientos_2026[[#This Row],[Codigo]],Plan_cuentas[],6,FALSE)," ")</f>
        <v xml:space="preserve"> </v>
      </c>
      <c r="L4153" s="50"/>
      <c r="M4153" s="50"/>
      <c r="N4153" s="20">
        <f>+Movimientos_2026[[#This Row],[Ingresos]]-Movimientos_2026[[#This Row],[Egresos]]</f>
        <v>0</v>
      </c>
      <c r="O4153" s="20">
        <f>+O4152+Movimientos_2026[[#This Row],[Neto]]</f>
        <v>4581558617.7962294</v>
      </c>
    </row>
    <row r="4154" spans="1:15" x14ac:dyDescent="0.25">
      <c r="A4154" s="13"/>
      <c r="B4154" s="12">
        <f>MONTH(Movimientos_2026[[#This Row],[Fecha]])</f>
        <v>1</v>
      </c>
      <c r="C4154" s="12" t="str">
        <f>VLOOKUP((WEEKDAY(Movimientos_2026[[#This Row],[Fecha]],2)),'5. Setup'!$D$6:$E$12,2,FALSE)</f>
        <v>Sab</v>
      </c>
      <c r="E4154" t="str">
        <f>IFERROR(+VLOOKUP(Movimientos_2026[[#This Row],[Codigo]],Plan_cuentas[],2,FALSE)," ")</f>
        <v xml:space="preserve"> </v>
      </c>
      <c r="F4154" t="str">
        <f>IFERROR(+VLOOKUP(Movimientos_2026[[#This Row],[Codigo]],Plan_cuentas[],3,FALSE)," ")</f>
        <v xml:space="preserve"> </v>
      </c>
      <c r="G4154" t="str">
        <f>IFERROR(+VLOOKUP(Movimientos_2026[[#This Row],[Codigo]],Plan_cuentas[],4,FALSE)," ")</f>
        <v xml:space="preserve"> </v>
      </c>
      <c r="H4154" t="str">
        <f>IFERROR(+VLOOKUP(Movimientos_2026[[#This Row],[Codigo]],Plan_cuentas[],5,FALSE)," ")</f>
        <v xml:space="preserve"> </v>
      </c>
      <c r="I4154" s="43"/>
      <c r="K4154" t="str">
        <f>IFERROR(+VLOOKUP(Movimientos_2026[[#This Row],[Codigo]],Plan_cuentas[],6,FALSE)," ")</f>
        <v xml:space="preserve"> </v>
      </c>
      <c r="L4154" s="50"/>
      <c r="M4154" s="50"/>
      <c r="N4154" s="20">
        <f>+Movimientos_2026[[#This Row],[Ingresos]]-Movimientos_2026[[#This Row],[Egresos]]</f>
        <v>0</v>
      </c>
      <c r="O4154" s="20">
        <f>+O4153+Movimientos_2026[[#This Row],[Neto]]</f>
        <v>4581558617.7962294</v>
      </c>
    </row>
    <row r="4155" spans="1:15" x14ac:dyDescent="0.25">
      <c r="A4155" s="13"/>
      <c r="B4155" s="12">
        <f>MONTH(Movimientos_2026[[#This Row],[Fecha]])</f>
        <v>1</v>
      </c>
      <c r="C4155" s="12" t="str">
        <f>VLOOKUP((WEEKDAY(Movimientos_2026[[#This Row],[Fecha]],2)),'5. Setup'!$D$6:$E$12,2,FALSE)</f>
        <v>Sab</v>
      </c>
      <c r="E4155" t="str">
        <f>IFERROR(+VLOOKUP(Movimientos_2026[[#This Row],[Codigo]],Plan_cuentas[],2,FALSE)," ")</f>
        <v xml:space="preserve"> </v>
      </c>
      <c r="F4155" t="str">
        <f>IFERROR(+VLOOKUP(Movimientos_2026[[#This Row],[Codigo]],Plan_cuentas[],3,FALSE)," ")</f>
        <v xml:space="preserve"> </v>
      </c>
      <c r="G4155" t="str">
        <f>IFERROR(+VLOOKUP(Movimientos_2026[[#This Row],[Codigo]],Plan_cuentas[],4,FALSE)," ")</f>
        <v xml:space="preserve"> </v>
      </c>
      <c r="H4155" t="str">
        <f>IFERROR(+VLOOKUP(Movimientos_2026[[#This Row],[Codigo]],Plan_cuentas[],5,FALSE)," ")</f>
        <v xml:space="preserve"> </v>
      </c>
      <c r="I4155" s="43"/>
      <c r="K4155" t="str">
        <f>IFERROR(+VLOOKUP(Movimientos_2026[[#This Row],[Codigo]],Plan_cuentas[],6,FALSE)," ")</f>
        <v xml:space="preserve"> </v>
      </c>
      <c r="L4155" s="50"/>
      <c r="M4155" s="50"/>
      <c r="N4155" s="20">
        <f>+Movimientos_2026[[#This Row],[Ingresos]]-Movimientos_2026[[#This Row],[Egresos]]</f>
        <v>0</v>
      </c>
      <c r="O4155" s="20">
        <f>+O4154+Movimientos_2026[[#This Row],[Neto]]</f>
        <v>4581558617.7962294</v>
      </c>
    </row>
    <row r="4156" spans="1:15" x14ac:dyDescent="0.25">
      <c r="A4156" s="13"/>
      <c r="B4156" s="12">
        <f>MONTH(Movimientos_2026[[#This Row],[Fecha]])</f>
        <v>1</v>
      </c>
      <c r="C4156" s="12" t="str">
        <f>VLOOKUP((WEEKDAY(Movimientos_2026[[#This Row],[Fecha]],2)),'5. Setup'!$D$6:$E$12,2,FALSE)</f>
        <v>Sab</v>
      </c>
      <c r="E4156" t="str">
        <f>IFERROR(+VLOOKUP(Movimientos_2026[[#This Row],[Codigo]],Plan_cuentas[],2,FALSE)," ")</f>
        <v xml:space="preserve"> </v>
      </c>
      <c r="F4156" t="str">
        <f>IFERROR(+VLOOKUP(Movimientos_2026[[#This Row],[Codigo]],Plan_cuentas[],3,FALSE)," ")</f>
        <v xml:space="preserve"> </v>
      </c>
      <c r="G4156" t="str">
        <f>IFERROR(+VLOOKUP(Movimientos_2026[[#This Row],[Codigo]],Plan_cuentas[],4,FALSE)," ")</f>
        <v xml:space="preserve"> </v>
      </c>
      <c r="H4156" t="str">
        <f>IFERROR(+VLOOKUP(Movimientos_2026[[#This Row],[Codigo]],Plan_cuentas[],5,FALSE)," ")</f>
        <v xml:space="preserve"> </v>
      </c>
      <c r="I4156" s="43"/>
      <c r="K4156" t="str">
        <f>IFERROR(+VLOOKUP(Movimientos_2026[[#This Row],[Codigo]],Plan_cuentas[],6,FALSE)," ")</f>
        <v xml:space="preserve"> </v>
      </c>
      <c r="L4156" s="50"/>
      <c r="M4156" s="50"/>
      <c r="N4156" s="20">
        <f>+Movimientos_2026[[#This Row],[Ingresos]]-Movimientos_2026[[#This Row],[Egresos]]</f>
        <v>0</v>
      </c>
      <c r="O4156" s="20">
        <f>+O4155+Movimientos_2026[[#This Row],[Neto]]</f>
        <v>4581558617.7962294</v>
      </c>
    </row>
    <row r="4157" spans="1:15" x14ac:dyDescent="0.25">
      <c r="A4157" s="13"/>
      <c r="B4157" s="12">
        <f>MONTH(Movimientos_2026[[#This Row],[Fecha]])</f>
        <v>1</v>
      </c>
      <c r="C4157" s="12" t="str">
        <f>VLOOKUP((WEEKDAY(Movimientos_2026[[#This Row],[Fecha]],2)),'5. Setup'!$D$6:$E$12,2,FALSE)</f>
        <v>Sab</v>
      </c>
      <c r="E4157" t="str">
        <f>IFERROR(+VLOOKUP(Movimientos_2026[[#This Row],[Codigo]],Plan_cuentas[],2,FALSE)," ")</f>
        <v xml:space="preserve"> </v>
      </c>
      <c r="F4157" t="str">
        <f>IFERROR(+VLOOKUP(Movimientos_2026[[#This Row],[Codigo]],Plan_cuentas[],3,FALSE)," ")</f>
        <v xml:space="preserve"> </v>
      </c>
      <c r="G4157" t="str">
        <f>IFERROR(+VLOOKUP(Movimientos_2026[[#This Row],[Codigo]],Plan_cuentas[],4,FALSE)," ")</f>
        <v xml:space="preserve"> </v>
      </c>
      <c r="H4157" t="str">
        <f>IFERROR(+VLOOKUP(Movimientos_2026[[#This Row],[Codigo]],Plan_cuentas[],5,FALSE)," ")</f>
        <v xml:space="preserve"> </v>
      </c>
      <c r="I4157" s="43"/>
      <c r="K4157" t="str">
        <f>IFERROR(+VLOOKUP(Movimientos_2026[[#This Row],[Codigo]],Plan_cuentas[],6,FALSE)," ")</f>
        <v xml:space="preserve"> </v>
      </c>
      <c r="L4157" s="50"/>
      <c r="M4157" s="50"/>
      <c r="N4157" s="20">
        <f>+Movimientos_2026[[#This Row],[Ingresos]]-Movimientos_2026[[#This Row],[Egresos]]</f>
        <v>0</v>
      </c>
      <c r="O4157" s="20">
        <f>+O4156+Movimientos_2026[[#This Row],[Neto]]</f>
        <v>4581558617.7962294</v>
      </c>
    </row>
    <row r="4158" spans="1:15" x14ac:dyDescent="0.25">
      <c r="A4158" s="13"/>
      <c r="B4158" s="12">
        <f>MONTH(Movimientos_2026[[#This Row],[Fecha]])</f>
        <v>1</v>
      </c>
      <c r="C4158" s="12" t="str">
        <f>VLOOKUP((WEEKDAY(Movimientos_2026[[#This Row],[Fecha]],2)),'5. Setup'!$D$6:$E$12,2,FALSE)</f>
        <v>Sab</v>
      </c>
      <c r="E4158" t="str">
        <f>IFERROR(+VLOOKUP(Movimientos_2026[[#This Row],[Codigo]],Plan_cuentas[],2,FALSE)," ")</f>
        <v xml:space="preserve"> </v>
      </c>
      <c r="F4158" t="str">
        <f>IFERROR(+VLOOKUP(Movimientos_2026[[#This Row],[Codigo]],Plan_cuentas[],3,FALSE)," ")</f>
        <v xml:space="preserve"> </v>
      </c>
      <c r="G4158" t="str">
        <f>IFERROR(+VLOOKUP(Movimientos_2026[[#This Row],[Codigo]],Plan_cuentas[],4,FALSE)," ")</f>
        <v xml:space="preserve"> </v>
      </c>
      <c r="H4158" t="str">
        <f>IFERROR(+VLOOKUP(Movimientos_2026[[#This Row],[Codigo]],Plan_cuentas[],5,FALSE)," ")</f>
        <v xml:space="preserve"> </v>
      </c>
      <c r="I4158" s="43"/>
      <c r="K4158" t="str">
        <f>IFERROR(+VLOOKUP(Movimientos_2026[[#This Row],[Codigo]],Plan_cuentas[],6,FALSE)," ")</f>
        <v xml:space="preserve"> </v>
      </c>
      <c r="L4158" s="50"/>
      <c r="M4158" s="50"/>
      <c r="N4158" s="20">
        <f>+Movimientos_2026[[#This Row],[Ingresos]]-Movimientos_2026[[#This Row],[Egresos]]</f>
        <v>0</v>
      </c>
      <c r="O4158" s="20">
        <f>+O4157+Movimientos_2026[[#This Row],[Neto]]</f>
        <v>4581558617.7962294</v>
      </c>
    </row>
    <row r="4159" spans="1:15" x14ac:dyDescent="0.25">
      <c r="A4159" s="13"/>
      <c r="B4159" s="12">
        <f>MONTH(Movimientos_2026[[#This Row],[Fecha]])</f>
        <v>1</v>
      </c>
      <c r="C4159" s="12" t="str">
        <f>VLOOKUP((WEEKDAY(Movimientos_2026[[#This Row],[Fecha]],2)),'5. Setup'!$D$6:$E$12,2,FALSE)</f>
        <v>Sab</v>
      </c>
      <c r="E4159" t="str">
        <f>IFERROR(+VLOOKUP(Movimientos_2026[[#This Row],[Codigo]],Plan_cuentas[],2,FALSE)," ")</f>
        <v xml:space="preserve"> </v>
      </c>
      <c r="F4159" t="str">
        <f>IFERROR(+VLOOKUP(Movimientos_2026[[#This Row],[Codigo]],Plan_cuentas[],3,FALSE)," ")</f>
        <v xml:space="preserve"> </v>
      </c>
      <c r="G4159" t="str">
        <f>IFERROR(+VLOOKUP(Movimientos_2026[[#This Row],[Codigo]],Plan_cuentas[],4,FALSE)," ")</f>
        <v xml:space="preserve"> </v>
      </c>
      <c r="H4159" t="str">
        <f>IFERROR(+VLOOKUP(Movimientos_2026[[#This Row],[Codigo]],Plan_cuentas[],5,FALSE)," ")</f>
        <v xml:space="preserve"> </v>
      </c>
      <c r="I4159" s="43"/>
      <c r="K4159" t="str">
        <f>IFERROR(+VLOOKUP(Movimientos_2026[[#This Row],[Codigo]],Plan_cuentas[],6,FALSE)," ")</f>
        <v xml:space="preserve"> </v>
      </c>
      <c r="L4159" s="50"/>
      <c r="M4159" s="50"/>
      <c r="N4159" s="20">
        <f>+Movimientos_2026[[#This Row],[Ingresos]]-Movimientos_2026[[#This Row],[Egresos]]</f>
        <v>0</v>
      </c>
      <c r="O4159" s="20">
        <f>+O4158+Movimientos_2026[[#This Row],[Neto]]</f>
        <v>4581558617.7962294</v>
      </c>
    </row>
    <row r="4160" spans="1:15" x14ac:dyDescent="0.25">
      <c r="A4160" s="13"/>
      <c r="B4160" s="12">
        <f>MONTH(Movimientos_2026[[#This Row],[Fecha]])</f>
        <v>1</v>
      </c>
      <c r="C4160" s="12" t="str">
        <f>VLOOKUP((WEEKDAY(Movimientos_2026[[#This Row],[Fecha]],2)),'5. Setup'!$D$6:$E$12,2,FALSE)</f>
        <v>Sab</v>
      </c>
      <c r="E4160" t="str">
        <f>IFERROR(+VLOOKUP(Movimientos_2026[[#This Row],[Codigo]],Plan_cuentas[],2,FALSE)," ")</f>
        <v xml:space="preserve"> </v>
      </c>
      <c r="F4160" t="str">
        <f>IFERROR(+VLOOKUP(Movimientos_2026[[#This Row],[Codigo]],Plan_cuentas[],3,FALSE)," ")</f>
        <v xml:space="preserve"> </v>
      </c>
      <c r="G4160" t="str">
        <f>IFERROR(+VLOOKUP(Movimientos_2026[[#This Row],[Codigo]],Plan_cuentas[],4,FALSE)," ")</f>
        <v xml:space="preserve"> </v>
      </c>
      <c r="H4160" t="str">
        <f>IFERROR(+VLOOKUP(Movimientos_2026[[#This Row],[Codigo]],Plan_cuentas[],5,FALSE)," ")</f>
        <v xml:space="preserve"> </v>
      </c>
      <c r="I4160" s="43"/>
      <c r="K4160" t="str">
        <f>IFERROR(+VLOOKUP(Movimientos_2026[[#This Row],[Codigo]],Plan_cuentas[],6,FALSE)," ")</f>
        <v xml:space="preserve"> </v>
      </c>
      <c r="L4160" s="50"/>
      <c r="M4160" s="50"/>
      <c r="N4160" s="20">
        <f>+Movimientos_2026[[#This Row],[Ingresos]]-Movimientos_2026[[#This Row],[Egresos]]</f>
        <v>0</v>
      </c>
      <c r="O4160" s="20">
        <f>+O4159+Movimientos_2026[[#This Row],[Neto]]</f>
        <v>4581558617.7962294</v>
      </c>
    </row>
    <row r="4161" spans="1:15" x14ac:dyDescent="0.25">
      <c r="A4161" s="13"/>
      <c r="B4161" s="12">
        <f>MONTH(Movimientos_2026[[#This Row],[Fecha]])</f>
        <v>1</v>
      </c>
      <c r="C4161" s="12" t="str">
        <f>VLOOKUP((WEEKDAY(Movimientos_2026[[#This Row],[Fecha]],2)),'5. Setup'!$D$6:$E$12,2,FALSE)</f>
        <v>Sab</v>
      </c>
      <c r="E4161" t="str">
        <f>IFERROR(+VLOOKUP(Movimientos_2026[[#This Row],[Codigo]],Plan_cuentas[],2,FALSE)," ")</f>
        <v xml:space="preserve"> </v>
      </c>
      <c r="F4161" t="str">
        <f>IFERROR(+VLOOKUP(Movimientos_2026[[#This Row],[Codigo]],Plan_cuentas[],3,FALSE)," ")</f>
        <v xml:space="preserve"> </v>
      </c>
      <c r="G4161" t="str">
        <f>IFERROR(+VLOOKUP(Movimientos_2026[[#This Row],[Codigo]],Plan_cuentas[],4,FALSE)," ")</f>
        <v xml:space="preserve"> </v>
      </c>
      <c r="H4161" t="str">
        <f>IFERROR(+VLOOKUP(Movimientos_2026[[#This Row],[Codigo]],Plan_cuentas[],5,FALSE)," ")</f>
        <v xml:space="preserve"> </v>
      </c>
      <c r="I4161" s="43"/>
      <c r="K4161" t="str">
        <f>IFERROR(+VLOOKUP(Movimientos_2026[[#This Row],[Codigo]],Plan_cuentas[],6,FALSE)," ")</f>
        <v xml:space="preserve"> </v>
      </c>
      <c r="L4161" s="50"/>
      <c r="M4161" s="50"/>
      <c r="N4161" s="20">
        <f>+Movimientos_2026[[#This Row],[Ingresos]]-Movimientos_2026[[#This Row],[Egresos]]</f>
        <v>0</v>
      </c>
      <c r="O4161" s="20">
        <f>+O4160+Movimientos_2026[[#This Row],[Neto]]</f>
        <v>4581558617.7962294</v>
      </c>
    </row>
    <row r="4162" spans="1:15" x14ac:dyDescent="0.25">
      <c r="A4162" s="13"/>
      <c r="B4162" s="12">
        <f>MONTH(Movimientos_2026[[#This Row],[Fecha]])</f>
        <v>1</v>
      </c>
      <c r="C4162" s="12" t="str">
        <f>VLOOKUP((WEEKDAY(Movimientos_2026[[#This Row],[Fecha]],2)),'5. Setup'!$D$6:$E$12,2,FALSE)</f>
        <v>Sab</v>
      </c>
      <c r="E4162" t="str">
        <f>IFERROR(+VLOOKUP(Movimientos_2026[[#This Row],[Codigo]],Plan_cuentas[],2,FALSE)," ")</f>
        <v xml:space="preserve"> </v>
      </c>
      <c r="F4162" t="str">
        <f>IFERROR(+VLOOKUP(Movimientos_2026[[#This Row],[Codigo]],Plan_cuentas[],3,FALSE)," ")</f>
        <v xml:space="preserve"> </v>
      </c>
      <c r="G4162" t="str">
        <f>IFERROR(+VLOOKUP(Movimientos_2026[[#This Row],[Codigo]],Plan_cuentas[],4,FALSE)," ")</f>
        <v xml:space="preserve"> </v>
      </c>
      <c r="H4162" t="str">
        <f>IFERROR(+VLOOKUP(Movimientos_2026[[#This Row],[Codigo]],Plan_cuentas[],5,FALSE)," ")</f>
        <v xml:space="preserve"> </v>
      </c>
      <c r="I4162" s="43"/>
      <c r="K4162" t="str">
        <f>IFERROR(+VLOOKUP(Movimientos_2026[[#This Row],[Codigo]],Plan_cuentas[],6,FALSE)," ")</f>
        <v xml:space="preserve"> </v>
      </c>
      <c r="L4162" s="50"/>
      <c r="M4162" s="50"/>
      <c r="N4162" s="20">
        <f>+Movimientos_2026[[#This Row],[Ingresos]]-Movimientos_2026[[#This Row],[Egresos]]</f>
        <v>0</v>
      </c>
      <c r="O4162" s="20">
        <f>+O4161+Movimientos_2026[[#This Row],[Neto]]</f>
        <v>4581558617.7962294</v>
      </c>
    </row>
    <row r="4163" spans="1:15" x14ac:dyDescent="0.25">
      <c r="A4163" s="13"/>
      <c r="B4163" s="12">
        <f>MONTH(Movimientos_2026[[#This Row],[Fecha]])</f>
        <v>1</v>
      </c>
      <c r="C4163" s="12" t="str">
        <f>VLOOKUP((WEEKDAY(Movimientos_2026[[#This Row],[Fecha]],2)),'5. Setup'!$D$6:$E$12,2,FALSE)</f>
        <v>Sab</v>
      </c>
      <c r="E4163" t="str">
        <f>IFERROR(+VLOOKUP(Movimientos_2026[[#This Row],[Codigo]],Plan_cuentas[],2,FALSE)," ")</f>
        <v xml:space="preserve"> </v>
      </c>
      <c r="F4163" t="str">
        <f>IFERROR(+VLOOKUP(Movimientos_2026[[#This Row],[Codigo]],Plan_cuentas[],3,FALSE)," ")</f>
        <v xml:space="preserve"> </v>
      </c>
      <c r="G4163" t="str">
        <f>IFERROR(+VLOOKUP(Movimientos_2026[[#This Row],[Codigo]],Plan_cuentas[],4,FALSE)," ")</f>
        <v xml:space="preserve"> </v>
      </c>
      <c r="H4163" t="str">
        <f>IFERROR(+VLOOKUP(Movimientos_2026[[#This Row],[Codigo]],Plan_cuentas[],5,FALSE)," ")</f>
        <v xml:space="preserve"> </v>
      </c>
      <c r="I4163" s="43"/>
      <c r="K4163" t="str">
        <f>IFERROR(+VLOOKUP(Movimientos_2026[[#This Row],[Codigo]],Plan_cuentas[],6,FALSE)," ")</f>
        <v xml:space="preserve"> </v>
      </c>
      <c r="L4163" s="50"/>
      <c r="M4163" s="50"/>
      <c r="N4163" s="20">
        <f>+Movimientos_2026[[#This Row],[Ingresos]]-Movimientos_2026[[#This Row],[Egresos]]</f>
        <v>0</v>
      </c>
      <c r="O4163" s="20">
        <f>+O4162+Movimientos_2026[[#This Row],[Neto]]</f>
        <v>4581558617.7962294</v>
      </c>
    </row>
    <row r="4164" spans="1:15" x14ac:dyDescent="0.25">
      <c r="A4164" s="13"/>
      <c r="B4164" s="12">
        <f>MONTH(Movimientos_2026[[#This Row],[Fecha]])</f>
        <v>1</v>
      </c>
      <c r="C4164" s="12" t="str">
        <f>VLOOKUP((WEEKDAY(Movimientos_2026[[#This Row],[Fecha]],2)),'5. Setup'!$D$6:$E$12,2,FALSE)</f>
        <v>Sab</v>
      </c>
      <c r="E4164" t="str">
        <f>IFERROR(+VLOOKUP(Movimientos_2026[[#This Row],[Codigo]],Plan_cuentas[],2,FALSE)," ")</f>
        <v xml:space="preserve"> </v>
      </c>
      <c r="F4164" t="str">
        <f>IFERROR(+VLOOKUP(Movimientos_2026[[#This Row],[Codigo]],Plan_cuentas[],3,FALSE)," ")</f>
        <v xml:space="preserve"> </v>
      </c>
      <c r="G4164" t="str">
        <f>IFERROR(+VLOOKUP(Movimientos_2026[[#This Row],[Codigo]],Plan_cuentas[],4,FALSE)," ")</f>
        <v xml:space="preserve"> </v>
      </c>
      <c r="H4164" t="str">
        <f>IFERROR(+VLOOKUP(Movimientos_2026[[#This Row],[Codigo]],Plan_cuentas[],5,FALSE)," ")</f>
        <v xml:space="preserve"> </v>
      </c>
      <c r="I4164" s="43"/>
      <c r="K4164" t="str">
        <f>IFERROR(+VLOOKUP(Movimientos_2026[[#This Row],[Codigo]],Plan_cuentas[],6,FALSE)," ")</f>
        <v xml:space="preserve"> </v>
      </c>
      <c r="L4164" s="50"/>
      <c r="M4164" s="50"/>
      <c r="N4164" s="20">
        <f>+Movimientos_2026[[#This Row],[Ingresos]]-Movimientos_2026[[#This Row],[Egresos]]</f>
        <v>0</v>
      </c>
      <c r="O4164" s="20">
        <f>+O4163+Movimientos_2026[[#This Row],[Neto]]</f>
        <v>4581558617.7962294</v>
      </c>
    </row>
    <row r="4165" spans="1:15" x14ac:dyDescent="0.25">
      <c r="A4165" s="13"/>
      <c r="B4165" s="12">
        <f>MONTH(Movimientos_2026[[#This Row],[Fecha]])</f>
        <v>1</v>
      </c>
      <c r="C4165" s="12" t="str">
        <f>VLOOKUP((WEEKDAY(Movimientos_2026[[#This Row],[Fecha]],2)),'5. Setup'!$D$6:$E$12,2,FALSE)</f>
        <v>Sab</v>
      </c>
      <c r="E4165" t="str">
        <f>IFERROR(+VLOOKUP(Movimientos_2026[[#This Row],[Codigo]],Plan_cuentas[],2,FALSE)," ")</f>
        <v xml:space="preserve"> </v>
      </c>
      <c r="F4165" t="str">
        <f>IFERROR(+VLOOKUP(Movimientos_2026[[#This Row],[Codigo]],Plan_cuentas[],3,FALSE)," ")</f>
        <v xml:space="preserve"> </v>
      </c>
      <c r="G4165" t="str">
        <f>IFERROR(+VLOOKUP(Movimientos_2026[[#This Row],[Codigo]],Plan_cuentas[],4,FALSE)," ")</f>
        <v xml:space="preserve"> </v>
      </c>
      <c r="H4165" t="str">
        <f>IFERROR(+VLOOKUP(Movimientos_2026[[#This Row],[Codigo]],Plan_cuentas[],5,FALSE)," ")</f>
        <v xml:space="preserve"> </v>
      </c>
      <c r="I4165" s="43"/>
      <c r="K4165" t="str">
        <f>IFERROR(+VLOOKUP(Movimientos_2026[[#This Row],[Codigo]],Plan_cuentas[],6,FALSE)," ")</f>
        <v xml:space="preserve"> </v>
      </c>
      <c r="L4165" s="50"/>
      <c r="M4165" s="50"/>
      <c r="N4165" s="20">
        <f>+Movimientos_2026[[#This Row],[Ingresos]]-Movimientos_2026[[#This Row],[Egresos]]</f>
        <v>0</v>
      </c>
      <c r="O4165" s="20">
        <f>+O4164+Movimientos_2026[[#This Row],[Neto]]</f>
        <v>4581558617.7962294</v>
      </c>
    </row>
    <row r="4166" spans="1:15" x14ac:dyDescent="0.25">
      <c r="A4166" s="13"/>
      <c r="B4166" s="12">
        <f>MONTH(Movimientos_2026[[#This Row],[Fecha]])</f>
        <v>1</v>
      </c>
      <c r="C4166" s="12" t="str">
        <f>VLOOKUP((WEEKDAY(Movimientos_2026[[#This Row],[Fecha]],2)),'5. Setup'!$D$6:$E$12,2,FALSE)</f>
        <v>Sab</v>
      </c>
      <c r="E4166" t="str">
        <f>IFERROR(+VLOOKUP(Movimientos_2026[[#This Row],[Codigo]],Plan_cuentas[],2,FALSE)," ")</f>
        <v xml:space="preserve"> </v>
      </c>
      <c r="F4166" t="str">
        <f>IFERROR(+VLOOKUP(Movimientos_2026[[#This Row],[Codigo]],Plan_cuentas[],3,FALSE)," ")</f>
        <v xml:space="preserve"> </v>
      </c>
      <c r="G4166" t="str">
        <f>IFERROR(+VLOOKUP(Movimientos_2026[[#This Row],[Codigo]],Plan_cuentas[],4,FALSE)," ")</f>
        <v xml:space="preserve"> </v>
      </c>
      <c r="H4166" t="str">
        <f>IFERROR(+VLOOKUP(Movimientos_2026[[#This Row],[Codigo]],Plan_cuentas[],5,FALSE)," ")</f>
        <v xml:space="preserve"> </v>
      </c>
      <c r="I4166" s="43"/>
      <c r="K4166" t="str">
        <f>IFERROR(+VLOOKUP(Movimientos_2026[[#This Row],[Codigo]],Plan_cuentas[],6,FALSE)," ")</f>
        <v xml:space="preserve"> </v>
      </c>
      <c r="L4166" s="50"/>
      <c r="M4166" s="50"/>
      <c r="N4166" s="20">
        <f>+Movimientos_2026[[#This Row],[Ingresos]]-Movimientos_2026[[#This Row],[Egresos]]</f>
        <v>0</v>
      </c>
      <c r="O4166" s="20">
        <f>+O4165+Movimientos_2026[[#This Row],[Neto]]</f>
        <v>4581558617.7962294</v>
      </c>
    </row>
    <row r="4167" spans="1:15" x14ac:dyDescent="0.25">
      <c r="A4167" s="13"/>
      <c r="B4167" s="12">
        <f>MONTH(Movimientos_2026[[#This Row],[Fecha]])</f>
        <v>1</v>
      </c>
      <c r="C4167" s="12" t="str">
        <f>VLOOKUP((WEEKDAY(Movimientos_2026[[#This Row],[Fecha]],2)),'5. Setup'!$D$6:$E$12,2,FALSE)</f>
        <v>Sab</v>
      </c>
      <c r="E4167" t="str">
        <f>IFERROR(+VLOOKUP(Movimientos_2026[[#This Row],[Codigo]],Plan_cuentas[],2,FALSE)," ")</f>
        <v xml:space="preserve"> </v>
      </c>
      <c r="F4167" t="str">
        <f>IFERROR(+VLOOKUP(Movimientos_2026[[#This Row],[Codigo]],Plan_cuentas[],3,FALSE)," ")</f>
        <v xml:space="preserve"> </v>
      </c>
      <c r="G4167" t="str">
        <f>IFERROR(+VLOOKUP(Movimientos_2026[[#This Row],[Codigo]],Plan_cuentas[],4,FALSE)," ")</f>
        <v xml:space="preserve"> </v>
      </c>
      <c r="H4167" t="str">
        <f>IFERROR(+VLOOKUP(Movimientos_2026[[#This Row],[Codigo]],Plan_cuentas[],5,FALSE)," ")</f>
        <v xml:space="preserve"> </v>
      </c>
      <c r="I4167" s="43"/>
      <c r="K4167" t="str">
        <f>IFERROR(+VLOOKUP(Movimientos_2026[[#This Row],[Codigo]],Plan_cuentas[],6,FALSE)," ")</f>
        <v xml:space="preserve"> </v>
      </c>
      <c r="L4167" s="50"/>
      <c r="M4167" s="50"/>
      <c r="N4167" s="20">
        <f>+Movimientos_2026[[#This Row],[Ingresos]]-Movimientos_2026[[#This Row],[Egresos]]</f>
        <v>0</v>
      </c>
      <c r="O4167" s="20">
        <f>+O4166+Movimientos_2026[[#This Row],[Neto]]</f>
        <v>4581558617.7962294</v>
      </c>
    </row>
    <row r="4168" spans="1:15" x14ac:dyDescent="0.25">
      <c r="A4168" s="13"/>
      <c r="B4168" s="12">
        <f>MONTH(Movimientos_2026[[#This Row],[Fecha]])</f>
        <v>1</v>
      </c>
      <c r="C4168" s="12" t="str">
        <f>VLOOKUP((WEEKDAY(Movimientos_2026[[#This Row],[Fecha]],2)),'5. Setup'!$D$6:$E$12,2,FALSE)</f>
        <v>Sab</v>
      </c>
      <c r="E4168" t="str">
        <f>IFERROR(+VLOOKUP(Movimientos_2026[[#This Row],[Codigo]],Plan_cuentas[],2,FALSE)," ")</f>
        <v xml:space="preserve"> </v>
      </c>
      <c r="F4168" t="str">
        <f>IFERROR(+VLOOKUP(Movimientos_2026[[#This Row],[Codigo]],Plan_cuentas[],3,FALSE)," ")</f>
        <v xml:space="preserve"> </v>
      </c>
      <c r="G4168" t="str">
        <f>IFERROR(+VLOOKUP(Movimientos_2026[[#This Row],[Codigo]],Plan_cuentas[],4,FALSE)," ")</f>
        <v xml:space="preserve"> </v>
      </c>
      <c r="H4168" t="str">
        <f>IFERROR(+VLOOKUP(Movimientos_2026[[#This Row],[Codigo]],Plan_cuentas[],5,FALSE)," ")</f>
        <v xml:space="preserve"> </v>
      </c>
      <c r="I4168" s="43"/>
      <c r="K4168" t="str">
        <f>IFERROR(+VLOOKUP(Movimientos_2026[[#This Row],[Codigo]],Plan_cuentas[],6,FALSE)," ")</f>
        <v xml:space="preserve"> </v>
      </c>
      <c r="L4168" s="50"/>
      <c r="M4168" s="50"/>
      <c r="N4168" s="20">
        <f>+Movimientos_2026[[#This Row],[Ingresos]]-Movimientos_2026[[#This Row],[Egresos]]</f>
        <v>0</v>
      </c>
      <c r="O4168" s="20">
        <f>+O4167+Movimientos_2026[[#This Row],[Neto]]</f>
        <v>4581558617.7962294</v>
      </c>
    </row>
    <row r="4169" spans="1:15" x14ac:dyDescent="0.25">
      <c r="A4169" s="13"/>
      <c r="B4169" s="12">
        <f>MONTH(Movimientos_2026[[#This Row],[Fecha]])</f>
        <v>1</v>
      </c>
      <c r="C4169" s="12" t="str">
        <f>VLOOKUP((WEEKDAY(Movimientos_2026[[#This Row],[Fecha]],2)),'5. Setup'!$D$6:$E$12,2,FALSE)</f>
        <v>Sab</v>
      </c>
      <c r="E4169" t="str">
        <f>IFERROR(+VLOOKUP(Movimientos_2026[[#This Row],[Codigo]],Plan_cuentas[],2,FALSE)," ")</f>
        <v xml:space="preserve"> </v>
      </c>
      <c r="F4169" t="str">
        <f>IFERROR(+VLOOKUP(Movimientos_2026[[#This Row],[Codigo]],Plan_cuentas[],3,FALSE)," ")</f>
        <v xml:space="preserve"> </v>
      </c>
      <c r="G4169" t="str">
        <f>IFERROR(+VLOOKUP(Movimientos_2026[[#This Row],[Codigo]],Plan_cuentas[],4,FALSE)," ")</f>
        <v xml:space="preserve"> </v>
      </c>
      <c r="H4169" t="str">
        <f>IFERROR(+VLOOKUP(Movimientos_2026[[#This Row],[Codigo]],Plan_cuentas[],5,FALSE)," ")</f>
        <v xml:space="preserve"> </v>
      </c>
      <c r="I4169" s="43"/>
      <c r="K4169" t="str">
        <f>IFERROR(+VLOOKUP(Movimientos_2026[[#This Row],[Codigo]],Plan_cuentas[],6,FALSE)," ")</f>
        <v xml:space="preserve"> </v>
      </c>
      <c r="L4169" s="50"/>
      <c r="M4169" s="50"/>
      <c r="N4169" s="20">
        <f>+Movimientos_2026[[#This Row],[Ingresos]]-Movimientos_2026[[#This Row],[Egresos]]</f>
        <v>0</v>
      </c>
      <c r="O4169" s="20">
        <f>+O4168+Movimientos_2026[[#This Row],[Neto]]</f>
        <v>4581558617.7962294</v>
      </c>
    </row>
    <row r="4170" spans="1:15" x14ac:dyDescent="0.25">
      <c r="A4170" s="13"/>
      <c r="B4170" s="12">
        <f>MONTH(Movimientos_2026[[#This Row],[Fecha]])</f>
        <v>1</v>
      </c>
      <c r="C4170" s="12" t="str">
        <f>VLOOKUP((WEEKDAY(Movimientos_2026[[#This Row],[Fecha]],2)),'5. Setup'!$D$6:$E$12,2,FALSE)</f>
        <v>Sab</v>
      </c>
      <c r="E4170" t="str">
        <f>IFERROR(+VLOOKUP(Movimientos_2026[[#This Row],[Codigo]],Plan_cuentas[],2,FALSE)," ")</f>
        <v xml:space="preserve"> </v>
      </c>
      <c r="F4170" t="str">
        <f>IFERROR(+VLOOKUP(Movimientos_2026[[#This Row],[Codigo]],Plan_cuentas[],3,FALSE)," ")</f>
        <v xml:space="preserve"> </v>
      </c>
      <c r="G4170" t="str">
        <f>IFERROR(+VLOOKUP(Movimientos_2026[[#This Row],[Codigo]],Plan_cuentas[],4,FALSE)," ")</f>
        <v xml:space="preserve"> </v>
      </c>
      <c r="H4170" t="str">
        <f>IFERROR(+VLOOKUP(Movimientos_2026[[#This Row],[Codigo]],Plan_cuentas[],5,FALSE)," ")</f>
        <v xml:space="preserve"> </v>
      </c>
      <c r="I4170" s="43"/>
      <c r="K4170" t="str">
        <f>IFERROR(+VLOOKUP(Movimientos_2026[[#This Row],[Codigo]],Plan_cuentas[],6,FALSE)," ")</f>
        <v xml:space="preserve"> </v>
      </c>
      <c r="L4170" s="50"/>
      <c r="M4170" s="50"/>
      <c r="N4170" s="20">
        <f>+Movimientos_2026[[#This Row],[Ingresos]]-Movimientos_2026[[#This Row],[Egresos]]</f>
        <v>0</v>
      </c>
      <c r="O4170" s="20">
        <f>+O4169+Movimientos_2026[[#This Row],[Neto]]</f>
        <v>4581558617.7962294</v>
      </c>
    </row>
    <row r="4171" spans="1:15" x14ac:dyDescent="0.25">
      <c r="A4171" s="13"/>
      <c r="B4171" s="12">
        <f>MONTH(Movimientos_2026[[#This Row],[Fecha]])</f>
        <v>1</v>
      </c>
      <c r="C4171" s="12" t="str">
        <f>VLOOKUP((WEEKDAY(Movimientos_2026[[#This Row],[Fecha]],2)),'5. Setup'!$D$6:$E$12,2,FALSE)</f>
        <v>Sab</v>
      </c>
      <c r="E4171" t="str">
        <f>IFERROR(+VLOOKUP(Movimientos_2026[[#This Row],[Codigo]],Plan_cuentas[],2,FALSE)," ")</f>
        <v xml:space="preserve"> </v>
      </c>
      <c r="F4171" t="str">
        <f>IFERROR(+VLOOKUP(Movimientos_2026[[#This Row],[Codigo]],Plan_cuentas[],3,FALSE)," ")</f>
        <v xml:space="preserve"> </v>
      </c>
      <c r="G4171" t="str">
        <f>IFERROR(+VLOOKUP(Movimientos_2026[[#This Row],[Codigo]],Plan_cuentas[],4,FALSE)," ")</f>
        <v xml:space="preserve"> </v>
      </c>
      <c r="H4171" t="str">
        <f>IFERROR(+VLOOKUP(Movimientos_2026[[#This Row],[Codigo]],Plan_cuentas[],5,FALSE)," ")</f>
        <v xml:space="preserve"> </v>
      </c>
      <c r="I4171" s="43"/>
      <c r="K4171" t="str">
        <f>IFERROR(+VLOOKUP(Movimientos_2026[[#This Row],[Codigo]],Plan_cuentas[],6,FALSE)," ")</f>
        <v xml:space="preserve"> </v>
      </c>
      <c r="L4171" s="50"/>
      <c r="M4171" s="50"/>
      <c r="N4171" s="20">
        <f>+Movimientos_2026[[#This Row],[Ingresos]]-Movimientos_2026[[#This Row],[Egresos]]</f>
        <v>0</v>
      </c>
      <c r="O4171" s="20">
        <f>+O4170+Movimientos_2026[[#This Row],[Neto]]</f>
        <v>4581558617.7962294</v>
      </c>
    </row>
    <row r="4172" spans="1:15" x14ac:dyDescent="0.25">
      <c r="A4172" s="13"/>
      <c r="B4172" s="12">
        <f>MONTH(Movimientos_2026[[#This Row],[Fecha]])</f>
        <v>1</v>
      </c>
      <c r="C4172" s="12" t="str">
        <f>VLOOKUP((WEEKDAY(Movimientos_2026[[#This Row],[Fecha]],2)),'5. Setup'!$D$6:$E$12,2,FALSE)</f>
        <v>Sab</v>
      </c>
      <c r="E4172" t="str">
        <f>IFERROR(+VLOOKUP(Movimientos_2026[[#This Row],[Codigo]],Plan_cuentas[],2,FALSE)," ")</f>
        <v xml:space="preserve"> </v>
      </c>
      <c r="F4172" t="str">
        <f>IFERROR(+VLOOKUP(Movimientos_2026[[#This Row],[Codigo]],Plan_cuentas[],3,FALSE)," ")</f>
        <v xml:space="preserve"> </v>
      </c>
      <c r="G4172" t="str">
        <f>IFERROR(+VLOOKUP(Movimientos_2026[[#This Row],[Codigo]],Plan_cuentas[],4,FALSE)," ")</f>
        <v xml:space="preserve"> </v>
      </c>
      <c r="H4172" t="str">
        <f>IFERROR(+VLOOKUP(Movimientos_2026[[#This Row],[Codigo]],Plan_cuentas[],5,FALSE)," ")</f>
        <v xml:space="preserve"> </v>
      </c>
      <c r="I4172" s="43"/>
      <c r="K4172" t="str">
        <f>IFERROR(+VLOOKUP(Movimientos_2026[[#This Row],[Codigo]],Plan_cuentas[],6,FALSE)," ")</f>
        <v xml:space="preserve"> </v>
      </c>
      <c r="L4172" s="50"/>
      <c r="M4172" s="50"/>
      <c r="N4172" s="20">
        <f>+Movimientos_2026[[#This Row],[Ingresos]]-Movimientos_2026[[#This Row],[Egresos]]</f>
        <v>0</v>
      </c>
      <c r="O4172" s="20">
        <f>+O4171+Movimientos_2026[[#This Row],[Neto]]</f>
        <v>4581558617.7962294</v>
      </c>
    </row>
    <row r="4173" spans="1:15" x14ac:dyDescent="0.25">
      <c r="A4173" s="13"/>
      <c r="B4173" s="12">
        <f>MONTH(Movimientos_2026[[#This Row],[Fecha]])</f>
        <v>1</v>
      </c>
      <c r="C4173" s="12" t="str">
        <f>VLOOKUP((WEEKDAY(Movimientos_2026[[#This Row],[Fecha]],2)),'5. Setup'!$D$6:$E$12,2,FALSE)</f>
        <v>Sab</v>
      </c>
      <c r="E4173" t="str">
        <f>IFERROR(+VLOOKUP(Movimientos_2026[[#This Row],[Codigo]],Plan_cuentas[],2,FALSE)," ")</f>
        <v xml:space="preserve"> </v>
      </c>
      <c r="F4173" t="str">
        <f>IFERROR(+VLOOKUP(Movimientos_2026[[#This Row],[Codigo]],Plan_cuentas[],3,FALSE)," ")</f>
        <v xml:space="preserve"> </v>
      </c>
      <c r="G4173" t="str">
        <f>IFERROR(+VLOOKUP(Movimientos_2026[[#This Row],[Codigo]],Plan_cuentas[],4,FALSE)," ")</f>
        <v xml:space="preserve"> </v>
      </c>
      <c r="H4173" t="str">
        <f>IFERROR(+VLOOKUP(Movimientos_2026[[#This Row],[Codigo]],Plan_cuentas[],5,FALSE)," ")</f>
        <v xml:space="preserve"> </v>
      </c>
      <c r="I4173" s="43"/>
      <c r="K4173" t="str">
        <f>IFERROR(+VLOOKUP(Movimientos_2026[[#This Row],[Codigo]],Plan_cuentas[],6,FALSE)," ")</f>
        <v xml:space="preserve"> </v>
      </c>
      <c r="L4173" s="50"/>
      <c r="M4173" s="50"/>
      <c r="N4173" s="20">
        <f>+Movimientos_2026[[#This Row],[Ingresos]]-Movimientos_2026[[#This Row],[Egresos]]</f>
        <v>0</v>
      </c>
      <c r="O4173" s="20">
        <f>+O4172+Movimientos_2026[[#This Row],[Neto]]</f>
        <v>4581558617.7962294</v>
      </c>
    </row>
    <row r="4174" spans="1:15" x14ac:dyDescent="0.25">
      <c r="A4174" s="13"/>
      <c r="B4174" s="12">
        <f>MONTH(Movimientos_2026[[#This Row],[Fecha]])</f>
        <v>1</v>
      </c>
      <c r="C4174" s="12" t="str">
        <f>VLOOKUP((WEEKDAY(Movimientos_2026[[#This Row],[Fecha]],2)),'5. Setup'!$D$6:$E$12,2,FALSE)</f>
        <v>Sab</v>
      </c>
      <c r="E4174" t="str">
        <f>IFERROR(+VLOOKUP(Movimientos_2026[[#This Row],[Codigo]],Plan_cuentas[],2,FALSE)," ")</f>
        <v xml:space="preserve"> </v>
      </c>
      <c r="F4174" t="str">
        <f>IFERROR(+VLOOKUP(Movimientos_2026[[#This Row],[Codigo]],Plan_cuentas[],3,FALSE)," ")</f>
        <v xml:space="preserve"> </v>
      </c>
      <c r="G4174" t="str">
        <f>IFERROR(+VLOOKUP(Movimientos_2026[[#This Row],[Codigo]],Plan_cuentas[],4,FALSE)," ")</f>
        <v xml:space="preserve"> </v>
      </c>
      <c r="H4174" t="str">
        <f>IFERROR(+VLOOKUP(Movimientos_2026[[#This Row],[Codigo]],Plan_cuentas[],5,FALSE)," ")</f>
        <v xml:space="preserve"> </v>
      </c>
      <c r="I4174" s="43"/>
      <c r="K4174" t="str">
        <f>IFERROR(+VLOOKUP(Movimientos_2026[[#This Row],[Codigo]],Plan_cuentas[],6,FALSE)," ")</f>
        <v xml:space="preserve"> </v>
      </c>
      <c r="L4174" s="50"/>
      <c r="M4174" s="50"/>
      <c r="N4174" s="20">
        <f>+Movimientos_2026[[#This Row],[Ingresos]]-Movimientos_2026[[#This Row],[Egresos]]</f>
        <v>0</v>
      </c>
      <c r="O4174" s="20">
        <f>+O4173+Movimientos_2026[[#This Row],[Neto]]</f>
        <v>4581558617.7962294</v>
      </c>
    </row>
    <row r="4175" spans="1:15" x14ac:dyDescent="0.25">
      <c r="A4175" s="13"/>
      <c r="B4175" s="12">
        <f>MONTH(Movimientos_2026[[#This Row],[Fecha]])</f>
        <v>1</v>
      </c>
      <c r="C4175" s="12" t="str">
        <f>VLOOKUP((WEEKDAY(Movimientos_2026[[#This Row],[Fecha]],2)),'5. Setup'!$D$6:$E$12,2,FALSE)</f>
        <v>Sab</v>
      </c>
      <c r="E4175" t="str">
        <f>IFERROR(+VLOOKUP(Movimientos_2026[[#This Row],[Codigo]],Plan_cuentas[],2,FALSE)," ")</f>
        <v xml:space="preserve"> </v>
      </c>
      <c r="F4175" t="str">
        <f>IFERROR(+VLOOKUP(Movimientos_2026[[#This Row],[Codigo]],Plan_cuentas[],3,FALSE)," ")</f>
        <v xml:space="preserve"> </v>
      </c>
      <c r="G4175" t="str">
        <f>IFERROR(+VLOOKUP(Movimientos_2026[[#This Row],[Codigo]],Plan_cuentas[],4,FALSE)," ")</f>
        <v xml:space="preserve"> </v>
      </c>
      <c r="H4175" t="str">
        <f>IFERROR(+VLOOKUP(Movimientos_2026[[#This Row],[Codigo]],Plan_cuentas[],5,FALSE)," ")</f>
        <v xml:space="preserve"> </v>
      </c>
      <c r="I4175" s="43"/>
      <c r="K4175" t="str">
        <f>IFERROR(+VLOOKUP(Movimientos_2026[[#This Row],[Codigo]],Plan_cuentas[],6,FALSE)," ")</f>
        <v xml:space="preserve"> </v>
      </c>
      <c r="L4175" s="50"/>
      <c r="M4175" s="50"/>
      <c r="N4175" s="20">
        <f>+Movimientos_2026[[#This Row],[Ingresos]]-Movimientos_2026[[#This Row],[Egresos]]</f>
        <v>0</v>
      </c>
      <c r="O4175" s="20">
        <f>+O4174+Movimientos_2026[[#This Row],[Neto]]</f>
        <v>4581558617.7962294</v>
      </c>
    </row>
    <row r="4176" spans="1:15" x14ac:dyDescent="0.25">
      <c r="A4176" s="13"/>
      <c r="B4176" s="12">
        <f>MONTH(Movimientos_2026[[#This Row],[Fecha]])</f>
        <v>1</v>
      </c>
      <c r="C4176" s="12" t="str">
        <f>VLOOKUP((WEEKDAY(Movimientos_2026[[#This Row],[Fecha]],2)),'5. Setup'!$D$6:$E$12,2,FALSE)</f>
        <v>Sab</v>
      </c>
      <c r="E4176" t="str">
        <f>IFERROR(+VLOOKUP(Movimientos_2026[[#This Row],[Codigo]],Plan_cuentas[],2,FALSE)," ")</f>
        <v xml:space="preserve"> </v>
      </c>
      <c r="F4176" t="str">
        <f>IFERROR(+VLOOKUP(Movimientos_2026[[#This Row],[Codigo]],Plan_cuentas[],3,FALSE)," ")</f>
        <v xml:space="preserve"> </v>
      </c>
      <c r="G4176" t="str">
        <f>IFERROR(+VLOOKUP(Movimientos_2026[[#This Row],[Codigo]],Plan_cuentas[],4,FALSE)," ")</f>
        <v xml:space="preserve"> </v>
      </c>
      <c r="H4176" t="str">
        <f>IFERROR(+VLOOKUP(Movimientos_2026[[#This Row],[Codigo]],Plan_cuentas[],5,FALSE)," ")</f>
        <v xml:space="preserve"> </v>
      </c>
      <c r="I4176" s="43"/>
      <c r="K4176" t="str">
        <f>IFERROR(+VLOOKUP(Movimientos_2026[[#This Row],[Codigo]],Plan_cuentas[],6,FALSE)," ")</f>
        <v xml:space="preserve"> </v>
      </c>
      <c r="L4176" s="50"/>
      <c r="M4176" s="50"/>
      <c r="N4176" s="20">
        <f>+Movimientos_2026[[#This Row],[Ingresos]]-Movimientos_2026[[#This Row],[Egresos]]</f>
        <v>0</v>
      </c>
      <c r="O4176" s="20">
        <f>+O4175+Movimientos_2026[[#This Row],[Neto]]</f>
        <v>4581558617.7962294</v>
      </c>
    </row>
    <row r="4177" spans="1:15" x14ac:dyDescent="0.25">
      <c r="A4177" s="13"/>
      <c r="B4177" s="12">
        <f>MONTH(Movimientos_2026[[#This Row],[Fecha]])</f>
        <v>1</v>
      </c>
      <c r="C4177" s="12" t="str">
        <f>VLOOKUP((WEEKDAY(Movimientos_2026[[#This Row],[Fecha]],2)),'5. Setup'!$D$6:$E$12,2,FALSE)</f>
        <v>Sab</v>
      </c>
      <c r="E4177" t="str">
        <f>IFERROR(+VLOOKUP(Movimientos_2026[[#This Row],[Codigo]],Plan_cuentas[],2,FALSE)," ")</f>
        <v xml:space="preserve"> </v>
      </c>
      <c r="F4177" t="str">
        <f>IFERROR(+VLOOKUP(Movimientos_2026[[#This Row],[Codigo]],Plan_cuentas[],3,FALSE)," ")</f>
        <v xml:space="preserve"> </v>
      </c>
      <c r="G4177" t="str">
        <f>IFERROR(+VLOOKUP(Movimientos_2026[[#This Row],[Codigo]],Plan_cuentas[],4,FALSE)," ")</f>
        <v xml:space="preserve"> </v>
      </c>
      <c r="H4177" t="str">
        <f>IFERROR(+VLOOKUP(Movimientos_2026[[#This Row],[Codigo]],Plan_cuentas[],5,FALSE)," ")</f>
        <v xml:space="preserve"> </v>
      </c>
      <c r="I4177" s="43"/>
      <c r="K4177" t="str">
        <f>IFERROR(+VLOOKUP(Movimientos_2026[[#This Row],[Codigo]],Plan_cuentas[],6,FALSE)," ")</f>
        <v xml:space="preserve"> </v>
      </c>
      <c r="L4177" s="50"/>
      <c r="M4177" s="50"/>
      <c r="N4177" s="20">
        <f>+Movimientos_2026[[#This Row],[Ingresos]]-Movimientos_2026[[#This Row],[Egresos]]</f>
        <v>0</v>
      </c>
      <c r="O4177" s="20">
        <f>+O4176+Movimientos_2026[[#This Row],[Neto]]</f>
        <v>4581558617.7962294</v>
      </c>
    </row>
    <row r="4178" spans="1:15" x14ac:dyDescent="0.25">
      <c r="A4178" s="13"/>
      <c r="B4178" s="12">
        <f>MONTH(Movimientos_2026[[#This Row],[Fecha]])</f>
        <v>1</v>
      </c>
      <c r="C4178" s="12" t="str">
        <f>VLOOKUP((WEEKDAY(Movimientos_2026[[#This Row],[Fecha]],2)),'5. Setup'!$D$6:$E$12,2,FALSE)</f>
        <v>Sab</v>
      </c>
      <c r="E4178" t="str">
        <f>IFERROR(+VLOOKUP(Movimientos_2026[[#This Row],[Codigo]],Plan_cuentas[],2,FALSE)," ")</f>
        <v xml:space="preserve"> </v>
      </c>
      <c r="F4178" t="str">
        <f>IFERROR(+VLOOKUP(Movimientos_2026[[#This Row],[Codigo]],Plan_cuentas[],3,FALSE)," ")</f>
        <v xml:space="preserve"> </v>
      </c>
      <c r="G4178" t="str">
        <f>IFERROR(+VLOOKUP(Movimientos_2026[[#This Row],[Codigo]],Plan_cuentas[],4,FALSE)," ")</f>
        <v xml:space="preserve"> </v>
      </c>
      <c r="H4178" t="str">
        <f>IFERROR(+VLOOKUP(Movimientos_2026[[#This Row],[Codigo]],Plan_cuentas[],5,FALSE)," ")</f>
        <v xml:space="preserve"> </v>
      </c>
      <c r="I4178" s="43"/>
      <c r="K4178" t="str">
        <f>IFERROR(+VLOOKUP(Movimientos_2026[[#This Row],[Codigo]],Plan_cuentas[],6,FALSE)," ")</f>
        <v xml:space="preserve"> </v>
      </c>
      <c r="L4178" s="50"/>
      <c r="M4178" s="50"/>
      <c r="N4178" s="20">
        <f>+Movimientos_2026[[#This Row],[Ingresos]]-Movimientos_2026[[#This Row],[Egresos]]</f>
        <v>0</v>
      </c>
      <c r="O4178" s="20">
        <f>+O4177+Movimientos_2026[[#This Row],[Neto]]</f>
        <v>4581558617.7962294</v>
      </c>
    </row>
    <row r="4179" spans="1:15" x14ac:dyDescent="0.25">
      <c r="A4179" s="13"/>
      <c r="B4179" s="12">
        <f>MONTH(Movimientos_2026[[#This Row],[Fecha]])</f>
        <v>1</v>
      </c>
      <c r="C4179" s="12" t="str">
        <f>VLOOKUP((WEEKDAY(Movimientos_2026[[#This Row],[Fecha]],2)),'5. Setup'!$D$6:$E$12,2,FALSE)</f>
        <v>Sab</v>
      </c>
      <c r="E4179" t="str">
        <f>IFERROR(+VLOOKUP(Movimientos_2026[[#This Row],[Codigo]],Plan_cuentas[],2,FALSE)," ")</f>
        <v xml:space="preserve"> </v>
      </c>
      <c r="F4179" t="str">
        <f>IFERROR(+VLOOKUP(Movimientos_2026[[#This Row],[Codigo]],Plan_cuentas[],3,FALSE)," ")</f>
        <v xml:space="preserve"> </v>
      </c>
      <c r="G4179" t="str">
        <f>IFERROR(+VLOOKUP(Movimientos_2026[[#This Row],[Codigo]],Plan_cuentas[],4,FALSE)," ")</f>
        <v xml:space="preserve"> </v>
      </c>
      <c r="H4179" t="str">
        <f>IFERROR(+VLOOKUP(Movimientos_2026[[#This Row],[Codigo]],Plan_cuentas[],5,FALSE)," ")</f>
        <v xml:space="preserve"> </v>
      </c>
      <c r="I4179" s="43"/>
      <c r="K4179" t="str">
        <f>IFERROR(+VLOOKUP(Movimientos_2026[[#This Row],[Codigo]],Plan_cuentas[],6,FALSE)," ")</f>
        <v xml:space="preserve"> </v>
      </c>
      <c r="L4179" s="50"/>
      <c r="M4179" s="50"/>
      <c r="N4179" s="20">
        <f>+Movimientos_2026[[#This Row],[Ingresos]]-Movimientos_2026[[#This Row],[Egresos]]</f>
        <v>0</v>
      </c>
      <c r="O4179" s="20">
        <f>+O4178+Movimientos_2026[[#This Row],[Neto]]</f>
        <v>4581558617.7962294</v>
      </c>
    </row>
    <row r="4180" spans="1:15" x14ac:dyDescent="0.25">
      <c r="A4180" s="13"/>
      <c r="B4180" s="12">
        <f>MONTH(Movimientos_2026[[#This Row],[Fecha]])</f>
        <v>1</v>
      </c>
      <c r="C4180" s="12" t="str">
        <f>VLOOKUP((WEEKDAY(Movimientos_2026[[#This Row],[Fecha]],2)),'5. Setup'!$D$6:$E$12,2,FALSE)</f>
        <v>Sab</v>
      </c>
      <c r="E4180" t="str">
        <f>IFERROR(+VLOOKUP(Movimientos_2026[[#This Row],[Codigo]],Plan_cuentas[],2,FALSE)," ")</f>
        <v xml:space="preserve"> </v>
      </c>
      <c r="F4180" t="str">
        <f>IFERROR(+VLOOKUP(Movimientos_2026[[#This Row],[Codigo]],Plan_cuentas[],3,FALSE)," ")</f>
        <v xml:space="preserve"> </v>
      </c>
      <c r="G4180" t="str">
        <f>IFERROR(+VLOOKUP(Movimientos_2026[[#This Row],[Codigo]],Plan_cuentas[],4,FALSE)," ")</f>
        <v xml:space="preserve"> </v>
      </c>
      <c r="H4180" t="str">
        <f>IFERROR(+VLOOKUP(Movimientos_2026[[#This Row],[Codigo]],Plan_cuentas[],5,FALSE)," ")</f>
        <v xml:space="preserve"> </v>
      </c>
      <c r="I4180" s="43"/>
      <c r="K4180" t="str">
        <f>IFERROR(+VLOOKUP(Movimientos_2026[[#This Row],[Codigo]],Plan_cuentas[],6,FALSE)," ")</f>
        <v xml:space="preserve"> </v>
      </c>
      <c r="L4180" s="50"/>
      <c r="M4180" s="50"/>
      <c r="N4180" s="20">
        <f>+Movimientos_2026[[#This Row],[Ingresos]]-Movimientos_2026[[#This Row],[Egresos]]</f>
        <v>0</v>
      </c>
      <c r="O4180" s="20">
        <f>+O4179+Movimientos_2026[[#This Row],[Neto]]</f>
        <v>4581558617.7962294</v>
      </c>
    </row>
    <row r="4181" spans="1:15" x14ac:dyDescent="0.25">
      <c r="A4181" s="13"/>
      <c r="B4181" s="12">
        <f>MONTH(Movimientos_2026[[#This Row],[Fecha]])</f>
        <v>1</v>
      </c>
      <c r="C4181" s="12" t="str">
        <f>VLOOKUP((WEEKDAY(Movimientos_2026[[#This Row],[Fecha]],2)),'5. Setup'!$D$6:$E$12,2,FALSE)</f>
        <v>Sab</v>
      </c>
      <c r="E4181" t="str">
        <f>IFERROR(+VLOOKUP(Movimientos_2026[[#This Row],[Codigo]],Plan_cuentas[],2,FALSE)," ")</f>
        <v xml:space="preserve"> </v>
      </c>
      <c r="F4181" t="str">
        <f>IFERROR(+VLOOKUP(Movimientos_2026[[#This Row],[Codigo]],Plan_cuentas[],3,FALSE)," ")</f>
        <v xml:space="preserve"> </v>
      </c>
      <c r="G4181" t="str">
        <f>IFERROR(+VLOOKUP(Movimientos_2026[[#This Row],[Codigo]],Plan_cuentas[],4,FALSE)," ")</f>
        <v xml:space="preserve"> </v>
      </c>
      <c r="H4181" t="str">
        <f>IFERROR(+VLOOKUP(Movimientos_2026[[#This Row],[Codigo]],Plan_cuentas[],5,FALSE)," ")</f>
        <v xml:space="preserve"> </v>
      </c>
      <c r="I4181" s="43"/>
      <c r="K4181" t="str">
        <f>IFERROR(+VLOOKUP(Movimientos_2026[[#This Row],[Codigo]],Plan_cuentas[],6,FALSE)," ")</f>
        <v xml:space="preserve"> </v>
      </c>
      <c r="L4181" s="50"/>
      <c r="M4181" s="50"/>
      <c r="N4181" s="20">
        <f>+Movimientos_2026[[#This Row],[Ingresos]]-Movimientos_2026[[#This Row],[Egresos]]</f>
        <v>0</v>
      </c>
      <c r="O4181" s="20">
        <f>+O4180+Movimientos_2026[[#This Row],[Neto]]</f>
        <v>4581558617.7962294</v>
      </c>
    </row>
    <row r="4182" spans="1:15" x14ac:dyDescent="0.25">
      <c r="A4182" s="13"/>
      <c r="B4182" s="12">
        <f>MONTH(Movimientos_2026[[#This Row],[Fecha]])</f>
        <v>1</v>
      </c>
      <c r="C4182" s="12" t="str">
        <f>VLOOKUP((WEEKDAY(Movimientos_2026[[#This Row],[Fecha]],2)),'5. Setup'!$D$6:$E$12,2,FALSE)</f>
        <v>Sab</v>
      </c>
      <c r="E4182" t="str">
        <f>IFERROR(+VLOOKUP(Movimientos_2026[[#This Row],[Codigo]],Plan_cuentas[],2,FALSE)," ")</f>
        <v xml:space="preserve"> </v>
      </c>
      <c r="F4182" t="str">
        <f>IFERROR(+VLOOKUP(Movimientos_2026[[#This Row],[Codigo]],Plan_cuentas[],3,FALSE)," ")</f>
        <v xml:space="preserve"> </v>
      </c>
      <c r="G4182" t="str">
        <f>IFERROR(+VLOOKUP(Movimientos_2026[[#This Row],[Codigo]],Plan_cuentas[],4,FALSE)," ")</f>
        <v xml:space="preserve"> </v>
      </c>
      <c r="H4182" t="str">
        <f>IFERROR(+VLOOKUP(Movimientos_2026[[#This Row],[Codigo]],Plan_cuentas[],5,FALSE)," ")</f>
        <v xml:space="preserve"> </v>
      </c>
      <c r="I4182" s="43"/>
      <c r="K4182" t="str">
        <f>IFERROR(+VLOOKUP(Movimientos_2026[[#This Row],[Codigo]],Plan_cuentas[],6,FALSE)," ")</f>
        <v xml:space="preserve"> </v>
      </c>
      <c r="L4182" s="50"/>
      <c r="M4182" s="50"/>
      <c r="N4182" s="20">
        <f>+Movimientos_2026[[#This Row],[Ingresos]]-Movimientos_2026[[#This Row],[Egresos]]</f>
        <v>0</v>
      </c>
      <c r="O4182" s="20">
        <f>+O4181+Movimientos_2026[[#This Row],[Neto]]</f>
        <v>4581558617.7962294</v>
      </c>
    </row>
    <row r="4183" spans="1:15" x14ac:dyDescent="0.25">
      <c r="A4183" s="13"/>
      <c r="B4183" s="12">
        <f>MONTH(Movimientos_2026[[#This Row],[Fecha]])</f>
        <v>1</v>
      </c>
      <c r="C4183" s="12" t="str">
        <f>VLOOKUP((WEEKDAY(Movimientos_2026[[#This Row],[Fecha]],2)),'5. Setup'!$D$6:$E$12,2,FALSE)</f>
        <v>Sab</v>
      </c>
      <c r="E4183" t="str">
        <f>IFERROR(+VLOOKUP(Movimientos_2026[[#This Row],[Codigo]],Plan_cuentas[],2,FALSE)," ")</f>
        <v xml:space="preserve"> </v>
      </c>
      <c r="F4183" t="str">
        <f>IFERROR(+VLOOKUP(Movimientos_2026[[#This Row],[Codigo]],Plan_cuentas[],3,FALSE)," ")</f>
        <v xml:space="preserve"> </v>
      </c>
      <c r="G4183" t="str">
        <f>IFERROR(+VLOOKUP(Movimientos_2026[[#This Row],[Codigo]],Plan_cuentas[],4,FALSE)," ")</f>
        <v xml:space="preserve"> </v>
      </c>
      <c r="H4183" t="str">
        <f>IFERROR(+VLOOKUP(Movimientos_2026[[#This Row],[Codigo]],Plan_cuentas[],5,FALSE)," ")</f>
        <v xml:space="preserve"> </v>
      </c>
      <c r="I4183" s="43"/>
      <c r="K4183" t="str">
        <f>IFERROR(+VLOOKUP(Movimientos_2026[[#This Row],[Codigo]],Plan_cuentas[],6,FALSE)," ")</f>
        <v xml:space="preserve"> </v>
      </c>
      <c r="L4183" s="50"/>
      <c r="M4183" s="50"/>
      <c r="N4183" s="20">
        <f>+Movimientos_2026[[#This Row],[Ingresos]]-Movimientos_2026[[#This Row],[Egresos]]</f>
        <v>0</v>
      </c>
      <c r="O4183" s="20">
        <f>+O4182+Movimientos_2026[[#This Row],[Neto]]</f>
        <v>4581558617.7962294</v>
      </c>
    </row>
    <row r="4184" spans="1:15" x14ac:dyDescent="0.25">
      <c r="A4184" s="13"/>
      <c r="B4184" s="12">
        <f>MONTH(Movimientos_2026[[#This Row],[Fecha]])</f>
        <v>1</v>
      </c>
      <c r="C4184" s="12" t="str">
        <f>VLOOKUP((WEEKDAY(Movimientos_2026[[#This Row],[Fecha]],2)),'5. Setup'!$D$6:$E$12,2,FALSE)</f>
        <v>Sab</v>
      </c>
      <c r="E4184" t="str">
        <f>IFERROR(+VLOOKUP(Movimientos_2026[[#This Row],[Codigo]],Plan_cuentas[],2,FALSE)," ")</f>
        <v xml:space="preserve"> </v>
      </c>
      <c r="F4184" t="str">
        <f>IFERROR(+VLOOKUP(Movimientos_2026[[#This Row],[Codigo]],Plan_cuentas[],3,FALSE)," ")</f>
        <v xml:space="preserve"> </v>
      </c>
      <c r="G4184" t="str">
        <f>IFERROR(+VLOOKUP(Movimientos_2026[[#This Row],[Codigo]],Plan_cuentas[],4,FALSE)," ")</f>
        <v xml:space="preserve"> </v>
      </c>
      <c r="H4184" t="str">
        <f>IFERROR(+VLOOKUP(Movimientos_2026[[#This Row],[Codigo]],Plan_cuentas[],5,FALSE)," ")</f>
        <v xml:space="preserve"> </v>
      </c>
      <c r="I4184" s="43"/>
      <c r="K4184" t="str">
        <f>IFERROR(+VLOOKUP(Movimientos_2026[[#This Row],[Codigo]],Plan_cuentas[],6,FALSE)," ")</f>
        <v xml:space="preserve"> </v>
      </c>
      <c r="L4184" s="50"/>
      <c r="M4184" s="50"/>
      <c r="N4184" s="20">
        <f>+Movimientos_2026[[#This Row],[Ingresos]]-Movimientos_2026[[#This Row],[Egresos]]</f>
        <v>0</v>
      </c>
      <c r="O4184" s="20">
        <f>+O4183+Movimientos_2026[[#This Row],[Neto]]</f>
        <v>4581558617.7962294</v>
      </c>
    </row>
    <row r="4185" spans="1:15" x14ac:dyDescent="0.25">
      <c r="A4185" s="13"/>
      <c r="B4185" s="12">
        <f>MONTH(Movimientos_2026[[#This Row],[Fecha]])</f>
        <v>1</v>
      </c>
      <c r="C4185" s="12" t="str">
        <f>VLOOKUP((WEEKDAY(Movimientos_2026[[#This Row],[Fecha]],2)),'5. Setup'!$D$6:$E$12,2,FALSE)</f>
        <v>Sab</v>
      </c>
      <c r="E4185" t="str">
        <f>IFERROR(+VLOOKUP(Movimientos_2026[[#This Row],[Codigo]],Plan_cuentas[],2,FALSE)," ")</f>
        <v xml:space="preserve"> </v>
      </c>
      <c r="F4185" t="str">
        <f>IFERROR(+VLOOKUP(Movimientos_2026[[#This Row],[Codigo]],Plan_cuentas[],3,FALSE)," ")</f>
        <v xml:space="preserve"> </v>
      </c>
      <c r="G4185" t="str">
        <f>IFERROR(+VLOOKUP(Movimientos_2026[[#This Row],[Codigo]],Plan_cuentas[],4,FALSE)," ")</f>
        <v xml:space="preserve"> </v>
      </c>
      <c r="H4185" t="str">
        <f>IFERROR(+VLOOKUP(Movimientos_2026[[#This Row],[Codigo]],Plan_cuentas[],5,FALSE)," ")</f>
        <v xml:space="preserve"> </v>
      </c>
      <c r="I4185" s="43"/>
      <c r="K4185" t="str">
        <f>IFERROR(+VLOOKUP(Movimientos_2026[[#This Row],[Codigo]],Plan_cuentas[],6,FALSE)," ")</f>
        <v xml:space="preserve"> </v>
      </c>
      <c r="L4185" s="50"/>
      <c r="M4185" s="50"/>
      <c r="N4185" s="20">
        <f>+Movimientos_2026[[#This Row],[Ingresos]]-Movimientos_2026[[#This Row],[Egresos]]</f>
        <v>0</v>
      </c>
      <c r="O4185" s="20">
        <f>+O4184+Movimientos_2026[[#This Row],[Neto]]</f>
        <v>4581558617.7962294</v>
      </c>
    </row>
    <row r="4186" spans="1:15" x14ac:dyDescent="0.25">
      <c r="A4186" s="13"/>
      <c r="B4186" s="12">
        <f>MONTH(Movimientos_2026[[#This Row],[Fecha]])</f>
        <v>1</v>
      </c>
      <c r="C4186" s="12" t="str">
        <f>VLOOKUP((WEEKDAY(Movimientos_2026[[#This Row],[Fecha]],2)),'5. Setup'!$D$6:$E$12,2,FALSE)</f>
        <v>Sab</v>
      </c>
      <c r="E4186" t="str">
        <f>IFERROR(+VLOOKUP(Movimientos_2026[[#This Row],[Codigo]],Plan_cuentas[],2,FALSE)," ")</f>
        <v xml:space="preserve"> </v>
      </c>
      <c r="F4186" t="str">
        <f>IFERROR(+VLOOKUP(Movimientos_2026[[#This Row],[Codigo]],Plan_cuentas[],3,FALSE)," ")</f>
        <v xml:space="preserve"> </v>
      </c>
      <c r="G4186" t="str">
        <f>IFERROR(+VLOOKUP(Movimientos_2026[[#This Row],[Codigo]],Plan_cuentas[],4,FALSE)," ")</f>
        <v xml:space="preserve"> </v>
      </c>
      <c r="H4186" t="str">
        <f>IFERROR(+VLOOKUP(Movimientos_2026[[#This Row],[Codigo]],Plan_cuentas[],5,FALSE)," ")</f>
        <v xml:space="preserve"> </v>
      </c>
      <c r="I4186" s="43"/>
      <c r="K4186" t="str">
        <f>IFERROR(+VLOOKUP(Movimientos_2026[[#This Row],[Codigo]],Plan_cuentas[],6,FALSE)," ")</f>
        <v xml:space="preserve"> </v>
      </c>
      <c r="L4186" s="50"/>
      <c r="M4186" s="50"/>
      <c r="N4186" s="20">
        <f>+Movimientos_2026[[#This Row],[Ingresos]]-Movimientos_2026[[#This Row],[Egresos]]</f>
        <v>0</v>
      </c>
      <c r="O4186" s="20">
        <f>+O4185+Movimientos_2026[[#This Row],[Neto]]</f>
        <v>4581558617.7962294</v>
      </c>
    </row>
    <row r="4187" spans="1:15" x14ac:dyDescent="0.25">
      <c r="A4187" s="13"/>
      <c r="B4187" s="12">
        <f>MONTH(Movimientos_2026[[#This Row],[Fecha]])</f>
        <v>1</v>
      </c>
      <c r="C4187" s="12" t="str">
        <f>VLOOKUP((WEEKDAY(Movimientos_2026[[#This Row],[Fecha]],2)),'5. Setup'!$D$6:$E$12,2,FALSE)</f>
        <v>Sab</v>
      </c>
      <c r="E4187" t="str">
        <f>IFERROR(+VLOOKUP(Movimientos_2026[[#This Row],[Codigo]],Plan_cuentas[],2,FALSE)," ")</f>
        <v xml:space="preserve"> </v>
      </c>
      <c r="F4187" t="str">
        <f>IFERROR(+VLOOKUP(Movimientos_2026[[#This Row],[Codigo]],Plan_cuentas[],3,FALSE)," ")</f>
        <v xml:space="preserve"> </v>
      </c>
      <c r="G4187" t="str">
        <f>IFERROR(+VLOOKUP(Movimientos_2026[[#This Row],[Codigo]],Plan_cuentas[],4,FALSE)," ")</f>
        <v xml:space="preserve"> </v>
      </c>
      <c r="H4187" t="str">
        <f>IFERROR(+VLOOKUP(Movimientos_2026[[#This Row],[Codigo]],Plan_cuentas[],5,FALSE)," ")</f>
        <v xml:space="preserve"> </v>
      </c>
      <c r="I4187" s="43"/>
      <c r="K4187" t="str">
        <f>IFERROR(+VLOOKUP(Movimientos_2026[[#This Row],[Codigo]],Plan_cuentas[],6,FALSE)," ")</f>
        <v xml:space="preserve"> </v>
      </c>
      <c r="L4187" s="50"/>
      <c r="M4187" s="50"/>
      <c r="N4187" s="20">
        <f>+Movimientos_2026[[#This Row],[Ingresos]]-Movimientos_2026[[#This Row],[Egresos]]</f>
        <v>0</v>
      </c>
      <c r="O4187" s="20">
        <f>+O4186+Movimientos_2026[[#This Row],[Neto]]</f>
        <v>4581558617.7962294</v>
      </c>
    </row>
    <row r="4188" spans="1:15" x14ac:dyDescent="0.25">
      <c r="A4188" s="13"/>
      <c r="B4188" s="12">
        <f>MONTH(Movimientos_2026[[#This Row],[Fecha]])</f>
        <v>1</v>
      </c>
      <c r="C4188" s="12" t="str">
        <f>VLOOKUP((WEEKDAY(Movimientos_2026[[#This Row],[Fecha]],2)),'5. Setup'!$D$6:$E$12,2,FALSE)</f>
        <v>Sab</v>
      </c>
      <c r="E4188" t="str">
        <f>IFERROR(+VLOOKUP(Movimientos_2026[[#This Row],[Codigo]],Plan_cuentas[],2,FALSE)," ")</f>
        <v xml:space="preserve"> </v>
      </c>
      <c r="F4188" t="str">
        <f>IFERROR(+VLOOKUP(Movimientos_2026[[#This Row],[Codigo]],Plan_cuentas[],3,FALSE)," ")</f>
        <v xml:space="preserve"> </v>
      </c>
      <c r="G4188" t="str">
        <f>IFERROR(+VLOOKUP(Movimientos_2026[[#This Row],[Codigo]],Plan_cuentas[],4,FALSE)," ")</f>
        <v xml:space="preserve"> </v>
      </c>
      <c r="H4188" t="str">
        <f>IFERROR(+VLOOKUP(Movimientos_2026[[#This Row],[Codigo]],Plan_cuentas[],5,FALSE)," ")</f>
        <v xml:space="preserve"> </v>
      </c>
      <c r="I4188" s="43"/>
      <c r="K4188" t="str">
        <f>IFERROR(+VLOOKUP(Movimientos_2026[[#This Row],[Codigo]],Plan_cuentas[],6,FALSE)," ")</f>
        <v xml:space="preserve"> </v>
      </c>
      <c r="L4188" s="50"/>
      <c r="M4188" s="50"/>
      <c r="N4188" s="20">
        <f>+Movimientos_2026[[#This Row],[Ingresos]]-Movimientos_2026[[#This Row],[Egresos]]</f>
        <v>0</v>
      </c>
      <c r="O4188" s="20">
        <f>+O4187+Movimientos_2026[[#This Row],[Neto]]</f>
        <v>4581558617.7962294</v>
      </c>
    </row>
    <row r="4189" spans="1:15" x14ac:dyDescent="0.25">
      <c r="A4189" s="13"/>
      <c r="B4189" s="12">
        <f>MONTH(Movimientos_2026[[#This Row],[Fecha]])</f>
        <v>1</v>
      </c>
      <c r="C4189" s="12" t="str">
        <f>VLOOKUP((WEEKDAY(Movimientos_2026[[#This Row],[Fecha]],2)),'5. Setup'!$D$6:$E$12,2,FALSE)</f>
        <v>Sab</v>
      </c>
      <c r="E4189" t="str">
        <f>IFERROR(+VLOOKUP(Movimientos_2026[[#This Row],[Codigo]],Plan_cuentas[],2,FALSE)," ")</f>
        <v xml:space="preserve"> </v>
      </c>
      <c r="F4189" t="str">
        <f>IFERROR(+VLOOKUP(Movimientos_2026[[#This Row],[Codigo]],Plan_cuentas[],3,FALSE)," ")</f>
        <v xml:space="preserve"> </v>
      </c>
      <c r="G4189" t="str">
        <f>IFERROR(+VLOOKUP(Movimientos_2026[[#This Row],[Codigo]],Plan_cuentas[],4,FALSE)," ")</f>
        <v xml:space="preserve"> </v>
      </c>
      <c r="H4189" t="str">
        <f>IFERROR(+VLOOKUP(Movimientos_2026[[#This Row],[Codigo]],Plan_cuentas[],5,FALSE)," ")</f>
        <v xml:space="preserve"> </v>
      </c>
      <c r="I4189" s="43"/>
      <c r="K4189" t="str">
        <f>IFERROR(+VLOOKUP(Movimientos_2026[[#This Row],[Codigo]],Plan_cuentas[],6,FALSE)," ")</f>
        <v xml:space="preserve"> </v>
      </c>
      <c r="L4189" s="50"/>
      <c r="M4189" s="50"/>
      <c r="N4189" s="20">
        <f>+Movimientos_2026[[#This Row],[Ingresos]]-Movimientos_2026[[#This Row],[Egresos]]</f>
        <v>0</v>
      </c>
      <c r="O4189" s="20">
        <f>+O4188+Movimientos_2026[[#This Row],[Neto]]</f>
        <v>4581558617.7962294</v>
      </c>
    </row>
    <row r="4190" spans="1:15" x14ac:dyDescent="0.25">
      <c r="A4190" s="13"/>
      <c r="B4190" s="12">
        <f>MONTH(Movimientos_2026[[#This Row],[Fecha]])</f>
        <v>1</v>
      </c>
      <c r="C4190" s="12" t="str">
        <f>VLOOKUP((WEEKDAY(Movimientos_2026[[#This Row],[Fecha]],2)),'5. Setup'!$D$6:$E$12,2,FALSE)</f>
        <v>Sab</v>
      </c>
      <c r="E4190" t="str">
        <f>IFERROR(+VLOOKUP(Movimientos_2026[[#This Row],[Codigo]],Plan_cuentas[],2,FALSE)," ")</f>
        <v xml:space="preserve"> </v>
      </c>
      <c r="F4190" t="str">
        <f>IFERROR(+VLOOKUP(Movimientos_2026[[#This Row],[Codigo]],Plan_cuentas[],3,FALSE)," ")</f>
        <v xml:space="preserve"> </v>
      </c>
      <c r="G4190" t="str">
        <f>IFERROR(+VLOOKUP(Movimientos_2026[[#This Row],[Codigo]],Plan_cuentas[],4,FALSE)," ")</f>
        <v xml:space="preserve"> </v>
      </c>
      <c r="H4190" t="str">
        <f>IFERROR(+VLOOKUP(Movimientos_2026[[#This Row],[Codigo]],Plan_cuentas[],5,FALSE)," ")</f>
        <v xml:space="preserve"> </v>
      </c>
      <c r="I4190" s="43"/>
      <c r="K4190" t="str">
        <f>IFERROR(+VLOOKUP(Movimientos_2026[[#This Row],[Codigo]],Plan_cuentas[],6,FALSE)," ")</f>
        <v xml:space="preserve"> </v>
      </c>
      <c r="L4190" s="50"/>
      <c r="M4190" s="50"/>
      <c r="N4190" s="20">
        <f>+Movimientos_2026[[#This Row],[Ingresos]]-Movimientos_2026[[#This Row],[Egresos]]</f>
        <v>0</v>
      </c>
      <c r="O4190" s="20">
        <f>+O4189+Movimientos_2026[[#This Row],[Neto]]</f>
        <v>4581558617.7962294</v>
      </c>
    </row>
    <row r="4191" spans="1:15" x14ac:dyDescent="0.25">
      <c r="A4191" s="13"/>
      <c r="B4191" s="12">
        <f>MONTH(Movimientos_2026[[#This Row],[Fecha]])</f>
        <v>1</v>
      </c>
      <c r="C4191" s="12" t="str">
        <f>VLOOKUP((WEEKDAY(Movimientos_2026[[#This Row],[Fecha]],2)),'5. Setup'!$D$6:$E$12,2,FALSE)</f>
        <v>Sab</v>
      </c>
      <c r="E4191" t="str">
        <f>IFERROR(+VLOOKUP(Movimientos_2026[[#This Row],[Codigo]],Plan_cuentas[],2,FALSE)," ")</f>
        <v xml:space="preserve"> </v>
      </c>
      <c r="F4191" t="str">
        <f>IFERROR(+VLOOKUP(Movimientos_2026[[#This Row],[Codigo]],Plan_cuentas[],3,FALSE)," ")</f>
        <v xml:space="preserve"> </v>
      </c>
      <c r="G4191" t="str">
        <f>IFERROR(+VLOOKUP(Movimientos_2026[[#This Row],[Codigo]],Plan_cuentas[],4,FALSE)," ")</f>
        <v xml:space="preserve"> </v>
      </c>
      <c r="H4191" t="str">
        <f>IFERROR(+VLOOKUP(Movimientos_2026[[#This Row],[Codigo]],Plan_cuentas[],5,FALSE)," ")</f>
        <v xml:space="preserve"> </v>
      </c>
      <c r="I4191" s="43"/>
      <c r="K4191" t="str">
        <f>IFERROR(+VLOOKUP(Movimientos_2026[[#This Row],[Codigo]],Plan_cuentas[],6,FALSE)," ")</f>
        <v xml:space="preserve"> </v>
      </c>
      <c r="L4191" s="50"/>
      <c r="M4191" s="50"/>
      <c r="N4191" s="20">
        <f>+Movimientos_2026[[#This Row],[Ingresos]]-Movimientos_2026[[#This Row],[Egresos]]</f>
        <v>0</v>
      </c>
      <c r="O4191" s="20">
        <f>+O4190+Movimientos_2026[[#This Row],[Neto]]</f>
        <v>4581558617.7962294</v>
      </c>
    </row>
    <row r="4192" spans="1:15" x14ac:dyDescent="0.25">
      <c r="A4192" s="13"/>
      <c r="B4192" s="12">
        <f>MONTH(Movimientos_2026[[#This Row],[Fecha]])</f>
        <v>1</v>
      </c>
      <c r="C4192" s="12" t="str">
        <f>VLOOKUP((WEEKDAY(Movimientos_2026[[#This Row],[Fecha]],2)),'5. Setup'!$D$6:$E$12,2,FALSE)</f>
        <v>Sab</v>
      </c>
      <c r="E4192" t="str">
        <f>IFERROR(+VLOOKUP(Movimientos_2026[[#This Row],[Codigo]],Plan_cuentas[],2,FALSE)," ")</f>
        <v xml:space="preserve"> </v>
      </c>
      <c r="F4192" t="str">
        <f>IFERROR(+VLOOKUP(Movimientos_2026[[#This Row],[Codigo]],Plan_cuentas[],3,FALSE)," ")</f>
        <v xml:space="preserve"> </v>
      </c>
      <c r="G4192" t="str">
        <f>IFERROR(+VLOOKUP(Movimientos_2026[[#This Row],[Codigo]],Plan_cuentas[],4,FALSE)," ")</f>
        <v xml:space="preserve"> </v>
      </c>
      <c r="H4192" t="str">
        <f>IFERROR(+VLOOKUP(Movimientos_2026[[#This Row],[Codigo]],Plan_cuentas[],5,FALSE)," ")</f>
        <v xml:space="preserve"> </v>
      </c>
      <c r="I4192" s="43"/>
      <c r="K4192" t="str">
        <f>IFERROR(+VLOOKUP(Movimientos_2026[[#This Row],[Codigo]],Plan_cuentas[],6,FALSE)," ")</f>
        <v xml:space="preserve"> </v>
      </c>
      <c r="L4192" s="50"/>
      <c r="M4192" s="50"/>
      <c r="N4192" s="20">
        <f>+Movimientos_2026[[#This Row],[Ingresos]]-Movimientos_2026[[#This Row],[Egresos]]</f>
        <v>0</v>
      </c>
      <c r="O4192" s="20">
        <f>+O4191+Movimientos_2026[[#This Row],[Neto]]</f>
        <v>4581558617.7962294</v>
      </c>
    </row>
    <row r="4193" spans="1:15" x14ac:dyDescent="0.25">
      <c r="A4193" s="13"/>
      <c r="B4193" s="12">
        <f>MONTH(Movimientos_2026[[#This Row],[Fecha]])</f>
        <v>1</v>
      </c>
      <c r="C4193" s="12" t="str">
        <f>VLOOKUP((WEEKDAY(Movimientos_2026[[#This Row],[Fecha]],2)),'5. Setup'!$D$6:$E$12,2,FALSE)</f>
        <v>Sab</v>
      </c>
      <c r="E4193" t="str">
        <f>IFERROR(+VLOOKUP(Movimientos_2026[[#This Row],[Codigo]],Plan_cuentas[],2,FALSE)," ")</f>
        <v xml:space="preserve"> </v>
      </c>
      <c r="F4193" t="str">
        <f>IFERROR(+VLOOKUP(Movimientos_2026[[#This Row],[Codigo]],Plan_cuentas[],3,FALSE)," ")</f>
        <v xml:space="preserve"> </v>
      </c>
      <c r="G4193" t="str">
        <f>IFERROR(+VLOOKUP(Movimientos_2026[[#This Row],[Codigo]],Plan_cuentas[],4,FALSE)," ")</f>
        <v xml:space="preserve"> </v>
      </c>
      <c r="H4193" t="str">
        <f>IFERROR(+VLOOKUP(Movimientos_2026[[#This Row],[Codigo]],Plan_cuentas[],5,FALSE)," ")</f>
        <v xml:space="preserve"> </v>
      </c>
      <c r="I4193" s="43"/>
      <c r="K4193" t="str">
        <f>IFERROR(+VLOOKUP(Movimientos_2026[[#This Row],[Codigo]],Plan_cuentas[],6,FALSE)," ")</f>
        <v xml:space="preserve"> </v>
      </c>
      <c r="L4193" s="50"/>
      <c r="M4193" s="50"/>
      <c r="N4193" s="20">
        <f>+Movimientos_2026[[#This Row],[Ingresos]]-Movimientos_2026[[#This Row],[Egresos]]</f>
        <v>0</v>
      </c>
      <c r="O4193" s="20">
        <f>+O4192+Movimientos_2026[[#This Row],[Neto]]</f>
        <v>4581558617.7962294</v>
      </c>
    </row>
    <row r="4194" spans="1:15" x14ac:dyDescent="0.25">
      <c r="A4194" s="13"/>
      <c r="B4194" s="12">
        <f>MONTH(Movimientos_2026[[#This Row],[Fecha]])</f>
        <v>1</v>
      </c>
      <c r="C4194" s="12" t="str">
        <f>VLOOKUP((WEEKDAY(Movimientos_2026[[#This Row],[Fecha]],2)),'5. Setup'!$D$6:$E$12,2,FALSE)</f>
        <v>Sab</v>
      </c>
      <c r="E4194" t="str">
        <f>IFERROR(+VLOOKUP(Movimientos_2026[[#This Row],[Codigo]],Plan_cuentas[],2,FALSE)," ")</f>
        <v xml:space="preserve"> </v>
      </c>
      <c r="F4194" t="str">
        <f>IFERROR(+VLOOKUP(Movimientos_2026[[#This Row],[Codigo]],Plan_cuentas[],3,FALSE)," ")</f>
        <v xml:space="preserve"> </v>
      </c>
      <c r="G4194" t="str">
        <f>IFERROR(+VLOOKUP(Movimientos_2026[[#This Row],[Codigo]],Plan_cuentas[],4,FALSE)," ")</f>
        <v xml:space="preserve"> </v>
      </c>
      <c r="H4194" t="str">
        <f>IFERROR(+VLOOKUP(Movimientos_2026[[#This Row],[Codigo]],Plan_cuentas[],5,FALSE)," ")</f>
        <v xml:space="preserve"> </v>
      </c>
      <c r="I4194" s="43"/>
      <c r="K4194" t="str">
        <f>IFERROR(+VLOOKUP(Movimientos_2026[[#This Row],[Codigo]],Plan_cuentas[],6,FALSE)," ")</f>
        <v xml:space="preserve"> </v>
      </c>
      <c r="L4194" s="50"/>
      <c r="M4194" s="50"/>
      <c r="N4194" s="20">
        <f>+Movimientos_2026[[#This Row],[Ingresos]]-Movimientos_2026[[#This Row],[Egresos]]</f>
        <v>0</v>
      </c>
      <c r="O4194" s="20">
        <f>+O4193+Movimientos_2026[[#This Row],[Neto]]</f>
        <v>4581558617.7962294</v>
      </c>
    </row>
    <row r="4195" spans="1:15" x14ac:dyDescent="0.25">
      <c r="A4195" s="13"/>
      <c r="B4195" s="12">
        <f>MONTH(Movimientos_2026[[#This Row],[Fecha]])</f>
        <v>1</v>
      </c>
      <c r="C4195" s="12" t="str">
        <f>VLOOKUP((WEEKDAY(Movimientos_2026[[#This Row],[Fecha]],2)),'5. Setup'!$D$6:$E$12,2,FALSE)</f>
        <v>Sab</v>
      </c>
      <c r="E4195" t="str">
        <f>IFERROR(+VLOOKUP(Movimientos_2026[[#This Row],[Codigo]],Plan_cuentas[],2,FALSE)," ")</f>
        <v xml:space="preserve"> </v>
      </c>
      <c r="F4195" t="str">
        <f>IFERROR(+VLOOKUP(Movimientos_2026[[#This Row],[Codigo]],Plan_cuentas[],3,FALSE)," ")</f>
        <v xml:space="preserve"> </v>
      </c>
      <c r="G4195" t="str">
        <f>IFERROR(+VLOOKUP(Movimientos_2026[[#This Row],[Codigo]],Plan_cuentas[],4,FALSE)," ")</f>
        <v xml:space="preserve"> </v>
      </c>
      <c r="H4195" t="str">
        <f>IFERROR(+VLOOKUP(Movimientos_2026[[#This Row],[Codigo]],Plan_cuentas[],5,FALSE)," ")</f>
        <v xml:space="preserve"> </v>
      </c>
      <c r="I4195" s="43"/>
      <c r="K4195" t="str">
        <f>IFERROR(+VLOOKUP(Movimientos_2026[[#This Row],[Codigo]],Plan_cuentas[],6,FALSE)," ")</f>
        <v xml:space="preserve"> </v>
      </c>
      <c r="L4195" s="50"/>
      <c r="M4195" s="50"/>
      <c r="N4195" s="20">
        <f>+Movimientos_2026[[#This Row],[Ingresos]]-Movimientos_2026[[#This Row],[Egresos]]</f>
        <v>0</v>
      </c>
      <c r="O4195" s="20">
        <f>+O4194+Movimientos_2026[[#This Row],[Neto]]</f>
        <v>4581558617.7962294</v>
      </c>
    </row>
    <row r="4196" spans="1:15" x14ac:dyDescent="0.25">
      <c r="A4196" s="13"/>
      <c r="B4196" s="12">
        <f>MONTH(Movimientos_2026[[#This Row],[Fecha]])</f>
        <v>1</v>
      </c>
      <c r="C4196" s="12" t="str">
        <f>VLOOKUP((WEEKDAY(Movimientos_2026[[#This Row],[Fecha]],2)),'5. Setup'!$D$6:$E$12,2,FALSE)</f>
        <v>Sab</v>
      </c>
      <c r="E4196" t="str">
        <f>IFERROR(+VLOOKUP(Movimientos_2026[[#This Row],[Codigo]],Plan_cuentas[],2,FALSE)," ")</f>
        <v xml:space="preserve"> </v>
      </c>
      <c r="F4196" t="str">
        <f>IFERROR(+VLOOKUP(Movimientos_2026[[#This Row],[Codigo]],Plan_cuentas[],3,FALSE)," ")</f>
        <v xml:space="preserve"> </v>
      </c>
      <c r="G4196" t="str">
        <f>IFERROR(+VLOOKUP(Movimientos_2026[[#This Row],[Codigo]],Plan_cuentas[],4,FALSE)," ")</f>
        <v xml:space="preserve"> </v>
      </c>
      <c r="H4196" t="str">
        <f>IFERROR(+VLOOKUP(Movimientos_2026[[#This Row],[Codigo]],Plan_cuentas[],5,FALSE)," ")</f>
        <v xml:space="preserve"> </v>
      </c>
      <c r="I4196" s="43"/>
      <c r="K4196" t="str">
        <f>IFERROR(+VLOOKUP(Movimientos_2026[[#This Row],[Codigo]],Plan_cuentas[],6,FALSE)," ")</f>
        <v xml:space="preserve"> </v>
      </c>
      <c r="L4196" s="50"/>
      <c r="M4196" s="50"/>
      <c r="N4196" s="20">
        <f>+Movimientos_2026[[#This Row],[Ingresos]]-Movimientos_2026[[#This Row],[Egresos]]</f>
        <v>0</v>
      </c>
      <c r="O4196" s="20">
        <f>+O4195+Movimientos_2026[[#This Row],[Neto]]</f>
        <v>4581558617.7962294</v>
      </c>
    </row>
    <row r="4197" spans="1:15" x14ac:dyDescent="0.25">
      <c r="A4197" s="13"/>
      <c r="B4197" s="12">
        <f>MONTH(Movimientos_2026[[#This Row],[Fecha]])</f>
        <v>1</v>
      </c>
      <c r="C4197" s="12" t="str">
        <f>VLOOKUP((WEEKDAY(Movimientos_2026[[#This Row],[Fecha]],2)),'5. Setup'!$D$6:$E$12,2,FALSE)</f>
        <v>Sab</v>
      </c>
      <c r="E4197" t="str">
        <f>IFERROR(+VLOOKUP(Movimientos_2026[[#This Row],[Codigo]],Plan_cuentas[],2,FALSE)," ")</f>
        <v xml:space="preserve"> </v>
      </c>
      <c r="F4197" t="str">
        <f>IFERROR(+VLOOKUP(Movimientos_2026[[#This Row],[Codigo]],Plan_cuentas[],3,FALSE)," ")</f>
        <v xml:space="preserve"> </v>
      </c>
      <c r="G4197" t="str">
        <f>IFERROR(+VLOOKUP(Movimientos_2026[[#This Row],[Codigo]],Plan_cuentas[],4,FALSE)," ")</f>
        <v xml:space="preserve"> </v>
      </c>
      <c r="H4197" t="str">
        <f>IFERROR(+VLOOKUP(Movimientos_2026[[#This Row],[Codigo]],Plan_cuentas[],5,FALSE)," ")</f>
        <v xml:space="preserve"> </v>
      </c>
      <c r="I4197" s="43"/>
      <c r="K4197" t="str">
        <f>IFERROR(+VLOOKUP(Movimientos_2026[[#This Row],[Codigo]],Plan_cuentas[],6,FALSE)," ")</f>
        <v xml:space="preserve"> </v>
      </c>
      <c r="L4197" s="50"/>
      <c r="M4197" s="50"/>
      <c r="N4197" s="20">
        <f>+Movimientos_2026[[#This Row],[Ingresos]]-Movimientos_2026[[#This Row],[Egresos]]</f>
        <v>0</v>
      </c>
      <c r="O4197" s="20">
        <f>+O4196+Movimientos_2026[[#This Row],[Neto]]</f>
        <v>4581558617.7962294</v>
      </c>
    </row>
    <row r="4198" spans="1:15" x14ac:dyDescent="0.25">
      <c r="A4198" s="13"/>
      <c r="B4198" s="12">
        <f>MONTH(Movimientos_2026[[#This Row],[Fecha]])</f>
        <v>1</v>
      </c>
      <c r="C4198" s="12" t="str">
        <f>VLOOKUP((WEEKDAY(Movimientos_2026[[#This Row],[Fecha]],2)),'5. Setup'!$D$6:$E$12,2,FALSE)</f>
        <v>Sab</v>
      </c>
      <c r="E4198" t="str">
        <f>IFERROR(+VLOOKUP(Movimientos_2026[[#This Row],[Codigo]],Plan_cuentas[],2,FALSE)," ")</f>
        <v xml:space="preserve"> </v>
      </c>
      <c r="F4198" t="str">
        <f>IFERROR(+VLOOKUP(Movimientos_2026[[#This Row],[Codigo]],Plan_cuentas[],3,FALSE)," ")</f>
        <v xml:space="preserve"> </v>
      </c>
      <c r="G4198" t="str">
        <f>IFERROR(+VLOOKUP(Movimientos_2026[[#This Row],[Codigo]],Plan_cuentas[],4,FALSE)," ")</f>
        <v xml:space="preserve"> </v>
      </c>
      <c r="H4198" t="str">
        <f>IFERROR(+VLOOKUP(Movimientos_2026[[#This Row],[Codigo]],Plan_cuentas[],5,FALSE)," ")</f>
        <v xml:space="preserve"> </v>
      </c>
      <c r="I4198" s="43"/>
      <c r="K4198" t="str">
        <f>IFERROR(+VLOOKUP(Movimientos_2026[[#This Row],[Codigo]],Plan_cuentas[],6,FALSE)," ")</f>
        <v xml:space="preserve"> </v>
      </c>
      <c r="L4198" s="50"/>
      <c r="M4198" s="50"/>
      <c r="N4198" s="20">
        <f>+Movimientos_2026[[#This Row],[Ingresos]]-Movimientos_2026[[#This Row],[Egresos]]</f>
        <v>0</v>
      </c>
      <c r="O4198" s="20">
        <f>+O4197+Movimientos_2026[[#This Row],[Neto]]</f>
        <v>4581558617.7962294</v>
      </c>
    </row>
    <row r="4199" spans="1:15" x14ac:dyDescent="0.25">
      <c r="A4199" s="13"/>
      <c r="B4199" s="12">
        <f>MONTH(Movimientos_2026[[#This Row],[Fecha]])</f>
        <v>1</v>
      </c>
      <c r="C4199" s="12" t="str">
        <f>VLOOKUP((WEEKDAY(Movimientos_2026[[#This Row],[Fecha]],2)),'5. Setup'!$D$6:$E$12,2,FALSE)</f>
        <v>Sab</v>
      </c>
      <c r="E4199" t="str">
        <f>IFERROR(+VLOOKUP(Movimientos_2026[[#This Row],[Codigo]],Plan_cuentas[],2,FALSE)," ")</f>
        <v xml:space="preserve"> </v>
      </c>
      <c r="F4199" t="str">
        <f>IFERROR(+VLOOKUP(Movimientos_2026[[#This Row],[Codigo]],Plan_cuentas[],3,FALSE)," ")</f>
        <v xml:space="preserve"> </v>
      </c>
      <c r="G4199" t="str">
        <f>IFERROR(+VLOOKUP(Movimientos_2026[[#This Row],[Codigo]],Plan_cuentas[],4,FALSE)," ")</f>
        <v xml:space="preserve"> </v>
      </c>
      <c r="H4199" t="str">
        <f>IFERROR(+VLOOKUP(Movimientos_2026[[#This Row],[Codigo]],Plan_cuentas[],5,FALSE)," ")</f>
        <v xml:space="preserve"> </v>
      </c>
      <c r="I4199" s="43"/>
      <c r="K4199" t="str">
        <f>IFERROR(+VLOOKUP(Movimientos_2026[[#This Row],[Codigo]],Plan_cuentas[],6,FALSE)," ")</f>
        <v xml:space="preserve"> </v>
      </c>
      <c r="L4199" s="50"/>
      <c r="M4199" s="50"/>
      <c r="N4199" s="20">
        <f>+Movimientos_2026[[#This Row],[Ingresos]]-Movimientos_2026[[#This Row],[Egresos]]</f>
        <v>0</v>
      </c>
      <c r="O4199" s="20">
        <f>+O4198+Movimientos_2026[[#This Row],[Neto]]</f>
        <v>4581558617.7962294</v>
      </c>
    </row>
    <row r="4200" spans="1:15" x14ac:dyDescent="0.25">
      <c r="A4200" s="13"/>
      <c r="B4200" s="12">
        <f>MONTH(Movimientos_2026[[#This Row],[Fecha]])</f>
        <v>1</v>
      </c>
      <c r="C4200" s="12" t="str">
        <f>VLOOKUP((WEEKDAY(Movimientos_2026[[#This Row],[Fecha]],2)),'5. Setup'!$D$6:$E$12,2,FALSE)</f>
        <v>Sab</v>
      </c>
      <c r="E4200" t="str">
        <f>IFERROR(+VLOOKUP(Movimientos_2026[[#This Row],[Codigo]],Plan_cuentas[],2,FALSE)," ")</f>
        <v xml:space="preserve"> </v>
      </c>
      <c r="F4200" t="str">
        <f>IFERROR(+VLOOKUP(Movimientos_2026[[#This Row],[Codigo]],Plan_cuentas[],3,FALSE)," ")</f>
        <v xml:space="preserve"> </v>
      </c>
      <c r="G4200" t="str">
        <f>IFERROR(+VLOOKUP(Movimientos_2026[[#This Row],[Codigo]],Plan_cuentas[],4,FALSE)," ")</f>
        <v xml:space="preserve"> </v>
      </c>
      <c r="H4200" t="str">
        <f>IFERROR(+VLOOKUP(Movimientos_2026[[#This Row],[Codigo]],Plan_cuentas[],5,FALSE)," ")</f>
        <v xml:space="preserve"> </v>
      </c>
      <c r="I4200" s="43"/>
      <c r="K4200" t="str">
        <f>IFERROR(+VLOOKUP(Movimientos_2026[[#This Row],[Codigo]],Plan_cuentas[],6,FALSE)," ")</f>
        <v xml:space="preserve"> </v>
      </c>
      <c r="L4200" s="50"/>
      <c r="M4200" s="50"/>
      <c r="N4200" s="20">
        <f>+Movimientos_2026[[#This Row],[Ingresos]]-Movimientos_2026[[#This Row],[Egresos]]</f>
        <v>0</v>
      </c>
      <c r="O4200" s="20">
        <f>+O4199+Movimientos_2026[[#This Row],[Neto]]</f>
        <v>4581558617.7962294</v>
      </c>
    </row>
    <row r="4201" spans="1:15" x14ac:dyDescent="0.25">
      <c r="A4201" s="13"/>
      <c r="B4201" s="12">
        <f>MONTH(Movimientos_2026[[#This Row],[Fecha]])</f>
        <v>1</v>
      </c>
      <c r="C4201" s="12" t="str">
        <f>VLOOKUP((WEEKDAY(Movimientos_2026[[#This Row],[Fecha]],2)),'5. Setup'!$D$6:$E$12,2,FALSE)</f>
        <v>Sab</v>
      </c>
      <c r="E4201" t="str">
        <f>IFERROR(+VLOOKUP(Movimientos_2026[[#This Row],[Codigo]],Plan_cuentas[],2,FALSE)," ")</f>
        <v xml:space="preserve"> </v>
      </c>
      <c r="F4201" t="str">
        <f>IFERROR(+VLOOKUP(Movimientos_2026[[#This Row],[Codigo]],Plan_cuentas[],3,FALSE)," ")</f>
        <v xml:space="preserve"> </v>
      </c>
      <c r="G4201" t="str">
        <f>IFERROR(+VLOOKUP(Movimientos_2026[[#This Row],[Codigo]],Plan_cuentas[],4,FALSE)," ")</f>
        <v xml:space="preserve"> </v>
      </c>
      <c r="H4201" t="str">
        <f>IFERROR(+VLOOKUP(Movimientos_2026[[#This Row],[Codigo]],Plan_cuentas[],5,FALSE)," ")</f>
        <v xml:space="preserve"> </v>
      </c>
      <c r="I4201" s="43"/>
      <c r="K4201" t="str">
        <f>IFERROR(+VLOOKUP(Movimientos_2026[[#This Row],[Codigo]],Plan_cuentas[],6,FALSE)," ")</f>
        <v xml:space="preserve"> </v>
      </c>
      <c r="L4201" s="50"/>
      <c r="M4201" s="50"/>
      <c r="N4201" s="20">
        <f>+Movimientos_2026[[#This Row],[Ingresos]]-Movimientos_2026[[#This Row],[Egresos]]</f>
        <v>0</v>
      </c>
      <c r="O4201" s="20">
        <f>+O4200+Movimientos_2026[[#This Row],[Neto]]</f>
        <v>4581558617.7962294</v>
      </c>
    </row>
    <row r="4202" spans="1:15" x14ac:dyDescent="0.25">
      <c r="A4202" s="13"/>
      <c r="B4202" s="12">
        <f>MONTH(Movimientos_2026[[#This Row],[Fecha]])</f>
        <v>1</v>
      </c>
      <c r="C4202" s="12" t="str">
        <f>VLOOKUP((WEEKDAY(Movimientos_2026[[#This Row],[Fecha]],2)),'5. Setup'!$D$6:$E$12,2,FALSE)</f>
        <v>Sab</v>
      </c>
      <c r="E4202" t="str">
        <f>IFERROR(+VLOOKUP(Movimientos_2026[[#This Row],[Codigo]],Plan_cuentas[],2,FALSE)," ")</f>
        <v xml:space="preserve"> </v>
      </c>
      <c r="F4202" t="str">
        <f>IFERROR(+VLOOKUP(Movimientos_2026[[#This Row],[Codigo]],Plan_cuentas[],3,FALSE)," ")</f>
        <v xml:space="preserve"> </v>
      </c>
      <c r="G4202" t="str">
        <f>IFERROR(+VLOOKUP(Movimientos_2026[[#This Row],[Codigo]],Plan_cuentas[],4,FALSE)," ")</f>
        <v xml:space="preserve"> </v>
      </c>
      <c r="H4202" t="str">
        <f>IFERROR(+VLOOKUP(Movimientos_2026[[#This Row],[Codigo]],Plan_cuentas[],5,FALSE)," ")</f>
        <v xml:space="preserve"> </v>
      </c>
      <c r="I4202" s="43"/>
      <c r="K4202" t="str">
        <f>IFERROR(+VLOOKUP(Movimientos_2026[[#This Row],[Codigo]],Plan_cuentas[],6,FALSE)," ")</f>
        <v xml:space="preserve"> </v>
      </c>
      <c r="L4202" s="50"/>
      <c r="M4202" s="50"/>
      <c r="N4202" s="20">
        <f>+Movimientos_2026[[#This Row],[Ingresos]]-Movimientos_2026[[#This Row],[Egresos]]</f>
        <v>0</v>
      </c>
      <c r="O4202" s="20">
        <f>+O4201+Movimientos_2026[[#This Row],[Neto]]</f>
        <v>4581558617.7962294</v>
      </c>
    </row>
    <row r="4203" spans="1:15" x14ac:dyDescent="0.25">
      <c r="A4203" s="13"/>
      <c r="B4203" s="12">
        <f>MONTH(Movimientos_2026[[#This Row],[Fecha]])</f>
        <v>1</v>
      </c>
      <c r="C4203" s="12" t="str">
        <f>VLOOKUP((WEEKDAY(Movimientos_2026[[#This Row],[Fecha]],2)),'5. Setup'!$D$6:$E$12,2,FALSE)</f>
        <v>Sab</v>
      </c>
      <c r="E4203" t="str">
        <f>IFERROR(+VLOOKUP(Movimientos_2026[[#This Row],[Codigo]],Plan_cuentas[],2,FALSE)," ")</f>
        <v xml:space="preserve"> </v>
      </c>
      <c r="F4203" t="str">
        <f>IFERROR(+VLOOKUP(Movimientos_2026[[#This Row],[Codigo]],Plan_cuentas[],3,FALSE)," ")</f>
        <v xml:space="preserve"> </v>
      </c>
      <c r="G4203" t="str">
        <f>IFERROR(+VLOOKUP(Movimientos_2026[[#This Row],[Codigo]],Plan_cuentas[],4,FALSE)," ")</f>
        <v xml:space="preserve"> </v>
      </c>
      <c r="H4203" t="str">
        <f>IFERROR(+VLOOKUP(Movimientos_2026[[#This Row],[Codigo]],Plan_cuentas[],5,FALSE)," ")</f>
        <v xml:space="preserve"> </v>
      </c>
      <c r="I4203" s="43"/>
      <c r="K4203" t="str">
        <f>IFERROR(+VLOOKUP(Movimientos_2026[[#This Row],[Codigo]],Plan_cuentas[],6,FALSE)," ")</f>
        <v xml:space="preserve"> </v>
      </c>
      <c r="L4203" s="50"/>
      <c r="M4203" s="50"/>
      <c r="N4203" s="20">
        <f>+Movimientos_2026[[#This Row],[Ingresos]]-Movimientos_2026[[#This Row],[Egresos]]</f>
        <v>0</v>
      </c>
      <c r="O4203" s="20">
        <f>+O4202+Movimientos_2026[[#This Row],[Neto]]</f>
        <v>4581558617.7962294</v>
      </c>
    </row>
    <row r="4204" spans="1:15" x14ac:dyDescent="0.25">
      <c r="A4204" s="13"/>
      <c r="B4204" s="12">
        <f>MONTH(Movimientos_2026[[#This Row],[Fecha]])</f>
        <v>1</v>
      </c>
      <c r="C4204" s="12" t="str">
        <f>VLOOKUP((WEEKDAY(Movimientos_2026[[#This Row],[Fecha]],2)),'5. Setup'!$D$6:$E$12,2,FALSE)</f>
        <v>Sab</v>
      </c>
      <c r="E4204" t="str">
        <f>IFERROR(+VLOOKUP(Movimientos_2026[[#This Row],[Codigo]],Plan_cuentas[],2,FALSE)," ")</f>
        <v xml:space="preserve"> </v>
      </c>
      <c r="F4204" t="str">
        <f>IFERROR(+VLOOKUP(Movimientos_2026[[#This Row],[Codigo]],Plan_cuentas[],3,FALSE)," ")</f>
        <v xml:space="preserve"> </v>
      </c>
      <c r="G4204" t="str">
        <f>IFERROR(+VLOOKUP(Movimientos_2026[[#This Row],[Codigo]],Plan_cuentas[],4,FALSE)," ")</f>
        <v xml:space="preserve"> </v>
      </c>
      <c r="H4204" t="str">
        <f>IFERROR(+VLOOKUP(Movimientos_2026[[#This Row],[Codigo]],Plan_cuentas[],5,FALSE)," ")</f>
        <v xml:space="preserve"> </v>
      </c>
      <c r="I4204" s="43"/>
      <c r="K4204" t="str">
        <f>IFERROR(+VLOOKUP(Movimientos_2026[[#This Row],[Codigo]],Plan_cuentas[],6,FALSE)," ")</f>
        <v xml:space="preserve"> </v>
      </c>
      <c r="L4204" s="50"/>
      <c r="M4204" s="50"/>
      <c r="N4204" s="20">
        <f>+Movimientos_2026[[#This Row],[Ingresos]]-Movimientos_2026[[#This Row],[Egresos]]</f>
        <v>0</v>
      </c>
      <c r="O4204" s="20">
        <f>+O4203+Movimientos_2026[[#This Row],[Neto]]</f>
        <v>4581558617.7962294</v>
      </c>
    </row>
    <row r="4205" spans="1:15" x14ac:dyDescent="0.25">
      <c r="A4205" s="13"/>
      <c r="B4205" s="12">
        <f>MONTH(Movimientos_2026[[#This Row],[Fecha]])</f>
        <v>1</v>
      </c>
      <c r="C4205" s="12" t="str">
        <f>VLOOKUP((WEEKDAY(Movimientos_2026[[#This Row],[Fecha]],2)),'5. Setup'!$D$6:$E$12,2,FALSE)</f>
        <v>Sab</v>
      </c>
      <c r="E4205" t="str">
        <f>IFERROR(+VLOOKUP(Movimientos_2026[[#This Row],[Codigo]],Plan_cuentas[],2,FALSE)," ")</f>
        <v xml:space="preserve"> </v>
      </c>
      <c r="F4205" t="str">
        <f>IFERROR(+VLOOKUP(Movimientos_2026[[#This Row],[Codigo]],Plan_cuentas[],3,FALSE)," ")</f>
        <v xml:space="preserve"> </v>
      </c>
      <c r="G4205" t="str">
        <f>IFERROR(+VLOOKUP(Movimientos_2026[[#This Row],[Codigo]],Plan_cuentas[],4,FALSE)," ")</f>
        <v xml:space="preserve"> </v>
      </c>
      <c r="H4205" t="str">
        <f>IFERROR(+VLOOKUP(Movimientos_2026[[#This Row],[Codigo]],Plan_cuentas[],5,FALSE)," ")</f>
        <v xml:space="preserve"> </v>
      </c>
      <c r="I4205" s="43"/>
      <c r="K4205" t="str">
        <f>IFERROR(+VLOOKUP(Movimientos_2026[[#This Row],[Codigo]],Plan_cuentas[],6,FALSE)," ")</f>
        <v xml:space="preserve"> </v>
      </c>
      <c r="L4205" s="50"/>
      <c r="M4205" s="50"/>
      <c r="N4205" s="20">
        <f>+Movimientos_2026[[#This Row],[Ingresos]]-Movimientos_2026[[#This Row],[Egresos]]</f>
        <v>0</v>
      </c>
      <c r="O4205" s="20">
        <f>+O4204+Movimientos_2026[[#This Row],[Neto]]</f>
        <v>4581558617.7962294</v>
      </c>
    </row>
    <row r="4206" spans="1:15" x14ac:dyDescent="0.25">
      <c r="A4206" s="13"/>
      <c r="B4206" s="12">
        <f>MONTH(Movimientos_2026[[#This Row],[Fecha]])</f>
        <v>1</v>
      </c>
      <c r="C4206" s="12" t="str">
        <f>VLOOKUP((WEEKDAY(Movimientos_2026[[#This Row],[Fecha]],2)),'5. Setup'!$D$6:$E$12,2,FALSE)</f>
        <v>Sab</v>
      </c>
      <c r="E4206" t="str">
        <f>IFERROR(+VLOOKUP(Movimientos_2026[[#This Row],[Codigo]],Plan_cuentas[],2,FALSE)," ")</f>
        <v xml:space="preserve"> </v>
      </c>
      <c r="F4206" t="str">
        <f>IFERROR(+VLOOKUP(Movimientos_2026[[#This Row],[Codigo]],Plan_cuentas[],3,FALSE)," ")</f>
        <v xml:space="preserve"> </v>
      </c>
      <c r="G4206" t="str">
        <f>IFERROR(+VLOOKUP(Movimientos_2026[[#This Row],[Codigo]],Plan_cuentas[],4,FALSE)," ")</f>
        <v xml:space="preserve"> </v>
      </c>
      <c r="H4206" t="str">
        <f>IFERROR(+VLOOKUP(Movimientos_2026[[#This Row],[Codigo]],Plan_cuentas[],5,FALSE)," ")</f>
        <v xml:space="preserve"> </v>
      </c>
      <c r="I4206" s="43"/>
      <c r="K4206" t="str">
        <f>IFERROR(+VLOOKUP(Movimientos_2026[[#This Row],[Codigo]],Plan_cuentas[],6,FALSE)," ")</f>
        <v xml:space="preserve"> </v>
      </c>
      <c r="L4206" s="50"/>
      <c r="M4206" s="50"/>
      <c r="N4206" s="20">
        <f>+Movimientos_2026[[#This Row],[Ingresos]]-Movimientos_2026[[#This Row],[Egresos]]</f>
        <v>0</v>
      </c>
      <c r="O4206" s="20">
        <f>+O4205+Movimientos_2026[[#This Row],[Neto]]</f>
        <v>4581558617.7962294</v>
      </c>
    </row>
    <row r="4207" spans="1:15" x14ac:dyDescent="0.25">
      <c r="A4207" s="13"/>
      <c r="B4207" s="12">
        <f>MONTH(Movimientos_2026[[#This Row],[Fecha]])</f>
        <v>1</v>
      </c>
      <c r="C4207" s="12" t="str">
        <f>VLOOKUP((WEEKDAY(Movimientos_2026[[#This Row],[Fecha]],2)),'5. Setup'!$D$6:$E$12,2,FALSE)</f>
        <v>Sab</v>
      </c>
      <c r="E4207" t="str">
        <f>IFERROR(+VLOOKUP(Movimientos_2026[[#This Row],[Codigo]],Plan_cuentas[],2,FALSE)," ")</f>
        <v xml:space="preserve"> </v>
      </c>
      <c r="F4207" t="str">
        <f>IFERROR(+VLOOKUP(Movimientos_2026[[#This Row],[Codigo]],Plan_cuentas[],3,FALSE)," ")</f>
        <v xml:space="preserve"> </v>
      </c>
      <c r="G4207" t="str">
        <f>IFERROR(+VLOOKUP(Movimientos_2026[[#This Row],[Codigo]],Plan_cuentas[],4,FALSE)," ")</f>
        <v xml:space="preserve"> </v>
      </c>
      <c r="H4207" t="str">
        <f>IFERROR(+VLOOKUP(Movimientos_2026[[#This Row],[Codigo]],Plan_cuentas[],5,FALSE)," ")</f>
        <v xml:space="preserve"> </v>
      </c>
      <c r="I4207" s="43"/>
      <c r="K4207" t="str">
        <f>IFERROR(+VLOOKUP(Movimientos_2026[[#This Row],[Codigo]],Plan_cuentas[],6,FALSE)," ")</f>
        <v xml:space="preserve"> </v>
      </c>
      <c r="L4207" s="50"/>
      <c r="M4207" s="50"/>
      <c r="N4207" s="20">
        <f>+Movimientos_2026[[#This Row],[Ingresos]]-Movimientos_2026[[#This Row],[Egresos]]</f>
        <v>0</v>
      </c>
      <c r="O4207" s="20">
        <f>+O4206+Movimientos_2026[[#This Row],[Neto]]</f>
        <v>4581558617.7962294</v>
      </c>
    </row>
    <row r="4208" spans="1:15" x14ac:dyDescent="0.25">
      <c r="A4208" s="13"/>
      <c r="B4208" s="12">
        <f>MONTH(Movimientos_2026[[#This Row],[Fecha]])</f>
        <v>1</v>
      </c>
      <c r="C4208" s="12" t="str">
        <f>VLOOKUP((WEEKDAY(Movimientos_2026[[#This Row],[Fecha]],2)),'5. Setup'!$D$6:$E$12,2,FALSE)</f>
        <v>Sab</v>
      </c>
      <c r="E4208" t="str">
        <f>IFERROR(+VLOOKUP(Movimientos_2026[[#This Row],[Codigo]],Plan_cuentas[],2,FALSE)," ")</f>
        <v xml:space="preserve"> </v>
      </c>
      <c r="F4208" t="str">
        <f>IFERROR(+VLOOKUP(Movimientos_2026[[#This Row],[Codigo]],Plan_cuentas[],3,FALSE)," ")</f>
        <v xml:space="preserve"> </v>
      </c>
      <c r="G4208" t="str">
        <f>IFERROR(+VLOOKUP(Movimientos_2026[[#This Row],[Codigo]],Plan_cuentas[],4,FALSE)," ")</f>
        <v xml:space="preserve"> </v>
      </c>
      <c r="H4208" t="str">
        <f>IFERROR(+VLOOKUP(Movimientos_2026[[#This Row],[Codigo]],Plan_cuentas[],5,FALSE)," ")</f>
        <v xml:space="preserve"> </v>
      </c>
      <c r="I4208" s="43"/>
      <c r="K4208" t="str">
        <f>IFERROR(+VLOOKUP(Movimientos_2026[[#This Row],[Codigo]],Plan_cuentas[],6,FALSE)," ")</f>
        <v xml:space="preserve"> </v>
      </c>
      <c r="L4208" s="50"/>
      <c r="M4208" s="50"/>
      <c r="N4208" s="20">
        <f>+Movimientos_2026[[#This Row],[Ingresos]]-Movimientos_2026[[#This Row],[Egresos]]</f>
        <v>0</v>
      </c>
      <c r="O4208" s="20">
        <f>+O4207+Movimientos_2026[[#This Row],[Neto]]</f>
        <v>4581558617.7962294</v>
      </c>
    </row>
    <row r="4209" spans="1:15" x14ac:dyDescent="0.25">
      <c r="A4209" s="13"/>
      <c r="B4209" s="12">
        <f>MONTH(Movimientos_2026[[#This Row],[Fecha]])</f>
        <v>1</v>
      </c>
      <c r="C4209" s="12" t="str">
        <f>VLOOKUP((WEEKDAY(Movimientos_2026[[#This Row],[Fecha]],2)),'5. Setup'!$D$6:$E$12,2,FALSE)</f>
        <v>Sab</v>
      </c>
      <c r="E4209" t="str">
        <f>IFERROR(+VLOOKUP(Movimientos_2026[[#This Row],[Codigo]],Plan_cuentas[],2,FALSE)," ")</f>
        <v xml:space="preserve"> </v>
      </c>
      <c r="F4209" t="str">
        <f>IFERROR(+VLOOKUP(Movimientos_2026[[#This Row],[Codigo]],Plan_cuentas[],3,FALSE)," ")</f>
        <v xml:space="preserve"> </v>
      </c>
      <c r="G4209" t="str">
        <f>IFERROR(+VLOOKUP(Movimientos_2026[[#This Row],[Codigo]],Plan_cuentas[],4,FALSE)," ")</f>
        <v xml:space="preserve"> </v>
      </c>
      <c r="H4209" t="str">
        <f>IFERROR(+VLOOKUP(Movimientos_2026[[#This Row],[Codigo]],Plan_cuentas[],5,FALSE)," ")</f>
        <v xml:space="preserve"> </v>
      </c>
      <c r="I4209" s="43"/>
      <c r="K4209" t="str">
        <f>IFERROR(+VLOOKUP(Movimientos_2026[[#This Row],[Codigo]],Plan_cuentas[],6,FALSE)," ")</f>
        <v xml:space="preserve"> </v>
      </c>
      <c r="L4209" s="50"/>
      <c r="M4209" s="50"/>
      <c r="N4209" s="20">
        <f>+Movimientos_2026[[#This Row],[Ingresos]]-Movimientos_2026[[#This Row],[Egresos]]</f>
        <v>0</v>
      </c>
      <c r="O4209" s="20">
        <f>+O4208+Movimientos_2026[[#This Row],[Neto]]</f>
        <v>4581558617.7962294</v>
      </c>
    </row>
    <row r="4210" spans="1:15" x14ac:dyDescent="0.25">
      <c r="A4210" s="13"/>
      <c r="B4210" s="12">
        <f>MONTH(Movimientos_2026[[#This Row],[Fecha]])</f>
        <v>1</v>
      </c>
      <c r="C4210" s="12" t="str">
        <f>VLOOKUP((WEEKDAY(Movimientos_2026[[#This Row],[Fecha]],2)),'5. Setup'!$D$6:$E$12,2,FALSE)</f>
        <v>Sab</v>
      </c>
      <c r="E4210" t="str">
        <f>IFERROR(+VLOOKUP(Movimientos_2026[[#This Row],[Codigo]],Plan_cuentas[],2,FALSE)," ")</f>
        <v xml:space="preserve"> </v>
      </c>
      <c r="F4210" t="str">
        <f>IFERROR(+VLOOKUP(Movimientos_2026[[#This Row],[Codigo]],Plan_cuentas[],3,FALSE)," ")</f>
        <v xml:space="preserve"> </v>
      </c>
      <c r="G4210" t="str">
        <f>IFERROR(+VLOOKUP(Movimientos_2026[[#This Row],[Codigo]],Plan_cuentas[],4,FALSE)," ")</f>
        <v xml:space="preserve"> </v>
      </c>
      <c r="H4210" t="str">
        <f>IFERROR(+VLOOKUP(Movimientos_2026[[#This Row],[Codigo]],Plan_cuentas[],5,FALSE)," ")</f>
        <v xml:space="preserve"> </v>
      </c>
      <c r="I4210" s="43"/>
      <c r="K4210" t="str">
        <f>IFERROR(+VLOOKUP(Movimientos_2026[[#This Row],[Codigo]],Plan_cuentas[],6,FALSE)," ")</f>
        <v xml:space="preserve"> </v>
      </c>
      <c r="L4210" s="50"/>
      <c r="M4210" s="50"/>
      <c r="N4210" s="20">
        <f>+Movimientos_2026[[#This Row],[Ingresos]]-Movimientos_2026[[#This Row],[Egresos]]</f>
        <v>0</v>
      </c>
      <c r="O4210" s="20">
        <f>+O4209+Movimientos_2026[[#This Row],[Neto]]</f>
        <v>4581558617.7962294</v>
      </c>
    </row>
    <row r="4211" spans="1:15" x14ac:dyDescent="0.25">
      <c r="A4211" s="13"/>
      <c r="B4211" s="12">
        <f>MONTH(Movimientos_2026[[#This Row],[Fecha]])</f>
        <v>1</v>
      </c>
      <c r="C4211" s="12" t="str">
        <f>VLOOKUP((WEEKDAY(Movimientos_2026[[#This Row],[Fecha]],2)),'5. Setup'!$D$6:$E$12,2,FALSE)</f>
        <v>Sab</v>
      </c>
      <c r="E4211" t="str">
        <f>IFERROR(+VLOOKUP(Movimientos_2026[[#This Row],[Codigo]],Plan_cuentas[],2,FALSE)," ")</f>
        <v xml:space="preserve"> </v>
      </c>
      <c r="F4211" t="str">
        <f>IFERROR(+VLOOKUP(Movimientos_2026[[#This Row],[Codigo]],Plan_cuentas[],3,FALSE)," ")</f>
        <v xml:space="preserve"> </v>
      </c>
      <c r="G4211" t="str">
        <f>IFERROR(+VLOOKUP(Movimientos_2026[[#This Row],[Codigo]],Plan_cuentas[],4,FALSE)," ")</f>
        <v xml:space="preserve"> </v>
      </c>
      <c r="H4211" t="str">
        <f>IFERROR(+VLOOKUP(Movimientos_2026[[#This Row],[Codigo]],Plan_cuentas[],5,FALSE)," ")</f>
        <v xml:space="preserve"> </v>
      </c>
      <c r="I4211" s="43"/>
      <c r="K4211" t="str">
        <f>IFERROR(+VLOOKUP(Movimientos_2026[[#This Row],[Codigo]],Plan_cuentas[],6,FALSE)," ")</f>
        <v xml:space="preserve"> </v>
      </c>
      <c r="L4211" s="50"/>
      <c r="M4211" s="50"/>
      <c r="N4211" s="20">
        <f>+Movimientos_2026[[#This Row],[Ingresos]]-Movimientos_2026[[#This Row],[Egresos]]</f>
        <v>0</v>
      </c>
      <c r="O4211" s="20">
        <f>+O4210+Movimientos_2026[[#This Row],[Neto]]</f>
        <v>4581558617.7962294</v>
      </c>
    </row>
    <row r="4212" spans="1:15" x14ac:dyDescent="0.25">
      <c r="A4212" s="13"/>
      <c r="B4212" s="12">
        <f>MONTH(Movimientos_2026[[#This Row],[Fecha]])</f>
        <v>1</v>
      </c>
      <c r="C4212" s="12" t="str">
        <f>VLOOKUP((WEEKDAY(Movimientos_2026[[#This Row],[Fecha]],2)),'5. Setup'!$D$6:$E$12,2,FALSE)</f>
        <v>Sab</v>
      </c>
      <c r="E4212" t="str">
        <f>IFERROR(+VLOOKUP(Movimientos_2026[[#This Row],[Codigo]],Plan_cuentas[],2,FALSE)," ")</f>
        <v xml:space="preserve"> </v>
      </c>
      <c r="F4212" t="str">
        <f>IFERROR(+VLOOKUP(Movimientos_2026[[#This Row],[Codigo]],Plan_cuentas[],3,FALSE)," ")</f>
        <v xml:space="preserve"> </v>
      </c>
      <c r="G4212" t="str">
        <f>IFERROR(+VLOOKUP(Movimientos_2026[[#This Row],[Codigo]],Plan_cuentas[],4,FALSE)," ")</f>
        <v xml:space="preserve"> </v>
      </c>
      <c r="H4212" t="str">
        <f>IFERROR(+VLOOKUP(Movimientos_2026[[#This Row],[Codigo]],Plan_cuentas[],5,FALSE)," ")</f>
        <v xml:space="preserve"> </v>
      </c>
      <c r="I4212" s="43"/>
      <c r="K4212" t="str">
        <f>IFERROR(+VLOOKUP(Movimientos_2026[[#This Row],[Codigo]],Plan_cuentas[],6,FALSE)," ")</f>
        <v xml:space="preserve"> </v>
      </c>
      <c r="L4212" s="50"/>
      <c r="M4212" s="50"/>
      <c r="N4212" s="20">
        <f>+Movimientos_2026[[#This Row],[Ingresos]]-Movimientos_2026[[#This Row],[Egresos]]</f>
        <v>0</v>
      </c>
      <c r="O4212" s="20">
        <f>+O4211+Movimientos_2026[[#This Row],[Neto]]</f>
        <v>4581558617.7962294</v>
      </c>
    </row>
    <row r="4213" spans="1:15" x14ac:dyDescent="0.25">
      <c r="A4213" s="13"/>
      <c r="B4213" s="12">
        <f>MONTH(Movimientos_2026[[#This Row],[Fecha]])</f>
        <v>1</v>
      </c>
      <c r="C4213" s="12" t="str">
        <f>VLOOKUP((WEEKDAY(Movimientos_2026[[#This Row],[Fecha]],2)),'5. Setup'!$D$6:$E$12,2,FALSE)</f>
        <v>Sab</v>
      </c>
      <c r="E4213" t="str">
        <f>IFERROR(+VLOOKUP(Movimientos_2026[[#This Row],[Codigo]],Plan_cuentas[],2,FALSE)," ")</f>
        <v xml:space="preserve"> </v>
      </c>
      <c r="F4213" t="str">
        <f>IFERROR(+VLOOKUP(Movimientos_2026[[#This Row],[Codigo]],Plan_cuentas[],3,FALSE)," ")</f>
        <v xml:space="preserve"> </v>
      </c>
      <c r="G4213" t="str">
        <f>IFERROR(+VLOOKUP(Movimientos_2026[[#This Row],[Codigo]],Plan_cuentas[],4,FALSE)," ")</f>
        <v xml:space="preserve"> </v>
      </c>
      <c r="H4213" t="str">
        <f>IFERROR(+VLOOKUP(Movimientos_2026[[#This Row],[Codigo]],Plan_cuentas[],5,FALSE)," ")</f>
        <v xml:space="preserve"> </v>
      </c>
      <c r="I4213" s="43"/>
      <c r="K4213" t="str">
        <f>IFERROR(+VLOOKUP(Movimientos_2026[[#This Row],[Codigo]],Plan_cuentas[],6,FALSE)," ")</f>
        <v xml:space="preserve"> </v>
      </c>
      <c r="L4213" s="50"/>
      <c r="M4213" s="50"/>
      <c r="N4213" s="20">
        <f>+Movimientos_2026[[#This Row],[Ingresos]]-Movimientos_2026[[#This Row],[Egresos]]</f>
        <v>0</v>
      </c>
      <c r="O4213" s="20">
        <f>+O4212+Movimientos_2026[[#This Row],[Neto]]</f>
        <v>4581558617.7962294</v>
      </c>
    </row>
    <row r="4214" spans="1:15" x14ac:dyDescent="0.25">
      <c r="A4214" s="13"/>
      <c r="B4214" s="12">
        <f>MONTH(Movimientos_2026[[#This Row],[Fecha]])</f>
        <v>1</v>
      </c>
      <c r="C4214" s="12" t="str">
        <f>VLOOKUP((WEEKDAY(Movimientos_2026[[#This Row],[Fecha]],2)),'5. Setup'!$D$6:$E$12,2,FALSE)</f>
        <v>Sab</v>
      </c>
      <c r="E4214" t="str">
        <f>IFERROR(+VLOOKUP(Movimientos_2026[[#This Row],[Codigo]],Plan_cuentas[],2,FALSE)," ")</f>
        <v xml:space="preserve"> </v>
      </c>
      <c r="F4214" t="str">
        <f>IFERROR(+VLOOKUP(Movimientos_2026[[#This Row],[Codigo]],Plan_cuentas[],3,FALSE)," ")</f>
        <v xml:space="preserve"> </v>
      </c>
      <c r="G4214" t="str">
        <f>IFERROR(+VLOOKUP(Movimientos_2026[[#This Row],[Codigo]],Plan_cuentas[],4,FALSE)," ")</f>
        <v xml:space="preserve"> </v>
      </c>
      <c r="H4214" t="str">
        <f>IFERROR(+VLOOKUP(Movimientos_2026[[#This Row],[Codigo]],Plan_cuentas[],5,FALSE)," ")</f>
        <v xml:space="preserve"> </v>
      </c>
      <c r="I4214" s="43"/>
      <c r="K4214" t="str">
        <f>IFERROR(+VLOOKUP(Movimientos_2026[[#This Row],[Codigo]],Plan_cuentas[],6,FALSE)," ")</f>
        <v xml:space="preserve"> </v>
      </c>
      <c r="L4214" s="50"/>
      <c r="M4214" s="50"/>
      <c r="N4214" s="20">
        <f>+Movimientos_2026[[#This Row],[Ingresos]]-Movimientos_2026[[#This Row],[Egresos]]</f>
        <v>0</v>
      </c>
      <c r="O4214" s="20">
        <f>+O4213+Movimientos_2026[[#This Row],[Neto]]</f>
        <v>4581558617.7962294</v>
      </c>
    </row>
    <row r="4215" spans="1:15" x14ac:dyDescent="0.25">
      <c r="A4215" s="13"/>
      <c r="B4215" s="12">
        <f>MONTH(Movimientos_2026[[#This Row],[Fecha]])</f>
        <v>1</v>
      </c>
      <c r="C4215" s="12" t="str">
        <f>VLOOKUP((WEEKDAY(Movimientos_2026[[#This Row],[Fecha]],2)),'5. Setup'!$D$6:$E$12,2,FALSE)</f>
        <v>Sab</v>
      </c>
      <c r="E4215" t="str">
        <f>IFERROR(+VLOOKUP(Movimientos_2026[[#This Row],[Codigo]],Plan_cuentas[],2,FALSE)," ")</f>
        <v xml:space="preserve"> </v>
      </c>
      <c r="F4215" t="str">
        <f>IFERROR(+VLOOKUP(Movimientos_2026[[#This Row],[Codigo]],Plan_cuentas[],3,FALSE)," ")</f>
        <v xml:space="preserve"> </v>
      </c>
      <c r="G4215" t="str">
        <f>IFERROR(+VLOOKUP(Movimientos_2026[[#This Row],[Codigo]],Plan_cuentas[],4,FALSE)," ")</f>
        <v xml:space="preserve"> </v>
      </c>
      <c r="H4215" t="str">
        <f>IFERROR(+VLOOKUP(Movimientos_2026[[#This Row],[Codigo]],Plan_cuentas[],5,FALSE)," ")</f>
        <v xml:space="preserve"> </v>
      </c>
      <c r="I4215" s="43"/>
      <c r="K4215" t="str">
        <f>IFERROR(+VLOOKUP(Movimientos_2026[[#This Row],[Codigo]],Plan_cuentas[],6,FALSE)," ")</f>
        <v xml:space="preserve"> </v>
      </c>
      <c r="L4215" s="50"/>
      <c r="M4215" s="50"/>
      <c r="N4215" s="20">
        <f>+Movimientos_2026[[#This Row],[Ingresos]]-Movimientos_2026[[#This Row],[Egresos]]</f>
        <v>0</v>
      </c>
      <c r="O4215" s="20">
        <f>+O4214+Movimientos_2026[[#This Row],[Neto]]</f>
        <v>4581558617.7962294</v>
      </c>
    </row>
    <row r="4216" spans="1:15" x14ac:dyDescent="0.25">
      <c r="A4216" s="13"/>
      <c r="B4216" s="12">
        <f>MONTH(Movimientos_2026[[#This Row],[Fecha]])</f>
        <v>1</v>
      </c>
      <c r="C4216" s="12" t="str">
        <f>VLOOKUP((WEEKDAY(Movimientos_2026[[#This Row],[Fecha]],2)),'5. Setup'!$D$6:$E$12,2,FALSE)</f>
        <v>Sab</v>
      </c>
      <c r="E4216" t="str">
        <f>IFERROR(+VLOOKUP(Movimientos_2026[[#This Row],[Codigo]],Plan_cuentas[],2,FALSE)," ")</f>
        <v xml:space="preserve"> </v>
      </c>
      <c r="F4216" t="str">
        <f>IFERROR(+VLOOKUP(Movimientos_2026[[#This Row],[Codigo]],Plan_cuentas[],3,FALSE)," ")</f>
        <v xml:space="preserve"> </v>
      </c>
      <c r="G4216" t="str">
        <f>IFERROR(+VLOOKUP(Movimientos_2026[[#This Row],[Codigo]],Plan_cuentas[],4,FALSE)," ")</f>
        <v xml:space="preserve"> </v>
      </c>
      <c r="H4216" t="str">
        <f>IFERROR(+VLOOKUP(Movimientos_2026[[#This Row],[Codigo]],Plan_cuentas[],5,FALSE)," ")</f>
        <v xml:space="preserve"> </v>
      </c>
      <c r="I4216" s="43"/>
      <c r="K4216" t="str">
        <f>IFERROR(+VLOOKUP(Movimientos_2026[[#This Row],[Codigo]],Plan_cuentas[],6,FALSE)," ")</f>
        <v xml:space="preserve"> </v>
      </c>
      <c r="L4216" s="50"/>
      <c r="M4216" s="50"/>
      <c r="N4216" s="20">
        <f>+Movimientos_2026[[#This Row],[Ingresos]]-Movimientos_2026[[#This Row],[Egresos]]</f>
        <v>0</v>
      </c>
      <c r="O4216" s="20">
        <f>+O4215+Movimientos_2026[[#This Row],[Neto]]</f>
        <v>4581558617.7962294</v>
      </c>
    </row>
    <row r="4217" spans="1:15" x14ac:dyDescent="0.25">
      <c r="A4217" s="13"/>
      <c r="B4217" s="12">
        <f>MONTH(Movimientos_2026[[#This Row],[Fecha]])</f>
        <v>1</v>
      </c>
      <c r="C4217" s="12" t="str">
        <f>VLOOKUP((WEEKDAY(Movimientos_2026[[#This Row],[Fecha]],2)),'5. Setup'!$D$6:$E$12,2,FALSE)</f>
        <v>Sab</v>
      </c>
      <c r="E4217" t="str">
        <f>IFERROR(+VLOOKUP(Movimientos_2026[[#This Row],[Codigo]],Plan_cuentas[],2,FALSE)," ")</f>
        <v xml:space="preserve"> </v>
      </c>
      <c r="F4217" t="str">
        <f>IFERROR(+VLOOKUP(Movimientos_2026[[#This Row],[Codigo]],Plan_cuentas[],3,FALSE)," ")</f>
        <v xml:space="preserve"> </v>
      </c>
      <c r="G4217" t="str">
        <f>IFERROR(+VLOOKUP(Movimientos_2026[[#This Row],[Codigo]],Plan_cuentas[],4,FALSE)," ")</f>
        <v xml:space="preserve"> </v>
      </c>
      <c r="H4217" t="str">
        <f>IFERROR(+VLOOKUP(Movimientos_2026[[#This Row],[Codigo]],Plan_cuentas[],5,FALSE)," ")</f>
        <v xml:space="preserve"> </v>
      </c>
      <c r="I4217" s="43"/>
      <c r="K4217" t="str">
        <f>IFERROR(+VLOOKUP(Movimientos_2026[[#This Row],[Codigo]],Plan_cuentas[],6,FALSE)," ")</f>
        <v xml:space="preserve"> </v>
      </c>
      <c r="L4217" s="50"/>
      <c r="M4217" s="50"/>
      <c r="N4217" s="20">
        <f>+Movimientos_2026[[#This Row],[Ingresos]]-Movimientos_2026[[#This Row],[Egresos]]</f>
        <v>0</v>
      </c>
      <c r="O4217" s="20">
        <f>+O4216+Movimientos_2026[[#This Row],[Neto]]</f>
        <v>4581558617.7962294</v>
      </c>
    </row>
    <row r="4218" spans="1:15" x14ac:dyDescent="0.25">
      <c r="A4218" s="13"/>
      <c r="B4218" s="12">
        <f>MONTH(Movimientos_2026[[#This Row],[Fecha]])</f>
        <v>1</v>
      </c>
      <c r="C4218" s="12" t="str">
        <f>VLOOKUP((WEEKDAY(Movimientos_2026[[#This Row],[Fecha]],2)),'5. Setup'!$D$6:$E$12,2,FALSE)</f>
        <v>Sab</v>
      </c>
      <c r="E4218" t="str">
        <f>IFERROR(+VLOOKUP(Movimientos_2026[[#This Row],[Codigo]],Plan_cuentas[],2,FALSE)," ")</f>
        <v xml:space="preserve"> </v>
      </c>
      <c r="F4218" t="str">
        <f>IFERROR(+VLOOKUP(Movimientos_2026[[#This Row],[Codigo]],Plan_cuentas[],3,FALSE)," ")</f>
        <v xml:space="preserve"> </v>
      </c>
      <c r="G4218" t="str">
        <f>IFERROR(+VLOOKUP(Movimientos_2026[[#This Row],[Codigo]],Plan_cuentas[],4,FALSE)," ")</f>
        <v xml:space="preserve"> </v>
      </c>
      <c r="H4218" t="str">
        <f>IFERROR(+VLOOKUP(Movimientos_2026[[#This Row],[Codigo]],Plan_cuentas[],5,FALSE)," ")</f>
        <v xml:space="preserve"> </v>
      </c>
      <c r="I4218" s="43"/>
      <c r="K4218" t="str">
        <f>IFERROR(+VLOOKUP(Movimientos_2026[[#This Row],[Codigo]],Plan_cuentas[],6,FALSE)," ")</f>
        <v xml:space="preserve"> </v>
      </c>
      <c r="L4218" s="50"/>
      <c r="M4218" s="50"/>
      <c r="N4218" s="20">
        <f>+Movimientos_2026[[#This Row],[Ingresos]]-Movimientos_2026[[#This Row],[Egresos]]</f>
        <v>0</v>
      </c>
      <c r="O4218" s="20">
        <f>+O4217+Movimientos_2026[[#This Row],[Neto]]</f>
        <v>4581558617.7962294</v>
      </c>
    </row>
    <row r="4219" spans="1:15" x14ac:dyDescent="0.25">
      <c r="A4219" s="13"/>
      <c r="B4219" s="12">
        <f>MONTH(Movimientos_2026[[#This Row],[Fecha]])</f>
        <v>1</v>
      </c>
      <c r="C4219" s="12" t="str">
        <f>VLOOKUP((WEEKDAY(Movimientos_2026[[#This Row],[Fecha]],2)),'5. Setup'!$D$6:$E$12,2,FALSE)</f>
        <v>Sab</v>
      </c>
      <c r="E4219" t="str">
        <f>IFERROR(+VLOOKUP(Movimientos_2026[[#This Row],[Codigo]],Plan_cuentas[],2,FALSE)," ")</f>
        <v xml:space="preserve"> </v>
      </c>
      <c r="F4219" t="str">
        <f>IFERROR(+VLOOKUP(Movimientos_2026[[#This Row],[Codigo]],Plan_cuentas[],3,FALSE)," ")</f>
        <v xml:space="preserve"> </v>
      </c>
      <c r="G4219" t="str">
        <f>IFERROR(+VLOOKUP(Movimientos_2026[[#This Row],[Codigo]],Plan_cuentas[],4,FALSE)," ")</f>
        <v xml:space="preserve"> </v>
      </c>
      <c r="H4219" t="str">
        <f>IFERROR(+VLOOKUP(Movimientos_2026[[#This Row],[Codigo]],Plan_cuentas[],5,FALSE)," ")</f>
        <v xml:space="preserve"> </v>
      </c>
      <c r="I4219" s="43"/>
      <c r="K4219" t="str">
        <f>IFERROR(+VLOOKUP(Movimientos_2026[[#This Row],[Codigo]],Plan_cuentas[],6,FALSE)," ")</f>
        <v xml:space="preserve"> </v>
      </c>
      <c r="L4219" s="50"/>
      <c r="M4219" s="50"/>
      <c r="N4219" s="20">
        <f>+Movimientos_2026[[#This Row],[Ingresos]]-Movimientos_2026[[#This Row],[Egresos]]</f>
        <v>0</v>
      </c>
      <c r="O4219" s="20">
        <f>+O4218+Movimientos_2026[[#This Row],[Neto]]</f>
        <v>4581558617.7962294</v>
      </c>
    </row>
    <row r="4220" spans="1:15" x14ac:dyDescent="0.25">
      <c r="A4220" s="13"/>
      <c r="B4220" s="12">
        <f>MONTH(Movimientos_2026[[#This Row],[Fecha]])</f>
        <v>1</v>
      </c>
      <c r="C4220" s="12" t="str">
        <f>VLOOKUP((WEEKDAY(Movimientos_2026[[#This Row],[Fecha]],2)),'5. Setup'!$D$6:$E$12,2,FALSE)</f>
        <v>Sab</v>
      </c>
      <c r="E4220" t="str">
        <f>IFERROR(+VLOOKUP(Movimientos_2026[[#This Row],[Codigo]],Plan_cuentas[],2,FALSE)," ")</f>
        <v xml:space="preserve"> </v>
      </c>
      <c r="F4220" t="str">
        <f>IFERROR(+VLOOKUP(Movimientos_2026[[#This Row],[Codigo]],Plan_cuentas[],3,FALSE)," ")</f>
        <v xml:space="preserve"> </v>
      </c>
      <c r="G4220" t="str">
        <f>IFERROR(+VLOOKUP(Movimientos_2026[[#This Row],[Codigo]],Plan_cuentas[],4,FALSE)," ")</f>
        <v xml:space="preserve"> </v>
      </c>
      <c r="H4220" t="str">
        <f>IFERROR(+VLOOKUP(Movimientos_2026[[#This Row],[Codigo]],Plan_cuentas[],5,FALSE)," ")</f>
        <v xml:space="preserve"> </v>
      </c>
      <c r="I4220" s="43"/>
      <c r="K4220" t="str">
        <f>IFERROR(+VLOOKUP(Movimientos_2026[[#This Row],[Codigo]],Plan_cuentas[],6,FALSE)," ")</f>
        <v xml:space="preserve"> </v>
      </c>
      <c r="L4220" s="50"/>
      <c r="M4220" s="50"/>
      <c r="N4220" s="20">
        <f>+Movimientos_2026[[#This Row],[Ingresos]]-Movimientos_2026[[#This Row],[Egresos]]</f>
        <v>0</v>
      </c>
      <c r="O4220" s="20">
        <f>+O4219+Movimientos_2026[[#This Row],[Neto]]</f>
        <v>4581558617.7962294</v>
      </c>
    </row>
    <row r="4221" spans="1:15" x14ac:dyDescent="0.25">
      <c r="A4221" s="13"/>
      <c r="B4221" s="12">
        <f>MONTH(Movimientos_2026[[#This Row],[Fecha]])</f>
        <v>1</v>
      </c>
      <c r="C4221" s="12" t="str">
        <f>VLOOKUP((WEEKDAY(Movimientos_2026[[#This Row],[Fecha]],2)),'5. Setup'!$D$6:$E$12,2,FALSE)</f>
        <v>Sab</v>
      </c>
      <c r="E4221" t="str">
        <f>IFERROR(+VLOOKUP(Movimientos_2026[[#This Row],[Codigo]],Plan_cuentas[],2,FALSE)," ")</f>
        <v xml:space="preserve"> </v>
      </c>
      <c r="F4221" t="str">
        <f>IFERROR(+VLOOKUP(Movimientos_2026[[#This Row],[Codigo]],Plan_cuentas[],3,FALSE)," ")</f>
        <v xml:space="preserve"> </v>
      </c>
      <c r="G4221" t="str">
        <f>IFERROR(+VLOOKUP(Movimientos_2026[[#This Row],[Codigo]],Plan_cuentas[],4,FALSE)," ")</f>
        <v xml:space="preserve"> </v>
      </c>
      <c r="H4221" t="str">
        <f>IFERROR(+VLOOKUP(Movimientos_2026[[#This Row],[Codigo]],Plan_cuentas[],5,FALSE)," ")</f>
        <v xml:space="preserve"> </v>
      </c>
      <c r="I4221" s="43"/>
      <c r="K4221" t="str">
        <f>IFERROR(+VLOOKUP(Movimientos_2026[[#This Row],[Codigo]],Plan_cuentas[],6,FALSE)," ")</f>
        <v xml:space="preserve"> </v>
      </c>
      <c r="L4221" s="50"/>
      <c r="M4221" s="50"/>
      <c r="N4221" s="20">
        <f>+Movimientos_2026[[#This Row],[Ingresos]]-Movimientos_2026[[#This Row],[Egresos]]</f>
        <v>0</v>
      </c>
      <c r="O4221" s="20">
        <f>+O4220+Movimientos_2026[[#This Row],[Neto]]</f>
        <v>4581558617.7962294</v>
      </c>
    </row>
    <row r="4222" spans="1:15" x14ac:dyDescent="0.25">
      <c r="A4222" s="13"/>
      <c r="B4222" s="12">
        <f>MONTH(Movimientos_2026[[#This Row],[Fecha]])</f>
        <v>1</v>
      </c>
      <c r="C4222" s="12" t="str">
        <f>VLOOKUP((WEEKDAY(Movimientos_2026[[#This Row],[Fecha]],2)),'5. Setup'!$D$6:$E$12,2,FALSE)</f>
        <v>Sab</v>
      </c>
      <c r="E4222" t="str">
        <f>IFERROR(+VLOOKUP(Movimientos_2026[[#This Row],[Codigo]],Plan_cuentas[],2,FALSE)," ")</f>
        <v xml:space="preserve"> </v>
      </c>
      <c r="F4222" t="str">
        <f>IFERROR(+VLOOKUP(Movimientos_2026[[#This Row],[Codigo]],Plan_cuentas[],3,FALSE)," ")</f>
        <v xml:space="preserve"> </v>
      </c>
      <c r="G4222" t="str">
        <f>IFERROR(+VLOOKUP(Movimientos_2026[[#This Row],[Codigo]],Plan_cuentas[],4,FALSE)," ")</f>
        <v xml:space="preserve"> </v>
      </c>
      <c r="H4222" t="str">
        <f>IFERROR(+VLOOKUP(Movimientos_2026[[#This Row],[Codigo]],Plan_cuentas[],5,FALSE)," ")</f>
        <v xml:space="preserve"> </v>
      </c>
      <c r="I4222" s="43"/>
      <c r="K4222" t="str">
        <f>IFERROR(+VLOOKUP(Movimientos_2026[[#This Row],[Codigo]],Plan_cuentas[],6,FALSE)," ")</f>
        <v xml:space="preserve"> </v>
      </c>
      <c r="L4222" s="50"/>
      <c r="M4222" s="50"/>
      <c r="N4222" s="20">
        <f>+Movimientos_2026[[#This Row],[Ingresos]]-Movimientos_2026[[#This Row],[Egresos]]</f>
        <v>0</v>
      </c>
      <c r="O4222" s="20">
        <f>+O4221+Movimientos_2026[[#This Row],[Neto]]</f>
        <v>4581558617.7962294</v>
      </c>
    </row>
    <row r="4223" spans="1:15" x14ac:dyDescent="0.25">
      <c r="A4223" s="13"/>
      <c r="B4223" s="12">
        <f>MONTH(Movimientos_2026[[#This Row],[Fecha]])</f>
        <v>1</v>
      </c>
      <c r="C4223" s="12" t="str">
        <f>VLOOKUP((WEEKDAY(Movimientos_2026[[#This Row],[Fecha]],2)),'5. Setup'!$D$6:$E$12,2,FALSE)</f>
        <v>Sab</v>
      </c>
      <c r="E4223" t="str">
        <f>IFERROR(+VLOOKUP(Movimientos_2026[[#This Row],[Codigo]],Plan_cuentas[],2,FALSE)," ")</f>
        <v xml:space="preserve"> </v>
      </c>
      <c r="F4223" t="str">
        <f>IFERROR(+VLOOKUP(Movimientos_2026[[#This Row],[Codigo]],Plan_cuentas[],3,FALSE)," ")</f>
        <v xml:space="preserve"> </v>
      </c>
      <c r="G4223" t="str">
        <f>IFERROR(+VLOOKUP(Movimientos_2026[[#This Row],[Codigo]],Plan_cuentas[],4,FALSE)," ")</f>
        <v xml:space="preserve"> </v>
      </c>
      <c r="H4223" t="str">
        <f>IFERROR(+VLOOKUP(Movimientos_2026[[#This Row],[Codigo]],Plan_cuentas[],5,FALSE)," ")</f>
        <v xml:space="preserve"> </v>
      </c>
      <c r="I4223" s="43"/>
      <c r="K4223" t="str">
        <f>IFERROR(+VLOOKUP(Movimientos_2026[[#This Row],[Codigo]],Plan_cuentas[],6,FALSE)," ")</f>
        <v xml:space="preserve"> </v>
      </c>
      <c r="L4223" s="50"/>
      <c r="M4223" s="50"/>
      <c r="N4223" s="20">
        <f>+Movimientos_2026[[#This Row],[Ingresos]]-Movimientos_2026[[#This Row],[Egresos]]</f>
        <v>0</v>
      </c>
      <c r="O4223" s="20">
        <f>+O4222+Movimientos_2026[[#This Row],[Neto]]</f>
        <v>4581558617.7962294</v>
      </c>
    </row>
    <row r="4224" spans="1:15" x14ac:dyDescent="0.25">
      <c r="A4224" s="13"/>
      <c r="B4224" s="12">
        <f>MONTH(Movimientos_2026[[#This Row],[Fecha]])</f>
        <v>1</v>
      </c>
      <c r="C4224" s="12" t="str">
        <f>VLOOKUP((WEEKDAY(Movimientos_2026[[#This Row],[Fecha]],2)),'5. Setup'!$D$6:$E$12,2,FALSE)</f>
        <v>Sab</v>
      </c>
      <c r="E4224" t="str">
        <f>IFERROR(+VLOOKUP(Movimientos_2026[[#This Row],[Codigo]],Plan_cuentas[],2,FALSE)," ")</f>
        <v xml:space="preserve"> </v>
      </c>
      <c r="F4224" t="str">
        <f>IFERROR(+VLOOKUP(Movimientos_2026[[#This Row],[Codigo]],Plan_cuentas[],3,FALSE)," ")</f>
        <v xml:space="preserve"> </v>
      </c>
      <c r="G4224" t="str">
        <f>IFERROR(+VLOOKUP(Movimientos_2026[[#This Row],[Codigo]],Plan_cuentas[],4,FALSE)," ")</f>
        <v xml:space="preserve"> </v>
      </c>
      <c r="H4224" t="str">
        <f>IFERROR(+VLOOKUP(Movimientos_2026[[#This Row],[Codigo]],Plan_cuentas[],5,FALSE)," ")</f>
        <v xml:space="preserve"> </v>
      </c>
      <c r="I4224" s="43"/>
      <c r="K4224" t="str">
        <f>IFERROR(+VLOOKUP(Movimientos_2026[[#This Row],[Codigo]],Plan_cuentas[],6,FALSE)," ")</f>
        <v xml:space="preserve"> </v>
      </c>
      <c r="L4224" s="50"/>
      <c r="M4224" s="50"/>
      <c r="N4224" s="20">
        <f>+Movimientos_2026[[#This Row],[Ingresos]]-Movimientos_2026[[#This Row],[Egresos]]</f>
        <v>0</v>
      </c>
      <c r="O4224" s="20">
        <f>+O4223+Movimientos_2026[[#This Row],[Neto]]</f>
        <v>4581558617.7962294</v>
      </c>
    </row>
    <row r="4225" spans="1:15" x14ac:dyDescent="0.25">
      <c r="A4225" s="13"/>
      <c r="B4225" s="12">
        <f>MONTH(Movimientos_2026[[#This Row],[Fecha]])</f>
        <v>1</v>
      </c>
      <c r="C4225" s="12" t="str">
        <f>VLOOKUP((WEEKDAY(Movimientos_2026[[#This Row],[Fecha]],2)),'5. Setup'!$D$6:$E$12,2,FALSE)</f>
        <v>Sab</v>
      </c>
      <c r="E4225" t="str">
        <f>IFERROR(+VLOOKUP(Movimientos_2026[[#This Row],[Codigo]],Plan_cuentas[],2,FALSE)," ")</f>
        <v xml:space="preserve"> </v>
      </c>
      <c r="F4225" t="str">
        <f>IFERROR(+VLOOKUP(Movimientos_2026[[#This Row],[Codigo]],Plan_cuentas[],3,FALSE)," ")</f>
        <v xml:space="preserve"> </v>
      </c>
      <c r="G4225" t="str">
        <f>IFERROR(+VLOOKUP(Movimientos_2026[[#This Row],[Codigo]],Plan_cuentas[],4,FALSE)," ")</f>
        <v xml:space="preserve"> </v>
      </c>
      <c r="H4225" t="str">
        <f>IFERROR(+VLOOKUP(Movimientos_2026[[#This Row],[Codigo]],Plan_cuentas[],5,FALSE)," ")</f>
        <v xml:space="preserve"> </v>
      </c>
      <c r="I4225" s="43"/>
      <c r="K4225" t="str">
        <f>IFERROR(+VLOOKUP(Movimientos_2026[[#This Row],[Codigo]],Plan_cuentas[],6,FALSE)," ")</f>
        <v xml:space="preserve"> </v>
      </c>
      <c r="L4225" s="50"/>
      <c r="M4225" s="50"/>
      <c r="N4225" s="20">
        <f>+Movimientos_2026[[#This Row],[Ingresos]]-Movimientos_2026[[#This Row],[Egresos]]</f>
        <v>0</v>
      </c>
      <c r="O4225" s="20">
        <f>+O4224+Movimientos_2026[[#This Row],[Neto]]</f>
        <v>4581558617.7962294</v>
      </c>
    </row>
    <row r="4226" spans="1:15" x14ac:dyDescent="0.25">
      <c r="A4226" s="13"/>
      <c r="B4226" s="12">
        <f>MONTH(Movimientos_2026[[#This Row],[Fecha]])</f>
        <v>1</v>
      </c>
      <c r="C4226" s="12" t="str">
        <f>VLOOKUP((WEEKDAY(Movimientos_2026[[#This Row],[Fecha]],2)),'5. Setup'!$D$6:$E$12,2,FALSE)</f>
        <v>Sab</v>
      </c>
      <c r="E4226" t="str">
        <f>IFERROR(+VLOOKUP(Movimientos_2026[[#This Row],[Codigo]],Plan_cuentas[],2,FALSE)," ")</f>
        <v xml:space="preserve"> </v>
      </c>
      <c r="F4226" t="str">
        <f>IFERROR(+VLOOKUP(Movimientos_2026[[#This Row],[Codigo]],Plan_cuentas[],3,FALSE)," ")</f>
        <v xml:space="preserve"> </v>
      </c>
      <c r="G4226" t="str">
        <f>IFERROR(+VLOOKUP(Movimientos_2026[[#This Row],[Codigo]],Plan_cuentas[],4,FALSE)," ")</f>
        <v xml:space="preserve"> </v>
      </c>
      <c r="H4226" t="str">
        <f>IFERROR(+VLOOKUP(Movimientos_2026[[#This Row],[Codigo]],Plan_cuentas[],5,FALSE)," ")</f>
        <v xml:space="preserve"> </v>
      </c>
      <c r="I4226" s="43"/>
      <c r="K4226" t="str">
        <f>IFERROR(+VLOOKUP(Movimientos_2026[[#This Row],[Codigo]],Plan_cuentas[],6,FALSE)," ")</f>
        <v xml:space="preserve"> </v>
      </c>
      <c r="L4226" s="50"/>
      <c r="M4226" s="50"/>
      <c r="N4226" s="20">
        <f>+Movimientos_2026[[#This Row],[Ingresos]]-Movimientos_2026[[#This Row],[Egresos]]</f>
        <v>0</v>
      </c>
      <c r="O4226" s="20">
        <f>+O4225+Movimientos_2026[[#This Row],[Neto]]</f>
        <v>4581558617.7962294</v>
      </c>
    </row>
    <row r="4227" spans="1:15" x14ac:dyDescent="0.25">
      <c r="A4227" s="13"/>
      <c r="B4227" s="12">
        <f>MONTH(Movimientos_2026[[#This Row],[Fecha]])</f>
        <v>1</v>
      </c>
      <c r="C4227" s="12" t="str">
        <f>VLOOKUP((WEEKDAY(Movimientos_2026[[#This Row],[Fecha]],2)),'5. Setup'!$D$6:$E$12,2,FALSE)</f>
        <v>Sab</v>
      </c>
      <c r="E4227" t="str">
        <f>IFERROR(+VLOOKUP(Movimientos_2026[[#This Row],[Codigo]],Plan_cuentas[],2,FALSE)," ")</f>
        <v xml:space="preserve"> </v>
      </c>
      <c r="F4227" t="str">
        <f>IFERROR(+VLOOKUP(Movimientos_2026[[#This Row],[Codigo]],Plan_cuentas[],3,FALSE)," ")</f>
        <v xml:space="preserve"> </v>
      </c>
      <c r="G4227" t="str">
        <f>IFERROR(+VLOOKUP(Movimientos_2026[[#This Row],[Codigo]],Plan_cuentas[],4,FALSE)," ")</f>
        <v xml:space="preserve"> </v>
      </c>
      <c r="H4227" t="str">
        <f>IFERROR(+VLOOKUP(Movimientos_2026[[#This Row],[Codigo]],Plan_cuentas[],5,FALSE)," ")</f>
        <v xml:space="preserve"> </v>
      </c>
      <c r="I4227" s="43"/>
      <c r="K4227" t="str">
        <f>IFERROR(+VLOOKUP(Movimientos_2026[[#This Row],[Codigo]],Plan_cuentas[],6,FALSE)," ")</f>
        <v xml:space="preserve"> </v>
      </c>
      <c r="L4227" s="50"/>
      <c r="M4227" s="50"/>
      <c r="N4227" s="20">
        <f>+Movimientos_2026[[#This Row],[Ingresos]]-Movimientos_2026[[#This Row],[Egresos]]</f>
        <v>0</v>
      </c>
      <c r="O4227" s="20">
        <f>+O4226+Movimientos_2026[[#This Row],[Neto]]</f>
        <v>4581558617.7962294</v>
      </c>
    </row>
    <row r="4228" spans="1:15" x14ac:dyDescent="0.25">
      <c r="A4228" s="13"/>
      <c r="B4228" s="12">
        <f>MONTH(Movimientos_2026[[#This Row],[Fecha]])</f>
        <v>1</v>
      </c>
      <c r="C4228" s="12" t="str">
        <f>VLOOKUP((WEEKDAY(Movimientos_2026[[#This Row],[Fecha]],2)),'5. Setup'!$D$6:$E$12,2,FALSE)</f>
        <v>Sab</v>
      </c>
      <c r="E4228" t="str">
        <f>IFERROR(+VLOOKUP(Movimientos_2026[[#This Row],[Codigo]],Plan_cuentas[],2,FALSE)," ")</f>
        <v xml:space="preserve"> </v>
      </c>
      <c r="F4228" t="str">
        <f>IFERROR(+VLOOKUP(Movimientos_2026[[#This Row],[Codigo]],Plan_cuentas[],3,FALSE)," ")</f>
        <v xml:space="preserve"> </v>
      </c>
      <c r="G4228" t="str">
        <f>IFERROR(+VLOOKUP(Movimientos_2026[[#This Row],[Codigo]],Plan_cuentas[],4,FALSE)," ")</f>
        <v xml:space="preserve"> </v>
      </c>
      <c r="H4228" t="str">
        <f>IFERROR(+VLOOKUP(Movimientos_2026[[#This Row],[Codigo]],Plan_cuentas[],5,FALSE)," ")</f>
        <v xml:space="preserve"> </v>
      </c>
      <c r="I4228" s="43"/>
      <c r="K4228" t="str">
        <f>IFERROR(+VLOOKUP(Movimientos_2026[[#This Row],[Codigo]],Plan_cuentas[],6,FALSE)," ")</f>
        <v xml:space="preserve"> </v>
      </c>
      <c r="L4228" s="50"/>
      <c r="M4228" s="50"/>
      <c r="N4228" s="20">
        <f>+Movimientos_2026[[#This Row],[Ingresos]]-Movimientos_2026[[#This Row],[Egresos]]</f>
        <v>0</v>
      </c>
      <c r="O4228" s="20">
        <f>+O4227+Movimientos_2026[[#This Row],[Neto]]</f>
        <v>4581558617.7962294</v>
      </c>
    </row>
    <row r="4229" spans="1:15" x14ac:dyDescent="0.25">
      <c r="A4229" s="13"/>
      <c r="B4229" s="12">
        <f>MONTH(Movimientos_2026[[#This Row],[Fecha]])</f>
        <v>1</v>
      </c>
      <c r="C4229" s="12" t="str">
        <f>VLOOKUP((WEEKDAY(Movimientos_2026[[#This Row],[Fecha]],2)),'5. Setup'!$D$6:$E$12,2,FALSE)</f>
        <v>Sab</v>
      </c>
      <c r="E4229" t="str">
        <f>IFERROR(+VLOOKUP(Movimientos_2026[[#This Row],[Codigo]],Plan_cuentas[],2,FALSE)," ")</f>
        <v xml:space="preserve"> </v>
      </c>
      <c r="F4229" t="str">
        <f>IFERROR(+VLOOKUP(Movimientos_2026[[#This Row],[Codigo]],Plan_cuentas[],3,FALSE)," ")</f>
        <v xml:space="preserve"> </v>
      </c>
      <c r="G4229" t="str">
        <f>IFERROR(+VLOOKUP(Movimientos_2026[[#This Row],[Codigo]],Plan_cuentas[],4,FALSE)," ")</f>
        <v xml:space="preserve"> </v>
      </c>
      <c r="H4229" t="str">
        <f>IFERROR(+VLOOKUP(Movimientos_2026[[#This Row],[Codigo]],Plan_cuentas[],5,FALSE)," ")</f>
        <v xml:space="preserve"> </v>
      </c>
      <c r="I4229" s="43"/>
      <c r="K4229" t="str">
        <f>IFERROR(+VLOOKUP(Movimientos_2026[[#This Row],[Codigo]],Plan_cuentas[],6,FALSE)," ")</f>
        <v xml:space="preserve"> </v>
      </c>
      <c r="L4229" s="50"/>
      <c r="M4229" s="50"/>
      <c r="N4229" s="20">
        <f>+Movimientos_2026[[#This Row],[Ingresos]]-Movimientos_2026[[#This Row],[Egresos]]</f>
        <v>0</v>
      </c>
      <c r="O4229" s="20">
        <f>+O4228+Movimientos_2026[[#This Row],[Neto]]</f>
        <v>4581558617.7962294</v>
      </c>
    </row>
    <row r="4230" spans="1:15" x14ac:dyDescent="0.25">
      <c r="A4230" s="13"/>
      <c r="B4230" s="12">
        <f>MONTH(Movimientos_2026[[#This Row],[Fecha]])</f>
        <v>1</v>
      </c>
      <c r="C4230" s="12" t="str">
        <f>VLOOKUP((WEEKDAY(Movimientos_2026[[#This Row],[Fecha]],2)),'5. Setup'!$D$6:$E$12,2,FALSE)</f>
        <v>Sab</v>
      </c>
      <c r="E4230" t="str">
        <f>IFERROR(+VLOOKUP(Movimientos_2026[[#This Row],[Codigo]],Plan_cuentas[],2,FALSE)," ")</f>
        <v xml:space="preserve"> </v>
      </c>
      <c r="F4230" t="str">
        <f>IFERROR(+VLOOKUP(Movimientos_2026[[#This Row],[Codigo]],Plan_cuentas[],3,FALSE)," ")</f>
        <v xml:space="preserve"> </v>
      </c>
      <c r="G4230" t="str">
        <f>IFERROR(+VLOOKUP(Movimientos_2026[[#This Row],[Codigo]],Plan_cuentas[],4,FALSE)," ")</f>
        <v xml:space="preserve"> </v>
      </c>
      <c r="H4230" t="str">
        <f>IFERROR(+VLOOKUP(Movimientos_2026[[#This Row],[Codigo]],Plan_cuentas[],5,FALSE)," ")</f>
        <v xml:space="preserve"> </v>
      </c>
      <c r="I4230" s="43"/>
      <c r="K4230" t="str">
        <f>IFERROR(+VLOOKUP(Movimientos_2026[[#This Row],[Codigo]],Plan_cuentas[],6,FALSE)," ")</f>
        <v xml:space="preserve"> </v>
      </c>
      <c r="L4230" s="50"/>
      <c r="M4230" s="50"/>
      <c r="N4230" s="20">
        <f>+Movimientos_2026[[#This Row],[Ingresos]]-Movimientos_2026[[#This Row],[Egresos]]</f>
        <v>0</v>
      </c>
      <c r="O4230" s="20">
        <f>+O4229+Movimientos_2026[[#This Row],[Neto]]</f>
        <v>4581558617.7962294</v>
      </c>
    </row>
    <row r="4231" spans="1:15" x14ac:dyDescent="0.25">
      <c r="A4231" s="13"/>
      <c r="B4231" s="12">
        <f>MONTH(Movimientos_2026[[#This Row],[Fecha]])</f>
        <v>1</v>
      </c>
      <c r="C4231" s="12" t="str">
        <f>VLOOKUP((WEEKDAY(Movimientos_2026[[#This Row],[Fecha]],2)),'5. Setup'!$D$6:$E$12,2,FALSE)</f>
        <v>Sab</v>
      </c>
      <c r="E4231" t="str">
        <f>IFERROR(+VLOOKUP(Movimientos_2026[[#This Row],[Codigo]],Plan_cuentas[],2,FALSE)," ")</f>
        <v xml:space="preserve"> </v>
      </c>
      <c r="F4231" t="str">
        <f>IFERROR(+VLOOKUP(Movimientos_2026[[#This Row],[Codigo]],Plan_cuentas[],3,FALSE)," ")</f>
        <v xml:space="preserve"> </v>
      </c>
      <c r="G4231" t="str">
        <f>IFERROR(+VLOOKUP(Movimientos_2026[[#This Row],[Codigo]],Plan_cuentas[],4,FALSE)," ")</f>
        <v xml:space="preserve"> </v>
      </c>
      <c r="H4231" t="str">
        <f>IFERROR(+VLOOKUP(Movimientos_2026[[#This Row],[Codigo]],Plan_cuentas[],5,FALSE)," ")</f>
        <v xml:space="preserve"> </v>
      </c>
      <c r="I4231" s="43"/>
      <c r="K4231" t="str">
        <f>IFERROR(+VLOOKUP(Movimientos_2026[[#This Row],[Codigo]],Plan_cuentas[],6,FALSE)," ")</f>
        <v xml:space="preserve"> </v>
      </c>
      <c r="L4231" s="50"/>
      <c r="M4231" s="50"/>
      <c r="N4231" s="20">
        <f>+Movimientos_2026[[#This Row],[Ingresos]]-Movimientos_2026[[#This Row],[Egresos]]</f>
        <v>0</v>
      </c>
      <c r="O4231" s="20">
        <f>+O4230+Movimientos_2026[[#This Row],[Neto]]</f>
        <v>4581558617.7962294</v>
      </c>
    </row>
    <row r="4232" spans="1:15" x14ac:dyDescent="0.25">
      <c r="A4232" s="13"/>
      <c r="B4232" s="12">
        <f>MONTH(Movimientos_2026[[#This Row],[Fecha]])</f>
        <v>1</v>
      </c>
      <c r="C4232" s="12" t="str">
        <f>VLOOKUP((WEEKDAY(Movimientos_2026[[#This Row],[Fecha]],2)),'5. Setup'!$D$6:$E$12,2,FALSE)</f>
        <v>Sab</v>
      </c>
      <c r="E4232" t="str">
        <f>IFERROR(+VLOOKUP(Movimientos_2026[[#This Row],[Codigo]],Plan_cuentas[],2,FALSE)," ")</f>
        <v xml:space="preserve"> </v>
      </c>
      <c r="F4232" t="str">
        <f>IFERROR(+VLOOKUP(Movimientos_2026[[#This Row],[Codigo]],Plan_cuentas[],3,FALSE)," ")</f>
        <v xml:space="preserve"> </v>
      </c>
      <c r="G4232" t="str">
        <f>IFERROR(+VLOOKUP(Movimientos_2026[[#This Row],[Codigo]],Plan_cuentas[],4,FALSE)," ")</f>
        <v xml:space="preserve"> </v>
      </c>
      <c r="H4232" t="str">
        <f>IFERROR(+VLOOKUP(Movimientos_2026[[#This Row],[Codigo]],Plan_cuentas[],5,FALSE)," ")</f>
        <v xml:space="preserve"> </v>
      </c>
      <c r="I4232" s="43"/>
      <c r="K4232" t="str">
        <f>IFERROR(+VLOOKUP(Movimientos_2026[[#This Row],[Codigo]],Plan_cuentas[],6,FALSE)," ")</f>
        <v xml:space="preserve"> </v>
      </c>
      <c r="L4232" s="50"/>
      <c r="M4232" s="50"/>
      <c r="N4232" s="20">
        <f>+Movimientos_2026[[#This Row],[Ingresos]]-Movimientos_2026[[#This Row],[Egresos]]</f>
        <v>0</v>
      </c>
      <c r="O4232" s="20">
        <f>+O4231+Movimientos_2026[[#This Row],[Neto]]</f>
        <v>4581558617.7962294</v>
      </c>
    </row>
    <row r="4233" spans="1:15" x14ac:dyDescent="0.25">
      <c r="A4233" s="13"/>
      <c r="B4233" s="12">
        <f>MONTH(Movimientos_2026[[#This Row],[Fecha]])</f>
        <v>1</v>
      </c>
      <c r="C4233" s="12" t="str">
        <f>VLOOKUP((WEEKDAY(Movimientos_2026[[#This Row],[Fecha]],2)),'5. Setup'!$D$6:$E$12,2,FALSE)</f>
        <v>Sab</v>
      </c>
      <c r="E4233" t="str">
        <f>IFERROR(+VLOOKUP(Movimientos_2026[[#This Row],[Codigo]],Plan_cuentas[],2,FALSE)," ")</f>
        <v xml:space="preserve"> </v>
      </c>
      <c r="F4233" t="str">
        <f>IFERROR(+VLOOKUP(Movimientos_2026[[#This Row],[Codigo]],Plan_cuentas[],3,FALSE)," ")</f>
        <v xml:space="preserve"> </v>
      </c>
      <c r="G4233" t="str">
        <f>IFERROR(+VLOOKUP(Movimientos_2026[[#This Row],[Codigo]],Plan_cuentas[],4,FALSE)," ")</f>
        <v xml:space="preserve"> </v>
      </c>
      <c r="H4233" t="str">
        <f>IFERROR(+VLOOKUP(Movimientos_2026[[#This Row],[Codigo]],Plan_cuentas[],5,FALSE)," ")</f>
        <v xml:space="preserve"> </v>
      </c>
      <c r="I4233" s="43"/>
      <c r="K4233" t="str">
        <f>IFERROR(+VLOOKUP(Movimientos_2026[[#This Row],[Codigo]],Plan_cuentas[],6,FALSE)," ")</f>
        <v xml:space="preserve"> </v>
      </c>
      <c r="L4233" s="50"/>
      <c r="M4233" s="50"/>
      <c r="N4233" s="20">
        <f>+Movimientos_2026[[#This Row],[Ingresos]]-Movimientos_2026[[#This Row],[Egresos]]</f>
        <v>0</v>
      </c>
      <c r="O4233" s="20">
        <f>+O4232+Movimientos_2026[[#This Row],[Neto]]</f>
        <v>4581558617.7962294</v>
      </c>
    </row>
    <row r="4234" spans="1:15" x14ac:dyDescent="0.25">
      <c r="A4234" s="13"/>
      <c r="B4234" s="12">
        <f>MONTH(Movimientos_2026[[#This Row],[Fecha]])</f>
        <v>1</v>
      </c>
      <c r="C4234" s="12" t="str">
        <f>VLOOKUP((WEEKDAY(Movimientos_2026[[#This Row],[Fecha]],2)),'5. Setup'!$D$6:$E$12,2,FALSE)</f>
        <v>Sab</v>
      </c>
      <c r="E4234" t="str">
        <f>IFERROR(+VLOOKUP(Movimientos_2026[[#This Row],[Codigo]],Plan_cuentas[],2,FALSE)," ")</f>
        <v xml:space="preserve"> </v>
      </c>
      <c r="F4234" t="str">
        <f>IFERROR(+VLOOKUP(Movimientos_2026[[#This Row],[Codigo]],Plan_cuentas[],3,FALSE)," ")</f>
        <v xml:space="preserve"> </v>
      </c>
      <c r="G4234" t="str">
        <f>IFERROR(+VLOOKUP(Movimientos_2026[[#This Row],[Codigo]],Plan_cuentas[],4,FALSE)," ")</f>
        <v xml:space="preserve"> </v>
      </c>
      <c r="H4234" t="str">
        <f>IFERROR(+VLOOKUP(Movimientos_2026[[#This Row],[Codigo]],Plan_cuentas[],5,FALSE)," ")</f>
        <v xml:space="preserve"> </v>
      </c>
      <c r="I4234" s="43"/>
      <c r="K4234" t="str">
        <f>IFERROR(+VLOOKUP(Movimientos_2026[[#This Row],[Codigo]],Plan_cuentas[],6,FALSE)," ")</f>
        <v xml:space="preserve"> </v>
      </c>
      <c r="L4234" s="50"/>
      <c r="M4234" s="50"/>
      <c r="N4234" s="20">
        <f>+Movimientos_2026[[#This Row],[Ingresos]]-Movimientos_2026[[#This Row],[Egresos]]</f>
        <v>0</v>
      </c>
      <c r="O4234" s="20">
        <f>+O4233+Movimientos_2026[[#This Row],[Neto]]</f>
        <v>4581558617.7962294</v>
      </c>
    </row>
    <row r="4235" spans="1:15" x14ac:dyDescent="0.25">
      <c r="A4235" s="13"/>
      <c r="B4235" s="12">
        <f>MONTH(Movimientos_2026[[#This Row],[Fecha]])</f>
        <v>1</v>
      </c>
      <c r="C4235" s="12" t="str">
        <f>VLOOKUP((WEEKDAY(Movimientos_2026[[#This Row],[Fecha]],2)),'5. Setup'!$D$6:$E$12,2,FALSE)</f>
        <v>Sab</v>
      </c>
      <c r="E4235" t="str">
        <f>IFERROR(+VLOOKUP(Movimientos_2026[[#This Row],[Codigo]],Plan_cuentas[],2,FALSE)," ")</f>
        <v xml:space="preserve"> </v>
      </c>
      <c r="F4235" t="str">
        <f>IFERROR(+VLOOKUP(Movimientos_2026[[#This Row],[Codigo]],Plan_cuentas[],3,FALSE)," ")</f>
        <v xml:space="preserve"> </v>
      </c>
      <c r="G4235" t="str">
        <f>IFERROR(+VLOOKUP(Movimientos_2026[[#This Row],[Codigo]],Plan_cuentas[],4,FALSE)," ")</f>
        <v xml:space="preserve"> </v>
      </c>
      <c r="H4235" t="str">
        <f>IFERROR(+VLOOKUP(Movimientos_2026[[#This Row],[Codigo]],Plan_cuentas[],5,FALSE)," ")</f>
        <v xml:space="preserve"> </v>
      </c>
      <c r="I4235" s="43"/>
      <c r="K4235" t="str">
        <f>IFERROR(+VLOOKUP(Movimientos_2026[[#This Row],[Codigo]],Plan_cuentas[],6,FALSE)," ")</f>
        <v xml:space="preserve"> </v>
      </c>
      <c r="L4235" s="50"/>
      <c r="M4235" s="50"/>
      <c r="N4235" s="20">
        <f>+Movimientos_2026[[#This Row],[Ingresos]]-Movimientos_2026[[#This Row],[Egresos]]</f>
        <v>0</v>
      </c>
      <c r="O4235" s="20">
        <f>+O4234+Movimientos_2026[[#This Row],[Neto]]</f>
        <v>4581558617.7962294</v>
      </c>
    </row>
    <row r="4236" spans="1:15" x14ac:dyDescent="0.25">
      <c r="A4236" s="13"/>
      <c r="B4236" s="12">
        <f>MONTH(Movimientos_2026[[#This Row],[Fecha]])</f>
        <v>1</v>
      </c>
      <c r="C4236" s="12" t="str">
        <f>VLOOKUP((WEEKDAY(Movimientos_2026[[#This Row],[Fecha]],2)),'5. Setup'!$D$6:$E$12,2,FALSE)</f>
        <v>Sab</v>
      </c>
      <c r="E4236" t="str">
        <f>IFERROR(+VLOOKUP(Movimientos_2026[[#This Row],[Codigo]],Plan_cuentas[],2,FALSE)," ")</f>
        <v xml:space="preserve"> </v>
      </c>
      <c r="F4236" t="str">
        <f>IFERROR(+VLOOKUP(Movimientos_2026[[#This Row],[Codigo]],Plan_cuentas[],3,FALSE)," ")</f>
        <v xml:space="preserve"> </v>
      </c>
      <c r="G4236" t="str">
        <f>IFERROR(+VLOOKUP(Movimientos_2026[[#This Row],[Codigo]],Plan_cuentas[],4,FALSE)," ")</f>
        <v xml:space="preserve"> </v>
      </c>
      <c r="H4236" t="str">
        <f>IFERROR(+VLOOKUP(Movimientos_2026[[#This Row],[Codigo]],Plan_cuentas[],5,FALSE)," ")</f>
        <v xml:space="preserve"> </v>
      </c>
      <c r="I4236" s="43"/>
      <c r="K4236" t="str">
        <f>IFERROR(+VLOOKUP(Movimientos_2026[[#This Row],[Codigo]],Plan_cuentas[],6,FALSE)," ")</f>
        <v xml:space="preserve"> </v>
      </c>
      <c r="L4236" s="50"/>
      <c r="M4236" s="50"/>
      <c r="N4236" s="20">
        <f>+Movimientos_2026[[#This Row],[Ingresos]]-Movimientos_2026[[#This Row],[Egresos]]</f>
        <v>0</v>
      </c>
      <c r="O4236" s="20">
        <f>+O4235+Movimientos_2026[[#This Row],[Neto]]</f>
        <v>4581558617.7962294</v>
      </c>
    </row>
    <row r="4237" spans="1:15" x14ac:dyDescent="0.25">
      <c r="A4237" s="13"/>
      <c r="B4237" s="12">
        <f>MONTH(Movimientos_2026[[#This Row],[Fecha]])</f>
        <v>1</v>
      </c>
      <c r="C4237" s="12" t="str">
        <f>VLOOKUP((WEEKDAY(Movimientos_2026[[#This Row],[Fecha]],2)),'5. Setup'!$D$6:$E$12,2,FALSE)</f>
        <v>Sab</v>
      </c>
      <c r="E4237" t="str">
        <f>IFERROR(+VLOOKUP(Movimientos_2026[[#This Row],[Codigo]],Plan_cuentas[],2,FALSE)," ")</f>
        <v xml:space="preserve"> </v>
      </c>
      <c r="F4237" t="str">
        <f>IFERROR(+VLOOKUP(Movimientos_2026[[#This Row],[Codigo]],Plan_cuentas[],3,FALSE)," ")</f>
        <v xml:space="preserve"> </v>
      </c>
      <c r="G4237" t="str">
        <f>IFERROR(+VLOOKUP(Movimientos_2026[[#This Row],[Codigo]],Plan_cuentas[],4,FALSE)," ")</f>
        <v xml:space="preserve"> </v>
      </c>
      <c r="H4237" t="str">
        <f>IFERROR(+VLOOKUP(Movimientos_2026[[#This Row],[Codigo]],Plan_cuentas[],5,FALSE)," ")</f>
        <v xml:space="preserve"> </v>
      </c>
      <c r="I4237" s="43"/>
      <c r="K4237" t="str">
        <f>IFERROR(+VLOOKUP(Movimientos_2026[[#This Row],[Codigo]],Plan_cuentas[],6,FALSE)," ")</f>
        <v xml:space="preserve"> </v>
      </c>
      <c r="L4237" s="50"/>
      <c r="M4237" s="50"/>
      <c r="N4237" s="20">
        <f>+Movimientos_2026[[#This Row],[Ingresos]]-Movimientos_2026[[#This Row],[Egresos]]</f>
        <v>0</v>
      </c>
      <c r="O4237" s="20">
        <f>+O4236+Movimientos_2026[[#This Row],[Neto]]</f>
        <v>4581558617.7962294</v>
      </c>
    </row>
    <row r="4238" spans="1:15" x14ac:dyDescent="0.25">
      <c r="A4238" s="13"/>
      <c r="B4238" s="12">
        <f>MONTH(Movimientos_2026[[#This Row],[Fecha]])</f>
        <v>1</v>
      </c>
      <c r="C4238" s="12" t="str">
        <f>VLOOKUP((WEEKDAY(Movimientos_2026[[#This Row],[Fecha]],2)),'5. Setup'!$D$6:$E$12,2,FALSE)</f>
        <v>Sab</v>
      </c>
      <c r="E4238" t="str">
        <f>IFERROR(+VLOOKUP(Movimientos_2026[[#This Row],[Codigo]],Plan_cuentas[],2,FALSE)," ")</f>
        <v xml:space="preserve"> </v>
      </c>
      <c r="F4238" t="str">
        <f>IFERROR(+VLOOKUP(Movimientos_2026[[#This Row],[Codigo]],Plan_cuentas[],3,FALSE)," ")</f>
        <v xml:space="preserve"> </v>
      </c>
      <c r="G4238" t="str">
        <f>IFERROR(+VLOOKUP(Movimientos_2026[[#This Row],[Codigo]],Plan_cuentas[],4,FALSE)," ")</f>
        <v xml:space="preserve"> </v>
      </c>
      <c r="H4238" t="str">
        <f>IFERROR(+VLOOKUP(Movimientos_2026[[#This Row],[Codigo]],Plan_cuentas[],5,FALSE)," ")</f>
        <v xml:space="preserve"> </v>
      </c>
      <c r="I4238" s="43"/>
      <c r="K4238" t="str">
        <f>IFERROR(+VLOOKUP(Movimientos_2026[[#This Row],[Codigo]],Plan_cuentas[],6,FALSE)," ")</f>
        <v xml:space="preserve"> </v>
      </c>
      <c r="L4238" s="50"/>
      <c r="M4238" s="50"/>
      <c r="N4238" s="20">
        <f>+Movimientos_2026[[#This Row],[Ingresos]]-Movimientos_2026[[#This Row],[Egresos]]</f>
        <v>0</v>
      </c>
      <c r="O4238" s="20">
        <f>+O4237+Movimientos_2026[[#This Row],[Neto]]</f>
        <v>4581558617.7962294</v>
      </c>
    </row>
    <row r="4239" spans="1:15" x14ac:dyDescent="0.25">
      <c r="A4239" s="13"/>
      <c r="B4239" s="12">
        <f>MONTH(Movimientos_2026[[#This Row],[Fecha]])</f>
        <v>1</v>
      </c>
      <c r="C4239" s="12" t="str">
        <f>VLOOKUP((WEEKDAY(Movimientos_2026[[#This Row],[Fecha]],2)),'5. Setup'!$D$6:$E$12,2,FALSE)</f>
        <v>Sab</v>
      </c>
      <c r="E4239" t="str">
        <f>IFERROR(+VLOOKUP(Movimientos_2026[[#This Row],[Codigo]],Plan_cuentas[],2,FALSE)," ")</f>
        <v xml:space="preserve"> </v>
      </c>
      <c r="F4239" t="str">
        <f>IFERROR(+VLOOKUP(Movimientos_2026[[#This Row],[Codigo]],Plan_cuentas[],3,FALSE)," ")</f>
        <v xml:space="preserve"> </v>
      </c>
      <c r="G4239" t="str">
        <f>IFERROR(+VLOOKUP(Movimientos_2026[[#This Row],[Codigo]],Plan_cuentas[],4,FALSE)," ")</f>
        <v xml:space="preserve"> </v>
      </c>
      <c r="H4239" t="str">
        <f>IFERROR(+VLOOKUP(Movimientos_2026[[#This Row],[Codigo]],Plan_cuentas[],5,FALSE)," ")</f>
        <v xml:space="preserve"> </v>
      </c>
      <c r="I4239" s="43"/>
      <c r="K4239" t="str">
        <f>IFERROR(+VLOOKUP(Movimientos_2026[[#This Row],[Codigo]],Plan_cuentas[],6,FALSE)," ")</f>
        <v xml:space="preserve"> </v>
      </c>
      <c r="L4239" s="50"/>
      <c r="M4239" s="50"/>
      <c r="N4239" s="20">
        <f>+Movimientos_2026[[#This Row],[Ingresos]]-Movimientos_2026[[#This Row],[Egresos]]</f>
        <v>0</v>
      </c>
      <c r="O4239" s="20">
        <f>+O4238+Movimientos_2026[[#This Row],[Neto]]</f>
        <v>4581558617.7962294</v>
      </c>
    </row>
    <row r="4240" spans="1:15" x14ac:dyDescent="0.25">
      <c r="A4240" s="13"/>
      <c r="B4240" s="12">
        <f>MONTH(Movimientos_2026[[#This Row],[Fecha]])</f>
        <v>1</v>
      </c>
      <c r="C4240" s="12" t="str">
        <f>VLOOKUP((WEEKDAY(Movimientos_2026[[#This Row],[Fecha]],2)),'5. Setup'!$D$6:$E$12,2,FALSE)</f>
        <v>Sab</v>
      </c>
      <c r="E4240" t="str">
        <f>IFERROR(+VLOOKUP(Movimientos_2026[[#This Row],[Codigo]],Plan_cuentas[],2,FALSE)," ")</f>
        <v xml:space="preserve"> </v>
      </c>
      <c r="F4240" t="str">
        <f>IFERROR(+VLOOKUP(Movimientos_2026[[#This Row],[Codigo]],Plan_cuentas[],3,FALSE)," ")</f>
        <v xml:space="preserve"> </v>
      </c>
      <c r="G4240" t="str">
        <f>IFERROR(+VLOOKUP(Movimientos_2026[[#This Row],[Codigo]],Plan_cuentas[],4,FALSE)," ")</f>
        <v xml:space="preserve"> </v>
      </c>
      <c r="H4240" t="str">
        <f>IFERROR(+VLOOKUP(Movimientos_2026[[#This Row],[Codigo]],Plan_cuentas[],5,FALSE)," ")</f>
        <v xml:space="preserve"> </v>
      </c>
      <c r="I4240" s="43"/>
      <c r="K4240" t="str">
        <f>IFERROR(+VLOOKUP(Movimientos_2026[[#This Row],[Codigo]],Plan_cuentas[],6,FALSE)," ")</f>
        <v xml:space="preserve"> </v>
      </c>
      <c r="L4240" s="50"/>
      <c r="M4240" s="50"/>
      <c r="N4240" s="20">
        <f>+Movimientos_2026[[#This Row],[Ingresos]]-Movimientos_2026[[#This Row],[Egresos]]</f>
        <v>0</v>
      </c>
      <c r="O4240" s="20">
        <f>+O4239+Movimientos_2026[[#This Row],[Neto]]</f>
        <v>4581558617.7962294</v>
      </c>
    </row>
    <row r="4241" spans="1:15" x14ac:dyDescent="0.25">
      <c r="A4241" s="13"/>
      <c r="B4241" s="12">
        <f>MONTH(Movimientos_2026[[#This Row],[Fecha]])</f>
        <v>1</v>
      </c>
      <c r="C4241" s="12" t="str">
        <f>VLOOKUP((WEEKDAY(Movimientos_2026[[#This Row],[Fecha]],2)),'5. Setup'!$D$6:$E$12,2,FALSE)</f>
        <v>Sab</v>
      </c>
      <c r="E4241" t="str">
        <f>IFERROR(+VLOOKUP(Movimientos_2026[[#This Row],[Codigo]],Plan_cuentas[],2,FALSE)," ")</f>
        <v xml:space="preserve"> </v>
      </c>
      <c r="F4241" t="str">
        <f>IFERROR(+VLOOKUP(Movimientos_2026[[#This Row],[Codigo]],Plan_cuentas[],3,FALSE)," ")</f>
        <v xml:space="preserve"> </v>
      </c>
      <c r="G4241" t="str">
        <f>IFERROR(+VLOOKUP(Movimientos_2026[[#This Row],[Codigo]],Plan_cuentas[],4,FALSE)," ")</f>
        <v xml:space="preserve"> </v>
      </c>
      <c r="H4241" t="str">
        <f>IFERROR(+VLOOKUP(Movimientos_2026[[#This Row],[Codigo]],Plan_cuentas[],5,FALSE)," ")</f>
        <v xml:space="preserve"> </v>
      </c>
      <c r="I4241" s="43"/>
      <c r="K4241" t="str">
        <f>IFERROR(+VLOOKUP(Movimientos_2026[[#This Row],[Codigo]],Plan_cuentas[],6,FALSE)," ")</f>
        <v xml:space="preserve"> </v>
      </c>
      <c r="L4241" s="50"/>
      <c r="M4241" s="50"/>
      <c r="N4241" s="20">
        <f>+Movimientos_2026[[#This Row],[Ingresos]]-Movimientos_2026[[#This Row],[Egresos]]</f>
        <v>0</v>
      </c>
      <c r="O4241" s="20">
        <f>+O4240+Movimientos_2026[[#This Row],[Neto]]</f>
        <v>4581558617.7962294</v>
      </c>
    </row>
    <row r="4242" spans="1:15" x14ac:dyDescent="0.25">
      <c r="A4242" s="13"/>
      <c r="B4242" s="12">
        <f>MONTH(Movimientos_2026[[#This Row],[Fecha]])</f>
        <v>1</v>
      </c>
      <c r="C4242" s="12" t="str">
        <f>VLOOKUP((WEEKDAY(Movimientos_2026[[#This Row],[Fecha]],2)),'5. Setup'!$D$6:$E$12,2,FALSE)</f>
        <v>Sab</v>
      </c>
      <c r="E4242" t="str">
        <f>IFERROR(+VLOOKUP(Movimientos_2026[[#This Row],[Codigo]],Plan_cuentas[],2,FALSE)," ")</f>
        <v xml:space="preserve"> </v>
      </c>
      <c r="F4242" t="str">
        <f>IFERROR(+VLOOKUP(Movimientos_2026[[#This Row],[Codigo]],Plan_cuentas[],3,FALSE)," ")</f>
        <v xml:space="preserve"> </v>
      </c>
      <c r="G4242" t="str">
        <f>IFERROR(+VLOOKUP(Movimientos_2026[[#This Row],[Codigo]],Plan_cuentas[],4,FALSE)," ")</f>
        <v xml:space="preserve"> </v>
      </c>
      <c r="H4242" t="str">
        <f>IFERROR(+VLOOKUP(Movimientos_2026[[#This Row],[Codigo]],Plan_cuentas[],5,FALSE)," ")</f>
        <v xml:space="preserve"> </v>
      </c>
      <c r="I4242" s="43"/>
      <c r="K4242" t="str">
        <f>IFERROR(+VLOOKUP(Movimientos_2026[[#This Row],[Codigo]],Plan_cuentas[],6,FALSE)," ")</f>
        <v xml:space="preserve"> </v>
      </c>
      <c r="L4242" s="50"/>
      <c r="M4242" s="50"/>
      <c r="N4242" s="20">
        <f>+Movimientos_2026[[#This Row],[Ingresos]]-Movimientos_2026[[#This Row],[Egresos]]</f>
        <v>0</v>
      </c>
      <c r="O4242" s="20">
        <f>+O4241+Movimientos_2026[[#This Row],[Neto]]</f>
        <v>4581558617.7962294</v>
      </c>
    </row>
    <row r="4243" spans="1:15" x14ac:dyDescent="0.25">
      <c r="A4243" s="13"/>
      <c r="B4243" s="12">
        <f>MONTH(Movimientos_2026[[#This Row],[Fecha]])</f>
        <v>1</v>
      </c>
      <c r="C4243" s="12" t="str">
        <f>VLOOKUP((WEEKDAY(Movimientos_2026[[#This Row],[Fecha]],2)),'5. Setup'!$D$6:$E$12,2,FALSE)</f>
        <v>Sab</v>
      </c>
      <c r="E4243" t="str">
        <f>IFERROR(+VLOOKUP(Movimientos_2026[[#This Row],[Codigo]],Plan_cuentas[],2,FALSE)," ")</f>
        <v xml:space="preserve"> </v>
      </c>
      <c r="F4243" t="str">
        <f>IFERROR(+VLOOKUP(Movimientos_2026[[#This Row],[Codigo]],Plan_cuentas[],3,FALSE)," ")</f>
        <v xml:space="preserve"> </v>
      </c>
      <c r="G4243" t="str">
        <f>IFERROR(+VLOOKUP(Movimientos_2026[[#This Row],[Codigo]],Plan_cuentas[],4,FALSE)," ")</f>
        <v xml:space="preserve"> </v>
      </c>
      <c r="H4243" t="str">
        <f>IFERROR(+VLOOKUP(Movimientos_2026[[#This Row],[Codigo]],Plan_cuentas[],5,FALSE)," ")</f>
        <v xml:space="preserve"> </v>
      </c>
      <c r="I4243" s="43"/>
      <c r="K4243" t="str">
        <f>IFERROR(+VLOOKUP(Movimientos_2026[[#This Row],[Codigo]],Plan_cuentas[],6,FALSE)," ")</f>
        <v xml:space="preserve"> </v>
      </c>
      <c r="L4243" s="50"/>
      <c r="M4243" s="50"/>
      <c r="N4243" s="20">
        <f>+Movimientos_2026[[#This Row],[Ingresos]]-Movimientos_2026[[#This Row],[Egresos]]</f>
        <v>0</v>
      </c>
      <c r="O4243" s="20">
        <f>+O4242+Movimientos_2026[[#This Row],[Neto]]</f>
        <v>4581558617.7962294</v>
      </c>
    </row>
    <row r="4244" spans="1:15" x14ac:dyDescent="0.25">
      <c r="A4244" s="13"/>
      <c r="B4244" s="12">
        <f>MONTH(Movimientos_2026[[#This Row],[Fecha]])</f>
        <v>1</v>
      </c>
      <c r="C4244" s="12" t="str">
        <f>VLOOKUP((WEEKDAY(Movimientos_2026[[#This Row],[Fecha]],2)),'5. Setup'!$D$6:$E$12,2,FALSE)</f>
        <v>Sab</v>
      </c>
      <c r="E4244" t="str">
        <f>IFERROR(+VLOOKUP(Movimientos_2026[[#This Row],[Codigo]],Plan_cuentas[],2,FALSE)," ")</f>
        <v xml:space="preserve"> </v>
      </c>
      <c r="F4244" t="str">
        <f>IFERROR(+VLOOKUP(Movimientos_2026[[#This Row],[Codigo]],Plan_cuentas[],3,FALSE)," ")</f>
        <v xml:space="preserve"> </v>
      </c>
      <c r="G4244" t="str">
        <f>IFERROR(+VLOOKUP(Movimientos_2026[[#This Row],[Codigo]],Plan_cuentas[],4,FALSE)," ")</f>
        <v xml:space="preserve"> </v>
      </c>
      <c r="H4244" t="str">
        <f>IFERROR(+VLOOKUP(Movimientos_2026[[#This Row],[Codigo]],Plan_cuentas[],5,FALSE)," ")</f>
        <v xml:space="preserve"> </v>
      </c>
      <c r="I4244" s="43"/>
      <c r="K4244" t="str">
        <f>IFERROR(+VLOOKUP(Movimientos_2026[[#This Row],[Codigo]],Plan_cuentas[],6,FALSE)," ")</f>
        <v xml:space="preserve"> </v>
      </c>
      <c r="L4244" s="50"/>
      <c r="M4244" s="50"/>
      <c r="N4244" s="20">
        <f>+Movimientos_2026[[#This Row],[Ingresos]]-Movimientos_2026[[#This Row],[Egresos]]</f>
        <v>0</v>
      </c>
      <c r="O4244" s="20">
        <f>+O4243+Movimientos_2026[[#This Row],[Neto]]</f>
        <v>4581558617.7962294</v>
      </c>
    </row>
    <row r="4245" spans="1:15" x14ac:dyDescent="0.25">
      <c r="A4245" s="13"/>
      <c r="B4245" s="12">
        <f>MONTH(Movimientos_2026[[#This Row],[Fecha]])</f>
        <v>1</v>
      </c>
      <c r="C4245" s="12" t="str">
        <f>VLOOKUP((WEEKDAY(Movimientos_2026[[#This Row],[Fecha]],2)),'5. Setup'!$D$6:$E$12,2,FALSE)</f>
        <v>Sab</v>
      </c>
      <c r="E4245" t="str">
        <f>IFERROR(+VLOOKUP(Movimientos_2026[[#This Row],[Codigo]],Plan_cuentas[],2,FALSE)," ")</f>
        <v xml:space="preserve"> </v>
      </c>
      <c r="F4245" t="str">
        <f>IFERROR(+VLOOKUP(Movimientos_2026[[#This Row],[Codigo]],Plan_cuentas[],3,FALSE)," ")</f>
        <v xml:space="preserve"> </v>
      </c>
      <c r="G4245" t="str">
        <f>IFERROR(+VLOOKUP(Movimientos_2026[[#This Row],[Codigo]],Plan_cuentas[],4,FALSE)," ")</f>
        <v xml:space="preserve"> </v>
      </c>
      <c r="H4245" t="str">
        <f>IFERROR(+VLOOKUP(Movimientos_2026[[#This Row],[Codigo]],Plan_cuentas[],5,FALSE)," ")</f>
        <v xml:space="preserve"> </v>
      </c>
      <c r="I4245" s="43"/>
      <c r="K4245" t="str">
        <f>IFERROR(+VLOOKUP(Movimientos_2026[[#This Row],[Codigo]],Plan_cuentas[],6,FALSE)," ")</f>
        <v xml:space="preserve"> </v>
      </c>
      <c r="L4245" s="50"/>
      <c r="M4245" s="50"/>
      <c r="N4245" s="20">
        <f>+Movimientos_2026[[#This Row],[Ingresos]]-Movimientos_2026[[#This Row],[Egresos]]</f>
        <v>0</v>
      </c>
      <c r="O4245" s="20">
        <f>+O4244+Movimientos_2026[[#This Row],[Neto]]</f>
        <v>4581558617.7962294</v>
      </c>
    </row>
    <row r="4246" spans="1:15" x14ac:dyDescent="0.25">
      <c r="A4246" s="13"/>
      <c r="B4246" s="12">
        <f>MONTH(Movimientos_2026[[#This Row],[Fecha]])</f>
        <v>1</v>
      </c>
      <c r="C4246" s="12" t="str">
        <f>VLOOKUP((WEEKDAY(Movimientos_2026[[#This Row],[Fecha]],2)),'5. Setup'!$D$6:$E$12,2,FALSE)</f>
        <v>Sab</v>
      </c>
      <c r="E4246" t="str">
        <f>IFERROR(+VLOOKUP(Movimientos_2026[[#This Row],[Codigo]],Plan_cuentas[],2,FALSE)," ")</f>
        <v xml:space="preserve"> </v>
      </c>
      <c r="F4246" t="str">
        <f>IFERROR(+VLOOKUP(Movimientos_2026[[#This Row],[Codigo]],Plan_cuentas[],3,FALSE)," ")</f>
        <v xml:space="preserve"> </v>
      </c>
      <c r="G4246" t="str">
        <f>IFERROR(+VLOOKUP(Movimientos_2026[[#This Row],[Codigo]],Plan_cuentas[],4,FALSE)," ")</f>
        <v xml:space="preserve"> </v>
      </c>
      <c r="H4246" t="str">
        <f>IFERROR(+VLOOKUP(Movimientos_2026[[#This Row],[Codigo]],Plan_cuentas[],5,FALSE)," ")</f>
        <v xml:space="preserve"> </v>
      </c>
      <c r="I4246" s="43"/>
      <c r="K4246" t="str">
        <f>IFERROR(+VLOOKUP(Movimientos_2026[[#This Row],[Codigo]],Plan_cuentas[],6,FALSE)," ")</f>
        <v xml:space="preserve"> </v>
      </c>
      <c r="L4246" s="50"/>
      <c r="M4246" s="50"/>
      <c r="N4246" s="20">
        <f>+Movimientos_2026[[#This Row],[Ingresos]]-Movimientos_2026[[#This Row],[Egresos]]</f>
        <v>0</v>
      </c>
      <c r="O4246" s="20">
        <f>+O4245+Movimientos_2026[[#This Row],[Neto]]</f>
        <v>4581558617.7962294</v>
      </c>
    </row>
    <row r="4247" spans="1:15" x14ac:dyDescent="0.25">
      <c r="A4247" s="13"/>
      <c r="B4247" s="12">
        <f>MONTH(Movimientos_2026[[#This Row],[Fecha]])</f>
        <v>1</v>
      </c>
      <c r="C4247" s="12" t="str">
        <f>VLOOKUP((WEEKDAY(Movimientos_2026[[#This Row],[Fecha]],2)),'5. Setup'!$D$6:$E$12,2,FALSE)</f>
        <v>Sab</v>
      </c>
      <c r="E4247" t="str">
        <f>IFERROR(+VLOOKUP(Movimientos_2026[[#This Row],[Codigo]],Plan_cuentas[],2,FALSE)," ")</f>
        <v xml:space="preserve"> </v>
      </c>
      <c r="F4247" t="str">
        <f>IFERROR(+VLOOKUP(Movimientos_2026[[#This Row],[Codigo]],Plan_cuentas[],3,FALSE)," ")</f>
        <v xml:space="preserve"> </v>
      </c>
      <c r="G4247" t="str">
        <f>IFERROR(+VLOOKUP(Movimientos_2026[[#This Row],[Codigo]],Plan_cuentas[],4,FALSE)," ")</f>
        <v xml:space="preserve"> </v>
      </c>
      <c r="H4247" t="str">
        <f>IFERROR(+VLOOKUP(Movimientos_2026[[#This Row],[Codigo]],Plan_cuentas[],5,FALSE)," ")</f>
        <v xml:space="preserve"> </v>
      </c>
      <c r="I4247" s="43"/>
      <c r="K4247" t="str">
        <f>IFERROR(+VLOOKUP(Movimientos_2026[[#This Row],[Codigo]],Plan_cuentas[],6,FALSE)," ")</f>
        <v xml:space="preserve"> </v>
      </c>
      <c r="L4247" s="50"/>
      <c r="M4247" s="50"/>
      <c r="N4247" s="20">
        <f>+Movimientos_2026[[#This Row],[Ingresos]]-Movimientos_2026[[#This Row],[Egresos]]</f>
        <v>0</v>
      </c>
      <c r="O4247" s="20">
        <f>+O4246+Movimientos_2026[[#This Row],[Neto]]</f>
        <v>4581558617.7962294</v>
      </c>
    </row>
    <row r="4248" spans="1:15" x14ac:dyDescent="0.25">
      <c r="A4248" s="13"/>
      <c r="B4248" s="12">
        <f>MONTH(Movimientos_2026[[#This Row],[Fecha]])</f>
        <v>1</v>
      </c>
      <c r="C4248" s="12" t="str">
        <f>VLOOKUP((WEEKDAY(Movimientos_2026[[#This Row],[Fecha]],2)),'5. Setup'!$D$6:$E$12,2,FALSE)</f>
        <v>Sab</v>
      </c>
      <c r="E4248" t="str">
        <f>IFERROR(+VLOOKUP(Movimientos_2026[[#This Row],[Codigo]],Plan_cuentas[],2,FALSE)," ")</f>
        <v xml:space="preserve"> </v>
      </c>
      <c r="F4248" t="str">
        <f>IFERROR(+VLOOKUP(Movimientos_2026[[#This Row],[Codigo]],Plan_cuentas[],3,FALSE)," ")</f>
        <v xml:space="preserve"> </v>
      </c>
      <c r="G4248" t="str">
        <f>IFERROR(+VLOOKUP(Movimientos_2026[[#This Row],[Codigo]],Plan_cuentas[],4,FALSE)," ")</f>
        <v xml:space="preserve"> </v>
      </c>
      <c r="H4248" t="str">
        <f>IFERROR(+VLOOKUP(Movimientos_2026[[#This Row],[Codigo]],Plan_cuentas[],5,FALSE)," ")</f>
        <v xml:space="preserve"> </v>
      </c>
      <c r="I4248" s="43"/>
      <c r="K4248" t="str">
        <f>IFERROR(+VLOOKUP(Movimientos_2026[[#This Row],[Codigo]],Plan_cuentas[],6,FALSE)," ")</f>
        <v xml:space="preserve"> </v>
      </c>
      <c r="L4248" s="50"/>
      <c r="M4248" s="50"/>
      <c r="N4248" s="20">
        <f>+Movimientos_2026[[#This Row],[Ingresos]]-Movimientos_2026[[#This Row],[Egresos]]</f>
        <v>0</v>
      </c>
      <c r="O4248" s="20">
        <f>+O4247+Movimientos_2026[[#This Row],[Neto]]</f>
        <v>4581558617.7962294</v>
      </c>
    </row>
    <row r="4249" spans="1:15" x14ac:dyDescent="0.25">
      <c r="A4249" s="13"/>
      <c r="B4249" s="12">
        <f>MONTH(Movimientos_2026[[#This Row],[Fecha]])</f>
        <v>1</v>
      </c>
      <c r="C4249" s="12" t="str">
        <f>VLOOKUP((WEEKDAY(Movimientos_2026[[#This Row],[Fecha]],2)),'5. Setup'!$D$6:$E$12,2,FALSE)</f>
        <v>Sab</v>
      </c>
      <c r="E4249" t="str">
        <f>IFERROR(+VLOOKUP(Movimientos_2026[[#This Row],[Codigo]],Plan_cuentas[],2,FALSE)," ")</f>
        <v xml:space="preserve"> </v>
      </c>
      <c r="F4249" t="str">
        <f>IFERROR(+VLOOKUP(Movimientos_2026[[#This Row],[Codigo]],Plan_cuentas[],3,FALSE)," ")</f>
        <v xml:space="preserve"> </v>
      </c>
      <c r="G4249" t="str">
        <f>IFERROR(+VLOOKUP(Movimientos_2026[[#This Row],[Codigo]],Plan_cuentas[],4,FALSE)," ")</f>
        <v xml:space="preserve"> </v>
      </c>
      <c r="H4249" t="str">
        <f>IFERROR(+VLOOKUP(Movimientos_2026[[#This Row],[Codigo]],Plan_cuentas[],5,FALSE)," ")</f>
        <v xml:space="preserve"> </v>
      </c>
      <c r="I4249" s="43"/>
      <c r="K4249" t="str">
        <f>IFERROR(+VLOOKUP(Movimientos_2026[[#This Row],[Codigo]],Plan_cuentas[],6,FALSE)," ")</f>
        <v xml:space="preserve"> </v>
      </c>
      <c r="L4249" s="50"/>
      <c r="M4249" s="50"/>
      <c r="N4249" s="20">
        <f>+Movimientos_2026[[#This Row],[Ingresos]]-Movimientos_2026[[#This Row],[Egresos]]</f>
        <v>0</v>
      </c>
      <c r="O4249" s="20">
        <f>+O4248+Movimientos_2026[[#This Row],[Neto]]</f>
        <v>4581558617.7962294</v>
      </c>
    </row>
    <row r="4250" spans="1:15" x14ac:dyDescent="0.25">
      <c r="A4250" s="13"/>
      <c r="B4250" s="12">
        <f>MONTH(Movimientos_2026[[#This Row],[Fecha]])</f>
        <v>1</v>
      </c>
      <c r="C4250" s="12" t="str">
        <f>VLOOKUP((WEEKDAY(Movimientos_2026[[#This Row],[Fecha]],2)),'5. Setup'!$D$6:$E$12,2,FALSE)</f>
        <v>Sab</v>
      </c>
      <c r="E4250" t="str">
        <f>IFERROR(+VLOOKUP(Movimientos_2026[[#This Row],[Codigo]],Plan_cuentas[],2,FALSE)," ")</f>
        <v xml:space="preserve"> </v>
      </c>
      <c r="F4250" t="str">
        <f>IFERROR(+VLOOKUP(Movimientos_2026[[#This Row],[Codigo]],Plan_cuentas[],3,FALSE)," ")</f>
        <v xml:space="preserve"> </v>
      </c>
      <c r="G4250" t="str">
        <f>IFERROR(+VLOOKUP(Movimientos_2026[[#This Row],[Codigo]],Plan_cuentas[],4,FALSE)," ")</f>
        <v xml:space="preserve"> </v>
      </c>
      <c r="H4250" t="str">
        <f>IFERROR(+VLOOKUP(Movimientos_2026[[#This Row],[Codigo]],Plan_cuentas[],5,FALSE)," ")</f>
        <v xml:space="preserve"> </v>
      </c>
      <c r="I4250" s="43"/>
      <c r="K4250" t="str">
        <f>IFERROR(+VLOOKUP(Movimientos_2026[[#This Row],[Codigo]],Plan_cuentas[],6,FALSE)," ")</f>
        <v xml:space="preserve"> </v>
      </c>
      <c r="L4250" s="50"/>
      <c r="M4250" s="50"/>
      <c r="N4250" s="20">
        <f>+Movimientos_2026[[#This Row],[Ingresos]]-Movimientos_2026[[#This Row],[Egresos]]</f>
        <v>0</v>
      </c>
      <c r="O4250" s="20">
        <f>+O4249+Movimientos_2026[[#This Row],[Neto]]</f>
        <v>4581558617.7962294</v>
      </c>
    </row>
    <row r="4251" spans="1:15" x14ac:dyDescent="0.25">
      <c r="A4251" s="13"/>
      <c r="B4251" s="12">
        <f>MONTH(Movimientos_2026[[#This Row],[Fecha]])</f>
        <v>1</v>
      </c>
      <c r="C4251" s="12" t="str">
        <f>VLOOKUP((WEEKDAY(Movimientos_2026[[#This Row],[Fecha]],2)),'5. Setup'!$D$6:$E$12,2,FALSE)</f>
        <v>Sab</v>
      </c>
      <c r="E4251" t="str">
        <f>IFERROR(+VLOOKUP(Movimientos_2026[[#This Row],[Codigo]],Plan_cuentas[],2,FALSE)," ")</f>
        <v xml:space="preserve"> </v>
      </c>
      <c r="F4251" t="str">
        <f>IFERROR(+VLOOKUP(Movimientos_2026[[#This Row],[Codigo]],Plan_cuentas[],3,FALSE)," ")</f>
        <v xml:space="preserve"> </v>
      </c>
      <c r="G4251" t="str">
        <f>IFERROR(+VLOOKUP(Movimientos_2026[[#This Row],[Codigo]],Plan_cuentas[],4,FALSE)," ")</f>
        <v xml:space="preserve"> </v>
      </c>
      <c r="H4251" t="str">
        <f>IFERROR(+VLOOKUP(Movimientos_2026[[#This Row],[Codigo]],Plan_cuentas[],5,FALSE)," ")</f>
        <v xml:space="preserve"> </v>
      </c>
      <c r="I4251" s="43"/>
      <c r="K4251" t="str">
        <f>IFERROR(+VLOOKUP(Movimientos_2026[[#This Row],[Codigo]],Plan_cuentas[],6,FALSE)," ")</f>
        <v xml:space="preserve"> </v>
      </c>
      <c r="L4251" s="50"/>
      <c r="M4251" s="50"/>
      <c r="N4251" s="20">
        <f>+Movimientos_2026[[#This Row],[Ingresos]]-Movimientos_2026[[#This Row],[Egresos]]</f>
        <v>0</v>
      </c>
      <c r="O4251" s="20">
        <f>+O4250+Movimientos_2026[[#This Row],[Neto]]</f>
        <v>4581558617.7962294</v>
      </c>
    </row>
    <row r="4252" spans="1:15" x14ac:dyDescent="0.25">
      <c r="A4252" s="13"/>
      <c r="B4252" s="12">
        <f>MONTH(Movimientos_2026[[#This Row],[Fecha]])</f>
        <v>1</v>
      </c>
      <c r="C4252" s="12" t="str">
        <f>VLOOKUP((WEEKDAY(Movimientos_2026[[#This Row],[Fecha]],2)),'5. Setup'!$D$6:$E$12,2,FALSE)</f>
        <v>Sab</v>
      </c>
      <c r="E4252" t="str">
        <f>IFERROR(+VLOOKUP(Movimientos_2026[[#This Row],[Codigo]],Plan_cuentas[],2,FALSE)," ")</f>
        <v xml:space="preserve"> </v>
      </c>
      <c r="F4252" t="str">
        <f>IFERROR(+VLOOKUP(Movimientos_2026[[#This Row],[Codigo]],Plan_cuentas[],3,FALSE)," ")</f>
        <v xml:space="preserve"> </v>
      </c>
      <c r="G4252" t="str">
        <f>IFERROR(+VLOOKUP(Movimientos_2026[[#This Row],[Codigo]],Plan_cuentas[],4,FALSE)," ")</f>
        <v xml:space="preserve"> </v>
      </c>
      <c r="H4252" t="str">
        <f>IFERROR(+VLOOKUP(Movimientos_2026[[#This Row],[Codigo]],Plan_cuentas[],5,FALSE)," ")</f>
        <v xml:space="preserve"> </v>
      </c>
      <c r="I4252" s="43"/>
      <c r="K4252" t="str">
        <f>IFERROR(+VLOOKUP(Movimientos_2026[[#This Row],[Codigo]],Plan_cuentas[],6,FALSE)," ")</f>
        <v xml:space="preserve"> </v>
      </c>
      <c r="L4252" s="50"/>
      <c r="M4252" s="50"/>
      <c r="N4252" s="20">
        <f>+Movimientos_2026[[#This Row],[Ingresos]]-Movimientos_2026[[#This Row],[Egresos]]</f>
        <v>0</v>
      </c>
      <c r="O4252" s="20">
        <f>+O4251+Movimientos_2026[[#This Row],[Neto]]</f>
        <v>4581558617.7962294</v>
      </c>
    </row>
    <row r="4253" spans="1:15" x14ac:dyDescent="0.25">
      <c r="A4253" s="13"/>
      <c r="B4253" s="12">
        <f>MONTH(Movimientos_2026[[#This Row],[Fecha]])</f>
        <v>1</v>
      </c>
      <c r="C4253" s="12" t="str">
        <f>VLOOKUP((WEEKDAY(Movimientos_2026[[#This Row],[Fecha]],2)),'5. Setup'!$D$6:$E$12,2,FALSE)</f>
        <v>Sab</v>
      </c>
      <c r="E4253" t="str">
        <f>IFERROR(+VLOOKUP(Movimientos_2026[[#This Row],[Codigo]],Plan_cuentas[],2,FALSE)," ")</f>
        <v xml:space="preserve"> </v>
      </c>
      <c r="F4253" t="str">
        <f>IFERROR(+VLOOKUP(Movimientos_2026[[#This Row],[Codigo]],Plan_cuentas[],3,FALSE)," ")</f>
        <v xml:space="preserve"> </v>
      </c>
      <c r="G4253" t="str">
        <f>IFERROR(+VLOOKUP(Movimientos_2026[[#This Row],[Codigo]],Plan_cuentas[],4,FALSE)," ")</f>
        <v xml:space="preserve"> </v>
      </c>
      <c r="H4253" t="str">
        <f>IFERROR(+VLOOKUP(Movimientos_2026[[#This Row],[Codigo]],Plan_cuentas[],5,FALSE)," ")</f>
        <v xml:space="preserve"> </v>
      </c>
      <c r="I4253" s="43"/>
      <c r="K4253" t="str">
        <f>IFERROR(+VLOOKUP(Movimientos_2026[[#This Row],[Codigo]],Plan_cuentas[],6,FALSE)," ")</f>
        <v xml:space="preserve"> </v>
      </c>
      <c r="L4253" s="50"/>
      <c r="M4253" s="50"/>
      <c r="N4253" s="20">
        <f>+Movimientos_2026[[#This Row],[Ingresos]]-Movimientos_2026[[#This Row],[Egresos]]</f>
        <v>0</v>
      </c>
      <c r="O4253" s="20">
        <f>+O4252+Movimientos_2026[[#This Row],[Neto]]</f>
        <v>4581558617.7962294</v>
      </c>
    </row>
    <row r="4254" spans="1:15" x14ac:dyDescent="0.25">
      <c r="A4254" s="13"/>
      <c r="B4254" s="12">
        <f>MONTH(Movimientos_2026[[#This Row],[Fecha]])</f>
        <v>1</v>
      </c>
      <c r="C4254" s="12" t="str">
        <f>VLOOKUP((WEEKDAY(Movimientos_2026[[#This Row],[Fecha]],2)),'5. Setup'!$D$6:$E$12,2,FALSE)</f>
        <v>Sab</v>
      </c>
      <c r="E4254" t="str">
        <f>IFERROR(+VLOOKUP(Movimientos_2026[[#This Row],[Codigo]],Plan_cuentas[],2,FALSE)," ")</f>
        <v xml:space="preserve"> </v>
      </c>
      <c r="F4254" t="str">
        <f>IFERROR(+VLOOKUP(Movimientos_2026[[#This Row],[Codigo]],Plan_cuentas[],3,FALSE)," ")</f>
        <v xml:space="preserve"> </v>
      </c>
      <c r="G4254" t="str">
        <f>IFERROR(+VLOOKUP(Movimientos_2026[[#This Row],[Codigo]],Plan_cuentas[],4,FALSE)," ")</f>
        <v xml:space="preserve"> </v>
      </c>
      <c r="H4254" t="str">
        <f>IFERROR(+VLOOKUP(Movimientos_2026[[#This Row],[Codigo]],Plan_cuentas[],5,FALSE)," ")</f>
        <v xml:space="preserve"> </v>
      </c>
      <c r="I4254" s="43"/>
      <c r="K4254" t="str">
        <f>IFERROR(+VLOOKUP(Movimientos_2026[[#This Row],[Codigo]],Plan_cuentas[],6,FALSE)," ")</f>
        <v xml:space="preserve"> </v>
      </c>
      <c r="L4254" s="50"/>
      <c r="M4254" s="50"/>
      <c r="N4254" s="20">
        <f>+Movimientos_2026[[#This Row],[Ingresos]]-Movimientos_2026[[#This Row],[Egresos]]</f>
        <v>0</v>
      </c>
      <c r="O4254" s="20">
        <f>+O4253+Movimientos_2026[[#This Row],[Neto]]</f>
        <v>4581558617.7962294</v>
      </c>
    </row>
    <row r="4255" spans="1:15" x14ac:dyDescent="0.25">
      <c r="A4255" s="13"/>
      <c r="B4255" s="12">
        <f>MONTH(Movimientos_2026[[#This Row],[Fecha]])</f>
        <v>1</v>
      </c>
      <c r="C4255" s="12" t="str">
        <f>VLOOKUP((WEEKDAY(Movimientos_2026[[#This Row],[Fecha]],2)),'5. Setup'!$D$6:$E$12,2,FALSE)</f>
        <v>Sab</v>
      </c>
      <c r="E4255" t="str">
        <f>IFERROR(+VLOOKUP(Movimientos_2026[[#This Row],[Codigo]],Plan_cuentas[],2,FALSE)," ")</f>
        <v xml:space="preserve"> </v>
      </c>
      <c r="F4255" t="str">
        <f>IFERROR(+VLOOKUP(Movimientos_2026[[#This Row],[Codigo]],Plan_cuentas[],3,FALSE)," ")</f>
        <v xml:space="preserve"> </v>
      </c>
      <c r="G4255" t="str">
        <f>IFERROR(+VLOOKUP(Movimientos_2026[[#This Row],[Codigo]],Plan_cuentas[],4,FALSE)," ")</f>
        <v xml:space="preserve"> </v>
      </c>
      <c r="H4255" t="str">
        <f>IFERROR(+VLOOKUP(Movimientos_2026[[#This Row],[Codigo]],Plan_cuentas[],5,FALSE)," ")</f>
        <v xml:space="preserve"> </v>
      </c>
      <c r="I4255" s="43"/>
      <c r="K4255" t="str">
        <f>IFERROR(+VLOOKUP(Movimientos_2026[[#This Row],[Codigo]],Plan_cuentas[],6,FALSE)," ")</f>
        <v xml:space="preserve"> </v>
      </c>
      <c r="L4255" s="50"/>
      <c r="M4255" s="50"/>
      <c r="N4255" s="20">
        <f>+Movimientos_2026[[#This Row],[Ingresos]]-Movimientos_2026[[#This Row],[Egresos]]</f>
        <v>0</v>
      </c>
      <c r="O4255" s="20">
        <f>+O4254+Movimientos_2026[[#This Row],[Neto]]</f>
        <v>4581558617.7962294</v>
      </c>
    </row>
    <row r="4256" spans="1:15" x14ac:dyDescent="0.25">
      <c r="A4256" s="13"/>
      <c r="B4256" s="12">
        <f>MONTH(Movimientos_2026[[#This Row],[Fecha]])</f>
        <v>1</v>
      </c>
      <c r="C4256" s="12" t="str">
        <f>VLOOKUP((WEEKDAY(Movimientos_2026[[#This Row],[Fecha]],2)),'5. Setup'!$D$6:$E$12,2,FALSE)</f>
        <v>Sab</v>
      </c>
      <c r="E4256" t="str">
        <f>IFERROR(+VLOOKUP(Movimientos_2026[[#This Row],[Codigo]],Plan_cuentas[],2,FALSE)," ")</f>
        <v xml:space="preserve"> </v>
      </c>
      <c r="F4256" t="str">
        <f>IFERROR(+VLOOKUP(Movimientos_2026[[#This Row],[Codigo]],Plan_cuentas[],3,FALSE)," ")</f>
        <v xml:space="preserve"> </v>
      </c>
      <c r="G4256" t="str">
        <f>IFERROR(+VLOOKUP(Movimientos_2026[[#This Row],[Codigo]],Plan_cuentas[],4,FALSE)," ")</f>
        <v xml:space="preserve"> </v>
      </c>
      <c r="H4256" t="str">
        <f>IFERROR(+VLOOKUP(Movimientos_2026[[#This Row],[Codigo]],Plan_cuentas[],5,FALSE)," ")</f>
        <v xml:space="preserve"> </v>
      </c>
      <c r="I4256" s="43"/>
      <c r="K4256" t="str">
        <f>IFERROR(+VLOOKUP(Movimientos_2026[[#This Row],[Codigo]],Plan_cuentas[],6,FALSE)," ")</f>
        <v xml:space="preserve"> </v>
      </c>
      <c r="L4256" s="50"/>
      <c r="M4256" s="50"/>
      <c r="N4256" s="20">
        <f>+Movimientos_2026[[#This Row],[Ingresos]]-Movimientos_2026[[#This Row],[Egresos]]</f>
        <v>0</v>
      </c>
      <c r="O4256" s="20">
        <f>+O4255+Movimientos_2026[[#This Row],[Neto]]</f>
        <v>4581558617.7962294</v>
      </c>
    </row>
    <row r="4257" spans="1:15" x14ac:dyDescent="0.25">
      <c r="A4257" s="13"/>
      <c r="B4257" s="12">
        <f>MONTH(Movimientos_2026[[#This Row],[Fecha]])</f>
        <v>1</v>
      </c>
      <c r="C4257" s="12" t="str">
        <f>VLOOKUP((WEEKDAY(Movimientos_2026[[#This Row],[Fecha]],2)),'5. Setup'!$D$6:$E$12,2,FALSE)</f>
        <v>Sab</v>
      </c>
      <c r="E4257" t="str">
        <f>IFERROR(+VLOOKUP(Movimientos_2026[[#This Row],[Codigo]],Plan_cuentas[],2,FALSE)," ")</f>
        <v xml:space="preserve"> </v>
      </c>
      <c r="F4257" t="str">
        <f>IFERROR(+VLOOKUP(Movimientos_2026[[#This Row],[Codigo]],Plan_cuentas[],3,FALSE)," ")</f>
        <v xml:space="preserve"> </v>
      </c>
      <c r="G4257" t="str">
        <f>IFERROR(+VLOOKUP(Movimientos_2026[[#This Row],[Codigo]],Plan_cuentas[],4,FALSE)," ")</f>
        <v xml:space="preserve"> </v>
      </c>
      <c r="H4257" t="str">
        <f>IFERROR(+VLOOKUP(Movimientos_2026[[#This Row],[Codigo]],Plan_cuentas[],5,FALSE)," ")</f>
        <v xml:space="preserve"> </v>
      </c>
      <c r="I4257" s="43"/>
      <c r="K4257" t="str">
        <f>IFERROR(+VLOOKUP(Movimientos_2026[[#This Row],[Codigo]],Plan_cuentas[],6,FALSE)," ")</f>
        <v xml:space="preserve"> </v>
      </c>
      <c r="L4257" s="50"/>
      <c r="M4257" s="50"/>
      <c r="N4257" s="20">
        <f>+Movimientos_2026[[#This Row],[Ingresos]]-Movimientos_2026[[#This Row],[Egresos]]</f>
        <v>0</v>
      </c>
      <c r="O4257" s="20">
        <f>+O4256+Movimientos_2026[[#This Row],[Neto]]</f>
        <v>4581558617.7962294</v>
      </c>
    </row>
    <row r="4258" spans="1:15" x14ac:dyDescent="0.25">
      <c r="A4258" s="13"/>
      <c r="B4258" s="12">
        <f>MONTH(Movimientos_2026[[#This Row],[Fecha]])</f>
        <v>1</v>
      </c>
      <c r="C4258" s="12" t="str">
        <f>VLOOKUP((WEEKDAY(Movimientos_2026[[#This Row],[Fecha]],2)),'5. Setup'!$D$6:$E$12,2,FALSE)</f>
        <v>Sab</v>
      </c>
      <c r="E4258" t="str">
        <f>IFERROR(+VLOOKUP(Movimientos_2026[[#This Row],[Codigo]],Plan_cuentas[],2,FALSE)," ")</f>
        <v xml:space="preserve"> </v>
      </c>
      <c r="F4258" t="str">
        <f>IFERROR(+VLOOKUP(Movimientos_2026[[#This Row],[Codigo]],Plan_cuentas[],3,FALSE)," ")</f>
        <v xml:space="preserve"> </v>
      </c>
      <c r="G4258" t="str">
        <f>IFERROR(+VLOOKUP(Movimientos_2026[[#This Row],[Codigo]],Plan_cuentas[],4,FALSE)," ")</f>
        <v xml:space="preserve"> </v>
      </c>
      <c r="H4258" t="str">
        <f>IFERROR(+VLOOKUP(Movimientos_2026[[#This Row],[Codigo]],Plan_cuentas[],5,FALSE)," ")</f>
        <v xml:space="preserve"> </v>
      </c>
      <c r="I4258" s="43"/>
      <c r="K4258" t="str">
        <f>IFERROR(+VLOOKUP(Movimientos_2026[[#This Row],[Codigo]],Plan_cuentas[],6,FALSE)," ")</f>
        <v xml:space="preserve"> </v>
      </c>
      <c r="L4258" s="50"/>
      <c r="M4258" s="50"/>
      <c r="N4258" s="20">
        <f>+Movimientos_2026[[#This Row],[Ingresos]]-Movimientos_2026[[#This Row],[Egresos]]</f>
        <v>0</v>
      </c>
      <c r="O4258" s="20">
        <f>+O4257+Movimientos_2026[[#This Row],[Neto]]</f>
        <v>4581558617.7962294</v>
      </c>
    </row>
    <row r="4259" spans="1:15" x14ac:dyDescent="0.25">
      <c r="A4259" s="13"/>
      <c r="B4259" s="12">
        <f>MONTH(Movimientos_2026[[#This Row],[Fecha]])</f>
        <v>1</v>
      </c>
      <c r="C4259" s="12" t="str">
        <f>VLOOKUP((WEEKDAY(Movimientos_2026[[#This Row],[Fecha]],2)),'5. Setup'!$D$6:$E$12,2,FALSE)</f>
        <v>Sab</v>
      </c>
      <c r="E4259" t="str">
        <f>IFERROR(+VLOOKUP(Movimientos_2026[[#This Row],[Codigo]],Plan_cuentas[],2,FALSE)," ")</f>
        <v xml:space="preserve"> </v>
      </c>
      <c r="F4259" t="str">
        <f>IFERROR(+VLOOKUP(Movimientos_2026[[#This Row],[Codigo]],Plan_cuentas[],3,FALSE)," ")</f>
        <v xml:space="preserve"> </v>
      </c>
      <c r="G4259" t="str">
        <f>IFERROR(+VLOOKUP(Movimientos_2026[[#This Row],[Codigo]],Plan_cuentas[],4,FALSE)," ")</f>
        <v xml:space="preserve"> </v>
      </c>
      <c r="H4259" t="str">
        <f>IFERROR(+VLOOKUP(Movimientos_2026[[#This Row],[Codigo]],Plan_cuentas[],5,FALSE)," ")</f>
        <v xml:space="preserve"> </v>
      </c>
      <c r="I4259" s="43"/>
      <c r="K4259" t="str">
        <f>IFERROR(+VLOOKUP(Movimientos_2026[[#This Row],[Codigo]],Plan_cuentas[],6,FALSE)," ")</f>
        <v xml:space="preserve"> </v>
      </c>
      <c r="L4259" s="50"/>
      <c r="M4259" s="50"/>
      <c r="N4259" s="20">
        <f>+Movimientos_2026[[#This Row],[Ingresos]]-Movimientos_2026[[#This Row],[Egresos]]</f>
        <v>0</v>
      </c>
      <c r="O4259" s="20">
        <f>+O4258+Movimientos_2026[[#This Row],[Neto]]</f>
        <v>4581558617.7962294</v>
      </c>
    </row>
    <row r="4260" spans="1:15" x14ac:dyDescent="0.25">
      <c r="A4260" s="13"/>
      <c r="B4260" s="12">
        <f>MONTH(Movimientos_2026[[#This Row],[Fecha]])</f>
        <v>1</v>
      </c>
      <c r="C4260" s="12" t="str">
        <f>VLOOKUP((WEEKDAY(Movimientos_2026[[#This Row],[Fecha]],2)),'5. Setup'!$D$6:$E$12,2,FALSE)</f>
        <v>Sab</v>
      </c>
      <c r="E4260" t="str">
        <f>IFERROR(+VLOOKUP(Movimientos_2026[[#This Row],[Codigo]],Plan_cuentas[],2,FALSE)," ")</f>
        <v xml:space="preserve"> </v>
      </c>
      <c r="F4260" t="str">
        <f>IFERROR(+VLOOKUP(Movimientos_2026[[#This Row],[Codigo]],Plan_cuentas[],3,FALSE)," ")</f>
        <v xml:space="preserve"> </v>
      </c>
      <c r="G4260" t="str">
        <f>IFERROR(+VLOOKUP(Movimientos_2026[[#This Row],[Codigo]],Plan_cuentas[],4,FALSE)," ")</f>
        <v xml:space="preserve"> </v>
      </c>
      <c r="H4260" t="str">
        <f>IFERROR(+VLOOKUP(Movimientos_2026[[#This Row],[Codigo]],Plan_cuentas[],5,FALSE)," ")</f>
        <v xml:space="preserve"> </v>
      </c>
      <c r="I4260" s="43"/>
      <c r="K4260" t="str">
        <f>IFERROR(+VLOOKUP(Movimientos_2026[[#This Row],[Codigo]],Plan_cuentas[],6,FALSE)," ")</f>
        <v xml:space="preserve"> </v>
      </c>
      <c r="L4260" s="50"/>
      <c r="M4260" s="50"/>
      <c r="N4260" s="20">
        <f>+Movimientos_2026[[#This Row],[Ingresos]]-Movimientos_2026[[#This Row],[Egresos]]</f>
        <v>0</v>
      </c>
      <c r="O4260" s="20">
        <f>+O4259+Movimientos_2026[[#This Row],[Neto]]</f>
        <v>4581558617.7962294</v>
      </c>
    </row>
    <row r="4261" spans="1:15" x14ac:dyDescent="0.25">
      <c r="A4261" s="13"/>
      <c r="B4261" s="12">
        <f>MONTH(Movimientos_2026[[#This Row],[Fecha]])</f>
        <v>1</v>
      </c>
      <c r="C4261" s="12" t="str">
        <f>VLOOKUP((WEEKDAY(Movimientos_2026[[#This Row],[Fecha]],2)),'5. Setup'!$D$6:$E$12,2,FALSE)</f>
        <v>Sab</v>
      </c>
      <c r="E4261" t="str">
        <f>IFERROR(+VLOOKUP(Movimientos_2026[[#This Row],[Codigo]],Plan_cuentas[],2,FALSE)," ")</f>
        <v xml:space="preserve"> </v>
      </c>
      <c r="F4261" t="str">
        <f>IFERROR(+VLOOKUP(Movimientos_2026[[#This Row],[Codigo]],Plan_cuentas[],3,FALSE)," ")</f>
        <v xml:space="preserve"> </v>
      </c>
      <c r="G4261" t="str">
        <f>IFERROR(+VLOOKUP(Movimientos_2026[[#This Row],[Codigo]],Plan_cuentas[],4,FALSE)," ")</f>
        <v xml:space="preserve"> </v>
      </c>
      <c r="H4261" t="str">
        <f>IFERROR(+VLOOKUP(Movimientos_2026[[#This Row],[Codigo]],Plan_cuentas[],5,FALSE)," ")</f>
        <v xml:space="preserve"> </v>
      </c>
      <c r="I4261" s="43"/>
      <c r="K4261" t="str">
        <f>IFERROR(+VLOOKUP(Movimientos_2026[[#This Row],[Codigo]],Plan_cuentas[],6,FALSE)," ")</f>
        <v xml:space="preserve"> </v>
      </c>
      <c r="L4261" s="50"/>
      <c r="M4261" s="50"/>
      <c r="N4261" s="20">
        <f>+Movimientos_2026[[#This Row],[Ingresos]]-Movimientos_2026[[#This Row],[Egresos]]</f>
        <v>0</v>
      </c>
      <c r="O4261" s="20">
        <f>+O4260+Movimientos_2026[[#This Row],[Neto]]</f>
        <v>4581558617.7962294</v>
      </c>
    </row>
    <row r="4262" spans="1:15" x14ac:dyDescent="0.25">
      <c r="A4262" s="13"/>
      <c r="B4262" s="12">
        <f>MONTH(Movimientos_2026[[#This Row],[Fecha]])</f>
        <v>1</v>
      </c>
      <c r="C4262" s="12" t="str">
        <f>VLOOKUP((WEEKDAY(Movimientos_2026[[#This Row],[Fecha]],2)),'5. Setup'!$D$6:$E$12,2,FALSE)</f>
        <v>Sab</v>
      </c>
      <c r="E4262" t="str">
        <f>IFERROR(+VLOOKUP(Movimientos_2026[[#This Row],[Codigo]],Plan_cuentas[],2,FALSE)," ")</f>
        <v xml:space="preserve"> </v>
      </c>
      <c r="F4262" t="str">
        <f>IFERROR(+VLOOKUP(Movimientos_2026[[#This Row],[Codigo]],Plan_cuentas[],3,FALSE)," ")</f>
        <v xml:space="preserve"> </v>
      </c>
      <c r="G4262" t="str">
        <f>IFERROR(+VLOOKUP(Movimientos_2026[[#This Row],[Codigo]],Plan_cuentas[],4,FALSE)," ")</f>
        <v xml:space="preserve"> </v>
      </c>
      <c r="H4262" t="str">
        <f>IFERROR(+VLOOKUP(Movimientos_2026[[#This Row],[Codigo]],Plan_cuentas[],5,FALSE)," ")</f>
        <v xml:space="preserve"> </v>
      </c>
      <c r="I4262" s="43"/>
      <c r="K4262" t="str">
        <f>IFERROR(+VLOOKUP(Movimientos_2026[[#This Row],[Codigo]],Plan_cuentas[],6,FALSE)," ")</f>
        <v xml:space="preserve"> </v>
      </c>
      <c r="L4262" s="50"/>
      <c r="M4262" s="50"/>
      <c r="N4262" s="20">
        <f>+Movimientos_2026[[#This Row],[Ingresos]]-Movimientos_2026[[#This Row],[Egresos]]</f>
        <v>0</v>
      </c>
      <c r="O4262" s="20">
        <f>+O4261+Movimientos_2026[[#This Row],[Neto]]</f>
        <v>4581558617.7962294</v>
      </c>
    </row>
    <row r="4263" spans="1:15" x14ac:dyDescent="0.25">
      <c r="A4263" s="13"/>
      <c r="B4263" s="12">
        <f>MONTH(Movimientos_2026[[#This Row],[Fecha]])</f>
        <v>1</v>
      </c>
      <c r="C4263" s="12" t="str">
        <f>VLOOKUP((WEEKDAY(Movimientos_2026[[#This Row],[Fecha]],2)),'5. Setup'!$D$6:$E$12,2,FALSE)</f>
        <v>Sab</v>
      </c>
      <c r="E4263" t="str">
        <f>IFERROR(+VLOOKUP(Movimientos_2026[[#This Row],[Codigo]],Plan_cuentas[],2,FALSE)," ")</f>
        <v xml:space="preserve"> </v>
      </c>
      <c r="F4263" t="str">
        <f>IFERROR(+VLOOKUP(Movimientos_2026[[#This Row],[Codigo]],Plan_cuentas[],3,FALSE)," ")</f>
        <v xml:space="preserve"> </v>
      </c>
      <c r="G4263" t="str">
        <f>IFERROR(+VLOOKUP(Movimientos_2026[[#This Row],[Codigo]],Plan_cuentas[],4,FALSE)," ")</f>
        <v xml:space="preserve"> </v>
      </c>
      <c r="H4263" t="str">
        <f>IFERROR(+VLOOKUP(Movimientos_2026[[#This Row],[Codigo]],Plan_cuentas[],5,FALSE)," ")</f>
        <v xml:space="preserve"> </v>
      </c>
      <c r="I4263" s="43"/>
      <c r="K4263" t="str">
        <f>IFERROR(+VLOOKUP(Movimientos_2026[[#This Row],[Codigo]],Plan_cuentas[],6,FALSE)," ")</f>
        <v xml:space="preserve"> </v>
      </c>
      <c r="L4263" s="50"/>
      <c r="M4263" s="50"/>
      <c r="N4263" s="20">
        <f>+Movimientos_2026[[#This Row],[Ingresos]]-Movimientos_2026[[#This Row],[Egresos]]</f>
        <v>0</v>
      </c>
      <c r="O4263" s="20">
        <f>+O4262+Movimientos_2026[[#This Row],[Neto]]</f>
        <v>4581558617.7962294</v>
      </c>
    </row>
    <row r="4264" spans="1:15" x14ac:dyDescent="0.25">
      <c r="A4264" s="13"/>
      <c r="B4264" s="12">
        <f>MONTH(Movimientos_2026[[#This Row],[Fecha]])</f>
        <v>1</v>
      </c>
      <c r="C4264" s="12" t="str">
        <f>VLOOKUP((WEEKDAY(Movimientos_2026[[#This Row],[Fecha]],2)),'5. Setup'!$D$6:$E$12,2,FALSE)</f>
        <v>Sab</v>
      </c>
      <c r="E4264" t="str">
        <f>IFERROR(+VLOOKUP(Movimientos_2026[[#This Row],[Codigo]],Plan_cuentas[],2,FALSE)," ")</f>
        <v xml:space="preserve"> </v>
      </c>
      <c r="F4264" t="str">
        <f>IFERROR(+VLOOKUP(Movimientos_2026[[#This Row],[Codigo]],Plan_cuentas[],3,FALSE)," ")</f>
        <v xml:space="preserve"> </v>
      </c>
      <c r="G4264" t="str">
        <f>IFERROR(+VLOOKUP(Movimientos_2026[[#This Row],[Codigo]],Plan_cuentas[],4,FALSE)," ")</f>
        <v xml:space="preserve"> </v>
      </c>
      <c r="H4264" t="str">
        <f>IFERROR(+VLOOKUP(Movimientos_2026[[#This Row],[Codigo]],Plan_cuentas[],5,FALSE)," ")</f>
        <v xml:space="preserve"> </v>
      </c>
      <c r="I4264" s="43"/>
      <c r="K4264" t="str">
        <f>IFERROR(+VLOOKUP(Movimientos_2026[[#This Row],[Codigo]],Plan_cuentas[],6,FALSE)," ")</f>
        <v xml:space="preserve"> </v>
      </c>
      <c r="L4264" s="50"/>
      <c r="M4264" s="50"/>
      <c r="N4264" s="20">
        <f>+Movimientos_2026[[#This Row],[Ingresos]]-Movimientos_2026[[#This Row],[Egresos]]</f>
        <v>0</v>
      </c>
      <c r="O4264" s="20">
        <f>+O4263+Movimientos_2026[[#This Row],[Neto]]</f>
        <v>4581558617.7962294</v>
      </c>
    </row>
    <row r="4265" spans="1:15" x14ac:dyDescent="0.25">
      <c r="A4265" s="13"/>
      <c r="B4265" s="12">
        <f>MONTH(Movimientos_2026[[#This Row],[Fecha]])</f>
        <v>1</v>
      </c>
      <c r="C4265" s="12" t="str">
        <f>VLOOKUP((WEEKDAY(Movimientos_2026[[#This Row],[Fecha]],2)),'5. Setup'!$D$6:$E$12,2,FALSE)</f>
        <v>Sab</v>
      </c>
      <c r="E4265" t="str">
        <f>IFERROR(+VLOOKUP(Movimientos_2026[[#This Row],[Codigo]],Plan_cuentas[],2,FALSE)," ")</f>
        <v xml:space="preserve"> </v>
      </c>
      <c r="F4265" t="str">
        <f>IFERROR(+VLOOKUP(Movimientos_2026[[#This Row],[Codigo]],Plan_cuentas[],3,FALSE)," ")</f>
        <v xml:space="preserve"> </v>
      </c>
      <c r="G4265" t="str">
        <f>IFERROR(+VLOOKUP(Movimientos_2026[[#This Row],[Codigo]],Plan_cuentas[],4,FALSE)," ")</f>
        <v xml:space="preserve"> </v>
      </c>
      <c r="H4265" t="str">
        <f>IFERROR(+VLOOKUP(Movimientos_2026[[#This Row],[Codigo]],Plan_cuentas[],5,FALSE)," ")</f>
        <v xml:space="preserve"> </v>
      </c>
      <c r="I4265" s="43"/>
      <c r="K4265" t="str">
        <f>IFERROR(+VLOOKUP(Movimientos_2026[[#This Row],[Codigo]],Plan_cuentas[],6,FALSE)," ")</f>
        <v xml:space="preserve"> </v>
      </c>
      <c r="L4265" s="50"/>
      <c r="M4265" s="50"/>
      <c r="N4265" s="20">
        <f>+Movimientos_2026[[#This Row],[Ingresos]]-Movimientos_2026[[#This Row],[Egresos]]</f>
        <v>0</v>
      </c>
      <c r="O4265" s="20">
        <f>+O4264+Movimientos_2026[[#This Row],[Neto]]</f>
        <v>4581558617.7962294</v>
      </c>
    </row>
    <row r="4266" spans="1:15" x14ac:dyDescent="0.25">
      <c r="A4266" s="13"/>
      <c r="B4266" s="12">
        <f>MONTH(Movimientos_2026[[#This Row],[Fecha]])</f>
        <v>1</v>
      </c>
      <c r="C4266" s="12" t="str">
        <f>VLOOKUP((WEEKDAY(Movimientos_2026[[#This Row],[Fecha]],2)),'5. Setup'!$D$6:$E$12,2,FALSE)</f>
        <v>Sab</v>
      </c>
      <c r="E4266" t="str">
        <f>IFERROR(+VLOOKUP(Movimientos_2026[[#This Row],[Codigo]],Plan_cuentas[],2,FALSE)," ")</f>
        <v xml:space="preserve"> </v>
      </c>
      <c r="F4266" t="str">
        <f>IFERROR(+VLOOKUP(Movimientos_2026[[#This Row],[Codigo]],Plan_cuentas[],3,FALSE)," ")</f>
        <v xml:space="preserve"> </v>
      </c>
      <c r="G4266" t="str">
        <f>IFERROR(+VLOOKUP(Movimientos_2026[[#This Row],[Codigo]],Plan_cuentas[],4,FALSE)," ")</f>
        <v xml:space="preserve"> </v>
      </c>
      <c r="H4266" t="str">
        <f>IFERROR(+VLOOKUP(Movimientos_2026[[#This Row],[Codigo]],Plan_cuentas[],5,FALSE)," ")</f>
        <v xml:space="preserve"> </v>
      </c>
      <c r="I4266" s="43"/>
      <c r="K4266" t="str">
        <f>IFERROR(+VLOOKUP(Movimientos_2026[[#This Row],[Codigo]],Plan_cuentas[],6,FALSE)," ")</f>
        <v xml:space="preserve"> </v>
      </c>
      <c r="L4266" s="50"/>
      <c r="M4266" s="50"/>
      <c r="N4266" s="20">
        <f>+Movimientos_2026[[#This Row],[Ingresos]]-Movimientos_2026[[#This Row],[Egresos]]</f>
        <v>0</v>
      </c>
      <c r="O4266" s="20">
        <f>+O4265+Movimientos_2026[[#This Row],[Neto]]</f>
        <v>4581558617.7962294</v>
      </c>
    </row>
    <row r="4267" spans="1:15" x14ac:dyDescent="0.25">
      <c r="A4267" s="13"/>
      <c r="B4267" s="12">
        <f>MONTH(Movimientos_2026[[#This Row],[Fecha]])</f>
        <v>1</v>
      </c>
      <c r="C4267" s="12" t="str">
        <f>VLOOKUP((WEEKDAY(Movimientos_2026[[#This Row],[Fecha]],2)),'5. Setup'!$D$6:$E$12,2,FALSE)</f>
        <v>Sab</v>
      </c>
      <c r="E4267" t="str">
        <f>IFERROR(+VLOOKUP(Movimientos_2026[[#This Row],[Codigo]],Plan_cuentas[],2,FALSE)," ")</f>
        <v xml:space="preserve"> </v>
      </c>
      <c r="F4267" t="str">
        <f>IFERROR(+VLOOKUP(Movimientos_2026[[#This Row],[Codigo]],Plan_cuentas[],3,FALSE)," ")</f>
        <v xml:space="preserve"> </v>
      </c>
      <c r="G4267" t="str">
        <f>IFERROR(+VLOOKUP(Movimientos_2026[[#This Row],[Codigo]],Plan_cuentas[],4,FALSE)," ")</f>
        <v xml:space="preserve"> </v>
      </c>
      <c r="H4267" t="str">
        <f>IFERROR(+VLOOKUP(Movimientos_2026[[#This Row],[Codigo]],Plan_cuentas[],5,FALSE)," ")</f>
        <v xml:space="preserve"> </v>
      </c>
      <c r="I4267" s="43"/>
      <c r="K4267" t="str">
        <f>IFERROR(+VLOOKUP(Movimientos_2026[[#This Row],[Codigo]],Plan_cuentas[],6,FALSE)," ")</f>
        <v xml:space="preserve"> </v>
      </c>
      <c r="L4267" s="50"/>
      <c r="M4267" s="50"/>
      <c r="N4267" s="20">
        <f>+Movimientos_2026[[#This Row],[Ingresos]]-Movimientos_2026[[#This Row],[Egresos]]</f>
        <v>0</v>
      </c>
      <c r="O4267" s="20">
        <f>+O4266+Movimientos_2026[[#This Row],[Neto]]</f>
        <v>4581558617.7962294</v>
      </c>
    </row>
    <row r="4268" spans="1:15" x14ac:dyDescent="0.25">
      <c r="A4268" s="13"/>
      <c r="B4268" s="12">
        <f>MONTH(Movimientos_2026[[#This Row],[Fecha]])</f>
        <v>1</v>
      </c>
      <c r="C4268" s="12" t="str">
        <f>VLOOKUP((WEEKDAY(Movimientos_2026[[#This Row],[Fecha]],2)),'5. Setup'!$D$6:$E$12,2,FALSE)</f>
        <v>Sab</v>
      </c>
      <c r="E4268" t="str">
        <f>IFERROR(+VLOOKUP(Movimientos_2026[[#This Row],[Codigo]],Plan_cuentas[],2,FALSE)," ")</f>
        <v xml:space="preserve"> </v>
      </c>
      <c r="F4268" t="str">
        <f>IFERROR(+VLOOKUP(Movimientos_2026[[#This Row],[Codigo]],Plan_cuentas[],3,FALSE)," ")</f>
        <v xml:space="preserve"> </v>
      </c>
      <c r="G4268" t="str">
        <f>IFERROR(+VLOOKUP(Movimientos_2026[[#This Row],[Codigo]],Plan_cuentas[],4,FALSE)," ")</f>
        <v xml:space="preserve"> </v>
      </c>
      <c r="H4268" t="str">
        <f>IFERROR(+VLOOKUP(Movimientos_2026[[#This Row],[Codigo]],Plan_cuentas[],5,FALSE)," ")</f>
        <v xml:space="preserve"> </v>
      </c>
      <c r="I4268" s="43"/>
      <c r="K4268" t="str">
        <f>IFERROR(+VLOOKUP(Movimientos_2026[[#This Row],[Codigo]],Plan_cuentas[],6,FALSE)," ")</f>
        <v xml:space="preserve"> </v>
      </c>
      <c r="L4268" s="50"/>
      <c r="M4268" s="50"/>
      <c r="N4268" s="20">
        <f>+Movimientos_2026[[#This Row],[Ingresos]]-Movimientos_2026[[#This Row],[Egresos]]</f>
        <v>0</v>
      </c>
      <c r="O4268" s="20">
        <f>+O4267+Movimientos_2026[[#This Row],[Neto]]</f>
        <v>4581558617.7962294</v>
      </c>
    </row>
    <row r="4269" spans="1:15" x14ac:dyDescent="0.25">
      <c r="A4269" s="13"/>
      <c r="B4269" s="12">
        <f>MONTH(Movimientos_2026[[#This Row],[Fecha]])</f>
        <v>1</v>
      </c>
      <c r="C4269" s="12" t="str">
        <f>VLOOKUP((WEEKDAY(Movimientos_2026[[#This Row],[Fecha]],2)),'5. Setup'!$D$6:$E$12,2,FALSE)</f>
        <v>Sab</v>
      </c>
      <c r="E4269" t="str">
        <f>IFERROR(+VLOOKUP(Movimientos_2026[[#This Row],[Codigo]],Plan_cuentas[],2,FALSE)," ")</f>
        <v xml:space="preserve"> </v>
      </c>
      <c r="F4269" t="str">
        <f>IFERROR(+VLOOKUP(Movimientos_2026[[#This Row],[Codigo]],Plan_cuentas[],3,FALSE)," ")</f>
        <v xml:space="preserve"> </v>
      </c>
      <c r="G4269" t="str">
        <f>IFERROR(+VLOOKUP(Movimientos_2026[[#This Row],[Codigo]],Plan_cuentas[],4,FALSE)," ")</f>
        <v xml:space="preserve"> </v>
      </c>
      <c r="H4269" t="str">
        <f>IFERROR(+VLOOKUP(Movimientos_2026[[#This Row],[Codigo]],Plan_cuentas[],5,FALSE)," ")</f>
        <v xml:space="preserve"> </v>
      </c>
      <c r="I4269" s="43"/>
      <c r="K4269" t="str">
        <f>IFERROR(+VLOOKUP(Movimientos_2026[[#This Row],[Codigo]],Plan_cuentas[],6,FALSE)," ")</f>
        <v xml:space="preserve"> </v>
      </c>
      <c r="L4269" s="50"/>
      <c r="M4269" s="50"/>
      <c r="N4269" s="20">
        <f>+Movimientos_2026[[#This Row],[Ingresos]]-Movimientos_2026[[#This Row],[Egresos]]</f>
        <v>0</v>
      </c>
      <c r="O4269" s="20">
        <f>+O4268+Movimientos_2026[[#This Row],[Neto]]</f>
        <v>4581558617.7962294</v>
      </c>
    </row>
    <row r="4270" spans="1:15" x14ac:dyDescent="0.25">
      <c r="A4270" s="13"/>
      <c r="B4270" s="12">
        <f>MONTH(Movimientos_2026[[#This Row],[Fecha]])</f>
        <v>1</v>
      </c>
      <c r="C4270" s="12" t="str">
        <f>VLOOKUP((WEEKDAY(Movimientos_2026[[#This Row],[Fecha]],2)),'5. Setup'!$D$6:$E$12,2,FALSE)</f>
        <v>Sab</v>
      </c>
      <c r="E4270" t="str">
        <f>IFERROR(+VLOOKUP(Movimientos_2026[[#This Row],[Codigo]],Plan_cuentas[],2,FALSE)," ")</f>
        <v xml:space="preserve"> </v>
      </c>
      <c r="F4270" t="str">
        <f>IFERROR(+VLOOKUP(Movimientos_2026[[#This Row],[Codigo]],Plan_cuentas[],3,FALSE)," ")</f>
        <v xml:space="preserve"> </v>
      </c>
      <c r="G4270" t="str">
        <f>IFERROR(+VLOOKUP(Movimientos_2026[[#This Row],[Codigo]],Plan_cuentas[],4,FALSE)," ")</f>
        <v xml:space="preserve"> </v>
      </c>
      <c r="H4270" t="str">
        <f>IFERROR(+VLOOKUP(Movimientos_2026[[#This Row],[Codigo]],Plan_cuentas[],5,FALSE)," ")</f>
        <v xml:space="preserve"> </v>
      </c>
      <c r="I4270" s="43"/>
      <c r="K4270" t="str">
        <f>IFERROR(+VLOOKUP(Movimientos_2026[[#This Row],[Codigo]],Plan_cuentas[],6,FALSE)," ")</f>
        <v xml:space="preserve"> </v>
      </c>
      <c r="L4270" s="50"/>
      <c r="M4270" s="50"/>
      <c r="N4270" s="20">
        <f>+Movimientos_2026[[#This Row],[Ingresos]]-Movimientos_2026[[#This Row],[Egresos]]</f>
        <v>0</v>
      </c>
      <c r="O4270" s="20">
        <f>+O4269+Movimientos_2026[[#This Row],[Neto]]</f>
        <v>4581558617.7962294</v>
      </c>
    </row>
    <row r="4271" spans="1:15" x14ac:dyDescent="0.25">
      <c r="A4271" s="13"/>
      <c r="B4271" s="12">
        <f>MONTH(Movimientos_2026[[#This Row],[Fecha]])</f>
        <v>1</v>
      </c>
      <c r="C4271" s="12" t="str">
        <f>VLOOKUP((WEEKDAY(Movimientos_2026[[#This Row],[Fecha]],2)),'5. Setup'!$D$6:$E$12,2,FALSE)</f>
        <v>Sab</v>
      </c>
      <c r="E4271" t="str">
        <f>IFERROR(+VLOOKUP(Movimientos_2026[[#This Row],[Codigo]],Plan_cuentas[],2,FALSE)," ")</f>
        <v xml:space="preserve"> </v>
      </c>
      <c r="F4271" t="str">
        <f>IFERROR(+VLOOKUP(Movimientos_2026[[#This Row],[Codigo]],Plan_cuentas[],3,FALSE)," ")</f>
        <v xml:space="preserve"> </v>
      </c>
      <c r="G4271" t="str">
        <f>IFERROR(+VLOOKUP(Movimientos_2026[[#This Row],[Codigo]],Plan_cuentas[],4,FALSE)," ")</f>
        <v xml:space="preserve"> </v>
      </c>
      <c r="H4271" t="str">
        <f>IFERROR(+VLOOKUP(Movimientos_2026[[#This Row],[Codigo]],Plan_cuentas[],5,FALSE)," ")</f>
        <v xml:space="preserve"> </v>
      </c>
      <c r="I4271" s="43"/>
      <c r="K4271" t="str">
        <f>IFERROR(+VLOOKUP(Movimientos_2026[[#This Row],[Codigo]],Plan_cuentas[],6,FALSE)," ")</f>
        <v xml:space="preserve"> </v>
      </c>
      <c r="L4271" s="50"/>
      <c r="M4271" s="50"/>
      <c r="N4271" s="20">
        <f>+Movimientos_2026[[#This Row],[Ingresos]]-Movimientos_2026[[#This Row],[Egresos]]</f>
        <v>0</v>
      </c>
      <c r="O4271" s="20">
        <f>+O4270+Movimientos_2026[[#This Row],[Neto]]</f>
        <v>4581558617.7962294</v>
      </c>
    </row>
    <row r="4272" spans="1:15" x14ac:dyDescent="0.25">
      <c r="A4272" s="13"/>
      <c r="B4272" s="12">
        <f>MONTH(Movimientos_2026[[#This Row],[Fecha]])</f>
        <v>1</v>
      </c>
      <c r="C4272" s="12" t="str">
        <f>VLOOKUP((WEEKDAY(Movimientos_2026[[#This Row],[Fecha]],2)),'5. Setup'!$D$6:$E$12,2,FALSE)</f>
        <v>Sab</v>
      </c>
      <c r="E4272" t="str">
        <f>IFERROR(+VLOOKUP(Movimientos_2026[[#This Row],[Codigo]],Plan_cuentas[],2,FALSE)," ")</f>
        <v xml:space="preserve"> </v>
      </c>
      <c r="F4272" t="str">
        <f>IFERROR(+VLOOKUP(Movimientos_2026[[#This Row],[Codigo]],Plan_cuentas[],3,FALSE)," ")</f>
        <v xml:space="preserve"> </v>
      </c>
      <c r="G4272" t="str">
        <f>IFERROR(+VLOOKUP(Movimientos_2026[[#This Row],[Codigo]],Plan_cuentas[],4,FALSE)," ")</f>
        <v xml:space="preserve"> </v>
      </c>
      <c r="H4272" t="str">
        <f>IFERROR(+VLOOKUP(Movimientos_2026[[#This Row],[Codigo]],Plan_cuentas[],5,FALSE)," ")</f>
        <v xml:space="preserve"> </v>
      </c>
      <c r="I4272" s="43"/>
      <c r="K4272" t="str">
        <f>IFERROR(+VLOOKUP(Movimientos_2026[[#This Row],[Codigo]],Plan_cuentas[],6,FALSE)," ")</f>
        <v xml:space="preserve"> </v>
      </c>
      <c r="L4272" s="50"/>
      <c r="M4272" s="50"/>
      <c r="N4272" s="20">
        <f>+Movimientos_2026[[#This Row],[Ingresos]]-Movimientos_2026[[#This Row],[Egresos]]</f>
        <v>0</v>
      </c>
      <c r="O4272" s="20">
        <f>+O4271+Movimientos_2026[[#This Row],[Neto]]</f>
        <v>4581558617.7962294</v>
      </c>
    </row>
    <row r="4273" spans="1:15" x14ac:dyDescent="0.25">
      <c r="A4273" s="13"/>
      <c r="B4273" s="12">
        <f>MONTH(Movimientos_2026[[#This Row],[Fecha]])</f>
        <v>1</v>
      </c>
      <c r="C4273" s="12" t="str">
        <f>VLOOKUP((WEEKDAY(Movimientos_2026[[#This Row],[Fecha]],2)),'5. Setup'!$D$6:$E$12,2,FALSE)</f>
        <v>Sab</v>
      </c>
      <c r="E4273" t="str">
        <f>IFERROR(+VLOOKUP(Movimientos_2026[[#This Row],[Codigo]],Plan_cuentas[],2,FALSE)," ")</f>
        <v xml:space="preserve"> </v>
      </c>
      <c r="F4273" t="str">
        <f>IFERROR(+VLOOKUP(Movimientos_2026[[#This Row],[Codigo]],Plan_cuentas[],3,FALSE)," ")</f>
        <v xml:space="preserve"> </v>
      </c>
      <c r="G4273" t="str">
        <f>IFERROR(+VLOOKUP(Movimientos_2026[[#This Row],[Codigo]],Plan_cuentas[],4,FALSE)," ")</f>
        <v xml:space="preserve"> </v>
      </c>
      <c r="H4273" t="str">
        <f>IFERROR(+VLOOKUP(Movimientos_2026[[#This Row],[Codigo]],Plan_cuentas[],5,FALSE)," ")</f>
        <v xml:space="preserve"> </v>
      </c>
      <c r="I4273" s="43"/>
      <c r="K4273" t="str">
        <f>IFERROR(+VLOOKUP(Movimientos_2026[[#This Row],[Codigo]],Plan_cuentas[],6,FALSE)," ")</f>
        <v xml:space="preserve"> </v>
      </c>
      <c r="L4273" s="50"/>
      <c r="M4273" s="50"/>
      <c r="N4273" s="20">
        <f>+Movimientos_2026[[#This Row],[Ingresos]]-Movimientos_2026[[#This Row],[Egresos]]</f>
        <v>0</v>
      </c>
      <c r="O4273" s="20">
        <f>+O4272+Movimientos_2026[[#This Row],[Neto]]</f>
        <v>4581558617.7962294</v>
      </c>
    </row>
    <row r="4274" spans="1:15" x14ac:dyDescent="0.25">
      <c r="A4274" s="13"/>
      <c r="B4274" s="12">
        <f>MONTH(Movimientos_2026[[#This Row],[Fecha]])</f>
        <v>1</v>
      </c>
      <c r="C4274" s="12" t="str">
        <f>VLOOKUP((WEEKDAY(Movimientos_2026[[#This Row],[Fecha]],2)),'5. Setup'!$D$6:$E$12,2,FALSE)</f>
        <v>Sab</v>
      </c>
      <c r="E4274" t="str">
        <f>IFERROR(+VLOOKUP(Movimientos_2026[[#This Row],[Codigo]],Plan_cuentas[],2,FALSE)," ")</f>
        <v xml:space="preserve"> </v>
      </c>
      <c r="F4274" t="str">
        <f>IFERROR(+VLOOKUP(Movimientos_2026[[#This Row],[Codigo]],Plan_cuentas[],3,FALSE)," ")</f>
        <v xml:space="preserve"> </v>
      </c>
      <c r="G4274" t="str">
        <f>IFERROR(+VLOOKUP(Movimientos_2026[[#This Row],[Codigo]],Plan_cuentas[],4,FALSE)," ")</f>
        <v xml:space="preserve"> </v>
      </c>
      <c r="H4274" t="str">
        <f>IFERROR(+VLOOKUP(Movimientos_2026[[#This Row],[Codigo]],Plan_cuentas[],5,FALSE)," ")</f>
        <v xml:space="preserve"> </v>
      </c>
      <c r="I4274" s="43"/>
      <c r="K4274" t="str">
        <f>IFERROR(+VLOOKUP(Movimientos_2026[[#This Row],[Codigo]],Plan_cuentas[],6,FALSE)," ")</f>
        <v xml:space="preserve"> </v>
      </c>
      <c r="L4274" s="50"/>
      <c r="M4274" s="50"/>
      <c r="N4274" s="20">
        <f>+Movimientos_2026[[#This Row],[Ingresos]]-Movimientos_2026[[#This Row],[Egresos]]</f>
        <v>0</v>
      </c>
      <c r="O4274" s="20">
        <f>+O4273+Movimientos_2026[[#This Row],[Neto]]</f>
        <v>4581558617.7962294</v>
      </c>
    </row>
    <row r="4275" spans="1:15" x14ac:dyDescent="0.25">
      <c r="A4275" s="13"/>
      <c r="B4275" s="12">
        <f>MONTH(Movimientos_2026[[#This Row],[Fecha]])</f>
        <v>1</v>
      </c>
      <c r="C4275" s="12" t="str">
        <f>VLOOKUP((WEEKDAY(Movimientos_2026[[#This Row],[Fecha]],2)),'5. Setup'!$D$6:$E$12,2,FALSE)</f>
        <v>Sab</v>
      </c>
      <c r="E4275" t="str">
        <f>IFERROR(+VLOOKUP(Movimientos_2026[[#This Row],[Codigo]],Plan_cuentas[],2,FALSE)," ")</f>
        <v xml:space="preserve"> </v>
      </c>
      <c r="F4275" t="str">
        <f>IFERROR(+VLOOKUP(Movimientos_2026[[#This Row],[Codigo]],Plan_cuentas[],3,FALSE)," ")</f>
        <v xml:space="preserve"> </v>
      </c>
      <c r="G4275" t="str">
        <f>IFERROR(+VLOOKUP(Movimientos_2026[[#This Row],[Codigo]],Plan_cuentas[],4,FALSE)," ")</f>
        <v xml:space="preserve"> </v>
      </c>
      <c r="H4275" t="str">
        <f>IFERROR(+VLOOKUP(Movimientos_2026[[#This Row],[Codigo]],Plan_cuentas[],5,FALSE)," ")</f>
        <v xml:space="preserve"> </v>
      </c>
      <c r="I4275" s="43"/>
      <c r="K4275" t="str">
        <f>IFERROR(+VLOOKUP(Movimientos_2026[[#This Row],[Codigo]],Plan_cuentas[],6,FALSE)," ")</f>
        <v xml:space="preserve"> </v>
      </c>
      <c r="L4275" s="50"/>
      <c r="M4275" s="50"/>
      <c r="N4275" s="20">
        <f>+Movimientos_2026[[#This Row],[Ingresos]]-Movimientos_2026[[#This Row],[Egresos]]</f>
        <v>0</v>
      </c>
      <c r="O4275" s="20">
        <f>+O4274+Movimientos_2026[[#This Row],[Neto]]</f>
        <v>4581558617.7962294</v>
      </c>
    </row>
    <row r="4276" spans="1:15" x14ac:dyDescent="0.25">
      <c r="A4276" s="13"/>
      <c r="B4276" s="12">
        <f>MONTH(Movimientos_2026[[#This Row],[Fecha]])</f>
        <v>1</v>
      </c>
      <c r="C4276" s="12" t="str">
        <f>VLOOKUP((WEEKDAY(Movimientos_2026[[#This Row],[Fecha]],2)),'5. Setup'!$D$6:$E$12,2,FALSE)</f>
        <v>Sab</v>
      </c>
      <c r="E4276" t="str">
        <f>IFERROR(+VLOOKUP(Movimientos_2026[[#This Row],[Codigo]],Plan_cuentas[],2,FALSE)," ")</f>
        <v xml:space="preserve"> </v>
      </c>
      <c r="F4276" t="str">
        <f>IFERROR(+VLOOKUP(Movimientos_2026[[#This Row],[Codigo]],Plan_cuentas[],3,FALSE)," ")</f>
        <v xml:space="preserve"> </v>
      </c>
      <c r="G4276" t="str">
        <f>IFERROR(+VLOOKUP(Movimientos_2026[[#This Row],[Codigo]],Plan_cuentas[],4,FALSE)," ")</f>
        <v xml:space="preserve"> </v>
      </c>
      <c r="H4276" t="str">
        <f>IFERROR(+VLOOKUP(Movimientos_2026[[#This Row],[Codigo]],Plan_cuentas[],5,FALSE)," ")</f>
        <v xml:space="preserve"> </v>
      </c>
      <c r="I4276" s="43"/>
      <c r="K4276" t="str">
        <f>IFERROR(+VLOOKUP(Movimientos_2026[[#This Row],[Codigo]],Plan_cuentas[],6,FALSE)," ")</f>
        <v xml:space="preserve"> </v>
      </c>
      <c r="L4276" s="50"/>
      <c r="M4276" s="50"/>
      <c r="N4276" s="20">
        <f>+Movimientos_2026[[#This Row],[Ingresos]]-Movimientos_2026[[#This Row],[Egresos]]</f>
        <v>0</v>
      </c>
      <c r="O4276" s="20">
        <f>+O4275+Movimientos_2026[[#This Row],[Neto]]</f>
        <v>4581558617.7962294</v>
      </c>
    </row>
    <row r="4277" spans="1:15" x14ac:dyDescent="0.25">
      <c r="A4277" s="13"/>
      <c r="B4277" s="12">
        <f>MONTH(Movimientos_2026[[#This Row],[Fecha]])</f>
        <v>1</v>
      </c>
      <c r="C4277" s="12" t="str">
        <f>VLOOKUP((WEEKDAY(Movimientos_2026[[#This Row],[Fecha]],2)),'5. Setup'!$D$6:$E$12,2,FALSE)</f>
        <v>Sab</v>
      </c>
      <c r="E4277" t="str">
        <f>IFERROR(+VLOOKUP(Movimientos_2026[[#This Row],[Codigo]],Plan_cuentas[],2,FALSE)," ")</f>
        <v xml:space="preserve"> </v>
      </c>
      <c r="F4277" t="str">
        <f>IFERROR(+VLOOKUP(Movimientos_2026[[#This Row],[Codigo]],Plan_cuentas[],3,FALSE)," ")</f>
        <v xml:space="preserve"> </v>
      </c>
      <c r="G4277" t="str">
        <f>IFERROR(+VLOOKUP(Movimientos_2026[[#This Row],[Codigo]],Plan_cuentas[],4,FALSE)," ")</f>
        <v xml:space="preserve"> </v>
      </c>
      <c r="H4277" t="str">
        <f>IFERROR(+VLOOKUP(Movimientos_2026[[#This Row],[Codigo]],Plan_cuentas[],5,FALSE)," ")</f>
        <v xml:space="preserve"> </v>
      </c>
      <c r="I4277" s="43"/>
      <c r="K4277" t="str">
        <f>IFERROR(+VLOOKUP(Movimientos_2026[[#This Row],[Codigo]],Plan_cuentas[],6,FALSE)," ")</f>
        <v xml:space="preserve"> </v>
      </c>
      <c r="L4277" s="50"/>
      <c r="M4277" s="50"/>
      <c r="N4277" s="20">
        <f>+Movimientos_2026[[#This Row],[Ingresos]]-Movimientos_2026[[#This Row],[Egresos]]</f>
        <v>0</v>
      </c>
      <c r="O4277" s="20">
        <f>+O4276+Movimientos_2026[[#This Row],[Neto]]</f>
        <v>4581558617.7962294</v>
      </c>
    </row>
    <row r="4278" spans="1:15" x14ac:dyDescent="0.25">
      <c r="A4278" s="13"/>
      <c r="B4278" s="12">
        <f>MONTH(Movimientos_2026[[#This Row],[Fecha]])</f>
        <v>1</v>
      </c>
      <c r="C4278" s="12" t="str">
        <f>VLOOKUP((WEEKDAY(Movimientos_2026[[#This Row],[Fecha]],2)),'5. Setup'!$D$6:$E$12,2,FALSE)</f>
        <v>Sab</v>
      </c>
      <c r="E4278" t="str">
        <f>IFERROR(+VLOOKUP(Movimientos_2026[[#This Row],[Codigo]],Plan_cuentas[],2,FALSE)," ")</f>
        <v xml:space="preserve"> </v>
      </c>
      <c r="F4278" t="str">
        <f>IFERROR(+VLOOKUP(Movimientos_2026[[#This Row],[Codigo]],Plan_cuentas[],3,FALSE)," ")</f>
        <v xml:space="preserve"> </v>
      </c>
      <c r="G4278" t="str">
        <f>IFERROR(+VLOOKUP(Movimientos_2026[[#This Row],[Codigo]],Plan_cuentas[],4,FALSE)," ")</f>
        <v xml:space="preserve"> </v>
      </c>
      <c r="H4278" t="str">
        <f>IFERROR(+VLOOKUP(Movimientos_2026[[#This Row],[Codigo]],Plan_cuentas[],5,FALSE)," ")</f>
        <v xml:space="preserve"> </v>
      </c>
      <c r="I4278" s="43"/>
      <c r="K4278" t="str">
        <f>IFERROR(+VLOOKUP(Movimientos_2026[[#This Row],[Codigo]],Plan_cuentas[],6,FALSE)," ")</f>
        <v xml:space="preserve"> </v>
      </c>
      <c r="L4278" s="50"/>
      <c r="M4278" s="50"/>
      <c r="N4278" s="20">
        <f>+Movimientos_2026[[#This Row],[Ingresos]]-Movimientos_2026[[#This Row],[Egresos]]</f>
        <v>0</v>
      </c>
      <c r="O4278" s="20">
        <f>+O4277+Movimientos_2026[[#This Row],[Neto]]</f>
        <v>4581558617.7962294</v>
      </c>
    </row>
    <row r="4279" spans="1:15" x14ac:dyDescent="0.25">
      <c r="A4279" s="13"/>
      <c r="B4279" s="12">
        <f>MONTH(Movimientos_2026[[#This Row],[Fecha]])</f>
        <v>1</v>
      </c>
      <c r="C4279" s="12" t="str">
        <f>VLOOKUP((WEEKDAY(Movimientos_2026[[#This Row],[Fecha]],2)),'5. Setup'!$D$6:$E$12,2,FALSE)</f>
        <v>Sab</v>
      </c>
      <c r="E4279" t="str">
        <f>IFERROR(+VLOOKUP(Movimientos_2026[[#This Row],[Codigo]],Plan_cuentas[],2,FALSE)," ")</f>
        <v xml:space="preserve"> </v>
      </c>
      <c r="F4279" t="str">
        <f>IFERROR(+VLOOKUP(Movimientos_2026[[#This Row],[Codigo]],Plan_cuentas[],3,FALSE)," ")</f>
        <v xml:space="preserve"> </v>
      </c>
      <c r="G4279" t="str">
        <f>IFERROR(+VLOOKUP(Movimientos_2026[[#This Row],[Codigo]],Plan_cuentas[],4,FALSE)," ")</f>
        <v xml:space="preserve"> </v>
      </c>
      <c r="H4279" t="str">
        <f>IFERROR(+VLOOKUP(Movimientos_2026[[#This Row],[Codigo]],Plan_cuentas[],5,FALSE)," ")</f>
        <v xml:space="preserve"> </v>
      </c>
      <c r="I4279" s="43"/>
      <c r="K4279" t="str">
        <f>IFERROR(+VLOOKUP(Movimientos_2026[[#This Row],[Codigo]],Plan_cuentas[],6,FALSE)," ")</f>
        <v xml:space="preserve"> </v>
      </c>
      <c r="L4279" s="50"/>
      <c r="M4279" s="50"/>
      <c r="N4279" s="20">
        <f>+Movimientos_2026[[#This Row],[Ingresos]]-Movimientos_2026[[#This Row],[Egresos]]</f>
        <v>0</v>
      </c>
      <c r="O4279" s="20">
        <f>+O4278+Movimientos_2026[[#This Row],[Neto]]</f>
        <v>4581558617.7962294</v>
      </c>
    </row>
    <row r="4280" spans="1:15" x14ac:dyDescent="0.25">
      <c r="A4280" s="13"/>
      <c r="B4280" s="12">
        <f>MONTH(Movimientos_2026[[#This Row],[Fecha]])</f>
        <v>1</v>
      </c>
      <c r="C4280" s="12" t="str">
        <f>VLOOKUP((WEEKDAY(Movimientos_2026[[#This Row],[Fecha]],2)),'5. Setup'!$D$6:$E$12,2,FALSE)</f>
        <v>Sab</v>
      </c>
      <c r="E4280" t="str">
        <f>IFERROR(+VLOOKUP(Movimientos_2026[[#This Row],[Codigo]],Plan_cuentas[],2,FALSE)," ")</f>
        <v xml:space="preserve"> </v>
      </c>
      <c r="F4280" t="str">
        <f>IFERROR(+VLOOKUP(Movimientos_2026[[#This Row],[Codigo]],Plan_cuentas[],3,FALSE)," ")</f>
        <v xml:space="preserve"> </v>
      </c>
      <c r="G4280" t="str">
        <f>IFERROR(+VLOOKUP(Movimientos_2026[[#This Row],[Codigo]],Plan_cuentas[],4,FALSE)," ")</f>
        <v xml:space="preserve"> </v>
      </c>
      <c r="H4280" t="str">
        <f>IFERROR(+VLOOKUP(Movimientos_2026[[#This Row],[Codigo]],Plan_cuentas[],5,FALSE)," ")</f>
        <v xml:space="preserve"> </v>
      </c>
      <c r="I4280" s="43"/>
      <c r="K4280" t="str">
        <f>IFERROR(+VLOOKUP(Movimientos_2026[[#This Row],[Codigo]],Plan_cuentas[],6,FALSE)," ")</f>
        <v xml:space="preserve"> </v>
      </c>
      <c r="L4280" s="50"/>
      <c r="M4280" s="50"/>
      <c r="N4280" s="20">
        <f>+Movimientos_2026[[#This Row],[Ingresos]]-Movimientos_2026[[#This Row],[Egresos]]</f>
        <v>0</v>
      </c>
      <c r="O4280" s="20">
        <f>+O4279+Movimientos_2026[[#This Row],[Neto]]</f>
        <v>4581558617.7962294</v>
      </c>
    </row>
    <row r="4281" spans="1:15" x14ac:dyDescent="0.25">
      <c r="A4281" s="13"/>
      <c r="B4281" s="12">
        <f>MONTH(Movimientos_2026[[#This Row],[Fecha]])</f>
        <v>1</v>
      </c>
      <c r="C4281" s="12" t="str">
        <f>VLOOKUP((WEEKDAY(Movimientos_2026[[#This Row],[Fecha]],2)),'5. Setup'!$D$6:$E$12,2,FALSE)</f>
        <v>Sab</v>
      </c>
      <c r="E4281" t="str">
        <f>IFERROR(+VLOOKUP(Movimientos_2026[[#This Row],[Codigo]],Plan_cuentas[],2,FALSE)," ")</f>
        <v xml:space="preserve"> </v>
      </c>
      <c r="F4281" t="str">
        <f>IFERROR(+VLOOKUP(Movimientos_2026[[#This Row],[Codigo]],Plan_cuentas[],3,FALSE)," ")</f>
        <v xml:space="preserve"> </v>
      </c>
      <c r="G4281" t="str">
        <f>IFERROR(+VLOOKUP(Movimientos_2026[[#This Row],[Codigo]],Plan_cuentas[],4,FALSE)," ")</f>
        <v xml:space="preserve"> </v>
      </c>
      <c r="H4281" t="str">
        <f>IFERROR(+VLOOKUP(Movimientos_2026[[#This Row],[Codigo]],Plan_cuentas[],5,FALSE)," ")</f>
        <v xml:space="preserve"> </v>
      </c>
      <c r="I4281" s="43"/>
      <c r="K4281" t="str">
        <f>IFERROR(+VLOOKUP(Movimientos_2026[[#This Row],[Codigo]],Plan_cuentas[],6,FALSE)," ")</f>
        <v xml:space="preserve"> </v>
      </c>
      <c r="L4281" s="50"/>
      <c r="M4281" s="50"/>
      <c r="N4281" s="20">
        <f>+Movimientos_2026[[#This Row],[Ingresos]]-Movimientos_2026[[#This Row],[Egresos]]</f>
        <v>0</v>
      </c>
      <c r="O4281" s="20">
        <f>+O4280+Movimientos_2026[[#This Row],[Neto]]</f>
        <v>4581558617.7962294</v>
      </c>
    </row>
    <row r="4282" spans="1:15" x14ac:dyDescent="0.25">
      <c r="A4282" s="13"/>
      <c r="B4282" s="12">
        <f>MONTH(Movimientos_2026[[#This Row],[Fecha]])</f>
        <v>1</v>
      </c>
      <c r="C4282" s="12" t="str">
        <f>VLOOKUP((WEEKDAY(Movimientos_2026[[#This Row],[Fecha]],2)),'5. Setup'!$D$6:$E$12,2,FALSE)</f>
        <v>Sab</v>
      </c>
      <c r="E4282" t="str">
        <f>IFERROR(+VLOOKUP(Movimientos_2026[[#This Row],[Codigo]],Plan_cuentas[],2,FALSE)," ")</f>
        <v xml:space="preserve"> </v>
      </c>
      <c r="F4282" t="str">
        <f>IFERROR(+VLOOKUP(Movimientos_2026[[#This Row],[Codigo]],Plan_cuentas[],3,FALSE)," ")</f>
        <v xml:space="preserve"> </v>
      </c>
      <c r="G4282" t="str">
        <f>IFERROR(+VLOOKUP(Movimientos_2026[[#This Row],[Codigo]],Plan_cuentas[],4,FALSE)," ")</f>
        <v xml:space="preserve"> </v>
      </c>
      <c r="H4282" t="str">
        <f>IFERROR(+VLOOKUP(Movimientos_2026[[#This Row],[Codigo]],Plan_cuentas[],5,FALSE)," ")</f>
        <v xml:space="preserve"> </v>
      </c>
      <c r="I4282" s="43"/>
      <c r="K4282" t="str">
        <f>IFERROR(+VLOOKUP(Movimientos_2026[[#This Row],[Codigo]],Plan_cuentas[],6,FALSE)," ")</f>
        <v xml:space="preserve"> </v>
      </c>
      <c r="L4282" s="50"/>
      <c r="M4282" s="50"/>
      <c r="N4282" s="20">
        <f>+Movimientos_2026[[#This Row],[Ingresos]]-Movimientos_2026[[#This Row],[Egresos]]</f>
        <v>0</v>
      </c>
      <c r="O4282" s="20">
        <f>+O4281+Movimientos_2026[[#This Row],[Neto]]</f>
        <v>4581558617.7962294</v>
      </c>
    </row>
    <row r="4283" spans="1:15" x14ac:dyDescent="0.25">
      <c r="A4283" s="13"/>
      <c r="B4283" s="12">
        <f>MONTH(Movimientos_2026[[#This Row],[Fecha]])</f>
        <v>1</v>
      </c>
      <c r="C4283" s="12" t="str">
        <f>VLOOKUP((WEEKDAY(Movimientos_2026[[#This Row],[Fecha]],2)),'5. Setup'!$D$6:$E$12,2,FALSE)</f>
        <v>Sab</v>
      </c>
      <c r="E4283" t="str">
        <f>IFERROR(+VLOOKUP(Movimientos_2026[[#This Row],[Codigo]],Plan_cuentas[],2,FALSE)," ")</f>
        <v xml:space="preserve"> </v>
      </c>
      <c r="F4283" t="str">
        <f>IFERROR(+VLOOKUP(Movimientos_2026[[#This Row],[Codigo]],Plan_cuentas[],3,FALSE)," ")</f>
        <v xml:space="preserve"> </v>
      </c>
      <c r="G4283" t="str">
        <f>IFERROR(+VLOOKUP(Movimientos_2026[[#This Row],[Codigo]],Plan_cuentas[],4,FALSE)," ")</f>
        <v xml:space="preserve"> </v>
      </c>
      <c r="H4283" t="str">
        <f>IFERROR(+VLOOKUP(Movimientos_2026[[#This Row],[Codigo]],Plan_cuentas[],5,FALSE)," ")</f>
        <v xml:space="preserve"> </v>
      </c>
      <c r="I4283" s="43"/>
      <c r="K4283" t="str">
        <f>IFERROR(+VLOOKUP(Movimientos_2026[[#This Row],[Codigo]],Plan_cuentas[],6,FALSE)," ")</f>
        <v xml:space="preserve"> </v>
      </c>
      <c r="L4283" s="50"/>
      <c r="M4283" s="50"/>
      <c r="N4283" s="20">
        <f>+Movimientos_2026[[#This Row],[Ingresos]]-Movimientos_2026[[#This Row],[Egresos]]</f>
        <v>0</v>
      </c>
      <c r="O4283" s="20">
        <f>+O4282+Movimientos_2026[[#This Row],[Neto]]</f>
        <v>4581558617.7962294</v>
      </c>
    </row>
    <row r="4284" spans="1:15" x14ac:dyDescent="0.25">
      <c r="A4284" s="13"/>
      <c r="B4284" s="12">
        <f>MONTH(Movimientos_2026[[#This Row],[Fecha]])</f>
        <v>1</v>
      </c>
      <c r="C4284" s="12" t="str">
        <f>VLOOKUP((WEEKDAY(Movimientos_2026[[#This Row],[Fecha]],2)),'5. Setup'!$D$6:$E$12,2,FALSE)</f>
        <v>Sab</v>
      </c>
      <c r="E4284" t="str">
        <f>IFERROR(+VLOOKUP(Movimientos_2026[[#This Row],[Codigo]],Plan_cuentas[],2,FALSE)," ")</f>
        <v xml:space="preserve"> </v>
      </c>
      <c r="F4284" t="str">
        <f>IFERROR(+VLOOKUP(Movimientos_2026[[#This Row],[Codigo]],Plan_cuentas[],3,FALSE)," ")</f>
        <v xml:space="preserve"> </v>
      </c>
      <c r="G4284" t="str">
        <f>IFERROR(+VLOOKUP(Movimientos_2026[[#This Row],[Codigo]],Plan_cuentas[],4,FALSE)," ")</f>
        <v xml:space="preserve"> </v>
      </c>
      <c r="H4284" t="str">
        <f>IFERROR(+VLOOKUP(Movimientos_2026[[#This Row],[Codigo]],Plan_cuentas[],5,FALSE)," ")</f>
        <v xml:space="preserve"> </v>
      </c>
      <c r="I4284" s="43"/>
      <c r="K4284" t="str">
        <f>IFERROR(+VLOOKUP(Movimientos_2026[[#This Row],[Codigo]],Plan_cuentas[],6,FALSE)," ")</f>
        <v xml:space="preserve"> </v>
      </c>
      <c r="L4284" s="50"/>
      <c r="M4284" s="50"/>
      <c r="N4284" s="20">
        <f>+Movimientos_2026[[#This Row],[Ingresos]]-Movimientos_2026[[#This Row],[Egresos]]</f>
        <v>0</v>
      </c>
      <c r="O4284" s="20">
        <f>+O4283+Movimientos_2026[[#This Row],[Neto]]</f>
        <v>4581558617.7962294</v>
      </c>
    </row>
    <row r="4285" spans="1:15" x14ac:dyDescent="0.25">
      <c r="A4285" s="13"/>
      <c r="B4285" s="12">
        <f>MONTH(Movimientos_2026[[#This Row],[Fecha]])</f>
        <v>1</v>
      </c>
      <c r="C4285" s="12" t="str">
        <f>VLOOKUP((WEEKDAY(Movimientos_2026[[#This Row],[Fecha]],2)),'5. Setup'!$D$6:$E$12,2,FALSE)</f>
        <v>Sab</v>
      </c>
      <c r="E4285" t="str">
        <f>IFERROR(+VLOOKUP(Movimientos_2026[[#This Row],[Codigo]],Plan_cuentas[],2,FALSE)," ")</f>
        <v xml:space="preserve"> </v>
      </c>
      <c r="F4285" t="str">
        <f>IFERROR(+VLOOKUP(Movimientos_2026[[#This Row],[Codigo]],Plan_cuentas[],3,FALSE)," ")</f>
        <v xml:space="preserve"> </v>
      </c>
      <c r="G4285" t="str">
        <f>IFERROR(+VLOOKUP(Movimientos_2026[[#This Row],[Codigo]],Plan_cuentas[],4,FALSE)," ")</f>
        <v xml:space="preserve"> </v>
      </c>
      <c r="H4285" t="str">
        <f>IFERROR(+VLOOKUP(Movimientos_2026[[#This Row],[Codigo]],Plan_cuentas[],5,FALSE)," ")</f>
        <v xml:space="preserve"> </v>
      </c>
      <c r="I4285" s="43"/>
      <c r="K4285" t="str">
        <f>IFERROR(+VLOOKUP(Movimientos_2026[[#This Row],[Codigo]],Plan_cuentas[],6,FALSE)," ")</f>
        <v xml:space="preserve"> </v>
      </c>
      <c r="L4285" s="50"/>
      <c r="M4285" s="50"/>
      <c r="N4285" s="20">
        <f>+Movimientos_2026[[#This Row],[Ingresos]]-Movimientos_2026[[#This Row],[Egresos]]</f>
        <v>0</v>
      </c>
      <c r="O4285" s="20">
        <f>+O4284+Movimientos_2026[[#This Row],[Neto]]</f>
        <v>4581558617.7962294</v>
      </c>
    </row>
    <row r="4286" spans="1:15" x14ac:dyDescent="0.25">
      <c r="A4286" s="13"/>
      <c r="B4286" s="12">
        <f>MONTH(Movimientos_2026[[#This Row],[Fecha]])</f>
        <v>1</v>
      </c>
      <c r="C4286" s="12" t="str">
        <f>VLOOKUP((WEEKDAY(Movimientos_2026[[#This Row],[Fecha]],2)),'5. Setup'!$D$6:$E$12,2,FALSE)</f>
        <v>Sab</v>
      </c>
      <c r="E4286" t="str">
        <f>IFERROR(+VLOOKUP(Movimientos_2026[[#This Row],[Codigo]],Plan_cuentas[],2,FALSE)," ")</f>
        <v xml:space="preserve"> </v>
      </c>
      <c r="F4286" t="str">
        <f>IFERROR(+VLOOKUP(Movimientos_2026[[#This Row],[Codigo]],Plan_cuentas[],3,FALSE)," ")</f>
        <v xml:space="preserve"> </v>
      </c>
      <c r="G4286" t="str">
        <f>IFERROR(+VLOOKUP(Movimientos_2026[[#This Row],[Codigo]],Plan_cuentas[],4,FALSE)," ")</f>
        <v xml:space="preserve"> </v>
      </c>
      <c r="H4286" t="str">
        <f>IFERROR(+VLOOKUP(Movimientos_2026[[#This Row],[Codigo]],Plan_cuentas[],5,FALSE)," ")</f>
        <v xml:space="preserve"> </v>
      </c>
      <c r="I4286" s="43"/>
      <c r="K4286" t="str">
        <f>IFERROR(+VLOOKUP(Movimientos_2026[[#This Row],[Codigo]],Plan_cuentas[],6,FALSE)," ")</f>
        <v xml:space="preserve"> </v>
      </c>
      <c r="L4286" s="50"/>
      <c r="M4286" s="50"/>
      <c r="N4286" s="20">
        <f>+Movimientos_2026[[#This Row],[Ingresos]]-Movimientos_2026[[#This Row],[Egresos]]</f>
        <v>0</v>
      </c>
      <c r="O4286" s="20">
        <f>+O4285+Movimientos_2026[[#This Row],[Neto]]</f>
        <v>4581558617.7962294</v>
      </c>
    </row>
    <row r="4287" spans="1:15" x14ac:dyDescent="0.25">
      <c r="A4287" s="13"/>
      <c r="B4287" s="12">
        <f>MONTH(Movimientos_2026[[#This Row],[Fecha]])</f>
        <v>1</v>
      </c>
      <c r="C4287" s="12" t="str">
        <f>VLOOKUP((WEEKDAY(Movimientos_2026[[#This Row],[Fecha]],2)),'5. Setup'!$D$6:$E$12,2,FALSE)</f>
        <v>Sab</v>
      </c>
      <c r="E4287" t="str">
        <f>IFERROR(+VLOOKUP(Movimientos_2026[[#This Row],[Codigo]],Plan_cuentas[],2,FALSE)," ")</f>
        <v xml:space="preserve"> </v>
      </c>
      <c r="F4287" t="str">
        <f>IFERROR(+VLOOKUP(Movimientos_2026[[#This Row],[Codigo]],Plan_cuentas[],3,FALSE)," ")</f>
        <v xml:space="preserve"> </v>
      </c>
      <c r="G4287" t="str">
        <f>IFERROR(+VLOOKUP(Movimientos_2026[[#This Row],[Codigo]],Plan_cuentas[],4,FALSE)," ")</f>
        <v xml:space="preserve"> </v>
      </c>
      <c r="H4287" t="str">
        <f>IFERROR(+VLOOKUP(Movimientos_2026[[#This Row],[Codigo]],Plan_cuentas[],5,FALSE)," ")</f>
        <v xml:space="preserve"> </v>
      </c>
      <c r="I4287" s="43"/>
      <c r="K4287" t="str">
        <f>IFERROR(+VLOOKUP(Movimientos_2026[[#This Row],[Codigo]],Plan_cuentas[],6,FALSE)," ")</f>
        <v xml:space="preserve"> </v>
      </c>
      <c r="L4287" s="50"/>
      <c r="M4287" s="50"/>
      <c r="N4287" s="20">
        <f>+Movimientos_2026[[#This Row],[Ingresos]]-Movimientos_2026[[#This Row],[Egresos]]</f>
        <v>0</v>
      </c>
      <c r="O4287" s="20">
        <f>+O4286+Movimientos_2026[[#This Row],[Neto]]</f>
        <v>4581558617.7962294</v>
      </c>
    </row>
    <row r="4288" spans="1:15" x14ac:dyDescent="0.25">
      <c r="A4288" s="13"/>
      <c r="B4288" s="12">
        <f>MONTH(Movimientos_2026[[#This Row],[Fecha]])</f>
        <v>1</v>
      </c>
      <c r="C4288" s="12" t="str">
        <f>VLOOKUP((WEEKDAY(Movimientos_2026[[#This Row],[Fecha]],2)),'5. Setup'!$D$6:$E$12,2,FALSE)</f>
        <v>Sab</v>
      </c>
      <c r="E4288" t="str">
        <f>IFERROR(+VLOOKUP(Movimientos_2026[[#This Row],[Codigo]],Plan_cuentas[],2,FALSE)," ")</f>
        <v xml:space="preserve"> </v>
      </c>
      <c r="F4288" t="str">
        <f>IFERROR(+VLOOKUP(Movimientos_2026[[#This Row],[Codigo]],Plan_cuentas[],3,FALSE)," ")</f>
        <v xml:space="preserve"> </v>
      </c>
      <c r="G4288" t="str">
        <f>IFERROR(+VLOOKUP(Movimientos_2026[[#This Row],[Codigo]],Plan_cuentas[],4,FALSE)," ")</f>
        <v xml:space="preserve"> </v>
      </c>
      <c r="H4288" t="str">
        <f>IFERROR(+VLOOKUP(Movimientos_2026[[#This Row],[Codigo]],Plan_cuentas[],5,FALSE)," ")</f>
        <v xml:space="preserve"> </v>
      </c>
      <c r="I4288" s="43"/>
      <c r="K4288" t="str">
        <f>IFERROR(+VLOOKUP(Movimientos_2026[[#This Row],[Codigo]],Plan_cuentas[],6,FALSE)," ")</f>
        <v xml:space="preserve"> </v>
      </c>
      <c r="L4288" s="50"/>
      <c r="M4288" s="50"/>
      <c r="N4288" s="20">
        <f>+Movimientos_2026[[#This Row],[Ingresos]]-Movimientos_2026[[#This Row],[Egresos]]</f>
        <v>0</v>
      </c>
      <c r="O4288" s="20">
        <f>+O4287+Movimientos_2026[[#This Row],[Neto]]</f>
        <v>4581558617.7962294</v>
      </c>
    </row>
    <row r="4289" spans="1:15" x14ac:dyDescent="0.25">
      <c r="A4289" s="13"/>
      <c r="B4289" s="12">
        <f>MONTH(Movimientos_2026[[#This Row],[Fecha]])</f>
        <v>1</v>
      </c>
      <c r="C4289" s="12" t="str">
        <f>VLOOKUP((WEEKDAY(Movimientos_2026[[#This Row],[Fecha]],2)),'5. Setup'!$D$6:$E$12,2,FALSE)</f>
        <v>Sab</v>
      </c>
      <c r="E4289" t="str">
        <f>IFERROR(+VLOOKUP(Movimientos_2026[[#This Row],[Codigo]],Plan_cuentas[],2,FALSE)," ")</f>
        <v xml:space="preserve"> </v>
      </c>
      <c r="F4289" t="str">
        <f>IFERROR(+VLOOKUP(Movimientos_2026[[#This Row],[Codigo]],Plan_cuentas[],3,FALSE)," ")</f>
        <v xml:space="preserve"> </v>
      </c>
      <c r="G4289" t="str">
        <f>IFERROR(+VLOOKUP(Movimientos_2026[[#This Row],[Codigo]],Plan_cuentas[],4,FALSE)," ")</f>
        <v xml:space="preserve"> </v>
      </c>
      <c r="H4289" t="str">
        <f>IFERROR(+VLOOKUP(Movimientos_2026[[#This Row],[Codigo]],Plan_cuentas[],5,FALSE)," ")</f>
        <v xml:space="preserve"> </v>
      </c>
      <c r="I4289" s="43"/>
      <c r="K4289" t="str">
        <f>IFERROR(+VLOOKUP(Movimientos_2026[[#This Row],[Codigo]],Plan_cuentas[],6,FALSE)," ")</f>
        <v xml:space="preserve"> </v>
      </c>
      <c r="L4289" s="50"/>
      <c r="M4289" s="50"/>
      <c r="N4289" s="20">
        <f>+Movimientos_2026[[#This Row],[Ingresos]]-Movimientos_2026[[#This Row],[Egresos]]</f>
        <v>0</v>
      </c>
      <c r="O4289" s="20">
        <f>+O4288+Movimientos_2026[[#This Row],[Neto]]</f>
        <v>4581558617.7962294</v>
      </c>
    </row>
    <row r="4290" spans="1:15" x14ac:dyDescent="0.25">
      <c r="A4290" s="13"/>
      <c r="B4290" s="12">
        <f>MONTH(Movimientos_2026[[#This Row],[Fecha]])</f>
        <v>1</v>
      </c>
      <c r="C4290" s="12" t="str">
        <f>VLOOKUP((WEEKDAY(Movimientos_2026[[#This Row],[Fecha]],2)),'5. Setup'!$D$6:$E$12,2,FALSE)</f>
        <v>Sab</v>
      </c>
      <c r="E4290" t="str">
        <f>IFERROR(+VLOOKUP(Movimientos_2026[[#This Row],[Codigo]],Plan_cuentas[],2,FALSE)," ")</f>
        <v xml:space="preserve"> </v>
      </c>
      <c r="F4290" t="str">
        <f>IFERROR(+VLOOKUP(Movimientos_2026[[#This Row],[Codigo]],Plan_cuentas[],3,FALSE)," ")</f>
        <v xml:space="preserve"> </v>
      </c>
      <c r="G4290" t="str">
        <f>IFERROR(+VLOOKUP(Movimientos_2026[[#This Row],[Codigo]],Plan_cuentas[],4,FALSE)," ")</f>
        <v xml:space="preserve"> </v>
      </c>
      <c r="H4290" t="str">
        <f>IFERROR(+VLOOKUP(Movimientos_2026[[#This Row],[Codigo]],Plan_cuentas[],5,FALSE)," ")</f>
        <v xml:space="preserve"> </v>
      </c>
      <c r="I4290" s="43"/>
      <c r="K4290" t="str">
        <f>IFERROR(+VLOOKUP(Movimientos_2026[[#This Row],[Codigo]],Plan_cuentas[],6,FALSE)," ")</f>
        <v xml:space="preserve"> </v>
      </c>
      <c r="L4290" s="50"/>
      <c r="M4290" s="50"/>
      <c r="N4290" s="20">
        <f>+Movimientos_2026[[#This Row],[Ingresos]]-Movimientos_2026[[#This Row],[Egresos]]</f>
        <v>0</v>
      </c>
      <c r="O4290" s="20">
        <f>+O4289+Movimientos_2026[[#This Row],[Neto]]</f>
        <v>4581558617.7962294</v>
      </c>
    </row>
    <row r="4291" spans="1:15" x14ac:dyDescent="0.25">
      <c r="A4291" s="13"/>
      <c r="B4291" s="12">
        <f>MONTH(Movimientos_2026[[#This Row],[Fecha]])</f>
        <v>1</v>
      </c>
      <c r="C4291" s="12" t="str">
        <f>VLOOKUP((WEEKDAY(Movimientos_2026[[#This Row],[Fecha]],2)),'5. Setup'!$D$6:$E$12,2,FALSE)</f>
        <v>Sab</v>
      </c>
      <c r="E4291" t="str">
        <f>IFERROR(+VLOOKUP(Movimientos_2026[[#This Row],[Codigo]],Plan_cuentas[],2,FALSE)," ")</f>
        <v xml:space="preserve"> </v>
      </c>
      <c r="F4291" t="str">
        <f>IFERROR(+VLOOKUP(Movimientos_2026[[#This Row],[Codigo]],Plan_cuentas[],3,FALSE)," ")</f>
        <v xml:space="preserve"> </v>
      </c>
      <c r="G4291" t="str">
        <f>IFERROR(+VLOOKUP(Movimientos_2026[[#This Row],[Codigo]],Plan_cuentas[],4,FALSE)," ")</f>
        <v xml:space="preserve"> </v>
      </c>
      <c r="H4291" t="str">
        <f>IFERROR(+VLOOKUP(Movimientos_2026[[#This Row],[Codigo]],Plan_cuentas[],5,FALSE)," ")</f>
        <v xml:space="preserve"> </v>
      </c>
      <c r="I4291" s="43"/>
      <c r="K4291" t="str">
        <f>IFERROR(+VLOOKUP(Movimientos_2026[[#This Row],[Codigo]],Plan_cuentas[],6,FALSE)," ")</f>
        <v xml:space="preserve"> </v>
      </c>
      <c r="L4291" s="50"/>
      <c r="M4291" s="50"/>
      <c r="N4291" s="20">
        <f>+Movimientos_2026[[#This Row],[Ingresos]]-Movimientos_2026[[#This Row],[Egresos]]</f>
        <v>0</v>
      </c>
      <c r="O4291" s="20">
        <f>+O4290+Movimientos_2026[[#This Row],[Neto]]</f>
        <v>4581558617.7962294</v>
      </c>
    </row>
    <row r="4292" spans="1:15" x14ac:dyDescent="0.25">
      <c r="A4292" s="13"/>
      <c r="B4292" s="12">
        <f>MONTH(Movimientos_2026[[#This Row],[Fecha]])</f>
        <v>1</v>
      </c>
      <c r="C4292" s="12" t="str">
        <f>VLOOKUP((WEEKDAY(Movimientos_2026[[#This Row],[Fecha]],2)),'5. Setup'!$D$6:$E$12,2,FALSE)</f>
        <v>Sab</v>
      </c>
      <c r="E4292" t="str">
        <f>IFERROR(+VLOOKUP(Movimientos_2026[[#This Row],[Codigo]],Plan_cuentas[],2,FALSE)," ")</f>
        <v xml:space="preserve"> </v>
      </c>
      <c r="F4292" t="str">
        <f>IFERROR(+VLOOKUP(Movimientos_2026[[#This Row],[Codigo]],Plan_cuentas[],3,FALSE)," ")</f>
        <v xml:space="preserve"> </v>
      </c>
      <c r="G4292" t="str">
        <f>IFERROR(+VLOOKUP(Movimientos_2026[[#This Row],[Codigo]],Plan_cuentas[],4,FALSE)," ")</f>
        <v xml:space="preserve"> </v>
      </c>
      <c r="H4292" t="str">
        <f>IFERROR(+VLOOKUP(Movimientos_2026[[#This Row],[Codigo]],Plan_cuentas[],5,FALSE)," ")</f>
        <v xml:space="preserve"> </v>
      </c>
      <c r="I4292" s="43"/>
      <c r="K4292" t="str">
        <f>IFERROR(+VLOOKUP(Movimientos_2026[[#This Row],[Codigo]],Plan_cuentas[],6,FALSE)," ")</f>
        <v xml:space="preserve"> </v>
      </c>
      <c r="L4292" s="50"/>
      <c r="M4292" s="50"/>
      <c r="N4292" s="20">
        <f>+Movimientos_2026[[#This Row],[Ingresos]]-Movimientos_2026[[#This Row],[Egresos]]</f>
        <v>0</v>
      </c>
      <c r="O4292" s="20">
        <f>+O4291+Movimientos_2026[[#This Row],[Neto]]</f>
        <v>4581558617.7962294</v>
      </c>
    </row>
    <row r="4293" spans="1:15" x14ac:dyDescent="0.25">
      <c r="A4293" s="13"/>
      <c r="B4293" s="12">
        <f>MONTH(Movimientos_2026[[#This Row],[Fecha]])</f>
        <v>1</v>
      </c>
      <c r="C4293" s="12" t="str">
        <f>VLOOKUP((WEEKDAY(Movimientos_2026[[#This Row],[Fecha]],2)),'5. Setup'!$D$6:$E$12,2,FALSE)</f>
        <v>Sab</v>
      </c>
      <c r="E4293" t="str">
        <f>IFERROR(+VLOOKUP(Movimientos_2026[[#This Row],[Codigo]],Plan_cuentas[],2,FALSE)," ")</f>
        <v xml:space="preserve"> </v>
      </c>
      <c r="F4293" t="str">
        <f>IFERROR(+VLOOKUP(Movimientos_2026[[#This Row],[Codigo]],Plan_cuentas[],3,FALSE)," ")</f>
        <v xml:space="preserve"> </v>
      </c>
      <c r="G4293" t="str">
        <f>IFERROR(+VLOOKUP(Movimientos_2026[[#This Row],[Codigo]],Plan_cuentas[],4,FALSE)," ")</f>
        <v xml:space="preserve"> </v>
      </c>
      <c r="H4293" t="str">
        <f>IFERROR(+VLOOKUP(Movimientos_2026[[#This Row],[Codigo]],Plan_cuentas[],5,FALSE)," ")</f>
        <v xml:space="preserve"> </v>
      </c>
      <c r="I4293" s="43"/>
      <c r="K4293" t="str">
        <f>IFERROR(+VLOOKUP(Movimientos_2026[[#This Row],[Codigo]],Plan_cuentas[],6,FALSE)," ")</f>
        <v xml:space="preserve"> </v>
      </c>
      <c r="L4293" s="50"/>
      <c r="M4293" s="50"/>
      <c r="N4293" s="20">
        <f>+Movimientos_2026[[#This Row],[Ingresos]]-Movimientos_2026[[#This Row],[Egresos]]</f>
        <v>0</v>
      </c>
      <c r="O4293" s="20">
        <f>+O4292+Movimientos_2026[[#This Row],[Neto]]</f>
        <v>4581558617.7962294</v>
      </c>
    </row>
    <row r="4294" spans="1:15" x14ac:dyDescent="0.25">
      <c r="A4294" s="13"/>
      <c r="B4294" s="12">
        <f>MONTH(Movimientos_2026[[#This Row],[Fecha]])</f>
        <v>1</v>
      </c>
      <c r="C4294" s="12" t="str">
        <f>VLOOKUP((WEEKDAY(Movimientos_2026[[#This Row],[Fecha]],2)),'5. Setup'!$D$6:$E$12,2,FALSE)</f>
        <v>Sab</v>
      </c>
      <c r="E4294" t="str">
        <f>IFERROR(+VLOOKUP(Movimientos_2026[[#This Row],[Codigo]],Plan_cuentas[],2,FALSE)," ")</f>
        <v xml:space="preserve"> </v>
      </c>
      <c r="F4294" t="str">
        <f>IFERROR(+VLOOKUP(Movimientos_2026[[#This Row],[Codigo]],Plan_cuentas[],3,FALSE)," ")</f>
        <v xml:space="preserve"> </v>
      </c>
      <c r="G4294" t="str">
        <f>IFERROR(+VLOOKUP(Movimientos_2026[[#This Row],[Codigo]],Plan_cuentas[],4,FALSE)," ")</f>
        <v xml:space="preserve"> </v>
      </c>
      <c r="H4294" t="str">
        <f>IFERROR(+VLOOKUP(Movimientos_2026[[#This Row],[Codigo]],Plan_cuentas[],5,FALSE)," ")</f>
        <v xml:space="preserve"> </v>
      </c>
      <c r="I4294" s="43"/>
      <c r="K4294" t="str">
        <f>IFERROR(+VLOOKUP(Movimientos_2026[[#This Row],[Codigo]],Plan_cuentas[],6,FALSE)," ")</f>
        <v xml:space="preserve"> </v>
      </c>
      <c r="L4294" s="50"/>
      <c r="M4294" s="50"/>
      <c r="N4294" s="20">
        <f>+Movimientos_2026[[#This Row],[Ingresos]]-Movimientos_2026[[#This Row],[Egresos]]</f>
        <v>0</v>
      </c>
      <c r="O4294" s="20">
        <f>+O4293+Movimientos_2026[[#This Row],[Neto]]</f>
        <v>4581558617.7962294</v>
      </c>
    </row>
    <row r="4295" spans="1:15" x14ac:dyDescent="0.25">
      <c r="A4295" s="13"/>
      <c r="B4295" s="12">
        <f>MONTH(Movimientos_2026[[#This Row],[Fecha]])</f>
        <v>1</v>
      </c>
      <c r="C4295" s="12" t="str">
        <f>VLOOKUP((WEEKDAY(Movimientos_2026[[#This Row],[Fecha]],2)),'5. Setup'!$D$6:$E$12,2,FALSE)</f>
        <v>Sab</v>
      </c>
      <c r="E4295" t="str">
        <f>IFERROR(+VLOOKUP(Movimientos_2026[[#This Row],[Codigo]],Plan_cuentas[],2,FALSE)," ")</f>
        <v xml:space="preserve"> </v>
      </c>
      <c r="F4295" t="str">
        <f>IFERROR(+VLOOKUP(Movimientos_2026[[#This Row],[Codigo]],Plan_cuentas[],3,FALSE)," ")</f>
        <v xml:space="preserve"> </v>
      </c>
      <c r="G4295" t="str">
        <f>IFERROR(+VLOOKUP(Movimientos_2026[[#This Row],[Codigo]],Plan_cuentas[],4,FALSE)," ")</f>
        <v xml:space="preserve"> </v>
      </c>
      <c r="H4295" t="str">
        <f>IFERROR(+VLOOKUP(Movimientos_2026[[#This Row],[Codigo]],Plan_cuentas[],5,FALSE)," ")</f>
        <v xml:space="preserve"> </v>
      </c>
      <c r="I4295" s="43"/>
      <c r="K4295" t="str">
        <f>IFERROR(+VLOOKUP(Movimientos_2026[[#This Row],[Codigo]],Plan_cuentas[],6,FALSE)," ")</f>
        <v xml:space="preserve"> </v>
      </c>
      <c r="L4295" s="50"/>
      <c r="M4295" s="50"/>
      <c r="N4295" s="20">
        <f>+Movimientos_2026[[#This Row],[Ingresos]]-Movimientos_2026[[#This Row],[Egresos]]</f>
        <v>0</v>
      </c>
      <c r="O4295" s="20">
        <f>+O4294+Movimientos_2026[[#This Row],[Neto]]</f>
        <v>4581558617.7962294</v>
      </c>
    </row>
    <row r="4296" spans="1:15" x14ac:dyDescent="0.25">
      <c r="A4296" s="13"/>
      <c r="B4296" s="12">
        <f>MONTH(Movimientos_2026[[#This Row],[Fecha]])</f>
        <v>1</v>
      </c>
      <c r="C4296" s="12" t="str">
        <f>VLOOKUP((WEEKDAY(Movimientos_2026[[#This Row],[Fecha]],2)),'5. Setup'!$D$6:$E$12,2,FALSE)</f>
        <v>Sab</v>
      </c>
      <c r="E4296" t="str">
        <f>IFERROR(+VLOOKUP(Movimientos_2026[[#This Row],[Codigo]],Plan_cuentas[],2,FALSE)," ")</f>
        <v xml:space="preserve"> </v>
      </c>
      <c r="F4296" t="str">
        <f>IFERROR(+VLOOKUP(Movimientos_2026[[#This Row],[Codigo]],Plan_cuentas[],3,FALSE)," ")</f>
        <v xml:space="preserve"> </v>
      </c>
      <c r="G4296" t="str">
        <f>IFERROR(+VLOOKUP(Movimientos_2026[[#This Row],[Codigo]],Plan_cuentas[],4,FALSE)," ")</f>
        <v xml:space="preserve"> </v>
      </c>
      <c r="H4296" t="str">
        <f>IFERROR(+VLOOKUP(Movimientos_2026[[#This Row],[Codigo]],Plan_cuentas[],5,FALSE)," ")</f>
        <v xml:space="preserve"> </v>
      </c>
      <c r="I4296" s="43"/>
      <c r="K4296" t="str">
        <f>IFERROR(+VLOOKUP(Movimientos_2026[[#This Row],[Codigo]],Plan_cuentas[],6,FALSE)," ")</f>
        <v xml:space="preserve"> </v>
      </c>
      <c r="L4296" s="50"/>
      <c r="M4296" s="50"/>
      <c r="N4296" s="20">
        <f>+Movimientos_2026[[#This Row],[Ingresos]]-Movimientos_2026[[#This Row],[Egresos]]</f>
        <v>0</v>
      </c>
      <c r="O4296" s="20">
        <f>+O4295+Movimientos_2026[[#This Row],[Neto]]</f>
        <v>4581558617.7962294</v>
      </c>
    </row>
    <row r="4297" spans="1:15" x14ac:dyDescent="0.25">
      <c r="A4297" s="13"/>
      <c r="B4297" s="12">
        <f>MONTH(Movimientos_2026[[#This Row],[Fecha]])</f>
        <v>1</v>
      </c>
      <c r="C4297" s="12" t="str">
        <f>VLOOKUP((WEEKDAY(Movimientos_2026[[#This Row],[Fecha]],2)),'5. Setup'!$D$6:$E$12,2,FALSE)</f>
        <v>Sab</v>
      </c>
      <c r="E4297" t="str">
        <f>IFERROR(+VLOOKUP(Movimientos_2026[[#This Row],[Codigo]],Plan_cuentas[],2,FALSE)," ")</f>
        <v xml:space="preserve"> </v>
      </c>
      <c r="F4297" t="str">
        <f>IFERROR(+VLOOKUP(Movimientos_2026[[#This Row],[Codigo]],Plan_cuentas[],3,FALSE)," ")</f>
        <v xml:space="preserve"> </v>
      </c>
      <c r="G4297" t="str">
        <f>IFERROR(+VLOOKUP(Movimientos_2026[[#This Row],[Codigo]],Plan_cuentas[],4,FALSE)," ")</f>
        <v xml:space="preserve"> </v>
      </c>
      <c r="H4297" t="str">
        <f>IFERROR(+VLOOKUP(Movimientos_2026[[#This Row],[Codigo]],Plan_cuentas[],5,FALSE)," ")</f>
        <v xml:space="preserve"> </v>
      </c>
      <c r="I4297" s="43"/>
      <c r="K4297" t="str">
        <f>IFERROR(+VLOOKUP(Movimientos_2026[[#This Row],[Codigo]],Plan_cuentas[],6,FALSE)," ")</f>
        <v xml:space="preserve"> </v>
      </c>
      <c r="L4297" s="50"/>
      <c r="M4297" s="50"/>
      <c r="N4297" s="20">
        <f>+Movimientos_2026[[#This Row],[Ingresos]]-Movimientos_2026[[#This Row],[Egresos]]</f>
        <v>0</v>
      </c>
      <c r="O4297" s="20">
        <f>+O4296+Movimientos_2026[[#This Row],[Neto]]</f>
        <v>4581558617.7962294</v>
      </c>
    </row>
    <row r="4298" spans="1:15" x14ac:dyDescent="0.25">
      <c r="A4298" s="13"/>
      <c r="B4298" s="12">
        <f>MONTH(Movimientos_2026[[#This Row],[Fecha]])</f>
        <v>1</v>
      </c>
      <c r="C4298" s="12" t="str">
        <f>VLOOKUP((WEEKDAY(Movimientos_2026[[#This Row],[Fecha]],2)),'5. Setup'!$D$6:$E$12,2,FALSE)</f>
        <v>Sab</v>
      </c>
      <c r="E4298" t="str">
        <f>IFERROR(+VLOOKUP(Movimientos_2026[[#This Row],[Codigo]],Plan_cuentas[],2,FALSE)," ")</f>
        <v xml:space="preserve"> </v>
      </c>
      <c r="F4298" t="str">
        <f>IFERROR(+VLOOKUP(Movimientos_2026[[#This Row],[Codigo]],Plan_cuentas[],3,FALSE)," ")</f>
        <v xml:space="preserve"> </v>
      </c>
      <c r="G4298" t="str">
        <f>IFERROR(+VLOOKUP(Movimientos_2026[[#This Row],[Codigo]],Plan_cuentas[],4,FALSE)," ")</f>
        <v xml:space="preserve"> </v>
      </c>
      <c r="H4298" t="str">
        <f>IFERROR(+VLOOKUP(Movimientos_2026[[#This Row],[Codigo]],Plan_cuentas[],5,FALSE)," ")</f>
        <v xml:space="preserve"> </v>
      </c>
      <c r="I4298" s="43"/>
      <c r="K4298" t="str">
        <f>IFERROR(+VLOOKUP(Movimientos_2026[[#This Row],[Codigo]],Plan_cuentas[],6,FALSE)," ")</f>
        <v xml:space="preserve"> </v>
      </c>
      <c r="L4298" s="50"/>
      <c r="M4298" s="50"/>
      <c r="N4298" s="20">
        <f>+Movimientos_2026[[#This Row],[Ingresos]]-Movimientos_2026[[#This Row],[Egresos]]</f>
        <v>0</v>
      </c>
      <c r="O4298" s="20">
        <f>+O4297+Movimientos_2026[[#This Row],[Neto]]</f>
        <v>4581558617.7962294</v>
      </c>
    </row>
    <row r="4299" spans="1:15" x14ac:dyDescent="0.25">
      <c r="A4299" s="13"/>
      <c r="B4299" s="12">
        <f>MONTH(Movimientos_2026[[#This Row],[Fecha]])</f>
        <v>1</v>
      </c>
      <c r="C4299" s="12" t="str">
        <f>VLOOKUP((WEEKDAY(Movimientos_2026[[#This Row],[Fecha]],2)),'5. Setup'!$D$6:$E$12,2,FALSE)</f>
        <v>Sab</v>
      </c>
      <c r="E4299" t="str">
        <f>IFERROR(+VLOOKUP(Movimientos_2026[[#This Row],[Codigo]],Plan_cuentas[],2,FALSE)," ")</f>
        <v xml:space="preserve"> </v>
      </c>
      <c r="F4299" t="str">
        <f>IFERROR(+VLOOKUP(Movimientos_2026[[#This Row],[Codigo]],Plan_cuentas[],3,FALSE)," ")</f>
        <v xml:space="preserve"> </v>
      </c>
      <c r="G4299" t="str">
        <f>IFERROR(+VLOOKUP(Movimientos_2026[[#This Row],[Codigo]],Plan_cuentas[],4,FALSE)," ")</f>
        <v xml:space="preserve"> </v>
      </c>
      <c r="H4299" t="str">
        <f>IFERROR(+VLOOKUP(Movimientos_2026[[#This Row],[Codigo]],Plan_cuentas[],5,FALSE)," ")</f>
        <v xml:space="preserve"> </v>
      </c>
      <c r="I4299" s="43"/>
      <c r="K4299" t="str">
        <f>IFERROR(+VLOOKUP(Movimientos_2026[[#This Row],[Codigo]],Plan_cuentas[],6,FALSE)," ")</f>
        <v xml:space="preserve"> </v>
      </c>
      <c r="L4299" s="50"/>
      <c r="M4299" s="50"/>
      <c r="N4299" s="20">
        <f>+Movimientos_2026[[#This Row],[Ingresos]]-Movimientos_2026[[#This Row],[Egresos]]</f>
        <v>0</v>
      </c>
      <c r="O4299" s="20">
        <f>+O4298+Movimientos_2026[[#This Row],[Neto]]</f>
        <v>4581558617.7962294</v>
      </c>
    </row>
    <row r="4300" spans="1:15" x14ac:dyDescent="0.25">
      <c r="A4300" s="13"/>
      <c r="B4300" s="12">
        <f>MONTH(Movimientos_2026[[#This Row],[Fecha]])</f>
        <v>1</v>
      </c>
      <c r="C4300" s="12" t="str">
        <f>VLOOKUP((WEEKDAY(Movimientos_2026[[#This Row],[Fecha]],2)),'5. Setup'!$D$6:$E$12,2,FALSE)</f>
        <v>Sab</v>
      </c>
      <c r="E4300" t="str">
        <f>IFERROR(+VLOOKUP(Movimientos_2026[[#This Row],[Codigo]],Plan_cuentas[],2,FALSE)," ")</f>
        <v xml:space="preserve"> </v>
      </c>
      <c r="F4300" t="str">
        <f>IFERROR(+VLOOKUP(Movimientos_2026[[#This Row],[Codigo]],Plan_cuentas[],3,FALSE)," ")</f>
        <v xml:space="preserve"> </v>
      </c>
      <c r="G4300" t="str">
        <f>IFERROR(+VLOOKUP(Movimientos_2026[[#This Row],[Codigo]],Plan_cuentas[],4,FALSE)," ")</f>
        <v xml:space="preserve"> </v>
      </c>
      <c r="H4300" t="str">
        <f>IFERROR(+VLOOKUP(Movimientos_2026[[#This Row],[Codigo]],Plan_cuentas[],5,FALSE)," ")</f>
        <v xml:space="preserve"> </v>
      </c>
      <c r="I4300" s="43"/>
      <c r="K4300" t="str">
        <f>IFERROR(+VLOOKUP(Movimientos_2026[[#This Row],[Codigo]],Plan_cuentas[],6,FALSE)," ")</f>
        <v xml:space="preserve"> </v>
      </c>
      <c r="L4300" s="50"/>
      <c r="M4300" s="50"/>
      <c r="N4300" s="20">
        <f>+Movimientos_2026[[#This Row],[Ingresos]]-Movimientos_2026[[#This Row],[Egresos]]</f>
        <v>0</v>
      </c>
      <c r="O4300" s="20">
        <f>+O4299+Movimientos_2026[[#This Row],[Neto]]</f>
        <v>4581558617.7962294</v>
      </c>
    </row>
    <row r="4301" spans="1:15" x14ac:dyDescent="0.25">
      <c r="A4301" s="13"/>
      <c r="B4301" s="12">
        <f>MONTH(Movimientos_2026[[#This Row],[Fecha]])</f>
        <v>1</v>
      </c>
      <c r="C4301" s="12" t="str">
        <f>VLOOKUP((WEEKDAY(Movimientos_2026[[#This Row],[Fecha]],2)),'5. Setup'!$D$6:$E$12,2,FALSE)</f>
        <v>Sab</v>
      </c>
      <c r="E4301" t="str">
        <f>IFERROR(+VLOOKUP(Movimientos_2026[[#This Row],[Codigo]],Plan_cuentas[],2,FALSE)," ")</f>
        <v xml:space="preserve"> </v>
      </c>
      <c r="F4301" t="str">
        <f>IFERROR(+VLOOKUP(Movimientos_2026[[#This Row],[Codigo]],Plan_cuentas[],3,FALSE)," ")</f>
        <v xml:space="preserve"> </v>
      </c>
      <c r="G4301" t="str">
        <f>IFERROR(+VLOOKUP(Movimientos_2026[[#This Row],[Codigo]],Plan_cuentas[],4,FALSE)," ")</f>
        <v xml:space="preserve"> </v>
      </c>
      <c r="H4301" t="str">
        <f>IFERROR(+VLOOKUP(Movimientos_2026[[#This Row],[Codigo]],Plan_cuentas[],5,FALSE)," ")</f>
        <v xml:space="preserve"> </v>
      </c>
      <c r="I4301" s="43"/>
      <c r="K4301" t="str">
        <f>IFERROR(+VLOOKUP(Movimientos_2026[[#This Row],[Codigo]],Plan_cuentas[],6,FALSE)," ")</f>
        <v xml:space="preserve"> </v>
      </c>
      <c r="L4301" s="50"/>
      <c r="M4301" s="50"/>
      <c r="N4301" s="20">
        <f>+Movimientos_2026[[#This Row],[Ingresos]]-Movimientos_2026[[#This Row],[Egresos]]</f>
        <v>0</v>
      </c>
      <c r="O4301" s="20">
        <f>+O4300+Movimientos_2026[[#This Row],[Neto]]</f>
        <v>4581558617.7962294</v>
      </c>
    </row>
    <row r="4302" spans="1:15" x14ac:dyDescent="0.25">
      <c r="A4302" s="13"/>
      <c r="B4302" s="12">
        <f>MONTH(Movimientos_2026[[#This Row],[Fecha]])</f>
        <v>1</v>
      </c>
      <c r="C4302" s="12" t="str">
        <f>VLOOKUP((WEEKDAY(Movimientos_2026[[#This Row],[Fecha]],2)),'5. Setup'!$D$6:$E$12,2,FALSE)</f>
        <v>Sab</v>
      </c>
      <c r="E4302" t="str">
        <f>IFERROR(+VLOOKUP(Movimientos_2026[[#This Row],[Codigo]],Plan_cuentas[],2,FALSE)," ")</f>
        <v xml:space="preserve"> </v>
      </c>
      <c r="F4302" t="str">
        <f>IFERROR(+VLOOKUP(Movimientos_2026[[#This Row],[Codigo]],Plan_cuentas[],3,FALSE)," ")</f>
        <v xml:space="preserve"> </v>
      </c>
      <c r="G4302" t="str">
        <f>IFERROR(+VLOOKUP(Movimientos_2026[[#This Row],[Codigo]],Plan_cuentas[],4,FALSE)," ")</f>
        <v xml:space="preserve"> </v>
      </c>
      <c r="H4302" t="str">
        <f>IFERROR(+VLOOKUP(Movimientos_2026[[#This Row],[Codigo]],Plan_cuentas[],5,FALSE)," ")</f>
        <v xml:space="preserve"> </v>
      </c>
      <c r="I4302" s="43"/>
      <c r="K4302" t="str">
        <f>IFERROR(+VLOOKUP(Movimientos_2026[[#This Row],[Codigo]],Plan_cuentas[],6,FALSE)," ")</f>
        <v xml:space="preserve"> </v>
      </c>
      <c r="L4302" s="50"/>
      <c r="M4302" s="50"/>
      <c r="N4302" s="20">
        <f>+Movimientos_2026[[#This Row],[Ingresos]]-Movimientos_2026[[#This Row],[Egresos]]</f>
        <v>0</v>
      </c>
      <c r="O4302" s="20">
        <f>+O4301+Movimientos_2026[[#This Row],[Neto]]</f>
        <v>4581558617.7962294</v>
      </c>
    </row>
    <row r="4303" spans="1:15" x14ac:dyDescent="0.25">
      <c r="A4303" s="13"/>
      <c r="B4303" s="12">
        <f>MONTH(Movimientos_2026[[#This Row],[Fecha]])</f>
        <v>1</v>
      </c>
      <c r="C4303" s="12" t="str">
        <f>VLOOKUP((WEEKDAY(Movimientos_2026[[#This Row],[Fecha]],2)),'5. Setup'!$D$6:$E$12,2,FALSE)</f>
        <v>Sab</v>
      </c>
      <c r="E4303" t="str">
        <f>IFERROR(+VLOOKUP(Movimientos_2026[[#This Row],[Codigo]],Plan_cuentas[],2,FALSE)," ")</f>
        <v xml:space="preserve"> </v>
      </c>
      <c r="F4303" t="str">
        <f>IFERROR(+VLOOKUP(Movimientos_2026[[#This Row],[Codigo]],Plan_cuentas[],3,FALSE)," ")</f>
        <v xml:space="preserve"> </v>
      </c>
      <c r="G4303" t="str">
        <f>IFERROR(+VLOOKUP(Movimientos_2026[[#This Row],[Codigo]],Plan_cuentas[],4,FALSE)," ")</f>
        <v xml:space="preserve"> </v>
      </c>
      <c r="H4303" t="str">
        <f>IFERROR(+VLOOKUP(Movimientos_2026[[#This Row],[Codigo]],Plan_cuentas[],5,FALSE)," ")</f>
        <v xml:space="preserve"> </v>
      </c>
      <c r="I4303" s="43"/>
      <c r="K4303" t="str">
        <f>IFERROR(+VLOOKUP(Movimientos_2026[[#This Row],[Codigo]],Plan_cuentas[],6,FALSE)," ")</f>
        <v xml:space="preserve"> </v>
      </c>
      <c r="L4303" s="50"/>
      <c r="M4303" s="50"/>
      <c r="N4303" s="20">
        <f>+Movimientos_2026[[#This Row],[Ingresos]]-Movimientos_2026[[#This Row],[Egresos]]</f>
        <v>0</v>
      </c>
      <c r="O4303" s="20">
        <f>+O4302+Movimientos_2026[[#This Row],[Neto]]</f>
        <v>4581558617.7962294</v>
      </c>
    </row>
    <row r="4304" spans="1:15" x14ac:dyDescent="0.25">
      <c r="A4304" s="13"/>
      <c r="B4304" s="12">
        <f>MONTH(Movimientos_2026[[#This Row],[Fecha]])</f>
        <v>1</v>
      </c>
      <c r="C4304" s="12" t="str">
        <f>VLOOKUP((WEEKDAY(Movimientos_2026[[#This Row],[Fecha]],2)),'5. Setup'!$D$6:$E$12,2,FALSE)</f>
        <v>Sab</v>
      </c>
      <c r="E4304" t="str">
        <f>IFERROR(+VLOOKUP(Movimientos_2026[[#This Row],[Codigo]],Plan_cuentas[],2,FALSE)," ")</f>
        <v xml:space="preserve"> </v>
      </c>
      <c r="F4304" t="str">
        <f>IFERROR(+VLOOKUP(Movimientos_2026[[#This Row],[Codigo]],Plan_cuentas[],3,FALSE)," ")</f>
        <v xml:space="preserve"> </v>
      </c>
      <c r="G4304" t="str">
        <f>IFERROR(+VLOOKUP(Movimientos_2026[[#This Row],[Codigo]],Plan_cuentas[],4,FALSE)," ")</f>
        <v xml:space="preserve"> </v>
      </c>
      <c r="H4304" t="str">
        <f>IFERROR(+VLOOKUP(Movimientos_2026[[#This Row],[Codigo]],Plan_cuentas[],5,FALSE)," ")</f>
        <v xml:space="preserve"> </v>
      </c>
      <c r="I4304" s="43"/>
      <c r="K4304" t="str">
        <f>IFERROR(+VLOOKUP(Movimientos_2026[[#This Row],[Codigo]],Plan_cuentas[],6,FALSE)," ")</f>
        <v xml:space="preserve"> </v>
      </c>
      <c r="L4304" s="50"/>
      <c r="M4304" s="50"/>
      <c r="N4304" s="20">
        <f>+Movimientos_2026[[#This Row],[Ingresos]]-Movimientos_2026[[#This Row],[Egresos]]</f>
        <v>0</v>
      </c>
      <c r="O4304" s="20">
        <f>+O4303+Movimientos_2026[[#This Row],[Neto]]</f>
        <v>4581558617.7962294</v>
      </c>
    </row>
    <row r="4305" spans="1:15" x14ac:dyDescent="0.25">
      <c r="A4305" s="13"/>
      <c r="B4305" s="12">
        <f>MONTH(Movimientos_2026[[#This Row],[Fecha]])</f>
        <v>1</v>
      </c>
      <c r="C4305" s="12" t="str">
        <f>VLOOKUP((WEEKDAY(Movimientos_2026[[#This Row],[Fecha]],2)),'5. Setup'!$D$6:$E$12,2,FALSE)</f>
        <v>Sab</v>
      </c>
      <c r="E4305" t="str">
        <f>IFERROR(+VLOOKUP(Movimientos_2026[[#This Row],[Codigo]],Plan_cuentas[],2,FALSE)," ")</f>
        <v xml:space="preserve"> </v>
      </c>
      <c r="F4305" t="str">
        <f>IFERROR(+VLOOKUP(Movimientos_2026[[#This Row],[Codigo]],Plan_cuentas[],3,FALSE)," ")</f>
        <v xml:space="preserve"> </v>
      </c>
      <c r="G4305" t="str">
        <f>IFERROR(+VLOOKUP(Movimientos_2026[[#This Row],[Codigo]],Plan_cuentas[],4,FALSE)," ")</f>
        <v xml:space="preserve"> </v>
      </c>
      <c r="H4305" t="str">
        <f>IFERROR(+VLOOKUP(Movimientos_2026[[#This Row],[Codigo]],Plan_cuentas[],5,FALSE)," ")</f>
        <v xml:space="preserve"> </v>
      </c>
      <c r="I4305" s="43"/>
      <c r="K4305" t="str">
        <f>IFERROR(+VLOOKUP(Movimientos_2026[[#This Row],[Codigo]],Plan_cuentas[],6,FALSE)," ")</f>
        <v xml:space="preserve"> </v>
      </c>
      <c r="L4305" s="50"/>
      <c r="M4305" s="50"/>
      <c r="N4305" s="20">
        <f>+Movimientos_2026[[#This Row],[Ingresos]]-Movimientos_2026[[#This Row],[Egresos]]</f>
        <v>0</v>
      </c>
      <c r="O4305" s="20">
        <f>+O4304+Movimientos_2026[[#This Row],[Neto]]</f>
        <v>4581558617.7962294</v>
      </c>
    </row>
    <row r="4306" spans="1:15" x14ac:dyDescent="0.25">
      <c r="A4306" s="13"/>
      <c r="B4306" s="12">
        <f>MONTH(Movimientos_2026[[#This Row],[Fecha]])</f>
        <v>1</v>
      </c>
      <c r="C4306" s="12" t="str">
        <f>VLOOKUP((WEEKDAY(Movimientos_2026[[#This Row],[Fecha]],2)),'5. Setup'!$D$6:$E$12,2,FALSE)</f>
        <v>Sab</v>
      </c>
      <c r="E4306" t="str">
        <f>IFERROR(+VLOOKUP(Movimientos_2026[[#This Row],[Codigo]],Plan_cuentas[],2,FALSE)," ")</f>
        <v xml:space="preserve"> </v>
      </c>
      <c r="F4306" t="str">
        <f>IFERROR(+VLOOKUP(Movimientos_2026[[#This Row],[Codigo]],Plan_cuentas[],3,FALSE)," ")</f>
        <v xml:space="preserve"> </v>
      </c>
      <c r="G4306" t="str">
        <f>IFERROR(+VLOOKUP(Movimientos_2026[[#This Row],[Codigo]],Plan_cuentas[],4,FALSE)," ")</f>
        <v xml:space="preserve"> </v>
      </c>
      <c r="H4306" t="str">
        <f>IFERROR(+VLOOKUP(Movimientos_2026[[#This Row],[Codigo]],Plan_cuentas[],5,FALSE)," ")</f>
        <v xml:space="preserve"> </v>
      </c>
      <c r="I4306" s="43"/>
      <c r="K4306" t="str">
        <f>IFERROR(+VLOOKUP(Movimientos_2026[[#This Row],[Codigo]],Plan_cuentas[],6,FALSE)," ")</f>
        <v xml:space="preserve"> </v>
      </c>
      <c r="L4306" s="50"/>
      <c r="M4306" s="50"/>
      <c r="N4306" s="20">
        <f>+Movimientos_2026[[#This Row],[Ingresos]]-Movimientos_2026[[#This Row],[Egresos]]</f>
        <v>0</v>
      </c>
      <c r="O4306" s="20">
        <f>+O4305+Movimientos_2026[[#This Row],[Neto]]</f>
        <v>4581558617.7962294</v>
      </c>
    </row>
    <row r="4307" spans="1:15" x14ac:dyDescent="0.25">
      <c r="A4307" s="13"/>
      <c r="B4307" s="12">
        <f>MONTH(Movimientos_2026[[#This Row],[Fecha]])</f>
        <v>1</v>
      </c>
      <c r="C4307" s="12" t="str">
        <f>VLOOKUP((WEEKDAY(Movimientos_2026[[#This Row],[Fecha]],2)),'5. Setup'!$D$6:$E$12,2,FALSE)</f>
        <v>Sab</v>
      </c>
      <c r="E4307" t="str">
        <f>IFERROR(+VLOOKUP(Movimientos_2026[[#This Row],[Codigo]],Plan_cuentas[],2,FALSE)," ")</f>
        <v xml:space="preserve"> </v>
      </c>
      <c r="F4307" t="str">
        <f>IFERROR(+VLOOKUP(Movimientos_2026[[#This Row],[Codigo]],Plan_cuentas[],3,FALSE)," ")</f>
        <v xml:space="preserve"> </v>
      </c>
      <c r="G4307" t="str">
        <f>IFERROR(+VLOOKUP(Movimientos_2026[[#This Row],[Codigo]],Plan_cuentas[],4,FALSE)," ")</f>
        <v xml:space="preserve"> </v>
      </c>
      <c r="H4307" t="str">
        <f>IFERROR(+VLOOKUP(Movimientos_2026[[#This Row],[Codigo]],Plan_cuentas[],5,FALSE)," ")</f>
        <v xml:space="preserve"> </v>
      </c>
      <c r="I4307" s="43"/>
      <c r="K4307" t="str">
        <f>IFERROR(+VLOOKUP(Movimientos_2026[[#This Row],[Codigo]],Plan_cuentas[],6,FALSE)," ")</f>
        <v xml:space="preserve"> </v>
      </c>
      <c r="L4307" s="50"/>
      <c r="M4307" s="50"/>
      <c r="N4307" s="20">
        <f>+Movimientos_2026[[#This Row],[Ingresos]]-Movimientos_2026[[#This Row],[Egresos]]</f>
        <v>0</v>
      </c>
      <c r="O4307" s="20">
        <f>+O4306+Movimientos_2026[[#This Row],[Neto]]</f>
        <v>4581558617.7962294</v>
      </c>
    </row>
    <row r="4308" spans="1:15" x14ac:dyDescent="0.25">
      <c r="A4308" s="13"/>
      <c r="B4308" s="12">
        <f>MONTH(Movimientos_2026[[#This Row],[Fecha]])</f>
        <v>1</v>
      </c>
      <c r="C4308" s="12" t="str">
        <f>VLOOKUP((WEEKDAY(Movimientos_2026[[#This Row],[Fecha]],2)),'5. Setup'!$D$6:$E$12,2,FALSE)</f>
        <v>Sab</v>
      </c>
      <c r="E4308" t="str">
        <f>IFERROR(+VLOOKUP(Movimientos_2026[[#This Row],[Codigo]],Plan_cuentas[],2,FALSE)," ")</f>
        <v xml:space="preserve"> </v>
      </c>
      <c r="F4308" t="str">
        <f>IFERROR(+VLOOKUP(Movimientos_2026[[#This Row],[Codigo]],Plan_cuentas[],3,FALSE)," ")</f>
        <v xml:space="preserve"> </v>
      </c>
      <c r="G4308" t="str">
        <f>IFERROR(+VLOOKUP(Movimientos_2026[[#This Row],[Codigo]],Plan_cuentas[],4,FALSE)," ")</f>
        <v xml:space="preserve"> </v>
      </c>
      <c r="H4308" t="str">
        <f>IFERROR(+VLOOKUP(Movimientos_2026[[#This Row],[Codigo]],Plan_cuentas[],5,FALSE)," ")</f>
        <v xml:space="preserve"> </v>
      </c>
      <c r="I4308" s="43"/>
      <c r="K4308" t="str">
        <f>IFERROR(+VLOOKUP(Movimientos_2026[[#This Row],[Codigo]],Plan_cuentas[],6,FALSE)," ")</f>
        <v xml:space="preserve"> </v>
      </c>
      <c r="L4308" s="50"/>
      <c r="M4308" s="50"/>
      <c r="N4308" s="20">
        <f>+Movimientos_2026[[#This Row],[Ingresos]]-Movimientos_2026[[#This Row],[Egresos]]</f>
        <v>0</v>
      </c>
      <c r="O4308" s="20">
        <f>+O4307+Movimientos_2026[[#This Row],[Neto]]</f>
        <v>4581558617.7962294</v>
      </c>
    </row>
    <row r="4309" spans="1:15" x14ac:dyDescent="0.25">
      <c r="A4309" s="13"/>
      <c r="B4309" s="12">
        <f>MONTH(Movimientos_2026[[#This Row],[Fecha]])</f>
        <v>1</v>
      </c>
      <c r="C4309" s="12" t="str">
        <f>VLOOKUP((WEEKDAY(Movimientos_2026[[#This Row],[Fecha]],2)),'5. Setup'!$D$6:$E$12,2,FALSE)</f>
        <v>Sab</v>
      </c>
      <c r="E4309" t="str">
        <f>IFERROR(+VLOOKUP(Movimientos_2026[[#This Row],[Codigo]],Plan_cuentas[],2,FALSE)," ")</f>
        <v xml:space="preserve"> </v>
      </c>
      <c r="F4309" t="str">
        <f>IFERROR(+VLOOKUP(Movimientos_2026[[#This Row],[Codigo]],Plan_cuentas[],3,FALSE)," ")</f>
        <v xml:space="preserve"> </v>
      </c>
      <c r="G4309" t="str">
        <f>IFERROR(+VLOOKUP(Movimientos_2026[[#This Row],[Codigo]],Plan_cuentas[],4,FALSE)," ")</f>
        <v xml:space="preserve"> </v>
      </c>
      <c r="H4309" t="str">
        <f>IFERROR(+VLOOKUP(Movimientos_2026[[#This Row],[Codigo]],Plan_cuentas[],5,FALSE)," ")</f>
        <v xml:space="preserve"> </v>
      </c>
      <c r="I4309" s="43"/>
      <c r="K4309" t="str">
        <f>IFERROR(+VLOOKUP(Movimientos_2026[[#This Row],[Codigo]],Plan_cuentas[],6,FALSE)," ")</f>
        <v xml:space="preserve"> </v>
      </c>
      <c r="L4309" s="50"/>
      <c r="M4309" s="50"/>
      <c r="N4309" s="20">
        <f>+Movimientos_2026[[#This Row],[Ingresos]]-Movimientos_2026[[#This Row],[Egresos]]</f>
        <v>0</v>
      </c>
      <c r="O4309" s="20">
        <f>+O4308+Movimientos_2026[[#This Row],[Neto]]</f>
        <v>4581558617.7962294</v>
      </c>
    </row>
    <row r="4310" spans="1:15" x14ac:dyDescent="0.25">
      <c r="A4310" s="13"/>
      <c r="B4310" s="12">
        <f>MONTH(Movimientos_2026[[#This Row],[Fecha]])</f>
        <v>1</v>
      </c>
      <c r="C4310" s="12" t="str">
        <f>VLOOKUP((WEEKDAY(Movimientos_2026[[#This Row],[Fecha]],2)),'5. Setup'!$D$6:$E$12,2,FALSE)</f>
        <v>Sab</v>
      </c>
      <c r="E4310" t="str">
        <f>IFERROR(+VLOOKUP(Movimientos_2026[[#This Row],[Codigo]],Plan_cuentas[],2,FALSE)," ")</f>
        <v xml:space="preserve"> </v>
      </c>
      <c r="F4310" t="str">
        <f>IFERROR(+VLOOKUP(Movimientos_2026[[#This Row],[Codigo]],Plan_cuentas[],3,FALSE)," ")</f>
        <v xml:space="preserve"> </v>
      </c>
      <c r="G4310" t="str">
        <f>IFERROR(+VLOOKUP(Movimientos_2026[[#This Row],[Codigo]],Plan_cuentas[],4,FALSE)," ")</f>
        <v xml:space="preserve"> </v>
      </c>
      <c r="H4310" t="str">
        <f>IFERROR(+VLOOKUP(Movimientos_2026[[#This Row],[Codigo]],Plan_cuentas[],5,FALSE)," ")</f>
        <v xml:space="preserve"> </v>
      </c>
      <c r="I4310" s="43"/>
      <c r="K4310" t="str">
        <f>IFERROR(+VLOOKUP(Movimientos_2026[[#This Row],[Codigo]],Plan_cuentas[],6,FALSE)," ")</f>
        <v xml:space="preserve"> </v>
      </c>
      <c r="L4310" s="50"/>
      <c r="M4310" s="50"/>
      <c r="N4310" s="20">
        <f>+Movimientos_2026[[#This Row],[Ingresos]]-Movimientos_2026[[#This Row],[Egresos]]</f>
        <v>0</v>
      </c>
      <c r="O4310" s="20">
        <f>+O4309+Movimientos_2026[[#This Row],[Neto]]</f>
        <v>4581558617.7962294</v>
      </c>
    </row>
    <row r="4311" spans="1:15" x14ac:dyDescent="0.25">
      <c r="A4311" s="13"/>
      <c r="B4311" s="12">
        <f>MONTH(Movimientos_2026[[#This Row],[Fecha]])</f>
        <v>1</v>
      </c>
      <c r="C4311" s="12" t="str">
        <f>VLOOKUP((WEEKDAY(Movimientos_2026[[#This Row],[Fecha]],2)),'5. Setup'!$D$6:$E$12,2,FALSE)</f>
        <v>Sab</v>
      </c>
      <c r="E4311" t="str">
        <f>IFERROR(+VLOOKUP(Movimientos_2026[[#This Row],[Codigo]],Plan_cuentas[],2,FALSE)," ")</f>
        <v xml:space="preserve"> </v>
      </c>
      <c r="F4311" t="str">
        <f>IFERROR(+VLOOKUP(Movimientos_2026[[#This Row],[Codigo]],Plan_cuentas[],3,FALSE)," ")</f>
        <v xml:space="preserve"> </v>
      </c>
      <c r="G4311" t="str">
        <f>IFERROR(+VLOOKUP(Movimientos_2026[[#This Row],[Codigo]],Plan_cuentas[],4,FALSE)," ")</f>
        <v xml:space="preserve"> </v>
      </c>
      <c r="H4311" t="str">
        <f>IFERROR(+VLOOKUP(Movimientos_2026[[#This Row],[Codigo]],Plan_cuentas[],5,FALSE)," ")</f>
        <v xml:space="preserve"> </v>
      </c>
      <c r="I4311" s="43"/>
      <c r="K4311" t="str">
        <f>IFERROR(+VLOOKUP(Movimientos_2026[[#This Row],[Codigo]],Plan_cuentas[],6,FALSE)," ")</f>
        <v xml:space="preserve"> </v>
      </c>
      <c r="L4311" s="50"/>
      <c r="M4311" s="50"/>
      <c r="N4311" s="20">
        <f>+Movimientos_2026[[#This Row],[Ingresos]]-Movimientos_2026[[#This Row],[Egresos]]</f>
        <v>0</v>
      </c>
      <c r="O4311" s="20">
        <f>+O4310+Movimientos_2026[[#This Row],[Neto]]</f>
        <v>4581558617.7962294</v>
      </c>
    </row>
    <row r="4312" spans="1:15" x14ac:dyDescent="0.25">
      <c r="A4312" s="13"/>
      <c r="B4312" s="12">
        <f>MONTH(Movimientos_2026[[#This Row],[Fecha]])</f>
        <v>1</v>
      </c>
      <c r="C4312" s="12" t="str">
        <f>VLOOKUP((WEEKDAY(Movimientos_2026[[#This Row],[Fecha]],2)),'5. Setup'!$D$6:$E$12,2,FALSE)</f>
        <v>Sab</v>
      </c>
      <c r="E4312" t="str">
        <f>IFERROR(+VLOOKUP(Movimientos_2026[[#This Row],[Codigo]],Plan_cuentas[],2,FALSE)," ")</f>
        <v xml:space="preserve"> </v>
      </c>
      <c r="F4312" t="str">
        <f>IFERROR(+VLOOKUP(Movimientos_2026[[#This Row],[Codigo]],Plan_cuentas[],3,FALSE)," ")</f>
        <v xml:space="preserve"> </v>
      </c>
      <c r="G4312" t="str">
        <f>IFERROR(+VLOOKUP(Movimientos_2026[[#This Row],[Codigo]],Plan_cuentas[],4,FALSE)," ")</f>
        <v xml:space="preserve"> </v>
      </c>
      <c r="H4312" t="str">
        <f>IFERROR(+VLOOKUP(Movimientos_2026[[#This Row],[Codigo]],Plan_cuentas[],5,FALSE)," ")</f>
        <v xml:space="preserve"> </v>
      </c>
      <c r="I4312" s="43"/>
      <c r="K4312" t="str">
        <f>IFERROR(+VLOOKUP(Movimientos_2026[[#This Row],[Codigo]],Plan_cuentas[],6,FALSE)," ")</f>
        <v xml:space="preserve"> </v>
      </c>
      <c r="L4312" s="50"/>
      <c r="M4312" s="50"/>
      <c r="N4312" s="20">
        <f>+Movimientos_2026[[#This Row],[Ingresos]]-Movimientos_2026[[#This Row],[Egresos]]</f>
        <v>0</v>
      </c>
      <c r="O4312" s="20">
        <f>+O4311+Movimientos_2026[[#This Row],[Neto]]</f>
        <v>4581558617.7962294</v>
      </c>
    </row>
    <row r="4313" spans="1:15" x14ac:dyDescent="0.25">
      <c r="A4313" s="13"/>
      <c r="B4313" s="12">
        <f>MONTH(Movimientos_2026[[#This Row],[Fecha]])</f>
        <v>1</v>
      </c>
      <c r="C4313" s="12" t="str">
        <f>VLOOKUP((WEEKDAY(Movimientos_2026[[#This Row],[Fecha]],2)),'5. Setup'!$D$6:$E$12,2,FALSE)</f>
        <v>Sab</v>
      </c>
      <c r="E4313" t="str">
        <f>IFERROR(+VLOOKUP(Movimientos_2026[[#This Row],[Codigo]],Plan_cuentas[],2,FALSE)," ")</f>
        <v xml:space="preserve"> </v>
      </c>
      <c r="F4313" t="str">
        <f>IFERROR(+VLOOKUP(Movimientos_2026[[#This Row],[Codigo]],Plan_cuentas[],3,FALSE)," ")</f>
        <v xml:space="preserve"> </v>
      </c>
      <c r="G4313" t="str">
        <f>IFERROR(+VLOOKUP(Movimientos_2026[[#This Row],[Codigo]],Plan_cuentas[],4,FALSE)," ")</f>
        <v xml:space="preserve"> </v>
      </c>
      <c r="H4313" t="str">
        <f>IFERROR(+VLOOKUP(Movimientos_2026[[#This Row],[Codigo]],Plan_cuentas[],5,FALSE)," ")</f>
        <v xml:space="preserve"> </v>
      </c>
      <c r="I4313" s="43"/>
      <c r="K4313" t="str">
        <f>IFERROR(+VLOOKUP(Movimientos_2026[[#This Row],[Codigo]],Plan_cuentas[],6,FALSE)," ")</f>
        <v xml:space="preserve"> </v>
      </c>
      <c r="L4313" s="50"/>
      <c r="M4313" s="50"/>
      <c r="N4313" s="20">
        <f>+Movimientos_2026[[#This Row],[Ingresos]]-Movimientos_2026[[#This Row],[Egresos]]</f>
        <v>0</v>
      </c>
      <c r="O4313" s="20">
        <f>+O4312+Movimientos_2026[[#This Row],[Neto]]</f>
        <v>4581558617.7962294</v>
      </c>
    </row>
    <row r="4314" spans="1:15" x14ac:dyDescent="0.25">
      <c r="A4314" s="13"/>
      <c r="B4314" s="12">
        <f>MONTH(Movimientos_2026[[#This Row],[Fecha]])</f>
        <v>1</v>
      </c>
      <c r="C4314" s="12" t="str">
        <f>VLOOKUP((WEEKDAY(Movimientos_2026[[#This Row],[Fecha]],2)),'5. Setup'!$D$6:$E$12,2,FALSE)</f>
        <v>Sab</v>
      </c>
      <c r="E4314" t="str">
        <f>IFERROR(+VLOOKUP(Movimientos_2026[[#This Row],[Codigo]],Plan_cuentas[],2,FALSE)," ")</f>
        <v xml:space="preserve"> </v>
      </c>
      <c r="F4314" t="str">
        <f>IFERROR(+VLOOKUP(Movimientos_2026[[#This Row],[Codigo]],Plan_cuentas[],3,FALSE)," ")</f>
        <v xml:space="preserve"> </v>
      </c>
      <c r="G4314" t="str">
        <f>IFERROR(+VLOOKUP(Movimientos_2026[[#This Row],[Codigo]],Plan_cuentas[],4,FALSE)," ")</f>
        <v xml:space="preserve"> </v>
      </c>
      <c r="H4314" t="str">
        <f>IFERROR(+VLOOKUP(Movimientos_2026[[#This Row],[Codigo]],Plan_cuentas[],5,FALSE)," ")</f>
        <v xml:space="preserve"> </v>
      </c>
      <c r="I4314" s="43"/>
      <c r="K4314" t="str">
        <f>IFERROR(+VLOOKUP(Movimientos_2026[[#This Row],[Codigo]],Plan_cuentas[],6,FALSE)," ")</f>
        <v xml:space="preserve"> </v>
      </c>
      <c r="L4314" s="50"/>
      <c r="M4314" s="50"/>
      <c r="N4314" s="20">
        <f>+Movimientos_2026[[#This Row],[Ingresos]]-Movimientos_2026[[#This Row],[Egresos]]</f>
        <v>0</v>
      </c>
      <c r="O4314" s="20">
        <f>+O4313+Movimientos_2026[[#This Row],[Neto]]</f>
        <v>4581558617.7962294</v>
      </c>
    </row>
    <row r="4315" spans="1:15" x14ac:dyDescent="0.25">
      <c r="A4315" s="13"/>
      <c r="B4315" s="12">
        <f>MONTH(Movimientos_2026[[#This Row],[Fecha]])</f>
        <v>1</v>
      </c>
      <c r="C4315" s="12" t="str">
        <f>VLOOKUP((WEEKDAY(Movimientos_2026[[#This Row],[Fecha]],2)),'5. Setup'!$D$6:$E$12,2,FALSE)</f>
        <v>Sab</v>
      </c>
      <c r="E4315" t="str">
        <f>IFERROR(+VLOOKUP(Movimientos_2026[[#This Row],[Codigo]],Plan_cuentas[],2,FALSE)," ")</f>
        <v xml:space="preserve"> </v>
      </c>
      <c r="F4315" t="str">
        <f>IFERROR(+VLOOKUP(Movimientos_2026[[#This Row],[Codigo]],Plan_cuentas[],3,FALSE)," ")</f>
        <v xml:space="preserve"> </v>
      </c>
      <c r="G4315" t="str">
        <f>IFERROR(+VLOOKUP(Movimientos_2026[[#This Row],[Codigo]],Plan_cuentas[],4,FALSE)," ")</f>
        <v xml:space="preserve"> </v>
      </c>
      <c r="H4315" t="str">
        <f>IFERROR(+VLOOKUP(Movimientos_2026[[#This Row],[Codigo]],Plan_cuentas[],5,FALSE)," ")</f>
        <v xml:space="preserve"> </v>
      </c>
      <c r="I4315" s="43"/>
      <c r="K4315" t="str">
        <f>IFERROR(+VLOOKUP(Movimientos_2026[[#This Row],[Codigo]],Plan_cuentas[],6,FALSE)," ")</f>
        <v xml:space="preserve"> </v>
      </c>
      <c r="L4315" s="50"/>
      <c r="M4315" s="50"/>
      <c r="N4315" s="20">
        <f>+Movimientos_2026[[#This Row],[Ingresos]]-Movimientos_2026[[#This Row],[Egresos]]</f>
        <v>0</v>
      </c>
      <c r="O4315" s="20">
        <f>+O4314+Movimientos_2026[[#This Row],[Neto]]</f>
        <v>4581558617.7962294</v>
      </c>
    </row>
    <row r="4316" spans="1:15" x14ac:dyDescent="0.25">
      <c r="A4316" s="13"/>
      <c r="B4316" s="12">
        <f>MONTH(Movimientos_2026[[#This Row],[Fecha]])</f>
        <v>1</v>
      </c>
      <c r="C4316" s="12" t="str">
        <f>VLOOKUP((WEEKDAY(Movimientos_2026[[#This Row],[Fecha]],2)),'5. Setup'!$D$6:$E$12,2,FALSE)</f>
        <v>Sab</v>
      </c>
      <c r="E4316" t="str">
        <f>IFERROR(+VLOOKUP(Movimientos_2026[[#This Row],[Codigo]],Plan_cuentas[],2,FALSE)," ")</f>
        <v xml:space="preserve"> </v>
      </c>
      <c r="F4316" t="str">
        <f>IFERROR(+VLOOKUP(Movimientos_2026[[#This Row],[Codigo]],Plan_cuentas[],3,FALSE)," ")</f>
        <v xml:space="preserve"> </v>
      </c>
      <c r="G4316" t="str">
        <f>IFERROR(+VLOOKUP(Movimientos_2026[[#This Row],[Codigo]],Plan_cuentas[],4,FALSE)," ")</f>
        <v xml:space="preserve"> </v>
      </c>
      <c r="H4316" t="str">
        <f>IFERROR(+VLOOKUP(Movimientos_2026[[#This Row],[Codigo]],Plan_cuentas[],5,FALSE)," ")</f>
        <v xml:space="preserve"> </v>
      </c>
      <c r="I4316" s="43"/>
      <c r="K4316" t="str">
        <f>IFERROR(+VLOOKUP(Movimientos_2026[[#This Row],[Codigo]],Plan_cuentas[],6,FALSE)," ")</f>
        <v xml:space="preserve"> </v>
      </c>
      <c r="L4316" s="50"/>
      <c r="M4316" s="50"/>
      <c r="N4316" s="20">
        <f>+Movimientos_2026[[#This Row],[Ingresos]]-Movimientos_2026[[#This Row],[Egresos]]</f>
        <v>0</v>
      </c>
      <c r="O4316" s="20">
        <f>+O4315+Movimientos_2026[[#This Row],[Neto]]</f>
        <v>4581558617.7962294</v>
      </c>
    </row>
    <row r="4317" spans="1:15" x14ac:dyDescent="0.25">
      <c r="A4317" s="13"/>
      <c r="B4317" s="12">
        <f>MONTH(Movimientos_2026[[#This Row],[Fecha]])</f>
        <v>1</v>
      </c>
      <c r="C4317" s="12" t="str">
        <f>VLOOKUP((WEEKDAY(Movimientos_2026[[#This Row],[Fecha]],2)),'5. Setup'!$D$6:$E$12,2,FALSE)</f>
        <v>Sab</v>
      </c>
      <c r="E4317" t="str">
        <f>IFERROR(+VLOOKUP(Movimientos_2026[[#This Row],[Codigo]],Plan_cuentas[],2,FALSE)," ")</f>
        <v xml:space="preserve"> </v>
      </c>
      <c r="F4317" t="str">
        <f>IFERROR(+VLOOKUP(Movimientos_2026[[#This Row],[Codigo]],Plan_cuentas[],3,FALSE)," ")</f>
        <v xml:space="preserve"> </v>
      </c>
      <c r="G4317" t="str">
        <f>IFERROR(+VLOOKUP(Movimientos_2026[[#This Row],[Codigo]],Plan_cuentas[],4,FALSE)," ")</f>
        <v xml:space="preserve"> </v>
      </c>
      <c r="H4317" t="str">
        <f>IFERROR(+VLOOKUP(Movimientos_2026[[#This Row],[Codigo]],Plan_cuentas[],5,FALSE)," ")</f>
        <v xml:space="preserve"> </v>
      </c>
      <c r="I4317" s="43"/>
      <c r="K4317" t="str">
        <f>IFERROR(+VLOOKUP(Movimientos_2026[[#This Row],[Codigo]],Plan_cuentas[],6,FALSE)," ")</f>
        <v xml:space="preserve"> </v>
      </c>
      <c r="L4317" s="50"/>
      <c r="M4317" s="50"/>
      <c r="N4317" s="20">
        <f>+Movimientos_2026[[#This Row],[Ingresos]]-Movimientos_2026[[#This Row],[Egresos]]</f>
        <v>0</v>
      </c>
      <c r="O4317" s="20">
        <f>+O4316+Movimientos_2026[[#This Row],[Neto]]</f>
        <v>4581558617.7962294</v>
      </c>
    </row>
    <row r="4318" spans="1:15" x14ac:dyDescent="0.25">
      <c r="A4318" s="13"/>
      <c r="B4318" s="12">
        <f>MONTH(Movimientos_2026[[#This Row],[Fecha]])</f>
        <v>1</v>
      </c>
      <c r="C4318" s="12" t="str">
        <f>VLOOKUP((WEEKDAY(Movimientos_2026[[#This Row],[Fecha]],2)),'5. Setup'!$D$6:$E$12,2,FALSE)</f>
        <v>Sab</v>
      </c>
      <c r="E4318" t="str">
        <f>IFERROR(+VLOOKUP(Movimientos_2026[[#This Row],[Codigo]],Plan_cuentas[],2,FALSE)," ")</f>
        <v xml:space="preserve"> </v>
      </c>
      <c r="F4318" t="str">
        <f>IFERROR(+VLOOKUP(Movimientos_2026[[#This Row],[Codigo]],Plan_cuentas[],3,FALSE)," ")</f>
        <v xml:space="preserve"> </v>
      </c>
      <c r="G4318" t="str">
        <f>IFERROR(+VLOOKUP(Movimientos_2026[[#This Row],[Codigo]],Plan_cuentas[],4,FALSE)," ")</f>
        <v xml:space="preserve"> </v>
      </c>
      <c r="H4318" t="str">
        <f>IFERROR(+VLOOKUP(Movimientos_2026[[#This Row],[Codigo]],Plan_cuentas[],5,FALSE)," ")</f>
        <v xml:space="preserve"> </v>
      </c>
      <c r="I4318" s="43"/>
      <c r="K4318" t="str">
        <f>IFERROR(+VLOOKUP(Movimientos_2026[[#This Row],[Codigo]],Plan_cuentas[],6,FALSE)," ")</f>
        <v xml:space="preserve"> </v>
      </c>
      <c r="L4318" s="50"/>
      <c r="M4318" s="50"/>
      <c r="N4318" s="20">
        <f>+Movimientos_2026[[#This Row],[Ingresos]]-Movimientos_2026[[#This Row],[Egresos]]</f>
        <v>0</v>
      </c>
      <c r="O4318" s="20">
        <f>+O4317+Movimientos_2026[[#This Row],[Neto]]</f>
        <v>4581558617.7962294</v>
      </c>
    </row>
    <row r="4319" spans="1:15" x14ac:dyDescent="0.25">
      <c r="A4319" s="13"/>
      <c r="B4319" s="12">
        <f>MONTH(Movimientos_2026[[#This Row],[Fecha]])</f>
        <v>1</v>
      </c>
      <c r="C4319" s="12" t="str">
        <f>VLOOKUP((WEEKDAY(Movimientos_2026[[#This Row],[Fecha]],2)),'5. Setup'!$D$6:$E$12,2,FALSE)</f>
        <v>Sab</v>
      </c>
      <c r="E4319" t="str">
        <f>IFERROR(+VLOOKUP(Movimientos_2026[[#This Row],[Codigo]],Plan_cuentas[],2,FALSE)," ")</f>
        <v xml:space="preserve"> </v>
      </c>
      <c r="F4319" t="str">
        <f>IFERROR(+VLOOKUP(Movimientos_2026[[#This Row],[Codigo]],Plan_cuentas[],3,FALSE)," ")</f>
        <v xml:space="preserve"> </v>
      </c>
      <c r="G4319" t="str">
        <f>IFERROR(+VLOOKUP(Movimientos_2026[[#This Row],[Codigo]],Plan_cuentas[],4,FALSE)," ")</f>
        <v xml:space="preserve"> </v>
      </c>
      <c r="H4319" t="str">
        <f>IFERROR(+VLOOKUP(Movimientos_2026[[#This Row],[Codigo]],Plan_cuentas[],5,FALSE)," ")</f>
        <v xml:space="preserve"> </v>
      </c>
      <c r="I4319" s="43"/>
      <c r="K4319" t="str">
        <f>IFERROR(+VLOOKUP(Movimientos_2026[[#This Row],[Codigo]],Plan_cuentas[],6,FALSE)," ")</f>
        <v xml:space="preserve"> </v>
      </c>
      <c r="L4319" s="50"/>
      <c r="M4319" s="50"/>
      <c r="N4319" s="20">
        <f>+Movimientos_2026[[#This Row],[Ingresos]]-Movimientos_2026[[#This Row],[Egresos]]</f>
        <v>0</v>
      </c>
      <c r="O4319" s="20">
        <f>+O4318+Movimientos_2026[[#This Row],[Neto]]</f>
        <v>4581558617.7962294</v>
      </c>
    </row>
    <row r="4320" spans="1:15" x14ac:dyDescent="0.25">
      <c r="A4320" s="13"/>
      <c r="B4320" s="12">
        <f>MONTH(Movimientos_2026[[#This Row],[Fecha]])</f>
        <v>1</v>
      </c>
      <c r="C4320" s="12" t="str">
        <f>VLOOKUP((WEEKDAY(Movimientos_2026[[#This Row],[Fecha]],2)),'5. Setup'!$D$6:$E$12,2,FALSE)</f>
        <v>Sab</v>
      </c>
      <c r="E4320" t="str">
        <f>IFERROR(+VLOOKUP(Movimientos_2026[[#This Row],[Codigo]],Plan_cuentas[],2,FALSE)," ")</f>
        <v xml:space="preserve"> </v>
      </c>
      <c r="F4320" t="str">
        <f>IFERROR(+VLOOKUP(Movimientos_2026[[#This Row],[Codigo]],Plan_cuentas[],3,FALSE)," ")</f>
        <v xml:space="preserve"> </v>
      </c>
      <c r="G4320" t="str">
        <f>IFERROR(+VLOOKUP(Movimientos_2026[[#This Row],[Codigo]],Plan_cuentas[],4,FALSE)," ")</f>
        <v xml:space="preserve"> </v>
      </c>
      <c r="H4320" t="str">
        <f>IFERROR(+VLOOKUP(Movimientos_2026[[#This Row],[Codigo]],Plan_cuentas[],5,FALSE)," ")</f>
        <v xml:space="preserve"> </v>
      </c>
      <c r="I4320" s="43"/>
      <c r="K4320" t="str">
        <f>IFERROR(+VLOOKUP(Movimientos_2026[[#This Row],[Codigo]],Plan_cuentas[],6,FALSE)," ")</f>
        <v xml:space="preserve"> </v>
      </c>
      <c r="L4320" s="50"/>
      <c r="M4320" s="50"/>
      <c r="N4320" s="20">
        <f>+Movimientos_2026[[#This Row],[Ingresos]]-Movimientos_2026[[#This Row],[Egresos]]</f>
        <v>0</v>
      </c>
      <c r="O4320" s="20">
        <f>+O4319+Movimientos_2026[[#This Row],[Neto]]</f>
        <v>4581558617.7962294</v>
      </c>
    </row>
    <row r="4321" spans="1:15" x14ac:dyDescent="0.25">
      <c r="A4321" s="13"/>
      <c r="B4321" s="12">
        <f>MONTH(Movimientos_2026[[#This Row],[Fecha]])</f>
        <v>1</v>
      </c>
      <c r="C4321" s="12" t="str">
        <f>VLOOKUP((WEEKDAY(Movimientos_2026[[#This Row],[Fecha]],2)),'5. Setup'!$D$6:$E$12,2,FALSE)</f>
        <v>Sab</v>
      </c>
      <c r="E4321" t="str">
        <f>IFERROR(+VLOOKUP(Movimientos_2026[[#This Row],[Codigo]],Plan_cuentas[],2,FALSE)," ")</f>
        <v xml:space="preserve"> </v>
      </c>
      <c r="F4321" t="str">
        <f>IFERROR(+VLOOKUP(Movimientos_2026[[#This Row],[Codigo]],Plan_cuentas[],3,FALSE)," ")</f>
        <v xml:space="preserve"> </v>
      </c>
      <c r="G4321" t="str">
        <f>IFERROR(+VLOOKUP(Movimientos_2026[[#This Row],[Codigo]],Plan_cuentas[],4,FALSE)," ")</f>
        <v xml:space="preserve"> </v>
      </c>
      <c r="H4321" t="str">
        <f>IFERROR(+VLOOKUP(Movimientos_2026[[#This Row],[Codigo]],Plan_cuentas[],5,FALSE)," ")</f>
        <v xml:space="preserve"> </v>
      </c>
      <c r="I4321" s="43"/>
      <c r="K4321" t="str">
        <f>IFERROR(+VLOOKUP(Movimientos_2026[[#This Row],[Codigo]],Plan_cuentas[],6,FALSE)," ")</f>
        <v xml:space="preserve"> </v>
      </c>
      <c r="L4321" s="50"/>
      <c r="M4321" s="50"/>
      <c r="N4321" s="20">
        <f>+Movimientos_2026[[#This Row],[Ingresos]]-Movimientos_2026[[#This Row],[Egresos]]</f>
        <v>0</v>
      </c>
      <c r="O4321" s="20">
        <f>+O4320+Movimientos_2026[[#This Row],[Neto]]</f>
        <v>4581558617.7962294</v>
      </c>
    </row>
    <row r="4322" spans="1:15" x14ac:dyDescent="0.25">
      <c r="A4322" s="13"/>
      <c r="B4322" s="12">
        <f>MONTH(Movimientos_2026[[#This Row],[Fecha]])</f>
        <v>1</v>
      </c>
      <c r="C4322" s="12" t="str">
        <f>VLOOKUP((WEEKDAY(Movimientos_2026[[#This Row],[Fecha]],2)),'5. Setup'!$D$6:$E$12,2,FALSE)</f>
        <v>Sab</v>
      </c>
      <c r="E4322" t="str">
        <f>IFERROR(+VLOOKUP(Movimientos_2026[[#This Row],[Codigo]],Plan_cuentas[],2,FALSE)," ")</f>
        <v xml:space="preserve"> </v>
      </c>
      <c r="F4322" t="str">
        <f>IFERROR(+VLOOKUP(Movimientos_2026[[#This Row],[Codigo]],Plan_cuentas[],3,FALSE)," ")</f>
        <v xml:space="preserve"> </v>
      </c>
      <c r="G4322" t="str">
        <f>IFERROR(+VLOOKUP(Movimientos_2026[[#This Row],[Codigo]],Plan_cuentas[],4,FALSE)," ")</f>
        <v xml:space="preserve"> </v>
      </c>
      <c r="H4322" t="str">
        <f>IFERROR(+VLOOKUP(Movimientos_2026[[#This Row],[Codigo]],Plan_cuentas[],5,FALSE)," ")</f>
        <v xml:space="preserve"> </v>
      </c>
      <c r="I4322" s="43"/>
      <c r="K4322" t="str">
        <f>IFERROR(+VLOOKUP(Movimientos_2026[[#This Row],[Codigo]],Plan_cuentas[],6,FALSE)," ")</f>
        <v xml:space="preserve"> </v>
      </c>
      <c r="L4322" s="50"/>
      <c r="M4322" s="50"/>
      <c r="N4322" s="20">
        <f>+Movimientos_2026[[#This Row],[Ingresos]]-Movimientos_2026[[#This Row],[Egresos]]</f>
        <v>0</v>
      </c>
      <c r="O4322" s="20">
        <f>+O4321+Movimientos_2026[[#This Row],[Neto]]</f>
        <v>4581558617.7962294</v>
      </c>
    </row>
    <row r="4323" spans="1:15" x14ac:dyDescent="0.25">
      <c r="A4323" s="13"/>
      <c r="B4323" s="12">
        <f>MONTH(Movimientos_2026[[#This Row],[Fecha]])</f>
        <v>1</v>
      </c>
      <c r="C4323" s="12" t="str">
        <f>VLOOKUP((WEEKDAY(Movimientos_2026[[#This Row],[Fecha]],2)),'5. Setup'!$D$6:$E$12,2,FALSE)</f>
        <v>Sab</v>
      </c>
      <c r="E4323" t="str">
        <f>IFERROR(+VLOOKUP(Movimientos_2026[[#This Row],[Codigo]],Plan_cuentas[],2,FALSE)," ")</f>
        <v xml:space="preserve"> </v>
      </c>
      <c r="F4323" t="str">
        <f>IFERROR(+VLOOKUP(Movimientos_2026[[#This Row],[Codigo]],Plan_cuentas[],3,FALSE)," ")</f>
        <v xml:space="preserve"> </v>
      </c>
      <c r="G4323" t="str">
        <f>IFERROR(+VLOOKUP(Movimientos_2026[[#This Row],[Codigo]],Plan_cuentas[],4,FALSE)," ")</f>
        <v xml:space="preserve"> </v>
      </c>
      <c r="H4323" t="str">
        <f>IFERROR(+VLOOKUP(Movimientos_2026[[#This Row],[Codigo]],Plan_cuentas[],5,FALSE)," ")</f>
        <v xml:space="preserve"> </v>
      </c>
      <c r="I4323" s="43"/>
      <c r="K4323" t="str">
        <f>IFERROR(+VLOOKUP(Movimientos_2026[[#This Row],[Codigo]],Plan_cuentas[],6,FALSE)," ")</f>
        <v xml:space="preserve"> </v>
      </c>
      <c r="L4323" s="50"/>
      <c r="M4323" s="50"/>
      <c r="N4323" s="20">
        <f>+Movimientos_2026[[#This Row],[Ingresos]]-Movimientos_2026[[#This Row],[Egresos]]</f>
        <v>0</v>
      </c>
      <c r="O4323" s="20">
        <f>+O4322+Movimientos_2026[[#This Row],[Neto]]</f>
        <v>4581558617.7962294</v>
      </c>
    </row>
    <row r="4324" spans="1:15" x14ac:dyDescent="0.25">
      <c r="A4324" s="13"/>
      <c r="B4324" s="12">
        <f>MONTH(Movimientos_2026[[#This Row],[Fecha]])</f>
        <v>1</v>
      </c>
      <c r="C4324" s="12" t="str">
        <f>VLOOKUP((WEEKDAY(Movimientos_2026[[#This Row],[Fecha]],2)),'5. Setup'!$D$6:$E$12,2,FALSE)</f>
        <v>Sab</v>
      </c>
      <c r="E4324" t="str">
        <f>IFERROR(+VLOOKUP(Movimientos_2026[[#This Row],[Codigo]],Plan_cuentas[],2,FALSE)," ")</f>
        <v xml:space="preserve"> </v>
      </c>
      <c r="F4324" t="str">
        <f>IFERROR(+VLOOKUP(Movimientos_2026[[#This Row],[Codigo]],Plan_cuentas[],3,FALSE)," ")</f>
        <v xml:space="preserve"> </v>
      </c>
      <c r="G4324" t="str">
        <f>IFERROR(+VLOOKUP(Movimientos_2026[[#This Row],[Codigo]],Plan_cuentas[],4,FALSE)," ")</f>
        <v xml:space="preserve"> </v>
      </c>
      <c r="H4324" t="str">
        <f>IFERROR(+VLOOKUP(Movimientos_2026[[#This Row],[Codigo]],Plan_cuentas[],5,FALSE)," ")</f>
        <v xml:space="preserve"> </v>
      </c>
      <c r="I4324" s="43"/>
      <c r="K4324" t="str">
        <f>IFERROR(+VLOOKUP(Movimientos_2026[[#This Row],[Codigo]],Plan_cuentas[],6,FALSE)," ")</f>
        <v xml:space="preserve"> </v>
      </c>
      <c r="L4324" s="50"/>
      <c r="M4324" s="50"/>
      <c r="N4324" s="20">
        <f>+Movimientos_2026[[#This Row],[Ingresos]]-Movimientos_2026[[#This Row],[Egresos]]</f>
        <v>0</v>
      </c>
      <c r="O4324" s="20">
        <f>+O4323+Movimientos_2026[[#This Row],[Neto]]</f>
        <v>4581558617.7962294</v>
      </c>
    </row>
    <row r="4325" spans="1:15" x14ac:dyDescent="0.25">
      <c r="A4325" s="13"/>
      <c r="B4325" s="12">
        <f>MONTH(Movimientos_2026[[#This Row],[Fecha]])</f>
        <v>1</v>
      </c>
      <c r="C4325" s="12" t="str">
        <f>VLOOKUP((WEEKDAY(Movimientos_2026[[#This Row],[Fecha]],2)),'5. Setup'!$D$6:$E$12,2,FALSE)</f>
        <v>Sab</v>
      </c>
      <c r="E4325" t="str">
        <f>IFERROR(+VLOOKUP(Movimientos_2026[[#This Row],[Codigo]],Plan_cuentas[],2,FALSE)," ")</f>
        <v xml:space="preserve"> </v>
      </c>
      <c r="F4325" t="str">
        <f>IFERROR(+VLOOKUP(Movimientos_2026[[#This Row],[Codigo]],Plan_cuentas[],3,FALSE)," ")</f>
        <v xml:space="preserve"> </v>
      </c>
      <c r="G4325" t="str">
        <f>IFERROR(+VLOOKUP(Movimientos_2026[[#This Row],[Codigo]],Plan_cuentas[],4,FALSE)," ")</f>
        <v xml:space="preserve"> </v>
      </c>
      <c r="H4325" t="str">
        <f>IFERROR(+VLOOKUP(Movimientos_2026[[#This Row],[Codigo]],Plan_cuentas[],5,FALSE)," ")</f>
        <v xml:space="preserve"> </v>
      </c>
      <c r="I4325" s="43"/>
      <c r="K4325" t="str">
        <f>IFERROR(+VLOOKUP(Movimientos_2026[[#This Row],[Codigo]],Plan_cuentas[],6,FALSE)," ")</f>
        <v xml:space="preserve"> </v>
      </c>
      <c r="L4325" s="50"/>
      <c r="M4325" s="50"/>
      <c r="N4325" s="20">
        <f>+Movimientos_2026[[#This Row],[Ingresos]]-Movimientos_2026[[#This Row],[Egresos]]</f>
        <v>0</v>
      </c>
      <c r="O4325" s="20">
        <f>+O4324+Movimientos_2026[[#This Row],[Neto]]</f>
        <v>4581558617.7962294</v>
      </c>
    </row>
    <row r="4326" spans="1:15" x14ac:dyDescent="0.25">
      <c r="A4326" s="13"/>
      <c r="B4326" s="12">
        <f>MONTH(Movimientos_2026[[#This Row],[Fecha]])</f>
        <v>1</v>
      </c>
      <c r="C4326" s="12" t="str">
        <f>VLOOKUP((WEEKDAY(Movimientos_2026[[#This Row],[Fecha]],2)),'5. Setup'!$D$6:$E$12,2,FALSE)</f>
        <v>Sab</v>
      </c>
      <c r="E4326" t="str">
        <f>IFERROR(+VLOOKUP(Movimientos_2026[[#This Row],[Codigo]],Plan_cuentas[],2,FALSE)," ")</f>
        <v xml:space="preserve"> </v>
      </c>
      <c r="F4326" t="str">
        <f>IFERROR(+VLOOKUP(Movimientos_2026[[#This Row],[Codigo]],Plan_cuentas[],3,FALSE)," ")</f>
        <v xml:space="preserve"> </v>
      </c>
      <c r="G4326" t="str">
        <f>IFERROR(+VLOOKUP(Movimientos_2026[[#This Row],[Codigo]],Plan_cuentas[],4,FALSE)," ")</f>
        <v xml:space="preserve"> </v>
      </c>
      <c r="H4326" t="str">
        <f>IFERROR(+VLOOKUP(Movimientos_2026[[#This Row],[Codigo]],Plan_cuentas[],5,FALSE)," ")</f>
        <v xml:space="preserve"> </v>
      </c>
      <c r="I4326" s="43"/>
      <c r="K4326" t="str">
        <f>IFERROR(+VLOOKUP(Movimientos_2026[[#This Row],[Codigo]],Plan_cuentas[],6,FALSE)," ")</f>
        <v xml:space="preserve"> </v>
      </c>
      <c r="L4326" s="50"/>
      <c r="M4326" s="50"/>
      <c r="N4326" s="20">
        <f>+Movimientos_2026[[#This Row],[Ingresos]]-Movimientos_2026[[#This Row],[Egresos]]</f>
        <v>0</v>
      </c>
      <c r="O4326" s="20">
        <f>+O4325+Movimientos_2026[[#This Row],[Neto]]</f>
        <v>4581558617.7962294</v>
      </c>
    </row>
    <row r="4327" spans="1:15" x14ac:dyDescent="0.25">
      <c r="A4327" s="13"/>
      <c r="B4327" s="12">
        <f>MONTH(Movimientos_2026[[#This Row],[Fecha]])</f>
        <v>1</v>
      </c>
      <c r="C4327" s="12" t="str">
        <f>VLOOKUP((WEEKDAY(Movimientos_2026[[#This Row],[Fecha]],2)),'5. Setup'!$D$6:$E$12,2,FALSE)</f>
        <v>Sab</v>
      </c>
      <c r="E4327" t="str">
        <f>IFERROR(+VLOOKUP(Movimientos_2026[[#This Row],[Codigo]],Plan_cuentas[],2,FALSE)," ")</f>
        <v xml:space="preserve"> </v>
      </c>
      <c r="F4327" t="str">
        <f>IFERROR(+VLOOKUP(Movimientos_2026[[#This Row],[Codigo]],Plan_cuentas[],3,FALSE)," ")</f>
        <v xml:space="preserve"> </v>
      </c>
      <c r="G4327" t="str">
        <f>IFERROR(+VLOOKUP(Movimientos_2026[[#This Row],[Codigo]],Plan_cuentas[],4,FALSE)," ")</f>
        <v xml:space="preserve"> </v>
      </c>
      <c r="H4327" t="str">
        <f>IFERROR(+VLOOKUP(Movimientos_2026[[#This Row],[Codigo]],Plan_cuentas[],5,FALSE)," ")</f>
        <v xml:space="preserve"> </v>
      </c>
      <c r="I4327" s="43"/>
      <c r="K4327" t="str">
        <f>IFERROR(+VLOOKUP(Movimientos_2026[[#This Row],[Codigo]],Plan_cuentas[],6,FALSE)," ")</f>
        <v xml:space="preserve"> </v>
      </c>
      <c r="L4327" s="50"/>
      <c r="M4327" s="50"/>
      <c r="N4327" s="20">
        <f>+Movimientos_2026[[#This Row],[Ingresos]]-Movimientos_2026[[#This Row],[Egresos]]</f>
        <v>0</v>
      </c>
      <c r="O4327" s="20">
        <f>+O4326+Movimientos_2026[[#This Row],[Neto]]</f>
        <v>4581558617.7962294</v>
      </c>
    </row>
    <row r="4328" spans="1:15" x14ac:dyDescent="0.25">
      <c r="A4328" s="13"/>
      <c r="B4328" s="12">
        <f>MONTH(Movimientos_2026[[#This Row],[Fecha]])</f>
        <v>1</v>
      </c>
      <c r="C4328" s="12" t="str">
        <f>VLOOKUP((WEEKDAY(Movimientos_2026[[#This Row],[Fecha]],2)),'5. Setup'!$D$6:$E$12,2,FALSE)</f>
        <v>Sab</v>
      </c>
      <c r="E4328" t="str">
        <f>IFERROR(+VLOOKUP(Movimientos_2026[[#This Row],[Codigo]],Plan_cuentas[],2,FALSE)," ")</f>
        <v xml:space="preserve"> </v>
      </c>
      <c r="F4328" t="str">
        <f>IFERROR(+VLOOKUP(Movimientos_2026[[#This Row],[Codigo]],Plan_cuentas[],3,FALSE)," ")</f>
        <v xml:space="preserve"> </v>
      </c>
      <c r="G4328" t="str">
        <f>IFERROR(+VLOOKUP(Movimientos_2026[[#This Row],[Codigo]],Plan_cuentas[],4,FALSE)," ")</f>
        <v xml:space="preserve"> </v>
      </c>
      <c r="H4328" t="str">
        <f>IFERROR(+VLOOKUP(Movimientos_2026[[#This Row],[Codigo]],Plan_cuentas[],5,FALSE)," ")</f>
        <v xml:space="preserve"> </v>
      </c>
      <c r="I4328" s="43"/>
      <c r="K4328" t="str">
        <f>IFERROR(+VLOOKUP(Movimientos_2026[[#This Row],[Codigo]],Plan_cuentas[],6,FALSE)," ")</f>
        <v xml:space="preserve"> </v>
      </c>
      <c r="L4328" s="50"/>
      <c r="M4328" s="50"/>
      <c r="N4328" s="20">
        <f>+Movimientos_2026[[#This Row],[Ingresos]]-Movimientos_2026[[#This Row],[Egresos]]</f>
        <v>0</v>
      </c>
      <c r="O4328" s="20">
        <f>+O4327+Movimientos_2026[[#This Row],[Neto]]</f>
        <v>4581558617.7962294</v>
      </c>
    </row>
    <row r="4329" spans="1:15" x14ac:dyDescent="0.25">
      <c r="A4329" s="13"/>
      <c r="B4329" s="12">
        <f>MONTH(Movimientos_2026[[#This Row],[Fecha]])</f>
        <v>1</v>
      </c>
      <c r="C4329" s="12" t="str">
        <f>VLOOKUP((WEEKDAY(Movimientos_2026[[#This Row],[Fecha]],2)),'5. Setup'!$D$6:$E$12,2,FALSE)</f>
        <v>Sab</v>
      </c>
      <c r="E4329" t="str">
        <f>IFERROR(+VLOOKUP(Movimientos_2026[[#This Row],[Codigo]],Plan_cuentas[],2,FALSE)," ")</f>
        <v xml:space="preserve"> </v>
      </c>
      <c r="F4329" t="str">
        <f>IFERROR(+VLOOKUP(Movimientos_2026[[#This Row],[Codigo]],Plan_cuentas[],3,FALSE)," ")</f>
        <v xml:space="preserve"> </v>
      </c>
      <c r="G4329" t="str">
        <f>IFERROR(+VLOOKUP(Movimientos_2026[[#This Row],[Codigo]],Plan_cuentas[],4,FALSE)," ")</f>
        <v xml:space="preserve"> </v>
      </c>
      <c r="H4329" t="str">
        <f>IFERROR(+VLOOKUP(Movimientos_2026[[#This Row],[Codigo]],Plan_cuentas[],5,FALSE)," ")</f>
        <v xml:space="preserve"> </v>
      </c>
      <c r="I4329" s="43"/>
      <c r="K4329" t="str">
        <f>IFERROR(+VLOOKUP(Movimientos_2026[[#This Row],[Codigo]],Plan_cuentas[],6,FALSE)," ")</f>
        <v xml:space="preserve"> </v>
      </c>
      <c r="L4329" s="50"/>
      <c r="M4329" s="50"/>
      <c r="N4329" s="20">
        <f>+Movimientos_2026[[#This Row],[Ingresos]]-Movimientos_2026[[#This Row],[Egresos]]</f>
        <v>0</v>
      </c>
      <c r="O4329" s="20">
        <f>+O4328+Movimientos_2026[[#This Row],[Neto]]</f>
        <v>4581558617.7962294</v>
      </c>
    </row>
    <row r="4330" spans="1:15" x14ac:dyDescent="0.25">
      <c r="A4330" s="13"/>
      <c r="B4330" s="12">
        <f>MONTH(Movimientos_2026[[#This Row],[Fecha]])</f>
        <v>1</v>
      </c>
      <c r="C4330" s="12" t="str">
        <f>VLOOKUP((WEEKDAY(Movimientos_2026[[#This Row],[Fecha]],2)),'5. Setup'!$D$6:$E$12,2,FALSE)</f>
        <v>Sab</v>
      </c>
      <c r="E4330" t="str">
        <f>IFERROR(+VLOOKUP(Movimientos_2026[[#This Row],[Codigo]],Plan_cuentas[],2,FALSE)," ")</f>
        <v xml:space="preserve"> </v>
      </c>
      <c r="F4330" t="str">
        <f>IFERROR(+VLOOKUP(Movimientos_2026[[#This Row],[Codigo]],Plan_cuentas[],3,FALSE)," ")</f>
        <v xml:space="preserve"> </v>
      </c>
      <c r="G4330" t="str">
        <f>IFERROR(+VLOOKUP(Movimientos_2026[[#This Row],[Codigo]],Plan_cuentas[],4,FALSE)," ")</f>
        <v xml:space="preserve"> </v>
      </c>
      <c r="H4330" t="str">
        <f>IFERROR(+VLOOKUP(Movimientos_2026[[#This Row],[Codigo]],Plan_cuentas[],5,FALSE)," ")</f>
        <v xml:space="preserve"> </v>
      </c>
      <c r="I4330" s="43"/>
      <c r="K4330" t="str">
        <f>IFERROR(+VLOOKUP(Movimientos_2026[[#This Row],[Codigo]],Plan_cuentas[],6,FALSE)," ")</f>
        <v xml:space="preserve"> </v>
      </c>
      <c r="L4330" s="50"/>
      <c r="M4330" s="50"/>
      <c r="N4330" s="20">
        <f>+Movimientos_2026[[#This Row],[Ingresos]]-Movimientos_2026[[#This Row],[Egresos]]</f>
        <v>0</v>
      </c>
      <c r="O4330" s="20">
        <f>+O4329+Movimientos_2026[[#This Row],[Neto]]</f>
        <v>4581558617.7962294</v>
      </c>
    </row>
    <row r="4331" spans="1:15" x14ac:dyDescent="0.25">
      <c r="A4331" s="13"/>
      <c r="B4331" s="12">
        <f>MONTH(Movimientos_2026[[#This Row],[Fecha]])</f>
        <v>1</v>
      </c>
      <c r="C4331" s="12" t="str">
        <f>VLOOKUP((WEEKDAY(Movimientos_2026[[#This Row],[Fecha]],2)),'5. Setup'!$D$6:$E$12,2,FALSE)</f>
        <v>Sab</v>
      </c>
      <c r="E4331" t="str">
        <f>IFERROR(+VLOOKUP(Movimientos_2026[[#This Row],[Codigo]],Plan_cuentas[],2,FALSE)," ")</f>
        <v xml:space="preserve"> </v>
      </c>
      <c r="F4331" t="str">
        <f>IFERROR(+VLOOKUP(Movimientos_2026[[#This Row],[Codigo]],Plan_cuentas[],3,FALSE)," ")</f>
        <v xml:space="preserve"> </v>
      </c>
      <c r="G4331" t="str">
        <f>IFERROR(+VLOOKUP(Movimientos_2026[[#This Row],[Codigo]],Plan_cuentas[],4,FALSE)," ")</f>
        <v xml:space="preserve"> </v>
      </c>
      <c r="H4331" t="str">
        <f>IFERROR(+VLOOKUP(Movimientos_2026[[#This Row],[Codigo]],Plan_cuentas[],5,FALSE)," ")</f>
        <v xml:space="preserve"> </v>
      </c>
      <c r="I4331" s="43"/>
      <c r="K4331" t="str">
        <f>IFERROR(+VLOOKUP(Movimientos_2026[[#This Row],[Codigo]],Plan_cuentas[],6,FALSE)," ")</f>
        <v xml:space="preserve"> </v>
      </c>
      <c r="L4331" s="50"/>
      <c r="M4331" s="50"/>
      <c r="N4331" s="20">
        <f>+Movimientos_2026[[#This Row],[Ingresos]]-Movimientos_2026[[#This Row],[Egresos]]</f>
        <v>0</v>
      </c>
      <c r="O4331" s="20">
        <f>+O4330+Movimientos_2026[[#This Row],[Neto]]</f>
        <v>4581558617.7962294</v>
      </c>
    </row>
    <row r="4332" spans="1:15" x14ac:dyDescent="0.25">
      <c r="A4332" s="13"/>
      <c r="B4332" s="12">
        <f>MONTH(Movimientos_2026[[#This Row],[Fecha]])</f>
        <v>1</v>
      </c>
      <c r="C4332" s="12" t="str">
        <f>VLOOKUP((WEEKDAY(Movimientos_2026[[#This Row],[Fecha]],2)),'5. Setup'!$D$6:$E$12,2,FALSE)</f>
        <v>Sab</v>
      </c>
      <c r="E4332" t="str">
        <f>IFERROR(+VLOOKUP(Movimientos_2026[[#This Row],[Codigo]],Plan_cuentas[],2,FALSE)," ")</f>
        <v xml:space="preserve"> </v>
      </c>
      <c r="F4332" t="str">
        <f>IFERROR(+VLOOKUP(Movimientos_2026[[#This Row],[Codigo]],Plan_cuentas[],3,FALSE)," ")</f>
        <v xml:space="preserve"> </v>
      </c>
      <c r="G4332" t="str">
        <f>IFERROR(+VLOOKUP(Movimientos_2026[[#This Row],[Codigo]],Plan_cuentas[],4,FALSE)," ")</f>
        <v xml:space="preserve"> </v>
      </c>
      <c r="H4332" t="str">
        <f>IFERROR(+VLOOKUP(Movimientos_2026[[#This Row],[Codigo]],Plan_cuentas[],5,FALSE)," ")</f>
        <v xml:space="preserve"> </v>
      </c>
      <c r="I4332" s="43"/>
      <c r="K4332" t="str">
        <f>IFERROR(+VLOOKUP(Movimientos_2026[[#This Row],[Codigo]],Plan_cuentas[],6,FALSE)," ")</f>
        <v xml:space="preserve"> </v>
      </c>
      <c r="L4332" s="50"/>
      <c r="M4332" s="50"/>
      <c r="N4332" s="20">
        <f>+Movimientos_2026[[#This Row],[Ingresos]]-Movimientos_2026[[#This Row],[Egresos]]</f>
        <v>0</v>
      </c>
      <c r="O4332" s="20">
        <f>+O4331+Movimientos_2026[[#This Row],[Neto]]</f>
        <v>4581558617.7962294</v>
      </c>
    </row>
    <row r="4333" spans="1:15" x14ac:dyDescent="0.25">
      <c r="A4333" s="13"/>
      <c r="B4333" s="12">
        <f>MONTH(Movimientos_2026[[#This Row],[Fecha]])</f>
        <v>1</v>
      </c>
      <c r="C4333" s="12" t="str">
        <f>VLOOKUP((WEEKDAY(Movimientos_2026[[#This Row],[Fecha]],2)),'5. Setup'!$D$6:$E$12,2,FALSE)</f>
        <v>Sab</v>
      </c>
      <c r="E4333" t="str">
        <f>IFERROR(+VLOOKUP(Movimientos_2026[[#This Row],[Codigo]],Plan_cuentas[],2,FALSE)," ")</f>
        <v xml:space="preserve"> </v>
      </c>
      <c r="F4333" t="str">
        <f>IFERROR(+VLOOKUP(Movimientos_2026[[#This Row],[Codigo]],Plan_cuentas[],3,FALSE)," ")</f>
        <v xml:space="preserve"> </v>
      </c>
      <c r="G4333" t="str">
        <f>IFERROR(+VLOOKUP(Movimientos_2026[[#This Row],[Codigo]],Plan_cuentas[],4,FALSE)," ")</f>
        <v xml:space="preserve"> </v>
      </c>
      <c r="H4333" t="str">
        <f>IFERROR(+VLOOKUP(Movimientos_2026[[#This Row],[Codigo]],Plan_cuentas[],5,FALSE)," ")</f>
        <v xml:space="preserve"> </v>
      </c>
      <c r="I4333" s="43"/>
      <c r="K4333" t="str">
        <f>IFERROR(+VLOOKUP(Movimientos_2026[[#This Row],[Codigo]],Plan_cuentas[],6,FALSE)," ")</f>
        <v xml:space="preserve"> </v>
      </c>
      <c r="L4333" s="50"/>
      <c r="M4333" s="50"/>
      <c r="N4333" s="20">
        <f>+Movimientos_2026[[#This Row],[Ingresos]]-Movimientos_2026[[#This Row],[Egresos]]</f>
        <v>0</v>
      </c>
      <c r="O4333" s="20">
        <f>+O4332+Movimientos_2026[[#This Row],[Neto]]</f>
        <v>4581558617.7962294</v>
      </c>
    </row>
    <row r="4334" spans="1:15" x14ac:dyDescent="0.25">
      <c r="A4334" s="13"/>
      <c r="B4334" s="12">
        <f>MONTH(Movimientos_2026[[#This Row],[Fecha]])</f>
        <v>1</v>
      </c>
      <c r="C4334" s="12" t="str">
        <f>VLOOKUP((WEEKDAY(Movimientos_2026[[#This Row],[Fecha]],2)),'5. Setup'!$D$6:$E$12,2,FALSE)</f>
        <v>Sab</v>
      </c>
      <c r="E4334" t="str">
        <f>IFERROR(+VLOOKUP(Movimientos_2026[[#This Row],[Codigo]],Plan_cuentas[],2,FALSE)," ")</f>
        <v xml:space="preserve"> </v>
      </c>
      <c r="F4334" t="str">
        <f>IFERROR(+VLOOKUP(Movimientos_2026[[#This Row],[Codigo]],Plan_cuentas[],3,FALSE)," ")</f>
        <v xml:space="preserve"> </v>
      </c>
      <c r="G4334" t="str">
        <f>IFERROR(+VLOOKUP(Movimientos_2026[[#This Row],[Codigo]],Plan_cuentas[],4,FALSE)," ")</f>
        <v xml:space="preserve"> </v>
      </c>
      <c r="H4334" t="str">
        <f>IFERROR(+VLOOKUP(Movimientos_2026[[#This Row],[Codigo]],Plan_cuentas[],5,FALSE)," ")</f>
        <v xml:space="preserve"> </v>
      </c>
      <c r="I4334" s="43"/>
      <c r="K4334" t="str">
        <f>IFERROR(+VLOOKUP(Movimientos_2026[[#This Row],[Codigo]],Plan_cuentas[],6,FALSE)," ")</f>
        <v xml:space="preserve"> </v>
      </c>
      <c r="L4334" s="50"/>
      <c r="M4334" s="50"/>
      <c r="N4334" s="20">
        <f>+Movimientos_2026[[#This Row],[Ingresos]]-Movimientos_2026[[#This Row],[Egresos]]</f>
        <v>0</v>
      </c>
      <c r="O4334" s="20">
        <f>+O4333+Movimientos_2026[[#This Row],[Neto]]</f>
        <v>4581558617.7962294</v>
      </c>
    </row>
    <row r="4335" spans="1:15" x14ac:dyDescent="0.25">
      <c r="A4335" s="13"/>
      <c r="B4335" s="12">
        <f>MONTH(Movimientos_2026[[#This Row],[Fecha]])</f>
        <v>1</v>
      </c>
      <c r="C4335" s="12" t="str">
        <f>VLOOKUP((WEEKDAY(Movimientos_2026[[#This Row],[Fecha]],2)),'5. Setup'!$D$6:$E$12,2,FALSE)</f>
        <v>Sab</v>
      </c>
      <c r="E4335" t="str">
        <f>IFERROR(+VLOOKUP(Movimientos_2026[[#This Row],[Codigo]],Plan_cuentas[],2,FALSE)," ")</f>
        <v xml:space="preserve"> </v>
      </c>
      <c r="F4335" t="str">
        <f>IFERROR(+VLOOKUP(Movimientos_2026[[#This Row],[Codigo]],Plan_cuentas[],3,FALSE)," ")</f>
        <v xml:space="preserve"> </v>
      </c>
      <c r="G4335" t="str">
        <f>IFERROR(+VLOOKUP(Movimientos_2026[[#This Row],[Codigo]],Plan_cuentas[],4,FALSE)," ")</f>
        <v xml:space="preserve"> </v>
      </c>
      <c r="H4335" t="str">
        <f>IFERROR(+VLOOKUP(Movimientos_2026[[#This Row],[Codigo]],Plan_cuentas[],5,FALSE)," ")</f>
        <v xml:space="preserve"> </v>
      </c>
      <c r="I4335" s="43"/>
      <c r="K4335" t="str">
        <f>IFERROR(+VLOOKUP(Movimientos_2026[[#This Row],[Codigo]],Plan_cuentas[],6,FALSE)," ")</f>
        <v xml:space="preserve"> </v>
      </c>
      <c r="L4335" s="50"/>
      <c r="M4335" s="50"/>
      <c r="N4335" s="20">
        <f>+Movimientos_2026[[#This Row],[Ingresos]]-Movimientos_2026[[#This Row],[Egresos]]</f>
        <v>0</v>
      </c>
      <c r="O4335" s="20">
        <f>+O4334+Movimientos_2026[[#This Row],[Neto]]</f>
        <v>4581558617.7962294</v>
      </c>
    </row>
    <row r="4336" spans="1:15" x14ac:dyDescent="0.25">
      <c r="A4336" s="13"/>
      <c r="B4336" s="12">
        <f>MONTH(Movimientos_2026[[#This Row],[Fecha]])</f>
        <v>1</v>
      </c>
      <c r="C4336" s="12" t="str">
        <f>VLOOKUP((WEEKDAY(Movimientos_2026[[#This Row],[Fecha]],2)),'5. Setup'!$D$6:$E$12,2,FALSE)</f>
        <v>Sab</v>
      </c>
      <c r="E4336" t="str">
        <f>IFERROR(+VLOOKUP(Movimientos_2026[[#This Row],[Codigo]],Plan_cuentas[],2,FALSE)," ")</f>
        <v xml:space="preserve"> </v>
      </c>
      <c r="F4336" t="str">
        <f>IFERROR(+VLOOKUP(Movimientos_2026[[#This Row],[Codigo]],Plan_cuentas[],3,FALSE)," ")</f>
        <v xml:space="preserve"> </v>
      </c>
      <c r="G4336" t="str">
        <f>IFERROR(+VLOOKUP(Movimientos_2026[[#This Row],[Codigo]],Plan_cuentas[],4,FALSE)," ")</f>
        <v xml:space="preserve"> </v>
      </c>
      <c r="H4336" t="str">
        <f>IFERROR(+VLOOKUP(Movimientos_2026[[#This Row],[Codigo]],Plan_cuentas[],5,FALSE)," ")</f>
        <v xml:space="preserve"> </v>
      </c>
      <c r="I4336" s="43"/>
      <c r="K4336" t="str">
        <f>IFERROR(+VLOOKUP(Movimientos_2026[[#This Row],[Codigo]],Plan_cuentas[],6,FALSE)," ")</f>
        <v xml:space="preserve"> </v>
      </c>
      <c r="L4336" s="50"/>
      <c r="M4336" s="50"/>
      <c r="N4336" s="20">
        <f>+Movimientos_2026[[#This Row],[Ingresos]]-Movimientos_2026[[#This Row],[Egresos]]</f>
        <v>0</v>
      </c>
      <c r="O4336" s="20">
        <f>+O4335+Movimientos_2026[[#This Row],[Neto]]</f>
        <v>4581558617.7962294</v>
      </c>
    </row>
    <row r="4337" spans="1:15" x14ac:dyDescent="0.25">
      <c r="A4337" s="13"/>
      <c r="B4337" s="12">
        <f>MONTH(Movimientos_2026[[#This Row],[Fecha]])</f>
        <v>1</v>
      </c>
      <c r="C4337" s="12" t="str">
        <f>VLOOKUP((WEEKDAY(Movimientos_2026[[#This Row],[Fecha]],2)),'5. Setup'!$D$6:$E$12,2,FALSE)</f>
        <v>Sab</v>
      </c>
      <c r="E4337" t="str">
        <f>IFERROR(+VLOOKUP(Movimientos_2026[[#This Row],[Codigo]],Plan_cuentas[],2,FALSE)," ")</f>
        <v xml:space="preserve"> </v>
      </c>
      <c r="F4337" t="str">
        <f>IFERROR(+VLOOKUP(Movimientos_2026[[#This Row],[Codigo]],Plan_cuentas[],3,FALSE)," ")</f>
        <v xml:space="preserve"> </v>
      </c>
      <c r="G4337" t="str">
        <f>IFERROR(+VLOOKUP(Movimientos_2026[[#This Row],[Codigo]],Plan_cuentas[],4,FALSE)," ")</f>
        <v xml:space="preserve"> </v>
      </c>
      <c r="H4337" t="str">
        <f>IFERROR(+VLOOKUP(Movimientos_2026[[#This Row],[Codigo]],Plan_cuentas[],5,FALSE)," ")</f>
        <v xml:space="preserve"> </v>
      </c>
      <c r="I4337" s="43"/>
      <c r="K4337" t="str">
        <f>IFERROR(+VLOOKUP(Movimientos_2026[[#This Row],[Codigo]],Plan_cuentas[],6,FALSE)," ")</f>
        <v xml:space="preserve"> </v>
      </c>
      <c r="L4337" s="50"/>
      <c r="M4337" s="50"/>
      <c r="N4337" s="20">
        <f>+Movimientos_2026[[#This Row],[Ingresos]]-Movimientos_2026[[#This Row],[Egresos]]</f>
        <v>0</v>
      </c>
      <c r="O4337" s="20">
        <f>+O4336+Movimientos_2026[[#This Row],[Neto]]</f>
        <v>4581558617.7962294</v>
      </c>
    </row>
    <row r="4338" spans="1:15" x14ac:dyDescent="0.25">
      <c r="A4338" s="13"/>
      <c r="B4338" s="12">
        <f>MONTH(Movimientos_2026[[#This Row],[Fecha]])</f>
        <v>1</v>
      </c>
      <c r="C4338" s="12" t="str">
        <f>VLOOKUP((WEEKDAY(Movimientos_2026[[#This Row],[Fecha]],2)),'5. Setup'!$D$6:$E$12,2,FALSE)</f>
        <v>Sab</v>
      </c>
      <c r="E4338" t="str">
        <f>IFERROR(+VLOOKUP(Movimientos_2026[[#This Row],[Codigo]],Plan_cuentas[],2,FALSE)," ")</f>
        <v xml:space="preserve"> </v>
      </c>
      <c r="F4338" t="str">
        <f>IFERROR(+VLOOKUP(Movimientos_2026[[#This Row],[Codigo]],Plan_cuentas[],3,FALSE)," ")</f>
        <v xml:space="preserve"> </v>
      </c>
      <c r="G4338" t="str">
        <f>IFERROR(+VLOOKUP(Movimientos_2026[[#This Row],[Codigo]],Plan_cuentas[],4,FALSE)," ")</f>
        <v xml:space="preserve"> </v>
      </c>
      <c r="H4338" t="str">
        <f>IFERROR(+VLOOKUP(Movimientos_2026[[#This Row],[Codigo]],Plan_cuentas[],5,FALSE)," ")</f>
        <v xml:space="preserve"> </v>
      </c>
      <c r="I4338" s="43"/>
      <c r="K4338" t="str">
        <f>IFERROR(+VLOOKUP(Movimientos_2026[[#This Row],[Codigo]],Plan_cuentas[],6,FALSE)," ")</f>
        <v xml:space="preserve"> </v>
      </c>
      <c r="L4338" s="50"/>
      <c r="M4338" s="50"/>
      <c r="N4338" s="20">
        <f>+Movimientos_2026[[#This Row],[Ingresos]]-Movimientos_2026[[#This Row],[Egresos]]</f>
        <v>0</v>
      </c>
      <c r="O4338" s="20">
        <f>+O4337+Movimientos_2026[[#This Row],[Neto]]</f>
        <v>4581558617.7962294</v>
      </c>
    </row>
    <row r="4339" spans="1:15" x14ac:dyDescent="0.25">
      <c r="A4339" s="13"/>
      <c r="B4339" s="12">
        <f>MONTH(Movimientos_2026[[#This Row],[Fecha]])</f>
        <v>1</v>
      </c>
      <c r="C4339" s="12" t="str">
        <f>VLOOKUP((WEEKDAY(Movimientos_2026[[#This Row],[Fecha]],2)),'5. Setup'!$D$6:$E$12,2,FALSE)</f>
        <v>Sab</v>
      </c>
      <c r="E4339" t="str">
        <f>IFERROR(+VLOOKUP(Movimientos_2026[[#This Row],[Codigo]],Plan_cuentas[],2,FALSE)," ")</f>
        <v xml:space="preserve"> </v>
      </c>
      <c r="F4339" t="str">
        <f>IFERROR(+VLOOKUP(Movimientos_2026[[#This Row],[Codigo]],Plan_cuentas[],3,FALSE)," ")</f>
        <v xml:space="preserve"> </v>
      </c>
      <c r="G4339" t="str">
        <f>IFERROR(+VLOOKUP(Movimientos_2026[[#This Row],[Codigo]],Plan_cuentas[],4,FALSE)," ")</f>
        <v xml:space="preserve"> </v>
      </c>
      <c r="H4339" t="str">
        <f>IFERROR(+VLOOKUP(Movimientos_2026[[#This Row],[Codigo]],Plan_cuentas[],5,FALSE)," ")</f>
        <v xml:space="preserve"> </v>
      </c>
      <c r="I4339" s="43"/>
      <c r="K4339" t="str">
        <f>IFERROR(+VLOOKUP(Movimientos_2026[[#This Row],[Codigo]],Plan_cuentas[],6,FALSE)," ")</f>
        <v xml:space="preserve"> </v>
      </c>
      <c r="L4339" s="50"/>
      <c r="M4339" s="50"/>
      <c r="N4339" s="20">
        <f>+Movimientos_2026[[#This Row],[Ingresos]]-Movimientos_2026[[#This Row],[Egresos]]</f>
        <v>0</v>
      </c>
      <c r="O4339" s="20">
        <f>+O4338+Movimientos_2026[[#This Row],[Neto]]</f>
        <v>4581558617.7962294</v>
      </c>
    </row>
    <row r="4340" spans="1:15" x14ac:dyDescent="0.25">
      <c r="A4340" s="13"/>
      <c r="B4340" s="12">
        <f>MONTH(Movimientos_2026[[#This Row],[Fecha]])</f>
        <v>1</v>
      </c>
      <c r="C4340" s="12" t="str">
        <f>VLOOKUP((WEEKDAY(Movimientos_2026[[#This Row],[Fecha]],2)),'5. Setup'!$D$6:$E$12,2,FALSE)</f>
        <v>Sab</v>
      </c>
      <c r="E4340" t="str">
        <f>IFERROR(+VLOOKUP(Movimientos_2026[[#This Row],[Codigo]],Plan_cuentas[],2,FALSE)," ")</f>
        <v xml:space="preserve"> </v>
      </c>
      <c r="F4340" t="str">
        <f>IFERROR(+VLOOKUP(Movimientos_2026[[#This Row],[Codigo]],Plan_cuentas[],3,FALSE)," ")</f>
        <v xml:space="preserve"> </v>
      </c>
      <c r="G4340" t="str">
        <f>IFERROR(+VLOOKUP(Movimientos_2026[[#This Row],[Codigo]],Plan_cuentas[],4,FALSE)," ")</f>
        <v xml:space="preserve"> </v>
      </c>
      <c r="H4340" t="str">
        <f>IFERROR(+VLOOKUP(Movimientos_2026[[#This Row],[Codigo]],Plan_cuentas[],5,FALSE)," ")</f>
        <v xml:space="preserve"> </v>
      </c>
      <c r="I4340" s="43"/>
      <c r="K4340" t="str">
        <f>IFERROR(+VLOOKUP(Movimientos_2026[[#This Row],[Codigo]],Plan_cuentas[],6,FALSE)," ")</f>
        <v xml:space="preserve"> </v>
      </c>
      <c r="L4340" s="50"/>
      <c r="M4340" s="50"/>
      <c r="N4340" s="20">
        <f>+Movimientos_2026[[#This Row],[Ingresos]]-Movimientos_2026[[#This Row],[Egresos]]</f>
        <v>0</v>
      </c>
      <c r="O4340" s="20">
        <f>+O4339+Movimientos_2026[[#This Row],[Neto]]</f>
        <v>4581558617.7962294</v>
      </c>
    </row>
    <row r="4341" spans="1:15" x14ac:dyDescent="0.25">
      <c r="A4341" s="13"/>
      <c r="B4341" s="12">
        <f>MONTH(Movimientos_2026[[#This Row],[Fecha]])</f>
        <v>1</v>
      </c>
      <c r="C4341" s="12" t="str">
        <f>VLOOKUP((WEEKDAY(Movimientos_2026[[#This Row],[Fecha]],2)),'5. Setup'!$D$6:$E$12,2,FALSE)</f>
        <v>Sab</v>
      </c>
      <c r="E4341" t="str">
        <f>IFERROR(+VLOOKUP(Movimientos_2026[[#This Row],[Codigo]],Plan_cuentas[],2,FALSE)," ")</f>
        <v xml:space="preserve"> </v>
      </c>
      <c r="F4341" t="str">
        <f>IFERROR(+VLOOKUP(Movimientos_2026[[#This Row],[Codigo]],Plan_cuentas[],3,FALSE)," ")</f>
        <v xml:space="preserve"> </v>
      </c>
      <c r="G4341" t="str">
        <f>IFERROR(+VLOOKUP(Movimientos_2026[[#This Row],[Codigo]],Plan_cuentas[],4,FALSE)," ")</f>
        <v xml:space="preserve"> </v>
      </c>
      <c r="H4341" t="str">
        <f>IFERROR(+VLOOKUP(Movimientos_2026[[#This Row],[Codigo]],Plan_cuentas[],5,FALSE)," ")</f>
        <v xml:space="preserve"> </v>
      </c>
      <c r="I4341" s="43"/>
      <c r="K4341" t="str">
        <f>IFERROR(+VLOOKUP(Movimientos_2026[[#This Row],[Codigo]],Plan_cuentas[],6,FALSE)," ")</f>
        <v xml:space="preserve"> </v>
      </c>
      <c r="L4341" s="50"/>
      <c r="M4341" s="50"/>
      <c r="N4341" s="20">
        <f>+Movimientos_2026[[#This Row],[Ingresos]]-Movimientos_2026[[#This Row],[Egresos]]</f>
        <v>0</v>
      </c>
      <c r="O4341" s="20">
        <f>+O4340+Movimientos_2026[[#This Row],[Neto]]</f>
        <v>4581558617.7962294</v>
      </c>
    </row>
    <row r="4342" spans="1:15" x14ac:dyDescent="0.25">
      <c r="A4342" s="13"/>
      <c r="B4342" s="12">
        <f>MONTH(Movimientos_2026[[#This Row],[Fecha]])</f>
        <v>1</v>
      </c>
      <c r="C4342" s="12" t="str">
        <f>VLOOKUP((WEEKDAY(Movimientos_2026[[#This Row],[Fecha]],2)),'5. Setup'!$D$6:$E$12,2,FALSE)</f>
        <v>Sab</v>
      </c>
      <c r="E4342" t="str">
        <f>IFERROR(+VLOOKUP(Movimientos_2026[[#This Row],[Codigo]],Plan_cuentas[],2,FALSE)," ")</f>
        <v xml:space="preserve"> </v>
      </c>
      <c r="F4342" t="str">
        <f>IFERROR(+VLOOKUP(Movimientos_2026[[#This Row],[Codigo]],Plan_cuentas[],3,FALSE)," ")</f>
        <v xml:space="preserve"> </v>
      </c>
      <c r="G4342" t="str">
        <f>IFERROR(+VLOOKUP(Movimientos_2026[[#This Row],[Codigo]],Plan_cuentas[],4,FALSE)," ")</f>
        <v xml:space="preserve"> </v>
      </c>
      <c r="H4342" t="str">
        <f>IFERROR(+VLOOKUP(Movimientos_2026[[#This Row],[Codigo]],Plan_cuentas[],5,FALSE)," ")</f>
        <v xml:space="preserve"> </v>
      </c>
      <c r="I4342" s="43"/>
      <c r="K4342" t="str">
        <f>IFERROR(+VLOOKUP(Movimientos_2026[[#This Row],[Codigo]],Plan_cuentas[],6,FALSE)," ")</f>
        <v xml:space="preserve"> </v>
      </c>
      <c r="L4342" s="50"/>
      <c r="M4342" s="50"/>
      <c r="N4342" s="20">
        <f>+Movimientos_2026[[#This Row],[Ingresos]]-Movimientos_2026[[#This Row],[Egresos]]</f>
        <v>0</v>
      </c>
      <c r="O4342" s="20">
        <f>+O4341+Movimientos_2026[[#This Row],[Neto]]</f>
        <v>4581558617.7962294</v>
      </c>
    </row>
    <row r="4343" spans="1:15" x14ac:dyDescent="0.25">
      <c r="A4343" s="13"/>
      <c r="B4343" s="12">
        <f>MONTH(Movimientos_2026[[#This Row],[Fecha]])</f>
        <v>1</v>
      </c>
      <c r="C4343" s="12" t="str">
        <f>VLOOKUP((WEEKDAY(Movimientos_2026[[#This Row],[Fecha]],2)),'5. Setup'!$D$6:$E$12,2,FALSE)</f>
        <v>Sab</v>
      </c>
      <c r="E4343" t="str">
        <f>IFERROR(+VLOOKUP(Movimientos_2026[[#This Row],[Codigo]],Plan_cuentas[],2,FALSE)," ")</f>
        <v xml:space="preserve"> </v>
      </c>
      <c r="F4343" t="str">
        <f>IFERROR(+VLOOKUP(Movimientos_2026[[#This Row],[Codigo]],Plan_cuentas[],3,FALSE)," ")</f>
        <v xml:space="preserve"> </v>
      </c>
      <c r="G4343" t="str">
        <f>IFERROR(+VLOOKUP(Movimientos_2026[[#This Row],[Codigo]],Plan_cuentas[],4,FALSE)," ")</f>
        <v xml:space="preserve"> </v>
      </c>
      <c r="H4343" t="str">
        <f>IFERROR(+VLOOKUP(Movimientos_2026[[#This Row],[Codigo]],Plan_cuentas[],5,FALSE)," ")</f>
        <v xml:space="preserve"> </v>
      </c>
      <c r="I4343" s="43"/>
      <c r="K4343" t="str">
        <f>IFERROR(+VLOOKUP(Movimientos_2026[[#This Row],[Codigo]],Plan_cuentas[],6,FALSE)," ")</f>
        <v xml:space="preserve"> </v>
      </c>
      <c r="L4343" s="50"/>
      <c r="M4343" s="50"/>
      <c r="N4343" s="20">
        <f>+Movimientos_2026[[#This Row],[Ingresos]]-Movimientos_2026[[#This Row],[Egresos]]</f>
        <v>0</v>
      </c>
      <c r="O4343" s="20">
        <f>+O4342+Movimientos_2026[[#This Row],[Neto]]</f>
        <v>4581558617.7962294</v>
      </c>
    </row>
    <row r="4344" spans="1:15" x14ac:dyDescent="0.25">
      <c r="A4344" s="13"/>
      <c r="B4344" s="12">
        <f>MONTH(Movimientos_2026[[#This Row],[Fecha]])</f>
        <v>1</v>
      </c>
      <c r="C4344" s="12" t="str">
        <f>VLOOKUP((WEEKDAY(Movimientos_2026[[#This Row],[Fecha]],2)),'5. Setup'!$D$6:$E$12,2,FALSE)</f>
        <v>Sab</v>
      </c>
      <c r="E4344" t="str">
        <f>IFERROR(+VLOOKUP(Movimientos_2026[[#This Row],[Codigo]],Plan_cuentas[],2,FALSE)," ")</f>
        <v xml:space="preserve"> </v>
      </c>
      <c r="F4344" t="str">
        <f>IFERROR(+VLOOKUP(Movimientos_2026[[#This Row],[Codigo]],Plan_cuentas[],3,FALSE)," ")</f>
        <v xml:space="preserve"> </v>
      </c>
      <c r="G4344" t="str">
        <f>IFERROR(+VLOOKUP(Movimientos_2026[[#This Row],[Codigo]],Plan_cuentas[],4,FALSE)," ")</f>
        <v xml:space="preserve"> </v>
      </c>
      <c r="H4344" t="str">
        <f>IFERROR(+VLOOKUP(Movimientos_2026[[#This Row],[Codigo]],Plan_cuentas[],5,FALSE)," ")</f>
        <v xml:space="preserve"> </v>
      </c>
      <c r="I4344" s="43"/>
      <c r="K4344" t="str">
        <f>IFERROR(+VLOOKUP(Movimientos_2026[[#This Row],[Codigo]],Plan_cuentas[],6,FALSE)," ")</f>
        <v xml:space="preserve"> </v>
      </c>
      <c r="L4344" s="50"/>
      <c r="M4344" s="50"/>
      <c r="N4344" s="20">
        <f>+Movimientos_2026[[#This Row],[Ingresos]]-Movimientos_2026[[#This Row],[Egresos]]</f>
        <v>0</v>
      </c>
      <c r="O4344" s="20">
        <f>+O4343+Movimientos_2026[[#This Row],[Neto]]</f>
        <v>4581558617.7962294</v>
      </c>
    </row>
    <row r="4345" spans="1:15" x14ac:dyDescent="0.25">
      <c r="A4345" s="13"/>
      <c r="B4345" s="12">
        <f>MONTH(Movimientos_2026[[#This Row],[Fecha]])</f>
        <v>1</v>
      </c>
      <c r="C4345" s="12" t="str">
        <f>VLOOKUP((WEEKDAY(Movimientos_2026[[#This Row],[Fecha]],2)),'5. Setup'!$D$6:$E$12,2,FALSE)</f>
        <v>Sab</v>
      </c>
      <c r="E4345" t="str">
        <f>IFERROR(+VLOOKUP(Movimientos_2026[[#This Row],[Codigo]],Plan_cuentas[],2,FALSE)," ")</f>
        <v xml:space="preserve"> </v>
      </c>
      <c r="F4345" t="str">
        <f>IFERROR(+VLOOKUP(Movimientos_2026[[#This Row],[Codigo]],Plan_cuentas[],3,FALSE)," ")</f>
        <v xml:space="preserve"> </v>
      </c>
      <c r="G4345" t="str">
        <f>IFERROR(+VLOOKUP(Movimientos_2026[[#This Row],[Codigo]],Plan_cuentas[],4,FALSE)," ")</f>
        <v xml:space="preserve"> </v>
      </c>
      <c r="H4345" t="str">
        <f>IFERROR(+VLOOKUP(Movimientos_2026[[#This Row],[Codigo]],Plan_cuentas[],5,FALSE)," ")</f>
        <v xml:space="preserve"> </v>
      </c>
      <c r="I4345" s="43"/>
      <c r="K4345" t="str">
        <f>IFERROR(+VLOOKUP(Movimientos_2026[[#This Row],[Codigo]],Plan_cuentas[],6,FALSE)," ")</f>
        <v xml:space="preserve"> </v>
      </c>
      <c r="L4345" s="50"/>
      <c r="M4345" s="50"/>
      <c r="N4345" s="20">
        <f>+Movimientos_2026[[#This Row],[Ingresos]]-Movimientos_2026[[#This Row],[Egresos]]</f>
        <v>0</v>
      </c>
      <c r="O4345" s="20">
        <f>+O4344+Movimientos_2026[[#This Row],[Neto]]</f>
        <v>4581558617.7962294</v>
      </c>
    </row>
    <row r="4346" spans="1:15" x14ac:dyDescent="0.25">
      <c r="A4346" s="13"/>
      <c r="B4346" s="12">
        <f>MONTH(Movimientos_2026[[#This Row],[Fecha]])</f>
        <v>1</v>
      </c>
      <c r="C4346" s="12" t="str">
        <f>VLOOKUP((WEEKDAY(Movimientos_2026[[#This Row],[Fecha]],2)),'5. Setup'!$D$6:$E$12,2,FALSE)</f>
        <v>Sab</v>
      </c>
      <c r="E4346" t="str">
        <f>IFERROR(+VLOOKUP(Movimientos_2026[[#This Row],[Codigo]],Plan_cuentas[],2,FALSE)," ")</f>
        <v xml:space="preserve"> </v>
      </c>
      <c r="F4346" t="str">
        <f>IFERROR(+VLOOKUP(Movimientos_2026[[#This Row],[Codigo]],Plan_cuentas[],3,FALSE)," ")</f>
        <v xml:space="preserve"> </v>
      </c>
      <c r="G4346" t="str">
        <f>IFERROR(+VLOOKUP(Movimientos_2026[[#This Row],[Codigo]],Plan_cuentas[],4,FALSE)," ")</f>
        <v xml:space="preserve"> </v>
      </c>
      <c r="H4346" t="str">
        <f>IFERROR(+VLOOKUP(Movimientos_2026[[#This Row],[Codigo]],Plan_cuentas[],5,FALSE)," ")</f>
        <v xml:space="preserve"> </v>
      </c>
      <c r="I4346" s="43"/>
      <c r="K4346" t="str">
        <f>IFERROR(+VLOOKUP(Movimientos_2026[[#This Row],[Codigo]],Plan_cuentas[],6,FALSE)," ")</f>
        <v xml:space="preserve"> </v>
      </c>
      <c r="L4346" s="50"/>
      <c r="M4346" s="50"/>
      <c r="N4346" s="20">
        <f>+Movimientos_2026[[#This Row],[Ingresos]]-Movimientos_2026[[#This Row],[Egresos]]</f>
        <v>0</v>
      </c>
      <c r="O4346" s="20">
        <f>+O4345+Movimientos_2026[[#This Row],[Neto]]</f>
        <v>4581558617.7962294</v>
      </c>
    </row>
    <row r="4347" spans="1:15" x14ac:dyDescent="0.25">
      <c r="A4347" s="13"/>
      <c r="B4347" s="12">
        <f>MONTH(Movimientos_2026[[#This Row],[Fecha]])</f>
        <v>1</v>
      </c>
      <c r="C4347" s="12" t="str">
        <f>VLOOKUP((WEEKDAY(Movimientos_2026[[#This Row],[Fecha]],2)),'5. Setup'!$D$6:$E$12,2,FALSE)</f>
        <v>Sab</v>
      </c>
      <c r="E4347" t="str">
        <f>IFERROR(+VLOOKUP(Movimientos_2026[[#This Row],[Codigo]],Plan_cuentas[],2,FALSE)," ")</f>
        <v xml:space="preserve"> </v>
      </c>
      <c r="F4347" t="str">
        <f>IFERROR(+VLOOKUP(Movimientos_2026[[#This Row],[Codigo]],Plan_cuentas[],3,FALSE)," ")</f>
        <v xml:space="preserve"> </v>
      </c>
      <c r="G4347" t="str">
        <f>IFERROR(+VLOOKUP(Movimientos_2026[[#This Row],[Codigo]],Plan_cuentas[],4,FALSE)," ")</f>
        <v xml:space="preserve"> </v>
      </c>
      <c r="H4347" t="str">
        <f>IFERROR(+VLOOKUP(Movimientos_2026[[#This Row],[Codigo]],Plan_cuentas[],5,FALSE)," ")</f>
        <v xml:space="preserve"> </v>
      </c>
      <c r="I4347" s="43"/>
      <c r="K4347" t="str">
        <f>IFERROR(+VLOOKUP(Movimientos_2026[[#This Row],[Codigo]],Plan_cuentas[],6,FALSE)," ")</f>
        <v xml:space="preserve"> </v>
      </c>
      <c r="L4347" s="50"/>
      <c r="M4347" s="50"/>
      <c r="N4347" s="20">
        <f>+Movimientos_2026[[#This Row],[Ingresos]]-Movimientos_2026[[#This Row],[Egresos]]</f>
        <v>0</v>
      </c>
      <c r="O4347" s="20">
        <f>+O4346+Movimientos_2026[[#This Row],[Neto]]</f>
        <v>4581558617.7962294</v>
      </c>
    </row>
    <row r="4348" spans="1:15" x14ac:dyDescent="0.25">
      <c r="A4348" s="13"/>
      <c r="B4348" s="12">
        <f>MONTH(Movimientos_2026[[#This Row],[Fecha]])</f>
        <v>1</v>
      </c>
      <c r="C4348" s="12" t="str">
        <f>VLOOKUP((WEEKDAY(Movimientos_2026[[#This Row],[Fecha]],2)),'5. Setup'!$D$6:$E$12,2,FALSE)</f>
        <v>Sab</v>
      </c>
      <c r="E4348" t="str">
        <f>IFERROR(+VLOOKUP(Movimientos_2026[[#This Row],[Codigo]],Plan_cuentas[],2,FALSE)," ")</f>
        <v xml:space="preserve"> </v>
      </c>
      <c r="F4348" t="str">
        <f>IFERROR(+VLOOKUP(Movimientos_2026[[#This Row],[Codigo]],Plan_cuentas[],3,FALSE)," ")</f>
        <v xml:space="preserve"> </v>
      </c>
      <c r="G4348" t="str">
        <f>IFERROR(+VLOOKUP(Movimientos_2026[[#This Row],[Codigo]],Plan_cuentas[],4,FALSE)," ")</f>
        <v xml:space="preserve"> </v>
      </c>
      <c r="H4348" t="str">
        <f>IFERROR(+VLOOKUP(Movimientos_2026[[#This Row],[Codigo]],Plan_cuentas[],5,FALSE)," ")</f>
        <v xml:space="preserve"> </v>
      </c>
      <c r="I4348" s="43"/>
      <c r="K4348" t="str">
        <f>IFERROR(+VLOOKUP(Movimientos_2026[[#This Row],[Codigo]],Plan_cuentas[],6,FALSE)," ")</f>
        <v xml:space="preserve"> </v>
      </c>
      <c r="L4348" s="50"/>
      <c r="M4348" s="50"/>
      <c r="N4348" s="20">
        <f>+Movimientos_2026[[#This Row],[Ingresos]]-Movimientos_2026[[#This Row],[Egresos]]</f>
        <v>0</v>
      </c>
      <c r="O4348" s="20">
        <f>+O4347+Movimientos_2026[[#This Row],[Neto]]</f>
        <v>4581558617.7962294</v>
      </c>
    </row>
    <row r="4349" spans="1:15" x14ac:dyDescent="0.25">
      <c r="A4349" s="13"/>
      <c r="B4349" s="12">
        <f>MONTH(Movimientos_2026[[#This Row],[Fecha]])</f>
        <v>1</v>
      </c>
      <c r="C4349" s="12" t="str">
        <f>VLOOKUP((WEEKDAY(Movimientos_2026[[#This Row],[Fecha]],2)),'5. Setup'!$D$6:$E$12,2,FALSE)</f>
        <v>Sab</v>
      </c>
      <c r="E4349" t="str">
        <f>IFERROR(+VLOOKUP(Movimientos_2026[[#This Row],[Codigo]],Plan_cuentas[],2,FALSE)," ")</f>
        <v xml:space="preserve"> </v>
      </c>
      <c r="F4349" t="str">
        <f>IFERROR(+VLOOKUP(Movimientos_2026[[#This Row],[Codigo]],Plan_cuentas[],3,FALSE)," ")</f>
        <v xml:space="preserve"> </v>
      </c>
      <c r="G4349" t="str">
        <f>IFERROR(+VLOOKUP(Movimientos_2026[[#This Row],[Codigo]],Plan_cuentas[],4,FALSE)," ")</f>
        <v xml:space="preserve"> </v>
      </c>
      <c r="H4349" t="str">
        <f>IFERROR(+VLOOKUP(Movimientos_2026[[#This Row],[Codigo]],Plan_cuentas[],5,FALSE)," ")</f>
        <v xml:space="preserve"> </v>
      </c>
      <c r="I4349" s="43"/>
      <c r="K4349" t="str">
        <f>IFERROR(+VLOOKUP(Movimientos_2026[[#This Row],[Codigo]],Plan_cuentas[],6,FALSE)," ")</f>
        <v xml:space="preserve"> </v>
      </c>
      <c r="L4349" s="50"/>
      <c r="M4349" s="50"/>
      <c r="N4349" s="20">
        <f>+Movimientos_2026[[#This Row],[Ingresos]]-Movimientos_2026[[#This Row],[Egresos]]</f>
        <v>0</v>
      </c>
      <c r="O4349" s="20">
        <f>+O4348+Movimientos_2026[[#This Row],[Neto]]</f>
        <v>4581558617.7962294</v>
      </c>
    </row>
    <row r="4350" spans="1:15" x14ac:dyDescent="0.25">
      <c r="A4350" s="13"/>
      <c r="B4350" s="12">
        <f>MONTH(Movimientos_2026[[#This Row],[Fecha]])</f>
        <v>1</v>
      </c>
      <c r="C4350" s="12" t="str">
        <f>VLOOKUP((WEEKDAY(Movimientos_2026[[#This Row],[Fecha]],2)),'5. Setup'!$D$6:$E$12,2,FALSE)</f>
        <v>Sab</v>
      </c>
      <c r="E4350" t="str">
        <f>IFERROR(+VLOOKUP(Movimientos_2026[[#This Row],[Codigo]],Plan_cuentas[],2,FALSE)," ")</f>
        <v xml:space="preserve"> </v>
      </c>
      <c r="F4350" t="str">
        <f>IFERROR(+VLOOKUP(Movimientos_2026[[#This Row],[Codigo]],Plan_cuentas[],3,FALSE)," ")</f>
        <v xml:space="preserve"> </v>
      </c>
      <c r="G4350" t="str">
        <f>IFERROR(+VLOOKUP(Movimientos_2026[[#This Row],[Codigo]],Plan_cuentas[],4,FALSE)," ")</f>
        <v xml:space="preserve"> </v>
      </c>
      <c r="H4350" t="str">
        <f>IFERROR(+VLOOKUP(Movimientos_2026[[#This Row],[Codigo]],Plan_cuentas[],5,FALSE)," ")</f>
        <v xml:space="preserve"> </v>
      </c>
      <c r="I4350" s="43"/>
      <c r="K4350" t="str">
        <f>IFERROR(+VLOOKUP(Movimientos_2026[[#This Row],[Codigo]],Plan_cuentas[],6,FALSE)," ")</f>
        <v xml:space="preserve"> </v>
      </c>
      <c r="L4350" s="50"/>
      <c r="M4350" s="50"/>
      <c r="N4350" s="20">
        <f>+Movimientos_2026[[#This Row],[Ingresos]]-Movimientos_2026[[#This Row],[Egresos]]</f>
        <v>0</v>
      </c>
      <c r="O4350" s="20">
        <f>+O4349+Movimientos_2026[[#This Row],[Neto]]</f>
        <v>4581558617.7962294</v>
      </c>
    </row>
    <row r="4351" spans="1:15" x14ac:dyDescent="0.25">
      <c r="A4351" s="13"/>
      <c r="B4351" s="12">
        <f>MONTH(Movimientos_2026[[#This Row],[Fecha]])</f>
        <v>1</v>
      </c>
      <c r="C4351" s="12" t="str">
        <f>VLOOKUP((WEEKDAY(Movimientos_2026[[#This Row],[Fecha]],2)),'5. Setup'!$D$6:$E$12,2,FALSE)</f>
        <v>Sab</v>
      </c>
      <c r="E4351" t="str">
        <f>IFERROR(+VLOOKUP(Movimientos_2026[[#This Row],[Codigo]],Plan_cuentas[],2,FALSE)," ")</f>
        <v xml:space="preserve"> </v>
      </c>
      <c r="F4351" t="str">
        <f>IFERROR(+VLOOKUP(Movimientos_2026[[#This Row],[Codigo]],Plan_cuentas[],3,FALSE)," ")</f>
        <v xml:space="preserve"> </v>
      </c>
      <c r="G4351" t="str">
        <f>IFERROR(+VLOOKUP(Movimientos_2026[[#This Row],[Codigo]],Plan_cuentas[],4,FALSE)," ")</f>
        <v xml:space="preserve"> </v>
      </c>
      <c r="H4351" t="str">
        <f>IFERROR(+VLOOKUP(Movimientos_2026[[#This Row],[Codigo]],Plan_cuentas[],5,FALSE)," ")</f>
        <v xml:space="preserve"> </v>
      </c>
      <c r="I4351" s="43"/>
      <c r="K4351" t="str">
        <f>IFERROR(+VLOOKUP(Movimientos_2026[[#This Row],[Codigo]],Plan_cuentas[],6,FALSE)," ")</f>
        <v xml:space="preserve"> </v>
      </c>
      <c r="L4351" s="50"/>
      <c r="M4351" s="50"/>
      <c r="N4351" s="20">
        <f>+Movimientos_2026[[#This Row],[Ingresos]]-Movimientos_2026[[#This Row],[Egresos]]</f>
        <v>0</v>
      </c>
      <c r="O4351" s="20">
        <f>+O4350+Movimientos_2026[[#This Row],[Neto]]</f>
        <v>4581558617.7962294</v>
      </c>
    </row>
    <row r="4352" spans="1:15" x14ac:dyDescent="0.25">
      <c r="A4352" s="13"/>
      <c r="B4352" s="12">
        <f>MONTH(Movimientos_2026[[#This Row],[Fecha]])</f>
        <v>1</v>
      </c>
      <c r="C4352" s="12" t="str">
        <f>VLOOKUP((WEEKDAY(Movimientos_2026[[#This Row],[Fecha]],2)),'5. Setup'!$D$6:$E$12,2,FALSE)</f>
        <v>Sab</v>
      </c>
      <c r="E4352" t="str">
        <f>IFERROR(+VLOOKUP(Movimientos_2026[[#This Row],[Codigo]],Plan_cuentas[],2,FALSE)," ")</f>
        <v xml:space="preserve"> </v>
      </c>
      <c r="F4352" t="str">
        <f>IFERROR(+VLOOKUP(Movimientos_2026[[#This Row],[Codigo]],Plan_cuentas[],3,FALSE)," ")</f>
        <v xml:space="preserve"> </v>
      </c>
      <c r="G4352" t="str">
        <f>IFERROR(+VLOOKUP(Movimientos_2026[[#This Row],[Codigo]],Plan_cuentas[],4,FALSE)," ")</f>
        <v xml:space="preserve"> </v>
      </c>
      <c r="H4352" t="str">
        <f>IFERROR(+VLOOKUP(Movimientos_2026[[#This Row],[Codigo]],Plan_cuentas[],5,FALSE)," ")</f>
        <v xml:space="preserve"> </v>
      </c>
      <c r="I4352" s="43"/>
      <c r="K4352" t="str">
        <f>IFERROR(+VLOOKUP(Movimientos_2026[[#This Row],[Codigo]],Plan_cuentas[],6,FALSE)," ")</f>
        <v xml:space="preserve"> </v>
      </c>
      <c r="L4352" s="50"/>
      <c r="M4352" s="50"/>
      <c r="N4352" s="20">
        <f>+Movimientos_2026[[#This Row],[Ingresos]]-Movimientos_2026[[#This Row],[Egresos]]</f>
        <v>0</v>
      </c>
      <c r="O4352" s="20">
        <f>+O4351+Movimientos_2026[[#This Row],[Neto]]</f>
        <v>4581558617.7962294</v>
      </c>
    </row>
    <row r="4353" spans="1:15" x14ac:dyDescent="0.25">
      <c r="A4353" s="13"/>
      <c r="B4353" s="12">
        <f>MONTH(Movimientos_2026[[#This Row],[Fecha]])</f>
        <v>1</v>
      </c>
      <c r="C4353" s="12" t="str">
        <f>VLOOKUP((WEEKDAY(Movimientos_2026[[#This Row],[Fecha]],2)),'5. Setup'!$D$6:$E$12,2,FALSE)</f>
        <v>Sab</v>
      </c>
      <c r="E4353" t="str">
        <f>IFERROR(+VLOOKUP(Movimientos_2026[[#This Row],[Codigo]],Plan_cuentas[],2,FALSE)," ")</f>
        <v xml:space="preserve"> </v>
      </c>
      <c r="F4353" t="str">
        <f>IFERROR(+VLOOKUP(Movimientos_2026[[#This Row],[Codigo]],Plan_cuentas[],3,FALSE)," ")</f>
        <v xml:space="preserve"> </v>
      </c>
      <c r="G4353" t="str">
        <f>IFERROR(+VLOOKUP(Movimientos_2026[[#This Row],[Codigo]],Plan_cuentas[],4,FALSE)," ")</f>
        <v xml:space="preserve"> </v>
      </c>
      <c r="H4353" t="str">
        <f>IFERROR(+VLOOKUP(Movimientos_2026[[#This Row],[Codigo]],Plan_cuentas[],5,FALSE)," ")</f>
        <v xml:space="preserve"> </v>
      </c>
      <c r="I4353" s="43"/>
      <c r="K4353" t="str">
        <f>IFERROR(+VLOOKUP(Movimientos_2026[[#This Row],[Codigo]],Plan_cuentas[],6,FALSE)," ")</f>
        <v xml:space="preserve"> </v>
      </c>
      <c r="L4353" s="50"/>
      <c r="M4353" s="50"/>
      <c r="N4353" s="20">
        <f>+Movimientos_2026[[#This Row],[Ingresos]]-Movimientos_2026[[#This Row],[Egresos]]</f>
        <v>0</v>
      </c>
      <c r="O4353" s="20">
        <f>+O4352+Movimientos_2026[[#This Row],[Neto]]</f>
        <v>4581558617.7962294</v>
      </c>
    </row>
    <row r="4354" spans="1:15" x14ac:dyDescent="0.25">
      <c r="A4354" s="13"/>
      <c r="B4354" s="12">
        <f>MONTH(Movimientos_2026[[#This Row],[Fecha]])</f>
        <v>1</v>
      </c>
      <c r="C4354" s="12" t="str">
        <f>VLOOKUP((WEEKDAY(Movimientos_2026[[#This Row],[Fecha]],2)),'5. Setup'!$D$6:$E$12,2,FALSE)</f>
        <v>Sab</v>
      </c>
      <c r="E4354" t="str">
        <f>IFERROR(+VLOOKUP(Movimientos_2026[[#This Row],[Codigo]],Plan_cuentas[],2,FALSE)," ")</f>
        <v xml:space="preserve"> </v>
      </c>
      <c r="F4354" t="str">
        <f>IFERROR(+VLOOKUP(Movimientos_2026[[#This Row],[Codigo]],Plan_cuentas[],3,FALSE)," ")</f>
        <v xml:space="preserve"> </v>
      </c>
      <c r="G4354" t="str">
        <f>IFERROR(+VLOOKUP(Movimientos_2026[[#This Row],[Codigo]],Plan_cuentas[],4,FALSE)," ")</f>
        <v xml:space="preserve"> </v>
      </c>
      <c r="H4354" t="str">
        <f>IFERROR(+VLOOKUP(Movimientos_2026[[#This Row],[Codigo]],Plan_cuentas[],5,FALSE)," ")</f>
        <v xml:space="preserve"> </v>
      </c>
      <c r="I4354" s="43"/>
      <c r="K4354" t="str">
        <f>IFERROR(+VLOOKUP(Movimientos_2026[[#This Row],[Codigo]],Plan_cuentas[],6,FALSE)," ")</f>
        <v xml:space="preserve"> </v>
      </c>
      <c r="L4354" s="50"/>
      <c r="M4354" s="50"/>
      <c r="N4354" s="20">
        <f>+Movimientos_2026[[#This Row],[Ingresos]]-Movimientos_2026[[#This Row],[Egresos]]</f>
        <v>0</v>
      </c>
      <c r="O4354" s="20">
        <f>+O4353+Movimientos_2026[[#This Row],[Neto]]</f>
        <v>4581558617.7962294</v>
      </c>
    </row>
    <row r="4355" spans="1:15" x14ac:dyDescent="0.25">
      <c r="A4355" s="13"/>
      <c r="B4355" s="12">
        <f>MONTH(Movimientos_2026[[#This Row],[Fecha]])</f>
        <v>1</v>
      </c>
      <c r="C4355" s="12" t="str">
        <f>VLOOKUP((WEEKDAY(Movimientos_2026[[#This Row],[Fecha]],2)),'5. Setup'!$D$6:$E$12,2,FALSE)</f>
        <v>Sab</v>
      </c>
      <c r="E4355" t="str">
        <f>IFERROR(+VLOOKUP(Movimientos_2026[[#This Row],[Codigo]],Plan_cuentas[],2,FALSE)," ")</f>
        <v xml:space="preserve"> </v>
      </c>
      <c r="F4355" t="str">
        <f>IFERROR(+VLOOKUP(Movimientos_2026[[#This Row],[Codigo]],Plan_cuentas[],3,FALSE)," ")</f>
        <v xml:space="preserve"> </v>
      </c>
      <c r="G4355" t="str">
        <f>IFERROR(+VLOOKUP(Movimientos_2026[[#This Row],[Codigo]],Plan_cuentas[],4,FALSE)," ")</f>
        <v xml:space="preserve"> </v>
      </c>
      <c r="H4355" t="str">
        <f>IFERROR(+VLOOKUP(Movimientos_2026[[#This Row],[Codigo]],Plan_cuentas[],5,FALSE)," ")</f>
        <v xml:space="preserve"> </v>
      </c>
      <c r="I4355" s="43"/>
      <c r="K4355" t="str">
        <f>IFERROR(+VLOOKUP(Movimientos_2026[[#This Row],[Codigo]],Plan_cuentas[],6,FALSE)," ")</f>
        <v xml:space="preserve"> </v>
      </c>
      <c r="L4355" s="50"/>
      <c r="M4355" s="50"/>
      <c r="N4355" s="20">
        <f>+Movimientos_2026[[#This Row],[Ingresos]]-Movimientos_2026[[#This Row],[Egresos]]</f>
        <v>0</v>
      </c>
      <c r="O4355" s="20">
        <f>+O4354+Movimientos_2026[[#This Row],[Neto]]</f>
        <v>4581558617.7962294</v>
      </c>
    </row>
    <row r="4356" spans="1:15" x14ac:dyDescent="0.25">
      <c r="A4356" s="13"/>
      <c r="B4356" s="12">
        <f>MONTH(Movimientos_2026[[#This Row],[Fecha]])</f>
        <v>1</v>
      </c>
      <c r="C4356" s="12" t="str">
        <f>VLOOKUP((WEEKDAY(Movimientos_2026[[#This Row],[Fecha]],2)),'5. Setup'!$D$6:$E$12,2,FALSE)</f>
        <v>Sab</v>
      </c>
      <c r="E4356" t="str">
        <f>IFERROR(+VLOOKUP(Movimientos_2026[[#This Row],[Codigo]],Plan_cuentas[],2,FALSE)," ")</f>
        <v xml:space="preserve"> </v>
      </c>
      <c r="F4356" t="str">
        <f>IFERROR(+VLOOKUP(Movimientos_2026[[#This Row],[Codigo]],Plan_cuentas[],3,FALSE)," ")</f>
        <v xml:space="preserve"> </v>
      </c>
      <c r="G4356" t="str">
        <f>IFERROR(+VLOOKUP(Movimientos_2026[[#This Row],[Codigo]],Plan_cuentas[],4,FALSE)," ")</f>
        <v xml:space="preserve"> </v>
      </c>
      <c r="H4356" t="str">
        <f>IFERROR(+VLOOKUP(Movimientos_2026[[#This Row],[Codigo]],Plan_cuentas[],5,FALSE)," ")</f>
        <v xml:space="preserve"> </v>
      </c>
      <c r="I4356" s="43"/>
      <c r="K4356" t="str">
        <f>IFERROR(+VLOOKUP(Movimientos_2026[[#This Row],[Codigo]],Plan_cuentas[],6,FALSE)," ")</f>
        <v xml:space="preserve"> </v>
      </c>
      <c r="L4356" s="50"/>
      <c r="M4356" s="50"/>
      <c r="N4356" s="20">
        <f>+Movimientos_2026[[#This Row],[Ingresos]]-Movimientos_2026[[#This Row],[Egresos]]</f>
        <v>0</v>
      </c>
      <c r="O4356" s="20">
        <f>+O4355+Movimientos_2026[[#This Row],[Neto]]</f>
        <v>4581558617.7962294</v>
      </c>
    </row>
    <row r="4357" spans="1:15" x14ac:dyDescent="0.25">
      <c r="A4357" s="13"/>
      <c r="B4357" s="12">
        <f>MONTH(Movimientos_2026[[#This Row],[Fecha]])</f>
        <v>1</v>
      </c>
      <c r="C4357" s="12" t="str">
        <f>VLOOKUP((WEEKDAY(Movimientos_2026[[#This Row],[Fecha]],2)),'5. Setup'!$D$6:$E$12,2,FALSE)</f>
        <v>Sab</v>
      </c>
      <c r="E4357" t="str">
        <f>IFERROR(+VLOOKUP(Movimientos_2026[[#This Row],[Codigo]],Plan_cuentas[],2,FALSE)," ")</f>
        <v xml:space="preserve"> </v>
      </c>
      <c r="F4357" t="str">
        <f>IFERROR(+VLOOKUP(Movimientos_2026[[#This Row],[Codigo]],Plan_cuentas[],3,FALSE)," ")</f>
        <v xml:space="preserve"> </v>
      </c>
      <c r="G4357" t="str">
        <f>IFERROR(+VLOOKUP(Movimientos_2026[[#This Row],[Codigo]],Plan_cuentas[],4,FALSE)," ")</f>
        <v xml:space="preserve"> </v>
      </c>
      <c r="H4357" t="str">
        <f>IFERROR(+VLOOKUP(Movimientos_2026[[#This Row],[Codigo]],Plan_cuentas[],5,FALSE)," ")</f>
        <v xml:space="preserve"> </v>
      </c>
      <c r="I4357" s="43"/>
      <c r="K4357" t="str">
        <f>IFERROR(+VLOOKUP(Movimientos_2026[[#This Row],[Codigo]],Plan_cuentas[],6,FALSE)," ")</f>
        <v xml:space="preserve"> </v>
      </c>
      <c r="L4357" s="50"/>
      <c r="M4357" s="50"/>
      <c r="N4357" s="20">
        <f>+Movimientos_2026[[#This Row],[Ingresos]]-Movimientos_2026[[#This Row],[Egresos]]</f>
        <v>0</v>
      </c>
      <c r="O4357" s="20">
        <f>+O4356+Movimientos_2026[[#This Row],[Neto]]</f>
        <v>4581558617.7962294</v>
      </c>
    </row>
    <row r="4358" spans="1:15" x14ac:dyDescent="0.25">
      <c r="A4358" s="13"/>
      <c r="B4358" s="12">
        <f>MONTH(Movimientos_2026[[#This Row],[Fecha]])</f>
        <v>1</v>
      </c>
      <c r="C4358" s="12" t="str">
        <f>VLOOKUP((WEEKDAY(Movimientos_2026[[#This Row],[Fecha]],2)),'5. Setup'!$D$6:$E$12,2,FALSE)</f>
        <v>Sab</v>
      </c>
      <c r="E4358" t="str">
        <f>IFERROR(+VLOOKUP(Movimientos_2026[[#This Row],[Codigo]],Plan_cuentas[],2,FALSE)," ")</f>
        <v xml:space="preserve"> </v>
      </c>
      <c r="F4358" t="str">
        <f>IFERROR(+VLOOKUP(Movimientos_2026[[#This Row],[Codigo]],Plan_cuentas[],3,FALSE)," ")</f>
        <v xml:space="preserve"> </v>
      </c>
      <c r="G4358" t="str">
        <f>IFERROR(+VLOOKUP(Movimientos_2026[[#This Row],[Codigo]],Plan_cuentas[],4,FALSE)," ")</f>
        <v xml:space="preserve"> </v>
      </c>
      <c r="H4358" t="str">
        <f>IFERROR(+VLOOKUP(Movimientos_2026[[#This Row],[Codigo]],Plan_cuentas[],5,FALSE)," ")</f>
        <v xml:space="preserve"> </v>
      </c>
      <c r="I4358" s="43"/>
      <c r="K4358" t="str">
        <f>IFERROR(+VLOOKUP(Movimientos_2026[[#This Row],[Codigo]],Plan_cuentas[],6,FALSE)," ")</f>
        <v xml:space="preserve"> </v>
      </c>
      <c r="L4358" s="50"/>
      <c r="M4358" s="50"/>
      <c r="N4358" s="20">
        <f>+Movimientos_2026[[#This Row],[Ingresos]]-Movimientos_2026[[#This Row],[Egresos]]</f>
        <v>0</v>
      </c>
      <c r="O4358" s="20">
        <f>+O4357+Movimientos_2026[[#This Row],[Neto]]</f>
        <v>4581558617.7962294</v>
      </c>
    </row>
    <row r="4359" spans="1:15" x14ac:dyDescent="0.25">
      <c r="A4359" s="13"/>
      <c r="B4359" s="12">
        <f>MONTH(Movimientos_2026[[#This Row],[Fecha]])</f>
        <v>1</v>
      </c>
      <c r="C4359" s="12" t="str">
        <f>VLOOKUP((WEEKDAY(Movimientos_2026[[#This Row],[Fecha]],2)),'5. Setup'!$D$6:$E$12,2,FALSE)</f>
        <v>Sab</v>
      </c>
      <c r="E4359" t="str">
        <f>IFERROR(+VLOOKUP(Movimientos_2026[[#This Row],[Codigo]],Plan_cuentas[],2,FALSE)," ")</f>
        <v xml:space="preserve"> </v>
      </c>
      <c r="F4359" t="str">
        <f>IFERROR(+VLOOKUP(Movimientos_2026[[#This Row],[Codigo]],Plan_cuentas[],3,FALSE)," ")</f>
        <v xml:space="preserve"> </v>
      </c>
      <c r="G4359" t="str">
        <f>IFERROR(+VLOOKUP(Movimientos_2026[[#This Row],[Codigo]],Plan_cuentas[],4,FALSE)," ")</f>
        <v xml:space="preserve"> </v>
      </c>
      <c r="H4359" t="str">
        <f>IFERROR(+VLOOKUP(Movimientos_2026[[#This Row],[Codigo]],Plan_cuentas[],5,FALSE)," ")</f>
        <v xml:space="preserve"> </v>
      </c>
      <c r="I4359" s="43"/>
      <c r="K4359" t="str">
        <f>IFERROR(+VLOOKUP(Movimientos_2026[[#This Row],[Codigo]],Plan_cuentas[],6,FALSE)," ")</f>
        <v xml:space="preserve"> </v>
      </c>
      <c r="L4359" s="50"/>
      <c r="M4359" s="50"/>
      <c r="N4359" s="20">
        <f>+Movimientos_2026[[#This Row],[Ingresos]]-Movimientos_2026[[#This Row],[Egresos]]</f>
        <v>0</v>
      </c>
      <c r="O4359" s="20">
        <f>+O4358+Movimientos_2026[[#This Row],[Neto]]</f>
        <v>4581558617.7962294</v>
      </c>
    </row>
    <row r="4360" spans="1:15" x14ac:dyDescent="0.25">
      <c r="A4360" s="13"/>
      <c r="B4360" s="12">
        <f>MONTH(Movimientos_2026[[#This Row],[Fecha]])</f>
        <v>1</v>
      </c>
      <c r="C4360" s="12" t="str">
        <f>VLOOKUP((WEEKDAY(Movimientos_2026[[#This Row],[Fecha]],2)),'5. Setup'!$D$6:$E$12,2,FALSE)</f>
        <v>Sab</v>
      </c>
      <c r="E4360" t="str">
        <f>IFERROR(+VLOOKUP(Movimientos_2026[[#This Row],[Codigo]],Plan_cuentas[],2,FALSE)," ")</f>
        <v xml:space="preserve"> </v>
      </c>
      <c r="F4360" t="str">
        <f>IFERROR(+VLOOKUP(Movimientos_2026[[#This Row],[Codigo]],Plan_cuentas[],3,FALSE)," ")</f>
        <v xml:space="preserve"> </v>
      </c>
      <c r="G4360" t="str">
        <f>IFERROR(+VLOOKUP(Movimientos_2026[[#This Row],[Codigo]],Plan_cuentas[],4,FALSE)," ")</f>
        <v xml:space="preserve"> </v>
      </c>
      <c r="H4360" t="str">
        <f>IFERROR(+VLOOKUP(Movimientos_2026[[#This Row],[Codigo]],Plan_cuentas[],5,FALSE)," ")</f>
        <v xml:space="preserve"> </v>
      </c>
      <c r="I4360" s="43"/>
      <c r="K4360" t="str">
        <f>IFERROR(+VLOOKUP(Movimientos_2026[[#This Row],[Codigo]],Plan_cuentas[],6,FALSE)," ")</f>
        <v xml:space="preserve"> </v>
      </c>
      <c r="L4360" s="50"/>
      <c r="M4360" s="50"/>
      <c r="N4360" s="20">
        <f>+Movimientos_2026[[#This Row],[Ingresos]]-Movimientos_2026[[#This Row],[Egresos]]</f>
        <v>0</v>
      </c>
      <c r="O4360" s="20">
        <f>+O4359+Movimientos_2026[[#This Row],[Neto]]</f>
        <v>4581558617.7962294</v>
      </c>
    </row>
    <row r="4361" spans="1:15" x14ac:dyDescent="0.25">
      <c r="A4361" s="13"/>
      <c r="B4361" s="12">
        <f>MONTH(Movimientos_2026[[#This Row],[Fecha]])</f>
        <v>1</v>
      </c>
      <c r="C4361" s="12" t="str">
        <f>VLOOKUP((WEEKDAY(Movimientos_2026[[#This Row],[Fecha]],2)),'5. Setup'!$D$6:$E$12,2,FALSE)</f>
        <v>Sab</v>
      </c>
      <c r="E4361" t="str">
        <f>IFERROR(+VLOOKUP(Movimientos_2026[[#This Row],[Codigo]],Plan_cuentas[],2,FALSE)," ")</f>
        <v xml:space="preserve"> </v>
      </c>
      <c r="F4361" t="str">
        <f>IFERROR(+VLOOKUP(Movimientos_2026[[#This Row],[Codigo]],Plan_cuentas[],3,FALSE)," ")</f>
        <v xml:space="preserve"> </v>
      </c>
      <c r="G4361" t="str">
        <f>IFERROR(+VLOOKUP(Movimientos_2026[[#This Row],[Codigo]],Plan_cuentas[],4,FALSE)," ")</f>
        <v xml:space="preserve"> </v>
      </c>
      <c r="H4361" t="str">
        <f>IFERROR(+VLOOKUP(Movimientos_2026[[#This Row],[Codigo]],Plan_cuentas[],5,FALSE)," ")</f>
        <v xml:space="preserve"> </v>
      </c>
      <c r="I4361" s="43"/>
      <c r="K4361" t="str">
        <f>IFERROR(+VLOOKUP(Movimientos_2026[[#This Row],[Codigo]],Plan_cuentas[],6,FALSE)," ")</f>
        <v xml:space="preserve"> </v>
      </c>
      <c r="L4361" s="50"/>
      <c r="M4361" s="50"/>
      <c r="N4361" s="20">
        <f>+Movimientos_2026[[#This Row],[Ingresos]]-Movimientos_2026[[#This Row],[Egresos]]</f>
        <v>0</v>
      </c>
      <c r="O4361" s="20">
        <f>+O4360+Movimientos_2026[[#This Row],[Neto]]</f>
        <v>4581558617.7962294</v>
      </c>
    </row>
    <row r="4362" spans="1:15" x14ac:dyDescent="0.25">
      <c r="A4362" s="13"/>
      <c r="B4362" s="12">
        <f>MONTH(Movimientos_2026[[#This Row],[Fecha]])</f>
        <v>1</v>
      </c>
      <c r="C4362" s="12" t="str">
        <f>VLOOKUP((WEEKDAY(Movimientos_2026[[#This Row],[Fecha]],2)),'5. Setup'!$D$6:$E$12,2,FALSE)</f>
        <v>Sab</v>
      </c>
      <c r="E4362" t="str">
        <f>IFERROR(+VLOOKUP(Movimientos_2026[[#This Row],[Codigo]],Plan_cuentas[],2,FALSE)," ")</f>
        <v xml:space="preserve"> </v>
      </c>
      <c r="F4362" t="str">
        <f>IFERROR(+VLOOKUP(Movimientos_2026[[#This Row],[Codigo]],Plan_cuentas[],3,FALSE)," ")</f>
        <v xml:space="preserve"> </v>
      </c>
      <c r="G4362" t="str">
        <f>IFERROR(+VLOOKUP(Movimientos_2026[[#This Row],[Codigo]],Plan_cuentas[],4,FALSE)," ")</f>
        <v xml:space="preserve"> </v>
      </c>
      <c r="H4362" t="str">
        <f>IFERROR(+VLOOKUP(Movimientos_2026[[#This Row],[Codigo]],Plan_cuentas[],5,FALSE)," ")</f>
        <v xml:space="preserve"> </v>
      </c>
      <c r="I4362" s="43"/>
      <c r="K4362" t="str">
        <f>IFERROR(+VLOOKUP(Movimientos_2026[[#This Row],[Codigo]],Plan_cuentas[],6,FALSE)," ")</f>
        <v xml:space="preserve"> </v>
      </c>
      <c r="L4362" s="50"/>
      <c r="M4362" s="50"/>
      <c r="N4362" s="20">
        <f>+Movimientos_2026[[#This Row],[Ingresos]]-Movimientos_2026[[#This Row],[Egresos]]</f>
        <v>0</v>
      </c>
      <c r="O4362" s="20">
        <f>+O4361+Movimientos_2026[[#This Row],[Neto]]</f>
        <v>4581558617.7962294</v>
      </c>
    </row>
    <row r="4363" spans="1:15" x14ac:dyDescent="0.25">
      <c r="A4363" s="13"/>
      <c r="B4363" s="12">
        <f>MONTH(Movimientos_2026[[#This Row],[Fecha]])</f>
        <v>1</v>
      </c>
      <c r="C4363" s="12" t="str">
        <f>VLOOKUP((WEEKDAY(Movimientos_2026[[#This Row],[Fecha]],2)),'5. Setup'!$D$6:$E$12,2,FALSE)</f>
        <v>Sab</v>
      </c>
      <c r="E4363" t="str">
        <f>IFERROR(+VLOOKUP(Movimientos_2026[[#This Row],[Codigo]],Plan_cuentas[],2,FALSE)," ")</f>
        <v xml:space="preserve"> </v>
      </c>
      <c r="F4363" t="str">
        <f>IFERROR(+VLOOKUP(Movimientos_2026[[#This Row],[Codigo]],Plan_cuentas[],3,FALSE)," ")</f>
        <v xml:space="preserve"> </v>
      </c>
      <c r="G4363" t="str">
        <f>IFERROR(+VLOOKUP(Movimientos_2026[[#This Row],[Codigo]],Plan_cuentas[],4,FALSE)," ")</f>
        <v xml:space="preserve"> </v>
      </c>
      <c r="H4363" t="str">
        <f>IFERROR(+VLOOKUP(Movimientos_2026[[#This Row],[Codigo]],Plan_cuentas[],5,FALSE)," ")</f>
        <v xml:space="preserve"> </v>
      </c>
      <c r="I4363" s="43"/>
      <c r="K4363" t="str">
        <f>IFERROR(+VLOOKUP(Movimientos_2026[[#This Row],[Codigo]],Plan_cuentas[],6,FALSE)," ")</f>
        <v xml:space="preserve"> </v>
      </c>
      <c r="L4363" s="50"/>
      <c r="M4363" s="50"/>
      <c r="N4363" s="20">
        <f>+Movimientos_2026[[#This Row],[Ingresos]]-Movimientos_2026[[#This Row],[Egresos]]</f>
        <v>0</v>
      </c>
      <c r="O4363" s="20">
        <f>+O4362+Movimientos_2026[[#This Row],[Neto]]</f>
        <v>4581558617.7962294</v>
      </c>
    </row>
    <row r="4364" spans="1:15" x14ac:dyDescent="0.25">
      <c r="A4364" s="13"/>
      <c r="B4364" s="12">
        <f>MONTH(Movimientos_2026[[#This Row],[Fecha]])</f>
        <v>1</v>
      </c>
      <c r="C4364" s="12" t="str">
        <f>VLOOKUP((WEEKDAY(Movimientos_2026[[#This Row],[Fecha]],2)),'5. Setup'!$D$6:$E$12,2,FALSE)</f>
        <v>Sab</v>
      </c>
      <c r="E4364" t="str">
        <f>IFERROR(+VLOOKUP(Movimientos_2026[[#This Row],[Codigo]],Plan_cuentas[],2,FALSE)," ")</f>
        <v xml:space="preserve"> </v>
      </c>
      <c r="F4364" t="str">
        <f>IFERROR(+VLOOKUP(Movimientos_2026[[#This Row],[Codigo]],Plan_cuentas[],3,FALSE)," ")</f>
        <v xml:space="preserve"> </v>
      </c>
      <c r="G4364" t="str">
        <f>IFERROR(+VLOOKUP(Movimientos_2026[[#This Row],[Codigo]],Plan_cuentas[],4,FALSE)," ")</f>
        <v xml:space="preserve"> </v>
      </c>
      <c r="H4364" t="str">
        <f>IFERROR(+VLOOKUP(Movimientos_2026[[#This Row],[Codigo]],Plan_cuentas[],5,FALSE)," ")</f>
        <v xml:space="preserve"> </v>
      </c>
      <c r="I4364" s="43"/>
      <c r="K4364" t="str">
        <f>IFERROR(+VLOOKUP(Movimientos_2026[[#This Row],[Codigo]],Plan_cuentas[],6,FALSE)," ")</f>
        <v xml:space="preserve"> </v>
      </c>
      <c r="L4364" s="50"/>
      <c r="M4364" s="50"/>
      <c r="N4364" s="20">
        <f>+Movimientos_2026[[#This Row],[Ingresos]]-Movimientos_2026[[#This Row],[Egresos]]</f>
        <v>0</v>
      </c>
      <c r="O4364" s="20">
        <f>+O4363+Movimientos_2026[[#This Row],[Neto]]</f>
        <v>4581558617.7962294</v>
      </c>
    </row>
    <row r="4365" spans="1:15" x14ac:dyDescent="0.25">
      <c r="A4365" s="13"/>
      <c r="B4365" s="12">
        <f>MONTH(Movimientos_2026[[#This Row],[Fecha]])</f>
        <v>1</v>
      </c>
      <c r="C4365" s="12" t="str">
        <f>VLOOKUP((WEEKDAY(Movimientos_2026[[#This Row],[Fecha]],2)),'5. Setup'!$D$6:$E$12,2,FALSE)</f>
        <v>Sab</v>
      </c>
      <c r="E4365" t="str">
        <f>IFERROR(+VLOOKUP(Movimientos_2026[[#This Row],[Codigo]],Plan_cuentas[],2,FALSE)," ")</f>
        <v xml:space="preserve"> </v>
      </c>
      <c r="F4365" t="str">
        <f>IFERROR(+VLOOKUP(Movimientos_2026[[#This Row],[Codigo]],Plan_cuentas[],3,FALSE)," ")</f>
        <v xml:space="preserve"> </v>
      </c>
      <c r="G4365" t="str">
        <f>IFERROR(+VLOOKUP(Movimientos_2026[[#This Row],[Codigo]],Plan_cuentas[],4,FALSE)," ")</f>
        <v xml:space="preserve"> </v>
      </c>
      <c r="H4365" t="str">
        <f>IFERROR(+VLOOKUP(Movimientos_2026[[#This Row],[Codigo]],Plan_cuentas[],5,FALSE)," ")</f>
        <v xml:space="preserve"> </v>
      </c>
      <c r="I4365" s="43"/>
      <c r="K4365" t="str">
        <f>IFERROR(+VLOOKUP(Movimientos_2026[[#This Row],[Codigo]],Plan_cuentas[],6,FALSE)," ")</f>
        <v xml:space="preserve"> </v>
      </c>
      <c r="L4365" s="50"/>
      <c r="M4365" s="50"/>
      <c r="N4365" s="20">
        <f>+Movimientos_2026[[#This Row],[Ingresos]]-Movimientos_2026[[#This Row],[Egresos]]</f>
        <v>0</v>
      </c>
      <c r="O4365" s="20">
        <f>+O4364+Movimientos_2026[[#This Row],[Neto]]</f>
        <v>4581558617.7962294</v>
      </c>
    </row>
    <row r="4366" spans="1:15" x14ac:dyDescent="0.25">
      <c r="A4366" s="13"/>
      <c r="B4366" s="12">
        <f>MONTH(Movimientos_2026[[#This Row],[Fecha]])</f>
        <v>1</v>
      </c>
      <c r="C4366" s="12" t="str">
        <f>VLOOKUP((WEEKDAY(Movimientos_2026[[#This Row],[Fecha]],2)),'5. Setup'!$D$6:$E$12,2,FALSE)</f>
        <v>Sab</v>
      </c>
      <c r="E4366" t="str">
        <f>IFERROR(+VLOOKUP(Movimientos_2026[[#This Row],[Codigo]],Plan_cuentas[],2,FALSE)," ")</f>
        <v xml:space="preserve"> </v>
      </c>
      <c r="F4366" t="str">
        <f>IFERROR(+VLOOKUP(Movimientos_2026[[#This Row],[Codigo]],Plan_cuentas[],3,FALSE)," ")</f>
        <v xml:space="preserve"> </v>
      </c>
      <c r="G4366" t="str">
        <f>IFERROR(+VLOOKUP(Movimientos_2026[[#This Row],[Codigo]],Plan_cuentas[],4,FALSE)," ")</f>
        <v xml:space="preserve"> </v>
      </c>
      <c r="H4366" t="str">
        <f>IFERROR(+VLOOKUP(Movimientos_2026[[#This Row],[Codigo]],Plan_cuentas[],5,FALSE)," ")</f>
        <v xml:space="preserve"> </v>
      </c>
      <c r="I4366" s="43"/>
      <c r="K4366" t="str">
        <f>IFERROR(+VLOOKUP(Movimientos_2026[[#This Row],[Codigo]],Plan_cuentas[],6,FALSE)," ")</f>
        <v xml:space="preserve"> </v>
      </c>
      <c r="L4366" s="50"/>
      <c r="M4366" s="50"/>
      <c r="N4366" s="20">
        <f>+Movimientos_2026[[#This Row],[Ingresos]]-Movimientos_2026[[#This Row],[Egresos]]</f>
        <v>0</v>
      </c>
      <c r="O4366" s="20">
        <f>+O4365+Movimientos_2026[[#This Row],[Neto]]</f>
        <v>4581558617.7962294</v>
      </c>
    </row>
    <row r="4367" spans="1:15" x14ac:dyDescent="0.25">
      <c r="A4367" s="13"/>
      <c r="B4367" s="12">
        <f>MONTH(Movimientos_2026[[#This Row],[Fecha]])</f>
        <v>1</v>
      </c>
      <c r="C4367" s="12" t="str">
        <f>VLOOKUP((WEEKDAY(Movimientos_2026[[#This Row],[Fecha]],2)),'5. Setup'!$D$6:$E$12,2,FALSE)</f>
        <v>Sab</v>
      </c>
      <c r="E4367" t="str">
        <f>IFERROR(+VLOOKUP(Movimientos_2026[[#This Row],[Codigo]],Plan_cuentas[],2,FALSE)," ")</f>
        <v xml:space="preserve"> </v>
      </c>
      <c r="F4367" t="str">
        <f>IFERROR(+VLOOKUP(Movimientos_2026[[#This Row],[Codigo]],Plan_cuentas[],3,FALSE)," ")</f>
        <v xml:space="preserve"> </v>
      </c>
      <c r="G4367" t="str">
        <f>IFERROR(+VLOOKUP(Movimientos_2026[[#This Row],[Codigo]],Plan_cuentas[],4,FALSE)," ")</f>
        <v xml:space="preserve"> </v>
      </c>
      <c r="H4367" t="str">
        <f>IFERROR(+VLOOKUP(Movimientos_2026[[#This Row],[Codigo]],Plan_cuentas[],5,FALSE)," ")</f>
        <v xml:space="preserve"> </v>
      </c>
      <c r="I4367" s="43"/>
      <c r="K4367" t="str">
        <f>IFERROR(+VLOOKUP(Movimientos_2026[[#This Row],[Codigo]],Plan_cuentas[],6,FALSE)," ")</f>
        <v xml:space="preserve"> </v>
      </c>
      <c r="L4367" s="50"/>
      <c r="M4367" s="50"/>
      <c r="N4367" s="20">
        <f>+Movimientos_2026[[#This Row],[Ingresos]]-Movimientos_2026[[#This Row],[Egresos]]</f>
        <v>0</v>
      </c>
      <c r="O4367" s="20">
        <f>+O4366+Movimientos_2026[[#This Row],[Neto]]</f>
        <v>4581558617.7962294</v>
      </c>
    </row>
    <row r="4368" spans="1:15" x14ac:dyDescent="0.25">
      <c r="A4368" s="13"/>
      <c r="B4368" s="12">
        <f>MONTH(Movimientos_2026[[#This Row],[Fecha]])</f>
        <v>1</v>
      </c>
      <c r="C4368" s="12" t="str">
        <f>VLOOKUP((WEEKDAY(Movimientos_2026[[#This Row],[Fecha]],2)),'5. Setup'!$D$6:$E$12,2,FALSE)</f>
        <v>Sab</v>
      </c>
      <c r="E4368" t="str">
        <f>IFERROR(+VLOOKUP(Movimientos_2026[[#This Row],[Codigo]],Plan_cuentas[],2,FALSE)," ")</f>
        <v xml:space="preserve"> </v>
      </c>
      <c r="F4368" t="str">
        <f>IFERROR(+VLOOKUP(Movimientos_2026[[#This Row],[Codigo]],Plan_cuentas[],3,FALSE)," ")</f>
        <v xml:space="preserve"> </v>
      </c>
      <c r="G4368" t="str">
        <f>IFERROR(+VLOOKUP(Movimientos_2026[[#This Row],[Codigo]],Plan_cuentas[],4,FALSE)," ")</f>
        <v xml:space="preserve"> </v>
      </c>
      <c r="H4368" t="str">
        <f>IFERROR(+VLOOKUP(Movimientos_2026[[#This Row],[Codigo]],Plan_cuentas[],5,FALSE)," ")</f>
        <v xml:space="preserve"> </v>
      </c>
      <c r="I4368" s="43"/>
      <c r="K4368" t="str">
        <f>IFERROR(+VLOOKUP(Movimientos_2026[[#This Row],[Codigo]],Plan_cuentas[],6,FALSE)," ")</f>
        <v xml:space="preserve"> </v>
      </c>
      <c r="L4368" s="50"/>
      <c r="M4368" s="50"/>
      <c r="N4368" s="20">
        <f>+Movimientos_2026[[#This Row],[Ingresos]]-Movimientos_2026[[#This Row],[Egresos]]</f>
        <v>0</v>
      </c>
      <c r="O4368" s="20">
        <f>+O4367+Movimientos_2026[[#This Row],[Neto]]</f>
        <v>4581558617.7962294</v>
      </c>
    </row>
    <row r="4369" spans="1:15" x14ac:dyDescent="0.25">
      <c r="A4369" s="13"/>
      <c r="B4369" s="12">
        <f>MONTH(Movimientos_2026[[#This Row],[Fecha]])</f>
        <v>1</v>
      </c>
      <c r="C4369" s="12" t="str">
        <f>VLOOKUP((WEEKDAY(Movimientos_2026[[#This Row],[Fecha]],2)),'5. Setup'!$D$6:$E$12,2,FALSE)</f>
        <v>Sab</v>
      </c>
      <c r="E4369" t="str">
        <f>IFERROR(+VLOOKUP(Movimientos_2026[[#This Row],[Codigo]],Plan_cuentas[],2,FALSE)," ")</f>
        <v xml:space="preserve"> </v>
      </c>
      <c r="F4369" t="str">
        <f>IFERROR(+VLOOKUP(Movimientos_2026[[#This Row],[Codigo]],Plan_cuentas[],3,FALSE)," ")</f>
        <v xml:space="preserve"> </v>
      </c>
      <c r="G4369" t="str">
        <f>IFERROR(+VLOOKUP(Movimientos_2026[[#This Row],[Codigo]],Plan_cuentas[],4,FALSE)," ")</f>
        <v xml:space="preserve"> </v>
      </c>
      <c r="H4369" t="str">
        <f>IFERROR(+VLOOKUP(Movimientos_2026[[#This Row],[Codigo]],Plan_cuentas[],5,FALSE)," ")</f>
        <v xml:space="preserve"> </v>
      </c>
      <c r="I4369" s="43"/>
      <c r="K4369" t="str">
        <f>IFERROR(+VLOOKUP(Movimientos_2026[[#This Row],[Codigo]],Plan_cuentas[],6,FALSE)," ")</f>
        <v xml:space="preserve"> </v>
      </c>
      <c r="L4369" s="50"/>
      <c r="M4369" s="50"/>
      <c r="N4369" s="20">
        <f>+Movimientos_2026[[#This Row],[Ingresos]]-Movimientos_2026[[#This Row],[Egresos]]</f>
        <v>0</v>
      </c>
      <c r="O4369" s="20">
        <f>+O4368+Movimientos_2026[[#This Row],[Neto]]</f>
        <v>4581558617.7962294</v>
      </c>
    </row>
    <row r="4370" spans="1:15" x14ac:dyDescent="0.25">
      <c r="A4370" s="13"/>
      <c r="B4370" s="12">
        <f>MONTH(Movimientos_2026[[#This Row],[Fecha]])</f>
        <v>1</v>
      </c>
      <c r="C4370" s="12" t="str">
        <f>VLOOKUP((WEEKDAY(Movimientos_2026[[#This Row],[Fecha]],2)),'5. Setup'!$D$6:$E$12,2,FALSE)</f>
        <v>Sab</v>
      </c>
      <c r="E4370" t="str">
        <f>IFERROR(+VLOOKUP(Movimientos_2026[[#This Row],[Codigo]],Plan_cuentas[],2,FALSE)," ")</f>
        <v xml:space="preserve"> </v>
      </c>
      <c r="F4370" t="str">
        <f>IFERROR(+VLOOKUP(Movimientos_2026[[#This Row],[Codigo]],Plan_cuentas[],3,FALSE)," ")</f>
        <v xml:space="preserve"> </v>
      </c>
      <c r="G4370" t="str">
        <f>IFERROR(+VLOOKUP(Movimientos_2026[[#This Row],[Codigo]],Plan_cuentas[],4,FALSE)," ")</f>
        <v xml:space="preserve"> </v>
      </c>
      <c r="H4370" t="str">
        <f>IFERROR(+VLOOKUP(Movimientos_2026[[#This Row],[Codigo]],Plan_cuentas[],5,FALSE)," ")</f>
        <v xml:space="preserve"> </v>
      </c>
      <c r="I4370" s="43"/>
      <c r="K4370" t="str">
        <f>IFERROR(+VLOOKUP(Movimientos_2026[[#This Row],[Codigo]],Plan_cuentas[],6,FALSE)," ")</f>
        <v xml:space="preserve"> </v>
      </c>
      <c r="L4370" s="50"/>
      <c r="M4370" s="50"/>
      <c r="N4370" s="20">
        <f>+Movimientos_2026[[#This Row],[Ingresos]]-Movimientos_2026[[#This Row],[Egresos]]</f>
        <v>0</v>
      </c>
      <c r="O4370" s="20">
        <f>+O4369+Movimientos_2026[[#This Row],[Neto]]</f>
        <v>4581558617.7962294</v>
      </c>
    </row>
    <row r="4371" spans="1:15" x14ac:dyDescent="0.25">
      <c r="A4371" s="13"/>
      <c r="B4371" s="12">
        <f>MONTH(Movimientos_2026[[#This Row],[Fecha]])</f>
        <v>1</v>
      </c>
      <c r="C4371" s="12" t="str">
        <f>VLOOKUP((WEEKDAY(Movimientos_2026[[#This Row],[Fecha]],2)),'5. Setup'!$D$6:$E$12,2,FALSE)</f>
        <v>Sab</v>
      </c>
      <c r="E4371" t="str">
        <f>IFERROR(+VLOOKUP(Movimientos_2026[[#This Row],[Codigo]],Plan_cuentas[],2,FALSE)," ")</f>
        <v xml:space="preserve"> </v>
      </c>
      <c r="F4371" t="str">
        <f>IFERROR(+VLOOKUP(Movimientos_2026[[#This Row],[Codigo]],Plan_cuentas[],3,FALSE)," ")</f>
        <v xml:space="preserve"> </v>
      </c>
      <c r="G4371" t="str">
        <f>IFERROR(+VLOOKUP(Movimientos_2026[[#This Row],[Codigo]],Plan_cuentas[],4,FALSE)," ")</f>
        <v xml:space="preserve"> </v>
      </c>
      <c r="H4371" t="str">
        <f>IFERROR(+VLOOKUP(Movimientos_2026[[#This Row],[Codigo]],Plan_cuentas[],5,FALSE)," ")</f>
        <v xml:space="preserve"> </v>
      </c>
      <c r="I4371" s="43"/>
      <c r="K4371" t="str">
        <f>IFERROR(+VLOOKUP(Movimientos_2026[[#This Row],[Codigo]],Plan_cuentas[],6,FALSE)," ")</f>
        <v xml:space="preserve"> </v>
      </c>
      <c r="L4371" s="50"/>
      <c r="M4371" s="50"/>
      <c r="N4371" s="20">
        <f>+Movimientos_2026[[#This Row],[Ingresos]]-Movimientos_2026[[#This Row],[Egresos]]</f>
        <v>0</v>
      </c>
      <c r="O4371" s="20">
        <f>+O4370+Movimientos_2026[[#This Row],[Neto]]</f>
        <v>4581558617.7962294</v>
      </c>
    </row>
    <row r="4372" spans="1:15" x14ac:dyDescent="0.25">
      <c r="A4372" s="13"/>
      <c r="B4372" s="12">
        <f>MONTH(Movimientos_2026[[#This Row],[Fecha]])</f>
        <v>1</v>
      </c>
      <c r="C4372" s="12" t="str">
        <f>VLOOKUP((WEEKDAY(Movimientos_2026[[#This Row],[Fecha]],2)),'5. Setup'!$D$6:$E$12,2,FALSE)</f>
        <v>Sab</v>
      </c>
      <c r="E4372" t="str">
        <f>IFERROR(+VLOOKUP(Movimientos_2026[[#This Row],[Codigo]],Plan_cuentas[],2,FALSE)," ")</f>
        <v xml:space="preserve"> </v>
      </c>
      <c r="F4372" t="str">
        <f>IFERROR(+VLOOKUP(Movimientos_2026[[#This Row],[Codigo]],Plan_cuentas[],3,FALSE)," ")</f>
        <v xml:space="preserve"> </v>
      </c>
      <c r="G4372" t="str">
        <f>IFERROR(+VLOOKUP(Movimientos_2026[[#This Row],[Codigo]],Plan_cuentas[],4,FALSE)," ")</f>
        <v xml:space="preserve"> </v>
      </c>
      <c r="H4372" t="str">
        <f>IFERROR(+VLOOKUP(Movimientos_2026[[#This Row],[Codigo]],Plan_cuentas[],5,FALSE)," ")</f>
        <v xml:space="preserve"> </v>
      </c>
      <c r="I4372" s="43"/>
      <c r="K4372" t="str">
        <f>IFERROR(+VLOOKUP(Movimientos_2026[[#This Row],[Codigo]],Plan_cuentas[],6,FALSE)," ")</f>
        <v xml:space="preserve"> </v>
      </c>
      <c r="L4372" s="50"/>
      <c r="M4372" s="50"/>
      <c r="N4372" s="20">
        <f>+Movimientos_2026[[#This Row],[Ingresos]]-Movimientos_2026[[#This Row],[Egresos]]</f>
        <v>0</v>
      </c>
      <c r="O4372" s="20">
        <f>+O4371+Movimientos_2026[[#This Row],[Neto]]</f>
        <v>4581558617.7962294</v>
      </c>
    </row>
    <row r="4373" spans="1:15" x14ac:dyDescent="0.25">
      <c r="A4373" s="13"/>
      <c r="B4373" s="12">
        <f>MONTH(Movimientos_2026[[#This Row],[Fecha]])</f>
        <v>1</v>
      </c>
      <c r="C4373" s="12" t="str">
        <f>VLOOKUP((WEEKDAY(Movimientos_2026[[#This Row],[Fecha]],2)),'5. Setup'!$D$6:$E$12,2,FALSE)</f>
        <v>Sab</v>
      </c>
      <c r="E4373" t="str">
        <f>IFERROR(+VLOOKUP(Movimientos_2026[[#This Row],[Codigo]],Plan_cuentas[],2,FALSE)," ")</f>
        <v xml:space="preserve"> </v>
      </c>
      <c r="F4373" t="str">
        <f>IFERROR(+VLOOKUP(Movimientos_2026[[#This Row],[Codigo]],Plan_cuentas[],3,FALSE)," ")</f>
        <v xml:space="preserve"> </v>
      </c>
      <c r="G4373" t="str">
        <f>IFERROR(+VLOOKUP(Movimientos_2026[[#This Row],[Codigo]],Plan_cuentas[],4,FALSE)," ")</f>
        <v xml:space="preserve"> </v>
      </c>
      <c r="H4373" t="str">
        <f>IFERROR(+VLOOKUP(Movimientos_2026[[#This Row],[Codigo]],Plan_cuentas[],5,FALSE)," ")</f>
        <v xml:space="preserve"> </v>
      </c>
      <c r="I4373" s="43"/>
      <c r="K4373" t="str">
        <f>IFERROR(+VLOOKUP(Movimientos_2026[[#This Row],[Codigo]],Plan_cuentas[],6,FALSE)," ")</f>
        <v xml:space="preserve"> </v>
      </c>
      <c r="L4373" s="50"/>
      <c r="M4373" s="50"/>
      <c r="N4373" s="20">
        <f>+Movimientos_2026[[#This Row],[Ingresos]]-Movimientos_2026[[#This Row],[Egresos]]</f>
        <v>0</v>
      </c>
      <c r="O4373" s="20">
        <f>+O4372+Movimientos_2026[[#This Row],[Neto]]</f>
        <v>4581558617.7962294</v>
      </c>
    </row>
    <row r="4374" spans="1:15" x14ac:dyDescent="0.25">
      <c r="A4374" s="13"/>
      <c r="B4374" s="12">
        <f>MONTH(Movimientos_2026[[#This Row],[Fecha]])</f>
        <v>1</v>
      </c>
      <c r="C4374" s="12" t="str">
        <f>VLOOKUP((WEEKDAY(Movimientos_2026[[#This Row],[Fecha]],2)),'5. Setup'!$D$6:$E$12,2,FALSE)</f>
        <v>Sab</v>
      </c>
      <c r="E4374" t="str">
        <f>IFERROR(+VLOOKUP(Movimientos_2026[[#This Row],[Codigo]],Plan_cuentas[],2,FALSE)," ")</f>
        <v xml:space="preserve"> </v>
      </c>
      <c r="F4374" t="str">
        <f>IFERROR(+VLOOKUP(Movimientos_2026[[#This Row],[Codigo]],Plan_cuentas[],3,FALSE)," ")</f>
        <v xml:space="preserve"> </v>
      </c>
      <c r="G4374" t="str">
        <f>IFERROR(+VLOOKUP(Movimientos_2026[[#This Row],[Codigo]],Plan_cuentas[],4,FALSE)," ")</f>
        <v xml:space="preserve"> </v>
      </c>
      <c r="H4374" t="str">
        <f>IFERROR(+VLOOKUP(Movimientos_2026[[#This Row],[Codigo]],Plan_cuentas[],5,FALSE)," ")</f>
        <v xml:space="preserve"> </v>
      </c>
      <c r="I4374" s="43"/>
      <c r="K4374" t="str">
        <f>IFERROR(+VLOOKUP(Movimientos_2026[[#This Row],[Codigo]],Plan_cuentas[],6,FALSE)," ")</f>
        <v xml:space="preserve"> </v>
      </c>
      <c r="L4374" s="50"/>
      <c r="M4374" s="50"/>
      <c r="N4374" s="20">
        <f>+Movimientos_2026[[#This Row],[Ingresos]]-Movimientos_2026[[#This Row],[Egresos]]</f>
        <v>0</v>
      </c>
      <c r="O4374" s="20">
        <f>+O4373+Movimientos_2026[[#This Row],[Neto]]</f>
        <v>4581558617.7962294</v>
      </c>
    </row>
    <row r="4375" spans="1:15" x14ac:dyDescent="0.25">
      <c r="A4375" s="13"/>
      <c r="B4375" s="12">
        <f>MONTH(Movimientos_2026[[#This Row],[Fecha]])</f>
        <v>1</v>
      </c>
      <c r="C4375" s="12" t="str">
        <f>VLOOKUP((WEEKDAY(Movimientos_2026[[#This Row],[Fecha]],2)),'5. Setup'!$D$6:$E$12,2,FALSE)</f>
        <v>Sab</v>
      </c>
      <c r="E4375" t="str">
        <f>IFERROR(+VLOOKUP(Movimientos_2026[[#This Row],[Codigo]],Plan_cuentas[],2,FALSE)," ")</f>
        <v xml:space="preserve"> </v>
      </c>
      <c r="F4375" t="str">
        <f>IFERROR(+VLOOKUP(Movimientos_2026[[#This Row],[Codigo]],Plan_cuentas[],3,FALSE)," ")</f>
        <v xml:space="preserve"> </v>
      </c>
      <c r="G4375" t="str">
        <f>IFERROR(+VLOOKUP(Movimientos_2026[[#This Row],[Codigo]],Plan_cuentas[],4,FALSE)," ")</f>
        <v xml:space="preserve"> </v>
      </c>
      <c r="H4375" t="str">
        <f>IFERROR(+VLOOKUP(Movimientos_2026[[#This Row],[Codigo]],Plan_cuentas[],5,FALSE)," ")</f>
        <v xml:space="preserve"> </v>
      </c>
      <c r="I4375" s="43"/>
      <c r="K4375" t="str">
        <f>IFERROR(+VLOOKUP(Movimientos_2026[[#This Row],[Codigo]],Plan_cuentas[],6,FALSE)," ")</f>
        <v xml:space="preserve"> </v>
      </c>
      <c r="L4375" s="50"/>
      <c r="M4375" s="50"/>
      <c r="N4375" s="20">
        <f>+Movimientos_2026[[#This Row],[Ingresos]]-Movimientos_2026[[#This Row],[Egresos]]</f>
        <v>0</v>
      </c>
      <c r="O4375" s="20">
        <f>+O4374+Movimientos_2026[[#This Row],[Neto]]</f>
        <v>4581558617.7962294</v>
      </c>
    </row>
    <row r="4376" spans="1:15" x14ac:dyDescent="0.25">
      <c r="A4376" s="13"/>
      <c r="B4376" s="12">
        <f>MONTH(Movimientos_2026[[#This Row],[Fecha]])</f>
        <v>1</v>
      </c>
      <c r="C4376" s="12" t="str">
        <f>VLOOKUP((WEEKDAY(Movimientos_2026[[#This Row],[Fecha]],2)),'5. Setup'!$D$6:$E$12,2,FALSE)</f>
        <v>Sab</v>
      </c>
      <c r="E4376" t="str">
        <f>IFERROR(+VLOOKUP(Movimientos_2026[[#This Row],[Codigo]],Plan_cuentas[],2,FALSE)," ")</f>
        <v xml:space="preserve"> </v>
      </c>
      <c r="F4376" t="str">
        <f>IFERROR(+VLOOKUP(Movimientos_2026[[#This Row],[Codigo]],Plan_cuentas[],3,FALSE)," ")</f>
        <v xml:space="preserve"> </v>
      </c>
      <c r="G4376" t="str">
        <f>IFERROR(+VLOOKUP(Movimientos_2026[[#This Row],[Codigo]],Plan_cuentas[],4,FALSE)," ")</f>
        <v xml:space="preserve"> </v>
      </c>
      <c r="H4376" t="str">
        <f>IFERROR(+VLOOKUP(Movimientos_2026[[#This Row],[Codigo]],Plan_cuentas[],5,FALSE)," ")</f>
        <v xml:space="preserve"> </v>
      </c>
      <c r="I4376" s="43"/>
      <c r="K4376" t="str">
        <f>IFERROR(+VLOOKUP(Movimientos_2026[[#This Row],[Codigo]],Plan_cuentas[],6,FALSE)," ")</f>
        <v xml:space="preserve"> </v>
      </c>
      <c r="L4376" s="50"/>
      <c r="M4376" s="50"/>
      <c r="N4376" s="20">
        <f>+Movimientos_2026[[#This Row],[Ingresos]]-Movimientos_2026[[#This Row],[Egresos]]</f>
        <v>0</v>
      </c>
      <c r="O4376" s="20">
        <f>+O4375+Movimientos_2026[[#This Row],[Neto]]</f>
        <v>4581558617.7962294</v>
      </c>
    </row>
    <row r="4377" spans="1:15" x14ac:dyDescent="0.25">
      <c r="A4377" s="13"/>
      <c r="B4377" s="12">
        <f>MONTH(Movimientos_2026[[#This Row],[Fecha]])</f>
        <v>1</v>
      </c>
      <c r="C4377" s="12" t="str">
        <f>VLOOKUP((WEEKDAY(Movimientos_2026[[#This Row],[Fecha]],2)),'5. Setup'!$D$6:$E$12,2,FALSE)</f>
        <v>Sab</v>
      </c>
      <c r="E4377" t="str">
        <f>IFERROR(+VLOOKUP(Movimientos_2026[[#This Row],[Codigo]],Plan_cuentas[],2,FALSE)," ")</f>
        <v xml:space="preserve"> </v>
      </c>
      <c r="F4377" t="str">
        <f>IFERROR(+VLOOKUP(Movimientos_2026[[#This Row],[Codigo]],Plan_cuentas[],3,FALSE)," ")</f>
        <v xml:space="preserve"> </v>
      </c>
      <c r="G4377" t="str">
        <f>IFERROR(+VLOOKUP(Movimientos_2026[[#This Row],[Codigo]],Plan_cuentas[],4,FALSE)," ")</f>
        <v xml:space="preserve"> </v>
      </c>
      <c r="H4377" t="str">
        <f>IFERROR(+VLOOKUP(Movimientos_2026[[#This Row],[Codigo]],Plan_cuentas[],5,FALSE)," ")</f>
        <v xml:space="preserve"> </v>
      </c>
      <c r="I4377" s="43"/>
      <c r="K4377" t="str">
        <f>IFERROR(+VLOOKUP(Movimientos_2026[[#This Row],[Codigo]],Plan_cuentas[],6,FALSE)," ")</f>
        <v xml:space="preserve"> </v>
      </c>
      <c r="L4377" s="50"/>
      <c r="M4377" s="50"/>
      <c r="N4377" s="20">
        <f>+Movimientos_2026[[#This Row],[Ingresos]]-Movimientos_2026[[#This Row],[Egresos]]</f>
        <v>0</v>
      </c>
      <c r="O4377" s="20">
        <f>+O4376+Movimientos_2026[[#This Row],[Neto]]</f>
        <v>4581558617.7962294</v>
      </c>
    </row>
    <row r="4378" spans="1:15" x14ac:dyDescent="0.25">
      <c r="A4378" s="13"/>
      <c r="B4378" s="12">
        <f>MONTH(Movimientos_2026[[#This Row],[Fecha]])</f>
        <v>1</v>
      </c>
      <c r="C4378" s="12" t="str">
        <f>VLOOKUP((WEEKDAY(Movimientos_2026[[#This Row],[Fecha]],2)),'5. Setup'!$D$6:$E$12,2,FALSE)</f>
        <v>Sab</v>
      </c>
      <c r="E4378" t="str">
        <f>IFERROR(+VLOOKUP(Movimientos_2026[[#This Row],[Codigo]],Plan_cuentas[],2,FALSE)," ")</f>
        <v xml:space="preserve"> </v>
      </c>
      <c r="F4378" t="str">
        <f>IFERROR(+VLOOKUP(Movimientos_2026[[#This Row],[Codigo]],Plan_cuentas[],3,FALSE)," ")</f>
        <v xml:space="preserve"> </v>
      </c>
      <c r="G4378" t="str">
        <f>IFERROR(+VLOOKUP(Movimientos_2026[[#This Row],[Codigo]],Plan_cuentas[],4,FALSE)," ")</f>
        <v xml:space="preserve"> </v>
      </c>
      <c r="H4378" t="str">
        <f>IFERROR(+VLOOKUP(Movimientos_2026[[#This Row],[Codigo]],Plan_cuentas[],5,FALSE)," ")</f>
        <v xml:space="preserve"> </v>
      </c>
      <c r="I4378" s="43"/>
      <c r="K4378" t="str">
        <f>IFERROR(+VLOOKUP(Movimientos_2026[[#This Row],[Codigo]],Plan_cuentas[],6,FALSE)," ")</f>
        <v xml:space="preserve"> </v>
      </c>
      <c r="L4378" s="50"/>
      <c r="M4378" s="50"/>
      <c r="N4378" s="20">
        <f>+Movimientos_2026[[#This Row],[Ingresos]]-Movimientos_2026[[#This Row],[Egresos]]</f>
        <v>0</v>
      </c>
      <c r="O4378" s="20">
        <f>+O4377+Movimientos_2026[[#This Row],[Neto]]</f>
        <v>4581558617.7962294</v>
      </c>
    </row>
    <row r="4379" spans="1:15" x14ac:dyDescent="0.25">
      <c r="A4379" s="13"/>
      <c r="B4379" s="12">
        <f>MONTH(Movimientos_2026[[#This Row],[Fecha]])</f>
        <v>1</v>
      </c>
      <c r="C4379" s="12" t="str">
        <f>VLOOKUP((WEEKDAY(Movimientos_2026[[#This Row],[Fecha]],2)),'5. Setup'!$D$6:$E$12,2,FALSE)</f>
        <v>Sab</v>
      </c>
      <c r="E4379" t="str">
        <f>IFERROR(+VLOOKUP(Movimientos_2026[[#This Row],[Codigo]],Plan_cuentas[],2,FALSE)," ")</f>
        <v xml:space="preserve"> </v>
      </c>
      <c r="F4379" t="str">
        <f>IFERROR(+VLOOKUP(Movimientos_2026[[#This Row],[Codigo]],Plan_cuentas[],3,FALSE)," ")</f>
        <v xml:space="preserve"> </v>
      </c>
      <c r="G4379" t="str">
        <f>IFERROR(+VLOOKUP(Movimientos_2026[[#This Row],[Codigo]],Plan_cuentas[],4,FALSE)," ")</f>
        <v xml:space="preserve"> </v>
      </c>
      <c r="H4379" t="str">
        <f>IFERROR(+VLOOKUP(Movimientos_2026[[#This Row],[Codigo]],Plan_cuentas[],5,FALSE)," ")</f>
        <v xml:space="preserve"> </v>
      </c>
      <c r="I4379" s="43"/>
      <c r="K4379" t="str">
        <f>IFERROR(+VLOOKUP(Movimientos_2026[[#This Row],[Codigo]],Plan_cuentas[],6,FALSE)," ")</f>
        <v xml:space="preserve"> </v>
      </c>
      <c r="L4379" s="50"/>
      <c r="M4379" s="50"/>
      <c r="N4379" s="20">
        <f>+Movimientos_2026[[#This Row],[Ingresos]]-Movimientos_2026[[#This Row],[Egresos]]</f>
        <v>0</v>
      </c>
      <c r="O4379" s="20">
        <f>+O4378+Movimientos_2026[[#This Row],[Neto]]</f>
        <v>4581558617.7962294</v>
      </c>
    </row>
    <row r="4380" spans="1:15" x14ac:dyDescent="0.25">
      <c r="A4380" s="13"/>
      <c r="B4380" s="12">
        <f>MONTH(Movimientos_2026[[#This Row],[Fecha]])</f>
        <v>1</v>
      </c>
      <c r="C4380" s="12" t="str">
        <f>VLOOKUP((WEEKDAY(Movimientos_2026[[#This Row],[Fecha]],2)),'5. Setup'!$D$6:$E$12,2,FALSE)</f>
        <v>Sab</v>
      </c>
      <c r="E4380" t="str">
        <f>IFERROR(+VLOOKUP(Movimientos_2026[[#This Row],[Codigo]],Plan_cuentas[],2,FALSE)," ")</f>
        <v xml:space="preserve"> </v>
      </c>
      <c r="F4380" t="str">
        <f>IFERROR(+VLOOKUP(Movimientos_2026[[#This Row],[Codigo]],Plan_cuentas[],3,FALSE)," ")</f>
        <v xml:space="preserve"> </v>
      </c>
      <c r="G4380" t="str">
        <f>IFERROR(+VLOOKUP(Movimientos_2026[[#This Row],[Codigo]],Plan_cuentas[],4,FALSE)," ")</f>
        <v xml:space="preserve"> </v>
      </c>
      <c r="H4380" t="str">
        <f>IFERROR(+VLOOKUP(Movimientos_2026[[#This Row],[Codigo]],Plan_cuentas[],5,FALSE)," ")</f>
        <v xml:space="preserve"> </v>
      </c>
      <c r="I4380" s="43"/>
      <c r="K4380" t="str">
        <f>IFERROR(+VLOOKUP(Movimientos_2026[[#This Row],[Codigo]],Plan_cuentas[],6,FALSE)," ")</f>
        <v xml:space="preserve"> </v>
      </c>
      <c r="L4380" s="50"/>
      <c r="M4380" s="50"/>
      <c r="N4380" s="20">
        <f>+Movimientos_2026[[#This Row],[Ingresos]]-Movimientos_2026[[#This Row],[Egresos]]</f>
        <v>0</v>
      </c>
      <c r="O4380" s="20">
        <f>+O4379+Movimientos_2026[[#This Row],[Neto]]</f>
        <v>4581558617.7962294</v>
      </c>
    </row>
    <row r="4381" spans="1:15" x14ac:dyDescent="0.25">
      <c r="A4381" s="13"/>
      <c r="B4381" s="12">
        <f>MONTH(Movimientos_2026[[#This Row],[Fecha]])</f>
        <v>1</v>
      </c>
      <c r="C4381" s="12" t="str">
        <f>VLOOKUP((WEEKDAY(Movimientos_2026[[#This Row],[Fecha]],2)),'5. Setup'!$D$6:$E$12,2,FALSE)</f>
        <v>Sab</v>
      </c>
      <c r="E4381" t="str">
        <f>IFERROR(+VLOOKUP(Movimientos_2026[[#This Row],[Codigo]],Plan_cuentas[],2,FALSE)," ")</f>
        <v xml:space="preserve"> </v>
      </c>
      <c r="F4381" t="str">
        <f>IFERROR(+VLOOKUP(Movimientos_2026[[#This Row],[Codigo]],Plan_cuentas[],3,FALSE)," ")</f>
        <v xml:space="preserve"> </v>
      </c>
      <c r="G4381" t="str">
        <f>IFERROR(+VLOOKUP(Movimientos_2026[[#This Row],[Codigo]],Plan_cuentas[],4,FALSE)," ")</f>
        <v xml:space="preserve"> </v>
      </c>
      <c r="H4381" t="str">
        <f>IFERROR(+VLOOKUP(Movimientos_2026[[#This Row],[Codigo]],Plan_cuentas[],5,FALSE)," ")</f>
        <v xml:space="preserve"> </v>
      </c>
      <c r="I4381" s="43"/>
      <c r="K4381" t="str">
        <f>IFERROR(+VLOOKUP(Movimientos_2026[[#This Row],[Codigo]],Plan_cuentas[],6,FALSE)," ")</f>
        <v xml:space="preserve"> </v>
      </c>
      <c r="L4381" s="50"/>
      <c r="M4381" s="50"/>
      <c r="N4381" s="20">
        <f>+Movimientos_2026[[#This Row],[Ingresos]]-Movimientos_2026[[#This Row],[Egresos]]</f>
        <v>0</v>
      </c>
      <c r="O4381" s="20">
        <f>+O4380+Movimientos_2026[[#This Row],[Neto]]</f>
        <v>4581558617.7962294</v>
      </c>
    </row>
    <row r="4382" spans="1:15" x14ac:dyDescent="0.25">
      <c r="A4382" s="13"/>
      <c r="B4382" s="12">
        <f>MONTH(Movimientos_2026[[#This Row],[Fecha]])</f>
        <v>1</v>
      </c>
      <c r="C4382" s="12" t="str">
        <f>VLOOKUP((WEEKDAY(Movimientos_2026[[#This Row],[Fecha]],2)),'5. Setup'!$D$6:$E$12,2,FALSE)</f>
        <v>Sab</v>
      </c>
      <c r="E4382" t="str">
        <f>IFERROR(+VLOOKUP(Movimientos_2026[[#This Row],[Codigo]],Plan_cuentas[],2,FALSE)," ")</f>
        <v xml:space="preserve"> </v>
      </c>
      <c r="F4382" t="str">
        <f>IFERROR(+VLOOKUP(Movimientos_2026[[#This Row],[Codigo]],Plan_cuentas[],3,FALSE)," ")</f>
        <v xml:space="preserve"> </v>
      </c>
      <c r="G4382" t="str">
        <f>IFERROR(+VLOOKUP(Movimientos_2026[[#This Row],[Codigo]],Plan_cuentas[],4,FALSE)," ")</f>
        <v xml:space="preserve"> </v>
      </c>
      <c r="H4382" t="str">
        <f>IFERROR(+VLOOKUP(Movimientos_2026[[#This Row],[Codigo]],Plan_cuentas[],5,FALSE)," ")</f>
        <v xml:space="preserve"> </v>
      </c>
      <c r="I4382" s="43"/>
      <c r="K4382" t="str">
        <f>IFERROR(+VLOOKUP(Movimientos_2026[[#This Row],[Codigo]],Plan_cuentas[],6,FALSE)," ")</f>
        <v xml:space="preserve"> </v>
      </c>
      <c r="L4382" s="50"/>
      <c r="M4382" s="50"/>
      <c r="N4382" s="20">
        <f>+Movimientos_2026[[#This Row],[Ingresos]]-Movimientos_2026[[#This Row],[Egresos]]</f>
        <v>0</v>
      </c>
      <c r="O4382" s="20">
        <f>+O4381+Movimientos_2026[[#This Row],[Neto]]</f>
        <v>4581558617.7962294</v>
      </c>
    </row>
    <row r="4383" spans="1:15" x14ac:dyDescent="0.25">
      <c r="A4383" s="13"/>
      <c r="B4383" s="12">
        <f>MONTH(Movimientos_2026[[#This Row],[Fecha]])</f>
        <v>1</v>
      </c>
      <c r="C4383" s="12" t="str">
        <f>VLOOKUP((WEEKDAY(Movimientos_2026[[#This Row],[Fecha]],2)),'5. Setup'!$D$6:$E$12,2,FALSE)</f>
        <v>Sab</v>
      </c>
      <c r="E4383" t="str">
        <f>IFERROR(+VLOOKUP(Movimientos_2026[[#This Row],[Codigo]],Plan_cuentas[],2,FALSE)," ")</f>
        <v xml:space="preserve"> </v>
      </c>
      <c r="F4383" t="str">
        <f>IFERROR(+VLOOKUP(Movimientos_2026[[#This Row],[Codigo]],Plan_cuentas[],3,FALSE)," ")</f>
        <v xml:space="preserve"> </v>
      </c>
      <c r="G4383" t="str">
        <f>IFERROR(+VLOOKUP(Movimientos_2026[[#This Row],[Codigo]],Plan_cuentas[],4,FALSE)," ")</f>
        <v xml:space="preserve"> </v>
      </c>
      <c r="H4383" t="str">
        <f>IFERROR(+VLOOKUP(Movimientos_2026[[#This Row],[Codigo]],Plan_cuentas[],5,FALSE)," ")</f>
        <v xml:space="preserve"> </v>
      </c>
      <c r="I4383" s="43"/>
      <c r="K4383" t="str">
        <f>IFERROR(+VLOOKUP(Movimientos_2026[[#This Row],[Codigo]],Plan_cuentas[],6,FALSE)," ")</f>
        <v xml:space="preserve"> </v>
      </c>
      <c r="L4383" s="50"/>
      <c r="M4383" s="50"/>
      <c r="N4383" s="20">
        <f>+Movimientos_2026[[#This Row],[Ingresos]]-Movimientos_2026[[#This Row],[Egresos]]</f>
        <v>0</v>
      </c>
      <c r="O4383" s="20">
        <f>+O4382+Movimientos_2026[[#This Row],[Neto]]</f>
        <v>4581558617.7962294</v>
      </c>
    </row>
    <row r="4384" spans="1:15" x14ac:dyDescent="0.25">
      <c r="A4384" s="13"/>
      <c r="B4384" s="12">
        <f>MONTH(Movimientos_2026[[#This Row],[Fecha]])</f>
        <v>1</v>
      </c>
      <c r="C4384" s="12" t="str">
        <f>VLOOKUP((WEEKDAY(Movimientos_2026[[#This Row],[Fecha]],2)),'5. Setup'!$D$6:$E$12,2,FALSE)</f>
        <v>Sab</v>
      </c>
      <c r="E4384" t="str">
        <f>IFERROR(+VLOOKUP(Movimientos_2026[[#This Row],[Codigo]],Plan_cuentas[],2,FALSE)," ")</f>
        <v xml:space="preserve"> </v>
      </c>
      <c r="F4384" t="str">
        <f>IFERROR(+VLOOKUP(Movimientos_2026[[#This Row],[Codigo]],Plan_cuentas[],3,FALSE)," ")</f>
        <v xml:space="preserve"> </v>
      </c>
      <c r="G4384" t="str">
        <f>IFERROR(+VLOOKUP(Movimientos_2026[[#This Row],[Codigo]],Plan_cuentas[],4,FALSE)," ")</f>
        <v xml:space="preserve"> </v>
      </c>
      <c r="H4384" t="str">
        <f>IFERROR(+VLOOKUP(Movimientos_2026[[#This Row],[Codigo]],Plan_cuentas[],5,FALSE)," ")</f>
        <v xml:space="preserve"> </v>
      </c>
      <c r="I4384" s="43"/>
      <c r="K4384" t="str">
        <f>IFERROR(+VLOOKUP(Movimientos_2026[[#This Row],[Codigo]],Plan_cuentas[],6,FALSE)," ")</f>
        <v xml:space="preserve"> </v>
      </c>
      <c r="L4384" s="50"/>
      <c r="M4384" s="50"/>
      <c r="N4384" s="20">
        <f>+Movimientos_2026[[#This Row],[Ingresos]]-Movimientos_2026[[#This Row],[Egresos]]</f>
        <v>0</v>
      </c>
      <c r="O4384" s="20">
        <f>+O4383+Movimientos_2026[[#This Row],[Neto]]</f>
        <v>4581558617.7962294</v>
      </c>
    </row>
    <row r="4385" spans="1:15" x14ac:dyDescent="0.25">
      <c r="A4385" s="13"/>
      <c r="B4385" s="12">
        <f>MONTH(Movimientos_2026[[#This Row],[Fecha]])</f>
        <v>1</v>
      </c>
      <c r="C4385" s="12" t="str">
        <f>VLOOKUP((WEEKDAY(Movimientos_2026[[#This Row],[Fecha]],2)),'5. Setup'!$D$6:$E$12,2,FALSE)</f>
        <v>Sab</v>
      </c>
      <c r="E4385" t="str">
        <f>IFERROR(+VLOOKUP(Movimientos_2026[[#This Row],[Codigo]],Plan_cuentas[],2,FALSE)," ")</f>
        <v xml:space="preserve"> </v>
      </c>
      <c r="F4385" t="str">
        <f>IFERROR(+VLOOKUP(Movimientos_2026[[#This Row],[Codigo]],Plan_cuentas[],3,FALSE)," ")</f>
        <v xml:space="preserve"> </v>
      </c>
      <c r="G4385" t="str">
        <f>IFERROR(+VLOOKUP(Movimientos_2026[[#This Row],[Codigo]],Plan_cuentas[],4,FALSE)," ")</f>
        <v xml:space="preserve"> </v>
      </c>
      <c r="H4385" t="str">
        <f>IFERROR(+VLOOKUP(Movimientos_2026[[#This Row],[Codigo]],Plan_cuentas[],5,FALSE)," ")</f>
        <v xml:space="preserve"> </v>
      </c>
      <c r="I4385" s="43"/>
      <c r="K4385" t="str">
        <f>IFERROR(+VLOOKUP(Movimientos_2026[[#This Row],[Codigo]],Plan_cuentas[],6,FALSE)," ")</f>
        <v xml:space="preserve"> </v>
      </c>
      <c r="L4385" s="50"/>
      <c r="M4385" s="50"/>
      <c r="N4385" s="20">
        <f>+Movimientos_2026[[#This Row],[Ingresos]]-Movimientos_2026[[#This Row],[Egresos]]</f>
        <v>0</v>
      </c>
      <c r="O4385" s="20">
        <f>+O4384+Movimientos_2026[[#This Row],[Neto]]</f>
        <v>4581558617.7962294</v>
      </c>
    </row>
    <row r="4386" spans="1:15" x14ac:dyDescent="0.25">
      <c r="A4386" s="13"/>
      <c r="B4386" s="12">
        <f>MONTH(Movimientos_2026[[#This Row],[Fecha]])</f>
        <v>1</v>
      </c>
      <c r="C4386" s="12" t="str">
        <f>VLOOKUP((WEEKDAY(Movimientos_2026[[#This Row],[Fecha]],2)),'5. Setup'!$D$6:$E$12,2,FALSE)</f>
        <v>Sab</v>
      </c>
      <c r="E4386" t="str">
        <f>IFERROR(+VLOOKUP(Movimientos_2026[[#This Row],[Codigo]],Plan_cuentas[],2,FALSE)," ")</f>
        <v xml:space="preserve"> </v>
      </c>
      <c r="F4386" t="str">
        <f>IFERROR(+VLOOKUP(Movimientos_2026[[#This Row],[Codigo]],Plan_cuentas[],3,FALSE)," ")</f>
        <v xml:space="preserve"> </v>
      </c>
      <c r="G4386" t="str">
        <f>IFERROR(+VLOOKUP(Movimientos_2026[[#This Row],[Codigo]],Plan_cuentas[],4,FALSE)," ")</f>
        <v xml:space="preserve"> </v>
      </c>
      <c r="H4386" t="str">
        <f>IFERROR(+VLOOKUP(Movimientos_2026[[#This Row],[Codigo]],Plan_cuentas[],5,FALSE)," ")</f>
        <v xml:space="preserve"> </v>
      </c>
      <c r="I4386" s="43"/>
      <c r="K4386" t="str">
        <f>IFERROR(+VLOOKUP(Movimientos_2026[[#This Row],[Codigo]],Plan_cuentas[],6,FALSE)," ")</f>
        <v xml:space="preserve"> </v>
      </c>
      <c r="L4386" s="50"/>
      <c r="M4386" s="50"/>
      <c r="N4386" s="20">
        <f>+Movimientos_2026[[#This Row],[Ingresos]]-Movimientos_2026[[#This Row],[Egresos]]</f>
        <v>0</v>
      </c>
      <c r="O4386" s="20">
        <f>+O4385+Movimientos_2026[[#This Row],[Neto]]</f>
        <v>4581558617.7962294</v>
      </c>
    </row>
    <row r="4387" spans="1:15" x14ac:dyDescent="0.25">
      <c r="A4387" s="13"/>
      <c r="B4387" s="12">
        <f>MONTH(Movimientos_2026[[#This Row],[Fecha]])</f>
        <v>1</v>
      </c>
      <c r="C4387" s="12" t="str">
        <f>VLOOKUP((WEEKDAY(Movimientos_2026[[#This Row],[Fecha]],2)),'5. Setup'!$D$6:$E$12,2,FALSE)</f>
        <v>Sab</v>
      </c>
      <c r="E4387" t="str">
        <f>IFERROR(+VLOOKUP(Movimientos_2026[[#This Row],[Codigo]],Plan_cuentas[],2,FALSE)," ")</f>
        <v xml:space="preserve"> </v>
      </c>
      <c r="F4387" t="str">
        <f>IFERROR(+VLOOKUP(Movimientos_2026[[#This Row],[Codigo]],Plan_cuentas[],3,FALSE)," ")</f>
        <v xml:space="preserve"> </v>
      </c>
      <c r="G4387" t="str">
        <f>IFERROR(+VLOOKUP(Movimientos_2026[[#This Row],[Codigo]],Plan_cuentas[],4,FALSE)," ")</f>
        <v xml:space="preserve"> </v>
      </c>
      <c r="H4387" t="str">
        <f>IFERROR(+VLOOKUP(Movimientos_2026[[#This Row],[Codigo]],Plan_cuentas[],5,FALSE)," ")</f>
        <v xml:space="preserve"> </v>
      </c>
      <c r="I4387" s="43"/>
      <c r="K4387" t="str">
        <f>IFERROR(+VLOOKUP(Movimientos_2026[[#This Row],[Codigo]],Plan_cuentas[],6,FALSE)," ")</f>
        <v xml:space="preserve"> </v>
      </c>
      <c r="L4387" s="50"/>
      <c r="M4387" s="50"/>
      <c r="N4387" s="20">
        <f>+Movimientos_2026[[#This Row],[Ingresos]]-Movimientos_2026[[#This Row],[Egresos]]</f>
        <v>0</v>
      </c>
      <c r="O4387" s="20">
        <f>+O4386+Movimientos_2026[[#This Row],[Neto]]</f>
        <v>4581558617.7962294</v>
      </c>
    </row>
    <row r="4388" spans="1:15" x14ac:dyDescent="0.25">
      <c r="A4388" s="13"/>
      <c r="B4388" s="12">
        <f>MONTH(Movimientos_2026[[#This Row],[Fecha]])</f>
        <v>1</v>
      </c>
      <c r="C4388" s="12" t="str">
        <f>VLOOKUP((WEEKDAY(Movimientos_2026[[#This Row],[Fecha]],2)),'5. Setup'!$D$6:$E$12,2,FALSE)</f>
        <v>Sab</v>
      </c>
      <c r="E4388" t="str">
        <f>IFERROR(+VLOOKUP(Movimientos_2026[[#This Row],[Codigo]],Plan_cuentas[],2,FALSE)," ")</f>
        <v xml:space="preserve"> </v>
      </c>
      <c r="F4388" t="str">
        <f>IFERROR(+VLOOKUP(Movimientos_2026[[#This Row],[Codigo]],Plan_cuentas[],3,FALSE)," ")</f>
        <v xml:space="preserve"> </v>
      </c>
      <c r="G4388" t="str">
        <f>IFERROR(+VLOOKUP(Movimientos_2026[[#This Row],[Codigo]],Plan_cuentas[],4,FALSE)," ")</f>
        <v xml:space="preserve"> </v>
      </c>
      <c r="H4388" t="str">
        <f>IFERROR(+VLOOKUP(Movimientos_2026[[#This Row],[Codigo]],Plan_cuentas[],5,FALSE)," ")</f>
        <v xml:space="preserve"> </v>
      </c>
      <c r="I4388" s="43"/>
      <c r="K4388" t="str">
        <f>IFERROR(+VLOOKUP(Movimientos_2026[[#This Row],[Codigo]],Plan_cuentas[],6,FALSE)," ")</f>
        <v xml:space="preserve"> </v>
      </c>
      <c r="L4388" s="50"/>
      <c r="M4388" s="50"/>
      <c r="N4388" s="20">
        <f>+Movimientos_2026[[#This Row],[Ingresos]]-Movimientos_2026[[#This Row],[Egresos]]</f>
        <v>0</v>
      </c>
      <c r="O4388" s="20">
        <f>+O4387+Movimientos_2026[[#This Row],[Neto]]</f>
        <v>4581558617.7962294</v>
      </c>
    </row>
    <row r="4389" spans="1:15" x14ac:dyDescent="0.25">
      <c r="A4389" s="13"/>
      <c r="B4389" s="12">
        <f>MONTH(Movimientos_2026[[#This Row],[Fecha]])</f>
        <v>1</v>
      </c>
      <c r="C4389" s="12" t="str">
        <f>VLOOKUP((WEEKDAY(Movimientos_2026[[#This Row],[Fecha]],2)),'5. Setup'!$D$6:$E$12,2,FALSE)</f>
        <v>Sab</v>
      </c>
      <c r="E4389" t="str">
        <f>IFERROR(+VLOOKUP(Movimientos_2026[[#This Row],[Codigo]],Plan_cuentas[],2,FALSE)," ")</f>
        <v xml:space="preserve"> </v>
      </c>
      <c r="F4389" t="str">
        <f>IFERROR(+VLOOKUP(Movimientos_2026[[#This Row],[Codigo]],Plan_cuentas[],3,FALSE)," ")</f>
        <v xml:space="preserve"> </v>
      </c>
      <c r="G4389" t="str">
        <f>IFERROR(+VLOOKUP(Movimientos_2026[[#This Row],[Codigo]],Plan_cuentas[],4,FALSE)," ")</f>
        <v xml:space="preserve"> </v>
      </c>
      <c r="H4389" t="str">
        <f>IFERROR(+VLOOKUP(Movimientos_2026[[#This Row],[Codigo]],Plan_cuentas[],5,FALSE)," ")</f>
        <v xml:space="preserve"> </v>
      </c>
      <c r="I4389" s="43"/>
      <c r="K4389" t="str">
        <f>IFERROR(+VLOOKUP(Movimientos_2026[[#This Row],[Codigo]],Plan_cuentas[],6,FALSE)," ")</f>
        <v xml:space="preserve"> </v>
      </c>
      <c r="L4389" s="50"/>
      <c r="M4389" s="50"/>
      <c r="N4389" s="20">
        <f>+Movimientos_2026[[#This Row],[Ingresos]]-Movimientos_2026[[#This Row],[Egresos]]</f>
        <v>0</v>
      </c>
      <c r="O4389" s="20">
        <f>+O4388+Movimientos_2026[[#This Row],[Neto]]</f>
        <v>4581558617.7962294</v>
      </c>
    </row>
    <row r="4390" spans="1:15" x14ac:dyDescent="0.25">
      <c r="A4390" s="13"/>
      <c r="B4390" s="12">
        <f>MONTH(Movimientos_2026[[#This Row],[Fecha]])</f>
        <v>1</v>
      </c>
      <c r="C4390" s="12" t="str">
        <f>VLOOKUP((WEEKDAY(Movimientos_2026[[#This Row],[Fecha]],2)),'5. Setup'!$D$6:$E$12,2,FALSE)</f>
        <v>Sab</v>
      </c>
      <c r="E4390" t="str">
        <f>IFERROR(+VLOOKUP(Movimientos_2026[[#This Row],[Codigo]],Plan_cuentas[],2,FALSE)," ")</f>
        <v xml:space="preserve"> </v>
      </c>
      <c r="F4390" t="str">
        <f>IFERROR(+VLOOKUP(Movimientos_2026[[#This Row],[Codigo]],Plan_cuentas[],3,FALSE)," ")</f>
        <v xml:space="preserve"> </v>
      </c>
      <c r="G4390" t="str">
        <f>IFERROR(+VLOOKUP(Movimientos_2026[[#This Row],[Codigo]],Plan_cuentas[],4,FALSE)," ")</f>
        <v xml:space="preserve"> </v>
      </c>
      <c r="H4390" t="str">
        <f>IFERROR(+VLOOKUP(Movimientos_2026[[#This Row],[Codigo]],Plan_cuentas[],5,FALSE)," ")</f>
        <v xml:space="preserve"> </v>
      </c>
      <c r="I4390" s="43"/>
      <c r="K4390" t="str">
        <f>IFERROR(+VLOOKUP(Movimientos_2026[[#This Row],[Codigo]],Plan_cuentas[],6,FALSE)," ")</f>
        <v xml:space="preserve"> </v>
      </c>
      <c r="L4390" s="50"/>
      <c r="M4390" s="50"/>
      <c r="N4390" s="20">
        <f>+Movimientos_2026[[#This Row],[Ingresos]]-Movimientos_2026[[#This Row],[Egresos]]</f>
        <v>0</v>
      </c>
      <c r="O4390" s="20">
        <f>+O4389+Movimientos_2026[[#This Row],[Neto]]</f>
        <v>4581558617.7962294</v>
      </c>
    </row>
    <row r="4391" spans="1:15" x14ac:dyDescent="0.25">
      <c r="A4391" s="13"/>
      <c r="B4391" s="12">
        <f>MONTH(Movimientos_2026[[#This Row],[Fecha]])</f>
        <v>1</v>
      </c>
      <c r="C4391" s="12" t="str">
        <f>VLOOKUP((WEEKDAY(Movimientos_2026[[#This Row],[Fecha]],2)),'5. Setup'!$D$6:$E$12,2,FALSE)</f>
        <v>Sab</v>
      </c>
      <c r="E4391" t="str">
        <f>IFERROR(+VLOOKUP(Movimientos_2026[[#This Row],[Codigo]],Plan_cuentas[],2,FALSE)," ")</f>
        <v xml:space="preserve"> </v>
      </c>
      <c r="F4391" t="str">
        <f>IFERROR(+VLOOKUP(Movimientos_2026[[#This Row],[Codigo]],Plan_cuentas[],3,FALSE)," ")</f>
        <v xml:space="preserve"> </v>
      </c>
      <c r="G4391" t="str">
        <f>IFERROR(+VLOOKUP(Movimientos_2026[[#This Row],[Codigo]],Plan_cuentas[],4,FALSE)," ")</f>
        <v xml:space="preserve"> </v>
      </c>
      <c r="H4391" t="str">
        <f>IFERROR(+VLOOKUP(Movimientos_2026[[#This Row],[Codigo]],Plan_cuentas[],5,FALSE)," ")</f>
        <v xml:space="preserve"> </v>
      </c>
      <c r="I4391" s="43"/>
      <c r="K4391" t="str">
        <f>IFERROR(+VLOOKUP(Movimientos_2026[[#This Row],[Codigo]],Plan_cuentas[],6,FALSE)," ")</f>
        <v xml:space="preserve"> </v>
      </c>
      <c r="L4391" s="50"/>
      <c r="M4391" s="50"/>
      <c r="N4391" s="20">
        <f>+Movimientos_2026[[#This Row],[Ingresos]]-Movimientos_2026[[#This Row],[Egresos]]</f>
        <v>0</v>
      </c>
      <c r="O4391" s="20">
        <f>+O4390+Movimientos_2026[[#This Row],[Neto]]</f>
        <v>4581558617.7962294</v>
      </c>
    </row>
    <row r="4392" spans="1:15" x14ac:dyDescent="0.25">
      <c r="A4392" s="13"/>
      <c r="B4392" s="12">
        <f>MONTH(Movimientos_2026[[#This Row],[Fecha]])</f>
        <v>1</v>
      </c>
      <c r="C4392" s="12" t="str">
        <f>VLOOKUP((WEEKDAY(Movimientos_2026[[#This Row],[Fecha]],2)),'5. Setup'!$D$6:$E$12,2,FALSE)</f>
        <v>Sab</v>
      </c>
      <c r="E4392" t="str">
        <f>IFERROR(+VLOOKUP(Movimientos_2026[[#This Row],[Codigo]],Plan_cuentas[],2,FALSE)," ")</f>
        <v xml:space="preserve"> </v>
      </c>
      <c r="F4392" t="str">
        <f>IFERROR(+VLOOKUP(Movimientos_2026[[#This Row],[Codigo]],Plan_cuentas[],3,FALSE)," ")</f>
        <v xml:space="preserve"> </v>
      </c>
      <c r="G4392" t="str">
        <f>IFERROR(+VLOOKUP(Movimientos_2026[[#This Row],[Codigo]],Plan_cuentas[],4,FALSE)," ")</f>
        <v xml:space="preserve"> </v>
      </c>
      <c r="H4392" t="str">
        <f>IFERROR(+VLOOKUP(Movimientos_2026[[#This Row],[Codigo]],Plan_cuentas[],5,FALSE)," ")</f>
        <v xml:space="preserve"> </v>
      </c>
      <c r="I4392" s="43"/>
      <c r="K4392" t="str">
        <f>IFERROR(+VLOOKUP(Movimientos_2026[[#This Row],[Codigo]],Plan_cuentas[],6,FALSE)," ")</f>
        <v xml:space="preserve"> </v>
      </c>
      <c r="L4392" s="50"/>
      <c r="M4392" s="50"/>
      <c r="N4392" s="20">
        <f>+Movimientos_2026[[#This Row],[Ingresos]]-Movimientos_2026[[#This Row],[Egresos]]</f>
        <v>0</v>
      </c>
      <c r="O4392" s="20">
        <f>+O4391+Movimientos_2026[[#This Row],[Neto]]</f>
        <v>4581558617.7962294</v>
      </c>
    </row>
    <row r="4393" spans="1:15" x14ac:dyDescent="0.25">
      <c r="A4393" s="13"/>
      <c r="B4393" s="12">
        <f>MONTH(Movimientos_2026[[#This Row],[Fecha]])</f>
        <v>1</v>
      </c>
      <c r="C4393" s="12" t="str">
        <f>VLOOKUP((WEEKDAY(Movimientos_2026[[#This Row],[Fecha]],2)),'5. Setup'!$D$6:$E$12,2,FALSE)</f>
        <v>Sab</v>
      </c>
      <c r="E4393" t="str">
        <f>IFERROR(+VLOOKUP(Movimientos_2026[[#This Row],[Codigo]],Plan_cuentas[],2,FALSE)," ")</f>
        <v xml:space="preserve"> </v>
      </c>
      <c r="F4393" t="str">
        <f>IFERROR(+VLOOKUP(Movimientos_2026[[#This Row],[Codigo]],Plan_cuentas[],3,FALSE)," ")</f>
        <v xml:space="preserve"> </v>
      </c>
      <c r="G4393" t="str">
        <f>IFERROR(+VLOOKUP(Movimientos_2026[[#This Row],[Codigo]],Plan_cuentas[],4,FALSE)," ")</f>
        <v xml:space="preserve"> </v>
      </c>
      <c r="H4393" t="str">
        <f>IFERROR(+VLOOKUP(Movimientos_2026[[#This Row],[Codigo]],Plan_cuentas[],5,FALSE)," ")</f>
        <v xml:space="preserve"> </v>
      </c>
      <c r="I4393" s="43"/>
      <c r="K4393" t="str">
        <f>IFERROR(+VLOOKUP(Movimientos_2026[[#This Row],[Codigo]],Plan_cuentas[],6,FALSE)," ")</f>
        <v xml:space="preserve"> </v>
      </c>
      <c r="L4393" s="50"/>
      <c r="M4393" s="50"/>
      <c r="N4393" s="20">
        <f>+Movimientos_2026[[#This Row],[Ingresos]]-Movimientos_2026[[#This Row],[Egresos]]</f>
        <v>0</v>
      </c>
      <c r="O4393" s="20">
        <f>+O4392+Movimientos_2026[[#This Row],[Neto]]</f>
        <v>4581558617.7962294</v>
      </c>
    </row>
    <row r="4394" spans="1:15" x14ac:dyDescent="0.25">
      <c r="A4394" s="13"/>
      <c r="B4394" s="12">
        <f>MONTH(Movimientos_2026[[#This Row],[Fecha]])</f>
        <v>1</v>
      </c>
      <c r="C4394" s="12" t="str">
        <f>VLOOKUP((WEEKDAY(Movimientos_2026[[#This Row],[Fecha]],2)),'5. Setup'!$D$6:$E$12,2,FALSE)</f>
        <v>Sab</v>
      </c>
      <c r="E4394" t="str">
        <f>IFERROR(+VLOOKUP(Movimientos_2026[[#This Row],[Codigo]],Plan_cuentas[],2,FALSE)," ")</f>
        <v xml:space="preserve"> </v>
      </c>
      <c r="F4394" t="str">
        <f>IFERROR(+VLOOKUP(Movimientos_2026[[#This Row],[Codigo]],Plan_cuentas[],3,FALSE)," ")</f>
        <v xml:space="preserve"> </v>
      </c>
      <c r="G4394" t="str">
        <f>IFERROR(+VLOOKUP(Movimientos_2026[[#This Row],[Codigo]],Plan_cuentas[],4,FALSE)," ")</f>
        <v xml:space="preserve"> </v>
      </c>
      <c r="H4394" t="str">
        <f>IFERROR(+VLOOKUP(Movimientos_2026[[#This Row],[Codigo]],Plan_cuentas[],5,FALSE)," ")</f>
        <v xml:space="preserve"> </v>
      </c>
      <c r="I4394" s="43"/>
      <c r="K4394" t="str">
        <f>IFERROR(+VLOOKUP(Movimientos_2026[[#This Row],[Codigo]],Plan_cuentas[],6,FALSE)," ")</f>
        <v xml:space="preserve"> </v>
      </c>
      <c r="L4394" s="50"/>
      <c r="M4394" s="50"/>
      <c r="N4394" s="20">
        <f>+Movimientos_2026[[#This Row],[Ingresos]]-Movimientos_2026[[#This Row],[Egresos]]</f>
        <v>0</v>
      </c>
      <c r="O4394" s="20">
        <f>+O4393+Movimientos_2026[[#This Row],[Neto]]</f>
        <v>4581558617.7962294</v>
      </c>
    </row>
    <row r="4395" spans="1:15" x14ac:dyDescent="0.25">
      <c r="A4395" s="13"/>
      <c r="B4395" s="12">
        <f>MONTH(Movimientos_2026[[#This Row],[Fecha]])</f>
        <v>1</v>
      </c>
      <c r="C4395" s="12" t="str">
        <f>VLOOKUP((WEEKDAY(Movimientos_2026[[#This Row],[Fecha]],2)),'5. Setup'!$D$6:$E$12,2,FALSE)</f>
        <v>Sab</v>
      </c>
      <c r="E4395" t="str">
        <f>IFERROR(+VLOOKUP(Movimientos_2026[[#This Row],[Codigo]],Plan_cuentas[],2,FALSE)," ")</f>
        <v xml:space="preserve"> </v>
      </c>
      <c r="F4395" t="str">
        <f>IFERROR(+VLOOKUP(Movimientos_2026[[#This Row],[Codigo]],Plan_cuentas[],3,FALSE)," ")</f>
        <v xml:space="preserve"> </v>
      </c>
      <c r="G4395" t="str">
        <f>IFERROR(+VLOOKUP(Movimientos_2026[[#This Row],[Codigo]],Plan_cuentas[],4,FALSE)," ")</f>
        <v xml:space="preserve"> </v>
      </c>
      <c r="H4395" t="str">
        <f>IFERROR(+VLOOKUP(Movimientos_2026[[#This Row],[Codigo]],Plan_cuentas[],5,FALSE)," ")</f>
        <v xml:space="preserve"> </v>
      </c>
      <c r="I4395" s="43"/>
      <c r="K4395" t="str">
        <f>IFERROR(+VLOOKUP(Movimientos_2026[[#This Row],[Codigo]],Plan_cuentas[],6,FALSE)," ")</f>
        <v xml:space="preserve"> </v>
      </c>
      <c r="L4395" s="50"/>
      <c r="M4395" s="50"/>
      <c r="N4395" s="20">
        <f>+Movimientos_2026[[#This Row],[Ingresos]]-Movimientos_2026[[#This Row],[Egresos]]</f>
        <v>0</v>
      </c>
      <c r="O4395" s="20">
        <f>+O4394+Movimientos_2026[[#This Row],[Neto]]</f>
        <v>4581558617.7962294</v>
      </c>
    </row>
    <row r="4396" spans="1:15" x14ac:dyDescent="0.25">
      <c r="A4396" s="13"/>
      <c r="B4396" s="12">
        <f>MONTH(Movimientos_2026[[#This Row],[Fecha]])</f>
        <v>1</v>
      </c>
      <c r="C4396" s="12" t="str">
        <f>VLOOKUP((WEEKDAY(Movimientos_2026[[#This Row],[Fecha]],2)),'5. Setup'!$D$6:$E$12,2,FALSE)</f>
        <v>Sab</v>
      </c>
      <c r="E4396" t="str">
        <f>IFERROR(+VLOOKUP(Movimientos_2026[[#This Row],[Codigo]],Plan_cuentas[],2,FALSE)," ")</f>
        <v xml:space="preserve"> </v>
      </c>
      <c r="F4396" t="str">
        <f>IFERROR(+VLOOKUP(Movimientos_2026[[#This Row],[Codigo]],Plan_cuentas[],3,FALSE)," ")</f>
        <v xml:space="preserve"> </v>
      </c>
      <c r="G4396" t="str">
        <f>IFERROR(+VLOOKUP(Movimientos_2026[[#This Row],[Codigo]],Plan_cuentas[],4,FALSE)," ")</f>
        <v xml:space="preserve"> </v>
      </c>
      <c r="H4396" t="str">
        <f>IFERROR(+VLOOKUP(Movimientos_2026[[#This Row],[Codigo]],Plan_cuentas[],5,FALSE)," ")</f>
        <v xml:space="preserve"> </v>
      </c>
      <c r="I4396" s="43"/>
      <c r="K4396" t="str">
        <f>IFERROR(+VLOOKUP(Movimientos_2026[[#This Row],[Codigo]],Plan_cuentas[],6,FALSE)," ")</f>
        <v xml:space="preserve"> </v>
      </c>
      <c r="L4396" s="50"/>
      <c r="M4396" s="50"/>
      <c r="N4396" s="20">
        <f>+Movimientos_2026[[#This Row],[Ingresos]]-Movimientos_2026[[#This Row],[Egresos]]</f>
        <v>0</v>
      </c>
      <c r="O4396" s="20">
        <f>+O4395+Movimientos_2026[[#This Row],[Neto]]</f>
        <v>4581558617.7962294</v>
      </c>
    </row>
    <row r="4397" spans="1:15" x14ac:dyDescent="0.25">
      <c r="A4397" s="13"/>
      <c r="B4397" s="12">
        <f>MONTH(Movimientos_2026[[#This Row],[Fecha]])</f>
        <v>1</v>
      </c>
      <c r="C4397" s="12" t="str">
        <f>VLOOKUP((WEEKDAY(Movimientos_2026[[#This Row],[Fecha]],2)),'5. Setup'!$D$6:$E$12,2,FALSE)</f>
        <v>Sab</v>
      </c>
      <c r="E4397" t="str">
        <f>IFERROR(+VLOOKUP(Movimientos_2026[[#This Row],[Codigo]],Plan_cuentas[],2,FALSE)," ")</f>
        <v xml:space="preserve"> </v>
      </c>
      <c r="F4397" t="str">
        <f>IFERROR(+VLOOKUP(Movimientos_2026[[#This Row],[Codigo]],Plan_cuentas[],3,FALSE)," ")</f>
        <v xml:space="preserve"> </v>
      </c>
      <c r="G4397" t="str">
        <f>IFERROR(+VLOOKUP(Movimientos_2026[[#This Row],[Codigo]],Plan_cuentas[],4,FALSE)," ")</f>
        <v xml:space="preserve"> </v>
      </c>
      <c r="H4397" t="str">
        <f>IFERROR(+VLOOKUP(Movimientos_2026[[#This Row],[Codigo]],Plan_cuentas[],5,FALSE)," ")</f>
        <v xml:space="preserve"> </v>
      </c>
      <c r="I4397" s="43"/>
      <c r="K4397" t="str">
        <f>IFERROR(+VLOOKUP(Movimientos_2026[[#This Row],[Codigo]],Plan_cuentas[],6,FALSE)," ")</f>
        <v xml:space="preserve"> </v>
      </c>
      <c r="L4397" s="50"/>
      <c r="M4397" s="50"/>
      <c r="N4397" s="20">
        <f>+Movimientos_2026[[#This Row],[Ingresos]]-Movimientos_2026[[#This Row],[Egresos]]</f>
        <v>0</v>
      </c>
      <c r="O4397" s="20">
        <f>+O4396+Movimientos_2026[[#This Row],[Neto]]</f>
        <v>4581558617.7962294</v>
      </c>
    </row>
    <row r="4398" spans="1:15" x14ac:dyDescent="0.25">
      <c r="A4398" s="13"/>
      <c r="B4398" s="12">
        <f>MONTH(Movimientos_2026[[#This Row],[Fecha]])</f>
        <v>1</v>
      </c>
      <c r="C4398" s="12" t="str">
        <f>VLOOKUP((WEEKDAY(Movimientos_2026[[#This Row],[Fecha]],2)),'5. Setup'!$D$6:$E$12,2,FALSE)</f>
        <v>Sab</v>
      </c>
      <c r="E4398" t="str">
        <f>IFERROR(+VLOOKUP(Movimientos_2026[[#This Row],[Codigo]],Plan_cuentas[],2,FALSE)," ")</f>
        <v xml:space="preserve"> </v>
      </c>
      <c r="F4398" t="str">
        <f>IFERROR(+VLOOKUP(Movimientos_2026[[#This Row],[Codigo]],Plan_cuentas[],3,FALSE)," ")</f>
        <v xml:space="preserve"> </v>
      </c>
      <c r="G4398" t="str">
        <f>IFERROR(+VLOOKUP(Movimientos_2026[[#This Row],[Codigo]],Plan_cuentas[],4,FALSE)," ")</f>
        <v xml:space="preserve"> </v>
      </c>
      <c r="H4398" t="str">
        <f>IFERROR(+VLOOKUP(Movimientos_2026[[#This Row],[Codigo]],Plan_cuentas[],5,FALSE)," ")</f>
        <v xml:space="preserve"> </v>
      </c>
      <c r="I4398" s="43"/>
      <c r="K4398" t="str">
        <f>IFERROR(+VLOOKUP(Movimientos_2026[[#This Row],[Codigo]],Plan_cuentas[],6,FALSE)," ")</f>
        <v xml:space="preserve"> </v>
      </c>
      <c r="L4398" s="50"/>
      <c r="M4398" s="50"/>
      <c r="N4398" s="20">
        <f>+Movimientos_2026[[#This Row],[Ingresos]]-Movimientos_2026[[#This Row],[Egresos]]</f>
        <v>0</v>
      </c>
      <c r="O4398" s="20">
        <f>+O4397+Movimientos_2026[[#This Row],[Neto]]</f>
        <v>4581558617.7962294</v>
      </c>
    </row>
    <row r="4399" spans="1:15" x14ac:dyDescent="0.25">
      <c r="A4399" s="13"/>
      <c r="B4399" s="12">
        <f>MONTH(Movimientos_2026[[#This Row],[Fecha]])</f>
        <v>1</v>
      </c>
      <c r="C4399" s="12" t="str">
        <f>VLOOKUP((WEEKDAY(Movimientos_2026[[#This Row],[Fecha]],2)),'5. Setup'!$D$6:$E$12,2,FALSE)</f>
        <v>Sab</v>
      </c>
      <c r="E4399" t="str">
        <f>IFERROR(+VLOOKUP(Movimientos_2026[[#This Row],[Codigo]],Plan_cuentas[],2,FALSE)," ")</f>
        <v xml:space="preserve"> </v>
      </c>
      <c r="F4399" t="str">
        <f>IFERROR(+VLOOKUP(Movimientos_2026[[#This Row],[Codigo]],Plan_cuentas[],3,FALSE)," ")</f>
        <v xml:space="preserve"> </v>
      </c>
      <c r="G4399" t="str">
        <f>IFERROR(+VLOOKUP(Movimientos_2026[[#This Row],[Codigo]],Plan_cuentas[],4,FALSE)," ")</f>
        <v xml:space="preserve"> </v>
      </c>
      <c r="H4399" t="str">
        <f>IFERROR(+VLOOKUP(Movimientos_2026[[#This Row],[Codigo]],Plan_cuentas[],5,FALSE)," ")</f>
        <v xml:space="preserve"> </v>
      </c>
      <c r="I4399" s="43"/>
      <c r="K4399" t="str">
        <f>IFERROR(+VLOOKUP(Movimientos_2026[[#This Row],[Codigo]],Plan_cuentas[],6,FALSE)," ")</f>
        <v xml:space="preserve"> </v>
      </c>
      <c r="L4399" s="50"/>
      <c r="M4399" s="50"/>
      <c r="N4399" s="20">
        <f>+Movimientos_2026[[#This Row],[Ingresos]]-Movimientos_2026[[#This Row],[Egresos]]</f>
        <v>0</v>
      </c>
      <c r="O4399" s="20">
        <f>+O4398+Movimientos_2026[[#This Row],[Neto]]</f>
        <v>4581558617.7962294</v>
      </c>
    </row>
    <row r="4400" spans="1:15" x14ac:dyDescent="0.25">
      <c r="A4400" s="13"/>
      <c r="B4400" s="12">
        <f>MONTH(Movimientos_2026[[#This Row],[Fecha]])</f>
        <v>1</v>
      </c>
      <c r="C4400" s="12" t="str">
        <f>VLOOKUP((WEEKDAY(Movimientos_2026[[#This Row],[Fecha]],2)),'5. Setup'!$D$6:$E$12,2,FALSE)</f>
        <v>Sab</v>
      </c>
      <c r="E4400" t="str">
        <f>IFERROR(+VLOOKUP(Movimientos_2026[[#This Row],[Codigo]],Plan_cuentas[],2,FALSE)," ")</f>
        <v xml:space="preserve"> </v>
      </c>
      <c r="F4400" t="str">
        <f>IFERROR(+VLOOKUP(Movimientos_2026[[#This Row],[Codigo]],Plan_cuentas[],3,FALSE)," ")</f>
        <v xml:space="preserve"> </v>
      </c>
      <c r="G4400" t="str">
        <f>IFERROR(+VLOOKUP(Movimientos_2026[[#This Row],[Codigo]],Plan_cuentas[],4,FALSE)," ")</f>
        <v xml:space="preserve"> </v>
      </c>
      <c r="H4400" t="str">
        <f>IFERROR(+VLOOKUP(Movimientos_2026[[#This Row],[Codigo]],Plan_cuentas[],5,FALSE)," ")</f>
        <v xml:space="preserve"> </v>
      </c>
      <c r="I4400" s="43"/>
      <c r="K4400" t="str">
        <f>IFERROR(+VLOOKUP(Movimientos_2026[[#This Row],[Codigo]],Plan_cuentas[],6,FALSE)," ")</f>
        <v xml:space="preserve"> </v>
      </c>
      <c r="L4400" s="50"/>
      <c r="M4400" s="50"/>
      <c r="N4400" s="20">
        <f>+Movimientos_2026[[#This Row],[Ingresos]]-Movimientos_2026[[#This Row],[Egresos]]</f>
        <v>0</v>
      </c>
      <c r="O4400" s="20">
        <f>+O4399+Movimientos_2026[[#This Row],[Neto]]</f>
        <v>4581558617.7962294</v>
      </c>
    </row>
    <row r="4401" spans="1:15" x14ac:dyDescent="0.25">
      <c r="A4401" s="13"/>
      <c r="B4401" s="12">
        <f>MONTH(Movimientos_2026[[#This Row],[Fecha]])</f>
        <v>1</v>
      </c>
      <c r="C4401" s="12" t="str">
        <f>VLOOKUP((WEEKDAY(Movimientos_2026[[#This Row],[Fecha]],2)),'5. Setup'!$D$6:$E$12,2,FALSE)</f>
        <v>Sab</v>
      </c>
      <c r="E4401" t="str">
        <f>IFERROR(+VLOOKUP(Movimientos_2026[[#This Row],[Codigo]],Plan_cuentas[],2,FALSE)," ")</f>
        <v xml:space="preserve"> </v>
      </c>
      <c r="F4401" t="str">
        <f>IFERROR(+VLOOKUP(Movimientos_2026[[#This Row],[Codigo]],Plan_cuentas[],3,FALSE)," ")</f>
        <v xml:space="preserve"> </v>
      </c>
      <c r="G4401" t="str">
        <f>IFERROR(+VLOOKUP(Movimientos_2026[[#This Row],[Codigo]],Plan_cuentas[],4,FALSE)," ")</f>
        <v xml:space="preserve"> </v>
      </c>
      <c r="H4401" t="str">
        <f>IFERROR(+VLOOKUP(Movimientos_2026[[#This Row],[Codigo]],Plan_cuentas[],5,FALSE)," ")</f>
        <v xml:space="preserve"> </v>
      </c>
      <c r="I4401" s="43"/>
      <c r="K4401" t="str">
        <f>IFERROR(+VLOOKUP(Movimientos_2026[[#This Row],[Codigo]],Plan_cuentas[],6,FALSE)," ")</f>
        <v xml:space="preserve"> </v>
      </c>
      <c r="L4401" s="50"/>
      <c r="M4401" s="50"/>
      <c r="N4401" s="20">
        <f>+Movimientos_2026[[#This Row],[Ingresos]]-Movimientos_2026[[#This Row],[Egresos]]</f>
        <v>0</v>
      </c>
      <c r="O4401" s="20">
        <f>+O4400+Movimientos_2026[[#This Row],[Neto]]</f>
        <v>4581558617.7962294</v>
      </c>
    </row>
    <row r="4402" spans="1:15" x14ac:dyDescent="0.25">
      <c r="A4402" s="13"/>
      <c r="B4402" s="12">
        <f>MONTH(Movimientos_2026[[#This Row],[Fecha]])</f>
        <v>1</v>
      </c>
      <c r="C4402" s="12" t="str">
        <f>VLOOKUP((WEEKDAY(Movimientos_2026[[#This Row],[Fecha]],2)),'5. Setup'!$D$6:$E$12,2,FALSE)</f>
        <v>Sab</v>
      </c>
      <c r="E4402" t="str">
        <f>IFERROR(+VLOOKUP(Movimientos_2026[[#This Row],[Codigo]],Plan_cuentas[],2,FALSE)," ")</f>
        <v xml:space="preserve"> </v>
      </c>
      <c r="F4402" t="str">
        <f>IFERROR(+VLOOKUP(Movimientos_2026[[#This Row],[Codigo]],Plan_cuentas[],3,FALSE)," ")</f>
        <v xml:space="preserve"> </v>
      </c>
      <c r="G4402" t="str">
        <f>IFERROR(+VLOOKUP(Movimientos_2026[[#This Row],[Codigo]],Plan_cuentas[],4,FALSE)," ")</f>
        <v xml:space="preserve"> </v>
      </c>
      <c r="H4402" t="str">
        <f>IFERROR(+VLOOKUP(Movimientos_2026[[#This Row],[Codigo]],Plan_cuentas[],5,FALSE)," ")</f>
        <v xml:space="preserve"> </v>
      </c>
      <c r="I4402" s="43"/>
      <c r="K4402" t="str">
        <f>IFERROR(+VLOOKUP(Movimientos_2026[[#This Row],[Codigo]],Plan_cuentas[],6,FALSE)," ")</f>
        <v xml:space="preserve"> </v>
      </c>
      <c r="L4402" s="50"/>
      <c r="M4402" s="50"/>
      <c r="N4402" s="20">
        <f>+Movimientos_2026[[#This Row],[Ingresos]]-Movimientos_2026[[#This Row],[Egresos]]</f>
        <v>0</v>
      </c>
      <c r="O4402" s="20">
        <f>+O4401+Movimientos_2026[[#This Row],[Neto]]</f>
        <v>4581558617.7962294</v>
      </c>
    </row>
    <row r="4403" spans="1:15" x14ac:dyDescent="0.25">
      <c r="A4403" s="13"/>
      <c r="B4403" s="12">
        <f>MONTH(Movimientos_2026[[#This Row],[Fecha]])</f>
        <v>1</v>
      </c>
      <c r="C4403" s="12" t="str">
        <f>VLOOKUP((WEEKDAY(Movimientos_2026[[#This Row],[Fecha]],2)),'5. Setup'!$D$6:$E$12,2,FALSE)</f>
        <v>Sab</v>
      </c>
      <c r="E4403" t="str">
        <f>IFERROR(+VLOOKUP(Movimientos_2026[[#This Row],[Codigo]],Plan_cuentas[],2,FALSE)," ")</f>
        <v xml:space="preserve"> </v>
      </c>
      <c r="F4403" t="str">
        <f>IFERROR(+VLOOKUP(Movimientos_2026[[#This Row],[Codigo]],Plan_cuentas[],3,FALSE)," ")</f>
        <v xml:space="preserve"> </v>
      </c>
      <c r="G4403" t="str">
        <f>IFERROR(+VLOOKUP(Movimientos_2026[[#This Row],[Codigo]],Plan_cuentas[],4,FALSE)," ")</f>
        <v xml:space="preserve"> </v>
      </c>
      <c r="H4403" t="str">
        <f>IFERROR(+VLOOKUP(Movimientos_2026[[#This Row],[Codigo]],Plan_cuentas[],5,FALSE)," ")</f>
        <v xml:space="preserve"> </v>
      </c>
      <c r="I4403" s="43"/>
      <c r="K4403" t="str">
        <f>IFERROR(+VLOOKUP(Movimientos_2026[[#This Row],[Codigo]],Plan_cuentas[],6,FALSE)," ")</f>
        <v xml:space="preserve"> </v>
      </c>
      <c r="L4403" s="50"/>
      <c r="M4403" s="50"/>
      <c r="N4403" s="20">
        <f>+Movimientos_2026[[#This Row],[Ingresos]]-Movimientos_2026[[#This Row],[Egresos]]</f>
        <v>0</v>
      </c>
      <c r="O4403" s="20">
        <f>+O4402+Movimientos_2026[[#This Row],[Neto]]</f>
        <v>4581558617.7962294</v>
      </c>
    </row>
    <row r="4404" spans="1:15" x14ac:dyDescent="0.25">
      <c r="A4404" s="13"/>
      <c r="B4404" s="12">
        <f>MONTH(Movimientos_2026[[#This Row],[Fecha]])</f>
        <v>1</v>
      </c>
      <c r="C4404" s="12" t="str">
        <f>VLOOKUP((WEEKDAY(Movimientos_2026[[#This Row],[Fecha]],2)),'5. Setup'!$D$6:$E$12,2,FALSE)</f>
        <v>Sab</v>
      </c>
      <c r="E4404" t="str">
        <f>IFERROR(+VLOOKUP(Movimientos_2026[[#This Row],[Codigo]],Plan_cuentas[],2,FALSE)," ")</f>
        <v xml:space="preserve"> </v>
      </c>
      <c r="F4404" t="str">
        <f>IFERROR(+VLOOKUP(Movimientos_2026[[#This Row],[Codigo]],Plan_cuentas[],3,FALSE)," ")</f>
        <v xml:space="preserve"> </v>
      </c>
      <c r="G4404" t="str">
        <f>IFERROR(+VLOOKUP(Movimientos_2026[[#This Row],[Codigo]],Plan_cuentas[],4,FALSE)," ")</f>
        <v xml:space="preserve"> </v>
      </c>
      <c r="H4404" t="str">
        <f>IFERROR(+VLOOKUP(Movimientos_2026[[#This Row],[Codigo]],Plan_cuentas[],5,FALSE)," ")</f>
        <v xml:space="preserve"> </v>
      </c>
      <c r="I4404" s="43"/>
      <c r="K4404" t="str">
        <f>IFERROR(+VLOOKUP(Movimientos_2026[[#This Row],[Codigo]],Plan_cuentas[],6,FALSE)," ")</f>
        <v xml:space="preserve"> </v>
      </c>
      <c r="L4404" s="50"/>
      <c r="M4404" s="50"/>
      <c r="N4404" s="20">
        <f>+Movimientos_2026[[#This Row],[Ingresos]]-Movimientos_2026[[#This Row],[Egresos]]</f>
        <v>0</v>
      </c>
      <c r="O4404" s="20">
        <f>+O4403+Movimientos_2026[[#This Row],[Neto]]</f>
        <v>4581558617.7962294</v>
      </c>
    </row>
    <row r="4405" spans="1:15" x14ac:dyDescent="0.25">
      <c r="A4405" s="13"/>
      <c r="B4405" s="12">
        <f>MONTH(Movimientos_2026[[#This Row],[Fecha]])</f>
        <v>1</v>
      </c>
      <c r="C4405" s="12" t="str">
        <f>VLOOKUP((WEEKDAY(Movimientos_2026[[#This Row],[Fecha]],2)),'5. Setup'!$D$6:$E$12,2,FALSE)</f>
        <v>Sab</v>
      </c>
      <c r="E4405" t="str">
        <f>IFERROR(+VLOOKUP(Movimientos_2026[[#This Row],[Codigo]],Plan_cuentas[],2,FALSE)," ")</f>
        <v xml:space="preserve"> </v>
      </c>
      <c r="F4405" t="str">
        <f>IFERROR(+VLOOKUP(Movimientos_2026[[#This Row],[Codigo]],Plan_cuentas[],3,FALSE)," ")</f>
        <v xml:space="preserve"> </v>
      </c>
      <c r="G4405" t="str">
        <f>IFERROR(+VLOOKUP(Movimientos_2026[[#This Row],[Codigo]],Plan_cuentas[],4,FALSE)," ")</f>
        <v xml:space="preserve"> </v>
      </c>
      <c r="H4405" t="str">
        <f>IFERROR(+VLOOKUP(Movimientos_2026[[#This Row],[Codigo]],Plan_cuentas[],5,FALSE)," ")</f>
        <v xml:space="preserve"> </v>
      </c>
      <c r="I4405" s="43"/>
      <c r="K4405" t="str">
        <f>IFERROR(+VLOOKUP(Movimientos_2026[[#This Row],[Codigo]],Plan_cuentas[],6,FALSE)," ")</f>
        <v xml:space="preserve"> </v>
      </c>
      <c r="L4405" s="50"/>
      <c r="M4405" s="50"/>
      <c r="N4405" s="20">
        <f>+Movimientos_2026[[#This Row],[Ingresos]]-Movimientos_2026[[#This Row],[Egresos]]</f>
        <v>0</v>
      </c>
      <c r="O4405" s="20">
        <f>+O4404+Movimientos_2026[[#This Row],[Neto]]</f>
        <v>4581558617.7962294</v>
      </c>
    </row>
    <row r="4406" spans="1:15" x14ac:dyDescent="0.25">
      <c r="A4406" s="13"/>
      <c r="B4406" s="12">
        <f>MONTH(Movimientos_2026[[#This Row],[Fecha]])</f>
        <v>1</v>
      </c>
      <c r="C4406" s="12" t="str">
        <f>VLOOKUP((WEEKDAY(Movimientos_2026[[#This Row],[Fecha]],2)),'5. Setup'!$D$6:$E$12,2,FALSE)</f>
        <v>Sab</v>
      </c>
      <c r="E4406" t="str">
        <f>IFERROR(+VLOOKUP(Movimientos_2026[[#This Row],[Codigo]],Plan_cuentas[],2,FALSE)," ")</f>
        <v xml:space="preserve"> </v>
      </c>
      <c r="F4406" t="str">
        <f>IFERROR(+VLOOKUP(Movimientos_2026[[#This Row],[Codigo]],Plan_cuentas[],3,FALSE)," ")</f>
        <v xml:space="preserve"> </v>
      </c>
      <c r="G4406" t="str">
        <f>IFERROR(+VLOOKUP(Movimientos_2026[[#This Row],[Codigo]],Plan_cuentas[],4,FALSE)," ")</f>
        <v xml:space="preserve"> </v>
      </c>
      <c r="H4406" t="str">
        <f>IFERROR(+VLOOKUP(Movimientos_2026[[#This Row],[Codigo]],Plan_cuentas[],5,FALSE)," ")</f>
        <v xml:space="preserve"> </v>
      </c>
      <c r="I4406" s="43"/>
      <c r="K4406" t="str">
        <f>IFERROR(+VLOOKUP(Movimientos_2026[[#This Row],[Codigo]],Plan_cuentas[],6,FALSE)," ")</f>
        <v xml:space="preserve"> </v>
      </c>
      <c r="L4406" s="50"/>
      <c r="M4406" s="50"/>
      <c r="N4406" s="20">
        <f>+Movimientos_2026[[#This Row],[Ingresos]]-Movimientos_2026[[#This Row],[Egresos]]</f>
        <v>0</v>
      </c>
      <c r="O4406" s="20">
        <f>+O4405+Movimientos_2026[[#This Row],[Neto]]</f>
        <v>4581558617.7962294</v>
      </c>
    </row>
    <row r="4407" spans="1:15" x14ac:dyDescent="0.25">
      <c r="A4407" s="13"/>
      <c r="B4407" s="12">
        <f>MONTH(Movimientos_2026[[#This Row],[Fecha]])</f>
        <v>1</v>
      </c>
      <c r="C4407" s="12" t="str">
        <f>VLOOKUP((WEEKDAY(Movimientos_2026[[#This Row],[Fecha]],2)),'5. Setup'!$D$6:$E$12,2,FALSE)</f>
        <v>Sab</v>
      </c>
      <c r="E4407" t="str">
        <f>IFERROR(+VLOOKUP(Movimientos_2026[[#This Row],[Codigo]],Plan_cuentas[],2,FALSE)," ")</f>
        <v xml:space="preserve"> </v>
      </c>
      <c r="F4407" t="str">
        <f>IFERROR(+VLOOKUP(Movimientos_2026[[#This Row],[Codigo]],Plan_cuentas[],3,FALSE)," ")</f>
        <v xml:space="preserve"> </v>
      </c>
      <c r="G4407" t="str">
        <f>IFERROR(+VLOOKUP(Movimientos_2026[[#This Row],[Codigo]],Plan_cuentas[],4,FALSE)," ")</f>
        <v xml:space="preserve"> </v>
      </c>
      <c r="H4407" t="str">
        <f>IFERROR(+VLOOKUP(Movimientos_2026[[#This Row],[Codigo]],Plan_cuentas[],5,FALSE)," ")</f>
        <v xml:space="preserve"> </v>
      </c>
      <c r="I4407" s="43"/>
      <c r="K4407" t="str">
        <f>IFERROR(+VLOOKUP(Movimientos_2026[[#This Row],[Codigo]],Plan_cuentas[],6,FALSE)," ")</f>
        <v xml:space="preserve"> </v>
      </c>
      <c r="L4407" s="50"/>
      <c r="M4407" s="50"/>
      <c r="N4407" s="20">
        <f>+Movimientos_2026[[#This Row],[Ingresos]]-Movimientos_2026[[#This Row],[Egresos]]</f>
        <v>0</v>
      </c>
      <c r="O4407" s="20">
        <f>+O4406+Movimientos_2026[[#This Row],[Neto]]</f>
        <v>4581558617.7962294</v>
      </c>
    </row>
    <row r="4408" spans="1:15" x14ac:dyDescent="0.25">
      <c r="A4408" s="13"/>
      <c r="B4408" s="12">
        <f>MONTH(Movimientos_2026[[#This Row],[Fecha]])</f>
        <v>1</v>
      </c>
      <c r="C4408" s="12" t="str">
        <f>VLOOKUP((WEEKDAY(Movimientos_2026[[#This Row],[Fecha]],2)),'5. Setup'!$D$6:$E$12,2,FALSE)</f>
        <v>Sab</v>
      </c>
      <c r="E4408" t="str">
        <f>IFERROR(+VLOOKUP(Movimientos_2026[[#This Row],[Codigo]],Plan_cuentas[],2,FALSE)," ")</f>
        <v xml:space="preserve"> </v>
      </c>
      <c r="F4408" t="str">
        <f>IFERROR(+VLOOKUP(Movimientos_2026[[#This Row],[Codigo]],Plan_cuentas[],3,FALSE)," ")</f>
        <v xml:space="preserve"> </v>
      </c>
      <c r="G4408" t="str">
        <f>IFERROR(+VLOOKUP(Movimientos_2026[[#This Row],[Codigo]],Plan_cuentas[],4,FALSE)," ")</f>
        <v xml:space="preserve"> </v>
      </c>
      <c r="H4408" t="str">
        <f>IFERROR(+VLOOKUP(Movimientos_2026[[#This Row],[Codigo]],Plan_cuentas[],5,FALSE)," ")</f>
        <v xml:space="preserve"> </v>
      </c>
      <c r="I4408" s="43"/>
      <c r="K4408" t="str">
        <f>IFERROR(+VLOOKUP(Movimientos_2026[[#This Row],[Codigo]],Plan_cuentas[],6,FALSE)," ")</f>
        <v xml:space="preserve"> </v>
      </c>
      <c r="L4408" s="50"/>
      <c r="M4408" s="50"/>
      <c r="N4408" s="20">
        <f>+Movimientos_2026[[#This Row],[Ingresos]]-Movimientos_2026[[#This Row],[Egresos]]</f>
        <v>0</v>
      </c>
      <c r="O4408" s="20">
        <f>+O4407+Movimientos_2026[[#This Row],[Neto]]</f>
        <v>4581558617.7962294</v>
      </c>
    </row>
    <row r="4409" spans="1:15" x14ac:dyDescent="0.25">
      <c r="A4409" s="13"/>
      <c r="B4409" s="12">
        <f>MONTH(Movimientos_2026[[#This Row],[Fecha]])</f>
        <v>1</v>
      </c>
      <c r="C4409" s="12" t="str">
        <f>VLOOKUP((WEEKDAY(Movimientos_2026[[#This Row],[Fecha]],2)),'5. Setup'!$D$6:$E$12,2,FALSE)</f>
        <v>Sab</v>
      </c>
      <c r="E4409" t="str">
        <f>IFERROR(+VLOOKUP(Movimientos_2026[[#This Row],[Codigo]],Plan_cuentas[],2,FALSE)," ")</f>
        <v xml:space="preserve"> </v>
      </c>
      <c r="F4409" t="str">
        <f>IFERROR(+VLOOKUP(Movimientos_2026[[#This Row],[Codigo]],Plan_cuentas[],3,FALSE)," ")</f>
        <v xml:space="preserve"> </v>
      </c>
      <c r="G4409" t="str">
        <f>IFERROR(+VLOOKUP(Movimientos_2026[[#This Row],[Codigo]],Plan_cuentas[],4,FALSE)," ")</f>
        <v xml:space="preserve"> </v>
      </c>
      <c r="H4409" t="str">
        <f>IFERROR(+VLOOKUP(Movimientos_2026[[#This Row],[Codigo]],Plan_cuentas[],5,FALSE)," ")</f>
        <v xml:space="preserve"> </v>
      </c>
      <c r="I4409" s="43"/>
      <c r="K4409" t="str">
        <f>IFERROR(+VLOOKUP(Movimientos_2026[[#This Row],[Codigo]],Plan_cuentas[],6,FALSE)," ")</f>
        <v xml:space="preserve"> </v>
      </c>
      <c r="L4409" s="50"/>
      <c r="M4409" s="50"/>
      <c r="N4409" s="20">
        <f>+Movimientos_2026[[#This Row],[Ingresos]]-Movimientos_2026[[#This Row],[Egresos]]</f>
        <v>0</v>
      </c>
      <c r="O4409" s="20">
        <f>+O4408+Movimientos_2026[[#This Row],[Neto]]</f>
        <v>4581558617.7962294</v>
      </c>
    </row>
    <row r="4410" spans="1:15" x14ac:dyDescent="0.25">
      <c r="A4410" s="13"/>
      <c r="B4410" s="12">
        <f>MONTH(Movimientos_2026[[#This Row],[Fecha]])</f>
        <v>1</v>
      </c>
      <c r="C4410" s="12" t="str">
        <f>VLOOKUP((WEEKDAY(Movimientos_2026[[#This Row],[Fecha]],2)),'5. Setup'!$D$6:$E$12,2,FALSE)</f>
        <v>Sab</v>
      </c>
      <c r="E4410" t="str">
        <f>IFERROR(+VLOOKUP(Movimientos_2026[[#This Row],[Codigo]],Plan_cuentas[],2,FALSE)," ")</f>
        <v xml:space="preserve"> </v>
      </c>
      <c r="F4410" t="str">
        <f>IFERROR(+VLOOKUP(Movimientos_2026[[#This Row],[Codigo]],Plan_cuentas[],3,FALSE)," ")</f>
        <v xml:space="preserve"> </v>
      </c>
      <c r="G4410" t="str">
        <f>IFERROR(+VLOOKUP(Movimientos_2026[[#This Row],[Codigo]],Plan_cuentas[],4,FALSE)," ")</f>
        <v xml:space="preserve"> </v>
      </c>
      <c r="H4410" t="str">
        <f>IFERROR(+VLOOKUP(Movimientos_2026[[#This Row],[Codigo]],Plan_cuentas[],5,FALSE)," ")</f>
        <v xml:space="preserve"> </v>
      </c>
      <c r="I4410" s="43"/>
      <c r="K4410" t="str">
        <f>IFERROR(+VLOOKUP(Movimientos_2026[[#This Row],[Codigo]],Plan_cuentas[],6,FALSE)," ")</f>
        <v xml:space="preserve"> </v>
      </c>
      <c r="L4410" s="50"/>
      <c r="M4410" s="50"/>
      <c r="N4410" s="20">
        <f>+Movimientos_2026[[#This Row],[Ingresos]]-Movimientos_2026[[#This Row],[Egresos]]</f>
        <v>0</v>
      </c>
      <c r="O4410" s="20">
        <f>+O4409+Movimientos_2026[[#This Row],[Neto]]</f>
        <v>4581558617.7962294</v>
      </c>
    </row>
    <row r="4411" spans="1:15" x14ac:dyDescent="0.25">
      <c r="A4411" s="13"/>
      <c r="B4411" s="12">
        <f>MONTH(Movimientos_2026[[#This Row],[Fecha]])</f>
        <v>1</v>
      </c>
      <c r="C4411" s="12" t="str">
        <f>VLOOKUP((WEEKDAY(Movimientos_2026[[#This Row],[Fecha]],2)),'5. Setup'!$D$6:$E$12,2,FALSE)</f>
        <v>Sab</v>
      </c>
      <c r="E4411" t="str">
        <f>IFERROR(+VLOOKUP(Movimientos_2026[[#This Row],[Codigo]],Plan_cuentas[],2,FALSE)," ")</f>
        <v xml:space="preserve"> </v>
      </c>
      <c r="F4411" t="str">
        <f>IFERROR(+VLOOKUP(Movimientos_2026[[#This Row],[Codigo]],Plan_cuentas[],3,FALSE)," ")</f>
        <v xml:space="preserve"> </v>
      </c>
      <c r="G4411" t="str">
        <f>IFERROR(+VLOOKUP(Movimientos_2026[[#This Row],[Codigo]],Plan_cuentas[],4,FALSE)," ")</f>
        <v xml:space="preserve"> </v>
      </c>
      <c r="H4411" t="str">
        <f>IFERROR(+VLOOKUP(Movimientos_2026[[#This Row],[Codigo]],Plan_cuentas[],5,FALSE)," ")</f>
        <v xml:space="preserve"> </v>
      </c>
      <c r="I4411" s="43"/>
      <c r="K4411" t="str">
        <f>IFERROR(+VLOOKUP(Movimientos_2026[[#This Row],[Codigo]],Plan_cuentas[],6,FALSE)," ")</f>
        <v xml:space="preserve"> </v>
      </c>
      <c r="L4411" s="50"/>
      <c r="M4411" s="50"/>
      <c r="N4411" s="20">
        <f>+Movimientos_2026[[#This Row],[Ingresos]]-Movimientos_2026[[#This Row],[Egresos]]</f>
        <v>0</v>
      </c>
      <c r="O4411" s="20">
        <f>+O4410+Movimientos_2026[[#This Row],[Neto]]</f>
        <v>4581558617.7962294</v>
      </c>
    </row>
    <row r="4412" spans="1:15" x14ac:dyDescent="0.25">
      <c r="A4412" s="13"/>
      <c r="B4412" s="12">
        <f>MONTH(Movimientos_2026[[#This Row],[Fecha]])</f>
        <v>1</v>
      </c>
      <c r="C4412" s="12" t="str">
        <f>VLOOKUP((WEEKDAY(Movimientos_2026[[#This Row],[Fecha]],2)),'5. Setup'!$D$6:$E$12,2,FALSE)</f>
        <v>Sab</v>
      </c>
      <c r="E4412" t="str">
        <f>IFERROR(+VLOOKUP(Movimientos_2026[[#This Row],[Codigo]],Plan_cuentas[],2,FALSE)," ")</f>
        <v xml:space="preserve"> </v>
      </c>
      <c r="F4412" t="str">
        <f>IFERROR(+VLOOKUP(Movimientos_2026[[#This Row],[Codigo]],Plan_cuentas[],3,FALSE)," ")</f>
        <v xml:space="preserve"> </v>
      </c>
      <c r="G4412" t="str">
        <f>IFERROR(+VLOOKUP(Movimientos_2026[[#This Row],[Codigo]],Plan_cuentas[],4,FALSE)," ")</f>
        <v xml:space="preserve"> </v>
      </c>
      <c r="H4412" t="str">
        <f>IFERROR(+VLOOKUP(Movimientos_2026[[#This Row],[Codigo]],Plan_cuentas[],5,FALSE)," ")</f>
        <v xml:space="preserve"> </v>
      </c>
      <c r="I4412" s="43"/>
      <c r="K4412" t="str">
        <f>IFERROR(+VLOOKUP(Movimientos_2026[[#This Row],[Codigo]],Plan_cuentas[],6,FALSE)," ")</f>
        <v xml:space="preserve"> </v>
      </c>
      <c r="L4412" s="50"/>
      <c r="M4412" s="50"/>
      <c r="N4412" s="20">
        <f>+Movimientos_2026[[#This Row],[Ingresos]]-Movimientos_2026[[#This Row],[Egresos]]</f>
        <v>0</v>
      </c>
      <c r="O4412" s="20">
        <f>+O4411+Movimientos_2026[[#This Row],[Neto]]</f>
        <v>4581558617.7962294</v>
      </c>
    </row>
    <row r="4413" spans="1:15" x14ac:dyDescent="0.25">
      <c r="A4413" s="13"/>
      <c r="B4413" s="12">
        <f>MONTH(Movimientos_2026[[#This Row],[Fecha]])</f>
        <v>1</v>
      </c>
      <c r="C4413" s="12" t="str">
        <f>VLOOKUP((WEEKDAY(Movimientos_2026[[#This Row],[Fecha]],2)),'5. Setup'!$D$6:$E$12,2,FALSE)</f>
        <v>Sab</v>
      </c>
      <c r="E4413" t="str">
        <f>IFERROR(+VLOOKUP(Movimientos_2026[[#This Row],[Codigo]],Plan_cuentas[],2,FALSE)," ")</f>
        <v xml:space="preserve"> </v>
      </c>
      <c r="F4413" t="str">
        <f>IFERROR(+VLOOKUP(Movimientos_2026[[#This Row],[Codigo]],Plan_cuentas[],3,FALSE)," ")</f>
        <v xml:space="preserve"> </v>
      </c>
      <c r="G4413" t="str">
        <f>IFERROR(+VLOOKUP(Movimientos_2026[[#This Row],[Codigo]],Plan_cuentas[],4,FALSE)," ")</f>
        <v xml:space="preserve"> </v>
      </c>
      <c r="H4413" t="str">
        <f>IFERROR(+VLOOKUP(Movimientos_2026[[#This Row],[Codigo]],Plan_cuentas[],5,FALSE)," ")</f>
        <v xml:space="preserve"> </v>
      </c>
      <c r="I4413" s="43"/>
      <c r="K4413" t="str">
        <f>IFERROR(+VLOOKUP(Movimientos_2026[[#This Row],[Codigo]],Plan_cuentas[],6,FALSE)," ")</f>
        <v xml:space="preserve"> </v>
      </c>
      <c r="L4413" s="50"/>
      <c r="M4413" s="50"/>
      <c r="N4413" s="20">
        <f>+Movimientos_2026[[#This Row],[Ingresos]]-Movimientos_2026[[#This Row],[Egresos]]</f>
        <v>0</v>
      </c>
      <c r="O4413" s="20">
        <f>+O4412+Movimientos_2026[[#This Row],[Neto]]</f>
        <v>4581558617.7962294</v>
      </c>
    </row>
    <row r="4414" spans="1:15" x14ac:dyDescent="0.25">
      <c r="A4414" s="13"/>
      <c r="B4414" s="12">
        <f>MONTH(Movimientos_2026[[#This Row],[Fecha]])</f>
        <v>1</v>
      </c>
      <c r="C4414" s="12" t="str">
        <f>VLOOKUP((WEEKDAY(Movimientos_2026[[#This Row],[Fecha]],2)),'5. Setup'!$D$6:$E$12,2,FALSE)</f>
        <v>Sab</v>
      </c>
      <c r="E4414" t="str">
        <f>IFERROR(+VLOOKUP(Movimientos_2026[[#This Row],[Codigo]],Plan_cuentas[],2,FALSE)," ")</f>
        <v xml:space="preserve"> </v>
      </c>
      <c r="F4414" t="str">
        <f>IFERROR(+VLOOKUP(Movimientos_2026[[#This Row],[Codigo]],Plan_cuentas[],3,FALSE)," ")</f>
        <v xml:space="preserve"> </v>
      </c>
      <c r="G4414" t="str">
        <f>IFERROR(+VLOOKUP(Movimientos_2026[[#This Row],[Codigo]],Plan_cuentas[],4,FALSE)," ")</f>
        <v xml:space="preserve"> </v>
      </c>
      <c r="H4414" t="str">
        <f>IFERROR(+VLOOKUP(Movimientos_2026[[#This Row],[Codigo]],Plan_cuentas[],5,FALSE)," ")</f>
        <v xml:space="preserve"> </v>
      </c>
      <c r="I4414" s="43"/>
      <c r="K4414" t="str">
        <f>IFERROR(+VLOOKUP(Movimientos_2026[[#This Row],[Codigo]],Plan_cuentas[],6,FALSE)," ")</f>
        <v xml:space="preserve"> </v>
      </c>
      <c r="L4414" s="50"/>
      <c r="M4414" s="50"/>
      <c r="N4414" s="20">
        <f>+Movimientos_2026[[#This Row],[Ingresos]]-Movimientos_2026[[#This Row],[Egresos]]</f>
        <v>0</v>
      </c>
      <c r="O4414" s="20">
        <f>+O4413+Movimientos_2026[[#This Row],[Neto]]</f>
        <v>4581558617.7962294</v>
      </c>
    </row>
    <row r="4415" spans="1:15" x14ac:dyDescent="0.25">
      <c r="A4415" s="13"/>
      <c r="B4415" s="12">
        <f>MONTH(Movimientos_2026[[#This Row],[Fecha]])</f>
        <v>1</v>
      </c>
      <c r="C4415" s="12" t="str">
        <f>VLOOKUP((WEEKDAY(Movimientos_2026[[#This Row],[Fecha]],2)),'5. Setup'!$D$6:$E$12,2,FALSE)</f>
        <v>Sab</v>
      </c>
      <c r="E4415" t="str">
        <f>IFERROR(+VLOOKUP(Movimientos_2026[[#This Row],[Codigo]],Plan_cuentas[],2,FALSE)," ")</f>
        <v xml:space="preserve"> </v>
      </c>
      <c r="F4415" t="str">
        <f>IFERROR(+VLOOKUP(Movimientos_2026[[#This Row],[Codigo]],Plan_cuentas[],3,FALSE)," ")</f>
        <v xml:space="preserve"> </v>
      </c>
      <c r="G4415" t="str">
        <f>IFERROR(+VLOOKUP(Movimientos_2026[[#This Row],[Codigo]],Plan_cuentas[],4,FALSE)," ")</f>
        <v xml:space="preserve"> </v>
      </c>
      <c r="H4415" t="str">
        <f>IFERROR(+VLOOKUP(Movimientos_2026[[#This Row],[Codigo]],Plan_cuentas[],5,FALSE)," ")</f>
        <v xml:space="preserve"> </v>
      </c>
      <c r="I4415" s="43"/>
      <c r="K4415" t="str">
        <f>IFERROR(+VLOOKUP(Movimientos_2026[[#This Row],[Codigo]],Plan_cuentas[],6,FALSE)," ")</f>
        <v xml:space="preserve"> </v>
      </c>
      <c r="L4415" s="50"/>
      <c r="M4415" s="50"/>
      <c r="N4415" s="20">
        <f>+Movimientos_2026[[#This Row],[Ingresos]]-Movimientos_2026[[#This Row],[Egresos]]</f>
        <v>0</v>
      </c>
      <c r="O4415" s="20">
        <f>+O4414+Movimientos_2026[[#This Row],[Neto]]</f>
        <v>4581558617.7962294</v>
      </c>
    </row>
    <row r="4416" spans="1:15" x14ac:dyDescent="0.25">
      <c r="A4416" s="13"/>
      <c r="B4416" s="12">
        <f>MONTH(Movimientos_2026[[#This Row],[Fecha]])</f>
        <v>1</v>
      </c>
      <c r="C4416" s="12" t="str">
        <f>VLOOKUP((WEEKDAY(Movimientos_2026[[#This Row],[Fecha]],2)),'5. Setup'!$D$6:$E$12,2,FALSE)</f>
        <v>Sab</v>
      </c>
      <c r="E4416" t="str">
        <f>IFERROR(+VLOOKUP(Movimientos_2026[[#This Row],[Codigo]],Plan_cuentas[],2,FALSE)," ")</f>
        <v xml:space="preserve"> </v>
      </c>
      <c r="F4416" t="str">
        <f>IFERROR(+VLOOKUP(Movimientos_2026[[#This Row],[Codigo]],Plan_cuentas[],3,FALSE)," ")</f>
        <v xml:space="preserve"> </v>
      </c>
      <c r="G4416" t="str">
        <f>IFERROR(+VLOOKUP(Movimientos_2026[[#This Row],[Codigo]],Plan_cuentas[],4,FALSE)," ")</f>
        <v xml:space="preserve"> </v>
      </c>
      <c r="H4416" t="str">
        <f>IFERROR(+VLOOKUP(Movimientos_2026[[#This Row],[Codigo]],Plan_cuentas[],5,FALSE)," ")</f>
        <v xml:space="preserve"> </v>
      </c>
      <c r="I4416" s="43"/>
      <c r="K4416" t="str">
        <f>IFERROR(+VLOOKUP(Movimientos_2026[[#This Row],[Codigo]],Plan_cuentas[],6,FALSE)," ")</f>
        <v xml:space="preserve"> </v>
      </c>
      <c r="L4416" s="50"/>
      <c r="M4416" s="50"/>
      <c r="N4416" s="20">
        <f>+Movimientos_2026[[#This Row],[Ingresos]]-Movimientos_2026[[#This Row],[Egresos]]</f>
        <v>0</v>
      </c>
      <c r="O4416" s="20">
        <f>+O4415+Movimientos_2026[[#This Row],[Neto]]</f>
        <v>4581558617.7962294</v>
      </c>
    </row>
    <row r="4417" spans="1:15" x14ac:dyDescent="0.25">
      <c r="A4417" s="13"/>
      <c r="B4417" s="12">
        <f>MONTH(Movimientos_2026[[#This Row],[Fecha]])</f>
        <v>1</v>
      </c>
      <c r="C4417" s="12" t="str">
        <f>VLOOKUP((WEEKDAY(Movimientos_2026[[#This Row],[Fecha]],2)),'5. Setup'!$D$6:$E$12,2,FALSE)</f>
        <v>Sab</v>
      </c>
      <c r="E4417" t="str">
        <f>IFERROR(+VLOOKUP(Movimientos_2026[[#This Row],[Codigo]],Plan_cuentas[],2,FALSE)," ")</f>
        <v xml:space="preserve"> </v>
      </c>
      <c r="F4417" t="str">
        <f>IFERROR(+VLOOKUP(Movimientos_2026[[#This Row],[Codigo]],Plan_cuentas[],3,FALSE)," ")</f>
        <v xml:space="preserve"> </v>
      </c>
      <c r="G4417" t="str">
        <f>IFERROR(+VLOOKUP(Movimientos_2026[[#This Row],[Codigo]],Plan_cuentas[],4,FALSE)," ")</f>
        <v xml:space="preserve"> </v>
      </c>
      <c r="H4417" t="str">
        <f>IFERROR(+VLOOKUP(Movimientos_2026[[#This Row],[Codigo]],Plan_cuentas[],5,FALSE)," ")</f>
        <v xml:space="preserve"> </v>
      </c>
      <c r="I4417" s="43"/>
      <c r="K4417" t="str">
        <f>IFERROR(+VLOOKUP(Movimientos_2026[[#This Row],[Codigo]],Plan_cuentas[],6,FALSE)," ")</f>
        <v xml:space="preserve"> </v>
      </c>
      <c r="L4417" s="50"/>
      <c r="M4417" s="50"/>
      <c r="N4417" s="20">
        <f>+Movimientos_2026[[#This Row],[Ingresos]]-Movimientos_2026[[#This Row],[Egresos]]</f>
        <v>0</v>
      </c>
      <c r="O4417" s="20">
        <f>+O4416+Movimientos_2026[[#This Row],[Neto]]</f>
        <v>4581558617.7962294</v>
      </c>
    </row>
    <row r="4418" spans="1:15" x14ac:dyDescent="0.25">
      <c r="A4418" s="13"/>
      <c r="B4418" s="12">
        <f>MONTH(Movimientos_2026[[#This Row],[Fecha]])</f>
        <v>1</v>
      </c>
      <c r="C4418" s="12" t="str">
        <f>VLOOKUP((WEEKDAY(Movimientos_2026[[#This Row],[Fecha]],2)),'5. Setup'!$D$6:$E$12,2,FALSE)</f>
        <v>Sab</v>
      </c>
      <c r="E4418" t="str">
        <f>IFERROR(+VLOOKUP(Movimientos_2026[[#This Row],[Codigo]],Plan_cuentas[],2,FALSE)," ")</f>
        <v xml:space="preserve"> </v>
      </c>
      <c r="F4418" t="str">
        <f>IFERROR(+VLOOKUP(Movimientos_2026[[#This Row],[Codigo]],Plan_cuentas[],3,FALSE)," ")</f>
        <v xml:space="preserve"> </v>
      </c>
      <c r="G4418" t="str">
        <f>IFERROR(+VLOOKUP(Movimientos_2026[[#This Row],[Codigo]],Plan_cuentas[],4,FALSE)," ")</f>
        <v xml:space="preserve"> </v>
      </c>
      <c r="H4418" t="str">
        <f>IFERROR(+VLOOKUP(Movimientos_2026[[#This Row],[Codigo]],Plan_cuentas[],5,FALSE)," ")</f>
        <v xml:space="preserve"> </v>
      </c>
      <c r="I4418" s="43"/>
      <c r="K4418" t="str">
        <f>IFERROR(+VLOOKUP(Movimientos_2026[[#This Row],[Codigo]],Plan_cuentas[],6,FALSE)," ")</f>
        <v xml:space="preserve"> </v>
      </c>
      <c r="L4418" s="50"/>
      <c r="M4418" s="50"/>
      <c r="N4418" s="20">
        <f>+Movimientos_2026[[#This Row],[Ingresos]]-Movimientos_2026[[#This Row],[Egresos]]</f>
        <v>0</v>
      </c>
      <c r="O4418" s="20">
        <f>+O4417+Movimientos_2026[[#This Row],[Neto]]</f>
        <v>4581558617.7962294</v>
      </c>
    </row>
    <row r="4419" spans="1:15" x14ac:dyDescent="0.25">
      <c r="A4419" s="13"/>
      <c r="B4419" s="12">
        <f>MONTH(Movimientos_2026[[#This Row],[Fecha]])</f>
        <v>1</v>
      </c>
      <c r="C4419" s="12" t="str">
        <f>VLOOKUP((WEEKDAY(Movimientos_2026[[#This Row],[Fecha]],2)),'5. Setup'!$D$6:$E$12,2,FALSE)</f>
        <v>Sab</v>
      </c>
      <c r="E4419" t="str">
        <f>IFERROR(+VLOOKUP(Movimientos_2026[[#This Row],[Codigo]],Plan_cuentas[],2,FALSE)," ")</f>
        <v xml:space="preserve"> </v>
      </c>
      <c r="F4419" t="str">
        <f>IFERROR(+VLOOKUP(Movimientos_2026[[#This Row],[Codigo]],Plan_cuentas[],3,FALSE)," ")</f>
        <v xml:space="preserve"> </v>
      </c>
      <c r="G4419" t="str">
        <f>IFERROR(+VLOOKUP(Movimientos_2026[[#This Row],[Codigo]],Plan_cuentas[],4,FALSE)," ")</f>
        <v xml:space="preserve"> </v>
      </c>
      <c r="H4419" t="str">
        <f>IFERROR(+VLOOKUP(Movimientos_2026[[#This Row],[Codigo]],Plan_cuentas[],5,FALSE)," ")</f>
        <v xml:space="preserve"> </v>
      </c>
      <c r="I4419" s="43"/>
      <c r="K4419" t="str">
        <f>IFERROR(+VLOOKUP(Movimientos_2026[[#This Row],[Codigo]],Plan_cuentas[],6,FALSE)," ")</f>
        <v xml:space="preserve"> </v>
      </c>
      <c r="L4419" s="50"/>
      <c r="M4419" s="50"/>
      <c r="N4419" s="20">
        <f>+Movimientos_2026[[#This Row],[Ingresos]]-Movimientos_2026[[#This Row],[Egresos]]</f>
        <v>0</v>
      </c>
      <c r="O4419" s="20">
        <f>+O4418+Movimientos_2026[[#This Row],[Neto]]</f>
        <v>4581558617.7962294</v>
      </c>
    </row>
    <row r="4420" spans="1:15" x14ac:dyDescent="0.25">
      <c r="A4420" s="13"/>
      <c r="B4420" s="12">
        <f>MONTH(Movimientos_2026[[#This Row],[Fecha]])</f>
        <v>1</v>
      </c>
      <c r="C4420" s="12" t="str">
        <f>VLOOKUP((WEEKDAY(Movimientos_2026[[#This Row],[Fecha]],2)),'5. Setup'!$D$6:$E$12,2,FALSE)</f>
        <v>Sab</v>
      </c>
      <c r="E4420" t="str">
        <f>IFERROR(+VLOOKUP(Movimientos_2026[[#This Row],[Codigo]],Plan_cuentas[],2,FALSE)," ")</f>
        <v xml:space="preserve"> </v>
      </c>
      <c r="F4420" t="str">
        <f>IFERROR(+VLOOKUP(Movimientos_2026[[#This Row],[Codigo]],Plan_cuentas[],3,FALSE)," ")</f>
        <v xml:space="preserve"> </v>
      </c>
      <c r="G4420" t="str">
        <f>IFERROR(+VLOOKUP(Movimientos_2026[[#This Row],[Codigo]],Plan_cuentas[],4,FALSE)," ")</f>
        <v xml:space="preserve"> </v>
      </c>
      <c r="H4420" t="str">
        <f>IFERROR(+VLOOKUP(Movimientos_2026[[#This Row],[Codigo]],Plan_cuentas[],5,FALSE)," ")</f>
        <v xml:space="preserve"> </v>
      </c>
      <c r="I4420" s="43"/>
      <c r="K4420" t="str">
        <f>IFERROR(+VLOOKUP(Movimientos_2026[[#This Row],[Codigo]],Plan_cuentas[],6,FALSE)," ")</f>
        <v xml:space="preserve"> </v>
      </c>
      <c r="L4420" s="50"/>
      <c r="M4420" s="50"/>
      <c r="N4420" s="20">
        <f>+Movimientos_2026[[#This Row],[Ingresos]]-Movimientos_2026[[#This Row],[Egresos]]</f>
        <v>0</v>
      </c>
      <c r="O4420" s="20">
        <f>+O4419+Movimientos_2026[[#This Row],[Neto]]</f>
        <v>4581558617.7962294</v>
      </c>
    </row>
    <row r="4421" spans="1:15" x14ac:dyDescent="0.25">
      <c r="A4421" s="13"/>
      <c r="B4421" s="12">
        <f>MONTH(Movimientos_2026[[#This Row],[Fecha]])</f>
        <v>1</v>
      </c>
      <c r="C4421" s="12" t="str">
        <f>VLOOKUP((WEEKDAY(Movimientos_2026[[#This Row],[Fecha]],2)),'5. Setup'!$D$6:$E$12,2,FALSE)</f>
        <v>Sab</v>
      </c>
      <c r="E4421" t="str">
        <f>IFERROR(+VLOOKUP(Movimientos_2026[[#This Row],[Codigo]],Plan_cuentas[],2,FALSE)," ")</f>
        <v xml:space="preserve"> </v>
      </c>
      <c r="F4421" t="str">
        <f>IFERROR(+VLOOKUP(Movimientos_2026[[#This Row],[Codigo]],Plan_cuentas[],3,FALSE)," ")</f>
        <v xml:space="preserve"> </v>
      </c>
      <c r="G4421" t="str">
        <f>IFERROR(+VLOOKUP(Movimientos_2026[[#This Row],[Codigo]],Plan_cuentas[],4,FALSE)," ")</f>
        <v xml:space="preserve"> </v>
      </c>
      <c r="H4421" t="str">
        <f>IFERROR(+VLOOKUP(Movimientos_2026[[#This Row],[Codigo]],Plan_cuentas[],5,FALSE)," ")</f>
        <v xml:space="preserve"> </v>
      </c>
      <c r="I4421" s="43"/>
      <c r="K4421" t="str">
        <f>IFERROR(+VLOOKUP(Movimientos_2026[[#This Row],[Codigo]],Plan_cuentas[],6,FALSE)," ")</f>
        <v xml:space="preserve"> </v>
      </c>
      <c r="L4421" s="50"/>
      <c r="M4421" s="50"/>
      <c r="N4421" s="20">
        <f>+Movimientos_2026[[#This Row],[Ingresos]]-Movimientos_2026[[#This Row],[Egresos]]</f>
        <v>0</v>
      </c>
      <c r="O4421" s="20">
        <f>+O4420+Movimientos_2026[[#This Row],[Neto]]</f>
        <v>4581558617.7962294</v>
      </c>
    </row>
    <row r="4422" spans="1:15" x14ac:dyDescent="0.25">
      <c r="A4422" s="13"/>
      <c r="B4422" s="12">
        <f>MONTH(Movimientos_2026[[#This Row],[Fecha]])</f>
        <v>1</v>
      </c>
      <c r="C4422" s="12" t="str">
        <f>VLOOKUP((WEEKDAY(Movimientos_2026[[#This Row],[Fecha]],2)),'5. Setup'!$D$6:$E$12,2,FALSE)</f>
        <v>Sab</v>
      </c>
      <c r="E4422" t="str">
        <f>IFERROR(+VLOOKUP(Movimientos_2026[[#This Row],[Codigo]],Plan_cuentas[],2,FALSE)," ")</f>
        <v xml:space="preserve"> </v>
      </c>
      <c r="F4422" t="str">
        <f>IFERROR(+VLOOKUP(Movimientos_2026[[#This Row],[Codigo]],Plan_cuentas[],3,FALSE)," ")</f>
        <v xml:space="preserve"> </v>
      </c>
      <c r="G4422" t="str">
        <f>IFERROR(+VLOOKUP(Movimientos_2026[[#This Row],[Codigo]],Plan_cuentas[],4,FALSE)," ")</f>
        <v xml:space="preserve"> </v>
      </c>
      <c r="H4422" t="str">
        <f>IFERROR(+VLOOKUP(Movimientos_2026[[#This Row],[Codigo]],Plan_cuentas[],5,FALSE)," ")</f>
        <v xml:space="preserve"> </v>
      </c>
      <c r="I4422" s="43"/>
      <c r="K4422" t="str">
        <f>IFERROR(+VLOOKUP(Movimientos_2026[[#This Row],[Codigo]],Plan_cuentas[],6,FALSE)," ")</f>
        <v xml:space="preserve"> </v>
      </c>
      <c r="L4422" s="50"/>
      <c r="M4422" s="50"/>
      <c r="N4422" s="20">
        <f>+Movimientos_2026[[#This Row],[Ingresos]]-Movimientos_2026[[#This Row],[Egresos]]</f>
        <v>0</v>
      </c>
      <c r="O4422" s="20">
        <f>+O4421+Movimientos_2026[[#This Row],[Neto]]</f>
        <v>4581558617.7962294</v>
      </c>
    </row>
    <row r="4423" spans="1:15" x14ac:dyDescent="0.25">
      <c r="A4423" s="13"/>
      <c r="B4423" s="12">
        <f>MONTH(Movimientos_2026[[#This Row],[Fecha]])</f>
        <v>1</v>
      </c>
      <c r="C4423" s="12" t="str">
        <f>VLOOKUP((WEEKDAY(Movimientos_2026[[#This Row],[Fecha]],2)),'5. Setup'!$D$6:$E$12,2,FALSE)</f>
        <v>Sab</v>
      </c>
      <c r="E4423" t="str">
        <f>IFERROR(+VLOOKUP(Movimientos_2026[[#This Row],[Codigo]],Plan_cuentas[],2,FALSE)," ")</f>
        <v xml:space="preserve"> </v>
      </c>
      <c r="F4423" t="str">
        <f>IFERROR(+VLOOKUP(Movimientos_2026[[#This Row],[Codigo]],Plan_cuentas[],3,FALSE)," ")</f>
        <v xml:space="preserve"> </v>
      </c>
      <c r="G4423" t="str">
        <f>IFERROR(+VLOOKUP(Movimientos_2026[[#This Row],[Codigo]],Plan_cuentas[],4,FALSE)," ")</f>
        <v xml:space="preserve"> </v>
      </c>
      <c r="H4423" t="str">
        <f>IFERROR(+VLOOKUP(Movimientos_2026[[#This Row],[Codigo]],Plan_cuentas[],5,FALSE)," ")</f>
        <v xml:space="preserve"> </v>
      </c>
      <c r="I4423" s="43"/>
      <c r="K4423" t="str">
        <f>IFERROR(+VLOOKUP(Movimientos_2026[[#This Row],[Codigo]],Plan_cuentas[],6,FALSE)," ")</f>
        <v xml:space="preserve"> </v>
      </c>
      <c r="L4423" s="50"/>
      <c r="M4423" s="50"/>
      <c r="N4423" s="20">
        <f>+Movimientos_2026[[#This Row],[Ingresos]]-Movimientos_2026[[#This Row],[Egresos]]</f>
        <v>0</v>
      </c>
      <c r="O4423" s="20">
        <f>+O4422+Movimientos_2026[[#This Row],[Neto]]</f>
        <v>4581558617.7962294</v>
      </c>
    </row>
    <row r="4424" spans="1:15" x14ac:dyDescent="0.25">
      <c r="A4424" s="13"/>
      <c r="B4424" s="12">
        <f>MONTH(Movimientos_2026[[#This Row],[Fecha]])</f>
        <v>1</v>
      </c>
      <c r="C4424" s="12" t="str">
        <f>VLOOKUP((WEEKDAY(Movimientos_2026[[#This Row],[Fecha]],2)),'5. Setup'!$D$6:$E$12,2,FALSE)</f>
        <v>Sab</v>
      </c>
      <c r="E4424" t="str">
        <f>IFERROR(+VLOOKUP(Movimientos_2026[[#This Row],[Codigo]],Plan_cuentas[],2,FALSE)," ")</f>
        <v xml:space="preserve"> </v>
      </c>
      <c r="F4424" t="str">
        <f>IFERROR(+VLOOKUP(Movimientos_2026[[#This Row],[Codigo]],Plan_cuentas[],3,FALSE)," ")</f>
        <v xml:space="preserve"> </v>
      </c>
      <c r="G4424" t="str">
        <f>IFERROR(+VLOOKUP(Movimientos_2026[[#This Row],[Codigo]],Plan_cuentas[],4,FALSE)," ")</f>
        <v xml:space="preserve"> </v>
      </c>
      <c r="H4424" t="str">
        <f>IFERROR(+VLOOKUP(Movimientos_2026[[#This Row],[Codigo]],Plan_cuentas[],5,FALSE)," ")</f>
        <v xml:space="preserve"> </v>
      </c>
      <c r="I4424" s="43"/>
      <c r="K4424" t="str">
        <f>IFERROR(+VLOOKUP(Movimientos_2026[[#This Row],[Codigo]],Plan_cuentas[],6,FALSE)," ")</f>
        <v xml:space="preserve"> </v>
      </c>
      <c r="L4424" s="50"/>
      <c r="M4424" s="50"/>
      <c r="N4424" s="20">
        <f>+Movimientos_2026[[#This Row],[Ingresos]]-Movimientos_2026[[#This Row],[Egresos]]</f>
        <v>0</v>
      </c>
      <c r="O4424" s="20">
        <f>+O4423+Movimientos_2026[[#This Row],[Neto]]</f>
        <v>4581558617.7962294</v>
      </c>
    </row>
    <row r="4425" spans="1:15" x14ac:dyDescent="0.25">
      <c r="A4425" s="13"/>
      <c r="B4425" s="12">
        <f>MONTH(Movimientos_2026[[#This Row],[Fecha]])</f>
        <v>1</v>
      </c>
      <c r="C4425" s="12" t="str">
        <f>VLOOKUP((WEEKDAY(Movimientos_2026[[#This Row],[Fecha]],2)),'5. Setup'!$D$6:$E$12,2,FALSE)</f>
        <v>Sab</v>
      </c>
      <c r="E4425" t="str">
        <f>IFERROR(+VLOOKUP(Movimientos_2026[[#This Row],[Codigo]],Plan_cuentas[],2,FALSE)," ")</f>
        <v xml:space="preserve"> </v>
      </c>
      <c r="F4425" t="str">
        <f>IFERROR(+VLOOKUP(Movimientos_2026[[#This Row],[Codigo]],Plan_cuentas[],3,FALSE)," ")</f>
        <v xml:space="preserve"> </v>
      </c>
      <c r="G4425" t="str">
        <f>IFERROR(+VLOOKUP(Movimientos_2026[[#This Row],[Codigo]],Plan_cuentas[],4,FALSE)," ")</f>
        <v xml:space="preserve"> </v>
      </c>
      <c r="H4425" t="str">
        <f>IFERROR(+VLOOKUP(Movimientos_2026[[#This Row],[Codigo]],Plan_cuentas[],5,FALSE)," ")</f>
        <v xml:space="preserve"> </v>
      </c>
      <c r="I4425" s="43"/>
      <c r="K4425" t="str">
        <f>IFERROR(+VLOOKUP(Movimientos_2026[[#This Row],[Codigo]],Plan_cuentas[],6,FALSE)," ")</f>
        <v xml:space="preserve"> </v>
      </c>
      <c r="L4425" s="50"/>
      <c r="M4425" s="50"/>
      <c r="N4425" s="20">
        <f>+Movimientos_2026[[#This Row],[Ingresos]]-Movimientos_2026[[#This Row],[Egresos]]</f>
        <v>0</v>
      </c>
      <c r="O4425" s="20">
        <f>+O4424+Movimientos_2026[[#This Row],[Neto]]</f>
        <v>4581558617.7962294</v>
      </c>
    </row>
    <row r="4426" spans="1:15" x14ac:dyDescent="0.25">
      <c r="A4426" s="13"/>
      <c r="B4426" s="12">
        <f>MONTH(Movimientos_2026[[#This Row],[Fecha]])</f>
        <v>1</v>
      </c>
      <c r="C4426" s="12" t="str">
        <f>VLOOKUP((WEEKDAY(Movimientos_2026[[#This Row],[Fecha]],2)),'5. Setup'!$D$6:$E$12,2,FALSE)</f>
        <v>Sab</v>
      </c>
      <c r="E4426" t="str">
        <f>IFERROR(+VLOOKUP(Movimientos_2026[[#This Row],[Codigo]],Plan_cuentas[],2,FALSE)," ")</f>
        <v xml:space="preserve"> </v>
      </c>
      <c r="F4426" t="str">
        <f>IFERROR(+VLOOKUP(Movimientos_2026[[#This Row],[Codigo]],Plan_cuentas[],3,FALSE)," ")</f>
        <v xml:space="preserve"> </v>
      </c>
      <c r="G4426" t="str">
        <f>IFERROR(+VLOOKUP(Movimientos_2026[[#This Row],[Codigo]],Plan_cuentas[],4,FALSE)," ")</f>
        <v xml:space="preserve"> </v>
      </c>
      <c r="H4426" t="str">
        <f>IFERROR(+VLOOKUP(Movimientos_2026[[#This Row],[Codigo]],Plan_cuentas[],5,FALSE)," ")</f>
        <v xml:space="preserve"> </v>
      </c>
      <c r="I4426" s="43"/>
      <c r="K4426" t="str">
        <f>IFERROR(+VLOOKUP(Movimientos_2026[[#This Row],[Codigo]],Plan_cuentas[],6,FALSE)," ")</f>
        <v xml:space="preserve"> </v>
      </c>
      <c r="L4426" s="50"/>
      <c r="M4426" s="50"/>
      <c r="N4426" s="20">
        <f>+Movimientos_2026[[#This Row],[Ingresos]]-Movimientos_2026[[#This Row],[Egresos]]</f>
        <v>0</v>
      </c>
      <c r="O4426" s="20">
        <f>+O4425+Movimientos_2026[[#This Row],[Neto]]</f>
        <v>4581558617.7962294</v>
      </c>
    </row>
    <row r="4427" spans="1:15" x14ac:dyDescent="0.25">
      <c r="A4427" s="13"/>
      <c r="B4427" s="12">
        <f>MONTH(Movimientos_2026[[#This Row],[Fecha]])</f>
        <v>1</v>
      </c>
      <c r="C4427" s="12" t="str">
        <f>VLOOKUP((WEEKDAY(Movimientos_2026[[#This Row],[Fecha]],2)),'5. Setup'!$D$6:$E$12,2,FALSE)</f>
        <v>Sab</v>
      </c>
      <c r="E4427" t="str">
        <f>IFERROR(+VLOOKUP(Movimientos_2026[[#This Row],[Codigo]],Plan_cuentas[],2,FALSE)," ")</f>
        <v xml:space="preserve"> </v>
      </c>
      <c r="F4427" t="str">
        <f>IFERROR(+VLOOKUP(Movimientos_2026[[#This Row],[Codigo]],Plan_cuentas[],3,FALSE)," ")</f>
        <v xml:space="preserve"> </v>
      </c>
      <c r="G4427" t="str">
        <f>IFERROR(+VLOOKUP(Movimientos_2026[[#This Row],[Codigo]],Plan_cuentas[],4,FALSE)," ")</f>
        <v xml:space="preserve"> </v>
      </c>
      <c r="H4427" t="str">
        <f>IFERROR(+VLOOKUP(Movimientos_2026[[#This Row],[Codigo]],Plan_cuentas[],5,FALSE)," ")</f>
        <v xml:space="preserve"> </v>
      </c>
      <c r="I4427" s="43"/>
      <c r="K4427" t="str">
        <f>IFERROR(+VLOOKUP(Movimientos_2026[[#This Row],[Codigo]],Plan_cuentas[],6,FALSE)," ")</f>
        <v xml:space="preserve"> </v>
      </c>
      <c r="L4427" s="50"/>
      <c r="M4427" s="50"/>
      <c r="N4427" s="20">
        <f>+Movimientos_2026[[#This Row],[Ingresos]]-Movimientos_2026[[#This Row],[Egresos]]</f>
        <v>0</v>
      </c>
      <c r="O4427" s="20">
        <f>+O4426+Movimientos_2026[[#This Row],[Neto]]</f>
        <v>4581558617.7962294</v>
      </c>
    </row>
    <row r="4428" spans="1:15" x14ac:dyDescent="0.25">
      <c r="A4428" s="13"/>
      <c r="B4428" s="12">
        <f>MONTH(Movimientos_2026[[#This Row],[Fecha]])</f>
        <v>1</v>
      </c>
      <c r="C4428" s="12" t="str">
        <f>VLOOKUP((WEEKDAY(Movimientos_2026[[#This Row],[Fecha]],2)),'5. Setup'!$D$6:$E$12,2,FALSE)</f>
        <v>Sab</v>
      </c>
      <c r="E4428" t="str">
        <f>IFERROR(+VLOOKUP(Movimientos_2026[[#This Row],[Codigo]],Plan_cuentas[],2,FALSE)," ")</f>
        <v xml:space="preserve"> </v>
      </c>
      <c r="F4428" t="str">
        <f>IFERROR(+VLOOKUP(Movimientos_2026[[#This Row],[Codigo]],Plan_cuentas[],3,FALSE)," ")</f>
        <v xml:space="preserve"> </v>
      </c>
      <c r="G4428" t="str">
        <f>IFERROR(+VLOOKUP(Movimientos_2026[[#This Row],[Codigo]],Plan_cuentas[],4,FALSE)," ")</f>
        <v xml:space="preserve"> </v>
      </c>
      <c r="H4428" t="str">
        <f>IFERROR(+VLOOKUP(Movimientos_2026[[#This Row],[Codigo]],Plan_cuentas[],5,FALSE)," ")</f>
        <v xml:space="preserve"> </v>
      </c>
      <c r="I4428" s="43"/>
      <c r="K4428" t="str">
        <f>IFERROR(+VLOOKUP(Movimientos_2026[[#This Row],[Codigo]],Plan_cuentas[],6,FALSE)," ")</f>
        <v xml:space="preserve"> </v>
      </c>
      <c r="L4428" s="50"/>
      <c r="M4428" s="50"/>
      <c r="N4428" s="20">
        <f>+Movimientos_2026[[#This Row],[Ingresos]]-Movimientos_2026[[#This Row],[Egresos]]</f>
        <v>0</v>
      </c>
      <c r="O4428" s="20">
        <f>+O4427+Movimientos_2026[[#This Row],[Neto]]</f>
        <v>4581558617.7962294</v>
      </c>
    </row>
    <row r="4429" spans="1:15" x14ac:dyDescent="0.25">
      <c r="A4429" s="13"/>
      <c r="B4429" s="12">
        <f>MONTH(Movimientos_2026[[#This Row],[Fecha]])</f>
        <v>1</v>
      </c>
      <c r="C4429" s="12" t="str">
        <f>VLOOKUP((WEEKDAY(Movimientos_2026[[#This Row],[Fecha]],2)),'5. Setup'!$D$6:$E$12,2,FALSE)</f>
        <v>Sab</v>
      </c>
      <c r="E4429" t="str">
        <f>IFERROR(+VLOOKUP(Movimientos_2026[[#This Row],[Codigo]],Plan_cuentas[],2,FALSE)," ")</f>
        <v xml:space="preserve"> </v>
      </c>
      <c r="F4429" t="str">
        <f>IFERROR(+VLOOKUP(Movimientos_2026[[#This Row],[Codigo]],Plan_cuentas[],3,FALSE)," ")</f>
        <v xml:space="preserve"> </v>
      </c>
      <c r="G4429" t="str">
        <f>IFERROR(+VLOOKUP(Movimientos_2026[[#This Row],[Codigo]],Plan_cuentas[],4,FALSE)," ")</f>
        <v xml:space="preserve"> </v>
      </c>
      <c r="H4429" t="str">
        <f>IFERROR(+VLOOKUP(Movimientos_2026[[#This Row],[Codigo]],Plan_cuentas[],5,FALSE)," ")</f>
        <v xml:space="preserve"> </v>
      </c>
      <c r="I4429" s="43"/>
      <c r="K4429" t="str">
        <f>IFERROR(+VLOOKUP(Movimientos_2026[[#This Row],[Codigo]],Plan_cuentas[],6,FALSE)," ")</f>
        <v xml:space="preserve"> </v>
      </c>
      <c r="L4429" s="50"/>
      <c r="M4429" s="50"/>
      <c r="N4429" s="20">
        <f>+Movimientos_2026[[#This Row],[Ingresos]]-Movimientos_2026[[#This Row],[Egresos]]</f>
        <v>0</v>
      </c>
      <c r="O4429" s="20">
        <f>+O4428+Movimientos_2026[[#This Row],[Neto]]</f>
        <v>4581558617.7962294</v>
      </c>
    </row>
    <row r="4430" spans="1:15" x14ac:dyDescent="0.25">
      <c r="A4430" s="13"/>
      <c r="B4430" s="12">
        <f>MONTH(Movimientos_2026[[#This Row],[Fecha]])</f>
        <v>1</v>
      </c>
      <c r="C4430" s="12" t="str">
        <f>VLOOKUP((WEEKDAY(Movimientos_2026[[#This Row],[Fecha]],2)),'5. Setup'!$D$6:$E$12,2,FALSE)</f>
        <v>Sab</v>
      </c>
      <c r="E4430" t="str">
        <f>IFERROR(+VLOOKUP(Movimientos_2026[[#This Row],[Codigo]],Plan_cuentas[],2,FALSE)," ")</f>
        <v xml:space="preserve"> </v>
      </c>
      <c r="F4430" t="str">
        <f>IFERROR(+VLOOKUP(Movimientos_2026[[#This Row],[Codigo]],Plan_cuentas[],3,FALSE)," ")</f>
        <v xml:space="preserve"> </v>
      </c>
      <c r="G4430" t="str">
        <f>IFERROR(+VLOOKUP(Movimientos_2026[[#This Row],[Codigo]],Plan_cuentas[],4,FALSE)," ")</f>
        <v xml:space="preserve"> </v>
      </c>
      <c r="H4430" t="str">
        <f>IFERROR(+VLOOKUP(Movimientos_2026[[#This Row],[Codigo]],Plan_cuentas[],5,FALSE)," ")</f>
        <v xml:space="preserve"> </v>
      </c>
      <c r="I4430" s="43"/>
      <c r="K4430" t="str">
        <f>IFERROR(+VLOOKUP(Movimientos_2026[[#This Row],[Codigo]],Plan_cuentas[],6,FALSE)," ")</f>
        <v xml:space="preserve"> </v>
      </c>
      <c r="L4430" s="50"/>
      <c r="M4430" s="50"/>
      <c r="N4430" s="20">
        <f>+Movimientos_2026[[#This Row],[Ingresos]]-Movimientos_2026[[#This Row],[Egresos]]</f>
        <v>0</v>
      </c>
      <c r="O4430" s="20">
        <f>+O4429+Movimientos_2026[[#This Row],[Neto]]</f>
        <v>4581558617.7962294</v>
      </c>
    </row>
    <row r="4431" spans="1:15" x14ac:dyDescent="0.25">
      <c r="A4431" s="13"/>
      <c r="B4431" s="12">
        <f>MONTH(Movimientos_2026[[#This Row],[Fecha]])</f>
        <v>1</v>
      </c>
      <c r="C4431" s="12" t="str">
        <f>VLOOKUP((WEEKDAY(Movimientos_2026[[#This Row],[Fecha]],2)),'5. Setup'!$D$6:$E$12,2,FALSE)</f>
        <v>Sab</v>
      </c>
      <c r="E4431" t="str">
        <f>IFERROR(+VLOOKUP(Movimientos_2026[[#This Row],[Codigo]],Plan_cuentas[],2,FALSE)," ")</f>
        <v xml:space="preserve"> </v>
      </c>
      <c r="F4431" t="str">
        <f>IFERROR(+VLOOKUP(Movimientos_2026[[#This Row],[Codigo]],Plan_cuentas[],3,FALSE)," ")</f>
        <v xml:space="preserve"> </v>
      </c>
      <c r="G4431" t="str">
        <f>IFERROR(+VLOOKUP(Movimientos_2026[[#This Row],[Codigo]],Plan_cuentas[],4,FALSE)," ")</f>
        <v xml:space="preserve"> </v>
      </c>
      <c r="H4431" t="str">
        <f>IFERROR(+VLOOKUP(Movimientos_2026[[#This Row],[Codigo]],Plan_cuentas[],5,FALSE)," ")</f>
        <v xml:space="preserve"> </v>
      </c>
      <c r="I4431" s="43"/>
      <c r="K4431" t="str">
        <f>IFERROR(+VLOOKUP(Movimientos_2026[[#This Row],[Codigo]],Plan_cuentas[],6,FALSE)," ")</f>
        <v xml:space="preserve"> </v>
      </c>
      <c r="L4431" s="50"/>
      <c r="M4431" s="50"/>
      <c r="N4431" s="20">
        <f>+Movimientos_2026[[#This Row],[Ingresos]]-Movimientos_2026[[#This Row],[Egresos]]</f>
        <v>0</v>
      </c>
      <c r="O4431" s="20">
        <f>+O4430+Movimientos_2026[[#This Row],[Neto]]</f>
        <v>4581558617.7962294</v>
      </c>
    </row>
    <row r="4432" spans="1:15" x14ac:dyDescent="0.25">
      <c r="A4432" s="13"/>
      <c r="B4432" s="12">
        <f>MONTH(Movimientos_2026[[#This Row],[Fecha]])</f>
        <v>1</v>
      </c>
      <c r="C4432" s="12" t="str">
        <f>VLOOKUP((WEEKDAY(Movimientos_2026[[#This Row],[Fecha]],2)),'5. Setup'!$D$6:$E$12,2,FALSE)</f>
        <v>Sab</v>
      </c>
      <c r="E4432" t="str">
        <f>IFERROR(+VLOOKUP(Movimientos_2026[[#This Row],[Codigo]],Plan_cuentas[],2,FALSE)," ")</f>
        <v xml:space="preserve"> </v>
      </c>
      <c r="F4432" t="str">
        <f>IFERROR(+VLOOKUP(Movimientos_2026[[#This Row],[Codigo]],Plan_cuentas[],3,FALSE)," ")</f>
        <v xml:space="preserve"> </v>
      </c>
      <c r="G4432" t="str">
        <f>IFERROR(+VLOOKUP(Movimientos_2026[[#This Row],[Codigo]],Plan_cuentas[],4,FALSE)," ")</f>
        <v xml:space="preserve"> </v>
      </c>
      <c r="H4432" t="str">
        <f>IFERROR(+VLOOKUP(Movimientos_2026[[#This Row],[Codigo]],Plan_cuentas[],5,FALSE)," ")</f>
        <v xml:space="preserve"> </v>
      </c>
      <c r="I4432" s="43"/>
      <c r="K4432" t="str">
        <f>IFERROR(+VLOOKUP(Movimientos_2026[[#This Row],[Codigo]],Plan_cuentas[],6,FALSE)," ")</f>
        <v xml:space="preserve"> </v>
      </c>
      <c r="L4432" s="50"/>
      <c r="M4432" s="50"/>
      <c r="N4432" s="20">
        <f>+Movimientos_2026[[#This Row],[Ingresos]]-Movimientos_2026[[#This Row],[Egresos]]</f>
        <v>0</v>
      </c>
      <c r="O4432" s="20">
        <f>+O4431+Movimientos_2026[[#This Row],[Neto]]</f>
        <v>4581558617.7962294</v>
      </c>
    </row>
    <row r="4433" spans="1:15" x14ac:dyDescent="0.25">
      <c r="A4433" s="13"/>
      <c r="B4433" s="12">
        <f>MONTH(Movimientos_2026[[#This Row],[Fecha]])</f>
        <v>1</v>
      </c>
      <c r="C4433" s="12" t="str">
        <f>VLOOKUP((WEEKDAY(Movimientos_2026[[#This Row],[Fecha]],2)),'5. Setup'!$D$6:$E$12,2,FALSE)</f>
        <v>Sab</v>
      </c>
      <c r="E4433" t="str">
        <f>IFERROR(+VLOOKUP(Movimientos_2026[[#This Row],[Codigo]],Plan_cuentas[],2,FALSE)," ")</f>
        <v xml:space="preserve"> </v>
      </c>
      <c r="F4433" t="str">
        <f>IFERROR(+VLOOKUP(Movimientos_2026[[#This Row],[Codigo]],Plan_cuentas[],3,FALSE)," ")</f>
        <v xml:space="preserve"> </v>
      </c>
      <c r="G4433" t="str">
        <f>IFERROR(+VLOOKUP(Movimientos_2026[[#This Row],[Codigo]],Plan_cuentas[],4,FALSE)," ")</f>
        <v xml:space="preserve"> </v>
      </c>
      <c r="H4433" t="str">
        <f>IFERROR(+VLOOKUP(Movimientos_2026[[#This Row],[Codigo]],Plan_cuentas[],5,FALSE)," ")</f>
        <v xml:space="preserve"> </v>
      </c>
      <c r="I4433" s="43"/>
      <c r="K4433" t="str">
        <f>IFERROR(+VLOOKUP(Movimientos_2026[[#This Row],[Codigo]],Plan_cuentas[],6,FALSE)," ")</f>
        <v xml:space="preserve"> </v>
      </c>
      <c r="L4433" s="50"/>
      <c r="M4433" s="50"/>
      <c r="N4433" s="20">
        <f>+Movimientos_2026[[#This Row],[Ingresos]]-Movimientos_2026[[#This Row],[Egresos]]</f>
        <v>0</v>
      </c>
      <c r="O4433" s="20">
        <f>+O4432+Movimientos_2026[[#This Row],[Neto]]</f>
        <v>4581558617.7962294</v>
      </c>
    </row>
    <row r="4434" spans="1:15" x14ac:dyDescent="0.25">
      <c r="A4434" s="13"/>
      <c r="B4434" s="12">
        <f>MONTH(Movimientos_2026[[#This Row],[Fecha]])</f>
        <v>1</v>
      </c>
      <c r="C4434" s="12" t="str">
        <f>VLOOKUP((WEEKDAY(Movimientos_2026[[#This Row],[Fecha]],2)),'5. Setup'!$D$6:$E$12,2,FALSE)</f>
        <v>Sab</v>
      </c>
      <c r="E4434" t="str">
        <f>IFERROR(+VLOOKUP(Movimientos_2026[[#This Row],[Codigo]],Plan_cuentas[],2,FALSE)," ")</f>
        <v xml:space="preserve"> </v>
      </c>
      <c r="F4434" t="str">
        <f>IFERROR(+VLOOKUP(Movimientos_2026[[#This Row],[Codigo]],Plan_cuentas[],3,FALSE)," ")</f>
        <v xml:space="preserve"> </v>
      </c>
      <c r="G4434" t="str">
        <f>IFERROR(+VLOOKUP(Movimientos_2026[[#This Row],[Codigo]],Plan_cuentas[],4,FALSE)," ")</f>
        <v xml:space="preserve"> </v>
      </c>
      <c r="H4434" t="str">
        <f>IFERROR(+VLOOKUP(Movimientos_2026[[#This Row],[Codigo]],Plan_cuentas[],5,FALSE)," ")</f>
        <v xml:space="preserve"> </v>
      </c>
      <c r="I4434" s="43"/>
      <c r="K4434" t="str">
        <f>IFERROR(+VLOOKUP(Movimientos_2026[[#This Row],[Codigo]],Plan_cuentas[],6,FALSE)," ")</f>
        <v xml:space="preserve"> </v>
      </c>
      <c r="L4434" s="50"/>
      <c r="M4434" s="50"/>
      <c r="N4434" s="20">
        <f>+Movimientos_2026[[#This Row],[Ingresos]]-Movimientos_2026[[#This Row],[Egresos]]</f>
        <v>0</v>
      </c>
      <c r="O4434" s="20">
        <f>+O4433+Movimientos_2026[[#This Row],[Neto]]</f>
        <v>4581558617.7962294</v>
      </c>
    </row>
    <row r="4435" spans="1:15" x14ac:dyDescent="0.25">
      <c r="A4435" s="13"/>
      <c r="B4435" s="12">
        <f>MONTH(Movimientos_2026[[#This Row],[Fecha]])</f>
        <v>1</v>
      </c>
      <c r="C4435" s="12" t="str">
        <f>VLOOKUP((WEEKDAY(Movimientos_2026[[#This Row],[Fecha]],2)),'5. Setup'!$D$6:$E$12,2,FALSE)</f>
        <v>Sab</v>
      </c>
      <c r="E4435" t="str">
        <f>IFERROR(+VLOOKUP(Movimientos_2026[[#This Row],[Codigo]],Plan_cuentas[],2,FALSE)," ")</f>
        <v xml:space="preserve"> </v>
      </c>
      <c r="F4435" t="str">
        <f>IFERROR(+VLOOKUP(Movimientos_2026[[#This Row],[Codigo]],Plan_cuentas[],3,FALSE)," ")</f>
        <v xml:space="preserve"> </v>
      </c>
      <c r="G4435" t="str">
        <f>IFERROR(+VLOOKUP(Movimientos_2026[[#This Row],[Codigo]],Plan_cuentas[],4,FALSE)," ")</f>
        <v xml:space="preserve"> </v>
      </c>
      <c r="H4435" t="str">
        <f>IFERROR(+VLOOKUP(Movimientos_2026[[#This Row],[Codigo]],Plan_cuentas[],5,FALSE)," ")</f>
        <v xml:space="preserve"> </v>
      </c>
      <c r="I4435" s="43"/>
      <c r="K4435" t="str">
        <f>IFERROR(+VLOOKUP(Movimientos_2026[[#This Row],[Codigo]],Plan_cuentas[],6,FALSE)," ")</f>
        <v xml:space="preserve"> </v>
      </c>
      <c r="L4435" s="50"/>
      <c r="M4435" s="50"/>
      <c r="N4435" s="20">
        <f>+Movimientos_2026[[#This Row],[Ingresos]]-Movimientos_2026[[#This Row],[Egresos]]</f>
        <v>0</v>
      </c>
      <c r="O4435" s="20">
        <f>+O4434+Movimientos_2026[[#This Row],[Neto]]</f>
        <v>4581558617.7962294</v>
      </c>
    </row>
    <row r="4436" spans="1:15" x14ac:dyDescent="0.25">
      <c r="A4436" s="13"/>
      <c r="B4436" s="12">
        <f>MONTH(Movimientos_2026[[#This Row],[Fecha]])</f>
        <v>1</v>
      </c>
      <c r="C4436" s="12" t="str">
        <f>VLOOKUP((WEEKDAY(Movimientos_2026[[#This Row],[Fecha]],2)),'5. Setup'!$D$6:$E$12,2,FALSE)</f>
        <v>Sab</v>
      </c>
      <c r="E4436" t="str">
        <f>IFERROR(+VLOOKUP(Movimientos_2026[[#This Row],[Codigo]],Plan_cuentas[],2,FALSE)," ")</f>
        <v xml:space="preserve"> </v>
      </c>
      <c r="F4436" t="str">
        <f>IFERROR(+VLOOKUP(Movimientos_2026[[#This Row],[Codigo]],Plan_cuentas[],3,FALSE)," ")</f>
        <v xml:space="preserve"> </v>
      </c>
      <c r="G4436" t="str">
        <f>IFERROR(+VLOOKUP(Movimientos_2026[[#This Row],[Codigo]],Plan_cuentas[],4,FALSE)," ")</f>
        <v xml:space="preserve"> </v>
      </c>
      <c r="H4436" t="str">
        <f>IFERROR(+VLOOKUP(Movimientos_2026[[#This Row],[Codigo]],Plan_cuentas[],5,FALSE)," ")</f>
        <v xml:space="preserve"> </v>
      </c>
      <c r="I4436" s="43"/>
      <c r="K4436" t="str">
        <f>IFERROR(+VLOOKUP(Movimientos_2026[[#This Row],[Codigo]],Plan_cuentas[],6,FALSE)," ")</f>
        <v xml:space="preserve"> </v>
      </c>
      <c r="L4436" s="50"/>
      <c r="M4436" s="50"/>
      <c r="N4436" s="20">
        <f>+Movimientos_2026[[#This Row],[Ingresos]]-Movimientos_2026[[#This Row],[Egresos]]</f>
        <v>0</v>
      </c>
      <c r="O4436" s="20">
        <f>+O4435+Movimientos_2026[[#This Row],[Neto]]</f>
        <v>4581558617.7962294</v>
      </c>
    </row>
    <row r="4437" spans="1:15" x14ac:dyDescent="0.25">
      <c r="A4437" s="13"/>
      <c r="B4437" s="12">
        <f>MONTH(Movimientos_2026[[#This Row],[Fecha]])</f>
        <v>1</v>
      </c>
      <c r="C4437" s="12" t="str">
        <f>VLOOKUP((WEEKDAY(Movimientos_2026[[#This Row],[Fecha]],2)),'5. Setup'!$D$6:$E$12,2,FALSE)</f>
        <v>Sab</v>
      </c>
      <c r="E4437" t="str">
        <f>IFERROR(+VLOOKUP(Movimientos_2026[[#This Row],[Codigo]],Plan_cuentas[],2,FALSE)," ")</f>
        <v xml:space="preserve"> </v>
      </c>
      <c r="F4437" t="str">
        <f>IFERROR(+VLOOKUP(Movimientos_2026[[#This Row],[Codigo]],Plan_cuentas[],3,FALSE)," ")</f>
        <v xml:space="preserve"> </v>
      </c>
      <c r="G4437" t="str">
        <f>IFERROR(+VLOOKUP(Movimientos_2026[[#This Row],[Codigo]],Plan_cuentas[],4,FALSE)," ")</f>
        <v xml:space="preserve"> </v>
      </c>
      <c r="H4437" t="str">
        <f>IFERROR(+VLOOKUP(Movimientos_2026[[#This Row],[Codigo]],Plan_cuentas[],5,FALSE)," ")</f>
        <v xml:space="preserve"> </v>
      </c>
      <c r="I4437" s="43"/>
      <c r="K4437" t="str">
        <f>IFERROR(+VLOOKUP(Movimientos_2026[[#This Row],[Codigo]],Plan_cuentas[],6,FALSE)," ")</f>
        <v xml:space="preserve"> </v>
      </c>
      <c r="L4437" s="50"/>
      <c r="M4437" s="50"/>
      <c r="N4437" s="20">
        <f>+Movimientos_2026[[#This Row],[Ingresos]]-Movimientos_2026[[#This Row],[Egresos]]</f>
        <v>0</v>
      </c>
      <c r="O4437" s="20">
        <f>+O4436+Movimientos_2026[[#This Row],[Neto]]</f>
        <v>4581558617.7962294</v>
      </c>
    </row>
    <row r="4438" spans="1:15" x14ac:dyDescent="0.25">
      <c r="A4438" s="13"/>
      <c r="B4438" s="12">
        <f>MONTH(Movimientos_2026[[#This Row],[Fecha]])</f>
        <v>1</v>
      </c>
      <c r="C4438" s="12" t="str">
        <f>VLOOKUP((WEEKDAY(Movimientos_2026[[#This Row],[Fecha]],2)),'5. Setup'!$D$6:$E$12,2,FALSE)</f>
        <v>Sab</v>
      </c>
      <c r="E4438" t="str">
        <f>IFERROR(+VLOOKUP(Movimientos_2026[[#This Row],[Codigo]],Plan_cuentas[],2,FALSE)," ")</f>
        <v xml:space="preserve"> </v>
      </c>
      <c r="F4438" t="str">
        <f>IFERROR(+VLOOKUP(Movimientos_2026[[#This Row],[Codigo]],Plan_cuentas[],3,FALSE)," ")</f>
        <v xml:space="preserve"> </v>
      </c>
      <c r="G4438" t="str">
        <f>IFERROR(+VLOOKUP(Movimientos_2026[[#This Row],[Codigo]],Plan_cuentas[],4,FALSE)," ")</f>
        <v xml:space="preserve"> </v>
      </c>
      <c r="H4438" t="str">
        <f>IFERROR(+VLOOKUP(Movimientos_2026[[#This Row],[Codigo]],Plan_cuentas[],5,FALSE)," ")</f>
        <v xml:space="preserve"> </v>
      </c>
      <c r="I4438" s="43"/>
      <c r="K4438" t="str">
        <f>IFERROR(+VLOOKUP(Movimientos_2026[[#This Row],[Codigo]],Plan_cuentas[],6,FALSE)," ")</f>
        <v xml:space="preserve"> </v>
      </c>
      <c r="L4438" s="50"/>
      <c r="M4438" s="50"/>
      <c r="N4438" s="20">
        <f>+Movimientos_2026[[#This Row],[Ingresos]]-Movimientos_2026[[#This Row],[Egresos]]</f>
        <v>0</v>
      </c>
      <c r="O4438" s="20">
        <f>+O4437+Movimientos_2026[[#This Row],[Neto]]</f>
        <v>4581558617.7962294</v>
      </c>
    </row>
    <row r="4439" spans="1:15" x14ac:dyDescent="0.25">
      <c r="A4439" s="13"/>
      <c r="B4439" s="12">
        <f>MONTH(Movimientos_2026[[#This Row],[Fecha]])</f>
        <v>1</v>
      </c>
      <c r="C4439" s="12" t="str">
        <f>VLOOKUP((WEEKDAY(Movimientos_2026[[#This Row],[Fecha]],2)),'5. Setup'!$D$6:$E$12,2,FALSE)</f>
        <v>Sab</v>
      </c>
      <c r="E4439" t="str">
        <f>IFERROR(+VLOOKUP(Movimientos_2026[[#This Row],[Codigo]],Plan_cuentas[],2,FALSE)," ")</f>
        <v xml:space="preserve"> </v>
      </c>
      <c r="F4439" t="str">
        <f>IFERROR(+VLOOKUP(Movimientos_2026[[#This Row],[Codigo]],Plan_cuentas[],3,FALSE)," ")</f>
        <v xml:space="preserve"> </v>
      </c>
      <c r="G4439" t="str">
        <f>IFERROR(+VLOOKUP(Movimientos_2026[[#This Row],[Codigo]],Plan_cuentas[],4,FALSE)," ")</f>
        <v xml:space="preserve"> </v>
      </c>
      <c r="H4439" t="str">
        <f>IFERROR(+VLOOKUP(Movimientos_2026[[#This Row],[Codigo]],Plan_cuentas[],5,FALSE)," ")</f>
        <v xml:space="preserve"> </v>
      </c>
      <c r="I4439" s="43"/>
      <c r="K4439" t="str">
        <f>IFERROR(+VLOOKUP(Movimientos_2026[[#This Row],[Codigo]],Plan_cuentas[],6,FALSE)," ")</f>
        <v xml:space="preserve"> </v>
      </c>
      <c r="L4439" s="50"/>
      <c r="M4439" s="50"/>
      <c r="N4439" s="20">
        <f>+Movimientos_2026[[#This Row],[Ingresos]]-Movimientos_2026[[#This Row],[Egresos]]</f>
        <v>0</v>
      </c>
      <c r="O4439" s="20">
        <f>+O4438+Movimientos_2026[[#This Row],[Neto]]</f>
        <v>4581558617.7962294</v>
      </c>
    </row>
    <row r="4440" spans="1:15" x14ac:dyDescent="0.25">
      <c r="A4440" s="13"/>
      <c r="B4440" s="12">
        <f>MONTH(Movimientos_2026[[#This Row],[Fecha]])</f>
        <v>1</v>
      </c>
      <c r="C4440" s="12" t="str">
        <f>VLOOKUP((WEEKDAY(Movimientos_2026[[#This Row],[Fecha]],2)),'5. Setup'!$D$6:$E$12,2,FALSE)</f>
        <v>Sab</v>
      </c>
      <c r="E4440" t="str">
        <f>IFERROR(+VLOOKUP(Movimientos_2026[[#This Row],[Codigo]],Plan_cuentas[],2,FALSE)," ")</f>
        <v xml:space="preserve"> </v>
      </c>
      <c r="F4440" t="str">
        <f>IFERROR(+VLOOKUP(Movimientos_2026[[#This Row],[Codigo]],Plan_cuentas[],3,FALSE)," ")</f>
        <v xml:space="preserve"> </v>
      </c>
      <c r="G4440" t="str">
        <f>IFERROR(+VLOOKUP(Movimientos_2026[[#This Row],[Codigo]],Plan_cuentas[],4,FALSE)," ")</f>
        <v xml:space="preserve"> </v>
      </c>
      <c r="H4440" t="str">
        <f>IFERROR(+VLOOKUP(Movimientos_2026[[#This Row],[Codigo]],Plan_cuentas[],5,FALSE)," ")</f>
        <v xml:space="preserve"> </v>
      </c>
      <c r="I4440" s="43"/>
      <c r="K4440" t="str">
        <f>IFERROR(+VLOOKUP(Movimientos_2026[[#This Row],[Codigo]],Plan_cuentas[],6,FALSE)," ")</f>
        <v xml:space="preserve"> </v>
      </c>
      <c r="L4440" s="50"/>
      <c r="M4440" s="50"/>
      <c r="N4440" s="20">
        <f>+Movimientos_2026[[#This Row],[Ingresos]]-Movimientos_2026[[#This Row],[Egresos]]</f>
        <v>0</v>
      </c>
      <c r="O4440" s="20">
        <f>+O4439+Movimientos_2026[[#This Row],[Neto]]</f>
        <v>4581558617.7962294</v>
      </c>
    </row>
    <row r="4441" spans="1:15" x14ac:dyDescent="0.25">
      <c r="A4441" s="13"/>
      <c r="B4441" s="12">
        <f>MONTH(Movimientos_2026[[#This Row],[Fecha]])</f>
        <v>1</v>
      </c>
      <c r="C4441" s="12" t="str">
        <f>VLOOKUP((WEEKDAY(Movimientos_2026[[#This Row],[Fecha]],2)),'5. Setup'!$D$6:$E$12,2,FALSE)</f>
        <v>Sab</v>
      </c>
      <c r="E4441" t="str">
        <f>IFERROR(+VLOOKUP(Movimientos_2026[[#This Row],[Codigo]],Plan_cuentas[],2,FALSE)," ")</f>
        <v xml:space="preserve"> </v>
      </c>
      <c r="F4441" t="str">
        <f>IFERROR(+VLOOKUP(Movimientos_2026[[#This Row],[Codigo]],Plan_cuentas[],3,FALSE)," ")</f>
        <v xml:space="preserve"> </v>
      </c>
      <c r="G4441" t="str">
        <f>IFERROR(+VLOOKUP(Movimientos_2026[[#This Row],[Codigo]],Plan_cuentas[],4,FALSE)," ")</f>
        <v xml:space="preserve"> </v>
      </c>
      <c r="H4441" t="str">
        <f>IFERROR(+VLOOKUP(Movimientos_2026[[#This Row],[Codigo]],Plan_cuentas[],5,FALSE)," ")</f>
        <v xml:space="preserve"> </v>
      </c>
      <c r="I4441" s="43"/>
      <c r="K4441" t="str">
        <f>IFERROR(+VLOOKUP(Movimientos_2026[[#This Row],[Codigo]],Plan_cuentas[],6,FALSE)," ")</f>
        <v xml:space="preserve"> </v>
      </c>
      <c r="L4441" s="50"/>
      <c r="M4441" s="50"/>
      <c r="N4441" s="20">
        <f>+Movimientos_2026[[#This Row],[Ingresos]]-Movimientos_2026[[#This Row],[Egresos]]</f>
        <v>0</v>
      </c>
      <c r="O4441" s="20">
        <f>+O4440+Movimientos_2026[[#This Row],[Neto]]</f>
        <v>4581558617.7962294</v>
      </c>
    </row>
    <row r="4442" spans="1:15" x14ac:dyDescent="0.25">
      <c r="A4442" s="13"/>
      <c r="B4442" s="12">
        <f>MONTH(Movimientos_2026[[#This Row],[Fecha]])</f>
        <v>1</v>
      </c>
      <c r="C4442" s="12" t="str">
        <f>VLOOKUP((WEEKDAY(Movimientos_2026[[#This Row],[Fecha]],2)),'5. Setup'!$D$6:$E$12,2,FALSE)</f>
        <v>Sab</v>
      </c>
      <c r="E4442" t="str">
        <f>IFERROR(+VLOOKUP(Movimientos_2026[[#This Row],[Codigo]],Plan_cuentas[],2,FALSE)," ")</f>
        <v xml:space="preserve"> </v>
      </c>
      <c r="F4442" t="str">
        <f>IFERROR(+VLOOKUP(Movimientos_2026[[#This Row],[Codigo]],Plan_cuentas[],3,FALSE)," ")</f>
        <v xml:space="preserve"> </v>
      </c>
      <c r="G4442" t="str">
        <f>IFERROR(+VLOOKUP(Movimientos_2026[[#This Row],[Codigo]],Plan_cuentas[],4,FALSE)," ")</f>
        <v xml:space="preserve"> </v>
      </c>
      <c r="H4442" t="str">
        <f>IFERROR(+VLOOKUP(Movimientos_2026[[#This Row],[Codigo]],Plan_cuentas[],5,FALSE)," ")</f>
        <v xml:space="preserve"> </v>
      </c>
      <c r="I4442" s="43"/>
      <c r="K4442" t="str">
        <f>IFERROR(+VLOOKUP(Movimientos_2026[[#This Row],[Codigo]],Plan_cuentas[],6,FALSE)," ")</f>
        <v xml:space="preserve"> </v>
      </c>
      <c r="L4442" s="50"/>
      <c r="M4442" s="50"/>
      <c r="N4442" s="20">
        <f>+Movimientos_2026[[#This Row],[Ingresos]]-Movimientos_2026[[#This Row],[Egresos]]</f>
        <v>0</v>
      </c>
      <c r="O4442" s="20">
        <f>+O4441+Movimientos_2026[[#This Row],[Neto]]</f>
        <v>4581558617.7962294</v>
      </c>
    </row>
    <row r="4443" spans="1:15" x14ac:dyDescent="0.25">
      <c r="A4443" s="13"/>
      <c r="B4443" s="12">
        <f>MONTH(Movimientos_2026[[#This Row],[Fecha]])</f>
        <v>1</v>
      </c>
      <c r="C4443" s="12" t="str">
        <f>VLOOKUP((WEEKDAY(Movimientos_2026[[#This Row],[Fecha]],2)),'5. Setup'!$D$6:$E$12,2,FALSE)</f>
        <v>Sab</v>
      </c>
      <c r="E4443" t="str">
        <f>IFERROR(+VLOOKUP(Movimientos_2026[[#This Row],[Codigo]],Plan_cuentas[],2,FALSE)," ")</f>
        <v xml:space="preserve"> </v>
      </c>
      <c r="F4443" t="str">
        <f>IFERROR(+VLOOKUP(Movimientos_2026[[#This Row],[Codigo]],Plan_cuentas[],3,FALSE)," ")</f>
        <v xml:space="preserve"> </v>
      </c>
      <c r="G4443" t="str">
        <f>IFERROR(+VLOOKUP(Movimientos_2026[[#This Row],[Codigo]],Plan_cuentas[],4,FALSE)," ")</f>
        <v xml:space="preserve"> </v>
      </c>
      <c r="H4443" t="str">
        <f>IFERROR(+VLOOKUP(Movimientos_2026[[#This Row],[Codigo]],Plan_cuentas[],5,FALSE)," ")</f>
        <v xml:space="preserve"> </v>
      </c>
      <c r="I4443" s="43"/>
      <c r="K4443" t="str">
        <f>IFERROR(+VLOOKUP(Movimientos_2026[[#This Row],[Codigo]],Plan_cuentas[],6,FALSE)," ")</f>
        <v xml:space="preserve"> </v>
      </c>
      <c r="L4443" s="50"/>
      <c r="M4443" s="50"/>
      <c r="N4443" s="20">
        <f>+Movimientos_2026[[#This Row],[Ingresos]]-Movimientos_2026[[#This Row],[Egresos]]</f>
        <v>0</v>
      </c>
      <c r="O4443" s="20">
        <f>+O4442+Movimientos_2026[[#This Row],[Neto]]</f>
        <v>4581558617.7962294</v>
      </c>
    </row>
    <row r="4444" spans="1:15" x14ac:dyDescent="0.25">
      <c r="A4444" s="13"/>
      <c r="B4444" s="12">
        <f>MONTH(Movimientos_2026[[#This Row],[Fecha]])</f>
        <v>1</v>
      </c>
      <c r="C4444" s="12" t="str">
        <f>VLOOKUP((WEEKDAY(Movimientos_2026[[#This Row],[Fecha]],2)),'5. Setup'!$D$6:$E$12,2,FALSE)</f>
        <v>Sab</v>
      </c>
      <c r="E4444" t="str">
        <f>IFERROR(+VLOOKUP(Movimientos_2026[[#This Row],[Codigo]],Plan_cuentas[],2,FALSE)," ")</f>
        <v xml:space="preserve"> </v>
      </c>
      <c r="F4444" t="str">
        <f>IFERROR(+VLOOKUP(Movimientos_2026[[#This Row],[Codigo]],Plan_cuentas[],3,FALSE)," ")</f>
        <v xml:space="preserve"> </v>
      </c>
      <c r="G4444" t="str">
        <f>IFERROR(+VLOOKUP(Movimientos_2026[[#This Row],[Codigo]],Plan_cuentas[],4,FALSE)," ")</f>
        <v xml:space="preserve"> </v>
      </c>
      <c r="H4444" t="str">
        <f>IFERROR(+VLOOKUP(Movimientos_2026[[#This Row],[Codigo]],Plan_cuentas[],5,FALSE)," ")</f>
        <v xml:space="preserve"> </v>
      </c>
      <c r="I4444" s="43"/>
      <c r="K4444" t="str">
        <f>IFERROR(+VLOOKUP(Movimientos_2026[[#This Row],[Codigo]],Plan_cuentas[],6,FALSE)," ")</f>
        <v xml:space="preserve"> </v>
      </c>
      <c r="L4444" s="50"/>
      <c r="M4444" s="50"/>
      <c r="N4444" s="20">
        <f>+Movimientos_2026[[#This Row],[Ingresos]]-Movimientos_2026[[#This Row],[Egresos]]</f>
        <v>0</v>
      </c>
      <c r="O4444" s="20">
        <f>+O4443+Movimientos_2026[[#This Row],[Neto]]</f>
        <v>4581558617.7962294</v>
      </c>
    </row>
    <row r="4445" spans="1:15" x14ac:dyDescent="0.25">
      <c r="A4445" s="13"/>
      <c r="B4445" s="12">
        <f>MONTH(Movimientos_2026[[#This Row],[Fecha]])</f>
        <v>1</v>
      </c>
      <c r="C4445" s="12" t="str">
        <f>VLOOKUP((WEEKDAY(Movimientos_2026[[#This Row],[Fecha]],2)),'5. Setup'!$D$6:$E$12,2,FALSE)</f>
        <v>Sab</v>
      </c>
      <c r="E4445" t="str">
        <f>IFERROR(+VLOOKUP(Movimientos_2026[[#This Row],[Codigo]],Plan_cuentas[],2,FALSE)," ")</f>
        <v xml:space="preserve"> </v>
      </c>
      <c r="F4445" t="str">
        <f>IFERROR(+VLOOKUP(Movimientos_2026[[#This Row],[Codigo]],Plan_cuentas[],3,FALSE)," ")</f>
        <v xml:space="preserve"> </v>
      </c>
      <c r="G4445" t="str">
        <f>IFERROR(+VLOOKUP(Movimientos_2026[[#This Row],[Codigo]],Plan_cuentas[],4,FALSE)," ")</f>
        <v xml:space="preserve"> </v>
      </c>
      <c r="H4445" t="str">
        <f>IFERROR(+VLOOKUP(Movimientos_2026[[#This Row],[Codigo]],Plan_cuentas[],5,FALSE)," ")</f>
        <v xml:space="preserve"> </v>
      </c>
      <c r="I4445" s="43"/>
      <c r="K4445" t="str">
        <f>IFERROR(+VLOOKUP(Movimientos_2026[[#This Row],[Codigo]],Plan_cuentas[],6,FALSE)," ")</f>
        <v xml:space="preserve"> </v>
      </c>
      <c r="L4445" s="50"/>
      <c r="M4445" s="50"/>
      <c r="N4445" s="20">
        <f>+Movimientos_2026[[#This Row],[Ingresos]]-Movimientos_2026[[#This Row],[Egresos]]</f>
        <v>0</v>
      </c>
      <c r="O4445" s="20">
        <f>+O4444+Movimientos_2026[[#This Row],[Neto]]</f>
        <v>4581558617.7962294</v>
      </c>
    </row>
    <row r="4446" spans="1:15" x14ac:dyDescent="0.25">
      <c r="A4446" s="13"/>
      <c r="B4446" s="12">
        <f>MONTH(Movimientos_2026[[#This Row],[Fecha]])</f>
        <v>1</v>
      </c>
      <c r="C4446" s="12" t="str">
        <f>VLOOKUP((WEEKDAY(Movimientos_2026[[#This Row],[Fecha]],2)),'5. Setup'!$D$6:$E$12,2,FALSE)</f>
        <v>Sab</v>
      </c>
      <c r="E4446" t="str">
        <f>IFERROR(+VLOOKUP(Movimientos_2026[[#This Row],[Codigo]],Plan_cuentas[],2,FALSE)," ")</f>
        <v xml:space="preserve"> </v>
      </c>
      <c r="F4446" t="str">
        <f>IFERROR(+VLOOKUP(Movimientos_2026[[#This Row],[Codigo]],Plan_cuentas[],3,FALSE)," ")</f>
        <v xml:space="preserve"> </v>
      </c>
      <c r="G4446" t="str">
        <f>IFERROR(+VLOOKUP(Movimientos_2026[[#This Row],[Codigo]],Plan_cuentas[],4,FALSE)," ")</f>
        <v xml:space="preserve"> </v>
      </c>
      <c r="H4446" t="str">
        <f>IFERROR(+VLOOKUP(Movimientos_2026[[#This Row],[Codigo]],Plan_cuentas[],5,FALSE)," ")</f>
        <v xml:space="preserve"> </v>
      </c>
      <c r="I4446" s="43"/>
      <c r="K4446" t="str">
        <f>IFERROR(+VLOOKUP(Movimientos_2026[[#This Row],[Codigo]],Plan_cuentas[],6,FALSE)," ")</f>
        <v xml:space="preserve"> </v>
      </c>
      <c r="L4446" s="50"/>
      <c r="M4446" s="50"/>
      <c r="N4446" s="20">
        <f>+Movimientos_2026[[#This Row],[Ingresos]]-Movimientos_2026[[#This Row],[Egresos]]</f>
        <v>0</v>
      </c>
      <c r="O4446" s="20">
        <f>+O4445+Movimientos_2026[[#This Row],[Neto]]</f>
        <v>4581558617.7962294</v>
      </c>
    </row>
    <row r="4447" spans="1:15" x14ac:dyDescent="0.25">
      <c r="A4447" s="13"/>
      <c r="B4447" s="12">
        <f>MONTH(Movimientos_2026[[#This Row],[Fecha]])</f>
        <v>1</v>
      </c>
      <c r="C4447" s="12" t="str">
        <f>VLOOKUP((WEEKDAY(Movimientos_2026[[#This Row],[Fecha]],2)),'5. Setup'!$D$6:$E$12,2,FALSE)</f>
        <v>Sab</v>
      </c>
      <c r="E4447" t="str">
        <f>IFERROR(+VLOOKUP(Movimientos_2026[[#This Row],[Codigo]],Plan_cuentas[],2,FALSE)," ")</f>
        <v xml:space="preserve"> </v>
      </c>
      <c r="F4447" t="str">
        <f>IFERROR(+VLOOKUP(Movimientos_2026[[#This Row],[Codigo]],Plan_cuentas[],3,FALSE)," ")</f>
        <v xml:space="preserve"> </v>
      </c>
      <c r="G4447" t="str">
        <f>IFERROR(+VLOOKUP(Movimientos_2026[[#This Row],[Codigo]],Plan_cuentas[],4,FALSE)," ")</f>
        <v xml:space="preserve"> </v>
      </c>
      <c r="H4447" t="str">
        <f>IFERROR(+VLOOKUP(Movimientos_2026[[#This Row],[Codigo]],Plan_cuentas[],5,FALSE)," ")</f>
        <v xml:space="preserve"> </v>
      </c>
      <c r="I4447" s="43"/>
      <c r="K4447" t="str">
        <f>IFERROR(+VLOOKUP(Movimientos_2026[[#This Row],[Codigo]],Plan_cuentas[],6,FALSE)," ")</f>
        <v xml:space="preserve"> </v>
      </c>
      <c r="L4447" s="50"/>
      <c r="M4447" s="50"/>
      <c r="N4447" s="20">
        <f>+Movimientos_2026[[#This Row],[Ingresos]]-Movimientos_2026[[#This Row],[Egresos]]</f>
        <v>0</v>
      </c>
      <c r="O4447" s="20">
        <f>+O4446+Movimientos_2026[[#This Row],[Neto]]</f>
        <v>4581558617.7962294</v>
      </c>
    </row>
    <row r="4448" spans="1:15" x14ac:dyDescent="0.25">
      <c r="A4448" s="13"/>
      <c r="B4448" s="12">
        <f>MONTH(Movimientos_2026[[#This Row],[Fecha]])</f>
        <v>1</v>
      </c>
      <c r="C4448" s="12" t="str">
        <f>VLOOKUP((WEEKDAY(Movimientos_2026[[#This Row],[Fecha]],2)),'5. Setup'!$D$6:$E$12,2,FALSE)</f>
        <v>Sab</v>
      </c>
      <c r="E4448" t="str">
        <f>IFERROR(+VLOOKUP(Movimientos_2026[[#This Row],[Codigo]],Plan_cuentas[],2,FALSE)," ")</f>
        <v xml:space="preserve"> </v>
      </c>
      <c r="F4448" t="str">
        <f>IFERROR(+VLOOKUP(Movimientos_2026[[#This Row],[Codigo]],Plan_cuentas[],3,FALSE)," ")</f>
        <v xml:space="preserve"> </v>
      </c>
      <c r="G4448" t="str">
        <f>IFERROR(+VLOOKUP(Movimientos_2026[[#This Row],[Codigo]],Plan_cuentas[],4,FALSE)," ")</f>
        <v xml:space="preserve"> </v>
      </c>
      <c r="H4448" t="str">
        <f>IFERROR(+VLOOKUP(Movimientos_2026[[#This Row],[Codigo]],Plan_cuentas[],5,FALSE)," ")</f>
        <v xml:space="preserve"> </v>
      </c>
      <c r="I4448" s="43"/>
      <c r="K4448" t="str">
        <f>IFERROR(+VLOOKUP(Movimientos_2026[[#This Row],[Codigo]],Plan_cuentas[],6,FALSE)," ")</f>
        <v xml:space="preserve"> </v>
      </c>
      <c r="L4448" s="50"/>
      <c r="M4448" s="50"/>
      <c r="N4448" s="20">
        <f>+Movimientos_2026[[#This Row],[Ingresos]]-Movimientos_2026[[#This Row],[Egresos]]</f>
        <v>0</v>
      </c>
      <c r="O4448" s="20">
        <f>+O4447+Movimientos_2026[[#This Row],[Neto]]</f>
        <v>4581558617.7962294</v>
      </c>
    </row>
    <row r="4449" spans="1:15" x14ac:dyDescent="0.25">
      <c r="A4449" s="13"/>
      <c r="B4449" s="12">
        <f>MONTH(Movimientos_2026[[#This Row],[Fecha]])</f>
        <v>1</v>
      </c>
      <c r="C4449" s="12" t="str">
        <f>VLOOKUP((WEEKDAY(Movimientos_2026[[#This Row],[Fecha]],2)),'5. Setup'!$D$6:$E$12,2,FALSE)</f>
        <v>Sab</v>
      </c>
      <c r="E4449" t="str">
        <f>IFERROR(+VLOOKUP(Movimientos_2026[[#This Row],[Codigo]],Plan_cuentas[],2,FALSE)," ")</f>
        <v xml:space="preserve"> </v>
      </c>
      <c r="F4449" t="str">
        <f>IFERROR(+VLOOKUP(Movimientos_2026[[#This Row],[Codigo]],Plan_cuentas[],3,FALSE)," ")</f>
        <v xml:space="preserve"> </v>
      </c>
      <c r="G4449" t="str">
        <f>IFERROR(+VLOOKUP(Movimientos_2026[[#This Row],[Codigo]],Plan_cuentas[],4,FALSE)," ")</f>
        <v xml:space="preserve"> </v>
      </c>
      <c r="H4449" t="str">
        <f>IFERROR(+VLOOKUP(Movimientos_2026[[#This Row],[Codigo]],Plan_cuentas[],5,FALSE)," ")</f>
        <v xml:space="preserve"> </v>
      </c>
      <c r="I4449" s="43"/>
      <c r="K4449" t="str">
        <f>IFERROR(+VLOOKUP(Movimientos_2026[[#This Row],[Codigo]],Plan_cuentas[],6,FALSE)," ")</f>
        <v xml:space="preserve"> </v>
      </c>
      <c r="L4449" s="50"/>
      <c r="M4449" s="50"/>
      <c r="N4449" s="20">
        <f>+Movimientos_2026[[#This Row],[Ingresos]]-Movimientos_2026[[#This Row],[Egresos]]</f>
        <v>0</v>
      </c>
      <c r="O4449" s="20">
        <f>+O4448+Movimientos_2026[[#This Row],[Neto]]</f>
        <v>4581558617.7962294</v>
      </c>
    </row>
    <row r="4450" spans="1:15" x14ac:dyDescent="0.25">
      <c r="A4450" s="13"/>
      <c r="B4450" s="12">
        <f>MONTH(Movimientos_2026[[#This Row],[Fecha]])</f>
        <v>1</v>
      </c>
      <c r="C4450" s="12" t="str">
        <f>VLOOKUP((WEEKDAY(Movimientos_2026[[#This Row],[Fecha]],2)),'5. Setup'!$D$6:$E$12,2,FALSE)</f>
        <v>Sab</v>
      </c>
      <c r="E4450" t="str">
        <f>IFERROR(+VLOOKUP(Movimientos_2026[[#This Row],[Codigo]],Plan_cuentas[],2,FALSE)," ")</f>
        <v xml:space="preserve"> </v>
      </c>
      <c r="F4450" t="str">
        <f>IFERROR(+VLOOKUP(Movimientos_2026[[#This Row],[Codigo]],Plan_cuentas[],3,FALSE)," ")</f>
        <v xml:space="preserve"> </v>
      </c>
      <c r="G4450" t="str">
        <f>IFERROR(+VLOOKUP(Movimientos_2026[[#This Row],[Codigo]],Plan_cuentas[],4,FALSE)," ")</f>
        <v xml:space="preserve"> </v>
      </c>
      <c r="H4450" t="str">
        <f>IFERROR(+VLOOKUP(Movimientos_2026[[#This Row],[Codigo]],Plan_cuentas[],5,FALSE)," ")</f>
        <v xml:space="preserve"> </v>
      </c>
      <c r="I4450" s="43"/>
      <c r="K4450" t="str">
        <f>IFERROR(+VLOOKUP(Movimientos_2026[[#This Row],[Codigo]],Plan_cuentas[],6,FALSE)," ")</f>
        <v xml:space="preserve"> </v>
      </c>
      <c r="L4450" s="50"/>
      <c r="M4450" s="50"/>
      <c r="N4450" s="20">
        <f>+Movimientos_2026[[#This Row],[Ingresos]]-Movimientos_2026[[#This Row],[Egresos]]</f>
        <v>0</v>
      </c>
      <c r="O4450" s="20">
        <f>+O4449+Movimientos_2026[[#This Row],[Neto]]</f>
        <v>4581558617.7962294</v>
      </c>
    </row>
    <row r="4451" spans="1:15" x14ac:dyDescent="0.25">
      <c r="A4451" s="13"/>
      <c r="B4451" s="12">
        <f>MONTH(Movimientos_2026[[#This Row],[Fecha]])</f>
        <v>1</v>
      </c>
      <c r="C4451" s="12" t="str">
        <f>VLOOKUP((WEEKDAY(Movimientos_2026[[#This Row],[Fecha]],2)),'5. Setup'!$D$6:$E$12,2,FALSE)</f>
        <v>Sab</v>
      </c>
      <c r="E4451" t="str">
        <f>IFERROR(+VLOOKUP(Movimientos_2026[[#This Row],[Codigo]],Plan_cuentas[],2,FALSE)," ")</f>
        <v xml:space="preserve"> </v>
      </c>
      <c r="F4451" t="str">
        <f>IFERROR(+VLOOKUP(Movimientos_2026[[#This Row],[Codigo]],Plan_cuentas[],3,FALSE)," ")</f>
        <v xml:space="preserve"> </v>
      </c>
      <c r="G4451" t="str">
        <f>IFERROR(+VLOOKUP(Movimientos_2026[[#This Row],[Codigo]],Plan_cuentas[],4,FALSE)," ")</f>
        <v xml:space="preserve"> </v>
      </c>
      <c r="H4451" t="str">
        <f>IFERROR(+VLOOKUP(Movimientos_2026[[#This Row],[Codigo]],Plan_cuentas[],5,FALSE)," ")</f>
        <v xml:space="preserve"> </v>
      </c>
      <c r="I4451" s="43"/>
      <c r="K4451" t="str">
        <f>IFERROR(+VLOOKUP(Movimientos_2026[[#This Row],[Codigo]],Plan_cuentas[],6,FALSE)," ")</f>
        <v xml:space="preserve"> </v>
      </c>
      <c r="L4451" s="50"/>
      <c r="M4451" s="50"/>
      <c r="N4451" s="20">
        <f>+Movimientos_2026[[#This Row],[Ingresos]]-Movimientos_2026[[#This Row],[Egresos]]</f>
        <v>0</v>
      </c>
      <c r="O4451" s="20">
        <f>+O4450+Movimientos_2026[[#This Row],[Neto]]</f>
        <v>4581558617.7962294</v>
      </c>
    </row>
    <row r="4452" spans="1:15" x14ac:dyDescent="0.25">
      <c r="A4452" s="13"/>
      <c r="B4452" s="12">
        <f>MONTH(Movimientos_2026[[#This Row],[Fecha]])</f>
        <v>1</v>
      </c>
      <c r="C4452" s="12" t="str">
        <f>VLOOKUP((WEEKDAY(Movimientos_2026[[#This Row],[Fecha]],2)),'5. Setup'!$D$6:$E$12,2,FALSE)</f>
        <v>Sab</v>
      </c>
      <c r="E4452" t="str">
        <f>IFERROR(+VLOOKUP(Movimientos_2026[[#This Row],[Codigo]],Plan_cuentas[],2,FALSE)," ")</f>
        <v xml:space="preserve"> </v>
      </c>
      <c r="F4452" t="str">
        <f>IFERROR(+VLOOKUP(Movimientos_2026[[#This Row],[Codigo]],Plan_cuentas[],3,FALSE)," ")</f>
        <v xml:space="preserve"> </v>
      </c>
      <c r="G4452" t="str">
        <f>IFERROR(+VLOOKUP(Movimientos_2026[[#This Row],[Codigo]],Plan_cuentas[],4,FALSE)," ")</f>
        <v xml:space="preserve"> </v>
      </c>
      <c r="H4452" t="str">
        <f>IFERROR(+VLOOKUP(Movimientos_2026[[#This Row],[Codigo]],Plan_cuentas[],5,FALSE)," ")</f>
        <v xml:space="preserve"> </v>
      </c>
      <c r="I4452" s="43"/>
      <c r="K4452" t="str">
        <f>IFERROR(+VLOOKUP(Movimientos_2026[[#This Row],[Codigo]],Plan_cuentas[],6,FALSE)," ")</f>
        <v xml:space="preserve"> </v>
      </c>
      <c r="L4452" s="50"/>
      <c r="M4452" s="50"/>
      <c r="N4452" s="20">
        <f>+Movimientos_2026[[#This Row],[Ingresos]]-Movimientos_2026[[#This Row],[Egresos]]</f>
        <v>0</v>
      </c>
      <c r="O4452" s="20">
        <f>+O4451+Movimientos_2026[[#This Row],[Neto]]</f>
        <v>4581558617.7962294</v>
      </c>
    </row>
    <row r="4453" spans="1:15" x14ac:dyDescent="0.25">
      <c r="A4453" s="13"/>
      <c r="B4453" s="12">
        <f>MONTH(Movimientos_2026[[#This Row],[Fecha]])</f>
        <v>1</v>
      </c>
      <c r="C4453" s="12" t="str">
        <f>VLOOKUP((WEEKDAY(Movimientos_2026[[#This Row],[Fecha]],2)),'5. Setup'!$D$6:$E$12,2,FALSE)</f>
        <v>Sab</v>
      </c>
      <c r="E4453" t="str">
        <f>IFERROR(+VLOOKUP(Movimientos_2026[[#This Row],[Codigo]],Plan_cuentas[],2,FALSE)," ")</f>
        <v xml:space="preserve"> </v>
      </c>
      <c r="F4453" t="str">
        <f>IFERROR(+VLOOKUP(Movimientos_2026[[#This Row],[Codigo]],Plan_cuentas[],3,FALSE)," ")</f>
        <v xml:space="preserve"> </v>
      </c>
      <c r="G4453" t="str">
        <f>IFERROR(+VLOOKUP(Movimientos_2026[[#This Row],[Codigo]],Plan_cuentas[],4,FALSE)," ")</f>
        <v xml:space="preserve"> </v>
      </c>
      <c r="H4453" t="str">
        <f>IFERROR(+VLOOKUP(Movimientos_2026[[#This Row],[Codigo]],Plan_cuentas[],5,FALSE)," ")</f>
        <v xml:space="preserve"> </v>
      </c>
      <c r="I4453" s="43"/>
      <c r="K4453" t="str">
        <f>IFERROR(+VLOOKUP(Movimientos_2026[[#This Row],[Codigo]],Plan_cuentas[],6,FALSE)," ")</f>
        <v xml:space="preserve"> </v>
      </c>
      <c r="L4453" s="50"/>
      <c r="M4453" s="50"/>
      <c r="N4453" s="20">
        <f>+Movimientos_2026[[#This Row],[Ingresos]]-Movimientos_2026[[#This Row],[Egresos]]</f>
        <v>0</v>
      </c>
      <c r="O4453" s="20">
        <f>+O4452+Movimientos_2026[[#This Row],[Neto]]</f>
        <v>4581558617.7962294</v>
      </c>
    </row>
    <row r="4454" spans="1:15" x14ac:dyDescent="0.25">
      <c r="A4454" s="13"/>
      <c r="B4454" s="12">
        <f>MONTH(Movimientos_2026[[#This Row],[Fecha]])</f>
        <v>1</v>
      </c>
      <c r="C4454" s="12" t="str">
        <f>VLOOKUP((WEEKDAY(Movimientos_2026[[#This Row],[Fecha]],2)),'5. Setup'!$D$6:$E$12,2,FALSE)</f>
        <v>Sab</v>
      </c>
      <c r="E4454" t="str">
        <f>IFERROR(+VLOOKUP(Movimientos_2026[[#This Row],[Codigo]],Plan_cuentas[],2,FALSE)," ")</f>
        <v xml:space="preserve"> </v>
      </c>
      <c r="F4454" t="str">
        <f>IFERROR(+VLOOKUP(Movimientos_2026[[#This Row],[Codigo]],Plan_cuentas[],3,FALSE)," ")</f>
        <v xml:space="preserve"> </v>
      </c>
      <c r="G4454" t="str">
        <f>IFERROR(+VLOOKUP(Movimientos_2026[[#This Row],[Codigo]],Plan_cuentas[],4,FALSE)," ")</f>
        <v xml:space="preserve"> </v>
      </c>
      <c r="H4454" t="str">
        <f>IFERROR(+VLOOKUP(Movimientos_2026[[#This Row],[Codigo]],Plan_cuentas[],5,FALSE)," ")</f>
        <v xml:space="preserve"> </v>
      </c>
      <c r="I4454" s="43"/>
      <c r="K4454" t="str">
        <f>IFERROR(+VLOOKUP(Movimientos_2026[[#This Row],[Codigo]],Plan_cuentas[],6,FALSE)," ")</f>
        <v xml:space="preserve"> </v>
      </c>
      <c r="L4454" s="50"/>
      <c r="M4454" s="50"/>
      <c r="N4454" s="20">
        <f>+Movimientos_2026[[#This Row],[Ingresos]]-Movimientos_2026[[#This Row],[Egresos]]</f>
        <v>0</v>
      </c>
      <c r="O4454" s="20">
        <f>+O4453+Movimientos_2026[[#This Row],[Neto]]</f>
        <v>4581558617.7962294</v>
      </c>
    </row>
    <row r="4455" spans="1:15" x14ac:dyDescent="0.25">
      <c r="A4455" s="13"/>
      <c r="B4455" s="12">
        <f>MONTH(Movimientos_2026[[#This Row],[Fecha]])</f>
        <v>1</v>
      </c>
      <c r="C4455" s="12" t="str">
        <f>VLOOKUP((WEEKDAY(Movimientos_2026[[#This Row],[Fecha]],2)),'5. Setup'!$D$6:$E$12,2,FALSE)</f>
        <v>Sab</v>
      </c>
      <c r="E4455" t="str">
        <f>IFERROR(+VLOOKUP(Movimientos_2026[[#This Row],[Codigo]],Plan_cuentas[],2,FALSE)," ")</f>
        <v xml:space="preserve"> </v>
      </c>
      <c r="F4455" t="str">
        <f>IFERROR(+VLOOKUP(Movimientos_2026[[#This Row],[Codigo]],Plan_cuentas[],3,FALSE)," ")</f>
        <v xml:space="preserve"> </v>
      </c>
      <c r="G4455" t="str">
        <f>IFERROR(+VLOOKUP(Movimientos_2026[[#This Row],[Codigo]],Plan_cuentas[],4,FALSE)," ")</f>
        <v xml:space="preserve"> </v>
      </c>
      <c r="H4455" t="str">
        <f>IFERROR(+VLOOKUP(Movimientos_2026[[#This Row],[Codigo]],Plan_cuentas[],5,FALSE)," ")</f>
        <v xml:space="preserve"> </v>
      </c>
      <c r="I4455" s="43"/>
      <c r="K4455" t="str">
        <f>IFERROR(+VLOOKUP(Movimientos_2026[[#This Row],[Codigo]],Plan_cuentas[],6,FALSE)," ")</f>
        <v xml:space="preserve"> </v>
      </c>
      <c r="L4455" s="50"/>
      <c r="M4455" s="50"/>
      <c r="N4455" s="20">
        <f>+Movimientos_2026[[#This Row],[Ingresos]]-Movimientos_2026[[#This Row],[Egresos]]</f>
        <v>0</v>
      </c>
      <c r="O4455" s="20">
        <f>+O4454+Movimientos_2026[[#This Row],[Neto]]</f>
        <v>4581558617.7962294</v>
      </c>
    </row>
    <row r="4456" spans="1:15" x14ac:dyDescent="0.25">
      <c r="A4456" s="13"/>
      <c r="B4456" s="12">
        <f>MONTH(Movimientos_2026[[#This Row],[Fecha]])</f>
        <v>1</v>
      </c>
      <c r="C4456" s="12" t="str">
        <f>VLOOKUP((WEEKDAY(Movimientos_2026[[#This Row],[Fecha]],2)),'5. Setup'!$D$6:$E$12,2,FALSE)</f>
        <v>Sab</v>
      </c>
      <c r="E4456" t="str">
        <f>IFERROR(+VLOOKUP(Movimientos_2026[[#This Row],[Codigo]],Plan_cuentas[],2,FALSE)," ")</f>
        <v xml:space="preserve"> </v>
      </c>
      <c r="F4456" t="str">
        <f>IFERROR(+VLOOKUP(Movimientos_2026[[#This Row],[Codigo]],Plan_cuentas[],3,FALSE)," ")</f>
        <v xml:space="preserve"> </v>
      </c>
      <c r="G4456" t="str">
        <f>IFERROR(+VLOOKUP(Movimientos_2026[[#This Row],[Codigo]],Plan_cuentas[],4,FALSE)," ")</f>
        <v xml:space="preserve"> </v>
      </c>
      <c r="H4456" t="str">
        <f>IFERROR(+VLOOKUP(Movimientos_2026[[#This Row],[Codigo]],Plan_cuentas[],5,FALSE)," ")</f>
        <v xml:space="preserve"> </v>
      </c>
      <c r="I4456" s="43"/>
      <c r="K4456" t="str">
        <f>IFERROR(+VLOOKUP(Movimientos_2026[[#This Row],[Codigo]],Plan_cuentas[],6,FALSE)," ")</f>
        <v xml:space="preserve"> </v>
      </c>
      <c r="L4456" s="50"/>
      <c r="M4456" s="50"/>
      <c r="N4456" s="20">
        <f>+Movimientos_2026[[#This Row],[Ingresos]]-Movimientos_2026[[#This Row],[Egresos]]</f>
        <v>0</v>
      </c>
      <c r="O4456" s="20">
        <f>+O4455+Movimientos_2026[[#This Row],[Neto]]</f>
        <v>4581558617.7962294</v>
      </c>
    </row>
    <row r="4457" spans="1:15" x14ac:dyDescent="0.25">
      <c r="A4457" s="13"/>
      <c r="B4457" s="12">
        <f>MONTH(Movimientos_2026[[#This Row],[Fecha]])</f>
        <v>1</v>
      </c>
      <c r="C4457" s="12" t="str">
        <f>VLOOKUP((WEEKDAY(Movimientos_2026[[#This Row],[Fecha]],2)),'5. Setup'!$D$6:$E$12,2,FALSE)</f>
        <v>Sab</v>
      </c>
      <c r="E4457" t="str">
        <f>IFERROR(+VLOOKUP(Movimientos_2026[[#This Row],[Codigo]],Plan_cuentas[],2,FALSE)," ")</f>
        <v xml:space="preserve"> </v>
      </c>
      <c r="F4457" t="str">
        <f>IFERROR(+VLOOKUP(Movimientos_2026[[#This Row],[Codigo]],Plan_cuentas[],3,FALSE)," ")</f>
        <v xml:space="preserve"> </v>
      </c>
      <c r="G4457" t="str">
        <f>IFERROR(+VLOOKUP(Movimientos_2026[[#This Row],[Codigo]],Plan_cuentas[],4,FALSE)," ")</f>
        <v xml:space="preserve"> </v>
      </c>
      <c r="H4457" t="str">
        <f>IFERROR(+VLOOKUP(Movimientos_2026[[#This Row],[Codigo]],Plan_cuentas[],5,FALSE)," ")</f>
        <v xml:space="preserve"> </v>
      </c>
      <c r="I4457" s="43"/>
      <c r="K4457" t="str">
        <f>IFERROR(+VLOOKUP(Movimientos_2026[[#This Row],[Codigo]],Plan_cuentas[],6,FALSE)," ")</f>
        <v xml:space="preserve"> </v>
      </c>
      <c r="L4457" s="50"/>
      <c r="M4457" s="50"/>
      <c r="N4457" s="20">
        <f>+Movimientos_2026[[#This Row],[Ingresos]]-Movimientos_2026[[#This Row],[Egresos]]</f>
        <v>0</v>
      </c>
      <c r="O4457" s="20">
        <f>+O4456+Movimientos_2026[[#This Row],[Neto]]</f>
        <v>4581558617.7962294</v>
      </c>
    </row>
    <row r="4458" spans="1:15" x14ac:dyDescent="0.25">
      <c r="A4458" s="13"/>
      <c r="B4458" s="12">
        <f>MONTH(Movimientos_2026[[#This Row],[Fecha]])</f>
        <v>1</v>
      </c>
      <c r="C4458" s="12" t="str">
        <f>VLOOKUP((WEEKDAY(Movimientos_2026[[#This Row],[Fecha]],2)),'5. Setup'!$D$6:$E$12,2,FALSE)</f>
        <v>Sab</v>
      </c>
      <c r="E4458" t="str">
        <f>IFERROR(+VLOOKUP(Movimientos_2026[[#This Row],[Codigo]],Plan_cuentas[],2,FALSE)," ")</f>
        <v xml:space="preserve"> </v>
      </c>
      <c r="F4458" t="str">
        <f>IFERROR(+VLOOKUP(Movimientos_2026[[#This Row],[Codigo]],Plan_cuentas[],3,FALSE)," ")</f>
        <v xml:space="preserve"> </v>
      </c>
      <c r="G4458" t="str">
        <f>IFERROR(+VLOOKUP(Movimientos_2026[[#This Row],[Codigo]],Plan_cuentas[],4,FALSE)," ")</f>
        <v xml:space="preserve"> </v>
      </c>
      <c r="H4458" t="str">
        <f>IFERROR(+VLOOKUP(Movimientos_2026[[#This Row],[Codigo]],Plan_cuentas[],5,FALSE)," ")</f>
        <v xml:space="preserve"> </v>
      </c>
      <c r="I4458" s="43"/>
      <c r="K4458" t="str">
        <f>IFERROR(+VLOOKUP(Movimientos_2026[[#This Row],[Codigo]],Plan_cuentas[],6,FALSE)," ")</f>
        <v xml:space="preserve"> </v>
      </c>
      <c r="L4458" s="50"/>
      <c r="M4458" s="50"/>
      <c r="N4458" s="20">
        <f>+Movimientos_2026[[#This Row],[Ingresos]]-Movimientos_2026[[#This Row],[Egresos]]</f>
        <v>0</v>
      </c>
      <c r="O4458" s="20">
        <f>+O4457+Movimientos_2026[[#This Row],[Neto]]</f>
        <v>4581558617.7962294</v>
      </c>
    </row>
    <row r="4459" spans="1:15" x14ac:dyDescent="0.25">
      <c r="A4459" s="13"/>
      <c r="B4459" s="12">
        <f>MONTH(Movimientos_2026[[#This Row],[Fecha]])</f>
        <v>1</v>
      </c>
      <c r="C4459" s="12" t="str">
        <f>VLOOKUP((WEEKDAY(Movimientos_2026[[#This Row],[Fecha]],2)),'5. Setup'!$D$6:$E$12,2,FALSE)</f>
        <v>Sab</v>
      </c>
      <c r="E4459" t="str">
        <f>IFERROR(+VLOOKUP(Movimientos_2026[[#This Row],[Codigo]],Plan_cuentas[],2,FALSE)," ")</f>
        <v xml:space="preserve"> </v>
      </c>
      <c r="F4459" t="str">
        <f>IFERROR(+VLOOKUP(Movimientos_2026[[#This Row],[Codigo]],Plan_cuentas[],3,FALSE)," ")</f>
        <v xml:space="preserve"> </v>
      </c>
      <c r="G4459" t="str">
        <f>IFERROR(+VLOOKUP(Movimientos_2026[[#This Row],[Codigo]],Plan_cuentas[],4,FALSE)," ")</f>
        <v xml:space="preserve"> </v>
      </c>
      <c r="H4459" t="str">
        <f>IFERROR(+VLOOKUP(Movimientos_2026[[#This Row],[Codigo]],Plan_cuentas[],5,FALSE)," ")</f>
        <v xml:space="preserve"> </v>
      </c>
      <c r="I4459" s="43"/>
      <c r="K4459" t="str">
        <f>IFERROR(+VLOOKUP(Movimientos_2026[[#This Row],[Codigo]],Plan_cuentas[],6,FALSE)," ")</f>
        <v xml:space="preserve"> </v>
      </c>
      <c r="L4459" s="50"/>
      <c r="M4459" s="50"/>
      <c r="N4459" s="20">
        <f>+Movimientos_2026[[#This Row],[Ingresos]]-Movimientos_2026[[#This Row],[Egresos]]</f>
        <v>0</v>
      </c>
      <c r="O4459" s="20">
        <f>+O4458+Movimientos_2026[[#This Row],[Neto]]</f>
        <v>4581558617.7962294</v>
      </c>
    </row>
    <row r="4460" spans="1:15" x14ac:dyDescent="0.25">
      <c r="A4460" s="13"/>
      <c r="B4460" s="12">
        <f>MONTH(Movimientos_2026[[#This Row],[Fecha]])</f>
        <v>1</v>
      </c>
      <c r="C4460" s="12" t="str">
        <f>VLOOKUP((WEEKDAY(Movimientos_2026[[#This Row],[Fecha]],2)),'5. Setup'!$D$6:$E$12,2,FALSE)</f>
        <v>Sab</v>
      </c>
      <c r="E4460" t="str">
        <f>IFERROR(+VLOOKUP(Movimientos_2026[[#This Row],[Codigo]],Plan_cuentas[],2,FALSE)," ")</f>
        <v xml:space="preserve"> </v>
      </c>
      <c r="F4460" t="str">
        <f>IFERROR(+VLOOKUP(Movimientos_2026[[#This Row],[Codigo]],Plan_cuentas[],3,FALSE)," ")</f>
        <v xml:space="preserve"> </v>
      </c>
      <c r="G4460" t="str">
        <f>IFERROR(+VLOOKUP(Movimientos_2026[[#This Row],[Codigo]],Plan_cuentas[],4,FALSE)," ")</f>
        <v xml:space="preserve"> </v>
      </c>
      <c r="H4460" t="str">
        <f>IFERROR(+VLOOKUP(Movimientos_2026[[#This Row],[Codigo]],Plan_cuentas[],5,FALSE)," ")</f>
        <v xml:space="preserve"> </v>
      </c>
      <c r="I4460" s="43"/>
      <c r="K4460" t="str">
        <f>IFERROR(+VLOOKUP(Movimientos_2026[[#This Row],[Codigo]],Plan_cuentas[],6,FALSE)," ")</f>
        <v xml:space="preserve"> </v>
      </c>
      <c r="L4460" s="50"/>
      <c r="M4460" s="50"/>
      <c r="N4460" s="20">
        <f>+Movimientos_2026[[#This Row],[Ingresos]]-Movimientos_2026[[#This Row],[Egresos]]</f>
        <v>0</v>
      </c>
      <c r="O4460" s="20">
        <f>+O4459+Movimientos_2026[[#This Row],[Neto]]</f>
        <v>4581558617.7962294</v>
      </c>
    </row>
    <row r="4461" spans="1:15" x14ac:dyDescent="0.25">
      <c r="A4461" s="13"/>
      <c r="B4461" s="12">
        <f>MONTH(Movimientos_2026[[#This Row],[Fecha]])</f>
        <v>1</v>
      </c>
      <c r="C4461" s="12" t="str">
        <f>VLOOKUP((WEEKDAY(Movimientos_2026[[#This Row],[Fecha]],2)),'5. Setup'!$D$6:$E$12,2,FALSE)</f>
        <v>Sab</v>
      </c>
      <c r="E4461" t="str">
        <f>IFERROR(+VLOOKUP(Movimientos_2026[[#This Row],[Codigo]],Plan_cuentas[],2,FALSE)," ")</f>
        <v xml:space="preserve"> </v>
      </c>
      <c r="F4461" t="str">
        <f>IFERROR(+VLOOKUP(Movimientos_2026[[#This Row],[Codigo]],Plan_cuentas[],3,FALSE)," ")</f>
        <v xml:space="preserve"> </v>
      </c>
      <c r="G4461" t="str">
        <f>IFERROR(+VLOOKUP(Movimientos_2026[[#This Row],[Codigo]],Plan_cuentas[],4,FALSE)," ")</f>
        <v xml:space="preserve"> </v>
      </c>
      <c r="H4461" t="str">
        <f>IFERROR(+VLOOKUP(Movimientos_2026[[#This Row],[Codigo]],Plan_cuentas[],5,FALSE)," ")</f>
        <v xml:space="preserve"> </v>
      </c>
      <c r="I4461" s="43"/>
      <c r="K4461" t="str">
        <f>IFERROR(+VLOOKUP(Movimientos_2026[[#This Row],[Codigo]],Plan_cuentas[],6,FALSE)," ")</f>
        <v xml:space="preserve"> </v>
      </c>
      <c r="L4461" s="50"/>
      <c r="M4461" s="50"/>
      <c r="N4461" s="20">
        <f>+Movimientos_2026[[#This Row],[Ingresos]]-Movimientos_2026[[#This Row],[Egresos]]</f>
        <v>0</v>
      </c>
      <c r="O4461" s="20">
        <f>+O4460+Movimientos_2026[[#This Row],[Neto]]</f>
        <v>4581558617.7962294</v>
      </c>
    </row>
    <row r="4462" spans="1:15" x14ac:dyDescent="0.25">
      <c r="A4462" s="13"/>
      <c r="B4462" s="12">
        <f>MONTH(Movimientos_2026[[#This Row],[Fecha]])</f>
        <v>1</v>
      </c>
      <c r="C4462" s="12" t="str">
        <f>VLOOKUP((WEEKDAY(Movimientos_2026[[#This Row],[Fecha]],2)),'5. Setup'!$D$6:$E$12,2,FALSE)</f>
        <v>Sab</v>
      </c>
      <c r="E4462" t="str">
        <f>IFERROR(+VLOOKUP(Movimientos_2026[[#This Row],[Codigo]],Plan_cuentas[],2,FALSE)," ")</f>
        <v xml:space="preserve"> </v>
      </c>
      <c r="F4462" t="str">
        <f>IFERROR(+VLOOKUP(Movimientos_2026[[#This Row],[Codigo]],Plan_cuentas[],3,FALSE)," ")</f>
        <v xml:space="preserve"> </v>
      </c>
      <c r="G4462" t="str">
        <f>IFERROR(+VLOOKUP(Movimientos_2026[[#This Row],[Codigo]],Plan_cuentas[],4,FALSE)," ")</f>
        <v xml:space="preserve"> </v>
      </c>
      <c r="H4462" t="str">
        <f>IFERROR(+VLOOKUP(Movimientos_2026[[#This Row],[Codigo]],Plan_cuentas[],5,FALSE)," ")</f>
        <v xml:space="preserve"> </v>
      </c>
      <c r="I4462" s="43"/>
      <c r="K4462" t="str">
        <f>IFERROR(+VLOOKUP(Movimientos_2026[[#This Row],[Codigo]],Plan_cuentas[],6,FALSE)," ")</f>
        <v xml:space="preserve"> </v>
      </c>
      <c r="L4462" s="50"/>
      <c r="M4462" s="50"/>
      <c r="N4462" s="20">
        <f>+Movimientos_2026[[#This Row],[Ingresos]]-Movimientos_2026[[#This Row],[Egresos]]</f>
        <v>0</v>
      </c>
      <c r="O4462" s="20">
        <f>+O4461+Movimientos_2026[[#This Row],[Neto]]</f>
        <v>4581558617.7962294</v>
      </c>
    </row>
    <row r="4463" spans="1:15" x14ac:dyDescent="0.25">
      <c r="A4463" s="13"/>
      <c r="B4463" s="12">
        <f>MONTH(Movimientos_2026[[#This Row],[Fecha]])</f>
        <v>1</v>
      </c>
      <c r="C4463" s="12" t="str">
        <f>VLOOKUP((WEEKDAY(Movimientos_2026[[#This Row],[Fecha]],2)),'5. Setup'!$D$6:$E$12,2,FALSE)</f>
        <v>Sab</v>
      </c>
      <c r="E4463" t="str">
        <f>IFERROR(+VLOOKUP(Movimientos_2026[[#This Row],[Codigo]],Plan_cuentas[],2,FALSE)," ")</f>
        <v xml:space="preserve"> </v>
      </c>
      <c r="F4463" t="str">
        <f>IFERROR(+VLOOKUP(Movimientos_2026[[#This Row],[Codigo]],Plan_cuentas[],3,FALSE)," ")</f>
        <v xml:space="preserve"> </v>
      </c>
      <c r="G4463" t="str">
        <f>IFERROR(+VLOOKUP(Movimientos_2026[[#This Row],[Codigo]],Plan_cuentas[],4,FALSE)," ")</f>
        <v xml:space="preserve"> </v>
      </c>
      <c r="H4463" t="str">
        <f>IFERROR(+VLOOKUP(Movimientos_2026[[#This Row],[Codigo]],Plan_cuentas[],5,FALSE)," ")</f>
        <v xml:space="preserve"> </v>
      </c>
      <c r="I4463" s="43"/>
      <c r="K4463" t="str">
        <f>IFERROR(+VLOOKUP(Movimientos_2026[[#This Row],[Codigo]],Plan_cuentas[],6,FALSE)," ")</f>
        <v xml:space="preserve"> </v>
      </c>
      <c r="L4463" s="50"/>
      <c r="M4463" s="50"/>
      <c r="N4463" s="20">
        <f>+Movimientos_2026[[#This Row],[Ingresos]]-Movimientos_2026[[#This Row],[Egresos]]</f>
        <v>0</v>
      </c>
      <c r="O4463" s="20">
        <f>+O4462+Movimientos_2026[[#This Row],[Neto]]</f>
        <v>4581558617.7962294</v>
      </c>
    </row>
    <row r="4464" spans="1:15" x14ac:dyDescent="0.25">
      <c r="A4464" s="13"/>
      <c r="B4464" s="12">
        <f>MONTH(Movimientos_2026[[#This Row],[Fecha]])</f>
        <v>1</v>
      </c>
      <c r="C4464" s="12" t="str">
        <f>VLOOKUP((WEEKDAY(Movimientos_2026[[#This Row],[Fecha]],2)),'5. Setup'!$D$6:$E$12,2,FALSE)</f>
        <v>Sab</v>
      </c>
      <c r="E4464" t="str">
        <f>IFERROR(+VLOOKUP(Movimientos_2026[[#This Row],[Codigo]],Plan_cuentas[],2,FALSE)," ")</f>
        <v xml:space="preserve"> </v>
      </c>
      <c r="F4464" t="str">
        <f>IFERROR(+VLOOKUP(Movimientos_2026[[#This Row],[Codigo]],Plan_cuentas[],3,FALSE)," ")</f>
        <v xml:space="preserve"> </v>
      </c>
      <c r="G4464" t="str">
        <f>IFERROR(+VLOOKUP(Movimientos_2026[[#This Row],[Codigo]],Plan_cuentas[],4,FALSE)," ")</f>
        <v xml:space="preserve"> </v>
      </c>
      <c r="H4464" t="str">
        <f>IFERROR(+VLOOKUP(Movimientos_2026[[#This Row],[Codigo]],Plan_cuentas[],5,FALSE)," ")</f>
        <v xml:space="preserve"> </v>
      </c>
      <c r="I4464" s="43"/>
      <c r="K4464" t="str">
        <f>IFERROR(+VLOOKUP(Movimientos_2026[[#This Row],[Codigo]],Plan_cuentas[],6,FALSE)," ")</f>
        <v xml:space="preserve"> </v>
      </c>
      <c r="L4464" s="50"/>
      <c r="M4464" s="50"/>
      <c r="N4464" s="20">
        <f>+Movimientos_2026[[#This Row],[Ingresos]]-Movimientos_2026[[#This Row],[Egresos]]</f>
        <v>0</v>
      </c>
      <c r="O4464" s="20">
        <f>+O4463+Movimientos_2026[[#This Row],[Neto]]</f>
        <v>4581558617.7962294</v>
      </c>
    </row>
    <row r="4465" spans="1:15" x14ac:dyDescent="0.25">
      <c r="A4465" s="13"/>
      <c r="B4465" s="12">
        <f>MONTH(Movimientos_2026[[#This Row],[Fecha]])</f>
        <v>1</v>
      </c>
      <c r="C4465" s="12" t="str">
        <f>VLOOKUP((WEEKDAY(Movimientos_2026[[#This Row],[Fecha]],2)),'5. Setup'!$D$6:$E$12,2,FALSE)</f>
        <v>Sab</v>
      </c>
      <c r="E4465" t="str">
        <f>IFERROR(+VLOOKUP(Movimientos_2026[[#This Row],[Codigo]],Plan_cuentas[],2,FALSE)," ")</f>
        <v xml:space="preserve"> </v>
      </c>
      <c r="F4465" t="str">
        <f>IFERROR(+VLOOKUP(Movimientos_2026[[#This Row],[Codigo]],Plan_cuentas[],3,FALSE)," ")</f>
        <v xml:space="preserve"> </v>
      </c>
      <c r="G4465" t="str">
        <f>IFERROR(+VLOOKUP(Movimientos_2026[[#This Row],[Codigo]],Plan_cuentas[],4,FALSE)," ")</f>
        <v xml:space="preserve"> </v>
      </c>
      <c r="H4465" t="str">
        <f>IFERROR(+VLOOKUP(Movimientos_2026[[#This Row],[Codigo]],Plan_cuentas[],5,FALSE)," ")</f>
        <v xml:space="preserve"> </v>
      </c>
      <c r="I4465" s="43"/>
      <c r="K4465" t="str">
        <f>IFERROR(+VLOOKUP(Movimientos_2026[[#This Row],[Codigo]],Plan_cuentas[],6,FALSE)," ")</f>
        <v xml:space="preserve"> </v>
      </c>
      <c r="L4465" s="50"/>
      <c r="M4465" s="50"/>
      <c r="N4465" s="20">
        <f>+Movimientos_2026[[#This Row],[Ingresos]]-Movimientos_2026[[#This Row],[Egresos]]</f>
        <v>0</v>
      </c>
      <c r="O4465" s="20">
        <f>+O4464+Movimientos_2026[[#This Row],[Neto]]</f>
        <v>4581558617.7962294</v>
      </c>
    </row>
    <row r="4466" spans="1:15" x14ac:dyDescent="0.25">
      <c r="A4466" s="13"/>
      <c r="B4466" s="12">
        <f>MONTH(Movimientos_2026[[#This Row],[Fecha]])</f>
        <v>1</v>
      </c>
      <c r="C4466" s="12" t="str">
        <f>VLOOKUP((WEEKDAY(Movimientos_2026[[#This Row],[Fecha]],2)),'5. Setup'!$D$6:$E$12,2,FALSE)</f>
        <v>Sab</v>
      </c>
      <c r="E4466" t="str">
        <f>IFERROR(+VLOOKUP(Movimientos_2026[[#This Row],[Codigo]],Plan_cuentas[],2,FALSE)," ")</f>
        <v xml:space="preserve"> </v>
      </c>
      <c r="F4466" t="str">
        <f>IFERROR(+VLOOKUP(Movimientos_2026[[#This Row],[Codigo]],Plan_cuentas[],3,FALSE)," ")</f>
        <v xml:space="preserve"> </v>
      </c>
      <c r="G4466" t="str">
        <f>IFERROR(+VLOOKUP(Movimientos_2026[[#This Row],[Codigo]],Plan_cuentas[],4,FALSE)," ")</f>
        <v xml:space="preserve"> </v>
      </c>
      <c r="H4466" t="str">
        <f>IFERROR(+VLOOKUP(Movimientos_2026[[#This Row],[Codigo]],Plan_cuentas[],5,FALSE)," ")</f>
        <v xml:space="preserve"> </v>
      </c>
      <c r="I4466" s="43"/>
      <c r="K4466" t="str">
        <f>IFERROR(+VLOOKUP(Movimientos_2026[[#This Row],[Codigo]],Plan_cuentas[],6,FALSE)," ")</f>
        <v xml:space="preserve"> </v>
      </c>
      <c r="L4466" s="50"/>
      <c r="M4466" s="50"/>
      <c r="N4466" s="20">
        <f>+Movimientos_2026[[#This Row],[Ingresos]]-Movimientos_2026[[#This Row],[Egresos]]</f>
        <v>0</v>
      </c>
      <c r="O4466" s="20">
        <f>+O4465+Movimientos_2026[[#This Row],[Neto]]</f>
        <v>4581558617.7962294</v>
      </c>
    </row>
    <row r="4467" spans="1:15" x14ac:dyDescent="0.25">
      <c r="A4467" s="13"/>
      <c r="B4467" s="12">
        <f>MONTH(Movimientos_2026[[#This Row],[Fecha]])</f>
        <v>1</v>
      </c>
      <c r="C4467" s="12" t="str">
        <f>VLOOKUP((WEEKDAY(Movimientos_2026[[#This Row],[Fecha]],2)),'5. Setup'!$D$6:$E$12,2,FALSE)</f>
        <v>Sab</v>
      </c>
      <c r="E4467" t="str">
        <f>IFERROR(+VLOOKUP(Movimientos_2026[[#This Row],[Codigo]],Plan_cuentas[],2,FALSE)," ")</f>
        <v xml:space="preserve"> </v>
      </c>
      <c r="F4467" t="str">
        <f>IFERROR(+VLOOKUP(Movimientos_2026[[#This Row],[Codigo]],Plan_cuentas[],3,FALSE)," ")</f>
        <v xml:space="preserve"> </v>
      </c>
      <c r="G4467" t="str">
        <f>IFERROR(+VLOOKUP(Movimientos_2026[[#This Row],[Codigo]],Plan_cuentas[],4,FALSE)," ")</f>
        <v xml:space="preserve"> </v>
      </c>
      <c r="H4467" t="str">
        <f>IFERROR(+VLOOKUP(Movimientos_2026[[#This Row],[Codigo]],Plan_cuentas[],5,FALSE)," ")</f>
        <v xml:space="preserve"> </v>
      </c>
      <c r="I4467" s="43"/>
      <c r="K4467" t="str">
        <f>IFERROR(+VLOOKUP(Movimientos_2026[[#This Row],[Codigo]],Plan_cuentas[],6,FALSE)," ")</f>
        <v xml:space="preserve"> </v>
      </c>
      <c r="L4467" s="50"/>
      <c r="M4467" s="50"/>
      <c r="N4467" s="20">
        <f>+Movimientos_2026[[#This Row],[Ingresos]]-Movimientos_2026[[#This Row],[Egresos]]</f>
        <v>0</v>
      </c>
      <c r="O4467" s="20">
        <f>+O4466+Movimientos_2026[[#This Row],[Neto]]</f>
        <v>4581558617.7962294</v>
      </c>
    </row>
    <row r="4468" spans="1:15" x14ac:dyDescent="0.25">
      <c r="A4468" s="13"/>
      <c r="B4468" s="12">
        <f>MONTH(Movimientos_2026[[#This Row],[Fecha]])</f>
        <v>1</v>
      </c>
      <c r="C4468" s="12" t="str">
        <f>VLOOKUP((WEEKDAY(Movimientos_2026[[#This Row],[Fecha]],2)),'5. Setup'!$D$6:$E$12,2,FALSE)</f>
        <v>Sab</v>
      </c>
      <c r="E4468" t="str">
        <f>IFERROR(+VLOOKUP(Movimientos_2026[[#This Row],[Codigo]],Plan_cuentas[],2,FALSE)," ")</f>
        <v xml:space="preserve"> </v>
      </c>
      <c r="F4468" t="str">
        <f>IFERROR(+VLOOKUP(Movimientos_2026[[#This Row],[Codigo]],Plan_cuentas[],3,FALSE)," ")</f>
        <v xml:space="preserve"> </v>
      </c>
      <c r="G4468" t="str">
        <f>IFERROR(+VLOOKUP(Movimientos_2026[[#This Row],[Codigo]],Plan_cuentas[],4,FALSE)," ")</f>
        <v xml:space="preserve"> </v>
      </c>
      <c r="H4468" t="str">
        <f>IFERROR(+VLOOKUP(Movimientos_2026[[#This Row],[Codigo]],Plan_cuentas[],5,FALSE)," ")</f>
        <v xml:space="preserve"> </v>
      </c>
      <c r="I4468" s="43"/>
      <c r="K4468" t="str">
        <f>IFERROR(+VLOOKUP(Movimientos_2026[[#This Row],[Codigo]],Plan_cuentas[],6,FALSE)," ")</f>
        <v xml:space="preserve"> </v>
      </c>
      <c r="L4468" s="50"/>
      <c r="M4468" s="50"/>
      <c r="N4468" s="20">
        <f>+Movimientos_2026[[#This Row],[Ingresos]]-Movimientos_2026[[#This Row],[Egresos]]</f>
        <v>0</v>
      </c>
      <c r="O4468" s="20">
        <f>+O4467+Movimientos_2026[[#This Row],[Neto]]</f>
        <v>4581558617.7962294</v>
      </c>
    </row>
    <row r="4469" spans="1:15" x14ac:dyDescent="0.25">
      <c r="A4469" s="13"/>
      <c r="B4469" s="12">
        <f>MONTH(Movimientos_2026[[#This Row],[Fecha]])</f>
        <v>1</v>
      </c>
      <c r="C4469" s="12" t="str">
        <f>VLOOKUP((WEEKDAY(Movimientos_2026[[#This Row],[Fecha]],2)),'5. Setup'!$D$6:$E$12,2,FALSE)</f>
        <v>Sab</v>
      </c>
      <c r="E4469" t="str">
        <f>IFERROR(+VLOOKUP(Movimientos_2026[[#This Row],[Codigo]],Plan_cuentas[],2,FALSE)," ")</f>
        <v xml:space="preserve"> </v>
      </c>
      <c r="F4469" t="str">
        <f>IFERROR(+VLOOKUP(Movimientos_2026[[#This Row],[Codigo]],Plan_cuentas[],3,FALSE)," ")</f>
        <v xml:space="preserve"> </v>
      </c>
      <c r="G4469" t="str">
        <f>IFERROR(+VLOOKUP(Movimientos_2026[[#This Row],[Codigo]],Plan_cuentas[],4,FALSE)," ")</f>
        <v xml:space="preserve"> </v>
      </c>
      <c r="H4469" t="str">
        <f>IFERROR(+VLOOKUP(Movimientos_2026[[#This Row],[Codigo]],Plan_cuentas[],5,FALSE)," ")</f>
        <v xml:space="preserve"> </v>
      </c>
      <c r="I4469" s="43"/>
      <c r="K4469" t="str">
        <f>IFERROR(+VLOOKUP(Movimientos_2026[[#This Row],[Codigo]],Plan_cuentas[],6,FALSE)," ")</f>
        <v xml:space="preserve"> </v>
      </c>
      <c r="L4469" s="50"/>
      <c r="M4469" s="50"/>
      <c r="N4469" s="20">
        <f>+Movimientos_2026[[#This Row],[Ingresos]]-Movimientos_2026[[#This Row],[Egresos]]</f>
        <v>0</v>
      </c>
      <c r="O4469" s="20">
        <f>+O4468+Movimientos_2026[[#This Row],[Neto]]</f>
        <v>4581558617.7962294</v>
      </c>
    </row>
    <row r="4470" spans="1:15" x14ac:dyDescent="0.25">
      <c r="A4470" s="13"/>
      <c r="B4470" s="12">
        <f>MONTH(Movimientos_2026[[#This Row],[Fecha]])</f>
        <v>1</v>
      </c>
      <c r="C4470" s="12" t="str">
        <f>VLOOKUP((WEEKDAY(Movimientos_2026[[#This Row],[Fecha]],2)),'5. Setup'!$D$6:$E$12,2,FALSE)</f>
        <v>Sab</v>
      </c>
      <c r="E4470" t="str">
        <f>IFERROR(+VLOOKUP(Movimientos_2026[[#This Row],[Codigo]],Plan_cuentas[],2,FALSE)," ")</f>
        <v xml:space="preserve"> </v>
      </c>
      <c r="F4470" t="str">
        <f>IFERROR(+VLOOKUP(Movimientos_2026[[#This Row],[Codigo]],Plan_cuentas[],3,FALSE)," ")</f>
        <v xml:space="preserve"> </v>
      </c>
      <c r="G4470" t="str">
        <f>IFERROR(+VLOOKUP(Movimientos_2026[[#This Row],[Codigo]],Plan_cuentas[],4,FALSE)," ")</f>
        <v xml:space="preserve"> </v>
      </c>
      <c r="H4470" t="str">
        <f>IFERROR(+VLOOKUP(Movimientos_2026[[#This Row],[Codigo]],Plan_cuentas[],5,FALSE)," ")</f>
        <v xml:space="preserve"> </v>
      </c>
      <c r="I4470" s="43"/>
      <c r="K4470" t="str">
        <f>IFERROR(+VLOOKUP(Movimientos_2026[[#This Row],[Codigo]],Plan_cuentas[],6,FALSE)," ")</f>
        <v xml:space="preserve"> </v>
      </c>
      <c r="L4470" s="50"/>
      <c r="M4470" s="50"/>
      <c r="N4470" s="20">
        <f>+Movimientos_2026[[#This Row],[Ingresos]]-Movimientos_2026[[#This Row],[Egresos]]</f>
        <v>0</v>
      </c>
      <c r="O4470" s="20">
        <f>+O4469+Movimientos_2026[[#This Row],[Neto]]</f>
        <v>4581558617.7962294</v>
      </c>
    </row>
    <row r="4471" spans="1:15" x14ac:dyDescent="0.25">
      <c r="A4471" s="13"/>
      <c r="B4471" s="12">
        <f>MONTH(Movimientos_2026[[#This Row],[Fecha]])</f>
        <v>1</v>
      </c>
      <c r="C4471" s="12" t="str">
        <f>VLOOKUP((WEEKDAY(Movimientos_2026[[#This Row],[Fecha]],2)),'5. Setup'!$D$6:$E$12,2,FALSE)</f>
        <v>Sab</v>
      </c>
      <c r="E4471" t="str">
        <f>IFERROR(+VLOOKUP(Movimientos_2026[[#This Row],[Codigo]],Plan_cuentas[],2,FALSE)," ")</f>
        <v xml:space="preserve"> </v>
      </c>
      <c r="F4471" t="str">
        <f>IFERROR(+VLOOKUP(Movimientos_2026[[#This Row],[Codigo]],Plan_cuentas[],3,FALSE)," ")</f>
        <v xml:space="preserve"> </v>
      </c>
      <c r="G4471" t="str">
        <f>IFERROR(+VLOOKUP(Movimientos_2026[[#This Row],[Codigo]],Plan_cuentas[],4,FALSE)," ")</f>
        <v xml:space="preserve"> </v>
      </c>
      <c r="H4471" t="str">
        <f>IFERROR(+VLOOKUP(Movimientos_2026[[#This Row],[Codigo]],Plan_cuentas[],5,FALSE)," ")</f>
        <v xml:space="preserve"> </v>
      </c>
      <c r="I4471" s="43"/>
      <c r="K4471" t="str">
        <f>IFERROR(+VLOOKUP(Movimientos_2026[[#This Row],[Codigo]],Plan_cuentas[],6,FALSE)," ")</f>
        <v xml:space="preserve"> </v>
      </c>
      <c r="L4471" s="50"/>
      <c r="M4471" s="50"/>
      <c r="N4471" s="20">
        <f>+Movimientos_2026[[#This Row],[Ingresos]]-Movimientos_2026[[#This Row],[Egresos]]</f>
        <v>0</v>
      </c>
      <c r="O4471" s="20">
        <f>+O4470+Movimientos_2026[[#This Row],[Neto]]</f>
        <v>4581558617.7962294</v>
      </c>
    </row>
    <row r="4472" spans="1:15" x14ac:dyDescent="0.25">
      <c r="A4472" s="13"/>
      <c r="B4472" s="12">
        <f>MONTH(Movimientos_2026[[#This Row],[Fecha]])</f>
        <v>1</v>
      </c>
      <c r="C4472" s="12" t="str">
        <f>VLOOKUP((WEEKDAY(Movimientos_2026[[#This Row],[Fecha]],2)),'5. Setup'!$D$6:$E$12,2,FALSE)</f>
        <v>Sab</v>
      </c>
      <c r="E4472" t="str">
        <f>IFERROR(+VLOOKUP(Movimientos_2026[[#This Row],[Codigo]],Plan_cuentas[],2,FALSE)," ")</f>
        <v xml:space="preserve"> </v>
      </c>
      <c r="F4472" t="str">
        <f>IFERROR(+VLOOKUP(Movimientos_2026[[#This Row],[Codigo]],Plan_cuentas[],3,FALSE)," ")</f>
        <v xml:space="preserve"> </v>
      </c>
      <c r="G4472" t="str">
        <f>IFERROR(+VLOOKUP(Movimientos_2026[[#This Row],[Codigo]],Plan_cuentas[],4,FALSE)," ")</f>
        <v xml:space="preserve"> </v>
      </c>
      <c r="H4472" t="str">
        <f>IFERROR(+VLOOKUP(Movimientos_2026[[#This Row],[Codigo]],Plan_cuentas[],5,FALSE)," ")</f>
        <v xml:space="preserve"> </v>
      </c>
      <c r="I4472" s="43"/>
      <c r="K4472" t="str">
        <f>IFERROR(+VLOOKUP(Movimientos_2026[[#This Row],[Codigo]],Plan_cuentas[],6,FALSE)," ")</f>
        <v xml:space="preserve"> </v>
      </c>
      <c r="L4472" s="50"/>
      <c r="M4472" s="50"/>
      <c r="N4472" s="20">
        <f>+Movimientos_2026[[#This Row],[Ingresos]]-Movimientos_2026[[#This Row],[Egresos]]</f>
        <v>0</v>
      </c>
      <c r="O4472" s="20">
        <f>+O4471+Movimientos_2026[[#This Row],[Neto]]</f>
        <v>4581558617.7962294</v>
      </c>
    </row>
    <row r="4473" spans="1:15" x14ac:dyDescent="0.25">
      <c r="A4473" s="13"/>
      <c r="B4473" s="12">
        <f>MONTH(Movimientos_2026[[#This Row],[Fecha]])</f>
        <v>1</v>
      </c>
      <c r="C4473" s="12" t="str">
        <f>VLOOKUP((WEEKDAY(Movimientos_2026[[#This Row],[Fecha]],2)),'5. Setup'!$D$6:$E$12,2,FALSE)</f>
        <v>Sab</v>
      </c>
      <c r="E4473" t="str">
        <f>IFERROR(+VLOOKUP(Movimientos_2026[[#This Row],[Codigo]],Plan_cuentas[],2,FALSE)," ")</f>
        <v xml:space="preserve"> </v>
      </c>
      <c r="F4473" t="str">
        <f>IFERROR(+VLOOKUP(Movimientos_2026[[#This Row],[Codigo]],Plan_cuentas[],3,FALSE)," ")</f>
        <v xml:space="preserve"> </v>
      </c>
      <c r="G4473" t="str">
        <f>IFERROR(+VLOOKUP(Movimientos_2026[[#This Row],[Codigo]],Plan_cuentas[],4,FALSE)," ")</f>
        <v xml:space="preserve"> </v>
      </c>
      <c r="H4473" t="str">
        <f>IFERROR(+VLOOKUP(Movimientos_2026[[#This Row],[Codigo]],Plan_cuentas[],5,FALSE)," ")</f>
        <v xml:space="preserve"> </v>
      </c>
      <c r="I4473" s="43"/>
      <c r="K4473" t="str">
        <f>IFERROR(+VLOOKUP(Movimientos_2026[[#This Row],[Codigo]],Plan_cuentas[],6,FALSE)," ")</f>
        <v xml:space="preserve"> </v>
      </c>
      <c r="L4473" s="50"/>
      <c r="M4473" s="50"/>
      <c r="N4473" s="20">
        <f>+Movimientos_2026[[#This Row],[Ingresos]]-Movimientos_2026[[#This Row],[Egresos]]</f>
        <v>0</v>
      </c>
      <c r="O4473" s="20">
        <f>+O4472+Movimientos_2026[[#This Row],[Neto]]</f>
        <v>4581558617.7962294</v>
      </c>
    </row>
    <row r="4474" spans="1:15" x14ac:dyDescent="0.25">
      <c r="A4474" s="13"/>
      <c r="B4474" s="12">
        <f>MONTH(Movimientos_2026[[#This Row],[Fecha]])</f>
        <v>1</v>
      </c>
      <c r="C4474" s="12" t="str">
        <f>VLOOKUP((WEEKDAY(Movimientos_2026[[#This Row],[Fecha]],2)),'5. Setup'!$D$6:$E$12,2,FALSE)</f>
        <v>Sab</v>
      </c>
      <c r="E4474" t="str">
        <f>IFERROR(+VLOOKUP(Movimientos_2026[[#This Row],[Codigo]],Plan_cuentas[],2,FALSE)," ")</f>
        <v xml:space="preserve"> </v>
      </c>
      <c r="F4474" t="str">
        <f>IFERROR(+VLOOKUP(Movimientos_2026[[#This Row],[Codigo]],Plan_cuentas[],3,FALSE)," ")</f>
        <v xml:space="preserve"> </v>
      </c>
      <c r="G4474" t="str">
        <f>IFERROR(+VLOOKUP(Movimientos_2026[[#This Row],[Codigo]],Plan_cuentas[],4,FALSE)," ")</f>
        <v xml:space="preserve"> </v>
      </c>
      <c r="H4474" t="str">
        <f>IFERROR(+VLOOKUP(Movimientos_2026[[#This Row],[Codigo]],Plan_cuentas[],5,FALSE)," ")</f>
        <v xml:space="preserve"> </v>
      </c>
      <c r="I4474" s="43"/>
      <c r="K4474" t="str">
        <f>IFERROR(+VLOOKUP(Movimientos_2026[[#This Row],[Codigo]],Plan_cuentas[],6,FALSE)," ")</f>
        <v xml:space="preserve"> </v>
      </c>
      <c r="L4474" s="50"/>
      <c r="M4474" s="50"/>
      <c r="N4474" s="20">
        <f>+Movimientos_2026[[#This Row],[Ingresos]]-Movimientos_2026[[#This Row],[Egresos]]</f>
        <v>0</v>
      </c>
      <c r="O4474" s="20">
        <f>+O4473+Movimientos_2026[[#This Row],[Neto]]</f>
        <v>4581558617.7962294</v>
      </c>
    </row>
    <row r="4475" spans="1:15" x14ac:dyDescent="0.25">
      <c r="A4475" s="13"/>
      <c r="B4475" s="12">
        <f>MONTH(Movimientos_2026[[#This Row],[Fecha]])</f>
        <v>1</v>
      </c>
      <c r="C4475" s="12" t="str">
        <f>VLOOKUP((WEEKDAY(Movimientos_2026[[#This Row],[Fecha]],2)),'5. Setup'!$D$6:$E$12,2,FALSE)</f>
        <v>Sab</v>
      </c>
      <c r="E4475" t="str">
        <f>IFERROR(+VLOOKUP(Movimientos_2026[[#This Row],[Codigo]],Plan_cuentas[],2,FALSE)," ")</f>
        <v xml:space="preserve"> </v>
      </c>
      <c r="F4475" t="str">
        <f>IFERROR(+VLOOKUP(Movimientos_2026[[#This Row],[Codigo]],Plan_cuentas[],3,FALSE)," ")</f>
        <v xml:space="preserve"> </v>
      </c>
      <c r="G4475" t="str">
        <f>IFERROR(+VLOOKUP(Movimientos_2026[[#This Row],[Codigo]],Plan_cuentas[],4,FALSE)," ")</f>
        <v xml:space="preserve"> </v>
      </c>
      <c r="H4475" t="str">
        <f>IFERROR(+VLOOKUP(Movimientos_2026[[#This Row],[Codigo]],Plan_cuentas[],5,FALSE)," ")</f>
        <v xml:space="preserve"> </v>
      </c>
      <c r="I4475" s="43"/>
      <c r="K4475" t="str">
        <f>IFERROR(+VLOOKUP(Movimientos_2026[[#This Row],[Codigo]],Plan_cuentas[],6,FALSE)," ")</f>
        <v xml:space="preserve"> </v>
      </c>
      <c r="L4475" s="50"/>
      <c r="M4475" s="50"/>
      <c r="N4475" s="20">
        <f>+Movimientos_2026[[#This Row],[Ingresos]]-Movimientos_2026[[#This Row],[Egresos]]</f>
        <v>0</v>
      </c>
      <c r="O4475" s="20">
        <f>+O4474+Movimientos_2026[[#This Row],[Neto]]</f>
        <v>4581558617.7962294</v>
      </c>
    </row>
    <row r="4476" spans="1:15" x14ac:dyDescent="0.25">
      <c r="A4476" s="13"/>
      <c r="B4476" s="12">
        <f>MONTH(Movimientos_2026[[#This Row],[Fecha]])</f>
        <v>1</v>
      </c>
      <c r="C4476" s="12" t="str">
        <f>VLOOKUP((WEEKDAY(Movimientos_2026[[#This Row],[Fecha]],2)),'5. Setup'!$D$6:$E$12,2,FALSE)</f>
        <v>Sab</v>
      </c>
      <c r="E4476" t="str">
        <f>IFERROR(+VLOOKUP(Movimientos_2026[[#This Row],[Codigo]],Plan_cuentas[],2,FALSE)," ")</f>
        <v xml:space="preserve"> </v>
      </c>
      <c r="F4476" t="str">
        <f>IFERROR(+VLOOKUP(Movimientos_2026[[#This Row],[Codigo]],Plan_cuentas[],3,FALSE)," ")</f>
        <v xml:space="preserve"> </v>
      </c>
      <c r="G4476" t="str">
        <f>IFERROR(+VLOOKUP(Movimientos_2026[[#This Row],[Codigo]],Plan_cuentas[],4,FALSE)," ")</f>
        <v xml:space="preserve"> </v>
      </c>
      <c r="H4476" t="str">
        <f>IFERROR(+VLOOKUP(Movimientos_2026[[#This Row],[Codigo]],Plan_cuentas[],5,FALSE)," ")</f>
        <v xml:space="preserve"> </v>
      </c>
      <c r="I4476" s="43"/>
      <c r="K4476" t="str">
        <f>IFERROR(+VLOOKUP(Movimientos_2026[[#This Row],[Codigo]],Plan_cuentas[],6,FALSE)," ")</f>
        <v xml:space="preserve"> </v>
      </c>
      <c r="L4476" s="50"/>
      <c r="M4476" s="50"/>
      <c r="N4476" s="20">
        <f>+Movimientos_2026[[#This Row],[Ingresos]]-Movimientos_2026[[#This Row],[Egresos]]</f>
        <v>0</v>
      </c>
      <c r="O4476" s="20">
        <f>+O4475+Movimientos_2026[[#This Row],[Neto]]</f>
        <v>4581558617.7962294</v>
      </c>
    </row>
    <row r="4477" spans="1:15" x14ac:dyDescent="0.25">
      <c r="A4477" s="13"/>
      <c r="B4477" s="12">
        <f>MONTH(Movimientos_2026[[#This Row],[Fecha]])</f>
        <v>1</v>
      </c>
      <c r="C4477" s="12" t="str">
        <f>VLOOKUP((WEEKDAY(Movimientos_2026[[#This Row],[Fecha]],2)),'5. Setup'!$D$6:$E$12,2,FALSE)</f>
        <v>Sab</v>
      </c>
      <c r="E4477" t="str">
        <f>IFERROR(+VLOOKUP(Movimientos_2026[[#This Row],[Codigo]],Plan_cuentas[],2,FALSE)," ")</f>
        <v xml:space="preserve"> </v>
      </c>
      <c r="F4477" t="str">
        <f>IFERROR(+VLOOKUP(Movimientos_2026[[#This Row],[Codigo]],Plan_cuentas[],3,FALSE)," ")</f>
        <v xml:space="preserve"> </v>
      </c>
      <c r="G4477" t="str">
        <f>IFERROR(+VLOOKUP(Movimientos_2026[[#This Row],[Codigo]],Plan_cuentas[],4,FALSE)," ")</f>
        <v xml:space="preserve"> </v>
      </c>
      <c r="H4477" t="str">
        <f>IFERROR(+VLOOKUP(Movimientos_2026[[#This Row],[Codigo]],Plan_cuentas[],5,FALSE)," ")</f>
        <v xml:space="preserve"> </v>
      </c>
      <c r="I4477" s="43"/>
      <c r="K4477" t="str">
        <f>IFERROR(+VLOOKUP(Movimientos_2026[[#This Row],[Codigo]],Plan_cuentas[],6,FALSE)," ")</f>
        <v xml:space="preserve"> </v>
      </c>
      <c r="L4477" s="50"/>
      <c r="M4477" s="50"/>
      <c r="N4477" s="20">
        <f>+Movimientos_2026[[#This Row],[Ingresos]]-Movimientos_2026[[#This Row],[Egresos]]</f>
        <v>0</v>
      </c>
      <c r="O4477" s="20">
        <f>+O4476+Movimientos_2026[[#This Row],[Neto]]</f>
        <v>4581558617.7962294</v>
      </c>
    </row>
    <row r="4478" spans="1:15" x14ac:dyDescent="0.25">
      <c r="A4478" s="13"/>
      <c r="B4478" s="12">
        <f>MONTH(Movimientos_2026[[#This Row],[Fecha]])</f>
        <v>1</v>
      </c>
      <c r="C4478" s="12" t="str">
        <f>VLOOKUP((WEEKDAY(Movimientos_2026[[#This Row],[Fecha]],2)),'5. Setup'!$D$6:$E$12,2,FALSE)</f>
        <v>Sab</v>
      </c>
      <c r="E4478" t="str">
        <f>IFERROR(+VLOOKUP(Movimientos_2026[[#This Row],[Codigo]],Plan_cuentas[],2,FALSE)," ")</f>
        <v xml:space="preserve"> </v>
      </c>
      <c r="F4478" t="str">
        <f>IFERROR(+VLOOKUP(Movimientos_2026[[#This Row],[Codigo]],Plan_cuentas[],3,FALSE)," ")</f>
        <v xml:space="preserve"> </v>
      </c>
      <c r="G4478" t="str">
        <f>IFERROR(+VLOOKUP(Movimientos_2026[[#This Row],[Codigo]],Plan_cuentas[],4,FALSE)," ")</f>
        <v xml:space="preserve"> </v>
      </c>
      <c r="H4478" t="str">
        <f>IFERROR(+VLOOKUP(Movimientos_2026[[#This Row],[Codigo]],Plan_cuentas[],5,FALSE)," ")</f>
        <v xml:space="preserve"> </v>
      </c>
      <c r="I4478" s="43"/>
      <c r="K4478" t="str">
        <f>IFERROR(+VLOOKUP(Movimientos_2026[[#This Row],[Codigo]],Plan_cuentas[],6,FALSE)," ")</f>
        <v xml:space="preserve"> </v>
      </c>
      <c r="L4478" s="50"/>
      <c r="M4478" s="50"/>
      <c r="N4478" s="20">
        <f>+Movimientos_2026[[#This Row],[Ingresos]]-Movimientos_2026[[#This Row],[Egresos]]</f>
        <v>0</v>
      </c>
      <c r="O4478" s="20">
        <f>+O4477+Movimientos_2026[[#This Row],[Neto]]</f>
        <v>4581558617.7962294</v>
      </c>
    </row>
    <row r="4479" spans="1:15" x14ac:dyDescent="0.25">
      <c r="A4479" s="13"/>
      <c r="B4479" s="12">
        <f>MONTH(Movimientos_2026[[#This Row],[Fecha]])</f>
        <v>1</v>
      </c>
      <c r="C4479" s="12" t="str">
        <f>VLOOKUP((WEEKDAY(Movimientos_2026[[#This Row],[Fecha]],2)),'5. Setup'!$D$6:$E$12,2,FALSE)</f>
        <v>Sab</v>
      </c>
      <c r="E4479" t="str">
        <f>IFERROR(+VLOOKUP(Movimientos_2026[[#This Row],[Codigo]],Plan_cuentas[],2,FALSE)," ")</f>
        <v xml:space="preserve"> </v>
      </c>
      <c r="F4479" t="str">
        <f>IFERROR(+VLOOKUP(Movimientos_2026[[#This Row],[Codigo]],Plan_cuentas[],3,FALSE)," ")</f>
        <v xml:space="preserve"> </v>
      </c>
      <c r="G4479" t="str">
        <f>IFERROR(+VLOOKUP(Movimientos_2026[[#This Row],[Codigo]],Plan_cuentas[],4,FALSE)," ")</f>
        <v xml:space="preserve"> </v>
      </c>
      <c r="H4479" t="str">
        <f>IFERROR(+VLOOKUP(Movimientos_2026[[#This Row],[Codigo]],Plan_cuentas[],5,FALSE)," ")</f>
        <v xml:space="preserve"> </v>
      </c>
      <c r="I4479" s="43"/>
      <c r="K4479" t="str">
        <f>IFERROR(+VLOOKUP(Movimientos_2026[[#This Row],[Codigo]],Plan_cuentas[],6,FALSE)," ")</f>
        <v xml:space="preserve"> </v>
      </c>
      <c r="L4479" s="50"/>
      <c r="M4479" s="50"/>
      <c r="N4479" s="20">
        <f>+Movimientos_2026[[#This Row],[Ingresos]]-Movimientos_2026[[#This Row],[Egresos]]</f>
        <v>0</v>
      </c>
      <c r="O4479" s="20">
        <f>+O4478+Movimientos_2026[[#This Row],[Neto]]</f>
        <v>4581558617.7962294</v>
      </c>
    </row>
    <row r="4480" spans="1:15" x14ac:dyDescent="0.25">
      <c r="A4480" s="13"/>
      <c r="B4480" s="12">
        <f>MONTH(Movimientos_2026[[#This Row],[Fecha]])</f>
        <v>1</v>
      </c>
      <c r="C4480" s="12" t="str">
        <f>VLOOKUP((WEEKDAY(Movimientos_2026[[#This Row],[Fecha]],2)),'5. Setup'!$D$6:$E$12,2,FALSE)</f>
        <v>Sab</v>
      </c>
      <c r="E4480" t="str">
        <f>IFERROR(+VLOOKUP(Movimientos_2026[[#This Row],[Codigo]],Plan_cuentas[],2,FALSE)," ")</f>
        <v xml:space="preserve"> </v>
      </c>
      <c r="F4480" t="str">
        <f>IFERROR(+VLOOKUP(Movimientos_2026[[#This Row],[Codigo]],Plan_cuentas[],3,FALSE)," ")</f>
        <v xml:space="preserve"> </v>
      </c>
      <c r="G4480" t="str">
        <f>IFERROR(+VLOOKUP(Movimientos_2026[[#This Row],[Codigo]],Plan_cuentas[],4,FALSE)," ")</f>
        <v xml:space="preserve"> </v>
      </c>
      <c r="H4480" t="str">
        <f>IFERROR(+VLOOKUP(Movimientos_2026[[#This Row],[Codigo]],Plan_cuentas[],5,FALSE)," ")</f>
        <v xml:space="preserve"> </v>
      </c>
      <c r="I4480" s="43"/>
      <c r="K4480" t="str">
        <f>IFERROR(+VLOOKUP(Movimientos_2026[[#This Row],[Codigo]],Plan_cuentas[],6,FALSE)," ")</f>
        <v xml:space="preserve"> </v>
      </c>
      <c r="L4480" s="50"/>
      <c r="M4480" s="50"/>
      <c r="N4480" s="20">
        <f>+Movimientos_2026[[#This Row],[Ingresos]]-Movimientos_2026[[#This Row],[Egresos]]</f>
        <v>0</v>
      </c>
      <c r="O4480" s="20">
        <f>+O4479+Movimientos_2026[[#This Row],[Neto]]</f>
        <v>4581558617.7962294</v>
      </c>
    </row>
    <row r="4481" spans="1:15" x14ac:dyDescent="0.25">
      <c r="A4481" s="13"/>
      <c r="B4481" s="12">
        <f>MONTH(Movimientos_2026[[#This Row],[Fecha]])</f>
        <v>1</v>
      </c>
      <c r="C4481" s="12" t="str">
        <f>VLOOKUP((WEEKDAY(Movimientos_2026[[#This Row],[Fecha]],2)),'5. Setup'!$D$6:$E$12,2,FALSE)</f>
        <v>Sab</v>
      </c>
      <c r="E4481" t="str">
        <f>IFERROR(+VLOOKUP(Movimientos_2026[[#This Row],[Codigo]],Plan_cuentas[],2,FALSE)," ")</f>
        <v xml:space="preserve"> </v>
      </c>
      <c r="F4481" t="str">
        <f>IFERROR(+VLOOKUP(Movimientos_2026[[#This Row],[Codigo]],Plan_cuentas[],3,FALSE)," ")</f>
        <v xml:space="preserve"> </v>
      </c>
      <c r="G4481" t="str">
        <f>IFERROR(+VLOOKUP(Movimientos_2026[[#This Row],[Codigo]],Plan_cuentas[],4,FALSE)," ")</f>
        <v xml:space="preserve"> </v>
      </c>
      <c r="H4481" t="str">
        <f>IFERROR(+VLOOKUP(Movimientos_2026[[#This Row],[Codigo]],Plan_cuentas[],5,FALSE)," ")</f>
        <v xml:space="preserve"> </v>
      </c>
      <c r="I4481" s="43"/>
      <c r="K4481" t="str">
        <f>IFERROR(+VLOOKUP(Movimientos_2026[[#This Row],[Codigo]],Plan_cuentas[],6,FALSE)," ")</f>
        <v xml:space="preserve"> </v>
      </c>
      <c r="L4481" s="50"/>
      <c r="M4481" s="50"/>
      <c r="N4481" s="20">
        <f>+Movimientos_2026[[#This Row],[Ingresos]]-Movimientos_2026[[#This Row],[Egresos]]</f>
        <v>0</v>
      </c>
      <c r="O4481" s="20">
        <f>+O4480+Movimientos_2026[[#This Row],[Neto]]</f>
        <v>4581558617.7962294</v>
      </c>
    </row>
    <row r="4482" spans="1:15" x14ac:dyDescent="0.25">
      <c r="A4482" s="13"/>
      <c r="B4482" s="12">
        <f>MONTH(Movimientos_2026[[#This Row],[Fecha]])</f>
        <v>1</v>
      </c>
      <c r="C4482" s="12" t="str">
        <f>VLOOKUP((WEEKDAY(Movimientos_2026[[#This Row],[Fecha]],2)),'5. Setup'!$D$6:$E$12,2,FALSE)</f>
        <v>Sab</v>
      </c>
      <c r="E4482" t="str">
        <f>IFERROR(+VLOOKUP(Movimientos_2026[[#This Row],[Codigo]],Plan_cuentas[],2,FALSE)," ")</f>
        <v xml:space="preserve"> </v>
      </c>
      <c r="F4482" t="str">
        <f>IFERROR(+VLOOKUP(Movimientos_2026[[#This Row],[Codigo]],Plan_cuentas[],3,FALSE)," ")</f>
        <v xml:space="preserve"> </v>
      </c>
      <c r="G4482" t="str">
        <f>IFERROR(+VLOOKUP(Movimientos_2026[[#This Row],[Codigo]],Plan_cuentas[],4,FALSE)," ")</f>
        <v xml:space="preserve"> </v>
      </c>
      <c r="H4482" t="str">
        <f>IFERROR(+VLOOKUP(Movimientos_2026[[#This Row],[Codigo]],Plan_cuentas[],5,FALSE)," ")</f>
        <v xml:space="preserve"> </v>
      </c>
      <c r="I4482" s="43"/>
      <c r="K4482" t="str">
        <f>IFERROR(+VLOOKUP(Movimientos_2026[[#This Row],[Codigo]],Plan_cuentas[],6,FALSE)," ")</f>
        <v xml:space="preserve"> </v>
      </c>
      <c r="L4482" s="50"/>
      <c r="M4482" s="50"/>
      <c r="N4482" s="20">
        <f>+Movimientos_2026[[#This Row],[Ingresos]]-Movimientos_2026[[#This Row],[Egresos]]</f>
        <v>0</v>
      </c>
      <c r="O4482" s="20">
        <f>+O4481+Movimientos_2026[[#This Row],[Neto]]</f>
        <v>4581558617.7962294</v>
      </c>
    </row>
    <row r="4483" spans="1:15" x14ac:dyDescent="0.25">
      <c r="A4483" s="13"/>
      <c r="B4483" s="12">
        <f>MONTH(Movimientos_2026[[#This Row],[Fecha]])</f>
        <v>1</v>
      </c>
      <c r="C4483" s="12" t="str">
        <f>VLOOKUP((WEEKDAY(Movimientos_2026[[#This Row],[Fecha]],2)),'5. Setup'!$D$6:$E$12,2,FALSE)</f>
        <v>Sab</v>
      </c>
      <c r="E4483" t="str">
        <f>IFERROR(+VLOOKUP(Movimientos_2026[[#This Row],[Codigo]],Plan_cuentas[],2,FALSE)," ")</f>
        <v xml:space="preserve"> </v>
      </c>
      <c r="F4483" t="str">
        <f>IFERROR(+VLOOKUP(Movimientos_2026[[#This Row],[Codigo]],Plan_cuentas[],3,FALSE)," ")</f>
        <v xml:space="preserve"> </v>
      </c>
      <c r="G4483" t="str">
        <f>IFERROR(+VLOOKUP(Movimientos_2026[[#This Row],[Codigo]],Plan_cuentas[],4,FALSE)," ")</f>
        <v xml:space="preserve"> </v>
      </c>
      <c r="H4483" t="str">
        <f>IFERROR(+VLOOKUP(Movimientos_2026[[#This Row],[Codigo]],Plan_cuentas[],5,FALSE)," ")</f>
        <v xml:space="preserve"> </v>
      </c>
      <c r="I4483" s="43"/>
      <c r="K4483" t="str">
        <f>IFERROR(+VLOOKUP(Movimientos_2026[[#This Row],[Codigo]],Plan_cuentas[],6,FALSE)," ")</f>
        <v xml:space="preserve"> </v>
      </c>
      <c r="L4483" s="50"/>
      <c r="M4483" s="50"/>
      <c r="N4483" s="20">
        <f>+Movimientos_2026[[#This Row],[Ingresos]]-Movimientos_2026[[#This Row],[Egresos]]</f>
        <v>0</v>
      </c>
      <c r="O4483" s="20">
        <f>+O4482+Movimientos_2026[[#This Row],[Neto]]</f>
        <v>4581558617.7962294</v>
      </c>
    </row>
    <row r="4484" spans="1:15" x14ac:dyDescent="0.25">
      <c r="A4484" s="13"/>
      <c r="B4484" s="12">
        <f>MONTH(Movimientos_2026[[#This Row],[Fecha]])</f>
        <v>1</v>
      </c>
      <c r="C4484" s="12" t="str">
        <f>VLOOKUP((WEEKDAY(Movimientos_2026[[#This Row],[Fecha]],2)),'5. Setup'!$D$6:$E$12,2,FALSE)</f>
        <v>Sab</v>
      </c>
      <c r="E4484" t="str">
        <f>IFERROR(+VLOOKUP(Movimientos_2026[[#This Row],[Codigo]],Plan_cuentas[],2,FALSE)," ")</f>
        <v xml:space="preserve"> </v>
      </c>
      <c r="F4484" t="str">
        <f>IFERROR(+VLOOKUP(Movimientos_2026[[#This Row],[Codigo]],Plan_cuentas[],3,FALSE)," ")</f>
        <v xml:space="preserve"> </v>
      </c>
      <c r="G4484" t="str">
        <f>IFERROR(+VLOOKUP(Movimientos_2026[[#This Row],[Codigo]],Plan_cuentas[],4,FALSE)," ")</f>
        <v xml:space="preserve"> </v>
      </c>
      <c r="H4484" t="str">
        <f>IFERROR(+VLOOKUP(Movimientos_2026[[#This Row],[Codigo]],Plan_cuentas[],5,FALSE)," ")</f>
        <v xml:space="preserve"> </v>
      </c>
      <c r="I4484" s="43"/>
      <c r="K4484" t="str">
        <f>IFERROR(+VLOOKUP(Movimientos_2026[[#This Row],[Codigo]],Plan_cuentas[],6,FALSE)," ")</f>
        <v xml:space="preserve"> </v>
      </c>
      <c r="L4484" s="50"/>
      <c r="M4484" s="50"/>
      <c r="N4484" s="20">
        <f>+Movimientos_2026[[#This Row],[Ingresos]]-Movimientos_2026[[#This Row],[Egresos]]</f>
        <v>0</v>
      </c>
      <c r="O4484" s="20">
        <f>+O4483+Movimientos_2026[[#This Row],[Neto]]</f>
        <v>4581558617.7962294</v>
      </c>
    </row>
    <row r="4485" spans="1:15" x14ac:dyDescent="0.25">
      <c r="A4485" s="13"/>
      <c r="B4485" s="12">
        <f>MONTH(Movimientos_2026[[#This Row],[Fecha]])</f>
        <v>1</v>
      </c>
      <c r="C4485" s="12" t="str">
        <f>VLOOKUP((WEEKDAY(Movimientos_2026[[#This Row],[Fecha]],2)),'5. Setup'!$D$6:$E$12,2,FALSE)</f>
        <v>Sab</v>
      </c>
      <c r="E4485" t="str">
        <f>IFERROR(+VLOOKUP(Movimientos_2026[[#This Row],[Codigo]],Plan_cuentas[],2,FALSE)," ")</f>
        <v xml:space="preserve"> </v>
      </c>
      <c r="F4485" t="str">
        <f>IFERROR(+VLOOKUP(Movimientos_2026[[#This Row],[Codigo]],Plan_cuentas[],3,FALSE)," ")</f>
        <v xml:space="preserve"> </v>
      </c>
      <c r="G4485" t="str">
        <f>IFERROR(+VLOOKUP(Movimientos_2026[[#This Row],[Codigo]],Plan_cuentas[],4,FALSE)," ")</f>
        <v xml:space="preserve"> </v>
      </c>
      <c r="H4485" t="str">
        <f>IFERROR(+VLOOKUP(Movimientos_2026[[#This Row],[Codigo]],Plan_cuentas[],5,FALSE)," ")</f>
        <v xml:space="preserve"> </v>
      </c>
      <c r="I4485" s="43"/>
      <c r="K4485" t="str">
        <f>IFERROR(+VLOOKUP(Movimientos_2026[[#This Row],[Codigo]],Plan_cuentas[],6,FALSE)," ")</f>
        <v xml:space="preserve"> </v>
      </c>
      <c r="L4485" s="50"/>
      <c r="M4485" s="50"/>
      <c r="N4485" s="20">
        <f>+Movimientos_2026[[#This Row],[Ingresos]]-Movimientos_2026[[#This Row],[Egresos]]</f>
        <v>0</v>
      </c>
      <c r="O4485" s="20">
        <f>+O4484+Movimientos_2026[[#This Row],[Neto]]</f>
        <v>4581558617.7962294</v>
      </c>
    </row>
    <row r="4486" spans="1:15" x14ac:dyDescent="0.25">
      <c r="A4486" s="13"/>
      <c r="B4486" s="12">
        <f>MONTH(Movimientos_2026[[#This Row],[Fecha]])</f>
        <v>1</v>
      </c>
      <c r="C4486" s="12" t="str">
        <f>VLOOKUP((WEEKDAY(Movimientos_2026[[#This Row],[Fecha]],2)),'5. Setup'!$D$6:$E$12,2,FALSE)</f>
        <v>Sab</v>
      </c>
      <c r="E4486" t="str">
        <f>IFERROR(+VLOOKUP(Movimientos_2026[[#This Row],[Codigo]],Plan_cuentas[],2,FALSE)," ")</f>
        <v xml:space="preserve"> </v>
      </c>
      <c r="F4486" t="str">
        <f>IFERROR(+VLOOKUP(Movimientos_2026[[#This Row],[Codigo]],Plan_cuentas[],3,FALSE)," ")</f>
        <v xml:space="preserve"> </v>
      </c>
      <c r="G4486" t="str">
        <f>IFERROR(+VLOOKUP(Movimientos_2026[[#This Row],[Codigo]],Plan_cuentas[],4,FALSE)," ")</f>
        <v xml:space="preserve"> </v>
      </c>
      <c r="H4486" t="str">
        <f>IFERROR(+VLOOKUP(Movimientos_2026[[#This Row],[Codigo]],Plan_cuentas[],5,FALSE)," ")</f>
        <v xml:space="preserve"> </v>
      </c>
      <c r="I4486" s="43"/>
      <c r="K4486" t="str">
        <f>IFERROR(+VLOOKUP(Movimientos_2026[[#This Row],[Codigo]],Plan_cuentas[],6,FALSE)," ")</f>
        <v xml:space="preserve"> </v>
      </c>
      <c r="L4486" s="50"/>
      <c r="M4486" s="50"/>
      <c r="N4486" s="20">
        <f>+Movimientos_2026[[#This Row],[Ingresos]]-Movimientos_2026[[#This Row],[Egresos]]</f>
        <v>0</v>
      </c>
      <c r="O4486" s="20">
        <f>+O4485+Movimientos_2026[[#This Row],[Neto]]</f>
        <v>4581558617.7962294</v>
      </c>
    </row>
    <row r="4487" spans="1:15" x14ac:dyDescent="0.25">
      <c r="A4487" s="13"/>
      <c r="B4487" s="12">
        <f>MONTH(Movimientos_2026[[#This Row],[Fecha]])</f>
        <v>1</v>
      </c>
      <c r="C4487" s="12" t="str">
        <f>VLOOKUP((WEEKDAY(Movimientos_2026[[#This Row],[Fecha]],2)),'5. Setup'!$D$6:$E$12,2,FALSE)</f>
        <v>Sab</v>
      </c>
      <c r="E4487" t="str">
        <f>IFERROR(+VLOOKUP(Movimientos_2026[[#This Row],[Codigo]],Plan_cuentas[],2,FALSE)," ")</f>
        <v xml:space="preserve"> </v>
      </c>
      <c r="F4487" t="str">
        <f>IFERROR(+VLOOKUP(Movimientos_2026[[#This Row],[Codigo]],Plan_cuentas[],3,FALSE)," ")</f>
        <v xml:space="preserve"> </v>
      </c>
      <c r="G4487" t="str">
        <f>IFERROR(+VLOOKUP(Movimientos_2026[[#This Row],[Codigo]],Plan_cuentas[],4,FALSE)," ")</f>
        <v xml:space="preserve"> </v>
      </c>
      <c r="H4487" t="str">
        <f>IFERROR(+VLOOKUP(Movimientos_2026[[#This Row],[Codigo]],Plan_cuentas[],5,FALSE)," ")</f>
        <v xml:space="preserve"> </v>
      </c>
      <c r="I4487" s="43"/>
      <c r="K4487" t="str">
        <f>IFERROR(+VLOOKUP(Movimientos_2026[[#This Row],[Codigo]],Plan_cuentas[],6,FALSE)," ")</f>
        <v xml:space="preserve"> </v>
      </c>
      <c r="L4487" s="50"/>
      <c r="M4487" s="50"/>
      <c r="N4487" s="20">
        <f>+Movimientos_2026[[#This Row],[Ingresos]]-Movimientos_2026[[#This Row],[Egresos]]</f>
        <v>0</v>
      </c>
      <c r="O4487" s="20">
        <f>+O4486+Movimientos_2026[[#This Row],[Neto]]</f>
        <v>4581558617.7962294</v>
      </c>
    </row>
    <row r="4488" spans="1:15" x14ac:dyDescent="0.25">
      <c r="A4488" s="13"/>
      <c r="B4488" s="12">
        <f>MONTH(Movimientos_2026[[#This Row],[Fecha]])</f>
        <v>1</v>
      </c>
      <c r="C4488" s="12" t="str">
        <f>VLOOKUP((WEEKDAY(Movimientos_2026[[#This Row],[Fecha]],2)),'5. Setup'!$D$6:$E$12,2,FALSE)</f>
        <v>Sab</v>
      </c>
      <c r="E4488" t="str">
        <f>IFERROR(+VLOOKUP(Movimientos_2026[[#This Row],[Codigo]],Plan_cuentas[],2,FALSE)," ")</f>
        <v xml:space="preserve"> </v>
      </c>
      <c r="F4488" t="str">
        <f>IFERROR(+VLOOKUP(Movimientos_2026[[#This Row],[Codigo]],Plan_cuentas[],3,FALSE)," ")</f>
        <v xml:space="preserve"> </v>
      </c>
      <c r="G4488" t="str">
        <f>IFERROR(+VLOOKUP(Movimientos_2026[[#This Row],[Codigo]],Plan_cuentas[],4,FALSE)," ")</f>
        <v xml:space="preserve"> </v>
      </c>
      <c r="H4488" t="str">
        <f>IFERROR(+VLOOKUP(Movimientos_2026[[#This Row],[Codigo]],Plan_cuentas[],5,FALSE)," ")</f>
        <v xml:space="preserve"> </v>
      </c>
      <c r="I4488" s="43"/>
      <c r="K4488" t="str">
        <f>IFERROR(+VLOOKUP(Movimientos_2026[[#This Row],[Codigo]],Plan_cuentas[],6,FALSE)," ")</f>
        <v xml:space="preserve"> </v>
      </c>
      <c r="L4488" s="50"/>
      <c r="M4488" s="50"/>
      <c r="N4488" s="20">
        <f>+Movimientos_2026[[#This Row],[Ingresos]]-Movimientos_2026[[#This Row],[Egresos]]</f>
        <v>0</v>
      </c>
      <c r="O4488" s="20">
        <f>+O4487+Movimientos_2026[[#This Row],[Neto]]</f>
        <v>4581558617.7962294</v>
      </c>
    </row>
    <row r="4489" spans="1:15" x14ac:dyDescent="0.25">
      <c r="A4489" s="13"/>
      <c r="B4489" s="12">
        <f>MONTH(Movimientos_2026[[#This Row],[Fecha]])</f>
        <v>1</v>
      </c>
      <c r="C4489" s="12" t="str">
        <f>VLOOKUP((WEEKDAY(Movimientos_2026[[#This Row],[Fecha]],2)),'5. Setup'!$D$6:$E$12,2,FALSE)</f>
        <v>Sab</v>
      </c>
      <c r="E4489" t="str">
        <f>IFERROR(+VLOOKUP(Movimientos_2026[[#This Row],[Codigo]],Plan_cuentas[],2,FALSE)," ")</f>
        <v xml:space="preserve"> </v>
      </c>
      <c r="F4489" t="str">
        <f>IFERROR(+VLOOKUP(Movimientos_2026[[#This Row],[Codigo]],Plan_cuentas[],3,FALSE)," ")</f>
        <v xml:space="preserve"> </v>
      </c>
      <c r="G4489" t="str">
        <f>IFERROR(+VLOOKUP(Movimientos_2026[[#This Row],[Codigo]],Plan_cuentas[],4,FALSE)," ")</f>
        <v xml:space="preserve"> </v>
      </c>
      <c r="H4489" t="str">
        <f>IFERROR(+VLOOKUP(Movimientos_2026[[#This Row],[Codigo]],Plan_cuentas[],5,FALSE)," ")</f>
        <v xml:space="preserve"> </v>
      </c>
      <c r="I4489" s="43"/>
      <c r="K4489" t="str">
        <f>IFERROR(+VLOOKUP(Movimientos_2026[[#This Row],[Codigo]],Plan_cuentas[],6,FALSE)," ")</f>
        <v xml:space="preserve"> </v>
      </c>
      <c r="L4489" s="50"/>
      <c r="M4489" s="50"/>
      <c r="N4489" s="20">
        <f>+Movimientos_2026[[#This Row],[Ingresos]]-Movimientos_2026[[#This Row],[Egresos]]</f>
        <v>0</v>
      </c>
      <c r="O4489" s="20">
        <f>+O4488+Movimientos_2026[[#This Row],[Neto]]</f>
        <v>4581558617.7962294</v>
      </c>
    </row>
    <row r="4490" spans="1:15" x14ac:dyDescent="0.25">
      <c r="A4490" s="13"/>
      <c r="B4490" s="12">
        <f>MONTH(Movimientos_2026[[#This Row],[Fecha]])</f>
        <v>1</v>
      </c>
      <c r="C4490" s="12" t="str">
        <f>VLOOKUP((WEEKDAY(Movimientos_2026[[#This Row],[Fecha]],2)),'5. Setup'!$D$6:$E$12,2,FALSE)</f>
        <v>Sab</v>
      </c>
      <c r="E4490" t="str">
        <f>IFERROR(+VLOOKUP(Movimientos_2026[[#This Row],[Codigo]],Plan_cuentas[],2,FALSE)," ")</f>
        <v xml:space="preserve"> </v>
      </c>
      <c r="F4490" t="str">
        <f>IFERROR(+VLOOKUP(Movimientos_2026[[#This Row],[Codigo]],Plan_cuentas[],3,FALSE)," ")</f>
        <v xml:space="preserve"> </v>
      </c>
      <c r="G4490" t="str">
        <f>IFERROR(+VLOOKUP(Movimientos_2026[[#This Row],[Codigo]],Plan_cuentas[],4,FALSE)," ")</f>
        <v xml:space="preserve"> </v>
      </c>
      <c r="H4490" t="str">
        <f>IFERROR(+VLOOKUP(Movimientos_2026[[#This Row],[Codigo]],Plan_cuentas[],5,FALSE)," ")</f>
        <v xml:space="preserve"> </v>
      </c>
      <c r="I4490" s="43"/>
      <c r="K4490" t="str">
        <f>IFERROR(+VLOOKUP(Movimientos_2026[[#This Row],[Codigo]],Plan_cuentas[],6,FALSE)," ")</f>
        <v xml:space="preserve"> </v>
      </c>
      <c r="L4490" s="50"/>
      <c r="M4490" s="50"/>
      <c r="N4490" s="20">
        <f>+Movimientos_2026[[#This Row],[Ingresos]]-Movimientos_2026[[#This Row],[Egresos]]</f>
        <v>0</v>
      </c>
      <c r="O4490" s="20">
        <f>+O4489+Movimientos_2026[[#This Row],[Neto]]</f>
        <v>4581558617.7962294</v>
      </c>
    </row>
    <row r="4491" spans="1:15" x14ac:dyDescent="0.25">
      <c r="A4491" s="13"/>
      <c r="B4491" s="12">
        <f>MONTH(Movimientos_2026[[#This Row],[Fecha]])</f>
        <v>1</v>
      </c>
      <c r="C4491" s="12" t="str">
        <f>VLOOKUP((WEEKDAY(Movimientos_2026[[#This Row],[Fecha]],2)),'5. Setup'!$D$6:$E$12,2,FALSE)</f>
        <v>Sab</v>
      </c>
      <c r="E4491" t="str">
        <f>IFERROR(+VLOOKUP(Movimientos_2026[[#This Row],[Codigo]],Plan_cuentas[],2,FALSE)," ")</f>
        <v xml:space="preserve"> </v>
      </c>
      <c r="F4491" t="str">
        <f>IFERROR(+VLOOKUP(Movimientos_2026[[#This Row],[Codigo]],Plan_cuentas[],3,FALSE)," ")</f>
        <v xml:space="preserve"> </v>
      </c>
      <c r="G4491" t="str">
        <f>IFERROR(+VLOOKUP(Movimientos_2026[[#This Row],[Codigo]],Plan_cuentas[],4,FALSE)," ")</f>
        <v xml:space="preserve"> </v>
      </c>
      <c r="H4491" t="str">
        <f>IFERROR(+VLOOKUP(Movimientos_2026[[#This Row],[Codigo]],Plan_cuentas[],5,FALSE)," ")</f>
        <v xml:space="preserve"> </v>
      </c>
      <c r="I4491" s="43"/>
      <c r="K4491" t="str">
        <f>IFERROR(+VLOOKUP(Movimientos_2026[[#This Row],[Codigo]],Plan_cuentas[],6,FALSE)," ")</f>
        <v xml:space="preserve"> </v>
      </c>
      <c r="L4491" s="50"/>
      <c r="M4491" s="50"/>
      <c r="N4491" s="20">
        <f>+Movimientos_2026[[#This Row],[Ingresos]]-Movimientos_2026[[#This Row],[Egresos]]</f>
        <v>0</v>
      </c>
      <c r="O4491" s="20">
        <f>+O4490+Movimientos_2026[[#This Row],[Neto]]</f>
        <v>4581558617.7962294</v>
      </c>
    </row>
    <row r="4492" spans="1:15" x14ac:dyDescent="0.25">
      <c r="A4492" s="13"/>
      <c r="B4492" s="12">
        <f>MONTH(Movimientos_2026[[#This Row],[Fecha]])</f>
        <v>1</v>
      </c>
      <c r="C4492" s="12" t="str">
        <f>VLOOKUP((WEEKDAY(Movimientos_2026[[#This Row],[Fecha]],2)),'5. Setup'!$D$6:$E$12,2,FALSE)</f>
        <v>Sab</v>
      </c>
      <c r="E4492" t="str">
        <f>IFERROR(+VLOOKUP(Movimientos_2026[[#This Row],[Codigo]],Plan_cuentas[],2,FALSE)," ")</f>
        <v xml:space="preserve"> </v>
      </c>
      <c r="F4492" t="str">
        <f>IFERROR(+VLOOKUP(Movimientos_2026[[#This Row],[Codigo]],Plan_cuentas[],3,FALSE)," ")</f>
        <v xml:space="preserve"> </v>
      </c>
      <c r="G4492" t="str">
        <f>IFERROR(+VLOOKUP(Movimientos_2026[[#This Row],[Codigo]],Plan_cuentas[],4,FALSE)," ")</f>
        <v xml:space="preserve"> </v>
      </c>
      <c r="H4492" t="str">
        <f>IFERROR(+VLOOKUP(Movimientos_2026[[#This Row],[Codigo]],Plan_cuentas[],5,FALSE)," ")</f>
        <v xml:space="preserve"> </v>
      </c>
      <c r="I4492" s="43"/>
      <c r="K4492" t="str">
        <f>IFERROR(+VLOOKUP(Movimientos_2026[[#This Row],[Codigo]],Plan_cuentas[],6,FALSE)," ")</f>
        <v xml:space="preserve"> </v>
      </c>
      <c r="L4492" s="50"/>
      <c r="M4492" s="50"/>
      <c r="N4492" s="20">
        <f>+Movimientos_2026[[#This Row],[Ingresos]]-Movimientos_2026[[#This Row],[Egresos]]</f>
        <v>0</v>
      </c>
      <c r="O4492" s="20">
        <f>+O4491+Movimientos_2026[[#This Row],[Neto]]</f>
        <v>4581558617.7962294</v>
      </c>
    </row>
    <row r="4493" spans="1:15" x14ac:dyDescent="0.25">
      <c r="A4493" s="13"/>
      <c r="B4493" s="12">
        <f>MONTH(Movimientos_2026[[#This Row],[Fecha]])</f>
        <v>1</v>
      </c>
      <c r="C4493" s="12" t="str">
        <f>VLOOKUP((WEEKDAY(Movimientos_2026[[#This Row],[Fecha]],2)),'5. Setup'!$D$6:$E$12,2,FALSE)</f>
        <v>Sab</v>
      </c>
      <c r="E4493" t="str">
        <f>IFERROR(+VLOOKUP(Movimientos_2026[[#This Row],[Codigo]],Plan_cuentas[],2,FALSE)," ")</f>
        <v xml:space="preserve"> </v>
      </c>
      <c r="F4493" t="str">
        <f>IFERROR(+VLOOKUP(Movimientos_2026[[#This Row],[Codigo]],Plan_cuentas[],3,FALSE)," ")</f>
        <v xml:space="preserve"> </v>
      </c>
      <c r="G4493" t="str">
        <f>IFERROR(+VLOOKUP(Movimientos_2026[[#This Row],[Codigo]],Plan_cuentas[],4,FALSE)," ")</f>
        <v xml:space="preserve"> </v>
      </c>
      <c r="H4493" t="str">
        <f>IFERROR(+VLOOKUP(Movimientos_2026[[#This Row],[Codigo]],Plan_cuentas[],5,FALSE)," ")</f>
        <v xml:space="preserve"> </v>
      </c>
      <c r="I4493" s="43"/>
      <c r="K4493" t="str">
        <f>IFERROR(+VLOOKUP(Movimientos_2026[[#This Row],[Codigo]],Plan_cuentas[],6,FALSE)," ")</f>
        <v xml:space="preserve"> </v>
      </c>
      <c r="L4493" s="50"/>
      <c r="M4493" s="50"/>
      <c r="N4493" s="20">
        <f>+Movimientos_2026[[#This Row],[Ingresos]]-Movimientos_2026[[#This Row],[Egresos]]</f>
        <v>0</v>
      </c>
      <c r="O4493" s="20">
        <f>+O4492+Movimientos_2026[[#This Row],[Neto]]</f>
        <v>4581558617.7962294</v>
      </c>
    </row>
    <row r="4494" spans="1:15" x14ac:dyDescent="0.25">
      <c r="A4494" s="13"/>
      <c r="B4494" s="12">
        <f>MONTH(Movimientos_2026[[#This Row],[Fecha]])</f>
        <v>1</v>
      </c>
      <c r="C4494" s="12" t="str">
        <f>VLOOKUP((WEEKDAY(Movimientos_2026[[#This Row],[Fecha]],2)),'5. Setup'!$D$6:$E$12,2,FALSE)</f>
        <v>Sab</v>
      </c>
      <c r="E4494" t="str">
        <f>IFERROR(+VLOOKUP(Movimientos_2026[[#This Row],[Codigo]],Plan_cuentas[],2,FALSE)," ")</f>
        <v xml:space="preserve"> </v>
      </c>
      <c r="F4494" t="str">
        <f>IFERROR(+VLOOKUP(Movimientos_2026[[#This Row],[Codigo]],Plan_cuentas[],3,FALSE)," ")</f>
        <v xml:space="preserve"> </v>
      </c>
      <c r="G4494" t="str">
        <f>IFERROR(+VLOOKUP(Movimientos_2026[[#This Row],[Codigo]],Plan_cuentas[],4,FALSE)," ")</f>
        <v xml:space="preserve"> </v>
      </c>
      <c r="H4494" t="str">
        <f>IFERROR(+VLOOKUP(Movimientos_2026[[#This Row],[Codigo]],Plan_cuentas[],5,FALSE)," ")</f>
        <v xml:space="preserve"> </v>
      </c>
      <c r="I4494" s="43"/>
      <c r="K4494" t="str">
        <f>IFERROR(+VLOOKUP(Movimientos_2026[[#This Row],[Codigo]],Plan_cuentas[],6,FALSE)," ")</f>
        <v xml:space="preserve"> </v>
      </c>
      <c r="L4494" s="50"/>
      <c r="M4494" s="50"/>
      <c r="N4494" s="20">
        <f>+Movimientos_2026[[#This Row],[Ingresos]]-Movimientos_2026[[#This Row],[Egresos]]</f>
        <v>0</v>
      </c>
      <c r="O4494" s="20">
        <f>+O4493+Movimientos_2026[[#This Row],[Neto]]</f>
        <v>4581558617.7962294</v>
      </c>
    </row>
    <row r="4495" spans="1:15" x14ac:dyDescent="0.25">
      <c r="A4495" s="13"/>
      <c r="B4495" s="12">
        <f>MONTH(Movimientos_2026[[#This Row],[Fecha]])</f>
        <v>1</v>
      </c>
      <c r="C4495" s="12" t="str">
        <f>VLOOKUP((WEEKDAY(Movimientos_2026[[#This Row],[Fecha]],2)),'5. Setup'!$D$6:$E$12,2,FALSE)</f>
        <v>Sab</v>
      </c>
      <c r="E4495" t="str">
        <f>IFERROR(+VLOOKUP(Movimientos_2026[[#This Row],[Codigo]],Plan_cuentas[],2,FALSE)," ")</f>
        <v xml:space="preserve"> </v>
      </c>
      <c r="F4495" t="str">
        <f>IFERROR(+VLOOKUP(Movimientos_2026[[#This Row],[Codigo]],Plan_cuentas[],3,FALSE)," ")</f>
        <v xml:space="preserve"> </v>
      </c>
      <c r="G4495" t="str">
        <f>IFERROR(+VLOOKUP(Movimientos_2026[[#This Row],[Codigo]],Plan_cuentas[],4,FALSE)," ")</f>
        <v xml:space="preserve"> </v>
      </c>
      <c r="H4495" t="str">
        <f>IFERROR(+VLOOKUP(Movimientos_2026[[#This Row],[Codigo]],Plan_cuentas[],5,FALSE)," ")</f>
        <v xml:space="preserve"> </v>
      </c>
      <c r="I4495" s="43"/>
      <c r="K4495" t="str">
        <f>IFERROR(+VLOOKUP(Movimientos_2026[[#This Row],[Codigo]],Plan_cuentas[],6,FALSE)," ")</f>
        <v xml:space="preserve"> </v>
      </c>
      <c r="L4495" s="50"/>
      <c r="M4495" s="50"/>
      <c r="N4495" s="20">
        <f>+Movimientos_2026[[#This Row],[Ingresos]]-Movimientos_2026[[#This Row],[Egresos]]</f>
        <v>0</v>
      </c>
      <c r="O4495" s="20">
        <f>+O4494+Movimientos_2026[[#This Row],[Neto]]</f>
        <v>4581558617.7962294</v>
      </c>
    </row>
    <row r="4496" spans="1:15" x14ac:dyDescent="0.25">
      <c r="A4496" s="13"/>
      <c r="B4496" s="12">
        <f>MONTH(Movimientos_2026[[#This Row],[Fecha]])</f>
        <v>1</v>
      </c>
      <c r="C4496" s="12" t="str">
        <f>VLOOKUP((WEEKDAY(Movimientos_2026[[#This Row],[Fecha]],2)),'5. Setup'!$D$6:$E$12,2,FALSE)</f>
        <v>Sab</v>
      </c>
      <c r="E4496" t="str">
        <f>IFERROR(+VLOOKUP(Movimientos_2026[[#This Row],[Codigo]],Plan_cuentas[],2,FALSE)," ")</f>
        <v xml:space="preserve"> </v>
      </c>
      <c r="F4496" t="str">
        <f>IFERROR(+VLOOKUP(Movimientos_2026[[#This Row],[Codigo]],Plan_cuentas[],3,FALSE)," ")</f>
        <v xml:space="preserve"> </v>
      </c>
      <c r="G4496" t="str">
        <f>IFERROR(+VLOOKUP(Movimientos_2026[[#This Row],[Codigo]],Plan_cuentas[],4,FALSE)," ")</f>
        <v xml:space="preserve"> </v>
      </c>
      <c r="H4496" t="str">
        <f>IFERROR(+VLOOKUP(Movimientos_2026[[#This Row],[Codigo]],Plan_cuentas[],5,FALSE)," ")</f>
        <v xml:space="preserve"> </v>
      </c>
      <c r="I4496" s="43"/>
      <c r="K4496" t="str">
        <f>IFERROR(+VLOOKUP(Movimientos_2026[[#This Row],[Codigo]],Plan_cuentas[],6,FALSE)," ")</f>
        <v xml:space="preserve"> </v>
      </c>
      <c r="L4496" s="50"/>
      <c r="M4496" s="50"/>
      <c r="N4496" s="20">
        <f>+Movimientos_2026[[#This Row],[Ingresos]]-Movimientos_2026[[#This Row],[Egresos]]</f>
        <v>0</v>
      </c>
      <c r="O4496" s="20">
        <f>+O4495+Movimientos_2026[[#This Row],[Neto]]</f>
        <v>4581558617.7962294</v>
      </c>
    </row>
    <row r="4497" spans="1:15" x14ac:dyDescent="0.25">
      <c r="A4497" s="13"/>
      <c r="B4497" s="12">
        <f>MONTH(Movimientos_2026[[#This Row],[Fecha]])</f>
        <v>1</v>
      </c>
      <c r="C4497" s="12" t="str">
        <f>VLOOKUP((WEEKDAY(Movimientos_2026[[#This Row],[Fecha]],2)),'5. Setup'!$D$6:$E$12,2,FALSE)</f>
        <v>Sab</v>
      </c>
      <c r="E4497" t="str">
        <f>IFERROR(+VLOOKUP(Movimientos_2026[[#This Row],[Codigo]],Plan_cuentas[],2,FALSE)," ")</f>
        <v xml:space="preserve"> </v>
      </c>
      <c r="F4497" t="str">
        <f>IFERROR(+VLOOKUP(Movimientos_2026[[#This Row],[Codigo]],Plan_cuentas[],3,FALSE)," ")</f>
        <v xml:space="preserve"> </v>
      </c>
      <c r="G4497" t="str">
        <f>IFERROR(+VLOOKUP(Movimientos_2026[[#This Row],[Codigo]],Plan_cuentas[],4,FALSE)," ")</f>
        <v xml:space="preserve"> </v>
      </c>
      <c r="H4497" t="str">
        <f>IFERROR(+VLOOKUP(Movimientos_2026[[#This Row],[Codigo]],Plan_cuentas[],5,FALSE)," ")</f>
        <v xml:space="preserve"> </v>
      </c>
      <c r="I4497" s="43"/>
      <c r="K4497" t="str">
        <f>IFERROR(+VLOOKUP(Movimientos_2026[[#This Row],[Codigo]],Plan_cuentas[],6,FALSE)," ")</f>
        <v xml:space="preserve"> </v>
      </c>
      <c r="L4497" s="50"/>
      <c r="M4497" s="50"/>
      <c r="N4497" s="20">
        <f>+Movimientos_2026[[#This Row],[Ingresos]]-Movimientos_2026[[#This Row],[Egresos]]</f>
        <v>0</v>
      </c>
      <c r="O4497" s="20">
        <f>+O4496+Movimientos_2026[[#This Row],[Neto]]</f>
        <v>4581558617.7962294</v>
      </c>
    </row>
    <row r="4498" spans="1:15" x14ac:dyDescent="0.25">
      <c r="A4498" s="13"/>
      <c r="B4498" s="12">
        <f>MONTH(Movimientos_2026[[#This Row],[Fecha]])</f>
        <v>1</v>
      </c>
      <c r="C4498" s="12" t="str">
        <f>VLOOKUP((WEEKDAY(Movimientos_2026[[#This Row],[Fecha]],2)),'5. Setup'!$D$6:$E$12,2,FALSE)</f>
        <v>Sab</v>
      </c>
      <c r="E4498" t="str">
        <f>IFERROR(+VLOOKUP(Movimientos_2026[[#This Row],[Codigo]],Plan_cuentas[],2,FALSE)," ")</f>
        <v xml:space="preserve"> </v>
      </c>
      <c r="F4498" t="str">
        <f>IFERROR(+VLOOKUP(Movimientos_2026[[#This Row],[Codigo]],Plan_cuentas[],3,FALSE)," ")</f>
        <v xml:space="preserve"> </v>
      </c>
      <c r="G4498" t="str">
        <f>IFERROR(+VLOOKUP(Movimientos_2026[[#This Row],[Codigo]],Plan_cuentas[],4,FALSE)," ")</f>
        <v xml:space="preserve"> </v>
      </c>
      <c r="H4498" t="str">
        <f>IFERROR(+VLOOKUP(Movimientos_2026[[#This Row],[Codigo]],Plan_cuentas[],5,FALSE)," ")</f>
        <v xml:space="preserve"> </v>
      </c>
      <c r="I4498" s="43"/>
      <c r="K4498" t="str">
        <f>IFERROR(+VLOOKUP(Movimientos_2026[[#This Row],[Codigo]],Plan_cuentas[],6,FALSE)," ")</f>
        <v xml:space="preserve"> </v>
      </c>
      <c r="L4498" s="50"/>
      <c r="M4498" s="50"/>
      <c r="N4498" s="20">
        <f>+Movimientos_2026[[#This Row],[Ingresos]]-Movimientos_2026[[#This Row],[Egresos]]</f>
        <v>0</v>
      </c>
      <c r="O4498" s="20">
        <f>+O4497+Movimientos_2026[[#This Row],[Neto]]</f>
        <v>4581558617.7962294</v>
      </c>
    </row>
    <row r="4499" spans="1:15" x14ac:dyDescent="0.25">
      <c r="A4499" s="13"/>
      <c r="B4499" s="12">
        <f>MONTH(Movimientos_2026[[#This Row],[Fecha]])</f>
        <v>1</v>
      </c>
      <c r="C4499" s="12" t="str">
        <f>VLOOKUP((WEEKDAY(Movimientos_2026[[#This Row],[Fecha]],2)),'5. Setup'!$D$6:$E$12,2,FALSE)</f>
        <v>Sab</v>
      </c>
      <c r="E4499" t="str">
        <f>IFERROR(+VLOOKUP(Movimientos_2026[[#This Row],[Codigo]],Plan_cuentas[],2,FALSE)," ")</f>
        <v xml:space="preserve"> </v>
      </c>
      <c r="F4499" t="str">
        <f>IFERROR(+VLOOKUP(Movimientos_2026[[#This Row],[Codigo]],Plan_cuentas[],3,FALSE)," ")</f>
        <v xml:space="preserve"> </v>
      </c>
      <c r="G4499" t="str">
        <f>IFERROR(+VLOOKUP(Movimientos_2026[[#This Row],[Codigo]],Plan_cuentas[],4,FALSE)," ")</f>
        <v xml:space="preserve"> </v>
      </c>
      <c r="H4499" t="str">
        <f>IFERROR(+VLOOKUP(Movimientos_2026[[#This Row],[Codigo]],Plan_cuentas[],5,FALSE)," ")</f>
        <v xml:space="preserve"> </v>
      </c>
      <c r="I4499" s="43"/>
      <c r="K4499" t="str">
        <f>IFERROR(+VLOOKUP(Movimientos_2026[[#This Row],[Codigo]],Plan_cuentas[],6,FALSE)," ")</f>
        <v xml:space="preserve"> </v>
      </c>
      <c r="L4499" s="50"/>
      <c r="M4499" s="50"/>
      <c r="N4499" s="20">
        <f>+Movimientos_2026[[#This Row],[Ingresos]]-Movimientos_2026[[#This Row],[Egresos]]</f>
        <v>0</v>
      </c>
      <c r="O4499" s="20">
        <f>+O4498+Movimientos_2026[[#This Row],[Neto]]</f>
        <v>4581558617.7962294</v>
      </c>
    </row>
    <row r="4500" spans="1:15" x14ac:dyDescent="0.25">
      <c r="A4500" s="13"/>
      <c r="B4500" s="12">
        <f>MONTH(Movimientos_2026[[#This Row],[Fecha]])</f>
        <v>1</v>
      </c>
      <c r="C4500" s="12" t="str">
        <f>VLOOKUP((WEEKDAY(Movimientos_2026[[#This Row],[Fecha]],2)),'5. Setup'!$D$6:$E$12,2,FALSE)</f>
        <v>Sab</v>
      </c>
      <c r="E4500" t="str">
        <f>IFERROR(+VLOOKUP(Movimientos_2026[[#This Row],[Codigo]],Plan_cuentas[],2,FALSE)," ")</f>
        <v xml:space="preserve"> </v>
      </c>
      <c r="F4500" t="str">
        <f>IFERROR(+VLOOKUP(Movimientos_2026[[#This Row],[Codigo]],Plan_cuentas[],3,FALSE)," ")</f>
        <v xml:space="preserve"> </v>
      </c>
      <c r="G4500" t="str">
        <f>IFERROR(+VLOOKUP(Movimientos_2026[[#This Row],[Codigo]],Plan_cuentas[],4,FALSE)," ")</f>
        <v xml:space="preserve"> </v>
      </c>
      <c r="H4500" t="str">
        <f>IFERROR(+VLOOKUP(Movimientos_2026[[#This Row],[Codigo]],Plan_cuentas[],5,FALSE)," ")</f>
        <v xml:space="preserve"> </v>
      </c>
      <c r="I4500" s="43"/>
      <c r="K4500" t="str">
        <f>IFERROR(+VLOOKUP(Movimientos_2026[[#This Row],[Codigo]],Plan_cuentas[],6,FALSE)," ")</f>
        <v xml:space="preserve"> </v>
      </c>
      <c r="L4500" s="50"/>
      <c r="M4500" s="50"/>
      <c r="N4500" s="20">
        <f>+Movimientos_2026[[#This Row],[Ingresos]]-Movimientos_2026[[#This Row],[Egresos]]</f>
        <v>0</v>
      </c>
      <c r="O4500" s="20">
        <f>+O4499+Movimientos_2026[[#This Row],[Neto]]</f>
        <v>4581558617.7962294</v>
      </c>
    </row>
    <row r="4501" spans="1:15" x14ac:dyDescent="0.25">
      <c r="A4501" s="13"/>
      <c r="B4501" s="12">
        <f>MONTH(Movimientos_2026[[#This Row],[Fecha]])</f>
        <v>1</v>
      </c>
      <c r="C4501" s="12" t="str">
        <f>VLOOKUP((WEEKDAY(Movimientos_2026[[#This Row],[Fecha]],2)),'5. Setup'!$D$6:$E$12,2,FALSE)</f>
        <v>Sab</v>
      </c>
      <c r="E4501" t="str">
        <f>IFERROR(+VLOOKUP(Movimientos_2026[[#This Row],[Codigo]],Plan_cuentas[],2,FALSE)," ")</f>
        <v xml:space="preserve"> </v>
      </c>
      <c r="F4501" t="str">
        <f>IFERROR(+VLOOKUP(Movimientos_2026[[#This Row],[Codigo]],Plan_cuentas[],3,FALSE)," ")</f>
        <v xml:space="preserve"> </v>
      </c>
      <c r="G4501" t="str">
        <f>IFERROR(+VLOOKUP(Movimientos_2026[[#This Row],[Codigo]],Plan_cuentas[],4,FALSE)," ")</f>
        <v xml:space="preserve"> </v>
      </c>
      <c r="H4501" t="str">
        <f>IFERROR(+VLOOKUP(Movimientos_2026[[#This Row],[Codigo]],Plan_cuentas[],5,FALSE)," ")</f>
        <v xml:space="preserve"> </v>
      </c>
      <c r="I4501" s="43"/>
      <c r="K4501" t="str">
        <f>IFERROR(+VLOOKUP(Movimientos_2026[[#This Row],[Codigo]],Plan_cuentas[],6,FALSE)," ")</f>
        <v xml:space="preserve"> </v>
      </c>
      <c r="L4501" s="50"/>
      <c r="M4501" s="50"/>
      <c r="N4501" s="20">
        <f>+Movimientos_2026[[#This Row],[Ingresos]]-Movimientos_2026[[#This Row],[Egresos]]</f>
        <v>0</v>
      </c>
      <c r="O4501" s="20">
        <f>+O4500+Movimientos_2026[[#This Row],[Neto]]</f>
        <v>4581558617.7962294</v>
      </c>
    </row>
    <row r="4502" spans="1:15" x14ac:dyDescent="0.25">
      <c r="A4502" s="13"/>
      <c r="B4502" s="12">
        <f>MONTH(Movimientos_2026[[#This Row],[Fecha]])</f>
        <v>1</v>
      </c>
      <c r="C4502" s="12" t="str">
        <f>VLOOKUP((WEEKDAY(Movimientos_2026[[#This Row],[Fecha]],2)),'5. Setup'!$D$6:$E$12,2,FALSE)</f>
        <v>Sab</v>
      </c>
      <c r="E4502" t="str">
        <f>IFERROR(+VLOOKUP(Movimientos_2026[[#This Row],[Codigo]],Plan_cuentas[],2,FALSE)," ")</f>
        <v xml:space="preserve"> </v>
      </c>
      <c r="F4502" t="str">
        <f>IFERROR(+VLOOKUP(Movimientos_2026[[#This Row],[Codigo]],Plan_cuentas[],3,FALSE)," ")</f>
        <v xml:space="preserve"> </v>
      </c>
      <c r="G4502" t="str">
        <f>IFERROR(+VLOOKUP(Movimientos_2026[[#This Row],[Codigo]],Plan_cuentas[],4,FALSE)," ")</f>
        <v xml:space="preserve"> </v>
      </c>
      <c r="H4502" t="str">
        <f>IFERROR(+VLOOKUP(Movimientos_2026[[#This Row],[Codigo]],Plan_cuentas[],5,FALSE)," ")</f>
        <v xml:space="preserve"> </v>
      </c>
      <c r="I4502" s="43"/>
      <c r="K4502" t="str">
        <f>IFERROR(+VLOOKUP(Movimientos_2026[[#This Row],[Codigo]],Plan_cuentas[],6,FALSE)," ")</f>
        <v xml:space="preserve"> </v>
      </c>
      <c r="L4502" s="50"/>
      <c r="M4502" s="50"/>
      <c r="N4502" s="20">
        <f>+Movimientos_2026[[#This Row],[Ingresos]]-Movimientos_2026[[#This Row],[Egresos]]</f>
        <v>0</v>
      </c>
      <c r="O4502" s="20">
        <f>+O4501+Movimientos_2026[[#This Row],[Neto]]</f>
        <v>4581558617.7962294</v>
      </c>
    </row>
    <row r="4503" spans="1:15" x14ac:dyDescent="0.25">
      <c r="A4503" s="13"/>
      <c r="B4503" s="12">
        <f>MONTH(Movimientos_2026[[#This Row],[Fecha]])</f>
        <v>1</v>
      </c>
      <c r="C4503" s="12" t="str">
        <f>VLOOKUP((WEEKDAY(Movimientos_2026[[#This Row],[Fecha]],2)),'5. Setup'!$D$6:$E$12,2,FALSE)</f>
        <v>Sab</v>
      </c>
      <c r="E4503" t="str">
        <f>IFERROR(+VLOOKUP(Movimientos_2026[[#This Row],[Codigo]],Plan_cuentas[],2,FALSE)," ")</f>
        <v xml:space="preserve"> </v>
      </c>
      <c r="F4503" t="str">
        <f>IFERROR(+VLOOKUP(Movimientos_2026[[#This Row],[Codigo]],Plan_cuentas[],3,FALSE)," ")</f>
        <v xml:space="preserve"> </v>
      </c>
      <c r="G4503" t="str">
        <f>IFERROR(+VLOOKUP(Movimientos_2026[[#This Row],[Codigo]],Plan_cuentas[],4,FALSE)," ")</f>
        <v xml:space="preserve"> </v>
      </c>
      <c r="H4503" t="str">
        <f>IFERROR(+VLOOKUP(Movimientos_2026[[#This Row],[Codigo]],Plan_cuentas[],5,FALSE)," ")</f>
        <v xml:space="preserve"> </v>
      </c>
      <c r="I4503" s="43"/>
      <c r="K4503" t="str">
        <f>IFERROR(+VLOOKUP(Movimientos_2026[[#This Row],[Codigo]],Plan_cuentas[],6,FALSE)," ")</f>
        <v xml:space="preserve"> </v>
      </c>
      <c r="L4503" s="50"/>
      <c r="M4503" s="50"/>
      <c r="N4503" s="20">
        <f>+Movimientos_2026[[#This Row],[Ingresos]]-Movimientos_2026[[#This Row],[Egresos]]</f>
        <v>0</v>
      </c>
      <c r="O4503" s="20">
        <f>+O4502+Movimientos_2026[[#This Row],[Neto]]</f>
        <v>4581558617.7962294</v>
      </c>
    </row>
    <row r="4504" spans="1:15" x14ac:dyDescent="0.25">
      <c r="A4504" s="13"/>
      <c r="B4504" s="12">
        <f>MONTH(Movimientos_2026[[#This Row],[Fecha]])</f>
        <v>1</v>
      </c>
      <c r="C4504" s="12" t="str">
        <f>VLOOKUP((WEEKDAY(Movimientos_2026[[#This Row],[Fecha]],2)),'5. Setup'!$D$6:$E$12,2,FALSE)</f>
        <v>Sab</v>
      </c>
      <c r="E4504" t="str">
        <f>IFERROR(+VLOOKUP(Movimientos_2026[[#This Row],[Codigo]],Plan_cuentas[],2,FALSE)," ")</f>
        <v xml:space="preserve"> </v>
      </c>
      <c r="F4504" t="str">
        <f>IFERROR(+VLOOKUP(Movimientos_2026[[#This Row],[Codigo]],Plan_cuentas[],3,FALSE)," ")</f>
        <v xml:space="preserve"> </v>
      </c>
      <c r="G4504" t="str">
        <f>IFERROR(+VLOOKUP(Movimientos_2026[[#This Row],[Codigo]],Plan_cuentas[],4,FALSE)," ")</f>
        <v xml:space="preserve"> </v>
      </c>
      <c r="H4504" t="str">
        <f>IFERROR(+VLOOKUP(Movimientos_2026[[#This Row],[Codigo]],Plan_cuentas[],5,FALSE)," ")</f>
        <v xml:space="preserve"> </v>
      </c>
      <c r="I4504" s="43"/>
      <c r="K4504" t="str">
        <f>IFERROR(+VLOOKUP(Movimientos_2026[[#This Row],[Codigo]],Plan_cuentas[],6,FALSE)," ")</f>
        <v xml:space="preserve"> </v>
      </c>
      <c r="L4504" s="50"/>
      <c r="M4504" s="50"/>
      <c r="N4504" s="20">
        <f>+Movimientos_2026[[#This Row],[Ingresos]]-Movimientos_2026[[#This Row],[Egresos]]</f>
        <v>0</v>
      </c>
      <c r="O4504" s="20">
        <f>+O4503+Movimientos_2026[[#This Row],[Neto]]</f>
        <v>4581558617.7962294</v>
      </c>
    </row>
    <row r="4505" spans="1:15" x14ac:dyDescent="0.25">
      <c r="A4505" s="13"/>
      <c r="B4505" s="12">
        <f>MONTH(Movimientos_2026[[#This Row],[Fecha]])</f>
        <v>1</v>
      </c>
      <c r="C4505" s="12" t="str">
        <f>VLOOKUP((WEEKDAY(Movimientos_2026[[#This Row],[Fecha]],2)),'5. Setup'!$D$6:$E$12,2,FALSE)</f>
        <v>Sab</v>
      </c>
      <c r="E4505" t="str">
        <f>IFERROR(+VLOOKUP(Movimientos_2026[[#This Row],[Codigo]],Plan_cuentas[],2,FALSE)," ")</f>
        <v xml:space="preserve"> </v>
      </c>
      <c r="F4505" t="str">
        <f>IFERROR(+VLOOKUP(Movimientos_2026[[#This Row],[Codigo]],Plan_cuentas[],3,FALSE)," ")</f>
        <v xml:space="preserve"> </v>
      </c>
      <c r="G4505" t="str">
        <f>IFERROR(+VLOOKUP(Movimientos_2026[[#This Row],[Codigo]],Plan_cuentas[],4,FALSE)," ")</f>
        <v xml:space="preserve"> </v>
      </c>
      <c r="H4505" t="str">
        <f>IFERROR(+VLOOKUP(Movimientos_2026[[#This Row],[Codigo]],Plan_cuentas[],5,FALSE)," ")</f>
        <v xml:space="preserve"> </v>
      </c>
      <c r="I4505" s="43"/>
      <c r="K4505" t="str">
        <f>IFERROR(+VLOOKUP(Movimientos_2026[[#This Row],[Codigo]],Plan_cuentas[],6,FALSE)," ")</f>
        <v xml:space="preserve"> </v>
      </c>
      <c r="L4505" s="50"/>
      <c r="M4505" s="50"/>
      <c r="N4505" s="20">
        <f>+Movimientos_2026[[#This Row],[Ingresos]]-Movimientos_2026[[#This Row],[Egresos]]</f>
        <v>0</v>
      </c>
      <c r="O4505" s="20">
        <f>+O4504+Movimientos_2026[[#This Row],[Neto]]</f>
        <v>4581558617.7962294</v>
      </c>
    </row>
    <row r="4506" spans="1:15" x14ac:dyDescent="0.25">
      <c r="A4506" s="13"/>
      <c r="B4506" s="12">
        <f>MONTH(Movimientos_2026[[#This Row],[Fecha]])</f>
        <v>1</v>
      </c>
      <c r="C4506" s="12" t="str">
        <f>VLOOKUP((WEEKDAY(Movimientos_2026[[#This Row],[Fecha]],2)),'5. Setup'!$D$6:$E$12,2,FALSE)</f>
        <v>Sab</v>
      </c>
      <c r="E4506" t="str">
        <f>IFERROR(+VLOOKUP(Movimientos_2026[[#This Row],[Codigo]],Plan_cuentas[],2,FALSE)," ")</f>
        <v xml:space="preserve"> </v>
      </c>
      <c r="F4506" t="str">
        <f>IFERROR(+VLOOKUP(Movimientos_2026[[#This Row],[Codigo]],Plan_cuentas[],3,FALSE)," ")</f>
        <v xml:space="preserve"> </v>
      </c>
      <c r="G4506" t="str">
        <f>IFERROR(+VLOOKUP(Movimientos_2026[[#This Row],[Codigo]],Plan_cuentas[],4,FALSE)," ")</f>
        <v xml:space="preserve"> </v>
      </c>
      <c r="H4506" t="str">
        <f>IFERROR(+VLOOKUP(Movimientos_2026[[#This Row],[Codigo]],Plan_cuentas[],5,FALSE)," ")</f>
        <v xml:space="preserve"> </v>
      </c>
      <c r="I4506" s="43"/>
      <c r="K4506" t="str">
        <f>IFERROR(+VLOOKUP(Movimientos_2026[[#This Row],[Codigo]],Plan_cuentas[],6,FALSE)," ")</f>
        <v xml:space="preserve"> </v>
      </c>
      <c r="L4506" s="50"/>
      <c r="M4506" s="50"/>
      <c r="N4506" s="20">
        <f>+Movimientos_2026[[#This Row],[Ingresos]]-Movimientos_2026[[#This Row],[Egresos]]</f>
        <v>0</v>
      </c>
      <c r="O4506" s="20">
        <f>+O4505+Movimientos_2026[[#This Row],[Neto]]</f>
        <v>4581558617.7962294</v>
      </c>
    </row>
    <row r="4507" spans="1:15" x14ac:dyDescent="0.25">
      <c r="A4507" s="13"/>
      <c r="B4507" s="12">
        <f>MONTH(Movimientos_2026[[#This Row],[Fecha]])</f>
        <v>1</v>
      </c>
      <c r="C4507" s="12" t="str">
        <f>VLOOKUP((WEEKDAY(Movimientos_2026[[#This Row],[Fecha]],2)),'5. Setup'!$D$6:$E$12,2,FALSE)</f>
        <v>Sab</v>
      </c>
      <c r="E4507" t="str">
        <f>IFERROR(+VLOOKUP(Movimientos_2026[[#This Row],[Codigo]],Plan_cuentas[],2,FALSE)," ")</f>
        <v xml:space="preserve"> </v>
      </c>
      <c r="F4507" t="str">
        <f>IFERROR(+VLOOKUP(Movimientos_2026[[#This Row],[Codigo]],Plan_cuentas[],3,FALSE)," ")</f>
        <v xml:space="preserve"> </v>
      </c>
      <c r="G4507" t="str">
        <f>IFERROR(+VLOOKUP(Movimientos_2026[[#This Row],[Codigo]],Plan_cuentas[],4,FALSE)," ")</f>
        <v xml:space="preserve"> </v>
      </c>
      <c r="H4507" t="str">
        <f>IFERROR(+VLOOKUP(Movimientos_2026[[#This Row],[Codigo]],Plan_cuentas[],5,FALSE)," ")</f>
        <v xml:space="preserve"> </v>
      </c>
      <c r="I4507" s="43"/>
      <c r="K4507" t="str">
        <f>IFERROR(+VLOOKUP(Movimientos_2026[[#This Row],[Codigo]],Plan_cuentas[],6,FALSE)," ")</f>
        <v xml:space="preserve"> </v>
      </c>
      <c r="L4507" s="50"/>
      <c r="M4507" s="50"/>
      <c r="N4507" s="20">
        <f>+Movimientos_2026[[#This Row],[Ingresos]]-Movimientos_2026[[#This Row],[Egresos]]</f>
        <v>0</v>
      </c>
      <c r="O4507" s="20">
        <f>+O4506+Movimientos_2026[[#This Row],[Neto]]</f>
        <v>4581558617.7962294</v>
      </c>
    </row>
    <row r="4508" spans="1:15" x14ac:dyDescent="0.25">
      <c r="A4508" s="13"/>
      <c r="B4508" s="12">
        <f>MONTH(Movimientos_2026[[#This Row],[Fecha]])</f>
        <v>1</v>
      </c>
      <c r="C4508" s="12" t="str">
        <f>VLOOKUP((WEEKDAY(Movimientos_2026[[#This Row],[Fecha]],2)),'5. Setup'!$D$6:$E$12,2,FALSE)</f>
        <v>Sab</v>
      </c>
      <c r="E4508" t="str">
        <f>IFERROR(+VLOOKUP(Movimientos_2026[[#This Row],[Codigo]],Plan_cuentas[],2,FALSE)," ")</f>
        <v xml:space="preserve"> </v>
      </c>
      <c r="F4508" t="str">
        <f>IFERROR(+VLOOKUP(Movimientos_2026[[#This Row],[Codigo]],Plan_cuentas[],3,FALSE)," ")</f>
        <v xml:space="preserve"> </v>
      </c>
      <c r="G4508" t="str">
        <f>IFERROR(+VLOOKUP(Movimientos_2026[[#This Row],[Codigo]],Plan_cuentas[],4,FALSE)," ")</f>
        <v xml:space="preserve"> </v>
      </c>
      <c r="H4508" t="str">
        <f>IFERROR(+VLOOKUP(Movimientos_2026[[#This Row],[Codigo]],Plan_cuentas[],5,FALSE)," ")</f>
        <v xml:space="preserve"> </v>
      </c>
      <c r="I4508" s="43"/>
      <c r="K4508" t="str">
        <f>IFERROR(+VLOOKUP(Movimientos_2026[[#This Row],[Codigo]],Plan_cuentas[],6,FALSE)," ")</f>
        <v xml:space="preserve"> </v>
      </c>
      <c r="L4508" s="50"/>
      <c r="M4508" s="50"/>
      <c r="N4508" s="20">
        <f>+Movimientos_2026[[#This Row],[Ingresos]]-Movimientos_2026[[#This Row],[Egresos]]</f>
        <v>0</v>
      </c>
      <c r="O4508" s="20">
        <f>+O4507+Movimientos_2026[[#This Row],[Neto]]</f>
        <v>4581558617.7962294</v>
      </c>
    </row>
    <row r="4509" spans="1:15" x14ac:dyDescent="0.25">
      <c r="A4509" s="13"/>
      <c r="B4509" s="12">
        <f>MONTH(Movimientos_2026[[#This Row],[Fecha]])</f>
        <v>1</v>
      </c>
      <c r="C4509" s="12" t="str">
        <f>VLOOKUP((WEEKDAY(Movimientos_2026[[#This Row],[Fecha]],2)),'5. Setup'!$D$6:$E$12,2,FALSE)</f>
        <v>Sab</v>
      </c>
      <c r="E4509" t="str">
        <f>IFERROR(+VLOOKUP(Movimientos_2026[[#This Row],[Codigo]],Plan_cuentas[],2,FALSE)," ")</f>
        <v xml:space="preserve"> </v>
      </c>
      <c r="F4509" t="str">
        <f>IFERROR(+VLOOKUP(Movimientos_2026[[#This Row],[Codigo]],Plan_cuentas[],3,FALSE)," ")</f>
        <v xml:space="preserve"> </v>
      </c>
      <c r="G4509" t="str">
        <f>IFERROR(+VLOOKUP(Movimientos_2026[[#This Row],[Codigo]],Plan_cuentas[],4,FALSE)," ")</f>
        <v xml:space="preserve"> </v>
      </c>
      <c r="H4509" t="str">
        <f>IFERROR(+VLOOKUP(Movimientos_2026[[#This Row],[Codigo]],Plan_cuentas[],5,FALSE)," ")</f>
        <v xml:space="preserve"> </v>
      </c>
      <c r="I4509" s="43"/>
      <c r="K4509" t="str">
        <f>IFERROR(+VLOOKUP(Movimientos_2026[[#This Row],[Codigo]],Plan_cuentas[],6,FALSE)," ")</f>
        <v xml:space="preserve"> </v>
      </c>
      <c r="L4509" s="50"/>
      <c r="M4509" s="50"/>
      <c r="N4509" s="20">
        <f>+Movimientos_2026[[#This Row],[Ingresos]]-Movimientos_2026[[#This Row],[Egresos]]</f>
        <v>0</v>
      </c>
      <c r="O4509" s="20">
        <f>+O4508+Movimientos_2026[[#This Row],[Neto]]</f>
        <v>4581558617.7962294</v>
      </c>
    </row>
    <row r="4510" spans="1:15" x14ac:dyDescent="0.25">
      <c r="A4510" s="13"/>
      <c r="B4510" s="12">
        <f>MONTH(Movimientos_2026[[#This Row],[Fecha]])</f>
        <v>1</v>
      </c>
      <c r="C4510" s="12" t="str">
        <f>VLOOKUP((WEEKDAY(Movimientos_2026[[#This Row],[Fecha]],2)),'5. Setup'!$D$6:$E$12,2,FALSE)</f>
        <v>Sab</v>
      </c>
      <c r="E4510" t="str">
        <f>IFERROR(+VLOOKUP(Movimientos_2026[[#This Row],[Codigo]],Plan_cuentas[],2,FALSE)," ")</f>
        <v xml:space="preserve"> </v>
      </c>
      <c r="F4510" t="str">
        <f>IFERROR(+VLOOKUP(Movimientos_2026[[#This Row],[Codigo]],Plan_cuentas[],3,FALSE)," ")</f>
        <v xml:space="preserve"> </v>
      </c>
      <c r="G4510" t="str">
        <f>IFERROR(+VLOOKUP(Movimientos_2026[[#This Row],[Codigo]],Plan_cuentas[],4,FALSE)," ")</f>
        <v xml:space="preserve"> </v>
      </c>
      <c r="H4510" t="str">
        <f>IFERROR(+VLOOKUP(Movimientos_2026[[#This Row],[Codigo]],Plan_cuentas[],5,FALSE)," ")</f>
        <v xml:space="preserve"> </v>
      </c>
      <c r="I4510" s="43"/>
      <c r="K4510" t="str">
        <f>IFERROR(+VLOOKUP(Movimientos_2026[[#This Row],[Codigo]],Plan_cuentas[],6,FALSE)," ")</f>
        <v xml:space="preserve"> </v>
      </c>
      <c r="L4510" s="50"/>
      <c r="M4510" s="50"/>
      <c r="N4510" s="20">
        <f>+Movimientos_2026[[#This Row],[Ingresos]]-Movimientos_2026[[#This Row],[Egresos]]</f>
        <v>0</v>
      </c>
      <c r="O4510" s="20">
        <f>+O4509+Movimientos_2026[[#This Row],[Neto]]</f>
        <v>4581558617.7962294</v>
      </c>
    </row>
    <row r="4511" spans="1:15" x14ac:dyDescent="0.25">
      <c r="A4511" s="13"/>
      <c r="B4511" s="12">
        <f>MONTH(Movimientos_2026[[#This Row],[Fecha]])</f>
        <v>1</v>
      </c>
      <c r="C4511" s="12" t="str">
        <f>VLOOKUP((WEEKDAY(Movimientos_2026[[#This Row],[Fecha]],2)),'5. Setup'!$D$6:$E$12,2,FALSE)</f>
        <v>Sab</v>
      </c>
      <c r="E4511" t="str">
        <f>IFERROR(+VLOOKUP(Movimientos_2026[[#This Row],[Codigo]],Plan_cuentas[],2,FALSE)," ")</f>
        <v xml:space="preserve"> </v>
      </c>
      <c r="F4511" t="str">
        <f>IFERROR(+VLOOKUP(Movimientos_2026[[#This Row],[Codigo]],Plan_cuentas[],3,FALSE)," ")</f>
        <v xml:space="preserve"> </v>
      </c>
      <c r="G4511" t="str">
        <f>IFERROR(+VLOOKUP(Movimientos_2026[[#This Row],[Codigo]],Plan_cuentas[],4,FALSE)," ")</f>
        <v xml:space="preserve"> </v>
      </c>
      <c r="H4511" t="str">
        <f>IFERROR(+VLOOKUP(Movimientos_2026[[#This Row],[Codigo]],Plan_cuentas[],5,FALSE)," ")</f>
        <v xml:space="preserve"> </v>
      </c>
      <c r="I4511" s="43"/>
      <c r="K4511" t="str">
        <f>IFERROR(+VLOOKUP(Movimientos_2026[[#This Row],[Codigo]],Plan_cuentas[],6,FALSE)," ")</f>
        <v xml:space="preserve"> </v>
      </c>
      <c r="L4511" s="50"/>
      <c r="M4511" s="50"/>
      <c r="N4511" s="20">
        <f>+Movimientos_2026[[#This Row],[Ingresos]]-Movimientos_2026[[#This Row],[Egresos]]</f>
        <v>0</v>
      </c>
      <c r="O4511" s="20">
        <f>+O4510+Movimientos_2026[[#This Row],[Neto]]</f>
        <v>4581558617.7962294</v>
      </c>
    </row>
    <row r="4512" spans="1:15" x14ac:dyDescent="0.25">
      <c r="A4512" s="13"/>
      <c r="B4512" s="12">
        <f>MONTH(Movimientos_2026[[#This Row],[Fecha]])</f>
        <v>1</v>
      </c>
      <c r="C4512" s="12" t="str">
        <f>VLOOKUP((WEEKDAY(Movimientos_2026[[#This Row],[Fecha]],2)),'5. Setup'!$D$6:$E$12,2,FALSE)</f>
        <v>Sab</v>
      </c>
      <c r="E4512" t="str">
        <f>IFERROR(+VLOOKUP(Movimientos_2026[[#This Row],[Codigo]],Plan_cuentas[],2,FALSE)," ")</f>
        <v xml:space="preserve"> </v>
      </c>
      <c r="F4512" t="str">
        <f>IFERROR(+VLOOKUP(Movimientos_2026[[#This Row],[Codigo]],Plan_cuentas[],3,FALSE)," ")</f>
        <v xml:space="preserve"> </v>
      </c>
      <c r="G4512" t="str">
        <f>IFERROR(+VLOOKUP(Movimientos_2026[[#This Row],[Codigo]],Plan_cuentas[],4,FALSE)," ")</f>
        <v xml:space="preserve"> </v>
      </c>
      <c r="H4512" t="str">
        <f>IFERROR(+VLOOKUP(Movimientos_2026[[#This Row],[Codigo]],Plan_cuentas[],5,FALSE)," ")</f>
        <v xml:space="preserve"> </v>
      </c>
      <c r="I4512" s="43"/>
      <c r="K4512" t="str">
        <f>IFERROR(+VLOOKUP(Movimientos_2026[[#This Row],[Codigo]],Plan_cuentas[],6,FALSE)," ")</f>
        <v xml:space="preserve"> </v>
      </c>
      <c r="L4512" s="50"/>
      <c r="M4512" s="50"/>
      <c r="N4512" s="20">
        <f>+Movimientos_2026[[#This Row],[Ingresos]]-Movimientos_2026[[#This Row],[Egresos]]</f>
        <v>0</v>
      </c>
      <c r="O4512" s="20">
        <f>+O4511+Movimientos_2026[[#This Row],[Neto]]</f>
        <v>4581558617.7962294</v>
      </c>
    </row>
    <row r="4513" spans="1:15" x14ac:dyDescent="0.25">
      <c r="A4513" s="13"/>
      <c r="B4513" s="12">
        <f>MONTH(Movimientos_2026[[#This Row],[Fecha]])</f>
        <v>1</v>
      </c>
      <c r="C4513" s="12" t="str">
        <f>VLOOKUP((WEEKDAY(Movimientos_2026[[#This Row],[Fecha]],2)),'5. Setup'!$D$6:$E$12,2,FALSE)</f>
        <v>Sab</v>
      </c>
      <c r="E4513" t="str">
        <f>IFERROR(+VLOOKUP(Movimientos_2026[[#This Row],[Codigo]],Plan_cuentas[],2,FALSE)," ")</f>
        <v xml:space="preserve"> </v>
      </c>
      <c r="F4513" t="str">
        <f>IFERROR(+VLOOKUP(Movimientos_2026[[#This Row],[Codigo]],Plan_cuentas[],3,FALSE)," ")</f>
        <v xml:space="preserve"> </v>
      </c>
      <c r="G4513" t="str">
        <f>IFERROR(+VLOOKUP(Movimientos_2026[[#This Row],[Codigo]],Plan_cuentas[],4,FALSE)," ")</f>
        <v xml:space="preserve"> </v>
      </c>
      <c r="H4513" t="str">
        <f>IFERROR(+VLOOKUP(Movimientos_2026[[#This Row],[Codigo]],Plan_cuentas[],5,FALSE)," ")</f>
        <v xml:space="preserve"> </v>
      </c>
      <c r="I4513" s="43"/>
      <c r="K4513" t="str">
        <f>IFERROR(+VLOOKUP(Movimientos_2026[[#This Row],[Codigo]],Plan_cuentas[],6,FALSE)," ")</f>
        <v xml:space="preserve"> </v>
      </c>
      <c r="L4513" s="50"/>
      <c r="M4513" s="50"/>
      <c r="N4513" s="20">
        <f>+Movimientos_2026[[#This Row],[Ingresos]]-Movimientos_2026[[#This Row],[Egresos]]</f>
        <v>0</v>
      </c>
      <c r="O4513" s="20">
        <f>+O4512+Movimientos_2026[[#This Row],[Neto]]</f>
        <v>4581558617.7962294</v>
      </c>
    </row>
    <row r="4514" spans="1:15" x14ac:dyDescent="0.25">
      <c r="A4514" s="13"/>
      <c r="B4514" s="12">
        <f>MONTH(Movimientos_2026[[#This Row],[Fecha]])</f>
        <v>1</v>
      </c>
      <c r="C4514" s="12" t="str">
        <f>VLOOKUP((WEEKDAY(Movimientos_2026[[#This Row],[Fecha]],2)),'5. Setup'!$D$6:$E$12,2,FALSE)</f>
        <v>Sab</v>
      </c>
      <c r="E4514" t="str">
        <f>IFERROR(+VLOOKUP(Movimientos_2026[[#This Row],[Codigo]],Plan_cuentas[],2,FALSE)," ")</f>
        <v xml:space="preserve"> </v>
      </c>
      <c r="F4514" t="str">
        <f>IFERROR(+VLOOKUP(Movimientos_2026[[#This Row],[Codigo]],Plan_cuentas[],3,FALSE)," ")</f>
        <v xml:space="preserve"> </v>
      </c>
      <c r="G4514" t="str">
        <f>IFERROR(+VLOOKUP(Movimientos_2026[[#This Row],[Codigo]],Plan_cuentas[],4,FALSE)," ")</f>
        <v xml:space="preserve"> </v>
      </c>
      <c r="H4514" t="str">
        <f>IFERROR(+VLOOKUP(Movimientos_2026[[#This Row],[Codigo]],Plan_cuentas[],5,FALSE)," ")</f>
        <v xml:space="preserve"> </v>
      </c>
      <c r="I4514" s="43"/>
      <c r="K4514" t="str">
        <f>IFERROR(+VLOOKUP(Movimientos_2026[[#This Row],[Codigo]],Plan_cuentas[],6,FALSE)," ")</f>
        <v xml:space="preserve"> </v>
      </c>
      <c r="L4514" s="50"/>
      <c r="M4514" s="50"/>
      <c r="N4514" s="20">
        <f>+Movimientos_2026[[#This Row],[Ingresos]]-Movimientos_2026[[#This Row],[Egresos]]</f>
        <v>0</v>
      </c>
      <c r="O4514" s="20">
        <f>+O4513+Movimientos_2026[[#This Row],[Neto]]</f>
        <v>4581558617.7962294</v>
      </c>
    </row>
    <row r="4515" spans="1:15" x14ac:dyDescent="0.25">
      <c r="A4515" s="13"/>
      <c r="B4515" s="12">
        <f>MONTH(Movimientos_2026[[#This Row],[Fecha]])</f>
        <v>1</v>
      </c>
      <c r="C4515" s="12" t="str">
        <f>VLOOKUP((WEEKDAY(Movimientos_2026[[#This Row],[Fecha]],2)),'5. Setup'!$D$6:$E$12,2,FALSE)</f>
        <v>Sab</v>
      </c>
      <c r="E4515" t="str">
        <f>IFERROR(+VLOOKUP(Movimientos_2026[[#This Row],[Codigo]],Plan_cuentas[],2,FALSE)," ")</f>
        <v xml:space="preserve"> </v>
      </c>
      <c r="F4515" t="str">
        <f>IFERROR(+VLOOKUP(Movimientos_2026[[#This Row],[Codigo]],Plan_cuentas[],3,FALSE)," ")</f>
        <v xml:space="preserve"> </v>
      </c>
      <c r="G4515" t="str">
        <f>IFERROR(+VLOOKUP(Movimientos_2026[[#This Row],[Codigo]],Plan_cuentas[],4,FALSE)," ")</f>
        <v xml:space="preserve"> </v>
      </c>
      <c r="H4515" t="str">
        <f>IFERROR(+VLOOKUP(Movimientos_2026[[#This Row],[Codigo]],Plan_cuentas[],5,FALSE)," ")</f>
        <v xml:space="preserve"> </v>
      </c>
      <c r="I4515" s="43"/>
      <c r="K4515" t="str">
        <f>IFERROR(+VLOOKUP(Movimientos_2026[[#This Row],[Codigo]],Plan_cuentas[],6,FALSE)," ")</f>
        <v xml:space="preserve"> </v>
      </c>
      <c r="L4515" s="50"/>
      <c r="M4515" s="50"/>
      <c r="N4515" s="20">
        <f>+Movimientos_2026[[#This Row],[Ingresos]]-Movimientos_2026[[#This Row],[Egresos]]</f>
        <v>0</v>
      </c>
      <c r="O4515" s="20">
        <f>+O4514+Movimientos_2026[[#This Row],[Neto]]</f>
        <v>4581558617.7962294</v>
      </c>
    </row>
    <row r="4516" spans="1:15" x14ac:dyDescent="0.25">
      <c r="A4516" s="13"/>
      <c r="B4516" s="12">
        <f>MONTH(Movimientos_2026[[#This Row],[Fecha]])</f>
        <v>1</v>
      </c>
      <c r="C4516" s="12" t="str">
        <f>VLOOKUP((WEEKDAY(Movimientos_2026[[#This Row],[Fecha]],2)),'5. Setup'!$D$6:$E$12,2,FALSE)</f>
        <v>Sab</v>
      </c>
      <c r="E4516" t="str">
        <f>IFERROR(+VLOOKUP(Movimientos_2026[[#This Row],[Codigo]],Plan_cuentas[],2,FALSE)," ")</f>
        <v xml:space="preserve"> </v>
      </c>
      <c r="F4516" t="str">
        <f>IFERROR(+VLOOKUP(Movimientos_2026[[#This Row],[Codigo]],Plan_cuentas[],3,FALSE)," ")</f>
        <v xml:space="preserve"> </v>
      </c>
      <c r="G4516" t="str">
        <f>IFERROR(+VLOOKUP(Movimientos_2026[[#This Row],[Codigo]],Plan_cuentas[],4,FALSE)," ")</f>
        <v xml:space="preserve"> </v>
      </c>
      <c r="H4516" t="str">
        <f>IFERROR(+VLOOKUP(Movimientos_2026[[#This Row],[Codigo]],Plan_cuentas[],5,FALSE)," ")</f>
        <v xml:space="preserve"> </v>
      </c>
      <c r="I4516" s="43"/>
      <c r="K4516" t="str">
        <f>IFERROR(+VLOOKUP(Movimientos_2026[[#This Row],[Codigo]],Plan_cuentas[],6,FALSE)," ")</f>
        <v xml:space="preserve"> </v>
      </c>
      <c r="L4516" s="50"/>
      <c r="M4516" s="50"/>
      <c r="N4516" s="20">
        <f>+Movimientos_2026[[#This Row],[Ingresos]]-Movimientos_2026[[#This Row],[Egresos]]</f>
        <v>0</v>
      </c>
      <c r="O4516" s="20">
        <f>+O4515+Movimientos_2026[[#This Row],[Neto]]</f>
        <v>4581558617.7962294</v>
      </c>
    </row>
    <row r="4517" spans="1:15" x14ac:dyDescent="0.25">
      <c r="A4517" s="13"/>
      <c r="B4517" s="12">
        <f>MONTH(Movimientos_2026[[#This Row],[Fecha]])</f>
        <v>1</v>
      </c>
      <c r="C4517" s="12" t="str">
        <f>VLOOKUP((WEEKDAY(Movimientos_2026[[#This Row],[Fecha]],2)),'5. Setup'!$D$6:$E$12,2,FALSE)</f>
        <v>Sab</v>
      </c>
      <c r="E4517" t="str">
        <f>IFERROR(+VLOOKUP(Movimientos_2026[[#This Row],[Codigo]],Plan_cuentas[],2,FALSE)," ")</f>
        <v xml:space="preserve"> </v>
      </c>
      <c r="F4517" t="str">
        <f>IFERROR(+VLOOKUP(Movimientos_2026[[#This Row],[Codigo]],Plan_cuentas[],3,FALSE)," ")</f>
        <v xml:space="preserve"> </v>
      </c>
      <c r="G4517" t="str">
        <f>IFERROR(+VLOOKUP(Movimientos_2026[[#This Row],[Codigo]],Plan_cuentas[],4,FALSE)," ")</f>
        <v xml:space="preserve"> </v>
      </c>
      <c r="H4517" t="str">
        <f>IFERROR(+VLOOKUP(Movimientos_2026[[#This Row],[Codigo]],Plan_cuentas[],5,FALSE)," ")</f>
        <v xml:space="preserve"> </v>
      </c>
      <c r="I4517" s="43"/>
      <c r="K4517" t="str">
        <f>IFERROR(+VLOOKUP(Movimientos_2026[[#This Row],[Codigo]],Plan_cuentas[],6,FALSE)," ")</f>
        <v xml:space="preserve"> </v>
      </c>
      <c r="L4517" s="50"/>
      <c r="M4517" s="50"/>
      <c r="N4517" s="20">
        <f>+Movimientos_2026[[#This Row],[Ingresos]]-Movimientos_2026[[#This Row],[Egresos]]</f>
        <v>0</v>
      </c>
      <c r="O4517" s="20">
        <f>+O4516+Movimientos_2026[[#This Row],[Neto]]</f>
        <v>4581558617.7962294</v>
      </c>
    </row>
    <row r="4518" spans="1:15" x14ac:dyDescent="0.25">
      <c r="A4518" s="13"/>
      <c r="B4518" s="12">
        <f>MONTH(Movimientos_2026[[#This Row],[Fecha]])</f>
        <v>1</v>
      </c>
      <c r="C4518" s="12" t="str">
        <f>VLOOKUP((WEEKDAY(Movimientos_2026[[#This Row],[Fecha]],2)),'5. Setup'!$D$6:$E$12,2,FALSE)</f>
        <v>Sab</v>
      </c>
      <c r="E4518" t="str">
        <f>IFERROR(+VLOOKUP(Movimientos_2026[[#This Row],[Codigo]],Plan_cuentas[],2,FALSE)," ")</f>
        <v xml:space="preserve"> </v>
      </c>
      <c r="F4518" t="str">
        <f>IFERROR(+VLOOKUP(Movimientos_2026[[#This Row],[Codigo]],Plan_cuentas[],3,FALSE)," ")</f>
        <v xml:space="preserve"> </v>
      </c>
      <c r="G4518" t="str">
        <f>IFERROR(+VLOOKUP(Movimientos_2026[[#This Row],[Codigo]],Plan_cuentas[],4,FALSE)," ")</f>
        <v xml:space="preserve"> </v>
      </c>
      <c r="H4518" t="str">
        <f>IFERROR(+VLOOKUP(Movimientos_2026[[#This Row],[Codigo]],Plan_cuentas[],5,FALSE)," ")</f>
        <v xml:space="preserve"> </v>
      </c>
      <c r="I4518" s="43"/>
      <c r="K4518" t="str">
        <f>IFERROR(+VLOOKUP(Movimientos_2026[[#This Row],[Codigo]],Plan_cuentas[],6,FALSE)," ")</f>
        <v xml:space="preserve"> </v>
      </c>
      <c r="L4518" s="50"/>
      <c r="M4518" s="50"/>
      <c r="N4518" s="20">
        <f>+Movimientos_2026[[#This Row],[Ingresos]]-Movimientos_2026[[#This Row],[Egresos]]</f>
        <v>0</v>
      </c>
      <c r="O4518" s="20">
        <f>+O4517+Movimientos_2026[[#This Row],[Neto]]</f>
        <v>4581558617.7962294</v>
      </c>
    </row>
    <row r="4519" spans="1:15" x14ac:dyDescent="0.25">
      <c r="A4519" s="13"/>
      <c r="B4519" s="12">
        <f>MONTH(Movimientos_2026[[#This Row],[Fecha]])</f>
        <v>1</v>
      </c>
      <c r="C4519" s="12" t="str">
        <f>VLOOKUP((WEEKDAY(Movimientos_2026[[#This Row],[Fecha]],2)),'5. Setup'!$D$6:$E$12,2,FALSE)</f>
        <v>Sab</v>
      </c>
      <c r="E4519" t="str">
        <f>IFERROR(+VLOOKUP(Movimientos_2026[[#This Row],[Codigo]],Plan_cuentas[],2,FALSE)," ")</f>
        <v xml:space="preserve"> </v>
      </c>
      <c r="F4519" t="str">
        <f>IFERROR(+VLOOKUP(Movimientos_2026[[#This Row],[Codigo]],Plan_cuentas[],3,FALSE)," ")</f>
        <v xml:space="preserve"> </v>
      </c>
      <c r="G4519" t="str">
        <f>IFERROR(+VLOOKUP(Movimientos_2026[[#This Row],[Codigo]],Plan_cuentas[],4,FALSE)," ")</f>
        <v xml:space="preserve"> </v>
      </c>
      <c r="H4519" t="str">
        <f>IFERROR(+VLOOKUP(Movimientos_2026[[#This Row],[Codigo]],Plan_cuentas[],5,FALSE)," ")</f>
        <v xml:space="preserve"> </v>
      </c>
      <c r="I4519" s="43"/>
      <c r="K4519" t="str">
        <f>IFERROR(+VLOOKUP(Movimientos_2026[[#This Row],[Codigo]],Plan_cuentas[],6,FALSE)," ")</f>
        <v xml:space="preserve"> </v>
      </c>
      <c r="L4519" s="50"/>
      <c r="M4519" s="50"/>
      <c r="N4519" s="20">
        <f>+Movimientos_2026[[#This Row],[Ingresos]]-Movimientos_2026[[#This Row],[Egresos]]</f>
        <v>0</v>
      </c>
      <c r="O4519" s="20">
        <f>+O4518+Movimientos_2026[[#This Row],[Neto]]</f>
        <v>4581558617.7962294</v>
      </c>
    </row>
    <row r="4520" spans="1:15" x14ac:dyDescent="0.25">
      <c r="A4520" s="13"/>
      <c r="B4520" s="12">
        <f>MONTH(Movimientos_2026[[#This Row],[Fecha]])</f>
        <v>1</v>
      </c>
      <c r="C4520" s="12" t="str">
        <f>VLOOKUP((WEEKDAY(Movimientos_2026[[#This Row],[Fecha]],2)),'5. Setup'!$D$6:$E$12,2,FALSE)</f>
        <v>Sab</v>
      </c>
      <c r="E4520" t="str">
        <f>IFERROR(+VLOOKUP(Movimientos_2026[[#This Row],[Codigo]],Plan_cuentas[],2,FALSE)," ")</f>
        <v xml:space="preserve"> </v>
      </c>
      <c r="F4520" t="str">
        <f>IFERROR(+VLOOKUP(Movimientos_2026[[#This Row],[Codigo]],Plan_cuentas[],3,FALSE)," ")</f>
        <v xml:space="preserve"> </v>
      </c>
      <c r="G4520" t="str">
        <f>IFERROR(+VLOOKUP(Movimientos_2026[[#This Row],[Codigo]],Plan_cuentas[],4,FALSE)," ")</f>
        <v xml:space="preserve"> </v>
      </c>
      <c r="H4520" t="str">
        <f>IFERROR(+VLOOKUP(Movimientos_2026[[#This Row],[Codigo]],Plan_cuentas[],5,FALSE)," ")</f>
        <v xml:space="preserve"> </v>
      </c>
      <c r="I4520" s="43"/>
      <c r="K4520" t="str">
        <f>IFERROR(+VLOOKUP(Movimientos_2026[[#This Row],[Codigo]],Plan_cuentas[],6,FALSE)," ")</f>
        <v xml:space="preserve"> </v>
      </c>
      <c r="L4520" s="50"/>
      <c r="M4520" s="50"/>
      <c r="N4520" s="20">
        <f>+Movimientos_2026[[#This Row],[Ingresos]]-Movimientos_2026[[#This Row],[Egresos]]</f>
        <v>0</v>
      </c>
      <c r="O4520" s="20">
        <f>+O4519+Movimientos_2026[[#This Row],[Neto]]</f>
        <v>4581558617.7962294</v>
      </c>
    </row>
    <row r="4521" spans="1:15" x14ac:dyDescent="0.25">
      <c r="A4521" s="13"/>
      <c r="B4521" s="12">
        <f>MONTH(Movimientos_2026[[#This Row],[Fecha]])</f>
        <v>1</v>
      </c>
      <c r="C4521" s="12" t="str">
        <f>VLOOKUP((WEEKDAY(Movimientos_2026[[#This Row],[Fecha]],2)),'5. Setup'!$D$6:$E$12,2,FALSE)</f>
        <v>Sab</v>
      </c>
      <c r="E4521" t="str">
        <f>IFERROR(+VLOOKUP(Movimientos_2026[[#This Row],[Codigo]],Plan_cuentas[],2,FALSE)," ")</f>
        <v xml:space="preserve"> </v>
      </c>
      <c r="F4521" t="str">
        <f>IFERROR(+VLOOKUP(Movimientos_2026[[#This Row],[Codigo]],Plan_cuentas[],3,FALSE)," ")</f>
        <v xml:space="preserve"> </v>
      </c>
      <c r="G4521" t="str">
        <f>IFERROR(+VLOOKUP(Movimientos_2026[[#This Row],[Codigo]],Plan_cuentas[],4,FALSE)," ")</f>
        <v xml:space="preserve"> </v>
      </c>
      <c r="H4521" t="str">
        <f>IFERROR(+VLOOKUP(Movimientos_2026[[#This Row],[Codigo]],Plan_cuentas[],5,FALSE)," ")</f>
        <v xml:space="preserve"> </v>
      </c>
      <c r="I4521" s="43"/>
      <c r="K4521" t="str">
        <f>IFERROR(+VLOOKUP(Movimientos_2026[[#This Row],[Codigo]],Plan_cuentas[],6,FALSE)," ")</f>
        <v xml:space="preserve"> </v>
      </c>
      <c r="L4521" s="50"/>
      <c r="M4521" s="50"/>
      <c r="N4521" s="20">
        <f>+Movimientos_2026[[#This Row],[Ingresos]]-Movimientos_2026[[#This Row],[Egresos]]</f>
        <v>0</v>
      </c>
      <c r="O4521" s="20">
        <f>+O4520+Movimientos_2026[[#This Row],[Neto]]</f>
        <v>4581558617.7962294</v>
      </c>
    </row>
    <row r="4522" spans="1:15" x14ac:dyDescent="0.25">
      <c r="A4522" s="13"/>
      <c r="B4522" s="12">
        <f>MONTH(Movimientos_2026[[#This Row],[Fecha]])</f>
        <v>1</v>
      </c>
      <c r="C4522" s="12" t="str">
        <f>VLOOKUP((WEEKDAY(Movimientos_2026[[#This Row],[Fecha]],2)),'5. Setup'!$D$6:$E$12,2,FALSE)</f>
        <v>Sab</v>
      </c>
      <c r="E4522" t="str">
        <f>IFERROR(+VLOOKUP(Movimientos_2026[[#This Row],[Codigo]],Plan_cuentas[],2,FALSE)," ")</f>
        <v xml:space="preserve"> </v>
      </c>
      <c r="F4522" t="str">
        <f>IFERROR(+VLOOKUP(Movimientos_2026[[#This Row],[Codigo]],Plan_cuentas[],3,FALSE)," ")</f>
        <v xml:space="preserve"> </v>
      </c>
      <c r="G4522" t="str">
        <f>IFERROR(+VLOOKUP(Movimientos_2026[[#This Row],[Codigo]],Plan_cuentas[],4,FALSE)," ")</f>
        <v xml:space="preserve"> </v>
      </c>
      <c r="H4522" t="str">
        <f>IFERROR(+VLOOKUP(Movimientos_2026[[#This Row],[Codigo]],Plan_cuentas[],5,FALSE)," ")</f>
        <v xml:space="preserve"> </v>
      </c>
      <c r="I4522" s="43"/>
      <c r="K4522" t="str">
        <f>IFERROR(+VLOOKUP(Movimientos_2026[[#This Row],[Codigo]],Plan_cuentas[],6,FALSE)," ")</f>
        <v xml:space="preserve"> </v>
      </c>
      <c r="L4522" s="50"/>
      <c r="M4522" s="50"/>
      <c r="N4522" s="20">
        <f>+Movimientos_2026[[#This Row],[Ingresos]]-Movimientos_2026[[#This Row],[Egresos]]</f>
        <v>0</v>
      </c>
      <c r="O4522" s="20">
        <f>+O4521+Movimientos_2026[[#This Row],[Neto]]</f>
        <v>4581558617.7962294</v>
      </c>
    </row>
    <row r="4523" spans="1:15" x14ac:dyDescent="0.25">
      <c r="A4523" s="13"/>
      <c r="B4523" s="12">
        <f>MONTH(Movimientos_2026[[#This Row],[Fecha]])</f>
        <v>1</v>
      </c>
      <c r="C4523" s="12" t="str">
        <f>VLOOKUP((WEEKDAY(Movimientos_2026[[#This Row],[Fecha]],2)),'5. Setup'!$D$6:$E$12,2,FALSE)</f>
        <v>Sab</v>
      </c>
      <c r="E4523" t="str">
        <f>IFERROR(+VLOOKUP(Movimientos_2026[[#This Row],[Codigo]],Plan_cuentas[],2,FALSE)," ")</f>
        <v xml:space="preserve"> </v>
      </c>
      <c r="F4523" t="str">
        <f>IFERROR(+VLOOKUP(Movimientos_2026[[#This Row],[Codigo]],Plan_cuentas[],3,FALSE)," ")</f>
        <v xml:space="preserve"> </v>
      </c>
      <c r="G4523" t="str">
        <f>IFERROR(+VLOOKUP(Movimientos_2026[[#This Row],[Codigo]],Plan_cuentas[],4,FALSE)," ")</f>
        <v xml:space="preserve"> </v>
      </c>
      <c r="H4523" t="str">
        <f>IFERROR(+VLOOKUP(Movimientos_2026[[#This Row],[Codigo]],Plan_cuentas[],5,FALSE)," ")</f>
        <v xml:space="preserve"> </v>
      </c>
      <c r="I4523" s="43"/>
      <c r="K4523" t="str">
        <f>IFERROR(+VLOOKUP(Movimientos_2026[[#This Row],[Codigo]],Plan_cuentas[],6,FALSE)," ")</f>
        <v xml:space="preserve"> </v>
      </c>
      <c r="L4523" s="50"/>
      <c r="M4523" s="50"/>
      <c r="N4523" s="20">
        <f>+Movimientos_2026[[#This Row],[Ingresos]]-Movimientos_2026[[#This Row],[Egresos]]</f>
        <v>0</v>
      </c>
      <c r="O4523" s="20">
        <f>+O4522+Movimientos_2026[[#This Row],[Neto]]</f>
        <v>4581558617.7962294</v>
      </c>
    </row>
    <row r="4524" spans="1:15" x14ac:dyDescent="0.25">
      <c r="A4524" s="13"/>
      <c r="B4524" s="12">
        <f>MONTH(Movimientos_2026[[#This Row],[Fecha]])</f>
        <v>1</v>
      </c>
      <c r="C4524" s="12" t="str">
        <f>VLOOKUP((WEEKDAY(Movimientos_2026[[#This Row],[Fecha]],2)),'5. Setup'!$D$6:$E$12,2,FALSE)</f>
        <v>Sab</v>
      </c>
      <c r="E4524" t="str">
        <f>IFERROR(+VLOOKUP(Movimientos_2026[[#This Row],[Codigo]],Plan_cuentas[],2,FALSE)," ")</f>
        <v xml:space="preserve"> </v>
      </c>
      <c r="F4524" t="str">
        <f>IFERROR(+VLOOKUP(Movimientos_2026[[#This Row],[Codigo]],Plan_cuentas[],3,FALSE)," ")</f>
        <v xml:space="preserve"> </v>
      </c>
      <c r="G4524" t="str">
        <f>IFERROR(+VLOOKUP(Movimientos_2026[[#This Row],[Codigo]],Plan_cuentas[],4,FALSE)," ")</f>
        <v xml:space="preserve"> </v>
      </c>
      <c r="H4524" t="str">
        <f>IFERROR(+VLOOKUP(Movimientos_2026[[#This Row],[Codigo]],Plan_cuentas[],5,FALSE)," ")</f>
        <v xml:space="preserve"> </v>
      </c>
      <c r="I4524" s="43"/>
      <c r="K4524" t="str">
        <f>IFERROR(+VLOOKUP(Movimientos_2026[[#This Row],[Codigo]],Plan_cuentas[],6,FALSE)," ")</f>
        <v xml:space="preserve"> </v>
      </c>
      <c r="L4524" s="50"/>
      <c r="M4524" s="50"/>
      <c r="N4524" s="20">
        <f>+Movimientos_2026[[#This Row],[Ingresos]]-Movimientos_2026[[#This Row],[Egresos]]</f>
        <v>0</v>
      </c>
      <c r="O4524" s="20">
        <f>+O4523+Movimientos_2026[[#This Row],[Neto]]</f>
        <v>4581558617.7962294</v>
      </c>
    </row>
    <row r="4525" spans="1:15" x14ac:dyDescent="0.25">
      <c r="A4525" s="13"/>
      <c r="B4525" s="12">
        <f>MONTH(Movimientos_2026[[#This Row],[Fecha]])</f>
        <v>1</v>
      </c>
      <c r="C4525" s="12" t="str">
        <f>VLOOKUP((WEEKDAY(Movimientos_2026[[#This Row],[Fecha]],2)),'5. Setup'!$D$6:$E$12,2,FALSE)</f>
        <v>Sab</v>
      </c>
      <c r="E4525" t="str">
        <f>IFERROR(+VLOOKUP(Movimientos_2026[[#This Row],[Codigo]],Plan_cuentas[],2,FALSE)," ")</f>
        <v xml:space="preserve"> </v>
      </c>
      <c r="F4525" t="str">
        <f>IFERROR(+VLOOKUP(Movimientos_2026[[#This Row],[Codigo]],Plan_cuentas[],3,FALSE)," ")</f>
        <v xml:space="preserve"> </v>
      </c>
      <c r="G4525" t="str">
        <f>IFERROR(+VLOOKUP(Movimientos_2026[[#This Row],[Codigo]],Plan_cuentas[],4,FALSE)," ")</f>
        <v xml:space="preserve"> </v>
      </c>
      <c r="H4525" t="str">
        <f>IFERROR(+VLOOKUP(Movimientos_2026[[#This Row],[Codigo]],Plan_cuentas[],5,FALSE)," ")</f>
        <v xml:space="preserve"> </v>
      </c>
      <c r="I4525" s="43"/>
      <c r="K4525" t="str">
        <f>IFERROR(+VLOOKUP(Movimientos_2026[[#This Row],[Codigo]],Plan_cuentas[],6,FALSE)," ")</f>
        <v xml:space="preserve"> </v>
      </c>
      <c r="L4525" s="50"/>
      <c r="M4525" s="50"/>
      <c r="N4525" s="20">
        <f>+Movimientos_2026[[#This Row],[Ingresos]]-Movimientos_2026[[#This Row],[Egresos]]</f>
        <v>0</v>
      </c>
      <c r="O4525" s="20">
        <f>+O4524+Movimientos_2026[[#This Row],[Neto]]</f>
        <v>4581558617.7962294</v>
      </c>
    </row>
    <row r="4526" spans="1:15" x14ac:dyDescent="0.25">
      <c r="A4526" s="13"/>
      <c r="B4526" s="12">
        <f>MONTH(Movimientos_2026[[#This Row],[Fecha]])</f>
        <v>1</v>
      </c>
      <c r="C4526" s="12" t="str">
        <f>VLOOKUP((WEEKDAY(Movimientos_2026[[#This Row],[Fecha]],2)),'5. Setup'!$D$6:$E$12,2,FALSE)</f>
        <v>Sab</v>
      </c>
      <c r="E4526" t="str">
        <f>IFERROR(+VLOOKUP(Movimientos_2026[[#This Row],[Codigo]],Plan_cuentas[],2,FALSE)," ")</f>
        <v xml:space="preserve"> </v>
      </c>
      <c r="F4526" t="str">
        <f>IFERROR(+VLOOKUP(Movimientos_2026[[#This Row],[Codigo]],Plan_cuentas[],3,FALSE)," ")</f>
        <v xml:space="preserve"> </v>
      </c>
      <c r="G4526" t="str">
        <f>IFERROR(+VLOOKUP(Movimientos_2026[[#This Row],[Codigo]],Plan_cuentas[],4,FALSE)," ")</f>
        <v xml:space="preserve"> </v>
      </c>
      <c r="H4526" t="str">
        <f>IFERROR(+VLOOKUP(Movimientos_2026[[#This Row],[Codigo]],Plan_cuentas[],5,FALSE)," ")</f>
        <v xml:space="preserve"> </v>
      </c>
      <c r="I4526" s="43"/>
      <c r="K4526" t="str">
        <f>IFERROR(+VLOOKUP(Movimientos_2026[[#This Row],[Codigo]],Plan_cuentas[],6,FALSE)," ")</f>
        <v xml:space="preserve"> </v>
      </c>
      <c r="L4526" s="50"/>
      <c r="M4526" s="50"/>
      <c r="N4526" s="20">
        <f>+Movimientos_2026[[#This Row],[Ingresos]]-Movimientos_2026[[#This Row],[Egresos]]</f>
        <v>0</v>
      </c>
      <c r="O4526" s="20">
        <f>+O4525+Movimientos_2026[[#This Row],[Neto]]</f>
        <v>4581558617.7962294</v>
      </c>
    </row>
    <row r="4527" spans="1:15" x14ac:dyDescent="0.25">
      <c r="A4527" s="13"/>
      <c r="B4527" s="12">
        <f>MONTH(Movimientos_2026[[#This Row],[Fecha]])</f>
        <v>1</v>
      </c>
      <c r="C4527" s="12" t="str">
        <f>VLOOKUP((WEEKDAY(Movimientos_2026[[#This Row],[Fecha]],2)),'5. Setup'!$D$6:$E$12,2,FALSE)</f>
        <v>Sab</v>
      </c>
      <c r="E4527" t="str">
        <f>IFERROR(+VLOOKUP(Movimientos_2026[[#This Row],[Codigo]],Plan_cuentas[],2,FALSE)," ")</f>
        <v xml:space="preserve"> </v>
      </c>
      <c r="F4527" t="str">
        <f>IFERROR(+VLOOKUP(Movimientos_2026[[#This Row],[Codigo]],Plan_cuentas[],3,FALSE)," ")</f>
        <v xml:space="preserve"> </v>
      </c>
      <c r="G4527" t="str">
        <f>IFERROR(+VLOOKUP(Movimientos_2026[[#This Row],[Codigo]],Plan_cuentas[],4,FALSE)," ")</f>
        <v xml:space="preserve"> </v>
      </c>
      <c r="H4527" t="str">
        <f>IFERROR(+VLOOKUP(Movimientos_2026[[#This Row],[Codigo]],Plan_cuentas[],5,FALSE)," ")</f>
        <v xml:space="preserve"> </v>
      </c>
      <c r="I4527" s="43"/>
      <c r="K4527" t="str">
        <f>IFERROR(+VLOOKUP(Movimientos_2026[[#This Row],[Codigo]],Plan_cuentas[],6,FALSE)," ")</f>
        <v xml:space="preserve"> </v>
      </c>
      <c r="L4527" s="50"/>
      <c r="M4527" s="50"/>
      <c r="N4527" s="20">
        <f>+Movimientos_2026[[#This Row],[Ingresos]]-Movimientos_2026[[#This Row],[Egresos]]</f>
        <v>0</v>
      </c>
      <c r="O4527" s="20">
        <f>+O4526+Movimientos_2026[[#This Row],[Neto]]</f>
        <v>4581558617.7962294</v>
      </c>
    </row>
    <row r="4528" spans="1:15" x14ac:dyDescent="0.25">
      <c r="A4528" s="13"/>
      <c r="B4528" s="12">
        <f>MONTH(Movimientos_2026[[#This Row],[Fecha]])</f>
        <v>1</v>
      </c>
      <c r="C4528" s="12" t="str">
        <f>VLOOKUP((WEEKDAY(Movimientos_2026[[#This Row],[Fecha]],2)),'5. Setup'!$D$6:$E$12,2,FALSE)</f>
        <v>Sab</v>
      </c>
      <c r="E4528" t="str">
        <f>IFERROR(+VLOOKUP(Movimientos_2026[[#This Row],[Codigo]],Plan_cuentas[],2,FALSE)," ")</f>
        <v xml:space="preserve"> </v>
      </c>
      <c r="F4528" t="str">
        <f>IFERROR(+VLOOKUP(Movimientos_2026[[#This Row],[Codigo]],Plan_cuentas[],3,FALSE)," ")</f>
        <v xml:space="preserve"> </v>
      </c>
      <c r="G4528" t="str">
        <f>IFERROR(+VLOOKUP(Movimientos_2026[[#This Row],[Codigo]],Plan_cuentas[],4,FALSE)," ")</f>
        <v xml:space="preserve"> </v>
      </c>
      <c r="H4528" t="str">
        <f>IFERROR(+VLOOKUP(Movimientos_2026[[#This Row],[Codigo]],Plan_cuentas[],5,FALSE)," ")</f>
        <v xml:space="preserve"> </v>
      </c>
      <c r="I4528" s="43"/>
      <c r="K4528" t="str">
        <f>IFERROR(+VLOOKUP(Movimientos_2026[[#This Row],[Codigo]],Plan_cuentas[],6,FALSE)," ")</f>
        <v xml:space="preserve"> </v>
      </c>
      <c r="L4528" s="50"/>
      <c r="M4528" s="50"/>
      <c r="N4528" s="20">
        <f>+Movimientos_2026[[#This Row],[Ingresos]]-Movimientos_2026[[#This Row],[Egresos]]</f>
        <v>0</v>
      </c>
      <c r="O4528" s="20">
        <f>+O4527+Movimientos_2026[[#This Row],[Neto]]</f>
        <v>4581558617.7962294</v>
      </c>
    </row>
    <row r="4529" spans="1:15" x14ac:dyDescent="0.25">
      <c r="A4529" s="13"/>
      <c r="B4529" s="12">
        <f>MONTH(Movimientos_2026[[#This Row],[Fecha]])</f>
        <v>1</v>
      </c>
      <c r="C4529" s="12" t="str">
        <f>VLOOKUP((WEEKDAY(Movimientos_2026[[#This Row],[Fecha]],2)),'5. Setup'!$D$6:$E$12,2,FALSE)</f>
        <v>Sab</v>
      </c>
      <c r="E4529" t="str">
        <f>IFERROR(+VLOOKUP(Movimientos_2026[[#This Row],[Codigo]],Plan_cuentas[],2,FALSE)," ")</f>
        <v xml:space="preserve"> </v>
      </c>
      <c r="F4529" t="str">
        <f>IFERROR(+VLOOKUP(Movimientos_2026[[#This Row],[Codigo]],Plan_cuentas[],3,FALSE)," ")</f>
        <v xml:space="preserve"> </v>
      </c>
      <c r="G4529" t="str">
        <f>IFERROR(+VLOOKUP(Movimientos_2026[[#This Row],[Codigo]],Plan_cuentas[],4,FALSE)," ")</f>
        <v xml:space="preserve"> </v>
      </c>
      <c r="H4529" t="str">
        <f>IFERROR(+VLOOKUP(Movimientos_2026[[#This Row],[Codigo]],Plan_cuentas[],5,FALSE)," ")</f>
        <v xml:space="preserve"> </v>
      </c>
      <c r="I4529" s="43"/>
      <c r="K4529" t="str">
        <f>IFERROR(+VLOOKUP(Movimientos_2026[[#This Row],[Codigo]],Plan_cuentas[],6,FALSE)," ")</f>
        <v xml:space="preserve"> </v>
      </c>
      <c r="L4529" s="50"/>
      <c r="M4529" s="50"/>
      <c r="N4529" s="20">
        <f>+Movimientos_2026[[#This Row],[Ingresos]]-Movimientos_2026[[#This Row],[Egresos]]</f>
        <v>0</v>
      </c>
      <c r="O4529" s="20">
        <f>+O4528+Movimientos_2026[[#This Row],[Neto]]</f>
        <v>4581558617.7962294</v>
      </c>
    </row>
    <row r="4530" spans="1:15" x14ac:dyDescent="0.25">
      <c r="A4530" s="13"/>
      <c r="B4530" s="12">
        <f>MONTH(Movimientos_2026[[#This Row],[Fecha]])</f>
        <v>1</v>
      </c>
      <c r="C4530" s="12" t="str">
        <f>VLOOKUP((WEEKDAY(Movimientos_2026[[#This Row],[Fecha]],2)),'5. Setup'!$D$6:$E$12,2,FALSE)</f>
        <v>Sab</v>
      </c>
      <c r="E4530" t="str">
        <f>IFERROR(+VLOOKUP(Movimientos_2026[[#This Row],[Codigo]],Plan_cuentas[],2,FALSE)," ")</f>
        <v xml:space="preserve"> </v>
      </c>
      <c r="F4530" t="str">
        <f>IFERROR(+VLOOKUP(Movimientos_2026[[#This Row],[Codigo]],Plan_cuentas[],3,FALSE)," ")</f>
        <v xml:space="preserve"> </v>
      </c>
      <c r="G4530" t="str">
        <f>IFERROR(+VLOOKUP(Movimientos_2026[[#This Row],[Codigo]],Plan_cuentas[],4,FALSE)," ")</f>
        <v xml:space="preserve"> </v>
      </c>
      <c r="H4530" t="str">
        <f>IFERROR(+VLOOKUP(Movimientos_2026[[#This Row],[Codigo]],Plan_cuentas[],5,FALSE)," ")</f>
        <v xml:space="preserve"> </v>
      </c>
      <c r="I4530" s="43"/>
      <c r="K4530" t="str">
        <f>IFERROR(+VLOOKUP(Movimientos_2026[[#This Row],[Codigo]],Plan_cuentas[],6,FALSE)," ")</f>
        <v xml:space="preserve"> </v>
      </c>
      <c r="L4530" s="50"/>
      <c r="M4530" s="50"/>
      <c r="N4530" s="20">
        <f>+Movimientos_2026[[#This Row],[Ingresos]]-Movimientos_2026[[#This Row],[Egresos]]</f>
        <v>0</v>
      </c>
      <c r="O4530" s="20">
        <f>+O4529+Movimientos_2026[[#This Row],[Neto]]</f>
        <v>4581558617.7962294</v>
      </c>
    </row>
    <row r="4531" spans="1:15" x14ac:dyDescent="0.25">
      <c r="A4531" s="13"/>
      <c r="B4531" s="12">
        <f>MONTH(Movimientos_2026[[#This Row],[Fecha]])</f>
        <v>1</v>
      </c>
      <c r="C4531" s="12" t="str">
        <f>VLOOKUP((WEEKDAY(Movimientos_2026[[#This Row],[Fecha]],2)),'5. Setup'!$D$6:$E$12,2,FALSE)</f>
        <v>Sab</v>
      </c>
      <c r="E4531" t="str">
        <f>IFERROR(+VLOOKUP(Movimientos_2026[[#This Row],[Codigo]],Plan_cuentas[],2,FALSE)," ")</f>
        <v xml:space="preserve"> </v>
      </c>
      <c r="F4531" t="str">
        <f>IFERROR(+VLOOKUP(Movimientos_2026[[#This Row],[Codigo]],Plan_cuentas[],3,FALSE)," ")</f>
        <v xml:space="preserve"> </v>
      </c>
      <c r="G4531" t="str">
        <f>IFERROR(+VLOOKUP(Movimientos_2026[[#This Row],[Codigo]],Plan_cuentas[],4,FALSE)," ")</f>
        <v xml:space="preserve"> </v>
      </c>
      <c r="H4531" t="str">
        <f>IFERROR(+VLOOKUP(Movimientos_2026[[#This Row],[Codigo]],Plan_cuentas[],5,FALSE)," ")</f>
        <v xml:space="preserve"> </v>
      </c>
      <c r="I4531" s="43"/>
      <c r="K4531" t="str">
        <f>IFERROR(+VLOOKUP(Movimientos_2026[[#This Row],[Codigo]],Plan_cuentas[],6,FALSE)," ")</f>
        <v xml:space="preserve"> </v>
      </c>
      <c r="L4531" s="50"/>
      <c r="M4531" s="50"/>
      <c r="N4531" s="20">
        <f>+Movimientos_2026[[#This Row],[Ingresos]]-Movimientos_2026[[#This Row],[Egresos]]</f>
        <v>0</v>
      </c>
      <c r="O4531" s="20">
        <f>+O4530+Movimientos_2026[[#This Row],[Neto]]</f>
        <v>4581558617.7962294</v>
      </c>
    </row>
    <row r="4532" spans="1:15" x14ac:dyDescent="0.25">
      <c r="A4532" s="13"/>
      <c r="B4532" s="12">
        <f>MONTH(Movimientos_2026[[#This Row],[Fecha]])</f>
        <v>1</v>
      </c>
      <c r="C4532" s="12" t="str">
        <f>VLOOKUP((WEEKDAY(Movimientos_2026[[#This Row],[Fecha]],2)),'5. Setup'!$D$6:$E$12,2,FALSE)</f>
        <v>Sab</v>
      </c>
      <c r="E4532" t="str">
        <f>IFERROR(+VLOOKUP(Movimientos_2026[[#This Row],[Codigo]],Plan_cuentas[],2,FALSE)," ")</f>
        <v xml:space="preserve"> </v>
      </c>
      <c r="F4532" t="str">
        <f>IFERROR(+VLOOKUP(Movimientos_2026[[#This Row],[Codigo]],Plan_cuentas[],3,FALSE)," ")</f>
        <v xml:space="preserve"> </v>
      </c>
      <c r="G4532" t="str">
        <f>IFERROR(+VLOOKUP(Movimientos_2026[[#This Row],[Codigo]],Plan_cuentas[],4,FALSE)," ")</f>
        <v xml:space="preserve"> </v>
      </c>
      <c r="H4532" t="str">
        <f>IFERROR(+VLOOKUP(Movimientos_2026[[#This Row],[Codigo]],Plan_cuentas[],5,FALSE)," ")</f>
        <v xml:space="preserve"> </v>
      </c>
      <c r="I4532" s="43"/>
      <c r="K4532" t="str">
        <f>IFERROR(+VLOOKUP(Movimientos_2026[[#This Row],[Codigo]],Plan_cuentas[],6,FALSE)," ")</f>
        <v xml:space="preserve"> </v>
      </c>
      <c r="L4532" s="50"/>
      <c r="M4532" s="50"/>
      <c r="N4532" s="20">
        <f>+Movimientos_2026[[#This Row],[Ingresos]]-Movimientos_2026[[#This Row],[Egresos]]</f>
        <v>0</v>
      </c>
      <c r="O4532" s="20">
        <f>+O4531+Movimientos_2026[[#This Row],[Neto]]</f>
        <v>4581558617.7962294</v>
      </c>
    </row>
    <row r="4533" spans="1:15" x14ac:dyDescent="0.25">
      <c r="A4533" s="13"/>
      <c r="B4533" s="12">
        <f>MONTH(Movimientos_2026[[#This Row],[Fecha]])</f>
        <v>1</v>
      </c>
      <c r="C4533" s="12" t="str">
        <f>VLOOKUP((WEEKDAY(Movimientos_2026[[#This Row],[Fecha]],2)),'5. Setup'!$D$6:$E$12,2,FALSE)</f>
        <v>Sab</v>
      </c>
      <c r="E4533" t="str">
        <f>IFERROR(+VLOOKUP(Movimientos_2026[[#This Row],[Codigo]],Plan_cuentas[],2,FALSE)," ")</f>
        <v xml:space="preserve"> </v>
      </c>
      <c r="F4533" t="str">
        <f>IFERROR(+VLOOKUP(Movimientos_2026[[#This Row],[Codigo]],Plan_cuentas[],3,FALSE)," ")</f>
        <v xml:space="preserve"> </v>
      </c>
      <c r="G4533" t="str">
        <f>IFERROR(+VLOOKUP(Movimientos_2026[[#This Row],[Codigo]],Plan_cuentas[],4,FALSE)," ")</f>
        <v xml:space="preserve"> </v>
      </c>
      <c r="H4533" t="str">
        <f>IFERROR(+VLOOKUP(Movimientos_2026[[#This Row],[Codigo]],Plan_cuentas[],5,FALSE)," ")</f>
        <v xml:space="preserve"> </v>
      </c>
      <c r="I4533" s="43"/>
      <c r="K4533" t="str">
        <f>IFERROR(+VLOOKUP(Movimientos_2026[[#This Row],[Codigo]],Plan_cuentas[],6,FALSE)," ")</f>
        <v xml:space="preserve"> </v>
      </c>
      <c r="L4533" s="50"/>
      <c r="M4533" s="50"/>
      <c r="N4533" s="20">
        <f>+Movimientos_2026[[#This Row],[Ingresos]]-Movimientos_2026[[#This Row],[Egresos]]</f>
        <v>0</v>
      </c>
      <c r="O4533" s="20">
        <f>+O4532+Movimientos_2026[[#This Row],[Neto]]</f>
        <v>4581558617.7962294</v>
      </c>
    </row>
    <row r="4534" spans="1:15" x14ac:dyDescent="0.25">
      <c r="A4534" s="13"/>
      <c r="B4534" s="12">
        <f>MONTH(Movimientos_2026[[#This Row],[Fecha]])</f>
        <v>1</v>
      </c>
      <c r="C4534" s="12" t="str">
        <f>VLOOKUP((WEEKDAY(Movimientos_2026[[#This Row],[Fecha]],2)),'5. Setup'!$D$6:$E$12,2,FALSE)</f>
        <v>Sab</v>
      </c>
      <c r="E4534" t="str">
        <f>IFERROR(+VLOOKUP(Movimientos_2026[[#This Row],[Codigo]],Plan_cuentas[],2,FALSE)," ")</f>
        <v xml:space="preserve"> </v>
      </c>
      <c r="F4534" t="str">
        <f>IFERROR(+VLOOKUP(Movimientos_2026[[#This Row],[Codigo]],Plan_cuentas[],3,FALSE)," ")</f>
        <v xml:space="preserve"> </v>
      </c>
      <c r="G4534" t="str">
        <f>IFERROR(+VLOOKUP(Movimientos_2026[[#This Row],[Codigo]],Plan_cuentas[],4,FALSE)," ")</f>
        <v xml:space="preserve"> </v>
      </c>
      <c r="H4534" t="str">
        <f>IFERROR(+VLOOKUP(Movimientos_2026[[#This Row],[Codigo]],Plan_cuentas[],5,FALSE)," ")</f>
        <v xml:space="preserve"> </v>
      </c>
      <c r="I4534" s="43"/>
      <c r="K4534" t="str">
        <f>IFERROR(+VLOOKUP(Movimientos_2026[[#This Row],[Codigo]],Plan_cuentas[],6,FALSE)," ")</f>
        <v xml:space="preserve"> </v>
      </c>
      <c r="L4534" s="50"/>
      <c r="M4534" s="50"/>
      <c r="N4534" s="20">
        <f>+Movimientos_2026[[#This Row],[Ingresos]]-Movimientos_2026[[#This Row],[Egresos]]</f>
        <v>0</v>
      </c>
      <c r="O4534" s="20">
        <f>+O4533+Movimientos_2026[[#This Row],[Neto]]</f>
        <v>4581558617.7962294</v>
      </c>
    </row>
    <row r="4535" spans="1:15" x14ac:dyDescent="0.25">
      <c r="A4535" s="13"/>
      <c r="B4535" s="12">
        <f>MONTH(Movimientos_2026[[#This Row],[Fecha]])</f>
        <v>1</v>
      </c>
      <c r="C4535" s="12" t="str">
        <f>VLOOKUP((WEEKDAY(Movimientos_2026[[#This Row],[Fecha]],2)),'5. Setup'!$D$6:$E$12,2,FALSE)</f>
        <v>Sab</v>
      </c>
      <c r="E4535" t="str">
        <f>IFERROR(+VLOOKUP(Movimientos_2026[[#This Row],[Codigo]],Plan_cuentas[],2,FALSE)," ")</f>
        <v xml:space="preserve"> </v>
      </c>
      <c r="F4535" t="str">
        <f>IFERROR(+VLOOKUP(Movimientos_2026[[#This Row],[Codigo]],Plan_cuentas[],3,FALSE)," ")</f>
        <v xml:space="preserve"> </v>
      </c>
      <c r="G4535" t="str">
        <f>IFERROR(+VLOOKUP(Movimientos_2026[[#This Row],[Codigo]],Plan_cuentas[],4,FALSE)," ")</f>
        <v xml:space="preserve"> </v>
      </c>
      <c r="H4535" t="str">
        <f>IFERROR(+VLOOKUP(Movimientos_2026[[#This Row],[Codigo]],Plan_cuentas[],5,FALSE)," ")</f>
        <v xml:space="preserve"> </v>
      </c>
      <c r="I4535" s="43"/>
      <c r="K4535" t="str">
        <f>IFERROR(+VLOOKUP(Movimientos_2026[[#This Row],[Codigo]],Plan_cuentas[],6,FALSE)," ")</f>
        <v xml:space="preserve"> </v>
      </c>
      <c r="L4535" s="50"/>
      <c r="M4535" s="50"/>
      <c r="N4535" s="20">
        <f>+Movimientos_2026[[#This Row],[Ingresos]]-Movimientos_2026[[#This Row],[Egresos]]</f>
        <v>0</v>
      </c>
      <c r="O4535" s="20">
        <f>+O4534+Movimientos_2026[[#This Row],[Neto]]</f>
        <v>4581558617.7962294</v>
      </c>
    </row>
    <row r="4536" spans="1:15" x14ac:dyDescent="0.25">
      <c r="A4536" s="13"/>
      <c r="B4536" s="12">
        <f>MONTH(Movimientos_2026[[#This Row],[Fecha]])</f>
        <v>1</v>
      </c>
      <c r="C4536" s="12" t="str">
        <f>VLOOKUP((WEEKDAY(Movimientos_2026[[#This Row],[Fecha]],2)),'5. Setup'!$D$6:$E$12,2,FALSE)</f>
        <v>Sab</v>
      </c>
      <c r="E4536" t="str">
        <f>IFERROR(+VLOOKUP(Movimientos_2026[[#This Row],[Codigo]],Plan_cuentas[],2,FALSE)," ")</f>
        <v xml:space="preserve"> </v>
      </c>
      <c r="F4536" t="str">
        <f>IFERROR(+VLOOKUP(Movimientos_2026[[#This Row],[Codigo]],Plan_cuentas[],3,FALSE)," ")</f>
        <v xml:space="preserve"> </v>
      </c>
      <c r="G4536" t="str">
        <f>IFERROR(+VLOOKUP(Movimientos_2026[[#This Row],[Codigo]],Plan_cuentas[],4,FALSE)," ")</f>
        <v xml:space="preserve"> </v>
      </c>
      <c r="H4536" t="str">
        <f>IFERROR(+VLOOKUP(Movimientos_2026[[#This Row],[Codigo]],Plan_cuentas[],5,FALSE)," ")</f>
        <v xml:space="preserve"> </v>
      </c>
      <c r="I4536" s="43"/>
      <c r="K4536" t="str">
        <f>IFERROR(+VLOOKUP(Movimientos_2026[[#This Row],[Codigo]],Plan_cuentas[],6,FALSE)," ")</f>
        <v xml:space="preserve"> </v>
      </c>
      <c r="L4536" s="50"/>
      <c r="M4536" s="50"/>
      <c r="N4536" s="20">
        <f>+Movimientos_2026[[#This Row],[Ingresos]]-Movimientos_2026[[#This Row],[Egresos]]</f>
        <v>0</v>
      </c>
      <c r="O4536" s="20">
        <f>+O4535+Movimientos_2026[[#This Row],[Neto]]</f>
        <v>4581558617.7962294</v>
      </c>
    </row>
    <row r="4537" spans="1:15" x14ac:dyDescent="0.25">
      <c r="A4537" s="13"/>
      <c r="B4537" s="12">
        <f>MONTH(Movimientos_2026[[#This Row],[Fecha]])</f>
        <v>1</v>
      </c>
      <c r="C4537" s="12" t="str">
        <f>VLOOKUP((WEEKDAY(Movimientos_2026[[#This Row],[Fecha]],2)),'5. Setup'!$D$6:$E$12,2,FALSE)</f>
        <v>Sab</v>
      </c>
      <c r="E4537" t="str">
        <f>IFERROR(+VLOOKUP(Movimientos_2026[[#This Row],[Codigo]],Plan_cuentas[],2,FALSE)," ")</f>
        <v xml:space="preserve"> </v>
      </c>
      <c r="F4537" t="str">
        <f>IFERROR(+VLOOKUP(Movimientos_2026[[#This Row],[Codigo]],Plan_cuentas[],3,FALSE)," ")</f>
        <v xml:space="preserve"> </v>
      </c>
      <c r="G4537" t="str">
        <f>IFERROR(+VLOOKUP(Movimientos_2026[[#This Row],[Codigo]],Plan_cuentas[],4,FALSE)," ")</f>
        <v xml:space="preserve"> </v>
      </c>
      <c r="H4537" t="str">
        <f>IFERROR(+VLOOKUP(Movimientos_2026[[#This Row],[Codigo]],Plan_cuentas[],5,FALSE)," ")</f>
        <v xml:space="preserve"> </v>
      </c>
      <c r="I4537" s="43"/>
      <c r="K4537" t="str">
        <f>IFERROR(+VLOOKUP(Movimientos_2026[[#This Row],[Codigo]],Plan_cuentas[],6,FALSE)," ")</f>
        <v xml:space="preserve"> </v>
      </c>
      <c r="L4537" s="50"/>
      <c r="M4537" s="50"/>
      <c r="N4537" s="20">
        <f>+Movimientos_2026[[#This Row],[Ingresos]]-Movimientos_2026[[#This Row],[Egresos]]</f>
        <v>0</v>
      </c>
      <c r="O4537" s="20">
        <f>+O4536+Movimientos_2026[[#This Row],[Neto]]</f>
        <v>4581558617.7962294</v>
      </c>
    </row>
    <row r="4538" spans="1:15" x14ac:dyDescent="0.25">
      <c r="A4538" s="13"/>
      <c r="B4538" s="12">
        <f>MONTH(Movimientos_2026[[#This Row],[Fecha]])</f>
        <v>1</v>
      </c>
      <c r="C4538" s="12" t="str">
        <f>VLOOKUP((WEEKDAY(Movimientos_2026[[#This Row],[Fecha]],2)),'5. Setup'!$D$6:$E$12,2,FALSE)</f>
        <v>Sab</v>
      </c>
      <c r="E4538" t="str">
        <f>IFERROR(+VLOOKUP(Movimientos_2026[[#This Row],[Codigo]],Plan_cuentas[],2,FALSE)," ")</f>
        <v xml:space="preserve"> </v>
      </c>
      <c r="F4538" t="str">
        <f>IFERROR(+VLOOKUP(Movimientos_2026[[#This Row],[Codigo]],Plan_cuentas[],3,FALSE)," ")</f>
        <v xml:space="preserve"> </v>
      </c>
      <c r="G4538" t="str">
        <f>IFERROR(+VLOOKUP(Movimientos_2026[[#This Row],[Codigo]],Plan_cuentas[],4,FALSE)," ")</f>
        <v xml:space="preserve"> </v>
      </c>
      <c r="H4538" t="str">
        <f>IFERROR(+VLOOKUP(Movimientos_2026[[#This Row],[Codigo]],Plan_cuentas[],5,FALSE)," ")</f>
        <v xml:space="preserve"> </v>
      </c>
      <c r="I4538" s="43"/>
      <c r="K4538" t="str">
        <f>IFERROR(+VLOOKUP(Movimientos_2026[[#This Row],[Codigo]],Plan_cuentas[],6,FALSE)," ")</f>
        <v xml:space="preserve"> </v>
      </c>
      <c r="L4538" s="50"/>
      <c r="M4538" s="50"/>
      <c r="N4538" s="20">
        <f>+Movimientos_2026[[#This Row],[Ingresos]]-Movimientos_2026[[#This Row],[Egresos]]</f>
        <v>0</v>
      </c>
      <c r="O4538" s="20">
        <f>+O4537+Movimientos_2026[[#This Row],[Neto]]</f>
        <v>4581558617.7962294</v>
      </c>
    </row>
    <row r="4539" spans="1:15" x14ac:dyDescent="0.25">
      <c r="A4539" s="13"/>
      <c r="B4539" s="12">
        <f>MONTH(Movimientos_2026[[#This Row],[Fecha]])</f>
        <v>1</v>
      </c>
      <c r="C4539" s="12" t="str">
        <f>VLOOKUP((WEEKDAY(Movimientos_2026[[#This Row],[Fecha]],2)),'5. Setup'!$D$6:$E$12,2,FALSE)</f>
        <v>Sab</v>
      </c>
      <c r="E4539" t="str">
        <f>IFERROR(+VLOOKUP(Movimientos_2026[[#This Row],[Codigo]],Plan_cuentas[],2,FALSE)," ")</f>
        <v xml:space="preserve"> </v>
      </c>
      <c r="F4539" t="str">
        <f>IFERROR(+VLOOKUP(Movimientos_2026[[#This Row],[Codigo]],Plan_cuentas[],3,FALSE)," ")</f>
        <v xml:space="preserve"> </v>
      </c>
      <c r="G4539" t="str">
        <f>IFERROR(+VLOOKUP(Movimientos_2026[[#This Row],[Codigo]],Plan_cuentas[],4,FALSE)," ")</f>
        <v xml:space="preserve"> </v>
      </c>
      <c r="H4539" t="str">
        <f>IFERROR(+VLOOKUP(Movimientos_2026[[#This Row],[Codigo]],Plan_cuentas[],5,FALSE)," ")</f>
        <v xml:space="preserve"> </v>
      </c>
      <c r="I4539" s="43"/>
      <c r="K4539" t="str">
        <f>IFERROR(+VLOOKUP(Movimientos_2026[[#This Row],[Codigo]],Plan_cuentas[],6,FALSE)," ")</f>
        <v xml:space="preserve"> </v>
      </c>
      <c r="L4539" s="50"/>
      <c r="M4539" s="50"/>
      <c r="N4539" s="20">
        <f>+Movimientos_2026[[#This Row],[Ingresos]]-Movimientos_2026[[#This Row],[Egresos]]</f>
        <v>0</v>
      </c>
      <c r="O4539" s="20">
        <f>+O4538+Movimientos_2026[[#This Row],[Neto]]</f>
        <v>4581558617.7962294</v>
      </c>
    </row>
    <row r="4540" spans="1:15" x14ac:dyDescent="0.25">
      <c r="A4540" s="13"/>
      <c r="B4540" s="12">
        <f>MONTH(Movimientos_2026[[#This Row],[Fecha]])</f>
        <v>1</v>
      </c>
      <c r="C4540" s="12" t="str">
        <f>VLOOKUP((WEEKDAY(Movimientos_2026[[#This Row],[Fecha]],2)),'5. Setup'!$D$6:$E$12,2,FALSE)</f>
        <v>Sab</v>
      </c>
      <c r="E4540" t="str">
        <f>IFERROR(+VLOOKUP(Movimientos_2026[[#This Row],[Codigo]],Plan_cuentas[],2,FALSE)," ")</f>
        <v xml:space="preserve"> </v>
      </c>
      <c r="F4540" t="str">
        <f>IFERROR(+VLOOKUP(Movimientos_2026[[#This Row],[Codigo]],Plan_cuentas[],3,FALSE)," ")</f>
        <v xml:space="preserve"> </v>
      </c>
      <c r="G4540" t="str">
        <f>IFERROR(+VLOOKUP(Movimientos_2026[[#This Row],[Codigo]],Plan_cuentas[],4,FALSE)," ")</f>
        <v xml:space="preserve"> </v>
      </c>
      <c r="H4540" t="str">
        <f>IFERROR(+VLOOKUP(Movimientos_2026[[#This Row],[Codigo]],Plan_cuentas[],5,FALSE)," ")</f>
        <v xml:space="preserve"> </v>
      </c>
      <c r="I4540" s="43"/>
      <c r="K4540" t="str">
        <f>IFERROR(+VLOOKUP(Movimientos_2026[[#This Row],[Codigo]],Plan_cuentas[],6,FALSE)," ")</f>
        <v xml:space="preserve"> </v>
      </c>
      <c r="L4540" s="50"/>
      <c r="M4540" s="50"/>
      <c r="N4540" s="20">
        <f>+Movimientos_2026[[#This Row],[Ingresos]]-Movimientos_2026[[#This Row],[Egresos]]</f>
        <v>0</v>
      </c>
      <c r="O4540" s="20">
        <f>+O4539+Movimientos_2026[[#This Row],[Neto]]</f>
        <v>4581558617.7962294</v>
      </c>
    </row>
    <row r="4541" spans="1:15" x14ac:dyDescent="0.25">
      <c r="A4541" s="13"/>
      <c r="B4541" s="12">
        <f>MONTH(Movimientos_2026[[#This Row],[Fecha]])</f>
        <v>1</v>
      </c>
      <c r="C4541" s="12" t="str">
        <f>VLOOKUP((WEEKDAY(Movimientos_2026[[#This Row],[Fecha]],2)),'5. Setup'!$D$6:$E$12,2,FALSE)</f>
        <v>Sab</v>
      </c>
      <c r="E4541" t="str">
        <f>IFERROR(+VLOOKUP(Movimientos_2026[[#This Row],[Codigo]],Plan_cuentas[],2,FALSE)," ")</f>
        <v xml:space="preserve"> </v>
      </c>
      <c r="F4541" t="str">
        <f>IFERROR(+VLOOKUP(Movimientos_2026[[#This Row],[Codigo]],Plan_cuentas[],3,FALSE)," ")</f>
        <v xml:space="preserve"> </v>
      </c>
      <c r="G4541" t="str">
        <f>IFERROR(+VLOOKUP(Movimientos_2026[[#This Row],[Codigo]],Plan_cuentas[],4,FALSE)," ")</f>
        <v xml:space="preserve"> </v>
      </c>
      <c r="H4541" t="str">
        <f>IFERROR(+VLOOKUP(Movimientos_2026[[#This Row],[Codigo]],Plan_cuentas[],5,FALSE)," ")</f>
        <v xml:space="preserve"> </v>
      </c>
      <c r="I4541" s="43"/>
      <c r="K4541" t="str">
        <f>IFERROR(+VLOOKUP(Movimientos_2026[[#This Row],[Codigo]],Plan_cuentas[],6,FALSE)," ")</f>
        <v xml:space="preserve"> </v>
      </c>
      <c r="L4541" s="50"/>
      <c r="M4541" s="50"/>
      <c r="N4541" s="20">
        <f>+Movimientos_2026[[#This Row],[Ingresos]]-Movimientos_2026[[#This Row],[Egresos]]</f>
        <v>0</v>
      </c>
      <c r="O4541" s="20">
        <f>+O4540+Movimientos_2026[[#This Row],[Neto]]</f>
        <v>4581558617.7962294</v>
      </c>
    </row>
    <row r="4542" spans="1:15" x14ac:dyDescent="0.25">
      <c r="A4542" s="13"/>
      <c r="B4542" s="12">
        <f>MONTH(Movimientos_2026[[#This Row],[Fecha]])</f>
        <v>1</v>
      </c>
      <c r="C4542" s="12" t="str">
        <f>VLOOKUP((WEEKDAY(Movimientos_2026[[#This Row],[Fecha]],2)),'5. Setup'!$D$6:$E$12,2,FALSE)</f>
        <v>Sab</v>
      </c>
      <c r="E4542" t="str">
        <f>IFERROR(+VLOOKUP(Movimientos_2026[[#This Row],[Codigo]],Plan_cuentas[],2,FALSE)," ")</f>
        <v xml:space="preserve"> </v>
      </c>
      <c r="F4542" t="str">
        <f>IFERROR(+VLOOKUP(Movimientos_2026[[#This Row],[Codigo]],Plan_cuentas[],3,FALSE)," ")</f>
        <v xml:space="preserve"> </v>
      </c>
      <c r="G4542" t="str">
        <f>IFERROR(+VLOOKUP(Movimientos_2026[[#This Row],[Codigo]],Plan_cuentas[],4,FALSE)," ")</f>
        <v xml:space="preserve"> </v>
      </c>
      <c r="H4542" t="str">
        <f>IFERROR(+VLOOKUP(Movimientos_2026[[#This Row],[Codigo]],Plan_cuentas[],5,FALSE)," ")</f>
        <v xml:space="preserve"> </v>
      </c>
      <c r="I4542" s="43"/>
      <c r="K4542" t="str">
        <f>IFERROR(+VLOOKUP(Movimientos_2026[[#This Row],[Codigo]],Plan_cuentas[],6,FALSE)," ")</f>
        <v xml:space="preserve"> </v>
      </c>
      <c r="L4542" s="50"/>
      <c r="M4542" s="50"/>
      <c r="N4542" s="20">
        <f>+Movimientos_2026[[#This Row],[Ingresos]]-Movimientos_2026[[#This Row],[Egresos]]</f>
        <v>0</v>
      </c>
      <c r="O4542" s="20">
        <f>+O4541+Movimientos_2026[[#This Row],[Neto]]</f>
        <v>4581558617.7962294</v>
      </c>
    </row>
    <row r="4543" spans="1:15" x14ac:dyDescent="0.25">
      <c r="A4543" s="13"/>
      <c r="B4543" s="12">
        <f>MONTH(Movimientos_2026[[#This Row],[Fecha]])</f>
        <v>1</v>
      </c>
      <c r="C4543" s="12" t="str">
        <f>VLOOKUP((WEEKDAY(Movimientos_2026[[#This Row],[Fecha]],2)),'5. Setup'!$D$6:$E$12,2,FALSE)</f>
        <v>Sab</v>
      </c>
      <c r="E4543" t="str">
        <f>IFERROR(+VLOOKUP(Movimientos_2026[[#This Row],[Codigo]],Plan_cuentas[],2,FALSE)," ")</f>
        <v xml:space="preserve"> </v>
      </c>
      <c r="F4543" t="str">
        <f>IFERROR(+VLOOKUP(Movimientos_2026[[#This Row],[Codigo]],Plan_cuentas[],3,FALSE)," ")</f>
        <v xml:space="preserve"> </v>
      </c>
      <c r="G4543" t="str">
        <f>IFERROR(+VLOOKUP(Movimientos_2026[[#This Row],[Codigo]],Plan_cuentas[],4,FALSE)," ")</f>
        <v xml:space="preserve"> </v>
      </c>
      <c r="H4543" t="str">
        <f>IFERROR(+VLOOKUP(Movimientos_2026[[#This Row],[Codigo]],Plan_cuentas[],5,FALSE)," ")</f>
        <v xml:space="preserve"> </v>
      </c>
      <c r="I4543" s="43"/>
      <c r="K4543" t="str">
        <f>IFERROR(+VLOOKUP(Movimientos_2026[[#This Row],[Codigo]],Plan_cuentas[],6,FALSE)," ")</f>
        <v xml:space="preserve"> </v>
      </c>
      <c r="L4543" s="50"/>
      <c r="M4543" s="50"/>
      <c r="N4543" s="20">
        <f>+Movimientos_2026[[#This Row],[Ingresos]]-Movimientos_2026[[#This Row],[Egresos]]</f>
        <v>0</v>
      </c>
      <c r="O4543" s="20">
        <f>+O4542+Movimientos_2026[[#This Row],[Neto]]</f>
        <v>4581558617.7962294</v>
      </c>
    </row>
    <row r="4544" spans="1:15" x14ac:dyDescent="0.25">
      <c r="A4544" s="13"/>
      <c r="B4544" s="12">
        <f>MONTH(Movimientos_2026[[#This Row],[Fecha]])</f>
        <v>1</v>
      </c>
      <c r="C4544" s="12" t="str">
        <f>VLOOKUP((WEEKDAY(Movimientos_2026[[#This Row],[Fecha]],2)),'5. Setup'!$D$6:$E$12,2,FALSE)</f>
        <v>Sab</v>
      </c>
      <c r="E4544" t="str">
        <f>IFERROR(+VLOOKUP(Movimientos_2026[[#This Row],[Codigo]],Plan_cuentas[],2,FALSE)," ")</f>
        <v xml:space="preserve"> </v>
      </c>
      <c r="F4544" t="str">
        <f>IFERROR(+VLOOKUP(Movimientos_2026[[#This Row],[Codigo]],Plan_cuentas[],3,FALSE)," ")</f>
        <v xml:space="preserve"> </v>
      </c>
      <c r="G4544" t="str">
        <f>IFERROR(+VLOOKUP(Movimientos_2026[[#This Row],[Codigo]],Plan_cuentas[],4,FALSE)," ")</f>
        <v xml:space="preserve"> </v>
      </c>
      <c r="H4544" t="str">
        <f>IFERROR(+VLOOKUP(Movimientos_2026[[#This Row],[Codigo]],Plan_cuentas[],5,FALSE)," ")</f>
        <v xml:space="preserve"> </v>
      </c>
      <c r="I4544" s="43"/>
      <c r="K4544" t="str">
        <f>IFERROR(+VLOOKUP(Movimientos_2026[[#This Row],[Codigo]],Plan_cuentas[],6,FALSE)," ")</f>
        <v xml:space="preserve"> </v>
      </c>
      <c r="L4544" s="50"/>
      <c r="M4544" s="50"/>
      <c r="N4544" s="20">
        <f>+Movimientos_2026[[#This Row],[Ingresos]]-Movimientos_2026[[#This Row],[Egresos]]</f>
        <v>0</v>
      </c>
      <c r="O4544" s="20">
        <f>+O4543+Movimientos_2026[[#This Row],[Neto]]</f>
        <v>4581558617.7962294</v>
      </c>
    </row>
    <row r="4545" spans="1:15" x14ac:dyDescent="0.25">
      <c r="A4545" s="13"/>
      <c r="B4545" s="12">
        <f>MONTH(Movimientos_2026[[#This Row],[Fecha]])</f>
        <v>1</v>
      </c>
      <c r="C4545" s="12" t="str">
        <f>VLOOKUP((WEEKDAY(Movimientos_2026[[#This Row],[Fecha]],2)),'5. Setup'!$D$6:$E$12,2,FALSE)</f>
        <v>Sab</v>
      </c>
      <c r="E4545" t="str">
        <f>IFERROR(+VLOOKUP(Movimientos_2026[[#This Row],[Codigo]],Plan_cuentas[],2,FALSE)," ")</f>
        <v xml:space="preserve"> </v>
      </c>
      <c r="F4545" t="str">
        <f>IFERROR(+VLOOKUP(Movimientos_2026[[#This Row],[Codigo]],Plan_cuentas[],3,FALSE)," ")</f>
        <v xml:space="preserve"> </v>
      </c>
      <c r="G4545" t="str">
        <f>IFERROR(+VLOOKUP(Movimientos_2026[[#This Row],[Codigo]],Plan_cuentas[],4,FALSE)," ")</f>
        <v xml:space="preserve"> </v>
      </c>
      <c r="H4545" t="str">
        <f>IFERROR(+VLOOKUP(Movimientos_2026[[#This Row],[Codigo]],Plan_cuentas[],5,FALSE)," ")</f>
        <v xml:space="preserve"> </v>
      </c>
      <c r="I4545" s="43"/>
      <c r="K4545" t="str">
        <f>IFERROR(+VLOOKUP(Movimientos_2026[[#This Row],[Codigo]],Plan_cuentas[],6,FALSE)," ")</f>
        <v xml:space="preserve"> </v>
      </c>
      <c r="L4545" s="50"/>
      <c r="M4545" s="50"/>
      <c r="N4545" s="20">
        <f>+Movimientos_2026[[#This Row],[Ingresos]]-Movimientos_2026[[#This Row],[Egresos]]</f>
        <v>0</v>
      </c>
      <c r="O4545" s="20">
        <f>+O4544+Movimientos_2026[[#This Row],[Neto]]</f>
        <v>4581558617.7962294</v>
      </c>
    </row>
    <row r="4546" spans="1:15" x14ac:dyDescent="0.25">
      <c r="A4546" s="13"/>
      <c r="B4546" s="12">
        <f>MONTH(Movimientos_2026[[#This Row],[Fecha]])</f>
        <v>1</v>
      </c>
      <c r="C4546" s="12" t="str">
        <f>VLOOKUP((WEEKDAY(Movimientos_2026[[#This Row],[Fecha]],2)),'5. Setup'!$D$6:$E$12,2,FALSE)</f>
        <v>Sab</v>
      </c>
      <c r="E4546" t="str">
        <f>IFERROR(+VLOOKUP(Movimientos_2026[[#This Row],[Codigo]],Plan_cuentas[],2,FALSE)," ")</f>
        <v xml:space="preserve"> </v>
      </c>
      <c r="F4546" t="str">
        <f>IFERROR(+VLOOKUP(Movimientos_2026[[#This Row],[Codigo]],Plan_cuentas[],3,FALSE)," ")</f>
        <v xml:space="preserve"> </v>
      </c>
      <c r="G4546" t="str">
        <f>IFERROR(+VLOOKUP(Movimientos_2026[[#This Row],[Codigo]],Plan_cuentas[],4,FALSE)," ")</f>
        <v xml:space="preserve"> </v>
      </c>
      <c r="H4546" t="str">
        <f>IFERROR(+VLOOKUP(Movimientos_2026[[#This Row],[Codigo]],Plan_cuentas[],5,FALSE)," ")</f>
        <v xml:space="preserve"> </v>
      </c>
      <c r="I4546" s="43"/>
      <c r="K4546" t="str">
        <f>IFERROR(+VLOOKUP(Movimientos_2026[[#This Row],[Codigo]],Plan_cuentas[],6,FALSE)," ")</f>
        <v xml:space="preserve"> </v>
      </c>
      <c r="L4546" s="50"/>
      <c r="M4546" s="50"/>
      <c r="N4546" s="20">
        <f>+Movimientos_2026[[#This Row],[Ingresos]]-Movimientos_2026[[#This Row],[Egresos]]</f>
        <v>0</v>
      </c>
      <c r="O4546" s="20">
        <f>+O4545+Movimientos_2026[[#This Row],[Neto]]</f>
        <v>4581558617.7962294</v>
      </c>
    </row>
    <row r="4547" spans="1:15" x14ac:dyDescent="0.25">
      <c r="A4547" s="13"/>
      <c r="B4547" s="12">
        <f>MONTH(Movimientos_2026[[#This Row],[Fecha]])</f>
        <v>1</v>
      </c>
      <c r="C4547" s="12" t="str">
        <f>VLOOKUP((WEEKDAY(Movimientos_2026[[#This Row],[Fecha]],2)),'5. Setup'!$D$6:$E$12,2,FALSE)</f>
        <v>Sab</v>
      </c>
      <c r="E4547" t="str">
        <f>IFERROR(+VLOOKUP(Movimientos_2026[[#This Row],[Codigo]],Plan_cuentas[],2,FALSE)," ")</f>
        <v xml:space="preserve"> </v>
      </c>
      <c r="F4547" t="str">
        <f>IFERROR(+VLOOKUP(Movimientos_2026[[#This Row],[Codigo]],Plan_cuentas[],3,FALSE)," ")</f>
        <v xml:space="preserve"> </v>
      </c>
      <c r="G4547" t="str">
        <f>IFERROR(+VLOOKUP(Movimientos_2026[[#This Row],[Codigo]],Plan_cuentas[],4,FALSE)," ")</f>
        <v xml:space="preserve"> </v>
      </c>
      <c r="H4547" t="str">
        <f>IFERROR(+VLOOKUP(Movimientos_2026[[#This Row],[Codigo]],Plan_cuentas[],5,FALSE)," ")</f>
        <v xml:space="preserve"> </v>
      </c>
      <c r="I4547" s="43"/>
      <c r="K4547" t="str">
        <f>IFERROR(+VLOOKUP(Movimientos_2026[[#This Row],[Codigo]],Plan_cuentas[],6,FALSE)," ")</f>
        <v xml:space="preserve"> </v>
      </c>
      <c r="L4547" s="50"/>
      <c r="M4547" s="50"/>
      <c r="N4547" s="20">
        <f>+Movimientos_2026[[#This Row],[Ingresos]]-Movimientos_2026[[#This Row],[Egresos]]</f>
        <v>0</v>
      </c>
      <c r="O4547" s="20">
        <f>+O4546+Movimientos_2026[[#This Row],[Neto]]</f>
        <v>4581558617.7962294</v>
      </c>
    </row>
    <row r="4548" spans="1:15" x14ac:dyDescent="0.25">
      <c r="A4548" s="13"/>
      <c r="B4548" s="12">
        <f>MONTH(Movimientos_2026[[#This Row],[Fecha]])</f>
        <v>1</v>
      </c>
      <c r="C4548" s="12" t="str">
        <f>VLOOKUP((WEEKDAY(Movimientos_2026[[#This Row],[Fecha]],2)),'5. Setup'!$D$6:$E$12,2,FALSE)</f>
        <v>Sab</v>
      </c>
      <c r="E4548" t="str">
        <f>IFERROR(+VLOOKUP(Movimientos_2026[[#This Row],[Codigo]],Plan_cuentas[],2,FALSE)," ")</f>
        <v xml:space="preserve"> </v>
      </c>
      <c r="F4548" t="str">
        <f>IFERROR(+VLOOKUP(Movimientos_2026[[#This Row],[Codigo]],Plan_cuentas[],3,FALSE)," ")</f>
        <v xml:space="preserve"> </v>
      </c>
      <c r="G4548" t="str">
        <f>IFERROR(+VLOOKUP(Movimientos_2026[[#This Row],[Codigo]],Plan_cuentas[],4,FALSE)," ")</f>
        <v xml:space="preserve"> </v>
      </c>
      <c r="H4548" t="str">
        <f>IFERROR(+VLOOKUP(Movimientos_2026[[#This Row],[Codigo]],Plan_cuentas[],5,FALSE)," ")</f>
        <v xml:space="preserve"> </v>
      </c>
      <c r="I4548" s="43"/>
      <c r="K4548" t="str">
        <f>IFERROR(+VLOOKUP(Movimientos_2026[[#This Row],[Codigo]],Plan_cuentas[],6,FALSE)," ")</f>
        <v xml:space="preserve"> </v>
      </c>
      <c r="L4548" s="50"/>
      <c r="M4548" s="50"/>
      <c r="N4548" s="20">
        <f>+Movimientos_2026[[#This Row],[Ingresos]]-Movimientos_2026[[#This Row],[Egresos]]</f>
        <v>0</v>
      </c>
      <c r="O4548" s="20">
        <f>+O4547+Movimientos_2026[[#This Row],[Neto]]</f>
        <v>4581558617.7962294</v>
      </c>
    </row>
    <row r="4549" spans="1:15" x14ac:dyDescent="0.25">
      <c r="A4549" s="13"/>
      <c r="B4549" s="12">
        <f>MONTH(Movimientos_2026[[#This Row],[Fecha]])</f>
        <v>1</v>
      </c>
      <c r="C4549" s="12" t="str">
        <f>VLOOKUP((WEEKDAY(Movimientos_2026[[#This Row],[Fecha]],2)),'5. Setup'!$D$6:$E$12,2,FALSE)</f>
        <v>Sab</v>
      </c>
      <c r="E4549" t="str">
        <f>IFERROR(+VLOOKUP(Movimientos_2026[[#This Row],[Codigo]],Plan_cuentas[],2,FALSE)," ")</f>
        <v xml:space="preserve"> </v>
      </c>
      <c r="F4549" t="str">
        <f>IFERROR(+VLOOKUP(Movimientos_2026[[#This Row],[Codigo]],Plan_cuentas[],3,FALSE)," ")</f>
        <v xml:space="preserve"> </v>
      </c>
      <c r="G4549" t="str">
        <f>IFERROR(+VLOOKUP(Movimientos_2026[[#This Row],[Codigo]],Plan_cuentas[],4,FALSE)," ")</f>
        <v xml:space="preserve"> </v>
      </c>
      <c r="H4549" t="str">
        <f>IFERROR(+VLOOKUP(Movimientos_2026[[#This Row],[Codigo]],Plan_cuentas[],5,FALSE)," ")</f>
        <v xml:space="preserve"> </v>
      </c>
      <c r="I4549" s="43"/>
      <c r="K4549" t="str">
        <f>IFERROR(+VLOOKUP(Movimientos_2026[[#This Row],[Codigo]],Plan_cuentas[],6,FALSE)," ")</f>
        <v xml:space="preserve"> </v>
      </c>
      <c r="L4549" s="50"/>
      <c r="M4549" s="50"/>
      <c r="N4549" s="20">
        <f>+Movimientos_2026[[#This Row],[Ingresos]]-Movimientos_2026[[#This Row],[Egresos]]</f>
        <v>0</v>
      </c>
      <c r="O4549" s="20">
        <f>+O4548+Movimientos_2026[[#This Row],[Neto]]</f>
        <v>4581558617.7962294</v>
      </c>
    </row>
    <row r="4550" spans="1:15" x14ac:dyDescent="0.25">
      <c r="A4550" s="13"/>
      <c r="B4550" s="12">
        <f>MONTH(Movimientos_2026[[#This Row],[Fecha]])</f>
        <v>1</v>
      </c>
      <c r="C4550" s="12" t="str">
        <f>VLOOKUP((WEEKDAY(Movimientos_2026[[#This Row],[Fecha]],2)),'5. Setup'!$D$6:$E$12,2,FALSE)</f>
        <v>Sab</v>
      </c>
      <c r="E4550" t="str">
        <f>IFERROR(+VLOOKUP(Movimientos_2026[[#This Row],[Codigo]],Plan_cuentas[],2,FALSE)," ")</f>
        <v xml:space="preserve"> </v>
      </c>
      <c r="F4550" t="str">
        <f>IFERROR(+VLOOKUP(Movimientos_2026[[#This Row],[Codigo]],Plan_cuentas[],3,FALSE)," ")</f>
        <v xml:space="preserve"> </v>
      </c>
      <c r="G4550" t="str">
        <f>IFERROR(+VLOOKUP(Movimientos_2026[[#This Row],[Codigo]],Plan_cuentas[],4,FALSE)," ")</f>
        <v xml:space="preserve"> </v>
      </c>
      <c r="H4550" t="str">
        <f>IFERROR(+VLOOKUP(Movimientos_2026[[#This Row],[Codigo]],Plan_cuentas[],5,FALSE)," ")</f>
        <v xml:space="preserve"> </v>
      </c>
      <c r="I4550" s="43"/>
      <c r="K4550" t="str">
        <f>IFERROR(+VLOOKUP(Movimientos_2026[[#This Row],[Codigo]],Plan_cuentas[],6,FALSE)," ")</f>
        <v xml:space="preserve"> </v>
      </c>
      <c r="L4550" s="50"/>
      <c r="M4550" s="50"/>
      <c r="N4550" s="20">
        <f>+Movimientos_2026[[#This Row],[Ingresos]]-Movimientos_2026[[#This Row],[Egresos]]</f>
        <v>0</v>
      </c>
      <c r="O4550" s="20">
        <f>+O4549+Movimientos_2026[[#This Row],[Neto]]</f>
        <v>4581558617.7962294</v>
      </c>
    </row>
    <row r="4551" spans="1:15" x14ac:dyDescent="0.25">
      <c r="A4551" s="13"/>
      <c r="B4551" s="12">
        <f>MONTH(Movimientos_2026[[#This Row],[Fecha]])</f>
        <v>1</v>
      </c>
      <c r="C4551" s="12" t="str">
        <f>VLOOKUP((WEEKDAY(Movimientos_2026[[#This Row],[Fecha]],2)),'5. Setup'!$D$6:$E$12,2,FALSE)</f>
        <v>Sab</v>
      </c>
      <c r="E4551" t="str">
        <f>IFERROR(+VLOOKUP(Movimientos_2026[[#This Row],[Codigo]],Plan_cuentas[],2,FALSE)," ")</f>
        <v xml:space="preserve"> </v>
      </c>
      <c r="F4551" t="str">
        <f>IFERROR(+VLOOKUP(Movimientos_2026[[#This Row],[Codigo]],Plan_cuentas[],3,FALSE)," ")</f>
        <v xml:space="preserve"> </v>
      </c>
      <c r="G4551" t="str">
        <f>IFERROR(+VLOOKUP(Movimientos_2026[[#This Row],[Codigo]],Plan_cuentas[],4,FALSE)," ")</f>
        <v xml:space="preserve"> </v>
      </c>
      <c r="H4551" t="str">
        <f>IFERROR(+VLOOKUP(Movimientos_2026[[#This Row],[Codigo]],Plan_cuentas[],5,FALSE)," ")</f>
        <v xml:space="preserve"> </v>
      </c>
      <c r="I4551" s="43"/>
      <c r="K4551" t="str">
        <f>IFERROR(+VLOOKUP(Movimientos_2026[[#This Row],[Codigo]],Plan_cuentas[],6,FALSE)," ")</f>
        <v xml:space="preserve"> </v>
      </c>
      <c r="L4551" s="50"/>
      <c r="M4551" s="50"/>
      <c r="N4551" s="20">
        <f>+Movimientos_2026[[#This Row],[Ingresos]]-Movimientos_2026[[#This Row],[Egresos]]</f>
        <v>0</v>
      </c>
      <c r="O4551" s="20">
        <f>+O4550+Movimientos_2026[[#This Row],[Neto]]</f>
        <v>4581558617.7962294</v>
      </c>
    </row>
    <row r="4552" spans="1:15" x14ac:dyDescent="0.25">
      <c r="A4552" s="13"/>
      <c r="B4552" s="12">
        <f>MONTH(Movimientos_2026[[#This Row],[Fecha]])</f>
        <v>1</v>
      </c>
      <c r="C4552" s="12" t="str">
        <f>VLOOKUP((WEEKDAY(Movimientos_2026[[#This Row],[Fecha]],2)),'5. Setup'!$D$6:$E$12,2,FALSE)</f>
        <v>Sab</v>
      </c>
      <c r="E4552" t="str">
        <f>IFERROR(+VLOOKUP(Movimientos_2026[[#This Row],[Codigo]],Plan_cuentas[],2,FALSE)," ")</f>
        <v xml:space="preserve"> </v>
      </c>
      <c r="F4552" t="str">
        <f>IFERROR(+VLOOKUP(Movimientos_2026[[#This Row],[Codigo]],Plan_cuentas[],3,FALSE)," ")</f>
        <v xml:space="preserve"> </v>
      </c>
      <c r="G4552" t="str">
        <f>IFERROR(+VLOOKUP(Movimientos_2026[[#This Row],[Codigo]],Plan_cuentas[],4,FALSE)," ")</f>
        <v xml:space="preserve"> </v>
      </c>
      <c r="H4552" t="str">
        <f>IFERROR(+VLOOKUP(Movimientos_2026[[#This Row],[Codigo]],Plan_cuentas[],5,FALSE)," ")</f>
        <v xml:space="preserve"> </v>
      </c>
      <c r="I4552" s="43"/>
      <c r="K4552" t="str">
        <f>IFERROR(+VLOOKUP(Movimientos_2026[[#This Row],[Codigo]],Plan_cuentas[],6,FALSE)," ")</f>
        <v xml:space="preserve"> </v>
      </c>
      <c r="L4552" s="50"/>
      <c r="M4552" s="50"/>
      <c r="N4552" s="20">
        <f>+Movimientos_2026[[#This Row],[Ingresos]]-Movimientos_2026[[#This Row],[Egresos]]</f>
        <v>0</v>
      </c>
      <c r="O4552" s="20">
        <f>+O4551+Movimientos_2026[[#This Row],[Neto]]</f>
        <v>4581558617.7962294</v>
      </c>
    </row>
    <row r="4553" spans="1:15" x14ac:dyDescent="0.25">
      <c r="A4553" s="13"/>
      <c r="B4553" s="12">
        <f>MONTH(Movimientos_2026[[#This Row],[Fecha]])</f>
        <v>1</v>
      </c>
      <c r="C4553" s="12" t="str">
        <f>VLOOKUP((WEEKDAY(Movimientos_2026[[#This Row],[Fecha]],2)),'5. Setup'!$D$6:$E$12,2,FALSE)</f>
        <v>Sab</v>
      </c>
      <c r="E4553" t="str">
        <f>IFERROR(+VLOOKUP(Movimientos_2026[[#This Row],[Codigo]],Plan_cuentas[],2,FALSE)," ")</f>
        <v xml:space="preserve"> </v>
      </c>
      <c r="F4553" t="str">
        <f>IFERROR(+VLOOKUP(Movimientos_2026[[#This Row],[Codigo]],Plan_cuentas[],3,FALSE)," ")</f>
        <v xml:space="preserve"> </v>
      </c>
      <c r="G4553" t="str">
        <f>IFERROR(+VLOOKUP(Movimientos_2026[[#This Row],[Codigo]],Plan_cuentas[],4,FALSE)," ")</f>
        <v xml:space="preserve"> </v>
      </c>
      <c r="H4553" t="str">
        <f>IFERROR(+VLOOKUP(Movimientos_2026[[#This Row],[Codigo]],Plan_cuentas[],5,FALSE)," ")</f>
        <v xml:space="preserve"> </v>
      </c>
      <c r="I4553" s="43"/>
      <c r="K4553" t="str">
        <f>IFERROR(+VLOOKUP(Movimientos_2026[[#This Row],[Codigo]],Plan_cuentas[],6,FALSE)," ")</f>
        <v xml:space="preserve"> </v>
      </c>
      <c r="L4553" s="50"/>
      <c r="M4553" s="50"/>
      <c r="N4553" s="20">
        <f>+Movimientos_2026[[#This Row],[Ingresos]]-Movimientos_2026[[#This Row],[Egresos]]</f>
        <v>0</v>
      </c>
      <c r="O4553" s="20">
        <f>+O4552+Movimientos_2026[[#This Row],[Neto]]</f>
        <v>4581558617.7962294</v>
      </c>
    </row>
    <row r="4554" spans="1:15" x14ac:dyDescent="0.25">
      <c r="A4554" s="13"/>
      <c r="B4554" s="12">
        <f>MONTH(Movimientos_2026[[#This Row],[Fecha]])</f>
        <v>1</v>
      </c>
      <c r="C4554" s="12" t="str">
        <f>VLOOKUP((WEEKDAY(Movimientos_2026[[#This Row],[Fecha]],2)),'5. Setup'!$D$6:$E$12,2,FALSE)</f>
        <v>Sab</v>
      </c>
      <c r="E4554" t="str">
        <f>IFERROR(+VLOOKUP(Movimientos_2026[[#This Row],[Codigo]],Plan_cuentas[],2,FALSE)," ")</f>
        <v xml:space="preserve"> </v>
      </c>
      <c r="F4554" t="str">
        <f>IFERROR(+VLOOKUP(Movimientos_2026[[#This Row],[Codigo]],Plan_cuentas[],3,FALSE)," ")</f>
        <v xml:space="preserve"> </v>
      </c>
      <c r="G4554" t="str">
        <f>IFERROR(+VLOOKUP(Movimientos_2026[[#This Row],[Codigo]],Plan_cuentas[],4,FALSE)," ")</f>
        <v xml:space="preserve"> </v>
      </c>
      <c r="H4554" t="str">
        <f>IFERROR(+VLOOKUP(Movimientos_2026[[#This Row],[Codigo]],Plan_cuentas[],5,FALSE)," ")</f>
        <v xml:space="preserve"> </v>
      </c>
      <c r="I4554" s="43"/>
      <c r="K4554" t="str">
        <f>IFERROR(+VLOOKUP(Movimientos_2026[[#This Row],[Codigo]],Plan_cuentas[],6,FALSE)," ")</f>
        <v xml:space="preserve"> </v>
      </c>
      <c r="L4554" s="50"/>
      <c r="M4554" s="50"/>
      <c r="N4554" s="20">
        <f>+Movimientos_2026[[#This Row],[Ingresos]]-Movimientos_2026[[#This Row],[Egresos]]</f>
        <v>0</v>
      </c>
      <c r="O4554" s="20">
        <f>+O4553+Movimientos_2026[[#This Row],[Neto]]</f>
        <v>4581558617.7962294</v>
      </c>
    </row>
    <row r="4555" spans="1:15" x14ac:dyDescent="0.25">
      <c r="A4555" s="13"/>
      <c r="B4555" s="12">
        <f>MONTH(Movimientos_2026[[#This Row],[Fecha]])</f>
        <v>1</v>
      </c>
      <c r="C4555" s="12" t="str">
        <f>VLOOKUP((WEEKDAY(Movimientos_2026[[#This Row],[Fecha]],2)),'5. Setup'!$D$6:$E$12,2,FALSE)</f>
        <v>Sab</v>
      </c>
      <c r="E4555" t="str">
        <f>IFERROR(+VLOOKUP(Movimientos_2026[[#This Row],[Codigo]],Plan_cuentas[],2,FALSE)," ")</f>
        <v xml:space="preserve"> </v>
      </c>
      <c r="F4555" t="str">
        <f>IFERROR(+VLOOKUP(Movimientos_2026[[#This Row],[Codigo]],Plan_cuentas[],3,FALSE)," ")</f>
        <v xml:space="preserve"> </v>
      </c>
      <c r="G4555" t="str">
        <f>IFERROR(+VLOOKUP(Movimientos_2026[[#This Row],[Codigo]],Plan_cuentas[],4,FALSE)," ")</f>
        <v xml:space="preserve"> </v>
      </c>
      <c r="H4555" t="str">
        <f>IFERROR(+VLOOKUP(Movimientos_2026[[#This Row],[Codigo]],Plan_cuentas[],5,FALSE)," ")</f>
        <v xml:space="preserve"> </v>
      </c>
      <c r="I4555" s="43"/>
      <c r="K4555" t="str">
        <f>IFERROR(+VLOOKUP(Movimientos_2026[[#This Row],[Codigo]],Plan_cuentas[],6,FALSE)," ")</f>
        <v xml:space="preserve"> </v>
      </c>
      <c r="L4555" s="50"/>
      <c r="M4555" s="50"/>
      <c r="N4555" s="20">
        <f>+Movimientos_2026[[#This Row],[Ingresos]]-Movimientos_2026[[#This Row],[Egresos]]</f>
        <v>0</v>
      </c>
      <c r="O4555" s="20">
        <f>+O4554+Movimientos_2026[[#This Row],[Neto]]</f>
        <v>4581558617.7962294</v>
      </c>
    </row>
    <row r="4556" spans="1:15" x14ac:dyDescent="0.25">
      <c r="A4556" s="13"/>
      <c r="B4556" s="12">
        <f>MONTH(Movimientos_2026[[#This Row],[Fecha]])</f>
        <v>1</v>
      </c>
      <c r="C4556" s="12" t="str">
        <f>VLOOKUP((WEEKDAY(Movimientos_2026[[#This Row],[Fecha]],2)),'5. Setup'!$D$6:$E$12,2,FALSE)</f>
        <v>Sab</v>
      </c>
      <c r="E4556" t="str">
        <f>IFERROR(+VLOOKUP(Movimientos_2026[[#This Row],[Codigo]],Plan_cuentas[],2,FALSE)," ")</f>
        <v xml:space="preserve"> </v>
      </c>
      <c r="F4556" t="str">
        <f>IFERROR(+VLOOKUP(Movimientos_2026[[#This Row],[Codigo]],Plan_cuentas[],3,FALSE)," ")</f>
        <v xml:space="preserve"> </v>
      </c>
      <c r="G4556" t="str">
        <f>IFERROR(+VLOOKUP(Movimientos_2026[[#This Row],[Codigo]],Plan_cuentas[],4,FALSE)," ")</f>
        <v xml:space="preserve"> </v>
      </c>
      <c r="H4556" t="str">
        <f>IFERROR(+VLOOKUP(Movimientos_2026[[#This Row],[Codigo]],Plan_cuentas[],5,FALSE)," ")</f>
        <v xml:space="preserve"> </v>
      </c>
      <c r="I4556" s="43"/>
      <c r="K4556" t="str">
        <f>IFERROR(+VLOOKUP(Movimientos_2026[[#This Row],[Codigo]],Plan_cuentas[],6,FALSE)," ")</f>
        <v xml:space="preserve"> </v>
      </c>
      <c r="L4556" s="50"/>
      <c r="M4556" s="50"/>
      <c r="N4556" s="20">
        <f>+Movimientos_2026[[#This Row],[Ingresos]]-Movimientos_2026[[#This Row],[Egresos]]</f>
        <v>0</v>
      </c>
      <c r="O4556" s="20">
        <f>+O4555+Movimientos_2026[[#This Row],[Neto]]</f>
        <v>4581558617.7962294</v>
      </c>
    </row>
    <row r="4557" spans="1:15" x14ac:dyDescent="0.25">
      <c r="A4557" s="13"/>
      <c r="B4557" s="12">
        <f>MONTH(Movimientos_2026[[#This Row],[Fecha]])</f>
        <v>1</v>
      </c>
      <c r="C4557" s="12" t="str">
        <f>VLOOKUP((WEEKDAY(Movimientos_2026[[#This Row],[Fecha]],2)),'5. Setup'!$D$6:$E$12,2,FALSE)</f>
        <v>Sab</v>
      </c>
      <c r="E4557" t="str">
        <f>IFERROR(+VLOOKUP(Movimientos_2026[[#This Row],[Codigo]],Plan_cuentas[],2,FALSE)," ")</f>
        <v xml:space="preserve"> </v>
      </c>
      <c r="F4557" t="str">
        <f>IFERROR(+VLOOKUP(Movimientos_2026[[#This Row],[Codigo]],Plan_cuentas[],3,FALSE)," ")</f>
        <v xml:space="preserve"> </v>
      </c>
      <c r="G4557" t="str">
        <f>IFERROR(+VLOOKUP(Movimientos_2026[[#This Row],[Codigo]],Plan_cuentas[],4,FALSE)," ")</f>
        <v xml:space="preserve"> </v>
      </c>
      <c r="H4557" t="str">
        <f>IFERROR(+VLOOKUP(Movimientos_2026[[#This Row],[Codigo]],Plan_cuentas[],5,FALSE)," ")</f>
        <v xml:space="preserve"> </v>
      </c>
      <c r="I4557" s="43"/>
      <c r="K4557" t="str">
        <f>IFERROR(+VLOOKUP(Movimientos_2026[[#This Row],[Codigo]],Plan_cuentas[],6,FALSE)," ")</f>
        <v xml:space="preserve"> </v>
      </c>
      <c r="L4557" s="50"/>
      <c r="M4557" s="50"/>
      <c r="N4557" s="20">
        <f>+Movimientos_2026[[#This Row],[Ingresos]]-Movimientos_2026[[#This Row],[Egresos]]</f>
        <v>0</v>
      </c>
      <c r="O4557" s="20">
        <f>+O4556+Movimientos_2026[[#This Row],[Neto]]</f>
        <v>4581558617.7962294</v>
      </c>
    </row>
    <row r="4558" spans="1:15" x14ac:dyDescent="0.25">
      <c r="A4558" s="13"/>
      <c r="B4558" s="12">
        <f>MONTH(Movimientos_2026[[#This Row],[Fecha]])</f>
        <v>1</v>
      </c>
      <c r="C4558" s="12" t="str">
        <f>VLOOKUP((WEEKDAY(Movimientos_2026[[#This Row],[Fecha]],2)),'5. Setup'!$D$6:$E$12,2,FALSE)</f>
        <v>Sab</v>
      </c>
      <c r="E4558" t="str">
        <f>IFERROR(+VLOOKUP(Movimientos_2026[[#This Row],[Codigo]],Plan_cuentas[],2,FALSE)," ")</f>
        <v xml:space="preserve"> </v>
      </c>
      <c r="F4558" t="str">
        <f>IFERROR(+VLOOKUP(Movimientos_2026[[#This Row],[Codigo]],Plan_cuentas[],3,FALSE)," ")</f>
        <v xml:space="preserve"> </v>
      </c>
      <c r="G4558" t="str">
        <f>IFERROR(+VLOOKUP(Movimientos_2026[[#This Row],[Codigo]],Plan_cuentas[],4,FALSE)," ")</f>
        <v xml:space="preserve"> </v>
      </c>
      <c r="H4558" t="str">
        <f>IFERROR(+VLOOKUP(Movimientos_2026[[#This Row],[Codigo]],Plan_cuentas[],5,FALSE)," ")</f>
        <v xml:space="preserve"> </v>
      </c>
      <c r="I4558" s="43"/>
      <c r="K4558" t="str">
        <f>IFERROR(+VLOOKUP(Movimientos_2026[[#This Row],[Codigo]],Plan_cuentas[],6,FALSE)," ")</f>
        <v xml:space="preserve"> </v>
      </c>
      <c r="L4558" s="50"/>
      <c r="M4558" s="50"/>
      <c r="N4558" s="20">
        <f>+Movimientos_2026[[#This Row],[Ingresos]]-Movimientos_2026[[#This Row],[Egresos]]</f>
        <v>0</v>
      </c>
      <c r="O4558" s="20">
        <f>+O4557+Movimientos_2026[[#This Row],[Neto]]</f>
        <v>4581558617.7962294</v>
      </c>
    </row>
    <row r="4559" spans="1:15" x14ac:dyDescent="0.25">
      <c r="A4559" s="13"/>
      <c r="B4559" s="12">
        <f>MONTH(Movimientos_2026[[#This Row],[Fecha]])</f>
        <v>1</v>
      </c>
      <c r="C4559" s="12" t="str">
        <f>VLOOKUP((WEEKDAY(Movimientos_2026[[#This Row],[Fecha]],2)),'5. Setup'!$D$6:$E$12,2,FALSE)</f>
        <v>Sab</v>
      </c>
      <c r="E4559" t="str">
        <f>IFERROR(+VLOOKUP(Movimientos_2026[[#This Row],[Codigo]],Plan_cuentas[],2,FALSE)," ")</f>
        <v xml:space="preserve"> </v>
      </c>
      <c r="F4559" t="str">
        <f>IFERROR(+VLOOKUP(Movimientos_2026[[#This Row],[Codigo]],Plan_cuentas[],3,FALSE)," ")</f>
        <v xml:space="preserve"> </v>
      </c>
      <c r="G4559" t="str">
        <f>IFERROR(+VLOOKUP(Movimientos_2026[[#This Row],[Codigo]],Plan_cuentas[],4,FALSE)," ")</f>
        <v xml:space="preserve"> </v>
      </c>
      <c r="H4559" t="str">
        <f>IFERROR(+VLOOKUP(Movimientos_2026[[#This Row],[Codigo]],Plan_cuentas[],5,FALSE)," ")</f>
        <v xml:space="preserve"> </v>
      </c>
      <c r="I4559" s="43"/>
      <c r="K4559" t="str">
        <f>IFERROR(+VLOOKUP(Movimientos_2026[[#This Row],[Codigo]],Plan_cuentas[],6,FALSE)," ")</f>
        <v xml:space="preserve"> </v>
      </c>
      <c r="L4559" s="50"/>
      <c r="M4559" s="50"/>
      <c r="N4559" s="20">
        <f>+Movimientos_2026[[#This Row],[Ingresos]]-Movimientos_2026[[#This Row],[Egresos]]</f>
        <v>0</v>
      </c>
      <c r="O4559" s="20">
        <f>+O4558+Movimientos_2026[[#This Row],[Neto]]</f>
        <v>4581558617.7962294</v>
      </c>
    </row>
    <row r="4560" spans="1:15" x14ac:dyDescent="0.25">
      <c r="A4560" s="13"/>
      <c r="B4560" s="12">
        <f>MONTH(Movimientos_2026[[#This Row],[Fecha]])</f>
        <v>1</v>
      </c>
      <c r="C4560" s="12" t="str">
        <f>VLOOKUP((WEEKDAY(Movimientos_2026[[#This Row],[Fecha]],2)),'5. Setup'!$D$6:$E$12,2,FALSE)</f>
        <v>Sab</v>
      </c>
      <c r="E4560" t="str">
        <f>IFERROR(+VLOOKUP(Movimientos_2026[[#This Row],[Codigo]],Plan_cuentas[],2,FALSE)," ")</f>
        <v xml:space="preserve"> </v>
      </c>
      <c r="F4560" t="str">
        <f>IFERROR(+VLOOKUP(Movimientos_2026[[#This Row],[Codigo]],Plan_cuentas[],3,FALSE)," ")</f>
        <v xml:space="preserve"> </v>
      </c>
      <c r="G4560" t="str">
        <f>IFERROR(+VLOOKUP(Movimientos_2026[[#This Row],[Codigo]],Plan_cuentas[],4,FALSE)," ")</f>
        <v xml:space="preserve"> </v>
      </c>
      <c r="H4560" t="str">
        <f>IFERROR(+VLOOKUP(Movimientos_2026[[#This Row],[Codigo]],Plan_cuentas[],5,FALSE)," ")</f>
        <v xml:space="preserve"> </v>
      </c>
      <c r="I4560" s="43"/>
      <c r="K4560" t="str">
        <f>IFERROR(+VLOOKUP(Movimientos_2026[[#This Row],[Codigo]],Plan_cuentas[],6,FALSE)," ")</f>
        <v xml:space="preserve"> </v>
      </c>
      <c r="L4560" s="50"/>
      <c r="M4560" s="50"/>
      <c r="N4560" s="20">
        <f>+Movimientos_2026[[#This Row],[Ingresos]]-Movimientos_2026[[#This Row],[Egresos]]</f>
        <v>0</v>
      </c>
      <c r="O4560" s="20">
        <f>+O4559+Movimientos_2026[[#This Row],[Neto]]</f>
        <v>4581558617.7962294</v>
      </c>
    </row>
    <row r="4561" spans="1:15" x14ac:dyDescent="0.25">
      <c r="A4561" s="13"/>
      <c r="B4561" s="12">
        <f>MONTH(Movimientos_2026[[#This Row],[Fecha]])</f>
        <v>1</v>
      </c>
      <c r="C4561" s="12" t="str">
        <f>VLOOKUP((WEEKDAY(Movimientos_2026[[#This Row],[Fecha]],2)),'5. Setup'!$D$6:$E$12,2,FALSE)</f>
        <v>Sab</v>
      </c>
      <c r="E4561" t="str">
        <f>IFERROR(+VLOOKUP(Movimientos_2026[[#This Row],[Codigo]],Plan_cuentas[],2,FALSE)," ")</f>
        <v xml:space="preserve"> </v>
      </c>
      <c r="F4561" t="str">
        <f>IFERROR(+VLOOKUP(Movimientos_2026[[#This Row],[Codigo]],Plan_cuentas[],3,FALSE)," ")</f>
        <v xml:space="preserve"> </v>
      </c>
      <c r="G4561" t="str">
        <f>IFERROR(+VLOOKUP(Movimientos_2026[[#This Row],[Codigo]],Plan_cuentas[],4,FALSE)," ")</f>
        <v xml:space="preserve"> </v>
      </c>
      <c r="H4561" t="str">
        <f>IFERROR(+VLOOKUP(Movimientos_2026[[#This Row],[Codigo]],Plan_cuentas[],5,FALSE)," ")</f>
        <v xml:space="preserve"> </v>
      </c>
      <c r="I4561" s="43"/>
      <c r="K4561" t="str">
        <f>IFERROR(+VLOOKUP(Movimientos_2026[[#This Row],[Codigo]],Plan_cuentas[],6,FALSE)," ")</f>
        <v xml:space="preserve"> </v>
      </c>
      <c r="L4561" s="50"/>
      <c r="M4561" s="50"/>
      <c r="N4561" s="20">
        <f>+Movimientos_2026[[#This Row],[Ingresos]]-Movimientos_2026[[#This Row],[Egresos]]</f>
        <v>0</v>
      </c>
      <c r="O4561" s="20">
        <f>+O4560+Movimientos_2026[[#This Row],[Neto]]</f>
        <v>4581558617.7962294</v>
      </c>
    </row>
    <row r="4562" spans="1:15" x14ac:dyDescent="0.25">
      <c r="A4562" s="13"/>
      <c r="B4562" s="12">
        <f>MONTH(Movimientos_2026[[#This Row],[Fecha]])</f>
        <v>1</v>
      </c>
      <c r="C4562" s="12" t="str">
        <f>VLOOKUP((WEEKDAY(Movimientos_2026[[#This Row],[Fecha]],2)),'5. Setup'!$D$6:$E$12,2,FALSE)</f>
        <v>Sab</v>
      </c>
      <c r="E4562" t="str">
        <f>IFERROR(+VLOOKUP(Movimientos_2026[[#This Row],[Codigo]],Plan_cuentas[],2,FALSE)," ")</f>
        <v xml:space="preserve"> </v>
      </c>
      <c r="F4562" t="str">
        <f>IFERROR(+VLOOKUP(Movimientos_2026[[#This Row],[Codigo]],Plan_cuentas[],3,FALSE)," ")</f>
        <v xml:space="preserve"> </v>
      </c>
      <c r="G4562" t="str">
        <f>IFERROR(+VLOOKUP(Movimientos_2026[[#This Row],[Codigo]],Plan_cuentas[],4,FALSE)," ")</f>
        <v xml:space="preserve"> </v>
      </c>
      <c r="H4562" t="str">
        <f>IFERROR(+VLOOKUP(Movimientos_2026[[#This Row],[Codigo]],Plan_cuentas[],5,FALSE)," ")</f>
        <v xml:space="preserve"> </v>
      </c>
      <c r="I4562" s="43"/>
      <c r="K4562" t="str">
        <f>IFERROR(+VLOOKUP(Movimientos_2026[[#This Row],[Codigo]],Plan_cuentas[],6,FALSE)," ")</f>
        <v xml:space="preserve"> </v>
      </c>
      <c r="L4562" s="50"/>
      <c r="M4562" s="50"/>
      <c r="N4562" s="20">
        <f>+Movimientos_2026[[#This Row],[Ingresos]]-Movimientos_2026[[#This Row],[Egresos]]</f>
        <v>0</v>
      </c>
      <c r="O4562" s="20">
        <f>+O4561+Movimientos_2026[[#This Row],[Neto]]</f>
        <v>4581558617.7962294</v>
      </c>
    </row>
    <row r="4563" spans="1:15" x14ac:dyDescent="0.25">
      <c r="A4563" s="13"/>
      <c r="B4563" s="12">
        <f>MONTH(Movimientos_2026[[#This Row],[Fecha]])</f>
        <v>1</v>
      </c>
      <c r="C4563" s="12" t="str">
        <f>VLOOKUP((WEEKDAY(Movimientos_2026[[#This Row],[Fecha]],2)),'5. Setup'!$D$6:$E$12,2,FALSE)</f>
        <v>Sab</v>
      </c>
      <c r="E4563" t="str">
        <f>IFERROR(+VLOOKUP(Movimientos_2026[[#This Row],[Codigo]],Plan_cuentas[],2,FALSE)," ")</f>
        <v xml:space="preserve"> </v>
      </c>
      <c r="F4563" t="str">
        <f>IFERROR(+VLOOKUP(Movimientos_2026[[#This Row],[Codigo]],Plan_cuentas[],3,FALSE)," ")</f>
        <v xml:space="preserve"> </v>
      </c>
      <c r="G4563" t="str">
        <f>IFERROR(+VLOOKUP(Movimientos_2026[[#This Row],[Codigo]],Plan_cuentas[],4,FALSE)," ")</f>
        <v xml:space="preserve"> </v>
      </c>
      <c r="H4563" t="str">
        <f>IFERROR(+VLOOKUP(Movimientos_2026[[#This Row],[Codigo]],Plan_cuentas[],5,FALSE)," ")</f>
        <v xml:space="preserve"> </v>
      </c>
      <c r="I4563" s="43"/>
      <c r="K4563" t="str">
        <f>IFERROR(+VLOOKUP(Movimientos_2026[[#This Row],[Codigo]],Plan_cuentas[],6,FALSE)," ")</f>
        <v xml:space="preserve"> </v>
      </c>
      <c r="L4563" s="50"/>
      <c r="M4563" s="50"/>
      <c r="N4563" s="20">
        <f>+Movimientos_2026[[#This Row],[Ingresos]]-Movimientos_2026[[#This Row],[Egresos]]</f>
        <v>0</v>
      </c>
      <c r="O4563" s="20">
        <f>+O4562+Movimientos_2026[[#This Row],[Neto]]</f>
        <v>4581558617.7962294</v>
      </c>
    </row>
    <row r="4564" spans="1:15" x14ac:dyDescent="0.25">
      <c r="A4564" s="13"/>
      <c r="B4564" s="12">
        <f>MONTH(Movimientos_2026[[#This Row],[Fecha]])</f>
        <v>1</v>
      </c>
      <c r="C4564" s="12" t="str">
        <f>VLOOKUP((WEEKDAY(Movimientos_2026[[#This Row],[Fecha]],2)),'5. Setup'!$D$6:$E$12,2,FALSE)</f>
        <v>Sab</v>
      </c>
      <c r="E4564" t="str">
        <f>IFERROR(+VLOOKUP(Movimientos_2026[[#This Row],[Codigo]],Plan_cuentas[],2,FALSE)," ")</f>
        <v xml:space="preserve"> </v>
      </c>
      <c r="F4564" t="str">
        <f>IFERROR(+VLOOKUP(Movimientos_2026[[#This Row],[Codigo]],Plan_cuentas[],3,FALSE)," ")</f>
        <v xml:space="preserve"> </v>
      </c>
      <c r="G4564" t="str">
        <f>IFERROR(+VLOOKUP(Movimientos_2026[[#This Row],[Codigo]],Plan_cuentas[],4,FALSE)," ")</f>
        <v xml:space="preserve"> </v>
      </c>
      <c r="H4564" t="str">
        <f>IFERROR(+VLOOKUP(Movimientos_2026[[#This Row],[Codigo]],Plan_cuentas[],5,FALSE)," ")</f>
        <v xml:space="preserve"> </v>
      </c>
      <c r="I4564" s="43"/>
      <c r="K4564" t="str">
        <f>IFERROR(+VLOOKUP(Movimientos_2026[[#This Row],[Codigo]],Plan_cuentas[],6,FALSE)," ")</f>
        <v xml:space="preserve"> </v>
      </c>
      <c r="L4564" s="50"/>
      <c r="M4564" s="50"/>
      <c r="N4564" s="20">
        <f>+Movimientos_2026[[#This Row],[Ingresos]]-Movimientos_2026[[#This Row],[Egresos]]</f>
        <v>0</v>
      </c>
      <c r="O4564" s="20">
        <f>+O4563+Movimientos_2026[[#This Row],[Neto]]</f>
        <v>4581558617.7962294</v>
      </c>
    </row>
    <row r="4565" spans="1:15" x14ac:dyDescent="0.25">
      <c r="A4565" s="13"/>
      <c r="B4565" s="12">
        <f>MONTH(Movimientos_2026[[#This Row],[Fecha]])</f>
        <v>1</v>
      </c>
      <c r="C4565" s="12" t="str">
        <f>VLOOKUP((WEEKDAY(Movimientos_2026[[#This Row],[Fecha]],2)),'5. Setup'!$D$6:$E$12,2,FALSE)</f>
        <v>Sab</v>
      </c>
      <c r="E4565" t="str">
        <f>IFERROR(+VLOOKUP(Movimientos_2026[[#This Row],[Codigo]],Plan_cuentas[],2,FALSE)," ")</f>
        <v xml:space="preserve"> </v>
      </c>
      <c r="F4565" t="str">
        <f>IFERROR(+VLOOKUP(Movimientos_2026[[#This Row],[Codigo]],Plan_cuentas[],3,FALSE)," ")</f>
        <v xml:space="preserve"> </v>
      </c>
      <c r="G4565" t="str">
        <f>IFERROR(+VLOOKUP(Movimientos_2026[[#This Row],[Codigo]],Plan_cuentas[],4,FALSE)," ")</f>
        <v xml:space="preserve"> </v>
      </c>
      <c r="H4565" t="str">
        <f>IFERROR(+VLOOKUP(Movimientos_2026[[#This Row],[Codigo]],Plan_cuentas[],5,FALSE)," ")</f>
        <v xml:space="preserve"> </v>
      </c>
      <c r="I4565" s="43"/>
      <c r="K4565" t="str">
        <f>IFERROR(+VLOOKUP(Movimientos_2026[[#This Row],[Codigo]],Plan_cuentas[],6,FALSE)," ")</f>
        <v xml:space="preserve"> </v>
      </c>
      <c r="L4565" s="50"/>
      <c r="M4565" s="50"/>
      <c r="N4565" s="20">
        <f>+Movimientos_2026[[#This Row],[Ingresos]]-Movimientos_2026[[#This Row],[Egresos]]</f>
        <v>0</v>
      </c>
      <c r="O4565" s="20">
        <f>+O4564+Movimientos_2026[[#This Row],[Neto]]</f>
        <v>4581558617.7962294</v>
      </c>
    </row>
    <row r="4566" spans="1:15" x14ac:dyDescent="0.25">
      <c r="A4566" s="13"/>
      <c r="B4566" s="12">
        <f>MONTH(Movimientos_2026[[#This Row],[Fecha]])</f>
        <v>1</v>
      </c>
      <c r="C4566" s="12" t="str">
        <f>VLOOKUP((WEEKDAY(Movimientos_2026[[#This Row],[Fecha]],2)),'5. Setup'!$D$6:$E$12,2,FALSE)</f>
        <v>Sab</v>
      </c>
      <c r="E4566" t="str">
        <f>IFERROR(+VLOOKUP(Movimientos_2026[[#This Row],[Codigo]],Plan_cuentas[],2,FALSE)," ")</f>
        <v xml:space="preserve"> </v>
      </c>
      <c r="F4566" t="str">
        <f>IFERROR(+VLOOKUP(Movimientos_2026[[#This Row],[Codigo]],Plan_cuentas[],3,FALSE)," ")</f>
        <v xml:space="preserve"> </v>
      </c>
      <c r="G4566" t="str">
        <f>IFERROR(+VLOOKUP(Movimientos_2026[[#This Row],[Codigo]],Plan_cuentas[],4,FALSE)," ")</f>
        <v xml:space="preserve"> </v>
      </c>
      <c r="H4566" t="str">
        <f>IFERROR(+VLOOKUP(Movimientos_2026[[#This Row],[Codigo]],Plan_cuentas[],5,FALSE)," ")</f>
        <v xml:space="preserve"> </v>
      </c>
      <c r="I4566" s="43"/>
      <c r="K4566" t="str">
        <f>IFERROR(+VLOOKUP(Movimientos_2026[[#This Row],[Codigo]],Plan_cuentas[],6,FALSE)," ")</f>
        <v xml:space="preserve"> </v>
      </c>
      <c r="L4566" s="50"/>
      <c r="M4566" s="50"/>
      <c r="N4566" s="20">
        <f>+Movimientos_2026[[#This Row],[Ingresos]]-Movimientos_2026[[#This Row],[Egresos]]</f>
        <v>0</v>
      </c>
      <c r="O4566" s="20">
        <f>+O4565+Movimientos_2026[[#This Row],[Neto]]</f>
        <v>4581558617.7962294</v>
      </c>
    </row>
    <row r="4567" spans="1:15" x14ac:dyDescent="0.25">
      <c r="A4567" s="13"/>
      <c r="B4567" s="12">
        <f>MONTH(Movimientos_2026[[#This Row],[Fecha]])</f>
        <v>1</v>
      </c>
      <c r="C4567" s="12" t="str">
        <f>VLOOKUP((WEEKDAY(Movimientos_2026[[#This Row],[Fecha]],2)),'5. Setup'!$D$6:$E$12,2,FALSE)</f>
        <v>Sab</v>
      </c>
      <c r="E4567" t="str">
        <f>IFERROR(+VLOOKUP(Movimientos_2026[[#This Row],[Codigo]],Plan_cuentas[],2,FALSE)," ")</f>
        <v xml:space="preserve"> </v>
      </c>
      <c r="F4567" t="str">
        <f>IFERROR(+VLOOKUP(Movimientos_2026[[#This Row],[Codigo]],Plan_cuentas[],3,FALSE)," ")</f>
        <v xml:space="preserve"> </v>
      </c>
      <c r="G4567" t="str">
        <f>IFERROR(+VLOOKUP(Movimientos_2026[[#This Row],[Codigo]],Plan_cuentas[],4,FALSE)," ")</f>
        <v xml:space="preserve"> </v>
      </c>
      <c r="H4567" t="str">
        <f>IFERROR(+VLOOKUP(Movimientos_2026[[#This Row],[Codigo]],Plan_cuentas[],5,FALSE)," ")</f>
        <v xml:space="preserve"> </v>
      </c>
      <c r="I4567" s="43"/>
      <c r="K4567" t="str">
        <f>IFERROR(+VLOOKUP(Movimientos_2026[[#This Row],[Codigo]],Plan_cuentas[],6,FALSE)," ")</f>
        <v xml:space="preserve"> </v>
      </c>
      <c r="L4567" s="50"/>
      <c r="M4567" s="50"/>
      <c r="N4567" s="20">
        <f>+Movimientos_2026[[#This Row],[Ingresos]]-Movimientos_2026[[#This Row],[Egresos]]</f>
        <v>0</v>
      </c>
      <c r="O4567" s="20">
        <f>+O4566+Movimientos_2026[[#This Row],[Neto]]</f>
        <v>4581558617.7962294</v>
      </c>
    </row>
    <row r="4568" spans="1:15" x14ac:dyDescent="0.25">
      <c r="A4568" s="13"/>
      <c r="B4568" s="12">
        <f>MONTH(Movimientos_2026[[#This Row],[Fecha]])</f>
        <v>1</v>
      </c>
      <c r="C4568" s="12" t="str">
        <f>VLOOKUP((WEEKDAY(Movimientos_2026[[#This Row],[Fecha]],2)),'5. Setup'!$D$6:$E$12,2,FALSE)</f>
        <v>Sab</v>
      </c>
      <c r="E4568" t="str">
        <f>IFERROR(+VLOOKUP(Movimientos_2026[[#This Row],[Codigo]],Plan_cuentas[],2,FALSE)," ")</f>
        <v xml:space="preserve"> </v>
      </c>
      <c r="F4568" t="str">
        <f>IFERROR(+VLOOKUP(Movimientos_2026[[#This Row],[Codigo]],Plan_cuentas[],3,FALSE)," ")</f>
        <v xml:space="preserve"> </v>
      </c>
      <c r="G4568" t="str">
        <f>IFERROR(+VLOOKUP(Movimientos_2026[[#This Row],[Codigo]],Plan_cuentas[],4,FALSE)," ")</f>
        <v xml:space="preserve"> </v>
      </c>
      <c r="H4568" t="str">
        <f>IFERROR(+VLOOKUP(Movimientos_2026[[#This Row],[Codigo]],Plan_cuentas[],5,FALSE)," ")</f>
        <v xml:space="preserve"> </v>
      </c>
      <c r="I4568" s="43"/>
      <c r="K4568" t="str">
        <f>IFERROR(+VLOOKUP(Movimientos_2026[[#This Row],[Codigo]],Plan_cuentas[],6,FALSE)," ")</f>
        <v xml:space="preserve"> </v>
      </c>
      <c r="L4568" s="50"/>
      <c r="M4568" s="50"/>
      <c r="N4568" s="20">
        <f>+Movimientos_2026[[#This Row],[Ingresos]]-Movimientos_2026[[#This Row],[Egresos]]</f>
        <v>0</v>
      </c>
      <c r="O4568" s="20">
        <f>+O4567+Movimientos_2026[[#This Row],[Neto]]</f>
        <v>4581558617.7962294</v>
      </c>
    </row>
    <row r="4569" spans="1:15" x14ac:dyDescent="0.25">
      <c r="A4569" s="13"/>
      <c r="B4569" s="12">
        <f>MONTH(Movimientos_2026[[#This Row],[Fecha]])</f>
        <v>1</v>
      </c>
      <c r="C4569" s="12" t="str">
        <f>VLOOKUP((WEEKDAY(Movimientos_2026[[#This Row],[Fecha]],2)),'5. Setup'!$D$6:$E$12,2,FALSE)</f>
        <v>Sab</v>
      </c>
      <c r="E4569" t="str">
        <f>IFERROR(+VLOOKUP(Movimientos_2026[[#This Row],[Codigo]],Plan_cuentas[],2,FALSE)," ")</f>
        <v xml:space="preserve"> </v>
      </c>
      <c r="F4569" t="str">
        <f>IFERROR(+VLOOKUP(Movimientos_2026[[#This Row],[Codigo]],Plan_cuentas[],3,FALSE)," ")</f>
        <v xml:space="preserve"> </v>
      </c>
      <c r="G4569" t="str">
        <f>IFERROR(+VLOOKUP(Movimientos_2026[[#This Row],[Codigo]],Plan_cuentas[],4,FALSE)," ")</f>
        <v xml:space="preserve"> </v>
      </c>
      <c r="H4569" t="str">
        <f>IFERROR(+VLOOKUP(Movimientos_2026[[#This Row],[Codigo]],Plan_cuentas[],5,FALSE)," ")</f>
        <v xml:space="preserve"> </v>
      </c>
      <c r="I4569" s="43"/>
      <c r="K4569" t="str">
        <f>IFERROR(+VLOOKUP(Movimientos_2026[[#This Row],[Codigo]],Plan_cuentas[],6,FALSE)," ")</f>
        <v xml:space="preserve"> </v>
      </c>
      <c r="L4569" s="50"/>
      <c r="M4569" s="50"/>
      <c r="N4569" s="20">
        <f>+Movimientos_2026[[#This Row],[Ingresos]]-Movimientos_2026[[#This Row],[Egresos]]</f>
        <v>0</v>
      </c>
      <c r="O4569" s="20">
        <f>+O4568+Movimientos_2026[[#This Row],[Neto]]</f>
        <v>4581558617.7962294</v>
      </c>
    </row>
    <row r="4570" spans="1:15" x14ac:dyDescent="0.25">
      <c r="A4570" s="13"/>
      <c r="B4570" s="12">
        <f>MONTH(Movimientos_2026[[#This Row],[Fecha]])</f>
        <v>1</v>
      </c>
      <c r="C4570" s="12" t="str">
        <f>VLOOKUP((WEEKDAY(Movimientos_2026[[#This Row],[Fecha]],2)),'5. Setup'!$D$6:$E$12,2,FALSE)</f>
        <v>Sab</v>
      </c>
      <c r="E4570" t="str">
        <f>IFERROR(+VLOOKUP(Movimientos_2026[[#This Row],[Codigo]],Plan_cuentas[],2,FALSE)," ")</f>
        <v xml:space="preserve"> </v>
      </c>
      <c r="F4570" t="str">
        <f>IFERROR(+VLOOKUP(Movimientos_2026[[#This Row],[Codigo]],Plan_cuentas[],3,FALSE)," ")</f>
        <v xml:space="preserve"> </v>
      </c>
      <c r="G4570" t="str">
        <f>IFERROR(+VLOOKUP(Movimientos_2026[[#This Row],[Codigo]],Plan_cuentas[],4,FALSE)," ")</f>
        <v xml:space="preserve"> </v>
      </c>
      <c r="H4570" t="str">
        <f>IFERROR(+VLOOKUP(Movimientos_2026[[#This Row],[Codigo]],Plan_cuentas[],5,FALSE)," ")</f>
        <v xml:space="preserve"> </v>
      </c>
      <c r="I4570" s="43"/>
      <c r="K4570" t="str">
        <f>IFERROR(+VLOOKUP(Movimientos_2026[[#This Row],[Codigo]],Plan_cuentas[],6,FALSE)," ")</f>
        <v xml:space="preserve"> </v>
      </c>
      <c r="L4570" s="50"/>
      <c r="M4570" s="50"/>
      <c r="N4570" s="20">
        <f>+Movimientos_2026[[#This Row],[Ingresos]]-Movimientos_2026[[#This Row],[Egresos]]</f>
        <v>0</v>
      </c>
      <c r="O4570" s="20">
        <f>+O4569+Movimientos_2026[[#This Row],[Neto]]</f>
        <v>4581558617.7962294</v>
      </c>
    </row>
    <row r="4571" spans="1:15" x14ac:dyDescent="0.25">
      <c r="A4571" s="13"/>
      <c r="B4571" s="12">
        <f>MONTH(Movimientos_2026[[#This Row],[Fecha]])</f>
        <v>1</v>
      </c>
      <c r="C4571" s="12" t="str">
        <f>VLOOKUP((WEEKDAY(Movimientos_2026[[#This Row],[Fecha]],2)),'5. Setup'!$D$6:$E$12,2,FALSE)</f>
        <v>Sab</v>
      </c>
      <c r="E4571" t="str">
        <f>IFERROR(+VLOOKUP(Movimientos_2026[[#This Row],[Codigo]],Plan_cuentas[],2,FALSE)," ")</f>
        <v xml:space="preserve"> </v>
      </c>
      <c r="F4571" t="str">
        <f>IFERROR(+VLOOKUP(Movimientos_2026[[#This Row],[Codigo]],Plan_cuentas[],3,FALSE)," ")</f>
        <v xml:space="preserve"> </v>
      </c>
      <c r="G4571" t="str">
        <f>IFERROR(+VLOOKUP(Movimientos_2026[[#This Row],[Codigo]],Plan_cuentas[],4,FALSE)," ")</f>
        <v xml:space="preserve"> </v>
      </c>
      <c r="H4571" t="str">
        <f>IFERROR(+VLOOKUP(Movimientos_2026[[#This Row],[Codigo]],Plan_cuentas[],5,FALSE)," ")</f>
        <v xml:space="preserve"> </v>
      </c>
      <c r="I4571" s="43"/>
      <c r="K4571" t="str">
        <f>IFERROR(+VLOOKUP(Movimientos_2026[[#This Row],[Codigo]],Plan_cuentas[],6,FALSE)," ")</f>
        <v xml:space="preserve"> </v>
      </c>
      <c r="L4571" s="50"/>
      <c r="M4571" s="50"/>
      <c r="N4571" s="20">
        <f>+Movimientos_2026[[#This Row],[Ingresos]]-Movimientos_2026[[#This Row],[Egresos]]</f>
        <v>0</v>
      </c>
      <c r="O4571" s="20">
        <f>+O4570+Movimientos_2026[[#This Row],[Neto]]</f>
        <v>4581558617.7962294</v>
      </c>
    </row>
    <row r="4572" spans="1:15" x14ac:dyDescent="0.25">
      <c r="A4572" s="13"/>
      <c r="B4572" s="12">
        <f>MONTH(Movimientos_2026[[#This Row],[Fecha]])</f>
        <v>1</v>
      </c>
      <c r="C4572" s="12" t="str">
        <f>VLOOKUP((WEEKDAY(Movimientos_2026[[#This Row],[Fecha]],2)),'5. Setup'!$D$6:$E$12,2,FALSE)</f>
        <v>Sab</v>
      </c>
      <c r="E4572" t="str">
        <f>IFERROR(+VLOOKUP(Movimientos_2026[[#This Row],[Codigo]],Plan_cuentas[],2,FALSE)," ")</f>
        <v xml:space="preserve"> </v>
      </c>
      <c r="F4572" t="str">
        <f>IFERROR(+VLOOKUP(Movimientos_2026[[#This Row],[Codigo]],Plan_cuentas[],3,FALSE)," ")</f>
        <v xml:space="preserve"> </v>
      </c>
      <c r="G4572" t="str">
        <f>IFERROR(+VLOOKUP(Movimientos_2026[[#This Row],[Codigo]],Plan_cuentas[],4,FALSE)," ")</f>
        <v xml:space="preserve"> </v>
      </c>
      <c r="H4572" t="str">
        <f>IFERROR(+VLOOKUP(Movimientos_2026[[#This Row],[Codigo]],Plan_cuentas[],5,FALSE)," ")</f>
        <v xml:space="preserve"> </v>
      </c>
      <c r="I4572" s="43"/>
      <c r="K4572" t="str">
        <f>IFERROR(+VLOOKUP(Movimientos_2026[[#This Row],[Codigo]],Plan_cuentas[],6,FALSE)," ")</f>
        <v xml:space="preserve"> </v>
      </c>
      <c r="L4572" s="50"/>
      <c r="M4572" s="50"/>
      <c r="N4572" s="20">
        <f>+Movimientos_2026[[#This Row],[Ingresos]]-Movimientos_2026[[#This Row],[Egresos]]</f>
        <v>0</v>
      </c>
      <c r="O4572" s="20">
        <f>+O4571+Movimientos_2026[[#This Row],[Neto]]</f>
        <v>4581558617.7962294</v>
      </c>
    </row>
    <row r="4573" spans="1:15" x14ac:dyDescent="0.25">
      <c r="A4573" s="13"/>
      <c r="B4573" s="12">
        <f>MONTH(Movimientos_2026[[#This Row],[Fecha]])</f>
        <v>1</v>
      </c>
      <c r="C4573" s="12" t="str">
        <f>VLOOKUP((WEEKDAY(Movimientos_2026[[#This Row],[Fecha]],2)),'5. Setup'!$D$6:$E$12,2,FALSE)</f>
        <v>Sab</v>
      </c>
      <c r="E4573" t="str">
        <f>IFERROR(+VLOOKUP(Movimientos_2026[[#This Row],[Codigo]],Plan_cuentas[],2,FALSE)," ")</f>
        <v xml:space="preserve"> </v>
      </c>
      <c r="F4573" t="str">
        <f>IFERROR(+VLOOKUP(Movimientos_2026[[#This Row],[Codigo]],Plan_cuentas[],3,FALSE)," ")</f>
        <v xml:space="preserve"> </v>
      </c>
      <c r="G4573" t="str">
        <f>IFERROR(+VLOOKUP(Movimientos_2026[[#This Row],[Codigo]],Plan_cuentas[],4,FALSE)," ")</f>
        <v xml:space="preserve"> </v>
      </c>
      <c r="H4573" t="str">
        <f>IFERROR(+VLOOKUP(Movimientos_2026[[#This Row],[Codigo]],Plan_cuentas[],5,FALSE)," ")</f>
        <v xml:space="preserve"> </v>
      </c>
      <c r="I4573" s="43"/>
      <c r="K4573" t="str">
        <f>IFERROR(+VLOOKUP(Movimientos_2026[[#This Row],[Codigo]],Plan_cuentas[],6,FALSE)," ")</f>
        <v xml:space="preserve"> </v>
      </c>
      <c r="L4573" s="50"/>
      <c r="M4573" s="50"/>
      <c r="N4573" s="20">
        <f>+Movimientos_2026[[#This Row],[Ingresos]]-Movimientos_2026[[#This Row],[Egresos]]</f>
        <v>0</v>
      </c>
      <c r="O4573" s="20">
        <f>+O4572+Movimientos_2026[[#This Row],[Neto]]</f>
        <v>4581558617.7962294</v>
      </c>
    </row>
    <row r="4574" spans="1:15" x14ac:dyDescent="0.25">
      <c r="A4574" s="13"/>
      <c r="B4574" s="12">
        <f>MONTH(Movimientos_2026[[#This Row],[Fecha]])</f>
        <v>1</v>
      </c>
      <c r="C4574" s="12" t="str">
        <f>VLOOKUP((WEEKDAY(Movimientos_2026[[#This Row],[Fecha]],2)),'5. Setup'!$D$6:$E$12,2,FALSE)</f>
        <v>Sab</v>
      </c>
      <c r="E4574" t="str">
        <f>IFERROR(+VLOOKUP(Movimientos_2026[[#This Row],[Codigo]],Plan_cuentas[],2,FALSE)," ")</f>
        <v xml:space="preserve"> </v>
      </c>
      <c r="F4574" t="str">
        <f>IFERROR(+VLOOKUP(Movimientos_2026[[#This Row],[Codigo]],Plan_cuentas[],3,FALSE)," ")</f>
        <v xml:space="preserve"> </v>
      </c>
      <c r="G4574" t="str">
        <f>IFERROR(+VLOOKUP(Movimientos_2026[[#This Row],[Codigo]],Plan_cuentas[],4,FALSE)," ")</f>
        <v xml:space="preserve"> </v>
      </c>
      <c r="H4574" t="str">
        <f>IFERROR(+VLOOKUP(Movimientos_2026[[#This Row],[Codigo]],Plan_cuentas[],5,FALSE)," ")</f>
        <v xml:space="preserve"> </v>
      </c>
      <c r="I4574" s="43"/>
      <c r="K4574" t="str">
        <f>IFERROR(+VLOOKUP(Movimientos_2026[[#This Row],[Codigo]],Plan_cuentas[],6,FALSE)," ")</f>
        <v xml:space="preserve"> </v>
      </c>
      <c r="L4574" s="50"/>
      <c r="M4574" s="50"/>
      <c r="N4574" s="20">
        <f>+Movimientos_2026[[#This Row],[Ingresos]]-Movimientos_2026[[#This Row],[Egresos]]</f>
        <v>0</v>
      </c>
      <c r="O4574" s="20">
        <f>+O4573+Movimientos_2026[[#This Row],[Neto]]</f>
        <v>4581558617.7962294</v>
      </c>
    </row>
    <row r="4575" spans="1:15" x14ac:dyDescent="0.25">
      <c r="A4575" s="13"/>
      <c r="B4575" s="12">
        <f>MONTH(Movimientos_2026[[#This Row],[Fecha]])</f>
        <v>1</v>
      </c>
      <c r="C4575" s="12" t="str">
        <f>VLOOKUP((WEEKDAY(Movimientos_2026[[#This Row],[Fecha]],2)),'5. Setup'!$D$6:$E$12,2,FALSE)</f>
        <v>Sab</v>
      </c>
      <c r="E4575" t="str">
        <f>IFERROR(+VLOOKUP(Movimientos_2026[[#This Row],[Codigo]],Plan_cuentas[],2,FALSE)," ")</f>
        <v xml:space="preserve"> </v>
      </c>
      <c r="F4575" t="str">
        <f>IFERROR(+VLOOKUP(Movimientos_2026[[#This Row],[Codigo]],Plan_cuentas[],3,FALSE)," ")</f>
        <v xml:space="preserve"> </v>
      </c>
      <c r="G4575" t="str">
        <f>IFERROR(+VLOOKUP(Movimientos_2026[[#This Row],[Codigo]],Plan_cuentas[],4,FALSE)," ")</f>
        <v xml:space="preserve"> </v>
      </c>
      <c r="H4575" t="str">
        <f>IFERROR(+VLOOKUP(Movimientos_2026[[#This Row],[Codigo]],Plan_cuentas[],5,FALSE)," ")</f>
        <v xml:space="preserve"> </v>
      </c>
      <c r="I4575" s="43"/>
      <c r="K4575" t="str">
        <f>IFERROR(+VLOOKUP(Movimientos_2026[[#This Row],[Codigo]],Plan_cuentas[],6,FALSE)," ")</f>
        <v xml:space="preserve"> </v>
      </c>
      <c r="L4575" s="50"/>
      <c r="M4575" s="50"/>
      <c r="N4575" s="20">
        <f>+Movimientos_2026[[#This Row],[Ingresos]]-Movimientos_2026[[#This Row],[Egresos]]</f>
        <v>0</v>
      </c>
      <c r="O4575" s="20">
        <f>+O4574+Movimientos_2026[[#This Row],[Neto]]</f>
        <v>4581558617.7962294</v>
      </c>
    </row>
    <row r="4576" spans="1:15" x14ac:dyDescent="0.25">
      <c r="A4576" s="13"/>
      <c r="B4576" s="12">
        <f>MONTH(Movimientos_2026[[#This Row],[Fecha]])</f>
        <v>1</v>
      </c>
      <c r="C4576" s="12" t="str">
        <f>VLOOKUP((WEEKDAY(Movimientos_2026[[#This Row],[Fecha]],2)),'5. Setup'!$D$6:$E$12,2,FALSE)</f>
        <v>Sab</v>
      </c>
      <c r="E4576" t="str">
        <f>IFERROR(+VLOOKUP(Movimientos_2026[[#This Row],[Codigo]],Plan_cuentas[],2,FALSE)," ")</f>
        <v xml:space="preserve"> </v>
      </c>
      <c r="F4576" t="str">
        <f>IFERROR(+VLOOKUP(Movimientos_2026[[#This Row],[Codigo]],Plan_cuentas[],3,FALSE)," ")</f>
        <v xml:space="preserve"> </v>
      </c>
      <c r="G4576" t="str">
        <f>IFERROR(+VLOOKUP(Movimientos_2026[[#This Row],[Codigo]],Plan_cuentas[],4,FALSE)," ")</f>
        <v xml:space="preserve"> </v>
      </c>
      <c r="H4576" t="str">
        <f>IFERROR(+VLOOKUP(Movimientos_2026[[#This Row],[Codigo]],Plan_cuentas[],5,FALSE)," ")</f>
        <v xml:space="preserve"> </v>
      </c>
      <c r="I4576" s="43"/>
      <c r="K4576" t="str">
        <f>IFERROR(+VLOOKUP(Movimientos_2026[[#This Row],[Codigo]],Plan_cuentas[],6,FALSE)," ")</f>
        <v xml:space="preserve"> </v>
      </c>
      <c r="L4576" s="50"/>
      <c r="M4576" s="50"/>
      <c r="N4576" s="20">
        <f>+Movimientos_2026[[#This Row],[Ingresos]]-Movimientos_2026[[#This Row],[Egresos]]</f>
        <v>0</v>
      </c>
      <c r="O4576" s="20">
        <f>+O4575+Movimientos_2026[[#This Row],[Neto]]</f>
        <v>4581558617.7962294</v>
      </c>
    </row>
    <row r="4577" spans="1:15" x14ac:dyDescent="0.25">
      <c r="A4577" s="13"/>
      <c r="B4577" s="12">
        <f>MONTH(Movimientos_2026[[#This Row],[Fecha]])</f>
        <v>1</v>
      </c>
      <c r="C4577" s="12" t="str">
        <f>VLOOKUP((WEEKDAY(Movimientos_2026[[#This Row],[Fecha]],2)),'5. Setup'!$D$6:$E$12,2,FALSE)</f>
        <v>Sab</v>
      </c>
      <c r="E4577" t="str">
        <f>IFERROR(+VLOOKUP(Movimientos_2026[[#This Row],[Codigo]],Plan_cuentas[],2,FALSE)," ")</f>
        <v xml:space="preserve"> </v>
      </c>
      <c r="F4577" t="str">
        <f>IFERROR(+VLOOKUP(Movimientos_2026[[#This Row],[Codigo]],Plan_cuentas[],3,FALSE)," ")</f>
        <v xml:space="preserve"> </v>
      </c>
      <c r="G4577" t="str">
        <f>IFERROR(+VLOOKUP(Movimientos_2026[[#This Row],[Codigo]],Plan_cuentas[],4,FALSE)," ")</f>
        <v xml:space="preserve"> </v>
      </c>
      <c r="H4577" t="str">
        <f>IFERROR(+VLOOKUP(Movimientos_2026[[#This Row],[Codigo]],Plan_cuentas[],5,FALSE)," ")</f>
        <v xml:space="preserve"> </v>
      </c>
      <c r="I4577" s="43"/>
      <c r="K4577" t="str">
        <f>IFERROR(+VLOOKUP(Movimientos_2026[[#This Row],[Codigo]],Plan_cuentas[],6,FALSE)," ")</f>
        <v xml:space="preserve"> </v>
      </c>
      <c r="L4577" s="50"/>
      <c r="M4577" s="50"/>
      <c r="N4577" s="20">
        <f>+Movimientos_2026[[#This Row],[Ingresos]]-Movimientos_2026[[#This Row],[Egresos]]</f>
        <v>0</v>
      </c>
      <c r="O4577" s="20">
        <f>+O4576+Movimientos_2026[[#This Row],[Neto]]</f>
        <v>4581558617.7962294</v>
      </c>
    </row>
    <row r="4578" spans="1:15" x14ac:dyDescent="0.25">
      <c r="A4578" s="13"/>
      <c r="B4578" s="12">
        <f>MONTH(Movimientos_2026[[#This Row],[Fecha]])</f>
        <v>1</v>
      </c>
      <c r="C4578" s="12" t="str">
        <f>VLOOKUP((WEEKDAY(Movimientos_2026[[#This Row],[Fecha]],2)),'5. Setup'!$D$6:$E$12,2,FALSE)</f>
        <v>Sab</v>
      </c>
      <c r="E4578" t="str">
        <f>IFERROR(+VLOOKUP(Movimientos_2026[[#This Row],[Codigo]],Plan_cuentas[],2,FALSE)," ")</f>
        <v xml:space="preserve"> </v>
      </c>
      <c r="F4578" t="str">
        <f>IFERROR(+VLOOKUP(Movimientos_2026[[#This Row],[Codigo]],Plan_cuentas[],3,FALSE)," ")</f>
        <v xml:space="preserve"> </v>
      </c>
      <c r="G4578" t="str">
        <f>IFERROR(+VLOOKUP(Movimientos_2026[[#This Row],[Codigo]],Plan_cuentas[],4,FALSE)," ")</f>
        <v xml:space="preserve"> </v>
      </c>
      <c r="H4578" t="str">
        <f>IFERROR(+VLOOKUP(Movimientos_2026[[#This Row],[Codigo]],Plan_cuentas[],5,FALSE)," ")</f>
        <v xml:space="preserve"> </v>
      </c>
      <c r="I4578" s="43"/>
      <c r="K4578" t="str">
        <f>IFERROR(+VLOOKUP(Movimientos_2026[[#This Row],[Codigo]],Plan_cuentas[],6,FALSE)," ")</f>
        <v xml:space="preserve"> </v>
      </c>
      <c r="L4578" s="50"/>
      <c r="M4578" s="50"/>
      <c r="N4578" s="20">
        <f>+Movimientos_2026[[#This Row],[Ingresos]]-Movimientos_2026[[#This Row],[Egresos]]</f>
        <v>0</v>
      </c>
      <c r="O4578" s="20">
        <f>+O4577+Movimientos_2026[[#This Row],[Neto]]</f>
        <v>4581558617.7962294</v>
      </c>
    </row>
    <row r="4579" spans="1:15" x14ac:dyDescent="0.25">
      <c r="A4579" s="13"/>
      <c r="B4579" s="12">
        <f>MONTH(Movimientos_2026[[#This Row],[Fecha]])</f>
        <v>1</v>
      </c>
      <c r="C4579" s="12" t="str">
        <f>VLOOKUP((WEEKDAY(Movimientos_2026[[#This Row],[Fecha]],2)),'5. Setup'!$D$6:$E$12,2,FALSE)</f>
        <v>Sab</v>
      </c>
      <c r="E4579" t="str">
        <f>IFERROR(+VLOOKUP(Movimientos_2026[[#This Row],[Codigo]],Plan_cuentas[],2,FALSE)," ")</f>
        <v xml:space="preserve"> </v>
      </c>
      <c r="F4579" t="str">
        <f>IFERROR(+VLOOKUP(Movimientos_2026[[#This Row],[Codigo]],Plan_cuentas[],3,FALSE)," ")</f>
        <v xml:space="preserve"> </v>
      </c>
      <c r="G4579" t="str">
        <f>IFERROR(+VLOOKUP(Movimientos_2026[[#This Row],[Codigo]],Plan_cuentas[],4,FALSE)," ")</f>
        <v xml:space="preserve"> </v>
      </c>
      <c r="H4579" t="str">
        <f>IFERROR(+VLOOKUP(Movimientos_2026[[#This Row],[Codigo]],Plan_cuentas[],5,FALSE)," ")</f>
        <v xml:space="preserve"> </v>
      </c>
      <c r="I4579" s="43"/>
      <c r="K4579" t="str">
        <f>IFERROR(+VLOOKUP(Movimientos_2026[[#This Row],[Codigo]],Plan_cuentas[],6,FALSE)," ")</f>
        <v xml:space="preserve"> </v>
      </c>
      <c r="L4579" s="50"/>
      <c r="M4579" s="50"/>
      <c r="N4579" s="20">
        <f>+Movimientos_2026[[#This Row],[Ingresos]]-Movimientos_2026[[#This Row],[Egresos]]</f>
        <v>0</v>
      </c>
      <c r="O4579" s="20">
        <f>+O4578+Movimientos_2026[[#This Row],[Neto]]</f>
        <v>4581558617.7962294</v>
      </c>
    </row>
    <row r="4580" spans="1:15" x14ac:dyDescent="0.25">
      <c r="A4580" s="13"/>
      <c r="B4580" s="12">
        <f>MONTH(Movimientos_2026[[#This Row],[Fecha]])</f>
        <v>1</v>
      </c>
      <c r="C4580" s="12" t="str">
        <f>VLOOKUP((WEEKDAY(Movimientos_2026[[#This Row],[Fecha]],2)),'5. Setup'!$D$6:$E$12,2,FALSE)</f>
        <v>Sab</v>
      </c>
      <c r="E4580" t="str">
        <f>IFERROR(+VLOOKUP(Movimientos_2026[[#This Row],[Codigo]],Plan_cuentas[],2,FALSE)," ")</f>
        <v xml:space="preserve"> </v>
      </c>
      <c r="F4580" t="str">
        <f>IFERROR(+VLOOKUP(Movimientos_2026[[#This Row],[Codigo]],Plan_cuentas[],3,FALSE)," ")</f>
        <v xml:space="preserve"> </v>
      </c>
      <c r="G4580" t="str">
        <f>IFERROR(+VLOOKUP(Movimientos_2026[[#This Row],[Codigo]],Plan_cuentas[],4,FALSE)," ")</f>
        <v xml:space="preserve"> </v>
      </c>
      <c r="H4580" t="str">
        <f>IFERROR(+VLOOKUP(Movimientos_2026[[#This Row],[Codigo]],Plan_cuentas[],5,FALSE)," ")</f>
        <v xml:space="preserve"> </v>
      </c>
      <c r="I4580" s="43"/>
      <c r="K4580" t="str">
        <f>IFERROR(+VLOOKUP(Movimientos_2026[[#This Row],[Codigo]],Plan_cuentas[],6,FALSE)," ")</f>
        <v xml:space="preserve"> </v>
      </c>
      <c r="L4580" s="50"/>
      <c r="M4580" s="50"/>
      <c r="N4580" s="20">
        <f>+Movimientos_2026[[#This Row],[Ingresos]]-Movimientos_2026[[#This Row],[Egresos]]</f>
        <v>0</v>
      </c>
      <c r="O4580" s="20">
        <f>+O4579+Movimientos_2026[[#This Row],[Neto]]</f>
        <v>4581558617.7962294</v>
      </c>
    </row>
    <row r="4581" spans="1:15" x14ac:dyDescent="0.25">
      <c r="A4581" s="13"/>
      <c r="B4581" s="12">
        <f>MONTH(Movimientos_2026[[#This Row],[Fecha]])</f>
        <v>1</v>
      </c>
      <c r="C4581" s="12" t="str">
        <f>VLOOKUP((WEEKDAY(Movimientos_2026[[#This Row],[Fecha]],2)),'5. Setup'!$D$6:$E$12,2,FALSE)</f>
        <v>Sab</v>
      </c>
      <c r="E4581" t="str">
        <f>IFERROR(+VLOOKUP(Movimientos_2026[[#This Row],[Codigo]],Plan_cuentas[],2,FALSE)," ")</f>
        <v xml:space="preserve"> </v>
      </c>
      <c r="F4581" t="str">
        <f>IFERROR(+VLOOKUP(Movimientos_2026[[#This Row],[Codigo]],Plan_cuentas[],3,FALSE)," ")</f>
        <v xml:space="preserve"> </v>
      </c>
      <c r="G4581" t="str">
        <f>IFERROR(+VLOOKUP(Movimientos_2026[[#This Row],[Codigo]],Plan_cuentas[],4,FALSE)," ")</f>
        <v xml:space="preserve"> </v>
      </c>
      <c r="H4581" t="str">
        <f>IFERROR(+VLOOKUP(Movimientos_2026[[#This Row],[Codigo]],Plan_cuentas[],5,FALSE)," ")</f>
        <v xml:space="preserve"> </v>
      </c>
      <c r="I4581" s="43"/>
      <c r="K4581" t="str">
        <f>IFERROR(+VLOOKUP(Movimientos_2026[[#This Row],[Codigo]],Plan_cuentas[],6,FALSE)," ")</f>
        <v xml:space="preserve"> </v>
      </c>
      <c r="L4581" s="50"/>
      <c r="M4581" s="50"/>
      <c r="N4581" s="20">
        <f>+Movimientos_2026[[#This Row],[Ingresos]]-Movimientos_2026[[#This Row],[Egresos]]</f>
        <v>0</v>
      </c>
      <c r="O4581" s="20">
        <f>+O4580+Movimientos_2026[[#This Row],[Neto]]</f>
        <v>4581558617.7962294</v>
      </c>
    </row>
    <row r="4582" spans="1:15" x14ac:dyDescent="0.25">
      <c r="A4582" s="13"/>
      <c r="B4582" s="12">
        <f>MONTH(Movimientos_2026[[#This Row],[Fecha]])</f>
        <v>1</v>
      </c>
      <c r="C4582" s="12" t="str">
        <f>VLOOKUP((WEEKDAY(Movimientos_2026[[#This Row],[Fecha]],2)),'5. Setup'!$D$6:$E$12,2,FALSE)</f>
        <v>Sab</v>
      </c>
      <c r="E4582" t="str">
        <f>IFERROR(+VLOOKUP(Movimientos_2026[[#This Row],[Codigo]],Plan_cuentas[],2,FALSE)," ")</f>
        <v xml:space="preserve"> </v>
      </c>
      <c r="F4582" t="str">
        <f>IFERROR(+VLOOKUP(Movimientos_2026[[#This Row],[Codigo]],Plan_cuentas[],3,FALSE)," ")</f>
        <v xml:space="preserve"> </v>
      </c>
      <c r="G4582" t="str">
        <f>IFERROR(+VLOOKUP(Movimientos_2026[[#This Row],[Codigo]],Plan_cuentas[],4,FALSE)," ")</f>
        <v xml:space="preserve"> </v>
      </c>
      <c r="H4582" t="str">
        <f>IFERROR(+VLOOKUP(Movimientos_2026[[#This Row],[Codigo]],Plan_cuentas[],5,FALSE)," ")</f>
        <v xml:space="preserve"> </v>
      </c>
      <c r="I4582" s="43"/>
      <c r="K4582" t="str">
        <f>IFERROR(+VLOOKUP(Movimientos_2026[[#This Row],[Codigo]],Plan_cuentas[],6,FALSE)," ")</f>
        <v xml:space="preserve"> </v>
      </c>
      <c r="L4582" s="50"/>
      <c r="M4582" s="50"/>
      <c r="N4582" s="20">
        <f>+Movimientos_2026[[#This Row],[Ingresos]]-Movimientos_2026[[#This Row],[Egresos]]</f>
        <v>0</v>
      </c>
      <c r="O4582" s="20">
        <f>+O4581+Movimientos_2026[[#This Row],[Neto]]</f>
        <v>4581558617.7962294</v>
      </c>
    </row>
    <row r="4583" spans="1:15" x14ac:dyDescent="0.25">
      <c r="A4583" s="13"/>
      <c r="B4583" s="12">
        <f>MONTH(Movimientos_2026[[#This Row],[Fecha]])</f>
        <v>1</v>
      </c>
      <c r="C4583" s="12" t="str">
        <f>VLOOKUP((WEEKDAY(Movimientos_2026[[#This Row],[Fecha]],2)),'5. Setup'!$D$6:$E$12,2,FALSE)</f>
        <v>Sab</v>
      </c>
      <c r="E4583" t="str">
        <f>IFERROR(+VLOOKUP(Movimientos_2026[[#This Row],[Codigo]],Plan_cuentas[],2,FALSE)," ")</f>
        <v xml:space="preserve"> </v>
      </c>
      <c r="F4583" t="str">
        <f>IFERROR(+VLOOKUP(Movimientos_2026[[#This Row],[Codigo]],Plan_cuentas[],3,FALSE)," ")</f>
        <v xml:space="preserve"> </v>
      </c>
      <c r="G4583" t="str">
        <f>IFERROR(+VLOOKUP(Movimientos_2026[[#This Row],[Codigo]],Plan_cuentas[],4,FALSE)," ")</f>
        <v xml:space="preserve"> </v>
      </c>
      <c r="H4583" t="str">
        <f>IFERROR(+VLOOKUP(Movimientos_2026[[#This Row],[Codigo]],Plan_cuentas[],5,FALSE)," ")</f>
        <v xml:space="preserve"> </v>
      </c>
      <c r="I4583" s="43"/>
      <c r="K4583" t="str">
        <f>IFERROR(+VLOOKUP(Movimientos_2026[[#This Row],[Codigo]],Plan_cuentas[],6,FALSE)," ")</f>
        <v xml:space="preserve"> </v>
      </c>
      <c r="L4583" s="50"/>
      <c r="M4583" s="50"/>
      <c r="N4583" s="20">
        <f>+Movimientos_2026[[#This Row],[Ingresos]]-Movimientos_2026[[#This Row],[Egresos]]</f>
        <v>0</v>
      </c>
      <c r="O4583" s="20">
        <f>+O4582+Movimientos_2026[[#This Row],[Neto]]</f>
        <v>4581558617.7962294</v>
      </c>
    </row>
    <row r="4584" spans="1:15" x14ac:dyDescent="0.25">
      <c r="A4584" s="13"/>
      <c r="B4584" s="12">
        <f>MONTH(Movimientos_2026[[#This Row],[Fecha]])</f>
        <v>1</v>
      </c>
      <c r="C4584" s="12" t="str">
        <f>VLOOKUP((WEEKDAY(Movimientos_2026[[#This Row],[Fecha]],2)),'5. Setup'!$D$6:$E$12,2,FALSE)</f>
        <v>Sab</v>
      </c>
      <c r="E4584" t="str">
        <f>IFERROR(+VLOOKUP(Movimientos_2026[[#This Row],[Codigo]],Plan_cuentas[],2,FALSE)," ")</f>
        <v xml:space="preserve"> </v>
      </c>
      <c r="F4584" t="str">
        <f>IFERROR(+VLOOKUP(Movimientos_2026[[#This Row],[Codigo]],Plan_cuentas[],3,FALSE)," ")</f>
        <v xml:space="preserve"> </v>
      </c>
      <c r="G4584" t="str">
        <f>IFERROR(+VLOOKUP(Movimientos_2026[[#This Row],[Codigo]],Plan_cuentas[],4,FALSE)," ")</f>
        <v xml:space="preserve"> </v>
      </c>
      <c r="H4584" t="str">
        <f>IFERROR(+VLOOKUP(Movimientos_2026[[#This Row],[Codigo]],Plan_cuentas[],5,FALSE)," ")</f>
        <v xml:space="preserve"> </v>
      </c>
      <c r="I4584" s="43"/>
      <c r="K4584" t="str">
        <f>IFERROR(+VLOOKUP(Movimientos_2026[[#This Row],[Codigo]],Plan_cuentas[],6,FALSE)," ")</f>
        <v xml:space="preserve"> </v>
      </c>
      <c r="L4584" s="50"/>
      <c r="M4584" s="50"/>
      <c r="N4584" s="20">
        <f>+Movimientos_2026[[#This Row],[Ingresos]]-Movimientos_2026[[#This Row],[Egresos]]</f>
        <v>0</v>
      </c>
      <c r="O4584" s="20">
        <f>+O4583+Movimientos_2026[[#This Row],[Neto]]</f>
        <v>4581558617.7962294</v>
      </c>
    </row>
    <row r="4585" spans="1:15" x14ac:dyDescent="0.25">
      <c r="A4585" s="13"/>
      <c r="B4585" s="12">
        <f>MONTH(Movimientos_2026[[#This Row],[Fecha]])</f>
        <v>1</v>
      </c>
      <c r="C4585" s="12" t="str">
        <f>VLOOKUP((WEEKDAY(Movimientos_2026[[#This Row],[Fecha]],2)),'5. Setup'!$D$6:$E$12,2,FALSE)</f>
        <v>Sab</v>
      </c>
      <c r="E4585" t="str">
        <f>IFERROR(+VLOOKUP(Movimientos_2026[[#This Row],[Codigo]],Plan_cuentas[],2,FALSE)," ")</f>
        <v xml:space="preserve"> </v>
      </c>
      <c r="F4585" t="str">
        <f>IFERROR(+VLOOKUP(Movimientos_2026[[#This Row],[Codigo]],Plan_cuentas[],3,FALSE)," ")</f>
        <v xml:space="preserve"> </v>
      </c>
      <c r="G4585" t="str">
        <f>IFERROR(+VLOOKUP(Movimientos_2026[[#This Row],[Codigo]],Plan_cuentas[],4,FALSE)," ")</f>
        <v xml:space="preserve"> </v>
      </c>
      <c r="H4585" t="str">
        <f>IFERROR(+VLOOKUP(Movimientos_2026[[#This Row],[Codigo]],Plan_cuentas[],5,FALSE)," ")</f>
        <v xml:space="preserve"> </v>
      </c>
      <c r="I4585" s="43"/>
      <c r="K4585" t="str">
        <f>IFERROR(+VLOOKUP(Movimientos_2026[[#This Row],[Codigo]],Plan_cuentas[],6,FALSE)," ")</f>
        <v xml:space="preserve"> </v>
      </c>
      <c r="L4585" s="50"/>
      <c r="M4585" s="50"/>
      <c r="N4585" s="20">
        <f>+Movimientos_2026[[#This Row],[Ingresos]]-Movimientos_2026[[#This Row],[Egresos]]</f>
        <v>0</v>
      </c>
      <c r="O4585" s="20">
        <f>+O4584+Movimientos_2026[[#This Row],[Neto]]</f>
        <v>4581558617.7962294</v>
      </c>
    </row>
    <row r="4586" spans="1:15" x14ac:dyDescent="0.25">
      <c r="A4586" s="13"/>
      <c r="B4586" s="12">
        <f>MONTH(Movimientos_2026[[#This Row],[Fecha]])</f>
        <v>1</v>
      </c>
      <c r="C4586" s="12" t="str">
        <f>VLOOKUP((WEEKDAY(Movimientos_2026[[#This Row],[Fecha]],2)),'5. Setup'!$D$6:$E$12,2,FALSE)</f>
        <v>Sab</v>
      </c>
      <c r="E4586" t="str">
        <f>IFERROR(+VLOOKUP(Movimientos_2026[[#This Row],[Codigo]],Plan_cuentas[],2,FALSE)," ")</f>
        <v xml:space="preserve"> </v>
      </c>
      <c r="F4586" t="str">
        <f>IFERROR(+VLOOKUP(Movimientos_2026[[#This Row],[Codigo]],Plan_cuentas[],3,FALSE)," ")</f>
        <v xml:space="preserve"> </v>
      </c>
      <c r="G4586" t="str">
        <f>IFERROR(+VLOOKUP(Movimientos_2026[[#This Row],[Codigo]],Plan_cuentas[],4,FALSE)," ")</f>
        <v xml:space="preserve"> </v>
      </c>
      <c r="H4586" t="str">
        <f>IFERROR(+VLOOKUP(Movimientos_2026[[#This Row],[Codigo]],Plan_cuentas[],5,FALSE)," ")</f>
        <v xml:space="preserve"> </v>
      </c>
      <c r="I4586" s="43"/>
      <c r="K4586" t="str">
        <f>IFERROR(+VLOOKUP(Movimientos_2026[[#This Row],[Codigo]],Plan_cuentas[],6,FALSE)," ")</f>
        <v xml:space="preserve"> </v>
      </c>
      <c r="L4586" s="50"/>
      <c r="M4586" s="50"/>
      <c r="N4586" s="20">
        <f>+Movimientos_2026[[#This Row],[Ingresos]]-Movimientos_2026[[#This Row],[Egresos]]</f>
        <v>0</v>
      </c>
      <c r="O4586" s="20">
        <f>+O4585+Movimientos_2026[[#This Row],[Neto]]</f>
        <v>4581558617.7962294</v>
      </c>
    </row>
    <row r="4587" spans="1:15" x14ac:dyDescent="0.25">
      <c r="A4587" s="13"/>
      <c r="B4587" s="12">
        <f>MONTH(Movimientos_2026[[#This Row],[Fecha]])</f>
        <v>1</v>
      </c>
      <c r="C4587" s="12" t="str">
        <f>VLOOKUP((WEEKDAY(Movimientos_2026[[#This Row],[Fecha]],2)),'5. Setup'!$D$6:$E$12,2,FALSE)</f>
        <v>Sab</v>
      </c>
      <c r="E4587" t="str">
        <f>IFERROR(+VLOOKUP(Movimientos_2026[[#This Row],[Codigo]],Plan_cuentas[],2,FALSE)," ")</f>
        <v xml:space="preserve"> </v>
      </c>
      <c r="F4587" t="str">
        <f>IFERROR(+VLOOKUP(Movimientos_2026[[#This Row],[Codigo]],Plan_cuentas[],3,FALSE)," ")</f>
        <v xml:space="preserve"> </v>
      </c>
      <c r="G4587" t="str">
        <f>IFERROR(+VLOOKUP(Movimientos_2026[[#This Row],[Codigo]],Plan_cuentas[],4,FALSE)," ")</f>
        <v xml:space="preserve"> </v>
      </c>
      <c r="H4587" t="str">
        <f>IFERROR(+VLOOKUP(Movimientos_2026[[#This Row],[Codigo]],Plan_cuentas[],5,FALSE)," ")</f>
        <v xml:space="preserve"> </v>
      </c>
      <c r="I4587" s="43"/>
      <c r="K4587" t="str">
        <f>IFERROR(+VLOOKUP(Movimientos_2026[[#This Row],[Codigo]],Plan_cuentas[],6,FALSE)," ")</f>
        <v xml:space="preserve"> </v>
      </c>
      <c r="L4587" s="50"/>
      <c r="M4587" s="50"/>
      <c r="N4587" s="20">
        <f>+Movimientos_2026[[#This Row],[Ingresos]]-Movimientos_2026[[#This Row],[Egresos]]</f>
        <v>0</v>
      </c>
      <c r="O4587" s="20">
        <f>+O4586+Movimientos_2026[[#This Row],[Neto]]</f>
        <v>4581558617.7962294</v>
      </c>
    </row>
    <row r="4588" spans="1:15" x14ac:dyDescent="0.25">
      <c r="A4588" s="13"/>
      <c r="B4588" s="12">
        <f>MONTH(Movimientos_2026[[#This Row],[Fecha]])</f>
        <v>1</v>
      </c>
      <c r="C4588" s="12" t="str">
        <f>VLOOKUP((WEEKDAY(Movimientos_2026[[#This Row],[Fecha]],2)),'5. Setup'!$D$6:$E$12,2,FALSE)</f>
        <v>Sab</v>
      </c>
      <c r="E4588" t="str">
        <f>IFERROR(+VLOOKUP(Movimientos_2026[[#This Row],[Codigo]],Plan_cuentas[],2,FALSE)," ")</f>
        <v xml:space="preserve"> </v>
      </c>
      <c r="F4588" t="str">
        <f>IFERROR(+VLOOKUP(Movimientos_2026[[#This Row],[Codigo]],Plan_cuentas[],3,FALSE)," ")</f>
        <v xml:space="preserve"> </v>
      </c>
      <c r="G4588" t="str">
        <f>IFERROR(+VLOOKUP(Movimientos_2026[[#This Row],[Codigo]],Plan_cuentas[],4,FALSE)," ")</f>
        <v xml:space="preserve"> </v>
      </c>
      <c r="H4588" t="str">
        <f>IFERROR(+VLOOKUP(Movimientos_2026[[#This Row],[Codigo]],Plan_cuentas[],5,FALSE)," ")</f>
        <v xml:space="preserve"> </v>
      </c>
      <c r="I4588" s="43"/>
      <c r="K4588" t="str">
        <f>IFERROR(+VLOOKUP(Movimientos_2026[[#This Row],[Codigo]],Plan_cuentas[],6,FALSE)," ")</f>
        <v xml:space="preserve"> </v>
      </c>
      <c r="L4588" s="50"/>
      <c r="M4588" s="50"/>
      <c r="N4588" s="20">
        <f>+Movimientos_2026[[#This Row],[Ingresos]]-Movimientos_2026[[#This Row],[Egresos]]</f>
        <v>0</v>
      </c>
      <c r="O4588" s="20">
        <f>+O4587+Movimientos_2026[[#This Row],[Neto]]</f>
        <v>4581558617.7962294</v>
      </c>
    </row>
    <row r="4589" spans="1:15" x14ac:dyDescent="0.25">
      <c r="A4589" s="13"/>
      <c r="B4589" s="12">
        <f>MONTH(Movimientos_2026[[#This Row],[Fecha]])</f>
        <v>1</v>
      </c>
      <c r="C4589" s="12" t="str">
        <f>VLOOKUP((WEEKDAY(Movimientos_2026[[#This Row],[Fecha]],2)),'5. Setup'!$D$6:$E$12,2,FALSE)</f>
        <v>Sab</v>
      </c>
      <c r="E4589" t="str">
        <f>IFERROR(+VLOOKUP(Movimientos_2026[[#This Row],[Codigo]],Plan_cuentas[],2,FALSE)," ")</f>
        <v xml:space="preserve"> </v>
      </c>
      <c r="F4589" t="str">
        <f>IFERROR(+VLOOKUP(Movimientos_2026[[#This Row],[Codigo]],Plan_cuentas[],3,FALSE)," ")</f>
        <v xml:space="preserve"> </v>
      </c>
      <c r="G4589" t="str">
        <f>IFERROR(+VLOOKUP(Movimientos_2026[[#This Row],[Codigo]],Plan_cuentas[],4,FALSE)," ")</f>
        <v xml:space="preserve"> </v>
      </c>
      <c r="H4589" t="str">
        <f>IFERROR(+VLOOKUP(Movimientos_2026[[#This Row],[Codigo]],Plan_cuentas[],5,FALSE)," ")</f>
        <v xml:space="preserve"> </v>
      </c>
      <c r="I4589" s="43"/>
      <c r="K4589" t="str">
        <f>IFERROR(+VLOOKUP(Movimientos_2026[[#This Row],[Codigo]],Plan_cuentas[],6,FALSE)," ")</f>
        <v xml:space="preserve"> </v>
      </c>
      <c r="L4589" s="50"/>
      <c r="M4589" s="50"/>
      <c r="N4589" s="20">
        <f>+Movimientos_2026[[#This Row],[Ingresos]]-Movimientos_2026[[#This Row],[Egresos]]</f>
        <v>0</v>
      </c>
      <c r="O4589" s="20">
        <f>+O4588+Movimientos_2026[[#This Row],[Neto]]</f>
        <v>4581558617.7962294</v>
      </c>
    </row>
    <row r="4590" spans="1:15" x14ac:dyDescent="0.25">
      <c r="A4590" s="13"/>
      <c r="B4590" s="12">
        <f>MONTH(Movimientos_2026[[#This Row],[Fecha]])</f>
        <v>1</v>
      </c>
      <c r="C4590" s="12" t="str">
        <f>VLOOKUP((WEEKDAY(Movimientos_2026[[#This Row],[Fecha]],2)),'5. Setup'!$D$6:$E$12,2,FALSE)</f>
        <v>Sab</v>
      </c>
      <c r="E4590" t="str">
        <f>IFERROR(+VLOOKUP(Movimientos_2026[[#This Row],[Codigo]],Plan_cuentas[],2,FALSE)," ")</f>
        <v xml:space="preserve"> </v>
      </c>
      <c r="F4590" t="str">
        <f>IFERROR(+VLOOKUP(Movimientos_2026[[#This Row],[Codigo]],Plan_cuentas[],3,FALSE)," ")</f>
        <v xml:space="preserve"> </v>
      </c>
      <c r="G4590" t="str">
        <f>IFERROR(+VLOOKUP(Movimientos_2026[[#This Row],[Codigo]],Plan_cuentas[],4,FALSE)," ")</f>
        <v xml:space="preserve"> </v>
      </c>
      <c r="H4590" t="str">
        <f>IFERROR(+VLOOKUP(Movimientos_2026[[#This Row],[Codigo]],Plan_cuentas[],5,FALSE)," ")</f>
        <v xml:space="preserve"> </v>
      </c>
      <c r="I4590" s="43"/>
      <c r="K4590" t="str">
        <f>IFERROR(+VLOOKUP(Movimientos_2026[[#This Row],[Codigo]],Plan_cuentas[],6,FALSE)," ")</f>
        <v xml:space="preserve"> </v>
      </c>
      <c r="L4590" s="50"/>
      <c r="M4590" s="50"/>
      <c r="N4590" s="20">
        <f>+Movimientos_2026[[#This Row],[Ingresos]]-Movimientos_2026[[#This Row],[Egresos]]</f>
        <v>0</v>
      </c>
      <c r="O4590" s="20">
        <f>+O4589+Movimientos_2026[[#This Row],[Neto]]</f>
        <v>4581558617.7962294</v>
      </c>
    </row>
    <row r="4591" spans="1:15" x14ac:dyDescent="0.25">
      <c r="A4591" s="13"/>
      <c r="B4591" s="12">
        <f>MONTH(Movimientos_2026[[#This Row],[Fecha]])</f>
        <v>1</v>
      </c>
      <c r="C4591" s="12" t="str">
        <f>VLOOKUP((WEEKDAY(Movimientos_2026[[#This Row],[Fecha]],2)),'5. Setup'!$D$6:$E$12,2,FALSE)</f>
        <v>Sab</v>
      </c>
      <c r="E4591" t="str">
        <f>IFERROR(+VLOOKUP(Movimientos_2026[[#This Row],[Codigo]],Plan_cuentas[],2,FALSE)," ")</f>
        <v xml:space="preserve"> </v>
      </c>
      <c r="F4591" t="str">
        <f>IFERROR(+VLOOKUP(Movimientos_2026[[#This Row],[Codigo]],Plan_cuentas[],3,FALSE)," ")</f>
        <v xml:space="preserve"> </v>
      </c>
      <c r="G4591" t="str">
        <f>IFERROR(+VLOOKUP(Movimientos_2026[[#This Row],[Codigo]],Plan_cuentas[],4,FALSE)," ")</f>
        <v xml:space="preserve"> </v>
      </c>
      <c r="H4591" t="str">
        <f>IFERROR(+VLOOKUP(Movimientos_2026[[#This Row],[Codigo]],Plan_cuentas[],5,FALSE)," ")</f>
        <v xml:space="preserve"> </v>
      </c>
      <c r="I4591" s="43"/>
      <c r="K4591" t="str">
        <f>IFERROR(+VLOOKUP(Movimientos_2026[[#This Row],[Codigo]],Plan_cuentas[],6,FALSE)," ")</f>
        <v xml:space="preserve"> </v>
      </c>
      <c r="L4591" s="50"/>
      <c r="M4591" s="50"/>
      <c r="N4591" s="20">
        <f>+Movimientos_2026[[#This Row],[Ingresos]]-Movimientos_2026[[#This Row],[Egresos]]</f>
        <v>0</v>
      </c>
      <c r="O4591" s="20">
        <f>+O4590+Movimientos_2026[[#This Row],[Neto]]</f>
        <v>4581558617.7962294</v>
      </c>
    </row>
    <row r="4592" spans="1:15" x14ac:dyDescent="0.25">
      <c r="A4592" s="13"/>
      <c r="B4592" s="12">
        <f>MONTH(Movimientos_2026[[#This Row],[Fecha]])</f>
        <v>1</v>
      </c>
      <c r="C4592" s="12" t="str">
        <f>VLOOKUP((WEEKDAY(Movimientos_2026[[#This Row],[Fecha]],2)),'5. Setup'!$D$6:$E$12,2,FALSE)</f>
        <v>Sab</v>
      </c>
      <c r="E4592" t="str">
        <f>IFERROR(+VLOOKUP(Movimientos_2026[[#This Row],[Codigo]],Plan_cuentas[],2,FALSE)," ")</f>
        <v xml:space="preserve"> </v>
      </c>
      <c r="F4592" t="str">
        <f>IFERROR(+VLOOKUP(Movimientos_2026[[#This Row],[Codigo]],Plan_cuentas[],3,FALSE)," ")</f>
        <v xml:space="preserve"> </v>
      </c>
      <c r="G4592" t="str">
        <f>IFERROR(+VLOOKUP(Movimientos_2026[[#This Row],[Codigo]],Plan_cuentas[],4,FALSE)," ")</f>
        <v xml:space="preserve"> </v>
      </c>
      <c r="H4592" t="str">
        <f>IFERROR(+VLOOKUP(Movimientos_2026[[#This Row],[Codigo]],Plan_cuentas[],5,FALSE)," ")</f>
        <v xml:space="preserve"> </v>
      </c>
      <c r="I4592" s="43"/>
      <c r="K4592" t="str">
        <f>IFERROR(+VLOOKUP(Movimientos_2026[[#This Row],[Codigo]],Plan_cuentas[],6,FALSE)," ")</f>
        <v xml:space="preserve"> </v>
      </c>
      <c r="L4592" s="50"/>
      <c r="M4592" s="50"/>
      <c r="N4592" s="20">
        <f>+Movimientos_2026[[#This Row],[Ingresos]]-Movimientos_2026[[#This Row],[Egresos]]</f>
        <v>0</v>
      </c>
      <c r="O4592" s="20">
        <f>+O4591+Movimientos_2026[[#This Row],[Neto]]</f>
        <v>4581558617.7962294</v>
      </c>
    </row>
    <row r="4593" spans="1:15" x14ac:dyDescent="0.25">
      <c r="A4593" s="13"/>
      <c r="B4593" s="12">
        <f>MONTH(Movimientos_2026[[#This Row],[Fecha]])</f>
        <v>1</v>
      </c>
      <c r="C4593" s="12" t="str">
        <f>VLOOKUP((WEEKDAY(Movimientos_2026[[#This Row],[Fecha]],2)),'5. Setup'!$D$6:$E$12,2,FALSE)</f>
        <v>Sab</v>
      </c>
      <c r="E4593" t="str">
        <f>IFERROR(+VLOOKUP(Movimientos_2026[[#This Row],[Codigo]],Plan_cuentas[],2,FALSE)," ")</f>
        <v xml:space="preserve"> </v>
      </c>
      <c r="F4593" t="str">
        <f>IFERROR(+VLOOKUP(Movimientos_2026[[#This Row],[Codigo]],Plan_cuentas[],3,FALSE)," ")</f>
        <v xml:space="preserve"> </v>
      </c>
      <c r="G4593" t="str">
        <f>IFERROR(+VLOOKUP(Movimientos_2026[[#This Row],[Codigo]],Plan_cuentas[],4,FALSE)," ")</f>
        <v xml:space="preserve"> </v>
      </c>
      <c r="H4593" t="str">
        <f>IFERROR(+VLOOKUP(Movimientos_2026[[#This Row],[Codigo]],Plan_cuentas[],5,FALSE)," ")</f>
        <v xml:space="preserve"> </v>
      </c>
      <c r="I4593" s="43"/>
      <c r="K4593" t="str">
        <f>IFERROR(+VLOOKUP(Movimientos_2026[[#This Row],[Codigo]],Plan_cuentas[],6,FALSE)," ")</f>
        <v xml:space="preserve"> </v>
      </c>
      <c r="L4593" s="50"/>
      <c r="M4593" s="50"/>
      <c r="N4593" s="20">
        <f>+Movimientos_2026[[#This Row],[Ingresos]]-Movimientos_2026[[#This Row],[Egresos]]</f>
        <v>0</v>
      </c>
      <c r="O4593" s="20">
        <f>+O4592+Movimientos_2026[[#This Row],[Neto]]</f>
        <v>4581558617.7962294</v>
      </c>
    </row>
    <row r="4594" spans="1:15" x14ac:dyDescent="0.25">
      <c r="A4594" s="13"/>
      <c r="B4594" s="12">
        <f>MONTH(Movimientos_2026[[#This Row],[Fecha]])</f>
        <v>1</v>
      </c>
      <c r="C4594" s="12" t="str">
        <f>VLOOKUP((WEEKDAY(Movimientos_2026[[#This Row],[Fecha]],2)),'5. Setup'!$D$6:$E$12,2,FALSE)</f>
        <v>Sab</v>
      </c>
      <c r="E4594" t="str">
        <f>IFERROR(+VLOOKUP(Movimientos_2026[[#This Row],[Codigo]],Plan_cuentas[],2,FALSE)," ")</f>
        <v xml:space="preserve"> </v>
      </c>
      <c r="F4594" t="str">
        <f>IFERROR(+VLOOKUP(Movimientos_2026[[#This Row],[Codigo]],Plan_cuentas[],3,FALSE)," ")</f>
        <v xml:space="preserve"> </v>
      </c>
      <c r="G4594" t="str">
        <f>IFERROR(+VLOOKUP(Movimientos_2026[[#This Row],[Codigo]],Plan_cuentas[],4,FALSE)," ")</f>
        <v xml:space="preserve"> </v>
      </c>
      <c r="H4594" t="str">
        <f>IFERROR(+VLOOKUP(Movimientos_2026[[#This Row],[Codigo]],Plan_cuentas[],5,FALSE)," ")</f>
        <v xml:space="preserve"> </v>
      </c>
      <c r="I4594" s="43"/>
      <c r="K4594" t="str">
        <f>IFERROR(+VLOOKUP(Movimientos_2026[[#This Row],[Codigo]],Plan_cuentas[],6,FALSE)," ")</f>
        <v xml:space="preserve"> </v>
      </c>
      <c r="L4594" s="50"/>
      <c r="M4594" s="50"/>
      <c r="N4594" s="20">
        <f>+Movimientos_2026[[#This Row],[Ingresos]]-Movimientos_2026[[#This Row],[Egresos]]</f>
        <v>0</v>
      </c>
      <c r="O4594" s="20">
        <f>+O4593+Movimientos_2026[[#This Row],[Neto]]</f>
        <v>4581558617.7962294</v>
      </c>
    </row>
    <row r="4595" spans="1:15" x14ac:dyDescent="0.25">
      <c r="A4595" s="13"/>
      <c r="B4595" s="12">
        <f>MONTH(Movimientos_2026[[#This Row],[Fecha]])</f>
        <v>1</v>
      </c>
      <c r="C4595" s="12" t="str">
        <f>VLOOKUP((WEEKDAY(Movimientos_2026[[#This Row],[Fecha]],2)),'5. Setup'!$D$6:$E$12,2,FALSE)</f>
        <v>Sab</v>
      </c>
      <c r="E4595" t="str">
        <f>IFERROR(+VLOOKUP(Movimientos_2026[[#This Row],[Codigo]],Plan_cuentas[],2,FALSE)," ")</f>
        <v xml:space="preserve"> </v>
      </c>
      <c r="F4595" t="str">
        <f>IFERROR(+VLOOKUP(Movimientos_2026[[#This Row],[Codigo]],Plan_cuentas[],3,FALSE)," ")</f>
        <v xml:space="preserve"> </v>
      </c>
      <c r="G4595" t="str">
        <f>IFERROR(+VLOOKUP(Movimientos_2026[[#This Row],[Codigo]],Plan_cuentas[],4,FALSE)," ")</f>
        <v xml:space="preserve"> </v>
      </c>
      <c r="H4595" t="str">
        <f>IFERROR(+VLOOKUP(Movimientos_2026[[#This Row],[Codigo]],Plan_cuentas[],5,FALSE)," ")</f>
        <v xml:space="preserve"> </v>
      </c>
      <c r="I4595" s="43"/>
      <c r="K4595" t="str">
        <f>IFERROR(+VLOOKUP(Movimientos_2026[[#This Row],[Codigo]],Plan_cuentas[],6,FALSE)," ")</f>
        <v xml:space="preserve"> </v>
      </c>
      <c r="L4595" s="50"/>
      <c r="M4595" s="50"/>
      <c r="N4595" s="20">
        <f>+Movimientos_2026[[#This Row],[Ingresos]]-Movimientos_2026[[#This Row],[Egresos]]</f>
        <v>0</v>
      </c>
      <c r="O4595" s="20">
        <f>+O4594+Movimientos_2026[[#This Row],[Neto]]</f>
        <v>4581558617.7962294</v>
      </c>
    </row>
    <row r="4596" spans="1:15" x14ac:dyDescent="0.25">
      <c r="A4596" s="13"/>
      <c r="B4596" s="12">
        <f>MONTH(Movimientos_2026[[#This Row],[Fecha]])</f>
        <v>1</v>
      </c>
      <c r="C4596" s="12" t="str">
        <f>VLOOKUP((WEEKDAY(Movimientos_2026[[#This Row],[Fecha]],2)),'5. Setup'!$D$6:$E$12,2,FALSE)</f>
        <v>Sab</v>
      </c>
      <c r="E4596" t="str">
        <f>IFERROR(+VLOOKUP(Movimientos_2026[[#This Row],[Codigo]],Plan_cuentas[],2,FALSE)," ")</f>
        <v xml:space="preserve"> </v>
      </c>
      <c r="F4596" t="str">
        <f>IFERROR(+VLOOKUP(Movimientos_2026[[#This Row],[Codigo]],Plan_cuentas[],3,FALSE)," ")</f>
        <v xml:space="preserve"> </v>
      </c>
      <c r="G4596" t="str">
        <f>IFERROR(+VLOOKUP(Movimientos_2026[[#This Row],[Codigo]],Plan_cuentas[],4,FALSE)," ")</f>
        <v xml:space="preserve"> </v>
      </c>
      <c r="H4596" t="str">
        <f>IFERROR(+VLOOKUP(Movimientos_2026[[#This Row],[Codigo]],Plan_cuentas[],5,FALSE)," ")</f>
        <v xml:space="preserve"> </v>
      </c>
      <c r="I4596" s="43"/>
      <c r="K4596" t="str">
        <f>IFERROR(+VLOOKUP(Movimientos_2026[[#This Row],[Codigo]],Plan_cuentas[],6,FALSE)," ")</f>
        <v xml:space="preserve"> </v>
      </c>
      <c r="L4596" s="50"/>
      <c r="M4596" s="50"/>
      <c r="N4596" s="20">
        <f>+Movimientos_2026[[#This Row],[Ingresos]]-Movimientos_2026[[#This Row],[Egresos]]</f>
        <v>0</v>
      </c>
      <c r="O4596" s="20">
        <f>+O4595+Movimientos_2026[[#This Row],[Neto]]</f>
        <v>4581558617.7962294</v>
      </c>
    </row>
    <row r="4597" spans="1:15" x14ac:dyDescent="0.25">
      <c r="A4597" s="13"/>
      <c r="B4597" s="12">
        <f>MONTH(Movimientos_2026[[#This Row],[Fecha]])</f>
        <v>1</v>
      </c>
      <c r="C4597" s="12" t="str">
        <f>VLOOKUP((WEEKDAY(Movimientos_2026[[#This Row],[Fecha]],2)),'5. Setup'!$D$6:$E$12,2,FALSE)</f>
        <v>Sab</v>
      </c>
      <c r="E4597" t="str">
        <f>IFERROR(+VLOOKUP(Movimientos_2026[[#This Row],[Codigo]],Plan_cuentas[],2,FALSE)," ")</f>
        <v xml:space="preserve"> </v>
      </c>
      <c r="F4597" t="str">
        <f>IFERROR(+VLOOKUP(Movimientos_2026[[#This Row],[Codigo]],Plan_cuentas[],3,FALSE)," ")</f>
        <v xml:space="preserve"> </v>
      </c>
      <c r="G4597" t="str">
        <f>IFERROR(+VLOOKUP(Movimientos_2026[[#This Row],[Codigo]],Plan_cuentas[],4,FALSE)," ")</f>
        <v xml:space="preserve"> </v>
      </c>
      <c r="H4597" t="str">
        <f>IFERROR(+VLOOKUP(Movimientos_2026[[#This Row],[Codigo]],Plan_cuentas[],5,FALSE)," ")</f>
        <v xml:space="preserve"> </v>
      </c>
      <c r="I4597" s="43"/>
      <c r="K4597" t="str">
        <f>IFERROR(+VLOOKUP(Movimientos_2026[[#This Row],[Codigo]],Plan_cuentas[],6,FALSE)," ")</f>
        <v xml:space="preserve"> </v>
      </c>
      <c r="L4597" s="50"/>
      <c r="M4597" s="50"/>
      <c r="N4597" s="20">
        <f>+Movimientos_2026[[#This Row],[Ingresos]]-Movimientos_2026[[#This Row],[Egresos]]</f>
        <v>0</v>
      </c>
      <c r="O4597" s="20">
        <f>+O4596+Movimientos_2026[[#This Row],[Neto]]</f>
        <v>4581558617.7962294</v>
      </c>
    </row>
    <row r="4598" spans="1:15" x14ac:dyDescent="0.25">
      <c r="A4598" s="13"/>
      <c r="B4598" s="12">
        <f>MONTH(Movimientos_2026[[#This Row],[Fecha]])</f>
        <v>1</v>
      </c>
      <c r="C4598" s="12" t="str">
        <f>VLOOKUP((WEEKDAY(Movimientos_2026[[#This Row],[Fecha]],2)),'5. Setup'!$D$6:$E$12,2,FALSE)</f>
        <v>Sab</v>
      </c>
      <c r="E4598" t="str">
        <f>IFERROR(+VLOOKUP(Movimientos_2026[[#This Row],[Codigo]],Plan_cuentas[],2,FALSE)," ")</f>
        <v xml:space="preserve"> </v>
      </c>
      <c r="F4598" t="str">
        <f>IFERROR(+VLOOKUP(Movimientos_2026[[#This Row],[Codigo]],Plan_cuentas[],3,FALSE)," ")</f>
        <v xml:space="preserve"> </v>
      </c>
      <c r="G4598" t="str">
        <f>IFERROR(+VLOOKUP(Movimientos_2026[[#This Row],[Codigo]],Plan_cuentas[],4,FALSE)," ")</f>
        <v xml:space="preserve"> </v>
      </c>
      <c r="H4598" t="str">
        <f>IFERROR(+VLOOKUP(Movimientos_2026[[#This Row],[Codigo]],Plan_cuentas[],5,FALSE)," ")</f>
        <v xml:space="preserve"> </v>
      </c>
      <c r="I4598" s="43"/>
      <c r="K4598" t="str">
        <f>IFERROR(+VLOOKUP(Movimientos_2026[[#This Row],[Codigo]],Plan_cuentas[],6,FALSE)," ")</f>
        <v xml:space="preserve"> </v>
      </c>
      <c r="L4598" s="50"/>
      <c r="M4598" s="50"/>
      <c r="N4598" s="20">
        <f>+Movimientos_2026[[#This Row],[Ingresos]]-Movimientos_2026[[#This Row],[Egresos]]</f>
        <v>0</v>
      </c>
      <c r="O4598" s="20">
        <f>+O4597+Movimientos_2026[[#This Row],[Neto]]</f>
        <v>4581558617.7962294</v>
      </c>
    </row>
    <row r="4599" spans="1:15" x14ac:dyDescent="0.25">
      <c r="A4599" s="13"/>
      <c r="B4599" s="12">
        <f>MONTH(Movimientos_2026[[#This Row],[Fecha]])</f>
        <v>1</v>
      </c>
      <c r="C4599" s="12" t="str">
        <f>VLOOKUP((WEEKDAY(Movimientos_2026[[#This Row],[Fecha]],2)),'5. Setup'!$D$6:$E$12,2,FALSE)</f>
        <v>Sab</v>
      </c>
      <c r="E4599" t="str">
        <f>IFERROR(+VLOOKUP(Movimientos_2026[[#This Row],[Codigo]],Plan_cuentas[],2,FALSE)," ")</f>
        <v xml:space="preserve"> </v>
      </c>
      <c r="F4599" t="str">
        <f>IFERROR(+VLOOKUP(Movimientos_2026[[#This Row],[Codigo]],Plan_cuentas[],3,FALSE)," ")</f>
        <v xml:space="preserve"> </v>
      </c>
      <c r="G4599" t="str">
        <f>IFERROR(+VLOOKUP(Movimientos_2026[[#This Row],[Codigo]],Plan_cuentas[],4,FALSE)," ")</f>
        <v xml:space="preserve"> </v>
      </c>
      <c r="H4599" t="str">
        <f>IFERROR(+VLOOKUP(Movimientos_2026[[#This Row],[Codigo]],Plan_cuentas[],5,FALSE)," ")</f>
        <v xml:space="preserve"> </v>
      </c>
      <c r="I4599" s="43"/>
      <c r="K4599" t="str">
        <f>IFERROR(+VLOOKUP(Movimientos_2026[[#This Row],[Codigo]],Plan_cuentas[],6,FALSE)," ")</f>
        <v xml:space="preserve"> </v>
      </c>
      <c r="L4599" s="50"/>
      <c r="M4599" s="50"/>
      <c r="N4599" s="20">
        <f>+Movimientos_2026[[#This Row],[Ingresos]]-Movimientos_2026[[#This Row],[Egresos]]</f>
        <v>0</v>
      </c>
      <c r="O4599" s="20">
        <f>+O4598+Movimientos_2026[[#This Row],[Neto]]</f>
        <v>4581558617.7962294</v>
      </c>
    </row>
    <row r="4600" spans="1:15" x14ac:dyDescent="0.25">
      <c r="A4600" s="13"/>
      <c r="B4600" s="12">
        <f>MONTH(Movimientos_2026[[#This Row],[Fecha]])</f>
        <v>1</v>
      </c>
      <c r="C4600" s="12" t="str">
        <f>VLOOKUP((WEEKDAY(Movimientos_2026[[#This Row],[Fecha]],2)),'5. Setup'!$D$6:$E$12,2,FALSE)</f>
        <v>Sab</v>
      </c>
      <c r="E4600" t="str">
        <f>IFERROR(+VLOOKUP(Movimientos_2026[[#This Row],[Codigo]],Plan_cuentas[],2,FALSE)," ")</f>
        <v xml:space="preserve"> </v>
      </c>
      <c r="F4600" t="str">
        <f>IFERROR(+VLOOKUP(Movimientos_2026[[#This Row],[Codigo]],Plan_cuentas[],3,FALSE)," ")</f>
        <v xml:space="preserve"> </v>
      </c>
      <c r="G4600" t="str">
        <f>IFERROR(+VLOOKUP(Movimientos_2026[[#This Row],[Codigo]],Plan_cuentas[],4,FALSE)," ")</f>
        <v xml:space="preserve"> </v>
      </c>
      <c r="H4600" t="str">
        <f>IFERROR(+VLOOKUP(Movimientos_2026[[#This Row],[Codigo]],Plan_cuentas[],5,FALSE)," ")</f>
        <v xml:space="preserve"> </v>
      </c>
      <c r="I4600" s="43"/>
      <c r="K4600" t="str">
        <f>IFERROR(+VLOOKUP(Movimientos_2026[[#This Row],[Codigo]],Plan_cuentas[],6,FALSE)," ")</f>
        <v xml:space="preserve"> </v>
      </c>
      <c r="L4600" s="50"/>
      <c r="M4600" s="50"/>
      <c r="N4600" s="20">
        <f>+Movimientos_2026[[#This Row],[Ingresos]]-Movimientos_2026[[#This Row],[Egresos]]</f>
        <v>0</v>
      </c>
      <c r="O4600" s="20">
        <f>+O4599+Movimientos_2026[[#This Row],[Neto]]</f>
        <v>4581558617.7962294</v>
      </c>
    </row>
    <row r="4601" spans="1:15" x14ac:dyDescent="0.25">
      <c r="A4601" s="13"/>
      <c r="B4601" s="12">
        <f>MONTH(Movimientos_2026[[#This Row],[Fecha]])</f>
        <v>1</v>
      </c>
      <c r="C4601" s="12" t="str">
        <f>VLOOKUP((WEEKDAY(Movimientos_2026[[#This Row],[Fecha]],2)),'5. Setup'!$D$6:$E$12,2,FALSE)</f>
        <v>Sab</v>
      </c>
      <c r="E4601" t="str">
        <f>IFERROR(+VLOOKUP(Movimientos_2026[[#This Row],[Codigo]],Plan_cuentas[],2,FALSE)," ")</f>
        <v xml:space="preserve"> </v>
      </c>
      <c r="F4601" t="str">
        <f>IFERROR(+VLOOKUP(Movimientos_2026[[#This Row],[Codigo]],Plan_cuentas[],3,FALSE)," ")</f>
        <v xml:space="preserve"> </v>
      </c>
      <c r="G4601" t="str">
        <f>IFERROR(+VLOOKUP(Movimientos_2026[[#This Row],[Codigo]],Plan_cuentas[],4,FALSE)," ")</f>
        <v xml:space="preserve"> </v>
      </c>
      <c r="H4601" t="str">
        <f>IFERROR(+VLOOKUP(Movimientos_2026[[#This Row],[Codigo]],Plan_cuentas[],5,FALSE)," ")</f>
        <v xml:space="preserve"> </v>
      </c>
      <c r="I4601" s="43"/>
      <c r="K4601" t="str">
        <f>IFERROR(+VLOOKUP(Movimientos_2026[[#This Row],[Codigo]],Plan_cuentas[],6,FALSE)," ")</f>
        <v xml:space="preserve"> </v>
      </c>
      <c r="L4601" s="50"/>
      <c r="M4601" s="50"/>
      <c r="N4601" s="20">
        <f>+Movimientos_2026[[#This Row],[Ingresos]]-Movimientos_2026[[#This Row],[Egresos]]</f>
        <v>0</v>
      </c>
      <c r="O4601" s="20">
        <f>+O4600+Movimientos_2026[[#This Row],[Neto]]</f>
        <v>4581558617.7962294</v>
      </c>
    </row>
    <row r="4602" spans="1:15" x14ac:dyDescent="0.25">
      <c r="A4602" s="13"/>
      <c r="B4602" s="12">
        <f>MONTH(Movimientos_2026[[#This Row],[Fecha]])</f>
        <v>1</v>
      </c>
      <c r="C4602" s="12" t="str">
        <f>VLOOKUP((WEEKDAY(Movimientos_2026[[#This Row],[Fecha]],2)),'5. Setup'!$D$6:$E$12,2,FALSE)</f>
        <v>Sab</v>
      </c>
      <c r="E4602" t="str">
        <f>IFERROR(+VLOOKUP(Movimientos_2026[[#This Row],[Codigo]],Plan_cuentas[],2,FALSE)," ")</f>
        <v xml:space="preserve"> </v>
      </c>
      <c r="F4602" t="str">
        <f>IFERROR(+VLOOKUP(Movimientos_2026[[#This Row],[Codigo]],Plan_cuentas[],3,FALSE)," ")</f>
        <v xml:space="preserve"> </v>
      </c>
      <c r="G4602" t="str">
        <f>IFERROR(+VLOOKUP(Movimientos_2026[[#This Row],[Codigo]],Plan_cuentas[],4,FALSE)," ")</f>
        <v xml:space="preserve"> </v>
      </c>
      <c r="H4602" t="str">
        <f>IFERROR(+VLOOKUP(Movimientos_2026[[#This Row],[Codigo]],Plan_cuentas[],5,FALSE)," ")</f>
        <v xml:space="preserve"> </v>
      </c>
      <c r="I4602" s="43"/>
      <c r="K4602" t="str">
        <f>IFERROR(+VLOOKUP(Movimientos_2026[[#This Row],[Codigo]],Plan_cuentas[],6,FALSE)," ")</f>
        <v xml:space="preserve"> </v>
      </c>
      <c r="L4602" s="50"/>
      <c r="M4602" s="50"/>
      <c r="N4602" s="20">
        <f>+Movimientos_2026[[#This Row],[Ingresos]]-Movimientos_2026[[#This Row],[Egresos]]</f>
        <v>0</v>
      </c>
      <c r="O4602" s="20">
        <f>+O4601+Movimientos_2026[[#This Row],[Neto]]</f>
        <v>4581558617.7962294</v>
      </c>
    </row>
    <row r="4603" spans="1:15" x14ac:dyDescent="0.25">
      <c r="A4603" s="13"/>
      <c r="B4603" s="12">
        <f>MONTH(Movimientos_2026[[#This Row],[Fecha]])</f>
        <v>1</v>
      </c>
      <c r="C4603" s="12" t="str">
        <f>VLOOKUP((WEEKDAY(Movimientos_2026[[#This Row],[Fecha]],2)),'5. Setup'!$D$6:$E$12,2,FALSE)</f>
        <v>Sab</v>
      </c>
      <c r="E4603" t="str">
        <f>IFERROR(+VLOOKUP(Movimientos_2026[[#This Row],[Codigo]],Plan_cuentas[],2,FALSE)," ")</f>
        <v xml:space="preserve"> </v>
      </c>
      <c r="F4603" t="str">
        <f>IFERROR(+VLOOKUP(Movimientos_2026[[#This Row],[Codigo]],Plan_cuentas[],3,FALSE)," ")</f>
        <v xml:space="preserve"> </v>
      </c>
      <c r="G4603" t="str">
        <f>IFERROR(+VLOOKUP(Movimientos_2026[[#This Row],[Codigo]],Plan_cuentas[],4,FALSE)," ")</f>
        <v xml:space="preserve"> </v>
      </c>
      <c r="H4603" t="str">
        <f>IFERROR(+VLOOKUP(Movimientos_2026[[#This Row],[Codigo]],Plan_cuentas[],5,FALSE)," ")</f>
        <v xml:space="preserve"> </v>
      </c>
      <c r="I4603" s="43"/>
      <c r="K4603" t="str">
        <f>IFERROR(+VLOOKUP(Movimientos_2026[[#This Row],[Codigo]],Plan_cuentas[],6,FALSE)," ")</f>
        <v xml:space="preserve"> </v>
      </c>
      <c r="L4603" s="50"/>
      <c r="M4603" s="50"/>
      <c r="N4603" s="20">
        <f>+Movimientos_2026[[#This Row],[Ingresos]]-Movimientos_2026[[#This Row],[Egresos]]</f>
        <v>0</v>
      </c>
      <c r="O4603" s="20">
        <f>+O4602+Movimientos_2026[[#This Row],[Neto]]</f>
        <v>4581558617.7962294</v>
      </c>
    </row>
    <row r="4604" spans="1:15" x14ac:dyDescent="0.25">
      <c r="A4604" s="13"/>
      <c r="B4604" s="12">
        <f>MONTH(Movimientos_2026[[#This Row],[Fecha]])</f>
        <v>1</v>
      </c>
      <c r="C4604" s="12" t="str">
        <f>VLOOKUP((WEEKDAY(Movimientos_2026[[#This Row],[Fecha]],2)),'5. Setup'!$D$6:$E$12,2,FALSE)</f>
        <v>Sab</v>
      </c>
      <c r="E4604" t="str">
        <f>IFERROR(+VLOOKUP(Movimientos_2026[[#This Row],[Codigo]],Plan_cuentas[],2,FALSE)," ")</f>
        <v xml:space="preserve"> </v>
      </c>
      <c r="F4604" t="str">
        <f>IFERROR(+VLOOKUP(Movimientos_2026[[#This Row],[Codigo]],Plan_cuentas[],3,FALSE)," ")</f>
        <v xml:space="preserve"> </v>
      </c>
      <c r="G4604" t="str">
        <f>IFERROR(+VLOOKUP(Movimientos_2026[[#This Row],[Codigo]],Plan_cuentas[],4,FALSE)," ")</f>
        <v xml:space="preserve"> </v>
      </c>
      <c r="H4604" t="str">
        <f>IFERROR(+VLOOKUP(Movimientos_2026[[#This Row],[Codigo]],Plan_cuentas[],5,FALSE)," ")</f>
        <v xml:space="preserve"> </v>
      </c>
      <c r="I4604" s="43"/>
      <c r="K4604" t="str">
        <f>IFERROR(+VLOOKUP(Movimientos_2026[[#This Row],[Codigo]],Plan_cuentas[],6,FALSE)," ")</f>
        <v xml:space="preserve"> </v>
      </c>
      <c r="L4604" s="50"/>
      <c r="M4604" s="50"/>
      <c r="N4604" s="20">
        <f>+Movimientos_2026[[#This Row],[Ingresos]]-Movimientos_2026[[#This Row],[Egresos]]</f>
        <v>0</v>
      </c>
      <c r="O4604" s="20">
        <f>+O4603+Movimientos_2026[[#This Row],[Neto]]</f>
        <v>4581558617.7962294</v>
      </c>
    </row>
    <row r="4605" spans="1:15" x14ac:dyDescent="0.25">
      <c r="A4605" s="13"/>
      <c r="B4605" s="12">
        <f>MONTH(Movimientos_2026[[#This Row],[Fecha]])</f>
        <v>1</v>
      </c>
      <c r="C4605" s="12" t="str">
        <f>VLOOKUP((WEEKDAY(Movimientos_2026[[#This Row],[Fecha]],2)),'5. Setup'!$D$6:$E$12,2,FALSE)</f>
        <v>Sab</v>
      </c>
      <c r="E4605" t="str">
        <f>IFERROR(+VLOOKUP(Movimientos_2026[[#This Row],[Codigo]],Plan_cuentas[],2,FALSE)," ")</f>
        <v xml:space="preserve"> </v>
      </c>
      <c r="F4605" t="str">
        <f>IFERROR(+VLOOKUP(Movimientos_2026[[#This Row],[Codigo]],Plan_cuentas[],3,FALSE)," ")</f>
        <v xml:space="preserve"> </v>
      </c>
      <c r="G4605" t="str">
        <f>IFERROR(+VLOOKUP(Movimientos_2026[[#This Row],[Codigo]],Plan_cuentas[],4,FALSE)," ")</f>
        <v xml:space="preserve"> </v>
      </c>
      <c r="H4605" t="str">
        <f>IFERROR(+VLOOKUP(Movimientos_2026[[#This Row],[Codigo]],Plan_cuentas[],5,FALSE)," ")</f>
        <v xml:space="preserve"> </v>
      </c>
      <c r="I4605" s="43"/>
      <c r="K4605" t="str">
        <f>IFERROR(+VLOOKUP(Movimientos_2026[[#This Row],[Codigo]],Plan_cuentas[],6,FALSE)," ")</f>
        <v xml:space="preserve"> </v>
      </c>
      <c r="L4605" s="50"/>
      <c r="M4605" s="50"/>
      <c r="N4605" s="20">
        <f>+Movimientos_2026[[#This Row],[Ingresos]]-Movimientos_2026[[#This Row],[Egresos]]</f>
        <v>0</v>
      </c>
      <c r="O4605" s="20">
        <f>+O4604+Movimientos_2026[[#This Row],[Neto]]</f>
        <v>4581558617.7962294</v>
      </c>
    </row>
    <row r="4606" spans="1:15" x14ac:dyDescent="0.25">
      <c r="A4606" s="13"/>
      <c r="B4606" s="12">
        <f>MONTH(Movimientos_2026[[#This Row],[Fecha]])</f>
        <v>1</v>
      </c>
      <c r="C4606" s="12" t="str">
        <f>VLOOKUP((WEEKDAY(Movimientos_2026[[#This Row],[Fecha]],2)),'5. Setup'!$D$6:$E$12,2,FALSE)</f>
        <v>Sab</v>
      </c>
      <c r="E4606" t="str">
        <f>IFERROR(+VLOOKUP(Movimientos_2026[[#This Row],[Codigo]],Plan_cuentas[],2,FALSE)," ")</f>
        <v xml:space="preserve"> </v>
      </c>
      <c r="F4606" t="str">
        <f>IFERROR(+VLOOKUP(Movimientos_2026[[#This Row],[Codigo]],Plan_cuentas[],3,FALSE)," ")</f>
        <v xml:space="preserve"> </v>
      </c>
      <c r="G4606" t="str">
        <f>IFERROR(+VLOOKUP(Movimientos_2026[[#This Row],[Codigo]],Plan_cuentas[],4,FALSE)," ")</f>
        <v xml:space="preserve"> </v>
      </c>
      <c r="H4606" t="str">
        <f>IFERROR(+VLOOKUP(Movimientos_2026[[#This Row],[Codigo]],Plan_cuentas[],5,FALSE)," ")</f>
        <v xml:space="preserve"> </v>
      </c>
      <c r="I4606" s="43"/>
      <c r="K4606" t="str">
        <f>IFERROR(+VLOOKUP(Movimientos_2026[[#This Row],[Codigo]],Plan_cuentas[],6,FALSE)," ")</f>
        <v xml:space="preserve"> </v>
      </c>
      <c r="L4606" s="50"/>
      <c r="M4606" s="50"/>
      <c r="N4606" s="20">
        <f>+Movimientos_2026[[#This Row],[Ingresos]]-Movimientos_2026[[#This Row],[Egresos]]</f>
        <v>0</v>
      </c>
      <c r="O4606" s="20">
        <f>+O4605+Movimientos_2026[[#This Row],[Neto]]</f>
        <v>4581558617.7962294</v>
      </c>
    </row>
    <row r="4607" spans="1:15" x14ac:dyDescent="0.25">
      <c r="A4607" s="13"/>
      <c r="B4607" s="12">
        <f>MONTH(Movimientos_2026[[#This Row],[Fecha]])</f>
        <v>1</v>
      </c>
      <c r="C4607" s="12" t="str">
        <f>VLOOKUP((WEEKDAY(Movimientos_2026[[#This Row],[Fecha]],2)),'5. Setup'!$D$6:$E$12,2,FALSE)</f>
        <v>Sab</v>
      </c>
      <c r="E4607" t="str">
        <f>IFERROR(+VLOOKUP(Movimientos_2026[[#This Row],[Codigo]],Plan_cuentas[],2,FALSE)," ")</f>
        <v xml:space="preserve"> </v>
      </c>
      <c r="F4607" t="str">
        <f>IFERROR(+VLOOKUP(Movimientos_2026[[#This Row],[Codigo]],Plan_cuentas[],3,FALSE)," ")</f>
        <v xml:space="preserve"> </v>
      </c>
      <c r="G4607" t="str">
        <f>IFERROR(+VLOOKUP(Movimientos_2026[[#This Row],[Codigo]],Plan_cuentas[],4,FALSE)," ")</f>
        <v xml:space="preserve"> </v>
      </c>
      <c r="H4607" t="str">
        <f>IFERROR(+VLOOKUP(Movimientos_2026[[#This Row],[Codigo]],Plan_cuentas[],5,FALSE)," ")</f>
        <v xml:space="preserve"> </v>
      </c>
      <c r="I4607" s="43"/>
      <c r="K4607" t="str">
        <f>IFERROR(+VLOOKUP(Movimientos_2026[[#This Row],[Codigo]],Plan_cuentas[],6,FALSE)," ")</f>
        <v xml:space="preserve"> </v>
      </c>
      <c r="L4607" s="50"/>
      <c r="M4607" s="50"/>
      <c r="N4607" s="20">
        <f>+Movimientos_2026[[#This Row],[Ingresos]]-Movimientos_2026[[#This Row],[Egresos]]</f>
        <v>0</v>
      </c>
      <c r="O4607" s="20">
        <f>+O4606+Movimientos_2026[[#This Row],[Neto]]</f>
        <v>4581558617.7962294</v>
      </c>
    </row>
    <row r="4608" spans="1:15" x14ac:dyDescent="0.25">
      <c r="A4608" s="13"/>
      <c r="B4608" s="12">
        <f>MONTH(Movimientos_2026[[#This Row],[Fecha]])</f>
        <v>1</v>
      </c>
      <c r="C4608" s="12" t="str">
        <f>VLOOKUP((WEEKDAY(Movimientos_2026[[#This Row],[Fecha]],2)),'5. Setup'!$D$6:$E$12,2,FALSE)</f>
        <v>Sab</v>
      </c>
      <c r="E4608" t="str">
        <f>IFERROR(+VLOOKUP(Movimientos_2026[[#This Row],[Codigo]],Plan_cuentas[],2,FALSE)," ")</f>
        <v xml:space="preserve"> </v>
      </c>
      <c r="F4608" t="str">
        <f>IFERROR(+VLOOKUP(Movimientos_2026[[#This Row],[Codigo]],Plan_cuentas[],3,FALSE)," ")</f>
        <v xml:space="preserve"> </v>
      </c>
      <c r="G4608" t="str">
        <f>IFERROR(+VLOOKUP(Movimientos_2026[[#This Row],[Codigo]],Plan_cuentas[],4,FALSE)," ")</f>
        <v xml:space="preserve"> </v>
      </c>
      <c r="H4608" t="str">
        <f>IFERROR(+VLOOKUP(Movimientos_2026[[#This Row],[Codigo]],Plan_cuentas[],5,FALSE)," ")</f>
        <v xml:space="preserve"> </v>
      </c>
      <c r="I4608" s="43"/>
      <c r="K4608" t="str">
        <f>IFERROR(+VLOOKUP(Movimientos_2026[[#This Row],[Codigo]],Plan_cuentas[],6,FALSE)," ")</f>
        <v xml:space="preserve"> </v>
      </c>
      <c r="L4608" s="50"/>
      <c r="M4608" s="50"/>
      <c r="N4608" s="20">
        <f>+Movimientos_2026[[#This Row],[Ingresos]]-Movimientos_2026[[#This Row],[Egresos]]</f>
        <v>0</v>
      </c>
      <c r="O4608" s="20">
        <f>+O4607+Movimientos_2026[[#This Row],[Neto]]</f>
        <v>4581558617.7962294</v>
      </c>
    </row>
    <row r="4609" spans="1:15" x14ac:dyDescent="0.25">
      <c r="A4609" s="13"/>
      <c r="B4609" s="12">
        <f>MONTH(Movimientos_2026[[#This Row],[Fecha]])</f>
        <v>1</v>
      </c>
      <c r="C4609" s="12" t="str">
        <f>VLOOKUP((WEEKDAY(Movimientos_2026[[#This Row],[Fecha]],2)),'5. Setup'!$D$6:$E$12,2,FALSE)</f>
        <v>Sab</v>
      </c>
      <c r="E4609" t="str">
        <f>IFERROR(+VLOOKUP(Movimientos_2026[[#This Row],[Codigo]],Plan_cuentas[],2,FALSE)," ")</f>
        <v xml:space="preserve"> </v>
      </c>
      <c r="F4609" t="str">
        <f>IFERROR(+VLOOKUP(Movimientos_2026[[#This Row],[Codigo]],Plan_cuentas[],3,FALSE)," ")</f>
        <v xml:space="preserve"> </v>
      </c>
      <c r="G4609" t="str">
        <f>IFERROR(+VLOOKUP(Movimientos_2026[[#This Row],[Codigo]],Plan_cuentas[],4,FALSE)," ")</f>
        <v xml:space="preserve"> </v>
      </c>
      <c r="H4609" t="str">
        <f>IFERROR(+VLOOKUP(Movimientos_2026[[#This Row],[Codigo]],Plan_cuentas[],5,FALSE)," ")</f>
        <v xml:space="preserve"> </v>
      </c>
      <c r="I4609" s="43"/>
      <c r="K4609" t="str">
        <f>IFERROR(+VLOOKUP(Movimientos_2026[[#This Row],[Codigo]],Plan_cuentas[],6,FALSE)," ")</f>
        <v xml:space="preserve"> </v>
      </c>
      <c r="L4609" s="50"/>
      <c r="M4609" s="50"/>
      <c r="N4609" s="20">
        <f>+Movimientos_2026[[#This Row],[Ingresos]]-Movimientos_2026[[#This Row],[Egresos]]</f>
        <v>0</v>
      </c>
      <c r="O4609" s="20">
        <f>+O4608+Movimientos_2026[[#This Row],[Neto]]</f>
        <v>4581558617.7962294</v>
      </c>
    </row>
    <row r="4610" spans="1:15" x14ac:dyDescent="0.25">
      <c r="A4610" s="13"/>
      <c r="B4610" s="12">
        <f>MONTH(Movimientos_2026[[#This Row],[Fecha]])</f>
        <v>1</v>
      </c>
      <c r="C4610" s="12" t="str">
        <f>VLOOKUP((WEEKDAY(Movimientos_2026[[#This Row],[Fecha]],2)),'5. Setup'!$D$6:$E$12,2,FALSE)</f>
        <v>Sab</v>
      </c>
      <c r="E4610" t="str">
        <f>IFERROR(+VLOOKUP(Movimientos_2026[[#This Row],[Codigo]],Plan_cuentas[],2,FALSE)," ")</f>
        <v xml:space="preserve"> </v>
      </c>
      <c r="F4610" t="str">
        <f>IFERROR(+VLOOKUP(Movimientos_2026[[#This Row],[Codigo]],Plan_cuentas[],3,FALSE)," ")</f>
        <v xml:space="preserve"> </v>
      </c>
      <c r="G4610" t="str">
        <f>IFERROR(+VLOOKUP(Movimientos_2026[[#This Row],[Codigo]],Plan_cuentas[],4,FALSE)," ")</f>
        <v xml:space="preserve"> </v>
      </c>
      <c r="H4610" t="str">
        <f>IFERROR(+VLOOKUP(Movimientos_2026[[#This Row],[Codigo]],Plan_cuentas[],5,FALSE)," ")</f>
        <v xml:space="preserve"> </v>
      </c>
      <c r="I4610" s="43"/>
      <c r="K4610" t="str">
        <f>IFERROR(+VLOOKUP(Movimientos_2026[[#This Row],[Codigo]],Plan_cuentas[],6,FALSE)," ")</f>
        <v xml:space="preserve"> </v>
      </c>
      <c r="L4610" s="50"/>
      <c r="M4610" s="50"/>
      <c r="N4610" s="20">
        <f>+Movimientos_2026[[#This Row],[Ingresos]]-Movimientos_2026[[#This Row],[Egresos]]</f>
        <v>0</v>
      </c>
      <c r="O4610" s="20">
        <f>+O4609+Movimientos_2026[[#This Row],[Neto]]</f>
        <v>4581558617.7962294</v>
      </c>
    </row>
    <row r="4611" spans="1:15" x14ac:dyDescent="0.25">
      <c r="A4611" s="13"/>
      <c r="B4611" s="12">
        <f>MONTH(Movimientos_2026[[#This Row],[Fecha]])</f>
        <v>1</v>
      </c>
      <c r="C4611" s="12" t="str">
        <f>VLOOKUP((WEEKDAY(Movimientos_2026[[#This Row],[Fecha]],2)),'5. Setup'!$D$6:$E$12,2,FALSE)</f>
        <v>Sab</v>
      </c>
      <c r="E4611" t="str">
        <f>IFERROR(+VLOOKUP(Movimientos_2026[[#This Row],[Codigo]],Plan_cuentas[],2,FALSE)," ")</f>
        <v xml:space="preserve"> </v>
      </c>
      <c r="F4611" t="str">
        <f>IFERROR(+VLOOKUP(Movimientos_2026[[#This Row],[Codigo]],Plan_cuentas[],3,FALSE)," ")</f>
        <v xml:space="preserve"> </v>
      </c>
      <c r="G4611" t="str">
        <f>IFERROR(+VLOOKUP(Movimientos_2026[[#This Row],[Codigo]],Plan_cuentas[],4,FALSE)," ")</f>
        <v xml:space="preserve"> </v>
      </c>
      <c r="H4611" t="str">
        <f>IFERROR(+VLOOKUP(Movimientos_2026[[#This Row],[Codigo]],Plan_cuentas[],5,FALSE)," ")</f>
        <v xml:space="preserve"> </v>
      </c>
      <c r="I4611" s="43"/>
      <c r="K4611" t="str">
        <f>IFERROR(+VLOOKUP(Movimientos_2026[[#This Row],[Codigo]],Plan_cuentas[],6,FALSE)," ")</f>
        <v xml:space="preserve"> </v>
      </c>
      <c r="L4611" s="50"/>
      <c r="M4611" s="50"/>
      <c r="N4611" s="20">
        <f>+Movimientos_2026[[#This Row],[Ingresos]]-Movimientos_2026[[#This Row],[Egresos]]</f>
        <v>0</v>
      </c>
      <c r="O4611" s="20">
        <f>+O4610+Movimientos_2026[[#This Row],[Neto]]</f>
        <v>4581558617.7962294</v>
      </c>
    </row>
    <row r="4612" spans="1:15" x14ac:dyDescent="0.25">
      <c r="A4612" s="13"/>
      <c r="B4612" s="12">
        <f>MONTH(Movimientos_2026[[#This Row],[Fecha]])</f>
        <v>1</v>
      </c>
      <c r="C4612" s="12" t="str">
        <f>VLOOKUP((WEEKDAY(Movimientos_2026[[#This Row],[Fecha]],2)),'5. Setup'!$D$6:$E$12,2,FALSE)</f>
        <v>Sab</v>
      </c>
      <c r="E4612" t="str">
        <f>IFERROR(+VLOOKUP(Movimientos_2026[[#This Row],[Codigo]],Plan_cuentas[],2,FALSE)," ")</f>
        <v xml:space="preserve"> </v>
      </c>
      <c r="F4612" t="str">
        <f>IFERROR(+VLOOKUP(Movimientos_2026[[#This Row],[Codigo]],Plan_cuentas[],3,FALSE)," ")</f>
        <v xml:space="preserve"> </v>
      </c>
      <c r="G4612" t="str">
        <f>IFERROR(+VLOOKUP(Movimientos_2026[[#This Row],[Codigo]],Plan_cuentas[],4,FALSE)," ")</f>
        <v xml:space="preserve"> </v>
      </c>
      <c r="H4612" t="str">
        <f>IFERROR(+VLOOKUP(Movimientos_2026[[#This Row],[Codigo]],Plan_cuentas[],5,FALSE)," ")</f>
        <v xml:space="preserve"> </v>
      </c>
      <c r="I4612" s="43"/>
      <c r="K4612" t="str">
        <f>IFERROR(+VLOOKUP(Movimientos_2026[[#This Row],[Codigo]],Plan_cuentas[],6,FALSE)," ")</f>
        <v xml:space="preserve"> </v>
      </c>
      <c r="L4612" s="50"/>
      <c r="M4612" s="50"/>
      <c r="N4612" s="20">
        <f>+Movimientos_2026[[#This Row],[Ingresos]]-Movimientos_2026[[#This Row],[Egresos]]</f>
        <v>0</v>
      </c>
      <c r="O4612" s="20">
        <f>+O4611+Movimientos_2026[[#This Row],[Neto]]</f>
        <v>4581558617.7962294</v>
      </c>
    </row>
    <row r="4613" spans="1:15" x14ac:dyDescent="0.25">
      <c r="A4613" s="13"/>
      <c r="B4613" s="12">
        <f>MONTH(Movimientos_2026[[#This Row],[Fecha]])</f>
        <v>1</v>
      </c>
      <c r="C4613" s="12" t="str">
        <f>VLOOKUP((WEEKDAY(Movimientos_2026[[#This Row],[Fecha]],2)),'5. Setup'!$D$6:$E$12,2,FALSE)</f>
        <v>Sab</v>
      </c>
      <c r="E4613" t="str">
        <f>IFERROR(+VLOOKUP(Movimientos_2026[[#This Row],[Codigo]],Plan_cuentas[],2,FALSE)," ")</f>
        <v xml:space="preserve"> </v>
      </c>
      <c r="F4613" t="str">
        <f>IFERROR(+VLOOKUP(Movimientos_2026[[#This Row],[Codigo]],Plan_cuentas[],3,FALSE)," ")</f>
        <v xml:space="preserve"> </v>
      </c>
      <c r="G4613" t="str">
        <f>IFERROR(+VLOOKUP(Movimientos_2026[[#This Row],[Codigo]],Plan_cuentas[],4,FALSE)," ")</f>
        <v xml:space="preserve"> </v>
      </c>
      <c r="H4613" t="str">
        <f>IFERROR(+VLOOKUP(Movimientos_2026[[#This Row],[Codigo]],Plan_cuentas[],5,FALSE)," ")</f>
        <v xml:space="preserve"> </v>
      </c>
      <c r="I4613" s="43"/>
      <c r="K4613" t="str">
        <f>IFERROR(+VLOOKUP(Movimientos_2026[[#This Row],[Codigo]],Plan_cuentas[],6,FALSE)," ")</f>
        <v xml:space="preserve"> </v>
      </c>
      <c r="L4613" s="50"/>
      <c r="M4613" s="50"/>
      <c r="N4613" s="20">
        <f>+Movimientos_2026[[#This Row],[Ingresos]]-Movimientos_2026[[#This Row],[Egresos]]</f>
        <v>0</v>
      </c>
      <c r="O4613" s="20">
        <f>+O4612+Movimientos_2026[[#This Row],[Neto]]</f>
        <v>4581558617.7962294</v>
      </c>
    </row>
    <row r="4614" spans="1:15" x14ac:dyDescent="0.25">
      <c r="A4614" s="13"/>
      <c r="B4614" s="12">
        <f>MONTH(Movimientos_2026[[#This Row],[Fecha]])</f>
        <v>1</v>
      </c>
      <c r="C4614" s="12" t="str">
        <f>VLOOKUP((WEEKDAY(Movimientos_2026[[#This Row],[Fecha]],2)),'5. Setup'!$D$6:$E$12,2,FALSE)</f>
        <v>Sab</v>
      </c>
      <c r="E4614" t="str">
        <f>IFERROR(+VLOOKUP(Movimientos_2026[[#This Row],[Codigo]],Plan_cuentas[],2,FALSE)," ")</f>
        <v xml:space="preserve"> </v>
      </c>
      <c r="F4614" t="str">
        <f>IFERROR(+VLOOKUP(Movimientos_2026[[#This Row],[Codigo]],Plan_cuentas[],3,FALSE)," ")</f>
        <v xml:space="preserve"> </v>
      </c>
      <c r="G4614" t="str">
        <f>IFERROR(+VLOOKUP(Movimientos_2026[[#This Row],[Codigo]],Plan_cuentas[],4,FALSE)," ")</f>
        <v xml:space="preserve"> </v>
      </c>
      <c r="H4614" t="str">
        <f>IFERROR(+VLOOKUP(Movimientos_2026[[#This Row],[Codigo]],Plan_cuentas[],5,FALSE)," ")</f>
        <v xml:space="preserve"> </v>
      </c>
      <c r="I4614" s="43"/>
      <c r="K4614" t="str">
        <f>IFERROR(+VLOOKUP(Movimientos_2026[[#This Row],[Codigo]],Plan_cuentas[],6,FALSE)," ")</f>
        <v xml:space="preserve"> </v>
      </c>
      <c r="L4614" s="50"/>
      <c r="M4614" s="50"/>
      <c r="N4614" s="20">
        <f>+Movimientos_2026[[#This Row],[Ingresos]]-Movimientos_2026[[#This Row],[Egresos]]</f>
        <v>0</v>
      </c>
      <c r="O4614" s="20">
        <f>+O4613+Movimientos_2026[[#This Row],[Neto]]</f>
        <v>4581558617.7962294</v>
      </c>
    </row>
    <row r="4615" spans="1:15" x14ac:dyDescent="0.25">
      <c r="A4615" s="13"/>
      <c r="B4615" s="12">
        <f>MONTH(Movimientos_2026[[#This Row],[Fecha]])</f>
        <v>1</v>
      </c>
      <c r="C4615" s="12" t="str">
        <f>VLOOKUP((WEEKDAY(Movimientos_2026[[#This Row],[Fecha]],2)),'5. Setup'!$D$6:$E$12,2,FALSE)</f>
        <v>Sab</v>
      </c>
      <c r="E4615" t="str">
        <f>IFERROR(+VLOOKUP(Movimientos_2026[[#This Row],[Codigo]],Plan_cuentas[],2,FALSE)," ")</f>
        <v xml:space="preserve"> </v>
      </c>
      <c r="F4615" t="str">
        <f>IFERROR(+VLOOKUP(Movimientos_2026[[#This Row],[Codigo]],Plan_cuentas[],3,FALSE)," ")</f>
        <v xml:space="preserve"> </v>
      </c>
      <c r="G4615" t="str">
        <f>IFERROR(+VLOOKUP(Movimientos_2026[[#This Row],[Codigo]],Plan_cuentas[],4,FALSE)," ")</f>
        <v xml:space="preserve"> </v>
      </c>
      <c r="H4615" t="str">
        <f>IFERROR(+VLOOKUP(Movimientos_2026[[#This Row],[Codigo]],Plan_cuentas[],5,FALSE)," ")</f>
        <v xml:space="preserve"> </v>
      </c>
      <c r="I4615" s="43"/>
      <c r="K4615" t="str">
        <f>IFERROR(+VLOOKUP(Movimientos_2026[[#This Row],[Codigo]],Plan_cuentas[],6,FALSE)," ")</f>
        <v xml:space="preserve"> </v>
      </c>
      <c r="L4615" s="50"/>
      <c r="M4615" s="50"/>
      <c r="N4615" s="20">
        <f>+Movimientos_2026[[#This Row],[Ingresos]]-Movimientos_2026[[#This Row],[Egresos]]</f>
        <v>0</v>
      </c>
      <c r="O4615" s="20">
        <f>+O4614+Movimientos_2026[[#This Row],[Neto]]</f>
        <v>4581558617.7962294</v>
      </c>
    </row>
    <row r="4616" spans="1:15" x14ac:dyDescent="0.25">
      <c r="A4616" s="13"/>
      <c r="B4616" s="12">
        <f>MONTH(Movimientos_2026[[#This Row],[Fecha]])</f>
        <v>1</v>
      </c>
      <c r="C4616" s="12" t="str">
        <f>VLOOKUP((WEEKDAY(Movimientos_2026[[#This Row],[Fecha]],2)),'5. Setup'!$D$6:$E$12,2,FALSE)</f>
        <v>Sab</v>
      </c>
      <c r="E4616" t="str">
        <f>IFERROR(+VLOOKUP(Movimientos_2026[[#This Row],[Codigo]],Plan_cuentas[],2,FALSE)," ")</f>
        <v xml:space="preserve"> </v>
      </c>
      <c r="F4616" t="str">
        <f>IFERROR(+VLOOKUP(Movimientos_2026[[#This Row],[Codigo]],Plan_cuentas[],3,FALSE)," ")</f>
        <v xml:space="preserve"> </v>
      </c>
      <c r="G4616" t="str">
        <f>IFERROR(+VLOOKUP(Movimientos_2026[[#This Row],[Codigo]],Plan_cuentas[],4,FALSE)," ")</f>
        <v xml:space="preserve"> </v>
      </c>
      <c r="H4616" t="str">
        <f>IFERROR(+VLOOKUP(Movimientos_2026[[#This Row],[Codigo]],Plan_cuentas[],5,FALSE)," ")</f>
        <v xml:space="preserve"> </v>
      </c>
      <c r="I4616" s="43"/>
      <c r="K4616" t="str">
        <f>IFERROR(+VLOOKUP(Movimientos_2026[[#This Row],[Codigo]],Plan_cuentas[],6,FALSE)," ")</f>
        <v xml:space="preserve"> </v>
      </c>
      <c r="L4616" s="50"/>
      <c r="M4616" s="50"/>
      <c r="N4616" s="20">
        <f>+Movimientos_2026[[#This Row],[Ingresos]]-Movimientos_2026[[#This Row],[Egresos]]</f>
        <v>0</v>
      </c>
      <c r="O4616" s="20">
        <f>+O4615+Movimientos_2026[[#This Row],[Neto]]</f>
        <v>4581558617.7962294</v>
      </c>
    </row>
    <row r="4617" spans="1:15" x14ac:dyDescent="0.25">
      <c r="A4617" s="13"/>
      <c r="B4617" s="12">
        <f>MONTH(Movimientos_2026[[#This Row],[Fecha]])</f>
        <v>1</v>
      </c>
      <c r="C4617" s="12" t="str">
        <f>VLOOKUP((WEEKDAY(Movimientos_2026[[#This Row],[Fecha]],2)),'5. Setup'!$D$6:$E$12,2,FALSE)</f>
        <v>Sab</v>
      </c>
      <c r="E4617" t="str">
        <f>IFERROR(+VLOOKUP(Movimientos_2026[[#This Row],[Codigo]],Plan_cuentas[],2,FALSE)," ")</f>
        <v xml:space="preserve"> </v>
      </c>
      <c r="F4617" t="str">
        <f>IFERROR(+VLOOKUP(Movimientos_2026[[#This Row],[Codigo]],Plan_cuentas[],3,FALSE)," ")</f>
        <v xml:space="preserve"> </v>
      </c>
      <c r="G4617" t="str">
        <f>IFERROR(+VLOOKUP(Movimientos_2026[[#This Row],[Codigo]],Plan_cuentas[],4,FALSE)," ")</f>
        <v xml:space="preserve"> </v>
      </c>
      <c r="H4617" t="str">
        <f>IFERROR(+VLOOKUP(Movimientos_2026[[#This Row],[Codigo]],Plan_cuentas[],5,FALSE)," ")</f>
        <v xml:space="preserve"> </v>
      </c>
      <c r="I4617" s="43"/>
      <c r="K4617" t="str">
        <f>IFERROR(+VLOOKUP(Movimientos_2026[[#This Row],[Codigo]],Plan_cuentas[],6,FALSE)," ")</f>
        <v xml:space="preserve"> </v>
      </c>
      <c r="L4617" s="50"/>
      <c r="M4617" s="50"/>
      <c r="N4617" s="20">
        <f>+Movimientos_2026[[#This Row],[Ingresos]]-Movimientos_2026[[#This Row],[Egresos]]</f>
        <v>0</v>
      </c>
      <c r="O4617" s="20">
        <f>+O4616+Movimientos_2026[[#This Row],[Neto]]</f>
        <v>4581558617.7962294</v>
      </c>
    </row>
    <row r="4618" spans="1:15" x14ac:dyDescent="0.25">
      <c r="A4618" s="13"/>
      <c r="B4618" s="12">
        <f>MONTH(Movimientos_2026[[#This Row],[Fecha]])</f>
        <v>1</v>
      </c>
      <c r="C4618" s="12" t="str">
        <f>VLOOKUP((WEEKDAY(Movimientos_2026[[#This Row],[Fecha]],2)),'5. Setup'!$D$6:$E$12,2,FALSE)</f>
        <v>Sab</v>
      </c>
      <c r="E4618" t="str">
        <f>IFERROR(+VLOOKUP(Movimientos_2026[[#This Row],[Codigo]],Plan_cuentas[],2,FALSE)," ")</f>
        <v xml:space="preserve"> </v>
      </c>
      <c r="F4618" t="str">
        <f>IFERROR(+VLOOKUP(Movimientos_2026[[#This Row],[Codigo]],Plan_cuentas[],3,FALSE)," ")</f>
        <v xml:space="preserve"> </v>
      </c>
      <c r="G4618" t="str">
        <f>IFERROR(+VLOOKUP(Movimientos_2026[[#This Row],[Codigo]],Plan_cuentas[],4,FALSE)," ")</f>
        <v xml:space="preserve"> </v>
      </c>
      <c r="H4618" t="str">
        <f>IFERROR(+VLOOKUP(Movimientos_2026[[#This Row],[Codigo]],Plan_cuentas[],5,FALSE)," ")</f>
        <v xml:space="preserve"> </v>
      </c>
      <c r="I4618" s="43"/>
      <c r="K4618" t="str">
        <f>IFERROR(+VLOOKUP(Movimientos_2026[[#This Row],[Codigo]],Plan_cuentas[],6,FALSE)," ")</f>
        <v xml:space="preserve"> </v>
      </c>
      <c r="L4618" s="50"/>
      <c r="M4618" s="50"/>
      <c r="N4618" s="20">
        <f>+Movimientos_2026[[#This Row],[Ingresos]]-Movimientos_2026[[#This Row],[Egresos]]</f>
        <v>0</v>
      </c>
      <c r="O4618" s="20">
        <f>+O4617+Movimientos_2026[[#This Row],[Neto]]</f>
        <v>4581558617.7962294</v>
      </c>
    </row>
    <row r="4619" spans="1:15" x14ac:dyDescent="0.25">
      <c r="A4619" s="13"/>
      <c r="B4619" s="12">
        <f>MONTH(Movimientos_2026[[#This Row],[Fecha]])</f>
        <v>1</v>
      </c>
      <c r="C4619" s="12" t="str">
        <f>VLOOKUP((WEEKDAY(Movimientos_2026[[#This Row],[Fecha]],2)),'5. Setup'!$D$6:$E$12,2,FALSE)</f>
        <v>Sab</v>
      </c>
      <c r="E4619" t="str">
        <f>IFERROR(+VLOOKUP(Movimientos_2026[[#This Row],[Codigo]],Plan_cuentas[],2,FALSE)," ")</f>
        <v xml:space="preserve"> </v>
      </c>
      <c r="F4619" t="str">
        <f>IFERROR(+VLOOKUP(Movimientos_2026[[#This Row],[Codigo]],Plan_cuentas[],3,FALSE)," ")</f>
        <v xml:space="preserve"> </v>
      </c>
      <c r="G4619" t="str">
        <f>IFERROR(+VLOOKUP(Movimientos_2026[[#This Row],[Codigo]],Plan_cuentas[],4,FALSE)," ")</f>
        <v xml:space="preserve"> </v>
      </c>
      <c r="H4619" t="str">
        <f>IFERROR(+VLOOKUP(Movimientos_2026[[#This Row],[Codigo]],Plan_cuentas[],5,FALSE)," ")</f>
        <v xml:space="preserve"> </v>
      </c>
      <c r="I4619" s="43"/>
      <c r="K4619" t="str">
        <f>IFERROR(+VLOOKUP(Movimientos_2026[[#This Row],[Codigo]],Plan_cuentas[],6,FALSE)," ")</f>
        <v xml:space="preserve"> </v>
      </c>
      <c r="L4619" s="50"/>
      <c r="M4619" s="50"/>
      <c r="N4619" s="20">
        <f>+Movimientos_2026[[#This Row],[Ingresos]]-Movimientos_2026[[#This Row],[Egresos]]</f>
        <v>0</v>
      </c>
      <c r="O4619" s="20">
        <f>+O4618+Movimientos_2026[[#This Row],[Neto]]</f>
        <v>4581558617.7962294</v>
      </c>
    </row>
    <row r="4620" spans="1:15" x14ac:dyDescent="0.25">
      <c r="A4620" s="13"/>
      <c r="B4620" s="12">
        <f>MONTH(Movimientos_2026[[#This Row],[Fecha]])</f>
        <v>1</v>
      </c>
      <c r="C4620" s="12" t="str">
        <f>VLOOKUP((WEEKDAY(Movimientos_2026[[#This Row],[Fecha]],2)),'5. Setup'!$D$6:$E$12,2,FALSE)</f>
        <v>Sab</v>
      </c>
      <c r="E4620" t="str">
        <f>IFERROR(+VLOOKUP(Movimientos_2026[[#This Row],[Codigo]],Plan_cuentas[],2,FALSE)," ")</f>
        <v xml:space="preserve"> </v>
      </c>
      <c r="F4620" t="str">
        <f>IFERROR(+VLOOKUP(Movimientos_2026[[#This Row],[Codigo]],Plan_cuentas[],3,FALSE)," ")</f>
        <v xml:space="preserve"> </v>
      </c>
      <c r="G4620" t="str">
        <f>IFERROR(+VLOOKUP(Movimientos_2026[[#This Row],[Codigo]],Plan_cuentas[],4,FALSE)," ")</f>
        <v xml:space="preserve"> </v>
      </c>
      <c r="H4620" t="str">
        <f>IFERROR(+VLOOKUP(Movimientos_2026[[#This Row],[Codigo]],Plan_cuentas[],5,FALSE)," ")</f>
        <v xml:space="preserve"> </v>
      </c>
      <c r="I4620" s="43"/>
      <c r="K4620" t="str">
        <f>IFERROR(+VLOOKUP(Movimientos_2026[[#This Row],[Codigo]],Plan_cuentas[],6,FALSE)," ")</f>
        <v xml:space="preserve"> </v>
      </c>
      <c r="L4620" s="50"/>
      <c r="M4620" s="50"/>
      <c r="N4620" s="20">
        <f>+Movimientos_2026[[#This Row],[Ingresos]]-Movimientos_2026[[#This Row],[Egresos]]</f>
        <v>0</v>
      </c>
      <c r="O4620" s="20">
        <f>+O4619+Movimientos_2026[[#This Row],[Neto]]</f>
        <v>4581558617.7962294</v>
      </c>
    </row>
    <row r="4621" spans="1:15" x14ac:dyDescent="0.25">
      <c r="A4621" s="13"/>
      <c r="B4621" s="12">
        <f>MONTH(Movimientos_2026[[#This Row],[Fecha]])</f>
        <v>1</v>
      </c>
      <c r="C4621" s="12" t="str">
        <f>VLOOKUP((WEEKDAY(Movimientos_2026[[#This Row],[Fecha]],2)),'5. Setup'!$D$6:$E$12,2,FALSE)</f>
        <v>Sab</v>
      </c>
      <c r="E4621" t="str">
        <f>IFERROR(+VLOOKUP(Movimientos_2026[[#This Row],[Codigo]],Plan_cuentas[],2,FALSE)," ")</f>
        <v xml:space="preserve"> </v>
      </c>
      <c r="F4621" t="str">
        <f>IFERROR(+VLOOKUP(Movimientos_2026[[#This Row],[Codigo]],Plan_cuentas[],3,FALSE)," ")</f>
        <v xml:space="preserve"> </v>
      </c>
      <c r="G4621" t="str">
        <f>IFERROR(+VLOOKUP(Movimientos_2026[[#This Row],[Codigo]],Plan_cuentas[],4,FALSE)," ")</f>
        <v xml:space="preserve"> </v>
      </c>
      <c r="H4621" t="str">
        <f>IFERROR(+VLOOKUP(Movimientos_2026[[#This Row],[Codigo]],Plan_cuentas[],5,FALSE)," ")</f>
        <v xml:space="preserve"> </v>
      </c>
      <c r="I4621" s="43"/>
      <c r="K4621" t="str">
        <f>IFERROR(+VLOOKUP(Movimientos_2026[[#This Row],[Codigo]],Plan_cuentas[],6,FALSE)," ")</f>
        <v xml:space="preserve"> </v>
      </c>
      <c r="L4621" s="50"/>
      <c r="M4621" s="50"/>
      <c r="N4621" s="20">
        <f>+Movimientos_2026[[#This Row],[Ingresos]]-Movimientos_2026[[#This Row],[Egresos]]</f>
        <v>0</v>
      </c>
      <c r="O4621" s="20">
        <f>+O4620+Movimientos_2026[[#This Row],[Neto]]</f>
        <v>4581558617.7962294</v>
      </c>
    </row>
    <row r="4622" spans="1:15" x14ac:dyDescent="0.25">
      <c r="A4622" s="13"/>
      <c r="B4622" s="12">
        <f>MONTH(Movimientos_2026[[#This Row],[Fecha]])</f>
        <v>1</v>
      </c>
      <c r="C4622" s="12" t="str">
        <f>VLOOKUP((WEEKDAY(Movimientos_2026[[#This Row],[Fecha]],2)),'5. Setup'!$D$6:$E$12,2,FALSE)</f>
        <v>Sab</v>
      </c>
      <c r="E4622" t="str">
        <f>IFERROR(+VLOOKUP(Movimientos_2026[[#This Row],[Codigo]],Plan_cuentas[],2,FALSE)," ")</f>
        <v xml:space="preserve"> </v>
      </c>
      <c r="F4622" t="str">
        <f>IFERROR(+VLOOKUP(Movimientos_2026[[#This Row],[Codigo]],Plan_cuentas[],3,FALSE)," ")</f>
        <v xml:space="preserve"> </v>
      </c>
      <c r="G4622" t="str">
        <f>IFERROR(+VLOOKUP(Movimientos_2026[[#This Row],[Codigo]],Plan_cuentas[],4,FALSE)," ")</f>
        <v xml:space="preserve"> </v>
      </c>
      <c r="H4622" t="str">
        <f>IFERROR(+VLOOKUP(Movimientos_2026[[#This Row],[Codigo]],Plan_cuentas[],5,FALSE)," ")</f>
        <v xml:space="preserve"> </v>
      </c>
      <c r="I4622" s="43"/>
      <c r="K4622" t="str">
        <f>IFERROR(+VLOOKUP(Movimientos_2026[[#This Row],[Codigo]],Plan_cuentas[],6,FALSE)," ")</f>
        <v xml:space="preserve"> </v>
      </c>
      <c r="L4622" s="50"/>
      <c r="M4622" s="50"/>
      <c r="N4622" s="20">
        <f>+Movimientos_2026[[#This Row],[Ingresos]]-Movimientos_2026[[#This Row],[Egresos]]</f>
        <v>0</v>
      </c>
      <c r="O4622" s="20">
        <f>+O4621+Movimientos_2026[[#This Row],[Neto]]</f>
        <v>4581558617.7962294</v>
      </c>
    </row>
    <row r="4623" spans="1:15" x14ac:dyDescent="0.25">
      <c r="A4623" s="13"/>
      <c r="B4623" s="12">
        <f>MONTH(Movimientos_2026[[#This Row],[Fecha]])</f>
        <v>1</v>
      </c>
      <c r="C4623" s="12" t="str">
        <f>VLOOKUP((WEEKDAY(Movimientos_2026[[#This Row],[Fecha]],2)),'5. Setup'!$D$6:$E$12,2,FALSE)</f>
        <v>Sab</v>
      </c>
      <c r="E4623" t="str">
        <f>IFERROR(+VLOOKUP(Movimientos_2026[[#This Row],[Codigo]],Plan_cuentas[],2,FALSE)," ")</f>
        <v xml:space="preserve"> </v>
      </c>
      <c r="F4623" t="str">
        <f>IFERROR(+VLOOKUP(Movimientos_2026[[#This Row],[Codigo]],Plan_cuentas[],3,FALSE)," ")</f>
        <v xml:space="preserve"> </v>
      </c>
      <c r="G4623" t="str">
        <f>IFERROR(+VLOOKUP(Movimientos_2026[[#This Row],[Codigo]],Plan_cuentas[],4,FALSE)," ")</f>
        <v xml:space="preserve"> </v>
      </c>
      <c r="H4623" t="str">
        <f>IFERROR(+VLOOKUP(Movimientos_2026[[#This Row],[Codigo]],Plan_cuentas[],5,FALSE)," ")</f>
        <v xml:space="preserve"> </v>
      </c>
      <c r="I4623" s="43"/>
      <c r="K4623" t="str">
        <f>IFERROR(+VLOOKUP(Movimientos_2026[[#This Row],[Codigo]],Plan_cuentas[],6,FALSE)," ")</f>
        <v xml:space="preserve"> </v>
      </c>
      <c r="L4623" s="50"/>
      <c r="M4623" s="50"/>
      <c r="N4623" s="20">
        <f>+Movimientos_2026[[#This Row],[Ingresos]]-Movimientos_2026[[#This Row],[Egresos]]</f>
        <v>0</v>
      </c>
      <c r="O4623" s="20">
        <f>+O4622+Movimientos_2026[[#This Row],[Neto]]</f>
        <v>4581558617.7962294</v>
      </c>
    </row>
    <row r="4624" spans="1:15" x14ac:dyDescent="0.25">
      <c r="A4624" s="13"/>
      <c r="B4624" s="12">
        <f>MONTH(Movimientos_2026[[#This Row],[Fecha]])</f>
        <v>1</v>
      </c>
      <c r="C4624" s="12" t="str">
        <f>VLOOKUP((WEEKDAY(Movimientos_2026[[#This Row],[Fecha]],2)),'5. Setup'!$D$6:$E$12,2,FALSE)</f>
        <v>Sab</v>
      </c>
      <c r="E4624" t="str">
        <f>IFERROR(+VLOOKUP(Movimientos_2026[[#This Row],[Codigo]],Plan_cuentas[],2,FALSE)," ")</f>
        <v xml:space="preserve"> </v>
      </c>
      <c r="F4624" t="str">
        <f>IFERROR(+VLOOKUP(Movimientos_2026[[#This Row],[Codigo]],Plan_cuentas[],3,FALSE)," ")</f>
        <v xml:space="preserve"> </v>
      </c>
      <c r="G4624" t="str">
        <f>IFERROR(+VLOOKUP(Movimientos_2026[[#This Row],[Codigo]],Plan_cuentas[],4,FALSE)," ")</f>
        <v xml:space="preserve"> </v>
      </c>
      <c r="H4624" t="str">
        <f>IFERROR(+VLOOKUP(Movimientos_2026[[#This Row],[Codigo]],Plan_cuentas[],5,FALSE)," ")</f>
        <v xml:space="preserve"> </v>
      </c>
      <c r="I4624" s="43"/>
      <c r="K4624" t="str">
        <f>IFERROR(+VLOOKUP(Movimientos_2026[[#This Row],[Codigo]],Plan_cuentas[],6,FALSE)," ")</f>
        <v xml:space="preserve"> </v>
      </c>
      <c r="L4624" s="50"/>
      <c r="M4624" s="50"/>
      <c r="N4624" s="20">
        <f>+Movimientos_2026[[#This Row],[Ingresos]]-Movimientos_2026[[#This Row],[Egresos]]</f>
        <v>0</v>
      </c>
      <c r="O4624" s="20">
        <f>+O4623+Movimientos_2026[[#This Row],[Neto]]</f>
        <v>4581558617.7962294</v>
      </c>
    </row>
    <row r="4625" spans="1:15" x14ac:dyDescent="0.25">
      <c r="A4625" s="13"/>
      <c r="B4625" s="12">
        <f>MONTH(Movimientos_2026[[#This Row],[Fecha]])</f>
        <v>1</v>
      </c>
      <c r="C4625" s="12" t="str">
        <f>VLOOKUP((WEEKDAY(Movimientos_2026[[#This Row],[Fecha]],2)),'5. Setup'!$D$6:$E$12,2,FALSE)</f>
        <v>Sab</v>
      </c>
      <c r="E4625" t="str">
        <f>IFERROR(+VLOOKUP(Movimientos_2026[[#This Row],[Codigo]],Plan_cuentas[],2,FALSE)," ")</f>
        <v xml:space="preserve"> </v>
      </c>
      <c r="F4625" t="str">
        <f>IFERROR(+VLOOKUP(Movimientos_2026[[#This Row],[Codigo]],Plan_cuentas[],3,FALSE)," ")</f>
        <v xml:space="preserve"> </v>
      </c>
      <c r="G4625" t="str">
        <f>IFERROR(+VLOOKUP(Movimientos_2026[[#This Row],[Codigo]],Plan_cuentas[],4,FALSE)," ")</f>
        <v xml:space="preserve"> </v>
      </c>
      <c r="H4625" t="str">
        <f>IFERROR(+VLOOKUP(Movimientos_2026[[#This Row],[Codigo]],Plan_cuentas[],5,FALSE)," ")</f>
        <v xml:space="preserve"> </v>
      </c>
      <c r="I4625" s="43"/>
      <c r="K4625" t="str">
        <f>IFERROR(+VLOOKUP(Movimientos_2026[[#This Row],[Codigo]],Plan_cuentas[],6,FALSE)," ")</f>
        <v xml:space="preserve"> </v>
      </c>
      <c r="L4625" s="50"/>
      <c r="M4625" s="50"/>
      <c r="N4625" s="20">
        <f>+Movimientos_2026[[#This Row],[Ingresos]]-Movimientos_2026[[#This Row],[Egresos]]</f>
        <v>0</v>
      </c>
      <c r="O4625" s="20">
        <f>+O4624+Movimientos_2026[[#This Row],[Neto]]</f>
        <v>4581558617.7962294</v>
      </c>
    </row>
    <row r="4626" spans="1:15" x14ac:dyDescent="0.25">
      <c r="A4626" s="13"/>
      <c r="B4626" s="12">
        <f>MONTH(Movimientos_2026[[#This Row],[Fecha]])</f>
        <v>1</v>
      </c>
      <c r="C4626" s="12" t="str">
        <f>VLOOKUP((WEEKDAY(Movimientos_2026[[#This Row],[Fecha]],2)),'5. Setup'!$D$6:$E$12,2,FALSE)</f>
        <v>Sab</v>
      </c>
      <c r="E4626" t="str">
        <f>IFERROR(+VLOOKUP(Movimientos_2026[[#This Row],[Codigo]],Plan_cuentas[],2,FALSE)," ")</f>
        <v xml:space="preserve"> </v>
      </c>
      <c r="F4626" t="str">
        <f>IFERROR(+VLOOKUP(Movimientos_2026[[#This Row],[Codigo]],Plan_cuentas[],3,FALSE)," ")</f>
        <v xml:space="preserve"> </v>
      </c>
      <c r="G4626" t="str">
        <f>IFERROR(+VLOOKUP(Movimientos_2026[[#This Row],[Codigo]],Plan_cuentas[],4,FALSE)," ")</f>
        <v xml:space="preserve"> </v>
      </c>
      <c r="H4626" t="str">
        <f>IFERROR(+VLOOKUP(Movimientos_2026[[#This Row],[Codigo]],Plan_cuentas[],5,FALSE)," ")</f>
        <v xml:space="preserve"> </v>
      </c>
      <c r="I4626" s="43"/>
      <c r="K4626" t="str">
        <f>IFERROR(+VLOOKUP(Movimientos_2026[[#This Row],[Codigo]],Plan_cuentas[],6,FALSE)," ")</f>
        <v xml:space="preserve"> </v>
      </c>
      <c r="L4626" s="50"/>
      <c r="M4626" s="50"/>
      <c r="N4626" s="20">
        <f>+Movimientos_2026[[#This Row],[Ingresos]]-Movimientos_2026[[#This Row],[Egresos]]</f>
        <v>0</v>
      </c>
      <c r="O4626" s="20">
        <f>+O4625+Movimientos_2026[[#This Row],[Neto]]</f>
        <v>4581558617.7962294</v>
      </c>
    </row>
    <row r="4627" spans="1:15" x14ac:dyDescent="0.25">
      <c r="A4627" s="13"/>
      <c r="B4627" s="12">
        <f>MONTH(Movimientos_2026[[#This Row],[Fecha]])</f>
        <v>1</v>
      </c>
      <c r="C4627" s="12" t="str">
        <f>VLOOKUP((WEEKDAY(Movimientos_2026[[#This Row],[Fecha]],2)),'5. Setup'!$D$6:$E$12,2,FALSE)</f>
        <v>Sab</v>
      </c>
      <c r="E4627" t="str">
        <f>IFERROR(+VLOOKUP(Movimientos_2026[[#This Row],[Codigo]],Plan_cuentas[],2,FALSE)," ")</f>
        <v xml:space="preserve"> </v>
      </c>
      <c r="F4627" t="str">
        <f>IFERROR(+VLOOKUP(Movimientos_2026[[#This Row],[Codigo]],Plan_cuentas[],3,FALSE)," ")</f>
        <v xml:space="preserve"> </v>
      </c>
      <c r="G4627" t="str">
        <f>IFERROR(+VLOOKUP(Movimientos_2026[[#This Row],[Codigo]],Plan_cuentas[],4,FALSE)," ")</f>
        <v xml:space="preserve"> </v>
      </c>
      <c r="H4627" t="str">
        <f>IFERROR(+VLOOKUP(Movimientos_2026[[#This Row],[Codigo]],Plan_cuentas[],5,FALSE)," ")</f>
        <v xml:space="preserve"> </v>
      </c>
      <c r="I4627" s="43"/>
      <c r="K4627" t="str">
        <f>IFERROR(+VLOOKUP(Movimientos_2026[[#This Row],[Codigo]],Plan_cuentas[],6,FALSE)," ")</f>
        <v xml:space="preserve"> </v>
      </c>
      <c r="L4627" s="50"/>
      <c r="M4627" s="50"/>
      <c r="N4627" s="20">
        <f>+Movimientos_2026[[#This Row],[Ingresos]]-Movimientos_2026[[#This Row],[Egresos]]</f>
        <v>0</v>
      </c>
      <c r="O4627" s="20">
        <f>+O4626+Movimientos_2026[[#This Row],[Neto]]</f>
        <v>4581558617.7962294</v>
      </c>
    </row>
    <row r="4628" spans="1:15" x14ac:dyDescent="0.25">
      <c r="A4628" s="13"/>
      <c r="B4628" s="12">
        <f>MONTH(Movimientos_2026[[#This Row],[Fecha]])</f>
        <v>1</v>
      </c>
      <c r="C4628" s="12" t="str">
        <f>VLOOKUP((WEEKDAY(Movimientos_2026[[#This Row],[Fecha]],2)),'5. Setup'!$D$6:$E$12,2,FALSE)</f>
        <v>Sab</v>
      </c>
      <c r="E4628" t="str">
        <f>IFERROR(+VLOOKUP(Movimientos_2026[[#This Row],[Codigo]],Plan_cuentas[],2,FALSE)," ")</f>
        <v xml:space="preserve"> </v>
      </c>
      <c r="F4628" t="str">
        <f>IFERROR(+VLOOKUP(Movimientos_2026[[#This Row],[Codigo]],Plan_cuentas[],3,FALSE)," ")</f>
        <v xml:space="preserve"> </v>
      </c>
      <c r="G4628" t="str">
        <f>IFERROR(+VLOOKUP(Movimientos_2026[[#This Row],[Codigo]],Plan_cuentas[],4,FALSE)," ")</f>
        <v xml:space="preserve"> </v>
      </c>
      <c r="H4628" t="str">
        <f>IFERROR(+VLOOKUP(Movimientos_2026[[#This Row],[Codigo]],Plan_cuentas[],5,FALSE)," ")</f>
        <v xml:space="preserve"> </v>
      </c>
      <c r="I4628" s="43"/>
      <c r="K4628" t="str">
        <f>IFERROR(+VLOOKUP(Movimientos_2026[[#This Row],[Codigo]],Plan_cuentas[],6,FALSE)," ")</f>
        <v xml:space="preserve"> </v>
      </c>
      <c r="L4628" s="50"/>
      <c r="M4628" s="50"/>
      <c r="N4628" s="20">
        <f>+Movimientos_2026[[#This Row],[Ingresos]]-Movimientos_2026[[#This Row],[Egresos]]</f>
        <v>0</v>
      </c>
      <c r="O4628" s="20">
        <f>+O4627+Movimientos_2026[[#This Row],[Neto]]</f>
        <v>4581558617.7962294</v>
      </c>
    </row>
    <row r="4629" spans="1:15" x14ac:dyDescent="0.25">
      <c r="A4629" s="13"/>
      <c r="B4629" s="12">
        <f>MONTH(Movimientos_2026[[#This Row],[Fecha]])</f>
        <v>1</v>
      </c>
      <c r="C4629" s="12" t="str">
        <f>VLOOKUP((WEEKDAY(Movimientos_2026[[#This Row],[Fecha]],2)),'5. Setup'!$D$6:$E$12,2,FALSE)</f>
        <v>Sab</v>
      </c>
      <c r="E4629" t="str">
        <f>IFERROR(+VLOOKUP(Movimientos_2026[[#This Row],[Codigo]],Plan_cuentas[],2,FALSE)," ")</f>
        <v xml:space="preserve"> </v>
      </c>
      <c r="F4629" t="str">
        <f>IFERROR(+VLOOKUP(Movimientos_2026[[#This Row],[Codigo]],Plan_cuentas[],3,FALSE)," ")</f>
        <v xml:space="preserve"> </v>
      </c>
      <c r="G4629" t="str">
        <f>IFERROR(+VLOOKUP(Movimientos_2026[[#This Row],[Codigo]],Plan_cuentas[],4,FALSE)," ")</f>
        <v xml:space="preserve"> </v>
      </c>
      <c r="H4629" t="str">
        <f>IFERROR(+VLOOKUP(Movimientos_2026[[#This Row],[Codigo]],Plan_cuentas[],5,FALSE)," ")</f>
        <v xml:space="preserve"> </v>
      </c>
      <c r="I4629" s="43"/>
      <c r="K4629" t="str">
        <f>IFERROR(+VLOOKUP(Movimientos_2026[[#This Row],[Codigo]],Plan_cuentas[],6,FALSE)," ")</f>
        <v xml:space="preserve"> </v>
      </c>
      <c r="L4629" s="50"/>
      <c r="M4629" s="50"/>
      <c r="N4629" s="20">
        <f>+Movimientos_2026[[#This Row],[Ingresos]]-Movimientos_2026[[#This Row],[Egresos]]</f>
        <v>0</v>
      </c>
      <c r="O4629" s="20">
        <f>+O4628+Movimientos_2026[[#This Row],[Neto]]</f>
        <v>4581558617.7962294</v>
      </c>
    </row>
    <row r="4630" spans="1:15" x14ac:dyDescent="0.25">
      <c r="A4630" s="13"/>
      <c r="B4630" s="12">
        <f>MONTH(Movimientos_2026[[#This Row],[Fecha]])</f>
        <v>1</v>
      </c>
      <c r="C4630" s="12" t="str">
        <f>VLOOKUP((WEEKDAY(Movimientos_2026[[#This Row],[Fecha]],2)),'5. Setup'!$D$6:$E$12,2,FALSE)</f>
        <v>Sab</v>
      </c>
      <c r="E4630" t="str">
        <f>IFERROR(+VLOOKUP(Movimientos_2026[[#This Row],[Codigo]],Plan_cuentas[],2,FALSE)," ")</f>
        <v xml:space="preserve"> </v>
      </c>
      <c r="F4630" t="str">
        <f>IFERROR(+VLOOKUP(Movimientos_2026[[#This Row],[Codigo]],Plan_cuentas[],3,FALSE)," ")</f>
        <v xml:space="preserve"> </v>
      </c>
      <c r="G4630" t="str">
        <f>IFERROR(+VLOOKUP(Movimientos_2026[[#This Row],[Codigo]],Plan_cuentas[],4,FALSE)," ")</f>
        <v xml:space="preserve"> </v>
      </c>
      <c r="H4630" t="str">
        <f>IFERROR(+VLOOKUP(Movimientos_2026[[#This Row],[Codigo]],Plan_cuentas[],5,FALSE)," ")</f>
        <v xml:space="preserve"> </v>
      </c>
      <c r="I4630" s="43"/>
      <c r="K4630" t="str">
        <f>IFERROR(+VLOOKUP(Movimientos_2026[[#This Row],[Codigo]],Plan_cuentas[],6,FALSE)," ")</f>
        <v xml:space="preserve"> </v>
      </c>
      <c r="L4630" s="50"/>
      <c r="M4630" s="50"/>
      <c r="N4630" s="20">
        <f>+Movimientos_2026[[#This Row],[Ingresos]]-Movimientos_2026[[#This Row],[Egresos]]</f>
        <v>0</v>
      </c>
      <c r="O4630" s="20">
        <f>+O4629+Movimientos_2026[[#This Row],[Neto]]</f>
        <v>4581558617.7962294</v>
      </c>
    </row>
    <row r="4631" spans="1:15" x14ac:dyDescent="0.25">
      <c r="A4631" s="13"/>
      <c r="B4631" s="12">
        <f>MONTH(Movimientos_2026[[#This Row],[Fecha]])</f>
        <v>1</v>
      </c>
      <c r="C4631" s="12" t="str">
        <f>VLOOKUP((WEEKDAY(Movimientos_2026[[#This Row],[Fecha]],2)),'5. Setup'!$D$6:$E$12,2,FALSE)</f>
        <v>Sab</v>
      </c>
      <c r="E4631" t="str">
        <f>IFERROR(+VLOOKUP(Movimientos_2026[[#This Row],[Codigo]],Plan_cuentas[],2,FALSE)," ")</f>
        <v xml:space="preserve"> </v>
      </c>
      <c r="F4631" t="str">
        <f>IFERROR(+VLOOKUP(Movimientos_2026[[#This Row],[Codigo]],Plan_cuentas[],3,FALSE)," ")</f>
        <v xml:space="preserve"> </v>
      </c>
      <c r="G4631" t="str">
        <f>IFERROR(+VLOOKUP(Movimientos_2026[[#This Row],[Codigo]],Plan_cuentas[],4,FALSE)," ")</f>
        <v xml:space="preserve"> </v>
      </c>
      <c r="H4631" t="str">
        <f>IFERROR(+VLOOKUP(Movimientos_2026[[#This Row],[Codigo]],Plan_cuentas[],5,FALSE)," ")</f>
        <v xml:space="preserve"> </v>
      </c>
      <c r="I4631" s="43"/>
      <c r="K4631" t="str">
        <f>IFERROR(+VLOOKUP(Movimientos_2026[[#This Row],[Codigo]],Plan_cuentas[],6,FALSE)," ")</f>
        <v xml:space="preserve"> </v>
      </c>
      <c r="L4631" s="50"/>
      <c r="M4631" s="50"/>
      <c r="N4631" s="20">
        <f>+Movimientos_2026[[#This Row],[Ingresos]]-Movimientos_2026[[#This Row],[Egresos]]</f>
        <v>0</v>
      </c>
      <c r="O4631" s="20">
        <f>+O4630+Movimientos_2026[[#This Row],[Neto]]</f>
        <v>4581558617.7962294</v>
      </c>
    </row>
    <row r="4632" spans="1:15" x14ac:dyDescent="0.25">
      <c r="A4632" s="13"/>
      <c r="B4632" s="12">
        <f>MONTH(Movimientos_2026[[#This Row],[Fecha]])</f>
        <v>1</v>
      </c>
      <c r="C4632" s="12" t="str">
        <f>VLOOKUP((WEEKDAY(Movimientos_2026[[#This Row],[Fecha]],2)),'5. Setup'!$D$6:$E$12,2,FALSE)</f>
        <v>Sab</v>
      </c>
      <c r="E4632" t="str">
        <f>IFERROR(+VLOOKUP(Movimientos_2026[[#This Row],[Codigo]],Plan_cuentas[],2,FALSE)," ")</f>
        <v xml:space="preserve"> </v>
      </c>
      <c r="F4632" t="str">
        <f>IFERROR(+VLOOKUP(Movimientos_2026[[#This Row],[Codigo]],Plan_cuentas[],3,FALSE)," ")</f>
        <v xml:space="preserve"> </v>
      </c>
      <c r="G4632" t="str">
        <f>IFERROR(+VLOOKUP(Movimientos_2026[[#This Row],[Codigo]],Plan_cuentas[],4,FALSE)," ")</f>
        <v xml:space="preserve"> </v>
      </c>
      <c r="H4632" t="str">
        <f>IFERROR(+VLOOKUP(Movimientos_2026[[#This Row],[Codigo]],Plan_cuentas[],5,FALSE)," ")</f>
        <v xml:space="preserve"> </v>
      </c>
      <c r="I4632" s="43"/>
      <c r="K4632" t="str">
        <f>IFERROR(+VLOOKUP(Movimientos_2026[[#This Row],[Codigo]],Plan_cuentas[],6,FALSE)," ")</f>
        <v xml:space="preserve"> </v>
      </c>
      <c r="L4632" s="50"/>
      <c r="M4632" s="50"/>
      <c r="N4632" s="20">
        <f>+Movimientos_2026[[#This Row],[Ingresos]]-Movimientos_2026[[#This Row],[Egresos]]</f>
        <v>0</v>
      </c>
      <c r="O4632" s="20">
        <f>+O4631+Movimientos_2026[[#This Row],[Neto]]</f>
        <v>4581558617.7962294</v>
      </c>
    </row>
    <row r="4633" spans="1:15" x14ac:dyDescent="0.25">
      <c r="A4633" s="13"/>
      <c r="B4633" s="12">
        <f>MONTH(Movimientos_2026[[#This Row],[Fecha]])</f>
        <v>1</v>
      </c>
      <c r="C4633" s="12" t="str">
        <f>VLOOKUP((WEEKDAY(Movimientos_2026[[#This Row],[Fecha]],2)),'5. Setup'!$D$6:$E$12,2,FALSE)</f>
        <v>Sab</v>
      </c>
      <c r="E4633" t="str">
        <f>IFERROR(+VLOOKUP(Movimientos_2026[[#This Row],[Codigo]],Plan_cuentas[],2,FALSE)," ")</f>
        <v xml:space="preserve"> </v>
      </c>
      <c r="F4633" t="str">
        <f>IFERROR(+VLOOKUP(Movimientos_2026[[#This Row],[Codigo]],Plan_cuentas[],3,FALSE)," ")</f>
        <v xml:space="preserve"> </v>
      </c>
      <c r="G4633" t="str">
        <f>IFERROR(+VLOOKUP(Movimientos_2026[[#This Row],[Codigo]],Plan_cuentas[],4,FALSE)," ")</f>
        <v xml:space="preserve"> </v>
      </c>
      <c r="H4633" t="str">
        <f>IFERROR(+VLOOKUP(Movimientos_2026[[#This Row],[Codigo]],Plan_cuentas[],5,FALSE)," ")</f>
        <v xml:space="preserve"> </v>
      </c>
      <c r="I4633" s="43"/>
      <c r="K4633" t="str">
        <f>IFERROR(+VLOOKUP(Movimientos_2026[[#This Row],[Codigo]],Plan_cuentas[],6,FALSE)," ")</f>
        <v xml:space="preserve"> </v>
      </c>
      <c r="L4633" s="50"/>
      <c r="M4633" s="50"/>
      <c r="N4633" s="20">
        <f>+Movimientos_2026[[#This Row],[Ingresos]]-Movimientos_2026[[#This Row],[Egresos]]</f>
        <v>0</v>
      </c>
      <c r="O4633" s="20">
        <f>+O4632+Movimientos_2026[[#This Row],[Neto]]</f>
        <v>4581558617.7962294</v>
      </c>
    </row>
    <row r="4634" spans="1:15" x14ac:dyDescent="0.25">
      <c r="A4634" s="13"/>
      <c r="B4634" s="12">
        <f>MONTH(Movimientos_2026[[#This Row],[Fecha]])</f>
        <v>1</v>
      </c>
      <c r="C4634" s="12" t="str">
        <f>VLOOKUP((WEEKDAY(Movimientos_2026[[#This Row],[Fecha]],2)),'5. Setup'!$D$6:$E$12,2,FALSE)</f>
        <v>Sab</v>
      </c>
      <c r="E4634" t="str">
        <f>IFERROR(+VLOOKUP(Movimientos_2026[[#This Row],[Codigo]],Plan_cuentas[],2,FALSE)," ")</f>
        <v xml:space="preserve"> </v>
      </c>
      <c r="F4634" t="str">
        <f>IFERROR(+VLOOKUP(Movimientos_2026[[#This Row],[Codigo]],Plan_cuentas[],3,FALSE)," ")</f>
        <v xml:space="preserve"> </v>
      </c>
      <c r="G4634" t="str">
        <f>IFERROR(+VLOOKUP(Movimientos_2026[[#This Row],[Codigo]],Plan_cuentas[],4,FALSE)," ")</f>
        <v xml:space="preserve"> </v>
      </c>
      <c r="H4634" t="str">
        <f>IFERROR(+VLOOKUP(Movimientos_2026[[#This Row],[Codigo]],Plan_cuentas[],5,FALSE)," ")</f>
        <v xml:space="preserve"> </v>
      </c>
      <c r="I4634" s="43"/>
      <c r="K4634" t="str">
        <f>IFERROR(+VLOOKUP(Movimientos_2026[[#This Row],[Codigo]],Plan_cuentas[],6,FALSE)," ")</f>
        <v xml:space="preserve"> </v>
      </c>
      <c r="L4634" s="50"/>
      <c r="M4634" s="50"/>
      <c r="N4634" s="20">
        <f>+Movimientos_2026[[#This Row],[Ingresos]]-Movimientos_2026[[#This Row],[Egresos]]</f>
        <v>0</v>
      </c>
      <c r="O4634" s="20">
        <f>+O4633+Movimientos_2026[[#This Row],[Neto]]</f>
        <v>4581558617.7962294</v>
      </c>
    </row>
    <row r="4635" spans="1:15" x14ac:dyDescent="0.25">
      <c r="A4635" s="13"/>
      <c r="B4635" s="12">
        <f>MONTH(Movimientos_2026[[#This Row],[Fecha]])</f>
        <v>1</v>
      </c>
      <c r="C4635" s="12" t="str">
        <f>VLOOKUP((WEEKDAY(Movimientos_2026[[#This Row],[Fecha]],2)),'5. Setup'!$D$6:$E$12,2,FALSE)</f>
        <v>Sab</v>
      </c>
      <c r="E4635" t="str">
        <f>IFERROR(+VLOOKUP(Movimientos_2026[[#This Row],[Codigo]],Plan_cuentas[],2,FALSE)," ")</f>
        <v xml:space="preserve"> </v>
      </c>
      <c r="F4635" t="str">
        <f>IFERROR(+VLOOKUP(Movimientos_2026[[#This Row],[Codigo]],Plan_cuentas[],3,FALSE)," ")</f>
        <v xml:space="preserve"> </v>
      </c>
      <c r="G4635" t="str">
        <f>IFERROR(+VLOOKUP(Movimientos_2026[[#This Row],[Codigo]],Plan_cuentas[],4,FALSE)," ")</f>
        <v xml:space="preserve"> </v>
      </c>
      <c r="H4635" t="str">
        <f>IFERROR(+VLOOKUP(Movimientos_2026[[#This Row],[Codigo]],Plan_cuentas[],5,FALSE)," ")</f>
        <v xml:space="preserve"> </v>
      </c>
      <c r="I4635" s="43"/>
      <c r="K4635" t="str">
        <f>IFERROR(+VLOOKUP(Movimientos_2026[[#This Row],[Codigo]],Plan_cuentas[],6,FALSE)," ")</f>
        <v xml:space="preserve"> </v>
      </c>
      <c r="L4635" s="50"/>
      <c r="M4635" s="50"/>
      <c r="N4635" s="20">
        <f>+Movimientos_2026[[#This Row],[Ingresos]]-Movimientos_2026[[#This Row],[Egresos]]</f>
        <v>0</v>
      </c>
      <c r="O4635" s="20">
        <f>+O4634+Movimientos_2026[[#This Row],[Neto]]</f>
        <v>4581558617.7962294</v>
      </c>
    </row>
    <row r="4636" spans="1:15" x14ac:dyDescent="0.25">
      <c r="A4636" s="13"/>
      <c r="B4636" s="12">
        <f>MONTH(Movimientos_2026[[#This Row],[Fecha]])</f>
        <v>1</v>
      </c>
      <c r="C4636" s="12" t="str">
        <f>VLOOKUP((WEEKDAY(Movimientos_2026[[#This Row],[Fecha]],2)),'5. Setup'!$D$6:$E$12,2,FALSE)</f>
        <v>Sab</v>
      </c>
      <c r="E4636" t="str">
        <f>IFERROR(+VLOOKUP(Movimientos_2026[[#This Row],[Codigo]],Plan_cuentas[],2,FALSE)," ")</f>
        <v xml:space="preserve"> </v>
      </c>
      <c r="F4636" t="str">
        <f>IFERROR(+VLOOKUP(Movimientos_2026[[#This Row],[Codigo]],Plan_cuentas[],3,FALSE)," ")</f>
        <v xml:space="preserve"> </v>
      </c>
      <c r="G4636" t="str">
        <f>IFERROR(+VLOOKUP(Movimientos_2026[[#This Row],[Codigo]],Plan_cuentas[],4,FALSE)," ")</f>
        <v xml:space="preserve"> </v>
      </c>
      <c r="H4636" t="str">
        <f>IFERROR(+VLOOKUP(Movimientos_2026[[#This Row],[Codigo]],Plan_cuentas[],5,FALSE)," ")</f>
        <v xml:space="preserve"> </v>
      </c>
      <c r="I4636" s="43"/>
      <c r="K4636" t="str">
        <f>IFERROR(+VLOOKUP(Movimientos_2026[[#This Row],[Codigo]],Plan_cuentas[],6,FALSE)," ")</f>
        <v xml:space="preserve"> </v>
      </c>
      <c r="L4636" s="50"/>
      <c r="M4636" s="50"/>
      <c r="N4636" s="20">
        <f>+Movimientos_2026[[#This Row],[Ingresos]]-Movimientos_2026[[#This Row],[Egresos]]</f>
        <v>0</v>
      </c>
      <c r="O4636" s="20">
        <f>+O4635+Movimientos_2026[[#This Row],[Neto]]</f>
        <v>4581558617.7962294</v>
      </c>
    </row>
    <row r="4637" spans="1:15" x14ac:dyDescent="0.25">
      <c r="A4637" s="13"/>
      <c r="B4637" s="12">
        <f>MONTH(Movimientos_2026[[#This Row],[Fecha]])</f>
        <v>1</v>
      </c>
      <c r="C4637" s="12" t="str">
        <f>VLOOKUP((WEEKDAY(Movimientos_2026[[#This Row],[Fecha]],2)),'5. Setup'!$D$6:$E$12,2,FALSE)</f>
        <v>Sab</v>
      </c>
      <c r="E4637" t="str">
        <f>IFERROR(+VLOOKUP(Movimientos_2026[[#This Row],[Codigo]],Plan_cuentas[],2,FALSE)," ")</f>
        <v xml:space="preserve"> </v>
      </c>
      <c r="F4637" t="str">
        <f>IFERROR(+VLOOKUP(Movimientos_2026[[#This Row],[Codigo]],Plan_cuentas[],3,FALSE)," ")</f>
        <v xml:space="preserve"> </v>
      </c>
      <c r="G4637" t="str">
        <f>IFERROR(+VLOOKUP(Movimientos_2026[[#This Row],[Codigo]],Plan_cuentas[],4,FALSE)," ")</f>
        <v xml:space="preserve"> </v>
      </c>
      <c r="H4637" t="str">
        <f>IFERROR(+VLOOKUP(Movimientos_2026[[#This Row],[Codigo]],Plan_cuentas[],5,FALSE)," ")</f>
        <v xml:space="preserve"> </v>
      </c>
      <c r="I4637" s="43"/>
      <c r="K4637" t="str">
        <f>IFERROR(+VLOOKUP(Movimientos_2026[[#This Row],[Codigo]],Plan_cuentas[],6,FALSE)," ")</f>
        <v xml:space="preserve"> </v>
      </c>
      <c r="L4637" s="50"/>
      <c r="M4637" s="50"/>
      <c r="N4637" s="20">
        <f>+Movimientos_2026[[#This Row],[Ingresos]]-Movimientos_2026[[#This Row],[Egresos]]</f>
        <v>0</v>
      </c>
      <c r="O4637" s="20">
        <f>+O4636+Movimientos_2026[[#This Row],[Neto]]</f>
        <v>4581558617.7962294</v>
      </c>
    </row>
    <row r="4638" spans="1:15" x14ac:dyDescent="0.25">
      <c r="A4638" s="13"/>
      <c r="B4638" s="12">
        <f>MONTH(Movimientos_2026[[#This Row],[Fecha]])</f>
        <v>1</v>
      </c>
      <c r="C4638" s="12" t="str">
        <f>VLOOKUP((WEEKDAY(Movimientos_2026[[#This Row],[Fecha]],2)),'5. Setup'!$D$6:$E$12,2,FALSE)</f>
        <v>Sab</v>
      </c>
      <c r="E4638" t="str">
        <f>IFERROR(+VLOOKUP(Movimientos_2026[[#This Row],[Codigo]],Plan_cuentas[],2,FALSE)," ")</f>
        <v xml:space="preserve"> </v>
      </c>
      <c r="F4638" t="str">
        <f>IFERROR(+VLOOKUP(Movimientos_2026[[#This Row],[Codigo]],Plan_cuentas[],3,FALSE)," ")</f>
        <v xml:space="preserve"> </v>
      </c>
      <c r="G4638" t="str">
        <f>IFERROR(+VLOOKUP(Movimientos_2026[[#This Row],[Codigo]],Plan_cuentas[],4,FALSE)," ")</f>
        <v xml:space="preserve"> </v>
      </c>
      <c r="H4638" t="str">
        <f>IFERROR(+VLOOKUP(Movimientos_2026[[#This Row],[Codigo]],Plan_cuentas[],5,FALSE)," ")</f>
        <v xml:space="preserve"> </v>
      </c>
      <c r="I4638" s="43"/>
      <c r="K4638" t="str">
        <f>IFERROR(+VLOOKUP(Movimientos_2026[[#This Row],[Codigo]],Plan_cuentas[],6,FALSE)," ")</f>
        <v xml:space="preserve"> </v>
      </c>
      <c r="L4638" s="50"/>
      <c r="M4638" s="50"/>
      <c r="N4638" s="20">
        <f>+Movimientos_2026[[#This Row],[Ingresos]]-Movimientos_2026[[#This Row],[Egresos]]</f>
        <v>0</v>
      </c>
      <c r="O4638" s="20">
        <f>+O4637+Movimientos_2026[[#This Row],[Neto]]</f>
        <v>4581558617.7962294</v>
      </c>
    </row>
    <row r="4639" spans="1:15" x14ac:dyDescent="0.25">
      <c r="A4639" s="13"/>
      <c r="B4639" s="12">
        <f>MONTH(Movimientos_2026[[#This Row],[Fecha]])</f>
        <v>1</v>
      </c>
      <c r="C4639" s="12" t="str">
        <f>VLOOKUP((WEEKDAY(Movimientos_2026[[#This Row],[Fecha]],2)),'5. Setup'!$D$6:$E$12,2,FALSE)</f>
        <v>Sab</v>
      </c>
      <c r="E4639" t="str">
        <f>IFERROR(+VLOOKUP(Movimientos_2026[[#This Row],[Codigo]],Plan_cuentas[],2,FALSE)," ")</f>
        <v xml:space="preserve"> </v>
      </c>
      <c r="F4639" t="str">
        <f>IFERROR(+VLOOKUP(Movimientos_2026[[#This Row],[Codigo]],Plan_cuentas[],3,FALSE)," ")</f>
        <v xml:space="preserve"> </v>
      </c>
      <c r="G4639" t="str">
        <f>IFERROR(+VLOOKUP(Movimientos_2026[[#This Row],[Codigo]],Plan_cuentas[],4,FALSE)," ")</f>
        <v xml:space="preserve"> </v>
      </c>
      <c r="H4639" t="str">
        <f>IFERROR(+VLOOKUP(Movimientos_2026[[#This Row],[Codigo]],Plan_cuentas[],5,FALSE)," ")</f>
        <v xml:space="preserve"> </v>
      </c>
      <c r="I4639" s="43"/>
      <c r="K4639" t="str">
        <f>IFERROR(+VLOOKUP(Movimientos_2026[[#This Row],[Codigo]],Plan_cuentas[],6,FALSE)," ")</f>
        <v xml:space="preserve"> </v>
      </c>
      <c r="L4639" s="50"/>
      <c r="M4639" s="50"/>
      <c r="N4639" s="20">
        <f>+Movimientos_2026[[#This Row],[Ingresos]]-Movimientos_2026[[#This Row],[Egresos]]</f>
        <v>0</v>
      </c>
      <c r="O4639" s="20">
        <f>+O4638+Movimientos_2026[[#This Row],[Neto]]</f>
        <v>4581558617.7962294</v>
      </c>
    </row>
    <row r="4640" spans="1:15" x14ac:dyDescent="0.25">
      <c r="A4640" s="13"/>
      <c r="B4640" s="12">
        <f>MONTH(Movimientos_2026[[#This Row],[Fecha]])</f>
        <v>1</v>
      </c>
      <c r="C4640" s="12" t="str">
        <f>VLOOKUP((WEEKDAY(Movimientos_2026[[#This Row],[Fecha]],2)),'5. Setup'!$D$6:$E$12,2,FALSE)</f>
        <v>Sab</v>
      </c>
      <c r="E4640" t="str">
        <f>IFERROR(+VLOOKUP(Movimientos_2026[[#This Row],[Codigo]],Plan_cuentas[],2,FALSE)," ")</f>
        <v xml:space="preserve"> </v>
      </c>
      <c r="F4640" t="str">
        <f>IFERROR(+VLOOKUP(Movimientos_2026[[#This Row],[Codigo]],Plan_cuentas[],3,FALSE)," ")</f>
        <v xml:space="preserve"> </v>
      </c>
      <c r="G4640" t="str">
        <f>IFERROR(+VLOOKUP(Movimientos_2026[[#This Row],[Codigo]],Plan_cuentas[],4,FALSE)," ")</f>
        <v xml:space="preserve"> </v>
      </c>
      <c r="H4640" t="str">
        <f>IFERROR(+VLOOKUP(Movimientos_2026[[#This Row],[Codigo]],Plan_cuentas[],5,FALSE)," ")</f>
        <v xml:space="preserve"> </v>
      </c>
      <c r="I4640" s="43"/>
      <c r="K4640" t="str">
        <f>IFERROR(+VLOOKUP(Movimientos_2026[[#This Row],[Codigo]],Plan_cuentas[],6,FALSE)," ")</f>
        <v xml:space="preserve"> </v>
      </c>
      <c r="L4640" s="50"/>
      <c r="M4640" s="50"/>
      <c r="N4640" s="20">
        <f>+Movimientos_2026[[#This Row],[Ingresos]]-Movimientos_2026[[#This Row],[Egresos]]</f>
        <v>0</v>
      </c>
      <c r="O4640" s="20">
        <f>+O4639+Movimientos_2026[[#This Row],[Neto]]</f>
        <v>4581558617.7962294</v>
      </c>
    </row>
    <row r="4641" spans="1:15" x14ac:dyDescent="0.25">
      <c r="A4641" s="13"/>
      <c r="B4641" s="12">
        <f>MONTH(Movimientos_2026[[#This Row],[Fecha]])</f>
        <v>1</v>
      </c>
      <c r="C4641" s="12" t="str">
        <f>VLOOKUP((WEEKDAY(Movimientos_2026[[#This Row],[Fecha]],2)),'5. Setup'!$D$6:$E$12,2,FALSE)</f>
        <v>Sab</v>
      </c>
      <c r="E4641" t="str">
        <f>IFERROR(+VLOOKUP(Movimientos_2026[[#This Row],[Codigo]],Plan_cuentas[],2,FALSE)," ")</f>
        <v xml:space="preserve"> </v>
      </c>
      <c r="F4641" t="str">
        <f>IFERROR(+VLOOKUP(Movimientos_2026[[#This Row],[Codigo]],Plan_cuentas[],3,FALSE)," ")</f>
        <v xml:space="preserve"> </v>
      </c>
      <c r="G4641" t="str">
        <f>IFERROR(+VLOOKUP(Movimientos_2026[[#This Row],[Codigo]],Plan_cuentas[],4,FALSE)," ")</f>
        <v xml:space="preserve"> </v>
      </c>
      <c r="H4641" t="str">
        <f>IFERROR(+VLOOKUP(Movimientos_2026[[#This Row],[Codigo]],Plan_cuentas[],5,FALSE)," ")</f>
        <v xml:space="preserve"> </v>
      </c>
      <c r="I4641" s="43"/>
      <c r="K4641" t="str">
        <f>IFERROR(+VLOOKUP(Movimientos_2026[[#This Row],[Codigo]],Plan_cuentas[],6,FALSE)," ")</f>
        <v xml:space="preserve"> </v>
      </c>
      <c r="L4641" s="50"/>
      <c r="M4641" s="50"/>
      <c r="N4641" s="20">
        <f>+Movimientos_2026[[#This Row],[Ingresos]]-Movimientos_2026[[#This Row],[Egresos]]</f>
        <v>0</v>
      </c>
      <c r="O4641" s="20">
        <f>+O4640+Movimientos_2026[[#This Row],[Neto]]</f>
        <v>4581558617.7962294</v>
      </c>
    </row>
    <row r="4642" spans="1:15" x14ac:dyDescent="0.25">
      <c r="A4642" s="13"/>
      <c r="B4642" s="12">
        <f>MONTH(Movimientos_2026[[#This Row],[Fecha]])</f>
        <v>1</v>
      </c>
      <c r="C4642" s="12" t="str">
        <f>VLOOKUP((WEEKDAY(Movimientos_2026[[#This Row],[Fecha]],2)),'5. Setup'!$D$6:$E$12,2,FALSE)</f>
        <v>Sab</v>
      </c>
      <c r="E4642" t="str">
        <f>IFERROR(+VLOOKUP(Movimientos_2026[[#This Row],[Codigo]],Plan_cuentas[],2,FALSE)," ")</f>
        <v xml:space="preserve"> </v>
      </c>
      <c r="F4642" t="str">
        <f>IFERROR(+VLOOKUP(Movimientos_2026[[#This Row],[Codigo]],Plan_cuentas[],3,FALSE)," ")</f>
        <v xml:space="preserve"> </v>
      </c>
      <c r="G4642" t="str">
        <f>IFERROR(+VLOOKUP(Movimientos_2026[[#This Row],[Codigo]],Plan_cuentas[],4,FALSE)," ")</f>
        <v xml:space="preserve"> </v>
      </c>
      <c r="H4642" t="str">
        <f>IFERROR(+VLOOKUP(Movimientos_2026[[#This Row],[Codigo]],Plan_cuentas[],5,FALSE)," ")</f>
        <v xml:space="preserve"> </v>
      </c>
      <c r="I4642" s="43"/>
      <c r="K4642" t="str">
        <f>IFERROR(+VLOOKUP(Movimientos_2026[[#This Row],[Codigo]],Plan_cuentas[],6,FALSE)," ")</f>
        <v xml:space="preserve"> </v>
      </c>
      <c r="L4642" s="50"/>
      <c r="M4642" s="50"/>
      <c r="N4642" s="20">
        <f>+Movimientos_2026[[#This Row],[Ingresos]]-Movimientos_2026[[#This Row],[Egresos]]</f>
        <v>0</v>
      </c>
      <c r="O4642" s="20">
        <f>+O4641+Movimientos_2026[[#This Row],[Neto]]</f>
        <v>4581558617.7962294</v>
      </c>
    </row>
    <row r="4643" spans="1:15" x14ac:dyDescent="0.25">
      <c r="A4643" s="13"/>
      <c r="B4643" s="12">
        <f>MONTH(Movimientos_2026[[#This Row],[Fecha]])</f>
        <v>1</v>
      </c>
      <c r="C4643" s="12" t="str">
        <f>VLOOKUP((WEEKDAY(Movimientos_2026[[#This Row],[Fecha]],2)),'5. Setup'!$D$6:$E$12,2,FALSE)</f>
        <v>Sab</v>
      </c>
      <c r="E4643" t="str">
        <f>IFERROR(+VLOOKUP(Movimientos_2026[[#This Row],[Codigo]],Plan_cuentas[],2,FALSE)," ")</f>
        <v xml:space="preserve"> </v>
      </c>
      <c r="F4643" t="str">
        <f>IFERROR(+VLOOKUP(Movimientos_2026[[#This Row],[Codigo]],Plan_cuentas[],3,FALSE)," ")</f>
        <v xml:space="preserve"> </v>
      </c>
      <c r="G4643" t="str">
        <f>IFERROR(+VLOOKUP(Movimientos_2026[[#This Row],[Codigo]],Plan_cuentas[],4,FALSE)," ")</f>
        <v xml:space="preserve"> </v>
      </c>
      <c r="H4643" t="str">
        <f>IFERROR(+VLOOKUP(Movimientos_2026[[#This Row],[Codigo]],Plan_cuentas[],5,FALSE)," ")</f>
        <v xml:space="preserve"> </v>
      </c>
      <c r="I4643" s="43"/>
      <c r="K4643" t="str">
        <f>IFERROR(+VLOOKUP(Movimientos_2026[[#This Row],[Codigo]],Plan_cuentas[],6,FALSE)," ")</f>
        <v xml:space="preserve"> </v>
      </c>
      <c r="L4643" s="50"/>
      <c r="M4643" s="50"/>
      <c r="N4643" s="20">
        <f>+Movimientos_2026[[#This Row],[Ingresos]]-Movimientos_2026[[#This Row],[Egresos]]</f>
        <v>0</v>
      </c>
      <c r="O4643" s="20">
        <f>+O4642+Movimientos_2026[[#This Row],[Neto]]</f>
        <v>4581558617.7962294</v>
      </c>
    </row>
    <row r="4644" spans="1:15" x14ac:dyDescent="0.25">
      <c r="A4644" s="13"/>
      <c r="B4644" s="12">
        <f>MONTH(Movimientos_2026[[#This Row],[Fecha]])</f>
        <v>1</v>
      </c>
      <c r="C4644" s="12" t="str">
        <f>VLOOKUP((WEEKDAY(Movimientos_2026[[#This Row],[Fecha]],2)),'5. Setup'!$D$6:$E$12,2,FALSE)</f>
        <v>Sab</v>
      </c>
      <c r="E4644" t="str">
        <f>IFERROR(+VLOOKUP(Movimientos_2026[[#This Row],[Codigo]],Plan_cuentas[],2,FALSE)," ")</f>
        <v xml:space="preserve"> </v>
      </c>
      <c r="F4644" t="str">
        <f>IFERROR(+VLOOKUP(Movimientos_2026[[#This Row],[Codigo]],Plan_cuentas[],3,FALSE)," ")</f>
        <v xml:space="preserve"> </v>
      </c>
      <c r="G4644" t="str">
        <f>IFERROR(+VLOOKUP(Movimientos_2026[[#This Row],[Codigo]],Plan_cuentas[],4,FALSE)," ")</f>
        <v xml:space="preserve"> </v>
      </c>
      <c r="H4644" t="str">
        <f>IFERROR(+VLOOKUP(Movimientos_2026[[#This Row],[Codigo]],Plan_cuentas[],5,FALSE)," ")</f>
        <v xml:space="preserve"> </v>
      </c>
      <c r="I4644" s="43"/>
      <c r="K4644" t="str">
        <f>IFERROR(+VLOOKUP(Movimientos_2026[[#This Row],[Codigo]],Plan_cuentas[],6,FALSE)," ")</f>
        <v xml:space="preserve"> </v>
      </c>
      <c r="L4644" s="50"/>
      <c r="M4644" s="50"/>
      <c r="N4644" s="20">
        <f>+Movimientos_2026[[#This Row],[Ingresos]]-Movimientos_2026[[#This Row],[Egresos]]</f>
        <v>0</v>
      </c>
      <c r="O4644" s="20">
        <f>+O4643+Movimientos_2026[[#This Row],[Neto]]</f>
        <v>4581558617.7962294</v>
      </c>
    </row>
    <row r="4645" spans="1:15" x14ac:dyDescent="0.25">
      <c r="A4645" s="13"/>
      <c r="B4645" s="12">
        <f>MONTH(Movimientos_2026[[#This Row],[Fecha]])</f>
        <v>1</v>
      </c>
      <c r="C4645" s="12" t="str">
        <f>VLOOKUP((WEEKDAY(Movimientos_2026[[#This Row],[Fecha]],2)),'5. Setup'!$D$6:$E$12,2,FALSE)</f>
        <v>Sab</v>
      </c>
      <c r="E4645" t="str">
        <f>IFERROR(+VLOOKUP(Movimientos_2026[[#This Row],[Codigo]],Plan_cuentas[],2,FALSE)," ")</f>
        <v xml:space="preserve"> </v>
      </c>
      <c r="F4645" t="str">
        <f>IFERROR(+VLOOKUP(Movimientos_2026[[#This Row],[Codigo]],Plan_cuentas[],3,FALSE)," ")</f>
        <v xml:space="preserve"> </v>
      </c>
      <c r="G4645" t="str">
        <f>IFERROR(+VLOOKUP(Movimientos_2026[[#This Row],[Codigo]],Plan_cuentas[],4,FALSE)," ")</f>
        <v xml:space="preserve"> </v>
      </c>
      <c r="H4645" t="str">
        <f>IFERROR(+VLOOKUP(Movimientos_2026[[#This Row],[Codigo]],Plan_cuentas[],5,FALSE)," ")</f>
        <v xml:space="preserve"> </v>
      </c>
      <c r="I4645" s="43"/>
      <c r="K4645" t="str">
        <f>IFERROR(+VLOOKUP(Movimientos_2026[[#This Row],[Codigo]],Plan_cuentas[],6,FALSE)," ")</f>
        <v xml:space="preserve"> </v>
      </c>
      <c r="L4645" s="50"/>
      <c r="M4645" s="50"/>
      <c r="N4645" s="20">
        <f>+Movimientos_2026[[#This Row],[Ingresos]]-Movimientos_2026[[#This Row],[Egresos]]</f>
        <v>0</v>
      </c>
      <c r="O4645" s="20">
        <f>+O4644+Movimientos_2026[[#This Row],[Neto]]</f>
        <v>4581558617.7962294</v>
      </c>
    </row>
    <row r="4646" spans="1:15" x14ac:dyDescent="0.25">
      <c r="A4646" s="13"/>
      <c r="B4646" s="12">
        <f>MONTH(Movimientos_2026[[#This Row],[Fecha]])</f>
        <v>1</v>
      </c>
      <c r="C4646" s="12" t="str">
        <f>VLOOKUP((WEEKDAY(Movimientos_2026[[#This Row],[Fecha]],2)),'5. Setup'!$D$6:$E$12,2,FALSE)</f>
        <v>Sab</v>
      </c>
      <c r="E4646" t="str">
        <f>IFERROR(+VLOOKUP(Movimientos_2026[[#This Row],[Codigo]],Plan_cuentas[],2,FALSE)," ")</f>
        <v xml:space="preserve"> </v>
      </c>
      <c r="F4646" t="str">
        <f>IFERROR(+VLOOKUP(Movimientos_2026[[#This Row],[Codigo]],Plan_cuentas[],3,FALSE)," ")</f>
        <v xml:space="preserve"> </v>
      </c>
      <c r="G4646" t="str">
        <f>IFERROR(+VLOOKUP(Movimientos_2026[[#This Row],[Codigo]],Plan_cuentas[],4,FALSE)," ")</f>
        <v xml:space="preserve"> </v>
      </c>
      <c r="H4646" t="str">
        <f>IFERROR(+VLOOKUP(Movimientos_2026[[#This Row],[Codigo]],Plan_cuentas[],5,FALSE)," ")</f>
        <v xml:space="preserve"> </v>
      </c>
      <c r="I4646" s="43"/>
      <c r="K4646" t="str">
        <f>IFERROR(+VLOOKUP(Movimientos_2026[[#This Row],[Codigo]],Plan_cuentas[],6,FALSE)," ")</f>
        <v xml:space="preserve"> </v>
      </c>
      <c r="L4646" s="50"/>
      <c r="M4646" s="50"/>
      <c r="N4646" s="20">
        <f>+Movimientos_2026[[#This Row],[Ingresos]]-Movimientos_2026[[#This Row],[Egresos]]</f>
        <v>0</v>
      </c>
      <c r="O4646" s="20">
        <f>+O4645+Movimientos_2026[[#This Row],[Neto]]</f>
        <v>4581558617.7962294</v>
      </c>
    </row>
    <row r="4647" spans="1:15" x14ac:dyDescent="0.25">
      <c r="A4647" s="13"/>
      <c r="B4647" s="12">
        <f>MONTH(Movimientos_2026[[#This Row],[Fecha]])</f>
        <v>1</v>
      </c>
      <c r="C4647" s="12" t="str">
        <f>VLOOKUP((WEEKDAY(Movimientos_2026[[#This Row],[Fecha]],2)),'5. Setup'!$D$6:$E$12,2,FALSE)</f>
        <v>Sab</v>
      </c>
      <c r="E4647" t="str">
        <f>IFERROR(+VLOOKUP(Movimientos_2026[[#This Row],[Codigo]],Plan_cuentas[],2,FALSE)," ")</f>
        <v xml:space="preserve"> </v>
      </c>
      <c r="F4647" t="str">
        <f>IFERROR(+VLOOKUP(Movimientos_2026[[#This Row],[Codigo]],Plan_cuentas[],3,FALSE)," ")</f>
        <v xml:space="preserve"> </v>
      </c>
      <c r="G4647" t="str">
        <f>IFERROR(+VLOOKUP(Movimientos_2026[[#This Row],[Codigo]],Plan_cuentas[],4,FALSE)," ")</f>
        <v xml:space="preserve"> </v>
      </c>
      <c r="H4647" t="str">
        <f>IFERROR(+VLOOKUP(Movimientos_2026[[#This Row],[Codigo]],Plan_cuentas[],5,FALSE)," ")</f>
        <v xml:space="preserve"> </v>
      </c>
      <c r="I4647" s="43"/>
      <c r="K4647" t="str">
        <f>IFERROR(+VLOOKUP(Movimientos_2026[[#This Row],[Codigo]],Plan_cuentas[],6,FALSE)," ")</f>
        <v xml:space="preserve"> </v>
      </c>
      <c r="L4647" s="50"/>
      <c r="M4647" s="50"/>
      <c r="N4647" s="20">
        <f>+Movimientos_2026[[#This Row],[Ingresos]]-Movimientos_2026[[#This Row],[Egresos]]</f>
        <v>0</v>
      </c>
      <c r="O4647" s="20">
        <f>+O4646+Movimientos_2026[[#This Row],[Neto]]</f>
        <v>4581558617.7962294</v>
      </c>
    </row>
    <row r="4648" spans="1:15" x14ac:dyDescent="0.25">
      <c r="A4648" s="13"/>
      <c r="B4648" s="12">
        <f>MONTH(Movimientos_2026[[#This Row],[Fecha]])</f>
        <v>1</v>
      </c>
      <c r="C4648" s="12" t="str">
        <f>VLOOKUP((WEEKDAY(Movimientos_2026[[#This Row],[Fecha]],2)),'5. Setup'!$D$6:$E$12,2,FALSE)</f>
        <v>Sab</v>
      </c>
      <c r="E4648" t="str">
        <f>IFERROR(+VLOOKUP(Movimientos_2026[[#This Row],[Codigo]],Plan_cuentas[],2,FALSE)," ")</f>
        <v xml:space="preserve"> </v>
      </c>
      <c r="F4648" t="str">
        <f>IFERROR(+VLOOKUP(Movimientos_2026[[#This Row],[Codigo]],Plan_cuentas[],3,FALSE)," ")</f>
        <v xml:space="preserve"> </v>
      </c>
      <c r="G4648" t="str">
        <f>IFERROR(+VLOOKUP(Movimientos_2026[[#This Row],[Codigo]],Plan_cuentas[],4,FALSE)," ")</f>
        <v xml:space="preserve"> </v>
      </c>
      <c r="H4648" t="str">
        <f>IFERROR(+VLOOKUP(Movimientos_2026[[#This Row],[Codigo]],Plan_cuentas[],5,FALSE)," ")</f>
        <v xml:space="preserve"> </v>
      </c>
      <c r="I4648" s="43"/>
      <c r="K4648" t="str">
        <f>IFERROR(+VLOOKUP(Movimientos_2026[[#This Row],[Codigo]],Plan_cuentas[],6,FALSE)," ")</f>
        <v xml:space="preserve"> </v>
      </c>
      <c r="L4648" s="50"/>
      <c r="M4648" s="50"/>
      <c r="N4648" s="20">
        <f>+Movimientos_2026[[#This Row],[Ingresos]]-Movimientos_2026[[#This Row],[Egresos]]</f>
        <v>0</v>
      </c>
      <c r="O4648" s="20">
        <f>+O4647+Movimientos_2026[[#This Row],[Neto]]</f>
        <v>4581558617.7962294</v>
      </c>
    </row>
    <row r="4649" spans="1:15" x14ac:dyDescent="0.25">
      <c r="A4649" s="13"/>
      <c r="B4649" s="12">
        <f>MONTH(Movimientos_2026[[#This Row],[Fecha]])</f>
        <v>1</v>
      </c>
      <c r="C4649" s="12" t="str">
        <f>VLOOKUP((WEEKDAY(Movimientos_2026[[#This Row],[Fecha]],2)),'5. Setup'!$D$6:$E$12,2,FALSE)</f>
        <v>Sab</v>
      </c>
      <c r="E4649" t="str">
        <f>IFERROR(+VLOOKUP(Movimientos_2026[[#This Row],[Codigo]],Plan_cuentas[],2,FALSE)," ")</f>
        <v xml:space="preserve"> </v>
      </c>
      <c r="F4649" t="str">
        <f>IFERROR(+VLOOKUP(Movimientos_2026[[#This Row],[Codigo]],Plan_cuentas[],3,FALSE)," ")</f>
        <v xml:space="preserve"> </v>
      </c>
      <c r="G4649" t="str">
        <f>IFERROR(+VLOOKUP(Movimientos_2026[[#This Row],[Codigo]],Plan_cuentas[],4,FALSE)," ")</f>
        <v xml:space="preserve"> </v>
      </c>
      <c r="H4649" t="str">
        <f>IFERROR(+VLOOKUP(Movimientos_2026[[#This Row],[Codigo]],Plan_cuentas[],5,FALSE)," ")</f>
        <v xml:space="preserve"> </v>
      </c>
      <c r="I4649" s="43"/>
      <c r="K4649" t="str">
        <f>IFERROR(+VLOOKUP(Movimientos_2026[[#This Row],[Codigo]],Plan_cuentas[],6,FALSE)," ")</f>
        <v xml:space="preserve"> </v>
      </c>
      <c r="L4649" s="50"/>
      <c r="M4649" s="50"/>
      <c r="N4649" s="20">
        <f>+Movimientos_2026[[#This Row],[Ingresos]]-Movimientos_2026[[#This Row],[Egresos]]</f>
        <v>0</v>
      </c>
      <c r="O4649" s="20">
        <f>+O4648+Movimientos_2026[[#This Row],[Neto]]</f>
        <v>4581558617.7962294</v>
      </c>
    </row>
    <row r="4650" spans="1:15" x14ac:dyDescent="0.25">
      <c r="A4650" s="13"/>
      <c r="B4650" s="12">
        <f>MONTH(Movimientos_2026[[#This Row],[Fecha]])</f>
        <v>1</v>
      </c>
      <c r="C4650" s="12" t="str">
        <f>VLOOKUP((WEEKDAY(Movimientos_2026[[#This Row],[Fecha]],2)),'5. Setup'!$D$6:$E$12,2,FALSE)</f>
        <v>Sab</v>
      </c>
      <c r="E4650" t="str">
        <f>IFERROR(+VLOOKUP(Movimientos_2026[[#This Row],[Codigo]],Plan_cuentas[],2,FALSE)," ")</f>
        <v xml:space="preserve"> </v>
      </c>
      <c r="F4650" t="str">
        <f>IFERROR(+VLOOKUP(Movimientos_2026[[#This Row],[Codigo]],Plan_cuentas[],3,FALSE)," ")</f>
        <v xml:space="preserve"> </v>
      </c>
      <c r="G4650" t="str">
        <f>IFERROR(+VLOOKUP(Movimientos_2026[[#This Row],[Codigo]],Plan_cuentas[],4,FALSE)," ")</f>
        <v xml:space="preserve"> </v>
      </c>
      <c r="H4650" t="str">
        <f>IFERROR(+VLOOKUP(Movimientos_2026[[#This Row],[Codigo]],Plan_cuentas[],5,FALSE)," ")</f>
        <v xml:space="preserve"> </v>
      </c>
      <c r="I4650" s="43"/>
      <c r="K4650" t="str">
        <f>IFERROR(+VLOOKUP(Movimientos_2026[[#This Row],[Codigo]],Plan_cuentas[],6,FALSE)," ")</f>
        <v xml:space="preserve"> </v>
      </c>
      <c r="L4650" s="50"/>
      <c r="M4650" s="50"/>
      <c r="N4650" s="20">
        <f>+Movimientos_2026[[#This Row],[Ingresos]]-Movimientos_2026[[#This Row],[Egresos]]</f>
        <v>0</v>
      </c>
      <c r="O4650" s="20">
        <f>+O4649+Movimientos_2026[[#This Row],[Neto]]</f>
        <v>4581558617.7962294</v>
      </c>
    </row>
    <row r="4651" spans="1:15" x14ac:dyDescent="0.25">
      <c r="A4651" s="13"/>
      <c r="B4651" s="12">
        <f>MONTH(Movimientos_2026[[#This Row],[Fecha]])</f>
        <v>1</v>
      </c>
      <c r="C4651" s="12" t="str">
        <f>VLOOKUP((WEEKDAY(Movimientos_2026[[#This Row],[Fecha]],2)),'5. Setup'!$D$6:$E$12,2,FALSE)</f>
        <v>Sab</v>
      </c>
      <c r="E4651" t="str">
        <f>IFERROR(+VLOOKUP(Movimientos_2026[[#This Row],[Codigo]],Plan_cuentas[],2,FALSE)," ")</f>
        <v xml:space="preserve"> </v>
      </c>
      <c r="F4651" t="str">
        <f>IFERROR(+VLOOKUP(Movimientos_2026[[#This Row],[Codigo]],Plan_cuentas[],3,FALSE)," ")</f>
        <v xml:space="preserve"> </v>
      </c>
      <c r="G4651" t="str">
        <f>IFERROR(+VLOOKUP(Movimientos_2026[[#This Row],[Codigo]],Plan_cuentas[],4,FALSE)," ")</f>
        <v xml:space="preserve"> </v>
      </c>
      <c r="H4651" t="str">
        <f>IFERROR(+VLOOKUP(Movimientos_2026[[#This Row],[Codigo]],Plan_cuentas[],5,FALSE)," ")</f>
        <v xml:space="preserve"> </v>
      </c>
      <c r="I4651" s="43"/>
      <c r="K4651" t="str">
        <f>IFERROR(+VLOOKUP(Movimientos_2026[[#This Row],[Codigo]],Plan_cuentas[],6,FALSE)," ")</f>
        <v xml:space="preserve"> </v>
      </c>
      <c r="L4651" s="50"/>
      <c r="M4651" s="50"/>
      <c r="N4651" s="20">
        <f>+Movimientos_2026[[#This Row],[Ingresos]]-Movimientos_2026[[#This Row],[Egresos]]</f>
        <v>0</v>
      </c>
      <c r="O4651" s="20">
        <f>+O4650+Movimientos_2026[[#This Row],[Neto]]</f>
        <v>4581558617.7962294</v>
      </c>
    </row>
    <row r="4652" spans="1:15" x14ac:dyDescent="0.25">
      <c r="A4652" s="13"/>
      <c r="B4652" s="12">
        <f>MONTH(Movimientos_2026[[#This Row],[Fecha]])</f>
        <v>1</v>
      </c>
      <c r="C4652" s="12" t="str">
        <f>VLOOKUP((WEEKDAY(Movimientos_2026[[#This Row],[Fecha]],2)),'5. Setup'!$D$6:$E$12,2,FALSE)</f>
        <v>Sab</v>
      </c>
      <c r="E4652" t="str">
        <f>IFERROR(+VLOOKUP(Movimientos_2026[[#This Row],[Codigo]],Plan_cuentas[],2,FALSE)," ")</f>
        <v xml:space="preserve"> </v>
      </c>
      <c r="F4652" t="str">
        <f>IFERROR(+VLOOKUP(Movimientos_2026[[#This Row],[Codigo]],Plan_cuentas[],3,FALSE)," ")</f>
        <v xml:space="preserve"> </v>
      </c>
      <c r="G4652" t="str">
        <f>IFERROR(+VLOOKUP(Movimientos_2026[[#This Row],[Codigo]],Plan_cuentas[],4,FALSE)," ")</f>
        <v xml:space="preserve"> </v>
      </c>
      <c r="H4652" t="str">
        <f>IFERROR(+VLOOKUP(Movimientos_2026[[#This Row],[Codigo]],Plan_cuentas[],5,FALSE)," ")</f>
        <v xml:space="preserve"> </v>
      </c>
      <c r="I4652" s="43"/>
      <c r="K4652" t="str">
        <f>IFERROR(+VLOOKUP(Movimientos_2026[[#This Row],[Codigo]],Plan_cuentas[],6,FALSE)," ")</f>
        <v xml:space="preserve"> </v>
      </c>
      <c r="L4652" s="50"/>
      <c r="M4652" s="50"/>
      <c r="N4652" s="20">
        <f>+Movimientos_2026[[#This Row],[Ingresos]]-Movimientos_2026[[#This Row],[Egresos]]</f>
        <v>0</v>
      </c>
      <c r="O4652" s="20">
        <f>+O4651+Movimientos_2026[[#This Row],[Neto]]</f>
        <v>4581558617.7962294</v>
      </c>
    </row>
    <row r="4653" spans="1:15" x14ac:dyDescent="0.25">
      <c r="A4653" s="13"/>
      <c r="B4653" s="12">
        <f>MONTH(Movimientos_2026[[#This Row],[Fecha]])</f>
        <v>1</v>
      </c>
      <c r="C4653" s="12" t="str">
        <f>VLOOKUP((WEEKDAY(Movimientos_2026[[#This Row],[Fecha]],2)),'5. Setup'!$D$6:$E$12,2,FALSE)</f>
        <v>Sab</v>
      </c>
      <c r="E4653" t="str">
        <f>IFERROR(+VLOOKUP(Movimientos_2026[[#This Row],[Codigo]],Plan_cuentas[],2,FALSE)," ")</f>
        <v xml:space="preserve"> </v>
      </c>
      <c r="F4653" t="str">
        <f>IFERROR(+VLOOKUP(Movimientos_2026[[#This Row],[Codigo]],Plan_cuentas[],3,FALSE)," ")</f>
        <v xml:space="preserve"> </v>
      </c>
      <c r="G4653" t="str">
        <f>IFERROR(+VLOOKUP(Movimientos_2026[[#This Row],[Codigo]],Plan_cuentas[],4,FALSE)," ")</f>
        <v xml:space="preserve"> </v>
      </c>
      <c r="H4653" t="str">
        <f>IFERROR(+VLOOKUP(Movimientos_2026[[#This Row],[Codigo]],Plan_cuentas[],5,FALSE)," ")</f>
        <v xml:space="preserve"> </v>
      </c>
      <c r="I4653" s="43"/>
      <c r="K4653" t="str">
        <f>IFERROR(+VLOOKUP(Movimientos_2026[[#This Row],[Codigo]],Plan_cuentas[],6,FALSE)," ")</f>
        <v xml:space="preserve"> </v>
      </c>
      <c r="L4653" s="50"/>
      <c r="M4653" s="50"/>
      <c r="N4653" s="20">
        <f>+Movimientos_2026[[#This Row],[Ingresos]]-Movimientos_2026[[#This Row],[Egresos]]</f>
        <v>0</v>
      </c>
      <c r="O4653" s="20">
        <f>+O4652+Movimientos_2026[[#This Row],[Neto]]</f>
        <v>4581558617.7962294</v>
      </c>
    </row>
    <row r="4654" spans="1:15" x14ac:dyDescent="0.25">
      <c r="A4654" s="13"/>
      <c r="B4654" s="12">
        <f>MONTH(Movimientos_2026[[#This Row],[Fecha]])</f>
        <v>1</v>
      </c>
      <c r="C4654" s="12" t="str">
        <f>VLOOKUP((WEEKDAY(Movimientos_2026[[#This Row],[Fecha]],2)),'5. Setup'!$D$6:$E$12,2,FALSE)</f>
        <v>Sab</v>
      </c>
      <c r="E4654" t="str">
        <f>IFERROR(+VLOOKUP(Movimientos_2026[[#This Row],[Codigo]],Plan_cuentas[],2,FALSE)," ")</f>
        <v xml:space="preserve"> </v>
      </c>
      <c r="F4654" t="str">
        <f>IFERROR(+VLOOKUP(Movimientos_2026[[#This Row],[Codigo]],Plan_cuentas[],3,FALSE)," ")</f>
        <v xml:space="preserve"> </v>
      </c>
      <c r="G4654" t="str">
        <f>IFERROR(+VLOOKUP(Movimientos_2026[[#This Row],[Codigo]],Plan_cuentas[],4,FALSE)," ")</f>
        <v xml:space="preserve"> </v>
      </c>
      <c r="H4654" t="str">
        <f>IFERROR(+VLOOKUP(Movimientos_2026[[#This Row],[Codigo]],Plan_cuentas[],5,FALSE)," ")</f>
        <v xml:space="preserve"> </v>
      </c>
      <c r="I4654" s="43"/>
      <c r="K4654" t="str">
        <f>IFERROR(+VLOOKUP(Movimientos_2026[[#This Row],[Codigo]],Plan_cuentas[],6,FALSE)," ")</f>
        <v xml:space="preserve"> </v>
      </c>
      <c r="L4654" s="50"/>
      <c r="M4654" s="50"/>
      <c r="N4654" s="20">
        <f>+Movimientos_2026[[#This Row],[Ingresos]]-Movimientos_2026[[#This Row],[Egresos]]</f>
        <v>0</v>
      </c>
      <c r="O4654" s="20">
        <f>+O4653+Movimientos_2026[[#This Row],[Neto]]</f>
        <v>4581558617.7962294</v>
      </c>
    </row>
    <row r="4655" spans="1:15" x14ac:dyDescent="0.25">
      <c r="A4655" s="13"/>
      <c r="B4655" s="12">
        <f>MONTH(Movimientos_2026[[#This Row],[Fecha]])</f>
        <v>1</v>
      </c>
      <c r="C4655" s="12" t="str">
        <f>VLOOKUP((WEEKDAY(Movimientos_2026[[#This Row],[Fecha]],2)),'5. Setup'!$D$6:$E$12,2,FALSE)</f>
        <v>Sab</v>
      </c>
      <c r="E4655" t="str">
        <f>IFERROR(+VLOOKUP(Movimientos_2026[[#This Row],[Codigo]],Plan_cuentas[],2,FALSE)," ")</f>
        <v xml:space="preserve"> </v>
      </c>
      <c r="F4655" t="str">
        <f>IFERROR(+VLOOKUP(Movimientos_2026[[#This Row],[Codigo]],Plan_cuentas[],3,FALSE)," ")</f>
        <v xml:space="preserve"> </v>
      </c>
      <c r="G4655" t="str">
        <f>IFERROR(+VLOOKUP(Movimientos_2026[[#This Row],[Codigo]],Plan_cuentas[],4,FALSE)," ")</f>
        <v xml:space="preserve"> </v>
      </c>
      <c r="H4655" t="str">
        <f>IFERROR(+VLOOKUP(Movimientos_2026[[#This Row],[Codigo]],Plan_cuentas[],5,FALSE)," ")</f>
        <v xml:space="preserve"> </v>
      </c>
      <c r="I4655" s="43"/>
      <c r="K4655" t="str">
        <f>IFERROR(+VLOOKUP(Movimientos_2026[[#This Row],[Codigo]],Plan_cuentas[],6,FALSE)," ")</f>
        <v xml:space="preserve"> </v>
      </c>
      <c r="L4655" s="50"/>
      <c r="M4655" s="50"/>
      <c r="N4655" s="20">
        <f>+Movimientos_2026[[#This Row],[Ingresos]]-Movimientos_2026[[#This Row],[Egresos]]</f>
        <v>0</v>
      </c>
      <c r="O4655" s="20">
        <f>+O4654+Movimientos_2026[[#This Row],[Neto]]</f>
        <v>4581558617.7962294</v>
      </c>
    </row>
    <row r="4656" spans="1:15" x14ac:dyDescent="0.25">
      <c r="A4656" s="13"/>
      <c r="B4656" s="12">
        <f>MONTH(Movimientos_2026[[#This Row],[Fecha]])</f>
        <v>1</v>
      </c>
      <c r="C4656" s="12" t="str">
        <f>VLOOKUP((WEEKDAY(Movimientos_2026[[#This Row],[Fecha]],2)),'5. Setup'!$D$6:$E$12,2,FALSE)</f>
        <v>Sab</v>
      </c>
      <c r="E4656" t="str">
        <f>IFERROR(+VLOOKUP(Movimientos_2026[[#This Row],[Codigo]],Plan_cuentas[],2,FALSE)," ")</f>
        <v xml:space="preserve"> </v>
      </c>
      <c r="F4656" t="str">
        <f>IFERROR(+VLOOKUP(Movimientos_2026[[#This Row],[Codigo]],Plan_cuentas[],3,FALSE)," ")</f>
        <v xml:space="preserve"> </v>
      </c>
      <c r="G4656" t="str">
        <f>IFERROR(+VLOOKUP(Movimientos_2026[[#This Row],[Codigo]],Plan_cuentas[],4,FALSE)," ")</f>
        <v xml:space="preserve"> </v>
      </c>
      <c r="H4656" t="str">
        <f>IFERROR(+VLOOKUP(Movimientos_2026[[#This Row],[Codigo]],Plan_cuentas[],5,FALSE)," ")</f>
        <v xml:space="preserve"> </v>
      </c>
      <c r="I4656" s="43"/>
      <c r="K4656" t="str">
        <f>IFERROR(+VLOOKUP(Movimientos_2026[[#This Row],[Codigo]],Plan_cuentas[],6,FALSE)," ")</f>
        <v xml:space="preserve"> </v>
      </c>
      <c r="L4656" s="50"/>
      <c r="M4656" s="50"/>
      <c r="N4656" s="20">
        <f>+Movimientos_2026[[#This Row],[Ingresos]]-Movimientos_2026[[#This Row],[Egresos]]</f>
        <v>0</v>
      </c>
      <c r="O4656" s="20">
        <f>+O4655+Movimientos_2026[[#This Row],[Neto]]</f>
        <v>4581558617.7962294</v>
      </c>
    </row>
    <row r="4657" spans="1:15" x14ac:dyDescent="0.25">
      <c r="A4657" s="13"/>
      <c r="B4657" s="12">
        <f>MONTH(Movimientos_2026[[#This Row],[Fecha]])</f>
        <v>1</v>
      </c>
      <c r="C4657" s="12" t="str">
        <f>VLOOKUP((WEEKDAY(Movimientos_2026[[#This Row],[Fecha]],2)),'5. Setup'!$D$6:$E$12,2,FALSE)</f>
        <v>Sab</v>
      </c>
      <c r="E4657" t="str">
        <f>IFERROR(+VLOOKUP(Movimientos_2026[[#This Row],[Codigo]],Plan_cuentas[],2,FALSE)," ")</f>
        <v xml:space="preserve"> </v>
      </c>
      <c r="F4657" t="str">
        <f>IFERROR(+VLOOKUP(Movimientos_2026[[#This Row],[Codigo]],Plan_cuentas[],3,FALSE)," ")</f>
        <v xml:space="preserve"> </v>
      </c>
      <c r="G4657" t="str">
        <f>IFERROR(+VLOOKUP(Movimientos_2026[[#This Row],[Codigo]],Plan_cuentas[],4,FALSE)," ")</f>
        <v xml:space="preserve"> </v>
      </c>
      <c r="H4657" t="str">
        <f>IFERROR(+VLOOKUP(Movimientos_2026[[#This Row],[Codigo]],Plan_cuentas[],5,FALSE)," ")</f>
        <v xml:space="preserve"> </v>
      </c>
      <c r="I4657" s="43"/>
      <c r="K4657" t="str">
        <f>IFERROR(+VLOOKUP(Movimientos_2026[[#This Row],[Codigo]],Plan_cuentas[],6,FALSE)," ")</f>
        <v xml:space="preserve"> </v>
      </c>
      <c r="L4657" s="50"/>
      <c r="M4657" s="50"/>
      <c r="N4657" s="20">
        <f>+Movimientos_2026[[#This Row],[Ingresos]]-Movimientos_2026[[#This Row],[Egresos]]</f>
        <v>0</v>
      </c>
      <c r="O4657" s="20">
        <f>+O4656+Movimientos_2026[[#This Row],[Neto]]</f>
        <v>4581558617.7962294</v>
      </c>
    </row>
    <row r="4658" spans="1:15" x14ac:dyDescent="0.25">
      <c r="A4658" s="13"/>
      <c r="B4658" s="12">
        <f>MONTH(Movimientos_2026[[#This Row],[Fecha]])</f>
        <v>1</v>
      </c>
      <c r="C4658" s="12" t="str">
        <f>VLOOKUP((WEEKDAY(Movimientos_2026[[#This Row],[Fecha]],2)),'5. Setup'!$D$6:$E$12,2,FALSE)</f>
        <v>Sab</v>
      </c>
      <c r="E4658" t="str">
        <f>IFERROR(+VLOOKUP(Movimientos_2026[[#This Row],[Codigo]],Plan_cuentas[],2,FALSE)," ")</f>
        <v xml:space="preserve"> </v>
      </c>
      <c r="F4658" t="str">
        <f>IFERROR(+VLOOKUP(Movimientos_2026[[#This Row],[Codigo]],Plan_cuentas[],3,FALSE)," ")</f>
        <v xml:space="preserve"> </v>
      </c>
      <c r="G4658" t="str">
        <f>IFERROR(+VLOOKUP(Movimientos_2026[[#This Row],[Codigo]],Plan_cuentas[],4,FALSE)," ")</f>
        <v xml:space="preserve"> </v>
      </c>
      <c r="H4658" t="str">
        <f>IFERROR(+VLOOKUP(Movimientos_2026[[#This Row],[Codigo]],Plan_cuentas[],5,FALSE)," ")</f>
        <v xml:space="preserve"> </v>
      </c>
      <c r="I4658" s="43"/>
      <c r="K4658" t="str">
        <f>IFERROR(+VLOOKUP(Movimientos_2026[[#This Row],[Codigo]],Plan_cuentas[],6,FALSE)," ")</f>
        <v xml:space="preserve"> </v>
      </c>
      <c r="L4658" s="50"/>
      <c r="M4658" s="50"/>
      <c r="N4658" s="20">
        <f>+Movimientos_2026[[#This Row],[Ingresos]]-Movimientos_2026[[#This Row],[Egresos]]</f>
        <v>0</v>
      </c>
      <c r="O4658" s="20">
        <f>+O4657+Movimientos_2026[[#This Row],[Neto]]</f>
        <v>4581558617.7962294</v>
      </c>
    </row>
    <row r="4659" spans="1:15" x14ac:dyDescent="0.25">
      <c r="A4659" s="13"/>
      <c r="B4659" s="12">
        <f>MONTH(Movimientos_2026[[#This Row],[Fecha]])</f>
        <v>1</v>
      </c>
      <c r="C4659" s="12" t="str">
        <f>VLOOKUP((WEEKDAY(Movimientos_2026[[#This Row],[Fecha]],2)),'5. Setup'!$D$6:$E$12,2,FALSE)</f>
        <v>Sab</v>
      </c>
      <c r="E4659" t="str">
        <f>IFERROR(+VLOOKUP(Movimientos_2026[[#This Row],[Codigo]],Plan_cuentas[],2,FALSE)," ")</f>
        <v xml:space="preserve"> </v>
      </c>
      <c r="F4659" t="str">
        <f>IFERROR(+VLOOKUP(Movimientos_2026[[#This Row],[Codigo]],Plan_cuentas[],3,FALSE)," ")</f>
        <v xml:space="preserve"> </v>
      </c>
      <c r="G4659" t="str">
        <f>IFERROR(+VLOOKUP(Movimientos_2026[[#This Row],[Codigo]],Plan_cuentas[],4,FALSE)," ")</f>
        <v xml:space="preserve"> </v>
      </c>
      <c r="H4659" t="str">
        <f>IFERROR(+VLOOKUP(Movimientos_2026[[#This Row],[Codigo]],Plan_cuentas[],5,FALSE)," ")</f>
        <v xml:space="preserve"> </v>
      </c>
      <c r="I4659" s="43"/>
      <c r="K4659" t="str">
        <f>IFERROR(+VLOOKUP(Movimientos_2026[[#This Row],[Codigo]],Plan_cuentas[],6,FALSE)," ")</f>
        <v xml:space="preserve"> </v>
      </c>
      <c r="L4659" s="50"/>
      <c r="M4659" s="50"/>
      <c r="N4659" s="20">
        <f>+Movimientos_2026[[#This Row],[Ingresos]]-Movimientos_2026[[#This Row],[Egresos]]</f>
        <v>0</v>
      </c>
      <c r="O4659" s="20">
        <f>+O4658+Movimientos_2026[[#This Row],[Neto]]</f>
        <v>4581558617.7962294</v>
      </c>
    </row>
    <row r="4660" spans="1:15" x14ac:dyDescent="0.25">
      <c r="A4660" s="13"/>
      <c r="B4660" s="12">
        <f>MONTH(Movimientos_2026[[#This Row],[Fecha]])</f>
        <v>1</v>
      </c>
      <c r="C4660" s="12" t="str">
        <f>VLOOKUP((WEEKDAY(Movimientos_2026[[#This Row],[Fecha]],2)),'5. Setup'!$D$6:$E$12,2,FALSE)</f>
        <v>Sab</v>
      </c>
      <c r="E4660" t="str">
        <f>IFERROR(+VLOOKUP(Movimientos_2026[[#This Row],[Codigo]],Plan_cuentas[],2,FALSE)," ")</f>
        <v xml:space="preserve"> </v>
      </c>
      <c r="F4660" t="str">
        <f>IFERROR(+VLOOKUP(Movimientos_2026[[#This Row],[Codigo]],Plan_cuentas[],3,FALSE)," ")</f>
        <v xml:space="preserve"> </v>
      </c>
      <c r="G4660" t="str">
        <f>IFERROR(+VLOOKUP(Movimientos_2026[[#This Row],[Codigo]],Plan_cuentas[],4,FALSE)," ")</f>
        <v xml:space="preserve"> </v>
      </c>
      <c r="H4660" t="str">
        <f>IFERROR(+VLOOKUP(Movimientos_2026[[#This Row],[Codigo]],Plan_cuentas[],5,FALSE)," ")</f>
        <v xml:space="preserve"> </v>
      </c>
      <c r="I4660" s="43"/>
      <c r="K4660" t="str">
        <f>IFERROR(+VLOOKUP(Movimientos_2026[[#This Row],[Codigo]],Plan_cuentas[],6,FALSE)," ")</f>
        <v xml:space="preserve"> </v>
      </c>
      <c r="L4660" s="50"/>
      <c r="M4660" s="50"/>
      <c r="N4660" s="20">
        <f>+Movimientos_2026[[#This Row],[Ingresos]]-Movimientos_2026[[#This Row],[Egresos]]</f>
        <v>0</v>
      </c>
      <c r="O4660" s="20">
        <f>+O4659+Movimientos_2026[[#This Row],[Neto]]</f>
        <v>4581558617.7962294</v>
      </c>
    </row>
    <row r="4661" spans="1:15" x14ac:dyDescent="0.25">
      <c r="A4661" s="13"/>
      <c r="B4661" s="12">
        <f>MONTH(Movimientos_2026[[#This Row],[Fecha]])</f>
        <v>1</v>
      </c>
      <c r="C4661" s="12" t="str">
        <f>VLOOKUP((WEEKDAY(Movimientos_2026[[#This Row],[Fecha]],2)),'5. Setup'!$D$6:$E$12,2,FALSE)</f>
        <v>Sab</v>
      </c>
      <c r="E4661" t="str">
        <f>IFERROR(+VLOOKUP(Movimientos_2026[[#This Row],[Codigo]],Plan_cuentas[],2,FALSE)," ")</f>
        <v xml:space="preserve"> </v>
      </c>
      <c r="F4661" t="str">
        <f>IFERROR(+VLOOKUP(Movimientos_2026[[#This Row],[Codigo]],Plan_cuentas[],3,FALSE)," ")</f>
        <v xml:space="preserve"> </v>
      </c>
      <c r="G4661" t="str">
        <f>IFERROR(+VLOOKUP(Movimientos_2026[[#This Row],[Codigo]],Plan_cuentas[],4,FALSE)," ")</f>
        <v xml:space="preserve"> </v>
      </c>
      <c r="H4661" t="str">
        <f>IFERROR(+VLOOKUP(Movimientos_2026[[#This Row],[Codigo]],Plan_cuentas[],5,FALSE)," ")</f>
        <v xml:space="preserve"> </v>
      </c>
      <c r="I4661" s="43"/>
      <c r="K4661" t="str">
        <f>IFERROR(+VLOOKUP(Movimientos_2026[[#This Row],[Codigo]],Plan_cuentas[],6,FALSE)," ")</f>
        <v xml:space="preserve"> </v>
      </c>
      <c r="L4661" s="50"/>
      <c r="M4661" s="50"/>
      <c r="N4661" s="20">
        <f>+Movimientos_2026[[#This Row],[Ingresos]]-Movimientos_2026[[#This Row],[Egresos]]</f>
        <v>0</v>
      </c>
      <c r="O4661" s="20">
        <f>+O4660+Movimientos_2026[[#This Row],[Neto]]</f>
        <v>4581558617.7962294</v>
      </c>
    </row>
    <row r="4662" spans="1:15" x14ac:dyDescent="0.25">
      <c r="A4662" s="13"/>
      <c r="B4662" s="12">
        <f>MONTH(Movimientos_2026[[#This Row],[Fecha]])</f>
        <v>1</v>
      </c>
      <c r="C4662" s="12" t="str">
        <f>VLOOKUP((WEEKDAY(Movimientos_2026[[#This Row],[Fecha]],2)),'5. Setup'!$D$6:$E$12,2,FALSE)</f>
        <v>Sab</v>
      </c>
      <c r="E4662" t="str">
        <f>IFERROR(+VLOOKUP(Movimientos_2026[[#This Row],[Codigo]],Plan_cuentas[],2,FALSE)," ")</f>
        <v xml:space="preserve"> </v>
      </c>
      <c r="F4662" t="str">
        <f>IFERROR(+VLOOKUP(Movimientos_2026[[#This Row],[Codigo]],Plan_cuentas[],3,FALSE)," ")</f>
        <v xml:space="preserve"> </v>
      </c>
      <c r="G4662" t="str">
        <f>IFERROR(+VLOOKUP(Movimientos_2026[[#This Row],[Codigo]],Plan_cuentas[],4,FALSE)," ")</f>
        <v xml:space="preserve"> </v>
      </c>
      <c r="H4662" t="str">
        <f>IFERROR(+VLOOKUP(Movimientos_2026[[#This Row],[Codigo]],Plan_cuentas[],5,FALSE)," ")</f>
        <v xml:space="preserve"> </v>
      </c>
      <c r="I4662" s="43"/>
      <c r="K4662" t="str">
        <f>IFERROR(+VLOOKUP(Movimientos_2026[[#This Row],[Codigo]],Plan_cuentas[],6,FALSE)," ")</f>
        <v xml:space="preserve"> </v>
      </c>
      <c r="L4662" s="50"/>
      <c r="M4662" s="50"/>
      <c r="N4662" s="20">
        <f>+Movimientos_2026[[#This Row],[Ingresos]]-Movimientos_2026[[#This Row],[Egresos]]</f>
        <v>0</v>
      </c>
      <c r="O4662" s="20">
        <f>+O4661+Movimientos_2026[[#This Row],[Neto]]</f>
        <v>4581558617.7962294</v>
      </c>
    </row>
    <row r="4663" spans="1:15" x14ac:dyDescent="0.25">
      <c r="A4663" s="13"/>
      <c r="B4663" s="12">
        <f>MONTH(Movimientos_2026[[#This Row],[Fecha]])</f>
        <v>1</v>
      </c>
      <c r="C4663" s="12" t="str">
        <f>VLOOKUP((WEEKDAY(Movimientos_2026[[#This Row],[Fecha]],2)),'5. Setup'!$D$6:$E$12,2,FALSE)</f>
        <v>Sab</v>
      </c>
      <c r="E4663" t="str">
        <f>IFERROR(+VLOOKUP(Movimientos_2026[[#This Row],[Codigo]],Plan_cuentas[],2,FALSE)," ")</f>
        <v xml:space="preserve"> </v>
      </c>
      <c r="F4663" t="str">
        <f>IFERROR(+VLOOKUP(Movimientos_2026[[#This Row],[Codigo]],Plan_cuentas[],3,FALSE)," ")</f>
        <v xml:space="preserve"> </v>
      </c>
      <c r="G4663" t="str">
        <f>IFERROR(+VLOOKUP(Movimientos_2026[[#This Row],[Codigo]],Plan_cuentas[],4,FALSE)," ")</f>
        <v xml:space="preserve"> </v>
      </c>
      <c r="H4663" t="str">
        <f>IFERROR(+VLOOKUP(Movimientos_2026[[#This Row],[Codigo]],Plan_cuentas[],5,FALSE)," ")</f>
        <v xml:space="preserve"> </v>
      </c>
      <c r="I4663" s="43"/>
      <c r="K4663" t="str">
        <f>IFERROR(+VLOOKUP(Movimientos_2026[[#This Row],[Codigo]],Plan_cuentas[],6,FALSE)," ")</f>
        <v xml:space="preserve"> </v>
      </c>
      <c r="L4663" s="50"/>
      <c r="M4663" s="50"/>
      <c r="N4663" s="20">
        <f>+Movimientos_2026[[#This Row],[Ingresos]]-Movimientos_2026[[#This Row],[Egresos]]</f>
        <v>0</v>
      </c>
      <c r="O4663" s="20">
        <f>+O4662+Movimientos_2026[[#This Row],[Neto]]</f>
        <v>4581558617.7962294</v>
      </c>
    </row>
    <row r="4664" spans="1:15" x14ac:dyDescent="0.25">
      <c r="A4664" s="13"/>
      <c r="B4664" s="12">
        <f>MONTH(Movimientos_2026[[#This Row],[Fecha]])</f>
        <v>1</v>
      </c>
      <c r="C4664" s="12" t="str">
        <f>VLOOKUP((WEEKDAY(Movimientos_2026[[#This Row],[Fecha]],2)),'5. Setup'!$D$6:$E$12,2,FALSE)</f>
        <v>Sab</v>
      </c>
      <c r="E4664" t="str">
        <f>IFERROR(+VLOOKUP(Movimientos_2026[[#This Row],[Codigo]],Plan_cuentas[],2,FALSE)," ")</f>
        <v xml:space="preserve"> </v>
      </c>
      <c r="F4664" t="str">
        <f>IFERROR(+VLOOKUP(Movimientos_2026[[#This Row],[Codigo]],Plan_cuentas[],3,FALSE)," ")</f>
        <v xml:space="preserve"> </v>
      </c>
      <c r="G4664" t="str">
        <f>IFERROR(+VLOOKUP(Movimientos_2026[[#This Row],[Codigo]],Plan_cuentas[],4,FALSE)," ")</f>
        <v xml:space="preserve"> </v>
      </c>
      <c r="H4664" t="str">
        <f>IFERROR(+VLOOKUP(Movimientos_2026[[#This Row],[Codigo]],Plan_cuentas[],5,FALSE)," ")</f>
        <v xml:space="preserve"> </v>
      </c>
      <c r="I4664" s="43"/>
      <c r="K4664" t="str">
        <f>IFERROR(+VLOOKUP(Movimientos_2026[[#This Row],[Codigo]],Plan_cuentas[],6,FALSE)," ")</f>
        <v xml:space="preserve"> </v>
      </c>
      <c r="L4664" s="50"/>
      <c r="M4664" s="50"/>
      <c r="N4664" s="20">
        <f>+Movimientos_2026[[#This Row],[Ingresos]]-Movimientos_2026[[#This Row],[Egresos]]</f>
        <v>0</v>
      </c>
      <c r="O4664" s="20">
        <f>+O4663+Movimientos_2026[[#This Row],[Neto]]</f>
        <v>4581558617.7962294</v>
      </c>
    </row>
    <row r="4665" spans="1:15" x14ac:dyDescent="0.25">
      <c r="A4665" s="13"/>
      <c r="B4665" s="12">
        <f>MONTH(Movimientos_2026[[#This Row],[Fecha]])</f>
        <v>1</v>
      </c>
      <c r="C4665" s="12" t="str">
        <f>VLOOKUP((WEEKDAY(Movimientos_2026[[#This Row],[Fecha]],2)),'5. Setup'!$D$6:$E$12,2,FALSE)</f>
        <v>Sab</v>
      </c>
      <c r="E4665" t="str">
        <f>IFERROR(+VLOOKUP(Movimientos_2026[[#This Row],[Codigo]],Plan_cuentas[],2,FALSE)," ")</f>
        <v xml:space="preserve"> </v>
      </c>
      <c r="F4665" t="str">
        <f>IFERROR(+VLOOKUP(Movimientos_2026[[#This Row],[Codigo]],Plan_cuentas[],3,FALSE)," ")</f>
        <v xml:space="preserve"> </v>
      </c>
      <c r="G4665" t="str">
        <f>IFERROR(+VLOOKUP(Movimientos_2026[[#This Row],[Codigo]],Plan_cuentas[],4,FALSE)," ")</f>
        <v xml:space="preserve"> </v>
      </c>
      <c r="H4665" t="str">
        <f>IFERROR(+VLOOKUP(Movimientos_2026[[#This Row],[Codigo]],Plan_cuentas[],5,FALSE)," ")</f>
        <v xml:space="preserve"> </v>
      </c>
      <c r="I4665" s="43"/>
      <c r="K4665" t="str">
        <f>IFERROR(+VLOOKUP(Movimientos_2026[[#This Row],[Codigo]],Plan_cuentas[],6,FALSE)," ")</f>
        <v xml:space="preserve"> </v>
      </c>
      <c r="L4665" s="50"/>
      <c r="M4665" s="50"/>
      <c r="N4665" s="20">
        <f>+Movimientos_2026[[#This Row],[Ingresos]]-Movimientos_2026[[#This Row],[Egresos]]</f>
        <v>0</v>
      </c>
      <c r="O4665" s="20">
        <f>+O4664+Movimientos_2026[[#This Row],[Neto]]</f>
        <v>4581558617.7962294</v>
      </c>
    </row>
    <row r="4666" spans="1:15" x14ac:dyDescent="0.25">
      <c r="A4666" s="13"/>
      <c r="B4666" s="12">
        <f>MONTH(Movimientos_2026[[#This Row],[Fecha]])</f>
        <v>1</v>
      </c>
      <c r="C4666" s="12" t="str">
        <f>VLOOKUP((WEEKDAY(Movimientos_2026[[#This Row],[Fecha]],2)),'5. Setup'!$D$6:$E$12,2,FALSE)</f>
        <v>Sab</v>
      </c>
      <c r="E4666" t="str">
        <f>IFERROR(+VLOOKUP(Movimientos_2026[[#This Row],[Codigo]],Plan_cuentas[],2,FALSE)," ")</f>
        <v xml:space="preserve"> </v>
      </c>
      <c r="F4666" t="str">
        <f>IFERROR(+VLOOKUP(Movimientos_2026[[#This Row],[Codigo]],Plan_cuentas[],3,FALSE)," ")</f>
        <v xml:space="preserve"> </v>
      </c>
      <c r="G4666" t="str">
        <f>IFERROR(+VLOOKUP(Movimientos_2026[[#This Row],[Codigo]],Plan_cuentas[],4,FALSE)," ")</f>
        <v xml:space="preserve"> </v>
      </c>
      <c r="H4666" t="str">
        <f>IFERROR(+VLOOKUP(Movimientos_2026[[#This Row],[Codigo]],Plan_cuentas[],5,FALSE)," ")</f>
        <v xml:space="preserve"> </v>
      </c>
      <c r="I4666" s="43"/>
      <c r="K4666" t="str">
        <f>IFERROR(+VLOOKUP(Movimientos_2026[[#This Row],[Codigo]],Plan_cuentas[],6,FALSE)," ")</f>
        <v xml:space="preserve"> </v>
      </c>
      <c r="L4666" s="50"/>
      <c r="M4666" s="50"/>
      <c r="N4666" s="20">
        <f>+Movimientos_2026[[#This Row],[Ingresos]]-Movimientos_2026[[#This Row],[Egresos]]</f>
        <v>0</v>
      </c>
      <c r="O4666" s="20">
        <f>+O4665+Movimientos_2026[[#This Row],[Neto]]</f>
        <v>4581558617.7962294</v>
      </c>
    </row>
    <row r="4667" spans="1:15" x14ac:dyDescent="0.25">
      <c r="A4667" s="13"/>
      <c r="B4667" s="12">
        <f>MONTH(Movimientos_2026[[#This Row],[Fecha]])</f>
        <v>1</v>
      </c>
      <c r="C4667" s="12" t="str">
        <f>VLOOKUP((WEEKDAY(Movimientos_2026[[#This Row],[Fecha]],2)),'5. Setup'!$D$6:$E$12,2,FALSE)</f>
        <v>Sab</v>
      </c>
      <c r="E4667" t="str">
        <f>IFERROR(+VLOOKUP(Movimientos_2026[[#This Row],[Codigo]],Plan_cuentas[],2,FALSE)," ")</f>
        <v xml:space="preserve"> </v>
      </c>
      <c r="F4667" t="str">
        <f>IFERROR(+VLOOKUP(Movimientos_2026[[#This Row],[Codigo]],Plan_cuentas[],3,FALSE)," ")</f>
        <v xml:space="preserve"> </v>
      </c>
      <c r="G4667" t="str">
        <f>IFERROR(+VLOOKUP(Movimientos_2026[[#This Row],[Codigo]],Plan_cuentas[],4,FALSE)," ")</f>
        <v xml:space="preserve"> </v>
      </c>
      <c r="H4667" t="str">
        <f>IFERROR(+VLOOKUP(Movimientos_2026[[#This Row],[Codigo]],Plan_cuentas[],5,FALSE)," ")</f>
        <v xml:space="preserve"> </v>
      </c>
      <c r="I4667" s="43"/>
      <c r="K4667" t="str">
        <f>IFERROR(+VLOOKUP(Movimientos_2026[[#This Row],[Codigo]],Plan_cuentas[],6,FALSE)," ")</f>
        <v xml:space="preserve"> </v>
      </c>
      <c r="L4667" s="50"/>
      <c r="M4667" s="50"/>
      <c r="N4667" s="20">
        <f>+Movimientos_2026[[#This Row],[Ingresos]]-Movimientos_2026[[#This Row],[Egresos]]</f>
        <v>0</v>
      </c>
      <c r="O4667" s="20">
        <f>+O4666+Movimientos_2026[[#This Row],[Neto]]</f>
        <v>4581558617.7962294</v>
      </c>
    </row>
    <row r="4668" spans="1:15" x14ac:dyDescent="0.25">
      <c r="A4668" s="13"/>
      <c r="B4668" s="12">
        <f>MONTH(Movimientos_2026[[#This Row],[Fecha]])</f>
        <v>1</v>
      </c>
      <c r="C4668" s="12" t="str">
        <f>VLOOKUP((WEEKDAY(Movimientos_2026[[#This Row],[Fecha]],2)),'5. Setup'!$D$6:$E$12,2,FALSE)</f>
        <v>Sab</v>
      </c>
      <c r="E4668" t="str">
        <f>IFERROR(+VLOOKUP(Movimientos_2026[[#This Row],[Codigo]],Plan_cuentas[],2,FALSE)," ")</f>
        <v xml:space="preserve"> </v>
      </c>
      <c r="F4668" t="str">
        <f>IFERROR(+VLOOKUP(Movimientos_2026[[#This Row],[Codigo]],Plan_cuentas[],3,FALSE)," ")</f>
        <v xml:space="preserve"> </v>
      </c>
      <c r="G4668" t="str">
        <f>IFERROR(+VLOOKUP(Movimientos_2026[[#This Row],[Codigo]],Plan_cuentas[],4,FALSE)," ")</f>
        <v xml:space="preserve"> </v>
      </c>
      <c r="H4668" t="str">
        <f>IFERROR(+VLOOKUP(Movimientos_2026[[#This Row],[Codigo]],Plan_cuentas[],5,FALSE)," ")</f>
        <v xml:space="preserve"> </v>
      </c>
      <c r="I4668" s="43"/>
      <c r="K4668" t="str">
        <f>IFERROR(+VLOOKUP(Movimientos_2026[[#This Row],[Codigo]],Plan_cuentas[],6,FALSE)," ")</f>
        <v xml:space="preserve"> </v>
      </c>
      <c r="L4668" s="50"/>
      <c r="M4668" s="50"/>
      <c r="N4668" s="20">
        <f>+Movimientos_2026[[#This Row],[Ingresos]]-Movimientos_2026[[#This Row],[Egresos]]</f>
        <v>0</v>
      </c>
      <c r="O4668" s="20">
        <f>+O4667+Movimientos_2026[[#This Row],[Neto]]</f>
        <v>4581558617.7962294</v>
      </c>
    </row>
    <row r="4669" spans="1:15" x14ac:dyDescent="0.25">
      <c r="A4669" s="13"/>
      <c r="B4669" s="12">
        <f>MONTH(Movimientos_2026[[#This Row],[Fecha]])</f>
        <v>1</v>
      </c>
      <c r="C4669" s="12" t="str">
        <f>VLOOKUP((WEEKDAY(Movimientos_2026[[#This Row],[Fecha]],2)),'5. Setup'!$D$6:$E$12,2,FALSE)</f>
        <v>Sab</v>
      </c>
      <c r="E4669" t="str">
        <f>IFERROR(+VLOOKUP(Movimientos_2026[[#This Row],[Codigo]],Plan_cuentas[],2,FALSE)," ")</f>
        <v xml:space="preserve"> </v>
      </c>
      <c r="F4669" t="str">
        <f>IFERROR(+VLOOKUP(Movimientos_2026[[#This Row],[Codigo]],Plan_cuentas[],3,FALSE)," ")</f>
        <v xml:space="preserve"> </v>
      </c>
      <c r="G4669" t="str">
        <f>IFERROR(+VLOOKUP(Movimientos_2026[[#This Row],[Codigo]],Plan_cuentas[],4,FALSE)," ")</f>
        <v xml:space="preserve"> </v>
      </c>
      <c r="H4669" t="str">
        <f>IFERROR(+VLOOKUP(Movimientos_2026[[#This Row],[Codigo]],Plan_cuentas[],5,FALSE)," ")</f>
        <v xml:space="preserve"> </v>
      </c>
      <c r="I4669" s="43"/>
      <c r="K4669" t="str">
        <f>IFERROR(+VLOOKUP(Movimientos_2026[[#This Row],[Codigo]],Plan_cuentas[],6,FALSE)," ")</f>
        <v xml:space="preserve"> </v>
      </c>
      <c r="L4669" s="50"/>
      <c r="M4669" s="50"/>
      <c r="N4669" s="20">
        <f>+Movimientos_2026[[#This Row],[Ingresos]]-Movimientos_2026[[#This Row],[Egresos]]</f>
        <v>0</v>
      </c>
      <c r="O4669" s="20">
        <f>+O4668+Movimientos_2026[[#This Row],[Neto]]</f>
        <v>4581558617.7962294</v>
      </c>
    </row>
    <row r="4670" spans="1:15" x14ac:dyDescent="0.25">
      <c r="A4670" s="13"/>
      <c r="B4670" s="12">
        <f>MONTH(Movimientos_2026[[#This Row],[Fecha]])</f>
        <v>1</v>
      </c>
      <c r="C4670" s="12" t="str">
        <f>VLOOKUP((WEEKDAY(Movimientos_2026[[#This Row],[Fecha]],2)),'5. Setup'!$D$6:$E$12,2,FALSE)</f>
        <v>Sab</v>
      </c>
      <c r="E4670" t="str">
        <f>IFERROR(+VLOOKUP(Movimientos_2026[[#This Row],[Codigo]],Plan_cuentas[],2,FALSE)," ")</f>
        <v xml:space="preserve"> </v>
      </c>
      <c r="F4670" t="str">
        <f>IFERROR(+VLOOKUP(Movimientos_2026[[#This Row],[Codigo]],Plan_cuentas[],3,FALSE)," ")</f>
        <v xml:space="preserve"> </v>
      </c>
      <c r="G4670" t="str">
        <f>IFERROR(+VLOOKUP(Movimientos_2026[[#This Row],[Codigo]],Plan_cuentas[],4,FALSE)," ")</f>
        <v xml:space="preserve"> </v>
      </c>
      <c r="H4670" t="str">
        <f>IFERROR(+VLOOKUP(Movimientos_2026[[#This Row],[Codigo]],Plan_cuentas[],5,FALSE)," ")</f>
        <v xml:space="preserve"> </v>
      </c>
      <c r="I4670" s="43"/>
      <c r="K4670" t="str">
        <f>IFERROR(+VLOOKUP(Movimientos_2026[[#This Row],[Codigo]],Plan_cuentas[],6,FALSE)," ")</f>
        <v xml:space="preserve"> </v>
      </c>
      <c r="L4670" s="50"/>
      <c r="M4670" s="50"/>
      <c r="N4670" s="20">
        <f>+Movimientos_2026[[#This Row],[Ingresos]]-Movimientos_2026[[#This Row],[Egresos]]</f>
        <v>0</v>
      </c>
      <c r="O4670" s="20">
        <f>+O4669+Movimientos_2026[[#This Row],[Neto]]</f>
        <v>4581558617.7962294</v>
      </c>
    </row>
    <row r="4671" spans="1:15" x14ac:dyDescent="0.25">
      <c r="A4671" s="13"/>
      <c r="B4671" s="12">
        <f>MONTH(Movimientos_2026[[#This Row],[Fecha]])</f>
        <v>1</v>
      </c>
      <c r="C4671" s="12" t="str">
        <f>VLOOKUP((WEEKDAY(Movimientos_2026[[#This Row],[Fecha]],2)),'5. Setup'!$D$6:$E$12,2,FALSE)</f>
        <v>Sab</v>
      </c>
      <c r="E4671" t="str">
        <f>IFERROR(+VLOOKUP(Movimientos_2026[[#This Row],[Codigo]],Plan_cuentas[],2,FALSE)," ")</f>
        <v xml:space="preserve"> </v>
      </c>
      <c r="F4671" t="str">
        <f>IFERROR(+VLOOKUP(Movimientos_2026[[#This Row],[Codigo]],Plan_cuentas[],3,FALSE)," ")</f>
        <v xml:space="preserve"> </v>
      </c>
      <c r="G4671" t="str">
        <f>IFERROR(+VLOOKUP(Movimientos_2026[[#This Row],[Codigo]],Plan_cuentas[],4,FALSE)," ")</f>
        <v xml:space="preserve"> </v>
      </c>
      <c r="H4671" t="str">
        <f>IFERROR(+VLOOKUP(Movimientos_2026[[#This Row],[Codigo]],Plan_cuentas[],5,FALSE)," ")</f>
        <v xml:space="preserve"> </v>
      </c>
      <c r="I4671" s="43"/>
      <c r="K4671" t="str">
        <f>IFERROR(+VLOOKUP(Movimientos_2026[[#This Row],[Codigo]],Plan_cuentas[],6,FALSE)," ")</f>
        <v xml:space="preserve"> </v>
      </c>
      <c r="L4671" s="50"/>
      <c r="M4671" s="50"/>
      <c r="N4671" s="20">
        <f>+Movimientos_2026[[#This Row],[Ingresos]]-Movimientos_2026[[#This Row],[Egresos]]</f>
        <v>0</v>
      </c>
      <c r="O4671" s="20">
        <f>+O4670+Movimientos_2026[[#This Row],[Neto]]</f>
        <v>4581558617.7962294</v>
      </c>
    </row>
    <row r="4672" spans="1:15" x14ac:dyDescent="0.25">
      <c r="A4672" s="13"/>
      <c r="B4672" s="12">
        <f>MONTH(Movimientos_2026[[#This Row],[Fecha]])</f>
        <v>1</v>
      </c>
      <c r="C4672" s="12" t="str">
        <f>VLOOKUP((WEEKDAY(Movimientos_2026[[#This Row],[Fecha]],2)),'5. Setup'!$D$6:$E$12,2,FALSE)</f>
        <v>Sab</v>
      </c>
      <c r="E4672" t="str">
        <f>IFERROR(+VLOOKUP(Movimientos_2026[[#This Row],[Codigo]],Plan_cuentas[],2,FALSE)," ")</f>
        <v xml:space="preserve"> </v>
      </c>
      <c r="F4672" t="str">
        <f>IFERROR(+VLOOKUP(Movimientos_2026[[#This Row],[Codigo]],Plan_cuentas[],3,FALSE)," ")</f>
        <v xml:space="preserve"> </v>
      </c>
      <c r="G4672" t="str">
        <f>IFERROR(+VLOOKUP(Movimientos_2026[[#This Row],[Codigo]],Plan_cuentas[],4,FALSE)," ")</f>
        <v xml:space="preserve"> </v>
      </c>
      <c r="H4672" t="str">
        <f>IFERROR(+VLOOKUP(Movimientos_2026[[#This Row],[Codigo]],Plan_cuentas[],5,FALSE)," ")</f>
        <v xml:space="preserve"> </v>
      </c>
      <c r="I4672" s="43"/>
      <c r="K4672" t="str">
        <f>IFERROR(+VLOOKUP(Movimientos_2026[[#This Row],[Codigo]],Plan_cuentas[],6,FALSE)," ")</f>
        <v xml:space="preserve"> </v>
      </c>
      <c r="L4672" s="50"/>
      <c r="M4672" s="50"/>
      <c r="N4672" s="20">
        <f>+Movimientos_2026[[#This Row],[Ingresos]]-Movimientos_2026[[#This Row],[Egresos]]</f>
        <v>0</v>
      </c>
      <c r="O4672" s="20">
        <f>+O4671+Movimientos_2026[[#This Row],[Neto]]</f>
        <v>4581558617.7962294</v>
      </c>
    </row>
    <row r="4673" spans="1:15" x14ac:dyDescent="0.25">
      <c r="A4673" s="13"/>
      <c r="B4673" s="12">
        <f>MONTH(Movimientos_2026[[#This Row],[Fecha]])</f>
        <v>1</v>
      </c>
      <c r="C4673" s="12" t="str">
        <f>VLOOKUP((WEEKDAY(Movimientos_2026[[#This Row],[Fecha]],2)),'5. Setup'!$D$6:$E$12,2,FALSE)</f>
        <v>Sab</v>
      </c>
      <c r="E4673" t="str">
        <f>IFERROR(+VLOOKUP(Movimientos_2026[[#This Row],[Codigo]],Plan_cuentas[],2,FALSE)," ")</f>
        <v xml:space="preserve"> </v>
      </c>
      <c r="F4673" t="str">
        <f>IFERROR(+VLOOKUP(Movimientos_2026[[#This Row],[Codigo]],Plan_cuentas[],3,FALSE)," ")</f>
        <v xml:space="preserve"> </v>
      </c>
      <c r="G4673" t="str">
        <f>IFERROR(+VLOOKUP(Movimientos_2026[[#This Row],[Codigo]],Plan_cuentas[],4,FALSE)," ")</f>
        <v xml:space="preserve"> </v>
      </c>
      <c r="H4673" t="str">
        <f>IFERROR(+VLOOKUP(Movimientos_2026[[#This Row],[Codigo]],Plan_cuentas[],5,FALSE)," ")</f>
        <v xml:space="preserve"> </v>
      </c>
      <c r="I4673" s="43"/>
      <c r="K4673" t="str">
        <f>IFERROR(+VLOOKUP(Movimientos_2026[[#This Row],[Codigo]],Plan_cuentas[],6,FALSE)," ")</f>
        <v xml:space="preserve"> </v>
      </c>
      <c r="L4673" s="50"/>
      <c r="M4673" s="50"/>
      <c r="N4673" s="20">
        <f>+Movimientos_2026[[#This Row],[Ingresos]]-Movimientos_2026[[#This Row],[Egresos]]</f>
        <v>0</v>
      </c>
      <c r="O4673" s="20">
        <f>+O4672+Movimientos_2026[[#This Row],[Neto]]</f>
        <v>4581558617.7962294</v>
      </c>
    </row>
    <row r="4674" spans="1:15" x14ac:dyDescent="0.25">
      <c r="A4674" s="13"/>
      <c r="B4674" s="12">
        <f>MONTH(Movimientos_2026[[#This Row],[Fecha]])</f>
        <v>1</v>
      </c>
      <c r="C4674" s="12" t="str">
        <f>VLOOKUP((WEEKDAY(Movimientos_2026[[#This Row],[Fecha]],2)),'5. Setup'!$D$6:$E$12,2,FALSE)</f>
        <v>Sab</v>
      </c>
      <c r="E4674" t="str">
        <f>IFERROR(+VLOOKUP(Movimientos_2026[[#This Row],[Codigo]],Plan_cuentas[],2,FALSE)," ")</f>
        <v xml:space="preserve"> </v>
      </c>
      <c r="F4674" t="str">
        <f>IFERROR(+VLOOKUP(Movimientos_2026[[#This Row],[Codigo]],Plan_cuentas[],3,FALSE)," ")</f>
        <v xml:space="preserve"> </v>
      </c>
      <c r="G4674" t="str">
        <f>IFERROR(+VLOOKUP(Movimientos_2026[[#This Row],[Codigo]],Plan_cuentas[],4,FALSE)," ")</f>
        <v xml:space="preserve"> </v>
      </c>
      <c r="H4674" t="str">
        <f>IFERROR(+VLOOKUP(Movimientos_2026[[#This Row],[Codigo]],Plan_cuentas[],5,FALSE)," ")</f>
        <v xml:space="preserve"> </v>
      </c>
      <c r="I4674" s="43"/>
      <c r="K4674" t="str">
        <f>IFERROR(+VLOOKUP(Movimientos_2026[[#This Row],[Codigo]],Plan_cuentas[],6,FALSE)," ")</f>
        <v xml:space="preserve"> </v>
      </c>
      <c r="L4674" s="50"/>
      <c r="M4674" s="50"/>
      <c r="N4674" s="20">
        <f>+Movimientos_2026[[#This Row],[Ingresos]]-Movimientos_2026[[#This Row],[Egresos]]</f>
        <v>0</v>
      </c>
      <c r="O4674" s="20">
        <f>+O4673+Movimientos_2026[[#This Row],[Neto]]</f>
        <v>4581558617.7962294</v>
      </c>
    </row>
    <row r="4675" spans="1:15" x14ac:dyDescent="0.25">
      <c r="A4675" s="13"/>
      <c r="B4675" s="12">
        <f>MONTH(Movimientos_2026[[#This Row],[Fecha]])</f>
        <v>1</v>
      </c>
      <c r="C4675" s="12" t="str">
        <f>VLOOKUP((WEEKDAY(Movimientos_2026[[#This Row],[Fecha]],2)),'5. Setup'!$D$6:$E$12,2,FALSE)</f>
        <v>Sab</v>
      </c>
      <c r="E4675" t="str">
        <f>IFERROR(+VLOOKUP(Movimientos_2026[[#This Row],[Codigo]],Plan_cuentas[],2,FALSE)," ")</f>
        <v xml:space="preserve"> </v>
      </c>
      <c r="F4675" t="str">
        <f>IFERROR(+VLOOKUP(Movimientos_2026[[#This Row],[Codigo]],Plan_cuentas[],3,FALSE)," ")</f>
        <v xml:space="preserve"> </v>
      </c>
      <c r="G4675" t="str">
        <f>IFERROR(+VLOOKUP(Movimientos_2026[[#This Row],[Codigo]],Plan_cuentas[],4,FALSE)," ")</f>
        <v xml:space="preserve"> </v>
      </c>
      <c r="H4675" t="str">
        <f>IFERROR(+VLOOKUP(Movimientos_2026[[#This Row],[Codigo]],Plan_cuentas[],5,FALSE)," ")</f>
        <v xml:space="preserve"> </v>
      </c>
      <c r="I4675" s="43"/>
      <c r="K4675" t="str">
        <f>IFERROR(+VLOOKUP(Movimientos_2026[[#This Row],[Codigo]],Plan_cuentas[],6,FALSE)," ")</f>
        <v xml:space="preserve"> </v>
      </c>
      <c r="L4675" s="50"/>
      <c r="M4675" s="50"/>
      <c r="N4675" s="20">
        <f>+Movimientos_2026[[#This Row],[Ingresos]]-Movimientos_2026[[#This Row],[Egresos]]</f>
        <v>0</v>
      </c>
      <c r="O4675" s="20">
        <f>+O4674+Movimientos_2026[[#This Row],[Neto]]</f>
        <v>4581558617.7962294</v>
      </c>
    </row>
    <row r="4676" spans="1:15" x14ac:dyDescent="0.25">
      <c r="A4676" s="13"/>
      <c r="B4676" s="12">
        <f>MONTH(Movimientos_2026[[#This Row],[Fecha]])</f>
        <v>1</v>
      </c>
      <c r="C4676" s="12" t="str">
        <f>VLOOKUP((WEEKDAY(Movimientos_2026[[#This Row],[Fecha]],2)),'5. Setup'!$D$6:$E$12,2,FALSE)</f>
        <v>Sab</v>
      </c>
      <c r="E4676" t="str">
        <f>IFERROR(+VLOOKUP(Movimientos_2026[[#This Row],[Codigo]],Plan_cuentas[],2,FALSE)," ")</f>
        <v xml:space="preserve"> </v>
      </c>
      <c r="F4676" t="str">
        <f>IFERROR(+VLOOKUP(Movimientos_2026[[#This Row],[Codigo]],Plan_cuentas[],3,FALSE)," ")</f>
        <v xml:space="preserve"> </v>
      </c>
      <c r="G4676" t="str">
        <f>IFERROR(+VLOOKUP(Movimientos_2026[[#This Row],[Codigo]],Plan_cuentas[],4,FALSE)," ")</f>
        <v xml:space="preserve"> </v>
      </c>
      <c r="H4676" t="str">
        <f>IFERROR(+VLOOKUP(Movimientos_2026[[#This Row],[Codigo]],Plan_cuentas[],5,FALSE)," ")</f>
        <v xml:space="preserve"> </v>
      </c>
      <c r="I4676" s="43"/>
      <c r="K4676" t="str">
        <f>IFERROR(+VLOOKUP(Movimientos_2026[[#This Row],[Codigo]],Plan_cuentas[],6,FALSE)," ")</f>
        <v xml:space="preserve"> </v>
      </c>
      <c r="L4676" s="50"/>
      <c r="M4676" s="50"/>
      <c r="N4676" s="20">
        <f>+Movimientos_2026[[#This Row],[Ingresos]]-Movimientos_2026[[#This Row],[Egresos]]</f>
        <v>0</v>
      </c>
      <c r="O4676" s="20">
        <f>+O4675+Movimientos_2026[[#This Row],[Neto]]</f>
        <v>4581558617.7962294</v>
      </c>
    </row>
    <row r="4677" spans="1:15" x14ac:dyDescent="0.25">
      <c r="A4677" s="13"/>
      <c r="B4677" s="12">
        <f>MONTH(Movimientos_2026[[#This Row],[Fecha]])</f>
        <v>1</v>
      </c>
      <c r="C4677" s="12" t="str">
        <f>VLOOKUP((WEEKDAY(Movimientos_2026[[#This Row],[Fecha]],2)),'5. Setup'!$D$6:$E$12,2,FALSE)</f>
        <v>Sab</v>
      </c>
      <c r="E4677" t="str">
        <f>IFERROR(+VLOOKUP(Movimientos_2026[[#This Row],[Codigo]],Plan_cuentas[],2,FALSE)," ")</f>
        <v xml:space="preserve"> </v>
      </c>
      <c r="F4677" t="str">
        <f>IFERROR(+VLOOKUP(Movimientos_2026[[#This Row],[Codigo]],Plan_cuentas[],3,FALSE)," ")</f>
        <v xml:space="preserve"> </v>
      </c>
      <c r="G4677" t="str">
        <f>IFERROR(+VLOOKUP(Movimientos_2026[[#This Row],[Codigo]],Plan_cuentas[],4,FALSE)," ")</f>
        <v xml:space="preserve"> </v>
      </c>
      <c r="H4677" t="str">
        <f>IFERROR(+VLOOKUP(Movimientos_2026[[#This Row],[Codigo]],Plan_cuentas[],5,FALSE)," ")</f>
        <v xml:space="preserve"> </v>
      </c>
      <c r="I4677" s="43"/>
      <c r="K4677" t="str">
        <f>IFERROR(+VLOOKUP(Movimientos_2026[[#This Row],[Codigo]],Plan_cuentas[],6,FALSE)," ")</f>
        <v xml:space="preserve"> </v>
      </c>
      <c r="L4677" s="50"/>
      <c r="M4677" s="50"/>
      <c r="N4677" s="20">
        <f>+Movimientos_2026[[#This Row],[Ingresos]]-Movimientos_2026[[#This Row],[Egresos]]</f>
        <v>0</v>
      </c>
      <c r="O4677" s="20">
        <f>+O4676+Movimientos_2026[[#This Row],[Neto]]</f>
        <v>4581558617.7962294</v>
      </c>
    </row>
    <row r="4678" spans="1:15" x14ac:dyDescent="0.25">
      <c r="A4678" s="13"/>
      <c r="B4678" s="12">
        <f>MONTH(Movimientos_2026[[#This Row],[Fecha]])</f>
        <v>1</v>
      </c>
      <c r="C4678" s="12" t="str">
        <f>VLOOKUP((WEEKDAY(Movimientos_2026[[#This Row],[Fecha]],2)),'5. Setup'!$D$6:$E$12,2,FALSE)</f>
        <v>Sab</v>
      </c>
      <c r="E4678" t="str">
        <f>IFERROR(+VLOOKUP(Movimientos_2026[[#This Row],[Codigo]],Plan_cuentas[],2,FALSE)," ")</f>
        <v xml:space="preserve"> </v>
      </c>
      <c r="F4678" t="str">
        <f>IFERROR(+VLOOKUP(Movimientos_2026[[#This Row],[Codigo]],Plan_cuentas[],3,FALSE)," ")</f>
        <v xml:space="preserve"> </v>
      </c>
      <c r="G4678" t="str">
        <f>IFERROR(+VLOOKUP(Movimientos_2026[[#This Row],[Codigo]],Plan_cuentas[],4,FALSE)," ")</f>
        <v xml:space="preserve"> </v>
      </c>
      <c r="H4678" t="str">
        <f>IFERROR(+VLOOKUP(Movimientos_2026[[#This Row],[Codigo]],Plan_cuentas[],5,FALSE)," ")</f>
        <v xml:space="preserve"> </v>
      </c>
      <c r="I4678" s="43"/>
      <c r="K4678" t="str">
        <f>IFERROR(+VLOOKUP(Movimientos_2026[[#This Row],[Codigo]],Plan_cuentas[],6,FALSE)," ")</f>
        <v xml:space="preserve"> </v>
      </c>
      <c r="L4678" s="50"/>
      <c r="M4678" s="50"/>
      <c r="N4678" s="20">
        <f>+Movimientos_2026[[#This Row],[Ingresos]]-Movimientos_2026[[#This Row],[Egresos]]</f>
        <v>0</v>
      </c>
      <c r="O4678" s="20">
        <f>+O4677+Movimientos_2026[[#This Row],[Neto]]</f>
        <v>4581558617.7962294</v>
      </c>
    </row>
    <row r="4679" spans="1:15" x14ac:dyDescent="0.25">
      <c r="A4679" s="13"/>
      <c r="B4679" s="12">
        <f>MONTH(Movimientos_2026[[#This Row],[Fecha]])</f>
        <v>1</v>
      </c>
      <c r="C4679" s="12" t="str">
        <f>VLOOKUP((WEEKDAY(Movimientos_2026[[#This Row],[Fecha]],2)),'5. Setup'!$D$6:$E$12,2,FALSE)</f>
        <v>Sab</v>
      </c>
      <c r="E4679" t="str">
        <f>IFERROR(+VLOOKUP(Movimientos_2026[[#This Row],[Codigo]],Plan_cuentas[],2,FALSE)," ")</f>
        <v xml:space="preserve"> </v>
      </c>
      <c r="F4679" t="str">
        <f>IFERROR(+VLOOKUP(Movimientos_2026[[#This Row],[Codigo]],Plan_cuentas[],3,FALSE)," ")</f>
        <v xml:space="preserve"> </v>
      </c>
      <c r="G4679" t="str">
        <f>IFERROR(+VLOOKUP(Movimientos_2026[[#This Row],[Codigo]],Plan_cuentas[],4,FALSE)," ")</f>
        <v xml:space="preserve"> </v>
      </c>
      <c r="H4679" t="str">
        <f>IFERROR(+VLOOKUP(Movimientos_2026[[#This Row],[Codigo]],Plan_cuentas[],5,FALSE)," ")</f>
        <v xml:space="preserve"> </v>
      </c>
      <c r="I4679" s="43"/>
      <c r="K4679" t="str">
        <f>IFERROR(+VLOOKUP(Movimientos_2026[[#This Row],[Codigo]],Plan_cuentas[],6,FALSE)," ")</f>
        <v xml:space="preserve"> </v>
      </c>
      <c r="L4679" s="50"/>
      <c r="M4679" s="50"/>
      <c r="N4679" s="20">
        <f>+Movimientos_2026[[#This Row],[Ingresos]]-Movimientos_2026[[#This Row],[Egresos]]</f>
        <v>0</v>
      </c>
      <c r="O4679" s="20">
        <f>+O4678+Movimientos_2026[[#This Row],[Neto]]</f>
        <v>4581558617.7962294</v>
      </c>
    </row>
    <row r="4680" spans="1:15" x14ac:dyDescent="0.25">
      <c r="A4680" s="13"/>
      <c r="B4680" s="12">
        <f>MONTH(Movimientos_2026[[#This Row],[Fecha]])</f>
        <v>1</v>
      </c>
      <c r="C4680" s="12" t="str">
        <f>VLOOKUP((WEEKDAY(Movimientos_2026[[#This Row],[Fecha]],2)),'5. Setup'!$D$6:$E$12,2,FALSE)</f>
        <v>Sab</v>
      </c>
      <c r="E4680" t="str">
        <f>IFERROR(+VLOOKUP(Movimientos_2026[[#This Row],[Codigo]],Plan_cuentas[],2,FALSE)," ")</f>
        <v xml:space="preserve"> </v>
      </c>
      <c r="F4680" t="str">
        <f>IFERROR(+VLOOKUP(Movimientos_2026[[#This Row],[Codigo]],Plan_cuentas[],3,FALSE)," ")</f>
        <v xml:space="preserve"> </v>
      </c>
      <c r="G4680" t="str">
        <f>IFERROR(+VLOOKUP(Movimientos_2026[[#This Row],[Codigo]],Plan_cuentas[],4,FALSE)," ")</f>
        <v xml:space="preserve"> </v>
      </c>
      <c r="H4680" t="str">
        <f>IFERROR(+VLOOKUP(Movimientos_2026[[#This Row],[Codigo]],Plan_cuentas[],5,FALSE)," ")</f>
        <v xml:space="preserve"> </v>
      </c>
      <c r="I4680" s="43"/>
      <c r="K4680" t="str">
        <f>IFERROR(+VLOOKUP(Movimientos_2026[[#This Row],[Codigo]],Plan_cuentas[],6,FALSE)," ")</f>
        <v xml:space="preserve"> </v>
      </c>
      <c r="L4680" s="50"/>
      <c r="M4680" s="50"/>
      <c r="N4680" s="20">
        <f>+Movimientos_2026[[#This Row],[Ingresos]]-Movimientos_2026[[#This Row],[Egresos]]</f>
        <v>0</v>
      </c>
      <c r="O4680" s="20">
        <f>+O4679+Movimientos_2026[[#This Row],[Neto]]</f>
        <v>4581558617.7962294</v>
      </c>
    </row>
    <row r="4681" spans="1:15" x14ac:dyDescent="0.25">
      <c r="A4681" s="13"/>
      <c r="B4681" s="12">
        <f>MONTH(Movimientos_2026[[#This Row],[Fecha]])</f>
        <v>1</v>
      </c>
      <c r="C4681" s="12" t="str">
        <f>VLOOKUP((WEEKDAY(Movimientos_2026[[#This Row],[Fecha]],2)),'5. Setup'!$D$6:$E$12,2,FALSE)</f>
        <v>Sab</v>
      </c>
      <c r="E4681" t="str">
        <f>IFERROR(+VLOOKUP(Movimientos_2026[[#This Row],[Codigo]],Plan_cuentas[],2,FALSE)," ")</f>
        <v xml:space="preserve"> </v>
      </c>
      <c r="F4681" t="str">
        <f>IFERROR(+VLOOKUP(Movimientos_2026[[#This Row],[Codigo]],Plan_cuentas[],3,FALSE)," ")</f>
        <v xml:space="preserve"> </v>
      </c>
      <c r="G4681" t="str">
        <f>IFERROR(+VLOOKUP(Movimientos_2026[[#This Row],[Codigo]],Plan_cuentas[],4,FALSE)," ")</f>
        <v xml:space="preserve"> </v>
      </c>
      <c r="H4681" t="str">
        <f>IFERROR(+VLOOKUP(Movimientos_2026[[#This Row],[Codigo]],Plan_cuentas[],5,FALSE)," ")</f>
        <v xml:space="preserve"> </v>
      </c>
      <c r="I4681" s="43"/>
      <c r="K4681" t="str">
        <f>IFERROR(+VLOOKUP(Movimientos_2026[[#This Row],[Codigo]],Plan_cuentas[],6,FALSE)," ")</f>
        <v xml:space="preserve"> </v>
      </c>
      <c r="L4681" s="50"/>
      <c r="M4681" s="50"/>
      <c r="N4681" s="20">
        <f>+Movimientos_2026[[#This Row],[Ingresos]]-Movimientos_2026[[#This Row],[Egresos]]</f>
        <v>0</v>
      </c>
      <c r="O4681" s="20">
        <f>+O4680+Movimientos_2026[[#This Row],[Neto]]</f>
        <v>4581558617.7962294</v>
      </c>
    </row>
    <row r="4682" spans="1:15" x14ac:dyDescent="0.25">
      <c r="A4682" s="13"/>
      <c r="B4682" s="12">
        <f>MONTH(Movimientos_2026[[#This Row],[Fecha]])</f>
        <v>1</v>
      </c>
      <c r="C4682" s="12" t="str">
        <f>VLOOKUP((WEEKDAY(Movimientos_2026[[#This Row],[Fecha]],2)),'5. Setup'!$D$6:$E$12,2,FALSE)</f>
        <v>Sab</v>
      </c>
      <c r="E4682" t="str">
        <f>IFERROR(+VLOOKUP(Movimientos_2026[[#This Row],[Codigo]],Plan_cuentas[],2,FALSE)," ")</f>
        <v xml:space="preserve"> </v>
      </c>
      <c r="F4682" t="str">
        <f>IFERROR(+VLOOKUP(Movimientos_2026[[#This Row],[Codigo]],Plan_cuentas[],3,FALSE)," ")</f>
        <v xml:space="preserve"> </v>
      </c>
      <c r="G4682" t="str">
        <f>IFERROR(+VLOOKUP(Movimientos_2026[[#This Row],[Codigo]],Plan_cuentas[],4,FALSE)," ")</f>
        <v xml:space="preserve"> </v>
      </c>
      <c r="H4682" t="str">
        <f>IFERROR(+VLOOKUP(Movimientos_2026[[#This Row],[Codigo]],Plan_cuentas[],5,FALSE)," ")</f>
        <v xml:space="preserve"> </v>
      </c>
      <c r="I4682" s="43"/>
      <c r="K4682" t="str">
        <f>IFERROR(+VLOOKUP(Movimientos_2026[[#This Row],[Codigo]],Plan_cuentas[],6,FALSE)," ")</f>
        <v xml:space="preserve"> </v>
      </c>
      <c r="L4682" s="50"/>
      <c r="M4682" s="50"/>
      <c r="N4682" s="20">
        <f>+Movimientos_2026[[#This Row],[Ingresos]]-Movimientos_2026[[#This Row],[Egresos]]</f>
        <v>0</v>
      </c>
      <c r="O4682" s="20">
        <f>+O4681+Movimientos_2026[[#This Row],[Neto]]</f>
        <v>4581558617.7962294</v>
      </c>
    </row>
    <row r="4683" spans="1:15" x14ac:dyDescent="0.25">
      <c r="A4683" s="13"/>
      <c r="B4683" s="12">
        <f>MONTH(Movimientos_2026[[#This Row],[Fecha]])</f>
        <v>1</v>
      </c>
      <c r="C4683" s="12" t="str">
        <f>VLOOKUP((WEEKDAY(Movimientos_2026[[#This Row],[Fecha]],2)),'5. Setup'!$D$6:$E$12,2,FALSE)</f>
        <v>Sab</v>
      </c>
      <c r="E4683" t="str">
        <f>IFERROR(+VLOOKUP(Movimientos_2026[[#This Row],[Codigo]],Plan_cuentas[],2,FALSE)," ")</f>
        <v xml:space="preserve"> </v>
      </c>
      <c r="F4683" t="str">
        <f>IFERROR(+VLOOKUP(Movimientos_2026[[#This Row],[Codigo]],Plan_cuentas[],3,FALSE)," ")</f>
        <v xml:space="preserve"> </v>
      </c>
      <c r="G4683" t="str">
        <f>IFERROR(+VLOOKUP(Movimientos_2026[[#This Row],[Codigo]],Plan_cuentas[],4,FALSE)," ")</f>
        <v xml:space="preserve"> </v>
      </c>
      <c r="H4683" t="str">
        <f>IFERROR(+VLOOKUP(Movimientos_2026[[#This Row],[Codigo]],Plan_cuentas[],5,FALSE)," ")</f>
        <v xml:space="preserve"> </v>
      </c>
      <c r="I4683" s="43"/>
      <c r="K4683" t="str">
        <f>IFERROR(+VLOOKUP(Movimientos_2026[[#This Row],[Codigo]],Plan_cuentas[],6,FALSE)," ")</f>
        <v xml:space="preserve"> </v>
      </c>
      <c r="L4683" s="50"/>
      <c r="M4683" s="50"/>
      <c r="N4683" s="20">
        <f>+Movimientos_2026[[#This Row],[Ingresos]]-Movimientos_2026[[#This Row],[Egresos]]</f>
        <v>0</v>
      </c>
      <c r="O4683" s="20">
        <f>+O4682+Movimientos_2026[[#This Row],[Neto]]</f>
        <v>4581558617.7962294</v>
      </c>
    </row>
    <row r="4684" spans="1:15" x14ac:dyDescent="0.25">
      <c r="A4684" s="13"/>
      <c r="B4684" s="12">
        <f>MONTH(Movimientos_2026[[#This Row],[Fecha]])</f>
        <v>1</v>
      </c>
      <c r="C4684" s="12" t="str">
        <f>VLOOKUP((WEEKDAY(Movimientos_2026[[#This Row],[Fecha]],2)),'5. Setup'!$D$6:$E$12,2,FALSE)</f>
        <v>Sab</v>
      </c>
      <c r="E4684" t="str">
        <f>IFERROR(+VLOOKUP(Movimientos_2026[[#This Row],[Codigo]],Plan_cuentas[],2,FALSE)," ")</f>
        <v xml:space="preserve"> </v>
      </c>
      <c r="F4684" t="str">
        <f>IFERROR(+VLOOKUP(Movimientos_2026[[#This Row],[Codigo]],Plan_cuentas[],3,FALSE)," ")</f>
        <v xml:space="preserve"> </v>
      </c>
      <c r="G4684" t="str">
        <f>IFERROR(+VLOOKUP(Movimientos_2026[[#This Row],[Codigo]],Plan_cuentas[],4,FALSE)," ")</f>
        <v xml:space="preserve"> </v>
      </c>
      <c r="H4684" t="str">
        <f>IFERROR(+VLOOKUP(Movimientos_2026[[#This Row],[Codigo]],Plan_cuentas[],5,FALSE)," ")</f>
        <v xml:space="preserve"> </v>
      </c>
      <c r="I4684" s="43"/>
      <c r="K4684" t="str">
        <f>IFERROR(+VLOOKUP(Movimientos_2026[[#This Row],[Codigo]],Plan_cuentas[],6,FALSE)," ")</f>
        <v xml:space="preserve"> </v>
      </c>
      <c r="L4684" s="50"/>
      <c r="M4684" s="50"/>
      <c r="N4684" s="20">
        <f>+Movimientos_2026[[#This Row],[Ingresos]]-Movimientos_2026[[#This Row],[Egresos]]</f>
        <v>0</v>
      </c>
      <c r="O4684" s="20">
        <f>+O4683+Movimientos_2026[[#This Row],[Neto]]</f>
        <v>4581558617.7962294</v>
      </c>
    </row>
    <row r="4685" spans="1:15" x14ac:dyDescent="0.25">
      <c r="A4685" s="13"/>
      <c r="B4685" s="12">
        <f>MONTH(Movimientos_2026[[#This Row],[Fecha]])</f>
        <v>1</v>
      </c>
      <c r="C4685" s="12" t="str">
        <f>VLOOKUP((WEEKDAY(Movimientos_2026[[#This Row],[Fecha]],2)),'5. Setup'!$D$6:$E$12,2,FALSE)</f>
        <v>Sab</v>
      </c>
      <c r="E4685" t="str">
        <f>IFERROR(+VLOOKUP(Movimientos_2026[[#This Row],[Codigo]],Plan_cuentas[],2,FALSE)," ")</f>
        <v xml:space="preserve"> </v>
      </c>
      <c r="F4685" t="str">
        <f>IFERROR(+VLOOKUP(Movimientos_2026[[#This Row],[Codigo]],Plan_cuentas[],3,FALSE)," ")</f>
        <v xml:space="preserve"> </v>
      </c>
      <c r="G4685" t="str">
        <f>IFERROR(+VLOOKUP(Movimientos_2026[[#This Row],[Codigo]],Plan_cuentas[],4,FALSE)," ")</f>
        <v xml:space="preserve"> </v>
      </c>
      <c r="H4685" t="str">
        <f>IFERROR(+VLOOKUP(Movimientos_2026[[#This Row],[Codigo]],Plan_cuentas[],5,FALSE)," ")</f>
        <v xml:space="preserve"> </v>
      </c>
      <c r="I4685" s="43"/>
      <c r="K4685" t="str">
        <f>IFERROR(+VLOOKUP(Movimientos_2026[[#This Row],[Codigo]],Plan_cuentas[],6,FALSE)," ")</f>
        <v xml:space="preserve"> </v>
      </c>
      <c r="L4685" s="50"/>
      <c r="M4685" s="50"/>
      <c r="N4685" s="20">
        <f>+Movimientos_2026[[#This Row],[Ingresos]]-Movimientos_2026[[#This Row],[Egresos]]</f>
        <v>0</v>
      </c>
      <c r="O4685" s="20">
        <f>+O4684+Movimientos_2026[[#This Row],[Neto]]</f>
        <v>4581558617.7962294</v>
      </c>
    </row>
    <row r="4686" spans="1:15" x14ac:dyDescent="0.25">
      <c r="A4686" s="13"/>
      <c r="B4686" s="12">
        <f>MONTH(Movimientos_2026[[#This Row],[Fecha]])</f>
        <v>1</v>
      </c>
      <c r="C4686" s="12" t="str">
        <f>VLOOKUP((WEEKDAY(Movimientos_2026[[#This Row],[Fecha]],2)),'5. Setup'!$D$6:$E$12,2,FALSE)</f>
        <v>Sab</v>
      </c>
      <c r="E4686" t="str">
        <f>IFERROR(+VLOOKUP(Movimientos_2026[[#This Row],[Codigo]],Plan_cuentas[],2,FALSE)," ")</f>
        <v xml:space="preserve"> </v>
      </c>
      <c r="F4686" t="str">
        <f>IFERROR(+VLOOKUP(Movimientos_2026[[#This Row],[Codigo]],Plan_cuentas[],3,FALSE)," ")</f>
        <v xml:space="preserve"> </v>
      </c>
      <c r="G4686" t="str">
        <f>IFERROR(+VLOOKUP(Movimientos_2026[[#This Row],[Codigo]],Plan_cuentas[],4,FALSE)," ")</f>
        <v xml:space="preserve"> </v>
      </c>
      <c r="H4686" t="str">
        <f>IFERROR(+VLOOKUP(Movimientos_2026[[#This Row],[Codigo]],Plan_cuentas[],5,FALSE)," ")</f>
        <v xml:space="preserve"> </v>
      </c>
      <c r="I4686" s="43"/>
      <c r="K4686" t="str">
        <f>IFERROR(+VLOOKUP(Movimientos_2026[[#This Row],[Codigo]],Plan_cuentas[],6,FALSE)," ")</f>
        <v xml:space="preserve"> </v>
      </c>
      <c r="L4686" s="50"/>
      <c r="M4686" s="50"/>
      <c r="N4686" s="20">
        <f>+Movimientos_2026[[#This Row],[Ingresos]]-Movimientos_2026[[#This Row],[Egresos]]</f>
        <v>0</v>
      </c>
      <c r="O4686" s="20">
        <f>+O4685+Movimientos_2026[[#This Row],[Neto]]</f>
        <v>4581558617.7962294</v>
      </c>
    </row>
    <row r="4687" spans="1:15" x14ac:dyDescent="0.25">
      <c r="A4687" s="13"/>
      <c r="B4687" s="12">
        <f>MONTH(Movimientos_2026[[#This Row],[Fecha]])</f>
        <v>1</v>
      </c>
      <c r="C4687" s="12" t="str">
        <f>VLOOKUP((WEEKDAY(Movimientos_2026[[#This Row],[Fecha]],2)),'5. Setup'!$D$6:$E$12,2,FALSE)</f>
        <v>Sab</v>
      </c>
      <c r="E4687" t="str">
        <f>IFERROR(+VLOOKUP(Movimientos_2026[[#This Row],[Codigo]],Plan_cuentas[],2,FALSE)," ")</f>
        <v xml:space="preserve"> </v>
      </c>
      <c r="F4687" t="str">
        <f>IFERROR(+VLOOKUP(Movimientos_2026[[#This Row],[Codigo]],Plan_cuentas[],3,FALSE)," ")</f>
        <v xml:space="preserve"> </v>
      </c>
      <c r="G4687" t="str">
        <f>IFERROR(+VLOOKUP(Movimientos_2026[[#This Row],[Codigo]],Plan_cuentas[],4,FALSE)," ")</f>
        <v xml:space="preserve"> </v>
      </c>
      <c r="H4687" t="str">
        <f>IFERROR(+VLOOKUP(Movimientos_2026[[#This Row],[Codigo]],Plan_cuentas[],5,FALSE)," ")</f>
        <v xml:space="preserve"> </v>
      </c>
      <c r="I4687" s="43"/>
      <c r="K4687" t="str">
        <f>IFERROR(+VLOOKUP(Movimientos_2026[[#This Row],[Codigo]],Plan_cuentas[],6,FALSE)," ")</f>
        <v xml:space="preserve"> </v>
      </c>
      <c r="L4687" s="50"/>
      <c r="M4687" s="50"/>
      <c r="N4687" s="20">
        <f>+Movimientos_2026[[#This Row],[Ingresos]]-Movimientos_2026[[#This Row],[Egresos]]</f>
        <v>0</v>
      </c>
      <c r="O4687" s="20">
        <f>+O4686+Movimientos_2026[[#This Row],[Neto]]</f>
        <v>4581558617.7962294</v>
      </c>
    </row>
    <row r="4688" spans="1:15" x14ac:dyDescent="0.25">
      <c r="A4688" s="13"/>
      <c r="B4688" s="12">
        <f>MONTH(Movimientos_2026[[#This Row],[Fecha]])</f>
        <v>1</v>
      </c>
      <c r="C4688" s="12" t="str">
        <f>VLOOKUP((WEEKDAY(Movimientos_2026[[#This Row],[Fecha]],2)),'5. Setup'!$D$6:$E$12,2,FALSE)</f>
        <v>Sab</v>
      </c>
      <c r="E4688" t="str">
        <f>IFERROR(+VLOOKUP(Movimientos_2026[[#This Row],[Codigo]],Plan_cuentas[],2,FALSE)," ")</f>
        <v xml:space="preserve"> </v>
      </c>
      <c r="F4688" t="str">
        <f>IFERROR(+VLOOKUP(Movimientos_2026[[#This Row],[Codigo]],Plan_cuentas[],3,FALSE)," ")</f>
        <v xml:space="preserve"> </v>
      </c>
      <c r="G4688" t="str">
        <f>IFERROR(+VLOOKUP(Movimientos_2026[[#This Row],[Codigo]],Plan_cuentas[],4,FALSE)," ")</f>
        <v xml:space="preserve"> </v>
      </c>
      <c r="H4688" t="str">
        <f>IFERROR(+VLOOKUP(Movimientos_2026[[#This Row],[Codigo]],Plan_cuentas[],5,FALSE)," ")</f>
        <v xml:space="preserve"> </v>
      </c>
      <c r="I4688" s="43"/>
      <c r="K4688" t="str">
        <f>IFERROR(+VLOOKUP(Movimientos_2026[[#This Row],[Codigo]],Plan_cuentas[],6,FALSE)," ")</f>
        <v xml:space="preserve"> </v>
      </c>
      <c r="L4688" s="50"/>
      <c r="M4688" s="50"/>
      <c r="N4688" s="20">
        <f>+Movimientos_2026[[#This Row],[Ingresos]]-Movimientos_2026[[#This Row],[Egresos]]</f>
        <v>0</v>
      </c>
      <c r="O4688" s="20">
        <f>+O4687+Movimientos_2026[[#This Row],[Neto]]</f>
        <v>4581558617.7962294</v>
      </c>
    </row>
    <row r="4689" spans="1:15" x14ac:dyDescent="0.25">
      <c r="A4689" s="13"/>
      <c r="B4689" s="12">
        <f>MONTH(Movimientos_2026[[#This Row],[Fecha]])</f>
        <v>1</v>
      </c>
      <c r="C4689" s="12" t="str">
        <f>VLOOKUP((WEEKDAY(Movimientos_2026[[#This Row],[Fecha]],2)),'5. Setup'!$D$6:$E$12,2,FALSE)</f>
        <v>Sab</v>
      </c>
      <c r="E4689" t="str">
        <f>IFERROR(+VLOOKUP(Movimientos_2026[[#This Row],[Codigo]],Plan_cuentas[],2,FALSE)," ")</f>
        <v xml:space="preserve"> </v>
      </c>
      <c r="F4689" t="str">
        <f>IFERROR(+VLOOKUP(Movimientos_2026[[#This Row],[Codigo]],Plan_cuentas[],3,FALSE)," ")</f>
        <v xml:space="preserve"> </v>
      </c>
      <c r="G4689" t="str">
        <f>IFERROR(+VLOOKUP(Movimientos_2026[[#This Row],[Codigo]],Plan_cuentas[],4,FALSE)," ")</f>
        <v xml:space="preserve"> </v>
      </c>
      <c r="H4689" t="str">
        <f>IFERROR(+VLOOKUP(Movimientos_2026[[#This Row],[Codigo]],Plan_cuentas[],5,FALSE)," ")</f>
        <v xml:space="preserve"> </v>
      </c>
      <c r="I4689" s="43"/>
      <c r="K4689" t="str">
        <f>IFERROR(+VLOOKUP(Movimientos_2026[[#This Row],[Codigo]],Plan_cuentas[],6,FALSE)," ")</f>
        <v xml:space="preserve"> </v>
      </c>
      <c r="L4689" s="50"/>
      <c r="M4689" s="50"/>
      <c r="N4689" s="20">
        <f>+Movimientos_2026[[#This Row],[Ingresos]]-Movimientos_2026[[#This Row],[Egresos]]</f>
        <v>0</v>
      </c>
      <c r="O4689" s="20">
        <f>+O4688+Movimientos_2026[[#This Row],[Neto]]</f>
        <v>4581558617.7962294</v>
      </c>
    </row>
    <row r="4690" spans="1:15" x14ac:dyDescent="0.25">
      <c r="A4690" s="13"/>
      <c r="B4690" s="12">
        <f>MONTH(Movimientos_2026[[#This Row],[Fecha]])</f>
        <v>1</v>
      </c>
      <c r="C4690" s="12" t="str">
        <f>VLOOKUP((WEEKDAY(Movimientos_2026[[#This Row],[Fecha]],2)),'5. Setup'!$D$6:$E$12,2,FALSE)</f>
        <v>Sab</v>
      </c>
      <c r="E4690" t="str">
        <f>IFERROR(+VLOOKUP(Movimientos_2026[[#This Row],[Codigo]],Plan_cuentas[],2,FALSE)," ")</f>
        <v xml:space="preserve"> </v>
      </c>
      <c r="F4690" t="str">
        <f>IFERROR(+VLOOKUP(Movimientos_2026[[#This Row],[Codigo]],Plan_cuentas[],3,FALSE)," ")</f>
        <v xml:space="preserve"> </v>
      </c>
      <c r="G4690" t="str">
        <f>IFERROR(+VLOOKUP(Movimientos_2026[[#This Row],[Codigo]],Plan_cuentas[],4,FALSE)," ")</f>
        <v xml:space="preserve"> </v>
      </c>
      <c r="H4690" t="str">
        <f>IFERROR(+VLOOKUP(Movimientos_2026[[#This Row],[Codigo]],Plan_cuentas[],5,FALSE)," ")</f>
        <v xml:space="preserve"> </v>
      </c>
      <c r="I4690" s="43"/>
      <c r="K4690" t="str">
        <f>IFERROR(+VLOOKUP(Movimientos_2026[[#This Row],[Codigo]],Plan_cuentas[],6,FALSE)," ")</f>
        <v xml:space="preserve"> </v>
      </c>
      <c r="L4690" s="50"/>
      <c r="M4690" s="50"/>
      <c r="N4690" s="20">
        <f>+Movimientos_2026[[#This Row],[Ingresos]]-Movimientos_2026[[#This Row],[Egresos]]</f>
        <v>0</v>
      </c>
      <c r="O4690" s="20">
        <f>+O4689+Movimientos_2026[[#This Row],[Neto]]</f>
        <v>4581558617.7962294</v>
      </c>
    </row>
    <row r="4691" spans="1:15" x14ac:dyDescent="0.25">
      <c r="A4691" s="13"/>
      <c r="B4691" s="12">
        <f>MONTH(Movimientos_2026[[#This Row],[Fecha]])</f>
        <v>1</v>
      </c>
      <c r="C4691" s="12" t="str">
        <f>VLOOKUP((WEEKDAY(Movimientos_2026[[#This Row],[Fecha]],2)),'5. Setup'!$D$6:$E$12,2,FALSE)</f>
        <v>Sab</v>
      </c>
      <c r="E4691" t="str">
        <f>IFERROR(+VLOOKUP(Movimientos_2026[[#This Row],[Codigo]],Plan_cuentas[],2,FALSE)," ")</f>
        <v xml:space="preserve"> </v>
      </c>
      <c r="F4691" t="str">
        <f>IFERROR(+VLOOKUP(Movimientos_2026[[#This Row],[Codigo]],Plan_cuentas[],3,FALSE)," ")</f>
        <v xml:space="preserve"> </v>
      </c>
      <c r="G4691" t="str">
        <f>IFERROR(+VLOOKUP(Movimientos_2026[[#This Row],[Codigo]],Plan_cuentas[],4,FALSE)," ")</f>
        <v xml:space="preserve"> </v>
      </c>
      <c r="H4691" t="str">
        <f>IFERROR(+VLOOKUP(Movimientos_2026[[#This Row],[Codigo]],Plan_cuentas[],5,FALSE)," ")</f>
        <v xml:space="preserve"> </v>
      </c>
      <c r="I4691" s="43"/>
      <c r="K4691" t="str">
        <f>IFERROR(+VLOOKUP(Movimientos_2026[[#This Row],[Codigo]],Plan_cuentas[],6,FALSE)," ")</f>
        <v xml:space="preserve"> </v>
      </c>
      <c r="L4691" s="50"/>
      <c r="M4691" s="50"/>
      <c r="N4691" s="20">
        <f>+Movimientos_2026[[#This Row],[Ingresos]]-Movimientos_2026[[#This Row],[Egresos]]</f>
        <v>0</v>
      </c>
      <c r="O4691" s="20">
        <f>+O4690+Movimientos_2026[[#This Row],[Neto]]</f>
        <v>4581558617.7962294</v>
      </c>
    </row>
    <row r="4692" spans="1:15" x14ac:dyDescent="0.25">
      <c r="A4692" s="13"/>
      <c r="B4692" s="12">
        <f>MONTH(Movimientos_2026[[#This Row],[Fecha]])</f>
        <v>1</v>
      </c>
      <c r="C4692" s="12" t="str">
        <f>VLOOKUP((WEEKDAY(Movimientos_2026[[#This Row],[Fecha]],2)),'5. Setup'!$D$6:$E$12,2,FALSE)</f>
        <v>Sab</v>
      </c>
      <c r="E4692" t="str">
        <f>IFERROR(+VLOOKUP(Movimientos_2026[[#This Row],[Codigo]],Plan_cuentas[],2,FALSE)," ")</f>
        <v xml:space="preserve"> </v>
      </c>
      <c r="F4692" t="str">
        <f>IFERROR(+VLOOKUP(Movimientos_2026[[#This Row],[Codigo]],Plan_cuentas[],3,FALSE)," ")</f>
        <v xml:space="preserve"> </v>
      </c>
      <c r="G4692" t="str">
        <f>IFERROR(+VLOOKUP(Movimientos_2026[[#This Row],[Codigo]],Plan_cuentas[],4,FALSE)," ")</f>
        <v xml:space="preserve"> </v>
      </c>
      <c r="H4692" t="str">
        <f>IFERROR(+VLOOKUP(Movimientos_2026[[#This Row],[Codigo]],Plan_cuentas[],5,FALSE)," ")</f>
        <v xml:space="preserve"> </v>
      </c>
      <c r="I4692" s="43"/>
      <c r="K4692" t="str">
        <f>IFERROR(+VLOOKUP(Movimientos_2026[[#This Row],[Codigo]],Plan_cuentas[],6,FALSE)," ")</f>
        <v xml:space="preserve"> </v>
      </c>
      <c r="L4692" s="50"/>
      <c r="M4692" s="50"/>
      <c r="N4692" s="20">
        <f>+Movimientos_2026[[#This Row],[Ingresos]]-Movimientos_2026[[#This Row],[Egresos]]</f>
        <v>0</v>
      </c>
      <c r="O4692" s="20">
        <f>+O4691+Movimientos_2026[[#This Row],[Neto]]</f>
        <v>4581558617.7962294</v>
      </c>
    </row>
    <row r="4693" spans="1:15" x14ac:dyDescent="0.25">
      <c r="A4693" s="13"/>
      <c r="B4693" s="12">
        <f>MONTH(Movimientos_2026[[#This Row],[Fecha]])</f>
        <v>1</v>
      </c>
      <c r="C4693" s="12" t="str">
        <f>VLOOKUP((WEEKDAY(Movimientos_2026[[#This Row],[Fecha]],2)),'5. Setup'!$D$6:$E$12,2,FALSE)</f>
        <v>Sab</v>
      </c>
      <c r="E4693" t="str">
        <f>IFERROR(+VLOOKUP(Movimientos_2026[[#This Row],[Codigo]],Plan_cuentas[],2,FALSE)," ")</f>
        <v xml:space="preserve"> </v>
      </c>
      <c r="F4693" t="str">
        <f>IFERROR(+VLOOKUP(Movimientos_2026[[#This Row],[Codigo]],Plan_cuentas[],3,FALSE)," ")</f>
        <v xml:space="preserve"> </v>
      </c>
      <c r="G4693" t="str">
        <f>IFERROR(+VLOOKUP(Movimientos_2026[[#This Row],[Codigo]],Plan_cuentas[],4,FALSE)," ")</f>
        <v xml:space="preserve"> </v>
      </c>
      <c r="H4693" t="str">
        <f>IFERROR(+VLOOKUP(Movimientos_2026[[#This Row],[Codigo]],Plan_cuentas[],5,FALSE)," ")</f>
        <v xml:space="preserve"> </v>
      </c>
      <c r="I4693" s="43"/>
      <c r="K4693" t="str">
        <f>IFERROR(+VLOOKUP(Movimientos_2026[[#This Row],[Codigo]],Plan_cuentas[],6,FALSE)," ")</f>
        <v xml:space="preserve"> </v>
      </c>
      <c r="L4693" s="50"/>
      <c r="M4693" s="50"/>
      <c r="N4693" s="20">
        <f>+Movimientos_2026[[#This Row],[Ingresos]]-Movimientos_2026[[#This Row],[Egresos]]</f>
        <v>0</v>
      </c>
      <c r="O4693" s="20">
        <f>+O4692+Movimientos_2026[[#This Row],[Neto]]</f>
        <v>4581558617.7962294</v>
      </c>
    </row>
    <row r="4694" spans="1:15" x14ac:dyDescent="0.25">
      <c r="A4694" s="13"/>
      <c r="B4694" s="12">
        <f>MONTH(Movimientos_2026[[#This Row],[Fecha]])</f>
        <v>1</v>
      </c>
      <c r="C4694" s="12" t="str">
        <f>VLOOKUP((WEEKDAY(Movimientos_2026[[#This Row],[Fecha]],2)),'5. Setup'!$D$6:$E$12,2,FALSE)</f>
        <v>Sab</v>
      </c>
      <c r="E4694" t="str">
        <f>IFERROR(+VLOOKUP(Movimientos_2026[[#This Row],[Codigo]],Plan_cuentas[],2,FALSE)," ")</f>
        <v xml:space="preserve"> </v>
      </c>
      <c r="F4694" t="str">
        <f>IFERROR(+VLOOKUP(Movimientos_2026[[#This Row],[Codigo]],Plan_cuentas[],3,FALSE)," ")</f>
        <v xml:space="preserve"> </v>
      </c>
      <c r="G4694" t="str">
        <f>IFERROR(+VLOOKUP(Movimientos_2026[[#This Row],[Codigo]],Plan_cuentas[],4,FALSE)," ")</f>
        <v xml:space="preserve"> </v>
      </c>
      <c r="H4694" t="str">
        <f>IFERROR(+VLOOKUP(Movimientos_2026[[#This Row],[Codigo]],Plan_cuentas[],5,FALSE)," ")</f>
        <v xml:space="preserve"> </v>
      </c>
      <c r="I4694" s="43"/>
      <c r="K4694" t="str">
        <f>IFERROR(+VLOOKUP(Movimientos_2026[[#This Row],[Codigo]],Plan_cuentas[],6,FALSE)," ")</f>
        <v xml:space="preserve"> </v>
      </c>
      <c r="L4694" s="50"/>
      <c r="M4694" s="50"/>
      <c r="N4694" s="20">
        <f>+Movimientos_2026[[#This Row],[Ingresos]]-Movimientos_2026[[#This Row],[Egresos]]</f>
        <v>0</v>
      </c>
      <c r="O4694" s="20">
        <f>+O4693+Movimientos_2026[[#This Row],[Neto]]</f>
        <v>4581558617.7962294</v>
      </c>
    </row>
    <row r="4695" spans="1:15" x14ac:dyDescent="0.25">
      <c r="A4695" s="13"/>
      <c r="B4695" s="12">
        <f>MONTH(Movimientos_2026[[#This Row],[Fecha]])</f>
        <v>1</v>
      </c>
      <c r="C4695" s="12" t="str">
        <f>VLOOKUP((WEEKDAY(Movimientos_2026[[#This Row],[Fecha]],2)),'5. Setup'!$D$6:$E$12,2,FALSE)</f>
        <v>Sab</v>
      </c>
      <c r="E4695" t="str">
        <f>IFERROR(+VLOOKUP(Movimientos_2026[[#This Row],[Codigo]],Plan_cuentas[],2,FALSE)," ")</f>
        <v xml:space="preserve"> </v>
      </c>
      <c r="F4695" t="str">
        <f>IFERROR(+VLOOKUP(Movimientos_2026[[#This Row],[Codigo]],Plan_cuentas[],3,FALSE)," ")</f>
        <v xml:space="preserve"> </v>
      </c>
      <c r="G4695" t="str">
        <f>IFERROR(+VLOOKUP(Movimientos_2026[[#This Row],[Codigo]],Plan_cuentas[],4,FALSE)," ")</f>
        <v xml:space="preserve"> </v>
      </c>
      <c r="H4695" t="str">
        <f>IFERROR(+VLOOKUP(Movimientos_2026[[#This Row],[Codigo]],Plan_cuentas[],5,FALSE)," ")</f>
        <v xml:space="preserve"> </v>
      </c>
      <c r="I4695" s="43"/>
      <c r="K4695" t="str">
        <f>IFERROR(+VLOOKUP(Movimientos_2026[[#This Row],[Codigo]],Plan_cuentas[],6,FALSE)," ")</f>
        <v xml:space="preserve"> </v>
      </c>
      <c r="L4695" s="50"/>
      <c r="M4695" s="50"/>
      <c r="N4695" s="20">
        <f>+Movimientos_2026[[#This Row],[Ingresos]]-Movimientos_2026[[#This Row],[Egresos]]</f>
        <v>0</v>
      </c>
      <c r="O4695" s="20">
        <f>+O4694+Movimientos_2026[[#This Row],[Neto]]</f>
        <v>4581558617.7962294</v>
      </c>
    </row>
    <row r="4696" spans="1:15" x14ac:dyDescent="0.25">
      <c r="A4696" s="13"/>
      <c r="B4696" s="12">
        <f>MONTH(Movimientos_2026[[#This Row],[Fecha]])</f>
        <v>1</v>
      </c>
      <c r="C4696" s="12" t="str">
        <f>VLOOKUP((WEEKDAY(Movimientos_2026[[#This Row],[Fecha]],2)),'5. Setup'!$D$6:$E$12,2,FALSE)</f>
        <v>Sab</v>
      </c>
      <c r="E4696" t="str">
        <f>IFERROR(+VLOOKUP(Movimientos_2026[[#This Row],[Codigo]],Plan_cuentas[],2,FALSE)," ")</f>
        <v xml:space="preserve"> </v>
      </c>
      <c r="F4696" t="str">
        <f>IFERROR(+VLOOKUP(Movimientos_2026[[#This Row],[Codigo]],Plan_cuentas[],3,FALSE)," ")</f>
        <v xml:space="preserve"> </v>
      </c>
      <c r="G4696" t="str">
        <f>IFERROR(+VLOOKUP(Movimientos_2026[[#This Row],[Codigo]],Plan_cuentas[],4,FALSE)," ")</f>
        <v xml:space="preserve"> </v>
      </c>
      <c r="H4696" t="str">
        <f>IFERROR(+VLOOKUP(Movimientos_2026[[#This Row],[Codigo]],Plan_cuentas[],5,FALSE)," ")</f>
        <v xml:space="preserve"> </v>
      </c>
      <c r="I4696" s="43"/>
      <c r="K4696" t="str">
        <f>IFERROR(+VLOOKUP(Movimientos_2026[[#This Row],[Codigo]],Plan_cuentas[],6,FALSE)," ")</f>
        <v xml:space="preserve"> </v>
      </c>
      <c r="L4696" s="50"/>
      <c r="M4696" s="50"/>
      <c r="N4696" s="20">
        <f>+Movimientos_2026[[#This Row],[Ingresos]]-Movimientos_2026[[#This Row],[Egresos]]</f>
        <v>0</v>
      </c>
      <c r="O4696" s="20">
        <f>+O4695+Movimientos_2026[[#This Row],[Neto]]</f>
        <v>4581558617.7962294</v>
      </c>
    </row>
    <row r="4697" spans="1:15" x14ac:dyDescent="0.25">
      <c r="A4697" s="13"/>
      <c r="B4697" s="12">
        <f>MONTH(Movimientos_2026[[#This Row],[Fecha]])</f>
        <v>1</v>
      </c>
      <c r="C4697" s="12" t="str">
        <f>VLOOKUP((WEEKDAY(Movimientos_2026[[#This Row],[Fecha]],2)),'5. Setup'!$D$6:$E$12,2,FALSE)</f>
        <v>Sab</v>
      </c>
      <c r="E4697" t="str">
        <f>IFERROR(+VLOOKUP(Movimientos_2026[[#This Row],[Codigo]],Plan_cuentas[],2,FALSE)," ")</f>
        <v xml:space="preserve"> </v>
      </c>
      <c r="F4697" t="str">
        <f>IFERROR(+VLOOKUP(Movimientos_2026[[#This Row],[Codigo]],Plan_cuentas[],3,FALSE)," ")</f>
        <v xml:space="preserve"> </v>
      </c>
      <c r="G4697" t="str">
        <f>IFERROR(+VLOOKUP(Movimientos_2026[[#This Row],[Codigo]],Plan_cuentas[],4,FALSE)," ")</f>
        <v xml:space="preserve"> </v>
      </c>
      <c r="H4697" t="str">
        <f>IFERROR(+VLOOKUP(Movimientos_2026[[#This Row],[Codigo]],Plan_cuentas[],5,FALSE)," ")</f>
        <v xml:space="preserve"> </v>
      </c>
      <c r="I4697" s="43"/>
      <c r="K4697" t="str">
        <f>IFERROR(+VLOOKUP(Movimientos_2026[[#This Row],[Codigo]],Plan_cuentas[],6,FALSE)," ")</f>
        <v xml:space="preserve"> </v>
      </c>
      <c r="L4697" s="50"/>
      <c r="M4697" s="50"/>
      <c r="N4697" s="20">
        <f>+Movimientos_2026[[#This Row],[Ingresos]]-Movimientos_2026[[#This Row],[Egresos]]</f>
        <v>0</v>
      </c>
      <c r="O4697" s="20">
        <f>+O4696+Movimientos_2026[[#This Row],[Neto]]</f>
        <v>4581558617.7962294</v>
      </c>
    </row>
    <row r="4698" spans="1:15" x14ac:dyDescent="0.25">
      <c r="A4698" s="13"/>
      <c r="B4698" s="12">
        <f>MONTH(Movimientos_2026[[#This Row],[Fecha]])</f>
        <v>1</v>
      </c>
      <c r="C4698" s="12" t="str">
        <f>VLOOKUP((WEEKDAY(Movimientos_2026[[#This Row],[Fecha]],2)),'5. Setup'!$D$6:$E$12,2,FALSE)</f>
        <v>Sab</v>
      </c>
      <c r="E4698" t="str">
        <f>IFERROR(+VLOOKUP(Movimientos_2026[[#This Row],[Codigo]],Plan_cuentas[],2,FALSE)," ")</f>
        <v xml:space="preserve"> </v>
      </c>
      <c r="F4698" t="str">
        <f>IFERROR(+VLOOKUP(Movimientos_2026[[#This Row],[Codigo]],Plan_cuentas[],3,FALSE)," ")</f>
        <v xml:space="preserve"> </v>
      </c>
      <c r="G4698" t="str">
        <f>IFERROR(+VLOOKUP(Movimientos_2026[[#This Row],[Codigo]],Plan_cuentas[],4,FALSE)," ")</f>
        <v xml:space="preserve"> </v>
      </c>
      <c r="H4698" t="str">
        <f>IFERROR(+VLOOKUP(Movimientos_2026[[#This Row],[Codigo]],Plan_cuentas[],5,FALSE)," ")</f>
        <v xml:space="preserve"> </v>
      </c>
      <c r="I4698" s="43"/>
      <c r="K4698" t="str">
        <f>IFERROR(+VLOOKUP(Movimientos_2026[[#This Row],[Codigo]],Plan_cuentas[],6,FALSE)," ")</f>
        <v xml:space="preserve"> </v>
      </c>
      <c r="L4698" s="50"/>
      <c r="M4698" s="50"/>
      <c r="N4698" s="20">
        <f>+Movimientos_2026[[#This Row],[Ingresos]]-Movimientos_2026[[#This Row],[Egresos]]</f>
        <v>0</v>
      </c>
      <c r="O4698" s="20">
        <f>+O4697+Movimientos_2026[[#This Row],[Neto]]</f>
        <v>4581558617.7962294</v>
      </c>
    </row>
    <row r="4699" spans="1:15" x14ac:dyDescent="0.25">
      <c r="A4699" s="13"/>
      <c r="B4699" s="12">
        <f>MONTH(Movimientos_2026[[#This Row],[Fecha]])</f>
        <v>1</v>
      </c>
      <c r="C4699" s="12" t="str">
        <f>VLOOKUP((WEEKDAY(Movimientos_2026[[#This Row],[Fecha]],2)),'5. Setup'!$D$6:$E$12,2,FALSE)</f>
        <v>Sab</v>
      </c>
      <c r="E4699" t="str">
        <f>IFERROR(+VLOOKUP(Movimientos_2026[[#This Row],[Codigo]],Plan_cuentas[],2,FALSE)," ")</f>
        <v xml:space="preserve"> </v>
      </c>
      <c r="F4699" t="str">
        <f>IFERROR(+VLOOKUP(Movimientos_2026[[#This Row],[Codigo]],Plan_cuentas[],3,FALSE)," ")</f>
        <v xml:space="preserve"> </v>
      </c>
      <c r="G4699" t="str">
        <f>IFERROR(+VLOOKUP(Movimientos_2026[[#This Row],[Codigo]],Plan_cuentas[],4,FALSE)," ")</f>
        <v xml:space="preserve"> </v>
      </c>
      <c r="H4699" t="str">
        <f>IFERROR(+VLOOKUP(Movimientos_2026[[#This Row],[Codigo]],Plan_cuentas[],5,FALSE)," ")</f>
        <v xml:space="preserve"> </v>
      </c>
      <c r="I4699" s="43"/>
      <c r="K4699" t="str">
        <f>IFERROR(+VLOOKUP(Movimientos_2026[[#This Row],[Codigo]],Plan_cuentas[],6,FALSE)," ")</f>
        <v xml:space="preserve"> </v>
      </c>
      <c r="L4699" s="50"/>
      <c r="M4699" s="50"/>
      <c r="N4699" s="20">
        <f>+Movimientos_2026[[#This Row],[Ingresos]]-Movimientos_2026[[#This Row],[Egresos]]</f>
        <v>0</v>
      </c>
      <c r="O4699" s="20">
        <f>+O4698+Movimientos_2026[[#This Row],[Neto]]</f>
        <v>4581558617.7962294</v>
      </c>
    </row>
    <row r="4700" spans="1:15" x14ac:dyDescent="0.25">
      <c r="A4700" s="13"/>
      <c r="B4700" s="12">
        <f>MONTH(Movimientos_2026[[#This Row],[Fecha]])</f>
        <v>1</v>
      </c>
      <c r="C4700" s="12" t="str">
        <f>VLOOKUP((WEEKDAY(Movimientos_2026[[#This Row],[Fecha]],2)),'5. Setup'!$D$6:$E$12,2,FALSE)</f>
        <v>Sab</v>
      </c>
      <c r="E4700" t="str">
        <f>IFERROR(+VLOOKUP(Movimientos_2026[[#This Row],[Codigo]],Plan_cuentas[],2,FALSE)," ")</f>
        <v xml:space="preserve"> </v>
      </c>
      <c r="F4700" t="str">
        <f>IFERROR(+VLOOKUP(Movimientos_2026[[#This Row],[Codigo]],Plan_cuentas[],3,FALSE)," ")</f>
        <v xml:space="preserve"> </v>
      </c>
      <c r="G4700" t="str">
        <f>IFERROR(+VLOOKUP(Movimientos_2026[[#This Row],[Codigo]],Plan_cuentas[],4,FALSE)," ")</f>
        <v xml:space="preserve"> </v>
      </c>
      <c r="H4700" t="str">
        <f>IFERROR(+VLOOKUP(Movimientos_2026[[#This Row],[Codigo]],Plan_cuentas[],5,FALSE)," ")</f>
        <v xml:space="preserve"> </v>
      </c>
      <c r="I4700" s="43"/>
      <c r="K4700" t="str">
        <f>IFERROR(+VLOOKUP(Movimientos_2026[[#This Row],[Codigo]],Plan_cuentas[],6,FALSE)," ")</f>
        <v xml:space="preserve"> </v>
      </c>
      <c r="L4700" s="50"/>
      <c r="M4700" s="50"/>
      <c r="N4700" s="20">
        <f>+Movimientos_2026[[#This Row],[Ingresos]]-Movimientos_2026[[#This Row],[Egresos]]</f>
        <v>0</v>
      </c>
      <c r="O4700" s="20">
        <f>+O4699+Movimientos_2026[[#This Row],[Neto]]</f>
        <v>4581558617.7962294</v>
      </c>
    </row>
    <row r="4701" spans="1:15" x14ac:dyDescent="0.25">
      <c r="A4701" s="13"/>
      <c r="B4701" s="12">
        <f>MONTH(Movimientos_2026[[#This Row],[Fecha]])</f>
        <v>1</v>
      </c>
      <c r="C4701" s="12" t="str">
        <f>VLOOKUP((WEEKDAY(Movimientos_2026[[#This Row],[Fecha]],2)),'5. Setup'!$D$6:$E$12,2,FALSE)</f>
        <v>Sab</v>
      </c>
      <c r="E4701" t="str">
        <f>IFERROR(+VLOOKUP(Movimientos_2026[[#This Row],[Codigo]],Plan_cuentas[],2,FALSE)," ")</f>
        <v xml:space="preserve"> </v>
      </c>
      <c r="F4701" t="str">
        <f>IFERROR(+VLOOKUP(Movimientos_2026[[#This Row],[Codigo]],Plan_cuentas[],3,FALSE)," ")</f>
        <v xml:space="preserve"> </v>
      </c>
      <c r="G4701" t="str">
        <f>IFERROR(+VLOOKUP(Movimientos_2026[[#This Row],[Codigo]],Plan_cuentas[],4,FALSE)," ")</f>
        <v xml:space="preserve"> </v>
      </c>
      <c r="H4701" t="str">
        <f>IFERROR(+VLOOKUP(Movimientos_2026[[#This Row],[Codigo]],Plan_cuentas[],5,FALSE)," ")</f>
        <v xml:space="preserve"> </v>
      </c>
      <c r="I4701" s="43"/>
      <c r="K4701" t="str">
        <f>IFERROR(+VLOOKUP(Movimientos_2026[[#This Row],[Codigo]],Plan_cuentas[],6,FALSE)," ")</f>
        <v xml:space="preserve"> </v>
      </c>
      <c r="L4701" s="50"/>
      <c r="M4701" s="50"/>
      <c r="N4701" s="20">
        <f>+Movimientos_2026[[#This Row],[Ingresos]]-Movimientos_2026[[#This Row],[Egresos]]</f>
        <v>0</v>
      </c>
      <c r="O4701" s="20">
        <f>+O4700+Movimientos_2026[[#This Row],[Neto]]</f>
        <v>4581558617.7962294</v>
      </c>
    </row>
    <row r="4702" spans="1:15" x14ac:dyDescent="0.25">
      <c r="A4702" s="13"/>
      <c r="B4702" s="12">
        <f>MONTH(Movimientos_2026[[#This Row],[Fecha]])</f>
        <v>1</v>
      </c>
      <c r="C4702" s="12" t="str">
        <f>VLOOKUP((WEEKDAY(Movimientos_2026[[#This Row],[Fecha]],2)),'5. Setup'!$D$6:$E$12,2,FALSE)</f>
        <v>Sab</v>
      </c>
      <c r="E4702" t="str">
        <f>IFERROR(+VLOOKUP(Movimientos_2026[[#This Row],[Codigo]],Plan_cuentas[],2,FALSE)," ")</f>
        <v xml:space="preserve"> </v>
      </c>
      <c r="F4702" t="str">
        <f>IFERROR(+VLOOKUP(Movimientos_2026[[#This Row],[Codigo]],Plan_cuentas[],3,FALSE)," ")</f>
        <v xml:space="preserve"> </v>
      </c>
      <c r="G4702" t="str">
        <f>IFERROR(+VLOOKUP(Movimientos_2026[[#This Row],[Codigo]],Plan_cuentas[],4,FALSE)," ")</f>
        <v xml:space="preserve"> </v>
      </c>
      <c r="H4702" t="str">
        <f>IFERROR(+VLOOKUP(Movimientos_2026[[#This Row],[Codigo]],Plan_cuentas[],5,FALSE)," ")</f>
        <v xml:space="preserve"> </v>
      </c>
      <c r="I4702" s="43"/>
      <c r="K4702" t="str">
        <f>IFERROR(+VLOOKUP(Movimientos_2026[[#This Row],[Codigo]],Plan_cuentas[],6,FALSE)," ")</f>
        <v xml:space="preserve"> </v>
      </c>
      <c r="L4702" s="50"/>
      <c r="M4702" s="50"/>
      <c r="N4702" s="20">
        <f>+Movimientos_2026[[#This Row],[Ingresos]]-Movimientos_2026[[#This Row],[Egresos]]</f>
        <v>0</v>
      </c>
      <c r="O4702" s="20">
        <f>+O4701+Movimientos_2026[[#This Row],[Neto]]</f>
        <v>4581558617.7962294</v>
      </c>
    </row>
    <row r="4703" spans="1:15" x14ac:dyDescent="0.25">
      <c r="A4703" s="13"/>
      <c r="B4703" s="12">
        <f>MONTH(Movimientos_2026[[#This Row],[Fecha]])</f>
        <v>1</v>
      </c>
      <c r="C4703" s="12" t="str">
        <f>VLOOKUP((WEEKDAY(Movimientos_2026[[#This Row],[Fecha]],2)),'5. Setup'!$D$6:$E$12,2,FALSE)</f>
        <v>Sab</v>
      </c>
      <c r="E4703" t="str">
        <f>IFERROR(+VLOOKUP(Movimientos_2026[[#This Row],[Codigo]],Plan_cuentas[],2,FALSE)," ")</f>
        <v xml:space="preserve"> </v>
      </c>
      <c r="F4703" t="str">
        <f>IFERROR(+VLOOKUP(Movimientos_2026[[#This Row],[Codigo]],Plan_cuentas[],3,FALSE)," ")</f>
        <v xml:space="preserve"> </v>
      </c>
      <c r="G4703" t="str">
        <f>IFERROR(+VLOOKUP(Movimientos_2026[[#This Row],[Codigo]],Plan_cuentas[],4,FALSE)," ")</f>
        <v xml:space="preserve"> </v>
      </c>
      <c r="H4703" t="str">
        <f>IFERROR(+VLOOKUP(Movimientos_2026[[#This Row],[Codigo]],Plan_cuentas[],5,FALSE)," ")</f>
        <v xml:space="preserve"> </v>
      </c>
      <c r="I4703" s="43"/>
      <c r="K4703" t="str">
        <f>IFERROR(+VLOOKUP(Movimientos_2026[[#This Row],[Codigo]],Plan_cuentas[],6,FALSE)," ")</f>
        <v xml:space="preserve"> </v>
      </c>
      <c r="L4703" s="50"/>
      <c r="M4703" s="50"/>
      <c r="N4703" s="20">
        <f>+Movimientos_2026[[#This Row],[Ingresos]]-Movimientos_2026[[#This Row],[Egresos]]</f>
        <v>0</v>
      </c>
      <c r="O4703" s="20">
        <f>+O4702+Movimientos_2026[[#This Row],[Neto]]</f>
        <v>4581558617.7962294</v>
      </c>
    </row>
    <row r="4704" spans="1:15" x14ac:dyDescent="0.25">
      <c r="A4704" s="13"/>
      <c r="B4704" s="12">
        <f>MONTH(Movimientos_2026[[#This Row],[Fecha]])</f>
        <v>1</v>
      </c>
      <c r="C4704" s="12" t="str">
        <f>VLOOKUP((WEEKDAY(Movimientos_2026[[#This Row],[Fecha]],2)),'5. Setup'!$D$6:$E$12,2,FALSE)</f>
        <v>Sab</v>
      </c>
      <c r="E4704" t="str">
        <f>IFERROR(+VLOOKUP(Movimientos_2026[[#This Row],[Codigo]],Plan_cuentas[],2,FALSE)," ")</f>
        <v xml:space="preserve"> </v>
      </c>
      <c r="F4704" t="str">
        <f>IFERROR(+VLOOKUP(Movimientos_2026[[#This Row],[Codigo]],Plan_cuentas[],3,FALSE)," ")</f>
        <v xml:space="preserve"> </v>
      </c>
      <c r="G4704" t="str">
        <f>IFERROR(+VLOOKUP(Movimientos_2026[[#This Row],[Codigo]],Plan_cuentas[],4,FALSE)," ")</f>
        <v xml:space="preserve"> </v>
      </c>
      <c r="H4704" t="str">
        <f>IFERROR(+VLOOKUP(Movimientos_2026[[#This Row],[Codigo]],Plan_cuentas[],5,FALSE)," ")</f>
        <v xml:space="preserve"> </v>
      </c>
      <c r="I4704" s="43"/>
      <c r="K4704" t="str">
        <f>IFERROR(+VLOOKUP(Movimientos_2026[[#This Row],[Codigo]],Plan_cuentas[],6,FALSE)," ")</f>
        <v xml:space="preserve"> </v>
      </c>
      <c r="L4704" s="50"/>
      <c r="M4704" s="50"/>
      <c r="N4704" s="20">
        <f>+Movimientos_2026[[#This Row],[Ingresos]]-Movimientos_2026[[#This Row],[Egresos]]</f>
        <v>0</v>
      </c>
      <c r="O4704" s="20">
        <f>+O4703+Movimientos_2026[[#This Row],[Neto]]</f>
        <v>4581558617.7962294</v>
      </c>
    </row>
    <row r="4705" spans="1:15" x14ac:dyDescent="0.25">
      <c r="A4705" s="13"/>
      <c r="B4705" s="12">
        <f>MONTH(Movimientos_2026[[#This Row],[Fecha]])</f>
        <v>1</v>
      </c>
      <c r="C4705" s="12" t="str">
        <f>VLOOKUP((WEEKDAY(Movimientos_2026[[#This Row],[Fecha]],2)),'5. Setup'!$D$6:$E$12,2,FALSE)</f>
        <v>Sab</v>
      </c>
      <c r="E4705" t="str">
        <f>IFERROR(+VLOOKUP(Movimientos_2026[[#This Row],[Codigo]],Plan_cuentas[],2,FALSE)," ")</f>
        <v xml:space="preserve"> </v>
      </c>
      <c r="F4705" t="str">
        <f>IFERROR(+VLOOKUP(Movimientos_2026[[#This Row],[Codigo]],Plan_cuentas[],3,FALSE)," ")</f>
        <v xml:space="preserve"> </v>
      </c>
      <c r="G4705" t="str">
        <f>IFERROR(+VLOOKUP(Movimientos_2026[[#This Row],[Codigo]],Plan_cuentas[],4,FALSE)," ")</f>
        <v xml:space="preserve"> </v>
      </c>
      <c r="H4705" t="str">
        <f>IFERROR(+VLOOKUP(Movimientos_2026[[#This Row],[Codigo]],Plan_cuentas[],5,FALSE)," ")</f>
        <v xml:space="preserve"> </v>
      </c>
      <c r="I4705" s="43"/>
      <c r="K4705" t="str">
        <f>IFERROR(+VLOOKUP(Movimientos_2026[[#This Row],[Codigo]],Plan_cuentas[],6,FALSE)," ")</f>
        <v xml:space="preserve"> </v>
      </c>
      <c r="L4705" s="50"/>
      <c r="M4705" s="50"/>
      <c r="N4705" s="20">
        <f>+Movimientos_2026[[#This Row],[Ingresos]]-Movimientos_2026[[#This Row],[Egresos]]</f>
        <v>0</v>
      </c>
      <c r="O4705" s="20">
        <f>+O4704+Movimientos_2026[[#This Row],[Neto]]</f>
        <v>4581558617.7962294</v>
      </c>
    </row>
    <row r="4706" spans="1:15" x14ac:dyDescent="0.25">
      <c r="A4706" s="13"/>
      <c r="B4706" s="12">
        <f>MONTH(Movimientos_2026[[#This Row],[Fecha]])</f>
        <v>1</v>
      </c>
      <c r="C4706" s="12" t="str">
        <f>VLOOKUP((WEEKDAY(Movimientos_2026[[#This Row],[Fecha]],2)),'5. Setup'!$D$6:$E$12,2,FALSE)</f>
        <v>Sab</v>
      </c>
      <c r="E4706" t="str">
        <f>IFERROR(+VLOOKUP(Movimientos_2026[[#This Row],[Codigo]],Plan_cuentas[],2,FALSE)," ")</f>
        <v xml:space="preserve"> </v>
      </c>
      <c r="F4706" t="str">
        <f>IFERROR(+VLOOKUP(Movimientos_2026[[#This Row],[Codigo]],Plan_cuentas[],3,FALSE)," ")</f>
        <v xml:space="preserve"> </v>
      </c>
      <c r="G4706" t="str">
        <f>IFERROR(+VLOOKUP(Movimientos_2026[[#This Row],[Codigo]],Plan_cuentas[],4,FALSE)," ")</f>
        <v xml:space="preserve"> </v>
      </c>
      <c r="H4706" t="str">
        <f>IFERROR(+VLOOKUP(Movimientos_2026[[#This Row],[Codigo]],Plan_cuentas[],5,FALSE)," ")</f>
        <v xml:space="preserve"> </v>
      </c>
      <c r="I4706" s="43"/>
      <c r="K4706" t="str">
        <f>IFERROR(+VLOOKUP(Movimientos_2026[[#This Row],[Codigo]],Plan_cuentas[],6,FALSE)," ")</f>
        <v xml:space="preserve"> </v>
      </c>
      <c r="L4706" s="50"/>
      <c r="M4706" s="50"/>
      <c r="N4706" s="20">
        <f>+Movimientos_2026[[#This Row],[Ingresos]]-Movimientos_2026[[#This Row],[Egresos]]</f>
        <v>0</v>
      </c>
      <c r="O4706" s="20">
        <f>+O4705+Movimientos_2026[[#This Row],[Neto]]</f>
        <v>4581558617.7962294</v>
      </c>
    </row>
    <row r="4707" spans="1:15" x14ac:dyDescent="0.25">
      <c r="A4707" s="13"/>
      <c r="B4707" s="12">
        <f>MONTH(Movimientos_2026[[#This Row],[Fecha]])</f>
        <v>1</v>
      </c>
      <c r="C4707" s="12" t="str">
        <f>VLOOKUP((WEEKDAY(Movimientos_2026[[#This Row],[Fecha]],2)),'5. Setup'!$D$6:$E$12,2,FALSE)</f>
        <v>Sab</v>
      </c>
      <c r="E4707" t="str">
        <f>IFERROR(+VLOOKUP(Movimientos_2026[[#This Row],[Codigo]],Plan_cuentas[],2,FALSE)," ")</f>
        <v xml:space="preserve"> </v>
      </c>
      <c r="F4707" t="str">
        <f>IFERROR(+VLOOKUP(Movimientos_2026[[#This Row],[Codigo]],Plan_cuentas[],3,FALSE)," ")</f>
        <v xml:space="preserve"> </v>
      </c>
      <c r="G4707" t="str">
        <f>IFERROR(+VLOOKUP(Movimientos_2026[[#This Row],[Codigo]],Plan_cuentas[],4,FALSE)," ")</f>
        <v xml:space="preserve"> </v>
      </c>
      <c r="H4707" t="str">
        <f>IFERROR(+VLOOKUP(Movimientos_2026[[#This Row],[Codigo]],Plan_cuentas[],5,FALSE)," ")</f>
        <v xml:space="preserve"> </v>
      </c>
      <c r="I4707" s="43"/>
      <c r="K4707" t="str">
        <f>IFERROR(+VLOOKUP(Movimientos_2026[[#This Row],[Codigo]],Plan_cuentas[],6,FALSE)," ")</f>
        <v xml:space="preserve"> </v>
      </c>
      <c r="L4707" s="50"/>
      <c r="M4707" s="50"/>
      <c r="N4707" s="20">
        <f>+Movimientos_2026[[#This Row],[Ingresos]]-Movimientos_2026[[#This Row],[Egresos]]</f>
        <v>0</v>
      </c>
      <c r="O4707" s="20">
        <f>+O4706+Movimientos_2026[[#This Row],[Neto]]</f>
        <v>4581558617.7962294</v>
      </c>
    </row>
    <row r="4708" spans="1:15" x14ac:dyDescent="0.25">
      <c r="A4708" s="13"/>
      <c r="B4708" s="12">
        <f>MONTH(Movimientos_2026[[#This Row],[Fecha]])</f>
        <v>1</v>
      </c>
      <c r="C4708" s="12" t="str">
        <f>VLOOKUP((WEEKDAY(Movimientos_2026[[#This Row],[Fecha]],2)),'5. Setup'!$D$6:$E$12,2,FALSE)</f>
        <v>Sab</v>
      </c>
      <c r="E4708" t="str">
        <f>IFERROR(+VLOOKUP(Movimientos_2026[[#This Row],[Codigo]],Plan_cuentas[],2,FALSE)," ")</f>
        <v xml:space="preserve"> </v>
      </c>
      <c r="F4708" t="str">
        <f>IFERROR(+VLOOKUP(Movimientos_2026[[#This Row],[Codigo]],Plan_cuentas[],3,FALSE)," ")</f>
        <v xml:space="preserve"> </v>
      </c>
      <c r="G4708" t="str">
        <f>IFERROR(+VLOOKUP(Movimientos_2026[[#This Row],[Codigo]],Plan_cuentas[],4,FALSE)," ")</f>
        <v xml:space="preserve"> </v>
      </c>
      <c r="H4708" t="str">
        <f>IFERROR(+VLOOKUP(Movimientos_2026[[#This Row],[Codigo]],Plan_cuentas[],5,FALSE)," ")</f>
        <v xml:space="preserve"> </v>
      </c>
      <c r="I4708" s="43"/>
      <c r="K4708" t="str">
        <f>IFERROR(+VLOOKUP(Movimientos_2026[[#This Row],[Codigo]],Plan_cuentas[],6,FALSE)," ")</f>
        <v xml:space="preserve"> </v>
      </c>
      <c r="L4708" s="50"/>
      <c r="M4708" s="50"/>
      <c r="N4708" s="20">
        <f>+Movimientos_2026[[#This Row],[Ingresos]]-Movimientos_2026[[#This Row],[Egresos]]</f>
        <v>0</v>
      </c>
      <c r="O4708" s="20">
        <f>+O4707+Movimientos_2026[[#This Row],[Neto]]</f>
        <v>4581558617.7962294</v>
      </c>
    </row>
    <row r="4709" spans="1:15" x14ac:dyDescent="0.25">
      <c r="A4709" s="13"/>
      <c r="B4709" s="12">
        <f>MONTH(Movimientos_2026[[#This Row],[Fecha]])</f>
        <v>1</v>
      </c>
      <c r="C4709" s="12" t="str">
        <f>VLOOKUP((WEEKDAY(Movimientos_2026[[#This Row],[Fecha]],2)),'5. Setup'!$D$6:$E$12,2,FALSE)</f>
        <v>Sab</v>
      </c>
      <c r="E4709" t="str">
        <f>IFERROR(+VLOOKUP(Movimientos_2026[[#This Row],[Codigo]],Plan_cuentas[],2,FALSE)," ")</f>
        <v xml:space="preserve"> </v>
      </c>
      <c r="F4709" t="str">
        <f>IFERROR(+VLOOKUP(Movimientos_2026[[#This Row],[Codigo]],Plan_cuentas[],3,FALSE)," ")</f>
        <v xml:space="preserve"> </v>
      </c>
      <c r="G4709" t="str">
        <f>IFERROR(+VLOOKUP(Movimientos_2026[[#This Row],[Codigo]],Plan_cuentas[],4,FALSE)," ")</f>
        <v xml:space="preserve"> </v>
      </c>
      <c r="H4709" t="str">
        <f>IFERROR(+VLOOKUP(Movimientos_2026[[#This Row],[Codigo]],Plan_cuentas[],5,FALSE)," ")</f>
        <v xml:space="preserve"> </v>
      </c>
      <c r="I4709" s="43"/>
      <c r="K4709" t="str">
        <f>IFERROR(+VLOOKUP(Movimientos_2026[[#This Row],[Codigo]],Plan_cuentas[],6,FALSE)," ")</f>
        <v xml:space="preserve"> </v>
      </c>
      <c r="L4709" s="50"/>
      <c r="M4709" s="50"/>
      <c r="N4709" s="20">
        <f>+Movimientos_2026[[#This Row],[Ingresos]]-Movimientos_2026[[#This Row],[Egresos]]</f>
        <v>0</v>
      </c>
      <c r="O4709" s="20">
        <f>+O4708+Movimientos_2026[[#This Row],[Neto]]</f>
        <v>4581558617.7962294</v>
      </c>
    </row>
    <row r="4710" spans="1:15" x14ac:dyDescent="0.25">
      <c r="A4710" s="13"/>
      <c r="B4710" s="12">
        <f>MONTH(Movimientos_2026[[#This Row],[Fecha]])</f>
        <v>1</v>
      </c>
      <c r="C4710" s="12" t="str">
        <f>VLOOKUP((WEEKDAY(Movimientos_2026[[#This Row],[Fecha]],2)),'5. Setup'!$D$6:$E$12,2,FALSE)</f>
        <v>Sab</v>
      </c>
      <c r="E4710" t="str">
        <f>IFERROR(+VLOOKUP(Movimientos_2026[[#This Row],[Codigo]],Plan_cuentas[],2,FALSE)," ")</f>
        <v xml:space="preserve"> </v>
      </c>
      <c r="F4710" t="str">
        <f>IFERROR(+VLOOKUP(Movimientos_2026[[#This Row],[Codigo]],Plan_cuentas[],3,FALSE)," ")</f>
        <v xml:space="preserve"> </v>
      </c>
      <c r="G4710" t="str">
        <f>IFERROR(+VLOOKUP(Movimientos_2026[[#This Row],[Codigo]],Plan_cuentas[],4,FALSE)," ")</f>
        <v xml:space="preserve"> </v>
      </c>
      <c r="H4710" t="str">
        <f>IFERROR(+VLOOKUP(Movimientos_2026[[#This Row],[Codigo]],Plan_cuentas[],5,FALSE)," ")</f>
        <v xml:space="preserve"> </v>
      </c>
      <c r="I4710" s="43"/>
      <c r="K4710" t="str">
        <f>IFERROR(+VLOOKUP(Movimientos_2026[[#This Row],[Codigo]],Plan_cuentas[],6,FALSE)," ")</f>
        <v xml:space="preserve"> </v>
      </c>
      <c r="L4710" s="50"/>
      <c r="M4710" s="50"/>
      <c r="N4710" s="20">
        <f>+Movimientos_2026[[#This Row],[Ingresos]]-Movimientos_2026[[#This Row],[Egresos]]</f>
        <v>0</v>
      </c>
      <c r="O4710" s="20">
        <f>+O4709+Movimientos_2026[[#This Row],[Neto]]</f>
        <v>4581558617.7962294</v>
      </c>
    </row>
    <row r="4711" spans="1:15" x14ac:dyDescent="0.25">
      <c r="A4711" s="13"/>
      <c r="B4711" s="12">
        <f>MONTH(Movimientos_2026[[#This Row],[Fecha]])</f>
        <v>1</v>
      </c>
      <c r="C4711" s="12" t="str">
        <f>VLOOKUP((WEEKDAY(Movimientos_2026[[#This Row],[Fecha]],2)),'5. Setup'!$D$6:$E$12,2,FALSE)</f>
        <v>Sab</v>
      </c>
      <c r="E4711" t="str">
        <f>IFERROR(+VLOOKUP(Movimientos_2026[[#This Row],[Codigo]],Plan_cuentas[],2,FALSE)," ")</f>
        <v xml:space="preserve"> </v>
      </c>
      <c r="F4711" t="str">
        <f>IFERROR(+VLOOKUP(Movimientos_2026[[#This Row],[Codigo]],Plan_cuentas[],3,FALSE)," ")</f>
        <v xml:space="preserve"> </v>
      </c>
      <c r="G4711" t="str">
        <f>IFERROR(+VLOOKUP(Movimientos_2026[[#This Row],[Codigo]],Plan_cuentas[],4,FALSE)," ")</f>
        <v xml:space="preserve"> </v>
      </c>
      <c r="H4711" t="str">
        <f>IFERROR(+VLOOKUP(Movimientos_2026[[#This Row],[Codigo]],Plan_cuentas[],5,FALSE)," ")</f>
        <v xml:space="preserve"> </v>
      </c>
      <c r="I4711" s="43"/>
      <c r="K4711" t="str">
        <f>IFERROR(+VLOOKUP(Movimientos_2026[[#This Row],[Codigo]],Plan_cuentas[],6,FALSE)," ")</f>
        <v xml:space="preserve"> </v>
      </c>
      <c r="L4711" s="50"/>
      <c r="M4711" s="50"/>
      <c r="N4711" s="20">
        <f>+Movimientos_2026[[#This Row],[Ingresos]]-Movimientos_2026[[#This Row],[Egresos]]</f>
        <v>0</v>
      </c>
      <c r="O4711" s="20">
        <f>+O4710+Movimientos_2026[[#This Row],[Neto]]</f>
        <v>4581558617.7962294</v>
      </c>
    </row>
    <row r="4712" spans="1:15" x14ac:dyDescent="0.25">
      <c r="A4712" s="13"/>
      <c r="B4712" s="12">
        <f>MONTH(Movimientos_2026[[#This Row],[Fecha]])</f>
        <v>1</v>
      </c>
      <c r="C4712" s="12" t="str">
        <f>VLOOKUP((WEEKDAY(Movimientos_2026[[#This Row],[Fecha]],2)),'5. Setup'!$D$6:$E$12,2,FALSE)</f>
        <v>Sab</v>
      </c>
      <c r="E4712" t="str">
        <f>IFERROR(+VLOOKUP(Movimientos_2026[[#This Row],[Codigo]],Plan_cuentas[],2,FALSE)," ")</f>
        <v xml:space="preserve"> </v>
      </c>
      <c r="F4712" t="str">
        <f>IFERROR(+VLOOKUP(Movimientos_2026[[#This Row],[Codigo]],Plan_cuentas[],3,FALSE)," ")</f>
        <v xml:space="preserve"> </v>
      </c>
      <c r="G4712" t="str">
        <f>IFERROR(+VLOOKUP(Movimientos_2026[[#This Row],[Codigo]],Plan_cuentas[],4,FALSE)," ")</f>
        <v xml:space="preserve"> </v>
      </c>
      <c r="H4712" t="str">
        <f>IFERROR(+VLOOKUP(Movimientos_2026[[#This Row],[Codigo]],Plan_cuentas[],5,FALSE)," ")</f>
        <v xml:space="preserve"> </v>
      </c>
      <c r="I4712" s="43"/>
      <c r="K4712" t="str">
        <f>IFERROR(+VLOOKUP(Movimientos_2026[[#This Row],[Codigo]],Plan_cuentas[],6,FALSE)," ")</f>
        <v xml:space="preserve"> </v>
      </c>
      <c r="L4712" s="50"/>
      <c r="M4712" s="50"/>
      <c r="N4712" s="20">
        <f>+Movimientos_2026[[#This Row],[Ingresos]]-Movimientos_2026[[#This Row],[Egresos]]</f>
        <v>0</v>
      </c>
      <c r="O4712" s="20">
        <f>+O4711+Movimientos_2026[[#This Row],[Neto]]</f>
        <v>4581558617.7962294</v>
      </c>
    </row>
    <row r="4713" spans="1:15" x14ac:dyDescent="0.25">
      <c r="A4713" s="13"/>
      <c r="B4713" s="12">
        <f>MONTH(Movimientos_2026[[#This Row],[Fecha]])</f>
        <v>1</v>
      </c>
      <c r="C4713" s="12" t="str">
        <f>VLOOKUP((WEEKDAY(Movimientos_2026[[#This Row],[Fecha]],2)),'5. Setup'!$D$6:$E$12,2,FALSE)</f>
        <v>Sab</v>
      </c>
      <c r="E4713" t="str">
        <f>IFERROR(+VLOOKUP(Movimientos_2026[[#This Row],[Codigo]],Plan_cuentas[],2,FALSE)," ")</f>
        <v xml:space="preserve"> </v>
      </c>
      <c r="F4713" t="str">
        <f>IFERROR(+VLOOKUP(Movimientos_2026[[#This Row],[Codigo]],Plan_cuentas[],3,FALSE)," ")</f>
        <v xml:space="preserve"> </v>
      </c>
      <c r="G4713" t="str">
        <f>IFERROR(+VLOOKUP(Movimientos_2026[[#This Row],[Codigo]],Plan_cuentas[],4,FALSE)," ")</f>
        <v xml:space="preserve"> </v>
      </c>
      <c r="H4713" t="str">
        <f>IFERROR(+VLOOKUP(Movimientos_2026[[#This Row],[Codigo]],Plan_cuentas[],5,FALSE)," ")</f>
        <v xml:space="preserve"> </v>
      </c>
      <c r="I4713" s="43"/>
      <c r="K4713" t="str">
        <f>IFERROR(+VLOOKUP(Movimientos_2026[[#This Row],[Codigo]],Plan_cuentas[],6,FALSE)," ")</f>
        <v xml:space="preserve"> </v>
      </c>
      <c r="L4713" s="50"/>
      <c r="M4713" s="50"/>
      <c r="N4713" s="20">
        <f>+Movimientos_2026[[#This Row],[Ingresos]]-Movimientos_2026[[#This Row],[Egresos]]</f>
        <v>0</v>
      </c>
      <c r="O4713" s="20">
        <f>+O4712+Movimientos_2026[[#This Row],[Neto]]</f>
        <v>4581558617.7962294</v>
      </c>
    </row>
    <row r="4714" spans="1:15" x14ac:dyDescent="0.25">
      <c r="A4714" s="13"/>
      <c r="B4714" s="12">
        <f>MONTH(Movimientos_2026[[#This Row],[Fecha]])</f>
        <v>1</v>
      </c>
      <c r="C4714" s="12" t="str">
        <f>VLOOKUP((WEEKDAY(Movimientos_2026[[#This Row],[Fecha]],2)),'5. Setup'!$D$6:$E$12,2,FALSE)</f>
        <v>Sab</v>
      </c>
      <c r="E4714" t="str">
        <f>IFERROR(+VLOOKUP(Movimientos_2026[[#This Row],[Codigo]],Plan_cuentas[],2,FALSE)," ")</f>
        <v xml:space="preserve"> </v>
      </c>
      <c r="F4714" t="str">
        <f>IFERROR(+VLOOKUP(Movimientos_2026[[#This Row],[Codigo]],Plan_cuentas[],3,FALSE)," ")</f>
        <v xml:space="preserve"> </v>
      </c>
      <c r="G4714" t="str">
        <f>IFERROR(+VLOOKUP(Movimientos_2026[[#This Row],[Codigo]],Plan_cuentas[],4,FALSE)," ")</f>
        <v xml:space="preserve"> </v>
      </c>
      <c r="H4714" t="str">
        <f>IFERROR(+VLOOKUP(Movimientos_2026[[#This Row],[Codigo]],Plan_cuentas[],5,FALSE)," ")</f>
        <v xml:space="preserve"> </v>
      </c>
      <c r="I4714" s="43"/>
      <c r="K4714" t="str">
        <f>IFERROR(+VLOOKUP(Movimientos_2026[[#This Row],[Codigo]],Plan_cuentas[],6,FALSE)," ")</f>
        <v xml:space="preserve"> </v>
      </c>
      <c r="L4714" s="50"/>
      <c r="M4714" s="50"/>
      <c r="N4714" s="20">
        <f>+Movimientos_2026[[#This Row],[Ingresos]]-Movimientos_2026[[#This Row],[Egresos]]</f>
        <v>0</v>
      </c>
      <c r="O4714" s="20">
        <f>+O4713+Movimientos_2026[[#This Row],[Neto]]</f>
        <v>4581558617.7962294</v>
      </c>
    </row>
    <row r="4715" spans="1:15" x14ac:dyDescent="0.25">
      <c r="A4715" s="13"/>
      <c r="B4715" s="12">
        <f>MONTH(Movimientos_2026[[#This Row],[Fecha]])</f>
        <v>1</v>
      </c>
      <c r="C4715" s="12" t="str">
        <f>VLOOKUP((WEEKDAY(Movimientos_2026[[#This Row],[Fecha]],2)),'5. Setup'!$D$6:$E$12,2,FALSE)</f>
        <v>Sab</v>
      </c>
      <c r="E4715" t="str">
        <f>IFERROR(+VLOOKUP(Movimientos_2026[[#This Row],[Codigo]],Plan_cuentas[],2,FALSE)," ")</f>
        <v xml:space="preserve"> </v>
      </c>
      <c r="F4715" t="str">
        <f>IFERROR(+VLOOKUP(Movimientos_2026[[#This Row],[Codigo]],Plan_cuentas[],3,FALSE)," ")</f>
        <v xml:space="preserve"> </v>
      </c>
      <c r="G4715" t="str">
        <f>IFERROR(+VLOOKUP(Movimientos_2026[[#This Row],[Codigo]],Plan_cuentas[],4,FALSE)," ")</f>
        <v xml:space="preserve"> </v>
      </c>
      <c r="H4715" t="str">
        <f>IFERROR(+VLOOKUP(Movimientos_2026[[#This Row],[Codigo]],Plan_cuentas[],5,FALSE)," ")</f>
        <v xml:space="preserve"> </v>
      </c>
      <c r="I4715" s="43"/>
      <c r="K4715" t="str">
        <f>IFERROR(+VLOOKUP(Movimientos_2026[[#This Row],[Codigo]],Plan_cuentas[],6,FALSE)," ")</f>
        <v xml:space="preserve"> </v>
      </c>
      <c r="L4715" s="50"/>
      <c r="M4715" s="50"/>
      <c r="N4715" s="20">
        <f>+Movimientos_2026[[#This Row],[Ingresos]]-Movimientos_2026[[#This Row],[Egresos]]</f>
        <v>0</v>
      </c>
      <c r="O4715" s="20">
        <f>+O4714+Movimientos_2026[[#This Row],[Neto]]</f>
        <v>4581558617.7962294</v>
      </c>
    </row>
    <row r="4716" spans="1:15" x14ac:dyDescent="0.25">
      <c r="A4716" s="13"/>
      <c r="B4716" s="12">
        <f>MONTH(Movimientos_2026[[#This Row],[Fecha]])</f>
        <v>1</v>
      </c>
      <c r="C4716" s="12" t="str">
        <f>VLOOKUP((WEEKDAY(Movimientos_2026[[#This Row],[Fecha]],2)),'5. Setup'!$D$6:$E$12,2,FALSE)</f>
        <v>Sab</v>
      </c>
      <c r="E4716" t="str">
        <f>IFERROR(+VLOOKUP(Movimientos_2026[[#This Row],[Codigo]],Plan_cuentas[],2,FALSE)," ")</f>
        <v xml:space="preserve"> </v>
      </c>
      <c r="F4716" t="str">
        <f>IFERROR(+VLOOKUP(Movimientos_2026[[#This Row],[Codigo]],Plan_cuentas[],3,FALSE)," ")</f>
        <v xml:space="preserve"> </v>
      </c>
      <c r="G4716" t="str">
        <f>IFERROR(+VLOOKUP(Movimientos_2026[[#This Row],[Codigo]],Plan_cuentas[],4,FALSE)," ")</f>
        <v xml:space="preserve"> </v>
      </c>
      <c r="H4716" t="str">
        <f>IFERROR(+VLOOKUP(Movimientos_2026[[#This Row],[Codigo]],Plan_cuentas[],5,FALSE)," ")</f>
        <v xml:space="preserve"> </v>
      </c>
      <c r="I4716" s="43"/>
      <c r="K4716" t="str">
        <f>IFERROR(+VLOOKUP(Movimientos_2026[[#This Row],[Codigo]],Plan_cuentas[],6,FALSE)," ")</f>
        <v xml:space="preserve"> </v>
      </c>
      <c r="L4716" s="50"/>
      <c r="M4716" s="50"/>
      <c r="N4716" s="20">
        <f>+Movimientos_2026[[#This Row],[Ingresos]]-Movimientos_2026[[#This Row],[Egresos]]</f>
        <v>0</v>
      </c>
      <c r="O4716" s="20">
        <f>+O4715+Movimientos_2026[[#This Row],[Neto]]</f>
        <v>4581558617.7962294</v>
      </c>
    </row>
    <row r="4717" spans="1:15" x14ac:dyDescent="0.25">
      <c r="A4717" s="13"/>
      <c r="B4717" s="12">
        <f>MONTH(Movimientos_2026[[#This Row],[Fecha]])</f>
        <v>1</v>
      </c>
      <c r="C4717" s="12" t="str">
        <f>VLOOKUP((WEEKDAY(Movimientos_2026[[#This Row],[Fecha]],2)),'5. Setup'!$D$6:$E$12,2,FALSE)</f>
        <v>Sab</v>
      </c>
      <c r="E4717" t="str">
        <f>IFERROR(+VLOOKUP(Movimientos_2026[[#This Row],[Codigo]],Plan_cuentas[],2,FALSE)," ")</f>
        <v xml:space="preserve"> </v>
      </c>
      <c r="F4717" t="str">
        <f>IFERROR(+VLOOKUP(Movimientos_2026[[#This Row],[Codigo]],Plan_cuentas[],3,FALSE)," ")</f>
        <v xml:space="preserve"> </v>
      </c>
      <c r="G4717" t="str">
        <f>IFERROR(+VLOOKUP(Movimientos_2026[[#This Row],[Codigo]],Plan_cuentas[],4,FALSE)," ")</f>
        <v xml:space="preserve"> </v>
      </c>
      <c r="H4717" t="str">
        <f>IFERROR(+VLOOKUP(Movimientos_2026[[#This Row],[Codigo]],Plan_cuentas[],5,FALSE)," ")</f>
        <v xml:space="preserve"> </v>
      </c>
      <c r="I4717" s="43"/>
      <c r="K4717" t="str">
        <f>IFERROR(+VLOOKUP(Movimientos_2026[[#This Row],[Codigo]],Plan_cuentas[],6,FALSE)," ")</f>
        <v xml:space="preserve"> </v>
      </c>
      <c r="L4717" s="50"/>
      <c r="M4717" s="50"/>
      <c r="N4717" s="20">
        <f>+Movimientos_2026[[#This Row],[Ingresos]]-Movimientos_2026[[#This Row],[Egresos]]</f>
        <v>0</v>
      </c>
      <c r="O4717" s="20">
        <f>+O4716+Movimientos_2026[[#This Row],[Neto]]</f>
        <v>4581558617.7962294</v>
      </c>
    </row>
    <row r="4718" spans="1:15" x14ac:dyDescent="0.25">
      <c r="A4718" s="13"/>
      <c r="B4718" s="12">
        <f>MONTH(Movimientos_2026[[#This Row],[Fecha]])</f>
        <v>1</v>
      </c>
      <c r="C4718" s="12" t="str">
        <f>VLOOKUP((WEEKDAY(Movimientos_2026[[#This Row],[Fecha]],2)),'5. Setup'!$D$6:$E$12,2,FALSE)</f>
        <v>Sab</v>
      </c>
      <c r="E4718" t="str">
        <f>IFERROR(+VLOOKUP(Movimientos_2026[[#This Row],[Codigo]],Plan_cuentas[],2,FALSE)," ")</f>
        <v xml:space="preserve"> </v>
      </c>
      <c r="F4718" t="str">
        <f>IFERROR(+VLOOKUP(Movimientos_2026[[#This Row],[Codigo]],Plan_cuentas[],3,FALSE)," ")</f>
        <v xml:space="preserve"> </v>
      </c>
      <c r="G4718" t="str">
        <f>IFERROR(+VLOOKUP(Movimientos_2026[[#This Row],[Codigo]],Plan_cuentas[],4,FALSE)," ")</f>
        <v xml:space="preserve"> </v>
      </c>
      <c r="H4718" t="str">
        <f>IFERROR(+VLOOKUP(Movimientos_2026[[#This Row],[Codigo]],Plan_cuentas[],5,FALSE)," ")</f>
        <v xml:space="preserve"> </v>
      </c>
      <c r="I4718" s="43"/>
      <c r="K4718" t="str">
        <f>IFERROR(+VLOOKUP(Movimientos_2026[[#This Row],[Codigo]],Plan_cuentas[],6,FALSE)," ")</f>
        <v xml:space="preserve"> </v>
      </c>
      <c r="L4718" s="50"/>
      <c r="M4718" s="50"/>
      <c r="N4718" s="20">
        <f>+Movimientos_2026[[#This Row],[Ingresos]]-Movimientos_2026[[#This Row],[Egresos]]</f>
        <v>0</v>
      </c>
      <c r="O4718" s="20">
        <f>+O4717+Movimientos_2026[[#This Row],[Neto]]</f>
        <v>4581558617.7962294</v>
      </c>
    </row>
    <row r="4719" spans="1:15" x14ac:dyDescent="0.25">
      <c r="A4719" s="13"/>
      <c r="B4719" s="12">
        <f>MONTH(Movimientos_2026[[#This Row],[Fecha]])</f>
        <v>1</v>
      </c>
      <c r="C4719" s="12" t="str">
        <f>VLOOKUP((WEEKDAY(Movimientos_2026[[#This Row],[Fecha]],2)),'5. Setup'!$D$6:$E$12,2,FALSE)</f>
        <v>Sab</v>
      </c>
      <c r="E4719" t="str">
        <f>IFERROR(+VLOOKUP(Movimientos_2026[[#This Row],[Codigo]],Plan_cuentas[],2,FALSE)," ")</f>
        <v xml:space="preserve"> </v>
      </c>
      <c r="F4719" t="str">
        <f>IFERROR(+VLOOKUP(Movimientos_2026[[#This Row],[Codigo]],Plan_cuentas[],3,FALSE)," ")</f>
        <v xml:space="preserve"> </v>
      </c>
      <c r="G4719" t="str">
        <f>IFERROR(+VLOOKUP(Movimientos_2026[[#This Row],[Codigo]],Plan_cuentas[],4,FALSE)," ")</f>
        <v xml:space="preserve"> </v>
      </c>
      <c r="H4719" t="str">
        <f>IFERROR(+VLOOKUP(Movimientos_2026[[#This Row],[Codigo]],Plan_cuentas[],5,FALSE)," ")</f>
        <v xml:space="preserve"> </v>
      </c>
      <c r="I4719" s="43"/>
      <c r="K4719" t="str">
        <f>IFERROR(+VLOOKUP(Movimientos_2026[[#This Row],[Codigo]],Plan_cuentas[],6,FALSE)," ")</f>
        <v xml:space="preserve"> </v>
      </c>
      <c r="L4719" s="50"/>
      <c r="M4719" s="50"/>
      <c r="N4719" s="20">
        <f>+Movimientos_2026[[#This Row],[Ingresos]]-Movimientos_2026[[#This Row],[Egresos]]</f>
        <v>0</v>
      </c>
      <c r="O4719" s="20">
        <f>+O4718+Movimientos_2026[[#This Row],[Neto]]</f>
        <v>4581558617.7962294</v>
      </c>
    </row>
    <row r="4720" spans="1:15" x14ac:dyDescent="0.25">
      <c r="A4720" s="13"/>
      <c r="B4720" s="12">
        <f>MONTH(Movimientos_2026[[#This Row],[Fecha]])</f>
        <v>1</v>
      </c>
      <c r="C4720" s="12" t="str">
        <f>VLOOKUP((WEEKDAY(Movimientos_2026[[#This Row],[Fecha]],2)),'5. Setup'!$D$6:$E$12,2,FALSE)</f>
        <v>Sab</v>
      </c>
      <c r="E4720" t="str">
        <f>IFERROR(+VLOOKUP(Movimientos_2026[[#This Row],[Codigo]],Plan_cuentas[],2,FALSE)," ")</f>
        <v xml:space="preserve"> </v>
      </c>
      <c r="F4720" t="str">
        <f>IFERROR(+VLOOKUP(Movimientos_2026[[#This Row],[Codigo]],Plan_cuentas[],3,FALSE)," ")</f>
        <v xml:space="preserve"> </v>
      </c>
      <c r="G4720" t="str">
        <f>IFERROR(+VLOOKUP(Movimientos_2026[[#This Row],[Codigo]],Plan_cuentas[],4,FALSE)," ")</f>
        <v xml:space="preserve"> </v>
      </c>
      <c r="H4720" t="str">
        <f>IFERROR(+VLOOKUP(Movimientos_2026[[#This Row],[Codigo]],Plan_cuentas[],5,FALSE)," ")</f>
        <v xml:space="preserve"> </v>
      </c>
      <c r="I4720" s="43"/>
      <c r="K4720" t="str">
        <f>IFERROR(+VLOOKUP(Movimientos_2026[[#This Row],[Codigo]],Plan_cuentas[],6,FALSE)," ")</f>
        <v xml:space="preserve"> </v>
      </c>
      <c r="L4720" s="50"/>
      <c r="M4720" s="50"/>
      <c r="N4720" s="20">
        <f>+Movimientos_2026[[#This Row],[Ingresos]]-Movimientos_2026[[#This Row],[Egresos]]</f>
        <v>0</v>
      </c>
      <c r="O4720" s="20">
        <f>+O4719+Movimientos_2026[[#This Row],[Neto]]</f>
        <v>4581558617.7962294</v>
      </c>
    </row>
    <row r="4721" spans="1:15" x14ac:dyDescent="0.25">
      <c r="A4721" s="13"/>
      <c r="B4721" s="12">
        <f>MONTH(Movimientos_2026[[#This Row],[Fecha]])</f>
        <v>1</v>
      </c>
      <c r="C4721" s="12" t="str">
        <f>VLOOKUP((WEEKDAY(Movimientos_2026[[#This Row],[Fecha]],2)),'5. Setup'!$D$6:$E$12,2,FALSE)</f>
        <v>Sab</v>
      </c>
      <c r="E4721" t="str">
        <f>IFERROR(+VLOOKUP(Movimientos_2026[[#This Row],[Codigo]],Plan_cuentas[],2,FALSE)," ")</f>
        <v xml:space="preserve"> </v>
      </c>
      <c r="F4721" t="str">
        <f>IFERROR(+VLOOKUP(Movimientos_2026[[#This Row],[Codigo]],Plan_cuentas[],3,FALSE)," ")</f>
        <v xml:space="preserve"> </v>
      </c>
      <c r="G4721" t="str">
        <f>IFERROR(+VLOOKUP(Movimientos_2026[[#This Row],[Codigo]],Plan_cuentas[],4,FALSE)," ")</f>
        <v xml:space="preserve"> </v>
      </c>
      <c r="H4721" t="str">
        <f>IFERROR(+VLOOKUP(Movimientos_2026[[#This Row],[Codigo]],Plan_cuentas[],5,FALSE)," ")</f>
        <v xml:space="preserve"> </v>
      </c>
      <c r="I4721" s="43"/>
      <c r="K4721" t="str">
        <f>IFERROR(+VLOOKUP(Movimientos_2026[[#This Row],[Codigo]],Plan_cuentas[],6,FALSE)," ")</f>
        <v xml:space="preserve"> </v>
      </c>
      <c r="L4721" s="50"/>
      <c r="M4721" s="50"/>
      <c r="N4721" s="20">
        <f>+Movimientos_2026[[#This Row],[Ingresos]]-Movimientos_2026[[#This Row],[Egresos]]</f>
        <v>0</v>
      </c>
      <c r="O4721" s="20">
        <f>+O4720+Movimientos_2026[[#This Row],[Neto]]</f>
        <v>4581558617.7962294</v>
      </c>
    </row>
    <row r="4722" spans="1:15" x14ac:dyDescent="0.25">
      <c r="A4722" s="13"/>
      <c r="B4722" s="12">
        <f>MONTH(Movimientos_2026[[#This Row],[Fecha]])</f>
        <v>1</v>
      </c>
      <c r="C4722" s="12" t="str">
        <f>VLOOKUP((WEEKDAY(Movimientos_2026[[#This Row],[Fecha]],2)),'5. Setup'!$D$6:$E$12,2,FALSE)</f>
        <v>Sab</v>
      </c>
      <c r="E4722" t="str">
        <f>IFERROR(+VLOOKUP(Movimientos_2026[[#This Row],[Codigo]],Plan_cuentas[],2,FALSE)," ")</f>
        <v xml:space="preserve"> </v>
      </c>
      <c r="F4722" t="str">
        <f>IFERROR(+VLOOKUP(Movimientos_2026[[#This Row],[Codigo]],Plan_cuentas[],3,FALSE)," ")</f>
        <v xml:space="preserve"> </v>
      </c>
      <c r="G4722" t="str">
        <f>IFERROR(+VLOOKUP(Movimientos_2026[[#This Row],[Codigo]],Plan_cuentas[],4,FALSE)," ")</f>
        <v xml:space="preserve"> </v>
      </c>
      <c r="H4722" t="str">
        <f>IFERROR(+VLOOKUP(Movimientos_2026[[#This Row],[Codigo]],Plan_cuentas[],5,FALSE)," ")</f>
        <v xml:space="preserve"> </v>
      </c>
      <c r="I4722" s="43"/>
      <c r="K4722" t="str">
        <f>IFERROR(+VLOOKUP(Movimientos_2026[[#This Row],[Codigo]],Plan_cuentas[],6,FALSE)," ")</f>
        <v xml:space="preserve"> </v>
      </c>
      <c r="L4722" s="50"/>
      <c r="M4722" s="50"/>
      <c r="N4722" s="20">
        <f>+Movimientos_2026[[#This Row],[Ingresos]]-Movimientos_2026[[#This Row],[Egresos]]</f>
        <v>0</v>
      </c>
      <c r="O4722" s="20">
        <f>+O4721+Movimientos_2026[[#This Row],[Neto]]</f>
        <v>4581558617.7962294</v>
      </c>
    </row>
    <row r="4723" spans="1:15" x14ac:dyDescent="0.25">
      <c r="A4723" s="13"/>
      <c r="B4723" s="12">
        <f>MONTH(Movimientos_2026[[#This Row],[Fecha]])</f>
        <v>1</v>
      </c>
      <c r="C4723" s="12" t="str">
        <f>VLOOKUP((WEEKDAY(Movimientos_2026[[#This Row],[Fecha]],2)),'5. Setup'!$D$6:$E$12,2,FALSE)</f>
        <v>Sab</v>
      </c>
      <c r="E4723" t="str">
        <f>IFERROR(+VLOOKUP(Movimientos_2026[[#This Row],[Codigo]],Plan_cuentas[],2,FALSE)," ")</f>
        <v xml:space="preserve"> </v>
      </c>
      <c r="F4723" t="str">
        <f>IFERROR(+VLOOKUP(Movimientos_2026[[#This Row],[Codigo]],Plan_cuentas[],3,FALSE)," ")</f>
        <v xml:space="preserve"> </v>
      </c>
      <c r="G4723" t="str">
        <f>IFERROR(+VLOOKUP(Movimientos_2026[[#This Row],[Codigo]],Plan_cuentas[],4,FALSE)," ")</f>
        <v xml:space="preserve"> </v>
      </c>
      <c r="H4723" t="str">
        <f>IFERROR(+VLOOKUP(Movimientos_2026[[#This Row],[Codigo]],Plan_cuentas[],5,FALSE)," ")</f>
        <v xml:space="preserve"> </v>
      </c>
      <c r="I4723" s="43"/>
      <c r="K4723" t="str">
        <f>IFERROR(+VLOOKUP(Movimientos_2026[[#This Row],[Codigo]],Plan_cuentas[],6,FALSE)," ")</f>
        <v xml:space="preserve"> </v>
      </c>
      <c r="L4723" s="50"/>
      <c r="M4723" s="50"/>
      <c r="N4723" s="20">
        <f>+Movimientos_2026[[#This Row],[Ingresos]]-Movimientos_2026[[#This Row],[Egresos]]</f>
        <v>0</v>
      </c>
      <c r="O4723" s="20">
        <f>+O4722+Movimientos_2026[[#This Row],[Neto]]</f>
        <v>4581558617.7962294</v>
      </c>
    </row>
    <row r="4724" spans="1:15" x14ac:dyDescent="0.25">
      <c r="A4724" s="13"/>
      <c r="B4724" s="12">
        <f>MONTH(Movimientos_2026[[#This Row],[Fecha]])</f>
        <v>1</v>
      </c>
      <c r="C4724" s="12" t="str">
        <f>VLOOKUP((WEEKDAY(Movimientos_2026[[#This Row],[Fecha]],2)),'5. Setup'!$D$6:$E$12,2,FALSE)</f>
        <v>Sab</v>
      </c>
      <c r="E4724" t="str">
        <f>IFERROR(+VLOOKUP(Movimientos_2026[[#This Row],[Codigo]],Plan_cuentas[],2,FALSE)," ")</f>
        <v xml:space="preserve"> </v>
      </c>
      <c r="F4724" t="str">
        <f>IFERROR(+VLOOKUP(Movimientos_2026[[#This Row],[Codigo]],Plan_cuentas[],3,FALSE)," ")</f>
        <v xml:space="preserve"> </v>
      </c>
      <c r="G4724" t="str">
        <f>IFERROR(+VLOOKUP(Movimientos_2026[[#This Row],[Codigo]],Plan_cuentas[],4,FALSE)," ")</f>
        <v xml:space="preserve"> </v>
      </c>
      <c r="H4724" t="str">
        <f>IFERROR(+VLOOKUP(Movimientos_2026[[#This Row],[Codigo]],Plan_cuentas[],5,FALSE)," ")</f>
        <v xml:space="preserve"> </v>
      </c>
      <c r="I4724" s="43"/>
      <c r="K4724" t="str">
        <f>IFERROR(+VLOOKUP(Movimientos_2026[[#This Row],[Codigo]],Plan_cuentas[],6,FALSE)," ")</f>
        <v xml:space="preserve"> </v>
      </c>
      <c r="L4724" s="50"/>
      <c r="M4724" s="50"/>
      <c r="N4724" s="20">
        <f>+Movimientos_2026[[#This Row],[Ingresos]]-Movimientos_2026[[#This Row],[Egresos]]</f>
        <v>0</v>
      </c>
      <c r="O4724" s="20">
        <f>+O4723+Movimientos_2026[[#This Row],[Neto]]</f>
        <v>4581558617.7962294</v>
      </c>
    </row>
    <row r="4725" spans="1:15" x14ac:dyDescent="0.25">
      <c r="A4725" s="13"/>
      <c r="B4725" s="12">
        <f>MONTH(Movimientos_2026[[#This Row],[Fecha]])</f>
        <v>1</v>
      </c>
      <c r="C4725" s="12" t="str">
        <f>VLOOKUP((WEEKDAY(Movimientos_2026[[#This Row],[Fecha]],2)),'5. Setup'!$D$6:$E$12,2,FALSE)</f>
        <v>Sab</v>
      </c>
      <c r="E4725" t="str">
        <f>IFERROR(+VLOOKUP(Movimientos_2026[[#This Row],[Codigo]],Plan_cuentas[],2,FALSE)," ")</f>
        <v xml:space="preserve"> </v>
      </c>
      <c r="F4725" t="str">
        <f>IFERROR(+VLOOKUP(Movimientos_2026[[#This Row],[Codigo]],Plan_cuentas[],3,FALSE)," ")</f>
        <v xml:space="preserve"> </v>
      </c>
      <c r="G4725" t="str">
        <f>IFERROR(+VLOOKUP(Movimientos_2026[[#This Row],[Codigo]],Plan_cuentas[],4,FALSE)," ")</f>
        <v xml:space="preserve"> </v>
      </c>
      <c r="H4725" t="str">
        <f>IFERROR(+VLOOKUP(Movimientos_2026[[#This Row],[Codigo]],Plan_cuentas[],5,FALSE)," ")</f>
        <v xml:space="preserve"> </v>
      </c>
      <c r="I4725" s="43"/>
      <c r="K4725" t="str">
        <f>IFERROR(+VLOOKUP(Movimientos_2026[[#This Row],[Codigo]],Plan_cuentas[],6,FALSE)," ")</f>
        <v xml:space="preserve"> </v>
      </c>
      <c r="L4725" s="50"/>
      <c r="M4725" s="50"/>
      <c r="N4725" s="20">
        <f>+Movimientos_2026[[#This Row],[Ingresos]]-Movimientos_2026[[#This Row],[Egresos]]</f>
        <v>0</v>
      </c>
      <c r="O4725" s="20">
        <f>+O4724+Movimientos_2026[[#This Row],[Neto]]</f>
        <v>4581558617.7962294</v>
      </c>
    </row>
    <row r="4726" spans="1:15" x14ac:dyDescent="0.25">
      <c r="A4726" s="13"/>
      <c r="B4726" s="12">
        <f>MONTH(Movimientos_2026[[#This Row],[Fecha]])</f>
        <v>1</v>
      </c>
      <c r="C4726" s="12" t="str">
        <f>VLOOKUP((WEEKDAY(Movimientos_2026[[#This Row],[Fecha]],2)),'5. Setup'!$D$6:$E$12,2,FALSE)</f>
        <v>Sab</v>
      </c>
      <c r="E4726" t="str">
        <f>IFERROR(+VLOOKUP(Movimientos_2026[[#This Row],[Codigo]],Plan_cuentas[],2,FALSE)," ")</f>
        <v xml:space="preserve"> </v>
      </c>
      <c r="F4726" t="str">
        <f>IFERROR(+VLOOKUP(Movimientos_2026[[#This Row],[Codigo]],Plan_cuentas[],3,FALSE)," ")</f>
        <v xml:space="preserve"> </v>
      </c>
      <c r="G4726" t="str">
        <f>IFERROR(+VLOOKUP(Movimientos_2026[[#This Row],[Codigo]],Plan_cuentas[],4,FALSE)," ")</f>
        <v xml:space="preserve"> </v>
      </c>
      <c r="H4726" t="str">
        <f>IFERROR(+VLOOKUP(Movimientos_2026[[#This Row],[Codigo]],Plan_cuentas[],5,FALSE)," ")</f>
        <v xml:space="preserve"> </v>
      </c>
      <c r="I4726" s="43"/>
      <c r="K4726" t="str">
        <f>IFERROR(+VLOOKUP(Movimientos_2026[[#This Row],[Codigo]],Plan_cuentas[],6,FALSE)," ")</f>
        <v xml:space="preserve"> </v>
      </c>
      <c r="L4726" s="50"/>
      <c r="M4726" s="50"/>
      <c r="N4726" s="20">
        <f>+Movimientos_2026[[#This Row],[Ingresos]]-Movimientos_2026[[#This Row],[Egresos]]</f>
        <v>0</v>
      </c>
      <c r="O4726" s="20">
        <f>+O4725+Movimientos_2026[[#This Row],[Neto]]</f>
        <v>4581558617.7962294</v>
      </c>
    </row>
    <row r="4727" spans="1:15" x14ac:dyDescent="0.25">
      <c r="A4727" s="13"/>
      <c r="B4727" s="12">
        <f>MONTH(Movimientos_2026[[#This Row],[Fecha]])</f>
        <v>1</v>
      </c>
      <c r="C4727" s="12" t="str">
        <f>VLOOKUP((WEEKDAY(Movimientos_2026[[#This Row],[Fecha]],2)),'5. Setup'!$D$6:$E$12,2,FALSE)</f>
        <v>Sab</v>
      </c>
      <c r="E4727" t="str">
        <f>IFERROR(+VLOOKUP(Movimientos_2026[[#This Row],[Codigo]],Plan_cuentas[],2,FALSE)," ")</f>
        <v xml:space="preserve"> </v>
      </c>
      <c r="F4727" t="str">
        <f>IFERROR(+VLOOKUP(Movimientos_2026[[#This Row],[Codigo]],Plan_cuentas[],3,FALSE)," ")</f>
        <v xml:space="preserve"> </v>
      </c>
      <c r="G4727" t="str">
        <f>IFERROR(+VLOOKUP(Movimientos_2026[[#This Row],[Codigo]],Plan_cuentas[],4,FALSE)," ")</f>
        <v xml:space="preserve"> </v>
      </c>
      <c r="H4727" t="str">
        <f>IFERROR(+VLOOKUP(Movimientos_2026[[#This Row],[Codigo]],Plan_cuentas[],5,FALSE)," ")</f>
        <v xml:space="preserve"> </v>
      </c>
      <c r="I4727" s="43"/>
      <c r="K4727" t="str">
        <f>IFERROR(+VLOOKUP(Movimientos_2026[[#This Row],[Codigo]],Plan_cuentas[],6,FALSE)," ")</f>
        <v xml:space="preserve"> </v>
      </c>
      <c r="L4727" s="50"/>
      <c r="M4727" s="50"/>
      <c r="N4727" s="20">
        <f>+Movimientos_2026[[#This Row],[Ingresos]]-Movimientos_2026[[#This Row],[Egresos]]</f>
        <v>0</v>
      </c>
      <c r="O4727" s="20">
        <f>+O4726+Movimientos_2026[[#This Row],[Neto]]</f>
        <v>4581558617.7962294</v>
      </c>
    </row>
    <row r="4728" spans="1:15" x14ac:dyDescent="0.25">
      <c r="A4728" s="13"/>
      <c r="B4728" s="12">
        <f>MONTH(Movimientos_2026[[#This Row],[Fecha]])</f>
        <v>1</v>
      </c>
      <c r="C4728" s="12" t="str">
        <f>VLOOKUP((WEEKDAY(Movimientos_2026[[#This Row],[Fecha]],2)),'5. Setup'!$D$6:$E$12,2,FALSE)</f>
        <v>Sab</v>
      </c>
      <c r="E4728" t="str">
        <f>IFERROR(+VLOOKUP(Movimientos_2026[[#This Row],[Codigo]],Plan_cuentas[],2,FALSE)," ")</f>
        <v xml:space="preserve"> </v>
      </c>
      <c r="F4728" t="str">
        <f>IFERROR(+VLOOKUP(Movimientos_2026[[#This Row],[Codigo]],Plan_cuentas[],3,FALSE)," ")</f>
        <v xml:space="preserve"> </v>
      </c>
      <c r="G4728" t="str">
        <f>IFERROR(+VLOOKUP(Movimientos_2026[[#This Row],[Codigo]],Plan_cuentas[],4,FALSE)," ")</f>
        <v xml:space="preserve"> </v>
      </c>
      <c r="H4728" t="str">
        <f>IFERROR(+VLOOKUP(Movimientos_2026[[#This Row],[Codigo]],Plan_cuentas[],5,FALSE)," ")</f>
        <v xml:space="preserve"> </v>
      </c>
      <c r="I4728" s="43"/>
      <c r="K4728" t="str">
        <f>IFERROR(+VLOOKUP(Movimientos_2026[[#This Row],[Codigo]],Plan_cuentas[],6,FALSE)," ")</f>
        <v xml:space="preserve"> </v>
      </c>
      <c r="L4728" s="50"/>
      <c r="M4728" s="50"/>
      <c r="N4728" s="20">
        <f>+Movimientos_2026[[#This Row],[Ingresos]]-Movimientos_2026[[#This Row],[Egresos]]</f>
        <v>0</v>
      </c>
      <c r="O4728" s="20">
        <f>+O4727+Movimientos_2026[[#This Row],[Neto]]</f>
        <v>4581558617.7962294</v>
      </c>
    </row>
    <row r="4729" spans="1:15" x14ac:dyDescent="0.25">
      <c r="A4729" s="13"/>
      <c r="B4729" s="12">
        <f>MONTH(Movimientos_2026[[#This Row],[Fecha]])</f>
        <v>1</v>
      </c>
      <c r="C4729" s="12" t="str">
        <f>VLOOKUP((WEEKDAY(Movimientos_2026[[#This Row],[Fecha]],2)),'5. Setup'!$D$6:$E$12,2,FALSE)</f>
        <v>Sab</v>
      </c>
      <c r="E4729" t="str">
        <f>IFERROR(+VLOOKUP(Movimientos_2026[[#This Row],[Codigo]],Plan_cuentas[],2,FALSE)," ")</f>
        <v xml:space="preserve"> </v>
      </c>
      <c r="F4729" t="str">
        <f>IFERROR(+VLOOKUP(Movimientos_2026[[#This Row],[Codigo]],Plan_cuentas[],3,FALSE)," ")</f>
        <v xml:space="preserve"> </v>
      </c>
      <c r="G4729" t="str">
        <f>IFERROR(+VLOOKUP(Movimientos_2026[[#This Row],[Codigo]],Plan_cuentas[],4,FALSE)," ")</f>
        <v xml:space="preserve"> </v>
      </c>
      <c r="H4729" t="str">
        <f>IFERROR(+VLOOKUP(Movimientos_2026[[#This Row],[Codigo]],Plan_cuentas[],5,FALSE)," ")</f>
        <v xml:space="preserve"> </v>
      </c>
      <c r="I4729" s="43"/>
      <c r="K4729" t="str">
        <f>IFERROR(+VLOOKUP(Movimientos_2026[[#This Row],[Codigo]],Plan_cuentas[],6,FALSE)," ")</f>
        <v xml:space="preserve"> </v>
      </c>
      <c r="L4729" s="50"/>
      <c r="M4729" s="50"/>
      <c r="N4729" s="20">
        <f>+Movimientos_2026[[#This Row],[Ingresos]]-Movimientos_2026[[#This Row],[Egresos]]</f>
        <v>0</v>
      </c>
      <c r="O4729" s="20">
        <f>+O4728+Movimientos_2026[[#This Row],[Neto]]</f>
        <v>4581558617.7962294</v>
      </c>
    </row>
    <row r="4730" spans="1:15" x14ac:dyDescent="0.25">
      <c r="A4730" s="13"/>
      <c r="B4730" s="12">
        <f>MONTH(Movimientos_2026[[#This Row],[Fecha]])</f>
        <v>1</v>
      </c>
      <c r="C4730" s="12" t="str">
        <f>VLOOKUP((WEEKDAY(Movimientos_2026[[#This Row],[Fecha]],2)),'5. Setup'!$D$6:$E$12,2,FALSE)</f>
        <v>Sab</v>
      </c>
      <c r="E4730" t="str">
        <f>IFERROR(+VLOOKUP(Movimientos_2026[[#This Row],[Codigo]],Plan_cuentas[],2,FALSE)," ")</f>
        <v xml:space="preserve"> </v>
      </c>
      <c r="F4730" t="str">
        <f>IFERROR(+VLOOKUP(Movimientos_2026[[#This Row],[Codigo]],Plan_cuentas[],3,FALSE)," ")</f>
        <v xml:space="preserve"> </v>
      </c>
      <c r="G4730" t="str">
        <f>IFERROR(+VLOOKUP(Movimientos_2026[[#This Row],[Codigo]],Plan_cuentas[],4,FALSE)," ")</f>
        <v xml:space="preserve"> </v>
      </c>
      <c r="H4730" t="str">
        <f>IFERROR(+VLOOKUP(Movimientos_2026[[#This Row],[Codigo]],Plan_cuentas[],5,FALSE)," ")</f>
        <v xml:space="preserve"> </v>
      </c>
      <c r="I4730" s="43"/>
      <c r="K4730" t="str">
        <f>IFERROR(+VLOOKUP(Movimientos_2026[[#This Row],[Codigo]],Plan_cuentas[],6,FALSE)," ")</f>
        <v xml:space="preserve"> </v>
      </c>
      <c r="L4730" s="50"/>
      <c r="M4730" s="50"/>
      <c r="N4730" s="20">
        <f>+Movimientos_2026[[#This Row],[Ingresos]]-Movimientos_2026[[#This Row],[Egresos]]</f>
        <v>0</v>
      </c>
      <c r="O4730" s="20">
        <f>+O4729+Movimientos_2026[[#This Row],[Neto]]</f>
        <v>4581558617.7962294</v>
      </c>
    </row>
    <row r="4731" spans="1:15" x14ac:dyDescent="0.25">
      <c r="A4731" s="13"/>
      <c r="B4731" s="12">
        <f>MONTH(Movimientos_2026[[#This Row],[Fecha]])</f>
        <v>1</v>
      </c>
      <c r="C4731" s="12" t="str">
        <f>VLOOKUP((WEEKDAY(Movimientos_2026[[#This Row],[Fecha]],2)),'5. Setup'!$D$6:$E$12,2,FALSE)</f>
        <v>Sab</v>
      </c>
      <c r="E4731" t="str">
        <f>IFERROR(+VLOOKUP(Movimientos_2026[[#This Row],[Codigo]],Plan_cuentas[],2,FALSE)," ")</f>
        <v xml:space="preserve"> </v>
      </c>
      <c r="F4731" t="str">
        <f>IFERROR(+VLOOKUP(Movimientos_2026[[#This Row],[Codigo]],Plan_cuentas[],3,FALSE)," ")</f>
        <v xml:space="preserve"> </v>
      </c>
      <c r="G4731" t="str">
        <f>IFERROR(+VLOOKUP(Movimientos_2026[[#This Row],[Codigo]],Plan_cuentas[],4,FALSE)," ")</f>
        <v xml:space="preserve"> </v>
      </c>
      <c r="H4731" t="str">
        <f>IFERROR(+VLOOKUP(Movimientos_2026[[#This Row],[Codigo]],Plan_cuentas[],5,FALSE)," ")</f>
        <v xml:space="preserve"> </v>
      </c>
      <c r="I4731" s="43"/>
      <c r="K4731" t="str">
        <f>IFERROR(+VLOOKUP(Movimientos_2026[[#This Row],[Codigo]],Plan_cuentas[],6,FALSE)," ")</f>
        <v xml:space="preserve"> </v>
      </c>
      <c r="L4731" s="50"/>
      <c r="M4731" s="50"/>
      <c r="N4731" s="20">
        <f>+Movimientos_2026[[#This Row],[Ingresos]]-Movimientos_2026[[#This Row],[Egresos]]</f>
        <v>0</v>
      </c>
      <c r="O4731" s="20">
        <f>+O4730+Movimientos_2026[[#This Row],[Neto]]</f>
        <v>4581558617.7962294</v>
      </c>
    </row>
    <row r="4732" spans="1:15" x14ac:dyDescent="0.25">
      <c r="A4732" s="13"/>
      <c r="B4732" s="12">
        <f>MONTH(Movimientos_2026[[#This Row],[Fecha]])</f>
        <v>1</v>
      </c>
      <c r="C4732" s="12" t="str">
        <f>VLOOKUP((WEEKDAY(Movimientos_2026[[#This Row],[Fecha]],2)),'5. Setup'!$D$6:$E$12,2,FALSE)</f>
        <v>Sab</v>
      </c>
      <c r="E4732" t="str">
        <f>IFERROR(+VLOOKUP(Movimientos_2026[[#This Row],[Codigo]],Plan_cuentas[],2,FALSE)," ")</f>
        <v xml:space="preserve"> </v>
      </c>
      <c r="F4732" t="str">
        <f>IFERROR(+VLOOKUP(Movimientos_2026[[#This Row],[Codigo]],Plan_cuentas[],3,FALSE)," ")</f>
        <v xml:space="preserve"> </v>
      </c>
      <c r="G4732" t="str">
        <f>IFERROR(+VLOOKUP(Movimientos_2026[[#This Row],[Codigo]],Plan_cuentas[],4,FALSE)," ")</f>
        <v xml:space="preserve"> </v>
      </c>
      <c r="H4732" t="str">
        <f>IFERROR(+VLOOKUP(Movimientos_2026[[#This Row],[Codigo]],Plan_cuentas[],5,FALSE)," ")</f>
        <v xml:space="preserve"> </v>
      </c>
      <c r="I4732" s="43"/>
      <c r="K4732" t="str">
        <f>IFERROR(+VLOOKUP(Movimientos_2026[[#This Row],[Codigo]],Plan_cuentas[],6,FALSE)," ")</f>
        <v xml:space="preserve"> </v>
      </c>
      <c r="L4732" s="50"/>
      <c r="M4732" s="50"/>
      <c r="N4732" s="20">
        <f>+Movimientos_2026[[#This Row],[Ingresos]]-Movimientos_2026[[#This Row],[Egresos]]</f>
        <v>0</v>
      </c>
      <c r="O4732" s="20">
        <f>+O4731+Movimientos_2026[[#This Row],[Neto]]</f>
        <v>4581558617.7962294</v>
      </c>
    </row>
    <row r="4733" spans="1:15" x14ac:dyDescent="0.25">
      <c r="A4733" s="13"/>
      <c r="B4733" s="12">
        <f>MONTH(Movimientos_2026[[#This Row],[Fecha]])</f>
        <v>1</v>
      </c>
      <c r="C4733" s="12" t="str">
        <f>VLOOKUP((WEEKDAY(Movimientos_2026[[#This Row],[Fecha]],2)),'5. Setup'!$D$6:$E$12,2,FALSE)</f>
        <v>Sab</v>
      </c>
      <c r="E4733" t="str">
        <f>IFERROR(+VLOOKUP(Movimientos_2026[[#This Row],[Codigo]],Plan_cuentas[],2,FALSE)," ")</f>
        <v xml:space="preserve"> </v>
      </c>
      <c r="F4733" t="str">
        <f>IFERROR(+VLOOKUP(Movimientos_2026[[#This Row],[Codigo]],Plan_cuentas[],3,FALSE)," ")</f>
        <v xml:space="preserve"> </v>
      </c>
      <c r="G4733" t="str">
        <f>IFERROR(+VLOOKUP(Movimientos_2026[[#This Row],[Codigo]],Plan_cuentas[],4,FALSE)," ")</f>
        <v xml:space="preserve"> </v>
      </c>
      <c r="H4733" t="str">
        <f>IFERROR(+VLOOKUP(Movimientos_2026[[#This Row],[Codigo]],Plan_cuentas[],5,FALSE)," ")</f>
        <v xml:space="preserve"> </v>
      </c>
      <c r="I4733" s="43"/>
      <c r="K4733" t="str">
        <f>IFERROR(+VLOOKUP(Movimientos_2026[[#This Row],[Codigo]],Plan_cuentas[],6,FALSE)," ")</f>
        <v xml:space="preserve"> </v>
      </c>
      <c r="L4733" s="50"/>
      <c r="M4733" s="50"/>
      <c r="N4733" s="20">
        <f>+Movimientos_2026[[#This Row],[Ingresos]]-Movimientos_2026[[#This Row],[Egresos]]</f>
        <v>0</v>
      </c>
      <c r="O4733" s="20">
        <f>+O4732+Movimientos_2026[[#This Row],[Neto]]</f>
        <v>4581558617.7962294</v>
      </c>
    </row>
    <row r="4734" spans="1:15" x14ac:dyDescent="0.25">
      <c r="A4734" s="13"/>
      <c r="B4734" s="12">
        <f>MONTH(Movimientos_2026[[#This Row],[Fecha]])</f>
        <v>1</v>
      </c>
      <c r="C4734" s="12" t="str">
        <f>VLOOKUP((WEEKDAY(Movimientos_2026[[#This Row],[Fecha]],2)),'5. Setup'!$D$6:$E$12,2,FALSE)</f>
        <v>Sab</v>
      </c>
      <c r="E4734" t="str">
        <f>IFERROR(+VLOOKUP(Movimientos_2026[[#This Row],[Codigo]],Plan_cuentas[],2,FALSE)," ")</f>
        <v xml:space="preserve"> </v>
      </c>
      <c r="F4734" t="str">
        <f>IFERROR(+VLOOKUP(Movimientos_2026[[#This Row],[Codigo]],Plan_cuentas[],3,FALSE)," ")</f>
        <v xml:space="preserve"> </v>
      </c>
      <c r="G4734" t="str">
        <f>IFERROR(+VLOOKUP(Movimientos_2026[[#This Row],[Codigo]],Plan_cuentas[],4,FALSE)," ")</f>
        <v xml:space="preserve"> </v>
      </c>
      <c r="H4734" t="str">
        <f>IFERROR(+VLOOKUP(Movimientos_2026[[#This Row],[Codigo]],Plan_cuentas[],5,FALSE)," ")</f>
        <v xml:space="preserve"> </v>
      </c>
      <c r="I4734" s="43"/>
      <c r="K4734" t="str">
        <f>IFERROR(+VLOOKUP(Movimientos_2026[[#This Row],[Codigo]],Plan_cuentas[],6,FALSE)," ")</f>
        <v xml:space="preserve"> </v>
      </c>
      <c r="L4734" s="50"/>
      <c r="M4734" s="50"/>
      <c r="N4734" s="20">
        <f>+Movimientos_2026[[#This Row],[Ingresos]]-Movimientos_2026[[#This Row],[Egresos]]</f>
        <v>0</v>
      </c>
      <c r="O4734" s="20">
        <f>+O4733+Movimientos_2026[[#This Row],[Neto]]</f>
        <v>4581558617.7962294</v>
      </c>
    </row>
    <row r="4735" spans="1:15" x14ac:dyDescent="0.25">
      <c r="A4735" s="13"/>
      <c r="B4735" s="12">
        <f>MONTH(Movimientos_2026[[#This Row],[Fecha]])</f>
        <v>1</v>
      </c>
      <c r="C4735" s="12" t="str">
        <f>VLOOKUP((WEEKDAY(Movimientos_2026[[#This Row],[Fecha]],2)),'5. Setup'!$D$6:$E$12,2,FALSE)</f>
        <v>Sab</v>
      </c>
      <c r="E4735" t="str">
        <f>IFERROR(+VLOOKUP(Movimientos_2026[[#This Row],[Codigo]],Plan_cuentas[],2,FALSE)," ")</f>
        <v xml:space="preserve"> </v>
      </c>
      <c r="F4735" t="str">
        <f>IFERROR(+VLOOKUP(Movimientos_2026[[#This Row],[Codigo]],Plan_cuentas[],3,FALSE)," ")</f>
        <v xml:space="preserve"> </v>
      </c>
      <c r="G4735" t="str">
        <f>IFERROR(+VLOOKUP(Movimientos_2026[[#This Row],[Codigo]],Plan_cuentas[],4,FALSE)," ")</f>
        <v xml:space="preserve"> </v>
      </c>
      <c r="H4735" t="str">
        <f>IFERROR(+VLOOKUP(Movimientos_2026[[#This Row],[Codigo]],Plan_cuentas[],5,FALSE)," ")</f>
        <v xml:space="preserve"> </v>
      </c>
      <c r="I4735" s="43"/>
      <c r="K4735" t="str">
        <f>IFERROR(+VLOOKUP(Movimientos_2026[[#This Row],[Codigo]],Plan_cuentas[],6,FALSE)," ")</f>
        <v xml:space="preserve"> </v>
      </c>
      <c r="L4735" s="50"/>
      <c r="M4735" s="50"/>
      <c r="N4735" s="20">
        <f>+Movimientos_2026[[#This Row],[Ingresos]]-Movimientos_2026[[#This Row],[Egresos]]</f>
        <v>0</v>
      </c>
      <c r="O4735" s="20">
        <f>+O4734+Movimientos_2026[[#This Row],[Neto]]</f>
        <v>4581558617.7962294</v>
      </c>
    </row>
    <row r="4736" spans="1:15" x14ac:dyDescent="0.25">
      <c r="A4736" s="13"/>
      <c r="B4736" s="12">
        <f>MONTH(Movimientos_2026[[#This Row],[Fecha]])</f>
        <v>1</v>
      </c>
      <c r="C4736" s="12" t="str">
        <f>VLOOKUP((WEEKDAY(Movimientos_2026[[#This Row],[Fecha]],2)),'5. Setup'!$D$6:$E$12,2,FALSE)</f>
        <v>Sab</v>
      </c>
      <c r="E4736" t="str">
        <f>IFERROR(+VLOOKUP(Movimientos_2026[[#This Row],[Codigo]],Plan_cuentas[],2,FALSE)," ")</f>
        <v xml:space="preserve"> </v>
      </c>
      <c r="F4736" t="str">
        <f>IFERROR(+VLOOKUP(Movimientos_2026[[#This Row],[Codigo]],Plan_cuentas[],3,FALSE)," ")</f>
        <v xml:space="preserve"> </v>
      </c>
      <c r="G4736" t="str">
        <f>IFERROR(+VLOOKUP(Movimientos_2026[[#This Row],[Codigo]],Plan_cuentas[],4,FALSE)," ")</f>
        <v xml:space="preserve"> </v>
      </c>
      <c r="H4736" t="str">
        <f>IFERROR(+VLOOKUP(Movimientos_2026[[#This Row],[Codigo]],Plan_cuentas[],5,FALSE)," ")</f>
        <v xml:space="preserve"> </v>
      </c>
      <c r="I4736" s="43"/>
      <c r="K4736" t="str">
        <f>IFERROR(+VLOOKUP(Movimientos_2026[[#This Row],[Codigo]],Plan_cuentas[],6,FALSE)," ")</f>
        <v xml:space="preserve"> </v>
      </c>
      <c r="L4736" s="50"/>
      <c r="M4736" s="50"/>
      <c r="N4736" s="20">
        <f>+Movimientos_2026[[#This Row],[Ingresos]]-Movimientos_2026[[#This Row],[Egresos]]</f>
        <v>0</v>
      </c>
      <c r="O4736" s="20">
        <f>+O4735+Movimientos_2026[[#This Row],[Neto]]</f>
        <v>4581558617.7962294</v>
      </c>
    </row>
    <row r="4737" spans="1:15" x14ac:dyDescent="0.25">
      <c r="A4737" s="13"/>
      <c r="B4737" s="12">
        <f>MONTH(Movimientos_2026[[#This Row],[Fecha]])</f>
        <v>1</v>
      </c>
      <c r="C4737" s="12" t="str">
        <f>VLOOKUP((WEEKDAY(Movimientos_2026[[#This Row],[Fecha]],2)),'5. Setup'!$D$6:$E$12,2,FALSE)</f>
        <v>Sab</v>
      </c>
      <c r="E4737" t="str">
        <f>IFERROR(+VLOOKUP(Movimientos_2026[[#This Row],[Codigo]],Plan_cuentas[],2,FALSE)," ")</f>
        <v xml:space="preserve"> </v>
      </c>
      <c r="F4737" t="str">
        <f>IFERROR(+VLOOKUP(Movimientos_2026[[#This Row],[Codigo]],Plan_cuentas[],3,FALSE)," ")</f>
        <v xml:space="preserve"> </v>
      </c>
      <c r="G4737" t="str">
        <f>IFERROR(+VLOOKUP(Movimientos_2026[[#This Row],[Codigo]],Plan_cuentas[],4,FALSE)," ")</f>
        <v xml:space="preserve"> </v>
      </c>
      <c r="H4737" t="str">
        <f>IFERROR(+VLOOKUP(Movimientos_2026[[#This Row],[Codigo]],Plan_cuentas[],5,FALSE)," ")</f>
        <v xml:space="preserve"> </v>
      </c>
      <c r="I4737" s="43"/>
      <c r="K4737" t="str">
        <f>IFERROR(+VLOOKUP(Movimientos_2026[[#This Row],[Codigo]],Plan_cuentas[],6,FALSE)," ")</f>
        <v xml:space="preserve"> </v>
      </c>
      <c r="L4737" s="50"/>
      <c r="M4737" s="50"/>
      <c r="N4737" s="20">
        <f>+Movimientos_2026[[#This Row],[Ingresos]]-Movimientos_2026[[#This Row],[Egresos]]</f>
        <v>0</v>
      </c>
      <c r="O4737" s="20">
        <f>+O4736+Movimientos_2026[[#This Row],[Neto]]</f>
        <v>4581558617.7962294</v>
      </c>
    </row>
    <row r="4738" spans="1:15" x14ac:dyDescent="0.25">
      <c r="A4738" s="13"/>
      <c r="B4738" s="12">
        <f>MONTH(Movimientos_2026[[#This Row],[Fecha]])</f>
        <v>1</v>
      </c>
      <c r="C4738" s="12" t="str">
        <f>VLOOKUP((WEEKDAY(Movimientos_2026[[#This Row],[Fecha]],2)),'5. Setup'!$D$6:$E$12,2,FALSE)</f>
        <v>Sab</v>
      </c>
      <c r="E4738" t="str">
        <f>IFERROR(+VLOOKUP(Movimientos_2026[[#This Row],[Codigo]],Plan_cuentas[],2,FALSE)," ")</f>
        <v xml:space="preserve"> </v>
      </c>
      <c r="F4738" t="str">
        <f>IFERROR(+VLOOKUP(Movimientos_2026[[#This Row],[Codigo]],Plan_cuentas[],3,FALSE)," ")</f>
        <v xml:space="preserve"> </v>
      </c>
      <c r="G4738" t="str">
        <f>IFERROR(+VLOOKUP(Movimientos_2026[[#This Row],[Codigo]],Plan_cuentas[],4,FALSE)," ")</f>
        <v xml:space="preserve"> </v>
      </c>
      <c r="H4738" t="str">
        <f>IFERROR(+VLOOKUP(Movimientos_2026[[#This Row],[Codigo]],Plan_cuentas[],5,FALSE)," ")</f>
        <v xml:space="preserve"> </v>
      </c>
      <c r="I4738" s="43"/>
      <c r="K4738" t="str">
        <f>IFERROR(+VLOOKUP(Movimientos_2026[[#This Row],[Codigo]],Plan_cuentas[],6,FALSE)," ")</f>
        <v xml:space="preserve"> </v>
      </c>
      <c r="L4738" s="50"/>
      <c r="M4738" s="50"/>
      <c r="N4738" s="20">
        <f>+Movimientos_2026[[#This Row],[Ingresos]]-Movimientos_2026[[#This Row],[Egresos]]</f>
        <v>0</v>
      </c>
      <c r="O4738" s="20">
        <f>+O4737+Movimientos_2026[[#This Row],[Neto]]</f>
        <v>4581558617.7962294</v>
      </c>
    </row>
    <row r="4739" spans="1:15" x14ac:dyDescent="0.25">
      <c r="A4739" s="13"/>
      <c r="B4739" s="12">
        <f>MONTH(Movimientos_2026[[#This Row],[Fecha]])</f>
        <v>1</v>
      </c>
      <c r="C4739" s="12" t="str">
        <f>VLOOKUP((WEEKDAY(Movimientos_2026[[#This Row],[Fecha]],2)),'5. Setup'!$D$6:$E$12,2,FALSE)</f>
        <v>Sab</v>
      </c>
      <c r="E4739" t="str">
        <f>IFERROR(+VLOOKUP(Movimientos_2026[[#This Row],[Codigo]],Plan_cuentas[],2,FALSE)," ")</f>
        <v xml:space="preserve"> </v>
      </c>
      <c r="F4739" t="str">
        <f>IFERROR(+VLOOKUP(Movimientos_2026[[#This Row],[Codigo]],Plan_cuentas[],3,FALSE)," ")</f>
        <v xml:space="preserve"> </v>
      </c>
      <c r="G4739" t="str">
        <f>IFERROR(+VLOOKUP(Movimientos_2026[[#This Row],[Codigo]],Plan_cuentas[],4,FALSE)," ")</f>
        <v xml:space="preserve"> </v>
      </c>
      <c r="H4739" t="str">
        <f>IFERROR(+VLOOKUP(Movimientos_2026[[#This Row],[Codigo]],Plan_cuentas[],5,FALSE)," ")</f>
        <v xml:space="preserve"> </v>
      </c>
      <c r="I4739" s="43"/>
      <c r="K4739" t="str">
        <f>IFERROR(+VLOOKUP(Movimientos_2026[[#This Row],[Codigo]],Plan_cuentas[],6,FALSE)," ")</f>
        <v xml:space="preserve"> </v>
      </c>
      <c r="L4739" s="50"/>
      <c r="M4739" s="50"/>
      <c r="N4739" s="20">
        <f>+Movimientos_2026[[#This Row],[Ingresos]]-Movimientos_2026[[#This Row],[Egresos]]</f>
        <v>0</v>
      </c>
      <c r="O4739" s="20">
        <f>+O4738+Movimientos_2026[[#This Row],[Neto]]</f>
        <v>4581558617.7962294</v>
      </c>
    </row>
    <row r="4740" spans="1:15" x14ac:dyDescent="0.25">
      <c r="A4740" s="13"/>
      <c r="B4740" s="12">
        <f>MONTH(Movimientos_2026[[#This Row],[Fecha]])</f>
        <v>1</v>
      </c>
      <c r="C4740" s="12" t="str">
        <f>VLOOKUP((WEEKDAY(Movimientos_2026[[#This Row],[Fecha]],2)),'5. Setup'!$D$6:$E$12,2,FALSE)</f>
        <v>Sab</v>
      </c>
      <c r="E4740" t="str">
        <f>IFERROR(+VLOOKUP(Movimientos_2026[[#This Row],[Codigo]],Plan_cuentas[],2,FALSE)," ")</f>
        <v xml:space="preserve"> </v>
      </c>
      <c r="F4740" t="str">
        <f>IFERROR(+VLOOKUP(Movimientos_2026[[#This Row],[Codigo]],Plan_cuentas[],3,FALSE)," ")</f>
        <v xml:space="preserve"> </v>
      </c>
      <c r="G4740" t="str">
        <f>IFERROR(+VLOOKUP(Movimientos_2026[[#This Row],[Codigo]],Plan_cuentas[],4,FALSE)," ")</f>
        <v xml:space="preserve"> </v>
      </c>
      <c r="H4740" t="str">
        <f>IFERROR(+VLOOKUP(Movimientos_2026[[#This Row],[Codigo]],Plan_cuentas[],5,FALSE)," ")</f>
        <v xml:space="preserve"> </v>
      </c>
      <c r="I4740" s="43"/>
      <c r="K4740" t="str">
        <f>IFERROR(+VLOOKUP(Movimientos_2026[[#This Row],[Codigo]],Plan_cuentas[],6,FALSE)," ")</f>
        <v xml:space="preserve"> </v>
      </c>
      <c r="L4740" s="50"/>
      <c r="M4740" s="50"/>
      <c r="N4740" s="20">
        <f>+Movimientos_2026[[#This Row],[Ingresos]]-Movimientos_2026[[#This Row],[Egresos]]</f>
        <v>0</v>
      </c>
      <c r="O4740" s="20">
        <f>+O4739+Movimientos_2026[[#This Row],[Neto]]</f>
        <v>4581558617.7962294</v>
      </c>
    </row>
    <row r="4741" spans="1:15" x14ac:dyDescent="0.25">
      <c r="A4741" s="13"/>
      <c r="B4741" s="12">
        <f>MONTH(Movimientos_2026[[#This Row],[Fecha]])</f>
        <v>1</v>
      </c>
      <c r="C4741" s="12" t="str">
        <f>VLOOKUP((WEEKDAY(Movimientos_2026[[#This Row],[Fecha]],2)),'5. Setup'!$D$6:$E$12,2,FALSE)</f>
        <v>Sab</v>
      </c>
      <c r="E4741" t="str">
        <f>IFERROR(+VLOOKUP(Movimientos_2026[[#This Row],[Codigo]],Plan_cuentas[],2,FALSE)," ")</f>
        <v xml:space="preserve"> </v>
      </c>
      <c r="F4741" t="str">
        <f>IFERROR(+VLOOKUP(Movimientos_2026[[#This Row],[Codigo]],Plan_cuentas[],3,FALSE)," ")</f>
        <v xml:space="preserve"> </v>
      </c>
      <c r="G4741" t="str">
        <f>IFERROR(+VLOOKUP(Movimientos_2026[[#This Row],[Codigo]],Plan_cuentas[],4,FALSE)," ")</f>
        <v xml:space="preserve"> </v>
      </c>
      <c r="H4741" t="str">
        <f>IFERROR(+VLOOKUP(Movimientos_2026[[#This Row],[Codigo]],Plan_cuentas[],5,FALSE)," ")</f>
        <v xml:space="preserve"> </v>
      </c>
      <c r="I4741" s="43"/>
      <c r="K4741" t="str">
        <f>IFERROR(+VLOOKUP(Movimientos_2026[[#This Row],[Codigo]],Plan_cuentas[],6,FALSE)," ")</f>
        <v xml:space="preserve"> </v>
      </c>
      <c r="L4741" s="50"/>
      <c r="M4741" s="50"/>
      <c r="N4741" s="20">
        <f>+Movimientos_2026[[#This Row],[Ingresos]]-Movimientos_2026[[#This Row],[Egresos]]</f>
        <v>0</v>
      </c>
      <c r="O4741" s="20">
        <f>+O4740+Movimientos_2026[[#This Row],[Neto]]</f>
        <v>4581558617.7962294</v>
      </c>
    </row>
    <row r="4742" spans="1:15" x14ac:dyDescent="0.25">
      <c r="A4742" s="13"/>
      <c r="B4742" s="12">
        <f>MONTH(Movimientos_2026[[#This Row],[Fecha]])</f>
        <v>1</v>
      </c>
      <c r="C4742" s="12" t="str">
        <f>VLOOKUP((WEEKDAY(Movimientos_2026[[#This Row],[Fecha]],2)),'5. Setup'!$D$6:$E$12,2,FALSE)</f>
        <v>Sab</v>
      </c>
      <c r="E4742" t="str">
        <f>IFERROR(+VLOOKUP(Movimientos_2026[[#This Row],[Codigo]],Plan_cuentas[],2,FALSE)," ")</f>
        <v xml:space="preserve"> </v>
      </c>
      <c r="F4742" t="str">
        <f>IFERROR(+VLOOKUP(Movimientos_2026[[#This Row],[Codigo]],Plan_cuentas[],3,FALSE)," ")</f>
        <v xml:space="preserve"> </v>
      </c>
      <c r="G4742" t="str">
        <f>IFERROR(+VLOOKUP(Movimientos_2026[[#This Row],[Codigo]],Plan_cuentas[],4,FALSE)," ")</f>
        <v xml:space="preserve"> </v>
      </c>
      <c r="H4742" t="str">
        <f>IFERROR(+VLOOKUP(Movimientos_2026[[#This Row],[Codigo]],Plan_cuentas[],5,FALSE)," ")</f>
        <v xml:space="preserve"> </v>
      </c>
      <c r="I4742" s="43"/>
      <c r="K4742" t="str">
        <f>IFERROR(+VLOOKUP(Movimientos_2026[[#This Row],[Codigo]],Plan_cuentas[],6,FALSE)," ")</f>
        <v xml:space="preserve"> </v>
      </c>
      <c r="L4742" s="50"/>
      <c r="M4742" s="50"/>
      <c r="N4742" s="20">
        <f>+Movimientos_2026[[#This Row],[Ingresos]]-Movimientos_2026[[#This Row],[Egresos]]</f>
        <v>0</v>
      </c>
      <c r="O4742" s="20">
        <f>+O4741+Movimientos_2026[[#This Row],[Neto]]</f>
        <v>4581558617.7962294</v>
      </c>
    </row>
    <row r="4743" spans="1:15" x14ac:dyDescent="0.25">
      <c r="A4743" s="13"/>
      <c r="B4743" s="12">
        <f>MONTH(Movimientos_2026[[#This Row],[Fecha]])</f>
        <v>1</v>
      </c>
      <c r="C4743" s="12" t="str">
        <f>VLOOKUP((WEEKDAY(Movimientos_2026[[#This Row],[Fecha]],2)),'5. Setup'!$D$6:$E$12,2,FALSE)</f>
        <v>Sab</v>
      </c>
      <c r="E4743" t="str">
        <f>IFERROR(+VLOOKUP(Movimientos_2026[[#This Row],[Codigo]],Plan_cuentas[],2,FALSE)," ")</f>
        <v xml:space="preserve"> </v>
      </c>
      <c r="F4743" t="str">
        <f>IFERROR(+VLOOKUP(Movimientos_2026[[#This Row],[Codigo]],Plan_cuentas[],3,FALSE)," ")</f>
        <v xml:space="preserve"> </v>
      </c>
      <c r="G4743" t="str">
        <f>IFERROR(+VLOOKUP(Movimientos_2026[[#This Row],[Codigo]],Plan_cuentas[],4,FALSE)," ")</f>
        <v xml:space="preserve"> </v>
      </c>
      <c r="H4743" t="str">
        <f>IFERROR(+VLOOKUP(Movimientos_2026[[#This Row],[Codigo]],Plan_cuentas[],5,FALSE)," ")</f>
        <v xml:space="preserve"> </v>
      </c>
      <c r="I4743" s="43"/>
      <c r="K4743" t="str">
        <f>IFERROR(+VLOOKUP(Movimientos_2026[[#This Row],[Codigo]],Plan_cuentas[],6,FALSE)," ")</f>
        <v xml:space="preserve"> </v>
      </c>
      <c r="L4743" s="50"/>
      <c r="M4743" s="50"/>
      <c r="N4743" s="20">
        <f>+Movimientos_2026[[#This Row],[Ingresos]]-Movimientos_2026[[#This Row],[Egresos]]</f>
        <v>0</v>
      </c>
      <c r="O4743" s="20">
        <f>+O4742+Movimientos_2026[[#This Row],[Neto]]</f>
        <v>4581558617.7962294</v>
      </c>
    </row>
    <row r="4744" spans="1:15" x14ac:dyDescent="0.25">
      <c r="A4744" s="13"/>
      <c r="B4744" s="12">
        <f>MONTH(Movimientos_2026[[#This Row],[Fecha]])</f>
        <v>1</v>
      </c>
      <c r="C4744" s="12" t="str">
        <f>VLOOKUP((WEEKDAY(Movimientos_2026[[#This Row],[Fecha]],2)),'5. Setup'!$D$6:$E$12,2,FALSE)</f>
        <v>Sab</v>
      </c>
      <c r="E4744" t="str">
        <f>IFERROR(+VLOOKUP(Movimientos_2026[[#This Row],[Codigo]],Plan_cuentas[],2,FALSE)," ")</f>
        <v xml:space="preserve"> </v>
      </c>
      <c r="F4744" t="str">
        <f>IFERROR(+VLOOKUP(Movimientos_2026[[#This Row],[Codigo]],Plan_cuentas[],3,FALSE)," ")</f>
        <v xml:space="preserve"> </v>
      </c>
      <c r="G4744" t="str">
        <f>IFERROR(+VLOOKUP(Movimientos_2026[[#This Row],[Codigo]],Plan_cuentas[],4,FALSE)," ")</f>
        <v xml:space="preserve"> </v>
      </c>
      <c r="H4744" t="str">
        <f>IFERROR(+VLOOKUP(Movimientos_2026[[#This Row],[Codigo]],Plan_cuentas[],5,FALSE)," ")</f>
        <v xml:space="preserve"> </v>
      </c>
      <c r="I4744" s="43"/>
      <c r="K4744" t="str">
        <f>IFERROR(+VLOOKUP(Movimientos_2026[[#This Row],[Codigo]],Plan_cuentas[],6,FALSE)," ")</f>
        <v xml:space="preserve"> </v>
      </c>
      <c r="L4744" s="50"/>
      <c r="M4744" s="50"/>
      <c r="N4744" s="20">
        <f>+Movimientos_2026[[#This Row],[Ingresos]]-Movimientos_2026[[#This Row],[Egresos]]</f>
        <v>0</v>
      </c>
      <c r="O4744" s="20">
        <f>+O4743+Movimientos_2026[[#This Row],[Neto]]</f>
        <v>4581558617.7962294</v>
      </c>
    </row>
    <row r="4745" spans="1:15" x14ac:dyDescent="0.25">
      <c r="A4745" s="13"/>
      <c r="B4745" s="12">
        <f>MONTH(Movimientos_2026[[#This Row],[Fecha]])</f>
        <v>1</v>
      </c>
      <c r="C4745" s="12" t="str">
        <f>VLOOKUP((WEEKDAY(Movimientos_2026[[#This Row],[Fecha]],2)),'5. Setup'!$D$6:$E$12,2,FALSE)</f>
        <v>Sab</v>
      </c>
      <c r="E4745" t="str">
        <f>IFERROR(+VLOOKUP(Movimientos_2026[[#This Row],[Codigo]],Plan_cuentas[],2,FALSE)," ")</f>
        <v xml:space="preserve"> </v>
      </c>
      <c r="F4745" t="str">
        <f>IFERROR(+VLOOKUP(Movimientos_2026[[#This Row],[Codigo]],Plan_cuentas[],3,FALSE)," ")</f>
        <v xml:space="preserve"> </v>
      </c>
      <c r="G4745" t="str">
        <f>IFERROR(+VLOOKUP(Movimientos_2026[[#This Row],[Codigo]],Plan_cuentas[],4,FALSE)," ")</f>
        <v xml:space="preserve"> </v>
      </c>
      <c r="H4745" t="str">
        <f>IFERROR(+VLOOKUP(Movimientos_2026[[#This Row],[Codigo]],Plan_cuentas[],5,FALSE)," ")</f>
        <v xml:space="preserve"> </v>
      </c>
      <c r="I4745" s="43"/>
      <c r="K4745" t="str">
        <f>IFERROR(+VLOOKUP(Movimientos_2026[[#This Row],[Codigo]],Plan_cuentas[],6,FALSE)," ")</f>
        <v xml:space="preserve"> </v>
      </c>
      <c r="L4745" s="50"/>
      <c r="M4745" s="50"/>
      <c r="N4745" s="20">
        <f>+Movimientos_2026[[#This Row],[Ingresos]]-Movimientos_2026[[#This Row],[Egresos]]</f>
        <v>0</v>
      </c>
      <c r="O4745" s="20">
        <f>+O4744+Movimientos_2026[[#This Row],[Neto]]</f>
        <v>4581558617.7962294</v>
      </c>
    </row>
    <row r="4746" spans="1:15" x14ac:dyDescent="0.25">
      <c r="A4746" s="13"/>
      <c r="B4746" s="12">
        <f>MONTH(Movimientos_2026[[#This Row],[Fecha]])</f>
        <v>1</v>
      </c>
      <c r="C4746" s="12" t="str">
        <f>VLOOKUP((WEEKDAY(Movimientos_2026[[#This Row],[Fecha]],2)),'5. Setup'!$D$6:$E$12,2,FALSE)</f>
        <v>Sab</v>
      </c>
      <c r="E4746" t="str">
        <f>IFERROR(+VLOOKUP(Movimientos_2026[[#This Row],[Codigo]],Plan_cuentas[],2,FALSE)," ")</f>
        <v xml:space="preserve"> </v>
      </c>
      <c r="F4746" t="str">
        <f>IFERROR(+VLOOKUP(Movimientos_2026[[#This Row],[Codigo]],Plan_cuentas[],3,FALSE)," ")</f>
        <v xml:space="preserve"> </v>
      </c>
      <c r="G4746" t="str">
        <f>IFERROR(+VLOOKUP(Movimientos_2026[[#This Row],[Codigo]],Plan_cuentas[],4,FALSE)," ")</f>
        <v xml:space="preserve"> </v>
      </c>
      <c r="H4746" t="str">
        <f>IFERROR(+VLOOKUP(Movimientos_2026[[#This Row],[Codigo]],Plan_cuentas[],5,FALSE)," ")</f>
        <v xml:space="preserve"> </v>
      </c>
      <c r="I4746" s="43"/>
      <c r="K4746" t="str">
        <f>IFERROR(+VLOOKUP(Movimientos_2026[[#This Row],[Codigo]],Plan_cuentas[],6,FALSE)," ")</f>
        <v xml:space="preserve"> </v>
      </c>
      <c r="L4746" s="50"/>
      <c r="M4746" s="50"/>
      <c r="N4746" s="20">
        <f>+Movimientos_2026[[#This Row],[Ingresos]]-Movimientos_2026[[#This Row],[Egresos]]</f>
        <v>0</v>
      </c>
      <c r="O4746" s="20">
        <f>+O4745+Movimientos_2026[[#This Row],[Neto]]</f>
        <v>4581558617.7962294</v>
      </c>
    </row>
    <row r="4747" spans="1:15" x14ac:dyDescent="0.25">
      <c r="A4747" s="13"/>
      <c r="B4747" s="12">
        <f>MONTH(Movimientos_2026[[#This Row],[Fecha]])</f>
        <v>1</v>
      </c>
      <c r="C4747" s="12" t="str">
        <f>VLOOKUP((WEEKDAY(Movimientos_2026[[#This Row],[Fecha]],2)),'5. Setup'!$D$6:$E$12,2,FALSE)</f>
        <v>Sab</v>
      </c>
      <c r="E4747" t="str">
        <f>IFERROR(+VLOOKUP(Movimientos_2026[[#This Row],[Codigo]],Plan_cuentas[],2,FALSE)," ")</f>
        <v xml:space="preserve"> </v>
      </c>
      <c r="F4747" t="str">
        <f>IFERROR(+VLOOKUP(Movimientos_2026[[#This Row],[Codigo]],Plan_cuentas[],3,FALSE)," ")</f>
        <v xml:space="preserve"> </v>
      </c>
      <c r="G4747" t="str">
        <f>IFERROR(+VLOOKUP(Movimientos_2026[[#This Row],[Codigo]],Plan_cuentas[],4,FALSE)," ")</f>
        <v xml:space="preserve"> </v>
      </c>
      <c r="H4747" t="str">
        <f>IFERROR(+VLOOKUP(Movimientos_2026[[#This Row],[Codigo]],Plan_cuentas[],5,FALSE)," ")</f>
        <v xml:space="preserve"> </v>
      </c>
      <c r="I4747" s="43"/>
      <c r="K4747" t="str">
        <f>IFERROR(+VLOOKUP(Movimientos_2026[[#This Row],[Codigo]],Plan_cuentas[],6,FALSE)," ")</f>
        <v xml:space="preserve"> </v>
      </c>
      <c r="L4747" s="50"/>
      <c r="M4747" s="50"/>
      <c r="N4747" s="20">
        <f>+Movimientos_2026[[#This Row],[Ingresos]]-Movimientos_2026[[#This Row],[Egresos]]</f>
        <v>0</v>
      </c>
      <c r="O4747" s="20">
        <f>+O4746+Movimientos_2026[[#This Row],[Neto]]</f>
        <v>4581558617.7962294</v>
      </c>
    </row>
    <row r="4748" spans="1:15" x14ac:dyDescent="0.25">
      <c r="A4748" s="13"/>
      <c r="B4748" s="12">
        <f>MONTH(Movimientos_2026[[#This Row],[Fecha]])</f>
        <v>1</v>
      </c>
      <c r="C4748" s="12" t="str">
        <f>VLOOKUP((WEEKDAY(Movimientos_2026[[#This Row],[Fecha]],2)),'5. Setup'!$D$6:$E$12,2,FALSE)</f>
        <v>Sab</v>
      </c>
      <c r="E4748" t="str">
        <f>IFERROR(+VLOOKUP(Movimientos_2026[[#This Row],[Codigo]],Plan_cuentas[],2,FALSE)," ")</f>
        <v xml:space="preserve"> </v>
      </c>
      <c r="F4748" t="str">
        <f>IFERROR(+VLOOKUP(Movimientos_2026[[#This Row],[Codigo]],Plan_cuentas[],3,FALSE)," ")</f>
        <v xml:space="preserve"> </v>
      </c>
      <c r="G4748" t="str">
        <f>IFERROR(+VLOOKUP(Movimientos_2026[[#This Row],[Codigo]],Plan_cuentas[],4,FALSE)," ")</f>
        <v xml:space="preserve"> </v>
      </c>
      <c r="H4748" t="str">
        <f>IFERROR(+VLOOKUP(Movimientos_2026[[#This Row],[Codigo]],Plan_cuentas[],5,FALSE)," ")</f>
        <v xml:space="preserve"> </v>
      </c>
      <c r="I4748" s="43"/>
      <c r="K4748" t="str">
        <f>IFERROR(+VLOOKUP(Movimientos_2026[[#This Row],[Codigo]],Plan_cuentas[],6,FALSE)," ")</f>
        <v xml:space="preserve"> </v>
      </c>
      <c r="L4748" s="50"/>
      <c r="M4748" s="50"/>
      <c r="N4748" s="20">
        <f>+Movimientos_2026[[#This Row],[Ingresos]]-Movimientos_2026[[#This Row],[Egresos]]</f>
        <v>0</v>
      </c>
      <c r="O4748" s="20">
        <f>+O4747+Movimientos_2026[[#This Row],[Neto]]</f>
        <v>4581558617.7962294</v>
      </c>
    </row>
    <row r="4749" spans="1:15" x14ac:dyDescent="0.25">
      <c r="A4749" s="13"/>
      <c r="B4749" s="12">
        <f>MONTH(Movimientos_2026[[#This Row],[Fecha]])</f>
        <v>1</v>
      </c>
      <c r="C4749" s="12" t="str">
        <f>VLOOKUP((WEEKDAY(Movimientos_2026[[#This Row],[Fecha]],2)),'5. Setup'!$D$6:$E$12,2,FALSE)</f>
        <v>Sab</v>
      </c>
      <c r="E4749" t="str">
        <f>IFERROR(+VLOOKUP(Movimientos_2026[[#This Row],[Codigo]],Plan_cuentas[],2,FALSE)," ")</f>
        <v xml:space="preserve"> </v>
      </c>
      <c r="F4749" t="str">
        <f>IFERROR(+VLOOKUP(Movimientos_2026[[#This Row],[Codigo]],Plan_cuentas[],3,FALSE)," ")</f>
        <v xml:space="preserve"> </v>
      </c>
      <c r="G4749" t="str">
        <f>IFERROR(+VLOOKUP(Movimientos_2026[[#This Row],[Codigo]],Plan_cuentas[],4,FALSE)," ")</f>
        <v xml:space="preserve"> </v>
      </c>
      <c r="H4749" t="str">
        <f>IFERROR(+VLOOKUP(Movimientos_2026[[#This Row],[Codigo]],Plan_cuentas[],5,FALSE)," ")</f>
        <v xml:space="preserve"> </v>
      </c>
      <c r="I4749" s="43"/>
      <c r="K4749" t="str">
        <f>IFERROR(+VLOOKUP(Movimientos_2026[[#This Row],[Codigo]],Plan_cuentas[],6,FALSE)," ")</f>
        <v xml:space="preserve"> </v>
      </c>
      <c r="L4749" s="50"/>
      <c r="M4749" s="50"/>
      <c r="N4749" s="20">
        <f>+Movimientos_2026[[#This Row],[Ingresos]]-Movimientos_2026[[#This Row],[Egresos]]</f>
        <v>0</v>
      </c>
      <c r="O4749" s="20">
        <f>+O4748+Movimientos_2026[[#This Row],[Neto]]</f>
        <v>4581558617.7962294</v>
      </c>
    </row>
    <row r="4750" spans="1:15" x14ac:dyDescent="0.25">
      <c r="A4750" s="13"/>
      <c r="B4750" s="12">
        <f>MONTH(Movimientos_2026[[#This Row],[Fecha]])</f>
        <v>1</v>
      </c>
      <c r="C4750" s="12" t="str">
        <f>VLOOKUP((WEEKDAY(Movimientos_2026[[#This Row],[Fecha]],2)),'5. Setup'!$D$6:$E$12,2,FALSE)</f>
        <v>Sab</v>
      </c>
      <c r="E4750" t="str">
        <f>IFERROR(+VLOOKUP(Movimientos_2026[[#This Row],[Codigo]],Plan_cuentas[],2,FALSE)," ")</f>
        <v xml:space="preserve"> </v>
      </c>
      <c r="F4750" t="str">
        <f>IFERROR(+VLOOKUP(Movimientos_2026[[#This Row],[Codigo]],Plan_cuentas[],3,FALSE)," ")</f>
        <v xml:space="preserve"> </v>
      </c>
      <c r="G4750" t="str">
        <f>IFERROR(+VLOOKUP(Movimientos_2026[[#This Row],[Codigo]],Plan_cuentas[],4,FALSE)," ")</f>
        <v xml:space="preserve"> </v>
      </c>
      <c r="H4750" t="str">
        <f>IFERROR(+VLOOKUP(Movimientos_2026[[#This Row],[Codigo]],Plan_cuentas[],5,FALSE)," ")</f>
        <v xml:space="preserve"> </v>
      </c>
      <c r="I4750" s="43"/>
      <c r="K4750" t="str">
        <f>IFERROR(+VLOOKUP(Movimientos_2026[[#This Row],[Codigo]],Plan_cuentas[],6,FALSE)," ")</f>
        <v xml:space="preserve"> </v>
      </c>
      <c r="L4750" s="50"/>
      <c r="M4750" s="50"/>
      <c r="N4750" s="20">
        <f>+Movimientos_2026[[#This Row],[Ingresos]]-Movimientos_2026[[#This Row],[Egresos]]</f>
        <v>0</v>
      </c>
      <c r="O4750" s="20">
        <f>+O4749+Movimientos_2026[[#This Row],[Neto]]</f>
        <v>4581558617.7962294</v>
      </c>
    </row>
    <row r="4751" spans="1:15" x14ac:dyDescent="0.25">
      <c r="A4751" s="13"/>
      <c r="B4751" s="12">
        <f>MONTH(Movimientos_2026[[#This Row],[Fecha]])</f>
        <v>1</v>
      </c>
      <c r="C4751" s="12" t="str">
        <f>VLOOKUP((WEEKDAY(Movimientos_2026[[#This Row],[Fecha]],2)),'5. Setup'!$D$6:$E$12,2,FALSE)</f>
        <v>Sab</v>
      </c>
      <c r="E4751" t="str">
        <f>IFERROR(+VLOOKUP(Movimientos_2026[[#This Row],[Codigo]],Plan_cuentas[],2,FALSE)," ")</f>
        <v xml:space="preserve"> </v>
      </c>
      <c r="F4751" t="str">
        <f>IFERROR(+VLOOKUP(Movimientos_2026[[#This Row],[Codigo]],Plan_cuentas[],3,FALSE)," ")</f>
        <v xml:space="preserve"> </v>
      </c>
      <c r="G4751" t="str">
        <f>IFERROR(+VLOOKUP(Movimientos_2026[[#This Row],[Codigo]],Plan_cuentas[],4,FALSE)," ")</f>
        <v xml:space="preserve"> </v>
      </c>
      <c r="H4751" t="str">
        <f>IFERROR(+VLOOKUP(Movimientos_2026[[#This Row],[Codigo]],Plan_cuentas[],5,FALSE)," ")</f>
        <v xml:space="preserve"> </v>
      </c>
      <c r="I4751" s="43"/>
      <c r="K4751" t="str">
        <f>IFERROR(+VLOOKUP(Movimientos_2026[[#This Row],[Codigo]],Plan_cuentas[],6,FALSE)," ")</f>
        <v xml:space="preserve"> </v>
      </c>
      <c r="L4751" s="50"/>
      <c r="M4751" s="50"/>
      <c r="N4751" s="20">
        <f>+Movimientos_2026[[#This Row],[Ingresos]]-Movimientos_2026[[#This Row],[Egresos]]</f>
        <v>0</v>
      </c>
      <c r="O4751" s="20">
        <f>+O4750+Movimientos_2026[[#This Row],[Neto]]</f>
        <v>4581558617.7962294</v>
      </c>
    </row>
    <row r="4752" spans="1:15" x14ac:dyDescent="0.25">
      <c r="A4752" s="13"/>
      <c r="B4752" s="12">
        <f>MONTH(Movimientos_2026[[#This Row],[Fecha]])</f>
        <v>1</v>
      </c>
      <c r="C4752" s="12" t="str">
        <f>VLOOKUP((WEEKDAY(Movimientos_2026[[#This Row],[Fecha]],2)),'5. Setup'!$D$6:$E$12,2,FALSE)</f>
        <v>Sab</v>
      </c>
      <c r="E4752" t="str">
        <f>IFERROR(+VLOOKUP(Movimientos_2026[[#This Row],[Codigo]],Plan_cuentas[],2,FALSE)," ")</f>
        <v xml:space="preserve"> </v>
      </c>
      <c r="F4752" t="str">
        <f>IFERROR(+VLOOKUP(Movimientos_2026[[#This Row],[Codigo]],Plan_cuentas[],3,FALSE)," ")</f>
        <v xml:space="preserve"> </v>
      </c>
      <c r="G4752" t="str">
        <f>IFERROR(+VLOOKUP(Movimientos_2026[[#This Row],[Codigo]],Plan_cuentas[],4,FALSE)," ")</f>
        <v xml:space="preserve"> </v>
      </c>
      <c r="H4752" t="str">
        <f>IFERROR(+VLOOKUP(Movimientos_2026[[#This Row],[Codigo]],Plan_cuentas[],5,FALSE)," ")</f>
        <v xml:space="preserve"> </v>
      </c>
      <c r="I4752" s="43"/>
      <c r="K4752" t="str">
        <f>IFERROR(+VLOOKUP(Movimientos_2026[[#This Row],[Codigo]],Plan_cuentas[],6,FALSE)," ")</f>
        <v xml:space="preserve"> </v>
      </c>
      <c r="L4752" s="50"/>
      <c r="M4752" s="50"/>
      <c r="N4752" s="20">
        <f>+Movimientos_2026[[#This Row],[Ingresos]]-Movimientos_2026[[#This Row],[Egresos]]</f>
        <v>0</v>
      </c>
      <c r="O4752" s="20">
        <f>+O4751+Movimientos_2026[[#This Row],[Neto]]</f>
        <v>4581558617.7962294</v>
      </c>
    </row>
    <row r="4753" spans="1:15" x14ac:dyDescent="0.25">
      <c r="A4753" s="13"/>
      <c r="B4753" s="12">
        <f>MONTH(Movimientos_2026[[#This Row],[Fecha]])</f>
        <v>1</v>
      </c>
      <c r="C4753" s="12" t="str">
        <f>VLOOKUP((WEEKDAY(Movimientos_2026[[#This Row],[Fecha]],2)),'5. Setup'!$D$6:$E$12,2,FALSE)</f>
        <v>Sab</v>
      </c>
      <c r="E4753" t="str">
        <f>IFERROR(+VLOOKUP(Movimientos_2026[[#This Row],[Codigo]],Plan_cuentas[],2,FALSE)," ")</f>
        <v xml:space="preserve"> </v>
      </c>
      <c r="F4753" t="str">
        <f>IFERROR(+VLOOKUP(Movimientos_2026[[#This Row],[Codigo]],Plan_cuentas[],3,FALSE)," ")</f>
        <v xml:space="preserve"> </v>
      </c>
      <c r="G4753" t="str">
        <f>IFERROR(+VLOOKUP(Movimientos_2026[[#This Row],[Codigo]],Plan_cuentas[],4,FALSE)," ")</f>
        <v xml:space="preserve"> </v>
      </c>
      <c r="H4753" t="str">
        <f>IFERROR(+VLOOKUP(Movimientos_2026[[#This Row],[Codigo]],Plan_cuentas[],5,FALSE)," ")</f>
        <v xml:space="preserve"> </v>
      </c>
      <c r="I4753" s="43"/>
      <c r="K4753" t="str">
        <f>IFERROR(+VLOOKUP(Movimientos_2026[[#This Row],[Codigo]],Plan_cuentas[],6,FALSE)," ")</f>
        <v xml:space="preserve"> </v>
      </c>
      <c r="L4753" s="50"/>
      <c r="M4753" s="50"/>
      <c r="N4753" s="20">
        <f>+Movimientos_2026[[#This Row],[Ingresos]]-Movimientos_2026[[#This Row],[Egresos]]</f>
        <v>0</v>
      </c>
      <c r="O4753" s="20">
        <f>+O4752+Movimientos_2026[[#This Row],[Neto]]</f>
        <v>4581558617.7962294</v>
      </c>
    </row>
    <row r="4754" spans="1:15" x14ac:dyDescent="0.25">
      <c r="A4754" s="13"/>
      <c r="B4754" s="12">
        <f>MONTH(Movimientos_2026[[#This Row],[Fecha]])</f>
        <v>1</v>
      </c>
      <c r="C4754" s="12" t="str">
        <f>VLOOKUP((WEEKDAY(Movimientos_2026[[#This Row],[Fecha]],2)),'5. Setup'!$D$6:$E$12,2,FALSE)</f>
        <v>Sab</v>
      </c>
      <c r="E4754" t="str">
        <f>IFERROR(+VLOOKUP(Movimientos_2026[[#This Row],[Codigo]],Plan_cuentas[],2,FALSE)," ")</f>
        <v xml:space="preserve"> </v>
      </c>
      <c r="F4754" t="str">
        <f>IFERROR(+VLOOKUP(Movimientos_2026[[#This Row],[Codigo]],Plan_cuentas[],3,FALSE)," ")</f>
        <v xml:space="preserve"> </v>
      </c>
      <c r="G4754" t="str">
        <f>IFERROR(+VLOOKUP(Movimientos_2026[[#This Row],[Codigo]],Plan_cuentas[],4,FALSE)," ")</f>
        <v xml:space="preserve"> </v>
      </c>
      <c r="H4754" t="str">
        <f>IFERROR(+VLOOKUP(Movimientos_2026[[#This Row],[Codigo]],Plan_cuentas[],5,FALSE)," ")</f>
        <v xml:space="preserve"> </v>
      </c>
      <c r="I4754" s="43"/>
      <c r="K4754" t="str">
        <f>IFERROR(+VLOOKUP(Movimientos_2026[[#This Row],[Codigo]],Plan_cuentas[],6,FALSE)," ")</f>
        <v xml:space="preserve"> </v>
      </c>
      <c r="L4754" s="50"/>
      <c r="M4754" s="50"/>
      <c r="N4754" s="20">
        <f>+Movimientos_2026[[#This Row],[Ingresos]]-Movimientos_2026[[#This Row],[Egresos]]</f>
        <v>0</v>
      </c>
      <c r="O4754" s="20">
        <f>+O4753+Movimientos_2026[[#This Row],[Neto]]</f>
        <v>4581558617.7962294</v>
      </c>
    </row>
    <row r="4755" spans="1:15" x14ac:dyDescent="0.25">
      <c r="A4755" s="13"/>
      <c r="B4755" s="12">
        <f>MONTH(Movimientos_2026[[#This Row],[Fecha]])</f>
        <v>1</v>
      </c>
      <c r="C4755" s="12" t="str">
        <f>VLOOKUP((WEEKDAY(Movimientos_2026[[#This Row],[Fecha]],2)),'5. Setup'!$D$6:$E$12,2,FALSE)</f>
        <v>Sab</v>
      </c>
      <c r="E4755" t="str">
        <f>IFERROR(+VLOOKUP(Movimientos_2026[[#This Row],[Codigo]],Plan_cuentas[],2,FALSE)," ")</f>
        <v xml:space="preserve"> </v>
      </c>
      <c r="F4755" t="str">
        <f>IFERROR(+VLOOKUP(Movimientos_2026[[#This Row],[Codigo]],Plan_cuentas[],3,FALSE)," ")</f>
        <v xml:space="preserve"> </v>
      </c>
      <c r="G4755" t="str">
        <f>IFERROR(+VLOOKUP(Movimientos_2026[[#This Row],[Codigo]],Plan_cuentas[],4,FALSE)," ")</f>
        <v xml:space="preserve"> </v>
      </c>
      <c r="H4755" t="str">
        <f>IFERROR(+VLOOKUP(Movimientos_2026[[#This Row],[Codigo]],Plan_cuentas[],5,FALSE)," ")</f>
        <v xml:space="preserve"> </v>
      </c>
      <c r="I4755" s="43"/>
      <c r="K4755" t="str">
        <f>IFERROR(+VLOOKUP(Movimientos_2026[[#This Row],[Codigo]],Plan_cuentas[],6,FALSE)," ")</f>
        <v xml:space="preserve"> </v>
      </c>
      <c r="L4755" s="50"/>
      <c r="M4755" s="50"/>
      <c r="N4755" s="20">
        <f>+Movimientos_2026[[#This Row],[Ingresos]]-Movimientos_2026[[#This Row],[Egresos]]</f>
        <v>0</v>
      </c>
      <c r="O4755" s="20">
        <f>+O4754+Movimientos_2026[[#This Row],[Neto]]</f>
        <v>4581558617.7962294</v>
      </c>
    </row>
    <row r="4756" spans="1:15" x14ac:dyDescent="0.25">
      <c r="A4756" s="13"/>
      <c r="B4756" s="12">
        <f>MONTH(Movimientos_2026[[#This Row],[Fecha]])</f>
        <v>1</v>
      </c>
      <c r="C4756" s="12" t="str">
        <f>VLOOKUP((WEEKDAY(Movimientos_2026[[#This Row],[Fecha]],2)),'5. Setup'!$D$6:$E$12,2,FALSE)</f>
        <v>Sab</v>
      </c>
      <c r="E4756" t="str">
        <f>IFERROR(+VLOOKUP(Movimientos_2026[[#This Row],[Codigo]],Plan_cuentas[],2,FALSE)," ")</f>
        <v xml:space="preserve"> </v>
      </c>
      <c r="F4756" t="str">
        <f>IFERROR(+VLOOKUP(Movimientos_2026[[#This Row],[Codigo]],Plan_cuentas[],3,FALSE)," ")</f>
        <v xml:space="preserve"> </v>
      </c>
      <c r="G4756" t="str">
        <f>IFERROR(+VLOOKUP(Movimientos_2026[[#This Row],[Codigo]],Plan_cuentas[],4,FALSE)," ")</f>
        <v xml:space="preserve"> </v>
      </c>
      <c r="H4756" t="str">
        <f>IFERROR(+VLOOKUP(Movimientos_2026[[#This Row],[Codigo]],Plan_cuentas[],5,FALSE)," ")</f>
        <v xml:space="preserve"> </v>
      </c>
      <c r="I4756" s="43"/>
      <c r="K4756" t="str">
        <f>IFERROR(+VLOOKUP(Movimientos_2026[[#This Row],[Codigo]],Plan_cuentas[],6,FALSE)," ")</f>
        <v xml:space="preserve"> </v>
      </c>
      <c r="L4756" s="50"/>
      <c r="M4756" s="50"/>
      <c r="N4756" s="20">
        <f>+Movimientos_2026[[#This Row],[Ingresos]]-Movimientos_2026[[#This Row],[Egresos]]</f>
        <v>0</v>
      </c>
      <c r="O4756" s="20">
        <f>+O4755+Movimientos_2026[[#This Row],[Neto]]</f>
        <v>4581558617.7962294</v>
      </c>
    </row>
    <row r="4757" spans="1:15" x14ac:dyDescent="0.25">
      <c r="A4757" s="13"/>
      <c r="B4757" s="12">
        <f>MONTH(Movimientos_2026[[#This Row],[Fecha]])</f>
        <v>1</v>
      </c>
      <c r="C4757" s="12" t="str">
        <f>VLOOKUP((WEEKDAY(Movimientos_2026[[#This Row],[Fecha]],2)),'5. Setup'!$D$6:$E$12,2,FALSE)</f>
        <v>Sab</v>
      </c>
      <c r="E4757" t="str">
        <f>IFERROR(+VLOOKUP(Movimientos_2026[[#This Row],[Codigo]],Plan_cuentas[],2,FALSE)," ")</f>
        <v xml:space="preserve"> </v>
      </c>
      <c r="F4757" t="str">
        <f>IFERROR(+VLOOKUP(Movimientos_2026[[#This Row],[Codigo]],Plan_cuentas[],3,FALSE)," ")</f>
        <v xml:space="preserve"> </v>
      </c>
      <c r="G4757" t="str">
        <f>IFERROR(+VLOOKUP(Movimientos_2026[[#This Row],[Codigo]],Plan_cuentas[],4,FALSE)," ")</f>
        <v xml:space="preserve"> </v>
      </c>
      <c r="H4757" t="str">
        <f>IFERROR(+VLOOKUP(Movimientos_2026[[#This Row],[Codigo]],Plan_cuentas[],5,FALSE)," ")</f>
        <v xml:space="preserve"> </v>
      </c>
      <c r="I4757" s="43"/>
      <c r="K4757" t="str">
        <f>IFERROR(+VLOOKUP(Movimientos_2026[[#This Row],[Codigo]],Plan_cuentas[],6,FALSE)," ")</f>
        <v xml:space="preserve"> </v>
      </c>
      <c r="L4757" s="50"/>
      <c r="M4757" s="50"/>
      <c r="N4757" s="20">
        <f>+Movimientos_2026[[#This Row],[Ingresos]]-Movimientos_2026[[#This Row],[Egresos]]</f>
        <v>0</v>
      </c>
      <c r="O4757" s="20">
        <f>+O4756+Movimientos_2026[[#This Row],[Neto]]</f>
        <v>4581558617.7962294</v>
      </c>
    </row>
    <row r="4758" spans="1:15" x14ac:dyDescent="0.25">
      <c r="A4758" s="13"/>
      <c r="B4758" s="12">
        <f>MONTH(Movimientos_2026[[#This Row],[Fecha]])</f>
        <v>1</v>
      </c>
      <c r="C4758" s="12" t="str">
        <f>VLOOKUP((WEEKDAY(Movimientos_2026[[#This Row],[Fecha]],2)),'5. Setup'!$D$6:$E$12,2,FALSE)</f>
        <v>Sab</v>
      </c>
      <c r="E4758" t="str">
        <f>IFERROR(+VLOOKUP(Movimientos_2026[[#This Row],[Codigo]],Plan_cuentas[],2,FALSE)," ")</f>
        <v xml:space="preserve"> </v>
      </c>
      <c r="F4758" t="str">
        <f>IFERROR(+VLOOKUP(Movimientos_2026[[#This Row],[Codigo]],Plan_cuentas[],3,FALSE)," ")</f>
        <v xml:space="preserve"> </v>
      </c>
      <c r="G4758" t="str">
        <f>IFERROR(+VLOOKUP(Movimientos_2026[[#This Row],[Codigo]],Plan_cuentas[],4,FALSE)," ")</f>
        <v xml:space="preserve"> </v>
      </c>
      <c r="H4758" t="str">
        <f>IFERROR(+VLOOKUP(Movimientos_2026[[#This Row],[Codigo]],Plan_cuentas[],5,FALSE)," ")</f>
        <v xml:space="preserve"> </v>
      </c>
      <c r="I4758" s="43"/>
      <c r="K4758" t="str">
        <f>IFERROR(+VLOOKUP(Movimientos_2026[[#This Row],[Codigo]],Plan_cuentas[],6,FALSE)," ")</f>
        <v xml:space="preserve"> </v>
      </c>
      <c r="L4758" s="50"/>
      <c r="M4758" s="50"/>
      <c r="N4758" s="20">
        <f>+Movimientos_2026[[#This Row],[Ingresos]]-Movimientos_2026[[#This Row],[Egresos]]</f>
        <v>0</v>
      </c>
      <c r="O4758" s="20">
        <f>+O4757+Movimientos_2026[[#This Row],[Neto]]</f>
        <v>4581558617.7962294</v>
      </c>
    </row>
    <row r="4759" spans="1:15" x14ac:dyDescent="0.25">
      <c r="A4759" s="13"/>
      <c r="B4759" s="12">
        <f>MONTH(Movimientos_2026[[#This Row],[Fecha]])</f>
        <v>1</v>
      </c>
      <c r="C4759" s="12" t="str">
        <f>VLOOKUP((WEEKDAY(Movimientos_2026[[#This Row],[Fecha]],2)),'5. Setup'!$D$6:$E$12,2,FALSE)</f>
        <v>Sab</v>
      </c>
      <c r="E4759" t="str">
        <f>IFERROR(+VLOOKUP(Movimientos_2026[[#This Row],[Codigo]],Plan_cuentas[],2,FALSE)," ")</f>
        <v xml:space="preserve"> </v>
      </c>
      <c r="F4759" t="str">
        <f>IFERROR(+VLOOKUP(Movimientos_2026[[#This Row],[Codigo]],Plan_cuentas[],3,FALSE)," ")</f>
        <v xml:space="preserve"> </v>
      </c>
      <c r="G4759" t="str">
        <f>IFERROR(+VLOOKUP(Movimientos_2026[[#This Row],[Codigo]],Plan_cuentas[],4,FALSE)," ")</f>
        <v xml:space="preserve"> </v>
      </c>
      <c r="H4759" t="str">
        <f>IFERROR(+VLOOKUP(Movimientos_2026[[#This Row],[Codigo]],Plan_cuentas[],5,FALSE)," ")</f>
        <v xml:space="preserve"> </v>
      </c>
      <c r="I4759" s="43"/>
      <c r="K4759" t="str">
        <f>IFERROR(+VLOOKUP(Movimientos_2026[[#This Row],[Codigo]],Plan_cuentas[],6,FALSE)," ")</f>
        <v xml:space="preserve"> </v>
      </c>
      <c r="L4759" s="50"/>
      <c r="M4759" s="50"/>
      <c r="N4759" s="20">
        <f>+Movimientos_2026[[#This Row],[Ingresos]]-Movimientos_2026[[#This Row],[Egresos]]</f>
        <v>0</v>
      </c>
      <c r="O4759" s="20">
        <f>+O4758+Movimientos_2026[[#This Row],[Neto]]</f>
        <v>4581558617.7962294</v>
      </c>
    </row>
    <row r="4760" spans="1:15" x14ac:dyDescent="0.25">
      <c r="A4760" s="13"/>
      <c r="B4760" s="12">
        <f>MONTH(Movimientos_2026[[#This Row],[Fecha]])</f>
        <v>1</v>
      </c>
      <c r="C4760" s="12" t="str">
        <f>VLOOKUP((WEEKDAY(Movimientos_2026[[#This Row],[Fecha]],2)),'5. Setup'!$D$6:$E$12,2,FALSE)</f>
        <v>Sab</v>
      </c>
      <c r="E4760" t="str">
        <f>IFERROR(+VLOOKUP(Movimientos_2026[[#This Row],[Codigo]],Plan_cuentas[],2,FALSE)," ")</f>
        <v xml:space="preserve"> </v>
      </c>
      <c r="F4760" t="str">
        <f>IFERROR(+VLOOKUP(Movimientos_2026[[#This Row],[Codigo]],Plan_cuentas[],3,FALSE)," ")</f>
        <v xml:space="preserve"> </v>
      </c>
      <c r="G4760" t="str">
        <f>IFERROR(+VLOOKUP(Movimientos_2026[[#This Row],[Codigo]],Plan_cuentas[],4,FALSE)," ")</f>
        <v xml:space="preserve"> </v>
      </c>
      <c r="H4760" t="str">
        <f>IFERROR(+VLOOKUP(Movimientos_2026[[#This Row],[Codigo]],Plan_cuentas[],5,FALSE)," ")</f>
        <v xml:space="preserve"> </v>
      </c>
      <c r="I4760" s="43"/>
      <c r="K4760" t="str">
        <f>IFERROR(+VLOOKUP(Movimientos_2026[[#This Row],[Codigo]],Plan_cuentas[],6,FALSE)," ")</f>
        <v xml:space="preserve"> </v>
      </c>
      <c r="L4760" s="50"/>
      <c r="M4760" s="50"/>
      <c r="N4760" s="20">
        <f>+Movimientos_2026[[#This Row],[Ingresos]]-Movimientos_2026[[#This Row],[Egresos]]</f>
        <v>0</v>
      </c>
      <c r="O4760" s="20">
        <f>+O4759+Movimientos_2026[[#This Row],[Neto]]</f>
        <v>4581558617.7962294</v>
      </c>
    </row>
    <row r="4761" spans="1:15" x14ac:dyDescent="0.25">
      <c r="A4761" s="13"/>
      <c r="B4761" s="12">
        <f>MONTH(Movimientos_2026[[#This Row],[Fecha]])</f>
        <v>1</v>
      </c>
      <c r="C4761" s="12" t="str">
        <f>VLOOKUP((WEEKDAY(Movimientos_2026[[#This Row],[Fecha]],2)),'5. Setup'!$D$6:$E$12,2,FALSE)</f>
        <v>Sab</v>
      </c>
      <c r="E4761" t="str">
        <f>IFERROR(+VLOOKUP(Movimientos_2026[[#This Row],[Codigo]],Plan_cuentas[],2,FALSE)," ")</f>
        <v xml:space="preserve"> </v>
      </c>
      <c r="F4761" t="str">
        <f>IFERROR(+VLOOKUP(Movimientos_2026[[#This Row],[Codigo]],Plan_cuentas[],3,FALSE)," ")</f>
        <v xml:space="preserve"> </v>
      </c>
      <c r="G4761" t="str">
        <f>IFERROR(+VLOOKUP(Movimientos_2026[[#This Row],[Codigo]],Plan_cuentas[],4,FALSE)," ")</f>
        <v xml:space="preserve"> </v>
      </c>
      <c r="H4761" t="str">
        <f>IFERROR(+VLOOKUP(Movimientos_2026[[#This Row],[Codigo]],Plan_cuentas[],5,FALSE)," ")</f>
        <v xml:space="preserve"> </v>
      </c>
      <c r="I4761" s="43"/>
      <c r="K4761" t="str">
        <f>IFERROR(+VLOOKUP(Movimientos_2026[[#This Row],[Codigo]],Plan_cuentas[],6,FALSE)," ")</f>
        <v xml:space="preserve"> </v>
      </c>
      <c r="L4761" s="50"/>
      <c r="M4761" s="50"/>
      <c r="N4761" s="20">
        <f>+Movimientos_2026[[#This Row],[Ingresos]]-Movimientos_2026[[#This Row],[Egresos]]</f>
        <v>0</v>
      </c>
      <c r="O4761" s="20">
        <f>+O4760+Movimientos_2026[[#This Row],[Neto]]</f>
        <v>4581558617.7962294</v>
      </c>
    </row>
    <row r="4762" spans="1:15" x14ac:dyDescent="0.25">
      <c r="A4762" s="13"/>
      <c r="B4762" s="12">
        <f>MONTH(Movimientos_2026[[#This Row],[Fecha]])</f>
        <v>1</v>
      </c>
      <c r="C4762" s="12" t="str">
        <f>VLOOKUP((WEEKDAY(Movimientos_2026[[#This Row],[Fecha]],2)),'5. Setup'!$D$6:$E$12,2,FALSE)</f>
        <v>Sab</v>
      </c>
      <c r="E4762" t="str">
        <f>IFERROR(+VLOOKUP(Movimientos_2026[[#This Row],[Codigo]],Plan_cuentas[],2,FALSE)," ")</f>
        <v xml:space="preserve"> </v>
      </c>
      <c r="F4762" t="str">
        <f>IFERROR(+VLOOKUP(Movimientos_2026[[#This Row],[Codigo]],Plan_cuentas[],3,FALSE)," ")</f>
        <v xml:space="preserve"> </v>
      </c>
      <c r="G4762" t="str">
        <f>IFERROR(+VLOOKUP(Movimientos_2026[[#This Row],[Codigo]],Plan_cuentas[],4,FALSE)," ")</f>
        <v xml:space="preserve"> </v>
      </c>
      <c r="H4762" t="str">
        <f>IFERROR(+VLOOKUP(Movimientos_2026[[#This Row],[Codigo]],Plan_cuentas[],5,FALSE)," ")</f>
        <v xml:space="preserve"> </v>
      </c>
      <c r="I4762" s="43"/>
      <c r="K4762" t="str">
        <f>IFERROR(+VLOOKUP(Movimientos_2026[[#This Row],[Codigo]],Plan_cuentas[],6,FALSE)," ")</f>
        <v xml:space="preserve"> </v>
      </c>
      <c r="L4762" s="50"/>
      <c r="M4762" s="50"/>
      <c r="N4762" s="20">
        <f>+Movimientos_2026[[#This Row],[Ingresos]]-Movimientos_2026[[#This Row],[Egresos]]</f>
        <v>0</v>
      </c>
      <c r="O4762" s="20">
        <f>+O4761+Movimientos_2026[[#This Row],[Neto]]</f>
        <v>4581558617.7962294</v>
      </c>
    </row>
    <row r="4763" spans="1:15" x14ac:dyDescent="0.25">
      <c r="A4763" s="13"/>
      <c r="B4763" s="12">
        <f>MONTH(Movimientos_2026[[#This Row],[Fecha]])</f>
        <v>1</v>
      </c>
      <c r="C4763" s="12" t="str">
        <f>VLOOKUP((WEEKDAY(Movimientos_2026[[#This Row],[Fecha]],2)),'5. Setup'!$D$6:$E$12,2,FALSE)</f>
        <v>Sab</v>
      </c>
      <c r="E4763" t="str">
        <f>IFERROR(+VLOOKUP(Movimientos_2026[[#This Row],[Codigo]],Plan_cuentas[],2,FALSE)," ")</f>
        <v xml:space="preserve"> </v>
      </c>
      <c r="F4763" t="str">
        <f>IFERROR(+VLOOKUP(Movimientos_2026[[#This Row],[Codigo]],Plan_cuentas[],3,FALSE)," ")</f>
        <v xml:space="preserve"> </v>
      </c>
      <c r="G4763" t="str">
        <f>IFERROR(+VLOOKUP(Movimientos_2026[[#This Row],[Codigo]],Plan_cuentas[],4,FALSE)," ")</f>
        <v xml:space="preserve"> </v>
      </c>
      <c r="H4763" t="str">
        <f>IFERROR(+VLOOKUP(Movimientos_2026[[#This Row],[Codigo]],Plan_cuentas[],5,FALSE)," ")</f>
        <v xml:space="preserve"> </v>
      </c>
      <c r="I4763" s="43"/>
      <c r="K4763" t="str">
        <f>IFERROR(+VLOOKUP(Movimientos_2026[[#This Row],[Codigo]],Plan_cuentas[],6,FALSE)," ")</f>
        <v xml:space="preserve"> </v>
      </c>
      <c r="L4763" s="50"/>
      <c r="M4763" s="50"/>
      <c r="N4763" s="20">
        <f>+Movimientos_2026[[#This Row],[Ingresos]]-Movimientos_2026[[#This Row],[Egresos]]</f>
        <v>0</v>
      </c>
      <c r="O4763" s="20">
        <f>+O4762+Movimientos_2026[[#This Row],[Neto]]</f>
        <v>4581558617.7962294</v>
      </c>
    </row>
    <row r="4764" spans="1:15" x14ac:dyDescent="0.25">
      <c r="A4764" s="13"/>
      <c r="B4764" s="12">
        <f>MONTH(Movimientos_2026[[#This Row],[Fecha]])</f>
        <v>1</v>
      </c>
      <c r="C4764" s="12" t="str">
        <f>VLOOKUP((WEEKDAY(Movimientos_2026[[#This Row],[Fecha]],2)),'5. Setup'!$D$6:$E$12,2,FALSE)</f>
        <v>Sab</v>
      </c>
      <c r="E4764" t="str">
        <f>IFERROR(+VLOOKUP(Movimientos_2026[[#This Row],[Codigo]],Plan_cuentas[],2,FALSE)," ")</f>
        <v xml:space="preserve"> </v>
      </c>
      <c r="F4764" t="str">
        <f>IFERROR(+VLOOKUP(Movimientos_2026[[#This Row],[Codigo]],Plan_cuentas[],3,FALSE)," ")</f>
        <v xml:space="preserve"> </v>
      </c>
      <c r="G4764" t="str">
        <f>IFERROR(+VLOOKUP(Movimientos_2026[[#This Row],[Codigo]],Plan_cuentas[],4,FALSE)," ")</f>
        <v xml:space="preserve"> </v>
      </c>
      <c r="H4764" t="str">
        <f>IFERROR(+VLOOKUP(Movimientos_2026[[#This Row],[Codigo]],Plan_cuentas[],5,FALSE)," ")</f>
        <v xml:space="preserve"> </v>
      </c>
      <c r="I4764" s="43"/>
      <c r="K4764" t="str">
        <f>IFERROR(+VLOOKUP(Movimientos_2026[[#This Row],[Codigo]],Plan_cuentas[],6,FALSE)," ")</f>
        <v xml:space="preserve"> </v>
      </c>
      <c r="L4764" s="50"/>
      <c r="M4764" s="50"/>
      <c r="N4764" s="20">
        <f>+Movimientos_2026[[#This Row],[Ingresos]]-Movimientos_2026[[#This Row],[Egresos]]</f>
        <v>0</v>
      </c>
      <c r="O4764" s="20">
        <f>+O4763+Movimientos_2026[[#This Row],[Neto]]</f>
        <v>4581558617.7962294</v>
      </c>
    </row>
    <row r="4765" spans="1:15" x14ac:dyDescent="0.25">
      <c r="A4765" s="13"/>
      <c r="B4765" s="12">
        <f>MONTH(Movimientos_2026[[#This Row],[Fecha]])</f>
        <v>1</v>
      </c>
      <c r="C4765" s="12" t="str">
        <f>VLOOKUP((WEEKDAY(Movimientos_2026[[#This Row],[Fecha]],2)),'5. Setup'!$D$6:$E$12,2,FALSE)</f>
        <v>Sab</v>
      </c>
      <c r="E4765" t="str">
        <f>IFERROR(+VLOOKUP(Movimientos_2026[[#This Row],[Codigo]],Plan_cuentas[],2,FALSE)," ")</f>
        <v xml:space="preserve"> </v>
      </c>
      <c r="F4765" t="str">
        <f>IFERROR(+VLOOKUP(Movimientos_2026[[#This Row],[Codigo]],Plan_cuentas[],3,FALSE)," ")</f>
        <v xml:space="preserve"> </v>
      </c>
      <c r="G4765" t="str">
        <f>IFERROR(+VLOOKUP(Movimientos_2026[[#This Row],[Codigo]],Plan_cuentas[],4,FALSE)," ")</f>
        <v xml:space="preserve"> </v>
      </c>
      <c r="H4765" t="str">
        <f>IFERROR(+VLOOKUP(Movimientos_2026[[#This Row],[Codigo]],Plan_cuentas[],5,FALSE)," ")</f>
        <v xml:space="preserve"> </v>
      </c>
      <c r="I4765" s="43"/>
      <c r="K4765" t="str">
        <f>IFERROR(+VLOOKUP(Movimientos_2026[[#This Row],[Codigo]],Plan_cuentas[],6,FALSE)," ")</f>
        <v xml:space="preserve"> </v>
      </c>
      <c r="L4765" s="50"/>
      <c r="M4765" s="50"/>
      <c r="N4765" s="20">
        <f>+Movimientos_2026[[#This Row],[Ingresos]]-Movimientos_2026[[#This Row],[Egresos]]</f>
        <v>0</v>
      </c>
      <c r="O4765" s="20">
        <f>+O4764+Movimientos_2026[[#This Row],[Neto]]</f>
        <v>4581558617.7962294</v>
      </c>
    </row>
    <row r="4766" spans="1:15" x14ac:dyDescent="0.25">
      <c r="A4766" s="13"/>
      <c r="B4766" s="12">
        <f>MONTH(Movimientos_2026[[#This Row],[Fecha]])</f>
        <v>1</v>
      </c>
      <c r="C4766" s="12" t="str">
        <f>VLOOKUP((WEEKDAY(Movimientos_2026[[#This Row],[Fecha]],2)),'5. Setup'!$D$6:$E$12,2,FALSE)</f>
        <v>Sab</v>
      </c>
      <c r="E4766" t="str">
        <f>IFERROR(+VLOOKUP(Movimientos_2026[[#This Row],[Codigo]],Plan_cuentas[],2,FALSE)," ")</f>
        <v xml:space="preserve"> </v>
      </c>
      <c r="F4766" t="str">
        <f>IFERROR(+VLOOKUP(Movimientos_2026[[#This Row],[Codigo]],Plan_cuentas[],3,FALSE)," ")</f>
        <v xml:space="preserve"> </v>
      </c>
      <c r="G4766" t="str">
        <f>IFERROR(+VLOOKUP(Movimientos_2026[[#This Row],[Codigo]],Plan_cuentas[],4,FALSE)," ")</f>
        <v xml:space="preserve"> </v>
      </c>
      <c r="H4766" t="str">
        <f>IFERROR(+VLOOKUP(Movimientos_2026[[#This Row],[Codigo]],Plan_cuentas[],5,FALSE)," ")</f>
        <v xml:space="preserve"> </v>
      </c>
      <c r="I4766" s="43"/>
      <c r="K4766" t="str">
        <f>IFERROR(+VLOOKUP(Movimientos_2026[[#This Row],[Codigo]],Plan_cuentas[],6,FALSE)," ")</f>
        <v xml:space="preserve"> </v>
      </c>
      <c r="L4766" s="50"/>
      <c r="M4766" s="50"/>
      <c r="N4766" s="20">
        <f>+Movimientos_2026[[#This Row],[Ingresos]]-Movimientos_2026[[#This Row],[Egresos]]</f>
        <v>0</v>
      </c>
      <c r="O4766" s="20">
        <f>+O4765+Movimientos_2026[[#This Row],[Neto]]</f>
        <v>4581558617.7962294</v>
      </c>
    </row>
    <row r="4767" spans="1:15" x14ac:dyDescent="0.25">
      <c r="A4767" s="13"/>
      <c r="B4767" s="12">
        <f>MONTH(Movimientos_2026[[#This Row],[Fecha]])</f>
        <v>1</v>
      </c>
      <c r="C4767" s="12" t="str">
        <f>VLOOKUP((WEEKDAY(Movimientos_2026[[#This Row],[Fecha]],2)),'5. Setup'!$D$6:$E$12,2,FALSE)</f>
        <v>Sab</v>
      </c>
      <c r="E4767" t="str">
        <f>IFERROR(+VLOOKUP(Movimientos_2026[[#This Row],[Codigo]],Plan_cuentas[],2,FALSE)," ")</f>
        <v xml:space="preserve"> </v>
      </c>
      <c r="F4767" t="str">
        <f>IFERROR(+VLOOKUP(Movimientos_2026[[#This Row],[Codigo]],Plan_cuentas[],3,FALSE)," ")</f>
        <v xml:space="preserve"> </v>
      </c>
      <c r="G4767" t="str">
        <f>IFERROR(+VLOOKUP(Movimientos_2026[[#This Row],[Codigo]],Plan_cuentas[],4,FALSE)," ")</f>
        <v xml:space="preserve"> </v>
      </c>
      <c r="H4767" t="str">
        <f>IFERROR(+VLOOKUP(Movimientos_2026[[#This Row],[Codigo]],Plan_cuentas[],5,FALSE)," ")</f>
        <v xml:space="preserve"> </v>
      </c>
      <c r="I4767" s="43"/>
      <c r="K4767" t="str">
        <f>IFERROR(+VLOOKUP(Movimientos_2026[[#This Row],[Codigo]],Plan_cuentas[],6,FALSE)," ")</f>
        <v xml:space="preserve"> </v>
      </c>
      <c r="L4767" s="50"/>
      <c r="M4767" s="50"/>
      <c r="N4767" s="20">
        <f>+Movimientos_2026[[#This Row],[Ingresos]]-Movimientos_2026[[#This Row],[Egresos]]</f>
        <v>0</v>
      </c>
      <c r="O4767" s="20">
        <f>+O4766+Movimientos_2026[[#This Row],[Neto]]</f>
        <v>4581558617.7962294</v>
      </c>
    </row>
    <row r="4768" spans="1:15" x14ac:dyDescent="0.25">
      <c r="A4768" s="13"/>
      <c r="B4768" s="12">
        <f>MONTH(Movimientos_2026[[#This Row],[Fecha]])</f>
        <v>1</v>
      </c>
      <c r="C4768" s="12" t="str">
        <f>VLOOKUP((WEEKDAY(Movimientos_2026[[#This Row],[Fecha]],2)),'5. Setup'!$D$6:$E$12,2,FALSE)</f>
        <v>Sab</v>
      </c>
      <c r="E4768" t="str">
        <f>IFERROR(+VLOOKUP(Movimientos_2026[[#This Row],[Codigo]],Plan_cuentas[],2,FALSE)," ")</f>
        <v xml:space="preserve"> </v>
      </c>
      <c r="F4768" t="str">
        <f>IFERROR(+VLOOKUP(Movimientos_2026[[#This Row],[Codigo]],Plan_cuentas[],3,FALSE)," ")</f>
        <v xml:space="preserve"> </v>
      </c>
      <c r="G4768" t="str">
        <f>IFERROR(+VLOOKUP(Movimientos_2026[[#This Row],[Codigo]],Plan_cuentas[],4,FALSE)," ")</f>
        <v xml:space="preserve"> </v>
      </c>
      <c r="H4768" t="str">
        <f>IFERROR(+VLOOKUP(Movimientos_2026[[#This Row],[Codigo]],Plan_cuentas[],5,FALSE)," ")</f>
        <v xml:space="preserve"> </v>
      </c>
      <c r="I4768" s="43"/>
      <c r="K4768" t="str">
        <f>IFERROR(+VLOOKUP(Movimientos_2026[[#This Row],[Codigo]],Plan_cuentas[],6,FALSE)," ")</f>
        <v xml:space="preserve"> </v>
      </c>
      <c r="L4768" s="50"/>
      <c r="M4768" s="50"/>
      <c r="N4768" s="20">
        <f>+Movimientos_2026[[#This Row],[Ingresos]]-Movimientos_2026[[#This Row],[Egresos]]</f>
        <v>0</v>
      </c>
      <c r="O4768" s="20">
        <f>+O4767+Movimientos_2026[[#This Row],[Neto]]</f>
        <v>4581558617.7962294</v>
      </c>
    </row>
    <row r="4769" spans="1:15" x14ac:dyDescent="0.25">
      <c r="A4769" s="13"/>
      <c r="B4769" s="12">
        <f>MONTH(Movimientos_2026[[#This Row],[Fecha]])</f>
        <v>1</v>
      </c>
      <c r="C4769" s="12" t="str">
        <f>VLOOKUP((WEEKDAY(Movimientos_2026[[#This Row],[Fecha]],2)),'5. Setup'!$D$6:$E$12,2,FALSE)</f>
        <v>Sab</v>
      </c>
      <c r="E4769" t="str">
        <f>IFERROR(+VLOOKUP(Movimientos_2026[[#This Row],[Codigo]],Plan_cuentas[],2,FALSE)," ")</f>
        <v xml:space="preserve"> </v>
      </c>
      <c r="F4769" t="str">
        <f>IFERROR(+VLOOKUP(Movimientos_2026[[#This Row],[Codigo]],Plan_cuentas[],3,FALSE)," ")</f>
        <v xml:space="preserve"> </v>
      </c>
      <c r="G4769" t="str">
        <f>IFERROR(+VLOOKUP(Movimientos_2026[[#This Row],[Codigo]],Plan_cuentas[],4,FALSE)," ")</f>
        <v xml:space="preserve"> </v>
      </c>
      <c r="H4769" t="str">
        <f>IFERROR(+VLOOKUP(Movimientos_2026[[#This Row],[Codigo]],Plan_cuentas[],5,FALSE)," ")</f>
        <v xml:space="preserve"> </v>
      </c>
      <c r="I4769" s="43"/>
      <c r="K4769" t="str">
        <f>IFERROR(+VLOOKUP(Movimientos_2026[[#This Row],[Codigo]],Plan_cuentas[],6,FALSE)," ")</f>
        <v xml:space="preserve"> </v>
      </c>
      <c r="L4769" s="50"/>
      <c r="M4769" s="50"/>
      <c r="N4769" s="20">
        <f>+Movimientos_2026[[#This Row],[Ingresos]]-Movimientos_2026[[#This Row],[Egresos]]</f>
        <v>0</v>
      </c>
      <c r="O4769" s="20">
        <f>+O4768+Movimientos_2026[[#This Row],[Neto]]</f>
        <v>4581558617.7962294</v>
      </c>
    </row>
    <row r="4770" spans="1:15" x14ac:dyDescent="0.25">
      <c r="A4770" s="13"/>
      <c r="B4770" s="12">
        <f>MONTH(Movimientos_2026[[#This Row],[Fecha]])</f>
        <v>1</v>
      </c>
      <c r="C4770" s="12" t="str">
        <f>VLOOKUP((WEEKDAY(Movimientos_2026[[#This Row],[Fecha]],2)),'5. Setup'!$D$6:$E$12,2,FALSE)</f>
        <v>Sab</v>
      </c>
      <c r="E4770" t="str">
        <f>IFERROR(+VLOOKUP(Movimientos_2026[[#This Row],[Codigo]],Plan_cuentas[],2,FALSE)," ")</f>
        <v xml:space="preserve"> </v>
      </c>
      <c r="F4770" t="str">
        <f>IFERROR(+VLOOKUP(Movimientos_2026[[#This Row],[Codigo]],Plan_cuentas[],3,FALSE)," ")</f>
        <v xml:space="preserve"> </v>
      </c>
      <c r="G4770" t="str">
        <f>IFERROR(+VLOOKUP(Movimientos_2026[[#This Row],[Codigo]],Plan_cuentas[],4,FALSE)," ")</f>
        <v xml:space="preserve"> </v>
      </c>
      <c r="H4770" t="str">
        <f>IFERROR(+VLOOKUP(Movimientos_2026[[#This Row],[Codigo]],Plan_cuentas[],5,FALSE)," ")</f>
        <v xml:space="preserve"> </v>
      </c>
      <c r="I4770" s="43"/>
      <c r="K4770" t="str">
        <f>IFERROR(+VLOOKUP(Movimientos_2026[[#This Row],[Codigo]],Plan_cuentas[],6,FALSE)," ")</f>
        <v xml:space="preserve"> </v>
      </c>
      <c r="L4770" s="50"/>
      <c r="M4770" s="50"/>
      <c r="N4770" s="20">
        <f>+Movimientos_2026[[#This Row],[Ingresos]]-Movimientos_2026[[#This Row],[Egresos]]</f>
        <v>0</v>
      </c>
      <c r="O4770" s="20">
        <f>+O4769+Movimientos_2026[[#This Row],[Neto]]</f>
        <v>4581558617.7962294</v>
      </c>
    </row>
    <row r="4771" spans="1:15" x14ac:dyDescent="0.25">
      <c r="A4771" s="13"/>
      <c r="B4771" s="12">
        <f>MONTH(Movimientos_2026[[#This Row],[Fecha]])</f>
        <v>1</v>
      </c>
      <c r="C4771" s="12" t="str">
        <f>VLOOKUP((WEEKDAY(Movimientos_2026[[#This Row],[Fecha]],2)),'5. Setup'!$D$6:$E$12,2,FALSE)</f>
        <v>Sab</v>
      </c>
      <c r="E4771" t="str">
        <f>IFERROR(+VLOOKUP(Movimientos_2026[[#This Row],[Codigo]],Plan_cuentas[],2,FALSE)," ")</f>
        <v xml:space="preserve"> </v>
      </c>
      <c r="F4771" t="str">
        <f>IFERROR(+VLOOKUP(Movimientos_2026[[#This Row],[Codigo]],Plan_cuentas[],3,FALSE)," ")</f>
        <v xml:space="preserve"> </v>
      </c>
      <c r="G4771" t="str">
        <f>IFERROR(+VLOOKUP(Movimientos_2026[[#This Row],[Codigo]],Plan_cuentas[],4,FALSE)," ")</f>
        <v xml:space="preserve"> </v>
      </c>
      <c r="H4771" t="str">
        <f>IFERROR(+VLOOKUP(Movimientos_2026[[#This Row],[Codigo]],Plan_cuentas[],5,FALSE)," ")</f>
        <v xml:space="preserve"> </v>
      </c>
      <c r="I4771" s="43"/>
      <c r="K4771" t="str">
        <f>IFERROR(+VLOOKUP(Movimientos_2026[[#This Row],[Codigo]],Plan_cuentas[],6,FALSE)," ")</f>
        <v xml:space="preserve"> </v>
      </c>
      <c r="L4771" s="50"/>
      <c r="M4771" s="50"/>
      <c r="N4771" s="20">
        <f>+Movimientos_2026[[#This Row],[Ingresos]]-Movimientos_2026[[#This Row],[Egresos]]</f>
        <v>0</v>
      </c>
      <c r="O4771" s="20">
        <f>+O4770+Movimientos_2026[[#This Row],[Neto]]</f>
        <v>4581558617.7962294</v>
      </c>
    </row>
    <row r="4772" spans="1:15" x14ac:dyDescent="0.25">
      <c r="A4772" s="13"/>
      <c r="B4772" s="12">
        <f>MONTH(Movimientos_2026[[#This Row],[Fecha]])</f>
        <v>1</v>
      </c>
      <c r="C4772" s="12" t="str">
        <f>VLOOKUP((WEEKDAY(Movimientos_2026[[#This Row],[Fecha]],2)),'5. Setup'!$D$6:$E$12,2,FALSE)</f>
        <v>Sab</v>
      </c>
      <c r="E4772" t="str">
        <f>IFERROR(+VLOOKUP(Movimientos_2026[[#This Row],[Codigo]],Plan_cuentas[],2,FALSE)," ")</f>
        <v xml:space="preserve"> </v>
      </c>
      <c r="F4772" t="str">
        <f>IFERROR(+VLOOKUP(Movimientos_2026[[#This Row],[Codigo]],Plan_cuentas[],3,FALSE)," ")</f>
        <v xml:space="preserve"> </v>
      </c>
      <c r="G4772" t="str">
        <f>IFERROR(+VLOOKUP(Movimientos_2026[[#This Row],[Codigo]],Plan_cuentas[],4,FALSE)," ")</f>
        <v xml:space="preserve"> </v>
      </c>
      <c r="H4772" t="str">
        <f>IFERROR(+VLOOKUP(Movimientos_2026[[#This Row],[Codigo]],Plan_cuentas[],5,FALSE)," ")</f>
        <v xml:space="preserve"> </v>
      </c>
      <c r="I4772" s="43"/>
      <c r="K4772" t="str">
        <f>IFERROR(+VLOOKUP(Movimientos_2026[[#This Row],[Codigo]],Plan_cuentas[],6,FALSE)," ")</f>
        <v xml:space="preserve"> </v>
      </c>
      <c r="L4772" s="50"/>
      <c r="M4772" s="50"/>
      <c r="N4772" s="20">
        <f>+Movimientos_2026[[#This Row],[Ingresos]]-Movimientos_2026[[#This Row],[Egresos]]</f>
        <v>0</v>
      </c>
      <c r="O4772" s="20">
        <f>+O4771+Movimientos_2026[[#This Row],[Neto]]</f>
        <v>4581558617.7962294</v>
      </c>
    </row>
    <row r="4773" spans="1:15" x14ac:dyDescent="0.25">
      <c r="A4773" s="13"/>
      <c r="B4773" s="12">
        <f>MONTH(Movimientos_2026[[#This Row],[Fecha]])</f>
        <v>1</v>
      </c>
      <c r="C4773" s="12" t="str">
        <f>VLOOKUP((WEEKDAY(Movimientos_2026[[#This Row],[Fecha]],2)),'5. Setup'!$D$6:$E$12,2,FALSE)</f>
        <v>Sab</v>
      </c>
      <c r="E4773" t="str">
        <f>IFERROR(+VLOOKUP(Movimientos_2026[[#This Row],[Codigo]],Plan_cuentas[],2,FALSE)," ")</f>
        <v xml:space="preserve"> </v>
      </c>
      <c r="F4773" t="str">
        <f>IFERROR(+VLOOKUP(Movimientos_2026[[#This Row],[Codigo]],Plan_cuentas[],3,FALSE)," ")</f>
        <v xml:space="preserve"> </v>
      </c>
      <c r="G4773" t="str">
        <f>IFERROR(+VLOOKUP(Movimientos_2026[[#This Row],[Codigo]],Plan_cuentas[],4,FALSE)," ")</f>
        <v xml:space="preserve"> </v>
      </c>
      <c r="H4773" t="str">
        <f>IFERROR(+VLOOKUP(Movimientos_2026[[#This Row],[Codigo]],Plan_cuentas[],5,FALSE)," ")</f>
        <v xml:space="preserve"> </v>
      </c>
      <c r="I4773" s="43"/>
      <c r="K4773" t="str">
        <f>IFERROR(+VLOOKUP(Movimientos_2026[[#This Row],[Codigo]],Plan_cuentas[],6,FALSE)," ")</f>
        <v xml:space="preserve"> </v>
      </c>
      <c r="L4773" s="50"/>
      <c r="M4773" s="50"/>
      <c r="N4773" s="20">
        <f>+Movimientos_2026[[#This Row],[Ingresos]]-Movimientos_2026[[#This Row],[Egresos]]</f>
        <v>0</v>
      </c>
      <c r="O4773" s="20">
        <f>+O4772+Movimientos_2026[[#This Row],[Neto]]</f>
        <v>4581558617.7962294</v>
      </c>
    </row>
    <row r="4774" spans="1:15" x14ac:dyDescent="0.25">
      <c r="A4774" s="13"/>
      <c r="B4774" s="12">
        <f>MONTH(Movimientos_2026[[#This Row],[Fecha]])</f>
        <v>1</v>
      </c>
      <c r="C4774" s="12" t="str">
        <f>VLOOKUP((WEEKDAY(Movimientos_2026[[#This Row],[Fecha]],2)),'5. Setup'!$D$6:$E$12,2,FALSE)</f>
        <v>Sab</v>
      </c>
      <c r="E4774" t="str">
        <f>IFERROR(+VLOOKUP(Movimientos_2026[[#This Row],[Codigo]],Plan_cuentas[],2,FALSE)," ")</f>
        <v xml:space="preserve"> </v>
      </c>
      <c r="F4774" t="str">
        <f>IFERROR(+VLOOKUP(Movimientos_2026[[#This Row],[Codigo]],Plan_cuentas[],3,FALSE)," ")</f>
        <v xml:space="preserve"> </v>
      </c>
      <c r="G4774" t="str">
        <f>IFERROR(+VLOOKUP(Movimientos_2026[[#This Row],[Codigo]],Plan_cuentas[],4,FALSE)," ")</f>
        <v xml:space="preserve"> </v>
      </c>
      <c r="H4774" t="str">
        <f>IFERROR(+VLOOKUP(Movimientos_2026[[#This Row],[Codigo]],Plan_cuentas[],5,FALSE)," ")</f>
        <v xml:space="preserve"> </v>
      </c>
      <c r="I4774" s="43"/>
      <c r="K4774" t="str">
        <f>IFERROR(+VLOOKUP(Movimientos_2026[[#This Row],[Codigo]],Plan_cuentas[],6,FALSE)," ")</f>
        <v xml:space="preserve"> </v>
      </c>
      <c r="L4774" s="50"/>
      <c r="M4774" s="50"/>
      <c r="N4774" s="20">
        <f>+Movimientos_2026[[#This Row],[Ingresos]]-Movimientos_2026[[#This Row],[Egresos]]</f>
        <v>0</v>
      </c>
      <c r="O4774" s="20">
        <f>+O4773+Movimientos_2026[[#This Row],[Neto]]</f>
        <v>4581558617.7962294</v>
      </c>
    </row>
    <row r="4775" spans="1:15" x14ac:dyDescent="0.25">
      <c r="A4775" s="13"/>
      <c r="B4775" s="12">
        <f>MONTH(Movimientos_2026[[#This Row],[Fecha]])</f>
        <v>1</v>
      </c>
      <c r="C4775" s="12" t="str">
        <f>VLOOKUP((WEEKDAY(Movimientos_2026[[#This Row],[Fecha]],2)),'5. Setup'!$D$6:$E$12,2,FALSE)</f>
        <v>Sab</v>
      </c>
      <c r="E4775" t="str">
        <f>IFERROR(+VLOOKUP(Movimientos_2026[[#This Row],[Codigo]],Plan_cuentas[],2,FALSE)," ")</f>
        <v xml:space="preserve"> </v>
      </c>
      <c r="F4775" t="str">
        <f>IFERROR(+VLOOKUP(Movimientos_2026[[#This Row],[Codigo]],Plan_cuentas[],3,FALSE)," ")</f>
        <v xml:space="preserve"> </v>
      </c>
      <c r="G4775" t="str">
        <f>IFERROR(+VLOOKUP(Movimientos_2026[[#This Row],[Codigo]],Plan_cuentas[],4,FALSE)," ")</f>
        <v xml:space="preserve"> </v>
      </c>
      <c r="H4775" t="str">
        <f>IFERROR(+VLOOKUP(Movimientos_2026[[#This Row],[Codigo]],Plan_cuentas[],5,FALSE)," ")</f>
        <v xml:space="preserve"> </v>
      </c>
      <c r="I4775" s="43"/>
      <c r="K4775" t="str">
        <f>IFERROR(+VLOOKUP(Movimientos_2026[[#This Row],[Codigo]],Plan_cuentas[],6,FALSE)," ")</f>
        <v xml:space="preserve"> </v>
      </c>
      <c r="L4775" s="50"/>
      <c r="M4775" s="50"/>
      <c r="N4775" s="20">
        <f>+Movimientos_2026[[#This Row],[Ingresos]]-Movimientos_2026[[#This Row],[Egresos]]</f>
        <v>0</v>
      </c>
      <c r="O4775" s="20">
        <f>+O4774+Movimientos_2026[[#This Row],[Neto]]</f>
        <v>4581558617.7962294</v>
      </c>
    </row>
    <row r="4776" spans="1:15" x14ac:dyDescent="0.25">
      <c r="A4776" s="13"/>
      <c r="B4776" s="12">
        <f>MONTH(Movimientos_2026[[#This Row],[Fecha]])</f>
        <v>1</v>
      </c>
      <c r="C4776" s="12" t="str">
        <f>VLOOKUP((WEEKDAY(Movimientos_2026[[#This Row],[Fecha]],2)),'5. Setup'!$D$6:$E$12,2,FALSE)</f>
        <v>Sab</v>
      </c>
      <c r="E4776" t="str">
        <f>IFERROR(+VLOOKUP(Movimientos_2026[[#This Row],[Codigo]],Plan_cuentas[],2,FALSE)," ")</f>
        <v xml:space="preserve"> </v>
      </c>
      <c r="F4776" t="str">
        <f>IFERROR(+VLOOKUP(Movimientos_2026[[#This Row],[Codigo]],Plan_cuentas[],3,FALSE)," ")</f>
        <v xml:space="preserve"> </v>
      </c>
      <c r="G4776" t="str">
        <f>IFERROR(+VLOOKUP(Movimientos_2026[[#This Row],[Codigo]],Plan_cuentas[],4,FALSE)," ")</f>
        <v xml:space="preserve"> </v>
      </c>
      <c r="H4776" t="str">
        <f>IFERROR(+VLOOKUP(Movimientos_2026[[#This Row],[Codigo]],Plan_cuentas[],5,FALSE)," ")</f>
        <v xml:space="preserve"> </v>
      </c>
      <c r="I4776" s="43"/>
      <c r="K4776" t="str">
        <f>IFERROR(+VLOOKUP(Movimientos_2026[[#This Row],[Codigo]],Plan_cuentas[],6,FALSE)," ")</f>
        <v xml:space="preserve"> </v>
      </c>
      <c r="L4776" s="50"/>
      <c r="M4776" s="50"/>
      <c r="N4776" s="20">
        <f>+Movimientos_2026[[#This Row],[Ingresos]]-Movimientos_2026[[#This Row],[Egresos]]</f>
        <v>0</v>
      </c>
      <c r="O4776" s="20">
        <f>+O4775+Movimientos_2026[[#This Row],[Neto]]</f>
        <v>4581558617.7962294</v>
      </c>
    </row>
    <row r="4777" spans="1:15" x14ac:dyDescent="0.25">
      <c r="A4777" s="13"/>
      <c r="B4777" s="12">
        <f>MONTH(Movimientos_2026[[#This Row],[Fecha]])</f>
        <v>1</v>
      </c>
      <c r="C4777" s="12" t="str">
        <f>VLOOKUP((WEEKDAY(Movimientos_2026[[#This Row],[Fecha]],2)),'5. Setup'!$D$6:$E$12,2,FALSE)</f>
        <v>Sab</v>
      </c>
      <c r="E4777" t="str">
        <f>IFERROR(+VLOOKUP(Movimientos_2026[[#This Row],[Codigo]],Plan_cuentas[],2,FALSE)," ")</f>
        <v xml:space="preserve"> </v>
      </c>
      <c r="F4777" t="str">
        <f>IFERROR(+VLOOKUP(Movimientos_2026[[#This Row],[Codigo]],Plan_cuentas[],3,FALSE)," ")</f>
        <v xml:space="preserve"> </v>
      </c>
      <c r="G4777" t="str">
        <f>IFERROR(+VLOOKUP(Movimientos_2026[[#This Row],[Codigo]],Plan_cuentas[],4,FALSE)," ")</f>
        <v xml:space="preserve"> </v>
      </c>
      <c r="H4777" t="str">
        <f>IFERROR(+VLOOKUP(Movimientos_2026[[#This Row],[Codigo]],Plan_cuentas[],5,FALSE)," ")</f>
        <v xml:space="preserve"> </v>
      </c>
      <c r="I4777" s="43"/>
      <c r="K4777" t="str">
        <f>IFERROR(+VLOOKUP(Movimientos_2026[[#This Row],[Codigo]],Plan_cuentas[],6,FALSE)," ")</f>
        <v xml:space="preserve"> </v>
      </c>
      <c r="L4777" s="50"/>
      <c r="M4777" s="50"/>
      <c r="N4777" s="20">
        <f>+Movimientos_2026[[#This Row],[Ingresos]]-Movimientos_2026[[#This Row],[Egresos]]</f>
        <v>0</v>
      </c>
      <c r="O4777" s="20">
        <f>+O4776+Movimientos_2026[[#This Row],[Neto]]</f>
        <v>4581558617.7962294</v>
      </c>
    </row>
    <row r="4778" spans="1:15" x14ac:dyDescent="0.25">
      <c r="A4778" s="13"/>
      <c r="B4778" s="12">
        <f>MONTH(Movimientos_2026[[#This Row],[Fecha]])</f>
        <v>1</v>
      </c>
      <c r="C4778" s="12" t="str">
        <f>VLOOKUP((WEEKDAY(Movimientos_2026[[#This Row],[Fecha]],2)),'5. Setup'!$D$6:$E$12,2,FALSE)</f>
        <v>Sab</v>
      </c>
      <c r="E4778" t="str">
        <f>IFERROR(+VLOOKUP(Movimientos_2026[[#This Row],[Codigo]],Plan_cuentas[],2,FALSE)," ")</f>
        <v xml:space="preserve"> </v>
      </c>
      <c r="F4778" t="str">
        <f>IFERROR(+VLOOKUP(Movimientos_2026[[#This Row],[Codigo]],Plan_cuentas[],3,FALSE)," ")</f>
        <v xml:space="preserve"> </v>
      </c>
      <c r="G4778" t="str">
        <f>IFERROR(+VLOOKUP(Movimientos_2026[[#This Row],[Codigo]],Plan_cuentas[],4,FALSE)," ")</f>
        <v xml:space="preserve"> </v>
      </c>
      <c r="H4778" t="str">
        <f>IFERROR(+VLOOKUP(Movimientos_2026[[#This Row],[Codigo]],Plan_cuentas[],5,FALSE)," ")</f>
        <v xml:space="preserve"> </v>
      </c>
      <c r="I4778" s="43"/>
      <c r="K4778" t="str">
        <f>IFERROR(+VLOOKUP(Movimientos_2026[[#This Row],[Codigo]],Plan_cuentas[],6,FALSE)," ")</f>
        <v xml:space="preserve"> </v>
      </c>
      <c r="L4778" s="50"/>
      <c r="M4778" s="50"/>
      <c r="N4778" s="20">
        <f>+Movimientos_2026[[#This Row],[Ingresos]]-Movimientos_2026[[#This Row],[Egresos]]</f>
        <v>0</v>
      </c>
      <c r="O4778" s="20">
        <f>+O4777+Movimientos_2026[[#This Row],[Neto]]</f>
        <v>4581558617.7962294</v>
      </c>
    </row>
    <row r="4779" spans="1:15" x14ac:dyDescent="0.25">
      <c r="A4779" s="13"/>
      <c r="B4779" s="12">
        <f>MONTH(Movimientos_2026[[#This Row],[Fecha]])</f>
        <v>1</v>
      </c>
      <c r="C4779" s="12" t="str">
        <f>VLOOKUP((WEEKDAY(Movimientos_2026[[#This Row],[Fecha]],2)),'5. Setup'!$D$6:$E$12,2,FALSE)</f>
        <v>Sab</v>
      </c>
      <c r="E4779" t="str">
        <f>IFERROR(+VLOOKUP(Movimientos_2026[[#This Row],[Codigo]],Plan_cuentas[],2,FALSE)," ")</f>
        <v xml:space="preserve"> </v>
      </c>
      <c r="F4779" t="str">
        <f>IFERROR(+VLOOKUP(Movimientos_2026[[#This Row],[Codigo]],Plan_cuentas[],3,FALSE)," ")</f>
        <v xml:space="preserve"> </v>
      </c>
      <c r="G4779" t="str">
        <f>IFERROR(+VLOOKUP(Movimientos_2026[[#This Row],[Codigo]],Plan_cuentas[],4,FALSE)," ")</f>
        <v xml:space="preserve"> </v>
      </c>
      <c r="H4779" t="str">
        <f>IFERROR(+VLOOKUP(Movimientos_2026[[#This Row],[Codigo]],Plan_cuentas[],5,FALSE)," ")</f>
        <v xml:space="preserve"> </v>
      </c>
      <c r="I4779" s="43"/>
      <c r="K4779" t="str">
        <f>IFERROR(+VLOOKUP(Movimientos_2026[[#This Row],[Codigo]],Plan_cuentas[],6,FALSE)," ")</f>
        <v xml:space="preserve"> </v>
      </c>
      <c r="L4779" s="50"/>
      <c r="M4779" s="50"/>
      <c r="N4779" s="20">
        <f>+Movimientos_2026[[#This Row],[Ingresos]]-Movimientos_2026[[#This Row],[Egresos]]</f>
        <v>0</v>
      </c>
      <c r="O4779" s="20">
        <f>+O4778+Movimientos_2026[[#This Row],[Neto]]</f>
        <v>4581558617.7962294</v>
      </c>
    </row>
    <row r="4780" spans="1:15" x14ac:dyDescent="0.25">
      <c r="A4780" s="13"/>
      <c r="B4780" s="12">
        <f>MONTH(Movimientos_2026[[#This Row],[Fecha]])</f>
        <v>1</v>
      </c>
      <c r="C4780" s="12" t="str">
        <f>VLOOKUP((WEEKDAY(Movimientos_2026[[#This Row],[Fecha]],2)),'5. Setup'!$D$6:$E$12,2,FALSE)</f>
        <v>Sab</v>
      </c>
      <c r="E4780" t="str">
        <f>IFERROR(+VLOOKUP(Movimientos_2026[[#This Row],[Codigo]],Plan_cuentas[],2,FALSE)," ")</f>
        <v xml:space="preserve"> </v>
      </c>
      <c r="F4780" t="str">
        <f>IFERROR(+VLOOKUP(Movimientos_2026[[#This Row],[Codigo]],Plan_cuentas[],3,FALSE)," ")</f>
        <v xml:space="preserve"> </v>
      </c>
      <c r="G4780" t="str">
        <f>IFERROR(+VLOOKUP(Movimientos_2026[[#This Row],[Codigo]],Plan_cuentas[],4,FALSE)," ")</f>
        <v xml:space="preserve"> </v>
      </c>
      <c r="H4780" t="str">
        <f>IFERROR(+VLOOKUP(Movimientos_2026[[#This Row],[Codigo]],Plan_cuentas[],5,FALSE)," ")</f>
        <v xml:space="preserve"> </v>
      </c>
      <c r="I4780" s="43"/>
      <c r="K4780" t="str">
        <f>IFERROR(+VLOOKUP(Movimientos_2026[[#This Row],[Codigo]],Plan_cuentas[],6,FALSE)," ")</f>
        <v xml:space="preserve"> </v>
      </c>
      <c r="L4780" s="50"/>
      <c r="M4780" s="50"/>
      <c r="N4780" s="20">
        <f>+Movimientos_2026[[#This Row],[Ingresos]]-Movimientos_2026[[#This Row],[Egresos]]</f>
        <v>0</v>
      </c>
      <c r="O4780" s="20">
        <f>+O4779+Movimientos_2026[[#This Row],[Neto]]</f>
        <v>4581558617.7962294</v>
      </c>
    </row>
    <row r="4781" spans="1:15" x14ac:dyDescent="0.25">
      <c r="A4781" s="13"/>
      <c r="B4781" s="12">
        <f>MONTH(Movimientos_2026[[#This Row],[Fecha]])</f>
        <v>1</v>
      </c>
      <c r="C4781" s="12" t="str">
        <f>VLOOKUP((WEEKDAY(Movimientos_2026[[#This Row],[Fecha]],2)),'5. Setup'!$D$6:$E$12,2,FALSE)</f>
        <v>Sab</v>
      </c>
      <c r="E4781" t="str">
        <f>IFERROR(+VLOOKUP(Movimientos_2026[[#This Row],[Codigo]],Plan_cuentas[],2,FALSE)," ")</f>
        <v xml:space="preserve"> </v>
      </c>
      <c r="F4781" t="str">
        <f>IFERROR(+VLOOKUP(Movimientos_2026[[#This Row],[Codigo]],Plan_cuentas[],3,FALSE)," ")</f>
        <v xml:space="preserve"> </v>
      </c>
      <c r="G4781" t="str">
        <f>IFERROR(+VLOOKUP(Movimientos_2026[[#This Row],[Codigo]],Plan_cuentas[],4,FALSE)," ")</f>
        <v xml:space="preserve"> </v>
      </c>
      <c r="H4781" t="str">
        <f>IFERROR(+VLOOKUP(Movimientos_2026[[#This Row],[Codigo]],Plan_cuentas[],5,FALSE)," ")</f>
        <v xml:space="preserve"> </v>
      </c>
      <c r="I4781" s="43"/>
      <c r="K4781" t="str">
        <f>IFERROR(+VLOOKUP(Movimientos_2026[[#This Row],[Codigo]],Plan_cuentas[],6,FALSE)," ")</f>
        <v xml:space="preserve"> </v>
      </c>
      <c r="L4781" s="50"/>
      <c r="M4781" s="50"/>
      <c r="N4781" s="20">
        <f>+Movimientos_2026[[#This Row],[Ingresos]]-Movimientos_2026[[#This Row],[Egresos]]</f>
        <v>0</v>
      </c>
      <c r="O4781" s="20">
        <f>+O4780+Movimientos_2026[[#This Row],[Neto]]</f>
        <v>4581558617.7962294</v>
      </c>
    </row>
    <row r="4782" spans="1:15" x14ac:dyDescent="0.25">
      <c r="A4782" s="13"/>
      <c r="B4782" s="12">
        <f>MONTH(Movimientos_2026[[#This Row],[Fecha]])</f>
        <v>1</v>
      </c>
      <c r="C4782" s="12" t="str">
        <f>VLOOKUP((WEEKDAY(Movimientos_2026[[#This Row],[Fecha]],2)),'5. Setup'!$D$6:$E$12,2,FALSE)</f>
        <v>Sab</v>
      </c>
      <c r="E4782" t="str">
        <f>IFERROR(+VLOOKUP(Movimientos_2026[[#This Row],[Codigo]],Plan_cuentas[],2,FALSE)," ")</f>
        <v xml:space="preserve"> </v>
      </c>
      <c r="F4782" t="str">
        <f>IFERROR(+VLOOKUP(Movimientos_2026[[#This Row],[Codigo]],Plan_cuentas[],3,FALSE)," ")</f>
        <v xml:space="preserve"> </v>
      </c>
      <c r="G4782" t="str">
        <f>IFERROR(+VLOOKUP(Movimientos_2026[[#This Row],[Codigo]],Plan_cuentas[],4,FALSE)," ")</f>
        <v xml:space="preserve"> </v>
      </c>
      <c r="H4782" t="str">
        <f>IFERROR(+VLOOKUP(Movimientos_2026[[#This Row],[Codigo]],Plan_cuentas[],5,FALSE)," ")</f>
        <v xml:space="preserve"> </v>
      </c>
      <c r="I4782" s="43"/>
      <c r="K4782" t="str">
        <f>IFERROR(+VLOOKUP(Movimientos_2026[[#This Row],[Codigo]],Plan_cuentas[],6,FALSE)," ")</f>
        <v xml:space="preserve"> </v>
      </c>
      <c r="L4782" s="50"/>
      <c r="M4782" s="50"/>
      <c r="N4782" s="20">
        <f>+Movimientos_2026[[#This Row],[Ingresos]]-Movimientos_2026[[#This Row],[Egresos]]</f>
        <v>0</v>
      </c>
      <c r="O4782" s="20">
        <f>+O4781+Movimientos_2026[[#This Row],[Neto]]</f>
        <v>4581558617.7962294</v>
      </c>
    </row>
    <row r="4783" spans="1:15" x14ac:dyDescent="0.25">
      <c r="A4783" s="13"/>
      <c r="B4783" s="12">
        <f>MONTH(Movimientos_2026[[#This Row],[Fecha]])</f>
        <v>1</v>
      </c>
      <c r="C4783" s="12" t="str">
        <f>VLOOKUP((WEEKDAY(Movimientos_2026[[#This Row],[Fecha]],2)),'5. Setup'!$D$6:$E$12,2,FALSE)</f>
        <v>Sab</v>
      </c>
      <c r="E4783" t="str">
        <f>IFERROR(+VLOOKUP(Movimientos_2026[[#This Row],[Codigo]],Plan_cuentas[],2,FALSE)," ")</f>
        <v xml:space="preserve"> </v>
      </c>
      <c r="F4783" t="str">
        <f>IFERROR(+VLOOKUP(Movimientos_2026[[#This Row],[Codigo]],Plan_cuentas[],3,FALSE)," ")</f>
        <v xml:space="preserve"> </v>
      </c>
      <c r="G4783" t="str">
        <f>IFERROR(+VLOOKUP(Movimientos_2026[[#This Row],[Codigo]],Plan_cuentas[],4,FALSE)," ")</f>
        <v xml:space="preserve"> </v>
      </c>
      <c r="H4783" t="str">
        <f>IFERROR(+VLOOKUP(Movimientos_2026[[#This Row],[Codigo]],Plan_cuentas[],5,FALSE)," ")</f>
        <v xml:space="preserve"> </v>
      </c>
      <c r="I4783" s="43"/>
      <c r="K4783" t="str">
        <f>IFERROR(+VLOOKUP(Movimientos_2026[[#This Row],[Codigo]],Plan_cuentas[],6,FALSE)," ")</f>
        <v xml:space="preserve"> </v>
      </c>
      <c r="L4783" s="50"/>
      <c r="M4783" s="50"/>
      <c r="N4783" s="20">
        <f>+Movimientos_2026[[#This Row],[Ingresos]]-Movimientos_2026[[#This Row],[Egresos]]</f>
        <v>0</v>
      </c>
      <c r="O4783" s="20">
        <f>+O4782+Movimientos_2026[[#This Row],[Neto]]</f>
        <v>4581558617.7962294</v>
      </c>
    </row>
    <row r="4784" spans="1:15" x14ac:dyDescent="0.25">
      <c r="A4784" s="13"/>
      <c r="B4784" s="12">
        <f>MONTH(Movimientos_2026[[#This Row],[Fecha]])</f>
        <v>1</v>
      </c>
      <c r="C4784" s="12" t="str">
        <f>VLOOKUP((WEEKDAY(Movimientos_2026[[#This Row],[Fecha]],2)),'5. Setup'!$D$6:$E$12,2,FALSE)</f>
        <v>Sab</v>
      </c>
      <c r="E4784" t="str">
        <f>IFERROR(+VLOOKUP(Movimientos_2026[[#This Row],[Codigo]],Plan_cuentas[],2,FALSE)," ")</f>
        <v xml:space="preserve"> </v>
      </c>
      <c r="F4784" t="str">
        <f>IFERROR(+VLOOKUP(Movimientos_2026[[#This Row],[Codigo]],Plan_cuentas[],3,FALSE)," ")</f>
        <v xml:space="preserve"> </v>
      </c>
      <c r="G4784" t="str">
        <f>IFERROR(+VLOOKUP(Movimientos_2026[[#This Row],[Codigo]],Plan_cuentas[],4,FALSE)," ")</f>
        <v xml:space="preserve"> </v>
      </c>
      <c r="H4784" t="str">
        <f>IFERROR(+VLOOKUP(Movimientos_2026[[#This Row],[Codigo]],Plan_cuentas[],5,FALSE)," ")</f>
        <v xml:space="preserve"> </v>
      </c>
      <c r="I4784" s="43"/>
      <c r="K4784" t="str">
        <f>IFERROR(+VLOOKUP(Movimientos_2026[[#This Row],[Codigo]],Plan_cuentas[],6,FALSE)," ")</f>
        <v xml:space="preserve"> </v>
      </c>
      <c r="L4784" s="50"/>
      <c r="M4784" s="50"/>
      <c r="N4784" s="20">
        <f>+Movimientos_2026[[#This Row],[Ingresos]]-Movimientos_2026[[#This Row],[Egresos]]</f>
        <v>0</v>
      </c>
      <c r="O4784" s="20">
        <f>+O4783+Movimientos_2026[[#This Row],[Neto]]</f>
        <v>4581558617.7962294</v>
      </c>
    </row>
    <row r="4785" spans="1:15" x14ac:dyDescent="0.25">
      <c r="A4785" s="13"/>
      <c r="B4785" s="12">
        <f>MONTH(Movimientos_2026[[#This Row],[Fecha]])</f>
        <v>1</v>
      </c>
      <c r="C4785" s="12" t="str">
        <f>VLOOKUP((WEEKDAY(Movimientos_2026[[#This Row],[Fecha]],2)),'5. Setup'!$D$6:$E$12,2,FALSE)</f>
        <v>Sab</v>
      </c>
      <c r="E4785" t="str">
        <f>IFERROR(+VLOOKUP(Movimientos_2026[[#This Row],[Codigo]],Plan_cuentas[],2,FALSE)," ")</f>
        <v xml:space="preserve"> </v>
      </c>
      <c r="F4785" t="str">
        <f>IFERROR(+VLOOKUP(Movimientos_2026[[#This Row],[Codigo]],Plan_cuentas[],3,FALSE)," ")</f>
        <v xml:space="preserve"> </v>
      </c>
      <c r="G4785" t="str">
        <f>IFERROR(+VLOOKUP(Movimientos_2026[[#This Row],[Codigo]],Plan_cuentas[],4,FALSE)," ")</f>
        <v xml:space="preserve"> </v>
      </c>
      <c r="H4785" t="str">
        <f>IFERROR(+VLOOKUP(Movimientos_2026[[#This Row],[Codigo]],Plan_cuentas[],5,FALSE)," ")</f>
        <v xml:space="preserve"> </v>
      </c>
      <c r="I4785" s="43"/>
      <c r="K4785" t="str">
        <f>IFERROR(+VLOOKUP(Movimientos_2026[[#This Row],[Codigo]],Plan_cuentas[],6,FALSE)," ")</f>
        <v xml:space="preserve"> </v>
      </c>
      <c r="L4785" s="50"/>
      <c r="M4785" s="50"/>
      <c r="N4785" s="20">
        <f>+Movimientos_2026[[#This Row],[Ingresos]]-Movimientos_2026[[#This Row],[Egresos]]</f>
        <v>0</v>
      </c>
      <c r="O4785" s="20">
        <f>+O4784+Movimientos_2026[[#This Row],[Neto]]</f>
        <v>4581558617.7962294</v>
      </c>
    </row>
    <row r="4786" spans="1:15" x14ac:dyDescent="0.25">
      <c r="A4786" s="13"/>
      <c r="B4786" s="12">
        <f>MONTH(Movimientos_2026[[#This Row],[Fecha]])</f>
        <v>1</v>
      </c>
      <c r="C4786" s="12" t="str">
        <f>VLOOKUP((WEEKDAY(Movimientos_2026[[#This Row],[Fecha]],2)),'5. Setup'!$D$6:$E$12,2,FALSE)</f>
        <v>Sab</v>
      </c>
      <c r="E4786" t="str">
        <f>IFERROR(+VLOOKUP(Movimientos_2026[[#This Row],[Codigo]],Plan_cuentas[],2,FALSE)," ")</f>
        <v xml:space="preserve"> </v>
      </c>
      <c r="F4786" t="str">
        <f>IFERROR(+VLOOKUP(Movimientos_2026[[#This Row],[Codigo]],Plan_cuentas[],3,FALSE)," ")</f>
        <v xml:space="preserve"> </v>
      </c>
      <c r="G4786" t="str">
        <f>IFERROR(+VLOOKUP(Movimientos_2026[[#This Row],[Codigo]],Plan_cuentas[],4,FALSE)," ")</f>
        <v xml:space="preserve"> </v>
      </c>
      <c r="H4786" t="str">
        <f>IFERROR(+VLOOKUP(Movimientos_2026[[#This Row],[Codigo]],Plan_cuentas[],5,FALSE)," ")</f>
        <v xml:space="preserve"> </v>
      </c>
      <c r="I4786" s="43"/>
      <c r="K4786" t="str">
        <f>IFERROR(+VLOOKUP(Movimientos_2026[[#This Row],[Codigo]],Plan_cuentas[],6,FALSE)," ")</f>
        <v xml:space="preserve"> </v>
      </c>
      <c r="L4786" s="50"/>
      <c r="M4786" s="50"/>
      <c r="N4786" s="20">
        <f>+Movimientos_2026[[#This Row],[Ingresos]]-Movimientos_2026[[#This Row],[Egresos]]</f>
        <v>0</v>
      </c>
      <c r="O4786" s="20">
        <f>+O4785+Movimientos_2026[[#This Row],[Neto]]</f>
        <v>4581558617.7962294</v>
      </c>
    </row>
    <row r="4787" spans="1:15" x14ac:dyDescent="0.25">
      <c r="A4787" s="13"/>
      <c r="B4787" s="12">
        <f>MONTH(Movimientos_2026[[#This Row],[Fecha]])</f>
        <v>1</v>
      </c>
      <c r="C4787" s="12" t="str">
        <f>VLOOKUP((WEEKDAY(Movimientos_2026[[#This Row],[Fecha]],2)),'5. Setup'!$D$6:$E$12,2,FALSE)</f>
        <v>Sab</v>
      </c>
      <c r="E4787" t="str">
        <f>IFERROR(+VLOOKUP(Movimientos_2026[[#This Row],[Codigo]],Plan_cuentas[],2,FALSE)," ")</f>
        <v xml:space="preserve"> </v>
      </c>
      <c r="F4787" t="str">
        <f>IFERROR(+VLOOKUP(Movimientos_2026[[#This Row],[Codigo]],Plan_cuentas[],3,FALSE)," ")</f>
        <v xml:space="preserve"> </v>
      </c>
      <c r="G4787" t="str">
        <f>IFERROR(+VLOOKUP(Movimientos_2026[[#This Row],[Codigo]],Plan_cuentas[],4,FALSE)," ")</f>
        <v xml:space="preserve"> </v>
      </c>
      <c r="H4787" t="str">
        <f>IFERROR(+VLOOKUP(Movimientos_2026[[#This Row],[Codigo]],Plan_cuentas[],5,FALSE)," ")</f>
        <v xml:space="preserve"> </v>
      </c>
      <c r="I4787" s="43"/>
      <c r="K4787" t="str">
        <f>IFERROR(+VLOOKUP(Movimientos_2026[[#This Row],[Codigo]],Plan_cuentas[],6,FALSE)," ")</f>
        <v xml:space="preserve"> </v>
      </c>
      <c r="L4787" s="50"/>
      <c r="M4787" s="50"/>
      <c r="N4787" s="20">
        <f>+Movimientos_2026[[#This Row],[Ingresos]]-Movimientos_2026[[#This Row],[Egresos]]</f>
        <v>0</v>
      </c>
      <c r="O4787" s="20">
        <f>+O4786+Movimientos_2026[[#This Row],[Neto]]</f>
        <v>4581558617.7962294</v>
      </c>
    </row>
    <row r="4788" spans="1:15" x14ac:dyDescent="0.25">
      <c r="A4788" s="13"/>
      <c r="B4788" s="12">
        <f>MONTH(Movimientos_2026[[#This Row],[Fecha]])</f>
        <v>1</v>
      </c>
      <c r="C4788" s="12" t="str">
        <f>VLOOKUP((WEEKDAY(Movimientos_2026[[#This Row],[Fecha]],2)),'5. Setup'!$D$6:$E$12,2,FALSE)</f>
        <v>Sab</v>
      </c>
      <c r="E4788" t="str">
        <f>IFERROR(+VLOOKUP(Movimientos_2026[[#This Row],[Codigo]],Plan_cuentas[],2,FALSE)," ")</f>
        <v xml:space="preserve"> </v>
      </c>
      <c r="F4788" t="str">
        <f>IFERROR(+VLOOKUP(Movimientos_2026[[#This Row],[Codigo]],Plan_cuentas[],3,FALSE)," ")</f>
        <v xml:space="preserve"> </v>
      </c>
      <c r="G4788" t="str">
        <f>IFERROR(+VLOOKUP(Movimientos_2026[[#This Row],[Codigo]],Plan_cuentas[],4,FALSE)," ")</f>
        <v xml:space="preserve"> </v>
      </c>
      <c r="H4788" t="str">
        <f>IFERROR(+VLOOKUP(Movimientos_2026[[#This Row],[Codigo]],Plan_cuentas[],5,FALSE)," ")</f>
        <v xml:space="preserve"> </v>
      </c>
      <c r="I4788" s="43"/>
      <c r="K4788" t="str">
        <f>IFERROR(+VLOOKUP(Movimientos_2026[[#This Row],[Codigo]],Plan_cuentas[],6,FALSE)," ")</f>
        <v xml:space="preserve"> </v>
      </c>
      <c r="L4788" s="50"/>
      <c r="M4788" s="50"/>
      <c r="N4788" s="20">
        <f>+Movimientos_2026[[#This Row],[Ingresos]]-Movimientos_2026[[#This Row],[Egresos]]</f>
        <v>0</v>
      </c>
      <c r="O4788" s="20">
        <f>+O4787+Movimientos_2026[[#This Row],[Neto]]</f>
        <v>4581558617.7962294</v>
      </c>
    </row>
    <row r="4789" spans="1:15" x14ac:dyDescent="0.25">
      <c r="A4789" s="13"/>
      <c r="B4789" s="12">
        <f>MONTH(Movimientos_2026[[#This Row],[Fecha]])</f>
        <v>1</v>
      </c>
      <c r="C4789" s="12" t="str">
        <f>VLOOKUP((WEEKDAY(Movimientos_2026[[#This Row],[Fecha]],2)),'5. Setup'!$D$6:$E$12,2,FALSE)</f>
        <v>Sab</v>
      </c>
      <c r="E4789" t="str">
        <f>IFERROR(+VLOOKUP(Movimientos_2026[[#This Row],[Codigo]],Plan_cuentas[],2,FALSE)," ")</f>
        <v xml:space="preserve"> </v>
      </c>
      <c r="F4789" t="str">
        <f>IFERROR(+VLOOKUP(Movimientos_2026[[#This Row],[Codigo]],Plan_cuentas[],3,FALSE)," ")</f>
        <v xml:space="preserve"> </v>
      </c>
      <c r="G4789" t="str">
        <f>IFERROR(+VLOOKUP(Movimientos_2026[[#This Row],[Codigo]],Plan_cuentas[],4,FALSE)," ")</f>
        <v xml:space="preserve"> </v>
      </c>
      <c r="H4789" t="str">
        <f>IFERROR(+VLOOKUP(Movimientos_2026[[#This Row],[Codigo]],Plan_cuentas[],5,FALSE)," ")</f>
        <v xml:space="preserve"> </v>
      </c>
      <c r="I4789" s="43"/>
      <c r="K4789" t="str">
        <f>IFERROR(+VLOOKUP(Movimientos_2026[[#This Row],[Codigo]],Plan_cuentas[],6,FALSE)," ")</f>
        <v xml:space="preserve"> </v>
      </c>
      <c r="L4789" s="50"/>
      <c r="M4789" s="50"/>
      <c r="N4789" s="20">
        <f>+Movimientos_2026[[#This Row],[Ingresos]]-Movimientos_2026[[#This Row],[Egresos]]</f>
        <v>0</v>
      </c>
      <c r="O4789" s="20">
        <f>+O4788+Movimientos_2026[[#This Row],[Neto]]</f>
        <v>4581558617.7962294</v>
      </c>
    </row>
    <row r="4790" spans="1:15" x14ac:dyDescent="0.25">
      <c r="A4790" s="13"/>
      <c r="B4790" s="12">
        <f>MONTH(Movimientos_2026[[#This Row],[Fecha]])</f>
        <v>1</v>
      </c>
      <c r="C4790" s="12" t="str">
        <f>VLOOKUP((WEEKDAY(Movimientos_2026[[#This Row],[Fecha]],2)),'5. Setup'!$D$6:$E$12,2,FALSE)</f>
        <v>Sab</v>
      </c>
      <c r="E4790" t="str">
        <f>IFERROR(+VLOOKUP(Movimientos_2026[[#This Row],[Codigo]],Plan_cuentas[],2,FALSE)," ")</f>
        <v xml:space="preserve"> </v>
      </c>
      <c r="F4790" t="str">
        <f>IFERROR(+VLOOKUP(Movimientos_2026[[#This Row],[Codigo]],Plan_cuentas[],3,FALSE)," ")</f>
        <v xml:space="preserve"> </v>
      </c>
      <c r="G4790" t="str">
        <f>IFERROR(+VLOOKUP(Movimientos_2026[[#This Row],[Codigo]],Plan_cuentas[],4,FALSE)," ")</f>
        <v xml:space="preserve"> </v>
      </c>
      <c r="H4790" t="str">
        <f>IFERROR(+VLOOKUP(Movimientos_2026[[#This Row],[Codigo]],Plan_cuentas[],5,FALSE)," ")</f>
        <v xml:space="preserve"> </v>
      </c>
      <c r="I4790" s="43"/>
      <c r="K4790" t="str">
        <f>IFERROR(+VLOOKUP(Movimientos_2026[[#This Row],[Codigo]],Plan_cuentas[],6,FALSE)," ")</f>
        <v xml:space="preserve"> </v>
      </c>
      <c r="L4790" s="50"/>
      <c r="M4790" s="50"/>
      <c r="N4790" s="20">
        <f>+Movimientos_2026[[#This Row],[Ingresos]]-Movimientos_2026[[#This Row],[Egresos]]</f>
        <v>0</v>
      </c>
      <c r="O4790" s="20">
        <f>+O4789+Movimientos_2026[[#This Row],[Neto]]</f>
        <v>4581558617.7962294</v>
      </c>
    </row>
    <row r="4791" spans="1:15" x14ac:dyDescent="0.25">
      <c r="A4791" s="13"/>
      <c r="B4791" s="12">
        <f>MONTH(Movimientos_2026[[#This Row],[Fecha]])</f>
        <v>1</v>
      </c>
      <c r="C4791" s="12" t="str">
        <f>VLOOKUP((WEEKDAY(Movimientos_2026[[#This Row],[Fecha]],2)),'5. Setup'!$D$6:$E$12,2,FALSE)</f>
        <v>Sab</v>
      </c>
      <c r="E4791" t="str">
        <f>IFERROR(+VLOOKUP(Movimientos_2026[[#This Row],[Codigo]],Plan_cuentas[],2,FALSE)," ")</f>
        <v xml:space="preserve"> </v>
      </c>
      <c r="F4791" t="str">
        <f>IFERROR(+VLOOKUP(Movimientos_2026[[#This Row],[Codigo]],Plan_cuentas[],3,FALSE)," ")</f>
        <v xml:space="preserve"> </v>
      </c>
      <c r="G4791" t="str">
        <f>IFERROR(+VLOOKUP(Movimientos_2026[[#This Row],[Codigo]],Plan_cuentas[],4,FALSE)," ")</f>
        <v xml:space="preserve"> </v>
      </c>
      <c r="H4791" t="str">
        <f>IFERROR(+VLOOKUP(Movimientos_2026[[#This Row],[Codigo]],Plan_cuentas[],5,FALSE)," ")</f>
        <v xml:space="preserve"> </v>
      </c>
      <c r="I4791" s="43"/>
      <c r="K4791" t="str">
        <f>IFERROR(+VLOOKUP(Movimientos_2026[[#This Row],[Codigo]],Plan_cuentas[],6,FALSE)," ")</f>
        <v xml:space="preserve"> </v>
      </c>
      <c r="L4791" s="50"/>
      <c r="M4791" s="50"/>
      <c r="N4791" s="20">
        <f>+Movimientos_2026[[#This Row],[Ingresos]]-Movimientos_2026[[#This Row],[Egresos]]</f>
        <v>0</v>
      </c>
      <c r="O4791" s="20">
        <f>+O4790+Movimientos_2026[[#This Row],[Neto]]</f>
        <v>4581558617.7962294</v>
      </c>
    </row>
    <row r="4792" spans="1:15" x14ac:dyDescent="0.25">
      <c r="A4792" s="13"/>
      <c r="B4792" s="12">
        <f>MONTH(Movimientos_2026[[#This Row],[Fecha]])</f>
        <v>1</v>
      </c>
      <c r="C4792" s="12" t="str">
        <f>VLOOKUP((WEEKDAY(Movimientos_2026[[#This Row],[Fecha]],2)),'5. Setup'!$D$6:$E$12,2,FALSE)</f>
        <v>Sab</v>
      </c>
      <c r="E4792" t="str">
        <f>IFERROR(+VLOOKUP(Movimientos_2026[[#This Row],[Codigo]],Plan_cuentas[],2,FALSE)," ")</f>
        <v xml:space="preserve"> </v>
      </c>
      <c r="F4792" t="str">
        <f>IFERROR(+VLOOKUP(Movimientos_2026[[#This Row],[Codigo]],Plan_cuentas[],3,FALSE)," ")</f>
        <v xml:space="preserve"> </v>
      </c>
      <c r="G4792" t="str">
        <f>IFERROR(+VLOOKUP(Movimientos_2026[[#This Row],[Codigo]],Plan_cuentas[],4,FALSE)," ")</f>
        <v xml:space="preserve"> </v>
      </c>
      <c r="H4792" t="str">
        <f>IFERROR(+VLOOKUP(Movimientos_2026[[#This Row],[Codigo]],Plan_cuentas[],5,FALSE)," ")</f>
        <v xml:space="preserve"> </v>
      </c>
      <c r="I4792" s="43"/>
      <c r="K4792" t="str">
        <f>IFERROR(+VLOOKUP(Movimientos_2026[[#This Row],[Codigo]],Plan_cuentas[],6,FALSE)," ")</f>
        <v xml:space="preserve"> </v>
      </c>
      <c r="L4792" s="50"/>
      <c r="M4792" s="50"/>
      <c r="N4792" s="20">
        <f>+Movimientos_2026[[#This Row],[Ingresos]]-Movimientos_2026[[#This Row],[Egresos]]</f>
        <v>0</v>
      </c>
      <c r="O4792" s="20">
        <f>+O4791+Movimientos_2026[[#This Row],[Neto]]</f>
        <v>4581558617.7962294</v>
      </c>
    </row>
    <row r="4793" spans="1:15" x14ac:dyDescent="0.25">
      <c r="A4793" s="13"/>
      <c r="B4793" s="12">
        <f>MONTH(Movimientos_2026[[#This Row],[Fecha]])</f>
        <v>1</v>
      </c>
      <c r="C4793" s="12" t="str">
        <f>VLOOKUP((WEEKDAY(Movimientos_2026[[#This Row],[Fecha]],2)),'5. Setup'!$D$6:$E$12,2,FALSE)</f>
        <v>Sab</v>
      </c>
      <c r="E4793" t="str">
        <f>IFERROR(+VLOOKUP(Movimientos_2026[[#This Row],[Codigo]],Plan_cuentas[],2,FALSE)," ")</f>
        <v xml:space="preserve"> </v>
      </c>
      <c r="F4793" t="str">
        <f>IFERROR(+VLOOKUP(Movimientos_2026[[#This Row],[Codigo]],Plan_cuentas[],3,FALSE)," ")</f>
        <v xml:space="preserve"> </v>
      </c>
      <c r="G4793" t="str">
        <f>IFERROR(+VLOOKUP(Movimientos_2026[[#This Row],[Codigo]],Plan_cuentas[],4,FALSE)," ")</f>
        <v xml:space="preserve"> </v>
      </c>
      <c r="H4793" t="str">
        <f>IFERROR(+VLOOKUP(Movimientos_2026[[#This Row],[Codigo]],Plan_cuentas[],5,FALSE)," ")</f>
        <v xml:space="preserve"> </v>
      </c>
      <c r="I4793" s="43"/>
      <c r="K4793" t="str">
        <f>IFERROR(+VLOOKUP(Movimientos_2026[[#This Row],[Codigo]],Plan_cuentas[],6,FALSE)," ")</f>
        <v xml:space="preserve"> </v>
      </c>
      <c r="L4793" s="50"/>
      <c r="M4793" s="50"/>
      <c r="N4793" s="20">
        <f>+Movimientos_2026[[#This Row],[Ingresos]]-Movimientos_2026[[#This Row],[Egresos]]</f>
        <v>0</v>
      </c>
      <c r="O4793" s="20">
        <f>+O4792+Movimientos_2026[[#This Row],[Neto]]</f>
        <v>4581558617.7962294</v>
      </c>
    </row>
    <row r="4794" spans="1:15" x14ac:dyDescent="0.25">
      <c r="A4794" s="13"/>
      <c r="B4794" s="12">
        <f>MONTH(Movimientos_2026[[#This Row],[Fecha]])</f>
        <v>1</v>
      </c>
      <c r="C4794" s="12" t="str">
        <f>VLOOKUP((WEEKDAY(Movimientos_2026[[#This Row],[Fecha]],2)),'5. Setup'!$D$6:$E$12,2,FALSE)</f>
        <v>Sab</v>
      </c>
      <c r="E4794" t="str">
        <f>IFERROR(+VLOOKUP(Movimientos_2026[[#This Row],[Codigo]],Plan_cuentas[],2,FALSE)," ")</f>
        <v xml:space="preserve"> </v>
      </c>
      <c r="F4794" t="str">
        <f>IFERROR(+VLOOKUP(Movimientos_2026[[#This Row],[Codigo]],Plan_cuentas[],3,FALSE)," ")</f>
        <v xml:space="preserve"> </v>
      </c>
      <c r="G4794" t="str">
        <f>IFERROR(+VLOOKUP(Movimientos_2026[[#This Row],[Codigo]],Plan_cuentas[],4,FALSE)," ")</f>
        <v xml:space="preserve"> </v>
      </c>
      <c r="H4794" t="str">
        <f>IFERROR(+VLOOKUP(Movimientos_2026[[#This Row],[Codigo]],Plan_cuentas[],5,FALSE)," ")</f>
        <v xml:space="preserve"> </v>
      </c>
      <c r="I4794" s="43"/>
      <c r="K4794" t="str">
        <f>IFERROR(+VLOOKUP(Movimientos_2026[[#This Row],[Codigo]],Plan_cuentas[],6,FALSE)," ")</f>
        <v xml:space="preserve"> </v>
      </c>
      <c r="L4794" s="50"/>
      <c r="M4794" s="50"/>
      <c r="N4794" s="20">
        <f>+Movimientos_2026[[#This Row],[Ingresos]]-Movimientos_2026[[#This Row],[Egresos]]</f>
        <v>0</v>
      </c>
      <c r="O4794" s="20">
        <f>+O4793+Movimientos_2026[[#This Row],[Neto]]</f>
        <v>4581558617.7962294</v>
      </c>
    </row>
    <row r="4795" spans="1:15" x14ac:dyDescent="0.25">
      <c r="A4795" s="13"/>
      <c r="B4795" s="12">
        <f>MONTH(Movimientos_2026[[#This Row],[Fecha]])</f>
        <v>1</v>
      </c>
      <c r="C4795" s="12" t="str">
        <f>VLOOKUP((WEEKDAY(Movimientos_2026[[#This Row],[Fecha]],2)),'5. Setup'!$D$6:$E$12,2,FALSE)</f>
        <v>Sab</v>
      </c>
      <c r="E4795" t="str">
        <f>IFERROR(+VLOOKUP(Movimientos_2026[[#This Row],[Codigo]],Plan_cuentas[],2,FALSE)," ")</f>
        <v xml:space="preserve"> </v>
      </c>
      <c r="F4795" t="str">
        <f>IFERROR(+VLOOKUP(Movimientos_2026[[#This Row],[Codigo]],Plan_cuentas[],3,FALSE)," ")</f>
        <v xml:space="preserve"> </v>
      </c>
      <c r="G4795" t="str">
        <f>IFERROR(+VLOOKUP(Movimientos_2026[[#This Row],[Codigo]],Plan_cuentas[],4,FALSE)," ")</f>
        <v xml:space="preserve"> </v>
      </c>
      <c r="H4795" t="str">
        <f>IFERROR(+VLOOKUP(Movimientos_2026[[#This Row],[Codigo]],Plan_cuentas[],5,FALSE)," ")</f>
        <v xml:space="preserve"> </v>
      </c>
      <c r="I4795" s="43"/>
      <c r="K4795" t="str">
        <f>IFERROR(+VLOOKUP(Movimientos_2026[[#This Row],[Codigo]],Plan_cuentas[],6,FALSE)," ")</f>
        <v xml:space="preserve"> </v>
      </c>
      <c r="L4795" s="50"/>
      <c r="M4795" s="50"/>
      <c r="N4795" s="20">
        <f>+Movimientos_2026[[#This Row],[Ingresos]]-Movimientos_2026[[#This Row],[Egresos]]</f>
        <v>0</v>
      </c>
      <c r="O4795" s="20">
        <f>+O4794+Movimientos_2026[[#This Row],[Neto]]</f>
        <v>4581558617.7962294</v>
      </c>
    </row>
    <row r="4796" spans="1:15" x14ac:dyDescent="0.25">
      <c r="A4796" s="13"/>
      <c r="B4796" s="12">
        <f>MONTH(Movimientos_2026[[#This Row],[Fecha]])</f>
        <v>1</v>
      </c>
      <c r="C4796" s="12" t="str">
        <f>VLOOKUP((WEEKDAY(Movimientos_2026[[#This Row],[Fecha]],2)),'5. Setup'!$D$6:$E$12,2,FALSE)</f>
        <v>Sab</v>
      </c>
      <c r="E4796" t="str">
        <f>IFERROR(+VLOOKUP(Movimientos_2026[[#This Row],[Codigo]],Plan_cuentas[],2,FALSE)," ")</f>
        <v xml:space="preserve"> </v>
      </c>
      <c r="F4796" t="str">
        <f>IFERROR(+VLOOKUP(Movimientos_2026[[#This Row],[Codigo]],Plan_cuentas[],3,FALSE)," ")</f>
        <v xml:space="preserve"> </v>
      </c>
      <c r="G4796" t="str">
        <f>IFERROR(+VLOOKUP(Movimientos_2026[[#This Row],[Codigo]],Plan_cuentas[],4,FALSE)," ")</f>
        <v xml:space="preserve"> </v>
      </c>
      <c r="H4796" t="str">
        <f>IFERROR(+VLOOKUP(Movimientos_2026[[#This Row],[Codigo]],Plan_cuentas[],5,FALSE)," ")</f>
        <v xml:space="preserve"> </v>
      </c>
      <c r="I4796" s="43"/>
      <c r="K4796" t="str">
        <f>IFERROR(+VLOOKUP(Movimientos_2026[[#This Row],[Codigo]],Plan_cuentas[],6,FALSE)," ")</f>
        <v xml:space="preserve"> </v>
      </c>
      <c r="L4796" s="50"/>
      <c r="M4796" s="50"/>
      <c r="N4796" s="20">
        <f>+Movimientos_2026[[#This Row],[Ingresos]]-Movimientos_2026[[#This Row],[Egresos]]</f>
        <v>0</v>
      </c>
      <c r="O4796" s="20">
        <f>+O4795+Movimientos_2026[[#This Row],[Neto]]</f>
        <v>4581558617.7962294</v>
      </c>
    </row>
    <row r="4797" spans="1:15" x14ac:dyDescent="0.25">
      <c r="A4797" s="13"/>
      <c r="B4797" s="12">
        <f>MONTH(Movimientos_2026[[#This Row],[Fecha]])</f>
        <v>1</v>
      </c>
      <c r="C4797" s="12" t="str">
        <f>VLOOKUP((WEEKDAY(Movimientos_2026[[#This Row],[Fecha]],2)),'5. Setup'!$D$6:$E$12,2,FALSE)</f>
        <v>Sab</v>
      </c>
      <c r="E4797" t="str">
        <f>IFERROR(+VLOOKUP(Movimientos_2026[[#This Row],[Codigo]],Plan_cuentas[],2,FALSE)," ")</f>
        <v xml:space="preserve"> </v>
      </c>
      <c r="F4797" t="str">
        <f>IFERROR(+VLOOKUP(Movimientos_2026[[#This Row],[Codigo]],Plan_cuentas[],3,FALSE)," ")</f>
        <v xml:space="preserve"> </v>
      </c>
      <c r="G4797" t="str">
        <f>IFERROR(+VLOOKUP(Movimientos_2026[[#This Row],[Codigo]],Plan_cuentas[],4,FALSE)," ")</f>
        <v xml:space="preserve"> </v>
      </c>
      <c r="H4797" t="str">
        <f>IFERROR(+VLOOKUP(Movimientos_2026[[#This Row],[Codigo]],Plan_cuentas[],5,FALSE)," ")</f>
        <v xml:space="preserve"> </v>
      </c>
      <c r="I4797" s="43"/>
      <c r="K4797" t="str">
        <f>IFERROR(+VLOOKUP(Movimientos_2026[[#This Row],[Codigo]],Plan_cuentas[],6,FALSE)," ")</f>
        <v xml:space="preserve"> </v>
      </c>
      <c r="L4797" s="50"/>
      <c r="M4797" s="50"/>
      <c r="N4797" s="20">
        <f>+Movimientos_2026[[#This Row],[Ingresos]]-Movimientos_2026[[#This Row],[Egresos]]</f>
        <v>0</v>
      </c>
      <c r="O4797" s="20">
        <f>+O4796+Movimientos_2026[[#This Row],[Neto]]</f>
        <v>4581558617.7962294</v>
      </c>
    </row>
    <row r="4798" spans="1:15" x14ac:dyDescent="0.25">
      <c r="A4798" s="13"/>
      <c r="B4798" s="12">
        <f>MONTH(Movimientos_2026[[#This Row],[Fecha]])</f>
        <v>1</v>
      </c>
      <c r="C4798" s="12" t="str">
        <f>VLOOKUP((WEEKDAY(Movimientos_2026[[#This Row],[Fecha]],2)),'5. Setup'!$D$6:$E$12,2,FALSE)</f>
        <v>Sab</v>
      </c>
      <c r="E4798" t="str">
        <f>IFERROR(+VLOOKUP(Movimientos_2026[[#This Row],[Codigo]],Plan_cuentas[],2,FALSE)," ")</f>
        <v xml:space="preserve"> </v>
      </c>
      <c r="F4798" t="str">
        <f>IFERROR(+VLOOKUP(Movimientos_2026[[#This Row],[Codigo]],Plan_cuentas[],3,FALSE)," ")</f>
        <v xml:space="preserve"> </v>
      </c>
      <c r="G4798" t="str">
        <f>IFERROR(+VLOOKUP(Movimientos_2026[[#This Row],[Codigo]],Plan_cuentas[],4,FALSE)," ")</f>
        <v xml:space="preserve"> </v>
      </c>
      <c r="H4798" t="str">
        <f>IFERROR(+VLOOKUP(Movimientos_2026[[#This Row],[Codigo]],Plan_cuentas[],5,FALSE)," ")</f>
        <v xml:space="preserve"> </v>
      </c>
      <c r="I4798" s="43"/>
      <c r="K4798" t="str">
        <f>IFERROR(+VLOOKUP(Movimientos_2026[[#This Row],[Codigo]],Plan_cuentas[],6,FALSE)," ")</f>
        <v xml:space="preserve"> </v>
      </c>
      <c r="L4798" s="50"/>
      <c r="M4798" s="50"/>
      <c r="N4798" s="20">
        <f>+Movimientos_2026[[#This Row],[Ingresos]]-Movimientos_2026[[#This Row],[Egresos]]</f>
        <v>0</v>
      </c>
      <c r="O4798" s="20">
        <f>+O4797+Movimientos_2026[[#This Row],[Neto]]</f>
        <v>4581558617.7962294</v>
      </c>
    </row>
    <row r="4799" spans="1:15" x14ac:dyDescent="0.25">
      <c r="A4799" s="13"/>
      <c r="B4799" s="12">
        <f>MONTH(Movimientos_2026[[#This Row],[Fecha]])</f>
        <v>1</v>
      </c>
      <c r="C4799" s="12" t="str">
        <f>VLOOKUP((WEEKDAY(Movimientos_2026[[#This Row],[Fecha]],2)),'5. Setup'!$D$6:$E$12,2,FALSE)</f>
        <v>Sab</v>
      </c>
      <c r="E4799" t="str">
        <f>IFERROR(+VLOOKUP(Movimientos_2026[[#This Row],[Codigo]],Plan_cuentas[],2,FALSE)," ")</f>
        <v xml:space="preserve"> </v>
      </c>
      <c r="F4799" t="str">
        <f>IFERROR(+VLOOKUP(Movimientos_2026[[#This Row],[Codigo]],Plan_cuentas[],3,FALSE)," ")</f>
        <v xml:space="preserve"> </v>
      </c>
      <c r="G4799" t="str">
        <f>IFERROR(+VLOOKUP(Movimientos_2026[[#This Row],[Codigo]],Plan_cuentas[],4,FALSE)," ")</f>
        <v xml:space="preserve"> </v>
      </c>
      <c r="H4799" t="str">
        <f>IFERROR(+VLOOKUP(Movimientos_2026[[#This Row],[Codigo]],Plan_cuentas[],5,FALSE)," ")</f>
        <v xml:space="preserve"> </v>
      </c>
      <c r="I4799" s="43"/>
      <c r="K4799" t="str">
        <f>IFERROR(+VLOOKUP(Movimientos_2026[[#This Row],[Codigo]],Plan_cuentas[],6,FALSE)," ")</f>
        <v xml:space="preserve"> </v>
      </c>
      <c r="L4799" s="50"/>
      <c r="M4799" s="50"/>
      <c r="N4799" s="20">
        <f>+Movimientos_2026[[#This Row],[Ingresos]]-Movimientos_2026[[#This Row],[Egresos]]</f>
        <v>0</v>
      </c>
      <c r="O4799" s="20">
        <f>+O4798+Movimientos_2026[[#This Row],[Neto]]</f>
        <v>4581558617.7962294</v>
      </c>
    </row>
    <row r="4800" spans="1:15" x14ac:dyDescent="0.25">
      <c r="A4800" s="13"/>
      <c r="B4800" s="12">
        <f>MONTH(Movimientos_2026[[#This Row],[Fecha]])</f>
        <v>1</v>
      </c>
      <c r="C4800" s="12" t="str">
        <f>VLOOKUP((WEEKDAY(Movimientos_2026[[#This Row],[Fecha]],2)),'5. Setup'!$D$6:$E$12,2,FALSE)</f>
        <v>Sab</v>
      </c>
      <c r="E4800" t="str">
        <f>IFERROR(+VLOOKUP(Movimientos_2026[[#This Row],[Codigo]],Plan_cuentas[],2,FALSE)," ")</f>
        <v xml:space="preserve"> </v>
      </c>
      <c r="F4800" t="str">
        <f>IFERROR(+VLOOKUP(Movimientos_2026[[#This Row],[Codigo]],Plan_cuentas[],3,FALSE)," ")</f>
        <v xml:space="preserve"> </v>
      </c>
      <c r="G4800" t="str">
        <f>IFERROR(+VLOOKUP(Movimientos_2026[[#This Row],[Codigo]],Plan_cuentas[],4,FALSE)," ")</f>
        <v xml:space="preserve"> </v>
      </c>
      <c r="H4800" t="str">
        <f>IFERROR(+VLOOKUP(Movimientos_2026[[#This Row],[Codigo]],Plan_cuentas[],5,FALSE)," ")</f>
        <v xml:space="preserve"> </v>
      </c>
      <c r="I4800" s="43"/>
      <c r="K4800" t="str">
        <f>IFERROR(+VLOOKUP(Movimientos_2026[[#This Row],[Codigo]],Plan_cuentas[],6,FALSE)," ")</f>
        <v xml:space="preserve"> </v>
      </c>
      <c r="L4800" s="50"/>
      <c r="M4800" s="50"/>
      <c r="N4800" s="20">
        <f>+Movimientos_2026[[#This Row],[Ingresos]]-Movimientos_2026[[#This Row],[Egresos]]</f>
        <v>0</v>
      </c>
      <c r="O4800" s="20">
        <f>+O4799+Movimientos_2026[[#This Row],[Neto]]</f>
        <v>4581558617.7962294</v>
      </c>
    </row>
    <row r="4801" spans="1:15" x14ac:dyDescent="0.25">
      <c r="A4801" s="13"/>
      <c r="B4801" s="12">
        <f>MONTH(Movimientos_2026[[#This Row],[Fecha]])</f>
        <v>1</v>
      </c>
      <c r="C4801" s="12" t="str">
        <f>VLOOKUP((WEEKDAY(Movimientos_2026[[#This Row],[Fecha]],2)),'5. Setup'!$D$6:$E$12,2,FALSE)</f>
        <v>Sab</v>
      </c>
      <c r="E4801" t="str">
        <f>IFERROR(+VLOOKUP(Movimientos_2026[[#This Row],[Codigo]],Plan_cuentas[],2,FALSE)," ")</f>
        <v xml:space="preserve"> </v>
      </c>
      <c r="F4801" t="str">
        <f>IFERROR(+VLOOKUP(Movimientos_2026[[#This Row],[Codigo]],Plan_cuentas[],3,FALSE)," ")</f>
        <v xml:space="preserve"> </v>
      </c>
      <c r="G4801" t="str">
        <f>IFERROR(+VLOOKUP(Movimientos_2026[[#This Row],[Codigo]],Plan_cuentas[],4,FALSE)," ")</f>
        <v xml:space="preserve"> </v>
      </c>
      <c r="H4801" t="str">
        <f>IFERROR(+VLOOKUP(Movimientos_2026[[#This Row],[Codigo]],Plan_cuentas[],5,FALSE)," ")</f>
        <v xml:space="preserve"> </v>
      </c>
      <c r="I4801" s="43"/>
      <c r="K4801" t="str">
        <f>IFERROR(+VLOOKUP(Movimientos_2026[[#This Row],[Codigo]],Plan_cuentas[],6,FALSE)," ")</f>
        <v xml:space="preserve"> </v>
      </c>
      <c r="L4801" s="50"/>
      <c r="M4801" s="50"/>
      <c r="N4801" s="20">
        <f>+Movimientos_2026[[#This Row],[Ingresos]]-Movimientos_2026[[#This Row],[Egresos]]</f>
        <v>0</v>
      </c>
      <c r="O4801" s="20">
        <f>+O4800+Movimientos_2026[[#This Row],[Neto]]</f>
        <v>4581558617.7962294</v>
      </c>
    </row>
    <row r="4802" spans="1:15" x14ac:dyDescent="0.25">
      <c r="A4802" s="13"/>
      <c r="B4802" s="12">
        <f>MONTH(Movimientos_2026[[#This Row],[Fecha]])</f>
        <v>1</v>
      </c>
      <c r="C4802" s="12" t="str">
        <f>VLOOKUP((WEEKDAY(Movimientos_2026[[#This Row],[Fecha]],2)),'5. Setup'!$D$6:$E$12,2,FALSE)</f>
        <v>Sab</v>
      </c>
      <c r="E4802" t="str">
        <f>IFERROR(+VLOOKUP(Movimientos_2026[[#This Row],[Codigo]],Plan_cuentas[],2,FALSE)," ")</f>
        <v xml:space="preserve"> </v>
      </c>
      <c r="F4802" t="str">
        <f>IFERROR(+VLOOKUP(Movimientos_2026[[#This Row],[Codigo]],Plan_cuentas[],3,FALSE)," ")</f>
        <v xml:space="preserve"> </v>
      </c>
      <c r="G4802" t="str">
        <f>IFERROR(+VLOOKUP(Movimientos_2026[[#This Row],[Codigo]],Plan_cuentas[],4,FALSE)," ")</f>
        <v xml:space="preserve"> </v>
      </c>
      <c r="H4802" t="str">
        <f>IFERROR(+VLOOKUP(Movimientos_2026[[#This Row],[Codigo]],Plan_cuentas[],5,FALSE)," ")</f>
        <v xml:space="preserve"> </v>
      </c>
      <c r="I4802" s="43"/>
      <c r="K4802" t="str">
        <f>IFERROR(+VLOOKUP(Movimientos_2026[[#This Row],[Codigo]],Plan_cuentas[],6,FALSE)," ")</f>
        <v xml:space="preserve"> </v>
      </c>
      <c r="L4802" s="50"/>
      <c r="M4802" s="50"/>
      <c r="N4802" s="20">
        <f>+Movimientos_2026[[#This Row],[Ingresos]]-Movimientos_2026[[#This Row],[Egresos]]</f>
        <v>0</v>
      </c>
      <c r="O4802" s="20">
        <f>+O4801+Movimientos_2026[[#This Row],[Neto]]</f>
        <v>4581558617.7962294</v>
      </c>
    </row>
    <row r="4803" spans="1:15" x14ac:dyDescent="0.25">
      <c r="A4803" s="13"/>
      <c r="B4803" s="12">
        <f>MONTH(Movimientos_2026[[#This Row],[Fecha]])</f>
        <v>1</v>
      </c>
      <c r="C4803" s="12" t="str">
        <f>VLOOKUP((WEEKDAY(Movimientos_2026[[#This Row],[Fecha]],2)),'5. Setup'!$D$6:$E$12,2,FALSE)</f>
        <v>Sab</v>
      </c>
      <c r="E4803" t="str">
        <f>IFERROR(+VLOOKUP(Movimientos_2026[[#This Row],[Codigo]],Plan_cuentas[],2,FALSE)," ")</f>
        <v xml:space="preserve"> </v>
      </c>
      <c r="F4803" t="str">
        <f>IFERROR(+VLOOKUP(Movimientos_2026[[#This Row],[Codigo]],Plan_cuentas[],3,FALSE)," ")</f>
        <v xml:space="preserve"> </v>
      </c>
      <c r="G4803" t="str">
        <f>IFERROR(+VLOOKUP(Movimientos_2026[[#This Row],[Codigo]],Plan_cuentas[],4,FALSE)," ")</f>
        <v xml:space="preserve"> </v>
      </c>
      <c r="H4803" t="str">
        <f>IFERROR(+VLOOKUP(Movimientos_2026[[#This Row],[Codigo]],Plan_cuentas[],5,FALSE)," ")</f>
        <v xml:space="preserve"> </v>
      </c>
      <c r="I4803" s="43"/>
      <c r="K4803" t="str">
        <f>IFERROR(+VLOOKUP(Movimientos_2026[[#This Row],[Codigo]],Plan_cuentas[],6,FALSE)," ")</f>
        <v xml:space="preserve"> </v>
      </c>
      <c r="L4803" s="50"/>
      <c r="M4803" s="50"/>
      <c r="N4803" s="20">
        <f>+Movimientos_2026[[#This Row],[Ingresos]]-Movimientos_2026[[#This Row],[Egresos]]</f>
        <v>0</v>
      </c>
      <c r="O4803" s="20">
        <f>+O4802+Movimientos_2026[[#This Row],[Neto]]</f>
        <v>4581558617.7962294</v>
      </c>
    </row>
    <row r="4804" spans="1:15" x14ac:dyDescent="0.25">
      <c r="A4804" s="13"/>
      <c r="B4804" s="12">
        <f>MONTH(Movimientos_2026[[#This Row],[Fecha]])</f>
        <v>1</v>
      </c>
      <c r="C4804" s="12" t="str">
        <f>VLOOKUP((WEEKDAY(Movimientos_2026[[#This Row],[Fecha]],2)),'5. Setup'!$D$6:$E$12,2,FALSE)</f>
        <v>Sab</v>
      </c>
      <c r="E4804" t="str">
        <f>IFERROR(+VLOOKUP(Movimientos_2026[[#This Row],[Codigo]],Plan_cuentas[],2,FALSE)," ")</f>
        <v xml:space="preserve"> </v>
      </c>
      <c r="F4804" t="str">
        <f>IFERROR(+VLOOKUP(Movimientos_2026[[#This Row],[Codigo]],Plan_cuentas[],3,FALSE)," ")</f>
        <v xml:space="preserve"> </v>
      </c>
      <c r="G4804" t="str">
        <f>IFERROR(+VLOOKUP(Movimientos_2026[[#This Row],[Codigo]],Plan_cuentas[],4,FALSE)," ")</f>
        <v xml:space="preserve"> </v>
      </c>
      <c r="H4804" t="str">
        <f>IFERROR(+VLOOKUP(Movimientos_2026[[#This Row],[Codigo]],Plan_cuentas[],5,FALSE)," ")</f>
        <v xml:space="preserve"> </v>
      </c>
      <c r="I4804" s="43"/>
      <c r="K4804" t="str">
        <f>IFERROR(+VLOOKUP(Movimientos_2026[[#This Row],[Codigo]],Plan_cuentas[],6,FALSE)," ")</f>
        <v xml:space="preserve"> </v>
      </c>
      <c r="L4804" s="50"/>
      <c r="M4804" s="50"/>
      <c r="N4804" s="20">
        <f>+Movimientos_2026[[#This Row],[Ingresos]]-Movimientos_2026[[#This Row],[Egresos]]</f>
        <v>0</v>
      </c>
      <c r="O4804" s="20">
        <f>+O4803+Movimientos_2026[[#This Row],[Neto]]</f>
        <v>4581558617.7962294</v>
      </c>
    </row>
    <row r="4805" spans="1:15" x14ac:dyDescent="0.25">
      <c r="A4805" s="13"/>
      <c r="B4805" s="12">
        <f>MONTH(Movimientos_2026[[#This Row],[Fecha]])</f>
        <v>1</v>
      </c>
      <c r="C4805" s="12" t="str">
        <f>VLOOKUP((WEEKDAY(Movimientos_2026[[#This Row],[Fecha]],2)),'5. Setup'!$D$6:$E$12,2,FALSE)</f>
        <v>Sab</v>
      </c>
      <c r="E4805" t="str">
        <f>IFERROR(+VLOOKUP(Movimientos_2026[[#This Row],[Codigo]],Plan_cuentas[],2,FALSE)," ")</f>
        <v xml:space="preserve"> </v>
      </c>
      <c r="F4805" t="str">
        <f>IFERROR(+VLOOKUP(Movimientos_2026[[#This Row],[Codigo]],Plan_cuentas[],3,FALSE)," ")</f>
        <v xml:space="preserve"> </v>
      </c>
      <c r="G4805" t="str">
        <f>IFERROR(+VLOOKUP(Movimientos_2026[[#This Row],[Codigo]],Plan_cuentas[],4,FALSE)," ")</f>
        <v xml:space="preserve"> </v>
      </c>
      <c r="H4805" t="str">
        <f>IFERROR(+VLOOKUP(Movimientos_2026[[#This Row],[Codigo]],Plan_cuentas[],5,FALSE)," ")</f>
        <v xml:space="preserve"> </v>
      </c>
      <c r="I4805" s="43"/>
      <c r="K4805" t="str">
        <f>IFERROR(+VLOOKUP(Movimientos_2026[[#This Row],[Codigo]],Plan_cuentas[],6,FALSE)," ")</f>
        <v xml:space="preserve"> </v>
      </c>
      <c r="L4805" s="50"/>
      <c r="M4805" s="50"/>
      <c r="N4805" s="20">
        <f>+Movimientos_2026[[#This Row],[Ingresos]]-Movimientos_2026[[#This Row],[Egresos]]</f>
        <v>0</v>
      </c>
      <c r="O4805" s="20">
        <f>+O4804+Movimientos_2026[[#This Row],[Neto]]</f>
        <v>4581558617.7962294</v>
      </c>
    </row>
    <row r="4806" spans="1:15" x14ac:dyDescent="0.25">
      <c r="A4806" s="13"/>
      <c r="B4806" s="12">
        <f>MONTH(Movimientos_2026[[#This Row],[Fecha]])</f>
        <v>1</v>
      </c>
      <c r="C4806" s="12" t="str">
        <f>VLOOKUP((WEEKDAY(Movimientos_2026[[#This Row],[Fecha]],2)),'5. Setup'!$D$6:$E$12,2,FALSE)</f>
        <v>Sab</v>
      </c>
      <c r="E4806" t="str">
        <f>IFERROR(+VLOOKUP(Movimientos_2026[[#This Row],[Codigo]],Plan_cuentas[],2,FALSE)," ")</f>
        <v xml:space="preserve"> </v>
      </c>
      <c r="F4806" t="str">
        <f>IFERROR(+VLOOKUP(Movimientos_2026[[#This Row],[Codigo]],Plan_cuentas[],3,FALSE)," ")</f>
        <v xml:space="preserve"> </v>
      </c>
      <c r="G4806" t="str">
        <f>IFERROR(+VLOOKUP(Movimientos_2026[[#This Row],[Codigo]],Plan_cuentas[],4,FALSE)," ")</f>
        <v xml:space="preserve"> </v>
      </c>
      <c r="H4806" t="str">
        <f>IFERROR(+VLOOKUP(Movimientos_2026[[#This Row],[Codigo]],Plan_cuentas[],5,FALSE)," ")</f>
        <v xml:space="preserve"> </v>
      </c>
      <c r="I4806" s="43"/>
      <c r="K4806" t="str">
        <f>IFERROR(+VLOOKUP(Movimientos_2026[[#This Row],[Codigo]],Plan_cuentas[],6,FALSE)," ")</f>
        <v xml:space="preserve"> </v>
      </c>
      <c r="L4806" s="50"/>
      <c r="M4806" s="50"/>
      <c r="N4806" s="20">
        <f>+Movimientos_2026[[#This Row],[Ingresos]]-Movimientos_2026[[#This Row],[Egresos]]</f>
        <v>0</v>
      </c>
      <c r="O4806" s="20">
        <f>+O4805+Movimientos_2026[[#This Row],[Neto]]</f>
        <v>4581558617.7962294</v>
      </c>
    </row>
    <row r="4807" spans="1:15" x14ac:dyDescent="0.25">
      <c r="A4807" s="13"/>
      <c r="B4807" s="12">
        <f>MONTH(Movimientos_2026[[#This Row],[Fecha]])</f>
        <v>1</v>
      </c>
      <c r="C4807" s="12" t="str">
        <f>VLOOKUP((WEEKDAY(Movimientos_2026[[#This Row],[Fecha]],2)),'5. Setup'!$D$6:$E$12,2,FALSE)</f>
        <v>Sab</v>
      </c>
      <c r="E4807" t="str">
        <f>IFERROR(+VLOOKUP(Movimientos_2026[[#This Row],[Codigo]],Plan_cuentas[],2,FALSE)," ")</f>
        <v xml:space="preserve"> </v>
      </c>
      <c r="F4807" t="str">
        <f>IFERROR(+VLOOKUP(Movimientos_2026[[#This Row],[Codigo]],Plan_cuentas[],3,FALSE)," ")</f>
        <v xml:space="preserve"> </v>
      </c>
      <c r="G4807" t="str">
        <f>IFERROR(+VLOOKUP(Movimientos_2026[[#This Row],[Codigo]],Plan_cuentas[],4,FALSE)," ")</f>
        <v xml:space="preserve"> </v>
      </c>
      <c r="H4807" t="str">
        <f>IFERROR(+VLOOKUP(Movimientos_2026[[#This Row],[Codigo]],Plan_cuentas[],5,FALSE)," ")</f>
        <v xml:space="preserve"> </v>
      </c>
      <c r="I4807" s="43"/>
      <c r="K4807" t="str">
        <f>IFERROR(+VLOOKUP(Movimientos_2026[[#This Row],[Codigo]],Plan_cuentas[],6,FALSE)," ")</f>
        <v xml:space="preserve"> </v>
      </c>
      <c r="L4807" s="50"/>
      <c r="M4807" s="50"/>
      <c r="N4807" s="20">
        <f>+Movimientos_2026[[#This Row],[Ingresos]]-Movimientos_2026[[#This Row],[Egresos]]</f>
        <v>0</v>
      </c>
      <c r="O4807" s="20">
        <f>+O4806+Movimientos_2026[[#This Row],[Neto]]</f>
        <v>4581558617.7962294</v>
      </c>
    </row>
    <row r="4808" spans="1:15" x14ac:dyDescent="0.25">
      <c r="A4808" s="13"/>
      <c r="B4808" s="12">
        <f>MONTH(Movimientos_2026[[#This Row],[Fecha]])</f>
        <v>1</v>
      </c>
      <c r="C4808" s="12" t="str">
        <f>VLOOKUP((WEEKDAY(Movimientos_2026[[#This Row],[Fecha]],2)),'5. Setup'!$D$6:$E$12,2,FALSE)</f>
        <v>Sab</v>
      </c>
      <c r="E4808" t="str">
        <f>IFERROR(+VLOOKUP(Movimientos_2026[[#This Row],[Codigo]],Plan_cuentas[],2,FALSE)," ")</f>
        <v xml:space="preserve"> </v>
      </c>
      <c r="F4808" t="str">
        <f>IFERROR(+VLOOKUP(Movimientos_2026[[#This Row],[Codigo]],Plan_cuentas[],3,FALSE)," ")</f>
        <v xml:space="preserve"> </v>
      </c>
      <c r="G4808" t="str">
        <f>IFERROR(+VLOOKUP(Movimientos_2026[[#This Row],[Codigo]],Plan_cuentas[],4,FALSE)," ")</f>
        <v xml:space="preserve"> </v>
      </c>
      <c r="H4808" t="str">
        <f>IFERROR(+VLOOKUP(Movimientos_2026[[#This Row],[Codigo]],Plan_cuentas[],5,FALSE)," ")</f>
        <v xml:space="preserve"> </v>
      </c>
      <c r="I4808" s="43"/>
      <c r="K4808" t="str">
        <f>IFERROR(+VLOOKUP(Movimientos_2026[[#This Row],[Codigo]],Plan_cuentas[],6,FALSE)," ")</f>
        <v xml:space="preserve"> </v>
      </c>
      <c r="L4808" s="50"/>
      <c r="M4808" s="50"/>
      <c r="N4808" s="20">
        <f>+Movimientos_2026[[#This Row],[Ingresos]]-Movimientos_2026[[#This Row],[Egresos]]</f>
        <v>0</v>
      </c>
      <c r="O4808" s="20">
        <f>+O4807+Movimientos_2026[[#This Row],[Neto]]</f>
        <v>4581558617.7962294</v>
      </c>
    </row>
    <row r="4809" spans="1:15" x14ac:dyDescent="0.25">
      <c r="A4809" s="13"/>
      <c r="B4809" s="12">
        <f>MONTH(Movimientos_2026[[#This Row],[Fecha]])</f>
        <v>1</v>
      </c>
      <c r="C4809" s="12" t="str">
        <f>VLOOKUP((WEEKDAY(Movimientos_2026[[#This Row],[Fecha]],2)),'5. Setup'!$D$6:$E$12,2,FALSE)</f>
        <v>Sab</v>
      </c>
      <c r="E4809" t="str">
        <f>IFERROR(+VLOOKUP(Movimientos_2026[[#This Row],[Codigo]],Plan_cuentas[],2,FALSE)," ")</f>
        <v xml:space="preserve"> </v>
      </c>
      <c r="F4809" t="str">
        <f>IFERROR(+VLOOKUP(Movimientos_2026[[#This Row],[Codigo]],Plan_cuentas[],3,FALSE)," ")</f>
        <v xml:space="preserve"> </v>
      </c>
      <c r="G4809" t="str">
        <f>IFERROR(+VLOOKUP(Movimientos_2026[[#This Row],[Codigo]],Plan_cuentas[],4,FALSE)," ")</f>
        <v xml:space="preserve"> </v>
      </c>
      <c r="H4809" t="str">
        <f>IFERROR(+VLOOKUP(Movimientos_2026[[#This Row],[Codigo]],Plan_cuentas[],5,FALSE)," ")</f>
        <v xml:space="preserve"> </v>
      </c>
      <c r="I4809" s="43"/>
      <c r="K4809" t="str">
        <f>IFERROR(+VLOOKUP(Movimientos_2026[[#This Row],[Codigo]],Plan_cuentas[],6,FALSE)," ")</f>
        <v xml:space="preserve"> </v>
      </c>
      <c r="L4809" s="50"/>
      <c r="M4809" s="50"/>
      <c r="N4809" s="20">
        <f>+Movimientos_2026[[#This Row],[Ingresos]]-Movimientos_2026[[#This Row],[Egresos]]</f>
        <v>0</v>
      </c>
      <c r="O4809" s="20">
        <f>+O4808+Movimientos_2026[[#This Row],[Neto]]</f>
        <v>4581558617.7962294</v>
      </c>
    </row>
    <row r="4810" spans="1:15" x14ac:dyDescent="0.25">
      <c r="A4810" s="13"/>
      <c r="B4810" s="12">
        <f>MONTH(Movimientos_2026[[#This Row],[Fecha]])</f>
        <v>1</v>
      </c>
      <c r="C4810" s="12" t="str">
        <f>VLOOKUP((WEEKDAY(Movimientos_2026[[#This Row],[Fecha]],2)),'5. Setup'!$D$6:$E$12,2,FALSE)</f>
        <v>Sab</v>
      </c>
      <c r="E4810" t="str">
        <f>IFERROR(+VLOOKUP(Movimientos_2026[[#This Row],[Codigo]],Plan_cuentas[],2,FALSE)," ")</f>
        <v xml:space="preserve"> </v>
      </c>
      <c r="F4810" t="str">
        <f>IFERROR(+VLOOKUP(Movimientos_2026[[#This Row],[Codigo]],Plan_cuentas[],3,FALSE)," ")</f>
        <v xml:space="preserve"> </v>
      </c>
      <c r="G4810" t="str">
        <f>IFERROR(+VLOOKUP(Movimientos_2026[[#This Row],[Codigo]],Plan_cuentas[],4,FALSE)," ")</f>
        <v xml:space="preserve"> </v>
      </c>
      <c r="H4810" t="str">
        <f>IFERROR(+VLOOKUP(Movimientos_2026[[#This Row],[Codigo]],Plan_cuentas[],5,FALSE)," ")</f>
        <v xml:space="preserve"> </v>
      </c>
      <c r="I4810" s="43"/>
      <c r="K4810" t="str">
        <f>IFERROR(+VLOOKUP(Movimientos_2026[[#This Row],[Codigo]],Plan_cuentas[],6,FALSE)," ")</f>
        <v xml:space="preserve"> </v>
      </c>
      <c r="L4810" s="50"/>
      <c r="M4810" s="50"/>
      <c r="N4810" s="20">
        <f>+Movimientos_2026[[#This Row],[Ingresos]]-Movimientos_2026[[#This Row],[Egresos]]</f>
        <v>0</v>
      </c>
      <c r="O4810" s="20">
        <f>+O4809+Movimientos_2026[[#This Row],[Neto]]</f>
        <v>4581558617.7962294</v>
      </c>
    </row>
    <row r="4811" spans="1:15" x14ac:dyDescent="0.25">
      <c r="A4811" s="13"/>
      <c r="B4811" s="12">
        <f>MONTH(Movimientos_2026[[#This Row],[Fecha]])</f>
        <v>1</v>
      </c>
      <c r="C4811" s="12" t="str">
        <f>VLOOKUP((WEEKDAY(Movimientos_2026[[#This Row],[Fecha]],2)),'5. Setup'!$D$6:$E$12,2,FALSE)</f>
        <v>Sab</v>
      </c>
      <c r="E4811" t="str">
        <f>IFERROR(+VLOOKUP(Movimientos_2026[[#This Row],[Codigo]],Plan_cuentas[],2,FALSE)," ")</f>
        <v xml:space="preserve"> </v>
      </c>
      <c r="F4811" t="str">
        <f>IFERROR(+VLOOKUP(Movimientos_2026[[#This Row],[Codigo]],Plan_cuentas[],3,FALSE)," ")</f>
        <v xml:space="preserve"> </v>
      </c>
      <c r="G4811" t="str">
        <f>IFERROR(+VLOOKUP(Movimientos_2026[[#This Row],[Codigo]],Plan_cuentas[],4,FALSE)," ")</f>
        <v xml:space="preserve"> </v>
      </c>
      <c r="H4811" t="str">
        <f>IFERROR(+VLOOKUP(Movimientos_2026[[#This Row],[Codigo]],Plan_cuentas[],5,FALSE)," ")</f>
        <v xml:space="preserve"> </v>
      </c>
      <c r="I4811" s="43"/>
      <c r="K4811" t="str">
        <f>IFERROR(+VLOOKUP(Movimientos_2026[[#This Row],[Codigo]],Plan_cuentas[],6,FALSE)," ")</f>
        <v xml:space="preserve"> </v>
      </c>
      <c r="L4811" s="50"/>
      <c r="M4811" s="50"/>
      <c r="N4811" s="20">
        <f>+Movimientos_2026[[#This Row],[Ingresos]]-Movimientos_2026[[#This Row],[Egresos]]</f>
        <v>0</v>
      </c>
      <c r="O4811" s="20">
        <f>+O4810+Movimientos_2026[[#This Row],[Neto]]</f>
        <v>4581558617.7962294</v>
      </c>
    </row>
    <row r="4812" spans="1:15" x14ac:dyDescent="0.25">
      <c r="A4812" s="13"/>
      <c r="B4812" s="12">
        <f>MONTH(Movimientos_2026[[#This Row],[Fecha]])</f>
        <v>1</v>
      </c>
      <c r="C4812" s="12" t="str">
        <f>VLOOKUP((WEEKDAY(Movimientos_2026[[#This Row],[Fecha]],2)),'5. Setup'!$D$6:$E$12,2,FALSE)</f>
        <v>Sab</v>
      </c>
      <c r="E4812" t="str">
        <f>IFERROR(+VLOOKUP(Movimientos_2026[[#This Row],[Codigo]],Plan_cuentas[],2,FALSE)," ")</f>
        <v xml:space="preserve"> </v>
      </c>
      <c r="F4812" t="str">
        <f>IFERROR(+VLOOKUP(Movimientos_2026[[#This Row],[Codigo]],Plan_cuentas[],3,FALSE)," ")</f>
        <v xml:space="preserve"> </v>
      </c>
      <c r="G4812" t="str">
        <f>IFERROR(+VLOOKUP(Movimientos_2026[[#This Row],[Codigo]],Plan_cuentas[],4,FALSE)," ")</f>
        <v xml:space="preserve"> </v>
      </c>
      <c r="H4812" t="str">
        <f>IFERROR(+VLOOKUP(Movimientos_2026[[#This Row],[Codigo]],Plan_cuentas[],5,FALSE)," ")</f>
        <v xml:space="preserve"> </v>
      </c>
      <c r="I4812" s="43"/>
      <c r="K4812" t="str">
        <f>IFERROR(+VLOOKUP(Movimientos_2026[[#This Row],[Codigo]],Plan_cuentas[],6,FALSE)," ")</f>
        <v xml:space="preserve"> </v>
      </c>
      <c r="L4812" s="50"/>
      <c r="M4812" s="50"/>
      <c r="N4812" s="20">
        <f>+Movimientos_2026[[#This Row],[Ingresos]]-Movimientos_2026[[#This Row],[Egresos]]</f>
        <v>0</v>
      </c>
      <c r="O4812" s="20">
        <f>+O4811+Movimientos_2026[[#This Row],[Neto]]</f>
        <v>4581558617.7962294</v>
      </c>
    </row>
    <row r="4813" spans="1:15" x14ac:dyDescent="0.25">
      <c r="A4813" s="13"/>
      <c r="B4813" s="12">
        <f>MONTH(Movimientos_2026[[#This Row],[Fecha]])</f>
        <v>1</v>
      </c>
      <c r="C4813" s="12" t="str">
        <f>VLOOKUP((WEEKDAY(Movimientos_2026[[#This Row],[Fecha]],2)),'5. Setup'!$D$6:$E$12,2,FALSE)</f>
        <v>Sab</v>
      </c>
      <c r="E4813" t="str">
        <f>IFERROR(+VLOOKUP(Movimientos_2026[[#This Row],[Codigo]],Plan_cuentas[],2,FALSE)," ")</f>
        <v xml:space="preserve"> </v>
      </c>
      <c r="F4813" t="str">
        <f>IFERROR(+VLOOKUP(Movimientos_2026[[#This Row],[Codigo]],Plan_cuentas[],3,FALSE)," ")</f>
        <v xml:space="preserve"> </v>
      </c>
      <c r="G4813" t="str">
        <f>IFERROR(+VLOOKUP(Movimientos_2026[[#This Row],[Codigo]],Plan_cuentas[],4,FALSE)," ")</f>
        <v xml:space="preserve"> </v>
      </c>
      <c r="H4813" t="str">
        <f>IFERROR(+VLOOKUP(Movimientos_2026[[#This Row],[Codigo]],Plan_cuentas[],5,FALSE)," ")</f>
        <v xml:space="preserve"> </v>
      </c>
      <c r="I4813" s="43"/>
      <c r="K4813" t="str">
        <f>IFERROR(+VLOOKUP(Movimientos_2026[[#This Row],[Codigo]],Plan_cuentas[],6,FALSE)," ")</f>
        <v xml:space="preserve"> </v>
      </c>
      <c r="L4813" s="50"/>
      <c r="M4813" s="50"/>
      <c r="N4813" s="20">
        <f>+Movimientos_2026[[#This Row],[Ingresos]]-Movimientos_2026[[#This Row],[Egresos]]</f>
        <v>0</v>
      </c>
      <c r="O4813" s="20">
        <f>+O4812+Movimientos_2026[[#This Row],[Neto]]</f>
        <v>4581558617.7962294</v>
      </c>
    </row>
    <row r="4814" spans="1:15" x14ac:dyDescent="0.25">
      <c r="A4814" s="13"/>
      <c r="B4814" s="12">
        <f>MONTH(Movimientos_2026[[#This Row],[Fecha]])</f>
        <v>1</v>
      </c>
      <c r="C4814" s="12" t="str">
        <f>VLOOKUP((WEEKDAY(Movimientos_2026[[#This Row],[Fecha]],2)),'5. Setup'!$D$6:$E$12,2,FALSE)</f>
        <v>Sab</v>
      </c>
      <c r="E4814" t="str">
        <f>IFERROR(+VLOOKUP(Movimientos_2026[[#This Row],[Codigo]],Plan_cuentas[],2,FALSE)," ")</f>
        <v xml:space="preserve"> </v>
      </c>
      <c r="F4814" t="str">
        <f>IFERROR(+VLOOKUP(Movimientos_2026[[#This Row],[Codigo]],Plan_cuentas[],3,FALSE)," ")</f>
        <v xml:space="preserve"> </v>
      </c>
      <c r="G4814" t="str">
        <f>IFERROR(+VLOOKUP(Movimientos_2026[[#This Row],[Codigo]],Plan_cuentas[],4,FALSE)," ")</f>
        <v xml:space="preserve"> </v>
      </c>
      <c r="H4814" t="str">
        <f>IFERROR(+VLOOKUP(Movimientos_2026[[#This Row],[Codigo]],Plan_cuentas[],5,FALSE)," ")</f>
        <v xml:space="preserve"> </v>
      </c>
      <c r="I4814" s="43"/>
      <c r="K4814" t="str">
        <f>IFERROR(+VLOOKUP(Movimientos_2026[[#This Row],[Codigo]],Plan_cuentas[],6,FALSE)," ")</f>
        <v xml:space="preserve"> </v>
      </c>
      <c r="L4814" s="50"/>
      <c r="M4814" s="50"/>
      <c r="N4814" s="20">
        <f>+Movimientos_2026[[#This Row],[Ingresos]]-Movimientos_2026[[#This Row],[Egresos]]</f>
        <v>0</v>
      </c>
      <c r="O4814" s="20">
        <f>+O4813+Movimientos_2026[[#This Row],[Neto]]</f>
        <v>4581558617.7962294</v>
      </c>
    </row>
    <row r="4815" spans="1:15" x14ac:dyDescent="0.25">
      <c r="A4815" s="13"/>
      <c r="B4815" s="12">
        <f>MONTH(Movimientos_2026[[#This Row],[Fecha]])</f>
        <v>1</v>
      </c>
      <c r="C4815" s="12" t="str">
        <f>VLOOKUP((WEEKDAY(Movimientos_2026[[#This Row],[Fecha]],2)),'5. Setup'!$D$6:$E$12,2,FALSE)</f>
        <v>Sab</v>
      </c>
      <c r="E4815" t="str">
        <f>IFERROR(+VLOOKUP(Movimientos_2026[[#This Row],[Codigo]],Plan_cuentas[],2,FALSE)," ")</f>
        <v xml:space="preserve"> </v>
      </c>
      <c r="F4815" t="str">
        <f>IFERROR(+VLOOKUP(Movimientos_2026[[#This Row],[Codigo]],Plan_cuentas[],3,FALSE)," ")</f>
        <v xml:space="preserve"> </v>
      </c>
      <c r="G4815" t="str">
        <f>IFERROR(+VLOOKUP(Movimientos_2026[[#This Row],[Codigo]],Plan_cuentas[],4,FALSE)," ")</f>
        <v xml:space="preserve"> </v>
      </c>
      <c r="H4815" t="str">
        <f>IFERROR(+VLOOKUP(Movimientos_2026[[#This Row],[Codigo]],Plan_cuentas[],5,FALSE)," ")</f>
        <v xml:space="preserve"> </v>
      </c>
      <c r="I4815" s="43"/>
      <c r="K4815" t="str">
        <f>IFERROR(+VLOOKUP(Movimientos_2026[[#This Row],[Codigo]],Plan_cuentas[],6,FALSE)," ")</f>
        <v xml:space="preserve"> </v>
      </c>
      <c r="L4815" s="50"/>
      <c r="M4815" s="50"/>
      <c r="N4815" s="20">
        <f>+Movimientos_2026[[#This Row],[Ingresos]]-Movimientos_2026[[#This Row],[Egresos]]</f>
        <v>0</v>
      </c>
      <c r="O4815" s="20">
        <f>+O4814+Movimientos_2026[[#This Row],[Neto]]</f>
        <v>4581558617.7962294</v>
      </c>
    </row>
    <row r="4816" spans="1:15" x14ac:dyDescent="0.25">
      <c r="A4816" s="13"/>
      <c r="B4816" s="12">
        <f>MONTH(Movimientos_2026[[#This Row],[Fecha]])</f>
        <v>1</v>
      </c>
      <c r="C4816" s="12" t="str">
        <f>VLOOKUP((WEEKDAY(Movimientos_2026[[#This Row],[Fecha]],2)),'5. Setup'!$D$6:$E$12,2,FALSE)</f>
        <v>Sab</v>
      </c>
      <c r="E4816" t="str">
        <f>IFERROR(+VLOOKUP(Movimientos_2026[[#This Row],[Codigo]],Plan_cuentas[],2,FALSE)," ")</f>
        <v xml:space="preserve"> </v>
      </c>
      <c r="F4816" t="str">
        <f>IFERROR(+VLOOKUP(Movimientos_2026[[#This Row],[Codigo]],Plan_cuentas[],3,FALSE)," ")</f>
        <v xml:space="preserve"> </v>
      </c>
      <c r="G4816" t="str">
        <f>IFERROR(+VLOOKUP(Movimientos_2026[[#This Row],[Codigo]],Plan_cuentas[],4,FALSE)," ")</f>
        <v xml:space="preserve"> </v>
      </c>
      <c r="H4816" t="str">
        <f>IFERROR(+VLOOKUP(Movimientos_2026[[#This Row],[Codigo]],Plan_cuentas[],5,FALSE)," ")</f>
        <v xml:space="preserve"> </v>
      </c>
      <c r="I4816" s="43"/>
      <c r="K4816" t="str">
        <f>IFERROR(+VLOOKUP(Movimientos_2026[[#This Row],[Codigo]],Plan_cuentas[],6,FALSE)," ")</f>
        <v xml:space="preserve"> </v>
      </c>
      <c r="L4816" s="50"/>
      <c r="M4816" s="50"/>
      <c r="N4816" s="20">
        <f>+Movimientos_2026[[#This Row],[Ingresos]]-Movimientos_2026[[#This Row],[Egresos]]</f>
        <v>0</v>
      </c>
      <c r="O4816" s="20">
        <f>+O4815+Movimientos_2026[[#This Row],[Neto]]</f>
        <v>4581558617.7962294</v>
      </c>
    </row>
    <row r="4817" spans="1:15" x14ac:dyDescent="0.25">
      <c r="A4817" s="13"/>
      <c r="B4817" s="12">
        <f>MONTH(Movimientos_2026[[#This Row],[Fecha]])</f>
        <v>1</v>
      </c>
      <c r="C4817" s="12" t="str">
        <f>VLOOKUP((WEEKDAY(Movimientos_2026[[#This Row],[Fecha]],2)),'5. Setup'!$D$6:$E$12,2,FALSE)</f>
        <v>Sab</v>
      </c>
      <c r="E4817" t="str">
        <f>IFERROR(+VLOOKUP(Movimientos_2026[[#This Row],[Codigo]],Plan_cuentas[],2,FALSE)," ")</f>
        <v xml:space="preserve"> </v>
      </c>
      <c r="F4817" t="str">
        <f>IFERROR(+VLOOKUP(Movimientos_2026[[#This Row],[Codigo]],Plan_cuentas[],3,FALSE)," ")</f>
        <v xml:space="preserve"> </v>
      </c>
      <c r="G4817" t="str">
        <f>IFERROR(+VLOOKUP(Movimientos_2026[[#This Row],[Codigo]],Plan_cuentas[],4,FALSE)," ")</f>
        <v xml:space="preserve"> </v>
      </c>
      <c r="H4817" t="str">
        <f>IFERROR(+VLOOKUP(Movimientos_2026[[#This Row],[Codigo]],Plan_cuentas[],5,FALSE)," ")</f>
        <v xml:space="preserve"> </v>
      </c>
      <c r="I4817" s="43"/>
      <c r="K4817" t="str">
        <f>IFERROR(+VLOOKUP(Movimientos_2026[[#This Row],[Codigo]],Plan_cuentas[],6,FALSE)," ")</f>
        <v xml:space="preserve"> </v>
      </c>
      <c r="L4817" s="50"/>
      <c r="M4817" s="50"/>
      <c r="N4817" s="20">
        <f>+Movimientos_2026[[#This Row],[Ingresos]]-Movimientos_2026[[#This Row],[Egresos]]</f>
        <v>0</v>
      </c>
      <c r="O4817" s="20">
        <f>+O4816+Movimientos_2026[[#This Row],[Neto]]</f>
        <v>4581558617.7962294</v>
      </c>
    </row>
    <row r="4818" spans="1:15" x14ac:dyDescent="0.25">
      <c r="A4818" s="13"/>
      <c r="B4818" s="12">
        <f>MONTH(Movimientos_2026[[#This Row],[Fecha]])</f>
        <v>1</v>
      </c>
      <c r="C4818" s="12" t="str">
        <f>VLOOKUP((WEEKDAY(Movimientos_2026[[#This Row],[Fecha]],2)),'5. Setup'!$D$6:$E$12,2,FALSE)</f>
        <v>Sab</v>
      </c>
      <c r="E4818" t="str">
        <f>IFERROR(+VLOOKUP(Movimientos_2026[[#This Row],[Codigo]],Plan_cuentas[],2,FALSE)," ")</f>
        <v xml:space="preserve"> </v>
      </c>
      <c r="F4818" t="str">
        <f>IFERROR(+VLOOKUP(Movimientos_2026[[#This Row],[Codigo]],Plan_cuentas[],3,FALSE)," ")</f>
        <v xml:space="preserve"> </v>
      </c>
      <c r="G4818" t="str">
        <f>IFERROR(+VLOOKUP(Movimientos_2026[[#This Row],[Codigo]],Plan_cuentas[],4,FALSE)," ")</f>
        <v xml:space="preserve"> </v>
      </c>
      <c r="H4818" t="str">
        <f>IFERROR(+VLOOKUP(Movimientos_2026[[#This Row],[Codigo]],Plan_cuentas[],5,FALSE)," ")</f>
        <v xml:space="preserve"> </v>
      </c>
      <c r="I4818" s="43"/>
      <c r="K4818" t="str">
        <f>IFERROR(+VLOOKUP(Movimientos_2026[[#This Row],[Codigo]],Plan_cuentas[],6,FALSE)," ")</f>
        <v xml:space="preserve"> </v>
      </c>
      <c r="L4818" s="50"/>
      <c r="M4818" s="50"/>
      <c r="N4818" s="20">
        <f>+Movimientos_2026[[#This Row],[Ingresos]]-Movimientos_2026[[#This Row],[Egresos]]</f>
        <v>0</v>
      </c>
      <c r="O4818" s="20">
        <f>+O4817+Movimientos_2026[[#This Row],[Neto]]</f>
        <v>4581558617.7962294</v>
      </c>
    </row>
    <row r="4819" spans="1:15" x14ac:dyDescent="0.25">
      <c r="A4819" s="13"/>
      <c r="B4819" s="12">
        <f>MONTH(Movimientos_2026[[#This Row],[Fecha]])</f>
        <v>1</v>
      </c>
      <c r="C4819" s="12" t="str">
        <f>VLOOKUP((WEEKDAY(Movimientos_2026[[#This Row],[Fecha]],2)),'5. Setup'!$D$6:$E$12,2,FALSE)</f>
        <v>Sab</v>
      </c>
      <c r="E4819" t="str">
        <f>IFERROR(+VLOOKUP(Movimientos_2026[[#This Row],[Codigo]],Plan_cuentas[],2,FALSE)," ")</f>
        <v xml:space="preserve"> </v>
      </c>
      <c r="F4819" t="str">
        <f>IFERROR(+VLOOKUP(Movimientos_2026[[#This Row],[Codigo]],Plan_cuentas[],3,FALSE)," ")</f>
        <v xml:space="preserve"> </v>
      </c>
      <c r="G4819" t="str">
        <f>IFERROR(+VLOOKUP(Movimientos_2026[[#This Row],[Codigo]],Plan_cuentas[],4,FALSE)," ")</f>
        <v xml:space="preserve"> </v>
      </c>
      <c r="H4819" t="str">
        <f>IFERROR(+VLOOKUP(Movimientos_2026[[#This Row],[Codigo]],Plan_cuentas[],5,FALSE)," ")</f>
        <v xml:space="preserve"> </v>
      </c>
      <c r="I4819" s="43"/>
      <c r="K4819" t="str">
        <f>IFERROR(+VLOOKUP(Movimientos_2026[[#This Row],[Codigo]],Plan_cuentas[],6,FALSE)," ")</f>
        <v xml:space="preserve"> </v>
      </c>
      <c r="L4819" s="50"/>
      <c r="M4819" s="50"/>
      <c r="N4819" s="20">
        <f>+Movimientos_2026[[#This Row],[Ingresos]]-Movimientos_2026[[#This Row],[Egresos]]</f>
        <v>0</v>
      </c>
      <c r="O4819" s="20">
        <f>+O4818+Movimientos_2026[[#This Row],[Neto]]</f>
        <v>4581558617.7962294</v>
      </c>
    </row>
    <row r="4820" spans="1:15" x14ac:dyDescent="0.25">
      <c r="A4820" s="13"/>
      <c r="B4820" s="12">
        <f>MONTH(Movimientos_2026[[#This Row],[Fecha]])</f>
        <v>1</v>
      </c>
      <c r="C4820" s="12" t="str">
        <f>VLOOKUP((WEEKDAY(Movimientos_2026[[#This Row],[Fecha]],2)),'5. Setup'!$D$6:$E$12,2,FALSE)</f>
        <v>Sab</v>
      </c>
      <c r="E4820" t="str">
        <f>IFERROR(+VLOOKUP(Movimientos_2026[[#This Row],[Codigo]],Plan_cuentas[],2,FALSE)," ")</f>
        <v xml:space="preserve"> </v>
      </c>
      <c r="F4820" t="str">
        <f>IFERROR(+VLOOKUP(Movimientos_2026[[#This Row],[Codigo]],Plan_cuentas[],3,FALSE)," ")</f>
        <v xml:space="preserve"> </v>
      </c>
      <c r="G4820" t="str">
        <f>IFERROR(+VLOOKUP(Movimientos_2026[[#This Row],[Codigo]],Plan_cuentas[],4,FALSE)," ")</f>
        <v xml:space="preserve"> </v>
      </c>
      <c r="H4820" t="str">
        <f>IFERROR(+VLOOKUP(Movimientos_2026[[#This Row],[Codigo]],Plan_cuentas[],5,FALSE)," ")</f>
        <v xml:space="preserve"> </v>
      </c>
      <c r="I4820" s="43"/>
      <c r="K4820" t="str">
        <f>IFERROR(+VLOOKUP(Movimientos_2026[[#This Row],[Codigo]],Plan_cuentas[],6,FALSE)," ")</f>
        <v xml:space="preserve"> </v>
      </c>
      <c r="L4820" s="50"/>
      <c r="M4820" s="50"/>
      <c r="N4820" s="20">
        <f>+Movimientos_2026[[#This Row],[Ingresos]]-Movimientos_2026[[#This Row],[Egresos]]</f>
        <v>0</v>
      </c>
      <c r="O4820" s="20">
        <f>+O4819+Movimientos_2026[[#This Row],[Neto]]</f>
        <v>4581558617.7962294</v>
      </c>
    </row>
    <row r="4821" spans="1:15" x14ac:dyDescent="0.25">
      <c r="A4821" s="13"/>
      <c r="B4821" s="12">
        <f>MONTH(Movimientos_2026[[#This Row],[Fecha]])</f>
        <v>1</v>
      </c>
      <c r="C4821" s="12" t="str">
        <f>VLOOKUP((WEEKDAY(Movimientos_2026[[#This Row],[Fecha]],2)),'5. Setup'!$D$6:$E$12,2,FALSE)</f>
        <v>Sab</v>
      </c>
      <c r="E4821" t="str">
        <f>IFERROR(+VLOOKUP(Movimientos_2026[[#This Row],[Codigo]],Plan_cuentas[],2,FALSE)," ")</f>
        <v xml:space="preserve"> </v>
      </c>
      <c r="F4821" t="str">
        <f>IFERROR(+VLOOKUP(Movimientos_2026[[#This Row],[Codigo]],Plan_cuentas[],3,FALSE)," ")</f>
        <v xml:space="preserve"> </v>
      </c>
      <c r="G4821" t="str">
        <f>IFERROR(+VLOOKUP(Movimientos_2026[[#This Row],[Codigo]],Plan_cuentas[],4,FALSE)," ")</f>
        <v xml:space="preserve"> </v>
      </c>
      <c r="H4821" t="str">
        <f>IFERROR(+VLOOKUP(Movimientos_2026[[#This Row],[Codigo]],Plan_cuentas[],5,FALSE)," ")</f>
        <v xml:space="preserve"> </v>
      </c>
      <c r="I4821" s="43"/>
      <c r="K4821" t="str">
        <f>IFERROR(+VLOOKUP(Movimientos_2026[[#This Row],[Codigo]],Plan_cuentas[],6,FALSE)," ")</f>
        <v xml:space="preserve"> </v>
      </c>
      <c r="L4821" s="50"/>
      <c r="M4821" s="50"/>
      <c r="N4821" s="20">
        <f>+Movimientos_2026[[#This Row],[Ingresos]]-Movimientos_2026[[#This Row],[Egresos]]</f>
        <v>0</v>
      </c>
      <c r="O4821" s="20">
        <f>+O4820+Movimientos_2026[[#This Row],[Neto]]</f>
        <v>4581558617.7962294</v>
      </c>
    </row>
    <row r="4822" spans="1:15" x14ac:dyDescent="0.25">
      <c r="A4822" s="13"/>
      <c r="B4822" s="12">
        <f>MONTH(Movimientos_2026[[#This Row],[Fecha]])</f>
        <v>1</v>
      </c>
      <c r="C4822" s="12" t="str">
        <f>VLOOKUP((WEEKDAY(Movimientos_2026[[#This Row],[Fecha]],2)),'5. Setup'!$D$6:$E$12,2,FALSE)</f>
        <v>Sab</v>
      </c>
      <c r="E4822" t="str">
        <f>IFERROR(+VLOOKUP(Movimientos_2026[[#This Row],[Codigo]],Plan_cuentas[],2,FALSE)," ")</f>
        <v xml:space="preserve"> </v>
      </c>
      <c r="F4822" t="str">
        <f>IFERROR(+VLOOKUP(Movimientos_2026[[#This Row],[Codigo]],Plan_cuentas[],3,FALSE)," ")</f>
        <v xml:space="preserve"> </v>
      </c>
      <c r="G4822" t="str">
        <f>IFERROR(+VLOOKUP(Movimientos_2026[[#This Row],[Codigo]],Plan_cuentas[],4,FALSE)," ")</f>
        <v xml:space="preserve"> </v>
      </c>
      <c r="H4822" t="str">
        <f>IFERROR(+VLOOKUP(Movimientos_2026[[#This Row],[Codigo]],Plan_cuentas[],5,FALSE)," ")</f>
        <v xml:space="preserve"> </v>
      </c>
      <c r="I4822" s="43"/>
      <c r="K4822" t="str">
        <f>IFERROR(+VLOOKUP(Movimientos_2026[[#This Row],[Codigo]],Plan_cuentas[],6,FALSE)," ")</f>
        <v xml:space="preserve"> </v>
      </c>
      <c r="L4822" s="50"/>
      <c r="M4822" s="50"/>
      <c r="N4822" s="20">
        <f>+Movimientos_2026[[#This Row],[Ingresos]]-Movimientos_2026[[#This Row],[Egresos]]</f>
        <v>0</v>
      </c>
      <c r="O4822" s="20">
        <f>+O4821+Movimientos_2026[[#This Row],[Neto]]</f>
        <v>4581558617.7962294</v>
      </c>
    </row>
    <row r="4823" spans="1:15" x14ac:dyDescent="0.25">
      <c r="A4823" s="13"/>
      <c r="B4823" s="12">
        <f>MONTH(Movimientos_2026[[#This Row],[Fecha]])</f>
        <v>1</v>
      </c>
      <c r="C4823" s="12" t="str">
        <f>VLOOKUP((WEEKDAY(Movimientos_2026[[#This Row],[Fecha]],2)),'5. Setup'!$D$6:$E$12,2,FALSE)</f>
        <v>Sab</v>
      </c>
      <c r="E4823" t="str">
        <f>IFERROR(+VLOOKUP(Movimientos_2026[[#This Row],[Codigo]],Plan_cuentas[],2,FALSE)," ")</f>
        <v xml:space="preserve"> </v>
      </c>
      <c r="F4823" t="str">
        <f>IFERROR(+VLOOKUP(Movimientos_2026[[#This Row],[Codigo]],Plan_cuentas[],3,FALSE)," ")</f>
        <v xml:space="preserve"> </v>
      </c>
      <c r="G4823" t="str">
        <f>IFERROR(+VLOOKUP(Movimientos_2026[[#This Row],[Codigo]],Plan_cuentas[],4,FALSE)," ")</f>
        <v xml:space="preserve"> </v>
      </c>
      <c r="H4823" t="str">
        <f>IFERROR(+VLOOKUP(Movimientos_2026[[#This Row],[Codigo]],Plan_cuentas[],5,FALSE)," ")</f>
        <v xml:space="preserve"> </v>
      </c>
      <c r="I4823" s="43"/>
      <c r="K4823" t="str">
        <f>IFERROR(+VLOOKUP(Movimientos_2026[[#This Row],[Codigo]],Plan_cuentas[],6,FALSE)," ")</f>
        <v xml:space="preserve"> </v>
      </c>
      <c r="L4823" s="50"/>
      <c r="M4823" s="50"/>
      <c r="N4823" s="20">
        <f>+Movimientos_2026[[#This Row],[Ingresos]]-Movimientos_2026[[#This Row],[Egresos]]</f>
        <v>0</v>
      </c>
      <c r="O4823" s="20">
        <f>+O4822+Movimientos_2026[[#This Row],[Neto]]</f>
        <v>4581558617.7962294</v>
      </c>
    </row>
    <row r="4824" spans="1:15" x14ac:dyDescent="0.25">
      <c r="A4824" s="13"/>
      <c r="B4824" s="12">
        <f>MONTH(Movimientos_2026[[#This Row],[Fecha]])</f>
        <v>1</v>
      </c>
      <c r="C4824" s="12" t="str">
        <f>VLOOKUP((WEEKDAY(Movimientos_2026[[#This Row],[Fecha]],2)),'5. Setup'!$D$6:$E$12,2,FALSE)</f>
        <v>Sab</v>
      </c>
      <c r="E4824" t="str">
        <f>IFERROR(+VLOOKUP(Movimientos_2026[[#This Row],[Codigo]],Plan_cuentas[],2,FALSE)," ")</f>
        <v xml:space="preserve"> </v>
      </c>
      <c r="F4824" t="str">
        <f>IFERROR(+VLOOKUP(Movimientos_2026[[#This Row],[Codigo]],Plan_cuentas[],3,FALSE)," ")</f>
        <v xml:space="preserve"> </v>
      </c>
      <c r="G4824" t="str">
        <f>IFERROR(+VLOOKUP(Movimientos_2026[[#This Row],[Codigo]],Plan_cuentas[],4,FALSE)," ")</f>
        <v xml:space="preserve"> </v>
      </c>
      <c r="H4824" t="str">
        <f>IFERROR(+VLOOKUP(Movimientos_2026[[#This Row],[Codigo]],Plan_cuentas[],5,FALSE)," ")</f>
        <v xml:space="preserve"> </v>
      </c>
      <c r="I4824" s="43"/>
      <c r="K4824" t="str">
        <f>IFERROR(+VLOOKUP(Movimientos_2026[[#This Row],[Codigo]],Plan_cuentas[],6,FALSE)," ")</f>
        <v xml:space="preserve"> </v>
      </c>
      <c r="L4824" s="50"/>
      <c r="M4824" s="50"/>
      <c r="N4824" s="20">
        <f>+Movimientos_2026[[#This Row],[Ingresos]]-Movimientos_2026[[#This Row],[Egresos]]</f>
        <v>0</v>
      </c>
      <c r="O4824" s="20">
        <f>+O4823+Movimientos_2026[[#This Row],[Neto]]</f>
        <v>4581558617.7962294</v>
      </c>
    </row>
    <row r="4825" spans="1:15" x14ac:dyDescent="0.25">
      <c r="A4825" s="13"/>
      <c r="B4825" s="12">
        <f>MONTH(Movimientos_2026[[#This Row],[Fecha]])</f>
        <v>1</v>
      </c>
      <c r="C4825" s="12" t="str">
        <f>VLOOKUP((WEEKDAY(Movimientos_2026[[#This Row],[Fecha]],2)),'5. Setup'!$D$6:$E$12,2,FALSE)</f>
        <v>Sab</v>
      </c>
      <c r="E4825" t="str">
        <f>IFERROR(+VLOOKUP(Movimientos_2026[[#This Row],[Codigo]],Plan_cuentas[],2,FALSE)," ")</f>
        <v xml:space="preserve"> </v>
      </c>
      <c r="F4825" t="str">
        <f>IFERROR(+VLOOKUP(Movimientos_2026[[#This Row],[Codigo]],Plan_cuentas[],3,FALSE)," ")</f>
        <v xml:space="preserve"> </v>
      </c>
      <c r="G4825" t="str">
        <f>IFERROR(+VLOOKUP(Movimientos_2026[[#This Row],[Codigo]],Plan_cuentas[],4,FALSE)," ")</f>
        <v xml:space="preserve"> </v>
      </c>
      <c r="H4825" t="str">
        <f>IFERROR(+VLOOKUP(Movimientos_2026[[#This Row],[Codigo]],Plan_cuentas[],5,FALSE)," ")</f>
        <v xml:space="preserve"> </v>
      </c>
      <c r="I4825" s="43"/>
      <c r="K4825" t="str">
        <f>IFERROR(+VLOOKUP(Movimientos_2026[[#This Row],[Codigo]],Plan_cuentas[],6,FALSE)," ")</f>
        <v xml:space="preserve"> </v>
      </c>
      <c r="L4825" s="50"/>
      <c r="M4825" s="50"/>
      <c r="N4825" s="20">
        <f>+Movimientos_2026[[#This Row],[Ingresos]]-Movimientos_2026[[#This Row],[Egresos]]</f>
        <v>0</v>
      </c>
      <c r="O4825" s="20">
        <f>+O4824+Movimientos_2026[[#This Row],[Neto]]</f>
        <v>4581558617.7962294</v>
      </c>
    </row>
    <row r="4826" spans="1:15" x14ac:dyDescent="0.25">
      <c r="A4826" s="13"/>
      <c r="B4826" s="12">
        <f>MONTH(Movimientos_2026[[#This Row],[Fecha]])</f>
        <v>1</v>
      </c>
      <c r="C4826" s="12" t="str">
        <f>VLOOKUP((WEEKDAY(Movimientos_2026[[#This Row],[Fecha]],2)),'5. Setup'!$D$6:$E$12,2,FALSE)</f>
        <v>Sab</v>
      </c>
      <c r="E4826" t="str">
        <f>IFERROR(+VLOOKUP(Movimientos_2026[[#This Row],[Codigo]],Plan_cuentas[],2,FALSE)," ")</f>
        <v xml:space="preserve"> </v>
      </c>
      <c r="F4826" t="str">
        <f>IFERROR(+VLOOKUP(Movimientos_2026[[#This Row],[Codigo]],Plan_cuentas[],3,FALSE)," ")</f>
        <v xml:space="preserve"> </v>
      </c>
      <c r="G4826" t="str">
        <f>IFERROR(+VLOOKUP(Movimientos_2026[[#This Row],[Codigo]],Plan_cuentas[],4,FALSE)," ")</f>
        <v xml:space="preserve"> </v>
      </c>
      <c r="H4826" t="str">
        <f>IFERROR(+VLOOKUP(Movimientos_2026[[#This Row],[Codigo]],Plan_cuentas[],5,FALSE)," ")</f>
        <v xml:space="preserve"> </v>
      </c>
      <c r="I4826" s="43"/>
      <c r="K4826" t="str">
        <f>IFERROR(+VLOOKUP(Movimientos_2026[[#This Row],[Codigo]],Plan_cuentas[],6,FALSE)," ")</f>
        <v xml:space="preserve"> </v>
      </c>
      <c r="L4826" s="50"/>
      <c r="M4826" s="50"/>
      <c r="N4826" s="20">
        <f>+Movimientos_2026[[#This Row],[Ingresos]]-Movimientos_2026[[#This Row],[Egresos]]</f>
        <v>0</v>
      </c>
      <c r="O4826" s="20">
        <f>+O4825+Movimientos_2026[[#This Row],[Neto]]</f>
        <v>4581558617.7962294</v>
      </c>
    </row>
    <row r="4827" spans="1:15" x14ac:dyDescent="0.25">
      <c r="A4827" s="13"/>
      <c r="B4827" s="12">
        <f>MONTH(Movimientos_2026[[#This Row],[Fecha]])</f>
        <v>1</v>
      </c>
      <c r="C4827" s="12" t="str">
        <f>VLOOKUP((WEEKDAY(Movimientos_2026[[#This Row],[Fecha]],2)),'5. Setup'!$D$6:$E$12,2,FALSE)</f>
        <v>Sab</v>
      </c>
      <c r="E4827" t="str">
        <f>IFERROR(+VLOOKUP(Movimientos_2026[[#This Row],[Codigo]],Plan_cuentas[],2,FALSE)," ")</f>
        <v xml:space="preserve"> </v>
      </c>
      <c r="F4827" t="str">
        <f>IFERROR(+VLOOKUP(Movimientos_2026[[#This Row],[Codigo]],Plan_cuentas[],3,FALSE)," ")</f>
        <v xml:space="preserve"> </v>
      </c>
      <c r="G4827" t="str">
        <f>IFERROR(+VLOOKUP(Movimientos_2026[[#This Row],[Codigo]],Plan_cuentas[],4,FALSE)," ")</f>
        <v xml:space="preserve"> </v>
      </c>
      <c r="H4827" t="str">
        <f>IFERROR(+VLOOKUP(Movimientos_2026[[#This Row],[Codigo]],Plan_cuentas[],5,FALSE)," ")</f>
        <v xml:space="preserve"> </v>
      </c>
      <c r="I4827" s="43"/>
      <c r="K4827" t="str">
        <f>IFERROR(+VLOOKUP(Movimientos_2026[[#This Row],[Codigo]],Plan_cuentas[],6,FALSE)," ")</f>
        <v xml:space="preserve"> </v>
      </c>
      <c r="L4827" s="50"/>
      <c r="M4827" s="50"/>
      <c r="N4827" s="20">
        <f>+Movimientos_2026[[#This Row],[Ingresos]]-Movimientos_2026[[#This Row],[Egresos]]</f>
        <v>0</v>
      </c>
      <c r="O4827" s="20">
        <f>+O4826+Movimientos_2026[[#This Row],[Neto]]</f>
        <v>4581558617.7962294</v>
      </c>
    </row>
    <row r="4828" spans="1:15" x14ac:dyDescent="0.25">
      <c r="A4828" s="13"/>
      <c r="B4828" s="12">
        <f>MONTH(Movimientos_2026[[#This Row],[Fecha]])</f>
        <v>1</v>
      </c>
      <c r="C4828" s="12" t="str">
        <f>VLOOKUP((WEEKDAY(Movimientos_2026[[#This Row],[Fecha]],2)),'5. Setup'!$D$6:$E$12,2,FALSE)</f>
        <v>Sab</v>
      </c>
      <c r="E4828" t="str">
        <f>IFERROR(+VLOOKUP(Movimientos_2026[[#This Row],[Codigo]],Plan_cuentas[],2,FALSE)," ")</f>
        <v xml:space="preserve"> </v>
      </c>
      <c r="F4828" t="str">
        <f>IFERROR(+VLOOKUP(Movimientos_2026[[#This Row],[Codigo]],Plan_cuentas[],3,FALSE)," ")</f>
        <v xml:space="preserve"> </v>
      </c>
      <c r="G4828" t="str">
        <f>IFERROR(+VLOOKUP(Movimientos_2026[[#This Row],[Codigo]],Plan_cuentas[],4,FALSE)," ")</f>
        <v xml:space="preserve"> </v>
      </c>
      <c r="H4828" t="str">
        <f>IFERROR(+VLOOKUP(Movimientos_2026[[#This Row],[Codigo]],Plan_cuentas[],5,FALSE)," ")</f>
        <v xml:space="preserve"> </v>
      </c>
      <c r="I4828" s="43"/>
      <c r="K4828" t="str">
        <f>IFERROR(+VLOOKUP(Movimientos_2026[[#This Row],[Codigo]],Plan_cuentas[],6,FALSE)," ")</f>
        <v xml:space="preserve"> </v>
      </c>
      <c r="L4828" s="50"/>
      <c r="M4828" s="50"/>
      <c r="N4828" s="20">
        <f>+Movimientos_2026[[#This Row],[Ingresos]]-Movimientos_2026[[#This Row],[Egresos]]</f>
        <v>0</v>
      </c>
      <c r="O4828" s="20">
        <f>+O4827+Movimientos_2026[[#This Row],[Neto]]</f>
        <v>4581558617.7962294</v>
      </c>
    </row>
    <row r="4829" spans="1:15" x14ac:dyDescent="0.25">
      <c r="A4829" s="13"/>
      <c r="B4829" s="12">
        <f>MONTH(Movimientos_2026[[#This Row],[Fecha]])</f>
        <v>1</v>
      </c>
      <c r="C4829" s="12" t="str">
        <f>VLOOKUP((WEEKDAY(Movimientos_2026[[#This Row],[Fecha]],2)),'5. Setup'!$D$6:$E$12,2,FALSE)</f>
        <v>Sab</v>
      </c>
      <c r="E4829" t="str">
        <f>IFERROR(+VLOOKUP(Movimientos_2026[[#This Row],[Codigo]],Plan_cuentas[],2,FALSE)," ")</f>
        <v xml:space="preserve"> </v>
      </c>
      <c r="F4829" t="str">
        <f>IFERROR(+VLOOKUP(Movimientos_2026[[#This Row],[Codigo]],Plan_cuentas[],3,FALSE)," ")</f>
        <v xml:space="preserve"> </v>
      </c>
      <c r="G4829" t="str">
        <f>IFERROR(+VLOOKUP(Movimientos_2026[[#This Row],[Codigo]],Plan_cuentas[],4,FALSE)," ")</f>
        <v xml:space="preserve"> </v>
      </c>
      <c r="H4829" t="str">
        <f>IFERROR(+VLOOKUP(Movimientos_2026[[#This Row],[Codigo]],Plan_cuentas[],5,FALSE)," ")</f>
        <v xml:space="preserve"> </v>
      </c>
      <c r="I4829" s="43"/>
      <c r="K4829" t="str">
        <f>IFERROR(+VLOOKUP(Movimientos_2026[[#This Row],[Codigo]],Plan_cuentas[],6,FALSE)," ")</f>
        <v xml:space="preserve"> </v>
      </c>
      <c r="L4829" s="50"/>
      <c r="M4829" s="50"/>
      <c r="N4829" s="20">
        <f>+Movimientos_2026[[#This Row],[Ingresos]]-Movimientos_2026[[#This Row],[Egresos]]</f>
        <v>0</v>
      </c>
      <c r="O4829" s="20">
        <f>+O4828+Movimientos_2026[[#This Row],[Neto]]</f>
        <v>4581558617.7962294</v>
      </c>
    </row>
    <row r="4830" spans="1:15" x14ac:dyDescent="0.25">
      <c r="A4830" s="13"/>
      <c r="B4830" s="12">
        <f>MONTH(Movimientos_2026[[#This Row],[Fecha]])</f>
        <v>1</v>
      </c>
      <c r="C4830" s="12" t="str">
        <f>VLOOKUP((WEEKDAY(Movimientos_2026[[#This Row],[Fecha]],2)),'5. Setup'!$D$6:$E$12,2,FALSE)</f>
        <v>Sab</v>
      </c>
      <c r="E4830" t="str">
        <f>IFERROR(+VLOOKUP(Movimientos_2026[[#This Row],[Codigo]],Plan_cuentas[],2,FALSE)," ")</f>
        <v xml:space="preserve"> </v>
      </c>
      <c r="F4830" t="str">
        <f>IFERROR(+VLOOKUP(Movimientos_2026[[#This Row],[Codigo]],Plan_cuentas[],3,FALSE)," ")</f>
        <v xml:space="preserve"> </v>
      </c>
      <c r="G4830" t="str">
        <f>IFERROR(+VLOOKUP(Movimientos_2026[[#This Row],[Codigo]],Plan_cuentas[],4,FALSE)," ")</f>
        <v xml:space="preserve"> </v>
      </c>
      <c r="H4830" t="str">
        <f>IFERROR(+VLOOKUP(Movimientos_2026[[#This Row],[Codigo]],Plan_cuentas[],5,FALSE)," ")</f>
        <v xml:space="preserve"> </v>
      </c>
      <c r="I4830" s="43"/>
      <c r="K4830" t="str">
        <f>IFERROR(+VLOOKUP(Movimientos_2026[[#This Row],[Codigo]],Plan_cuentas[],6,FALSE)," ")</f>
        <v xml:space="preserve"> </v>
      </c>
      <c r="L4830" s="50"/>
      <c r="M4830" s="50"/>
      <c r="N4830" s="20">
        <f>+Movimientos_2026[[#This Row],[Ingresos]]-Movimientos_2026[[#This Row],[Egresos]]</f>
        <v>0</v>
      </c>
      <c r="O4830" s="20">
        <f>+O4829+Movimientos_2026[[#This Row],[Neto]]</f>
        <v>4581558617.7962294</v>
      </c>
    </row>
    <row r="4831" spans="1:15" x14ac:dyDescent="0.25">
      <c r="A4831" s="13"/>
      <c r="B4831" s="12">
        <f>MONTH(Movimientos_2026[[#This Row],[Fecha]])</f>
        <v>1</v>
      </c>
      <c r="C4831" s="12" t="str">
        <f>VLOOKUP((WEEKDAY(Movimientos_2026[[#This Row],[Fecha]],2)),'5. Setup'!$D$6:$E$12,2,FALSE)</f>
        <v>Sab</v>
      </c>
      <c r="E4831" t="str">
        <f>IFERROR(+VLOOKUP(Movimientos_2026[[#This Row],[Codigo]],Plan_cuentas[],2,FALSE)," ")</f>
        <v xml:space="preserve"> </v>
      </c>
      <c r="F4831" t="str">
        <f>IFERROR(+VLOOKUP(Movimientos_2026[[#This Row],[Codigo]],Plan_cuentas[],3,FALSE)," ")</f>
        <v xml:space="preserve"> </v>
      </c>
      <c r="G4831" t="str">
        <f>IFERROR(+VLOOKUP(Movimientos_2026[[#This Row],[Codigo]],Plan_cuentas[],4,FALSE)," ")</f>
        <v xml:space="preserve"> </v>
      </c>
      <c r="H4831" t="str">
        <f>IFERROR(+VLOOKUP(Movimientos_2026[[#This Row],[Codigo]],Plan_cuentas[],5,FALSE)," ")</f>
        <v xml:space="preserve"> </v>
      </c>
      <c r="I4831" s="43"/>
      <c r="K4831" t="str">
        <f>IFERROR(+VLOOKUP(Movimientos_2026[[#This Row],[Codigo]],Plan_cuentas[],6,FALSE)," ")</f>
        <v xml:space="preserve"> </v>
      </c>
      <c r="L4831" s="50"/>
      <c r="M4831" s="50"/>
      <c r="N4831" s="20">
        <f>+Movimientos_2026[[#This Row],[Ingresos]]-Movimientos_2026[[#This Row],[Egresos]]</f>
        <v>0</v>
      </c>
      <c r="O4831" s="20">
        <f>+O4830+Movimientos_2026[[#This Row],[Neto]]</f>
        <v>4581558617.7962294</v>
      </c>
    </row>
    <row r="4832" spans="1:15" x14ac:dyDescent="0.25">
      <c r="A4832" s="13"/>
      <c r="B4832" s="12">
        <f>MONTH(Movimientos_2026[[#This Row],[Fecha]])</f>
        <v>1</v>
      </c>
      <c r="C4832" s="12" t="str">
        <f>VLOOKUP((WEEKDAY(Movimientos_2026[[#This Row],[Fecha]],2)),'5. Setup'!$D$6:$E$12,2,FALSE)</f>
        <v>Sab</v>
      </c>
      <c r="E4832" t="str">
        <f>IFERROR(+VLOOKUP(Movimientos_2026[[#This Row],[Codigo]],Plan_cuentas[],2,FALSE)," ")</f>
        <v xml:space="preserve"> </v>
      </c>
      <c r="F4832" t="str">
        <f>IFERROR(+VLOOKUP(Movimientos_2026[[#This Row],[Codigo]],Plan_cuentas[],3,FALSE)," ")</f>
        <v xml:space="preserve"> </v>
      </c>
      <c r="G4832" t="str">
        <f>IFERROR(+VLOOKUP(Movimientos_2026[[#This Row],[Codigo]],Plan_cuentas[],4,FALSE)," ")</f>
        <v xml:space="preserve"> </v>
      </c>
      <c r="H4832" t="str">
        <f>IFERROR(+VLOOKUP(Movimientos_2026[[#This Row],[Codigo]],Plan_cuentas[],5,FALSE)," ")</f>
        <v xml:space="preserve"> </v>
      </c>
      <c r="I4832" s="43"/>
      <c r="K4832" t="str">
        <f>IFERROR(+VLOOKUP(Movimientos_2026[[#This Row],[Codigo]],Plan_cuentas[],6,FALSE)," ")</f>
        <v xml:space="preserve"> </v>
      </c>
      <c r="L4832" s="50"/>
      <c r="M4832" s="50"/>
      <c r="N4832" s="20">
        <f>+Movimientos_2026[[#This Row],[Ingresos]]-Movimientos_2026[[#This Row],[Egresos]]</f>
        <v>0</v>
      </c>
      <c r="O4832" s="20">
        <f>+O4831+Movimientos_2026[[#This Row],[Neto]]</f>
        <v>4581558617.7962294</v>
      </c>
    </row>
    <row r="4833" spans="1:15" x14ac:dyDescent="0.25">
      <c r="A4833" s="13"/>
      <c r="B4833" s="12">
        <f>MONTH(Movimientos_2026[[#This Row],[Fecha]])</f>
        <v>1</v>
      </c>
      <c r="C4833" s="12" t="str">
        <f>VLOOKUP((WEEKDAY(Movimientos_2026[[#This Row],[Fecha]],2)),'5. Setup'!$D$6:$E$12,2,FALSE)</f>
        <v>Sab</v>
      </c>
      <c r="E4833" t="str">
        <f>IFERROR(+VLOOKUP(Movimientos_2026[[#This Row],[Codigo]],Plan_cuentas[],2,FALSE)," ")</f>
        <v xml:space="preserve"> </v>
      </c>
      <c r="F4833" t="str">
        <f>IFERROR(+VLOOKUP(Movimientos_2026[[#This Row],[Codigo]],Plan_cuentas[],3,FALSE)," ")</f>
        <v xml:space="preserve"> </v>
      </c>
      <c r="G4833" t="str">
        <f>IFERROR(+VLOOKUP(Movimientos_2026[[#This Row],[Codigo]],Plan_cuentas[],4,FALSE)," ")</f>
        <v xml:space="preserve"> </v>
      </c>
      <c r="H4833" t="str">
        <f>IFERROR(+VLOOKUP(Movimientos_2026[[#This Row],[Codigo]],Plan_cuentas[],5,FALSE)," ")</f>
        <v xml:space="preserve"> </v>
      </c>
      <c r="I4833" s="43"/>
      <c r="K4833" t="str">
        <f>IFERROR(+VLOOKUP(Movimientos_2026[[#This Row],[Codigo]],Plan_cuentas[],6,FALSE)," ")</f>
        <v xml:space="preserve"> </v>
      </c>
      <c r="L4833" s="50"/>
      <c r="M4833" s="50"/>
      <c r="N4833" s="20">
        <f>+Movimientos_2026[[#This Row],[Ingresos]]-Movimientos_2026[[#This Row],[Egresos]]</f>
        <v>0</v>
      </c>
      <c r="O4833" s="20">
        <f>+O4832+Movimientos_2026[[#This Row],[Neto]]</f>
        <v>4581558617.7962294</v>
      </c>
    </row>
    <row r="4834" spans="1:15" x14ac:dyDescent="0.25">
      <c r="A4834" s="13"/>
      <c r="B4834" s="12">
        <f>MONTH(Movimientos_2026[[#This Row],[Fecha]])</f>
        <v>1</v>
      </c>
      <c r="C4834" s="12" t="str">
        <f>VLOOKUP((WEEKDAY(Movimientos_2026[[#This Row],[Fecha]],2)),'5. Setup'!$D$6:$E$12,2,FALSE)</f>
        <v>Sab</v>
      </c>
      <c r="E4834" t="str">
        <f>IFERROR(+VLOOKUP(Movimientos_2026[[#This Row],[Codigo]],Plan_cuentas[],2,FALSE)," ")</f>
        <v xml:space="preserve"> </v>
      </c>
      <c r="F4834" t="str">
        <f>IFERROR(+VLOOKUP(Movimientos_2026[[#This Row],[Codigo]],Plan_cuentas[],3,FALSE)," ")</f>
        <v xml:space="preserve"> </v>
      </c>
      <c r="G4834" t="str">
        <f>IFERROR(+VLOOKUP(Movimientos_2026[[#This Row],[Codigo]],Plan_cuentas[],4,FALSE)," ")</f>
        <v xml:space="preserve"> </v>
      </c>
      <c r="H4834" t="str">
        <f>IFERROR(+VLOOKUP(Movimientos_2026[[#This Row],[Codigo]],Plan_cuentas[],5,FALSE)," ")</f>
        <v xml:space="preserve"> </v>
      </c>
      <c r="I4834" s="43"/>
      <c r="K4834" t="str">
        <f>IFERROR(+VLOOKUP(Movimientos_2026[[#This Row],[Codigo]],Plan_cuentas[],6,FALSE)," ")</f>
        <v xml:space="preserve"> </v>
      </c>
      <c r="L4834" s="50"/>
      <c r="M4834" s="50"/>
      <c r="N4834" s="20">
        <f>+Movimientos_2026[[#This Row],[Ingresos]]-Movimientos_2026[[#This Row],[Egresos]]</f>
        <v>0</v>
      </c>
      <c r="O4834" s="20">
        <f>+O4833+Movimientos_2026[[#This Row],[Neto]]</f>
        <v>4581558617.7962294</v>
      </c>
    </row>
    <row r="4835" spans="1:15" x14ac:dyDescent="0.25">
      <c r="A4835" s="13"/>
      <c r="B4835" s="12">
        <f>MONTH(Movimientos_2026[[#This Row],[Fecha]])</f>
        <v>1</v>
      </c>
      <c r="C4835" s="12" t="str">
        <f>VLOOKUP((WEEKDAY(Movimientos_2026[[#This Row],[Fecha]],2)),'5. Setup'!$D$6:$E$12,2,FALSE)</f>
        <v>Sab</v>
      </c>
      <c r="E4835" t="str">
        <f>IFERROR(+VLOOKUP(Movimientos_2026[[#This Row],[Codigo]],Plan_cuentas[],2,FALSE)," ")</f>
        <v xml:space="preserve"> </v>
      </c>
      <c r="F4835" t="str">
        <f>IFERROR(+VLOOKUP(Movimientos_2026[[#This Row],[Codigo]],Plan_cuentas[],3,FALSE)," ")</f>
        <v xml:space="preserve"> </v>
      </c>
      <c r="G4835" t="str">
        <f>IFERROR(+VLOOKUP(Movimientos_2026[[#This Row],[Codigo]],Plan_cuentas[],4,FALSE)," ")</f>
        <v xml:space="preserve"> </v>
      </c>
      <c r="H4835" t="str">
        <f>IFERROR(+VLOOKUP(Movimientos_2026[[#This Row],[Codigo]],Plan_cuentas[],5,FALSE)," ")</f>
        <v xml:space="preserve"> </v>
      </c>
      <c r="I4835" s="43"/>
      <c r="K4835" t="str">
        <f>IFERROR(+VLOOKUP(Movimientos_2026[[#This Row],[Codigo]],Plan_cuentas[],6,FALSE)," ")</f>
        <v xml:space="preserve"> </v>
      </c>
      <c r="L4835" s="50"/>
      <c r="M4835" s="50"/>
      <c r="N4835" s="20">
        <f>+Movimientos_2026[[#This Row],[Ingresos]]-Movimientos_2026[[#This Row],[Egresos]]</f>
        <v>0</v>
      </c>
      <c r="O4835" s="20">
        <f>+O4834+Movimientos_2026[[#This Row],[Neto]]</f>
        <v>4581558617.7962294</v>
      </c>
    </row>
    <row r="4836" spans="1:15" x14ac:dyDescent="0.25">
      <c r="A4836" s="13"/>
      <c r="B4836" s="12">
        <f>MONTH(Movimientos_2026[[#This Row],[Fecha]])</f>
        <v>1</v>
      </c>
      <c r="C4836" s="12" t="str">
        <f>VLOOKUP((WEEKDAY(Movimientos_2026[[#This Row],[Fecha]],2)),'5. Setup'!$D$6:$E$12,2,FALSE)</f>
        <v>Sab</v>
      </c>
      <c r="E4836" t="str">
        <f>IFERROR(+VLOOKUP(Movimientos_2026[[#This Row],[Codigo]],Plan_cuentas[],2,FALSE)," ")</f>
        <v xml:space="preserve"> </v>
      </c>
      <c r="F4836" t="str">
        <f>IFERROR(+VLOOKUP(Movimientos_2026[[#This Row],[Codigo]],Plan_cuentas[],3,FALSE)," ")</f>
        <v xml:space="preserve"> </v>
      </c>
      <c r="G4836" t="str">
        <f>IFERROR(+VLOOKUP(Movimientos_2026[[#This Row],[Codigo]],Plan_cuentas[],4,FALSE)," ")</f>
        <v xml:space="preserve"> </v>
      </c>
      <c r="H4836" t="str">
        <f>IFERROR(+VLOOKUP(Movimientos_2026[[#This Row],[Codigo]],Plan_cuentas[],5,FALSE)," ")</f>
        <v xml:space="preserve"> </v>
      </c>
      <c r="I4836" s="43"/>
      <c r="K4836" t="str">
        <f>IFERROR(+VLOOKUP(Movimientos_2026[[#This Row],[Codigo]],Plan_cuentas[],6,FALSE)," ")</f>
        <v xml:space="preserve"> </v>
      </c>
      <c r="L4836" s="50"/>
      <c r="M4836" s="50"/>
      <c r="N4836" s="20">
        <f>+Movimientos_2026[[#This Row],[Ingresos]]-Movimientos_2026[[#This Row],[Egresos]]</f>
        <v>0</v>
      </c>
      <c r="O4836" s="20">
        <f>+O4835+Movimientos_2026[[#This Row],[Neto]]</f>
        <v>4581558617.7962294</v>
      </c>
    </row>
    <row r="4837" spans="1:15" x14ac:dyDescent="0.25">
      <c r="A4837" s="13"/>
      <c r="B4837" s="12">
        <f>MONTH(Movimientos_2026[[#This Row],[Fecha]])</f>
        <v>1</v>
      </c>
      <c r="C4837" s="12" t="str">
        <f>VLOOKUP((WEEKDAY(Movimientos_2026[[#This Row],[Fecha]],2)),'5. Setup'!$D$6:$E$12,2,FALSE)</f>
        <v>Sab</v>
      </c>
      <c r="E4837" t="str">
        <f>IFERROR(+VLOOKUP(Movimientos_2026[[#This Row],[Codigo]],Plan_cuentas[],2,FALSE)," ")</f>
        <v xml:space="preserve"> </v>
      </c>
      <c r="F4837" t="str">
        <f>IFERROR(+VLOOKUP(Movimientos_2026[[#This Row],[Codigo]],Plan_cuentas[],3,FALSE)," ")</f>
        <v xml:space="preserve"> </v>
      </c>
      <c r="G4837" t="str">
        <f>IFERROR(+VLOOKUP(Movimientos_2026[[#This Row],[Codigo]],Plan_cuentas[],4,FALSE)," ")</f>
        <v xml:space="preserve"> </v>
      </c>
      <c r="H4837" t="str">
        <f>IFERROR(+VLOOKUP(Movimientos_2026[[#This Row],[Codigo]],Plan_cuentas[],5,FALSE)," ")</f>
        <v xml:space="preserve"> </v>
      </c>
      <c r="I4837" s="43"/>
      <c r="K4837" t="str">
        <f>IFERROR(+VLOOKUP(Movimientos_2026[[#This Row],[Codigo]],Plan_cuentas[],6,FALSE)," ")</f>
        <v xml:space="preserve"> </v>
      </c>
      <c r="L4837" s="50"/>
      <c r="M4837" s="50"/>
      <c r="N4837" s="20">
        <f>+Movimientos_2026[[#This Row],[Ingresos]]-Movimientos_2026[[#This Row],[Egresos]]</f>
        <v>0</v>
      </c>
      <c r="O4837" s="20">
        <f>+O4836+Movimientos_2026[[#This Row],[Neto]]</f>
        <v>4581558617.7962294</v>
      </c>
    </row>
    <row r="4838" spans="1:15" x14ac:dyDescent="0.25">
      <c r="A4838" s="13"/>
      <c r="B4838" s="12">
        <f>MONTH(Movimientos_2026[[#This Row],[Fecha]])</f>
        <v>1</v>
      </c>
      <c r="C4838" s="12" t="str">
        <f>VLOOKUP((WEEKDAY(Movimientos_2026[[#This Row],[Fecha]],2)),'5. Setup'!$D$6:$E$12,2,FALSE)</f>
        <v>Sab</v>
      </c>
      <c r="E4838" t="str">
        <f>IFERROR(+VLOOKUP(Movimientos_2026[[#This Row],[Codigo]],Plan_cuentas[],2,FALSE)," ")</f>
        <v xml:space="preserve"> </v>
      </c>
      <c r="F4838" t="str">
        <f>IFERROR(+VLOOKUP(Movimientos_2026[[#This Row],[Codigo]],Plan_cuentas[],3,FALSE)," ")</f>
        <v xml:space="preserve"> </v>
      </c>
      <c r="G4838" t="str">
        <f>IFERROR(+VLOOKUP(Movimientos_2026[[#This Row],[Codigo]],Plan_cuentas[],4,FALSE)," ")</f>
        <v xml:space="preserve"> </v>
      </c>
      <c r="H4838" t="str">
        <f>IFERROR(+VLOOKUP(Movimientos_2026[[#This Row],[Codigo]],Plan_cuentas[],5,FALSE)," ")</f>
        <v xml:space="preserve"> </v>
      </c>
      <c r="I4838" s="43"/>
      <c r="K4838" t="str">
        <f>IFERROR(+VLOOKUP(Movimientos_2026[[#This Row],[Codigo]],Plan_cuentas[],6,FALSE)," ")</f>
        <v xml:space="preserve"> </v>
      </c>
      <c r="L4838" s="50"/>
      <c r="M4838" s="50"/>
      <c r="N4838" s="20">
        <f>+Movimientos_2026[[#This Row],[Ingresos]]-Movimientos_2026[[#This Row],[Egresos]]</f>
        <v>0</v>
      </c>
      <c r="O4838" s="20">
        <f>+O4837+Movimientos_2026[[#This Row],[Neto]]</f>
        <v>4581558617.7962294</v>
      </c>
    </row>
    <row r="4839" spans="1:15" x14ac:dyDescent="0.25">
      <c r="A4839" s="13"/>
      <c r="B4839" s="12">
        <f>MONTH(Movimientos_2026[[#This Row],[Fecha]])</f>
        <v>1</v>
      </c>
      <c r="C4839" s="12" t="str">
        <f>VLOOKUP((WEEKDAY(Movimientos_2026[[#This Row],[Fecha]],2)),'5. Setup'!$D$6:$E$12,2,FALSE)</f>
        <v>Sab</v>
      </c>
      <c r="E4839" t="str">
        <f>IFERROR(+VLOOKUP(Movimientos_2026[[#This Row],[Codigo]],Plan_cuentas[],2,FALSE)," ")</f>
        <v xml:space="preserve"> </v>
      </c>
      <c r="F4839" t="str">
        <f>IFERROR(+VLOOKUP(Movimientos_2026[[#This Row],[Codigo]],Plan_cuentas[],3,FALSE)," ")</f>
        <v xml:space="preserve"> </v>
      </c>
      <c r="G4839" t="str">
        <f>IFERROR(+VLOOKUP(Movimientos_2026[[#This Row],[Codigo]],Plan_cuentas[],4,FALSE)," ")</f>
        <v xml:space="preserve"> </v>
      </c>
      <c r="H4839" t="str">
        <f>IFERROR(+VLOOKUP(Movimientos_2026[[#This Row],[Codigo]],Plan_cuentas[],5,FALSE)," ")</f>
        <v xml:space="preserve"> </v>
      </c>
      <c r="I4839" s="43"/>
      <c r="K4839" t="str">
        <f>IFERROR(+VLOOKUP(Movimientos_2026[[#This Row],[Codigo]],Plan_cuentas[],6,FALSE)," ")</f>
        <v xml:space="preserve"> </v>
      </c>
      <c r="L4839" s="50"/>
      <c r="M4839" s="50"/>
      <c r="N4839" s="20">
        <f>+Movimientos_2026[[#This Row],[Ingresos]]-Movimientos_2026[[#This Row],[Egresos]]</f>
        <v>0</v>
      </c>
      <c r="O4839" s="20">
        <f>+O4838+Movimientos_2026[[#This Row],[Neto]]</f>
        <v>4581558617.7962294</v>
      </c>
    </row>
    <row r="4840" spans="1:15" x14ac:dyDescent="0.25">
      <c r="A4840" s="13"/>
      <c r="B4840" s="12">
        <f>MONTH(Movimientos_2026[[#This Row],[Fecha]])</f>
        <v>1</v>
      </c>
      <c r="C4840" s="12" t="str">
        <f>VLOOKUP((WEEKDAY(Movimientos_2026[[#This Row],[Fecha]],2)),'5. Setup'!$D$6:$E$12,2,FALSE)</f>
        <v>Sab</v>
      </c>
      <c r="E4840" t="str">
        <f>IFERROR(+VLOOKUP(Movimientos_2026[[#This Row],[Codigo]],Plan_cuentas[],2,FALSE)," ")</f>
        <v xml:space="preserve"> </v>
      </c>
      <c r="F4840" t="str">
        <f>IFERROR(+VLOOKUP(Movimientos_2026[[#This Row],[Codigo]],Plan_cuentas[],3,FALSE)," ")</f>
        <v xml:space="preserve"> </v>
      </c>
      <c r="G4840" t="str">
        <f>IFERROR(+VLOOKUP(Movimientos_2026[[#This Row],[Codigo]],Plan_cuentas[],4,FALSE)," ")</f>
        <v xml:space="preserve"> </v>
      </c>
      <c r="H4840" t="str">
        <f>IFERROR(+VLOOKUP(Movimientos_2026[[#This Row],[Codigo]],Plan_cuentas[],5,FALSE)," ")</f>
        <v xml:space="preserve"> </v>
      </c>
      <c r="I4840" s="43"/>
      <c r="K4840" t="str">
        <f>IFERROR(+VLOOKUP(Movimientos_2026[[#This Row],[Codigo]],Plan_cuentas[],6,FALSE)," ")</f>
        <v xml:space="preserve"> </v>
      </c>
      <c r="L4840" s="50"/>
      <c r="M4840" s="50"/>
      <c r="N4840" s="20">
        <f>+Movimientos_2026[[#This Row],[Ingresos]]-Movimientos_2026[[#This Row],[Egresos]]</f>
        <v>0</v>
      </c>
      <c r="O4840" s="20">
        <f>+O4839+Movimientos_2026[[#This Row],[Neto]]</f>
        <v>4581558617.7962294</v>
      </c>
    </row>
    <row r="4841" spans="1:15" x14ac:dyDescent="0.25">
      <c r="A4841" s="13"/>
      <c r="B4841" s="12">
        <f>MONTH(Movimientos_2026[[#This Row],[Fecha]])</f>
        <v>1</v>
      </c>
      <c r="C4841" s="12" t="str">
        <f>VLOOKUP((WEEKDAY(Movimientos_2026[[#This Row],[Fecha]],2)),'5. Setup'!$D$6:$E$12,2,FALSE)</f>
        <v>Sab</v>
      </c>
      <c r="E4841" t="str">
        <f>IFERROR(+VLOOKUP(Movimientos_2026[[#This Row],[Codigo]],Plan_cuentas[],2,FALSE)," ")</f>
        <v xml:space="preserve"> </v>
      </c>
      <c r="F4841" t="str">
        <f>IFERROR(+VLOOKUP(Movimientos_2026[[#This Row],[Codigo]],Plan_cuentas[],3,FALSE)," ")</f>
        <v xml:space="preserve"> </v>
      </c>
      <c r="G4841" t="str">
        <f>IFERROR(+VLOOKUP(Movimientos_2026[[#This Row],[Codigo]],Plan_cuentas[],4,FALSE)," ")</f>
        <v xml:space="preserve"> </v>
      </c>
      <c r="H4841" t="str">
        <f>IFERROR(+VLOOKUP(Movimientos_2026[[#This Row],[Codigo]],Plan_cuentas[],5,FALSE)," ")</f>
        <v xml:space="preserve"> </v>
      </c>
      <c r="I4841" s="43"/>
      <c r="K4841" t="str">
        <f>IFERROR(+VLOOKUP(Movimientos_2026[[#This Row],[Codigo]],Plan_cuentas[],6,FALSE)," ")</f>
        <v xml:space="preserve"> </v>
      </c>
      <c r="L4841" s="50"/>
      <c r="M4841" s="50"/>
      <c r="N4841" s="20">
        <f>+Movimientos_2026[[#This Row],[Ingresos]]-Movimientos_2026[[#This Row],[Egresos]]</f>
        <v>0</v>
      </c>
      <c r="O4841" s="20">
        <f>+O4840+Movimientos_2026[[#This Row],[Neto]]</f>
        <v>4581558617.7962294</v>
      </c>
    </row>
    <row r="4842" spans="1:15" x14ac:dyDescent="0.25">
      <c r="A4842" s="13"/>
      <c r="B4842" s="12">
        <f>MONTH(Movimientos_2026[[#This Row],[Fecha]])</f>
        <v>1</v>
      </c>
      <c r="C4842" s="12" t="str">
        <f>VLOOKUP((WEEKDAY(Movimientos_2026[[#This Row],[Fecha]],2)),'5. Setup'!$D$6:$E$12,2,FALSE)</f>
        <v>Sab</v>
      </c>
      <c r="E4842" t="str">
        <f>IFERROR(+VLOOKUP(Movimientos_2026[[#This Row],[Codigo]],Plan_cuentas[],2,FALSE)," ")</f>
        <v xml:space="preserve"> </v>
      </c>
      <c r="F4842" t="str">
        <f>IFERROR(+VLOOKUP(Movimientos_2026[[#This Row],[Codigo]],Plan_cuentas[],3,FALSE)," ")</f>
        <v xml:space="preserve"> </v>
      </c>
      <c r="G4842" t="str">
        <f>IFERROR(+VLOOKUP(Movimientos_2026[[#This Row],[Codigo]],Plan_cuentas[],4,FALSE)," ")</f>
        <v xml:space="preserve"> </v>
      </c>
      <c r="H4842" t="str">
        <f>IFERROR(+VLOOKUP(Movimientos_2026[[#This Row],[Codigo]],Plan_cuentas[],5,FALSE)," ")</f>
        <v xml:space="preserve"> </v>
      </c>
      <c r="I4842" s="43"/>
      <c r="K4842" t="str">
        <f>IFERROR(+VLOOKUP(Movimientos_2026[[#This Row],[Codigo]],Plan_cuentas[],6,FALSE)," ")</f>
        <v xml:space="preserve"> </v>
      </c>
      <c r="L4842" s="50"/>
      <c r="M4842" s="50"/>
      <c r="N4842" s="20">
        <f>+Movimientos_2026[[#This Row],[Ingresos]]-Movimientos_2026[[#This Row],[Egresos]]</f>
        <v>0</v>
      </c>
      <c r="O4842" s="20">
        <f>+O4841+Movimientos_2026[[#This Row],[Neto]]</f>
        <v>4581558617.7962294</v>
      </c>
    </row>
    <row r="4843" spans="1:15" x14ac:dyDescent="0.25">
      <c r="A4843" s="13"/>
      <c r="B4843" s="12">
        <f>MONTH(Movimientos_2026[[#This Row],[Fecha]])</f>
        <v>1</v>
      </c>
      <c r="C4843" s="12" t="str">
        <f>VLOOKUP((WEEKDAY(Movimientos_2026[[#This Row],[Fecha]],2)),'5. Setup'!$D$6:$E$12,2,FALSE)</f>
        <v>Sab</v>
      </c>
      <c r="E4843" t="str">
        <f>IFERROR(+VLOOKUP(Movimientos_2026[[#This Row],[Codigo]],Plan_cuentas[],2,FALSE)," ")</f>
        <v xml:space="preserve"> </v>
      </c>
      <c r="F4843" t="str">
        <f>IFERROR(+VLOOKUP(Movimientos_2026[[#This Row],[Codigo]],Plan_cuentas[],3,FALSE)," ")</f>
        <v xml:space="preserve"> </v>
      </c>
      <c r="G4843" t="str">
        <f>IFERROR(+VLOOKUP(Movimientos_2026[[#This Row],[Codigo]],Plan_cuentas[],4,FALSE)," ")</f>
        <v xml:space="preserve"> </v>
      </c>
      <c r="H4843" t="str">
        <f>IFERROR(+VLOOKUP(Movimientos_2026[[#This Row],[Codigo]],Plan_cuentas[],5,FALSE)," ")</f>
        <v xml:space="preserve"> </v>
      </c>
      <c r="I4843" s="43"/>
      <c r="K4843" t="str">
        <f>IFERROR(+VLOOKUP(Movimientos_2026[[#This Row],[Codigo]],Plan_cuentas[],6,FALSE)," ")</f>
        <v xml:space="preserve"> </v>
      </c>
      <c r="L4843" s="50"/>
      <c r="M4843" s="50"/>
      <c r="N4843" s="20">
        <f>+Movimientos_2026[[#This Row],[Ingresos]]-Movimientos_2026[[#This Row],[Egresos]]</f>
        <v>0</v>
      </c>
      <c r="O4843" s="20">
        <f>+O4842+Movimientos_2026[[#This Row],[Neto]]</f>
        <v>4581558617.7962294</v>
      </c>
    </row>
    <row r="4844" spans="1:15" x14ac:dyDescent="0.25">
      <c r="A4844" s="13"/>
      <c r="B4844" s="12">
        <f>MONTH(Movimientos_2026[[#This Row],[Fecha]])</f>
        <v>1</v>
      </c>
      <c r="C4844" s="12" t="str">
        <f>VLOOKUP((WEEKDAY(Movimientos_2026[[#This Row],[Fecha]],2)),'5. Setup'!$D$6:$E$12,2,FALSE)</f>
        <v>Sab</v>
      </c>
      <c r="E4844" t="str">
        <f>IFERROR(+VLOOKUP(Movimientos_2026[[#This Row],[Codigo]],Plan_cuentas[],2,FALSE)," ")</f>
        <v xml:space="preserve"> </v>
      </c>
      <c r="F4844" t="str">
        <f>IFERROR(+VLOOKUP(Movimientos_2026[[#This Row],[Codigo]],Plan_cuentas[],3,FALSE)," ")</f>
        <v xml:space="preserve"> </v>
      </c>
      <c r="G4844" t="str">
        <f>IFERROR(+VLOOKUP(Movimientos_2026[[#This Row],[Codigo]],Plan_cuentas[],4,FALSE)," ")</f>
        <v xml:space="preserve"> </v>
      </c>
      <c r="H4844" t="str">
        <f>IFERROR(+VLOOKUP(Movimientos_2026[[#This Row],[Codigo]],Plan_cuentas[],5,FALSE)," ")</f>
        <v xml:space="preserve"> </v>
      </c>
      <c r="I4844" s="43"/>
      <c r="K4844" t="str">
        <f>IFERROR(+VLOOKUP(Movimientos_2026[[#This Row],[Codigo]],Plan_cuentas[],6,FALSE)," ")</f>
        <v xml:space="preserve"> </v>
      </c>
      <c r="L4844" s="50"/>
      <c r="M4844" s="50"/>
      <c r="N4844" s="20">
        <f>+Movimientos_2026[[#This Row],[Ingresos]]-Movimientos_2026[[#This Row],[Egresos]]</f>
        <v>0</v>
      </c>
      <c r="O4844" s="20">
        <f>+O4843+Movimientos_2026[[#This Row],[Neto]]</f>
        <v>4581558617.7962294</v>
      </c>
    </row>
    <row r="4845" spans="1:15" x14ac:dyDescent="0.25">
      <c r="A4845" s="13"/>
      <c r="B4845" s="12">
        <f>MONTH(Movimientos_2026[[#This Row],[Fecha]])</f>
        <v>1</v>
      </c>
      <c r="C4845" s="12" t="str">
        <f>VLOOKUP((WEEKDAY(Movimientos_2026[[#This Row],[Fecha]],2)),'5. Setup'!$D$6:$E$12,2,FALSE)</f>
        <v>Sab</v>
      </c>
      <c r="E4845" t="str">
        <f>IFERROR(+VLOOKUP(Movimientos_2026[[#This Row],[Codigo]],Plan_cuentas[],2,FALSE)," ")</f>
        <v xml:space="preserve"> </v>
      </c>
      <c r="F4845" t="str">
        <f>IFERROR(+VLOOKUP(Movimientos_2026[[#This Row],[Codigo]],Plan_cuentas[],3,FALSE)," ")</f>
        <v xml:space="preserve"> </v>
      </c>
      <c r="G4845" t="str">
        <f>IFERROR(+VLOOKUP(Movimientos_2026[[#This Row],[Codigo]],Plan_cuentas[],4,FALSE)," ")</f>
        <v xml:space="preserve"> </v>
      </c>
      <c r="H4845" t="str">
        <f>IFERROR(+VLOOKUP(Movimientos_2026[[#This Row],[Codigo]],Plan_cuentas[],5,FALSE)," ")</f>
        <v xml:space="preserve"> </v>
      </c>
      <c r="I4845" s="43"/>
      <c r="K4845" t="str">
        <f>IFERROR(+VLOOKUP(Movimientos_2026[[#This Row],[Codigo]],Plan_cuentas[],6,FALSE)," ")</f>
        <v xml:space="preserve"> </v>
      </c>
      <c r="L4845" s="50"/>
      <c r="M4845" s="50"/>
      <c r="N4845" s="20">
        <f>+Movimientos_2026[[#This Row],[Ingresos]]-Movimientos_2026[[#This Row],[Egresos]]</f>
        <v>0</v>
      </c>
      <c r="O4845" s="20">
        <f>+O4844+Movimientos_2026[[#This Row],[Neto]]</f>
        <v>4581558617.7962294</v>
      </c>
    </row>
    <row r="4846" spans="1:15" x14ac:dyDescent="0.25">
      <c r="A4846" s="13"/>
      <c r="B4846" s="12">
        <f>MONTH(Movimientos_2026[[#This Row],[Fecha]])</f>
        <v>1</v>
      </c>
      <c r="C4846" s="12" t="str">
        <f>VLOOKUP((WEEKDAY(Movimientos_2026[[#This Row],[Fecha]],2)),'5. Setup'!$D$6:$E$12,2,FALSE)</f>
        <v>Sab</v>
      </c>
      <c r="E4846" t="str">
        <f>IFERROR(+VLOOKUP(Movimientos_2026[[#This Row],[Codigo]],Plan_cuentas[],2,FALSE)," ")</f>
        <v xml:space="preserve"> </v>
      </c>
      <c r="F4846" t="str">
        <f>IFERROR(+VLOOKUP(Movimientos_2026[[#This Row],[Codigo]],Plan_cuentas[],3,FALSE)," ")</f>
        <v xml:space="preserve"> </v>
      </c>
      <c r="G4846" t="str">
        <f>IFERROR(+VLOOKUP(Movimientos_2026[[#This Row],[Codigo]],Plan_cuentas[],4,FALSE)," ")</f>
        <v xml:space="preserve"> </v>
      </c>
      <c r="H4846" t="str">
        <f>IFERROR(+VLOOKUP(Movimientos_2026[[#This Row],[Codigo]],Plan_cuentas[],5,FALSE)," ")</f>
        <v xml:space="preserve"> </v>
      </c>
      <c r="I4846" s="43"/>
      <c r="K4846" t="str">
        <f>IFERROR(+VLOOKUP(Movimientos_2026[[#This Row],[Codigo]],Plan_cuentas[],6,FALSE)," ")</f>
        <v xml:space="preserve"> </v>
      </c>
      <c r="L4846" s="50"/>
      <c r="M4846" s="50"/>
      <c r="N4846" s="20">
        <f>+Movimientos_2026[[#This Row],[Ingresos]]-Movimientos_2026[[#This Row],[Egresos]]</f>
        <v>0</v>
      </c>
      <c r="O4846" s="20">
        <f>+O4845+Movimientos_2026[[#This Row],[Neto]]</f>
        <v>4581558617.7962294</v>
      </c>
    </row>
    <row r="4847" spans="1:15" x14ac:dyDescent="0.25">
      <c r="A4847" s="13"/>
      <c r="B4847" s="12">
        <f>MONTH(Movimientos_2026[[#This Row],[Fecha]])</f>
        <v>1</v>
      </c>
      <c r="C4847" s="12" t="str">
        <f>VLOOKUP((WEEKDAY(Movimientos_2026[[#This Row],[Fecha]],2)),'5. Setup'!$D$6:$E$12,2,FALSE)</f>
        <v>Sab</v>
      </c>
      <c r="E4847" t="str">
        <f>IFERROR(+VLOOKUP(Movimientos_2026[[#This Row],[Codigo]],Plan_cuentas[],2,FALSE)," ")</f>
        <v xml:space="preserve"> </v>
      </c>
      <c r="F4847" t="str">
        <f>IFERROR(+VLOOKUP(Movimientos_2026[[#This Row],[Codigo]],Plan_cuentas[],3,FALSE)," ")</f>
        <v xml:space="preserve"> </v>
      </c>
      <c r="G4847" t="str">
        <f>IFERROR(+VLOOKUP(Movimientos_2026[[#This Row],[Codigo]],Plan_cuentas[],4,FALSE)," ")</f>
        <v xml:space="preserve"> </v>
      </c>
      <c r="H4847" t="str">
        <f>IFERROR(+VLOOKUP(Movimientos_2026[[#This Row],[Codigo]],Plan_cuentas[],5,FALSE)," ")</f>
        <v xml:space="preserve"> </v>
      </c>
      <c r="I4847" s="43"/>
      <c r="K4847" t="str">
        <f>IFERROR(+VLOOKUP(Movimientos_2026[[#This Row],[Codigo]],Plan_cuentas[],6,FALSE)," ")</f>
        <v xml:space="preserve"> </v>
      </c>
      <c r="L4847" s="50"/>
      <c r="M4847" s="50"/>
      <c r="N4847" s="20">
        <f>+Movimientos_2026[[#This Row],[Ingresos]]-Movimientos_2026[[#This Row],[Egresos]]</f>
        <v>0</v>
      </c>
      <c r="O4847" s="20">
        <f>+O4846+Movimientos_2026[[#This Row],[Neto]]</f>
        <v>4581558617.7962294</v>
      </c>
    </row>
    <row r="4848" spans="1:15" x14ac:dyDescent="0.25">
      <c r="A4848" s="13"/>
      <c r="B4848" s="12">
        <f>MONTH(Movimientos_2026[[#This Row],[Fecha]])</f>
        <v>1</v>
      </c>
      <c r="C4848" s="12" t="str">
        <f>VLOOKUP((WEEKDAY(Movimientos_2026[[#This Row],[Fecha]],2)),'5. Setup'!$D$6:$E$12,2,FALSE)</f>
        <v>Sab</v>
      </c>
      <c r="E4848" t="str">
        <f>IFERROR(+VLOOKUP(Movimientos_2026[[#This Row],[Codigo]],Plan_cuentas[],2,FALSE)," ")</f>
        <v xml:space="preserve"> </v>
      </c>
      <c r="F4848" t="str">
        <f>IFERROR(+VLOOKUP(Movimientos_2026[[#This Row],[Codigo]],Plan_cuentas[],3,FALSE)," ")</f>
        <v xml:space="preserve"> </v>
      </c>
      <c r="G4848" t="str">
        <f>IFERROR(+VLOOKUP(Movimientos_2026[[#This Row],[Codigo]],Plan_cuentas[],4,FALSE)," ")</f>
        <v xml:space="preserve"> </v>
      </c>
      <c r="H4848" t="str">
        <f>IFERROR(+VLOOKUP(Movimientos_2026[[#This Row],[Codigo]],Plan_cuentas[],5,FALSE)," ")</f>
        <v xml:space="preserve"> </v>
      </c>
      <c r="I4848" s="43"/>
      <c r="K4848" t="str">
        <f>IFERROR(+VLOOKUP(Movimientos_2026[[#This Row],[Codigo]],Plan_cuentas[],6,FALSE)," ")</f>
        <v xml:space="preserve"> </v>
      </c>
      <c r="L4848" s="50"/>
      <c r="M4848" s="50"/>
      <c r="N4848" s="20">
        <f>+Movimientos_2026[[#This Row],[Ingresos]]-Movimientos_2026[[#This Row],[Egresos]]</f>
        <v>0</v>
      </c>
      <c r="O4848" s="20">
        <f>+O4847+Movimientos_2026[[#This Row],[Neto]]</f>
        <v>4581558617.7962294</v>
      </c>
    </row>
    <row r="4849" spans="1:15" x14ac:dyDescent="0.25">
      <c r="A4849" s="13"/>
      <c r="B4849" s="12">
        <f>MONTH(Movimientos_2026[[#This Row],[Fecha]])</f>
        <v>1</v>
      </c>
      <c r="C4849" s="12" t="str">
        <f>VLOOKUP((WEEKDAY(Movimientos_2026[[#This Row],[Fecha]],2)),'5. Setup'!$D$6:$E$12,2,FALSE)</f>
        <v>Sab</v>
      </c>
      <c r="E4849" t="str">
        <f>IFERROR(+VLOOKUP(Movimientos_2026[[#This Row],[Codigo]],Plan_cuentas[],2,FALSE)," ")</f>
        <v xml:space="preserve"> </v>
      </c>
      <c r="F4849" t="str">
        <f>IFERROR(+VLOOKUP(Movimientos_2026[[#This Row],[Codigo]],Plan_cuentas[],3,FALSE)," ")</f>
        <v xml:space="preserve"> </v>
      </c>
      <c r="G4849" t="str">
        <f>IFERROR(+VLOOKUP(Movimientos_2026[[#This Row],[Codigo]],Plan_cuentas[],4,FALSE)," ")</f>
        <v xml:space="preserve"> </v>
      </c>
      <c r="H4849" t="str">
        <f>IFERROR(+VLOOKUP(Movimientos_2026[[#This Row],[Codigo]],Plan_cuentas[],5,FALSE)," ")</f>
        <v xml:space="preserve"> </v>
      </c>
      <c r="I4849" s="43"/>
      <c r="K4849" t="str">
        <f>IFERROR(+VLOOKUP(Movimientos_2026[[#This Row],[Codigo]],Plan_cuentas[],6,FALSE)," ")</f>
        <v xml:space="preserve"> </v>
      </c>
      <c r="L4849" s="50"/>
      <c r="M4849" s="50"/>
      <c r="N4849" s="20">
        <f>+Movimientos_2026[[#This Row],[Ingresos]]-Movimientos_2026[[#This Row],[Egresos]]</f>
        <v>0</v>
      </c>
      <c r="O4849" s="20">
        <f>+O4848+Movimientos_2026[[#This Row],[Neto]]</f>
        <v>4581558617.7962294</v>
      </c>
    </row>
    <row r="4850" spans="1:15" x14ac:dyDescent="0.25">
      <c r="A4850" s="13"/>
      <c r="B4850" s="12">
        <f>MONTH(Movimientos_2026[[#This Row],[Fecha]])</f>
        <v>1</v>
      </c>
      <c r="C4850" s="12" t="str">
        <f>VLOOKUP((WEEKDAY(Movimientos_2026[[#This Row],[Fecha]],2)),'5. Setup'!$D$6:$E$12,2,FALSE)</f>
        <v>Sab</v>
      </c>
      <c r="E4850" t="str">
        <f>IFERROR(+VLOOKUP(Movimientos_2026[[#This Row],[Codigo]],Plan_cuentas[],2,FALSE)," ")</f>
        <v xml:space="preserve"> </v>
      </c>
      <c r="F4850" t="str">
        <f>IFERROR(+VLOOKUP(Movimientos_2026[[#This Row],[Codigo]],Plan_cuentas[],3,FALSE)," ")</f>
        <v xml:space="preserve"> </v>
      </c>
      <c r="G4850" t="str">
        <f>IFERROR(+VLOOKUP(Movimientos_2026[[#This Row],[Codigo]],Plan_cuentas[],4,FALSE)," ")</f>
        <v xml:space="preserve"> </v>
      </c>
      <c r="H4850" t="str">
        <f>IFERROR(+VLOOKUP(Movimientos_2026[[#This Row],[Codigo]],Plan_cuentas[],5,FALSE)," ")</f>
        <v xml:space="preserve"> </v>
      </c>
      <c r="I4850" s="43"/>
      <c r="K4850" t="str">
        <f>IFERROR(+VLOOKUP(Movimientos_2026[[#This Row],[Codigo]],Plan_cuentas[],6,FALSE)," ")</f>
        <v xml:space="preserve"> </v>
      </c>
      <c r="L4850" s="50"/>
      <c r="M4850" s="50"/>
      <c r="N4850" s="20">
        <f>+Movimientos_2026[[#This Row],[Ingresos]]-Movimientos_2026[[#This Row],[Egresos]]</f>
        <v>0</v>
      </c>
      <c r="O4850" s="20">
        <f>+O4849+Movimientos_2026[[#This Row],[Neto]]</f>
        <v>4581558617.7962294</v>
      </c>
    </row>
    <row r="4851" spans="1:15" x14ac:dyDescent="0.25">
      <c r="A4851" s="13"/>
      <c r="B4851" s="12">
        <f>MONTH(Movimientos_2026[[#This Row],[Fecha]])</f>
        <v>1</v>
      </c>
      <c r="C4851" s="12" t="str">
        <f>VLOOKUP((WEEKDAY(Movimientos_2026[[#This Row],[Fecha]],2)),'5. Setup'!$D$6:$E$12,2,FALSE)</f>
        <v>Sab</v>
      </c>
      <c r="E4851" t="str">
        <f>IFERROR(+VLOOKUP(Movimientos_2026[[#This Row],[Codigo]],Plan_cuentas[],2,FALSE)," ")</f>
        <v xml:space="preserve"> </v>
      </c>
      <c r="F4851" t="str">
        <f>IFERROR(+VLOOKUP(Movimientos_2026[[#This Row],[Codigo]],Plan_cuentas[],3,FALSE)," ")</f>
        <v xml:space="preserve"> </v>
      </c>
      <c r="G4851" t="str">
        <f>IFERROR(+VLOOKUP(Movimientos_2026[[#This Row],[Codigo]],Plan_cuentas[],4,FALSE)," ")</f>
        <v xml:space="preserve"> </v>
      </c>
      <c r="H4851" t="str">
        <f>IFERROR(+VLOOKUP(Movimientos_2026[[#This Row],[Codigo]],Plan_cuentas[],5,FALSE)," ")</f>
        <v xml:space="preserve"> </v>
      </c>
      <c r="I4851" s="43"/>
      <c r="K4851" t="str">
        <f>IFERROR(+VLOOKUP(Movimientos_2026[[#This Row],[Codigo]],Plan_cuentas[],6,FALSE)," ")</f>
        <v xml:space="preserve"> </v>
      </c>
      <c r="L4851" s="50"/>
      <c r="M4851" s="50"/>
      <c r="N4851" s="20">
        <f>+Movimientos_2026[[#This Row],[Ingresos]]-Movimientos_2026[[#This Row],[Egresos]]</f>
        <v>0</v>
      </c>
      <c r="O4851" s="20">
        <f>+O4850+Movimientos_2026[[#This Row],[Neto]]</f>
        <v>4581558617.7962294</v>
      </c>
    </row>
    <row r="4852" spans="1:15" x14ac:dyDescent="0.25">
      <c r="A4852" s="13"/>
      <c r="B4852" s="12">
        <f>MONTH(Movimientos_2026[[#This Row],[Fecha]])</f>
        <v>1</v>
      </c>
      <c r="C4852" s="12" t="str">
        <f>VLOOKUP((WEEKDAY(Movimientos_2026[[#This Row],[Fecha]],2)),'5. Setup'!$D$6:$E$12,2,FALSE)</f>
        <v>Sab</v>
      </c>
      <c r="E4852" t="str">
        <f>IFERROR(+VLOOKUP(Movimientos_2026[[#This Row],[Codigo]],Plan_cuentas[],2,FALSE)," ")</f>
        <v xml:space="preserve"> </v>
      </c>
      <c r="F4852" t="str">
        <f>IFERROR(+VLOOKUP(Movimientos_2026[[#This Row],[Codigo]],Plan_cuentas[],3,FALSE)," ")</f>
        <v xml:space="preserve"> </v>
      </c>
      <c r="G4852" t="str">
        <f>IFERROR(+VLOOKUP(Movimientos_2026[[#This Row],[Codigo]],Plan_cuentas[],4,FALSE)," ")</f>
        <v xml:space="preserve"> </v>
      </c>
      <c r="H4852" t="str">
        <f>IFERROR(+VLOOKUP(Movimientos_2026[[#This Row],[Codigo]],Plan_cuentas[],5,FALSE)," ")</f>
        <v xml:space="preserve"> </v>
      </c>
      <c r="I4852" s="43"/>
      <c r="K4852" t="str">
        <f>IFERROR(+VLOOKUP(Movimientos_2026[[#This Row],[Codigo]],Plan_cuentas[],6,FALSE)," ")</f>
        <v xml:space="preserve"> </v>
      </c>
      <c r="L4852" s="50"/>
      <c r="M4852" s="50"/>
      <c r="N4852" s="20">
        <f>+Movimientos_2026[[#This Row],[Ingresos]]-Movimientos_2026[[#This Row],[Egresos]]</f>
        <v>0</v>
      </c>
      <c r="O4852" s="20">
        <f>+O4851+Movimientos_2026[[#This Row],[Neto]]</f>
        <v>4581558617.7962294</v>
      </c>
    </row>
    <row r="4853" spans="1:15" x14ac:dyDescent="0.25">
      <c r="A4853" s="13"/>
      <c r="B4853" s="12">
        <f>MONTH(Movimientos_2026[[#This Row],[Fecha]])</f>
        <v>1</v>
      </c>
      <c r="C4853" s="12" t="str">
        <f>VLOOKUP((WEEKDAY(Movimientos_2026[[#This Row],[Fecha]],2)),'5. Setup'!$D$6:$E$12,2,FALSE)</f>
        <v>Sab</v>
      </c>
      <c r="E4853" t="str">
        <f>IFERROR(+VLOOKUP(Movimientos_2026[[#This Row],[Codigo]],Plan_cuentas[],2,FALSE)," ")</f>
        <v xml:space="preserve"> </v>
      </c>
      <c r="F4853" t="str">
        <f>IFERROR(+VLOOKUP(Movimientos_2026[[#This Row],[Codigo]],Plan_cuentas[],3,FALSE)," ")</f>
        <v xml:space="preserve"> </v>
      </c>
      <c r="G4853" t="str">
        <f>IFERROR(+VLOOKUP(Movimientos_2026[[#This Row],[Codigo]],Plan_cuentas[],4,FALSE)," ")</f>
        <v xml:space="preserve"> </v>
      </c>
      <c r="H4853" t="str">
        <f>IFERROR(+VLOOKUP(Movimientos_2026[[#This Row],[Codigo]],Plan_cuentas[],5,FALSE)," ")</f>
        <v xml:space="preserve"> </v>
      </c>
      <c r="I4853" s="43"/>
      <c r="K4853" t="str">
        <f>IFERROR(+VLOOKUP(Movimientos_2026[[#This Row],[Codigo]],Plan_cuentas[],6,FALSE)," ")</f>
        <v xml:space="preserve"> </v>
      </c>
      <c r="L4853" s="50"/>
      <c r="M4853" s="50"/>
      <c r="N4853" s="20">
        <f>+Movimientos_2026[[#This Row],[Ingresos]]-Movimientos_2026[[#This Row],[Egresos]]</f>
        <v>0</v>
      </c>
      <c r="O4853" s="20">
        <f>+O4852+Movimientos_2026[[#This Row],[Neto]]</f>
        <v>4581558617.7962294</v>
      </c>
    </row>
    <row r="4854" spans="1:15" x14ac:dyDescent="0.25">
      <c r="A4854" s="13"/>
      <c r="B4854" s="12">
        <f>MONTH(Movimientos_2026[[#This Row],[Fecha]])</f>
        <v>1</v>
      </c>
      <c r="C4854" s="12" t="str">
        <f>VLOOKUP((WEEKDAY(Movimientos_2026[[#This Row],[Fecha]],2)),'5. Setup'!$D$6:$E$12,2,FALSE)</f>
        <v>Sab</v>
      </c>
      <c r="E4854" t="str">
        <f>IFERROR(+VLOOKUP(Movimientos_2026[[#This Row],[Codigo]],Plan_cuentas[],2,FALSE)," ")</f>
        <v xml:space="preserve"> </v>
      </c>
      <c r="F4854" t="str">
        <f>IFERROR(+VLOOKUP(Movimientos_2026[[#This Row],[Codigo]],Plan_cuentas[],3,FALSE)," ")</f>
        <v xml:space="preserve"> </v>
      </c>
      <c r="G4854" t="str">
        <f>IFERROR(+VLOOKUP(Movimientos_2026[[#This Row],[Codigo]],Plan_cuentas[],4,FALSE)," ")</f>
        <v xml:space="preserve"> </v>
      </c>
      <c r="H4854" t="str">
        <f>IFERROR(+VLOOKUP(Movimientos_2026[[#This Row],[Codigo]],Plan_cuentas[],5,FALSE)," ")</f>
        <v xml:space="preserve"> </v>
      </c>
      <c r="I4854" s="43"/>
      <c r="K4854" t="str">
        <f>IFERROR(+VLOOKUP(Movimientos_2026[[#This Row],[Codigo]],Plan_cuentas[],6,FALSE)," ")</f>
        <v xml:space="preserve"> </v>
      </c>
      <c r="L4854" s="50"/>
      <c r="M4854" s="50"/>
      <c r="N4854" s="20">
        <f>+Movimientos_2026[[#This Row],[Ingresos]]-Movimientos_2026[[#This Row],[Egresos]]</f>
        <v>0</v>
      </c>
      <c r="O4854" s="20">
        <f>+O4853+Movimientos_2026[[#This Row],[Neto]]</f>
        <v>4581558617.7962294</v>
      </c>
    </row>
    <row r="4855" spans="1:15" x14ac:dyDescent="0.25">
      <c r="A4855" s="13"/>
      <c r="B4855" s="12">
        <f>MONTH(Movimientos_2026[[#This Row],[Fecha]])</f>
        <v>1</v>
      </c>
      <c r="C4855" s="12" t="str">
        <f>VLOOKUP((WEEKDAY(Movimientos_2026[[#This Row],[Fecha]],2)),'5. Setup'!$D$6:$E$12,2,FALSE)</f>
        <v>Sab</v>
      </c>
      <c r="E4855" t="str">
        <f>IFERROR(+VLOOKUP(Movimientos_2026[[#This Row],[Codigo]],Plan_cuentas[],2,FALSE)," ")</f>
        <v xml:space="preserve"> </v>
      </c>
      <c r="F4855" t="str">
        <f>IFERROR(+VLOOKUP(Movimientos_2026[[#This Row],[Codigo]],Plan_cuentas[],3,FALSE)," ")</f>
        <v xml:space="preserve"> </v>
      </c>
      <c r="G4855" t="str">
        <f>IFERROR(+VLOOKUP(Movimientos_2026[[#This Row],[Codigo]],Plan_cuentas[],4,FALSE)," ")</f>
        <v xml:space="preserve"> </v>
      </c>
      <c r="H4855" t="str">
        <f>IFERROR(+VLOOKUP(Movimientos_2026[[#This Row],[Codigo]],Plan_cuentas[],5,FALSE)," ")</f>
        <v xml:space="preserve"> </v>
      </c>
      <c r="I4855" s="43"/>
      <c r="K4855" t="str">
        <f>IFERROR(+VLOOKUP(Movimientos_2026[[#This Row],[Codigo]],Plan_cuentas[],6,FALSE)," ")</f>
        <v xml:space="preserve"> </v>
      </c>
      <c r="L4855" s="50"/>
      <c r="M4855" s="50"/>
      <c r="N4855" s="20">
        <f>+Movimientos_2026[[#This Row],[Ingresos]]-Movimientos_2026[[#This Row],[Egresos]]</f>
        <v>0</v>
      </c>
      <c r="O4855" s="20">
        <f>+O4854+Movimientos_2026[[#This Row],[Neto]]</f>
        <v>4581558617.7962294</v>
      </c>
    </row>
    <row r="4856" spans="1:15" x14ac:dyDescent="0.25">
      <c r="A4856" s="13"/>
      <c r="B4856" s="12">
        <f>MONTH(Movimientos_2026[[#This Row],[Fecha]])</f>
        <v>1</v>
      </c>
      <c r="C4856" s="12" t="str">
        <f>VLOOKUP((WEEKDAY(Movimientos_2026[[#This Row],[Fecha]],2)),'5. Setup'!$D$6:$E$12,2,FALSE)</f>
        <v>Sab</v>
      </c>
      <c r="E4856" t="str">
        <f>IFERROR(+VLOOKUP(Movimientos_2026[[#This Row],[Codigo]],Plan_cuentas[],2,FALSE)," ")</f>
        <v xml:space="preserve"> </v>
      </c>
      <c r="F4856" t="str">
        <f>IFERROR(+VLOOKUP(Movimientos_2026[[#This Row],[Codigo]],Plan_cuentas[],3,FALSE)," ")</f>
        <v xml:space="preserve"> </v>
      </c>
      <c r="G4856" t="str">
        <f>IFERROR(+VLOOKUP(Movimientos_2026[[#This Row],[Codigo]],Plan_cuentas[],4,FALSE)," ")</f>
        <v xml:space="preserve"> </v>
      </c>
      <c r="H4856" t="str">
        <f>IFERROR(+VLOOKUP(Movimientos_2026[[#This Row],[Codigo]],Plan_cuentas[],5,FALSE)," ")</f>
        <v xml:space="preserve"> </v>
      </c>
      <c r="I4856" s="43"/>
      <c r="K4856" t="str">
        <f>IFERROR(+VLOOKUP(Movimientos_2026[[#This Row],[Codigo]],Plan_cuentas[],6,FALSE)," ")</f>
        <v xml:space="preserve"> </v>
      </c>
      <c r="L4856" s="50"/>
      <c r="M4856" s="50"/>
      <c r="N4856" s="20">
        <f>+Movimientos_2026[[#This Row],[Ingresos]]-Movimientos_2026[[#This Row],[Egresos]]</f>
        <v>0</v>
      </c>
      <c r="O4856" s="20">
        <f>+O4855+Movimientos_2026[[#This Row],[Neto]]</f>
        <v>4581558617.7962294</v>
      </c>
    </row>
    <row r="4857" spans="1:15" x14ac:dyDescent="0.25">
      <c r="A4857" s="13"/>
      <c r="B4857" s="12">
        <f>MONTH(Movimientos_2026[[#This Row],[Fecha]])</f>
        <v>1</v>
      </c>
      <c r="C4857" s="12" t="str">
        <f>VLOOKUP((WEEKDAY(Movimientos_2026[[#This Row],[Fecha]],2)),'5. Setup'!$D$6:$E$12,2,FALSE)</f>
        <v>Sab</v>
      </c>
      <c r="E4857" t="str">
        <f>IFERROR(+VLOOKUP(Movimientos_2026[[#This Row],[Codigo]],Plan_cuentas[],2,FALSE)," ")</f>
        <v xml:space="preserve"> </v>
      </c>
      <c r="F4857" t="str">
        <f>IFERROR(+VLOOKUP(Movimientos_2026[[#This Row],[Codigo]],Plan_cuentas[],3,FALSE)," ")</f>
        <v xml:space="preserve"> </v>
      </c>
      <c r="G4857" t="str">
        <f>IFERROR(+VLOOKUP(Movimientos_2026[[#This Row],[Codigo]],Plan_cuentas[],4,FALSE)," ")</f>
        <v xml:space="preserve"> </v>
      </c>
      <c r="H4857" t="str">
        <f>IFERROR(+VLOOKUP(Movimientos_2026[[#This Row],[Codigo]],Plan_cuentas[],5,FALSE)," ")</f>
        <v xml:space="preserve"> </v>
      </c>
      <c r="I4857" s="43"/>
      <c r="K4857" t="str">
        <f>IFERROR(+VLOOKUP(Movimientos_2026[[#This Row],[Codigo]],Plan_cuentas[],6,FALSE)," ")</f>
        <v xml:space="preserve"> </v>
      </c>
      <c r="L4857" s="50"/>
      <c r="M4857" s="50"/>
      <c r="N4857" s="20">
        <f>+Movimientos_2026[[#This Row],[Ingresos]]-Movimientos_2026[[#This Row],[Egresos]]</f>
        <v>0</v>
      </c>
      <c r="O4857" s="20">
        <f>+O4856+Movimientos_2026[[#This Row],[Neto]]</f>
        <v>4581558617.7962294</v>
      </c>
    </row>
    <row r="4858" spans="1:15" x14ac:dyDescent="0.25">
      <c r="A4858" s="13"/>
      <c r="B4858" s="12">
        <f>MONTH(Movimientos_2026[[#This Row],[Fecha]])</f>
        <v>1</v>
      </c>
      <c r="C4858" s="12" t="str">
        <f>VLOOKUP((WEEKDAY(Movimientos_2026[[#This Row],[Fecha]],2)),'5. Setup'!$D$6:$E$12,2,FALSE)</f>
        <v>Sab</v>
      </c>
      <c r="E4858" t="str">
        <f>IFERROR(+VLOOKUP(Movimientos_2026[[#This Row],[Codigo]],Plan_cuentas[],2,FALSE)," ")</f>
        <v xml:space="preserve"> </v>
      </c>
      <c r="F4858" t="str">
        <f>IFERROR(+VLOOKUP(Movimientos_2026[[#This Row],[Codigo]],Plan_cuentas[],3,FALSE)," ")</f>
        <v xml:space="preserve"> </v>
      </c>
      <c r="G4858" t="str">
        <f>IFERROR(+VLOOKUP(Movimientos_2026[[#This Row],[Codigo]],Plan_cuentas[],4,FALSE)," ")</f>
        <v xml:space="preserve"> </v>
      </c>
      <c r="H4858" t="str">
        <f>IFERROR(+VLOOKUP(Movimientos_2026[[#This Row],[Codigo]],Plan_cuentas[],5,FALSE)," ")</f>
        <v xml:space="preserve"> </v>
      </c>
      <c r="I4858" s="43"/>
      <c r="K4858" t="str">
        <f>IFERROR(+VLOOKUP(Movimientos_2026[[#This Row],[Codigo]],Plan_cuentas[],6,FALSE)," ")</f>
        <v xml:space="preserve"> </v>
      </c>
      <c r="L4858" s="50"/>
      <c r="M4858" s="50"/>
      <c r="N4858" s="20">
        <f>+Movimientos_2026[[#This Row],[Ingresos]]-Movimientos_2026[[#This Row],[Egresos]]</f>
        <v>0</v>
      </c>
      <c r="O4858" s="20">
        <f>+O4857+Movimientos_2026[[#This Row],[Neto]]</f>
        <v>4581558617.7962294</v>
      </c>
    </row>
    <row r="4859" spans="1:15" x14ac:dyDescent="0.25">
      <c r="A4859" s="13"/>
      <c r="B4859" s="12">
        <f>MONTH(Movimientos_2026[[#This Row],[Fecha]])</f>
        <v>1</v>
      </c>
      <c r="C4859" s="12" t="str">
        <f>VLOOKUP((WEEKDAY(Movimientos_2026[[#This Row],[Fecha]],2)),'5. Setup'!$D$6:$E$12,2,FALSE)</f>
        <v>Sab</v>
      </c>
      <c r="E4859" t="str">
        <f>IFERROR(+VLOOKUP(Movimientos_2026[[#This Row],[Codigo]],Plan_cuentas[],2,FALSE)," ")</f>
        <v xml:space="preserve"> </v>
      </c>
      <c r="F4859" t="str">
        <f>IFERROR(+VLOOKUP(Movimientos_2026[[#This Row],[Codigo]],Plan_cuentas[],3,FALSE)," ")</f>
        <v xml:space="preserve"> </v>
      </c>
      <c r="G4859" t="str">
        <f>IFERROR(+VLOOKUP(Movimientos_2026[[#This Row],[Codigo]],Plan_cuentas[],4,FALSE)," ")</f>
        <v xml:space="preserve"> </v>
      </c>
      <c r="H4859" t="str">
        <f>IFERROR(+VLOOKUP(Movimientos_2026[[#This Row],[Codigo]],Plan_cuentas[],5,FALSE)," ")</f>
        <v xml:space="preserve"> </v>
      </c>
      <c r="I4859" s="43"/>
      <c r="K4859" t="str">
        <f>IFERROR(+VLOOKUP(Movimientos_2026[[#This Row],[Codigo]],Plan_cuentas[],6,FALSE)," ")</f>
        <v xml:space="preserve"> </v>
      </c>
      <c r="L4859" s="50"/>
      <c r="M4859" s="50"/>
      <c r="N4859" s="20">
        <f>+Movimientos_2026[[#This Row],[Ingresos]]-Movimientos_2026[[#This Row],[Egresos]]</f>
        <v>0</v>
      </c>
      <c r="O4859" s="20">
        <f>+O4858+Movimientos_2026[[#This Row],[Neto]]</f>
        <v>4581558617.7962294</v>
      </c>
    </row>
    <row r="4860" spans="1:15" x14ac:dyDescent="0.25">
      <c r="A4860" s="13"/>
      <c r="B4860" s="12">
        <f>MONTH(Movimientos_2026[[#This Row],[Fecha]])</f>
        <v>1</v>
      </c>
      <c r="C4860" s="12" t="str">
        <f>VLOOKUP((WEEKDAY(Movimientos_2026[[#This Row],[Fecha]],2)),'5. Setup'!$D$6:$E$12,2,FALSE)</f>
        <v>Sab</v>
      </c>
      <c r="E4860" t="str">
        <f>IFERROR(+VLOOKUP(Movimientos_2026[[#This Row],[Codigo]],Plan_cuentas[],2,FALSE)," ")</f>
        <v xml:space="preserve"> </v>
      </c>
      <c r="F4860" t="str">
        <f>IFERROR(+VLOOKUP(Movimientos_2026[[#This Row],[Codigo]],Plan_cuentas[],3,FALSE)," ")</f>
        <v xml:space="preserve"> </v>
      </c>
      <c r="G4860" t="str">
        <f>IFERROR(+VLOOKUP(Movimientos_2026[[#This Row],[Codigo]],Plan_cuentas[],4,FALSE)," ")</f>
        <v xml:space="preserve"> </v>
      </c>
      <c r="H4860" t="str">
        <f>IFERROR(+VLOOKUP(Movimientos_2026[[#This Row],[Codigo]],Plan_cuentas[],5,FALSE)," ")</f>
        <v xml:space="preserve"> </v>
      </c>
      <c r="I4860" s="43"/>
      <c r="K4860" t="str">
        <f>IFERROR(+VLOOKUP(Movimientos_2026[[#This Row],[Codigo]],Plan_cuentas[],6,FALSE)," ")</f>
        <v xml:space="preserve"> </v>
      </c>
      <c r="L4860" s="50"/>
      <c r="M4860" s="50"/>
      <c r="N4860" s="20">
        <f>+Movimientos_2026[[#This Row],[Ingresos]]-Movimientos_2026[[#This Row],[Egresos]]</f>
        <v>0</v>
      </c>
      <c r="O4860" s="20">
        <f>+O4859+Movimientos_2026[[#This Row],[Neto]]</f>
        <v>4581558617.7962294</v>
      </c>
    </row>
    <row r="4861" spans="1:15" x14ac:dyDescent="0.25">
      <c r="A4861" s="13"/>
      <c r="B4861" s="12">
        <f>MONTH(Movimientos_2026[[#This Row],[Fecha]])</f>
        <v>1</v>
      </c>
      <c r="C4861" s="12" t="str">
        <f>VLOOKUP((WEEKDAY(Movimientos_2026[[#This Row],[Fecha]],2)),'5. Setup'!$D$6:$E$12,2,FALSE)</f>
        <v>Sab</v>
      </c>
      <c r="E4861" t="str">
        <f>IFERROR(+VLOOKUP(Movimientos_2026[[#This Row],[Codigo]],Plan_cuentas[],2,FALSE)," ")</f>
        <v xml:space="preserve"> </v>
      </c>
      <c r="F4861" t="str">
        <f>IFERROR(+VLOOKUP(Movimientos_2026[[#This Row],[Codigo]],Plan_cuentas[],3,FALSE)," ")</f>
        <v xml:space="preserve"> </v>
      </c>
      <c r="G4861" t="str">
        <f>IFERROR(+VLOOKUP(Movimientos_2026[[#This Row],[Codigo]],Plan_cuentas[],4,FALSE)," ")</f>
        <v xml:space="preserve"> </v>
      </c>
      <c r="H4861" t="str">
        <f>IFERROR(+VLOOKUP(Movimientos_2026[[#This Row],[Codigo]],Plan_cuentas[],5,FALSE)," ")</f>
        <v xml:space="preserve"> </v>
      </c>
      <c r="I4861" s="43"/>
      <c r="K4861" t="str">
        <f>IFERROR(+VLOOKUP(Movimientos_2026[[#This Row],[Codigo]],Plan_cuentas[],6,FALSE)," ")</f>
        <v xml:space="preserve"> </v>
      </c>
      <c r="L4861" s="50"/>
      <c r="M4861" s="50"/>
      <c r="N4861" s="20">
        <f>+Movimientos_2026[[#This Row],[Ingresos]]-Movimientos_2026[[#This Row],[Egresos]]</f>
        <v>0</v>
      </c>
      <c r="O4861" s="20">
        <f>+O4860+Movimientos_2026[[#This Row],[Neto]]</f>
        <v>4581558617.7962294</v>
      </c>
    </row>
    <row r="4862" spans="1:15" x14ac:dyDescent="0.25">
      <c r="A4862" s="13"/>
      <c r="B4862" s="12">
        <f>MONTH(Movimientos_2026[[#This Row],[Fecha]])</f>
        <v>1</v>
      </c>
      <c r="C4862" s="12" t="str">
        <f>VLOOKUP((WEEKDAY(Movimientos_2026[[#This Row],[Fecha]],2)),'5. Setup'!$D$6:$E$12,2,FALSE)</f>
        <v>Sab</v>
      </c>
      <c r="E4862" t="str">
        <f>IFERROR(+VLOOKUP(Movimientos_2026[[#This Row],[Codigo]],Plan_cuentas[],2,FALSE)," ")</f>
        <v xml:space="preserve"> </v>
      </c>
      <c r="F4862" t="str">
        <f>IFERROR(+VLOOKUP(Movimientos_2026[[#This Row],[Codigo]],Plan_cuentas[],3,FALSE)," ")</f>
        <v xml:space="preserve"> </v>
      </c>
      <c r="G4862" t="str">
        <f>IFERROR(+VLOOKUP(Movimientos_2026[[#This Row],[Codigo]],Plan_cuentas[],4,FALSE)," ")</f>
        <v xml:space="preserve"> </v>
      </c>
      <c r="H4862" t="str">
        <f>IFERROR(+VLOOKUP(Movimientos_2026[[#This Row],[Codigo]],Plan_cuentas[],5,FALSE)," ")</f>
        <v xml:space="preserve"> </v>
      </c>
      <c r="I4862" s="43"/>
      <c r="K4862" t="str">
        <f>IFERROR(+VLOOKUP(Movimientos_2026[[#This Row],[Codigo]],Plan_cuentas[],6,FALSE)," ")</f>
        <v xml:space="preserve"> </v>
      </c>
      <c r="L4862" s="50"/>
      <c r="M4862" s="50"/>
      <c r="N4862" s="20">
        <f>+Movimientos_2026[[#This Row],[Ingresos]]-Movimientos_2026[[#This Row],[Egresos]]</f>
        <v>0</v>
      </c>
      <c r="O4862" s="20">
        <f>+O4861+Movimientos_2026[[#This Row],[Neto]]</f>
        <v>4581558617.7962294</v>
      </c>
    </row>
    <row r="4863" spans="1:15" x14ac:dyDescent="0.25">
      <c r="A4863" s="13"/>
      <c r="B4863" s="12">
        <f>MONTH(Movimientos_2026[[#This Row],[Fecha]])</f>
        <v>1</v>
      </c>
      <c r="C4863" s="12" t="str">
        <f>VLOOKUP((WEEKDAY(Movimientos_2026[[#This Row],[Fecha]],2)),'5. Setup'!$D$6:$E$12,2,FALSE)</f>
        <v>Sab</v>
      </c>
      <c r="E4863" t="str">
        <f>IFERROR(+VLOOKUP(Movimientos_2026[[#This Row],[Codigo]],Plan_cuentas[],2,FALSE)," ")</f>
        <v xml:space="preserve"> </v>
      </c>
      <c r="F4863" t="str">
        <f>IFERROR(+VLOOKUP(Movimientos_2026[[#This Row],[Codigo]],Plan_cuentas[],3,FALSE)," ")</f>
        <v xml:space="preserve"> </v>
      </c>
      <c r="G4863" t="str">
        <f>IFERROR(+VLOOKUP(Movimientos_2026[[#This Row],[Codigo]],Plan_cuentas[],4,FALSE)," ")</f>
        <v xml:space="preserve"> </v>
      </c>
      <c r="H4863" t="str">
        <f>IFERROR(+VLOOKUP(Movimientos_2026[[#This Row],[Codigo]],Plan_cuentas[],5,FALSE)," ")</f>
        <v xml:space="preserve"> </v>
      </c>
      <c r="I4863" s="43"/>
      <c r="K4863" t="str">
        <f>IFERROR(+VLOOKUP(Movimientos_2026[[#This Row],[Codigo]],Plan_cuentas[],6,FALSE)," ")</f>
        <v xml:space="preserve"> </v>
      </c>
      <c r="L4863" s="50"/>
      <c r="M4863" s="50"/>
      <c r="N4863" s="20">
        <f>+Movimientos_2026[[#This Row],[Ingresos]]-Movimientos_2026[[#This Row],[Egresos]]</f>
        <v>0</v>
      </c>
      <c r="O4863" s="20">
        <f>+O4862+Movimientos_2026[[#This Row],[Neto]]</f>
        <v>4581558617.7962294</v>
      </c>
    </row>
    <row r="4864" spans="1:15" x14ac:dyDescent="0.25">
      <c r="A4864" s="13"/>
      <c r="B4864" s="12">
        <f>MONTH(Movimientos_2026[[#This Row],[Fecha]])</f>
        <v>1</v>
      </c>
      <c r="C4864" s="12" t="str">
        <f>VLOOKUP((WEEKDAY(Movimientos_2026[[#This Row],[Fecha]],2)),'5. Setup'!$D$6:$E$12,2,FALSE)</f>
        <v>Sab</v>
      </c>
      <c r="E4864" t="str">
        <f>IFERROR(+VLOOKUP(Movimientos_2026[[#This Row],[Codigo]],Plan_cuentas[],2,FALSE)," ")</f>
        <v xml:space="preserve"> </v>
      </c>
      <c r="F4864" t="str">
        <f>IFERROR(+VLOOKUP(Movimientos_2026[[#This Row],[Codigo]],Plan_cuentas[],3,FALSE)," ")</f>
        <v xml:space="preserve"> </v>
      </c>
      <c r="G4864" t="str">
        <f>IFERROR(+VLOOKUP(Movimientos_2026[[#This Row],[Codigo]],Plan_cuentas[],4,FALSE)," ")</f>
        <v xml:space="preserve"> </v>
      </c>
      <c r="H4864" t="str">
        <f>IFERROR(+VLOOKUP(Movimientos_2026[[#This Row],[Codigo]],Plan_cuentas[],5,FALSE)," ")</f>
        <v xml:space="preserve"> </v>
      </c>
      <c r="I4864" s="43"/>
      <c r="K4864" t="str">
        <f>IFERROR(+VLOOKUP(Movimientos_2026[[#This Row],[Codigo]],Plan_cuentas[],6,FALSE)," ")</f>
        <v xml:space="preserve"> </v>
      </c>
      <c r="L4864" s="50"/>
      <c r="M4864" s="50"/>
      <c r="N4864" s="20">
        <f>+Movimientos_2026[[#This Row],[Ingresos]]-Movimientos_2026[[#This Row],[Egresos]]</f>
        <v>0</v>
      </c>
      <c r="O4864" s="20">
        <f>+O4863+Movimientos_2026[[#This Row],[Neto]]</f>
        <v>4581558617.7962294</v>
      </c>
    </row>
    <row r="4865" spans="1:15" x14ac:dyDescent="0.25">
      <c r="A4865" s="13"/>
      <c r="B4865" s="12">
        <f>MONTH(Movimientos_2026[[#This Row],[Fecha]])</f>
        <v>1</v>
      </c>
      <c r="C4865" s="12" t="str">
        <f>VLOOKUP((WEEKDAY(Movimientos_2026[[#This Row],[Fecha]],2)),'5. Setup'!$D$6:$E$12,2,FALSE)</f>
        <v>Sab</v>
      </c>
      <c r="E4865" t="str">
        <f>IFERROR(+VLOOKUP(Movimientos_2026[[#This Row],[Codigo]],Plan_cuentas[],2,FALSE)," ")</f>
        <v xml:space="preserve"> </v>
      </c>
      <c r="F4865" t="str">
        <f>IFERROR(+VLOOKUP(Movimientos_2026[[#This Row],[Codigo]],Plan_cuentas[],3,FALSE)," ")</f>
        <v xml:space="preserve"> </v>
      </c>
      <c r="G4865" t="str">
        <f>IFERROR(+VLOOKUP(Movimientos_2026[[#This Row],[Codigo]],Plan_cuentas[],4,FALSE)," ")</f>
        <v xml:space="preserve"> </v>
      </c>
      <c r="H4865" t="str">
        <f>IFERROR(+VLOOKUP(Movimientos_2026[[#This Row],[Codigo]],Plan_cuentas[],5,FALSE)," ")</f>
        <v xml:space="preserve"> </v>
      </c>
      <c r="I4865" s="43"/>
      <c r="K4865" t="str">
        <f>IFERROR(+VLOOKUP(Movimientos_2026[[#This Row],[Codigo]],Plan_cuentas[],6,FALSE)," ")</f>
        <v xml:space="preserve"> </v>
      </c>
      <c r="L4865" s="50"/>
      <c r="M4865" s="50"/>
      <c r="N4865" s="20">
        <f>+Movimientos_2026[[#This Row],[Ingresos]]-Movimientos_2026[[#This Row],[Egresos]]</f>
        <v>0</v>
      </c>
      <c r="O4865" s="20">
        <f>+O4864+Movimientos_2026[[#This Row],[Neto]]</f>
        <v>4581558617.7962294</v>
      </c>
    </row>
    <row r="4866" spans="1:15" x14ac:dyDescent="0.25">
      <c r="A4866" s="13"/>
      <c r="B4866" s="12">
        <f>MONTH(Movimientos_2026[[#This Row],[Fecha]])</f>
        <v>1</v>
      </c>
      <c r="C4866" s="12" t="str">
        <f>VLOOKUP((WEEKDAY(Movimientos_2026[[#This Row],[Fecha]],2)),'5. Setup'!$D$6:$E$12,2,FALSE)</f>
        <v>Sab</v>
      </c>
      <c r="E4866" t="str">
        <f>IFERROR(+VLOOKUP(Movimientos_2026[[#This Row],[Codigo]],Plan_cuentas[],2,FALSE)," ")</f>
        <v xml:space="preserve"> </v>
      </c>
      <c r="F4866" t="str">
        <f>IFERROR(+VLOOKUP(Movimientos_2026[[#This Row],[Codigo]],Plan_cuentas[],3,FALSE)," ")</f>
        <v xml:space="preserve"> </v>
      </c>
      <c r="G4866" t="str">
        <f>IFERROR(+VLOOKUP(Movimientos_2026[[#This Row],[Codigo]],Plan_cuentas[],4,FALSE)," ")</f>
        <v xml:space="preserve"> </v>
      </c>
      <c r="H4866" t="str">
        <f>IFERROR(+VLOOKUP(Movimientos_2026[[#This Row],[Codigo]],Plan_cuentas[],5,FALSE)," ")</f>
        <v xml:space="preserve"> </v>
      </c>
      <c r="I4866" s="43"/>
      <c r="K4866" t="str">
        <f>IFERROR(+VLOOKUP(Movimientos_2026[[#This Row],[Codigo]],Plan_cuentas[],6,FALSE)," ")</f>
        <v xml:space="preserve"> </v>
      </c>
      <c r="L4866" s="50"/>
      <c r="M4866" s="50"/>
      <c r="N4866" s="20">
        <f>+Movimientos_2026[[#This Row],[Ingresos]]-Movimientos_2026[[#This Row],[Egresos]]</f>
        <v>0</v>
      </c>
      <c r="O4866" s="20">
        <f>+O4865+Movimientos_2026[[#This Row],[Neto]]</f>
        <v>4581558617.7962294</v>
      </c>
    </row>
    <row r="4867" spans="1:15" x14ac:dyDescent="0.25">
      <c r="A4867" s="13"/>
      <c r="B4867" s="12">
        <f>MONTH(Movimientos_2026[[#This Row],[Fecha]])</f>
        <v>1</v>
      </c>
      <c r="C4867" s="12" t="str">
        <f>VLOOKUP((WEEKDAY(Movimientos_2026[[#This Row],[Fecha]],2)),'5. Setup'!$D$6:$E$12,2,FALSE)</f>
        <v>Sab</v>
      </c>
      <c r="E4867" t="str">
        <f>IFERROR(+VLOOKUP(Movimientos_2026[[#This Row],[Codigo]],Plan_cuentas[],2,FALSE)," ")</f>
        <v xml:space="preserve"> </v>
      </c>
      <c r="F4867" t="str">
        <f>IFERROR(+VLOOKUP(Movimientos_2026[[#This Row],[Codigo]],Plan_cuentas[],3,FALSE)," ")</f>
        <v xml:space="preserve"> </v>
      </c>
      <c r="G4867" t="str">
        <f>IFERROR(+VLOOKUP(Movimientos_2026[[#This Row],[Codigo]],Plan_cuentas[],4,FALSE)," ")</f>
        <v xml:space="preserve"> </v>
      </c>
      <c r="H4867" t="str">
        <f>IFERROR(+VLOOKUP(Movimientos_2026[[#This Row],[Codigo]],Plan_cuentas[],5,FALSE)," ")</f>
        <v xml:space="preserve"> </v>
      </c>
      <c r="I4867" s="43"/>
      <c r="K4867" t="str">
        <f>IFERROR(+VLOOKUP(Movimientos_2026[[#This Row],[Codigo]],Plan_cuentas[],6,FALSE)," ")</f>
        <v xml:space="preserve"> </v>
      </c>
      <c r="L4867" s="50"/>
      <c r="M4867" s="50"/>
      <c r="N4867" s="20">
        <f>+Movimientos_2026[[#This Row],[Ingresos]]-Movimientos_2026[[#This Row],[Egresos]]</f>
        <v>0</v>
      </c>
      <c r="O4867" s="20">
        <f>+O4866+Movimientos_2026[[#This Row],[Neto]]</f>
        <v>4581558617.7962294</v>
      </c>
    </row>
    <row r="4868" spans="1:15" x14ac:dyDescent="0.25">
      <c r="A4868" s="13"/>
      <c r="B4868" s="12">
        <f>MONTH(Movimientos_2026[[#This Row],[Fecha]])</f>
        <v>1</v>
      </c>
      <c r="C4868" s="12" t="str">
        <f>VLOOKUP((WEEKDAY(Movimientos_2026[[#This Row],[Fecha]],2)),'5. Setup'!$D$6:$E$12,2,FALSE)</f>
        <v>Sab</v>
      </c>
      <c r="E4868" t="str">
        <f>IFERROR(+VLOOKUP(Movimientos_2026[[#This Row],[Codigo]],Plan_cuentas[],2,FALSE)," ")</f>
        <v xml:space="preserve"> </v>
      </c>
      <c r="F4868" t="str">
        <f>IFERROR(+VLOOKUP(Movimientos_2026[[#This Row],[Codigo]],Plan_cuentas[],3,FALSE)," ")</f>
        <v xml:space="preserve"> </v>
      </c>
      <c r="G4868" t="str">
        <f>IFERROR(+VLOOKUP(Movimientos_2026[[#This Row],[Codigo]],Plan_cuentas[],4,FALSE)," ")</f>
        <v xml:space="preserve"> </v>
      </c>
      <c r="H4868" t="str">
        <f>IFERROR(+VLOOKUP(Movimientos_2026[[#This Row],[Codigo]],Plan_cuentas[],5,FALSE)," ")</f>
        <v xml:space="preserve"> </v>
      </c>
      <c r="I4868" s="43"/>
      <c r="K4868" t="str">
        <f>IFERROR(+VLOOKUP(Movimientos_2026[[#This Row],[Codigo]],Plan_cuentas[],6,FALSE)," ")</f>
        <v xml:space="preserve"> </v>
      </c>
      <c r="L4868" s="50"/>
      <c r="M4868" s="50"/>
      <c r="N4868" s="20">
        <f>+Movimientos_2026[[#This Row],[Ingresos]]-Movimientos_2026[[#This Row],[Egresos]]</f>
        <v>0</v>
      </c>
      <c r="O4868" s="20">
        <f>+O4867+Movimientos_2026[[#This Row],[Neto]]</f>
        <v>4581558617.7962294</v>
      </c>
    </row>
    <row r="4869" spans="1:15" x14ac:dyDescent="0.25">
      <c r="A4869" s="13"/>
      <c r="B4869" s="12">
        <f>MONTH(Movimientos_2026[[#This Row],[Fecha]])</f>
        <v>1</v>
      </c>
      <c r="C4869" s="12" t="str">
        <f>VLOOKUP((WEEKDAY(Movimientos_2026[[#This Row],[Fecha]],2)),'5. Setup'!$D$6:$E$12,2,FALSE)</f>
        <v>Sab</v>
      </c>
      <c r="E4869" t="str">
        <f>IFERROR(+VLOOKUP(Movimientos_2026[[#This Row],[Codigo]],Plan_cuentas[],2,FALSE)," ")</f>
        <v xml:space="preserve"> </v>
      </c>
      <c r="F4869" t="str">
        <f>IFERROR(+VLOOKUP(Movimientos_2026[[#This Row],[Codigo]],Plan_cuentas[],3,FALSE)," ")</f>
        <v xml:space="preserve"> </v>
      </c>
      <c r="G4869" t="str">
        <f>IFERROR(+VLOOKUP(Movimientos_2026[[#This Row],[Codigo]],Plan_cuentas[],4,FALSE)," ")</f>
        <v xml:space="preserve"> </v>
      </c>
      <c r="H4869" t="str">
        <f>IFERROR(+VLOOKUP(Movimientos_2026[[#This Row],[Codigo]],Plan_cuentas[],5,FALSE)," ")</f>
        <v xml:space="preserve"> </v>
      </c>
      <c r="I4869" s="43"/>
      <c r="K4869" t="str">
        <f>IFERROR(+VLOOKUP(Movimientos_2026[[#This Row],[Codigo]],Plan_cuentas[],6,FALSE)," ")</f>
        <v xml:space="preserve"> </v>
      </c>
      <c r="L4869" s="50"/>
      <c r="M4869" s="50"/>
      <c r="N4869" s="20">
        <f>+Movimientos_2026[[#This Row],[Ingresos]]-Movimientos_2026[[#This Row],[Egresos]]</f>
        <v>0</v>
      </c>
      <c r="O4869" s="20">
        <f>+O4868+Movimientos_2026[[#This Row],[Neto]]</f>
        <v>4581558617.7962294</v>
      </c>
    </row>
    <row r="4870" spans="1:15" x14ac:dyDescent="0.25">
      <c r="A4870" s="13"/>
      <c r="B4870" s="12">
        <f>MONTH(Movimientos_2026[[#This Row],[Fecha]])</f>
        <v>1</v>
      </c>
      <c r="C4870" s="12" t="str">
        <f>VLOOKUP((WEEKDAY(Movimientos_2026[[#This Row],[Fecha]],2)),'5. Setup'!$D$6:$E$12,2,FALSE)</f>
        <v>Sab</v>
      </c>
      <c r="E4870" t="str">
        <f>IFERROR(+VLOOKUP(Movimientos_2026[[#This Row],[Codigo]],Plan_cuentas[],2,FALSE)," ")</f>
        <v xml:space="preserve"> </v>
      </c>
      <c r="F4870" t="str">
        <f>IFERROR(+VLOOKUP(Movimientos_2026[[#This Row],[Codigo]],Plan_cuentas[],3,FALSE)," ")</f>
        <v xml:space="preserve"> </v>
      </c>
      <c r="G4870" t="str">
        <f>IFERROR(+VLOOKUP(Movimientos_2026[[#This Row],[Codigo]],Plan_cuentas[],4,FALSE)," ")</f>
        <v xml:space="preserve"> </v>
      </c>
      <c r="H4870" t="str">
        <f>IFERROR(+VLOOKUP(Movimientos_2026[[#This Row],[Codigo]],Plan_cuentas[],5,FALSE)," ")</f>
        <v xml:space="preserve"> </v>
      </c>
      <c r="I4870" s="43"/>
      <c r="K4870" t="str">
        <f>IFERROR(+VLOOKUP(Movimientos_2026[[#This Row],[Codigo]],Plan_cuentas[],6,FALSE)," ")</f>
        <v xml:space="preserve"> </v>
      </c>
      <c r="L4870" s="50"/>
      <c r="M4870" s="50"/>
      <c r="N4870" s="20">
        <f>+Movimientos_2026[[#This Row],[Ingresos]]-Movimientos_2026[[#This Row],[Egresos]]</f>
        <v>0</v>
      </c>
      <c r="O4870" s="20">
        <f>+O4869+Movimientos_2026[[#This Row],[Neto]]</f>
        <v>4581558617.7962294</v>
      </c>
    </row>
    <row r="4871" spans="1:15" x14ac:dyDescent="0.25">
      <c r="A4871" s="13"/>
      <c r="B4871" s="12">
        <f>MONTH(Movimientos_2026[[#This Row],[Fecha]])</f>
        <v>1</v>
      </c>
      <c r="C4871" s="12" t="str">
        <f>VLOOKUP((WEEKDAY(Movimientos_2026[[#This Row],[Fecha]],2)),'5. Setup'!$D$6:$E$12,2,FALSE)</f>
        <v>Sab</v>
      </c>
      <c r="E4871" t="str">
        <f>IFERROR(+VLOOKUP(Movimientos_2026[[#This Row],[Codigo]],Plan_cuentas[],2,FALSE)," ")</f>
        <v xml:space="preserve"> </v>
      </c>
      <c r="F4871" t="str">
        <f>IFERROR(+VLOOKUP(Movimientos_2026[[#This Row],[Codigo]],Plan_cuentas[],3,FALSE)," ")</f>
        <v xml:space="preserve"> </v>
      </c>
      <c r="G4871" t="str">
        <f>IFERROR(+VLOOKUP(Movimientos_2026[[#This Row],[Codigo]],Plan_cuentas[],4,FALSE)," ")</f>
        <v xml:space="preserve"> </v>
      </c>
      <c r="H4871" t="str">
        <f>IFERROR(+VLOOKUP(Movimientos_2026[[#This Row],[Codigo]],Plan_cuentas[],5,FALSE)," ")</f>
        <v xml:space="preserve"> </v>
      </c>
      <c r="I4871" s="43"/>
      <c r="K4871" t="str">
        <f>IFERROR(+VLOOKUP(Movimientos_2026[[#This Row],[Codigo]],Plan_cuentas[],6,FALSE)," ")</f>
        <v xml:space="preserve"> </v>
      </c>
      <c r="L4871" s="50"/>
      <c r="M4871" s="50"/>
      <c r="N4871" s="20">
        <f>+Movimientos_2026[[#This Row],[Ingresos]]-Movimientos_2026[[#This Row],[Egresos]]</f>
        <v>0</v>
      </c>
      <c r="O4871" s="20">
        <f>+O4870+Movimientos_2026[[#This Row],[Neto]]</f>
        <v>4581558617.7962294</v>
      </c>
    </row>
    <row r="4872" spans="1:15" x14ac:dyDescent="0.25">
      <c r="A4872" s="13"/>
      <c r="B4872" s="12">
        <f>MONTH(Movimientos_2026[[#This Row],[Fecha]])</f>
        <v>1</v>
      </c>
      <c r="C4872" s="12" t="str">
        <f>VLOOKUP((WEEKDAY(Movimientos_2026[[#This Row],[Fecha]],2)),'5. Setup'!$D$6:$E$12,2,FALSE)</f>
        <v>Sab</v>
      </c>
      <c r="E4872" t="str">
        <f>IFERROR(+VLOOKUP(Movimientos_2026[[#This Row],[Codigo]],Plan_cuentas[],2,FALSE)," ")</f>
        <v xml:space="preserve"> </v>
      </c>
      <c r="F4872" t="str">
        <f>IFERROR(+VLOOKUP(Movimientos_2026[[#This Row],[Codigo]],Plan_cuentas[],3,FALSE)," ")</f>
        <v xml:space="preserve"> </v>
      </c>
      <c r="G4872" t="str">
        <f>IFERROR(+VLOOKUP(Movimientos_2026[[#This Row],[Codigo]],Plan_cuentas[],4,FALSE)," ")</f>
        <v xml:space="preserve"> </v>
      </c>
      <c r="H4872" t="str">
        <f>IFERROR(+VLOOKUP(Movimientos_2026[[#This Row],[Codigo]],Plan_cuentas[],5,FALSE)," ")</f>
        <v xml:space="preserve"> </v>
      </c>
      <c r="I4872" s="43"/>
      <c r="K4872" t="str">
        <f>IFERROR(+VLOOKUP(Movimientos_2026[[#This Row],[Codigo]],Plan_cuentas[],6,FALSE)," ")</f>
        <v xml:space="preserve"> </v>
      </c>
      <c r="L4872" s="50"/>
      <c r="M4872" s="50"/>
      <c r="N4872" s="20">
        <f>+Movimientos_2026[[#This Row],[Ingresos]]-Movimientos_2026[[#This Row],[Egresos]]</f>
        <v>0</v>
      </c>
      <c r="O4872" s="20">
        <f>+O4871+Movimientos_2026[[#This Row],[Neto]]</f>
        <v>4581558617.7962294</v>
      </c>
    </row>
    <row r="4873" spans="1:15" x14ac:dyDescent="0.25">
      <c r="A4873" s="13"/>
      <c r="B4873" s="12">
        <f>MONTH(Movimientos_2026[[#This Row],[Fecha]])</f>
        <v>1</v>
      </c>
      <c r="C4873" s="12" t="str">
        <f>VLOOKUP((WEEKDAY(Movimientos_2026[[#This Row],[Fecha]],2)),'5. Setup'!$D$6:$E$12,2,FALSE)</f>
        <v>Sab</v>
      </c>
      <c r="E4873" t="str">
        <f>IFERROR(+VLOOKUP(Movimientos_2026[[#This Row],[Codigo]],Plan_cuentas[],2,FALSE)," ")</f>
        <v xml:space="preserve"> </v>
      </c>
      <c r="F4873" t="str">
        <f>IFERROR(+VLOOKUP(Movimientos_2026[[#This Row],[Codigo]],Plan_cuentas[],3,FALSE)," ")</f>
        <v xml:space="preserve"> </v>
      </c>
      <c r="G4873" t="str">
        <f>IFERROR(+VLOOKUP(Movimientos_2026[[#This Row],[Codigo]],Plan_cuentas[],4,FALSE)," ")</f>
        <v xml:space="preserve"> </v>
      </c>
      <c r="H4873" t="str">
        <f>IFERROR(+VLOOKUP(Movimientos_2026[[#This Row],[Codigo]],Plan_cuentas[],5,FALSE)," ")</f>
        <v xml:space="preserve"> </v>
      </c>
      <c r="I4873" s="43"/>
      <c r="K4873" t="str">
        <f>IFERROR(+VLOOKUP(Movimientos_2026[[#This Row],[Codigo]],Plan_cuentas[],6,FALSE)," ")</f>
        <v xml:space="preserve"> </v>
      </c>
      <c r="L4873" s="50"/>
      <c r="M4873" s="50"/>
      <c r="N4873" s="20">
        <f>+Movimientos_2026[[#This Row],[Ingresos]]-Movimientos_2026[[#This Row],[Egresos]]</f>
        <v>0</v>
      </c>
      <c r="O4873" s="20">
        <f>+O4872+Movimientos_2026[[#This Row],[Neto]]</f>
        <v>4581558617.7962294</v>
      </c>
    </row>
    <row r="4874" spans="1:15" x14ac:dyDescent="0.25">
      <c r="A4874" s="13"/>
      <c r="B4874" s="12">
        <f>MONTH(Movimientos_2026[[#This Row],[Fecha]])</f>
        <v>1</v>
      </c>
      <c r="C4874" s="12" t="str">
        <f>VLOOKUP((WEEKDAY(Movimientos_2026[[#This Row],[Fecha]],2)),'5. Setup'!$D$6:$E$12,2,FALSE)</f>
        <v>Sab</v>
      </c>
      <c r="E4874" t="str">
        <f>IFERROR(+VLOOKUP(Movimientos_2026[[#This Row],[Codigo]],Plan_cuentas[],2,FALSE)," ")</f>
        <v xml:space="preserve"> </v>
      </c>
      <c r="F4874" t="str">
        <f>IFERROR(+VLOOKUP(Movimientos_2026[[#This Row],[Codigo]],Plan_cuentas[],3,FALSE)," ")</f>
        <v xml:space="preserve"> </v>
      </c>
      <c r="G4874" t="str">
        <f>IFERROR(+VLOOKUP(Movimientos_2026[[#This Row],[Codigo]],Plan_cuentas[],4,FALSE)," ")</f>
        <v xml:space="preserve"> </v>
      </c>
      <c r="H4874" t="str">
        <f>IFERROR(+VLOOKUP(Movimientos_2026[[#This Row],[Codigo]],Plan_cuentas[],5,FALSE)," ")</f>
        <v xml:space="preserve"> </v>
      </c>
      <c r="I4874" s="43"/>
      <c r="K4874" t="str">
        <f>IFERROR(+VLOOKUP(Movimientos_2026[[#This Row],[Codigo]],Plan_cuentas[],6,FALSE)," ")</f>
        <v xml:space="preserve"> </v>
      </c>
      <c r="L4874" s="50"/>
      <c r="M4874" s="50"/>
      <c r="N4874" s="20">
        <f>+Movimientos_2026[[#This Row],[Ingresos]]-Movimientos_2026[[#This Row],[Egresos]]</f>
        <v>0</v>
      </c>
      <c r="O4874" s="20">
        <f>+O4873+Movimientos_2026[[#This Row],[Neto]]</f>
        <v>4581558617.7962294</v>
      </c>
    </row>
    <row r="4875" spans="1:15" x14ac:dyDescent="0.25">
      <c r="A4875" s="13"/>
      <c r="B4875" s="12">
        <f>MONTH(Movimientos_2026[[#This Row],[Fecha]])</f>
        <v>1</v>
      </c>
      <c r="C4875" s="12" t="str">
        <f>VLOOKUP((WEEKDAY(Movimientos_2026[[#This Row],[Fecha]],2)),'5. Setup'!$D$6:$E$12,2,FALSE)</f>
        <v>Sab</v>
      </c>
      <c r="E4875" t="str">
        <f>IFERROR(+VLOOKUP(Movimientos_2026[[#This Row],[Codigo]],Plan_cuentas[],2,FALSE)," ")</f>
        <v xml:space="preserve"> </v>
      </c>
      <c r="F4875" t="str">
        <f>IFERROR(+VLOOKUP(Movimientos_2026[[#This Row],[Codigo]],Plan_cuentas[],3,FALSE)," ")</f>
        <v xml:space="preserve"> </v>
      </c>
      <c r="G4875" t="str">
        <f>IFERROR(+VLOOKUP(Movimientos_2026[[#This Row],[Codigo]],Plan_cuentas[],4,FALSE)," ")</f>
        <v xml:space="preserve"> </v>
      </c>
      <c r="H4875" t="str">
        <f>IFERROR(+VLOOKUP(Movimientos_2026[[#This Row],[Codigo]],Plan_cuentas[],5,FALSE)," ")</f>
        <v xml:space="preserve"> </v>
      </c>
      <c r="I4875" s="43"/>
      <c r="K4875" t="str">
        <f>IFERROR(+VLOOKUP(Movimientos_2026[[#This Row],[Codigo]],Plan_cuentas[],6,FALSE)," ")</f>
        <v xml:space="preserve"> </v>
      </c>
      <c r="L4875" s="50"/>
      <c r="M4875" s="50"/>
      <c r="N4875" s="20">
        <f>+Movimientos_2026[[#This Row],[Ingresos]]-Movimientos_2026[[#This Row],[Egresos]]</f>
        <v>0</v>
      </c>
      <c r="O4875" s="20">
        <f>+O4874+Movimientos_2026[[#This Row],[Neto]]</f>
        <v>4581558617.7962294</v>
      </c>
    </row>
    <row r="4876" spans="1:15" x14ac:dyDescent="0.25">
      <c r="A4876" s="13"/>
      <c r="B4876" s="12">
        <f>MONTH(Movimientos_2026[[#This Row],[Fecha]])</f>
        <v>1</v>
      </c>
      <c r="C4876" s="12" t="str">
        <f>VLOOKUP((WEEKDAY(Movimientos_2026[[#This Row],[Fecha]],2)),'5. Setup'!$D$6:$E$12,2,FALSE)</f>
        <v>Sab</v>
      </c>
      <c r="E4876" t="str">
        <f>IFERROR(+VLOOKUP(Movimientos_2026[[#This Row],[Codigo]],Plan_cuentas[],2,FALSE)," ")</f>
        <v xml:space="preserve"> </v>
      </c>
      <c r="F4876" t="str">
        <f>IFERROR(+VLOOKUP(Movimientos_2026[[#This Row],[Codigo]],Plan_cuentas[],3,FALSE)," ")</f>
        <v xml:space="preserve"> </v>
      </c>
      <c r="G4876" t="str">
        <f>IFERROR(+VLOOKUP(Movimientos_2026[[#This Row],[Codigo]],Plan_cuentas[],4,FALSE)," ")</f>
        <v xml:space="preserve"> </v>
      </c>
      <c r="H4876" t="str">
        <f>IFERROR(+VLOOKUP(Movimientos_2026[[#This Row],[Codigo]],Plan_cuentas[],5,FALSE)," ")</f>
        <v xml:space="preserve"> </v>
      </c>
      <c r="I4876" s="43"/>
      <c r="K4876" t="str">
        <f>IFERROR(+VLOOKUP(Movimientos_2026[[#This Row],[Codigo]],Plan_cuentas[],6,FALSE)," ")</f>
        <v xml:space="preserve"> </v>
      </c>
      <c r="L4876" s="50"/>
      <c r="M4876" s="50"/>
      <c r="N4876" s="20">
        <f>+Movimientos_2026[[#This Row],[Ingresos]]-Movimientos_2026[[#This Row],[Egresos]]</f>
        <v>0</v>
      </c>
      <c r="O4876" s="20">
        <f>+O4875+Movimientos_2026[[#This Row],[Neto]]</f>
        <v>4581558617.7962294</v>
      </c>
    </row>
    <row r="4877" spans="1:15" x14ac:dyDescent="0.25">
      <c r="A4877" s="13"/>
      <c r="B4877" s="12">
        <f>MONTH(Movimientos_2026[[#This Row],[Fecha]])</f>
        <v>1</v>
      </c>
      <c r="C4877" s="12" t="str">
        <f>VLOOKUP((WEEKDAY(Movimientos_2026[[#This Row],[Fecha]],2)),'5. Setup'!$D$6:$E$12,2,FALSE)</f>
        <v>Sab</v>
      </c>
      <c r="E4877" t="str">
        <f>IFERROR(+VLOOKUP(Movimientos_2026[[#This Row],[Codigo]],Plan_cuentas[],2,FALSE)," ")</f>
        <v xml:space="preserve"> </v>
      </c>
      <c r="F4877" t="str">
        <f>IFERROR(+VLOOKUP(Movimientos_2026[[#This Row],[Codigo]],Plan_cuentas[],3,FALSE)," ")</f>
        <v xml:space="preserve"> </v>
      </c>
      <c r="G4877" t="str">
        <f>IFERROR(+VLOOKUP(Movimientos_2026[[#This Row],[Codigo]],Plan_cuentas[],4,FALSE)," ")</f>
        <v xml:space="preserve"> </v>
      </c>
      <c r="H4877" t="str">
        <f>IFERROR(+VLOOKUP(Movimientos_2026[[#This Row],[Codigo]],Plan_cuentas[],5,FALSE)," ")</f>
        <v xml:space="preserve"> </v>
      </c>
      <c r="I4877" s="43"/>
      <c r="K4877" t="str">
        <f>IFERROR(+VLOOKUP(Movimientos_2026[[#This Row],[Codigo]],Plan_cuentas[],6,FALSE)," ")</f>
        <v xml:space="preserve"> </v>
      </c>
      <c r="L4877" s="50"/>
      <c r="M4877" s="50"/>
      <c r="N4877" s="20">
        <f>+Movimientos_2026[[#This Row],[Ingresos]]-Movimientos_2026[[#This Row],[Egresos]]</f>
        <v>0</v>
      </c>
      <c r="O4877" s="20">
        <f>+O4876+Movimientos_2026[[#This Row],[Neto]]</f>
        <v>4581558617.7962294</v>
      </c>
    </row>
    <row r="4878" spans="1:15" x14ac:dyDescent="0.25">
      <c r="A4878" s="13"/>
      <c r="B4878" s="12">
        <f>MONTH(Movimientos_2026[[#This Row],[Fecha]])</f>
        <v>1</v>
      </c>
      <c r="C4878" s="12" t="str">
        <f>VLOOKUP((WEEKDAY(Movimientos_2026[[#This Row],[Fecha]],2)),'5. Setup'!$D$6:$E$12,2,FALSE)</f>
        <v>Sab</v>
      </c>
      <c r="E4878" t="str">
        <f>IFERROR(+VLOOKUP(Movimientos_2026[[#This Row],[Codigo]],Plan_cuentas[],2,FALSE)," ")</f>
        <v xml:space="preserve"> </v>
      </c>
      <c r="F4878" t="str">
        <f>IFERROR(+VLOOKUP(Movimientos_2026[[#This Row],[Codigo]],Plan_cuentas[],3,FALSE)," ")</f>
        <v xml:space="preserve"> </v>
      </c>
      <c r="G4878" t="str">
        <f>IFERROR(+VLOOKUP(Movimientos_2026[[#This Row],[Codigo]],Plan_cuentas[],4,FALSE)," ")</f>
        <v xml:space="preserve"> </v>
      </c>
      <c r="H4878" t="str">
        <f>IFERROR(+VLOOKUP(Movimientos_2026[[#This Row],[Codigo]],Plan_cuentas[],5,FALSE)," ")</f>
        <v xml:space="preserve"> </v>
      </c>
      <c r="I4878" s="43"/>
      <c r="K4878" t="str">
        <f>IFERROR(+VLOOKUP(Movimientos_2026[[#This Row],[Codigo]],Plan_cuentas[],6,FALSE)," ")</f>
        <v xml:space="preserve"> </v>
      </c>
      <c r="L4878" s="50"/>
      <c r="M4878" s="50"/>
      <c r="N4878" s="20">
        <f>+Movimientos_2026[[#This Row],[Ingresos]]-Movimientos_2026[[#This Row],[Egresos]]</f>
        <v>0</v>
      </c>
      <c r="O4878" s="20">
        <f>+O4877+Movimientos_2026[[#This Row],[Neto]]</f>
        <v>4581558617.7962294</v>
      </c>
    </row>
    <row r="4879" spans="1:15" x14ac:dyDescent="0.25">
      <c r="A4879" s="13"/>
      <c r="B4879" s="12">
        <f>MONTH(Movimientos_2026[[#This Row],[Fecha]])</f>
        <v>1</v>
      </c>
      <c r="C4879" s="12" t="str">
        <f>VLOOKUP((WEEKDAY(Movimientos_2026[[#This Row],[Fecha]],2)),'5. Setup'!$D$6:$E$12,2,FALSE)</f>
        <v>Sab</v>
      </c>
      <c r="E4879" t="str">
        <f>IFERROR(+VLOOKUP(Movimientos_2026[[#This Row],[Codigo]],Plan_cuentas[],2,FALSE)," ")</f>
        <v xml:space="preserve"> </v>
      </c>
      <c r="F4879" t="str">
        <f>IFERROR(+VLOOKUP(Movimientos_2026[[#This Row],[Codigo]],Plan_cuentas[],3,FALSE)," ")</f>
        <v xml:space="preserve"> </v>
      </c>
      <c r="G4879" t="str">
        <f>IFERROR(+VLOOKUP(Movimientos_2026[[#This Row],[Codigo]],Plan_cuentas[],4,FALSE)," ")</f>
        <v xml:space="preserve"> </v>
      </c>
      <c r="H4879" t="str">
        <f>IFERROR(+VLOOKUP(Movimientos_2026[[#This Row],[Codigo]],Plan_cuentas[],5,FALSE)," ")</f>
        <v xml:space="preserve"> </v>
      </c>
      <c r="I4879" s="43"/>
      <c r="K4879" t="str">
        <f>IFERROR(+VLOOKUP(Movimientos_2026[[#This Row],[Codigo]],Plan_cuentas[],6,FALSE)," ")</f>
        <v xml:space="preserve"> </v>
      </c>
      <c r="L4879" s="50"/>
      <c r="M4879" s="50"/>
      <c r="N4879" s="20">
        <f>+Movimientos_2026[[#This Row],[Ingresos]]-Movimientos_2026[[#This Row],[Egresos]]</f>
        <v>0</v>
      </c>
      <c r="O4879" s="20">
        <f>+O4878+Movimientos_2026[[#This Row],[Neto]]</f>
        <v>4581558617.7962294</v>
      </c>
    </row>
    <row r="4880" spans="1:15" x14ac:dyDescent="0.25">
      <c r="A4880" s="13"/>
      <c r="B4880" s="12">
        <f>MONTH(Movimientos_2026[[#This Row],[Fecha]])</f>
        <v>1</v>
      </c>
      <c r="C4880" s="12" t="str">
        <f>VLOOKUP((WEEKDAY(Movimientos_2026[[#This Row],[Fecha]],2)),'5. Setup'!$D$6:$E$12,2,FALSE)</f>
        <v>Sab</v>
      </c>
      <c r="E4880" t="str">
        <f>IFERROR(+VLOOKUP(Movimientos_2026[[#This Row],[Codigo]],Plan_cuentas[],2,FALSE)," ")</f>
        <v xml:space="preserve"> </v>
      </c>
      <c r="F4880" t="str">
        <f>IFERROR(+VLOOKUP(Movimientos_2026[[#This Row],[Codigo]],Plan_cuentas[],3,FALSE)," ")</f>
        <v xml:space="preserve"> </v>
      </c>
      <c r="G4880" t="str">
        <f>IFERROR(+VLOOKUP(Movimientos_2026[[#This Row],[Codigo]],Plan_cuentas[],4,FALSE)," ")</f>
        <v xml:space="preserve"> </v>
      </c>
      <c r="H4880" t="str">
        <f>IFERROR(+VLOOKUP(Movimientos_2026[[#This Row],[Codigo]],Plan_cuentas[],5,FALSE)," ")</f>
        <v xml:space="preserve"> </v>
      </c>
      <c r="I4880" s="43"/>
      <c r="K4880" t="str">
        <f>IFERROR(+VLOOKUP(Movimientos_2026[[#This Row],[Codigo]],Plan_cuentas[],6,FALSE)," ")</f>
        <v xml:space="preserve"> </v>
      </c>
      <c r="L4880" s="50"/>
      <c r="M4880" s="50"/>
      <c r="N4880" s="20">
        <f>+Movimientos_2026[[#This Row],[Ingresos]]-Movimientos_2026[[#This Row],[Egresos]]</f>
        <v>0</v>
      </c>
      <c r="O4880" s="20">
        <f>+O4879+Movimientos_2026[[#This Row],[Neto]]</f>
        <v>4581558617.7962294</v>
      </c>
    </row>
    <row r="4881" spans="1:15" x14ac:dyDescent="0.25">
      <c r="A4881" s="13"/>
      <c r="B4881" s="12">
        <f>MONTH(Movimientos_2026[[#This Row],[Fecha]])</f>
        <v>1</v>
      </c>
      <c r="C4881" s="12" t="str">
        <f>VLOOKUP((WEEKDAY(Movimientos_2026[[#This Row],[Fecha]],2)),'5. Setup'!$D$6:$E$12,2,FALSE)</f>
        <v>Sab</v>
      </c>
      <c r="E4881" t="str">
        <f>IFERROR(+VLOOKUP(Movimientos_2026[[#This Row],[Codigo]],Plan_cuentas[],2,FALSE)," ")</f>
        <v xml:space="preserve"> </v>
      </c>
      <c r="F4881" t="str">
        <f>IFERROR(+VLOOKUP(Movimientos_2026[[#This Row],[Codigo]],Plan_cuentas[],3,FALSE)," ")</f>
        <v xml:space="preserve"> </v>
      </c>
      <c r="G4881" t="str">
        <f>IFERROR(+VLOOKUP(Movimientos_2026[[#This Row],[Codigo]],Plan_cuentas[],4,FALSE)," ")</f>
        <v xml:space="preserve"> </v>
      </c>
      <c r="H4881" t="str">
        <f>IFERROR(+VLOOKUP(Movimientos_2026[[#This Row],[Codigo]],Plan_cuentas[],5,FALSE)," ")</f>
        <v xml:space="preserve"> </v>
      </c>
      <c r="I4881" s="43"/>
      <c r="K4881" t="str">
        <f>IFERROR(+VLOOKUP(Movimientos_2026[[#This Row],[Codigo]],Plan_cuentas[],6,FALSE)," ")</f>
        <v xml:space="preserve"> </v>
      </c>
      <c r="L4881" s="50"/>
      <c r="M4881" s="50"/>
      <c r="N4881" s="20">
        <f>+Movimientos_2026[[#This Row],[Ingresos]]-Movimientos_2026[[#This Row],[Egresos]]</f>
        <v>0</v>
      </c>
      <c r="O4881" s="20">
        <f>+O4880+Movimientos_2026[[#This Row],[Neto]]</f>
        <v>4581558617.7962294</v>
      </c>
    </row>
    <row r="4882" spans="1:15" x14ac:dyDescent="0.25">
      <c r="A4882" s="13"/>
      <c r="B4882" s="12">
        <f>MONTH(Movimientos_2026[[#This Row],[Fecha]])</f>
        <v>1</v>
      </c>
      <c r="C4882" s="12" t="str">
        <f>VLOOKUP((WEEKDAY(Movimientos_2026[[#This Row],[Fecha]],2)),'5. Setup'!$D$6:$E$12,2,FALSE)</f>
        <v>Sab</v>
      </c>
      <c r="E4882" t="str">
        <f>IFERROR(+VLOOKUP(Movimientos_2026[[#This Row],[Codigo]],Plan_cuentas[],2,FALSE)," ")</f>
        <v xml:space="preserve"> </v>
      </c>
      <c r="F4882" t="str">
        <f>IFERROR(+VLOOKUP(Movimientos_2026[[#This Row],[Codigo]],Plan_cuentas[],3,FALSE)," ")</f>
        <v xml:space="preserve"> </v>
      </c>
      <c r="G4882" t="str">
        <f>IFERROR(+VLOOKUP(Movimientos_2026[[#This Row],[Codigo]],Plan_cuentas[],4,FALSE)," ")</f>
        <v xml:space="preserve"> </v>
      </c>
      <c r="H4882" t="str">
        <f>IFERROR(+VLOOKUP(Movimientos_2026[[#This Row],[Codigo]],Plan_cuentas[],5,FALSE)," ")</f>
        <v xml:space="preserve"> </v>
      </c>
      <c r="I4882" s="43"/>
      <c r="K4882" t="str">
        <f>IFERROR(+VLOOKUP(Movimientos_2026[[#This Row],[Codigo]],Plan_cuentas[],6,FALSE)," ")</f>
        <v xml:space="preserve"> </v>
      </c>
      <c r="L4882" s="50"/>
      <c r="M4882" s="50"/>
      <c r="N4882" s="20">
        <f>+Movimientos_2026[[#This Row],[Ingresos]]-Movimientos_2026[[#This Row],[Egresos]]</f>
        <v>0</v>
      </c>
      <c r="O4882" s="20">
        <f>+O4881+Movimientos_2026[[#This Row],[Neto]]</f>
        <v>4581558617.7962294</v>
      </c>
    </row>
    <row r="4883" spans="1:15" x14ac:dyDescent="0.25">
      <c r="A4883" s="13"/>
      <c r="B4883" s="12">
        <f>MONTH(Movimientos_2026[[#This Row],[Fecha]])</f>
        <v>1</v>
      </c>
      <c r="C4883" s="12" t="str">
        <f>VLOOKUP((WEEKDAY(Movimientos_2026[[#This Row],[Fecha]],2)),'5. Setup'!$D$6:$E$12,2,FALSE)</f>
        <v>Sab</v>
      </c>
      <c r="E4883" t="str">
        <f>IFERROR(+VLOOKUP(Movimientos_2026[[#This Row],[Codigo]],Plan_cuentas[],2,FALSE)," ")</f>
        <v xml:space="preserve"> </v>
      </c>
      <c r="F4883" t="str">
        <f>IFERROR(+VLOOKUP(Movimientos_2026[[#This Row],[Codigo]],Plan_cuentas[],3,FALSE)," ")</f>
        <v xml:space="preserve"> </v>
      </c>
      <c r="G4883" t="str">
        <f>IFERROR(+VLOOKUP(Movimientos_2026[[#This Row],[Codigo]],Plan_cuentas[],4,FALSE)," ")</f>
        <v xml:space="preserve"> </v>
      </c>
      <c r="H4883" t="str">
        <f>IFERROR(+VLOOKUP(Movimientos_2026[[#This Row],[Codigo]],Plan_cuentas[],5,FALSE)," ")</f>
        <v xml:space="preserve"> </v>
      </c>
      <c r="I4883" s="43"/>
      <c r="K4883" t="str">
        <f>IFERROR(+VLOOKUP(Movimientos_2026[[#This Row],[Codigo]],Plan_cuentas[],6,FALSE)," ")</f>
        <v xml:space="preserve"> </v>
      </c>
      <c r="L4883" s="50"/>
      <c r="M4883" s="50"/>
      <c r="N4883" s="20">
        <f>+Movimientos_2026[[#This Row],[Ingresos]]-Movimientos_2026[[#This Row],[Egresos]]</f>
        <v>0</v>
      </c>
      <c r="O4883" s="20">
        <f>+O4882+Movimientos_2026[[#This Row],[Neto]]</f>
        <v>4581558617.7962294</v>
      </c>
    </row>
    <row r="4884" spans="1:15" x14ac:dyDescent="0.25">
      <c r="A4884" s="13"/>
      <c r="B4884" s="12">
        <f>MONTH(Movimientos_2026[[#This Row],[Fecha]])</f>
        <v>1</v>
      </c>
      <c r="C4884" s="12" t="str">
        <f>VLOOKUP((WEEKDAY(Movimientos_2026[[#This Row],[Fecha]],2)),'5. Setup'!$D$6:$E$12,2,FALSE)</f>
        <v>Sab</v>
      </c>
      <c r="E4884" t="str">
        <f>IFERROR(+VLOOKUP(Movimientos_2026[[#This Row],[Codigo]],Plan_cuentas[],2,FALSE)," ")</f>
        <v xml:space="preserve"> </v>
      </c>
      <c r="F4884" t="str">
        <f>IFERROR(+VLOOKUP(Movimientos_2026[[#This Row],[Codigo]],Plan_cuentas[],3,FALSE)," ")</f>
        <v xml:space="preserve"> </v>
      </c>
      <c r="G4884" t="str">
        <f>IFERROR(+VLOOKUP(Movimientos_2026[[#This Row],[Codigo]],Plan_cuentas[],4,FALSE)," ")</f>
        <v xml:space="preserve"> </v>
      </c>
      <c r="H4884" t="str">
        <f>IFERROR(+VLOOKUP(Movimientos_2026[[#This Row],[Codigo]],Plan_cuentas[],5,FALSE)," ")</f>
        <v xml:space="preserve"> </v>
      </c>
      <c r="I4884" s="43"/>
      <c r="K4884" t="str">
        <f>IFERROR(+VLOOKUP(Movimientos_2026[[#This Row],[Codigo]],Plan_cuentas[],6,FALSE)," ")</f>
        <v xml:space="preserve"> </v>
      </c>
      <c r="L4884" s="50"/>
      <c r="M4884" s="50"/>
      <c r="N4884" s="20">
        <f>+Movimientos_2026[[#This Row],[Ingresos]]-Movimientos_2026[[#This Row],[Egresos]]</f>
        <v>0</v>
      </c>
      <c r="O4884" s="20">
        <f>+O4883+Movimientos_2026[[#This Row],[Neto]]</f>
        <v>4581558617.7962294</v>
      </c>
    </row>
    <row r="4885" spans="1:15" x14ac:dyDescent="0.25">
      <c r="A4885" s="13"/>
      <c r="B4885" s="12">
        <f>MONTH(Movimientos_2026[[#This Row],[Fecha]])</f>
        <v>1</v>
      </c>
      <c r="C4885" s="12" t="str">
        <f>VLOOKUP((WEEKDAY(Movimientos_2026[[#This Row],[Fecha]],2)),'5. Setup'!$D$6:$E$12,2,FALSE)</f>
        <v>Sab</v>
      </c>
      <c r="E4885" t="str">
        <f>IFERROR(+VLOOKUP(Movimientos_2026[[#This Row],[Codigo]],Plan_cuentas[],2,FALSE)," ")</f>
        <v xml:space="preserve"> </v>
      </c>
      <c r="F4885" t="str">
        <f>IFERROR(+VLOOKUP(Movimientos_2026[[#This Row],[Codigo]],Plan_cuentas[],3,FALSE)," ")</f>
        <v xml:space="preserve"> </v>
      </c>
      <c r="G4885" t="str">
        <f>IFERROR(+VLOOKUP(Movimientos_2026[[#This Row],[Codigo]],Plan_cuentas[],4,FALSE)," ")</f>
        <v xml:space="preserve"> </v>
      </c>
      <c r="H4885" t="str">
        <f>IFERROR(+VLOOKUP(Movimientos_2026[[#This Row],[Codigo]],Plan_cuentas[],5,FALSE)," ")</f>
        <v xml:space="preserve"> </v>
      </c>
      <c r="I4885" s="43"/>
      <c r="K4885" t="str">
        <f>IFERROR(+VLOOKUP(Movimientos_2026[[#This Row],[Codigo]],Plan_cuentas[],6,FALSE)," ")</f>
        <v xml:space="preserve"> </v>
      </c>
      <c r="L4885" s="50"/>
      <c r="M4885" s="50"/>
      <c r="N4885" s="20">
        <f>+Movimientos_2026[[#This Row],[Ingresos]]-Movimientos_2026[[#This Row],[Egresos]]</f>
        <v>0</v>
      </c>
      <c r="O4885" s="20">
        <f>+O4884+Movimientos_2026[[#This Row],[Neto]]</f>
        <v>4581558617.7962294</v>
      </c>
    </row>
    <row r="4886" spans="1:15" x14ac:dyDescent="0.25">
      <c r="A4886" s="13"/>
      <c r="B4886" s="12">
        <f>MONTH(Movimientos_2026[[#This Row],[Fecha]])</f>
        <v>1</v>
      </c>
      <c r="C4886" s="12" t="str">
        <f>VLOOKUP((WEEKDAY(Movimientos_2026[[#This Row],[Fecha]],2)),'5. Setup'!$D$6:$E$12,2,FALSE)</f>
        <v>Sab</v>
      </c>
      <c r="E4886" t="str">
        <f>IFERROR(+VLOOKUP(Movimientos_2026[[#This Row],[Codigo]],Plan_cuentas[],2,FALSE)," ")</f>
        <v xml:space="preserve"> </v>
      </c>
      <c r="F4886" t="str">
        <f>IFERROR(+VLOOKUP(Movimientos_2026[[#This Row],[Codigo]],Plan_cuentas[],3,FALSE)," ")</f>
        <v xml:space="preserve"> </v>
      </c>
      <c r="G4886" t="str">
        <f>IFERROR(+VLOOKUP(Movimientos_2026[[#This Row],[Codigo]],Plan_cuentas[],4,FALSE)," ")</f>
        <v xml:space="preserve"> </v>
      </c>
      <c r="H4886" t="str">
        <f>IFERROR(+VLOOKUP(Movimientos_2026[[#This Row],[Codigo]],Plan_cuentas[],5,FALSE)," ")</f>
        <v xml:space="preserve"> </v>
      </c>
      <c r="I4886" s="43"/>
      <c r="K4886" t="str">
        <f>IFERROR(+VLOOKUP(Movimientos_2026[[#This Row],[Codigo]],Plan_cuentas[],6,FALSE)," ")</f>
        <v xml:space="preserve"> </v>
      </c>
      <c r="L4886" s="50"/>
      <c r="M4886" s="50"/>
      <c r="N4886" s="20">
        <f>+Movimientos_2026[[#This Row],[Ingresos]]-Movimientos_2026[[#This Row],[Egresos]]</f>
        <v>0</v>
      </c>
      <c r="O4886" s="20">
        <f>+O4885+Movimientos_2026[[#This Row],[Neto]]</f>
        <v>4581558617.7962294</v>
      </c>
    </row>
    <row r="4887" spans="1:15" x14ac:dyDescent="0.25">
      <c r="A4887" s="13"/>
      <c r="B4887" s="12">
        <f>MONTH(Movimientos_2026[[#This Row],[Fecha]])</f>
        <v>1</v>
      </c>
      <c r="C4887" s="12" t="str">
        <f>VLOOKUP((WEEKDAY(Movimientos_2026[[#This Row],[Fecha]],2)),'5. Setup'!$D$6:$E$12,2,FALSE)</f>
        <v>Sab</v>
      </c>
      <c r="E4887" t="str">
        <f>IFERROR(+VLOOKUP(Movimientos_2026[[#This Row],[Codigo]],Plan_cuentas[],2,FALSE)," ")</f>
        <v xml:space="preserve"> </v>
      </c>
      <c r="F4887" t="str">
        <f>IFERROR(+VLOOKUP(Movimientos_2026[[#This Row],[Codigo]],Plan_cuentas[],3,FALSE)," ")</f>
        <v xml:space="preserve"> </v>
      </c>
      <c r="G4887" t="str">
        <f>IFERROR(+VLOOKUP(Movimientos_2026[[#This Row],[Codigo]],Plan_cuentas[],4,FALSE)," ")</f>
        <v xml:space="preserve"> </v>
      </c>
      <c r="H4887" t="str">
        <f>IFERROR(+VLOOKUP(Movimientos_2026[[#This Row],[Codigo]],Plan_cuentas[],5,FALSE)," ")</f>
        <v xml:space="preserve"> </v>
      </c>
      <c r="I4887" s="43"/>
      <c r="K4887" t="str">
        <f>IFERROR(+VLOOKUP(Movimientos_2026[[#This Row],[Codigo]],Plan_cuentas[],6,FALSE)," ")</f>
        <v xml:space="preserve"> </v>
      </c>
      <c r="L4887" s="50"/>
      <c r="M4887" s="50"/>
      <c r="N4887" s="20">
        <f>+Movimientos_2026[[#This Row],[Ingresos]]-Movimientos_2026[[#This Row],[Egresos]]</f>
        <v>0</v>
      </c>
      <c r="O4887" s="20">
        <f>+O4886+Movimientos_2026[[#This Row],[Neto]]</f>
        <v>4581558617.7962294</v>
      </c>
    </row>
    <row r="4888" spans="1:15" x14ac:dyDescent="0.25">
      <c r="A4888" s="13"/>
      <c r="B4888" s="12">
        <f>MONTH(Movimientos_2026[[#This Row],[Fecha]])</f>
        <v>1</v>
      </c>
      <c r="C4888" s="12" t="str">
        <f>VLOOKUP((WEEKDAY(Movimientos_2026[[#This Row],[Fecha]],2)),'5. Setup'!$D$6:$E$12,2,FALSE)</f>
        <v>Sab</v>
      </c>
      <c r="E4888" t="str">
        <f>IFERROR(+VLOOKUP(Movimientos_2026[[#This Row],[Codigo]],Plan_cuentas[],2,FALSE)," ")</f>
        <v xml:space="preserve"> </v>
      </c>
      <c r="F4888" t="str">
        <f>IFERROR(+VLOOKUP(Movimientos_2026[[#This Row],[Codigo]],Plan_cuentas[],3,FALSE)," ")</f>
        <v xml:space="preserve"> </v>
      </c>
      <c r="G4888" t="str">
        <f>IFERROR(+VLOOKUP(Movimientos_2026[[#This Row],[Codigo]],Plan_cuentas[],4,FALSE)," ")</f>
        <v xml:space="preserve"> </v>
      </c>
      <c r="H4888" t="str">
        <f>IFERROR(+VLOOKUP(Movimientos_2026[[#This Row],[Codigo]],Plan_cuentas[],5,FALSE)," ")</f>
        <v xml:space="preserve"> </v>
      </c>
      <c r="I4888" s="43"/>
      <c r="K4888" t="str">
        <f>IFERROR(+VLOOKUP(Movimientos_2026[[#This Row],[Codigo]],Plan_cuentas[],6,FALSE)," ")</f>
        <v xml:space="preserve"> </v>
      </c>
      <c r="L4888" s="50"/>
      <c r="M4888" s="50"/>
      <c r="N4888" s="20">
        <f>+Movimientos_2026[[#This Row],[Ingresos]]-Movimientos_2026[[#This Row],[Egresos]]</f>
        <v>0</v>
      </c>
      <c r="O4888" s="20">
        <f>+O4887+Movimientos_2026[[#This Row],[Neto]]</f>
        <v>4581558617.7962294</v>
      </c>
    </row>
    <row r="4889" spans="1:15" x14ac:dyDescent="0.25">
      <c r="A4889" s="13"/>
      <c r="B4889" s="12">
        <f>MONTH(Movimientos_2026[[#This Row],[Fecha]])</f>
        <v>1</v>
      </c>
      <c r="C4889" s="12" t="str">
        <f>VLOOKUP((WEEKDAY(Movimientos_2026[[#This Row],[Fecha]],2)),'5. Setup'!$D$6:$E$12,2,FALSE)</f>
        <v>Sab</v>
      </c>
      <c r="E4889" t="str">
        <f>IFERROR(+VLOOKUP(Movimientos_2026[[#This Row],[Codigo]],Plan_cuentas[],2,FALSE)," ")</f>
        <v xml:space="preserve"> </v>
      </c>
      <c r="F4889" t="str">
        <f>IFERROR(+VLOOKUP(Movimientos_2026[[#This Row],[Codigo]],Plan_cuentas[],3,FALSE)," ")</f>
        <v xml:space="preserve"> </v>
      </c>
      <c r="G4889" t="str">
        <f>IFERROR(+VLOOKUP(Movimientos_2026[[#This Row],[Codigo]],Plan_cuentas[],4,FALSE)," ")</f>
        <v xml:space="preserve"> </v>
      </c>
      <c r="H4889" t="str">
        <f>IFERROR(+VLOOKUP(Movimientos_2026[[#This Row],[Codigo]],Plan_cuentas[],5,FALSE)," ")</f>
        <v xml:space="preserve"> </v>
      </c>
      <c r="I4889" s="43"/>
      <c r="K4889" t="str">
        <f>IFERROR(+VLOOKUP(Movimientos_2026[[#This Row],[Codigo]],Plan_cuentas[],6,FALSE)," ")</f>
        <v xml:space="preserve"> </v>
      </c>
      <c r="L4889" s="50"/>
      <c r="M4889" s="50"/>
      <c r="N4889" s="20">
        <f>+Movimientos_2026[[#This Row],[Ingresos]]-Movimientos_2026[[#This Row],[Egresos]]</f>
        <v>0</v>
      </c>
      <c r="O4889" s="20">
        <f>+O4888+Movimientos_2026[[#This Row],[Neto]]</f>
        <v>4581558617.7962294</v>
      </c>
    </row>
    <row r="4890" spans="1:15" x14ac:dyDescent="0.25">
      <c r="A4890" s="13"/>
      <c r="B4890" s="12">
        <f>MONTH(Movimientos_2026[[#This Row],[Fecha]])</f>
        <v>1</v>
      </c>
      <c r="C4890" s="12" t="str">
        <f>VLOOKUP((WEEKDAY(Movimientos_2026[[#This Row],[Fecha]],2)),'5. Setup'!$D$6:$E$12,2,FALSE)</f>
        <v>Sab</v>
      </c>
      <c r="E4890" t="str">
        <f>IFERROR(+VLOOKUP(Movimientos_2026[[#This Row],[Codigo]],Plan_cuentas[],2,FALSE)," ")</f>
        <v xml:space="preserve"> </v>
      </c>
      <c r="F4890" t="str">
        <f>IFERROR(+VLOOKUP(Movimientos_2026[[#This Row],[Codigo]],Plan_cuentas[],3,FALSE)," ")</f>
        <v xml:space="preserve"> </v>
      </c>
      <c r="G4890" t="str">
        <f>IFERROR(+VLOOKUP(Movimientos_2026[[#This Row],[Codigo]],Plan_cuentas[],4,FALSE)," ")</f>
        <v xml:space="preserve"> </v>
      </c>
      <c r="H4890" t="str">
        <f>IFERROR(+VLOOKUP(Movimientos_2026[[#This Row],[Codigo]],Plan_cuentas[],5,FALSE)," ")</f>
        <v xml:space="preserve"> </v>
      </c>
      <c r="I4890" s="43"/>
      <c r="K4890" t="str">
        <f>IFERROR(+VLOOKUP(Movimientos_2026[[#This Row],[Codigo]],Plan_cuentas[],6,FALSE)," ")</f>
        <v xml:space="preserve"> </v>
      </c>
      <c r="L4890" s="50"/>
      <c r="M4890" s="50"/>
      <c r="N4890" s="20">
        <f>+Movimientos_2026[[#This Row],[Ingresos]]-Movimientos_2026[[#This Row],[Egresos]]</f>
        <v>0</v>
      </c>
      <c r="O4890" s="20">
        <f>+O4889+Movimientos_2026[[#This Row],[Neto]]</f>
        <v>4581558617.7962294</v>
      </c>
    </row>
    <row r="4891" spans="1:15" x14ac:dyDescent="0.25">
      <c r="A4891" s="13"/>
      <c r="B4891" s="12">
        <f>MONTH(Movimientos_2026[[#This Row],[Fecha]])</f>
        <v>1</v>
      </c>
      <c r="C4891" s="12" t="str">
        <f>VLOOKUP((WEEKDAY(Movimientos_2026[[#This Row],[Fecha]],2)),'5. Setup'!$D$6:$E$12,2,FALSE)</f>
        <v>Sab</v>
      </c>
      <c r="E4891" t="str">
        <f>IFERROR(+VLOOKUP(Movimientos_2026[[#This Row],[Codigo]],Plan_cuentas[],2,FALSE)," ")</f>
        <v xml:space="preserve"> </v>
      </c>
      <c r="F4891" t="str">
        <f>IFERROR(+VLOOKUP(Movimientos_2026[[#This Row],[Codigo]],Plan_cuentas[],3,FALSE)," ")</f>
        <v xml:space="preserve"> </v>
      </c>
      <c r="G4891" t="str">
        <f>IFERROR(+VLOOKUP(Movimientos_2026[[#This Row],[Codigo]],Plan_cuentas[],4,FALSE)," ")</f>
        <v xml:space="preserve"> </v>
      </c>
      <c r="H4891" t="str">
        <f>IFERROR(+VLOOKUP(Movimientos_2026[[#This Row],[Codigo]],Plan_cuentas[],5,FALSE)," ")</f>
        <v xml:space="preserve"> </v>
      </c>
      <c r="I4891" s="43"/>
      <c r="K4891" t="str">
        <f>IFERROR(+VLOOKUP(Movimientos_2026[[#This Row],[Codigo]],Plan_cuentas[],6,FALSE)," ")</f>
        <v xml:space="preserve"> </v>
      </c>
      <c r="L4891" s="50"/>
      <c r="M4891" s="50"/>
      <c r="N4891" s="20">
        <f>+Movimientos_2026[[#This Row],[Ingresos]]-Movimientos_2026[[#This Row],[Egresos]]</f>
        <v>0</v>
      </c>
      <c r="O4891" s="20">
        <f>+O4890+Movimientos_2026[[#This Row],[Neto]]</f>
        <v>4581558617.7962294</v>
      </c>
    </row>
    <row r="4892" spans="1:15" x14ac:dyDescent="0.25">
      <c r="A4892" s="13"/>
      <c r="B4892" s="12">
        <f>MONTH(Movimientos_2026[[#This Row],[Fecha]])</f>
        <v>1</v>
      </c>
      <c r="C4892" s="12" t="str">
        <f>VLOOKUP((WEEKDAY(Movimientos_2026[[#This Row],[Fecha]],2)),'5. Setup'!$D$6:$E$12,2,FALSE)</f>
        <v>Sab</v>
      </c>
      <c r="E4892" t="str">
        <f>IFERROR(+VLOOKUP(Movimientos_2026[[#This Row],[Codigo]],Plan_cuentas[],2,FALSE)," ")</f>
        <v xml:space="preserve"> </v>
      </c>
      <c r="F4892" t="str">
        <f>IFERROR(+VLOOKUP(Movimientos_2026[[#This Row],[Codigo]],Plan_cuentas[],3,FALSE)," ")</f>
        <v xml:space="preserve"> </v>
      </c>
      <c r="G4892" t="str">
        <f>IFERROR(+VLOOKUP(Movimientos_2026[[#This Row],[Codigo]],Plan_cuentas[],4,FALSE)," ")</f>
        <v xml:space="preserve"> </v>
      </c>
      <c r="H4892" t="str">
        <f>IFERROR(+VLOOKUP(Movimientos_2026[[#This Row],[Codigo]],Plan_cuentas[],5,FALSE)," ")</f>
        <v xml:space="preserve"> </v>
      </c>
      <c r="I4892" s="43"/>
      <c r="K4892" t="str">
        <f>IFERROR(+VLOOKUP(Movimientos_2026[[#This Row],[Codigo]],Plan_cuentas[],6,FALSE)," ")</f>
        <v xml:space="preserve"> </v>
      </c>
      <c r="L4892" s="50"/>
      <c r="M4892" s="50"/>
      <c r="N4892" s="20">
        <f>+Movimientos_2026[[#This Row],[Ingresos]]-Movimientos_2026[[#This Row],[Egresos]]</f>
        <v>0</v>
      </c>
      <c r="O4892" s="20">
        <f>+O4891+Movimientos_2026[[#This Row],[Neto]]</f>
        <v>4581558617.7962294</v>
      </c>
    </row>
    <row r="4893" spans="1:15" x14ac:dyDescent="0.25">
      <c r="A4893" s="13"/>
      <c r="B4893" s="12">
        <f>MONTH(Movimientos_2026[[#This Row],[Fecha]])</f>
        <v>1</v>
      </c>
      <c r="C4893" s="12" t="str">
        <f>VLOOKUP((WEEKDAY(Movimientos_2026[[#This Row],[Fecha]],2)),'5. Setup'!$D$6:$E$12,2,FALSE)</f>
        <v>Sab</v>
      </c>
      <c r="E4893" t="str">
        <f>IFERROR(+VLOOKUP(Movimientos_2026[[#This Row],[Codigo]],Plan_cuentas[],2,FALSE)," ")</f>
        <v xml:space="preserve"> </v>
      </c>
      <c r="F4893" t="str">
        <f>IFERROR(+VLOOKUP(Movimientos_2026[[#This Row],[Codigo]],Plan_cuentas[],3,FALSE)," ")</f>
        <v xml:space="preserve"> </v>
      </c>
      <c r="G4893" t="str">
        <f>IFERROR(+VLOOKUP(Movimientos_2026[[#This Row],[Codigo]],Plan_cuentas[],4,FALSE)," ")</f>
        <v xml:space="preserve"> </v>
      </c>
      <c r="H4893" t="str">
        <f>IFERROR(+VLOOKUP(Movimientos_2026[[#This Row],[Codigo]],Plan_cuentas[],5,FALSE)," ")</f>
        <v xml:space="preserve"> </v>
      </c>
      <c r="I4893" s="43"/>
      <c r="K4893" t="str">
        <f>IFERROR(+VLOOKUP(Movimientos_2026[[#This Row],[Codigo]],Plan_cuentas[],6,FALSE)," ")</f>
        <v xml:space="preserve"> </v>
      </c>
      <c r="L4893" s="50"/>
      <c r="M4893" s="50"/>
      <c r="N4893" s="20">
        <f>+Movimientos_2026[[#This Row],[Ingresos]]-Movimientos_2026[[#This Row],[Egresos]]</f>
        <v>0</v>
      </c>
      <c r="O4893" s="20">
        <f>+O4892+Movimientos_2026[[#This Row],[Neto]]</f>
        <v>4581558617.7962294</v>
      </c>
    </row>
    <row r="4894" spans="1:15" x14ac:dyDescent="0.25">
      <c r="A4894" s="13"/>
      <c r="B4894" s="12">
        <f>MONTH(Movimientos_2026[[#This Row],[Fecha]])</f>
        <v>1</v>
      </c>
      <c r="C4894" s="12" t="str">
        <f>VLOOKUP((WEEKDAY(Movimientos_2026[[#This Row],[Fecha]],2)),'5. Setup'!$D$6:$E$12,2,FALSE)</f>
        <v>Sab</v>
      </c>
      <c r="E4894" t="str">
        <f>IFERROR(+VLOOKUP(Movimientos_2026[[#This Row],[Codigo]],Plan_cuentas[],2,FALSE)," ")</f>
        <v xml:space="preserve"> </v>
      </c>
      <c r="F4894" t="str">
        <f>IFERROR(+VLOOKUP(Movimientos_2026[[#This Row],[Codigo]],Plan_cuentas[],3,FALSE)," ")</f>
        <v xml:space="preserve"> </v>
      </c>
      <c r="G4894" t="str">
        <f>IFERROR(+VLOOKUP(Movimientos_2026[[#This Row],[Codigo]],Plan_cuentas[],4,FALSE)," ")</f>
        <v xml:space="preserve"> </v>
      </c>
      <c r="H4894" t="str">
        <f>IFERROR(+VLOOKUP(Movimientos_2026[[#This Row],[Codigo]],Plan_cuentas[],5,FALSE)," ")</f>
        <v xml:space="preserve"> </v>
      </c>
      <c r="I4894" s="43"/>
      <c r="K4894" t="str">
        <f>IFERROR(+VLOOKUP(Movimientos_2026[[#This Row],[Codigo]],Plan_cuentas[],6,FALSE)," ")</f>
        <v xml:space="preserve"> </v>
      </c>
      <c r="L4894" s="50"/>
      <c r="M4894" s="50"/>
      <c r="N4894" s="20">
        <f>+Movimientos_2026[[#This Row],[Ingresos]]-Movimientos_2026[[#This Row],[Egresos]]</f>
        <v>0</v>
      </c>
      <c r="O4894" s="20">
        <f>+O4893+Movimientos_2026[[#This Row],[Neto]]</f>
        <v>4581558617.7962294</v>
      </c>
    </row>
    <row r="4895" spans="1:15" x14ac:dyDescent="0.25">
      <c r="A4895" s="13"/>
      <c r="B4895" s="12">
        <f>MONTH(Movimientos_2026[[#This Row],[Fecha]])</f>
        <v>1</v>
      </c>
      <c r="C4895" s="12" t="str">
        <f>VLOOKUP((WEEKDAY(Movimientos_2026[[#This Row],[Fecha]],2)),'5. Setup'!$D$6:$E$12,2,FALSE)</f>
        <v>Sab</v>
      </c>
      <c r="E4895" t="str">
        <f>IFERROR(+VLOOKUP(Movimientos_2026[[#This Row],[Codigo]],Plan_cuentas[],2,FALSE)," ")</f>
        <v xml:space="preserve"> </v>
      </c>
      <c r="F4895" t="str">
        <f>IFERROR(+VLOOKUP(Movimientos_2026[[#This Row],[Codigo]],Plan_cuentas[],3,FALSE)," ")</f>
        <v xml:space="preserve"> </v>
      </c>
      <c r="G4895" t="str">
        <f>IFERROR(+VLOOKUP(Movimientos_2026[[#This Row],[Codigo]],Plan_cuentas[],4,FALSE)," ")</f>
        <v xml:space="preserve"> </v>
      </c>
      <c r="H4895" t="str">
        <f>IFERROR(+VLOOKUP(Movimientos_2026[[#This Row],[Codigo]],Plan_cuentas[],5,FALSE)," ")</f>
        <v xml:space="preserve"> </v>
      </c>
      <c r="I4895" s="43"/>
      <c r="K4895" t="str">
        <f>IFERROR(+VLOOKUP(Movimientos_2026[[#This Row],[Codigo]],Plan_cuentas[],6,FALSE)," ")</f>
        <v xml:space="preserve"> </v>
      </c>
      <c r="L4895" s="50"/>
      <c r="M4895" s="50"/>
      <c r="N4895" s="20">
        <f>+Movimientos_2026[[#This Row],[Ingresos]]-Movimientos_2026[[#This Row],[Egresos]]</f>
        <v>0</v>
      </c>
      <c r="O4895" s="20">
        <f>+O4894+Movimientos_2026[[#This Row],[Neto]]</f>
        <v>4581558617.7962294</v>
      </c>
    </row>
    <row r="4896" spans="1:15" x14ac:dyDescent="0.25">
      <c r="A4896" s="13"/>
      <c r="B4896" s="12">
        <f>MONTH(Movimientos_2026[[#This Row],[Fecha]])</f>
        <v>1</v>
      </c>
      <c r="C4896" s="12" t="str">
        <f>VLOOKUP((WEEKDAY(Movimientos_2026[[#This Row],[Fecha]],2)),'5. Setup'!$D$6:$E$12,2,FALSE)</f>
        <v>Sab</v>
      </c>
      <c r="E4896" t="str">
        <f>IFERROR(+VLOOKUP(Movimientos_2026[[#This Row],[Codigo]],Plan_cuentas[],2,FALSE)," ")</f>
        <v xml:space="preserve"> </v>
      </c>
      <c r="F4896" t="str">
        <f>IFERROR(+VLOOKUP(Movimientos_2026[[#This Row],[Codigo]],Plan_cuentas[],3,FALSE)," ")</f>
        <v xml:space="preserve"> </v>
      </c>
      <c r="G4896" t="str">
        <f>IFERROR(+VLOOKUP(Movimientos_2026[[#This Row],[Codigo]],Plan_cuentas[],4,FALSE)," ")</f>
        <v xml:space="preserve"> </v>
      </c>
      <c r="H4896" t="str">
        <f>IFERROR(+VLOOKUP(Movimientos_2026[[#This Row],[Codigo]],Plan_cuentas[],5,FALSE)," ")</f>
        <v xml:space="preserve"> </v>
      </c>
      <c r="I4896" s="43"/>
      <c r="K4896" t="str">
        <f>IFERROR(+VLOOKUP(Movimientos_2026[[#This Row],[Codigo]],Plan_cuentas[],6,FALSE)," ")</f>
        <v xml:space="preserve"> </v>
      </c>
      <c r="L4896" s="50"/>
      <c r="M4896" s="50"/>
      <c r="N4896" s="20">
        <f>+Movimientos_2026[[#This Row],[Ingresos]]-Movimientos_2026[[#This Row],[Egresos]]</f>
        <v>0</v>
      </c>
      <c r="O4896" s="20">
        <f>+O4895+Movimientos_2026[[#This Row],[Neto]]</f>
        <v>4581558617.7962294</v>
      </c>
    </row>
    <row r="4897" spans="1:15" x14ac:dyDescent="0.25">
      <c r="A4897" s="13"/>
      <c r="B4897" s="12">
        <f>MONTH(Movimientos_2026[[#This Row],[Fecha]])</f>
        <v>1</v>
      </c>
      <c r="C4897" s="12" t="str">
        <f>VLOOKUP((WEEKDAY(Movimientos_2026[[#This Row],[Fecha]],2)),'5. Setup'!$D$6:$E$12,2,FALSE)</f>
        <v>Sab</v>
      </c>
      <c r="E4897" t="str">
        <f>IFERROR(+VLOOKUP(Movimientos_2026[[#This Row],[Codigo]],Plan_cuentas[],2,FALSE)," ")</f>
        <v xml:space="preserve"> </v>
      </c>
      <c r="F4897" t="str">
        <f>IFERROR(+VLOOKUP(Movimientos_2026[[#This Row],[Codigo]],Plan_cuentas[],3,FALSE)," ")</f>
        <v xml:space="preserve"> </v>
      </c>
      <c r="G4897" t="str">
        <f>IFERROR(+VLOOKUP(Movimientos_2026[[#This Row],[Codigo]],Plan_cuentas[],4,FALSE)," ")</f>
        <v xml:space="preserve"> </v>
      </c>
      <c r="H4897" t="str">
        <f>IFERROR(+VLOOKUP(Movimientos_2026[[#This Row],[Codigo]],Plan_cuentas[],5,FALSE)," ")</f>
        <v xml:space="preserve"> </v>
      </c>
      <c r="I4897" s="43"/>
      <c r="K4897" t="str">
        <f>IFERROR(+VLOOKUP(Movimientos_2026[[#This Row],[Codigo]],Plan_cuentas[],6,FALSE)," ")</f>
        <v xml:space="preserve"> </v>
      </c>
      <c r="L4897" s="50"/>
      <c r="M4897" s="50"/>
      <c r="N4897" s="20">
        <f>+Movimientos_2026[[#This Row],[Ingresos]]-Movimientos_2026[[#This Row],[Egresos]]</f>
        <v>0</v>
      </c>
      <c r="O4897" s="20">
        <f>+O4896+Movimientos_2026[[#This Row],[Neto]]</f>
        <v>4581558617.7962294</v>
      </c>
    </row>
    <row r="4898" spans="1:15" x14ac:dyDescent="0.25">
      <c r="A4898" s="13"/>
      <c r="B4898" s="12">
        <f>MONTH(Movimientos_2026[[#This Row],[Fecha]])</f>
        <v>1</v>
      </c>
      <c r="C4898" s="12" t="str">
        <f>VLOOKUP((WEEKDAY(Movimientos_2026[[#This Row],[Fecha]],2)),'5. Setup'!$D$6:$E$12,2,FALSE)</f>
        <v>Sab</v>
      </c>
      <c r="E4898" t="str">
        <f>IFERROR(+VLOOKUP(Movimientos_2026[[#This Row],[Codigo]],Plan_cuentas[],2,FALSE)," ")</f>
        <v xml:space="preserve"> </v>
      </c>
      <c r="F4898" t="str">
        <f>IFERROR(+VLOOKUP(Movimientos_2026[[#This Row],[Codigo]],Plan_cuentas[],3,FALSE)," ")</f>
        <v xml:space="preserve"> </v>
      </c>
      <c r="G4898" t="str">
        <f>IFERROR(+VLOOKUP(Movimientos_2026[[#This Row],[Codigo]],Plan_cuentas[],4,FALSE)," ")</f>
        <v xml:space="preserve"> </v>
      </c>
      <c r="H4898" t="str">
        <f>IFERROR(+VLOOKUP(Movimientos_2026[[#This Row],[Codigo]],Plan_cuentas[],5,FALSE)," ")</f>
        <v xml:space="preserve"> </v>
      </c>
      <c r="I4898" s="43"/>
      <c r="K4898" t="str">
        <f>IFERROR(+VLOOKUP(Movimientos_2026[[#This Row],[Codigo]],Plan_cuentas[],6,FALSE)," ")</f>
        <v xml:space="preserve"> </v>
      </c>
      <c r="L4898" s="50"/>
      <c r="M4898" s="50"/>
      <c r="N4898" s="20">
        <f>+Movimientos_2026[[#This Row],[Ingresos]]-Movimientos_2026[[#This Row],[Egresos]]</f>
        <v>0</v>
      </c>
      <c r="O4898" s="20">
        <f>+O4897+Movimientos_2026[[#This Row],[Neto]]</f>
        <v>4581558617.7962294</v>
      </c>
    </row>
    <row r="4899" spans="1:15" x14ac:dyDescent="0.25">
      <c r="A4899" s="13"/>
      <c r="B4899" s="12">
        <f>MONTH(Movimientos_2026[[#This Row],[Fecha]])</f>
        <v>1</v>
      </c>
      <c r="C4899" s="12" t="str">
        <f>VLOOKUP((WEEKDAY(Movimientos_2026[[#This Row],[Fecha]],2)),'5. Setup'!$D$6:$E$12,2,FALSE)</f>
        <v>Sab</v>
      </c>
      <c r="E4899" t="str">
        <f>IFERROR(+VLOOKUP(Movimientos_2026[[#This Row],[Codigo]],Plan_cuentas[],2,FALSE)," ")</f>
        <v xml:space="preserve"> </v>
      </c>
      <c r="F4899" t="str">
        <f>IFERROR(+VLOOKUP(Movimientos_2026[[#This Row],[Codigo]],Plan_cuentas[],3,FALSE)," ")</f>
        <v xml:space="preserve"> </v>
      </c>
      <c r="G4899" t="str">
        <f>IFERROR(+VLOOKUP(Movimientos_2026[[#This Row],[Codigo]],Plan_cuentas[],4,FALSE)," ")</f>
        <v xml:space="preserve"> </v>
      </c>
      <c r="H4899" t="str">
        <f>IFERROR(+VLOOKUP(Movimientos_2026[[#This Row],[Codigo]],Plan_cuentas[],5,FALSE)," ")</f>
        <v xml:space="preserve"> </v>
      </c>
      <c r="I4899" s="43"/>
      <c r="K4899" t="str">
        <f>IFERROR(+VLOOKUP(Movimientos_2026[[#This Row],[Codigo]],Plan_cuentas[],6,FALSE)," ")</f>
        <v xml:space="preserve"> </v>
      </c>
      <c r="L4899" s="50"/>
      <c r="M4899" s="50"/>
      <c r="N4899" s="20">
        <f>+Movimientos_2026[[#This Row],[Ingresos]]-Movimientos_2026[[#This Row],[Egresos]]</f>
        <v>0</v>
      </c>
      <c r="O4899" s="20">
        <f>+O4898+Movimientos_2026[[#This Row],[Neto]]</f>
        <v>4581558617.7962294</v>
      </c>
    </row>
    <row r="4900" spans="1:15" x14ac:dyDescent="0.25">
      <c r="A4900" s="13"/>
      <c r="B4900" s="12">
        <f>MONTH(Movimientos_2026[[#This Row],[Fecha]])</f>
        <v>1</v>
      </c>
      <c r="C4900" s="12" t="str">
        <f>VLOOKUP((WEEKDAY(Movimientos_2026[[#This Row],[Fecha]],2)),'5. Setup'!$D$6:$E$12,2,FALSE)</f>
        <v>Sab</v>
      </c>
      <c r="E4900" t="str">
        <f>IFERROR(+VLOOKUP(Movimientos_2026[[#This Row],[Codigo]],Plan_cuentas[],2,FALSE)," ")</f>
        <v xml:space="preserve"> </v>
      </c>
      <c r="F4900" t="str">
        <f>IFERROR(+VLOOKUP(Movimientos_2026[[#This Row],[Codigo]],Plan_cuentas[],3,FALSE)," ")</f>
        <v xml:space="preserve"> </v>
      </c>
      <c r="G4900" t="str">
        <f>IFERROR(+VLOOKUP(Movimientos_2026[[#This Row],[Codigo]],Plan_cuentas[],4,FALSE)," ")</f>
        <v xml:space="preserve"> </v>
      </c>
      <c r="H4900" t="str">
        <f>IFERROR(+VLOOKUP(Movimientos_2026[[#This Row],[Codigo]],Plan_cuentas[],5,FALSE)," ")</f>
        <v xml:space="preserve"> </v>
      </c>
      <c r="I4900" s="43"/>
      <c r="K4900" t="str">
        <f>IFERROR(+VLOOKUP(Movimientos_2026[[#This Row],[Codigo]],Plan_cuentas[],6,FALSE)," ")</f>
        <v xml:space="preserve"> </v>
      </c>
      <c r="L4900" s="50"/>
      <c r="M4900" s="50"/>
      <c r="N4900" s="20">
        <f>+Movimientos_2026[[#This Row],[Ingresos]]-Movimientos_2026[[#This Row],[Egresos]]</f>
        <v>0</v>
      </c>
      <c r="O4900" s="20">
        <f>+O4899+Movimientos_2026[[#This Row],[Neto]]</f>
        <v>4581558617.7962294</v>
      </c>
    </row>
    <row r="4901" spans="1:15" x14ac:dyDescent="0.25">
      <c r="A4901" s="13"/>
      <c r="B4901" s="12">
        <f>MONTH(Movimientos_2026[[#This Row],[Fecha]])</f>
        <v>1</v>
      </c>
      <c r="C4901" s="12" t="str">
        <f>VLOOKUP((WEEKDAY(Movimientos_2026[[#This Row],[Fecha]],2)),'5. Setup'!$D$6:$E$12,2,FALSE)</f>
        <v>Sab</v>
      </c>
      <c r="E4901" t="str">
        <f>IFERROR(+VLOOKUP(Movimientos_2026[[#This Row],[Codigo]],Plan_cuentas[],2,FALSE)," ")</f>
        <v xml:space="preserve"> </v>
      </c>
      <c r="F4901" t="str">
        <f>IFERROR(+VLOOKUP(Movimientos_2026[[#This Row],[Codigo]],Plan_cuentas[],3,FALSE)," ")</f>
        <v xml:space="preserve"> </v>
      </c>
      <c r="G4901" t="str">
        <f>IFERROR(+VLOOKUP(Movimientos_2026[[#This Row],[Codigo]],Plan_cuentas[],4,FALSE)," ")</f>
        <v xml:space="preserve"> </v>
      </c>
      <c r="H4901" t="str">
        <f>IFERROR(+VLOOKUP(Movimientos_2026[[#This Row],[Codigo]],Plan_cuentas[],5,FALSE)," ")</f>
        <v xml:space="preserve"> </v>
      </c>
      <c r="I4901" s="43"/>
      <c r="K4901" t="str">
        <f>IFERROR(+VLOOKUP(Movimientos_2026[[#This Row],[Codigo]],Plan_cuentas[],6,FALSE)," ")</f>
        <v xml:space="preserve"> </v>
      </c>
      <c r="L4901" s="50"/>
      <c r="M4901" s="50"/>
      <c r="N4901" s="20">
        <f>+Movimientos_2026[[#This Row],[Ingresos]]-Movimientos_2026[[#This Row],[Egresos]]</f>
        <v>0</v>
      </c>
      <c r="O4901" s="20">
        <f>+O4900+Movimientos_2026[[#This Row],[Neto]]</f>
        <v>4581558617.7962294</v>
      </c>
    </row>
    <row r="4902" spans="1:15" x14ac:dyDescent="0.25">
      <c r="A4902" s="13"/>
      <c r="B4902" s="12">
        <f>MONTH(Movimientos_2026[[#This Row],[Fecha]])</f>
        <v>1</v>
      </c>
      <c r="C4902" s="12" t="str">
        <f>VLOOKUP((WEEKDAY(Movimientos_2026[[#This Row],[Fecha]],2)),'5. Setup'!$D$6:$E$12,2,FALSE)</f>
        <v>Sab</v>
      </c>
      <c r="E4902" t="str">
        <f>IFERROR(+VLOOKUP(Movimientos_2026[[#This Row],[Codigo]],Plan_cuentas[],2,FALSE)," ")</f>
        <v xml:space="preserve"> </v>
      </c>
      <c r="F4902" t="str">
        <f>IFERROR(+VLOOKUP(Movimientos_2026[[#This Row],[Codigo]],Plan_cuentas[],3,FALSE)," ")</f>
        <v xml:space="preserve"> </v>
      </c>
      <c r="G4902" t="str">
        <f>IFERROR(+VLOOKUP(Movimientos_2026[[#This Row],[Codigo]],Plan_cuentas[],4,FALSE)," ")</f>
        <v xml:space="preserve"> </v>
      </c>
      <c r="H4902" t="str">
        <f>IFERROR(+VLOOKUP(Movimientos_2026[[#This Row],[Codigo]],Plan_cuentas[],5,FALSE)," ")</f>
        <v xml:space="preserve"> </v>
      </c>
      <c r="I4902" s="43"/>
      <c r="K4902" t="str">
        <f>IFERROR(+VLOOKUP(Movimientos_2026[[#This Row],[Codigo]],Plan_cuentas[],6,FALSE)," ")</f>
        <v xml:space="preserve"> </v>
      </c>
      <c r="L4902" s="50"/>
      <c r="M4902" s="50"/>
      <c r="N4902" s="20">
        <f>+Movimientos_2026[[#This Row],[Ingresos]]-Movimientos_2026[[#This Row],[Egresos]]</f>
        <v>0</v>
      </c>
      <c r="O4902" s="20">
        <f>+O4901+Movimientos_2026[[#This Row],[Neto]]</f>
        <v>4581558617.7962294</v>
      </c>
    </row>
    <row r="4903" spans="1:15" x14ac:dyDescent="0.25">
      <c r="A4903" s="13"/>
      <c r="B4903" s="12">
        <f>MONTH(Movimientos_2026[[#This Row],[Fecha]])</f>
        <v>1</v>
      </c>
      <c r="C4903" s="12" t="str">
        <f>VLOOKUP((WEEKDAY(Movimientos_2026[[#This Row],[Fecha]],2)),'5. Setup'!$D$6:$E$12,2,FALSE)</f>
        <v>Sab</v>
      </c>
      <c r="E4903" t="str">
        <f>IFERROR(+VLOOKUP(Movimientos_2026[[#This Row],[Codigo]],Plan_cuentas[],2,FALSE)," ")</f>
        <v xml:space="preserve"> </v>
      </c>
      <c r="F4903" t="str">
        <f>IFERROR(+VLOOKUP(Movimientos_2026[[#This Row],[Codigo]],Plan_cuentas[],3,FALSE)," ")</f>
        <v xml:space="preserve"> </v>
      </c>
      <c r="G4903" t="str">
        <f>IFERROR(+VLOOKUP(Movimientos_2026[[#This Row],[Codigo]],Plan_cuentas[],4,FALSE)," ")</f>
        <v xml:space="preserve"> </v>
      </c>
      <c r="H4903" t="str">
        <f>IFERROR(+VLOOKUP(Movimientos_2026[[#This Row],[Codigo]],Plan_cuentas[],5,FALSE)," ")</f>
        <v xml:space="preserve"> </v>
      </c>
      <c r="I4903" s="43"/>
      <c r="K4903" t="str">
        <f>IFERROR(+VLOOKUP(Movimientos_2026[[#This Row],[Codigo]],Plan_cuentas[],6,FALSE)," ")</f>
        <v xml:space="preserve"> </v>
      </c>
      <c r="L4903" s="50"/>
      <c r="M4903" s="50"/>
      <c r="N4903" s="20">
        <f>+Movimientos_2026[[#This Row],[Ingresos]]-Movimientos_2026[[#This Row],[Egresos]]</f>
        <v>0</v>
      </c>
      <c r="O4903" s="20">
        <f>+O4902+Movimientos_2026[[#This Row],[Neto]]</f>
        <v>4581558617.7962294</v>
      </c>
    </row>
    <row r="4904" spans="1:15" x14ac:dyDescent="0.25">
      <c r="A4904" s="13"/>
      <c r="B4904" s="12">
        <f>MONTH(Movimientos_2026[[#This Row],[Fecha]])</f>
        <v>1</v>
      </c>
      <c r="C4904" s="12" t="str">
        <f>VLOOKUP((WEEKDAY(Movimientos_2026[[#This Row],[Fecha]],2)),'5. Setup'!$D$6:$E$12,2,FALSE)</f>
        <v>Sab</v>
      </c>
      <c r="E4904" t="str">
        <f>IFERROR(+VLOOKUP(Movimientos_2026[[#This Row],[Codigo]],Plan_cuentas[],2,FALSE)," ")</f>
        <v xml:space="preserve"> </v>
      </c>
      <c r="F4904" t="str">
        <f>IFERROR(+VLOOKUP(Movimientos_2026[[#This Row],[Codigo]],Plan_cuentas[],3,FALSE)," ")</f>
        <v xml:space="preserve"> </v>
      </c>
      <c r="G4904" t="str">
        <f>IFERROR(+VLOOKUP(Movimientos_2026[[#This Row],[Codigo]],Plan_cuentas[],4,FALSE)," ")</f>
        <v xml:space="preserve"> </v>
      </c>
      <c r="H4904" t="str">
        <f>IFERROR(+VLOOKUP(Movimientos_2026[[#This Row],[Codigo]],Plan_cuentas[],5,FALSE)," ")</f>
        <v xml:space="preserve"> </v>
      </c>
      <c r="I4904" s="43"/>
      <c r="K4904" t="str">
        <f>IFERROR(+VLOOKUP(Movimientos_2026[[#This Row],[Codigo]],Plan_cuentas[],6,FALSE)," ")</f>
        <v xml:space="preserve"> </v>
      </c>
      <c r="L4904" s="50"/>
      <c r="M4904" s="50"/>
      <c r="N4904" s="20">
        <f>+Movimientos_2026[[#This Row],[Ingresos]]-Movimientos_2026[[#This Row],[Egresos]]</f>
        <v>0</v>
      </c>
      <c r="O4904" s="20">
        <f>+O4903+Movimientos_2026[[#This Row],[Neto]]</f>
        <v>4581558617.7962294</v>
      </c>
    </row>
    <row r="4905" spans="1:15" x14ac:dyDescent="0.25">
      <c r="A4905" s="13"/>
      <c r="B4905" s="12">
        <f>MONTH(Movimientos_2026[[#This Row],[Fecha]])</f>
        <v>1</v>
      </c>
      <c r="C4905" s="12" t="str">
        <f>VLOOKUP((WEEKDAY(Movimientos_2026[[#This Row],[Fecha]],2)),'5. Setup'!$D$6:$E$12,2,FALSE)</f>
        <v>Sab</v>
      </c>
      <c r="E4905" t="str">
        <f>IFERROR(+VLOOKUP(Movimientos_2026[[#This Row],[Codigo]],Plan_cuentas[],2,FALSE)," ")</f>
        <v xml:space="preserve"> </v>
      </c>
      <c r="F4905" t="str">
        <f>IFERROR(+VLOOKUP(Movimientos_2026[[#This Row],[Codigo]],Plan_cuentas[],3,FALSE)," ")</f>
        <v xml:space="preserve"> </v>
      </c>
      <c r="G4905" t="str">
        <f>IFERROR(+VLOOKUP(Movimientos_2026[[#This Row],[Codigo]],Plan_cuentas[],4,FALSE)," ")</f>
        <v xml:space="preserve"> </v>
      </c>
      <c r="H4905" t="str">
        <f>IFERROR(+VLOOKUP(Movimientos_2026[[#This Row],[Codigo]],Plan_cuentas[],5,FALSE)," ")</f>
        <v xml:space="preserve"> </v>
      </c>
      <c r="I4905" s="43"/>
      <c r="K4905" t="str">
        <f>IFERROR(+VLOOKUP(Movimientos_2026[[#This Row],[Codigo]],Plan_cuentas[],6,FALSE)," ")</f>
        <v xml:space="preserve"> </v>
      </c>
      <c r="L4905" s="50"/>
      <c r="M4905" s="50"/>
      <c r="N4905" s="20">
        <f>+Movimientos_2026[[#This Row],[Ingresos]]-Movimientos_2026[[#This Row],[Egresos]]</f>
        <v>0</v>
      </c>
      <c r="O4905" s="20">
        <f>+O4904+Movimientos_2026[[#This Row],[Neto]]</f>
        <v>4581558617.7962294</v>
      </c>
    </row>
    <row r="4906" spans="1:15" x14ac:dyDescent="0.25">
      <c r="A4906" s="13"/>
      <c r="B4906" s="12">
        <f>MONTH(Movimientos_2026[[#This Row],[Fecha]])</f>
        <v>1</v>
      </c>
      <c r="C4906" s="12" t="str">
        <f>VLOOKUP((WEEKDAY(Movimientos_2026[[#This Row],[Fecha]],2)),'5. Setup'!$D$6:$E$12,2,FALSE)</f>
        <v>Sab</v>
      </c>
      <c r="E4906" t="str">
        <f>IFERROR(+VLOOKUP(Movimientos_2026[[#This Row],[Codigo]],Plan_cuentas[],2,FALSE)," ")</f>
        <v xml:space="preserve"> </v>
      </c>
      <c r="F4906" t="str">
        <f>IFERROR(+VLOOKUP(Movimientos_2026[[#This Row],[Codigo]],Plan_cuentas[],3,FALSE)," ")</f>
        <v xml:space="preserve"> </v>
      </c>
      <c r="G4906" t="str">
        <f>IFERROR(+VLOOKUP(Movimientos_2026[[#This Row],[Codigo]],Plan_cuentas[],4,FALSE)," ")</f>
        <v xml:space="preserve"> </v>
      </c>
      <c r="H4906" t="str">
        <f>IFERROR(+VLOOKUP(Movimientos_2026[[#This Row],[Codigo]],Plan_cuentas[],5,FALSE)," ")</f>
        <v xml:space="preserve"> </v>
      </c>
      <c r="I4906" s="43"/>
      <c r="K4906" t="str">
        <f>IFERROR(+VLOOKUP(Movimientos_2026[[#This Row],[Codigo]],Plan_cuentas[],6,FALSE)," ")</f>
        <v xml:space="preserve"> </v>
      </c>
      <c r="L4906" s="50"/>
      <c r="M4906" s="50"/>
      <c r="N4906" s="20">
        <f>+Movimientos_2026[[#This Row],[Ingresos]]-Movimientos_2026[[#This Row],[Egresos]]</f>
        <v>0</v>
      </c>
      <c r="O4906" s="20">
        <f>+O4905+Movimientos_2026[[#This Row],[Neto]]</f>
        <v>4581558617.7962294</v>
      </c>
    </row>
    <row r="4907" spans="1:15" x14ac:dyDescent="0.25">
      <c r="A4907" s="13"/>
      <c r="B4907" s="12">
        <f>MONTH(Movimientos_2026[[#This Row],[Fecha]])</f>
        <v>1</v>
      </c>
      <c r="C4907" s="12" t="str">
        <f>VLOOKUP((WEEKDAY(Movimientos_2026[[#This Row],[Fecha]],2)),'5. Setup'!$D$6:$E$12,2,FALSE)</f>
        <v>Sab</v>
      </c>
      <c r="E4907" t="str">
        <f>IFERROR(+VLOOKUP(Movimientos_2026[[#This Row],[Codigo]],Plan_cuentas[],2,FALSE)," ")</f>
        <v xml:space="preserve"> </v>
      </c>
      <c r="F4907" t="str">
        <f>IFERROR(+VLOOKUP(Movimientos_2026[[#This Row],[Codigo]],Plan_cuentas[],3,FALSE)," ")</f>
        <v xml:space="preserve"> </v>
      </c>
      <c r="G4907" t="str">
        <f>IFERROR(+VLOOKUP(Movimientos_2026[[#This Row],[Codigo]],Plan_cuentas[],4,FALSE)," ")</f>
        <v xml:space="preserve"> </v>
      </c>
      <c r="H4907" t="str">
        <f>IFERROR(+VLOOKUP(Movimientos_2026[[#This Row],[Codigo]],Plan_cuentas[],5,FALSE)," ")</f>
        <v xml:space="preserve"> </v>
      </c>
      <c r="I4907" s="43"/>
      <c r="K4907" t="str">
        <f>IFERROR(+VLOOKUP(Movimientos_2026[[#This Row],[Codigo]],Plan_cuentas[],6,FALSE)," ")</f>
        <v xml:space="preserve"> </v>
      </c>
      <c r="L4907" s="50"/>
      <c r="M4907" s="50"/>
      <c r="N4907" s="20">
        <f>+Movimientos_2026[[#This Row],[Ingresos]]-Movimientos_2026[[#This Row],[Egresos]]</f>
        <v>0</v>
      </c>
      <c r="O4907" s="20">
        <f>+O4906+Movimientos_2026[[#This Row],[Neto]]</f>
        <v>4581558617.7962294</v>
      </c>
    </row>
    <row r="4908" spans="1:15" x14ac:dyDescent="0.25">
      <c r="A4908" s="13"/>
      <c r="B4908" s="12">
        <f>MONTH(Movimientos_2026[[#This Row],[Fecha]])</f>
        <v>1</v>
      </c>
      <c r="C4908" s="12" t="str">
        <f>VLOOKUP((WEEKDAY(Movimientos_2026[[#This Row],[Fecha]],2)),'5. Setup'!$D$6:$E$12,2,FALSE)</f>
        <v>Sab</v>
      </c>
      <c r="E4908" t="str">
        <f>IFERROR(+VLOOKUP(Movimientos_2026[[#This Row],[Codigo]],Plan_cuentas[],2,FALSE)," ")</f>
        <v xml:space="preserve"> </v>
      </c>
      <c r="F4908" t="str">
        <f>IFERROR(+VLOOKUP(Movimientos_2026[[#This Row],[Codigo]],Plan_cuentas[],3,FALSE)," ")</f>
        <v xml:space="preserve"> </v>
      </c>
      <c r="G4908" t="str">
        <f>IFERROR(+VLOOKUP(Movimientos_2026[[#This Row],[Codigo]],Plan_cuentas[],4,FALSE)," ")</f>
        <v xml:space="preserve"> </v>
      </c>
      <c r="H4908" t="str">
        <f>IFERROR(+VLOOKUP(Movimientos_2026[[#This Row],[Codigo]],Plan_cuentas[],5,FALSE)," ")</f>
        <v xml:space="preserve"> </v>
      </c>
      <c r="I4908" s="43"/>
      <c r="K4908" t="str">
        <f>IFERROR(+VLOOKUP(Movimientos_2026[[#This Row],[Codigo]],Plan_cuentas[],6,FALSE)," ")</f>
        <v xml:space="preserve"> </v>
      </c>
      <c r="L4908" s="50"/>
      <c r="M4908" s="50"/>
      <c r="N4908" s="20">
        <f>+Movimientos_2026[[#This Row],[Ingresos]]-Movimientos_2026[[#This Row],[Egresos]]</f>
        <v>0</v>
      </c>
      <c r="O4908" s="20">
        <f>+O4907+Movimientos_2026[[#This Row],[Neto]]</f>
        <v>4581558617.7962294</v>
      </c>
    </row>
    <row r="4909" spans="1:15" x14ac:dyDescent="0.25">
      <c r="A4909" s="13"/>
      <c r="B4909" s="12">
        <f>MONTH(Movimientos_2026[[#This Row],[Fecha]])</f>
        <v>1</v>
      </c>
      <c r="C4909" s="12" t="str">
        <f>VLOOKUP((WEEKDAY(Movimientos_2026[[#This Row],[Fecha]],2)),'5. Setup'!$D$6:$E$12,2,FALSE)</f>
        <v>Sab</v>
      </c>
      <c r="E4909" t="str">
        <f>IFERROR(+VLOOKUP(Movimientos_2026[[#This Row],[Codigo]],Plan_cuentas[],2,FALSE)," ")</f>
        <v xml:space="preserve"> </v>
      </c>
      <c r="F4909" t="str">
        <f>IFERROR(+VLOOKUP(Movimientos_2026[[#This Row],[Codigo]],Plan_cuentas[],3,FALSE)," ")</f>
        <v xml:space="preserve"> </v>
      </c>
      <c r="G4909" t="str">
        <f>IFERROR(+VLOOKUP(Movimientos_2026[[#This Row],[Codigo]],Plan_cuentas[],4,FALSE)," ")</f>
        <v xml:space="preserve"> </v>
      </c>
      <c r="H4909" t="str">
        <f>IFERROR(+VLOOKUP(Movimientos_2026[[#This Row],[Codigo]],Plan_cuentas[],5,FALSE)," ")</f>
        <v xml:space="preserve"> </v>
      </c>
      <c r="I4909" s="43"/>
      <c r="K4909" t="str">
        <f>IFERROR(+VLOOKUP(Movimientos_2026[[#This Row],[Codigo]],Plan_cuentas[],6,FALSE)," ")</f>
        <v xml:space="preserve"> </v>
      </c>
      <c r="L4909" s="50"/>
      <c r="M4909" s="50"/>
      <c r="N4909" s="20">
        <f>+Movimientos_2026[[#This Row],[Ingresos]]-Movimientos_2026[[#This Row],[Egresos]]</f>
        <v>0</v>
      </c>
      <c r="O4909" s="20">
        <f>+O4908+Movimientos_2026[[#This Row],[Neto]]</f>
        <v>4581558617.7962294</v>
      </c>
    </row>
    <row r="4910" spans="1:15" x14ac:dyDescent="0.25">
      <c r="A4910" s="13"/>
      <c r="B4910" s="12">
        <f>MONTH(Movimientos_2026[[#This Row],[Fecha]])</f>
        <v>1</v>
      </c>
      <c r="C4910" s="12" t="str">
        <f>VLOOKUP((WEEKDAY(Movimientos_2026[[#This Row],[Fecha]],2)),'5. Setup'!$D$6:$E$12,2,FALSE)</f>
        <v>Sab</v>
      </c>
      <c r="E4910" t="str">
        <f>IFERROR(+VLOOKUP(Movimientos_2026[[#This Row],[Codigo]],Plan_cuentas[],2,FALSE)," ")</f>
        <v xml:space="preserve"> </v>
      </c>
      <c r="F4910" t="str">
        <f>IFERROR(+VLOOKUP(Movimientos_2026[[#This Row],[Codigo]],Plan_cuentas[],3,FALSE)," ")</f>
        <v xml:space="preserve"> </v>
      </c>
      <c r="G4910" t="str">
        <f>IFERROR(+VLOOKUP(Movimientos_2026[[#This Row],[Codigo]],Plan_cuentas[],4,FALSE)," ")</f>
        <v xml:space="preserve"> </v>
      </c>
      <c r="H4910" t="str">
        <f>IFERROR(+VLOOKUP(Movimientos_2026[[#This Row],[Codigo]],Plan_cuentas[],5,FALSE)," ")</f>
        <v xml:space="preserve"> </v>
      </c>
      <c r="I4910" s="43"/>
      <c r="K4910" t="str">
        <f>IFERROR(+VLOOKUP(Movimientos_2026[[#This Row],[Codigo]],Plan_cuentas[],6,FALSE)," ")</f>
        <v xml:space="preserve"> </v>
      </c>
      <c r="L4910" s="50"/>
      <c r="M4910" s="50"/>
      <c r="N4910" s="20">
        <f>+Movimientos_2026[[#This Row],[Ingresos]]-Movimientos_2026[[#This Row],[Egresos]]</f>
        <v>0</v>
      </c>
      <c r="O4910" s="20">
        <f>+O4909+Movimientos_2026[[#This Row],[Neto]]</f>
        <v>4581558617.7962294</v>
      </c>
    </row>
    <row r="4911" spans="1:15" x14ac:dyDescent="0.25">
      <c r="A4911" s="13"/>
      <c r="B4911" s="12">
        <f>MONTH(Movimientos_2026[[#This Row],[Fecha]])</f>
        <v>1</v>
      </c>
      <c r="C4911" s="12" t="str">
        <f>VLOOKUP((WEEKDAY(Movimientos_2026[[#This Row],[Fecha]],2)),'5. Setup'!$D$6:$E$12,2,FALSE)</f>
        <v>Sab</v>
      </c>
      <c r="E4911" t="str">
        <f>IFERROR(+VLOOKUP(Movimientos_2026[[#This Row],[Codigo]],Plan_cuentas[],2,FALSE)," ")</f>
        <v xml:space="preserve"> </v>
      </c>
      <c r="F4911" t="str">
        <f>IFERROR(+VLOOKUP(Movimientos_2026[[#This Row],[Codigo]],Plan_cuentas[],3,FALSE)," ")</f>
        <v xml:space="preserve"> </v>
      </c>
      <c r="G4911" t="str">
        <f>IFERROR(+VLOOKUP(Movimientos_2026[[#This Row],[Codigo]],Plan_cuentas[],4,FALSE)," ")</f>
        <v xml:space="preserve"> </v>
      </c>
      <c r="H4911" t="str">
        <f>IFERROR(+VLOOKUP(Movimientos_2026[[#This Row],[Codigo]],Plan_cuentas[],5,FALSE)," ")</f>
        <v xml:space="preserve"> </v>
      </c>
      <c r="I4911" s="43"/>
      <c r="K4911" t="str">
        <f>IFERROR(+VLOOKUP(Movimientos_2026[[#This Row],[Codigo]],Plan_cuentas[],6,FALSE)," ")</f>
        <v xml:space="preserve"> </v>
      </c>
      <c r="L4911" s="50"/>
      <c r="M4911" s="50"/>
      <c r="N4911" s="20">
        <f>+Movimientos_2026[[#This Row],[Ingresos]]-Movimientos_2026[[#This Row],[Egresos]]</f>
        <v>0</v>
      </c>
      <c r="O4911" s="20">
        <f>+O4910+Movimientos_2026[[#This Row],[Neto]]</f>
        <v>4581558617.7962294</v>
      </c>
    </row>
    <row r="4912" spans="1:15" x14ac:dyDescent="0.25">
      <c r="A4912" s="13"/>
      <c r="B4912" s="12">
        <f>MONTH(Movimientos_2026[[#This Row],[Fecha]])</f>
        <v>1</v>
      </c>
      <c r="C4912" s="12" t="str">
        <f>VLOOKUP((WEEKDAY(Movimientos_2026[[#This Row],[Fecha]],2)),'5. Setup'!$D$6:$E$12,2,FALSE)</f>
        <v>Sab</v>
      </c>
      <c r="E4912" t="str">
        <f>IFERROR(+VLOOKUP(Movimientos_2026[[#This Row],[Codigo]],Plan_cuentas[],2,FALSE)," ")</f>
        <v xml:space="preserve"> </v>
      </c>
      <c r="F4912" t="str">
        <f>IFERROR(+VLOOKUP(Movimientos_2026[[#This Row],[Codigo]],Plan_cuentas[],3,FALSE)," ")</f>
        <v xml:space="preserve"> </v>
      </c>
      <c r="G4912" t="str">
        <f>IFERROR(+VLOOKUP(Movimientos_2026[[#This Row],[Codigo]],Plan_cuentas[],4,FALSE)," ")</f>
        <v xml:space="preserve"> </v>
      </c>
      <c r="H4912" t="str">
        <f>IFERROR(+VLOOKUP(Movimientos_2026[[#This Row],[Codigo]],Plan_cuentas[],5,FALSE)," ")</f>
        <v xml:space="preserve"> </v>
      </c>
      <c r="I4912" s="43"/>
      <c r="K4912" t="str">
        <f>IFERROR(+VLOOKUP(Movimientos_2026[[#This Row],[Codigo]],Plan_cuentas[],6,FALSE)," ")</f>
        <v xml:space="preserve"> </v>
      </c>
      <c r="L4912" s="50"/>
      <c r="M4912" s="50"/>
      <c r="N4912" s="20">
        <f>+Movimientos_2026[[#This Row],[Ingresos]]-Movimientos_2026[[#This Row],[Egresos]]</f>
        <v>0</v>
      </c>
      <c r="O4912" s="20">
        <f>+O4911+Movimientos_2026[[#This Row],[Neto]]</f>
        <v>4581558617.7962294</v>
      </c>
    </row>
    <row r="4913" spans="1:15" x14ac:dyDescent="0.25">
      <c r="A4913" s="13"/>
      <c r="B4913" s="12">
        <f>MONTH(Movimientos_2026[[#This Row],[Fecha]])</f>
        <v>1</v>
      </c>
      <c r="C4913" s="12" t="str">
        <f>VLOOKUP((WEEKDAY(Movimientos_2026[[#This Row],[Fecha]],2)),'5. Setup'!$D$6:$E$12,2,FALSE)</f>
        <v>Sab</v>
      </c>
      <c r="E4913" t="str">
        <f>IFERROR(+VLOOKUP(Movimientos_2026[[#This Row],[Codigo]],Plan_cuentas[],2,FALSE)," ")</f>
        <v xml:space="preserve"> </v>
      </c>
      <c r="F4913" t="str">
        <f>IFERROR(+VLOOKUP(Movimientos_2026[[#This Row],[Codigo]],Plan_cuentas[],3,FALSE)," ")</f>
        <v xml:space="preserve"> </v>
      </c>
      <c r="G4913" t="str">
        <f>IFERROR(+VLOOKUP(Movimientos_2026[[#This Row],[Codigo]],Plan_cuentas[],4,FALSE)," ")</f>
        <v xml:space="preserve"> </v>
      </c>
      <c r="H4913" t="str">
        <f>IFERROR(+VLOOKUP(Movimientos_2026[[#This Row],[Codigo]],Plan_cuentas[],5,FALSE)," ")</f>
        <v xml:space="preserve"> </v>
      </c>
      <c r="I4913" s="43"/>
      <c r="K4913" t="str">
        <f>IFERROR(+VLOOKUP(Movimientos_2026[[#This Row],[Codigo]],Plan_cuentas[],6,FALSE)," ")</f>
        <v xml:space="preserve"> </v>
      </c>
      <c r="L4913" s="50"/>
      <c r="M4913" s="50"/>
      <c r="N4913" s="20">
        <f>+Movimientos_2026[[#This Row],[Ingresos]]-Movimientos_2026[[#This Row],[Egresos]]</f>
        <v>0</v>
      </c>
      <c r="O4913" s="20">
        <f>+O4912+Movimientos_2026[[#This Row],[Neto]]</f>
        <v>4581558617.7962294</v>
      </c>
    </row>
    <row r="4914" spans="1:15" x14ac:dyDescent="0.25">
      <c r="A4914" s="13"/>
      <c r="B4914" s="12">
        <f>MONTH(Movimientos_2026[[#This Row],[Fecha]])</f>
        <v>1</v>
      </c>
      <c r="C4914" s="12" t="str">
        <f>VLOOKUP((WEEKDAY(Movimientos_2026[[#This Row],[Fecha]],2)),'5. Setup'!$D$6:$E$12,2,FALSE)</f>
        <v>Sab</v>
      </c>
      <c r="E4914" t="str">
        <f>IFERROR(+VLOOKUP(Movimientos_2026[[#This Row],[Codigo]],Plan_cuentas[],2,FALSE)," ")</f>
        <v xml:space="preserve"> </v>
      </c>
      <c r="F4914" t="str">
        <f>IFERROR(+VLOOKUP(Movimientos_2026[[#This Row],[Codigo]],Plan_cuentas[],3,FALSE)," ")</f>
        <v xml:space="preserve"> </v>
      </c>
      <c r="G4914" t="str">
        <f>IFERROR(+VLOOKUP(Movimientos_2026[[#This Row],[Codigo]],Plan_cuentas[],4,FALSE)," ")</f>
        <v xml:space="preserve"> </v>
      </c>
      <c r="H4914" t="str">
        <f>IFERROR(+VLOOKUP(Movimientos_2026[[#This Row],[Codigo]],Plan_cuentas[],5,FALSE)," ")</f>
        <v xml:space="preserve"> </v>
      </c>
      <c r="I4914" s="43"/>
      <c r="K4914" t="str">
        <f>IFERROR(+VLOOKUP(Movimientos_2026[[#This Row],[Codigo]],Plan_cuentas[],6,FALSE)," ")</f>
        <v xml:space="preserve"> </v>
      </c>
      <c r="L4914" s="50"/>
      <c r="M4914" s="50"/>
      <c r="N4914" s="20">
        <f>+Movimientos_2026[[#This Row],[Ingresos]]-Movimientos_2026[[#This Row],[Egresos]]</f>
        <v>0</v>
      </c>
      <c r="O4914" s="20">
        <f>+O4913+Movimientos_2026[[#This Row],[Neto]]</f>
        <v>4581558617.7962294</v>
      </c>
    </row>
    <row r="4915" spans="1:15" x14ac:dyDescent="0.25">
      <c r="A4915" s="13"/>
      <c r="B4915" s="12">
        <f>MONTH(Movimientos_2026[[#This Row],[Fecha]])</f>
        <v>1</v>
      </c>
      <c r="C4915" s="12" t="str">
        <f>VLOOKUP((WEEKDAY(Movimientos_2026[[#This Row],[Fecha]],2)),'5. Setup'!$D$6:$E$12,2,FALSE)</f>
        <v>Sab</v>
      </c>
      <c r="E4915" t="str">
        <f>IFERROR(+VLOOKUP(Movimientos_2026[[#This Row],[Codigo]],Plan_cuentas[],2,FALSE)," ")</f>
        <v xml:space="preserve"> </v>
      </c>
      <c r="F4915" t="str">
        <f>IFERROR(+VLOOKUP(Movimientos_2026[[#This Row],[Codigo]],Plan_cuentas[],3,FALSE)," ")</f>
        <v xml:space="preserve"> </v>
      </c>
      <c r="G4915" t="str">
        <f>IFERROR(+VLOOKUP(Movimientos_2026[[#This Row],[Codigo]],Plan_cuentas[],4,FALSE)," ")</f>
        <v xml:space="preserve"> </v>
      </c>
      <c r="H4915" t="str">
        <f>IFERROR(+VLOOKUP(Movimientos_2026[[#This Row],[Codigo]],Plan_cuentas[],5,FALSE)," ")</f>
        <v xml:space="preserve"> </v>
      </c>
      <c r="I4915" s="43"/>
      <c r="K4915" t="str">
        <f>IFERROR(+VLOOKUP(Movimientos_2026[[#This Row],[Codigo]],Plan_cuentas[],6,FALSE)," ")</f>
        <v xml:space="preserve"> </v>
      </c>
      <c r="L4915" s="50"/>
      <c r="M4915" s="50"/>
      <c r="N4915" s="20">
        <f>+Movimientos_2026[[#This Row],[Ingresos]]-Movimientos_2026[[#This Row],[Egresos]]</f>
        <v>0</v>
      </c>
      <c r="O4915" s="20">
        <f>+O4914+Movimientos_2026[[#This Row],[Neto]]</f>
        <v>4581558617.7962294</v>
      </c>
    </row>
    <row r="4916" spans="1:15" x14ac:dyDescent="0.25">
      <c r="A4916" s="13"/>
      <c r="B4916" s="12">
        <f>MONTH(Movimientos_2026[[#This Row],[Fecha]])</f>
        <v>1</v>
      </c>
      <c r="C4916" s="12" t="str">
        <f>VLOOKUP((WEEKDAY(Movimientos_2026[[#This Row],[Fecha]],2)),'5. Setup'!$D$6:$E$12,2,FALSE)</f>
        <v>Sab</v>
      </c>
      <c r="E4916" t="str">
        <f>IFERROR(+VLOOKUP(Movimientos_2026[[#This Row],[Codigo]],Plan_cuentas[],2,FALSE)," ")</f>
        <v xml:space="preserve"> </v>
      </c>
      <c r="F4916" t="str">
        <f>IFERROR(+VLOOKUP(Movimientos_2026[[#This Row],[Codigo]],Plan_cuentas[],3,FALSE)," ")</f>
        <v xml:space="preserve"> </v>
      </c>
      <c r="G4916" t="str">
        <f>IFERROR(+VLOOKUP(Movimientos_2026[[#This Row],[Codigo]],Plan_cuentas[],4,FALSE)," ")</f>
        <v xml:space="preserve"> </v>
      </c>
      <c r="H4916" t="str">
        <f>IFERROR(+VLOOKUP(Movimientos_2026[[#This Row],[Codigo]],Plan_cuentas[],5,FALSE)," ")</f>
        <v xml:space="preserve"> </v>
      </c>
      <c r="I4916" s="43"/>
      <c r="K4916" t="str">
        <f>IFERROR(+VLOOKUP(Movimientos_2026[[#This Row],[Codigo]],Plan_cuentas[],6,FALSE)," ")</f>
        <v xml:space="preserve"> </v>
      </c>
      <c r="L4916" s="50"/>
      <c r="M4916" s="50"/>
      <c r="N4916" s="20">
        <f>+Movimientos_2026[[#This Row],[Ingresos]]-Movimientos_2026[[#This Row],[Egresos]]</f>
        <v>0</v>
      </c>
      <c r="O4916" s="20">
        <f>+O4915+Movimientos_2026[[#This Row],[Neto]]</f>
        <v>4581558617.7962294</v>
      </c>
    </row>
    <row r="4917" spans="1:15" x14ac:dyDescent="0.25">
      <c r="A4917" s="13"/>
      <c r="B4917" s="12">
        <f>MONTH(Movimientos_2026[[#This Row],[Fecha]])</f>
        <v>1</v>
      </c>
      <c r="C4917" s="12" t="str">
        <f>VLOOKUP((WEEKDAY(Movimientos_2026[[#This Row],[Fecha]],2)),'5. Setup'!$D$6:$E$12,2,FALSE)</f>
        <v>Sab</v>
      </c>
      <c r="E4917" t="str">
        <f>IFERROR(+VLOOKUP(Movimientos_2026[[#This Row],[Codigo]],Plan_cuentas[],2,FALSE)," ")</f>
        <v xml:space="preserve"> </v>
      </c>
      <c r="F4917" t="str">
        <f>IFERROR(+VLOOKUP(Movimientos_2026[[#This Row],[Codigo]],Plan_cuentas[],3,FALSE)," ")</f>
        <v xml:space="preserve"> </v>
      </c>
      <c r="G4917" t="str">
        <f>IFERROR(+VLOOKUP(Movimientos_2026[[#This Row],[Codigo]],Plan_cuentas[],4,FALSE)," ")</f>
        <v xml:space="preserve"> </v>
      </c>
      <c r="H4917" t="str">
        <f>IFERROR(+VLOOKUP(Movimientos_2026[[#This Row],[Codigo]],Plan_cuentas[],5,FALSE)," ")</f>
        <v xml:space="preserve"> </v>
      </c>
      <c r="I4917" s="43"/>
      <c r="K4917" t="str">
        <f>IFERROR(+VLOOKUP(Movimientos_2026[[#This Row],[Codigo]],Plan_cuentas[],6,FALSE)," ")</f>
        <v xml:space="preserve"> </v>
      </c>
      <c r="L4917" s="50"/>
      <c r="M4917" s="50"/>
      <c r="N4917" s="20">
        <f>+Movimientos_2026[[#This Row],[Ingresos]]-Movimientos_2026[[#This Row],[Egresos]]</f>
        <v>0</v>
      </c>
      <c r="O4917" s="20">
        <f>+O4916+Movimientos_2026[[#This Row],[Neto]]</f>
        <v>4581558617.7962294</v>
      </c>
    </row>
    <row r="4918" spans="1:15" x14ac:dyDescent="0.25">
      <c r="A4918" s="13"/>
      <c r="B4918" s="12">
        <f>MONTH(Movimientos_2026[[#This Row],[Fecha]])</f>
        <v>1</v>
      </c>
      <c r="C4918" s="12" t="str">
        <f>VLOOKUP((WEEKDAY(Movimientos_2026[[#This Row],[Fecha]],2)),'5. Setup'!$D$6:$E$12,2,FALSE)</f>
        <v>Sab</v>
      </c>
      <c r="E4918" t="str">
        <f>IFERROR(+VLOOKUP(Movimientos_2026[[#This Row],[Codigo]],Plan_cuentas[],2,FALSE)," ")</f>
        <v xml:space="preserve"> </v>
      </c>
      <c r="F4918" t="str">
        <f>IFERROR(+VLOOKUP(Movimientos_2026[[#This Row],[Codigo]],Plan_cuentas[],3,FALSE)," ")</f>
        <v xml:space="preserve"> </v>
      </c>
      <c r="G4918" t="str">
        <f>IFERROR(+VLOOKUP(Movimientos_2026[[#This Row],[Codigo]],Plan_cuentas[],4,FALSE)," ")</f>
        <v xml:space="preserve"> </v>
      </c>
      <c r="H4918" t="str">
        <f>IFERROR(+VLOOKUP(Movimientos_2026[[#This Row],[Codigo]],Plan_cuentas[],5,FALSE)," ")</f>
        <v xml:space="preserve"> </v>
      </c>
      <c r="I4918" s="43"/>
      <c r="K4918" t="str">
        <f>IFERROR(+VLOOKUP(Movimientos_2026[[#This Row],[Codigo]],Plan_cuentas[],6,FALSE)," ")</f>
        <v xml:space="preserve"> </v>
      </c>
      <c r="L4918" s="50"/>
      <c r="M4918" s="50"/>
      <c r="N4918" s="20">
        <f>+Movimientos_2026[[#This Row],[Ingresos]]-Movimientos_2026[[#This Row],[Egresos]]</f>
        <v>0</v>
      </c>
      <c r="O4918" s="20">
        <f>+O4917+Movimientos_2026[[#This Row],[Neto]]</f>
        <v>4581558617.7962294</v>
      </c>
    </row>
    <row r="4919" spans="1:15" x14ac:dyDescent="0.25">
      <c r="A4919" s="13"/>
      <c r="B4919" s="12">
        <f>MONTH(Movimientos_2026[[#This Row],[Fecha]])</f>
        <v>1</v>
      </c>
      <c r="C4919" s="12" t="str">
        <f>VLOOKUP((WEEKDAY(Movimientos_2026[[#This Row],[Fecha]],2)),'5. Setup'!$D$6:$E$12,2,FALSE)</f>
        <v>Sab</v>
      </c>
      <c r="E4919" t="str">
        <f>IFERROR(+VLOOKUP(Movimientos_2026[[#This Row],[Codigo]],Plan_cuentas[],2,FALSE)," ")</f>
        <v xml:space="preserve"> </v>
      </c>
      <c r="F4919" t="str">
        <f>IFERROR(+VLOOKUP(Movimientos_2026[[#This Row],[Codigo]],Plan_cuentas[],3,FALSE)," ")</f>
        <v xml:space="preserve"> </v>
      </c>
      <c r="G4919" t="str">
        <f>IFERROR(+VLOOKUP(Movimientos_2026[[#This Row],[Codigo]],Plan_cuentas[],4,FALSE)," ")</f>
        <v xml:space="preserve"> </v>
      </c>
      <c r="H4919" t="str">
        <f>IFERROR(+VLOOKUP(Movimientos_2026[[#This Row],[Codigo]],Plan_cuentas[],5,FALSE)," ")</f>
        <v xml:space="preserve"> </v>
      </c>
      <c r="I4919" s="43"/>
      <c r="K4919" t="str">
        <f>IFERROR(+VLOOKUP(Movimientos_2026[[#This Row],[Codigo]],Plan_cuentas[],6,FALSE)," ")</f>
        <v xml:space="preserve"> </v>
      </c>
      <c r="L4919" s="50"/>
      <c r="M4919" s="50"/>
      <c r="N4919" s="20">
        <f>+Movimientos_2026[[#This Row],[Ingresos]]-Movimientos_2026[[#This Row],[Egresos]]</f>
        <v>0</v>
      </c>
      <c r="O4919" s="20">
        <f>+O4918+Movimientos_2026[[#This Row],[Neto]]</f>
        <v>4581558617.7962294</v>
      </c>
    </row>
    <row r="4920" spans="1:15" x14ac:dyDescent="0.25">
      <c r="A4920" s="13"/>
      <c r="B4920" s="12">
        <f>MONTH(Movimientos_2026[[#This Row],[Fecha]])</f>
        <v>1</v>
      </c>
      <c r="C4920" s="12" t="str">
        <f>VLOOKUP((WEEKDAY(Movimientos_2026[[#This Row],[Fecha]],2)),'5. Setup'!$D$6:$E$12,2,FALSE)</f>
        <v>Sab</v>
      </c>
      <c r="E4920" t="str">
        <f>IFERROR(+VLOOKUP(Movimientos_2026[[#This Row],[Codigo]],Plan_cuentas[],2,FALSE)," ")</f>
        <v xml:space="preserve"> </v>
      </c>
      <c r="F4920" t="str">
        <f>IFERROR(+VLOOKUP(Movimientos_2026[[#This Row],[Codigo]],Plan_cuentas[],3,FALSE)," ")</f>
        <v xml:space="preserve"> </v>
      </c>
      <c r="G4920" t="str">
        <f>IFERROR(+VLOOKUP(Movimientos_2026[[#This Row],[Codigo]],Plan_cuentas[],4,FALSE)," ")</f>
        <v xml:space="preserve"> </v>
      </c>
      <c r="H4920" t="str">
        <f>IFERROR(+VLOOKUP(Movimientos_2026[[#This Row],[Codigo]],Plan_cuentas[],5,FALSE)," ")</f>
        <v xml:space="preserve"> </v>
      </c>
      <c r="I4920" s="43"/>
      <c r="K4920" t="str">
        <f>IFERROR(+VLOOKUP(Movimientos_2026[[#This Row],[Codigo]],Plan_cuentas[],6,FALSE)," ")</f>
        <v xml:space="preserve"> </v>
      </c>
      <c r="L4920" s="50"/>
      <c r="M4920" s="50"/>
      <c r="N4920" s="20">
        <f>+Movimientos_2026[[#This Row],[Ingresos]]-Movimientos_2026[[#This Row],[Egresos]]</f>
        <v>0</v>
      </c>
      <c r="O4920" s="20">
        <f>+O4919+Movimientos_2026[[#This Row],[Neto]]</f>
        <v>4581558617.7962294</v>
      </c>
    </row>
    <row r="4921" spans="1:15" x14ac:dyDescent="0.25">
      <c r="A4921" s="13"/>
      <c r="B4921" s="12">
        <f>MONTH(Movimientos_2026[[#This Row],[Fecha]])</f>
        <v>1</v>
      </c>
      <c r="C4921" s="12" t="str">
        <f>VLOOKUP((WEEKDAY(Movimientos_2026[[#This Row],[Fecha]],2)),'5. Setup'!$D$6:$E$12,2,FALSE)</f>
        <v>Sab</v>
      </c>
      <c r="E4921" t="str">
        <f>IFERROR(+VLOOKUP(Movimientos_2026[[#This Row],[Codigo]],Plan_cuentas[],2,FALSE)," ")</f>
        <v xml:space="preserve"> </v>
      </c>
      <c r="F4921" t="str">
        <f>IFERROR(+VLOOKUP(Movimientos_2026[[#This Row],[Codigo]],Plan_cuentas[],3,FALSE)," ")</f>
        <v xml:space="preserve"> </v>
      </c>
      <c r="G4921" t="str">
        <f>IFERROR(+VLOOKUP(Movimientos_2026[[#This Row],[Codigo]],Plan_cuentas[],4,FALSE)," ")</f>
        <v xml:space="preserve"> </v>
      </c>
      <c r="H4921" t="str">
        <f>IFERROR(+VLOOKUP(Movimientos_2026[[#This Row],[Codigo]],Plan_cuentas[],5,FALSE)," ")</f>
        <v xml:space="preserve"> </v>
      </c>
      <c r="I4921" s="43"/>
      <c r="K4921" t="str">
        <f>IFERROR(+VLOOKUP(Movimientos_2026[[#This Row],[Codigo]],Plan_cuentas[],6,FALSE)," ")</f>
        <v xml:space="preserve"> </v>
      </c>
      <c r="L4921" s="50"/>
      <c r="M4921" s="50"/>
      <c r="N4921" s="20">
        <f>+Movimientos_2026[[#This Row],[Ingresos]]-Movimientos_2026[[#This Row],[Egresos]]</f>
        <v>0</v>
      </c>
      <c r="O4921" s="20">
        <f>+O4920+Movimientos_2026[[#This Row],[Neto]]</f>
        <v>4581558617.7962294</v>
      </c>
    </row>
    <row r="4922" spans="1:15" x14ac:dyDescent="0.25">
      <c r="A4922" s="13"/>
      <c r="B4922" s="12">
        <f>MONTH(Movimientos_2026[[#This Row],[Fecha]])</f>
        <v>1</v>
      </c>
      <c r="C4922" s="12" t="str">
        <f>VLOOKUP((WEEKDAY(Movimientos_2026[[#This Row],[Fecha]],2)),'5. Setup'!$D$6:$E$12,2,FALSE)</f>
        <v>Sab</v>
      </c>
      <c r="E4922" t="str">
        <f>IFERROR(+VLOOKUP(Movimientos_2026[[#This Row],[Codigo]],Plan_cuentas[],2,FALSE)," ")</f>
        <v xml:space="preserve"> </v>
      </c>
      <c r="F4922" t="str">
        <f>IFERROR(+VLOOKUP(Movimientos_2026[[#This Row],[Codigo]],Plan_cuentas[],3,FALSE)," ")</f>
        <v xml:space="preserve"> </v>
      </c>
      <c r="G4922" t="str">
        <f>IFERROR(+VLOOKUP(Movimientos_2026[[#This Row],[Codigo]],Plan_cuentas[],4,FALSE)," ")</f>
        <v xml:space="preserve"> </v>
      </c>
      <c r="H4922" t="str">
        <f>IFERROR(+VLOOKUP(Movimientos_2026[[#This Row],[Codigo]],Plan_cuentas[],5,FALSE)," ")</f>
        <v xml:space="preserve"> </v>
      </c>
      <c r="I4922" s="43"/>
      <c r="K4922" t="str">
        <f>IFERROR(+VLOOKUP(Movimientos_2026[[#This Row],[Codigo]],Plan_cuentas[],6,FALSE)," ")</f>
        <v xml:space="preserve"> </v>
      </c>
      <c r="L4922" s="50"/>
      <c r="M4922" s="50"/>
      <c r="N4922" s="20">
        <f>+Movimientos_2026[[#This Row],[Ingresos]]-Movimientos_2026[[#This Row],[Egresos]]</f>
        <v>0</v>
      </c>
      <c r="O4922" s="20">
        <f>+O4921+Movimientos_2026[[#This Row],[Neto]]</f>
        <v>4581558617.7962294</v>
      </c>
    </row>
    <row r="4923" spans="1:15" x14ac:dyDescent="0.25">
      <c r="A4923" s="13"/>
      <c r="B4923" s="12">
        <f>MONTH(Movimientos_2026[[#This Row],[Fecha]])</f>
        <v>1</v>
      </c>
      <c r="C4923" s="12" t="str">
        <f>VLOOKUP((WEEKDAY(Movimientos_2026[[#This Row],[Fecha]],2)),'5. Setup'!$D$6:$E$12,2,FALSE)</f>
        <v>Sab</v>
      </c>
      <c r="E4923" t="str">
        <f>IFERROR(+VLOOKUP(Movimientos_2026[[#This Row],[Codigo]],Plan_cuentas[],2,FALSE)," ")</f>
        <v xml:space="preserve"> </v>
      </c>
      <c r="F4923" t="str">
        <f>IFERROR(+VLOOKUP(Movimientos_2026[[#This Row],[Codigo]],Plan_cuentas[],3,FALSE)," ")</f>
        <v xml:space="preserve"> </v>
      </c>
      <c r="G4923" t="str">
        <f>IFERROR(+VLOOKUP(Movimientos_2026[[#This Row],[Codigo]],Plan_cuentas[],4,FALSE)," ")</f>
        <v xml:space="preserve"> </v>
      </c>
      <c r="H4923" t="str">
        <f>IFERROR(+VLOOKUP(Movimientos_2026[[#This Row],[Codigo]],Plan_cuentas[],5,FALSE)," ")</f>
        <v xml:space="preserve"> </v>
      </c>
      <c r="I4923" s="43"/>
      <c r="K4923" t="str">
        <f>IFERROR(+VLOOKUP(Movimientos_2026[[#This Row],[Codigo]],Plan_cuentas[],6,FALSE)," ")</f>
        <v xml:space="preserve"> </v>
      </c>
      <c r="L4923" s="50"/>
      <c r="M4923" s="50"/>
      <c r="N4923" s="20">
        <f>+Movimientos_2026[[#This Row],[Ingresos]]-Movimientos_2026[[#This Row],[Egresos]]</f>
        <v>0</v>
      </c>
      <c r="O4923" s="20">
        <f>+O4922+Movimientos_2026[[#This Row],[Neto]]</f>
        <v>4581558617.7962294</v>
      </c>
    </row>
    <row r="4924" spans="1:15" x14ac:dyDescent="0.25">
      <c r="A4924" s="13"/>
      <c r="B4924" s="12">
        <f>MONTH(Movimientos_2026[[#This Row],[Fecha]])</f>
        <v>1</v>
      </c>
      <c r="C4924" s="12" t="str">
        <f>VLOOKUP((WEEKDAY(Movimientos_2026[[#This Row],[Fecha]],2)),'5. Setup'!$D$6:$E$12,2,FALSE)</f>
        <v>Sab</v>
      </c>
      <c r="E4924" t="str">
        <f>IFERROR(+VLOOKUP(Movimientos_2026[[#This Row],[Codigo]],Plan_cuentas[],2,FALSE)," ")</f>
        <v xml:space="preserve"> </v>
      </c>
      <c r="F4924" t="str">
        <f>IFERROR(+VLOOKUP(Movimientos_2026[[#This Row],[Codigo]],Plan_cuentas[],3,FALSE)," ")</f>
        <v xml:space="preserve"> </v>
      </c>
      <c r="G4924" t="str">
        <f>IFERROR(+VLOOKUP(Movimientos_2026[[#This Row],[Codigo]],Plan_cuentas[],4,FALSE)," ")</f>
        <v xml:space="preserve"> </v>
      </c>
      <c r="H4924" t="str">
        <f>IFERROR(+VLOOKUP(Movimientos_2026[[#This Row],[Codigo]],Plan_cuentas[],5,FALSE)," ")</f>
        <v xml:space="preserve"> </v>
      </c>
      <c r="I4924" s="43"/>
      <c r="K4924" t="str">
        <f>IFERROR(+VLOOKUP(Movimientos_2026[[#This Row],[Codigo]],Plan_cuentas[],6,FALSE)," ")</f>
        <v xml:space="preserve"> </v>
      </c>
      <c r="L4924" s="50"/>
      <c r="M4924" s="50"/>
      <c r="N4924" s="20">
        <f>+Movimientos_2026[[#This Row],[Ingresos]]-Movimientos_2026[[#This Row],[Egresos]]</f>
        <v>0</v>
      </c>
      <c r="O4924" s="20">
        <f>+O4923+Movimientos_2026[[#This Row],[Neto]]</f>
        <v>4581558617.7962294</v>
      </c>
    </row>
    <row r="4925" spans="1:15" x14ac:dyDescent="0.25">
      <c r="A4925" s="13"/>
      <c r="B4925" s="12">
        <f>MONTH(Movimientos_2026[[#This Row],[Fecha]])</f>
        <v>1</v>
      </c>
      <c r="C4925" s="12" t="str">
        <f>VLOOKUP((WEEKDAY(Movimientos_2026[[#This Row],[Fecha]],2)),'5. Setup'!$D$6:$E$12,2,FALSE)</f>
        <v>Sab</v>
      </c>
      <c r="E4925" t="str">
        <f>IFERROR(+VLOOKUP(Movimientos_2026[[#This Row],[Codigo]],Plan_cuentas[],2,FALSE)," ")</f>
        <v xml:space="preserve"> </v>
      </c>
      <c r="F4925" t="str">
        <f>IFERROR(+VLOOKUP(Movimientos_2026[[#This Row],[Codigo]],Plan_cuentas[],3,FALSE)," ")</f>
        <v xml:space="preserve"> </v>
      </c>
      <c r="G4925" t="str">
        <f>IFERROR(+VLOOKUP(Movimientos_2026[[#This Row],[Codigo]],Plan_cuentas[],4,FALSE)," ")</f>
        <v xml:space="preserve"> </v>
      </c>
      <c r="H4925" t="str">
        <f>IFERROR(+VLOOKUP(Movimientos_2026[[#This Row],[Codigo]],Plan_cuentas[],5,FALSE)," ")</f>
        <v xml:space="preserve"> </v>
      </c>
      <c r="I4925" s="43"/>
      <c r="K4925" t="str">
        <f>IFERROR(+VLOOKUP(Movimientos_2026[[#This Row],[Codigo]],Plan_cuentas[],6,FALSE)," ")</f>
        <v xml:space="preserve"> </v>
      </c>
      <c r="L4925" s="50"/>
      <c r="M4925" s="50"/>
      <c r="N4925" s="20">
        <f>+Movimientos_2026[[#This Row],[Ingresos]]-Movimientos_2026[[#This Row],[Egresos]]</f>
        <v>0</v>
      </c>
      <c r="O4925" s="20">
        <f>+O4924+Movimientos_2026[[#This Row],[Neto]]</f>
        <v>4581558617.7962294</v>
      </c>
    </row>
    <row r="4926" spans="1:15" x14ac:dyDescent="0.25">
      <c r="A4926" s="13"/>
      <c r="B4926" s="12">
        <f>MONTH(Movimientos_2026[[#This Row],[Fecha]])</f>
        <v>1</v>
      </c>
      <c r="C4926" s="12" t="str">
        <f>VLOOKUP((WEEKDAY(Movimientos_2026[[#This Row],[Fecha]],2)),'5. Setup'!$D$6:$E$12,2,FALSE)</f>
        <v>Sab</v>
      </c>
      <c r="E4926" t="str">
        <f>IFERROR(+VLOOKUP(Movimientos_2026[[#This Row],[Codigo]],Plan_cuentas[],2,FALSE)," ")</f>
        <v xml:space="preserve"> </v>
      </c>
      <c r="F4926" t="str">
        <f>IFERROR(+VLOOKUP(Movimientos_2026[[#This Row],[Codigo]],Plan_cuentas[],3,FALSE)," ")</f>
        <v xml:space="preserve"> </v>
      </c>
      <c r="G4926" t="str">
        <f>IFERROR(+VLOOKUP(Movimientos_2026[[#This Row],[Codigo]],Plan_cuentas[],4,FALSE)," ")</f>
        <v xml:space="preserve"> </v>
      </c>
      <c r="H4926" t="str">
        <f>IFERROR(+VLOOKUP(Movimientos_2026[[#This Row],[Codigo]],Plan_cuentas[],5,FALSE)," ")</f>
        <v xml:space="preserve"> </v>
      </c>
      <c r="I4926" s="43"/>
      <c r="K4926" t="str">
        <f>IFERROR(+VLOOKUP(Movimientos_2026[[#This Row],[Codigo]],Plan_cuentas[],6,FALSE)," ")</f>
        <v xml:space="preserve"> </v>
      </c>
      <c r="L4926" s="50"/>
      <c r="M4926" s="50"/>
      <c r="N4926" s="20">
        <f>+Movimientos_2026[[#This Row],[Ingresos]]-Movimientos_2026[[#This Row],[Egresos]]</f>
        <v>0</v>
      </c>
      <c r="O4926" s="20">
        <f>+O4925+Movimientos_2026[[#This Row],[Neto]]</f>
        <v>4581558617.7962294</v>
      </c>
    </row>
    <row r="4927" spans="1:15" x14ac:dyDescent="0.25">
      <c r="A4927" s="13"/>
      <c r="B4927" s="12">
        <f>MONTH(Movimientos_2026[[#This Row],[Fecha]])</f>
        <v>1</v>
      </c>
      <c r="C4927" s="12" t="str">
        <f>VLOOKUP((WEEKDAY(Movimientos_2026[[#This Row],[Fecha]],2)),'5. Setup'!$D$6:$E$12,2,FALSE)</f>
        <v>Sab</v>
      </c>
      <c r="E4927" t="str">
        <f>IFERROR(+VLOOKUP(Movimientos_2026[[#This Row],[Codigo]],Plan_cuentas[],2,FALSE)," ")</f>
        <v xml:space="preserve"> </v>
      </c>
      <c r="F4927" t="str">
        <f>IFERROR(+VLOOKUP(Movimientos_2026[[#This Row],[Codigo]],Plan_cuentas[],3,FALSE)," ")</f>
        <v xml:space="preserve"> </v>
      </c>
      <c r="G4927" t="str">
        <f>IFERROR(+VLOOKUP(Movimientos_2026[[#This Row],[Codigo]],Plan_cuentas[],4,FALSE)," ")</f>
        <v xml:space="preserve"> </v>
      </c>
      <c r="H4927" t="str">
        <f>IFERROR(+VLOOKUP(Movimientos_2026[[#This Row],[Codigo]],Plan_cuentas[],5,FALSE)," ")</f>
        <v xml:space="preserve"> </v>
      </c>
      <c r="I4927" s="43"/>
      <c r="K4927" t="str">
        <f>IFERROR(+VLOOKUP(Movimientos_2026[[#This Row],[Codigo]],Plan_cuentas[],6,FALSE)," ")</f>
        <v xml:space="preserve"> </v>
      </c>
      <c r="L4927" s="50"/>
      <c r="M4927" s="50"/>
      <c r="N4927" s="20">
        <f>+Movimientos_2026[[#This Row],[Ingresos]]-Movimientos_2026[[#This Row],[Egresos]]</f>
        <v>0</v>
      </c>
      <c r="O4927" s="20">
        <f>+O4926+Movimientos_2026[[#This Row],[Neto]]</f>
        <v>4581558617.7962294</v>
      </c>
    </row>
    <row r="4928" spans="1:15" x14ac:dyDescent="0.25">
      <c r="A4928" s="13"/>
      <c r="B4928" s="12">
        <f>MONTH(Movimientos_2026[[#This Row],[Fecha]])</f>
        <v>1</v>
      </c>
      <c r="C4928" s="12" t="str">
        <f>VLOOKUP((WEEKDAY(Movimientos_2026[[#This Row],[Fecha]],2)),'5. Setup'!$D$6:$E$12,2,FALSE)</f>
        <v>Sab</v>
      </c>
      <c r="E4928" t="str">
        <f>IFERROR(+VLOOKUP(Movimientos_2026[[#This Row],[Codigo]],Plan_cuentas[],2,FALSE)," ")</f>
        <v xml:space="preserve"> </v>
      </c>
      <c r="F4928" t="str">
        <f>IFERROR(+VLOOKUP(Movimientos_2026[[#This Row],[Codigo]],Plan_cuentas[],3,FALSE)," ")</f>
        <v xml:space="preserve"> </v>
      </c>
      <c r="G4928" t="str">
        <f>IFERROR(+VLOOKUP(Movimientos_2026[[#This Row],[Codigo]],Plan_cuentas[],4,FALSE)," ")</f>
        <v xml:space="preserve"> </v>
      </c>
      <c r="H4928" t="str">
        <f>IFERROR(+VLOOKUP(Movimientos_2026[[#This Row],[Codigo]],Plan_cuentas[],5,FALSE)," ")</f>
        <v xml:space="preserve"> </v>
      </c>
      <c r="I4928" s="43"/>
      <c r="K4928" t="str">
        <f>IFERROR(+VLOOKUP(Movimientos_2026[[#This Row],[Codigo]],Plan_cuentas[],6,FALSE)," ")</f>
        <v xml:space="preserve"> </v>
      </c>
      <c r="L4928" s="50"/>
      <c r="M4928" s="50"/>
      <c r="N4928" s="20">
        <f>+Movimientos_2026[[#This Row],[Ingresos]]-Movimientos_2026[[#This Row],[Egresos]]</f>
        <v>0</v>
      </c>
      <c r="O4928" s="20">
        <f>+O4927+Movimientos_2026[[#This Row],[Neto]]</f>
        <v>4581558617.7962294</v>
      </c>
    </row>
    <row r="4929" spans="1:15" x14ac:dyDescent="0.25">
      <c r="A4929" s="13"/>
      <c r="B4929" s="12">
        <f>MONTH(Movimientos_2026[[#This Row],[Fecha]])</f>
        <v>1</v>
      </c>
      <c r="C4929" s="12" t="str">
        <f>VLOOKUP((WEEKDAY(Movimientos_2026[[#This Row],[Fecha]],2)),'5. Setup'!$D$6:$E$12,2,FALSE)</f>
        <v>Sab</v>
      </c>
      <c r="E4929" t="str">
        <f>IFERROR(+VLOOKUP(Movimientos_2026[[#This Row],[Codigo]],Plan_cuentas[],2,FALSE)," ")</f>
        <v xml:space="preserve"> </v>
      </c>
      <c r="F4929" t="str">
        <f>IFERROR(+VLOOKUP(Movimientos_2026[[#This Row],[Codigo]],Plan_cuentas[],3,FALSE)," ")</f>
        <v xml:space="preserve"> </v>
      </c>
      <c r="G4929" t="str">
        <f>IFERROR(+VLOOKUP(Movimientos_2026[[#This Row],[Codigo]],Plan_cuentas[],4,FALSE)," ")</f>
        <v xml:space="preserve"> </v>
      </c>
      <c r="H4929" t="str">
        <f>IFERROR(+VLOOKUP(Movimientos_2026[[#This Row],[Codigo]],Plan_cuentas[],5,FALSE)," ")</f>
        <v xml:space="preserve"> </v>
      </c>
      <c r="I4929" s="43"/>
      <c r="K4929" t="str">
        <f>IFERROR(+VLOOKUP(Movimientos_2026[[#This Row],[Codigo]],Plan_cuentas[],6,FALSE)," ")</f>
        <v xml:space="preserve"> </v>
      </c>
      <c r="L4929" s="50"/>
      <c r="M4929" s="50"/>
      <c r="N4929" s="20">
        <f>+Movimientos_2026[[#This Row],[Ingresos]]-Movimientos_2026[[#This Row],[Egresos]]</f>
        <v>0</v>
      </c>
      <c r="O4929" s="20">
        <f>+O4928+Movimientos_2026[[#This Row],[Neto]]</f>
        <v>4581558617.7962294</v>
      </c>
    </row>
    <row r="4930" spans="1:15" x14ac:dyDescent="0.25">
      <c r="A4930" s="13"/>
      <c r="B4930" s="12">
        <f>MONTH(Movimientos_2026[[#This Row],[Fecha]])</f>
        <v>1</v>
      </c>
      <c r="C4930" s="12" t="str">
        <f>VLOOKUP((WEEKDAY(Movimientos_2026[[#This Row],[Fecha]],2)),'5. Setup'!$D$6:$E$12,2,FALSE)</f>
        <v>Sab</v>
      </c>
      <c r="E4930" t="str">
        <f>IFERROR(+VLOOKUP(Movimientos_2026[[#This Row],[Codigo]],Plan_cuentas[],2,FALSE)," ")</f>
        <v xml:space="preserve"> </v>
      </c>
      <c r="F4930" t="str">
        <f>IFERROR(+VLOOKUP(Movimientos_2026[[#This Row],[Codigo]],Plan_cuentas[],3,FALSE)," ")</f>
        <v xml:space="preserve"> </v>
      </c>
      <c r="G4930" t="str">
        <f>IFERROR(+VLOOKUP(Movimientos_2026[[#This Row],[Codigo]],Plan_cuentas[],4,FALSE)," ")</f>
        <v xml:space="preserve"> </v>
      </c>
      <c r="H4930" t="str">
        <f>IFERROR(+VLOOKUP(Movimientos_2026[[#This Row],[Codigo]],Plan_cuentas[],5,FALSE)," ")</f>
        <v xml:space="preserve"> </v>
      </c>
      <c r="I4930" s="43"/>
      <c r="K4930" t="str">
        <f>IFERROR(+VLOOKUP(Movimientos_2026[[#This Row],[Codigo]],Plan_cuentas[],6,FALSE)," ")</f>
        <v xml:space="preserve"> </v>
      </c>
      <c r="L4930" s="50"/>
      <c r="M4930" s="50"/>
      <c r="N4930" s="20">
        <f>+Movimientos_2026[[#This Row],[Ingresos]]-Movimientos_2026[[#This Row],[Egresos]]</f>
        <v>0</v>
      </c>
      <c r="O4930" s="20">
        <f>+O4929+Movimientos_2026[[#This Row],[Neto]]</f>
        <v>4581558617.7962294</v>
      </c>
    </row>
    <row r="4931" spans="1:15" x14ac:dyDescent="0.25">
      <c r="A4931" s="13"/>
      <c r="B4931" s="12">
        <f>MONTH(Movimientos_2026[[#This Row],[Fecha]])</f>
        <v>1</v>
      </c>
      <c r="C4931" s="12" t="str">
        <f>VLOOKUP((WEEKDAY(Movimientos_2026[[#This Row],[Fecha]],2)),'5. Setup'!$D$6:$E$12,2,FALSE)</f>
        <v>Sab</v>
      </c>
      <c r="E4931" t="str">
        <f>IFERROR(+VLOOKUP(Movimientos_2026[[#This Row],[Codigo]],Plan_cuentas[],2,FALSE)," ")</f>
        <v xml:space="preserve"> </v>
      </c>
      <c r="F4931" t="str">
        <f>IFERROR(+VLOOKUP(Movimientos_2026[[#This Row],[Codigo]],Plan_cuentas[],3,FALSE)," ")</f>
        <v xml:space="preserve"> </v>
      </c>
      <c r="G4931" t="str">
        <f>IFERROR(+VLOOKUP(Movimientos_2026[[#This Row],[Codigo]],Plan_cuentas[],4,FALSE)," ")</f>
        <v xml:space="preserve"> </v>
      </c>
      <c r="H4931" t="str">
        <f>IFERROR(+VLOOKUP(Movimientos_2026[[#This Row],[Codigo]],Plan_cuentas[],5,FALSE)," ")</f>
        <v xml:space="preserve"> </v>
      </c>
      <c r="I4931" s="43"/>
      <c r="K4931" t="str">
        <f>IFERROR(+VLOOKUP(Movimientos_2026[[#This Row],[Codigo]],Plan_cuentas[],6,FALSE)," ")</f>
        <v xml:space="preserve"> </v>
      </c>
      <c r="L4931" s="50"/>
      <c r="M4931" s="50"/>
      <c r="N4931" s="20">
        <f>+Movimientos_2026[[#This Row],[Ingresos]]-Movimientos_2026[[#This Row],[Egresos]]</f>
        <v>0</v>
      </c>
      <c r="O4931" s="20">
        <f>+O4930+Movimientos_2026[[#This Row],[Neto]]</f>
        <v>4581558617.7962294</v>
      </c>
    </row>
    <row r="4932" spans="1:15" x14ac:dyDescent="0.25">
      <c r="A4932" s="13"/>
      <c r="B4932" s="12">
        <f>MONTH(Movimientos_2026[[#This Row],[Fecha]])</f>
        <v>1</v>
      </c>
      <c r="C4932" s="12" t="str">
        <f>VLOOKUP((WEEKDAY(Movimientos_2026[[#This Row],[Fecha]],2)),'5. Setup'!$D$6:$E$12,2,FALSE)</f>
        <v>Sab</v>
      </c>
      <c r="E4932" t="str">
        <f>IFERROR(+VLOOKUP(Movimientos_2026[[#This Row],[Codigo]],Plan_cuentas[],2,FALSE)," ")</f>
        <v xml:space="preserve"> </v>
      </c>
      <c r="F4932" t="str">
        <f>IFERROR(+VLOOKUP(Movimientos_2026[[#This Row],[Codigo]],Plan_cuentas[],3,FALSE)," ")</f>
        <v xml:space="preserve"> </v>
      </c>
      <c r="G4932" t="str">
        <f>IFERROR(+VLOOKUP(Movimientos_2026[[#This Row],[Codigo]],Plan_cuentas[],4,FALSE)," ")</f>
        <v xml:space="preserve"> </v>
      </c>
      <c r="H4932" t="str">
        <f>IFERROR(+VLOOKUP(Movimientos_2026[[#This Row],[Codigo]],Plan_cuentas[],5,FALSE)," ")</f>
        <v xml:space="preserve"> </v>
      </c>
      <c r="I4932" s="43"/>
      <c r="K4932" t="str">
        <f>IFERROR(+VLOOKUP(Movimientos_2026[[#This Row],[Codigo]],Plan_cuentas[],6,FALSE)," ")</f>
        <v xml:space="preserve"> </v>
      </c>
      <c r="L4932" s="50"/>
      <c r="M4932" s="50"/>
      <c r="N4932" s="20">
        <f>+Movimientos_2026[[#This Row],[Ingresos]]-Movimientos_2026[[#This Row],[Egresos]]</f>
        <v>0</v>
      </c>
      <c r="O4932" s="20">
        <f>+O4931+Movimientos_2026[[#This Row],[Neto]]</f>
        <v>4581558617.7962294</v>
      </c>
    </row>
    <row r="4933" spans="1:15" x14ac:dyDescent="0.25">
      <c r="A4933" s="13"/>
      <c r="B4933" s="12">
        <f>MONTH(Movimientos_2026[[#This Row],[Fecha]])</f>
        <v>1</v>
      </c>
      <c r="C4933" s="12" t="str">
        <f>VLOOKUP((WEEKDAY(Movimientos_2026[[#This Row],[Fecha]],2)),'5. Setup'!$D$6:$E$12,2,FALSE)</f>
        <v>Sab</v>
      </c>
      <c r="E4933" t="str">
        <f>IFERROR(+VLOOKUP(Movimientos_2026[[#This Row],[Codigo]],Plan_cuentas[],2,FALSE)," ")</f>
        <v xml:space="preserve"> </v>
      </c>
      <c r="F4933" t="str">
        <f>IFERROR(+VLOOKUP(Movimientos_2026[[#This Row],[Codigo]],Plan_cuentas[],3,FALSE)," ")</f>
        <v xml:space="preserve"> </v>
      </c>
      <c r="G4933" t="str">
        <f>IFERROR(+VLOOKUP(Movimientos_2026[[#This Row],[Codigo]],Plan_cuentas[],4,FALSE)," ")</f>
        <v xml:space="preserve"> </v>
      </c>
      <c r="H4933" t="str">
        <f>IFERROR(+VLOOKUP(Movimientos_2026[[#This Row],[Codigo]],Plan_cuentas[],5,FALSE)," ")</f>
        <v xml:space="preserve"> </v>
      </c>
      <c r="I4933" s="43"/>
      <c r="K4933" t="str">
        <f>IFERROR(+VLOOKUP(Movimientos_2026[[#This Row],[Codigo]],Plan_cuentas[],6,FALSE)," ")</f>
        <v xml:space="preserve"> </v>
      </c>
      <c r="L4933" s="50"/>
      <c r="M4933" s="50"/>
      <c r="N4933" s="20">
        <f>+Movimientos_2026[[#This Row],[Ingresos]]-Movimientos_2026[[#This Row],[Egresos]]</f>
        <v>0</v>
      </c>
      <c r="O4933" s="20">
        <f>+O4932+Movimientos_2026[[#This Row],[Neto]]</f>
        <v>4581558617.7962294</v>
      </c>
    </row>
    <row r="4934" spans="1:15" x14ac:dyDescent="0.25">
      <c r="A4934" s="13"/>
      <c r="B4934" s="12">
        <f>MONTH(Movimientos_2026[[#This Row],[Fecha]])</f>
        <v>1</v>
      </c>
      <c r="C4934" s="12" t="str">
        <f>VLOOKUP((WEEKDAY(Movimientos_2026[[#This Row],[Fecha]],2)),'5. Setup'!$D$6:$E$12,2,FALSE)</f>
        <v>Sab</v>
      </c>
      <c r="E4934" t="str">
        <f>IFERROR(+VLOOKUP(Movimientos_2026[[#This Row],[Codigo]],Plan_cuentas[],2,FALSE)," ")</f>
        <v xml:space="preserve"> </v>
      </c>
      <c r="F4934" t="str">
        <f>IFERROR(+VLOOKUP(Movimientos_2026[[#This Row],[Codigo]],Plan_cuentas[],3,FALSE)," ")</f>
        <v xml:space="preserve"> </v>
      </c>
      <c r="G4934" t="str">
        <f>IFERROR(+VLOOKUP(Movimientos_2026[[#This Row],[Codigo]],Plan_cuentas[],4,FALSE)," ")</f>
        <v xml:space="preserve"> </v>
      </c>
      <c r="H4934" t="str">
        <f>IFERROR(+VLOOKUP(Movimientos_2026[[#This Row],[Codigo]],Plan_cuentas[],5,FALSE)," ")</f>
        <v xml:space="preserve"> </v>
      </c>
      <c r="I4934" s="43"/>
      <c r="K4934" t="str">
        <f>IFERROR(+VLOOKUP(Movimientos_2026[[#This Row],[Codigo]],Plan_cuentas[],6,FALSE)," ")</f>
        <v xml:space="preserve"> </v>
      </c>
      <c r="L4934" s="50"/>
      <c r="M4934" s="50"/>
      <c r="N4934" s="20">
        <f>+Movimientos_2026[[#This Row],[Ingresos]]-Movimientos_2026[[#This Row],[Egresos]]</f>
        <v>0</v>
      </c>
      <c r="O4934" s="20">
        <f>+O4933+Movimientos_2026[[#This Row],[Neto]]</f>
        <v>4581558617.7962294</v>
      </c>
    </row>
    <row r="4935" spans="1:15" x14ac:dyDescent="0.25">
      <c r="A4935" s="13"/>
      <c r="B4935" s="12">
        <f>MONTH(Movimientos_2026[[#This Row],[Fecha]])</f>
        <v>1</v>
      </c>
      <c r="C4935" s="12" t="str">
        <f>VLOOKUP((WEEKDAY(Movimientos_2026[[#This Row],[Fecha]],2)),'5. Setup'!$D$6:$E$12,2,FALSE)</f>
        <v>Sab</v>
      </c>
      <c r="E4935" t="str">
        <f>IFERROR(+VLOOKUP(Movimientos_2026[[#This Row],[Codigo]],Plan_cuentas[],2,FALSE)," ")</f>
        <v xml:space="preserve"> </v>
      </c>
      <c r="F4935" t="str">
        <f>IFERROR(+VLOOKUP(Movimientos_2026[[#This Row],[Codigo]],Plan_cuentas[],3,FALSE)," ")</f>
        <v xml:space="preserve"> </v>
      </c>
      <c r="G4935" t="str">
        <f>IFERROR(+VLOOKUP(Movimientos_2026[[#This Row],[Codigo]],Plan_cuentas[],4,FALSE)," ")</f>
        <v xml:space="preserve"> </v>
      </c>
      <c r="H4935" t="str">
        <f>IFERROR(+VLOOKUP(Movimientos_2026[[#This Row],[Codigo]],Plan_cuentas[],5,FALSE)," ")</f>
        <v xml:space="preserve"> </v>
      </c>
      <c r="I4935" s="43"/>
      <c r="K4935" t="str">
        <f>IFERROR(+VLOOKUP(Movimientos_2026[[#This Row],[Codigo]],Plan_cuentas[],6,FALSE)," ")</f>
        <v xml:space="preserve"> </v>
      </c>
      <c r="L4935" s="50"/>
      <c r="M4935" s="50"/>
      <c r="N4935" s="20">
        <f>+Movimientos_2026[[#This Row],[Ingresos]]-Movimientos_2026[[#This Row],[Egresos]]</f>
        <v>0</v>
      </c>
      <c r="O4935" s="20">
        <f>+O4934+Movimientos_2026[[#This Row],[Neto]]</f>
        <v>4581558617.7962294</v>
      </c>
    </row>
    <row r="4936" spans="1:15" x14ac:dyDescent="0.25">
      <c r="A4936" s="13"/>
      <c r="B4936" s="12">
        <f>MONTH(Movimientos_2026[[#This Row],[Fecha]])</f>
        <v>1</v>
      </c>
      <c r="C4936" s="12" t="str">
        <f>VLOOKUP((WEEKDAY(Movimientos_2026[[#This Row],[Fecha]],2)),'5. Setup'!$D$6:$E$12,2,FALSE)</f>
        <v>Sab</v>
      </c>
      <c r="E4936" t="str">
        <f>IFERROR(+VLOOKUP(Movimientos_2026[[#This Row],[Codigo]],Plan_cuentas[],2,FALSE)," ")</f>
        <v xml:space="preserve"> </v>
      </c>
      <c r="F4936" t="str">
        <f>IFERROR(+VLOOKUP(Movimientos_2026[[#This Row],[Codigo]],Plan_cuentas[],3,FALSE)," ")</f>
        <v xml:space="preserve"> </v>
      </c>
      <c r="G4936" t="str">
        <f>IFERROR(+VLOOKUP(Movimientos_2026[[#This Row],[Codigo]],Plan_cuentas[],4,FALSE)," ")</f>
        <v xml:space="preserve"> </v>
      </c>
      <c r="H4936" t="str">
        <f>IFERROR(+VLOOKUP(Movimientos_2026[[#This Row],[Codigo]],Plan_cuentas[],5,FALSE)," ")</f>
        <v xml:space="preserve"> </v>
      </c>
      <c r="I4936" s="43"/>
      <c r="K4936" t="str">
        <f>IFERROR(+VLOOKUP(Movimientos_2026[[#This Row],[Codigo]],Plan_cuentas[],6,FALSE)," ")</f>
        <v xml:space="preserve"> </v>
      </c>
      <c r="L4936" s="50"/>
      <c r="M4936" s="50"/>
      <c r="N4936" s="20">
        <f>+Movimientos_2026[[#This Row],[Ingresos]]-Movimientos_2026[[#This Row],[Egresos]]</f>
        <v>0</v>
      </c>
      <c r="O4936" s="20">
        <f>+O4935+Movimientos_2026[[#This Row],[Neto]]</f>
        <v>4581558617.7962294</v>
      </c>
    </row>
    <row r="4937" spans="1:15" x14ac:dyDescent="0.25">
      <c r="A4937" s="13"/>
      <c r="B4937" s="12">
        <f>MONTH(Movimientos_2026[[#This Row],[Fecha]])</f>
        <v>1</v>
      </c>
      <c r="C4937" s="12" t="str">
        <f>VLOOKUP((WEEKDAY(Movimientos_2026[[#This Row],[Fecha]],2)),'5. Setup'!$D$6:$E$12,2,FALSE)</f>
        <v>Sab</v>
      </c>
      <c r="E4937" t="str">
        <f>IFERROR(+VLOOKUP(Movimientos_2026[[#This Row],[Codigo]],Plan_cuentas[],2,FALSE)," ")</f>
        <v xml:space="preserve"> </v>
      </c>
      <c r="F4937" t="str">
        <f>IFERROR(+VLOOKUP(Movimientos_2026[[#This Row],[Codigo]],Plan_cuentas[],3,FALSE)," ")</f>
        <v xml:space="preserve"> </v>
      </c>
      <c r="G4937" t="str">
        <f>IFERROR(+VLOOKUP(Movimientos_2026[[#This Row],[Codigo]],Plan_cuentas[],4,FALSE)," ")</f>
        <v xml:space="preserve"> </v>
      </c>
      <c r="H4937" t="str">
        <f>IFERROR(+VLOOKUP(Movimientos_2026[[#This Row],[Codigo]],Plan_cuentas[],5,FALSE)," ")</f>
        <v xml:space="preserve"> </v>
      </c>
      <c r="I4937" s="43"/>
      <c r="K4937" t="str">
        <f>IFERROR(+VLOOKUP(Movimientos_2026[[#This Row],[Codigo]],Plan_cuentas[],6,FALSE)," ")</f>
        <v xml:space="preserve"> </v>
      </c>
      <c r="L4937" s="50"/>
      <c r="M4937" s="50"/>
      <c r="N4937" s="20">
        <f>+Movimientos_2026[[#This Row],[Ingresos]]-Movimientos_2026[[#This Row],[Egresos]]</f>
        <v>0</v>
      </c>
      <c r="O4937" s="20">
        <f>+O4936+Movimientos_2026[[#This Row],[Neto]]</f>
        <v>4581558617.7962294</v>
      </c>
    </row>
    <row r="4938" spans="1:15" x14ac:dyDescent="0.25">
      <c r="A4938" s="13"/>
      <c r="B4938" s="12">
        <f>MONTH(Movimientos_2026[[#This Row],[Fecha]])</f>
        <v>1</v>
      </c>
      <c r="C4938" s="12" t="str">
        <f>VLOOKUP((WEEKDAY(Movimientos_2026[[#This Row],[Fecha]],2)),'5. Setup'!$D$6:$E$12,2,FALSE)</f>
        <v>Sab</v>
      </c>
      <c r="E4938" t="str">
        <f>IFERROR(+VLOOKUP(Movimientos_2026[[#This Row],[Codigo]],Plan_cuentas[],2,FALSE)," ")</f>
        <v xml:space="preserve"> </v>
      </c>
      <c r="F4938" t="str">
        <f>IFERROR(+VLOOKUP(Movimientos_2026[[#This Row],[Codigo]],Plan_cuentas[],3,FALSE)," ")</f>
        <v xml:space="preserve"> </v>
      </c>
      <c r="G4938" t="str">
        <f>IFERROR(+VLOOKUP(Movimientos_2026[[#This Row],[Codigo]],Plan_cuentas[],4,FALSE)," ")</f>
        <v xml:space="preserve"> </v>
      </c>
      <c r="H4938" t="str">
        <f>IFERROR(+VLOOKUP(Movimientos_2026[[#This Row],[Codigo]],Plan_cuentas[],5,FALSE)," ")</f>
        <v xml:space="preserve"> </v>
      </c>
      <c r="I4938" s="43"/>
      <c r="K4938" t="str">
        <f>IFERROR(+VLOOKUP(Movimientos_2026[[#This Row],[Codigo]],Plan_cuentas[],6,FALSE)," ")</f>
        <v xml:space="preserve"> </v>
      </c>
      <c r="L4938" s="50"/>
      <c r="M4938" s="50"/>
      <c r="N4938" s="20">
        <f>+Movimientos_2026[[#This Row],[Ingresos]]-Movimientos_2026[[#This Row],[Egresos]]</f>
        <v>0</v>
      </c>
      <c r="O4938" s="20">
        <f>+O4937+Movimientos_2026[[#This Row],[Neto]]</f>
        <v>4581558617.7962294</v>
      </c>
    </row>
    <row r="4939" spans="1:15" x14ac:dyDescent="0.25">
      <c r="A4939" s="13"/>
      <c r="B4939" s="12">
        <f>MONTH(Movimientos_2026[[#This Row],[Fecha]])</f>
        <v>1</v>
      </c>
      <c r="C4939" s="12" t="str">
        <f>VLOOKUP((WEEKDAY(Movimientos_2026[[#This Row],[Fecha]],2)),'5. Setup'!$D$6:$E$12,2,FALSE)</f>
        <v>Sab</v>
      </c>
      <c r="E4939" t="str">
        <f>IFERROR(+VLOOKUP(Movimientos_2026[[#This Row],[Codigo]],Plan_cuentas[],2,FALSE)," ")</f>
        <v xml:space="preserve"> </v>
      </c>
      <c r="F4939" t="str">
        <f>IFERROR(+VLOOKUP(Movimientos_2026[[#This Row],[Codigo]],Plan_cuentas[],3,FALSE)," ")</f>
        <v xml:space="preserve"> </v>
      </c>
      <c r="G4939" t="str">
        <f>IFERROR(+VLOOKUP(Movimientos_2026[[#This Row],[Codigo]],Plan_cuentas[],4,FALSE)," ")</f>
        <v xml:space="preserve"> </v>
      </c>
      <c r="H4939" t="str">
        <f>IFERROR(+VLOOKUP(Movimientos_2026[[#This Row],[Codigo]],Plan_cuentas[],5,FALSE)," ")</f>
        <v xml:space="preserve"> </v>
      </c>
      <c r="I4939" s="43"/>
      <c r="K4939" t="str">
        <f>IFERROR(+VLOOKUP(Movimientos_2026[[#This Row],[Codigo]],Plan_cuentas[],6,FALSE)," ")</f>
        <v xml:space="preserve"> </v>
      </c>
      <c r="L4939" s="50"/>
      <c r="M4939" s="50"/>
      <c r="N4939" s="20">
        <f>+Movimientos_2026[[#This Row],[Ingresos]]-Movimientos_2026[[#This Row],[Egresos]]</f>
        <v>0</v>
      </c>
      <c r="O4939" s="20">
        <f>+O4938+Movimientos_2026[[#This Row],[Neto]]</f>
        <v>4581558617.7962294</v>
      </c>
    </row>
    <row r="4940" spans="1:15" x14ac:dyDescent="0.25">
      <c r="A4940" s="13"/>
      <c r="B4940" s="12">
        <f>MONTH(Movimientos_2026[[#This Row],[Fecha]])</f>
        <v>1</v>
      </c>
      <c r="C4940" s="12" t="str">
        <f>VLOOKUP((WEEKDAY(Movimientos_2026[[#This Row],[Fecha]],2)),'5. Setup'!$D$6:$E$12,2,FALSE)</f>
        <v>Sab</v>
      </c>
      <c r="E4940" t="str">
        <f>IFERROR(+VLOOKUP(Movimientos_2026[[#This Row],[Codigo]],Plan_cuentas[],2,FALSE)," ")</f>
        <v xml:space="preserve"> </v>
      </c>
      <c r="F4940" t="str">
        <f>IFERROR(+VLOOKUP(Movimientos_2026[[#This Row],[Codigo]],Plan_cuentas[],3,FALSE)," ")</f>
        <v xml:space="preserve"> </v>
      </c>
      <c r="G4940" t="str">
        <f>IFERROR(+VLOOKUP(Movimientos_2026[[#This Row],[Codigo]],Plan_cuentas[],4,FALSE)," ")</f>
        <v xml:space="preserve"> </v>
      </c>
      <c r="H4940" t="str">
        <f>IFERROR(+VLOOKUP(Movimientos_2026[[#This Row],[Codigo]],Plan_cuentas[],5,FALSE)," ")</f>
        <v xml:space="preserve"> </v>
      </c>
      <c r="I4940" s="43"/>
      <c r="K4940" t="str">
        <f>IFERROR(+VLOOKUP(Movimientos_2026[[#This Row],[Codigo]],Plan_cuentas[],6,FALSE)," ")</f>
        <v xml:space="preserve"> </v>
      </c>
      <c r="L4940" s="50"/>
      <c r="M4940" s="50"/>
      <c r="N4940" s="20">
        <f>+Movimientos_2026[[#This Row],[Ingresos]]-Movimientos_2026[[#This Row],[Egresos]]</f>
        <v>0</v>
      </c>
      <c r="O4940" s="20">
        <f>+O4939+Movimientos_2026[[#This Row],[Neto]]</f>
        <v>4581558617.7962294</v>
      </c>
    </row>
    <row r="4941" spans="1:15" x14ac:dyDescent="0.25">
      <c r="A4941" s="13"/>
      <c r="B4941" s="12">
        <f>MONTH(Movimientos_2026[[#This Row],[Fecha]])</f>
        <v>1</v>
      </c>
      <c r="C4941" s="12" t="str">
        <f>VLOOKUP((WEEKDAY(Movimientos_2026[[#This Row],[Fecha]],2)),'5. Setup'!$D$6:$E$12,2,FALSE)</f>
        <v>Sab</v>
      </c>
      <c r="E4941" t="str">
        <f>IFERROR(+VLOOKUP(Movimientos_2026[[#This Row],[Codigo]],Plan_cuentas[],2,FALSE)," ")</f>
        <v xml:space="preserve"> </v>
      </c>
      <c r="F4941" t="str">
        <f>IFERROR(+VLOOKUP(Movimientos_2026[[#This Row],[Codigo]],Plan_cuentas[],3,FALSE)," ")</f>
        <v xml:space="preserve"> </v>
      </c>
      <c r="G4941" t="str">
        <f>IFERROR(+VLOOKUP(Movimientos_2026[[#This Row],[Codigo]],Plan_cuentas[],4,FALSE)," ")</f>
        <v xml:space="preserve"> </v>
      </c>
      <c r="H4941" t="str">
        <f>IFERROR(+VLOOKUP(Movimientos_2026[[#This Row],[Codigo]],Plan_cuentas[],5,FALSE)," ")</f>
        <v xml:space="preserve"> </v>
      </c>
      <c r="I4941" s="43"/>
      <c r="K4941" t="str">
        <f>IFERROR(+VLOOKUP(Movimientos_2026[[#This Row],[Codigo]],Plan_cuentas[],6,FALSE)," ")</f>
        <v xml:space="preserve"> </v>
      </c>
      <c r="L4941" s="50"/>
      <c r="M4941" s="50"/>
      <c r="N4941" s="20">
        <f>+Movimientos_2026[[#This Row],[Ingresos]]-Movimientos_2026[[#This Row],[Egresos]]</f>
        <v>0</v>
      </c>
      <c r="O4941" s="20">
        <f>+O4940+Movimientos_2026[[#This Row],[Neto]]</f>
        <v>4581558617.7962294</v>
      </c>
    </row>
    <row r="4942" spans="1:15" x14ac:dyDescent="0.25">
      <c r="A4942" s="13"/>
      <c r="B4942" s="12">
        <f>MONTH(Movimientos_2026[[#This Row],[Fecha]])</f>
        <v>1</v>
      </c>
      <c r="C4942" s="12" t="str">
        <f>VLOOKUP((WEEKDAY(Movimientos_2026[[#This Row],[Fecha]],2)),'5. Setup'!$D$6:$E$12,2,FALSE)</f>
        <v>Sab</v>
      </c>
      <c r="E4942" t="str">
        <f>IFERROR(+VLOOKUP(Movimientos_2026[[#This Row],[Codigo]],Plan_cuentas[],2,FALSE)," ")</f>
        <v xml:space="preserve"> </v>
      </c>
      <c r="F4942" t="str">
        <f>IFERROR(+VLOOKUP(Movimientos_2026[[#This Row],[Codigo]],Plan_cuentas[],3,FALSE)," ")</f>
        <v xml:space="preserve"> </v>
      </c>
      <c r="G4942" t="str">
        <f>IFERROR(+VLOOKUP(Movimientos_2026[[#This Row],[Codigo]],Plan_cuentas[],4,FALSE)," ")</f>
        <v xml:space="preserve"> </v>
      </c>
      <c r="H4942" t="str">
        <f>IFERROR(+VLOOKUP(Movimientos_2026[[#This Row],[Codigo]],Plan_cuentas[],5,FALSE)," ")</f>
        <v xml:space="preserve"> </v>
      </c>
      <c r="I4942" s="43"/>
      <c r="K4942" t="str">
        <f>IFERROR(+VLOOKUP(Movimientos_2026[[#This Row],[Codigo]],Plan_cuentas[],6,FALSE)," ")</f>
        <v xml:space="preserve"> </v>
      </c>
      <c r="L4942" s="50"/>
      <c r="M4942" s="50"/>
      <c r="N4942" s="20">
        <f>+Movimientos_2026[[#This Row],[Ingresos]]-Movimientos_2026[[#This Row],[Egresos]]</f>
        <v>0</v>
      </c>
      <c r="O4942" s="20">
        <f>+O4941+Movimientos_2026[[#This Row],[Neto]]</f>
        <v>4581558617.7962294</v>
      </c>
    </row>
    <row r="4943" spans="1:15" x14ac:dyDescent="0.25">
      <c r="A4943" s="13"/>
      <c r="B4943" s="12">
        <f>MONTH(Movimientos_2026[[#This Row],[Fecha]])</f>
        <v>1</v>
      </c>
      <c r="C4943" s="12" t="str">
        <f>VLOOKUP((WEEKDAY(Movimientos_2026[[#This Row],[Fecha]],2)),'5. Setup'!$D$6:$E$12,2,FALSE)</f>
        <v>Sab</v>
      </c>
      <c r="E4943" t="str">
        <f>IFERROR(+VLOOKUP(Movimientos_2026[[#This Row],[Codigo]],Plan_cuentas[],2,FALSE)," ")</f>
        <v xml:space="preserve"> </v>
      </c>
      <c r="F4943" t="str">
        <f>IFERROR(+VLOOKUP(Movimientos_2026[[#This Row],[Codigo]],Plan_cuentas[],3,FALSE)," ")</f>
        <v xml:space="preserve"> </v>
      </c>
      <c r="G4943" t="str">
        <f>IFERROR(+VLOOKUP(Movimientos_2026[[#This Row],[Codigo]],Plan_cuentas[],4,FALSE)," ")</f>
        <v xml:space="preserve"> </v>
      </c>
      <c r="H4943" t="str">
        <f>IFERROR(+VLOOKUP(Movimientos_2026[[#This Row],[Codigo]],Plan_cuentas[],5,FALSE)," ")</f>
        <v xml:space="preserve"> </v>
      </c>
      <c r="I4943" s="43"/>
      <c r="K4943" t="str">
        <f>IFERROR(+VLOOKUP(Movimientos_2026[[#This Row],[Codigo]],Plan_cuentas[],6,FALSE)," ")</f>
        <v xml:space="preserve"> </v>
      </c>
      <c r="L4943" s="50"/>
      <c r="M4943" s="50"/>
      <c r="N4943" s="20">
        <f>+Movimientos_2026[[#This Row],[Ingresos]]-Movimientos_2026[[#This Row],[Egresos]]</f>
        <v>0</v>
      </c>
      <c r="O4943" s="20">
        <f>+O4942+Movimientos_2026[[#This Row],[Neto]]</f>
        <v>4581558617.7962294</v>
      </c>
    </row>
    <row r="4944" spans="1:15" x14ac:dyDescent="0.25">
      <c r="A4944" s="13"/>
      <c r="B4944" s="12">
        <f>MONTH(Movimientos_2026[[#This Row],[Fecha]])</f>
        <v>1</v>
      </c>
      <c r="C4944" s="12" t="str">
        <f>VLOOKUP((WEEKDAY(Movimientos_2026[[#This Row],[Fecha]],2)),'5. Setup'!$D$6:$E$12,2,FALSE)</f>
        <v>Sab</v>
      </c>
      <c r="E4944" t="str">
        <f>IFERROR(+VLOOKUP(Movimientos_2026[[#This Row],[Codigo]],Plan_cuentas[],2,FALSE)," ")</f>
        <v xml:space="preserve"> </v>
      </c>
      <c r="F4944" t="str">
        <f>IFERROR(+VLOOKUP(Movimientos_2026[[#This Row],[Codigo]],Plan_cuentas[],3,FALSE)," ")</f>
        <v xml:space="preserve"> </v>
      </c>
      <c r="G4944" t="str">
        <f>IFERROR(+VLOOKUP(Movimientos_2026[[#This Row],[Codigo]],Plan_cuentas[],4,FALSE)," ")</f>
        <v xml:space="preserve"> </v>
      </c>
      <c r="H4944" t="str">
        <f>IFERROR(+VLOOKUP(Movimientos_2026[[#This Row],[Codigo]],Plan_cuentas[],5,FALSE)," ")</f>
        <v xml:space="preserve"> </v>
      </c>
      <c r="I4944" s="43"/>
      <c r="K4944" t="str">
        <f>IFERROR(+VLOOKUP(Movimientos_2026[[#This Row],[Codigo]],Plan_cuentas[],6,FALSE)," ")</f>
        <v xml:space="preserve"> </v>
      </c>
      <c r="L4944" s="50"/>
      <c r="M4944" s="50"/>
      <c r="N4944" s="20">
        <f>+Movimientos_2026[[#This Row],[Ingresos]]-Movimientos_2026[[#This Row],[Egresos]]</f>
        <v>0</v>
      </c>
      <c r="O4944" s="20">
        <f>+O4943+Movimientos_2026[[#This Row],[Neto]]</f>
        <v>4581558617.7962294</v>
      </c>
    </row>
    <row r="4945" spans="1:15" x14ac:dyDescent="0.25">
      <c r="A4945" s="13"/>
      <c r="B4945" s="12">
        <f>MONTH(Movimientos_2026[[#This Row],[Fecha]])</f>
        <v>1</v>
      </c>
      <c r="C4945" s="12" t="str">
        <f>VLOOKUP((WEEKDAY(Movimientos_2026[[#This Row],[Fecha]],2)),'5. Setup'!$D$6:$E$12,2,FALSE)</f>
        <v>Sab</v>
      </c>
      <c r="E4945" t="str">
        <f>IFERROR(+VLOOKUP(Movimientos_2026[[#This Row],[Codigo]],Plan_cuentas[],2,FALSE)," ")</f>
        <v xml:space="preserve"> </v>
      </c>
      <c r="F4945" t="str">
        <f>IFERROR(+VLOOKUP(Movimientos_2026[[#This Row],[Codigo]],Plan_cuentas[],3,FALSE)," ")</f>
        <v xml:space="preserve"> </v>
      </c>
      <c r="G4945" t="str">
        <f>IFERROR(+VLOOKUP(Movimientos_2026[[#This Row],[Codigo]],Plan_cuentas[],4,FALSE)," ")</f>
        <v xml:space="preserve"> </v>
      </c>
      <c r="H4945" t="str">
        <f>IFERROR(+VLOOKUP(Movimientos_2026[[#This Row],[Codigo]],Plan_cuentas[],5,FALSE)," ")</f>
        <v xml:space="preserve"> </v>
      </c>
      <c r="I4945" s="43"/>
      <c r="K4945" t="str">
        <f>IFERROR(+VLOOKUP(Movimientos_2026[[#This Row],[Codigo]],Plan_cuentas[],6,FALSE)," ")</f>
        <v xml:space="preserve"> </v>
      </c>
      <c r="L4945" s="50"/>
      <c r="M4945" s="50"/>
      <c r="N4945" s="20">
        <f>+Movimientos_2026[[#This Row],[Ingresos]]-Movimientos_2026[[#This Row],[Egresos]]</f>
        <v>0</v>
      </c>
      <c r="O4945" s="20">
        <f>+O4944+Movimientos_2026[[#This Row],[Neto]]</f>
        <v>4581558617.7962294</v>
      </c>
    </row>
    <row r="4946" spans="1:15" x14ac:dyDescent="0.25">
      <c r="A4946" s="13"/>
      <c r="B4946" s="12">
        <f>MONTH(Movimientos_2026[[#This Row],[Fecha]])</f>
        <v>1</v>
      </c>
      <c r="C4946" s="12" t="str">
        <f>VLOOKUP((WEEKDAY(Movimientos_2026[[#This Row],[Fecha]],2)),'5. Setup'!$D$6:$E$12,2,FALSE)</f>
        <v>Sab</v>
      </c>
      <c r="E4946" t="str">
        <f>IFERROR(+VLOOKUP(Movimientos_2026[[#This Row],[Codigo]],Plan_cuentas[],2,FALSE)," ")</f>
        <v xml:space="preserve"> </v>
      </c>
      <c r="F4946" t="str">
        <f>IFERROR(+VLOOKUP(Movimientos_2026[[#This Row],[Codigo]],Plan_cuentas[],3,FALSE)," ")</f>
        <v xml:space="preserve"> </v>
      </c>
      <c r="G4946" t="str">
        <f>IFERROR(+VLOOKUP(Movimientos_2026[[#This Row],[Codigo]],Plan_cuentas[],4,FALSE)," ")</f>
        <v xml:space="preserve"> </v>
      </c>
      <c r="H4946" t="str">
        <f>IFERROR(+VLOOKUP(Movimientos_2026[[#This Row],[Codigo]],Plan_cuentas[],5,FALSE)," ")</f>
        <v xml:space="preserve"> </v>
      </c>
      <c r="I4946" s="43"/>
      <c r="K4946" t="str">
        <f>IFERROR(+VLOOKUP(Movimientos_2026[[#This Row],[Codigo]],Plan_cuentas[],6,FALSE)," ")</f>
        <v xml:space="preserve"> </v>
      </c>
      <c r="L4946" s="50"/>
      <c r="M4946" s="50"/>
      <c r="N4946" s="20">
        <f>+Movimientos_2026[[#This Row],[Ingresos]]-Movimientos_2026[[#This Row],[Egresos]]</f>
        <v>0</v>
      </c>
      <c r="O4946" s="20">
        <f>+O4945+Movimientos_2026[[#This Row],[Neto]]</f>
        <v>4581558617.7962294</v>
      </c>
    </row>
    <row r="4947" spans="1:15" x14ac:dyDescent="0.25">
      <c r="A4947" s="13"/>
      <c r="B4947" s="12">
        <f>MONTH(Movimientos_2026[[#This Row],[Fecha]])</f>
        <v>1</v>
      </c>
      <c r="C4947" s="12" t="str">
        <f>VLOOKUP((WEEKDAY(Movimientos_2026[[#This Row],[Fecha]],2)),'5. Setup'!$D$6:$E$12,2,FALSE)</f>
        <v>Sab</v>
      </c>
      <c r="E4947" t="str">
        <f>IFERROR(+VLOOKUP(Movimientos_2026[[#This Row],[Codigo]],Plan_cuentas[],2,FALSE)," ")</f>
        <v xml:space="preserve"> </v>
      </c>
      <c r="F4947" t="str">
        <f>IFERROR(+VLOOKUP(Movimientos_2026[[#This Row],[Codigo]],Plan_cuentas[],3,FALSE)," ")</f>
        <v xml:space="preserve"> </v>
      </c>
      <c r="G4947" t="str">
        <f>IFERROR(+VLOOKUP(Movimientos_2026[[#This Row],[Codigo]],Plan_cuentas[],4,FALSE)," ")</f>
        <v xml:space="preserve"> </v>
      </c>
      <c r="H4947" t="str">
        <f>IFERROR(+VLOOKUP(Movimientos_2026[[#This Row],[Codigo]],Plan_cuentas[],5,FALSE)," ")</f>
        <v xml:space="preserve"> </v>
      </c>
      <c r="I4947" s="43"/>
      <c r="K4947" t="str">
        <f>IFERROR(+VLOOKUP(Movimientos_2026[[#This Row],[Codigo]],Plan_cuentas[],6,FALSE)," ")</f>
        <v xml:space="preserve"> </v>
      </c>
      <c r="L4947" s="50"/>
      <c r="M4947" s="50"/>
      <c r="N4947" s="20">
        <f>+Movimientos_2026[[#This Row],[Ingresos]]-Movimientos_2026[[#This Row],[Egresos]]</f>
        <v>0</v>
      </c>
      <c r="O4947" s="20">
        <f>+O4946+Movimientos_2026[[#This Row],[Neto]]</f>
        <v>4581558617.7962294</v>
      </c>
    </row>
    <row r="4948" spans="1:15" x14ac:dyDescent="0.25">
      <c r="A4948" s="13"/>
      <c r="B4948" s="12">
        <f>MONTH(Movimientos_2026[[#This Row],[Fecha]])</f>
        <v>1</v>
      </c>
      <c r="C4948" s="12" t="str">
        <f>VLOOKUP((WEEKDAY(Movimientos_2026[[#This Row],[Fecha]],2)),'5. Setup'!$D$6:$E$12,2,FALSE)</f>
        <v>Sab</v>
      </c>
      <c r="E4948" t="str">
        <f>IFERROR(+VLOOKUP(Movimientos_2026[[#This Row],[Codigo]],Plan_cuentas[],2,FALSE)," ")</f>
        <v xml:space="preserve"> </v>
      </c>
      <c r="F4948" t="str">
        <f>IFERROR(+VLOOKUP(Movimientos_2026[[#This Row],[Codigo]],Plan_cuentas[],3,FALSE)," ")</f>
        <v xml:space="preserve"> </v>
      </c>
      <c r="G4948" t="str">
        <f>IFERROR(+VLOOKUP(Movimientos_2026[[#This Row],[Codigo]],Plan_cuentas[],4,FALSE)," ")</f>
        <v xml:space="preserve"> </v>
      </c>
      <c r="H4948" t="str">
        <f>IFERROR(+VLOOKUP(Movimientos_2026[[#This Row],[Codigo]],Plan_cuentas[],5,FALSE)," ")</f>
        <v xml:space="preserve"> </v>
      </c>
      <c r="I4948" s="43"/>
      <c r="K4948" t="str">
        <f>IFERROR(+VLOOKUP(Movimientos_2026[[#This Row],[Codigo]],Plan_cuentas[],6,FALSE)," ")</f>
        <v xml:space="preserve"> </v>
      </c>
      <c r="L4948" s="50"/>
      <c r="M4948" s="50"/>
      <c r="N4948" s="20">
        <f>+Movimientos_2026[[#This Row],[Ingresos]]-Movimientos_2026[[#This Row],[Egresos]]</f>
        <v>0</v>
      </c>
      <c r="O4948" s="20">
        <f>+O4947+Movimientos_2026[[#This Row],[Neto]]</f>
        <v>4581558617.7962294</v>
      </c>
    </row>
    <row r="4949" spans="1:15" x14ac:dyDescent="0.25">
      <c r="A4949" s="13"/>
      <c r="B4949" s="12">
        <f>MONTH(Movimientos_2026[[#This Row],[Fecha]])</f>
        <v>1</v>
      </c>
      <c r="C4949" s="12" t="str">
        <f>VLOOKUP((WEEKDAY(Movimientos_2026[[#This Row],[Fecha]],2)),'5. Setup'!$D$6:$E$12,2,FALSE)</f>
        <v>Sab</v>
      </c>
      <c r="E4949" t="str">
        <f>IFERROR(+VLOOKUP(Movimientos_2026[[#This Row],[Codigo]],Plan_cuentas[],2,FALSE)," ")</f>
        <v xml:space="preserve"> </v>
      </c>
      <c r="F4949" t="str">
        <f>IFERROR(+VLOOKUP(Movimientos_2026[[#This Row],[Codigo]],Plan_cuentas[],3,FALSE)," ")</f>
        <v xml:space="preserve"> </v>
      </c>
      <c r="G4949" t="str">
        <f>IFERROR(+VLOOKUP(Movimientos_2026[[#This Row],[Codigo]],Plan_cuentas[],4,FALSE)," ")</f>
        <v xml:space="preserve"> </v>
      </c>
      <c r="H4949" t="str">
        <f>IFERROR(+VLOOKUP(Movimientos_2026[[#This Row],[Codigo]],Plan_cuentas[],5,FALSE)," ")</f>
        <v xml:space="preserve"> </v>
      </c>
      <c r="I4949" s="43"/>
      <c r="K4949" t="str">
        <f>IFERROR(+VLOOKUP(Movimientos_2026[[#This Row],[Codigo]],Plan_cuentas[],6,FALSE)," ")</f>
        <v xml:space="preserve"> </v>
      </c>
      <c r="L4949" s="50"/>
      <c r="M4949" s="50"/>
      <c r="N4949" s="20">
        <f>+Movimientos_2026[[#This Row],[Ingresos]]-Movimientos_2026[[#This Row],[Egresos]]</f>
        <v>0</v>
      </c>
      <c r="O4949" s="20">
        <f>+O4948+Movimientos_2026[[#This Row],[Neto]]</f>
        <v>4581558617.7962294</v>
      </c>
    </row>
    <row r="4950" spans="1:15" x14ac:dyDescent="0.25">
      <c r="A4950" s="13"/>
      <c r="B4950" s="12">
        <f>MONTH(Movimientos_2026[[#This Row],[Fecha]])</f>
        <v>1</v>
      </c>
      <c r="C4950" s="12" t="str">
        <f>VLOOKUP((WEEKDAY(Movimientos_2026[[#This Row],[Fecha]],2)),'5. Setup'!$D$6:$E$12,2,FALSE)</f>
        <v>Sab</v>
      </c>
      <c r="E4950" t="str">
        <f>IFERROR(+VLOOKUP(Movimientos_2026[[#This Row],[Codigo]],Plan_cuentas[],2,FALSE)," ")</f>
        <v xml:space="preserve"> </v>
      </c>
      <c r="F4950" t="str">
        <f>IFERROR(+VLOOKUP(Movimientos_2026[[#This Row],[Codigo]],Plan_cuentas[],3,FALSE)," ")</f>
        <v xml:space="preserve"> </v>
      </c>
      <c r="G4950" t="str">
        <f>IFERROR(+VLOOKUP(Movimientos_2026[[#This Row],[Codigo]],Plan_cuentas[],4,FALSE)," ")</f>
        <v xml:space="preserve"> </v>
      </c>
      <c r="H4950" t="str">
        <f>IFERROR(+VLOOKUP(Movimientos_2026[[#This Row],[Codigo]],Plan_cuentas[],5,FALSE)," ")</f>
        <v xml:space="preserve"> </v>
      </c>
      <c r="I4950" s="43"/>
      <c r="K4950" t="str">
        <f>IFERROR(+VLOOKUP(Movimientos_2026[[#This Row],[Codigo]],Plan_cuentas[],6,FALSE)," ")</f>
        <v xml:space="preserve"> </v>
      </c>
      <c r="L4950" s="50"/>
      <c r="M4950" s="50"/>
      <c r="N4950" s="20">
        <f>+Movimientos_2026[[#This Row],[Ingresos]]-Movimientos_2026[[#This Row],[Egresos]]</f>
        <v>0</v>
      </c>
      <c r="O4950" s="20">
        <f>+O4949+Movimientos_2026[[#This Row],[Neto]]</f>
        <v>4581558617.7962294</v>
      </c>
    </row>
    <row r="4951" spans="1:15" x14ac:dyDescent="0.25">
      <c r="A4951" s="13"/>
      <c r="B4951" s="12">
        <f>MONTH(Movimientos_2026[[#This Row],[Fecha]])</f>
        <v>1</v>
      </c>
      <c r="C4951" s="12" t="str">
        <f>VLOOKUP((WEEKDAY(Movimientos_2026[[#This Row],[Fecha]],2)),'5. Setup'!$D$6:$E$12,2,FALSE)</f>
        <v>Sab</v>
      </c>
      <c r="E4951" t="str">
        <f>IFERROR(+VLOOKUP(Movimientos_2026[[#This Row],[Codigo]],Plan_cuentas[],2,FALSE)," ")</f>
        <v xml:space="preserve"> </v>
      </c>
      <c r="F4951" t="str">
        <f>IFERROR(+VLOOKUP(Movimientos_2026[[#This Row],[Codigo]],Plan_cuentas[],3,FALSE)," ")</f>
        <v xml:space="preserve"> </v>
      </c>
      <c r="G4951" t="str">
        <f>IFERROR(+VLOOKUP(Movimientos_2026[[#This Row],[Codigo]],Plan_cuentas[],4,FALSE)," ")</f>
        <v xml:space="preserve"> </v>
      </c>
      <c r="H4951" t="str">
        <f>IFERROR(+VLOOKUP(Movimientos_2026[[#This Row],[Codigo]],Plan_cuentas[],5,FALSE)," ")</f>
        <v xml:space="preserve"> </v>
      </c>
      <c r="I4951" s="43"/>
      <c r="K4951" t="str">
        <f>IFERROR(+VLOOKUP(Movimientos_2026[[#This Row],[Codigo]],Plan_cuentas[],6,FALSE)," ")</f>
        <v xml:space="preserve"> </v>
      </c>
      <c r="L4951" s="50"/>
      <c r="M4951" s="50"/>
      <c r="N4951" s="20">
        <f>+Movimientos_2026[[#This Row],[Ingresos]]-Movimientos_2026[[#This Row],[Egresos]]</f>
        <v>0</v>
      </c>
      <c r="O4951" s="20">
        <f>+O4950+Movimientos_2026[[#This Row],[Neto]]</f>
        <v>4581558617.7962294</v>
      </c>
    </row>
    <row r="4952" spans="1:15" x14ac:dyDescent="0.25">
      <c r="A4952" s="13"/>
      <c r="B4952" s="12">
        <f>MONTH(Movimientos_2026[[#This Row],[Fecha]])</f>
        <v>1</v>
      </c>
      <c r="C4952" s="12" t="str">
        <f>VLOOKUP((WEEKDAY(Movimientos_2026[[#This Row],[Fecha]],2)),'5. Setup'!$D$6:$E$12,2,FALSE)</f>
        <v>Sab</v>
      </c>
      <c r="E4952" t="str">
        <f>IFERROR(+VLOOKUP(Movimientos_2026[[#This Row],[Codigo]],Plan_cuentas[],2,FALSE)," ")</f>
        <v xml:space="preserve"> </v>
      </c>
      <c r="F4952" t="str">
        <f>IFERROR(+VLOOKUP(Movimientos_2026[[#This Row],[Codigo]],Plan_cuentas[],3,FALSE)," ")</f>
        <v xml:space="preserve"> </v>
      </c>
      <c r="G4952" t="str">
        <f>IFERROR(+VLOOKUP(Movimientos_2026[[#This Row],[Codigo]],Plan_cuentas[],4,FALSE)," ")</f>
        <v xml:space="preserve"> </v>
      </c>
      <c r="H4952" t="str">
        <f>IFERROR(+VLOOKUP(Movimientos_2026[[#This Row],[Codigo]],Plan_cuentas[],5,FALSE)," ")</f>
        <v xml:space="preserve"> </v>
      </c>
      <c r="I4952" s="43"/>
      <c r="K4952" t="str">
        <f>IFERROR(+VLOOKUP(Movimientos_2026[[#This Row],[Codigo]],Plan_cuentas[],6,FALSE)," ")</f>
        <v xml:space="preserve"> </v>
      </c>
      <c r="L4952" s="50"/>
      <c r="M4952" s="50"/>
      <c r="N4952" s="20">
        <f>+Movimientos_2026[[#This Row],[Ingresos]]-Movimientos_2026[[#This Row],[Egresos]]</f>
        <v>0</v>
      </c>
      <c r="O4952" s="20">
        <f>+O4951+Movimientos_2026[[#This Row],[Neto]]</f>
        <v>4581558617.7962294</v>
      </c>
    </row>
    <row r="4953" spans="1:15" x14ac:dyDescent="0.25">
      <c r="A4953" s="13"/>
      <c r="B4953" s="12">
        <f>MONTH(Movimientos_2026[[#This Row],[Fecha]])</f>
        <v>1</v>
      </c>
      <c r="C4953" s="12" t="str">
        <f>VLOOKUP((WEEKDAY(Movimientos_2026[[#This Row],[Fecha]],2)),'5. Setup'!$D$6:$E$12,2,FALSE)</f>
        <v>Sab</v>
      </c>
      <c r="E4953" t="str">
        <f>IFERROR(+VLOOKUP(Movimientos_2026[[#This Row],[Codigo]],Plan_cuentas[],2,FALSE)," ")</f>
        <v xml:space="preserve"> </v>
      </c>
      <c r="F4953" t="str">
        <f>IFERROR(+VLOOKUP(Movimientos_2026[[#This Row],[Codigo]],Plan_cuentas[],3,FALSE)," ")</f>
        <v xml:space="preserve"> </v>
      </c>
      <c r="G4953" t="str">
        <f>IFERROR(+VLOOKUP(Movimientos_2026[[#This Row],[Codigo]],Plan_cuentas[],4,FALSE)," ")</f>
        <v xml:space="preserve"> </v>
      </c>
      <c r="H4953" t="str">
        <f>IFERROR(+VLOOKUP(Movimientos_2026[[#This Row],[Codigo]],Plan_cuentas[],5,FALSE)," ")</f>
        <v xml:space="preserve"> </v>
      </c>
      <c r="I4953" s="43"/>
      <c r="K4953" t="str">
        <f>IFERROR(+VLOOKUP(Movimientos_2026[[#This Row],[Codigo]],Plan_cuentas[],6,FALSE)," ")</f>
        <v xml:space="preserve"> </v>
      </c>
      <c r="L4953" s="50"/>
      <c r="M4953" s="50"/>
      <c r="N4953" s="20">
        <f>+Movimientos_2026[[#This Row],[Ingresos]]-Movimientos_2026[[#This Row],[Egresos]]</f>
        <v>0</v>
      </c>
      <c r="O4953" s="20">
        <f>+O4952+Movimientos_2026[[#This Row],[Neto]]</f>
        <v>4581558617.7962294</v>
      </c>
    </row>
    <row r="4954" spans="1:15" x14ac:dyDescent="0.25">
      <c r="A4954" s="13"/>
      <c r="B4954" s="12">
        <f>MONTH(Movimientos_2026[[#This Row],[Fecha]])</f>
        <v>1</v>
      </c>
      <c r="C4954" s="12" t="str">
        <f>VLOOKUP((WEEKDAY(Movimientos_2026[[#This Row],[Fecha]],2)),'5. Setup'!$D$6:$E$12,2,FALSE)</f>
        <v>Sab</v>
      </c>
      <c r="E4954" t="str">
        <f>IFERROR(+VLOOKUP(Movimientos_2026[[#This Row],[Codigo]],Plan_cuentas[],2,FALSE)," ")</f>
        <v xml:space="preserve"> </v>
      </c>
      <c r="F4954" t="str">
        <f>IFERROR(+VLOOKUP(Movimientos_2026[[#This Row],[Codigo]],Plan_cuentas[],3,FALSE)," ")</f>
        <v xml:space="preserve"> </v>
      </c>
      <c r="G4954" t="str">
        <f>IFERROR(+VLOOKUP(Movimientos_2026[[#This Row],[Codigo]],Plan_cuentas[],4,FALSE)," ")</f>
        <v xml:space="preserve"> </v>
      </c>
      <c r="H4954" t="str">
        <f>IFERROR(+VLOOKUP(Movimientos_2026[[#This Row],[Codigo]],Plan_cuentas[],5,FALSE)," ")</f>
        <v xml:space="preserve"> </v>
      </c>
      <c r="I4954" s="43"/>
      <c r="K4954" t="str">
        <f>IFERROR(+VLOOKUP(Movimientos_2026[[#This Row],[Codigo]],Plan_cuentas[],6,FALSE)," ")</f>
        <v xml:space="preserve"> </v>
      </c>
      <c r="L4954" s="50"/>
      <c r="M4954" s="50"/>
      <c r="N4954" s="20">
        <f>+Movimientos_2026[[#This Row],[Ingresos]]-Movimientos_2026[[#This Row],[Egresos]]</f>
        <v>0</v>
      </c>
      <c r="O4954" s="20">
        <f>+O4953+Movimientos_2026[[#This Row],[Neto]]</f>
        <v>4581558617.7962294</v>
      </c>
    </row>
    <row r="4955" spans="1:15" x14ac:dyDescent="0.25">
      <c r="A4955" s="13"/>
      <c r="B4955" s="12">
        <f>MONTH(Movimientos_2026[[#This Row],[Fecha]])</f>
        <v>1</v>
      </c>
      <c r="C4955" s="12" t="str">
        <f>VLOOKUP((WEEKDAY(Movimientos_2026[[#This Row],[Fecha]],2)),'5. Setup'!$D$6:$E$12,2,FALSE)</f>
        <v>Sab</v>
      </c>
      <c r="E4955" t="str">
        <f>IFERROR(+VLOOKUP(Movimientos_2026[[#This Row],[Codigo]],Plan_cuentas[],2,FALSE)," ")</f>
        <v xml:space="preserve"> </v>
      </c>
      <c r="F4955" t="str">
        <f>IFERROR(+VLOOKUP(Movimientos_2026[[#This Row],[Codigo]],Plan_cuentas[],3,FALSE)," ")</f>
        <v xml:space="preserve"> </v>
      </c>
      <c r="G4955" t="str">
        <f>IFERROR(+VLOOKUP(Movimientos_2026[[#This Row],[Codigo]],Plan_cuentas[],4,FALSE)," ")</f>
        <v xml:space="preserve"> </v>
      </c>
      <c r="H4955" t="str">
        <f>IFERROR(+VLOOKUP(Movimientos_2026[[#This Row],[Codigo]],Plan_cuentas[],5,FALSE)," ")</f>
        <v xml:space="preserve"> </v>
      </c>
      <c r="I4955" s="43"/>
      <c r="K4955" t="str">
        <f>IFERROR(+VLOOKUP(Movimientos_2026[[#This Row],[Codigo]],Plan_cuentas[],6,FALSE)," ")</f>
        <v xml:space="preserve"> </v>
      </c>
      <c r="L4955" s="50"/>
      <c r="M4955" s="50"/>
      <c r="N4955" s="20">
        <f>+Movimientos_2026[[#This Row],[Ingresos]]-Movimientos_2026[[#This Row],[Egresos]]</f>
        <v>0</v>
      </c>
      <c r="O4955" s="20">
        <f>+O4954+Movimientos_2026[[#This Row],[Neto]]</f>
        <v>4581558617.7962294</v>
      </c>
    </row>
    <row r="4956" spans="1:15" x14ac:dyDescent="0.25">
      <c r="A4956" s="13"/>
      <c r="B4956" s="12">
        <f>MONTH(Movimientos_2026[[#This Row],[Fecha]])</f>
        <v>1</v>
      </c>
      <c r="C4956" s="12" t="str">
        <f>VLOOKUP((WEEKDAY(Movimientos_2026[[#This Row],[Fecha]],2)),'5. Setup'!$D$6:$E$12,2,FALSE)</f>
        <v>Sab</v>
      </c>
      <c r="E4956" t="str">
        <f>IFERROR(+VLOOKUP(Movimientos_2026[[#This Row],[Codigo]],Plan_cuentas[],2,FALSE)," ")</f>
        <v xml:space="preserve"> </v>
      </c>
      <c r="F4956" t="str">
        <f>IFERROR(+VLOOKUP(Movimientos_2026[[#This Row],[Codigo]],Plan_cuentas[],3,FALSE)," ")</f>
        <v xml:space="preserve"> </v>
      </c>
      <c r="G4956" t="str">
        <f>IFERROR(+VLOOKUP(Movimientos_2026[[#This Row],[Codigo]],Plan_cuentas[],4,FALSE)," ")</f>
        <v xml:space="preserve"> </v>
      </c>
      <c r="H4956" t="str">
        <f>IFERROR(+VLOOKUP(Movimientos_2026[[#This Row],[Codigo]],Plan_cuentas[],5,FALSE)," ")</f>
        <v xml:space="preserve"> </v>
      </c>
      <c r="I4956" s="43"/>
      <c r="K4956" t="str">
        <f>IFERROR(+VLOOKUP(Movimientos_2026[[#This Row],[Codigo]],Plan_cuentas[],6,FALSE)," ")</f>
        <v xml:space="preserve"> </v>
      </c>
      <c r="L4956" s="50"/>
      <c r="M4956" s="50"/>
      <c r="N4956" s="20">
        <f>+Movimientos_2026[[#This Row],[Ingresos]]-Movimientos_2026[[#This Row],[Egresos]]</f>
        <v>0</v>
      </c>
      <c r="O4956" s="20">
        <f>+O4955+Movimientos_2026[[#This Row],[Neto]]</f>
        <v>4581558617.7962294</v>
      </c>
    </row>
    <row r="4957" spans="1:15" x14ac:dyDescent="0.25">
      <c r="A4957" s="13"/>
      <c r="B4957" s="12">
        <f>MONTH(Movimientos_2026[[#This Row],[Fecha]])</f>
        <v>1</v>
      </c>
      <c r="C4957" s="12" t="str">
        <f>VLOOKUP((WEEKDAY(Movimientos_2026[[#This Row],[Fecha]],2)),'5. Setup'!$D$6:$E$12,2,FALSE)</f>
        <v>Sab</v>
      </c>
      <c r="E4957" t="str">
        <f>IFERROR(+VLOOKUP(Movimientos_2026[[#This Row],[Codigo]],Plan_cuentas[],2,FALSE)," ")</f>
        <v xml:space="preserve"> </v>
      </c>
      <c r="F4957" t="str">
        <f>IFERROR(+VLOOKUP(Movimientos_2026[[#This Row],[Codigo]],Plan_cuentas[],3,FALSE)," ")</f>
        <v xml:space="preserve"> </v>
      </c>
      <c r="G4957" t="str">
        <f>IFERROR(+VLOOKUP(Movimientos_2026[[#This Row],[Codigo]],Plan_cuentas[],4,FALSE)," ")</f>
        <v xml:space="preserve"> </v>
      </c>
      <c r="H4957" t="str">
        <f>IFERROR(+VLOOKUP(Movimientos_2026[[#This Row],[Codigo]],Plan_cuentas[],5,FALSE)," ")</f>
        <v xml:space="preserve"> </v>
      </c>
      <c r="I4957" s="43"/>
      <c r="K4957" t="str">
        <f>IFERROR(+VLOOKUP(Movimientos_2026[[#This Row],[Codigo]],Plan_cuentas[],6,FALSE)," ")</f>
        <v xml:space="preserve"> </v>
      </c>
      <c r="L4957" s="50"/>
      <c r="M4957" s="50"/>
      <c r="N4957" s="20">
        <f>+Movimientos_2026[[#This Row],[Ingresos]]-Movimientos_2026[[#This Row],[Egresos]]</f>
        <v>0</v>
      </c>
      <c r="O4957" s="20">
        <f>+O4956+Movimientos_2026[[#This Row],[Neto]]</f>
        <v>4581558617.7962294</v>
      </c>
    </row>
    <row r="4958" spans="1:15" x14ac:dyDescent="0.25">
      <c r="A4958" s="13"/>
      <c r="B4958" s="12">
        <f>MONTH(Movimientos_2026[[#This Row],[Fecha]])</f>
        <v>1</v>
      </c>
      <c r="C4958" s="12" t="str">
        <f>VLOOKUP((WEEKDAY(Movimientos_2026[[#This Row],[Fecha]],2)),'5. Setup'!$D$6:$E$12,2,FALSE)</f>
        <v>Sab</v>
      </c>
      <c r="E4958" t="str">
        <f>IFERROR(+VLOOKUP(Movimientos_2026[[#This Row],[Codigo]],Plan_cuentas[],2,FALSE)," ")</f>
        <v xml:space="preserve"> </v>
      </c>
      <c r="F4958" t="str">
        <f>IFERROR(+VLOOKUP(Movimientos_2026[[#This Row],[Codigo]],Plan_cuentas[],3,FALSE)," ")</f>
        <v xml:space="preserve"> </v>
      </c>
      <c r="G4958" t="str">
        <f>IFERROR(+VLOOKUP(Movimientos_2026[[#This Row],[Codigo]],Plan_cuentas[],4,FALSE)," ")</f>
        <v xml:space="preserve"> </v>
      </c>
      <c r="H4958" t="str">
        <f>IFERROR(+VLOOKUP(Movimientos_2026[[#This Row],[Codigo]],Plan_cuentas[],5,FALSE)," ")</f>
        <v xml:space="preserve"> </v>
      </c>
      <c r="I4958" s="43"/>
      <c r="K4958" t="str">
        <f>IFERROR(+VLOOKUP(Movimientos_2026[[#This Row],[Codigo]],Plan_cuentas[],6,FALSE)," ")</f>
        <v xml:space="preserve"> </v>
      </c>
      <c r="L4958" s="50"/>
      <c r="M4958" s="50"/>
      <c r="N4958" s="20">
        <f>+Movimientos_2026[[#This Row],[Ingresos]]-Movimientos_2026[[#This Row],[Egresos]]</f>
        <v>0</v>
      </c>
      <c r="O4958" s="20">
        <f>+O4957+Movimientos_2026[[#This Row],[Neto]]</f>
        <v>4581558617.7962294</v>
      </c>
    </row>
    <row r="4959" spans="1:15" x14ac:dyDescent="0.25">
      <c r="A4959" s="13"/>
      <c r="B4959" s="12">
        <f>MONTH(Movimientos_2026[[#This Row],[Fecha]])</f>
        <v>1</v>
      </c>
      <c r="C4959" s="12" t="str">
        <f>VLOOKUP((WEEKDAY(Movimientos_2026[[#This Row],[Fecha]],2)),'5. Setup'!$D$6:$E$12,2,FALSE)</f>
        <v>Sab</v>
      </c>
      <c r="E4959" t="str">
        <f>IFERROR(+VLOOKUP(Movimientos_2026[[#This Row],[Codigo]],Plan_cuentas[],2,FALSE)," ")</f>
        <v xml:space="preserve"> </v>
      </c>
      <c r="F4959" t="str">
        <f>IFERROR(+VLOOKUP(Movimientos_2026[[#This Row],[Codigo]],Plan_cuentas[],3,FALSE)," ")</f>
        <v xml:space="preserve"> </v>
      </c>
      <c r="G4959" t="str">
        <f>IFERROR(+VLOOKUP(Movimientos_2026[[#This Row],[Codigo]],Plan_cuentas[],4,FALSE)," ")</f>
        <v xml:space="preserve"> </v>
      </c>
      <c r="H4959" t="str">
        <f>IFERROR(+VLOOKUP(Movimientos_2026[[#This Row],[Codigo]],Plan_cuentas[],5,FALSE)," ")</f>
        <v xml:space="preserve"> </v>
      </c>
      <c r="I4959" s="43"/>
      <c r="K4959" t="str">
        <f>IFERROR(+VLOOKUP(Movimientos_2026[[#This Row],[Codigo]],Plan_cuentas[],6,FALSE)," ")</f>
        <v xml:space="preserve"> </v>
      </c>
      <c r="L4959" s="50"/>
      <c r="M4959" s="50"/>
      <c r="N4959" s="20">
        <f>+Movimientos_2026[[#This Row],[Ingresos]]-Movimientos_2026[[#This Row],[Egresos]]</f>
        <v>0</v>
      </c>
      <c r="O4959" s="20">
        <f>+O4958+Movimientos_2026[[#This Row],[Neto]]</f>
        <v>4581558617.7962294</v>
      </c>
    </row>
    <row r="4960" spans="1:15" x14ac:dyDescent="0.25">
      <c r="A4960" s="13"/>
      <c r="B4960" s="12">
        <f>MONTH(Movimientos_2026[[#This Row],[Fecha]])</f>
        <v>1</v>
      </c>
      <c r="C4960" s="12" t="str">
        <f>VLOOKUP((WEEKDAY(Movimientos_2026[[#This Row],[Fecha]],2)),'5. Setup'!$D$6:$E$12,2,FALSE)</f>
        <v>Sab</v>
      </c>
      <c r="E4960" t="str">
        <f>IFERROR(+VLOOKUP(Movimientos_2026[[#This Row],[Codigo]],Plan_cuentas[],2,FALSE)," ")</f>
        <v xml:space="preserve"> </v>
      </c>
      <c r="F4960" t="str">
        <f>IFERROR(+VLOOKUP(Movimientos_2026[[#This Row],[Codigo]],Plan_cuentas[],3,FALSE)," ")</f>
        <v xml:space="preserve"> </v>
      </c>
      <c r="G4960" t="str">
        <f>IFERROR(+VLOOKUP(Movimientos_2026[[#This Row],[Codigo]],Plan_cuentas[],4,FALSE)," ")</f>
        <v xml:space="preserve"> </v>
      </c>
      <c r="H4960" t="str">
        <f>IFERROR(+VLOOKUP(Movimientos_2026[[#This Row],[Codigo]],Plan_cuentas[],5,FALSE)," ")</f>
        <v xml:space="preserve"> </v>
      </c>
      <c r="I4960" s="43"/>
      <c r="K4960" t="str">
        <f>IFERROR(+VLOOKUP(Movimientos_2026[[#This Row],[Codigo]],Plan_cuentas[],6,FALSE)," ")</f>
        <v xml:space="preserve"> </v>
      </c>
      <c r="L4960" s="50"/>
      <c r="M4960" s="50"/>
      <c r="N4960" s="20">
        <f>+Movimientos_2026[[#This Row],[Ingresos]]-Movimientos_2026[[#This Row],[Egresos]]</f>
        <v>0</v>
      </c>
      <c r="O4960" s="20">
        <f>+O4959+Movimientos_2026[[#This Row],[Neto]]</f>
        <v>4581558617.7962294</v>
      </c>
    </row>
    <row r="4961" spans="1:15" x14ac:dyDescent="0.25">
      <c r="A4961" s="13"/>
      <c r="B4961" s="12">
        <f>MONTH(Movimientos_2026[[#This Row],[Fecha]])</f>
        <v>1</v>
      </c>
      <c r="C4961" s="12" t="str">
        <f>VLOOKUP((WEEKDAY(Movimientos_2026[[#This Row],[Fecha]],2)),'5. Setup'!$D$6:$E$12,2,FALSE)</f>
        <v>Sab</v>
      </c>
      <c r="E4961" t="str">
        <f>IFERROR(+VLOOKUP(Movimientos_2026[[#This Row],[Codigo]],Plan_cuentas[],2,FALSE)," ")</f>
        <v xml:space="preserve"> </v>
      </c>
      <c r="F4961" t="str">
        <f>IFERROR(+VLOOKUP(Movimientos_2026[[#This Row],[Codigo]],Plan_cuentas[],3,FALSE)," ")</f>
        <v xml:space="preserve"> </v>
      </c>
      <c r="G4961" t="str">
        <f>IFERROR(+VLOOKUP(Movimientos_2026[[#This Row],[Codigo]],Plan_cuentas[],4,FALSE)," ")</f>
        <v xml:space="preserve"> </v>
      </c>
      <c r="H4961" t="str">
        <f>IFERROR(+VLOOKUP(Movimientos_2026[[#This Row],[Codigo]],Plan_cuentas[],5,FALSE)," ")</f>
        <v xml:space="preserve"> </v>
      </c>
      <c r="I4961" s="43"/>
      <c r="K4961" t="str">
        <f>IFERROR(+VLOOKUP(Movimientos_2026[[#This Row],[Codigo]],Plan_cuentas[],6,FALSE)," ")</f>
        <v xml:space="preserve"> </v>
      </c>
      <c r="L4961" s="50"/>
      <c r="M4961" s="50"/>
      <c r="N4961" s="20">
        <f>+Movimientos_2026[[#This Row],[Ingresos]]-Movimientos_2026[[#This Row],[Egresos]]</f>
        <v>0</v>
      </c>
      <c r="O4961" s="20">
        <f>+O4960+Movimientos_2026[[#This Row],[Neto]]</f>
        <v>4581558617.7962294</v>
      </c>
    </row>
    <row r="4962" spans="1:15" x14ac:dyDescent="0.25">
      <c r="A4962" s="13"/>
      <c r="B4962" s="12">
        <f>MONTH(Movimientos_2026[[#This Row],[Fecha]])</f>
        <v>1</v>
      </c>
      <c r="C4962" s="12" t="str">
        <f>VLOOKUP((WEEKDAY(Movimientos_2026[[#This Row],[Fecha]],2)),'5. Setup'!$D$6:$E$12,2,FALSE)</f>
        <v>Sab</v>
      </c>
      <c r="E4962" t="str">
        <f>IFERROR(+VLOOKUP(Movimientos_2026[[#This Row],[Codigo]],Plan_cuentas[],2,FALSE)," ")</f>
        <v xml:space="preserve"> </v>
      </c>
      <c r="F4962" t="str">
        <f>IFERROR(+VLOOKUP(Movimientos_2026[[#This Row],[Codigo]],Plan_cuentas[],3,FALSE)," ")</f>
        <v xml:space="preserve"> </v>
      </c>
      <c r="G4962" t="str">
        <f>IFERROR(+VLOOKUP(Movimientos_2026[[#This Row],[Codigo]],Plan_cuentas[],4,FALSE)," ")</f>
        <v xml:space="preserve"> </v>
      </c>
      <c r="H4962" t="str">
        <f>IFERROR(+VLOOKUP(Movimientos_2026[[#This Row],[Codigo]],Plan_cuentas[],5,FALSE)," ")</f>
        <v xml:space="preserve"> </v>
      </c>
      <c r="I4962" s="43"/>
      <c r="K4962" t="str">
        <f>IFERROR(+VLOOKUP(Movimientos_2026[[#This Row],[Codigo]],Plan_cuentas[],6,FALSE)," ")</f>
        <v xml:space="preserve"> </v>
      </c>
      <c r="L4962" s="50"/>
      <c r="M4962" s="50"/>
      <c r="N4962" s="20">
        <f>+Movimientos_2026[[#This Row],[Ingresos]]-Movimientos_2026[[#This Row],[Egresos]]</f>
        <v>0</v>
      </c>
      <c r="O4962" s="20">
        <f>+O4961+Movimientos_2026[[#This Row],[Neto]]</f>
        <v>4581558617.7962294</v>
      </c>
    </row>
    <row r="4963" spans="1:15" x14ac:dyDescent="0.25">
      <c r="A4963" s="13"/>
      <c r="B4963" s="12">
        <f>MONTH(Movimientos_2026[[#This Row],[Fecha]])</f>
        <v>1</v>
      </c>
      <c r="C4963" s="12" t="str">
        <f>VLOOKUP((WEEKDAY(Movimientos_2026[[#This Row],[Fecha]],2)),'5. Setup'!$D$6:$E$12,2,FALSE)</f>
        <v>Sab</v>
      </c>
      <c r="E4963" t="str">
        <f>IFERROR(+VLOOKUP(Movimientos_2026[[#This Row],[Codigo]],Plan_cuentas[],2,FALSE)," ")</f>
        <v xml:space="preserve"> </v>
      </c>
      <c r="F4963" t="str">
        <f>IFERROR(+VLOOKUP(Movimientos_2026[[#This Row],[Codigo]],Plan_cuentas[],3,FALSE)," ")</f>
        <v xml:space="preserve"> </v>
      </c>
      <c r="G4963" t="str">
        <f>IFERROR(+VLOOKUP(Movimientos_2026[[#This Row],[Codigo]],Plan_cuentas[],4,FALSE)," ")</f>
        <v xml:space="preserve"> </v>
      </c>
      <c r="H4963" t="str">
        <f>IFERROR(+VLOOKUP(Movimientos_2026[[#This Row],[Codigo]],Plan_cuentas[],5,FALSE)," ")</f>
        <v xml:space="preserve"> </v>
      </c>
      <c r="I4963" s="43"/>
      <c r="K4963" t="str">
        <f>IFERROR(+VLOOKUP(Movimientos_2026[[#This Row],[Codigo]],Plan_cuentas[],6,FALSE)," ")</f>
        <v xml:space="preserve"> </v>
      </c>
      <c r="L4963" s="50"/>
      <c r="M4963" s="50"/>
      <c r="N4963" s="20">
        <f>+Movimientos_2026[[#This Row],[Ingresos]]-Movimientos_2026[[#This Row],[Egresos]]</f>
        <v>0</v>
      </c>
      <c r="O4963" s="20">
        <f>+O4962+Movimientos_2026[[#This Row],[Neto]]</f>
        <v>4581558617.7962294</v>
      </c>
    </row>
    <row r="4964" spans="1:15" x14ac:dyDescent="0.25">
      <c r="A4964" s="13"/>
      <c r="B4964" s="12">
        <f>MONTH(Movimientos_2026[[#This Row],[Fecha]])</f>
        <v>1</v>
      </c>
      <c r="C4964" s="12" t="str">
        <f>VLOOKUP((WEEKDAY(Movimientos_2026[[#This Row],[Fecha]],2)),'5. Setup'!$D$6:$E$12,2,FALSE)</f>
        <v>Sab</v>
      </c>
      <c r="E4964" t="str">
        <f>IFERROR(+VLOOKUP(Movimientos_2026[[#This Row],[Codigo]],Plan_cuentas[],2,FALSE)," ")</f>
        <v xml:space="preserve"> </v>
      </c>
      <c r="F4964" t="str">
        <f>IFERROR(+VLOOKUP(Movimientos_2026[[#This Row],[Codigo]],Plan_cuentas[],3,FALSE)," ")</f>
        <v xml:space="preserve"> </v>
      </c>
      <c r="G4964" t="str">
        <f>IFERROR(+VLOOKUP(Movimientos_2026[[#This Row],[Codigo]],Plan_cuentas[],4,FALSE)," ")</f>
        <v xml:space="preserve"> </v>
      </c>
      <c r="H4964" t="str">
        <f>IFERROR(+VLOOKUP(Movimientos_2026[[#This Row],[Codigo]],Plan_cuentas[],5,FALSE)," ")</f>
        <v xml:space="preserve"> </v>
      </c>
      <c r="I4964" s="43"/>
      <c r="K4964" t="str">
        <f>IFERROR(+VLOOKUP(Movimientos_2026[[#This Row],[Codigo]],Plan_cuentas[],6,FALSE)," ")</f>
        <v xml:space="preserve"> </v>
      </c>
      <c r="L4964" s="50"/>
      <c r="M4964" s="50"/>
      <c r="N4964" s="20">
        <f>+Movimientos_2026[[#This Row],[Ingresos]]-Movimientos_2026[[#This Row],[Egresos]]</f>
        <v>0</v>
      </c>
      <c r="O4964" s="20">
        <f>+O4963+Movimientos_2026[[#This Row],[Neto]]</f>
        <v>4581558617.7962294</v>
      </c>
    </row>
    <row r="4965" spans="1:15" x14ac:dyDescent="0.25">
      <c r="A4965" s="13"/>
      <c r="B4965" s="12">
        <f>MONTH(Movimientos_2026[[#This Row],[Fecha]])</f>
        <v>1</v>
      </c>
      <c r="C4965" s="12" t="str">
        <f>VLOOKUP((WEEKDAY(Movimientos_2026[[#This Row],[Fecha]],2)),'5. Setup'!$D$6:$E$12,2,FALSE)</f>
        <v>Sab</v>
      </c>
      <c r="E4965" t="str">
        <f>IFERROR(+VLOOKUP(Movimientos_2026[[#This Row],[Codigo]],Plan_cuentas[],2,FALSE)," ")</f>
        <v xml:space="preserve"> </v>
      </c>
      <c r="F4965" t="str">
        <f>IFERROR(+VLOOKUP(Movimientos_2026[[#This Row],[Codigo]],Plan_cuentas[],3,FALSE)," ")</f>
        <v xml:space="preserve"> </v>
      </c>
      <c r="G4965" t="str">
        <f>IFERROR(+VLOOKUP(Movimientos_2026[[#This Row],[Codigo]],Plan_cuentas[],4,FALSE)," ")</f>
        <v xml:space="preserve"> </v>
      </c>
      <c r="H4965" t="str">
        <f>IFERROR(+VLOOKUP(Movimientos_2026[[#This Row],[Codigo]],Plan_cuentas[],5,FALSE)," ")</f>
        <v xml:space="preserve"> </v>
      </c>
      <c r="I4965" s="43"/>
      <c r="K4965" t="str">
        <f>IFERROR(+VLOOKUP(Movimientos_2026[[#This Row],[Codigo]],Plan_cuentas[],6,FALSE)," ")</f>
        <v xml:space="preserve"> </v>
      </c>
      <c r="L4965" s="50"/>
      <c r="M4965" s="50"/>
      <c r="N4965" s="20">
        <f>+Movimientos_2026[[#This Row],[Ingresos]]-Movimientos_2026[[#This Row],[Egresos]]</f>
        <v>0</v>
      </c>
      <c r="O4965" s="20">
        <f>+O4964+Movimientos_2026[[#This Row],[Neto]]</f>
        <v>4581558617.7962294</v>
      </c>
    </row>
    <row r="4966" spans="1:15" x14ac:dyDescent="0.25">
      <c r="A4966" s="13"/>
      <c r="B4966" s="12">
        <f>MONTH(Movimientos_2026[[#This Row],[Fecha]])</f>
        <v>1</v>
      </c>
      <c r="C4966" s="12" t="str">
        <f>VLOOKUP((WEEKDAY(Movimientos_2026[[#This Row],[Fecha]],2)),'5. Setup'!$D$6:$E$12,2,FALSE)</f>
        <v>Sab</v>
      </c>
      <c r="E4966" t="str">
        <f>IFERROR(+VLOOKUP(Movimientos_2026[[#This Row],[Codigo]],Plan_cuentas[],2,FALSE)," ")</f>
        <v xml:space="preserve"> </v>
      </c>
      <c r="F4966" t="str">
        <f>IFERROR(+VLOOKUP(Movimientos_2026[[#This Row],[Codigo]],Plan_cuentas[],3,FALSE)," ")</f>
        <v xml:space="preserve"> </v>
      </c>
      <c r="G4966" t="str">
        <f>IFERROR(+VLOOKUP(Movimientos_2026[[#This Row],[Codigo]],Plan_cuentas[],4,FALSE)," ")</f>
        <v xml:space="preserve"> </v>
      </c>
      <c r="H4966" t="str">
        <f>IFERROR(+VLOOKUP(Movimientos_2026[[#This Row],[Codigo]],Plan_cuentas[],5,FALSE)," ")</f>
        <v xml:space="preserve"> </v>
      </c>
      <c r="I4966" s="43"/>
      <c r="K4966" t="str">
        <f>IFERROR(+VLOOKUP(Movimientos_2026[[#This Row],[Codigo]],Plan_cuentas[],6,FALSE)," ")</f>
        <v xml:space="preserve"> </v>
      </c>
      <c r="L4966" s="50"/>
      <c r="M4966" s="50"/>
      <c r="N4966" s="20">
        <f>+Movimientos_2026[[#This Row],[Ingresos]]-Movimientos_2026[[#This Row],[Egresos]]</f>
        <v>0</v>
      </c>
      <c r="O4966" s="20">
        <f>+O4965+Movimientos_2026[[#This Row],[Neto]]</f>
        <v>4581558617.7962294</v>
      </c>
    </row>
    <row r="4967" spans="1:15" x14ac:dyDescent="0.25">
      <c r="A4967" s="13"/>
      <c r="B4967" s="12">
        <f>MONTH(Movimientos_2026[[#This Row],[Fecha]])</f>
        <v>1</v>
      </c>
      <c r="C4967" s="12" t="str">
        <f>VLOOKUP((WEEKDAY(Movimientos_2026[[#This Row],[Fecha]],2)),'5. Setup'!$D$6:$E$12,2,FALSE)</f>
        <v>Sab</v>
      </c>
      <c r="E4967" t="str">
        <f>IFERROR(+VLOOKUP(Movimientos_2026[[#This Row],[Codigo]],Plan_cuentas[],2,FALSE)," ")</f>
        <v xml:space="preserve"> </v>
      </c>
      <c r="F4967" t="str">
        <f>IFERROR(+VLOOKUP(Movimientos_2026[[#This Row],[Codigo]],Plan_cuentas[],3,FALSE)," ")</f>
        <v xml:space="preserve"> </v>
      </c>
      <c r="G4967" t="str">
        <f>IFERROR(+VLOOKUP(Movimientos_2026[[#This Row],[Codigo]],Plan_cuentas[],4,FALSE)," ")</f>
        <v xml:space="preserve"> </v>
      </c>
      <c r="H4967" t="str">
        <f>IFERROR(+VLOOKUP(Movimientos_2026[[#This Row],[Codigo]],Plan_cuentas[],5,FALSE)," ")</f>
        <v xml:space="preserve"> </v>
      </c>
      <c r="I4967" s="43"/>
      <c r="K4967" t="str">
        <f>IFERROR(+VLOOKUP(Movimientos_2026[[#This Row],[Codigo]],Plan_cuentas[],6,FALSE)," ")</f>
        <v xml:space="preserve"> </v>
      </c>
      <c r="L4967" s="50"/>
      <c r="M4967" s="50"/>
      <c r="N4967" s="20">
        <f>+Movimientos_2026[[#This Row],[Ingresos]]-Movimientos_2026[[#This Row],[Egresos]]</f>
        <v>0</v>
      </c>
      <c r="O4967" s="20">
        <f>+O4966+Movimientos_2026[[#This Row],[Neto]]</f>
        <v>4581558617.7962294</v>
      </c>
    </row>
    <row r="4968" spans="1:15" x14ac:dyDescent="0.25">
      <c r="A4968" s="13"/>
      <c r="B4968" s="12">
        <f>MONTH(Movimientos_2026[[#This Row],[Fecha]])</f>
        <v>1</v>
      </c>
      <c r="C4968" s="12" t="str">
        <f>VLOOKUP((WEEKDAY(Movimientos_2026[[#This Row],[Fecha]],2)),'5. Setup'!$D$6:$E$12,2,FALSE)</f>
        <v>Sab</v>
      </c>
      <c r="E4968" t="str">
        <f>IFERROR(+VLOOKUP(Movimientos_2026[[#This Row],[Codigo]],Plan_cuentas[],2,FALSE)," ")</f>
        <v xml:space="preserve"> </v>
      </c>
      <c r="F4968" t="str">
        <f>IFERROR(+VLOOKUP(Movimientos_2026[[#This Row],[Codigo]],Plan_cuentas[],3,FALSE)," ")</f>
        <v xml:space="preserve"> </v>
      </c>
      <c r="G4968" t="str">
        <f>IFERROR(+VLOOKUP(Movimientos_2026[[#This Row],[Codigo]],Plan_cuentas[],4,FALSE)," ")</f>
        <v xml:space="preserve"> </v>
      </c>
      <c r="H4968" t="str">
        <f>IFERROR(+VLOOKUP(Movimientos_2026[[#This Row],[Codigo]],Plan_cuentas[],5,FALSE)," ")</f>
        <v xml:space="preserve"> </v>
      </c>
      <c r="I4968" s="43"/>
      <c r="K4968" t="str">
        <f>IFERROR(+VLOOKUP(Movimientos_2026[[#This Row],[Codigo]],Plan_cuentas[],6,FALSE)," ")</f>
        <v xml:space="preserve"> </v>
      </c>
      <c r="L4968" s="50"/>
      <c r="M4968" s="50"/>
      <c r="N4968" s="20">
        <f>+Movimientos_2026[[#This Row],[Ingresos]]-Movimientos_2026[[#This Row],[Egresos]]</f>
        <v>0</v>
      </c>
      <c r="O4968" s="20">
        <f>+O4967+Movimientos_2026[[#This Row],[Neto]]</f>
        <v>4581558617.7962294</v>
      </c>
    </row>
    <row r="4969" spans="1:15" x14ac:dyDescent="0.25">
      <c r="A4969" s="13"/>
      <c r="B4969" s="12">
        <f>MONTH(Movimientos_2026[[#This Row],[Fecha]])</f>
        <v>1</v>
      </c>
      <c r="C4969" s="12" t="str">
        <f>VLOOKUP((WEEKDAY(Movimientos_2026[[#This Row],[Fecha]],2)),'5. Setup'!$D$6:$E$12,2,FALSE)</f>
        <v>Sab</v>
      </c>
      <c r="E4969" t="str">
        <f>IFERROR(+VLOOKUP(Movimientos_2026[[#This Row],[Codigo]],Plan_cuentas[],2,FALSE)," ")</f>
        <v xml:space="preserve"> </v>
      </c>
      <c r="F4969" t="str">
        <f>IFERROR(+VLOOKUP(Movimientos_2026[[#This Row],[Codigo]],Plan_cuentas[],3,FALSE)," ")</f>
        <v xml:space="preserve"> </v>
      </c>
      <c r="G4969" t="str">
        <f>IFERROR(+VLOOKUP(Movimientos_2026[[#This Row],[Codigo]],Plan_cuentas[],4,FALSE)," ")</f>
        <v xml:space="preserve"> </v>
      </c>
      <c r="H4969" t="str">
        <f>IFERROR(+VLOOKUP(Movimientos_2026[[#This Row],[Codigo]],Plan_cuentas[],5,FALSE)," ")</f>
        <v xml:space="preserve"> </v>
      </c>
      <c r="I4969" s="43"/>
      <c r="K4969" t="str">
        <f>IFERROR(+VLOOKUP(Movimientos_2026[[#This Row],[Codigo]],Plan_cuentas[],6,FALSE)," ")</f>
        <v xml:space="preserve"> </v>
      </c>
      <c r="L4969" s="50"/>
      <c r="M4969" s="50"/>
      <c r="N4969" s="20">
        <f>+Movimientos_2026[[#This Row],[Ingresos]]-Movimientos_2026[[#This Row],[Egresos]]</f>
        <v>0</v>
      </c>
      <c r="O4969" s="20">
        <f>+O4968+Movimientos_2026[[#This Row],[Neto]]</f>
        <v>4581558617.7962294</v>
      </c>
    </row>
    <row r="4970" spans="1:15" x14ac:dyDescent="0.25">
      <c r="A4970" s="13"/>
      <c r="B4970" s="12">
        <f>MONTH(Movimientos_2026[[#This Row],[Fecha]])</f>
        <v>1</v>
      </c>
      <c r="C4970" s="12" t="str">
        <f>VLOOKUP((WEEKDAY(Movimientos_2026[[#This Row],[Fecha]],2)),'5. Setup'!$D$6:$E$12,2,FALSE)</f>
        <v>Sab</v>
      </c>
      <c r="E4970" t="str">
        <f>IFERROR(+VLOOKUP(Movimientos_2026[[#This Row],[Codigo]],Plan_cuentas[],2,FALSE)," ")</f>
        <v xml:space="preserve"> </v>
      </c>
      <c r="F4970" t="str">
        <f>IFERROR(+VLOOKUP(Movimientos_2026[[#This Row],[Codigo]],Plan_cuentas[],3,FALSE)," ")</f>
        <v xml:space="preserve"> </v>
      </c>
      <c r="G4970" t="str">
        <f>IFERROR(+VLOOKUP(Movimientos_2026[[#This Row],[Codigo]],Plan_cuentas[],4,FALSE)," ")</f>
        <v xml:space="preserve"> </v>
      </c>
      <c r="H4970" t="str">
        <f>IFERROR(+VLOOKUP(Movimientos_2026[[#This Row],[Codigo]],Plan_cuentas[],5,FALSE)," ")</f>
        <v xml:space="preserve"> </v>
      </c>
      <c r="I4970" s="43"/>
      <c r="K4970" t="str">
        <f>IFERROR(+VLOOKUP(Movimientos_2026[[#This Row],[Codigo]],Plan_cuentas[],6,FALSE)," ")</f>
        <v xml:space="preserve"> </v>
      </c>
      <c r="L4970" s="50"/>
      <c r="M4970" s="50"/>
      <c r="N4970" s="20">
        <f>+Movimientos_2026[[#This Row],[Ingresos]]-Movimientos_2026[[#This Row],[Egresos]]</f>
        <v>0</v>
      </c>
      <c r="O4970" s="20">
        <f>+O4969+Movimientos_2026[[#This Row],[Neto]]</f>
        <v>4581558617.7962294</v>
      </c>
    </row>
    <row r="4971" spans="1:15" x14ac:dyDescent="0.25">
      <c r="A4971" s="13"/>
      <c r="B4971" s="12">
        <f>MONTH(Movimientos_2026[[#This Row],[Fecha]])</f>
        <v>1</v>
      </c>
      <c r="C4971" s="12" t="str">
        <f>VLOOKUP((WEEKDAY(Movimientos_2026[[#This Row],[Fecha]],2)),'5. Setup'!$D$6:$E$12,2,FALSE)</f>
        <v>Sab</v>
      </c>
      <c r="E4971" t="str">
        <f>IFERROR(+VLOOKUP(Movimientos_2026[[#This Row],[Codigo]],Plan_cuentas[],2,FALSE)," ")</f>
        <v xml:space="preserve"> </v>
      </c>
      <c r="F4971" t="str">
        <f>IFERROR(+VLOOKUP(Movimientos_2026[[#This Row],[Codigo]],Plan_cuentas[],3,FALSE)," ")</f>
        <v xml:space="preserve"> </v>
      </c>
      <c r="G4971" t="str">
        <f>IFERROR(+VLOOKUP(Movimientos_2026[[#This Row],[Codigo]],Plan_cuentas[],4,FALSE)," ")</f>
        <v xml:space="preserve"> </v>
      </c>
      <c r="H4971" t="str">
        <f>IFERROR(+VLOOKUP(Movimientos_2026[[#This Row],[Codigo]],Plan_cuentas[],5,FALSE)," ")</f>
        <v xml:space="preserve"> </v>
      </c>
      <c r="I4971" s="43"/>
      <c r="K4971" t="str">
        <f>IFERROR(+VLOOKUP(Movimientos_2026[[#This Row],[Codigo]],Plan_cuentas[],6,FALSE)," ")</f>
        <v xml:space="preserve"> </v>
      </c>
      <c r="L4971" s="50"/>
      <c r="M4971" s="50"/>
      <c r="N4971" s="20">
        <f>+Movimientos_2026[[#This Row],[Ingresos]]-Movimientos_2026[[#This Row],[Egresos]]</f>
        <v>0</v>
      </c>
      <c r="O4971" s="20">
        <f>+O4970+Movimientos_2026[[#This Row],[Neto]]</f>
        <v>4581558617.7962294</v>
      </c>
    </row>
    <row r="4972" spans="1:15" x14ac:dyDescent="0.25">
      <c r="A4972" s="13"/>
      <c r="B4972" s="12">
        <f>MONTH(Movimientos_2026[[#This Row],[Fecha]])</f>
        <v>1</v>
      </c>
      <c r="C4972" s="12" t="str">
        <f>VLOOKUP((WEEKDAY(Movimientos_2026[[#This Row],[Fecha]],2)),'5. Setup'!$D$6:$E$12,2,FALSE)</f>
        <v>Sab</v>
      </c>
      <c r="E4972" t="str">
        <f>IFERROR(+VLOOKUP(Movimientos_2026[[#This Row],[Codigo]],Plan_cuentas[],2,FALSE)," ")</f>
        <v xml:space="preserve"> </v>
      </c>
      <c r="F4972" t="str">
        <f>IFERROR(+VLOOKUP(Movimientos_2026[[#This Row],[Codigo]],Plan_cuentas[],3,FALSE)," ")</f>
        <v xml:space="preserve"> </v>
      </c>
      <c r="G4972" t="str">
        <f>IFERROR(+VLOOKUP(Movimientos_2026[[#This Row],[Codigo]],Plan_cuentas[],4,FALSE)," ")</f>
        <v xml:space="preserve"> </v>
      </c>
      <c r="H4972" t="str">
        <f>IFERROR(+VLOOKUP(Movimientos_2026[[#This Row],[Codigo]],Plan_cuentas[],5,FALSE)," ")</f>
        <v xml:space="preserve"> </v>
      </c>
      <c r="I4972" s="43"/>
      <c r="K4972" t="str">
        <f>IFERROR(+VLOOKUP(Movimientos_2026[[#This Row],[Codigo]],Plan_cuentas[],6,FALSE)," ")</f>
        <v xml:space="preserve"> </v>
      </c>
      <c r="L4972" s="50"/>
      <c r="M4972" s="50"/>
      <c r="N4972" s="20">
        <f>+Movimientos_2026[[#This Row],[Ingresos]]-Movimientos_2026[[#This Row],[Egresos]]</f>
        <v>0</v>
      </c>
      <c r="O4972" s="20">
        <f>+O4971+Movimientos_2026[[#This Row],[Neto]]</f>
        <v>4581558617.7962294</v>
      </c>
    </row>
    <row r="4973" spans="1:15" x14ac:dyDescent="0.25">
      <c r="A4973" s="13"/>
      <c r="B4973" s="12">
        <f>MONTH(Movimientos_2026[[#This Row],[Fecha]])</f>
        <v>1</v>
      </c>
      <c r="C4973" s="12" t="str">
        <f>VLOOKUP((WEEKDAY(Movimientos_2026[[#This Row],[Fecha]],2)),'5. Setup'!$D$6:$E$12,2,FALSE)</f>
        <v>Sab</v>
      </c>
      <c r="E4973" t="str">
        <f>IFERROR(+VLOOKUP(Movimientos_2026[[#This Row],[Codigo]],Plan_cuentas[],2,FALSE)," ")</f>
        <v xml:space="preserve"> </v>
      </c>
      <c r="F4973" t="str">
        <f>IFERROR(+VLOOKUP(Movimientos_2026[[#This Row],[Codigo]],Plan_cuentas[],3,FALSE)," ")</f>
        <v xml:space="preserve"> </v>
      </c>
      <c r="G4973" t="str">
        <f>IFERROR(+VLOOKUP(Movimientos_2026[[#This Row],[Codigo]],Plan_cuentas[],4,FALSE)," ")</f>
        <v xml:space="preserve"> </v>
      </c>
      <c r="H4973" t="str">
        <f>IFERROR(+VLOOKUP(Movimientos_2026[[#This Row],[Codigo]],Plan_cuentas[],5,FALSE)," ")</f>
        <v xml:space="preserve"> </v>
      </c>
      <c r="I4973" s="43"/>
      <c r="K4973" t="str">
        <f>IFERROR(+VLOOKUP(Movimientos_2026[[#This Row],[Codigo]],Plan_cuentas[],6,FALSE)," ")</f>
        <v xml:space="preserve"> </v>
      </c>
      <c r="L4973" s="50"/>
      <c r="M4973" s="50"/>
      <c r="N4973" s="20">
        <f>+Movimientos_2026[[#This Row],[Ingresos]]-Movimientos_2026[[#This Row],[Egresos]]</f>
        <v>0</v>
      </c>
      <c r="O4973" s="20">
        <f>+O4972+Movimientos_2026[[#This Row],[Neto]]</f>
        <v>4581558617.7962294</v>
      </c>
    </row>
    <row r="4974" spans="1:15" x14ac:dyDescent="0.25">
      <c r="A4974" s="13"/>
      <c r="B4974" s="12">
        <f>MONTH(Movimientos_2026[[#This Row],[Fecha]])</f>
        <v>1</v>
      </c>
      <c r="C4974" s="12" t="str">
        <f>VLOOKUP((WEEKDAY(Movimientos_2026[[#This Row],[Fecha]],2)),'5. Setup'!$D$6:$E$12,2,FALSE)</f>
        <v>Sab</v>
      </c>
      <c r="E4974" t="str">
        <f>IFERROR(+VLOOKUP(Movimientos_2026[[#This Row],[Codigo]],Plan_cuentas[],2,FALSE)," ")</f>
        <v xml:space="preserve"> </v>
      </c>
      <c r="F4974" t="str">
        <f>IFERROR(+VLOOKUP(Movimientos_2026[[#This Row],[Codigo]],Plan_cuentas[],3,FALSE)," ")</f>
        <v xml:space="preserve"> </v>
      </c>
      <c r="G4974" t="str">
        <f>IFERROR(+VLOOKUP(Movimientos_2026[[#This Row],[Codigo]],Plan_cuentas[],4,FALSE)," ")</f>
        <v xml:space="preserve"> </v>
      </c>
      <c r="H4974" t="str">
        <f>IFERROR(+VLOOKUP(Movimientos_2026[[#This Row],[Codigo]],Plan_cuentas[],5,FALSE)," ")</f>
        <v xml:space="preserve"> </v>
      </c>
      <c r="I4974" s="43"/>
      <c r="K4974" t="str">
        <f>IFERROR(+VLOOKUP(Movimientos_2026[[#This Row],[Codigo]],Plan_cuentas[],6,FALSE)," ")</f>
        <v xml:space="preserve"> </v>
      </c>
      <c r="L4974" s="50"/>
      <c r="M4974" s="50"/>
      <c r="N4974" s="20">
        <f>+Movimientos_2026[[#This Row],[Ingresos]]-Movimientos_2026[[#This Row],[Egresos]]</f>
        <v>0</v>
      </c>
      <c r="O4974" s="20">
        <f>+O4973+Movimientos_2026[[#This Row],[Neto]]</f>
        <v>4581558617.7962294</v>
      </c>
    </row>
    <row r="4975" spans="1:15" x14ac:dyDescent="0.25">
      <c r="A4975" s="13"/>
      <c r="B4975" s="12">
        <f>MONTH(Movimientos_2026[[#This Row],[Fecha]])</f>
        <v>1</v>
      </c>
      <c r="C4975" s="12" t="str">
        <f>VLOOKUP((WEEKDAY(Movimientos_2026[[#This Row],[Fecha]],2)),'5. Setup'!$D$6:$E$12,2,FALSE)</f>
        <v>Sab</v>
      </c>
      <c r="E4975" t="str">
        <f>IFERROR(+VLOOKUP(Movimientos_2026[[#This Row],[Codigo]],Plan_cuentas[],2,FALSE)," ")</f>
        <v xml:space="preserve"> </v>
      </c>
      <c r="F4975" t="str">
        <f>IFERROR(+VLOOKUP(Movimientos_2026[[#This Row],[Codigo]],Plan_cuentas[],3,FALSE)," ")</f>
        <v xml:space="preserve"> </v>
      </c>
      <c r="G4975" t="str">
        <f>IFERROR(+VLOOKUP(Movimientos_2026[[#This Row],[Codigo]],Plan_cuentas[],4,FALSE)," ")</f>
        <v xml:space="preserve"> </v>
      </c>
      <c r="H4975" t="str">
        <f>IFERROR(+VLOOKUP(Movimientos_2026[[#This Row],[Codigo]],Plan_cuentas[],5,FALSE)," ")</f>
        <v xml:space="preserve"> </v>
      </c>
      <c r="I4975" s="43"/>
      <c r="K4975" t="str">
        <f>IFERROR(+VLOOKUP(Movimientos_2026[[#This Row],[Codigo]],Plan_cuentas[],6,FALSE)," ")</f>
        <v xml:space="preserve"> </v>
      </c>
      <c r="L4975" s="50"/>
      <c r="M4975" s="50"/>
      <c r="N4975" s="20">
        <f>+Movimientos_2026[[#This Row],[Ingresos]]-Movimientos_2026[[#This Row],[Egresos]]</f>
        <v>0</v>
      </c>
      <c r="O4975" s="20">
        <f>+O4974+Movimientos_2026[[#This Row],[Neto]]</f>
        <v>4581558617.7962294</v>
      </c>
    </row>
    <row r="4976" spans="1:15" x14ac:dyDescent="0.25">
      <c r="A4976" s="13"/>
      <c r="B4976" s="12">
        <f>MONTH(Movimientos_2026[[#This Row],[Fecha]])</f>
        <v>1</v>
      </c>
      <c r="C4976" s="12" t="str">
        <f>VLOOKUP((WEEKDAY(Movimientos_2026[[#This Row],[Fecha]],2)),'5. Setup'!$D$6:$E$12,2,FALSE)</f>
        <v>Sab</v>
      </c>
      <c r="E4976" t="str">
        <f>IFERROR(+VLOOKUP(Movimientos_2026[[#This Row],[Codigo]],Plan_cuentas[],2,FALSE)," ")</f>
        <v xml:space="preserve"> </v>
      </c>
      <c r="F4976" t="str">
        <f>IFERROR(+VLOOKUP(Movimientos_2026[[#This Row],[Codigo]],Plan_cuentas[],3,FALSE)," ")</f>
        <v xml:space="preserve"> </v>
      </c>
      <c r="G4976" t="str">
        <f>IFERROR(+VLOOKUP(Movimientos_2026[[#This Row],[Codigo]],Plan_cuentas[],4,FALSE)," ")</f>
        <v xml:space="preserve"> </v>
      </c>
      <c r="H4976" t="str">
        <f>IFERROR(+VLOOKUP(Movimientos_2026[[#This Row],[Codigo]],Plan_cuentas[],5,FALSE)," ")</f>
        <v xml:space="preserve"> </v>
      </c>
      <c r="I4976" s="43"/>
      <c r="K4976" t="str">
        <f>IFERROR(+VLOOKUP(Movimientos_2026[[#This Row],[Codigo]],Plan_cuentas[],6,FALSE)," ")</f>
        <v xml:space="preserve"> </v>
      </c>
      <c r="L4976" s="50"/>
      <c r="M4976" s="50"/>
      <c r="N4976" s="20">
        <f>+Movimientos_2026[[#This Row],[Ingresos]]-Movimientos_2026[[#This Row],[Egresos]]</f>
        <v>0</v>
      </c>
      <c r="O4976" s="20">
        <f>+O4975+Movimientos_2026[[#This Row],[Neto]]</f>
        <v>4581558617.7962294</v>
      </c>
    </row>
    <row r="4977" spans="1:15" x14ac:dyDescent="0.25">
      <c r="A4977" s="13"/>
      <c r="B4977" s="12">
        <f>MONTH(Movimientos_2026[[#This Row],[Fecha]])</f>
        <v>1</v>
      </c>
      <c r="C4977" s="12" t="str">
        <f>VLOOKUP((WEEKDAY(Movimientos_2026[[#This Row],[Fecha]],2)),'5. Setup'!$D$6:$E$12,2,FALSE)</f>
        <v>Sab</v>
      </c>
      <c r="E4977" t="str">
        <f>IFERROR(+VLOOKUP(Movimientos_2026[[#This Row],[Codigo]],Plan_cuentas[],2,FALSE)," ")</f>
        <v xml:space="preserve"> </v>
      </c>
      <c r="F4977" t="str">
        <f>IFERROR(+VLOOKUP(Movimientos_2026[[#This Row],[Codigo]],Plan_cuentas[],3,FALSE)," ")</f>
        <v xml:space="preserve"> </v>
      </c>
      <c r="G4977" t="str">
        <f>IFERROR(+VLOOKUP(Movimientos_2026[[#This Row],[Codigo]],Plan_cuentas[],4,FALSE)," ")</f>
        <v xml:space="preserve"> </v>
      </c>
      <c r="H4977" t="str">
        <f>IFERROR(+VLOOKUP(Movimientos_2026[[#This Row],[Codigo]],Plan_cuentas[],5,FALSE)," ")</f>
        <v xml:space="preserve"> </v>
      </c>
      <c r="I4977" s="43"/>
      <c r="K4977" t="str">
        <f>IFERROR(+VLOOKUP(Movimientos_2026[[#This Row],[Codigo]],Plan_cuentas[],6,FALSE)," ")</f>
        <v xml:space="preserve"> </v>
      </c>
      <c r="L4977" s="50"/>
      <c r="M4977" s="50"/>
      <c r="N4977" s="20">
        <f>+Movimientos_2026[[#This Row],[Ingresos]]-Movimientos_2026[[#This Row],[Egresos]]</f>
        <v>0</v>
      </c>
      <c r="O4977" s="20">
        <f>+O4976+Movimientos_2026[[#This Row],[Neto]]</f>
        <v>4581558617.7962294</v>
      </c>
    </row>
    <row r="4978" spans="1:15" x14ac:dyDescent="0.25">
      <c r="A4978" s="13"/>
      <c r="B4978" s="12">
        <f>MONTH(Movimientos_2026[[#This Row],[Fecha]])</f>
        <v>1</v>
      </c>
      <c r="C4978" s="12" t="str">
        <f>VLOOKUP((WEEKDAY(Movimientos_2026[[#This Row],[Fecha]],2)),'5. Setup'!$D$6:$E$12,2,FALSE)</f>
        <v>Sab</v>
      </c>
      <c r="E4978" t="str">
        <f>IFERROR(+VLOOKUP(Movimientos_2026[[#This Row],[Codigo]],Plan_cuentas[],2,FALSE)," ")</f>
        <v xml:space="preserve"> </v>
      </c>
      <c r="F4978" t="str">
        <f>IFERROR(+VLOOKUP(Movimientos_2026[[#This Row],[Codigo]],Plan_cuentas[],3,FALSE)," ")</f>
        <v xml:space="preserve"> </v>
      </c>
      <c r="G4978" t="str">
        <f>IFERROR(+VLOOKUP(Movimientos_2026[[#This Row],[Codigo]],Plan_cuentas[],4,FALSE)," ")</f>
        <v xml:space="preserve"> </v>
      </c>
      <c r="H4978" t="str">
        <f>IFERROR(+VLOOKUP(Movimientos_2026[[#This Row],[Codigo]],Plan_cuentas[],5,FALSE)," ")</f>
        <v xml:space="preserve"> </v>
      </c>
      <c r="I4978" s="43"/>
      <c r="K4978" t="str">
        <f>IFERROR(+VLOOKUP(Movimientos_2026[[#This Row],[Codigo]],Plan_cuentas[],6,FALSE)," ")</f>
        <v xml:space="preserve"> </v>
      </c>
      <c r="L4978" s="50"/>
      <c r="M4978" s="50"/>
      <c r="N4978" s="20">
        <f>+Movimientos_2026[[#This Row],[Ingresos]]-Movimientos_2026[[#This Row],[Egresos]]</f>
        <v>0</v>
      </c>
      <c r="O4978" s="20">
        <f>+O4977+Movimientos_2026[[#This Row],[Neto]]</f>
        <v>4581558617.7962294</v>
      </c>
    </row>
    <row r="4979" spans="1:15" x14ac:dyDescent="0.25">
      <c r="A4979" s="13"/>
      <c r="B4979" s="12">
        <f>MONTH(Movimientos_2026[[#This Row],[Fecha]])</f>
        <v>1</v>
      </c>
      <c r="C4979" s="12" t="str">
        <f>VLOOKUP((WEEKDAY(Movimientos_2026[[#This Row],[Fecha]],2)),'5. Setup'!$D$6:$E$12,2,FALSE)</f>
        <v>Sab</v>
      </c>
      <c r="E4979" t="str">
        <f>IFERROR(+VLOOKUP(Movimientos_2026[[#This Row],[Codigo]],Plan_cuentas[],2,FALSE)," ")</f>
        <v xml:space="preserve"> </v>
      </c>
      <c r="F4979" t="str">
        <f>IFERROR(+VLOOKUP(Movimientos_2026[[#This Row],[Codigo]],Plan_cuentas[],3,FALSE)," ")</f>
        <v xml:space="preserve"> </v>
      </c>
      <c r="G4979" t="str">
        <f>IFERROR(+VLOOKUP(Movimientos_2026[[#This Row],[Codigo]],Plan_cuentas[],4,FALSE)," ")</f>
        <v xml:space="preserve"> </v>
      </c>
      <c r="H4979" t="str">
        <f>IFERROR(+VLOOKUP(Movimientos_2026[[#This Row],[Codigo]],Plan_cuentas[],5,FALSE)," ")</f>
        <v xml:space="preserve"> </v>
      </c>
      <c r="I4979" s="43"/>
      <c r="K4979" t="str">
        <f>IFERROR(+VLOOKUP(Movimientos_2026[[#This Row],[Codigo]],Plan_cuentas[],6,FALSE)," ")</f>
        <v xml:space="preserve"> </v>
      </c>
      <c r="L4979" s="50"/>
      <c r="M4979" s="50"/>
      <c r="N4979" s="20">
        <f>+Movimientos_2026[[#This Row],[Ingresos]]-Movimientos_2026[[#This Row],[Egresos]]</f>
        <v>0</v>
      </c>
      <c r="O4979" s="20">
        <f>+O4978+Movimientos_2026[[#This Row],[Neto]]</f>
        <v>4581558617.7962294</v>
      </c>
    </row>
    <row r="4980" spans="1:15" x14ac:dyDescent="0.25">
      <c r="A4980" s="13"/>
      <c r="B4980" s="12">
        <f>MONTH(Movimientos_2026[[#This Row],[Fecha]])</f>
        <v>1</v>
      </c>
      <c r="C4980" s="12" t="str">
        <f>VLOOKUP((WEEKDAY(Movimientos_2026[[#This Row],[Fecha]],2)),'5. Setup'!$D$6:$E$12,2,FALSE)</f>
        <v>Sab</v>
      </c>
      <c r="E4980" t="str">
        <f>IFERROR(+VLOOKUP(Movimientos_2026[[#This Row],[Codigo]],Plan_cuentas[],2,FALSE)," ")</f>
        <v xml:space="preserve"> </v>
      </c>
      <c r="F4980" t="str">
        <f>IFERROR(+VLOOKUP(Movimientos_2026[[#This Row],[Codigo]],Plan_cuentas[],3,FALSE)," ")</f>
        <v xml:space="preserve"> </v>
      </c>
      <c r="G4980" t="str">
        <f>IFERROR(+VLOOKUP(Movimientos_2026[[#This Row],[Codigo]],Plan_cuentas[],4,FALSE)," ")</f>
        <v xml:space="preserve"> </v>
      </c>
      <c r="H4980" t="str">
        <f>IFERROR(+VLOOKUP(Movimientos_2026[[#This Row],[Codigo]],Plan_cuentas[],5,FALSE)," ")</f>
        <v xml:space="preserve"> </v>
      </c>
      <c r="I4980" s="43"/>
      <c r="K4980" t="str">
        <f>IFERROR(+VLOOKUP(Movimientos_2026[[#This Row],[Codigo]],Plan_cuentas[],6,FALSE)," ")</f>
        <v xml:space="preserve"> </v>
      </c>
      <c r="L4980" s="50"/>
      <c r="M4980" s="50"/>
      <c r="N4980" s="20">
        <f>+Movimientos_2026[[#This Row],[Ingresos]]-Movimientos_2026[[#This Row],[Egresos]]</f>
        <v>0</v>
      </c>
      <c r="O4980" s="20">
        <f>+O4979+Movimientos_2026[[#This Row],[Neto]]</f>
        <v>4581558617.7962294</v>
      </c>
    </row>
    <row r="4981" spans="1:15" x14ac:dyDescent="0.25">
      <c r="A4981" s="13"/>
      <c r="B4981" s="12">
        <f>MONTH(Movimientos_2026[[#This Row],[Fecha]])</f>
        <v>1</v>
      </c>
      <c r="C4981" s="12" t="str">
        <f>VLOOKUP((WEEKDAY(Movimientos_2026[[#This Row],[Fecha]],2)),'5. Setup'!$D$6:$E$12,2,FALSE)</f>
        <v>Sab</v>
      </c>
      <c r="E4981" t="str">
        <f>IFERROR(+VLOOKUP(Movimientos_2026[[#This Row],[Codigo]],Plan_cuentas[],2,FALSE)," ")</f>
        <v xml:space="preserve"> </v>
      </c>
      <c r="F4981" t="str">
        <f>IFERROR(+VLOOKUP(Movimientos_2026[[#This Row],[Codigo]],Plan_cuentas[],3,FALSE)," ")</f>
        <v xml:space="preserve"> </v>
      </c>
      <c r="G4981" t="str">
        <f>IFERROR(+VLOOKUP(Movimientos_2026[[#This Row],[Codigo]],Plan_cuentas[],4,FALSE)," ")</f>
        <v xml:space="preserve"> </v>
      </c>
      <c r="H4981" t="str">
        <f>IFERROR(+VLOOKUP(Movimientos_2026[[#This Row],[Codigo]],Plan_cuentas[],5,FALSE)," ")</f>
        <v xml:space="preserve"> </v>
      </c>
      <c r="I4981" s="43"/>
      <c r="K4981" t="str">
        <f>IFERROR(+VLOOKUP(Movimientos_2026[[#This Row],[Codigo]],Plan_cuentas[],6,FALSE)," ")</f>
        <v xml:space="preserve"> </v>
      </c>
      <c r="L4981" s="50"/>
      <c r="M4981" s="50"/>
      <c r="N4981" s="20">
        <f>+Movimientos_2026[[#This Row],[Ingresos]]-Movimientos_2026[[#This Row],[Egresos]]</f>
        <v>0</v>
      </c>
      <c r="O4981" s="20">
        <f>+O4980+Movimientos_2026[[#This Row],[Neto]]</f>
        <v>4581558617.7962294</v>
      </c>
    </row>
    <row r="4982" spans="1:15" x14ac:dyDescent="0.25">
      <c r="A4982" s="13"/>
      <c r="B4982" s="12">
        <f>MONTH(Movimientos_2026[[#This Row],[Fecha]])</f>
        <v>1</v>
      </c>
      <c r="C4982" s="12" t="str">
        <f>VLOOKUP((WEEKDAY(Movimientos_2026[[#This Row],[Fecha]],2)),'5. Setup'!$D$6:$E$12,2,FALSE)</f>
        <v>Sab</v>
      </c>
      <c r="E4982" t="str">
        <f>IFERROR(+VLOOKUP(Movimientos_2026[[#This Row],[Codigo]],Plan_cuentas[],2,FALSE)," ")</f>
        <v xml:space="preserve"> </v>
      </c>
      <c r="F4982" t="str">
        <f>IFERROR(+VLOOKUP(Movimientos_2026[[#This Row],[Codigo]],Plan_cuentas[],3,FALSE)," ")</f>
        <v xml:space="preserve"> </v>
      </c>
      <c r="G4982" t="str">
        <f>IFERROR(+VLOOKUP(Movimientos_2026[[#This Row],[Codigo]],Plan_cuentas[],4,FALSE)," ")</f>
        <v xml:space="preserve"> </v>
      </c>
      <c r="H4982" t="str">
        <f>IFERROR(+VLOOKUP(Movimientos_2026[[#This Row],[Codigo]],Plan_cuentas[],5,FALSE)," ")</f>
        <v xml:space="preserve"> </v>
      </c>
      <c r="I4982" s="43"/>
      <c r="K4982" t="str">
        <f>IFERROR(+VLOOKUP(Movimientos_2026[[#This Row],[Codigo]],Plan_cuentas[],6,FALSE)," ")</f>
        <v xml:space="preserve"> </v>
      </c>
      <c r="L4982" s="50"/>
      <c r="M4982" s="50"/>
      <c r="N4982" s="20">
        <f>+Movimientos_2026[[#This Row],[Ingresos]]-Movimientos_2026[[#This Row],[Egresos]]</f>
        <v>0</v>
      </c>
      <c r="O4982" s="20">
        <f>+O4981+Movimientos_2026[[#This Row],[Neto]]</f>
        <v>4581558617.7962294</v>
      </c>
    </row>
    <row r="4983" spans="1:15" x14ac:dyDescent="0.25">
      <c r="A4983" s="13"/>
      <c r="B4983" s="12">
        <f>MONTH(Movimientos_2026[[#This Row],[Fecha]])</f>
        <v>1</v>
      </c>
      <c r="C4983" s="12" t="str">
        <f>VLOOKUP((WEEKDAY(Movimientos_2026[[#This Row],[Fecha]],2)),'5. Setup'!$D$6:$E$12,2,FALSE)</f>
        <v>Sab</v>
      </c>
      <c r="E4983" t="str">
        <f>IFERROR(+VLOOKUP(Movimientos_2026[[#This Row],[Codigo]],Plan_cuentas[],2,FALSE)," ")</f>
        <v xml:space="preserve"> </v>
      </c>
      <c r="F4983" t="str">
        <f>IFERROR(+VLOOKUP(Movimientos_2026[[#This Row],[Codigo]],Plan_cuentas[],3,FALSE)," ")</f>
        <v xml:space="preserve"> </v>
      </c>
      <c r="G4983" t="str">
        <f>IFERROR(+VLOOKUP(Movimientos_2026[[#This Row],[Codigo]],Plan_cuentas[],4,FALSE)," ")</f>
        <v xml:space="preserve"> </v>
      </c>
      <c r="H4983" t="str">
        <f>IFERROR(+VLOOKUP(Movimientos_2026[[#This Row],[Codigo]],Plan_cuentas[],5,FALSE)," ")</f>
        <v xml:space="preserve"> </v>
      </c>
      <c r="I4983" s="43"/>
      <c r="K4983" t="str">
        <f>IFERROR(+VLOOKUP(Movimientos_2026[[#This Row],[Codigo]],Plan_cuentas[],6,FALSE)," ")</f>
        <v xml:space="preserve"> </v>
      </c>
      <c r="L4983" s="50"/>
      <c r="M4983" s="50"/>
      <c r="N4983" s="20">
        <f>+Movimientos_2026[[#This Row],[Ingresos]]-Movimientos_2026[[#This Row],[Egresos]]</f>
        <v>0</v>
      </c>
      <c r="O4983" s="20">
        <f>+O4982+Movimientos_2026[[#This Row],[Neto]]</f>
        <v>4581558617.7962294</v>
      </c>
    </row>
    <row r="4984" spans="1:15" x14ac:dyDescent="0.25">
      <c r="A4984" s="13"/>
      <c r="B4984" s="12">
        <f>MONTH(Movimientos_2026[[#This Row],[Fecha]])</f>
        <v>1</v>
      </c>
      <c r="C4984" s="12" t="str">
        <f>VLOOKUP((WEEKDAY(Movimientos_2026[[#This Row],[Fecha]],2)),'5. Setup'!$D$6:$E$12,2,FALSE)</f>
        <v>Sab</v>
      </c>
      <c r="E4984" t="str">
        <f>IFERROR(+VLOOKUP(Movimientos_2026[[#This Row],[Codigo]],Plan_cuentas[],2,FALSE)," ")</f>
        <v xml:space="preserve"> </v>
      </c>
      <c r="F4984" t="str">
        <f>IFERROR(+VLOOKUP(Movimientos_2026[[#This Row],[Codigo]],Plan_cuentas[],3,FALSE)," ")</f>
        <v xml:space="preserve"> </v>
      </c>
      <c r="G4984" t="str">
        <f>IFERROR(+VLOOKUP(Movimientos_2026[[#This Row],[Codigo]],Plan_cuentas[],4,FALSE)," ")</f>
        <v xml:space="preserve"> </v>
      </c>
      <c r="H4984" t="str">
        <f>IFERROR(+VLOOKUP(Movimientos_2026[[#This Row],[Codigo]],Plan_cuentas[],5,FALSE)," ")</f>
        <v xml:space="preserve"> </v>
      </c>
      <c r="I4984" s="43"/>
      <c r="K4984" t="str">
        <f>IFERROR(+VLOOKUP(Movimientos_2026[[#This Row],[Codigo]],Plan_cuentas[],6,FALSE)," ")</f>
        <v xml:space="preserve"> </v>
      </c>
      <c r="L4984" s="50"/>
      <c r="M4984" s="50"/>
      <c r="N4984" s="20">
        <f>+Movimientos_2026[[#This Row],[Ingresos]]-Movimientos_2026[[#This Row],[Egresos]]</f>
        <v>0</v>
      </c>
      <c r="O4984" s="20">
        <f>+O4983+Movimientos_2026[[#This Row],[Neto]]</f>
        <v>4581558617.7962294</v>
      </c>
    </row>
    <row r="4985" spans="1:15" x14ac:dyDescent="0.25">
      <c r="A4985" s="13"/>
      <c r="B4985" s="12">
        <f>MONTH(Movimientos_2026[[#This Row],[Fecha]])</f>
        <v>1</v>
      </c>
      <c r="C4985" s="12" t="str">
        <f>VLOOKUP((WEEKDAY(Movimientos_2026[[#This Row],[Fecha]],2)),'5. Setup'!$D$6:$E$12,2,FALSE)</f>
        <v>Sab</v>
      </c>
      <c r="E4985" t="str">
        <f>IFERROR(+VLOOKUP(Movimientos_2026[[#This Row],[Codigo]],Plan_cuentas[],2,FALSE)," ")</f>
        <v xml:space="preserve"> </v>
      </c>
      <c r="F4985" t="str">
        <f>IFERROR(+VLOOKUP(Movimientos_2026[[#This Row],[Codigo]],Plan_cuentas[],3,FALSE)," ")</f>
        <v xml:space="preserve"> </v>
      </c>
      <c r="G4985" t="str">
        <f>IFERROR(+VLOOKUP(Movimientos_2026[[#This Row],[Codigo]],Plan_cuentas[],4,FALSE)," ")</f>
        <v xml:space="preserve"> </v>
      </c>
      <c r="H4985" t="str">
        <f>IFERROR(+VLOOKUP(Movimientos_2026[[#This Row],[Codigo]],Plan_cuentas[],5,FALSE)," ")</f>
        <v xml:space="preserve"> </v>
      </c>
      <c r="I4985" s="43"/>
      <c r="K4985" t="str">
        <f>IFERROR(+VLOOKUP(Movimientos_2026[[#This Row],[Codigo]],Plan_cuentas[],6,FALSE)," ")</f>
        <v xml:space="preserve"> </v>
      </c>
      <c r="L4985" s="50"/>
      <c r="M4985" s="50"/>
      <c r="N4985" s="20">
        <f>+Movimientos_2026[[#This Row],[Ingresos]]-Movimientos_2026[[#This Row],[Egresos]]</f>
        <v>0</v>
      </c>
      <c r="O4985" s="20">
        <f>+O4984+Movimientos_2026[[#This Row],[Neto]]</f>
        <v>4581558617.7962294</v>
      </c>
    </row>
    <row r="4986" spans="1:15" x14ac:dyDescent="0.25">
      <c r="A4986" s="13"/>
      <c r="B4986" s="12">
        <f>MONTH(Movimientos_2026[[#This Row],[Fecha]])</f>
        <v>1</v>
      </c>
      <c r="C4986" s="12" t="str">
        <f>VLOOKUP((WEEKDAY(Movimientos_2026[[#This Row],[Fecha]],2)),'5. Setup'!$D$6:$E$12,2,FALSE)</f>
        <v>Sab</v>
      </c>
      <c r="E4986" t="str">
        <f>IFERROR(+VLOOKUP(Movimientos_2026[[#This Row],[Codigo]],Plan_cuentas[],2,FALSE)," ")</f>
        <v xml:space="preserve"> </v>
      </c>
      <c r="F4986" t="str">
        <f>IFERROR(+VLOOKUP(Movimientos_2026[[#This Row],[Codigo]],Plan_cuentas[],3,FALSE)," ")</f>
        <v xml:space="preserve"> </v>
      </c>
      <c r="G4986" t="str">
        <f>IFERROR(+VLOOKUP(Movimientos_2026[[#This Row],[Codigo]],Plan_cuentas[],4,FALSE)," ")</f>
        <v xml:space="preserve"> </v>
      </c>
      <c r="H4986" t="str">
        <f>IFERROR(+VLOOKUP(Movimientos_2026[[#This Row],[Codigo]],Plan_cuentas[],5,FALSE)," ")</f>
        <v xml:space="preserve"> </v>
      </c>
      <c r="I4986" s="43"/>
      <c r="K4986" t="str">
        <f>IFERROR(+VLOOKUP(Movimientos_2026[[#This Row],[Codigo]],Plan_cuentas[],6,FALSE)," ")</f>
        <v xml:space="preserve"> </v>
      </c>
      <c r="L4986" s="50"/>
      <c r="M4986" s="50"/>
      <c r="N4986" s="20">
        <f>+Movimientos_2026[[#This Row],[Ingresos]]-Movimientos_2026[[#This Row],[Egresos]]</f>
        <v>0</v>
      </c>
      <c r="O4986" s="20">
        <f>+O4985+Movimientos_2026[[#This Row],[Neto]]</f>
        <v>4581558617.7962294</v>
      </c>
    </row>
    <row r="4987" spans="1:15" x14ac:dyDescent="0.25">
      <c r="A4987" s="13"/>
      <c r="B4987" s="12">
        <f>MONTH(Movimientos_2026[[#This Row],[Fecha]])</f>
        <v>1</v>
      </c>
      <c r="C4987" s="12" t="str">
        <f>VLOOKUP((WEEKDAY(Movimientos_2026[[#This Row],[Fecha]],2)),'5. Setup'!$D$6:$E$12,2,FALSE)</f>
        <v>Sab</v>
      </c>
      <c r="E4987" t="str">
        <f>IFERROR(+VLOOKUP(Movimientos_2026[[#This Row],[Codigo]],Plan_cuentas[],2,FALSE)," ")</f>
        <v xml:space="preserve"> </v>
      </c>
      <c r="F4987" t="str">
        <f>IFERROR(+VLOOKUP(Movimientos_2026[[#This Row],[Codigo]],Plan_cuentas[],3,FALSE)," ")</f>
        <v xml:space="preserve"> </v>
      </c>
      <c r="G4987" t="str">
        <f>IFERROR(+VLOOKUP(Movimientos_2026[[#This Row],[Codigo]],Plan_cuentas[],4,FALSE)," ")</f>
        <v xml:space="preserve"> </v>
      </c>
      <c r="H4987" t="str">
        <f>IFERROR(+VLOOKUP(Movimientos_2026[[#This Row],[Codigo]],Plan_cuentas[],5,FALSE)," ")</f>
        <v xml:space="preserve"> </v>
      </c>
      <c r="I4987" s="43"/>
      <c r="K4987" t="str">
        <f>IFERROR(+VLOOKUP(Movimientos_2026[[#This Row],[Codigo]],Plan_cuentas[],6,FALSE)," ")</f>
        <v xml:space="preserve"> </v>
      </c>
      <c r="L4987" s="50"/>
      <c r="M4987" s="50"/>
      <c r="N4987" s="20">
        <f>+Movimientos_2026[[#This Row],[Ingresos]]-Movimientos_2026[[#This Row],[Egresos]]</f>
        <v>0</v>
      </c>
      <c r="O4987" s="20">
        <f>+O4986+Movimientos_2026[[#This Row],[Neto]]</f>
        <v>4581558617.7962294</v>
      </c>
    </row>
    <row r="4988" spans="1:15" x14ac:dyDescent="0.25">
      <c r="A4988" s="13"/>
      <c r="B4988" s="12">
        <f>MONTH(Movimientos_2026[[#This Row],[Fecha]])</f>
        <v>1</v>
      </c>
      <c r="C4988" s="12" t="str">
        <f>VLOOKUP((WEEKDAY(Movimientos_2026[[#This Row],[Fecha]],2)),'5. Setup'!$D$6:$E$12,2,FALSE)</f>
        <v>Sab</v>
      </c>
      <c r="E4988" t="str">
        <f>IFERROR(+VLOOKUP(Movimientos_2026[[#This Row],[Codigo]],Plan_cuentas[],2,FALSE)," ")</f>
        <v xml:space="preserve"> </v>
      </c>
      <c r="F4988" t="str">
        <f>IFERROR(+VLOOKUP(Movimientos_2026[[#This Row],[Codigo]],Plan_cuentas[],3,FALSE)," ")</f>
        <v xml:space="preserve"> </v>
      </c>
      <c r="G4988" t="str">
        <f>IFERROR(+VLOOKUP(Movimientos_2026[[#This Row],[Codigo]],Plan_cuentas[],4,FALSE)," ")</f>
        <v xml:space="preserve"> </v>
      </c>
      <c r="H4988" t="str">
        <f>IFERROR(+VLOOKUP(Movimientos_2026[[#This Row],[Codigo]],Plan_cuentas[],5,FALSE)," ")</f>
        <v xml:space="preserve"> </v>
      </c>
      <c r="I4988" s="43"/>
      <c r="K4988" t="str">
        <f>IFERROR(+VLOOKUP(Movimientos_2026[[#This Row],[Codigo]],Plan_cuentas[],6,FALSE)," ")</f>
        <v xml:space="preserve"> </v>
      </c>
      <c r="L4988" s="50"/>
      <c r="M4988" s="50"/>
      <c r="N4988" s="20">
        <f>+Movimientos_2026[[#This Row],[Ingresos]]-Movimientos_2026[[#This Row],[Egresos]]</f>
        <v>0</v>
      </c>
      <c r="O4988" s="20">
        <f>+O4987+Movimientos_2026[[#This Row],[Neto]]</f>
        <v>4581558617.7962294</v>
      </c>
    </row>
    <row r="4989" spans="1:15" x14ac:dyDescent="0.25">
      <c r="A4989" s="13"/>
      <c r="B4989" s="12">
        <f>MONTH(Movimientos_2026[[#This Row],[Fecha]])</f>
        <v>1</v>
      </c>
      <c r="C4989" s="12" t="str">
        <f>VLOOKUP((WEEKDAY(Movimientos_2026[[#This Row],[Fecha]],2)),'5. Setup'!$D$6:$E$12,2,FALSE)</f>
        <v>Sab</v>
      </c>
      <c r="E4989" t="str">
        <f>IFERROR(+VLOOKUP(Movimientos_2026[[#This Row],[Codigo]],Plan_cuentas[],2,FALSE)," ")</f>
        <v xml:space="preserve"> </v>
      </c>
      <c r="F4989" t="str">
        <f>IFERROR(+VLOOKUP(Movimientos_2026[[#This Row],[Codigo]],Plan_cuentas[],3,FALSE)," ")</f>
        <v xml:space="preserve"> </v>
      </c>
      <c r="G4989" t="str">
        <f>IFERROR(+VLOOKUP(Movimientos_2026[[#This Row],[Codigo]],Plan_cuentas[],4,FALSE)," ")</f>
        <v xml:space="preserve"> </v>
      </c>
      <c r="H4989" t="str">
        <f>IFERROR(+VLOOKUP(Movimientos_2026[[#This Row],[Codigo]],Plan_cuentas[],5,FALSE)," ")</f>
        <v xml:space="preserve"> </v>
      </c>
      <c r="I4989" s="43"/>
      <c r="K4989" t="str">
        <f>IFERROR(+VLOOKUP(Movimientos_2026[[#This Row],[Codigo]],Plan_cuentas[],6,FALSE)," ")</f>
        <v xml:space="preserve"> </v>
      </c>
      <c r="L4989" s="50"/>
      <c r="M4989" s="50"/>
      <c r="N4989" s="20">
        <f>+Movimientos_2026[[#This Row],[Ingresos]]-Movimientos_2026[[#This Row],[Egresos]]</f>
        <v>0</v>
      </c>
      <c r="O4989" s="20">
        <f>+O4988+Movimientos_2026[[#This Row],[Neto]]</f>
        <v>4581558617.7962294</v>
      </c>
    </row>
    <row r="4990" spans="1:15" x14ac:dyDescent="0.25">
      <c r="A4990" s="13"/>
      <c r="B4990" s="12">
        <f>MONTH(Movimientos_2026[[#This Row],[Fecha]])</f>
        <v>1</v>
      </c>
      <c r="C4990" s="12" t="str">
        <f>VLOOKUP((WEEKDAY(Movimientos_2026[[#This Row],[Fecha]],2)),'5. Setup'!$D$6:$E$12,2,FALSE)</f>
        <v>Sab</v>
      </c>
      <c r="E4990" t="str">
        <f>IFERROR(+VLOOKUP(Movimientos_2026[[#This Row],[Codigo]],Plan_cuentas[],2,FALSE)," ")</f>
        <v xml:space="preserve"> </v>
      </c>
      <c r="F4990" t="str">
        <f>IFERROR(+VLOOKUP(Movimientos_2026[[#This Row],[Codigo]],Plan_cuentas[],3,FALSE)," ")</f>
        <v xml:space="preserve"> </v>
      </c>
      <c r="G4990" t="str">
        <f>IFERROR(+VLOOKUP(Movimientos_2026[[#This Row],[Codigo]],Plan_cuentas[],4,FALSE)," ")</f>
        <v xml:space="preserve"> </v>
      </c>
      <c r="H4990" t="str">
        <f>IFERROR(+VLOOKUP(Movimientos_2026[[#This Row],[Codigo]],Plan_cuentas[],5,FALSE)," ")</f>
        <v xml:space="preserve"> </v>
      </c>
      <c r="I4990" s="43"/>
      <c r="K4990" t="str">
        <f>IFERROR(+VLOOKUP(Movimientos_2026[[#This Row],[Codigo]],Plan_cuentas[],6,FALSE)," ")</f>
        <v xml:space="preserve"> </v>
      </c>
      <c r="L4990" s="50"/>
      <c r="M4990" s="50"/>
      <c r="N4990" s="20">
        <f>+Movimientos_2026[[#This Row],[Ingresos]]-Movimientos_2026[[#This Row],[Egresos]]</f>
        <v>0</v>
      </c>
      <c r="O4990" s="20">
        <f>+O4989+Movimientos_2026[[#This Row],[Neto]]</f>
        <v>4581558617.7962294</v>
      </c>
    </row>
    <row r="4991" spans="1:15" x14ac:dyDescent="0.25">
      <c r="A4991" s="13"/>
      <c r="B4991" s="12">
        <f>MONTH(Movimientos_2026[[#This Row],[Fecha]])</f>
        <v>1</v>
      </c>
      <c r="C4991" s="12" t="str">
        <f>VLOOKUP((WEEKDAY(Movimientos_2026[[#This Row],[Fecha]],2)),'5. Setup'!$D$6:$E$12,2,FALSE)</f>
        <v>Sab</v>
      </c>
      <c r="E4991" t="str">
        <f>IFERROR(+VLOOKUP(Movimientos_2026[[#This Row],[Codigo]],Plan_cuentas[],2,FALSE)," ")</f>
        <v xml:space="preserve"> </v>
      </c>
      <c r="F4991" t="str">
        <f>IFERROR(+VLOOKUP(Movimientos_2026[[#This Row],[Codigo]],Plan_cuentas[],3,FALSE)," ")</f>
        <v xml:space="preserve"> </v>
      </c>
      <c r="G4991" t="str">
        <f>IFERROR(+VLOOKUP(Movimientos_2026[[#This Row],[Codigo]],Plan_cuentas[],4,FALSE)," ")</f>
        <v xml:space="preserve"> </v>
      </c>
      <c r="H4991" t="str">
        <f>IFERROR(+VLOOKUP(Movimientos_2026[[#This Row],[Codigo]],Plan_cuentas[],5,FALSE)," ")</f>
        <v xml:space="preserve"> </v>
      </c>
      <c r="I4991" s="43"/>
      <c r="K4991" t="str">
        <f>IFERROR(+VLOOKUP(Movimientos_2026[[#This Row],[Codigo]],Plan_cuentas[],6,FALSE)," ")</f>
        <v xml:space="preserve"> </v>
      </c>
      <c r="L4991" s="50"/>
      <c r="M4991" s="50"/>
      <c r="N4991" s="20">
        <f>+Movimientos_2026[[#This Row],[Ingresos]]-Movimientos_2026[[#This Row],[Egresos]]</f>
        <v>0</v>
      </c>
      <c r="O4991" s="20">
        <f>+O4990+Movimientos_2026[[#This Row],[Neto]]</f>
        <v>4581558617.7962294</v>
      </c>
    </row>
    <row r="4992" spans="1:15" x14ac:dyDescent="0.25">
      <c r="A4992" s="13"/>
      <c r="B4992" s="12">
        <f>MONTH(Movimientos_2026[[#This Row],[Fecha]])</f>
        <v>1</v>
      </c>
      <c r="C4992" s="12" t="str">
        <f>VLOOKUP((WEEKDAY(Movimientos_2026[[#This Row],[Fecha]],2)),'5. Setup'!$D$6:$E$12,2,FALSE)</f>
        <v>Sab</v>
      </c>
      <c r="E4992" t="str">
        <f>IFERROR(+VLOOKUP(Movimientos_2026[[#This Row],[Codigo]],Plan_cuentas[],2,FALSE)," ")</f>
        <v xml:space="preserve"> </v>
      </c>
      <c r="F4992" t="str">
        <f>IFERROR(+VLOOKUP(Movimientos_2026[[#This Row],[Codigo]],Plan_cuentas[],3,FALSE)," ")</f>
        <v xml:space="preserve"> </v>
      </c>
      <c r="G4992" t="str">
        <f>IFERROR(+VLOOKUP(Movimientos_2026[[#This Row],[Codigo]],Plan_cuentas[],4,FALSE)," ")</f>
        <v xml:space="preserve"> </v>
      </c>
      <c r="H4992" t="str">
        <f>IFERROR(+VLOOKUP(Movimientos_2026[[#This Row],[Codigo]],Plan_cuentas[],5,FALSE)," ")</f>
        <v xml:space="preserve"> </v>
      </c>
      <c r="I4992" s="43"/>
      <c r="K4992" t="str">
        <f>IFERROR(+VLOOKUP(Movimientos_2026[[#This Row],[Codigo]],Plan_cuentas[],6,FALSE)," ")</f>
        <v xml:space="preserve"> </v>
      </c>
      <c r="L4992" s="50"/>
      <c r="M4992" s="50"/>
      <c r="N4992" s="20">
        <f>+Movimientos_2026[[#This Row],[Ingresos]]-Movimientos_2026[[#This Row],[Egresos]]</f>
        <v>0</v>
      </c>
      <c r="O4992" s="20">
        <f>+O4991+Movimientos_2026[[#This Row],[Neto]]</f>
        <v>4581558617.7962294</v>
      </c>
    </row>
    <row r="4993" spans="1:15" x14ac:dyDescent="0.25">
      <c r="A4993" s="13"/>
      <c r="B4993" s="12">
        <f>MONTH(Movimientos_2026[[#This Row],[Fecha]])</f>
        <v>1</v>
      </c>
      <c r="C4993" s="12" t="str">
        <f>VLOOKUP((WEEKDAY(Movimientos_2026[[#This Row],[Fecha]],2)),'5. Setup'!$D$6:$E$12,2,FALSE)</f>
        <v>Sab</v>
      </c>
      <c r="E4993" t="str">
        <f>IFERROR(+VLOOKUP(Movimientos_2026[[#This Row],[Codigo]],Plan_cuentas[],2,FALSE)," ")</f>
        <v xml:space="preserve"> </v>
      </c>
      <c r="F4993" t="str">
        <f>IFERROR(+VLOOKUP(Movimientos_2026[[#This Row],[Codigo]],Plan_cuentas[],3,FALSE)," ")</f>
        <v xml:space="preserve"> </v>
      </c>
      <c r="G4993" t="str">
        <f>IFERROR(+VLOOKUP(Movimientos_2026[[#This Row],[Codigo]],Plan_cuentas[],4,FALSE)," ")</f>
        <v xml:space="preserve"> </v>
      </c>
      <c r="H4993" t="str">
        <f>IFERROR(+VLOOKUP(Movimientos_2026[[#This Row],[Codigo]],Plan_cuentas[],5,FALSE)," ")</f>
        <v xml:space="preserve"> </v>
      </c>
      <c r="I4993" s="43"/>
      <c r="K4993" t="str">
        <f>IFERROR(+VLOOKUP(Movimientos_2026[[#This Row],[Codigo]],Plan_cuentas[],6,FALSE)," ")</f>
        <v xml:space="preserve"> </v>
      </c>
      <c r="L4993" s="50"/>
      <c r="M4993" s="50"/>
      <c r="N4993" s="20">
        <f>+Movimientos_2026[[#This Row],[Ingresos]]-Movimientos_2026[[#This Row],[Egresos]]</f>
        <v>0</v>
      </c>
      <c r="O4993" s="20">
        <f>+O4992+Movimientos_2026[[#This Row],[Neto]]</f>
        <v>4581558617.7962294</v>
      </c>
    </row>
    <row r="4994" spans="1:15" x14ac:dyDescent="0.25">
      <c r="A4994" s="13"/>
      <c r="B4994" s="12">
        <f>MONTH(Movimientos_2026[[#This Row],[Fecha]])</f>
        <v>1</v>
      </c>
      <c r="C4994" s="12" t="str">
        <f>VLOOKUP((WEEKDAY(Movimientos_2026[[#This Row],[Fecha]],2)),'5. Setup'!$D$6:$E$12,2,FALSE)</f>
        <v>Sab</v>
      </c>
      <c r="E4994" t="str">
        <f>IFERROR(+VLOOKUP(Movimientos_2026[[#This Row],[Codigo]],Plan_cuentas[],2,FALSE)," ")</f>
        <v xml:space="preserve"> </v>
      </c>
      <c r="F4994" t="str">
        <f>IFERROR(+VLOOKUP(Movimientos_2026[[#This Row],[Codigo]],Plan_cuentas[],3,FALSE)," ")</f>
        <v xml:space="preserve"> </v>
      </c>
      <c r="G4994" t="str">
        <f>IFERROR(+VLOOKUP(Movimientos_2026[[#This Row],[Codigo]],Plan_cuentas[],4,FALSE)," ")</f>
        <v xml:space="preserve"> </v>
      </c>
      <c r="H4994" t="str">
        <f>IFERROR(+VLOOKUP(Movimientos_2026[[#This Row],[Codigo]],Plan_cuentas[],5,FALSE)," ")</f>
        <v xml:space="preserve"> </v>
      </c>
      <c r="I4994" s="43"/>
      <c r="K4994" t="str">
        <f>IFERROR(+VLOOKUP(Movimientos_2026[[#This Row],[Codigo]],Plan_cuentas[],6,FALSE)," ")</f>
        <v xml:space="preserve"> </v>
      </c>
      <c r="L4994" s="50"/>
      <c r="M4994" s="50"/>
      <c r="N4994" s="20">
        <f>+Movimientos_2026[[#This Row],[Ingresos]]-Movimientos_2026[[#This Row],[Egresos]]</f>
        <v>0</v>
      </c>
      <c r="O4994" s="20">
        <f>+O4993+Movimientos_2026[[#This Row],[Neto]]</f>
        <v>4581558617.7962294</v>
      </c>
    </row>
    <row r="4995" spans="1:15" x14ac:dyDescent="0.25">
      <c r="A4995" s="13"/>
      <c r="B4995" s="12">
        <f>MONTH(Movimientos_2026[[#This Row],[Fecha]])</f>
        <v>1</v>
      </c>
      <c r="C4995" s="12" t="str">
        <f>VLOOKUP((WEEKDAY(Movimientos_2026[[#This Row],[Fecha]],2)),'5. Setup'!$D$6:$E$12,2,FALSE)</f>
        <v>Sab</v>
      </c>
      <c r="E4995" t="str">
        <f>IFERROR(+VLOOKUP(Movimientos_2026[[#This Row],[Codigo]],Plan_cuentas[],2,FALSE)," ")</f>
        <v xml:space="preserve"> </v>
      </c>
      <c r="F4995" t="str">
        <f>IFERROR(+VLOOKUP(Movimientos_2026[[#This Row],[Codigo]],Plan_cuentas[],3,FALSE)," ")</f>
        <v xml:space="preserve"> </v>
      </c>
      <c r="G4995" t="str">
        <f>IFERROR(+VLOOKUP(Movimientos_2026[[#This Row],[Codigo]],Plan_cuentas[],4,FALSE)," ")</f>
        <v xml:space="preserve"> </v>
      </c>
      <c r="H4995" t="str">
        <f>IFERROR(+VLOOKUP(Movimientos_2026[[#This Row],[Codigo]],Plan_cuentas[],5,FALSE)," ")</f>
        <v xml:space="preserve"> </v>
      </c>
      <c r="I4995" s="43"/>
      <c r="K4995" t="str">
        <f>IFERROR(+VLOOKUP(Movimientos_2026[[#This Row],[Codigo]],Plan_cuentas[],6,FALSE)," ")</f>
        <v xml:space="preserve"> </v>
      </c>
      <c r="L4995" s="50"/>
      <c r="M4995" s="50"/>
      <c r="N4995" s="20">
        <f>+Movimientos_2026[[#This Row],[Ingresos]]-Movimientos_2026[[#This Row],[Egresos]]</f>
        <v>0</v>
      </c>
      <c r="O4995" s="20">
        <f>+O4994+Movimientos_2026[[#This Row],[Neto]]</f>
        <v>4581558617.7962294</v>
      </c>
    </row>
    <row r="4996" spans="1:15" x14ac:dyDescent="0.25">
      <c r="A4996" s="13"/>
      <c r="B4996" s="12">
        <f>MONTH(Movimientos_2026[[#This Row],[Fecha]])</f>
        <v>1</v>
      </c>
      <c r="C4996" s="12" t="str">
        <f>VLOOKUP((WEEKDAY(Movimientos_2026[[#This Row],[Fecha]],2)),'5. Setup'!$D$6:$E$12,2,FALSE)</f>
        <v>Sab</v>
      </c>
      <c r="E4996" t="str">
        <f>IFERROR(+VLOOKUP(Movimientos_2026[[#This Row],[Codigo]],Plan_cuentas[],2,FALSE)," ")</f>
        <v xml:space="preserve"> </v>
      </c>
      <c r="F4996" t="str">
        <f>IFERROR(+VLOOKUP(Movimientos_2026[[#This Row],[Codigo]],Plan_cuentas[],3,FALSE)," ")</f>
        <v xml:space="preserve"> </v>
      </c>
      <c r="G4996" t="str">
        <f>IFERROR(+VLOOKUP(Movimientos_2026[[#This Row],[Codigo]],Plan_cuentas[],4,FALSE)," ")</f>
        <v xml:space="preserve"> </v>
      </c>
      <c r="H4996" t="str">
        <f>IFERROR(+VLOOKUP(Movimientos_2026[[#This Row],[Codigo]],Plan_cuentas[],5,FALSE)," ")</f>
        <v xml:space="preserve"> </v>
      </c>
      <c r="I4996" s="43"/>
      <c r="K4996" t="str">
        <f>IFERROR(+VLOOKUP(Movimientos_2026[[#This Row],[Codigo]],Plan_cuentas[],6,FALSE)," ")</f>
        <v xml:space="preserve"> </v>
      </c>
      <c r="L4996" s="50"/>
      <c r="M4996" s="50"/>
      <c r="N4996" s="20">
        <f>+Movimientos_2026[[#This Row],[Ingresos]]-Movimientos_2026[[#This Row],[Egresos]]</f>
        <v>0</v>
      </c>
      <c r="O4996" s="20">
        <f>+O4995+Movimientos_2026[[#This Row],[Neto]]</f>
        <v>4581558617.7962294</v>
      </c>
    </row>
    <row r="4997" spans="1:15" x14ac:dyDescent="0.25">
      <c r="A4997" s="13"/>
      <c r="B4997" s="12">
        <f>MONTH(Movimientos_2026[[#This Row],[Fecha]])</f>
        <v>1</v>
      </c>
      <c r="C4997" s="12" t="str">
        <f>VLOOKUP((WEEKDAY(Movimientos_2026[[#This Row],[Fecha]],2)),'5. Setup'!$D$6:$E$12,2,FALSE)</f>
        <v>Sab</v>
      </c>
      <c r="E4997" t="str">
        <f>IFERROR(+VLOOKUP(Movimientos_2026[[#This Row],[Codigo]],Plan_cuentas[],2,FALSE)," ")</f>
        <v xml:space="preserve"> </v>
      </c>
      <c r="F4997" t="str">
        <f>IFERROR(+VLOOKUP(Movimientos_2026[[#This Row],[Codigo]],Plan_cuentas[],3,FALSE)," ")</f>
        <v xml:space="preserve"> </v>
      </c>
      <c r="G4997" t="str">
        <f>IFERROR(+VLOOKUP(Movimientos_2026[[#This Row],[Codigo]],Plan_cuentas[],4,FALSE)," ")</f>
        <v xml:space="preserve"> </v>
      </c>
      <c r="H4997" t="str">
        <f>IFERROR(+VLOOKUP(Movimientos_2026[[#This Row],[Codigo]],Plan_cuentas[],5,FALSE)," ")</f>
        <v xml:space="preserve"> </v>
      </c>
      <c r="I4997" s="43"/>
      <c r="K4997" t="str">
        <f>IFERROR(+VLOOKUP(Movimientos_2026[[#This Row],[Codigo]],Plan_cuentas[],6,FALSE)," ")</f>
        <v xml:space="preserve"> </v>
      </c>
      <c r="L4997" s="50"/>
      <c r="M4997" s="50"/>
      <c r="N4997" s="20">
        <f>+Movimientos_2026[[#This Row],[Ingresos]]-Movimientos_2026[[#This Row],[Egresos]]</f>
        <v>0</v>
      </c>
      <c r="O4997" s="20">
        <f>+O4996+Movimientos_2026[[#This Row],[Neto]]</f>
        <v>4581558617.7962294</v>
      </c>
    </row>
    <row r="4998" spans="1:15" x14ac:dyDescent="0.25">
      <c r="A4998" s="13"/>
      <c r="B4998" s="12">
        <f>MONTH(Movimientos_2026[[#This Row],[Fecha]])</f>
        <v>1</v>
      </c>
      <c r="C4998" s="12" t="str">
        <f>VLOOKUP((WEEKDAY(Movimientos_2026[[#This Row],[Fecha]],2)),'5. Setup'!$D$6:$E$12,2,FALSE)</f>
        <v>Sab</v>
      </c>
      <c r="E4998" t="str">
        <f>IFERROR(+VLOOKUP(Movimientos_2026[[#This Row],[Codigo]],Plan_cuentas[],2,FALSE)," ")</f>
        <v xml:space="preserve"> </v>
      </c>
      <c r="F4998" t="str">
        <f>IFERROR(+VLOOKUP(Movimientos_2026[[#This Row],[Codigo]],Plan_cuentas[],3,FALSE)," ")</f>
        <v xml:space="preserve"> </v>
      </c>
      <c r="G4998" t="str">
        <f>IFERROR(+VLOOKUP(Movimientos_2026[[#This Row],[Codigo]],Plan_cuentas[],4,FALSE)," ")</f>
        <v xml:space="preserve"> </v>
      </c>
      <c r="H4998" t="str">
        <f>IFERROR(+VLOOKUP(Movimientos_2026[[#This Row],[Codigo]],Plan_cuentas[],5,FALSE)," ")</f>
        <v xml:space="preserve"> </v>
      </c>
      <c r="I4998" s="43"/>
      <c r="K4998" t="str">
        <f>IFERROR(+VLOOKUP(Movimientos_2026[[#This Row],[Codigo]],Plan_cuentas[],6,FALSE)," ")</f>
        <v xml:space="preserve"> </v>
      </c>
      <c r="L4998" s="50"/>
      <c r="M4998" s="50"/>
      <c r="N4998" s="20">
        <f>+Movimientos_2026[[#This Row],[Ingresos]]-Movimientos_2026[[#This Row],[Egresos]]</f>
        <v>0</v>
      </c>
      <c r="O4998" s="20">
        <f>+O4997+Movimientos_2026[[#This Row],[Neto]]</f>
        <v>4581558617.7962294</v>
      </c>
    </row>
    <row r="4999" spans="1:15" x14ac:dyDescent="0.25">
      <c r="A4999" s="13"/>
      <c r="B4999" s="12">
        <f>MONTH(Movimientos_2026[[#This Row],[Fecha]])</f>
        <v>1</v>
      </c>
      <c r="C4999" s="12" t="str">
        <f>VLOOKUP((WEEKDAY(Movimientos_2026[[#This Row],[Fecha]],2)),'5. Setup'!$D$6:$E$12,2,FALSE)</f>
        <v>Sab</v>
      </c>
      <c r="E4999" t="str">
        <f>IFERROR(+VLOOKUP(Movimientos_2026[[#This Row],[Codigo]],Plan_cuentas[],2,FALSE)," ")</f>
        <v xml:space="preserve"> </v>
      </c>
      <c r="F4999" t="str">
        <f>IFERROR(+VLOOKUP(Movimientos_2026[[#This Row],[Codigo]],Plan_cuentas[],3,FALSE)," ")</f>
        <v xml:space="preserve"> </v>
      </c>
      <c r="G4999" t="str">
        <f>IFERROR(+VLOOKUP(Movimientos_2026[[#This Row],[Codigo]],Plan_cuentas[],4,FALSE)," ")</f>
        <v xml:space="preserve"> </v>
      </c>
      <c r="H4999" t="str">
        <f>IFERROR(+VLOOKUP(Movimientos_2026[[#This Row],[Codigo]],Plan_cuentas[],5,FALSE)," ")</f>
        <v xml:space="preserve"> </v>
      </c>
      <c r="I4999" s="43"/>
      <c r="K4999" t="str">
        <f>IFERROR(+VLOOKUP(Movimientos_2026[[#This Row],[Codigo]],Plan_cuentas[],6,FALSE)," ")</f>
        <v xml:space="preserve"> </v>
      </c>
      <c r="L4999" s="50"/>
      <c r="M4999" s="50"/>
      <c r="N4999" s="20">
        <f>+Movimientos_2026[[#This Row],[Ingresos]]-Movimientos_2026[[#This Row],[Egresos]]</f>
        <v>0</v>
      </c>
      <c r="O4999" s="20">
        <f>+O4998+Movimientos_2026[[#This Row],[Neto]]</f>
        <v>4581558617.7962294</v>
      </c>
    </row>
    <row r="5000" spans="1:15" x14ac:dyDescent="0.25">
      <c r="A5000" s="13"/>
      <c r="B5000" s="12">
        <f>MONTH(Movimientos_2026[[#This Row],[Fecha]])</f>
        <v>1</v>
      </c>
      <c r="C5000" s="12" t="str">
        <f>VLOOKUP((WEEKDAY(Movimientos_2026[[#This Row],[Fecha]],2)),'5. Setup'!$D$6:$E$12,2,FALSE)</f>
        <v>Sab</v>
      </c>
      <c r="E5000" t="str">
        <f>IFERROR(+VLOOKUP(Movimientos_2026[[#This Row],[Codigo]],Plan_cuentas[],2,FALSE)," ")</f>
        <v xml:space="preserve"> </v>
      </c>
      <c r="F5000" t="str">
        <f>IFERROR(+VLOOKUP(Movimientos_2026[[#This Row],[Codigo]],Plan_cuentas[],3,FALSE)," ")</f>
        <v xml:space="preserve"> </v>
      </c>
      <c r="G5000" t="str">
        <f>IFERROR(+VLOOKUP(Movimientos_2026[[#This Row],[Codigo]],Plan_cuentas[],4,FALSE)," ")</f>
        <v xml:space="preserve"> </v>
      </c>
      <c r="H5000" t="str">
        <f>IFERROR(+VLOOKUP(Movimientos_2026[[#This Row],[Codigo]],Plan_cuentas[],5,FALSE)," ")</f>
        <v xml:space="preserve"> </v>
      </c>
      <c r="I5000" s="43"/>
      <c r="K5000" t="str">
        <f>IFERROR(+VLOOKUP(Movimientos_2026[[#This Row],[Codigo]],Plan_cuentas[],6,FALSE)," ")</f>
        <v xml:space="preserve"> </v>
      </c>
      <c r="L5000" s="50"/>
      <c r="M5000" s="50"/>
      <c r="N5000" s="20">
        <f>+Movimientos_2026[[#This Row],[Ingresos]]-Movimientos_2026[[#This Row],[Egresos]]</f>
        <v>0</v>
      </c>
      <c r="O5000" s="20">
        <f>+O4999+Movimientos_2026[[#This Row],[Neto]]</f>
        <v>4581558617.7962294</v>
      </c>
    </row>
    <row r="5001" spans="1:15" x14ac:dyDescent="0.25">
      <c r="A5001" s="13"/>
      <c r="B5001" s="12">
        <f>MONTH(Movimientos_2026[[#This Row],[Fecha]])</f>
        <v>1</v>
      </c>
      <c r="C5001" s="12" t="str">
        <f>VLOOKUP((WEEKDAY(Movimientos_2026[[#This Row],[Fecha]],2)),'5. Setup'!$D$6:$E$12,2,FALSE)</f>
        <v>Sab</v>
      </c>
      <c r="E5001" t="str">
        <f>IFERROR(+VLOOKUP(Movimientos_2026[[#This Row],[Codigo]],Plan_cuentas[],2,FALSE)," ")</f>
        <v xml:space="preserve"> </v>
      </c>
      <c r="F5001" t="str">
        <f>IFERROR(+VLOOKUP(Movimientos_2026[[#This Row],[Codigo]],Plan_cuentas[],3,FALSE)," ")</f>
        <v xml:space="preserve"> </v>
      </c>
      <c r="G5001" t="str">
        <f>IFERROR(+VLOOKUP(Movimientos_2026[[#This Row],[Codigo]],Plan_cuentas[],4,FALSE)," ")</f>
        <v xml:space="preserve"> </v>
      </c>
      <c r="H5001" t="str">
        <f>IFERROR(+VLOOKUP(Movimientos_2026[[#This Row],[Codigo]],Plan_cuentas[],5,FALSE)," ")</f>
        <v xml:space="preserve"> </v>
      </c>
      <c r="I5001" s="43"/>
      <c r="K5001" t="str">
        <f>IFERROR(+VLOOKUP(Movimientos_2026[[#This Row],[Codigo]],Plan_cuentas[],6,FALSE)," ")</f>
        <v xml:space="preserve"> </v>
      </c>
      <c r="L5001" s="50"/>
      <c r="M5001" s="50"/>
      <c r="N5001" s="20">
        <f>+Movimientos_2026[[#This Row],[Ingresos]]-Movimientos_2026[[#This Row],[Egresos]]</f>
        <v>0</v>
      </c>
      <c r="O5001" s="20">
        <f>+O5000+Movimientos_2026[[#This Row],[Neto]]</f>
        <v>4581558617.7962294</v>
      </c>
    </row>
    <row r="5002" spans="1:15" x14ac:dyDescent="0.25">
      <c r="A5002" s="13"/>
      <c r="B5002" s="12">
        <f>MONTH(Movimientos_2026[[#This Row],[Fecha]])</f>
        <v>1</v>
      </c>
      <c r="C5002" s="12" t="str">
        <f>VLOOKUP((WEEKDAY(Movimientos_2026[[#This Row],[Fecha]],2)),'5. Setup'!$D$6:$E$12,2,FALSE)</f>
        <v>Sab</v>
      </c>
      <c r="E5002" t="str">
        <f>IFERROR(+VLOOKUP(Movimientos_2026[[#This Row],[Codigo]],Plan_cuentas[],2,FALSE)," ")</f>
        <v xml:space="preserve"> </v>
      </c>
      <c r="F5002" t="str">
        <f>IFERROR(+VLOOKUP(Movimientos_2026[[#This Row],[Codigo]],Plan_cuentas[],3,FALSE)," ")</f>
        <v xml:space="preserve"> </v>
      </c>
      <c r="G5002" t="str">
        <f>IFERROR(+VLOOKUP(Movimientos_2026[[#This Row],[Codigo]],Plan_cuentas[],4,FALSE)," ")</f>
        <v xml:space="preserve"> </v>
      </c>
      <c r="H5002" t="str">
        <f>IFERROR(+VLOOKUP(Movimientos_2026[[#This Row],[Codigo]],Plan_cuentas[],5,FALSE)," ")</f>
        <v xml:space="preserve"> </v>
      </c>
      <c r="I5002" s="43"/>
      <c r="K5002" t="str">
        <f>IFERROR(+VLOOKUP(Movimientos_2026[[#This Row],[Codigo]],Plan_cuentas[],6,FALSE)," ")</f>
        <v xml:space="preserve"> </v>
      </c>
      <c r="L5002" s="50"/>
      <c r="M5002" s="50"/>
      <c r="N5002" s="20">
        <f>+Movimientos_2026[[#This Row],[Ingresos]]-Movimientos_2026[[#This Row],[Egresos]]</f>
        <v>0</v>
      </c>
      <c r="O5002" s="20">
        <f>+O5001+Movimientos_2026[[#This Row],[Neto]]</f>
        <v>4581558617.7962294</v>
      </c>
    </row>
    <row r="5003" spans="1:15" x14ac:dyDescent="0.25">
      <c r="A5003" s="13"/>
      <c r="B5003" s="12">
        <f>MONTH(Movimientos_2026[[#This Row],[Fecha]])</f>
        <v>1</v>
      </c>
      <c r="C5003" s="12" t="str">
        <f>VLOOKUP((WEEKDAY(Movimientos_2026[[#This Row],[Fecha]],2)),'5. Setup'!$D$6:$E$12,2,FALSE)</f>
        <v>Sab</v>
      </c>
      <c r="E5003" t="str">
        <f>IFERROR(+VLOOKUP(Movimientos_2026[[#This Row],[Codigo]],Plan_cuentas[],2,FALSE)," ")</f>
        <v xml:space="preserve"> </v>
      </c>
      <c r="F5003" t="str">
        <f>IFERROR(+VLOOKUP(Movimientos_2026[[#This Row],[Codigo]],Plan_cuentas[],3,FALSE)," ")</f>
        <v xml:space="preserve"> </v>
      </c>
      <c r="G5003" t="str">
        <f>IFERROR(+VLOOKUP(Movimientos_2026[[#This Row],[Codigo]],Plan_cuentas[],4,FALSE)," ")</f>
        <v xml:space="preserve"> </v>
      </c>
      <c r="H5003" t="str">
        <f>IFERROR(+VLOOKUP(Movimientos_2026[[#This Row],[Codigo]],Plan_cuentas[],5,FALSE)," ")</f>
        <v xml:space="preserve"> </v>
      </c>
      <c r="I5003" s="43"/>
      <c r="K5003" t="str">
        <f>IFERROR(+VLOOKUP(Movimientos_2026[[#This Row],[Codigo]],Plan_cuentas[],6,FALSE)," ")</f>
        <v xml:space="preserve"> </v>
      </c>
      <c r="L5003" s="50"/>
      <c r="M5003" s="50"/>
      <c r="N5003" s="20">
        <f>+Movimientos_2026[[#This Row],[Ingresos]]-Movimientos_2026[[#This Row],[Egresos]]</f>
        <v>0</v>
      </c>
      <c r="O5003" s="20">
        <f>+O5002+Movimientos_2026[[#This Row],[Neto]]</f>
        <v>4581558617.7962294</v>
      </c>
    </row>
    <row r="5004" spans="1:15" x14ac:dyDescent="0.25">
      <c r="A5004" s="13"/>
      <c r="B5004" s="12">
        <f>MONTH(Movimientos_2026[[#This Row],[Fecha]])</f>
        <v>1</v>
      </c>
      <c r="C5004" s="12" t="str">
        <f>VLOOKUP((WEEKDAY(Movimientos_2026[[#This Row],[Fecha]],2)),'5. Setup'!$D$6:$E$12,2,FALSE)</f>
        <v>Sab</v>
      </c>
      <c r="E5004" t="str">
        <f>IFERROR(+VLOOKUP(Movimientos_2026[[#This Row],[Codigo]],Plan_cuentas[],2,FALSE)," ")</f>
        <v xml:space="preserve"> </v>
      </c>
      <c r="F5004" t="str">
        <f>IFERROR(+VLOOKUP(Movimientos_2026[[#This Row],[Codigo]],Plan_cuentas[],3,FALSE)," ")</f>
        <v xml:space="preserve"> </v>
      </c>
      <c r="G5004" t="str">
        <f>IFERROR(+VLOOKUP(Movimientos_2026[[#This Row],[Codigo]],Plan_cuentas[],4,FALSE)," ")</f>
        <v xml:space="preserve"> </v>
      </c>
      <c r="H5004" t="str">
        <f>IFERROR(+VLOOKUP(Movimientos_2026[[#This Row],[Codigo]],Plan_cuentas[],5,FALSE)," ")</f>
        <v xml:space="preserve"> </v>
      </c>
      <c r="I5004" s="43"/>
      <c r="K5004" t="str">
        <f>IFERROR(+VLOOKUP(Movimientos_2026[[#This Row],[Codigo]],Plan_cuentas[],6,FALSE)," ")</f>
        <v xml:space="preserve"> </v>
      </c>
      <c r="L5004" s="50"/>
      <c r="M5004" s="50"/>
      <c r="N5004" s="20">
        <f>+Movimientos_2026[[#This Row],[Ingresos]]-Movimientos_2026[[#This Row],[Egresos]]</f>
        <v>0</v>
      </c>
      <c r="O5004" s="20">
        <f>+O5003+Movimientos_2026[[#This Row],[Neto]]</f>
        <v>4581558617.7962294</v>
      </c>
    </row>
    <row r="5005" spans="1:15" x14ac:dyDescent="0.25">
      <c r="A5005" s="13"/>
      <c r="B5005" s="12">
        <f>MONTH(Movimientos_2026[[#This Row],[Fecha]])</f>
        <v>1</v>
      </c>
      <c r="C5005" s="12" t="str">
        <f>VLOOKUP((WEEKDAY(Movimientos_2026[[#This Row],[Fecha]],2)),'5. Setup'!$D$6:$E$12,2,FALSE)</f>
        <v>Sab</v>
      </c>
      <c r="E5005" t="str">
        <f>IFERROR(+VLOOKUP(Movimientos_2026[[#This Row],[Codigo]],Plan_cuentas[],2,FALSE)," ")</f>
        <v xml:space="preserve"> </v>
      </c>
      <c r="F5005" t="str">
        <f>IFERROR(+VLOOKUP(Movimientos_2026[[#This Row],[Codigo]],Plan_cuentas[],3,FALSE)," ")</f>
        <v xml:space="preserve"> </v>
      </c>
      <c r="G5005" t="str">
        <f>IFERROR(+VLOOKUP(Movimientos_2026[[#This Row],[Codigo]],Plan_cuentas[],4,FALSE)," ")</f>
        <v xml:space="preserve"> </v>
      </c>
      <c r="H5005" t="str">
        <f>IFERROR(+VLOOKUP(Movimientos_2026[[#This Row],[Codigo]],Plan_cuentas[],5,FALSE)," ")</f>
        <v xml:space="preserve"> </v>
      </c>
      <c r="I5005" s="43"/>
      <c r="K5005" t="str">
        <f>IFERROR(+VLOOKUP(Movimientos_2026[[#This Row],[Codigo]],Plan_cuentas[],6,FALSE)," ")</f>
        <v xml:space="preserve"> </v>
      </c>
      <c r="L5005" s="50"/>
      <c r="M5005" s="50"/>
      <c r="N5005" s="20">
        <f>+Movimientos_2026[[#This Row],[Ingresos]]-Movimientos_2026[[#This Row],[Egresos]]</f>
        <v>0</v>
      </c>
      <c r="O5005" s="20">
        <f>+O5004+Movimientos_2026[[#This Row],[Neto]]</f>
        <v>4581558617.7962294</v>
      </c>
    </row>
    <row r="5006" spans="1:15" x14ac:dyDescent="0.25">
      <c r="A5006" s="13"/>
      <c r="B5006" s="12">
        <f>MONTH(Movimientos_2026[[#This Row],[Fecha]])</f>
        <v>1</v>
      </c>
      <c r="C5006" s="12" t="str">
        <f>VLOOKUP((WEEKDAY(Movimientos_2026[[#This Row],[Fecha]],2)),'5. Setup'!$D$6:$E$12,2,FALSE)</f>
        <v>Sab</v>
      </c>
      <c r="E5006" t="str">
        <f>IFERROR(+VLOOKUP(Movimientos_2026[[#This Row],[Codigo]],Plan_cuentas[],2,FALSE)," ")</f>
        <v xml:space="preserve"> </v>
      </c>
      <c r="F5006" t="str">
        <f>IFERROR(+VLOOKUP(Movimientos_2026[[#This Row],[Codigo]],Plan_cuentas[],3,FALSE)," ")</f>
        <v xml:space="preserve"> </v>
      </c>
      <c r="G5006" t="str">
        <f>IFERROR(+VLOOKUP(Movimientos_2026[[#This Row],[Codigo]],Plan_cuentas[],4,FALSE)," ")</f>
        <v xml:space="preserve"> </v>
      </c>
      <c r="H5006" t="str">
        <f>IFERROR(+VLOOKUP(Movimientos_2026[[#This Row],[Codigo]],Plan_cuentas[],5,FALSE)," ")</f>
        <v xml:space="preserve"> </v>
      </c>
      <c r="I5006" s="43"/>
      <c r="K5006" t="str">
        <f>IFERROR(+VLOOKUP(Movimientos_2026[[#This Row],[Codigo]],Plan_cuentas[],6,FALSE)," ")</f>
        <v xml:space="preserve"> </v>
      </c>
      <c r="L5006" s="50"/>
      <c r="M5006" s="50"/>
      <c r="N5006" s="20">
        <f>+Movimientos_2026[[#This Row],[Ingresos]]-Movimientos_2026[[#This Row],[Egresos]]</f>
        <v>0</v>
      </c>
      <c r="O5006" s="20">
        <f>+O5005+Movimientos_2026[[#This Row],[Neto]]</f>
        <v>4581558617.7962294</v>
      </c>
    </row>
    <row r="5007" spans="1:15" x14ac:dyDescent="0.25">
      <c r="A5007" s="13"/>
      <c r="B5007" s="12">
        <f>MONTH(Movimientos_2026[[#This Row],[Fecha]])</f>
        <v>1</v>
      </c>
      <c r="C5007" s="12" t="str">
        <f>VLOOKUP((WEEKDAY(Movimientos_2026[[#This Row],[Fecha]],2)),'5. Setup'!$D$6:$E$12,2,FALSE)</f>
        <v>Sab</v>
      </c>
      <c r="E5007" t="str">
        <f>IFERROR(+VLOOKUP(Movimientos_2026[[#This Row],[Codigo]],Plan_cuentas[],2,FALSE)," ")</f>
        <v xml:space="preserve"> </v>
      </c>
      <c r="F5007" t="str">
        <f>IFERROR(+VLOOKUP(Movimientos_2026[[#This Row],[Codigo]],Plan_cuentas[],3,FALSE)," ")</f>
        <v xml:space="preserve"> </v>
      </c>
      <c r="G5007" t="str">
        <f>IFERROR(+VLOOKUP(Movimientos_2026[[#This Row],[Codigo]],Plan_cuentas[],4,FALSE)," ")</f>
        <v xml:space="preserve"> </v>
      </c>
      <c r="H5007" t="str">
        <f>IFERROR(+VLOOKUP(Movimientos_2026[[#This Row],[Codigo]],Plan_cuentas[],5,FALSE)," ")</f>
        <v xml:space="preserve"> </v>
      </c>
      <c r="I5007" s="43"/>
      <c r="K5007" t="str">
        <f>IFERROR(+VLOOKUP(Movimientos_2026[[#This Row],[Codigo]],Plan_cuentas[],6,FALSE)," ")</f>
        <v xml:space="preserve"> </v>
      </c>
      <c r="L5007" s="50"/>
      <c r="M5007" s="50"/>
      <c r="N5007" s="20">
        <f>+Movimientos_2026[[#This Row],[Ingresos]]-Movimientos_2026[[#This Row],[Egresos]]</f>
        <v>0</v>
      </c>
      <c r="O5007" s="20">
        <f>+O5006+Movimientos_2026[[#This Row],[Neto]]</f>
        <v>4581558617.7962294</v>
      </c>
    </row>
    <row r="5008" spans="1:15" x14ac:dyDescent="0.25">
      <c r="A5008" s="13"/>
      <c r="B5008" s="12">
        <f>MONTH(Movimientos_2026[[#This Row],[Fecha]])</f>
        <v>1</v>
      </c>
      <c r="C5008" s="12" t="str">
        <f>VLOOKUP((WEEKDAY(Movimientos_2026[[#This Row],[Fecha]],2)),'5. Setup'!$D$6:$E$12,2,FALSE)</f>
        <v>Sab</v>
      </c>
      <c r="E5008" t="str">
        <f>IFERROR(+VLOOKUP(Movimientos_2026[[#This Row],[Codigo]],Plan_cuentas[],2,FALSE)," ")</f>
        <v xml:space="preserve"> </v>
      </c>
      <c r="F5008" t="str">
        <f>IFERROR(+VLOOKUP(Movimientos_2026[[#This Row],[Codigo]],Plan_cuentas[],3,FALSE)," ")</f>
        <v xml:space="preserve"> </v>
      </c>
      <c r="G5008" t="str">
        <f>IFERROR(+VLOOKUP(Movimientos_2026[[#This Row],[Codigo]],Plan_cuentas[],4,FALSE)," ")</f>
        <v xml:space="preserve"> </v>
      </c>
      <c r="H5008" t="str">
        <f>IFERROR(+VLOOKUP(Movimientos_2026[[#This Row],[Codigo]],Plan_cuentas[],5,FALSE)," ")</f>
        <v xml:space="preserve"> </v>
      </c>
      <c r="I5008" s="43"/>
      <c r="K5008" t="str">
        <f>IFERROR(+VLOOKUP(Movimientos_2026[[#This Row],[Codigo]],Plan_cuentas[],6,FALSE)," ")</f>
        <v xml:space="preserve"> </v>
      </c>
      <c r="L5008" s="50"/>
      <c r="M5008" s="50"/>
      <c r="N5008" s="20">
        <f>+Movimientos_2026[[#This Row],[Ingresos]]-Movimientos_2026[[#This Row],[Egresos]]</f>
        <v>0</v>
      </c>
      <c r="O5008" s="20">
        <f>+O5007+Movimientos_2026[[#This Row],[Neto]]</f>
        <v>4581558617.7962294</v>
      </c>
    </row>
    <row r="5009" spans="1:15" x14ac:dyDescent="0.25">
      <c r="A5009" s="13"/>
      <c r="B5009" s="12">
        <f>MONTH(Movimientos_2026[[#This Row],[Fecha]])</f>
        <v>1</v>
      </c>
      <c r="C5009" s="12" t="str">
        <f>VLOOKUP((WEEKDAY(Movimientos_2026[[#This Row],[Fecha]],2)),'5. Setup'!$D$6:$E$12,2,FALSE)</f>
        <v>Sab</v>
      </c>
      <c r="E5009" t="str">
        <f>IFERROR(+VLOOKUP(Movimientos_2026[[#This Row],[Codigo]],Plan_cuentas[],2,FALSE)," ")</f>
        <v xml:space="preserve"> </v>
      </c>
      <c r="F5009" t="str">
        <f>IFERROR(+VLOOKUP(Movimientos_2026[[#This Row],[Codigo]],Plan_cuentas[],3,FALSE)," ")</f>
        <v xml:space="preserve"> </v>
      </c>
      <c r="G5009" t="str">
        <f>IFERROR(+VLOOKUP(Movimientos_2026[[#This Row],[Codigo]],Plan_cuentas[],4,FALSE)," ")</f>
        <v xml:space="preserve"> </v>
      </c>
      <c r="H5009" t="str">
        <f>IFERROR(+VLOOKUP(Movimientos_2026[[#This Row],[Codigo]],Plan_cuentas[],5,FALSE)," ")</f>
        <v xml:space="preserve"> </v>
      </c>
      <c r="I5009" s="43"/>
      <c r="K5009" t="str">
        <f>IFERROR(+VLOOKUP(Movimientos_2026[[#This Row],[Codigo]],Plan_cuentas[],6,FALSE)," ")</f>
        <v xml:space="preserve"> </v>
      </c>
      <c r="L5009" s="50"/>
      <c r="M5009" s="50"/>
      <c r="N5009" s="20">
        <f>+Movimientos_2026[[#This Row],[Ingresos]]-Movimientos_2026[[#This Row],[Egresos]]</f>
        <v>0</v>
      </c>
      <c r="O5009" s="20">
        <f>+O5008+Movimientos_2026[[#This Row],[Neto]]</f>
        <v>4581558617.7962294</v>
      </c>
    </row>
    <row r="5010" spans="1:15" x14ac:dyDescent="0.25">
      <c r="A5010" s="13"/>
      <c r="B5010" s="12">
        <f>MONTH(Movimientos_2026[[#This Row],[Fecha]])</f>
        <v>1</v>
      </c>
      <c r="C5010" s="12" t="str">
        <f>VLOOKUP((WEEKDAY(Movimientos_2026[[#This Row],[Fecha]],2)),'5. Setup'!$D$6:$E$12,2,FALSE)</f>
        <v>Sab</v>
      </c>
      <c r="E5010" t="str">
        <f>IFERROR(+VLOOKUP(Movimientos_2026[[#This Row],[Codigo]],Plan_cuentas[],2,FALSE)," ")</f>
        <v xml:space="preserve"> </v>
      </c>
      <c r="F5010" t="str">
        <f>IFERROR(+VLOOKUP(Movimientos_2026[[#This Row],[Codigo]],Plan_cuentas[],3,FALSE)," ")</f>
        <v xml:space="preserve"> </v>
      </c>
      <c r="G5010" t="str">
        <f>IFERROR(+VLOOKUP(Movimientos_2026[[#This Row],[Codigo]],Plan_cuentas[],4,FALSE)," ")</f>
        <v xml:space="preserve"> </v>
      </c>
      <c r="H5010" t="str">
        <f>IFERROR(+VLOOKUP(Movimientos_2026[[#This Row],[Codigo]],Plan_cuentas[],5,FALSE)," ")</f>
        <v xml:space="preserve"> </v>
      </c>
      <c r="I5010" s="43"/>
      <c r="K5010" t="str">
        <f>IFERROR(+VLOOKUP(Movimientos_2026[[#This Row],[Codigo]],Plan_cuentas[],6,FALSE)," ")</f>
        <v xml:space="preserve"> </v>
      </c>
      <c r="L5010" s="50"/>
      <c r="M5010" s="50"/>
      <c r="N5010" s="20">
        <f>+Movimientos_2026[[#This Row],[Ingresos]]-Movimientos_2026[[#This Row],[Egresos]]</f>
        <v>0</v>
      </c>
      <c r="O5010" s="20">
        <f>+O5009+Movimientos_2026[[#This Row],[Neto]]</f>
        <v>4581558617.7962294</v>
      </c>
    </row>
    <row r="5011" spans="1:15" x14ac:dyDescent="0.25">
      <c r="A5011" s="13"/>
      <c r="B5011" s="12">
        <f>MONTH(Movimientos_2026[[#This Row],[Fecha]])</f>
        <v>1</v>
      </c>
      <c r="C5011" s="12" t="str">
        <f>VLOOKUP((WEEKDAY(Movimientos_2026[[#This Row],[Fecha]],2)),'5. Setup'!$D$6:$E$12,2,FALSE)</f>
        <v>Sab</v>
      </c>
      <c r="E5011" t="str">
        <f>IFERROR(+VLOOKUP(Movimientos_2026[[#This Row],[Codigo]],Plan_cuentas[],2,FALSE)," ")</f>
        <v xml:space="preserve"> </v>
      </c>
      <c r="F5011" t="str">
        <f>IFERROR(+VLOOKUP(Movimientos_2026[[#This Row],[Codigo]],Plan_cuentas[],3,FALSE)," ")</f>
        <v xml:space="preserve"> </v>
      </c>
      <c r="G5011" t="str">
        <f>IFERROR(+VLOOKUP(Movimientos_2026[[#This Row],[Codigo]],Plan_cuentas[],4,FALSE)," ")</f>
        <v xml:space="preserve"> </v>
      </c>
      <c r="H5011" t="str">
        <f>IFERROR(+VLOOKUP(Movimientos_2026[[#This Row],[Codigo]],Plan_cuentas[],5,FALSE)," ")</f>
        <v xml:space="preserve"> </v>
      </c>
      <c r="I5011" s="43"/>
      <c r="K5011" t="str">
        <f>IFERROR(+VLOOKUP(Movimientos_2026[[#This Row],[Codigo]],Plan_cuentas[],6,FALSE)," ")</f>
        <v xml:space="preserve"> </v>
      </c>
      <c r="L5011" s="50"/>
      <c r="M5011" s="50"/>
      <c r="N5011" s="20">
        <f>+Movimientos_2026[[#This Row],[Ingresos]]-Movimientos_2026[[#This Row],[Egresos]]</f>
        <v>0</v>
      </c>
      <c r="O5011" s="20">
        <f>+O5010+Movimientos_2026[[#This Row],[Neto]]</f>
        <v>4581558617.7962294</v>
      </c>
    </row>
    <row r="5012" spans="1:15" x14ac:dyDescent="0.25">
      <c r="A5012" s="13"/>
      <c r="B5012" s="12">
        <f>MONTH(Movimientos_2026[[#This Row],[Fecha]])</f>
        <v>1</v>
      </c>
      <c r="C5012" s="12" t="str">
        <f>VLOOKUP((WEEKDAY(Movimientos_2026[[#This Row],[Fecha]],2)),'5. Setup'!$D$6:$E$12,2,FALSE)</f>
        <v>Sab</v>
      </c>
      <c r="E5012" t="str">
        <f>IFERROR(+VLOOKUP(Movimientos_2026[[#This Row],[Codigo]],Plan_cuentas[],2,FALSE)," ")</f>
        <v xml:space="preserve"> </v>
      </c>
      <c r="F5012" t="str">
        <f>IFERROR(+VLOOKUP(Movimientos_2026[[#This Row],[Codigo]],Plan_cuentas[],3,FALSE)," ")</f>
        <v xml:space="preserve"> </v>
      </c>
      <c r="G5012" t="str">
        <f>IFERROR(+VLOOKUP(Movimientos_2026[[#This Row],[Codigo]],Plan_cuentas[],4,FALSE)," ")</f>
        <v xml:space="preserve"> </v>
      </c>
      <c r="H5012" t="str">
        <f>IFERROR(+VLOOKUP(Movimientos_2026[[#This Row],[Codigo]],Plan_cuentas[],5,FALSE)," ")</f>
        <v xml:space="preserve"> </v>
      </c>
      <c r="I5012" s="43"/>
      <c r="K5012" t="str">
        <f>IFERROR(+VLOOKUP(Movimientos_2026[[#This Row],[Codigo]],Plan_cuentas[],6,FALSE)," ")</f>
        <v xml:space="preserve"> </v>
      </c>
      <c r="L5012" s="50"/>
      <c r="M5012" s="50"/>
      <c r="N5012" s="20">
        <f>+Movimientos_2026[[#This Row],[Ingresos]]-Movimientos_2026[[#This Row],[Egresos]]</f>
        <v>0</v>
      </c>
      <c r="O5012" s="20">
        <f>+O5011+Movimientos_2026[[#This Row],[Neto]]</f>
        <v>4581558617.7962294</v>
      </c>
    </row>
    <row r="5013" spans="1:15" x14ac:dyDescent="0.25">
      <c r="A5013" s="13"/>
      <c r="B5013" s="12">
        <f>MONTH(Movimientos_2026[[#This Row],[Fecha]])</f>
        <v>1</v>
      </c>
      <c r="C5013" s="12" t="str">
        <f>VLOOKUP((WEEKDAY(Movimientos_2026[[#This Row],[Fecha]],2)),'5. Setup'!$D$6:$E$12,2,FALSE)</f>
        <v>Sab</v>
      </c>
      <c r="E5013" t="str">
        <f>IFERROR(+VLOOKUP(Movimientos_2026[[#This Row],[Codigo]],Plan_cuentas[],2,FALSE)," ")</f>
        <v xml:space="preserve"> </v>
      </c>
      <c r="F5013" t="str">
        <f>IFERROR(+VLOOKUP(Movimientos_2026[[#This Row],[Codigo]],Plan_cuentas[],3,FALSE)," ")</f>
        <v xml:space="preserve"> </v>
      </c>
      <c r="G5013" t="str">
        <f>IFERROR(+VLOOKUP(Movimientos_2026[[#This Row],[Codigo]],Plan_cuentas[],4,FALSE)," ")</f>
        <v xml:space="preserve"> </v>
      </c>
      <c r="H5013" t="str">
        <f>IFERROR(+VLOOKUP(Movimientos_2026[[#This Row],[Codigo]],Plan_cuentas[],5,FALSE)," ")</f>
        <v xml:space="preserve"> </v>
      </c>
      <c r="I5013" s="43"/>
      <c r="K5013" t="str">
        <f>IFERROR(+VLOOKUP(Movimientos_2026[[#This Row],[Codigo]],Plan_cuentas[],6,FALSE)," ")</f>
        <v xml:space="preserve"> </v>
      </c>
      <c r="L5013" s="50"/>
      <c r="M5013" s="50"/>
      <c r="N5013" s="20">
        <f>+Movimientos_2026[[#This Row],[Ingresos]]-Movimientos_2026[[#This Row],[Egresos]]</f>
        <v>0</v>
      </c>
      <c r="O5013" s="20">
        <f>+O5012+Movimientos_2026[[#This Row],[Neto]]</f>
        <v>4581558617.7962294</v>
      </c>
    </row>
    <row r="5014" spans="1:15" x14ac:dyDescent="0.25">
      <c r="A5014" s="13"/>
      <c r="B5014" s="12">
        <f>MONTH(Movimientos_2026[[#This Row],[Fecha]])</f>
        <v>1</v>
      </c>
      <c r="C5014" s="12" t="str">
        <f>VLOOKUP((WEEKDAY(Movimientos_2026[[#This Row],[Fecha]],2)),'5. Setup'!$D$6:$E$12,2,FALSE)</f>
        <v>Sab</v>
      </c>
      <c r="E5014" t="str">
        <f>IFERROR(+VLOOKUP(Movimientos_2026[[#This Row],[Codigo]],Plan_cuentas[],2,FALSE)," ")</f>
        <v xml:space="preserve"> </v>
      </c>
      <c r="F5014" t="str">
        <f>IFERROR(+VLOOKUP(Movimientos_2026[[#This Row],[Codigo]],Plan_cuentas[],3,FALSE)," ")</f>
        <v xml:space="preserve"> </v>
      </c>
      <c r="G5014" t="str">
        <f>IFERROR(+VLOOKUP(Movimientos_2026[[#This Row],[Codigo]],Plan_cuentas[],4,FALSE)," ")</f>
        <v xml:space="preserve"> </v>
      </c>
      <c r="H5014" t="str">
        <f>IFERROR(+VLOOKUP(Movimientos_2026[[#This Row],[Codigo]],Plan_cuentas[],5,FALSE)," ")</f>
        <v xml:space="preserve"> </v>
      </c>
      <c r="I5014" s="43"/>
      <c r="K5014" t="str">
        <f>IFERROR(+VLOOKUP(Movimientos_2026[[#This Row],[Codigo]],Plan_cuentas[],6,FALSE)," ")</f>
        <v xml:space="preserve"> </v>
      </c>
      <c r="L5014" s="50"/>
      <c r="M5014" s="50"/>
      <c r="N5014" s="20">
        <f>+Movimientos_2026[[#This Row],[Ingresos]]-Movimientos_2026[[#This Row],[Egresos]]</f>
        <v>0</v>
      </c>
      <c r="O5014" s="20">
        <f>+O5013+Movimientos_2026[[#This Row],[Neto]]</f>
        <v>4581558617.7962294</v>
      </c>
    </row>
    <row r="5015" spans="1:15" x14ac:dyDescent="0.25">
      <c r="A5015" s="13"/>
      <c r="B5015" s="12">
        <f>MONTH(Movimientos_2026[[#This Row],[Fecha]])</f>
        <v>1</v>
      </c>
      <c r="C5015" s="12" t="str">
        <f>VLOOKUP((WEEKDAY(Movimientos_2026[[#This Row],[Fecha]],2)),'5. Setup'!$D$6:$E$12,2,FALSE)</f>
        <v>Sab</v>
      </c>
      <c r="E5015" t="str">
        <f>IFERROR(+VLOOKUP(Movimientos_2026[[#This Row],[Codigo]],Plan_cuentas[],2,FALSE)," ")</f>
        <v xml:space="preserve"> </v>
      </c>
      <c r="F5015" t="str">
        <f>IFERROR(+VLOOKUP(Movimientos_2026[[#This Row],[Codigo]],Plan_cuentas[],3,FALSE)," ")</f>
        <v xml:space="preserve"> </v>
      </c>
      <c r="G5015" t="str">
        <f>IFERROR(+VLOOKUP(Movimientos_2026[[#This Row],[Codigo]],Plan_cuentas[],4,FALSE)," ")</f>
        <v xml:space="preserve"> </v>
      </c>
      <c r="H5015" t="str">
        <f>IFERROR(+VLOOKUP(Movimientos_2026[[#This Row],[Codigo]],Plan_cuentas[],5,FALSE)," ")</f>
        <v xml:space="preserve"> </v>
      </c>
      <c r="I5015" s="43"/>
      <c r="K5015" t="str">
        <f>IFERROR(+VLOOKUP(Movimientos_2026[[#This Row],[Codigo]],Plan_cuentas[],6,FALSE)," ")</f>
        <v xml:space="preserve"> </v>
      </c>
      <c r="L5015" s="50"/>
      <c r="M5015" s="50"/>
      <c r="N5015" s="20">
        <f>+Movimientos_2026[[#This Row],[Ingresos]]-Movimientos_2026[[#This Row],[Egresos]]</f>
        <v>0</v>
      </c>
      <c r="O5015" s="20">
        <f>+O5014+Movimientos_2026[[#This Row],[Neto]]</f>
        <v>4581558617.7962294</v>
      </c>
    </row>
    <row r="5016" spans="1:15" x14ac:dyDescent="0.25">
      <c r="A5016" s="13"/>
      <c r="B5016" s="12">
        <f>MONTH(Movimientos_2026[[#This Row],[Fecha]])</f>
        <v>1</v>
      </c>
      <c r="C5016" s="12" t="str">
        <f>VLOOKUP((WEEKDAY(Movimientos_2026[[#This Row],[Fecha]],2)),'5. Setup'!$D$6:$E$12,2,FALSE)</f>
        <v>Sab</v>
      </c>
      <c r="E5016" t="str">
        <f>IFERROR(+VLOOKUP(Movimientos_2026[[#This Row],[Codigo]],Plan_cuentas[],2,FALSE)," ")</f>
        <v xml:space="preserve"> </v>
      </c>
      <c r="F5016" t="str">
        <f>IFERROR(+VLOOKUP(Movimientos_2026[[#This Row],[Codigo]],Plan_cuentas[],3,FALSE)," ")</f>
        <v xml:space="preserve"> </v>
      </c>
      <c r="G5016" t="str">
        <f>IFERROR(+VLOOKUP(Movimientos_2026[[#This Row],[Codigo]],Plan_cuentas[],4,FALSE)," ")</f>
        <v xml:space="preserve"> </v>
      </c>
      <c r="H5016" t="str">
        <f>IFERROR(+VLOOKUP(Movimientos_2026[[#This Row],[Codigo]],Plan_cuentas[],5,FALSE)," ")</f>
        <v xml:space="preserve"> </v>
      </c>
      <c r="I5016" s="43"/>
      <c r="K5016" t="str">
        <f>IFERROR(+VLOOKUP(Movimientos_2026[[#This Row],[Codigo]],Plan_cuentas[],6,FALSE)," ")</f>
        <v xml:space="preserve"> </v>
      </c>
      <c r="L5016" s="50"/>
      <c r="M5016" s="50"/>
      <c r="N5016" s="20">
        <f>+Movimientos_2026[[#This Row],[Ingresos]]-Movimientos_2026[[#This Row],[Egresos]]</f>
        <v>0</v>
      </c>
      <c r="O5016" s="20">
        <f>+O5015+Movimientos_2026[[#This Row],[Neto]]</f>
        <v>4581558617.7962294</v>
      </c>
    </row>
    <row r="5017" spans="1:15" x14ac:dyDescent="0.25">
      <c r="A5017" s="13"/>
      <c r="B5017" s="12">
        <f>MONTH(Movimientos_2026[[#This Row],[Fecha]])</f>
        <v>1</v>
      </c>
      <c r="C5017" s="12" t="str">
        <f>VLOOKUP((WEEKDAY(Movimientos_2026[[#This Row],[Fecha]],2)),'5. Setup'!$D$6:$E$12,2,FALSE)</f>
        <v>Sab</v>
      </c>
      <c r="E5017" t="str">
        <f>IFERROR(+VLOOKUP(Movimientos_2026[[#This Row],[Codigo]],Plan_cuentas[],2,FALSE)," ")</f>
        <v xml:space="preserve"> </v>
      </c>
      <c r="F5017" t="str">
        <f>IFERROR(+VLOOKUP(Movimientos_2026[[#This Row],[Codigo]],Plan_cuentas[],3,FALSE)," ")</f>
        <v xml:space="preserve"> </v>
      </c>
      <c r="G5017" t="str">
        <f>IFERROR(+VLOOKUP(Movimientos_2026[[#This Row],[Codigo]],Plan_cuentas[],4,FALSE)," ")</f>
        <v xml:space="preserve"> </v>
      </c>
      <c r="H5017" t="str">
        <f>IFERROR(+VLOOKUP(Movimientos_2026[[#This Row],[Codigo]],Plan_cuentas[],5,FALSE)," ")</f>
        <v xml:space="preserve"> </v>
      </c>
      <c r="I5017" s="43"/>
      <c r="K5017" t="str">
        <f>IFERROR(+VLOOKUP(Movimientos_2026[[#This Row],[Codigo]],Plan_cuentas[],6,FALSE)," ")</f>
        <v xml:space="preserve"> </v>
      </c>
      <c r="L5017" s="50"/>
      <c r="M5017" s="50"/>
      <c r="N5017" s="20">
        <f>+Movimientos_2026[[#This Row],[Ingresos]]-Movimientos_2026[[#This Row],[Egresos]]</f>
        <v>0</v>
      </c>
      <c r="O5017" s="20">
        <f>+O5016+Movimientos_2026[[#This Row],[Neto]]</f>
        <v>4581558617.7962294</v>
      </c>
    </row>
    <row r="5018" spans="1:15" x14ac:dyDescent="0.25">
      <c r="A5018" s="13"/>
      <c r="B5018" s="12">
        <f>MONTH(Movimientos_2026[[#This Row],[Fecha]])</f>
        <v>1</v>
      </c>
      <c r="C5018" s="12" t="str">
        <f>VLOOKUP((WEEKDAY(Movimientos_2026[[#This Row],[Fecha]],2)),'5. Setup'!$D$6:$E$12,2,FALSE)</f>
        <v>Sab</v>
      </c>
      <c r="E5018" t="str">
        <f>IFERROR(+VLOOKUP(Movimientos_2026[[#This Row],[Codigo]],Plan_cuentas[],2,FALSE)," ")</f>
        <v xml:space="preserve"> </v>
      </c>
      <c r="F5018" t="str">
        <f>IFERROR(+VLOOKUP(Movimientos_2026[[#This Row],[Codigo]],Plan_cuentas[],3,FALSE)," ")</f>
        <v xml:space="preserve"> </v>
      </c>
      <c r="G5018" t="str">
        <f>IFERROR(+VLOOKUP(Movimientos_2026[[#This Row],[Codigo]],Plan_cuentas[],4,FALSE)," ")</f>
        <v xml:space="preserve"> </v>
      </c>
      <c r="H5018" t="str">
        <f>IFERROR(+VLOOKUP(Movimientos_2026[[#This Row],[Codigo]],Plan_cuentas[],5,FALSE)," ")</f>
        <v xml:space="preserve"> </v>
      </c>
      <c r="I5018" s="43"/>
      <c r="K5018" t="str">
        <f>IFERROR(+VLOOKUP(Movimientos_2026[[#This Row],[Codigo]],Plan_cuentas[],6,FALSE)," ")</f>
        <v xml:space="preserve"> </v>
      </c>
      <c r="L5018" s="50"/>
      <c r="M5018" s="50"/>
      <c r="N5018" s="20">
        <f>+Movimientos_2026[[#This Row],[Ingresos]]-Movimientos_2026[[#This Row],[Egresos]]</f>
        <v>0</v>
      </c>
      <c r="O5018" s="20">
        <f>+O5017+Movimientos_2026[[#This Row],[Neto]]</f>
        <v>4581558617.7962294</v>
      </c>
    </row>
    <row r="5019" spans="1:15" x14ac:dyDescent="0.25">
      <c r="A5019" s="13"/>
      <c r="B5019" s="12">
        <f>MONTH(Movimientos_2026[[#This Row],[Fecha]])</f>
        <v>1</v>
      </c>
      <c r="C5019" s="12" t="str">
        <f>VLOOKUP((WEEKDAY(Movimientos_2026[[#This Row],[Fecha]],2)),'5. Setup'!$D$6:$E$12,2,FALSE)</f>
        <v>Sab</v>
      </c>
      <c r="E5019" t="str">
        <f>IFERROR(+VLOOKUP(Movimientos_2026[[#This Row],[Codigo]],Plan_cuentas[],2,FALSE)," ")</f>
        <v xml:space="preserve"> </v>
      </c>
      <c r="F5019" t="str">
        <f>IFERROR(+VLOOKUP(Movimientos_2026[[#This Row],[Codigo]],Plan_cuentas[],3,FALSE)," ")</f>
        <v xml:space="preserve"> </v>
      </c>
      <c r="G5019" t="str">
        <f>IFERROR(+VLOOKUP(Movimientos_2026[[#This Row],[Codigo]],Plan_cuentas[],4,FALSE)," ")</f>
        <v xml:space="preserve"> </v>
      </c>
      <c r="H5019" t="str">
        <f>IFERROR(+VLOOKUP(Movimientos_2026[[#This Row],[Codigo]],Plan_cuentas[],5,FALSE)," ")</f>
        <v xml:space="preserve"> </v>
      </c>
      <c r="I5019" s="43"/>
      <c r="K5019" t="str">
        <f>IFERROR(+VLOOKUP(Movimientos_2026[[#This Row],[Codigo]],Plan_cuentas[],6,FALSE)," ")</f>
        <v xml:space="preserve"> </v>
      </c>
      <c r="L5019" s="50"/>
      <c r="M5019" s="50"/>
      <c r="N5019" s="20">
        <f>+Movimientos_2026[[#This Row],[Ingresos]]-Movimientos_2026[[#This Row],[Egresos]]</f>
        <v>0</v>
      </c>
      <c r="O5019" s="20">
        <f>+O5018+Movimientos_2026[[#This Row],[Neto]]</f>
        <v>4581558617.7962294</v>
      </c>
    </row>
    <row r="5020" spans="1:15" x14ac:dyDescent="0.25">
      <c r="A5020" s="13"/>
      <c r="B5020" s="12">
        <f>MONTH(Movimientos_2026[[#This Row],[Fecha]])</f>
        <v>1</v>
      </c>
      <c r="C5020" s="12" t="str">
        <f>VLOOKUP((WEEKDAY(Movimientos_2026[[#This Row],[Fecha]],2)),'5. Setup'!$D$6:$E$12,2,FALSE)</f>
        <v>Sab</v>
      </c>
      <c r="E5020" t="str">
        <f>IFERROR(+VLOOKUP(Movimientos_2026[[#This Row],[Codigo]],Plan_cuentas[],2,FALSE)," ")</f>
        <v xml:space="preserve"> </v>
      </c>
      <c r="F5020" t="str">
        <f>IFERROR(+VLOOKUP(Movimientos_2026[[#This Row],[Codigo]],Plan_cuentas[],3,FALSE)," ")</f>
        <v xml:space="preserve"> </v>
      </c>
      <c r="G5020" t="str">
        <f>IFERROR(+VLOOKUP(Movimientos_2026[[#This Row],[Codigo]],Plan_cuentas[],4,FALSE)," ")</f>
        <v xml:space="preserve"> </v>
      </c>
      <c r="H5020" t="str">
        <f>IFERROR(+VLOOKUP(Movimientos_2026[[#This Row],[Codigo]],Plan_cuentas[],5,FALSE)," ")</f>
        <v xml:space="preserve"> </v>
      </c>
      <c r="I5020" s="43"/>
      <c r="K5020" t="str">
        <f>IFERROR(+VLOOKUP(Movimientos_2026[[#This Row],[Codigo]],Plan_cuentas[],6,FALSE)," ")</f>
        <v xml:space="preserve"> </v>
      </c>
      <c r="L5020" s="50"/>
      <c r="M5020" s="50"/>
      <c r="N5020" s="20">
        <f>+Movimientos_2026[[#This Row],[Ingresos]]-Movimientos_2026[[#This Row],[Egresos]]</f>
        <v>0</v>
      </c>
      <c r="O5020" s="20">
        <f>+O5019+Movimientos_2026[[#This Row],[Neto]]</f>
        <v>4581558617.7962294</v>
      </c>
    </row>
    <row r="5021" spans="1:15" x14ac:dyDescent="0.25">
      <c r="A5021" s="13"/>
      <c r="B5021" s="12">
        <f>MONTH(Movimientos_2026[[#This Row],[Fecha]])</f>
        <v>1</v>
      </c>
      <c r="C5021" s="12" t="str">
        <f>VLOOKUP((WEEKDAY(Movimientos_2026[[#This Row],[Fecha]],2)),'5. Setup'!$D$6:$E$12,2,FALSE)</f>
        <v>Sab</v>
      </c>
      <c r="E5021" t="str">
        <f>IFERROR(+VLOOKUP(Movimientos_2026[[#This Row],[Codigo]],Plan_cuentas[],2,FALSE)," ")</f>
        <v xml:space="preserve"> </v>
      </c>
      <c r="F5021" t="str">
        <f>IFERROR(+VLOOKUP(Movimientos_2026[[#This Row],[Codigo]],Plan_cuentas[],3,FALSE)," ")</f>
        <v xml:space="preserve"> </v>
      </c>
      <c r="G5021" t="str">
        <f>IFERROR(+VLOOKUP(Movimientos_2026[[#This Row],[Codigo]],Plan_cuentas[],4,FALSE)," ")</f>
        <v xml:space="preserve"> </v>
      </c>
      <c r="H5021" t="str">
        <f>IFERROR(+VLOOKUP(Movimientos_2026[[#This Row],[Codigo]],Plan_cuentas[],5,FALSE)," ")</f>
        <v xml:space="preserve"> </v>
      </c>
      <c r="I5021" s="43"/>
      <c r="K5021" t="str">
        <f>IFERROR(+VLOOKUP(Movimientos_2026[[#This Row],[Codigo]],Plan_cuentas[],6,FALSE)," ")</f>
        <v xml:space="preserve"> </v>
      </c>
      <c r="L5021" s="50"/>
      <c r="M5021" s="50"/>
      <c r="N5021" s="20">
        <f>+Movimientos_2026[[#This Row],[Ingresos]]-Movimientos_2026[[#This Row],[Egresos]]</f>
        <v>0</v>
      </c>
      <c r="O5021" s="20">
        <f>+O5020+Movimientos_2026[[#This Row],[Neto]]</f>
        <v>4581558617.7962294</v>
      </c>
    </row>
    <row r="5022" spans="1:15" x14ac:dyDescent="0.25">
      <c r="A5022" s="13"/>
      <c r="B5022" s="12">
        <f>MONTH(Movimientos_2026[[#This Row],[Fecha]])</f>
        <v>1</v>
      </c>
      <c r="C5022" s="12" t="str">
        <f>VLOOKUP((WEEKDAY(Movimientos_2026[[#This Row],[Fecha]],2)),'5. Setup'!$D$6:$E$12,2,FALSE)</f>
        <v>Sab</v>
      </c>
      <c r="E5022" t="str">
        <f>IFERROR(+VLOOKUP(Movimientos_2026[[#This Row],[Codigo]],Plan_cuentas[],2,FALSE)," ")</f>
        <v xml:space="preserve"> </v>
      </c>
      <c r="F5022" t="str">
        <f>IFERROR(+VLOOKUP(Movimientos_2026[[#This Row],[Codigo]],Plan_cuentas[],3,FALSE)," ")</f>
        <v xml:space="preserve"> </v>
      </c>
      <c r="G5022" t="str">
        <f>IFERROR(+VLOOKUP(Movimientos_2026[[#This Row],[Codigo]],Plan_cuentas[],4,FALSE)," ")</f>
        <v xml:space="preserve"> </v>
      </c>
      <c r="H5022" t="str">
        <f>IFERROR(+VLOOKUP(Movimientos_2026[[#This Row],[Codigo]],Plan_cuentas[],5,FALSE)," ")</f>
        <v xml:space="preserve"> </v>
      </c>
      <c r="I5022" s="43"/>
      <c r="K5022" t="str">
        <f>IFERROR(+VLOOKUP(Movimientos_2026[[#This Row],[Codigo]],Plan_cuentas[],6,FALSE)," ")</f>
        <v xml:space="preserve"> </v>
      </c>
      <c r="L5022" s="50"/>
      <c r="M5022" s="50"/>
      <c r="N5022" s="20">
        <f>+Movimientos_2026[[#This Row],[Ingresos]]-Movimientos_2026[[#This Row],[Egresos]]</f>
        <v>0</v>
      </c>
      <c r="O5022" s="20">
        <f>+O5021+Movimientos_2026[[#This Row],[Neto]]</f>
        <v>4581558617.7962294</v>
      </c>
    </row>
    <row r="5023" spans="1:15" x14ac:dyDescent="0.25">
      <c r="A5023" s="13"/>
      <c r="B5023" s="12">
        <f>MONTH(Movimientos_2026[[#This Row],[Fecha]])</f>
        <v>1</v>
      </c>
      <c r="C5023" s="12" t="str">
        <f>VLOOKUP((WEEKDAY(Movimientos_2026[[#This Row],[Fecha]],2)),'5. Setup'!$D$6:$E$12,2,FALSE)</f>
        <v>Sab</v>
      </c>
      <c r="E5023" t="str">
        <f>IFERROR(+VLOOKUP(Movimientos_2026[[#This Row],[Codigo]],Plan_cuentas[],2,FALSE)," ")</f>
        <v xml:space="preserve"> </v>
      </c>
      <c r="F5023" t="str">
        <f>IFERROR(+VLOOKUP(Movimientos_2026[[#This Row],[Codigo]],Plan_cuentas[],3,FALSE)," ")</f>
        <v xml:space="preserve"> </v>
      </c>
      <c r="G5023" t="str">
        <f>IFERROR(+VLOOKUP(Movimientos_2026[[#This Row],[Codigo]],Plan_cuentas[],4,FALSE)," ")</f>
        <v xml:space="preserve"> </v>
      </c>
      <c r="H5023" t="str">
        <f>IFERROR(+VLOOKUP(Movimientos_2026[[#This Row],[Codigo]],Plan_cuentas[],5,FALSE)," ")</f>
        <v xml:space="preserve"> </v>
      </c>
      <c r="I5023" s="43"/>
      <c r="K5023" t="str">
        <f>IFERROR(+VLOOKUP(Movimientos_2026[[#This Row],[Codigo]],Plan_cuentas[],6,FALSE)," ")</f>
        <v xml:space="preserve"> </v>
      </c>
      <c r="L5023" s="50"/>
      <c r="M5023" s="50"/>
      <c r="N5023" s="20">
        <f>+Movimientos_2026[[#This Row],[Ingresos]]-Movimientos_2026[[#This Row],[Egresos]]</f>
        <v>0</v>
      </c>
      <c r="O5023" s="20">
        <f>+O5022+Movimientos_2026[[#This Row],[Neto]]</f>
        <v>4581558617.7962294</v>
      </c>
    </row>
    <row r="5024" spans="1:15" x14ac:dyDescent="0.25">
      <c r="A5024" s="13"/>
      <c r="B5024" s="12">
        <f>MONTH(Movimientos_2026[[#This Row],[Fecha]])</f>
        <v>1</v>
      </c>
      <c r="C5024" s="12" t="str">
        <f>VLOOKUP((WEEKDAY(Movimientos_2026[[#This Row],[Fecha]],2)),'5. Setup'!$D$6:$E$12,2,FALSE)</f>
        <v>Sab</v>
      </c>
      <c r="E5024" t="str">
        <f>IFERROR(+VLOOKUP(Movimientos_2026[[#This Row],[Codigo]],Plan_cuentas[],2,FALSE)," ")</f>
        <v xml:space="preserve"> </v>
      </c>
      <c r="F5024" t="str">
        <f>IFERROR(+VLOOKUP(Movimientos_2026[[#This Row],[Codigo]],Plan_cuentas[],3,FALSE)," ")</f>
        <v xml:space="preserve"> </v>
      </c>
      <c r="G5024" t="str">
        <f>IFERROR(+VLOOKUP(Movimientos_2026[[#This Row],[Codigo]],Plan_cuentas[],4,FALSE)," ")</f>
        <v xml:space="preserve"> </v>
      </c>
      <c r="H5024" t="str">
        <f>IFERROR(+VLOOKUP(Movimientos_2026[[#This Row],[Codigo]],Plan_cuentas[],5,FALSE)," ")</f>
        <v xml:space="preserve"> </v>
      </c>
      <c r="I5024" s="43"/>
      <c r="K5024" t="str">
        <f>IFERROR(+VLOOKUP(Movimientos_2026[[#This Row],[Codigo]],Plan_cuentas[],6,FALSE)," ")</f>
        <v xml:space="preserve"> </v>
      </c>
      <c r="L5024" s="50"/>
      <c r="M5024" s="50"/>
      <c r="N5024" s="20">
        <f>+Movimientos_2026[[#This Row],[Ingresos]]-Movimientos_2026[[#This Row],[Egresos]]</f>
        <v>0</v>
      </c>
      <c r="O5024" s="20">
        <f>+O5023+Movimientos_2026[[#This Row],[Neto]]</f>
        <v>4581558617.7962294</v>
      </c>
    </row>
    <row r="5025" spans="1:15" x14ac:dyDescent="0.25">
      <c r="A5025" s="13"/>
      <c r="B5025" s="12">
        <f>MONTH(Movimientos_2026[[#This Row],[Fecha]])</f>
        <v>1</v>
      </c>
      <c r="C5025" s="12" t="str">
        <f>VLOOKUP((WEEKDAY(Movimientos_2026[[#This Row],[Fecha]],2)),'5. Setup'!$D$6:$E$12,2,FALSE)</f>
        <v>Sab</v>
      </c>
      <c r="E5025" t="str">
        <f>IFERROR(+VLOOKUP(Movimientos_2026[[#This Row],[Codigo]],Plan_cuentas[],2,FALSE)," ")</f>
        <v xml:space="preserve"> </v>
      </c>
      <c r="F5025" t="str">
        <f>IFERROR(+VLOOKUP(Movimientos_2026[[#This Row],[Codigo]],Plan_cuentas[],3,FALSE)," ")</f>
        <v xml:space="preserve"> </v>
      </c>
      <c r="G5025" t="str">
        <f>IFERROR(+VLOOKUP(Movimientos_2026[[#This Row],[Codigo]],Plan_cuentas[],4,FALSE)," ")</f>
        <v xml:space="preserve"> </v>
      </c>
      <c r="H5025" t="str">
        <f>IFERROR(+VLOOKUP(Movimientos_2026[[#This Row],[Codigo]],Plan_cuentas[],5,FALSE)," ")</f>
        <v xml:space="preserve"> </v>
      </c>
      <c r="I5025" s="43"/>
      <c r="K5025" t="str">
        <f>IFERROR(+VLOOKUP(Movimientos_2026[[#This Row],[Codigo]],Plan_cuentas[],6,FALSE)," ")</f>
        <v xml:space="preserve"> </v>
      </c>
      <c r="L5025" s="50"/>
      <c r="M5025" s="50"/>
      <c r="N5025" s="20">
        <f>+Movimientos_2026[[#This Row],[Ingresos]]-Movimientos_2026[[#This Row],[Egresos]]</f>
        <v>0</v>
      </c>
      <c r="O5025" s="20">
        <f>+O5024+Movimientos_2026[[#This Row],[Neto]]</f>
        <v>4581558617.7962294</v>
      </c>
    </row>
    <row r="5026" spans="1:15" x14ac:dyDescent="0.25">
      <c r="A5026" s="13"/>
      <c r="B5026" s="12">
        <f>MONTH(Movimientos_2026[[#This Row],[Fecha]])</f>
        <v>1</v>
      </c>
      <c r="C5026" s="12" t="str">
        <f>VLOOKUP((WEEKDAY(Movimientos_2026[[#This Row],[Fecha]],2)),'5. Setup'!$D$6:$E$12,2,FALSE)</f>
        <v>Sab</v>
      </c>
      <c r="E5026" t="str">
        <f>IFERROR(+VLOOKUP(Movimientos_2026[[#This Row],[Codigo]],Plan_cuentas[],2,FALSE)," ")</f>
        <v xml:space="preserve"> </v>
      </c>
      <c r="F5026" t="str">
        <f>IFERROR(+VLOOKUP(Movimientos_2026[[#This Row],[Codigo]],Plan_cuentas[],3,FALSE)," ")</f>
        <v xml:space="preserve"> </v>
      </c>
      <c r="G5026" t="str">
        <f>IFERROR(+VLOOKUP(Movimientos_2026[[#This Row],[Codigo]],Plan_cuentas[],4,FALSE)," ")</f>
        <v xml:space="preserve"> </v>
      </c>
      <c r="H5026" t="str">
        <f>IFERROR(+VLOOKUP(Movimientos_2026[[#This Row],[Codigo]],Plan_cuentas[],5,FALSE)," ")</f>
        <v xml:space="preserve"> </v>
      </c>
      <c r="I5026" s="43"/>
      <c r="K5026" t="str">
        <f>IFERROR(+VLOOKUP(Movimientos_2026[[#This Row],[Codigo]],Plan_cuentas[],6,FALSE)," ")</f>
        <v xml:space="preserve"> </v>
      </c>
      <c r="L5026" s="50"/>
      <c r="M5026" s="50"/>
      <c r="N5026" s="20">
        <f>+Movimientos_2026[[#This Row],[Ingresos]]-Movimientos_2026[[#This Row],[Egresos]]</f>
        <v>0</v>
      </c>
      <c r="O5026" s="20">
        <f>+O5025+Movimientos_2026[[#This Row],[Neto]]</f>
        <v>4581558617.7962294</v>
      </c>
    </row>
    <row r="5027" spans="1:15" x14ac:dyDescent="0.25">
      <c r="A5027" s="13"/>
      <c r="B5027" s="12">
        <f>MONTH(Movimientos_2026[[#This Row],[Fecha]])</f>
        <v>1</v>
      </c>
      <c r="C5027" s="12" t="str">
        <f>VLOOKUP((WEEKDAY(Movimientos_2026[[#This Row],[Fecha]],2)),'5. Setup'!$D$6:$E$12,2,FALSE)</f>
        <v>Sab</v>
      </c>
      <c r="E5027" t="str">
        <f>IFERROR(+VLOOKUP(Movimientos_2026[[#This Row],[Codigo]],Plan_cuentas[],2,FALSE)," ")</f>
        <v xml:space="preserve"> </v>
      </c>
      <c r="F5027" t="str">
        <f>IFERROR(+VLOOKUP(Movimientos_2026[[#This Row],[Codigo]],Plan_cuentas[],3,FALSE)," ")</f>
        <v xml:space="preserve"> </v>
      </c>
      <c r="G5027" t="str">
        <f>IFERROR(+VLOOKUP(Movimientos_2026[[#This Row],[Codigo]],Plan_cuentas[],4,FALSE)," ")</f>
        <v xml:space="preserve"> </v>
      </c>
      <c r="H5027" t="str">
        <f>IFERROR(+VLOOKUP(Movimientos_2026[[#This Row],[Codigo]],Plan_cuentas[],5,FALSE)," ")</f>
        <v xml:space="preserve"> </v>
      </c>
      <c r="I5027" s="43"/>
      <c r="K5027" t="str">
        <f>IFERROR(+VLOOKUP(Movimientos_2026[[#This Row],[Codigo]],Plan_cuentas[],6,FALSE)," ")</f>
        <v xml:space="preserve"> </v>
      </c>
      <c r="L5027" s="50"/>
      <c r="M5027" s="50"/>
      <c r="N5027" s="20">
        <f>+Movimientos_2026[[#This Row],[Ingresos]]-Movimientos_2026[[#This Row],[Egresos]]</f>
        <v>0</v>
      </c>
      <c r="O5027" s="20">
        <f>+O5026+Movimientos_2026[[#This Row],[Neto]]</f>
        <v>4581558617.7962294</v>
      </c>
    </row>
    <row r="5028" spans="1:15" x14ac:dyDescent="0.25">
      <c r="A5028" s="13"/>
      <c r="B5028" s="12">
        <f>MONTH(Movimientos_2026[[#This Row],[Fecha]])</f>
        <v>1</v>
      </c>
      <c r="C5028" s="12" t="str">
        <f>VLOOKUP((WEEKDAY(Movimientos_2026[[#This Row],[Fecha]],2)),'5. Setup'!$D$6:$E$12,2,FALSE)</f>
        <v>Sab</v>
      </c>
      <c r="E5028" t="str">
        <f>IFERROR(+VLOOKUP(Movimientos_2026[[#This Row],[Codigo]],Plan_cuentas[],2,FALSE)," ")</f>
        <v xml:space="preserve"> </v>
      </c>
      <c r="F5028" t="str">
        <f>IFERROR(+VLOOKUP(Movimientos_2026[[#This Row],[Codigo]],Plan_cuentas[],3,FALSE)," ")</f>
        <v xml:space="preserve"> </v>
      </c>
      <c r="G5028" t="str">
        <f>IFERROR(+VLOOKUP(Movimientos_2026[[#This Row],[Codigo]],Plan_cuentas[],4,FALSE)," ")</f>
        <v xml:space="preserve"> </v>
      </c>
      <c r="H5028" t="str">
        <f>IFERROR(+VLOOKUP(Movimientos_2026[[#This Row],[Codigo]],Plan_cuentas[],5,FALSE)," ")</f>
        <v xml:space="preserve"> </v>
      </c>
      <c r="I5028" s="43"/>
      <c r="K5028" t="str">
        <f>IFERROR(+VLOOKUP(Movimientos_2026[[#This Row],[Codigo]],Plan_cuentas[],6,FALSE)," ")</f>
        <v xml:space="preserve"> </v>
      </c>
      <c r="L5028" s="50"/>
      <c r="M5028" s="50"/>
      <c r="N5028" s="20">
        <f>+Movimientos_2026[[#This Row],[Ingresos]]-Movimientos_2026[[#This Row],[Egresos]]</f>
        <v>0</v>
      </c>
      <c r="O5028" s="20">
        <f>+O5027+Movimientos_2026[[#This Row],[Neto]]</f>
        <v>4581558617.7962294</v>
      </c>
    </row>
    <row r="5029" spans="1:15" x14ac:dyDescent="0.25">
      <c r="A5029" s="13"/>
      <c r="B5029" s="12">
        <f>MONTH(Movimientos_2026[[#This Row],[Fecha]])</f>
        <v>1</v>
      </c>
      <c r="C5029" s="12" t="str">
        <f>VLOOKUP((WEEKDAY(Movimientos_2026[[#This Row],[Fecha]],2)),'5. Setup'!$D$6:$E$12,2,FALSE)</f>
        <v>Sab</v>
      </c>
      <c r="E5029" t="str">
        <f>IFERROR(+VLOOKUP(Movimientos_2026[[#This Row],[Codigo]],Plan_cuentas[],2,FALSE)," ")</f>
        <v xml:space="preserve"> </v>
      </c>
      <c r="F5029" t="str">
        <f>IFERROR(+VLOOKUP(Movimientos_2026[[#This Row],[Codigo]],Plan_cuentas[],3,FALSE)," ")</f>
        <v xml:space="preserve"> </v>
      </c>
      <c r="G5029" t="str">
        <f>IFERROR(+VLOOKUP(Movimientos_2026[[#This Row],[Codigo]],Plan_cuentas[],4,FALSE)," ")</f>
        <v xml:space="preserve"> </v>
      </c>
      <c r="H5029" t="str">
        <f>IFERROR(+VLOOKUP(Movimientos_2026[[#This Row],[Codigo]],Plan_cuentas[],5,FALSE)," ")</f>
        <v xml:space="preserve"> </v>
      </c>
      <c r="I5029" s="43"/>
      <c r="K5029" t="str">
        <f>IFERROR(+VLOOKUP(Movimientos_2026[[#This Row],[Codigo]],Plan_cuentas[],6,FALSE)," ")</f>
        <v xml:space="preserve"> </v>
      </c>
      <c r="L5029" s="50"/>
      <c r="M5029" s="50"/>
      <c r="N5029" s="20">
        <f>+Movimientos_2026[[#This Row],[Ingresos]]-Movimientos_2026[[#This Row],[Egresos]]</f>
        <v>0</v>
      </c>
      <c r="O5029" s="20">
        <f>+O5028+Movimientos_2026[[#This Row],[Neto]]</f>
        <v>4581558617.7962294</v>
      </c>
    </row>
    <row r="5030" spans="1:15" x14ac:dyDescent="0.25">
      <c r="A5030" s="13"/>
      <c r="B5030" s="12">
        <f>MONTH(Movimientos_2026[[#This Row],[Fecha]])</f>
        <v>1</v>
      </c>
      <c r="C5030" s="12" t="str">
        <f>VLOOKUP((WEEKDAY(Movimientos_2026[[#This Row],[Fecha]],2)),'5. Setup'!$D$6:$E$12,2,FALSE)</f>
        <v>Sab</v>
      </c>
      <c r="E5030" t="str">
        <f>IFERROR(+VLOOKUP(Movimientos_2026[[#This Row],[Codigo]],Plan_cuentas[],2,FALSE)," ")</f>
        <v xml:space="preserve"> </v>
      </c>
      <c r="F5030" t="str">
        <f>IFERROR(+VLOOKUP(Movimientos_2026[[#This Row],[Codigo]],Plan_cuentas[],3,FALSE)," ")</f>
        <v xml:space="preserve"> </v>
      </c>
      <c r="G5030" t="str">
        <f>IFERROR(+VLOOKUP(Movimientos_2026[[#This Row],[Codigo]],Plan_cuentas[],4,FALSE)," ")</f>
        <v xml:space="preserve"> </v>
      </c>
      <c r="H5030" t="str">
        <f>IFERROR(+VLOOKUP(Movimientos_2026[[#This Row],[Codigo]],Plan_cuentas[],5,FALSE)," ")</f>
        <v xml:space="preserve"> </v>
      </c>
      <c r="I5030" s="43"/>
      <c r="K5030" t="str">
        <f>IFERROR(+VLOOKUP(Movimientos_2026[[#This Row],[Codigo]],Plan_cuentas[],6,FALSE)," ")</f>
        <v xml:space="preserve"> </v>
      </c>
      <c r="L5030" s="50"/>
      <c r="M5030" s="50"/>
      <c r="N5030" s="20">
        <f>+Movimientos_2026[[#This Row],[Ingresos]]-Movimientos_2026[[#This Row],[Egresos]]</f>
        <v>0</v>
      </c>
      <c r="O5030" s="20">
        <f>+O5029+Movimientos_2026[[#This Row],[Neto]]</f>
        <v>4581558617.7962294</v>
      </c>
    </row>
    <row r="5031" spans="1:15" x14ac:dyDescent="0.25">
      <c r="A5031" s="13"/>
      <c r="B5031" s="12">
        <f>MONTH(Movimientos_2026[[#This Row],[Fecha]])</f>
        <v>1</v>
      </c>
      <c r="C5031" s="12" t="str">
        <f>VLOOKUP((WEEKDAY(Movimientos_2026[[#This Row],[Fecha]],2)),'5. Setup'!$D$6:$E$12,2,FALSE)</f>
        <v>Sab</v>
      </c>
      <c r="E5031" t="str">
        <f>IFERROR(+VLOOKUP(Movimientos_2026[[#This Row],[Codigo]],Plan_cuentas[],2,FALSE)," ")</f>
        <v xml:space="preserve"> </v>
      </c>
      <c r="F5031" t="str">
        <f>IFERROR(+VLOOKUP(Movimientos_2026[[#This Row],[Codigo]],Plan_cuentas[],3,FALSE)," ")</f>
        <v xml:space="preserve"> </v>
      </c>
      <c r="G5031" t="str">
        <f>IFERROR(+VLOOKUP(Movimientos_2026[[#This Row],[Codigo]],Plan_cuentas[],4,FALSE)," ")</f>
        <v xml:space="preserve"> </v>
      </c>
      <c r="H5031" t="str">
        <f>IFERROR(+VLOOKUP(Movimientos_2026[[#This Row],[Codigo]],Plan_cuentas[],5,FALSE)," ")</f>
        <v xml:space="preserve"> </v>
      </c>
      <c r="I5031" s="43"/>
      <c r="K5031" t="str">
        <f>IFERROR(+VLOOKUP(Movimientos_2026[[#This Row],[Codigo]],Plan_cuentas[],6,FALSE)," ")</f>
        <v xml:space="preserve"> </v>
      </c>
      <c r="L5031" s="50"/>
      <c r="M5031" s="50"/>
      <c r="N5031" s="20">
        <f>+Movimientos_2026[[#This Row],[Ingresos]]-Movimientos_2026[[#This Row],[Egresos]]</f>
        <v>0</v>
      </c>
      <c r="O5031" s="20">
        <f>+O5030+Movimientos_2026[[#This Row],[Neto]]</f>
        <v>4581558617.7962294</v>
      </c>
    </row>
    <row r="5032" spans="1:15" x14ac:dyDescent="0.25">
      <c r="A5032" s="13"/>
      <c r="B5032" s="12">
        <f>MONTH(Movimientos_2026[[#This Row],[Fecha]])</f>
        <v>1</v>
      </c>
      <c r="C5032" s="12" t="str">
        <f>VLOOKUP((WEEKDAY(Movimientos_2026[[#This Row],[Fecha]],2)),'5. Setup'!$D$6:$E$12,2,FALSE)</f>
        <v>Sab</v>
      </c>
      <c r="E5032" t="str">
        <f>IFERROR(+VLOOKUP(Movimientos_2026[[#This Row],[Codigo]],Plan_cuentas[],2,FALSE)," ")</f>
        <v xml:space="preserve"> </v>
      </c>
      <c r="F5032" t="str">
        <f>IFERROR(+VLOOKUP(Movimientos_2026[[#This Row],[Codigo]],Plan_cuentas[],3,FALSE)," ")</f>
        <v xml:space="preserve"> </v>
      </c>
      <c r="G5032" t="str">
        <f>IFERROR(+VLOOKUP(Movimientos_2026[[#This Row],[Codigo]],Plan_cuentas[],4,FALSE)," ")</f>
        <v xml:space="preserve"> </v>
      </c>
      <c r="H5032" t="str">
        <f>IFERROR(+VLOOKUP(Movimientos_2026[[#This Row],[Codigo]],Plan_cuentas[],5,FALSE)," ")</f>
        <v xml:space="preserve"> </v>
      </c>
      <c r="I5032" s="43"/>
      <c r="K5032" t="str">
        <f>IFERROR(+VLOOKUP(Movimientos_2026[[#This Row],[Codigo]],Plan_cuentas[],6,FALSE)," ")</f>
        <v xml:space="preserve"> </v>
      </c>
      <c r="L5032" s="50"/>
      <c r="M5032" s="50"/>
      <c r="N5032" s="20">
        <f>+Movimientos_2026[[#This Row],[Ingresos]]-Movimientos_2026[[#This Row],[Egresos]]</f>
        <v>0</v>
      </c>
      <c r="O5032" s="20">
        <f>+O5031+Movimientos_2026[[#This Row],[Neto]]</f>
        <v>4581558617.7962294</v>
      </c>
    </row>
    <row r="5033" spans="1:15" x14ac:dyDescent="0.25">
      <c r="A5033" s="13"/>
      <c r="B5033" s="12">
        <f>MONTH(Movimientos_2026[[#This Row],[Fecha]])</f>
        <v>1</v>
      </c>
      <c r="C5033" s="12" t="str">
        <f>VLOOKUP((WEEKDAY(Movimientos_2026[[#This Row],[Fecha]],2)),'5. Setup'!$D$6:$E$12,2,FALSE)</f>
        <v>Sab</v>
      </c>
      <c r="E5033" t="str">
        <f>IFERROR(+VLOOKUP(Movimientos_2026[[#This Row],[Codigo]],Plan_cuentas[],2,FALSE)," ")</f>
        <v xml:space="preserve"> </v>
      </c>
      <c r="F5033" t="str">
        <f>IFERROR(+VLOOKUP(Movimientos_2026[[#This Row],[Codigo]],Plan_cuentas[],3,FALSE)," ")</f>
        <v xml:space="preserve"> </v>
      </c>
      <c r="G5033" t="str">
        <f>IFERROR(+VLOOKUP(Movimientos_2026[[#This Row],[Codigo]],Plan_cuentas[],4,FALSE)," ")</f>
        <v xml:space="preserve"> </v>
      </c>
      <c r="H5033" t="str">
        <f>IFERROR(+VLOOKUP(Movimientos_2026[[#This Row],[Codigo]],Plan_cuentas[],5,FALSE)," ")</f>
        <v xml:space="preserve"> </v>
      </c>
      <c r="I5033" s="43"/>
      <c r="K5033" t="str">
        <f>IFERROR(+VLOOKUP(Movimientos_2026[[#This Row],[Codigo]],Plan_cuentas[],6,FALSE)," ")</f>
        <v xml:space="preserve"> </v>
      </c>
      <c r="L5033" s="50"/>
      <c r="M5033" s="50"/>
      <c r="N5033" s="20">
        <f>+Movimientos_2026[[#This Row],[Ingresos]]-Movimientos_2026[[#This Row],[Egresos]]</f>
        <v>0</v>
      </c>
      <c r="O5033" s="20">
        <f>+O5032+Movimientos_2026[[#This Row],[Neto]]</f>
        <v>4581558617.7962294</v>
      </c>
    </row>
    <row r="5034" spans="1:15" x14ac:dyDescent="0.25">
      <c r="A5034" s="13"/>
      <c r="B5034" s="12">
        <f>MONTH(Movimientos_2026[[#This Row],[Fecha]])</f>
        <v>1</v>
      </c>
      <c r="C5034" s="12" t="str">
        <f>VLOOKUP((WEEKDAY(Movimientos_2026[[#This Row],[Fecha]],2)),'5. Setup'!$D$6:$E$12,2,FALSE)</f>
        <v>Sab</v>
      </c>
      <c r="E5034" t="str">
        <f>IFERROR(+VLOOKUP(Movimientos_2026[[#This Row],[Codigo]],Plan_cuentas[],2,FALSE)," ")</f>
        <v xml:space="preserve"> </v>
      </c>
      <c r="F5034" t="str">
        <f>IFERROR(+VLOOKUP(Movimientos_2026[[#This Row],[Codigo]],Plan_cuentas[],3,FALSE)," ")</f>
        <v xml:space="preserve"> </v>
      </c>
      <c r="G5034" t="str">
        <f>IFERROR(+VLOOKUP(Movimientos_2026[[#This Row],[Codigo]],Plan_cuentas[],4,FALSE)," ")</f>
        <v xml:space="preserve"> </v>
      </c>
      <c r="H5034" t="str">
        <f>IFERROR(+VLOOKUP(Movimientos_2026[[#This Row],[Codigo]],Plan_cuentas[],5,FALSE)," ")</f>
        <v xml:space="preserve"> </v>
      </c>
      <c r="I5034" s="43"/>
      <c r="K5034" t="str">
        <f>IFERROR(+VLOOKUP(Movimientos_2026[[#This Row],[Codigo]],Plan_cuentas[],6,FALSE)," ")</f>
        <v xml:space="preserve"> </v>
      </c>
      <c r="L5034" s="50"/>
      <c r="M5034" s="50"/>
      <c r="N5034" s="20">
        <f>+Movimientos_2026[[#This Row],[Ingresos]]-Movimientos_2026[[#This Row],[Egresos]]</f>
        <v>0</v>
      </c>
      <c r="O5034" s="20">
        <f>+O5033+Movimientos_2026[[#This Row],[Neto]]</f>
        <v>4581558617.7962294</v>
      </c>
    </row>
    <row r="5035" spans="1:15" x14ac:dyDescent="0.25">
      <c r="A5035" s="13"/>
      <c r="B5035" s="12">
        <f>MONTH(Movimientos_2026[[#This Row],[Fecha]])</f>
        <v>1</v>
      </c>
      <c r="C5035" s="12" t="str">
        <f>VLOOKUP((WEEKDAY(Movimientos_2026[[#This Row],[Fecha]],2)),'5. Setup'!$D$6:$E$12,2,FALSE)</f>
        <v>Sab</v>
      </c>
      <c r="E5035" t="str">
        <f>IFERROR(+VLOOKUP(Movimientos_2026[[#This Row],[Codigo]],Plan_cuentas[],2,FALSE)," ")</f>
        <v xml:space="preserve"> </v>
      </c>
      <c r="F5035" t="str">
        <f>IFERROR(+VLOOKUP(Movimientos_2026[[#This Row],[Codigo]],Plan_cuentas[],3,FALSE)," ")</f>
        <v xml:space="preserve"> </v>
      </c>
      <c r="G5035" t="str">
        <f>IFERROR(+VLOOKUP(Movimientos_2026[[#This Row],[Codigo]],Plan_cuentas[],4,FALSE)," ")</f>
        <v xml:space="preserve"> </v>
      </c>
      <c r="H5035" t="str">
        <f>IFERROR(+VLOOKUP(Movimientos_2026[[#This Row],[Codigo]],Plan_cuentas[],5,FALSE)," ")</f>
        <v xml:space="preserve"> </v>
      </c>
      <c r="I5035" s="43"/>
      <c r="K5035" t="str">
        <f>IFERROR(+VLOOKUP(Movimientos_2026[[#This Row],[Codigo]],Plan_cuentas[],6,FALSE)," ")</f>
        <v xml:space="preserve"> </v>
      </c>
      <c r="L5035" s="50"/>
      <c r="M5035" s="50"/>
      <c r="N5035" s="20">
        <f>+Movimientos_2026[[#This Row],[Ingresos]]-Movimientos_2026[[#This Row],[Egresos]]</f>
        <v>0</v>
      </c>
      <c r="O5035" s="20">
        <f>+O5034+Movimientos_2026[[#This Row],[Neto]]</f>
        <v>4581558617.7962294</v>
      </c>
    </row>
    <row r="5036" spans="1:15" x14ac:dyDescent="0.25">
      <c r="A5036" s="13"/>
      <c r="B5036" s="12">
        <f>MONTH(Movimientos_2026[[#This Row],[Fecha]])</f>
        <v>1</v>
      </c>
      <c r="C5036" s="12" t="str">
        <f>VLOOKUP((WEEKDAY(Movimientos_2026[[#This Row],[Fecha]],2)),'5. Setup'!$D$6:$E$12,2,FALSE)</f>
        <v>Sab</v>
      </c>
      <c r="E5036" t="str">
        <f>IFERROR(+VLOOKUP(Movimientos_2026[[#This Row],[Codigo]],Plan_cuentas[],2,FALSE)," ")</f>
        <v xml:space="preserve"> </v>
      </c>
      <c r="F5036" t="str">
        <f>IFERROR(+VLOOKUP(Movimientos_2026[[#This Row],[Codigo]],Plan_cuentas[],3,FALSE)," ")</f>
        <v xml:space="preserve"> </v>
      </c>
      <c r="G5036" t="str">
        <f>IFERROR(+VLOOKUP(Movimientos_2026[[#This Row],[Codigo]],Plan_cuentas[],4,FALSE)," ")</f>
        <v xml:space="preserve"> </v>
      </c>
      <c r="H5036" t="str">
        <f>IFERROR(+VLOOKUP(Movimientos_2026[[#This Row],[Codigo]],Plan_cuentas[],5,FALSE)," ")</f>
        <v xml:space="preserve"> </v>
      </c>
      <c r="I5036" s="43"/>
      <c r="K5036" t="str">
        <f>IFERROR(+VLOOKUP(Movimientos_2026[[#This Row],[Codigo]],Plan_cuentas[],6,FALSE)," ")</f>
        <v xml:space="preserve"> </v>
      </c>
      <c r="L5036" s="50"/>
      <c r="M5036" s="50"/>
      <c r="N5036" s="20">
        <f>+Movimientos_2026[[#This Row],[Ingresos]]-Movimientos_2026[[#This Row],[Egresos]]</f>
        <v>0</v>
      </c>
      <c r="O5036" s="20">
        <f>+O5035+Movimientos_2026[[#This Row],[Neto]]</f>
        <v>4581558617.7962294</v>
      </c>
    </row>
    <row r="5037" spans="1:15" x14ac:dyDescent="0.25">
      <c r="A5037" s="13"/>
      <c r="B5037" s="12">
        <f>MONTH(Movimientos_2026[[#This Row],[Fecha]])</f>
        <v>1</v>
      </c>
      <c r="C5037" s="12" t="str">
        <f>VLOOKUP((WEEKDAY(Movimientos_2026[[#This Row],[Fecha]],2)),'5. Setup'!$D$6:$E$12,2,FALSE)</f>
        <v>Sab</v>
      </c>
      <c r="E5037" t="str">
        <f>IFERROR(+VLOOKUP(Movimientos_2026[[#This Row],[Codigo]],Plan_cuentas[],2,FALSE)," ")</f>
        <v xml:space="preserve"> </v>
      </c>
      <c r="F5037" t="str">
        <f>IFERROR(+VLOOKUP(Movimientos_2026[[#This Row],[Codigo]],Plan_cuentas[],3,FALSE)," ")</f>
        <v xml:space="preserve"> </v>
      </c>
      <c r="G5037" t="str">
        <f>IFERROR(+VLOOKUP(Movimientos_2026[[#This Row],[Codigo]],Plan_cuentas[],4,FALSE)," ")</f>
        <v xml:space="preserve"> </v>
      </c>
      <c r="H5037" t="str">
        <f>IFERROR(+VLOOKUP(Movimientos_2026[[#This Row],[Codigo]],Plan_cuentas[],5,FALSE)," ")</f>
        <v xml:space="preserve"> </v>
      </c>
      <c r="I5037" s="43"/>
      <c r="K5037" t="str">
        <f>IFERROR(+VLOOKUP(Movimientos_2026[[#This Row],[Codigo]],Plan_cuentas[],6,FALSE)," ")</f>
        <v xml:space="preserve"> </v>
      </c>
      <c r="L5037" s="50"/>
      <c r="M5037" s="50"/>
      <c r="N5037" s="20">
        <f>+Movimientos_2026[[#This Row],[Ingresos]]-Movimientos_2026[[#This Row],[Egresos]]</f>
        <v>0</v>
      </c>
      <c r="O5037" s="20">
        <f>+O5036+Movimientos_2026[[#This Row],[Neto]]</f>
        <v>4581558617.7962294</v>
      </c>
    </row>
    <row r="5038" spans="1:15" x14ac:dyDescent="0.25">
      <c r="A5038" s="13"/>
      <c r="B5038" s="12">
        <f>MONTH(Movimientos_2026[[#This Row],[Fecha]])</f>
        <v>1</v>
      </c>
      <c r="C5038" s="12" t="str">
        <f>VLOOKUP((WEEKDAY(Movimientos_2026[[#This Row],[Fecha]],2)),'5. Setup'!$D$6:$E$12,2,FALSE)</f>
        <v>Sab</v>
      </c>
      <c r="E5038" t="str">
        <f>IFERROR(+VLOOKUP(Movimientos_2026[[#This Row],[Codigo]],Plan_cuentas[],2,FALSE)," ")</f>
        <v xml:space="preserve"> </v>
      </c>
      <c r="F5038" t="str">
        <f>IFERROR(+VLOOKUP(Movimientos_2026[[#This Row],[Codigo]],Plan_cuentas[],3,FALSE)," ")</f>
        <v xml:space="preserve"> </v>
      </c>
      <c r="G5038" t="str">
        <f>IFERROR(+VLOOKUP(Movimientos_2026[[#This Row],[Codigo]],Plan_cuentas[],4,FALSE)," ")</f>
        <v xml:space="preserve"> </v>
      </c>
      <c r="H5038" t="str">
        <f>IFERROR(+VLOOKUP(Movimientos_2026[[#This Row],[Codigo]],Plan_cuentas[],5,FALSE)," ")</f>
        <v xml:space="preserve"> </v>
      </c>
      <c r="I5038" s="43"/>
      <c r="K5038" t="str">
        <f>IFERROR(+VLOOKUP(Movimientos_2026[[#This Row],[Codigo]],Plan_cuentas[],6,FALSE)," ")</f>
        <v xml:space="preserve"> </v>
      </c>
      <c r="L5038" s="50"/>
      <c r="M5038" s="50"/>
      <c r="N5038" s="20">
        <f>+Movimientos_2026[[#This Row],[Ingresos]]-Movimientos_2026[[#This Row],[Egresos]]</f>
        <v>0</v>
      </c>
      <c r="O5038" s="20">
        <f>+O5037+Movimientos_2026[[#This Row],[Neto]]</f>
        <v>4581558617.7962294</v>
      </c>
    </row>
    <row r="5039" spans="1:15" x14ac:dyDescent="0.25">
      <c r="A5039" s="13"/>
      <c r="B5039" s="12">
        <f>MONTH(Movimientos_2026[[#This Row],[Fecha]])</f>
        <v>1</v>
      </c>
      <c r="C5039" s="12" t="str">
        <f>VLOOKUP((WEEKDAY(Movimientos_2026[[#This Row],[Fecha]],2)),'5. Setup'!$D$6:$E$12,2,FALSE)</f>
        <v>Sab</v>
      </c>
      <c r="E5039" t="str">
        <f>IFERROR(+VLOOKUP(Movimientos_2026[[#This Row],[Codigo]],Plan_cuentas[],2,FALSE)," ")</f>
        <v xml:space="preserve"> </v>
      </c>
      <c r="F5039" t="str">
        <f>IFERROR(+VLOOKUP(Movimientos_2026[[#This Row],[Codigo]],Plan_cuentas[],3,FALSE)," ")</f>
        <v xml:space="preserve"> </v>
      </c>
      <c r="G5039" t="str">
        <f>IFERROR(+VLOOKUP(Movimientos_2026[[#This Row],[Codigo]],Plan_cuentas[],4,FALSE)," ")</f>
        <v xml:space="preserve"> </v>
      </c>
      <c r="H5039" t="str">
        <f>IFERROR(+VLOOKUP(Movimientos_2026[[#This Row],[Codigo]],Plan_cuentas[],5,FALSE)," ")</f>
        <v xml:space="preserve"> </v>
      </c>
      <c r="I5039" s="43"/>
      <c r="K5039" t="str">
        <f>IFERROR(+VLOOKUP(Movimientos_2026[[#This Row],[Codigo]],Plan_cuentas[],6,FALSE)," ")</f>
        <v xml:space="preserve"> </v>
      </c>
      <c r="L5039" s="50"/>
      <c r="M5039" s="50"/>
      <c r="N5039" s="20">
        <f>+Movimientos_2026[[#This Row],[Ingresos]]-Movimientos_2026[[#This Row],[Egresos]]</f>
        <v>0</v>
      </c>
      <c r="O5039" s="20">
        <f>+O5038+Movimientos_2026[[#This Row],[Neto]]</f>
        <v>4581558617.7962294</v>
      </c>
    </row>
    <row r="5040" spans="1:15" x14ac:dyDescent="0.25">
      <c r="A5040" s="13"/>
      <c r="B5040" s="12">
        <f>MONTH(Movimientos_2026[[#This Row],[Fecha]])</f>
        <v>1</v>
      </c>
      <c r="C5040" s="12" t="str">
        <f>VLOOKUP((WEEKDAY(Movimientos_2026[[#This Row],[Fecha]],2)),'5. Setup'!$D$6:$E$12,2,FALSE)</f>
        <v>Sab</v>
      </c>
      <c r="E5040" t="str">
        <f>IFERROR(+VLOOKUP(Movimientos_2026[[#This Row],[Codigo]],Plan_cuentas[],2,FALSE)," ")</f>
        <v xml:space="preserve"> </v>
      </c>
      <c r="F5040" t="str">
        <f>IFERROR(+VLOOKUP(Movimientos_2026[[#This Row],[Codigo]],Plan_cuentas[],3,FALSE)," ")</f>
        <v xml:space="preserve"> </v>
      </c>
      <c r="G5040" t="str">
        <f>IFERROR(+VLOOKUP(Movimientos_2026[[#This Row],[Codigo]],Plan_cuentas[],4,FALSE)," ")</f>
        <v xml:space="preserve"> </v>
      </c>
      <c r="H5040" t="str">
        <f>IFERROR(+VLOOKUP(Movimientos_2026[[#This Row],[Codigo]],Plan_cuentas[],5,FALSE)," ")</f>
        <v xml:space="preserve"> </v>
      </c>
      <c r="I5040" s="43"/>
      <c r="K5040" t="str">
        <f>IFERROR(+VLOOKUP(Movimientos_2026[[#This Row],[Codigo]],Plan_cuentas[],6,FALSE)," ")</f>
        <v xml:space="preserve"> </v>
      </c>
      <c r="L5040" s="50"/>
      <c r="M5040" s="50"/>
      <c r="N5040" s="20">
        <f>+Movimientos_2026[[#This Row],[Ingresos]]-Movimientos_2026[[#This Row],[Egresos]]</f>
        <v>0</v>
      </c>
      <c r="O5040" s="20">
        <f>+O5039+Movimientos_2026[[#This Row],[Neto]]</f>
        <v>4581558617.7962294</v>
      </c>
    </row>
    <row r="5041" spans="1:15" x14ac:dyDescent="0.25">
      <c r="A5041" s="13"/>
      <c r="B5041" s="12">
        <f>MONTH(Movimientos_2026[[#This Row],[Fecha]])</f>
        <v>1</v>
      </c>
      <c r="C5041" s="12" t="str">
        <f>VLOOKUP((WEEKDAY(Movimientos_2026[[#This Row],[Fecha]],2)),'5. Setup'!$D$6:$E$12,2,FALSE)</f>
        <v>Sab</v>
      </c>
      <c r="E5041" t="str">
        <f>IFERROR(+VLOOKUP(Movimientos_2026[[#This Row],[Codigo]],Plan_cuentas[],2,FALSE)," ")</f>
        <v xml:space="preserve"> </v>
      </c>
      <c r="F5041" t="str">
        <f>IFERROR(+VLOOKUP(Movimientos_2026[[#This Row],[Codigo]],Plan_cuentas[],3,FALSE)," ")</f>
        <v xml:space="preserve"> </v>
      </c>
      <c r="G5041" t="str">
        <f>IFERROR(+VLOOKUP(Movimientos_2026[[#This Row],[Codigo]],Plan_cuentas[],4,FALSE)," ")</f>
        <v xml:space="preserve"> </v>
      </c>
      <c r="H5041" t="str">
        <f>IFERROR(+VLOOKUP(Movimientos_2026[[#This Row],[Codigo]],Plan_cuentas[],5,FALSE)," ")</f>
        <v xml:space="preserve"> </v>
      </c>
      <c r="I5041" s="43"/>
      <c r="K5041" t="str">
        <f>IFERROR(+VLOOKUP(Movimientos_2026[[#This Row],[Codigo]],Plan_cuentas[],6,FALSE)," ")</f>
        <v xml:space="preserve"> </v>
      </c>
      <c r="L5041" s="50"/>
      <c r="M5041" s="50"/>
      <c r="N5041" s="20">
        <f>+Movimientos_2026[[#This Row],[Ingresos]]-Movimientos_2026[[#This Row],[Egresos]]</f>
        <v>0</v>
      </c>
      <c r="O5041" s="20">
        <f>+O5040+Movimientos_2026[[#This Row],[Neto]]</f>
        <v>4581558617.7962294</v>
      </c>
    </row>
    <row r="5042" spans="1:15" x14ac:dyDescent="0.25">
      <c r="A5042" s="13"/>
      <c r="B5042" s="12">
        <f>MONTH(Movimientos_2026[[#This Row],[Fecha]])</f>
        <v>1</v>
      </c>
      <c r="C5042" s="12" t="str">
        <f>VLOOKUP((WEEKDAY(Movimientos_2026[[#This Row],[Fecha]],2)),'5. Setup'!$D$6:$E$12,2,FALSE)</f>
        <v>Sab</v>
      </c>
      <c r="E5042" t="str">
        <f>IFERROR(+VLOOKUP(Movimientos_2026[[#This Row],[Codigo]],Plan_cuentas[],2,FALSE)," ")</f>
        <v xml:space="preserve"> </v>
      </c>
      <c r="F5042" t="str">
        <f>IFERROR(+VLOOKUP(Movimientos_2026[[#This Row],[Codigo]],Plan_cuentas[],3,FALSE)," ")</f>
        <v xml:space="preserve"> </v>
      </c>
      <c r="G5042" t="str">
        <f>IFERROR(+VLOOKUP(Movimientos_2026[[#This Row],[Codigo]],Plan_cuentas[],4,FALSE)," ")</f>
        <v xml:space="preserve"> </v>
      </c>
      <c r="H5042" t="str">
        <f>IFERROR(+VLOOKUP(Movimientos_2026[[#This Row],[Codigo]],Plan_cuentas[],5,FALSE)," ")</f>
        <v xml:space="preserve"> </v>
      </c>
      <c r="I5042" s="43"/>
      <c r="K5042" t="str">
        <f>IFERROR(+VLOOKUP(Movimientos_2026[[#This Row],[Codigo]],Plan_cuentas[],6,FALSE)," ")</f>
        <v xml:space="preserve"> </v>
      </c>
      <c r="L5042" s="50"/>
      <c r="M5042" s="50"/>
      <c r="N5042" s="20">
        <f>+Movimientos_2026[[#This Row],[Ingresos]]-Movimientos_2026[[#This Row],[Egresos]]</f>
        <v>0</v>
      </c>
      <c r="O5042" s="20">
        <f>+O5041+Movimientos_2026[[#This Row],[Neto]]</f>
        <v>4581558617.7962294</v>
      </c>
    </row>
    <row r="5043" spans="1:15" x14ac:dyDescent="0.25">
      <c r="A5043" s="13"/>
      <c r="B5043" s="12">
        <f>MONTH(Movimientos_2026[[#This Row],[Fecha]])</f>
        <v>1</v>
      </c>
      <c r="C5043" s="12" t="str">
        <f>VLOOKUP((WEEKDAY(Movimientos_2026[[#This Row],[Fecha]],2)),'5. Setup'!$D$6:$E$12,2,FALSE)</f>
        <v>Sab</v>
      </c>
      <c r="E5043" t="str">
        <f>IFERROR(+VLOOKUP(Movimientos_2026[[#This Row],[Codigo]],Plan_cuentas[],2,FALSE)," ")</f>
        <v xml:space="preserve"> </v>
      </c>
      <c r="F5043" t="str">
        <f>IFERROR(+VLOOKUP(Movimientos_2026[[#This Row],[Codigo]],Plan_cuentas[],3,FALSE)," ")</f>
        <v xml:space="preserve"> </v>
      </c>
      <c r="G5043" t="str">
        <f>IFERROR(+VLOOKUP(Movimientos_2026[[#This Row],[Codigo]],Plan_cuentas[],4,FALSE)," ")</f>
        <v xml:space="preserve"> </v>
      </c>
      <c r="H5043" t="str">
        <f>IFERROR(+VLOOKUP(Movimientos_2026[[#This Row],[Codigo]],Plan_cuentas[],5,FALSE)," ")</f>
        <v xml:space="preserve"> </v>
      </c>
      <c r="I5043" s="43"/>
      <c r="K5043" t="str">
        <f>IFERROR(+VLOOKUP(Movimientos_2026[[#This Row],[Codigo]],Plan_cuentas[],6,FALSE)," ")</f>
        <v xml:space="preserve"> </v>
      </c>
      <c r="L5043" s="50"/>
      <c r="M5043" s="50"/>
      <c r="N5043" s="20">
        <f>+Movimientos_2026[[#This Row],[Ingresos]]-Movimientos_2026[[#This Row],[Egresos]]</f>
        <v>0</v>
      </c>
      <c r="O5043" s="20">
        <f>+O5042+Movimientos_2026[[#This Row],[Neto]]</f>
        <v>4581558617.7962294</v>
      </c>
    </row>
    <row r="5044" spans="1:15" x14ac:dyDescent="0.25">
      <c r="A5044" s="13"/>
      <c r="B5044" s="12">
        <f>MONTH(Movimientos_2026[[#This Row],[Fecha]])</f>
        <v>1</v>
      </c>
      <c r="C5044" s="12" t="str">
        <f>VLOOKUP((WEEKDAY(Movimientos_2026[[#This Row],[Fecha]],2)),'5. Setup'!$D$6:$E$12,2,FALSE)</f>
        <v>Sab</v>
      </c>
      <c r="E5044" t="str">
        <f>IFERROR(+VLOOKUP(Movimientos_2026[[#This Row],[Codigo]],Plan_cuentas[],2,FALSE)," ")</f>
        <v xml:space="preserve"> </v>
      </c>
      <c r="F5044" t="str">
        <f>IFERROR(+VLOOKUP(Movimientos_2026[[#This Row],[Codigo]],Plan_cuentas[],3,FALSE)," ")</f>
        <v xml:space="preserve"> </v>
      </c>
      <c r="G5044" t="str">
        <f>IFERROR(+VLOOKUP(Movimientos_2026[[#This Row],[Codigo]],Plan_cuentas[],4,FALSE)," ")</f>
        <v xml:space="preserve"> </v>
      </c>
      <c r="H5044" t="str">
        <f>IFERROR(+VLOOKUP(Movimientos_2026[[#This Row],[Codigo]],Plan_cuentas[],5,FALSE)," ")</f>
        <v xml:space="preserve"> </v>
      </c>
      <c r="I5044" s="43"/>
      <c r="K5044" t="str">
        <f>IFERROR(+VLOOKUP(Movimientos_2026[[#This Row],[Codigo]],Plan_cuentas[],6,FALSE)," ")</f>
        <v xml:space="preserve"> </v>
      </c>
      <c r="L5044" s="50"/>
      <c r="M5044" s="50"/>
      <c r="N5044" s="20">
        <f>+Movimientos_2026[[#This Row],[Ingresos]]-Movimientos_2026[[#This Row],[Egresos]]</f>
        <v>0</v>
      </c>
      <c r="O5044" s="20">
        <f>+O5043+Movimientos_2026[[#This Row],[Neto]]</f>
        <v>4581558617.7962294</v>
      </c>
    </row>
    <row r="5045" spans="1:15" x14ac:dyDescent="0.25">
      <c r="A5045" s="13"/>
      <c r="B5045" s="12">
        <f>MONTH(Movimientos_2026[[#This Row],[Fecha]])</f>
        <v>1</v>
      </c>
      <c r="C5045" s="12" t="str">
        <f>VLOOKUP((WEEKDAY(Movimientos_2026[[#This Row],[Fecha]],2)),'5. Setup'!$D$6:$E$12,2,FALSE)</f>
        <v>Sab</v>
      </c>
      <c r="E5045" t="str">
        <f>IFERROR(+VLOOKUP(Movimientos_2026[[#This Row],[Codigo]],Plan_cuentas[],2,FALSE)," ")</f>
        <v xml:space="preserve"> </v>
      </c>
      <c r="F5045" t="str">
        <f>IFERROR(+VLOOKUP(Movimientos_2026[[#This Row],[Codigo]],Plan_cuentas[],3,FALSE)," ")</f>
        <v xml:space="preserve"> </v>
      </c>
      <c r="G5045" t="str">
        <f>IFERROR(+VLOOKUP(Movimientos_2026[[#This Row],[Codigo]],Plan_cuentas[],4,FALSE)," ")</f>
        <v xml:space="preserve"> </v>
      </c>
      <c r="H5045" t="str">
        <f>IFERROR(+VLOOKUP(Movimientos_2026[[#This Row],[Codigo]],Plan_cuentas[],5,FALSE)," ")</f>
        <v xml:space="preserve"> </v>
      </c>
      <c r="I5045" s="43"/>
      <c r="K5045" t="str">
        <f>IFERROR(+VLOOKUP(Movimientos_2026[[#This Row],[Codigo]],Plan_cuentas[],6,FALSE)," ")</f>
        <v xml:space="preserve"> </v>
      </c>
      <c r="L5045" s="50"/>
      <c r="M5045" s="50"/>
      <c r="N5045" s="20">
        <f>+Movimientos_2026[[#This Row],[Ingresos]]-Movimientos_2026[[#This Row],[Egresos]]</f>
        <v>0</v>
      </c>
      <c r="O5045" s="20">
        <f>+O5044+Movimientos_2026[[#This Row],[Neto]]</f>
        <v>4581558617.7962294</v>
      </c>
    </row>
    <row r="5046" spans="1:15" x14ac:dyDescent="0.25">
      <c r="A5046" s="13"/>
      <c r="B5046" s="12">
        <f>MONTH(Movimientos_2026[[#This Row],[Fecha]])</f>
        <v>1</v>
      </c>
      <c r="C5046" s="12" t="str">
        <f>VLOOKUP((WEEKDAY(Movimientos_2026[[#This Row],[Fecha]],2)),'5. Setup'!$D$6:$E$12,2,FALSE)</f>
        <v>Sab</v>
      </c>
      <c r="E5046" t="str">
        <f>IFERROR(+VLOOKUP(Movimientos_2026[[#This Row],[Codigo]],Plan_cuentas[],2,FALSE)," ")</f>
        <v xml:space="preserve"> </v>
      </c>
      <c r="F5046" t="str">
        <f>IFERROR(+VLOOKUP(Movimientos_2026[[#This Row],[Codigo]],Plan_cuentas[],3,FALSE)," ")</f>
        <v xml:space="preserve"> </v>
      </c>
      <c r="G5046" t="str">
        <f>IFERROR(+VLOOKUP(Movimientos_2026[[#This Row],[Codigo]],Plan_cuentas[],4,FALSE)," ")</f>
        <v xml:space="preserve"> </v>
      </c>
      <c r="H5046" t="str">
        <f>IFERROR(+VLOOKUP(Movimientos_2026[[#This Row],[Codigo]],Plan_cuentas[],5,FALSE)," ")</f>
        <v xml:space="preserve"> </v>
      </c>
      <c r="I5046" s="43"/>
      <c r="K5046" t="str">
        <f>IFERROR(+VLOOKUP(Movimientos_2026[[#This Row],[Codigo]],Plan_cuentas[],6,FALSE)," ")</f>
        <v xml:space="preserve"> </v>
      </c>
      <c r="L5046" s="50"/>
      <c r="M5046" s="50"/>
      <c r="N5046" s="20">
        <f>+Movimientos_2026[[#This Row],[Ingresos]]-Movimientos_2026[[#This Row],[Egresos]]</f>
        <v>0</v>
      </c>
      <c r="O5046" s="20">
        <f>+O5045+Movimientos_2026[[#This Row],[Neto]]</f>
        <v>4581558617.7962294</v>
      </c>
    </row>
    <row r="5047" spans="1:15" x14ac:dyDescent="0.25">
      <c r="A5047" s="13"/>
      <c r="B5047" s="12">
        <f>MONTH(Movimientos_2026[[#This Row],[Fecha]])</f>
        <v>1</v>
      </c>
      <c r="C5047" s="12" t="str">
        <f>VLOOKUP((WEEKDAY(Movimientos_2026[[#This Row],[Fecha]],2)),'5. Setup'!$D$6:$E$12,2,FALSE)</f>
        <v>Sab</v>
      </c>
      <c r="E5047" t="str">
        <f>IFERROR(+VLOOKUP(Movimientos_2026[[#This Row],[Codigo]],Plan_cuentas[],2,FALSE)," ")</f>
        <v xml:space="preserve"> </v>
      </c>
      <c r="F5047" t="str">
        <f>IFERROR(+VLOOKUP(Movimientos_2026[[#This Row],[Codigo]],Plan_cuentas[],3,FALSE)," ")</f>
        <v xml:space="preserve"> </v>
      </c>
      <c r="G5047" t="str">
        <f>IFERROR(+VLOOKUP(Movimientos_2026[[#This Row],[Codigo]],Plan_cuentas[],4,FALSE)," ")</f>
        <v xml:space="preserve"> </v>
      </c>
      <c r="H5047" t="str">
        <f>IFERROR(+VLOOKUP(Movimientos_2026[[#This Row],[Codigo]],Plan_cuentas[],5,FALSE)," ")</f>
        <v xml:space="preserve"> </v>
      </c>
      <c r="I5047" s="43"/>
      <c r="K5047" t="str">
        <f>IFERROR(+VLOOKUP(Movimientos_2026[[#This Row],[Codigo]],Plan_cuentas[],6,FALSE)," ")</f>
        <v xml:space="preserve"> </v>
      </c>
      <c r="L5047" s="50"/>
      <c r="M5047" s="50"/>
      <c r="N5047" s="20">
        <f>+Movimientos_2026[[#This Row],[Ingresos]]-Movimientos_2026[[#This Row],[Egresos]]</f>
        <v>0</v>
      </c>
      <c r="O5047" s="20">
        <f>+O5046+Movimientos_2026[[#This Row],[Neto]]</f>
        <v>4581558617.7962294</v>
      </c>
    </row>
    <row r="5048" spans="1:15" x14ac:dyDescent="0.25">
      <c r="A5048" s="13"/>
      <c r="B5048" s="12">
        <f>MONTH(Movimientos_2026[[#This Row],[Fecha]])</f>
        <v>1</v>
      </c>
      <c r="C5048" s="12" t="str">
        <f>VLOOKUP((WEEKDAY(Movimientos_2026[[#This Row],[Fecha]],2)),'5. Setup'!$D$6:$E$12,2,FALSE)</f>
        <v>Sab</v>
      </c>
      <c r="E5048" t="str">
        <f>IFERROR(+VLOOKUP(Movimientos_2026[[#This Row],[Codigo]],Plan_cuentas[],2,FALSE)," ")</f>
        <v xml:space="preserve"> </v>
      </c>
      <c r="F5048" t="str">
        <f>IFERROR(+VLOOKUP(Movimientos_2026[[#This Row],[Codigo]],Plan_cuentas[],3,FALSE)," ")</f>
        <v xml:space="preserve"> </v>
      </c>
      <c r="G5048" t="str">
        <f>IFERROR(+VLOOKUP(Movimientos_2026[[#This Row],[Codigo]],Plan_cuentas[],4,FALSE)," ")</f>
        <v xml:space="preserve"> </v>
      </c>
      <c r="H5048" t="str">
        <f>IFERROR(+VLOOKUP(Movimientos_2026[[#This Row],[Codigo]],Plan_cuentas[],5,FALSE)," ")</f>
        <v xml:space="preserve"> </v>
      </c>
      <c r="I5048" s="43"/>
      <c r="K5048" t="str">
        <f>IFERROR(+VLOOKUP(Movimientos_2026[[#This Row],[Codigo]],Plan_cuentas[],6,FALSE)," ")</f>
        <v xml:space="preserve"> </v>
      </c>
      <c r="L5048" s="50"/>
      <c r="M5048" s="50"/>
      <c r="N5048" s="20">
        <f>+Movimientos_2026[[#This Row],[Ingresos]]-Movimientos_2026[[#This Row],[Egresos]]</f>
        <v>0</v>
      </c>
      <c r="O5048" s="20">
        <f>+O5047+Movimientos_2026[[#This Row],[Neto]]</f>
        <v>4581558617.7962294</v>
      </c>
    </row>
    <row r="5049" spans="1:15" x14ac:dyDescent="0.25">
      <c r="A5049" s="13"/>
      <c r="B5049" s="12">
        <f>MONTH(Movimientos_2026[[#This Row],[Fecha]])</f>
        <v>1</v>
      </c>
      <c r="C5049" s="12" t="str">
        <f>VLOOKUP((WEEKDAY(Movimientos_2026[[#This Row],[Fecha]],2)),'5. Setup'!$D$6:$E$12,2,FALSE)</f>
        <v>Sab</v>
      </c>
      <c r="E5049" t="str">
        <f>IFERROR(+VLOOKUP(Movimientos_2026[[#This Row],[Codigo]],Plan_cuentas[],2,FALSE)," ")</f>
        <v xml:space="preserve"> </v>
      </c>
      <c r="F5049" t="str">
        <f>IFERROR(+VLOOKUP(Movimientos_2026[[#This Row],[Codigo]],Plan_cuentas[],3,FALSE)," ")</f>
        <v xml:space="preserve"> </v>
      </c>
      <c r="G5049" t="str">
        <f>IFERROR(+VLOOKUP(Movimientos_2026[[#This Row],[Codigo]],Plan_cuentas[],4,FALSE)," ")</f>
        <v xml:space="preserve"> </v>
      </c>
      <c r="H5049" t="str">
        <f>IFERROR(+VLOOKUP(Movimientos_2026[[#This Row],[Codigo]],Plan_cuentas[],5,FALSE)," ")</f>
        <v xml:space="preserve"> </v>
      </c>
      <c r="I5049" s="43"/>
      <c r="K5049" t="str">
        <f>IFERROR(+VLOOKUP(Movimientos_2026[[#This Row],[Codigo]],Plan_cuentas[],6,FALSE)," ")</f>
        <v xml:space="preserve"> </v>
      </c>
      <c r="L5049" s="50"/>
      <c r="M5049" s="50"/>
      <c r="N5049" s="20">
        <f>+Movimientos_2026[[#This Row],[Ingresos]]-Movimientos_2026[[#This Row],[Egresos]]</f>
        <v>0</v>
      </c>
      <c r="O5049" s="20">
        <f>+O5048+Movimientos_2026[[#This Row],[Neto]]</f>
        <v>4581558617.7962294</v>
      </c>
    </row>
    <row r="5050" spans="1:15" x14ac:dyDescent="0.25">
      <c r="A5050" s="13"/>
      <c r="B5050" s="12">
        <f>MONTH(Movimientos_2026[[#This Row],[Fecha]])</f>
        <v>1</v>
      </c>
      <c r="C5050" s="12" t="str">
        <f>VLOOKUP((WEEKDAY(Movimientos_2026[[#This Row],[Fecha]],2)),'5. Setup'!$D$6:$E$12,2,FALSE)</f>
        <v>Sab</v>
      </c>
      <c r="E5050" t="str">
        <f>IFERROR(+VLOOKUP(Movimientos_2026[[#This Row],[Codigo]],Plan_cuentas[],2,FALSE)," ")</f>
        <v xml:space="preserve"> </v>
      </c>
      <c r="F5050" t="str">
        <f>IFERROR(+VLOOKUP(Movimientos_2026[[#This Row],[Codigo]],Plan_cuentas[],3,FALSE)," ")</f>
        <v xml:space="preserve"> </v>
      </c>
      <c r="G5050" t="str">
        <f>IFERROR(+VLOOKUP(Movimientos_2026[[#This Row],[Codigo]],Plan_cuentas[],4,FALSE)," ")</f>
        <v xml:space="preserve"> </v>
      </c>
      <c r="H5050" t="str">
        <f>IFERROR(+VLOOKUP(Movimientos_2026[[#This Row],[Codigo]],Plan_cuentas[],5,FALSE)," ")</f>
        <v xml:space="preserve"> </v>
      </c>
      <c r="I5050" s="43"/>
      <c r="K5050" t="str">
        <f>IFERROR(+VLOOKUP(Movimientos_2026[[#This Row],[Codigo]],Plan_cuentas[],6,FALSE)," ")</f>
        <v xml:space="preserve"> </v>
      </c>
      <c r="L5050" s="50"/>
      <c r="M5050" s="50"/>
      <c r="N5050" s="20">
        <f>+Movimientos_2026[[#This Row],[Ingresos]]-Movimientos_2026[[#This Row],[Egresos]]</f>
        <v>0</v>
      </c>
      <c r="O5050" s="20">
        <f>+O5049+Movimientos_2026[[#This Row],[Neto]]</f>
        <v>4581558617.7962294</v>
      </c>
    </row>
    <row r="5051" spans="1:15" x14ac:dyDescent="0.25">
      <c r="A5051" s="13"/>
      <c r="B5051" s="12">
        <f>MONTH(Movimientos_2026[[#This Row],[Fecha]])</f>
        <v>1</v>
      </c>
      <c r="C5051" s="12" t="str">
        <f>VLOOKUP((WEEKDAY(Movimientos_2026[[#This Row],[Fecha]],2)),'5. Setup'!$D$6:$E$12,2,FALSE)</f>
        <v>Sab</v>
      </c>
      <c r="E5051" t="str">
        <f>IFERROR(+VLOOKUP(Movimientos_2026[[#This Row],[Codigo]],Plan_cuentas[],2,FALSE)," ")</f>
        <v xml:space="preserve"> </v>
      </c>
      <c r="F5051" t="str">
        <f>IFERROR(+VLOOKUP(Movimientos_2026[[#This Row],[Codigo]],Plan_cuentas[],3,FALSE)," ")</f>
        <v xml:space="preserve"> </v>
      </c>
      <c r="G5051" t="str">
        <f>IFERROR(+VLOOKUP(Movimientos_2026[[#This Row],[Codigo]],Plan_cuentas[],4,FALSE)," ")</f>
        <v xml:space="preserve"> </v>
      </c>
      <c r="H5051" t="str">
        <f>IFERROR(+VLOOKUP(Movimientos_2026[[#This Row],[Codigo]],Plan_cuentas[],5,FALSE)," ")</f>
        <v xml:space="preserve"> </v>
      </c>
      <c r="I5051" s="43"/>
      <c r="K5051" t="str">
        <f>IFERROR(+VLOOKUP(Movimientos_2026[[#This Row],[Codigo]],Plan_cuentas[],6,FALSE)," ")</f>
        <v xml:space="preserve"> </v>
      </c>
      <c r="L5051" s="50"/>
      <c r="M5051" s="50"/>
      <c r="N5051" s="20">
        <f>+Movimientos_2026[[#This Row],[Ingresos]]-Movimientos_2026[[#This Row],[Egresos]]</f>
        <v>0</v>
      </c>
      <c r="O5051" s="20">
        <f>+O5050+Movimientos_2026[[#This Row],[Neto]]</f>
        <v>4581558617.7962294</v>
      </c>
    </row>
    <row r="5052" spans="1:15" x14ac:dyDescent="0.25">
      <c r="A5052" s="13"/>
      <c r="B5052" s="12">
        <f>MONTH(Movimientos_2026[[#This Row],[Fecha]])</f>
        <v>1</v>
      </c>
      <c r="C5052" s="12" t="str">
        <f>VLOOKUP((WEEKDAY(Movimientos_2026[[#This Row],[Fecha]],2)),'5. Setup'!$D$6:$E$12,2,FALSE)</f>
        <v>Sab</v>
      </c>
      <c r="E5052" t="str">
        <f>IFERROR(+VLOOKUP(Movimientos_2026[[#This Row],[Codigo]],Plan_cuentas[],2,FALSE)," ")</f>
        <v xml:space="preserve"> </v>
      </c>
      <c r="F5052" t="str">
        <f>IFERROR(+VLOOKUP(Movimientos_2026[[#This Row],[Codigo]],Plan_cuentas[],3,FALSE)," ")</f>
        <v xml:space="preserve"> </v>
      </c>
      <c r="G5052" t="str">
        <f>IFERROR(+VLOOKUP(Movimientos_2026[[#This Row],[Codigo]],Plan_cuentas[],4,FALSE)," ")</f>
        <v xml:space="preserve"> </v>
      </c>
      <c r="H5052" t="str">
        <f>IFERROR(+VLOOKUP(Movimientos_2026[[#This Row],[Codigo]],Plan_cuentas[],5,FALSE)," ")</f>
        <v xml:space="preserve"> </v>
      </c>
      <c r="I5052" s="43"/>
      <c r="K5052" t="str">
        <f>IFERROR(+VLOOKUP(Movimientos_2026[[#This Row],[Codigo]],Plan_cuentas[],6,FALSE)," ")</f>
        <v xml:space="preserve"> </v>
      </c>
      <c r="L5052" s="50"/>
      <c r="M5052" s="50"/>
      <c r="N5052" s="20">
        <f>+Movimientos_2026[[#This Row],[Ingresos]]-Movimientos_2026[[#This Row],[Egresos]]</f>
        <v>0</v>
      </c>
      <c r="O5052" s="20">
        <f>+O5051+Movimientos_2026[[#This Row],[Neto]]</f>
        <v>4581558617.7962294</v>
      </c>
    </row>
    <row r="5053" spans="1:15" x14ac:dyDescent="0.25">
      <c r="A5053" s="13"/>
      <c r="B5053" s="12">
        <f>MONTH(Movimientos_2026[[#This Row],[Fecha]])</f>
        <v>1</v>
      </c>
      <c r="C5053" s="12" t="str">
        <f>VLOOKUP((WEEKDAY(Movimientos_2026[[#This Row],[Fecha]],2)),'5. Setup'!$D$6:$E$12,2,FALSE)</f>
        <v>Sab</v>
      </c>
      <c r="E5053" t="str">
        <f>IFERROR(+VLOOKUP(Movimientos_2026[[#This Row],[Codigo]],Plan_cuentas[],2,FALSE)," ")</f>
        <v xml:space="preserve"> </v>
      </c>
      <c r="F5053" t="str">
        <f>IFERROR(+VLOOKUP(Movimientos_2026[[#This Row],[Codigo]],Plan_cuentas[],3,FALSE)," ")</f>
        <v xml:space="preserve"> </v>
      </c>
      <c r="G5053" t="str">
        <f>IFERROR(+VLOOKUP(Movimientos_2026[[#This Row],[Codigo]],Plan_cuentas[],4,FALSE)," ")</f>
        <v xml:space="preserve"> </v>
      </c>
      <c r="H5053" t="str">
        <f>IFERROR(+VLOOKUP(Movimientos_2026[[#This Row],[Codigo]],Plan_cuentas[],5,FALSE)," ")</f>
        <v xml:space="preserve"> </v>
      </c>
      <c r="I5053" s="43"/>
      <c r="K5053" t="str">
        <f>IFERROR(+VLOOKUP(Movimientos_2026[[#This Row],[Codigo]],Plan_cuentas[],6,FALSE)," ")</f>
        <v xml:space="preserve"> </v>
      </c>
      <c r="L5053" s="50"/>
      <c r="M5053" s="50"/>
      <c r="N5053" s="20">
        <f>+Movimientos_2026[[#This Row],[Ingresos]]-Movimientos_2026[[#This Row],[Egresos]]</f>
        <v>0</v>
      </c>
      <c r="O5053" s="20">
        <f>+O5052+Movimientos_2026[[#This Row],[Neto]]</f>
        <v>4581558617.7962294</v>
      </c>
    </row>
  </sheetData>
  <mergeCells count="1">
    <mergeCell ref="H1:I1"/>
  </mergeCells>
  <conditionalFormatting sqref="A8">
    <cfRule type="timePeriod" dxfId="88" priority="171" timePeriod="today">
      <formula>FLOOR(A8,1)=TODAY()</formula>
    </cfRule>
  </conditionalFormatting>
  <conditionalFormatting sqref="E9:E3142">
    <cfRule type="expression" dxfId="87" priority="170">
      <formula>E9="SALDO INICIAL"</formula>
    </cfRule>
  </conditionalFormatting>
  <conditionalFormatting sqref="F9">
    <cfRule type="expression" dxfId="86" priority="52">
      <formula>F9="SALDO INICIAL"</formula>
    </cfRule>
  </conditionalFormatting>
  <conditionalFormatting sqref="G9">
    <cfRule type="expression" dxfId="85" priority="51">
      <formula>G9="SALDO INICIAL"</formula>
    </cfRule>
  </conditionalFormatting>
  <conditionalFormatting sqref="H9">
    <cfRule type="expression" dxfId="84" priority="50">
      <formula>H9="SALDO INICIAL"</formula>
    </cfRule>
  </conditionalFormatting>
  <conditionalFormatting sqref="L9">
    <cfRule type="expression" dxfId="83" priority="49">
      <formula>L9="SALDO INICIAL"</formula>
    </cfRule>
  </conditionalFormatting>
  <conditionalFormatting sqref="K9">
    <cfRule type="expression" dxfId="82" priority="48">
      <formula>K9="SALDO INICIAL"</formula>
    </cfRule>
  </conditionalFormatting>
  <conditionalFormatting sqref="D171">
    <cfRule type="duplicateValues" dxfId="81" priority="47"/>
  </conditionalFormatting>
  <conditionalFormatting sqref="L9:M81 L82 L83:M879 L887:M1112 L1116:M1268 L1276:M1968 L1971:M2376 L2377:L3090 L3091:M4444 M880:M886 M1113:M1968 M1971:M3090">
    <cfRule type="expression" dxfId="80" priority="46">
      <formula>$J9&lt;&gt;""</formula>
    </cfRule>
  </conditionalFormatting>
  <conditionalFormatting sqref="L877:L879 L881:L886 L1114:L1115 L1270:L1275">
    <cfRule type="expression" dxfId="79" priority="173">
      <formula>$J876&lt;&gt;""</formula>
    </cfRule>
  </conditionalFormatting>
  <conditionalFormatting sqref="L882:L886">
    <cfRule type="expression" dxfId="78" priority="175">
      <formula>$J879&lt;&gt;""</formula>
    </cfRule>
  </conditionalFormatting>
  <conditionalFormatting sqref="L889:L892">
    <cfRule type="expression" dxfId="77" priority="177">
      <formula>$J885&lt;&gt;""</formula>
    </cfRule>
  </conditionalFormatting>
  <conditionalFormatting sqref="L894:L895">
    <cfRule type="expression" dxfId="76" priority="179">
      <formula>$J889&lt;&gt;""</formula>
    </cfRule>
  </conditionalFormatting>
  <conditionalFormatting sqref="L898">
    <cfRule type="expression" dxfId="75" priority="181">
      <formula>$J891&lt;&gt;""</formula>
    </cfRule>
  </conditionalFormatting>
  <conditionalFormatting sqref="E1:E1048576">
    <cfRule type="expression" dxfId="74" priority="45">
      <formula>E:E="SALDO INICIAL"</formula>
    </cfRule>
  </conditionalFormatting>
  <conditionalFormatting sqref="D3697">
    <cfRule type="duplicateValues" dxfId="73" priority="42"/>
  </conditionalFormatting>
  <conditionalFormatting sqref="D3699">
    <cfRule type="duplicateValues" dxfId="72" priority="41"/>
  </conditionalFormatting>
  <conditionalFormatting sqref="D3700">
    <cfRule type="duplicateValues" dxfId="71" priority="40"/>
  </conditionalFormatting>
  <conditionalFormatting sqref="D3861">
    <cfRule type="duplicateValues" dxfId="70" priority="39"/>
  </conditionalFormatting>
  <conditionalFormatting sqref="D3866">
    <cfRule type="duplicateValues" dxfId="69" priority="38"/>
  </conditionalFormatting>
  <conditionalFormatting sqref="D3845:D3850">
    <cfRule type="duplicateValues" dxfId="68" priority="36"/>
  </conditionalFormatting>
  <conditionalFormatting sqref="D3955">
    <cfRule type="duplicateValues" dxfId="67" priority="35"/>
  </conditionalFormatting>
  <conditionalFormatting sqref="D4037">
    <cfRule type="duplicateValues" dxfId="66" priority="34"/>
  </conditionalFormatting>
  <conditionalFormatting sqref="D189">
    <cfRule type="duplicateValues" dxfId="65" priority="30"/>
  </conditionalFormatting>
  <conditionalFormatting sqref="D190">
    <cfRule type="duplicateValues" dxfId="64" priority="29"/>
  </conditionalFormatting>
  <conditionalFormatting sqref="M82">
    <cfRule type="expression" dxfId="63" priority="28">
      <formula>$J82&lt;&gt;""</formula>
    </cfRule>
  </conditionalFormatting>
  <conditionalFormatting sqref="D230">
    <cfRule type="duplicateValues" dxfId="62" priority="27"/>
  </conditionalFormatting>
  <conditionalFormatting sqref="D231">
    <cfRule type="duplicateValues" dxfId="61" priority="26"/>
  </conditionalFormatting>
  <conditionalFormatting sqref="D232">
    <cfRule type="duplicateValues" dxfId="60" priority="25"/>
  </conditionalFormatting>
  <conditionalFormatting sqref="D233">
    <cfRule type="duplicateValues" dxfId="59" priority="24"/>
  </conditionalFormatting>
  <conditionalFormatting sqref="D309">
    <cfRule type="duplicateValues" dxfId="58" priority="23"/>
  </conditionalFormatting>
  <conditionalFormatting sqref="D307">
    <cfRule type="duplicateValues" dxfId="57" priority="22"/>
  </conditionalFormatting>
  <conditionalFormatting sqref="D308">
    <cfRule type="duplicateValues" dxfId="56" priority="21"/>
  </conditionalFormatting>
  <conditionalFormatting sqref="D323">
    <cfRule type="duplicateValues" dxfId="55" priority="20"/>
  </conditionalFormatting>
  <conditionalFormatting sqref="D504">
    <cfRule type="duplicateValues" dxfId="54" priority="19"/>
  </conditionalFormatting>
  <conditionalFormatting sqref="L897">
    <cfRule type="expression" dxfId="53" priority="18">
      <formula>$J890&lt;&gt;""</formula>
    </cfRule>
  </conditionalFormatting>
  <conditionalFormatting sqref="L899">
    <cfRule type="expression" dxfId="52" priority="17">
      <formula>$J892&lt;&gt;""</formula>
    </cfRule>
  </conditionalFormatting>
  <conditionalFormatting sqref="L900">
    <cfRule type="expression" dxfId="51" priority="16">
      <formula>$J893&lt;&gt;""</formula>
    </cfRule>
  </conditionalFormatting>
  <conditionalFormatting sqref="D958">
    <cfRule type="duplicateValues" dxfId="50" priority="15"/>
  </conditionalFormatting>
  <conditionalFormatting sqref="D959">
    <cfRule type="duplicateValues" dxfId="49" priority="14"/>
  </conditionalFormatting>
  <conditionalFormatting sqref="D960">
    <cfRule type="duplicateValues" dxfId="48" priority="13"/>
  </conditionalFormatting>
  <conditionalFormatting sqref="D1298">
    <cfRule type="duplicateValues" dxfId="47" priority="12"/>
  </conditionalFormatting>
  <conditionalFormatting sqref="D1299">
    <cfRule type="duplicateValues" dxfId="46" priority="10"/>
  </conditionalFormatting>
  <conditionalFormatting sqref="D1300">
    <cfRule type="duplicateValues" dxfId="45" priority="9"/>
  </conditionalFormatting>
  <conditionalFormatting sqref="D1301">
    <cfRule type="duplicateValues" dxfId="44" priority="8"/>
  </conditionalFormatting>
  <conditionalFormatting sqref="D1314">
    <cfRule type="duplicateValues" dxfId="43" priority="7"/>
  </conditionalFormatting>
  <conditionalFormatting sqref="D1641">
    <cfRule type="duplicateValues" dxfId="42" priority="5"/>
  </conditionalFormatting>
  <conditionalFormatting sqref="D1719:D1720">
    <cfRule type="duplicateValues" dxfId="41" priority="4"/>
  </conditionalFormatting>
  <conditionalFormatting sqref="L1969:M1969">
    <cfRule type="expression" dxfId="40" priority="183">
      <formula>$J1970&lt;&gt;""</formula>
    </cfRule>
  </conditionalFormatting>
  <conditionalFormatting sqref="L1970:M1970">
    <cfRule type="expression" dxfId="39" priority="184">
      <formula>#REF!&lt;&gt;""</formula>
    </cfRule>
  </conditionalFormatting>
  <conditionalFormatting sqref="D2276">
    <cfRule type="duplicateValues" dxfId="38" priority="3"/>
  </conditionalFormatting>
  <conditionalFormatting sqref="D2305">
    <cfRule type="duplicateValues" dxfId="37" priority="1"/>
  </conditionalFormatting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3" name="Button 11">
              <controlPr defaultSize="0" print="0" autoFill="0" autoPict="0" macro="[0]!Módulo1.Ordenamiento_fecha_menor_a_mayor">
                <anchor moveWithCells="1" sizeWithCells="1">
                  <from>
                    <xdr:col>4</xdr:col>
                    <xdr:colOff>885825</xdr:colOff>
                    <xdr:row>1</xdr:row>
                    <xdr:rowOff>114300</xdr:rowOff>
                  </from>
                  <to>
                    <xdr:col>5</xdr:col>
                    <xdr:colOff>1438275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Módulo2.IrAFechaHoy">
                <anchor moveWithCells="1" sizeWithCells="1">
                  <from>
                    <xdr:col>4</xdr:col>
                    <xdr:colOff>885825</xdr:colOff>
                    <xdr:row>3</xdr:row>
                    <xdr:rowOff>123825</xdr:rowOff>
                  </from>
                  <to>
                    <xdr:col>5</xdr:col>
                    <xdr:colOff>1438275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769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1" customWidth="1"/>
    <col min="2" max="5" width="14" customWidth="1"/>
    <col min="6" max="6" width="22" customWidth="1"/>
    <col min="7" max="7" width="14" customWidth="1"/>
    <col min="8" max="9" width="21" customWidth="1"/>
    <col min="10" max="10" width="19" customWidth="1"/>
    <col min="11" max="11" width="31" customWidth="1"/>
    <col min="12" max="13" width="20" customWidth="1"/>
    <col min="14" max="14" width="21" customWidth="1"/>
    <col min="15" max="15" width="20" customWidth="1"/>
  </cols>
  <sheetData>
    <row r="1" spans="1:15" x14ac:dyDescent="0.25">
      <c r="A1" s="57" t="s">
        <v>9</v>
      </c>
      <c r="B1" s="57" t="s">
        <v>10</v>
      </c>
      <c r="C1" s="57" t="s">
        <v>11</v>
      </c>
      <c r="D1" s="57" t="s">
        <v>12</v>
      </c>
      <c r="E1" s="57" t="s">
        <v>13</v>
      </c>
      <c r="F1" s="57" t="s">
        <v>14</v>
      </c>
      <c r="G1" s="57" t="s">
        <v>15</v>
      </c>
      <c r="H1" s="57" t="s">
        <v>16</v>
      </c>
      <c r="I1" s="57" t="s">
        <v>17</v>
      </c>
      <c r="J1" s="57" t="s">
        <v>18</v>
      </c>
      <c r="K1" s="57" t="s">
        <v>19</v>
      </c>
      <c r="L1" s="57" t="s">
        <v>6</v>
      </c>
      <c r="M1" s="57" t="s">
        <v>7</v>
      </c>
      <c r="N1" s="57" t="s">
        <v>20</v>
      </c>
      <c r="O1" s="57" t="s">
        <v>21</v>
      </c>
    </row>
    <row r="2" spans="1:15" x14ac:dyDescent="0.25">
      <c r="A2" s="58">
        <v>46024</v>
      </c>
      <c r="B2" s="59">
        <v>1</v>
      </c>
      <c r="C2" s="59" t="s">
        <v>1133</v>
      </c>
      <c r="D2" s="59">
        <v>1044312</v>
      </c>
      <c r="E2" s="59" t="s">
        <v>1134</v>
      </c>
      <c r="F2" s="59" t="s">
        <v>1135</v>
      </c>
      <c r="G2" s="59" t="s">
        <v>1136</v>
      </c>
      <c r="H2" s="59" t="s">
        <v>1137</v>
      </c>
      <c r="I2" s="60">
        <v>45992</v>
      </c>
      <c r="J2" s="59" t="s">
        <v>24</v>
      </c>
      <c r="K2" s="59" t="s">
        <v>1138</v>
      </c>
      <c r="L2" s="61">
        <v>17531900</v>
      </c>
      <c r="M2" s="59"/>
      <c r="N2" s="61">
        <v>17531900</v>
      </c>
      <c r="O2" s="61">
        <v>4103372779.0544968</v>
      </c>
    </row>
    <row r="3" spans="1:15" x14ac:dyDescent="0.25">
      <c r="A3" s="62">
        <v>46024</v>
      </c>
      <c r="B3">
        <v>1</v>
      </c>
      <c r="C3" t="s">
        <v>1133</v>
      </c>
      <c r="D3">
        <v>1044202</v>
      </c>
      <c r="E3" t="s">
        <v>1134</v>
      </c>
      <c r="F3" t="s">
        <v>1135</v>
      </c>
      <c r="G3" t="s">
        <v>1136</v>
      </c>
      <c r="H3" t="s">
        <v>1139</v>
      </c>
      <c r="I3" s="63">
        <v>45992</v>
      </c>
      <c r="J3" t="s">
        <v>24</v>
      </c>
      <c r="K3" t="s">
        <v>1138</v>
      </c>
      <c r="L3" s="64">
        <v>52242496.609999999</v>
      </c>
      <c r="N3" s="64">
        <v>52242496.609999999</v>
      </c>
      <c r="O3" s="64">
        <v>4155615275.6644969</v>
      </c>
    </row>
    <row r="4" spans="1:15" x14ac:dyDescent="0.25">
      <c r="A4" s="58">
        <v>46024</v>
      </c>
      <c r="B4" s="59">
        <v>1</v>
      </c>
      <c r="C4" s="59" t="s">
        <v>1133</v>
      </c>
      <c r="D4" s="59">
        <v>1044462</v>
      </c>
      <c r="E4" s="59" t="s">
        <v>1134</v>
      </c>
      <c r="F4" s="59" t="s">
        <v>1135</v>
      </c>
      <c r="G4" s="59" t="s">
        <v>1136</v>
      </c>
      <c r="H4" s="59" t="s">
        <v>1140</v>
      </c>
      <c r="I4" s="60">
        <v>45992</v>
      </c>
      <c r="J4" s="59" t="s">
        <v>24</v>
      </c>
      <c r="K4" s="59" t="s">
        <v>1138</v>
      </c>
      <c r="L4" s="61">
        <v>6273902.4199999999</v>
      </c>
      <c r="M4" s="59"/>
      <c r="N4" s="61">
        <v>6273902.4199999999</v>
      </c>
      <c r="O4" s="61">
        <v>4161889178.084497</v>
      </c>
    </row>
    <row r="5" spans="1:15" x14ac:dyDescent="0.25">
      <c r="A5" s="62">
        <v>46024</v>
      </c>
      <c r="B5">
        <v>1</v>
      </c>
      <c r="C5" t="s">
        <v>1133</v>
      </c>
      <c r="D5">
        <v>1044371</v>
      </c>
      <c r="E5" t="s">
        <v>1134</v>
      </c>
      <c r="F5" t="s">
        <v>1135</v>
      </c>
      <c r="G5" t="s">
        <v>1136</v>
      </c>
      <c r="H5" t="s">
        <v>1141</v>
      </c>
      <c r="I5" s="63">
        <v>45566</v>
      </c>
      <c r="J5" t="s">
        <v>25</v>
      </c>
      <c r="K5" t="s">
        <v>1142</v>
      </c>
      <c r="L5" s="64">
        <v>4227608.1399999997</v>
      </c>
      <c r="N5" s="64">
        <v>4227608.1399999997</v>
      </c>
      <c r="O5" s="64">
        <v>4495456906.0844955</v>
      </c>
    </row>
    <row r="6" spans="1:15" x14ac:dyDescent="0.25">
      <c r="A6" s="58">
        <v>46024</v>
      </c>
      <c r="B6" s="59">
        <v>1</v>
      </c>
      <c r="C6" s="59" t="s">
        <v>1133</v>
      </c>
      <c r="D6" s="59">
        <v>1044371</v>
      </c>
      <c r="E6" s="59" t="s">
        <v>1134</v>
      </c>
      <c r="F6" s="59" t="s">
        <v>1135</v>
      </c>
      <c r="G6" s="59" t="s">
        <v>1136</v>
      </c>
      <c r="H6" s="59" t="s">
        <v>1141</v>
      </c>
      <c r="I6" s="60">
        <v>45627</v>
      </c>
      <c r="J6" s="59" t="s">
        <v>25</v>
      </c>
      <c r="K6" s="59" t="s">
        <v>1142</v>
      </c>
      <c r="L6" s="61">
        <v>2307535.86</v>
      </c>
      <c r="M6" s="59"/>
      <c r="N6" s="61">
        <v>2307535.86</v>
      </c>
      <c r="O6" s="61">
        <v>4497764441.9444962</v>
      </c>
    </row>
    <row r="7" spans="1:15" x14ac:dyDescent="0.25">
      <c r="A7" s="62">
        <v>46024</v>
      </c>
      <c r="B7">
        <v>1</v>
      </c>
      <c r="C7" t="s">
        <v>1133</v>
      </c>
      <c r="D7">
        <v>1044371</v>
      </c>
      <c r="E7" t="s">
        <v>1134</v>
      </c>
      <c r="F7" t="s">
        <v>1135</v>
      </c>
      <c r="G7" t="s">
        <v>1136</v>
      </c>
      <c r="H7" t="s">
        <v>1141</v>
      </c>
      <c r="I7" s="63">
        <v>45597</v>
      </c>
      <c r="J7" t="s">
        <v>25</v>
      </c>
      <c r="K7" t="s">
        <v>1142</v>
      </c>
      <c r="L7" s="64">
        <v>2849640.47</v>
      </c>
      <c r="N7" s="64">
        <v>2849640.47</v>
      </c>
      <c r="O7" s="64">
        <v>4500614082.4144964</v>
      </c>
    </row>
    <row r="8" spans="1:15" x14ac:dyDescent="0.25">
      <c r="A8" s="58">
        <v>46024</v>
      </c>
      <c r="B8" s="59">
        <v>1</v>
      </c>
      <c r="C8" s="59" t="s">
        <v>1133</v>
      </c>
      <c r="D8" s="59">
        <v>1044321</v>
      </c>
      <c r="E8" s="59" t="s">
        <v>1134</v>
      </c>
      <c r="F8" s="59" t="s">
        <v>1135</v>
      </c>
      <c r="G8" s="59" t="s">
        <v>1136</v>
      </c>
      <c r="H8" s="59" t="s">
        <v>1143</v>
      </c>
      <c r="I8" s="60">
        <v>45689</v>
      </c>
      <c r="J8" s="59" t="s">
        <v>25</v>
      </c>
      <c r="K8" s="59" t="s">
        <v>1142</v>
      </c>
      <c r="L8" s="61">
        <v>11788888.789999999</v>
      </c>
      <c r="M8" s="59"/>
      <c r="N8" s="61">
        <v>11788888.789999999</v>
      </c>
      <c r="O8" s="61">
        <v>4512402971.2044964</v>
      </c>
    </row>
    <row r="9" spans="1:15" x14ac:dyDescent="0.25">
      <c r="A9" s="62">
        <v>46027</v>
      </c>
      <c r="B9">
        <v>1</v>
      </c>
      <c r="C9" t="s">
        <v>1144</v>
      </c>
      <c r="D9">
        <v>1044263</v>
      </c>
      <c r="E9" t="s">
        <v>1134</v>
      </c>
      <c r="F9" t="s">
        <v>1135</v>
      </c>
      <c r="G9" t="s">
        <v>1136</v>
      </c>
      <c r="H9" t="s">
        <v>1145</v>
      </c>
      <c r="I9" s="63">
        <v>45992</v>
      </c>
      <c r="J9" t="s">
        <v>26</v>
      </c>
      <c r="K9" t="s">
        <v>1146</v>
      </c>
      <c r="L9" s="64">
        <v>2124059.4700000002</v>
      </c>
      <c r="N9" s="64">
        <v>2124059.4700000002</v>
      </c>
      <c r="O9" s="64">
        <v>4752793597.8044949</v>
      </c>
    </row>
    <row r="10" spans="1:15" x14ac:dyDescent="0.25">
      <c r="A10" s="58">
        <v>46027</v>
      </c>
      <c r="B10" s="59">
        <v>1</v>
      </c>
      <c r="C10" s="59" t="s">
        <v>1144</v>
      </c>
      <c r="D10" s="59">
        <v>1044463</v>
      </c>
      <c r="E10" s="59" t="s">
        <v>1134</v>
      </c>
      <c r="F10" s="59" t="s">
        <v>1135</v>
      </c>
      <c r="G10" s="59" t="s">
        <v>1136</v>
      </c>
      <c r="H10" s="59" t="s">
        <v>1140</v>
      </c>
      <c r="I10" s="60">
        <v>45992</v>
      </c>
      <c r="J10" s="59" t="s">
        <v>26</v>
      </c>
      <c r="K10" s="59" t="s">
        <v>1146</v>
      </c>
      <c r="L10" s="61">
        <v>954490.36</v>
      </c>
      <c r="M10" s="59"/>
      <c r="N10" s="61">
        <v>954490.36</v>
      </c>
      <c r="O10" s="61">
        <v>4753748088.1644955</v>
      </c>
    </row>
    <row r="11" spans="1:15" x14ac:dyDescent="0.25">
      <c r="A11" s="62">
        <v>46027</v>
      </c>
      <c r="B11">
        <v>1</v>
      </c>
      <c r="C11" t="s">
        <v>1144</v>
      </c>
      <c r="D11">
        <v>1044174</v>
      </c>
      <c r="E11" t="s">
        <v>1134</v>
      </c>
      <c r="F11" t="s">
        <v>1135</v>
      </c>
      <c r="G11" t="s">
        <v>1136</v>
      </c>
      <c r="H11" t="s">
        <v>1147</v>
      </c>
      <c r="I11" s="63">
        <v>45992</v>
      </c>
      <c r="J11" t="s">
        <v>27</v>
      </c>
      <c r="K11" t="s">
        <v>1148</v>
      </c>
      <c r="L11" s="64">
        <v>16337500.75</v>
      </c>
      <c r="N11" s="64">
        <v>16337500.75</v>
      </c>
      <c r="O11" s="64">
        <v>5147816934.2144947</v>
      </c>
    </row>
    <row r="12" spans="1:15" x14ac:dyDescent="0.25">
      <c r="A12" s="58">
        <v>46027</v>
      </c>
      <c r="B12" s="59">
        <v>1</v>
      </c>
      <c r="C12" s="59" t="s">
        <v>1144</v>
      </c>
      <c r="D12" s="59">
        <v>1044196</v>
      </c>
      <c r="E12" s="59" t="s">
        <v>1134</v>
      </c>
      <c r="F12" s="59" t="s">
        <v>1135</v>
      </c>
      <c r="G12" s="59" t="s">
        <v>1136</v>
      </c>
      <c r="H12" s="59" t="s">
        <v>1149</v>
      </c>
      <c r="I12" s="60">
        <v>45992</v>
      </c>
      <c r="J12" s="59" t="s">
        <v>27</v>
      </c>
      <c r="K12" s="59" t="s">
        <v>1150</v>
      </c>
      <c r="L12" s="61">
        <v>22419302.680000041</v>
      </c>
      <c r="M12" s="59"/>
      <c r="N12" s="61">
        <v>22419302.680000041</v>
      </c>
      <c r="O12" s="61">
        <v>5170236236.894495</v>
      </c>
    </row>
    <row r="13" spans="1:15" x14ac:dyDescent="0.25">
      <c r="A13" s="62">
        <v>46027</v>
      </c>
      <c r="B13">
        <v>1</v>
      </c>
      <c r="C13" t="s">
        <v>1144</v>
      </c>
      <c r="D13">
        <v>1044214</v>
      </c>
      <c r="E13" t="s">
        <v>1134</v>
      </c>
      <c r="F13" t="s">
        <v>1135</v>
      </c>
      <c r="G13" t="s">
        <v>1136</v>
      </c>
      <c r="H13" t="s">
        <v>1151</v>
      </c>
      <c r="I13" s="63">
        <v>45992</v>
      </c>
      <c r="J13" t="s">
        <v>27</v>
      </c>
      <c r="K13" t="s">
        <v>1148</v>
      </c>
      <c r="L13" s="64">
        <v>11906426.59</v>
      </c>
      <c r="N13" s="64">
        <v>11906426.59</v>
      </c>
      <c r="O13" s="64">
        <v>5182142663.4844952</v>
      </c>
    </row>
    <row r="14" spans="1:15" x14ac:dyDescent="0.25">
      <c r="A14" s="58">
        <v>46027</v>
      </c>
      <c r="B14" s="59">
        <v>1</v>
      </c>
      <c r="C14" s="59" t="s">
        <v>1144</v>
      </c>
      <c r="D14" s="59">
        <v>1044234</v>
      </c>
      <c r="E14" s="59" t="s">
        <v>1134</v>
      </c>
      <c r="F14" s="59" t="s">
        <v>1135</v>
      </c>
      <c r="G14" s="59" t="s">
        <v>1136</v>
      </c>
      <c r="H14" s="59" t="s">
        <v>1152</v>
      </c>
      <c r="I14" s="60">
        <v>45992</v>
      </c>
      <c r="J14" s="59" t="s">
        <v>27</v>
      </c>
      <c r="K14" s="59" t="s">
        <v>1148</v>
      </c>
      <c r="L14" s="61">
        <v>22395661.780000001</v>
      </c>
      <c r="M14" s="59"/>
      <c r="N14" s="61">
        <v>22395661.780000001</v>
      </c>
      <c r="O14" s="61">
        <v>5204538325.2644949</v>
      </c>
    </row>
    <row r="15" spans="1:15" x14ac:dyDescent="0.25">
      <c r="A15" s="62">
        <v>46027</v>
      </c>
      <c r="B15">
        <v>1</v>
      </c>
      <c r="C15" t="s">
        <v>1144</v>
      </c>
      <c r="D15">
        <v>1044244</v>
      </c>
      <c r="E15" t="s">
        <v>1134</v>
      </c>
      <c r="F15" t="s">
        <v>1135</v>
      </c>
      <c r="G15" t="s">
        <v>1136</v>
      </c>
      <c r="H15" t="s">
        <v>1153</v>
      </c>
      <c r="I15" s="63">
        <v>45992</v>
      </c>
      <c r="J15" t="s">
        <v>27</v>
      </c>
      <c r="K15" t="s">
        <v>1148</v>
      </c>
      <c r="L15" s="64">
        <v>6624841.0800000001</v>
      </c>
      <c r="N15" s="64">
        <v>6624841.0800000001</v>
      </c>
      <c r="O15" s="64">
        <v>5211163166.3444948</v>
      </c>
    </row>
    <row r="16" spans="1:15" x14ac:dyDescent="0.25">
      <c r="A16" s="58">
        <v>46027</v>
      </c>
      <c r="B16" s="59">
        <v>1</v>
      </c>
      <c r="C16" s="59" t="s">
        <v>1144</v>
      </c>
      <c r="D16" s="59">
        <v>1044264</v>
      </c>
      <c r="E16" s="59" t="s">
        <v>1134</v>
      </c>
      <c r="F16" s="59" t="s">
        <v>1135</v>
      </c>
      <c r="G16" s="59" t="s">
        <v>1136</v>
      </c>
      <c r="H16" s="59" t="s">
        <v>1145</v>
      </c>
      <c r="I16" s="60">
        <v>45992</v>
      </c>
      <c r="J16" s="59" t="s">
        <v>27</v>
      </c>
      <c r="K16" s="59" t="s">
        <v>1148</v>
      </c>
      <c r="L16" s="61">
        <v>4316068</v>
      </c>
      <c r="M16" s="59"/>
      <c r="N16" s="61">
        <v>4316068</v>
      </c>
      <c r="O16" s="61">
        <v>5215479234.3444948</v>
      </c>
    </row>
    <row r="17" spans="1:15" x14ac:dyDescent="0.25">
      <c r="A17" s="62">
        <v>46027</v>
      </c>
      <c r="B17">
        <v>1</v>
      </c>
      <c r="C17" t="s">
        <v>1144</v>
      </c>
      <c r="D17">
        <v>1044266</v>
      </c>
      <c r="E17" t="s">
        <v>1134</v>
      </c>
      <c r="F17" t="s">
        <v>1135</v>
      </c>
      <c r="G17" t="s">
        <v>1136</v>
      </c>
      <c r="H17" t="s">
        <v>1145</v>
      </c>
      <c r="I17" s="63">
        <v>45992</v>
      </c>
      <c r="J17" t="s">
        <v>27</v>
      </c>
      <c r="K17" t="s">
        <v>1150</v>
      </c>
      <c r="L17" s="64">
        <v>81303.710000000021</v>
      </c>
      <c r="N17" s="64">
        <v>81303.710000000021</v>
      </c>
      <c r="O17" s="64">
        <v>5215560538.0544949</v>
      </c>
    </row>
    <row r="18" spans="1:15" x14ac:dyDescent="0.25">
      <c r="A18" s="58">
        <v>46027</v>
      </c>
      <c r="B18" s="59">
        <v>1</v>
      </c>
      <c r="C18" s="59" t="s">
        <v>1144</v>
      </c>
      <c r="D18" s="59">
        <v>1044264</v>
      </c>
      <c r="E18" s="59" t="s">
        <v>1134</v>
      </c>
      <c r="F18" s="59" t="s">
        <v>1135</v>
      </c>
      <c r="G18" s="59" t="s">
        <v>1136</v>
      </c>
      <c r="H18" s="59" t="s">
        <v>1145</v>
      </c>
      <c r="I18" s="60">
        <v>45992</v>
      </c>
      <c r="J18" s="59" t="s">
        <v>27</v>
      </c>
      <c r="K18" s="59" t="s">
        <v>1148</v>
      </c>
      <c r="L18" s="61">
        <v>4192643.33</v>
      </c>
      <c r="M18" s="59"/>
      <c r="N18" s="61">
        <v>4192643.33</v>
      </c>
      <c r="O18" s="61">
        <v>5219753181.3844948</v>
      </c>
    </row>
    <row r="19" spans="1:15" x14ac:dyDescent="0.25">
      <c r="A19" s="62">
        <v>46027</v>
      </c>
      <c r="B19">
        <v>1</v>
      </c>
      <c r="C19" t="s">
        <v>1144</v>
      </c>
      <c r="D19">
        <v>1044274</v>
      </c>
      <c r="E19" t="s">
        <v>1134</v>
      </c>
      <c r="F19" t="s">
        <v>1135</v>
      </c>
      <c r="G19" t="s">
        <v>1136</v>
      </c>
      <c r="H19" t="s">
        <v>1154</v>
      </c>
      <c r="I19" s="63">
        <v>45992</v>
      </c>
      <c r="J19" t="s">
        <v>27</v>
      </c>
      <c r="K19" t="s">
        <v>1148</v>
      </c>
      <c r="L19" s="64">
        <v>18277731.43</v>
      </c>
      <c r="N19" s="64">
        <v>18277731.43</v>
      </c>
      <c r="O19" s="64">
        <v>5238030912.8144951</v>
      </c>
    </row>
    <row r="20" spans="1:15" x14ac:dyDescent="0.25">
      <c r="A20" s="58">
        <v>46027</v>
      </c>
      <c r="B20" s="59">
        <v>1</v>
      </c>
      <c r="C20" s="59" t="s">
        <v>1144</v>
      </c>
      <c r="D20" s="59">
        <v>1044284</v>
      </c>
      <c r="E20" s="59" t="s">
        <v>1134</v>
      </c>
      <c r="F20" s="59" t="s">
        <v>1135</v>
      </c>
      <c r="G20" s="59" t="s">
        <v>1136</v>
      </c>
      <c r="H20" s="59" t="s">
        <v>1155</v>
      </c>
      <c r="I20" s="60">
        <v>45992</v>
      </c>
      <c r="J20" s="59" t="s">
        <v>27</v>
      </c>
      <c r="K20" s="59" t="s">
        <v>1148</v>
      </c>
      <c r="L20" s="61">
        <v>97371495</v>
      </c>
      <c r="M20" s="59"/>
      <c r="N20" s="61">
        <v>97371495</v>
      </c>
      <c r="O20" s="61">
        <v>5335402407.8144951</v>
      </c>
    </row>
    <row r="21" spans="1:15" x14ac:dyDescent="0.25">
      <c r="A21" s="62">
        <v>46027</v>
      </c>
      <c r="B21">
        <v>1</v>
      </c>
      <c r="C21" t="s">
        <v>1144</v>
      </c>
      <c r="D21">
        <v>1044286</v>
      </c>
      <c r="E21" t="s">
        <v>1134</v>
      </c>
      <c r="F21" t="s">
        <v>1135</v>
      </c>
      <c r="G21" t="s">
        <v>1136</v>
      </c>
      <c r="H21" t="s">
        <v>1155</v>
      </c>
      <c r="I21" s="63">
        <v>45992</v>
      </c>
      <c r="J21" t="s">
        <v>27</v>
      </c>
      <c r="K21" t="s">
        <v>1150</v>
      </c>
      <c r="L21" s="64">
        <v>12887293.15000001</v>
      </c>
      <c r="N21" s="64">
        <v>12887293.15000001</v>
      </c>
      <c r="O21" s="64">
        <v>5348289700.9644947</v>
      </c>
    </row>
    <row r="22" spans="1:15" x14ac:dyDescent="0.25">
      <c r="A22" s="58">
        <v>46027</v>
      </c>
      <c r="B22" s="59">
        <v>1</v>
      </c>
      <c r="C22" s="59" t="s">
        <v>1144</v>
      </c>
      <c r="D22" s="59">
        <v>1044464</v>
      </c>
      <c r="E22" s="59" t="s">
        <v>1134</v>
      </c>
      <c r="F22" s="59" t="s">
        <v>1135</v>
      </c>
      <c r="G22" s="59" t="s">
        <v>1136</v>
      </c>
      <c r="H22" s="59" t="s">
        <v>1140</v>
      </c>
      <c r="I22" s="60">
        <v>45992</v>
      </c>
      <c r="J22" s="59" t="s">
        <v>27</v>
      </c>
      <c r="K22" s="59" t="s">
        <v>1148</v>
      </c>
      <c r="L22" s="61">
        <v>5320265.22</v>
      </c>
      <c r="M22" s="59"/>
      <c r="N22" s="61">
        <v>5320265.22</v>
      </c>
      <c r="O22" s="61">
        <v>5353609966.184495</v>
      </c>
    </row>
    <row r="23" spans="1:15" x14ac:dyDescent="0.25">
      <c r="A23" s="62">
        <v>46027</v>
      </c>
      <c r="B23">
        <v>1</v>
      </c>
      <c r="C23" t="s">
        <v>1144</v>
      </c>
      <c r="D23">
        <v>1044324</v>
      </c>
      <c r="E23" t="s">
        <v>1134</v>
      </c>
      <c r="F23" t="s">
        <v>1135</v>
      </c>
      <c r="G23" t="s">
        <v>1136</v>
      </c>
      <c r="H23" t="s">
        <v>1143</v>
      </c>
      <c r="I23" s="63">
        <v>45992</v>
      </c>
      <c r="J23" t="s">
        <v>27</v>
      </c>
      <c r="K23" t="s">
        <v>1148</v>
      </c>
      <c r="L23" s="64">
        <v>39383120</v>
      </c>
      <c r="N23" s="64">
        <v>39383120</v>
      </c>
      <c r="O23" s="64">
        <v>5392993086.184495</v>
      </c>
    </row>
    <row r="24" spans="1:15" x14ac:dyDescent="0.25">
      <c r="A24" s="58">
        <v>46027</v>
      </c>
      <c r="B24" s="59">
        <v>1</v>
      </c>
      <c r="C24" s="59" t="s">
        <v>1144</v>
      </c>
      <c r="D24" s="59">
        <v>1044326</v>
      </c>
      <c r="E24" s="59" t="s">
        <v>1134</v>
      </c>
      <c r="F24" s="59" t="s">
        <v>1135</v>
      </c>
      <c r="G24" s="59" t="s">
        <v>1136</v>
      </c>
      <c r="H24" s="59" t="s">
        <v>1143</v>
      </c>
      <c r="I24" s="60">
        <v>45992</v>
      </c>
      <c r="J24" s="59" t="s">
        <v>27</v>
      </c>
      <c r="K24" s="59" t="s">
        <v>1150</v>
      </c>
      <c r="L24" s="61">
        <v>184787.43</v>
      </c>
      <c r="M24" s="59"/>
      <c r="N24" s="61">
        <v>184787.43</v>
      </c>
      <c r="O24" s="61">
        <v>5393177873.6144953</v>
      </c>
    </row>
    <row r="25" spans="1:15" x14ac:dyDescent="0.25">
      <c r="A25" s="62">
        <v>46027</v>
      </c>
      <c r="B25">
        <v>1</v>
      </c>
      <c r="C25" t="s">
        <v>1144</v>
      </c>
      <c r="D25">
        <v>1044344</v>
      </c>
      <c r="E25" t="s">
        <v>1134</v>
      </c>
      <c r="F25" t="s">
        <v>1135</v>
      </c>
      <c r="G25" t="s">
        <v>1136</v>
      </c>
      <c r="H25" t="s">
        <v>1156</v>
      </c>
      <c r="I25" s="63">
        <v>45992</v>
      </c>
      <c r="J25" t="s">
        <v>27</v>
      </c>
      <c r="K25" t="s">
        <v>1148</v>
      </c>
      <c r="L25" s="64">
        <v>5033918</v>
      </c>
      <c r="N25" s="64">
        <v>5033918</v>
      </c>
      <c r="O25" s="64">
        <v>5398211791.6144953</v>
      </c>
    </row>
    <row r="26" spans="1:15" x14ac:dyDescent="0.25">
      <c r="A26" s="58">
        <v>46027</v>
      </c>
      <c r="B26" s="59">
        <v>1</v>
      </c>
      <c r="C26" s="59" t="s">
        <v>1144</v>
      </c>
      <c r="D26" s="59">
        <v>1044354</v>
      </c>
      <c r="E26" s="59" t="s">
        <v>1134</v>
      </c>
      <c r="F26" s="59" t="s">
        <v>1135</v>
      </c>
      <c r="G26" s="59" t="s">
        <v>1136</v>
      </c>
      <c r="H26" s="59" t="s">
        <v>1157</v>
      </c>
      <c r="I26" s="60">
        <v>45992</v>
      </c>
      <c r="J26" s="59" t="s">
        <v>27</v>
      </c>
      <c r="K26" s="59" t="s">
        <v>1148</v>
      </c>
      <c r="L26" s="61">
        <v>7105775.2800000003</v>
      </c>
      <c r="M26" s="59"/>
      <c r="N26" s="61">
        <v>7105775.2800000003</v>
      </c>
      <c r="O26" s="61">
        <v>5405317566.894495</v>
      </c>
    </row>
    <row r="27" spans="1:15" x14ac:dyDescent="0.25">
      <c r="A27" s="62">
        <v>46027</v>
      </c>
      <c r="B27">
        <v>1</v>
      </c>
      <c r="C27" t="s">
        <v>1144</v>
      </c>
      <c r="D27">
        <v>1044356</v>
      </c>
      <c r="E27" t="s">
        <v>1134</v>
      </c>
      <c r="F27" t="s">
        <v>1135</v>
      </c>
      <c r="G27" t="s">
        <v>1136</v>
      </c>
      <c r="H27" t="s">
        <v>1157</v>
      </c>
      <c r="I27" s="63">
        <v>45992</v>
      </c>
      <c r="J27" t="s">
        <v>27</v>
      </c>
      <c r="K27" t="s">
        <v>1150</v>
      </c>
      <c r="L27" s="64">
        <v>5931692.5300000003</v>
      </c>
      <c r="N27" s="64">
        <v>5931692.5300000003</v>
      </c>
      <c r="O27" s="64">
        <v>5411249259.4244947</v>
      </c>
    </row>
    <row r="28" spans="1:15" x14ac:dyDescent="0.25">
      <c r="A28" s="58">
        <v>46027</v>
      </c>
      <c r="B28" s="59">
        <v>1</v>
      </c>
      <c r="C28" s="59" t="s">
        <v>1144</v>
      </c>
      <c r="D28" s="59">
        <v>1044364</v>
      </c>
      <c r="E28" s="59" t="s">
        <v>1134</v>
      </c>
      <c r="F28" s="59" t="s">
        <v>1135</v>
      </c>
      <c r="G28" s="59" t="s">
        <v>1136</v>
      </c>
      <c r="H28" s="59" t="s">
        <v>1158</v>
      </c>
      <c r="I28" s="60">
        <v>45992</v>
      </c>
      <c r="J28" s="59" t="s">
        <v>27</v>
      </c>
      <c r="K28" s="59" t="s">
        <v>1148</v>
      </c>
      <c r="L28" s="61">
        <v>23177835.210000001</v>
      </c>
      <c r="M28" s="59"/>
      <c r="N28" s="61">
        <v>23177835.210000001</v>
      </c>
      <c r="O28" s="61">
        <v>5434427094.6344948</v>
      </c>
    </row>
    <row r="29" spans="1:15" x14ac:dyDescent="0.25">
      <c r="A29" s="62">
        <v>46027</v>
      </c>
      <c r="B29">
        <v>1</v>
      </c>
      <c r="C29" t="s">
        <v>1144</v>
      </c>
      <c r="D29">
        <v>1044374</v>
      </c>
      <c r="E29" t="s">
        <v>1134</v>
      </c>
      <c r="F29" t="s">
        <v>1135</v>
      </c>
      <c r="G29" t="s">
        <v>1136</v>
      </c>
      <c r="H29" t="s">
        <v>1141</v>
      </c>
      <c r="I29" s="63">
        <v>45992</v>
      </c>
      <c r="J29" t="s">
        <v>27</v>
      </c>
      <c r="K29" t="s">
        <v>1148</v>
      </c>
      <c r="L29" s="64">
        <v>20997995.219999999</v>
      </c>
      <c r="N29" s="64">
        <v>20997995.219999999</v>
      </c>
      <c r="O29" s="64">
        <v>5455425089.854495</v>
      </c>
    </row>
    <row r="30" spans="1:15" x14ac:dyDescent="0.25">
      <c r="A30" s="58">
        <v>46027</v>
      </c>
      <c r="B30" s="59">
        <v>1</v>
      </c>
      <c r="C30" s="59" t="s">
        <v>1144</v>
      </c>
      <c r="D30" s="59">
        <v>1044404</v>
      </c>
      <c r="E30" s="59" t="s">
        <v>1134</v>
      </c>
      <c r="F30" s="59" t="s">
        <v>1135</v>
      </c>
      <c r="G30" s="59" t="s">
        <v>1136</v>
      </c>
      <c r="H30" s="59" t="s">
        <v>1159</v>
      </c>
      <c r="I30" s="60">
        <v>45992</v>
      </c>
      <c r="J30" s="59" t="s">
        <v>27</v>
      </c>
      <c r="K30" s="59" t="s">
        <v>1148</v>
      </c>
      <c r="L30" s="61">
        <v>19101501.670000002</v>
      </c>
      <c r="M30" s="59"/>
      <c r="N30" s="61">
        <v>19101501.670000002</v>
      </c>
      <c r="O30" s="61">
        <v>5474526591.5244951</v>
      </c>
    </row>
    <row r="31" spans="1:15" x14ac:dyDescent="0.25">
      <c r="A31" s="62">
        <v>46027</v>
      </c>
      <c r="B31">
        <v>1</v>
      </c>
      <c r="C31" t="s">
        <v>1144</v>
      </c>
      <c r="D31">
        <v>1044406</v>
      </c>
      <c r="E31" t="s">
        <v>1134</v>
      </c>
      <c r="F31" t="s">
        <v>1135</v>
      </c>
      <c r="G31" t="s">
        <v>1136</v>
      </c>
      <c r="H31" t="s">
        <v>1159</v>
      </c>
      <c r="I31" s="63">
        <v>45992</v>
      </c>
      <c r="J31" t="s">
        <v>27</v>
      </c>
      <c r="K31" t="s">
        <v>1150</v>
      </c>
      <c r="L31" s="64">
        <v>972212.9800000001</v>
      </c>
      <c r="N31" s="64">
        <v>972212.9800000001</v>
      </c>
      <c r="O31" s="64">
        <v>5475498804.5044947</v>
      </c>
    </row>
    <row r="32" spans="1:15" x14ac:dyDescent="0.25">
      <c r="A32" s="58">
        <v>46027</v>
      </c>
      <c r="B32" s="59">
        <v>1</v>
      </c>
      <c r="C32" s="59" t="s">
        <v>1144</v>
      </c>
      <c r="D32" s="59">
        <v>1044404</v>
      </c>
      <c r="E32" s="59" t="s">
        <v>1134</v>
      </c>
      <c r="F32" s="59" t="s">
        <v>1135</v>
      </c>
      <c r="G32" s="59" t="s">
        <v>1136</v>
      </c>
      <c r="H32" s="59" t="s">
        <v>1159</v>
      </c>
      <c r="I32" s="60">
        <v>45992</v>
      </c>
      <c r="J32" s="59" t="s">
        <v>27</v>
      </c>
      <c r="K32" s="59" t="s">
        <v>1148</v>
      </c>
      <c r="L32" s="61">
        <v>13663961.810000001</v>
      </c>
      <c r="M32" s="59"/>
      <c r="N32" s="61">
        <v>13663961.810000001</v>
      </c>
      <c r="O32" s="61">
        <v>5489162766.3144951</v>
      </c>
    </row>
    <row r="33" spans="1:15" x14ac:dyDescent="0.25">
      <c r="A33" s="62">
        <v>46027</v>
      </c>
      <c r="B33">
        <v>1</v>
      </c>
      <c r="C33" t="s">
        <v>1144</v>
      </c>
      <c r="D33">
        <v>1044414</v>
      </c>
      <c r="E33" t="s">
        <v>1134</v>
      </c>
      <c r="F33" t="s">
        <v>1135</v>
      </c>
      <c r="G33" t="s">
        <v>1136</v>
      </c>
      <c r="H33" t="s">
        <v>1160</v>
      </c>
      <c r="I33" s="63">
        <v>45992</v>
      </c>
      <c r="J33" t="s">
        <v>27</v>
      </c>
      <c r="K33" t="s">
        <v>1148</v>
      </c>
      <c r="L33" s="64">
        <v>19110528.800000001</v>
      </c>
      <c r="N33" s="64">
        <v>19110528.800000001</v>
      </c>
      <c r="O33" s="64">
        <v>5508273295.1144953</v>
      </c>
    </row>
    <row r="34" spans="1:15" x14ac:dyDescent="0.25">
      <c r="A34" s="58">
        <v>46028</v>
      </c>
      <c r="B34" s="59">
        <v>1</v>
      </c>
      <c r="C34" s="59" t="s">
        <v>1161</v>
      </c>
      <c r="D34" s="59">
        <v>1044161</v>
      </c>
      <c r="E34" s="59" t="s">
        <v>1134</v>
      </c>
      <c r="F34" s="59" t="s">
        <v>1135</v>
      </c>
      <c r="G34" s="59" t="s">
        <v>1136</v>
      </c>
      <c r="H34" s="59" t="s">
        <v>1162</v>
      </c>
      <c r="I34" s="60">
        <v>45992</v>
      </c>
      <c r="J34" s="59" t="s">
        <v>30</v>
      </c>
      <c r="K34" s="59" t="s">
        <v>1142</v>
      </c>
      <c r="L34" s="61">
        <v>14270481.140000001</v>
      </c>
      <c r="M34" s="59"/>
      <c r="N34" s="61">
        <v>14270481.140000001</v>
      </c>
      <c r="O34" s="61">
        <v>5812557495.3044939</v>
      </c>
    </row>
    <row r="35" spans="1:15" x14ac:dyDescent="0.25">
      <c r="A35" s="62">
        <v>46028</v>
      </c>
      <c r="B35">
        <v>1</v>
      </c>
      <c r="C35" t="s">
        <v>1161</v>
      </c>
      <c r="D35">
        <v>1044171</v>
      </c>
      <c r="E35" t="s">
        <v>1134</v>
      </c>
      <c r="F35" t="s">
        <v>1135</v>
      </c>
      <c r="G35" t="s">
        <v>1136</v>
      </c>
      <c r="H35" t="s">
        <v>1147</v>
      </c>
      <c r="I35" s="63">
        <v>45992</v>
      </c>
      <c r="J35" t="s">
        <v>30</v>
      </c>
      <c r="K35" t="s">
        <v>1142</v>
      </c>
      <c r="L35" s="64">
        <v>5082350.6174999997</v>
      </c>
      <c r="N35" s="64">
        <v>5082350.6174999997</v>
      </c>
      <c r="O35" s="64">
        <v>5817639845.9219942</v>
      </c>
    </row>
    <row r="36" spans="1:15" x14ac:dyDescent="0.25">
      <c r="A36" s="58">
        <v>46028</v>
      </c>
      <c r="B36" s="59">
        <v>1</v>
      </c>
      <c r="C36" s="59" t="s">
        <v>1161</v>
      </c>
      <c r="D36" s="59">
        <v>1044201</v>
      </c>
      <c r="E36" s="59" t="s">
        <v>1134</v>
      </c>
      <c r="F36" s="59" t="s">
        <v>1135</v>
      </c>
      <c r="G36" s="59" t="s">
        <v>1136</v>
      </c>
      <c r="H36" s="59" t="s">
        <v>1139</v>
      </c>
      <c r="I36" s="60">
        <v>45992</v>
      </c>
      <c r="J36" s="59" t="s">
        <v>30</v>
      </c>
      <c r="K36" s="59" t="s">
        <v>1142</v>
      </c>
      <c r="L36" s="61">
        <v>3161177.32</v>
      </c>
      <c r="M36" s="59"/>
      <c r="N36" s="61">
        <v>3161177.32</v>
      </c>
      <c r="O36" s="61">
        <v>5820801023.2419939</v>
      </c>
    </row>
    <row r="37" spans="1:15" x14ac:dyDescent="0.25">
      <c r="A37" s="62">
        <v>46028</v>
      </c>
      <c r="B37">
        <v>1</v>
      </c>
      <c r="C37" t="s">
        <v>1161</v>
      </c>
      <c r="D37">
        <v>1044211</v>
      </c>
      <c r="E37" t="s">
        <v>1134</v>
      </c>
      <c r="F37" t="s">
        <v>1135</v>
      </c>
      <c r="G37" t="s">
        <v>1136</v>
      </c>
      <c r="H37" t="s">
        <v>1151</v>
      </c>
      <c r="I37" s="63">
        <v>45992</v>
      </c>
      <c r="J37" t="s">
        <v>30</v>
      </c>
      <c r="K37" t="s">
        <v>1142</v>
      </c>
      <c r="L37" s="64">
        <v>1376685.5</v>
      </c>
      <c r="N37" s="64">
        <v>1376685.5</v>
      </c>
      <c r="O37" s="64">
        <v>5822177708.7419939</v>
      </c>
    </row>
    <row r="38" spans="1:15" x14ac:dyDescent="0.25">
      <c r="A38" s="58">
        <v>46028</v>
      </c>
      <c r="B38" s="59">
        <v>1</v>
      </c>
      <c r="C38" s="59" t="s">
        <v>1161</v>
      </c>
      <c r="D38" s="59">
        <v>1044241</v>
      </c>
      <c r="E38" s="59" t="s">
        <v>1134</v>
      </c>
      <c r="F38" s="59" t="s">
        <v>1135</v>
      </c>
      <c r="G38" s="59" t="s">
        <v>1136</v>
      </c>
      <c r="H38" s="59" t="s">
        <v>1153</v>
      </c>
      <c r="I38" s="60">
        <v>45992</v>
      </c>
      <c r="J38" s="59" t="s">
        <v>30</v>
      </c>
      <c r="K38" s="59" t="s">
        <v>1142</v>
      </c>
      <c r="L38" s="61">
        <v>2609353.7599999998</v>
      </c>
      <c r="M38" s="59"/>
      <c r="N38" s="61">
        <v>2609353.7599999998</v>
      </c>
      <c r="O38" s="61">
        <v>5824787062.5019941</v>
      </c>
    </row>
    <row r="39" spans="1:15" x14ac:dyDescent="0.25">
      <c r="A39" s="62">
        <v>46028</v>
      </c>
      <c r="B39">
        <v>1</v>
      </c>
      <c r="C39" t="s">
        <v>1161</v>
      </c>
      <c r="D39">
        <v>1044261</v>
      </c>
      <c r="E39" t="s">
        <v>1134</v>
      </c>
      <c r="F39" t="s">
        <v>1135</v>
      </c>
      <c r="G39" t="s">
        <v>1136</v>
      </c>
      <c r="H39" t="s">
        <v>1145</v>
      </c>
      <c r="I39" s="63">
        <v>45992</v>
      </c>
      <c r="J39" t="s">
        <v>30</v>
      </c>
      <c r="K39" t="s">
        <v>1142</v>
      </c>
      <c r="L39" s="64">
        <v>1791793.75</v>
      </c>
      <c r="N39" s="64">
        <v>1791793.75</v>
      </c>
      <c r="O39" s="64">
        <v>5826578856.2519941</v>
      </c>
    </row>
    <row r="40" spans="1:15" x14ac:dyDescent="0.25">
      <c r="A40" s="58">
        <v>46028</v>
      </c>
      <c r="B40" s="59">
        <v>1</v>
      </c>
      <c r="C40" s="59" t="s">
        <v>1161</v>
      </c>
      <c r="D40" s="59">
        <v>1044271</v>
      </c>
      <c r="E40" s="59" t="s">
        <v>1134</v>
      </c>
      <c r="F40" s="59" t="s">
        <v>1135</v>
      </c>
      <c r="G40" s="59" t="s">
        <v>1136</v>
      </c>
      <c r="H40" s="59" t="s">
        <v>1154</v>
      </c>
      <c r="I40" s="60">
        <v>45992</v>
      </c>
      <c r="J40" s="59" t="s">
        <v>30</v>
      </c>
      <c r="K40" s="59" t="s">
        <v>1142</v>
      </c>
      <c r="L40" s="61">
        <v>3548200.76</v>
      </c>
      <c r="M40" s="59"/>
      <c r="N40" s="61">
        <v>3548200.76</v>
      </c>
      <c r="O40" s="61">
        <v>5830127057.0119944</v>
      </c>
    </row>
    <row r="41" spans="1:15" x14ac:dyDescent="0.25">
      <c r="A41" s="62">
        <v>46028</v>
      </c>
      <c r="B41">
        <v>1</v>
      </c>
      <c r="C41" t="s">
        <v>1161</v>
      </c>
      <c r="D41">
        <v>1044281</v>
      </c>
      <c r="E41" t="s">
        <v>1134</v>
      </c>
      <c r="F41" t="s">
        <v>1135</v>
      </c>
      <c r="G41" t="s">
        <v>1136</v>
      </c>
      <c r="H41" t="s">
        <v>1155</v>
      </c>
      <c r="I41" s="63">
        <v>45992</v>
      </c>
      <c r="J41" t="s">
        <v>30</v>
      </c>
      <c r="K41" t="s">
        <v>1142</v>
      </c>
      <c r="L41" s="64">
        <v>13506840.025</v>
      </c>
      <c r="N41" s="64">
        <v>13506840.025</v>
      </c>
      <c r="O41" s="64">
        <v>5843633897.036994</v>
      </c>
    </row>
    <row r="42" spans="1:15" x14ac:dyDescent="0.25">
      <c r="A42" s="58">
        <v>46028</v>
      </c>
      <c r="B42" s="59">
        <v>1</v>
      </c>
      <c r="C42" s="59" t="s">
        <v>1161</v>
      </c>
      <c r="D42" s="59">
        <v>1044461</v>
      </c>
      <c r="E42" s="59" t="s">
        <v>1134</v>
      </c>
      <c r="F42" s="59" t="s">
        <v>1135</v>
      </c>
      <c r="G42" s="59" t="s">
        <v>1136</v>
      </c>
      <c r="H42" s="59" t="s">
        <v>1140</v>
      </c>
      <c r="I42" s="60">
        <v>45992</v>
      </c>
      <c r="J42" s="59" t="s">
        <v>30</v>
      </c>
      <c r="K42" s="59" t="s">
        <v>1142</v>
      </c>
      <c r="L42" s="61">
        <v>1132595.2535221039</v>
      </c>
      <c r="M42" s="59"/>
      <c r="N42" s="61">
        <v>1132595.2535221039</v>
      </c>
      <c r="O42" s="61">
        <v>5844766492.2905159</v>
      </c>
    </row>
    <row r="43" spans="1:15" x14ac:dyDescent="0.25">
      <c r="A43" s="62">
        <v>46028</v>
      </c>
      <c r="B43">
        <v>1</v>
      </c>
      <c r="C43" t="s">
        <v>1161</v>
      </c>
      <c r="D43">
        <v>1044311</v>
      </c>
      <c r="E43" t="s">
        <v>1134</v>
      </c>
      <c r="F43" t="s">
        <v>1135</v>
      </c>
      <c r="G43" t="s">
        <v>1136</v>
      </c>
      <c r="H43" t="s">
        <v>1137</v>
      </c>
      <c r="I43" s="63">
        <v>45992</v>
      </c>
      <c r="J43" t="s">
        <v>30</v>
      </c>
      <c r="K43" t="s">
        <v>1142</v>
      </c>
      <c r="L43" s="64">
        <v>18141496.93</v>
      </c>
      <c r="N43" s="64">
        <v>18141496.93</v>
      </c>
      <c r="O43" s="64">
        <v>5862907989.2205162</v>
      </c>
    </row>
    <row r="44" spans="1:15" x14ac:dyDescent="0.25">
      <c r="A44" s="58">
        <v>46028</v>
      </c>
      <c r="B44" s="59">
        <v>1</v>
      </c>
      <c r="C44" s="59" t="s">
        <v>1161</v>
      </c>
      <c r="D44" s="59">
        <v>1044321</v>
      </c>
      <c r="E44" s="59" t="s">
        <v>1134</v>
      </c>
      <c r="F44" s="59" t="s">
        <v>1135</v>
      </c>
      <c r="G44" s="59" t="s">
        <v>1136</v>
      </c>
      <c r="H44" s="59" t="s">
        <v>1143</v>
      </c>
      <c r="I44" s="60">
        <v>45992</v>
      </c>
      <c r="J44" s="59" t="s">
        <v>30</v>
      </c>
      <c r="K44" s="59" t="s">
        <v>1142</v>
      </c>
      <c r="L44" s="61">
        <v>1588484.5</v>
      </c>
      <c r="M44" s="59"/>
      <c r="N44" s="61">
        <v>1588484.5</v>
      </c>
      <c r="O44" s="61">
        <v>5864496473.7205162</v>
      </c>
    </row>
    <row r="45" spans="1:15" x14ac:dyDescent="0.25">
      <c r="A45" s="62">
        <v>46028</v>
      </c>
      <c r="B45">
        <v>1</v>
      </c>
      <c r="C45" t="s">
        <v>1161</v>
      </c>
      <c r="D45">
        <v>1044351</v>
      </c>
      <c r="E45" t="s">
        <v>1134</v>
      </c>
      <c r="F45" t="s">
        <v>1135</v>
      </c>
      <c r="G45" t="s">
        <v>1136</v>
      </c>
      <c r="H45" t="s">
        <v>1157</v>
      </c>
      <c r="I45" s="63">
        <v>45992</v>
      </c>
      <c r="J45" t="s">
        <v>30</v>
      </c>
      <c r="K45" t="s">
        <v>1142</v>
      </c>
      <c r="L45" s="64">
        <v>1898343.3728</v>
      </c>
      <c r="N45" s="64">
        <v>1898343.3728</v>
      </c>
      <c r="O45" s="64">
        <v>5866394817.0933161</v>
      </c>
    </row>
    <row r="46" spans="1:15" x14ac:dyDescent="0.25">
      <c r="A46" s="58">
        <v>46028</v>
      </c>
      <c r="B46" s="59">
        <v>1</v>
      </c>
      <c r="C46" s="59" t="s">
        <v>1161</v>
      </c>
      <c r="D46" s="59">
        <v>1044361</v>
      </c>
      <c r="E46" s="59" t="s">
        <v>1134</v>
      </c>
      <c r="F46" s="59" t="s">
        <v>1135</v>
      </c>
      <c r="G46" s="59" t="s">
        <v>1136</v>
      </c>
      <c r="H46" s="59" t="s">
        <v>1158</v>
      </c>
      <c r="I46" s="60">
        <v>45992</v>
      </c>
      <c r="J46" s="59" t="s">
        <v>30</v>
      </c>
      <c r="K46" s="59" t="s">
        <v>1142</v>
      </c>
      <c r="L46" s="61">
        <v>4084624.7880000002</v>
      </c>
      <c r="M46" s="59"/>
      <c r="N46" s="61">
        <v>4084624.7880000002</v>
      </c>
      <c r="O46" s="61">
        <v>5870479441.8813162</v>
      </c>
    </row>
    <row r="47" spans="1:15" x14ac:dyDescent="0.25">
      <c r="A47" s="62">
        <v>46028</v>
      </c>
      <c r="B47">
        <v>1</v>
      </c>
      <c r="C47" t="s">
        <v>1161</v>
      </c>
      <c r="D47">
        <v>1044371</v>
      </c>
      <c r="E47" t="s">
        <v>1134</v>
      </c>
      <c r="F47" t="s">
        <v>1135</v>
      </c>
      <c r="G47" t="s">
        <v>1136</v>
      </c>
      <c r="H47" t="s">
        <v>1141</v>
      </c>
      <c r="I47" s="63">
        <v>45992</v>
      </c>
      <c r="J47" t="s">
        <v>30</v>
      </c>
      <c r="K47" t="s">
        <v>1142</v>
      </c>
      <c r="L47" s="64">
        <v>6030807.0480000004</v>
      </c>
      <c r="N47" s="64">
        <v>6030807.0480000004</v>
      </c>
      <c r="O47" s="64">
        <v>5876510248.9293175</v>
      </c>
    </row>
    <row r="48" spans="1:15" x14ac:dyDescent="0.25">
      <c r="A48" s="58">
        <v>46028</v>
      </c>
      <c r="B48" s="59">
        <v>1</v>
      </c>
      <c r="C48" s="59" t="s">
        <v>1161</v>
      </c>
      <c r="D48" s="59">
        <v>1044381</v>
      </c>
      <c r="E48" s="59" t="s">
        <v>1134</v>
      </c>
      <c r="F48" s="59" t="s">
        <v>1135</v>
      </c>
      <c r="G48" s="59" t="s">
        <v>1136</v>
      </c>
      <c r="H48" s="59" t="s">
        <v>1163</v>
      </c>
      <c r="I48" s="60">
        <v>45992</v>
      </c>
      <c r="J48" s="59" t="s">
        <v>30</v>
      </c>
      <c r="K48" s="59" t="s">
        <v>1142</v>
      </c>
      <c r="L48" s="61">
        <v>9219017.2749999985</v>
      </c>
      <c r="M48" s="59"/>
      <c r="N48" s="61">
        <v>9219017.2749999985</v>
      </c>
      <c r="O48" s="61">
        <v>5885729266.2043161</v>
      </c>
    </row>
    <row r="49" spans="1:15" x14ac:dyDescent="0.25">
      <c r="A49" s="62">
        <v>46028</v>
      </c>
      <c r="B49">
        <v>1</v>
      </c>
      <c r="C49" t="s">
        <v>1161</v>
      </c>
      <c r="D49">
        <v>1044391</v>
      </c>
      <c r="E49" t="s">
        <v>1134</v>
      </c>
      <c r="F49" t="s">
        <v>1135</v>
      </c>
      <c r="G49" t="s">
        <v>1136</v>
      </c>
      <c r="H49" t="s">
        <v>1164</v>
      </c>
      <c r="I49" s="63">
        <v>45992</v>
      </c>
      <c r="J49" t="s">
        <v>30</v>
      </c>
      <c r="K49" t="s">
        <v>1142</v>
      </c>
      <c r="L49" s="64">
        <v>2867325.75</v>
      </c>
      <c r="N49" s="64">
        <v>2867325.75</v>
      </c>
      <c r="O49" s="64">
        <v>5888596591.9543161</v>
      </c>
    </row>
    <row r="50" spans="1:15" x14ac:dyDescent="0.25">
      <c r="A50" s="58">
        <v>46028</v>
      </c>
      <c r="B50" s="59">
        <v>1</v>
      </c>
      <c r="C50" s="59" t="s">
        <v>1161</v>
      </c>
      <c r="D50" s="59">
        <v>1044401</v>
      </c>
      <c r="E50" s="59" t="s">
        <v>1134</v>
      </c>
      <c r="F50" s="59" t="s">
        <v>1135</v>
      </c>
      <c r="G50" s="59" t="s">
        <v>1136</v>
      </c>
      <c r="H50" s="59" t="s">
        <v>1159</v>
      </c>
      <c r="I50" s="60">
        <v>45992</v>
      </c>
      <c r="J50" s="59" t="s">
        <v>30</v>
      </c>
      <c r="K50" s="59" t="s">
        <v>1142</v>
      </c>
      <c r="L50" s="61">
        <v>10375008.880000001</v>
      </c>
      <c r="M50" s="59"/>
      <c r="N50" s="61">
        <v>10375008.880000001</v>
      </c>
      <c r="O50" s="61">
        <v>5898971600.8343163</v>
      </c>
    </row>
    <row r="51" spans="1:15" x14ac:dyDescent="0.25">
      <c r="A51" s="62">
        <v>46028</v>
      </c>
      <c r="B51">
        <v>1</v>
      </c>
      <c r="C51" t="s">
        <v>1161</v>
      </c>
      <c r="D51">
        <v>1044411</v>
      </c>
      <c r="E51" t="s">
        <v>1134</v>
      </c>
      <c r="F51" t="s">
        <v>1135</v>
      </c>
      <c r="G51" t="s">
        <v>1136</v>
      </c>
      <c r="H51" t="s">
        <v>1160</v>
      </c>
      <c r="I51" s="63">
        <v>45992</v>
      </c>
      <c r="J51" t="s">
        <v>30</v>
      </c>
      <c r="K51" t="s">
        <v>1142</v>
      </c>
      <c r="L51" s="64">
        <v>4018059.2</v>
      </c>
      <c r="N51" s="64">
        <v>4018059.2</v>
      </c>
      <c r="O51" s="64">
        <v>5902989660.0343161</v>
      </c>
    </row>
    <row r="52" spans="1:15" x14ac:dyDescent="0.25">
      <c r="A52" s="58">
        <v>46028</v>
      </c>
      <c r="B52" s="59">
        <v>1</v>
      </c>
      <c r="C52" s="59" t="s">
        <v>1161</v>
      </c>
      <c r="D52" s="59">
        <v>1044421</v>
      </c>
      <c r="E52" s="59" t="s">
        <v>1134</v>
      </c>
      <c r="F52" s="59" t="s">
        <v>1135</v>
      </c>
      <c r="G52" s="59" t="s">
        <v>1136</v>
      </c>
      <c r="H52" s="59" t="s">
        <v>1165</v>
      </c>
      <c r="I52" s="60">
        <v>45992</v>
      </c>
      <c r="J52" s="59" t="s">
        <v>30</v>
      </c>
      <c r="K52" s="59" t="s">
        <v>1142</v>
      </c>
      <c r="L52" s="61">
        <v>22448236.6981766</v>
      </c>
      <c r="M52" s="59"/>
      <c r="N52" s="61">
        <v>22448236.6981766</v>
      </c>
      <c r="O52" s="61">
        <v>5925437896.7324924</v>
      </c>
    </row>
    <row r="53" spans="1:15" x14ac:dyDescent="0.25">
      <c r="A53" s="62">
        <v>46029</v>
      </c>
      <c r="B53">
        <v>1</v>
      </c>
      <c r="C53" t="s">
        <v>1166</v>
      </c>
      <c r="D53">
        <v>2034411</v>
      </c>
      <c r="E53" t="s">
        <v>1167</v>
      </c>
      <c r="F53" t="s">
        <v>1168</v>
      </c>
      <c r="G53" t="s">
        <v>1136</v>
      </c>
      <c r="H53" t="s">
        <v>1160</v>
      </c>
      <c r="I53" s="63">
        <v>45992</v>
      </c>
      <c r="J53" t="s">
        <v>31</v>
      </c>
      <c r="K53" t="s">
        <v>1142</v>
      </c>
      <c r="M53" s="64">
        <v>11152431.199999999</v>
      </c>
      <c r="N53" s="64">
        <v>-11152431.199999999</v>
      </c>
      <c r="O53" s="64">
        <v>5930038478.7624922</v>
      </c>
    </row>
    <row r="54" spans="1:15" x14ac:dyDescent="0.25">
      <c r="A54" s="58">
        <v>46029</v>
      </c>
      <c r="B54" s="59">
        <v>1</v>
      </c>
      <c r="C54" s="59" t="s">
        <v>1166</v>
      </c>
      <c r="D54" s="59">
        <v>2034412</v>
      </c>
      <c r="E54" s="59" t="s">
        <v>1167</v>
      </c>
      <c r="F54" s="59" t="s">
        <v>1168</v>
      </c>
      <c r="G54" s="59" t="s">
        <v>1136</v>
      </c>
      <c r="H54" s="59" t="s">
        <v>1160</v>
      </c>
      <c r="I54" s="60">
        <v>45992</v>
      </c>
      <c r="J54" s="59" t="s">
        <v>32</v>
      </c>
      <c r="K54" s="59" t="s">
        <v>1138</v>
      </c>
      <c r="L54" s="59"/>
      <c r="M54" s="61">
        <v>6277745.5618000012</v>
      </c>
      <c r="N54" s="61">
        <v>-6277745.5618000012</v>
      </c>
      <c r="O54" s="61">
        <v>5923760733.2006922</v>
      </c>
    </row>
    <row r="55" spans="1:15" x14ac:dyDescent="0.25">
      <c r="A55" s="62">
        <v>46029</v>
      </c>
      <c r="B55">
        <v>1</v>
      </c>
      <c r="C55" t="s">
        <v>1166</v>
      </c>
      <c r="D55">
        <v>2034413</v>
      </c>
      <c r="E55" t="s">
        <v>1167</v>
      </c>
      <c r="F55" t="s">
        <v>1168</v>
      </c>
      <c r="G55" t="s">
        <v>1136</v>
      </c>
      <c r="H55" t="s">
        <v>1160</v>
      </c>
      <c r="I55" s="63">
        <v>45992</v>
      </c>
      <c r="J55" t="s">
        <v>33</v>
      </c>
      <c r="K55" t="s">
        <v>1146</v>
      </c>
      <c r="M55" s="64">
        <v>7340686.8700000001</v>
      </c>
      <c r="N55" s="64">
        <v>-7340686.8700000001</v>
      </c>
      <c r="O55" s="64">
        <v>5916420046.3306923</v>
      </c>
    </row>
    <row r="56" spans="1:15" x14ac:dyDescent="0.25">
      <c r="A56" s="58">
        <v>46029</v>
      </c>
      <c r="B56" s="59">
        <v>1</v>
      </c>
      <c r="C56" s="59" t="s">
        <v>1166</v>
      </c>
      <c r="D56" s="59">
        <v>2034414</v>
      </c>
      <c r="E56" s="59" t="s">
        <v>1167</v>
      </c>
      <c r="F56" s="59" t="s">
        <v>1168</v>
      </c>
      <c r="G56" s="59" t="s">
        <v>1136</v>
      </c>
      <c r="H56" s="59" t="s">
        <v>1160</v>
      </c>
      <c r="I56" s="60">
        <v>45992</v>
      </c>
      <c r="J56" s="59" t="s">
        <v>34</v>
      </c>
      <c r="K56" s="59" t="s">
        <v>1148</v>
      </c>
      <c r="L56" s="59"/>
      <c r="M56" s="61">
        <v>19110528.800000001</v>
      </c>
      <c r="N56" s="61">
        <v>-19110528.800000001</v>
      </c>
      <c r="O56" s="61">
        <v>5897309517.5306921</v>
      </c>
    </row>
    <row r="57" spans="1:15" x14ac:dyDescent="0.25">
      <c r="A57" s="62">
        <v>46029</v>
      </c>
      <c r="B57">
        <v>1</v>
      </c>
      <c r="C57" t="s">
        <v>1166</v>
      </c>
      <c r="D57">
        <v>2054324</v>
      </c>
      <c r="E57" t="s">
        <v>1167</v>
      </c>
      <c r="F57" t="s">
        <v>1169</v>
      </c>
      <c r="G57" t="s">
        <v>1136</v>
      </c>
      <c r="H57" t="s">
        <v>1143</v>
      </c>
      <c r="I57" s="63">
        <v>45992</v>
      </c>
      <c r="J57" t="s">
        <v>35</v>
      </c>
      <c r="K57" t="s">
        <v>1148</v>
      </c>
      <c r="M57" s="64">
        <v>39383120</v>
      </c>
      <c r="N57" s="64">
        <v>-39383120</v>
      </c>
      <c r="O57" s="64">
        <v>5857926397.5306921</v>
      </c>
    </row>
    <row r="58" spans="1:15" x14ac:dyDescent="0.25">
      <c r="A58" s="58">
        <v>46029</v>
      </c>
      <c r="B58" s="59">
        <v>1</v>
      </c>
      <c r="C58" s="59" t="s">
        <v>1166</v>
      </c>
      <c r="D58" s="59">
        <v>2054326</v>
      </c>
      <c r="E58" s="59" t="s">
        <v>1167</v>
      </c>
      <c r="F58" s="59" t="s">
        <v>1169</v>
      </c>
      <c r="G58" s="59" t="s">
        <v>1136</v>
      </c>
      <c r="H58" s="59" t="s">
        <v>1143</v>
      </c>
      <c r="I58" s="60">
        <v>45992</v>
      </c>
      <c r="J58" s="59" t="s">
        <v>35</v>
      </c>
      <c r="K58" s="59" t="s">
        <v>1150</v>
      </c>
      <c r="L58" s="59"/>
      <c r="M58" s="61">
        <v>184787.43</v>
      </c>
      <c r="N58" s="61">
        <v>-184787.43</v>
      </c>
      <c r="O58" s="61">
        <v>5857741610.1006918</v>
      </c>
    </row>
    <row r="59" spans="1:15" x14ac:dyDescent="0.25">
      <c r="A59" s="62">
        <v>46029</v>
      </c>
      <c r="B59">
        <v>1</v>
      </c>
      <c r="C59" t="s">
        <v>1166</v>
      </c>
      <c r="D59">
        <v>2054197</v>
      </c>
      <c r="E59" t="s">
        <v>1167</v>
      </c>
      <c r="F59" t="s">
        <v>1169</v>
      </c>
      <c r="G59" t="s">
        <v>1136</v>
      </c>
      <c r="H59" t="s">
        <v>1149</v>
      </c>
      <c r="I59" s="63">
        <v>45992</v>
      </c>
      <c r="J59" t="s">
        <v>36</v>
      </c>
      <c r="K59" t="s">
        <v>1170</v>
      </c>
      <c r="M59" s="64">
        <v>581760</v>
      </c>
      <c r="N59" s="64">
        <v>-581760</v>
      </c>
      <c r="O59" s="64">
        <v>5857159850.1006918</v>
      </c>
    </row>
    <row r="60" spans="1:15" x14ac:dyDescent="0.25">
      <c r="A60" s="58">
        <v>46029</v>
      </c>
      <c r="B60" s="59">
        <v>1</v>
      </c>
      <c r="C60" s="59" t="s">
        <v>1166</v>
      </c>
      <c r="D60" s="59">
        <v>1044161</v>
      </c>
      <c r="E60" s="59" t="s">
        <v>1134</v>
      </c>
      <c r="F60" s="59" t="s">
        <v>1135</v>
      </c>
      <c r="G60" s="59" t="s">
        <v>1136</v>
      </c>
      <c r="H60" s="59" t="s">
        <v>1162</v>
      </c>
      <c r="I60" s="60">
        <v>45992</v>
      </c>
      <c r="J60" s="59" t="s">
        <v>37</v>
      </c>
      <c r="K60" s="59" t="s">
        <v>1142</v>
      </c>
      <c r="L60" s="61">
        <v>14270481.140000001</v>
      </c>
      <c r="M60" s="59"/>
      <c r="N60" s="61">
        <v>14270481.140000001</v>
      </c>
      <c r="O60" s="61">
        <v>5937301445.6906919</v>
      </c>
    </row>
    <row r="61" spans="1:15" x14ac:dyDescent="0.25">
      <c r="A61" s="62">
        <v>46029</v>
      </c>
      <c r="B61">
        <v>1</v>
      </c>
      <c r="C61" t="s">
        <v>1166</v>
      </c>
      <c r="D61">
        <v>1044171</v>
      </c>
      <c r="E61" t="s">
        <v>1134</v>
      </c>
      <c r="F61" t="s">
        <v>1135</v>
      </c>
      <c r="G61" t="s">
        <v>1136</v>
      </c>
      <c r="H61" t="s">
        <v>1147</v>
      </c>
      <c r="I61" s="63">
        <v>45992</v>
      </c>
      <c r="J61" t="s">
        <v>37</v>
      </c>
      <c r="K61" t="s">
        <v>1142</v>
      </c>
      <c r="L61" s="64">
        <v>5082350.6174999997</v>
      </c>
      <c r="N61" s="64">
        <v>5082350.6174999997</v>
      </c>
      <c r="O61" s="64">
        <v>5942383796.3081923</v>
      </c>
    </row>
    <row r="62" spans="1:15" x14ac:dyDescent="0.25">
      <c r="A62" s="58">
        <v>46029</v>
      </c>
      <c r="B62" s="59">
        <v>1</v>
      </c>
      <c r="C62" s="59" t="s">
        <v>1166</v>
      </c>
      <c r="D62" s="59">
        <v>1044201</v>
      </c>
      <c r="E62" s="59" t="s">
        <v>1134</v>
      </c>
      <c r="F62" s="59" t="s">
        <v>1135</v>
      </c>
      <c r="G62" s="59" t="s">
        <v>1136</v>
      </c>
      <c r="H62" s="59" t="s">
        <v>1139</v>
      </c>
      <c r="I62" s="60">
        <v>45992</v>
      </c>
      <c r="J62" s="59" t="s">
        <v>37</v>
      </c>
      <c r="K62" s="59" t="s">
        <v>1142</v>
      </c>
      <c r="L62" s="61">
        <v>3161177.32</v>
      </c>
      <c r="M62" s="59"/>
      <c r="N62" s="61">
        <v>3161177.32</v>
      </c>
      <c r="O62" s="61">
        <v>5945544973.6281919</v>
      </c>
    </row>
    <row r="63" spans="1:15" x14ac:dyDescent="0.25">
      <c r="A63" s="62">
        <v>46029</v>
      </c>
      <c r="B63">
        <v>1</v>
      </c>
      <c r="C63" t="s">
        <v>1166</v>
      </c>
      <c r="D63">
        <v>1044211</v>
      </c>
      <c r="E63" t="s">
        <v>1134</v>
      </c>
      <c r="F63" t="s">
        <v>1135</v>
      </c>
      <c r="G63" t="s">
        <v>1136</v>
      </c>
      <c r="H63" t="s">
        <v>1151</v>
      </c>
      <c r="I63" s="63">
        <v>45992</v>
      </c>
      <c r="J63" t="s">
        <v>37</v>
      </c>
      <c r="K63" t="s">
        <v>1142</v>
      </c>
      <c r="L63" s="64">
        <v>1376685.5</v>
      </c>
      <c r="N63" s="64">
        <v>1376685.5</v>
      </c>
      <c r="O63" s="64">
        <v>5946921659.1281919</v>
      </c>
    </row>
    <row r="64" spans="1:15" x14ac:dyDescent="0.25">
      <c r="A64" s="58">
        <v>46029</v>
      </c>
      <c r="B64" s="59">
        <v>1</v>
      </c>
      <c r="C64" s="59" t="s">
        <v>1166</v>
      </c>
      <c r="D64" s="59">
        <v>1044241</v>
      </c>
      <c r="E64" s="59" t="s">
        <v>1134</v>
      </c>
      <c r="F64" s="59" t="s">
        <v>1135</v>
      </c>
      <c r="G64" s="59" t="s">
        <v>1136</v>
      </c>
      <c r="H64" s="59" t="s">
        <v>1153</v>
      </c>
      <c r="I64" s="60">
        <v>45992</v>
      </c>
      <c r="J64" s="59" t="s">
        <v>37</v>
      </c>
      <c r="K64" s="59" t="s">
        <v>1142</v>
      </c>
      <c r="L64" s="61">
        <v>2609353.7599999998</v>
      </c>
      <c r="M64" s="59"/>
      <c r="N64" s="61">
        <v>2609353.7599999998</v>
      </c>
      <c r="O64" s="61">
        <v>5949531012.8881922</v>
      </c>
    </row>
    <row r="65" spans="1:15" x14ac:dyDescent="0.25">
      <c r="A65" s="62">
        <v>46029</v>
      </c>
      <c r="B65">
        <v>1</v>
      </c>
      <c r="C65" t="s">
        <v>1166</v>
      </c>
      <c r="D65">
        <v>1044261</v>
      </c>
      <c r="E65" t="s">
        <v>1134</v>
      </c>
      <c r="F65" t="s">
        <v>1135</v>
      </c>
      <c r="G65" t="s">
        <v>1136</v>
      </c>
      <c r="H65" t="s">
        <v>1145</v>
      </c>
      <c r="I65" s="63">
        <v>45992</v>
      </c>
      <c r="J65" t="s">
        <v>37</v>
      </c>
      <c r="K65" t="s">
        <v>1142</v>
      </c>
      <c r="L65" s="64">
        <v>1791793.75</v>
      </c>
      <c r="N65" s="64">
        <v>1791793.75</v>
      </c>
      <c r="O65" s="64">
        <v>5951322806.6381922</v>
      </c>
    </row>
    <row r="66" spans="1:15" x14ac:dyDescent="0.25">
      <c r="A66" s="58">
        <v>46029</v>
      </c>
      <c r="B66" s="59">
        <v>1</v>
      </c>
      <c r="C66" s="59" t="s">
        <v>1166</v>
      </c>
      <c r="D66" s="59">
        <v>1044271</v>
      </c>
      <c r="E66" s="59" t="s">
        <v>1134</v>
      </c>
      <c r="F66" s="59" t="s">
        <v>1135</v>
      </c>
      <c r="G66" s="59" t="s">
        <v>1136</v>
      </c>
      <c r="H66" s="59" t="s">
        <v>1154</v>
      </c>
      <c r="I66" s="60">
        <v>45992</v>
      </c>
      <c r="J66" s="59" t="s">
        <v>37</v>
      </c>
      <c r="K66" s="59" t="s">
        <v>1142</v>
      </c>
      <c r="L66" s="61">
        <v>3548200.76</v>
      </c>
      <c r="M66" s="59"/>
      <c r="N66" s="61">
        <v>3548200.76</v>
      </c>
      <c r="O66" s="61">
        <v>5954871007.3981924</v>
      </c>
    </row>
    <row r="67" spans="1:15" x14ac:dyDescent="0.25">
      <c r="A67" s="62">
        <v>46029</v>
      </c>
      <c r="B67">
        <v>1</v>
      </c>
      <c r="C67" t="s">
        <v>1166</v>
      </c>
      <c r="D67">
        <v>1044281</v>
      </c>
      <c r="E67" t="s">
        <v>1134</v>
      </c>
      <c r="F67" t="s">
        <v>1135</v>
      </c>
      <c r="G67" t="s">
        <v>1136</v>
      </c>
      <c r="H67" t="s">
        <v>1155</v>
      </c>
      <c r="I67" s="63">
        <v>45992</v>
      </c>
      <c r="J67" t="s">
        <v>37</v>
      </c>
      <c r="K67" t="s">
        <v>1142</v>
      </c>
      <c r="L67" s="64">
        <v>13506840.025</v>
      </c>
      <c r="N67" s="64">
        <v>13506840.025</v>
      </c>
      <c r="O67" s="64">
        <v>5968377847.423192</v>
      </c>
    </row>
    <row r="68" spans="1:15" x14ac:dyDescent="0.25">
      <c r="A68" s="58">
        <v>46029</v>
      </c>
      <c r="B68" s="59">
        <v>1</v>
      </c>
      <c r="C68" s="59" t="s">
        <v>1166</v>
      </c>
      <c r="D68" s="59">
        <v>1044461</v>
      </c>
      <c r="E68" s="59" t="s">
        <v>1134</v>
      </c>
      <c r="F68" s="59" t="s">
        <v>1135</v>
      </c>
      <c r="G68" s="59" t="s">
        <v>1136</v>
      </c>
      <c r="H68" s="59" t="s">
        <v>1140</v>
      </c>
      <c r="I68" s="60">
        <v>45992</v>
      </c>
      <c r="J68" s="59" t="s">
        <v>37</v>
      </c>
      <c r="K68" s="59" t="s">
        <v>1142</v>
      </c>
      <c r="L68" s="61">
        <v>1132595.2535221039</v>
      </c>
      <c r="M68" s="59"/>
      <c r="N68" s="61">
        <v>1132595.2535221039</v>
      </c>
      <c r="O68" s="61">
        <v>5969510442.6767139</v>
      </c>
    </row>
    <row r="69" spans="1:15" x14ac:dyDescent="0.25">
      <c r="A69" s="62">
        <v>46029</v>
      </c>
      <c r="B69">
        <v>1</v>
      </c>
      <c r="C69" t="s">
        <v>1166</v>
      </c>
      <c r="D69">
        <v>1044311</v>
      </c>
      <c r="E69" t="s">
        <v>1134</v>
      </c>
      <c r="F69" t="s">
        <v>1135</v>
      </c>
      <c r="G69" t="s">
        <v>1136</v>
      </c>
      <c r="H69" t="s">
        <v>1137</v>
      </c>
      <c r="I69" s="63">
        <v>45992</v>
      </c>
      <c r="J69" t="s">
        <v>37</v>
      </c>
      <c r="K69" t="s">
        <v>1142</v>
      </c>
      <c r="L69" s="64">
        <v>18141496.93</v>
      </c>
      <c r="N69" s="64">
        <v>18141496.93</v>
      </c>
      <c r="O69" s="64">
        <v>5987651939.6067142</v>
      </c>
    </row>
    <row r="70" spans="1:15" x14ac:dyDescent="0.25">
      <c r="A70" s="58">
        <v>46029</v>
      </c>
      <c r="B70" s="59">
        <v>1</v>
      </c>
      <c r="C70" s="59" t="s">
        <v>1166</v>
      </c>
      <c r="D70" s="59">
        <v>1044321</v>
      </c>
      <c r="E70" s="59" t="s">
        <v>1134</v>
      </c>
      <c r="F70" s="59" t="s">
        <v>1135</v>
      </c>
      <c r="G70" s="59" t="s">
        <v>1136</v>
      </c>
      <c r="H70" s="59" t="s">
        <v>1143</v>
      </c>
      <c r="I70" s="60">
        <v>45992</v>
      </c>
      <c r="J70" s="59" t="s">
        <v>37</v>
      </c>
      <c r="K70" s="59" t="s">
        <v>1142</v>
      </c>
      <c r="L70" s="61">
        <v>1588484.5</v>
      </c>
      <c r="M70" s="59"/>
      <c r="N70" s="61">
        <v>1588484.5</v>
      </c>
      <c r="O70" s="61">
        <v>5989240424.1067142</v>
      </c>
    </row>
    <row r="71" spans="1:15" x14ac:dyDescent="0.25">
      <c r="A71" s="62">
        <v>46029</v>
      </c>
      <c r="B71">
        <v>1</v>
      </c>
      <c r="C71" t="s">
        <v>1166</v>
      </c>
      <c r="D71">
        <v>1044351</v>
      </c>
      <c r="E71" t="s">
        <v>1134</v>
      </c>
      <c r="F71" t="s">
        <v>1135</v>
      </c>
      <c r="G71" t="s">
        <v>1136</v>
      </c>
      <c r="H71" t="s">
        <v>1157</v>
      </c>
      <c r="I71" s="63">
        <v>45992</v>
      </c>
      <c r="J71" t="s">
        <v>37</v>
      </c>
      <c r="K71" t="s">
        <v>1142</v>
      </c>
      <c r="L71" s="64">
        <v>1898343.3728</v>
      </c>
      <c r="N71" s="64">
        <v>1898343.3728</v>
      </c>
      <c r="O71" s="64">
        <v>5991138767.4795141</v>
      </c>
    </row>
    <row r="72" spans="1:15" x14ac:dyDescent="0.25">
      <c r="A72" s="58">
        <v>46029</v>
      </c>
      <c r="B72" s="59">
        <v>1</v>
      </c>
      <c r="C72" s="59" t="s">
        <v>1166</v>
      </c>
      <c r="D72" s="59">
        <v>1044361</v>
      </c>
      <c r="E72" s="59" t="s">
        <v>1134</v>
      </c>
      <c r="F72" s="59" t="s">
        <v>1135</v>
      </c>
      <c r="G72" s="59" t="s">
        <v>1136</v>
      </c>
      <c r="H72" s="59" t="s">
        <v>1158</v>
      </c>
      <c r="I72" s="60">
        <v>45992</v>
      </c>
      <c r="J72" s="59" t="s">
        <v>37</v>
      </c>
      <c r="K72" s="59" t="s">
        <v>1142</v>
      </c>
      <c r="L72" s="61">
        <v>4084624.7880000002</v>
      </c>
      <c r="M72" s="59"/>
      <c r="N72" s="61">
        <v>4084624.7880000002</v>
      </c>
      <c r="O72" s="61">
        <v>5995223392.2675142</v>
      </c>
    </row>
    <row r="73" spans="1:15" x14ac:dyDescent="0.25">
      <c r="A73" s="62">
        <v>46029</v>
      </c>
      <c r="B73">
        <v>1</v>
      </c>
      <c r="C73" t="s">
        <v>1166</v>
      </c>
      <c r="D73">
        <v>1044371</v>
      </c>
      <c r="E73" t="s">
        <v>1134</v>
      </c>
      <c r="F73" t="s">
        <v>1135</v>
      </c>
      <c r="G73" t="s">
        <v>1136</v>
      </c>
      <c r="H73" t="s">
        <v>1141</v>
      </c>
      <c r="I73" s="63">
        <v>45992</v>
      </c>
      <c r="J73" t="s">
        <v>37</v>
      </c>
      <c r="K73" t="s">
        <v>1142</v>
      </c>
      <c r="L73" s="64">
        <v>6030807.0480000004</v>
      </c>
      <c r="N73" s="64">
        <v>6030807.0480000004</v>
      </c>
      <c r="O73" s="64">
        <v>6001254199.3155146</v>
      </c>
    </row>
    <row r="74" spans="1:15" x14ac:dyDescent="0.25">
      <c r="A74" s="58">
        <v>46029</v>
      </c>
      <c r="B74" s="59">
        <v>1</v>
      </c>
      <c r="C74" s="59" t="s">
        <v>1166</v>
      </c>
      <c r="D74" s="59">
        <v>1044381</v>
      </c>
      <c r="E74" s="59" t="s">
        <v>1134</v>
      </c>
      <c r="F74" s="59" t="s">
        <v>1135</v>
      </c>
      <c r="G74" s="59" t="s">
        <v>1136</v>
      </c>
      <c r="H74" s="59" t="s">
        <v>1163</v>
      </c>
      <c r="I74" s="60">
        <v>45992</v>
      </c>
      <c r="J74" s="59" t="s">
        <v>37</v>
      </c>
      <c r="K74" s="59" t="s">
        <v>1142</v>
      </c>
      <c r="L74" s="61">
        <v>9219017.2749999985</v>
      </c>
      <c r="M74" s="59"/>
      <c r="N74" s="61">
        <v>9219017.2749999985</v>
      </c>
      <c r="O74" s="61">
        <v>6010473216.5905142</v>
      </c>
    </row>
    <row r="75" spans="1:15" x14ac:dyDescent="0.25">
      <c r="A75" s="62">
        <v>46029</v>
      </c>
      <c r="B75">
        <v>1</v>
      </c>
      <c r="C75" t="s">
        <v>1166</v>
      </c>
      <c r="D75">
        <v>1044391</v>
      </c>
      <c r="E75" t="s">
        <v>1134</v>
      </c>
      <c r="F75" t="s">
        <v>1135</v>
      </c>
      <c r="G75" t="s">
        <v>1136</v>
      </c>
      <c r="H75" t="s">
        <v>1164</v>
      </c>
      <c r="I75" s="63">
        <v>45992</v>
      </c>
      <c r="J75" t="s">
        <v>37</v>
      </c>
      <c r="K75" t="s">
        <v>1142</v>
      </c>
      <c r="L75" s="64">
        <v>2867325.75</v>
      </c>
      <c r="N75" s="64">
        <v>2867325.75</v>
      </c>
      <c r="O75" s="64">
        <v>6013340542.3405142</v>
      </c>
    </row>
    <row r="76" spans="1:15" x14ac:dyDescent="0.25">
      <c r="A76" s="58">
        <v>46029</v>
      </c>
      <c r="B76" s="59">
        <v>1</v>
      </c>
      <c r="C76" s="59" t="s">
        <v>1166</v>
      </c>
      <c r="D76" s="59">
        <v>1044401</v>
      </c>
      <c r="E76" s="59" t="s">
        <v>1134</v>
      </c>
      <c r="F76" s="59" t="s">
        <v>1135</v>
      </c>
      <c r="G76" s="59" t="s">
        <v>1136</v>
      </c>
      <c r="H76" s="59" t="s">
        <v>1159</v>
      </c>
      <c r="I76" s="60">
        <v>45992</v>
      </c>
      <c r="J76" s="59" t="s">
        <v>37</v>
      </c>
      <c r="K76" s="59" t="s">
        <v>1142</v>
      </c>
      <c r="L76" s="61">
        <v>10375008.880000001</v>
      </c>
      <c r="M76" s="59"/>
      <c r="N76" s="61">
        <v>10375008.880000001</v>
      </c>
      <c r="O76" s="61">
        <v>6023715551.2205143</v>
      </c>
    </row>
    <row r="77" spans="1:15" x14ac:dyDescent="0.25">
      <c r="A77" s="62">
        <v>46029</v>
      </c>
      <c r="B77">
        <v>1</v>
      </c>
      <c r="C77" t="s">
        <v>1166</v>
      </c>
      <c r="D77">
        <v>1044411</v>
      </c>
      <c r="E77" t="s">
        <v>1134</v>
      </c>
      <c r="F77" t="s">
        <v>1135</v>
      </c>
      <c r="G77" t="s">
        <v>1136</v>
      </c>
      <c r="H77" t="s">
        <v>1160</v>
      </c>
      <c r="I77" s="63">
        <v>45992</v>
      </c>
      <c r="J77" t="s">
        <v>37</v>
      </c>
      <c r="K77" t="s">
        <v>1142</v>
      </c>
      <c r="L77" s="64">
        <v>4018059.2</v>
      </c>
      <c r="N77" s="64">
        <v>4018059.2</v>
      </c>
      <c r="O77" s="64">
        <v>6027733610.4205141</v>
      </c>
    </row>
    <row r="78" spans="1:15" x14ac:dyDescent="0.25">
      <c r="A78" s="58">
        <v>46029</v>
      </c>
      <c r="B78" s="59">
        <v>1</v>
      </c>
      <c r="C78" s="59" t="s">
        <v>1166</v>
      </c>
      <c r="D78" s="59">
        <v>1044421</v>
      </c>
      <c r="E78" s="59" t="s">
        <v>1134</v>
      </c>
      <c r="F78" s="59" t="s">
        <v>1135</v>
      </c>
      <c r="G78" s="59" t="s">
        <v>1136</v>
      </c>
      <c r="H78" s="59" t="s">
        <v>1165</v>
      </c>
      <c r="I78" s="60">
        <v>45992</v>
      </c>
      <c r="J78" s="59" t="s">
        <v>37</v>
      </c>
      <c r="K78" s="59" t="s">
        <v>1142</v>
      </c>
      <c r="L78" s="61">
        <v>22448236.6981766</v>
      </c>
      <c r="M78" s="59"/>
      <c r="N78" s="61">
        <v>22448236.6981766</v>
      </c>
      <c r="O78" s="61">
        <v>6050181847.1186895</v>
      </c>
    </row>
    <row r="79" spans="1:15" x14ac:dyDescent="0.25">
      <c r="A79" s="62">
        <v>46030</v>
      </c>
      <c r="B79">
        <v>1</v>
      </c>
      <c r="C79" t="s">
        <v>1171</v>
      </c>
      <c r="D79">
        <v>2054322</v>
      </c>
      <c r="E79" t="s">
        <v>1167</v>
      </c>
      <c r="F79" t="s">
        <v>1169</v>
      </c>
      <c r="G79" t="s">
        <v>1136</v>
      </c>
      <c r="H79" t="s">
        <v>1143</v>
      </c>
      <c r="I79" s="63">
        <v>45992</v>
      </c>
      <c r="J79" t="s">
        <v>39</v>
      </c>
      <c r="K79" t="s">
        <v>1138</v>
      </c>
      <c r="M79" s="64">
        <v>15565500</v>
      </c>
      <c r="N79" s="64">
        <v>-15565500</v>
      </c>
      <c r="O79" s="64">
        <v>6255660863.1641922</v>
      </c>
    </row>
    <row r="80" spans="1:15" x14ac:dyDescent="0.25">
      <c r="A80" s="58">
        <v>46030</v>
      </c>
      <c r="B80" s="59">
        <v>1</v>
      </c>
      <c r="C80" s="59" t="s">
        <v>1171</v>
      </c>
      <c r="D80" s="59">
        <v>2054325</v>
      </c>
      <c r="E80" s="59" t="s">
        <v>1167</v>
      </c>
      <c r="F80" s="59" t="s">
        <v>1169</v>
      </c>
      <c r="G80" s="59" t="s">
        <v>1136</v>
      </c>
      <c r="H80" s="59" t="s">
        <v>1143</v>
      </c>
      <c r="I80" s="60">
        <v>45992</v>
      </c>
      <c r="J80" s="59" t="s">
        <v>40</v>
      </c>
      <c r="K80" s="59" t="s">
        <v>1172</v>
      </c>
      <c r="L80" s="59"/>
      <c r="M80" s="61">
        <v>590044.4</v>
      </c>
      <c r="N80" s="61">
        <v>-590044.4</v>
      </c>
      <c r="O80" s="61">
        <v>6255070818.7641926</v>
      </c>
    </row>
    <row r="81" spans="1:15" x14ac:dyDescent="0.25">
      <c r="A81" s="62">
        <v>46030</v>
      </c>
      <c r="B81">
        <v>1</v>
      </c>
      <c r="C81" t="s">
        <v>1171</v>
      </c>
      <c r="D81">
        <v>2044495</v>
      </c>
      <c r="E81" t="s">
        <v>1167</v>
      </c>
      <c r="F81" t="s">
        <v>1135</v>
      </c>
      <c r="G81" t="s">
        <v>1136</v>
      </c>
      <c r="H81" t="s">
        <v>1173</v>
      </c>
      <c r="I81" s="63">
        <v>45992</v>
      </c>
      <c r="J81" t="s">
        <v>41</v>
      </c>
      <c r="K81" t="s">
        <v>1172</v>
      </c>
      <c r="M81" s="64">
        <v>977588.04</v>
      </c>
      <c r="N81" s="64">
        <v>-977588.04</v>
      </c>
      <c r="O81" s="64">
        <v>6254093230.7241926</v>
      </c>
    </row>
    <row r="82" spans="1:15" x14ac:dyDescent="0.25">
      <c r="A82" s="58">
        <v>46030</v>
      </c>
      <c r="B82" s="59">
        <v>1</v>
      </c>
      <c r="C82" s="59" t="s">
        <v>1171</v>
      </c>
      <c r="D82" s="59">
        <v>2014425</v>
      </c>
      <c r="E82" s="59" t="s">
        <v>1167</v>
      </c>
      <c r="F82" s="59" t="s">
        <v>1174</v>
      </c>
      <c r="G82" s="59" t="s">
        <v>1136</v>
      </c>
      <c r="H82" s="59" t="s">
        <v>1165</v>
      </c>
      <c r="I82" s="60">
        <v>45992</v>
      </c>
      <c r="J82" s="59" t="s">
        <v>42</v>
      </c>
      <c r="K82" s="59" t="s">
        <v>1172</v>
      </c>
      <c r="L82" s="59"/>
      <c r="M82" s="61">
        <v>2441517.9656000002</v>
      </c>
      <c r="N82" s="61">
        <v>-2441517.9656000002</v>
      </c>
      <c r="O82" s="61">
        <v>6251651712.7585926</v>
      </c>
    </row>
    <row r="83" spans="1:15" x14ac:dyDescent="0.25">
      <c r="A83" s="62">
        <v>46030</v>
      </c>
      <c r="B83">
        <v>1</v>
      </c>
      <c r="C83" t="s">
        <v>1171</v>
      </c>
      <c r="D83">
        <v>2034243</v>
      </c>
      <c r="E83" t="s">
        <v>1167</v>
      </c>
      <c r="F83" t="s">
        <v>1168</v>
      </c>
      <c r="G83" t="s">
        <v>1136</v>
      </c>
      <c r="H83" t="s">
        <v>1153</v>
      </c>
      <c r="I83" s="63">
        <v>45992</v>
      </c>
      <c r="J83" t="s">
        <v>43</v>
      </c>
      <c r="K83" t="s">
        <v>1146</v>
      </c>
      <c r="M83" s="64">
        <v>16339685.85</v>
      </c>
      <c r="N83" s="64">
        <v>-16339685.85</v>
      </c>
      <c r="O83" s="64">
        <v>6235312026.9085922</v>
      </c>
    </row>
    <row r="84" spans="1:15" x14ac:dyDescent="0.25">
      <c r="A84" s="58">
        <v>46030</v>
      </c>
      <c r="B84" s="59">
        <v>1</v>
      </c>
      <c r="C84" s="59" t="s">
        <v>1171</v>
      </c>
      <c r="D84" s="59">
        <v>2034244</v>
      </c>
      <c r="E84" s="59" t="s">
        <v>1167</v>
      </c>
      <c r="F84" s="59" t="s">
        <v>1168</v>
      </c>
      <c r="G84" s="59" t="s">
        <v>1136</v>
      </c>
      <c r="H84" s="59" t="s">
        <v>1153</v>
      </c>
      <c r="I84" s="60">
        <v>45992</v>
      </c>
      <c r="J84" s="59" t="s">
        <v>44</v>
      </c>
      <c r="K84" s="59" t="s">
        <v>1148</v>
      </c>
      <c r="L84" s="59"/>
      <c r="M84" s="61">
        <v>6624841.0800000001</v>
      </c>
      <c r="N84" s="61">
        <v>-6624841.0800000001</v>
      </c>
      <c r="O84" s="61">
        <v>6228687185.8285923</v>
      </c>
    </row>
    <row r="85" spans="1:15" x14ac:dyDescent="0.25">
      <c r="A85" s="62">
        <v>46030</v>
      </c>
      <c r="B85">
        <v>1</v>
      </c>
      <c r="C85" t="s">
        <v>1171</v>
      </c>
      <c r="D85">
        <v>2054372</v>
      </c>
      <c r="E85" t="s">
        <v>1167</v>
      </c>
      <c r="F85" t="s">
        <v>1169</v>
      </c>
      <c r="G85" t="s">
        <v>1136</v>
      </c>
      <c r="H85" t="s">
        <v>1141</v>
      </c>
      <c r="I85" s="63">
        <v>45992</v>
      </c>
      <c r="J85" t="s">
        <v>45</v>
      </c>
      <c r="K85" t="s">
        <v>1138</v>
      </c>
      <c r="M85" s="64">
        <v>37194759.052239999</v>
      </c>
      <c r="N85" s="64">
        <v>-37194759.052239999</v>
      </c>
      <c r="O85" s="64">
        <v>6191492426.7763519</v>
      </c>
    </row>
    <row r="86" spans="1:15" x14ac:dyDescent="0.25">
      <c r="A86" s="58">
        <v>46030</v>
      </c>
      <c r="B86" s="59">
        <v>1</v>
      </c>
      <c r="C86" s="59" t="s">
        <v>1171</v>
      </c>
      <c r="D86" s="59">
        <v>2054374</v>
      </c>
      <c r="E86" s="59" t="s">
        <v>1167</v>
      </c>
      <c r="F86" s="59" t="s">
        <v>1169</v>
      </c>
      <c r="G86" s="59" t="s">
        <v>1136</v>
      </c>
      <c r="H86" s="59" t="s">
        <v>1141</v>
      </c>
      <c r="I86" s="60">
        <v>45992</v>
      </c>
      <c r="J86" s="59" t="s">
        <v>46</v>
      </c>
      <c r="K86" s="59" t="s">
        <v>1148</v>
      </c>
      <c r="L86" s="59"/>
      <c r="M86" s="61">
        <v>20997995.219999999</v>
      </c>
      <c r="N86" s="61">
        <v>-20997995.219999999</v>
      </c>
      <c r="O86" s="61">
        <v>6170494431.5563517</v>
      </c>
    </row>
    <row r="87" spans="1:15" x14ac:dyDescent="0.25">
      <c r="A87" s="62">
        <v>46030</v>
      </c>
      <c r="B87">
        <v>1</v>
      </c>
      <c r="C87" t="s">
        <v>1171</v>
      </c>
      <c r="D87">
        <v>2014272</v>
      </c>
      <c r="E87" t="s">
        <v>1167</v>
      </c>
      <c r="F87" t="s">
        <v>1174</v>
      </c>
      <c r="G87" t="s">
        <v>1136</v>
      </c>
      <c r="H87" t="s">
        <v>1154</v>
      </c>
      <c r="I87" s="63">
        <v>45992</v>
      </c>
      <c r="J87" t="s">
        <v>47</v>
      </c>
      <c r="K87" t="s">
        <v>1138</v>
      </c>
      <c r="M87" s="64">
        <v>1537854.32</v>
      </c>
      <c r="N87" s="64">
        <v>-1537854.32</v>
      </c>
      <c r="O87" s="64">
        <v>6168956577.236352</v>
      </c>
    </row>
    <row r="88" spans="1:15" x14ac:dyDescent="0.25">
      <c r="A88" s="58">
        <v>46030</v>
      </c>
      <c r="B88" s="59">
        <v>1</v>
      </c>
      <c r="C88" s="59" t="s">
        <v>1171</v>
      </c>
      <c r="D88" s="59">
        <v>2014274</v>
      </c>
      <c r="E88" s="59" t="s">
        <v>1167</v>
      </c>
      <c r="F88" s="59" t="s">
        <v>1174</v>
      </c>
      <c r="G88" s="59" t="s">
        <v>1136</v>
      </c>
      <c r="H88" s="59" t="s">
        <v>1154</v>
      </c>
      <c r="I88" s="60">
        <v>45992</v>
      </c>
      <c r="J88" s="59" t="s">
        <v>48</v>
      </c>
      <c r="K88" s="59" t="s">
        <v>1148</v>
      </c>
      <c r="L88" s="59"/>
      <c r="M88" s="61">
        <v>18186342.600000001</v>
      </c>
      <c r="N88" s="61">
        <v>-18186342.600000001</v>
      </c>
      <c r="O88" s="61">
        <v>6150770234.6363516</v>
      </c>
    </row>
    <row r="89" spans="1:15" x14ac:dyDescent="0.25">
      <c r="A89" s="62">
        <v>46030</v>
      </c>
      <c r="B89">
        <v>1</v>
      </c>
      <c r="C89" t="s">
        <v>1171</v>
      </c>
      <c r="D89">
        <v>2014214</v>
      </c>
      <c r="E89" t="s">
        <v>1167</v>
      </c>
      <c r="F89" t="s">
        <v>1174</v>
      </c>
      <c r="G89" t="s">
        <v>1136</v>
      </c>
      <c r="H89" t="s">
        <v>1151</v>
      </c>
      <c r="I89" s="63">
        <v>45992</v>
      </c>
      <c r="J89" t="s">
        <v>49</v>
      </c>
      <c r="K89" t="s">
        <v>1148</v>
      </c>
      <c r="M89" s="64">
        <v>11906426.59</v>
      </c>
      <c r="N89" s="64">
        <v>-11906426.59</v>
      </c>
      <c r="O89" s="64">
        <v>6138863808.0463514</v>
      </c>
    </row>
    <row r="90" spans="1:15" x14ac:dyDescent="0.25">
      <c r="A90" s="58">
        <v>46030</v>
      </c>
      <c r="B90" s="59">
        <v>1</v>
      </c>
      <c r="C90" s="59" t="s">
        <v>1171</v>
      </c>
      <c r="D90" s="59">
        <v>2034234</v>
      </c>
      <c r="E90" s="59" t="s">
        <v>1167</v>
      </c>
      <c r="F90" s="59" t="s">
        <v>1168</v>
      </c>
      <c r="G90" s="59" t="s">
        <v>1136</v>
      </c>
      <c r="H90" s="59" t="s">
        <v>1152</v>
      </c>
      <c r="I90" s="60">
        <v>45992</v>
      </c>
      <c r="J90" s="59" t="s">
        <v>50</v>
      </c>
      <c r="K90" s="59" t="s">
        <v>1148</v>
      </c>
      <c r="L90" s="59"/>
      <c r="M90" s="61">
        <v>22395661.780000001</v>
      </c>
      <c r="N90" s="61">
        <v>-22395661.780000001</v>
      </c>
      <c r="O90" s="61">
        <v>6116468146.2663517</v>
      </c>
    </row>
    <row r="91" spans="1:15" x14ac:dyDescent="0.25">
      <c r="A91" s="62">
        <v>46031</v>
      </c>
      <c r="B91">
        <v>1</v>
      </c>
      <c r="C91" t="s">
        <v>1133</v>
      </c>
      <c r="D91">
        <v>2044462</v>
      </c>
      <c r="E91" t="s">
        <v>1167</v>
      </c>
      <c r="F91" t="s">
        <v>1135</v>
      </c>
      <c r="G91" t="s">
        <v>1136</v>
      </c>
      <c r="H91" t="s">
        <v>1140</v>
      </c>
      <c r="I91" s="63">
        <v>45992</v>
      </c>
      <c r="J91" t="s">
        <v>51</v>
      </c>
      <c r="K91" t="s">
        <v>1138</v>
      </c>
      <c r="M91" s="64">
        <v>2674018.64</v>
      </c>
      <c r="N91" s="64">
        <v>-2674018.64</v>
      </c>
      <c r="O91" s="64">
        <v>6113794127.6263514</v>
      </c>
    </row>
    <row r="92" spans="1:15" x14ac:dyDescent="0.25">
      <c r="A92" s="58">
        <v>46031</v>
      </c>
      <c r="B92" s="59">
        <v>1</v>
      </c>
      <c r="C92" s="59" t="s">
        <v>1133</v>
      </c>
      <c r="D92" s="59">
        <v>2054321</v>
      </c>
      <c r="E92" s="59" t="s">
        <v>1167</v>
      </c>
      <c r="F92" s="59" t="s">
        <v>1169</v>
      </c>
      <c r="G92" s="59" t="s">
        <v>1136</v>
      </c>
      <c r="H92" s="59" t="s">
        <v>1143</v>
      </c>
      <c r="I92" s="60">
        <v>45992</v>
      </c>
      <c r="J92" s="59" t="s">
        <v>52</v>
      </c>
      <c r="K92" s="59" t="s">
        <v>1142</v>
      </c>
      <c r="L92" s="59"/>
      <c r="M92" s="61">
        <v>24831158.5</v>
      </c>
      <c r="N92" s="61">
        <v>-24831158.5</v>
      </c>
      <c r="O92" s="61">
        <v>6088962969.1263514</v>
      </c>
    </row>
    <row r="93" spans="1:15" x14ac:dyDescent="0.25">
      <c r="A93" s="62">
        <v>46031</v>
      </c>
      <c r="B93">
        <v>1</v>
      </c>
      <c r="C93" t="s">
        <v>1133</v>
      </c>
      <c r="D93">
        <v>2014422</v>
      </c>
      <c r="E93" t="s">
        <v>1167</v>
      </c>
      <c r="F93" t="s">
        <v>1174</v>
      </c>
      <c r="G93" t="s">
        <v>1136</v>
      </c>
      <c r="H93" t="s">
        <v>1165</v>
      </c>
      <c r="I93" s="63">
        <v>45992</v>
      </c>
      <c r="J93" t="s">
        <v>53</v>
      </c>
      <c r="K93" t="s">
        <v>1138</v>
      </c>
      <c r="M93" s="64">
        <v>56775610.228999957</v>
      </c>
      <c r="N93" s="64">
        <v>-56775610.228999957</v>
      </c>
      <c r="O93" s="64">
        <v>6032187358.8973513</v>
      </c>
    </row>
    <row r="94" spans="1:15" x14ac:dyDescent="0.25">
      <c r="A94" s="58">
        <v>46031</v>
      </c>
      <c r="B94" s="59">
        <v>1</v>
      </c>
      <c r="C94" s="59" t="s">
        <v>1133</v>
      </c>
      <c r="D94" s="59">
        <v>2014427</v>
      </c>
      <c r="E94" s="59" t="s">
        <v>1167</v>
      </c>
      <c r="F94" s="59" t="s">
        <v>1174</v>
      </c>
      <c r="G94" s="59" t="s">
        <v>1136</v>
      </c>
      <c r="H94" s="59" t="s">
        <v>1165</v>
      </c>
      <c r="I94" s="60">
        <v>45992</v>
      </c>
      <c r="J94" s="59" t="s">
        <v>53</v>
      </c>
      <c r="K94" s="59" t="s">
        <v>1170</v>
      </c>
      <c r="L94" s="59"/>
      <c r="M94" s="61">
        <v>90</v>
      </c>
      <c r="N94" s="61">
        <v>-90</v>
      </c>
      <c r="O94" s="61">
        <v>6032187268.8973513</v>
      </c>
    </row>
    <row r="95" spans="1:15" x14ac:dyDescent="0.25">
      <c r="A95" s="62">
        <v>46031</v>
      </c>
      <c r="B95">
        <v>1</v>
      </c>
      <c r="C95" t="s">
        <v>1133</v>
      </c>
      <c r="D95">
        <v>2014422</v>
      </c>
      <c r="E95" t="s">
        <v>1167</v>
      </c>
      <c r="F95" t="s">
        <v>1174</v>
      </c>
      <c r="G95" t="s">
        <v>1136</v>
      </c>
      <c r="H95" t="s">
        <v>1165</v>
      </c>
      <c r="I95" s="63">
        <v>45992</v>
      </c>
      <c r="J95" t="s">
        <v>53</v>
      </c>
      <c r="K95" t="s">
        <v>1138</v>
      </c>
      <c r="M95" s="64">
        <v>5660239</v>
      </c>
      <c r="N95" s="64">
        <v>-5660239</v>
      </c>
      <c r="O95" s="64">
        <v>6026527029.8973513</v>
      </c>
    </row>
    <row r="96" spans="1:15" x14ac:dyDescent="0.25">
      <c r="A96" s="58">
        <v>46031</v>
      </c>
      <c r="B96" s="59">
        <v>1</v>
      </c>
      <c r="C96" s="59" t="s">
        <v>1133</v>
      </c>
      <c r="D96" s="59">
        <v>2014275</v>
      </c>
      <c r="E96" s="59" t="s">
        <v>1167</v>
      </c>
      <c r="F96" s="59" t="s">
        <v>1174</v>
      </c>
      <c r="G96" s="59" t="s">
        <v>1136</v>
      </c>
      <c r="H96" s="59" t="s">
        <v>1154</v>
      </c>
      <c r="I96" s="60">
        <v>45992</v>
      </c>
      <c r="J96" s="59" t="s">
        <v>54</v>
      </c>
      <c r="K96" s="59" t="s">
        <v>1172</v>
      </c>
      <c r="L96" s="59"/>
      <c r="M96" s="61">
        <v>1055349.44</v>
      </c>
      <c r="N96" s="61">
        <v>-1055349.44</v>
      </c>
      <c r="O96" s="61">
        <v>6025471680.4573517</v>
      </c>
    </row>
    <row r="97" spans="1:15" x14ac:dyDescent="0.25">
      <c r="A97" s="62">
        <v>46031</v>
      </c>
      <c r="B97">
        <v>1</v>
      </c>
      <c r="C97" t="s">
        <v>1133</v>
      </c>
      <c r="D97">
        <v>2014212</v>
      </c>
      <c r="E97" t="s">
        <v>1167</v>
      </c>
      <c r="F97" t="s">
        <v>1174</v>
      </c>
      <c r="G97" t="s">
        <v>1136</v>
      </c>
      <c r="H97" t="s">
        <v>1151</v>
      </c>
      <c r="I97" s="63">
        <v>45992</v>
      </c>
      <c r="J97" t="s">
        <v>55</v>
      </c>
      <c r="K97" t="s">
        <v>1138</v>
      </c>
      <c r="M97" s="64">
        <v>3081087.3523999988</v>
      </c>
      <c r="N97" s="64">
        <v>-3081087.3523999988</v>
      </c>
      <c r="O97" s="64">
        <v>6022390593.1049519</v>
      </c>
    </row>
    <row r="98" spans="1:15" x14ac:dyDescent="0.25">
      <c r="A98" s="58">
        <v>46031</v>
      </c>
      <c r="B98" s="59">
        <v>1</v>
      </c>
      <c r="C98" s="59" t="s">
        <v>1133</v>
      </c>
      <c r="D98" s="59">
        <v>2054196</v>
      </c>
      <c r="E98" s="59" t="s">
        <v>1167</v>
      </c>
      <c r="F98" s="59" t="s">
        <v>1169</v>
      </c>
      <c r="G98" s="59" t="s">
        <v>1136</v>
      </c>
      <c r="H98" s="59" t="s">
        <v>1149</v>
      </c>
      <c r="I98" s="60">
        <v>45992</v>
      </c>
      <c r="J98" s="59" t="s">
        <v>56</v>
      </c>
      <c r="K98" s="59" t="s">
        <v>1150</v>
      </c>
      <c r="L98" s="59"/>
      <c r="M98" s="61">
        <v>22419302.680000041</v>
      </c>
      <c r="N98" s="61">
        <v>-22419302.680000041</v>
      </c>
      <c r="O98" s="61">
        <v>5999971290.4249516</v>
      </c>
    </row>
    <row r="99" spans="1:15" x14ac:dyDescent="0.25">
      <c r="A99" s="62">
        <v>46031</v>
      </c>
      <c r="B99">
        <v>1</v>
      </c>
      <c r="C99" t="s">
        <v>1133</v>
      </c>
      <c r="D99">
        <v>2034235</v>
      </c>
      <c r="E99" t="s">
        <v>1167</v>
      </c>
      <c r="F99" t="s">
        <v>1168</v>
      </c>
      <c r="G99" t="s">
        <v>1136</v>
      </c>
      <c r="H99" t="s">
        <v>1152</v>
      </c>
      <c r="I99" s="63">
        <v>45992</v>
      </c>
      <c r="J99" t="s">
        <v>57</v>
      </c>
      <c r="K99" t="s">
        <v>1172</v>
      </c>
      <c r="M99" s="64">
        <v>1666201.22</v>
      </c>
      <c r="N99" s="64">
        <v>-1666201.22</v>
      </c>
      <c r="O99" s="64">
        <v>5998305089.2049513</v>
      </c>
    </row>
    <row r="100" spans="1:15" x14ac:dyDescent="0.25">
      <c r="A100" s="58">
        <v>46034</v>
      </c>
      <c r="B100" s="59">
        <v>1</v>
      </c>
      <c r="C100" s="59" t="s">
        <v>1144</v>
      </c>
      <c r="D100" s="59">
        <v>2014421</v>
      </c>
      <c r="E100" s="59" t="s">
        <v>1167</v>
      </c>
      <c r="F100" s="59" t="s">
        <v>1174</v>
      </c>
      <c r="G100" s="59" t="s">
        <v>1136</v>
      </c>
      <c r="H100" s="59" t="s">
        <v>1165</v>
      </c>
      <c r="I100" s="60">
        <v>45992</v>
      </c>
      <c r="J100" s="59" t="s">
        <v>65</v>
      </c>
      <c r="K100" s="59" t="s">
        <v>1142</v>
      </c>
      <c r="L100" s="59"/>
      <c r="M100" s="61">
        <v>59182117.609999999</v>
      </c>
      <c r="N100" s="61">
        <v>-59182117.609999999</v>
      </c>
      <c r="O100" s="61">
        <v>6129763501.8564425</v>
      </c>
    </row>
    <row r="101" spans="1:15" x14ac:dyDescent="0.25">
      <c r="A101" s="62">
        <v>46034</v>
      </c>
      <c r="B101">
        <v>1</v>
      </c>
      <c r="C101" t="s">
        <v>1144</v>
      </c>
      <c r="D101">
        <v>2034241</v>
      </c>
      <c r="E101" t="s">
        <v>1167</v>
      </c>
      <c r="F101" t="s">
        <v>1168</v>
      </c>
      <c r="G101" t="s">
        <v>1136</v>
      </c>
      <c r="H101" t="s">
        <v>1153</v>
      </c>
      <c r="I101" s="63">
        <v>45992</v>
      </c>
      <c r="J101" t="s">
        <v>66</v>
      </c>
      <c r="K101" t="s">
        <v>1142</v>
      </c>
      <c r="M101" s="64">
        <v>5396134.7599999998</v>
      </c>
      <c r="N101" s="64">
        <v>-5396134.7599999998</v>
      </c>
      <c r="O101" s="64">
        <v>6124367367.0964422</v>
      </c>
    </row>
    <row r="102" spans="1:15" x14ac:dyDescent="0.25">
      <c r="A102" s="58">
        <v>46034</v>
      </c>
      <c r="B102" s="59">
        <v>1</v>
      </c>
      <c r="C102" s="59" t="s">
        <v>1144</v>
      </c>
      <c r="D102" s="59">
        <v>2054371</v>
      </c>
      <c r="E102" s="59" t="s">
        <v>1167</v>
      </c>
      <c r="F102" s="59" t="s">
        <v>1169</v>
      </c>
      <c r="G102" s="59" t="s">
        <v>1136</v>
      </c>
      <c r="H102" s="59" t="s">
        <v>1141</v>
      </c>
      <c r="I102" s="60">
        <v>45992</v>
      </c>
      <c r="J102" s="59" t="s">
        <v>67</v>
      </c>
      <c r="K102" s="59" t="s">
        <v>1142</v>
      </c>
      <c r="L102" s="59"/>
      <c r="M102" s="61">
        <v>22225308.670000002</v>
      </c>
      <c r="N102" s="61">
        <v>-22225308.670000002</v>
      </c>
      <c r="O102" s="61">
        <v>6102142058.4264421</v>
      </c>
    </row>
    <row r="103" spans="1:15" x14ac:dyDescent="0.25">
      <c r="A103" s="62">
        <v>46034</v>
      </c>
      <c r="B103">
        <v>1</v>
      </c>
      <c r="C103" t="s">
        <v>1144</v>
      </c>
      <c r="D103">
        <v>2054391</v>
      </c>
      <c r="E103" t="s">
        <v>1167</v>
      </c>
      <c r="F103" t="s">
        <v>1169</v>
      </c>
      <c r="G103" t="s">
        <v>1136</v>
      </c>
      <c r="H103" t="s">
        <v>1164</v>
      </c>
      <c r="I103" s="63">
        <v>45992</v>
      </c>
      <c r="J103" t="s">
        <v>68</v>
      </c>
      <c r="K103" t="s">
        <v>1142</v>
      </c>
      <c r="M103" s="64">
        <v>19540072.5</v>
      </c>
      <c r="N103" s="64">
        <v>-19540072.5</v>
      </c>
      <c r="O103" s="64">
        <v>6082601985.9264421</v>
      </c>
    </row>
    <row r="104" spans="1:15" x14ac:dyDescent="0.25">
      <c r="A104" s="58">
        <v>46034</v>
      </c>
      <c r="B104" s="59">
        <v>1</v>
      </c>
      <c r="C104" s="59" t="s">
        <v>1144</v>
      </c>
      <c r="D104" s="59">
        <v>2014271</v>
      </c>
      <c r="E104" s="59" t="s">
        <v>1167</v>
      </c>
      <c r="F104" s="59" t="s">
        <v>1174</v>
      </c>
      <c r="G104" s="59" t="s">
        <v>1136</v>
      </c>
      <c r="H104" s="59" t="s">
        <v>1154</v>
      </c>
      <c r="I104" s="60">
        <v>45992</v>
      </c>
      <c r="J104" s="59" t="s">
        <v>69</v>
      </c>
      <c r="K104" s="59" t="s">
        <v>1142</v>
      </c>
      <c r="L104" s="59"/>
      <c r="M104" s="61">
        <v>17220339.390000001</v>
      </c>
      <c r="N104" s="61">
        <v>-17220339.390000001</v>
      </c>
      <c r="O104" s="61">
        <v>6065381646.5364418</v>
      </c>
    </row>
    <row r="105" spans="1:15" x14ac:dyDescent="0.25">
      <c r="A105" s="62">
        <v>46034</v>
      </c>
      <c r="B105">
        <v>1</v>
      </c>
      <c r="C105" t="s">
        <v>1144</v>
      </c>
      <c r="D105">
        <v>2014211</v>
      </c>
      <c r="E105" t="s">
        <v>1167</v>
      </c>
      <c r="F105" t="s">
        <v>1174</v>
      </c>
      <c r="G105" t="s">
        <v>1136</v>
      </c>
      <c r="H105" t="s">
        <v>1151</v>
      </c>
      <c r="I105" s="63">
        <v>45992</v>
      </c>
      <c r="J105" t="s">
        <v>70</v>
      </c>
      <c r="K105" t="s">
        <v>1142</v>
      </c>
      <c r="M105" s="64">
        <v>6780321.5</v>
      </c>
      <c r="N105" s="64">
        <v>-6780321.5</v>
      </c>
      <c r="O105" s="64">
        <v>6058601325.0364418</v>
      </c>
    </row>
    <row r="106" spans="1:15" x14ac:dyDescent="0.25">
      <c r="A106" s="58">
        <v>46034</v>
      </c>
      <c r="B106" s="59">
        <v>1</v>
      </c>
      <c r="C106" s="59" t="s">
        <v>1144</v>
      </c>
      <c r="D106" s="59">
        <v>2054281</v>
      </c>
      <c r="E106" s="59" t="s">
        <v>1167</v>
      </c>
      <c r="F106" s="59" t="s">
        <v>1169</v>
      </c>
      <c r="G106" s="59" t="s">
        <v>1136</v>
      </c>
      <c r="H106" s="59" t="s">
        <v>1155</v>
      </c>
      <c r="I106" s="60">
        <v>45992</v>
      </c>
      <c r="J106" s="59" t="s">
        <v>71</v>
      </c>
      <c r="K106" s="59" t="s">
        <v>1142</v>
      </c>
      <c r="L106" s="59"/>
      <c r="M106" s="61">
        <v>29386429</v>
      </c>
      <c r="N106" s="61">
        <v>-29386429</v>
      </c>
      <c r="O106" s="61">
        <v>6029214896.0364418</v>
      </c>
    </row>
    <row r="107" spans="1:15" x14ac:dyDescent="0.25">
      <c r="A107" s="62">
        <v>46034</v>
      </c>
      <c r="B107">
        <v>1</v>
      </c>
      <c r="C107" t="s">
        <v>1144</v>
      </c>
      <c r="D107">
        <v>2054282</v>
      </c>
      <c r="E107" t="s">
        <v>1167</v>
      </c>
      <c r="F107" t="s">
        <v>1169</v>
      </c>
      <c r="G107" t="s">
        <v>1136</v>
      </c>
      <c r="H107" t="s">
        <v>1155</v>
      </c>
      <c r="I107" s="63">
        <v>45992</v>
      </c>
      <c r="J107" t="s">
        <v>72</v>
      </c>
      <c r="K107" t="s">
        <v>1138</v>
      </c>
      <c r="M107" s="64">
        <v>63666625</v>
      </c>
      <c r="N107" s="64">
        <v>-63666625</v>
      </c>
      <c r="O107" s="64">
        <v>5965548271.0364418</v>
      </c>
    </row>
    <row r="108" spans="1:15" x14ac:dyDescent="0.25">
      <c r="A108" s="58">
        <v>46034</v>
      </c>
      <c r="B108" s="59">
        <v>1</v>
      </c>
      <c r="C108" s="59" t="s">
        <v>1144</v>
      </c>
      <c r="D108" s="59">
        <v>2054287</v>
      </c>
      <c r="E108" s="59" t="s">
        <v>1167</v>
      </c>
      <c r="F108" s="59" t="s">
        <v>1169</v>
      </c>
      <c r="G108" s="59" t="s">
        <v>1136</v>
      </c>
      <c r="H108" s="59" t="s">
        <v>1155</v>
      </c>
      <c r="I108" s="60">
        <v>45992</v>
      </c>
      <c r="J108" s="59" t="s">
        <v>72</v>
      </c>
      <c r="K108" s="59" t="s">
        <v>1170</v>
      </c>
      <c r="L108" s="59"/>
      <c r="M108" s="61">
        <v>1500</v>
      </c>
      <c r="N108" s="61">
        <v>-1500</v>
      </c>
      <c r="O108" s="61">
        <v>5965546771.0364418</v>
      </c>
    </row>
    <row r="109" spans="1:15" x14ac:dyDescent="0.25">
      <c r="A109" s="62">
        <v>46034</v>
      </c>
      <c r="B109">
        <v>1</v>
      </c>
      <c r="C109" t="s">
        <v>1144</v>
      </c>
      <c r="D109">
        <v>2054284</v>
      </c>
      <c r="E109" t="s">
        <v>1167</v>
      </c>
      <c r="F109" t="s">
        <v>1169</v>
      </c>
      <c r="G109" t="s">
        <v>1136</v>
      </c>
      <c r="H109" t="s">
        <v>1155</v>
      </c>
      <c r="I109" s="63">
        <v>45992</v>
      </c>
      <c r="J109" t="s">
        <v>73</v>
      </c>
      <c r="K109" t="s">
        <v>1148</v>
      </c>
      <c r="M109" s="64">
        <v>97371495</v>
      </c>
      <c r="N109" s="64">
        <v>-97371495</v>
      </c>
      <c r="O109" s="64">
        <v>5868175276.0364418</v>
      </c>
    </row>
    <row r="110" spans="1:15" x14ac:dyDescent="0.25">
      <c r="A110" s="58">
        <v>46034</v>
      </c>
      <c r="B110" s="59">
        <v>1</v>
      </c>
      <c r="C110" s="59" t="s">
        <v>1144</v>
      </c>
      <c r="D110" s="59">
        <v>2054286</v>
      </c>
      <c r="E110" s="59" t="s">
        <v>1167</v>
      </c>
      <c r="F110" s="59" t="s">
        <v>1169</v>
      </c>
      <c r="G110" s="59" t="s">
        <v>1136</v>
      </c>
      <c r="H110" s="59" t="s">
        <v>1155</v>
      </c>
      <c r="I110" s="60">
        <v>45992</v>
      </c>
      <c r="J110" s="59" t="s">
        <v>73</v>
      </c>
      <c r="K110" s="59" t="s">
        <v>1150</v>
      </c>
      <c r="L110" s="59"/>
      <c r="M110" s="61">
        <v>12887293.15000001</v>
      </c>
      <c r="N110" s="61">
        <v>-12887293.15000001</v>
      </c>
      <c r="O110" s="61">
        <v>5855287982.8864422</v>
      </c>
    </row>
    <row r="111" spans="1:15" x14ac:dyDescent="0.25">
      <c r="A111" s="62">
        <v>46034</v>
      </c>
      <c r="B111">
        <v>1</v>
      </c>
      <c r="C111" t="s">
        <v>1144</v>
      </c>
      <c r="D111">
        <v>2054285</v>
      </c>
      <c r="E111" t="s">
        <v>1167</v>
      </c>
      <c r="F111" t="s">
        <v>1169</v>
      </c>
      <c r="G111" t="s">
        <v>1136</v>
      </c>
      <c r="H111" t="s">
        <v>1155</v>
      </c>
      <c r="I111" s="63">
        <v>45992</v>
      </c>
      <c r="J111" t="s">
        <v>74</v>
      </c>
      <c r="K111" t="s">
        <v>1172</v>
      </c>
      <c r="M111" s="64">
        <v>928150</v>
      </c>
      <c r="N111" s="64">
        <v>-928150</v>
      </c>
      <c r="O111" s="64">
        <v>5854359832.8864422</v>
      </c>
    </row>
    <row r="112" spans="1:15" x14ac:dyDescent="0.25">
      <c r="A112" s="58">
        <v>46034</v>
      </c>
      <c r="B112" s="59">
        <v>1</v>
      </c>
      <c r="C112" s="59" t="s">
        <v>1144</v>
      </c>
      <c r="D112" s="59">
        <v>2014165</v>
      </c>
      <c r="E112" s="59" t="s">
        <v>1167</v>
      </c>
      <c r="F112" s="59" t="s">
        <v>1174</v>
      </c>
      <c r="G112" s="59" t="s">
        <v>1136</v>
      </c>
      <c r="H112" s="59" t="s">
        <v>1162</v>
      </c>
      <c r="I112" s="60">
        <v>45992</v>
      </c>
      <c r="J112" s="59" t="s">
        <v>75</v>
      </c>
      <c r="K112" s="59" t="s">
        <v>1172</v>
      </c>
      <c r="L112" s="59"/>
      <c r="M112" s="61">
        <v>1454447.79</v>
      </c>
      <c r="N112" s="61">
        <v>-1454447.79</v>
      </c>
      <c r="O112" s="61">
        <v>5852905385.0964422</v>
      </c>
    </row>
    <row r="113" spans="1:15" x14ac:dyDescent="0.25">
      <c r="A113" s="62">
        <v>46034</v>
      </c>
      <c r="B113">
        <v>1</v>
      </c>
      <c r="C113" t="s">
        <v>1144</v>
      </c>
      <c r="D113">
        <v>1044163</v>
      </c>
      <c r="E113" t="s">
        <v>1134</v>
      </c>
      <c r="F113" t="s">
        <v>1135</v>
      </c>
      <c r="G113" t="s">
        <v>1136</v>
      </c>
      <c r="H113" t="s">
        <v>1162</v>
      </c>
      <c r="I113" s="63">
        <v>45992</v>
      </c>
      <c r="J113" t="s">
        <v>76</v>
      </c>
      <c r="K113" t="s">
        <v>1146</v>
      </c>
      <c r="L113" s="64">
        <v>45604760.399999999</v>
      </c>
      <c r="N113" s="64">
        <v>45604760.399999999</v>
      </c>
      <c r="O113" s="64">
        <v>6015563774.2714415</v>
      </c>
    </row>
    <row r="114" spans="1:15" x14ac:dyDescent="0.25">
      <c r="A114" s="58">
        <v>46034</v>
      </c>
      <c r="B114" s="59">
        <v>1</v>
      </c>
      <c r="C114" s="59" t="s">
        <v>1144</v>
      </c>
      <c r="D114" s="59">
        <v>1044173</v>
      </c>
      <c r="E114" s="59" t="s">
        <v>1134</v>
      </c>
      <c r="F114" s="59" t="s">
        <v>1135</v>
      </c>
      <c r="G114" s="59" t="s">
        <v>1136</v>
      </c>
      <c r="H114" s="59" t="s">
        <v>1147</v>
      </c>
      <c r="I114" s="60">
        <v>45992</v>
      </c>
      <c r="J114" s="59" t="s">
        <v>76</v>
      </c>
      <c r="K114" s="59" t="s">
        <v>1146</v>
      </c>
      <c r="L114" s="61">
        <v>13191259.102499999</v>
      </c>
      <c r="M114" s="59"/>
      <c r="N114" s="61">
        <v>13191259.102499999</v>
      </c>
      <c r="O114" s="61">
        <v>6028755033.3739414</v>
      </c>
    </row>
    <row r="115" spans="1:15" x14ac:dyDescent="0.25">
      <c r="A115" s="62">
        <v>46034</v>
      </c>
      <c r="B115">
        <v>1</v>
      </c>
      <c r="C115" t="s">
        <v>1144</v>
      </c>
      <c r="D115">
        <v>1044243</v>
      </c>
      <c r="E115" t="s">
        <v>1134</v>
      </c>
      <c r="F115" t="s">
        <v>1135</v>
      </c>
      <c r="G115" t="s">
        <v>1136</v>
      </c>
      <c r="H115" t="s">
        <v>1153</v>
      </c>
      <c r="I115" s="63">
        <v>45992</v>
      </c>
      <c r="J115" t="s">
        <v>76</v>
      </c>
      <c r="K115" t="s">
        <v>1146</v>
      </c>
      <c r="L115" s="64">
        <v>16339685.845000001</v>
      </c>
      <c r="N115" s="64">
        <v>16339685.845000001</v>
      </c>
      <c r="O115" s="64">
        <v>6045094719.2189417</v>
      </c>
    </row>
    <row r="116" spans="1:15" x14ac:dyDescent="0.25">
      <c r="A116" s="58">
        <v>46034</v>
      </c>
      <c r="B116" s="59">
        <v>1</v>
      </c>
      <c r="C116" s="59" t="s">
        <v>1144</v>
      </c>
      <c r="D116" s="59">
        <v>1044263</v>
      </c>
      <c r="E116" s="59" t="s">
        <v>1134</v>
      </c>
      <c r="F116" s="59" t="s">
        <v>1135</v>
      </c>
      <c r="G116" s="59" t="s">
        <v>1136</v>
      </c>
      <c r="H116" s="59" t="s">
        <v>1145</v>
      </c>
      <c r="I116" s="60">
        <v>45992</v>
      </c>
      <c r="J116" s="59" t="s">
        <v>76</v>
      </c>
      <c r="K116" s="59" t="s">
        <v>1146</v>
      </c>
      <c r="L116" s="61">
        <v>3137336</v>
      </c>
      <c r="M116" s="59"/>
      <c r="N116" s="61">
        <v>3137336</v>
      </c>
      <c r="O116" s="61">
        <v>6048232055.2189417</v>
      </c>
    </row>
    <row r="117" spans="1:15" x14ac:dyDescent="0.25">
      <c r="A117" s="62">
        <v>46034</v>
      </c>
      <c r="B117">
        <v>1</v>
      </c>
      <c r="C117" t="s">
        <v>1144</v>
      </c>
      <c r="D117">
        <v>1044463</v>
      </c>
      <c r="E117" t="s">
        <v>1134</v>
      </c>
      <c r="F117" t="s">
        <v>1135</v>
      </c>
      <c r="G117" t="s">
        <v>1136</v>
      </c>
      <c r="H117" t="s">
        <v>1140</v>
      </c>
      <c r="I117" s="63">
        <v>45992</v>
      </c>
      <c r="J117" t="s">
        <v>76</v>
      </c>
      <c r="K117" t="s">
        <v>1146</v>
      </c>
      <c r="L117" s="64">
        <v>3872711.8849999998</v>
      </c>
      <c r="N117" s="64">
        <v>3872711.8849999998</v>
      </c>
      <c r="O117" s="64">
        <v>6052104767.1039419</v>
      </c>
    </row>
    <row r="118" spans="1:15" x14ac:dyDescent="0.25">
      <c r="A118" s="58">
        <v>46034</v>
      </c>
      <c r="B118" s="59">
        <v>1</v>
      </c>
      <c r="C118" s="59" t="s">
        <v>1144</v>
      </c>
      <c r="D118" s="59">
        <v>1044353</v>
      </c>
      <c r="E118" s="59" t="s">
        <v>1134</v>
      </c>
      <c r="F118" s="59" t="s">
        <v>1135</v>
      </c>
      <c r="G118" s="59" t="s">
        <v>1136</v>
      </c>
      <c r="H118" s="59" t="s">
        <v>1157</v>
      </c>
      <c r="I118" s="60">
        <v>45992</v>
      </c>
      <c r="J118" s="59" t="s">
        <v>76</v>
      </c>
      <c r="K118" s="59" t="s">
        <v>1146</v>
      </c>
      <c r="L118" s="61">
        <v>8904970.7599999998</v>
      </c>
      <c r="M118" s="59"/>
      <c r="N118" s="61">
        <v>8904970.7599999998</v>
      </c>
      <c r="O118" s="61">
        <v>6061009737.8639421</v>
      </c>
    </row>
    <row r="119" spans="1:15" x14ac:dyDescent="0.25">
      <c r="A119" s="62">
        <v>46034</v>
      </c>
      <c r="B119">
        <v>1</v>
      </c>
      <c r="C119" t="s">
        <v>1144</v>
      </c>
      <c r="D119">
        <v>1044363</v>
      </c>
      <c r="E119" t="s">
        <v>1134</v>
      </c>
      <c r="F119" t="s">
        <v>1135</v>
      </c>
      <c r="G119" t="s">
        <v>1136</v>
      </c>
      <c r="H119" t="s">
        <v>1158</v>
      </c>
      <c r="I119" s="63">
        <v>45992</v>
      </c>
      <c r="J119" t="s">
        <v>76</v>
      </c>
      <c r="K119" t="s">
        <v>1146</v>
      </c>
      <c r="L119" s="64">
        <v>20047679.028000001</v>
      </c>
      <c r="N119" s="64">
        <v>20047679.028000001</v>
      </c>
      <c r="O119" s="64">
        <v>6081057416.891942</v>
      </c>
    </row>
    <row r="120" spans="1:15" x14ac:dyDescent="0.25">
      <c r="A120" s="58">
        <v>46034</v>
      </c>
      <c r="B120" s="59">
        <v>1</v>
      </c>
      <c r="C120" s="59" t="s">
        <v>1144</v>
      </c>
      <c r="D120" s="59">
        <v>1044403</v>
      </c>
      <c r="E120" s="59" t="s">
        <v>1134</v>
      </c>
      <c r="F120" s="59" t="s">
        <v>1135</v>
      </c>
      <c r="G120" s="59" t="s">
        <v>1136</v>
      </c>
      <c r="H120" s="59" t="s">
        <v>1159</v>
      </c>
      <c r="I120" s="60">
        <v>45992</v>
      </c>
      <c r="J120" s="59" t="s">
        <v>76</v>
      </c>
      <c r="K120" s="59" t="s">
        <v>1146</v>
      </c>
      <c r="L120" s="61">
        <v>19677002.579999998</v>
      </c>
      <c r="M120" s="59"/>
      <c r="N120" s="61">
        <v>19677002.579999998</v>
      </c>
      <c r="O120" s="61">
        <v>6100734419.4719419</v>
      </c>
    </row>
    <row r="121" spans="1:15" x14ac:dyDescent="0.25">
      <c r="A121" s="62">
        <v>46034</v>
      </c>
      <c r="B121">
        <v>1</v>
      </c>
      <c r="C121" t="s">
        <v>1144</v>
      </c>
      <c r="D121">
        <v>1044413</v>
      </c>
      <c r="E121" t="s">
        <v>1134</v>
      </c>
      <c r="F121" t="s">
        <v>1135</v>
      </c>
      <c r="G121" t="s">
        <v>1136</v>
      </c>
      <c r="H121" t="s">
        <v>1160</v>
      </c>
      <c r="I121" s="63">
        <v>45992</v>
      </c>
      <c r="J121" t="s">
        <v>76</v>
      </c>
      <c r="K121" t="s">
        <v>1146</v>
      </c>
      <c r="L121" s="64">
        <v>7340686.8700000001</v>
      </c>
      <c r="N121" s="64">
        <v>7340686.8700000001</v>
      </c>
      <c r="O121" s="64">
        <v>6108075106.3419418</v>
      </c>
    </row>
    <row r="122" spans="1:15" x14ac:dyDescent="0.25">
      <c r="A122" s="58">
        <v>46035</v>
      </c>
      <c r="B122" s="59">
        <v>1</v>
      </c>
      <c r="C122" s="59" t="s">
        <v>1161</v>
      </c>
      <c r="D122" s="59">
        <v>2014361</v>
      </c>
      <c r="E122" s="59" t="s">
        <v>1167</v>
      </c>
      <c r="F122" s="59" t="s">
        <v>1174</v>
      </c>
      <c r="G122" s="59" t="s">
        <v>1136</v>
      </c>
      <c r="H122" s="59" t="s">
        <v>1158</v>
      </c>
      <c r="I122" s="60">
        <v>45992</v>
      </c>
      <c r="J122" s="59" t="s">
        <v>79</v>
      </c>
      <c r="K122" s="59" t="s">
        <v>1142</v>
      </c>
      <c r="L122" s="59"/>
      <c r="M122" s="61">
        <v>11308883.316</v>
      </c>
      <c r="N122" s="61">
        <v>-11308883.316</v>
      </c>
      <c r="O122" s="61">
        <v>6955376905.0177546</v>
      </c>
    </row>
    <row r="123" spans="1:15" x14ac:dyDescent="0.25">
      <c r="A123" s="62">
        <v>46035</v>
      </c>
      <c r="B123">
        <v>1</v>
      </c>
      <c r="C123" t="s">
        <v>1161</v>
      </c>
      <c r="D123">
        <v>2014362</v>
      </c>
      <c r="E123" t="s">
        <v>1167</v>
      </c>
      <c r="F123" t="s">
        <v>1174</v>
      </c>
      <c r="G123" t="s">
        <v>1136</v>
      </c>
      <c r="H123" t="s">
        <v>1158</v>
      </c>
      <c r="I123" s="63">
        <v>45992</v>
      </c>
      <c r="J123" t="s">
        <v>80</v>
      </c>
      <c r="K123" t="s">
        <v>1138</v>
      </c>
      <c r="M123" s="64">
        <v>1631574.61</v>
      </c>
      <c r="N123" s="64">
        <v>-1631574.61</v>
      </c>
      <c r="O123" s="64">
        <v>6953745330.4077549</v>
      </c>
    </row>
    <row r="124" spans="1:15" x14ac:dyDescent="0.25">
      <c r="A124" s="58">
        <v>46035</v>
      </c>
      <c r="B124" s="59">
        <v>1</v>
      </c>
      <c r="C124" s="59" t="s">
        <v>1161</v>
      </c>
      <c r="D124" s="59">
        <v>2014363</v>
      </c>
      <c r="E124" s="59" t="s">
        <v>1167</v>
      </c>
      <c r="F124" s="59" t="s">
        <v>1174</v>
      </c>
      <c r="G124" s="59" t="s">
        <v>1136</v>
      </c>
      <c r="H124" s="59" t="s">
        <v>1158</v>
      </c>
      <c r="I124" s="60">
        <v>45992</v>
      </c>
      <c r="J124" s="59" t="s">
        <v>81</v>
      </c>
      <c r="K124" s="59" t="s">
        <v>1146</v>
      </c>
      <c r="L124" s="59"/>
      <c r="M124" s="61">
        <v>20047679.030000001</v>
      </c>
      <c r="N124" s="61">
        <v>-20047679.030000001</v>
      </c>
      <c r="O124" s="61">
        <v>6933697651.3777552</v>
      </c>
    </row>
    <row r="125" spans="1:15" x14ac:dyDescent="0.25">
      <c r="A125" s="62">
        <v>46035</v>
      </c>
      <c r="B125">
        <v>1</v>
      </c>
      <c r="C125" t="s">
        <v>1161</v>
      </c>
      <c r="D125">
        <v>2014364</v>
      </c>
      <c r="E125" t="s">
        <v>1167</v>
      </c>
      <c r="F125" t="s">
        <v>1174</v>
      </c>
      <c r="G125" t="s">
        <v>1136</v>
      </c>
      <c r="H125" t="s">
        <v>1158</v>
      </c>
      <c r="I125" s="63">
        <v>45992</v>
      </c>
      <c r="J125" t="s">
        <v>82</v>
      </c>
      <c r="K125" t="s">
        <v>1148</v>
      </c>
      <c r="M125" s="64">
        <v>23177835.210000001</v>
      </c>
      <c r="N125" s="64">
        <v>-23177835.210000001</v>
      </c>
      <c r="O125" s="64">
        <v>6910519816.1677551</v>
      </c>
    </row>
    <row r="126" spans="1:15" x14ac:dyDescent="0.25">
      <c r="A126" s="58">
        <v>46035</v>
      </c>
      <c r="B126" s="59">
        <v>1</v>
      </c>
      <c r="C126" s="59" t="s">
        <v>1161</v>
      </c>
      <c r="D126" s="59">
        <v>2044342</v>
      </c>
      <c r="E126" s="59" t="s">
        <v>1167</v>
      </c>
      <c r="F126" s="59" t="s">
        <v>1135</v>
      </c>
      <c r="G126" s="59" t="s">
        <v>1136</v>
      </c>
      <c r="H126" s="59" t="s">
        <v>1156</v>
      </c>
      <c r="I126" s="60">
        <v>45992</v>
      </c>
      <c r="J126" s="59" t="s">
        <v>83</v>
      </c>
      <c r="K126" s="59" t="s">
        <v>1138</v>
      </c>
      <c r="L126" s="59"/>
      <c r="M126" s="61">
        <v>17071055.627599999</v>
      </c>
      <c r="N126" s="61">
        <v>-17071055.627599999</v>
      </c>
      <c r="O126" s="61">
        <v>6893448760.5401554</v>
      </c>
    </row>
    <row r="127" spans="1:15" x14ac:dyDescent="0.25">
      <c r="A127" s="62">
        <v>46035</v>
      </c>
      <c r="B127">
        <v>1</v>
      </c>
      <c r="C127" t="s">
        <v>1161</v>
      </c>
      <c r="D127">
        <v>2044344</v>
      </c>
      <c r="E127" t="s">
        <v>1167</v>
      </c>
      <c r="F127" t="s">
        <v>1135</v>
      </c>
      <c r="G127" t="s">
        <v>1136</v>
      </c>
      <c r="H127" t="s">
        <v>1156</v>
      </c>
      <c r="I127" s="63">
        <v>45992</v>
      </c>
      <c r="J127" t="s">
        <v>84</v>
      </c>
      <c r="K127" t="s">
        <v>1148</v>
      </c>
      <c r="M127" s="64">
        <v>5033918</v>
      </c>
      <c r="N127" s="64">
        <v>-5033918</v>
      </c>
      <c r="O127" s="64">
        <v>6888414842.5401554</v>
      </c>
    </row>
    <row r="128" spans="1:15" x14ac:dyDescent="0.25">
      <c r="A128" s="58">
        <v>46035</v>
      </c>
      <c r="B128" s="59">
        <v>1</v>
      </c>
      <c r="C128" s="59" t="s">
        <v>1161</v>
      </c>
      <c r="D128" s="59">
        <v>2014171</v>
      </c>
      <c r="E128" s="59" t="s">
        <v>1167</v>
      </c>
      <c r="F128" s="59" t="s">
        <v>1174</v>
      </c>
      <c r="G128" s="59" t="s">
        <v>1136</v>
      </c>
      <c r="H128" s="59" t="s">
        <v>1147</v>
      </c>
      <c r="I128" s="60">
        <v>45992</v>
      </c>
      <c r="J128" s="59" t="s">
        <v>85</v>
      </c>
      <c r="K128" s="59" t="s">
        <v>1142</v>
      </c>
      <c r="L128" s="59"/>
      <c r="M128" s="61">
        <v>12406305.449999999</v>
      </c>
      <c r="N128" s="61">
        <v>-12406305.449999999</v>
      </c>
      <c r="O128" s="61">
        <v>6876008537.0901556</v>
      </c>
    </row>
    <row r="129" spans="1:15" x14ac:dyDescent="0.25">
      <c r="A129" s="62">
        <v>46035</v>
      </c>
      <c r="B129">
        <v>1</v>
      </c>
      <c r="C129" t="s">
        <v>1161</v>
      </c>
      <c r="D129">
        <v>2014173</v>
      </c>
      <c r="E129" t="s">
        <v>1167</v>
      </c>
      <c r="F129" t="s">
        <v>1174</v>
      </c>
      <c r="G129" t="s">
        <v>1136</v>
      </c>
      <c r="H129" t="s">
        <v>1147</v>
      </c>
      <c r="I129" s="63">
        <v>45992</v>
      </c>
      <c r="J129" t="s">
        <v>86</v>
      </c>
      <c r="K129" t="s">
        <v>1146</v>
      </c>
      <c r="M129" s="64">
        <v>13191259.1</v>
      </c>
      <c r="N129" s="64">
        <v>-13191259.1</v>
      </c>
      <c r="O129" s="64">
        <v>6862817277.9901552</v>
      </c>
    </row>
    <row r="130" spans="1:15" x14ac:dyDescent="0.25">
      <c r="A130" s="58">
        <v>46035</v>
      </c>
      <c r="B130" s="59">
        <v>1</v>
      </c>
      <c r="C130" s="59" t="s">
        <v>1161</v>
      </c>
      <c r="D130" s="59">
        <v>2014174</v>
      </c>
      <c r="E130" s="59" t="s">
        <v>1167</v>
      </c>
      <c r="F130" s="59" t="s">
        <v>1174</v>
      </c>
      <c r="G130" s="59" t="s">
        <v>1136</v>
      </c>
      <c r="H130" s="59" t="s">
        <v>1147</v>
      </c>
      <c r="I130" s="60">
        <v>45992</v>
      </c>
      <c r="J130" s="59" t="s">
        <v>87</v>
      </c>
      <c r="K130" s="59" t="s">
        <v>1148</v>
      </c>
      <c r="L130" s="59"/>
      <c r="M130" s="61">
        <v>16337500.75</v>
      </c>
      <c r="N130" s="61">
        <v>-16337500.75</v>
      </c>
      <c r="O130" s="61">
        <v>6846479777.2401552</v>
      </c>
    </row>
    <row r="131" spans="1:15" x14ac:dyDescent="0.25">
      <c r="A131" s="62">
        <v>46035</v>
      </c>
      <c r="B131">
        <v>1</v>
      </c>
      <c r="C131" t="s">
        <v>1161</v>
      </c>
      <c r="D131">
        <v>2014161</v>
      </c>
      <c r="E131" t="s">
        <v>1167</v>
      </c>
      <c r="F131" t="s">
        <v>1174</v>
      </c>
      <c r="G131" t="s">
        <v>1136</v>
      </c>
      <c r="H131" t="s">
        <v>1162</v>
      </c>
      <c r="I131" s="63">
        <v>45992</v>
      </c>
      <c r="J131" t="s">
        <v>88</v>
      </c>
      <c r="K131" t="s">
        <v>1142</v>
      </c>
      <c r="M131" s="64">
        <v>34077988.140000001</v>
      </c>
      <c r="N131" s="64">
        <v>-34077988.140000001</v>
      </c>
      <c r="O131" s="64">
        <v>6812401789.1001549</v>
      </c>
    </row>
    <row r="132" spans="1:15" x14ac:dyDescent="0.25">
      <c r="A132" s="58">
        <v>46035</v>
      </c>
      <c r="B132" s="59">
        <v>1</v>
      </c>
      <c r="C132" s="59" t="s">
        <v>1161</v>
      </c>
      <c r="D132" s="59">
        <v>2014162</v>
      </c>
      <c r="E132" s="59" t="s">
        <v>1167</v>
      </c>
      <c r="F132" s="59" t="s">
        <v>1174</v>
      </c>
      <c r="G132" s="59" t="s">
        <v>1136</v>
      </c>
      <c r="H132" s="59" t="s">
        <v>1162</v>
      </c>
      <c r="I132" s="60">
        <v>45992</v>
      </c>
      <c r="J132" s="59" t="s">
        <v>89</v>
      </c>
      <c r="K132" s="59" t="s">
        <v>1138</v>
      </c>
      <c r="L132" s="59"/>
      <c r="M132" s="61">
        <v>3437481.100000001</v>
      </c>
      <c r="N132" s="61">
        <v>-3437481.100000001</v>
      </c>
      <c r="O132" s="61">
        <v>6808964308.0001535</v>
      </c>
    </row>
    <row r="133" spans="1:15" x14ac:dyDescent="0.25">
      <c r="A133" s="62">
        <v>46035</v>
      </c>
      <c r="B133">
        <v>1</v>
      </c>
      <c r="C133" t="s">
        <v>1161</v>
      </c>
      <c r="D133">
        <v>2014167</v>
      </c>
      <c r="E133" t="s">
        <v>1167</v>
      </c>
      <c r="F133" t="s">
        <v>1174</v>
      </c>
      <c r="G133" t="s">
        <v>1136</v>
      </c>
      <c r="H133" t="s">
        <v>1162</v>
      </c>
      <c r="I133" s="63">
        <v>45992</v>
      </c>
      <c r="J133" t="s">
        <v>89</v>
      </c>
      <c r="K133" t="s">
        <v>1170</v>
      </c>
      <c r="M133" s="64">
        <v>195420.54</v>
      </c>
      <c r="N133" s="64">
        <v>-195420.54</v>
      </c>
      <c r="O133" s="64">
        <v>6808768887.4601545</v>
      </c>
    </row>
    <row r="134" spans="1:15" x14ac:dyDescent="0.25">
      <c r="A134" s="58">
        <v>46035</v>
      </c>
      <c r="B134" s="59">
        <v>1</v>
      </c>
      <c r="C134" s="59" t="s">
        <v>1161</v>
      </c>
      <c r="D134" s="59">
        <v>2014163</v>
      </c>
      <c r="E134" s="59" t="s">
        <v>1167</v>
      </c>
      <c r="F134" s="59" t="s">
        <v>1174</v>
      </c>
      <c r="G134" s="59" t="s">
        <v>1136</v>
      </c>
      <c r="H134" s="59" t="s">
        <v>1162</v>
      </c>
      <c r="I134" s="60">
        <v>45992</v>
      </c>
      <c r="J134" s="59" t="s">
        <v>90</v>
      </c>
      <c r="K134" s="59" t="s">
        <v>1146</v>
      </c>
      <c r="L134" s="59"/>
      <c r="M134" s="61">
        <v>45604760.399999999</v>
      </c>
      <c r="N134" s="61">
        <v>-45604760.399999999</v>
      </c>
      <c r="O134" s="61">
        <v>6763164127.0601549</v>
      </c>
    </row>
    <row r="135" spans="1:15" x14ac:dyDescent="0.25">
      <c r="A135" s="62">
        <v>46035</v>
      </c>
      <c r="B135">
        <v>1</v>
      </c>
      <c r="C135" t="s">
        <v>1161</v>
      </c>
      <c r="D135">
        <v>2044401</v>
      </c>
      <c r="E135" t="s">
        <v>1167</v>
      </c>
      <c r="F135" t="s">
        <v>1135</v>
      </c>
      <c r="G135" t="s">
        <v>1136</v>
      </c>
      <c r="H135" t="s">
        <v>1159</v>
      </c>
      <c r="I135" s="63">
        <v>45992</v>
      </c>
      <c r="J135" t="s">
        <v>91</v>
      </c>
      <c r="K135" t="s">
        <v>1142</v>
      </c>
      <c r="M135" s="64">
        <v>26942519.379999999</v>
      </c>
      <c r="N135" s="64">
        <v>-26942519.379999999</v>
      </c>
      <c r="O135" s="64">
        <v>6736221607.6801548</v>
      </c>
    </row>
    <row r="136" spans="1:15" x14ac:dyDescent="0.25">
      <c r="A136" s="58">
        <v>46035</v>
      </c>
      <c r="B136" s="59">
        <v>1</v>
      </c>
      <c r="C136" s="59" t="s">
        <v>1161</v>
      </c>
      <c r="D136" s="59">
        <v>2044402</v>
      </c>
      <c r="E136" s="59" t="s">
        <v>1167</v>
      </c>
      <c r="F136" s="59" t="s">
        <v>1135</v>
      </c>
      <c r="G136" s="59" t="s">
        <v>1136</v>
      </c>
      <c r="H136" s="59" t="s">
        <v>1159</v>
      </c>
      <c r="I136" s="60">
        <v>45992</v>
      </c>
      <c r="J136" s="59" t="s">
        <v>92</v>
      </c>
      <c r="K136" s="59" t="s">
        <v>1138</v>
      </c>
      <c r="L136" s="59"/>
      <c r="M136" s="61">
        <v>16529765.471999999</v>
      </c>
      <c r="N136" s="61">
        <v>-16529765.471999999</v>
      </c>
      <c r="O136" s="61">
        <v>6719691842.2081547</v>
      </c>
    </row>
    <row r="137" spans="1:15" x14ac:dyDescent="0.25">
      <c r="A137" s="62">
        <v>46035</v>
      </c>
      <c r="B137">
        <v>1</v>
      </c>
      <c r="C137" t="s">
        <v>1161</v>
      </c>
      <c r="D137">
        <v>2044407</v>
      </c>
      <c r="E137" t="s">
        <v>1167</v>
      </c>
      <c r="F137" t="s">
        <v>1135</v>
      </c>
      <c r="G137" t="s">
        <v>1136</v>
      </c>
      <c r="H137" t="s">
        <v>1159</v>
      </c>
      <c r="I137" s="63">
        <v>45992</v>
      </c>
      <c r="J137" t="s">
        <v>92</v>
      </c>
      <c r="K137" t="s">
        <v>1170</v>
      </c>
      <c r="M137" s="64">
        <v>400</v>
      </c>
      <c r="N137" s="64">
        <v>-400</v>
      </c>
      <c r="O137" s="64">
        <v>6719691442.2081547</v>
      </c>
    </row>
    <row r="138" spans="1:15" x14ac:dyDescent="0.25">
      <c r="A138" s="58">
        <v>46035</v>
      </c>
      <c r="B138" s="59">
        <v>1</v>
      </c>
      <c r="C138" s="59" t="s">
        <v>1161</v>
      </c>
      <c r="D138" s="59">
        <v>2044403</v>
      </c>
      <c r="E138" s="59" t="s">
        <v>1167</v>
      </c>
      <c r="F138" s="59" t="s">
        <v>1135</v>
      </c>
      <c r="G138" s="59" t="s">
        <v>1136</v>
      </c>
      <c r="H138" s="59" t="s">
        <v>1159</v>
      </c>
      <c r="I138" s="60">
        <v>45992</v>
      </c>
      <c r="J138" s="59" t="s">
        <v>93</v>
      </c>
      <c r="K138" s="59" t="s">
        <v>1146</v>
      </c>
      <c r="L138" s="59"/>
      <c r="M138" s="61">
        <v>19677002.579999998</v>
      </c>
      <c r="N138" s="61">
        <v>-19677002.579999998</v>
      </c>
      <c r="O138" s="61">
        <v>6700014439.6281548</v>
      </c>
    </row>
    <row r="139" spans="1:15" x14ac:dyDescent="0.25">
      <c r="A139" s="62">
        <v>46035</v>
      </c>
      <c r="B139">
        <v>1</v>
      </c>
      <c r="C139" t="s">
        <v>1161</v>
      </c>
      <c r="D139">
        <v>2044126</v>
      </c>
      <c r="E139" t="s">
        <v>1167</v>
      </c>
      <c r="F139" t="s">
        <v>1135</v>
      </c>
      <c r="G139" t="s">
        <v>1136</v>
      </c>
      <c r="H139" t="s">
        <v>1175</v>
      </c>
      <c r="I139" s="63">
        <v>45992</v>
      </c>
      <c r="J139" t="s">
        <v>95</v>
      </c>
      <c r="K139" t="s">
        <v>1150</v>
      </c>
      <c r="M139" s="64">
        <v>5549525.7999999998</v>
      </c>
      <c r="N139" s="64">
        <v>-5549525.7999999998</v>
      </c>
      <c r="O139" s="64">
        <v>6648561004.9381542</v>
      </c>
    </row>
    <row r="140" spans="1:15" x14ac:dyDescent="0.25">
      <c r="A140" s="58">
        <v>46035</v>
      </c>
      <c r="B140" s="59">
        <v>1</v>
      </c>
      <c r="C140" s="59" t="s">
        <v>1161</v>
      </c>
      <c r="D140" s="59">
        <v>2044126</v>
      </c>
      <c r="E140" s="59" t="s">
        <v>1167</v>
      </c>
      <c r="F140" s="59" t="s">
        <v>1135</v>
      </c>
      <c r="G140" s="59" t="s">
        <v>1136</v>
      </c>
      <c r="H140" s="59" t="s">
        <v>1175</v>
      </c>
      <c r="I140" s="60">
        <v>45992</v>
      </c>
      <c r="J140" s="59" t="s">
        <v>96</v>
      </c>
      <c r="K140" s="59" t="s">
        <v>1150</v>
      </c>
      <c r="L140" s="59"/>
      <c r="M140" s="61">
        <v>4631033.2</v>
      </c>
      <c r="N140" s="61">
        <v>-4631033.2</v>
      </c>
      <c r="O140" s="61">
        <v>6643929971.7381544</v>
      </c>
    </row>
    <row r="141" spans="1:15" x14ac:dyDescent="0.25">
      <c r="A141" s="62">
        <v>46035</v>
      </c>
      <c r="B141">
        <v>1</v>
      </c>
      <c r="C141" t="s">
        <v>1161</v>
      </c>
      <c r="D141">
        <v>2044126</v>
      </c>
      <c r="E141" t="s">
        <v>1167</v>
      </c>
      <c r="F141" t="s">
        <v>1135</v>
      </c>
      <c r="G141" t="s">
        <v>1136</v>
      </c>
      <c r="H141" t="s">
        <v>1175</v>
      </c>
      <c r="I141" s="63">
        <v>45992</v>
      </c>
      <c r="J141" t="s">
        <v>97</v>
      </c>
      <c r="K141" t="s">
        <v>1150</v>
      </c>
      <c r="M141" s="64">
        <v>3803442.7</v>
      </c>
      <c r="N141" s="64">
        <v>-3803442.7</v>
      </c>
      <c r="O141" s="64">
        <v>6640126529.0381546</v>
      </c>
    </row>
    <row r="142" spans="1:15" x14ac:dyDescent="0.25">
      <c r="A142" s="58">
        <v>46035</v>
      </c>
      <c r="B142" s="59">
        <v>1</v>
      </c>
      <c r="C142" s="59" t="s">
        <v>1161</v>
      </c>
      <c r="D142" s="59">
        <v>2044126</v>
      </c>
      <c r="E142" s="59" t="s">
        <v>1167</v>
      </c>
      <c r="F142" s="59" t="s">
        <v>1135</v>
      </c>
      <c r="G142" s="59" t="s">
        <v>1136</v>
      </c>
      <c r="H142" s="59" t="s">
        <v>1175</v>
      </c>
      <c r="I142" s="60">
        <v>45992</v>
      </c>
      <c r="J142" s="59" t="s">
        <v>98</v>
      </c>
      <c r="K142" s="59" t="s">
        <v>1150</v>
      </c>
      <c r="L142" s="59"/>
      <c r="M142" s="61">
        <v>871994.6</v>
      </c>
      <c r="N142" s="61">
        <v>-871994.6</v>
      </c>
      <c r="O142" s="61">
        <v>6639254534.4381542</v>
      </c>
    </row>
    <row r="143" spans="1:15" x14ac:dyDescent="0.25">
      <c r="A143" s="62">
        <v>46036</v>
      </c>
      <c r="B143">
        <v>1</v>
      </c>
      <c r="C143" t="s">
        <v>1166</v>
      </c>
      <c r="D143">
        <v>2044404</v>
      </c>
      <c r="E143" t="s">
        <v>1167</v>
      </c>
      <c r="F143" t="s">
        <v>1135</v>
      </c>
      <c r="G143" t="s">
        <v>1136</v>
      </c>
      <c r="H143" t="s">
        <v>1159</v>
      </c>
      <c r="I143" s="63">
        <v>45992</v>
      </c>
      <c r="J143" t="s">
        <v>100</v>
      </c>
      <c r="K143" t="s">
        <v>1148</v>
      </c>
      <c r="M143" s="64">
        <v>19101501.670000002</v>
      </c>
      <c r="N143" s="64">
        <v>-19101501.670000002</v>
      </c>
      <c r="O143" s="64">
        <v>6600317442.4981546</v>
      </c>
    </row>
    <row r="144" spans="1:15" x14ac:dyDescent="0.25">
      <c r="A144" s="58">
        <v>46036</v>
      </c>
      <c r="B144" s="59">
        <v>1</v>
      </c>
      <c r="C144" s="59" t="s">
        <v>1166</v>
      </c>
      <c r="D144" s="59">
        <v>2044406</v>
      </c>
      <c r="E144" s="59" t="s">
        <v>1167</v>
      </c>
      <c r="F144" s="59" t="s">
        <v>1135</v>
      </c>
      <c r="G144" s="59" t="s">
        <v>1136</v>
      </c>
      <c r="H144" s="59" t="s">
        <v>1159</v>
      </c>
      <c r="I144" s="60">
        <v>45992</v>
      </c>
      <c r="J144" s="59" t="s">
        <v>100</v>
      </c>
      <c r="K144" s="59" t="s">
        <v>1150</v>
      </c>
      <c r="L144" s="59"/>
      <c r="M144" s="61">
        <v>972212.9800000001</v>
      </c>
      <c r="N144" s="61">
        <v>-972212.9800000001</v>
      </c>
      <c r="O144" s="61">
        <v>6599345229.5181551</v>
      </c>
    </row>
    <row r="145" spans="1:15" x14ac:dyDescent="0.25">
      <c r="A145" s="62">
        <v>46036</v>
      </c>
      <c r="B145">
        <v>1</v>
      </c>
      <c r="C145" t="s">
        <v>1166</v>
      </c>
      <c r="D145">
        <v>2044404</v>
      </c>
      <c r="E145" t="s">
        <v>1167</v>
      </c>
      <c r="F145" t="s">
        <v>1135</v>
      </c>
      <c r="G145" t="s">
        <v>1136</v>
      </c>
      <c r="H145" t="s">
        <v>1159</v>
      </c>
      <c r="I145" s="63">
        <v>45992</v>
      </c>
      <c r="J145" t="s">
        <v>100</v>
      </c>
      <c r="K145" t="s">
        <v>1148</v>
      </c>
      <c r="M145" s="64">
        <v>13663961.810000001</v>
      </c>
      <c r="N145" s="64">
        <v>-13663961.810000001</v>
      </c>
      <c r="O145" s="64">
        <v>6585681267.7081547</v>
      </c>
    </row>
    <row r="146" spans="1:15" x14ac:dyDescent="0.25">
      <c r="A146" s="58">
        <v>46036</v>
      </c>
      <c r="B146" s="59">
        <v>1</v>
      </c>
      <c r="C146" s="59" t="s">
        <v>1166</v>
      </c>
      <c r="D146" s="59">
        <v>2044126</v>
      </c>
      <c r="E146" s="59" t="s">
        <v>1167</v>
      </c>
      <c r="F146" s="59" t="s">
        <v>1135</v>
      </c>
      <c r="G146" s="59" t="s">
        <v>1136</v>
      </c>
      <c r="H146" s="59" t="s">
        <v>1175</v>
      </c>
      <c r="I146" s="60">
        <v>45992</v>
      </c>
      <c r="J146" s="59" t="s">
        <v>101</v>
      </c>
      <c r="K146" s="59" t="s">
        <v>1150</v>
      </c>
      <c r="L146" s="59"/>
      <c r="M146" s="61">
        <v>3062115.2</v>
      </c>
      <c r="N146" s="61">
        <v>-3062115.2</v>
      </c>
      <c r="O146" s="61">
        <v>6582619152.5081549</v>
      </c>
    </row>
    <row r="147" spans="1:15" x14ac:dyDescent="0.25">
      <c r="A147" s="62">
        <v>46036</v>
      </c>
      <c r="B147">
        <v>1</v>
      </c>
      <c r="C147" t="s">
        <v>1166</v>
      </c>
      <c r="D147">
        <v>2044126</v>
      </c>
      <c r="E147" t="s">
        <v>1167</v>
      </c>
      <c r="F147" t="s">
        <v>1135</v>
      </c>
      <c r="G147" t="s">
        <v>1136</v>
      </c>
      <c r="H147" t="s">
        <v>1175</v>
      </c>
      <c r="I147" s="63">
        <v>45992</v>
      </c>
      <c r="J147" t="s">
        <v>102</v>
      </c>
      <c r="K147" t="s">
        <v>1150</v>
      </c>
      <c r="M147" s="64">
        <v>2540799</v>
      </c>
      <c r="N147" s="64">
        <v>-2540799</v>
      </c>
      <c r="O147" s="64">
        <v>6580078353.5081549</v>
      </c>
    </row>
    <row r="148" spans="1:15" x14ac:dyDescent="0.25">
      <c r="A148" s="58">
        <v>46036</v>
      </c>
      <c r="B148" s="59">
        <v>1</v>
      </c>
      <c r="C148" s="59" t="s">
        <v>1166</v>
      </c>
      <c r="D148" s="59">
        <v>2044126</v>
      </c>
      <c r="E148" s="59" t="s">
        <v>1167</v>
      </c>
      <c r="F148" s="59" t="s">
        <v>1135</v>
      </c>
      <c r="G148" s="59" t="s">
        <v>1136</v>
      </c>
      <c r="H148" s="59" t="s">
        <v>1175</v>
      </c>
      <c r="I148" s="60">
        <v>45992</v>
      </c>
      <c r="J148" s="59" t="s">
        <v>103</v>
      </c>
      <c r="K148" s="59" t="s">
        <v>1150</v>
      </c>
      <c r="L148" s="59"/>
      <c r="M148" s="61">
        <v>1209961.6000000001</v>
      </c>
      <c r="N148" s="61">
        <v>-1209961.6000000001</v>
      </c>
      <c r="O148" s="61">
        <v>6578868391.9081535</v>
      </c>
    </row>
    <row r="149" spans="1:15" x14ac:dyDescent="0.25">
      <c r="A149" s="62">
        <v>46036</v>
      </c>
      <c r="B149">
        <v>1</v>
      </c>
      <c r="C149" t="s">
        <v>1166</v>
      </c>
      <c r="D149">
        <v>2044126</v>
      </c>
      <c r="E149" t="s">
        <v>1167</v>
      </c>
      <c r="F149" t="s">
        <v>1135</v>
      </c>
      <c r="G149" t="s">
        <v>1136</v>
      </c>
      <c r="H149" t="s">
        <v>1175</v>
      </c>
      <c r="I149" s="63">
        <v>45992</v>
      </c>
      <c r="J149" t="s">
        <v>104</v>
      </c>
      <c r="K149" t="s">
        <v>1150</v>
      </c>
      <c r="M149" s="64">
        <v>1160865.8999999999</v>
      </c>
      <c r="N149" s="64">
        <v>-1160865.8999999999</v>
      </c>
      <c r="O149" s="64">
        <v>6577707526.0081549</v>
      </c>
    </row>
    <row r="150" spans="1:15" x14ac:dyDescent="0.25">
      <c r="A150" s="58">
        <v>46036</v>
      </c>
      <c r="B150" s="59">
        <v>1</v>
      </c>
      <c r="C150" s="59" t="s">
        <v>1166</v>
      </c>
      <c r="D150" s="59">
        <v>2044126</v>
      </c>
      <c r="E150" s="59" t="s">
        <v>1167</v>
      </c>
      <c r="F150" s="59" t="s">
        <v>1135</v>
      </c>
      <c r="G150" s="59" t="s">
        <v>1136</v>
      </c>
      <c r="H150" s="59" t="s">
        <v>1175</v>
      </c>
      <c r="I150" s="60">
        <v>45992</v>
      </c>
      <c r="J150" s="59" t="s">
        <v>105</v>
      </c>
      <c r="K150" s="59" t="s">
        <v>1150</v>
      </c>
      <c r="L150" s="59"/>
      <c r="M150" s="61">
        <v>1072300.6000000001</v>
      </c>
      <c r="N150" s="61">
        <v>-1072300.6000000001</v>
      </c>
      <c r="O150" s="61">
        <v>6576635225.4081535</v>
      </c>
    </row>
    <row r="151" spans="1:15" x14ac:dyDescent="0.25">
      <c r="A151" s="62">
        <v>46036</v>
      </c>
      <c r="B151">
        <v>1</v>
      </c>
      <c r="C151" t="s">
        <v>1166</v>
      </c>
      <c r="D151">
        <v>2044126</v>
      </c>
      <c r="E151" t="s">
        <v>1167</v>
      </c>
      <c r="F151" t="s">
        <v>1135</v>
      </c>
      <c r="G151" t="s">
        <v>1136</v>
      </c>
      <c r="H151" t="s">
        <v>1175</v>
      </c>
      <c r="I151" s="63">
        <v>45992</v>
      </c>
      <c r="J151" t="s">
        <v>106</v>
      </c>
      <c r="K151" t="s">
        <v>1150</v>
      </c>
      <c r="M151" s="64">
        <v>977574.6</v>
      </c>
      <c r="N151" s="64">
        <v>-977574.6</v>
      </c>
      <c r="O151" s="64">
        <v>6575657650.8081541</v>
      </c>
    </row>
    <row r="152" spans="1:15" x14ac:dyDescent="0.25">
      <c r="A152" s="58">
        <v>46036</v>
      </c>
      <c r="B152" s="59">
        <v>1</v>
      </c>
      <c r="C152" s="59" t="s">
        <v>1166</v>
      </c>
      <c r="D152" s="59">
        <v>2044126</v>
      </c>
      <c r="E152" s="59" t="s">
        <v>1167</v>
      </c>
      <c r="F152" s="59" t="s">
        <v>1135</v>
      </c>
      <c r="G152" s="59" t="s">
        <v>1136</v>
      </c>
      <c r="H152" s="59" t="s">
        <v>1175</v>
      </c>
      <c r="I152" s="60">
        <v>45992</v>
      </c>
      <c r="J152" s="59" t="s">
        <v>107</v>
      </c>
      <c r="K152" s="59" t="s">
        <v>1150</v>
      </c>
      <c r="L152" s="59"/>
      <c r="M152" s="61">
        <v>736196</v>
      </c>
      <c r="N152" s="61">
        <v>-736196</v>
      </c>
      <c r="O152" s="61">
        <v>6574921454.8081541</v>
      </c>
    </row>
    <row r="153" spans="1:15" x14ac:dyDescent="0.25">
      <c r="A153" s="62">
        <v>46036</v>
      </c>
      <c r="B153">
        <v>1</v>
      </c>
      <c r="C153" t="s">
        <v>1166</v>
      </c>
      <c r="D153">
        <v>2044121</v>
      </c>
      <c r="E153" t="s">
        <v>1167</v>
      </c>
      <c r="F153" t="s">
        <v>1135</v>
      </c>
      <c r="G153" t="s">
        <v>1136</v>
      </c>
      <c r="H153" t="s">
        <v>1175</v>
      </c>
      <c r="I153" s="63">
        <v>45566</v>
      </c>
      <c r="J153" t="s">
        <v>108</v>
      </c>
      <c r="K153" t="s">
        <v>1142</v>
      </c>
      <c r="M153" s="64">
        <v>1283862.1000000001</v>
      </c>
      <c r="N153" s="64">
        <v>-1283862.1000000001</v>
      </c>
      <c r="O153" s="64">
        <v>6573637592.7081537</v>
      </c>
    </row>
    <row r="154" spans="1:15" x14ac:dyDescent="0.25">
      <c r="A154" s="58">
        <v>46036</v>
      </c>
      <c r="B154" s="59">
        <v>1</v>
      </c>
      <c r="C154" s="59" t="s">
        <v>1166</v>
      </c>
      <c r="D154" s="59">
        <v>2044121</v>
      </c>
      <c r="E154" s="59" t="s">
        <v>1167</v>
      </c>
      <c r="F154" s="59" t="s">
        <v>1135</v>
      </c>
      <c r="G154" s="59" t="s">
        <v>1136</v>
      </c>
      <c r="H154" s="59" t="s">
        <v>1175</v>
      </c>
      <c r="I154" s="60">
        <v>45597</v>
      </c>
      <c r="J154" s="59" t="s">
        <v>109</v>
      </c>
      <c r="K154" s="59" t="s">
        <v>1142</v>
      </c>
      <c r="L154" s="59"/>
      <c r="M154" s="61">
        <v>6697359.0999999996</v>
      </c>
      <c r="N154" s="61">
        <v>-6697359.0999999996</v>
      </c>
      <c r="O154" s="61">
        <v>6566940233.6081533</v>
      </c>
    </row>
    <row r="155" spans="1:15" x14ac:dyDescent="0.25">
      <c r="A155" s="62">
        <v>46036</v>
      </c>
      <c r="B155">
        <v>1</v>
      </c>
      <c r="C155" t="s">
        <v>1166</v>
      </c>
      <c r="D155">
        <v>2044121</v>
      </c>
      <c r="E155" t="s">
        <v>1167</v>
      </c>
      <c r="F155" t="s">
        <v>1135</v>
      </c>
      <c r="G155" t="s">
        <v>1136</v>
      </c>
      <c r="H155" t="s">
        <v>1175</v>
      </c>
      <c r="I155" s="63">
        <v>45689</v>
      </c>
      <c r="J155" t="s">
        <v>110</v>
      </c>
      <c r="K155" t="s">
        <v>1142</v>
      </c>
      <c r="M155" s="64">
        <v>2420087.8960000002</v>
      </c>
      <c r="N155" s="64">
        <v>-2420087.8960000002</v>
      </c>
      <c r="O155" s="64">
        <v>6564520145.7121534</v>
      </c>
    </row>
    <row r="156" spans="1:15" x14ac:dyDescent="0.25">
      <c r="A156" s="58">
        <v>46037</v>
      </c>
      <c r="B156" s="59">
        <v>1</v>
      </c>
      <c r="C156" s="59" t="s">
        <v>1171</v>
      </c>
      <c r="D156" s="59">
        <v>2044461</v>
      </c>
      <c r="E156" s="59" t="s">
        <v>1167</v>
      </c>
      <c r="F156" s="59" t="s">
        <v>1135</v>
      </c>
      <c r="G156" s="59" t="s">
        <v>1136</v>
      </c>
      <c r="H156" s="59" t="s">
        <v>1140</v>
      </c>
      <c r="I156" s="60">
        <v>45992</v>
      </c>
      <c r="J156" s="59" t="s">
        <v>111</v>
      </c>
      <c r="K156" s="59" t="s">
        <v>1142</v>
      </c>
      <c r="L156" s="59"/>
      <c r="M156" s="61">
        <v>1924098.15</v>
      </c>
      <c r="N156" s="61">
        <v>-1924098.15</v>
      </c>
      <c r="O156" s="61">
        <v>6562596047.5621538</v>
      </c>
    </row>
    <row r="157" spans="1:15" x14ac:dyDescent="0.25">
      <c r="A157" s="62">
        <v>46037</v>
      </c>
      <c r="B157">
        <v>1</v>
      </c>
      <c r="C157" t="s">
        <v>1171</v>
      </c>
      <c r="D157">
        <v>2044463</v>
      </c>
      <c r="E157" t="s">
        <v>1167</v>
      </c>
      <c r="F157" t="s">
        <v>1135</v>
      </c>
      <c r="G157" t="s">
        <v>1136</v>
      </c>
      <c r="H157" t="s">
        <v>1140</v>
      </c>
      <c r="I157" s="63">
        <v>45992</v>
      </c>
      <c r="J157" t="s">
        <v>112</v>
      </c>
      <c r="K157" t="s">
        <v>1146</v>
      </c>
      <c r="M157" s="64">
        <v>2466924.63</v>
      </c>
      <c r="N157" s="64">
        <v>-2466924.63</v>
      </c>
      <c r="O157" s="64">
        <v>6560129122.9321537</v>
      </c>
    </row>
    <row r="158" spans="1:15" x14ac:dyDescent="0.25">
      <c r="A158" s="58">
        <v>46037</v>
      </c>
      <c r="B158" s="59">
        <v>1</v>
      </c>
      <c r="C158" s="59" t="s">
        <v>1171</v>
      </c>
      <c r="D158" s="59">
        <v>2014263</v>
      </c>
      <c r="E158" s="59" t="s">
        <v>1167</v>
      </c>
      <c r="F158" s="59" t="s">
        <v>1174</v>
      </c>
      <c r="G158" s="59" t="s">
        <v>1136</v>
      </c>
      <c r="H158" s="59" t="s">
        <v>1145</v>
      </c>
      <c r="I158" s="60">
        <v>45992</v>
      </c>
      <c r="J158" s="59" t="s">
        <v>113</v>
      </c>
      <c r="K158" s="59" t="s">
        <v>1146</v>
      </c>
      <c r="L158" s="59"/>
      <c r="M158" s="61">
        <v>4391385.59</v>
      </c>
      <c r="N158" s="61">
        <v>-4391385.59</v>
      </c>
      <c r="O158" s="61">
        <v>6555737737.3421535</v>
      </c>
    </row>
    <row r="159" spans="1:15" x14ac:dyDescent="0.25">
      <c r="A159" s="62">
        <v>46037</v>
      </c>
      <c r="B159">
        <v>1</v>
      </c>
      <c r="C159" t="s">
        <v>1171</v>
      </c>
      <c r="D159">
        <v>2044121</v>
      </c>
      <c r="E159" t="s">
        <v>1167</v>
      </c>
      <c r="F159" t="s">
        <v>1135</v>
      </c>
      <c r="G159" t="s">
        <v>1136</v>
      </c>
      <c r="H159" t="s">
        <v>1175</v>
      </c>
      <c r="I159" s="63">
        <v>45689</v>
      </c>
      <c r="J159" t="s">
        <v>114</v>
      </c>
      <c r="K159" t="s">
        <v>1142</v>
      </c>
      <c r="M159" s="64">
        <v>2420087.9</v>
      </c>
      <c r="N159" s="64">
        <v>-2420087.9</v>
      </c>
      <c r="O159" s="64">
        <v>6553317649.4421539</v>
      </c>
    </row>
    <row r="160" spans="1:15" x14ac:dyDescent="0.25">
      <c r="A160" s="58">
        <v>46037</v>
      </c>
      <c r="B160" s="59">
        <v>1</v>
      </c>
      <c r="C160" s="59" t="s">
        <v>1171</v>
      </c>
      <c r="D160" s="59">
        <v>2044121</v>
      </c>
      <c r="E160" s="59" t="s">
        <v>1167</v>
      </c>
      <c r="F160" s="59" t="s">
        <v>1135</v>
      </c>
      <c r="G160" s="59" t="s">
        <v>1136</v>
      </c>
      <c r="H160" s="59" t="s">
        <v>1175</v>
      </c>
      <c r="I160" s="60">
        <v>45717</v>
      </c>
      <c r="J160" s="59" t="s">
        <v>115</v>
      </c>
      <c r="K160" s="59" t="s">
        <v>1142</v>
      </c>
      <c r="L160" s="59"/>
      <c r="M160" s="61">
        <v>15009522.5</v>
      </c>
      <c r="N160" s="61">
        <v>-15009522.5</v>
      </c>
      <c r="O160" s="61">
        <v>6538308126.9421539</v>
      </c>
    </row>
    <row r="161" spans="1:15" x14ac:dyDescent="0.25">
      <c r="A161" s="62">
        <v>46037</v>
      </c>
      <c r="B161">
        <v>1</v>
      </c>
      <c r="C161" t="s">
        <v>1171</v>
      </c>
      <c r="D161">
        <v>2044121</v>
      </c>
      <c r="E161" t="s">
        <v>1167</v>
      </c>
      <c r="F161" t="s">
        <v>1135</v>
      </c>
      <c r="G161" t="s">
        <v>1136</v>
      </c>
      <c r="H161" t="s">
        <v>1175</v>
      </c>
      <c r="I161" s="63">
        <v>45778</v>
      </c>
      <c r="J161" t="s">
        <v>116</v>
      </c>
      <c r="K161" t="s">
        <v>1142</v>
      </c>
      <c r="M161" s="64">
        <v>1211397</v>
      </c>
      <c r="N161" s="64">
        <v>-1211397</v>
      </c>
      <c r="O161" s="64">
        <v>6537096729.9421539</v>
      </c>
    </row>
    <row r="162" spans="1:15" x14ac:dyDescent="0.25">
      <c r="A162" s="58">
        <v>46038</v>
      </c>
      <c r="B162" s="59">
        <v>1</v>
      </c>
      <c r="C162" s="59" t="s">
        <v>1133</v>
      </c>
      <c r="D162" s="59">
        <v>2014353</v>
      </c>
      <c r="E162" s="59" t="s">
        <v>1167</v>
      </c>
      <c r="F162" s="59" t="s">
        <v>1174</v>
      </c>
      <c r="G162" s="59" t="s">
        <v>1136</v>
      </c>
      <c r="H162" s="59" t="s">
        <v>1157</v>
      </c>
      <c r="I162" s="60">
        <v>45992</v>
      </c>
      <c r="J162" s="59" t="s">
        <v>117</v>
      </c>
      <c r="K162" s="59" t="s">
        <v>1146</v>
      </c>
      <c r="L162" s="59"/>
      <c r="M162" s="61">
        <v>8904970.7599999998</v>
      </c>
      <c r="N162" s="61">
        <v>-8904970.7599999998</v>
      </c>
      <c r="O162" s="61">
        <v>6528191759.1821537</v>
      </c>
    </row>
    <row r="163" spans="1:15" x14ac:dyDescent="0.25">
      <c r="A163" s="62">
        <v>46038</v>
      </c>
      <c r="B163">
        <v>1</v>
      </c>
      <c r="C163" t="s">
        <v>1133</v>
      </c>
      <c r="D163">
        <v>2014352</v>
      </c>
      <c r="E163" t="s">
        <v>1167</v>
      </c>
      <c r="F163" t="s">
        <v>1174</v>
      </c>
      <c r="G163" t="s">
        <v>1136</v>
      </c>
      <c r="H163" t="s">
        <v>1157</v>
      </c>
      <c r="I163" s="63">
        <v>45992</v>
      </c>
      <c r="J163" t="s">
        <v>118</v>
      </c>
      <c r="K163" t="s">
        <v>1138</v>
      </c>
      <c r="M163" s="64">
        <v>11949496.916672001</v>
      </c>
      <c r="N163" s="64">
        <v>-11949496.916672001</v>
      </c>
      <c r="O163" s="64">
        <v>6516242262.2654819</v>
      </c>
    </row>
    <row r="164" spans="1:15" x14ac:dyDescent="0.25">
      <c r="A164" s="58">
        <v>46038</v>
      </c>
      <c r="B164" s="59">
        <v>1</v>
      </c>
      <c r="C164" s="59" t="s">
        <v>1133</v>
      </c>
      <c r="D164" s="59">
        <v>2014354</v>
      </c>
      <c r="E164" s="59" t="s">
        <v>1167</v>
      </c>
      <c r="F164" s="59" t="s">
        <v>1174</v>
      </c>
      <c r="G164" s="59" t="s">
        <v>1136</v>
      </c>
      <c r="H164" s="59" t="s">
        <v>1157</v>
      </c>
      <c r="I164" s="60">
        <v>45992</v>
      </c>
      <c r="J164" s="59" t="s">
        <v>119</v>
      </c>
      <c r="K164" s="59" t="s">
        <v>1148</v>
      </c>
      <c r="L164" s="59"/>
      <c r="M164" s="61">
        <v>7105775.2800000003</v>
      </c>
      <c r="N164" s="61">
        <v>-7105775.2800000003</v>
      </c>
      <c r="O164" s="61">
        <v>6509136486.9854822</v>
      </c>
    </row>
    <row r="165" spans="1:15" x14ac:dyDescent="0.25">
      <c r="A165" s="62">
        <v>46038</v>
      </c>
      <c r="B165">
        <v>1</v>
      </c>
      <c r="C165" t="s">
        <v>1133</v>
      </c>
      <c r="D165">
        <v>2014356</v>
      </c>
      <c r="E165" t="s">
        <v>1167</v>
      </c>
      <c r="F165" t="s">
        <v>1174</v>
      </c>
      <c r="G165" t="s">
        <v>1136</v>
      </c>
      <c r="H165" t="s">
        <v>1157</v>
      </c>
      <c r="I165" s="63">
        <v>45992</v>
      </c>
      <c r="J165" t="s">
        <v>119</v>
      </c>
      <c r="K165" t="s">
        <v>1150</v>
      </c>
      <c r="M165" s="64">
        <v>5918444.5199999996</v>
      </c>
      <c r="N165" s="64">
        <v>-5918444.5199999996</v>
      </c>
      <c r="O165" s="64">
        <v>6503218042.4654818</v>
      </c>
    </row>
    <row r="166" spans="1:15" x14ac:dyDescent="0.25">
      <c r="A166" s="58">
        <v>46038</v>
      </c>
      <c r="B166" s="59">
        <v>1</v>
      </c>
      <c r="C166" s="59" t="s">
        <v>1133</v>
      </c>
      <c r="D166" s="59">
        <v>2044126</v>
      </c>
      <c r="E166" s="59" t="s">
        <v>1167</v>
      </c>
      <c r="F166" s="59" t="s">
        <v>1135</v>
      </c>
      <c r="G166" s="59" t="s">
        <v>1136</v>
      </c>
      <c r="H166" s="59" t="s">
        <v>1175</v>
      </c>
      <c r="I166" s="60">
        <v>45992</v>
      </c>
      <c r="J166" s="59" t="s">
        <v>120</v>
      </c>
      <c r="K166" s="59" t="s">
        <v>1150</v>
      </c>
      <c r="L166" s="59"/>
      <c r="M166" s="61">
        <v>9496017.0999999996</v>
      </c>
      <c r="N166" s="61">
        <v>-9496017.0999999996</v>
      </c>
      <c r="O166" s="61">
        <v>6493722025.3654814</v>
      </c>
    </row>
    <row r="167" spans="1:15" x14ac:dyDescent="0.25">
      <c r="A167" s="62">
        <v>46038</v>
      </c>
      <c r="B167">
        <v>1</v>
      </c>
      <c r="C167" t="s">
        <v>1133</v>
      </c>
      <c r="D167">
        <v>2044127</v>
      </c>
      <c r="E167" t="s">
        <v>1167</v>
      </c>
      <c r="F167" t="s">
        <v>1135</v>
      </c>
      <c r="G167" t="s">
        <v>1136</v>
      </c>
      <c r="H167" t="s">
        <v>1175</v>
      </c>
      <c r="I167" s="63">
        <v>45992</v>
      </c>
      <c r="J167" t="s">
        <v>121</v>
      </c>
      <c r="K167" t="s">
        <v>1170</v>
      </c>
      <c r="M167" s="64">
        <v>1305268.7</v>
      </c>
      <c r="N167" s="64">
        <v>-1305268.7</v>
      </c>
      <c r="O167" s="64">
        <v>6492416756.6654816</v>
      </c>
    </row>
    <row r="168" spans="1:15" x14ac:dyDescent="0.25">
      <c r="A168" s="58">
        <v>46038</v>
      </c>
      <c r="B168" s="59">
        <v>1</v>
      </c>
      <c r="C168" s="59" t="s">
        <v>1133</v>
      </c>
      <c r="D168" s="59">
        <v>2044127</v>
      </c>
      <c r="E168" s="59" t="s">
        <v>1167</v>
      </c>
      <c r="F168" s="59" t="s">
        <v>1135</v>
      </c>
      <c r="G168" s="59" t="s">
        <v>1136</v>
      </c>
      <c r="H168" s="59" t="s">
        <v>1175</v>
      </c>
      <c r="I168" s="60">
        <v>45992</v>
      </c>
      <c r="J168" s="59" t="s">
        <v>122</v>
      </c>
      <c r="K168" s="59" t="s">
        <v>1170</v>
      </c>
      <c r="L168" s="59"/>
      <c r="M168" s="61">
        <v>2009008.6</v>
      </c>
      <c r="N168" s="61">
        <v>-2009008.6</v>
      </c>
      <c r="O168" s="61">
        <v>6490407748.0654812</v>
      </c>
    </row>
    <row r="169" spans="1:15" x14ac:dyDescent="0.25">
      <c r="A169" s="62">
        <v>46038</v>
      </c>
      <c r="B169">
        <v>1</v>
      </c>
      <c r="C169" t="s">
        <v>1133</v>
      </c>
      <c r="D169">
        <v>2044127</v>
      </c>
      <c r="E169" t="s">
        <v>1167</v>
      </c>
      <c r="F169" t="s">
        <v>1135</v>
      </c>
      <c r="G169" t="s">
        <v>1136</v>
      </c>
      <c r="H169" t="s">
        <v>1175</v>
      </c>
      <c r="I169" s="63">
        <v>45992</v>
      </c>
      <c r="J169" t="s">
        <v>123</v>
      </c>
      <c r="K169" t="s">
        <v>1170</v>
      </c>
      <c r="M169" s="64">
        <v>1008810</v>
      </c>
      <c r="N169" s="64">
        <v>-1008810</v>
      </c>
      <c r="O169" s="64">
        <v>6489398938.0654812</v>
      </c>
    </row>
    <row r="170" spans="1:15" x14ac:dyDescent="0.25">
      <c r="A170" s="58">
        <v>46038</v>
      </c>
      <c r="B170" s="59">
        <v>1</v>
      </c>
      <c r="C170" s="59" t="s">
        <v>1133</v>
      </c>
      <c r="D170" s="59">
        <v>2044121</v>
      </c>
      <c r="E170" s="59" t="s">
        <v>1167</v>
      </c>
      <c r="F170" s="59" t="s">
        <v>1135</v>
      </c>
      <c r="G170" s="59" t="s">
        <v>1136</v>
      </c>
      <c r="H170" s="59" t="s">
        <v>1175</v>
      </c>
      <c r="I170" s="60">
        <v>45809</v>
      </c>
      <c r="J170" s="59" t="s">
        <v>124</v>
      </c>
      <c r="K170" s="59" t="s">
        <v>1142</v>
      </c>
      <c r="L170" s="59"/>
      <c r="M170" s="61">
        <v>12213711.4</v>
      </c>
      <c r="N170" s="61">
        <v>-12213711.4</v>
      </c>
      <c r="O170" s="61">
        <v>6477185226.6654816</v>
      </c>
    </row>
    <row r="171" spans="1:15" x14ac:dyDescent="0.25">
      <c r="A171" s="62">
        <v>46041</v>
      </c>
      <c r="B171">
        <v>1</v>
      </c>
      <c r="C171" t="s">
        <v>1144</v>
      </c>
      <c r="D171">
        <v>2044464</v>
      </c>
      <c r="E171" t="s">
        <v>1167</v>
      </c>
      <c r="F171" t="s">
        <v>1135</v>
      </c>
      <c r="G171" t="s">
        <v>1136</v>
      </c>
      <c r="H171" t="s">
        <v>1140</v>
      </c>
      <c r="I171" s="63">
        <v>45992</v>
      </c>
      <c r="J171" t="s">
        <v>126</v>
      </c>
      <c r="K171" t="s">
        <v>1148</v>
      </c>
      <c r="M171" s="64">
        <v>5320265.22</v>
      </c>
      <c r="N171" s="64">
        <v>-5320265.22</v>
      </c>
      <c r="O171" s="64">
        <v>6529626075.7954817</v>
      </c>
    </row>
    <row r="172" spans="1:15" x14ac:dyDescent="0.25">
      <c r="A172" s="58">
        <v>46041</v>
      </c>
      <c r="B172" s="59">
        <v>1</v>
      </c>
      <c r="C172" s="59" t="s">
        <v>1144</v>
      </c>
      <c r="D172" s="59">
        <v>2044465</v>
      </c>
      <c r="E172" s="59" t="s">
        <v>1167</v>
      </c>
      <c r="F172" s="59" t="s">
        <v>1135</v>
      </c>
      <c r="G172" s="59" t="s">
        <v>1136</v>
      </c>
      <c r="H172" s="59" t="s">
        <v>1140</v>
      </c>
      <c r="I172" s="60">
        <v>45992</v>
      </c>
      <c r="J172" s="59" t="s">
        <v>127</v>
      </c>
      <c r="K172" s="59" t="s">
        <v>1172</v>
      </c>
      <c r="L172" s="59"/>
      <c r="M172" s="61">
        <v>663941.6385</v>
      </c>
      <c r="N172" s="61">
        <v>-663941.6385</v>
      </c>
      <c r="O172" s="61">
        <v>6528962134.1569815</v>
      </c>
    </row>
    <row r="173" spans="1:15" x14ac:dyDescent="0.25">
      <c r="A173" s="62">
        <v>46041</v>
      </c>
      <c r="B173">
        <v>1</v>
      </c>
      <c r="C173" t="s">
        <v>1144</v>
      </c>
      <c r="D173">
        <v>1044507</v>
      </c>
      <c r="E173" t="s">
        <v>1134</v>
      </c>
      <c r="F173" t="s">
        <v>1135</v>
      </c>
      <c r="G173" t="s">
        <v>1136</v>
      </c>
      <c r="H173" t="s">
        <v>1175</v>
      </c>
      <c r="I173" s="63">
        <v>45992</v>
      </c>
      <c r="J173" t="s">
        <v>134</v>
      </c>
      <c r="K173" t="s">
        <v>1170</v>
      </c>
      <c r="L173" s="64">
        <v>7686475.5000000009</v>
      </c>
      <c r="N173" s="64">
        <v>7686475.5000000009</v>
      </c>
      <c r="O173" s="64">
        <v>6296164013.9124718</v>
      </c>
    </row>
    <row r="174" spans="1:15" x14ac:dyDescent="0.25">
      <c r="A174" s="58">
        <v>46041</v>
      </c>
      <c r="B174" s="59">
        <v>1</v>
      </c>
      <c r="C174" s="59" t="s">
        <v>1144</v>
      </c>
      <c r="D174" s="59">
        <v>1044167</v>
      </c>
      <c r="E174" s="59" t="s">
        <v>1134</v>
      </c>
      <c r="F174" s="59" t="s">
        <v>1135</v>
      </c>
      <c r="G174" s="59" t="s">
        <v>1136</v>
      </c>
      <c r="H174" s="59" t="s">
        <v>1162</v>
      </c>
      <c r="I174" s="60">
        <v>45992</v>
      </c>
      <c r="J174" s="59" t="s">
        <v>134</v>
      </c>
      <c r="K174" s="59" t="s">
        <v>1170</v>
      </c>
      <c r="L174" s="61">
        <v>327995.34000000003</v>
      </c>
      <c r="M174" s="59"/>
      <c r="N174" s="61">
        <v>327995.34000000003</v>
      </c>
      <c r="O174" s="61">
        <v>6296501319.2524719</v>
      </c>
    </row>
    <row r="175" spans="1:15" x14ac:dyDescent="0.25">
      <c r="A175" s="62">
        <v>46041</v>
      </c>
      <c r="B175">
        <v>1</v>
      </c>
      <c r="C175" t="s">
        <v>1144</v>
      </c>
      <c r="D175">
        <v>1044197</v>
      </c>
      <c r="E175" t="s">
        <v>1134</v>
      </c>
      <c r="F175" t="s">
        <v>1135</v>
      </c>
      <c r="G175" t="s">
        <v>1136</v>
      </c>
      <c r="H175" t="s">
        <v>1149</v>
      </c>
      <c r="I175" s="63">
        <v>45992</v>
      </c>
      <c r="J175" t="s">
        <v>134</v>
      </c>
      <c r="K175" t="s">
        <v>1170</v>
      </c>
      <c r="L175" s="64">
        <v>591840</v>
      </c>
      <c r="N175" s="64">
        <v>591840</v>
      </c>
      <c r="O175" s="64">
        <v>6297448914.2824717</v>
      </c>
    </row>
    <row r="176" spans="1:15" x14ac:dyDescent="0.25">
      <c r="A176" s="58">
        <v>46041</v>
      </c>
      <c r="B176" s="59">
        <v>1</v>
      </c>
      <c r="C176" s="59" t="s">
        <v>1144</v>
      </c>
      <c r="D176" s="59">
        <v>1044287</v>
      </c>
      <c r="E176" s="59" t="s">
        <v>1134</v>
      </c>
      <c r="F176" s="59" t="s">
        <v>1135</v>
      </c>
      <c r="G176" s="59" t="s">
        <v>1136</v>
      </c>
      <c r="H176" s="59" t="s">
        <v>1155</v>
      </c>
      <c r="I176" s="60">
        <v>45992</v>
      </c>
      <c r="J176" s="59" t="s">
        <v>134</v>
      </c>
      <c r="K176" s="59" t="s">
        <v>1170</v>
      </c>
      <c r="L176" s="61">
        <v>7500</v>
      </c>
      <c r="M176" s="59"/>
      <c r="N176" s="61">
        <v>7500</v>
      </c>
      <c r="O176" s="61">
        <v>6297498414.2824717</v>
      </c>
    </row>
    <row r="177" spans="1:15" x14ac:dyDescent="0.25">
      <c r="A177" s="62">
        <v>46041</v>
      </c>
      <c r="B177">
        <v>1</v>
      </c>
      <c r="C177" t="s">
        <v>1144</v>
      </c>
      <c r="D177">
        <v>1044407</v>
      </c>
      <c r="E177" t="s">
        <v>1134</v>
      </c>
      <c r="F177" t="s">
        <v>1135</v>
      </c>
      <c r="G177" t="s">
        <v>1136</v>
      </c>
      <c r="H177" t="s">
        <v>1159</v>
      </c>
      <c r="I177" s="63">
        <v>45992</v>
      </c>
      <c r="J177" t="s">
        <v>134</v>
      </c>
      <c r="K177" t="s">
        <v>1170</v>
      </c>
      <c r="L177" s="64">
        <v>400</v>
      </c>
      <c r="N177" s="64">
        <v>400</v>
      </c>
      <c r="O177" s="64">
        <v>6297498814.2824717</v>
      </c>
    </row>
    <row r="178" spans="1:15" x14ac:dyDescent="0.25">
      <c r="A178" s="58">
        <v>46041</v>
      </c>
      <c r="B178" s="59">
        <v>1</v>
      </c>
      <c r="C178" s="59" t="s">
        <v>1144</v>
      </c>
      <c r="D178" s="59">
        <v>1044427</v>
      </c>
      <c r="E178" s="59" t="s">
        <v>1134</v>
      </c>
      <c r="F178" s="59" t="s">
        <v>1135</v>
      </c>
      <c r="G178" s="59" t="s">
        <v>1136</v>
      </c>
      <c r="H178" s="59" t="s">
        <v>1165</v>
      </c>
      <c r="I178" s="60">
        <v>45992</v>
      </c>
      <c r="J178" s="59" t="s">
        <v>134</v>
      </c>
      <c r="K178" s="59" t="s">
        <v>1170</v>
      </c>
      <c r="L178" s="61">
        <v>100</v>
      </c>
      <c r="M178" s="59"/>
      <c r="N178" s="61">
        <v>100</v>
      </c>
      <c r="O178" s="61">
        <v>6297501864.2824717</v>
      </c>
    </row>
    <row r="179" spans="1:15" x14ac:dyDescent="0.25">
      <c r="A179" s="62">
        <v>46041</v>
      </c>
      <c r="B179">
        <v>1</v>
      </c>
      <c r="C179" t="s">
        <v>1144</v>
      </c>
      <c r="D179">
        <v>1044212</v>
      </c>
      <c r="E179" t="s">
        <v>1134</v>
      </c>
      <c r="F179" t="s">
        <v>1135</v>
      </c>
      <c r="G179" t="s">
        <v>1136</v>
      </c>
      <c r="H179" t="s">
        <v>1151</v>
      </c>
      <c r="I179" s="63">
        <v>45992</v>
      </c>
      <c r="J179" t="s">
        <v>134</v>
      </c>
      <c r="K179" t="s">
        <v>1138</v>
      </c>
      <c r="L179" s="64">
        <v>3081087.35</v>
      </c>
      <c r="N179" s="64">
        <v>3081087.35</v>
      </c>
      <c r="O179" s="64">
        <v>6309806613.3124723</v>
      </c>
    </row>
    <row r="180" spans="1:15" x14ac:dyDescent="0.25">
      <c r="A180" s="58">
        <v>46041</v>
      </c>
      <c r="B180" s="59">
        <v>1</v>
      </c>
      <c r="C180" s="59" t="s">
        <v>1144</v>
      </c>
      <c r="D180" s="59">
        <v>1044462</v>
      </c>
      <c r="E180" s="59" t="s">
        <v>1134</v>
      </c>
      <c r="F180" s="59" t="s">
        <v>1135</v>
      </c>
      <c r="G180" s="59" t="s">
        <v>1136</v>
      </c>
      <c r="H180" s="59" t="s">
        <v>1140</v>
      </c>
      <c r="I180" s="60">
        <v>45992</v>
      </c>
      <c r="J180" s="59" t="s">
        <v>134</v>
      </c>
      <c r="K180" s="59" t="s">
        <v>1138</v>
      </c>
      <c r="L180" s="61">
        <v>2674018.64</v>
      </c>
      <c r="M180" s="59"/>
      <c r="N180" s="61">
        <v>2674018.64</v>
      </c>
      <c r="O180" s="61">
        <v>6312480631.9524727</v>
      </c>
    </row>
    <row r="181" spans="1:15" x14ac:dyDescent="0.25">
      <c r="A181" s="62">
        <v>46041</v>
      </c>
      <c r="B181">
        <v>1</v>
      </c>
      <c r="C181" t="s">
        <v>1144</v>
      </c>
      <c r="D181">
        <v>1044322</v>
      </c>
      <c r="E181" t="s">
        <v>1134</v>
      </c>
      <c r="F181" t="s">
        <v>1135</v>
      </c>
      <c r="G181" t="s">
        <v>1136</v>
      </c>
      <c r="H181" t="s">
        <v>1143</v>
      </c>
      <c r="I181" s="63">
        <v>45992</v>
      </c>
      <c r="J181" t="s">
        <v>134</v>
      </c>
      <c r="K181" t="s">
        <v>1138</v>
      </c>
      <c r="L181" s="64">
        <v>15565500</v>
      </c>
      <c r="N181" s="64">
        <v>15565500</v>
      </c>
      <c r="O181" s="64">
        <v>6328046131.9524727</v>
      </c>
    </row>
    <row r="182" spans="1:15" x14ac:dyDescent="0.25">
      <c r="A182" s="58">
        <v>46041</v>
      </c>
      <c r="B182" s="59">
        <v>1</v>
      </c>
      <c r="C182" s="59" t="s">
        <v>1144</v>
      </c>
      <c r="D182" s="59">
        <v>1044162</v>
      </c>
      <c r="E182" s="59" t="s">
        <v>1134</v>
      </c>
      <c r="F182" s="59" t="s">
        <v>1135</v>
      </c>
      <c r="G182" s="59" t="s">
        <v>1136</v>
      </c>
      <c r="H182" s="59" t="s">
        <v>1162</v>
      </c>
      <c r="I182" s="60">
        <v>45992</v>
      </c>
      <c r="J182" s="59" t="s">
        <v>134</v>
      </c>
      <c r="K182" s="59" t="s">
        <v>1138</v>
      </c>
      <c r="L182" s="61">
        <v>3437481.1</v>
      </c>
      <c r="M182" s="59"/>
      <c r="N182" s="61">
        <v>3437481.1</v>
      </c>
      <c r="O182" s="61">
        <v>6331483613.0524731</v>
      </c>
    </row>
    <row r="183" spans="1:15" x14ac:dyDescent="0.25">
      <c r="A183" s="62">
        <v>46041</v>
      </c>
      <c r="B183">
        <v>1</v>
      </c>
      <c r="C183" t="s">
        <v>1144</v>
      </c>
      <c r="D183">
        <v>1044262</v>
      </c>
      <c r="E183" t="s">
        <v>1134</v>
      </c>
      <c r="F183" t="s">
        <v>1135</v>
      </c>
      <c r="G183" t="s">
        <v>1136</v>
      </c>
      <c r="H183" t="s">
        <v>1145</v>
      </c>
      <c r="I183" s="63">
        <v>45992</v>
      </c>
      <c r="J183" t="s">
        <v>134</v>
      </c>
      <c r="K183" t="s">
        <v>1138</v>
      </c>
      <c r="L183" s="64">
        <v>5743400</v>
      </c>
      <c r="N183" s="64">
        <v>5743400</v>
      </c>
      <c r="O183" s="64">
        <v>6337227013.0524731</v>
      </c>
    </row>
    <row r="184" spans="1:15" x14ac:dyDescent="0.25">
      <c r="A184" s="58">
        <v>46041</v>
      </c>
      <c r="B184" s="59">
        <v>1</v>
      </c>
      <c r="C184" s="59" t="s">
        <v>1144</v>
      </c>
      <c r="D184" s="59">
        <v>1044272</v>
      </c>
      <c r="E184" s="59" t="s">
        <v>1134</v>
      </c>
      <c r="F184" s="59" t="s">
        <v>1135</v>
      </c>
      <c r="G184" s="59" t="s">
        <v>1136</v>
      </c>
      <c r="H184" s="59" t="s">
        <v>1154</v>
      </c>
      <c r="I184" s="60">
        <v>45992</v>
      </c>
      <c r="J184" s="59" t="s">
        <v>134</v>
      </c>
      <c r="K184" s="59" t="s">
        <v>1138</v>
      </c>
      <c r="L184" s="61">
        <v>1545582.23</v>
      </c>
      <c r="M184" s="59"/>
      <c r="N184" s="61">
        <v>1545582.23</v>
      </c>
      <c r="O184" s="61">
        <v>6338772595.2824726</v>
      </c>
    </row>
    <row r="185" spans="1:15" x14ac:dyDescent="0.25">
      <c r="A185" s="62">
        <v>46041</v>
      </c>
      <c r="B185">
        <v>1</v>
      </c>
      <c r="C185" t="s">
        <v>1144</v>
      </c>
      <c r="D185">
        <v>1044282</v>
      </c>
      <c r="E185" t="s">
        <v>1134</v>
      </c>
      <c r="F185" t="s">
        <v>1135</v>
      </c>
      <c r="G185" t="s">
        <v>1136</v>
      </c>
      <c r="H185" t="s">
        <v>1155</v>
      </c>
      <c r="I185" s="63">
        <v>45992</v>
      </c>
      <c r="J185" t="s">
        <v>134</v>
      </c>
      <c r="K185" t="s">
        <v>1138</v>
      </c>
      <c r="L185" s="64">
        <v>63666625</v>
      </c>
      <c r="N185" s="64">
        <v>63666625</v>
      </c>
      <c r="O185" s="64">
        <v>6402439220.2824726</v>
      </c>
    </row>
    <row r="186" spans="1:15" x14ac:dyDescent="0.25">
      <c r="A186" s="58">
        <v>46041</v>
      </c>
      <c r="B186" s="59">
        <v>1</v>
      </c>
      <c r="C186" s="59" t="s">
        <v>1144</v>
      </c>
      <c r="D186" s="59">
        <v>1044352</v>
      </c>
      <c r="E186" s="59" t="s">
        <v>1134</v>
      </c>
      <c r="F186" s="59" t="s">
        <v>1135</v>
      </c>
      <c r="G186" s="59" t="s">
        <v>1136</v>
      </c>
      <c r="H186" s="59" t="s">
        <v>1157</v>
      </c>
      <c r="I186" s="60">
        <v>45992</v>
      </c>
      <c r="J186" s="59" t="s">
        <v>134</v>
      </c>
      <c r="K186" s="59" t="s">
        <v>1138</v>
      </c>
      <c r="L186" s="61">
        <v>11949496.92</v>
      </c>
      <c r="M186" s="59"/>
      <c r="N186" s="61">
        <v>11949496.92</v>
      </c>
      <c r="O186" s="61">
        <v>6414388717.2024727</v>
      </c>
    </row>
    <row r="187" spans="1:15" x14ac:dyDescent="0.25">
      <c r="A187" s="62">
        <v>46041</v>
      </c>
      <c r="B187">
        <v>1</v>
      </c>
      <c r="C187" t="s">
        <v>1144</v>
      </c>
      <c r="D187">
        <v>1044362</v>
      </c>
      <c r="E187" t="s">
        <v>1134</v>
      </c>
      <c r="F187" t="s">
        <v>1135</v>
      </c>
      <c r="G187" t="s">
        <v>1136</v>
      </c>
      <c r="H187" t="s">
        <v>1158</v>
      </c>
      <c r="I187" s="63">
        <v>45992</v>
      </c>
      <c r="J187" t="s">
        <v>134</v>
      </c>
      <c r="K187" t="s">
        <v>1138</v>
      </c>
      <c r="L187" s="64">
        <v>1631574.61</v>
      </c>
      <c r="N187" s="64">
        <v>1631574.61</v>
      </c>
      <c r="O187" s="64">
        <v>6416020291.8124723</v>
      </c>
    </row>
    <row r="188" spans="1:15" x14ac:dyDescent="0.25">
      <c r="A188" s="58">
        <v>46041</v>
      </c>
      <c r="B188" s="59">
        <v>1</v>
      </c>
      <c r="C188" s="59" t="s">
        <v>1144</v>
      </c>
      <c r="D188" s="59">
        <v>1044372</v>
      </c>
      <c r="E188" s="59" t="s">
        <v>1134</v>
      </c>
      <c r="F188" s="59" t="s">
        <v>1135</v>
      </c>
      <c r="G188" s="59" t="s">
        <v>1136</v>
      </c>
      <c r="H188" s="59" t="s">
        <v>1141</v>
      </c>
      <c r="I188" s="60">
        <v>45992</v>
      </c>
      <c r="J188" s="59" t="s">
        <v>134</v>
      </c>
      <c r="K188" s="59" t="s">
        <v>1138</v>
      </c>
      <c r="L188" s="61">
        <v>37194759.049999997</v>
      </c>
      <c r="M188" s="59"/>
      <c r="N188" s="61">
        <v>37194759.049999997</v>
      </c>
      <c r="O188" s="61">
        <v>6453215050.8624725</v>
      </c>
    </row>
    <row r="189" spans="1:15" x14ac:dyDescent="0.25">
      <c r="A189" s="62">
        <v>46041</v>
      </c>
      <c r="B189">
        <v>1</v>
      </c>
      <c r="C189" t="s">
        <v>1144</v>
      </c>
      <c r="D189">
        <v>1044402</v>
      </c>
      <c r="E189" t="s">
        <v>1134</v>
      </c>
      <c r="F189" t="s">
        <v>1135</v>
      </c>
      <c r="G189" t="s">
        <v>1136</v>
      </c>
      <c r="H189" t="s">
        <v>1159</v>
      </c>
      <c r="I189" s="63">
        <v>45992</v>
      </c>
      <c r="J189" t="s">
        <v>134</v>
      </c>
      <c r="K189" t="s">
        <v>1138</v>
      </c>
      <c r="L189" s="64">
        <v>16529765.470000001</v>
      </c>
      <c r="N189" s="64">
        <v>16529765.470000001</v>
      </c>
      <c r="O189" s="64">
        <v>6469744816.3324728</v>
      </c>
    </row>
    <row r="190" spans="1:15" x14ac:dyDescent="0.25">
      <c r="A190" s="58">
        <v>46041</v>
      </c>
      <c r="B190" s="59">
        <v>1</v>
      </c>
      <c r="C190" s="59" t="s">
        <v>1144</v>
      </c>
      <c r="D190" s="59">
        <v>1044412</v>
      </c>
      <c r="E190" s="59" t="s">
        <v>1134</v>
      </c>
      <c r="F190" s="59" t="s">
        <v>1135</v>
      </c>
      <c r="G190" s="59" t="s">
        <v>1136</v>
      </c>
      <c r="H190" s="59" t="s">
        <v>1160</v>
      </c>
      <c r="I190" s="60">
        <v>45992</v>
      </c>
      <c r="J190" s="59" t="s">
        <v>134</v>
      </c>
      <c r="K190" s="59" t="s">
        <v>1138</v>
      </c>
      <c r="L190" s="61">
        <v>6277745.5599999996</v>
      </c>
      <c r="M190" s="59"/>
      <c r="N190" s="61">
        <v>6277745.5599999996</v>
      </c>
      <c r="O190" s="61">
        <v>6476022561.8924732</v>
      </c>
    </row>
    <row r="191" spans="1:15" x14ac:dyDescent="0.25">
      <c r="A191" s="62">
        <v>46041</v>
      </c>
      <c r="B191">
        <v>1</v>
      </c>
      <c r="C191" t="s">
        <v>1144</v>
      </c>
      <c r="D191">
        <v>1044422</v>
      </c>
      <c r="E191" t="s">
        <v>1134</v>
      </c>
      <c r="F191" t="s">
        <v>1135</v>
      </c>
      <c r="G191" t="s">
        <v>1136</v>
      </c>
      <c r="H191" t="s">
        <v>1165</v>
      </c>
      <c r="I191" s="63">
        <v>45992</v>
      </c>
      <c r="J191" t="s">
        <v>134</v>
      </c>
      <c r="K191" t="s">
        <v>1138</v>
      </c>
      <c r="L191" s="64">
        <v>56775610.228999957</v>
      </c>
      <c r="N191" s="64">
        <v>56775610.228999957</v>
      </c>
      <c r="O191" s="64">
        <v>6532798172.1214733</v>
      </c>
    </row>
    <row r="192" spans="1:15" x14ac:dyDescent="0.25">
      <c r="A192" s="58">
        <v>46042</v>
      </c>
      <c r="B192" s="59">
        <v>1</v>
      </c>
      <c r="C192" s="59" t="s">
        <v>1161</v>
      </c>
      <c r="D192" s="59">
        <v>2014351</v>
      </c>
      <c r="E192" s="59" t="s">
        <v>1167</v>
      </c>
      <c r="F192" s="59" t="s">
        <v>1174</v>
      </c>
      <c r="G192" s="59" t="s">
        <v>1136</v>
      </c>
      <c r="H192" s="59" t="s">
        <v>1157</v>
      </c>
      <c r="I192" s="60">
        <v>45992</v>
      </c>
      <c r="J192" s="59" t="s">
        <v>139</v>
      </c>
      <c r="K192" s="59" t="s">
        <v>1142</v>
      </c>
      <c r="L192" s="59"/>
      <c r="M192" s="61">
        <v>5870015.1200000001</v>
      </c>
      <c r="N192" s="61">
        <v>-5870015.1200000001</v>
      </c>
      <c r="O192" s="61">
        <v>4445471446.691474</v>
      </c>
    </row>
    <row r="193" spans="1:15" x14ac:dyDescent="0.25">
      <c r="A193" s="62">
        <v>46042</v>
      </c>
      <c r="B193">
        <v>1</v>
      </c>
      <c r="C193" t="s">
        <v>1161</v>
      </c>
      <c r="D193">
        <v>2044126</v>
      </c>
      <c r="E193" t="s">
        <v>1167</v>
      </c>
      <c r="F193" t="s">
        <v>1135</v>
      </c>
      <c r="G193" t="s">
        <v>1136</v>
      </c>
      <c r="H193" t="s">
        <v>1175</v>
      </c>
      <c r="I193" s="63">
        <v>45992</v>
      </c>
      <c r="J193" t="s">
        <v>140</v>
      </c>
      <c r="K193" t="s">
        <v>1150</v>
      </c>
      <c r="M193" s="64">
        <v>2223396.1</v>
      </c>
      <c r="N193" s="64">
        <v>-2223396.1</v>
      </c>
      <c r="O193" s="64">
        <v>4443248050.5914736</v>
      </c>
    </row>
    <row r="194" spans="1:15" x14ac:dyDescent="0.25">
      <c r="A194" s="58">
        <v>46042</v>
      </c>
      <c r="B194" s="59">
        <v>1</v>
      </c>
      <c r="C194" s="59" t="s">
        <v>1161</v>
      </c>
      <c r="D194" s="59">
        <v>2044126</v>
      </c>
      <c r="E194" s="59" t="s">
        <v>1167</v>
      </c>
      <c r="F194" s="59" t="s">
        <v>1135</v>
      </c>
      <c r="G194" s="59" t="s">
        <v>1136</v>
      </c>
      <c r="H194" s="59" t="s">
        <v>1175</v>
      </c>
      <c r="I194" s="60">
        <v>45992</v>
      </c>
      <c r="J194" s="59" t="s">
        <v>141</v>
      </c>
      <c r="K194" s="59" t="s">
        <v>1150</v>
      </c>
      <c r="L194" s="59"/>
      <c r="M194" s="61">
        <v>2007597.3</v>
      </c>
      <c r="N194" s="61">
        <v>-2007597.3</v>
      </c>
      <c r="O194" s="61">
        <v>4441240453.2914734</v>
      </c>
    </row>
    <row r="195" spans="1:15" x14ac:dyDescent="0.25">
      <c r="A195" s="62">
        <v>46042</v>
      </c>
      <c r="B195">
        <v>1</v>
      </c>
      <c r="C195" t="s">
        <v>1161</v>
      </c>
      <c r="D195">
        <v>2044126</v>
      </c>
      <c r="E195" t="s">
        <v>1167</v>
      </c>
      <c r="F195" t="s">
        <v>1135</v>
      </c>
      <c r="G195" t="s">
        <v>1136</v>
      </c>
      <c r="H195" t="s">
        <v>1175</v>
      </c>
      <c r="I195" s="63">
        <v>45992</v>
      </c>
      <c r="J195" t="s">
        <v>142</v>
      </c>
      <c r="K195" t="s">
        <v>1150</v>
      </c>
      <c r="M195" s="64">
        <v>1861886</v>
      </c>
      <c r="N195" s="64">
        <v>-1861886</v>
      </c>
      <c r="O195" s="64">
        <v>4439378567.2914734</v>
      </c>
    </row>
    <row r="196" spans="1:15" x14ac:dyDescent="0.25">
      <c r="A196" s="58">
        <v>46042</v>
      </c>
      <c r="B196" s="59">
        <v>1</v>
      </c>
      <c r="C196" s="59" t="s">
        <v>1161</v>
      </c>
      <c r="D196" s="59">
        <v>2044126</v>
      </c>
      <c r="E196" s="59" t="s">
        <v>1167</v>
      </c>
      <c r="F196" s="59" t="s">
        <v>1135</v>
      </c>
      <c r="G196" s="59" t="s">
        <v>1136</v>
      </c>
      <c r="H196" s="59" t="s">
        <v>1175</v>
      </c>
      <c r="I196" s="60">
        <v>45992</v>
      </c>
      <c r="J196" s="59" t="s">
        <v>143</v>
      </c>
      <c r="K196" s="59" t="s">
        <v>1150</v>
      </c>
      <c r="L196" s="59"/>
      <c r="M196" s="61">
        <v>1721586.6</v>
      </c>
      <c r="N196" s="61">
        <v>-1721586.6</v>
      </c>
      <c r="O196" s="61">
        <v>4437656980.691473</v>
      </c>
    </row>
    <row r="197" spans="1:15" x14ac:dyDescent="0.25">
      <c r="A197" s="62">
        <v>46042</v>
      </c>
      <c r="B197">
        <v>1</v>
      </c>
      <c r="C197" t="s">
        <v>1161</v>
      </c>
      <c r="D197">
        <v>2044126</v>
      </c>
      <c r="E197" t="s">
        <v>1167</v>
      </c>
      <c r="F197" t="s">
        <v>1135</v>
      </c>
      <c r="G197" t="s">
        <v>1136</v>
      </c>
      <c r="H197" t="s">
        <v>1175</v>
      </c>
      <c r="I197" s="63">
        <v>45992</v>
      </c>
      <c r="J197" t="s">
        <v>144</v>
      </c>
      <c r="K197" t="s">
        <v>1150</v>
      </c>
      <c r="M197" s="64">
        <v>1577817</v>
      </c>
      <c r="N197" s="64">
        <v>-1577817</v>
      </c>
      <c r="O197" s="64">
        <v>4436079163.691473</v>
      </c>
    </row>
    <row r="198" spans="1:15" x14ac:dyDescent="0.25">
      <c r="A198" s="58">
        <v>46042</v>
      </c>
      <c r="B198" s="59">
        <v>1</v>
      </c>
      <c r="C198" s="59" t="s">
        <v>1161</v>
      </c>
      <c r="D198" s="59">
        <v>2044127</v>
      </c>
      <c r="E198" s="59" t="s">
        <v>1167</v>
      </c>
      <c r="F198" s="59" t="s">
        <v>1135</v>
      </c>
      <c r="G198" s="59" t="s">
        <v>1136</v>
      </c>
      <c r="H198" s="59" t="s">
        <v>1175</v>
      </c>
      <c r="I198" s="60">
        <v>45992</v>
      </c>
      <c r="J198" s="59" t="s">
        <v>145</v>
      </c>
      <c r="K198" s="59" t="s">
        <v>1170</v>
      </c>
      <c r="L198" s="59"/>
      <c r="M198" s="61">
        <v>1238316</v>
      </c>
      <c r="N198" s="61">
        <v>-1238316</v>
      </c>
      <c r="O198" s="61">
        <v>4434840847.691473</v>
      </c>
    </row>
    <row r="199" spans="1:15" x14ac:dyDescent="0.25">
      <c r="A199" s="62">
        <v>46042</v>
      </c>
      <c r="B199">
        <v>1</v>
      </c>
      <c r="C199" t="s">
        <v>1161</v>
      </c>
      <c r="D199">
        <v>2044127</v>
      </c>
      <c r="E199" t="s">
        <v>1167</v>
      </c>
      <c r="F199" t="s">
        <v>1135</v>
      </c>
      <c r="G199" t="s">
        <v>1136</v>
      </c>
      <c r="H199" t="s">
        <v>1175</v>
      </c>
      <c r="I199" s="63">
        <v>45992</v>
      </c>
      <c r="J199" t="s">
        <v>146</v>
      </c>
      <c r="K199" t="s">
        <v>1170</v>
      </c>
      <c r="M199" s="64">
        <v>635208.6</v>
      </c>
      <c r="N199" s="64">
        <v>-635208.6</v>
      </c>
      <c r="O199" s="64">
        <v>4434205639.0914726</v>
      </c>
    </row>
    <row r="200" spans="1:15" x14ac:dyDescent="0.25">
      <c r="A200" s="58">
        <v>46042</v>
      </c>
      <c r="B200" s="59">
        <v>1</v>
      </c>
      <c r="C200" s="59" t="s">
        <v>1161</v>
      </c>
      <c r="D200" s="59">
        <v>2044127</v>
      </c>
      <c r="E200" s="59" t="s">
        <v>1167</v>
      </c>
      <c r="F200" s="59" t="s">
        <v>1135</v>
      </c>
      <c r="G200" s="59" t="s">
        <v>1136</v>
      </c>
      <c r="H200" s="59" t="s">
        <v>1175</v>
      </c>
      <c r="I200" s="60">
        <v>45992</v>
      </c>
      <c r="J200" s="59" t="s">
        <v>147</v>
      </c>
      <c r="K200" s="59" t="s">
        <v>1170</v>
      </c>
      <c r="L200" s="59"/>
      <c r="M200" s="61">
        <v>1772217.9</v>
      </c>
      <c r="N200" s="61">
        <v>-1772217.9</v>
      </c>
      <c r="O200" s="61">
        <v>4432433421.191473</v>
      </c>
    </row>
    <row r="201" spans="1:15" x14ac:dyDescent="0.25">
      <c r="A201" s="62">
        <v>46042</v>
      </c>
      <c r="B201">
        <v>1</v>
      </c>
      <c r="C201" t="s">
        <v>1161</v>
      </c>
      <c r="D201">
        <v>2044127</v>
      </c>
      <c r="E201" t="s">
        <v>1167</v>
      </c>
      <c r="F201" t="s">
        <v>1135</v>
      </c>
      <c r="G201" t="s">
        <v>1136</v>
      </c>
      <c r="H201" t="s">
        <v>1175</v>
      </c>
      <c r="I201" s="63">
        <v>45992</v>
      </c>
      <c r="J201" t="s">
        <v>148</v>
      </c>
      <c r="K201" t="s">
        <v>1170</v>
      </c>
      <c r="M201" s="64">
        <v>1621918.1</v>
      </c>
      <c r="N201" s="64">
        <v>-1621918.1</v>
      </c>
      <c r="O201" s="64">
        <v>4430811503.0914726</v>
      </c>
    </row>
    <row r="202" spans="1:15" x14ac:dyDescent="0.25">
      <c r="A202" s="58">
        <v>46042</v>
      </c>
      <c r="B202" s="59">
        <v>1</v>
      </c>
      <c r="C202" s="59" t="s">
        <v>1161</v>
      </c>
      <c r="D202" s="59">
        <v>1044314</v>
      </c>
      <c r="E202" s="59" t="s">
        <v>1134</v>
      </c>
      <c r="F202" s="59" t="s">
        <v>1135</v>
      </c>
      <c r="G202" s="59" t="s">
        <v>1136</v>
      </c>
      <c r="H202" s="59" t="s">
        <v>1137</v>
      </c>
      <c r="I202" s="60">
        <v>46023</v>
      </c>
      <c r="J202" s="59" t="s">
        <v>149</v>
      </c>
      <c r="K202" s="59" t="s">
        <v>1148</v>
      </c>
      <c r="L202" s="61">
        <v>42225361</v>
      </c>
      <c r="M202" s="59"/>
      <c r="N202" s="61">
        <v>42225361</v>
      </c>
      <c r="O202" s="61">
        <v>4473036864.0914726</v>
      </c>
    </row>
    <row r="203" spans="1:15" x14ac:dyDescent="0.25">
      <c r="A203" s="62">
        <v>46042</v>
      </c>
      <c r="B203">
        <v>1</v>
      </c>
      <c r="C203" t="s">
        <v>1161</v>
      </c>
      <c r="D203">
        <v>1044316</v>
      </c>
      <c r="E203" t="s">
        <v>1134</v>
      </c>
      <c r="F203" t="s">
        <v>1135</v>
      </c>
      <c r="G203" t="s">
        <v>1136</v>
      </c>
      <c r="H203" t="s">
        <v>1137</v>
      </c>
      <c r="I203" s="63">
        <v>46023</v>
      </c>
      <c r="J203" t="s">
        <v>150</v>
      </c>
      <c r="K203" t="s">
        <v>1150</v>
      </c>
      <c r="L203" s="64">
        <v>39214.019999999997</v>
      </c>
      <c r="N203" s="64">
        <v>39214.019999999997</v>
      </c>
      <c r="O203" s="64">
        <v>4473076078.1114731</v>
      </c>
    </row>
    <row r="204" spans="1:15" x14ac:dyDescent="0.25">
      <c r="A204" s="58">
        <v>46043</v>
      </c>
      <c r="B204" s="59">
        <v>1</v>
      </c>
      <c r="C204" s="59" t="s">
        <v>1166</v>
      </c>
      <c r="D204" s="59">
        <v>2054312</v>
      </c>
      <c r="E204" s="59" t="s">
        <v>1167</v>
      </c>
      <c r="F204" s="59" t="s">
        <v>1169</v>
      </c>
      <c r="G204" s="59" t="s">
        <v>1136</v>
      </c>
      <c r="H204" s="59" t="s">
        <v>1137</v>
      </c>
      <c r="I204" s="60">
        <v>46023</v>
      </c>
      <c r="J204" s="59" t="s">
        <v>153</v>
      </c>
      <c r="K204" s="59" t="s">
        <v>1138</v>
      </c>
      <c r="L204" s="59"/>
      <c r="M204" s="61">
        <v>12119400</v>
      </c>
      <c r="N204" s="61">
        <v>-12119400</v>
      </c>
      <c r="O204" s="61">
        <v>4287478017.9314728</v>
      </c>
    </row>
    <row r="205" spans="1:15" x14ac:dyDescent="0.25">
      <c r="A205" s="62">
        <v>46043</v>
      </c>
      <c r="B205">
        <v>1</v>
      </c>
      <c r="C205" t="s">
        <v>1166</v>
      </c>
      <c r="D205">
        <v>2054314</v>
      </c>
      <c r="E205" t="s">
        <v>1167</v>
      </c>
      <c r="F205" t="s">
        <v>1169</v>
      </c>
      <c r="G205" t="s">
        <v>1136</v>
      </c>
      <c r="H205" t="s">
        <v>1137</v>
      </c>
      <c r="I205" s="63">
        <v>46023</v>
      </c>
      <c r="J205" t="s">
        <v>154</v>
      </c>
      <c r="K205" t="s">
        <v>1148</v>
      </c>
      <c r="M205" s="64">
        <v>42225361</v>
      </c>
      <c r="N205" s="64">
        <v>-42225361</v>
      </c>
      <c r="O205" s="64">
        <v>4245252656.9314728</v>
      </c>
    </row>
    <row r="206" spans="1:15" x14ac:dyDescent="0.25">
      <c r="A206" s="58">
        <v>46043</v>
      </c>
      <c r="B206" s="59">
        <v>1</v>
      </c>
      <c r="C206" s="59" t="s">
        <v>1166</v>
      </c>
      <c r="D206" s="59">
        <v>2054316</v>
      </c>
      <c r="E206" s="59" t="s">
        <v>1167</v>
      </c>
      <c r="F206" s="59" t="s">
        <v>1169</v>
      </c>
      <c r="G206" s="59" t="s">
        <v>1136</v>
      </c>
      <c r="H206" s="59" t="s">
        <v>1137</v>
      </c>
      <c r="I206" s="60">
        <v>46023</v>
      </c>
      <c r="J206" s="59" t="s">
        <v>154</v>
      </c>
      <c r="K206" s="59" t="s">
        <v>1150</v>
      </c>
      <c r="L206" s="59"/>
      <c r="M206" s="61">
        <v>33494.019999999997</v>
      </c>
      <c r="N206" s="61">
        <v>-33494.019999999997</v>
      </c>
      <c r="O206" s="61">
        <v>4245219162.9114728</v>
      </c>
    </row>
    <row r="207" spans="1:15" x14ac:dyDescent="0.25">
      <c r="A207" s="62">
        <v>46043</v>
      </c>
      <c r="B207">
        <v>1</v>
      </c>
      <c r="C207" t="s">
        <v>1166</v>
      </c>
      <c r="D207">
        <v>2014202</v>
      </c>
      <c r="E207" t="s">
        <v>1167</v>
      </c>
      <c r="F207" t="s">
        <v>1174</v>
      </c>
      <c r="G207" t="s">
        <v>1136</v>
      </c>
      <c r="H207" t="s">
        <v>1139</v>
      </c>
      <c r="I207" s="63">
        <v>46023</v>
      </c>
      <c r="J207" t="s">
        <v>155</v>
      </c>
      <c r="K207" t="s">
        <v>1138</v>
      </c>
      <c r="M207" s="64">
        <v>38234732.539999999</v>
      </c>
      <c r="N207" s="64">
        <v>-38234732.539999999</v>
      </c>
      <c r="O207" s="64">
        <v>4206984430.3714728</v>
      </c>
    </row>
    <row r="208" spans="1:15" x14ac:dyDescent="0.25">
      <c r="A208" s="58">
        <v>46043</v>
      </c>
      <c r="B208" s="59">
        <v>1</v>
      </c>
      <c r="C208" s="59" t="s">
        <v>1166</v>
      </c>
      <c r="D208" s="59">
        <v>2044126</v>
      </c>
      <c r="E208" s="59" t="s">
        <v>1167</v>
      </c>
      <c r="F208" s="59" t="s">
        <v>1135</v>
      </c>
      <c r="G208" s="59" t="s">
        <v>1136</v>
      </c>
      <c r="H208" s="59" t="s">
        <v>1175</v>
      </c>
      <c r="I208" s="60">
        <v>45992</v>
      </c>
      <c r="J208" s="59" t="s">
        <v>156</v>
      </c>
      <c r="K208" s="59" t="s">
        <v>1150</v>
      </c>
      <c r="L208" s="59"/>
      <c r="M208" s="61">
        <v>1425974.6</v>
      </c>
      <c r="N208" s="61">
        <v>-1425974.6</v>
      </c>
      <c r="O208" s="61">
        <v>4205558455.7714729</v>
      </c>
    </row>
    <row r="209" spans="1:15" x14ac:dyDescent="0.25">
      <c r="A209" s="62">
        <v>46043</v>
      </c>
      <c r="B209">
        <v>1</v>
      </c>
      <c r="C209" t="s">
        <v>1166</v>
      </c>
      <c r="D209">
        <v>2044126</v>
      </c>
      <c r="E209" t="s">
        <v>1167</v>
      </c>
      <c r="F209" t="s">
        <v>1135</v>
      </c>
      <c r="G209" t="s">
        <v>1136</v>
      </c>
      <c r="H209" t="s">
        <v>1175</v>
      </c>
      <c r="I209" s="63">
        <v>45992</v>
      </c>
      <c r="J209" t="s">
        <v>157</v>
      </c>
      <c r="K209" t="s">
        <v>1150</v>
      </c>
      <c r="M209" s="64">
        <v>1271874.8</v>
      </c>
      <c r="N209" s="64">
        <v>-1271874.8</v>
      </c>
      <c r="O209" s="64">
        <v>4204286580.9714732</v>
      </c>
    </row>
    <row r="210" spans="1:15" x14ac:dyDescent="0.25">
      <c r="A210" s="58">
        <v>46043</v>
      </c>
      <c r="B210" s="59">
        <v>1</v>
      </c>
      <c r="C210" s="59" t="s">
        <v>1166</v>
      </c>
      <c r="D210" s="59">
        <v>2044126</v>
      </c>
      <c r="E210" s="59" t="s">
        <v>1167</v>
      </c>
      <c r="F210" s="59" t="s">
        <v>1135</v>
      </c>
      <c r="G210" s="59" t="s">
        <v>1136</v>
      </c>
      <c r="H210" s="59" t="s">
        <v>1175</v>
      </c>
      <c r="I210" s="60">
        <v>45992</v>
      </c>
      <c r="J210" s="59" t="s">
        <v>158</v>
      </c>
      <c r="K210" s="59" t="s">
        <v>1150</v>
      </c>
      <c r="L210" s="59"/>
      <c r="M210" s="61">
        <v>602120</v>
      </c>
      <c r="N210" s="61">
        <v>-602120</v>
      </c>
      <c r="O210" s="61">
        <v>4203684460.9714732</v>
      </c>
    </row>
    <row r="211" spans="1:15" x14ac:dyDescent="0.25">
      <c r="A211" s="62">
        <v>46043</v>
      </c>
      <c r="B211">
        <v>1</v>
      </c>
      <c r="C211" t="s">
        <v>1166</v>
      </c>
      <c r="D211">
        <v>2044126</v>
      </c>
      <c r="E211" t="s">
        <v>1167</v>
      </c>
      <c r="F211" t="s">
        <v>1135</v>
      </c>
      <c r="G211" t="s">
        <v>1136</v>
      </c>
      <c r="H211" t="s">
        <v>1175</v>
      </c>
      <c r="I211" s="63">
        <v>45992</v>
      </c>
      <c r="J211" t="s">
        <v>159</v>
      </c>
      <c r="K211" t="s">
        <v>1150</v>
      </c>
      <c r="M211" s="64">
        <v>476554.2</v>
      </c>
      <c r="N211" s="64">
        <v>-476554.2</v>
      </c>
      <c r="O211" s="64">
        <v>4203207906.7714729</v>
      </c>
    </row>
    <row r="212" spans="1:15" x14ac:dyDescent="0.25">
      <c r="A212" s="58">
        <v>46043</v>
      </c>
      <c r="B212" s="59">
        <v>1</v>
      </c>
      <c r="C212" s="59" t="s">
        <v>1166</v>
      </c>
      <c r="D212" s="59">
        <v>2044126</v>
      </c>
      <c r="E212" s="59" t="s">
        <v>1167</v>
      </c>
      <c r="F212" s="59" t="s">
        <v>1135</v>
      </c>
      <c r="G212" s="59" t="s">
        <v>1136</v>
      </c>
      <c r="H212" s="59" t="s">
        <v>1175</v>
      </c>
      <c r="I212" s="60">
        <v>45992</v>
      </c>
      <c r="J212" s="59" t="s">
        <v>160</v>
      </c>
      <c r="K212" s="59" t="s">
        <v>1150</v>
      </c>
      <c r="L212" s="59"/>
      <c r="M212" s="61">
        <v>257691.3</v>
      </c>
      <c r="N212" s="61">
        <v>-257691.3</v>
      </c>
      <c r="O212" s="61">
        <v>4202950215.4714732</v>
      </c>
    </row>
    <row r="213" spans="1:15" x14ac:dyDescent="0.25">
      <c r="A213" s="62">
        <v>46043</v>
      </c>
      <c r="B213">
        <v>1</v>
      </c>
      <c r="C213" t="s">
        <v>1166</v>
      </c>
      <c r="D213">
        <v>2044126</v>
      </c>
      <c r="E213" t="s">
        <v>1167</v>
      </c>
      <c r="F213" t="s">
        <v>1135</v>
      </c>
      <c r="G213" t="s">
        <v>1136</v>
      </c>
      <c r="H213" t="s">
        <v>1175</v>
      </c>
      <c r="I213" s="63">
        <v>45992</v>
      </c>
      <c r="J213" t="s">
        <v>161</v>
      </c>
      <c r="K213" t="s">
        <v>1150</v>
      </c>
      <c r="M213" s="64">
        <v>194954.3</v>
      </c>
      <c r="N213" s="64">
        <v>-194954.3</v>
      </c>
      <c r="O213" s="64">
        <v>4202755261.171473</v>
      </c>
    </row>
    <row r="214" spans="1:15" x14ac:dyDescent="0.25">
      <c r="A214" s="58">
        <v>46043</v>
      </c>
      <c r="B214" s="59">
        <v>1</v>
      </c>
      <c r="C214" s="59" t="s">
        <v>1166</v>
      </c>
      <c r="D214" s="59">
        <v>2044126</v>
      </c>
      <c r="E214" s="59" t="s">
        <v>1167</v>
      </c>
      <c r="F214" s="59" t="s">
        <v>1135</v>
      </c>
      <c r="G214" s="59" t="s">
        <v>1136</v>
      </c>
      <c r="H214" s="59" t="s">
        <v>1175</v>
      </c>
      <c r="I214" s="60">
        <v>45992</v>
      </c>
      <c r="J214" s="59" t="s">
        <v>162</v>
      </c>
      <c r="K214" s="59" t="s">
        <v>1150</v>
      </c>
      <c r="L214" s="59"/>
      <c r="M214" s="61">
        <v>13726.1</v>
      </c>
      <c r="N214" s="61">
        <v>-13726.1</v>
      </c>
      <c r="O214" s="61">
        <v>4202741535.0714731</v>
      </c>
    </row>
    <row r="215" spans="1:15" x14ac:dyDescent="0.25">
      <c r="A215" s="62">
        <v>46044</v>
      </c>
      <c r="B215">
        <v>1</v>
      </c>
      <c r="C215" t="s">
        <v>1171</v>
      </c>
      <c r="D215">
        <v>2014262</v>
      </c>
      <c r="E215" t="s">
        <v>1167</v>
      </c>
      <c r="F215" t="s">
        <v>1174</v>
      </c>
      <c r="G215" t="s">
        <v>1136</v>
      </c>
      <c r="H215" t="s">
        <v>1145</v>
      </c>
      <c r="I215" s="63">
        <v>45992</v>
      </c>
      <c r="J215" t="s">
        <v>163</v>
      </c>
      <c r="K215" t="s">
        <v>1138</v>
      </c>
      <c r="M215" s="64">
        <v>5743400</v>
      </c>
      <c r="N215" s="64">
        <v>-5743400</v>
      </c>
      <c r="O215" s="64">
        <v>4196998135.0714731</v>
      </c>
    </row>
    <row r="216" spans="1:15" x14ac:dyDescent="0.25">
      <c r="A216" s="58">
        <v>46044</v>
      </c>
      <c r="B216" s="59">
        <v>1</v>
      </c>
      <c r="C216" s="59" t="s">
        <v>1171</v>
      </c>
      <c r="D216" s="59">
        <v>2014264</v>
      </c>
      <c r="E216" s="59" t="s">
        <v>1167</v>
      </c>
      <c r="F216" s="59" t="s">
        <v>1174</v>
      </c>
      <c r="G216" s="59" t="s">
        <v>1136</v>
      </c>
      <c r="H216" s="59" t="s">
        <v>1145</v>
      </c>
      <c r="I216" s="60">
        <v>45992</v>
      </c>
      <c r="J216" s="59" t="s">
        <v>164</v>
      </c>
      <c r="K216" s="59" t="s">
        <v>1148</v>
      </c>
      <c r="L216" s="59"/>
      <c r="M216" s="61">
        <v>4316068</v>
      </c>
      <c r="N216" s="61">
        <v>-4316068</v>
      </c>
      <c r="O216" s="61">
        <v>4192682067.0714731</v>
      </c>
    </row>
    <row r="217" spans="1:15" x14ac:dyDescent="0.25">
      <c r="A217" s="62">
        <v>46044</v>
      </c>
      <c r="B217">
        <v>1</v>
      </c>
      <c r="C217" t="s">
        <v>1171</v>
      </c>
      <c r="D217">
        <v>2014266</v>
      </c>
      <c r="E217" t="s">
        <v>1167</v>
      </c>
      <c r="F217" t="s">
        <v>1174</v>
      </c>
      <c r="G217" t="s">
        <v>1136</v>
      </c>
      <c r="H217" t="s">
        <v>1145</v>
      </c>
      <c r="I217" s="63">
        <v>45992</v>
      </c>
      <c r="J217" t="s">
        <v>164</v>
      </c>
      <c r="K217" t="s">
        <v>1150</v>
      </c>
      <c r="M217" s="64">
        <v>81303.710000000021</v>
      </c>
      <c r="N217" s="64">
        <v>-81303.710000000021</v>
      </c>
      <c r="O217" s="64">
        <v>4192600763.3614731</v>
      </c>
    </row>
    <row r="218" spans="1:15" x14ac:dyDescent="0.25">
      <c r="A218" s="58">
        <v>46044</v>
      </c>
      <c r="B218" s="59">
        <v>1</v>
      </c>
      <c r="C218" s="59" t="s">
        <v>1171</v>
      </c>
      <c r="D218" s="59">
        <v>2014264</v>
      </c>
      <c r="E218" s="59" t="s">
        <v>1167</v>
      </c>
      <c r="F218" s="59" t="s">
        <v>1174</v>
      </c>
      <c r="G218" s="59" t="s">
        <v>1136</v>
      </c>
      <c r="H218" s="59" t="s">
        <v>1145</v>
      </c>
      <c r="I218" s="60">
        <v>45992</v>
      </c>
      <c r="J218" s="59" t="s">
        <v>164</v>
      </c>
      <c r="K218" s="59" t="s">
        <v>1148</v>
      </c>
      <c r="L218" s="59"/>
      <c r="M218" s="61">
        <v>4192643.33</v>
      </c>
      <c r="N218" s="61">
        <v>-4192643.33</v>
      </c>
      <c r="O218" s="61">
        <v>4188408120.0314732</v>
      </c>
    </row>
    <row r="219" spans="1:15" x14ac:dyDescent="0.25">
      <c r="A219" s="62">
        <v>46044</v>
      </c>
      <c r="B219">
        <v>1</v>
      </c>
      <c r="C219" t="s">
        <v>1171</v>
      </c>
      <c r="D219">
        <v>2044126</v>
      </c>
      <c r="E219" t="s">
        <v>1167</v>
      </c>
      <c r="F219" t="s">
        <v>1135</v>
      </c>
      <c r="G219" t="s">
        <v>1136</v>
      </c>
      <c r="H219" t="s">
        <v>1175</v>
      </c>
      <c r="I219" s="63">
        <v>45992</v>
      </c>
      <c r="J219" t="s">
        <v>165</v>
      </c>
      <c r="K219" t="s">
        <v>1150</v>
      </c>
      <c r="M219" s="64">
        <v>327477</v>
      </c>
      <c r="N219" s="64">
        <v>-327477</v>
      </c>
      <c r="O219" s="64">
        <v>4188080643.0314732</v>
      </c>
    </row>
    <row r="220" spans="1:15" x14ac:dyDescent="0.25">
      <c r="A220" s="58">
        <v>46044</v>
      </c>
      <c r="B220" s="59">
        <v>1</v>
      </c>
      <c r="C220" s="59" t="s">
        <v>1171</v>
      </c>
      <c r="D220" s="59">
        <v>2044126</v>
      </c>
      <c r="E220" s="59" t="s">
        <v>1167</v>
      </c>
      <c r="F220" s="59" t="s">
        <v>1135</v>
      </c>
      <c r="G220" s="59" t="s">
        <v>1136</v>
      </c>
      <c r="H220" s="59" t="s">
        <v>1175</v>
      </c>
      <c r="I220" s="60">
        <v>45992</v>
      </c>
      <c r="J220" s="59" t="s">
        <v>166</v>
      </c>
      <c r="K220" s="59" t="s">
        <v>1150</v>
      </c>
      <c r="L220" s="59"/>
      <c r="M220" s="61">
        <v>139821</v>
      </c>
      <c r="N220" s="61">
        <v>-139821</v>
      </c>
      <c r="O220" s="61">
        <v>4187940822.0314732</v>
      </c>
    </row>
    <row r="221" spans="1:15" x14ac:dyDescent="0.25">
      <c r="A221" s="62">
        <v>46044</v>
      </c>
      <c r="B221">
        <v>1</v>
      </c>
      <c r="C221" t="s">
        <v>1171</v>
      </c>
      <c r="D221">
        <v>2044462</v>
      </c>
      <c r="E221" t="s">
        <v>1167</v>
      </c>
      <c r="F221" t="s">
        <v>1135</v>
      </c>
      <c r="G221" t="s">
        <v>1136</v>
      </c>
      <c r="H221" t="s">
        <v>1140</v>
      </c>
      <c r="I221" s="63">
        <v>46023</v>
      </c>
      <c r="J221" t="s">
        <v>167</v>
      </c>
      <c r="K221" t="s">
        <v>1138</v>
      </c>
      <c r="M221" s="64">
        <v>2525698.13</v>
      </c>
      <c r="N221" s="64">
        <v>-2525698.13</v>
      </c>
      <c r="O221" s="64">
        <v>4185415123.901473</v>
      </c>
    </row>
    <row r="222" spans="1:15" x14ac:dyDescent="0.25">
      <c r="A222" s="58">
        <v>46044</v>
      </c>
      <c r="B222" s="59">
        <v>1</v>
      </c>
      <c r="C222" s="59" t="s">
        <v>1171</v>
      </c>
      <c r="D222" s="59">
        <v>1044235</v>
      </c>
      <c r="E222" s="59" t="s">
        <v>1134</v>
      </c>
      <c r="F222" s="59" t="s">
        <v>1135</v>
      </c>
      <c r="G222" s="59" t="s">
        <v>1136</v>
      </c>
      <c r="H222" s="59" t="s">
        <v>1152</v>
      </c>
      <c r="I222" s="60">
        <v>45992</v>
      </c>
      <c r="J222" s="59" t="s">
        <v>168</v>
      </c>
      <c r="K222" s="59" t="s">
        <v>1172</v>
      </c>
      <c r="L222" s="61">
        <v>1666201.21</v>
      </c>
      <c r="M222" s="59"/>
      <c r="N222" s="61">
        <v>1666201.21</v>
      </c>
      <c r="O222" s="61">
        <v>4213420096.191473</v>
      </c>
    </row>
    <row r="223" spans="1:15" x14ac:dyDescent="0.25">
      <c r="A223" s="62">
        <v>46044</v>
      </c>
      <c r="B223">
        <v>1</v>
      </c>
      <c r="C223" t="s">
        <v>1171</v>
      </c>
      <c r="D223">
        <v>1044425</v>
      </c>
      <c r="E223" t="s">
        <v>1134</v>
      </c>
      <c r="F223" t="s">
        <v>1135</v>
      </c>
      <c r="G223" t="s">
        <v>1136</v>
      </c>
      <c r="H223" t="s">
        <v>1165</v>
      </c>
      <c r="I223" s="63">
        <v>45992</v>
      </c>
      <c r="J223" t="s">
        <v>168</v>
      </c>
      <c r="K223" t="s">
        <v>1172</v>
      </c>
      <c r="L223" s="64">
        <v>2441517.9656000002</v>
      </c>
      <c r="N223" s="64">
        <v>2441517.9656000002</v>
      </c>
      <c r="O223" s="64">
        <v>4215861614.157073</v>
      </c>
    </row>
    <row r="224" spans="1:15" x14ac:dyDescent="0.25">
      <c r="A224" s="58">
        <v>46044</v>
      </c>
      <c r="B224" s="59">
        <v>1</v>
      </c>
      <c r="C224" s="59" t="s">
        <v>1171</v>
      </c>
      <c r="D224" s="59">
        <v>1044465</v>
      </c>
      <c r="E224" s="59" t="s">
        <v>1134</v>
      </c>
      <c r="F224" s="59" t="s">
        <v>1135</v>
      </c>
      <c r="G224" s="59" t="s">
        <v>1136</v>
      </c>
      <c r="H224" s="59" t="s">
        <v>1140</v>
      </c>
      <c r="I224" s="60">
        <v>45992</v>
      </c>
      <c r="J224" s="59" t="s">
        <v>168</v>
      </c>
      <c r="K224" s="59" t="s">
        <v>1172</v>
      </c>
      <c r="L224" s="61">
        <v>663941.6385</v>
      </c>
      <c r="M224" s="59"/>
      <c r="N224" s="61">
        <v>663941.6385</v>
      </c>
      <c r="O224" s="61">
        <v>4216525555.7955732</v>
      </c>
    </row>
    <row r="225" spans="1:15" x14ac:dyDescent="0.25">
      <c r="A225" s="62">
        <v>46044</v>
      </c>
      <c r="B225">
        <v>1</v>
      </c>
      <c r="C225" t="s">
        <v>1171</v>
      </c>
      <c r="D225">
        <v>1044325</v>
      </c>
      <c r="E225" t="s">
        <v>1134</v>
      </c>
      <c r="F225" t="s">
        <v>1135</v>
      </c>
      <c r="G225" t="s">
        <v>1136</v>
      </c>
      <c r="H225" t="s">
        <v>1143</v>
      </c>
      <c r="I225" s="63">
        <v>45992</v>
      </c>
      <c r="J225" t="s">
        <v>168</v>
      </c>
      <c r="K225" t="s">
        <v>1172</v>
      </c>
      <c r="L225" s="64">
        <v>590044.4</v>
      </c>
      <c r="N225" s="64">
        <v>590044.4</v>
      </c>
      <c r="O225" s="64">
        <v>4217115600.1955729</v>
      </c>
    </row>
    <row r="226" spans="1:15" x14ac:dyDescent="0.25">
      <c r="A226" s="58">
        <v>46044</v>
      </c>
      <c r="B226" s="59">
        <v>1</v>
      </c>
      <c r="C226" s="59" t="s">
        <v>1171</v>
      </c>
      <c r="D226" s="59">
        <v>1044165</v>
      </c>
      <c r="E226" s="59" t="s">
        <v>1134</v>
      </c>
      <c r="F226" s="59" t="s">
        <v>1135</v>
      </c>
      <c r="G226" s="59" t="s">
        <v>1136</v>
      </c>
      <c r="H226" s="59" t="s">
        <v>1162</v>
      </c>
      <c r="I226" s="60">
        <v>45992</v>
      </c>
      <c r="J226" s="59" t="s">
        <v>168</v>
      </c>
      <c r="K226" s="59" t="s">
        <v>1172</v>
      </c>
      <c r="L226" s="61">
        <v>1454447.79</v>
      </c>
      <c r="M226" s="59"/>
      <c r="N226" s="61">
        <v>1454447.79</v>
      </c>
      <c r="O226" s="61">
        <v>4218570047.9855728</v>
      </c>
    </row>
    <row r="227" spans="1:15" x14ac:dyDescent="0.25">
      <c r="A227" s="62">
        <v>46044</v>
      </c>
      <c r="B227">
        <v>1</v>
      </c>
      <c r="C227" t="s">
        <v>1171</v>
      </c>
      <c r="D227">
        <v>1044495</v>
      </c>
      <c r="E227" t="s">
        <v>1134</v>
      </c>
      <c r="F227" t="s">
        <v>1135</v>
      </c>
      <c r="G227" t="s">
        <v>1136</v>
      </c>
      <c r="H227" t="s">
        <v>1173</v>
      </c>
      <c r="I227" s="63">
        <v>45992</v>
      </c>
      <c r="J227" t="s">
        <v>168</v>
      </c>
      <c r="K227" t="s">
        <v>1172</v>
      </c>
      <c r="L227" s="64">
        <v>977588.04</v>
      </c>
      <c r="N227" s="64">
        <v>977588.04</v>
      </c>
      <c r="O227" s="64">
        <v>4219547636.0255728</v>
      </c>
    </row>
    <row r="228" spans="1:15" x14ac:dyDescent="0.25">
      <c r="A228" s="58">
        <v>46044</v>
      </c>
      <c r="B228" s="59">
        <v>1</v>
      </c>
      <c r="C228" s="59" t="s">
        <v>1171</v>
      </c>
      <c r="D228" s="59">
        <v>1044275</v>
      </c>
      <c r="E228" s="59" t="s">
        <v>1134</v>
      </c>
      <c r="F228" s="59" t="s">
        <v>1135</v>
      </c>
      <c r="G228" s="59" t="s">
        <v>1136</v>
      </c>
      <c r="H228" s="59" t="s">
        <v>1154</v>
      </c>
      <c r="I228" s="60">
        <v>45992</v>
      </c>
      <c r="J228" s="59" t="s">
        <v>168</v>
      </c>
      <c r="K228" s="59" t="s">
        <v>1172</v>
      </c>
      <c r="L228" s="61">
        <v>1055349.44</v>
      </c>
      <c r="M228" s="59"/>
      <c r="N228" s="61">
        <v>1055349.44</v>
      </c>
      <c r="O228" s="61">
        <v>4220602985.4655728</v>
      </c>
    </row>
    <row r="229" spans="1:15" x14ac:dyDescent="0.25">
      <c r="A229" s="62">
        <v>46044</v>
      </c>
      <c r="B229">
        <v>1</v>
      </c>
      <c r="C229" t="s">
        <v>1171</v>
      </c>
      <c r="D229">
        <v>1044285</v>
      </c>
      <c r="E229" t="s">
        <v>1134</v>
      </c>
      <c r="F229" t="s">
        <v>1135</v>
      </c>
      <c r="G229" t="s">
        <v>1136</v>
      </c>
      <c r="H229" t="s">
        <v>1155</v>
      </c>
      <c r="I229" s="63">
        <v>45992</v>
      </c>
      <c r="J229" t="s">
        <v>168</v>
      </c>
      <c r="K229" t="s">
        <v>1172</v>
      </c>
      <c r="L229" s="64">
        <v>928150</v>
      </c>
      <c r="N229" s="64">
        <v>928150</v>
      </c>
      <c r="O229" s="64">
        <v>4221531135.4655728</v>
      </c>
    </row>
    <row r="230" spans="1:15" x14ac:dyDescent="0.25">
      <c r="A230" s="58">
        <v>46045</v>
      </c>
      <c r="B230" s="59">
        <v>1</v>
      </c>
      <c r="C230" s="59" t="s">
        <v>1133</v>
      </c>
      <c r="D230" s="59">
        <v>2014261</v>
      </c>
      <c r="E230" s="59" t="s">
        <v>1167</v>
      </c>
      <c r="F230" s="59" t="s">
        <v>1174</v>
      </c>
      <c r="G230" s="59" t="s">
        <v>1136</v>
      </c>
      <c r="H230" s="59" t="s">
        <v>1145</v>
      </c>
      <c r="I230" s="60">
        <v>45992</v>
      </c>
      <c r="J230" s="59" t="s">
        <v>170</v>
      </c>
      <c r="K230" s="59" t="s">
        <v>1142</v>
      </c>
      <c r="L230" s="59"/>
      <c r="M230" s="61">
        <v>4071478.97</v>
      </c>
      <c r="N230" s="61">
        <v>-4071478.97</v>
      </c>
      <c r="O230" s="61">
        <v>4220637448.495574</v>
      </c>
    </row>
    <row r="231" spans="1:15" x14ac:dyDescent="0.25">
      <c r="A231" s="62">
        <v>46045</v>
      </c>
      <c r="B231">
        <v>1</v>
      </c>
      <c r="C231" t="s">
        <v>1133</v>
      </c>
      <c r="D231">
        <v>2054381</v>
      </c>
      <c r="E231" t="s">
        <v>1167</v>
      </c>
      <c r="F231" t="s">
        <v>1169</v>
      </c>
      <c r="G231" t="s">
        <v>1136</v>
      </c>
      <c r="H231" t="s">
        <v>1163</v>
      </c>
      <c r="I231" s="63">
        <v>46023</v>
      </c>
      <c r="J231" t="s">
        <v>171</v>
      </c>
      <c r="K231" t="s">
        <v>1142</v>
      </c>
      <c r="M231" s="64">
        <v>11064851.529999999</v>
      </c>
      <c r="N231" s="64">
        <v>-11064851.529999999</v>
      </c>
      <c r="O231" s="64">
        <v>4209572596.9655728</v>
      </c>
    </row>
    <row r="232" spans="1:15" x14ac:dyDescent="0.25">
      <c r="A232" s="58">
        <v>46045</v>
      </c>
      <c r="B232" s="59">
        <v>1</v>
      </c>
      <c r="C232" s="59" t="s">
        <v>1133</v>
      </c>
      <c r="D232" s="59">
        <v>2054311</v>
      </c>
      <c r="E232" s="59" t="s">
        <v>1167</v>
      </c>
      <c r="F232" s="59" t="s">
        <v>1169</v>
      </c>
      <c r="G232" s="59" t="s">
        <v>1136</v>
      </c>
      <c r="H232" s="59" t="s">
        <v>1137</v>
      </c>
      <c r="I232" s="60">
        <v>46023</v>
      </c>
      <c r="J232" s="59" t="s">
        <v>172</v>
      </c>
      <c r="K232" s="59" t="s">
        <v>1142</v>
      </c>
      <c r="L232" s="59"/>
      <c r="M232" s="61">
        <v>29986834.140000001</v>
      </c>
      <c r="N232" s="61">
        <v>-29986834.140000001</v>
      </c>
      <c r="O232" s="61">
        <v>4179585762.825573</v>
      </c>
    </row>
    <row r="233" spans="1:15" x14ac:dyDescent="0.25">
      <c r="A233" s="62">
        <v>46045</v>
      </c>
      <c r="B233">
        <v>1</v>
      </c>
      <c r="C233" t="s">
        <v>1133</v>
      </c>
      <c r="D233">
        <v>2014201</v>
      </c>
      <c r="E233" t="s">
        <v>1167</v>
      </c>
      <c r="F233" t="s">
        <v>1174</v>
      </c>
      <c r="G233" t="s">
        <v>1136</v>
      </c>
      <c r="H233" t="s">
        <v>1139</v>
      </c>
      <c r="I233" s="63">
        <v>46023</v>
      </c>
      <c r="J233" t="s">
        <v>173</v>
      </c>
      <c r="K233" t="s">
        <v>1142</v>
      </c>
      <c r="M233" s="64">
        <v>11573382.77</v>
      </c>
      <c r="N233" s="64">
        <v>-11573382.77</v>
      </c>
      <c r="O233" s="64">
        <v>4168012380.055573</v>
      </c>
    </row>
    <row r="234" spans="1:15" x14ac:dyDescent="0.25">
      <c r="A234" s="58">
        <v>46048</v>
      </c>
      <c r="B234" s="59">
        <v>1</v>
      </c>
      <c r="C234" s="59" t="s">
        <v>1144</v>
      </c>
      <c r="D234" s="59">
        <v>2044461</v>
      </c>
      <c r="E234" s="59" t="s">
        <v>1167</v>
      </c>
      <c r="F234" s="59" t="s">
        <v>1135</v>
      </c>
      <c r="G234" s="59" t="s">
        <v>1136</v>
      </c>
      <c r="H234" s="59" t="s">
        <v>1140</v>
      </c>
      <c r="I234" s="60">
        <v>45992</v>
      </c>
      <c r="J234" s="59" t="s">
        <v>174</v>
      </c>
      <c r="K234" s="59" t="s">
        <v>1142</v>
      </c>
      <c r="L234" s="59"/>
      <c r="M234" s="61">
        <v>128088.61</v>
      </c>
      <c r="N234" s="61">
        <v>-128088.61</v>
      </c>
      <c r="O234" s="61">
        <v>4167884291.4455729</v>
      </c>
    </row>
    <row r="235" spans="1:15" x14ac:dyDescent="0.25">
      <c r="A235" s="62">
        <v>46048</v>
      </c>
      <c r="B235">
        <v>1</v>
      </c>
      <c r="C235" t="s">
        <v>1144</v>
      </c>
      <c r="D235">
        <v>2044121</v>
      </c>
      <c r="E235" t="s">
        <v>1167</v>
      </c>
      <c r="F235" t="s">
        <v>1135</v>
      </c>
      <c r="G235" t="s">
        <v>1136</v>
      </c>
      <c r="H235" t="s">
        <v>1175</v>
      </c>
      <c r="I235" s="63">
        <v>45839</v>
      </c>
      <c r="J235" t="s">
        <v>175</v>
      </c>
      <c r="K235" t="s">
        <v>1142</v>
      </c>
      <c r="M235" s="64">
        <v>8869946.5</v>
      </c>
      <c r="N235" s="64">
        <v>-8869946.5</v>
      </c>
      <c r="O235" s="64">
        <v>4159014344.9455729</v>
      </c>
    </row>
    <row r="236" spans="1:15" x14ac:dyDescent="0.25">
      <c r="A236" s="58">
        <v>46049</v>
      </c>
      <c r="B236" s="59">
        <v>1</v>
      </c>
      <c r="C236" s="59" t="s">
        <v>1161</v>
      </c>
      <c r="D236" s="59">
        <v>2044121</v>
      </c>
      <c r="E236" s="59" t="s">
        <v>1167</v>
      </c>
      <c r="F236" s="59" t="s">
        <v>1135</v>
      </c>
      <c r="G236" s="59" t="s">
        <v>1136</v>
      </c>
      <c r="H236" s="59" t="s">
        <v>1175</v>
      </c>
      <c r="I236" s="60">
        <v>45870</v>
      </c>
      <c r="J236" s="59" t="s">
        <v>176</v>
      </c>
      <c r="K236" s="59" t="s">
        <v>1142</v>
      </c>
      <c r="L236" s="59"/>
      <c r="M236" s="61">
        <v>2290954.7999999998</v>
      </c>
      <c r="N236" s="61">
        <v>-2290954.7999999998</v>
      </c>
      <c r="O236" s="61">
        <v>4156723390.1455731</v>
      </c>
    </row>
    <row r="237" spans="1:15" x14ac:dyDescent="0.25">
      <c r="A237" s="62">
        <v>46049</v>
      </c>
      <c r="B237">
        <v>1</v>
      </c>
      <c r="C237" t="s">
        <v>1161</v>
      </c>
      <c r="D237">
        <v>2044121</v>
      </c>
      <c r="E237" t="s">
        <v>1167</v>
      </c>
      <c r="F237" t="s">
        <v>1135</v>
      </c>
      <c r="G237" t="s">
        <v>1136</v>
      </c>
      <c r="H237" t="s">
        <v>1175</v>
      </c>
      <c r="I237" s="63">
        <v>45901</v>
      </c>
      <c r="J237" t="s">
        <v>177</v>
      </c>
      <c r="K237" t="s">
        <v>1142</v>
      </c>
      <c r="M237" s="64">
        <v>551878.80000000005</v>
      </c>
      <c r="N237" s="64">
        <v>-551878.80000000005</v>
      </c>
      <c r="O237" s="64">
        <v>4156171511.3455729</v>
      </c>
    </row>
    <row r="238" spans="1:15" x14ac:dyDescent="0.25">
      <c r="A238" s="58">
        <v>46049</v>
      </c>
      <c r="B238" s="59">
        <v>1</v>
      </c>
      <c r="C238" s="59" t="s">
        <v>1161</v>
      </c>
      <c r="D238" s="59">
        <v>2044121</v>
      </c>
      <c r="E238" s="59" t="s">
        <v>1167</v>
      </c>
      <c r="F238" s="59" t="s">
        <v>1135</v>
      </c>
      <c r="G238" s="59" t="s">
        <v>1136</v>
      </c>
      <c r="H238" s="59" t="s">
        <v>1175</v>
      </c>
      <c r="I238" s="60">
        <v>45931</v>
      </c>
      <c r="J238" s="59" t="s">
        <v>178</v>
      </c>
      <c r="K238" s="59" t="s">
        <v>1142</v>
      </c>
      <c r="L238" s="59"/>
      <c r="M238" s="61">
        <v>1003546.1</v>
      </c>
      <c r="N238" s="61">
        <v>-1003546.1</v>
      </c>
      <c r="O238" s="61">
        <v>4155167965.245573</v>
      </c>
    </row>
    <row r="239" spans="1:15" x14ac:dyDescent="0.25">
      <c r="A239" s="62">
        <v>46049</v>
      </c>
      <c r="B239">
        <v>1</v>
      </c>
      <c r="C239" t="s">
        <v>1161</v>
      </c>
      <c r="D239">
        <v>2054311</v>
      </c>
      <c r="E239" t="s">
        <v>1167</v>
      </c>
      <c r="F239" t="s">
        <v>1169</v>
      </c>
      <c r="G239" t="s">
        <v>1136</v>
      </c>
      <c r="H239" t="s">
        <v>1137</v>
      </c>
      <c r="I239" s="63">
        <v>45717</v>
      </c>
      <c r="J239" t="s">
        <v>179</v>
      </c>
      <c r="K239" t="s">
        <v>1142</v>
      </c>
      <c r="M239" s="64">
        <v>20514895.91</v>
      </c>
      <c r="N239" s="64">
        <v>-20514895.91</v>
      </c>
      <c r="O239" s="64">
        <v>4134653069.3355732</v>
      </c>
    </row>
    <row r="240" spans="1:15" x14ac:dyDescent="0.25">
      <c r="A240" s="58">
        <v>46049</v>
      </c>
      <c r="B240" s="59">
        <v>1</v>
      </c>
      <c r="C240" s="59" t="s">
        <v>1161</v>
      </c>
      <c r="D240" s="59">
        <v>2054321</v>
      </c>
      <c r="E240" s="59" t="s">
        <v>1167</v>
      </c>
      <c r="F240" s="59" t="s">
        <v>1169</v>
      </c>
      <c r="G240" s="59" t="s">
        <v>1136</v>
      </c>
      <c r="H240" s="59" t="s">
        <v>1143</v>
      </c>
      <c r="I240" s="60">
        <v>45717</v>
      </c>
      <c r="J240" s="59" t="s">
        <v>180</v>
      </c>
      <c r="K240" s="59" t="s">
        <v>1142</v>
      </c>
      <c r="L240" s="59"/>
      <c r="M240" s="61">
        <v>6770326.5899999999</v>
      </c>
      <c r="N240" s="61">
        <v>-6770326.5899999999</v>
      </c>
      <c r="O240" s="61">
        <v>4127882742.745573</v>
      </c>
    </row>
    <row r="241" spans="1:15" x14ac:dyDescent="0.25">
      <c r="A241" s="62">
        <v>46050</v>
      </c>
      <c r="B241">
        <v>1</v>
      </c>
      <c r="C241" t="s">
        <v>1166</v>
      </c>
      <c r="D241">
        <v>2044463</v>
      </c>
      <c r="E241" t="s">
        <v>1167</v>
      </c>
      <c r="F241" t="s">
        <v>1135</v>
      </c>
      <c r="G241" t="s">
        <v>1136</v>
      </c>
      <c r="H241" t="s">
        <v>1140</v>
      </c>
      <c r="I241" s="63">
        <v>46023</v>
      </c>
      <c r="J241" t="s">
        <v>181</v>
      </c>
      <c r="K241" t="s">
        <v>1146</v>
      </c>
      <c r="M241" s="64">
        <v>2283664.62</v>
      </c>
      <c r="N241" s="64">
        <v>-2283664.62</v>
      </c>
      <c r="O241" s="64">
        <v>4125599078.1255732</v>
      </c>
    </row>
    <row r="242" spans="1:15" x14ac:dyDescent="0.25">
      <c r="A242" s="58">
        <v>46050</v>
      </c>
      <c r="B242" s="59">
        <v>1</v>
      </c>
      <c r="C242" s="59" t="s">
        <v>1166</v>
      </c>
      <c r="D242" s="59">
        <v>1044312</v>
      </c>
      <c r="E242" s="59" t="s">
        <v>1134</v>
      </c>
      <c r="F242" s="59" t="s">
        <v>1135</v>
      </c>
      <c r="G242" s="59" t="s">
        <v>1136</v>
      </c>
      <c r="H242" s="59" t="s">
        <v>1137</v>
      </c>
      <c r="I242" s="60">
        <v>46023</v>
      </c>
      <c r="J242" s="59" t="s">
        <v>182</v>
      </c>
      <c r="K242" s="59" t="s">
        <v>1138</v>
      </c>
      <c r="L242" s="61">
        <v>38234732.539999999</v>
      </c>
      <c r="M242" s="59"/>
      <c r="N242" s="61">
        <v>38234732.539999999</v>
      </c>
      <c r="O242" s="61">
        <v>4163833810.6655731</v>
      </c>
    </row>
    <row r="243" spans="1:15" x14ac:dyDescent="0.25">
      <c r="A243" s="62">
        <v>46050</v>
      </c>
      <c r="B243">
        <v>1</v>
      </c>
      <c r="C243" t="s">
        <v>1166</v>
      </c>
      <c r="D243">
        <v>1044202</v>
      </c>
      <c r="E243" t="s">
        <v>1134</v>
      </c>
      <c r="F243" t="s">
        <v>1135</v>
      </c>
      <c r="G243" t="s">
        <v>1136</v>
      </c>
      <c r="H243" t="s">
        <v>1139</v>
      </c>
      <c r="I243" s="63">
        <v>46023</v>
      </c>
      <c r="J243" t="s">
        <v>182</v>
      </c>
      <c r="K243" t="s">
        <v>1138</v>
      </c>
      <c r="L243" s="64">
        <v>2525698.13</v>
      </c>
      <c r="N243" s="64">
        <v>2525698.13</v>
      </c>
      <c r="O243" s="64">
        <v>4166359508.7955732</v>
      </c>
    </row>
    <row r="244" spans="1:15" x14ac:dyDescent="0.25">
      <c r="A244" s="58">
        <v>46050</v>
      </c>
      <c r="B244" s="59">
        <v>1</v>
      </c>
      <c r="C244" s="59" t="s">
        <v>1166</v>
      </c>
      <c r="D244" s="59">
        <v>1044462</v>
      </c>
      <c r="E244" s="59" t="s">
        <v>1134</v>
      </c>
      <c r="F244" s="59" t="s">
        <v>1135</v>
      </c>
      <c r="G244" s="59" t="s">
        <v>1136</v>
      </c>
      <c r="H244" s="59" t="s">
        <v>1140</v>
      </c>
      <c r="I244" s="60">
        <v>46023</v>
      </c>
      <c r="J244" s="59" t="s">
        <v>182</v>
      </c>
      <c r="K244" s="59" t="s">
        <v>1138</v>
      </c>
      <c r="L244" s="61">
        <v>12119400</v>
      </c>
      <c r="M244" s="59"/>
      <c r="N244" s="61">
        <v>12119400</v>
      </c>
      <c r="O244" s="61">
        <v>4178478908.7955732</v>
      </c>
    </row>
    <row r="245" spans="1:15" x14ac:dyDescent="0.25">
      <c r="A245" s="62">
        <v>46050</v>
      </c>
      <c r="B245">
        <v>1</v>
      </c>
      <c r="C245" t="s">
        <v>1166</v>
      </c>
      <c r="D245">
        <v>1044422</v>
      </c>
      <c r="E245" t="s">
        <v>1134</v>
      </c>
      <c r="F245" t="s">
        <v>1135</v>
      </c>
      <c r="G245" t="s">
        <v>1136</v>
      </c>
      <c r="H245" t="s">
        <v>1165</v>
      </c>
      <c r="I245" s="63">
        <v>45627</v>
      </c>
      <c r="J245" t="s">
        <v>182</v>
      </c>
      <c r="K245" t="s">
        <v>1138</v>
      </c>
      <c r="L245" s="64">
        <v>2092573.42</v>
      </c>
      <c r="N245" s="64">
        <v>2092573.42</v>
      </c>
      <c r="O245" s="64">
        <v>4180571482.2155728</v>
      </c>
    </row>
    <row r="246" spans="1:15" x14ac:dyDescent="0.25">
      <c r="A246" s="58">
        <v>46050</v>
      </c>
      <c r="B246" s="59">
        <v>1</v>
      </c>
      <c r="C246" s="59" t="s">
        <v>1166</v>
      </c>
      <c r="D246" s="59">
        <v>1044422</v>
      </c>
      <c r="E246" s="59" t="s">
        <v>1134</v>
      </c>
      <c r="F246" s="59" t="s">
        <v>1135</v>
      </c>
      <c r="G246" s="59" t="s">
        <v>1136</v>
      </c>
      <c r="H246" s="59" t="s">
        <v>1165</v>
      </c>
      <c r="I246" s="60">
        <v>45658</v>
      </c>
      <c r="J246" s="59" t="s">
        <v>182</v>
      </c>
      <c r="K246" s="59" t="s">
        <v>1138</v>
      </c>
      <c r="L246" s="61">
        <v>1514336.58</v>
      </c>
      <c r="M246" s="59"/>
      <c r="N246" s="61">
        <v>1514336.58</v>
      </c>
      <c r="O246" s="61">
        <v>4182085818.7955732</v>
      </c>
    </row>
    <row r="247" spans="1:15" x14ac:dyDescent="0.25">
      <c r="A247" s="62">
        <v>46050</v>
      </c>
      <c r="B247">
        <v>1</v>
      </c>
      <c r="C247" t="s">
        <v>1166</v>
      </c>
      <c r="D247">
        <v>1044422</v>
      </c>
      <c r="E247" t="s">
        <v>1134</v>
      </c>
      <c r="F247" t="s">
        <v>1135</v>
      </c>
      <c r="G247" t="s">
        <v>1136</v>
      </c>
      <c r="H247" t="s">
        <v>1165</v>
      </c>
      <c r="I247" s="63">
        <v>45689</v>
      </c>
      <c r="J247" t="s">
        <v>182</v>
      </c>
      <c r="K247" t="s">
        <v>1138</v>
      </c>
      <c r="L247" s="64">
        <v>4230859.34</v>
      </c>
      <c r="N247" s="64">
        <v>4230859.34</v>
      </c>
      <c r="O247" s="64">
        <v>4186316678.1355729</v>
      </c>
    </row>
    <row r="248" spans="1:15" x14ac:dyDescent="0.25">
      <c r="A248" s="58">
        <v>46050</v>
      </c>
      <c r="B248" s="59">
        <v>1</v>
      </c>
      <c r="C248" s="59" t="s">
        <v>1166</v>
      </c>
      <c r="D248" s="59">
        <v>1044422</v>
      </c>
      <c r="E248" s="59" t="s">
        <v>1134</v>
      </c>
      <c r="F248" s="59" t="s">
        <v>1135</v>
      </c>
      <c r="G248" s="59" t="s">
        <v>1136</v>
      </c>
      <c r="H248" s="59" t="s">
        <v>1165</v>
      </c>
      <c r="I248" s="60">
        <v>45717</v>
      </c>
      <c r="J248" s="59" t="s">
        <v>182</v>
      </c>
      <c r="K248" s="59" t="s">
        <v>1138</v>
      </c>
      <c r="L248" s="61">
        <v>5008605.25</v>
      </c>
      <c r="M248" s="59"/>
      <c r="N248" s="61">
        <v>5008605.25</v>
      </c>
      <c r="O248" s="61">
        <v>4191325283.3855729</v>
      </c>
    </row>
    <row r="249" spans="1:15" x14ac:dyDescent="0.25">
      <c r="A249" s="62">
        <v>46050</v>
      </c>
      <c r="B249">
        <v>1</v>
      </c>
      <c r="C249" t="s">
        <v>1166</v>
      </c>
      <c r="D249">
        <v>1044422</v>
      </c>
      <c r="E249" t="s">
        <v>1134</v>
      </c>
      <c r="F249" t="s">
        <v>1135</v>
      </c>
      <c r="G249" t="s">
        <v>1136</v>
      </c>
      <c r="H249" t="s">
        <v>1165</v>
      </c>
      <c r="I249" s="63">
        <v>45748</v>
      </c>
      <c r="J249" t="s">
        <v>182</v>
      </c>
      <c r="K249" t="s">
        <v>1138</v>
      </c>
      <c r="L249" s="64">
        <v>1630347.54</v>
      </c>
      <c r="N249" s="64">
        <v>1630347.54</v>
      </c>
      <c r="O249" s="64">
        <v>4192955630.9255729</v>
      </c>
    </row>
    <row r="250" spans="1:15" x14ac:dyDescent="0.25">
      <c r="A250" s="58">
        <v>46050</v>
      </c>
      <c r="B250" s="59">
        <v>1</v>
      </c>
      <c r="C250" s="59" t="s">
        <v>1166</v>
      </c>
      <c r="D250" s="59">
        <v>1044422</v>
      </c>
      <c r="E250" s="59" t="s">
        <v>1134</v>
      </c>
      <c r="F250" s="59" t="s">
        <v>1135</v>
      </c>
      <c r="G250" s="59" t="s">
        <v>1136</v>
      </c>
      <c r="H250" s="59" t="s">
        <v>1165</v>
      </c>
      <c r="I250" s="60">
        <v>45778</v>
      </c>
      <c r="J250" s="59" t="s">
        <v>182</v>
      </c>
      <c r="K250" s="59" t="s">
        <v>1138</v>
      </c>
      <c r="L250" s="61">
        <v>1474669.73</v>
      </c>
      <c r="M250" s="59"/>
      <c r="N250" s="61">
        <v>1474669.73</v>
      </c>
      <c r="O250" s="61">
        <v>4194430300.6555729</v>
      </c>
    </row>
    <row r="251" spans="1:15" x14ac:dyDescent="0.25">
      <c r="A251" s="62">
        <v>46050</v>
      </c>
      <c r="B251">
        <v>1</v>
      </c>
      <c r="C251" t="s">
        <v>1166</v>
      </c>
      <c r="D251">
        <v>1044422</v>
      </c>
      <c r="E251" t="s">
        <v>1134</v>
      </c>
      <c r="F251" t="s">
        <v>1135</v>
      </c>
      <c r="G251" t="s">
        <v>1136</v>
      </c>
      <c r="H251" t="s">
        <v>1165</v>
      </c>
      <c r="I251" s="63">
        <v>45809</v>
      </c>
      <c r="J251" t="s">
        <v>182</v>
      </c>
      <c r="K251" t="s">
        <v>1138</v>
      </c>
      <c r="L251" s="64">
        <v>3643730.64</v>
      </c>
      <c r="N251" s="64">
        <v>3643730.64</v>
      </c>
      <c r="O251" s="64">
        <v>4198074031.2955732</v>
      </c>
    </row>
    <row r="252" spans="1:15" x14ac:dyDescent="0.25">
      <c r="A252" s="58">
        <v>46050</v>
      </c>
      <c r="B252" s="59">
        <v>1</v>
      </c>
      <c r="C252" s="59" t="s">
        <v>1166</v>
      </c>
      <c r="D252" s="59">
        <v>1044422</v>
      </c>
      <c r="E252" s="59" t="s">
        <v>1134</v>
      </c>
      <c r="F252" s="59" t="s">
        <v>1135</v>
      </c>
      <c r="G252" s="59" t="s">
        <v>1136</v>
      </c>
      <c r="H252" s="59" t="s">
        <v>1165</v>
      </c>
      <c r="I252" s="60">
        <v>45839</v>
      </c>
      <c r="J252" s="59" t="s">
        <v>182</v>
      </c>
      <c r="K252" s="59" t="s">
        <v>1138</v>
      </c>
      <c r="L252" s="61">
        <v>6117067.0300000003</v>
      </c>
      <c r="M252" s="59"/>
      <c r="N252" s="61">
        <v>6117067.0300000003</v>
      </c>
      <c r="O252" s="61">
        <v>4204191098.325573</v>
      </c>
    </row>
    <row r="253" spans="1:15" x14ac:dyDescent="0.25">
      <c r="A253" s="62">
        <v>46050</v>
      </c>
      <c r="B253">
        <v>1</v>
      </c>
      <c r="C253" t="s">
        <v>1166</v>
      </c>
      <c r="D253">
        <v>1044422</v>
      </c>
      <c r="E253" t="s">
        <v>1134</v>
      </c>
      <c r="F253" t="s">
        <v>1135</v>
      </c>
      <c r="G253" t="s">
        <v>1136</v>
      </c>
      <c r="H253" t="s">
        <v>1165</v>
      </c>
      <c r="I253" s="63">
        <v>45901</v>
      </c>
      <c r="J253" t="s">
        <v>182</v>
      </c>
      <c r="K253" t="s">
        <v>1138</v>
      </c>
      <c r="L253" s="64">
        <v>9057561.4800000004</v>
      </c>
      <c r="N253" s="64">
        <v>9057561.4800000004</v>
      </c>
      <c r="O253" s="64">
        <v>4213248659.805573</v>
      </c>
    </row>
    <row r="254" spans="1:15" x14ac:dyDescent="0.25">
      <c r="A254" s="58">
        <v>46050</v>
      </c>
      <c r="B254" s="59">
        <v>1</v>
      </c>
      <c r="C254" s="59" t="s">
        <v>1166</v>
      </c>
      <c r="D254" s="59">
        <v>1044422</v>
      </c>
      <c r="E254" s="59" t="s">
        <v>1134</v>
      </c>
      <c r="F254" s="59" t="s">
        <v>1135</v>
      </c>
      <c r="G254" s="59" t="s">
        <v>1136</v>
      </c>
      <c r="H254" s="59" t="s">
        <v>1165</v>
      </c>
      <c r="I254" s="60">
        <v>45931</v>
      </c>
      <c r="J254" s="59" t="s">
        <v>182</v>
      </c>
      <c r="K254" s="59" t="s">
        <v>1138</v>
      </c>
      <c r="L254" s="61">
        <v>8878772.2400000002</v>
      </c>
      <c r="M254" s="59"/>
      <c r="N254" s="61">
        <v>8878772.2400000002</v>
      </c>
      <c r="O254" s="61">
        <v>4222127432.0455732</v>
      </c>
    </row>
    <row r="255" spans="1:15" x14ac:dyDescent="0.25">
      <c r="A255" s="62">
        <v>46050</v>
      </c>
      <c r="B255">
        <v>1</v>
      </c>
      <c r="C255" t="s">
        <v>1166</v>
      </c>
      <c r="D255">
        <v>1044422</v>
      </c>
      <c r="E255" t="s">
        <v>1134</v>
      </c>
      <c r="F255" t="s">
        <v>1135</v>
      </c>
      <c r="G255" t="s">
        <v>1136</v>
      </c>
      <c r="H255" t="s">
        <v>1165</v>
      </c>
      <c r="I255" s="63">
        <v>45962</v>
      </c>
      <c r="J255" t="s">
        <v>182</v>
      </c>
      <c r="K255" t="s">
        <v>1138</v>
      </c>
      <c r="L255" s="64">
        <v>8483712.6300000008</v>
      </c>
      <c r="N255" s="64">
        <v>8483712.6300000008</v>
      </c>
      <c r="O255" s="64">
        <v>4230611144.6755729</v>
      </c>
    </row>
    <row r="256" spans="1:15" x14ac:dyDescent="0.25">
      <c r="A256" s="58">
        <v>46050</v>
      </c>
      <c r="B256" s="59">
        <v>1</v>
      </c>
      <c r="C256" s="59" t="s">
        <v>1166</v>
      </c>
      <c r="D256" s="59">
        <v>1044422</v>
      </c>
      <c r="E256" s="59" t="s">
        <v>1134</v>
      </c>
      <c r="F256" s="59" t="s">
        <v>1135</v>
      </c>
      <c r="G256" s="59" t="s">
        <v>1136</v>
      </c>
      <c r="H256" s="59" t="s">
        <v>1165</v>
      </c>
      <c r="I256" s="60">
        <v>45992</v>
      </c>
      <c r="J256" s="59" t="s">
        <v>182</v>
      </c>
      <c r="K256" s="59" t="s">
        <v>1138</v>
      </c>
      <c r="L256" s="61">
        <v>5647044.1500000004</v>
      </c>
      <c r="M256" s="59"/>
      <c r="N256" s="61">
        <v>5647044.1500000004</v>
      </c>
      <c r="O256" s="61">
        <v>4236258188.825573</v>
      </c>
    </row>
    <row r="257" spans="1:15" x14ac:dyDescent="0.25">
      <c r="A257" s="62">
        <v>46050</v>
      </c>
      <c r="B257">
        <v>1</v>
      </c>
      <c r="C257" t="s">
        <v>1166</v>
      </c>
      <c r="D257">
        <v>1044342</v>
      </c>
      <c r="E257" t="s">
        <v>1134</v>
      </c>
      <c r="F257" t="s">
        <v>1135</v>
      </c>
      <c r="G257" t="s">
        <v>1136</v>
      </c>
      <c r="H257" t="s">
        <v>1156</v>
      </c>
      <c r="I257" s="63">
        <v>45992</v>
      </c>
      <c r="J257" t="s">
        <v>182</v>
      </c>
      <c r="K257" t="s">
        <v>1138</v>
      </c>
      <c r="L257" s="64">
        <v>17953694.030000001</v>
      </c>
      <c r="N257" s="64">
        <v>17953694.030000001</v>
      </c>
      <c r="O257" s="64">
        <v>4254211882.8555741</v>
      </c>
    </row>
    <row r="258" spans="1:15" x14ac:dyDescent="0.25">
      <c r="A258" s="58">
        <v>46051</v>
      </c>
      <c r="B258" s="59">
        <v>1</v>
      </c>
      <c r="C258" s="59" t="s">
        <v>1171</v>
      </c>
      <c r="D258" s="59">
        <v>2044461</v>
      </c>
      <c r="E258" s="59" t="s">
        <v>1167</v>
      </c>
      <c r="F258" s="59" t="s">
        <v>1135</v>
      </c>
      <c r="G258" s="59" t="s">
        <v>1136</v>
      </c>
      <c r="H258" s="59" t="s">
        <v>1140</v>
      </c>
      <c r="I258" s="60">
        <v>46023</v>
      </c>
      <c r="J258" s="59" t="s">
        <v>183</v>
      </c>
      <c r="K258" s="59" t="s">
        <v>1142</v>
      </c>
      <c r="L258" s="59"/>
      <c r="M258" s="61">
        <v>1461728.5</v>
      </c>
      <c r="N258" s="61">
        <v>-1461728.5</v>
      </c>
      <c r="O258" s="61">
        <v>4280889992.6155739</v>
      </c>
    </row>
    <row r="259" spans="1:15" x14ac:dyDescent="0.25">
      <c r="A259" s="62">
        <v>46051</v>
      </c>
      <c r="B259">
        <v>1</v>
      </c>
      <c r="C259" t="s">
        <v>1171</v>
      </c>
      <c r="D259">
        <v>1044463</v>
      </c>
      <c r="E259" t="s">
        <v>1134</v>
      </c>
      <c r="F259" t="s">
        <v>1135</v>
      </c>
      <c r="G259" t="s">
        <v>1136</v>
      </c>
      <c r="H259" t="s">
        <v>1140</v>
      </c>
      <c r="I259" s="63">
        <v>45992</v>
      </c>
      <c r="J259" t="s">
        <v>184</v>
      </c>
      <c r="K259" t="s">
        <v>1146</v>
      </c>
      <c r="L259" s="64">
        <v>608167.17000000004</v>
      </c>
      <c r="N259" s="64">
        <v>608167.17000000004</v>
      </c>
      <c r="O259" s="64">
        <v>4281498159.785574</v>
      </c>
    </row>
    <row r="260" spans="1:15" x14ac:dyDescent="0.25">
      <c r="A260" s="58">
        <v>46051</v>
      </c>
      <c r="B260" s="59">
        <v>1</v>
      </c>
      <c r="C260" s="59" t="s">
        <v>1171</v>
      </c>
      <c r="D260" s="59">
        <v>1044263</v>
      </c>
      <c r="E260" s="59" t="s">
        <v>1134</v>
      </c>
      <c r="F260" s="59" t="s">
        <v>1135</v>
      </c>
      <c r="G260" s="59" t="s">
        <v>1136</v>
      </c>
      <c r="H260" s="59" t="s">
        <v>1145</v>
      </c>
      <c r="I260" s="60">
        <v>45992</v>
      </c>
      <c r="J260" s="59" t="s">
        <v>184</v>
      </c>
      <c r="K260" s="59" t="s">
        <v>1146</v>
      </c>
      <c r="L260" s="61">
        <v>1254049.5900000001</v>
      </c>
      <c r="M260" s="59"/>
      <c r="N260" s="61">
        <v>1254049.5900000001</v>
      </c>
      <c r="O260" s="61">
        <v>4282752209.3755741</v>
      </c>
    </row>
    <row r="261" spans="1:15" x14ac:dyDescent="0.25">
      <c r="A261" s="62">
        <v>46052</v>
      </c>
      <c r="B261">
        <v>1</v>
      </c>
      <c r="C261" t="s">
        <v>1133</v>
      </c>
      <c r="D261">
        <v>1044126</v>
      </c>
      <c r="E261" t="s">
        <v>1134</v>
      </c>
      <c r="F261" t="s">
        <v>1135</v>
      </c>
      <c r="G261" t="s">
        <v>1136</v>
      </c>
      <c r="H261" t="s">
        <v>1175</v>
      </c>
      <c r="I261" s="63">
        <v>45992</v>
      </c>
      <c r="J261" t="s">
        <v>188</v>
      </c>
      <c r="K261" t="s">
        <v>1150</v>
      </c>
      <c r="L261" s="64">
        <v>17328871.599999979</v>
      </c>
      <c r="N261" s="64">
        <v>17328871.599999979</v>
      </c>
      <c r="O261" s="64">
        <v>4323948491.8645744</v>
      </c>
    </row>
    <row r="262" spans="1:15" x14ac:dyDescent="0.25">
      <c r="A262" s="58">
        <v>46052</v>
      </c>
      <c r="B262" s="59">
        <v>1</v>
      </c>
      <c r="C262" s="59" t="s">
        <v>1133</v>
      </c>
      <c r="D262" s="59">
        <v>1044246</v>
      </c>
      <c r="E262" s="59" t="s">
        <v>1134</v>
      </c>
      <c r="F262" s="59" t="s">
        <v>1135</v>
      </c>
      <c r="G262" s="59" t="s">
        <v>1136</v>
      </c>
      <c r="H262" s="59" t="s">
        <v>1153</v>
      </c>
      <c r="I262" s="60">
        <v>45992</v>
      </c>
      <c r="J262" s="59" t="s">
        <v>188</v>
      </c>
      <c r="K262" s="59" t="s">
        <v>1150</v>
      </c>
      <c r="L262" s="61">
        <v>393102.53</v>
      </c>
      <c r="M262" s="59"/>
      <c r="N262" s="61">
        <v>393102.53</v>
      </c>
      <c r="O262" s="61">
        <v>4332703953.3493738</v>
      </c>
    </row>
    <row r="263" spans="1:15" x14ac:dyDescent="0.25">
      <c r="A263" s="62">
        <v>46056</v>
      </c>
      <c r="B263">
        <v>2</v>
      </c>
      <c r="C263" t="s">
        <v>1161</v>
      </c>
      <c r="D263">
        <v>1044174</v>
      </c>
      <c r="E263" t="s">
        <v>1134</v>
      </c>
      <c r="F263" t="s">
        <v>1135</v>
      </c>
      <c r="G263" t="s">
        <v>1136</v>
      </c>
      <c r="H263" t="s">
        <v>1147</v>
      </c>
      <c r="I263" s="63">
        <v>46023</v>
      </c>
      <c r="J263" t="s">
        <v>193</v>
      </c>
      <c r="K263" t="s">
        <v>1148</v>
      </c>
      <c r="L263" s="64">
        <v>20588934</v>
      </c>
      <c r="N263" s="64">
        <v>20588934</v>
      </c>
      <c r="O263" s="64">
        <v>5180823838.3093739</v>
      </c>
    </row>
    <row r="264" spans="1:15" x14ac:dyDescent="0.25">
      <c r="A264" s="58">
        <v>46056</v>
      </c>
      <c r="B264" s="59">
        <v>2</v>
      </c>
      <c r="C264" s="59" t="s">
        <v>1161</v>
      </c>
      <c r="D264" s="59">
        <v>1044196</v>
      </c>
      <c r="E264" s="59" t="s">
        <v>1134</v>
      </c>
      <c r="F264" s="59" t="s">
        <v>1135</v>
      </c>
      <c r="G264" s="59" t="s">
        <v>1136</v>
      </c>
      <c r="H264" s="59" t="s">
        <v>1149</v>
      </c>
      <c r="I264" s="60">
        <v>46023</v>
      </c>
      <c r="J264" s="59" t="s">
        <v>193</v>
      </c>
      <c r="K264" s="59" t="s">
        <v>1150</v>
      </c>
      <c r="L264" s="61">
        <v>11787560.550000019</v>
      </c>
      <c r="M264" s="59"/>
      <c r="N264" s="61">
        <v>11787560.550000019</v>
      </c>
      <c r="O264" s="61">
        <v>5192611398.859374</v>
      </c>
    </row>
    <row r="265" spans="1:15" x14ac:dyDescent="0.25">
      <c r="A265" s="62">
        <v>46056</v>
      </c>
      <c r="B265">
        <v>2</v>
      </c>
      <c r="C265" t="s">
        <v>1161</v>
      </c>
      <c r="D265">
        <v>1044214</v>
      </c>
      <c r="E265" t="s">
        <v>1134</v>
      </c>
      <c r="F265" t="s">
        <v>1135</v>
      </c>
      <c r="G265" t="s">
        <v>1136</v>
      </c>
      <c r="H265" t="s">
        <v>1151</v>
      </c>
      <c r="I265" s="63">
        <v>46023</v>
      </c>
      <c r="J265" t="s">
        <v>193</v>
      </c>
      <c r="K265" t="s">
        <v>1148</v>
      </c>
      <c r="L265" s="64">
        <v>1433411.36</v>
      </c>
      <c r="N265" s="64">
        <v>1433411.36</v>
      </c>
      <c r="O265" s="64">
        <v>5194044810.2193737</v>
      </c>
    </row>
    <row r="266" spans="1:15" x14ac:dyDescent="0.25">
      <c r="A266" s="58">
        <v>46056</v>
      </c>
      <c r="B266" s="59">
        <v>2</v>
      </c>
      <c r="C266" s="59" t="s">
        <v>1161</v>
      </c>
      <c r="D266" s="59">
        <v>1044234</v>
      </c>
      <c r="E266" s="59" t="s">
        <v>1134</v>
      </c>
      <c r="F266" s="59" t="s">
        <v>1135</v>
      </c>
      <c r="G266" s="59" t="s">
        <v>1136</v>
      </c>
      <c r="H266" s="59" t="s">
        <v>1152</v>
      </c>
      <c r="I266" s="60">
        <v>46023</v>
      </c>
      <c r="J266" s="59" t="s">
        <v>193</v>
      </c>
      <c r="K266" s="59" t="s">
        <v>1148</v>
      </c>
      <c r="L266" s="61">
        <v>23615932.199999999</v>
      </c>
      <c r="M266" s="59"/>
      <c r="N266" s="61">
        <v>23615932.199999999</v>
      </c>
      <c r="O266" s="61">
        <v>5217660742.4193745</v>
      </c>
    </row>
    <row r="267" spans="1:15" x14ac:dyDescent="0.25">
      <c r="A267" s="62">
        <v>46056</v>
      </c>
      <c r="B267">
        <v>2</v>
      </c>
      <c r="C267" t="s">
        <v>1161</v>
      </c>
      <c r="D267">
        <v>1044244</v>
      </c>
      <c r="E267" t="s">
        <v>1134</v>
      </c>
      <c r="F267" t="s">
        <v>1135</v>
      </c>
      <c r="G267" t="s">
        <v>1136</v>
      </c>
      <c r="H267" t="s">
        <v>1153</v>
      </c>
      <c r="I267" s="63">
        <v>46023</v>
      </c>
      <c r="J267" t="s">
        <v>193</v>
      </c>
      <c r="K267" t="s">
        <v>1148</v>
      </c>
      <c r="L267" s="64">
        <v>16846131.600000001</v>
      </c>
      <c r="N267" s="64">
        <v>16846131.600000001</v>
      </c>
      <c r="O267" s="64">
        <v>5234506874.0193739</v>
      </c>
    </row>
    <row r="268" spans="1:15" x14ac:dyDescent="0.25">
      <c r="A268" s="58">
        <v>46056</v>
      </c>
      <c r="B268" s="59">
        <v>2</v>
      </c>
      <c r="C268" s="59" t="s">
        <v>1161</v>
      </c>
      <c r="D268" s="59">
        <v>1044264</v>
      </c>
      <c r="E268" s="59" t="s">
        <v>1134</v>
      </c>
      <c r="F268" s="59" t="s">
        <v>1135</v>
      </c>
      <c r="G268" s="59" t="s">
        <v>1136</v>
      </c>
      <c r="H268" s="59" t="s">
        <v>1145</v>
      </c>
      <c r="I268" s="60">
        <v>46023</v>
      </c>
      <c r="J268" s="59" t="s">
        <v>193</v>
      </c>
      <c r="K268" s="59" t="s">
        <v>1148</v>
      </c>
      <c r="L268" s="61">
        <v>5653250</v>
      </c>
      <c r="M268" s="59"/>
      <c r="N268" s="61">
        <v>5653250</v>
      </c>
      <c r="O268" s="61">
        <v>5240160124.0193739</v>
      </c>
    </row>
    <row r="269" spans="1:15" x14ac:dyDescent="0.25">
      <c r="A269" s="62">
        <v>46056</v>
      </c>
      <c r="B269">
        <v>2</v>
      </c>
      <c r="C269" t="s">
        <v>1161</v>
      </c>
      <c r="D269">
        <v>1044266</v>
      </c>
      <c r="E269" t="s">
        <v>1134</v>
      </c>
      <c r="F269" t="s">
        <v>1135</v>
      </c>
      <c r="G269" t="s">
        <v>1136</v>
      </c>
      <c r="H269" t="s">
        <v>1145</v>
      </c>
      <c r="I269" s="63">
        <v>46023</v>
      </c>
      <c r="J269" t="s">
        <v>193</v>
      </c>
      <c r="K269" t="s">
        <v>1150</v>
      </c>
      <c r="L269" s="64">
        <v>360336.36999999988</v>
      </c>
      <c r="N269" s="64">
        <v>360336.36999999988</v>
      </c>
      <c r="O269" s="64">
        <v>5240520460.3893738</v>
      </c>
    </row>
    <row r="270" spans="1:15" x14ac:dyDescent="0.25">
      <c r="A270" s="58">
        <v>46056</v>
      </c>
      <c r="B270" s="59">
        <v>2</v>
      </c>
      <c r="C270" s="59" t="s">
        <v>1161</v>
      </c>
      <c r="D270" s="59">
        <v>1044264</v>
      </c>
      <c r="E270" s="59" t="s">
        <v>1134</v>
      </c>
      <c r="F270" s="59" t="s">
        <v>1135</v>
      </c>
      <c r="G270" s="59" t="s">
        <v>1136</v>
      </c>
      <c r="H270" s="59" t="s">
        <v>1145</v>
      </c>
      <c r="I270" s="60">
        <v>46023</v>
      </c>
      <c r="J270" s="59" t="s">
        <v>193</v>
      </c>
      <c r="K270" s="59" t="s">
        <v>1148</v>
      </c>
      <c r="L270" s="61">
        <v>3171503.68</v>
      </c>
      <c r="M270" s="59"/>
      <c r="N270" s="61">
        <v>3171503.68</v>
      </c>
      <c r="O270" s="61">
        <v>5243691964.0693741</v>
      </c>
    </row>
    <row r="271" spans="1:15" x14ac:dyDescent="0.25">
      <c r="A271" s="62">
        <v>46056</v>
      </c>
      <c r="B271">
        <v>2</v>
      </c>
      <c r="C271" t="s">
        <v>1161</v>
      </c>
      <c r="D271">
        <v>1044274</v>
      </c>
      <c r="E271" t="s">
        <v>1134</v>
      </c>
      <c r="F271" t="s">
        <v>1135</v>
      </c>
      <c r="G271" t="s">
        <v>1136</v>
      </c>
      <c r="H271" t="s">
        <v>1154</v>
      </c>
      <c r="I271" s="63">
        <v>46023</v>
      </c>
      <c r="J271" t="s">
        <v>193</v>
      </c>
      <c r="K271" t="s">
        <v>1148</v>
      </c>
      <c r="L271" s="64">
        <v>5286981.3899999997</v>
      </c>
      <c r="N271" s="64">
        <v>5286981.3899999997</v>
      </c>
      <c r="O271" s="64">
        <v>5248978945.4593744</v>
      </c>
    </row>
    <row r="272" spans="1:15" x14ac:dyDescent="0.25">
      <c r="A272" s="58">
        <v>46056</v>
      </c>
      <c r="B272" s="59">
        <v>2</v>
      </c>
      <c r="C272" s="59" t="s">
        <v>1161</v>
      </c>
      <c r="D272" s="59">
        <v>1044284</v>
      </c>
      <c r="E272" s="59" t="s">
        <v>1134</v>
      </c>
      <c r="F272" s="59" t="s">
        <v>1135</v>
      </c>
      <c r="G272" s="59" t="s">
        <v>1136</v>
      </c>
      <c r="H272" s="59" t="s">
        <v>1155</v>
      </c>
      <c r="I272" s="60">
        <v>46023</v>
      </c>
      <c r="J272" s="59" t="s">
        <v>193</v>
      </c>
      <c r="K272" s="59" t="s">
        <v>1148</v>
      </c>
      <c r="L272" s="61">
        <v>156716138</v>
      </c>
      <c r="M272" s="59"/>
      <c r="N272" s="61">
        <v>156716138</v>
      </c>
      <c r="O272" s="61">
        <v>5405695083.4593744</v>
      </c>
    </row>
    <row r="273" spans="1:15" x14ac:dyDescent="0.25">
      <c r="A273" s="62">
        <v>46056</v>
      </c>
      <c r="B273">
        <v>2</v>
      </c>
      <c r="C273" t="s">
        <v>1161</v>
      </c>
      <c r="D273">
        <v>1044286</v>
      </c>
      <c r="E273" t="s">
        <v>1134</v>
      </c>
      <c r="F273" t="s">
        <v>1135</v>
      </c>
      <c r="G273" t="s">
        <v>1136</v>
      </c>
      <c r="H273" t="s">
        <v>1155</v>
      </c>
      <c r="I273" s="63">
        <v>46023</v>
      </c>
      <c r="J273" t="s">
        <v>193</v>
      </c>
      <c r="K273" t="s">
        <v>1150</v>
      </c>
      <c r="L273" s="64">
        <v>4219698.5299999956</v>
      </c>
      <c r="N273" s="64">
        <v>4219698.5299999956</v>
      </c>
      <c r="O273" s="64">
        <v>5409914781.9893742</v>
      </c>
    </row>
    <row r="274" spans="1:15" x14ac:dyDescent="0.25">
      <c r="A274" s="58">
        <v>46056</v>
      </c>
      <c r="B274" s="59">
        <v>2</v>
      </c>
      <c r="C274" s="59" t="s">
        <v>1161</v>
      </c>
      <c r="D274" s="59">
        <v>1044464</v>
      </c>
      <c r="E274" s="59" t="s">
        <v>1134</v>
      </c>
      <c r="F274" s="59" t="s">
        <v>1135</v>
      </c>
      <c r="G274" s="59" t="s">
        <v>1136</v>
      </c>
      <c r="H274" s="59" t="s">
        <v>1140</v>
      </c>
      <c r="I274" s="60">
        <v>46023</v>
      </c>
      <c r="J274" s="59" t="s">
        <v>193</v>
      </c>
      <c r="K274" s="59" t="s">
        <v>1148</v>
      </c>
      <c r="L274" s="61">
        <v>7048807.29</v>
      </c>
      <c r="M274" s="59"/>
      <c r="N274" s="61">
        <v>7048807.29</v>
      </c>
      <c r="O274" s="61">
        <v>5416963589.2793741</v>
      </c>
    </row>
    <row r="275" spans="1:15" x14ac:dyDescent="0.25">
      <c r="A275" s="62">
        <v>46056</v>
      </c>
      <c r="B275">
        <v>2</v>
      </c>
      <c r="C275" t="s">
        <v>1161</v>
      </c>
      <c r="D275">
        <v>1044324</v>
      </c>
      <c r="E275" t="s">
        <v>1134</v>
      </c>
      <c r="F275" t="s">
        <v>1135</v>
      </c>
      <c r="G275" t="s">
        <v>1136</v>
      </c>
      <c r="H275" t="s">
        <v>1143</v>
      </c>
      <c r="I275" s="63">
        <v>46023</v>
      </c>
      <c r="J275" t="s">
        <v>193</v>
      </c>
      <c r="K275" t="s">
        <v>1148</v>
      </c>
      <c r="L275" s="64">
        <v>69182480</v>
      </c>
      <c r="N275" s="64">
        <v>69182480</v>
      </c>
      <c r="O275" s="64">
        <v>5486146069.2793741</v>
      </c>
    </row>
    <row r="276" spans="1:15" x14ac:dyDescent="0.25">
      <c r="A276" s="58">
        <v>46056</v>
      </c>
      <c r="B276" s="59">
        <v>2</v>
      </c>
      <c r="C276" s="59" t="s">
        <v>1161</v>
      </c>
      <c r="D276" s="59">
        <v>1044326</v>
      </c>
      <c r="E276" s="59" t="s">
        <v>1134</v>
      </c>
      <c r="F276" s="59" t="s">
        <v>1135</v>
      </c>
      <c r="G276" s="59" t="s">
        <v>1136</v>
      </c>
      <c r="H276" s="59" t="s">
        <v>1143</v>
      </c>
      <c r="I276" s="60">
        <v>46023</v>
      </c>
      <c r="J276" s="59" t="s">
        <v>193</v>
      </c>
      <c r="K276" s="59" t="s">
        <v>1150</v>
      </c>
      <c r="L276" s="61">
        <v>864344.52000000014</v>
      </c>
      <c r="M276" s="59"/>
      <c r="N276" s="61">
        <v>864344.52000000014</v>
      </c>
      <c r="O276" s="61">
        <v>5487010413.7993746</v>
      </c>
    </row>
    <row r="277" spans="1:15" x14ac:dyDescent="0.25">
      <c r="A277" s="62">
        <v>46056</v>
      </c>
      <c r="B277">
        <v>2</v>
      </c>
      <c r="C277" t="s">
        <v>1161</v>
      </c>
      <c r="D277">
        <v>1044354</v>
      </c>
      <c r="E277" t="s">
        <v>1134</v>
      </c>
      <c r="F277" t="s">
        <v>1135</v>
      </c>
      <c r="G277" t="s">
        <v>1136</v>
      </c>
      <c r="H277" t="s">
        <v>1157</v>
      </c>
      <c r="I277" s="63">
        <v>46023</v>
      </c>
      <c r="J277" t="s">
        <v>193</v>
      </c>
      <c r="K277" t="s">
        <v>1148</v>
      </c>
      <c r="L277" s="64">
        <v>6532744</v>
      </c>
      <c r="N277" s="64">
        <v>6532744</v>
      </c>
      <c r="O277" s="64">
        <v>5493543157.7993746</v>
      </c>
    </row>
    <row r="278" spans="1:15" x14ac:dyDescent="0.25">
      <c r="A278" s="58">
        <v>46056</v>
      </c>
      <c r="B278" s="59">
        <v>2</v>
      </c>
      <c r="C278" s="59" t="s">
        <v>1161</v>
      </c>
      <c r="D278" s="59">
        <v>1044356</v>
      </c>
      <c r="E278" s="59" t="s">
        <v>1134</v>
      </c>
      <c r="F278" s="59" t="s">
        <v>1135</v>
      </c>
      <c r="G278" s="59" t="s">
        <v>1136</v>
      </c>
      <c r="H278" s="59" t="s">
        <v>1157</v>
      </c>
      <c r="I278" s="60">
        <v>46023</v>
      </c>
      <c r="J278" s="59" t="s">
        <v>193</v>
      </c>
      <c r="K278" s="59" t="s">
        <v>1150</v>
      </c>
      <c r="L278" s="61">
        <v>1705873.83</v>
      </c>
      <c r="M278" s="59"/>
      <c r="N278" s="61">
        <v>1705873.83</v>
      </c>
      <c r="O278" s="61">
        <v>5495249031.6293755</v>
      </c>
    </row>
    <row r="279" spans="1:15" x14ac:dyDescent="0.25">
      <c r="A279" s="62">
        <v>46056</v>
      </c>
      <c r="B279">
        <v>2</v>
      </c>
      <c r="C279" t="s">
        <v>1161</v>
      </c>
      <c r="D279">
        <v>1044364</v>
      </c>
      <c r="E279" t="s">
        <v>1134</v>
      </c>
      <c r="F279" t="s">
        <v>1135</v>
      </c>
      <c r="G279" t="s">
        <v>1136</v>
      </c>
      <c r="H279" t="s">
        <v>1158</v>
      </c>
      <c r="I279" s="63">
        <v>46023</v>
      </c>
      <c r="J279" t="s">
        <v>193</v>
      </c>
      <c r="K279" t="s">
        <v>1148</v>
      </c>
      <c r="L279" s="64">
        <v>35738286.310000002</v>
      </c>
      <c r="N279" s="64">
        <v>35738286.310000002</v>
      </c>
      <c r="O279" s="64">
        <v>5530987317.9393749</v>
      </c>
    </row>
    <row r="280" spans="1:15" x14ac:dyDescent="0.25">
      <c r="A280" s="58">
        <v>46056</v>
      </c>
      <c r="B280" s="59">
        <v>2</v>
      </c>
      <c r="C280" s="59" t="s">
        <v>1161</v>
      </c>
      <c r="D280" s="59">
        <v>1044374</v>
      </c>
      <c r="E280" s="59" t="s">
        <v>1134</v>
      </c>
      <c r="F280" s="59" t="s">
        <v>1135</v>
      </c>
      <c r="G280" s="59" t="s">
        <v>1136</v>
      </c>
      <c r="H280" s="59" t="s">
        <v>1141</v>
      </c>
      <c r="I280" s="60">
        <v>46023</v>
      </c>
      <c r="J280" s="59" t="s">
        <v>193</v>
      </c>
      <c r="K280" s="59" t="s">
        <v>1148</v>
      </c>
      <c r="L280" s="61">
        <v>18167182.920000002</v>
      </c>
      <c r="M280" s="59"/>
      <c r="N280" s="61">
        <v>18167182.920000002</v>
      </c>
      <c r="O280" s="61">
        <v>5549154500.859375</v>
      </c>
    </row>
    <row r="281" spans="1:15" x14ac:dyDescent="0.25">
      <c r="A281" s="62">
        <v>46056</v>
      </c>
      <c r="B281">
        <v>2</v>
      </c>
      <c r="C281" t="s">
        <v>1161</v>
      </c>
      <c r="D281">
        <v>1044404</v>
      </c>
      <c r="E281" t="s">
        <v>1134</v>
      </c>
      <c r="F281" t="s">
        <v>1135</v>
      </c>
      <c r="G281" t="s">
        <v>1136</v>
      </c>
      <c r="H281" t="s">
        <v>1159</v>
      </c>
      <c r="I281" s="63">
        <v>46023</v>
      </c>
      <c r="J281" t="s">
        <v>193</v>
      </c>
      <c r="K281" t="s">
        <v>1148</v>
      </c>
      <c r="L281" s="64">
        <v>39109191.259999998</v>
      </c>
      <c r="N281" s="64">
        <v>39109191.259999998</v>
      </c>
      <c r="O281" s="64">
        <v>5588263692.1193752</v>
      </c>
    </row>
    <row r="282" spans="1:15" x14ac:dyDescent="0.25">
      <c r="A282" s="58">
        <v>46056</v>
      </c>
      <c r="B282" s="59">
        <v>2</v>
      </c>
      <c r="C282" s="59" t="s">
        <v>1161</v>
      </c>
      <c r="D282" s="59">
        <v>1044406</v>
      </c>
      <c r="E282" s="59" t="s">
        <v>1134</v>
      </c>
      <c r="F282" s="59" t="s">
        <v>1135</v>
      </c>
      <c r="G282" s="59" t="s">
        <v>1136</v>
      </c>
      <c r="H282" s="59" t="s">
        <v>1159</v>
      </c>
      <c r="I282" s="60">
        <v>46023</v>
      </c>
      <c r="J282" s="59" t="s">
        <v>193</v>
      </c>
      <c r="K282" s="59" t="s">
        <v>1150</v>
      </c>
      <c r="L282" s="61">
        <v>1026787.22</v>
      </c>
      <c r="M282" s="59"/>
      <c r="N282" s="61">
        <v>1026787.22</v>
      </c>
      <c r="O282" s="61">
        <v>5589290479.3393745</v>
      </c>
    </row>
    <row r="283" spans="1:15" x14ac:dyDescent="0.25">
      <c r="A283" s="62">
        <v>46056</v>
      </c>
      <c r="B283">
        <v>2</v>
      </c>
      <c r="C283" t="s">
        <v>1161</v>
      </c>
      <c r="D283">
        <v>1044404</v>
      </c>
      <c r="E283" t="s">
        <v>1134</v>
      </c>
      <c r="F283" t="s">
        <v>1135</v>
      </c>
      <c r="G283" t="s">
        <v>1136</v>
      </c>
      <c r="H283" t="s">
        <v>1159</v>
      </c>
      <c r="I283" s="63">
        <v>46023</v>
      </c>
      <c r="J283" t="s">
        <v>193</v>
      </c>
      <c r="K283" t="s">
        <v>1148</v>
      </c>
      <c r="L283" s="64">
        <v>19383469.379999999</v>
      </c>
      <c r="N283" s="64">
        <v>19383469.379999999</v>
      </c>
      <c r="O283" s="64">
        <v>5608673948.7193756</v>
      </c>
    </row>
    <row r="284" spans="1:15" x14ac:dyDescent="0.25">
      <c r="A284" s="58">
        <v>46056</v>
      </c>
      <c r="B284" s="59">
        <v>2</v>
      </c>
      <c r="C284" s="59" t="s">
        <v>1161</v>
      </c>
      <c r="D284" s="59">
        <v>1044414</v>
      </c>
      <c r="E284" s="59" t="s">
        <v>1134</v>
      </c>
      <c r="F284" s="59" t="s">
        <v>1135</v>
      </c>
      <c r="G284" s="59" t="s">
        <v>1136</v>
      </c>
      <c r="H284" s="59" t="s">
        <v>1160</v>
      </c>
      <c r="I284" s="60">
        <v>46023</v>
      </c>
      <c r="J284" s="59" t="s">
        <v>193</v>
      </c>
      <c r="K284" s="59" t="s">
        <v>1148</v>
      </c>
      <c r="L284" s="61">
        <v>26180739.34</v>
      </c>
      <c r="M284" s="59"/>
      <c r="N284" s="61">
        <v>26180739.34</v>
      </c>
      <c r="O284" s="61">
        <v>5634854688.0593758</v>
      </c>
    </row>
    <row r="285" spans="1:15" x14ac:dyDescent="0.25">
      <c r="A285" s="62">
        <v>46057</v>
      </c>
      <c r="B285">
        <v>2</v>
      </c>
      <c r="C285" t="s">
        <v>1166</v>
      </c>
      <c r="D285">
        <v>1044371</v>
      </c>
      <c r="E285" t="s">
        <v>1134</v>
      </c>
      <c r="F285" t="s">
        <v>1135</v>
      </c>
      <c r="G285" t="s">
        <v>1136</v>
      </c>
      <c r="H285" t="s">
        <v>1141</v>
      </c>
      <c r="I285" s="63">
        <v>45536</v>
      </c>
      <c r="J285" t="s">
        <v>194</v>
      </c>
      <c r="K285" t="s">
        <v>1142</v>
      </c>
      <c r="L285" s="64">
        <v>5367316.8099999996</v>
      </c>
      <c r="N285" s="64">
        <v>5367316.8099999996</v>
      </c>
      <c r="O285" s="64">
        <v>5640222004.8693762</v>
      </c>
    </row>
    <row r="286" spans="1:15" x14ac:dyDescent="0.25">
      <c r="A286" s="58">
        <v>46057</v>
      </c>
      <c r="B286" s="59">
        <v>2</v>
      </c>
      <c r="C286" s="59" t="s">
        <v>1166</v>
      </c>
      <c r="D286" s="59">
        <v>1044371</v>
      </c>
      <c r="E286" s="59" t="s">
        <v>1134</v>
      </c>
      <c r="F286" s="59" t="s">
        <v>1135</v>
      </c>
      <c r="G286" s="59" t="s">
        <v>1136</v>
      </c>
      <c r="H286" s="59" t="s">
        <v>1141</v>
      </c>
      <c r="I286" s="60">
        <v>45689</v>
      </c>
      <c r="J286" s="59" t="s">
        <v>194</v>
      </c>
      <c r="K286" s="59" t="s">
        <v>1142</v>
      </c>
      <c r="L286" s="61">
        <v>610333.62</v>
      </c>
      <c r="M286" s="59"/>
      <c r="N286" s="61">
        <v>610333.62</v>
      </c>
      <c r="O286" s="61">
        <v>5640832338.4893761</v>
      </c>
    </row>
    <row r="287" spans="1:15" x14ac:dyDescent="0.25">
      <c r="A287" s="62">
        <v>46057</v>
      </c>
      <c r="B287">
        <v>2</v>
      </c>
      <c r="C287" t="s">
        <v>1166</v>
      </c>
      <c r="D287">
        <v>1044371</v>
      </c>
      <c r="E287" t="s">
        <v>1134</v>
      </c>
      <c r="F287" t="s">
        <v>1135</v>
      </c>
      <c r="G287" t="s">
        <v>1136</v>
      </c>
      <c r="H287" t="s">
        <v>1141</v>
      </c>
      <c r="I287" s="63">
        <v>45658</v>
      </c>
      <c r="J287" t="s">
        <v>194</v>
      </c>
      <c r="K287" t="s">
        <v>1142</v>
      </c>
      <c r="L287" s="64">
        <v>1867398.18</v>
      </c>
      <c r="N287" s="64">
        <v>1867398.18</v>
      </c>
      <c r="O287" s="64">
        <v>5642699736.6693764</v>
      </c>
    </row>
    <row r="288" spans="1:15" x14ac:dyDescent="0.25">
      <c r="A288" s="58">
        <v>46058</v>
      </c>
      <c r="B288" s="59">
        <v>2</v>
      </c>
      <c r="C288" s="59" t="s">
        <v>1171</v>
      </c>
      <c r="D288" s="59">
        <v>2054325</v>
      </c>
      <c r="E288" s="59" t="s">
        <v>1167</v>
      </c>
      <c r="F288" s="59" t="s">
        <v>1169</v>
      </c>
      <c r="G288" s="59" t="s">
        <v>1136</v>
      </c>
      <c r="H288" s="59" t="s">
        <v>1143</v>
      </c>
      <c r="I288" s="60">
        <v>46023</v>
      </c>
      <c r="J288" s="59" t="s">
        <v>195</v>
      </c>
      <c r="K288" s="59" t="s">
        <v>1172</v>
      </c>
      <c r="L288" s="59"/>
      <c r="M288" s="61">
        <v>370223.7</v>
      </c>
      <c r="N288" s="61">
        <v>-370223.7</v>
      </c>
      <c r="O288" s="61">
        <v>5642329512.9693766</v>
      </c>
    </row>
    <row r="289" spans="1:15" x14ac:dyDescent="0.25">
      <c r="A289" s="62">
        <v>46058</v>
      </c>
      <c r="B289">
        <v>2</v>
      </c>
      <c r="C289" t="s">
        <v>1171</v>
      </c>
      <c r="D289">
        <v>2034412</v>
      </c>
      <c r="E289" t="s">
        <v>1167</v>
      </c>
      <c r="F289" t="s">
        <v>1168</v>
      </c>
      <c r="G289" t="s">
        <v>1136</v>
      </c>
      <c r="H289" t="s">
        <v>1160</v>
      </c>
      <c r="I289" s="63">
        <v>46023</v>
      </c>
      <c r="J289" t="s">
        <v>196</v>
      </c>
      <c r="K289" t="s">
        <v>1138</v>
      </c>
      <c r="M289" s="64">
        <v>10986155.310000001</v>
      </c>
      <c r="N289" s="64">
        <v>-10986155.310000001</v>
      </c>
      <c r="O289" s="64">
        <v>5631343357.6593761</v>
      </c>
    </row>
    <row r="290" spans="1:15" x14ac:dyDescent="0.25">
      <c r="A290" s="58">
        <v>46058</v>
      </c>
      <c r="B290" s="59">
        <v>2</v>
      </c>
      <c r="C290" s="59" t="s">
        <v>1171</v>
      </c>
      <c r="D290" s="59">
        <v>2034417</v>
      </c>
      <c r="E290" s="59" t="s">
        <v>1167</v>
      </c>
      <c r="F290" s="59" t="s">
        <v>1168</v>
      </c>
      <c r="G290" s="59" t="s">
        <v>1136</v>
      </c>
      <c r="H290" s="59" t="s">
        <v>1160</v>
      </c>
      <c r="I290" s="60">
        <v>46023</v>
      </c>
      <c r="J290" s="59" t="s">
        <v>196</v>
      </c>
      <c r="K290" s="59" t="s">
        <v>1170</v>
      </c>
      <c r="L290" s="59"/>
      <c r="M290" s="61">
        <v>35000</v>
      </c>
      <c r="N290" s="61">
        <v>-35000</v>
      </c>
      <c r="O290" s="61">
        <v>5631308357.6593761</v>
      </c>
    </row>
    <row r="291" spans="1:15" x14ac:dyDescent="0.25">
      <c r="A291" s="62">
        <v>46058</v>
      </c>
      <c r="B291">
        <v>2</v>
      </c>
      <c r="C291" t="s">
        <v>1171</v>
      </c>
      <c r="D291">
        <v>2034413</v>
      </c>
      <c r="E291" t="s">
        <v>1167</v>
      </c>
      <c r="F291" t="s">
        <v>1168</v>
      </c>
      <c r="G291" t="s">
        <v>1136</v>
      </c>
      <c r="H291" t="s">
        <v>1160</v>
      </c>
      <c r="I291" s="63">
        <v>46023</v>
      </c>
      <c r="J291" t="s">
        <v>197</v>
      </c>
      <c r="K291" t="s">
        <v>1146</v>
      </c>
      <c r="M291" s="64">
        <v>6854318.04</v>
      </c>
      <c r="N291" s="64">
        <v>-6854318.04</v>
      </c>
      <c r="O291" s="64">
        <v>5624454039.6193762</v>
      </c>
    </row>
    <row r="292" spans="1:15" x14ac:dyDescent="0.25">
      <c r="A292" s="58">
        <v>46058</v>
      </c>
      <c r="B292" s="59">
        <v>2</v>
      </c>
      <c r="C292" s="59" t="s">
        <v>1171</v>
      </c>
      <c r="D292" s="59">
        <v>2034414</v>
      </c>
      <c r="E292" s="59" t="s">
        <v>1167</v>
      </c>
      <c r="F292" s="59" t="s">
        <v>1168</v>
      </c>
      <c r="G292" s="59" t="s">
        <v>1136</v>
      </c>
      <c r="H292" s="59" t="s">
        <v>1160</v>
      </c>
      <c r="I292" s="60">
        <v>46023</v>
      </c>
      <c r="J292" s="59" t="s">
        <v>198</v>
      </c>
      <c r="K292" s="59" t="s">
        <v>1148</v>
      </c>
      <c r="L292" s="59"/>
      <c r="M292" s="61">
        <v>26180739.34</v>
      </c>
      <c r="N292" s="61">
        <v>-26180739.34</v>
      </c>
      <c r="O292" s="61">
        <v>5598273300.279376</v>
      </c>
    </row>
    <row r="293" spans="1:15" x14ac:dyDescent="0.25">
      <c r="A293" s="62">
        <v>46058</v>
      </c>
      <c r="B293">
        <v>2</v>
      </c>
      <c r="C293" t="s">
        <v>1171</v>
      </c>
      <c r="D293">
        <v>1044161</v>
      </c>
      <c r="E293" t="s">
        <v>1134</v>
      </c>
      <c r="F293" t="s">
        <v>1135</v>
      </c>
      <c r="G293" t="s">
        <v>1136</v>
      </c>
      <c r="H293" t="s">
        <v>1162</v>
      </c>
      <c r="I293" s="63">
        <v>45992</v>
      </c>
      <c r="J293" t="s">
        <v>199</v>
      </c>
      <c r="K293" t="s">
        <v>1142</v>
      </c>
      <c r="L293" s="64">
        <v>19807507</v>
      </c>
      <c r="N293" s="64">
        <v>19807507</v>
      </c>
      <c r="O293" s="64">
        <v>5703025725.4693756</v>
      </c>
    </row>
    <row r="294" spans="1:15" x14ac:dyDescent="0.25">
      <c r="A294" s="58">
        <v>46058</v>
      </c>
      <c r="B294" s="59">
        <v>2</v>
      </c>
      <c r="C294" s="59" t="s">
        <v>1171</v>
      </c>
      <c r="D294" s="59">
        <v>1044171</v>
      </c>
      <c r="E294" s="59" t="s">
        <v>1134</v>
      </c>
      <c r="F294" s="59" t="s">
        <v>1135</v>
      </c>
      <c r="G294" s="59" t="s">
        <v>1136</v>
      </c>
      <c r="H294" s="59" t="s">
        <v>1147</v>
      </c>
      <c r="I294" s="60">
        <v>45992</v>
      </c>
      <c r="J294" s="59" t="s">
        <v>199</v>
      </c>
      <c r="K294" s="59" t="s">
        <v>1142</v>
      </c>
      <c r="L294" s="61">
        <v>7323954.75</v>
      </c>
      <c r="M294" s="59"/>
      <c r="N294" s="61">
        <v>7323954.75</v>
      </c>
      <c r="O294" s="61">
        <v>5710349680.2193756</v>
      </c>
    </row>
    <row r="295" spans="1:15" x14ac:dyDescent="0.25">
      <c r="A295" s="62">
        <v>46058</v>
      </c>
      <c r="B295">
        <v>2</v>
      </c>
      <c r="C295" t="s">
        <v>1171</v>
      </c>
      <c r="D295">
        <v>1044211</v>
      </c>
      <c r="E295" t="s">
        <v>1134</v>
      </c>
      <c r="F295" t="s">
        <v>1135</v>
      </c>
      <c r="G295" t="s">
        <v>1136</v>
      </c>
      <c r="H295" t="s">
        <v>1151</v>
      </c>
      <c r="I295" s="63">
        <v>45992</v>
      </c>
      <c r="J295" t="s">
        <v>199</v>
      </c>
      <c r="K295" t="s">
        <v>1142</v>
      </c>
      <c r="L295" s="64">
        <v>5403636</v>
      </c>
      <c r="N295" s="64">
        <v>5403636</v>
      </c>
      <c r="O295" s="64">
        <v>5715753316.2193756</v>
      </c>
    </row>
    <row r="296" spans="1:15" x14ac:dyDescent="0.25">
      <c r="A296" s="58">
        <v>46058</v>
      </c>
      <c r="B296" s="59">
        <v>2</v>
      </c>
      <c r="C296" s="59" t="s">
        <v>1171</v>
      </c>
      <c r="D296" s="59">
        <v>1044241</v>
      </c>
      <c r="E296" s="59" t="s">
        <v>1134</v>
      </c>
      <c r="F296" s="59" t="s">
        <v>1135</v>
      </c>
      <c r="G296" s="59" t="s">
        <v>1136</v>
      </c>
      <c r="H296" s="59" t="s">
        <v>1153</v>
      </c>
      <c r="I296" s="60">
        <v>45992</v>
      </c>
      <c r="J296" s="59" t="s">
        <v>199</v>
      </c>
      <c r="K296" s="59" t="s">
        <v>1142</v>
      </c>
      <c r="L296" s="61">
        <v>2786781</v>
      </c>
      <c r="M296" s="59"/>
      <c r="N296" s="61">
        <v>2786781</v>
      </c>
      <c r="O296" s="61">
        <v>5718540097.2193756</v>
      </c>
    </row>
    <row r="297" spans="1:15" x14ac:dyDescent="0.25">
      <c r="A297" s="62">
        <v>46058</v>
      </c>
      <c r="B297">
        <v>2</v>
      </c>
      <c r="C297" t="s">
        <v>1171</v>
      </c>
      <c r="D297">
        <v>1044261</v>
      </c>
      <c r="E297" t="s">
        <v>1134</v>
      </c>
      <c r="F297" t="s">
        <v>1135</v>
      </c>
      <c r="G297" t="s">
        <v>1136</v>
      </c>
      <c r="H297" t="s">
        <v>1145</v>
      </c>
      <c r="I297" s="63">
        <v>45992</v>
      </c>
      <c r="J297" t="s">
        <v>199</v>
      </c>
      <c r="K297" t="s">
        <v>1142</v>
      </c>
      <c r="L297" s="64">
        <v>2279685.2200000002</v>
      </c>
      <c r="N297" s="64">
        <v>2279685.2200000002</v>
      </c>
      <c r="O297" s="64">
        <v>5720819782.4393759</v>
      </c>
    </row>
    <row r="298" spans="1:15" x14ac:dyDescent="0.25">
      <c r="A298" s="58">
        <v>46058</v>
      </c>
      <c r="B298" s="59">
        <v>2</v>
      </c>
      <c r="C298" s="59" t="s">
        <v>1171</v>
      </c>
      <c r="D298" s="59">
        <v>1044271</v>
      </c>
      <c r="E298" s="59" t="s">
        <v>1134</v>
      </c>
      <c r="F298" s="59" t="s">
        <v>1135</v>
      </c>
      <c r="G298" s="59" t="s">
        <v>1136</v>
      </c>
      <c r="H298" s="59" t="s">
        <v>1154</v>
      </c>
      <c r="I298" s="60">
        <v>45992</v>
      </c>
      <c r="J298" s="59" t="s">
        <v>199</v>
      </c>
      <c r="K298" s="59" t="s">
        <v>1142</v>
      </c>
      <c r="L298" s="61">
        <v>13758673</v>
      </c>
      <c r="M298" s="59"/>
      <c r="N298" s="61">
        <v>13758673</v>
      </c>
      <c r="O298" s="61">
        <v>5734578455.4393759</v>
      </c>
    </row>
    <row r="299" spans="1:15" x14ac:dyDescent="0.25">
      <c r="A299" s="62">
        <v>46058</v>
      </c>
      <c r="B299">
        <v>2</v>
      </c>
      <c r="C299" t="s">
        <v>1171</v>
      </c>
      <c r="D299">
        <v>1044281</v>
      </c>
      <c r="E299" t="s">
        <v>1134</v>
      </c>
      <c r="F299" t="s">
        <v>1135</v>
      </c>
      <c r="G299" t="s">
        <v>1136</v>
      </c>
      <c r="H299" t="s">
        <v>1155</v>
      </c>
      <c r="I299" s="63">
        <v>45992</v>
      </c>
      <c r="J299" t="s">
        <v>199</v>
      </c>
      <c r="K299" t="s">
        <v>1142</v>
      </c>
      <c r="L299" s="64">
        <v>15879588.862500001</v>
      </c>
      <c r="N299" s="64">
        <v>15879588.862500001</v>
      </c>
      <c r="O299" s="64">
        <v>5750458044.3018761</v>
      </c>
    </row>
    <row r="300" spans="1:15" x14ac:dyDescent="0.25">
      <c r="A300" s="58">
        <v>46058</v>
      </c>
      <c r="B300" s="59">
        <v>2</v>
      </c>
      <c r="C300" s="59" t="s">
        <v>1171</v>
      </c>
      <c r="D300" s="59">
        <v>1044461</v>
      </c>
      <c r="E300" s="59" t="s">
        <v>1134</v>
      </c>
      <c r="F300" s="59" t="s">
        <v>1135</v>
      </c>
      <c r="G300" s="59" t="s">
        <v>1136</v>
      </c>
      <c r="H300" s="59" t="s">
        <v>1140</v>
      </c>
      <c r="I300" s="60">
        <v>45992</v>
      </c>
      <c r="J300" s="59" t="s">
        <v>199</v>
      </c>
      <c r="K300" s="59" t="s">
        <v>1142</v>
      </c>
      <c r="L300" s="61">
        <v>919591.50599643914</v>
      </c>
      <c r="M300" s="59"/>
      <c r="N300" s="61">
        <v>919591.50599643914</v>
      </c>
      <c r="O300" s="61">
        <v>5751377635.8078728</v>
      </c>
    </row>
    <row r="301" spans="1:15" x14ac:dyDescent="0.25">
      <c r="A301" s="62">
        <v>46058</v>
      </c>
      <c r="B301">
        <v>2</v>
      </c>
      <c r="C301" t="s">
        <v>1171</v>
      </c>
      <c r="D301">
        <v>1044311</v>
      </c>
      <c r="E301" t="s">
        <v>1134</v>
      </c>
      <c r="F301" t="s">
        <v>1135</v>
      </c>
      <c r="G301" t="s">
        <v>1136</v>
      </c>
      <c r="H301" t="s">
        <v>1137</v>
      </c>
      <c r="I301" s="63">
        <v>45992</v>
      </c>
      <c r="J301" t="s">
        <v>199</v>
      </c>
      <c r="K301" t="s">
        <v>1142</v>
      </c>
      <c r="L301" s="64">
        <v>1070334</v>
      </c>
      <c r="N301" s="64">
        <v>1070334</v>
      </c>
      <c r="O301" s="64">
        <v>5752447969.8078728</v>
      </c>
    </row>
    <row r="302" spans="1:15" x14ac:dyDescent="0.25">
      <c r="A302" s="58">
        <v>46058</v>
      </c>
      <c r="B302" s="59">
        <v>2</v>
      </c>
      <c r="C302" s="59" t="s">
        <v>1171</v>
      </c>
      <c r="D302" s="59">
        <v>1044321</v>
      </c>
      <c r="E302" s="59" t="s">
        <v>1134</v>
      </c>
      <c r="F302" s="59" t="s">
        <v>1135</v>
      </c>
      <c r="G302" s="59" t="s">
        <v>1136</v>
      </c>
      <c r="H302" s="59" t="s">
        <v>1143</v>
      </c>
      <c r="I302" s="60">
        <v>45992</v>
      </c>
      <c r="J302" s="59" t="s">
        <v>199</v>
      </c>
      <c r="K302" s="59" t="s">
        <v>1142</v>
      </c>
      <c r="L302" s="61">
        <v>23242674</v>
      </c>
      <c r="M302" s="59"/>
      <c r="N302" s="61">
        <v>23242674</v>
      </c>
      <c r="O302" s="61">
        <v>5775690643.8078728</v>
      </c>
    </row>
    <row r="303" spans="1:15" x14ac:dyDescent="0.25">
      <c r="A303" s="62">
        <v>46058</v>
      </c>
      <c r="B303">
        <v>2</v>
      </c>
      <c r="C303" t="s">
        <v>1171</v>
      </c>
      <c r="D303">
        <v>1044351</v>
      </c>
      <c r="E303" t="s">
        <v>1134</v>
      </c>
      <c r="F303" t="s">
        <v>1135</v>
      </c>
      <c r="G303" t="s">
        <v>1136</v>
      </c>
      <c r="H303" t="s">
        <v>1157</v>
      </c>
      <c r="I303" s="63">
        <v>45992</v>
      </c>
      <c r="J303" t="s">
        <v>199</v>
      </c>
      <c r="K303" t="s">
        <v>1142</v>
      </c>
      <c r="L303" s="64">
        <v>2672883.8864000002</v>
      </c>
      <c r="N303" s="64">
        <v>2672883.8864000002</v>
      </c>
      <c r="O303" s="64">
        <v>5778363527.694273</v>
      </c>
    </row>
    <row r="304" spans="1:15" x14ac:dyDescent="0.25">
      <c r="A304" s="58">
        <v>46058</v>
      </c>
      <c r="B304" s="59">
        <v>2</v>
      </c>
      <c r="C304" s="59" t="s">
        <v>1171</v>
      </c>
      <c r="D304" s="59">
        <v>1044361</v>
      </c>
      <c r="E304" s="59" t="s">
        <v>1134</v>
      </c>
      <c r="F304" s="59" t="s">
        <v>1135</v>
      </c>
      <c r="G304" s="59" t="s">
        <v>1136</v>
      </c>
      <c r="H304" s="59" t="s">
        <v>1158</v>
      </c>
      <c r="I304" s="60">
        <v>45992</v>
      </c>
      <c r="J304" s="59" t="s">
        <v>199</v>
      </c>
      <c r="K304" s="59" t="s">
        <v>1142</v>
      </c>
      <c r="L304" s="61">
        <v>7224258.527999999</v>
      </c>
      <c r="M304" s="59"/>
      <c r="N304" s="61">
        <v>7224258.527999999</v>
      </c>
      <c r="O304" s="61">
        <v>5785587786.2222729</v>
      </c>
    </row>
    <row r="305" spans="1:15" x14ac:dyDescent="0.25">
      <c r="A305" s="62">
        <v>46058</v>
      </c>
      <c r="B305">
        <v>2</v>
      </c>
      <c r="C305" t="s">
        <v>1171</v>
      </c>
      <c r="D305">
        <v>1044371</v>
      </c>
      <c r="E305" t="s">
        <v>1134</v>
      </c>
      <c r="F305" t="s">
        <v>1135</v>
      </c>
      <c r="G305" t="s">
        <v>1136</v>
      </c>
      <c r="H305" t="s">
        <v>1141</v>
      </c>
      <c r="I305" s="63">
        <v>45992</v>
      </c>
      <c r="J305" t="s">
        <v>199</v>
      </c>
      <c r="K305" t="s">
        <v>1142</v>
      </c>
      <c r="L305" s="64">
        <v>16194501.609999999</v>
      </c>
      <c r="N305" s="64">
        <v>16194501.609999999</v>
      </c>
      <c r="O305" s="64">
        <v>5801782287.8322725</v>
      </c>
    </row>
    <row r="306" spans="1:15" x14ac:dyDescent="0.25">
      <c r="A306" s="58">
        <v>46058</v>
      </c>
      <c r="B306" s="59">
        <v>2</v>
      </c>
      <c r="C306" s="59" t="s">
        <v>1171</v>
      </c>
      <c r="D306" s="59">
        <v>1044381</v>
      </c>
      <c r="E306" s="59" t="s">
        <v>1134</v>
      </c>
      <c r="F306" s="59" t="s">
        <v>1135</v>
      </c>
      <c r="G306" s="59" t="s">
        <v>1136</v>
      </c>
      <c r="H306" s="59" t="s">
        <v>1163</v>
      </c>
      <c r="I306" s="60">
        <v>45992</v>
      </c>
      <c r="J306" s="59" t="s">
        <v>199</v>
      </c>
      <c r="K306" s="59" t="s">
        <v>1142</v>
      </c>
      <c r="L306" s="61">
        <v>2026363.85</v>
      </c>
      <c r="M306" s="59"/>
      <c r="N306" s="61">
        <v>2026363.85</v>
      </c>
      <c r="O306" s="61">
        <v>5803808651.6822729</v>
      </c>
    </row>
    <row r="307" spans="1:15" x14ac:dyDescent="0.25">
      <c r="A307" s="62">
        <v>46058</v>
      </c>
      <c r="B307">
        <v>2</v>
      </c>
      <c r="C307" t="s">
        <v>1171</v>
      </c>
      <c r="D307">
        <v>1044391</v>
      </c>
      <c r="E307" t="s">
        <v>1134</v>
      </c>
      <c r="F307" t="s">
        <v>1135</v>
      </c>
      <c r="G307" t="s">
        <v>1136</v>
      </c>
      <c r="H307" t="s">
        <v>1164</v>
      </c>
      <c r="I307" s="63">
        <v>45992</v>
      </c>
      <c r="J307" t="s">
        <v>199</v>
      </c>
      <c r="K307" t="s">
        <v>1142</v>
      </c>
      <c r="L307" s="64">
        <v>16672746.75</v>
      </c>
      <c r="N307" s="64">
        <v>16672746.75</v>
      </c>
      <c r="O307" s="64">
        <v>5820481398.4322729</v>
      </c>
    </row>
    <row r="308" spans="1:15" x14ac:dyDescent="0.25">
      <c r="A308" s="58">
        <v>46058</v>
      </c>
      <c r="B308" s="59">
        <v>2</v>
      </c>
      <c r="C308" s="59" t="s">
        <v>1171</v>
      </c>
      <c r="D308" s="59">
        <v>1044401</v>
      </c>
      <c r="E308" s="59" t="s">
        <v>1134</v>
      </c>
      <c r="F308" s="59" t="s">
        <v>1135</v>
      </c>
      <c r="G308" s="59" t="s">
        <v>1136</v>
      </c>
      <c r="H308" s="59" t="s">
        <v>1159</v>
      </c>
      <c r="I308" s="60">
        <v>45992</v>
      </c>
      <c r="J308" s="59" t="s">
        <v>199</v>
      </c>
      <c r="K308" s="59" t="s">
        <v>1142</v>
      </c>
      <c r="L308" s="61">
        <v>16567510.5</v>
      </c>
      <c r="M308" s="59"/>
      <c r="N308" s="61">
        <v>16567510.5</v>
      </c>
      <c r="O308" s="61">
        <v>5837048908.9322729</v>
      </c>
    </row>
    <row r="309" spans="1:15" x14ac:dyDescent="0.25">
      <c r="A309" s="62">
        <v>46058</v>
      </c>
      <c r="B309">
        <v>2</v>
      </c>
      <c r="C309" t="s">
        <v>1171</v>
      </c>
      <c r="D309">
        <v>1044411</v>
      </c>
      <c r="E309" t="s">
        <v>1134</v>
      </c>
      <c r="F309" t="s">
        <v>1135</v>
      </c>
      <c r="G309" t="s">
        <v>1136</v>
      </c>
      <c r="H309" t="s">
        <v>1160</v>
      </c>
      <c r="I309" s="63">
        <v>45992</v>
      </c>
      <c r="J309" t="s">
        <v>199</v>
      </c>
      <c r="K309" t="s">
        <v>1142</v>
      </c>
      <c r="L309" s="64">
        <v>7134372</v>
      </c>
      <c r="N309" s="64">
        <v>7134372</v>
      </c>
      <c r="O309" s="64">
        <v>5844183280.9322729</v>
      </c>
    </row>
    <row r="310" spans="1:15" x14ac:dyDescent="0.25">
      <c r="A310" s="58">
        <v>46058</v>
      </c>
      <c r="B310" s="59">
        <v>2</v>
      </c>
      <c r="C310" s="59" t="s">
        <v>1171</v>
      </c>
      <c r="D310" s="59">
        <v>1044421</v>
      </c>
      <c r="E310" s="59" t="s">
        <v>1134</v>
      </c>
      <c r="F310" s="59" t="s">
        <v>1135</v>
      </c>
      <c r="G310" s="59" t="s">
        <v>1136</v>
      </c>
      <c r="H310" s="59" t="s">
        <v>1165</v>
      </c>
      <c r="I310" s="60">
        <v>45992</v>
      </c>
      <c r="J310" s="59" t="s">
        <v>199</v>
      </c>
      <c r="K310" s="59" t="s">
        <v>1142</v>
      </c>
      <c r="L310" s="61">
        <v>36733881.225636981</v>
      </c>
      <c r="M310" s="59"/>
      <c r="N310" s="61">
        <v>36733881.225636981</v>
      </c>
      <c r="O310" s="61">
        <v>5880917162.1579103</v>
      </c>
    </row>
    <row r="311" spans="1:15" x14ac:dyDescent="0.25">
      <c r="A311" s="62">
        <v>46058</v>
      </c>
      <c r="B311">
        <v>2</v>
      </c>
      <c r="C311" t="s">
        <v>1171</v>
      </c>
      <c r="D311">
        <v>1044351</v>
      </c>
      <c r="E311" t="s">
        <v>1134</v>
      </c>
      <c r="F311" t="s">
        <v>1135</v>
      </c>
      <c r="G311" t="s">
        <v>1136</v>
      </c>
      <c r="H311" t="s">
        <v>1157</v>
      </c>
      <c r="I311" s="63">
        <v>45992</v>
      </c>
      <c r="J311" t="s">
        <v>201</v>
      </c>
      <c r="K311" t="s">
        <v>1142</v>
      </c>
      <c r="L311" s="64">
        <v>1298787.8063999999</v>
      </c>
      <c r="N311" s="64">
        <v>1298787.8063999999</v>
      </c>
      <c r="O311" s="64">
        <v>6172393632.644311</v>
      </c>
    </row>
    <row r="312" spans="1:15" x14ac:dyDescent="0.25">
      <c r="A312" s="58">
        <v>46059</v>
      </c>
      <c r="B312" s="59">
        <v>2</v>
      </c>
      <c r="C312" s="59" t="s">
        <v>1133</v>
      </c>
      <c r="D312" s="59">
        <v>2044462</v>
      </c>
      <c r="E312" s="59" t="s">
        <v>1167</v>
      </c>
      <c r="F312" s="59" t="s">
        <v>1135</v>
      </c>
      <c r="G312" s="59" t="s">
        <v>1136</v>
      </c>
      <c r="H312" s="59" t="s">
        <v>1140</v>
      </c>
      <c r="I312" s="60">
        <v>46023</v>
      </c>
      <c r="J312" s="59" t="s">
        <v>202</v>
      </c>
      <c r="K312" s="59" t="s">
        <v>1138</v>
      </c>
      <c r="L312" s="59"/>
      <c r="M312" s="61">
        <v>7961506.8799999999</v>
      </c>
      <c r="N312" s="61">
        <v>-7961506.8799999999</v>
      </c>
      <c r="O312" s="61">
        <v>6164432125.7643108</v>
      </c>
    </row>
    <row r="313" spans="1:15" x14ac:dyDescent="0.25">
      <c r="A313" s="62">
        <v>46059</v>
      </c>
      <c r="B313">
        <v>2</v>
      </c>
      <c r="C313" t="s">
        <v>1133</v>
      </c>
      <c r="D313">
        <v>2034411</v>
      </c>
      <c r="E313" t="s">
        <v>1167</v>
      </c>
      <c r="F313" t="s">
        <v>1168</v>
      </c>
      <c r="G313" t="s">
        <v>1136</v>
      </c>
      <c r="H313" t="s">
        <v>1160</v>
      </c>
      <c r="I313" s="63">
        <v>46023</v>
      </c>
      <c r="J313" t="s">
        <v>203</v>
      </c>
      <c r="K313" t="s">
        <v>1142</v>
      </c>
      <c r="M313" s="64">
        <v>15339362.5</v>
      </c>
      <c r="N313" s="64">
        <v>-15339362.5</v>
      </c>
      <c r="O313" s="64">
        <v>6157054270.144311</v>
      </c>
    </row>
    <row r="314" spans="1:15" x14ac:dyDescent="0.25">
      <c r="A314" s="58">
        <v>46059</v>
      </c>
      <c r="B314" s="59">
        <v>2</v>
      </c>
      <c r="C314" s="59" t="s">
        <v>1133</v>
      </c>
      <c r="D314" s="59">
        <v>2054321</v>
      </c>
      <c r="E314" s="59" t="s">
        <v>1167</v>
      </c>
      <c r="F314" s="59" t="s">
        <v>1169</v>
      </c>
      <c r="G314" s="59" t="s">
        <v>1136</v>
      </c>
      <c r="H314" s="59" t="s">
        <v>1143</v>
      </c>
      <c r="I314" s="60">
        <v>46023</v>
      </c>
      <c r="J314" s="59" t="s">
        <v>204</v>
      </c>
      <c r="K314" s="59" t="s">
        <v>1142</v>
      </c>
      <c r="L314" s="59"/>
      <c r="M314" s="61">
        <v>42145558.5</v>
      </c>
      <c r="N314" s="61">
        <v>-42145558.5</v>
      </c>
      <c r="O314" s="61">
        <v>6114908711.644311</v>
      </c>
    </row>
    <row r="315" spans="1:15" x14ac:dyDescent="0.25">
      <c r="A315" s="62">
        <v>46059</v>
      </c>
      <c r="B315">
        <v>2</v>
      </c>
      <c r="C315" t="s">
        <v>1133</v>
      </c>
      <c r="D315">
        <v>2054322</v>
      </c>
      <c r="E315" t="s">
        <v>1167</v>
      </c>
      <c r="F315" t="s">
        <v>1169</v>
      </c>
      <c r="G315" t="s">
        <v>1136</v>
      </c>
      <c r="H315" t="s">
        <v>1143</v>
      </c>
      <c r="I315" s="63">
        <v>46023</v>
      </c>
      <c r="J315" t="s">
        <v>205</v>
      </c>
      <c r="K315" t="s">
        <v>1138</v>
      </c>
      <c r="M315" s="64">
        <v>28154300</v>
      </c>
      <c r="N315" s="64">
        <v>-28154300</v>
      </c>
      <c r="O315" s="64">
        <v>6086754411.644311</v>
      </c>
    </row>
    <row r="316" spans="1:15" x14ac:dyDescent="0.25">
      <c r="A316" s="58">
        <v>46059</v>
      </c>
      <c r="B316" s="59">
        <v>2</v>
      </c>
      <c r="C316" s="59" t="s">
        <v>1133</v>
      </c>
      <c r="D316" s="59">
        <v>2044495</v>
      </c>
      <c r="E316" s="59" t="s">
        <v>1167</v>
      </c>
      <c r="F316" s="59" t="s">
        <v>1135</v>
      </c>
      <c r="G316" s="59" t="s">
        <v>1136</v>
      </c>
      <c r="H316" s="59" t="s">
        <v>1173</v>
      </c>
      <c r="I316" s="60">
        <v>46023</v>
      </c>
      <c r="J316" s="59" t="s">
        <v>206</v>
      </c>
      <c r="K316" s="59" t="s">
        <v>1172</v>
      </c>
      <c r="L316" s="59"/>
      <c r="M316" s="61">
        <v>423809.76</v>
      </c>
      <c r="N316" s="61">
        <v>-423809.76</v>
      </c>
      <c r="O316" s="61">
        <v>6086330601.8843107</v>
      </c>
    </row>
    <row r="317" spans="1:15" x14ac:dyDescent="0.25">
      <c r="A317" s="62">
        <v>46059</v>
      </c>
      <c r="B317">
        <v>2</v>
      </c>
      <c r="C317" t="s">
        <v>1133</v>
      </c>
      <c r="D317">
        <v>2054324</v>
      </c>
      <c r="E317" t="s">
        <v>1167</v>
      </c>
      <c r="F317" t="s">
        <v>1169</v>
      </c>
      <c r="G317" t="s">
        <v>1136</v>
      </c>
      <c r="H317" t="s">
        <v>1143</v>
      </c>
      <c r="I317" s="63">
        <v>46023</v>
      </c>
      <c r="J317" t="s">
        <v>207</v>
      </c>
      <c r="K317" t="s">
        <v>1148</v>
      </c>
      <c r="M317" s="64">
        <v>69182480</v>
      </c>
      <c r="N317" s="64">
        <v>-69182480</v>
      </c>
      <c r="O317" s="64">
        <v>6017148121.8843107</v>
      </c>
    </row>
    <row r="318" spans="1:15" x14ac:dyDescent="0.25">
      <c r="A318" s="58">
        <v>46059</v>
      </c>
      <c r="B318" s="59">
        <v>2</v>
      </c>
      <c r="C318" s="59" t="s">
        <v>1133</v>
      </c>
      <c r="D318" s="59">
        <v>2054326</v>
      </c>
      <c r="E318" s="59" t="s">
        <v>1167</v>
      </c>
      <c r="F318" s="59" t="s">
        <v>1169</v>
      </c>
      <c r="G318" s="59" t="s">
        <v>1136</v>
      </c>
      <c r="H318" s="59" t="s">
        <v>1143</v>
      </c>
      <c r="I318" s="60">
        <v>46023</v>
      </c>
      <c r="J318" s="59" t="s">
        <v>207</v>
      </c>
      <c r="K318" s="59" t="s">
        <v>1150</v>
      </c>
      <c r="L318" s="59"/>
      <c r="M318" s="61">
        <v>864344.52000000014</v>
      </c>
      <c r="N318" s="61">
        <v>-864344.52000000014</v>
      </c>
      <c r="O318" s="61">
        <v>6016283777.3643103</v>
      </c>
    </row>
    <row r="319" spans="1:15" x14ac:dyDescent="0.25">
      <c r="A319" s="62">
        <v>46059</v>
      </c>
      <c r="B319">
        <v>2</v>
      </c>
      <c r="C319" t="s">
        <v>1133</v>
      </c>
      <c r="D319">
        <v>2014422</v>
      </c>
      <c r="E319" t="s">
        <v>1167</v>
      </c>
      <c r="F319" t="s">
        <v>1174</v>
      </c>
      <c r="G319" t="s">
        <v>1136</v>
      </c>
      <c r="H319" t="s">
        <v>1165</v>
      </c>
      <c r="I319" s="63">
        <v>46023</v>
      </c>
      <c r="J319" t="s">
        <v>208</v>
      </c>
      <c r="K319" t="s">
        <v>1138</v>
      </c>
      <c r="M319" s="64">
        <v>114587133</v>
      </c>
      <c r="N319" s="64">
        <v>-114587133</v>
      </c>
      <c r="O319" s="64">
        <v>5901696644.3643103</v>
      </c>
    </row>
    <row r="320" spans="1:15" x14ac:dyDescent="0.25">
      <c r="A320" s="58">
        <v>46059</v>
      </c>
      <c r="B320" s="59">
        <v>2</v>
      </c>
      <c r="C320" s="59" t="s">
        <v>1133</v>
      </c>
      <c r="D320" s="59">
        <v>2014427</v>
      </c>
      <c r="E320" s="59" t="s">
        <v>1167</v>
      </c>
      <c r="F320" s="59" t="s">
        <v>1174</v>
      </c>
      <c r="G320" s="59" t="s">
        <v>1136</v>
      </c>
      <c r="H320" s="59" t="s">
        <v>1165</v>
      </c>
      <c r="I320" s="60">
        <v>46023</v>
      </c>
      <c r="J320" s="59" t="s">
        <v>208</v>
      </c>
      <c r="K320" s="59" t="s">
        <v>1170</v>
      </c>
      <c r="L320" s="59"/>
      <c r="M320" s="61">
        <v>166</v>
      </c>
      <c r="N320" s="61">
        <v>-166</v>
      </c>
      <c r="O320" s="61">
        <v>5901696478.3643103</v>
      </c>
    </row>
    <row r="321" spans="1:15" x14ac:dyDescent="0.25">
      <c r="A321" s="62">
        <v>46059</v>
      </c>
      <c r="B321">
        <v>2</v>
      </c>
      <c r="C321" t="s">
        <v>1133</v>
      </c>
      <c r="D321">
        <v>2014422</v>
      </c>
      <c r="E321" t="s">
        <v>1167</v>
      </c>
      <c r="F321" t="s">
        <v>1174</v>
      </c>
      <c r="G321" t="s">
        <v>1136</v>
      </c>
      <c r="H321" t="s">
        <v>1165</v>
      </c>
      <c r="I321" s="63">
        <v>46023</v>
      </c>
      <c r="J321" t="s">
        <v>208</v>
      </c>
      <c r="K321" t="s">
        <v>1138</v>
      </c>
      <c r="M321" s="64">
        <v>3294164</v>
      </c>
      <c r="N321" s="64">
        <v>-3294164</v>
      </c>
      <c r="O321" s="64">
        <v>5898402314.3643103</v>
      </c>
    </row>
    <row r="322" spans="1:15" x14ac:dyDescent="0.25">
      <c r="A322" s="58">
        <v>46059</v>
      </c>
      <c r="B322" s="59">
        <v>2</v>
      </c>
      <c r="C322" s="59" t="s">
        <v>1133</v>
      </c>
      <c r="D322" s="59">
        <v>2014425</v>
      </c>
      <c r="E322" s="59" t="s">
        <v>1167</v>
      </c>
      <c r="F322" s="59" t="s">
        <v>1174</v>
      </c>
      <c r="G322" s="59" t="s">
        <v>1136</v>
      </c>
      <c r="H322" s="59" t="s">
        <v>1165</v>
      </c>
      <c r="I322" s="60">
        <v>46023</v>
      </c>
      <c r="J322" s="59" t="s">
        <v>209</v>
      </c>
      <c r="K322" s="59" t="s">
        <v>1172</v>
      </c>
      <c r="L322" s="59"/>
      <c r="M322" s="61">
        <v>1536282.6472</v>
      </c>
      <c r="N322" s="61">
        <v>-1536282.6472</v>
      </c>
      <c r="O322" s="61">
        <v>5896866031.7171106</v>
      </c>
    </row>
    <row r="323" spans="1:15" x14ac:dyDescent="0.25">
      <c r="A323" s="62">
        <v>46059</v>
      </c>
      <c r="B323">
        <v>2</v>
      </c>
      <c r="C323" t="s">
        <v>1133</v>
      </c>
      <c r="D323">
        <v>2034244</v>
      </c>
      <c r="E323" t="s">
        <v>1167</v>
      </c>
      <c r="F323" t="s">
        <v>1168</v>
      </c>
      <c r="G323" t="s">
        <v>1136</v>
      </c>
      <c r="H323" t="s">
        <v>1153</v>
      </c>
      <c r="I323" s="63">
        <v>46023</v>
      </c>
      <c r="J323" t="s">
        <v>210</v>
      </c>
      <c r="K323" t="s">
        <v>1148</v>
      </c>
      <c r="M323" s="64">
        <v>16846131.600000001</v>
      </c>
      <c r="N323" s="64">
        <v>-16846131.600000001</v>
      </c>
      <c r="O323" s="64">
        <v>5880019900.1171103</v>
      </c>
    </row>
    <row r="324" spans="1:15" x14ac:dyDescent="0.25">
      <c r="A324" s="58">
        <v>46059</v>
      </c>
      <c r="B324" s="59">
        <v>2</v>
      </c>
      <c r="C324" s="59" t="s">
        <v>1133</v>
      </c>
      <c r="D324" s="59">
        <v>2054374</v>
      </c>
      <c r="E324" s="59" t="s">
        <v>1167</v>
      </c>
      <c r="F324" s="59" t="s">
        <v>1169</v>
      </c>
      <c r="G324" s="59" t="s">
        <v>1136</v>
      </c>
      <c r="H324" s="59" t="s">
        <v>1141</v>
      </c>
      <c r="I324" s="60">
        <v>46023</v>
      </c>
      <c r="J324" s="59" t="s">
        <v>211</v>
      </c>
      <c r="K324" s="59" t="s">
        <v>1148</v>
      </c>
      <c r="L324" s="59"/>
      <c r="M324" s="61">
        <v>18167182.920000002</v>
      </c>
      <c r="N324" s="61">
        <v>-18167182.920000002</v>
      </c>
      <c r="O324" s="61">
        <v>5861852717.1971102</v>
      </c>
    </row>
    <row r="325" spans="1:15" x14ac:dyDescent="0.25">
      <c r="A325" s="62">
        <v>46059</v>
      </c>
      <c r="B325">
        <v>2</v>
      </c>
      <c r="C325" t="s">
        <v>1133</v>
      </c>
      <c r="D325">
        <v>2014274</v>
      </c>
      <c r="E325" t="s">
        <v>1167</v>
      </c>
      <c r="F325" t="s">
        <v>1174</v>
      </c>
      <c r="G325" t="s">
        <v>1136</v>
      </c>
      <c r="H325" t="s">
        <v>1154</v>
      </c>
      <c r="I325" s="63">
        <v>46023</v>
      </c>
      <c r="J325" t="s">
        <v>212</v>
      </c>
      <c r="K325" t="s">
        <v>1148</v>
      </c>
      <c r="M325" s="64">
        <v>5260546.41</v>
      </c>
      <c r="N325" s="64">
        <v>-5260546.41</v>
      </c>
      <c r="O325" s="64">
        <v>5856592170.7871103</v>
      </c>
    </row>
    <row r="326" spans="1:15" x14ac:dyDescent="0.25">
      <c r="A326" s="58">
        <v>46059</v>
      </c>
      <c r="B326" s="59">
        <v>2</v>
      </c>
      <c r="C326" s="59" t="s">
        <v>1133</v>
      </c>
      <c r="D326" s="59">
        <v>2014275</v>
      </c>
      <c r="E326" s="59" t="s">
        <v>1167</v>
      </c>
      <c r="F326" s="59" t="s">
        <v>1174</v>
      </c>
      <c r="G326" s="59" t="s">
        <v>1136</v>
      </c>
      <c r="H326" s="59" t="s">
        <v>1154</v>
      </c>
      <c r="I326" s="60">
        <v>46023</v>
      </c>
      <c r="J326" s="59" t="s">
        <v>213</v>
      </c>
      <c r="K326" s="59" t="s">
        <v>1172</v>
      </c>
      <c r="L326" s="59"/>
      <c r="M326" s="61">
        <v>239177.67</v>
      </c>
      <c r="N326" s="61">
        <v>-239177.67</v>
      </c>
      <c r="O326" s="61">
        <v>5856352993.1171103</v>
      </c>
    </row>
    <row r="327" spans="1:15" x14ac:dyDescent="0.25">
      <c r="A327" s="62">
        <v>46059</v>
      </c>
      <c r="B327">
        <v>2</v>
      </c>
      <c r="C327" t="s">
        <v>1133</v>
      </c>
      <c r="D327">
        <v>2014214</v>
      </c>
      <c r="E327" t="s">
        <v>1167</v>
      </c>
      <c r="F327" t="s">
        <v>1174</v>
      </c>
      <c r="G327" t="s">
        <v>1136</v>
      </c>
      <c r="H327" t="s">
        <v>1151</v>
      </c>
      <c r="I327" s="63">
        <v>46023</v>
      </c>
      <c r="J327" t="s">
        <v>214</v>
      </c>
      <c r="K327" t="s">
        <v>1148</v>
      </c>
      <c r="M327" s="64">
        <v>1433411.36</v>
      </c>
      <c r="N327" s="64">
        <v>-1433411.36</v>
      </c>
      <c r="O327" s="64">
        <v>5854919581.7571106</v>
      </c>
    </row>
    <row r="328" spans="1:15" x14ac:dyDescent="0.25">
      <c r="A328" s="58">
        <v>46062</v>
      </c>
      <c r="B328" s="59">
        <v>2</v>
      </c>
      <c r="C328" s="59" t="s">
        <v>1144</v>
      </c>
      <c r="D328" s="59">
        <v>2034234</v>
      </c>
      <c r="E328" s="59" t="s">
        <v>1167</v>
      </c>
      <c r="F328" s="59" t="s">
        <v>1168</v>
      </c>
      <c r="G328" s="59" t="s">
        <v>1136</v>
      </c>
      <c r="H328" s="59" t="s">
        <v>1152</v>
      </c>
      <c r="I328" s="60">
        <v>46023</v>
      </c>
      <c r="J328" s="59" t="s">
        <v>220</v>
      </c>
      <c r="K328" s="59" t="s">
        <v>1148</v>
      </c>
      <c r="L328" s="59"/>
      <c r="M328" s="61">
        <v>23615932.199999999</v>
      </c>
      <c r="N328" s="61">
        <v>-23615932.199999999</v>
      </c>
      <c r="O328" s="61">
        <v>5173134906.5971088</v>
      </c>
    </row>
    <row r="329" spans="1:15" x14ac:dyDescent="0.25">
      <c r="A329" s="62">
        <v>46062</v>
      </c>
      <c r="B329">
        <v>2</v>
      </c>
      <c r="C329" t="s">
        <v>1144</v>
      </c>
      <c r="D329">
        <v>2034235</v>
      </c>
      <c r="E329" t="s">
        <v>1167</v>
      </c>
      <c r="F329" t="s">
        <v>1168</v>
      </c>
      <c r="G329" t="s">
        <v>1136</v>
      </c>
      <c r="H329" t="s">
        <v>1152</v>
      </c>
      <c r="I329" s="63">
        <v>46023</v>
      </c>
      <c r="J329" t="s">
        <v>221</v>
      </c>
      <c r="K329" t="s">
        <v>1172</v>
      </c>
      <c r="M329" s="64">
        <v>3411781.4</v>
      </c>
      <c r="N329" s="64">
        <v>-3411781.4</v>
      </c>
      <c r="O329" s="64">
        <v>5169723125.1971092</v>
      </c>
    </row>
    <row r="330" spans="1:15" x14ac:dyDescent="0.25">
      <c r="A330" s="58">
        <v>46062</v>
      </c>
      <c r="B330" s="59">
        <v>2</v>
      </c>
      <c r="C330" s="59" t="s">
        <v>1144</v>
      </c>
      <c r="D330" s="59">
        <v>2014421</v>
      </c>
      <c r="E330" s="59" t="s">
        <v>1167</v>
      </c>
      <c r="F330" s="59" t="s">
        <v>1174</v>
      </c>
      <c r="G330" s="59" t="s">
        <v>1136</v>
      </c>
      <c r="H330" s="59" t="s">
        <v>1165</v>
      </c>
      <c r="I330" s="60">
        <v>46023</v>
      </c>
      <c r="J330" s="59" t="s">
        <v>222</v>
      </c>
      <c r="K330" s="59" t="s">
        <v>1142</v>
      </c>
      <c r="L330" s="59"/>
      <c r="M330" s="61">
        <v>75609956.510000005</v>
      </c>
      <c r="N330" s="61">
        <v>-75609956.510000005</v>
      </c>
      <c r="O330" s="61">
        <v>5094113168.687109</v>
      </c>
    </row>
    <row r="331" spans="1:15" x14ac:dyDescent="0.25">
      <c r="A331" s="62">
        <v>46062</v>
      </c>
      <c r="B331">
        <v>2</v>
      </c>
      <c r="C331" t="s">
        <v>1144</v>
      </c>
      <c r="D331">
        <v>2034241</v>
      </c>
      <c r="E331" t="s">
        <v>1167</v>
      </c>
      <c r="F331" t="s">
        <v>1168</v>
      </c>
      <c r="G331" t="s">
        <v>1136</v>
      </c>
      <c r="H331" t="s">
        <v>1153</v>
      </c>
      <c r="I331" s="63">
        <v>46023</v>
      </c>
      <c r="J331" t="s">
        <v>223</v>
      </c>
      <c r="K331" t="s">
        <v>1142</v>
      </c>
      <c r="M331" s="64">
        <v>6733647.71</v>
      </c>
      <c r="N331" s="64">
        <v>-6733647.71</v>
      </c>
      <c r="O331" s="64">
        <v>5087379520.977109</v>
      </c>
    </row>
    <row r="332" spans="1:15" x14ac:dyDescent="0.25">
      <c r="A332" s="58">
        <v>46062</v>
      </c>
      <c r="B332" s="59">
        <v>2</v>
      </c>
      <c r="C332" s="59" t="s">
        <v>1144</v>
      </c>
      <c r="D332" s="59">
        <v>2034243</v>
      </c>
      <c r="E332" s="59" t="s">
        <v>1167</v>
      </c>
      <c r="F332" s="59" t="s">
        <v>1168</v>
      </c>
      <c r="G332" s="59" t="s">
        <v>1136</v>
      </c>
      <c r="H332" s="59" t="s">
        <v>1153</v>
      </c>
      <c r="I332" s="60">
        <v>46023</v>
      </c>
      <c r="J332" s="59" t="s">
        <v>224</v>
      </c>
      <c r="K332" s="59" t="s">
        <v>1146</v>
      </c>
      <c r="L332" s="59"/>
      <c r="M332" s="61">
        <v>18431789.719999999</v>
      </c>
      <c r="N332" s="61">
        <v>-18431789.719999999</v>
      </c>
      <c r="O332" s="61">
        <v>5068947731.2571087</v>
      </c>
    </row>
    <row r="333" spans="1:15" x14ac:dyDescent="0.25">
      <c r="A333" s="62">
        <v>46062</v>
      </c>
      <c r="B333">
        <v>2</v>
      </c>
      <c r="C333" t="s">
        <v>1144</v>
      </c>
      <c r="D333">
        <v>2054371</v>
      </c>
      <c r="E333" t="s">
        <v>1167</v>
      </c>
      <c r="F333" t="s">
        <v>1169</v>
      </c>
      <c r="G333" t="s">
        <v>1136</v>
      </c>
      <c r="H333" t="s">
        <v>1141</v>
      </c>
      <c r="I333" s="63">
        <v>46023</v>
      </c>
      <c r="J333" t="s">
        <v>225</v>
      </c>
      <c r="K333" t="s">
        <v>1142</v>
      </c>
      <c r="M333" s="64">
        <v>33612060.490000002</v>
      </c>
      <c r="N333" s="64">
        <v>-33612060.490000002</v>
      </c>
      <c r="O333" s="64">
        <v>5035335670.7671089</v>
      </c>
    </row>
    <row r="334" spans="1:15" x14ac:dyDescent="0.25">
      <c r="A334" s="58">
        <v>46062</v>
      </c>
      <c r="B334" s="59">
        <v>2</v>
      </c>
      <c r="C334" s="59" t="s">
        <v>1144</v>
      </c>
      <c r="D334" s="59">
        <v>2054372</v>
      </c>
      <c r="E334" s="59" t="s">
        <v>1167</v>
      </c>
      <c r="F334" s="59" t="s">
        <v>1169</v>
      </c>
      <c r="G334" s="59" t="s">
        <v>1136</v>
      </c>
      <c r="H334" s="59" t="s">
        <v>1141</v>
      </c>
      <c r="I334" s="60">
        <v>46023</v>
      </c>
      <c r="J334" s="59" t="s">
        <v>226</v>
      </c>
      <c r="K334" s="59" t="s">
        <v>1138</v>
      </c>
      <c r="L334" s="59"/>
      <c r="M334" s="61">
        <v>39264013.097900003</v>
      </c>
      <c r="N334" s="61">
        <v>-39264013.097900003</v>
      </c>
      <c r="O334" s="61">
        <v>4996071657.6692085</v>
      </c>
    </row>
    <row r="335" spans="1:15" x14ac:dyDescent="0.25">
      <c r="A335" s="62">
        <v>46062</v>
      </c>
      <c r="B335">
        <v>2</v>
      </c>
      <c r="C335" t="s">
        <v>1144</v>
      </c>
      <c r="D335">
        <v>2054391</v>
      </c>
      <c r="E335" t="s">
        <v>1167</v>
      </c>
      <c r="F335" t="s">
        <v>1169</v>
      </c>
      <c r="G335" t="s">
        <v>1136</v>
      </c>
      <c r="H335" t="s">
        <v>1164</v>
      </c>
      <c r="I335" s="63">
        <v>46023</v>
      </c>
      <c r="J335" t="s">
        <v>227</v>
      </c>
      <c r="K335" t="s">
        <v>1142</v>
      </c>
      <c r="M335" s="64">
        <v>23751385</v>
      </c>
      <c r="N335" s="64">
        <v>-23751385</v>
      </c>
      <c r="O335" s="64">
        <v>4972320272.6692085</v>
      </c>
    </row>
    <row r="336" spans="1:15" x14ac:dyDescent="0.25">
      <c r="A336" s="58">
        <v>46062</v>
      </c>
      <c r="B336" s="59">
        <v>2</v>
      </c>
      <c r="C336" s="59" t="s">
        <v>1144</v>
      </c>
      <c r="D336" s="59">
        <v>2014271</v>
      </c>
      <c r="E336" s="59" t="s">
        <v>1167</v>
      </c>
      <c r="F336" s="59" t="s">
        <v>1174</v>
      </c>
      <c r="G336" s="59" t="s">
        <v>1136</v>
      </c>
      <c r="H336" s="59" t="s">
        <v>1154</v>
      </c>
      <c r="I336" s="60">
        <v>46023</v>
      </c>
      <c r="J336" s="59" t="s">
        <v>228</v>
      </c>
      <c r="K336" s="59" t="s">
        <v>1142</v>
      </c>
      <c r="L336" s="59"/>
      <c r="M336" s="61">
        <v>13344920.1</v>
      </c>
      <c r="N336" s="61">
        <v>-13344920.1</v>
      </c>
      <c r="O336" s="61">
        <v>4958975352.5692081</v>
      </c>
    </row>
    <row r="337" spans="1:15" x14ac:dyDescent="0.25">
      <c r="A337" s="62">
        <v>46062</v>
      </c>
      <c r="B337">
        <v>2</v>
      </c>
      <c r="C337" t="s">
        <v>1144</v>
      </c>
      <c r="D337">
        <v>2014272</v>
      </c>
      <c r="E337" t="s">
        <v>1167</v>
      </c>
      <c r="F337" t="s">
        <v>1174</v>
      </c>
      <c r="G337" t="s">
        <v>1136</v>
      </c>
      <c r="H337" t="s">
        <v>1154</v>
      </c>
      <c r="I337" s="63">
        <v>46023</v>
      </c>
      <c r="J337" t="s">
        <v>229</v>
      </c>
      <c r="K337" t="s">
        <v>1138</v>
      </c>
      <c r="M337" s="64">
        <v>2227180.4900000002</v>
      </c>
      <c r="N337" s="64">
        <v>-2227180.4900000002</v>
      </c>
      <c r="O337" s="64">
        <v>4956748172.0792084</v>
      </c>
    </row>
    <row r="338" spans="1:15" x14ac:dyDescent="0.25">
      <c r="A338" s="58">
        <v>46062</v>
      </c>
      <c r="B338" s="59">
        <v>2</v>
      </c>
      <c r="C338" s="59" t="s">
        <v>1144</v>
      </c>
      <c r="D338" s="59">
        <v>2014211</v>
      </c>
      <c r="E338" s="59" t="s">
        <v>1167</v>
      </c>
      <c r="F338" s="59" t="s">
        <v>1174</v>
      </c>
      <c r="G338" s="59" t="s">
        <v>1136</v>
      </c>
      <c r="H338" s="59" t="s">
        <v>1151</v>
      </c>
      <c r="I338" s="60">
        <v>46023</v>
      </c>
      <c r="J338" s="59" t="s">
        <v>230</v>
      </c>
      <c r="K338" s="59" t="s">
        <v>1142</v>
      </c>
      <c r="L338" s="59"/>
      <c r="M338" s="61">
        <v>12459331.5</v>
      </c>
      <c r="N338" s="61">
        <v>-12459331.5</v>
      </c>
      <c r="O338" s="61">
        <v>4944288840.5792084</v>
      </c>
    </row>
    <row r="339" spans="1:15" x14ac:dyDescent="0.25">
      <c r="A339" s="62">
        <v>46062</v>
      </c>
      <c r="B339">
        <v>2</v>
      </c>
      <c r="C339" t="s">
        <v>1144</v>
      </c>
      <c r="D339">
        <v>2014212</v>
      </c>
      <c r="E339" t="s">
        <v>1167</v>
      </c>
      <c r="F339" t="s">
        <v>1174</v>
      </c>
      <c r="G339" t="s">
        <v>1136</v>
      </c>
      <c r="H339" t="s">
        <v>1151</v>
      </c>
      <c r="I339" s="63">
        <v>46023</v>
      </c>
      <c r="J339" t="s">
        <v>231</v>
      </c>
      <c r="K339" t="s">
        <v>1138</v>
      </c>
      <c r="M339" s="64">
        <v>11937798.9582</v>
      </c>
      <c r="N339" s="64">
        <v>-11937798.9582</v>
      </c>
      <c r="O339" s="64">
        <v>4932351041.6210079</v>
      </c>
    </row>
    <row r="340" spans="1:15" x14ac:dyDescent="0.25">
      <c r="A340" s="58">
        <v>46062</v>
      </c>
      <c r="B340" s="59">
        <v>2</v>
      </c>
      <c r="C340" s="59" t="s">
        <v>1144</v>
      </c>
      <c r="D340" s="59">
        <v>2054196</v>
      </c>
      <c r="E340" s="59" t="s">
        <v>1167</v>
      </c>
      <c r="F340" s="59" t="s">
        <v>1169</v>
      </c>
      <c r="G340" s="59" t="s">
        <v>1136</v>
      </c>
      <c r="H340" s="59" t="s">
        <v>1149</v>
      </c>
      <c r="I340" s="60">
        <v>46023</v>
      </c>
      <c r="J340" s="59" t="s">
        <v>232</v>
      </c>
      <c r="K340" s="59" t="s">
        <v>1150</v>
      </c>
      <c r="L340" s="59"/>
      <c r="M340" s="61">
        <v>11787560.550000019</v>
      </c>
      <c r="N340" s="61">
        <v>-11787560.550000019</v>
      </c>
      <c r="O340" s="61">
        <v>4920563481.0710077</v>
      </c>
    </row>
    <row r="341" spans="1:15" x14ac:dyDescent="0.25">
      <c r="A341" s="62">
        <v>46063</v>
      </c>
      <c r="B341">
        <v>2</v>
      </c>
      <c r="C341" t="s">
        <v>1161</v>
      </c>
      <c r="D341">
        <v>2054281</v>
      </c>
      <c r="E341" t="s">
        <v>1167</v>
      </c>
      <c r="F341" t="s">
        <v>1169</v>
      </c>
      <c r="G341" t="s">
        <v>1136</v>
      </c>
      <c r="H341" t="s">
        <v>1155</v>
      </c>
      <c r="I341" s="63">
        <v>46023</v>
      </c>
      <c r="J341" t="s">
        <v>234</v>
      </c>
      <c r="K341" t="s">
        <v>1142</v>
      </c>
      <c r="M341" s="64">
        <v>42720331.420000002</v>
      </c>
      <c r="N341" s="64">
        <v>-42720331.420000002</v>
      </c>
      <c r="O341" s="64">
        <v>5091575055.5110073</v>
      </c>
    </row>
    <row r="342" spans="1:15" x14ac:dyDescent="0.25">
      <c r="A342" s="58">
        <v>46063</v>
      </c>
      <c r="B342" s="59">
        <v>2</v>
      </c>
      <c r="C342" s="59" t="s">
        <v>1161</v>
      </c>
      <c r="D342" s="59">
        <v>2054287</v>
      </c>
      <c r="E342" s="59" t="s">
        <v>1167</v>
      </c>
      <c r="F342" s="59" t="s">
        <v>1169</v>
      </c>
      <c r="G342" s="59" t="s">
        <v>1136</v>
      </c>
      <c r="H342" s="59" t="s">
        <v>1155</v>
      </c>
      <c r="I342" s="60">
        <v>46023</v>
      </c>
      <c r="J342" s="59" t="s">
        <v>235</v>
      </c>
      <c r="K342" s="59" t="s">
        <v>1170</v>
      </c>
      <c r="L342" s="59"/>
      <c r="M342" s="61">
        <v>2000</v>
      </c>
      <c r="N342" s="61">
        <v>-2000</v>
      </c>
      <c r="O342" s="61">
        <v>5091573055.5110073</v>
      </c>
    </row>
    <row r="343" spans="1:15" x14ac:dyDescent="0.25">
      <c r="A343" s="62">
        <v>46063</v>
      </c>
      <c r="B343">
        <v>2</v>
      </c>
      <c r="C343" t="s">
        <v>1161</v>
      </c>
      <c r="D343">
        <v>2054282</v>
      </c>
      <c r="E343" t="s">
        <v>1167</v>
      </c>
      <c r="F343" t="s">
        <v>1169</v>
      </c>
      <c r="G343" t="s">
        <v>1136</v>
      </c>
      <c r="H343" t="s">
        <v>1155</v>
      </c>
      <c r="I343" s="63">
        <v>46023</v>
      </c>
      <c r="J343" t="s">
        <v>235</v>
      </c>
      <c r="K343" t="s">
        <v>1138</v>
      </c>
      <c r="M343" s="64">
        <v>48265700</v>
      </c>
      <c r="N343" s="64">
        <v>-48265700</v>
      </c>
      <c r="O343" s="64">
        <v>5043307355.5110073</v>
      </c>
    </row>
    <row r="344" spans="1:15" x14ac:dyDescent="0.25">
      <c r="A344" s="58">
        <v>46063</v>
      </c>
      <c r="B344" s="59">
        <v>2</v>
      </c>
      <c r="C344" s="59" t="s">
        <v>1161</v>
      </c>
      <c r="D344" s="59">
        <v>2054284</v>
      </c>
      <c r="E344" s="59" t="s">
        <v>1167</v>
      </c>
      <c r="F344" s="59" t="s">
        <v>1169</v>
      </c>
      <c r="G344" s="59" t="s">
        <v>1136</v>
      </c>
      <c r="H344" s="59" t="s">
        <v>1155</v>
      </c>
      <c r="I344" s="60">
        <v>46023</v>
      </c>
      <c r="J344" s="59" t="s">
        <v>236</v>
      </c>
      <c r="K344" s="59" t="s">
        <v>1148</v>
      </c>
      <c r="L344" s="59"/>
      <c r="M344" s="61">
        <v>156716138</v>
      </c>
      <c r="N344" s="61">
        <v>-156716138</v>
      </c>
      <c r="O344" s="61">
        <v>4886591217.5110073</v>
      </c>
    </row>
    <row r="345" spans="1:15" x14ac:dyDescent="0.25">
      <c r="A345" s="62">
        <v>46063</v>
      </c>
      <c r="B345">
        <v>2</v>
      </c>
      <c r="C345" t="s">
        <v>1161</v>
      </c>
      <c r="D345">
        <v>2054286</v>
      </c>
      <c r="E345" t="s">
        <v>1167</v>
      </c>
      <c r="F345" t="s">
        <v>1169</v>
      </c>
      <c r="G345" t="s">
        <v>1136</v>
      </c>
      <c r="H345" t="s">
        <v>1155</v>
      </c>
      <c r="I345" s="63">
        <v>46023</v>
      </c>
      <c r="J345" t="s">
        <v>236</v>
      </c>
      <c r="K345" t="s">
        <v>1150</v>
      </c>
      <c r="M345" s="64">
        <v>4219698.5299999956</v>
      </c>
      <c r="N345" s="64">
        <v>-4219698.5299999956</v>
      </c>
      <c r="O345" s="64">
        <v>4882371518.9810076</v>
      </c>
    </row>
    <row r="346" spans="1:15" x14ac:dyDescent="0.25">
      <c r="A346" s="58">
        <v>46063</v>
      </c>
      <c r="B346" s="59">
        <v>2</v>
      </c>
      <c r="C346" s="59" t="s">
        <v>1161</v>
      </c>
      <c r="D346" s="59">
        <v>2054285</v>
      </c>
      <c r="E346" s="59" t="s">
        <v>1167</v>
      </c>
      <c r="F346" s="59" t="s">
        <v>1169</v>
      </c>
      <c r="G346" s="59" t="s">
        <v>1136</v>
      </c>
      <c r="H346" s="59" t="s">
        <v>1155</v>
      </c>
      <c r="I346" s="60">
        <v>46023</v>
      </c>
      <c r="J346" s="59" t="s">
        <v>237</v>
      </c>
      <c r="K346" s="59" t="s">
        <v>1172</v>
      </c>
      <c r="L346" s="59"/>
      <c r="M346" s="61">
        <v>721600</v>
      </c>
      <c r="N346" s="61">
        <v>-721600</v>
      </c>
      <c r="O346" s="61">
        <v>4881649918.9810076</v>
      </c>
    </row>
    <row r="347" spans="1:15" x14ac:dyDescent="0.25">
      <c r="A347" s="62">
        <v>46063</v>
      </c>
      <c r="B347">
        <v>2</v>
      </c>
      <c r="C347" t="s">
        <v>1161</v>
      </c>
      <c r="D347">
        <v>2054197</v>
      </c>
      <c r="E347" t="s">
        <v>1167</v>
      </c>
      <c r="F347" t="s">
        <v>1169</v>
      </c>
      <c r="G347" t="s">
        <v>1136</v>
      </c>
      <c r="H347" t="s">
        <v>1149</v>
      </c>
      <c r="I347" s="63">
        <v>46023</v>
      </c>
      <c r="J347" t="s">
        <v>238</v>
      </c>
      <c r="K347" t="s">
        <v>1170</v>
      </c>
      <c r="M347" s="64">
        <v>804000</v>
      </c>
      <c r="N347" s="64">
        <v>-804000</v>
      </c>
      <c r="O347" s="64">
        <v>4880845918.9810076</v>
      </c>
    </row>
    <row r="348" spans="1:15" x14ac:dyDescent="0.25">
      <c r="A348" s="58">
        <v>46064</v>
      </c>
      <c r="B348" s="59">
        <v>2</v>
      </c>
      <c r="C348" s="59" t="s">
        <v>1166</v>
      </c>
      <c r="D348" s="59">
        <v>1044161</v>
      </c>
      <c r="E348" s="59" t="s">
        <v>1134</v>
      </c>
      <c r="F348" s="59" t="s">
        <v>1135</v>
      </c>
      <c r="G348" s="59" t="s">
        <v>1136</v>
      </c>
      <c r="H348" s="59" t="s">
        <v>1162</v>
      </c>
      <c r="I348" s="60">
        <v>46023</v>
      </c>
      <c r="J348" s="59" t="s">
        <v>239</v>
      </c>
      <c r="K348" s="59" t="s">
        <v>1142</v>
      </c>
      <c r="L348" s="61">
        <v>19980328.670000002</v>
      </c>
      <c r="M348" s="59"/>
      <c r="N348" s="61">
        <v>19980328.670000002</v>
      </c>
      <c r="O348" s="61">
        <v>4969222828.4510078</v>
      </c>
    </row>
    <row r="349" spans="1:15" x14ac:dyDescent="0.25">
      <c r="A349" s="62">
        <v>46064</v>
      </c>
      <c r="B349">
        <v>2</v>
      </c>
      <c r="C349" t="s">
        <v>1166</v>
      </c>
      <c r="D349">
        <v>1044171</v>
      </c>
      <c r="E349" t="s">
        <v>1134</v>
      </c>
      <c r="F349" t="s">
        <v>1135</v>
      </c>
      <c r="G349" t="s">
        <v>1136</v>
      </c>
      <c r="H349" t="s">
        <v>1147</v>
      </c>
      <c r="I349" s="63">
        <v>46023</v>
      </c>
      <c r="J349" t="s">
        <v>239</v>
      </c>
      <c r="K349" t="s">
        <v>1142</v>
      </c>
      <c r="L349" s="64">
        <v>8920433.0850000009</v>
      </c>
      <c r="N349" s="64">
        <v>8920433.0850000009</v>
      </c>
      <c r="O349" s="64">
        <v>4978143261.5360079</v>
      </c>
    </row>
    <row r="350" spans="1:15" x14ac:dyDescent="0.25">
      <c r="A350" s="58">
        <v>46064</v>
      </c>
      <c r="B350" s="59">
        <v>2</v>
      </c>
      <c r="C350" s="59" t="s">
        <v>1166</v>
      </c>
      <c r="D350" s="59">
        <v>1044201</v>
      </c>
      <c r="E350" s="59" t="s">
        <v>1134</v>
      </c>
      <c r="F350" s="59" t="s">
        <v>1135</v>
      </c>
      <c r="G350" s="59" t="s">
        <v>1136</v>
      </c>
      <c r="H350" s="59" t="s">
        <v>1139</v>
      </c>
      <c r="I350" s="60">
        <v>46023</v>
      </c>
      <c r="J350" s="59" t="s">
        <v>239</v>
      </c>
      <c r="K350" s="59" t="s">
        <v>1142</v>
      </c>
      <c r="L350" s="61">
        <v>11573382.77</v>
      </c>
      <c r="M350" s="59"/>
      <c r="N350" s="61">
        <v>11573382.77</v>
      </c>
      <c r="O350" s="61">
        <v>4989716644.3060083</v>
      </c>
    </row>
    <row r="351" spans="1:15" x14ac:dyDescent="0.25">
      <c r="A351" s="62">
        <v>46064</v>
      </c>
      <c r="B351">
        <v>2</v>
      </c>
      <c r="C351" t="s">
        <v>1166</v>
      </c>
      <c r="D351">
        <v>1044211</v>
      </c>
      <c r="E351" t="s">
        <v>1134</v>
      </c>
      <c r="F351" t="s">
        <v>1135</v>
      </c>
      <c r="G351" t="s">
        <v>1136</v>
      </c>
      <c r="H351" t="s">
        <v>1151</v>
      </c>
      <c r="I351" s="63">
        <v>46023</v>
      </c>
      <c r="J351" t="s">
        <v>239</v>
      </c>
      <c r="K351" t="s">
        <v>1142</v>
      </c>
      <c r="L351" s="64">
        <v>1768132.5</v>
      </c>
      <c r="N351" s="64">
        <v>1768132.5</v>
      </c>
      <c r="O351" s="64">
        <v>4991484776.8060083</v>
      </c>
    </row>
    <row r="352" spans="1:15" x14ac:dyDescent="0.25">
      <c r="A352" s="58">
        <v>46064</v>
      </c>
      <c r="B352" s="59">
        <v>2</v>
      </c>
      <c r="C352" s="59" t="s">
        <v>1166</v>
      </c>
      <c r="D352" s="59">
        <v>1044241</v>
      </c>
      <c r="E352" s="59" t="s">
        <v>1134</v>
      </c>
      <c r="F352" s="59" t="s">
        <v>1135</v>
      </c>
      <c r="G352" s="59" t="s">
        <v>1136</v>
      </c>
      <c r="H352" s="59" t="s">
        <v>1153</v>
      </c>
      <c r="I352" s="60">
        <v>46023</v>
      </c>
      <c r="J352" s="59" t="s">
        <v>239</v>
      </c>
      <c r="K352" s="59" t="s">
        <v>1142</v>
      </c>
      <c r="L352" s="61">
        <v>3795684.2050000001</v>
      </c>
      <c r="M352" s="59"/>
      <c r="N352" s="61">
        <v>3795684.2050000001</v>
      </c>
      <c r="O352" s="61">
        <v>4995280461.0110083</v>
      </c>
    </row>
    <row r="353" spans="1:15" x14ac:dyDescent="0.25">
      <c r="A353" s="62">
        <v>46064</v>
      </c>
      <c r="B353">
        <v>2</v>
      </c>
      <c r="C353" t="s">
        <v>1166</v>
      </c>
      <c r="D353">
        <v>1044261</v>
      </c>
      <c r="E353" t="s">
        <v>1134</v>
      </c>
      <c r="F353" t="s">
        <v>1135</v>
      </c>
      <c r="G353" t="s">
        <v>1136</v>
      </c>
      <c r="H353" t="s">
        <v>1145</v>
      </c>
      <c r="I353" s="63">
        <v>46023</v>
      </c>
      <c r="J353" t="s">
        <v>239</v>
      </c>
      <c r="K353" t="s">
        <v>1142</v>
      </c>
      <c r="L353" s="64">
        <v>2085231.07</v>
      </c>
      <c r="N353" s="64">
        <v>2085231.07</v>
      </c>
      <c r="O353" s="64">
        <v>4997365692.081008</v>
      </c>
    </row>
    <row r="354" spans="1:15" x14ac:dyDescent="0.25">
      <c r="A354" s="58">
        <v>46064</v>
      </c>
      <c r="B354" s="59">
        <v>2</v>
      </c>
      <c r="C354" s="59" t="s">
        <v>1166</v>
      </c>
      <c r="D354" s="59">
        <v>1044271</v>
      </c>
      <c r="E354" s="59" t="s">
        <v>1134</v>
      </c>
      <c r="F354" s="59" t="s">
        <v>1135</v>
      </c>
      <c r="G354" s="59" t="s">
        <v>1136</v>
      </c>
      <c r="H354" s="59" t="s">
        <v>1154</v>
      </c>
      <c r="I354" s="60">
        <v>46023</v>
      </c>
      <c r="J354" s="59" t="s">
        <v>239</v>
      </c>
      <c r="K354" s="59" t="s">
        <v>1142</v>
      </c>
      <c r="L354" s="61">
        <v>3639135</v>
      </c>
      <c r="M354" s="59"/>
      <c r="N354" s="61">
        <v>3639135</v>
      </c>
      <c r="O354" s="61">
        <v>5001004827.081008</v>
      </c>
    </row>
    <row r="355" spans="1:15" x14ac:dyDescent="0.25">
      <c r="A355" s="62">
        <v>46064</v>
      </c>
      <c r="B355">
        <v>2</v>
      </c>
      <c r="C355" t="s">
        <v>1166</v>
      </c>
      <c r="D355">
        <v>1044281</v>
      </c>
      <c r="E355" t="s">
        <v>1134</v>
      </c>
      <c r="F355" t="s">
        <v>1135</v>
      </c>
      <c r="G355" t="s">
        <v>1136</v>
      </c>
      <c r="H355" t="s">
        <v>1155</v>
      </c>
      <c r="I355" s="63">
        <v>46023</v>
      </c>
      <c r="J355" t="s">
        <v>239</v>
      </c>
      <c r="K355" t="s">
        <v>1142</v>
      </c>
      <c r="L355" s="64">
        <v>26509748.024999999</v>
      </c>
      <c r="N355" s="64">
        <v>26509748.024999999</v>
      </c>
      <c r="O355" s="64">
        <v>5027514575.1060076</v>
      </c>
    </row>
    <row r="356" spans="1:15" x14ac:dyDescent="0.25">
      <c r="A356" s="58">
        <v>46064</v>
      </c>
      <c r="B356" s="59">
        <v>2</v>
      </c>
      <c r="C356" s="59" t="s">
        <v>1166</v>
      </c>
      <c r="D356" s="59">
        <v>1044461</v>
      </c>
      <c r="E356" s="59" t="s">
        <v>1134</v>
      </c>
      <c r="F356" s="59" t="s">
        <v>1135</v>
      </c>
      <c r="G356" s="59" t="s">
        <v>1136</v>
      </c>
      <c r="H356" s="59" t="s">
        <v>1140</v>
      </c>
      <c r="I356" s="60">
        <v>46023</v>
      </c>
      <c r="J356" s="59" t="s">
        <v>239</v>
      </c>
      <c r="K356" s="59" t="s">
        <v>1142</v>
      </c>
      <c r="L356" s="61">
        <v>1461728.5022562521</v>
      </c>
      <c r="M356" s="59"/>
      <c r="N356" s="61">
        <v>1461728.5022562521</v>
      </c>
      <c r="O356" s="61">
        <v>5028976303.608264</v>
      </c>
    </row>
    <row r="357" spans="1:15" x14ac:dyDescent="0.25">
      <c r="A357" s="62">
        <v>46064</v>
      </c>
      <c r="B357">
        <v>2</v>
      </c>
      <c r="C357" t="s">
        <v>1166</v>
      </c>
      <c r="D357">
        <v>1044311</v>
      </c>
      <c r="E357" t="s">
        <v>1134</v>
      </c>
      <c r="F357" t="s">
        <v>1135</v>
      </c>
      <c r="G357" t="s">
        <v>1136</v>
      </c>
      <c r="H357" t="s">
        <v>1137</v>
      </c>
      <c r="I357" s="63">
        <v>46023</v>
      </c>
      <c r="J357" t="s">
        <v>239</v>
      </c>
      <c r="K357" t="s">
        <v>1142</v>
      </c>
      <c r="L357" s="64">
        <v>29986834.140000001</v>
      </c>
      <c r="N357" s="64">
        <v>29986834.140000001</v>
      </c>
      <c r="O357" s="64">
        <v>5058963137.7482643</v>
      </c>
    </row>
    <row r="358" spans="1:15" x14ac:dyDescent="0.25">
      <c r="A358" s="58">
        <v>46064</v>
      </c>
      <c r="B358" s="59">
        <v>2</v>
      </c>
      <c r="C358" s="59" t="s">
        <v>1166</v>
      </c>
      <c r="D358" s="59">
        <v>1044321</v>
      </c>
      <c r="E358" s="59" t="s">
        <v>1134</v>
      </c>
      <c r="F358" s="59" t="s">
        <v>1135</v>
      </c>
      <c r="G358" s="59" t="s">
        <v>1136</v>
      </c>
      <c r="H358" s="59" t="s">
        <v>1143</v>
      </c>
      <c r="I358" s="60">
        <v>46023</v>
      </c>
      <c r="J358" s="59" t="s">
        <v>239</v>
      </c>
      <c r="K358" s="59" t="s">
        <v>1142</v>
      </c>
      <c r="L358" s="61">
        <v>13704438</v>
      </c>
      <c r="M358" s="59"/>
      <c r="N358" s="61">
        <v>13704438</v>
      </c>
      <c r="O358" s="61">
        <v>5072667575.7482643</v>
      </c>
    </row>
    <row r="359" spans="1:15" x14ac:dyDescent="0.25">
      <c r="A359" s="62">
        <v>46064</v>
      </c>
      <c r="B359">
        <v>2</v>
      </c>
      <c r="C359" t="s">
        <v>1166</v>
      </c>
      <c r="D359">
        <v>1044351</v>
      </c>
      <c r="E359" t="s">
        <v>1134</v>
      </c>
      <c r="F359" t="s">
        <v>1135</v>
      </c>
      <c r="G359" t="s">
        <v>1136</v>
      </c>
      <c r="H359" t="s">
        <v>1157</v>
      </c>
      <c r="I359" s="63">
        <v>46023</v>
      </c>
      <c r="J359" t="s">
        <v>239</v>
      </c>
      <c r="K359" t="s">
        <v>1142</v>
      </c>
      <c r="L359" s="64">
        <v>5205048.2063999996</v>
      </c>
      <c r="N359" s="64">
        <v>5205048.2063999996</v>
      </c>
      <c r="O359" s="64">
        <v>5077872623.9546642</v>
      </c>
    </row>
    <row r="360" spans="1:15" x14ac:dyDescent="0.25">
      <c r="A360" s="58">
        <v>46064</v>
      </c>
      <c r="B360" s="59">
        <v>2</v>
      </c>
      <c r="C360" s="59" t="s">
        <v>1166</v>
      </c>
      <c r="D360" s="59">
        <v>1044361</v>
      </c>
      <c r="E360" s="59" t="s">
        <v>1134</v>
      </c>
      <c r="F360" s="59" t="s">
        <v>1135</v>
      </c>
      <c r="G360" s="59" t="s">
        <v>1136</v>
      </c>
      <c r="H360" s="59" t="s">
        <v>1158</v>
      </c>
      <c r="I360" s="60">
        <v>46023</v>
      </c>
      <c r="J360" s="59" t="s">
        <v>239</v>
      </c>
      <c r="K360" s="59" t="s">
        <v>1142</v>
      </c>
      <c r="L360" s="61">
        <v>2493852.7680000002</v>
      </c>
      <c r="M360" s="59"/>
      <c r="N360" s="61">
        <v>2493852.7680000002</v>
      </c>
      <c r="O360" s="61">
        <v>5080366476.7226639</v>
      </c>
    </row>
    <row r="361" spans="1:15" x14ac:dyDescent="0.25">
      <c r="A361" s="62">
        <v>46064</v>
      </c>
      <c r="B361">
        <v>2</v>
      </c>
      <c r="C361" t="s">
        <v>1166</v>
      </c>
      <c r="D361">
        <v>1044371</v>
      </c>
      <c r="E361" t="s">
        <v>1134</v>
      </c>
      <c r="F361" t="s">
        <v>1135</v>
      </c>
      <c r="G361" t="s">
        <v>1136</v>
      </c>
      <c r="H361" t="s">
        <v>1141</v>
      </c>
      <c r="I361" s="63">
        <v>46023</v>
      </c>
      <c r="J361" t="s">
        <v>239</v>
      </c>
      <c r="K361" t="s">
        <v>1142</v>
      </c>
      <c r="L361" s="64">
        <v>15921690.582</v>
      </c>
      <c r="N361" s="64">
        <v>15921690.582</v>
      </c>
      <c r="O361" s="64">
        <v>5096288167.3046637</v>
      </c>
    </row>
    <row r="362" spans="1:15" x14ac:dyDescent="0.25">
      <c r="A362" s="58">
        <v>46064</v>
      </c>
      <c r="B362" s="59">
        <v>2</v>
      </c>
      <c r="C362" s="59" t="s">
        <v>1166</v>
      </c>
      <c r="D362" s="59">
        <v>1044381</v>
      </c>
      <c r="E362" s="59" t="s">
        <v>1134</v>
      </c>
      <c r="F362" s="59" t="s">
        <v>1135</v>
      </c>
      <c r="G362" s="59" t="s">
        <v>1136</v>
      </c>
      <c r="H362" s="59" t="s">
        <v>1163</v>
      </c>
      <c r="I362" s="60">
        <v>46023</v>
      </c>
      <c r="J362" s="59" t="s">
        <v>239</v>
      </c>
      <c r="K362" s="59" t="s">
        <v>1142</v>
      </c>
      <c r="L362" s="61">
        <v>11064851.525</v>
      </c>
      <c r="M362" s="59"/>
      <c r="N362" s="61">
        <v>11064851.525</v>
      </c>
      <c r="O362" s="61">
        <v>5107353018.8296633</v>
      </c>
    </row>
    <row r="363" spans="1:15" x14ac:dyDescent="0.25">
      <c r="A363" s="62">
        <v>46064</v>
      </c>
      <c r="B363">
        <v>2</v>
      </c>
      <c r="C363" t="s">
        <v>1166</v>
      </c>
      <c r="D363">
        <v>1044391</v>
      </c>
      <c r="E363" t="s">
        <v>1134</v>
      </c>
      <c r="F363" t="s">
        <v>1135</v>
      </c>
      <c r="G363" t="s">
        <v>1136</v>
      </c>
      <c r="H363" t="s">
        <v>1164</v>
      </c>
      <c r="I363" s="63">
        <v>46023</v>
      </c>
      <c r="J363" t="s">
        <v>239</v>
      </c>
      <c r="K363" t="s">
        <v>1142</v>
      </c>
      <c r="L363" s="64">
        <v>5568865.75</v>
      </c>
      <c r="N363" s="64">
        <v>5568865.75</v>
      </c>
      <c r="O363" s="64">
        <v>5112921884.5796633</v>
      </c>
    </row>
    <row r="364" spans="1:15" x14ac:dyDescent="0.25">
      <c r="A364" s="58">
        <v>46064</v>
      </c>
      <c r="B364" s="59">
        <v>2</v>
      </c>
      <c r="C364" s="59" t="s">
        <v>1166</v>
      </c>
      <c r="D364" s="59">
        <v>1044401</v>
      </c>
      <c r="E364" s="59" t="s">
        <v>1134</v>
      </c>
      <c r="F364" s="59" t="s">
        <v>1135</v>
      </c>
      <c r="G364" s="59" t="s">
        <v>1136</v>
      </c>
      <c r="H364" s="59" t="s">
        <v>1159</v>
      </c>
      <c r="I364" s="60">
        <v>46023</v>
      </c>
      <c r="J364" s="59" t="s">
        <v>239</v>
      </c>
      <c r="K364" s="59" t="s">
        <v>1142</v>
      </c>
      <c r="L364" s="61">
        <v>13021738.42</v>
      </c>
      <c r="M364" s="59"/>
      <c r="N364" s="61">
        <v>13021738.42</v>
      </c>
      <c r="O364" s="61">
        <v>5125943622.9996634</v>
      </c>
    </row>
    <row r="365" spans="1:15" x14ac:dyDescent="0.25">
      <c r="A365" s="62">
        <v>46064</v>
      </c>
      <c r="B365">
        <v>2</v>
      </c>
      <c r="C365" t="s">
        <v>1166</v>
      </c>
      <c r="D365">
        <v>1044411</v>
      </c>
      <c r="E365" t="s">
        <v>1134</v>
      </c>
      <c r="F365" t="s">
        <v>1135</v>
      </c>
      <c r="G365" t="s">
        <v>1136</v>
      </c>
      <c r="H365" t="s">
        <v>1160</v>
      </c>
      <c r="I365" s="63">
        <v>46023</v>
      </c>
      <c r="J365" t="s">
        <v>239</v>
      </c>
      <c r="K365" t="s">
        <v>1142</v>
      </c>
      <c r="L365" s="64">
        <v>7601466.5</v>
      </c>
      <c r="N365" s="64">
        <v>7601466.5</v>
      </c>
      <c r="O365" s="64">
        <v>5133545089.4996634</v>
      </c>
    </row>
    <row r="366" spans="1:15" x14ac:dyDescent="0.25">
      <c r="A366" s="58">
        <v>46064</v>
      </c>
      <c r="B366" s="59">
        <v>2</v>
      </c>
      <c r="C366" s="59" t="s">
        <v>1166</v>
      </c>
      <c r="D366" s="59">
        <v>1044421</v>
      </c>
      <c r="E366" s="59" t="s">
        <v>1134</v>
      </c>
      <c r="F366" s="59" t="s">
        <v>1135</v>
      </c>
      <c r="G366" s="59" t="s">
        <v>1136</v>
      </c>
      <c r="H366" s="59" t="s">
        <v>1165</v>
      </c>
      <c r="I366" s="60">
        <v>46023</v>
      </c>
      <c r="J366" s="59" t="s">
        <v>239</v>
      </c>
      <c r="K366" s="59" t="s">
        <v>1142</v>
      </c>
      <c r="L366" s="61">
        <v>33170552.09028</v>
      </c>
      <c r="M366" s="59"/>
      <c r="N366" s="61">
        <v>33170552.09028</v>
      </c>
      <c r="O366" s="61">
        <v>5166715641.5899429</v>
      </c>
    </row>
    <row r="367" spans="1:15" x14ac:dyDescent="0.25">
      <c r="A367" s="62">
        <v>46065</v>
      </c>
      <c r="B367">
        <v>2</v>
      </c>
      <c r="C367" t="s">
        <v>1171</v>
      </c>
      <c r="D367">
        <v>2044463</v>
      </c>
      <c r="E367" t="s">
        <v>1167</v>
      </c>
      <c r="F367" t="s">
        <v>1135</v>
      </c>
      <c r="G367" t="s">
        <v>1136</v>
      </c>
      <c r="H367" t="s">
        <v>1140</v>
      </c>
      <c r="I367" s="63">
        <v>46023</v>
      </c>
      <c r="J367" t="s">
        <v>241</v>
      </c>
      <c r="K367" t="s">
        <v>1146</v>
      </c>
      <c r="M367" s="64">
        <v>2718494.9</v>
      </c>
      <c r="N367" s="64">
        <v>-2718494.9</v>
      </c>
      <c r="O367" s="64">
        <v>5555970758.9709444</v>
      </c>
    </row>
    <row r="368" spans="1:15" x14ac:dyDescent="0.25">
      <c r="A368" s="58">
        <v>46065</v>
      </c>
      <c r="B368" s="59">
        <v>2</v>
      </c>
      <c r="C368" s="59" t="s">
        <v>1171</v>
      </c>
      <c r="D368" s="59">
        <v>2014362</v>
      </c>
      <c r="E368" s="59" t="s">
        <v>1167</v>
      </c>
      <c r="F368" s="59" t="s">
        <v>1174</v>
      </c>
      <c r="G368" s="59" t="s">
        <v>1136</v>
      </c>
      <c r="H368" s="59" t="s">
        <v>1158</v>
      </c>
      <c r="I368" s="60">
        <v>46023</v>
      </c>
      <c r="J368" s="59" t="s">
        <v>242</v>
      </c>
      <c r="K368" s="59" t="s">
        <v>1138</v>
      </c>
      <c r="L368" s="59"/>
      <c r="M368" s="61">
        <v>5424347.21</v>
      </c>
      <c r="N368" s="61">
        <v>-5424347.21</v>
      </c>
      <c r="O368" s="61">
        <v>5550546411.7609444</v>
      </c>
    </row>
    <row r="369" spans="1:15" x14ac:dyDescent="0.25">
      <c r="A369" s="62">
        <v>46065</v>
      </c>
      <c r="B369">
        <v>2</v>
      </c>
      <c r="C369" t="s">
        <v>1171</v>
      </c>
      <c r="D369">
        <v>2014364</v>
      </c>
      <c r="E369" t="s">
        <v>1167</v>
      </c>
      <c r="F369" t="s">
        <v>1174</v>
      </c>
      <c r="G369" t="s">
        <v>1136</v>
      </c>
      <c r="H369" t="s">
        <v>1158</v>
      </c>
      <c r="I369" s="63">
        <v>46023</v>
      </c>
      <c r="J369" t="s">
        <v>243</v>
      </c>
      <c r="K369" t="s">
        <v>1148</v>
      </c>
      <c r="M369" s="64">
        <v>35738286.310000002</v>
      </c>
      <c r="N369" s="64">
        <v>-35738286.310000002</v>
      </c>
      <c r="O369" s="64">
        <v>5514808125.4509439</v>
      </c>
    </row>
    <row r="370" spans="1:15" x14ac:dyDescent="0.25">
      <c r="A370" s="58">
        <v>46065</v>
      </c>
      <c r="B370" s="59">
        <v>2</v>
      </c>
      <c r="C370" s="59" t="s">
        <v>1171</v>
      </c>
      <c r="D370" s="59">
        <v>2044342</v>
      </c>
      <c r="E370" s="59" t="s">
        <v>1167</v>
      </c>
      <c r="F370" s="59" t="s">
        <v>1135</v>
      </c>
      <c r="G370" s="59" t="s">
        <v>1136</v>
      </c>
      <c r="H370" s="59" t="s">
        <v>1156</v>
      </c>
      <c r="I370" s="60">
        <v>46023</v>
      </c>
      <c r="J370" s="59" t="s">
        <v>244</v>
      </c>
      <c r="K370" s="59" t="s">
        <v>1138</v>
      </c>
      <c r="L370" s="59"/>
      <c r="M370" s="61">
        <v>19264815</v>
      </c>
      <c r="N370" s="61">
        <v>-19264815</v>
      </c>
      <c r="O370" s="61">
        <v>5495543310.4509439</v>
      </c>
    </row>
    <row r="371" spans="1:15" x14ac:dyDescent="0.25">
      <c r="A371" s="62">
        <v>46065</v>
      </c>
      <c r="B371">
        <v>2</v>
      </c>
      <c r="C371" t="s">
        <v>1171</v>
      </c>
      <c r="D371">
        <v>2014174</v>
      </c>
      <c r="E371" t="s">
        <v>1167</v>
      </c>
      <c r="F371" t="s">
        <v>1174</v>
      </c>
      <c r="G371" t="s">
        <v>1136</v>
      </c>
      <c r="H371" t="s">
        <v>1147</v>
      </c>
      <c r="I371" s="63">
        <v>46023</v>
      </c>
      <c r="J371" t="s">
        <v>245</v>
      </c>
      <c r="K371" t="s">
        <v>1148</v>
      </c>
      <c r="M371" s="64">
        <v>20588934</v>
      </c>
      <c r="N371" s="64">
        <v>-20588934</v>
      </c>
      <c r="O371" s="64">
        <v>5474954376.4509439</v>
      </c>
    </row>
    <row r="372" spans="1:15" x14ac:dyDescent="0.25">
      <c r="A372" s="58">
        <v>46065</v>
      </c>
      <c r="B372" s="59">
        <v>2</v>
      </c>
      <c r="C372" s="59" t="s">
        <v>1171</v>
      </c>
      <c r="D372" s="59">
        <v>2014162</v>
      </c>
      <c r="E372" s="59" t="s">
        <v>1167</v>
      </c>
      <c r="F372" s="59" t="s">
        <v>1174</v>
      </c>
      <c r="G372" s="59" t="s">
        <v>1136</v>
      </c>
      <c r="H372" s="59" t="s">
        <v>1162</v>
      </c>
      <c r="I372" s="60">
        <v>46023</v>
      </c>
      <c r="J372" s="59" t="s">
        <v>246</v>
      </c>
      <c r="K372" s="59" t="s">
        <v>1138</v>
      </c>
      <c r="L372" s="59"/>
      <c r="M372" s="61">
        <v>1235711.31</v>
      </c>
      <c r="N372" s="61">
        <v>-1235711.31</v>
      </c>
      <c r="O372" s="61">
        <v>5473718665.1409435</v>
      </c>
    </row>
    <row r="373" spans="1:15" x14ac:dyDescent="0.25">
      <c r="A373" s="62">
        <v>46065</v>
      </c>
      <c r="B373">
        <v>2</v>
      </c>
      <c r="C373" t="s">
        <v>1171</v>
      </c>
      <c r="D373">
        <v>2014167</v>
      </c>
      <c r="E373" t="s">
        <v>1167</v>
      </c>
      <c r="F373" t="s">
        <v>1174</v>
      </c>
      <c r="G373" t="s">
        <v>1136</v>
      </c>
      <c r="H373" t="s">
        <v>1162</v>
      </c>
      <c r="I373" s="63">
        <v>46023</v>
      </c>
      <c r="J373" t="s">
        <v>246</v>
      </c>
      <c r="K373" t="s">
        <v>1170</v>
      </c>
      <c r="M373" s="64">
        <v>122452.5</v>
      </c>
      <c r="N373" s="64">
        <v>-122452.5</v>
      </c>
      <c r="O373" s="64">
        <v>5473596212.6409435</v>
      </c>
    </row>
    <row r="374" spans="1:15" x14ac:dyDescent="0.25">
      <c r="A374" s="58">
        <v>46065</v>
      </c>
      <c r="B374" s="59">
        <v>2</v>
      </c>
      <c r="C374" s="59" t="s">
        <v>1171</v>
      </c>
      <c r="D374" s="59">
        <v>2014165</v>
      </c>
      <c r="E374" s="59" t="s">
        <v>1167</v>
      </c>
      <c r="F374" s="59" t="s">
        <v>1174</v>
      </c>
      <c r="G374" s="59" t="s">
        <v>1136</v>
      </c>
      <c r="H374" s="59" t="s">
        <v>1162</v>
      </c>
      <c r="I374" s="60">
        <v>46023</v>
      </c>
      <c r="J374" s="59" t="s">
        <v>247</v>
      </c>
      <c r="K374" s="59" t="s">
        <v>1172</v>
      </c>
      <c r="L374" s="59"/>
      <c r="M374" s="61">
        <v>925571.32</v>
      </c>
      <c r="N374" s="61">
        <v>-925571.32</v>
      </c>
      <c r="O374" s="61">
        <v>5472670641.3209438</v>
      </c>
    </row>
    <row r="375" spans="1:15" x14ac:dyDescent="0.25">
      <c r="A375" s="62">
        <v>46065</v>
      </c>
      <c r="B375">
        <v>2</v>
      </c>
      <c r="C375" t="s">
        <v>1171</v>
      </c>
      <c r="D375">
        <v>2044404</v>
      </c>
      <c r="E375" t="s">
        <v>1167</v>
      </c>
      <c r="F375" t="s">
        <v>1135</v>
      </c>
      <c r="G375" t="s">
        <v>1136</v>
      </c>
      <c r="H375" t="s">
        <v>1159</v>
      </c>
      <c r="I375" s="63">
        <v>46023</v>
      </c>
      <c r="J375" t="s">
        <v>248</v>
      </c>
      <c r="K375" t="s">
        <v>1148</v>
      </c>
      <c r="M375" s="64">
        <v>39109191.259999998</v>
      </c>
      <c r="N375" s="64">
        <v>-39109191.259999998</v>
      </c>
      <c r="O375" s="64">
        <v>5433561450.0609436</v>
      </c>
    </row>
    <row r="376" spans="1:15" x14ac:dyDescent="0.25">
      <c r="A376" s="58">
        <v>46065</v>
      </c>
      <c r="B376" s="59">
        <v>2</v>
      </c>
      <c r="C376" s="59" t="s">
        <v>1171</v>
      </c>
      <c r="D376" s="59">
        <v>2044406</v>
      </c>
      <c r="E376" s="59" t="s">
        <v>1167</v>
      </c>
      <c r="F376" s="59" t="s">
        <v>1135</v>
      </c>
      <c r="G376" s="59" t="s">
        <v>1136</v>
      </c>
      <c r="H376" s="59" t="s">
        <v>1159</v>
      </c>
      <c r="I376" s="60">
        <v>46023</v>
      </c>
      <c r="J376" s="59" t="s">
        <v>248</v>
      </c>
      <c r="K376" s="59" t="s">
        <v>1150</v>
      </c>
      <c r="L376" s="59"/>
      <c r="M376" s="61">
        <v>1026787.22</v>
      </c>
      <c r="N376" s="61">
        <v>-1026787.22</v>
      </c>
      <c r="O376" s="61">
        <v>5432534662.8409433</v>
      </c>
    </row>
    <row r="377" spans="1:15" x14ac:dyDescent="0.25">
      <c r="A377" s="62">
        <v>46065</v>
      </c>
      <c r="B377">
        <v>2</v>
      </c>
      <c r="C377" t="s">
        <v>1171</v>
      </c>
      <c r="D377">
        <v>2044404</v>
      </c>
      <c r="E377" t="s">
        <v>1167</v>
      </c>
      <c r="F377" t="s">
        <v>1135</v>
      </c>
      <c r="G377" t="s">
        <v>1136</v>
      </c>
      <c r="H377" t="s">
        <v>1159</v>
      </c>
      <c r="I377" s="63">
        <v>46023</v>
      </c>
      <c r="J377" t="s">
        <v>248</v>
      </c>
      <c r="K377" t="s">
        <v>1148</v>
      </c>
      <c r="M377" s="64">
        <v>19383469.379999999</v>
      </c>
      <c r="N377" s="64">
        <v>-19383469.379999999</v>
      </c>
      <c r="O377" s="64">
        <v>5413151193.4609432</v>
      </c>
    </row>
    <row r="378" spans="1:15" x14ac:dyDescent="0.25">
      <c r="A378" s="58">
        <v>46065</v>
      </c>
      <c r="B378" s="59">
        <v>2</v>
      </c>
      <c r="C378" s="59" t="s">
        <v>1171</v>
      </c>
      <c r="D378" s="59">
        <v>2044405</v>
      </c>
      <c r="E378" s="59" t="s">
        <v>1167</v>
      </c>
      <c r="F378" s="59" t="s">
        <v>1135</v>
      </c>
      <c r="G378" s="59" t="s">
        <v>1136</v>
      </c>
      <c r="H378" s="59" t="s">
        <v>1159</v>
      </c>
      <c r="I378" s="60">
        <v>46023</v>
      </c>
      <c r="J378" s="59" t="s">
        <v>249</v>
      </c>
      <c r="K378" s="59" t="s">
        <v>1172</v>
      </c>
      <c r="L378" s="59"/>
      <c r="M378" s="61">
        <v>174142.34</v>
      </c>
      <c r="N378" s="61">
        <v>-174142.34</v>
      </c>
      <c r="O378" s="61">
        <v>5412977051.1209431</v>
      </c>
    </row>
    <row r="379" spans="1:15" x14ac:dyDescent="0.25">
      <c r="A379" s="62">
        <v>46066</v>
      </c>
      <c r="B379">
        <v>2</v>
      </c>
      <c r="C379" t="s">
        <v>1133</v>
      </c>
      <c r="D379">
        <v>2014363</v>
      </c>
      <c r="E379" t="s">
        <v>1167</v>
      </c>
      <c r="F379" t="s">
        <v>1174</v>
      </c>
      <c r="G379" t="s">
        <v>1136</v>
      </c>
      <c r="H379" t="s">
        <v>1158</v>
      </c>
      <c r="I379" s="63">
        <v>46023</v>
      </c>
      <c r="J379" t="s">
        <v>250</v>
      </c>
      <c r="K379" t="s">
        <v>1146</v>
      </c>
      <c r="M379" s="64">
        <v>19403744.609999999</v>
      </c>
      <c r="N379" s="64">
        <v>-19403744.609999999</v>
      </c>
      <c r="O379" s="64">
        <v>5393573306.5109434</v>
      </c>
    </row>
    <row r="380" spans="1:15" x14ac:dyDescent="0.25">
      <c r="A380" s="58">
        <v>46066</v>
      </c>
      <c r="B380" s="59">
        <v>2</v>
      </c>
      <c r="C380" s="59" t="s">
        <v>1133</v>
      </c>
      <c r="D380" s="59">
        <v>2014173</v>
      </c>
      <c r="E380" s="59" t="s">
        <v>1167</v>
      </c>
      <c r="F380" s="59" t="s">
        <v>1174</v>
      </c>
      <c r="G380" s="59" t="s">
        <v>1136</v>
      </c>
      <c r="H380" s="59" t="s">
        <v>1147</v>
      </c>
      <c r="I380" s="60">
        <v>46023</v>
      </c>
      <c r="J380" s="59" t="s">
        <v>251</v>
      </c>
      <c r="K380" s="59" t="s">
        <v>1146</v>
      </c>
      <c r="L380" s="59"/>
      <c r="M380" s="61">
        <v>8768599.3399999999</v>
      </c>
      <c r="N380" s="61">
        <v>-8768599.3399999999</v>
      </c>
      <c r="O380" s="61">
        <v>5384804707.1709433</v>
      </c>
    </row>
    <row r="381" spans="1:15" x14ac:dyDescent="0.25">
      <c r="A381" s="62">
        <v>46066</v>
      </c>
      <c r="B381">
        <v>2</v>
      </c>
      <c r="C381" t="s">
        <v>1133</v>
      </c>
      <c r="D381">
        <v>2014163</v>
      </c>
      <c r="E381" t="s">
        <v>1167</v>
      </c>
      <c r="F381" t="s">
        <v>1174</v>
      </c>
      <c r="G381" t="s">
        <v>1136</v>
      </c>
      <c r="H381" t="s">
        <v>1162</v>
      </c>
      <c r="I381" s="63">
        <v>46023</v>
      </c>
      <c r="J381" t="s">
        <v>252</v>
      </c>
      <c r="K381" t="s">
        <v>1146</v>
      </c>
      <c r="M381" s="64">
        <v>48069568.829999998</v>
      </c>
      <c r="N381" s="64">
        <v>-48069568.829999998</v>
      </c>
      <c r="O381" s="64">
        <v>5336735138.3409433</v>
      </c>
    </row>
    <row r="382" spans="1:15" x14ac:dyDescent="0.25">
      <c r="A382" s="58">
        <v>46066</v>
      </c>
      <c r="B382" s="59">
        <v>2</v>
      </c>
      <c r="C382" s="59" t="s">
        <v>1133</v>
      </c>
      <c r="D382" s="59">
        <v>2014353</v>
      </c>
      <c r="E382" s="59" t="s">
        <v>1167</v>
      </c>
      <c r="F382" s="59" t="s">
        <v>1174</v>
      </c>
      <c r="G382" s="59" t="s">
        <v>1136</v>
      </c>
      <c r="H382" s="59" t="s">
        <v>1157</v>
      </c>
      <c r="I382" s="60">
        <v>46023</v>
      </c>
      <c r="J382" s="59" t="s">
        <v>253</v>
      </c>
      <c r="K382" s="59" t="s">
        <v>1146</v>
      </c>
      <c r="L382" s="59"/>
      <c r="M382" s="61">
        <v>5490664.6399999997</v>
      </c>
      <c r="N382" s="61">
        <v>-5490664.6399999997</v>
      </c>
      <c r="O382" s="61">
        <v>5331244473.700943</v>
      </c>
    </row>
    <row r="383" spans="1:15" x14ac:dyDescent="0.25">
      <c r="A383" s="62">
        <v>46066</v>
      </c>
      <c r="B383">
        <v>2</v>
      </c>
      <c r="C383" t="s">
        <v>1133</v>
      </c>
      <c r="D383">
        <v>2044402</v>
      </c>
      <c r="E383" t="s">
        <v>1167</v>
      </c>
      <c r="F383" t="s">
        <v>1135</v>
      </c>
      <c r="G383" t="s">
        <v>1136</v>
      </c>
      <c r="H383" t="s">
        <v>1159</v>
      </c>
      <c r="I383" s="63">
        <v>46023</v>
      </c>
      <c r="J383" t="s">
        <v>253</v>
      </c>
      <c r="K383" t="s">
        <v>1138</v>
      </c>
      <c r="M383" s="64">
        <v>28506395.684500009</v>
      </c>
      <c r="N383" s="64">
        <v>-28506395.684500009</v>
      </c>
      <c r="O383" s="64">
        <v>5302738078.0164433</v>
      </c>
    </row>
    <row r="384" spans="1:15" x14ac:dyDescent="0.25">
      <c r="A384" s="58">
        <v>46066</v>
      </c>
      <c r="B384" s="59">
        <v>2</v>
      </c>
      <c r="C384" s="59" t="s">
        <v>1133</v>
      </c>
      <c r="D384" s="59">
        <v>2044403</v>
      </c>
      <c r="E384" s="59" t="s">
        <v>1167</v>
      </c>
      <c r="F384" s="59" t="s">
        <v>1135</v>
      </c>
      <c r="G384" s="59" t="s">
        <v>1136</v>
      </c>
      <c r="H384" s="59" t="s">
        <v>1159</v>
      </c>
      <c r="I384" s="60">
        <v>46023</v>
      </c>
      <c r="J384" s="59" t="s">
        <v>254</v>
      </c>
      <c r="K384" s="59" t="s">
        <v>1146</v>
      </c>
      <c r="L384" s="59"/>
      <c r="M384" s="61">
        <v>17142245.010000002</v>
      </c>
      <c r="N384" s="61">
        <v>-17142245.010000002</v>
      </c>
      <c r="O384" s="61">
        <v>5285595833.006443</v>
      </c>
    </row>
    <row r="385" spans="1:15" x14ac:dyDescent="0.25">
      <c r="A385" s="62">
        <v>46071</v>
      </c>
      <c r="B385">
        <v>2</v>
      </c>
      <c r="C385" t="s">
        <v>1166</v>
      </c>
      <c r="D385">
        <v>2014361</v>
      </c>
      <c r="E385" t="s">
        <v>1167</v>
      </c>
      <c r="F385" t="s">
        <v>1174</v>
      </c>
      <c r="G385" t="s">
        <v>1136</v>
      </c>
      <c r="H385" t="s">
        <v>1158</v>
      </c>
      <c r="I385" s="63">
        <v>46023</v>
      </c>
      <c r="J385" t="s">
        <v>257</v>
      </c>
      <c r="K385" t="s">
        <v>1142</v>
      </c>
      <c r="M385" s="64">
        <v>13694804.57</v>
      </c>
      <c r="N385" s="64">
        <v>-13694804.57</v>
      </c>
      <c r="O385" s="64">
        <v>5249212728.1664429</v>
      </c>
    </row>
    <row r="386" spans="1:15" x14ac:dyDescent="0.25">
      <c r="A386" s="58">
        <v>46071</v>
      </c>
      <c r="B386" s="59">
        <v>2</v>
      </c>
      <c r="C386" s="59" t="s">
        <v>1166</v>
      </c>
      <c r="D386" s="59">
        <v>2014171</v>
      </c>
      <c r="E386" s="59" t="s">
        <v>1167</v>
      </c>
      <c r="F386" s="59" t="s">
        <v>1174</v>
      </c>
      <c r="G386" s="59" t="s">
        <v>1136</v>
      </c>
      <c r="H386" s="59" t="s">
        <v>1147</v>
      </c>
      <c r="I386" s="60">
        <v>46023</v>
      </c>
      <c r="J386" s="59" t="s">
        <v>258</v>
      </c>
      <c r="K386" s="59" t="s">
        <v>1142</v>
      </c>
      <c r="L386" s="59"/>
      <c r="M386" s="61">
        <v>17298637.190000001</v>
      </c>
      <c r="N386" s="61">
        <v>-17298637.190000001</v>
      </c>
      <c r="O386" s="61">
        <v>5231914090.9764433</v>
      </c>
    </row>
    <row r="387" spans="1:15" x14ac:dyDescent="0.25">
      <c r="A387" s="62">
        <v>46071</v>
      </c>
      <c r="B387">
        <v>2</v>
      </c>
      <c r="C387" t="s">
        <v>1166</v>
      </c>
      <c r="D387">
        <v>2014161</v>
      </c>
      <c r="E387" t="s">
        <v>1167</v>
      </c>
      <c r="F387" t="s">
        <v>1174</v>
      </c>
      <c r="G387" t="s">
        <v>1136</v>
      </c>
      <c r="H387" t="s">
        <v>1162</v>
      </c>
      <c r="I387" s="63">
        <v>46023</v>
      </c>
      <c r="J387" t="s">
        <v>259</v>
      </c>
      <c r="K387" t="s">
        <v>1142</v>
      </c>
      <c r="M387" s="64">
        <v>37703179.670000002</v>
      </c>
      <c r="N387" s="64">
        <v>-37703179.670000002</v>
      </c>
      <c r="O387" s="64">
        <v>5194210911.3064432</v>
      </c>
    </row>
    <row r="388" spans="1:15" x14ac:dyDescent="0.25">
      <c r="A388" s="58">
        <v>46071</v>
      </c>
      <c r="B388" s="59">
        <v>2</v>
      </c>
      <c r="C388" s="59" t="s">
        <v>1166</v>
      </c>
      <c r="D388" s="59">
        <v>2014263</v>
      </c>
      <c r="E388" s="59" t="s">
        <v>1167</v>
      </c>
      <c r="F388" s="59" t="s">
        <v>1174</v>
      </c>
      <c r="G388" s="59" t="s">
        <v>1136</v>
      </c>
      <c r="H388" s="59" t="s">
        <v>1145</v>
      </c>
      <c r="I388" s="60">
        <v>46023</v>
      </c>
      <c r="J388" s="59" t="s">
        <v>260</v>
      </c>
      <c r="K388" s="59" t="s">
        <v>1146</v>
      </c>
      <c r="L388" s="59"/>
      <c r="M388" s="61">
        <v>5896701.8300000001</v>
      </c>
      <c r="N388" s="61">
        <v>-5896701.8300000001</v>
      </c>
      <c r="O388" s="61">
        <v>5188314209.4764433</v>
      </c>
    </row>
    <row r="389" spans="1:15" x14ac:dyDescent="0.25">
      <c r="A389" s="62">
        <v>46071</v>
      </c>
      <c r="B389">
        <v>2</v>
      </c>
      <c r="C389" t="s">
        <v>1166</v>
      </c>
      <c r="D389">
        <v>2044401</v>
      </c>
      <c r="E389" t="s">
        <v>1167</v>
      </c>
      <c r="F389" t="s">
        <v>1135</v>
      </c>
      <c r="G389" t="s">
        <v>1136</v>
      </c>
      <c r="H389" t="s">
        <v>1159</v>
      </c>
      <c r="I389" s="63">
        <v>46023</v>
      </c>
      <c r="J389" t="s">
        <v>261</v>
      </c>
      <c r="K389" t="s">
        <v>1142</v>
      </c>
      <c r="M389" s="64">
        <v>36219282.420000002</v>
      </c>
      <c r="N389" s="64">
        <v>-36219282.420000002</v>
      </c>
      <c r="O389" s="64">
        <v>5152094927.0564432</v>
      </c>
    </row>
    <row r="390" spans="1:15" x14ac:dyDescent="0.25">
      <c r="A390" s="58">
        <v>46071</v>
      </c>
      <c r="B390" s="59">
        <v>2</v>
      </c>
      <c r="C390" s="59" t="s">
        <v>1166</v>
      </c>
      <c r="D390" s="59">
        <v>2044465</v>
      </c>
      <c r="E390" s="59" t="s">
        <v>1167</v>
      </c>
      <c r="F390" s="59" t="s">
        <v>1135</v>
      </c>
      <c r="G390" s="59" t="s">
        <v>1136</v>
      </c>
      <c r="H390" s="59" t="s">
        <v>1140</v>
      </c>
      <c r="I390" s="60">
        <v>46023</v>
      </c>
      <c r="J390" s="59" t="s">
        <v>262</v>
      </c>
      <c r="K390" s="59" t="s">
        <v>1172</v>
      </c>
      <c r="L390" s="59"/>
      <c r="M390" s="61">
        <v>820795.29200000002</v>
      </c>
      <c r="N390" s="61">
        <v>-820795.29200000002</v>
      </c>
      <c r="O390" s="61">
        <v>5151274131.7644434</v>
      </c>
    </row>
    <row r="391" spans="1:15" x14ac:dyDescent="0.25">
      <c r="A391" s="62">
        <v>46071</v>
      </c>
      <c r="B391">
        <v>2</v>
      </c>
      <c r="C391" t="s">
        <v>1166</v>
      </c>
      <c r="D391">
        <v>2014352</v>
      </c>
      <c r="E391" t="s">
        <v>1167</v>
      </c>
      <c r="F391" t="s">
        <v>1174</v>
      </c>
      <c r="G391" t="s">
        <v>1136</v>
      </c>
      <c r="H391" t="s">
        <v>1157</v>
      </c>
      <c r="I391" s="63">
        <v>46023</v>
      </c>
      <c r="J391" t="s">
        <v>263</v>
      </c>
      <c r="K391" t="s">
        <v>1138</v>
      </c>
      <c r="M391" s="64">
        <v>6111429.0300000003</v>
      </c>
      <c r="N391" s="64">
        <v>-6111429.0300000003</v>
      </c>
      <c r="O391" s="64">
        <v>5145162702.7344437</v>
      </c>
    </row>
    <row r="392" spans="1:15" x14ac:dyDescent="0.25">
      <c r="A392" s="58">
        <v>46071</v>
      </c>
      <c r="B392" s="59">
        <v>2</v>
      </c>
      <c r="C392" s="59" t="s">
        <v>1166</v>
      </c>
      <c r="D392" s="59">
        <v>2014354</v>
      </c>
      <c r="E392" s="59" t="s">
        <v>1167</v>
      </c>
      <c r="F392" s="59" t="s">
        <v>1174</v>
      </c>
      <c r="G392" s="59" t="s">
        <v>1136</v>
      </c>
      <c r="H392" s="59" t="s">
        <v>1157</v>
      </c>
      <c r="I392" s="60">
        <v>46023</v>
      </c>
      <c r="J392" s="59" t="s">
        <v>264</v>
      </c>
      <c r="K392" s="59" t="s">
        <v>1148</v>
      </c>
      <c r="L392" s="59"/>
      <c r="M392" s="61">
        <v>6532744</v>
      </c>
      <c r="N392" s="61">
        <v>-6532744</v>
      </c>
      <c r="O392" s="61">
        <v>5138629958.7344437</v>
      </c>
    </row>
    <row r="393" spans="1:15" x14ac:dyDescent="0.25">
      <c r="A393" s="62">
        <v>46071</v>
      </c>
      <c r="B393">
        <v>2</v>
      </c>
      <c r="C393" t="s">
        <v>1166</v>
      </c>
      <c r="D393">
        <v>2014356</v>
      </c>
      <c r="E393" t="s">
        <v>1167</v>
      </c>
      <c r="F393" t="s">
        <v>1174</v>
      </c>
      <c r="G393" t="s">
        <v>1136</v>
      </c>
      <c r="H393" t="s">
        <v>1157</v>
      </c>
      <c r="I393" s="63">
        <v>46023</v>
      </c>
      <c r="J393" t="s">
        <v>264</v>
      </c>
      <c r="K393" t="s">
        <v>1150</v>
      </c>
      <c r="M393" s="64">
        <v>1643446.78</v>
      </c>
      <c r="N393" s="64">
        <v>-1643446.78</v>
      </c>
      <c r="O393" s="64">
        <v>5136986511.9544439</v>
      </c>
    </row>
    <row r="394" spans="1:15" x14ac:dyDescent="0.25">
      <c r="A394" s="58">
        <v>46071</v>
      </c>
      <c r="B394" s="59">
        <v>2</v>
      </c>
      <c r="C394" s="59" t="s">
        <v>1166</v>
      </c>
      <c r="D394" s="59">
        <v>1044212</v>
      </c>
      <c r="E394" s="59" t="s">
        <v>1134</v>
      </c>
      <c r="F394" s="59" t="s">
        <v>1135</v>
      </c>
      <c r="G394" s="59" t="s">
        <v>1136</v>
      </c>
      <c r="H394" s="59" t="s">
        <v>1151</v>
      </c>
      <c r="I394" s="60">
        <v>46023</v>
      </c>
      <c r="J394" s="59" t="s">
        <v>269</v>
      </c>
      <c r="K394" s="59" t="s">
        <v>1138</v>
      </c>
      <c r="L394" s="61">
        <v>11937798.960000001</v>
      </c>
      <c r="M394" s="59"/>
      <c r="N394" s="61">
        <v>11937798.960000001</v>
      </c>
      <c r="O394" s="61">
        <v>5293568347.5644445</v>
      </c>
    </row>
    <row r="395" spans="1:15" x14ac:dyDescent="0.25">
      <c r="A395" s="62">
        <v>46071</v>
      </c>
      <c r="B395">
        <v>2</v>
      </c>
      <c r="C395" t="s">
        <v>1166</v>
      </c>
      <c r="D395">
        <v>1044462</v>
      </c>
      <c r="E395" t="s">
        <v>1134</v>
      </c>
      <c r="F395" t="s">
        <v>1135</v>
      </c>
      <c r="G395" t="s">
        <v>1136</v>
      </c>
      <c r="H395" t="s">
        <v>1140</v>
      </c>
      <c r="I395" s="63">
        <v>46023</v>
      </c>
      <c r="J395" t="s">
        <v>269</v>
      </c>
      <c r="K395" t="s">
        <v>1138</v>
      </c>
      <c r="L395" s="64">
        <v>7961506.8799999999</v>
      </c>
      <c r="N395" s="64">
        <v>7961506.8799999999</v>
      </c>
      <c r="O395" s="64">
        <v>5301529854.4444447</v>
      </c>
    </row>
    <row r="396" spans="1:15" x14ac:dyDescent="0.25">
      <c r="A396" s="58">
        <v>46071</v>
      </c>
      <c r="B396" s="59">
        <v>2</v>
      </c>
      <c r="C396" s="59" t="s">
        <v>1166</v>
      </c>
      <c r="D396" s="59">
        <v>1044322</v>
      </c>
      <c r="E396" s="59" t="s">
        <v>1134</v>
      </c>
      <c r="F396" s="59" t="s">
        <v>1135</v>
      </c>
      <c r="G396" s="59" t="s">
        <v>1136</v>
      </c>
      <c r="H396" s="59" t="s">
        <v>1143</v>
      </c>
      <c r="I396" s="60">
        <v>46023</v>
      </c>
      <c r="J396" s="59" t="s">
        <v>269</v>
      </c>
      <c r="K396" s="59" t="s">
        <v>1138</v>
      </c>
      <c r="L396" s="61">
        <v>28154300</v>
      </c>
      <c r="M396" s="59"/>
      <c r="N396" s="61">
        <v>28154300</v>
      </c>
      <c r="O396" s="61">
        <v>5329684154.4444447</v>
      </c>
    </row>
    <row r="397" spans="1:15" x14ac:dyDescent="0.25">
      <c r="A397" s="62">
        <v>46071</v>
      </c>
      <c r="B397">
        <v>2</v>
      </c>
      <c r="C397" t="s">
        <v>1166</v>
      </c>
      <c r="D397">
        <v>1044162</v>
      </c>
      <c r="E397" t="s">
        <v>1134</v>
      </c>
      <c r="F397" t="s">
        <v>1135</v>
      </c>
      <c r="G397" t="s">
        <v>1136</v>
      </c>
      <c r="H397" t="s">
        <v>1162</v>
      </c>
      <c r="I397" s="63">
        <v>46023</v>
      </c>
      <c r="J397" t="s">
        <v>269</v>
      </c>
      <c r="K397" t="s">
        <v>1138</v>
      </c>
      <c r="L397" s="64">
        <v>1235711.31</v>
      </c>
      <c r="N397" s="64">
        <v>1235711.31</v>
      </c>
      <c r="O397" s="64">
        <v>5330919865.7544451</v>
      </c>
    </row>
    <row r="398" spans="1:15" x14ac:dyDescent="0.25">
      <c r="A398" s="58">
        <v>46071</v>
      </c>
      <c r="B398" s="59">
        <v>2</v>
      </c>
      <c r="C398" s="59" t="s">
        <v>1166</v>
      </c>
      <c r="D398" s="59">
        <v>1044262</v>
      </c>
      <c r="E398" s="59" t="s">
        <v>1134</v>
      </c>
      <c r="F398" s="59" t="s">
        <v>1135</v>
      </c>
      <c r="G398" s="59" t="s">
        <v>1136</v>
      </c>
      <c r="H398" s="59" t="s">
        <v>1145</v>
      </c>
      <c r="I398" s="60">
        <v>46023</v>
      </c>
      <c r="J398" s="59" t="s">
        <v>269</v>
      </c>
      <c r="K398" s="59" t="s">
        <v>1138</v>
      </c>
      <c r="L398" s="61">
        <v>7862594.9400000004</v>
      </c>
      <c r="M398" s="59"/>
      <c r="N398" s="61">
        <v>7862594.9400000004</v>
      </c>
      <c r="O398" s="61">
        <v>5338782460.6944447</v>
      </c>
    </row>
    <row r="399" spans="1:15" x14ac:dyDescent="0.25">
      <c r="A399" s="62">
        <v>46071</v>
      </c>
      <c r="B399">
        <v>2</v>
      </c>
      <c r="C399" t="s">
        <v>1166</v>
      </c>
      <c r="D399">
        <v>1044272</v>
      </c>
      <c r="E399" t="s">
        <v>1134</v>
      </c>
      <c r="F399" t="s">
        <v>1135</v>
      </c>
      <c r="G399" t="s">
        <v>1136</v>
      </c>
      <c r="H399" t="s">
        <v>1154</v>
      </c>
      <c r="I399" s="63">
        <v>46023</v>
      </c>
      <c r="J399" t="s">
        <v>269</v>
      </c>
      <c r="K399" t="s">
        <v>1138</v>
      </c>
      <c r="L399" s="64">
        <v>2238372.35</v>
      </c>
      <c r="N399" s="64">
        <v>2238372.35</v>
      </c>
      <c r="O399" s="64">
        <v>5341020833.044445</v>
      </c>
    </row>
    <row r="400" spans="1:15" x14ac:dyDescent="0.25">
      <c r="A400" s="58">
        <v>46071</v>
      </c>
      <c r="B400" s="59">
        <v>2</v>
      </c>
      <c r="C400" s="59" t="s">
        <v>1166</v>
      </c>
      <c r="D400" s="59">
        <v>1044282</v>
      </c>
      <c r="E400" s="59" t="s">
        <v>1134</v>
      </c>
      <c r="F400" s="59" t="s">
        <v>1135</v>
      </c>
      <c r="G400" s="59" t="s">
        <v>1136</v>
      </c>
      <c r="H400" s="59" t="s">
        <v>1155</v>
      </c>
      <c r="I400" s="60">
        <v>46023</v>
      </c>
      <c r="J400" s="59" t="s">
        <v>269</v>
      </c>
      <c r="K400" s="59" t="s">
        <v>1138</v>
      </c>
      <c r="L400" s="61">
        <v>48265700</v>
      </c>
      <c r="M400" s="59"/>
      <c r="N400" s="61">
        <v>48265700</v>
      </c>
      <c r="O400" s="61">
        <v>5389286533.044445</v>
      </c>
    </row>
    <row r="401" spans="1:15" x14ac:dyDescent="0.25">
      <c r="A401" s="62">
        <v>46071</v>
      </c>
      <c r="B401">
        <v>2</v>
      </c>
      <c r="C401" t="s">
        <v>1166</v>
      </c>
      <c r="D401">
        <v>1044342</v>
      </c>
      <c r="E401" t="s">
        <v>1134</v>
      </c>
      <c r="F401" t="s">
        <v>1135</v>
      </c>
      <c r="G401" t="s">
        <v>1136</v>
      </c>
      <c r="H401" t="s">
        <v>1156</v>
      </c>
      <c r="I401" s="63">
        <v>46023</v>
      </c>
      <c r="J401" t="s">
        <v>269</v>
      </c>
      <c r="K401" t="s">
        <v>1138</v>
      </c>
      <c r="L401" s="64">
        <v>19264814.57</v>
      </c>
      <c r="N401" s="64">
        <v>19264814.57</v>
      </c>
      <c r="O401" s="64">
        <v>5408551347.6144447</v>
      </c>
    </row>
    <row r="402" spans="1:15" x14ac:dyDescent="0.25">
      <c r="A402" s="58">
        <v>46071</v>
      </c>
      <c r="B402" s="59">
        <v>2</v>
      </c>
      <c r="C402" s="59" t="s">
        <v>1166</v>
      </c>
      <c r="D402" s="59">
        <v>1044352</v>
      </c>
      <c r="E402" s="59" t="s">
        <v>1134</v>
      </c>
      <c r="F402" s="59" t="s">
        <v>1135</v>
      </c>
      <c r="G402" s="59" t="s">
        <v>1136</v>
      </c>
      <c r="H402" s="59" t="s">
        <v>1157</v>
      </c>
      <c r="I402" s="60">
        <v>46023</v>
      </c>
      <c r="J402" s="59" t="s">
        <v>269</v>
      </c>
      <c r="K402" s="59" t="s">
        <v>1138</v>
      </c>
      <c r="L402" s="61">
        <v>7129440.6299999999</v>
      </c>
      <c r="M402" s="59"/>
      <c r="N402" s="61">
        <v>7129440.6299999999</v>
      </c>
      <c r="O402" s="61">
        <v>5415680788.2444448</v>
      </c>
    </row>
    <row r="403" spans="1:15" x14ac:dyDescent="0.25">
      <c r="A403" s="62">
        <v>46071</v>
      </c>
      <c r="B403">
        <v>2</v>
      </c>
      <c r="C403" t="s">
        <v>1166</v>
      </c>
      <c r="D403">
        <v>1044362</v>
      </c>
      <c r="E403" t="s">
        <v>1134</v>
      </c>
      <c r="F403" t="s">
        <v>1135</v>
      </c>
      <c r="G403" t="s">
        <v>1136</v>
      </c>
      <c r="H403" t="s">
        <v>1158</v>
      </c>
      <c r="I403" s="63">
        <v>46023</v>
      </c>
      <c r="J403" t="s">
        <v>269</v>
      </c>
      <c r="K403" t="s">
        <v>1138</v>
      </c>
      <c r="L403" s="64">
        <v>5424347.21</v>
      </c>
      <c r="N403" s="64">
        <v>5424347.21</v>
      </c>
      <c r="O403" s="64">
        <v>5421105135.4544449</v>
      </c>
    </row>
    <row r="404" spans="1:15" x14ac:dyDescent="0.25">
      <c r="A404" s="58">
        <v>46071</v>
      </c>
      <c r="B404" s="59">
        <v>2</v>
      </c>
      <c r="C404" s="59" t="s">
        <v>1166</v>
      </c>
      <c r="D404" s="59">
        <v>1044372</v>
      </c>
      <c r="E404" s="59" t="s">
        <v>1134</v>
      </c>
      <c r="F404" s="59" t="s">
        <v>1135</v>
      </c>
      <c r="G404" s="59" t="s">
        <v>1136</v>
      </c>
      <c r="H404" s="59" t="s">
        <v>1141</v>
      </c>
      <c r="I404" s="60">
        <v>46023</v>
      </c>
      <c r="J404" s="59" t="s">
        <v>269</v>
      </c>
      <c r="K404" s="59" t="s">
        <v>1138</v>
      </c>
      <c r="L404" s="61">
        <v>39264013.100000001</v>
      </c>
      <c r="M404" s="59"/>
      <c r="N404" s="61">
        <v>39264013.100000001</v>
      </c>
      <c r="O404" s="61">
        <v>5460369148.5544453</v>
      </c>
    </row>
    <row r="405" spans="1:15" x14ac:dyDescent="0.25">
      <c r="A405" s="62">
        <v>46071</v>
      </c>
      <c r="B405">
        <v>2</v>
      </c>
      <c r="C405" t="s">
        <v>1166</v>
      </c>
      <c r="D405">
        <v>1044402</v>
      </c>
      <c r="E405" t="s">
        <v>1134</v>
      </c>
      <c r="F405" t="s">
        <v>1135</v>
      </c>
      <c r="G405" t="s">
        <v>1136</v>
      </c>
      <c r="H405" t="s">
        <v>1159</v>
      </c>
      <c r="I405" s="63">
        <v>46023</v>
      </c>
      <c r="J405" t="s">
        <v>269</v>
      </c>
      <c r="K405" t="s">
        <v>1138</v>
      </c>
      <c r="L405" s="64">
        <v>28506395.68</v>
      </c>
      <c r="N405" s="64">
        <v>28506395.68</v>
      </c>
      <c r="O405" s="64">
        <v>5488875544.2344456</v>
      </c>
    </row>
    <row r="406" spans="1:15" x14ac:dyDescent="0.25">
      <c r="A406" s="58">
        <v>46071</v>
      </c>
      <c r="B406" s="59">
        <v>2</v>
      </c>
      <c r="C406" s="59" t="s">
        <v>1166</v>
      </c>
      <c r="D406" s="59">
        <v>1044412</v>
      </c>
      <c r="E406" s="59" t="s">
        <v>1134</v>
      </c>
      <c r="F406" s="59" t="s">
        <v>1135</v>
      </c>
      <c r="G406" s="59" t="s">
        <v>1136</v>
      </c>
      <c r="H406" s="59" t="s">
        <v>1160</v>
      </c>
      <c r="I406" s="60">
        <v>46023</v>
      </c>
      <c r="J406" s="59" t="s">
        <v>269</v>
      </c>
      <c r="K406" s="59" t="s">
        <v>1138</v>
      </c>
      <c r="L406" s="61">
        <v>10986155.310000001</v>
      </c>
      <c r="M406" s="59"/>
      <c r="N406" s="61">
        <v>10986155.310000001</v>
      </c>
      <c r="O406" s="61">
        <v>5499861699.544446</v>
      </c>
    </row>
    <row r="407" spans="1:15" x14ac:dyDescent="0.25">
      <c r="A407" s="62">
        <v>46071</v>
      </c>
      <c r="B407">
        <v>2</v>
      </c>
      <c r="C407" t="s">
        <v>1166</v>
      </c>
      <c r="D407">
        <v>1044422</v>
      </c>
      <c r="E407" t="s">
        <v>1134</v>
      </c>
      <c r="F407" t="s">
        <v>1135</v>
      </c>
      <c r="G407" t="s">
        <v>1136</v>
      </c>
      <c r="H407" t="s">
        <v>1165</v>
      </c>
      <c r="I407" s="63">
        <v>46023</v>
      </c>
      <c r="J407" t="s">
        <v>269</v>
      </c>
      <c r="K407" t="s">
        <v>1138</v>
      </c>
      <c r="L407" s="64">
        <v>114608131.16</v>
      </c>
      <c r="N407" s="64">
        <v>114608131.16</v>
      </c>
      <c r="O407" s="64">
        <v>5614469830.7044458</v>
      </c>
    </row>
    <row r="408" spans="1:15" x14ac:dyDescent="0.25">
      <c r="A408" s="58">
        <v>46071</v>
      </c>
      <c r="B408" s="59">
        <v>2</v>
      </c>
      <c r="C408" s="59" t="s">
        <v>1166</v>
      </c>
      <c r="D408" s="59">
        <v>1044507</v>
      </c>
      <c r="E408" s="59" t="s">
        <v>1134</v>
      </c>
      <c r="F408" s="59" t="s">
        <v>1135</v>
      </c>
      <c r="G408" s="59" t="s">
        <v>1136</v>
      </c>
      <c r="H408" s="59" t="s">
        <v>1175</v>
      </c>
      <c r="I408" s="60">
        <v>45992</v>
      </c>
      <c r="J408" s="59" t="s">
        <v>274</v>
      </c>
      <c r="K408" s="59" t="s">
        <v>1170</v>
      </c>
      <c r="L408" s="61">
        <v>9590749.3400000054</v>
      </c>
      <c r="M408" s="59"/>
      <c r="N408" s="61">
        <v>9590749.3400000054</v>
      </c>
      <c r="O408" s="61">
        <v>6502103060.9912758</v>
      </c>
    </row>
    <row r="409" spans="1:15" x14ac:dyDescent="0.25">
      <c r="A409" s="62">
        <v>46071</v>
      </c>
      <c r="B409">
        <v>2</v>
      </c>
      <c r="C409" t="s">
        <v>1166</v>
      </c>
      <c r="D409">
        <v>1044167</v>
      </c>
      <c r="E409" t="s">
        <v>1134</v>
      </c>
      <c r="F409" t="s">
        <v>1135</v>
      </c>
      <c r="G409" t="s">
        <v>1136</v>
      </c>
      <c r="H409" t="s">
        <v>1162</v>
      </c>
      <c r="I409" s="63">
        <v>45992</v>
      </c>
      <c r="J409" t="s">
        <v>274</v>
      </c>
      <c r="K409" t="s">
        <v>1170</v>
      </c>
      <c r="L409" s="64">
        <v>195420.54</v>
      </c>
      <c r="N409" s="64">
        <v>195420.54</v>
      </c>
      <c r="O409" s="64">
        <v>6502309164.0312757</v>
      </c>
    </row>
    <row r="410" spans="1:15" x14ac:dyDescent="0.25">
      <c r="A410" s="58">
        <v>46071</v>
      </c>
      <c r="B410" s="59">
        <v>2</v>
      </c>
      <c r="C410" s="59" t="s">
        <v>1166</v>
      </c>
      <c r="D410" s="59">
        <v>1044197</v>
      </c>
      <c r="E410" s="59" t="s">
        <v>1134</v>
      </c>
      <c r="F410" s="59" t="s">
        <v>1135</v>
      </c>
      <c r="G410" s="59" t="s">
        <v>1136</v>
      </c>
      <c r="H410" s="59" t="s">
        <v>1149</v>
      </c>
      <c r="I410" s="60">
        <v>45992</v>
      </c>
      <c r="J410" s="59" t="s">
        <v>274</v>
      </c>
      <c r="K410" s="59" t="s">
        <v>1170</v>
      </c>
      <c r="L410" s="61">
        <v>581760</v>
      </c>
      <c r="M410" s="59"/>
      <c r="N410" s="61">
        <v>581760</v>
      </c>
      <c r="O410" s="61">
        <v>6503400202.8412762</v>
      </c>
    </row>
    <row r="411" spans="1:15" x14ac:dyDescent="0.25">
      <c r="A411" s="62">
        <v>46071</v>
      </c>
      <c r="B411">
        <v>2</v>
      </c>
      <c r="C411" t="s">
        <v>1166</v>
      </c>
      <c r="D411">
        <v>1044287</v>
      </c>
      <c r="E411" t="s">
        <v>1134</v>
      </c>
      <c r="F411" t="s">
        <v>1135</v>
      </c>
      <c r="G411" t="s">
        <v>1136</v>
      </c>
      <c r="H411" t="s">
        <v>1155</v>
      </c>
      <c r="I411" s="63">
        <v>45992</v>
      </c>
      <c r="J411" t="s">
        <v>274</v>
      </c>
      <c r="K411" t="s">
        <v>1170</v>
      </c>
      <c r="L411" s="64">
        <v>1500</v>
      </c>
      <c r="N411" s="64">
        <v>1500</v>
      </c>
      <c r="O411" s="64">
        <v>6503482202.8412762</v>
      </c>
    </row>
    <row r="412" spans="1:15" x14ac:dyDescent="0.25">
      <c r="A412" s="58">
        <v>46071</v>
      </c>
      <c r="B412" s="59">
        <v>2</v>
      </c>
      <c r="C412" s="59" t="s">
        <v>1166</v>
      </c>
      <c r="D412" s="59">
        <v>1044407</v>
      </c>
      <c r="E412" s="59" t="s">
        <v>1134</v>
      </c>
      <c r="F412" s="59" t="s">
        <v>1135</v>
      </c>
      <c r="G412" s="59" t="s">
        <v>1136</v>
      </c>
      <c r="H412" s="59" t="s">
        <v>1159</v>
      </c>
      <c r="I412" s="60">
        <v>45992</v>
      </c>
      <c r="J412" s="59" t="s">
        <v>274</v>
      </c>
      <c r="K412" s="59" t="s">
        <v>1170</v>
      </c>
      <c r="L412" s="61">
        <v>400</v>
      </c>
      <c r="M412" s="59"/>
      <c r="N412" s="61">
        <v>400</v>
      </c>
      <c r="O412" s="61">
        <v>6503517102.8412762</v>
      </c>
    </row>
    <row r="413" spans="1:15" x14ac:dyDescent="0.25">
      <c r="A413" s="62">
        <v>46071</v>
      </c>
      <c r="B413">
        <v>2</v>
      </c>
      <c r="C413" t="s">
        <v>1166</v>
      </c>
      <c r="D413">
        <v>1044427</v>
      </c>
      <c r="E413" t="s">
        <v>1134</v>
      </c>
      <c r="F413" t="s">
        <v>1135</v>
      </c>
      <c r="G413" t="s">
        <v>1136</v>
      </c>
      <c r="H413" t="s">
        <v>1165</v>
      </c>
      <c r="I413" s="63">
        <v>45992</v>
      </c>
      <c r="J413" t="s">
        <v>274</v>
      </c>
      <c r="K413" t="s">
        <v>1170</v>
      </c>
      <c r="L413" s="64">
        <v>90</v>
      </c>
      <c r="N413" s="64">
        <v>90</v>
      </c>
      <c r="O413" s="64">
        <v>6503517192.8412762</v>
      </c>
    </row>
    <row r="414" spans="1:15" x14ac:dyDescent="0.25">
      <c r="A414" s="58">
        <v>46073</v>
      </c>
      <c r="B414" s="59">
        <v>2</v>
      </c>
      <c r="C414" s="59" t="s">
        <v>1133</v>
      </c>
      <c r="D414" s="59">
        <v>2044464</v>
      </c>
      <c r="E414" s="59" t="s">
        <v>1167</v>
      </c>
      <c r="F414" s="59" t="s">
        <v>1135</v>
      </c>
      <c r="G414" s="59" t="s">
        <v>1136</v>
      </c>
      <c r="H414" s="59" t="s">
        <v>1140</v>
      </c>
      <c r="I414" s="60">
        <v>46023</v>
      </c>
      <c r="J414" s="59" t="s">
        <v>284</v>
      </c>
      <c r="K414" s="59" t="s">
        <v>1148</v>
      </c>
      <c r="L414" s="59"/>
      <c r="M414" s="61">
        <v>7048807.29</v>
      </c>
      <c r="N414" s="61">
        <v>-7048807.29</v>
      </c>
      <c r="O414" s="61">
        <v>4529673516.0212765</v>
      </c>
    </row>
    <row r="415" spans="1:15" x14ac:dyDescent="0.25">
      <c r="A415" s="62">
        <v>46073</v>
      </c>
      <c r="B415">
        <v>2</v>
      </c>
      <c r="C415" t="s">
        <v>1133</v>
      </c>
      <c r="D415">
        <v>2014351</v>
      </c>
      <c r="E415" t="s">
        <v>1167</v>
      </c>
      <c r="F415" t="s">
        <v>1174</v>
      </c>
      <c r="G415" t="s">
        <v>1136</v>
      </c>
      <c r="H415" t="s">
        <v>1157</v>
      </c>
      <c r="I415" s="63">
        <v>46023</v>
      </c>
      <c r="J415" t="s">
        <v>285</v>
      </c>
      <c r="K415" t="s">
        <v>1142</v>
      </c>
      <c r="M415" s="64">
        <v>8236834.0499999998</v>
      </c>
      <c r="N415" s="64">
        <v>-8236834.0499999998</v>
      </c>
      <c r="O415" s="64">
        <v>4521436681.9712763</v>
      </c>
    </row>
    <row r="416" spans="1:15" x14ac:dyDescent="0.25">
      <c r="A416" s="58">
        <v>46073</v>
      </c>
      <c r="B416" s="59">
        <v>2</v>
      </c>
      <c r="C416" s="59" t="s">
        <v>1133</v>
      </c>
      <c r="D416" s="59">
        <v>2044126</v>
      </c>
      <c r="E416" s="59" t="s">
        <v>1167</v>
      </c>
      <c r="F416" s="59" t="s">
        <v>1135</v>
      </c>
      <c r="G416" s="59" t="s">
        <v>1136</v>
      </c>
      <c r="H416" s="59" t="s">
        <v>1175</v>
      </c>
      <c r="I416" s="60">
        <v>46023</v>
      </c>
      <c r="J416" s="59" t="s">
        <v>288</v>
      </c>
      <c r="K416" s="59" t="s">
        <v>1150</v>
      </c>
      <c r="L416" s="59"/>
      <c r="M416" s="61">
        <v>9160364</v>
      </c>
      <c r="N416" s="61">
        <v>-9160364</v>
      </c>
      <c r="O416" s="61">
        <v>4295168122.501277</v>
      </c>
    </row>
    <row r="417" spans="1:15" x14ac:dyDescent="0.25">
      <c r="A417" s="62">
        <v>46073</v>
      </c>
      <c r="B417">
        <v>2</v>
      </c>
      <c r="C417" t="s">
        <v>1133</v>
      </c>
      <c r="D417">
        <v>2044126</v>
      </c>
      <c r="E417" t="s">
        <v>1167</v>
      </c>
      <c r="F417" t="s">
        <v>1135</v>
      </c>
      <c r="G417" t="s">
        <v>1136</v>
      </c>
      <c r="H417" t="s">
        <v>1175</v>
      </c>
      <c r="I417" s="63">
        <v>46023</v>
      </c>
      <c r="J417" t="s">
        <v>289</v>
      </c>
      <c r="K417" t="s">
        <v>1150</v>
      </c>
      <c r="M417" s="64">
        <v>3927367.2</v>
      </c>
      <c r="N417" s="64">
        <v>-3927367.2</v>
      </c>
      <c r="O417" s="64">
        <v>4291240755.3012772</v>
      </c>
    </row>
    <row r="418" spans="1:15" x14ac:dyDescent="0.25">
      <c r="A418" s="58">
        <v>46073</v>
      </c>
      <c r="B418" s="59">
        <v>2</v>
      </c>
      <c r="C418" s="59" t="s">
        <v>1133</v>
      </c>
      <c r="D418" s="59">
        <v>2044126</v>
      </c>
      <c r="E418" s="59" t="s">
        <v>1167</v>
      </c>
      <c r="F418" s="59" t="s">
        <v>1135</v>
      </c>
      <c r="G418" s="59" t="s">
        <v>1136</v>
      </c>
      <c r="H418" s="59" t="s">
        <v>1175</v>
      </c>
      <c r="I418" s="60">
        <v>46023</v>
      </c>
      <c r="J418" s="59" t="s">
        <v>290</v>
      </c>
      <c r="K418" s="59" t="s">
        <v>1150</v>
      </c>
      <c r="L418" s="59"/>
      <c r="M418" s="61">
        <v>1883867.5</v>
      </c>
      <c r="N418" s="61">
        <v>-1883867.5</v>
      </c>
      <c r="O418" s="61">
        <v>4289356887.8012772</v>
      </c>
    </row>
    <row r="419" spans="1:15" x14ac:dyDescent="0.25">
      <c r="A419" s="62">
        <v>46073</v>
      </c>
      <c r="B419">
        <v>2</v>
      </c>
      <c r="C419" t="s">
        <v>1133</v>
      </c>
      <c r="D419">
        <v>1044314</v>
      </c>
      <c r="E419" t="s">
        <v>1134</v>
      </c>
      <c r="F419" t="s">
        <v>1135</v>
      </c>
      <c r="G419" t="s">
        <v>1136</v>
      </c>
      <c r="H419" t="s">
        <v>1137</v>
      </c>
      <c r="I419" s="63">
        <v>46054</v>
      </c>
      <c r="J419" t="s">
        <v>291</v>
      </c>
      <c r="K419" t="s">
        <v>1148</v>
      </c>
      <c r="L419" s="64">
        <v>28058034</v>
      </c>
      <c r="N419" s="64">
        <v>28058034</v>
      </c>
      <c r="O419" s="64">
        <v>4317414921.8012772</v>
      </c>
    </row>
    <row r="420" spans="1:15" x14ac:dyDescent="0.25">
      <c r="A420" s="58">
        <v>46073</v>
      </c>
      <c r="B420" s="59">
        <v>2</v>
      </c>
      <c r="C420" s="59" t="s">
        <v>1133</v>
      </c>
      <c r="D420" s="59">
        <v>1044316</v>
      </c>
      <c r="E420" s="59" t="s">
        <v>1134</v>
      </c>
      <c r="F420" s="59" t="s">
        <v>1135</v>
      </c>
      <c r="G420" s="59" t="s">
        <v>1136</v>
      </c>
      <c r="H420" s="59" t="s">
        <v>1137</v>
      </c>
      <c r="I420" s="60">
        <v>46054</v>
      </c>
      <c r="J420" s="59" t="s">
        <v>292</v>
      </c>
      <c r="K420" s="59" t="s">
        <v>1150</v>
      </c>
      <c r="L420" s="61">
        <v>521121.49</v>
      </c>
      <c r="M420" s="59"/>
      <c r="N420" s="61">
        <v>521121.49</v>
      </c>
      <c r="O420" s="61">
        <v>4317936043.2912769</v>
      </c>
    </row>
    <row r="421" spans="1:15" x14ac:dyDescent="0.25">
      <c r="A421" s="62">
        <v>46076</v>
      </c>
      <c r="B421">
        <v>2</v>
      </c>
      <c r="C421" t="s">
        <v>1144</v>
      </c>
      <c r="D421">
        <v>2054312</v>
      </c>
      <c r="E421" t="s">
        <v>1167</v>
      </c>
      <c r="F421" t="s">
        <v>1169</v>
      </c>
      <c r="G421" t="s">
        <v>1136</v>
      </c>
      <c r="H421" t="s">
        <v>1137</v>
      </c>
      <c r="I421" s="63">
        <v>46054</v>
      </c>
      <c r="J421" t="s">
        <v>293</v>
      </c>
      <c r="K421" t="s">
        <v>1138</v>
      </c>
      <c r="M421" s="64">
        <v>28192900</v>
      </c>
      <c r="N421" s="64">
        <v>-28192900</v>
      </c>
      <c r="O421" s="64">
        <v>4289743143.2912769</v>
      </c>
    </row>
    <row r="422" spans="1:15" x14ac:dyDescent="0.25">
      <c r="A422" s="58">
        <v>46076</v>
      </c>
      <c r="B422" s="59">
        <v>2</v>
      </c>
      <c r="C422" s="59" t="s">
        <v>1144</v>
      </c>
      <c r="D422" s="59">
        <v>2054314</v>
      </c>
      <c r="E422" s="59" t="s">
        <v>1167</v>
      </c>
      <c r="F422" s="59" t="s">
        <v>1169</v>
      </c>
      <c r="G422" s="59" t="s">
        <v>1136</v>
      </c>
      <c r="H422" s="59" t="s">
        <v>1137</v>
      </c>
      <c r="I422" s="60">
        <v>46054</v>
      </c>
      <c r="J422" s="59" t="s">
        <v>294</v>
      </c>
      <c r="K422" s="59" t="s">
        <v>1148</v>
      </c>
      <c r="L422" s="59"/>
      <c r="M422" s="61">
        <v>28058034</v>
      </c>
      <c r="N422" s="61">
        <v>-28058034</v>
      </c>
      <c r="O422" s="61">
        <v>4261685109.2912769</v>
      </c>
    </row>
    <row r="423" spans="1:15" x14ac:dyDescent="0.25">
      <c r="A423" s="62">
        <v>46076</v>
      </c>
      <c r="B423">
        <v>2</v>
      </c>
      <c r="C423" t="s">
        <v>1144</v>
      </c>
      <c r="D423">
        <v>2054316</v>
      </c>
      <c r="E423" t="s">
        <v>1167</v>
      </c>
      <c r="F423" t="s">
        <v>1169</v>
      </c>
      <c r="G423" t="s">
        <v>1136</v>
      </c>
      <c r="H423" t="s">
        <v>1137</v>
      </c>
      <c r="I423" s="63">
        <v>46054</v>
      </c>
      <c r="J423" t="s">
        <v>294</v>
      </c>
      <c r="K423" t="s">
        <v>1150</v>
      </c>
      <c r="M423" s="64">
        <v>521121.49</v>
      </c>
      <c r="N423" s="64">
        <v>-521121.49</v>
      </c>
      <c r="O423" s="64">
        <v>4261163987.8012772</v>
      </c>
    </row>
    <row r="424" spans="1:15" x14ac:dyDescent="0.25">
      <c r="A424" s="58">
        <v>46076</v>
      </c>
      <c r="B424" s="59">
        <v>2</v>
      </c>
      <c r="C424" s="59" t="s">
        <v>1144</v>
      </c>
      <c r="D424" s="59">
        <v>2014202</v>
      </c>
      <c r="E424" s="59" t="s">
        <v>1167</v>
      </c>
      <c r="F424" s="59" t="s">
        <v>1174</v>
      </c>
      <c r="G424" s="59" t="s">
        <v>1136</v>
      </c>
      <c r="H424" s="59" t="s">
        <v>1139</v>
      </c>
      <c r="I424" s="60">
        <v>46054</v>
      </c>
      <c r="J424" s="59" t="s">
        <v>295</v>
      </c>
      <c r="K424" s="59" t="s">
        <v>1138</v>
      </c>
      <c r="L424" s="59"/>
      <c r="M424" s="61">
        <v>57925193.619999997</v>
      </c>
      <c r="N424" s="61">
        <v>-57925193.619999997</v>
      </c>
      <c r="O424" s="61">
        <v>4203238794.1812768</v>
      </c>
    </row>
    <row r="425" spans="1:15" x14ac:dyDescent="0.25">
      <c r="A425" s="62">
        <v>46076</v>
      </c>
      <c r="B425">
        <v>2</v>
      </c>
      <c r="C425" t="s">
        <v>1144</v>
      </c>
      <c r="D425">
        <v>2014262</v>
      </c>
      <c r="E425" t="s">
        <v>1167</v>
      </c>
      <c r="F425" t="s">
        <v>1174</v>
      </c>
      <c r="G425" t="s">
        <v>1136</v>
      </c>
      <c r="H425" t="s">
        <v>1145</v>
      </c>
      <c r="I425" s="63">
        <v>46023</v>
      </c>
      <c r="J425" t="s">
        <v>296</v>
      </c>
      <c r="K425" t="s">
        <v>1138</v>
      </c>
      <c r="M425" s="64">
        <v>7862594.9400000004</v>
      </c>
      <c r="N425" s="64">
        <v>-7862594.9400000004</v>
      </c>
      <c r="O425" s="64">
        <v>4195376199.2412772</v>
      </c>
    </row>
    <row r="426" spans="1:15" x14ac:dyDescent="0.25">
      <c r="A426" s="58">
        <v>46076</v>
      </c>
      <c r="B426" s="59">
        <v>2</v>
      </c>
      <c r="C426" s="59" t="s">
        <v>1144</v>
      </c>
      <c r="D426" s="59">
        <v>2014264</v>
      </c>
      <c r="E426" s="59" t="s">
        <v>1167</v>
      </c>
      <c r="F426" s="59" t="s">
        <v>1174</v>
      </c>
      <c r="G426" s="59" t="s">
        <v>1136</v>
      </c>
      <c r="H426" s="59" t="s">
        <v>1145</v>
      </c>
      <c r="I426" s="60">
        <v>46023</v>
      </c>
      <c r="J426" s="59" t="s">
        <v>297</v>
      </c>
      <c r="K426" s="59" t="s">
        <v>1148</v>
      </c>
      <c r="L426" s="59"/>
      <c r="M426" s="61">
        <v>5653250</v>
      </c>
      <c r="N426" s="61">
        <v>-5653250</v>
      </c>
      <c r="O426" s="61">
        <v>4189722949.2412772</v>
      </c>
    </row>
    <row r="427" spans="1:15" x14ac:dyDescent="0.25">
      <c r="A427" s="62">
        <v>46076</v>
      </c>
      <c r="B427">
        <v>2</v>
      </c>
      <c r="C427" t="s">
        <v>1144</v>
      </c>
      <c r="D427">
        <v>2014266</v>
      </c>
      <c r="E427" t="s">
        <v>1167</v>
      </c>
      <c r="F427" t="s">
        <v>1174</v>
      </c>
      <c r="G427" t="s">
        <v>1136</v>
      </c>
      <c r="H427" t="s">
        <v>1145</v>
      </c>
      <c r="I427" s="63">
        <v>46023</v>
      </c>
      <c r="J427" t="s">
        <v>297</v>
      </c>
      <c r="K427" t="s">
        <v>1150</v>
      </c>
      <c r="M427" s="64">
        <v>360336.36999999988</v>
      </c>
      <c r="N427" s="64">
        <v>-360336.36999999988</v>
      </c>
      <c r="O427" s="64">
        <v>4189362612.8712769</v>
      </c>
    </row>
    <row r="428" spans="1:15" x14ac:dyDescent="0.25">
      <c r="A428" s="58">
        <v>46076</v>
      </c>
      <c r="B428" s="59">
        <v>2</v>
      </c>
      <c r="C428" s="59" t="s">
        <v>1144</v>
      </c>
      <c r="D428" s="59">
        <v>2014264</v>
      </c>
      <c r="E428" s="59" t="s">
        <v>1167</v>
      </c>
      <c r="F428" s="59" t="s">
        <v>1174</v>
      </c>
      <c r="G428" s="59" t="s">
        <v>1136</v>
      </c>
      <c r="H428" s="59" t="s">
        <v>1145</v>
      </c>
      <c r="I428" s="60">
        <v>46023</v>
      </c>
      <c r="J428" s="59" t="s">
        <v>297</v>
      </c>
      <c r="K428" s="59" t="s">
        <v>1148</v>
      </c>
      <c r="L428" s="59"/>
      <c r="M428" s="61">
        <v>3171503.68</v>
      </c>
      <c r="N428" s="61">
        <v>-3171503.68</v>
      </c>
      <c r="O428" s="61">
        <v>4186191109.191278</v>
      </c>
    </row>
    <row r="429" spans="1:15" x14ac:dyDescent="0.25">
      <c r="A429" s="62">
        <v>46076</v>
      </c>
      <c r="B429">
        <v>2</v>
      </c>
      <c r="C429" t="s">
        <v>1144</v>
      </c>
      <c r="D429">
        <v>2044462</v>
      </c>
      <c r="E429" t="s">
        <v>1167</v>
      </c>
      <c r="F429" t="s">
        <v>1135</v>
      </c>
      <c r="G429" t="s">
        <v>1136</v>
      </c>
      <c r="H429" t="s">
        <v>1140</v>
      </c>
      <c r="I429" s="63">
        <v>46054</v>
      </c>
      <c r="J429" t="s">
        <v>298</v>
      </c>
      <c r="K429" t="s">
        <v>1138</v>
      </c>
      <c r="M429" s="64">
        <v>4803431.0999999996</v>
      </c>
      <c r="N429" s="64">
        <v>-4803431.0999999996</v>
      </c>
      <c r="O429" s="64">
        <v>4181387678.0912781</v>
      </c>
    </row>
    <row r="430" spans="1:15" x14ac:dyDescent="0.25">
      <c r="A430" s="58">
        <v>46076</v>
      </c>
      <c r="B430" s="59">
        <v>2</v>
      </c>
      <c r="C430" s="59" t="s">
        <v>1144</v>
      </c>
      <c r="D430" s="59">
        <v>2044126</v>
      </c>
      <c r="E430" s="59" t="s">
        <v>1167</v>
      </c>
      <c r="F430" s="59" t="s">
        <v>1135</v>
      </c>
      <c r="G430" s="59" t="s">
        <v>1136</v>
      </c>
      <c r="H430" s="59" t="s">
        <v>1175</v>
      </c>
      <c r="I430" s="60">
        <v>46023</v>
      </c>
      <c r="J430" s="59" t="s">
        <v>299</v>
      </c>
      <c r="K430" s="59" t="s">
        <v>1150</v>
      </c>
      <c r="L430" s="59"/>
      <c r="M430" s="61">
        <v>5119708.4000000004</v>
      </c>
      <c r="N430" s="61">
        <v>-5119708.4000000004</v>
      </c>
      <c r="O430" s="61">
        <v>4176267969.691278</v>
      </c>
    </row>
    <row r="431" spans="1:15" x14ac:dyDescent="0.25">
      <c r="A431" s="62">
        <v>46076</v>
      </c>
      <c r="B431">
        <v>2</v>
      </c>
      <c r="C431" t="s">
        <v>1144</v>
      </c>
      <c r="D431">
        <v>2044126</v>
      </c>
      <c r="E431" t="s">
        <v>1167</v>
      </c>
      <c r="F431" t="s">
        <v>1135</v>
      </c>
      <c r="G431" t="s">
        <v>1136</v>
      </c>
      <c r="H431" t="s">
        <v>1175</v>
      </c>
      <c r="I431" s="63">
        <v>46023</v>
      </c>
      <c r="J431" t="s">
        <v>300</v>
      </c>
      <c r="K431" t="s">
        <v>1150</v>
      </c>
      <c r="M431" s="64">
        <v>3023660.7</v>
      </c>
      <c r="N431" s="64">
        <v>-3023660.7</v>
      </c>
      <c r="O431" s="64">
        <v>4173244308.9912782</v>
      </c>
    </row>
    <row r="432" spans="1:15" x14ac:dyDescent="0.25">
      <c r="A432" s="58">
        <v>46076</v>
      </c>
      <c r="B432" s="59">
        <v>2</v>
      </c>
      <c r="C432" s="59" t="s">
        <v>1144</v>
      </c>
      <c r="D432" s="59">
        <v>2044126</v>
      </c>
      <c r="E432" s="59" t="s">
        <v>1167</v>
      </c>
      <c r="F432" s="59" t="s">
        <v>1135</v>
      </c>
      <c r="G432" s="59" t="s">
        <v>1136</v>
      </c>
      <c r="H432" s="59" t="s">
        <v>1175</v>
      </c>
      <c r="I432" s="60">
        <v>46023</v>
      </c>
      <c r="J432" s="59" t="s">
        <v>301</v>
      </c>
      <c r="K432" s="59" t="s">
        <v>1150</v>
      </c>
      <c r="L432" s="59"/>
      <c r="M432" s="61">
        <v>2337884.6</v>
      </c>
      <c r="N432" s="61">
        <v>-2337884.6</v>
      </c>
      <c r="O432" s="61">
        <v>4170906424.3912778</v>
      </c>
    </row>
    <row r="433" spans="1:15" x14ac:dyDescent="0.25">
      <c r="A433" s="62">
        <v>46076</v>
      </c>
      <c r="B433">
        <v>2</v>
      </c>
      <c r="C433" t="s">
        <v>1144</v>
      </c>
      <c r="D433">
        <v>2044126</v>
      </c>
      <c r="E433" t="s">
        <v>1167</v>
      </c>
      <c r="F433" t="s">
        <v>1135</v>
      </c>
      <c r="G433" t="s">
        <v>1136</v>
      </c>
      <c r="H433" t="s">
        <v>1175</v>
      </c>
      <c r="I433" s="63">
        <v>46023</v>
      </c>
      <c r="J433" t="s">
        <v>302</v>
      </c>
      <c r="K433" t="s">
        <v>1150</v>
      </c>
      <c r="M433" s="64">
        <v>1510130.9</v>
      </c>
      <c r="N433" s="64">
        <v>-1510130.9</v>
      </c>
      <c r="O433" s="64">
        <v>4169396293.4912782</v>
      </c>
    </row>
    <row r="434" spans="1:15" x14ac:dyDescent="0.25">
      <c r="A434" s="58">
        <v>46076</v>
      </c>
      <c r="B434" s="59">
        <v>2</v>
      </c>
      <c r="C434" s="59" t="s">
        <v>1144</v>
      </c>
      <c r="D434" s="59">
        <v>2044126</v>
      </c>
      <c r="E434" s="59" t="s">
        <v>1167</v>
      </c>
      <c r="F434" s="59" t="s">
        <v>1135</v>
      </c>
      <c r="G434" s="59" t="s">
        <v>1136</v>
      </c>
      <c r="H434" s="59" t="s">
        <v>1175</v>
      </c>
      <c r="I434" s="60">
        <v>46023</v>
      </c>
      <c r="J434" s="59" t="s">
        <v>303</v>
      </c>
      <c r="K434" s="59" t="s">
        <v>1150</v>
      </c>
      <c r="L434" s="59"/>
      <c r="M434" s="61">
        <v>1194482.7</v>
      </c>
      <c r="N434" s="61">
        <v>-1194482.7</v>
      </c>
      <c r="O434" s="61">
        <v>4168201810.7912779</v>
      </c>
    </row>
    <row r="435" spans="1:15" x14ac:dyDescent="0.25">
      <c r="A435" s="62">
        <v>46076</v>
      </c>
      <c r="B435">
        <v>2</v>
      </c>
      <c r="C435" t="s">
        <v>1144</v>
      </c>
      <c r="D435">
        <v>2044126</v>
      </c>
      <c r="E435" t="s">
        <v>1167</v>
      </c>
      <c r="F435" t="s">
        <v>1135</v>
      </c>
      <c r="G435" t="s">
        <v>1136</v>
      </c>
      <c r="H435" t="s">
        <v>1175</v>
      </c>
      <c r="I435" s="63">
        <v>46023</v>
      </c>
      <c r="J435" t="s">
        <v>304</v>
      </c>
      <c r="K435" t="s">
        <v>1150</v>
      </c>
      <c r="M435" s="64">
        <v>264827.8</v>
      </c>
      <c r="N435" s="64">
        <v>-264827.8</v>
      </c>
      <c r="O435" s="64">
        <v>4167936982.9912782</v>
      </c>
    </row>
    <row r="436" spans="1:15" x14ac:dyDescent="0.25">
      <c r="A436" s="58">
        <v>46076</v>
      </c>
      <c r="B436" s="59">
        <v>2</v>
      </c>
      <c r="C436" s="59" t="s">
        <v>1144</v>
      </c>
      <c r="D436" s="59">
        <v>2044126</v>
      </c>
      <c r="E436" s="59" t="s">
        <v>1167</v>
      </c>
      <c r="F436" s="59" t="s">
        <v>1135</v>
      </c>
      <c r="G436" s="59" t="s">
        <v>1136</v>
      </c>
      <c r="H436" s="59" t="s">
        <v>1175</v>
      </c>
      <c r="I436" s="60">
        <v>46023</v>
      </c>
      <c r="J436" s="59" t="s">
        <v>305</v>
      </c>
      <c r="K436" s="59" t="s">
        <v>1150</v>
      </c>
      <c r="L436" s="59"/>
      <c r="M436" s="61">
        <v>234351.7</v>
      </c>
      <c r="N436" s="61">
        <v>-234351.7</v>
      </c>
      <c r="O436" s="61">
        <v>4167702631.2912779</v>
      </c>
    </row>
    <row r="437" spans="1:15" x14ac:dyDescent="0.25">
      <c r="A437" s="62">
        <v>46076</v>
      </c>
      <c r="B437">
        <v>2</v>
      </c>
      <c r="C437" t="s">
        <v>1144</v>
      </c>
      <c r="D437">
        <v>2044126</v>
      </c>
      <c r="E437" t="s">
        <v>1167</v>
      </c>
      <c r="F437" t="s">
        <v>1135</v>
      </c>
      <c r="G437" t="s">
        <v>1136</v>
      </c>
      <c r="H437" t="s">
        <v>1175</v>
      </c>
      <c r="I437" s="63">
        <v>46023</v>
      </c>
      <c r="J437" t="s">
        <v>306</v>
      </c>
      <c r="K437" t="s">
        <v>1150</v>
      </c>
      <c r="M437" s="64">
        <v>169511.3</v>
      </c>
      <c r="N437" s="64">
        <v>-169511.3</v>
      </c>
      <c r="O437" s="64">
        <v>4167533119.9912782</v>
      </c>
    </row>
    <row r="438" spans="1:15" x14ac:dyDescent="0.25">
      <c r="A438" s="58">
        <v>46076</v>
      </c>
      <c r="B438" s="59">
        <v>2</v>
      </c>
      <c r="C438" s="59" t="s">
        <v>1144</v>
      </c>
      <c r="D438" s="59">
        <v>2044126</v>
      </c>
      <c r="E438" s="59" t="s">
        <v>1167</v>
      </c>
      <c r="F438" s="59" t="s">
        <v>1135</v>
      </c>
      <c r="G438" s="59" t="s">
        <v>1136</v>
      </c>
      <c r="H438" s="59" t="s">
        <v>1175</v>
      </c>
      <c r="I438" s="60">
        <v>46023</v>
      </c>
      <c r="J438" s="59" t="s">
        <v>307</v>
      </c>
      <c r="K438" s="59" t="s">
        <v>1150</v>
      </c>
      <c r="L438" s="59"/>
      <c r="M438" s="61">
        <v>10351.200000000001</v>
      </c>
      <c r="N438" s="61">
        <v>-10351.200000000001</v>
      </c>
      <c r="O438" s="61">
        <v>4167522768.7912779</v>
      </c>
    </row>
    <row r="439" spans="1:15" x14ac:dyDescent="0.25">
      <c r="A439" s="62">
        <v>46076</v>
      </c>
      <c r="B439">
        <v>2</v>
      </c>
      <c r="C439" t="s">
        <v>1144</v>
      </c>
      <c r="D439">
        <v>2044126</v>
      </c>
      <c r="E439" t="s">
        <v>1167</v>
      </c>
      <c r="F439" t="s">
        <v>1135</v>
      </c>
      <c r="G439" t="s">
        <v>1136</v>
      </c>
      <c r="H439" t="s">
        <v>1175</v>
      </c>
      <c r="I439" s="63">
        <v>46023</v>
      </c>
      <c r="J439" t="s">
        <v>308</v>
      </c>
      <c r="K439" t="s">
        <v>1150</v>
      </c>
      <c r="M439" s="64">
        <v>2481493.6</v>
      </c>
      <c r="N439" s="64">
        <v>-2481493.6</v>
      </c>
      <c r="O439" s="64">
        <v>4165041275.191278</v>
      </c>
    </row>
    <row r="440" spans="1:15" x14ac:dyDescent="0.25">
      <c r="A440" s="58">
        <v>46076</v>
      </c>
      <c r="B440" s="59">
        <v>2</v>
      </c>
      <c r="C440" s="59" t="s">
        <v>1144</v>
      </c>
      <c r="D440" s="59">
        <v>2044126</v>
      </c>
      <c r="E440" s="59" t="s">
        <v>1167</v>
      </c>
      <c r="F440" s="59" t="s">
        <v>1135</v>
      </c>
      <c r="G440" s="59" t="s">
        <v>1136</v>
      </c>
      <c r="H440" s="59" t="s">
        <v>1175</v>
      </c>
      <c r="I440" s="60">
        <v>46023</v>
      </c>
      <c r="J440" s="59" t="s">
        <v>309</v>
      </c>
      <c r="K440" s="59" t="s">
        <v>1150</v>
      </c>
      <c r="L440" s="59"/>
      <c r="M440" s="61">
        <v>3801746.8</v>
      </c>
      <c r="N440" s="61">
        <v>-3801746.8</v>
      </c>
      <c r="O440" s="61">
        <v>4161239528.3912778</v>
      </c>
    </row>
    <row r="441" spans="1:15" x14ac:dyDescent="0.25">
      <c r="A441" s="62">
        <v>46076</v>
      </c>
      <c r="B441">
        <v>2</v>
      </c>
      <c r="C441" t="s">
        <v>1144</v>
      </c>
      <c r="D441">
        <v>1044422</v>
      </c>
      <c r="E441" t="s">
        <v>1134</v>
      </c>
      <c r="F441" t="s">
        <v>1135</v>
      </c>
      <c r="G441" t="s">
        <v>1136</v>
      </c>
      <c r="H441" t="s">
        <v>1165</v>
      </c>
      <c r="I441" s="63">
        <v>46023</v>
      </c>
      <c r="J441" t="s">
        <v>310</v>
      </c>
      <c r="K441" t="s">
        <v>1138</v>
      </c>
      <c r="L441" s="64">
        <v>3294163.79</v>
      </c>
      <c r="N441" s="64">
        <v>3294163.79</v>
      </c>
      <c r="O441" s="64">
        <v>4164533692.1812782</v>
      </c>
    </row>
    <row r="442" spans="1:15" x14ac:dyDescent="0.25">
      <c r="A442" s="58">
        <v>46077</v>
      </c>
      <c r="B442" s="59">
        <v>2</v>
      </c>
      <c r="C442" s="59" t="s">
        <v>1161</v>
      </c>
      <c r="D442" s="59">
        <v>2014261</v>
      </c>
      <c r="E442" s="59" t="s">
        <v>1167</v>
      </c>
      <c r="F442" s="59" t="s">
        <v>1174</v>
      </c>
      <c r="G442" s="59" t="s">
        <v>1136</v>
      </c>
      <c r="H442" s="59" t="s">
        <v>1145</v>
      </c>
      <c r="I442" s="60">
        <v>46023</v>
      </c>
      <c r="J442" s="59" t="s">
        <v>311</v>
      </c>
      <c r="K442" s="59" t="s">
        <v>1142</v>
      </c>
      <c r="L442" s="59"/>
      <c r="M442" s="61">
        <v>6754631.5700000003</v>
      </c>
      <c r="N442" s="61">
        <v>-6754631.5700000003</v>
      </c>
      <c r="O442" s="61">
        <v>4157779060.6112781</v>
      </c>
    </row>
    <row r="443" spans="1:15" x14ac:dyDescent="0.25">
      <c r="A443" s="62">
        <v>46077</v>
      </c>
      <c r="B443">
        <v>2</v>
      </c>
      <c r="C443" t="s">
        <v>1161</v>
      </c>
      <c r="D443">
        <v>2044127</v>
      </c>
      <c r="E443" t="s">
        <v>1167</v>
      </c>
      <c r="F443" t="s">
        <v>1135</v>
      </c>
      <c r="G443" t="s">
        <v>1136</v>
      </c>
      <c r="H443" t="s">
        <v>1175</v>
      </c>
      <c r="I443" s="63">
        <v>46023</v>
      </c>
      <c r="J443" t="s">
        <v>312</v>
      </c>
      <c r="K443" t="s">
        <v>1170</v>
      </c>
      <c r="M443" s="64">
        <v>2810370.44</v>
      </c>
      <c r="N443" s="64">
        <v>-2810370.44</v>
      </c>
      <c r="O443" s="64">
        <v>4154968690.171278</v>
      </c>
    </row>
    <row r="444" spans="1:15" x14ac:dyDescent="0.25">
      <c r="A444" s="58">
        <v>46077</v>
      </c>
      <c r="B444" s="59">
        <v>2</v>
      </c>
      <c r="C444" s="59" t="s">
        <v>1161</v>
      </c>
      <c r="D444" s="59">
        <v>2044127</v>
      </c>
      <c r="E444" s="59" t="s">
        <v>1167</v>
      </c>
      <c r="F444" s="59" t="s">
        <v>1135</v>
      </c>
      <c r="G444" s="59" t="s">
        <v>1136</v>
      </c>
      <c r="H444" s="59" t="s">
        <v>1175</v>
      </c>
      <c r="I444" s="60">
        <v>46023</v>
      </c>
      <c r="J444" s="59" t="s">
        <v>313</v>
      </c>
      <c r="K444" s="59" t="s">
        <v>1170</v>
      </c>
      <c r="L444" s="59"/>
      <c r="M444" s="61">
        <v>1405042.3</v>
      </c>
      <c r="N444" s="61">
        <v>-1405042.3</v>
      </c>
      <c r="O444" s="61">
        <v>4153563647.8712769</v>
      </c>
    </row>
    <row r="445" spans="1:15" x14ac:dyDescent="0.25">
      <c r="A445" s="62">
        <v>46077</v>
      </c>
      <c r="B445">
        <v>2</v>
      </c>
      <c r="C445" t="s">
        <v>1161</v>
      </c>
      <c r="D445">
        <v>2044127</v>
      </c>
      <c r="E445" t="s">
        <v>1167</v>
      </c>
      <c r="F445" t="s">
        <v>1135</v>
      </c>
      <c r="G445" t="s">
        <v>1136</v>
      </c>
      <c r="H445" t="s">
        <v>1175</v>
      </c>
      <c r="I445" s="63">
        <v>46023</v>
      </c>
      <c r="J445" t="s">
        <v>314</v>
      </c>
      <c r="K445" t="s">
        <v>1170</v>
      </c>
      <c r="M445" s="64">
        <v>2202721.6800000002</v>
      </c>
      <c r="N445" s="64">
        <v>-2202721.6800000002</v>
      </c>
      <c r="O445" s="64">
        <v>4151360926.191278</v>
      </c>
    </row>
    <row r="446" spans="1:15" x14ac:dyDescent="0.25">
      <c r="A446" s="58">
        <v>46077</v>
      </c>
      <c r="B446" s="59">
        <v>2</v>
      </c>
      <c r="C446" s="59" t="s">
        <v>1161</v>
      </c>
      <c r="D446" s="59">
        <v>2044127</v>
      </c>
      <c r="E446" s="59" t="s">
        <v>1167</v>
      </c>
      <c r="F446" s="59" t="s">
        <v>1135</v>
      </c>
      <c r="G446" s="59" t="s">
        <v>1136</v>
      </c>
      <c r="H446" s="59" t="s">
        <v>1175</v>
      </c>
      <c r="I446" s="60">
        <v>46023</v>
      </c>
      <c r="J446" s="59" t="s">
        <v>315</v>
      </c>
      <c r="K446" s="59" t="s">
        <v>1170</v>
      </c>
      <c r="L446" s="59"/>
      <c r="M446" s="61">
        <v>2549771.9300000002</v>
      </c>
      <c r="N446" s="61">
        <v>-2549771.9300000002</v>
      </c>
      <c r="O446" s="61">
        <v>4148811154.2612782</v>
      </c>
    </row>
    <row r="447" spans="1:15" x14ac:dyDescent="0.25">
      <c r="A447" s="62">
        <v>46077</v>
      </c>
      <c r="B447">
        <v>2</v>
      </c>
      <c r="C447" t="s">
        <v>1161</v>
      </c>
      <c r="D447">
        <v>2044127</v>
      </c>
      <c r="E447" t="s">
        <v>1167</v>
      </c>
      <c r="F447" t="s">
        <v>1135</v>
      </c>
      <c r="G447" t="s">
        <v>1136</v>
      </c>
      <c r="H447" t="s">
        <v>1175</v>
      </c>
      <c r="I447" s="63">
        <v>46023</v>
      </c>
      <c r="J447" t="s">
        <v>316</v>
      </c>
      <c r="K447" t="s">
        <v>1170</v>
      </c>
      <c r="M447" s="64">
        <v>3219124.73</v>
      </c>
      <c r="N447" s="64">
        <v>-3219124.73</v>
      </c>
      <c r="O447" s="64">
        <v>4145592029.5312781</v>
      </c>
    </row>
    <row r="448" spans="1:15" x14ac:dyDescent="0.25">
      <c r="A448" s="58">
        <v>46077</v>
      </c>
      <c r="B448" s="59">
        <v>2</v>
      </c>
      <c r="C448" s="59" t="s">
        <v>1161</v>
      </c>
      <c r="D448" s="59">
        <v>2044127</v>
      </c>
      <c r="E448" s="59" t="s">
        <v>1167</v>
      </c>
      <c r="F448" s="59" t="s">
        <v>1135</v>
      </c>
      <c r="G448" s="59" t="s">
        <v>1136</v>
      </c>
      <c r="H448" s="59" t="s">
        <v>1175</v>
      </c>
      <c r="I448" s="60">
        <v>46023</v>
      </c>
      <c r="J448" s="59" t="s">
        <v>317</v>
      </c>
      <c r="K448" s="59" t="s">
        <v>1170</v>
      </c>
      <c r="L448" s="59"/>
      <c r="M448" s="61">
        <v>36086.160000000003</v>
      </c>
      <c r="N448" s="61">
        <v>-36086.160000000003</v>
      </c>
      <c r="O448" s="61">
        <v>4145555943.3712778</v>
      </c>
    </row>
    <row r="449" spans="1:15" x14ac:dyDescent="0.25">
      <c r="A449" s="62">
        <v>46077</v>
      </c>
      <c r="B449">
        <v>2</v>
      </c>
      <c r="C449" t="s">
        <v>1161</v>
      </c>
      <c r="D449">
        <v>2044126</v>
      </c>
      <c r="E449" t="s">
        <v>1167</v>
      </c>
      <c r="F449" t="s">
        <v>1135</v>
      </c>
      <c r="G449" t="s">
        <v>1136</v>
      </c>
      <c r="H449" t="s">
        <v>1175</v>
      </c>
      <c r="I449" s="63">
        <v>46023</v>
      </c>
      <c r="J449" t="s">
        <v>318</v>
      </c>
      <c r="K449" t="s">
        <v>1150</v>
      </c>
      <c r="M449" s="64">
        <v>912690.9</v>
      </c>
      <c r="N449" s="64">
        <v>-912690.9</v>
      </c>
      <c r="O449" s="64">
        <v>4144643252.4712782</v>
      </c>
    </row>
    <row r="450" spans="1:15" x14ac:dyDescent="0.25">
      <c r="A450" s="58">
        <v>46077</v>
      </c>
      <c r="B450" s="59">
        <v>2</v>
      </c>
      <c r="C450" s="59" t="s">
        <v>1161</v>
      </c>
      <c r="D450" s="59">
        <v>2044126</v>
      </c>
      <c r="E450" s="59" t="s">
        <v>1167</v>
      </c>
      <c r="F450" s="59" t="s">
        <v>1135</v>
      </c>
      <c r="G450" s="59" t="s">
        <v>1136</v>
      </c>
      <c r="H450" s="59" t="s">
        <v>1175</v>
      </c>
      <c r="I450" s="60">
        <v>46023</v>
      </c>
      <c r="J450" s="59" t="s">
        <v>319</v>
      </c>
      <c r="K450" s="59" t="s">
        <v>1150</v>
      </c>
      <c r="L450" s="59"/>
      <c r="M450" s="61">
        <v>665564.9</v>
      </c>
      <c r="N450" s="61">
        <v>-665564.9</v>
      </c>
      <c r="O450" s="61">
        <v>4143977687.5712781</v>
      </c>
    </row>
    <row r="451" spans="1:15" x14ac:dyDescent="0.25">
      <c r="A451" s="62">
        <v>46077</v>
      </c>
      <c r="B451">
        <v>2</v>
      </c>
      <c r="C451" t="s">
        <v>1161</v>
      </c>
      <c r="D451">
        <v>2044126</v>
      </c>
      <c r="E451" t="s">
        <v>1167</v>
      </c>
      <c r="F451" t="s">
        <v>1135</v>
      </c>
      <c r="G451" t="s">
        <v>1136</v>
      </c>
      <c r="H451" t="s">
        <v>1175</v>
      </c>
      <c r="I451" s="63">
        <v>46023</v>
      </c>
      <c r="J451" t="s">
        <v>320</v>
      </c>
      <c r="K451" t="s">
        <v>1150</v>
      </c>
      <c r="M451" s="64">
        <v>604922.19999999995</v>
      </c>
      <c r="N451" s="64">
        <v>-604922.19999999995</v>
      </c>
      <c r="O451" s="64">
        <v>4143372765.3712778</v>
      </c>
    </row>
    <row r="452" spans="1:15" x14ac:dyDescent="0.25">
      <c r="A452" s="58">
        <v>46077</v>
      </c>
      <c r="B452" s="59">
        <v>2</v>
      </c>
      <c r="C452" s="59" t="s">
        <v>1161</v>
      </c>
      <c r="D452" s="59">
        <v>2044126</v>
      </c>
      <c r="E452" s="59" t="s">
        <v>1167</v>
      </c>
      <c r="F452" s="59" t="s">
        <v>1135</v>
      </c>
      <c r="G452" s="59" t="s">
        <v>1136</v>
      </c>
      <c r="H452" s="59" t="s">
        <v>1175</v>
      </c>
      <c r="I452" s="60">
        <v>46023</v>
      </c>
      <c r="J452" s="59" t="s">
        <v>321</v>
      </c>
      <c r="K452" s="59" t="s">
        <v>1150</v>
      </c>
      <c r="L452" s="59"/>
      <c r="M452" s="61">
        <v>429914.9</v>
      </c>
      <c r="N452" s="61">
        <v>-429914.9</v>
      </c>
      <c r="O452" s="61">
        <v>4142942850.4712782</v>
      </c>
    </row>
    <row r="453" spans="1:15" x14ac:dyDescent="0.25">
      <c r="A453" s="62">
        <v>46077</v>
      </c>
      <c r="B453">
        <v>2</v>
      </c>
      <c r="C453" t="s">
        <v>1161</v>
      </c>
      <c r="D453">
        <v>2044126</v>
      </c>
      <c r="E453" t="s">
        <v>1167</v>
      </c>
      <c r="F453" t="s">
        <v>1135</v>
      </c>
      <c r="G453" t="s">
        <v>1136</v>
      </c>
      <c r="H453" t="s">
        <v>1175</v>
      </c>
      <c r="I453" s="63">
        <v>46023</v>
      </c>
      <c r="J453" t="s">
        <v>322</v>
      </c>
      <c r="K453" t="s">
        <v>1150</v>
      </c>
      <c r="M453" s="64">
        <v>45860.76</v>
      </c>
      <c r="N453" s="64">
        <v>-45860.76</v>
      </c>
      <c r="O453" s="64">
        <v>4142896989.711277</v>
      </c>
    </row>
    <row r="454" spans="1:15" x14ac:dyDescent="0.25">
      <c r="A454" s="58">
        <v>46078</v>
      </c>
      <c r="B454" s="59">
        <v>2</v>
      </c>
      <c r="C454" s="59" t="s">
        <v>1166</v>
      </c>
      <c r="D454" s="59">
        <v>2054311</v>
      </c>
      <c r="E454" s="59" t="s">
        <v>1167</v>
      </c>
      <c r="F454" s="59" t="s">
        <v>1169</v>
      </c>
      <c r="G454" s="59" t="s">
        <v>1136</v>
      </c>
      <c r="H454" s="59" t="s">
        <v>1137</v>
      </c>
      <c r="I454" s="60">
        <v>46054</v>
      </c>
      <c r="J454" s="59" t="s">
        <v>323</v>
      </c>
      <c r="K454" s="59" t="s">
        <v>1142</v>
      </c>
      <c r="L454" s="59"/>
      <c r="M454" s="61">
        <v>18099233.620000001</v>
      </c>
      <c r="N454" s="61">
        <v>-18099233.620000001</v>
      </c>
      <c r="O454" s="61">
        <v>4124797756.0912781</v>
      </c>
    </row>
    <row r="455" spans="1:15" x14ac:dyDescent="0.25">
      <c r="A455" s="62">
        <v>46078</v>
      </c>
      <c r="B455">
        <v>2</v>
      </c>
      <c r="C455" t="s">
        <v>1166</v>
      </c>
      <c r="D455">
        <v>2054381</v>
      </c>
      <c r="E455" t="s">
        <v>1167</v>
      </c>
      <c r="F455" t="s">
        <v>1169</v>
      </c>
      <c r="G455" t="s">
        <v>1136</v>
      </c>
      <c r="H455" t="s">
        <v>1163</v>
      </c>
      <c r="I455" s="63">
        <v>46054</v>
      </c>
      <c r="J455" t="s">
        <v>324</v>
      </c>
      <c r="K455" t="s">
        <v>1142</v>
      </c>
      <c r="M455" s="64">
        <v>12426250.550000001</v>
      </c>
      <c r="N455" s="64">
        <v>-12426250.550000001</v>
      </c>
      <c r="O455" s="64">
        <v>4112371505.5412769</v>
      </c>
    </row>
    <row r="456" spans="1:15" x14ac:dyDescent="0.25">
      <c r="A456" s="58">
        <v>46078</v>
      </c>
      <c r="B456" s="59">
        <v>2</v>
      </c>
      <c r="C456" s="59" t="s">
        <v>1166</v>
      </c>
      <c r="D456" s="59">
        <v>2014201</v>
      </c>
      <c r="E456" s="59" t="s">
        <v>1167</v>
      </c>
      <c r="F456" s="59" t="s">
        <v>1174</v>
      </c>
      <c r="G456" s="59" t="s">
        <v>1136</v>
      </c>
      <c r="H456" s="59" t="s">
        <v>1139</v>
      </c>
      <c r="I456" s="60">
        <v>46054</v>
      </c>
      <c r="J456" s="59" t="s">
        <v>325</v>
      </c>
      <c r="K456" s="59" t="s">
        <v>1142</v>
      </c>
      <c r="L456" s="59"/>
      <c r="M456" s="61">
        <v>5657117.7400000002</v>
      </c>
      <c r="N456" s="61">
        <v>-5657117.7400000002</v>
      </c>
      <c r="O456" s="61">
        <v>4106714387.8012781</v>
      </c>
    </row>
    <row r="457" spans="1:15" x14ac:dyDescent="0.25">
      <c r="A457" s="62">
        <v>46078</v>
      </c>
      <c r="B457">
        <v>2</v>
      </c>
      <c r="C457" t="s">
        <v>1166</v>
      </c>
      <c r="D457">
        <v>2044461</v>
      </c>
      <c r="E457" t="s">
        <v>1167</v>
      </c>
      <c r="F457" t="s">
        <v>1135</v>
      </c>
      <c r="G457" t="s">
        <v>1136</v>
      </c>
      <c r="H457" t="s">
        <v>1140</v>
      </c>
      <c r="I457" s="63">
        <v>46023</v>
      </c>
      <c r="J457" t="s">
        <v>326</v>
      </c>
      <c r="K457" t="s">
        <v>1142</v>
      </c>
      <c r="M457" s="64">
        <v>1712189.48</v>
      </c>
      <c r="N457" s="64">
        <v>-1712189.48</v>
      </c>
      <c r="O457" s="64">
        <v>4105002198.3212781</v>
      </c>
    </row>
    <row r="458" spans="1:15" x14ac:dyDescent="0.25">
      <c r="A458" s="58">
        <v>46078</v>
      </c>
      <c r="B458" s="59">
        <v>2</v>
      </c>
      <c r="C458" s="59" t="s">
        <v>1166</v>
      </c>
      <c r="D458" s="59">
        <v>2044463</v>
      </c>
      <c r="E458" s="59" t="s">
        <v>1167</v>
      </c>
      <c r="F458" s="59" t="s">
        <v>1135</v>
      </c>
      <c r="G458" s="59" t="s">
        <v>1136</v>
      </c>
      <c r="H458" s="59" t="s">
        <v>1140</v>
      </c>
      <c r="I458" s="60">
        <v>46054</v>
      </c>
      <c r="J458" s="59" t="s">
        <v>327</v>
      </c>
      <c r="K458" s="59" t="s">
        <v>1146</v>
      </c>
      <c r="L458" s="59"/>
      <c r="M458" s="61">
        <v>1662873.64</v>
      </c>
      <c r="N458" s="61">
        <v>-1662873.64</v>
      </c>
      <c r="O458" s="61">
        <v>4103339324.6812782</v>
      </c>
    </row>
    <row r="459" spans="1:15" x14ac:dyDescent="0.25">
      <c r="A459" s="62">
        <v>46078</v>
      </c>
      <c r="B459">
        <v>2</v>
      </c>
      <c r="C459" t="s">
        <v>1166</v>
      </c>
      <c r="D459">
        <v>1044163</v>
      </c>
      <c r="E459" t="s">
        <v>1134</v>
      </c>
      <c r="F459" t="s">
        <v>1135</v>
      </c>
      <c r="G459" t="s">
        <v>1136</v>
      </c>
      <c r="H459" t="s">
        <v>1162</v>
      </c>
      <c r="I459" s="63">
        <v>46023</v>
      </c>
      <c r="J459" t="s">
        <v>328</v>
      </c>
      <c r="K459" t="s">
        <v>1146</v>
      </c>
      <c r="L459" s="64">
        <v>48069568.829999998</v>
      </c>
      <c r="N459" s="64">
        <v>48069568.829999998</v>
      </c>
      <c r="O459" s="64">
        <v>4288306539.0012779</v>
      </c>
    </row>
    <row r="460" spans="1:15" x14ac:dyDescent="0.25">
      <c r="A460" s="58">
        <v>46078</v>
      </c>
      <c r="B460" s="59">
        <v>2</v>
      </c>
      <c r="C460" s="59" t="s">
        <v>1166</v>
      </c>
      <c r="D460" s="59">
        <v>1044173</v>
      </c>
      <c r="E460" s="59" t="s">
        <v>1134</v>
      </c>
      <c r="F460" s="59" t="s">
        <v>1135</v>
      </c>
      <c r="G460" s="59" t="s">
        <v>1136</v>
      </c>
      <c r="H460" s="59" t="s">
        <v>1147</v>
      </c>
      <c r="I460" s="60">
        <v>46023</v>
      </c>
      <c r="J460" s="59" t="s">
        <v>328</v>
      </c>
      <c r="K460" s="59" t="s">
        <v>1146</v>
      </c>
      <c r="L460" s="61">
        <v>8768599.3725000005</v>
      </c>
      <c r="M460" s="59"/>
      <c r="N460" s="61">
        <v>8768599.3725000005</v>
      </c>
      <c r="O460" s="61">
        <v>4297075138.3737783</v>
      </c>
    </row>
    <row r="461" spans="1:15" x14ac:dyDescent="0.25">
      <c r="A461" s="62">
        <v>46078</v>
      </c>
      <c r="B461">
        <v>2</v>
      </c>
      <c r="C461" t="s">
        <v>1166</v>
      </c>
      <c r="D461">
        <v>1044243</v>
      </c>
      <c r="E461" t="s">
        <v>1134</v>
      </c>
      <c r="F461" t="s">
        <v>1135</v>
      </c>
      <c r="G461" t="s">
        <v>1136</v>
      </c>
      <c r="H461" t="s">
        <v>1153</v>
      </c>
      <c r="I461" s="63">
        <v>46023</v>
      </c>
      <c r="J461" t="s">
        <v>328</v>
      </c>
      <c r="K461" t="s">
        <v>1146</v>
      </c>
      <c r="L461" s="64">
        <v>18431789.715</v>
      </c>
      <c r="N461" s="64">
        <v>18431789.715</v>
      </c>
      <c r="O461" s="64">
        <v>4315506928.0887775</v>
      </c>
    </row>
    <row r="462" spans="1:15" x14ac:dyDescent="0.25">
      <c r="A462" s="58">
        <v>46078</v>
      </c>
      <c r="B462" s="59">
        <v>2</v>
      </c>
      <c r="C462" s="59" t="s">
        <v>1166</v>
      </c>
      <c r="D462" s="59">
        <v>1044263</v>
      </c>
      <c r="E462" s="59" t="s">
        <v>1134</v>
      </c>
      <c r="F462" s="59" t="s">
        <v>1135</v>
      </c>
      <c r="G462" s="59" t="s">
        <v>1136</v>
      </c>
      <c r="H462" s="59" t="s">
        <v>1145</v>
      </c>
      <c r="I462" s="60">
        <v>46023</v>
      </c>
      <c r="J462" s="59" t="s">
        <v>328</v>
      </c>
      <c r="K462" s="59" t="s">
        <v>1146</v>
      </c>
      <c r="L462" s="61">
        <v>3813499.5</v>
      </c>
      <c r="M462" s="59"/>
      <c r="N462" s="61">
        <v>3813499.5</v>
      </c>
      <c r="O462" s="61">
        <v>4319320427.5887775</v>
      </c>
    </row>
    <row r="463" spans="1:15" x14ac:dyDescent="0.25">
      <c r="A463" s="62">
        <v>46078</v>
      </c>
      <c r="B463">
        <v>2</v>
      </c>
      <c r="C463" t="s">
        <v>1166</v>
      </c>
      <c r="D463">
        <v>1044463</v>
      </c>
      <c r="E463" t="s">
        <v>1134</v>
      </c>
      <c r="F463" t="s">
        <v>1135</v>
      </c>
      <c r="G463" t="s">
        <v>1136</v>
      </c>
      <c r="H463" t="s">
        <v>1140</v>
      </c>
      <c r="I463" s="63">
        <v>46023</v>
      </c>
      <c r="J463" t="s">
        <v>328</v>
      </c>
      <c r="K463" t="s">
        <v>1146</v>
      </c>
      <c r="L463" s="64">
        <v>4301903.68</v>
      </c>
      <c r="N463" s="64">
        <v>4301903.68</v>
      </c>
      <c r="O463" s="64">
        <v>4323622331.2687788</v>
      </c>
    </row>
    <row r="464" spans="1:15" x14ac:dyDescent="0.25">
      <c r="A464" s="58">
        <v>46078</v>
      </c>
      <c r="B464" s="59">
        <v>2</v>
      </c>
      <c r="C464" s="59" t="s">
        <v>1166</v>
      </c>
      <c r="D464" s="59">
        <v>1044353</v>
      </c>
      <c r="E464" s="59" t="s">
        <v>1134</v>
      </c>
      <c r="F464" s="59" t="s">
        <v>1135</v>
      </c>
      <c r="G464" s="59" t="s">
        <v>1136</v>
      </c>
      <c r="H464" s="59" t="s">
        <v>1157</v>
      </c>
      <c r="I464" s="60">
        <v>46023</v>
      </c>
      <c r="J464" s="59" t="s">
        <v>328</v>
      </c>
      <c r="K464" s="59" t="s">
        <v>1146</v>
      </c>
      <c r="L464" s="61">
        <v>6405775.3871999998</v>
      </c>
      <c r="M464" s="59"/>
      <c r="N464" s="61">
        <v>6405775.3871999998</v>
      </c>
      <c r="O464" s="61">
        <v>4330028106.6559792</v>
      </c>
    </row>
    <row r="465" spans="1:15" x14ac:dyDescent="0.25">
      <c r="A465" s="62">
        <v>46078</v>
      </c>
      <c r="B465">
        <v>2</v>
      </c>
      <c r="C465" t="s">
        <v>1166</v>
      </c>
      <c r="D465">
        <v>1044363</v>
      </c>
      <c r="E465" t="s">
        <v>1134</v>
      </c>
      <c r="F465" t="s">
        <v>1135</v>
      </c>
      <c r="G465" t="s">
        <v>1136</v>
      </c>
      <c r="H465" t="s">
        <v>1158</v>
      </c>
      <c r="I465" s="63">
        <v>46023</v>
      </c>
      <c r="J465" t="s">
        <v>328</v>
      </c>
      <c r="K465" t="s">
        <v>1146</v>
      </c>
      <c r="L465" s="64">
        <v>19403744.616</v>
      </c>
      <c r="N465" s="64">
        <v>19403744.616</v>
      </c>
      <c r="O465" s="64">
        <v>4349431851.2719793</v>
      </c>
    </row>
    <row r="466" spans="1:15" x14ac:dyDescent="0.25">
      <c r="A466" s="58">
        <v>46078</v>
      </c>
      <c r="B466" s="59">
        <v>2</v>
      </c>
      <c r="C466" s="59" t="s">
        <v>1166</v>
      </c>
      <c r="D466" s="59">
        <v>1044403</v>
      </c>
      <c r="E466" s="59" t="s">
        <v>1134</v>
      </c>
      <c r="F466" s="59" t="s">
        <v>1135</v>
      </c>
      <c r="G466" s="59" t="s">
        <v>1136</v>
      </c>
      <c r="H466" s="59" t="s">
        <v>1159</v>
      </c>
      <c r="I466" s="60">
        <v>46023</v>
      </c>
      <c r="J466" s="59" t="s">
        <v>328</v>
      </c>
      <c r="K466" s="59" t="s">
        <v>1146</v>
      </c>
      <c r="L466" s="61">
        <v>17142245.010000002</v>
      </c>
      <c r="M466" s="59"/>
      <c r="N466" s="61">
        <v>17142245.010000002</v>
      </c>
      <c r="O466" s="61">
        <v>4366574096.2819796</v>
      </c>
    </row>
    <row r="467" spans="1:15" x14ac:dyDescent="0.25">
      <c r="A467" s="62">
        <v>46078</v>
      </c>
      <c r="B467">
        <v>2</v>
      </c>
      <c r="C467" t="s">
        <v>1166</v>
      </c>
      <c r="D467">
        <v>1044413</v>
      </c>
      <c r="E467" t="s">
        <v>1134</v>
      </c>
      <c r="F467" t="s">
        <v>1135</v>
      </c>
      <c r="G467" t="s">
        <v>1136</v>
      </c>
      <c r="H467" t="s">
        <v>1160</v>
      </c>
      <c r="I467" s="63">
        <v>46023</v>
      </c>
      <c r="J467" t="s">
        <v>328</v>
      </c>
      <c r="K467" t="s">
        <v>1146</v>
      </c>
      <c r="L467" s="64">
        <v>6854318.04</v>
      </c>
      <c r="N467" s="64">
        <v>6854318.04</v>
      </c>
      <c r="O467" s="64">
        <v>4373428414.3219805</v>
      </c>
    </row>
    <row r="468" spans="1:15" x14ac:dyDescent="0.25">
      <c r="A468" s="58">
        <v>46078</v>
      </c>
      <c r="B468" s="59">
        <v>2</v>
      </c>
      <c r="C468" s="59" t="s">
        <v>1166</v>
      </c>
      <c r="D468" s="59">
        <v>1044161</v>
      </c>
      <c r="E468" s="59" t="s">
        <v>1134</v>
      </c>
      <c r="F468" s="59" t="s">
        <v>1135</v>
      </c>
      <c r="G468" s="59" t="s">
        <v>1136</v>
      </c>
      <c r="H468" s="59" t="s">
        <v>1162</v>
      </c>
      <c r="I468" s="60">
        <v>46023</v>
      </c>
      <c r="J468" s="59" t="s">
        <v>329</v>
      </c>
      <c r="K468" s="59" t="s">
        <v>1142</v>
      </c>
      <c r="L468" s="61">
        <v>17265101</v>
      </c>
      <c r="M468" s="59"/>
      <c r="N468" s="61">
        <v>17265101</v>
      </c>
      <c r="O468" s="61">
        <v>4832493177.6619787</v>
      </c>
    </row>
    <row r="469" spans="1:15" x14ac:dyDescent="0.25">
      <c r="A469" s="62">
        <v>46078</v>
      </c>
      <c r="B469">
        <v>2</v>
      </c>
      <c r="C469" t="s">
        <v>1166</v>
      </c>
      <c r="D469">
        <v>1044171</v>
      </c>
      <c r="E469" t="s">
        <v>1134</v>
      </c>
      <c r="F469" t="s">
        <v>1135</v>
      </c>
      <c r="G469" t="s">
        <v>1136</v>
      </c>
      <c r="H469" t="s">
        <v>1147</v>
      </c>
      <c r="I469" s="63">
        <v>46023</v>
      </c>
      <c r="J469" t="s">
        <v>329</v>
      </c>
      <c r="K469" t="s">
        <v>1142</v>
      </c>
      <c r="L469" s="64">
        <v>8105268.75</v>
      </c>
      <c r="N469" s="64">
        <v>8105268.75</v>
      </c>
      <c r="O469" s="64">
        <v>4840598446.4119787</v>
      </c>
    </row>
    <row r="470" spans="1:15" x14ac:dyDescent="0.25">
      <c r="A470" s="58">
        <v>46078</v>
      </c>
      <c r="B470" s="59">
        <v>2</v>
      </c>
      <c r="C470" s="59" t="s">
        <v>1166</v>
      </c>
      <c r="D470" s="59">
        <v>1044211</v>
      </c>
      <c r="E470" s="59" t="s">
        <v>1134</v>
      </c>
      <c r="F470" s="59" t="s">
        <v>1135</v>
      </c>
      <c r="G470" s="59" t="s">
        <v>1136</v>
      </c>
      <c r="H470" s="59" t="s">
        <v>1151</v>
      </c>
      <c r="I470" s="60">
        <v>46023</v>
      </c>
      <c r="J470" s="59" t="s">
        <v>329</v>
      </c>
      <c r="K470" s="59" t="s">
        <v>1142</v>
      </c>
      <c r="L470" s="61">
        <v>10691199</v>
      </c>
      <c r="M470" s="59"/>
      <c r="N470" s="61">
        <v>10691199</v>
      </c>
      <c r="O470" s="61">
        <v>4851289645.4119787</v>
      </c>
    </row>
    <row r="471" spans="1:15" x14ac:dyDescent="0.25">
      <c r="A471" s="62">
        <v>46078</v>
      </c>
      <c r="B471">
        <v>2</v>
      </c>
      <c r="C471" t="s">
        <v>1166</v>
      </c>
      <c r="D471">
        <v>1044241</v>
      </c>
      <c r="E471" t="s">
        <v>1134</v>
      </c>
      <c r="F471" t="s">
        <v>1135</v>
      </c>
      <c r="G471" t="s">
        <v>1136</v>
      </c>
      <c r="H471" t="s">
        <v>1153</v>
      </c>
      <c r="I471" s="63">
        <v>46023</v>
      </c>
      <c r="J471" t="s">
        <v>329</v>
      </c>
      <c r="K471" t="s">
        <v>1142</v>
      </c>
      <c r="L471" s="64">
        <v>2937963.5</v>
      </c>
      <c r="N471" s="64">
        <v>2937963.5</v>
      </c>
      <c r="O471" s="64">
        <v>4854227608.9119787</v>
      </c>
    </row>
    <row r="472" spans="1:15" x14ac:dyDescent="0.25">
      <c r="A472" s="58">
        <v>46078</v>
      </c>
      <c r="B472" s="59">
        <v>2</v>
      </c>
      <c r="C472" s="59" t="s">
        <v>1166</v>
      </c>
      <c r="D472" s="59">
        <v>1044261</v>
      </c>
      <c r="E472" s="59" t="s">
        <v>1134</v>
      </c>
      <c r="F472" s="59" t="s">
        <v>1135</v>
      </c>
      <c r="G472" s="59" t="s">
        <v>1136</v>
      </c>
      <c r="H472" s="59" t="s">
        <v>1145</v>
      </c>
      <c r="I472" s="60">
        <v>46023</v>
      </c>
      <c r="J472" s="59" t="s">
        <v>329</v>
      </c>
      <c r="K472" s="59" t="s">
        <v>1142</v>
      </c>
      <c r="L472" s="61">
        <v>3468339</v>
      </c>
      <c r="M472" s="59"/>
      <c r="N472" s="61">
        <v>3468339</v>
      </c>
      <c r="O472" s="61">
        <v>4857695947.9119787</v>
      </c>
    </row>
    <row r="473" spans="1:15" x14ac:dyDescent="0.25">
      <c r="A473" s="62">
        <v>46078</v>
      </c>
      <c r="B473">
        <v>2</v>
      </c>
      <c r="C473" t="s">
        <v>1166</v>
      </c>
      <c r="D473">
        <v>1044271</v>
      </c>
      <c r="E473" t="s">
        <v>1134</v>
      </c>
      <c r="F473" t="s">
        <v>1135</v>
      </c>
      <c r="G473" t="s">
        <v>1136</v>
      </c>
      <c r="H473" t="s">
        <v>1154</v>
      </c>
      <c r="I473" s="63">
        <v>46023</v>
      </c>
      <c r="J473" t="s">
        <v>329</v>
      </c>
      <c r="K473" t="s">
        <v>1142</v>
      </c>
      <c r="L473" s="64">
        <v>9772845</v>
      </c>
      <c r="N473" s="64">
        <v>9772845</v>
      </c>
      <c r="O473" s="64">
        <v>4867468792.9119787</v>
      </c>
    </row>
    <row r="474" spans="1:15" x14ac:dyDescent="0.25">
      <c r="A474" s="58">
        <v>46078</v>
      </c>
      <c r="B474" s="59">
        <v>2</v>
      </c>
      <c r="C474" s="59" t="s">
        <v>1166</v>
      </c>
      <c r="D474" s="59">
        <v>1044281</v>
      </c>
      <c r="E474" s="59" t="s">
        <v>1134</v>
      </c>
      <c r="F474" s="59" t="s">
        <v>1135</v>
      </c>
      <c r="G474" s="59" t="s">
        <v>1136</v>
      </c>
      <c r="H474" s="59" t="s">
        <v>1155</v>
      </c>
      <c r="I474" s="60">
        <v>46023</v>
      </c>
      <c r="J474" s="59" t="s">
        <v>329</v>
      </c>
      <c r="K474" s="59" t="s">
        <v>1142</v>
      </c>
      <c r="L474" s="61">
        <v>21512533</v>
      </c>
      <c r="M474" s="59"/>
      <c r="N474" s="61">
        <v>21512533</v>
      </c>
      <c r="O474" s="61">
        <v>4888981325.9119787</v>
      </c>
    </row>
    <row r="475" spans="1:15" x14ac:dyDescent="0.25">
      <c r="A475" s="62">
        <v>46078</v>
      </c>
      <c r="B475">
        <v>2</v>
      </c>
      <c r="C475" t="s">
        <v>1166</v>
      </c>
      <c r="D475">
        <v>1044461</v>
      </c>
      <c r="E475" t="s">
        <v>1134</v>
      </c>
      <c r="F475" t="s">
        <v>1135</v>
      </c>
      <c r="G475" t="s">
        <v>1136</v>
      </c>
      <c r="H475" t="s">
        <v>1140</v>
      </c>
      <c r="I475" s="63">
        <v>46023</v>
      </c>
      <c r="J475" t="s">
        <v>329</v>
      </c>
      <c r="K475" t="s">
        <v>1142</v>
      </c>
      <c r="L475" s="64">
        <v>1712189.4802458959</v>
      </c>
      <c r="N475" s="64">
        <v>1712189.4802458959</v>
      </c>
      <c r="O475" s="64">
        <v>4890693515.3922243</v>
      </c>
    </row>
    <row r="476" spans="1:15" x14ac:dyDescent="0.25">
      <c r="A476" s="58">
        <v>46078</v>
      </c>
      <c r="B476" s="59">
        <v>2</v>
      </c>
      <c r="C476" s="59" t="s">
        <v>1166</v>
      </c>
      <c r="D476" s="59">
        <v>1044321</v>
      </c>
      <c r="E476" s="59" t="s">
        <v>1134</v>
      </c>
      <c r="F476" s="59" t="s">
        <v>1135</v>
      </c>
      <c r="G476" s="59" t="s">
        <v>1136</v>
      </c>
      <c r="H476" s="59" t="s">
        <v>1143</v>
      </c>
      <c r="I476" s="60">
        <v>46023</v>
      </c>
      <c r="J476" s="59" t="s">
        <v>329</v>
      </c>
      <c r="K476" s="59" t="s">
        <v>1142</v>
      </c>
      <c r="L476" s="61">
        <v>28441120.5</v>
      </c>
      <c r="M476" s="59"/>
      <c r="N476" s="61">
        <v>28441120.5</v>
      </c>
      <c r="O476" s="61">
        <v>4919134635.8922243</v>
      </c>
    </row>
    <row r="477" spans="1:15" x14ac:dyDescent="0.25">
      <c r="A477" s="62">
        <v>46078</v>
      </c>
      <c r="B477">
        <v>2</v>
      </c>
      <c r="C477" t="s">
        <v>1166</v>
      </c>
      <c r="D477">
        <v>1044351</v>
      </c>
      <c r="E477" t="s">
        <v>1134</v>
      </c>
      <c r="F477" t="s">
        <v>1135</v>
      </c>
      <c r="G477" t="s">
        <v>1136</v>
      </c>
      <c r="H477" t="s">
        <v>1157</v>
      </c>
      <c r="I477" s="63">
        <v>46023</v>
      </c>
      <c r="J477" t="s">
        <v>329</v>
      </c>
      <c r="K477" t="s">
        <v>1142</v>
      </c>
      <c r="L477" s="64">
        <v>2136503.04</v>
      </c>
      <c r="N477" s="64">
        <v>2136503.04</v>
      </c>
      <c r="O477" s="64">
        <v>4921271138.9322243</v>
      </c>
    </row>
    <row r="478" spans="1:15" x14ac:dyDescent="0.25">
      <c r="A478" s="58">
        <v>46078</v>
      </c>
      <c r="B478" s="59">
        <v>2</v>
      </c>
      <c r="C478" s="59" t="s">
        <v>1166</v>
      </c>
      <c r="D478" s="59">
        <v>1044361</v>
      </c>
      <c r="E478" s="59" t="s">
        <v>1134</v>
      </c>
      <c r="F478" s="59" t="s">
        <v>1135</v>
      </c>
      <c r="G478" s="59" t="s">
        <v>1136</v>
      </c>
      <c r="H478" s="59" t="s">
        <v>1158</v>
      </c>
      <c r="I478" s="60">
        <v>46023</v>
      </c>
      <c r="J478" s="59" t="s">
        <v>329</v>
      </c>
      <c r="K478" s="59" t="s">
        <v>1142</v>
      </c>
      <c r="L478" s="61">
        <v>10221930</v>
      </c>
      <c r="M478" s="59"/>
      <c r="N478" s="61">
        <v>10221930</v>
      </c>
      <c r="O478" s="61">
        <v>4931493068.9322243</v>
      </c>
    </row>
    <row r="479" spans="1:15" x14ac:dyDescent="0.25">
      <c r="A479" s="62">
        <v>46078</v>
      </c>
      <c r="B479">
        <v>2</v>
      </c>
      <c r="C479" t="s">
        <v>1166</v>
      </c>
      <c r="D479">
        <v>1044371</v>
      </c>
      <c r="E479" t="s">
        <v>1134</v>
      </c>
      <c r="F479" t="s">
        <v>1135</v>
      </c>
      <c r="G479" t="s">
        <v>1136</v>
      </c>
      <c r="H479" t="s">
        <v>1141</v>
      </c>
      <c r="I479" s="63">
        <v>46023</v>
      </c>
      <c r="J479" t="s">
        <v>329</v>
      </c>
      <c r="K479" t="s">
        <v>1142</v>
      </c>
      <c r="L479" s="64">
        <v>17690369.899999999</v>
      </c>
      <c r="N479" s="64">
        <v>17690369.899999999</v>
      </c>
      <c r="O479" s="64">
        <v>4949183438.8322239</v>
      </c>
    </row>
    <row r="480" spans="1:15" x14ac:dyDescent="0.25">
      <c r="A480" s="58">
        <v>46078</v>
      </c>
      <c r="B480" s="59">
        <v>2</v>
      </c>
      <c r="C480" s="59" t="s">
        <v>1166</v>
      </c>
      <c r="D480" s="59">
        <v>1044391</v>
      </c>
      <c r="E480" s="59" t="s">
        <v>1134</v>
      </c>
      <c r="F480" s="59" t="s">
        <v>1135</v>
      </c>
      <c r="G480" s="59" t="s">
        <v>1136</v>
      </c>
      <c r="H480" s="59" t="s">
        <v>1164</v>
      </c>
      <c r="I480" s="60">
        <v>46023</v>
      </c>
      <c r="J480" s="59" t="s">
        <v>329</v>
      </c>
      <c r="K480" s="59" t="s">
        <v>1142</v>
      </c>
      <c r="L480" s="61">
        <v>18182519.25</v>
      </c>
      <c r="M480" s="59"/>
      <c r="N480" s="61">
        <v>18182519.25</v>
      </c>
      <c r="O480" s="61">
        <v>4967365958.0822239</v>
      </c>
    </row>
    <row r="481" spans="1:15" x14ac:dyDescent="0.25">
      <c r="A481" s="62">
        <v>46078</v>
      </c>
      <c r="B481">
        <v>2</v>
      </c>
      <c r="C481" t="s">
        <v>1166</v>
      </c>
      <c r="D481">
        <v>1044401</v>
      </c>
      <c r="E481" t="s">
        <v>1134</v>
      </c>
      <c r="F481" t="s">
        <v>1135</v>
      </c>
      <c r="G481" t="s">
        <v>1136</v>
      </c>
      <c r="H481" t="s">
        <v>1159</v>
      </c>
      <c r="I481" s="63">
        <v>46023</v>
      </c>
      <c r="J481" t="s">
        <v>329</v>
      </c>
      <c r="K481" t="s">
        <v>1142</v>
      </c>
      <c r="L481" s="64">
        <v>21648053.5</v>
      </c>
      <c r="N481" s="64">
        <v>21648053.5</v>
      </c>
      <c r="O481" s="64">
        <v>4989014011.5822239</v>
      </c>
    </row>
    <row r="482" spans="1:15" x14ac:dyDescent="0.25">
      <c r="A482" s="58">
        <v>46078</v>
      </c>
      <c r="B482" s="59">
        <v>2</v>
      </c>
      <c r="C482" s="59" t="s">
        <v>1166</v>
      </c>
      <c r="D482" s="59">
        <v>1044411</v>
      </c>
      <c r="E482" s="59" t="s">
        <v>1134</v>
      </c>
      <c r="F482" s="59" t="s">
        <v>1135</v>
      </c>
      <c r="G482" s="59" t="s">
        <v>1136</v>
      </c>
      <c r="H482" s="59" t="s">
        <v>1160</v>
      </c>
      <c r="I482" s="60">
        <v>46023</v>
      </c>
      <c r="J482" s="59" t="s">
        <v>329</v>
      </c>
      <c r="K482" s="59" t="s">
        <v>1142</v>
      </c>
      <c r="L482" s="61">
        <v>7737896</v>
      </c>
      <c r="M482" s="59"/>
      <c r="N482" s="61">
        <v>7737896</v>
      </c>
      <c r="O482" s="61">
        <v>4996751907.5822239</v>
      </c>
    </row>
    <row r="483" spans="1:15" x14ac:dyDescent="0.25">
      <c r="A483" s="62">
        <v>46078</v>
      </c>
      <c r="B483">
        <v>2</v>
      </c>
      <c r="C483" t="s">
        <v>1166</v>
      </c>
      <c r="D483">
        <v>1044421</v>
      </c>
      <c r="E483" t="s">
        <v>1134</v>
      </c>
      <c r="F483" t="s">
        <v>1135</v>
      </c>
      <c r="G483" t="s">
        <v>1136</v>
      </c>
      <c r="H483" t="s">
        <v>1165</v>
      </c>
      <c r="I483" s="63">
        <v>46023</v>
      </c>
      <c r="J483" t="s">
        <v>329</v>
      </c>
      <c r="K483" t="s">
        <v>1142</v>
      </c>
      <c r="L483" s="64">
        <v>42439404.575980023</v>
      </c>
      <c r="N483" s="64">
        <v>42439404.575980023</v>
      </c>
      <c r="O483" s="64">
        <v>5039191312.1582041</v>
      </c>
    </row>
    <row r="484" spans="1:15" x14ac:dyDescent="0.25">
      <c r="A484" s="58">
        <v>46078</v>
      </c>
      <c r="B484" s="59">
        <v>2</v>
      </c>
      <c r="C484" s="59" t="s">
        <v>1166</v>
      </c>
      <c r="D484" s="59">
        <v>1044121</v>
      </c>
      <c r="E484" s="59" t="s">
        <v>1134</v>
      </c>
      <c r="F484" s="59" t="s">
        <v>1135</v>
      </c>
      <c r="G484" s="59" t="s">
        <v>1136</v>
      </c>
      <c r="H484" s="59" t="s">
        <v>1175</v>
      </c>
      <c r="I484" s="60">
        <v>45566</v>
      </c>
      <c r="J484" s="59" t="s">
        <v>331</v>
      </c>
      <c r="K484" s="59" t="s">
        <v>1142</v>
      </c>
      <c r="L484" s="61">
        <v>1283862.1000000001</v>
      </c>
      <c r="M484" s="59"/>
      <c r="N484" s="61">
        <v>1283862.1000000001</v>
      </c>
      <c r="O484" s="61">
        <v>5392944186.5282049</v>
      </c>
    </row>
    <row r="485" spans="1:15" x14ac:dyDescent="0.25">
      <c r="A485" s="62">
        <v>46078</v>
      </c>
      <c r="B485">
        <v>2</v>
      </c>
      <c r="C485" t="s">
        <v>1166</v>
      </c>
      <c r="D485">
        <v>1044121</v>
      </c>
      <c r="E485" t="s">
        <v>1134</v>
      </c>
      <c r="F485" t="s">
        <v>1135</v>
      </c>
      <c r="G485" t="s">
        <v>1136</v>
      </c>
      <c r="H485" t="s">
        <v>1175</v>
      </c>
      <c r="I485" s="63">
        <v>45597</v>
      </c>
      <c r="J485" t="s">
        <v>331</v>
      </c>
      <c r="K485" t="s">
        <v>1142</v>
      </c>
      <c r="L485" s="64">
        <v>6697359.0999999996</v>
      </c>
      <c r="N485" s="64">
        <v>6697359.0999999996</v>
      </c>
      <c r="O485" s="64">
        <v>5399641545.6282053</v>
      </c>
    </row>
    <row r="486" spans="1:15" x14ac:dyDescent="0.25">
      <c r="A486" s="58">
        <v>46078</v>
      </c>
      <c r="B486" s="59">
        <v>2</v>
      </c>
      <c r="C486" s="59" t="s">
        <v>1166</v>
      </c>
      <c r="D486" s="59">
        <v>1044121</v>
      </c>
      <c r="E486" s="59" t="s">
        <v>1134</v>
      </c>
      <c r="F486" s="59" t="s">
        <v>1135</v>
      </c>
      <c r="G486" s="59" t="s">
        <v>1136</v>
      </c>
      <c r="H486" s="59" t="s">
        <v>1175</v>
      </c>
      <c r="I486" s="60">
        <v>45689</v>
      </c>
      <c r="J486" s="59" t="s">
        <v>331</v>
      </c>
      <c r="K486" s="59" t="s">
        <v>1142</v>
      </c>
      <c r="L486" s="61">
        <v>2420089.7000000002</v>
      </c>
      <c r="M486" s="59"/>
      <c r="N486" s="61">
        <v>2420089.7000000002</v>
      </c>
      <c r="O486" s="61">
        <v>5402061635.3282051</v>
      </c>
    </row>
    <row r="487" spans="1:15" x14ac:dyDescent="0.25">
      <c r="A487" s="62">
        <v>46078</v>
      </c>
      <c r="B487">
        <v>2</v>
      </c>
      <c r="C487" t="s">
        <v>1166</v>
      </c>
      <c r="D487">
        <v>1044121</v>
      </c>
      <c r="E487" t="s">
        <v>1134</v>
      </c>
      <c r="F487" t="s">
        <v>1135</v>
      </c>
      <c r="G487" t="s">
        <v>1136</v>
      </c>
      <c r="H487" t="s">
        <v>1175</v>
      </c>
      <c r="I487" s="63">
        <v>45717</v>
      </c>
      <c r="J487" t="s">
        <v>331</v>
      </c>
      <c r="K487" t="s">
        <v>1142</v>
      </c>
      <c r="L487" s="64">
        <v>15009522.5</v>
      </c>
      <c r="N487" s="64">
        <v>15009522.5</v>
      </c>
      <c r="O487" s="64">
        <v>5417071157.8282051</v>
      </c>
    </row>
    <row r="488" spans="1:15" x14ac:dyDescent="0.25">
      <c r="A488" s="58">
        <v>46078</v>
      </c>
      <c r="B488" s="59">
        <v>2</v>
      </c>
      <c r="C488" s="59" t="s">
        <v>1166</v>
      </c>
      <c r="D488" s="59">
        <v>1044121</v>
      </c>
      <c r="E488" s="59" t="s">
        <v>1134</v>
      </c>
      <c r="F488" s="59" t="s">
        <v>1135</v>
      </c>
      <c r="G488" s="59" t="s">
        <v>1136</v>
      </c>
      <c r="H488" s="59" t="s">
        <v>1175</v>
      </c>
      <c r="I488" s="60">
        <v>45748</v>
      </c>
      <c r="J488" s="59" t="s">
        <v>331</v>
      </c>
      <c r="K488" s="59" t="s">
        <v>1142</v>
      </c>
      <c r="L488" s="61">
        <v>675695.3</v>
      </c>
      <c r="M488" s="59"/>
      <c r="N488" s="61">
        <v>675695.3</v>
      </c>
      <c r="O488" s="61">
        <v>5417746853.1282053</v>
      </c>
    </row>
    <row r="489" spans="1:15" x14ac:dyDescent="0.25">
      <c r="A489" s="62">
        <v>46078</v>
      </c>
      <c r="B489">
        <v>2</v>
      </c>
      <c r="C489" t="s">
        <v>1166</v>
      </c>
      <c r="D489">
        <v>1044121</v>
      </c>
      <c r="E489" t="s">
        <v>1134</v>
      </c>
      <c r="F489" t="s">
        <v>1135</v>
      </c>
      <c r="G489" t="s">
        <v>1136</v>
      </c>
      <c r="H489" t="s">
        <v>1175</v>
      </c>
      <c r="I489" s="63">
        <v>45778</v>
      </c>
      <c r="J489" t="s">
        <v>331</v>
      </c>
      <c r="K489" t="s">
        <v>1142</v>
      </c>
      <c r="L489" s="64">
        <v>1211397</v>
      </c>
      <c r="N489" s="64">
        <v>1211397</v>
      </c>
      <c r="O489" s="64">
        <v>5418958250.1282053</v>
      </c>
    </row>
    <row r="490" spans="1:15" x14ac:dyDescent="0.25">
      <c r="A490" s="58">
        <v>46078</v>
      </c>
      <c r="B490" s="59">
        <v>2</v>
      </c>
      <c r="C490" s="59" t="s">
        <v>1166</v>
      </c>
      <c r="D490" s="59">
        <v>1044121</v>
      </c>
      <c r="E490" s="59" t="s">
        <v>1134</v>
      </c>
      <c r="F490" s="59" t="s">
        <v>1135</v>
      </c>
      <c r="G490" s="59" t="s">
        <v>1136</v>
      </c>
      <c r="H490" s="59" t="s">
        <v>1175</v>
      </c>
      <c r="I490" s="60">
        <v>45809</v>
      </c>
      <c r="J490" s="59" t="s">
        <v>331</v>
      </c>
      <c r="K490" s="59" t="s">
        <v>1142</v>
      </c>
      <c r="L490" s="61">
        <v>12213711.4</v>
      </c>
      <c r="M490" s="59"/>
      <c r="N490" s="61">
        <v>12213711.4</v>
      </c>
      <c r="O490" s="61">
        <v>5431171961.5282049</v>
      </c>
    </row>
    <row r="491" spans="1:15" x14ac:dyDescent="0.25">
      <c r="A491" s="62">
        <v>46078</v>
      </c>
      <c r="B491">
        <v>2</v>
      </c>
      <c r="C491" t="s">
        <v>1166</v>
      </c>
      <c r="D491">
        <v>1044121</v>
      </c>
      <c r="E491" t="s">
        <v>1134</v>
      </c>
      <c r="F491" t="s">
        <v>1135</v>
      </c>
      <c r="G491" t="s">
        <v>1136</v>
      </c>
      <c r="H491" t="s">
        <v>1175</v>
      </c>
      <c r="I491" s="63">
        <v>45839</v>
      </c>
      <c r="J491" t="s">
        <v>331</v>
      </c>
      <c r="K491" t="s">
        <v>1142</v>
      </c>
      <c r="L491" s="64">
        <v>8869946.5</v>
      </c>
      <c r="N491" s="64">
        <v>8869946.5</v>
      </c>
      <c r="O491" s="64">
        <v>5440041908.0282049</v>
      </c>
    </row>
    <row r="492" spans="1:15" x14ac:dyDescent="0.25">
      <c r="A492" s="58">
        <v>46078</v>
      </c>
      <c r="B492" s="59">
        <v>2</v>
      </c>
      <c r="C492" s="59" t="s">
        <v>1166</v>
      </c>
      <c r="D492" s="59">
        <v>1044121</v>
      </c>
      <c r="E492" s="59" t="s">
        <v>1134</v>
      </c>
      <c r="F492" s="59" t="s">
        <v>1135</v>
      </c>
      <c r="G492" s="59" t="s">
        <v>1136</v>
      </c>
      <c r="H492" s="59" t="s">
        <v>1175</v>
      </c>
      <c r="I492" s="60">
        <v>45870</v>
      </c>
      <c r="J492" s="59" t="s">
        <v>331</v>
      </c>
      <c r="K492" s="59" t="s">
        <v>1142</v>
      </c>
      <c r="L492" s="61">
        <v>2290954.7999999998</v>
      </c>
      <c r="M492" s="59"/>
      <c r="N492" s="61">
        <v>2290954.7999999998</v>
      </c>
      <c r="O492" s="61">
        <v>5442332862.8282051</v>
      </c>
    </row>
    <row r="493" spans="1:15" x14ac:dyDescent="0.25">
      <c r="A493" s="62">
        <v>46078</v>
      </c>
      <c r="B493">
        <v>2</v>
      </c>
      <c r="C493" t="s">
        <v>1166</v>
      </c>
      <c r="D493">
        <v>1044121</v>
      </c>
      <c r="E493" t="s">
        <v>1134</v>
      </c>
      <c r="F493" t="s">
        <v>1135</v>
      </c>
      <c r="G493" t="s">
        <v>1136</v>
      </c>
      <c r="H493" t="s">
        <v>1175</v>
      </c>
      <c r="I493" s="63">
        <v>45901</v>
      </c>
      <c r="J493" t="s">
        <v>331</v>
      </c>
      <c r="K493" t="s">
        <v>1142</v>
      </c>
      <c r="L493" s="64">
        <v>551878.80000000005</v>
      </c>
      <c r="N493" s="64">
        <v>551878.80000000005</v>
      </c>
      <c r="O493" s="64">
        <v>5442884741.6282053</v>
      </c>
    </row>
    <row r="494" spans="1:15" x14ac:dyDescent="0.25">
      <c r="A494" s="58">
        <v>46078</v>
      </c>
      <c r="B494" s="59">
        <v>2</v>
      </c>
      <c r="C494" s="59" t="s">
        <v>1166</v>
      </c>
      <c r="D494" s="59">
        <v>1044121</v>
      </c>
      <c r="E494" s="59" t="s">
        <v>1134</v>
      </c>
      <c r="F494" s="59" t="s">
        <v>1135</v>
      </c>
      <c r="G494" s="59" t="s">
        <v>1136</v>
      </c>
      <c r="H494" s="59" t="s">
        <v>1175</v>
      </c>
      <c r="I494" s="60">
        <v>45931</v>
      </c>
      <c r="J494" s="59" t="s">
        <v>331</v>
      </c>
      <c r="K494" s="59" t="s">
        <v>1142</v>
      </c>
      <c r="L494" s="61">
        <v>1003546.1</v>
      </c>
      <c r="M494" s="59"/>
      <c r="N494" s="61">
        <v>1003546.1</v>
      </c>
      <c r="O494" s="61">
        <v>5443888287.7282057</v>
      </c>
    </row>
    <row r="495" spans="1:15" x14ac:dyDescent="0.25">
      <c r="A495" s="62">
        <v>46078</v>
      </c>
      <c r="B495">
        <v>2</v>
      </c>
      <c r="C495" t="s">
        <v>1166</v>
      </c>
      <c r="D495">
        <v>1044311</v>
      </c>
      <c r="E495" t="s">
        <v>1134</v>
      </c>
      <c r="F495" t="s">
        <v>1135</v>
      </c>
      <c r="G495" t="s">
        <v>1136</v>
      </c>
      <c r="H495" t="s">
        <v>1137</v>
      </c>
      <c r="I495" s="63">
        <v>45717</v>
      </c>
      <c r="J495" t="s">
        <v>331</v>
      </c>
      <c r="K495" t="s">
        <v>1142</v>
      </c>
      <c r="L495" s="64">
        <v>20514895.91</v>
      </c>
      <c r="N495" s="64">
        <v>20514895.91</v>
      </c>
      <c r="O495" s="64">
        <v>5464403183.6382055</v>
      </c>
    </row>
    <row r="496" spans="1:15" x14ac:dyDescent="0.25">
      <c r="A496" s="58">
        <v>46078</v>
      </c>
      <c r="B496" s="59">
        <v>2</v>
      </c>
      <c r="C496" s="59" t="s">
        <v>1166</v>
      </c>
      <c r="D496" s="59">
        <v>1044321</v>
      </c>
      <c r="E496" s="59" t="s">
        <v>1134</v>
      </c>
      <c r="F496" s="59" t="s">
        <v>1135</v>
      </c>
      <c r="G496" s="59" t="s">
        <v>1136</v>
      </c>
      <c r="H496" s="59" t="s">
        <v>1143</v>
      </c>
      <c r="I496" s="60">
        <v>45717</v>
      </c>
      <c r="J496" s="59" t="s">
        <v>331</v>
      </c>
      <c r="K496" s="59" t="s">
        <v>1142</v>
      </c>
      <c r="L496" s="61">
        <v>6770326.5899999999</v>
      </c>
      <c r="M496" s="59"/>
      <c r="N496" s="61">
        <v>6770326.5899999999</v>
      </c>
      <c r="O496" s="61">
        <v>5471173510.2282057</v>
      </c>
    </row>
    <row r="497" spans="1:15" x14ac:dyDescent="0.25">
      <c r="A497" s="62">
        <v>46080</v>
      </c>
      <c r="B497">
        <v>2</v>
      </c>
      <c r="C497" t="s">
        <v>1133</v>
      </c>
      <c r="D497">
        <v>1044281</v>
      </c>
      <c r="E497" t="s">
        <v>1134</v>
      </c>
      <c r="F497" t="s">
        <v>1135</v>
      </c>
      <c r="G497" t="s">
        <v>1136</v>
      </c>
      <c r="H497" t="s">
        <v>1155</v>
      </c>
      <c r="I497" s="63">
        <v>45536</v>
      </c>
      <c r="J497" t="s">
        <v>332</v>
      </c>
      <c r="K497" t="s">
        <v>1142</v>
      </c>
      <c r="L497" s="64">
        <v>29156015.239999998</v>
      </c>
      <c r="N497" s="64">
        <v>29156015.239999998</v>
      </c>
      <c r="O497" s="64">
        <v>5500329525.4682055</v>
      </c>
    </row>
    <row r="498" spans="1:15" x14ac:dyDescent="0.25">
      <c r="A498" s="58">
        <v>46080</v>
      </c>
      <c r="B498" s="59">
        <v>2</v>
      </c>
      <c r="C498" s="59" t="s">
        <v>1133</v>
      </c>
      <c r="D498" s="59">
        <v>1044281</v>
      </c>
      <c r="E498" s="59" t="s">
        <v>1134</v>
      </c>
      <c r="F498" s="59" t="s">
        <v>1135</v>
      </c>
      <c r="G498" s="59" t="s">
        <v>1136</v>
      </c>
      <c r="H498" s="59" t="s">
        <v>1155</v>
      </c>
      <c r="I498" s="60">
        <v>45566</v>
      </c>
      <c r="J498" s="59" t="s">
        <v>332</v>
      </c>
      <c r="K498" s="59" t="s">
        <v>1142</v>
      </c>
      <c r="L498" s="61">
        <v>8485618.3800000008</v>
      </c>
      <c r="M498" s="59"/>
      <c r="N498" s="61">
        <v>8485618.3800000008</v>
      </c>
      <c r="O498" s="61">
        <v>5508815143.8482056</v>
      </c>
    </row>
    <row r="499" spans="1:15" x14ac:dyDescent="0.25">
      <c r="A499" s="62">
        <v>46080</v>
      </c>
      <c r="B499">
        <v>2</v>
      </c>
      <c r="C499" t="s">
        <v>1133</v>
      </c>
      <c r="D499">
        <v>1044281</v>
      </c>
      <c r="E499" t="s">
        <v>1134</v>
      </c>
      <c r="F499" t="s">
        <v>1135</v>
      </c>
      <c r="G499" t="s">
        <v>1136</v>
      </c>
      <c r="H499" t="s">
        <v>1155</v>
      </c>
      <c r="I499" s="63">
        <v>45597</v>
      </c>
      <c r="J499" t="s">
        <v>332</v>
      </c>
      <c r="K499" t="s">
        <v>1142</v>
      </c>
      <c r="L499" s="64">
        <v>6133679.7300000004</v>
      </c>
      <c r="N499" s="64">
        <v>6133679.7300000004</v>
      </c>
      <c r="O499" s="64">
        <v>5514948823.5782051</v>
      </c>
    </row>
    <row r="500" spans="1:15" x14ac:dyDescent="0.25">
      <c r="A500" s="58">
        <v>46084</v>
      </c>
      <c r="B500" s="59">
        <v>3</v>
      </c>
      <c r="C500" s="59" t="s">
        <v>1161</v>
      </c>
      <c r="D500" s="59">
        <v>1044126</v>
      </c>
      <c r="E500" s="59" t="s">
        <v>1134</v>
      </c>
      <c r="F500" s="59" t="s">
        <v>1135</v>
      </c>
      <c r="G500" s="59" t="s">
        <v>1136</v>
      </c>
      <c r="H500" s="59" t="s">
        <v>1175</v>
      </c>
      <c r="I500" s="60">
        <v>45992</v>
      </c>
      <c r="J500" s="59" t="s">
        <v>336</v>
      </c>
      <c r="K500" s="59" t="s">
        <v>1150</v>
      </c>
      <c r="L500" s="61">
        <v>49536452.600000001</v>
      </c>
      <c r="M500" s="59"/>
      <c r="N500" s="61">
        <v>49536452.600000001</v>
      </c>
      <c r="O500" s="61">
        <v>5678894471.7972059</v>
      </c>
    </row>
    <row r="501" spans="1:15" x14ac:dyDescent="0.25">
      <c r="A501" s="62">
        <v>46084</v>
      </c>
      <c r="B501">
        <v>3</v>
      </c>
      <c r="C501" t="s">
        <v>1161</v>
      </c>
      <c r="D501">
        <v>1044246</v>
      </c>
      <c r="E501" t="s">
        <v>1134</v>
      </c>
      <c r="F501" t="s">
        <v>1135</v>
      </c>
      <c r="G501" t="s">
        <v>1136</v>
      </c>
      <c r="H501" t="s">
        <v>1153</v>
      </c>
      <c r="I501" s="63">
        <v>45992</v>
      </c>
      <c r="J501" t="s">
        <v>336</v>
      </c>
      <c r="K501" t="s">
        <v>1150</v>
      </c>
      <c r="L501" s="64">
        <v>338961.4</v>
      </c>
      <c r="N501" s="64">
        <v>338961.4</v>
      </c>
      <c r="O501" s="64">
        <v>5691087385.0372066</v>
      </c>
    </row>
    <row r="502" spans="1:15" x14ac:dyDescent="0.25">
      <c r="A502" s="58">
        <v>46084</v>
      </c>
      <c r="B502" s="59">
        <v>3</v>
      </c>
      <c r="C502" s="59" t="s">
        <v>1161</v>
      </c>
      <c r="D502" s="59">
        <v>1044165</v>
      </c>
      <c r="E502" s="59" t="s">
        <v>1134</v>
      </c>
      <c r="F502" s="59" t="s">
        <v>1135</v>
      </c>
      <c r="G502" s="59" t="s">
        <v>1136</v>
      </c>
      <c r="H502" s="59" t="s">
        <v>1162</v>
      </c>
      <c r="I502" s="60">
        <v>46023</v>
      </c>
      <c r="J502" s="59" t="s">
        <v>337</v>
      </c>
      <c r="K502" s="59" t="s">
        <v>1172</v>
      </c>
      <c r="L502" s="61">
        <v>925571.32</v>
      </c>
      <c r="M502" s="59"/>
      <c r="N502" s="61">
        <v>925571.32</v>
      </c>
      <c r="O502" s="61">
        <v>5720234357.3372059</v>
      </c>
    </row>
    <row r="503" spans="1:15" x14ac:dyDescent="0.25">
      <c r="A503" s="62">
        <v>46084</v>
      </c>
      <c r="B503">
        <v>3</v>
      </c>
      <c r="C503" t="s">
        <v>1161</v>
      </c>
      <c r="D503">
        <v>1044235</v>
      </c>
      <c r="E503" t="s">
        <v>1134</v>
      </c>
      <c r="F503" t="s">
        <v>1135</v>
      </c>
      <c r="G503" t="s">
        <v>1136</v>
      </c>
      <c r="H503" t="s">
        <v>1152</v>
      </c>
      <c r="I503" s="63">
        <v>46023</v>
      </c>
      <c r="J503" t="s">
        <v>337</v>
      </c>
      <c r="K503" t="s">
        <v>1172</v>
      </c>
      <c r="L503" s="64">
        <v>3411781.4</v>
      </c>
      <c r="N503" s="64">
        <v>3411781.4</v>
      </c>
      <c r="O503" s="64">
        <v>5723646138.7372065</v>
      </c>
    </row>
    <row r="504" spans="1:15" x14ac:dyDescent="0.25">
      <c r="A504" s="58">
        <v>46084</v>
      </c>
      <c r="B504" s="59">
        <v>3</v>
      </c>
      <c r="C504" s="59" t="s">
        <v>1161</v>
      </c>
      <c r="D504" s="59">
        <v>1044495</v>
      </c>
      <c r="E504" s="59" t="s">
        <v>1134</v>
      </c>
      <c r="F504" s="59" t="s">
        <v>1135</v>
      </c>
      <c r="G504" s="59" t="s">
        <v>1136</v>
      </c>
      <c r="H504" s="59" t="s">
        <v>1173</v>
      </c>
      <c r="I504" s="60">
        <v>46023</v>
      </c>
      <c r="J504" s="59" t="s">
        <v>337</v>
      </c>
      <c r="K504" s="59" t="s">
        <v>1172</v>
      </c>
      <c r="L504" s="61">
        <v>423809.76</v>
      </c>
      <c r="M504" s="59"/>
      <c r="N504" s="61">
        <v>423809.76</v>
      </c>
      <c r="O504" s="61">
        <v>5724069948.4972057</v>
      </c>
    </row>
    <row r="505" spans="1:15" x14ac:dyDescent="0.25">
      <c r="A505" s="62">
        <v>46084</v>
      </c>
      <c r="B505">
        <v>3</v>
      </c>
      <c r="C505" t="s">
        <v>1161</v>
      </c>
      <c r="D505">
        <v>1044275</v>
      </c>
      <c r="E505" t="s">
        <v>1134</v>
      </c>
      <c r="F505" t="s">
        <v>1135</v>
      </c>
      <c r="G505" t="s">
        <v>1136</v>
      </c>
      <c r="H505" t="s">
        <v>1154</v>
      </c>
      <c r="I505" s="63">
        <v>46023</v>
      </c>
      <c r="J505" t="s">
        <v>337</v>
      </c>
      <c r="K505" t="s">
        <v>1172</v>
      </c>
      <c r="L505" s="64">
        <v>239177.67</v>
      </c>
      <c r="N505" s="64">
        <v>239177.67</v>
      </c>
      <c r="O505" s="64">
        <v>5724309126.1672058</v>
      </c>
    </row>
    <row r="506" spans="1:15" x14ac:dyDescent="0.25">
      <c r="A506" s="58">
        <v>46084</v>
      </c>
      <c r="B506" s="59">
        <v>3</v>
      </c>
      <c r="C506" s="59" t="s">
        <v>1161</v>
      </c>
      <c r="D506" s="59">
        <v>1044285</v>
      </c>
      <c r="E506" s="59" t="s">
        <v>1134</v>
      </c>
      <c r="F506" s="59" t="s">
        <v>1135</v>
      </c>
      <c r="G506" s="59" t="s">
        <v>1136</v>
      </c>
      <c r="H506" s="59" t="s">
        <v>1155</v>
      </c>
      <c r="I506" s="60">
        <v>46023</v>
      </c>
      <c r="J506" s="59" t="s">
        <v>337</v>
      </c>
      <c r="K506" s="59" t="s">
        <v>1172</v>
      </c>
      <c r="L506" s="61">
        <v>721600</v>
      </c>
      <c r="M506" s="59"/>
      <c r="N506" s="61">
        <v>721600</v>
      </c>
      <c r="O506" s="61">
        <v>5725030726.1672058</v>
      </c>
    </row>
    <row r="507" spans="1:15" x14ac:dyDescent="0.25">
      <c r="A507" s="62">
        <v>46084</v>
      </c>
      <c r="B507">
        <v>3</v>
      </c>
      <c r="C507" t="s">
        <v>1161</v>
      </c>
      <c r="D507">
        <v>1044465</v>
      </c>
      <c r="E507" t="s">
        <v>1134</v>
      </c>
      <c r="F507" t="s">
        <v>1135</v>
      </c>
      <c r="G507" t="s">
        <v>1136</v>
      </c>
      <c r="H507" t="s">
        <v>1140</v>
      </c>
      <c r="I507" s="63">
        <v>46023</v>
      </c>
      <c r="J507" t="s">
        <v>337</v>
      </c>
      <c r="K507" t="s">
        <v>1172</v>
      </c>
      <c r="L507" s="64">
        <v>370223.7</v>
      </c>
      <c r="N507" s="64">
        <v>370223.7</v>
      </c>
      <c r="O507" s="64">
        <v>5725400949.8672056</v>
      </c>
    </row>
    <row r="508" spans="1:15" x14ac:dyDescent="0.25">
      <c r="A508" s="58">
        <v>46084</v>
      </c>
      <c r="B508" s="59">
        <v>3</v>
      </c>
      <c r="C508" s="59" t="s">
        <v>1161</v>
      </c>
      <c r="D508" s="59">
        <v>1044405</v>
      </c>
      <c r="E508" s="59" t="s">
        <v>1134</v>
      </c>
      <c r="F508" s="59" t="s">
        <v>1135</v>
      </c>
      <c r="G508" s="59" t="s">
        <v>1136</v>
      </c>
      <c r="H508" s="59" t="s">
        <v>1159</v>
      </c>
      <c r="I508" s="60">
        <v>46023</v>
      </c>
      <c r="J508" s="59" t="s">
        <v>337</v>
      </c>
      <c r="K508" s="59" t="s">
        <v>1172</v>
      </c>
      <c r="L508" s="61">
        <v>174142.34</v>
      </c>
      <c r="M508" s="59"/>
      <c r="N508" s="61">
        <v>174142.34</v>
      </c>
      <c r="O508" s="61">
        <v>5725575092.2072058</v>
      </c>
    </row>
    <row r="509" spans="1:15" x14ac:dyDescent="0.25">
      <c r="A509" s="62">
        <v>46084</v>
      </c>
      <c r="B509">
        <v>3</v>
      </c>
      <c r="C509" t="s">
        <v>1161</v>
      </c>
      <c r="D509">
        <v>1044425</v>
      </c>
      <c r="E509" t="s">
        <v>1134</v>
      </c>
      <c r="F509" t="s">
        <v>1135</v>
      </c>
      <c r="G509" t="s">
        <v>1136</v>
      </c>
      <c r="H509" t="s">
        <v>1165</v>
      </c>
      <c r="I509" s="63">
        <v>46023</v>
      </c>
      <c r="J509" t="s">
        <v>337</v>
      </c>
      <c r="K509" t="s">
        <v>1172</v>
      </c>
      <c r="L509" s="64">
        <v>1536282.6472</v>
      </c>
      <c r="N509" s="64">
        <v>1536282.6472</v>
      </c>
      <c r="O509" s="64">
        <v>5727111374.8544054</v>
      </c>
    </row>
    <row r="510" spans="1:15" x14ac:dyDescent="0.25">
      <c r="A510" s="58">
        <v>46085</v>
      </c>
      <c r="B510" s="59">
        <v>3</v>
      </c>
      <c r="C510" s="59" t="s">
        <v>1166</v>
      </c>
      <c r="D510" s="59">
        <v>1044312</v>
      </c>
      <c r="E510" s="59" t="s">
        <v>1134</v>
      </c>
      <c r="F510" s="59" t="s">
        <v>1135</v>
      </c>
      <c r="G510" s="59" t="s">
        <v>1136</v>
      </c>
      <c r="H510" s="59" t="s">
        <v>1137</v>
      </c>
      <c r="I510" s="60">
        <v>46054</v>
      </c>
      <c r="J510" s="59" t="s">
        <v>338</v>
      </c>
      <c r="K510" s="59" t="s">
        <v>1138</v>
      </c>
      <c r="L510" s="61">
        <v>57925193.619999997</v>
      </c>
      <c r="M510" s="59"/>
      <c r="N510" s="61">
        <v>57925193.619999997</v>
      </c>
      <c r="O510" s="61">
        <v>5785036568.4744053</v>
      </c>
    </row>
    <row r="511" spans="1:15" x14ac:dyDescent="0.25">
      <c r="A511" s="62">
        <v>46085</v>
      </c>
      <c r="B511">
        <v>3</v>
      </c>
      <c r="C511" t="s">
        <v>1166</v>
      </c>
      <c r="D511">
        <v>1044202</v>
      </c>
      <c r="E511" t="s">
        <v>1134</v>
      </c>
      <c r="F511" t="s">
        <v>1135</v>
      </c>
      <c r="G511" t="s">
        <v>1136</v>
      </c>
      <c r="H511" t="s">
        <v>1139</v>
      </c>
      <c r="I511" s="63">
        <v>46054</v>
      </c>
      <c r="J511" t="s">
        <v>338</v>
      </c>
      <c r="K511" t="s">
        <v>1138</v>
      </c>
      <c r="L511" s="64">
        <v>28192900</v>
      </c>
      <c r="N511" s="64">
        <v>28192900</v>
      </c>
      <c r="O511" s="64">
        <v>5813229468.4744053</v>
      </c>
    </row>
    <row r="512" spans="1:15" x14ac:dyDescent="0.25">
      <c r="A512" s="58">
        <v>46085</v>
      </c>
      <c r="B512" s="59">
        <v>3</v>
      </c>
      <c r="C512" s="59" t="s">
        <v>1166</v>
      </c>
      <c r="D512" s="59">
        <v>1044462</v>
      </c>
      <c r="E512" s="59" t="s">
        <v>1134</v>
      </c>
      <c r="F512" s="59" t="s">
        <v>1135</v>
      </c>
      <c r="G512" s="59" t="s">
        <v>1136</v>
      </c>
      <c r="H512" s="59" t="s">
        <v>1140</v>
      </c>
      <c r="I512" s="60">
        <v>46054</v>
      </c>
      <c r="J512" s="59" t="s">
        <v>338</v>
      </c>
      <c r="K512" s="59" t="s">
        <v>1138</v>
      </c>
      <c r="L512" s="61">
        <v>4803431.08</v>
      </c>
      <c r="M512" s="59"/>
      <c r="N512" s="61">
        <v>4803431.08</v>
      </c>
      <c r="O512" s="61">
        <v>5818032899.5544052</v>
      </c>
    </row>
    <row r="513" spans="1:15" x14ac:dyDescent="0.25">
      <c r="A513" s="62">
        <v>46085</v>
      </c>
      <c r="B513">
        <v>3</v>
      </c>
      <c r="C513" t="s">
        <v>1166</v>
      </c>
      <c r="D513">
        <v>1044312</v>
      </c>
      <c r="E513" t="s">
        <v>1134</v>
      </c>
      <c r="F513" t="s">
        <v>1135</v>
      </c>
      <c r="G513" t="s">
        <v>1136</v>
      </c>
      <c r="H513" t="s">
        <v>1137</v>
      </c>
      <c r="I513" s="63">
        <v>45689</v>
      </c>
      <c r="J513" t="s">
        <v>338</v>
      </c>
      <c r="K513" t="s">
        <v>1138</v>
      </c>
      <c r="L513" s="64">
        <v>6334416</v>
      </c>
      <c r="N513" s="64">
        <v>6334416</v>
      </c>
      <c r="O513" s="64">
        <v>5824367315.5544052</v>
      </c>
    </row>
    <row r="514" spans="1:15" x14ac:dyDescent="0.25">
      <c r="A514" s="58">
        <v>46086</v>
      </c>
      <c r="B514" s="59">
        <v>3</v>
      </c>
      <c r="C514" s="59" t="s">
        <v>1171</v>
      </c>
      <c r="D514" s="59">
        <v>2054322</v>
      </c>
      <c r="E514" s="59" t="s">
        <v>1167</v>
      </c>
      <c r="F514" s="59" t="s">
        <v>1169</v>
      </c>
      <c r="G514" s="59" t="s">
        <v>1136</v>
      </c>
      <c r="H514" s="59" t="s">
        <v>1143</v>
      </c>
      <c r="I514" s="60">
        <v>46054</v>
      </c>
      <c r="J514" s="59" t="s">
        <v>341</v>
      </c>
      <c r="K514" s="59" t="s">
        <v>1138</v>
      </c>
      <c r="L514" s="59"/>
      <c r="M514" s="61">
        <v>25191300</v>
      </c>
      <c r="N514" s="61">
        <v>-25191300</v>
      </c>
      <c r="O514" s="61">
        <v>5867900450.9744053</v>
      </c>
    </row>
    <row r="515" spans="1:15" x14ac:dyDescent="0.25">
      <c r="A515" s="62">
        <v>46086</v>
      </c>
      <c r="B515">
        <v>3</v>
      </c>
      <c r="C515" t="s">
        <v>1171</v>
      </c>
      <c r="D515">
        <v>2034412</v>
      </c>
      <c r="E515" t="s">
        <v>1167</v>
      </c>
      <c r="F515" t="s">
        <v>1168</v>
      </c>
      <c r="G515" t="s">
        <v>1136</v>
      </c>
      <c r="H515" t="s">
        <v>1160</v>
      </c>
      <c r="I515" s="63">
        <v>46054</v>
      </c>
      <c r="J515" t="s">
        <v>342</v>
      </c>
      <c r="K515" t="s">
        <v>1138</v>
      </c>
      <c r="M515" s="64">
        <v>5547629.5099999998</v>
      </c>
      <c r="N515" s="64">
        <v>-5547629.5099999998</v>
      </c>
      <c r="O515" s="64">
        <v>5862352821.4644051</v>
      </c>
    </row>
    <row r="516" spans="1:15" x14ac:dyDescent="0.25">
      <c r="A516" s="58">
        <v>46086</v>
      </c>
      <c r="B516" s="59">
        <v>3</v>
      </c>
      <c r="C516" s="59" t="s">
        <v>1171</v>
      </c>
      <c r="D516" s="59">
        <v>2034413</v>
      </c>
      <c r="E516" s="59" t="s">
        <v>1167</v>
      </c>
      <c r="F516" s="59" t="s">
        <v>1168</v>
      </c>
      <c r="G516" s="59" t="s">
        <v>1136</v>
      </c>
      <c r="H516" s="59" t="s">
        <v>1160</v>
      </c>
      <c r="I516" s="60">
        <v>46054</v>
      </c>
      <c r="J516" s="59" t="s">
        <v>343</v>
      </c>
      <c r="K516" s="59" t="s">
        <v>1146</v>
      </c>
      <c r="L516" s="59"/>
      <c r="M516" s="61">
        <v>12592897.08</v>
      </c>
      <c r="N516" s="61">
        <v>-12592897.08</v>
      </c>
      <c r="O516" s="61">
        <v>5849759924.3844051</v>
      </c>
    </row>
    <row r="517" spans="1:15" x14ac:dyDescent="0.25">
      <c r="A517" s="62">
        <v>46086</v>
      </c>
      <c r="B517">
        <v>3</v>
      </c>
      <c r="C517" t="s">
        <v>1171</v>
      </c>
      <c r="D517">
        <v>2034414</v>
      </c>
      <c r="E517" t="s">
        <v>1167</v>
      </c>
      <c r="F517" t="s">
        <v>1168</v>
      </c>
      <c r="G517" t="s">
        <v>1136</v>
      </c>
      <c r="H517" t="s">
        <v>1160</v>
      </c>
      <c r="I517" s="63">
        <v>46054</v>
      </c>
      <c r="J517" t="s">
        <v>344</v>
      </c>
      <c r="K517" t="s">
        <v>1148</v>
      </c>
      <c r="M517" s="64">
        <v>15276800.65</v>
      </c>
      <c r="N517" s="64">
        <v>-15276800.65</v>
      </c>
      <c r="O517" s="64">
        <v>5834483123.7344065</v>
      </c>
    </row>
    <row r="518" spans="1:15" x14ac:dyDescent="0.25">
      <c r="A518" s="58">
        <v>46086</v>
      </c>
      <c r="B518" s="59">
        <v>3</v>
      </c>
      <c r="C518" s="59" t="s">
        <v>1171</v>
      </c>
      <c r="D518" s="59">
        <v>2014425</v>
      </c>
      <c r="E518" s="59" t="s">
        <v>1167</v>
      </c>
      <c r="F518" s="59" t="s">
        <v>1174</v>
      </c>
      <c r="G518" s="59" t="s">
        <v>1136</v>
      </c>
      <c r="H518" s="59" t="s">
        <v>1165</v>
      </c>
      <c r="I518" s="60">
        <v>46054</v>
      </c>
      <c r="J518" s="59" t="s">
        <v>345</v>
      </c>
      <c r="K518" s="59" t="s">
        <v>1172</v>
      </c>
      <c r="L518" s="59"/>
      <c r="M518" s="61">
        <v>1470282.34</v>
      </c>
      <c r="N518" s="61">
        <v>-1470282.34</v>
      </c>
      <c r="O518" s="61">
        <v>5833012841.3944054</v>
      </c>
    </row>
    <row r="519" spans="1:15" x14ac:dyDescent="0.25">
      <c r="A519" s="62">
        <v>46086</v>
      </c>
      <c r="B519">
        <v>3</v>
      </c>
      <c r="C519" t="s">
        <v>1171</v>
      </c>
      <c r="D519">
        <v>2014275</v>
      </c>
      <c r="E519" t="s">
        <v>1167</v>
      </c>
      <c r="F519" t="s">
        <v>1174</v>
      </c>
      <c r="G519" t="s">
        <v>1136</v>
      </c>
      <c r="H519" t="s">
        <v>1154</v>
      </c>
      <c r="I519" s="63">
        <v>46054</v>
      </c>
      <c r="J519" t="s">
        <v>346</v>
      </c>
      <c r="K519" t="s">
        <v>1172</v>
      </c>
      <c r="M519" s="64">
        <v>616043.11</v>
      </c>
      <c r="N519" s="64">
        <v>-616043.11</v>
      </c>
      <c r="O519" s="64">
        <v>5832396798.2844057</v>
      </c>
    </row>
    <row r="520" spans="1:15" x14ac:dyDescent="0.25">
      <c r="A520" s="58">
        <v>46086</v>
      </c>
      <c r="B520" s="59">
        <v>3</v>
      </c>
      <c r="C520" s="59" t="s">
        <v>1171</v>
      </c>
      <c r="D520" s="59">
        <v>1044161</v>
      </c>
      <c r="E520" s="59" t="s">
        <v>1134</v>
      </c>
      <c r="F520" s="59" t="s">
        <v>1135</v>
      </c>
      <c r="G520" s="59" t="s">
        <v>1136</v>
      </c>
      <c r="H520" s="59" t="s">
        <v>1162</v>
      </c>
      <c r="I520" s="60">
        <v>46023</v>
      </c>
      <c r="J520" s="59" t="s">
        <v>347</v>
      </c>
      <c r="K520" s="59" t="s">
        <v>1142</v>
      </c>
      <c r="L520" s="61">
        <v>457750</v>
      </c>
      <c r="M520" s="59"/>
      <c r="N520" s="61">
        <v>457750</v>
      </c>
      <c r="O520" s="61">
        <v>5832854548.2844057</v>
      </c>
    </row>
    <row r="521" spans="1:15" x14ac:dyDescent="0.25">
      <c r="A521" s="62">
        <v>46086</v>
      </c>
      <c r="B521">
        <v>3</v>
      </c>
      <c r="C521" t="s">
        <v>1171</v>
      </c>
      <c r="D521">
        <v>1044171</v>
      </c>
      <c r="E521" t="s">
        <v>1134</v>
      </c>
      <c r="F521" t="s">
        <v>1135</v>
      </c>
      <c r="G521" t="s">
        <v>1136</v>
      </c>
      <c r="H521" t="s">
        <v>1147</v>
      </c>
      <c r="I521" s="63">
        <v>46023</v>
      </c>
      <c r="J521" t="s">
        <v>347</v>
      </c>
      <c r="K521" t="s">
        <v>1142</v>
      </c>
      <c r="L521" s="64">
        <v>272935.13</v>
      </c>
      <c r="N521" s="64">
        <v>272935.13</v>
      </c>
      <c r="O521" s="64">
        <v>5833127483.4144058</v>
      </c>
    </row>
    <row r="522" spans="1:15" x14ac:dyDescent="0.25">
      <c r="A522" s="58">
        <v>46086</v>
      </c>
      <c r="B522" s="59">
        <v>3</v>
      </c>
      <c r="C522" s="59" t="s">
        <v>1171</v>
      </c>
      <c r="D522" s="59">
        <v>1044261</v>
      </c>
      <c r="E522" s="59" t="s">
        <v>1134</v>
      </c>
      <c r="F522" s="59" t="s">
        <v>1135</v>
      </c>
      <c r="G522" s="59" t="s">
        <v>1136</v>
      </c>
      <c r="H522" s="59" t="s">
        <v>1145</v>
      </c>
      <c r="I522" s="60">
        <v>46023</v>
      </c>
      <c r="J522" s="59" t="s">
        <v>347</v>
      </c>
      <c r="K522" s="59" t="s">
        <v>1142</v>
      </c>
      <c r="L522" s="61">
        <v>1201061.5</v>
      </c>
      <c r="M522" s="59"/>
      <c r="N522" s="61">
        <v>1201061.5</v>
      </c>
      <c r="O522" s="61">
        <v>5834328544.9144058</v>
      </c>
    </row>
    <row r="523" spans="1:15" x14ac:dyDescent="0.25">
      <c r="A523" s="62">
        <v>46086</v>
      </c>
      <c r="B523">
        <v>3</v>
      </c>
      <c r="C523" t="s">
        <v>1171</v>
      </c>
      <c r="D523">
        <v>1044351</v>
      </c>
      <c r="E523" t="s">
        <v>1134</v>
      </c>
      <c r="F523" t="s">
        <v>1135</v>
      </c>
      <c r="G523" t="s">
        <v>1136</v>
      </c>
      <c r="H523" t="s">
        <v>1157</v>
      </c>
      <c r="I523" s="63">
        <v>46023</v>
      </c>
      <c r="J523" t="s">
        <v>347</v>
      </c>
      <c r="K523" t="s">
        <v>1142</v>
      </c>
      <c r="L523" s="64">
        <v>1944075.84</v>
      </c>
      <c r="N523" s="64">
        <v>1944075.84</v>
      </c>
      <c r="O523" s="64">
        <v>5836272620.754406</v>
      </c>
    </row>
    <row r="524" spans="1:15" x14ac:dyDescent="0.25">
      <c r="A524" s="58">
        <v>46086</v>
      </c>
      <c r="B524" s="59">
        <v>3</v>
      </c>
      <c r="C524" s="59" t="s">
        <v>1171</v>
      </c>
      <c r="D524" s="59">
        <v>1044361</v>
      </c>
      <c r="E524" s="59" t="s">
        <v>1134</v>
      </c>
      <c r="F524" s="59" t="s">
        <v>1135</v>
      </c>
      <c r="G524" s="59" t="s">
        <v>1136</v>
      </c>
      <c r="H524" s="59" t="s">
        <v>1158</v>
      </c>
      <c r="I524" s="60">
        <v>46023</v>
      </c>
      <c r="J524" s="59" t="s">
        <v>347</v>
      </c>
      <c r="K524" s="59" t="s">
        <v>1142</v>
      </c>
      <c r="L524" s="61">
        <v>979021.8</v>
      </c>
      <c r="M524" s="59"/>
      <c r="N524" s="61">
        <v>979021.8</v>
      </c>
      <c r="O524" s="61">
        <v>5837251642.5544062</v>
      </c>
    </row>
    <row r="525" spans="1:15" x14ac:dyDescent="0.25">
      <c r="A525" s="62">
        <v>46086</v>
      </c>
      <c r="B525">
        <v>3</v>
      </c>
      <c r="C525" t="s">
        <v>1171</v>
      </c>
      <c r="D525">
        <v>1044401</v>
      </c>
      <c r="E525" t="s">
        <v>1134</v>
      </c>
      <c r="F525" t="s">
        <v>1135</v>
      </c>
      <c r="G525" t="s">
        <v>1136</v>
      </c>
      <c r="H525" t="s">
        <v>1159</v>
      </c>
      <c r="I525" s="63">
        <v>46023</v>
      </c>
      <c r="J525" t="s">
        <v>347</v>
      </c>
      <c r="K525" t="s">
        <v>1142</v>
      </c>
      <c r="L525" s="64">
        <v>1549490.5</v>
      </c>
      <c r="N525" s="64">
        <v>1549490.5</v>
      </c>
      <c r="O525" s="64">
        <v>5838801133.0544062</v>
      </c>
    </row>
    <row r="526" spans="1:15" x14ac:dyDescent="0.25">
      <c r="A526" s="58">
        <v>46087</v>
      </c>
      <c r="B526" s="59">
        <v>3</v>
      </c>
      <c r="C526" s="59" t="s">
        <v>1133</v>
      </c>
      <c r="D526" s="59">
        <v>2054324</v>
      </c>
      <c r="E526" s="59" t="s">
        <v>1167</v>
      </c>
      <c r="F526" s="59" t="s">
        <v>1169</v>
      </c>
      <c r="G526" s="59" t="s">
        <v>1136</v>
      </c>
      <c r="H526" s="59" t="s">
        <v>1143</v>
      </c>
      <c r="I526" s="60">
        <v>46054</v>
      </c>
      <c r="J526" s="59" t="s">
        <v>348</v>
      </c>
      <c r="K526" s="59" t="s">
        <v>1148</v>
      </c>
      <c r="L526" s="59"/>
      <c r="M526" s="61">
        <v>62920200</v>
      </c>
      <c r="N526" s="61">
        <v>-62920200</v>
      </c>
      <c r="O526" s="61">
        <v>5775880933.0544062</v>
      </c>
    </row>
    <row r="527" spans="1:15" x14ac:dyDescent="0.25">
      <c r="A527" s="62">
        <v>46087</v>
      </c>
      <c r="B527">
        <v>3</v>
      </c>
      <c r="C527" t="s">
        <v>1133</v>
      </c>
      <c r="D527">
        <v>2054326</v>
      </c>
      <c r="E527" t="s">
        <v>1167</v>
      </c>
      <c r="F527" t="s">
        <v>1169</v>
      </c>
      <c r="G527" t="s">
        <v>1136</v>
      </c>
      <c r="H527" t="s">
        <v>1143</v>
      </c>
      <c r="I527" s="63">
        <v>46054</v>
      </c>
      <c r="J527" t="s">
        <v>348</v>
      </c>
      <c r="K527" t="s">
        <v>1150</v>
      </c>
      <c r="M527" s="64">
        <v>616245.44999999995</v>
      </c>
      <c r="N527" s="64">
        <v>-616245.44999999995</v>
      </c>
      <c r="O527" s="64">
        <v>5775264687.6044064</v>
      </c>
    </row>
    <row r="528" spans="1:15" x14ac:dyDescent="0.25">
      <c r="A528" s="58">
        <v>46087</v>
      </c>
      <c r="B528" s="59">
        <v>3</v>
      </c>
      <c r="C528" s="59" t="s">
        <v>1133</v>
      </c>
      <c r="D528" s="59">
        <v>2054321</v>
      </c>
      <c r="E528" s="59" t="s">
        <v>1167</v>
      </c>
      <c r="F528" s="59" t="s">
        <v>1169</v>
      </c>
      <c r="G528" s="59" t="s">
        <v>1136</v>
      </c>
      <c r="H528" s="59" t="s">
        <v>1143</v>
      </c>
      <c r="I528" s="60">
        <v>46054</v>
      </c>
      <c r="J528" s="59" t="s">
        <v>349</v>
      </c>
      <c r="K528" s="59" t="s">
        <v>1142</v>
      </c>
      <c r="L528" s="59"/>
      <c r="M528" s="61">
        <v>33212856</v>
      </c>
      <c r="N528" s="61">
        <v>-33212856</v>
      </c>
      <c r="O528" s="61">
        <v>5742051831.6044064</v>
      </c>
    </row>
    <row r="529" spans="1:15" x14ac:dyDescent="0.25">
      <c r="A529" s="62">
        <v>46087</v>
      </c>
      <c r="B529">
        <v>3</v>
      </c>
      <c r="C529" t="s">
        <v>1133</v>
      </c>
      <c r="D529">
        <v>2034411</v>
      </c>
      <c r="E529" t="s">
        <v>1167</v>
      </c>
      <c r="F529" t="s">
        <v>1168</v>
      </c>
      <c r="G529" t="s">
        <v>1136</v>
      </c>
      <c r="H529" t="s">
        <v>1160</v>
      </c>
      <c r="I529" s="63">
        <v>46054</v>
      </c>
      <c r="J529" t="s">
        <v>350</v>
      </c>
      <c r="K529" t="s">
        <v>1142</v>
      </c>
      <c r="M529" s="64">
        <v>5723520.5</v>
      </c>
      <c r="N529" s="64">
        <v>-5723520.5</v>
      </c>
      <c r="O529" s="64">
        <v>5736328311.1044064</v>
      </c>
    </row>
    <row r="530" spans="1:15" x14ac:dyDescent="0.25">
      <c r="A530" s="58">
        <v>46087</v>
      </c>
      <c r="B530" s="59">
        <v>3</v>
      </c>
      <c r="C530" s="59" t="s">
        <v>1133</v>
      </c>
      <c r="D530" s="59">
        <v>2034244</v>
      </c>
      <c r="E530" s="59" t="s">
        <v>1167</v>
      </c>
      <c r="F530" s="59" t="s">
        <v>1168</v>
      </c>
      <c r="G530" s="59" t="s">
        <v>1136</v>
      </c>
      <c r="H530" s="59" t="s">
        <v>1153</v>
      </c>
      <c r="I530" s="60">
        <v>46054</v>
      </c>
      <c r="J530" s="59" t="s">
        <v>351</v>
      </c>
      <c r="K530" s="59" t="s">
        <v>1148</v>
      </c>
      <c r="L530" s="59"/>
      <c r="M530" s="61">
        <v>10311415.390000001</v>
      </c>
      <c r="N530" s="61">
        <v>-10311415.390000001</v>
      </c>
      <c r="O530" s="61">
        <v>5726016895.714406</v>
      </c>
    </row>
    <row r="531" spans="1:15" x14ac:dyDescent="0.25">
      <c r="A531" s="62">
        <v>46087</v>
      </c>
      <c r="B531">
        <v>3</v>
      </c>
      <c r="C531" t="s">
        <v>1133</v>
      </c>
      <c r="D531">
        <v>2054372</v>
      </c>
      <c r="E531" t="s">
        <v>1167</v>
      </c>
      <c r="F531" t="s">
        <v>1169</v>
      </c>
      <c r="G531" t="s">
        <v>1136</v>
      </c>
      <c r="H531" t="s">
        <v>1141</v>
      </c>
      <c r="I531" s="63">
        <v>46054</v>
      </c>
      <c r="J531" t="s">
        <v>352</v>
      </c>
      <c r="K531" t="s">
        <v>1138</v>
      </c>
      <c r="M531" s="64">
        <v>33953519.009999998</v>
      </c>
      <c r="N531" s="64">
        <v>-33953519.009999998</v>
      </c>
      <c r="O531" s="64">
        <v>5692063376.7044058</v>
      </c>
    </row>
    <row r="532" spans="1:15" x14ac:dyDescent="0.25">
      <c r="A532" s="58">
        <v>46087</v>
      </c>
      <c r="B532" s="59">
        <v>3</v>
      </c>
      <c r="C532" s="59" t="s">
        <v>1133</v>
      </c>
      <c r="D532" s="59">
        <v>2054374</v>
      </c>
      <c r="E532" s="59" t="s">
        <v>1167</v>
      </c>
      <c r="F532" s="59" t="s">
        <v>1169</v>
      </c>
      <c r="G532" s="59" t="s">
        <v>1136</v>
      </c>
      <c r="H532" s="59" t="s">
        <v>1141</v>
      </c>
      <c r="I532" s="60">
        <v>46054</v>
      </c>
      <c r="J532" s="59" t="s">
        <v>353</v>
      </c>
      <c r="K532" s="59" t="s">
        <v>1148</v>
      </c>
      <c r="L532" s="59"/>
      <c r="M532" s="61">
        <v>25254635.34</v>
      </c>
      <c r="N532" s="61">
        <v>-25254635.34</v>
      </c>
      <c r="O532" s="61">
        <v>5666808741.3644056</v>
      </c>
    </row>
    <row r="533" spans="1:15" x14ac:dyDescent="0.25">
      <c r="A533" s="62">
        <v>46087</v>
      </c>
      <c r="B533">
        <v>3</v>
      </c>
      <c r="C533" t="s">
        <v>1133</v>
      </c>
      <c r="D533">
        <v>2014272</v>
      </c>
      <c r="E533" t="s">
        <v>1167</v>
      </c>
      <c r="F533" t="s">
        <v>1174</v>
      </c>
      <c r="G533" t="s">
        <v>1136</v>
      </c>
      <c r="H533" t="s">
        <v>1154</v>
      </c>
      <c r="I533" s="63">
        <v>46054</v>
      </c>
      <c r="J533" t="s">
        <v>354</v>
      </c>
      <c r="K533" t="s">
        <v>1138</v>
      </c>
      <c r="M533" s="64">
        <v>634695.4</v>
      </c>
      <c r="N533" s="64">
        <v>-634695.4</v>
      </c>
      <c r="O533" s="64">
        <v>5666174045.964406</v>
      </c>
    </row>
    <row r="534" spans="1:15" x14ac:dyDescent="0.25">
      <c r="A534" s="58">
        <v>46087</v>
      </c>
      <c r="B534" s="59">
        <v>3</v>
      </c>
      <c r="C534" s="59" t="s">
        <v>1133</v>
      </c>
      <c r="D534" s="59">
        <v>2014274</v>
      </c>
      <c r="E534" s="59" t="s">
        <v>1167</v>
      </c>
      <c r="F534" s="59" t="s">
        <v>1174</v>
      </c>
      <c r="G534" s="59" t="s">
        <v>1136</v>
      </c>
      <c r="H534" s="59" t="s">
        <v>1154</v>
      </c>
      <c r="I534" s="60">
        <v>46054</v>
      </c>
      <c r="J534" s="59" t="s">
        <v>355</v>
      </c>
      <c r="K534" s="59" t="s">
        <v>1148</v>
      </c>
      <c r="L534" s="59"/>
      <c r="M534" s="61">
        <v>11021819.550000001</v>
      </c>
      <c r="N534" s="61">
        <v>-11021819.550000001</v>
      </c>
      <c r="O534" s="61">
        <v>5655152226.4144058</v>
      </c>
    </row>
    <row r="535" spans="1:15" x14ac:dyDescent="0.25">
      <c r="A535" s="62">
        <v>46087</v>
      </c>
      <c r="B535">
        <v>3</v>
      </c>
      <c r="C535" t="s">
        <v>1133</v>
      </c>
      <c r="D535">
        <v>2014214</v>
      </c>
      <c r="E535" t="s">
        <v>1167</v>
      </c>
      <c r="F535" t="s">
        <v>1174</v>
      </c>
      <c r="G535" t="s">
        <v>1136</v>
      </c>
      <c r="H535" t="s">
        <v>1151</v>
      </c>
      <c r="I535" s="63">
        <v>46054</v>
      </c>
      <c r="J535" t="s">
        <v>356</v>
      </c>
      <c r="K535" t="s">
        <v>1148</v>
      </c>
      <c r="M535" s="64">
        <v>4070135.95</v>
      </c>
      <c r="N535" s="64">
        <v>-4070135.95</v>
      </c>
      <c r="O535" s="64">
        <v>5651082090.464406</v>
      </c>
    </row>
    <row r="536" spans="1:15" x14ac:dyDescent="0.25">
      <c r="A536" s="58">
        <v>46087</v>
      </c>
      <c r="B536" s="59">
        <v>3</v>
      </c>
      <c r="C536" s="59" t="s">
        <v>1133</v>
      </c>
      <c r="D536" s="59">
        <v>2054197</v>
      </c>
      <c r="E536" s="59" t="s">
        <v>1167</v>
      </c>
      <c r="F536" s="59" t="s">
        <v>1169</v>
      </c>
      <c r="G536" s="59" t="s">
        <v>1136</v>
      </c>
      <c r="H536" s="59" t="s">
        <v>1149</v>
      </c>
      <c r="I536" s="60">
        <v>46054</v>
      </c>
      <c r="J536" s="59" t="s">
        <v>357</v>
      </c>
      <c r="K536" s="59" t="s">
        <v>1170</v>
      </c>
      <c r="L536" s="59"/>
      <c r="M536" s="61">
        <v>418440</v>
      </c>
      <c r="N536" s="61">
        <v>-418440</v>
      </c>
      <c r="O536" s="61">
        <v>5650663650.464406</v>
      </c>
    </row>
    <row r="537" spans="1:15" x14ac:dyDescent="0.25">
      <c r="A537" s="62">
        <v>46087</v>
      </c>
      <c r="B537">
        <v>3</v>
      </c>
      <c r="C537" t="s">
        <v>1133</v>
      </c>
      <c r="D537">
        <v>1044122</v>
      </c>
      <c r="E537" t="s">
        <v>1134</v>
      </c>
      <c r="F537" t="s">
        <v>1135</v>
      </c>
      <c r="G537" t="s">
        <v>1136</v>
      </c>
      <c r="H537" t="s">
        <v>1175</v>
      </c>
      <c r="I537" s="63">
        <v>45689</v>
      </c>
      <c r="J537" t="s">
        <v>359</v>
      </c>
      <c r="K537" t="s">
        <v>1138</v>
      </c>
      <c r="L537" s="64">
        <v>4248059.8600000003</v>
      </c>
      <c r="N537" s="64">
        <v>4248059.8600000003</v>
      </c>
      <c r="O537" s="64">
        <v>5656430378.1744061</v>
      </c>
    </row>
    <row r="538" spans="1:15" x14ac:dyDescent="0.25">
      <c r="A538" s="58">
        <v>46087</v>
      </c>
      <c r="B538" s="59">
        <v>3</v>
      </c>
      <c r="C538" s="59" t="s">
        <v>1133</v>
      </c>
      <c r="D538" s="59">
        <v>1044122</v>
      </c>
      <c r="E538" s="59" t="s">
        <v>1134</v>
      </c>
      <c r="F538" s="59" t="s">
        <v>1135</v>
      </c>
      <c r="G538" s="59" t="s">
        <v>1136</v>
      </c>
      <c r="H538" s="59" t="s">
        <v>1175</v>
      </c>
      <c r="I538" s="60">
        <v>45717</v>
      </c>
      <c r="J538" s="59" t="s">
        <v>359</v>
      </c>
      <c r="K538" s="59" t="s">
        <v>1138</v>
      </c>
      <c r="L538" s="61">
        <v>5588225.7300000004</v>
      </c>
      <c r="M538" s="59"/>
      <c r="N538" s="61">
        <v>5588225.7300000004</v>
      </c>
      <c r="O538" s="61">
        <v>5662018603.9044056</v>
      </c>
    </row>
    <row r="539" spans="1:15" x14ac:dyDescent="0.25">
      <c r="A539" s="62">
        <v>46087</v>
      </c>
      <c r="B539">
        <v>3</v>
      </c>
      <c r="C539" t="s">
        <v>1133</v>
      </c>
      <c r="D539">
        <v>1044122</v>
      </c>
      <c r="E539" t="s">
        <v>1134</v>
      </c>
      <c r="F539" t="s">
        <v>1135</v>
      </c>
      <c r="G539" t="s">
        <v>1136</v>
      </c>
      <c r="H539" t="s">
        <v>1175</v>
      </c>
      <c r="I539" s="63">
        <v>45748</v>
      </c>
      <c r="J539" t="s">
        <v>359</v>
      </c>
      <c r="K539" t="s">
        <v>1138</v>
      </c>
      <c r="L539" s="64">
        <v>6337906.0199999996</v>
      </c>
      <c r="N539" s="64">
        <v>6337906.0199999996</v>
      </c>
      <c r="O539" s="64">
        <v>5668356509.9244061</v>
      </c>
    </row>
    <row r="540" spans="1:15" x14ac:dyDescent="0.25">
      <c r="A540" s="58">
        <v>46090</v>
      </c>
      <c r="B540" s="59">
        <v>3</v>
      </c>
      <c r="C540" s="59" t="s">
        <v>1144</v>
      </c>
      <c r="D540" s="59">
        <v>2044495</v>
      </c>
      <c r="E540" s="59" t="s">
        <v>1167</v>
      </c>
      <c r="F540" s="59" t="s">
        <v>1135</v>
      </c>
      <c r="G540" s="59" t="s">
        <v>1136</v>
      </c>
      <c r="H540" s="59" t="s">
        <v>1173</v>
      </c>
      <c r="I540" s="60">
        <v>46054</v>
      </c>
      <c r="J540" s="59" t="s">
        <v>360</v>
      </c>
      <c r="K540" s="59" t="s">
        <v>1172</v>
      </c>
      <c r="L540" s="59"/>
      <c r="M540" s="61">
        <v>185042.88</v>
      </c>
      <c r="N540" s="61">
        <v>-185042.88</v>
      </c>
      <c r="O540" s="61">
        <v>5668171467.0444059</v>
      </c>
    </row>
    <row r="541" spans="1:15" x14ac:dyDescent="0.25">
      <c r="A541" s="62">
        <v>46090</v>
      </c>
      <c r="B541">
        <v>3</v>
      </c>
      <c r="C541" t="s">
        <v>1144</v>
      </c>
      <c r="D541">
        <v>2054196</v>
      </c>
      <c r="E541" t="s">
        <v>1167</v>
      </c>
      <c r="F541" t="s">
        <v>1169</v>
      </c>
      <c r="G541" t="s">
        <v>1136</v>
      </c>
      <c r="H541" t="s">
        <v>1149</v>
      </c>
      <c r="I541" s="63">
        <v>46054</v>
      </c>
      <c r="J541" t="s">
        <v>361</v>
      </c>
      <c r="K541" t="s">
        <v>1150</v>
      </c>
      <c r="M541" s="64">
        <v>10049513.560000001</v>
      </c>
      <c r="N541" s="64">
        <v>-10049513.560000001</v>
      </c>
      <c r="O541" s="64">
        <v>5658121953.4844065</v>
      </c>
    </row>
    <row r="542" spans="1:15" x14ac:dyDescent="0.25">
      <c r="A542" s="58">
        <v>46090</v>
      </c>
      <c r="B542" s="59">
        <v>3</v>
      </c>
      <c r="C542" s="59" t="s">
        <v>1144</v>
      </c>
      <c r="D542" s="59">
        <v>2014422</v>
      </c>
      <c r="E542" s="59" t="s">
        <v>1167</v>
      </c>
      <c r="F542" s="59" t="s">
        <v>1174</v>
      </c>
      <c r="G542" s="59" t="s">
        <v>1136</v>
      </c>
      <c r="H542" s="59" t="s">
        <v>1165</v>
      </c>
      <c r="I542" s="60">
        <v>46054</v>
      </c>
      <c r="J542" s="59" t="s">
        <v>362</v>
      </c>
      <c r="K542" s="59" t="s">
        <v>1138</v>
      </c>
      <c r="L542" s="59"/>
      <c r="M542" s="61">
        <v>75239528</v>
      </c>
      <c r="N542" s="61">
        <v>-75239528</v>
      </c>
      <c r="O542" s="61">
        <v>5582882425.4844065</v>
      </c>
    </row>
    <row r="543" spans="1:15" x14ac:dyDescent="0.25">
      <c r="A543" s="62">
        <v>46090</v>
      </c>
      <c r="B543">
        <v>3</v>
      </c>
      <c r="C543" t="s">
        <v>1144</v>
      </c>
      <c r="D543">
        <v>2014427</v>
      </c>
      <c r="E543" t="s">
        <v>1167</v>
      </c>
      <c r="F543" t="s">
        <v>1174</v>
      </c>
      <c r="G543" t="s">
        <v>1136</v>
      </c>
      <c r="H543" t="s">
        <v>1165</v>
      </c>
      <c r="I543" s="63">
        <v>46054</v>
      </c>
      <c r="J543" t="s">
        <v>362</v>
      </c>
      <c r="K543" t="s">
        <v>1170</v>
      </c>
      <c r="M543" s="64">
        <v>60</v>
      </c>
      <c r="N543" s="64">
        <v>-60</v>
      </c>
      <c r="O543" s="64">
        <v>5582882365.4844065</v>
      </c>
    </row>
    <row r="544" spans="1:15" x14ac:dyDescent="0.25">
      <c r="A544" s="58">
        <v>46090</v>
      </c>
      <c r="B544" s="59">
        <v>3</v>
      </c>
      <c r="C544" s="59" t="s">
        <v>1144</v>
      </c>
      <c r="D544" s="59">
        <v>2014422</v>
      </c>
      <c r="E544" s="59" t="s">
        <v>1167</v>
      </c>
      <c r="F544" s="59" t="s">
        <v>1174</v>
      </c>
      <c r="G544" s="59" t="s">
        <v>1136</v>
      </c>
      <c r="H544" s="59" t="s">
        <v>1165</v>
      </c>
      <c r="I544" s="60">
        <v>46054</v>
      </c>
      <c r="J544" s="59" t="s">
        <v>362</v>
      </c>
      <c r="K544" s="59" t="s">
        <v>1138</v>
      </c>
      <c r="L544" s="59"/>
      <c r="M544" s="61">
        <v>4816201</v>
      </c>
      <c r="N544" s="61">
        <v>-4816201</v>
      </c>
      <c r="O544" s="61">
        <v>5578066164.4844065</v>
      </c>
    </row>
    <row r="545" spans="1:15" x14ac:dyDescent="0.25">
      <c r="A545" s="62">
        <v>46090</v>
      </c>
      <c r="B545">
        <v>3</v>
      </c>
      <c r="C545" t="s">
        <v>1144</v>
      </c>
      <c r="D545">
        <v>2034243</v>
      </c>
      <c r="E545" t="s">
        <v>1167</v>
      </c>
      <c r="F545" t="s">
        <v>1168</v>
      </c>
      <c r="G545" t="s">
        <v>1136</v>
      </c>
      <c r="H545" t="s">
        <v>1153</v>
      </c>
      <c r="I545" s="63">
        <v>46054</v>
      </c>
      <c r="J545" t="s">
        <v>363</v>
      </c>
      <c r="K545" t="s">
        <v>1146</v>
      </c>
      <c r="M545" s="64">
        <v>11613335.560000001</v>
      </c>
      <c r="N545" s="64">
        <v>-11613335.560000001</v>
      </c>
      <c r="O545" s="64">
        <v>5566452828.9244051</v>
      </c>
    </row>
    <row r="546" spans="1:15" x14ac:dyDescent="0.25">
      <c r="A546" s="58">
        <v>46090</v>
      </c>
      <c r="B546" s="59">
        <v>3</v>
      </c>
      <c r="C546" s="59" t="s">
        <v>1144</v>
      </c>
      <c r="D546" s="59">
        <v>2034235</v>
      </c>
      <c r="E546" s="59" t="s">
        <v>1167</v>
      </c>
      <c r="F546" s="59" t="s">
        <v>1168</v>
      </c>
      <c r="G546" s="59" t="s">
        <v>1136</v>
      </c>
      <c r="H546" s="59" t="s">
        <v>1152</v>
      </c>
      <c r="I546" s="60">
        <v>46054</v>
      </c>
      <c r="J546" s="59" t="s">
        <v>369</v>
      </c>
      <c r="K546" s="59" t="s">
        <v>1172</v>
      </c>
      <c r="L546" s="59"/>
      <c r="M546" s="61">
        <v>3528652.85</v>
      </c>
      <c r="N546" s="61">
        <v>-3528652.85</v>
      </c>
      <c r="O546" s="61">
        <v>4578167986.8644037</v>
      </c>
    </row>
    <row r="547" spans="1:15" x14ac:dyDescent="0.25">
      <c r="A547" s="62">
        <v>46090</v>
      </c>
      <c r="B547">
        <v>3</v>
      </c>
      <c r="C547" t="s">
        <v>1144</v>
      </c>
      <c r="D547">
        <v>1044507</v>
      </c>
      <c r="E547" t="s">
        <v>1134</v>
      </c>
      <c r="F547" t="s">
        <v>1135</v>
      </c>
      <c r="G547" t="s">
        <v>1136</v>
      </c>
      <c r="H547" t="s">
        <v>1175</v>
      </c>
      <c r="I547" s="63">
        <v>46054</v>
      </c>
      <c r="J547" t="s">
        <v>370</v>
      </c>
      <c r="K547" t="s">
        <v>1170</v>
      </c>
      <c r="L547" s="64">
        <v>18506357.640000001</v>
      </c>
      <c r="N547" s="64">
        <v>18506357.640000001</v>
      </c>
      <c r="O547" s="64">
        <v>5481022340.6710062</v>
      </c>
    </row>
    <row r="548" spans="1:15" x14ac:dyDescent="0.25">
      <c r="A548" s="58">
        <v>46090</v>
      </c>
      <c r="B548" s="59">
        <v>3</v>
      </c>
      <c r="C548" s="59" t="s">
        <v>1144</v>
      </c>
      <c r="D548" s="59">
        <v>1044167</v>
      </c>
      <c r="E548" s="59" t="s">
        <v>1134</v>
      </c>
      <c r="F548" s="59" t="s">
        <v>1135</v>
      </c>
      <c r="G548" s="59" t="s">
        <v>1136</v>
      </c>
      <c r="H548" s="59" t="s">
        <v>1162</v>
      </c>
      <c r="I548" s="60">
        <v>46054</v>
      </c>
      <c r="J548" s="59" t="s">
        <v>370</v>
      </c>
      <c r="K548" s="59" t="s">
        <v>1170</v>
      </c>
      <c r="L548" s="61">
        <v>122452.5</v>
      </c>
      <c r="M548" s="59"/>
      <c r="N548" s="61">
        <v>122452.5</v>
      </c>
      <c r="O548" s="61">
        <v>5481164300.1710062</v>
      </c>
    </row>
    <row r="549" spans="1:15" x14ac:dyDescent="0.25">
      <c r="A549" s="62">
        <v>46090</v>
      </c>
      <c r="B549">
        <v>3</v>
      </c>
      <c r="C549" t="s">
        <v>1144</v>
      </c>
      <c r="D549">
        <v>1044197</v>
      </c>
      <c r="E549" t="s">
        <v>1134</v>
      </c>
      <c r="F549" t="s">
        <v>1135</v>
      </c>
      <c r="G549" t="s">
        <v>1136</v>
      </c>
      <c r="H549" t="s">
        <v>1149</v>
      </c>
      <c r="I549" s="63">
        <v>46054</v>
      </c>
      <c r="J549" t="s">
        <v>370</v>
      </c>
      <c r="K549" t="s">
        <v>1170</v>
      </c>
      <c r="L549" s="64">
        <v>804000</v>
      </c>
      <c r="N549" s="64">
        <v>804000</v>
      </c>
      <c r="O549" s="64">
        <v>5482208485.5010061</v>
      </c>
    </row>
    <row r="550" spans="1:15" x14ac:dyDescent="0.25">
      <c r="A550" s="58">
        <v>46090</v>
      </c>
      <c r="B550" s="59">
        <v>3</v>
      </c>
      <c r="C550" s="59" t="s">
        <v>1144</v>
      </c>
      <c r="D550" s="59">
        <v>1044287</v>
      </c>
      <c r="E550" s="59" t="s">
        <v>1134</v>
      </c>
      <c r="F550" s="59" t="s">
        <v>1135</v>
      </c>
      <c r="G550" s="59" t="s">
        <v>1136</v>
      </c>
      <c r="H550" s="59" t="s">
        <v>1155</v>
      </c>
      <c r="I550" s="60">
        <v>46054</v>
      </c>
      <c r="J550" s="59" t="s">
        <v>370</v>
      </c>
      <c r="K550" s="59" t="s">
        <v>1170</v>
      </c>
      <c r="L550" s="61">
        <v>2000</v>
      </c>
      <c r="M550" s="59"/>
      <c r="N550" s="61">
        <v>2000</v>
      </c>
      <c r="O550" s="61">
        <v>5482238485.5010061</v>
      </c>
    </row>
    <row r="551" spans="1:15" x14ac:dyDescent="0.25">
      <c r="A551" s="62">
        <v>46090</v>
      </c>
      <c r="B551">
        <v>3</v>
      </c>
      <c r="C551" t="s">
        <v>1144</v>
      </c>
      <c r="D551">
        <v>1044427</v>
      </c>
      <c r="E551" t="s">
        <v>1134</v>
      </c>
      <c r="F551" t="s">
        <v>1135</v>
      </c>
      <c r="G551" t="s">
        <v>1136</v>
      </c>
      <c r="H551" t="s">
        <v>1165</v>
      </c>
      <c r="I551" s="63">
        <v>46054</v>
      </c>
      <c r="J551" t="s">
        <v>370</v>
      </c>
      <c r="K551" t="s">
        <v>1170</v>
      </c>
      <c r="L551" s="64">
        <v>166</v>
      </c>
      <c r="N551" s="64">
        <v>166</v>
      </c>
      <c r="O551" s="64">
        <v>5482490160.4310064</v>
      </c>
    </row>
    <row r="552" spans="1:15" x14ac:dyDescent="0.25">
      <c r="A552" s="58">
        <v>46091</v>
      </c>
      <c r="B552" s="59">
        <v>3</v>
      </c>
      <c r="C552" s="59" t="s">
        <v>1161</v>
      </c>
      <c r="D552" s="59">
        <v>2014211</v>
      </c>
      <c r="E552" s="59" t="s">
        <v>1167</v>
      </c>
      <c r="F552" s="59" t="s">
        <v>1174</v>
      </c>
      <c r="G552" s="59" t="s">
        <v>1136</v>
      </c>
      <c r="H552" s="59" t="s">
        <v>1151</v>
      </c>
      <c r="I552" s="60">
        <v>46054</v>
      </c>
      <c r="J552" s="59" t="s">
        <v>376</v>
      </c>
      <c r="K552" s="59" t="s">
        <v>1142</v>
      </c>
      <c r="L552" s="59"/>
      <c r="M552" s="61">
        <v>10081910.5</v>
      </c>
      <c r="N552" s="61">
        <v>-10081910.5</v>
      </c>
      <c r="O552" s="61">
        <v>5472408249.9310064</v>
      </c>
    </row>
    <row r="553" spans="1:15" x14ac:dyDescent="0.25">
      <c r="A553" s="62">
        <v>46091</v>
      </c>
      <c r="B553">
        <v>3</v>
      </c>
      <c r="C553" t="s">
        <v>1161</v>
      </c>
      <c r="D553">
        <v>2014212</v>
      </c>
      <c r="E553" t="s">
        <v>1167</v>
      </c>
      <c r="F553" t="s">
        <v>1174</v>
      </c>
      <c r="G553" t="s">
        <v>1136</v>
      </c>
      <c r="H553" t="s">
        <v>1151</v>
      </c>
      <c r="I553" s="63">
        <v>46054</v>
      </c>
      <c r="J553" t="s">
        <v>377</v>
      </c>
      <c r="K553" t="s">
        <v>1138</v>
      </c>
      <c r="M553" s="64">
        <v>5390940.6100000003</v>
      </c>
      <c r="N553" s="64">
        <v>-5390940.6100000003</v>
      </c>
      <c r="O553" s="64">
        <v>5467017309.3210068</v>
      </c>
    </row>
    <row r="554" spans="1:15" x14ac:dyDescent="0.25">
      <c r="A554" s="58">
        <v>46091</v>
      </c>
      <c r="B554" s="59">
        <v>3</v>
      </c>
      <c r="C554" s="59" t="s">
        <v>1161</v>
      </c>
      <c r="D554" s="59">
        <v>2014421</v>
      </c>
      <c r="E554" s="59" t="s">
        <v>1167</v>
      </c>
      <c r="F554" s="59" t="s">
        <v>1174</v>
      </c>
      <c r="G554" s="59" t="s">
        <v>1136</v>
      </c>
      <c r="H554" s="59" t="s">
        <v>1165</v>
      </c>
      <c r="I554" s="60">
        <v>46054</v>
      </c>
      <c r="J554" s="59" t="s">
        <v>378</v>
      </c>
      <c r="K554" s="59" t="s">
        <v>1142</v>
      </c>
      <c r="L554" s="59"/>
      <c r="M554" s="61">
        <v>55180333.649999999</v>
      </c>
      <c r="N554" s="61">
        <v>-55180333.649999999</v>
      </c>
      <c r="O554" s="61">
        <v>5411836975.6710072</v>
      </c>
    </row>
    <row r="555" spans="1:15" x14ac:dyDescent="0.25">
      <c r="A555" s="62">
        <v>46091</v>
      </c>
      <c r="B555">
        <v>3</v>
      </c>
      <c r="C555" t="s">
        <v>1161</v>
      </c>
      <c r="D555">
        <v>2034241</v>
      </c>
      <c r="E555" t="s">
        <v>1167</v>
      </c>
      <c r="F555" t="s">
        <v>1168</v>
      </c>
      <c r="G555" t="s">
        <v>1136</v>
      </c>
      <c r="H555" t="s">
        <v>1153</v>
      </c>
      <c r="I555" s="63">
        <v>46054</v>
      </c>
      <c r="J555" t="s">
        <v>379</v>
      </c>
      <c r="K555" t="s">
        <v>1142</v>
      </c>
      <c r="M555" s="64">
        <v>5591498.5</v>
      </c>
      <c r="N555" s="64">
        <v>-5591498.5</v>
      </c>
      <c r="O555" s="64">
        <v>5406245477.1710072</v>
      </c>
    </row>
    <row r="556" spans="1:15" x14ac:dyDescent="0.25">
      <c r="A556" s="58">
        <v>46091</v>
      </c>
      <c r="B556" s="59">
        <v>3</v>
      </c>
      <c r="C556" s="59" t="s">
        <v>1161</v>
      </c>
      <c r="D556" s="59">
        <v>2054371</v>
      </c>
      <c r="E556" s="59" t="s">
        <v>1167</v>
      </c>
      <c r="F556" s="59" t="s">
        <v>1169</v>
      </c>
      <c r="G556" s="59" t="s">
        <v>1136</v>
      </c>
      <c r="H556" s="59" t="s">
        <v>1141</v>
      </c>
      <c r="I556" s="60">
        <v>46054</v>
      </c>
      <c r="J556" s="59" t="s">
        <v>380</v>
      </c>
      <c r="K556" s="59" t="s">
        <v>1142</v>
      </c>
      <c r="L556" s="59"/>
      <c r="M556" s="61">
        <v>36098317.32</v>
      </c>
      <c r="N556" s="61">
        <v>-36098317.32</v>
      </c>
      <c r="O556" s="61">
        <v>5370147159.8510075</v>
      </c>
    </row>
    <row r="557" spans="1:15" x14ac:dyDescent="0.25">
      <c r="A557" s="62">
        <v>46091</v>
      </c>
      <c r="B557">
        <v>3</v>
      </c>
      <c r="C557" t="s">
        <v>1161</v>
      </c>
      <c r="D557">
        <v>2054391</v>
      </c>
      <c r="E557" t="s">
        <v>1167</v>
      </c>
      <c r="F557" t="s">
        <v>1169</v>
      </c>
      <c r="G557" t="s">
        <v>1136</v>
      </c>
      <c r="H557" t="s">
        <v>1164</v>
      </c>
      <c r="I557" s="63">
        <v>46054</v>
      </c>
      <c r="J557" t="s">
        <v>381</v>
      </c>
      <c r="K557" t="s">
        <v>1142</v>
      </c>
      <c r="M557" s="64">
        <v>17752426.75</v>
      </c>
      <c r="N557" s="64">
        <v>-17752426.75</v>
      </c>
      <c r="O557" s="64">
        <v>5352394733.1010075</v>
      </c>
    </row>
    <row r="558" spans="1:15" x14ac:dyDescent="0.25">
      <c r="A558" s="58">
        <v>46091</v>
      </c>
      <c r="B558" s="59">
        <v>3</v>
      </c>
      <c r="C558" s="59" t="s">
        <v>1161</v>
      </c>
      <c r="D558" s="59">
        <v>2014271</v>
      </c>
      <c r="E558" s="59" t="s">
        <v>1167</v>
      </c>
      <c r="F558" s="59" t="s">
        <v>1174</v>
      </c>
      <c r="G558" s="59" t="s">
        <v>1136</v>
      </c>
      <c r="H558" s="59" t="s">
        <v>1154</v>
      </c>
      <c r="I558" s="60">
        <v>46054</v>
      </c>
      <c r="J558" s="59" t="s">
        <v>382</v>
      </c>
      <c r="K558" s="59" t="s">
        <v>1142</v>
      </c>
      <c r="L558" s="59"/>
      <c r="M558" s="61">
        <v>17678984.16</v>
      </c>
      <c r="N558" s="61">
        <v>-17678984.16</v>
      </c>
      <c r="O558" s="61">
        <v>5334715748.9410076</v>
      </c>
    </row>
    <row r="559" spans="1:15" x14ac:dyDescent="0.25">
      <c r="A559" s="62">
        <v>46091</v>
      </c>
      <c r="B559">
        <v>3</v>
      </c>
      <c r="C559" t="s">
        <v>1161</v>
      </c>
      <c r="D559">
        <v>2054281</v>
      </c>
      <c r="E559" t="s">
        <v>1167</v>
      </c>
      <c r="F559" t="s">
        <v>1169</v>
      </c>
      <c r="G559" t="s">
        <v>1136</v>
      </c>
      <c r="H559" t="s">
        <v>1155</v>
      </c>
      <c r="I559" s="63">
        <v>46054</v>
      </c>
      <c r="J559" t="s">
        <v>383</v>
      </c>
      <c r="K559" t="s">
        <v>1142</v>
      </c>
      <c r="M559" s="64">
        <v>40745807.840000004</v>
      </c>
      <c r="N559" s="64">
        <v>-40745807.840000004</v>
      </c>
      <c r="O559" s="64">
        <v>5293969941.1010075</v>
      </c>
    </row>
    <row r="560" spans="1:15" x14ac:dyDescent="0.25">
      <c r="A560" s="58">
        <v>46091</v>
      </c>
      <c r="B560" s="59">
        <v>3</v>
      </c>
      <c r="C560" s="59" t="s">
        <v>1161</v>
      </c>
      <c r="D560" s="59">
        <v>2054282</v>
      </c>
      <c r="E560" s="59" t="s">
        <v>1167</v>
      </c>
      <c r="F560" s="59" t="s">
        <v>1169</v>
      </c>
      <c r="G560" s="59" t="s">
        <v>1136</v>
      </c>
      <c r="H560" s="59" t="s">
        <v>1155</v>
      </c>
      <c r="I560" s="60">
        <v>46054</v>
      </c>
      <c r="J560" s="59" t="s">
        <v>384</v>
      </c>
      <c r="K560" s="59" t="s">
        <v>1138</v>
      </c>
      <c r="L560" s="59"/>
      <c r="M560" s="61">
        <v>45209300</v>
      </c>
      <c r="N560" s="61">
        <v>-45209300</v>
      </c>
      <c r="O560" s="61">
        <v>5248760641.1010075</v>
      </c>
    </row>
    <row r="561" spans="1:15" x14ac:dyDescent="0.25">
      <c r="A561" s="62">
        <v>46091</v>
      </c>
      <c r="B561">
        <v>3</v>
      </c>
      <c r="C561" t="s">
        <v>1161</v>
      </c>
      <c r="D561">
        <v>2054287</v>
      </c>
      <c r="E561" t="s">
        <v>1167</v>
      </c>
      <c r="F561" t="s">
        <v>1169</v>
      </c>
      <c r="G561" t="s">
        <v>1136</v>
      </c>
      <c r="H561" t="s">
        <v>1155</v>
      </c>
      <c r="I561" s="63">
        <v>46054</v>
      </c>
      <c r="J561" t="s">
        <v>384</v>
      </c>
      <c r="K561" t="s">
        <v>1170</v>
      </c>
      <c r="M561" s="64">
        <v>11000</v>
      </c>
      <c r="N561" s="64">
        <v>-11000</v>
      </c>
      <c r="O561" s="64">
        <v>5248749641.1010075</v>
      </c>
    </row>
    <row r="562" spans="1:15" x14ac:dyDescent="0.25">
      <c r="A562" s="58">
        <v>46091</v>
      </c>
      <c r="B562" s="59">
        <v>3</v>
      </c>
      <c r="C562" s="59" t="s">
        <v>1161</v>
      </c>
      <c r="D562" s="59">
        <v>2054284</v>
      </c>
      <c r="E562" s="59" t="s">
        <v>1167</v>
      </c>
      <c r="F562" s="59" t="s">
        <v>1169</v>
      </c>
      <c r="G562" s="59" t="s">
        <v>1136</v>
      </c>
      <c r="H562" s="59" t="s">
        <v>1155</v>
      </c>
      <c r="I562" s="60">
        <v>46054</v>
      </c>
      <c r="J562" s="59" t="s">
        <v>385</v>
      </c>
      <c r="K562" s="59" t="s">
        <v>1148</v>
      </c>
      <c r="L562" s="59"/>
      <c r="M562" s="61">
        <v>149456300</v>
      </c>
      <c r="N562" s="61">
        <v>-149456300</v>
      </c>
      <c r="O562" s="61">
        <v>5099304341.1010075</v>
      </c>
    </row>
    <row r="563" spans="1:15" x14ac:dyDescent="0.25">
      <c r="A563" s="62">
        <v>46091</v>
      </c>
      <c r="B563">
        <v>3</v>
      </c>
      <c r="C563" t="s">
        <v>1161</v>
      </c>
      <c r="D563">
        <v>2054286</v>
      </c>
      <c r="E563" t="s">
        <v>1167</v>
      </c>
      <c r="F563" t="s">
        <v>1169</v>
      </c>
      <c r="G563" t="s">
        <v>1136</v>
      </c>
      <c r="H563" t="s">
        <v>1155</v>
      </c>
      <c r="I563" s="63">
        <v>46054</v>
      </c>
      <c r="J563" t="s">
        <v>385</v>
      </c>
      <c r="K563" t="s">
        <v>1150</v>
      </c>
      <c r="M563" s="64">
        <v>3057599.79</v>
      </c>
      <c r="N563" s="64">
        <v>-3057599.79</v>
      </c>
      <c r="O563" s="64">
        <v>5096246741.3110065</v>
      </c>
    </row>
    <row r="564" spans="1:15" x14ac:dyDescent="0.25">
      <c r="A564" s="58">
        <v>46091</v>
      </c>
      <c r="B564" s="59">
        <v>3</v>
      </c>
      <c r="C564" s="59" t="s">
        <v>1161</v>
      </c>
      <c r="D564" s="59">
        <v>2054285</v>
      </c>
      <c r="E564" s="59" t="s">
        <v>1167</v>
      </c>
      <c r="F564" s="59" t="s">
        <v>1169</v>
      </c>
      <c r="G564" s="59" t="s">
        <v>1136</v>
      </c>
      <c r="H564" s="59" t="s">
        <v>1155</v>
      </c>
      <c r="I564" s="60">
        <v>46054</v>
      </c>
      <c r="J564" s="59" t="s">
        <v>386</v>
      </c>
      <c r="K564" s="59" t="s">
        <v>1172</v>
      </c>
      <c r="L564" s="59"/>
      <c r="M564" s="61">
        <v>343220</v>
      </c>
      <c r="N564" s="61">
        <v>-343220</v>
      </c>
      <c r="O564" s="61">
        <v>5095903521.3110065</v>
      </c>
    </row>
    <row r="565" spans="1:15" x14ac:dyDescent="0.25">
      <c r="A565" s="62">
        <v>46091</v>
      </c>
      <c r="B565">
        <v>3</v>
      </c>
      <c r="C565" t="s">
        <v>1161</v>
      </c>
      <c r="D565">
        <v>2044462</v>
      </c>
      <c r="E565" t="s">
        <v>1167</v>
      </c>
      <c r="F565" t="s">
        <v>1135</v>
      </c>
      <c r="G565" t="s">
        <v>1136</v>
      </c>
      <c r="H565" t="s">
        <v>1140</v>
      </c>
      <c r="I565" s="63">
        <v>46054</v>
      </c>
      <c r="J565" t="s">
        <v>387</v>
      </c>
      <c r="K565" t="s">
        <v>1138</v>
      </c>
      <c r="M565" s="64">
        <v>2649452.61</v>
      </c>
      <c r="N565" s="64">
        <v>-2649452.61</v>
      </c>
      <c r="O565" s="64">
        <v>5093254068.7010078</v>
      </c>
    </row>
    <row r="566" spans="1:15" x14ac:dyDescent="0.25">
      <c r="A566" s="58">
        <v>46091</v>
      </c>
      <c r="B566" s="59">
        <v>3</v>
      </c>
      <c r="C566" s="59" t="s">
        <v>1161</v>
      </c>
      <c r="D566" s="59">
        <v>2034234</v>
      </c>
      <c r="E566" s="59" t="s">
        <v>1167</v>
      </c>
      <c r="F566" s="59" t="s">
        <v>1168</v>
      </c>
      <c r="G566" s="59" t="s">
        <v>1136</v>
      </c>
      <c r="H566" s="59" t="s">
        <v>1152</v>
      </c>
      <c r="I566" s="60">
        <v>46054</v>
      </c>
      <c r="J566" s="59" t="s">
        <v>388</v>
      </c>
      <c r="K566" s="59" t="s">
        <v>1148</v>
      </c>
      <c r="L566" s="59"/>
      <c r="M566" s="61">
        <v>23611223.399999999</v>
      </c>
      <c r="N566" s="61">
        <v>-23611223.399999999</v>
      </c>
      <c r="O566" s="61">
        <v>5072292297.9110079</v>
      </c>
    </row>
    <row r="567" spans="1:15" x14ac:dyDescent="0.25">
      <c r="A567" s="62">
        <v>46091</v>
      </c>
      <c r="B567">
        <v>3</v>
      </c>
      <c r="C567" t="s">
        <v>1161</v>
      </c>
      <c r="D567">
        <v>2044465</v>
      </c>
      <c r="E567" t="s">
        <v>1167</v>
      </c>
      <c r="F567" t="s">
        <v>1135</v>
      </c>
      <c r="G567" t="s">
        <v>1136</v>
      </c>
      <c r="H567" t="s">
        <v>1140</v>
      </c>
      <c r="I567" s="63">
        <v>46054</v>
      </c>
      <c r="J567" t="s">
        <v>389</v>
      </c>
      <c r="K567" t="s">
        <v>1172</v>
      </c>
      <c r="M567" s="64">
        <v>952711.35</v>
      </c>
      <c r="N567" s="64">
        <v>-952711.35</v>
      </c>
      <c r="O567" s="64">
        <v>5071339586.5610065</v>
      </c>
    </row>
    <row r="568" spans="1:15" x14ac:dyDescent="0.25">
      <c r="A568" s="58">
        <v>46092</v>
      </c>
      <c r="B568" s="59">
        <v>3</v>
      </c>
      <c r="C568" s="59" t="s">
        <v>1166</v>
      </c>
      <c r="D568" s="59">
        <v>2054312</v>
      </c>
      <c r="E568" s="59" t="s">
        <v>1167</v>
      </c>
      <c r="F568" s="59" t="s">
        <v>1169</v>
      </c>
      <c r="G568" s="59" t="s">
        <v>1136</v>
      </c>
      <c r="H568" s="59" t="s">
        <v>1137</v>
      </c>
      <c r="I568" s="60">
        <v>45689</v>
      </c>
      <c r="J568" s="59" t="s">
        <v>390</v>
      </c>
      <c r="K568" s="59" t="s">
        <v>1138</v>
      </c>
      <c r="L568" s="59"/>
      <c r="M568" s="61">
        <v>7133786</v>
      </c>
      <c r="N568" s="61">
        <v>-7133786</v>
      </c>
      <c r="O568" s="61">
        <v>5064205800.5610065</v>
      </c>
    </row>
    <row r="569" spans="1:15" x14ac:dyDescent="0.25">
      <c r="A569" s="62">
        <v>46092</v>
      </c>
      <c r="B569">
        <v>3</v>
      </c>
      <c r="C569" t="s">
        <v>1166</v>
      </c>
      <c r="D569">
        <v>2044463</v>
      </c>
      <c r="E569" t="s">
        <v>1167</v>
      </c>
      <c r="F569" t="s">
        <v>1135</v>
      </c>
      <c r="G569" t="s">
        <v>1136</v>
      </c>
      <c r="H569" t="s">
        <v>1140</v>
      </c>
      <c r="I569" s="63">
        <v>46054</v>
      </c>
      <c r="J569" t="s">
        <v>391</v>
      </c>
      <c r="K569" t="s">
        <v>1146</v>
      </c>
      <c r="M569" s="64">
        <v>2538041.08</v>
      </c>
      <c r="N569" s="64">
        <v>-2538041.08</v>
      </c>
      <c r="O569" s="64">
        <v>5061667759.4810076</v>
      </c>
    </row>
    <row r="570" spans="1:15" x14ac:dyDescent="0.25">
      <c r="A570" s="58">
        <v>46092</v>
      </c>
      <c r="B570" s="59">
        <v>3</v>
      </c>
      <c r="C570" s="59" t="s">
        <v>1166</v>
      </c>
      <c r="D570" s="59">
        <v>1044163</v>
      </c>
      <c r="E570" s="59" t="s">
        <v>1134</v>
      </c>
      <c r="F570" s="59" t="s">
        <v>1135</v>
      </c>
      <c r="G570" s="59" t="s">
        <v>1136</v>
      </c>
      <c r="H570" s="59" t="s">
        <v>1162</v>
      </c>
      <c r="I570" s="60">
        <v>46054</v>
      </c>
      <c r="J570" s="59" t="s">
        <v>392</v>
      </c>
      <c r="K570" s="59" t="s">
        <v>1146</v>
      </c>
      <c r="L570" s="61">
        <v>45004032.380000003</v>
      </c>
      <c r="M570" s="59"/>
      <c r="N570" s="61">
        <v>45004032.380000003</v>
      </c>
      <c r="O570" s="61">
        <v>5235743383.6360083</v>
      </c>
    </row>
    <row r="571" spans="1:15" x14ac:dyDescent="0.25">
      <c r="A571" s="62">
        <v>46092</v>
      </c>
      <c r="B571">
        <v>3</v>
      </c>
      <c r="C571" t="s">
        <v>1166</v>
      </c>
      <c r="D571">
        <v>1044173</v>
      </c>
      <c r="E571" t="s">
        <v>1134</v>
      </c>
      <c r="F571" t="s">
        <v>1135</v>
      </c>
      <c r="G571" t="s">
        <v>1136</v>
      </c>
      <c r="H571" t="s">
        <v>1147</v>
      </c>
      <c r="I571" s="63">
        <v>46054</v>
      </c>
      <c r="J571" t="s">
        <v>392</v>
      </c>
      <c r="K571" t="s">
        <v>1146</v>
      </c>
      <c r="L571" s="64">
        <v>14073140.73</v>
      </c>
      <c r="N571" s="64">
        <v>14073140.73</v>
      </c>
      <c r="O571" s="64">
        <v>5249816524.3660078</v>
      </c>
    </row>
    <row r="572" spans="1:15" x14ac:dyDescent="0.25">
      <c r="A572" s="58">
        <v>46092</v>
      </c>
      <c r="B572" s="59">
        <v>3</v>
      </c>
      <c r="C572" s="59" t="s">
        <v>1166</v>
      </c>
      <c r="D572" s="59">
        <v>1044243</v>
      </c>
      <c r="E572" s="59" t="s">
        <v>1134</v>
      </c>
      <c r="F572" s="59" t="s">
        <v>1135</v>
      </c>
      <c r="G572" s="59" t="s">
        <v>1136</v>
      </c>
      <c r="H572" s="59" t="s">
        <v>1153</v>
      </c>
      <c r="I572" s="60">
        <v>46054</v>
      </c>
      <c r="J572" s="59" t="s">
        <v>392</v>
      </c>
      <c r="K572" s="59" t="s">
        <v>1146</v>
      </c>
      <c r="L572" s="61">
        <v>11613335.265000001</v>
      </c>
      <c r="M572" s="59"/>
      <c r="N572" s="61">
        <v>11613335.265000001</v>
      </c>
      <c r="O572" s="61">
        <v>5261429859.6310081</v>
      </c>
    </row>
    <row r="573" spans="1:15" x14ac:dyDescent="0.25">
      <c r="A573" s="62">
        <v>46092</v>
      </c>
      <c r="B573">
        <v>3</v>
      </c>
      <c r="C573" t="s">
        <v>1166</v>
      </c>
      <c r="D573">
        <v>1044263</v>
      </c>
      <c r="E573" t="s">
        <v>1134</v>
      </c>
      <c r="F573" t="s">
        <v>1135</v>
      </c>
      <c r="G573" t="s">
        <v>1136</v>
      </c>
      <c r="H573" t="s">
        <v>1145</v>
      </c>
      <c r="I573" s="63">
        <v>46054</v>
      </c>
      <c r="J573" t="s">
        <v>392</v>
      </c>
      <c r="K573" t="s">
        <v>1146</v>
      </c>
      <c r="L573" s="64">
        <v>3766850.5</v>
      </c>
      <c r="N573" s="64">
        <v>3766850.5</v>
      </c>
      <c r="O573" s="64">
        <v>5265196710.1310081</v>
      </c>
    </row>
    <row r="574" spans="1:15" x14ac:dyDescent="0.25">
      <c r="A574" s="58">
        <v>46092</v>
      </c>
      <c r="B574" s="59">
        <v>3</v>
      </c>
      <c r="C574" s="59" t="s">
        <v>1166</v>
      </c>
      <c r="D574" s="59">
        <v>1044463</v>
      </c>
      <c r="E574" s="59" t="s">
        <v>1134</v>
      </c>
      <c r="F574" s="59" t="s">
        <v>1135</v>
      </c>
      <c r="G574" s="59" t="s">
        <v>1136</v>
      </c>
      <c r="H574" s="59" t="s">
        <v>1140</v>
      </c>
      <c r="I574" s="60">
        <v>46054</v>
      </c>
      <c r="J574" s="59" t="s">
        <v>392</v>
      </c>
      <c r="K574" s="59" t="s">
        <v>1146</v>
      </c>
      <c r="L574" s="61">
        <v>3626976.145</v>
      </c>
      <c r="M574" s="59"/>
      <c r="N574" s="61">
        <v>3626976.145</v>
      </c>
      <c r="O574" s="61">
        <v>5268823686.2760086</v>
      </c>
    </row>
    <row r="575" spans="1:15" x14ac:dyDescent="0.25">
      <c r="A575" s="62">
        <v>46092</v>
      </c>
      <c r="B575">
        <v>3</v>
      </c>
      <c r="C575" t="s">
        <v>1166</v>
      </c>
      <c r="D575">
        <v>1044353</v>
      </c>
      <c r="E575" t="s">
        <v>1134</v>
      </c>
      <c r="F575" t="s">
        <v>1135</v>
      </c>
      <c r="G575" t="s">
        <v>1136</v>
      </c>
      <c r="H575" t="s">
        <v>1157</v>
      </c>
      <c r="I575" s="63">
        <v>46054</v>
      </c>
      <c r="J575" t="s">
        <v>392</v>
      </c>
      <c r="K575" t="s">
        <v>1146</v>
      </c>
      <c r="L575" s="64">
        <v>7383591.6095999992</v>
      </c>
      <c r="N575" s="64">
        <v>7383591.6095999992</v>
      </c>
      <c r="O575" s="64">
        <v>5276207277.8856087</v>
      </c>
    </row>
    <row r="576" spans="1:15" x14ac:dyDescent="0.25">
      <c r="A576" s="58">
        <v>46092</v>
      </c>
      <c r="B576" s="59">
        <v>3</v>
      </c>
      <c r="C576" s="59" t="s">
        <v>1166</v>
      </c>
      <c r="D576" s="59">
        <v>1044363</v>
      </c>
      <c r="E576" s="59" t="s">
        <v>1134</v>
      </c>
      <c r="F576" s="59" t="s">
        <v>1135</v>
      </c>
      <c r="G576" s="59" t="s">
        <v>1136</v>
      </c>
      <c r="H576" s="59" t="s">
        <v>1158</v>
      </c>
      <c r="I576" s="60">
        <v>46054</v>
      </c>
      <c r="J576" s="59" t="s">
        <v>392</v>
      </c>
      <c r="K576" s="59" t="s">
        <v>1146</v>
      </c>
      <c r="L576" s="61">
        <v>15248546.964</v>
      </c>
      <c r="M576" s="59"/>
      <c r="N576" s="61">
        <v>15248546.964</v>
      </c>
      <c r="O576" s="61">
        <v>5291455824.8496084</v>
      </c>
    </row>
    <row r="577" spans="1:15" x14ac:dyDescent="0.25">
      <c r="A577" s="62">
        <v>46092</v>
      </c>
      <c r="B577">
        <v>3</v>
      </c>
      <c r="C577" t="s">
        <v>1166</v>
      </c>
      <c r="D577">
        <v>1044403</v>
      </c>
      <c r="E577" t="s">
        <v>1134</v>
      </c>
      <c r="F577" t="s">
        <v>1135</v>
      </c>
      <c r="G577" t="s">
        <v>1136</v>
      </c>
      <c r="H577" t="s">
        <v>1159</v>
      </c>
      <c r="I577" s="63">
        <v>46054</v>
      </c>
      <c r="J577" t="s">
        <v>392</v>
      </c>
      <c r="K577" t="s">
        <v>1146</v>
      </c>
      <c r="L577" s="64">
        <v>24034190.399999999</v>
      </c>
      <c r="N577" s="64">
        <v>24034190.399999999</v>
      </c>
      <c r="O577" s="64">
        <v>5315490015.249608</v>
      </c>
    </row>
    <row r="578" spans="1:15" x14ac:dyDescent="0.25">
      <c r="A578" s="58">
        <v>46092</v>
      </c>
      <c r="B578" s="59">
        <v>3</v>
      </c>
      <c r="C578" s="59" t="s">
        <v>1166</v>
      </c>
      <c r="D578" s="59">
        <v>1044413</v>
      </c>
      <c r="E578" s="59" t="s">
        <v>1134</v>
      </c>
      <c r="F578" s="59" t="s">
        <v>1135</v>
      </c>
      <c r="G578" s="59" t="s">
        <v>1136</v>
      </c>
      <c r="H578" s="59" t="s">
        <v>1160</v>
      </c>
      <c r="I578" s="60">
        <v>46054</v>
      </c>
      <c r="J578" s="59" t="s">
        <v>392</v>
      </c>
      <c r="K578" s="59" t="s">
        <v>1146</v>
      </c>
      <c r="L578" s="61">
        <v>12592897.08</v>
      </c>
      <c r="M578" s="59"/>
      <c r="N578" s="61">
        <v>12592897.08</v>
      </c>
      <c r="O578" s="61">
        <v>5328082912.329608</v>
      </c>
    </row>
    <row r="579" spans="1:15" x14ac:dyDescent="0.25">
      <c r="A579" s="62">
        <v>46093</v>
      </c>
      <c r="B579">
        <v>3</v>
      </c>
      <c r="C579" t="s">
        <v>1171</v>
      </c>
      <c r="D579">
        <v>2044122</v>
      </c>
      <c r="E579" t="s">
        <v>1167</v>
      </c>
      <c r="F579" t="s">
        <v>1135</v>
      </c>
      <c r="G579" t="s">
        <v>1136</v>
      </c>
      <c r="H579" t="s">
        <v>1175</v>
      </c>
      <c r="I579" s="63">
        <v>45689</v>
      </c>
      <c r="J579" t="s">
        <v>393</v>
      </c>
      <c r="K579" t="s">
        <v>1138</v>
      </c>
      <c r="M579" s="64">
        <v>4314624.87</v>
      </c>
      <c r="N579" s="64">
        <v>-4314624.87</v>
      </c>
      <c r="O579" s="64">
        <v>5629404405.9916077</v>
      </c>
    </row>
    <row r="580" spans="1:15" x14ac:dyDescent="0.25">
      <c r="A580" s="58">
        <v>46093</v>
      </c>
      <c r="B580" s="59">
        <v>3</v>
      </c>
      <c r="C580" s="59" t="s">
        <v>1171</v>
      </c>
      <c r="D580" s="59">
        <v>2044122</v>
      </c>
      <c r="E580" s="59" t="s">
        <v>1167</v>
      </c>
      <c r="F580" s="59" t="s">
        <v>1135</v>
      </c>
      <c r="G580" s="59" t="s">
        <v>1136</v>
      </c>
      <c r="H580" s="59" t="s">
        <v>1175</v>
      </c>
      <c r="I580" s="60">
        <v>45689</v>
      </c>
      <c r="J580" s="59" t="s">
        <v>393</v>
      </c>
      <c r="K580" s="59" t="s">
        <v>1138</v>
      </c>
      <c r="L580" s="59"/>
      <c r="M580" s="61">
        <v>5676711.8300000001</v>
      </c>
      <c r="N580" s="61">
        <v>-5676711.8300000001</v>
      </c>
      <c r="O580" s="61">
        <v>5623727694.1616077</v>
      </c>
    </row>
    <row r="581" spans="1:15" x14ac:dyDescent="0.25">
      <c r="A581" s="62">
        <v>46093</v>
      </c>
      <c r="B581">
        <v>3</v>
      </c>
      <c r="C581" t="s">
        <v>1171</v>
      </c>
      <c r="D581">
        <v>2044122</v>
      </c>
      <c r="E581" t="s">
        <v>1167</v>
      </c>
      <c r="F581" t="s">
        <v>1135</v>
      </c>
      <c r="G581" t="s">
        <v>1136</v>
      </c>
      <c r="H581" t="s">
        <v>1175</v>
      </c>
      <c r="I581" s="63">
        <v>45689</v>
      </c>
      <c r="J581" t="s">
        <v>393</v>
      </c>
      <c r="K581" t="s">
        <v>1138</v>
      </c>
      <c r="M581" s="64">
        <v>6440779.7999999998</v>
      </c>
      <c r="N581" s="64">
        <v>-6440779.7999999998</v>
      </c>
      <c r="O581" s="64">
        <v>5617286914.3616076</v>
      </c>
    </row>
    <row r="582" spans="1:15" x14ac:dyDescent="0.25">
      <c r="A582" s="58">
        <v>46093</v>
      </c>
      <c r="B582" s="59">
        <v>3</v>
      </c>
      <c r="C582" s="59" t="s">
        <v>1171</v>
      </c>
      <c r="D582" s="59">
        <v>2014362</v>
      </c>
      <c r="E582" s="59" t="s">
        <v>1167</v>
      </c>
      <c r="F582" s="59" t="s">
        <v>1174</v>
      </c>
      <c r="G582" s="59" t="s">
        <v>1136</v>
      </c>
      <c r="H582" s="59" t="s">
        <v>1158</v>
      </c>
      <c r="I582" s="60">
        <v>46054</v>
      </c>
      <c r="J582" s="59" t="s">
        <v>394</v>
      </c>
      <c r="K582" s="59" t="s">
        <v>1138</v>
      </c>
      <c r="L582" s="59"/>
      <c r="M582" s="61">
        <v>7438995.3099999996</v>
      </c>
      <c r="N582" s="61">
        <v>-7438995.3099999996</v>
      </c>
      <c r="O582" s="61">
        <v>5609847919.0516071</v>
      </c>
    </row>
    <row r="583" spans="1:15" x14ac:dyDescent="0.25">
      <c r="A583" s="62">
        <v>46093</v>
      </c>
      <c r="B583">
        <v>3</v>
      </c>
      <c r="C583" t="s">
        <v>1171</v>
      </c>
      <c r="D583">
        <v>2014364</v>
      </c>
      <c r="E583" t="s">
        <v>1167</v>
      </c>
      <c r="F583" t="s">
        <v>1174</v>
      </c>
      <c r="G583" t="s">
        <v>1136</v>
      </c>
      <c r="H583" t="s">
        <v>1158</v>
      </c>
      <c r="I583" s="63">
        <v>46054</v>
      </c>
      <c r="J583" t="s">
        <v>395</v>
      </c>
      <c r="K583" t="s">
        <v>1148</v>
      </c>
      <c r="M583" s="64">
        <v>32945935.710000001</v>
      </c>
      <c r="N583" s="64">
        <v>-32945935.710000001</v>
      </c>
      <c r="O583" s="64">
        <v>5576901983.3416071</v>
      </c>
    </row>
    <row r="584" spans="1:15" x14ac:dyDescent="0.25">
      <c r="A584" s="58">
        <v>46093</v>
      </c>
      <c r="B584" s="59">
        <v>3</v>
      </c>
      <c r="C584" s="59" t="s">
        <v>1171</v>
      </c>
      <c r="D584" s="59">
        <v>2044342</v>
      </c>
      <c r="E584" s="59" t="s">
        <v>1167</v>
      </c>
      <c r="F584" s="59" t="s">
        <v>1135</v>
      </c>
      <c r="G584" s="59" t="s">
        <v>1136</v>
      </c>
      <c r="H584" s="59" t="s">
        <v>1156</v>
      </c>
      <c r="I584" s="60">
        <v>46054</v>
      </c>
      <c r="J584" s="59" t="s">
        <v>396</v>
      </c>
      <c r="K584" s="59" t="s">
        <v>1138</v>
      </c>
      <c r="L584" s="59"/>
      <c r="M584" s="61">
        <v>16959881</v>
      </c>
      <c r="N584" s="61">
        <v>-16959881</v>
      </c>
      <c r="O584" s="61">
        <v>5559942102.3416071</v>
      </c>
    </row>
    <row r="585" spans="1:15" x14ac:dyDescent="0.25">
      <c r="A585" s="62">
        <v>46093</v>
      </c>
      <c r="B585">
        <v>3</v>
      </c>
      <c r="C585" t="s">
        <v>1171</v>
      </c>
      <c r="D585">
        <v>2044344</v>
      </c>
      <c r="E585" t="s">
        <v>1167</v>
      </c>
      <c r="F585" t="s">
        <v>1135</v>
      </c>
      <c r="G585" t="s">
        <v>1136</v>
      </c>
      <c r="H585" t="s">
        <v>1156</v>
      </c>
      <c r="I585" s="63">
        <v>46054</v>
      </c>
      <c r="J585" t="s">
        <v>397</v>
      </c>
      <c r="K585" t="s">
        <v>1148</v>
      </c>
      <c r="M585" s="64">
        <v>758000</v>
      </c>
      <c r="N585" s="64">
        <v>-758000</v>
      </c>
      <c r="O585" s="64">
        <v>5559184102.3416071</v>
      </c>
    </row>
    <row r="586" spans="1:15" x14ac:dyDescent="0.25">
      <c r="A586" s="58">
        <v>46093</v>
      </c>
      <c r="B586" s="59">
        <v>3</v>
      </c>
      <c r="C586" s="59" t="s">
        <v>1171</v>
      </c>
      <c r="D586" s="59">
        <v>2014174</v>
      </c>
      <c r="E586" s="59" t="s">
        <v>1167</v>
      </c>
      <c r="F586" s="59" t="s">
        <v>1174</v>
      </c>
      <c r="G586" s="59" t="s">
        <v>1136</v>
      </c>
      <c r="H586" s="59" t="s">
        <v>1147</v>
      </c>
      <c r="I586" s="60">
        <v>46054</v>
      </c>
      <c r="J586" s="59" t="s">
        <v>398</v>
      </c>
      <c r="K586" s="59" t="s">
        <v>1148</v>
      </c>
      <c r="L586" s="59"/>
      <c r="M586" s="61">
        <v>17751825</v>
      </c>
      <c r="N586" s="61">
        <v>-17751825</v>
      </c>
      <c r="O586" s="61">
        <v>5541432277.3416071</v>
      </c>
    </row>
    <row r="587" spans="1:15" x14ac:dyDescent="0.25">
      <c r="A587" s="62">
        <v>46093</v>
      </c>
      <c r="B587">
        <v>3</v>
      </c>
      <c r="C587" t="s">
        <v>1171</v>
      </c>
      <c r="D587">
        <v>2014162</v>
      </c>
      <c r="E587" t="s">
        <v>1167</v>
      </c>
      <c r="F587" t="s">
        <v>1174</v>
      </c>
      <c r="G587" t="s">
        <v>1136</v>
      </c>
      <c r="H587" t="s">
        <v>1162</v>
      </c>
      <c r="I587" s="63">
        <v>46054</v>
      </c>
      <c r="J587" t="s">
        <v>399</v>
      </c>
      <c r="K587" t="s">
        <v>1138</v>
      </c>
      <c r="M587" s="64">
        <v>2621227.09</v>
      </c>
      <c r="N587" s="64">
        <v>-2621227.09</v>
      </c>
      <c r="O587" s="64">
        <v>5538811050.2516069</v>
      </c>
    </row>
    <row r="588" spans="1:15" x14ac:dyDescent="0.25">
      <c r="A588" s="58">
        <v>46093</v>
      </c>
      <c r="B588" s="59">
        <v>3</v>
      </c>
      <c r="C588" s="59" t="s">
        <v>1171</v>
      </c>
      <c r="D588" s="59">
        <v>2014167</v>
      </c>
      <c r="E588" s="59" t="s">
        <v>1167</v>
      </c>
      <c r="F588" s="59" t="s">
        <v>1174</v>
      </c>
      <c r="G588" s="59" t="s">
        <v>1136</v>
      </c>
      <c r="H588" s="59" t="s">
        <v>1162</v>
      </c>
      <c r="I588" s="60">
        <v>46054</v>
      </c>
      <c r="J588" s="59" t="s">
        <v>399</v>
      </c>
      <c r="K588" s="59" t="s">
        <v>1170</v>
      </c>
      <c r="L588" s="59"/>
      <c r="M588" s="61">
        <v>346386</v>
      </c>
      <c r="N588" s="61">
        <v>-346386</v>
      </c>
      <c r="O588" s="61">
        <v>5538464664.2516069</v>
      </c>
    </row>
    <row r="589" spans="1:15" x14ac:dyDescent="0.25">
      <c r="A589" s="62">
        <v>46093</v>
      </c>
      <c r="B589">
        <v>3</v>
      </c>
      <c r="C589" t="s">
        <v>1171</v>
      </c>
      <c r="D589">
        <v>2014165</v>
      </c>
      <c r="E589" t="s">
        <v>1167</v>
      </c>
      <c r="F589" t="s">
        <v>1174</v>
      </c>
      <c r="G589" t="s">
        <v>1136</v>
      </c>
      <c r="H589" t="s">
        <v>1162</v>
      </c>
      <c r="I589" s="63">
        <v>46054</v>
      </c>
      <c r="J589" t="s">
        <v>400</v>
      </c>
      <c r="K589" t="s">
        <v>1172</v>
      </c>
      <c r="M589" s="64">
        <v>1215530.96</v>
      </c>
      <c r="N589" s="64">
        <v>-1215530.96</v>
      </c>
      <c r="O589" s="64">
        <v>5537249133.2916069</v>
      </c>
    </row>
    <row r="590" spans="1:15" x14ac:dyDescent="0.25">
      <c r="A590" s="58">
        <v>46093</v>
      </c>
      <c r="B590" s="59">
        <v>3</v>
      </c>
      <c r="C590" s="59" t="s">
        <v>1171</v>
      </c>
      <c r="D590" s="59">
        <v>2044461</v>
      </c>
      <c r="E590" s="59" t="s">
        <v>1167</v>
      </c>
      <c r="F590" s="59" t="s">
        <v>1135</v>
      </c>
      <c r="G590" s="59" t="s">
        <v>1136</v>
      </c>
      <c r="H590" s="59" t="s">
        <v>1140</v>
      </c>
      <c r="I590" s="60">
        <v>46054</v>
      </c>
      <c r="J590" s="59" t="s">
        <v>401</v>
      </c>
      <c r="K590" s="59" t="s">
        <v>1142</v>
      </c>
      <c r="L590" s="59"/>
      <c r="M590" s="61">
        <v>2413337.4700000002</v>
      </c>
      <c r="N590" s="61">
        <v>-2413337.4700000002</v>
      </c>
      <c r="O590" s="61">
        <v>5534835795.8216066</v>
      </c>
    </row>
    <row r="591" spans="1:15" x14ac:dyDescent="0.25">
      <c r="A591" s="62">
        <v>46094</v>
      </c>
      <c r="B591">
        <v>3</v>
      </c>
      <c r="C591" t="s">
        <v>1133</v>
      </c>
      <c r="D591">
        <v>2014363</v>
      </c>
      <c r="E591" t="s">
        <v>1167</v>
      </c>
      <c r="F591" t="s">
        <v>1174</v>
      </c>
      <c r="G591" t="s">
        <v>1136</v>
      </c>
      <c r="H591" t="s">
        <v>1158</v>
      </c>
      <c r="I591" s="63">
        <v>46054</v>
      </c>
      <c r="J591" t="s">
        <v>402</v>
      </c>
      <c r="K591" t="s">
        <v>1146</v>
      </c>
      <c r="M591" s="64">
        <v>15248546.960000001</v>
      </c>
      <c r="N591" s="64">
        <v>-15248546.960000001</v>
      </c>
      <c r="O591" s="64">
        <v>5519587248.8616066</v>
      </c>
    </row>
    <row r="592" spans="1:15" x14ac:dyDescent="0.25">
      <c r="A592" s="58">
        <v>46094</v>
      </c>
      <c r="B592" s="59">
        <v>3</v>
      </c>
      <c r="C592" s="59" t="s">
        <v>1133</v>
      </c>
      <c r="D592" s="59">
        <v>2014173</v>
      </c>
      <c r="E592" s="59" t="s">
        <v>1167</v>
      </c>
      <c r="F592" s="59" t="s">
        <v>1174</v>
      </c>
      <c r="G592" s="59" t="s">
        <v>1136</v>
      </c>
      <c r="H592" s="59" t="s">
        <v>1147</v>
      </c>
      <c r="I592" s="60">
        <v>46054</v>
      </c>
      <c r="J592" s="59" t="s">
        <v>403</v>
      </c>
      <c r="K592" s="59" t="s">
        <v>1146</v>
      </c>
      <c r="L592" s="59"/>
      <c r="M592" s="61">
        <v>14073140.65</v>
      </c>
      <c r="N592" s="61">
        <v>-14073140.65</v>
      </c>
      <c r="O592" s="61">
        <v>5505514108.211607</v>
      </c>
    </row>
    <row r="593" spans="1:15" x14ac:dyDescent="0.25">
      <c r="A593" s="62">
        <v>46094</v>
      </c>
      <c r="B593">
        <v>3</v>
      </c>
      <c r="C593" t="s">
        <v>1133</v>
      </c>
      <c r="D593">
        <v>2014163</v>
      </c>
      <c r="E593" t="s">
        <v>1167</v>
      </c>
      <c r="F593" t="s">
        <v>1174</v>
      </c>
      <c r="G593" t="s">
        <v>1136</v>
      </c>
      <c r="H593" t="s">
        <v>1162</v>
      </c>
      <c r="I593" s="63">
        <v>46054</v>
      </c>
      <c r="J593" t="s">
        <v>404</v>
      </c>
      <c r="K593" t="s">
        <v>1146</v>
      </c>
      <c r="M593" s="64">
        <v>45004032.380000003</v>
      </c>
      <c r="N593" s="64">
        <v>-45004032.380000003</v>
      </c>
      <c r="O593" s="64">
        <v>5474583216.4816055</v>
      </c>
    </row>
    <row r="594" spans="1:15" x14ac:dyDescent="0.25">
      <c r="A594" s="58">
        <v>46094</v>
      </c>
      <c r="B594" s="59">
        <v>3</v>
      </c>
      <c r="C594" s="59" t="s">
        <v>1133</v>
      </c>
      <c r="D594" s="59">
        <v>2044403</v>
      </c>
      <c r="E594" s="59" t="s">
        <v>1167</v>
      </c>
      <c r="F594" s="59" t="s">
        <v>1135</v>
      </c>
      <c r="G594" s="59" t="s">
        <v>1136</v>
      </c>
      <c r="H594" s="59" t="s">
        <v>1159</v>
      </c>
      <c r="I594" s="60">
        <v>46054</v>
      </c>
      <c r="J594" s="59" t="s">
        <v>407</v>
      </c>
      <c r="K594" s="59" t="s">
        <v>1146</v>
      </c>
      <c r="L594" s="59"/>
      <c r="M594" s="61">
        <v>24034190.399999999</v>
      </c>
      <c r="N594" s="61">
        <v>-24034190.399999999</v>
      </c>
      <c r="O594" s="61">
        <v>5388931001.2716074</v>
      </c>
    </row>
    <row r="595" spans="1:15" x14ac:dyDescent="0.25">
      <c r="A595" s="62">
        <v>46094</v>
      </c>
      <c r="B595">
        <v>3</v>
      </c>
      <c r="C595" t="s">
        <v>1133</v>
      </c>
      <c r="D595">
        <v>2044405</v>
      </c>
      <c r="E595" t="s">
        <v>1167</v>
      </c>
      <c r="F595" t="s">
        <v>1135</v>
      </c>
      <c r="G595" t="s">
        <v>1136</v>
      </c>
      <c r="H595" t="s">
        <v>1159</v>
      </c>
      <c r="I595" s="63">
        <v>46054</v>
      </c>
      <c r="J595" t="s">
        <v>408</v>
      </c>
      <c r="K595" t="s">
        <v>1172</v>
      </c>
      <c r="M595" s="64">
        <v>174142.34</v>
      </c>
      <c r="N595" s="64">
        <v>-174142.34</v>
      </c>
      <c r="O595" s="64">
        <v>5388756858.9316072</v>
      </c>
    </row>
    <row r="596" spans="1:15" x14ac:dyDescent="0.25">
      <c r="A596" s="58">
        <v>46094</v>
      </c>
      <c r="B596" s="59">
        <v>3</v>
      </c>
      <c r="C596" s="59" t="s">
        <v>1133</v>
      </c>
      <c r="D596" s="59">
        <v>2044366</v>
      </c>
      <c r="E596" s="59" t="s">
        <v>1167</v>
      </c>
      <c r="F596" s="59" t="s">
        <v>1135</v>
      </c>
      <c r="G596" s="59" t="s">
        <v>1136</v>
      </c>
      <c r="H596" s="59" t="s">
        <v>1158</v>
      </c>
      <c r="I596" s="60">
        <v>46023</v>
      </c>
      <c r="J596" s="59" t="s">
        <v>409</v>
      </c>
      <c r="K596" s="59" t="s">
        <v>1150</v>
      </c>
      <c r="L596" s="59"/>
      <c r="M596" s="61">
        <v>310638.59999999998</v>
      </c>
      <c r="N596" s="61">
        <v>-310638.59999999998</v>
      </c>
      <c r="O596" s="61">
        <v>5388446220.3316069</v>
      </c>
    </row>
    <row r="597" spans="1:15" x14ac:dyDescent="0.25">
      <c r="A597" s="62">
        <v>46097</v>
      </c>
      <c r="B597">
        <v>3</v>
      </c>
      <c r="C597" t="s">
        <v>1144</v>
      </c>
      <c r="D597">
        <v>2014361</v>
      </c>
      <c r="E597" t="s">
        <v>1167</v>
      </c>
      <c r="F597" t="s">
        <v>1174</v>
      </c>
      <c r="G597" t="s">
        <v>1136</v>
      </c>
      <c r="H597" t="s">
        <v>1158</v>
      </c>
      <c r="I597" s="63">
        <v>46054</v>
      </c>
      <c r="J597" t="s">
        <v>410</v>
      </c>
      <c r="K597" t="s">
        <v>1142</v>
      </c>
      <c r="M597" s="64">
        <v>10630634.380000001</v>
      </c>
      <c r="N597" s="64">
        <v>-10630634.380000001</v>
      </c>
      <c r="O597" s="64">
        <v>5377815585.9516068</v>
      </c>
    </row>
    <row r="598" spans="1:15" x14ac:dyDescent="0.25">
      <c r="A598" s="58">
        <v>46097</v>
      </c>
      <c r="B598" s="59">
        <v>3</v>
      </c>
      <c r="C598" s="59" t="s">
        <v>1144</v>
      </c>
      <c r="D598" s="59">
        <v>2014171</v>
      </c>
      <c r="E598" s="59" t="s">
        <v>1167</v>
      </c>
      <c r="F598" s="59" t="s">
        <v>1174</v>
      </c>
      <c r="G598" s="59" t="s">
        <v>1136</v>
      </c>
      <c r="H598" s="59" t="s">
        <v>1147</v>
      </c>
      <c r="I598" s="60">
        <v>46054</v>
      </c>
      <c r="J598" s="59" t="s">
        <v>411</v>
      </c>
      <c r="K598" s="59" t="s">
        <v>1142</v>
      </c>
      <c r="L598" s="59"/>
      <c r="M598" s="61">
        <v>10446953.76</v>
      </c>
      <c r="N598" s="61">
        <v>-10446953.76</v>
      </c>
      <c r="O598" s="61">
        <v>5367368632.1916075</v>
      </c>
    </row>
    <row r="599" spans="1:15" x14ac:dyDescent="0.25">
      <c r="A599" s="62">
        <v>46097</v>
      </c>
      <c r="B599">
        <v>3</v>
      </c>
      <c r="C599" t="s">
        <v>1144</v>
      </c>
      <c r="D599">
        <v>2014161</v>
      </c>
      <c r="E599" t="s">
        <v>1167</v>
      </c>
      <c r="F599" t="s">
        <v>1174</v>
      </c>
      <c r="G599" t="s">
        <v>1136</v>
      </c>
      <c r="H599" t="s">
        <v>1162</v>
      </c>
      <c r="I599" s="63">
        <v>46054</v>
      </c>
      <c r="J599" t="s">
        <v>412</v>
      </c>
      <c r="K599" t="s">
        <v>1142</v>
      </c>
      <c r="M599" s="64">
        <v>29417369.489999998</v>
      </c>
      <c r="N599" s="64">
        <v>-29417369.489999998</v>
      </c>
      <c r="O599" s="64">
        <v>5337951262.7016068</v>
      </c>
    </row>
    <row r="600" spans="1:15" x14ac:dyDescent="0.25">
      <c r="A600" s="58">
        <v>46097</v>
      </c>
      <c r="B600" s="59">
        <v>3</v>
      </c>
      <c r="C600" s="59" t="s">
        <v>1144</v>
      </c>
      <c r="D600" s="59">
        <v>2014263</v>
      </c>
      <c r="E600" s="59" t="s">
        <v>1167</v>
      </c>
      <c r="F600" s="59" t="s">
        <v>1174</v>
      </c>
      <c r="G600" s="59" t="s">
        <v>1136</v>
      </c>
      <c r="H600" s="59" t="s">
        <v>1145</v>
      </c>
      <c r="I600" s="60">
        <v>46054</v>
      </c>
      <c r="J600" s="59" t="s">
        <v>413</v>
      </c>
      <c r="K600" s="59" t="s">
        <v>1146</v>
      </c>
      <c r="L600" s="59"/>
      <c r="M600" s="61">
        <v>5958679.71</v>
      </c>
      <c r="N600" s="61">
        <v>-5958679.71</v>
      </c>
      <c r="O600" s="61">
        <v>5331992582.9916067</v>
      </c>
    </row>
    <row r="601" spans="1:15" x14ac:dyDescent="0.25">
      <c r="A601" s="62">
        <v>46097</v>
      </c>
      <c r="B601">
        <v>3</v>
      </c>
      <c r="C601" t="s">
        <v>1144</v>
      </c>
      <c r="D601">
        <v>2014353</v>
      </c>
      <c r="E601" t="s">
        <v>1167</v>
      </c>
      <c r="F601" t="s">
        <v>1174</v>
      </c>
      <c r="G601" t="s">
        <v>1136</v>
      </c>
      <c r="H601" t="s">
        <v>1157</v>
      </c>
      <c r="I601" s="63">
        <v>46054</v>
      </c>
      <c r="J601" t="s">
        <v>414</v>
      </c>
      <c r="K601" t="s">
        <v>1146</v>
      </c>
      <c r="M601" s="64">
        <v>7383591.5700000003</v>
      </c>
      <c r="N601" s="64">
        <v>-7383591.5700000003</v>
      </c>
      <c r="O601" s="64">
        <v>5324608991.421607</v>
      </c>
    </row>
    <row r="602" spans="1:15" x14ac:dyDescent="0.25">
      <c r="A602" s="58">
        <v>46097</v>
      </c>
      <c r="B602" s="59">
        <v>3</v>
      </c>
      <c r="C602" s="59" t="s">
        <v>1144</v>
      </c>
      <c r="D602" s="59">
        <v>2044401</v>
      </c>
      <c r="E602" s="59" t="s">
        <v>1167</v>
      </c>
      <c r="F602" s="59" t="s">
        <v>1135</v>
      </c>
      <c r="G602" s="59" t="s">
        <v>1136</v>
      </c>
      <c r="H602" s="59" t="s">
        <v>1159</v>
      </c>
      <c r="I602" s="60">
        <v>46054</v>
      </c>
      <c r="J602" s="59" t="s">
        <v>415</v>
      </c>
      <c r="K602" s="59" t="s">
        <v>1142</v>
      </c>
      <c r="L602" s="59"/>
      <c r="M602" s="61">
        <v>29927606.489999998</v>
      </c>
      <c r="N602" s="61">
        <v>-29927606.489999998</v>
      </c>
      <c r="O602" s="61">
        <v>5294681384.9316072</v>
      </c>
    </row>
    <row r="603" spans="1:15" x14ac:dyDescent="0.25">
      <c r="A603" s="62">
        <v>46097</v>
      </c>
      <c r="B603">
        <v>3</v>
      </c>
      <c r="C603" t="s">
        <v>1144</v>
      </c>
      <c r="D603">
        <v>2044402</v>
      </c>
      <c r="E603" t="s">
        <v>1167</v>
      </c>
      <c r="F603" t="s">
        <v>1135</v>
      </c>
      <c r="G603" t="s">
        <v>1136</v>
      </c>
      <c r="H603" t="s">
        <v>1159</v>
      </c>
      <c r="I603" s="63">
        <v>46054</v>
      </c>
      <c r="J603" t="s">
        <v>416</v>
      </c>
      <c r="K603" t="s">
        <v>1138</v>
      </c>
      <c r="M603" s="64">
        <v>22567838.809999999</v>
      </c>
      <c r="N603" s="64">
        <v>-22567838.809999999</v>
      </c>
      <c r="O603" s="64">
        <v>5272113546.1216068</v>
      </c>
    </row>
    <row r="604" spans="1:15" x14ac:dyDescent="0.25">
      <c r="A604" s="58">
        <v>46097</v>
      </c>
      <c r="B604" s="59">
        <v>3</v>
      </c>
      <c r="C604" s="59" t="s">
        <v>1144</v>
      </c>
      <c r="D604" s="59">
        <v>2044407</v>
      </c>
      <c r="E604" s="59" t="s">
        <v>1167</v>
      </c>
      <c r="F604" s="59" t="s">
        <v>1135</v>
      </c>
      <c r="G604" s="59" t="s">
        <v>1136</v>
      </c>
      <c r="H604" s="59" t="s">
        <v>1159</v>
      </c>
      <c r="I604" s="60">
        <v>46054</v>
      </c>
      <c r="J604" s="59" t="s">
        <v>416</v>
      </c>
      <c r="K604" s="59" t="s">
        <v>1170</v>
      </c>
      <c r="L604" s="59"/>
      <c r="M604" s="61">
        <v>100</v>
      </c>
      <c r="N604" s="61">
        <v>-100</v>
      </c>
      <c r="O604" s="61">
        <v>5272113446.1216068</v>
      </c>
    </row>
    <row r="605" spans="1:15" x14ac:dyDescent="0.25">
      <c r="A605" s="62">
        <v>46097</v>
      </c>
      <c r="B605">
        <v>3</v>
      </c>
      <c r="C605" t="s">
        <v>1144</v>
      </c>
      <c r="D605">
        <v>2044404</v>
      </c>
      <c r="E605" t="s">
        <v>1167</v>
      </c>
      <c r="F605" t="s">
        <v>1135</v>
      </c>
      <c r="G605" t="s">
        <v>1136</v>
      </c>
      <c r="H605" t="s">
        <v>1159</v>
      </c>
      <c r="I605" s="63">
        <v>46054</v>
      </c>
      <c r="J605" t="s">
        <v>417</v>
      </c>
      <c r="K605" t="s">
        <v>1148</v>
      </c>
      <c r="M605" s="64">
        <v>28927172.030000001</v>
      </c>
      <c r="N605" s="64">
        <v>-28927172.030000001</v>
      </c>
      <c r="O605" s="64">
        <v>5243186274.0916071</v>
      </c>
    </row>
    <row r="606" spans="1:15" x14ac:dyDescent="0.25">
      <c r="A606" s="58">
        <v>46097</v>
      </c>
      <c r="B606" s="59">
        <v>3</v>
      </c>
      <c r="C606" s="59" t="s">
        <v>1144</v>
      </c>
      <c r="D606" s="59">
        <v>2044406</v>
      </c>
      <c r="E606" s="59" t="s">
        <v>1167</v>
      </c>
      <c r="F606" s="59" t="s">
        <v>1135</v>
      </c>
      <c r="G606" s="59" t="s">
        <v>1136</v>
      </c>
      <c r="H606" s="59" t="s">
        <v>1159</v>
      </c>
      <c r="I606" s="60">
        <v>46054</v>
      </c>
      <c r="J606" s="59" t="s">
        <v>417</v>
      </c>
      <c r="K606" s="59" t="s">
        <v>1150</v>
      </c>
      <c r="L606" s="59"/>
      <c r="M606" s="61">
        <v>954252.13</v>
      </c>
      <c r="N606" s="61">
        <v>-954252.13</v>
      </c>
      <c r="O606" s="61">
        <v>5242232021.961607</v>
      </c>
    </row>
    <row r="607" spans="1:15" x14ac:dyDescent="0.25">
      <c r="A607" s="62">
        <v>46097</v>
      </c>
      <c r="B607">
        <v>3</v>
      </c>
      <c r="C607" t="s">
        <v>1144</v>
      </c>
      <c r="D607">
        <v>2044404</v>
      </c>
      <c r="E607" t="s">
        <v>1167</v>
      </c>
      <c r="F607" t="s">
        <v>1135</v>
      </c>
      <c r="G607" t="s">
        <v>1136</v>
      </c>
      <c r="H607" t="s">
        <v>1159</v>
      </c>
      <c r="I607" s="63">
        <v>46054</v>
      </c>
      <c r="J607" t="s">
        <v>417</v>
      </c>
      <c r="K607" t="s">
        <v>1148</v>
      </c>
      <c r="M607" s="64">
        <v>12098594.439999999</v>
      </c>
      <c r="N607" s="64">
        <v>-12098594.439999999</v>
      </c>
      <c r="O607" s="64">
        <v>5230133427.5216074</v>
      </c>
    </row>
    <row r="608" spans="1:15" x14ac:dyDescent="0.25">
      <c r="A608" s="58">
        <v>46097</v>
      </c>
      <c r="B608" s="59">
        <v>3</v>
      </c>
      <c r="C608" s="59" t="s">
        <v>1144</v>
      </c>
      <c r="D608" s="59">
        <v>2044366</v>
      </c>
      <c r="E608" s="59" t="s">
        <v>1167</v>
      </c>
      <c r="F608" s="59" t="s">
        <v>1135</v>
      </c>
      <c r="G608" s="59" t="s">
        <v>1136</v>
      </c>
      <c r="H608" s="59" t="s">
        <v>1158</v>
      </c>
      <c r="I608" s="60">
        <v>46054</v>
      </c>
      <c r="J608" s="59" t="s">
        <v>418</v>
      </c>
      <c r="K608" s="59" t="s">
        <v>1150</v>
      </c>
      <c r="L608" s="59"/>
      <c r="M608" s="61">
        <v>288405.40000000002</v>
      </c>
      <c r="N608" s="61">
        <v>-288405.40000000002</v>
      </c>
      <c r="O608" s="61">
        <v>5229845022.1216078</v>
      </c>
    </row>
    <row r="609" spans="1:15" x14ac:dyDescent="0.25">
      <c r="A609" s="62">
        <v>46097</v>
      </c>
      <c r="B609">
        <v>3</v>
      </c>
      <c r="C609" t="s">
        <v>1144</v>
      </c>
      <c r="D609">
        <v>2044126</v>
      </c>
      <c r="E609" t="s">
        <v>1167</v>
      </c>
      <c r="F609" t="s">
        <v>1135</v>
      </c>
      <c r="G609" t="s">
        <v>1136</v>
      </c>
      <c r="H609" t="s">
        <v>1175</v>
      </c>
      <c r="I609" s="63">
        <v>46054</v>
      </c>
      <c r="J609" t="s">
        <v>419</v>
      </c>
      <c r="K609" t="s">
        <v>1150</v>
      </c>
      <c r="M609" s="64">
        <v>6052476.2999999998</v>
      </c>
      <c r="N609" s="64">
        <v>-6052476.2999999998</v>
      </c>
      <c r="O609" s="64">
        <v>5223792545.8216076</v>
      </c>
    </row>
    <row r="610" spans="1:15" x14ac:dyDescent="0.25">
      <c r="A610" s="58">
        <v>46097</v>
      </c>
      <c r="B610" s="59">
        <v>3</v>
      </c>
      <c r="C610" s="59" t="s">
        <v>1144</v>
      </c>
      <c r="D610" s="59">
        <v>2044126</v>
      </c>
      <c r="E610" s="59" t="s">
        <v>1167</v>
      </c>
      <c r="F610" s="59" t="s">
        <v>1135</v>
      </c>
      <c r="G610" s="59" t="s">
        <v>1136</v>
      </c>
      <c r="H610" s="59" t="s">
        <v>1175</v>
      </c>
      <c r="I610" s="60">
        <v>46054</v>
      </c>
      <c r="J610" s="59" t="s">
        <v>420</v>
      </c>
      <c r="K610" s="59" t="s">
        <v>1150</v>
      </c>
      <c r="L610" s="59"/>
      <c r="M610" s="61">
        <v>182174.9</v>
      </c>
      <c r="N610" s="61">
        <v>-182174.9</v>
      </c>
      <c r="O610" s="61">
        <v>5223610370.921608</v>
      </c>
    </row>
    <row r="611" spans="1:15" x14ac:dyDescent="0.25">
      <c r="A611" s="62">
        <v>46097</v>
      </c>
      <c r="B611">
        <v>3</v>
      </c>
      <c r="C611" t="s">
        <v>1144</v>
      </c>
      <c r="D611">
        <v>2044126</v>
      </c>
      <c r="E611" t="s">
        <v>1167</v>
      </c>
      <c r="F611" t="s">
        <v>1135</v>
      </c>
      <c r="G611" t="s">
        <v>1136</v>
      </c>
      <c r="H611" t="s">
        <v>1175</v>
      </c>
      <c r="I611" s="63">
        <v>46054</v>
      </c>
      <c r="J611" t="s">
        <v>421</v>
      </c>
      <c r="K611" t="s">
        <v>1150</v>
      </c>
      <c r="M611" s="64">
        <v>9993.2999999999993</v>
      </c>
      <c r="N611" s="64">
        <v>-9993.2999999999993</v>
      </c>
      <c r="O611" s="64">
        <v>5223600377.6216078</v>
      </c>
    </row>
    <row r="612" spans="1:15" x14ac:dyDescent="0.25">
      <c r="A612" s="58">
        <v>46097</v>
      </c>
      <c r="B612" s="59">
        <v>3</v>
      </c>
      <c r="C612" s="59" t="s">
        <v>1144</v>
      </c>
      <c r="D612" s="59">
        <v>1044212</v>
      </c>
      <c r="E612" s="59" t="s">
        <v>1134</v>
      </c>
      <c r="F612" s="59" t="s">
        <v>1135</v>
      </c>
      <c r="G612" s="59" t="s">
        <v>1136</v>
      </c>
      <c r="H612" s="59" t="s">
        <v>1151</v>
      </c>
      <c r="I612" s="60">
        <v>46054</v>
      </c>
      <c r="J612" s="59" t="s">
        <v>423</v>
      </c>
      <c r="K612" s="59" t="s">
        <v>1138</v>
      </c>
      <c r="L612" s="61">
        <v>5390940.5500000017</v>
      </c>
      <c r="M612" s="59"/>
      <c r="N612" s="61">
        <v>5390940.5500000017</v>
      </c>
      <c r="O612" s="61">
        <v>5243214652.1401882</v>
      </c>
    </row>
    <row r="613" spans="1:15" x14ac:dyDescent="0.25">
      <c r="A613" s="62">
        <v>46097</v>
      </c>
      <c r="B613">
        <v>3</v>
      </c>
      <c r="C613" t="s">
        <v>1144</v>
      </c>
      <c r="D613">
        <v>1044462</v>
      </c>
      <c r="E613" t="s">
        <v>1134</v>
      </c>
      <c r="F613" t="s">
        <v>1135</v>
      </c>
      <c r="G613" t="s">
        <v>1136</v>
      </c>
      <c r="H613" t="s">
        <v>1140</v>
      </c>
      <c r="I613" s="63">
        <v>46054</v>
      </c>
      <c r="J613" t="s">
        <v>423</v>
      </c>
      <c r="K613" t="s">
        <v>1138</v>
      </c>
      <c r="L613" s="64">
        <v>2649452.6053999998</v>
      </c>
      <c r="N613" s="64">
        <v>2649452.6053999998</v>
      </c>
      <c r="O613" s="64">
        <v>5245864104.7455883</v>
      </c>
    </row>
    <row r="614" spans="1:15" x14ac:dyDescent="0.25">
      <c r="A614" s="58">
        <v>46097</v>
      </c>
      <c r="B614" s="59">
        <v>3</v>
      </c>
      <c r="C614" s="59" t="s">
        <v>1144</v>
      </c>
      <c r="D614" s="59">
        <v>1044322</v>
      </c>
      <c r="E614" s="59" t="s">
        <v>1134</v>
      </c>
      <c r="F614" s="59" t="s">
        <v>1135</v>
      </c>
      <c r="G614" s="59" t="s">
        <v>1136</v>
      </c>
      <c r="H614" s="59" t="s">
        <v>1143</v>
      </c>
      <c r="I614" s="60">
        <v>46054</v>
      </c>
      <c r="J614" s="59" t="s">
        <v>423</v>
      </c>
      <c r="K614" s="59" t="s">
        <v>1138</v>
      </c>
      <c r="L614" s="61">
        <v>25191300</v>
      </c>
      <c r="M614" s="59"/>
      <c r="N614" s="61">
        <v>25191300</v>
      </c>
      <c r="O614" s="61">
        <v>5271055404.7455883</v>
      </c>
    </row>
    <row r="615" spans="1:15" x14ac:dyDescent="0.25">
      <c r="A615" s="62">
        <v>46097</v>
      </c>
      <c r="B615">
        <v>3</v>
      </c>
      <c r="C615" t="s">
        <v>1144</v>
      </c>
      <c r="D615">
        <v>1044162</v>
      </c>
      <c r="E615" t="s">
        <v>1134</v>
      </c>
      <c r="F615" t="s">
        <v>1135</v>
      </c>
      <c r="G615" t="s">
        <v>1136</v>
      </c>
      <c r="H615" t="s">
        <v>1162</v>
      </c>
      <c r="I615" s="63">
        <v>46054</v>
      </c>
      <c r="J615" t="s">
        <v>423</v>
      </c>
      <c r="K615" t="s">
        <v>1138</v>
      </c>
      <c r="L615" s="64">
        <v>2621227.09</v>
      </c>
      <c r="N615" s="64">
        <v>2621227.09</v>
      </c>
      <c r="O615" s="64">
        <v>5273676631.8355885</v>
      </c>
    </row>
    <row r="616" spans="1:15" x14ac:dyDescent="0.25">
      <c r="A616" s="58">
        <v>46097</v>
      </c>
      <c r="B616" s="59">
        <v>3</v>
      </c>
      <c r="C616" s="59" t="s">
        <v>1144</v>
      </c>
      <c r="D616" s="59">
        <v>1044262</v>
      </c>
      <c r="E616" s="59" t="s">
        <v>1134</v>
      </c>
      <c r="F616" s="59" t="s">
        <v>1135</v>
      </c>
      <c r="G616" s="59" t="s">
        <v>1136</v>
      </c>
      <c r="H616" s="59" t="s">
        <v>1145</v>
      </c>
      <c r="I616" s="60">
        <v>46054</v>
      </c>
      <c r="J616" s="59" t="s">
        <v>423</v>
      </c>
      <c r="K616" s="59" t="s">
        <v>1138</v>
      </c>
      <c r="L616" s="61">
        <v>7411250</v>
      </c>
      <c r="M616" s="59"/>
      <c r="N616" s="61">
        <v>7411250</v>
      </c>
      <c r="O616" s="61">
        <v>5281087881.8355885</v>
      </c>
    </row>
    <row r="617" spans="1:15" x14ac:dyDescent="0.25">
      <c r="A617" s="62">
        <v>46097</v>
      </c>
      <c r="B617">
        <v>3</v>
      </c>
      <c r="C617" t="s">
        <v>1144</v>
      </c>
      <c r="D617">
        <v>1044272</v>
      </c>
      <c r="E617" t="s">
        <v>1134</v>
      </c>
      <c r="F617" t="s">
        <v>1135</v>
      </c>
      <c r="G617" t="s">
        <v>1136</v>
      </c>
      <c r="H617" t="s">
        <v>1154</v>
      </c>
      <c r="I617" s="63">
        <v>46054</v>
      </c>
      <c r="J617" t="s">
        <v>423</v>
      </c>
      <c r="K617" t="s">
        <v>1138</v>
      </c>
      <c r="L617" s="64">
        <v>637884.81999999995</v>
      </c>
      <c r="N617" s="64">
        <v>637884.81999999995</v>
      </c>
      <c r="O617" s="64">
        <v>5281725766.6555882</v>
      </c>
    </row>
    <row r="618" spans="1:15" x14ac:dyDescent="0.25">
      <c r="A618" s="58">
        <v>46097</v>
      </c>
      <c r="B618" s="59">
        <v>3</v>
      </c>
      <c r="C618" s="59" t="s">
        <v>1144</v>
      </c>
      <c r="D618" s="59">
        <v>1044282</v>
      </c>
      <c r="E618" s="59" t="s">
        <v>1134</v>
      </c>
      <c r="F618" s="59" t="s">
        <v>1135</v>
      </c>
      <c r="G618" s="59" t="s">
        <v>1136</v>
      </c>
      <c r="H618" s="59" t="s">
        <v>1155</v>
      </c>
      <c r="I618" s="60">
        <v>46054</v>
      </c>
      <c r="J618" s="59" t="s">
        <v>423</v>
      </c>
      <c r="K618" s="59" t="s">
        <v>1138</v>
      </c>
      <c r="L618" s="61">
        <v>45209300</v>
      </c>
      <c r="M618" s="59"/>
      <c r="N618" s="61">
        <v>45209300</v>
      </c>
      <c r="O618" s="61">
        <v>5326935066.6555882</v>
      </c>
    </row>
    <row r="619" spans="1:15" x14ac:dyDescent="0.25">
      <c r="A619" s="62">
        <v>46097</v>
      </c>
      <c r="B619">
        <v>3</v>
      </c>
      <c r="C619" t="s">
        <v>1144</v>
      </c>
      <c r="D619">
        <v>1044342</v>
      </c>
      <c r="E619" t="s">
        <v>1134</v>
      </c>
      <c r="F619" t="s">
        <v>1135</v>
      </c>
      <c r="G619" t="s">
        <v>1136</v>
      </c>
      <c r="H619" t="s">
        <v>1156</v>
      </c>
      <c r="I619" s="63">
        <v>46054</v>
      </c>
      <c r="J619" t="s">
        <v>423</v>
      </c>
      <c r="K619" t="s">
        <v>1138</v>
      </c>
      <c r="L619" s="64">
        <v>16959880.5174</v>
      </c>
      <c r="N619" s="64">
        <v>16959880.5174</v>
      </c>
      <c r="O619" s="64">
        <v>5343894947.1729879</v>
      </c>
    </row>
    <row r="620" spans="1:15" x14ac:dyDescent="0.25">
      <c r="A620" s="58">
        <v>46097</v>
      </c>
      <c r="B620" s="59">
        <v>3</v>
      </c>
      <c r="C620" s="59" t="s">
        <v>1144</v>
      </c>
      <c r="D620" s="59">
        <v>1044352</v>
      </c>
      <c r="E620" s="59" t="s">
        <v>1134</v>
      </c>
      <c r="F620" s="59" t="s">
        <v>1135</v>
      </c>
      <c r="G620" s="59" t="s">
        <v>1136</v>
      </c>
      <c r="H620" s="59" t="s">
        <v>1157</v>
      </c>
      <c r="I620" s="60">
        <v>46054</v>
      </c>
      <c r="J620" s="59" t="s">
        <v>423</v>
      </c>
      <c r="K620" s="59" t="s">
        <v>1138</v>
      </c>
      <c r="L620" s="61">
        <v>7480489.3250880018</v>
      </c>
      <c r="M620" s="59"/>
      <c r="N620" s="61">
        <v>7480489.3250880018</v>
      </c>
      <c r="O620" s="61">
        <v>5351375436.4980745</v>
      </c>
    </row>
    <row r="621" spans="1:15" x14ac:dyDescent="0.25">
      <c r="A621" s="62">
        <v>46097</v>
      </c>
      <c r="B621">
        <v>3</v>
      </c>
      <c r="C621" t="s">
        <v>1144</v>
      </c>
      <c r="D621">
        <v>1044362</v>
      </c>
      <c r="E621" t="s">
        <v>1134</v>
      </c>
      <c r="F621" t="s">
        <v>1135</v>
      </c>
      <c r="G621" t="s">
        <v>1136</v>
      </c>
      <c r="H621" t="s">
        <v>1158</v>
      </c>
      <c r="I621" s="63">
        <v>46054</v>
      </c>
      <c r="J621" t="s">
        <v>423</v>
      </c>
      <c r="K621" t="s">
        <v>1138</v>
      </c>
      <c r="L621" s="64">
        <v>7438995.3099599993</v>
      </c>
      <c r="N621" s="64">
        <v>7438995.3099599993</v>
      </c>
      <c r="O621" s="64">
        <v>5358814431.8080359</v>
      </c>
    </row>
    <row r="622" spans="1:15" x14ac:dyDescent="0.25">
      <c r="A622" s="58">
        <v>46097</v>
      </c>
      <c r="B622" s="59">
        <v>3</v>
      </c>
      <c r="C622" s="59" t="s">
        <v>1144</v>
      </c>
      <c r="D622" s="59">
        <v>1044372</v>
      </c>
      <c r="E622" s="59" t="s">
        <v>1134</v>
      </c>
      <c r="F622" s="59" t="s">
        <v>1135</v>
      </c>
      <c r="G622" s="59" t="s">
        <v>1136</v>
      </c>
      <c r="H622" s="59" t="s">
        <v>1141</v>
      </c>
      <c r="I622" s="60">
        <v>46054</v>
      </c>
      <c r="J622" s="59" t="s">
        <v>423</v>
      </c>
      <c r="K622" s="59" t="s">
        <v>1138</v>
      </c>
      <c r="L622" s="61">
        <v>33953518.995239973</v>
      </c>
      <c r="M622" s="59"/>
      <c r="N622" s="61">
        <v>33953518.995239973</v>
      </c>
      <c r="O622" s="61">
        <v>5392767950.8032761</v>
      </c>
    </row>
    <row r="623" spans="1:15" x14ac:dyDescent="0.25">
      <c r="A623" s="62">
        <v>46097</v>
      </c>
      <c r="B623">
        <v>3</v>
      </c>
      <c r="C623" t="s">
        <v>1144</v>
      </c>
      <c r="D623">
        <v>1044402</v>
      </c>
      <c r="E623" t="s">
        <v>1134</v>
      </c>
      <c r="F623" t="s">
        <v>1135</v>
      </c>
      <c r="G623" t="s">
        <v>1136</v>
      </c>
      <c r="H623" t="s">
        <v>1159</v>
      </c>
      <c r="I623" s="63">
        <v>46054</v>
      </c>
      <c r="J623" t="s">
        <v>423</v>
      </c>
      <c r="K623" t="s">
        <v>1138</v>
      </c>
      <c r="L623" s="64">
        <v>22567838.79769998</v>
      </c>
      <c r="N623" s="64">
        <v>22567838.79769998</v>
      </c>
      <c r="O623" s="64">
        <v>5415335789.600976</v>
      </c>
    </row>
    <row r="624" spans="1:15" x14ac:dyDescent="0.25">
      <c r="A624" s="58">
        <v>46097</v>
      </c>
      <c r="B624" s="59">
        <v>3</v>
      </c>
      <c r="C624" s="59" t="s">
        <v>1144</v>
      </c>
      <c r="D624" s="59">
        <v>1044412</v>
      </c>
      <c r="E624" s="59" t="s">
        <v>1134</v>
      </c>
      <c r="F624" s="59" t="s">
        <v>1135</v>
      </c>
      <c r="G624" s="59" t="s">
        <v>1136</v>
      </c>
      <c r="H624" s="59" t="s">
        <v>1160</v>
      </c>
      <c r="I624" s="60">
        <v>46054</v>
      </c>
      <c r="J624" s="59" t="s">
        <v>423</v>
      </c>
      <c r="K624" s="59" t="s">
        <v>1138</v>
      </c>
      <c r="L624" s="61">
        <v>5547629.5062999995</v>
      </c>
      <c r="M624" s="59"/>
      <c r="N624" s="61">
        <v>5547629.5062999995</v>
      </c>
      <c r="O624" s="61">
        <v>5420883419.107276</v>
      </c>
    </row>
    <row r="625" spans="1:15" x14ac:dyDescent="0.25">
      <c r="A625" s="62">
        <v>46097</v>
      </c>
      <c r="B625">
        <v>3</v>
      </c>
      <c r="C625" t="s">
        <v>1144</v>
      </c>
      <c r="D625">
        <v>1044422</v>
      </c>
      <c r="E625" t="s">
        <v>1134</v>
      </c>
      <c r="F625" t="s">
        <v>1135</v>
      </c>
      <c r="G625" t="s">
        <v>1136</v>
      </c>
      <c r="H625" t="s">
        <v>1165</v>
      </c>
      <c r="I625" s="63">
        <v>46054</v>
      </c>
      <c r="J625" t="s">
        <v>423</v>
      </c>
      <c r="K625" t="s">
        <v>1138</v>
      </c>
      <c r="L625" s="64">
        <v>75239420.273999989</v>
      </c>
      <c r="N625" s="64">
        <v>75239420.273999989</v>
      </c>
      <c r="O625" s="64">
        <v>5496122839.3812761</v>
      </c>
    </row>
    <row r="626" spans="1:15" x14ac:dyDescent="0.25">
      <c r="A626" s="58">
        <v>46098</v>
      </c>
      <c r="B626" s="59">
        <v>3</v>
      </c>
      <c r="C626" s="59" t="s">
        <v>1161</v>
      </c>
      <c r="D626" s="59">
        <v>2044126</v>
      </c>
      <c r="E626" s="59" t="s">
        <v>1167</v>
      </c>
      <c r="F626" s="59" t="s">
        <v>1135</v>
      </c>
      <c r="G626" s="59" t="s">
        <v>1136</v>
      </c>
      <c r="H626" s="59" t="s">
        <v>1175</v>
      </c>
      <c r="I626" s="60">
        <v>46054</v>
      </c>
      <c r="J626" s="59" t="s">
        <v>425</v>
      </c>
      <c r="K626" s="59" t="s">
        <v>1150</v>
      </c>
      <c r="L626" s="61">
        <v>7922928.7000000002</v>
      </c>
      <c r="M626" s="59"/>
      <c r="N626" s="61">
        <v>7922928.7000000002</v>
      </c>
      <c r="O626" s="61">
        <v>5567259632.2312756</v>
      </c>
    </row>
    <row r="627" spans="1:15" x14ac:dyDescent="0.25">
      <c r="A627" s="62">
        <v>46098</v>
      </c>
      <c r="B627">
        <v>3</v>
      </c>
      <c r="C627" t="s">
        <v>1161</v>
      </c>
      <c r="D627">
        <v>2044126</v>
      </c>
      <c r="E627" t="s">
        <v>1167</v>
      </c>
      <c r="F627" t="s">
        <v>1135</v>
      </c>
      <c r="G627" t="s">
        <v>1136</v>
      </c>
      <c r="H627" t="s">
        <v>1175</v>
      </c>
      <c r="I627" s="63">
        <v>46054</v>
      </c>
      <c r="J627" t="s">
        <v>426</v>
      </c>
      <c r="K627" t="s">
        <v>1150</v>
      </c>
      <c r="L627" s="64">
        <v>3930631.4</v>
      </c>
      <c r="N627" s="64">
        <v>3930631.4</v>
      </c>
      <c r="O627" s="64">
        <v>5571190263.6312752</v>
      </c>
    </row>
    <row r="628" spans="1:15" x14ac:dyDescent="0.25">
      <c r="A628" s="58">
        <v>46098</v>
      </c>
      <c r="B628" s="59">
        <v>3</v>
      </c>
      <c r="C628" s="59" t="s">
        <v>1161</v>
      </c>
      <c r="D628" s="59">
        <v>2044126</v>
      </c>
      <c r="E628" s="59" t="s">
        <v>1167</v>
      </c>
      <c r="F628" s="59" t="s">
        <v>1135</v>
      </c>
      <c r="G628" s="59" t="s">
        <v>1136</v>
      </c>
      <c r="H628" s="59" t="s">
        <v>1175</v>
      </c>
      <c r="I628" s="60">
        <v>46054</v>
      </c>
      <c r="J628" s="59" t="s">
        <v>427</v>
      </c>
      <c r="K628" s="59" t="s">
        <v>1150</v>
      </c>
      <c r="L628" s="61">
        <v>2566558.2000000002</v>
      </c>
      <c r="M628" s="59"/>
      <c r="N628" s="61">
        <v>2566558.2000000002</v>
      </c>
      <c r="O628" s="61">
        <v>5573756821.831275</v>
      </c>
    </row>
    <row r="629" spans="1:15" x14ac:dyDescent="0.25">
      <c r="A629" s="62">
        <v>46098</v>
      </c>
      <c r="B629">
        <v>3</v>
      </c>
      <c r="C629" t="s">
        <v>1161</v>
      </c>
      <c r="D629">
        <v>2044126</v>
      </c>
      <c r="E629" t="s">
        <v>1167</v>
      </c>
      <c r="F629" t="s">
        <v>1135</v>
      </c>
      <c r="G629" t="s">
        <v>1136</v>
      </c>
      <c r="H629" t="s">
        <v>1175</v>
      </c>
      <c r="I629" s="63">
        <v>46054</v>
      </c>
      <c r="J629" t="s">
        <v>428</v>
      </c>
      <c r="K629" t="s">
        <v>1150</v>
      </c>
      <c r="L629" s="64">
        <v>1645388.7</v>
      </c>
      <c r="N629" s="64">
        <v>1645388.7</v>
      </c>
      <c r="O629" s="64">
        <v>5575402210.5312748</v>
      </c>
    </row>
    <row r="630" spans="1:15" x14ac:dyDescent="0.25">
      <c r="A630" s="58">
        <v>46099</v>
      </c>
      <c r="B630" s="59">
        <v>3</v>
      </c>
      <c r="C630" s="59" t="s">
        <v>1166</v>
      </c>
      <c r="D630" s="59">
        <v>2044464</v>
      </c>
      <c r="E630" s="59" t="s">
        <v>1167</v>
      </c>
      <c r="F630" s="59" t="s">
        <v>1135</v>
      </c>
      <c r="G630" s="59" t="s">
        <v>1136</v>
      </c>
      <c r="H630" s="59" t="s">
        <v>1140</v>
      </c>
      <c r="I630" s="60">
        <v>46054</v>
      </c>
      <c r="J630" s="59" t="s">
        <v>429</v>
      </c>
      <c r="K630" s="59" t="s">
        <v>1148</v>
      </c>
      <c r="L630" s="59"/>
      <c r="M630" s="61">
        <v>6097387.4699999997</v>
      </c>
      <c r="N630" s="61">
        <v>-6097387.4699999997</v>
      </c>
      <c r="O630" s="61">
        <v>5569304823.0612745</v>
      </c>
    </row>
    <row r="631" spans="1:15" x14ac:dyDescent="0.25">
      <c r="A631" s="62">
        <v>46099</v>
      </c>
      <c r="B631">
        <v>3</v>
      </c>
      <c r="C631" t="s">
        <v>1166</v>
      </c>
      <c r="D631">
        <v>2014352</v>
      </c>
      <c r="E631" t="s">
        <v>1167</v>
      </c>
      <c r="F631" t="s">
        <v>1174</v>
      </c>
      <c r="G631" t="s">
        <v>1136</v>
      </c>
      <c r="H631" t="s">
        <v>1157</v>
      </c>
      <c r="I631" s="63">
        <v>46054</v>
      </c>
      <c r="J631" t="s">
        <v>430</v>
      </c>
      <c r="K631" t="s">
        <v>1138</v>
      </c>
      <c r="M631" s="64">
        <v>7480489.3399999999</v>
      </c>
      <c r="N631" s="64">
        <v>-7480489.3399999999</v>
      </c>
      <c r="O631" s="64">
        <v>5561824333.7212744</v>
      </c>
    </row>
    <row r="632" spans="1:15" x14ac:dyDescent="0.25">
      <c r="A632" s="58">
        <v>46099</v>
      </c>
      <c r="B632" s="59">
        <v>3</v>
      </c>
      <c r="C632" s="59" t="s">
        <v>1166</v>
      </c>
      <c r="D632" s="59">
        <v>2014354</v>
      </c>
      <c r="E632" s="59" t="s">
        <v>1167</v>
      </c>
      <c r="F632" s="59" t="s">
        <v>1174</v>
      </c>
      <c r="G632" s="59" t="s">
        <v>1136</v>
      </c>
      <c r="H632" s="59" t="s">
        <v>1157</v>
      </c>
      <c r="I632" s="60">
        <v>46054</v>
      </c>
      <c r="J632" s="59" t="s">
        <v>431</v>
      </c>
      <c r="K632" s="59" t="s">
        <v>1148</v>
      </c>
      <c r="L632" s="59"/>
      <c r="M632" s="61">
        <v>4232976</v>
      </c>
      <c r="N632" s="61">
        <v>-4232976</v>
      </c>
      <c r="O632" s="61">
        <v>5557591357.7212744</v>
      </c>
    </row>
    <row r="633" spans="1:15" x14ac:dyDescent="0.25">
      <c r="A633" s="62">
        <v>46099</v>
      </c>
      <c r="B633">
        <v>3</v>
      </c>
      <c r="C633" t="s">
        <v>1166</v>
      </c>
      <c r="D633">
        <v>2014356</v>
      </c>
      <c r="E633" t="s">
        <v>1167</v>
      </c>
      <c r="F633" t="s">
        <v>1174</v>
      </c>
      <c r="G633" t="s">
        <v>1136</v>
      </c>
      <c r="H633" t="s">
        <v>1157</v>
      </c>
      <c r="I633" s="63">
        <v>46054</v>
      </c>
      <c r="J633" t="s">
        <v>431</v>
      </c>
      <c r="K633" t="s">
        <v>1150</v>
      </c>
      <c r="M633" s="64">
        <v>250947.71</v>
      </c>
      <c r="N633" s="64">
        <v>-250947.71</v>
      </c>
      <c r="O633" s="64">
        <v>5557340410.0112743</v>
      </c>
    </row>
    <row r="634" spans="1:15" x14ac:dyDescent="0.25">
      <c r="A634" s="58">
        <v>46100</v>
      </c>
      <c r="B634" s="59">
        <v>3</v>
      </c>
      <c r="C634" s="59" t="s">
        <v>1171</v>
      </c>
      <c r="D634" s="59">
        <v>2054312</v>
      </c>
      <c r="E634" s="59" t="s">
        <v>1167</v>
      </c>
      <c r="F634" s="59" t="s">
        <v>1169</v>
      </c>
      <c r="G634" s="59" t="s">
        <v>1136</v>
      </c>
      <c r="H634" s="59" t="s">
        <v>1137</v>
      </c>
      <c r="I634" s="60">
        <v>46082</v>
      </c>
      <c r="J634" s="59" t="s">
        <v>432</v>
      </c>
      <c r="K634" s="59" t="s">
        <v>1138</v>
      </c>
      <c r="L634" s="59"/>
      <c r="M634" s="61">
        <v>27597100</v>
      </c>
      <c r="N634" s="61">
        <v>-27597100</v>
      </c>
      <c r="O634" s="61">
        <v>5529743310.0112743</v>
      </c>
    </row>
    <row r="635" spans="1:15" x14ac:dyDescent="0.25">
      <c r="A635" s="62">
        <v>46100</v>
      </c>
      <c r="B635">
        <v>3</v>
      </c>
      <c r="C635" t="s">
        <v>1171</v>
      </c>
      <c r="D635">
        <v>2054314</v>
      </c>
      <c r="E635" t="s">
        <v>1167</v>
      </c>
      <c r="F635" t="s">
        <v>1169</v>
      </c>
      <c r="G635" t="s">
        <v>1136</v>
      </c>
      <c r="H635" t="s">
        <v>1137</v>
      </c>
      <c r="I635" s="63">
        <v>46082</v>
      </c>
      <c r="J635" t="s">
        <v>433</v>
      </c>
      <c r="K635" t="s">
        <v>1148</v>
      </c>
      <c r="M635" s="64">
        <v>45146560</v>
      </c>
      <c r="N635" s="64">
        <v>-45146560</v>
      </c>
      <c r="O635" s="64">
        <v>5484596750.0112743</v>
      </c>
    </row>
    <row r="636" spans="1:15" x14ac:dyDescent="0.25">
      <c r="A636" s="58">
        <v>46100</v>
      </c>
      <c r="B636" s="59">
        <v>3</v>
      </c>
      <c r="C636" s="59" t="s">
        <v>1171</v>
      </c>
      <c r="D636" s="59">
        <v>2054316</v>
      </c>
      <c r="E636" s="59" t="s">
        <v>1167</v>
      </c>
      <c r="F636" s="59" t="s">
        <v>1169</v>
      </c>
      <c r="G636" s="59" t="s">
        <v>1136</v>
      </c>
      <c r="H636" s="59" t="s">
        <v>1137</v>
      </c>
      <c r="I636" s="60">
        <v>46082</v>
      </c>
      <c r="J636" s="59" t="s">
        <v>433</v>
      </c>
      <c r="K636" s="59" t="s">
        <v>1150</v>
      </c>
      <c r="L636" s="59"/>
      <c r="M636" s="61">
        <v>517611.54</v>
      </c>
      <c r="N636" s="61">
        <v>-517611.54</v>
      </c>
      <c r="O636" s="61">
        <v>5484079138.4712744</v>
      </c>
    </row>
    <row r="637" spans="1:15" x14ac:dyDescent="0.25">
      <c r="A637" s="62">
        <v>46100</v>
      </c>
      <c r="B637">
        <v>3</v>
      </c>
      <c r="C637" t="s">
        <v>1171</v>
      </c>
      <c r="D637">
        <v>2014202</v>
      </c>
      <c r="E637" t="s">
        <v>1167</v>
      </c>
      <c r="F637" t="s">
        <v>1174</v>
      </c>
      <c r="G637" t="s">
        <v>1136</v>
      </c>
      <c r="H637" t="s">
        <v>1139</v>
      </c>
      <c r="I637" s="63">
        <v>46082</v>
      </c>
      <c r="J637" t="s">
        <v>434</v>
      </c>
      <c r="K637" t="s">
        <v>1138</v>
      </c>
      <c r="M637" s="64">
        <v>19939606.16</v>
      </c>
      <c r="N637" s="64">
        <v>-19939606.16</v>
      </c>
      <c r="O637" s="64">
        <v>5464139532.3112745</v>
      </c>
    </row>
    <row r="638" spans="1:15" x14ac:dyDescent="0.25">
      <c r="A638" s="58">
        <v>46100</v>
      </c>
      <c r="B638" s="59">
        <v>3</v>
      </c>
      <c r="C638" s="59" t="s">
        <v>1171</v>
      </c>
      <c r="D638" s="59">
        <v>2014262</v>
      </c>
      <c r="E638" s="59" t="s">
        <v>1167</v>
      </c>
      <c r="F638" s="59" t="s">
        <v>1174</v>
      </c>
      <c r="G638" s="59" t="s">
        <v>1136</v>
      </c>
      <c r="H638" s="59" t="s">
        <v>1145</v>
      </c>
      <c r="I638" s="60">
        <v>46054</v>
      </c>
      <c r="J638" s="59" t="s">
        <v>435</v>
      </c>
      <c r="K638" s="59" t="s">
        <v>1138</v>
      </c>
      <c r="L638" s="59"/>
      <c r="M638" s="61">
        <v>7411250</v>
      </c>
      <c r="N638" s="61">
        <v>-7411250</v>
      </c>
      <c r="O638" s="61">
        <v>5456728282.3112745</v>
      </c>
    </row>
    <row r="639" spans="1:15" x14ac:dyDescent="0.25">
      <c r="A639" s="62">
        <v>46100</v>
      </c>
      <c r="B639">
        <v>3</v>
      </c>
      <c r="C639" t="s">
        <v>1171</v>
      </c>
      <c r="D639">
        <v>2014264</v>
      </c>
      <c r="E639" t="s">
        <v>1167</v>
      </c>
      <c r="F639" t="s">
        <v>1174</v>
      </c>
      <c r="G639" t="s">
        <v>1136</v>
      </c>
      <c r="H639" t="s">
        <v>1145</v>
      </c>
      <c r="I639" s="63">
        <v>46054</v>
      </c>
      <c r="J639" t="s">
        <v>436</v>
      </c>
      <c r="K639" t="s">
        <v>1148</v>
      </c>
      <c r="M639" s="64">
        <v>5163700</v>
      </c>
      <c r="N639" s="64">
        <v>-5163700</v>
      </c>
      <c r="O639" s="64">
        <v>5451564582.3112745</v>
      </c>
    </row>
    <row r="640" spans="1:15" x14ac:dyDescent="0.25">
      <c r="A640" s="58">
        <v>46100</v>
      </c>
      <c r="B640" s="59">
        <v>3</v>
      </c>
      <c r="C640" s="59" t="s">
        <v>1171</v>
      </c>
      <c r="D640" s="59">
        <v>2014266</v>
      </c>
      <c r="E640" s="59" t="s">
        <v>1167</v>
      </c>
      <c r="F640" s="59" t="s">
        <v>1174</v>
      </c>
      <c r="G640" s="59" t="s">
        <v>1136</v>
      </c>
      <c r="H640" s="59" t="s">
        <v>1145</v>
      </c>
      <c r="I640" s="60">
        <v>46054</v>
      </c>
      <c r="J640" s="59" t="s">
        <v>436</v>
      </c>
      <c r="K640" s="59" t="s">
        <v>1150</v>
      </c>
      <c r="L640" s="59"/>
      <c r="M640" s="61">
        <v>193116.25</v>
      </c>
      <c r="N640" s="61">
        <v>-193116.25</v>
      </c>
      <c r="O640" s="61">
        <v>5451371466.0612745</v>
      </c>
    </row>
    <row r="641" spans="1:15" x14ac:dyDescent="0.25">
      <c r="A641" s="62">
        <v>46100</v>
      </c>
      <c r="B641">
        <v>3</v>
      </c>
      <c r="C641" t="s">
        <v>1171</v>
      </c>
      <c r="D641">
        <v>2014264</v>
      </c>
      <c r="E641" t="s">
        <v>1167</v>
      </c>
      <c r="F641" t="s">
        <v>1174</v>
      </c>
      <c r="G641" t="s">
        <v>1136</v>
      </c>
      <c r="H641" t="s">
        <v>1145</v>
      </c>
      <c r="I641" s="63">
        <v>46054</v>
      </c>
      <c r="J641" t="s">
        <v>436</v>
      </c>
      <c r="K641" t="s">
        <v>1148</v>
      </c>
      <c r="M641" s="64">
        <v>4541676.43</v>
      </c>
      <c r="N641" s="64">
        <v>-4541676.43</v>
      </c>
      <c r="O641" s="64">
        <v>5446829789.6312742</v>
      </c>
    </row>
    <row r="642" spans="1:15" x14ac:dyDescent="0.25">
      <c r="A642" s="58">
        <v>46100</v>
      </c>
      <c r="B642" s="59">
        <v>3</v>
      </c>
      <c r="C642" s="59" t="s">
        <v>1171</v>
      </c>
      <c r="D642" s="59">
        <v>2044126</v>
      </c>
      <c r="E642" s="59" t="s">
        <v>1167</v>
      </c>
      <c r="F642" s="59" t="s">
        <v>1135</v>
      </c>
      <c r="G642" s="59" t="s">
        <v>1136</v>
      </c>
      <c r="H642" s="59" t="s">
        <v>1175</v>
      </c>
      <c r="I642" s="60">
        <v>46054</v>
      </c>
      <c r="J642" s="59" t="s">
        <v>441</v>
      </c>
      <c r="K642" s="59" t="s">
        <v>1150</v>
      </c>
      <c r="L642" s="59"/>
      <c r="M642" s="61">
        <v>962234.6</v>
      </c>
      <c r="N642" s="61">
        <v>-962234.6</v>
      </c>
      <c r="O642" s="61">
        <v>2729558732.8112731</v>
      </c>
    </row>
    <row r="643" spans="1:15" x14ac:dyDescent="0.25">
      <c r="A643" s="62">
        <v>46100</v>
      </c>
      <c r="B643">
        <v>3</v>
      </c>
      <c r="C643" t="s">
        <v>1171</v>
      </c>
      <c r="D643">
        <v>2044126</v>
      </c>
      <c r="E643" t="s">
        <v>1167</v>
      </c>
      <c r="F643" t="s">
        <v>1135</v>
      </c>
      <c r="G643" t="s">
        <v>1136</v>
      </c>
      <c r="H643" t="s">
        <v>1175</v>
      </c>
      <c r="I643" s="63">
        <v>46054</v>
      </c>
      <c r="J643" t="s">
        <v>442</v>
      </c>
      <c r="K643" t="s">
        <v>1150</v>
      </c>
      <c r="M643" s="64">
        <v>528903.30000000005</v>
      </c>
      <c r="N643" s="64">
        <v>-528903.30000000005</v>
      </c>
      <c r="O643" s="64">
        <v>2729029829.511272</v>
      </c>
    </row>
    <row r="644" spans="1:15" x14ac:dyDescent="0.25">
      <c r="A644" s="58">
        <v>46100</v>
      </c>
      <c r="B644" s="59">
        <v>3</v>
      </c>
      <c r="C644" s="59" t="s">
        <v>1171</v>
      </c>
      <c r="D644" s="59">
        <v>2044126</v>
      </c>
      <c r="E644" s="59" t="s">
        <v>1167</v>
      </c>
      <c r="F644" s="59" t="s">
        <v>1135</v>
      </c>
      <c r="G644" s="59" t="s">
        <v>1136</v>
      </c>
      <c r="H644" s="59" t="s">
        <v>1175</v>
      </c>
      <c r="I644" s="60">
        <v>46054</v>
      </c>
      <c r="J644" s="59" t="s">
        <v>443</v>
      </c>
      <c r="K644" s="59" t="s">
        <v>1150</v>
      </c>
      <c r="L644" s="59"/>
      <c r="M644" s="61">
        <v>162237.5</v>
      </c>
      <c r="N644" s="61">
        <v>-162237.5</v>
      </c>
      <c r="O644" s="61">
        <v>2728867592.011272</v>
      </c>
    </row>
    <row r="645" spans="1:15" x14ac:dyDescent="0.25">
      <c r="A645" s="62">
        <v>46101</v>
      </c>
      <c r="B645">
        <v>3</v>
      </c>
      <c r="C645" t="s">
        <v>1133</v>
      </c>
      <c r="D645">
        <v>2014351</v>
      </c>
      <c r="E645" t="s">
        <v>1167</v>
      </c>
      <c r="F645" t="s">
        <v>1174</v>
      </c>
      <c r="G645" t="s">
        <v>1136</v>
      </c>
      <c r="H645" t="s">
        <v>1157</v>
      </c>
      <c r="I645" s="63">
        <v>46054</v>
      </c>
      <c r="J645" t="s">
        <v>447</v>
      </c>
      <c r="K645" t="s">
        <v>1142</v>
      </c>
      <c r="M645" s="64">
        <v>6132505.6799999997</v>
      </c>
      <c r="N645" s="64">
        <v>-6132505.6799999997</v>
      </c>
      <c r="O645" s="64">
        <v>2525722481.931273</v>
      </c>
    </row>
    <row r="646" spans="1:15" x14ac:dyDescent="0.25">
      <c r="A646" s="58">
        <v>46101</v>
      </c>
      <c r="B646" s="59">
        <v>3</v>
      </c>
      <c r="C646" s="59" t="s">
        <v>1133</v>
      </c>
      <c r="D646" s="59">
        <v>2044127</v>
      </c>
      <c r="E646" s="59" t="s">
        <v>1167</v>
      </c>
      <c r="F646" s="59" t="s">
        <v>1135</v>
      </c>
      <c r="G646" s="59" t="s">
        <v>1136</v>
      </c>
      <c r="H646" s="59" t="s">
        <v>1175</v>
      </c>
      <c r="I646" s="60">
        <v>46054</v>
      </c>
      <c r="J646" s="59" t="s">
        <v>448</v>
      </c>
      <c r="K646" s="59" t="s">
        <v>1170</v>
      </c>
      <c r="L646" s="59"/>
      <c r="M646" s="61">
        <v>904859.4</v>
      </c>
      <c r="N646" s="61">
        <v>-904859.4</v>
      </c>
      <c r="O646" s="61">
        <v>2524817622.5312719</v>
      </c>
    </row>
    <row r="647" spans="1:15" x14ac:dyDescent="0.25">
      <c r="A647" s="62">
        <v>46101</v>
      </c>
      <c r="B647">
        <v>3</v>
      </c>
      <c r="C647" t="s">
        <v>1133</v>
      </c>
      <c r="D647">
        <v>1044314</v>
      </c>
      <c r="E647" t="s">
        <v>1134</v>
      </c>
      <c r="F647" t="s">
        <v>1135</v>
      </c>
      <c r="G647" t="s">
        <v>1136</v>
      </c>
      <c r="H647" t="s">
        <v>1137</v>
      </c>
      <c r="I647" s="63">
        <v>46082</v>
      </c>
      <c r="J647" t="s">
        <v>449</v>
      </c>
      <c r="K647" t="s">
        <v>1148</v>
      </c>
      <c r="L647" s="64">
        <v>45146560</v>
      </c>
      <c r="N647" s="64">
        <v>45146560</v>
      </c>
      <c r="O647" s="64">
        <v>2569964182.5312719</v>
      </c>
    </row>
    <row r="648" spans="1:15" x14ac:dyDescent="0.25">
      <c r="A648" s="58">
        <v>46101</v>
      </c>
      <c r="B648" s="59">
        <v>3</v>
      </c>
      <c r="C648" s="59" t="s">
        <v>1133</v>
      </c>
      <c r="D648" s="59">
        <v>1044316</v>
      </c>
      <c r="E648" s="59" t="s">
        <v>1134</v>
      </c>
      <c r="F648" s="59" t="s">
        <v>1135</v>
      </c>
      <c r="G648" s="59" t="s">
        <v>1136</v>
      </c>
      <c r="H648" s="59" t="s">
        <v>1137</v>
      </c>
      <c r="I648" s="60">
        <v>46082</v>
      </c>
      <c r="J648" s="59" t="s">
        <v>450</v>
      </c>
      <c r="K648" s="59" t="s">
        <v>1150</v>
      </c>
      <c r="L648" s="61">
        <v>517611.54</v>
      </c>
      <c r="M648" s="59"/>
      <c r="N648" s="61">
        <v>517611.54</v>
      </c>
      <c r="O648" s="61">
        <v>2570481794.0712719</v>
      </c>
    </row>
    <row r="649" spans="1:15" x14ac:dyDescent="0.25">
      <c r="A649" s="62">
        <v>46106</v>
      </c>
      <c r="B649">
        <v>3</v>
      </c>
      <c r="C649" t="s">
        <v>1166</v>
      </c>
      <c r="D649">
        <v>2054311</v>
      </c>
      <c r="E649" t="s">
        <v>1167</v>
      </c>
      <c r="F649" t="s">
        <v>1169</v>
      </c>
      <c r="G649" t="s">
        <v>1136</v>
      </c>
      <c r="H649" t="s">
        <v>1137</v>
      </c>
      <c r="I649" s="63">
        <v>46082</v>
      </c>
      <c r="J649" t="s">
        <v>451</v>
      </c>
      <c r="K649" t="s">
        <v>1142</v>
      </c>
      <c r="M649" s="64">
        <v>16505510</v>
      </c>
      <c r="N649" s="64">
        <v>-16505510</v>
      </c>
      <c r="O649" s="64">
        <v>2553976284.0712719</v>
      </c>
    </row>
    <row r="650" spans="1:15" x14ac:dyDescent="0.25">
      <c r="A650" s="58">
        <v>46106</v>
      </c>
      <c r="B650" s="59">
        <v>3</v>
      </c>
      <c r="C650" s="59" t="s">
        <v>1166</v>
      </c>
      <c r="D650" s="59">
        <v>2054381</v>
      </c>
      <c r="E650" s="59" t="s">
        <v>1167</v>
      </c>
      <c r="F650" s="59" t="s">
        <v>1169</v>
      </c>
      <c r="G650" s="59" t="s">
        <v>1136</v>
      </c>
      <c r="H650" s="59" t="s">
        <v>1163</v>
      </c>
      <c r="I650" s="60">
        <v>46082</v>
      </c>
      <c r="J650" s="59" t="s">
        <v>452</v>
      </c>
      <c r="K650" s="59" t="s">
        <v>1142</v>
      </c>
      <c r="L650" s="59"/>
      <c r="M650" s="61">
        <v>9362676</v>
      </c>
      <c r="N650" s="61">
        <v>-9362676</v>
      </c>
      <c r="O650" s="61">
        <v>2544613608.0712719</v>
      </c>
    </row>
    <row r="651" spans="1:15" x14ac:dyDescent="0.25">
      <c r="A651" s="62">
        <v>46106</v>
      </c>
      <c r="B651">
        <v>3</v>
      </c>
      <c r="C651" t="s">
        <v>1166</v>
      </c>
      <c r="D651">
        <v>2014201</v>
      </c>
      <c r="E651" t="s">
        <v>1167</v>
      </c>
      <c r="F651" t="s">
        <v>1174</v>
      </c>
      <c r="G651" t="s">
        <v>1136</v>
      </c>
      <c r="H651" t="s">
        <v>1139</v>
      </c>
      <c r="I651" s="63">
        <v>46082</v>
      </c>
      <c r="J651" t="s">
        <v>453</v>
      </c>
      <c r="K651" t="s">
        <v>1142</v>
      </c>
      <c r="M651" s="64">
        <v>6386564.5</v>
      </c>
      <c r="N651" s="64">
        <v>-6386564.5</v>
      </c>
      <c r="O651" s="64">
        <v>2538227043.5712719</v>
      </c>
    </row>
    <row r="652" spans="1:15" x14ac:dyDescent="0.25">
      <c r="A652" s="58">
        <v>46106</v>
      </c>
      <c r="B652" s="59">
        <v>3</v>
      </c>
      <c r="C652" s="59" t="s">
        <v>1166</v>
      </c>
      <c r="D652" s="59">
        <v>2014261</v>
      </c>
      <c r="E652" s="59" t="s">
        <v>1167</v>
      </c>
      <c r="F652" s="59" t="s">
        <v>1174</v>
      </c>
      <c r="G652" s="59" t="s">
        <v>1136</v>
      </c>
      <c r="H652" s="59" t="s">
        <v>1145</v>
      </c>
      <c r="I652" s="60">
        <v>46054</v>
      </c>
      <c r="J652" s="59" t="s">
        <v>454</v>
      </c>
      <c r="K652" s="59" t="s">
        <v>1142</v>
      </c>
      <c r="L652" s="59"/>
      <c r="M652" s="61">
        <v>4214898.75</v>
      </c>
      <c r="N652" s="61">
        <v>-4214898.75</v>
      </c>
      <c r="O652" s="61">
        <v>2534012144.8212719</v>
      </c>
    </row>
    <row r="653" spans="1:15" x14ac:dyDescent="0.25">
      <c r="A653" s="62">
        <v>46106</v>
      </c>
      <c r="B653">
        <v>3</v>
      </c>
      <c r="C653" t="s">
        <v>1166</v>
      </c>
      <c r="D653">
        <v>2044462</v>
      </c>
      <c r="E653" t="s">
        <v>1167</v>
      </c>
      <c r="F653" t="s">
        <v>1135</v>
      </c>
      <c r="G653" t="s">
        <v>1136</v>
      </c>
      <c r="H653" t="s">
        <v>1140</v>
      </c>
      <c r="I653" s="63">
        <v>46082</v>
      </c>
      <c r="J653" t="s">
        <v>455</v>
      </c>
      <c r="K653" t="s">
        <v>1138</v>
      </c>
      <c r="M653" s="64">
        <v>4550852.8600000003</v>
      </c>
      <c r="N653" s="64">
        <v>-4550852.8600000003</v>
      </c>
      <c r="O653" s="64">
        <v>2529461291.9612718</v>
      </c>
    </row>
    <row r="654" spans="1:15" x14ac:dyDescent="0.25">
      <c r="A654" s="58">
        <v>46106</v>
      </c>
      <c r="B654" s="59">
        <v>3</v>
      </c>
      <c r="C654" s="59" t="s">
        <v>1166</v>
      </c>
      <c r="D654" s="59">
        <v>1044422</v>
      </c>
      <c r="E654" s="59" t="s">
        <v>1134</v>
      </c>
      <c r="F654" s="59" t="s">
        <v>1135</v>
      </c>
      <c r="G654" s="59" t="s">
        <v>1136</v>
      </c>
      <c r="H654" s="59" t="s">
        <v>1165</v>
      </c>
      <c r="I654" s="60">
        <v>46054</v>
      </c>
      <c r="J654" s="59" t="s">
        <v>456</v>
      </c>
      <c r="K654" s="59" t="s">
        <v>1138</v>
      </c>
      <c r="L654" s="61">
        <v>4816201</v>
      </c>
      <c r="M654" s="59"/>
      <c r="N654" s="61">
        <v>4816201</v>
      </c>
      <c r="O654" s="61">
        <v>3007590912.761272</v>
      </c>
    </row>
    <row r="655" spans="1:15" x14ac:dyDescent="0.25">
      <c r="A655" s="62">
        <v>46108</v>
      </c>
      <c r="B655">
        <v>3</v>
      </c>
      <c r="C655" t="s">
        <v>1133</v>
      </c>
      <c r="D655">
        <v>2044463</v>
      </c>
      <c r="E655" t="s">
        <v>1167</v>
      </c>
      <c r="F655" t="s">
        <v>1135</v>
      </c>
      <c r="G655" t="s">
        <v>1136</v>
      </c>
      <c r="H655" t="s">
        <v>1140</v>
      </c>
      <c r="I655" s="63">
        <v>46082</v>
      </c>
      <c r="J655" t="s">
        <v>459</v>
      </c>
      <c r="K655" t="s">
        <v>1146</v>
      </c>
      <c r="M655" s="64">
        <v>2348093.37</v>
      </c>
      <c r="N655" s="64">
        <v>-2348093.37</v>
      </c>
      <c r="O655" s="64">
        <v>3005242819.391273</v>
      </c>
    </row>
    <row r="656" spans="1:15" x14ac:dyDescent="0.25">
      <c r="A656" s="58">
        <v>46111</v>
      </c>
      <c r="B656" s="59">
        <v>3</v>
      </c>
      <c r="C656" s="59" t="s">
        <v>1144</v>
      </c>
      <c r="D656" s="59">
        <v>1044263</v>
      </c>
      <c r="E656" s="59" t="s">
        <v>1134</v>
      </c>
      <c r="F656" s="59" t="s">
        <v>1135</v>
      </c>
      <c r="G656" s="59" t="s">
        <v>1136</v>
      </c>
      <c r="H656" s="59" t="s">
        <v>1145</v>
      </c>
      <c r="I656" s="60">
        <v>46054</v>
      </c>
      <c r="J656" s="59" t="s">
        <v>461</v>
      </c>
      <c r="K656" s="59" t="s">
        <v>1146</v>
      </c>
      <c r="L656" s="61">
        <v>2191829.21</v>
      </c>
      <c r="M656" s="59"/>
      <c r="N656" s="61">
        <v>2191829.21</v>
      </c>
      <c r="O656" s="61">
        <v>3011451930.2112732</v>
      </c>
    </row>
    <row r="657" spans="1:15" x14ac:dyDescent="0.25">
      <c r="A657" s="62">
        <v>46111</v>
      </c>
      <c r="B657">
        <v>3</v>
      </c>
      <c r="C657" t="s">
        <v>1144</v>
      </c>
      <c r="D657">
        <v>1044463</v>
      </c>
      <c r="E657" t="s">
        <v>1134</v>
      </c>
      <c r="F657" t="s">
        <v>1135</v>
      </c>
      <c r="G657" t="s">
        <v>1136</v>
      </c>
      <c r="H657" t="s">
        <v>1140</v>
      </c>
      <c r="I657" s="63">
        <v>46054</v>
      </c>
      <c r="J657" t="s">
        <v>461</v>
      </c>
      <c r="K657" t="s">
        <v>1146</v>
      </c>
      <c r="L657" s="64">
        <v>573938.57999999996</v>
      </c>
      <c r="N657" s="64">
        <v>573938.57999999996</v>
      </c>
      <c r="O657" s="64">
        <v>3012025868.7912731</v>
      </c>
    </row>
    <row r="658" spans="1:15" x14ac:dyDescent="0.25">
      <c r="A658" s="58">
        <v>46112</v>
      </c>
      <c r="B658" s="59">
        <v>3</v>
      </c>
      <c r="C658" s="59" t="s">
        <v>1161</v>
      </c>
      <c r="D658" s="59">
        <v>1044311</v>
      </c>
      <c r="E658" s="59" t="s">
        <v>1134</v>
      </c>
      <c r="F658" s="59" t="s">
        <v>1135</v>
      </c>
      <c r="G658" s="59" t="s">
        <v>1136</v>
      </c>
      <c r="H658" s="59" t="s">
        <v>1137</v>
      </c>
      <c r="I658" s="60">
        <v>45658</v>
      </c>
      <c r="J658" s="59" t="s">
        <v>462</v>
      </c>
      <c r="K658" s="59" t="s">
        <v>1142</v>
      </c>
      <c r="L658" s="61">
        <v>12147706.720000001</v>
      </c>
      <c r="M658" s="59"/>
      <c r="N658" s="61">
        <v>12147706.720000001</v>
      </c>
      <c r="O658" s="61">
        <v>3024173575.511272</v>
      </c>
    </row>
    <row r="659" spans="1:15" x14ac:dyDescent="0.25">
      <c r="A659" s="62">
        <v>46112</v>
      </c>
      <c r="B659">
        <v>3</v>
      </c>
      <c r="C659" t="s">
        <v>1161</v>
      </c>
      <c r="D659">
        <v>1044321</v>
      </c>
      <c r="E659" t="s">
        <v>1134</v>
      </c>
      <c r="F659" t="s">
        <v>1135</v>
      </c>
      <c r="G659" t="s">
        <v>1136</v>
      </c>
      <c r="H659" t="s">
        <v>1143</v>
      </c>
      <c r="I659" s="63">
        <v>45658</v>
      </c>
      <c r="J659" t="s">
        <v>462</v>
      </c>
      <c r="K659" t="s">
        <v>1142</v>
      </c>
      <c r="L659" s="64">
        <v>19492643.73</v>
      </c>
      <c r="N659" s="64">
        <v>19492643.73</v>
      </c>
      <c r="O659" s="64">
        <v>3043666219.241272</v>
      </c>
    </row>
    <row r="660" spans="1:15" x14ac:dyDescent="0.25">
      <c r="A660" s="58">
        <v>46112</v>
      </c>
      <c r="B660" s="59">
        <v>3</v>
      </c>
      <c r="C660" s="59" t="s">
        <v>1161</v>
      </c>
      <c r="D660" s="59">
        <v>1044321</v>
      </c>
      <c r="E660" s="59" t="s">
        <v>1134</v>
      </c>
      <c r="F660" s="59" t="s">
        <v>1135</v>
      </c>
      <c r="G660" s="59" t="s">
        <v>1136</v>
      </c>
      <c r="H660" s="59" t="s">
        <v>1143</v>
      </c>
      <c r="I660" s="60">
        <v>45597</v>
      </c>
      <c r="J660" s="59" t="s">
        <v>462</v>
      </c>
      <c r="K660" s="59" t="s">
        <v>1142</v>
      </c>
      <c r="L660" s="61">
        <v>29427893.239999998</v>
      </c>
      <c r="M660" s="59"/>
      <c r="N660" s="61">
        <v>29427893.239999998</v>
      </c>
      <c r="O660" s="61">
        <v>3073094112.4812722</v>
      </c>
    </row>
    <row r="661" spans="1:15" x14ac:dyDescent="0.25">
      <c r="A661" s="62">
        <v>46112</v>
      </c>
      <c r="B661">
        <v>3</v>
      </c>
      <c r="C661" t="s">
        <v>1161</v>
      </c>
      <c r="D661">
        <v>1044321</v>
      </c>
      <c r="E661" t="s">
        <v>1134</v>
      </c>
      <c r="F661" t="s">
        <v>1135</v>
      </c>
      <c r="G661" t="s">
        <v>1136</v>
      </c>
      <c r="H661" t="s">
        <v>1143</v>
      </c>
      <c r="I661" s="63">
        <v>45689</v>
      </c>
      <c r="J661" t="s">
        <v>462</v>
      </c>
      <c r="K661" t="s">
        <v>1142</v>
      </c>
      <c r="L661" s="64">
        <v>3216499.3</v>
      </c>
      <c r="N661" s="64">
        <v>3216499.3</v>
      </c>
      <c r="O661" s="64">
        <v>3076310611.7812719</v>
      </c>
    </row>
    <row r="662" spans="1:15" x14ac:dyDescent="0.25">
      <c r="A662" s="58">
        <v>46118</v>
      </c>
      <c r="B662" s="59">
        <v>4</v>
      </c>
      <c r="C662" s="59" t="s">
        <v>1144</v>
      </c>
      <c r="D662" s="59">
        <v>1044165</v>
      </c>
      <c r="E662" s="59" t="s">
        <v>1134</v>
      </c>
      <c r="F662" s="59" t="s">
        <v>1135</v>
      </c>
      <c r="G662" s="59" t="s">
        <v>1136</v>
      </c>
      <c r="H662" s="59" t="s">
        <v>1162</v>
      </c>
      <c r="I662" s="60">
        <v>46054</v>
      </c>
      <c r="J662" s="59" t="s">
        <v>463</v>
      </c>
      <c r="K662" s="59" t="s">
        <v>1172</v>
      </c>
      <c r="L662" s="61">
        <v>1215530.96</v>
      </c>
      <c r="M662" s="59"/>
      <c r="N662" s="61">
        <v>1215530.96</v>
      </c>
      <c r="O662" s="61">
        <v>3101053108.241272</v>
      </c>
    </row>
    <row r="663" spans="1:15" x14ac:dyDescent="0.25">
      <c r="A663" s="62">
        <v>46118</v>
      </c>
      <c r="B663">
        <v>4</v>
      </c>
      <c r="C663" t="s">
        <v>1144</v>
      </c>
      <c r="D663">
        <v>1044235</v>
      </c>
      <c r="E663" t="s">
        <v>1134</v>
      </c>
      <c r="F663" t="s">
        <v>1135</v>
      </c>
      <c r="G663" t="s">
        <v>1136</v>
      </c>
      <c r="H663" t="s">
        <v>1152</v>
      </c>
      <c r="I663" s="63">
        <v>46054</v>
      </c>
      <c r="J663" t="s">
        <v>463</v>
      </c>
      <c r="K663" t="s">
        <v>1172</v>
      </c>
      <c r="L663" s="64">
        <v>3528652.85</v>
      </c>
      <c r="N663" s="64">
        <v>3528652.85</v>
      </c>
      <c r="O663" s="64">
        <v>3104581761.0912719</v>
      </c>
    </row>
    <row r="664" spans="1:15" x14ac:dyDescent="0.25">
      <c r="A664" s="58">
        <v>46118</v>
      </c>
      <c r="B664" s="59">
        <v>4</v>
      </c>
      <c r="C664" s="59" t="s">
        <v>1144</v>
      </c>
      <c r="D664" s="59">
        <v>1044495</v>
      </c>
      <c r="E664" s="59" t="s">
        <v>1134</v>
      </c>
      <c r="F664" s="59" t="s">
        <v>1135</v>
      </c>
      <c r="G664" s="59" t="s">
        <v>1136</v>
      </c>
      <c r="H664" s="59" t="s">
        <v>1173</v>
      </c>
      <c r="I664" s="60">
        <v>46054</v>
      </c>
      <c r="J664" s="59" t="s">
        <v>463</v>
      </c>
      <c r="K664" s="59" t="s">
        <v>1172</v>
      </c>
      <c r="L664" s="61">
        <v>185042.88</v>
      </c>
      <c r="M664" s="59"/>
      <c r="N664" s="61">
        <v>185042.88</v>
      </c>
      <c r="O664" s="61">
        <v>3104766803.971272</v>
      </c>
    </row>
    <row r="665" spans="1:15" x14ac:dyDescent="0.25">
      <c r="A665" s="62">
        <v>46118</v>
      </c>
      <c r="B665">
        <v>4</v>
      </c>
      <c r="C665" t="s">
        <v>1144</v>
      </c>
      <c r="D665">
        <v>1044275</v>
      </c>
      <c r="E665" t="s">
        <v>1134</v>
      </c>
      <c r="F665" t="s">
        <v>1135</v>
      </c>
      <c r="G665" t="s">
        <v>1136</v>
      </c>
      <c r="H665" t="s">
        <v>1154</v>
      </c>
      <c r="I665" s="63">
        <v>46054</v>
      </c>
      <c r="J665" t="s">
        <v>463</v>
      </c>
      <c r="K665" t="s">
        <v>1172</v>
      </c>
      <c r="L665" s="64">
        <v>616043.11</v>
      </c>
      <c r="N665" s="64">
        <v>616043.11</v>
      </c>
      <c r="O665" s="64">
        <v>3105382847.0812731</v>
      </c>
    </row>
    <row r="666" spans="1:15" x14ac:dyDescent="0.25">
      <c r="A666" s="58">
        <v>46118</v>
      </c>
      <c r="B666" s="59">
        <v>4</v>
      </c>
      <c r="C666" s="59" t="s">
        <v>1144</v>
      </c>
      <c r="D666" s="59">
        <v>1044285</v>
      </c>
      <c r="E666" s="59" t="s">
        <v>1134</v>
      </c>
      <c r="F666" s="59" t="s">
        <v>1135</v>
      </c>
      <c r="G666" s="59" t="s">
        <v>1136</v>
      </c>
      <c r="H666" s="59" t="s">
        <v>1155</v>
      </c>
      <c r="I666" s="60">
        <v>46054</v>
      </c>
      <c r="J666" s="59" t="s">
        <v>463</v>
      </c>
      <c r="K666" s="59" t="s">
        <v>1172</v>
      </c>
      <c r="L666" s="61">
        <v>343220</v>
      </c>
      <c r="M666" s="59"/>
      <c r="N666" s="61">
        <v>343220</v>
      </c>
      <c r="O666" s="61">
        <v>3105726067.0812731</v>
      </c>
    </row>
    <row r="667" spans="1:15" x14ac:dyDescent="0.25">
      <c r="A667" s="62">
        <v>46118</v>
      </c>
      <c r="B667">
        <v>4</v>
      </c>
      <c r="C667" t="s">
        <v>1144</v>
      </c>
      <c r="D667">
        <v>1044465</v>
      </c>
      <c r="E667" t="s">
        <v>1134</v>
      </c>
      <c r="F667" t="s">
        <v>1135</v>
      </c>
      <c r="G667" t="s">
        <v>1136</v>
      </c>
      <c r="H667" t="s">
        <v>1140</v>
      </c>
      <c r="I667" s="63">
        <v>46054</v>
      </c>
      <c r="J667" t="s">
        <v>463</v>
      </c>
      <c r="K667" t="s">
        <v>1172</v>
      </c>
      <c r="L667" s="64">
        <v>952711.34889999998</v>
      </c>
      <c r="N667" s="64">
        <v>952711.34889999998</v>
      </c>
      <c r="O667" s="64">
        <v>3106678778.430172</v>
      </c>
    </row>
    <row r="668" spans="1:15" x14ac:dyDescent="0.25">
      <c r="A668" s="58">
        <v>46118</v>
      </c>
      <c r="B668" s="59">
        <v>4</v>
      </c>
      <c r="C668" s="59" t="s">
        <v>1144</v>
      </c>
      <c r="D668" s="59">
        <v>1044405</v>
      </c>
      <c r="E668" s="59" t="s">
        <v>1134</v>
      </c>
      <c r="F668" s="59" t="s">
        <v>1135</v>
      </c>
      <c r="G668" s="59" t="s">
        <v>1136</v>
      </c>
      <c r="H668" s="59" t="s">
        <v>1159</v>
      </c>
      <c r="I668" s="60">
        <v>46054</v>
      </c>
      <c r="J668" s="59" t="s">
        <v>463</v>
      </c>
      <c r="K668" s="59" t="s">
        <v>1172</v>
      </c>
      <c r="L668" s="61">
        <v>174142.34</v>
      </c>
      <c r="M668" s="59"/>
      <c r="N668" s="61">
        <v>174142.34</v>
      </c>
      <c r="O668" s="61">
        <v>3106852920.7701731</v>
      </c>
    </row>
    <row r="669" spans="1:15" x14ac:dyDescent="0.25">
      <c r="A669" s="62">
        <v>46118</v>
      </c>
      <c r="B669">
        <v>4</v>
      </c>
      <c r="C669" t="s">
        <v>1144</v>
      </c>
      <c r="D669">
        <v>1044425</v>
      </c>
      <c r="E669" t="s">
        <v>1134</v>
      </c>
      <c r="F669" t="s">
        <v>1135</v>
      </c>
      <c r="G669" t="s">
        <v>1136</v>
      </c>
      <c r="H669" t="s">
        <v>1165</v>
      </c>
      <c r="I669" s="63">
        <v>46054</v>
      </c>
      <c r="J669" t="s">
        <v>463</v>
      </c>
      <c r="K669" t="s">
        <v>1172</v>
      </c>
      <c r="L669" s="64">
        <v>1470282.34</v>
      </c>
      <c r="N669" s="64">
        <v>1470282.34</v>
      </c>
      <c r="O669" s="64">
        <v>3108323203.1101732</v>
      </c>
    </row>
    <row r="670" spans="1:15" x14ac:dyDescent="0.25">
      <c r="A670" s="58">
        <v>46118</v>
      </c>
      <c r="B670" s="59">
        <v>4</v>
      </c>
      <c r="C670" s="59" t="s">
        <v>1144</v>
      </c>
      <c r="D670" s="59">
        <v>1044312</v>
      </c>
      <c r="E670" s="59" t="s">
        <v>1134</v>
      </c>
      <c r="F670" s="59" t="s">
        <v>1135</v>
      </c>
      <c r="G670" s="59" t="s">
        <v>1136</v>
      </c>
      <c r="H670" s="59" t="s">
        <v>1137</v>
      </c>
      <c r="I670" s="60">
        <v>46082</v>
      </c>
      <c r="J670" s="59" t="s">
        <v>464</v>
      </c>
      <c r="K670" s="59" t="s">
        <v>1138</v>
      </c>
      <c r="L670" s="61">
        <v>27597100</v>
      </c>
      <c r="M670" s="59"/>
      <c r="N670" s="61">
        <v>27597100</v>
      </c>
      <c r="O670" s="61">
        <v>3135994058.6601729</v>
      </c>
    </row>
    <row r="671" spans="1:15" x14ac:dyDescent="0.25">
      <c r="A671" s="62">
        <v>46118</v>
      </c>
      <c r="B671">
        <v>4</v>
      </c>
      <c r="C671" t="s">
        <v>1144</v>
      </c>
      <c r="D671">
        <v>1044202</v>
      </c>
      <c r="E671" t="s">
        <v>1134</v>
      </c>
      <c r="F671" t="s">
        <v>1135</v>
      </c>
      <c r="G671" t="s">
        <v>1136</v>
      </c>
      <c r="H671" t="s">
        <v>1139</v>
      </c>
      <c r="I671" s="63">
        <v>46082</v>
      </c>
      <c r="J671" t="s">
        <v>464</v>
      </c>
      <c r="K671" t="s">
        <v>1138</v>
      </c>
      <c r="L671" s="64">
        <v>19939606.140900001</v>
      </c>
      <c r="N671" s="64">
        <v>19939606.140900001</v>
      </c>
      <c r="O671" s="64">
        <v>3155933664.8010731</v>
      </c>
    </row>
    <row r="672" spans="1:15" x14ac:dyDescent="0.25">
      <c r="A672" s="58">
        <v>46118</v>
      </c>
      <c r="B672" s="59">
        <v>4</v>
      </c>
      <c r="C672" s="59" t="s">
        <v>1144</v>
      </c>
      <c r="D672" s="59">
        <v>1044462</v>
      </c>
      <c r="E672" s="59" t="s">
        <v>1134</v>
      </c>
      <c r="F672" s="59" t="s">
        <v>1135</v>
      </c>
      <c r="G672" s="59" t="s">
        <v>1136</v>
      </c>
      <c r="H672" s="59" t="s">
        <v>1140</v>
      </c>
      <c r="I672" s="60">
        <v>46082</v>
      </c>
      <c r="J672" s="59" t="s">
        <v>464</v>
      </c>
      <c r="K672" s="59" t="s">
        <v>1138</v>
      </c>
      <c r="L672" s="61">
        <v>4550852.8600000003</v>
      </c>
      <c r="M672" s="59"/>
      <c r="N672" s="61">
        <v>4550852.8600000003</v>
      </c>
      <c r="O672" s="61">
        <v>3160484517.6610732</v>
      </c>
    </row>
    <row r="673" spans="1:15" x14ac:dyDescent="0.25">
      <c r="A673" s="62">
        <v>46118</v>
      </c>
      <c r="B673">
        <v>4</v>
      </c>
      <c r="C673" t="s">
        <v>1144</v>
      </c>
      <c r="D673">
        <v>1044174</v>
      </c>
      <c r="E673" t="s">
        <v>1134</v>
      </c>
      <c r="F673" t="s">
        <v>1135</v>
      </c>
      <c r="G673" t="s">
        <v>1136</v>
      </c>
      <c r="H673" t="s">
        <v>1147</v>
      </c>
      <c r="I673" s="63">
        <v>46082</v>
      </c>
      <c r="J673" t="s">
        <v>465</v>
      </c>
      <c r="K673" t="s">
        <v>1148</v>
      </c>
      <c r="L673" s="64">
        <v>15705900</v>
      </c>
      <c r="N673" s="64">
        <v>15705900</v>
      </c>
      <c r="O673" s="64">
        <v>3757175500.7610741</v>
      </c>
    </row>
    <row r="674" spans="1:15" x14ac:dyDescent="0.25">
      <c r="A674" s="58">
        <v>46118</v>
      </c>
      <c r="B674" s="59">
        <v>4</v>
      </c>
      <c r="C674" s="59" t="s">
        <v>1144</v>
      </c>
      <c r="D674" s="59">
        <v>1044196</v>
      </c>
      <c r="E674" s="59" t="s">
        <v>1134</v>
      </c>
      <c r="F674" s="59" t="s">
        <v>1135</v>
      </c>
      <c r="G674" s="59" t="s">
        <v>1136</v>
      </c>
      <c r="H674" s="59" t="s">
        <v>1149</v>
      </c>
      <c r="I674" s="60">
        <v>46082</v>
      </c>
      <c r="J674" s="59" t="s">
        <v>465</v>
      </c>
      <c r="K674" s="59" t="s">
        <v>1150</v>
      </c>
      <c r="L674" s="61">
        <v>18778545.9799999</v>
      </c>
      <c r="M674" s="59"/>
      <c r="N674" s="61">
        <v>18778545.9799999</v>
      </c>
      <c r="O674" s="61">
        <v>3775954046.7410741</v>
      </c>
    </row>
    <row r="675" spans="1:15" x14ac:dyDescent="0.25">
      <c r="A675" s="62">
        <v>46118</v>
      </c>
      <c r="B675">
        <v>4</v>
      </c>
      <c r="C675" t="s">
        <v>1144</v>
      </c>
      <c r="D675">
        <v>1044214</v>
      </c>
      <c r="E675" t="s">
        <v>1134</v>
      </c>
      <c r="F675" t="s">
        <v>1135</v>
      </c>
      <c r="G675" t="s">
        <v>1136</v>
      </c>
      <c r="H675" t="s">
        <v>1151</v>
      </c>
      <c r="I675" s="63">
        <v>46082</v>
      </c>
      <c r="J675" t="s">
        <v>465</v>
      </c>
      <c r="K675" t="s">
        <v>1148</v>
      </c>
      <c r="L675" s="64">
        <v>4675823.47</v>
      </c>
      <c r="N675" s="64">
        <v>4675823.47</v>
      </c>
      <c r="O675" s="64">
        <v>3780629870.2110729</v>
      </c>
    </row>
    <row r="676" spans="1:15" x14ac:dyDescent="0.25">
      <c r="A676" s="58">
        <v>46118</v>
      </c>
      <c r="B676" s="59">
        <v>4</v>
      </c>
      <c r="C676" s="59" t="s">
        <v>1144</v>
      </c>
      <c r="D676" s="59">
        <v>1044234</v>
      </c>
      <c r="E676" s="59" t="s">
        <v>1134</v>
      </c>
      <c r="F676" s="59" t="s">
        <v>1135</v>
      </c>
      <c r="G676" s="59" t="s">
        <v>1136</v>
      </c>
      <c r="H676" s="59" t="s">
        <v>1152</v>
      </c>
      <c r="I676" s="60">
        <v>46082</v>
      </c>
      <c r="J676" s="59" t="s">
        <v>465</v>
      </c>
      <c r="K676" s="59" t="s">
        <v>1148</v>
      </c>
      <c r="L676" s="61">
        <v>22027223.25</v>
      </c>
      <c r="M676" s="59"/>
      <c r="N676" s="61">
        <v>22027223.25</v>
      </c>
      <c r="O676" s="61">
        <v>3802657093.4610729</v>
      </c>
    </row>
    <row r="677" spans="1:15" x14ac:dyDescent="0.25">
      <c r="A677" s="62">
        <v>46118</v>
      </c>
      <c r="B677">
        <v>4</v>
      </c>
      <c r="C677" t="s">
        <v>1144</v>
      </c>
      <c r="D677">
        <v>1044244</v>
      </c>
      <c r="E677" t="s">
        <v>1134</v>
      </c>
      <c r="F677" t="s">
        <v>1135</v>
      </c>
      <c r="G677" t="s">
        <v>1136</v>
      </c>
      <c r="H677" t="s">
        <v>1153</v>
      </c>
      <c r="I677" s="63">
        <v>46082</v>
      </c>
      <c r="J677" t="s">
        <v>465</v>
      </c>
      <c r="K677" t="s">
        <v>1148</v>
      </c>
      <c r="L677" s="64">
        <v>12503467.810000001</v>
      </c>
      <c r="N677" s="64">
        <v>12503467.810000001</v>
      </c>
      <c r="O677" s="64">
        <v>3815160561.2710729</v>
      </c>
    </row>
    <row r="678" spans="1:15" x14ac:dyDescent="0.25">
      <c r="A678" s="58">
        <v>46118</v>
      </c>
      <c r="B678" s="59">
        <v>4</v>
      </c>
      <c r="C678" s="59" t="s">
        <v>1144</v>
      </c>
      <c r="D678" s="59">
        <v>1044264</v>
      </c>
      <c r="E678" s="59" t="s">
        <v>1134</v>
      </c>
      <c r="F678" s="59" t="s">
        <v>1135</v>
      </c>
      <c r="G678" s="59" t="s">
        <v>1136</v>
      </c>
      <c r="H678" s="59" t="s">
        <v>1145</v>
      </c>
      <c r="I678" s="60">
        <v>46082</v>
      </c>
      <c r="J678" s="59" t="s">
        <v>465</v>
      </c>
      <c r="K678" s="59" t="s">
        <v>1148</v>
      </c>
      <c r="L678" s="61">
        <v>6267400</v>
      </c>
      <c r="M678" s="59"/>
      <c r="N678" s="61">
        <v>6267400</v>
      </c>
      <c r="O678" s="61">
        <v>3821427961.2710729</v>
      </c>
    </row>
    <row r="679" spans="1:15" x14ac:dyDescent="0.25">
      <c r="A679" s="62">
        <v>46118</v>
      </c>
      <c r="B679">
        <v>4</v>
      </c>
      <c r="C679" t="s">
        <v>1144</v>
      </c>
      <c r="D679">
        <v>1044266</v>
      </c>
      <c r="E679" t="s">
        <v>1134</v>
      </c>
      <c r="F679" t="s">
        <v>1135</v>
      </c>
      <c r="G679" t="s">
        <v>1136</v>
      </c>
      <c r="H679" t="s">
        <v>1145</v>
      </c>
      <c r="I679" s="63">
        <v>46082</v>
      </c>
      <c r="J679" t="s">
        <v>465</v>
      </c>
      <c r="K679" t="s">
        <v>1150</v>
      </c>
      <c r="L679" s="64">
        <v>378982.74</v>
      </c>
      <c r="N679" s="64">
        <v>378982.74</v>
      </c>
      <c r="O679" s="64">
        <v>3821806944.0110731</v>
      </c>
    </row>
    <row r="680" spans="1:15" x14ac:dyDescent="0.25">
      <c r="A680" s="58">
        <v>46118</v>
      </c>
      <c r="B680" s="59">
        <v>4</v>
      </c>
      <c r="C680" s="59" t="s">
        <v>1144</v>
      </c>
      <c r="D680" s="59">
        <v>1044264</v>
      </c>
      <c r="E680" s="59" t="s">
        <v>1134</v>
      </c>
      <c r="F680" s="59" t="s">
        <v>1135</v>
      </c>
      <c r="G680" s="59" t="s">
        <v>1136</v>
      </c>
      <c r="H680" s="59" t="s">
        <v>1145</v>
      </c>
      <c r="I680" s="60">
        <v>46082</v>
      </c>
      <c r="J680" s="59" t="s">
        <v>465</v>
      </c>
      <c r="K680" s="59" t="s">
        <v>1148</v>
      </c>
      <c r="L680" s="61">
        <v>3534605.73</v>
      </c>
      <c r="M680" s="59"/>
      <c r="N680" s="61">
        <v>3534605.73</v>
      </c>
      <c r="O680" s="61">
        <v>3825341549.7410731</v>
      </c>
    </row>
    <row r="681" spans="1:15" x14ac:dyDescent="0.25">
      <c r="A681" s="62">
        <v>46118</v>
      </c>
      <c r="B681">
        <v>4</v>
      </c>
      <c r="C681" t="s">
        <v>1144</v>
      </c>
      <c r="D681">
        <v>1044274</v>
      </c>
      <c r="E681" t="s">
        <v>1134</v>
      </c>
      <c r="F681" t="s">
        <v>1135</v>
      </c>
      <c r="G681" t="s">
        <v>1136</v>
      </c>
      <c r="H681" t="s">
        <v>1154</v>
      </c>
      <c r="I681" s="63">
        <v>46082</v>
      </c>
      <c r="J681" t="s">
        <v>465</v>
      </c>
      <c r="K681" t="s">
        <v>1148</v>
      </c>
      <c r="L681" s="64">
        <v>8732336.0299999993</v>
      </c>
      <c r="N681" s="64">
        <v>8732336.0299999993</v>
      </c>
      <c r="O681" s="64">
        <v>3834073885.7710729</v>
      </c>
    </row>
    <row r="682" spans="1:15" x14ac:dyDescent="0.25">
      <c r="A682" s="58">
        <v>46118</v>
      </c>
      <c r="B682" s="59">
        <v>4</v>
      </c>
      <c r="C682" s="59" t="s">
        <v>1144</v>
      </c>
      <c r="D682" s="59">
        <v>1044284</v>
      </c>
      <c r="E682" s="59" t="s">
        <v>1134</v>
      </c>
      <c r="F682" s="59" t="s">
        <v>1135</v>
      </c>
      <c r="G682" s="59" t="s">
        <v>1136</v>
      </c>
      <c r="H682" s="59" t="s">
        <v>1155</v>
      </c>
      <c r="I682" s="60">
        <v>46082</v>
      </c>
      <c r="J682" s="59" t="s">
        <v>465</v>
      </c>
      <c r="K682" s="59" t="s">
        <v>1148</v>
      </c>
      <c r="L682" s="61">
        <v>152858200</v>
      </c>
      <c r="M682" s="59"/>
      <c r="N682" s="61">
        <v>152858200</v>
      </c>
      <c r="O682" s="61">
        <v>3986932085.7710729</v>
      </c>
    </row>
    <row r="683" spans="1:15" x14ac:dyDescent="0.25">
      <c r="A683" s="62">
        <v>46118</v>
      </c>
      <c r="B683">
        <v>4</v>
      </c>
      <c r="C683" t="s">
        <v>1144</v>
      </c>
      <c r="D683">
        <v>1044286</v>
      </c>
      <c r="E683" t="s">
        <v>1134</v>
      </c>
      <c r="F683" t="s">
        <v>1135</v>
      </c>
      <c r="G683" t="s">
        <v>1136</v>
      </c>
      <c r="H683" t="s">
        <v>1155</v>
      </c>
      <c r="I683" s="63">
        <v>46082</v>
      </c>
      <c r="J683" t="s">
        <v>465</v>
      </c>
      <c r="K683" t="s">
        <v>1150</v>
      </c>
      <c r="L683" s="64">
        <v>2979768.649999998</v>
      </c>
      <c r="N683" s="64">
        <v>2979768.649999998</v>
      </c>
      <c r="O683" s="64">
        <v>3989911854.421073</v>
      </c>
    </row>
    <row r="684" spans="1:15" x14ac:dyDescent="0.25">
      <c r="A684" s="58">
        <v>46118</v>
      </c>
      <c r="B684" s="59">
        <v>4</v>
      </c>
      <c r="C684" s="59" t="s">
        <v>1144</v>
      </c>
      <c r="D684" s="59">
        <v>1044464</v>
      </c>
      <c r="E684" s="59" t="s">
        <v>1134</v>
      </c>
      <c r="F684" s="59" t="s">
        <v>1135</v>
      </c>
      <c r="G684" s="59" t="s">
        <v>1136</v>
      </c>
      <c r="H684" s="59" t="s">
        <v>1140</v>
      </c>
      <c r="I684" s="60">
        <v>46082</v>
      </c>
      <c r="J684" s="59" t="s">
        <v>465</v>
      </c>
      <c r="K684" s="59" t="s">
        <v>1148</v>
      </c>
      <c r="L684" s="61">
        <v>7662359.0099999998</v>
      </c>
      <c r="M684" s="59"/>
      <c r="N684" s="61">
        <v>7662359.0099999998</v>
      </c>
      <c r="O684" s="61">
        <v>3997574213.4310741</v>
      </c>
    </row>
    <row r="685" spans="1:15" x14ac:dyDescent="0.25">
      <c r="A685" s="62">
        <v>46118</v>
      </c>
      <c r="B685">
        <v>4</v>
      </c>
      <c r="C685" t="s">
        <v>1144</v>
      </c>
      <c r="D685">
        <v>1044324</v>
      </c>
      <c r="E685" t="s">
        <v>1134</v>
      </c>
      <c r="F685" t="s">
        <v>1135</v>
      </c>
      <c r="G685" t="s">
        <v>1136</v>
      </c>
      <c r="H685" t="s">
        <v>1143</v>
      </c>
      <c r="I685" s="63">
        <v>46082</v>
      </c>
      <c r="J685" t="s">
        <v>465</v>
      </c>
      <c r="K685" t="s">
        <v>1148</v>
      </c>
      <c r="L685" s="64">
        <v>56962440</v>
      </c>
      <c r="N685" s="64">
        <v>56962440</v>
      </c>
      <c r="O685" s="64">
        <v>4054536653.4310741</v>
      </c>
    </row>
    <row r="686" spans="1:15" x14ac:dyDescent="0.25">
      <c r="A686" s="58">
        <v>46118</v>
      </c>
      <c r="B686" s="59">
        <v>4</v>
      </c>
      <c r="C686" s="59" t="s">
        <v>1144</v>
      </c>
      <c r="D686" s="59">
        <v>1044326</v>
      </c>
      <c r="E686" s="59" t="s">
        <v>1134</v>
      </c>
      <c r="F686" s="59" t="s">
        <v>1135</v>
      </c>
      <c r="G686" s="59" t="s">
        <v>1136</v>
      </c>
      <c r="H686" s="59" t="s">
        <v>1143</v>
      </c>
      <c r="I686" s="60">
        <v>46082</v>
      </c>
      <c r="J686" s="59" t="s">
        <v>465</v>
      </c>
      <c r="K686" s="59" t="s">
        <v>1150</v>
      </c>
      <c r="L686" s="61">
        <v>360045.15</v>
      </c>
      <c r="M686" s="59"/>
      <c r="N686" s="61">
        <v>360045.15</v>
      </c>
      <c r="O686" s="61">
        <v>4054896698.5810742</v>
      </c>
    </row>
    <row r="687" spans="1:15" x14ac:dyDescent="0.25">
      <c r="A687" s="62">
        <v>46118</v>
      </c>
      <c r="B687">
        <v>4</v>
      </c>
      <c r="C687" t="s">
        <v>1144</v>
      </c>
      <c r="D687">
        <v>1044344</v>
      </c>
      <c r="E687" t="s">
        <v>1134</v>
      </c>
      <c r="F687" t="s">
        <v>1135</v>
      </c>
      <c r="G687" t="s">
        <v>1136</v>
      </c>
      <c r="H687" t="s">
        <v>1156</v>
      </c>
      <c r="I687" s="63">
        <v>46082</v>
      </c>
      <c r="J687" t="s">
        <v>465</v>
      </c>
      <c r="K687" t="s">
        <v>1148</v>
      </c>
      <c r="L687" s="64">
        <v>972500</v>
      </c>
      <c r="N687" s="64">
        <v>972500</v>
      </c>
      <c r="O687" s="64">
        <v>4055869198.5810742</v>
      </c>
    </row>
    <row r="688" spans="1:15" x14ac:dyDescent="0.25">
      <c r="A688" s="58">
        <v>46118</v>
      </c>
      <c r="B688" s="59">
        <v>4</v>
      </c>
      <c r="C688" s="59" t="s">
        <v>1144</v>
      </c>
      <c r="D688" s="59">
        <v>1044354</v>
      </c>
      <c r="E688" s="59" t="s">
        <v>1134</v>
      </c>
      <c r="F688" s="59" t="s">
        <v>1135</v>
      </c>
      <c r="G688" s="59" t="s">
        <v>1136</v>
      </c>
      <c r="H688" s="59" t="s">
        <v>1157</v>
      </c>
      <c r="I688" s="60">
        <v>46082</v>
      </c>
      <c r="J688" s="59" t="s">
        <v>465</v>
      </c>
      <c r="K688" s="59" t="s">
        <v>1148</v>
      </c>
      <c r="L688" s="61">
        <v>5934288</v>
      </c>
      <c r="M688" s="59"/>
      <c r="N688" s="61">
        <v>5934288</v>
      </c>
      <c r="O688" s="61">
        <v>4061803486.5810742</v>
      </c>
    </row>
    <row r="689" spans="1:15" x14ac:dyDescent="0.25">
      <c r="A689" s="62">
        <v>46118</v>
      </c>
      <c r="B689">
        <v>4</v>
      </c>
      <c r="C689" t="s">
        <v>1144</v>
      </c>
      <c r="D689">
        <v>1044356</v>
      </c>
      <c r="E689" t="s">
        <v>1134</v>
      </c>
      <c r="F689" t="s">
        <v>1135</v>
      </c>
      <c r="G689" t="s">
        <v>1136</v>
      </c>
      <c r="H689" t="s">
        <v>1157</v>
      </c>
      <c r="I689" s="63">
        <v>46082</v>
      </c>
      <c r="J689" t="s">
        <v>465</v>
      </c>
      <c r="K689" t="s">
        <v>1150</v>
      </c>
      <c r="L689" s="64">
        <v>752189.72</v>
      </c>
      <c r="N689" s="64">
        <v>752189.72</v>
      </c>
      <c r="O689" s="64">
        <v>4062555676.301074</v>
      </c>
    </row>
    <row r="690" spans="1:15" x14ac:dyDescent="0.25">
      <c r="A690" s="58">
        <v>46118</v>
      </c>
      <c r="B690" s="59">
        <v>4</v>
      </c>
      <c r="C690" s="59" t="s">
        <v>1144</v>
      </c>
      <c r="D690" s="59">
        <v>1044364</v>
      </c>
      <c r="E690" s="59" t="s">
        <v>1134</v>
      </c>
      <c r="F690" s="59" t="s">
        <v>1135</v>
      </c>
      <c r="G690" s="59" t="s">
        <v>1136</v>
      </c>
      <c r="H690" s="59" t="s">
        <v>1158</v>
      </c>
      <c r="I690" s="60">
        <v>46082</v>
      </c>
      <c r="J690" s="59" t="s">
        <v>465</v>
      </c>
      <c r="K690" s="59" t="s">
        <v>1148</v>
      </c>
      <c r="L690" s="61">
        <v>28530481.109999999</v>
      </c>
      <c r="M690" s="59"/>
      <c r="N690" s="61">
        <v>28530481.109999999</v>
      </c>
      <c r="O690" s="61">
        <v>4091086157.4110742</v>
      </c>
    </row>
    <row r="691" spans="1:15" x14ac:dyDescent="0.25">
      <c r="A691" s="62">
        <v>46118</v>
      </c>
      <c r="B691">
        <v>4</v>
      </c>
      <c r="C691" t="s">
        <v>1144</v>
      </c>
      <c r="D691">
        <v>1044374</v>
      </c>
      <c r="E691" t="s">
        <v>1134</v>
      </c>
      <c r="F691" t="s">
        <v>1135</v>
      </c>
      <c r="G691" t="s">
        <v>1136</v>
      </c>
      <c r="H691" t="s">
        <v>1141</v>
      </c>
      <c r="I691" s="63">
        <v>46082</v>
      </c>
      <c r="J691" t="s">
        <v>465</v>
      </c>
      <c r="K691" t="s">
        <v>1148</v>
      </c>
      <c r="L691" s="64">
        <v>24361566.510000002</v>
      </c>
      <c r="N691" s="64">
        <v>24361566.510000002</v>
      </c>
      <c r="O691" s="64">
        <v>4115447723.9210739</v>
      </c>
    </row>
    <row r="692" spans="1:15" x14ac:dyDescent="0.25">
      <c r="A692" s="58">
        <v>46118</v>
      </c>
      <c r="B692" s="59">
        <v>4</v>
      </c>
      <c r="C692" s="59" t="s">
        <v>1144</v>
      </c>
      <c r="D692" s="59">
        <v>1044404</v>
      </c>
      <c r="E692" s="59" t="s">
        <v>1134</v>
      </c>
      <c r="F692" s="59" t="s">
        <v>1135</v>
      </c>
      <c r="G692" s="59" t="s">
        <v>1136</v>
      </c>
      <c r="H692" s="59" t="s">
        <v>1159</v>
      </c>
      <c r="I692" s="60">
        <v>46082</v>
      </c>
      <c r="J692" s="59" t="s">
        <v>465</v>
      </c>
      <c r="K692" s="59" t="s">
        <v>1148</v>
      </c>
      <c r="L692" s="61">
        <v>27879631.93</v>
      </c>
      <c r="M692" s="59"/>
      <c r="N692" s="61">
        <v>27879631.93</v>
      </c>
      <c r="O692" s="61">
        <v>4143327355.8510742</v>
      </c>
    </row>
    <row r="693" spans="1:15" x14ac:dyDescent="0.25">
      <c r="A693" s="62">
        <v>46118</v>
      </c>
      <c r="B693">
        <v>4</v>
      </c>
      <c r="C693" t="s">
        <v>1144</v>
      </c>
      <c r="D693">
        <v>1044406</v>
      </c>
      <c r="E693" t="s">
        <v>1134</v>
      </c>
      <c r="F693" t="s">
        <v>1135</v>
      </c>
      <c r="G693" t="s">
        <v>1136</v>
      </c>
      <c r="H693" t="s">
        <v>1159</v>
      </c>
      <c r="I693" s="63">
        <v>46082</v>
      </c>
      <c r="J693" t="s">
        <v>465</v>
      </c>
      <c r="K693" t="s">
        <v>1150</v>
      </c>
      <c r="L693" s="64">
        <v>1128373.03</v>
      </c>
      <c r="N693" s="64">
        <v>1128373.03</v>
      </c>
      <c r="O693" s="64">
        <v>4144455728.881074</v>
      </c>
    </row>
    <row r="694" spans="1:15" x14ac:dyDescent="0.25">
      <c r="A694" s="58">
        <v>46118</v>
      </c>
      <c r="B694" s="59">
        <v>4</v>
      </c>
      <c r="C694" s="59" t="s">
        <v>1144</v>
      </c>
      <c r="D694" s="59">
        <v>1044404</v>
      </c>
      <c r="E694" s="59" t="s">
        <v>1134</v>
      </c>
      <c r="F694" s="59" t="s">
        <v>1135</v>
      </c>
      <c r="G694" s="59" t="s">
        <v>1136</v>
      </c>
      <c r="H694" s="59" t="s">
        <v>1159</v>
      </c>
      <c r="I694" s="60">
        <v>46082</v>
      </c>
      <c r="J694" s="59" t="s">
        <v>465</v>
      </c>
      <c r="K694" s="59" t="s">
        <v>1148</v>
      </c>
      <c r="L694" s="61">
        <v>8074345.3099999996</v>
      </c>
      <c r="M694" s="59"/>
      <c r="N694" s="61">
        <v>8074345.3099999996</v>
      </c>
      <c r="O694" s="61">
        <v>4152530074.1910739</v>
      </c>
    </row>
    <row r="695" spans="1:15" x14ac:dyDescent="0.25">
      <c r="A695" s="62">
        <v>46118</v>
      </c>
      <c r="B695">
        <v>4</v>
      </c>
      <c r="C695" t="s">
        <v>1144</v>
      </c>
      <c r="D695">
        <v>1044414</v>
      </c>
      <c r="E695" t="s">
        <v>1134</v>
      </c>
      <c r="F695" t="s">
        <v>1135</v>
      </c>
      <c r="G695" t="s">
        <v>1136</v>
      </c>
      <c r="H695" t="s">
        <v>1160</v>
      </c>
      <c r="I695" s="63">
        <v>46082</v>
      </c>
      <c r="J695" t="s">
        <v>465</v>
      </c>
      <c r="K695" t="s">
        <v>1148</v>
      </c>
      <c r="L695" s="64">
        <v>20392447.289999999</v>
      </c>
      <c r="N695" s="64">
        <v>20392447.289999999</v>
      </c>
      <c r="O695" s="64">
        <v>4172922521.4810739</v>
      </c>
    </row>
    <row r="696" spans="1:15" x14ac:dyDescent="0.25">
      <c r="A696" s="58">
        <v>46119</v>
      </c>
      <c r="B696" s="59">
        <v>4</v>
      </c>
      <c r="C696" s="59" t="s">
        <v>1161</v>
      </c>
      <c r="D696" s="59">
        <v>2054197</v>
      </c>
      <c r="E696" s="59" t="s">
        <v>1167</v>
      </c>
      <c r="F696" s="59" t="s">
        <v>1169</v>
      </c>
      <c r="G696" s="59" t="s">
        <v>1136</v>
      </c>
      <c r="H696" s="59" t="s">
        <v>1149</v>
      </c>
      <c r="I696" s="60">
        <v>46082</v>
      </c>
      <c r="J696" s="59" t="s">
        <v>466</v>
      </c>
      <c r="K696" s="59" t="s">
        <v>1170</v>
      </c>
      <c r="L696" s="59"/>
      <c r="M696" s="61">
        <v>748560</v>
      </c>
      <c r="N696" s="61">
        <v>-748560</v>
      </c>
      <c r="O696" s="61">
        <v>4172173961.4810739</v>
      </c>
    </row>
    <row r="697" spans="1:15" x14ac:dyDescent="0.25">
      <c r="A697" s="62">
        <v>46120</v>
      </c>
      <c r="B697">
        <v>4</v>
      </c>
      <c r="C697" t="s">
        <v>1166</v>
      </c>
      <c r="D697">
        <v>2034411</v>
      </c>
      <c r="E697" t="s">
        <v>1167</v>
      </c>
      <c r="F697" t="s">
        <v>1168</v>
      </c>
      <c r="G697" t="s">
        <v>1136</v>
      </c>
      <c r="H697" t="s">
        <v>1160</v>
      </c>
      <c r="I697" s="63">
        <v>46082</v>
      </c>
      <c r="J697" t="s">
        <v>467</v>
      </c>
      <c r="K697" t="s">
        <v>1142</v>
      </c>
      <c r="M697" s="64">
        <v>2460466</v>
      </c>
      <c r="N697" s="64">
        <v>-2460466</v>
      </c>
      <c r="O697" s="64">
        <v>4169713495.4810739</v>
      </c>
    </row>
    <row r="698" spans="1:15" x14ac:dyDescent="0.25">
      <c r="A698" s="58">
        <v>46120</v>
      </c>
      <c r="B698" s="59">
        <v>4</v>
      </c>
      <c r="C698" s="59" t="s">
        <v>1166</v>
      </c>
      <c r="D698" s="59">
        <v>2034412</v>
      </c>
      <c r="E698" s="59" t="s">
        <v>1167</v>
      </c>
      <c r="F698" s="59" t="s">
        <v>1168</v>
      </c>
      <c r="G698" s="59" t="s">
        <v>1136</v>
      </c>
      <c r="H698" s="59" t="s">
        <v>1160</v>
      </c>
      <c r="I698" s="60">
        <v>46082</v>
      </c>
      <c r="J698" s="59" t="s">
        <v>468</v>
      </c>
      <c r="K698" s="59" t="s">
        <v>1138</v>
      </c>
      <c r="L698" s="59"/>
      <c r="M698" s="61">
        <v>7416598.7199999997</v>
      </c>
      <c r="N698" s="61">
        <v>-7416598.7199999997</v>
      </c>
      <c r="O698" s="61">
        <v>4162296896.7610741</v>
      </c>
    </row>
    <row r="699" spans="1:15" x14ac:dyDescent="0.25">
      <c r="A699" s="62">
        <v>46120</v>
      </c>
      <c r="B699">
        <v>4</v>
      </c>
      <c r="C699" t="s">
        <v>1166</v>
      </c>
      <c r="D699">
        <v>2034417</v>
      </c>
      <c r="E699" t="s">
        <v>1167</v>
      </c>
      <c r="F699" t="s">
        <v>1168</v>
      </c>
      <c r="G699" t="s">
        <v>1136</v>
      </c>
      <c r="H699" t="s">
        <v>1160</v>
      </c>
      <c r="I699" s="63">
        <v>46082</v>
      </c>
      <c r="J699" t="s">
        <v>468</v>
      </c>
      <c r="K699" t="s">
        <v>1170</v>
      </c>
      <c r="M699" s="64">
        <v>40000</v>
      </c>
      <c r="N699" s="64">
        <v>-40000</v>
      </c>
      <c r="O699" s="64">
        <v>4162256896.7610741</v>
      </c>
    </row>
    <row r="700" spans="1:15" x14ac:dyDescent="0.25">
      <c r="A700" s="58">
        <v>46120</v>
      </c>
      <c r="B700" s="59">
        <v>4</v>
      </c>
      <c r="C700" s="59" t="s">
        <v>1166</v>
      </c>
      <c r="D700" s="59">
        <v>2034413</v>
      </c>
      <c r="E700" s="59" t="s">
        <v>1167</v>
      </c>
      <c r="F700" s="59" t="s">
        <v>1168</v>
      </c>
      <c r="G700" s="59" t="s">
        <v>1136</v>
      </c>
      <c r="H700" s="59" t="s">
        <v>1160</v>
      </c>
      <c r="I700" s="60">
        <v>46082</v>
      </c>
      <c r="J700" s="59" t="s">
        <v>469</v>
      </c>
      <c r="K700" s="59" t="s">
        <v>1146</v>
      </c>
      <c r="L700" s="59"/>
      <c r="M700" s="61">
        <v>10763886.33</v>
      </c>
      <c r="N700" s="61">
        <v>-10763886.33</v>
      </c>
      <c r="O700" s="61">
        <v>4151493010.4310741</v>
      </c>
    </row>
    <row r="701" spans="1:15" x14ac:dyDescent="0.25">
      <c r="A701" s="62">
        <v>46120</v>
      </c>
      <c r="B701">
        <v>4</v>
      </c>
      <c r="C701" t="s">
        <v>1166</v>
      </c>
      <c r="D701">
        <v>2034414</v>
      </c>
      <c r="E701" t="s">
        <v>1167</v>
      </c>
      <c r="F701" t="s">
        <v>1168</v>
      </c>
      <c r="G701" t="s">
        <v>1136</v>
      </c>
      <c r="H701" t="s">
        <v>1160</v>
      </c>
      <c r="I701" s="63">
        <v>46082</v>
      </c>
      <c r="J701" t="s">
        <v>470</v>
      </c>
      <c r="K701" t="s">
        <v>1148</v>
      </c>
      <c r="M701" s="64">
        <v>20392447.359999999</v>
      </c>
      <c r="N701" s="64">
        <v>-20392447.359999999</v>
      </c>
      <c r="O701" s="64">
        <v>4131100563.071074</v>
      </c>
    </row>
    <row r="702" spans="1:15" x14ac:dyDescent="0.25">
      <c r="A702" s="58">
        <v>46120</v>
      </c>
      <c r="B702" s="59">
        <v>4</v>
      </c>
      <c r="C702" s="59" t="s">
        <v>1166</v>
      </c>
      <c r="D702" s="59">
        <v>2054321</v>
      </c>
      <c r="E702" s="59" t="s">
        <v>1167</v>
      </c>
      <c r="F702" s="59" t="s">
        <v>1169</v>
      </c>
      <c r="G702" s="59" t="s">
        <v>1136</v>
      </c>
      <c r="H702" s="59" t="s">
        <v>1143</v>
      </c>
      <c r="I702" s="60">
        <v>46082</v>
      </c>
      <c r="J702" s="59" t="s">
        <v>471</v>
      </c>
      <c r="K702" s="59" t="s">
        <v>1142</v>
      </c>
      <c r="L702" s="59"/>
      <c r="M702" s="61">
        <v>34834539</v>
      </c>
      <c r="N702" s="61">
        <v>-34834539</v>
      </c>
      <c r="O702" s="61">
        <v>4096266024.071074</v>
      </c>
    </row>
    <row r="703" spans="1:15" x14ac:dyDescent="0.25">
      <c r="A703" s="62">
        <v>46120</v>
      </c>
      <c r="B703">
        <v>4</v>
      </c>
      <c r="C703" t="s">
        <v>1166</v>
      </c>
      <c r="D703">
        <v>2054322</v>
      </c>
      <c r="E703" t="s">
        <v>1167</v>
      </c>
      <c r="F703" t="s">
        <v>1169</v>
      </c>
      <c r="G703" t="s">
        <v>1136</v>
      </c>
      <c r="H703" t="s">
        <v>1143</v>
      </c>
      <c r="I703" s="63">
        <v>46082</v>
      </c>
      <c r="J703" t="s">
        <v>472</v>
      </c>
      <c r="K703" t="s">
        <v>1138</v>
      </c>
      <c r="M703" s="64">
        <v>24936400</v>
      </c>
      <c r="N703" s="64">
        <v>-24936400</v>
      </c>
      <c r="O703" s="64">
        <v>4071329624.071074</v>
      </c>
    </row>
    <row r="704" spans="1:15" x14ac:dyDescent="0.25">
      <c r="A704" s="58">
        <v>46120</v>
      </c>
      <c r="B704" s="59">
        <v>4</v>
      </c>
      <c r="C704" s="59" t="s">
        <v>1166</v>
      </c>
      <c r="D704" s="59">
        <v>2054325</v>
      </c>
      <c r="E704" s="59" t="s">
        <v>1167</v>
      </c>
      <c r="F704" s="59" t="s">
        <v>1169</v>
      </c>
      <c r="G704" s="59" t="s">
        <v>1136</v>
      </c>
      <c r="H704" s="59" t="s">
        <v>1143</v>
      </c>
      <c r="I704" s="60">
        <v>46082</v>
      </c>
      <c r="J704" s="59" t="s">
        <v>473</v>
      </c>
      <c r="K704" s="59" t="s">
        <v>1172</v>
      </c>
      <c r="L704" s="59"/>
      <c r="M704" s="61">
        <v>1291527.3799999999</v>
      </c>
      <c r="N704" s="61">
        <v>-1291527.3799999999</v>
      </c>
      <c r="O704" s="61">
        <v>4070038096.6910739</v>
      </c>
    </row>
    <row r="705" spans="1:15" x14ac:dyDescent="0.25">
      <c r="A705" s="62">
        <v>46120</v>
      </c>
      <c r="B705">
        <v>4</v>
      </c>
      <c r="C705" t="s">
        <v>1166</v>
      </c>
      <c r="D705">
        <v>2014425</v>
      </c>
      <c r="E705" t="s">
        <v>1167</v>
      </c>
      <c r="F705" t="s">
        <v>1174</v>
      </c>
      <c r="G705" t="s">
        <v>1136</v>
      </c>
      <c r="H705" t="s">
        <v>1165</v>
      </c>
      <c r="I705" s="63">
        <v>46082</v>
      </c>
      <c r="J705" t="s">
        <v>474</v>
      </c>
      <c r="K705" t="s">
        <v>1172</v>
      </c>
      <c r="M705" s="64">
        <v>1543393.88</v>
      </c>
      <c r="N705" s="64">
        <v>-1543393.88</v>
      </c>
      <c r="O705" s="64">
        <v>4068494702.8110738</v>
      </c>
    </row>
    <row r="706" spans="1:15" x14ac:dyDescent="0.25">
      <c r="A706" s="58">
        <v>46120</v>
      </c>
      <c r="B706" s="59">
        <v>4</v>
      </c>
      <c r="C706" s="59" t="s">
        <v>1166</v>
      </c>
      <c r="D706" s="59">
        <v>2054372</v>
      </c>
      <c r="E706" s="59" t="s">
        <v>1167</v>
      </c>
      <c r="F706" s="59" t="s">
        <v>1169</v>
      </c>
      <c r="G706" s="59" t="s">
        <v>1136</v>
      </c>
      <c r="H706" s="59" t="s">
        <v>1141</v>
      </c>
      <c r="I706" s="60">
        <v>46082</v>
      </c>
      <c r="J706" s="59" t="s">
        <v>475</v>
      </c>
      <c r="K706" s="59" t="s">
        <v>1138</v>
      </c>
      <c r="L706" s="59"/>
      <c r="M706" s="61">
        <v>53223070.969999999</v>
      </c>
      <c r="N706" s="61">
        <v>-53223070.969999999</v>
      </c>
      <c r="O706" s="61">
        <v>4015271631.841074</v>
      </c>
    </row>
    <row r="707" spans="1:15" x14ac:dyDescent="0.25">
      <c r="A707" s="62">
        <v>46120</v>
      </c>
      <c r="B707">
        <v>4</v>
      </c>
      <c r="C707" t="s">
        <v>1166</v>
      </c>
      <c r="D707">
        <v>2014272</v>
      </c>
      <c r="E707" t="s">
        <v>1167</v>
      </c>
      <c r="F707" t="s">
        <v>1174</v>
      </c>
      <c r="G707" t="s">
        <v>1136</v>
      </c>
      <c r="H707" t="s">
        <v>1154</v>
      </c>
      <c r="I707" s="63">
        <v>46082</v>
      </c>
      <c r="J707" t="s">
        <v>476</v>
      </c>
      <c r="K707" t="s">
        <v>1138</v>
      </c>
      <c r="M707" s="64">
        <v>4377132.22</v>
      </c>
      <c r="N707" s="64">
        <v>-4377132.22</v>
      </c>
      <c r="O707" s="64">
        <v>4010894499.6210742</v>
      </c>
    </row>
    <row r="708" spans="1:15" x14ac:dyDescent="0.25">
      <c r="A708" s="58">
        <v>46120</v>
      </c>
      <c r="B708" s="59">
        <v>4</v>
      </c>
      <c r="C708" s="59" t="s">
        <v>1166</v>
      </c>
      <c r="D708" s="59">
        <v>2014212</v>
      </c>
      <c r="E708" s="59" t="s">
        <v>1167</v>
      </c>
      <c r="F708" s="59" t="s">
        <v>1174</v>
      </c>
      <c r="G708" s="59" t="s">
        <v>1136</v>
      </c>
      <c r="H708" s="59" t="s">
        <v>1151</v>
      </c>
      <c r="I708" s="60">
        <v>46082</v>
      </c>
      <c r="J708" s="59" t="s">
        <v>477</v>
      </c>
      <c r="K708" s="59" t="s">
        <v>1138</v>
      </c>
      <c r="L708" s="59"/>
      <c r="M708" s="61">
        <v>38324734.030000001</v>
      </c>
      <c r="N708" s="61">
        <v>-38324734.030000001</v>
      </c>
      <c r="O708" s="61">
        <v>3972569765.591074</v>
      </c>
    </row>
    <row r="709" spans="1:15" x14ac:dyDescent="0.25">
      <c r="A709" s="62">
        <v>46120</v>
      </c>
      <c r="B709">
        <v>4</v>
      </c>
      <c r="C709" t="s">
        <v>1166</v>
      </c>
      <c r="D709">
        <v>1044163</v>
      </c>
      <c r="E709" t="s">
        <v>1134</v>
      </c>
      <c r="F709" t="s">
        <v>1135</v>
      </c>
      <c r="G709" t="s">
        <v>1136</v>
      </c>
      <c r="H709" t="s">
        <v>1162</v>
      </c>
      <c r="I709" s="63">
        <v>46082</v>
      </c>
      <c r="J709" t="s">
        <v>478</v>
      </c>
      <c r="K709" t="s">
        <v>1146</v>
      </c>
      <c r="L709" s="64">
        <v>39847409.890000001</v>
      </c>
      <c r="N709" s="64">
        <v>39847409.890000001</v>
      </c>
      <c r="O709" s="64">
        <v>4173469996.9160738</v>
      </c>
    </row>
    <row r="710" spans="1:15" x14ac:dyDescent="0.25">
      <c r="A710" s="58">
        <v>46120</v>
      </c>
      <c r="B710" s="59">
        <v>4</v>
      </c>
      <c r="C710" s="59" t="s">
        <v>1166</v>
      </c>
      <c r="D710" s="59">
        <v>1044173</v>
      </c>
      <c r="E710" s="59" t="s">
        <v>1134</v>
      </c>
      <c r="F710" s="59" t="s">
        <v>1135</v>
      </c>
      <c r="G710" s="59" t="s">
        <v>1136</v>
      </c>
      <c r="H710" s="59" t="s">
        <v>1147</v>
      </c>
      <c r="I710" s="60">
        <v>46082</v>
      </c>
      <c r="J710" s="59" t="s">
        <v>478</v>
      </c>
      <c r="K710" s="59" t="s">
        <v>1146</v>
      </c>
      <c r="L710" s="61">
        <v>8886825.7125000004</v>
      </c>
      <c r="M710" s="59"/>
      <c r="N710" s="61">
        <v>8886825.7125000004</v>
      </c>
      <c r="O710" s="61">
        <v>4182356822.6285739</v>
      </c>
    </row>
    <row r="711" spans="1:15" x14ac:dyDescent="0.25">
      <c r="A711" s="62">
        <v>46120</v>
      </c>
      <c r="B711">
        <v>4</v>
      </c>
      <c r="C711" t="s">
        <v>1166</v>
      </c>
      <c r="D711">
        <v>1044243</v>
      </c>
      <c r="E711" t="s">
        <v>1134</v>
      </c>
      <c r="F711" t="s">
        <v>1135</v>
      </c>
      <c r="G711" t="s">
        <v>1136</v>
      </c>
      <c r="H711" t="s">
        <v>1153</v>
      </c>
      <c r="I711" s="63">
        <v>46082</v>
      </c>
      <c r="J711" t="s">
        <v>478</v>
      </c>
      <c r="K711" t="s">
        <v>1146</v>
      </c>
      <c r="L711" s="64">
        <v>21551360.055</v>
      </c>
      <c r="N711" s="64">
        <v>21551360.055</v>
      </c>
      <c r="O711" s="64">
        <v>4203908182.6835742</v>
      </c>
    </row>
    <row r="712" spans="1:15" x14ac:dyDescent="0.25">
      <c r="A712" s="58">
        <v>46120</v>
      </c>
      <c r="B712" s="59">
        <v>4</v>
      </c>
      <c r="C712" s="59" t="s">
        <v>1166</v>
      </c>
      <c r="D712" s="59">
        <v>1044263</v>
      </c>
      <c r="E712" s="59" t="s">
        <v>1134</v>
      </c>
      <c r="F712" s="59" t="s">
        <v>1135</v>
      </c>
      <c r="G712" s="59" t="s">
        <v>1136</v>
      </c>
      <c r="H712" s="59" t="s">
        <v>1145</v>
      </c>
      <c r="I712" s="60">
        <v>46082</v>
      </c>
      <c r="J712" s="59" t="s">
        <v>478</v>
      </c>
      <c r="K712" s="59" t="s">
        <v>1146</v>
      </c>
      <c r="L712" s="61">
        <v>5819863.5</v>
      </c>
      <c r="M712" s="59"/>
      <c r="N712" s="61">
        <v>5819863.5</v>
      </c>
      <c r="O712" s="61">
        <v>4209728046.1835742</v>
      </c>
    </row>
    <row r="713" spans="1:15" x14ac:dyDescent="0.25">
      <c r="A713" s="62">
        <v>46120</v>
      </c>
      <c r="B713">
        <v>4</v>
      </c>
      <c r="C713" t="s">
        <v>1166</v>
      </c>
      <c r="D713">
        <v>1044463</v>
      </c>
      <c r="E713" t="s">
        <v>1134</v>
      </c>
      <c r="F713" t="s">
        <v>1135</v>
      </c>
      <c r="G713" t="s">
        <v>1136</v>
      </c>
      <c r="H713" t="s">
        <v>1140</v>
      </c>
      <c r="I713" s="63">
        <v>46082</v>
      </c>
      <c r="J713" t="s">
        <v>478</v>
      </c>
      <c r="K713" t="s">
        <v>1146</v>
      </c>
      <c r="L713" s="64">
        <v>4879064.4249999998</v>
      </c>
      <c r="N713" s="64">
        <v>4879064.4249999998</v>
      </c>
      <c r="O713" s="64">
        <v>4214607110.6085739</v>
      </c>
    </row>
    <row r="714" spans="1:15" x14ac:dyDescent="0.25">
      <c r="A714" s="58">
        <v>46120</v>
      </c>
      <c r="B714" s="59">
        <v>4</v>
      </c>
      <c r="C714" s="59" t="s">
        <v>1166</v>
      </c>
      <c r="D714" s="59">
        <v>1044353</v>
      </c>
      <c r="E714" s="59" t="s">
        <v>1134</v>
      </c>
      <c r="F714" s="59" t="s">
        <v>1135</v>
      </c>
      <c r="G714" s="59" t="s">
        <v>1136</v>
      </c>
      <c r="H714" s="59" t="s">
        <v>1157</v>
      </c>
      <c r="I714" s="60">
        <v>46082</v>
      </c>
      <c r="J714" s="59" t="s">
        <v>478</v>
      </c>
      <c r="K714" s="59" t="s">
        <v>1146</v>
      </c>
      <c r="L714" s="61">
        <v>10314923.52</v>
      </c>
      <c r="M714" s="59"/>
      <c r="N714" s="61">
        <v>10314923.52</v>
      </c>
      <c r="O714" s="61">
        <v>4224922034.1285739</v>
      </c>
    </row>
    <row r="715" spans="1:15" x14ac:dyDescent="0.25">
      <c r="A715" s="62">
        <v>46120</v>
      </c>
      <c r="B715">
        <v>4</v>
      </c>
      <c r="C715" t="s">
        <v>1166</v>
      </c>
      <c r="D715">
        <v>1044363</v>
      </c>
      <c r="E715" t="s">
        <v>1134</v>
      </c>
      <c r="F715" t="s">
        <v>1135</v>
      </c>
      <c r="G715" t="s">
        <v>1136</v>
      </c>
      <c r="H715" t="s">
        <v>1158</v>
      </c>
      <c r="I715" s="63">
        <v>46082</v>
      </c>
      <c r="J715" t="s">
        <v>478</v>
      </c>
      <c r="K715" t="s">
        <v>1146</v>
      </c>
      <c r="L715" s="64">
        <v>12772897.211999999</v>
      </c>
      <c r="N715" s="64">
        <v>12772897.211999999</v>
      </c>
      <c r="O715" s="64">
        <v>4237694931.3405738</v>
      </c>
    </row>
    <row r="716" spans="1:15" x14ac:dyDescent="0.25">
      <c r="A716" s="58">
        <v>46120</v>
      </c>
      <c r="B716" s="59">
        <v>4</v>
      </c>
      <c r="C716" s="59" t="s">
        <v>1166</v>
      </c>
      <c r="D716" s="59">
        <v>1044403</v>
      </c>
      <c r="E716" s="59" t="s">
        <v>1134</v>
      </c>
      <c r="F716" s="59" t="s">
        <v>1135</v>
      </c>
      <c r="G716" s="59" t="s">
        <v>1136</v>
      </c>
      <c r="H716" s="59" t="s">
        <v>1159</v>
      </c>
      <c r="I716" s="60">
        <v>46082</v>
      </c>
      <c r="J716" s="59" t="s">
        <v>478</v>
      </c>
      <c r="K716" s="59" t="s">
        <v>1146</v>
      </c>
      <c r="L716" s="61">
        <v>22627848.879999999</v>
      </c>
      <c r="M716" s="59"/>
      <c r="N716" s="61">
        <v>22627848.879999999</v>
      </c>
      <c r="O716" s="61">
        <v>4260322780.2205739</v>
      </c>
    </row>
    <row r="717" spans="1:15" x14ac:dyDescent="0.25">
      <c r="A717" s="62">
        <v>46120</v>
      </c>
      <c r="B717">
        <v>4</v>
      </c>
      <c r="C717" t="s">
        <v>1166</v>
      </c>
      <c r="D717">
        <v>1044413</v>
      </c>
      <c r="E717" t="s">
        <v>1134</v>
      </c>
      <c r="F717" t="s">
        <v>1135</v>
      </c>
      <c r="G717" t="s">
        <v>1136</v>
      </c>
      <c r="H717" t="s">
        <v>1160</v>
      </c>
      <c r="I717" s="63">
        <v>46082</v>
      </c>
      <c r="J717" t="s">
        <v>478</v>
      </c>
      <c r="K717" t="s">
        <v>1146</v>
      </c>
      <c r="L717" s="64">
        <v>10763886.33</v>
      </c>
      <c r="N717" s="64">
        <v>10763886.33</v>
      </c>
      <c r="O717" s="64">
        <v>4271086666.5505738</v>
      </c>
    </row>
    <row r="718" spans="1:15" x14ac:dyDescent="0.25">
      <c r="A718" s="58">
        <v>46121</v>
      </c>
      <c r="B718" s="59">
        <v>4</v>
      </c>
      <c r="C718" s="59" t="s">
        <v>1171</v>
      </c>
      <c r="D718" s="59">
        <v>2014214</v>
      </c>
      <c r="E718" s="59" t="s">
        <v>1167</v>
      </c>
      <c r="F718" s="59" t="s">
        <v>1174</v>
      </c>
      <c r="G718" s="59" t="s">
        <v>1136</v>
      </c>
      <c r="H718" s="59" t="s">
        <v>1151</v>
      </c>
      <c r="I718" s="60">
        <v>46082</v>
      </c>
      <c r="J718" s="59" t="s">
        <v>479</v>
      </c>
      <c r="K718" s="59" t="s">
        <v>1148</v>
      </c>
      <c r="L718" s="59"/>
      <c r="M718" s="61">
        <v>4675823.47</v>
      </c>
      <c r="N718" s="61">
        <v>-4675823.47</v>
      </c>
      <c r="O718" s="61">
        <v>4607864081.5145741</v>
      </c>
    </row>
    <row r="719" spans="1:15" x14ac:dyDescent="0.25">
      <c r="A719" s="62">
        <v>46121</v>
      </c>
      <c r="B719">
        <v>4</v>
      </c>
      <c r="C719" t="s">
        <v>1171</v>
      </c>
      <c r="D719">
        <v>2044462</v>
      </c>
      <c r="E719" t="s">
        <v>1167</v>
      </c>
      <c r="F719" t="s">
        <v>1135</v>
      </c>
      <c r="G719" t="s">
        <v>1136</v>
      </c>
      <c r="H719" t="s">
        <v>1140</v>
      </c>
      <c r="I719" s="63">
        <v>46082</v>
      </c>
      <c r="J719" t="s">
        <v>480</v>
      </c>
      <c r="K719" t="s">
        <v>1138</v>
      </c>
      <c r="M719" s="64">
        <v>1348357.04</v>
      </c>
      <c r="N719" s="64">
        <v>-1348357.04</v>
      </c>
      <c r="O719" s="64">
        <v>4606515724.4745741</v>
      </c>
    </row>
    <row r="720" spans="1:15" x14ac:dyDescent="0.25">
      <c r="A720" s="58">
        <v>46121</v>
      </c>
      <c r="B720" s="59">
        <v>4</v>
      </c>
      <c r="C720" s="59" t="s">
        <v>1171</v>
      </c>
      <c r="D720" s="59">
        <v>2054196</v>
      </c>
      <c r="E720" s="59" t="s">
        <v>1167</v>
      </c>
      <c r="F720" s="59" t="s">
        <v>1169</v>
      </c>
      <c r="G720" s="59" t="s">
        <v>1136</v>
      </c>
      <c r="H720" s="59" t="s">
        <v>1149</v>
      </c>
      <c r="I720" s="60">
        <v>46082</v>
      </c>
      <c r="J720" s="59" t="s">
        <v>481</v>
      </c>
      <c r="K720" s="59" t="s">
        <v>1150</v>
      </c>
      <c r="L720" s="59"/>
      <c r="M720" s="61">
        <v>18778545.9799999</v>
      </c>
      <c r="N720" s="61">
        <v>-18778545.9799999</v>
      </c>
      <c r="O720" s="61">
        <v>4589085535.5345755</v>
      </c>
    </row>
    <row r="721" spans="1:15" x14ac:dyDescent="0.25">
      <c r="A721" s="62">
        <v>46121</v>
      </c>
      <c r="B721">
        <v>4</v>
      </c>
      <c r="C721" t="s">
        <v>1171</v>
      </c>
      <c r="D721">
        <v>2034234</v>
      </c>
      <c r="E721" t="s">
        <v>1167</v>
      </c>
      <c r="F721" t="s">
        <v>1168</v>
      </c>
      <c r="G721" t="s">
        <v>1136</v>
      </c>
      <c r="H721" t="s">
        <v>1152</v>
      </c>
      <c r="I721" s="63">
        <v>46082</v>
      </c>
      <c r="J721" t="s">
        <v>482</v>
      </c>
      <c r="K721" t="s">
        <v>1148</v>
      </c>
      <c r="M721" s="64">
        <v>22027223.25</v>
      </c>
      <c r="N721" s="64">
        <v>-22027223.25</v>
      </c>
      <c r="O721" s="64">
        <v>4567058312.2845755</v>
      </c>
    </row>
    <row r="722" spans="1:15" x14ac:dyDescent="0.25">
      <c r="A722" s="58">
        <v>46121</v>
      </c>
      <c r="B722" s="59">
        <v>4</v>
      </c>
      <c r="C722" s="59" t="s">
        <v>1171</v>
      </c>
      <c r="D722" s="59">
        <v>2034235</v>
      </c>
      <c r="E722" s="59" t="s">
        <v>1167</v>
      </c>
      <c r="F722" s="59" t="s">
        <v>1168</v>
      </c>
      <c r="G722" s="59" t="s">
        <v>1136</v>
      </c>
      <c r="H722" s="59" t="s">
        <v>1152</v>
      </c>
      <c r="I722" s="60">
        <v>46082</v>
      </c>
      <c r="J722" s="59" t="s">
        <v>483</v>
      </c>
      <c r="K722" s="59" t="s">
        <v>1172</v>
      </c>
      <c r="L722" s="59"/>
      <c r="M722" s="61">
        <v>3844700.29</v>
      </c>
      <c r="N722" s="61">
        <v>-3844700.29</v>
      </c>
      <c r="O722" s="61">
        <v>4563213611.9945745</v>
      </c>
    </row>
    <row r="723" spans="1:15" x14ac:dyDescent="0.25">
      <c r="A723" s="62">
        <v>46121</v>
      </c>
      <c r="B723">
        <v>4</v>
      </c>
      <c r="C723" t="s">
        <v>1171</v>
      </c>
      <c r="D723">
        <v>2014274</v>
      </c>
      <c r="E723" t="s">
        <v>1167</v>
      </c>
      <c r="F723" t="s">
        <v>1174</v>
      </c>
      <c r="G723" t="s">
        <v>1136</v>
      </c>
      <c r="H723" t="s">
        <v>1154</v>
      </c>
      <c r="I723" s="63">
        <v>46082</v>
      </c>
      <c r="J723" t="s">
        <v>484</v>
      </c>
      <c r="K723" t="s">
        <v>1148</v>
      </c>
      <c r="M723" s="64">
        <v>8688674.2699999996</v>
      </c>
      <c r="N723" s="64">
        <v>-8688674.2699999996</v>
      </c>
      <c r="O723" s="64">
        <v>4554524937.7245741</v>
      </c>
    </row>
    <row r="724" spans="1:15" x14ac:dyDescent="0.25">
      <c r="A724" s="58">
        <v>46121</v>
      </c>
      <c r="B724" s="59">
        <v>4</v>
      </c>
      <c r="C724" s="59" t="s">
        <v>1171</v>
      </c>
      <c r="D724" s="59">
        <v>2054374</v>
      </c>
      <c r="E724" s="59" t="s">
        <v>1167</v>
      </c>
      <c r="F724" s="59" t="s">
        <v>1169</v>
      </c>
      <c r="G724" s="59" t="s">
        <v>1136</v>
      </c>
      <c r="H724" s="59" t="s">
        <v>1141</v>
      </c>
      <c r="I724" s="60">
        <v>46082</v>
      </c>
      <c r="J724" s="59" t="s">
        <v>479</v>
      </c>
      <c r="K724" s="59" t="s">
        <v>1148</v>
      </c>
      <c r="L724" s="59"/>
      <c r="M724" s="61">
        <v>24361566.510000002</v>
      </c>
      <c r="N724" s="61">
        <v>-24361566.510000002</v>
      </c>
      <c r="O724" s="61">
        <v>4530163371.2145739</v>
      </c>
    </row>
    <row r="725" spans="1:15" x14ac:dyDescent="0.25">
      <c r="A725" s="62">
        <v>46121</v>
      </c>
      <c r="B725">
        <v>4</v>
      </c>
      <c r="C725" t="s">
        <v>1171</v>
      </c>
      <c r="D725">
        <v>2054324</v>
      </c>
      <c r="E725" t="s">
        <v>1167</v>
      </c>
      <c r="F725" t="s">
        <v>1169</v>
      </c>
      <c r="G725" t="s">
        <v>1136</v>
      </c>
      <c r="H725" t="s">
        <v>1143</v>
      </c>
      <c r="I725" s="63">
        <v>46082</v>
      </c>
      <c r="J725" t="s">
        <v>485</v>
      </c>
      <c r="K725" t="s">
        <v>1148</v>
      </c>
      <c r="M725" s="64">
        <v>56962440</v>
      </c>
      <c r="N725" s="64">
        <v>-56962440</v>
      </c>
      <c r="O725" s="64">
        <v>4473200931.2145739</v>
      </c>
    </row>
    <row r="726" spans="1:15" x14ac:dyDescent="0.25">
      <c r="A726" s="58">
        <v>46121</v>
      </c>
      <c r="B726" s="59">
        <v>4</v>
      </c>
      <c r="C726" s="59" t="s">
        <v>1171</v>
      </c>
      <c r="D726" s="59">
        <v>2054326</v>
      </c>
      <c r="E726" s="59" t="s">
        <v>1167</v>
      </c>
      <c r="F726" s="59" t="s">
        <v>1169</v>
      </c>
      <c r="G726" s="59" t="s">
        <v>1136</v>
      </c>
      <c r="H726" s="59" t="s">
        <v>1143</v>
      </c>
      <c r="I726" s="60">
        <v>46082</v>
      </c>
      <c r="J726" s="59" t="s">
        <v>485</v>
      </c>
      <c r="K726" s="59" t="s">
        <v>1150</v>
      </c>
      <c r="L726" s="59"/>
      <c r="M726" s="61">
        <v>360045.15</v>
      </c>
      <c r="N726" s="61">
        <v>-360045.15</v>
      </c>
      <c r="O726" s="61">
        <v>4472840886.0645742</v>
      </c>
    </row>
    <row r="727" spans="1:15" x14ac:dyDescent="0.25">
      <c r="A727" s="62">
        <v>46121</v>
      </c>
      <c r="B727">
        <v>4</v>
      </c>
      <c r="C727" t="s">
        <v>1171</v>
      </c>
      <c r="D727">
        <v>2034243</v>
      </c>
      <c r="E727" t="s">
        <v>1167</v>
      </c>
      <c r="F727" t="s">
        <v>1168</v>
      </c>
      <c r="G727" t="s">
        <v>1136</v>
      </c>
      <c r="H727" t="s">
        <v>1153</v>
      </c>
      <c r="I727" s="63">
        <v>46082</v>
      </c>
      <c r="J727" t="s">
        <v>486</v>
      </c>
      <c r="K727" t="s">
        <v>1146</v>
      </c>
      <c r="M727" s="64">
        <v>21551360.579999998</v>
      </c>
      <c r="N727" s="64">
        <v>-21551360.579999998</v>
      </c>
      <c r="O727" s="64">
        <v>4451289525.4845743</v>
      </c>
    </row>
    <row r="728" spans="1:15" x14ac:dyDescent="0.25">
      <c r="A728" s="58">
        <v>46121</v>
      </c>
      <c r="B728" s="59">
        <v>4</v>
      </c>
      <c r="C728" s="59" t="s">
        <v>1171</v>
      </c>
      <c r="D728" s="59">
        <v>2034244</v>
      </c>
      <c r="E728" s="59" t="s">
        <v>1167</v>
      </c>
      <c r="F728" s="59" t="s">
        <v>1168</v>
      </c>
      <c r="G728" s="59" t="s">
        <v>1136</v>
      </c>
      <c r="H728" s="59" t="s">
        <v>1153</v>
      </c>
      <c r="I728" s="60">
        <v>46082</v>
      </c>
      <c r="J728" s="59" t="s">
        <v>487</v>
      </c>
      <c r="K728" s="59" t="s">
        <v>1148</v>
      </c>
      <c r="L728" s="59"/>
      <c r="M728" s="61">
        <v>12503467.810000001</v>
      </c>
      <c r="N728" s="61">
        <v>-12503467.810000001</v>
      </c>
      <c r="O728" s="61">
        <v>4438786057.6745739</v>
      </c>
    </row>
    <row r="729" spans="1:15" x14ac:dyDescent="0.25">
      <c r="A729" s="62">
        <v>46121</v>
      </c>
      <c r="B729">
        <v>4</v>
      </c>
      <c r="C729" t="s">
        <v>1171</v>
      </c>
      <c r="D729">
        <v>1044161</v>
      </c>
      <c r="E729" t="s">
        <v>1134</v>
      </c>
      <c r="F729" t="s">
        <v>1135</v>
      </c>
      <c r="G729" t="s">
        <v>1136</v>
      </c>
      <c r="H729" t="s">
        <v>1162</v>
      </c>
      <c r="I729" s="63">
        <v>46054</v>
      </c>
      <c r="J729" t="s">
        <v>495</v>
      </c>
      <c r="K729" t="s">
        <v>1142</v>
      </c>
      <c r="L729" s="64">
        <v>12602625.99</v>
      </c>
      <c r="N729" s="64">
        <v>12602625.99</v>
      </c>
      <c r="O729" s="64">
        <v>4808498562.9545746</v>
      </c>
    </row>
    <row r="730" spans="1:15" x14ac:dyDescent="0.25">
      <c r="A730" s="58">
        <v>46121</v>
      </c>
      <c r="B730" s="59">
        <v>4</v>
      </c>
      <c r="C730" s="59" t="s">
        <v>1171</v>
      </c>
      <c r="D730" s="59">
        <v>1044171</v>
      </c>
      <c r="E730" s="59" t="s">
        <v>1134</v>
      </c>
      <c r="F730" s="59" t="s">
        <v>1135</v>
      </c>
      <c r="G730" s="59" t="s">
        <v>1136</v>
      </c>
      <c r="H730" s="59" t="s">
        <v>1147</v>
      </c>
      <c r="I730" s="60">
        <v>46054</v>
      </c>
      <c r="J730" s="59" t="s">
        <v>495</v>
      </c>
      <c r="K730" s="59" t="s">
        <v>1142</v>
      </c>
      <c r="L730" s="61">
        <v>2711473.4849999999</v>
      </c>
      <c r="M730" s="59"/>
      <c r="N730" s="61">
        <v>2711473.4849999999</v>
      </c>
      <c r="O730" s="61">
        <v>4811210036.4395742</v>
      </c>
    </row>
    <row r="731" spans="1:15" x14ac:dyDescent="0.25">
      <c r="A731" s="62">
        <v>46121</v>
      </c>
      <c r="B731">
        <v>4</v>
      </c>
      <c r="C731" t="s">
        <v>1171</v>
      </c>
      <c r="D731">
        <v>1044201</v>
      </c>
      <c r="E731" t="s">
        <v>1134</v>
      </c>
      <c r="F731" t="s">
        <v>1135</v>
      </c>
      <c r="G731" t="s">
        <v>1136</v>
      </c>
      <c r="H731" t="s">
        <v>1139</v>
      </c>
      <c r="I731" s="63">
        <v>46054</v>
      </c>
      <c r="J731" t="s">
        <v>495</v>
      </c>
      <c r="K731" t="s">
        <v>1142</v>
      </c>
      <c r="L731" s="64">
        <v>5657117.7400000002</v>
      </c>
      <c r="N731" s="64">
        <v>5657117.7400000002</v>
      </c>
      <c r="O731" s="64">
        <v>4816867154.179574</v>
      </c>
    </row>
    <row r="732" spans="1:15" x14ac:dyDescent="0.25">
      <c r="A732" s="58">
        <v>46121</v>
      </c>
      <c r="B732" s="59">
        <v>4</v>
      </c>
      <c r="C732" s="59" t="s">
        <v>1171</v>
      </c>
      <c r="D732" s="59">
        <v>1044211</v>
      </c>
      <c r="E732" s="59" t="s">
        <v>1134</v>
      </c>
      <c r="F732" s="59" t="s">
        <v>1135</v>
      </c>
      <c r="G732" s="59" t="s">
        <v>1136</v>
      </c>
      <c r="H732" s="59" t="s">
        <v>1151</v>
      </c>
      <c r="I732" s="60">
        <v>46054</v>
      </c>
      <c r="J732" s="59" t="s">
        <v>495</v>
      </c>
      <c r="K732" s="59" t="s">
        <v>1142</v>
      </c>
      <c r="L732" s="61">
        <v>1102657.5</v>
      </c>
      <c r="M732" s="59"/>
      <c r="N732" s="61">
        <v>1102657.5</v>
      </c>
      <c r="O732" s="61">
        <v>4817969811.679574</v>
      </c>
    </row>
    <row r="733" spans="1:15" x14ac:dyDescent="0.25">
      <c r="A733" s="62">
        <v>46121</v>
      </c>
      <c r="B733">
        <v>4</v>
      </c>
      <c r="C733" t="s">
        <v>1171</v>
      </c>
      <c r="D733">
        <v>1044241</v>
      </c>
      <c r="E733" t="s">
        <v>1134</v>
      </c>
      <c r="F733" t="s">
        <v>1135</v>
      </c>
      <c r="G733" t="s">
        <v>1136</v>
      </c>
      <c r="H733" t="s">
        <v>1153</v>
      </c>
      <c r="I733" s="63">
        <v>46054</v>
      </c>
      <c r="J733" t="s">
        <v>495</v>
      </c>
      <c r="K733" t="s">
        <v>1142</v>
      </c>
      <c r="L733" s="64">
        <v>2699844.49</v>
      </c>
      <c r="N733" s="64">
        <v>2699844.49</v>
      </c>
      <c r="O733" s="64">
        <v>4820669656.1695738</v>
      </c>
    </row>
    <row r="734" spans="1:15" x14ac:dyDescent="0.25">
      <c r="A734" s="58">
        <v>46121</v>
      </c>
      <c r="B734" s="59">
        <v>4</v>
      </c>
      <c r="C734" s="59" t="s">
        <v>1171</v>
      </c>
      <c r="D734" s="59">
        <v>1044261</v>
      </c>
      <c r="E734" s="59" t="s">
        <v>1134</v>
      </c>
      <c r="F734" s="59" t="s">
        <v>1135</v>
      </c>
      <c r="G734" s="59" t="s">
        <v>1136</v>
      </c>
      <c r="H734" s="59" t="s">
        <v>1145</v>
      </c>
      <c r="I734" s="60">
        <v>46054</v>
      </c>
      <c r="J734" s="59" t="s">
        <v>495</v>
      </c>
      <c r="K734" s="59" t="s">
        <v>1142</v>
      </c>
      <c r="L734" s="61">
        <v>367552.5</v>
      </c>
      <c r="M734" s="59"/>
      <c r="N734" s="61">
        <v>367552.5</v>
      </c>
      <c r="O734" s="61">
        <v>4821037208.6695738</v>
      </c>
    </row>
    <row r="735" spans="1:15" x14ac:dyDescent="0.25">
      <c r="A735" s="62">
        <v>46121</v>
      </c>
      <c r="B735">
        <v>4</v>
      </c>
      <c r="C735" t="s">
        <v>1171</v>
      </c>
      <c r="D735">
        <v>1044271</v>
      </c>
      <c r="E735" t="s">
        <v>1134</v>
      </c>
      <c r="F735" t="s">
        <v>1135</v>
      </c>
      <c r="G735" t="s">
        <v>1136</v>
      </c>
      <c r="H735" t="s">
        <v>1154</v>
      </c>
      <c r="I735" s="63">
        <v>46054</v>
      </c>
      <c r="J735" t="s">
        <v>495</v>
      </c>
      <c r="K735" t="s">
        <v>1142</v>
      </c>
      <c r="L735" s="64">
        <v>5030967.28</v>
      </c>
      <c r="N735" s="64">
        <v>5030967.28</v>
      </c>
      <c r="O735" s="64">
        <v>4826068175.9495745</v>
      </c>
    </row>
    <row r="736" spans="1:15" x14ac:dyDescent="0.25">
      <c r="A736" s="58">
        <v>46121</v>
      </c>
      <c r="B736" s="59">
        <v>4</v>
      </c>
      <c r="C736" s="59" t="s">
        <v>1171</v>
      </c>
      <c r="D736" s="59">
        <v>1044281</v>
      </c>
      <c r="E736" s="59" t="s">
        <v>1134</v>
      </c>
      <c r="F736" s="59" t="s">
        <v>1135</v>
      </c>
      <c r="G736" s="59" t="s">
        <v>1136</v>
      </c>
      <c r="H736" s="59" t="s">
        <v>1155</v>
      </c>
      <c r="I736" s="60">
        <v>46054</v>
      </c>
      <c r="J736" s="59" t="s">
        <v>495</v>
      </c>
      <c r="K736" s="59" t="s">
        <v>1142</v>
      </c>
      <c r="L736" s="61">
        <v>12885406.460000001</v>
      </c>
      <c r="M736" s="59"/>
      <c r="N736" s="61">
        <v>12885406.460000001</v>
      </c>
      <c r="O736" s="61">
        <v>4838953582.4095736</v>
      </c>
    </row>
    <row r="737" spans="1:15" x14ac:dyDescent="0.25">
      <c r="A737" s="62">
        <v>46121</v>
      </c>
      <c r="B737">
        <v>4</v>
      </c>
      <c r="C737" t="s">
        <v>1171</v>
      </c>
      <c r="D737">
        <v>1044461</v>
      </c>
      <c r="E737" t="s">
        <v>1134</v>
      </c>
      <c r="F737" t="s">
        <v>1135</v>
      </c>
      <c r="G737" t="s">
        <v>1136</v>
      </c>
      <c r="H737" t="s">
        <v>1140</v>
      </c>
      <c r="I737" s="63">
        <v>46054</v>
      </c>
      <c r="J737" t="s">
        <v>495</v>
      </c>
      <c r="K737" t="s">
        <v>1142</v>
      </c>
      <c r="L737" s="64">
        <v>1303536.277704566</v>
      </c>
      <c r="N737" s="64">
        <v>1303536.277704566</v>
      </c>
      <c r="O737" s="64">
        <v>4840257118.6872778</v>
      </c>
    </row>
    <row r="738" spans="1:15" x14ac:dyDescent="0.25">
      <c r="A738" s="58">
        <v>46121</v>
      </c>
      <c r="B738" s="59">
        <v>4</v>
      </c>
      <c r="C738" s="59" t="s">
        <v>1171</v>
      </c>
      <c r="D738" s="59">
        <v>1044311</v>
      </c>
      <c r="E738" s="59" t="s">
        <v>1134</v>
      </c>
      <c r="F738" s="59" t="s">
        <v>1135</v>
      </c>
      <c r="G738" s="59" t="s">
        <v>1136</v>
      </c>
      <c r="H738" s="59" t="s">
        <v>1137</v>
      </c>
      <c r="I738" s="60">
        <v>46054</v>
      </c>
      <c r="J738" s="59" t="s">
        <v>495</v>
      </c>
      <c r="K738" s="59" t="s">
        <v>1142</v>
      </c>
      <c r="L738" s="61">
        <v>18099233.620000001</v>
      </c>
      <c r="M738" s="59"/>
      <c r="N738" s="61">
        <v>18099233.620000001</v>
      </c>
      <c r="O738" s="61">
        <v>4858356352.3072777</v>
      </c>
    </row>
    <row r="739" spans="1:15" x14ac:dyDescent="0.25">
      <c r="A739" s="62">
        <v>46121</v>
      </c>
      <c r="B739">
        <v>4</v>
      </c>
      <c r="C739" t="s">
        <v>1171</v>
      </c>
      <c r="D739">
        <v>1044321</v>
      </c>
      <c r="E739" t="s">
        <v>1134</v>
      </c>
      <c r="F739" t="s">
        <v>1135</v>
      </c>
      <c r="G739" t="s">
        <v>1136</v>
      </c>
      <c r="H739" t="s">
        <v>1143</v>
      </c>
      <c r="I739" s="63">
        <v>46054</v>
      </c>
      <c r="J739" t="s">
        <v>495</v>
      </c>
      <c r="K739" t="s">
        <v>1142</v>
      </c>
      <c r="L739" s="64">
        <v>4481908.5</v>
      </c>
      <c r="N739" s="64">
        <v>4481908.5</v>
      </c>
      <c r="O739" s="64">
        <v>4862838260.8072777</v>
      </c>
    </row>
    <row r="740" spans="1:15" x14ac:dyDescent="0.25">
      <c r="A740" s="58">
        <v>46121</v>
      </c>
      <c r="B740" s="59">
        <v>4</v>
      </c>
      <c r="C740" s="59" t="s">
        <v>1171</v>
      </c>
      <c r="D740" s="59">
        <v>1044351</v>
      </c>
      <c r="E740" s="59" t="s">
        <v>1134</v>
      </c>
      <c r="F740" s="59" t="s">
        <v>1135</v>
      </c>
      <c r="G740" s="59" t="s">
        <v>1136</v>
      </c>
      <c r="H740" s="59" t="s">
        <v>1157</v>
      </c>
      <c r="I740" s="60">
        <v>46054</v>
      </c>
      <c r="J740" s="59" t="s">
        <v>495</v>
      </c>
      <c r="K740" s="59" t="s">
        <v>1142</v>
      </c>
      <c r="L740" s="61">
        <v>2320011.84</v>
      </c>
      <c r="M740" s="59"/>
      <c r="N740" s="61">
        <v>2320011.84</v>
      </c>
      <c r="O740" s="61">
        <v>4865158272.6472778</v>
      </c>
    </row>
    <row r="741" spans="1:15" x14ac:dyDescent="0.25">
      <c r="A741" s="62">
        <v>46121</v>
      </c>
      <c r="B741">
        <v>4</v>
      </c>
      <c r="C741" t="s">
        <v>1171</v>
      </c>
      <c r="D741">
        <v>1044361</v>
      </c>
      <c r="E741" t="s">
        <v>1134</v>
      </c>
      <c r="F741" t="s">
        <v>1135</v>
      </c>
      <c r="G741" t="s">
        <v>1136</v>
      </c>
      <c r="H741" t="s">
        <v>1158</v>
      </c>
      <c r="I741" s="63">
        <v>46054</v>
      </c>
      <c r="J741" t="s">
        <v>495</v>
      </c>
      <c r="K741" t="s">
        <v>1142</v>
      </c>
      <c r="L741" s="64">
        <v>1572395.9879999999</v>
      </c>
      <c r="N741" s="64">
        <v>1572395.9879999999</v>
      </c>
      <c r="O741" s="64">
        <v>4866730668.6352777</v>
      </c>
    </row>
    <row r="742" spans="1:15" x14ac:dyDescent="0.25">
      <c r="A742" s="58">
        <v>46121</v>
      </c>
      <c r="B742" s="59">
        <v>4</v>
      </c>
      <c r="C742" s="59" t="s">
        <v>1171</v>
      </c>
      <c r="D742" s="59">
        <v>1044371</v>
      </c>
      <c r="E742" s="59" t="s">
        <v>1134</v>
      </c>
      <c r="F742" s="59" t="s">
        <v>1135</v>
      </c>
      <c r="G742" s="59" t="s">
        <v>1136</v>
      </c>
      <c r="H742" s="59" t="s">
        <v>1141</v>
      </c>
      <c r="I742" s="60">
        <v>46054</v>
      </c>
      <c r="J742" s="59" t="s">
        <v>495</v>
      </c>
      <c r="K742" s="59" t="s">
        <v>1142</v>
      </c>
      <c r="L742" s="61">
        <v>11828576.186000001</v>
      </c>
      <c r="M742" s="59"/>
      <c r="N742" s="61">
        <v>11828576.186000001</v>
      </c>
      <c r="O742" s="61">
        <v>4878559244.8212776</v>
      </c>
    </row>
    <row r="743" spans="1:15" x14ac:dyDescent="0.25">
      <c r="A743" s="62">
        <v>46121</v>
      </c>
      <c r="B743">
        <v>4</v>
      </c>
      <c r="C743" t="s">
        <v>1171</v>
      </c>
      <c r="D743">
        <v>1044381</v>
      </c>
      <c r="E743" t="s">
        <v>1134</v>
      </c>
      <c r="F743" t="s">
        <v>1135</v>
      </c>
      <c r="G743" t="s">
        <v>1136</v>
      </c>
      <c r="H743" t="s">
        <v>1163</v>
      </c>
      <c r="I743" s="63">
        <v>46054</v>
      </c>
      <c r="J743" t="s">
        <v>495</v>
      </c>
      <c r="K743" t="s">
        <v>1142</v>
      </c>
      <c r="L743" s="64">
        <v>12426250.550000001</v>
      </c>
      <c r="N743" s="64">
        <v>12426250.550000001</v>
      </c>
      <c r="O743" s="64">
        <v>4890985495.3712778</v>
      </c>
    </row>
    <row r="744" spans="1:15" x14ac:dyDescent="0.25">
      <c r="A744" s="58">
        <v>46121</v>
      </c>
      <c r="B744" s="59">
        <v>4</v>
      </c>
      <c r="C744" s="59" t="s">
        <v>1171</v>
      </c>
      <c r="D744" s="59">
        <v>1044391</v>
      </c>
      <c r="E744" s="59" t="s">
        <v>1134</v>
      </c>
      <c r="F744" s="59" t="s">
        <v>1135</v>
      </c>
      <c r="G744" s="59" t="s">
        <v>1136</v>
      </c>
      <c r="H744" s="59" t="s">
        <v>1164</v>
      </c>
      <c r="I744" s="60">
        <v>46054</v>
      </c>
      <c r="J744" s="59" t="s">
        <v>495</v>
      </c>
      <c r="K744" s="59" t="s">
        <v>1142</v>
      </c>
      <c r="L744" s="61">
        <v>1293282</v>
      </c>
      <c r="M744" s="59"/>
      <c r="N744" s="61">
        <v>1293282</v>
      </c>
      <c r="O744" s="61">
        <v>4892278777.3712778</v>
      </c>
    </row>
    <row r="745" spans="1:15" x14ac:dyDescent="0.25">
      <c r="A745" s="62">
        <v>46121</v>
      </c>
      <c r="B745">
        <v>4</v>
      </c>
      <c r="C745" t="s">
        <v>1171</v>
      </c>
      <c r="D745">
        <v>1044401</v>
      </c>
      <c r="E745" t="s">
        <v>1134</v>
      </c>
      <c r="F745" t="s">
        <v>1135</v>
      </c>
      <c r="G745" t="s">
        <v>1136</v>
      </c>
      <c r="H745" t="s">
        <v>1159</v>
      </c>
      <c r="I745" s="63">
        <v>46054</v>
      </c>
      <c r="J745" t="s">
        <v>495</v>
      </c>
      <c r="K745" t="s">
        <v>1142</v>
      </c>
      <c r="L745" s="64">
        <v>8207588.4900000002</v>
      </c>
      <c r="N745" s="64">
        <v>8207588.4900000002</v>
      </c>
      <c r="O745" s="64">
        <v>4900486365.8612776</v>
      </c>
    </row>
    <row r="746" spans="1:15" x14ac:dyDescent="0.25">
      <c r="A746" s="58">
        <v>46121</v>
      </c>
      <c r="B746" s="59">
        <v>4</v>
      </c>
      <c r="C746" s="59" t="s">
        <v>1171</v>
      </c>
      <c r="D746" s="59">
        <v>1044411</v>
      </c>
      <c r="E746" s="59" t="s">
        <v>1134</v>
      </c>
      <c r="F746" s="59" t="s">
        <v>1135</v>
      </c>
      <c r="G746" s="59" t="s">
        <v>1136</v>
      </c>
      <c r="H746" s="59" t="s">
        <v>1160</v>
      </c>
      <c r="I746" s="60">
        <v>46054</v>
      </c>
      <c r="J746" s="59" t="s">
        <v>495</v>
      </c>
      <c r="K746" s="59" t="s">
        <v>1142</v>
      </c>
      <c r="L746" s="61">
        <v>3334525.5</v>
      </c>
      <c r="M746" s="59"/>
      <c r="N746" s="61">
        <v>3334525.5</v>
      </c>
      <c r="O746" s="61">
        <v>4903820891.3612776</v>
      </c>
    </row>
    <row r="747" spans="1:15" x14ac:dyDescent="0.25">
      <c r="A747" s="62">
        <v>46121</v>
      </c>
      <c r="B747">
        <v>4</v>
      </c>
      <c r="C747" t="s">
        <v>1171</v>
      </c>
      <c r="D747">
        <v>1044421</v>
      </c>
      <c r="E747" t="s">
        <v>1134</v>
      </c>
      <c r="F747" t="s">
        <v>1135</v>
      </c>
      <c r="G747" t="s">
        <v>1136</v>
      </c>
      <c r="H747" t="s">
        <v>1165</v>
      </c>
      <c r="I747" s="63">
        <v>46054</v>
      </c>
      <c r="J747" t="s">
        <v>495</v>
      </c>
      <c r="K747" t="s">
        <v>1142</v>
      </c>
      <c r="L747" s="64">
        <v>19901407.881767798</v>
      </c>
      <c r="N747" s="64">
        <v>19901407.881767798</v>
      </c>
      <c r="O747" s="64">
        <v>4923722299.2430458</v>
      </c>
    </row>
    <row r="748" spans="1:15" x14ac:dyDescent="0.25">
      <c r="A748" s="58">
        <v>46121</v>
      </c>
      <c r="B748" s="59">
        <v>4</v>
      </c>
      <c r="C748" s="59" t="s">
        <v>1171</v>
      </c>
      <c r="D748" s="59">
        <v>1044161</v>
      </c>
      <c r="E748" s="59" t="s">
        <v>1134</v>
      </c>
      <c r="F748" s="59" t="s">
        <v>1135</v>
      </c>
      <c r="G748" s="59" t="s">
        <v>1136</v>
      </c>
      <c r="H748" s="59" t="s">
        <v>1162</v>
      </c>
      <c r="I748" s="60">
        <v>46054</v>
      </c>
      <c r="J748" s="59" t="s">
        <v>496</v>
      </c>
      <c r="K748" s="59" t="s">
        <v>1142</v>
      </c>
      <c r="L748" s="61">
        <v>16447191</v>
      </c>
      <c r="M748" s="59"/>
      <c r="N748" s="61">
        <v>16447191</v>
      </c>
      <c r="O748" s="61">
        <v>5218878879.3435459</v>
      </c>
    </row>
    <row r="749" spans="1:15" x14ac:dyDescent="0.25">
      <c r="A749" s="62">
        <v>46121</v>
      </c>
      <c r="B749">
        <v>4</v>
      </c>
      <c r="C749" t="s">
        <v>1171</v>
      </c>
      <c r="D749">
        <v>1044171</v>
      </c>
      <c r="E749" t="s">
        <v>1134</v>
      </c>
      <c r="F749" t="s">
        <v>1135</v>
      </c>
      <c r="G749" t="s">
        <v>1136</v>
      </c>
      <c r="H749" t="s">
        <v>1147</v>
      </c>
      <c r="I749" s="63">
        <v>46054</v>
      </c>
      <c r="J749" t="s">
        <v>496</v>
      </c>
      <c r="K749" t="s">
        <v>1142</v>
      </c>
      <c r="L749" s="64">
        <v>7393137</v>
      </c>
      <c r="N749" s="64">
        <v>7393137</v>
      </c>
      <c r="O749" s="64">
        <v>5226272016.3435459</v>
      </c>
    </row>
    <row r="750" spans="1:15" x14ac:dyDescent="0.25">
      <c r="A750" s="58">
        <v>46121</v>
      </c>
      <c r="B750" s="59">
        <v>4</v>
      </c>
      <c r="C750" s="59" t="s">
        <v>1171</v>
      </c>
      <c r="D750" s="59">
        <v>1044211</v>
      </c>
      <c r="E750" s="59" t="s">
        <v>1134</v>
      </c>
      <c r="F750" s="59" t="s">
        <v>1135</v>
      </c>
      <c r="G750" s="59" t="s">
        <v>1136</v>
      </c>
      <c r="H750" s="59" t="s">
        <v>1151</v>
      </c>
      <c r="I750" s="60">
        <v>46054</v>
      </c>
      <c r="J750" s="59" t="s">
        <v>496</v>
      </c>
      <c r="K750" s="59" t="s">
        <v>1142</v>
      </c>
      <c r="L750" s="61">
        <v>8979253</v>
      </c>
      <c r="M750" s="59"/>
      <c r="N750" s="61">
        <v>8979253</v>
      </c>
      <c r="O750" s="61">
        <v>5235251269.3435459</v>
      </c>
    </row>
    <row r="751" spans="1:15" x14ac:dyDescent="0.25">
      <c r="A751" s="62">
        <v>46121</v>
      </c>
      <c r="B751">
        <v>4</v>
      </c>
      <c r="C751" t="s">
        <v>1171</v>
      </c>
      <c r="D751">
        <v>1044241</v>
      </c>
      <c r="E751" t="s">
        <v>1134</v>
      </c>
      <c r="F751" t="s">
        <v>1135</v>
      </c>
      <c r="G751" t="s">
        <v>1136</v>
      </c>
      <c r="H751" t="s">
        <v>1153</v>
      </c>
      <c r="I751" s="63">
        <v>46054</v>
      </c>
      <c r="J751" t="s">
        <v>496</v>
      </c>
      <c r="K751" t="s">
        <v>1142</v>
      </c>
      <c r="L751" s="64">
        <v>2891654</v>
      </c>
      <c r="N751" s="64">
        <v>2891654</v>
      </c>
      <c r="O751" s="64">
        <v>5238142923.3435459</v>
      </c>
    </row>
    <row r="752" spans="1:15" x14ac:dyDescent="0.25">
      <c r="A752" s="58">
        <v>46121</v>
      </c>
      <c r="B752" s="59">
        <v>4</v>
      </c>
      <c r="C752" s="59" t="s">
        <v>1171</v>
      </c>
      <c r="D752" s="59">
        <v>1044261</v>
      </c>
      <c r="E752" s="59" t="s">
        <v>1134</v>
      </c>
      <c r="F752" s="59" t="s">
        <v>1135</v>
      </c>
      <c r="G752" s="59" t="s">
        <v>1136</v>
      </c>
      <c r="H752" s="59" t="s">
        <v>1145</v>
      </c>
      <c r="I752" s="60">
        <v>46054</v>
      </c>
      <c r="J752" s="59" t="s">
        <v>496</v>
      </c>
      <c r="K752" s="59" t="s">
        <v>1142</v>
      </c>
      <c r="L752" s="61">
        <v>3479793.74</v>
      </c>
      <c r="M752" s="59"/>
      <c r="N752" s="61">
        <v>3479793.74</v>
      </c>
      <c r="O752" s="61">
        <v>5241622717.0835457</v>
      </c>
    </row>
    <row r="753" spans="1:15" x14ac:dyDescent="0.25">
      <c r="A753" s="62">
        <v>46121</v>
      </c>
      <c r="B753">
        <v>4</v>
      </c>
      <c r="C753" t="s">
        <v>1171</v>
      </c>
      <c r="D753">
        <v>1044271</v>
      </c>
      <c r="E753" t="s">
        <v>1134</v>
      </c>
      <c r="F753" t="s">
        <v>1135</v>
      </c>
      <c r="G753" t="s">
        <v>1136</v>
      </c>
      <c r="H753" t="s">
        <v>1154</v>
      </c>
      <c r="I753" s="63">
        <v>46054</v>
      </c>
      <c r="J753" t="s">
        <v>496</v>
      </c>
      <c r="K753" t="s">
        <v>1142</v>
      </c>
      <c r="L753" s="64">
        <v>12736856</v>
      </c>
      <c r="N753" s="64">
        <v>12736856</v>
      </c>
      <c r="O753" s="64">
        <v>5254359573.0835457</v>
      </c>
    </row>
    <row r="754" spans="1:15" x14ac:dyDescent="0.25">
      <c r="A754" s="58">
        <v>46121</v>
      </c>
      <c r="B754" s="59">
        <v>4</v>
      </c>
      <c r="C754" s="59" t="s">
        <v>1171</v>
      </c>
      <c r="D754" s="59">
        <v>1044281</v>
      </c>
      <c r="E754" s="59" t="s">
        <v>1134</v>
      </c>
      <c r="F754" s="59" t="s">
        <v>1135</v>
      </c>
      <c r="G754" s="59" t="s">
        <v>1136</v>
      </c>
      <c r="H754" s="59" t="s">
        <v>1155</v>
      </c>
      <c r="I754" s="60">
        <v>46054</v>
      </c>
      <c r="J754" s="59" t="s">
        <v>496</v>
      </c>
      <c r="K754" s="59" t="s">
        <v>1142</v>
      </c>
      <c r="L754" s="61">
        <v>27860401.379999999</v>
      </c>
      <c r="M754" s="59"/>
      <c r="N754" s="61">
        <v>27860401.379999999</v>
      </c>
      <c r="O754" s="61">
        <v>5282219974.4635458</v>
      </c>
    </row>
    <row r="755" spans="1:15" x14ac:dyDescent="0.25">
      <c r="A755" s="62">
        <v>46121</v>
      </c>
      <c r="B755">
        <v>4</v>
      </c>
      <c r="C755" t="s">
        <v>1171</v>
      </c>
      <c r="D755">
        <v>1044461</v>
      </c>
      <c r="E755" t="s">
        <v>1134</v>
      </c>
      <c r="F755" t="s">
        <v>1135</v>
      </c>
      <c r="G755" t="s">
        <v>1136</v>
      </c>
      <c r="H755" t="s">
        <v>1140</v>
      </c>
      <c r="I755" s="63">
        <v>46054</v>
      </c>
      <c r="J755" t="s">
        <v>496</v>
      </c>
      <c r="K755" t="s">
        <v>1142</v>
      </c>
      <c r="L755" s="64">
        <v>1109801.1957339491</v>
      </c>
      <c r="N755" s="64">
        <v>1109801.1957339491</v>
      </c>
      <c r="O755" s="64">
        <v>5283329775.6592798</v>
      </c>
    </row>
    <row r="756" spans="1:15" x14ac:dyDescent="0.25">
      <c r="A756" s="58">
        <v>46121</v>
      </c>
      <c r="B756" s="59">
        <v>4</v>
      </c>
      <c r="C756" s="59" t="s">
        <v>1171</v>
      </c>
      <c r="D756" s="59">
        <v>1044321</v>
      </c>
      <c r="E756" s="59" t="s">
        <v>1134</v>
      </c>
      <c r="F756" s="59" t="s">
        <v>1135</v>
      </c>
      <c r="G756" s="59" t="s">
        <v>1136</v>
      </c>
      <c r="H756" s="59" t="s">
        <v>1143</v>
      </c>
      <c r="I756" s="60">
        <v>46054</v>
      </c>
      <c r="J756" s="59" t="s">
        <v>496</v>
      </c>
      <c r="K756" s="59" t="s">
        <v>1142</v>
      </c>
      <c r="L756" s="61">
        <v>28730947.5</v>
      </c>
      <c r="M756" s="59"/>
      <c r="N756" s="61">
        <v>28730947.5</v>
      </c>
      <c r="O756" s="61">
        <v>5312060723.1592798</v>
      </c>
    </row>
    <row r="757" spans="1:15" x14ac:dyDescent="0.25">
      <c r="A757" s="62">
        <v>46121</v>
      </c>
      <c r="B757">
        <v>4</v>
      </c>
      <c r="C757" t="s">
        <v>1171</v>
      </c>
      <c r="D757">
        <v>1044351</v>
      </c>
      <c r="E757" t="s">
        <v>1134</v>
      </c>
      <c r="F757" t="s">
        <v>1135</v>
      </c>
      <c r="G757" t="s">
        <v>1136</v>
      </c>
      <c r="H757" t="s">
        <v>1157</v>
      </c>
      <c r="I757" s="63">
        <v>46054</v>
      </c>
      <c r="J757" t="s">
        <v>496</v>
      </c>
      <c r="K757" t="s">
        <v>1142</v>
      </c>
      <c r="L757" s="64">
        <v>3812493.8352000001</v>
      </c>
      <c r="N757" s="64">
        <v>3812493.8352000001</v>
      </c>
      <c r="O757" s="64">
        <v>5315873216.9944801</v>
      </c>
    </row>
    <row r="758" spans="1:15" x14ac:dyDescent="0.25">
      <c r="A758" s="58">
        <v>46121</v>
      </c>
      <c r="B758" s="59">
        <v>4</v>
      </c>
      <c r="C758" s="59" t="s">
        <v>1171</v>
      </c>
      <c r="D758" s="59">
        <v>1044361</v>
      </c>
      <c r="E758" s="59" t="s">
        <v>1134</v>
      </c>
      <c r="F758" s="59" t="s">
        <v>1135</v>
      </c>
      <c r="G758" s="59" t="s">
        <v>1136</v>
      </c>
      <c r="H758" s="59" t="s">
        <v>1158</v>
      </c>
      <c r="I758" s="60">
        <v>46054</v>
      </c>
      <c r="J758" s="59" t="s">
        <v>496</v>
      </c>
      <c r="K758" s="59" t="s">
        <v>1142</v>
      </c>
      <c r="L758" s="61">
        <v>8069426.3880000003</v>
      </c>
      <c r="M758" s="59"/>
      <c r="N758" s="61">
        <v>8069426.3880000003</v>
      </c>
      <c r="O758" s="61">
        <v>5323942643.3824797</v>
      </c>
    </row>
    <row r="759" spans="1:15" x14ac:dyDescent="0.25">
      <c r="A759" s="62">
        <v>46121</v>
      </c>
      <c r="B759">
        <v>4</v>
      </c>
      <c r="C759" t="s">
        <v>1171</v>
      </c>
      <c r="D759">
        <v>1044371</v>
      </c>
      <c r="E759" t="s">
        <v>1134</v>
      </c>
      <c r="F759" t="s">
        <v>1135</v>
      </c>
      <c r="G759" t="s">
        <v>1136</v>
      </c>
      <c r="H759" t="s">
        <v>1141</v>
      </c>
      <c r="I759" s="63">
        <v>46054</v>
      </c>
      <c r="J759" t="s">
        <v>496</v>
      </c>
      <c r="K759" t="s">
        <v>1142</v>
      </c>
      <c r="L759" s="64">
        <v>24269741.131999999</v>
      </c>
      <c r="N759" s="64">
        <v>24269741.131999999</v>
      </c>
      <c r="O759" s="64">
        <v>5348212384.5144796</v>
      </c>
    </row>
    <row r="760" spans="1:15" x14ac:dyDescent="0.25">
      <c r="A760" s="58">
        <v>46121</v>
      </c>
      <c r="B760" s="59">
        <v>4</v>
      </c>
      <c r="C760" s="59" t="s">
        <v>1171</v>
      </c>
      <c r="D760" s="59">
        <v>1044391</v>
      </c>
      <c r="E760" s="59" t="s">
        <v>1134</v>
      </c>
      <c r="F760" s="59" t="s">
        <v>1135</v>
      </c>
      <c r="G760" s="59" t="s">
        <v>1136</v>
      </c>
      <c r="H760" s="59" t="s">
        <v>1164</v>
      </c>
      <c r="I760" s="60">
        <v>46054</v>
      </c>
      <c r="J760" s="59" t="s">
        <v>496</v>
      </c>
      <c r="K760" s="59" t="s">
        <v>1142</v>
      </c>
      <c r="L760" s="61">
        <v>16459144.75</v>
      </c>
      <c r="M760" s="59"/>
      <c r="N760" s="61">
        <v>16459144.75</v>
      </c>
      <c r="O760" s="61">
        <v>5364671529.2644796</v>
      </c>
    </row>
    <row r="761" spans="1:15" x14ac:dyDescent="0.25">
      <c r="A761" s="62">
        <v>46121</v>
      </c>
      <c r="B761">
        <v>4</v>
      </c>
      <c r="C761" t="s">
        <v>1171</v>
      </c>
      <c r="D761">
        <v>1044401</v>
      </c>
      <c r="E761" t="s">
        <v>1134</v>
      </c>
      <c r="F761" t="s">
        <v>1135</v>
      </c>
      <c r="G761" t="s">
        <v>1136</v>
      </c>
      <c r="H761" t="s">
        <v>1159</v>
      </c>
      <c r="I761" s="63">
        <v>46054</v>
      </c>
      <c r="J761" t="s">
        <v>496</v>
      </c>
      <c r="K761" t="s">
        <v>1142</v>
      </c>
      <c r="L761" s="64">
        <v>21352465.5</v>
      </c>
      <c r="N761" s="64">
        <v>21352465.5</v>
      </c>
      <c r="O761" s="64">
        <v>5386023994.7644796</v>
      </c>
    </row>
    <row r="762" spans="1:15" x14ac:dyDescent="0.25">
      <c r="A762" s="58">
        <v>46121</v>
      </c>
      <c r="B762" s="59">
        <v>4</v>
      </c>
      <c r="C762" s="59" t="s">
        <v>1171</v>
      </c>
      <c r="D762" s="59">
        <v>1044411</v>
      </c>
      <c r="E762" s="59" t="s">
        <v>1134</v>
      </c>
      <c r="F762" s="59" t="s">
        <v>1135</v>
      </c>
      <c r="G762" s="59" t="s">
        <v>1136</v>
      </c>
      <c r="H762" s="59" t="s">
        <v>1160</v>
      </c>
      <c r="I762" s="60">
        <v>46054</v>
      </c>
      <c r="J762" s="59" t="s">
        <v>496</v>
      </c>
      <c r="K762" s="59" t="s">
        <v>1142</v>
      </c>
      <c r="L762" s="61">
        <v>2388995</v>
      </c>
      <c r="M762" s="59"/>
      <c r="N762" s="61">
        <v>2388995</v>
      </c>
      <c r="O762" s="61">
        <v>5388412989.7644796</v>
      </c>
    </row>
    <row r="763" spans="1:15" x14ac:dyDescent="0.25">
      <c r="A763" s="62">
        <v>46121</v>
      </c>
      <c r="B763">
        <v>4</v>
      </c>
      <c r="C763" t="s">
        <v>1171</v>
      </c>
      <c r="D763">
        <v>1044421</v>
      </c>
      <c r="E763" t="s">
        <v>1134</v>
      </c>
      <c r="F763" t="s">
        <v>1135</v>
      </c>
      <c r="G763" t="s">
        <v>1136</v>
      </c>
      <c r="H763" t="s">
        <v>1165</v>
      </c>
      <c r="I763" s="63">
        <v>46054</v>
      </c>
      <c r="J763" t="s">
        <v>496</v>
      </c>
      <c r="K763" t="s">
        <v>1142</v>
      </c>
      <c r="L763" s="64">
        <v>35278925.720620021</v>
      </c>
      <c r="N763" s="64">
        <v>35278925.720620021</v>
      </c>
      <c r="O763" s="64">
        <v>5423691915.4850998</v>
      </c>
    </row>
    <row r="764" spans="1:15" x14ac:dyDescent="0.25">
      <c r="A764" s="58">
        <v>46121</v>
      </c>
      <c r="B764" s="59">
        <v>4</v>
      </c>
      <c r="C764" s="59" t="s">
        <v>1171</v>
      </c>
      <c r="D764" s="59">
        <v>1044161</v>
      </c>
      <c r="E764" s="59" t="s">
        <v>1134</v>
      </c>
      <c r="F764" s="59" t="s">
        <v>1135</v>
      </c>
      <c r="G764" s="59" t="s">
        <v>1136</v>
      </c>
      <c r="H764" s="59" t="s">
        <v>1162</v>
      </c>
      <c r="I764" s="60">
        <v>46054</v>
      </c>
      <c r="J764" s="59" t="s">
        <v>497</v>
      </c>
      <c r="K764" s="59" t="s">
        <v>1142</v>
      </c>
      <c r="L764" s="61">
        <v>367552.5</v>
      </c>
      <c r="M764" s="59"/>
      <c r="N764" s="61">
        <v>367552.5</v>
      </c>
      <c r="O764" s="61">
        <v>5717504079.7880993</v>
      </c>
    </row>
    <row r="765" spans="1:15" x14ac:dyDescent="0.25">
      <c r="A765" s="62">
        <v>46121</v>
      </c>
      <c r="B765">
        <v>4</v>
      </c>
      <c r="C765" t="s">
        <v>1171</v>
      </c>
      <c r="D765">
        <v>1044171</v>
      </c>
      <c r="E765" t="s">
        <v>1134</v>
      </c>
      <c r="F765" t="s">
        <v>1135</v>
      </c>
      <c r="G765" t="s">
        <v>1136</v>
      </c>
      <c r="H765" t="s">
        <v>1147</v>
      </c>
      <c r="I765" s="63">
        <v>46054</v>
      </c>
      <c r="J765" t="s">
        <v>497</v>
      </c>
      <c r="K765" t="s">
        <v>1142</v>
      </c>
      <c r="L765" s="64">
        <v>342343.125</v>
      </c>
      <c r="N765" s="64">
        <v>342343.125</v>
      </c>
      <c r="O765" s="64">
        <v>5717846422.9130993</v>
      </c>
    </row>
    <row r="766" spans="1:15" x14ac:dyDescent="0.25">
      <c r="A766" s="58">
        <v>46121</v>
      </c>
      <c r="B766" s="59">
        <v>4</v>
      </c>
      <c r="C766" s="59" t="s">
        <v>1171</v>
      </c>
      <c r="D766" s="59">
        <v>1044261</v>
      </c>
      <c r="E766" s="59" t="s">
        <v>1134</v>
      </c>
      <c r="F766" s="59" t="s">
        <v>1135</v>
      </c>
      <c r="G766" s="59" t="s">
        <v>1136</v>
      </c>
      <c r="H766" s="59" t="s">
        <v>1145</v>
      </c>
      <c r="I766" s="60">
        <v>46054</v>
      </c>
      <c r="J766" s="59" t="s">
        <v>497</v>
      </c>
      <c r="K766" s="59" t="s">
        <v>1142</v>
      </c>
      <c r="L766" s="61">
        <v>367552.5</v>
      </c>
      <c r="M766" s="59"/>
      <c r="N766" s="61">
        <v>367552.5</v>
      </c>
      <c r="O766" s="61">
        <v>5718213975.4130993</v>
      </c>
    </row>
    <row r="767" spans="1:15" x14ac:dyDescent="0.25">
      <c r="A767" s="62">
        <v>46121</v>
      </c>
      <c r="B767">
        <v>4</v>
      </c>
      <c r="C767" t="s">
        <v>1171</v>
      </c>
      <c r="D767">
        <v>1044361</v>
      </c>
      <c r="E767" t="s">
        <v>1134</v>
      </c>
      <c r="F767" t="s">
        <v>1135</v>
      </c>
      <c r="G767" t="s">
        <v>1136</v>
      </c>
      <c r="H767" t="s">
        <v>1158</v>
      </c>
      <c r="I767" s="63">
        <v>46054</v>
      </c>
      <c r="J767" t="s">
        <v>497</v>
      </c>
      <c r="K767" t="s">
        <v>1142</v>
      </c>
      <c r="L767" s="64">
        <v>988812</v>
      </c>
      <c r="N767" s="64">
        <v>988812</v>
      </c>
      <c r="O767" s="64">
        <v>5719202787.4130993</v>
      </c>
    </row>
    <row r="768" spans="1:15" x14ac:dyDescent="0.25">
      <c r="A768" s="58">
        <v>46121</v>
      </c>
      <c r="B768" s="59">
        <v>4</v>
      </c>
      <c r="C768" s="59" t="s">
        <v>1171</v>
      </c>
      <c r="D768" s="59">
        <v>1044401</v>
      </c>
      <c r="E768" s="59" t="s">
        <v>1134</v>
      </c>
      <c r="F768" s="59" t="s">
        <v>1135</v>
      </c>
      <c r="G768" s="59" t="s">
        <v>1136</v>
      </c>
      <c r="H768" s="59" t="s">
        <v>1159</v>
      </c>
      <c r="I768" s="60">
        <v>46054</v>
      </c>
      <c r="J768" s="59" t="s">
        <v>497</v>
      </c>
      <c r="K768" s="59" t="s">
        <v>1142</v>
      </c>
      <c r="L768" s="61">
        <v>367552.5</v>
      </c>
      <c r="M768" s="59"/>
      <c r="N768" s="61">
        <v>367552.5</v>
      </c>
      <c r="O768" s="61">
        <v>5719570339.9130993</v>
      </c>
    </row>
    <row r="769" spans="1:15" x14ac:dyDescent="0.25">
      <c r="A769" s="62">
        <v>46122</v>
      </c>
      <c r="B769">
        <v>4</v>
      </c>
      <c r="C769" t="s">
        <v>1133</v>
      </c>
      <c r="D769">
        <v>2014211</v>
      </c>
      <c r="E769" t="s">
        <v>1167</v>
      </c>
      <c r="F769" t="s">
        <v>1174</v>
      </c>
      <c r="G769" t="s">
        <v>1136</v>
      </c>
      <c r="H769" t="s">
        <v>1151</v>
      </c>
      <c r="I769" s="63">
        <v>46082</v>
      </c>
      <c r="J769" t="s">
        <v>499</v>
      </c>
      <c r="K769" t="s">
        <v>1142</v>
      </c>
      <c r="M769" s="64">
        <v>5910795</v>
      </c>
      <c r="N769" s="64">
        <v>-5910795</v>
      </c>
      <c r="O769" s="64">
        <v>5717914163.9630985</v>
      </c>
    </row>
    <row r="770" spans="1:15" x14ac:dyDescent="0.25">
      <c r="A770" s="58">
        <v>46122</v>
      </c>
      <c r="B770" s="59">
        <v>4</v>
      </c>
      <c r="C770" s="59" t="s">
        <v>1133</v>
      </c>
      <c r="D770" s="59">
        <v>2054371</v>
      </c>
      <c r="E770" s="59" t="s">
        <v>1167</v>
      </c>
      <c r="F770" s="59" t="s">
        <v>1169</v>
      </c>
      <c r="G770" s="59" t="s">
        <v>1136</v>
      </c>
      <c r="H770" s="59" t="s">
        <v>1141</v>
      </c>
      <c r="I770" s="60">
        <v>46082</v>
      </c>
      <c r="J770" s="59" t="s">
        <v>500</v>
      </c>
      <c r="K770" s="59" t="s">
        <v>1142</v>
      </c>
      <c r="L770" s="59"/>
      <c r="M770" s="61">
        <v>38244712.100000001</v>
      </c>
      <c r="N770" s="61">
        <v>-38244712.100000001</v>
      </c>
      <c r="O770" s="61">
        <v>5679669451.8630991</v>
      </c>
    </row>
    <row r="771" spans="1:15" x14ac:dyDescent="0.25">
      <c r="A771" s="62">
        <v>46122</v>
      </c>
      <c r="B771">
        <v>4</v>
      </c>
      <c r="C771" t="s">
        <v>1133</v>
      </c>
      <c r="D771">
        <v>2054391</v>
      </c>
      <c r="E771" t="s">
        <v>1167</v>
      </c>
      <c r="F771" t="s">
        <v>1169</v>
      </c>
      <c r="G771" t="s">
        <v>1136</v>
      </c>
      <c r="H771" t="s">
        <v>1164</v>
      </c>
      <c r="I771" s="63">
        <v>46082</v>
      </c>
      <c r="J771" t="s">
        <v>501</v>
      </c>
      <c r="K771" t="s">
        <v>1142</v>
      </c>
      <c r="M771" s="64">
        <v>25711067</v>
      </c>
      <c r="N771" s="64">
        <v>-25711067</v>
      </c>
      <c r="O771" s="64">
        <v>5653958384.8630991</v>
      </c>
    </row>
    <row r="772" spans="1:15" x14ac:dyDescent="0.25">
      <c r="A772" s="58">
        <v>46122</v>
      </c>
      <c r="B772" s="59">
        <v>4</v>
      </c>
      <c r="C772" s="59" t="s">
        <v>1133</v>
      </c>
      <c r="D772" s="59">
        <v>2014271</v>
      </c>
      <c r="E772" s="59" t="s">
        <v>1167</v>
      </c>
      <c r="F772" s="59" t="s">
        <v>1174</v>
      </c>
      <c r="G772" s="59" t="s">
        <v>1136</v>
      </c>
      <c r="H772" s="59" t="s">
        <v>1154</v>
      </c>
      <c r="I772" s="60">
        <v>46082</v>
      </c>
      <c r="J772" s="59" t="s">
        <v>502</v>
      </c>
      <c r="K772" s="59" t="s">
        <v>1142</v>
      </c>
      <c r="L772" s="59"/>
      <c r="M772" s="61">
        <v>29441115.690000001</v>
      </c>
      <c r="N772" s="61">
        <v>-29441115.690000001</v>
      </c>
      <c r="O772" s="61">
        <v>5624517269.1731005</v>
      </c>
    </row>
    <row r="773" spans="1:15" x14ac:dyDescent="0.25">
      <c r="A773" s="62">
        <v>46122</v>
      </c>
      <c r="B773">
        <v>4</v>
      </c>
      <c r="C773" t="s">
        <v>1133</v>
      </c>
      <c r="D773">
        <v>2014421</v>
      </c>
      <c r="E773" t="s">
        <v>1167</v>
      </c>
      <c r="F773" t="s">
        <v>1174</v>
      </c>
      <c r="G773" t="s">
        <v>1136</v>
      </c>
      <c r="H773" t="s">
        <v>1165</v>
      </c>
      <c r="I773" s="63">
        <v>46082</v>
      </c>
      <c r="J773" t="s">
        <v>503</v>
      </c>
      <c r="K773" t="s">
        <v>1142</v>
      </c>
      <c r="M773" s="64">
        <v>68110805.71262002</v>
      </c>
      <c r="N773" s="64">
        <v>-68110805.71262002</v>
      </c>
      <c r="O773" s="64">
        <v>5556406463.4604797</v>
      </c>
    </row>
    <row r="774" spans="1:15" x14ac:dyDescent="0.25">
      <c r="A774" s="58">
        <v>46122</v>
      </c>
      <c r="B774" s="59">
        <v>4</v>
      </c>
      <c r="C774" s="59" t="s">
        <v>1133</v>
      </c>
      <c r="D774" s="59">
        <v>2014422</v>
      </c>
      <c r="E774" s="59" t="s">
        <v>1167</v>
      </c>
      <c r="F774" s="59" t="s">
        <v>1174</v>
      </c>
      <c r="G774" s="59" t="s">
        <v>1136</v>
      </c>
      <c r="H774" s="59" t="s">
        <v>1165</v>
      </c>
      <c r="I774" s="60">
        <v>46082</v>
      </c>
      <c r="J774" s="59" t="s">
        <v>504</v>
      </c>
      <c r="K774" s="59" t="s">
        <v>1138</v>
      </c>
      <c r="L774" s="59"/>
      <c r="M774" s="61">
        <v>74123383.760000005</v>
      </c>
      <c r="N774" s="61">
        <v>-74123383.760000005</v>
      </c>
      <c r="O774" s="61">
        <v>5482283079.7004805</v>
      </c>
    </row>
    <row r="775" spans="1:15" x14ac:dyDescent="0.25">
      <c r="A775" s="62">
        <v>46122</v>
      </c>
      <c r="B775">
        <v>4</v>
      </c>
      <c r="C775" t="s">
        <v>1133</v>
      </c>
      <c r="D775">
        <v>2014427</v>
      </c>
      <c r="E775" t="s">
        <v>1167</v>
      </c>
      <c r="F775" t="s">
        <v>1174</v>
      </c>
      <c r="G775" t="s">
        <v>1136</v>
      </c>
      <c r="H775" t="s">
        <v>1165</v>
      </c>
      <c r="I775" s="63">
        <v>46082</v>
      </c>
      <c r="J775" t="s">
        <v>504</v>
      </c>
      <c r="K775" t="s">
        <v>1170</v>
      </c>
      <c r="M775" s="64">
        <v>110</v>
      </c>
      <c r="N775" s="64">
        <v>-110</v>
      </c>
      <c r="O775" s="64">
        <v>5482282969.7004805</v>
      </c>
    </row>
    <row r="776" spans="1:15" x14ac:dyDescent="0.25">
      <c r="A776" s="58">
        <v>46122</v>
      </c>
      <c r="B776" s="59">
        <v>4</v>
      </c>
      <c r="C776" s="59" t="s">
        <v>1133</v>
      </c>
      <c r="D776" s="59">
        <v>2014422</v>
      </c>
      <c r="E776" s="59" t="s">
        <v>1167</v>
      </c>
      <c r="F776" s="59" t="s">
        <v>1174</v>
      </c>
      <c r="G776" s="59" t="s">
        <v>1136</v>
      </c>
      <c r="H776" s="59" t="s">
        <v>1165</v>
      </c>
      <c r="I776" s="60">
        <v>46082</v>
      </c>
      <c r="J776" s="59" t="s">
        <v>504</v>
      </c>
      <c r="K776" s="59" t="s">
        <v>1138</v>
      </c>
      <c r="L776" s="59"/>
      <c r="M776" s="61">
        <v>7528344.2399999946</v>
      </c>
      <c r="N776" s="61">
        <v>-7528344.2399999946</v>
      </c>
      <c r="O776" s="61">
        <v>5474754625.4604797</v>
      </c>
    </row>
    <row r="777" spans="1:15" x14ac:dyDescent="0.25">
      <c r="A777" s="62">
        <v>46122</v>
      </c>
      <c r="B777">
        <v>4</v>
      </c>
      <c r="C777" t="s">
        <v>1133</v>
      </c>
      <c r="D777">
        <v>2034241</v>
      </c>
      <c r="E777" t="s">
        <v>1167</v>
      </c>
      <c r="F777" t="s">
        <v>1168</v>
      </c>
      <c r="G777" t="s">
        <v>1136</v>
      </c>
      <c r="H777" t="s">
        <v>1153</v>
      </c>
      <c r="I777" s="63">
        <v>46082</v>
      </c>
      <c r="J777" t="s">
        <v>505</v>
      </c>
      <c r="K777" t="s">
        <v>1142</v>
      </c>
      <c r="M777" s="64">
        <v>5534929</v>
      </c>
      <c r="N777" s="64">
        <v>-5534929</v>
      </c>
      <c r="O777" s="64">
        <v>5469219696.4604797</v>
      </c>
    </row>
    <row r="778" spans="1:15" x14ac:dyDescent="0.25">
      <c r="A778" s="58">
        <v>46122</v>
      </c>
      <c r="B778" s="59">
        <v>4</v>
      </c>
      <c r="C778" s="59" t="s">
        <v>1133</v>
      </c>
      <c r="D778" s="59">
        <v>2054281</v>
      </c>
      <c r="E778" s="59" t="s">
        <v>1167</v>
      </c>
      <c r="F778" s="59" t="s">
        <v>1169</v>
      </c>
      <c r="G778" s="59" t="s">
        <v>1136</v>
      </c>
      <c r="H778" s="59" t="s">
        <v>1155</v>
      </c>
      <c r="I778" s="60">
        <v>46082</v>
      </c>
      <c r="J778" s="59" t="s">
        <v>506</v>
      </c>
      <c r="K778" s="59" t="s">
        <v>1142</v>
      </c>
      <c r="L778" s="59"/>
      <c r="M778" s="61">
        <v>30419840</v>
      </c>
      <c r="N778" s="61">
        <v>-30419840</v>
      </c>
      <c r="O778" s="61">
        <v>5438799856.4604797</v>
      </c>
    </row>
    <row r="779" spans="1:15" x14ac:dyDescent="0.25">
      <c r="A779" s="62">
        <v>46122</v>
      </c>
      <c r="B779">
        <v>4</v>
      </c>
      <c r="C779" t="s">
        <v>1133</v>
      </c>
      <c r="D779">
        <v>2054282</v>
      </c>
      <c r="E779" t="s">
        <v>1167</v>
      </c>
      <c r="F779" t="s">
        <v>1169</v>
      </c>
      <c r="G779" t="s">
        <v>1136</v>
      </c>
      <c r="H779" t="s">
        <v>1155</v>
      </c>
      <c r="I779" s="63">
        <v>46082</v>
      </c>
      <c r="J779" t="s">
        <v>507</v>
      </c>
      <c r="K779" t="s">
        <v>1138</v>
      </c>
      <c r="M779" s="64">
        <v>52530294.200000003</v>
      </c>
      <c r="N779" s="64">
        <v>-52530294.200000003</v>
      </c>
      <c r="O779" s="64">
        <v>5386269562.2604799</v>
      </c>
    </row>
    <row r="780" spans="1:15" x14ac:dyDescent="0.25">
      <c r="A780" s="58">
        <v>46122</v>
      </c>
      <c r="B780" s="59">
        <v>4</v>
      </c>
      <c r="C780" s="59" t="s">
        <v>1133</v>
      </c>
      <c r="D780" s="59">
        <v>2054284</v>
      </c>
      <c r="E780" s="59" t="s">
        <v>1167</v>
      </c>
      <c r="F780" s="59" t="s">
        <v>1169</v>
      </c>
      <c r="G780" s="59" t="s">
        <v>1136</v>
      </c>
      <c r="H780" s="59" t="s">
        <v>1155</v>
      </c>
      <c r="I780" s="60">
        <v>46082</v>
      </c>
      <c r="J780" s="59" t="s">
        <v>508</v>
      </c>
      <c r="K780" s="59" t="s">
        <v>1148</v>
      </c>
      <c r="L780" s="59"/>
      <c r="M780" s="61">
        <v>152858200</v>
      </c>
      <c r="N780" s="61">
        <v>-152858200</v>
      </c>
      <c r="O780" s="61">
        <v>5233411362.2604799</v>
      </c>
    </row>
    <row r="781" spans="1:15" x14ac:dyDescent="0.25">
      <c r="A781" s="62">
        <v>46122</v>
      </c>
      <c r="B781">
        <v>4</v>
      </c>
      <c r="C781" t="s">
        <v>1133</v>
      </c>
      <c r="D781">
        <v>2054286</v>
      </c>
      <c r="E781" t="s">
        <v>1167</v>
      </c>
      <c r="F781" t="s">
        <v>1169</v>
      </c>
      <c r="G781" t="s">
        <v>1136</v>
      </c>
      <c r="H781" t="s">
        <v>1155</v>
      </c>
      <c r="I781" s="63">
        <v>46082</v>
      </c>
      <c r="J781" t="s">
        <v>508</v>
      </c>
      <c r="K781" t="s">
        <v>1150</v>
      </c>
      <c r="M781" s="64">
        <v>2979768.66</v>
      </c>
      <c r="N781" s="64">
        <v>-2979768.66</v>
      </c>
      <c r="O781" s="64">
        <v>5230431593.6004801</v>
      </c>
    </row>
    <row r="782" spans="1:15" x14ac:dyDescent="0.25">
      <c r="A782" s="58">
        <v>46122</v>
      </c>
      <c r="B782" s="59">
        <v>4</v>
      </c>
      <c r="C782" s="59" t="s">
        <v>1133</v>
      </c>
      <c r="D782" s="59">
        <v>2054285</v>
      </c>
      <c r="E782" s="59" t="s">
        <v>1167</v>
      </c>
      <c r="F782" s="59" t="s">
        <v>1169</v>
      </c>
      <c r="G782" s="59" t="s">
        <v>1136</v>
      </c>
      <c r="H782" s="59" t="s">
        <v>1155</v>
      </c>
      <c r="I782" s="60">
        <v>46082</v>
      </c>
      <c r="J782" s="59" t="s">
        <v>509</v>
      </c>
      <c r="K782" s="59" t="s">
        <v>1172</v>
      </c>
      <c r="L782" s="59"/>
      <c r="M782" s="61">
        <v>1280018</v>
      </c>
      <c r="N782" s="61">
        <v>-1280018</v>
      </c>
      <c r="O782" s="61">
        <v>5229151575.6004801</v>
      </c>
    </row>
    <row r="783" spans="1:15" x14ac:dyDescent="0.25">
      <c r="A783" s="62">
        <v>46122</v>
      </c>
      <c r="B783">
        <v>4</v>
      </c>
      <c r="C783" t="s">
        <v>1133</v>
      </c>
      <c r="D783">
        <v>1044122</v>
      </c>
      <c r="E783" t="s">
        <v>1134</v>
      </c>
      <c r="F783" t="s">
        <v>1135</v>
      </c>
      <c r="G783" t="s">
        <v>1136</v>
      </c>
      <c r="H783" t="s">
        <v>1175</v>
      </c>
      <c r="I783" s="63">
        <v>46082</v>
      </c>
      <c r="J783" t="s">
        <v>512</v>
      </c>
      <c r="K783" t="s">
        <v>1138</v>
      </c>
      <c r="L783" s="64">
        <v>95148803</v>
      </c>
      <c r="N783" s="64">
        <v>95148803</v>
      </c>
      <c r="O783" s="64">
        <v>5342385140.3804808</v>
      </c>
    </row>
    <row r="784" spans="1:15" x14ac:dyDescent="0.25">
      <c r="A784" s="58">
        <v>46122</v>
      </c>
      <c r="B784" s="59">
        <v>4</v>
      </c>
      <c r="C784" s="59" t="s">
        <v>1133</v>
      </c>
      <c r="D784" s="59">
        <v>1044122</v>
      </c>
      <c r="E784" s="59" t="s">
        <v>1134</v>
      </c>
      <c r="F784" s="59" t="s">
        <v>1135</v>
      </c>
      <c r="G784" s="59" t="s">
        <v>1136</v>
      </c>
      <c r="H784" s="59" t="s">
        <v>1175</v>
      </c>
      <c r="I784" s="60">
        <v>46113</v>
      </c>
      <c r="J784" s="59" t="s">
        <v>512</v>
      </c>
      <c r="K784" s="59" t="s">
        <v>1138</v>
      </c>
      <c r="L784" s="61">
        <v>95455828</v>
      </c>
      <c r="M784" s="59"/>
      <c r="N784" s="61">
        <v>95455828</v>
      </c>
      <c r="O784" s="61">
        <v>5437840968.3804808</v>
      </c>
    </row>
    <row r="785" spans="1:15" x14ac:dyDescent="0.25">
      <c r="A785" s="62">
        <v>46125</v>
      </c>
      <c r="B785">
        <v>4</v>
      </c>
      <c r="C785" t="s">
        <v>1144</v>
      </c>
      <c r="D785">
        <v>2044342</v>
      </c>
      <c r="E785" t="s">
        <v>1167</v>
      </c>
      <c r="F785" t="s">
        <v>1135</v>
      </c>
      <c r="G785" t="s">
        <v>1136</v>
      </c>
      <c r="H785" t="s">
        <v>1156</v>
      </c>
      <c r="I785" s="63">
        <v>46082</v>
      </c>
      <c r="J785" t="s">
        <v>503</v>
      </c>
      <c r="K785" t="s">
        <v>1138</v>
      </c>
      <c r="M785" s="64">
        <v>15558799</v>
      </c>
      <c r="N785" s="64">
        <v>-15558799</v>
      </c>
      <c r="O785" s="64">
        <v>5422282169.3804808</v>
      </c>
    </row>
    <row r="786" spans="1:15" x14ac:dyDescent="0.25">
      <c r="A786" s="58">
        <v>46125</v>
      </c>
      <c r="B786" s="59">
        <v>4</v>
      </c>
      <c r="C786" s="59" t="s">
        <v>1144</v>
      </c>
      <c r="D786" s="59">
        <v>2044344</v>
      </c>
      <c r="E786" s="59" t="s">
        <v>1167</v>
      </c>
      <c r="F786" s="59" t="s">
        <v>1135</v>
      </c>
      <c r="G786" s="59" t="s">
        <v>1136</v>
      </c>
      <c r="H786" s="59" t="s">
        <v>1156</v>
      </c>
      <c r="I786" s="60">
        <v>46082</v>
      </c>
      <c r="J786" s="59" t="s">
        <v>513</v>
      </c>
      <c r="K786" s="59" t="s">
        <v>1148</v>
      </c>
      <c r="L786" s="59"/>
      <c r="M786" s="61">
        <v>972500</v>
      </c>
      <c r="N786" s="61">
        <v>-972500</v>
      </c>
      <c r="O786" s="61">
        <v>5421309669.3804808</v>
      </c>
    </row>
    <row r="787" spans="1:15" x14ac:dyDescent="0.25">
      <c r="A787" s="62">
        <v>46125</v>
      </c>
      <c r="B787">
        <v>4</v>
      </c>
      <c r="C787" t="s">
        <v>1144</v>
      </c>
      <c r="D787">
        <v>2014162</v>
      </c>
      <c r="E787" t="s">
        <v>1167</v>
      </c>
      <c r="F787" t="s">
        <v>1174</v>
      </c>
      <c r="G787" t="s">
        <v>1136</v>
      </c>
      <c r="H787" t="s">
        <v>1162</v>
      </c>
      <c r="I787" s="63">
        <v>46082</v>
      </c>
      <c r="J787" t="s">
        <v>514</v>
      </c>
      <c r="K787" t="s">
        <v>1138</v>
      </c>
      <c r="M787" s="64">
        <v>3317441.39</v>
      </c>
      <c r="N787" s="64">
        <v>-3317441.39</v>
      </c>
      <c r="O787" s="64">
        <v>5417992227.9904804</v>
      </c>
    </row>
    <row r="788" spans="1:15" x14ac:dyDescent="0.25">
      <c r="A788" s="58">
        <v>46125</v>
      </c>
      <c r="B788" s="59">
        <v>4</v>
      </c>
      <c r="C788" s="59" t="s">
        <v>1144</v>
      </c>
      <c r="D788" s="59">
        <v>2014167</v>
      </c>
      <c r="E788" s="59" t="s">
        <v>1167</v>
      </c>
      <c r="F788" s="59" t="s">
        <v>1174</v>
      </c>
      <c r="G788" s="59" t="s">
        <v>1136</v>
      </c>
      <c r="H788" s="59" t="s">
        <v>1162</v>
      </c>
      <c r="I788" s="60">
        <v>46082</v>
      </c>
      <c r="J788" s="59" t="s">
        <v>514</v>
      </c>
      <c r="K788" s="59" t="s">
        <v>1170</v>
      </c>
      <c r="L788" s="59"/>
      <c r="M788" s="61">
        <v>913078.39</v>
      </c>
      <c r="N788" s="61">
        <v>-913078.39</v>
      </c>
      <c r="O788" s="61">
        <v>5417079149.6004801</v>
      </c>
    </row>
    <row r="789" spans="1:15" x14ac:dyDescent="0.25">
      <c r="A789" s="62">
        <v>46125</v>
      </c>
      <c r="B789">
        <v>4</v>
      </c>
      <c r="C789" t="s">
        <v>1144</v>
      </c>
      <c r="D789">
        <v>2014165</v>
      </c>
      <c r="E789" t="s">
        <v>1167</v>
      </c>
      <c r="F789" t="s">
        <v>1174</v>
      </c>
      <c r="G789" t="s">
        <v>1136</v>
      </c>
      <c r="H789" t="s">
        <v>1162</v>
      </c>
      <c r="I789" s="63">
        <v>46082</v>
      </c>
      <c r="J789" t="s">
        <v>515</v>
      </c>
      <c r="K789" t="s">
        <v>1172</v>
      </c>
      <c r="M789" s="64">
        <v>1759487.57</v>
      </c>
      <c r="N789" s="64">
        <v>-1759487.57</v>
      </c>
      <c r="O789" s="64">
        <v>5415319662.0304804</v>
      </c>
    </row>
    <row r="790" spans="1:15" x14ac:dyDescent="0.25">
      <c r="A790" s="58">
        <v>46125</v>
      </c>
      <c r="B790" s="59">
        <v>4</v>
      </c>
      <c r="C790" s="59" t="s">
        <v>1144</v>
      </c>
      <c r="D790" s="59">
        <v>2044405</v>
      </c>
      <c r="E790" s="59" t="s">
        <v>1167</v>
      </c>
      <c r="F790" s="59" t="s">
        <v>1135</v>
      </c>
      <c r="G790" s="59" t="s">
        <v>1136</v>
      </c>
      <c r="H790" s="59" t="s">
        <v>1159</v>
      </c>
      <c r="I790" s="60">
        <v>46082</v>
      </c>
      <c r="J790" s="59" t="s">
        <v>516</v>
      </c>
      <c r="K790" s="59" t="s">
        <v>1172</v>
      </c>
      <c r="L790" s="59"/>
      <c r="M790" s="61">
        <v>479070.7</v>
      </c>
      <c r="N790" s="61">
        <v>-479070.7</v>
      </c>
      <c r="O790" s="61">
        <v>5414840591.3304806</v>
      </c>
    </row>
    <row r="791" spans="1:15" x14ac:dyDescent="0.25">
      <c r="A791" s="62">
        <v>46125</v>
      </c>
      <c r="B791">
        <v>4</v>
      </c>
      <c r="C791" t="s">
        <v>1144</v>
      </c>
      <c r="D791">
        <v>1044212</v>
      </c>
      <c r="E791" t="s">
        <v>1134</v>
      </c>
      <c r="F791" t="s">
        <v>1135</v>
      </c>
      <c r="G791" t="s">
        <v>1136</v>
      </c>
      <c r="H791" t="s">
        <v>1151</v>
      </c>
      <c r="I791" s="63">
        <v>46082</v>
      </c>
      <c r="J791" t="s">
        <v>517</v>
      </c>
      <c r="K791" t="s">
        <v>1138</v>
      </c>
      <c r="L791" s="64">
        <v>38324733.939999998</v>
      </c>
      <c r="N791" s="64">
        <v>38324733.939999998</v>
      </c>
      <c r="O791" s="64">
        <v>5453165325.2704802</v>
      </c>
    </row>
    <row r="792" spans="1:15" x14ac:dyDescent="0.25">
      <c r="A792" s="58">
        <v>46125</v>
      </c>
      <c r="B792" s="59">
        <v>4</v>
      </c>
      <c r="C792" s="59" t="s">
        <v>1144</v>
      </c>
      <c r="D792" s="59">
        <v>1044462</v>
      </c>
      <c r="E792" s="59" t="s">
        <v>1134</v>
      </c>
      <c r="F792" s="59" t="s">
        <v>1135</v>
      </c>
      <c r="G792" s="59" t="s">
        <v>1136</v>
      </c>
      <c r="H792" s="59" t="s">
        <v>1140</v>
      </c>
      <c r="I792" s="60">
        <v>46082</v>
      </c>
      <c r="J792" s="59" t="s">
        <v>517</v>
      </c>
      <c r="K792" s="59" t="s">
        <v>1138</v>
      </c>
      <c r="L792" s="61">
        <v>1348357.04</v>
      </c>
      <c r="M792" s="59"/>
      <c r="N792" s="61">
        <v>1348357.04</v>
      </c>
      <c r="O792" s="61">
        <v>5454513682.3104801</v>
      </c>
    </row>
    <row r="793" spans="1:15" x14ac:dyDescent="0.25">
      <c r="A793" s="62">
        <v>46125</v>
      </c>
      <c r="B793">
        <v>4</v>
      </c>
      <c r="C793" t="s">
        <v>1144</v>
      </c>
      <c r="D793">
        <v>1044322</v>
      </c>
      <c r="E793" t="s">
        <v>1134</v>
      </c>
      <c r="F793" t="s">
        <v>1135</v>
      </c>
      <c r="G793" t="s">
        <v>1136</v>
      </c>
      <c r="H793" t="s">
        <v>1143</v>
      </c>
      <c r="I793" s="63">
        <v>46082</v>
      </c>
      <c r="J793" t="s">
        <v>517</v>
      </c>
      <c r="K793" t="s">
        <v>1138</v>
      </c>
      <c r="L793" s="64">
        <v>24936400</v>
      </c>
      <c r="N793" s="64">
        <v>24936400</v>
      </c>
      <c r="O793" s="64">
        <v>5479450082.3104801</v>
      </c>
    </row>
    <row r="794" spans="1:15" x14ac:dyDescent="0.25">
      <c r="A794" s="58">
        <v>46125</v>
      </c>
      <c r="B794" s="59">
        <v>4</v>
      </c>
      <c r="C794" s="59" t="s">
        <v>1144</v>
      </c>
      <c r="D794" s="59">
        <v>1044162</v>
      </c>
      <c r="E794" s="59" t="s">
        <v>1134</v>
      </c>
      <c r="F794" s="59" t="s">
        <v>1135</v>
      </c>
      <c r="G794" s="59" t="s">
        <v>1136</v>
      </c>
      <c r="H794" s="59" t="s">
        <v>1162</v>
      </c>
      <c r="I794" s="60">
        <v>46082</v>
      </c>
      <c r="J794" s="59" t="s">
        <v>517</v>
      </c>
      <c r="K794" s="59" t="s">
        <v>1138</v>
      </c>
      <c r="L794" s="61">
        <v>3317441.39</v>
      </c>
      <c r="M794" s="59"/>
      <c r="N794" s="61">
        <v>3317441.39</v>
      </c>
      <c r="O794" s="61">
        <v>5482767523.7004805</v>
      </c>
    </row>
    <row r="795" spans="1:15" x14ac:dyDescent="0.25">
      <c r="A795" s="62">
        <v>46125</v>
      </c>
      <c r="B795">
        <v>4</v>
      </c>
      <c r="C795" t="s">
        <v>1144</v>
      </c>
      <c r="D795">
        <v>1044262</v>
      </c>
      <c r="E795" t="s">
        <v>1134</v>
      </c>
      <c r="F795" t="s">
        <v>1135</v>
      </c>
      <c r="G795" t="s">
        <v>1136</v>
      </c>
      <c r="H795" t="s">
        <v>1145</v>
      </c>
      <c r="I795" s="63">
        <v>46082</v>
      </c>
      <c r="J795" t="s">
        <v>517</v>
      </c>
      <c r="K795" t="s">
        <v>1138</v>
      </c>
      <c r="L795" s="64">
        <v>8689950</v>
      </c>
      <c r="N795" s="64">
        <v>8689950</v>
      </c>
      <c r="O795" s="64">
        <v>5491457473.7004805</v>
      </c>
    </row>
    <row r="796" spans="1:15" x14ac:dyDescent="0.25">
      <c r="A796" s="58">
        <v>46125</v>
      </c>
      <c r="B796" s="59">
        <v>4</v>
      </c>
      <c r="C796" s="59" t="s">
        <v>1144</v>
      </c>
      <c r="D796" s="59">
        <v>1044272</v>
      </c>
      <c r="E796" s="59" t="s">
        <v>1134</v>
      </c>
      <c r="F796" s="59" t="s">
        <v>1135</v>
      </c>
      <c r="G796" s="59" t="s">
        <v>1136</v>
      </c>
      <c r="H796" s="59" t="s">
        <v>1154</v>
      </c>
      <c r="I796" s="60">
        <v>46082</v>
      </c>
      <c r="J796" s="59" t="s">
        <v>517</v>
      </c>
      <c r="K796" s="59" t="s">
        <v>1138</v>
      </c>
      <c r="L796" s="61">
        <v>4399127.8600000003</v>
      </c>
      <c r="M796" s="59"/>
      <c r="N796" s="61">
        <v>4399127.8600000003</v>
      </c>
      <c r="O796" s="61">
        <v>5495856601.5604801</v>
      </c>
    </row>
    <row r="797" spans="1:15" x14ac:dyDescent="0.25">
      <c r="A797" s="62">
        <v>46125</v>
      </c>
      <c r="B797">
        <v>4</v>
      </c>
      <c r="C797" t="s">
        <v>1144</v>
      </c>
      <c r="D797">
        <v>1044282</v>
      </c>
      <c r="E797" t="s">
        <v>1134</v>
      </c>
      <c r="F797" t="s">
        <v>1135</v>
      </c>
      <c r="G797" t="s">
        <v>1136</v>
      </c>
      <c r="H797" t="s">
        <v>1155</v>
      </c>
      <c r="I797" s="63">
        <v>46082</v>
      </c>
      <c r="J797" t="s">
        <v>517</v>
      </c>
      <c r="K797" t="s">
        <v>1138</v>
      </c>
      <c r="L797" s="64">
        <v>52530294.200000003</v>
      </c>
      <c r="N797" s="64">
        <v>52530294.200000003</v>
      </c>
      <c r="O797" s="64">
        <v>5548386895.7604799</v>
      </c>
    </row>
    <row r="798" spans="1:15" x14ac:dyDescent="0.25">
      <c r="A798" s="58">
        <v>46125</v>
      </c>
      <c r="B798" s="59">
        <v>4</v>
      </c>
      <c r="C798" s="59" t="s">
        <v>1144</v>
      </c>
      <c r="D798" s="59">
        <v>1044342</v>
      </c>
      <c r="E798" s="59" t="s">
        <v>1134</v>
      </c>
      <c r="F798" s="59" t="s">
        <v>1135</v>
      </c>
      <c r="G798" s="59" t="s">
        <v>1136</v>
      </c>
      <c r="H798" s="59" t="s">
        <v>1156</v>
      </c>
      <c r="I798" s="60">
        <v>46082</v>
      </c>
      <c r="J798" s="59" t="s">
        <v>517</v>
      </c>
      <c r="K798" s="59" t="s">
        <v>1138</v>
      </c>
      <c r="L798" s="61">
        <v>15558798.84</v>
      </c>
      <c r="M798" s="59"/>
      <c r="N798" s="61">
        <v>15558798.84</v>
      </c>
      <c r="O798" s="61">
        <v>5563945694.6004801</v>
      </c>
    </row>
    <row r="799" spans="1:15" x14ac:dyDescent="0.25">
      <c r="A799" s="62">
        <v>46125</v>
      </c>
      <c r="B799">
        <v>4</v>
      </c>
      <c r="C799" t="s">
        <v>1144</v>
      </c>
      <c r="D799">
        <v>1044352</v>
      </c>
      <c r="E799" t="s">
        <v>1134</v>
      </c>
      <c r="F799" t="s">
        <v>1135</v>
      </c>
      <c r="G799" t="s">
        <v>1136</v>
      </c>
      <c r="H799" t="s">
        <v>1157</v>
      </c>
      <c r="I799" s="63">
        <v>46082</v>
      </c>
      <c r="J799" t="s">
        <v>517</v>
      </c>
      <c r="K799" t="s">
        <v>1138</v>
      </c>
      <c r="L799" s="64">
        <v>6316103.4400000004</v>
      </c>
      <c r="N799" s="64">
        <v>6316103.4400000004</v>
      </c>
      <c r="O799" s="64">
        <v>5570261798.0404797</v>
      </c>
    </row>
    <row r="800" spans="1:15" x14ac:dyDescent="0.25">
      <c r="A800" s="58">
        <v>46125</v>
      </c>
      <c r="B800" s="59">
        <v>4</v>
      </c>
      <c r="C800" s="59" t="s">
        <v>1144</v>
      </c>
      <c r="D800" s="59">
        <v>1044362</v>
      </c>
      <c r="E800" s="59" t="s">
        <v>1134</v>
      </c>
      <c r="F800" s="59" t="s">
        <v>1135</v>
      </c>
      <c r="G800" s="59" t="s">
        <v>1136</v>
      </c>
      <c r="H800" s="59" t="s">
        <v>1158</v>
      </c>
      <c r="I800" s="60">
        <v>46082</v>
      </c>
      <c r="J800" s="59" t="s">
        <v>517</v>
      </c>
      <c r="K800" s="59" t="s">
        <v>1138</v>
      </c>
      <c r="L800" s="61">
        <v>6759142.6799999997</v>
      </c>
      <c r="M800" s="59"/>
      <c r="N800" s="61">
        <v>6759142.6799999997</v>
      </c>
      <c r="O800" s="61">
        <v>5577020940.72048</v>
      </c>
    </row>
    <row r="801" spans="1:15" x14ac:dyDescent="0.25">
      <c r="A801" s="62">
        <v>46125</v>
      </c>
      <c r="B801">
        <v>4</v>
      </c>
      <c r="C801" t="s">
        <v>1144</v>
      </c>
      <c r="D801">
        <v>1044372</v>
      </c>
      <c r="E801" t="s">
        <v>1134</v>
      </c>
      <c r="F801" t="s">
        <v>1135</v>
      </c>
      <c r="G801" t="s">
        <v>1136</v>
      </c>
      <c r="H801" t="s">
        <v>1141</v>
      </c>
      <c r="I801" s="63">
        <v>46082</v>
      </c>
      <c r="J801" t="s">
        <v>517</v>
      </c>
      <c r="K801" t="s">
        <v>1138</v>
      </c>
      <c r="L801" s="64">
        <v>53223072.969999999</v>
      </c>
      <c r="N801" s="64">
        <v>53223072.969999999</v>
      </c>
      <c r="O801" s="64">
        <v>5630244013.6904802</v>
      </c>
    </row>
    <row r="802" spans="1:15" x14ac:dyDescent="0.25">
      <c r="A802" s="58">
        <v>46125</v>
      </c>
      <c r="B802" s="59">
        <v>4</v>
      </c>
      <c r="C802" s="59" t="s">
        <v>1144</v>
      </c>
      <c r="D802" s="59">
        <v>1044402</v>
      </c>
      <c r="E802" s="59" t="s">
        <v>1134</v>
      </c>
      <c r="F802" s="59" t="s">
        <v>1135</v>
      </c>
      <c r="G802" s="59" t="s">
        <v>1136</v>
      </c>
      <c r="H802" s="59" t="s">
        <v>1159</v>
      </c>
      <c r="I802" s="60">
        <v>46082</v>
      </c>
      <c r="J802" s="59" t="s">
        <v>517</v>
      </c>
      <c r="K802" s="59" t="s">
        <v>1138</v>
      </c>
      <c r="L802" s="61">
        <v>21166842.399999999</v>
      </c>
      <c r="M802" s="59"/>
      <c r="N802" s="61">
        <v>21166842.399999999</v>
      </c>
      <c r="O802" s="61">
        <v>5651410856.0904799</v>
      </c>
    </row>
    <row r="803" spans="1:15" x14ac:dyDescent="0.25">
      <c r="A803" s="62">
        <v>46125</v>
      </c>
      <c r="B803">
        <v>4</v>
      </c>
      <c r="C803" t="s">
        <v>1144</v>
      </c>
      <c r="D803">
        <v>1044412</v>
      </c>
      <c r="E803" t="s">
        <v>1134</v>
      </c>
      <c r="F803" t="s">
        <v>1135</v>
      </c>
      <c r="G803" t="s">
        <v>1136</v>
      </c>
      <c r="H803" t="s">
        <v>1160</v>
      </c>
      <c r="I803" s="63">
        <v>46082</v>
      </c>
      <c r="J803" t="s">
        <v>517</v>
      </c>
      <c r="K803" t="s">
        <v>1138</v>
      </c>
      <c r="L803" s="64">
        <v>7416598.7199999997</v>
      </c>
      <c r="N803" s="64">
        <v>7416598.7199999997</v>
      </c>
      <c r="O803" s="64">
        <v>5658827454.8104801</v>
      </c>
    </row>
    <row r="804" spans="1:15" x14ac:dyDescent="0.25">
      <c r="A804" s="58">
        <v>46125</v>
      </c>
      <c r="B804" s="59">
        <v>4</v>
      </c>
      <c r="C804" s="59" t="s">
        <v>1144</v>
      </c>
      <c r="D804" s="59">
        <v>1044422</v>
      </c>
      <c r="E804" s="59" t="s">
        <v>1134</v>
      </c>
      <c r="F804" s="59" t="s">
        <v>1135</v>
      </c>
      <c r="G804" s="59" t="s">
        <v>1136</v>
      </c>
      <c r="H804" s="59" t="s">
        <v>1165</v>
      </c>
      <c r="I804" s="60">
        <v>46082</v>
      </c>
      <c r="J804" s="59" t="s">
        <v>517</v>
      </c>
      <c r="K804" s="59" t="s">
        <v>1138</v>
      </c>
      <c r="L804" s="61">
        <v>74124851.140000001</v>
      </c>
      <c r="M804" s="59"/>
      <c r="N804" s="61">
        <v>74124851.140000001</v>
      </c>
      <c r="O804" s="61">
        <v>5732952305.9504805</v>
      </c>
    </row>
    <row r="805" spans="1:15" x14ac:dyDescent="0.25">
      <c r="A805" s="62">
        <v>46125</v>
      </c>
      <c r="B805">
        <v>4</v>
      </c>
      <c r="C805" t="s">
        <v>1144</v>
      </c>
      <c r="D805">
        <v>1044122</v>
      </c>
      <c r="E805" t="s">
        <v>1134</v>
      </c>
      <c r="F805" t="s">
        <v>1135</v>
      </c>
      <c r="G805" t="s">
        <v>1136</v>
      </c>
      <c r="H805" t="s">
        <v>1175</v>
      </c>
      <c r="I805" s="63">
        <v>46082</v>
      </c>
      <c r="J805" t="s">
        <v>518</v>
      </c>
      <c r="K805" t="s">
        <v>1138</v>
      </c>
      <c r="L805" s="64">
        <v>91350012</v>
      </c>
      <c r="N805" s="64">
        <v>91350012</v>
      </c>
      <c r="O805" s="64">
        <v>5824302317.9504805</v>
      </c>
    </row>
    <row r="806" spans="1:15" x14ac:dyDescent="0.25">
      <c r="A806" s="58">
        <v>46126</v>
      </c>
      <c r="B806" s="59">
        <v>4</v>
      </c>
      <c r="C806" s="59" t="s">
        <v>1161</v>
      </c>
      <c r="D806" s="59">
        <v>2044403</v>
      </c>
      <c r="E806" s="59" t="s">
        <v>1167</v>
      </c>
      <c r="F806" s="59" t="s">
        <v>1135</v>
      </c>
      <c r="G806" s="59" t="s">
        <v>1136</v>
      </c>
      <c r="H806" s="59" t="s">
        <v>1159</v>
      </c>
      <c r="I806" s="60">
        <v>46082</v>
      </c>
      <c r="J806" s="59" t="s">
        <v>520</v>
      </c>
      <c r="K806" s="59" t="s">
        <v>1146</v>
      </c>
      <c r="L806" s="59"/>
      <c r="M806" s="61">
        <v>22627848.879999999</v>
      </c>
      <c r="N806" s="61">
        <v>-22627848.879999999</v>
      </c>
      <c r="O806" s="61">
        <v>5810442288.8104801</v>
      </c>
    </row>
    <row r="807" spans="1:15" x14ac:dyDescent="0.25">
      <c r="A807" s="62">
        <v>46126</v>
      </c>
      <c r="B807">
        <v>4</v>
      </c>
      <c r="C807" t="s">
        <v>1161</v>
      </c>
      <c r="D807">
        <v>2044404</v>
      </c>
      <c r="E807" t="s">
        <v>1167</v>
      </c>
      <c r="F807" t="s">
        <v>1135</v>
      </c>
      <c r="G807" t="s">
        <v>1136</v>
      </c>
      <c r="H807" t="s">
        <v>1159</v>
      </c>
      <c r="I807" s="63">
        <v>46082</v>
      </c>
      <c r="J807" t="s">
        <v>521</v>
      </c>
      <c r="K807" t="s">
        <v>1148</v>
      </c>
      <c r="M807" s="64">
        <v>27879631.93</v>
      </c>
      <c r="N807" s="64">
        <v>-27879631.93</v>
      </c>
      <c r="O807" s="64">
        <v>5782562656.8804798</v>
      </c>
    </row>
    <row r="808" spans="1:15" x14ac:dyDescent="0.25">
      <c r="A808" s="58">
        <v>46126</v>
      </c>
      <c r="B808" s="59">
        <v>4</v>
      </c>
      <c r="C808" s="59" t="s">
        <v>1161</v>
      </c>
      <c r="D808" s="59">
        <v>2044406</v>
      </c>
      <c r="E808" s="59" t="s">
        <v>1167</v>
      </c>
      <c r="F808" s="59" t="s">
        <v>1135</v>
      </c>
      <c r="G808" s="59" t="s">
        <v>1136</v>
      </c>
      <c r="H808" s="59" t="s">
        <v>1159</v>
      </c>
      <c r="I808" s="60">
        <v>46082</v>
      </c>
      <c r="J808" s="59" t="s">
        <v>521</v>
      </c>
      <c r="K808" s="59" t="s">
        <v>1150</v>
      </c>
      <c r="L808" s="59"/>
      <c r="M808" s="61">
        <v>1128373.03</v>
      </c>
      <c r="N808" s="61">
        <v>-1128373.03</v>
      </c>
      <c r="O808" s="61">
        <v>5781434283.8504801</v>
      </c>
    </row>
    <row r="809" spans="1:15" x14ac:dyDescent="0.25">
      <c r="A809" s="62">
        <v>46126</v>
      </c>
      <c r="B809">
        <v>4</v>
      </c>
      <c r="C809" t="s">
        <v>1161</v>
      </c>
      <c r="D809">
        <v>2044404</v>
      </c>
      <c r="E809" t="s">
        <v>1167</v>
      </c>
      <c r="F809" t="s">
        <v>1135</v>
      </c>
      <c r="G809" t="s">
        <v>1136</v>
      </c>
      <c r="H809" t="s">
        <v>1159</v>
      </c>
      <c r="I809" s="63">
        <v>46082</v>
      </c>
      <c r="J809" t="s">
        <v>521</v>
      </c>
      <c r="K809" t="s">
        <v>1148</v>
      </c>
      <c r="M809" s="64">
        <v>8074345.3099999996</v>
      </c>
      <c r="N809" s="64">
        <v>-8074345.3099999996</v>
      </c>
      <c r="O809" s="64">
        <v>5773359938.5404797</v>
      </c>
    </row>
    <row r="810" spans="1:15" x14ac:dyDescent="0.25">
      <c r="A810" s="58">
        <v>46126</v>
      </c>
      <c r="B810" s="59">
        <v>4</v>
      </c>
      <c r="C810" s="59" t="s">
        <v>1161</v>
      </c>
      <c r="D810" s="59">
        <v>2044401</v>
      </c>
      <c r="E810" s="59" t="s">
        <v>1167</v>
      </c>
      <c r="F810" s="59" t="s">
        <v>1135</v>
      </c>
      <c r="G810" s="59" t="s">
        <v>1136</v>
      </c>
      <c r="H810" s="59" t="s">
        <v>1159</v>
      </c>
      <c r="I810" s="60">
        <v>46082</v>
      </c>
      <c r="J810" s="59" t="s">
        <v>522</v>
      </c>
      <c r="K810" s="59" t="s">
        <v>1142</v>
      </c>
      <c r="L810" s="59"/>
      <c r="M810" s="61">
        <v>25238893.5</v>
      </c>
      <c r="N810" s="61">
        <v>-25238893.5</v>
      </c>
      <c r="O810" s="61">
        <v>5748121045.0404797</v>
      </c>
    </row>
    <row r="811" spans="1:15" x14ac:dyDescent="0.25">
      <c r="A811" s="62">
        <v>46126</v>
      </c>
      <c r="B811">
        <v>4</v>
      </c>
      <c r="C811" t="s">
        <v>1161</v>
      </c>
      <c r="D811">
        <v>2044402</v>
      </c>
      <c r="E811" t="s">
        <v>1167</v>
      </c>
      <c r="F811" t="s">
        <v>1135</v>
      </c>
      <c r="G811" t="s">
        <v>1136</v>
      </c>
      <c r="H811" t="s">
        <v>1159</v>
      </c>
      <c r="I811" s="63">
        <v>46082</v>
      </c>
      <c r="J811" t="s">
        <v>523</v>
      </c>
      <c r="K811" t="s">
        <v>1138</v>
      </c>
      <c r="M811" s="64">
        <v>21166842.403800011</v>
      </c>
      <c r="N811" s="64">
        <v>-21166842.403800011</v>
      </c>
      <c r="O811" s="64">
        <v>5726954202.6366796</v>
      </c>
    </row>
    <row r="812" spans="1:15" x14ac:dyDescent="0.25">
      <c r="A812" s="58">
        <v>46126</v>
      </c>
      <c r="B812" s="59">
        <v>4</v>
      </c>
      <c r="C812" s="59" t="s">
        <v>1161</v>
      </c>
      <c r="D812" s="59">
        <v>2014361</v>
      </c>
      <c r="E812" s="59" t="s">
        <v>1167</v>
      </c>
      <c r="F812" s="59" t="s">
        <v>1174</v>
      </c>
      <c r="G812" s="59" t="s">
        <v>1136</v>
      </c>
      <c r="H812" s="59" t="s">
        <v>1158</v>
      </c>
      <c r="I812" s="60">
        <v>46082</v>
      </c>
      <c r="J812" s="59" t="s">
        <v>524</v>
      </c>
      <c r="K812" s="59" t="s">
        <v>1142</v>
      </c>
      <c r="L812" s="59"/>
      <c r="M812" s="61">
        <v>10507191.6</v>
      </c>
      <c r="N812" s="61">
        <v>-10507191.6</v>
      </c>
      <c r="O812" s="61">
        <v>5716447011.0366793</v>
      </c>
    </row>
    <row r="813" spans="1:15" x14ac:dyDescent="0.25">
      <c r="A813" s="62">
        <v>46126</v>
      </c>
      <c r="B813">
        <v>4</v>
      </c>
      <c r="C813" t="s">
        <v>1161</v>
      </c>
      <c r="D813">
        <v>2014363</v>
      </c>
      <c r="E813" t="s">
        <v>1167</v>
      </c>
      <c r="F813" t="s">
        <v>1174</v>
      </c>
      <c r="G813" t="s">
        <v>1136</v>
      </c>
      <c r="H813" t="s">
        <v>1158</v>
      </c>
      <c r="I813" s="63">
        <v>46082</v>
      </c>
      <c r="J813" t="s">
        <v>525</v>
      </c>
      <c r="K813" t="s">
        <v>1146</v>
      </c>
      <c r="M813" s="64">
        <v>12772897.24</v>
      </c>
      <c r="N813" s="64">
        <v>-12772897.24</v>
      </c>
      <c r="O813" s="64">
        <v>5703674113.7966785</v>
      </c>
    </row>
    <row r="814" spans="1:15" x14ac:dyDescent="0.25">
      <c r="A814" s="58">
        <v>46126</v>
      </c>
      <c r="B814" s="59">
        <v>4</v>
      </c>
      <c r="C814" s="59" t="s">
        <v>1161</v>
      </c>
      <c r="D814" s="59">
        <v>2014364</v>
      </c>
      <c r="E814" s="59" t="s">
        <v>1167</v>
      </c>
      <c r="F814" s="59" t="s">
        <v>1174</v>
      </c>
      <c r="G814" s="59" t="s">
        <v>1136</v>
      </c>
      <c r="H814" s="59" t="s">
        <v>1158</v>
      </c>
      <c r="I814" s="60">
        <v>46082</v>
      </c>
      <c r="J814" s="59" t="s">
        <v>526</v>
      </c>
      <c r="K814" s="59" t="s">
        <v>1148</v>
      </c>
      <c r="L814" s="59"/>
      <c r="M814" s="61">
        <v>28530481.109999999</v>
      </c>
      <c r="N814" s="61">
        <v>-28530481.109999999</v>
      </c>
      <c r="O814" s="61">
        <v>5675143632.6866798</v>
      </c>
    </row>
    <row r="815" spans="1:15" x14ac:dyDescent="0.25">
      <c r="A815" s="62">
        <v>46126</v>
      </c>
      <c r="B815">
        <v>4</v>
      </c>
      <c r="C815" t="s">
        <v>1161</v>
      </c>
      <c r="D815">
        <v>2014171</v>
      </c>
      <c r="E815" t="s">
        <v>1167</v>
      </c>
      <c r="F815" t="s">
        <v>1174</v>
      </c>
      <c r="G815" t="s">
        <v>1136</v>
      </c>
      <c r="H815" t="s">
        <v>1147</v>
      </c>
      <c r="I815" s="63">
        <v>46082</v>
      </c>
      <c r="J815" t="s">
        <v>527</v>
      </c>
      <c r="K815" t="s">
        <v>1142</v>
      </c>
      <c r="M815" s="64">
        <v>11359032.560000001</v>
      </c>
      <c r="N815" s="64">
        <v>-11359032.560000001</v>
      </c>
      <c r="O815" s="64">
        <v>5663784600.1266794</v>
      </c>
    </row>
    <row r="816" spans="1:15" x14ac:dyDescent="0.25">
      <c r="A816" s="58">
        <v>46126</v>
      </c>
      <c r="B816" s="59">
        <v>4</v>
      </c>
      <c r="C816" s="59" t="s">
        <v>1161</v>
      </c>
      <c r="D816" s="59">
        <v>2014173</v>
      </c>
      <c r="E816" s="59" t="s">
        <v>1167</v>
      </c>
      <c r="F816" s="59" t="s">
        <v>1174</v>
      </c>
      <c r="G816" s="59" t="s">
        <v>1136</v>
      </c>
      <c r="H816" s="59" t="s">
        <v>1147</v>
      </c>
      <c r="I816" s="60">
        <v>46082</v>
      </c>
      <c r="J816" s="59" t="s">
        <v>528</v>
      </c>
      <c r="K816" s="59" t="s">
        <v>1146</v>
      </c>
      <c r="L816" s="59"/>
      <c r="M816" s="61">
        <v>8886825.7100000009</v>
      </c>
      <c r="N816" s="61">
        <v>-8886825.7100000009</v>
      </c>
      <c r="O816" s="61">
        <v>5654897774.4166794</v>
      </c>
    </row>
    <row r="817" spans="1:15" x14ac:dyDescent="0.25">
      <c r="A817" s="62">
        <v>46126</v>
      </c>
      <c r="B817">
        <v>4</v>
      </c>
      <c r="C817" t="s">
        <v>1161</v>
      </c>
      <c r="D817">
        <v>2014174</v>
      </c>
      <c r="E817" t="s">
        <v>1167</v>
      </c>
      <c r="F817" t="s">
        <v>1174</v>
      </c>
      <c r="G817" t="s">
        <v>1136</v>
      </c>
      <c r="H817" t="s">
        <v>1147</v>
      </c>
      <c r="I817" s="63">
        <v>46082</v>
      </c>
      <c r="J817" t="s">
        <v>529</v>
      </c>
      <c r="K817" t="s">
        <v>1148</v>
      </c>
      <c r="M817" s="64">
        <v>15705900</v>
      </c>
      <c r="N817" s="64">
        <v>-15705900</v>
      </c>
      <c r="O817" s="64">
        <v>5639191874.4166794</v>
      </c>
    </row>
    <row r="818" spans="1:15" x14ac:dyDescent="0.25">
      <c r="A818" s="58">
        <v>46126</v>
      </c>
      <c r="B818" s="59">
        <v>4</v>
      </c>
      <c r="C818" s="59" t="s">
        <v>1161</v>
      </c>
      <c r="D818" s="59">
        <v>2014161</v>
      </c>
      <c r="E818" s="59" t="s">
        <v>1167</v>
      </c>
      <c r="F818" s="59" t="s">
        <v>1174</v>
      </c>
      <c r="G818" s="59" t="s">
        <v>1136</v>
      </c>
      <c r="H818" s="59" t="s">
        <v>1162</v>
      </c>
      <c r="I818" s="60">
        <v>46082</v>
      </c>
      <c r="J818" s="59" t="s">
        <v>530</v>
      </c>
      <c r="K818" s="59" t="s">
        <v>1142</v>
      </c>
      <c r="L818" s="59"/>
      <c r="M818" s="61">
        <v>34735151</v>
      </c>
      <c r="N818" s="61">
        <v>-34735151</v>
      </c>
      <c r="O818" s="61">
        <v>5604456723.4166794</v>
      </c>
    </row>
    <row r="819" spans="1:15" x14ac:dyDescent="0.25">
      <c r="A819" s="62">
        <v>46126</v>
      </c>
      <c r="B819">
        <v>4</v>
      </c>
      <c r="C819" t="s">
        <v>1161</v>
      </c>
      <c r="D819">
        <v>2014163</v>
      </c>
      <c r="E819" t="s">
        <v>1167</v>
      </c>
      <c r="F819" t="s">
        <v>1174</v>
      </c>
      <c r="G819" t="s">
        <v>1136</v>
      </c>
      <c r="H819" t="s">
        <v>1162</v>
      </c>
      <c r="I819" s="63">
        <v>46082</v>
      </c>
      <c r="J819" t="s">
        <v>531</v>
      </c>
      <c r="K819" t="s">
        <v>1146</v>
      </c>
      <c r="M819" s="64">
        <v>39847409.890000001</v>
      </c>
      <c r="N819" s="64">
        <v>-39847409.890000001</v>
      </c>
      <c r="O819" s="64">
        <v>5599344464.526679</v>
      </c>
    </row>
    <row r="820" spans="1:15" x14ac:dyDescent="0.25">
      <c r="A820" s="58">
        <v>46127</v>
      </c>
      <c r="B820" s="59">
        <v>4</v>
      </c>
      <c r="C820" s="59" t="s">
        <v>1166</v>
      </c>
      <c r="D820" s="59">
        <v>2044463</v>
      </c>
      <c r="E820" s="59" t="s">
        <v>1167</v>
      </c>
      <c r="F820" s="59" t="s">
        <v>1135</v>
      </c>
      <c r="G820" s="59" t="s">
        <v>1136</v>
      </c>
      <c r="H820" s="59" t="s">
        <v>1140</v>
      </c>
      <c r="I820" s="60">
        <v>46082</v>
      </c>
      <c r="J820" s="59" t="s">
        <v>534</v>
      </c>
      <c r="K820" s="59" t="s">
        <v>1146</v>
      </c>
      <c r="L820" s="59"/>
      <c r="M820" s="61">
        <v>3362259.34</v>
      </c>
      <c r="N820" s="61">
        <v>-3362259.34</v>
      </c>
      <c r="O820" s="61">
        <v>5541789925.2366791</v>
      </c>
    </row>
    <row r="821" spans="1:15" x14ac:dyDescent="0.25">
      <c r="A821" s="62">
        <v>46127</v>
      </c>
      <c r="B821">
        <v>4</v>
      </c>
      <c r="C821" t="s">
        <v>1166</v>
      </c>
      <c r="D821">
        <v>2014362</v>
      </c>
      <c r="E821" t="s">
        <v>1167</v>
      </c>
      <c r="F821" t="s">
        <v>1174</v>
      </c>
      <c r="G821" t="s">
        <v>1136</v>
      </c>
      <c r="H821" t="s">
        <v>1158</v>
      </c>
      <c r="I821" s="63">
        <v>46082</v>
      </c>
      <c r="J821" t="s">
        <v>535</v>
      </c>
      <c r="K821" t="s">
        <v>1138</v>
      </c>
      <c r="M821" s="64">
        <v>6759142.6699999999</v>
      </c>
      <c r="N821" s="64">
        <v>-6759142.6699999999</v>
      </c>
      <c r="O821" s="64">
        <v>5535030782.566679</v>
      </c>
    </row>
    <row r="822" spans="1:15" x14ac:dyDescent="0.25">
      <c r="A822" s="58">
        <v>46127</v>
      </c>
      <c r="B822" s="59">
        <v>4</v>
      </c>
      <c r="C822" s="59" t="s">
        <v>1166</v>
      </c>
      <c r="D822" s="59">
        <v>2044122</v>
      </c>
      <c r="E822" s="59" t="s">
        <v>1167</v>
      </c>
      <c r="F822" s="59" t="s">
        <v>1135</v>
      </c>
      <c r="G822" s="59" t="s">
        <v>1136</v>
      </c>
      <c r="H822" s="59" t="s">
        <v>1175</v>
      </c>
      <c r="I822" s="60">
        <v>46082</v>
      </c>
      <c r="J822" s="59" t="s">
        <v>536</v>
      </c>
      <c r="K822" s="59" t="s">
        <v>1138</v>
      </c>
      <c r="L822" s="59"/>
      <c r="M822" s="61">
        <v>16069881.9</v>
      </c>
      <c r="N822" s="61">
        <v>-16069881.9</v>
      </c>
      <c r="O822" s="61">
        <v>5518960900.6666794</v>
      </c>
    </row>
    <row r="823" spans="1:15" x14ac:dyDescent="0.25">
      <c r="A823" s="62">
        <v>46127</v>
      </c>
      <c r="B823">
        <v>4</v>
      </c>
      <c r="C823" t="s">
        <v>1166</v>
      </c>
      <c r="D823">
        <v>2044122</v>
      </c>
      <c r="E823" t="s">
        <v>1167</v>
      </c>
      <c r="F823" t="s">
        <v>1135</v>
      </c>
      <c r="G823" t="s">
        <v>1136</v>
      </c>
      <c r="H823" t="s">
        <v>1175</v>
      </c>
      <c r="I823" s="63">
        <v>46082</v>
      </c>
      <c r="J823" t="s">
        <v>537</v>
      </c>
      <c r="K823" t="s">
        <v>1138</v>
      </c>
      <c r="M823" s="64">
        <v>14150321.199999999</v>
      </c>
      <c r="N823" s="64">
        <v>-14150321.199999999</v>
      </c>
      <c r="O823" s="64">
        <v>5504810579.4666796</v>
      </c>
    </row>
    <row r="824" spans="1:15" x14ac:dyDescent="0.25">
      <c r="A824" s="58">
        <v>46128</v>
      </c>
      <c r="B824" s="59">
        <v>4</v>
      </c>
      <c r="C824" s="59" t="s">
        <v>1171</v>
      </c>
      <c r="D824" s="59">
        <v>2014263</v>
      </c>
      <c r="E824" s="59" t="s">
        <v>1167</v>
      </c>
      <c r="F824" s="59" t="s">
        <v>1174</v>
      </c>
      <c r="G824" s="59" t="s">
        <v>1136</v>
      </c>
      <c r="H824" s="59" t="s">
        <v>1145</v>
      </c>
      <c r="I824" s="60">
        <v>46082</v>
      </c>
      <c r="J824" s="59" t="s">
        <v>538</v>
      </c>
      <c r="K824" s="59" t="s">
        <v>1146</v>
      </c>
      <c r="L824" s="59"/>
      <c r="M824" s="61">
        <v>7877681.4299999997</v>
      </c>
      <c r="N824" s="61">
        <v>-7877681.4299999997</v>
      </c>
      <c r="O824" s="61">
        <v>5511083219.2366791</v>
      </c>
    </row>
    <row r="825" spans="1:15" x14ac:dyDescent="0.25">
      <c r="A825" s="62">
        <v>46128</v>
      </c>
      <c r="B825">
        <v>4</v>
      </c>
      <c r="C825" t="s">
        <v>1171</v>
      </c>
      <c r="D825">
        <v>2014353</v>
      </c>
      <c r="E825" t="s">
        <v>1167</v>
      </c>
      <c r="F825" t="s">
        <v>1174</v>
      </c>
      <c r="G825" t="s">
        <v>1136</v>
      </c>
      <c r="H825" t="s">
        <v>1157</v>
      </c>
      <c r="I825" s="63">
        <v>46082</v>
      </c>
      <c r="J825" t="s">
        <v>539</v>
      </c>
      <c r="K825" t="s">
        <v>1146</v>
      </c>
      <c r="M825" s="64">
        <v>10314923.52</v>
      </c>
      <c r="N825" s="64">
        <v>-10314923.52</v>
      </c>
      <c r="O825" s="64">
        <v>5500768295.7166786</v>
      </c>
    </row>
    <row r="826" spans="1:15" x14ac:dyDescent="0.25">
      <c r="A826" s="58">
        <v>46128</v>
      </c>
      <c r="B826" s="59">
        <v>4</v>
      </c>
      <c r="C826" s="59" t="s">
        <v>1171</v>
      </c>
      <c r="D826" s="59">
        <v>2044122</v>
      </c>
      <c r="E826" s="59" t="s">
        <v>1167</v>
      </c>
      <c r="F826" s="59" t="s">
        <v>1135</v>
      </c>
      <c r="G826" s="59" t="s">
        <v>1136</v>
      </c>
      <c r="H826" s="59" t="s">
        <v>1175</v>
      </c>
      <c r="I826" s="60">
        <v>46082</v>
      </c>
      <c r="J826" s="59" t="s">
        <v>540</v>
      </c>
      <c r="K826" s="59" t="s">
        <v>1138</v>
      </c>
      <c r="L826" s="59"/>
      <c r="M826" s="61">
        <v>16917532.199999999</v>
      </c>
      <c r="N826" s="61">
        <v>-16917532.199999999</v>
      </c>
      <c r="O826" s="61">
        <v>5483850763.5166788</v>
      </c>
    </row>
    <row r="827" spans="1:15" x14ac:dyDescent="0.25">
      <c r="A827" s="62">
        <v>46128</v>
      </c>
      <c r="B827">
        <v>4</v>
      </c>
      <c r="C827" t="s">
        <v>1171</v>
      </c>
      <c r="D827">
        <v>2044122</v>
      </c>
      <c r="E827" t="s">
        <v>1167</v>
      </c>
      <c r="F827" t="s">
        <v>1135</v>
      </c>
      <c r="G827" t="s">
        <v>1136</v>
      </c>
      <c r="H827" t="s">
        <v>1175</v>
      </c>
      <c r="I827" s="63">
        <v>46082</v>
      </c>
      <c r="J827" t="s">
        <v>541</v>
      </c>
      <c r="K827" t="s">
        <v>1138</v>
      </c>
      <c r="M827" s="64">
        <v>15612739.300000001</v>
      </c>
      <c r="N827" s="64">
        <v>-15612739.300000001</v>
      </c>
      <c r="O827" s="64">
        <v>5468238024.2166786</v>
      </c>
    </row>
    <row r="828" spans="1:15" x14ac:dyDescent="0.25">
      <c r="A828" s="58">
        <v>46128</v>
      </c>
      <c r="B828" s="59">
        <v>4</v>
      </c>
      <c r="C828" s="59" t="s">
        <v>1171</v>
      </c>
      <c r="D828" s="59">
        <v>2044122</v>
      </c>
      <c r="E828" s="59" t="s">
        <v>1167</v>
      </c>
      <c r="F828" s="59" t="s">
        <v>1135</v>
      </c>
      <c r="G828" s="59" t="s">
        <v>1136</v>
      </c>
      <c r="H828" s="59" t="s">
        <v>1175</v>
      </c>
      <c r="I828" s="60">
        <v>46082</v>
      </c>
      <c r="J828" s="59" t="s">
        <v>542</v>
      </c>
      <c r="K828" s="59" t="s">
        <v>1138</v>
      </c>
      <c r="L828" s="59"/>
      <c r="M828" s="61">
        <v>15621504.800000001</v>
      </c>
      <c r="N828" s="61">
        <v>-15621504.800000001</v>
      </c>
      <c r="O828" s="61">
        <v>5452616519.4166784</v>
      </c>
    </row>
    <row r="829" spans="1:15" x14ac:dyDescent="0.25">
      <c r="A829" s="62">
        <v>46128</v>
      </c>
      <c r="B829">
        <v>4</v>
      </c>
      <c r="C829" t="s">
        <v>1171</v>
      </c>
      <c r="D829">
        <v>2044122</v>
      </c>
      <c r="E829" t="s">
        <v>1167</v>
      </c>
      <c r="F829" t="s">
        <v>1135</v>
      </c>
      <c r="G829" t="s">
        <v>1136</v>
      </c>
      <c r="H829" t="s">
        <v>1175</v>
      </c>
      <c r="I829" s="63">
        <v>46082</v>
      </c>
      <c r="J829" t="s">
        <v>543</v>
      </c>
      <c r="K829" t="s">
        <v>1138</v>
      </c>
      <c r="M829" s="64">
        <v>14569300.6</v>
      </c>
      <c r="N829" s="64">
        <v>-14569300.6</v>
      </c>
      <c r="O829" s="64">
        <v>5438047218.816678</v>
      </c>
    </row>
    <row r="830" spans="1:15" x14ac:dyDescent="0.25">
      <c r="A830" s="58">
        <v>46129</v>
      </c>
      <c r="B830" s="59">
        <v>4</v>
      </c>
      <c r="C830" s="59" t="s">
        <v>1133</v>
      </c>
      <c r="D830" s="59">
        <v>1044126</v>
      </c>
      <c r="E830" s="59" t="s">
        <v>1134</v>
      </c>
      <c r="F830" s="59" t="s">
        <v>1135</v>
      </c>
      <c r="G830" s="59" t="s">
        <v>1136</v>
      </c>
      <c r="H830" s="59" t="s">
        <v>1175</v>
      </c>
      <c r="I830" s="60">
        <v>46023</v>
      </c>
      <c r="J830" s="59" t="s">
        <v>550</v>
      </c>
      <c r="K830" s="59" t="s">
        <v>1150</v>
      </c>
      <c r="L830" s="61">
        <v>31495461.66</v>
      </c>
      <c r="M830" s="59"/>
      <c r="N830" s="61">
        <v>31495461.66</v>
      </c>
      <c r="O830" s="61">
        <v>3250421648.1566768</v>
      </c>
    </row>
    <row r="831" spans="1:15" x14ac:dyDescent="0.25">
      <c r="A831" s="62">
        <v>46129</v>
      </c>
      <c r="B831">
        <v>4</v>
      </c>
      <c r="C831" t="s">
        <v>1133</v>
      </c>
      <c r="D831">
        <v>1044246</v>
      </c>
      <c r="E831" t="s">
        <v>1134</v>
      </c>
      <c r="F831" t="s">
        <v>1135</v>
      </c>
      <c r="G831" t="s">
        <v>1136</v>
      </c>
      <c r="H831" t="s">
        <v>1153</v>
      </c>
      <c r="I831" s="63">
        <v>46023</v>
      </c>
      <c r="J831" t="s">
        <v>550</v>
      </c>
      <c r="K831" t="s">
        <v>1150</v>
      </c>
      <c r="L831" s="64">
        <v>740945.64</v>
      </c>
      <c r="N831" s="64">
        <v>740945.64</v>
      </c>
      <c r="O831" s="64">
        <v>3260220337.646677</v>
      </c>
    </row>
    <row r="832" spans="1:15" x14ac:dyDescent="0.25">
      <c r="A832" s="58">
        <v>46132</v>
      </c>
      <c r="B832" s="59">
        <v>4</v>
      </c>
      <c r="C832" s="59" t="s">
        <v>1144</v>
      </c>
      <c r="D832" s="59">
        <v>2044465</v>
      </c>
      <c r="E832" s="59" t="s">
        <v>1167</v>
      </c>
      <c r="F832" s="59" t="s">
        <v>1135</v>
      </c>
      <c r="G832" s="59" t="s">
        <v>1136</v>
      </c>
      <c r="H832" s="59" t="s">
        <v>1140</v>
      </c>
      <c r="I832" s="60">
        <v>46082</v>
      </c>
      <c r="J832" s="59" t="s">
        <v>552</v>
      </c>
      <c r="K832" s="59" t="s">
        <v>1172</v>
      </c>
      <c r="L832" s="59"/>
      <c r="M832" s="61">
        <v>1046309.5281</v>
      </c>
      <c r="N832" s="61">
        <v>-1046309.5281</v>
      </c>
      <c r="O832" s="61">
        <v>3314896198.5285769</v>
      </c>
    </row>
    <row r="833" spans="1:15" x14ac:dyDescent="0.25">
      <c r="A833" s="62">
        <v>46132</v>
      </c>
      <c r="B833">
        <v>4</v>
      </c>
      <c r="C833" t="s">
        <v>1144</v>
      </c>
      <c r="D833">
        <v>2014351</v>
      </c>
      <c r="E833" t="s">
        <v>1167</v>
      </c>
      <c r="F833" t="s">
        <v>1174</v>
      </c>
      <c r="G833" t="s">
        <v>1136</v>
      </c>
      <c r="H833" t="s">
        <v>1157</v>
      </c>
      <c r="I833" s="63">
        <v>46082</v>
      </c>
      <c r="J833" t="s">
        <v>553</v>
      </c>
      <c r="K833" t="s">
        <v>1142</v>
      </c>
      <c r="M833" s="64">
        <v>3573996</v>
      </c>
      <c r="N833" s="64">
        <v>-3573996</v>
      </c>
      <c r="O833" s="64">
        <v>3311322202.5285769</v>
      </c>
    </row>
    <row r="834" spans="1:15" x14ac:dyDescent="0.25">
      <c r="A834" s="58">
        <v>46132</v>
      </c>
      <c r="B834" s="59">
        <v>4</v>
      </c>
      <c r="C834" s="59" t="s">
        <v>1144</v>
      </c>
      <c r="D834" s="59">
        <v>2014352</v>
      </c>
      <c r="E834" s="59" t="s">
        <v>1167</v>
      </c>
      <c r="F834" s="59" t="s">
        <v>1174</v>
      </c>
      <c r="G834" s="59" t="s">
        <v>1136</v>
      </c>
      <c r="H834" s="59" t="s">
        <v>1157</v>
      </c>
      <c r="I834" s="60">
        <v>46082</v>
      </c>
      <c r="J834" s="59" t="s">
        <v>554</v>
      </c>
      <c r="K834" s="59" t="s">
        <v>1138</v>
      </c>
      <c r="L834" s="59"/>
      <c r="M834" s="61">
        <v>6316103.4400319988</v>
      </c>
      <c r="N834" s="61">
        <v>-6316103.4400319988</v>
      </c>
      <c r="O834" s="61">
        <v>3305006099.0885448</v>
      </c>
    </row>
    <row r="835" spans="1:15" x14ac:dyDescent="0.25">
      <c r="A835" s="62">
        <v>46132</v>
      </c>
      <c r="B835">
        <v>4</v>
      </c>
      <c r="C835" t="s">
        <v>1144</v>
      </c>
      <c r="D835">
        <v>2014354</v>
      </c>
      <c r="E835" t="s">
        <v>1167</v>
      </c>
      <c r="F835" t="s">
        <v>1174</v>
      </c>
      <c r="G835" t="s">
        <v>1136</v>
      </c>
      <c r="H835" t="s">
        <v>1157</v>
      </c>
      <c r="I835" s="63">
        <v>46082</v>
      </c>
      <c r="J835" t="s">
        <v>555</v>
      </c>
      <c r="K835" t="s">
        <v>1148</v>
      </c>
      <c r="M835" s="64">
        <v>5934288</v>
      </c>
      <c r="N835" s="64">
        <v>-5934288</v>
      </c>
      <c r="O835" s="64">
        <v>3299071811.0885448</v>
      </c>
    </row>
    <row r="836" spans="1:15" x14ac:dyDescent="0.25">
      <c r="A836" s="58">
        <v>46132</v>
      </c>
      <c r="B836" s="59">
        <v>4</v>
      </c>
      <c r="C836" s="59" t="s">
        <v>1144</v>
      </c>
      <c r="D836" s="59">
        <v>2014356</v>
      </c>
      <c r="E836" s="59" t="s">
        <v>1167</v>
      </c>
      <c r="F836" s="59" t="s">
        <v>1174</v>
      </c>
      <c r="G836" s="59" t="s">
        <v>1136</v>
      </c>
      <c r="H836" s="59" t="s">
        <v>1157</v>
      </c>
      <c r="I836" s="60">
        <v>46082</v>
      </c>
      <c r="J836" s="59" t="s">
        <v>555</v>
      </c>
      <c r="K836" s="59" t="s">
        <v>1150</v>
      </c>
      <c r="L836" s="59"/>
      <c r="M836" s="61">
        <v>752189.72</v>
      </c>
      <c r="N836" s="61">
        <v>-752189.72</v>
      </c>
      <c r="O836" s="61">
        <v>3298319621.368546</v>
      </c>
    </row>
    <row r="837" spans="1:15" x14ac:dyDescent="0.25">
      <c r="A837" s="62">
        <v>46132</v>
      </c>
      <c r="B837">
        <v>4</v>
      </c>
      <c r="C837" t="s">
        <v>1144</v>
      </c>
      <c r="D837">
        <v>2044126</v>
      </c>
      <c r="E837" t="s">
        <v>1167</v>
      </c>
      <c r="F837" t="s">
        <v>1135</v>
      </c>
      <c r="G837" t="s">
        <v>1136</v>
      </c>
      <c r="H837" t="s">
        <v>1175</v>
      </c>
      <c r="I837" s="63">
        <v>46082</v>
      </c>
      <c r="J837" t="s">
        <v>556</v>
      </c>
      <c r="K837" t="s">
        <v>1150</v>
      </c>
      <c r="M837" s="64">
        <v>12457351.9</v>
      </c>
      <c r="N837" s="64">
        <v>-12457351.9</v>
      </c>
      <c r="O837" s="64">
        <v>3285862269.468545</v>
      </c>
    </row>
    <row r="838" spans="1:15" x14ac:dyDescent="0.25">
      <c r="A838" s="58">
        <v>46132</v>
      </c>
      <c r="B838" s="59">
        <v>4</v>
      </c>
      <c r="C838" s="59" t="s">
        <v>1144</v>
      </c>
      <c r="D838" s="59">
        <v>2044126</v>
      </c>
      <c r="E838" s="59" t="s">
        <v>1167</v>
      </c>
      <c r="F838" s="59" t="s">
        <v>1135</v>
      </c>
      <c r="G838" s="59" t="s">
        <v>1136</v>
      </c>
      <c r="H838" s="59" t="s">
        <v>1175</v>
      </c>
      <c r="I838" s="60">
        <v>46082</v>
      </c>
      <c r="J838" s="59" t="s">
        <v>557</v>
      </c>
      <c r="K838" s="59" t="s">
        <v>1150</v>
      </c>
      <c r="L838" s="59"/>
      <c r="M838" s="61">
        <v>1419279.9</v>
      </c>
      <c r="N838" s="61">
        <v>-1419279.9</v>
      </c>
      <c r="O838" s="61">
        <v>3284442989.5685449</v>
      </c>
    </row>
    <row r="839" spans="1:15" x14ac:dyDescent="0.25">
      <c r="A839" s="62">
        <v>46132</v>
      </c>
      <c r="B839">
        <v>4</v>
      </c>
      <c r="C839" t="s">
        <v>1144</v>
      </c>
      <c r="D839">
        <v>2044126</v>
      </c>
      <c r="E839" t="s">
        <v>1167</v>
      </c>
      <c r="F839" t="s">
        <v>1135</v>
      </c>
      <c r="G839" t="s">
        <v>1136</v>
      </c>
      <c r="H839" t="s">
        <v>1175</v>
      </c>
      <c r="I839" s="63">
        <v>46082</v>
      </c>
      <c r="J839" t="s">
        <v>558</v>
      </c>
      <c r="K839" t="s">
        <v>1150</v>
      </c>
      <c r="M839" s="64">
        <v>1116657.1000000001</v>
      </c>
      <c r="N839" s="64">
        <v>-1116657.1000000001</v>
      </c>
      <c r="O839" s="64">
        <v>3283326332.468545</v>
      </c>
    </row>
    <row r="840" spans="1:15" x14ac:dyDescent="0.25">
      <c r="A840" s="58">
        <v>46132</v>
      </c>
      <c r="B840" s="59">
        <v>4</v>
      </c>
      <c r="C840" s="59" t="s">
        <v>1144</v>
      </c>
      <c r="D840" s="59">
        <v>2044126</v>
      </c>
      <c r="E840" s="59" t="s">
        <v>1167</v>
      </c>
      <c r="F840" s="59" t="s">
        <v>1135</v>
      </c>
      <c r="G840" s="59" t="s">
        <v>1136</v>
      </c>
      <c r="H840" s="59" t="s">
        <v>1175</v>
      </c>
      <c r="I840" s="60">
        <v>46082</v>
      </c>
      <c r="J840" s="59" t="s">
        <v>559</v>
      </c>
      <c r="K840" s="59" t="s">
        <v>1150</v>
      </c>
      <c r="L840" s="59"/>
      <c r="M840" s="61">
        <v>780659.6</v>
      </c>
      <c r="N840" s="61">
        <v>-780659.6</v>
      </c>
      <c r="O840" s="61">
        <v>3282545672.868546</v>
      </c>
    </row>
    <row r="841" spans="1:15" x14ac:dyDescent="0.25">
      <c r="A841" s="62">
        <v>46132</v>
      </c>
      <c r="B841">
        <v>4</v>
      </c>
      <c r="C841" t="s">
        <v>1144</v>
      </c>
      <c r="D841">
        <v>2044126</v>
      </c>
      <c r="E841" t="s">
        <v>1167</v>
      </c>
      <c r="F841" t="s">
        <v>1135</v>
      </c>
      <c r="G841" t="s">
        <v>1136</v>
      </c>
      <c r="H841" t="s">
        <v>1175</v>
      </c>
      <c r="I841" s="63">
        <v>46082</v>
      </c>
      <c r="J841" t="s">
        <v>560</v>
      </c>
      <c r="K841" t="s">
        <v>1150</v>
      </c>
      <c r="M841" s="64">
        <v>470421.9</v>
      </c>
      <c r="N841" s="64">
        <v>-470421.9</v>
      </c>
      <c r="O841" s="64">
        <v>3282075250.968545</v>
      </c>
    </row>
    <row r="842" spans="1:15" x14ac:dyDescent="0.25">
      <c r="A842" s="58">
        <v>46132</v>
      </c>
      <c r="B842" s="59">
        <v>4</v>
      </c>
      <c r="C842" s="59" t="s">
        <v>1144</v>
      </c>
      <c r="D842" s="59">
        <v>2044126</v>
      </c>
      <c r="E842" s="59" t="s">
        <v>1167</v>
      </c>
      <c r="F842" s="59" t="s">
        <v>1135</v>
      </c>
      <c r="G842" s="59" t="s">
        <v>1136</v>
      </c>
      <c r="H842" s="59" t="s">
        <v>1175</v>
      </c>
      <c r="I842" s="60">
        <v>46082</v>
      </c>
      <c r="J842" s="59" t="s">
        <v>561</v>
      </c>
      <c r="K842" s="59" t="s">
        <v>1150</v>
      </c>
      <c r="L842" s="59"/>
      <c r="M842" s="61">
        <v>215184.3</v>
      </c>
      <c r="N842" s="61">
        <v>-215184.3</v>
      </c>
      <c r="O842" s="61">
        <v>3281860066.6685448</v>
      </c>
    </row>
    <row r="843" spans="1:15" x14ac:dyDescent="0.25">
      <c r="A843" s="62">
        <v>46132</v>
      </c>
      <c r="B843">
        <v>4</v>
      </c>
      <c r="C843" t="s">
        <v>1144</v>
      </c>
      <c r="D843">
        <v>1044507</v>
      </c>
      <c r="E843" t="s">
        <v>1134</v>
      </c>
      <c r="F843" t="s">
        <v>1135</v>
      </c>
      <c r="G843" t="s">
        <v>1136</v>
      </c>
      <c r="H843" t="s">
        <v>1175</v>
      </c>
      <c r="I843" s="63">
        <v>46082</v>
      </c>
      <c r="J843" t="s">
        <v>564</v>
      </c>
      <c r="K843" t="s">
        <v>1170</v>
      </c>
      <c r="L843" s="64">
        <v>7149503.8999999976</v>
      </c>
      <c r="N843" s="64">
        <v>7149503.8999999976</v>
      </c>
      <c r="O843" s="64">
        <v>3796352495.828546</v>
      </c>
    </row>
    <row r="844" spans="1:15" x14ac:dyDescent="0.25">
      <c r="A844" s="58">
        <v>46132</v>
      </c>
      <c r="B844" s="59">
        <v>4</v>
      </c>
      <c r="C844" s="59" t="s">
        <v>1144</v>
      </c>
      <c r="D844" s="59">
        <v>1044167</v>
      </c>
      <c r="E844" s="59" t="s">
        <v>1134</v>
      </c>
      <c r="F844" s="59" t="s">
        <v>1135</v>
      </c>
      <c r="G844" s="59" t="s">
        <v>1136</v>
      </c>
      <c r="H844" s="59" t="s">
        <v>1162</v>
      </c>
      <c r="I844" s="60">
        <v>46082</v>
      </c>
      <c r="J844" s="59" t="s">
        <v>564</v>
      </c>
      <c r="K844" s="59" t="s">
        <v>1170</v>
      </c>
      <c r="L844" s="61">
        <v>346386</v>
      </c>
      <c r="M844" s="59"/>
      <c r="N844" s="61">
        <v>346386</v>
      </c>
      <c r="O844" s="61">
        <v>3796707318.828546</v>
      </c>
    </row>
    <row r="845" spans="1:15" x14ac:dyDescent="0.25">
      <c r="A845" s="62">
        <v>46132</v>
      </c>
      <c r="B845">
        <v>4</v>
      </c>
      <c r="C845" t="s">
        <v>1144</v>
      </c>
      <c r="D845">
        <v>1044197</v>
      </c>
      <c r="E845" t="s">
        <v>1134</v>
      </c>
      <c r="F845" t="s">
        <v>1135</v>
      </c>
      <c r="G845" t="s">
        <v>1136</v>
      </c>
      <c r="H845" t="s">
        <v>1149</v>
      </c>
      <c r="I845" s="63">
        <v>46082</v>
      </c>
      <c r="J845" t="s">
        <v>564</v>
      </c>
      <c r="K845" t="s">
        <v>1170</v>
      </c>
      <c r="L845" s="64">
        <v>418440</v>
      </c>
      <c r="N845" s="64">
        <v>418440</v>
      </c>
      <c r="O845" s="64">
        <v>3797603879.2585449</v>
      </c>
    </row>
    <row r="846" spans="1:15" x14ac:dyDescent="0.25">
      <c r="A846" s="58">
        <v>46132</v>
      </c>
      <c r="B846" s="59">
        <v>4</v>
      </c>
      <c r="C846" s="59" t="s">
        <v>1144</v>
      </c>
      <c r="D846" s="59">
        <v>1044287</v>
      </c>
      <c r="E846" s="59" t="s">
        <v>1134</v>
      </c>
      <c r="F846" s="59" t="s">
        <v>1135</v>
      </c>
      <c r="G846" s="59" t="s">
        <v>1136</v>
      </c>
      <c r="H846" s="59" t="s">
        <v>1155</v>
      </c>
      <c r="I846" s="60">
        <v>46082</v>
      </c>
      <c r="J846" s="59" t="s">
        <v>564</v>
      </c>
      <c r="K846" s="59" t="s">
        <v>1170</v>
      </c>
      <c r="L846" s="61">
        <v>11000</v>
      </c>
      <c r="M846" s="59"/>
      <c r="N846" s="61">
        <v>11000</v>
      </c>
      <c r="O846" s="61">
        <v>3797731632.158545</v>
      </c>
    </row>
    <row r="847" spans="1:15" x14ac:dyDescent="0.25">
      <c r="A847" s="62">
        <v>46132</v>
      </c>
      <c r="B847">
        <v>4</v>
      </c>
      <c r="C847" t="s">
        <v>1144</v>
      </c>
      <c r="D847">
        <v>1044407</v>
      </c>
      <c r="E847" t="s">
        <v>1134</v>
      </c>
      <c r="F847" t="s">
        <v>1135</v>
      </c>
      <c r="G847" t="s">
        <v>1136</v>
      </c>
      <c r="H847" t="s">
        <v>1159</v>
      </c>
      <c r="I847" s="63">
        <v>46082</v>
      </c>
      <c r="J847" t="s">
        <v>564</v>
      </c>
      <c r="K847" t="s">
        <v>1170</v>
      </c>
      <c r="L847" s="64">
        <v>100</v>
      </c>
      <c r="N847" s="64">
        <v>100</v>
      </c>
      <c r="O847" s="64">
        <v>3797731732.158545</v>
      </c>
    </row>
    <row r="848" spans="1:15" x14ac:dyDescent="0.25">
      <c r="A848" s="58">
        <v>46132</v>
      </c>
      <c r="B848" s="59">
        <v>4</v>
      </c>
      <c r="C848" s="59" t="s">
        <v>1144</v>
      </c>
      <c r="D848" s="59">
        <v>1044427</v>
      </c>
      <c r="E848" s="59" t="s">
        <v>1134</v>
      </c>
      <c r="F848" s="59" t="s">
        <v>1135</v>
      </c>
      <c r="G848" s="59" t="s">
        <v>1136</v>
      </c>
      <c r="H848" s="59" t="s">
        <v>1165</v>
      </c>
      <c r="I848" s="60">
        <v>46082</v>
      </c>
      <c r="J848" s="59" t="s">
        <v>564</v>
      </c>
      <c r="K848" s="59" t="s">
        <v>1170</v>
      </c>
      <c r="L848" s="61">
        <v>60</v>
      </c>
      <c r="M848" s="59"/>
      <c r="N848" s="61">
        <v>60</v>
      </c>
      <c r="O848" s="61">
        <v>3797866267.158545</v>
      </c>
    </row>
    <row r="849" spans="1:15" x14ac:dyDescent="0.25">
      <c r="A849" s="62">
        <v>46133</v>
      </c>
      <c r="B849">
        <v>4</v>
      </c>
      <c r="C849" t="s">
        <v>1161</v>
      </c>
      <c r="D849">
        <v>2044464</v>
      </c>
      <c r="E849" t="s">
        <v>1167</v>
      </c>
      <c r="F849" t="s">
        <v>1135</v>
      </c>
      <c r="G849" t="s">
        <v>1136</v>
      </c>
      <c r="H849" t="s">
        <v>1140</v>
      </c>
      <c r="I849" s="63">
        <v>46082</v>
      </c>
      <c r="J849" t="s">
        <v>566</v>
      </c>
      <c r="K849" t="s">
        <v>1148</v>
      </c>
      <c r="M849" s="64">
        <v>7662359.0099999998</v>
      </c>
      <c r="N849" s="64">
        <v>-7662359.0099999998</v>
      </c>
      <c r="O849" s="64">
        <v>3798498819.888545</v>
      </c>
    </row>
    <row r="850" spans="1:15" x14ac:dyDescent="0.25">
      <c r="A850" s="58">
        <v>46133</v>
      </c>
      <c r="B850" s="59">
        <v>4</v>
      </c>
      <c r="C850" s="59" t="s">
        <v>1161</v>
      </c>
      <c r="D850" s="59">
        <v>2054311</v>
      </c>
      <c r="E850" s="59" t="s">
        <v>1167</v>
      </c>
      <c r="F850" s="59" t="s">
        <v>1169</v>
      </c>
      <c r="G850" s="59" t="s">
        <v>1136</v>
      </c>
      <c r="H850" s="59" t="s">
        <v>1137</v>
      </c>
      <c r="I850" s="60">
        <v>46113</v>
      </c>
      <c r="J850" s="59" t="s">
        <v>567</v>
      </c>
      <c r="K850" s="59" t="s">
        <v>1142</v>
      </c>
      <c r="L850" s="59"/>
      <c r="M850" s="61">
        <v>15012681</v>
      </c>
      <c r="N850" s="61">
        <v>-15012681</v>
      </c>
      <c r="O850" s="61">
        <v>3783486138.888545</v>
      </c>
    </row>
    <row r="851" spans="1:15" x14ac:dyDescent="0.25">
      <c r="A851" s="62">
        <v>46133</v>
      </c>
      <c r="B851">
        <v>4</v>
      </c>
      <c r="C851" t="s">
        <v>1161</v>
      </c>
      <c r="D851">
        <v>2054314</v>
      </c>
      <c r="E851" t="s">
        <v>1167</v>
      </c>
      <c r="F851" t="s">
        <v>1169</v>
      </c>
      <c r="G851" t="s">
        <v>1136</v>
      </c>
      <c r="H851" t="s">
        <v>1137</v>
      </c>
      <c r="I851" s="63">
        <v>46113</v>
      </c>
      <c r="J851" t="s">
        <v>568</v>
      </c>
      <c r="K851" t="s">
        <v>1148</v>
      </c>
      <c r="M851" s="64">
        <v>25933480</v>
      </c>
      <c r="N851" s="64">
        <v>-25933480</v>
      </c>
      <c r="O851" s="64">
        <v>3757552658.888545</v>
      </c>
    </row>
    <row r="852" spans="1:15" x14ac:dyDescent="0.25">
      <c r="A852" s="58">
        <v>46133</v>
      </c>
      <c r="B852" s="59">
        <v>4</v>
      </c>
      <c r="C852" s="59" t="s">
        <v>1161</v>
      </c>
      <c r="D852" s="59">
        <v>2054316</v>
      </c>
      <c r="E852" s="59" t="s">
        <v>1167</v>
      </c>
      <c r="F852" s="59" t="s">
        <v>1169</v>
      </c>
      <c r="G852" s="59" t="s">
        <v>1136</v>
      </c>
      <c r="H852" s="59" t="s">
        <v>1137</v>
      </c>
      <c r="I852" s="60">
        <v>46113</v>
      </c>
      <c r="J852" s="59" t="s">
        <v>568</v>
      </c>
      <c r="K852" s="59" t="s">
        <v>1150</v>
      </c>
      <c r="L852" s="59"/>
      <c r="M852" s="61">
        <v>626053.06999999995</v>
      </c>
      <c r="N852" s="61">
        <v>-626053.06999999995</v>
      </c>
      <c r="O852" s="61">
        <v>3756926605.8185449</v>
      </c>
    </row>
    <row r="853" spans="1:15" x14ac:dyDescent="0.25">
      <c r="A853" s="62">
        <v>46133</v>
      </c>
      <c r="B853">
        <v>4</v>
      </c>
      <c r="C853" t="s">
        <v>1161</v>
      </c>
      <c r="D853">
        <v>2044495</v>
      </c>
      <c r="E853" t="s">
        <v>1167</v>
      </c>
      <c r="F853" t="s">
        <v>1135</v>
      </c>
      <c r="G853" t="s">
        <v>1136</v>
      </c>
      <c r="H853" t="s">
        <v>1173</v>
      </c>
      <c r="I853" s="63">
        <v>45352</v>
      </c>
      <c r="J853" t="s">
        <v>569</v>
      </c>
      <c r="K853" t="s">
        <v>1172</v>
      </c>
      <c r="M853" s="64">
        <v>2188512.48</v>
      </c>
      <c r="N853" s="64">
        <v>-2188512.48</v>
      </c>
      <c r="O853" s="64">
        <v>3754738093.3385448</v>
      </c>
    </row>
    <row r="854" spans="1:15" x14ac:dyDescent="0.25">
      <c r="A854" s="58">
        <v>46133</v>
      </c>
      <c r="B854" s="59">
        <v>4</v>
      </c>
      <c r="C854" s="59" t="s">
        <v>1161</v>
      </c>
      <c r="D854" s="59">
        <v>2044462</v>
      </c>
      <c r="E854" s="59" t="s">
        <v>1167</v>
      </c>
      <c r="F854" s="59" t="s">
        <v>1135</v>
      </c>
      <c r="G854" s="59" t="s">
        <v>1136</v>
      </c>
      <c r="H854" s="59" t="s">
        <v>1140</v>
      </c>
      <c r="I854" s="60">
        <v>46113</v>
      </c>
      <c r="J854" s="59" t="s">
        <v>570</v>
      </c>
      <c r="K854" s="59" t="s">
        <v>1138</v>
      </c>
      <c r="L854" s="59"/>
      <c r="M854" s="61">
        <v>2894446.03</v>
      </c>
      <c r="N854" s="61">
        <v>-2894446.03</v>
      </c>
      <c r="O854" s="61">
        <v>3751843647.3085451</v>
      </c>
    </row>
    <row r="855" spans="1:15" x14ac:dyDescent="0.25">
      <c r="A855" s="62">
        <v>46133</v>
      </c>
      <c r="B855">
        <v>4</v>
      </c>
      <c r="C855" t="s">
        <v>1161</v>
      </c>
      <c r="D855">
        <v>2044122</v>
      </c>
      <c r="E855" t="s">
        <v>1167</v>
      </c>
      <c r="F855" t="s">
        <v>1135</v>
      </c>
      <c r="G855" t="s">
        <v>1136</v>
      </c>
      <c r="H855" t="s">
        <v>1175</v>
      </c>
      <c r="I855" s="63">
        <v>46082</v>
      </c>
      <c r="J855" t="s">
        <v>571</v>
      </c>
      <c r="K855" t="s">
        <v>1138</v>
      </c>
      <c r="M855" s="64">
        <v>16126136.300000001</v>
      </c>
      <c r="N855" s="64">
        <v>-16126136.300000001</v>
      </c>
      <c r="O855" s="64">
        <v>3735717511.008544</v>
      </c>
    </row>
    <row r="856" spans="1:15" x14ac:dyDescent="0.25">
      <c r="A856" s="58">
        <v>46133</v>
      </c>
      <c r="B856" s="59">
        <v>4</v>
      </c>
      <c r="C856" s="59" t="s">
        <v>1161</v>
      </c>
      <c r="D856" s="59">
        <v>2044122</v>
      </c>
      <c r="E856" s="59" t="s">
        <v>1167</v>
      </c>
      <c r="F856" s="59" t="s">
        <v>1135</v>
      </c>
      <c r="G856" s="59" t="s">
        <v>1136</v>
      </c>
      <c r="H856" s="59" t="s">
        <v>1175</v>
      </c>
      <c r="I856" s="60">
        <v>46082</v>
      </c>
      <c r="J856" s="59" t="s">
        <v>572</v>
      </c>
      <c r="K856" s="59" t="s">
        <v>1138</v>
      </c>
      <c r="L856" s="59"/>
      <c r="M856" s="61">
        <v>15743287.9</v>
      </c>
      <c r="N856" s="61">
        <v>-15743287.9</v>
      </c>
      <c r="O856" s="61">
        <v>3719974223.1085439</v>
      </c>
    </row>
    <row r="857" spans="1:15" x14ac:dyDescent="0.25">
      <c r="A857" s="62">
        <v>46133</v>
      </c>
      <c r="B857">
        <v>4</v>
      </c>
      <c r="C857" t="s">
        <v>1161</v>
      </c>
      <c r="D857">
        <v>2044126</v>
      </c>
      <c r="E857" t="s">
        <v>1167</v>
      </c>
      <c r="F857" t="s">
        <v>1135</v>
      </c>
      <c r="G857" t="s">
        <v>1136</v>
      </c>
      <c r="H857" t="s">
        <v>1175</v>
      </c>
      <c r="I857" s="63">
        <v>46082</v>
      </c>
      <c r="J857" t="s">
        <v>573</v>
      </c>
      <c r="K857" t="s">
        <v>1150</v>
      </c>
      <c r="M857" s="64">
        <v>5336355.4000000004</v>
      </c>
      <c r="N857" s="64">
        <v>-5336355.4000000004</v>
      </c>
      <c r="O857" s="64">
        <v>3714637867.7085438</v>
      </c>
    </row>
    <row r="858" spans="1:15" x14ac:dyDescent="0.25">
      <c r="A858" s="58">
        <v>46133</v>
      </c>
      <c r="B858" s="59">
        <v>4</v>
      </c>
      <c r="C858" s="59" t="s">
        <v>1161</v>
      </c>
      <c r="D858" s="59">
        <v>2044126</v>
      </c>
      <c r="E858" s="59" t="s">
        <v>1167</v>
      </c>
      <c r="F858" s="59" t="s">
        <v>1135</v>
      </c>
      <c r="G858" s="59" t="s">
        <v>1136</v>
      </c>
      <c r="H858" s="59" t="s">
        <v>1175</v>
      </c>
      <c r="I858" s="60">
        <v>46082</v>
      </c>
      <c r="J858" s="59" t="s">
        <v>574</v>
      </c>
      <c r="K858" s="59" t="s">
        <v>1150</v>
      </c>
      <c r="L858" s="59"/>
      <c r="M858" s="61">
        <v>3973145.6</v>
      </c>
      <c r="N858" s="61">
        <v>-3973145.6</v>
      </c>
      <c r="O858" s="61">
        <v>3710664722.1085439</v>
      </c>
    </row>
    <row r="859" spans="1:15" x14ac:dyDescent="0.25">
      <c r="A859" s="62">
        <v>46133</v>
      </c>
      <c r="B859">
        <v>4</v>
      </c>
      <c r="C859" t="s">
        <v>1161</v>
      </c>
      <c r="D859">
        <v>2044126</v>
      </c>
      <c r="E859" t="s">
        <v>1167</v>
      </c>
      <c r="F859" t="s">
        <v>1135</v>
      </c>
      <c r="G859" t="s">
        <v>1136</v>
      </c>
      <c r="H859" t="s">
        <v>1175</v>
      </c>
      <c r="I859" s="63">
        <v>46082</v>
      </c>
      <c r="J859" t="s">
        <v>575</v>
      </c>
      <c r="K859" t="s">
        <v>1150</v>
      </c>
      <c r="M859" s="64">
        <v>3200861.9</v>
      </c>
      <c r="N859" s="64">
        <v>-3200861.9</v>
      </c>
      <c r="O859" s="64">
        <v>3707463860.2085438</v>
      </c>
    </row>
    <row r="860" spans="1:15" x14ac:dyDescent="0.25">
      <c r="A860" s="58">
        <v>46133</v>
      </c>
      <c r="B860" s="59">
        <v>4</v>
      </c>
      <c r="C860" s="59" t="s">
        <v>1161</v>
      </c>
      <c r="D860" s="59">
        <v>2044126</v>
      </c>
      <c r="E860" s="59" t="s">
        <v>1167</v>
      </c>
      <c r="F860" s="59" t="s">
        <v>1135</v>
      </c>
      <c r="G860" s="59" t="s">
        <v>1136</v>
      </c>
      <c r="H860" s="59" t="s">
        <v>1175</v>
      </c>
      <c r="I860" s="60">
        <v>46082</v>
      </c>
      <c r="J860" s="59" t="s">
        <v>576</v>
      </c>
      <c r="K860" s="59" t="s">
        <v>1150</v>
      </c>
      <c r="L860" s="59"/>
      <c r="M860" s="61">
        <v>2455392.4</v>
      </c>
      <c r="N860" s="61">
        <v>-2455392.4</v>
      </c>
      <c r="O860" s="61">
        <v>3705008467.8085442</v>
      </c>
    </row>
    <row r="861" spans="1:15" x14ac:dyDescent="0.25">
      <c r="A861" s="62">
        <v>46133</v>
      </c>
      <c r="B861">
        <v>4</v>
      </c>
      <c r="C861" t="s">
        <v>1161</v>
      </c>
      <c r="D861">
        <v>2044126</v>
      </c>
      <c r="E861" t="s">
        <v>1167</v>
      </c>
      <c r="F861" t="s">
        <v>1135</v>
      </c>
      <c r="G861" t="s">
        <v>1136</v>
      </c>
      <c r="H861" t="s">
        <v>1175</v>
      </c>
      <c r="I861" s="63">
        <v>46082</v>
      </c>
      <c r="J861" t="s">
        <v>577</v>
      </c>
      <c r="K861" t="s">
        <v>1150</v>
      </c>
      <c r="M861" s="64">
        <v>74289.399999999994</v>
      </c>
      <c r="N861" s="64">
        <v>-74289.399999999994</v>
      </c>
      <c r="O861" s="64">
        <v>3704934178.4085441</v>
      </c>
    </row>
    <row r="862" spans="1:15" x14ac:dyDescent="0.25">
      <c r="A862" s="58">
        <v>46134</v>
      </c>
      <c r="B862" s="59">
        <v>4</v>
      </c>
      <c r="C862" s="59" t="s">
        <v>1166</v>
      </c>
      <c r="D862" s="59">
        <v>2054312</v>
      </c>
      <c r="E862" s="59" t="s">
        <v>1167</v>
      </c>
      <c r="F862" s="59" t="s">
        <v>1169</v>
      </c>
      <c r="G862" s="59" t="s">
        <v>1136</v>
      </c>
      <c r="H862" s="59" t="s">
        <v>1137</v>
      </c>
      <c r="I862" s="60">
        <v>46113</v>
      </c>
      <c r="J862" s="59" t="s">
        <v>579</v>
      </c>
      <c r="K862" s="59" t="s">
        <v>1138</v>
      </c>
      <c r="L862" s="59"/>
      <c r="M862" s="61">
        <v>28375900</v>
      </c>
      <c r="N862" s="61">
        <v>-28375900</v>
      </c>
      <c r="O862" s="61">
        <v>3681383814.4085441</v>
      </c>
    </row>
    <row r="863" spans="1:15" x14ac:dyDescent="0.25">
      <c r="A863" s="62">
        <v>46135</v>
      </c>
      <c r="B863">
        <v>4</v>
      </c>
      <c r="C863" t="s">
        <v>1171</v>
      </c>
      <c r="D863">
        <v>2044127</v>
      </c>
      <c r="E863" t="s">
        <v>1167</v>
      </c>
      <c r="F863" t="s">
        <v>1135</v>
      </c>
      <c r="G863" t="s">
        <v>1136</v>
      </c>
      <c r="H863" t="s">
        <v>1175</v>
      </c>
      <c r="I863" s="63">
        <v>46082</v>
      </c>
      <c r="J863" t="s">
        <v>581</v>
      </c>
      <c r="K863" t="s">
        <v>1170</v>
      </c>
      <c r="M863" s="64">
        <v>2602654.7000000002</v>
      </c>
      <c r="N863" s="64">
        <v>-2602654.7000000002</v>
      </c>
      <c r="O863" s="64">
        <v>3621905724.7485452</v>
      </c>
    </row>
    <row r="864" spans="1:15" x14ac:dyDescent="0.25">
      <c r="A864" s="58">
        <v>46135</v>
      </c>
      <c r="B864" s="59">
        <v>4</v>
      </c>
      <c r="C864" s="59" t="s">
        <v>1171</v>
      </c>
      <c r="D864" s="59">
        <v>2044127</v>
      </c>
      <c r="E864" s="59" t="s">
        <v>1167</v>
      </c>
      <c r="F864" s="59" t="s">
        <v>1135</v>
      </c>
      <c r="G864" s="59" t="s">
        <v>1136</v>
      </c>
      <c r="H864" s="59" t="s">
        <v>1175</v>
      </c>
      <c r="I864" s="60">
        <v>46082</v>
      </c>
      <c r="J864" s="59" t="s">
        <v>582</v>
      </c>
      <c r="K864" s="59" t="s">
        <v>1170</v>
      </c>
      <c r="L864" s="59"/>
      <c r="M864" s="61">
        <v>1198509.8</v>
      </c>
      <c r="N864" s="61">
        <v>-1198509.8</v>
      </c>
      <c r="O864" s="61">
        <v>3620707214.948545</v>
      </c>
    </row>
    <row r="865" spans="1:15" x14ac:dyDescent="0.25">
      <c r="A865" s="62">
        <v>46135</v>
      </c>
      <c r="B865">
        <v>4</v>
      </c>
      <c r="C865" t="s">
        <v>1171</v>
      </c>
      <c r="D865">
        <v>2044127</v>
      </c>
      <c r="E865" t="s">
        <v>1167</v>
      </c>
      <c r="F865" t="s">
        <v>1135</v>
      </c>
      <c r="G865" t="s">
        <v>1136</v>
      </c>
      <c r="H865" t="s">
        <v>1175</v>
      </c>
      <c r="I865" s="63">
        <v>46082</v>
      </c>
      <c r="J865" t="s">
        <v>583</v>
      </c>
      <c r="K865" t="s">
        <v>1170</v>
      </c>
      <c r="M865" s="64">
        <v>344611.5</v>
      </c>
      <c r="N865" s="64">
        <v>-344611.5</v>
      </c>
      <c r="O865" s="64">
        <v>3620362603.448545</v>
      </c>
    </row>
    <row r="866" spans="1:15" x14ac:dyDescent="0.25">
      <c r="A866" s="58">
        <v>46135</v>
      </c>
      <c r="B866" s="59">
        <v>4</v>
      </c>
      <c r="C866" s="59" t="s">
        <v>1171</v>
      </c>
      <c r="D866" s="59">
        <v>2044122</v>
      </c>
      <c r="E866" s="59" t="s">
        <v>1167</v>
      </c>
      <c r="F866" s="59" t="s">
        <v>1135</v>
      </c>
      <c r="G866" s="59" t="s">
        <v>1136</v>
      </c>
      <c r="H866" s="59" t="s">
        <v>1175</v>
      </c>
      <c r="I866" s="60">
        <v>46082</v>
      </c>
      <c r="J866" s="59" t="s">
        <v>584</v>
      </c>
      <c r="K866" s="59" t="s">
        <v>1138</v>
      </c>
      <c r="L866" s="59"/>
      <c r="M866" s="61">
        <v>15880989.300000001</v>
      </c>
      <c r="N866" s="61">
        <v>-15880989.300000001</v>
      </c>
      <c r="O866" s="61">
        <v>3604481614.1485438</v>
      </c>
    </row>
    <row r="867" spans="1:15" x14ac:dyDescent="0.25">
      <c r="A867" s="62">
        <v>46135</v>
      </c>
      <c r="B867">
        <v>4</v>
      </c>
      <c r="C867" t="s">
        <v>1171</v>
      </c>
      <c r="D867">
        <v>2044122</v>
      </c>
      <c r="E867" t="s">
        <v>1167</v>
      </c>
      <c r="F867" t="s">
        <v>1135</v>
      </c>
      <c r="G867" t="s">
        <v>1136</v>
      </c>
      <c r="H867" t="s">
        <v>1175</v>
      </c>
      <c r="I867" s="63">
        <v>46082</v>
      </c>
      <c r="J867" t="s">
        <v>585</v>
      </c>
      <c r="K867" t="s">
        <v>1138</v>
      </c>
      <c r="M867" s="64">
        <v>15570574.1</v>
      </c>
      <c r="N867" s="64">
        <v>-15570574.1</v>
      </c>
      <c r="O867" s="64">
        <v>3588911040.0485439</v>
      </c>
    </row>
    <row r="868" spans="1:15" x14ac:dyDescent="0.25">
      <c r="A868" s="58">
        <v>46135</v>
      </c>
      <c r="B868" s="59">
        <v>4</v>
      </c>
      <c r="C868" s="59" t="s">
        <v>1171</v>
      </c>
      <c r="D868" s="59">
        <v>1044314</v>
      </c>
      <c r="E868" s="59" t="s">
        <v>1134</v>
      </c>
      <c r="F868" s="59" t="s">
        <v>1135</v>
      </c>
      <c r="G868" s="59" t="s">
        <v>1136</v>
      </c>
      <c r="H868" s="59" t="s">
        <v>1137</v>
      </c>
      <c r="I868" s="60">
        <v>46113</v>
      </c>
      <c r="J868" s="59" t="s">
        <v>589</v>
      </c>
      <c r="K868" s="59" t="s">
        <v>1148</v>
      </c>
      <c r="L868" s="61">
        <v>25933480</v>
      </c>
      <c r="M868" s="59"/>
      <c r="N868" s="61">
        <v>25933480</v>
      </c>
      <c r="O868" s="61">
        <v>3701037926.5385442</v>
      </c>
    </row>
    <row r="869" spans="1:15" x14ac:dyDescent="0.25">
      <c r="A869" s="62">
        <v>46135</v>
      </c>
      <c r="B869">
        <v>4</v>
      </c>
      <c r="C869" t="s">
        <v>1171</v>
      </c>
      <c r="D869">
        <v>1044316</v>
      </c>
      <c r="E869" t="s">
        <v>1134</v>
      </c>
      <c r="F869" t="s">
        <v>1135</v>
      </c>
      <c r="G869" t="s">
        <v>1136</v>
      </c>
      <c r="H869" t="s">
        <v>1137</v>
      </c>
      <c r="I869" s="63">
        <v>46113</v>
      </c>
      <c r="J869" t="s">
        <v>590</v>
      </c>
      <c r="K869" t="s">
        <v>1150</v>
      </c>
      <c r="L869" s="64">
        <v>626053.06999999995</v>
      </c>
      <c r="N869" s="64">
        <v>626053.06999999995</v>
      </c>
      <c r="O869" s="64">
        <v>3701663979.6085439</v>
      </c>
    </row>
    <row r="870" spans="1:15" x14ac:dyDescent="0.25">
      <c r="A870" s="58">
        <v>46136</v>
      </c>
      <c r="B870" s="59">
        <v>4</v>
      </c>
      <c r="C870" s="59" t="s">
        <v>1133</v>
      </c>
      <c r="D870" s="59">
        <v>2014202</v>
      </c>
      <c r="E870" s="59" t="s">
        <v>1167</v>
      </c>
      <c r="F870" s="59" t="s">
        <v>1174</v>
      </c>
      <c r="G870" s="59" t="s">
        <v>1136</v>
      </c>
      <c r="H870" s="59" t="s">
        <v>1139</v>
      </c>
      <c r="I870" s="60">
        <v>46113</v>
      </c>
      <c r="J870" s="59" t="s">
        <v>591</v>
      </c>
      <c r="K870" s="59" t="s">
        <v>1138</v>
      </c>
      <c r="L870" s="59"/>
      <c r="M870" s="61">
        <v>30706345.629999999</v>
      </c>
      <c r="N870" s="61">
        <v>-30706345.629999999</v>
      </c>
      <c r="O870" s="61">
        <v>3670957633.9785442</v>
      </c>
    </row>
    <row r="871" spans="1:15" x14ac:dyDescent="0.25">
      <c r="A871" s="62">
        <v>46136</v>
      </c>
      <c r="B871">
        <v>4</v>
      </c>
      <c r="C871" t="s">
        <v>1133</v>
      </c>
      <c r="D871">
        <v>2014261</v>
      </c>
      <c r="E871" t="s">
        <v>1167</v>
      </c>
      <c r="F871" t="s">
        <v>1174</v>
      </c>
      <c r="G871" t="s">
        <v>1136</v>
      </c>
      <c r="H871" t="s">
        <v>1145</v>
      </c>
      <c r="I871" s="63">
        <v>46082</v>
      </c>
      <c r="J871" t="s">
        <v>592</v>
      </c>
      <c r="K871" t="s">
        <v>1142</v>
      </c>
      <c r="M871" s="64">
        <v>4240305</v>
      </c>
      <c r="N871" s="64">
        <v>-4240305</v>
      </c>
      <c r="O871" s="64">
        <v>3666717328.9785442</v>
      </c>
    </row>
    <row r="872" spans="1:15" x14ac:dyDescent="0.25">
      <c r="A872" s="58">
        <v>46136</v>
      </c>
      <c r="B872" s="59">
        <v>4</v>
      </c>
      <c r="C872" s="59" t="s">
        <v>1133</v>
      </c>
      <c r="D872" s="59">
        <v>2014262</v>
      </c>
      <c r="E872" s="59" t="s">
        <v>1167</v>
      </c>
      <c r="F872" s="59" t="s">
        <v>1174</v>
      </c>
      <c r="G872" s="59" t="s">
        <v>1136</v>
      </c>
      <c r="H872" s="59" t="s">
        <v>1145</v>
      </c>
      <c r="I872" s="60">
        <v>46082</v>
      </c>
      <c r="J872" s="59" t="s">
        <v>593</v>
      </c>
      <c r="K872" s="59" t="s">
        <v>1138</v>
      </c>
      <c r="L872" s="59"/>
      <c r="M872" s="61">
        <v>8689950</v>
      </c>
      <c r="N872" s="61">
        <v>-8689950</v>
      </c>
      <c r="O872" s="61">
        <v>3658027378.9785442</v>
      </c>
    </row>
    <row r="873" spans="1:15" x14ac:dyDescent="0.25">
      <c r="A873" s="62">
        <v>46136</v>
      </c>
      <c r="B873">
        <v>4</v>
      </c>
      <c r="C873" t="s">
        <v>1133</v>
      </c>
      <c r="D873">
        <v>2014264</v>
      </c>
      <c r="E873" t="s">
        <v>1167</v>
      </c>
      <c r="F873" t="s">
        <v>1174</v>
      </c>
      <c r="G873" t="s">
        <v>1136</v>
      </c>
      <c r="H873" t="s">
        <v>1145</v>
      </c>
      <c r="I873" s="63">
        <v>46082</v>
      </c>
      <c r="J873" t="s">
        <v>594</v>
      </c>
      <c r="K873" t="s">
        <v>1148</v>
      </c>
      <c r="M873" s="64">
        <v>6267400</v>
      </c>
      <c r="N873" s="64">
        <v>-6267400</v>
      </c>
      <c r="O873" s="64">
        <v>3651759978.9785442</v>
      </c>
    </row>
    <row r="874" spans="1:15" x14ac:dyDescent="0.25">
      <c r="A874" s="58">
        <v>46136</v>
      </c>
      <c r="B874" s="59">
        <v>4</v>
      </c>
      <c r="C874" s="59" t="s">
        <v>1133</v>
      </c>
      <c r="D874" s="59">
        <v>2014266</v>
      </c>
      <c r="E874" s="59" t="s">
        <v>1167</v>
      </c>
      <c r="F874" s="59" t="s">
        <v>1174</v>
      </c>
      <c r="G874" s="59" t="s">
        <v>1136</v>
      </c>
      <c r="H874" s="59" t="s">
        <v>1145</v>
      </c>
      <c r="I874" s="60">
        <v>46082</v>
      </c>
      <c r="J874" s="59" t="s">
        <v>594</v>
      </c>
      <c r="K874" s="59" t="s">
        <v>1150</v>
      </c>
      <c r="L874" s="59"/>
      <c r="M874" s="61">
        <v>378982.74</v>
      </c>
      <c r="N874" s="61">
        <v>-378982.74</v>
      </c>
      <c r="O874" s="61">
        <v>3651380996.238544</v>
      </c>
    </row>
    <row r="875" spans="1:15" x14ac:dyDescent="0.25">
      <c r="A875" s="62">
        <v>46136</v>
      </c>
      <c r="B875">
        <v>4</v>
      </c>
      <c r="C875" t="s">
        <v>1133</v>
      </c>
      <c r="D875">
        <v>2014264</v>
      </c>
      <c r="E875" t="s">
        <v>1167</v>
      </c>
      <c r="F875" t="s">
        <v>1174</v>
      </c>
      <c r="G875" t="s">
        <v>1136</v>
      </c>
      <c r="H875" t="s">
        <v>1145</v>
      </c>
      <c r="I875" s="63">
        <v>46082</v>
      </c>
      <c r="J875" t="s">
        <v>594</v>
      </c>
      <c r="K875" t="s">
        <v>1148</v>
      </c>
      <c r="M875" s="64">
        <v>3534605.73</v>
      </c>
      <c r="N875" s="64">
        <v>-3534605.73</v>
      </c>
      <c r="O875" s="64">
        <v>3647846390.508544</v>
      </c>
    </row>
    <row r="876" spans="1:15" x14ac:dyDescent="0.25">
      <c r="A876" s="58">
        <v>46136</v>
      </c>
      <c r="B876" s="59">
        <v>4</v>
      </c>
      <c r="C876" s="59" t="s">
        <v>1133</v>
      </c>
      <c r="D876" s="59">
        <v>2044122</v>
      </c>
      <c r="E876" s="59" t="s">
        <v>1167</v>
      </c>
      <c r="F876" s="59" t="s">
        <v>1135</v>
      </c>
      <c r="G876" s="59" t="s">
        <v>1136</v>
      </c>
      <c r="H876" s="59" t="s">
        <v>1175</v>
      </c>
      <c r="I876" s="60">
        <v>46082</v>
      </c>
      <c r="J876" s="59" t="s">
        <v>596</v>
      </c>
      <c r="K876" s="59" t="s">
        <v>1138</v>
      </c>
      <c r="L876" s="59"/>
      <c r="M876" s="61">
        <v>18080987.699999999</v>
      </c>
      <c r="N876" s="61">
        <v>-18080987.699999999</v>
      </c>
      <c r="O876" s="61">
        <v>3462054735.2485452</v>
      </c>
    </row>
    <row r="877" spans="1:15" x14ac:dyDescent="0.25">
      <c r="A877" s="62">
        <v>46136</v>
      </c>
      <c r="B877">
        <v>4</v>
      </c>
      <c r="C877" t="s">
        <v>1133</v>
      </c>
      <c r="D877">
        <v>2044122</v>
      </c>
      <c r="E877" t="s">
        <v>1167</v>
      </c>
      <c r="F877" t="s">
        <v>1135</v>
      </c>
      <c r="G877" t="s">
        <v>1136</v>
      </c>
      <c r="H877" t="s">
        <v>1175</v>
      </c>
      <c r="I877" s="63">
        <v>46082</v>
      </c>
      <c r="J877" t="s">
        <v>597</v>
      </c>
      <c r="K877" t="s">
        <v>1138</v>
      </c>
      <c r="M877" s="64">
        <v>14136184.800000001</v>
      </c>
      <c r="N877" s="64">
        <v>-14136184.800000001</v>
      </c>
      <c r="O877" s="64">
        <v>3447918550.448545</v>
      </c>
    </row>
    <row r="878" spans="1:15" x14ac:dyDescent="0.25">
      <c r="A878" s="58">
        <v>46136</v>
      </c>
      <c r="B878" s="59">
        <v>4</v>
      </c>
      <c r="C878" s="59" t="s">
        <v>1133</v>
      </c>
      <c r="D878" s="59">
        <v>2044461</v>
      </c>
      <c r="E878" s="59" t="s">
        <v>1167</v>
      </c>
      <c r="F878" s="59" t="s">
        <v>1135</v>
      </c>
      <c r="G878" s="59" t="s">
        <v>1136</v>
      </c>
      <c r="H878" s="59" t="s">
        <v>1140</v>
      </c>
      <c r="I878" s="60">
        <v>46082</v>
      </c>
      <c r="J878" s="59" t="s">
        <v>598</v>
      </c>
      <c r="K878" s="59" t="s">
        <v>1142</v>
      </c>
      <c r="L878" s="59"/>
      <c r="M878" s="61">
        <v>1334139.55</v>
      </c>
      <c r="N878" s="61">
        <v>-1334139.55</v>
      </c>
      <c r="O878" s="61">
        <v>3446584410.8985438</v>
      </c>
    </row>
    <row r="879" spans="1:15" x14ac:dyDescent="0.25">
      <c r="A879" s="62">
        <v>46136</v>
      </c>
      <c r="B879">
        <v>4</v>
      </c>
      <c r="C879" t="s">
        <v>1133</v>
      </c>
      <c r="D879">
        <v>2044463</v>
      </c>
      <c r="E879" t="s">
        <v>1167</v>
      </c>
      <c r="F879" t="s">
        <v>1135</v>
      </c>
      <c r="G879" t="s">
        <v>1136</v>
      </c>
      <c r="H879" t="s">
        <v>1140</v>
      </c>
      <c r="I879" s="63">
        <v>46082</v>
      </c>
      <c r="J879" t="s">
        <v>599</v>
      </c>
      <c r="K879" t="s">
        <v>1146</v>
      </c>
      <c r="M879" s="64">
        <v>1924764.03</v>
      </c>
      <c r="N879" s="64">
        <v>-1924764.03</v>
      </c>
      <c r="O879" s="64">
        <v>3444659646.8685441</v>
      </c>
    </row>
    <row r="880" spans="1:15" x14ac:dyDescent="0.25">
      <c r="A880" s="58">
        <v>46139</v>
      </c>
      <c r="B880" s="59">
        <v>4</v>
      </c>
      <c r="C880" s="59" t="s">
        <v>1144</v>
      </c>
      <c r="D880" s="59">
        <v>2054381</v>
      </c>
      <c r="E880" s="59" t="s">
        <v>1167</v>
      </c>
      <c r="F880" s="59" t="s">
        <v>1169</v>
      </c>
      <c r="G880" s="59" t="s">
        <v>1136</v>
      </c>
      <c r="H880" s="59" t="s">
        <v>1163</v>
      </c>
      <c r="I880" s="60">
        <v>46113</v>
      </c>
      <c r="J880" s="59" t="s">
        <v>600</v>
      </c>
      <c r="K880" s="59" t="s">
        <v>1142</v>
      </c>
      <c r="L880" s="59"/>
      <c r="M880" s="61">
        <v>12156414</v>
      </c>
      <c r="N880" s="61">
        <v>-12156414</v>
      </c>
      <c r="O880" s="61">
        <v>3432503232.8685441</v>
      </c>
    </row>
    <row r="881" spans="1:15" x14ac:dyDescent="0.25">
      <c r="A881" s="62">
        <v>46139</v>
      </c>
      <c r="B881">
        <v>4</v>
      </c>
      <c r="C881" t="s">
        <v>1144</v>
      </c>
      <c r="D881">
        <v>2014201</v>
      </c>
      <c r="E881" t="s">
        <v>1167</v>
      </c>
      <c r="F881" t="s">
        <v>1174</v>
      </c>
      <c r="G881" t="s">
        <v>1136</v>
      </c>
      <c r="H881" t="s">
        <v>1139</v>
      </c>
      <c r="I881" s="63">
        <v>46113</v>
      </c>
      <c r="J881" t="s">
        <v>601</v>
      </c>
      <c r="K881" t="s">
        <v>1142</v>
      </c>
      <c r="M881" s="64">
        <v>4922319.5</v>
      </c>
      <c r="N881" s="64">
        <v>-4922319.5</v>
      </c>
      <c r="O881" s="64">
        <v>3427580913.3685441</v>
      </c>
    </row>
    <row r="882" spans="1:15" x14ac:dyDescent="0.25">
      <c r="A882" s="58">
        <v>46139</v>
      </c>
      <c r="B882" s="59">
        <v>4</v>
      </c>
      <c r="C882" s="59" t="s">
        <v>1144</v>
      </c>
      <c r="D882" s="59">
        <v>2044122</v>
      </c>
      <c r="E882" s="59" t="s">
        <v>1167</v>
      </c>
      <c r="F882" s="59" t="s">
        <v>1135</v>
      </c>
      <c r="G882" s="59" t="s">
        <v>1136</v>
      </c>
      <c r="H882" s="59" t="s">
        <v>1175</v>
      </c>
      <c r="I882" s="60">
        <v>46082</v>
      </c>
      <c r="J882" s="59" t="s">
        <v>602</v>
      </c>
      <c r="K882" s="59" t="s">
        <v>1138</v>
      </c>
      <c r="L882" s="59"/>
      <c r="M882" s="61">
        <v>15964668.6</v>
      </c>
      <c r="N882" s="61">
        <v>-15964668.6</v>
      </c>
      <c r="O882" s="61">
        <v>3411616244.7685442</v>
      </c>
    </row>
    <row r="883" spans="1:15" x14ac:dyDescent="0.25">
      <c r="A883" s="62">
        <v>46139</v>
      </c>
      <c r="B883">
        <v>4</v>
      </c>
      <c r="C883" t="s">
        <v>1144</v>
      </c>
      <c r="D883">
        <v>2044122</v>
      </c>
      <c r="E883" t="s">
        <v>1167</v>
      </c>
      <c r="F883" t="s">
        <v>1135</v>
      </c>
      <c r="G883" t="s">
        <v>1136</v>
      </c>
      <c r="H883" t="s">
        <v>1175</v>
      </c>
      <c r="I883" s="63">
        <v>46082</v>
      </c>
      <c r="J883" t="s">
        <v>603</v>
      </c>
      <c r="K883" t="s">
        <v>1138</v>
      </c>
      <c r="M883" s="64">
        <v>16662748.199999999</v>
      </c>
      <c r="N883" s="64">
        <v>-16662748.199999999</v>
      </c>
      <c r="O883" s="64">
        <v>3394953496.5685439</v>
      </c>
    </row>
    <row r="884" spans="1:15" x14ac:dyDescent="0.25">
      <c r="A884" s="58">
        <v>46140</v>
      </c>
      <c r="B884" s="59">
        <v>4</v>
      </c>
      <c r="C884" s="59" t="s">
        <v>1161</v>
      </c>
      <c r="D884" s="59">
        <v>2044122</v>
      </c>
      <c r="E884" s="59" t="s">
        <v>1167</v>
      </c>
      <c r="F884" s="59" t="s">
        <v>1135</v>
      </c>
      <c r="G884" s="59" t="s">
        <v>1136</v>
      </c>
      <c r="H884" s="59" t="s">
        <v>1175</v>
      </c>
      <c r="I884" s="60">
        <v>46082</v>
      </c>
      <c r="J884" s="59" t="s">
        <v>605</v>
      </c>
      <c r="K884" s="59" t="s">
        <v>1138</v>
      </c>
      <c r="L884" s="59"/>
      <c r="M884" s="61">
        <v>17018874.100000001</v>
      </c>
      <c r="N884" s="61">
        <v>-17018874.100000001</v>
      </c>
      <c r="O884" s="61">
        <v>3939372870.7685452</v>
      </c>
    </row>
    <row r="885" spans="1:15" x14ac:dyDescent="0.25">
      <c r="A885" s="62">
        <v>46140</v>
      </c>
      <c r="B885">
        <v>4</v>
      </c>
      <c r="C885" t="s">
        <v>1161</v>
      </c>
      <c r="D885">
        <v>2044122</v>
      </c>
      <c r="E885" t="s">
        <v>1167</v>
      </c>
      <c r="F885" t="s">
        <v>1135</v>
      </c>
      <c r="G885" t="s">
        <v>1136</v>
      </c>
      <c r="H885" t="s">
        <v>1175</v>
      </c>
      <c r="I885" s="63">
        <v>46082</v>
      </c>
      <c r="J885" t="s">
        <v>606</v>
      </c>
      <c r="K885" t="s">
        <v>1138</v>
      </c>
      <c r="M885" s="64">
        <v>17181028.699999999</v>
      </c>
      <c r="N885" s="64">
        <v>-17181028.699999999</v>
      </c>
      <c r="O885" s="64">
        <v>3922191842.0685449</v>
      </c>
    </row>
    <row r="886" spans="1:15" x14ac:dyDescent="0.25">
      <c r="A886" s="58">
        <v>46141</v>
      </c>
      <c r="B886" s="59">
        <v>4</v>
      </c>
      <c r="C886" s="59" t="s">
        <v>1166</v>
      </c>
      <c r="D886" s="59">
        <v>2044122</v>
      </c>
      <c r="E886" s="59" t="s">
        <v>1167</v>
      </c>
      <c r="F886" s="59" t="s">
        <v>1135</v>
      </c>
      <c r="G886" s="59" t="s">
        <v>1136</v>
      </c>
      <c r="H886" s="59" t="s">
        <v>1175</v>
      </c>
      <c r="I886" s="60">
        <v>46082</v>
      </c>
      <c r="J886" s="59" t="s">
        <v>607</v>
      </c>
      <c r="K886" s="59" t="s">
        <v>1138</v>
      </c>
      <c r="L886" s="59"/>
      <c r="M886" s="61">
        <v>17007727</v>
      </c>
      <c r="N886" s="61">
        <v>-17007727</v>
      </c>
      <c r="O886" s="61">
        <v>3905184115.0685449</v>
      </c>
    </row>
    <row r="887" spans="1:15" x14ac:dyDescent="0.25">
      <c r="A887" s="62">
        <v>46141</v>
      </c>
      <c r="B887">
        <v>4</v>
      </c>
      <c r="C887" t="s">
        <v>1166</v>
      </c>
      <c r="D887">
        <v>2044122</v>
      </c>
      <c r="E887" t="s">
        <v>1167</v>
      </c>
      <c r="F887" t="s">
        <v>1135</v>
      </c>
      <c r="G887" t="s">
        <v>1136</v>
      </c>
      <c r="H887" t="s">
        <v>1175</v>
      </c>
      <c r="I887" s="63">
        <v>46082</v>
      </c>
      <c r="J887" t="s">
        <v>608</v>
      </c>
      <c r="K887" t="s">
        <v>1138</v>
      </c>
      <c r="M887" s="64">
        <v>14454133.6</v>
      </c>
      <c r="N887" s="64">
        <v>-14454133.6</v>
      </c>
      <c r="O887" s="64">
        <v>3890729981.468545</v>
      </c>
    </row>
    <row r="888" spans="1:15" x14ac:dyDescent="0.25">
      <c r="A888" s="58">
        <v>46142</v>
      </c>
      <c r="B888" s="59">
        <v>4</v>
      </c>
      <c r="C888" s="59" t="s">
        <v>1171</v>
      </c>
      <c r="D888" s="59">
        <v>2044122</v>
      </c>
      <c r="E888" s="59" t="s">
        <v>1167</v>
      </c>
      <c r="F888" s="59" t="s">
        <v>1135</v>
      </c>
      <c r="G888" s="59" t="s">
        <v>1136</v>
      </c>
      <c r="H888" s="59" t="s">
        <v>1175</v>
      </c>
      <c r="I888" s="60">
        <v>46082</v>
      </c>
      <c r="J888" s="59" t="s">
        <v>609</v>
      </c>
      <c r="K888" s="59" t="s">
        <v>1138</v>
      </c>
      <c r="L888" s="59"/>
      <c r="M888" s="61">
        <v>14314152.300000001</v>
      </c>
      <c r="N888" s="61">
        <v>-14314152.300000001</v>
      </c>
      <c r="O888" s="61">
        <v>3876415829.1685448</v>
      </c>
    </row>
    <row r="889" spans="1:15" x14ac:dyDescent="0.25">
      <c r="A889" s="62">
        <v>46142</v>
      </c>
      <c r="B889">
        <v>4</v>
      </c>
      <c r="C889" t="s">
        <v>1171</v>
      </c>
      <c r="D889">
        <v>2044462</v>
      </c>
      <c r="E889" t="s">
        <v>1167</v>
      </c>
      <c r="F889" t="s">
        <v>1135</v>
      </c>
      <c r="G889" t="s">
        <v>1136</v>
      </c>
      <c r="H889" t="s">
        <v>1140</v>
      </c>
      <c r="I889" s="63">
        <v>46113</v>
      </c>
      <c r="J889" t="s">
        <v>610</v>
      </c>
      <c r="K889" t="s">
        <v>1138</v>
      </c>
      <c r="M889" s="64">
        <v>7629</v>
      </c>
      <c r="N889" s="64">
        <v>-7629</v>
      </c>
      <c r="O889" s="64">
        <v>3876408200.1685448</v>
      </c>
    </row>
    <row r="890" spans="1:15" x14ac:dyDescent="0.25">
      <c r="A890" s="58">
        <v>46142</v>
      </c>
      <c r="B890" s="59">
        <v>4</v>
      </c>
      <c r="C890" s="59" t="s">
        <v>1171</v>
      </c>
      <c r="D890" s="59">
        <v>2044462</v>
      </c>
      <c r="E890" s="59" t="s">
        <v>1167</v>
      </c>
      <c r="F890" s="59" t="s">
        <v>1135</v>
      </c>
      <c r="G890" s="59" t="s">
        <v>1136</v>
      </c>
      <c r="H890" s="59" t="s">
        <v>1140</v>
      </c>
      <c r="I890" s="60">
        <v>46082</v>
      </c>
      <c r="J890" s="59" t="s">
        <v>611</v>
      </c>
      <c r="K890" s="59" t="s">
        <v>1138</v>
      </c>
      <c r="L890" s="59"/>
      <c r="M890" s="61">
        <v>15479181.9</v>
      </c>
      <c r="N890" s="61">
        <v>-15479181.9</v>
      </c>
      <c r="O890" s="61">
        <v>3860929018.2685452</v>
      </c>
    </row>
    <row r="891" spans="1:15" x14ac:dyDescent="0.25">
      <c r="A891" s="62">
        <v>46142</v>
      </c>
      <c r="B891">
        <v>4</v>
      </c>
      <c r="C891" t="s">
        <v>1171</v>
      </c>
      <c r="D891">
        <v>1044126</v>
      </c>
      <c r="E891" t="s">
        <v>1134</v>
      </c>
      <c r="F891" t="s">
        <v>1135</v>
      </c>
      <c r="G891" t="s">
        <v>1136</v>
      </c>
      <c r="H891" t="s">
        <v>1175</v>
      </c>
      <c r="I891" s="63">
        <v>46054</v>
      </c>
      <c r="J891" t="s">
        <v>615</v>
      </c>
      <c r="K891" t="s">
        <v>1150</v>
      </c>
      <c r="L891" s="64">
        <v>17718882.399999999</v>
      </c>
      <c r="N891" s="64">
        <v>17718882.399999999</v>
      </c>
      <c r="O891" s="64">
        <v>3912467392.7585449</v>
      </c>
    </row>
    <row r="892" spans="1:15" x14ac:dyDescent="0.25">
      <c r="A892" s="58">
        <v>46142</v>
      </c>
      <c r="B892" s="59">
        <v>4</v>
      </c>
      <c r="C892" s="59" t="s">
        <v>1171</v>
      </c>
      <c r="D892" s="59">
        <v>1044246</v>
      </c>
      <c r="E892" s="59" t="s">
        <v>1134</v>
      </c>
      <c r="F892" s="59" t="s">
        <v>1135</v>
      </c>
      <c r="G892" s="59" t="s">
        <v>1136</v>
      </c>
      <c r="H892" s="59" t="s">
        <v>1153</v>
      </c>
      <c r="I892" s="60">
        <v>46054</v>
      </c>
      <c r="J892" s="59" t="s">
        <v>615</v>
      </c>
      <c r="K892" s="59" t="s">
        <v>1150</v>
      </c>
      <c r="L892" s="61">
        <v>375324.98</v>
      </c>
      <c r="M892" s="59"/>
      <c r="N892" s="61">
        <v>375324.98</v>
      </c>
      <c r="O892" s="61">
        <v>3922741384.5185452</v>
      </c>
    </row>
    <row r="893" spans="1:15" x14ac:dyDescent="0.25">
      <c r="A893" s="62">
        <v>46142</v>
      </c>
      <c r="B893">
        <v>4</v>
      </c>
      <c r="C893" t="s">
        <v>1171</v>
      </c>
      <c r="D893">
        <v>1044366</v>
      </c>
      <c r="E893" t="s">
        <v>1134</v>
      </c>
      <c r="F893" t="s">
        <v>1135</v>
      </c>
      <c r="G893" t="s">
        <v>1136</v>
      </c>
      <c r="H893" t="s">
        <v>1158</v>
      </c>
      <c r="I893" s="63">
        <v>46054</v>
      </c>
      <c r="J893" t="s">
        <v>615</v>
      </c>
      <c r="K893" t="s">
        <v>1150</v>
      </c>
      <c r="L893" s="64">
        <v>599044</v>
      </c>
      <c r="N893" s="64">
        <v>599044</v>
      </c>
      <c r="O893" s="64">
        <v>3923340428.5185452</v>
      </c>
    </row>
    <row r="894" spans="1:15" x14ac:dyDescent="0.25">
      <c r="A894" s="58">
        <v>46146</v>
      </c>
      <c r="B894" s="59">
        <v>5</v>
      </c>
      <c r="C894" s="59" t="s">
        <v>1144</v>
      </c>
      <c r="D894" s="59">
        <v>2044122</v>
      </c>
      <c r="E894" s="59" t="s">
        <v>1167</v>
      </c>
      <c r="F894" s="59" t="s">
        <v>1135</v>
      </c>
      <c r="G894" s="59" t="s">
        <v>1136</v>
      </c>
      <c r="H894" s="59" t="s">
        <v>1175</v>
      </c>
      <c r="I894" s="60">
        <v>46082</v>
      </c>
      <c r="J894" s="59" t="s">
        <v>616</v>
      </c>
      <c r="K894" s="59" t="s">
        <v>1138</v>
      </c>
      <c r="L894" s="59"/>
      <c r="M894" s="61">
        <v>16061005.4</v>
      </c>
      <c r="N894" s="61">
        <v>-16061005.4</v>
      </c>
      <c r="O894" s="61">
        <v>3909522394.0585451</v>
      </c>
    </row>
    <row r="895" spans="1:15" x14ac:dyDescent="0.25">
      <c r="A895" s="62">
        <v>46146</v>
      </c>
      <c r="B895">
        <v>5</v>
      </c>
      <c r="C895" t="s">
        <v>1144</v>
      </c>
      <c r="D895">
        <v>2044122</v>
      </c>
      <c r="E895" t="s">
        <v>1167</v>
      </c>
      <c r="F895" t="s">
        <v>1135</v>
      </c>
      <c r="G895" t="s">
        <v>1136</v>
      </c>
      <c r="H895" t="s">
        <v>1175</v>
      </c>
      <c r="I895" s="63">
        <v>46082</v>
      </c>
      <c r="J895" t="s">
        <v>617</v>
      </c>
      <c r="K895" t="s">
        <v>1138</v>
      </c>
      <c r="M895" s="64">
        <v>14737690.5</v>
      </c>
      <c r="N895" s="64">
        <v>-14737690.5</v>
      </c>
      <c r="O895" s="64">
        <v>3894784703.5585451</v>
      </c>
    </row>
    <row r="896" spans="1:15" x14ac:dyDescent="0.25">
      <c r="A896" s="58">
        <v>46146</v>
      </c>
      <c r="B896" s="59">
        <v>5</v>
      </c>
      <c r="C896" s="59" t="s">
        <v>1144</v>
      </c>
      <c r="D896" s="59">
        <v>1044122</v>
      </c>
      <c r="E896" s="59" t="s">
        <v>1134</v>
      </c>
      <c r="F896" s="59" t="s">
        <v>1135</v>
      </c>
      <c r="G896" s="59" t="s">
        <v>1136</v>
      </c>
      <c r="H896" s="59" t="s">
        <v>1175</v>
      </c>
      <c r="I896" s="60">
        <v>46082</v>
      </c>
      <c r="J896" s="59" t="s">
        <v>618</v>
      </c>
      <c r="K896" s="59" t="s">
        <v>1138</v>
      </c>
      <c r="L896" s="61">
        <v>90932992</v>
      </c>
      <c r="M896" s="59"/>
      <c r="N896" s="61">
        <v>90932992</v>
      </c>
      <c r="O896" s="61">
        <v>4403100362.3785467</v>
      </c>
    </row>
    <row r="897" spans="1:15" x14ac:dyDescent="0.25">
      <c r="A897" s="62">
        <v>46146</v>
      </c>
      <c r="B897">
        <v>5</v>
      </c>
      <c r="C897" t="s">
        <v>1144</v>
      </c>
      <c r="D897">
        <v>1044122</v>
      </c>
      <c r="E897" t="s">
        <v>1134</v>
      </c>
      <c r="F897" t="s">
        <v>1135</v>
      </c>
      <c r="G897" t="s">
        <v>1136</v>
      </c>
      <c r="H897" t="s">
        <v>1175</v>
      </c>
      <c r="I897" s="63">
        <v>46082</v>
      </c>
      <c r="J897" t="s">
        <v>618</v>
      </c>
      <c r="K897" t="s">
        <v>1138</v>
      </c>
      <c r="L897" s="64">
        <v>94232233.200000003</v>
      </c>
      <c r="N897" s="64">
        <v>94232233.200000003</v>
      </c>
      <c r="O897" s="64">
        <v>4497332595.5785465</v>
      </c>
    </row>
    <row r="898" spans="1:15" x14ac:dyDescent="0.25">
      <c r="A898" s="58">
        <v>46146</v>
      </c>
      <c r="B898" s="59">
        <v>5</v>
      </c>
      <c r="C898" s="59" t="s">
        <v>1144</v>
      </c>
      <c r="D898" s="59">
        <v>1044312</v>
      </c>
      <c r="E898" s="59" t="s">
        <v>1134</v>
      </c>
      <c r="F898" s="59" t="s">
        <v>1135</v>
      </c>
      <c r="G898" s="59" t="s">
        <v>1136</v>
      </c>
      <c r="H898" s="59" t="s">
        <v>1137</v>
      </c>
      <c r="I898" s="60">
        <v>46113</v>
      </c>
      <c r="J898" s="59" t="s">
        <v>618</v>
      </c>
      <c r="K898" s="59" t="s">
        <v>1138</v>
      </c>
      <c r="L898" s="61">
        <v>28375900</v>
      </c>
      <c r="M898" s="59"/>
      <c r="N898" s="61">
        <v>28375900</v>
      </c>
      <c r="O898" s="61">
        <v>4525708495.5785465</v>
      </c>
    </row>
    <row r="899" spans="1:15" x14ac:dyDescent="0.25">
      <c r="A899" s="62">
        <v>46146</v>
      </c>
      <c r="B899">
        <v>5</v>
      </c>
      <c r="C899" t="s">
        <v>1144</v>
      </c>
      <c r="D899">
        <v>1044202</v>
      </c>
      <c r="E899" t="s">
        <v>1134</v>
      </c>
      <c r="F899" t="s">
        <v>1135</v>
      </c>
      <c r="G899" t="s">
        <v>1136</v>
      </c>
      <c r="H899" t="s">
        <v>1139</v>
      </c>
      <c r="I899" s="63">
        <v>46113</v>
      </c>
      <c r="J899" t="s">
        <v>618</v>
      </c>
      <c r="K899" t="s">
        <v>1138</v>
      </c>
      <c r="L899" s="64">
        <v>30706345.550000001</v>
      </c>
      <c r="N899" s="64">
        <v>30706345.550000001</v>
      </c>
      <c r="O899" s="64">
        <v>4556414841.1285467</v>
      </c>
    </row>
    <row r="900" spans="1:15" x14ac:dyDescent="0.25">
      <c r="A900" s="58">
        <v>46146</v>
      </c>
      <c r="B900" s="59">
        <v>5</v>
      </c>
      <c r="C900" s="59" t="s">
        <v>1144</v>
      </c>
      <c r="D900" s="59">
        <v>1044462</v>
      </c>
      <c r="E900" s="59" t="s">
        <v>1134</v>
      </c>
      <c r="F900" s="59" t="s">
        <v>1135</v>
      </c>
      <c r="G900" s="59" t="s">
        <v>1136</v>
      </c>
      <c r="H900" s="59" t="s">
        <v>1140</v>
      </c>
      <c r="I900" s="60">
        <v>46113</v>
      </c>
      <c r="J900" s="59" t="s">
        <v>618</v>
      </c>
      <c r="K900" s="59" t="s">
        <v>1138</v>
      </c>
      <c r="L900" s="61">
        <v>2894446.03</v>
      </c>
      <c r="M900" s="59"/>
      <c r="N900" s="61">
        <v>2894446.03</v>
      </c>
      <c r="O900" s="61">
        <v>4559309287.1585464</v>
      </c>
    </row>
    <row r="901" spans="1:15" x14ac:dyDescent="0.25">
      <c r="A901" s="62">
        <v>46146</v>
      </c>
      <c r="B901">
        <v>5</v>
      </c>
      <c r="C901" t="s">
        <v>1144</v>
      </c>
      <c r="D901">
        <v>1044174</v>
      </c>
      <c r="E901" t="s">
        <v>1134</v>
      </c>
      <c r="F901" t="s">
        <v>1135</v>
      </c>
      <c r="G901" t="s">
        <v>1136</v>
      </c>
      <c r="H901" t="s">
        <v>1147</v>
      </c>
      <c r="I901" s="63">
        <v>46113</v>
      </c>
      <c r="J901" t="s">
        <v>624</v>
      </c>
      <c r="K901" t="s">
        <v>1148</v>
      </c>
      <c r="L901" s="64">
        <v>25850100</v>
      </c>
      <c r="N901" s="64">
        <v>25850100</v>
      </c>
      <c r="O901" s="64">
        <v>5137847475.4085464</v>
      </c>
    </row>
    <row r="902" spans="1:15" x14ac:dyDescent="0.25">
      <c r="A902" s="58">
        <v>46146</v>
      </c>
      <c r="B902" s="59">
        <v>5</v>
      </c>
      <c r="C902" s="59" t="s">
        <v>1144</v>
      </c>
      <c r="D902" s="59">
        <v>1044196</v>
      </c>
      <c r="E902" s="59" t="s">
        <v>1134</v>
      </c>
      <c r="F902" s="59" t="s">
        <v>1135</v>
      </c>
      <c r="G902" s="59" t="s">
        <v>1136</v>
      </c>
      <c r="H902" s="59" t="s">
        <v>1149</v>
      </c>
      <c r="I902" s="60">
        <v>46113</v>
      </c>
      <c r="J902" s="59" t="s">
        <v>624</v>
      </c>
      <c r="K902" s="59" t="s">
        <v>1150</v>
      </c>
      <c r="L902" s="61">
        <v>16610947.619999999</v>
      </c>
      <c r="M902" s="59"/>
      <c r="N902" s="61">
        <v>16610947.619999999</v>
      </c>
      <c r="O902" s="61">
        <v>5154458423.0285463</v>
      </c>
    </row>
    <row r="903" spans="1:15" x14ac:dyDescent="0.25">
      <c r="A903" s="62">
        <v>46146</v>
      </c>
      <c r="B903">
        <v>5</v>
      </c>
      <c r="C903" t="s">
        <v>1144</v>
      </c>
      <c r="D903">
        <v>1044214</v>
      </c>
      <c r="E903" t="s">
        <v>1134</v>
      </c>
      <c r="F903" t="s">
        <v>1135</v>
      </c>
      <c r="G903" t="s">
        <v>1136</v>
      </c>
      <c r="H903" t="s">
        <v>1151</v>
      </c>
      <c r="I903" s="63">
        <v>46113</v>
      </c>
      <c r="J903" t="s">
        <v>624</v>
      </c>
      <c r="K903" t="s">
        <v>1148</v>
      </c>
      <c r="L903" s="64">
        <v>9020728.6699999999</v>
      </c>
      <c r="N903" s="64">
        <v>9020728.6699999999</v>
      </c>
      <c r="O903" s="64">
        <v>5163479151.6985464</v>
      </c>
    </row>
    <row r="904" spans="1:15" x14ac:dyDescent="0.25">
      <c r="A904" s="58">
        <v>46146</v>
      </c>
      <c r="B904" s="59">
        <v>5</v>
      </c>
      <c r="C904" s="59" t="s">
        <v>1144</v>
      </c>
      <c r="D904" s="59">
        <v>1044234</v>
      </c>
      <c r="E904" s="59" t="s">
        <v>1134</v>
      </c>
      <c r="F904" s="59" t="s">
        <v>1135</v>
      </c>
      <c r="G904" s="59" t="s">
        <v>1136</v>
      </c>
      <c r="H904" s="59" t="s">
        <v>1152</v>
      </c>
      <c r="I904" s="60">
        <v>46113</v>
      </c>
      <c r="J904" s="59" t="s">
        <v>624</v>
      </c>
      <c r="K904" s="59" t="s">
        <v>1148</v>
      </c>
      <c r="L904" s="61">
        <v>30210305.440000001</v>
      </c>
      <c r="M904" s="59"/>
      <c r="N904" s="61">
        <v>30210305.440000001</v>
      </c>
      <c r="O904" s="61">
        <v>5193689457.138546</v>
      </c>
    </row>
    <row r="905" spans="1:15" x14ac:dyDescent="0.25">
      <c r="A905" s="62">
        <v>46146</v>
      </c>
      <c r="B905">
        <v>5</v>
      </c>
      <c r="C905" t="s">
        <v>1144</v>
      </c>
      <c r="D905">
        <v>1044244</v>
      </c>
      <c r="E905" t="s">
        <v>1134</v>
      </c>
      <c r="F905" t="s">
        <v>1135</v>
      </c>
      <c r="G905" t="s">
        <v>1136</v>
      </c>
      <c r="H905" t="s">
        <v>1153</v>
      </c>
      <c r="I905" s="63">
        <v>46113</v>
      </c>
      <c r="J905" t="s">
        <v>624</v>
      </c>
      <c r="K905" t="s">
        <v>1148</v>
      </c>
      <c r="L905" s="64">
        <v>12078540.83</v>
      </c>
      <c r="N905" s="64">
        <v>12078540.83</v>
      </c>
      <c r="O905" s="64">
        <v>5205767997.9685459</v>
      </c>
    </row>
    <row r="906" spans="1:15" x14ac:dyDescent="0.25">
      <c r="A906" s="58">
        <v>46146</v>
      </c>
      <c r="B906" s="59">
        <v>5</v>
      </c>
      <c r="C906" s="59" t="s">
        <v>1144</v>
      </c>
      <c r="D906" s="59">
        <v>1044264</v>
      </c>
      <c r="E906" s="59" t="s">
        <v>1134</v>
      </c>
      <c r="F906" s="59" t="s">
        <v>1135</v>
      </c>
      <c r="G906" s="59" t="s">
        <v>1136</v>
      </c>
      <c r="H906" s="59" t="s">
        <v>1145</v>
      </c>
      <c r="I906" s="60">
        <v>46113</v>
      </c>
      <c r="J906" s="59" t="s">
        <v>624</v>
      </c>
      <c r="K906" s="59" t="s">
        <v>1148</v>
      </c>
      <c r="L906" s="61">
        <v>3821300</v>
      </c>
      <c r="M906" s="59"/>
      <c r="N906" s="61">
        <v>3821300</v>
      </c>
      <c r="O906" s="61">
        <v>5209589297.9685459</v>
      </c>
    </row>
    <row r="907" spans="1:15" x14ac:dyDescent="0.25">
      <c r="A907" s="62">
        <v>46146</v>
      </c>
      <c r="B907">
        <v>5</v>
      </c>
      <c r="C907" t="s">
        <v>1144</v>
      </c>
      <c r="D907">
        <v>1044266</v>
      </c>
      <c r="E907" t="s">
        <v>1134</v>
      </c>
      <c r="F907" t="s">
        <v>1135</v>
      </c>
      <c r="G907" t="s">
        <v>1136</v>
      </c>
      <c r="H907" t="s">
        <v>1145</v>
      </c>
      <c r="I907" s="63">
        <v>46113</v>
      </c>
      <c r="J907" t="s">
        <v>624</v>
      </c>
      <c r="K907" t="s">
        <v>1150</v>
      </c>
      <c r="L907" s="64">
        <v>5685514.7400000002</v>
      </c>
      <c r="N907" s="64">
        <v>5685514.7400000002</v>
      </c>
      <c r="O907" s="64">
        <v>5215274812.7085457</v>
      </c>
    </row>
    <row r="908" spans="1:15" x14ac:dyDescent="0.25">
      <c r="A908" s="58">
        <v>46146</v>
      </c>
      <c r="B908" s="59">
        <v>5</v>
      </c>
      <c r="C908" s="59" t="s">
        <v>1144</v>
      </c>
      <c r="D908" s="59">
        <v>1044264</v>
      </c>
      <c r="E908" s="59" t="s">
        <v>1134</v>
      </c>
      <c r="F908" s="59" t="s">
        <v>1135</v>
      </c>
      <c r="G908" s="59" t="s">
        <v>1136</v>
      </c>
      <c r="H908" s="59" t="s">
        <v>1145</v>
      </c>
      <c r="I908" s="60">
        <v>46113</v>
      </c>
      <c r="J908" s="59" t="s">
        <v>624</v>
      </c>
      <c r="K908" s="59" t="s">
        <v>1148</v>
      </c>
      <c r="L908" s="61">
        <v>60203.57</v>
      </c>
      <c r="M908" s="59"/>
      <c r="N908" s="61">
        <v>60203.57</v>
      </c>
      <c r="O908" s="61">
        <v>5215335016.2785454</v>
      </c>
    </row>
    <row r="909" spans="1:15" x14ac:dyDescent="0.25">
      <c r="A909" s="62">
        <v>46146</v>
      </c>
      <c r="B909">
        <v>5</v>
      </c>
      <c r="C909" t="s">
        <v>1144</v>
      </c>
      <c r="D909">
        <v>1044274</v>
      </c>
      <c r="E909" t="s">
        <v>1134</v>
      </c>
      <c r="F909" t="s">
        <v>1135</v>
      </c>
      <c r="G909" t="s">
        <v>1136</v>
      </c>
      <c r="H909" t="s">
        <v>1154</v>
      </c>
      <c r="I909" s="63">
        <v>46113</v>
      </c>
      <c r="J909" t="s">
        <v>624</v>
      </c>
      <c r="K909" t="s">
        <v>1148</v>
      </c>
      <c r="L909" s="64">
        <v>12227165.449999999</v>
      </c>
      <c r="N909" s="64">
        <v>12227165.449999999</v>
      </c>
      <c r="O909" s="64">
        <v>5227562181.7285452</v>
      </c>
    </row>
    <row r="910" spans="1:15" x14ac:dyDescent="0.25">
      <c r="A910" s="58">
        <v>46146</v>
      </c>
      <c r="B910" s="59">
        <v>5</v>
      </c>
      <c r="C910" s="59" t="s">
        <v>1144</v>
      </c>
      <c r="D910" s="59">
        <v>1044284</v>
      </c>
      <c r="E910" s="59" t="s">
        <v>1134</v>
      </c>
      <c r="F910" s="59" t="s">
        <v>1135</v>
      </c>
      <c r="G910" s="59" t="s">
        <v>1136</v>
      </c>
      <c r="H910" s="59" t="s">
        <v>1155</v>
      </c>
      <c r="I910" s="60">
        <v>46113</v>
      </c>
      <c r="J910" s="59" t="s">
        <v>624</v>
      </c>
      <c r="K910" s="59" t="s">
        <v>1148</v>
      </c>
      <c r="L910" s="61">
        <v>131146600</v>
      </c>
      <c r="M910" s="59"/>
      <c r="N910" s="61">
        <v>131146600</v>
      </c>
      <c r="O910" s="61">
        <v>5358708781.7285452</v>
      </c>
    </row>
    <row r="911" spans="1:15" x14ac:dyDescent="0.25">
      <c r="A911" s="62">
        <v>46146</v>
      </c>
      <c r="B911">
        <v>5</v>
      </c>
      <c r="C911" t="s">
        <v>1144</v>
      </c>
      <c r="D911">
        <v>1044286</v>
      </c>
      <c r="E911" t="s">
        <v>1134</v>
      </c>
      <c r="F911" t="s">
        <v>1135</v>
      </c>
      <c r="G911" t="s">
        <v>1136</v>
      </c>
      <c r="H911" t="s">
        <v>1155</v>
      </c>
      <c r="I911" s="63">
        <v>46113</v>
      </c>
      <c r="J911" t="s">
        <v>624</v>
      </c>
      <c r="K911" t="s">
        <v>1150</v>
      </c>
      <c r="L911" s="64">
        <v>8313588.2300000004</v>
      </c>
      <c r="N911" s="64">
        <v>8313588.2300000004</v>
      </c>
      <c r="O911" s="64">
        <v>5367022369.9585447</v>
      </c>
    </row>
    <row r="912" spans="1:15" x14ac:dyDescent="0.25">
      <c r="A912" s="58">
        <v>46146</v>
      </c>
      <c r="B912" s="59">
        <v>5</v>
      </c>
      <c r="C912" s="59" t="s">
        <v>1144</v>
      </c>
      <c r="D912" s="59">
        <v>1044464</v>
      </c>
      <c r="E912" s="59" t="s">
        <v>1134</v>
      </c>
      <c r="F912" s="59" t="s">
        <v>1135</v>
      </c>
      <c r="G912" s="59" t="s">
        <v>1136</v>
      </c>
      <c r="H912" s="59" t="s">
        <v>1140</v>
      </c>
      <c r="I912" s="60">
        <v>46113</v>
      </c>
      <c r="J912" s="59" t="s">
        <v>624</v>
      </c>
      <c r="K912" s="59" t="s">
        <v>1148</v>
      </c>
      <c r="L912" s="61">
        <v>7444682.4000000004</v>
      </c>
      <c r="M912" s="59"/>
      <c r="N912" s="61">
        <v>7444682.4000000004</v>
      </c>
      <c r="O912" s="61">
        <v>5374467052.3585443</v>
      </c>
    </row>
    <row r="913" spans="1:15" x14ac:dyDescent="0.25">
      <c r="A913" s="62">
        <v>46146</v>
      </c>
      <c r="B913">
        <v>5</v>
      </c>
      <c r="C913" t="s">
        <v>1144</v>
      </c>
      <c r="D913">
        <v>1044324</v>
      </c>
      <c r="E913" t="s">
        <v>1134</v>
      </c>
      <c r="F913" t="s">
        <v>1135</v>
      </c>
      <c r="G913" t="s">
        <v>1136</v>
      </c>
      <c r="H913" t="s">
        <v>1143</v>
      </c>
      <c r="I913" s="63">
        <v>46113</v>
      </c>
      <c r="J913" t="s">
        <v>624</v>
      </c>
      <c r="K913" t="s">
        <v>1148</v>
      </c>
      <c r="L913" s="64">
        <v>67038680</v>
      </c>
      <c r="N913" s="64">
        <v>67038680</v>
      </c>
      <c r="O913" s="64">
        <v>5441505732.3585443</v>
      </c>
    </row>
    <row r="914" spans="1:15" x14ac:dyDescent="0.25">
      <c r="A914" s="58">
        <v>46146</v>
      </c>
      <c r="B914" s="59">
        <v>5</v>
      </c>
      <c r="C914" s="59" t="s">
        <v>1144</v>
      </c>
      <c r="D914" s="59">
        <v>1044326</v>
      </c>
      <c r="E914" s="59" t="s">
        <v>1134</v>
      </c>
      <c r="F914" s="59" t="s">
        <v>1135</v>
      </c>
      <c r="G914" s="59" t="s">
        <v>1136</v>
      </c>
      <c r="H914" s="59" t="s">
        <v>1143</v>
      </c>
      <c r="I914" s="60">
        <v>46113</v>
      </c>
      <c r="J914" s="59" t="s">
        <v>624</v>
      </c>
      <c r="K914" s="59" t="s">
        <v>1150</v>
      </c>
      <c r="L914" s="61">
        <v>610382.82999999996</v>
      </c>
      <c r="M914" s="59"/>
      <c r="N914" s="61">
        <v>610382.82999999996</v>
      </c>
      <c r="O914" s="61">
        <v>5442116115.1885443</v>
      </c>
    </row>
    <row r="915" spans="1:15" x14ac:dyDescent="0.25">
      <c r="A915" s="62">
        <v>46146</v>
      </c>
      <c r="B915">
        <v>5</v>
      </c>
      <c r="C915" t="s">
        <v>1144</v>
      </c>
      <c r="D915">
        <v>1044344</v>
      </c>
      <c r="E915" t="s">
        <v>1134</v>
      </c>
      <c r="F915" t="s">
        <v>1135</v>
      </c>
      <c r="G915" t="s">
        <v>1136</v>
      </c>
      <c r="H915" t="s">
        <v>1156</v>
      </c>
      <c r="I915" s="63">
        <v>46113</v>
      </c>
      <c r="J915" t="s">
        <v>624</v>
      </c>
      <c r="K915" t="s">
        <v>1148</v>
      </c>
      <c r="L915" s="64">
        <v>299300</v>
      </c>
      <c r="N915" s="64">
        <v>299300</v>
      </c>
      <c r="O915" s="64">
        <v>5442415415.1885443</v>
      </c>
    </row>
    <row r="916" spans="1:15" x14ac:dyDescent="0.25">
      <c r="A916" s="58">
        <v>46146</v>
      </c>
      <c r="B916" s="59">
        <v>5</v>
      </c>
      <c r="C916" s="59" t="s">
        <v>1144</v>
      </c>
      <c r="D916" s="59">
        <v>1044354</v>
      </c>
      <c r="E916" s="59" t="s">
        <v>1134</v>
      </c>
      <c r="F916" s="59" t="s">
        <v>1135</v>
      </c>
      <c r="G916" s="59" t="s">
        <v>1136</v>
      </c>
      <c r="H916" s="59" t="s">
        <v>1157</v>
      </c>
      <c r="I916" s="60">
        <v>46113</v>
      </c>
      <c r="J916" s="59" t="s">
        <v>624</v>
      </c>
      <c r="K916" s="59" t="s">
        <v>1148</v>
      </c>
      <c r="L916" s="61">
        <v>6285840</v>
      </c>
      <c r="M916" s="59"/>
      <c r="N916" s="61">
        <v>6285840</v>
      </c>
      <c r="O916" s="61">
        <v>5448701255.1885443</v>
      </c>
    </row>
    <row r="917" spans="1:15" x14ac:dyDescent="0.25">
      <c r="A917" s="62">
        <v>46146</v>
      </c>
      <c r="B917">
        <v>5</v>
      </c>
      <c r="C917" t="s">
        <v>1144</v>
      </c>
      <c r="D917">
        <v>1044356</v>
      </c>
      <c r="E917" t="s">
        <v>1134</v>
      </c>
      <c r="F917" t="s">
        <v>1135</v>
      </c>
      <c r="G917" t="s">
        <v>1136</v>
      </c>
      <c r="H917" t="s">
        <v>1157</v>
      </c>
      <c r="I917" s="63">
        <v>46113</v>
      </c>
      <c r="J917" t="s">
        <v>624</v>
      </c>
      <c r="K917" t="s">
        <v>1150</v>
      </c>
      <c r="L917" s="64">
        <v>5688920.75</v>
      </c>
      <c r="N917" s="64">
        <v>5688920.75</v>
      </c>
      <c r="O917" s="64">
        <v>5454390175.9385443</v>
      </c>
    </row>
    <row r="918" spans="1:15" x14ac:dyDescent="0.25">
      <c r="A918" s="58">
        <v>46146</v>
      </c>
      <c r="B918" s="59">
        <v>5</v>
      </c>
      <c r="C918" s="59" t="s">
        <v>1144</v>
      </c>
      <c r="D918" s="59">
        <v>1044364</v>
      </c>
      <c r="E918" s="59" t="s">
        <v>1134</v>
      </c>
      <c r="F918" s="59" t="s">
        <v>1135</v>
      </c>
      <c r="G918" s="59" t="s">
        <v>1136</v>
      </c>
      <c r="H918" s="59" t="s">
        <v>1158</v>
      </c>
      <c r="I918" s="60">
        <v>46113</v>
      </c>
      <c r="J918" s="59" t="s">
        <v>624</v>
      </c>
      <c r="K918" s="59" t="s">
        <v>1148</v>
      </c>
      <c r="L918" s="61">
        <v>35282711.990000002</v>
      </c>
      <c r="M918" s="59"/>
      <c r="N918" s="61">
        <v>35282711.990000002</v>
      </c>
      <c r="O918" s="61">
        <v>5489672887.928544</v>
      </c>
    </row>
    <row r="919" spans="1:15" x14ac:dyDescent="0.25">
      <c r="A919" s="62">
        <v>46146</v>
      </c>
      <c r="B919">
        <v>5</v>
      </c>
      <c r="C919" t="s">
        <v>1144</v>
      </c>
      <c r="D919">
        <v>1044374</v>
      </c>
      <c r="E919" t="s">
        <v>1134</v>
      </c>
      <c r="F919" t="s">
        <v>1135</v>
      </c>
      <c r="G919" t="s">
        <v>1136</v>
      </c>
      <c r="H919" t="s">
        <v>1141</v>
      </c>
      <c r="I919" s="63">
        <v>46113</v>
      </c>
      <c r="J919" t="s">
        <v>624</v>
      </c>
      <c r="K919" t="s">
        <v>1148</v>
      </c>
      <c r="L919" s="64">
        <v>26414708.420000002</v>
      </c>
      <c r="N919" s="64">
        <v>26414708.420000002</v>
      </c>
      <c r="O919" s="64">
        <v>5516087596.3485441</v>
      </c>
    </row>
    <row r="920" spans="1:15" x14ac:dyDescent="0.25">
      <c r="A920" s="58">
        <v>46146</v>
      </c>
      <c r="B920" s="59">
        <v>5</v>
      </c>
      <c r="C920" s="59" t="s">
        <v>1144</v>
      </c>
      <c r="D920" s="59">
        <v>1044404</v>
      </c>
      <c r="E920" s="59" t="s">
        <v>1134</v>
      </c>
      <c r="F920" s="59" t="s">
        <v>1135</v>
      </c>
      <c r="G920" s="59" t="s">
        <v>1136</v>
      </c>
      <c r="H920" s="59" t="s">
        <v>1159</v>
      </c>
      <c r="I920" s="60">
        <v>46113</v>
      </c>
      <c r="J920" s="59" t="s">
        <v>624</v>
      </c>
      <c r="K920" s="59" t="s">
        <v>1148</v>
      </c>
      <c r="L920" s="61">
        <v>25988975.75</v>
      </c>
      <c r="M920" s="59"/>
      <c r="N920" s="61">
        <v>25988975.75</v>
      </c>
      <c r="O920" s="61">
        <v>5542076572.0985441</v>
      </c>
    </row>
    <row r="921" spans="1:15" x14ac:dyDescent="0.25">
      <c r="A921" s="62">
        <v>46146</v>
      </c>
      <c r="B921">
        <v>5</v>
      </c>
      <c r="C921" t="s">
        <v>1144</v>
      </c>
      <c r="D921">
        <v>1044406</v>
      </c>
      <c r="E921" t="s">
        <v>1134</v>
      </c>
      <c r="F921" t="s">
        <v>1135</v>
      </c>
      <c r="G921" t="s">
        <v>1136</v>
      </c>
      <c r="H921" t="s">
        <v>1159</v>
      </c>
      <c r="I921" s="63">
        <v>46113</v>
      </c>
      <c r="J921" t="s">
        <v>624</v>
      </c>
      <c r="K921" t="s">
        <v>1150</v>
      </c>
      <c r="L921" s="64">
        <v>899004.72</v>
      </c>
      <c r="N921" s="64">
        <v>899004.72</v>
      </c>
      <c r="O921" s="64">
        <v>5542975576.8185444</v>
      </c>
    </row>
    <row r="922" spans="1:15" x14ac:dyDescent="0.25">
      <c r="A922" s="58">
        <v>46146</v>
      </c>
      <c r="B922" s="59">
        <v>5</v>
      </c>
      <c r="C922" s="59" t="s">
        <v>1144</v>
      </c>
      <c r="D922" s="59">
        <v>1044404</v>
      </c>
      <c r="E922" s="59" t="s">
        <v>1134</v>
      </c>
      <c r="F922" s="59" t="s">
        <v>1135</v>
      </c>
      <c r="G922" s="59" t="s">
        <v>1136</v>
      </c>
      <c r="H922" s="59" t="s">
        <v>1159</v>
      </c>
      <c r="I922" s="60">
        <v>46113</v>
      </c>
      <c r="J922" s="59" t="s">
        <v>624</v>
      </c>
      <c r="K922" s="59" t="s">
        <v>1148</v>
      </c>
      <c r="L922" s="61">
        <v>15416961.9</v>
      </c>
      <c r="M922" s="59"/>
      <c r="N922" s="61">
        <v>15416961.9</v>
      </c>
      <c r="O922" s="61">
        <v>5558392538.718544</v>
      </c>
    </row>
    <row r="923" spans="1:15" x14ac:dyDescent="0.25">
      <c r="A923" s="62">
        <v>46146</v>
      </c>
      <c r="B923">
        <v>5</v>
      </c>
      <c r="C923" t="s">
        <v>1144</v>
      </c>
      <c r="D923">
        <v>1044414</v>
      </c>
      <c r="E923" t="s">
        <v>1134</v>
      </c>
      <c r="F923" t="s">
        <v>1135</v>
      </c>
      <c r="G923" t="s">
        <v>1136</v>
      </c>
      <c r="H923" t="s">
        <v>1160</v>
      </c>
      <c r="I923" s="63">
        <v>46113</v>
      </c>
      <c r="J923" t="s">
        <v>624</v>
      </c>
      <c r="K923" t="s">
        <v>1148</v>
      </c>
      <c r="L923" s="64">
        <v>14625434.949999999</v>
      </c>
      <c r="N923" s="64">
        <v>14625434.949999999</v>
      </c>
      <c r="O923" s="64">
        <v>5573017973.6685438</v>
      </c>
    </row>
    <row r="924" spans="1:15" x14ac:dyDescent="0.25">
      <c r="A924" s="58">
        <v>46147</v>
      </c>
      <c r="B924" s="59">
        <v>5</v>
      </c>
      <c r="C924" s="59" t="s">
        <v>1161</v>
      </c>
      <c r="D924" s="59">
        <v>2044122</v>
      </c>
      <c r="E924" s="59" t="s">
        <v>1167</v>
      </c>
      <c r="F924" s="59" t="s">
        <v>1135</v>
      </c>
      <c r="G924" s="59" t="s">
        <v>1136</v>
      </c>
      <c r="H924" s="59" t="s">
        <v>1175</v>
      </c>
      <c r="I924" s="60">
        <v>46082</v>
      </c>
      <c r="J924" s="59" t="s">
        <v>625</v>
      </c>
      <c r="K924" s="59" t="s">
        <v>1138</v>
      </c>
      <c r="L924" s="59"/>
      <c r="M924" s="61">
        <v>15528904.4</v>
      </c>
      <c r="N924" s="61">
        <v>-15528904.4</v>
      </c>
      <c r="O924" s="61">
        <v>5557489069.2685442</v>
      </c>
    </row>
    <row r="925" spans="1:15" x14ac:dyDescent="0.25">
      <c r="A925" s="62">
        <v>46147</v>
      </c>
      <c r="B925">
        <v>5</v>
      </c>
      <c r="C925" t="s">
        <v>1161</v>
      </c>
      <c r="D925">
        <v>2044122</v>
      </c>
      <c r="E925" t="s">
        <v>1167</v>
      </c>
      <c r="F925" t="s">
        <v>1135</v>
      </c>
      <c r="G925" t="s">
        <v>1136</v>
      </c>
      <c r="H925" t="s">
        <v>1175</v>
      </c>
      <c r="I925" s="63">
        <v>46082</v>
      </c>
      <c r="J925" t="s">
        <v>626</v>
      </c>
      <c r="K925" t="s">
        <v>1138</v>
      </c>
      <c r="M925" s="64">
        <v>14263481.9</v>
      </c>
      <c r="N925" s="64">
        <v>-14263481.9</v>
      </c>
      <c r="O925" s="64">
        <v>5543225587.3685446</v>
      </c>
    </row>
    <row r="926" spans="1:15" x14ac:dyDescent="0.25">
      <c r="A926" s="58">
        <v>46147</v>
      </c>
      <c r="B926" s="59">
        <v>5</v>
      </c>
      <c r="C926" s="59" t="s">
        <v>1161</v>
      </c>
      <c r="D926" s="59">
        <v>1044165</v>
      </c>
      <c r="E926" s="59" t="s">
        <v>1134</v>
      </c>
      <c r="F926" s="59" t="s">
        <v>1135</v>
      </c>
      <c r="G926" s="59" t="s">
        <v>1136</v>
      </c>
      <c r="H926" s="59" t="s">
        <v>1162</v>
      </c>
      <c r="I926" s="60">
        <v>46082</v>
      </c>
      <c r="J926" s="59" t="s">
        <v>627</v>
      </c>
      <c r="K926" s="59" t="s">
        <v>1172</v>
      </c>
      <c r="L926" s="61">
        <v>1759487.57</v>
      </c>
      <c r="M926" s="59"/>
      <c r="N926" s="61">
        <v>1759487.57</v>
      </c>
      <c r="O926" s="61">
        <v>5579274903.3985443</v>
      </c>
    </row>
    <row r="927" spans="1:15" x14ac:dyDescent="0.25">
      <c r="A927" s="62">
        <v>46147</v>
      </c>
      <c r="B927">
        <v>5</v>
      </c>
      <c r="C927" t="s">
        <v>1161</v>
      </c>
      <c r="D927">
        <v>1044235</v>
      </c>
      <c r="E927" t="s">
        <v>1134</v>
      </c>
      <c r="F927" t="s">
        <v>1135</v>
      </c>
      <c r="G927" t="s">
        <v>1136</v>
      </c>
      <c r="H927" t="s">
        <v>1152</v>
      </c>
      <c r="I927" s="63">
        <v>46082</v>
      </c>
      <c r="J927" t="s">
        <v>627</v>
      </c>
      <c r="K927" t="s">
        <v>1172</v>
      </c>
      <c r="L927" s="64">
        <v>3844700.32</v>
      </c>
      <c r="N927" s="64">
        <v>3844700.32</v>
      </c>
      <c r="O927" s="64">
        <v>5583119603.718544</v>
      </c>
    </row>
    <row r="928" spans="1:15" x14ac:dyDescent="0.25">
      <c r="A928" s="58">
        <v>46147</v>
      </c>
      <c r="B928" s="59">
        <v>5</v>
      </c>
      <c r="C928" s="59" t="s">
        <v>1161</v>
      </c>
      <c r="D928" s="59">
        <v>1044495</v>
      </c>
      <c r="E928" s="59" t="s">
        <v>1134</v>
      </c>
      <c r="F928" s="59" t="s">
        <v>1135</v>
      </c>
      <c r="G928" s="59" t="s">
        <v>1136</v>
      </c>
      <c r="H928" s="59" t="s">
        <v>1173</v>
      </c>
      <c r="I928" s="60">
        <v>46082</v>
      </c>
      <c r="J928" s="59" t="s">
        <v>627</v>
      </c>
      <c r="K928" s="59" t="s">
        <v>1172</v>
      </c>
      <c r="L928" s="61">
        <v>2188512.48</v>
      </c>
      <c r="M928" s="59"/>
      <c r="N928" s="61">
        <v>2188512.48</v>
      </c>
      <c r="O928" s="61">
        <v>5585308116.1985435</v>
      </c>
    </row>
    <row r="929" spans="1:15" x14ac:dyDescent="0.25">
      <c r="A929" s="62">
        <v>46147</v>
      </c>
      <c r="B929">
        <v>5</v>
      </c>
      <c r="C929" t="s">
        <v>1161</v>
      </c>
      <c r="D929">
        <v>1044325</v>
      </c>
      <c r="E929" t="s">
        <v>1134</v>
      </c>
      <c r="F929" t="s">
        <v>1135</v>
      </c>
      <c r="G929" t="s">
        <v>1136</v>
      </c>
      <c r="H929" t="s">
        <v>1143</v>
      </c>
      <c r="I929" s="63">
        <v>46082</v>
      </c>
      <c r="J929" t="s">
        <v>627</v>
      </c>
      <c r="K929" t="s">
        <v>1172</v>
      </c>
      <c r="L929" s="64">
        <v>1291527.3799999999</v>
      </c>
      <c r="N929" s="64">
        <v>1291527.3799999999</v>
      </c>
      <c r="O929" s="64">
        <v>5586599643.5785437</v>
      </c>
    </row>
    <row r="930" spans="1:15" x14ac:dyDescent="0.25">
      <c r="A930" s="58">
        <v>46147</v>
      </c>
      <c r="B930" s="59">
        <v>5</v>
      </c>
      <c r="C930" s="59" t="s">
        <v>1161</v>
      </c>
      <c r="D930" s="59">
        <v>1044285</v>
      </c>
      <c r="E930" s="59" t="s">
        <v>1134</v>
      </c>
      <c r="F930" s="59" t="s">
        <v>1135</v>
      </c>
      <c r="G930" s="59" t="s">
        <v>1136</v>
      </c>
      <c r="H930" s="59" t="s">
        <v>1155</v>
      </c>
      <c r="I930" s="60">
        <v>46082</v>
      </c>
      <c r="J930" s="59" t="s">
        <v>627</v>
      </c>
      <c r="K930" s="59" t="s">
        <v>1172</v>
      </c>
      <c r="L930" s="61">
        <v>1280018</v>
      </c>
      <c r="M930" s="59"/>
      <c r="N930" s="61">
        <v>1280018</v>
      </c>
      <c r="O930" s="61">
        <v>5587879661.5785437</v>
      </c>
    </row>
    <row r="931" spans="1:15" x14ac:dyDescent="0.25">
      <c r="A931" s="62">
        <v>46147</v>
      </c>
      <c r="B931">
        <v>5</v>
      </c>
      <c r="C931" t="s">
        <v>1161</v>
      </c>
      <c r="D931">
        <v>1044465</v>
      </c>
      <c r="E931" t="s">
        <v>1134</v>
      </c>
      <c r="F931" t="s">
        <v>1135</v>
      </c>
      <c r="G931" t="s">
        <v>1136</v>
      </c>
      <c r="H931" t="s">
        <v>1140</v>
      </c>
      <c r="I931" s="63">
        <v>46082</v>
      </c>
      <c r="J931" t="s">
        <v>627</v>
      </c>
      <c r="K931" t="s">
        <v>1172</v>
      </c>
      <c r="L931" s="64">
        <v>1046309.5281</v>
      </c>
      <c r="N931" s="64">
        <v>1046309.5281</v>
      </c>
      <c r="O931" s="64">
        <v>5588925971.1066437</v>
      </c>
    </row>
    <row r="932" spans="1:15" x14ac:dyDescent="0.25">
      <c r="A932" s="58">
        <v>46147</v>
      </c>
      <c r="B932" s="59">
        <v>5</v>
      </c>
      <c r="C932" s="59" t="s">
        <v>1161</v>
      </c>
      <c r="D932" s="59">
        <v>1044405</v>
      </c>
      <c r="E932" s="59" t="s">
        <v>1134</v>
      </c>
      <c r="F932" s="59" t="s">
        <v>1135</v>
      </c>
      <c r="G932" s="59" t="s">
        <v>1136</v>
      </c>
      <c r="H932" s="59" t="s">
        <v>1159</v>
      </c>
      <c r="I932" s="60">
        <v>46082</v>
      </c>
      <c r="J932" s="59" t="s">
        <v>627</v>
      </c>
      <c r="K932" s="59" t="s">
        <v>1172</v>
      </c>
      <c r="L932" s="61">
        <v>479070.7</v>
      </c>
      <c r="M932" s="59"/>
      <c r="N932" s="61">
        <v>479070.7</v>
      </c>
      <c r="O932" s="61">
        <v>5589405041.8066425</v>
      </c>
    </row>
    <row r="933" spans="1:15" x14ac:dyDescent="0.25">
      <c r="A933" s="62">
        <v>46147</v>
      </c>
      <c r="B933">
        <v>5</v>
      </c>
      <c r="C933" t="s">
        <v>1161</v>
      </c>
      <c r="D933">
        <v>1044425</v>
      </c>
      <c r="E933" t="s">
        <v>1134</v>
      </c>
      <c r="F933" t="s">
        <v>1135</v>
      </c>
      <c r="G933" t="s">
        <v>1136</v>
      </c>
      <c r="H933" t="s">
        <v>1165</v>
      </c>
      <c r="I933" s="63">
        <v>46082</v>
      </c>
      <c r="J933" t="s">
        <v>627</v>
      </c>
      <c r="K933" t="s">
        <v>1172</v>
      </c>
      <c r="L933" s="64">
        <v>1543393.8424</v>
      </c>
      <c r="N933" s="64">
        <v>1543393.8424</v>
      </c>
      <c r="O933" s="64">
        <v>5590948435.6490431</v>
      </c>
    </row>
    <row r="934" spans="1:15" x14ac:dyDescent="0.25">
      <c r="A934" s="58">
        <v>46148</v>
      </c>
      <c r="B934" s="59">
        <v>5</v>
      </c>
      <c r="C934" s="59" t="s">
        <v>1166</v>
      </c>
      <c r="D934" s="59">
        <v>2044122</v>
      </c>
      <c r="E934" s="59" t="s">
        <v>1167</v>
      </c>
      <c r="F934" s="59" t="s">
        <v>1135</v>
      </c>
      <c r="G934" s="59" t="s">
        <v>1136</v>
      </c>
      <c r="H934" s="59" t="s">
        <v>1175</v>
      </c>
      <c r="I934" s="60">
        <v>46082</v>
      </c>
      <c r="J934" s="59" t="s">
        <v>626</v>
      </c>
      <c r="K934" s="59" t="s">
        <v>1138</v>
      </c>
      <c r="L934" s="59"/>
      <c r="M934" s="61">
        <v>16193304.800000001</v>
      </c>
      <c r="N934" s="61">
        <v>-16193304.800000001</v>
      </c>
      <c r="O934" s="61">
        <v>5574755130.8490429</v>
      </c>
    </row>
    <row r="935" spans="1:15" x14ac:dyDescent="0.25">
      <c r="A935" s="62">
        <v>46148</v>
      </c>
      <c r="B935">
        <v>5</v>
      </c>
      <c r="C935" t="s">
        <v>1166</v>
      </c>
      <c r="D935">
        <v>2044122</v>
      </c>
      <c r="E935" t="s">
        <v>1167</v>
      </c>
      <c r="F935" t="s">
        <v>1135</v>
      </c>
      <c r="G935" t="s">
        <v>1136</v>
      </c>
      <c r="H935" t="s">
        <v>1175</v>
      </c>
      <c r="I935" s="63">
        <v>46082</v>
      </c>
      <c r="J935" t="s">
        <v>626</v>
      </c>
      <c r="K935" t="s">
        <v>1138</v>
      </c>
      <c r="M935" s="64">
        <v>15304315.300000001</v>
      </c>
      <c r="N935" s="64">
        <v>-15304315.300000001</v>
      </c>
      <c r="O935" s="64">
        <v>5559450815.5490427</v>
      </c>
    </row>
    <row r="936" spans="1:15" x14ac:dyDescent="0.25">
      <c r="A936" s="58">
        <v>46148</v>
      </c>
      <c r="B936" s="59">
        <v>5</v>
      </c>
      <c r="C936" s="59" t="s">
        <v>1166</v>
      </c>
      <c r="D936" s="59">
        <v>2054325</v>
      </c>
      <c r="E936" s="59" t="s">
        <v>1167</v>
      </c>
      <c r="F936" s="59" t="s">
        <v>1169</v>
      </c>
      <c r="G936" s="59" t="s">
        <v>1136</v>
      </c>
      <c r="H936" s="59" t="s">
        <v>1143</v>
      </c>
      <c r="I936" s="60">
        <v>46113</v>
      </c>
      <c r="J936" s="59" t="s">
        <v>628</v>
      </c>
      <c r="K936" s="59" t="s">
        <v>1172</v>
      </c>
      <c r="L936" s="59"/>
      <c r="M936" s="61">
        <v>494623.8</v>
      </c>
      <c r="N936" s="61">
        <v>-494623.8</v>
      </c>
      <c r="O936" s="61">
        <v>5558956191.7490435</v>
      </c>
    </row>
    <row r="937" spans="1:15" x14ac:dyDescent="0.25">
      <c r="A937" s="62">
        <v>46148</v>
      </c>
      <c r="B937">
        <v>5</v>
      </c>
      <c r="C937" t="s">
        <v>1166</v>
      </c>
      <c r="D937">
        <v>2014425</v>
      </c>
      <c r="E937" t="s">
        <v>1167</v>
      </c>
      <c r="F937" t="s">
        <v>1174</v>
      </c>
      <c r="G937" t="s">
        <v>1136</v>
      </c>
      <c r="H937" t="s">
        <v>1165</v>
      </c>
      <c r="I937" s="63">
        <v>46113</v>
      </c>
      <c r="J937" t="s">
        <v>629</v>
      </c>
      <c r="K937" t="s">
        <v>1172</v>
      </c>
      <c r="M937" s="64">
        <v>2189989.34</v>
      </c>
      <c r="N937" s="64">
        <v>-2189989.34</v>
      </c>
      <c r="O937" s="64">
        <v>5556766202.4090424</v>
      </c>
    </row>
    <row r="938" spans="1:15" x14ac:dyDescent="0.25">
      <c r="A938" s="58">
        <v>46149</v>
      </c>
      <c r="B938" s="59">
        <v>5</v>
      </c>
      <c r="C938" s="59" t="s">
        <v>1171</v>
      </c>
      <c r="D938" s="59">
        <v>2044495</v>
      </c>
      <c r="E938" s="59" t="s">
        <v>1167</v>
      </c>
      <c r="F938" s="59" t="s">
        <v>1135</v>
      </c>
      <c r="G938" s="59" t="s">
        <v>1136</v>
      </c>
      <c r="H938" s="59" t="s">
        <v>1173</v>
      </c>
      <c r="I938" s="60">
        <v>46113</v>
      </c>
      <c r="J938" s="59" t="s">
        <v>630</v>
      </c>
      <c r="K938" s="59" t="s">
        <v>1172</v>
      </c>
      <c r="L938" s="59"/>
      <c r="M938" s="61">
        <v>733448.76</v>
      </c>
      <c r="N938" s="61">
        <v>-733448.76</v>
      </c>
      <c r="O938" s="61">
        <v>5556032753.6490421</v>
      </c>
    </row>
    <row r="939" spans="1:15" x14ac:dyDescent="0.25">
      <c r="A939" s="62">
        <v>46149</v>
      </c>
      <c r="B939">
        <v>5</v>
      </c>
      <c r="C939" t="s">
        <v>1171</v>
      </c>
      <c r="D939">
        <v>2034412</v>
      </c>
      <c r="E939" t="s">
        <v>1167</v>
      </c>
      <c r="F939" t="s">
        <v>1168</v>
      </c>
      <c r="G939" t="s">
        <v>1136</v>
      </c>
      <c r="H939" t="s">
        <v>1160</v>
      </c>
      <c r="I939" s="63">
        <v>46113</v>
      </c>
      <c r="J939" t="s">
        <v>631</v>
      </c>
      <c r="K939" t="s">
        <v>1138</v>
      </c>
      <c r="M939" s="64">
        <v>12142675.32</v>
      </c>
      <c r="N939" s="64">
        <v>-12142675.32</v>
      </c>
      <c r="O939" s="64">
        <v>5543890078.3290424</v>
      </c>
    </row>
    <row r="940" spans="1:15" x14ac:dyDescent="0.25">
      <c r="A940" s="58">
        <v>46149</v>
      </c>
      <c r="B940" s="59">
        <v>5</v>
      </c>
      <c r="C940" s="59" t="s">
        <v>1171</v>
      </c>
      <c r="D940" s="59">
        <v>2034413</v>
      </c>
      <c r="E940" s="59" t="s">
        <v>1167</v>
      </c>
      <c r="F940" s="59" t="s">
        <v>1168</v>
      </c>
      <c r="G940" s="59" t="s">
        <v>1136</v>
      </c>
      <c r="H940" s="59" t="s">
        <v>1160</v>
      </c>
      <c r="I940" s="60">
        <v>46113</v>
      </c>
      <c r="J940" s="59" t="s">
        <v>632</v>
      </c>
      <c r="K940" s="59" t="s">
        <v>1146</v>
      </c>
      <c r="L940" s="59"/>
      <c r="M940" s="61">
        <v>8773958.8499999996</v>
      </c>
      <c r="N940" s="61">
        <v>-8773958.8499999996</v>
      </c>
      <c r="O940" s="61">
        <v>5535116119.4790421</v>
      </c>
    </row>
    <row r="941" spans="1:15" x14ac:dyDescent="0.25">
      <c r="A941" s="62">
        <v>46149</v>
      </c>
      <c r="B941">
        <v>5</v>
      </c>
      <c r="C941" t="s">
        <v>1171</v>
      </c>
      <c r="D941">
        <v>2034414</v>
      </c>
      <c r="E941" t="s">
        <v>1167</v>
      </c>
      <c r="F941" t="s">
        <v>1168</v>
      </c>
      <c r="G941" t="s">
        <v>1136</v>
      </c>
      <c r="H941" t="s">
        <v>1160</v>
      </c>
      <c r="I941" s="63">
        <v>46113</v>
      </c>
      <c r="J941" t="s">
        <v>633</v>
      </c>
      <c r="K941" t="s">
        <v>1148</v>
      </c>
      <c r="M941" s="64">
        <v>14625434.029999999</v>
      </c>
      <c r="N941" s="64">
        <v>-14625434.029999999</v>
      </c>
      <c r="O941" s="64">
        <v>5520490685.4490423</v>
      </c>
    </row>
    <row r="942" spans="1:15" x14ac:dyDescent="0.25">
      <c r="A942" s="58">
        <v>46149</v>
      </c>
      <c r="B942" s="59">
        <v>5</v>
      </c>
      <c r="C942" s="59" t="s">
        <v>1171</v>
      </c>
      <c r="D942" s="59">
        <v>2054322</v>
      </c>
      <c r="E942" s="59" t="s">
        <v>1167</v>
      </c>
      <c r="F942" s="59" t="s">
        <v>1169</v>
      </c>
      <c r="G942" s="59" t="s">
        <v>1136</v>
      </c>
      <c r="H942" s="59" t="s">
        <v>1143</v>
      </c>
      <c r="I942" s="60">
        <v>46113</v>
      </c>
      <c r="J942" s="59" t="s">
        <v>634</v>
      </c>
      <c r="K942" s="59" t="s">
        <v>1138</v>
      </c>
      <c r="L942" s="59"/>
      <c r="M942" s="61">
        <v>23271900</v>
      </c>
      <c r="N942" s="61">
        <v>-23271900</v>
      </c>
      <c r="O942" s="61">
        <v>5497218785.4490423</v>
      </c>
    </row>
    <row r="943" spans="1:15" x14ac:dyDescent="0.25">
      <c r="A943" s="62">
        <v>46149</v>
      </c>
      <c r="B943">
        <v>5</v>
      </c>
      <c r="C943" t="s">
        <v>1171</v>
      </c>
      <c r="D943">
        <v>2054327</v>
      </c>
      <c r="E943" t="s">
        <v>1167</v>
      </c>
      <c r="F943" t="s">
        <v>1169</v>
      </c>
      <c r="G943" t="s">
        <v>1136</v>
      </c>
      <c r="H943" t="s">
        <v>1143</v>
      </c>
      <c r="I943" s="63">
        <v>46113</v>
      </c>
      <c r="J943" t="s">
        <v>634</v>
      </c>
      <c r="K943" t="s">
        <v>1170</v>
      </c>
      <c r="M943" s="64">
        <v>5100</v>
      </c>
      <c r="N943" s="64">
        <v>-5100</v>
      </c>
      <c r="O943" s="64">
        <v>5497213685.4490423</v>
      </c>
    </row>
    <row r="944" spans="1:15" x14ac:dyDescent="0.25">
      <c r="A944" s="58">
        <v>46149</v>
      </c>
      <c r="B944" s="59">
        <v>5</v>
      </c>
      <c r="C944" s="59" t="s">
        <v>1171</v>
      </c>
      <c r="D944" s="59">
        <v>2054324</v>
      </c>
      <c r="E944" s="59" t="s">
        <v>1167</v>
      </c>
      <c r="F944" s="59" t="s">
        <v>1169</v>
      </c>
      <c r="G944" s="59" t="s">
        <v>1136</v>
      </c>
      <c r="H944" s="59" t="s">
        <v>1143</v>
      </c>
      <c r="I944" s="60">
        <v>46113</v>
      </c>
      <c r="J944" s="59" t="s">
        <v>635</v>
      </c>
      <c r="K944" s="59" t="s">
        <v>1148</v>
      </c>
      <c r="L944" s="59"/>
      <c r="M944" s="61">
        <v>67038680</v>
      </c>
      <c r="N944" s="61">
        <v>-67038680</v>
      </c>
      <c r="O944" s="61">
        <v>5430175005.4490423</v>
      </c>
    </row>
    <row r="945" spans="1:15" x14ac:dyDescent="0.25">
      <c r="A945" s="62">
        <v>46149</v>
      </c>
      <c r="B945">
        <v>5</v>
      </c>
      <c r="C945" t="s">
        <v>1171</v>
      </c>
      <c r="D945">
        <v>2054326</v>
      </c>
      <c r="E945" t="s">
        <v>1167</v>
      </c>
      <c r="F945" t="s">
        <v>1169</v>
      </c>
      <c r="G945" t="s">
        <v>1136</v>
      </c>
      <c r="H945" t="s">
        <v>1143</v>
      </c>
      <c r="I945" s="63">
        <v>46113</v>
      </c>
      <c r="J945" t="s">
        <v>635</v>
      </c>
      <c r="K945" t="s">
        <v>1150</v>
      </c>
      <c r="M945" s="64">
        <v>610382.82999999996</v>
      </c>
      <c r="N945" s="64">
        <v>-610382.82999999996</v>
      </c>
      <c r="O945" s="64">
        <v>5429564622.6190424</v>
      </c>
    </row>
    <row r="946" spans="1:15" x14ac:dyDescent="0.25">
      <c r="A946" s="58">
        <v>46150</v>
      </c>
      <c r="B946" s="59">
        <v>5</v>
      </c>
      <c r="C946" s="59" t="s">
        <v>1133</v>
      </c>
      <c r="D946" s="59">
        <v>2034411</v>
      </c>
      <c r="E946" s="59" t="s">
        <v>1167</v>
      </c>
      <c r="F946" s="59" t="s">
        <v>1168</v>
      </c>
      <c r="G946" s="59" t="s">
        <v>1136</v>
      </c>
      <c r="H946" s="59" t="s">
        <v>1160</v>
      </c>
      <c r="I946" s="60">
        <v>46113</v>
      </c>
      <c r="J946" s="59" t="s">
        <v>638</v>
      </c>
      <c r="K946" s="59" t="s">
        <v>1142</v>
      </c>
      <c r="L946" s="59"/>
      <c r="M946" s="61">
        <v>8268405</v>
      </c>
      <c r="N946" s="61">
        <v>-8268405</v>
      </c>
      <c r="O946" s="61">
        <v>6466865475.1090422</v>
      </c>
    </row>
    <row r="947" spans="1:15" x14ac:dyDescent="0.25">
      <c r="A947" s="62">
        <v>46150</v>
      </c>
      <c r="B947">
        <v>5</v>
      </c>
      <c r="C947" t="s">
        <v>1133</v>
      </c>
      <c r="D947">
        <v>2054321</v>
      </c>
      <c r="E947" t="s">
        <v>1167</v>
      </c>
      <c r="F947" t="s">
        <v>1169</v>
      </c>
      <c r="G947" t="s">
        <v>1136</v>
      </c>
      <c r="H947" t="s">
        <v>1143</v>
      </c>
      <c r="I947" s="63">
        <v>46113</v>
      </c>
      <c r="J947" t="s">
        <v>639</v>
      </c>
      <c r="K947" t="s">
        <v>1142</v>
      </c>
      <c r="M947" s="64">
        <v>30214347</v>
      </c>
      <c r="N947" s="64">
        <v>-30214347</v>
      </c>
      <c r="O947" s="64">
        <v>6436651128.1090422</v>
      </c>
    </row>
    <row r="948" spans="1:15" x14ac:dyDescent="0.25">
      <c r="A948" s="58">
        <v>46150</v>
      </c>
      <c r="B948" s="59">
        <v>5</v>
      </c>
      <c r="C948" s="59" t="s">
        <v>1133</v>
      </c>
      <c r="D948" s="59">
        <v>2014422</v>
      </c>
      <c r="E948" s="59" t="s">
        <v>1167</v>
      </c>
      <c r="F948" s="59" t="s">
        <v>1174</v>
      </c>
      <c r="G948" s="59" t="s">
        <v>1136</v>
      </c>
      <c r="H948" s="59" t="s">
        <v>1165</v>
      </c>
      <c r="I948" s="60">
        <v>46113</v>
      </c>
      <c r="J948" s="59" t="s">
        <v>640</v>
      </c>
      <c r="K948" s="59" t="s">
        <v>1138</v>
      </c>
      <c r="L948" s="59"/>
      <c r="M948" s="61">
        <v>63051557</v>
      </c>
      <c r="N948" s="61">
        <v>-63051557</v>
      </c>
      <c r="O948" s="61">
        <v>6373599571.1090422</v>
      </c>
    </row>
    <row r="949" spans="1:15" x14ac:dyDescent="0.25">
      <c r="A949" s="62">
        <v>46150</v>
      </c>
      <c r="B949">
        <v>5</v>
      </c>
      <c r="C949" t="s">
        <v>1133</v>
      </c>
      <c r="D949">
        <v>2014427</v>
      </c>
      <c r="E949" t="s">
        <v>1167</v>
      </c>
      <c r="F949" t="s">
        <v>1174</v>
      </c>
      <c r="G949" t="s">
        <v>1136</v>
      </c>
      <c r="H949" t="s">
        <v>1165</v>
      </c>
      <c r="I949" s="63">
        <v>46113</v>
      </c>
      <c r="J949" t="s">
        <v>640</v>
      </c>
      <c r="K949" t="s">
        <v>1170</v>
      </c>
      <c r="M949" s="64">
        <v>250</v>
      </c>
      <c r="N949" s="64">
        <v>-250</v>
      </c>
      <c r="O949" s="64">
        <v>6373599321.1090422</v>
      </c>
    </row>
    <row r="950" spans="1:15" x14ac:dyDescent="0.25">
      <c r="A950" s="58">
        <v>46150</v>
      </c>
      <c r="B950" s="59">
        <v>5</v>
      </c>
      <c r="C950" s="59" t="s">
        <v>1133</v>
      </c>
      <c r="D950" s="59">
        <v>2014422</v>
      </c>
      <c r="E950" s="59" t="s">
        <v>1167</v>
      </c>
      <c r="F950" s="59" t="s">
        <v>1174</v>
      </c>
      <c r="G950" s="59" t="s">
        <v>1136</v>
      </c>
      <c r="H950" s="59" t="s">
        <v>1165</v>
      </c>
      <c r="I950" s="60">
        <v>46113</v>
      </c>
      <c r="J950" s="59" t="s">
        <v>640</v>
      </c>
      <c r="K950" s="59" t="s">
        <v>1138</v>
      </c>
      <c r="L950" s="59"/>
      <c r="M950" s="61">
        <v>6252685</v>
      </c>
      <c r="N950" s="61">
        <v>-6252685</v>
      </c>
      <c r="O950" s="61">
        <v>6367346636.1090422</v>
      </c>
    </row>
    <row r="951" spans="1:15" x14ac:dyDescent="0.25">
      <c r="A951" s="62">
        <v>46150</v>
      </c>
      <c r="B951">
        <v>5</v>
      </c>
      <c r="C951" t="s">
        <v>1133</v>
      </c>
      <c r="D951">
        <v>2034244</v>
      </c>
      <c r="E951" t="s">
        <v>1167</v>
      </c>
      <c r="F951" t="s">
        <v>1168</v>
      </c>
      <c r="G951" t="s">
        <v>1136</v>
      </c>
      <c r="H951" t="s">
        <v>1153</v>
      </c>
      <c r="I951" s="63">
        <v>46113</v>
      </c>
      <c r="J951" t="s">
        <v>641</v>
      </c>
      <c r="K951" t="s">
        <v>1148</v>
      </c>
      <c r="M951" s="64">
        <v>12078540.83</v>
      </c>
      <c r="N951" s="64">
        <v>-12078540.83</v>
      </c>
      <c r="O951" s="64">
        <v>6355268095.2790422</v>
      </c>
    </row>
    <row r="952" spans="1:15" x14ac:dyDescent="0.25">
      <c r="A952" s="58">
        <v>46150</v>
      </c>
      <c r="B952" s="59">
        <v>5</v>
      </c>
      <c r="C952" s="59" t="s">
        <v>1133</v>
      </c>
      <c r="D952" s="59">
        <v>2054372</v>
      </c>
      <c r="E952" s="59" t="s">
        <v>1167</v>
      </c>
      <c r="F952" s="59" t="s">
        <v>1169</v>
      </c>
      <c r="G952" s="59" t="s">
        <v>1136</v>
      </c>
      <c r="H952" s="59" t="s">
        <v>1141</v>
      </c>
      <c r="I952" s="60">
        <v>46113</v>
      </c>
      <c r="J952" s="59" t="s">
        <v>642</v>
      </c>
      <c r="K952" s="59" t="s">
        <v>1138</v>
      </c>
      <c r="L952" s="59"/>
      <c r="M952" s="61">
        <v>37802784.25</v>
      </c>
      <c r="N952" s="61">
        <v>-37802784.25</v>
      </c>
      <c r="O952" s="61">
        <v>6317465311.0290422</v>
      </c>
    </row>
    <row r="953" spans="1:15" x14ac:dyDescent="0.25">
      <c r="A953" s="62">
        <v>46150</v>
      </c>
      <c r="B953">
        <v>5</v>
      </c>
      <c r="C953" t="s">
        <v>1133</v>
      </c>
      <c r="D953">
        <v>2054374</v>
      </c>
      <c r="E953" t="s">
        <v>1167</v>
      </c>
      <c r="F953" t="s">
        <v>1169</v>
      </c>
      <c r="G953" t="s">
        <v>1136</v>
      </c>
      <c r="H953" t="s">
        <v>1141</v>
      </c>
      <c r="I953" s="63">
        <v>46113</v>
      </c>
      <c r="J953" t="s">
        <v>643</v>
      </c>
      <c r="K953" t="s">
        <v>1148</v>
      </c>
      <c r="M953" s="64">
        <v>26414708.420000002</v>
      </c>
      <c r="N953" s="64">
        <v>-26414708.420000002</v>
      </c>
      <c r="O953" s="64">
        <v>6291050602.6090422</v>
      </c>
    </row>
    <row r="954" spans="1:15" x14ac:dyDescent="0.25">
      <c r="A954" s="58">
        <v>46150</v>
      </c>
      <c r="B954" s="59">
        <v>5</v>
      </c>
      <c r="C954" s="59" t="s">
        <v>1133</v>
      </c>
      <c r="D954" s="59">
        <v>2014274</v>
      </c>
      <c r="E954" s="59" t="s">
        <v>1167</v>
      </c>
      <c r="F954" s="59" t="s">
        <v>1174</v>
      </c>
      <c r="G954" s="59" t="s">
        <v>1136</v>
      </c>
      <c r="H954" s="59" t="s">
        <v>1154</v>
      </c>
      <c r="I954" s="60">
        <v>46113</v>
      </c>
      <c r="J954" s="59" t="s">
        <v>644</v>
      </c>
      <c r="K954" s="59" t="s">
        <v>1148</v>
      </c>
      <c r="L954" s="59"/>
      <c r="M954" s="61">
        <v>12166029.33</v>
      </c>
      <c r="N954" s="61">
        <v>-12166029.33</v>
      </c>
      <c r="O954" s="61">
        <v>6278884573.2790422</v>
      </c>
    </row>
    <row r="955" spans="1:15" x14ac:dyDescent="0.25">
      <c r="A955" s="62">
        <v>46150</v>
      </c>
      <c r="B955">
        <v>5</v>
      </c>
      <c r="C955" t="s">
        <v>1133</v>
      </c>
      <c r="D955">
        <v>2014212</v>
      </c>
      <c r="E955" t="s">
        <v>1167</v>
      </c>
      <c r="F955" t="s">
        <v>1174</v>
      </c>
      <c r="G955" t="s">
        <v>1136</v>
      </c>
      <c r="H955" t="s">
        <v>1151</v>
      </c>
      <c r="I955" s="63">
        <v>46113</v>
      </c>
      <c r="J955" t="s">
        <v>645</v>
      </c>
      <c r="K955" t="s">
        <v>1138</v>
      </c>
      <c r="M955" s="64">
        <v>9377270.1500000004</v>
      </c>
      <c r="N955" s="64">
        <v>-9377270.1500000004</v>
      </c>
      <c r="O955" s="64">
        <v>6269507303.1290426</v>
      </c>
    </row>
    <row r="956" spans="1:15" x14ac:dyDescent="0.25">
      <c r="A956" s="58">
        <v>46150</v>
      </c>
      <c r="B956" s="59">
        <v>5</v>
      </c>
      <c r="C956" s="59" t="s">
        <v>1133</v>
      </c>
      <c r="D956" s="59">
        <v>2054196</v>
      </c>
      <c r="E956" s="59" t="s">
        <v>1167</v>
      </c>
      <c r="F956" s="59" t="s">
        <v>1169</v>
      </c>
      <c r="G956" s="59" t="s">
        <v>1136</v>
      </c>
      <c r="H956" s="59" t="s">
        <v>1149</v>
      </c>
      <c r="I956" s="60">
        <v>46113</v>
      </c>
      <c r="J956" s="59" t="s">
        <v>646</v>
      </c>
      <c r="K956" s="59" t="s">
        <v>1150</v>
      </c>
      <c r="L956" s="59"/>
      <c r="M956" s="61">
        <v>16610947.619999999</v>
      </c>
      <c r="N956" s="61">
        <v>-16610947.619999999</v>
      </c>
      <c r="O956" s="61">
        <v>6252896355.5090427</v>
      </c>
    </row>
    <row r="957" spans="1:15" x14ac:dyDescent="0.25">
      <c r="A957" s="62">
        <v>46150</v>
      </c>
      <c r="B957">
        <v>5</v>
      </c>
      <c r="C957" t="s">
        <v>1133</v>
      </c>
      <c r="D957">
        <v>2034234</v>
      </c>
      <c r="E957" t="s">
        <v>1167</v>
      </c>
      <c r="F957" t="s">
        <v>1168</v>
      </c>
      <c r="G957" t="s">
        <v>1136</v>
      </c>
      <c r="H957" t="s">
        <v>1152</v>
      </c>
      <c r="I957" s="63">
        <v>46113</v>
      </c>
      <c r="J957" t="s">
        <v>647</v>
      </c>
      <c r="K957" t="s">
        <v>1148</v>
      </c>
      <c r="M957" s="64">
        <v>30210305.440000001</v>
      </c>
      <c r="N957" s="64">
        <v>-30210305.440000001</v>
      </c>
      <c r="O957" s="64">
        <v>6222686050.0690432</v>
      </c>
    </row>
    <row r="958" spans="1:15" x14ac:dyDescent="0.25">
      <c r="A958" s="58">
        <v>46150</v>
      </c>
      <c r="B958" s="59">
        <v>5</v>
      </c>
      <c r="C958" s="59" t="s">
        <v>1133</v>
      </c>
      <c r="D958" s="59">
        <v>2034235</v>
      </c>
      <c r="E958" s="59" t="s">
        <v>1167</v>
      </c>
      <c r="F958" s="59" t="s">
        <v>1168</v>
      </c>
      <c r="G958" s="59" t="s">
        <v>1136</v>
      </c>
      <c r="H958" s="59" t="s">
        <v>1152</v>
      </c>
      <c r="I958" s="60">
        <v>46113</v>
      </c>
      <c r="J958" s="59" t="s">
        <v>648</v>
      </c>
      <c r="K958" s="59" t="s">
        <v>1172</v>
      </c>
      <c r="L958" s="59"/>
      <c r="M958" s="61">
        <v>3234834.97</v>
      </c>
      <c r="N958" s="61">
        <v>-3234834.97</v>
      </c>
      <c r="O958" s="61">
        <v>6219451215.0990429</v>
      </c>
    </row>
    <row r="959" spans="1:15" x14ac:dyDescent="0.25">
      <c r="A959" s="62">
        <v>46150</v>
      </c>
      <c r="B959">
        <v>5</v>
      </c>
      <c r="C959" t="s">
        <v>1133</v>
      </c>
      <c r="D959">
        <v>2034243</v>
      </c>
      <c r="E959" t="s">
        <v>1167</v>
      </c>
      <c r="F959" t="s">
        <v>1168</v>
      </c>
      <c r="G959" t="s">
        <v>1136</v>
      </c>
      <c r="H959" t="s">
        <v>1153</v>
      </c>
      <c r="I959" s="63">
        <v>46113</v>
      </c>
      <c r="J959" t="s">
        <v>649</v>
      </c>
      <c r="K959" t="s">
        <v>1146</v>
      </c>
      <c r="M959" s="64">
        <v>16006484.92</v>
      </c>
      <c r="N959" s="64">
        <v>-16006484.92</v>
      </c>
      <c r="O959" s="64">
        <v>6203444730.1790428</v>
      </c>
    </row>
    <row r="960" spans="1:15" x14ac:dyDescent="0.25">
      <c r="A960" s="58">
        <v>46150</v>
      </c>
      <c r="B960" s="59">
        <v>5</v>
      </c>
      <c r="C960" s="59" t="s">
        <v>1133</v>
      </c>
      <c r="D960" s="59">
        <v>2014272</v>
      </c>
      <c r="E960" s="59" t="s">
        <v>1167</v>
      </c>
      <c r="F960" s="59" t="s">
        <v>1174</v>
      </c>
      <c r="G960" s="59" t="s">
        <v>1136</v>
      </c>
      <c r="H960" s="59" t="s">
        <v>1154</v>
      </c>
      <c r="I960" s="60">
        <v>46113</v>
      </c>
      <c r="J960" s="59" t="s">
        <v>645</v>
      </c>
      <c r="K960" s="59" t="s">
        <v>1138</v>
      </c>
      <c r="L960" s="59"/>
      <c r="M960" s="61">
        <v>4712657.22</v>
      </c>
      <c r="N960" s="61">
        <v>-4712657.22</v>
      </c>
      <c r="O960" s="61">
        <v>6198732072.9590425</v>
      </c>
    </row>
    <row r="961" spans="1:15" x14ac:dyDescent="0.25">
      <c r="A961" s="62">
        <v>46150</v>
      </c>
      <c r="B961">
        <v>5</v>
      </c>
      <c r="C961" t="s">
        <v>1133</v>
      </c>
      <c r="D961">
        <v>2014214</v>
      </c>
      <c r="E961" t="s">
        <v>1167</v>
      </c>
      <c r="F961" t="s">
        <v>1174</v>
      </c>
      <c r="G961" t="s">
        <v>1136</v>
      </c>
      <c r="H961" t="s">
        <v>1151</v>
      </c>
      <c r="I961" s="63">
        <v>46113</v>
      </c>
      <c r="J961" t="s">
        <v>650</v>
      </c>
      <c r="K961" t="s">
        <v>1148</v>
      </c>
      <c r="M961" s="64">
        <v>9020728.6699999999</v>
      </c>
      <c r="N961" s="64">
        <v>-9020728.6699999999</v>
      </c>
      <c r="O961" s="64">
        <v>6189711344.2890425</v>
      </c>
    </row>
    <row r="962" spans="1:15" x14ac:dyDescent="0.25">
      <c r="A962" s="58">
        <v>46153</v>
      </c>
      <c r="B962" s="59">
        <v>5</v>
      </c>
      <c r="C962" s="59" t="s">
        <v>1144</v>
      </c>
      <c r="D962" s="59">
        <v>2044462</v>
      </c>
      <c r="E962" s="59" t="s">
        <v>1167</v>
      </c>
      <c r="F962" s="59" t="s">
        <v>1135</v>
      </c>
      <c r="G962" s="59" t="s">
        <v>1136</v>
      </c>
      <c r="H962" s="59" t="s">
        <v>1140</v>
      </c>
      <c r="I962" s="60">
        <v>46113</v>
      </c>
      <c r="J962" s="59" t="s">
        <v>656</v>
      </c>
      <c r="K962" s="59" t="s">
        <v>1138</v>
      </c>
      <c r="L962" s="59"/>
      <c r="M962" s="61">
        <v>2801224.57</v>
      </c>
      <c r="N962" s="61">
        <v>-2801224.57</v>
      </c>
      <c r="O962" s="61">
        <v>5317734338.0690422</v>
      </c>
    </row>
    <row r="963" spans="1:15" x14ac:dyDescent="0.25">
      <c r="A963" s="62">
        <v>46153</v>
      </c>
      <c r="B963">
        <v>5</v>
      </c>
      <c r="C963" t="s">
        <v>1144</v>
      </c>
      <c r="D963">
        <v>2014421</v>
      </c>
      <c r="E963" t="s">
        <v>1167</v>
      </c>
      <c r="F963" t="s">
        <v>1174</v>
      </c>
      <c r="G963" t="s">
        <v>1136</v>
      </c>
      <c r="H963" t="s">
        <v>1165</v>
      </c>
      <c r="I963" s="63">
        <v>46113</v>
      </c>
      <c r="J963" t="s">
        <v>657</v>
      </c>
      <c r="K963" t="s">
        <v>1142</v>
      </c>
      <c r="M963" s="64">
        <v>43723835.380000003</v>
      </c>
      <c r="N963" s="64">
        <v>-43723835.380000003</v>
      </c>
      <c r="O963" s="64">
        <v>5274010502.6890421</v>
      </c>
    </row>
    <row r="964" spans="1:15" x14ac:dyDescent="0.25">
      <c r="A964" s="58">
        <v>46153</v>
      </c>
      <c r="B964" s="59">
        <v>5</v>
      </c>
      <c r="C964" s="59" t="s">
        <v>1144</v>
      </c>
      <c r="D964" s="59">
        <v>2034241</v>
      </c>
      <c r="E964" s="59" t="s">
        <v>1167</v>
      </c>
      <c r="F964" s="59" t="s">
        <v>1168</v>
      </c>
      <c r="G964" s="59" t="s">
        <v>1136</v>
      </c>
      <c r="H964" s="59" t="s">
        <v>1153</v>
      </c>
      <c r="I964" s="60">
        <v>46113</v>
      </c>
      <c r="J964" s="59" t="s">
        <v>658</v>
      </c>
      <c r="K964" s="59" t="s">
        <v>1142</v>
      </c>
      <c r="L964" s="59"/>
      <c r="M964" s="61">
        <v>7024155.5</v>
      </c>
      <c r="N964" s="61">
        <v>-7024155.5</v>
      </c>
      <c r="O964" s="61">
        <v>5266986347.1890421</v>
      </c>
    </row>
    <row r="965" spans="1:15" x14ac:dyDescent="0.25">
      <c r="A965" s="62">
        <v>46153</v>
      </c>
      <c r="B965">
        <v>5</v>
      </c>
      <c r="C965" t="s">
        <v>1144</v>
      </c>
      <c r="D965">
        <v>2054371</v>
      </c>
      <c r="E965" t="s">
        <v>1167</v>
      </c>
      <c r="F965" t="s">
        <v>1169</v>
      </c>
      <c r="G965" t="s">
        <v>1136</v>
      </c>
      <c r="H965" t="s">
        <v>1141</v>
      </c>
      <c r="I965" s="63">
        <v>46113</v>
      </c>
      <c r="J965" t="s">
        <v>659</v>
      </c>
      <c r="K965" t="s">
        <v>1142</v>
      </c>
      <c r="M965" s="64">
        <v>28007206.5</v>
      </c>
      <c r="N965" s="64">
        <v>-28007206.5</v>
      </c>
      <c r="O965" s="64">
        <v>5238979140.6890421</v>
      </c>
    </row>
    <row r="966" spans="1:15" x14ac:dyDescent="0.25">
      <c r="A966" s="58">
        <v>46153</v>
      </c>
      <c r="B966" s="59">
        <v>5</v>
      </c>
      <c r="C966" s="59" t="s">
        <v>1144</v>
      </c>
      <c r="D966" s="59">
        <v>2014271</v>
      </c>
      <c r="E966" s="59" t="s">
        <v>1167</v>
      </c>
      <c r="F966" s="59" t="s">
        <v>1174</v>
      </c>
      <c r="G966" s="59" t="s">
        <v>1136</v>
      </c>
      <c r="H966" s="59" t="s">
        <v>1154</v>
      </c>
      <c r="I966" s="60">
        <v>46113</v>
      </c>
      <c r="J966" s="59" t="s">
        <v>660</v>
      </c>
      <c r="K966" s="59" t="s">
        <v>1142</v>
      </c>
      <c r="L966" s="59"/>
      <c r="M966" s="61">
        <v>20749536.969999999</v>
      </c>
      <c r="N966" s="61">
        <v>-20749536.969999999</v>
      </c>
      <c r="O966" s="61">
        <v>5218229603.7190418</v>
      </c>
    </row>
    <row r="967" spans="1:15" x14ac:dyDescent="0.25">
      <c r="A967" s="62">
        <v>46153</v>
      </c>
      <c r="B967">
        <v>5</v>
      </c>
      <c r="C967" t="s">
        <v>1144</v>
      </c>
      <c r="D967">
        <v>2014211</v>
      </c>
      <c r="E967" t="s">
        <v>1167</v>
      </c>
      <c r="F967" t="s">
        <v>1174</v>
      </c>
      <c r="G967" t="s">
        <v>1136</v>
      </c>
      <c r="H967" t="s">
        <v>1151</v>
      </c>
      <c r="I967" s="63">
        <v>46113</v>
      </c>
      <c r="J967" t="s">
        <v>661</v>
      </c>
      <c r="K967" t="s">
        <v>1142</v>
      </c>
      <c r="M967" s="64">
        <v>9890442.5</v>
      </c>
      <c r="N967" s="64">
        <v>-9890442.5</v>
      </c>
      <c r="O967" s="64">
        <v>5208339161.2190418</v>
      </c>
    </row>
    <row r="968" spans="1:15" x14ac:dyDescent="0.25">
      <c r="A968" s="58">
        <v>46153</v>
      </c>
      <c r="B968" s="59">
        <v>5</v>
      </c>
      <c r="C968" s="59" t="s">
        <v>1144</v>
      </c>
      <c r="D968" s="59">
        <v>2054197</v>
      </c>
      <c r="E968" s="59" t="s">
        <v>1167</v>
      </c>
      <c r="F968" s="59" t="s">
        <v>1169</v>
      </c>
      <c r="G968" s="59" t="s">
        <v>1136</v>
      </c>
      <c r="H968" s="59" t="s">
        <v>1149</v>
      </c>
      <c r="I968" s="60">
        <v>46113</v>
      </c>
      <c r="J968" s="59" t="s">
        <v>662</v>
      </c>
      <c r="K968" s="59" t="s">
        <v>1170</v>
      </c>
      <c r="L968" s="59"/>
      <c r="M968" s="61">
        <v>703800</v>
      </c>
      <c r="N968" s="61">
        <v>-703800</v>
      </c>
      <c r="O968" s="61">
        <v>5207635361.2190418</v>
      </c>
    </row>
    <row r="969" spans="1:15" x14ac:dyDescent="0.25">
      <c r="A969" s="62">
        <v>46153</v>
      </c>
      <c r="B969">
        <v>5</v>
      </c>
      <c r="C969" t="s">
        <v>1144</v>
      </c>
      <c r="D969">
        <v>2054282</v>
      </c>
      <c r="E969" t="s">
        <v>1167</v>
      </c>
      <c r="F969" t="s">
        <v>1169</v>
      </c>
      <c r="G969" t="s">
        <v>1136</v>
      </c>
      <c r="H969" t="s">
        <v>1155</v>
      </c>
      <c r="I969" s="63">
        <v>46113</v>
      </c>
      <c r="J969" t="s">
        <v>663</v>
      </c>
      <c r="K969" t="s">
        <v>1138</v>
      </c>
      <c r="M969" s="64">
        <v>42821200</v>
      </c>
      <c r="N969" s="64">
        <v>-42821200</v>
      </c>
      <c r="O969" s="64">
        <v>5164814161.2190418</v>
      </c>
    </row>
    <row r="970" spans="1:15" x14ac:dyDescent="0.25">
      <c r="A970" s="58">
        <v>46153</v>
      </c>
      <c r="B970" s="59">
        <v>5</v>
      </c>
      <c r="C970" s="59" t="s">
        <v>1144</v>
      </c>
      <c r="D970" s="59">
        <v>2054284</v>
      </c>
      <c r="E970" s="59" t="s">
        <v>1167</v>
      </c>
      <c r="F970" s="59" t="s">
        <v>1169</v>
      </c>
      <c r="G970" s="59" t="s">
        <v>1136</v>
      </c>
      <c r="H970" s="59" t="s">
        <v>1155</v>
      </c>
      <c r="I970" s="60">
        <v>46113</v>
      </c>
      <c r="J970" s="59" t="s">
        <v>664</v>
      </c>
      <c r="K970" s="59" t="s">
        <v>1148</v>
      </c>
      <c r="L970" s="59"/>
      <c r="M970" s="61">
        <v>131520600</v>
      </c>
      <c r="N970" s="61">
        <v>-131520600</v>
      </c>
      <c r="O970" s="61">
        <v>5033293561.2190418</v>
      </c>
    </row>
    <row r="971" spans="1:15" x14ac:dyDescent="0.25">
      <c r="A971" s="62">
        <v>46153</v>
      </c>
      <c r="B971">
        <v>5</v>
      </c>
      <c r="C971" t="s">
        <v>1144</v>
      </c>
      <c r="D971">
        <v>2054286</v>
      </c>
      <c r="E971" t="s">
        <v>1167</v>
      </c>
      <c r="F971" t="s">
        <v>1169</v>
      </c>
      <c r="G971" t="s">
        <v>1136</v>
      </c>
      <c r="H971" t="s">
        <v>1155</v>
      </c>
      <c r="I971" s="63">
        <v>46113</v>
      </c>
      <c r="J971" t="s">
        <v>664</v>
      </c>
      <c r="K971" t="s">
        <v>1150</v>
      </c>
      <c r="M971" s="64">
        <v>7939588.2300000004</v>
      </c>
      <c r="N971" s="64">
        <v>-7939588.2300000004</v>
      </c>
      <c r="O971" s="64">
        <v>5025353972.9890423</v>
      </c>
    </row>
    <row r="972" spans="1:15" x14ac:dyDescent="0.25">
      <c r="A972" s="58">
        <v>46153</v>
      </c>
      <c r="B972" s="59">
        <v>5</v>
      </c>
      <c r="C972" s="59" t="s">
        <v>1144</v>
      </c>
      <c r="D972" s="59">
        <v>2054285</v>
      </c>
      <c r="E972" s="59" t="s">
        <v>1167</v>
      </c>
      <c r="F972" s="59" t="s">
        <v>1169</v>
      </c>
      <c r="G972" s="59" t="s">
        <v>1136</v>
      </c>
      <c r="H972" s="59" t="s">
        <v>1155</v>
      </c>
      <c r="I972" s="60">
        <v>46113</v>
      </c>
      <c r="J972" s="59" t="s">
        <v>665</v>
      </c>
      <c r="K972" s="59" t="s">
        <v>1172</v>
      </c>
      <c r="L972" s="59"/>
      <c r="M972" s="61">
        <v>1263590</v>
      </c>
      <c r="N972" s="61">
        <v>-1263590</v>
      </c>
      <c r="O972" s="61">
        <v>5024090382.9890423</v>
      </c>
    </row>
    <row r="973" spans="1:15" x14ac:dyDescent="0.25">
      <c r="A973" s="62">
        <v>46153</v>
      </c>
      <c r="B973">
        <v>5</v>
      </c>
      <c r="C973" t="s">
        <v>1144</v>
      </c>
      <c r="D973">
        <v>2054391</v>
      </c>
      <c r="E973" t="s">
        <v>1167</v>
      </c>
      <c r="F973" t="s">
        <v>1169</v>
      </c>
      <c r="G973" t="s">
        <v>1136</v>
      </c>
      <c r="H973" t="s">
        <v>1164</v>
      </c>
      <c r="I973" s="63">
        <v>46113</v>
      </c>
      <c r="J973" t="s">
        <v>666</v>
      </c>
      <c r="K973" t="s">
        <v>1142</v>
      </c>
      <c r="M973" s="64">
        <v>22772315.5</v>
      </c>
      <c r="N973" s="64">
        <v>-22772315.5</v>
      </c>
      <c r="O973" s="64">
        <v>5001318067.4890423</v>
      </c>
    </row>
    <row r="974" spans="1:15" x14ac:dyDescent="0.25">
      <c r="A974" s="58">
        <v>46153</v>
      </c>
      <c r="B974" s="59">
        <v>5</v>
      </c>
      <c r="C974" s="59" t="s">
        <v>1144</v>
      </c>
      <c r="D974" s="59">
        <v>1044161</v>
      </c>
      <c r="E974" s="59" t="s">
        <v>1134</v>
      </c>
      <c r="F974" s="59" t="s">
        <v>1135</v>
      </c>
      <c r="G974" s="59" t="s">
        <v>1136</v>
      </c>
      <c r="H974" s="59" t="s">
        <v>1162</v>
      </c>
      <c r="I974" s="60">
        <v>46082</v>
      </c>
      <c r="J974" s="59" t="s">
        <v>667</v>
      </c>
      <c r="K974" s="59" t="s">
        <v>1142</v>
      </c>
      <c r="L974" s="61">
        <v>10365997.5</v>
      </c>
      <c r="M974" s="59"/>
      <c r="N974" s="61">
        <v>10365997.5</v>
      </c>
      <c r="O974" s="61">
        <v>5067397465.0790424</v>
      </c>
    </row>
    <row r="975" spans="1:15" x14ac:dyDescent="0.25">
      <c r="A975" s="62">
        <v>46153</v>
      </c>
      <c r="B975">
        <v>5</v>
      </c>
      <c r="C975" t="s">
        <v>1144</v>
      </c>
      <c r="D975">
        <v>1044171</v>
      </c>
      <c r="E975" t="s">
        <v>1134</v>
      </c>
      <c r="F975" t="s">
        <v>1135</v>
      </c>
      <c r="G975" t="s">
        <v>1136</v>
      </c>
      <c r="H975" t="s">
        <v>1147</v>
      </c>
      <c r="I975" s="63">
        <v>46082</v>
      </c>
      <c r="J975" t="s">
        <v>667</v>
      </c>
      <c r="K975" t="s">
        <v>1142</v>
      </c>
      <c r="L975" s="64">
        <v>3574819.5</v>
      </c>
      <c r="N975" s="64">
        <v>3574819.5</v>
      </c>
      <c r="O975" s="64">
        <v>5070972284.5790424</v>
      </c>
    </row>
    <row r="976" spans="1:15" x14ac:dyDescent="0.25">
      <c r="A976" s="58">
        <v>46153</v>
      </c>
      <c r="B976" s="59">
        <v>5</v>
      </c>
      <c r="C976" s="59" t="s">
        <v>1144</v>
      </c>
      <c r="D976" s="59">
        <v>1044201</v>
      </c>
      <c r="E976" s="59" t="s">
        <v>1134</v>
      </c>
      <c r="F976" s="59" t="s">
        <v>1135</v>
      </c>
      <c r="G976" s="59" t="s">
        <v>1136</v>
      </c>
      <c r="H976" s="59" t="s">
        <v>1139</v>
      </c>
      <c r="I976" s="60">
        <v>46082</v>
      </c>
      <c r="J976" s="59" t="s">
        <v>667</v>
      </c>
      <c r="K976" s="59" t="s">
        <v>1142</v>
      </c>
      <c r="L976" s="61">
        <v>6386564.5</v>
      </c>
      <c r="M976" s="59"/>
      <c r="N976" s="61">
        <v>6386564.5</v>
      </c>
      <c r="O976" s="61">
        <v>5077358849.0790424</v>
      </c>
    </row>
    <row r="977" spans="1:15" x14ac:dyDescent="0.25">
      <c r="A977" s="62">
        <v>46153</v>
      </c>
      <c r="B977">
        <v>5</v>
      </c>
      <c r="C977" t="s">
        <v>1144</v>
      </c>
      <c r="D977">
        <v>1044211</v>
      </c>
      <c r="E977" t="s">
        <v>1134</v>
      </c>
      <c r="F977" t="s">
        <v>1135</v>
      </c>
      <c r="G977" t="s">
        <v>1136</v>
      </c>
      <c r="H977" t="s">
        <v>1151</v>
      </c>
      <c r="I977" s="63">
        <v>46082</v>
      </c>
      <c r="J977" t="s">
        <v>667</v>
      </c>
      <c r="K977" t="s">
        <v>1142</v>
      </c>
      <c r="L977" s="64">
        <v>1470210</v>
      </c>
      <c r="N977" s="64">
        <v>1470210</v>
      </c>
      <c r="O977" s="64">
        <v>5078829059.0790424</v>
      </c>
    </row>
    <row r="978" spans="1:15" x14ac:dyDescent="0.25">
      <c r="A978" s="58">
        <v>46153</v>
      </c>
      <c r="B978" s="59">
        <v>5</v>
      </c>
      <c r="C978" s="59" t="s">
        <v>1144</v>
      </c>
      <c r="D978" s="59">
        <v>1044241</v>
      </c>
      <c r="E978" s="59" t="s">
        <v>1134</v>
      </c>
      <c r="F978" s="59" t="s">
        <v>1135</v>
      </c>
      <c r="G978" s="59" t="s">
        <v>1136</v>
      </c>
      <c r="H978" s="59" t="s">
        <v>1153</v>
      </c>
      <c r="I978" s="60">
        <v>46082</v>
      </c>
      <c r="J978" s="59" t="s">
        <v>667</v>
      </c>
      <c r="K978" s="59" t="s">
        <v>1142</v>
      </c>
      <c r="L978" s="61">
        <v>3060591</v>
      </c>
      <c r="M978" s="59"/>
      <c r="N978" s="61">
        <v>3060591</v>
      </c>
      <c r="O978" s="61">
        <v>5081889650.0790424</v>
      </c>
    </row>
    <row r="979" spans="1:15" x14ac:dyDescent="0.25">
      <c r="A979" s="62">
        <v>46153</v>
      </c>
      <c r="B979">
        <v>5</v>
      </c>
      <c r="C979" t="s">
        <v>1144</v>
      </c>
      <c r="D979">
        <v>1044261</v>
      </c>
      <c r="E979" t="s">
        <v>1134</v>
      </c>
      <c r="F979" t="s">
        <v>1135</v>
      </c>
      <c r="G979" t="s">
        <v>1136</v>
      </c>
      <c r="H979" t="s">
        <v>1145</v>
      </c>
      <c r="I979" s="63">
        <v>46082</v>
      </c>
      <c r="J979" t="s">
        <v>667</v>
      </c>
      <c r="K979" t="s">
        <v>1142</v>
      </c>
      <c r="L979" s="64">
        <v>1944676.25</v>
      </c>
      <c r="N979" s="64">
        <v>1944676.25</v>
      </c>
      <c r="O979" s="64">
        <v>5083834326.3290424</v>
      </c>
    </row>
    <row r="980" spans="1:15" x14ac:dyDescent="0.25">
      <c r="A980" s="58">
        <v>46153</v>
      </c>
      <c r="B980" s="59">
        <v>5</v>
      </c>
      <c r="C980" s="59" t="s">
        <v>1144</v>
      </c>
      <c r="D980" s="59">
        <v>1044271</v>
      </c>
      <c r="E980" s="59" t="s">
        <v>1134</v>
      </c>
      <c r="F980" s="59" t="s">
        <v>1135</v>
      </c>
      <c r="G980" s="59" t="s">
        <v>1136</v>
      </c>
      <c r="H980" s="59" t="s">
        <v>1154</v>
      </c>
      <c r="I980" s="60">
        <v>46082</v>
      </c>
      <c r="J980" s="59" t="s">
        <v>667</v>
      </c>
      <c r="K980" s="59" t="s">
        <v>1142</v>
      </c>
      <c r="L980" s="61">
        <v>10105800</v>
      </c>
      <c r="M980" s="59"/>
      <c r="N980" s="61">
        <v>10105800</v>
      </c>
      <c r="O980" s="61">
        <v>5093940126.3290424</v>
      </c>
    </row>
    <row r="981" spans="1:15" x14ac:dyDescent="0.25">
      <c r="A981" s="62">
        <v>46153</v>
      </c>
      <c r="B981">
        <v>5</v>
      </c>
      <c r="C981" t="s">
        <v>1144</v>
      </c>
      <c r="D981">
        <v>1044281</v>
      </c>
      <c r="E981" t="s">
        <v>1134</v>
      </c>
      <c r="F981" t="s">
        <v>1135</v>
      </c>
      <c r="G981" t="s">
        <v>1136</v>
      </c>
      <c r="H981" t="s">
        <v>1155</v>
      </c>
      <c r="I981" s="63">
        <v>46082</v>
      </c>
      <c r="J981" t="s">
        <v>667</v>
      </c>
      <c r="K981" t="s">
        <v>1142</v>
      </c>
      <c r="L981" s="64">
        <v>10207970</v>
      </c>
      <c r="N981" s="64">
        <v>10207970</v>
      </c>
      <c r="O981" s="64">
        <v>5104148096.3290424</v>
      </c>
    </row>
    <row r="982" spans="1:15" x14ac:dyDescent="0.25">
      <c r="A982" s="58">
        <v>46153</v>
      </c>
      <c r="B982" s="59">
        <v>5</v>
      </c>
      <c r="C982" s="59" t="s">
        <v>1144</v>
      </c>
      <c r="D982" s="59">
        <v>1044461</v>
      </c>
      <c r="E982" s="59" t="s">
        <v>1134</v>
      </c>
      <c r="F982" s="59" t="s">
        <v>1135</v>
      </c>
      <c r="G982" s="59" t="s">
        <v>1136</v>
      </c>
      <c r="H982" s="59" t="s">
        <v>1140</v>
      </c>
      <c r="I982" s="60">
        <v>46082</v>
      </c>
      <c r="J982" s="59" t="s">
        <v>667</v>
      </c>
      <c r="K982" s="59" t="s">
        <v>1142</v>
      </c>
      <c r="L982" s="61">
        <v>2115666.964796477</v>
      </c>
      <c r="M982" s="59"/>
      <c r="N982" s="61">
        <v>2115666.964796477</v>
      </c>
      <c r="O982" s="61">
        <v>5106263763.2938395</v>
      </c>
    </row>
    <row r="983" spans="1:15" x14ac:dyDescent="0.25">
      <c r="A983" s="62">
        <v>46153</v>
      </c>
      <c r="B983">
        <v>5</v>
      </c>
      <c r="C983" t="s">
        <v>1144</v>
      </c>
      <c r="D983">
        <v>1044311</v>
      </c>
      <c r="E983" t="s">
        <v>1134</v>
      </c>
      <c r="F983" t="s">
        <v>1135</v>
      </c>
      <c r="G983" t="s">
        <v>1136</v>
      </c>
      <c r="H983" t="s">
        <v>1137</v>
      </c>
      <c r="I983" s="63">
        <v>46082</v>
      </c>
      <c r="J983" t="s">
        <v>667</v>
      </c>
      <c r="K983" t="s">
        <v>1142</v>
      </c>
      <c r="L983" s="64">
        <v>16505510</v>
      </c>
      <c r="N983" s="64">
        <v>16505510</v>
      </c>
      <c r="O983" s="64">
        <v>5122769273.2938395</v>
      </c>
    </row>
    <row r="984" spans="1:15" x14ac:dyDescent="0.25">
      <c r="A984" s="58">
        <v>46153</v>
      </c>
      <c r="B984" s="59">
        <v>5</v>
      </c>
      <c r="C984" s="59" t="s">
        <v>1144</v>
      </c>
      <c r="D984" s="59">
        <v>1044321</v>
      </c>
      <c r="E984" s="59" t="s">
        <v>1134</v>
      </c>
      <c r="F984" s="59" t="s">
        <v>1135</v>
      </c>
      <c r="G984" s="59" t="s">
        <v>1136</v>
      </c>
      <c r="H984" s="59" t="s">
        <v>1143</v>
      </c>
      <c r="I984" s="60">
        <v>46082</v>
      </c>
      <c r="J984" s="59" t="s">
        <v>667</v>
      </c>
      <c r="K984" s="59" t="s">
        <v>1142</v>
      </c>
      <c r="L984" s="61">
        <v>5495661</v>
      </c>
      <c r="M984" s="59"/>
      <c r="N984" s="61">
        <v>5495661</v>
      </c>
      <c r="O984" s="61">
        <v>5128264934.2938395</v>
      </c>
    </row>
    <row r="985" spans="1:15" x14ac:dyDescent="0.25">
      <c r="A985" s="62">
        <v>46153</v>
      </c>
      <c r="B985">
        <v>5</v>
      </c>
      <c r="C985" t="s">
        <v>1144</v>
      </c>
      <c r="D985">
        <v>1044351</v>
      </c>
      <c r="E985" t="s">
        <v>1134</v>
      </c>
      <c r="F985" t="s">
        <v>1135</v>
      </c>
      <c r="G985" t="s">
        <v>1136</v>
      </c>
      <c r="H985" t="s">
        <v>1157</v>
      </c>
      <c r="I985" s="63">
        <v>46082</v>
      </c>
      <c r="J985" t="s">
        <v>667</v>
      </c>
      <c r="K985" t="s">
        <v>1142</v>
      </c>
      <c r="L985" s="64">
        <v>1456893.6</v>
      </c>
      <c r="N985" s="64">
        <v>1456893.6</v>
      </c>
      <c r="O985" s="64">
        <v>5129721827.8938389</v>
      </c>
    </row>
    <row r="986" spans="1:15" x14ac:dyDescent="0.25">
      <c r="A986" s="58">
        <v>46153</v>
      </c>
      <c r="B986" s="59">
        <v>5</v>
      </c>
      <c r="C986" s="59" t="s">
        <v>1144</v>
      </c>
      <c r="D986" s="59">
        <v>1044361</v>
      </c>
      <c r="E986" s="59" t="s">
        <v>1134</v>
      </c>
      <c r="F986" s="59" t="s">
        <v>1135</v>
      </c>
      <c r="G986" s="59" t="s">
        <v>1136</v>
      </c>
      <c r="H986" s="59" t="s">
        <v>1158</v>
      </c>
      <c r="I986" s="60">
        <v>46082</v>
      </c>
      <c r="J986" s="59" t="s">
        <v>667</v>
      </c>
      <c r="K986" s="59" t="s">
        <v>1142</v>
      </c>
      <c r="L986" s="61">
        <v>4111893.6</v>
      </c>
      <c r="M986" s="59"/>
      <c r="N986" s="61">
        <v>4111893.6</v>
      </c>
      <c r="O986" s="61">
        <v>5133833721.4938393</v>
      </c>
    </row>
    <row r="987" spans="1:15" x14ac:dyDescent="0.25">
      <c r="A987" s="62">
        <v>46153</v>
      </c>
      <c r="B987">
        <v>5</v>
      </c>
      <c r="C987" t="s">
        <v>1144</v>
      </c>
      <c r="D987">
        <v>1044371</v>
      </c>
      <c r="E987" t="s">
        <v>1134</v>
      </c>
      <c r="F987" t="s">
        <v>1135</v>
      </c>
      <c r="G987" t="s">
        <v>1136</v>
      </c>
      <c r="H987" t="s">
        <v>1141</v>
      </c>
      <c r="I987" s="63">
        <v>46082</v>
      </c>
      <c r="J987" t="s">
        <v>667</v>
      </c>
      <c r="K987" t="s">
        <v>1142</v>
      </c>
      <c r="L987" s="64">
        <v>12111517.6</v>
      </c>
      <c r="N987" s="64">
        <v>12111517.6</v>
      </c>
      <c r="O987" s="64">
        <v>5145945239.0938396</v>
      </c>
    </row>
    <row r="988" spans="1:15" x14ac:dyDescent="0.25">
      <c r="A988" s="58">
        <v>46153</v>
      </c>
      <c r="B988" s="59">
        <v>5</v>
      </c>
      <c r="C988" s="59" t="s">
        <v>1144</v>
      </c>
      <c r="D988" s="59">
        <v>1044381</v>
      </c>
      <c r="E988" s="59" t="s">
        <v>1134</v>
      </c>
      <c r="F988" s="59" t="s">
        <v>1135</v>
      </c>
      <c r="G988" s="59" t="s">
        <v>1136</v>
      </c>
      <c r="H988" s="59" t="s">
        <v>1163</v>
      </c>
      <c r="I988" s="60">
        <v>46082</v>
      </c>
      <c r="J988" s="59" t="s">
        <v>667</v>
      </c>
      <c r="K988" s="59" t="s">
        <v>1142</v>
      </c>
      <c r="L988" s="61">
        <v>9362676</v>
      </c>
      <c r="M988" s="59"/>
      <c r="N988" s="61">
        <v>9362676</v>
      </c>
      <c r="O988" s="61">
        <v>5155307915.0938396</v>
      </c>
    </row>
    <row r="989" spans="1:15" x14ac:dyDescent="0.25">
      <c r="A989" s="62">
        <v>46153</v>
      </c>
      <c r="B989">
        <v>5</v>
      </c>
      <c r="C989" t="s">
        <v>1144</v>
      </c>
      <c r="D989">
        <v>1044391</v>
      </c>
      <c r="E989" t="s">
        <v>1134</v>
      </c>
      <c r="F989" t="s">
        <v>1135</v>
      </c>
      <c r="G989" t="s">
        <v>1136</v>
      </c>
      <c r="H989" t="s">
        <v>1164</v>
      </c>
      <c r="I989" s="63">
        <v>46082</v>
      </c>
      <c r="J989" t="s">
        <v>667</v>
      </c>
      <c r="K989" t="s">
        <v>1142</v>
      </c>
      <c r="L989" s="64">
        <v>2572251.5</v>
      </c>
      <c r="N989" s="64">
        <v>2572251.5</v>
      </c>
      <c r="O989" s="64">
        <v>5157880166.5938396</v>
      </c>
    </row>
    <row r="990" spans="1:15" x14ac:dyDescent="0.25">
      <c r="A990" s="58">
        <v>46153</v>
      </c>
      <c r="B990" s="59">
        <v>5</v>
      </c>
      <c r="C990" s="59" t="s">
        <v>1144</v>
      </c>
      <c r="D990" s="59">
        <v>1044401</v>
      </c>
      <c r="E990" s="59" t="s">
        <v>1134</v>
      </c>
      <c r="F990" s="59" t="s">
        <v>1135</v>
      </c>
      <c r="G990" s="59" t="s">
        <v>1136</v>
      </c>
      <c r="H990" s="59" t="s">
        <v>1159</v>
      </c>
      <c r="I990" s="60">
        <v>46082</v>
      </c>
      <c r="J990" s="59" t="s">
        <v>667</v>
      </c>
      <c r="K990" s="59" t="s">
        <v>1142</v>
      </c>
      <c r="L990" s="61">
        <v>10155555.5</v>
      </c>
      <c r="M990" s="59"/>
      <c r="N990" s="61">
        <v>10155555.5</v>
      </c>
      <c r="O990" s="61">
        <v>5168035722.0938396</v>
      </c>
    </row>
    <row r="991" spans="1:15" x14ac:dyDescent="0.25">
      <c r="A991" s="62">
        <v>46153</v>
      </c>
      <c r="B991">
        <v>5</v>
      </c>
      <c r="C991" t="s">
        <v>1144</v>
      </c>
      <c r="D991">
        <v>1044411</v>
      </c>
      <c r="E991" t="s">
        <v>1134</v>
      </c>
      <c r="F991" t="s">
        <v>1135</v>
      </c>
      <c r="G991" t="s">
        <v>1136</v>
      </c>
      <c r="H991" t="s">
        <v>1160</v>
      </c>
      <c r="I991" s="63">
        <v>46082</v>
      </c>
      <c r="J991" t="s">
        <v>667</v>
      </c>
      <c r="K991" t="s">
        <v>1142</v>
      </c>
      <c r="L991" s="64">
        <v>2092913.5</v>
      </c>
      <c r="N991" s="64">
        <v>2092913.5</v>
      </c>
      <c r="O991" s="64">
        <v>5170128635.5938396</v>
      </c>
    </row>
    <row r="992" spans="1:15" x14ac:dyDescent="0.25">
      <c r="A992" s="58">
        <v>46153</v>
      </c>
      <c r="B992" s="59">
        <v>5</v>
      </c>
      <c r="C992" s="59" t="s">
        <v>1144</v>
      </c>
      <c r="D992" s="59">
        <v>1044421</v>
      </c>
      <c r="E992" s="59" t="s">
        <v>1134</v>
      </c>
      <c r="F992" s="59" t="s">
        <v>1135</v>
      </c>
      <c r="G992" s="59" t="s">
        <v>1136</v>
      </c>
      <c r="H992" s="59" t="s">
        <v>1165</v>
      </c>
      <c r="I992" s="60">
        <v>46082</v>
      </c>
      <c r="J992" s="59" t="s">
        <v>667</v>
      </c>
      <c r="K992" s="59" t="s">
        <v>1142</v>
      </c>
      <c r="L992" s="61">
        <v>29288184.333190002</v>
      </c>
      <c r="M992" s="59"/>
      <c r="N992" s="61">
        <v>29288184.333190002</v>
      </c>
      <c r="O992" s="61">
        <v>5199416819.9270296</v>
      </c>
    </row>
    <row r="993" spans="1:15" x14ac:dyDescent="0.25">
      <c r="A993" s="62">
        <v>46153</v>
      </c>
      <c r="B993">
        <v>5</v>
      </c>
      <c r="C993" t="s">
        <v>1144</v>
      </c>
      <c r="D993">
        <v>1044161</v>
      </c>
      <c r="E993" t="s">
        <v>1134</v>
      </c>
      <c r="F993" t="s">
        <v>1135</v>
      </c>
      <c r="G993" t="s">
        <v>1136</v>
      </c>
      <c r="H993" t="s">
        <v>1162</v>
      </c>
      <c r="I993" s="63">
        <v>46082</v>
      </c>
      <c r="J993" t="s">
        <v>667</v>
      </c>
      <c r="K993" t="s">
        <v>1142</v>
      </c>
      <c r="L993" s="64">
        <v>24369153.5</v>
      </c>
      <c r="N993" s="64">
        <v>24369153.5</v>
      </c>
      <c r="O993" s="64">
        <v>5309477480.4870291</v>
      </c>
    </row>
    <row r="994" spans="1:15" x14ac:dyDescent="0.25">
      <c r="A994" s="58">
        <v>46153</v>
      </c>
      <c r="B994" s="59">
        <v>5</v>
      </c>
      <c r="C994" s="59" t="s">
        <v>1144</v>
      </c>
      <c r="D994" s="59">
        <v>1044171</v>
      </c>
      <c r="E994" s="59" t="s">
        <v>1134</v>
      </c>
      <c r="F994" s="59" t="s">
        <v>1135</v>
      </c>
      <c r="G994" s="59" t="s">
        <v>1136</v>
      </c>
      <c r="H994" s="59" t="s">
        <v>1147</v>
      </c>
      <c r="I994" s="60">
        <v>46082</v>
      </c>
      <c r="J994" s="59" t="s">
        <v>667</v>
      </c>
      <c r="K994" s="59" t="s">
        <v>1142</v>
      </c>
      <c r="L994" s="61">
        <v>7784212.875</v>
      </c>
      <c r="M994" s="59"/>
      <c r="N994" s="61">
        <v>7784212.875</v>
      </c>
      <c r="O994" s="61">
        <v>5317261693.3620291</v>
      </c>
    </row>
    <row r="995" spans="1:15" x14ac:dyDescent="0.25">
      <c r="A995" s="62">
        <v>46153</v>
      </c>
      <c r="B995">
        <v>5</v>
      </c>
      <c r="C995" t="s">
        <v>1144</v>
      </c>
      <c r="D995">
        <v>1044211</v>
      </c>
      <c r="E995" t="s">
        <v>1134</v>
      </c>
      <c r="F995" t="s">
        <v>1135</v>
      </c>
      <c r="G995" t="s">
        <v>1136</v>
      </c>
      <c r="H995" t="s">
        <v>1151</v>
      </c>
      <c r="I995" s="63">
        <v>46082</v>
      </c>
      <c r="J995" t="s">
        <v>667</v>
      </c>
      <c r="K995" t="s">
        <v>1142</v>
      </c>
      <c r="L995" s="64">
        <v>9077175.5</v>
      </c>
      <c r="N995" s="64">
        <v>9077175.5</v>
      </c>
      <c r="O995" s="64">
        <v>5326338868.8620291</v>
      </c>
    </row>
    <row r="996" spans="1:15" x14ac:dyDescent="0.25">
      <c r="A996" s="58">
        <v>46153</v>
      </c>
      <c r="B996" s="59">
        <v>5</v>
      </c>
      <c r="C996" s="59" t="s">
        <v>1144</v>
      </c>
      <c r="D996" s="59">
        <v>1044241</v>
      </c>
      <c r="E996" s="59" t="s">
        <v>1134</v>
      </c>
      <c r="F996" s="59" t="s">
        <v>1135</v>
      </c>
      <c r="G996" s="59" t="s">
        <v>1136</v>
      </c>
      <c r="H996" s="59" t="s">
        <v>1153</v>
      </c>
      <c r="I996" s="60">
        <v>46082</v>
      </c>
      <c r="J996" s="59" t="s">
        <v>667</v>
      </c>
      <c r="K996" s="59" t="s">
        <v>1142</v>
      </c>
      <c r="L996" s="61">
        <v>2474338</v>
      </c>
      <c r="M996" s="59"/>
      <c r="N996" s="61">
        <v>2474338</v>
      </c>
      <c r="O996" s="61">
        <v>5328813206.8620291</v>
      </c>
    </row>
    <row r="997" spans="1:15" x14ac:dyDescent="0.25">
      <c r="A997" s="62">
        <v>46153</v>
      </c>
      <c r="B997">
        <v>5</v>
      </c>
      <c r="C997" t="s">
        <v>1144</v>
      </c>
      <c r="D997">
        <v>1044261</v>
      </c>
      <c r="E997" t="s">
        <v>1134</v>
      </c>
      <c r="F997" t="s">
        <v>1135</v>
      </c>
      <c r="G997" t="s">
        <v>1136</v>
      </c>
      <c r="H997" t="s">
        <v>1145</v>
      </c>
      <c r="I997" s="63">
        <v>46082</v>
      </c>
      <c r="J997" t="s">
        <v>667</v>
      </c>
      <c r="K997" t="s">
        <v>1142</v>
      </c>
      <c r="L997" s="64">
        <v>2754306.25</v>
      </c>
      <c r="N997" s="64">
        <v>2754306.25</v>
      </c>
      <c r="O997" s="64">
        <v>5331567513.1120291</v>
      </c>
    </row>
    <row r="998" spans="1:15" x14ac:dyDescent="0.25">
      <c r="A998" s="58">
        <v>46153</v>
      </c>
      <c r="B998" s="59">
        <v>5</v>
      </c>
      <c r="C998" s="59" t="s">
        <v>1144</v>
      </c>
      <c r="D998" s="59">
        <v>1044271</v>
      </c>
      <c r="E998" s="59" t="s">
        <v>1134</v>
      </c>
      <c r="F998" s="59" t="s">
        <v>1135</v>
      </c>
      <c r="G998" s="59" t="s">
        <v>1136</v>
      </c>
      <c r="H998" s="59" t="s">
        <v>1154</v>
      </c>
      <c r="I998" s="60">
        <v>46082</v>
      </c>
      <c r="J998" s="59" t="s">
        <v>667</v>
      </c>
      <c r="K998" s="59" t="s">
        <v>1142</v>
      </c>
      <c r="L998" s="61">
        <v>20550858</v>
      </c>
      <c r="M998" s="59"/>
      <c r="N998" s="61">
        <v>20550858</v>
      </c>
      <c r="O998" s="61">
        <v>5352118371.1120291</v>
      </c>
    </row>
    <row r="999" spans="1:15" x14ac:dyDescent="0.25">
      <c r="A999" s="62">
        <v>46153</v>
      </c>
      <c r="B999">
        <v>5</v>
      </c>
      <c r="C999" t="s">
        <v>1144</v>
      </c>
      <c r="D999">
        <v>1044281</v>
      </c>
      <c r="E999" t="s">
        <v>1134</v>
      </c>
      <c r="F999" t="s">
        <v>1135</v>
      </c>
      <c r="G999" t="s">
        <v>1136</v>
      </c>
      <c r="H999" t="s">
        <v>1155</v>
      </c>
      <c r="I999" s="63">
        <v>46082</v>
      </c>
      <c r="J999" t="s">
        <v>667</v>
      </c>
      <c r="K999" t="s">
        <v>1142</v>
      </c>
      <c r="L999" s="64">
        <v>20211870</v>
      </c>
      <c r="N999" s="64">
        <v>20211870</v>
      </c>
      <c r="O999" s="64">
        <v>5372330241.1120291</v>
      </c>
    </row>
    <row r="1000" spans="1:15" x14ac:dyDescent="0.25">
      <c r="A1000" s="58">
        <v>46153</v>
      </c>
      <c r="B1000" s="59">
        <v>5</v>
      </c>
      <c r="C1000" s="59" t="s">
        <v>1144</v>
      </c>
      <c r="D1000" s="59">
        <v>1044461</v>
      </c>
      <c r="E1000" s="59" t="s">
        <v>1134</v>
      </c>
      <c r="F1000" s="59" t="s">
        <v>1135</v>
      </c>
      <c r="G1000" s="59" t="s">
        <v>1136</v>
      </c>
      <c r="H1000" s="59" t="s">
        <v>1140</v>
      </c>
      <c r="I1000" s="60">
        <v>46082</v>
      </c>
      <c r="J1000" s="59" t="s">
        <v>667</v>
      </c>
      <c r="K1000" s="59" t="s">
        <v>1142</v>
      </c>
      <c r="L1000" s="61">
        <v>2132002.4062178149</v>
      </c>
      <c r="M1000" s="59"/>
      <c r="N1000" s="61">
        <v>2132002.4062178149</v>
      </c>
      <c r="O1000" s="61">
        <v>5374462243.5182467</v>
      </c>
    </row>
    <row r="1001" spans="1:15" x14ac:dyDescent="0.25">
      <c r="A1001" s="62">
        <v>46153</v>
      </c>
      <c r="B1001">
        <v>5</v>
      </c>
      <c r="C1001" t="s">
        <v>1144</v>
      </c>
      <c r="D1001">
        <v>1044321</v>
      </c>
      <c r="E1001" t="s">
        <v>1134</v>
      </c>
      <c r="F1001" t="s">
        <v>1135</v>
      </c>
      <c r="G1001" t="s">
        <v>1136</v>
      </c>
      <c r="H1001" t="s">
        <v>1143</v>
      </c>
      <c r="I1001" s="63">
        <v>46082</v>
      </c>
      <c r="J1001" t="s">
        <v>667</v>
      </c>
      <c r="K1001" t="s">
        <v>1142</v>
      </c>
      <c r="L1001" s="64">
        <v>29338878</v>
      </c>
      <c r="N1001" s="64">
        <v>29338878</v>
      </c>
      <c r="O1001" s="64">
        <v>5403801121.5182467</v>
      </c>
    </row>
    <row r="1002" spans="1:15" x14ac:dyDescent="0.25">
      <c r="A1002" s="58">
        <v>46153</v>
      </c>
      <c r="B1002" s="59">
        <v>5</v>
      </c>
      <c r="C1002" s="59" t="s">
        <v>1144</v>
      </c>
      <c r="D1002" s="59">
        <v>1044351</v>
      </c>
      <c r="E1002" s="59" t="s">
        <v>1134</v>
      </c>
      <c r="F1002" s="59" t="s">
        <v>1135</v>
      </c>
      <c r="G1002" s="59" t="s">
        <v>1136</v>
      </c>
      <c r="H1002" s="59" t="s">
        <v>1157</v>
      </c>
      <c r="I1002" s="60">
        <v>46082</v>
      </c>
      <c r="J1002" s="59" t="s">
        <v>667</v>
      </c>
      <c r="K1002" s="59" t="s">
        <v>1142</v>
      </c>
      <c r="L1002" s="61">
        <v>1587826.8</v>
      </c>
      <c r="M1002" s="59"/>
      <c r="N1002" s="61">
        <v>1587826.8</v>
      </c>
      <c r="O1002" s="61">
        <v>5405388948.3182468</v>
      </c>
    </row>
    <row r="1003" spans="1:15" x14ac:dyDescent="0.25">
      <c r="A1003" s="62">
        <v>46153</v>
      </c>
      <c r="B1003">
        <v>5</v>
      </c>
      <c r="C1003" t="s">
        <v>1144</v>
      </c>
      <c r="D1003">
        <v>1044361</v>
      </c>
      <c r="E1003" t="s">
        <v>1134</v>
      </c>
      <c r="F1003" t="s">
        <v>1135</v>
      </c>
      <c r="G1003" t="s">
        <v>1136</v>
      </c>
      <c r="H1003" t="s">
        <v>1158</v>
      </c>
      <c r="I1003" s="63">
        <v>46082</v>
      </c>
      <c r="J1003" t="s">
        <v>667</v>
      </c>
      <c r="K1003" t="s">
        <v>1142</v>
      </c>
      <c r="L1003" s="64">
        <v>6395298</v>
      </c>
      <c r="N1003" s="64">
        <v>6395298</v>
      </c>
      <c r="O1003" s="64">
        <v>5411784246.3182468</v>
      </c>
    </row>
    <row r="1004" spans="1:15" x14ac:dyDescent="0.25">
      <c r="A1004" s="58">
        <v>46153</v>
      </c>
      <c r="B1004" s="59">
        <v>5</v>
      </c>
      <c r="C1004" s="59" t="s">
        <v>1144</v>
      </c>
      <c r="D1004" s="59">
        <v>1044371</v>
      </c>
      <c r="E1004" s="59" t="s">
        <v>1134</v>
      </c>
      <c r="F1004" s="59" t="s">
        <v>1135</v>
      </c>
      <c r="G1004" s="59" t="s">
        <v>1136</v>
      </c>
      <c r="H1004" s="59" t="s">
        <v>1141</v>
      </c>
      <c r="I1004" s="60">
        <v>46082</v>
      </c>
      <c r="J1004" s="59" t="s">
        <v>667</v>
      </c>
      <c r="K1004" s="59" t="s">
        <v>1142</v>
      </c>
      <c r="L1004" s="61">
        <v>26133194.5</v>
      </c>
      <c r="M1004" s="59"/>
      <c r="N1004" s="61">
        <v>26133194.5</v>
      </c>
      <c r="O1004" s="61">
        <v>5437917440.8182468</v>
      </c>
    </row>
    <row r="1005" spans="1:15" x14ac:dyDescent="0.25">
      <c r="A1005" s="62">
        <v>46153</v>
      </c>
      <c r="B1005">
        <v>5</v>
      </c>
      <c r="C1005" t="s">
        <v>1144</v>
      </c>
      <c r="D1005">
        <v>1044391</v>
      </c>
      <c r="E1005" t="s">
        <v>1134</v>
      </c>
      <c r="F1005" t="s">
        <v>1135</v>
      </c>
      <c r="G1005" t="s">
        <v>1136</v>
      </c>
      <c r="H1005" t="s">
        <v>1164</v>
      </c>
      <c r="I1005" s="63">
        <v>46082</v>
      </c>
      <c r="J1005" t="s">
        <v>667</v>
      </c>
      <c r="K1005" t="s">
        <v>1142</v>
      </c>
      <c r="L1005" s="64">
        <v>23138815.5</v>
      </c>
      <c r="N1005" s="64">
        <v>23138815.5</v>
      </c>
      <c r="O1005" s="64">
        <v>5461056256.3182468</v>
      </c>
    </row>
    <row r="1006" spans="1:15" x14ac:dyDescent="0.25">
      <c r="A1006" s="58">
        <v>46153</v>
      </c>
      <c r="B1006" s="59">
        <v>5</v>
      </c>
      <c r="C1006" s="59" t="s">
        <v>1144</v>
      </c>
      <c r="D1006" s="59">
        <v>1044401</v>
      </c>
      <c r="E1006" s="59" t="s">
        <v>1134</v>
      </c>
      <c r="F1006" s="59" t="s">
        <v>1135</v>
      </c>
      <c r="G1006" s="59" t="s">
        <v>1136</v>
      </c>
      <c r="H1006" s="59" t="s">
        <v>1159</v>
      </c>
      <c r="I1006" s="60">
        <v>46082</v>
      </c>
      <c r="J1006" s="59" t="s">
        <v>667</v>
      </c>
      <c r="K1006" s="59" t="s">
        <v>1142</v>
      </c>
      <c r="L1006" s="61">
        <v>15083338</v>
      </c>
      <c r="M1006" s="59"/>
      <c r="N1006" s="61">
        <v>15083338</v>
      </c>
      <c r="O1006" s="61">
        <v>5476139594.3182468</v>
      </c>
    </row>
    <row r="1007" spans="1:15" x14ac:dyDescent="0.25">
      <c r="A1007" s="62">
        <v>46153</v>
      </c>
      <c r="B1007">
        <v>5</v>
      </c>
      <c r="C1007" t="s">
        <v>1144</v>
      </c>
      <c r="D1007">
        <v>1044411</v>
      </c>
      <c r="E1007" t="s">
        <v>1134</v>
      </c>
      <c r="F1007" t="s">
        <v>1135</v>
      </c>
      <c r="G1007" t="s">
        <v>1136</v>
      </c>
      <c r="H1007" t="s">
        <v>1160</v>
      </c>
      <c r="I1007" s="63">
        <v>46082</v>
      </c>
      <c r="J1007" t="s">
        <v>667</v>
      </c>
      <c r="K1007" t="s">
        <v>1142</v>
      </c>
      <c r="L1007" s="64">
        <v>367552.5</v>
      </c>
      <c r="N1007" s="64">
        <v>367552.5</v>
      </c>
      <c r="O1007" s="64">
        <v>5476507146.8182468</v>
      </c>
    </row>
    <row r="1008" spans="1:15" x14ac:dyDescent="0.25">
      <c r="A1008" s="58">
        <v>46153</v>
      </c>
      <c r="B1008" s="59">
        <v>5</v>
      </c>
      <c r="C1008" s="59" t="s">
        <v>1144</v>
      </c>
      <c r="D1008" s="59">
        <v>1044421</v>
      </c>
      <c r="E1008" s="59" t="s">
        <v>1134</v>
      </c>
      <c r="F1008" s="59" t="s">
        <v>1135</v>
      </c>
      <c r="G1008" s="59" t="s">
        <v>1136</v>
      </c>
      <c r="H1008" s="59" t="s">
        <v>1165</v>
      </c>
      <c r="I1008" s="60">
        <v>46082</v>
      </c>
      <c r="J1008" s="59" t="s">
        <v>667</v>
      </c>
      <c r="K1008" s="59" t="s">
        <v>1142</v>
      </c>
      <c r="L1008" s="61">
        <v>38822621.379430033</v>
      </c>
      <c r="M1008" s="59"/>
      <c r="N1008" s="61">
        <v>38822621.379430033</v>
      </c>
      <c r="O1008" s="61">
        <v>5515329768.1976767</v>
      </c>
    </row>
    <row r="1009" spans="1:15" x14ac:dyDescent="0.25">
      <c r="A1009" s="62">
        <v>46154</v>
      </c>
      <c r="B1009">
        <v>5</v>
      </c>
      <c r="C1009" t="s">
        <v>1161</v>
      </c>
      <c r="D1009">
        <v>2044126</v>
      </c>
      <c r="E1009" t="s">
        <v>1167</v>
      </c>
      <c r="F1009" t="s">
        <v>1135</v>
      </c>
      <c r="G1009" t="s">
        <v>1136</v>
      </c>
      <c r="H1009" t="s">
        <v>1175</v>
      </c>
      <c r="I1009" s="63">
        <v>46113</v>
      </c>
      <c r="J1009" t="s">
        <v>668</v>
      </c>
      <c r="K1009" t="s">
        <v>1150</v>
      </c>
      <c r="M1009" s="64">
        <v>7003921.7999999998</v>
      </c>
      <c r="N1009" s="64">
        <v>-7003921.7999999998</v>
      </c>
      <c r="O1009" s="64">
        <v>5508325846.3976765</v>
      </c>
    </row>
    <row r="1010" spans="1:15" x14ac:dyDescent="0.25">
      <c r="A1010" s="58">
        <v>46154</v>
      </c>
      <c r="B1010" s="59">
        <v>5</v>
      </c>
      <c r="C1010" s="59" t="s">
        <v>1161</v>
      </c>
      <c r="D1010" s="59">
        <v>2044126</v>
      </c>
      <c r="E1010" s="59" t="s">
        <v>1167</v>
      </c>
      <c r="F1010" s="59" t="s">
        <v>1135</v>
      </c>
      <c r="G1010" s="59" t="s">
        <v>1136</v>
      </c>
      <c r="H1010" s="59" t="s">
        <v>1175</v>
      </c>
      <c r="I1010" s="60">
        <v>46113</v>
      </c>
      <c r="J1010" s="59" t="s">
        <v>669</v>
      </c>
      <c r="K1010" s="59" t="s">
        <v>1150</v>
      </c>
      <c r="L1010" s="59"/>
      <c r="M1010" s="61">
        <v>868695.7</v>
      </c>
      <c r="N1010" s="61">
        <v>-868695.7</v>
      </c>
      <c r="O1010" s="61">
        <v>5507457150.6976767</v>
      </c>
    </row>
    <row r="1011" spans="1:15" x14ac:dyDescent="0.25">
      <c r="A1011" s="62">
        <v>46154</v>
      </c>
      <c r="B1011">
        <v>5</v>
      </c>
      <c r="C1011" t="s">
        <v>1161</v>
      </c>
      <c r="D1011">
        <v>2044126</v>
      </c>
      <c r="E1011" t="s">
        <v>1167</v>
      </c>
      <c r="F1011" t="s">
        <v>1135</v>
      </c>
      <c r="G1011" t="s">
        <v>1136</v>
      </c>
      <c r="H1011" t="s">
        <v>1175</v>
      </c>
      <c r="I1011" s="63">
        <v>46113</v>
      </c>
      <c r="J1011" t="s">
        <v>670</v>
      </c>
      <c r="K1011" t="s">
        <v>1150</v>
      </c>
      <c r="M1011" s="64">
        <v>796944.5</v>
      </c>
      <c r="N1011" s="64">
        <v>-796944.5</v>
      </c>
      <c r="O1011" s="64">
        <v>5506660206.1976767</v>
      </c>
    </row>
    <row r="1012" spans="1:15" x14ac:dyDescent="0.25">
      <c r="A1012" s="58">
        <v>46154</v>
      </c>
      <c r="B1012" s="59">
        <v>5</v>
      </c>
      <c r="C1012" s="59" t="s">
        <v>1161</v>
      </c>
      <c r="D1012" s="59">
        <v>2044126</v>
      </c>
      <c r="E1012" s="59" t="s">
        <v>1167</v>
      </c>
      <c r="F1012" s="59" t="s">
        <v>1135</v>
      </c>
      <c r="G1012" s="59" t="s">
        <v>1136</v>
      </c>
      <c r="H1012" s="59" t="s">
        <v>1175</v>
      </c>
      <c r="I1012" s="60">
        <v>46113</v>
      </c>
      <c r="J1012" s="59" t="s">
        <v>671</v>
      </c>
      <c r="K1012" s="59" t="s">
        <v>1150</v>
      </c>
      <c r="L1012" s="59"/>
      <c r="M1012" s="61">
        <v>728985.4</v>
      </c>
      <c r="N1012" s="61">
        <v>-728985.4</v>
      </c>
      <c r="O1012" s="61">
        <v>5505931220.797677</v>
      </c>
    </row>
    <row r="1013" spans="1:15" x14ac:dyDescent="0.25">
      <c r="A1013" s="62">
        <v>46154</v>
      </c>
      <c r="B1013">
        <v>5</v>
      </c>
      <c r="C1013" t="s">
        <v>1161</v>
      </c>
      <c r="D1013">
        <v>2014364</v>
      </c>
      <c r="E1013" t="s">
        <v>1167</v>
      </c>
      <c r="F1013" t="s">
        <v>1174</v>
      </c>
      <c r="G1013" t="s">
        <v>1136</v>
      </c>
      <c r="H1013" t="s">
        <v>1158</v>
      </c>
      <c r="I1013" s="63">
        <v>46113</v>
      </c>
      <c r="J1013" t="s">
        <v>672</v>
      </c>
      <c r="K1013" t="s">
        <v>1148</v>
      </c>
      <c r="M1013" s="64">
        <v>35282711.090000004</v>
      </c>
      <c r="N1013" s="64">
        <v>-35282711.090000004</v>
      </c>
      <c r="O1013" s="64">
        <v>5470648509.7076769</v>
      </c>
    </row>
    <row r="1014" spans="1:15" x14ac:dyDescent="0.25">
      <c r="A1014" s="58">
        <v>46154</v>
      </c>
      <c r="B1014" s="59">
        <v>5</v>
      </c>
      <c r="C1014" s="59" t="s">
        <v>1161</v>
      </c>
      <c r="D1014" s="59">
        <v>2054281</v>
      </c>
      <c r="E1014" s="59" t="s">
        <v>1167</v>
      </c>
      <c r="F1014" s="59" t="s">
        <v>1169</v>
      </c>
      <c r="G1014" s="59" t="s">
        <v>1136</v>
      </c>
      <c r="H1014" s="59" t="s">
        <v>1155</v>
      </c>
      <c r="I1014" s="60">
        <v>46113</v>
      </c>
      <c r="J1014" s="59" t="s">
        <v>673</v>
      </c>
      <c r="K1014" s="59" t="s">
        <v>1142</v>
      </c>
      <c r="L1014" s="59"/>
      <c r="M1014" s="61">
        <v>12303973.5</v>
      </c>
      <c r="N1014" s="61">
        <v>-12303973.5</v>
      </c>
      <c r="O1014" s="61">
        <v>5458344536.2076769</v>
      </c>
    </row>
    <row r="1015" spans="1:15" x14ac:dyDescent="0.25">
      <c r="A1015" s="62">
        <v>46154</v>
      </c>
      <c r="B1015">
        <v>5</v>
      </c>
      <c r="C1015" t="s">
        <v>1161</v>
      </c>
      <c r="D1015">
        <v>2044342</v>
      </c>
      <c r="E1015" t="s">
        <v>1167</v>
      </c>
      <c r="F1015" t="s">
        <v>1135</v>
      </c>
      <c r="G1015" t="s">
        <v>1136</v>
      </c>
      <c r="H1015" t="s">
        <v>1156</v>
      </c>
      <c r="I1015" s="63">
        <v>46113</v>
      </c>
      <c r="J1015" t="s">
        <v>674</v>
      </c>
      <c r="K1015" t="s">
        <v>1138</v>
      </c>
      <c r="M1015" s="64">
        <v>12824556.4</v>
      </c>
      <c r="N1015" s="64">
        <v>-12824556.4</v>
      </c>
      <c r="O1015" s="64">
        <v>5445519979.8076773</v>
      </c>
    </row>
    <row r="1016" spans="1:15" x14ac:dyDescent="0.25">
      <c r="A1016" s="58">
        <v>46154</v>
      </c>
      <c r="B1016" s="59">
        <v>5</v>
      </c>
      <c r="C1016" s="59" t="s">
        <v>1161</v>
      </c>
      <c r="D1016" s="59">
        <v>2044344</v>
      </c>
      <c r="E1016" s="59" t="s">
        <v>1167</v>
      </c>
      <c r="F1016" s="59" t="s">
        <v>1135</v>
      </c>
      <c r="G1016" s="59" t="s">
        <v>1136</v>
      </c>
      <c r="H1016" s="59" t="s">
        <v>1156</v>
      </c>
      <c r="I1016" s="60">
        <v>46113</v>
      </c>
      <c r="J1016" s="59" t="s">
        <v>675</v>
      </c>
      <c r="K1016" s="59" t="s">
        <v>1148</v>
      </c>
      <c r="L1016" s="59"/>
      <c r="M1016" s="61">
        <v>299300</v>
      </c>
      <c r="N1016" s="61">
        <v>-299300</v>
      </c>
      <c r="O1016" s="61">
        <v>5445220679.8076773</v>
      </c>
    </row>
    <row r="1017" spans="1:15" x14ac:dyDescent="0.25">
      <c r="A1017" s="62">
        <v>46154</v>
      </c>
      <c r="B1017">
        <v>5</v>
      </c>
      <c r="C1017" t="s">
        <v>1161</v>
      </c>
      <c r="D1017">
        <v>2014174</v>
      </c>
      <c r="E1017" t="s">
        <v>1167</v>
      </c>
      <c r="F1017" t="s">
        <v>1174</v>
      </c>
      <c r="G1017" t="s">
        <v>1136</v>
      </c>
      <c r="H1017" t="s">
        <v>1147</v>
      </c>
      <c r="I1017" s="63">
        <v>46113</v>
      </c>
      <c r="J1017" t="s">
        <v>676</v>
      </c>
      <c r="K1017" t="s">
        <v>1148</v>
      </c>
      <c r="M1017" s="64">
        <v>25850100</v>
      </c>
      <c r="N1017" s="64">
        <v>-25850100</v>
      </c>
      <c r="O1017" s="64">
        <v>5419370579.8076773</v>
      </c>
    </row>
    <row r="1018" spans="1:15" x14ac:dyDescent="0.25">
      <c r="A1018" s="58">
        <v>46154</v>
      </c>
      <c r="B1018" s="59">
        <v>5</v>
      </c>
      <c r="C1018" s="59" t="s">
        <v>1161</v>
      </c>
      <c r="D1018" s="59">
        <v>2014162</v>
      </c>
      <c r="E1018" s="59" t="s">
        <v>1167</v>
      </c>
      <c r="F1018" s="59" t="s">
        <v>1174</v>
      </c>
      <c r="G1018" s="59" t="s">
        <v>1136</v>
      </c>
      <c r="H1018" s="59" t="s">
        <v>1162</v>
      </c>
      <c r="I1018" s="60">
        <v>46113</v>
      </c>
      <c r="J1018" s="59" t="s">
        <v>677</v>
      </c>
      <c r="K1018" s="59" t="s">
        <v>1138</v>
      </c>
      <c r="L1018" s="59"/>
      <c r="M1018" s="61">
        <v>2454901.84</v>
      </c>
      <c r="N1018" s="61">
        <v>-2454901.84</v>
      </c>
      <c r="O1018" s="61">
        <v>5416915677.9676771</v>
      </c>
    </row>
    <row r="1019" spans="1:15" x14ac:dyDescent="0.25">
      <c r="A1019" s="62">
        <v>46154</v>
      </c>
      <c r="B1019">
        <v>5</v>
      </c>
      <c r="C1019" t="s">
        <v>1161</v>
      </c>
      <c r="D1019">
        <v>2014167</v>
      </c>
      <c r="E1019" t="s">
        <v>1167</v>
      </c>
      <c r="F1019" t="s">
        <v>1174</v>
      </c>
      <c r="G1019" t="s">
        <v>1136</v>
      </c>
      <c r="H1019" t="s">
        <v>1162</v>
      </c>
      <c r="I1019" s="63">
        <v>46113</v>
      </c>
      <c r="J1019" t="s">
        <v>677</v>
      </c>
      <c r="K1019" t="s">
        <v>1170</v>
      </c>
      <c r="M1019" s="64">
        <v>1219659.22</v>
      </c>
      <c r="N1019" s="64">
        <v>-1219659.22</v>
      </c>
      <c r="O1019" s="64">
        <v>5415696018.7476768</v>
      </c>
    </row>
    <row r="1020" spans="1:15" x14ac:dyDescent="0.25">
      <c r="A1020" s="58">
        <v>46154</v>
      </c>
      <c r="B1020" s="59">
        <v>5</v>
      </c>
      <c r="C1020" s="59" t="s">
        <v>1161</v>
      </c>
      <c r="D1020" s="59">
        <v>2014165</v>
      </c>
      <c r="E1020" s="59" t="s">
        <v>1167</v>
      </c>
      <c r="F1020" s="59" t="s">
        <v>1174</v>
      </c>
      <c r="G1020" s="59" t="s">
        <v>1136</v>
      </c>
      <c r="H1020" s="59" t="s">
        <v>1162</v>
      </c>
      <c r="I1020" s="60">
        <v>46113</v>
      </c>
      <c r="J1020" s="59" t="s">
        <v>678</v>
      </c>
      <c r="K1020" s="59" t="s">
        <v>1172</v>
      </c>
      <c r="L1020" s="59"/>
      <c r="M1020" s="61">
        <v>736030.3</v>
      </c>
      <c r="N1020" s="61">
        <v>-736030.3</v>
      </c>
      <c r="O1020" s="61">
        <v>5414959988.4476767</v>
      </c>
    </row>
    <row r="1021" spans="1:15" x14ac:dyDescent="0.25">
      <c r="A1021" s="62">
        <v>46154</v>
      </c>
      <c r="B1021">
        <v>5</v>
      </c>
      <c r="C1021" t="s">
        <v>1161</v>
      </c>
      <c r="D1021">
        <v>2044402</v>
      </c>
      <c r="E1021" t="s">
        <v>1167</v>
      </c>
      <c r="F1021" t="s">
        <v>1135</v>
      </c>
      <c r="G1021" t="s">
        <v>1136</v>
      </c>
      <c r="H1021" t="s">
        <v>1159</v>
      </c>
      <c r="I1021" s="63">
        <v>46113</v>
      </c>
      <c r="J1021" t="s">
        <v>679</v>
      </c>
      <c r="K1021" t="s">
        <v>1138</v>
      </c>
      <c r="M1021" s="64">
        <v>20705937.760000002</v>
      </c>
      <c r="N1021" s="64">
        <v>-20705937.760000002</v>
      </c>
      <c r="O1021" s="64">
        <v>5394254050.6876764</v>
      </c>
    </row>
    <row r="1022" spans="1:15" x14ac:dyDescent="0.25">
      <c r="A1022" s="58">
        <v>46154</v>
      </c>
      <c r="B1022" s="59">
        <v>5</v>
      </c>
      <c r="C1022" s="59" t="s">
        <v>1161</v>
      </c>
      <c r="D1022" s="59">
        <v>2044405</v>
      </c>
      <c r="E1022" s="59" t="s">
        <v>1167</v>
      </c>
      <c r="F1022" s="59" t="s">
        <v>1135</v>
      </c>
      <c r="G1022" s="59" t="s">
        <v>1136</v>
      </c>
      <c r="H1022" s="59" t="s">
        <v>1159</v>
      </c>
      <c r="I1022" s="60">
        <v>46113</v>
      </c>
      <c r="J1022" s="59" t="s">
        <v>680</v>
      </c>
      <c r="K1022" s="59" t="s">
        <v>1172</v>
      </c>
      <c r="L1022" s="59"/>
      <c r="M1022" s="61">
        <v>448490.44</v>
      </c>
      <c r="N1022" s="61">
        <v>-448490.44</v>
      </c>
      <c r="O1022" s="61">
        <v>5393805560.2476768</v>
      </c>
    </row>
    <row r="1023" spans="1:15" x14ac:dyDescent="0.25">
      <c r="A1023" s="62">
        <v>46155</v>
      </c>
      <c r="B1023">
        <v>5</v>
      </c>
      <c r="C1023" t="s">
        <v>1166</v>
      </c>
      <c r="D1023">
        <v>2044366</v>
      </c>
      <c r="E1023" t="s">
        <v>1167</v>
      </c>
      <c r="F1023" t="s">
        <v>1135</v>
      </c>
      <c r="G1023" t="s">
        <v>1136</v>
      </c>
      <c r="H1023" t="s">
        <v>1158</v>
      </c>
      <c r="I1023" s="63">
        <v>46113</v>
      </c>
      <c r="J1023" t="s">
        <v>683</v>
      </c>
      <c r="K1023" t="s">
        <v>1150</v>
      </c>
      <c r="M1023" s="64">
        <v>193432.84</v>
      </c>
      <c r="N1023" s="64">
        <v>-193432.84</v>
      </c>
      <c r="O1023" s="64">
        <v>5323830910.6676769</v>
      </c>
    </row>
    <row r="1024" spans="1:15" x14ac:dyDescent="0.25">
      <c r="A1024" s="58">
        <v>46155</v>
      </c>
      <c r="B1024" s="59">
        <v>5</v>
      </c>
      <c r="C1024" s="59" t="s">
        <v>1166</v>
      </c>
      <c r="D1024" s="59">
        <v>2044461</v>
      </c>
      <c r="E1024" s="59" t="s">
        <v>1167</v>
      </c>
      <c r="F1024" s="59" t="s">
        <v>1135</v>
      </c>
      <c r="G1024" s="59" t="s">
        <v>1136</v>
      </c>
      <c r="H1024" s="59" t="s">
        <v>1140</v>
      </c>
      <c r="I1024" s="60">
        <v>46082</v>
      </c>
      <c r="J1024" s="59" t="s">
        <v>684</v>
      </c>
      <c r="K1024" s="59" t="s">
        <v>1142</v>
      </c>
      <c r="L1024" s="59"/>
      <c r="M1024" s="61">
        <v>2913529.83</v>
      </c>
      <c r="N1024" s="61">
        <v>-2913529.83</v>
      </c>
      <c r="O1024" s="61">
        <v>5320917380.837677</v>
      </c>
    </row>
    <row r="1025" spans="1:15" x14ac:dyDescent="0.25">
      <c r="A1025" s="62">
        <v>46155</v>
      </c>
      <c r="B1025">
        <v>5</v>
      </c>
      <c r="C1025" t="s">
        <v>1166</v>
      </c>
      <c r="D1025">
        <v>2014363</v>
      </c>
      <c r="E1025" t="s">
        <v>1167</v>
      </c>
      <c r="F1025" t="s">
        <v>1174</v>
      </c>
      <c r="G1025" t="s">
        <v>1136</v>
      </c>
      <c r="H1025" t="s">
        <v>1158</v>
      </c>
      <c r="I1025" s="63">
        <v>46113</v>
      </c>
      <c r="J1025" t="s">
        <v>685</v>
      </c>
      <c r="K1025" t="s">
        <v>1146</v>
      </c>
      <c r="M1025" s="64">
        <v>14821133.119999999</v>
      </c>
      <c r="N1025" s="64">
        <v>-14821133.119999999</v>
      </c>
      <c r="O1025" s="64">
        <v>5306096247.7176771</v>
      </c>
    </row>
    <row r="1026" spans="1:15" x14ac:dyDescent="0.25">
      <c r="A1026" s="58">
        <v>46155</v>
      </c>
      <c r="B1026" s="59">
        <v>5</v>
      </c>
      <c r="C1026" s="59" t="s">
        <v>1166</v>
      </c>
      <c r="D1026" s="59">
        <v>2014173</v>
      </c>
      <c r="E1026" s="59" t="s">
        <v>1167</v>
      </c>
      <c r="F1026" s="59" t="s">
        <v>1174</v>
      </c>
      <c r="G1026" s="59" t="s">
        <v>1136</v>
      </c>
      <c r="H1026" s="59" t="s">
        <v>1147</v>
      </c>
      <c r="I1026" s="60">
        <v>46113</v>
      </c>
      <c r="J1026" s="59" t="s">
        <v>686</v>
      </c>
      <c r="K1026" s="59" t="s">
        <v>1146</v>
      </c>
      <c r="L1026" s="59"/>
      <c r="M1026" s="61">
        <v>9032633.4499999993</v>
      </c>
      <c r="N1026" s="61">
        <v>-9032633.4499999993</v>
      </c>
      <c r="O1026" s="61">
        <v>5297063614.2676773</v>
      </c>
    </row>
    <row r="1027" spans="1:15" x14ac:dyDescent="0.25">
      <c r="A1027" s="62">
        <v>46155</v>
      </c>
      <c r="B1027">
        <v>5</v>
      </c>
      <c r="C1027" t="s">
        <v>1166</v>
      </c>
      <c r="D1027">
        <v>2014163</v>
      </c>
      <c r="E1027" t="s">
        <v>1167</v>
      </c>
      <c r="F1027" t="s">
        <v>1174</v>
      </c>
      <c r="G1027" t="s">
        <v>1136</v>
      </c>
      <c r="H1027" t="s">
        <v>1162</v>
      </c>
      <c r="I1027" s="63">
        <v>46113</v>
      </c>
      <c r="J1027" t="s">
        <v>687</v>
      </c>
      <c r="K1027" t="s">
        <v>1146</v>
      </c>
      <c r="M1027" s="64">
        <v>43673144.119999997</v>
      </c>
      <c r="N1027" s="64">
        <v>-43673144.119999997</v>
      </c>
      <c r="O1027" s="64">
        <v>5253390470.1476774</v>
      </c>
    </row>
    <row r="1028" spans="1:15" x14ac:dyDescent="0.25">
      <c r="A1028" s="58">
        <v>46155</v>
      </c>
      <c r="B1028" s="59">
        <v>5</v>
      </c>
      <c r="C1028" s="59" t="s">
        <v>1166</v>
      </c>
      <c r="D1028" s="59">
        <v>2044403</v>
      </c>
      <c r="E1028" s="59" t="s">
        <v>1167</v>
      </c>
      <c r="F1028" s="59" t="s">
        <v>1135</v>
      </c>
      <c r="G1028" s="59" t="s">
        <v>1136</v>
      </c>
      <c r="H1028" s="59" t="s">
        <v>1159</v>
      </c>
      <c r="I1028" s="60">
        <v>46113</v>
      </c>
      <c r="J1028" s="59" t="s">
        <v>688</v>
      </c>
      <c r="K1028" s="59" t="s">
        <v>1146</v>
      </c>
      <c r="L1028" s="59"/>
      <c r="M1028" s="61">
        <v>17534459.399999999</v>
      </c>
      <c r="N1028" s="61">
        <v>-17534459.399999999</v>
      </c>
      <c r="O1028" s="61">
        <v>5235856010.7476778</v>
      </c>
    </row>
    <row r="1029" spans="1:15" x14ac:dyDescent="0.25">
      <c r="A1029" s="62">
        <v>46155</v>
      </c>
      <c r="B1029">
        <v>5</v>
      </c>
      <c r="C1029" t="s">
        <v>1166</v>
      </c>
      <c r="D1029">
        <v>2044404</v>
      </c>
      <c r="E1029" t="s">
        <v>1167</v>
      </c>
      <c r="F1029" t="s">
        <v>1135</v>
      </c>
      <c r="G1029" t="s">
        <v>1136</v>
      </c>
      <c r="H1029" t="s">
        <v>1159</v>
      </c>
      <c r="I1029" s="63">
        <v>46113</v>
      </c>
      <c r="J1029" t="s">
        <v>689</v>
      </c>
      <c r="K1029" t="s">
        <v>1148</v>
      </c>
      <c r="M1029" s="64">
        <v>25988975.75</v>
      </c>
      <c r="N1029" s="64">
        <v>-25988975.75</v>
      </c>
      <c r="O1029" s="64">
        <v>5209867034.9976778</v>
      </c>
    </row>
    <row r="1030" spans="1:15" x14ac:dyDescent="0.25">
      <c r="A1030" s="58">
        <v>46155</v>
      </c>
      <c r="B1030" s="59">
        <v>5</v>
      </c>
      <c r="C1030" s="59" t="s">
        <v>1166</v>
      </c>
      <c r="D1030" s="59">
        <v>2044406</v>
      </c>
      <c r="E1030" s="59" t="s">
        <v>1167</v>
      </c>
      <c r="F1030" s="59" t="s">
        <v>1135</v>
      </c>
      <c r="G1030" s="59" t="s">
        <v>1136</v>
      </c>
      <c r="H1030" s="59" t="s">
        <v>1159</v>
      </c>
      <c r="I1030" s="60">
        <v>46113</v>
      </c>
      <c r="J1030" s="59" t="s">
        <v>689</v>
      </c>
      <c r="K1030" s="59" t="s">
        <v>1150</v>
      </c>
      <c r="L1030" s="59"/>
      <c r="M1030" s="61">
        <v>899004.72</v>
      </c>
      <c r="N1030" s="61">
        <v>-899004.72</v>
      </c>
      <c r="O1030" s="61">
        <v>5208968030.2776775</v>
      </c>
    </row>
    <row r="1031" spans="1:15" x14ac:dyDescent="0.25">
      <c r="A1031" s="62">
        <v>46155</v>
      </c>
      <c r="B1031">
        <v>5</v>
      </c>
      <c r="C1031" t="s">
        <v>1166</v>
      </c>
      <c r="D1031">
        <v>2044404</v>
      </c>
      <c r="E1031" t="s">
        <v>1167</v>
      </c>
      <c r="F1031" t="s">
        <v>1135</v>
      </c>
      <c r="G1031" t="s">
        <v>1136</v>
      </c>
      <c r="H1031" t="s">
        <v>1159</v>
      </c>
      <c r="I1031" s="63">
        <v>46113</v>
      </c>
      <c r="J1031" t="s">
        <v>689</v>
      </c>
      <c r="K1031" t="s">
        <v>1148</v>
      </c>
      <c r="M1031" s="64">
        <v>15416961.9</v>
      </c>
      <c r="N1031" s="64">
        <v>-15416961.9</v>
      </c>
      <c r="O1031" s="64">
        <v>5193551068.3776779</v>
      </c>
    </row>
    <row r="1032" spans="1:15" x14ac:dyDescent="0.25">
      <c r="A1032" s="58">
        <v>46156</v>
      </c>
      <c r="B1032" s="59">
        <v>5</v>
      </c>
      <c r="C1032" s="59" t="s">
        <v>1171</v>
      </c>
      <c r="D1032" s="59">
        <v>2014362</v>
      </c>
      <c r="E1032" s="59" t="s">
        <v>1167</v>
      </c>
      <c r="F1032" s="59" t="s">
        <v>1174</v>
      </c>
      <c r="G1032" s="59" t="s">
        <v>1136</v>
      </c>
      <c r="H1032" s="59" t="s">
        <v>1158</v>
      </c>
      <c r="I1032" s="60">
        <v>46113</v>
      </c>
      <c r="J1032" s="59" t="s">
        <v>690</v>
      </c>
      <c r="K1032" s="59" t="s">
        <v>1138</v>
      </c>
      <c r="L1032" s="59"/>
      <c r="M1032" s="61">
        <v>12765486.779999999</v>
      </c>
      <c r="N1032" s="61">
        <v>-12765486.779999999</v>
      </c>
      <c r="O1032" s="61">
        <v>5180785581.5976782</v>
      </c>
    </row>
    <row r="1033" spans="1:15" x14ac:dyDescent="0.25">
      <c r="A1033" s="62">
        <v>46156</v>
      </c>
      <c r="B1033">
        <v>5</v>
      </c>
      <c r="C1033" t="s">
        <v>1171</v>
      </c>
      <c r="D1033">
        <v>2044126</v>
      </c>
      <c r="E1033" t="s">
        <v>1167</v>
      </c>
      <c r="F1033" t="s">
        <v>1135</v>
      </c>
      <c r="G1033" t="s">
        <v>1136</v>
      </c>
      <c r="H1033" t="s">
        <v>1175</v>
      </c>
      <c r="I1033" s="63">
        <v>46113</v>
      </c>
      <c r="J1033" t="s">
        <v>691</v>
      </c>
      <c r="K1033" t="s">
        <v>1150</v>
      </c>
      <c r="M1033" s="64">
        <v>5663040.0999999996</v>
      </c>
      <c r="N1033" s="64">
        <v>-5663040.0999999996</v>
      </c>
      <c r="O1033" s="64">
        <v>5175122541.4976778</v>
      </c>
    </row>
    <row r="1034" spans="1:15" x14ac:dyDescent="0.25">
      <c r="A1034" s="58">
        <v>46156</v>
      </c>
      <c r="B1034" s="59">
        <v>5</v>
      </c>
      <c r="C1034" s="59" t="s">
        <v>1171</v>
      </c>
      <c r="D1034" s="59">
        <v>2044126</v>
      </c>
      <c r="E1034" s="59" t="s">
        <v>1167</v>
      </c>
      <c r="F1034" s="59" t="s">
        <v>1135</v>
      </c>
      <c r="G1034" s="59" t="s">
        <v>1136</v>
      </c>
      <c r="H1034" s="59" t="s">
        <v>1175</v>
      </c>
      <c r="I1034" s="60">
        <v>46113</v>
      </c>
      <c r="J1034" s="59" t="s">
        <v>692</v>
      </c>
      <c r="K1034" s="59" t="s">
        <v>1150</v>
      </c>
      <c r="L1034" s="59"/>
      <c r="M1034" s="61">
        <v>650500.6</v>
      </c>
      <c r="N1034" s="61">
        <v>-650500.6</v>
      </c>
      <c r="O1034" s="61">
        <v>5174472040.8976774</v>
      </c>
    </row>
    <row r="1035" spans="1:15" x14ac:dyDescent="0.25">
      <c r="A1035" s="62">
        <v>46156</v>
      </c>
      <c r="B1035">
        <v>5</v>
      </c>
      <c r="C1035" t="s">
        <v>1171</v>
      </c>
      <c r="D1035">
        <v>2044126</v>
      </c>
      <c r="E1035" t="s">
        <v>1167</v>
      </c>
      <c r="F1035" t="s">
        <v>1135</v>
      </c>
      <c r="G1035" t="s">
        <v>1136</v>
      </c>
      <c r="H1035" t="s">
        <v>1175</v>
      </c>
      <c r="I1035" s="63">
        <v>46113</v>
      </c>
      <c r="J1035" t="s">
        <v>693</v>
      </c>
      <c r="K1035" t="s">
        <v>1150</v>
      </c>
      <c r="M1035" s="64">
        <v>554564.80000000005</v>
      </c>
      <c r="N1035" s="64">
        <v>-554564.80000000005</v>
      </c>
      <c r="O1035" s="64">
        <v>5173917476.0976772</v>
      </c>
    </row>
    <row r="1036" spans="1:15" x14ac:dyDescent="0.25">
      <c r="A1036" s="58">
        <v>46156</v>
      </c>
      <c r="B1036" s="59">
        <v>5</v>
      </c>
      <c r="C1036" s="59" t="s">
        <v>1171</v>
      </c>
      <c r="D1036" s="59">
        <v>2044126</v>
      </c>
      <c r="E1036" s="59" t="s">
        <v>1167</v>
      </c>
      <c r="F1036" s="59" t="s">
        <v>1135</v>
      </c>
      <c r="G1036" s="59" t="s">
        <v>1136</v>
      </c>
      <c r="H1036" s="59" t="s">
        <v>1175</v>
      </c>
      <c r="I1036" s="60">
        <v>46113</v>
      </c>
      <c r="J1036" s="59" t="s">
        <v>694</v>
      </c>
      <c r="K1036" s="59" t="s">
        <v>1150</v>
      </c>
      <c r="L1036" s="59"/>
      <c r="M1036" s="61">
        <v>464976.8</v>
      </c>
      <c r="N1036" s="61">
        <v>-464976.8</v>
      </c>
      <c r="O1036" s="61">
        <v>5173452499.297677</v>
      </c>
    </row>
    <row r="1037" spans="1:15" x14ac:dyDescent="0.25">
      <c r="A1037" s="62">
        <v>46156</v>
      </c>
      <c r="B1037">
        <v>5</v>
      </c>
      <c r="C1037" t="s">
        <v>1171</v>
      </c>
      <c r="D1037">
        <v>2044126</v>
      </c>
      <c r="E1037" t="s">
        <v>1167</v>
      </c>
      <c r="F1037" t="s">
        <v>1135</v>
      </c>
      <c r="G1037" t="s">
        <v>1136</v>
      </c>
      <c r="H1037" t="s">
        <v>1175</v>
      </c>
      <c r="I1037" s="63">
        <v>46113</v>
      </c>
      <c r="J1037" t="s">
        <v>695</v>
      </c>
      <c r="K1037" t="s">
        <v>1150</v>
      </c>
      <c r="M1037" s="64">
        <v>368821.2</v>
      </c>
      <c r="N1037" s="64">
        <v>-368821.2</v>
      </c>
      <c r="O1037" s="64">
        <v>5173083678.0976772</v>
      </c>
    </row>
    <row r="1038" spans="1:15" x14ac:dyDescent="0.25">
      <c r="A1038" s="58">
        <v>46156</v>
      </c>
      <c r="B1038" s="59">
        <v>5</v>
      </c>
      <c r="C1038" s="59" t="s">
        <v>1171</v>
      </c>
      <c r="D1038" s="59">
        <v>2044126</v>
      </c>
      <c r="E1038" s="59" t="s">
        <v>1167</v>
      </c>
      <c r="F1038" s="59" t="s">
        <v>1135</v>
      </c>
      <c r="G1038" s="59" t="s">
        <v>1136</v>
      </c>
      <c r="H1038" s="59" t="s">
        <v>1175</v>
      </c>
      <c r="I1038" s="60">
        <v>46113</v>
      </c>
      <c r="J1038" s="59" t="s">
        <v>696</v>
      </c>
      <c r="K1038" s="59" t="s">
        <v>1150</v>
      </c>
      <c r="L1038" s="59"/>
      <c r="M1038" s="61">
        <v>302387.8</v>
      </c>
      <c r="N1038" s="61">
        <v>-302387.8</v>
      </c>
      <c r="O1038" s="61">
        <v>5172781290.297677</v>
      </c>
    </row>
    <row r="1039" spans="1:15" x14ac:dyDescent="0.25">
      <c r="A1039" s="62">
        <v>46156</v>
      </c>
      <c r="B1039">
        <v>5</v>
      </c>
      <c r="C1039" t="s">
        <v>1171</v>
      </c>
      <c r="D1039">
        <v>2044126</v>
      </c>
      <c r="E1039" t="s">
        <v>1167</v>
      </c>
      <c r="F1039" t="s">
        <v>1135</v>
      </c>
      <c r="G1039" t="s">
        <v>1136</v>
      </c>
      <c r="H1039" t="s">
        <v>1175</v>
      </c>
      <c r="I1039" s="63">
        <v>46113</v>
      </c>
      <c r="J1039" t="s">
        <v>697</v>
      </c>
      <c r="K1039" t="s">
        <v>1150</v>
      </c>
      <c r="M1039" s="64">
        <v>253650.8</v>
      </c>
      <c r="N1039" s="64">
        <v>-253650.8</v>
      </c>
      <c r="O1039" s="64">
        <v>5172527639.4976768</v>
      </c>
    </row>
    <row r="1040" spans="1:15" x14ac:dyDescent="0.25">
      <c r="A1040" s="58">
        <v>46156</v>
      </c>
      <c r="B1040" s="59">
        <v>5</v>
      </c>
      <c r="C1040" s="59" t="s">
        <v>1171</v>
      </c>
      <c r="D1040" s="59">
        <v>2044366</v>
      </c>
      <c r="E1040" s="59" t="s">
        <v>1167</v>
      </c>
      <c r="F1040" s="59" t="s">
        <v>1135</v>
      </c>
      <c r="G1040" s="59" t="s">
        <v>1136</v>
      </c>
      <c r="H1040" s="59" t="s">
        <v>1158</v>
      </c>
      <c r="I1040" s="60">
        <v>45962</v>
      </c>
      <c r="J1040" s="59" t="s">
        <v>698</v>
      </c>
      <c r="K1040" s="59" t="s">
        <v>1150</v>
      </c>
      <c r="L1040" s="59"/>
      <c r="M1040" s="61">
        <v>354720.52</v>
      </c>
      <c r="N1040" s="61">
        <v>-354720.52</v>
      </c>
      <c r="O1040" s="61">
        <v>5172172918.9776764</v>
      </c>
    </row>
    <row r="1041" spans="1:15" x14ac:dyDescent="0.25">
      <c r="A1041" s="62">
        <v>46156</v>
      </c>
      <c r="B1041">
        <v>5</v>
      </c>
      <c r="C1041" t="s">
        <v>1171</v>
      </c>
      <c r="D1041">
        <v>1044163</v>
      </c>
      <c r="E1041" t="s">
        <v>1134</v>
      </c>
      <c r="F1041" t="s">
        <v>1135</v>
      </c>
      <c r="G1041" t="s">
        <v>1136</v>
      </c>
      <c r="H1041" t="s">
        <v>1162</v>
      </c>
      <c r="I1041" s="63">
        <v>46113</v>
      </c>
      <c r="J1041" t="s">
        <v>699</v>
      </c>
      <c r="K1041" t="s">
        <v>1146</v>
      </c>
      <c r="L1041" s="64">
        <v>39957549.890000001</v>
      </c>
      <c r="N1041" s="64">
        <v>39957549.890000001</v>
      </c>
      <c r="O1041" s="64">
        <v>5327785560.4376764</v>
      </c>
    </row>
    <row r="1042" spans="1:15" x14ac:dyDescent="0.25">
      <c r="A1042" s="58">
        <v>46156</v>
      </c>
      <c r="B1042" s="59">
        <v>5</v>
      </c>
      <c r="C1042" s="59" t="s">
        <v>1171</v>
      </c>
      <c r="D1042" s="59">
        <v>1044173</v>
      </c>
      <c r="E1042" s="59" t="s">
        <v>1134</v>
      </c>
      <c r="F1042" s="59" t="s">
        <v>1135</v>
      </c>
      <c r="G1042" s="59" t="s">
        <v>1136</v>
      </c>
      <c r="H1042" s="59" t="s">
        <v>1147</v>
      </c>
      <c r="I1042" s="60">
        <v>46113</v>
      </c>
      <c r="J1042" s="59" t="s">
        <v>699</v>
      </c>
      <c r="K1042" s="59" t="s">
        <v>1146</v>
      </c>
      <c r="L1042" s="61">
        <v>8756311.0274999999</v>
      </c>
      <c r="M1042" s="59"/>
      <c r="N1042" s="61">
        <v>8756311.0274999999</v>
      </c>
      <c r="O1042" s="61">
        <v>5336541871.4651766</v>
      </c>
    </row>
    <row r="1043" spans="1:15" x14ac:dyDescent="0.25">
      <c r="A1043" s="62">
        <v>46156</v>
      </c>
      <c r="B1043">
        <v>5</v>
      </c>
      <c r="C1043" t="s">
        <v>1171</v>
      </c>
      <c r="D1043">
        <v>1044243</v>
      </c>
      <c r="E1043" t="s">
        <v>1134</v>
      </c>
      <c r="F1043" t="s">
        <v>1135</v>
      </c>
      <c r="G1043" t="s">
        <v>1136</v>
      </c>
      <c r="H1043" t="s">
        <v>1153</v>
      </c>
      <c r="I1043" s="63">
        <v>46113</v>
      </c>
      <c r="J1043" t="s">
        <v>699</v>
      </c>
      <c r="K1043" t="s">
        <v>1146</v>
      </c>
      <c r="L1043" s="64">
        <v>13381008.49</v>
      </c>
      <c r="N1043" s="64">
        <v>13381008.49</v>
      </c>
      <c r="O1043" s="64">
        <v>5349922879.9551764</v>
      </c>
    </row>
    <row r="1044" spans="1:15" x14ac:dyDescent="0.25">
      <c r="A1044" s="58">
        <v>46156</v>
      </c>
      <c r="B1044" s="59">
        <v>5</v>
      </c>
      <c r="C1044" s="59" t="s">
        <v>1171</v>
      </c>
      <c r="D1044" s="59">
        <v>1044263</v>
      </c>
      <c r="E1044" s="59" t="s">
        <v>1134</v>
      </c>
      <c r="F1044" s="59" t="s">
        <v>1135</v>
      </c>
      <c r="G1044" s="59" t="s">
        <v>1136</v>
      </c>
      <c r="H1044" s="59" t="s">
        <v>1145</v>
      </c>
      <c r="I1044" s="60">
        <v>46113</v>
      </c>
      <c r="J1044" s="59" t="s">
        <v>699</v>
      </c>
      <c r="K1044" s="59" t="s">
        <v>1146</v>
      </c>
      <c r="L1044" s="61">
        <v>3552585</v>
      </c>
      <c r="M1044" s="59"/>
      <c r="N1044" s="61">
        <v>3552585</v>
      </c>
      <c r="O1044" s="61">
        <v>5353475464.9551764</v>
      </c>
    </row>
    <row r="1045" spans="1:15" x14ac:dyDescent="0.25">
      <c r="A1045" s="62">
        <v>46156</v>
      </c>
      <c r="B1045">
        <v>5</v>
      </c>
      <c r="C1045" t="s">
        <v>1171</v>
      </c>
      <c r="D1045">
        <v>1044463</v>
      </c>
      <c r="E1045" t="s">
        <v>1134</v>
      </c>
      <c r="F1045" t="s">
        <v>1135</v>
      </c>
      <c r="G1045" t="s">
        <v>1136</v>
      </c>
      <c r="H1045" t="s">
        <v>1140</v>
      </c>
      <c r="I1045" s="63">
        <v>46113</v>
      </c>
      <c r="J1045" t="s">
        <v>699</v>
      </c>
      <c r="K1045" t="s">
        <v>1146</v>
      </c>
      <c r="L1045" s="64">
        <v>4382879.3849999998</v>
      </c>
      <c r="N1045" s="64">
        <v>4382879.3849999998</v>
      </c>
      <c r="O1045" s="64">
        <v>5357858344.3401766</v>
      </c>
    </row>
    <row r="1046" spans="1:15" x14ac:dyDescent="0.25">
      <c r="A1046" s="58">
        <v>46156</v>
      </c>
      <c r="B1046" s="59">
        <v>5</v>
      </c>
      <c r="C1046" s="59" t="s">
        <v>1171</v>
      </c>
      <c r="D1046" s="59">
        <v>1044353</v>
      </c>
      <c r="E1046" s="59" t="s">
        <v>1134</v>
      </c>
      <c r="F1046" s="59" t="s">
        <v>1135</v>
      </c>
      <c r="G1046" s="59" t="s">
        <v>1136</v>
      </c>
      <c r="H1046" s="59" t="s">
        <v>1157</v>
      </c>
      <c r="I1046" s="60">
        <v>46113</v>
      </c>
      <c r="J1046" s="59" t="s">
        <v>699</v>
      </c>
      <c r="K1046" s="59" t="s">
        <v>1146</v>
      </c>
      <c r="L1046" s="61">
        <v>8274922.0991999991</v>
      </c>
      <c r="M1046" s="59"/>
      <c r="N1046" s="61">
        <v>8274922.0991999991</v>
      </c>
      <c r="O1046" s="61">
        <v>5366133266.4393768</v>
      </c>
    </row>
    <row r="1047" spans="1:15" x14ac:dyDescent="0.25">
      <c r="A1047" s="62">
        <v>46156</v>
      </c>
      <c r="B1047">
        <v>5</v>
      </c>
      <c r="C1047" t="s">
        <v>1171</v>
      </c>
      <c r="D1047">
        <v>1044363</v>
      </c>
      <c r="E1047" t="s">
        <v>1134</v>
      </c>
      <c r="F1047" t="s">
        <v>1135</v>
      </c>
      <c r="G1047" t="s">
        <v>1136</v>
      </c>
      <c r="H1047" t="s">
        <v>1158</v>
      </c>
      <c r="I1047" s="63">
        <v>46113</v>
      </c>
      <c r="J1047" t="s">
        <v>699</v>
      </c>
      <c r="K1047" t="s">
        <v>1146</v>
      </c>
      <c r="L1047" s="64">
        <v>13936901.124</v>
      </c>
      <c r="N1047" s="64">
        <v>13936901.124</v>
      </c>
      <c r="O1047" s="64">
        <v>5380070167.5633764</v>
      </c>
    </row>
    <row r="1048" spans="1:15" x14ac:dyDescent="0.25">
      <c r="A1048" s="58">
        <v>46156</v>
      </c>
      <c r="B1048" s="59">
        <v>5</v>
      </c>
      <c r="C1048" s="59" t="s">
        <v>1171</v>
      </c>
      <c r="D1048" s="59">
        <v>1044403</v>
      </c>
      <c r="E1048" s="59" t="s">
        <v>1134</v>
      </c>
      <c r="F1048" s="59" t="s">
        <v>1135</v>
      </c>
      <c r="G1048" s="59" t="s">
        <v>1136</v>
      </c>
      <c r="H1048" s="59" t="s">
        <v>1159</v>
      </c>
      <c r="I1048" s="60">
        <v>46113</v>
      </c>
      <c r="J1048" s="59" t="s">
        <v>699</v>
      </c>
      <c r="K1048" s="59" t="s">
        <v>1146</v>
      </c>
      <c r="L1048" s="61">
        <v>16246731.33</v>
      </c>
      <c r="M1048" s="59"/>
      <c r="N1048" s="61">
        <v>16246731.33</v>
      </c>
      <c r="O1048" s="61">
        <v>5396316898.8933764</v>
      </c>
    </row>
    <row r="1049" spans="1:15" x14ac:dyDescent="0.25">
      <c r="A1049" s="62">
        <v>46156</v>
      </c>
      <c r="B1049">
        <v>5</v>
      </c>
      <c r="C1049" t="s">
        <v>1171</v>
      </c>
      <c r="D1049">
        <v>1044413</v>
      </c>
      <c r="E1049" t="s">
        <v>1134</v>
      </c>
      <c r="F1049" t="s">
        <v>1135</v>
      </c>
      <c r="G1049" t="s">
        <v>1136</v>
      </c>
      <c r="H1049" t="s">
        <v>1160</v>
      </c>
      <c r="I1049" s="63">
        <v>46113</v>
      </c>
      <c r="J1049" t="s">
        <v>699</v>
      </c>
      <c r="K1049" t="s">
        <v>1146</v>
      </c>
      <c r="L1049" s="64">
        <v>8405528.8599999994</v>
      </c>
      <c r="N1049" s="64">
        <v>8405528.8599999994</v>
      </c>
      <c r="O1049" s="64">
        <v>5404722427.753376</v>
      </c>
    </row>
    <row r="1050" spans="1:15" x14ac:dyDescent="0.25">
      <c r="A1050" s="58">
        <v>46157</v>
      </c>
      <c r="B1050" s="59">
        <v>5</v>
      </c>
      <c r="C1050" s="59" t="s">
        <v>1133</v>
      </c>
      <c r="D1050" s="59">
        <v>2014361</v>
      </c>
      <c r="E1050" s="59" t="s">
        <v>1167</v>
      </c>
      <c r="F1050" s="59" t="s">
        <v>1174</v>
      </c>
      <c r="G1050" s="59" t="s">
        <v>1136</v>
      </c>
      <c r="H1050" s="59" t="s">
        <v>1158</v>
      </c>
      <c r="I1050" s="60">
        <v>46113</v>
      </c>
      <c r="J1050" s="59" t="s">
        <v>700</v>
      </c>
      <c r="K1050" s="59" t="s">
        <v>1142</v>
      </c>
      <c r="L1050" s="59"/>
      <c r="M1050" s="61">
        <v>17540886.600000001</v>
      </c>
      <c r="N1050" s="61">
        <v>-17540886.600000001</v>
      </c>
      <c r="O1050" s="61">
        <v>5671427881.8568754</v>
      </c>
    </row>
    <row r="1051" spans="1:15" x14ac:dyDescent="0.25">
      <c r="A1051" s="62">
        <v>46157</v>
      </c>
      <c r="B1051">
        <v>5</v>
      </c>
      <c r="C1051" t="s">
        <v>1133</v>
      </c>
      <c r="D1051">
        <v>2014171</v>
      </c>
      <c r="E1051" t="s">
        <v>1167</v>
      </c>
      <c r="F1051" t="s">
        <v>1174</v>
      </c>
      <c r="G1051" t="s">
        <v>1136</v>
      </c>
      <c r="H1051" t="s">
        <v>1147</v>
      </c>
      <c r="I1051" s="63">
        <v>46113</v>
      </c>
      <c r="J1051" t="s">
        <v>701</v>
      </c>
      <c r="K1051" t="s">
        <v>1142</v>
      </c>
      <c r="M1051" s="64">
        <v>12045827.83</v>
      </c>
      <c r="N1051" s="64">
        <v>-12045827.83</v>
      </c>
      <c r="O1051" s="64">
        <v>5659382054.0268745</v>
      </c>
    </row>
    <row r="1052" spans="1:15" x14ac:dyDescent="0.25">
      <c r="A1052" s="58">
        <v>46157</v>
      </c>
      <c r="B1052" s="59">
        <v>5</v>
      </c>
      <c r="C1052" s="59" t="s">
        <v>1133</v>
      </c>
      <c r="D1052" s="59">
        <v>2014161</v>
      </c>
      <c r="E1052" s="59" t="s">
        <v>1167</v>
      </c>
      <c r="F1052" s="59" t="s">
        <v>1174</v>
      </c>
      <c r="G1052" s="59" t="s">
        <v>1136</v>
      </c>
      <c r="H1052" s="59" t="s">
        <v>1162</v>
      </c>
      <c r="I1052" s="60">
        <v>46113</v>
      </c>
      <c r="J1052" s="59" t="s">
        <v>702</v>
      </c>
      <c r="K1052" s="59" t="s">
        <v>1142</v>
      </c>
      <c r="L1052" s="59"/>
      <c r="M1052" s="61">
        <v>25239977.5</v>
      </c>
      <c r="N1052" s="61">
        <v>-25239977.5</v>
      </c>
      <c r="O1052" s="61">
        <v>5634142076.5268745</v>
      </c>
    </row>
    <row r="1053" spans="1:15" x14ac:dyDescent="0.25">
      <c r="A1053" s="62">
        <v>46157</v>
      </c>
      <c r="B1053">
        <v>5</v>
      </c>
      <c r="C1053" t="s">
        <v>1133</v>
      </c>
      <c r="D1053">
        <v>2044401</v>
      </c>
      <c r="E1053" t="s">
        <v>1167</v>
      </c>
      <c r="F1053" t="s">
        <v>1135</v>
      </c>
      <c r="G1053" t="s">
        <v>1136</v>
      </c>
      <c r="H1053" t="s">
        <v>1159</v>
      </c>
      <c r="I1053" s="63">
        <v>46113</v>
      </c>
      <c r="J1053" t="s">
        <v>703</v>
      </c>
      <c r="K1053" t="s">
        <v>1142</v>
      </c>
      <c r="M1053" s="64">
        <v>24327678</v>
      </c>
      <c r="N1053" s="64">
        <v>-24327678</v>
      </c>
      <c r="O1053" s="64">
        <v>5609814398.5268745</v>
      </c>
    </row>
    <row r="1054" spans="1:15" x14ac:dyDescent="0.25">
      <c r="A1054" s="58">
        <v>46157</v>
      </c>
      <c r="B1054" s="59">
        <v>5</v>
      </c>
      <c r="C1054" s="59" t="s">
        <v>1133</v>
      </c>
      <c r="D1054" s="59">
        <v>2014263</v>
      </c>
      <c r="E1054" s="59" t="s">
        <v>1167</v>
      </c>
      <c r="F1054" s="59" t="s">
        <v>1174</v>
      </c>
      <c r="G1054" s="59" t="s">
        <v>1136</v>
      </c>
      <c r="H1054" s="59" t="s">
        <v>1145</v>
      </c>
      <c r="I1054" s="60">
        <v>46113</v>
      </c>
      <c r="J1054" s="59" t="s">
        <v>704</v>
      </c>
      <c r="K1054" s="59" t="s">
        <v>1146</v>
      </c>
      <c r="L1054" s="59"/>
      <c r="M1054" s="61">
        <v>5581608</v>
      </c>
      <c r="N1054" s="61">
        <v>-5581608</v>
      </c>
      <c r="O1054" s="61">
        <v>5604232790.5268745</v>
      </c>
    </row>
    <row r="1055" spans="1:15" x14ac:dyDescent="0.25">
      <c r="A1055" s="62">
        <v>46157</v>
      </c>
      <c r="B1055">
        <v>5</v>
      </c>
      <c r="C1055" t="s">
        <v>1133</v>
      </c>
      <c r="D1055">
        <v>2014353</v>
      </c>
      <c r="E1055" t="s">
        <v>1167</v>
      </c>
      <c r="F1055" t="s">
        <v>1174</v>
      </c>
      <c r="G1055" t="s">
        <v>1136</v>
      </c>
      <c r="H1055" t="s">
        <v>1157</v>
      </c>
      <c r="I1055" s="63">
        <v>46113</v>
      </c>
      <c r="J1055" t="s">
        <v>705</v>
      </c>
      <c r="K1055" t="s">
        <v>1146</v>
      </c>
      <c r="M1055" s="64">
        <v>8451813.8100000005</v>
      </c>
      <c r="N1055" s="64">
        <v>-8451813.8100000005</v>
      </c>
      <c r="O1055" s="64">
        <v>5595780976.7168751</v>
      </c>
    </row>
    <row r="1056" spans="1:15" x14ac:dyDescent="0.25">
      <c r="A1056" s="58">
        <v>46157</v>
      </c>
      <c r="B1056" s="59">
        <v>5</v>
      </c>
      <c r="C1056" s="59" t="s">
        <v>1133</v>
      </c>
      <c r="D1056" s="59">
        <v>2044465</v>
      </c>
      <c r="E1056" s="59" t="s">
        <v>1167</v>
      </c>
      <c r="F1056" s="59" t="s">
        <v>1135</v>
      </c>
      <c r="G1056" s="59" t="s">
        <v>1136</v>
      </c>
      <c r="H1056" s="59" t="s">
        <v>1140</v>
      </c>
      <c r="I1056" s="60">
        <v>46113</v>
      </c>
      <c r="J1056" s="59" t="s">
        <v>706</v>
      </c>
      <c r="K1056" s="59" t="s">
        <v>1172</v>
      </c>
      <c r="L1056" s="59"/>
      <c r="M1056" s="61">
        <v>998211.64</v>
      </c>
      <c r="N1056" s="61">
        <v>-998211.64</v>
      </c>
      <c r="O1056" s="61">
        <v>5594782765.0768747</v>
      </c>
    </row>
    <row r="1057" spans="1:15" x14ac:dyDescent="0.25">
      <c r="A1057" s="62">
        <v>46157</v>
      </c>
      <c r="B1057">
        <v>5</v>
      </c>
      <c r="C1057" t="s">
        <v>1133</v>
      </c>
      <c r="D1057">
        <v>2044126</v>
      </c>
      <c r="E1057" t="s">
        <v>1167</v>
      </c>
      <c r="F1057" t="s">
        <v>1135</v>
      </c>
      <c r="G1057" t="s">
        <v>1136</v>
      </c>
      <c r="H1057" t="s">
        <v>1175</v>
      </c>
      <c r="I1057" s="63">
        <v>46113</v>
      </c>
      <c r="J1057" t="s">
        <v>707</v>
      </c>
      <c r="K1057" t="s">
        <v>1150</v>
      </c>
      <c r="M1057" s="64">
        <v>3928966</v>
      </c>
      <c r="N1057" s="64">
        <v>-3928966</v>
      </c>
      <c r="O1057" s="64">
        <v>5590853799.0768747</v>
      </c>
    </row>
    <row r="1058" spans="1:15" x14ac:dyDescent="0.25">
      <c r="A1058" s="58">
        <v>46157</v>
      </c>
      <c r="B1058" s="59">
        <v>5</v>
      </c>
      <c r="C1058" s="59" t="s">
        <v>1133</v>
      </c>
      <c r="D1058" s="59">
        <v>2044126</v>
      </c>
      <c r="E1058" s="59" t="s">
        <v>1167</v>
      </c>
      <c r="F1058" s="59" t="s">
        <v>1135</v>
      </c>
      <c r="G1058" s="59" t="s">
        <v>1136</v>
      </c>
      <c r="H1058" s="59" t="s">
        <v>1175</v>
      </c>
      <c r="I1058" s="60">
        <v>46113</v>
      </c>
      <c r="J1058" s="59" t="s">
        <v>708</v>
      </c>
      <c r="K1058" s="59" t="s">
        <v>1150</v>
      </c>
      <c r="L1058" s="59"/>
      <c r="M1058" s="61">
        <v>3256739.6</v>
      </c>
      <c r="N1058" s="61">
        <v>-3256739.6</v>
      </c>
      <c r="O1058" s="61">
        <v>5587597059.4768744</v>
      </c>
    </row>
    <row r="1059" spans="1:15" x14ac:dyDescent="0.25">
      <c r="A1059" s="62">
        <v>46157</v>
      </c>
      <c r="B1059">
        <v>5</v>
      </c>
      <c r="C1059" t="s">
        <v>1133</v>
      </c>
      <c r="D1059">
        <v>2044126</v>
      </c>
      <c r="E1059" t="s">
        <v>1167</v>
      </c>
      <c r="F1059" t="s">
        <v>1135</v>
      </c>
      <c r="G1059" t="s">
        <v>1136</v>
      </c>
      <c r="H1059" t="s">
        <v>1175</v>
      </c>
      <c r="I1059" s="63">
        <v>46113</v>
      </c>
      <c r="J1059" t="s">
        <v>709</v>
      </c>
      <c r="K1059" t="s">
        <v>1150</v>
      </c>
      <c r="M1059" s="64">
        <v>2814990.8</v>
      </c>
      <c r="N1059" s="64">
        <v>-2814990.8</v>
      </c>
      <c r="O1059" s="64">
        <v>5584782068.6768742</v>
      </c>
    </row>
    <row r="1060" spans="1:15" x14ac:dyDescent="0.25">
      <c r="A1060" s="58">
        <v>46157</v>
      </c>
      <c r="B1060" s="59">
        <v>5</v>
      </c>
      <c r="C1060" s="59" t="s">
        <v>1133</v>
      </c>
      <c r="D1060" s="59">
        <v>2044126</v>
      </c>
      <c r="E1060" s="59" t="s">
        <v>1167</v>
      </c>
      <c r="F1060" s="59" t="s">
        <v>1135</v>
      </c>
      <c r="G1060" s="59" t="s">
        <v>1136</v>
      </c>
      <c r="H1060" s="59" t="s">
        <v>1175</v>
      </c>
      <c r="I1060" s="60">
        <v>46113</v>
      </c>
      <c r="J1060" s="59" t="s">
        <v>710</v>
      </c>
      <c r="K1060" s="59" t="s">
        <v>1150</v>
      </c>
      <c r="L1060" s="59"/>
      <c r="M1060" s="61">
        <v>2530526.9</v>
      </c>
      <c r="N1060" s="61">
        <v>-2530526.9</v>
      </c>
      <c r="O1060" s="61">
        <v>5582251541.7768745</v>
      </c>
    </row>
    <row r="1061" spans="1:15" x14ac:dyDescent="0.25">
      <c r="A1061" s="62">
        <v>46157</v>
      </c>
      <c r="B1061">
        <v>5</v>
      </c>
      <c r="C1061" t="s">
        <v>1133</v>
      </c>
      <c r="D1061">
        <v>2044126</v>
      </c>
      <c r="E1061" t="s">
        <v>1167</v>
      </c>
      <c r="F1061" t="s">
        <v>1135</v>
      </c>
      <c r="G1061" t="s">
        <v>1136</v>
      </c>
      <c r="H1061" t="s">
        <v>1175</v>
      </c>
      <c r="I1061" s="63">
        <v>46113</v>
      </c>
      <c r="J1061" t="s">
        <v>711</v>
      </c>
      <c r="K1061" t="s">
        <v>1150</v>
      </c>
      <c r="M1061" s="64">
        <v>2226513.9</v>
      </c>
      <c r="N1061" s="64">
        <v>-2226513.9</v>
      </c>
      <c r="O1061" s="64">
        <v>5580025027.8768749</v>
      </c>
    </row>
    <row r="1062" spans="1:15" x14ac:dyDescent="0.25">
      <c r="A1062" s="58">
        <v>46157</v>
      </c>
      <c r="B1062" s="59">
        <v>5</v>
      </c>
      <c r="C1062" s="59" t="s">
        <v>1133</v>
      </c>
      <c r="D1062" s="59">
        <v>2044126</v>
      </c>
      <c r="E1062" s="59" t="s">
        <v>1167</v>
      </c>
      <c r="F1062" s="59" t="s">
        <v>1135</v>
      </c>
      <c r="G1062" s="59" t="s">
        <v>1136</v>
      </c>
      <c r="H1062" s="59" t="s">
        <v>1175</v>
      </c>
      <c r="I1062" s="60">
        <v>46113</v>
      </c>
      <c r="J1062" s="59" t="s">
        <v>712</v>
      </c>
      <c r="K1062" s="59" t="s">
        <v>1150</v>
      </c>
      <c r="L1062" s="59"/>
      <c r="M1062" s="61">
        <v>223542.8</v>
      </c>
      <c r="N1062" s="61">
        <v>-223542.8</v>
      </c>
      <c r="O1062" s="61">
        <v>5579801485.0768747</v>
      </c>
    </row>
    <row r="1063" spans="1:15" x14ac:dyDescent="0.25">
      <c r="A1063" s="62">
        <v>46157</v>
      </c>
      <c r="B1063">
        <v>5</v>
      </c>
      <c r="C1063" t="s">
        <v>1133</v>
      </c>
      <c r="D1063">
        <v>2044126</v>
      </c>
      <c r="E1063" t="s">
        <v>1167</v>
      </c>
      <c r="F1063" t="s">
        <v>1135</v>
      </c>
      <c r="G1063" t="s">
        <v>1136</v>
      </c>
      <c r="H1063" t="s">
        <v>1175</v>
      </c>
      <c r="I1063" s="63">
        <v>46113</v>
      </c>
      <c r="J1063" t="s">
        <v>713</v>
      </c>
      <c r="K1063" t="s">
        <v>1150</v>
      </c>
      <c r="M1063" s="64">
        <v>197914.6</v>
      </c>
      <c r="N1063" s="64">
        <v>-197914.6</v>
      </c>
      <c r="O1063" s="64">
        <v>5579603570.4768744</v>
      </c>
    </row>
    <row r="1064" spans="1:15" x14ac:dyDescent="0.25">
      <c r="A1064" s="58">
        <v>46157</v>
      </c>
      <c r="B1064" s="59">
        <v>5</v>
      </c>
      <c r="C1064" s="59" t="s">
        <v>1133</v>
      </c>
      <c r="D1064" s="59">
        <v>2044463</v>
      </c>
      <c r="E1064" s="59" t="s">
        <v>1167</v>
      </c>
      <c r="F1064" s="59" t="s">
        <v>1135</v>
      </c>
      <c r="G1064" s="59" t="s">
        <v>1136</v>
      </c>
      <c r="H1064" s="59" t="s">
        <v>1140</v>
      </c>
      <c r="I1064" s="60">
        <v>46113</v>
      </c>
      <c r="J1064" s="59" t="s">
        <v>714</v>
      </c>
      <c r="K1064" s="59" t="s">
        <v>1146</v>
      </c>
      <c r="L1064" s="59"/>
      <c r="M1064" s="61">
        <v>3564686.87</v>
      </c>
      <c r="N1064" s="61">
        <v>-3564686.87</v>
      </c>
      <c r="O1064" s="61">
        <v>5576038883.6068745</v>
      </c>
    </row>
    <row r="1065" spans="1:15" x14ac:dyDescent="0.25">
      <c r="A1065" s="62">
        <v>46160</v>
      </c>
      <c r="B1065">
        <v>5</v>
      </c>
      <c r="C1065" t="s">
        <v>1144</v>
      </c>
      <c r="D1065">
        <v>2014352</v>
      </c>
      <c r="E1065" t="s">
        <v>1167</v>
      </c>
      <c r="F1065" t="s">
        <v>1174</v>
      </c>
      <c r="G1065" t="s">
        <v>1136</v>
      </c>
      <c r="H1065" t="s">
        <v>1157</v>
      </c>
      <c r="I1065" s="63">
        <v>46113</v>
      </c>
      <c r="J1065" t="s">
        <v>715</v>
      </c>
      <c r="K1065" t="s">
        <v>1138</v>
      </c>
      <c r="M1065" s="64">
        <v>5735960.5300000003</v>
      </c>
      <c r="N1065" s="64">
        <v>-5735960.5300000003</v>
      </c>
      <c r="O1065" s="64">
        <v>5570302923.0768747</v>
      </c>
    </row>
    <row r="1066" spans="1:15" x14ac:dyDescent="0.25">
      <c r="A1066" s="58">
        <v>46160</v>
      </c>
      <c r="B1066" s="59">
        <v>5</v>
      </c>
      <c r="C1066" s="59" t="s">
        <v>1144</v>
      </c>
      <c r="D1066" s="59">
        <v>2014354</v>
      </c>
      <c r="E1066" s="59" t="s">
        <v>1167</v>
      </c>
      <c r="F1066" s="59" t="s">
        <v>1174</v>
      </c>
      <c r="G1066" s="59" t="s">
        <v>1136</v>
      </c>
      <c r="H1066" s="59" t="s">
        <v>1157</v>
      </c>
      <c r="I1066" s="60">
        <v>46113</v>
      </c>
      <c r="J1066" s="59" t="s">
        <v>716</v>
      </c>
      <c r="K1066" s="59" t="s">
        <v>1148</v>
      </c>
      <c r="L1066" s="59"/>
      <c r="M1066" s="61">
        <v>6285840</v>
      </c>
      <c r="N1066" s="61">
        <v>-6285840</v>
      </c>
      <c r="O1066" s="61">
        <v>5564017083.0768747</v>
      </c>
    </row>
    <row r="1067" spans="1:15" x14ac:dyDescent="0.25">
      <c r="A1067" s="62">
        <v>46160</v>
      </c>
      <c r="B1067">
        <v>5</v>
      </c>
      <c r="C1067" t="s">
        <v>1144</v>
      </c>
      <c r="D1067">
        <v>2014356</v>
      </c>
      <c r="E1067" t="s">
        <v>1167</v>
      </c>
      <c r="F1067" t="s">
        <v>1174</v>
      </c>
      <c r="G1067" t="s">
        <v>1136</v>
      </c>
      <c r="H1067" t="s">
        <v>1157</v>
      </c>
      <c r="I1067" s="63">
        <v>46113</v>
      </c>
      <c r="J1067" t="s">
        <v>716</v>
      </c>
      <c r="K1067" t="s">
        <v>1150</v>
      </c>
      <c r="M1067" s="64">
        <v>5688920.75</v>
      </c>
      <c r="N1067" s="64">
        <v>-5688920.75</v>
      </c>
      <c r="O1067" s="64">
        <v>5558328162.3268747</v>
      </c>
    </row>
    <row r="1068" spans="1:15" x14ac:dyDescent="0.25">
      <c r="A1068" s="58">
        <v>46160</v>
      </c>
      <c r="B1068" s="59">
        <v>5</v>
      </c>
      <c r="C1068" s="59" t="s">
        <v>1144</v>
      </c>
      <c r="D1068" s="59">
        <v>2044126</v>
      </c>
      <c r="E1068" s="59" t="s">
        <v>1167</v>
      </c>
      <c r="F1068" s="59" t="s">
        <v>1135</v>
      </c>
      <c r="G1068" s="59" t="s">
        <v>1136</v>
      </c>
      <c r="H1068" s="59" t="s">
        <v>1175</v>
      </c>
      <c r="I1068" s="60">
        <v>46113</v>
      </c>
      <c r="J1068" s="59" t="s">
        <v>717</v>
      </c>
      <c r="K1068" s="59" t="s">
        <v>1150</v>
      </c>
      <c r="L1068" s="59"/>
      <c r="M1068" s="61">
        <v>4696447.5</v>
      </c>
      <c r="N1068" s="61">
        <v>-4696447.5</v>
      </c>
      <c r="O1068" s="61">
        <v>5553631714.8268747</v>
      </c>
    </row>
    <row r="1069" spans="1:15" x14ac:dyDescent="0.25">
      <c r="A1069" s="62">
        <v>46160</v>
      </c>
      <c r="B1069">
        <v>5</v>
      </c>
      <c r="C1069" t="s">
        <v>1144</v>
      </c>
      <c r="D1069">
        <v>2044126</v>
      </c>
      <c r="E1069" t="s">
        <v>1167</v>
      </c>
      <c r="F1069" t="s">
        <v>1135</v>
      </c>
      <c r="G1069" t="s">
        <v>1136</v>
      </c>
      <c r="H1069" t="s">
        <v>1175</v>
      </c>
      <c r="I1069" s="63">
        <v>46113</v>
      </c>
      <c r="J1069" t="s">
        <v>718</v>
      </c>
      <c r="K1069" t="s">
        <v>1150</v>
      </c>
      <c r="M1069" s="64">
        <v>2071784.6</v>
      </c>
      <c r="N1069" s="64">
        <v>-2071784.6</v>
      </c>
      <c r="O1069" s="64">
        <v>5551559930.2268744</v>
      </c>
    </row>
    <row r="1070" spans="1:15" x14ac:dyDescent="0.25">
      <c r="A1070" s="58">
        <v>46160</v>
      </c>
      <c r="B1070" s="59">
        <v>5</v>
      </c>
      <c r="C1070" s="59" t="s">
        <v>1144</v>
      </c>
      <c r="D1070" s="59">
        <v>2044126</v>
      </c>
      <c r="E1070" s="59" t="s">
        <v>1167</v>
      </c>
      <c r="F1070" s="59" t="s">
        <v>1135</v>
      </c>
      <c r="G1070" s="59" t="s">
        <v>1136</v>
      </c>
      <c r="H1070" s="59" t="s">
        <v>1175</v>
      </c>
      <c r="I1070" s="60">
        <v>46113</v>
      </c>
      <c r="J1070" s="59" t="s">
        <v>719</v>
      </c>
      <c r="K1070" s="59" t="s">
        <v>1150</v>
      </c>
      <c r="L1070" s="59"/>
      <c r="M1070" s="61">
        <v>1884894.7</v>
      </c>
      <c r="N1070" s="61">
        <v>-1884894.7</v>
      </c>
      <c r="O1070" s="61">
        <v>5549675035.5268745</v>
      </c>
    </row>
    <row r="1071" spans="1:15" x14ac:dyDescent="0.25">
      <c r="A1071" s="62">
        <v>46160</v>
      </c>
      <c r="B1071">
        <v>5</v>
      </c>
      <c r="C1071" t="s">
        <v>1144</v>
      </c>
      <c r="D1071">
        <v>2044126</v>
      </c>
      <c r="E1071" t="s">
        <v>1167</v>
      </c>
      <c r="F1071" t="s">
        <v>1135</v>
      </c>
      <c r="G1071" t="s">
        <v>1136</v>
      </c>
      <c r="H1071" t="s">
        <v>1175</v>
      </c>
      <c r="I1071" s="63">
        <v>46113</v>
      </c>
      <c r="J1071" t="s">
        <v>720</v>
      </c>
      <c r="K1071" t="s">
        <v>1150</v>
      </c>
      <c r="M1071" s="64">
        <v>1787976.5</v>
      </c>
      <c r="N1071" s="64">
        <v>-1787976.5</v>
      </c>
      <c r="O1071" s="64">
        <v>5547887059.0268745</v>
      </c>
    </row>
    <row r="1072" spans="1:15" x14ac:dyDescent="0.25">
      <c r="A1072" s="58">
        <v>46160</v>
      </c>
      <c r="B1072" s="59">
        <v>5</v>
      </c>
      <c r="C1072" s="59" t="s">
        <v>1144</v>
      </c>
      <c r="D1072" s="59">
        <v>2044126</v>
      </c>
      <c r="E1072" s="59" t="s">
        <v>1167</v>
      </c>
      <c r="F1072" s="59" t="s">
        <v>1135</v>
      </c>
      <c r="G1072" s="59" t="s">
        <v>1136</v>
      </c>
      <c r="H1072" s="59" t="s">
        <v>1175</v>
      </c>
      <c r="I1072" s="60">
        <v>46113</v>
      </c>
      <c r="J1072" s="59" t="s">
        <v>721</v>
      </c>
      <c r="K1072" s="59" t="s">
        <v>1150</v>
      </c>
      <c r="L1072" s="59"/>
      <c r="M1072" s="61">
        <v>1641812.9</v>
      </c>
      <c r="N1072" s="61">
        <v>-1641812.9</v>
      </c>
      <c r="O1072" s="61">
        <v>5546245246.1268749</v>
      </c>
    </row>
    <row r="1073" spans="1:15" x14ac:dyDescent="0.25">
      <c r="A1073" s="62">
        <v>46160</v>
      </c>
      <c r="B1073">
        <v>5</v>
      </c>
      <c r="C1073" t="s">
        <v>1144</v>
      </c>
      <c r="D1073">
        <v>2044126</v>
      </c>
      <c r="E1073" t="s">
        <v>1167</v>
      </c>
      <c r="F1073" t="s">
        <v>1135</v>
      </c>
      <c r="G1073" t="s">
        <v>1136</v>
      </c>
      <c r="H1073" t="s">
        <v>1175</v>
      </c>
      <c r="I1073" s="63">
        <v>46113</v>
      </c>
      <c r="J1073" t="s">
        <v>722</v>
      </c>
      <c r="K1073" t="s">
        <v>1150</v>
      </c>
      <c r="M1073" s="64">
        <v>1481555</v>
      </c>
      <c r="N1073" s="64">
        <v>-1481555</v>
      </c>
      <c r="O1073" s="64">
        <v>5544763691.1268749</v>
      </c>
    </row>
    <row r="1074" spans="1:15" x14ac:dyDescent="0.25">
      <c r="A1074" s="58">
        <v>46160</v>
      </c>
      <c r="B1074" s="59">
        <v>5</v>
      </c>
      <c r="C1074" s="59" t="s">
        <v>1144</v>
      </c>
      <c r="D1074" s="59">
        <v>2044126</v>
      </c>
      <c r="E1074" s="59" t="s">
        <v>1167</v>
      </c>
      <c r="F1074" s="59" t="s">
        <v>1135</v>
      </c>
      <c r="G1074" s="59" t="s">
        <v>1136</v>
      </c>
      <c r="H1074" s="59" t="s">
        <v>1175</v>
      </c>
      <c r="I1074" s="60">
        <v>46113</v>
      </c>
      <c r="J1074" s="59" t="s">
        <v>723</v>
      </c>
      <c r="K1074" s="59" t="s">
        <v>1150</v>
      </c>
      <c r="L1074" s="59"/>
      <c r="M1074" s="61">
        <v>1381999.5</v>
      </c>
      <c r="N1074" s="61">
        <v>-1381999.5</v>
      </c>
      <c r="O1074" s="61">
        <v>5543381691.6268749</v>
      </c>
    </row>
    <row r="1075" spans="1:15" x14ac:dyDescent="0.25">
      <c r="A1075" s="62">
        <v>46160</v>
      </c>
      <c r="B1075">
        <v>5</v>
      </c>
      <c r="C1075" t="s">
        <v>1144</v>
      </c>
      <c r="D1075">
        <v>2044126</v>
      </c>
      <c r="E1075" t="s">
        <v>1167</v>
      </c>
      <c r="F1075" t="s">
        <v>1135</v>
      </c>
      <c r="G1075" t="s">
        <v>1136</v>
      </c>
      <c r="H1075" t="s">
        <v>1175</v>
      </c>
      <c r="I1075" s="63">
        <v>46113</v>
      </c>
      <c r="J1075" t="s">
        <v>724</v>
      </c>
      <c r="K1075" t="s">
        <v>1150</v>
      </c>
      <c r="M1075" s="64">
        <v>1268029.2</v>
      </c>
      <c r="N1075" s="64">
        <v>-1268029.2</v>
      </c>
      <c r="O1075" s="64">
        <v>5542113662.4268751</v>
      </c>
    </row>
    <row r="1076" spans="1:15" x14ac:dyDescent="0.25">
      <c r="A1076" s="58">
        <v>46161</v>
      </c>
      <c r="B1076" s="59">
        <v>5</v>
      </c>
      <c r="C1076" s="59" t="s">
        <v>1161</v>
      </c>
      <c r="D1076" s="59">
        <v>2044126</v>
      </c>
      <c r="E1076" s="59" t="s">
        <v>1167</v>
      </c>
      <c r="F1076" s="59" t="s">
        <v>1135</v>
      </c>
      <c r="G1076" s="59" t="s">
        <v>1136</v>
      </c>
      <c r="H1076" s="59" t="s">
        <v>1175</v>
      </c>
      <c r="I1076" s="60">
        <v>46113</v>
      </c>
      <c r="J1076" s="59" t="s">
        <v>725</v>
      </c>
      <c r="K1076" s="59" t="s">
        <v>1150</v>
      </c>
      <c r="L1076" s="59"/>
      <c r="M1076" s="61">
        <v>165836.6</v>
      </c>
      <c r="N1076" s="61">
        <v>-165836.6</v>
      </c>
      <c r="O1076" s="61">
        <v>5541947825.8268747</v>
      </c>
    </row>
    <row r="1077" spans="1:15" x14ac:dyDescent="0.25">
      <c r="A1077" s="62">
        <v>46161</v>
      </c>
      <c r="B1077">
        <v>5</v>
      </c>
      <c r="C1077" t="s">
        <v>1161</v>
      </c>
      <c r="D1077">
        <v>2044126</v>
      </c>
      <c r="E1077" t="s">
        <v>1167</v>
      </c>
      <c r="F1077" t="s">
        <v>1135</v>
      </c>
      <c r="G1077" t="s">
        <v>1136</v>
      </c>
      <c r="H1077" t="s">
        <v>1175</v>
      </c>
      <c r="I1077" s="63">
        <v>46113</v>
      </c>
      <c r="J1077" t="s">
        <v>726</v>
      </c>
      <c r="K1077" t="s">
        <v>1150</v>
      </c>
      <c r="M1077" s="64">
        <v>146562.9</v>
      </c>
      <c r="N1077" s="64">
        <v>-146562.9</v>
      </c>
      <c r="O1077" s="64">
        <v>5541801262.9268751</v>
      </c>
    </row>
    <row r="1078" spans="1:15" x14ac:dyDescent="0.25">
      <c r="A1078" s="58">
        <v>46161</v>
      </c>
      <c r="B1078" s="59">
        <v>5</v>
      </c>
      <c r="C1078" s="59" t="s">
        <v>1161</v>
      </c>
      <c r="D1078" s="59">
        <v>2044126</v>
      </c>
      <c r="E1078" s="59" t="s">
        <v>1167</v>
      </c>
      <c r="F1078" s="59" t="s">
        <v>1135</v>
      </c>
      <c r="G1078" s="59" t="s">
        <v>1136</v>
      </c>
      <c r="H1078" s="59" t="s">
        <v>1175</v>
      </c>
      <c r="I1078" s="60">
        <v>46113</v>
      </c>
      <c r="J1078" s="59" t="s">
        <v>727</v>
      </c>
      <c r="K1078" s="59" t="s">
        <v>1150</v>
      </c>
      <c r="L1078" s="59"/>
      <c r="M1078" s="61">
        <v>130933.8</v>
      </c>
      <c r="N1078" s="61">
        <v>-130933.8</v>
      </c>
      <c r="O1078" s="61">
        <v>5541670329.1268749</v>
      </c>
    </row>
    <row r="1079" spans="1:15" x14ac:dyDescent="0.25">
      <c r="A1079" s="62">
        <v>46161</v>
      </c>
      <c r="B1079">
        <v>5</v>
      </c>
      <c r="C1079" t="s">
        <v>1161</v>
      </c>
      <c r="D1079">
        <v>2044126</v>
      </c>
      <c r="E1079" t="s">
        <v>1167</v>
      </c>
      <c r="F1079" t="s">
        <v>1135</v>
      </c>
      <c r="G1079" t="s">
        <v>1136</v>
      </c>
      <c r="H1079" t="s">
        <v>1175</v>
      </c>
      <c r="I1079" s="63">
        <v>46113</v>
      </c>
      <c r="J1079" t="s">
        <v>728</v>
      </c>
      <c r="K1079" t="s">
        <v>1150</v>
      </c>
      <c r="M1079" s="64">
        <v>112911.1</v>
      </c>
      <c r="N1079" s="64">
        <v>-112911.1</v>
      </c>
      <c r="O1079" s="64">
        <v>5541557418.0268745</v>
      </c>
    </row>
    <row r="1080" spans="1:15" x14ac:dyDescent="0.25">
      <c r="A1080" s="58">
        <v>46161</v>
      </c>
      <c r="B1080" s="59">
        <v>5</v>
      </c>
      <c r="C1080" s="59" t="s">
        <v>1161</v>
      </c>
      <c r="D1080" s="59">
        <v>2044126</v>
      </c>
      <c r="E1080" s="59" t="s">
        <v>1167</v>
      </c>
      <c r="F1080" s="59" t="s">
        <v>1135</v>
      </c>
      <c r="G1080" s="59" t="s">
        <v>1136</v>
      </c>
      <c r="H1080" s="59" t="s">
        <v>1175</v>
      </c>
      <c r="I1080" s="60">
        <v>46113</v>
      </c>
      <c r="J1080" s="59" t="s">
        <v>729</v>
      </c>
      <c r="K1080" s="59" t="s">
        <v>1150</v>
      </c>
      <c r="L1080" s="59"/>
      <c r="M1080" s="61">
        <v>98253.5</v>
      </c>
      <c r="N1080" s="61">
        <v>-98253.5</v>
      </c>
      <c r="O1080" s="61">
        <v>5541459164.5268745</v>
      </c>
    </row>
    <row r="1081" spans="1:15" x14ac:dyDescent="0.25">
      <c r="A1081" s="62">
        <v>46161</v>
      </c>
      <c r="B1081">
        <v>5</v>
      </c>
      <c r="C1081" t="s">
        <v>1161</v>
      </c>
      <c r="D1081">
        <v>2044126</v>
      </c>
      <c r="E1081" t="s">
        <v>1167</v>
      </c>
      <c r="F1081" t="s">
        <v>1135</v>
      </c>
      <c r="G1081" t="s">
        <v>1136</v>
      </c>
      <c r="H1081" t="s">
        <v>1175</v>
      </c>
      <c r="I1081" s="63">
        <v>46113</v>
      </c>
      <c r="J1081" t="s">
        <v>730</v>
      </c>
      <c r="K1081" t="s">
        <v>1150</v>
      </c>
      <c r="M1081" s="64">
        <v>85107.1</v>
      </c>
      <c r="N1081" s="64">
        <v>-85107.1</v>
      </c>
      <c r="O1081" s="64">
        <v>5541374057.4268742</v>
      </c>
    </row>
    <row r="1082" spans="1:15" x14ac:dyDescent="0.25">
      <c r="A1082" s="58">
        <v>46161</v>
      </c>
      <c r="B1082" s="59">
        <v>5</v>
      </c>
      <c r="C1082" s="59" t="s">
        <v>1161</v>
      </c>
      <c r="D1082" s="59">
        <v>2044126</v>
      </c>
      <c r="E1082" s="59" t="s">
        <v>1167</v>
      </c>
      <c r="F1082" s="59" t="s">
        <v>1135</v>
      </c>
      <c r="G1082" s="59" t="s">
        <v>1136</v>
      </c>
      <c r="H1082" s="59" t="s">
        <v>1175</v>
      </c>
      <c r="I1082" s="60">
        <v>46113</v>
      </c>
      <c r="J1082" s="59" t="s">
        <v>731</v>
      </c>
      <c r="K1082" s="59" t="s">
        <v>1150</v>
      </c>
      <c r="L1082" s="59"/>
      <c r="M1082" s="61">
        <v>68627.3</v>
      </c>
      <c r="N1082" s="61">
        <v>-68627.3</v>
      </c>
      <c r="O1082" s="61">
        <v>5541305430.126874</v>
      </c>
    </row>
    <row r="1083" spans="1:15" x14ac:dyDescent="0.25">
      <c r="A1083" s="62">
        <v>46161</v>
      </c>
      <c r="B1083">
        <v>5</v>
      </c>
      <c r="C1083" t="s">
        <v>1161</v>
      </c>
      <c r="D1083">
        <v>2044126</v>
      </c>
      <c r="E1083" t="s">
        <v>1167</v>
      </c>
      <c r="F1083" t="s">
        <v>1135</v>
      </c>
      <c r="G1083" t="s">
        <v>1136</v>
      </c>
      <c r="H1083" t="s">
        <v>1175</v>
      </c>
      <c r="I1083" s="63">
        <v>46113</v>
      </c>
      <c r="J1083" t="s">
        <v>732</v>
      </c>
      <c r="K1083" t="s">
        <v>1150</v>
      </c>
      <c r="M1083" s="64">
        <v>55024.7</v>
      </c>
      <c r="N1083" s="64">
        <v>-55024.7</v>
      </c>
      <c r="O1083" s="64">
        <v>5541250405.4268742</v>
      </c>
    </row>
    <row r="1084" spans="1:15" x14ac:dyDescent="0.25">
      <c r="A1084" s="58">
        <v>46161</v>
      </c>
      <c r="B1084" s="59">
        <v>5</v>
      </c>
      <c r="C1084" s="59" t="s">
        <v>1161</v>
      </c>
      <c r="D1084" s="59">
        <v>2044126</v>
      </c>
      <c r="E1084" s="59" t="s">
        <v>1167</v>
      </c>
      <c r="F1084" s="59" t="s">
        <v>1135</v>
      </c>
      <c r="G1084" s="59" t="s">
        <v>1136</v>
      </c>
      <c r="H1084" s="59" t="s">
        <v>1175</v>
      </c>
      <c r="I1084" s="60">
        <v>46113</v>
      </c>
      <c r="J1084" s="59" t="s">
        <v>733</v>
      </c>
      <c r="K1084" s="59" t="s">
        <v>1150</v>
      </c>
      <c r="L1084" s="59"/>
      <c r="M1084" s="61">
        <v>33400.800000000003</v>
      </c>
      <c r="N1084" s="61">
        <v>-33400.800000000003</v>
      </c>
      <c r="O1084" s="61">
        <v>5541217004.626874</v>
      </c>
    </row>
    <row r="1085" spans="1:15" x14ac:dyDescent="0.25">
      <c r="A1085" s="62">
        <v>46161</v>
      </c>
      <c r="B1085">
        <v>5</v>
      </c>
      <c r="C1085" t="s">
        <v>1161</v>
      </c>
      <c r="D1085">
        <v>2044126</v>
      </c>
      <c r="E1085" t="s">
        <v>1167</v>
      </c>
      <c r="F1085" t="s">
        <v>1135</v>
      </c>
      <c r="G1085" t="s">
        <v>1136</v>
      </c>
      <c r="H1085" t="s">
        <v>1175</v>
      </c>
      <c r="I1085" s="63">
        <v>46113</v>
      </c>
      <c r="J1085" t="s">
        <v>734</v>
      </c>
      <c r="K1085" t="s">
        <v>1150</v>
      </c>
      <c r="M1085" s="64">
        <v>12623351.6</v>
      </c>
      <c r="N1085" s="64">
        <v>-12623351.6</v>
      </c>
      <c r="O1085" s="64">
        <v>5528593653.0268736</v>
      </c>
    </row>
    <row r="1086" spans="1:15" x14ac:dyDescent="0.25">
      <c r="A1086" s="58">
        <v>46161</v>
      </c>
      <c r="B1086" s="59">
        <v>5</v>
      </c>
      <c r="C1086" s="59" t="s">
        <v>1161</v>
      </c>
      <c r="D1086" s="59">
        <v>1044212</v>
      </c>
      <c r="E1086" s="59" t="s">
        <v>1134</v>
      </c>
      <c r="F1086" s="59" t="s">
        <v>1135</v>
      </c>
      <c r="G1086" s="59" t="s">
        <v>1136</v>
      </c>
      <c r="H1086" s="59" t="s">
        <v>1151</v>
      </c>
      <c r="I1086" s="60">
        <v>46113</v>
      </c>
      <c r="J1086" s="59" t="s">
        <v>738</v>
      </c>
      <c r="K1086" s="59" t="s">
        <v>1138</v>
      </c>
      <c r="L1086" s="61">
        <v>9377270.1500000004</v>
      </c>
      <c r="M1086" s="59"/>
      <c r="N1086" s="61">
        <v>9377270.1500000004</v>
      </c>
      <c r="O1086" s="61">
        <v>3222562940.6368728</v>
      </c>
    </row>
    <row r="1087" spans="1:15" x14ac:dyDescent="0.25">
      <c r="A1087" s="62">
        <v>46161</v>
      </c>
      <c r="B1087">
        <v>5</v>
      </c>
      <c r="C1087" t="s">
        <v>1161</v>
      </c>
      <c r="D1087">
        <v>1044462</v>
      </c>
      <c r="E1087" t="s">
        <v>1134</v>
      </c>
      <c r="F1087" t="s">
        <v>1135</v>
      </c>
      <c r="G1087" t="s">
        <v>1136</v>
      </c>
      <c r="H1087" t="s">
        <v>1140</v>
      </c>
      <c r="I1087" s="63">
        <v>46113</v>
      </c>
      <c r="J1087" t="s">
        <v>738</v>
      </c>
      <c r="K1087" t="s">
        <v>1138</v>
      </c>
      <c r="L1087" s="64">
        <v>2801224.57</v>
      </c>
      <c r="N1087" s="64">
        <v>2801224.57</v>
      </c>
      <c r="O1087" s="64">
        <v>3225364165.2068729</v>
      </c>
    </row>
    <row r="1088" spans="1:15" x14ac:dyDescent="0.25">
      <c r="A1088" s="58">
        <v>46161</v>
      </c>
      <c r="B1088" s="59">
        <v>5</v>
      </c>
      <c r="C1088" s="59" t="s">
        <v>1161</v>
      </c>
      <c r="D1088" s="59">
        <v>1044322</v>
      </c>
      <c r="E1088" s="59" t="s">
        <v>1134</v>
      </c>
      <c r="F1088" s="59" t="s">
        <v>1135</v>
      </c>
      <c r="G1088" s="59" t="s">
        <v>1136</v>
      </c>
      <c r="H1088" s="59" t="s">
        <v>1143</v>
      </c>
      <c r="I1088" s="60">
        <v>46113</v>
      </c>
      <c r="J1088" s="59" t="s">
        <v>738</v>
      </c>
      <c r="K1088" s="59" t="s">
        <v>1138</v>
      </c>
      <c r="L1088" s="61">
        <v>23271900</v>
      </c>
      <c r="M1088" s="59"/>
      <c r="N1088" s="61">
        <v>23271900</v>
      </c>
      <c r="O1088" s="61">
        <v>3248636065.2068729</v>
      </c>
    </row>
    <row r="1089" spans="1:15" x14ac:dyDescent="0.25">
      <c r="A1089" s="62">
        <v>46161</v>
      </c>
      <c r="B1089">
        <v>5</v>
      </c>
      <c r="C1089" t="s">
        <v>1161</v>
      </c>
      <c r="D1089">
        <v>1044162</v>
      </c>
      <c r="E1089" t="s">
        <v>1134</v>
      </c>
      <c r="F1089" t="s">
        <v>1135</v>
      </c>
      <c r="G1089" t="s">
        <v>1136</v>
      </c>
      <c r="H1089" t="s">
        <v>1162</v>
      </c>
      <c r="I1089" s="63">
        <v>46113</v>
      </c>
      <c r="J1089" t="s">
        <v>738</v>
      </c>
      <c r="K1089" t="s">
        <v>1138</v>
      </c>
      <c r="L1089" s="64">
        <v>2454901.8199999998</v>
      </c>
      <c r="N1089" s="64">
        <v>2454901.8199999998</v>
      </c>
      <c r="O1089" s="64">
        <v>3251090967.0268741</v>
      </c>
    </row>
    <row r="1090" spans="1:15" x14ac:dyDescent="0.25">
      <c r="A1090" s="58">
        <v>46161</v>
      </c>
      <c r="B1090" s="59">
        <v>5</v>
      </c>
      <c r="C1090" s="59" t="s">
        <v>1161</v>
      </c>
      <c r="D1090" s="59">
        <v>1044262</v>
      </c>
      <c r="E1090" s="59" t="s">
        <v>1134</v>
      </c>
      <c r="F1090" s="59" t="s">
        <v>1135</v>
      </c>
      <c r="G1090" s="59" t="s">
        <v>1136</v>
      </c>
      <c r="H1090" s="59" t="s">
        <v>1145</v>
      </c>
      <c r="I1090" s="60">
        <v>46113</v>
      </c>
      <c r="J1090" s="59" t="s">
        <v>738</v>
      </c>
      <c r="K1090" s="59" t="s">
        <v>1138</v>
      </c>
      <c r="L1090" s="61">
        <v>6450700</v>
      </c>
      <c r="M1090" s="59"/>
      <c r="N1090" s="61">
        <v>6450700</v>
      </c>
      <c r="O1090" s="61">
        <v>3257541667.0268741</v>
      </c>
    </row>
    <row r="1091" spans="1:15" x14ac:dyDescent="0.25">
      <c r="A1091" s="62">
        <v>46161</v>
      </c>
      <c r="B1091">
        <v>5</v>
      </c>
      <c r="C1091" t="s">
        <v>1161</v>
      </c>
      <c r="D1091">
        <v>1044282</v>
      </c>
      <c r="E1091" t="s">
        <v>1134</v>
      </c>
      <c r="F1091" t="s">
        <v>1135</v>
      </c>
      <c r="G1091" t="s">
        <v>1136</v>
      </c>
      <c r="H1091" t="s">
        <v>1155</v>
      </c>
      <c r="I1091" s="63">
        <v>46113</v>
      </c>
      <c r="J1091" t="s">
        <v>738</v>
      </c>
      <c r="K1091" t="s">
        <v>1138</v>
      </c>
      <c r="L1091" s="64">
        <v>42817200</v>
      </c>
      <c r="N1091" s="64">
        <v>42817200</v>
      </c>
      <c r="O1091" s="64">
        <v>3300358867.0268741</v>
      </c>
    </row>
    <row r="1092" spans="1:15" x14ac:dyDescent="0.25">
      <c r="A1092" s="58">
        <v>46161</v>
      </c>
      <c r="B1092" s="59">
        <v>5</v>
      </c>
      <c r="C1092" s="59" t="s">
        <v>1161</v>
      </c>
      <c r="D1092" s="59">
        <v>1044342</v>
      </c>
      <c r="E1092" s="59" t="s">
        <v>1134</v>
      </c>
      <c r="F1092" s="59" t="s">
        <v>1135</v>
      </c>
      <c r="G1092" s="59" t="s">
        <v>1136</v>
      </c>
      <c r="H1092" s="59" t="s">
        <v>1156</v>
      </c>
      <c r="I1092" s="60">
        <v>46113</v>
      </c>
      <c r="J1092" s="59" t="s">
        <v>738</v>
      </c>
      <c r="K1092" s="59" t="s">
        <v>1138</v>
      </c>
      <c r="L1092" s="61">
        <v>12824556.380000001</v>
      </c>
      <c r="M1092" s="59"/>
      <c r="N1092" s="61">
        <v>12824556.380000001</v>
      </c>
      <c r="O1092" s="61">
        <v>3313183423.4068742</v>
      </c>
    </row>
    <row r="1093" spans="1:15" x14ac:dyDescent="0.25">
      <c r="A1093" s="62">
        <v>46161</v>
      </c>
      <c r="B1093">
        <v>5</v>
      </c>
      <c r="C1093" t="s">
        <v>1161</v>
      </c>
      <c r="D1093">
        <v>1044352</v>
      </c>
      <c r="E1093" t="s">
        <v>1134</v>
      </c>
      <c r="F1093" t="s">
        <v>1135</v>
      </c>
      <c r="G1093" t="s">
        <v>1136</v>
      </c>
      <c r="H1093" t="s">
        <v>1157</v>
      </c>
      <c r="I1093" s="63">
        <v>46113</v>
      </c>
      <c r="J1093" t="s">
        <v>738</v>
      </c>
      <c r="K1093" t="s">
        <v>1138</v>
      </c>
      <c r="L1093" s="64">
        <v>5735960.5999999996</v>
      </c>
      <c r="N1093" s="64">
        <v>5735960.5999999996</v>
      </c>
      <c r="O1093" s="64">
        <v>3318919384.0068741</v>
      </c>
    </row>
    <row r="1094" spans="1:15" x14ac:dyDescent="0.25">
      <c r="A1094" s="58">
        <v>46161</v>
      </c>
      <c r="B1094" s="59">
        <v>5</v>
      </c>
      <c r="C1094" s="59" t="s">
        <v>1161</v>
      </c>
      <c r="D1094" s="59">
        <v>1044362</v>
      </c>
      <c r="E1094" s="59" t="s">
        <v>1134</v>
      </c>
      <c r="F1094" s="59" t="s">
        <v>1135</v>
      </c>
      <c r="G1094" s="59" t="s">
        <v>1136</v>
      </c>
      <c r="H1094" s="59" t="s">
        <v>1158</v>
      </c>
      <c r="I1094" s="60">
        <v>46113</v>
      </c>
      <c r="J1094" s="59" t="s">
        <v>738</v>
      </c>
      <c r="K1094" s="59" t="s">
        <v>1138</v>
      </c>
      <c r="L1094" s="61">
        <v>12765486.779999999</v>
      </c>
      <c r="M1094" s="59"/>
      <c r="N1094" s="61">
        <v>12765486.779999999</v>
      </c>
      <c r="O1094" s="61">
        <v>3331684870.7868738</v>
      </c>
    </row>
    <row r="1095" spans="1:15" x14ac:dyDescent="0.25">
      <c r="A1095" s="62">
        <v>46161</v>
      </c>
      <c r="B1095">
        <v>5</v>
      </c>
      <c r="C1095" t="s">
        <v>1161</v>
      </c>
      <c r="D1095">
        <v>1044372</v>
      </c>
      <c r="E1095" t="s">
        <v>1134</v>
      </c>
      <c r="F1095" t="s">
        <v>1135</v>
      </c>
      <c r="G1095" t="s">
        <v>1136</v>
      </c>
      <c r="H1095" t="s">
        <v>1141</v>
      </c>
      <c r="I1095" s="63">
        <v>46113</v>
      </c>
      <c r="J1095" t="s">
        <v>738</v>
      </c>
      <c r="K1095" t="s">
        <v>1138</v>
      </c>
      <c r="L1095" s="64">
        <v>37802784.25</v>
      </c>
      <c r="N1095" s="64">
        <v>37802784.25</v>
      </c>
      <c r="O1095" s="64">
        <v>3369487655.0368738</v>
      </c>
    </row>
    <row r="1096" spans="1:15" x14ac:dyDescent="0.25">
      <c r="A1096" s="58">
        <v>46161</v>
      </c>
      <c r="B1096" s="59">
        <v>5</v>
      </c>
      <c r="C1096" s="59" t="s">
        <v>1161</v>
      </c>
      <c r="D1096" s="59">
        <v>1044402</v>
      </c>
      <c r="E1096" s="59" t="s">
        <v>1134</v>
      </c>
      <c r="F1096" s="59" t="s">
        <v>1135</v>
      </c>
      <c r="G1096" s="59" t="s">
        <v>1136</v>
      </c>
      <c r="H1096" s="59" t="s">
        <v>1159</v>
      </c>
      <c r="I1096" s="60">
        <v>46113</v>
      </c>
      <c r="J1096" s="59" t="s">
        <v>738</v>
      </c>
      <c r="K1096" s="59" t="s">
        <v>1138</v>
      </c>
      <c r="L1096" s="61">
        <v>20705937.760000002</v>
      </c>
      <c r="M1096" s="59"/>
      <c r="N1096" s="61">
        <v>20705937.760000002</v>
      </c>
      <c r="O1096" s="61">
        <v>3390193592.796874</v>
      </c>
    </row>
    <row r="1097" spans="1:15" x14ac:dyDescent="0.25">
      <c r="A1097" s="62">
        <v>46161</v>
      </c>
      <c r="B1097">
        <v>5</v>
      </c>
      <c r="C1097" t="s">
        <v>1161</v>
      </c>
      <c r="D1097">
        <v>1044412</v>
      </c>
      <c r="E1097" t="s">
        <v>1134</v>
      </c>
      <c r="F1097" t="s">
        <v>1135</v>
      </c>
      <c r="G1097" t="s">
        <v>1136</v>
      </c>
      <c r="H1097" t="s">
        <v>1160</v>
      </c>
      <c r="I1097" s="63">
        <v>46113</v>
      </c>
      <c r="J1097" t="s">
        <v>738</v>
      </c>
      <c r="K1097" t="s">
        <v>1138</v>
      </c>
      <c r="L1097" s="64">
        <v>12142675.32</v>
      </c>
      <c r="N1097" s="64">
        <v>12142675.32</v>
      </c>
      <c r="O1097" s="64">
        <v>3402336268.1168742</v>
      </c>
    </row>
    <row r="1098" spans="1:15" x14ac:dyDescent="0.25">
      <c r="A1098" s="58">
        <v>46161</v>
      </c>
      <c r="B1098" s="59">
        <v>5</v>
      </c>
      <c r="C1098" s="59" t="s">
        <v>1161</v>
      </c>
      <c r="D1098" s="59">
        <v>1044422</v>
      </c>
      <c r="E1098" s="59" t="s">
        <v>1134</v>
      </c>
      <c r="F1098" s="59" t="s">
        <v>1135</v>
      </c>
      <c r="G1098" s="59" t="s">
        <v>1136</v>
      </c>
      <c r="H1098" s="59" t="s">
        <v>1165</v>
      </c>
      <c r="I1098" s="60">
        <v>46113</v>
      </c>
      <c r="J1098" s="59" t="s">
        <v>738</v>
      </c>
      <c r="K1098" s="59" t="s">
        <v>1138</v>
      </c>
      <c r="L1098" s="61">
        <v>63051584.810000002</v>
      </c>
      <c r="M1098" s="59"/>
      <c r="N1098" s="61">
        <v>63051584.810000002</v>
      </c>
      <c r="O1098" s="61">
        <v>3465387852.9268742</v>
      </c>
    </row>
    <row r="1099" spans="1:15" x14ac:dyDescent="0.25">
      <c r="A1099" s="62">
        <v>46162</v>
      </c>
      <c r="B1099">
        <v>5</v>
      </c>
      <c r="C1099" t="s">
        <v>1166</v>
      </c>
      <c r="D1099">
        <v>2014351</v>
      </c>
      <c r="E1099" t="s">
        <v>1167</v>
      </c>
      <c r="F1099" t="s">
        <v>1174</v>
      </c>
      <c r="G1099" t="s">
        <v>1136</v>
      </c>
      <c r="H1099" t="s">
        <v>1157</v>
      </c>
      <c r="I1099" s="63">
        <v>46113</v>
      </c>
      <c r="J1099" t="s">
        <v>739</v>
      </c>
      <c r="K1099" t="s">
        <v>1142</v>
      </c>
      <c r="M1099" s="64">
        <v>3123738.48</v>
      </c>
      <c r="N1099" s="64">
        <v>-3123738.48</v>
      </c>
      <c r="O1099" s="64">
        <v>3462264114.4468741</v>
      </c>
    </row>
    <row r="1100" spans="1:15" x14ac:dyDescent="0.25">
      <c r="A1100" s="58">
        <v>46162</v>
      </c>
      <c r="B1100" s="59">
        <v>5</v>
      </c>
      <c r="C1100" s="59" t="s">
        <v>1166</v>
      </c>
      <c r="D1100" s="59">
        <v>2054312</v>
      </c>
      <c r="E1100" s="59" t="s">
        <v>1167</v>
      </c>
      <c r="F1100" s="59" t="s">
        <v>1169</v>
      </c>
      <c r="G1100" s="59" t="s">
        <v>1136</v>
      </c>
      <c r="H1100" s="59" t="s">
        <v>1137</v>
      </c>
      <c r="I1100" s="60">
        <v>46143</v>
      </c>
      <c r="J1100" s="59" t="s">
        <v>740</v>
      </c>
      <c r="K1100" s="59" t="s">
        <v>1138</v>
      </c>
      <c r="L1100" s="59"/>
      <c r="M1100" s="61">
        <v>15645100</v>
      </c>
      <c r="N1100" s="61">
        <v>-15645100</v>
      </c>
      <c r="O1100" s="61">
        <v>3446619014.4468741</v>
      </c>
    </row>
    <row r="1101" spans="1:15" x14ac:dyDescent="0.25">
      <c r="A1101" s="62">
        <v>46162</v>
      </c>
      <c r="B1101">
        <v>5</v>
      </c>
      <c r="C1101" t="s">
        <v>1166</v>
      </c>
      <c r="D1101">
        <v>2044464</v>
      </c>
      <c r="E1101" t="s">
        <v>1167</v>
      </c>
      <c r="F1101" t="s">
        <v>1135</v>
      </c>
      <c r="G1101" t="s">
        <v>1136</v>
      </c>
      <c r="H1101" t="s">
        <v>1140</v>
      </c>
      <c r="I1101" s="63">
        <v>46113</v>
      </c>
      <c r="J1101" t="s">
        <v>741</v>
      </c>
      <c r="K1101" t="s">
        <v>1148</v>
      </c>
      <c r="M1101" s="64">
        <v>7444682.4000000004</v>
      </c>
      <c r="N1101" s="64">
        <v>-7444682.4000000004</v>
      </c>
      <c r="O1101" s="64">
        <v>3439174332.046874</v>
      </c>
    </row>
    <row r="1102" spans="1:15" x14ac:dyDescent="0.25">
      <c r="A1102" s="58">
        <v>46162</v>
      </c>
      <c r="B1102" s="59">
        <v>5</v>
      </c>
      <c r="C1102" s="59" t="s">
        <v>1166</v>
      </c>
      <c r="D1102" s="59">
        <v>2044462</v>
      </c>
      <c r="E1102" s="59" t="s">
        <v>1167</v>
      </c>
      <c r="F1102" s="59" t="s">
        <v>1135</v>
      </c>
      <c r="G1102" s="59" t="s">
        <v>1136</v>
      </c>
      <c r="H1102" s="59" t="s">
        <v>1140</v>
      </c>
      <c r="I1102" s="60">
        <v>46143</v>
      </c>
      <c r="J1102" s="59" t="s">
        <v>742</v>
      </c>
      <c r="K1102" s="59" t="s">
        <v>1138</v>
      </c>
      <c r="L1102" s="59"/>
      <c r="M1102" s="61">
        <v>2341874.77</v>
      </c>
      <c r="N1102" s="61">
        <v>-2341874.77</v>
      </c>
      <c r="O1102" s="61">
        <v>3436832457.2768741</v>
      </c>
    </row>
    <row r="1103" spans="1:15" x14ac:dyDescent="0.25">
      <c r="A1103" s="62">
        <v>46162</v>
      </c>
      <c r="B1103">
        <v>5</v>
      </c>
      <c r="C1103" t="s">
        <v>1166</v>
      </c>
      <c r="D1103">
        <v>2044127</v>
      </c>
      <c r="E1103" t="s">
        <v>1167</v>
      </c>
      <c r="F1103" t="s">
        <v>1135</v>
      </c>
      <c r="G1103" t="s">
        <v>1136</v>
      </c>
      <c r="H1103" t="s">
        <v>1175</v>
      </c>
      <c r="I1103" s="63">
        <v>46113</v>
      </c>
      <c r="J1103" t="s">
        <v>743</v>
      </c>
      <c r="K1103" t="s">
        <v>1170</v>
      </c>
      <c r="M1103" s="64">
        <v>1606711.75</v>
      </c>
      <c r="N1103" s="64">
        <v>-1606711.75</v>
      </c>
      <c r="O1103" s="64">
        <v>3435225745.5268741</v>
      </c>
    </row>
    <row r="1104" spans="1:15" x14ac:dyDescent="0.25">
      <c r="A1104" s="58">
        <v>46162</v>
      </c>
      <c r="B1104" s="59">
        <v>5</v>
      </c>
      <c r="C1104" s="59" t="s">
        <v>1166</v>
      </c>
      <c r="D1104" s="59">
        <v>2044127</v>
      </c>
      <c r="E1104" s="59" t="s">
        <v>1167</v>
      </c>
      <c r="F1104" s="59" t="s">
        <v>1135</v>
      </c>
      <c r="G1104" s="59" t="s">
        <v>1136</v>
      </c>
      <c r="H1104" s="59" t="s">
        <v>1175</v>
      </c>
      <c r="I1104" s="60">
        <v>46113</v>
      </c>
      <c r="J1104" s="59" t="s">
        <v>744</v>
      </c>
      <c r="K1104" s="59" t="s">
        <v>1170</v>
      </c>
      <c r="L1104" s="59"/>
      <c r="M1104" s="61">
        <v>2702931</v>
      </c>
      <c r="N1104" s="61">
        <v>-2702931</v>
      </c>
      <c r="O1104" s="61">
        <v>3432522814.5268741</v>
      </c>
    </row>
    <row r="1105" spans="1:15" x14ac:dyDescent="0.25">
      <c r="A1105" s="62">
        <v>46162</v>
      </c>
      <c r="B1105">
        <v>5</v>
      </c>
      <c r="C1105" t="s">
        <v>1166</v>
      </c>
      <c r="D1105">
        <v>2044127</v>
      </c>
      <c r="E1105" t="s">
        <v>1167</v>
      </c>
      <c r="F1105" t="s">
        <v>1135</v>
      </c>
      <c r="G1105" t="s">
        <v>1136</v>
      </c>
      <c r="H1105" t="s">
        <v>1175</v>
      </c>
      <c r="I1105" s="63">
        <v>46113</v>
      </c>
      <c r="J1105" t="s">
        <v>745</v>
      </c>
      <c r="K1105" t="s">
        <v>1170</v>
      </c>
      <c r="M1105" s="64">
        <v>2047962.65</v>
      </c>
      <c r="N1105" s="64">
        <v>-2047962.65</v>
      </c>
      <c r="O1105" s="64">
        <v>3430474851.876874</v>
      </c>
    </row>
    <row r="1106" spans="1:15" x14ac:dyDescent="0.25">
      <c r="A1106" s="58">
        <v>46162</v>
      </c>
      <c r="B1106" s="59">
        <v>5</v>
      </c>
      <c r="C1106" s="59" t="s">
        <v>1166</v>
      </c>
      <c r="D1106" s="59">
        <v>2044126</v>
      </c>
      <c r="E1106" s="59" t="s">
        <v>1167</v>
      </c>
      <c r="F1106" s="59" t="s">
        <v>1135</v>
      </c>
      <c r="G1106" s="59" t="s">
        <v>1136</v>
      </c>
      <c r="H1106" s="59" t="s">
        <v>1175</v>
      </c>
      <c r="I1106" s="60">
        <v>46113</v>
      </c>
      <c r="J1106" s="59" t="s">
        <v>746</v>
      </c>
      <c r="K1106" s="59" t="s">
        <v>1150</v>
      </c>
      <c r="L1106" s="59"/>
      <c r="M1106" s="61">
        <v>1153811.8</v>
      </c>
      <c r="N1106" s="61">
        <v>-1153811.8</v>
      </c>
      <c r="O1106" s="61">
        <v>3429321040.0768738</v>
      </c>
    </row>
    <row r="1107" spans="1:15" x14ac:dyDescent="0.25">
      <c r="A1107" s="62">
        <v>46162</v>
      </c>
      <c r="B1107">
        <v>5</v>
      </c>
      <c r="C1107" t="s">
        <v>1166</v>
      </c>
      <c r="D1107">
        <v>2044126</v>
      </c>
      <c r="E1107" t="s">
        <v>1167</v>
      </c>
      <c r="F1107" t="s">
        <v>1135</v>
      </c>
      <c r="G1107" t="s">
        <v>1136</v>
      </c>
      <c r="H1107" t="s">
        <v>1175</v>
      </c>
      <c r="I1107" s="63">
        <v>46113</v>
      </c>
      <c r="J1107" t="s">
        <v>747</v>
      </c>
      <c r="K1107" t="s">
        <v>1150</v>
      </c>
      <c r="M1107" s="64">
        <v>1063065.3</v>
      </c>
      <c r="N1107" s="64">
        <v>-1063065.3</v>
      </c>
      <c r="O1107" s="64">
        <v>3428257974.7768741</v>
      </c>
    </row>
    <row r="1108" spans="1:15" x14ac:dyDescent="0.25">
      <c r="A1108" s="58">
        <v>46162</v>
      </c>
      <c r="B1108" s="59">
        <v>5</v>
      </c>
      <c r="C1108" s="59" t="s">
        <v>1166</v>
      </c>
      <c r="D1108" s="59">
        <v>2044126</v>
      </c>
      <c r="E1108" s="59" t="s">
        <v>1167</v>
      </c>
      <c r="F1108" s="59" t="s">
        <v>1135</v>
      </c>
      <c r="G1108" s="59" t="s">
        <v>1136</v>
      </c>
      <c r="H1108" s="59" t="s">
        <v>1175</v>
      </c>
      <c r="I1108" s="60">
        <v>46113</v>
      </c>
      <c r="J1108" s="59" t="s">
        <v>748</v>
      </c>
      <c r="K1108" s="59" t="s">
        <v>1150</v>
      </c>
      <c r="L1108" s="59"/>
      <c r="M1108" s="61">
        <v>1002392.4</v>
      </c>
      <c r="N1108" s="61">
        <v>-1002392.4</v>
      </c>
      <c r="O1108" s="61">
        <v>3427255582.376873</v>
      </c>
    </row>
    <row r="1109" spans="1:15" x14ac:dyDescent="0.25">
      <c r="A1109" s="62">
        <v>46162</v>
      </c>
      <c r="B1109">
        <v>5</v>
      </c>
      <c r="C1109" t="s">
        <v>1166</v>
      </c>
      <c r="D1109">
        <v>2044126</v>
      </c>
      <c r="E1109" t="s">
        <v>1167</v>
      </c>
      <c r="F1109" t="s">
        <v>1135</v>
      </c>
      <c r="G1109" t="s">
        <v>1136</v>
      </c>
      <c r="H1109" t="s">
        <v>1175</v>
      </c>
      <c r="I1109" s="63">
        <v>46113</v>
      </c>
      <c r="J1109" t="s">
        <v>749</v>
      </c>
      <c r="K1109" t="s">
        <v>1150</v>
      </c>
      <c r="M1109" s="64">
        <v>929641.3</v>
      </c>
      <c r="N1109" s="64">
        <v>-929641.3</v>
      </c>
      <c r="O1109" s="64">
        <v>3426325941.0768728</v>
      </c>
    </row>
    <row r="1110" spans="1:15" x14ac:dyDescent="0.25">
      <c r="A1110" s="58">
        <v>46163</v>
      </c>
      <c r="B1110" s="59">
        <v>5</v>
      </c>
      <c r="C1110" s="59" t="s">
        <v>1171</v>
      </c>
      <c r="D1110" s="59">
        <v>2014202</v>
      </c>
      <c r="E1110" s="59" t="s">
        <v>1167</v>
      </c>
      <c r="F1110" s="59" t="s">
        <v>1174</v>
      </c>
      <c r="G1110" s="59" t="s">
        <v>1136</v>
      </c>
      <c r="H1110" s="59" t="s">
        <v>1139</v>
      </c>
      <c r="I1110" s="60">
        <v>46143</v>
      </c>
      <c r="J1110" s="59" t="s">
        <v>750</v>
      </c>
      <c r="K1110" s="59" t="s">
        <v>1138</v>
      </c>
      <c r="L1110" s="59"/>
      <c r="M1110" s="61">
        <v>27590289.25</v>
      </c>
      <c r="N1110" s="61">
        <v>-27590289.25</v>
      </c>
      <c r="O1110" s="61">
        <v>3398735651.8268728</v>
      </c>
    </row>
    <row r="1111" spans="1:15" x14ac:dyDescent="0.25">
      <c r="A1111" s="62">
        <v>46163</v>
      </c>
      <c r="B1111">
        <v>5</v>
      </c>
      <c r="C1111" t="s">
        <v>1171</v>
      </c>
      <c r="D1111">
        <v>2014264</v>
      </c>
      <c r="E1111" t="s">
        <v>1167</v>
      </c>
      <c r="F1111" t="s">
        <v>1174</v>
      </c>
      <c r="G1111" t="s">
        <v>1136</v>
      </c>
      <c r="H1111" t="s">
        <v>1145</v>
      </c>
      <c r="I1111" s="63">
        <v>46113</v>
      </c>
      <c r="J1111" t="s">
        <v>753</v>
      </c>
      <c r="K1111" t="s">
        <v>1148</v>
      </c>
      <c r="M1111" s="64">
        <v>3821300</v>
      </c>
      <c r="N1111" s="64">
        <v>-3821300</v>
      </c>
      <c r="O1111" s="64">
        <v>3180693905.7068729</v>
      </c>
    </row>
    <row r="1112" spans="1:15" x14ac:dyDescent="0.25">
      <c r="A1112" s="58">
        <v>46163</v>
      </c>
      <c r="B1112" s="59">
        <v>5</v>
      </c>
      <c r="C1112" s="59" t="s">
        <v>1171</v>
      </c>
      <c r="D1112" s="59">
        <v>2014266</v>
      </c>
      <c r="E1112" s="59" t="s">
        <v>1167</v>
      </c>
      <c r="F1112" s="59" t="s">
        <v>1174</v>
      </c>
      <c r="G1112" s="59" t="s">
        <v>1136</v>
      </c>
      <c r="H1112" s="59" t="s">
        <v>1145</v>
      </c>
      <c r="I1112" s="60">
        <v>46113</v>
      </c>
      <c r="J1112" s="59" t="s">
        <v>753</v>
      </c>
      <c r="K1112" s="59" t="s">
        <v>1150</v>
      </c>
      <c r="L1112" s="59"/>
      <c r="M1112" s="61">
        <v>5685514.7400000002</v>
      </c>
      <c r="N1112" s="61">
        <v>-5685514.7400000002</v>
      </c>
      <c r="O1112" s="61">
        <v>3175008390.9668732</v>
      </c>
    </row>
    <row r="1113" spans="1:15" x14ac:dyDescent="0.25">
      <c r="A1113" s="62">
        <v>46163</v>
      </c>
      <c r="B1113">
        <v>5</v>
      </c>
      <c r="C1113" t="s">
        <v>1171</v>
      </c>
      <c r="D1113">
        <v>2014264</v>
      </c>
      <c r="E1113" t="s">
        <v>1167</v>
      </c>
      <c r="F1113" t="s">
        <v>1174</v>
      </c>
      <c r="G1113" t="s">
        <v>1136</v>
      </c>
      <c r="H1113" t="s">
        <v>1145</v>
      </c>
      <c r="I1113" s="63">
        <v>46113</v>
      </c>
      <c r="J1113" t="s">
        <v>753</v>
      </c>
      <c r="K1113" t="s">
        <v>1148</v>
      </c>
      <c r="M1113" s="64">
        <v>60203.57</v>
      </c>
      <c r="N1113" s="64">
        <v>-60203.57</v>
      </c>
      <c r="O1113" s="64">
        <v>3174948187.396873</v>
      </c>
    </row>
    <row r="1114" spans="1:15" x14ac:dyDescent="0.25">
      <c r="A1114" s="58">
        <v>46163</v>
      </c>
      <c r="B1114" s="59">
        <v>5</v>
      </c>
      <c r="C1114" s="59" t="s">
        <v>1171</v>
      </c>
      <c r="D1114" s="59">
        <v>2014262</v>
      </c>
      <c r="E1114" s="59" t="s">
        <v>1167</v>
      </c>
      <c r="F1114" s="59" t="s">
        <v>1174</v>
      </c>
      <c r="G1114" s="59" t="s">
        <v>1136</v>
      </c>
      <c r="H1114" s="59" t="s">
        <v>1145</v>
      </c>
      <c r="I1114" s="60">
        <v>46113</v>
      </c>
      <c r="J1114" s="59" t="s">
        <v>754</v>
      </c>
      <c r="K1114" s="59" t="s">
        <v>1138</v>
      </c>
      <c r="L1114" s="59"/>
      <c r="M1114" s="61">
        <v>6450700</v>
      </c>
      <c r="N1114" s="61">
        <v>-6450700</v>
      </c>
      <c r="O1114" s="61">
        <v>3168497487.396873</v>
      </c>
    </row>
    <row r="1115" spans="1:15" x14ac:dyDescent="0.25">
      <c r="A1115" s="62">
        <v>46163</v>
      </c>
      <c r="B1115">
        <v>5</v>
      </c>
      <c r="C1115" t="s">
        <v>1171</v>
      </c>
      <c r="D1115">
        <v>1044314</v>
      </c>
      <c r="E1115" t="s">
        <v>1134</v>
      </c>
      <c r="F1115" t="s">
        <v>1135</v>
      </c>
      <c r="G1115" t="s">
        <v>1136</v>
      </c>
      <c r="H1115" t="s">
        <v>1137</v>
      </c>
      <c r="I1115" s="63">
        <v>46143</v>
      </c>
      <c r="J1115" t="s">
        <v>755</v>
      </c>
      <c r="K1115" t="s">
        <v>1148</v>
      </c>
      <c r="L1115" s="64">
        <v>33603280</v>
      </c>
      <c r="N1115" s="64">
        <v>33603280</v>
      </c>
      <c r="O1115" s="64">
        <v>3202100767.396873</v>
      </c>
    </row>
    <row r="1116" spans="1:15" x14ac:dyDescent="0.25">
      <c r="A1116" s="58">
        <v>46163</v>
      </c>
      <c r="B1116" s="59">
        <v>5</v>
      </c>
      <c r="C1116" s="59" t="s">
        <v>1171</v>
      </c>
      <c r="D1116" s="59">
        <v>1044316</v>
      </c>
      <c r="E1116" s="59" t="s">
        <v>1134</v>
      </c>
      <c r="F1116" s="59" t="s">
        <v>1135</v>
      </c>
      <c r="G1116" s="59" t="s">
        <v>1136</v>
      </c>
      <c r="H1116" s="59" t="s">
        <v>1137</v>
      </c>
      <c r="I1116" s="60">
        <v>46143</v>
      </c>
      <c r="J1116" s="59" t="s">
        <v>756</v>
      </c>
      <c r="K1116" s="59" t="s">
        <v>1150</v>
      </c>
      <c r="L1116" s="61">
        <v>848207.07</v>
      </c>
      <c r="M1116" s="59"/>
      <c r="N1116" s="61">
        <v>848207.07</v>
      </c>
      <c r="O1116" s="61">
        <v>3202948974.4668732</v>
      </c>
    </row>
    <row r="1117" spans="1:15" x14ac:dyDescent="0.25">
      <c r="A1117" s="62">
        <v>46164</v>
      </c>
      <c r="B1117">
        <v>5</v>
      </c>
      <c r="C1117" t="s">
        <v>1133</v>
      </c>
      <c r="D1117">
        <v>2054311</v>
      </c>
      <c r="E1117" t="s">
        <v>1167</v>
      </c>
      <c r="F1117" t="s">
        <v>1169</v>
      </c>
      <c r="G1117" t="s">
        <v>1136</v>
      </c>
      <c r="H1117" t="s">
        <v>1137</v>
      </c>
      <c r="I1117" s="63">
        <v>46143</v>
      </c>
      <c r="J1117" t="s">
        <v>757</v>
      </c>
      <c r="K1117" t="s">
        <v>1142</v>
      </c>
      <c r="M1117" s="64">
        <v>22501878.600000001</v>
      </c>
      <c r="N1117" s="64">
        <v>-22501878.600000001</v>
      </c>
      <c r="O1117" s="64">
        <v>3180447095.8668728</v>
      </c>
    </row>
    <row r="1118" spans="1:15" x14ac:dyDescent="0.25">
      <c r="A1118" s="58">
        <v>46164</v>
      </c>
      <c r="B1118" s="59">
        <v>5</v>
      </c>
      <c r="C1118" s="59" t="s">
        <v>1133</v>
      </c>
      <c r="D1118" s="59">
        <v>2054314</v>
      </c>
      <c r="E1118" s="59" t="s">
        <v>1167</v>
      </c>
      <c r="F1118" s="59" t="s">
        <v>1169</v>
      </c>
      <c r="G1118" s="59" t="s">
        <v>1136</v>
      </c>
      <c r="H1118" s="59" t="s">
        <v>1137</v>
      </c>
      <c r="I1118" s="60">
        <v>46143</v>
      </c>
      <c r="J1118" s="59" t="s">
        <v>758</v>
      </c>
      <c r="K1118" s="59" t="s">
        <v>1148</v>
      </c>
      <c r="L1118" s="59"/>
      <c r="M1118" s="61">
        <v>33603280</v>
      </c>
      <c r="N1118" s="61">
        <v>-33603280</v>
      </c>
      <c r="O1118" s="61">
        <v>3146843815.8668728</v>
      </c>
    </row>
    <row r="1119" spans="1:15" x14ac:dyDescent="0.25">
      <c r="A1119" s="62">
        <v>46164</v>
      </c>
      <c r="B1119">
        <v>5</v>
      </c>
      <c r="C1119" t="s">
        <v>1133</v>
      </c>
      <c r="D1119">
        <v>2054316</v>
      </c>
      <c r="E1119" t="s">
        <v>1167</v>
      </c>
      <c r="F1119" t="s">
        <v>1169</v>
      </c>
      <c r="G1119" t="s">
        <v>1136</v>
      </c>
      <c r="H1119" t="s">
        <v>1137</v>
      </c>
      <c r="I1119" s="63">
        <v>46143</v>
      </c>
      <c r="J1119" t="s">
        <v>758</v>
      </c>
      <c r="K1119" t="s">
        <v>1150</v>
      </c>
      <c r="M1119" s="64">
        <v>848207.0700000003</v>
      </c>
      <c r="N1119" s="64">
        <v>-848207.0700000003</v>
      </c>
      <c r="O1119" s="64">
        <v>3145995608.7968731</v>
      </c>
    </row>
    <row r="1120" spans="1:15" x14ac:dyDescent="0.25">
      <c r="A1120" s="58">
        <v>46164</v>
      </c>
      <c r="B1120" s="59">
        <v>5</v>
      </c>
      <c r="C1120" s="59" t="s">
        <v>1133</v>
      </c>
      <c r="D1120" s="59">
        <v>2014261</v>
      </c>
      <c r="E1120" s="59" t="s">
        <v>1167</v>
      </c>
      <c r="F1120" s="59" t="s">
        <v>1174</v>
      </c>
      <c r="G1120" s="59" t="s">
        <v>1136</v>
      </c>
      <c r="H1120" s="59" t="s">
        <v>1145</v>
      </c>
      <c r="I1120" s="60">
        <v>46113</v>
      </c>
      <c r="J1120" s="59" t="s">
        <v>759</v>
      </c>
      <c r="K1120" s="59" t="s">
        <v>1142</v>
      </c>
      <c r="L1120" s="59"/>
      <c r="M1120" s="61">
        <v>4713051</v>
      </c>
      <c r="N1120" s="61">
        <v>-4713051</v>
      </c>
      <c r="O1120" s="61">
        <v>3141282557.7968731</v>
      </c>
    </row>
    <row r="1121" spans="1:15" x14ac:dyDescent="0.25">
      <c r="A1121" s="62">
        <v>46164</v>
      </c>
      <c r="B1121">
        <v>5</v>
      </c>
      <c r="C1121" t="s">
        <v>1133</v>
      </c>
      <c r="D1121">
        <v>2044126</v>
      </c>
      <c r="E1121" t="s">
        <v>1167</v>
      </c>
      <c r="F1121" t="s">
        <v>1135</v>
      </c>
      <c r="G1121" t="s">
        <v>1136</v>
      </c>
      <c r="H1121" t="s">
        <v>1175</v>
      </c>
      <c r="I1121" s="63">
        <v>46113</v>
      </c>
      <c r="J1121" t="s">
        <v>760</v>
      </c>
      <c r="K1121" t="s">
        <v>1150</v>
      </c>
      <c r="M1121" s="64">
        <v>3008945.1</v>
      </c>
      <c r="N1121" s="64">
        <v>-3008945.1</v>
      </c>
      <c r="O1121" s="64">
        <v>3138273612.6968732</v>
      </c>
    </row>
    <row r="1122" spans="1:15" x14ac:dyDescent="0.25">
      <c r="A1122" s="58">
        <v>46164</v>
      </c>
      <c r="B1122" s="59">
        <v>5</v>
      </c>
      <c r="C1122" s="59" t="s">
        <v>1133</v>
      </c>
      <c r="D1122" s="59">
        <v>2044126</v>
      </c>
      <c r="E1122" s="59" t="s">
        <v>1167</v>
      </c>
      <c r="F1122" s="59" t="s">
        <v>1135</v>
      </c>
      <c r="G1122" s="59" t="s">
        <v>1136</v>
      </c>
      <c r="H1122" s="59" t="s">
        <v>1175</v>
      </c>
      <c r="I1122" s="60">
        <v>46113</v>
      </c>
      <c r="J1122" s="59" t="s">
        <v>761</v>
      </c>
      <c r="K1122" s="59" t="s">
        <v>1150</v>
      </c>
      <c r="L1122" s="59"/>
      <c r="M1122" s="61">
        <v>622125.80000000005</v>
      </c>
      <c r="N1122" s="61">
        <v>-622125.80000000005</v>
      </c>
      <c r="O1122" s="61">
        <v>3137651486.896873</v>
      </c>
    </row>
    <row r="1123" spans="1:15" x14ac:dyDescent="0.25">
      <c r="A1123" s="62">
        <v>46164</v>
      </c>
      <c r="B1123">
        <v>5</v>
      </c>
      <c r="C1123" t="s">
        <v>1133</v>
      </c>
      <c r="D1123">
        <v>2044463</v>
      </c>
      <c r="E1123" t="s">
        <v>1167</v>
      </c>
      <c r="F1123" t="s">
        <v>1135</v>
      </c>
      <c r="G1123" t="s">
        <v>1136</v>
      </c>
      <c r="H1123" t="s">
        <v>1140</v>
      </c>
      <c r="I1123" s="63">
        <v>46143</v>
      </c>
      <c r="J1123" t="s">
        <v>762</v>
      </c>
      <c r="K1123" t="s">
        <v>1146</v>
      </c>
      <c r="M1123" s="64">
        <v>1733689.68</v>
      </c>
      <c r="N1123" s="64">
        <v>-1733689.68</v>
      </c>
      <c r="O1123" s="64">
        <v>3135917797.2168732</v>
      </c>
    </row>
    <row r="1124" spans="1:15" x14ac:dyDescent="0.25">
      <c r="A1124" s="58">
        <v>46168</v>
      </c>
      <c r="B1124" s="59">
        <v>5</v>
      </c>
      <c r="C1124" s="59" t="s">
        <v>1161</v>
      </c>
      <c r="D1124" s="59">
        <v>2054381</v>
      </c>
      <c r="E1124" s="59" t="s">
        <v>1167</v>
      </c>
      <c r="F1124" s="59" t="s">
        <v>1169</v>
      </c>
      <c r="G1124" s="59" t="s">
        <v>1136</v>
      </c>
      <c r="H1124" s="59" t="s">
        <v>1163</v>
      </c>
      <c r="I1124" s="60">
        <v>46143</v>
      </c>
      <c r="J1124" s="59" t="s">
        <v>763</v>
      </c>
      <c r="K1124" s="59" t="s">
        <v>1142</v>
      </c>
      <c r="L1124" s="59"/>
      <c r="M1124" s="61">
        <v>9997292.3499999996</v>
      </c>
      <c r="N1124" s="61">
        <v>-9997292.3499999996</v>
      </c>
      <c r="O1124" s="61">
        <v>3125920504.8668728</v>
      </c>
    </row>
    <row r="1125" spans="1:15" x14ac:dyDescent="0.25">
      <c r="A1125" s="62">
        <v>46168</v>
      </c>
      <c r="B1125">
        <v>5</v>
      </c>
      <c r="C1125" t="s">
        <v>1161</v>
      </c>
      <c r="D1125">
        <v>2014201</v>
      </c>
      <c r="E1125" t="s">
        <v>1167</v>
      </c>
      <c r="F1125" t="s">
        <v>1174</v>
      </c>
      <c r="G1125" t="s">
        <v>1136</v>
      </c>
      <c r="H1125" t="s">
        <v>1139</v>
      </c>
      <c r="I1125" s="63">
        <v>46143</v>
      </c>
      <c r="J1125" t="s">
        <v>764</v>
      </c>
      <c r="K1125" t="s">
        <v>1142</v>
      </c>
      <c r="M1125" s="64">
        <v>4657150.5</v>
      </c>
      <c r="N1125" s="64">
        <v>-4657150.5</v>
      </c>
      <c r="O1125" s="64">
        <v>3121263354.3668728</v>
      </c>
    </row>
    <row r="1126" spans="1:15" x14ac:dyDescent="0.25">
      <c r="A1126" s="58">
        <v>46168</v>
      </c>
      <c r="B1126" s="59">
        <v>5</v>
      </c>
      <c r="C1126" s="59" t="s">
        <v>1161</v>
      </c>
      <c r="D1126" s="59">
        <v>1044163</v>
      </c>
      <c r="E1126" s="59" t="s">
        <v>1134</v>
      </c>
      <c r="F1126" s="59" t="s">
        <v>1135</v>
      </c>
      <c r="G1126" s="59" t="s">
        <v>1136</v>
      </c>
      <c r="H1126" s="59" t="s">
        <v>1162</v>
      </c>
      <c r="I1126" s="60">
        <v>46113</v>
      </c>
      <c r="J1126" s="59" t="s">
        <v>766</v>
      </c>
      <c r="K1126" s="59" t="s">
        <v>1146</v>
      </c>
      <c r="L1126" s="61">
        <v>3715594.23</v>
      </c>
      <c r="M1126" s="59"/>
      <c r="N1126" s="61">
        <v>3715594.23</v>
      </c>
      <c r="O1126" s="61">
        <v>3213396350.146873</v>
      </c>
    </row>
    <row r="1127" spans="1:15" x14ac:dyDescent="0.25">
      <c r="A1127" s="62">
        <v>46168</v>
      </c>
      <c r="B1127">
        <v>5</v>
      </c>
      <c r="C1127" t="s">
        <v>1161</v>
      </c>
      <c r="D1127">
        <v>1044173</v>
      </c>
      <c r="E1127" t="s">
        <v>1134</v>
      </c>
      <c r="F1127" t="s">
        <v>1135</v>
      </c>
      <c r="G1127" t="s">
        <v>1136</v>
      </c>
      <c r="H1127" t="s">
        <v>1147</v>
      </c>
      <c r="I1127" s="63">
        <v>46113</v>
      </c>
      <c r="J1127" t="s">
        <v>766</v>
      </c>
      <c r="K1127" t="s">
        <v>1146</v>
      </c>
      <c r="L1127" s="64">
        <v>276322.42</v>
      </c>
      <c r="N1127" s="64">
        <v>276322.42</v>
      </c>
      <c r="O1127" s="64">
        <v>3213672672.566874</v>
      </c>
    </row>
    <row r="1128" spans="1:15" x14ac:dyDescent="0.25">
      <c r="A1128" s="58">
        <v>46168</v>
      </c>
      <c r="B1128" s="59">
        <v>5</v>
      </c>
      <c r="C1128" s="59" t="s">
        <v>1161</v>
      </c>
      <c r="D1128" s="59">
        <v>1044243</v>
      </c>
      <c r="E1128" s="59" t="s">
        <v>1134</v>
      </c>
      <c r="F1128" s="59" t="s">
        <v>1135</v>
      </c>
      <c r="G1128" s="59" t="s">
        <v>1136</v>
      </c>
      <c r="H1128" s="59" t="s">
        <v>1153</v>
      </c>
      <c r="I1128" s="60">
        <v>46113</v>
      </c>
      <c r="J1128" s="59" t="s">
        <v>766</v>
      </c>
      <c r="K1128" s="59" t="s">
        <v>1146</v>
      </c>
      <c r="L1128" s="61">
        <v>2625476.4300000002</v>
      </c>
      <c r="M1128" s="59"/>
      <c r="N1128" s="61">
        <v>2625476.4300000002</v>
      </c>
      <c r="O1128" s="61">
        <v>3216298148.9968729</v>
      </c>
    </row>
    <row r="1129" spans="1:15" x14ac:dyDescent="0.25">
      <c r="A1129" s="62">
        <v>46168</v>
      </c>
      <c r="B1129">
        <v>5</v>
      </c>
      <c r="C1129" t="s">
        <v>1161</v>
      </c>
      <c r="D1129">
        <v>1044263</v>
      </c>
      <c r="E1129" t="s">
        <v>1134</v>
      </c>
      <c r="F1129" t="s">
        <v>1135</v>
      </c>
      <c r="G1129" t="s">
        <v>1136</v>
      </c>
      <c r="H1129" t="s">
        <v>1145</v>
      </c>
      <c r="I1129" s="63">
        <v>46113</v>
      </c>
      <c r="J1129" t="s">
        <v>766</v>
      </c>
      <c r="K1129" t="s">
        <v>1146</v>
      </c>
      <c r="L1129" s="64">
        <v>2029023</v>
      </c>
      <c r="N1129" s="64">
        <v>2029023</v>
      </c>
      <c r="O1129" s="64">
        <v>3218327171.9968729</v>
      </c>
    </row>
    <row r="1130" spans="1:15" x14ac:dyDescent="0.25">
      <c r="A1130" s="58">
        <v>46168</v>
      </c>
      <c r="B1130" s="59">
        <v>5</v>
      </c>
      <c r="C1130" s="59" t="s">
        <v>1161</v>
      </c>
      <c r="D1130" s="59">
        <v>1044463</v>
      </c>
      <c r="E1130" s="59" t="s">
        <v>1134</v>
      </c>
      <c r="F1130" s="59" t="s">
        <v>1135</v>
      </c>
      <c r="G1130" s="59" t="s">
        <v>1136</v>
      </c>
      <c r="H1130" s="59" t="s">
        <v>1140</v>
      </c>
      <c r="I1130" s="60">
        <v>46113</v>
      </c>
      <c r="J1130" s="59" t="s">
        <v>766</v>
      </c>
      <c r="K1130" s="59" t="s">
        <v>1146</v>
      </c>
      <c r="L1130" s="61">
        <v>1106571.52</v>
      </c>
      <c r="M1130" s="59"/>
      <c r="N1130" s="61">
        <v>1106571.52</v>
      </c>
      <c r="O1130" s="61">
        <v>3219433743.5168729</v>
      </c>
    </row>
    <row r="1131" spans="1:15" x14ac:dyDescent="0.25">
      <c r="A1131" s="62">
        <v>46168</v>
      </c>
      <c r="B1131">
        <v>5</v>
      </c>
      <c r="C1131" t="s">
        <v>1161</v>
      </c>
      <c r="D1131">
        <v>1044353</v>
      </c>
      <c r="E1131" t="s">
        <v>1134</v>
      </c>
      <c r="F1131" t="s">
        <v>1135</v>
      </c>
      <c r="G1131" t="s">
        <v>1136</v>
      </c>
      <c r="H1131" t="s">
        <v>1157</v>
      </c>
      <c r="I1131" s="63">
        <v>46113</v>
      </c>
      <c r="J1131" t="s">
        <v>766</v>
      </c>
      <c r="K1131" t="s">
        <v>1146</v>
      </c>
      <c r="L1131" s="64">
        <v>176891.71</v>
      </c>
      <c r="N1131" s="64">
        <v>176891.71</v>
      </c>
      <c r="O1131" s="64">
        <v>3219610635.2268729</v>
      </c>
    </row>
    <row r="1132" spans="1:15" x14ac:dyDescent="0.25">
      <c r="A1132" s="58">
        <v>46168</v>
      </c>
      <c r="B1132" s="59">
        <v>5</v>
      </c>
      <c r="C1132" s="59" t="s">
        <v>1161</v>
      </c>
      <c r="D1132" s="59">
        <v>1044363</v>
      </c>
      <c r="E1132" s="59" t="s">
        <v>1134</v>
      </c>
      <c r="F1132" s="59" t="s">
        <v>1135</v>
      </c>
      <c r="G1132" s="59" t="s">
        <v>1136</v>
      </c>
      <c r="H1132" s="59" t="s">
        <v>1158</v>
      </c>
      <c r="I1132" s="60">
        <v>46113</v>
      </c>
      <c r="J1132" s="59" t="s">
        <v>766</v>
      </c>
      <c r="K1132" s="59" t="s">
        <v>1146</v>
      </c>
      <c r="L1132" s="61">
        <v>884232</v>
      </c>
      <c r="M1132" s="59"/>
      <c r="N1132" s="61">
        <v>884232</v>
      </c>
      <c r="O1132" s="61">
        <v>3220494867.2268729</v>
      </c>
    </row>
    <row r="1133" spans="1:15" x14ac:dyDescent="0.25">
      <c r="A1133" s="62">
        <v>46168</v>
      </c>
      <c r="B1133">
        <v>5</v>
      </c>
      <c r="C1133" t="s">
        <v>1161</v>
      </c>
      <c r="D1133">
        <v>1044403</v>
      </c>
      <c r="E1133" t="s">
        <v>1134</v>
      </c>
      <c r="F1133" t="s">
        <v>1135</v>
      </c>
      <c r="G1133" t="s">
        <v>1136</v>
      </c>
      <c r="H1133" t="s">
        <v>1159</v>
      </c>
      <c r="I1133" s="63">
        <v>46113</v>
      </c>
      <c r="J1133" t="s">
        <v>766</v>
      </c>
      <c r="K1133" t="s">
        <v>1146</v>
      </c>
      <c r="L1133" s="64">
        <v>1287728.07</v>
      </c>
      <c r="N1133" s="64">
        <v>1287728.07</v>
      </c>
      <c r="O1133" s="64">
        <v>3221782595.296874</v>
      </c>
    </row>
    <row r="1134" spans="1:15" x14ac:dyDescent="0.25">
      <c r="A1134" s="58">
        <v>46168</v>
      </c>
      <c r="B1134" s="59">
        <v>5</v>
      </c>
      <c r="C1134" s="59" t="s">
        <v>1161</v>
      </c>
      <c r="D1134" s="59">
        <v>1044413</v>
      </c>
      <c r="E1134" s="59" t="s">
        <v>1134</v>
      </c>
      <c r="F1134" s="59" t="s">
        <v>1135</v>
      </c>
      <c r="G1134" s="59" t="s">
        <v>1136</v>
      </c>
      <c r="H1134" s="59" t="s">
        <v>1160</v>
      </c>
      <c r="I1134" s="60">
        <v>46113</v>
      </c>
      <c r="J1134" s="59" t="s">
        <v>766</v>
      </c>
      <c r="K1134" s="59" t="s">
        <v>1146</v>
      </c>
      <c r="L1134" s="61">
        <v>368429.99</v>
      </c>
      <c r="M1134" s="59"/>
      <c r="N1134" s="61">
        <v>368429.99</v>
      </c>
      <c r="O1134" s="61">
        <v>3222151025.2868729</v>
      </c>
    </row>
    <row r="1135" spans="1:15" x14ac:dyDescent="0.25">
      <c r="A1135" s="62">
        <v>46171</v>
      </c>
      <c r="B1135">
        <v>5</v>
      </c>
      <c r="C1135" t="s">
        <v>1133</v>
      </c>
      <c r="D1135">
        <v>2044461</v>
      </c>
      <c r="E1135" t="s">
        <v>1167</v>
      </c>
      <c r="F1135" t="s">
        <v>1135</v>
      </c>
      <c r="G1135" t="s">
        <v>1136</v>
      </c>
      <c r="H1135" t="s">
        <v>1140</v>
      </c>
      <c r="I1135" s="63">
        <v>46113</v>
      </c>
      <c r="J1135" t="s">
        <v>770</v>
      </c>
      <c r="K1135" t="s">
        <v>1142</v>
      </c>
      <c r="M1135" s="64">
        <v>2883200</v>
      </c>
      <c r="N1135" s="64">
        <v>-2883200</v>
      </c>
      <c r="O1135" s="64">
        <v>3318318411.546874</v>
      </c>
    </row>
    <row r="1136" spans="1:15" x14ac:dyDescent="0.25">
      <c r="A1136" s="58">
        <v>46171</v>
      </c>
      <c r="B1136" s="59">
        <v>5</v>
      </c>
      <c r="C1136" s="59" t="s">
        <v>1133</v>
      </c>
      <c r="D1136" s="59">
        <v>1044126</v>
      </c>
      <c r="E1136" s="59" t="s">
        <v>1134</v>
      </c>
      <c r="F1136" s="59" t="s">
        <v>1135</v>
      </c>
      <c r="G1136" s="59" t="s">
        <v>1136</v>
      </c>
      <c r="H1136" s="59" t="s">
        <v>1175</v>
      </c>
      <c r="I1136" s="60">
        <v>46082</v>
      </c>
      <c r="J1136" s="59" t="s">
        <v>774</v>
      </c>
      <c r="K1136" s="59" t="s">
        <v>1150</v>
      </c>
      <c r="L1136" s="61">
        <v>36125168.99999997</v>
      </c>
      <c r="M1136" s="59"/>
      <c r="N1136" s="61">
        <v>36125168.99999997</v>
      </c>
      <c r="O1136" s="61">
        <v>3403320119.0168729</v>
      </c>
    </row>
    <row r="1137" spans="1:15" x14ac:dyDescent="0.25">
      <c r="A1137" s="62">
        <v>46171</v>
      </c>
      <c r="B1137">
        <v>5</v>
      </c>
      <c r="C1137" t="s">
        <v>1133</v>
      </c>
      <c r="D1137">
        <v>1044246</v>
      </c>
      <c r="E1137" t="s">
        <v>1134</v>
      </c>
      <c r="F1137" t="s">
        <v>1135</v>
      </c>
      <c r="G1137" t="s">
        <v>1136</v>
      </c>
      <c r="H1137" t="s">
        <v>1153</v>
      </c>
      <c r="I1137" s="63">
        <v>46082</v>
      </c>
      <c r="J1137" t="s">
        <v>774</v>
      </c>
      <c r="K1137" t="s">
        <v>1150</v>
      </c>
      <c r="L1137" s="64">
        <v>1089836.8700000001</v>
      </c>
      <c r="N1137" s="64">
        <v>1089836.8700000001</v>
      </c>
      <c r="O1137" s="64">
        <v>3415697225.2868729</v>
      </c>
    </row>
    <row r="1138" spans="1:15" x14ac:dyDescent="0.25">
      <c r="A1138" s="58">
        <v>46174</v>
      </c>
      <c r="B1138" s="59">
        <v>6</v>
      </c>
      <c r="C1138" s="59" t="s">
        <v>1144</v>
      </c>
      <c r="D1138" s="59">
        <v>1044507</v>
      </c>
      <c r="E1138" s="59" t="s">
        <v>1134</v>
      </c>
      <c r="F1138" s="59" t="s">
        <v>1135</v>
      </c>
      <c r="G1138" s="59" t="s">
        <v>1136</v>
      </c>
      <c r="H1138" s="59" t="s">
        <v>1175</v>
      </c>
      <c r="I1138" s="60">
        <v>46113</v>
      </c>
      <c r="J1138" s="59" t="s">
        <v>777</v>
      </c>
      <c r="K1138" s="59" t="s">
        <v>1170</v>
      </c>
      <c r="L1138" s="61">
        <v>9751129.2999999989</v>
      </c>
      <c r="M1138" s="59"/>
      <c r="N1138" s="61">
        <v>9751129.2999999989</v>
      </c>
      <c r="O1138" s="61">
        <v>3531578664.5968728</v>
      </c>
    </row>
    <row r="1139" spans="1:15" x14ac:dyDescent="0.25">
      <c r="A1139" s="62">
        <v>46174</v>
      </c>
      <c r="B1139">
        <v>6</v>
      </c>
      <c r="C1139" t="s">
        <v>1144</v>
      </c>
      <c r="D1139">
        <v>1044167</v>
      </c>
      <c r="E1139" t="s">
        <v>1134</v>
      </c>
      <c r="F1139" t="s">
        <v>1135</v>
      </c>
      <c r="G1139" t="s">
        <v>1136</v>
      </c>
      <c r="H1139" t="s">
        <v>1162</v>
      </c>
      <c r="I1139" s="63">
        <v>46113</v>
      </c>
      <c r="J1139" t="s">
        <v>777</v>
      </c>
      <c r="K1139" t="s">
        <v>1170</v>
      </c>
      <c r="L1139" s="64">
        <v>913078.39</v>
      </c>
      <c r="N1139" s="64">
        <v>913078.39</v>
      </c>
      <c r="O1139" s="64">
        <v>3532496067.9868731</v>
      </c>
    </row>
    <row r="1140" spans="1:15" x14ac:dyDescent="0.25">
      <c r="A1140" s="58">
        <v>46174</v>
      </c>
      <c r="B1140" s="59">
        <v>6</v>
      </c>
      <c r="C1140" s="59" t="s">
        <v>1144</v>
      </c>
      <c r="D1140" s="59">
        <v>1044197</v>
      </c>
      <c r="E1140" s="59" t="s">
        <v>1134</v>
      </c>
      <c r="F1140" s="59" t="s">
        <v>1135</v>
      </c>
      <c r="G1140" s="59" t="s">
        <v>1136</v>
      </c>
      <c r="H1140" s="59" t="s">
        <v>1149</v>
      </c>
      <c r="I1140" s="60">
        <v>46113</v>
      </c>
      <c r="J1140" s="59" t="s">
        <v>777</v>
      </c>
      <c r="K1140" s="59" t="s">
        <v>1170</v>
      </c>
      <c r="L1140" s="61">
        <v>748560</v>
      </c>
      <c r="M1140" s="59"/>
      <c r="N1140" s="61">
        <v>748560</v>
      </c>
      <c r="O1140" s="61">
        <v>3533364627.9868731</v>
      </c>
    </row>
    <row r="1141" spans="1:15" x14ac:dyDescent="0.25">
      <c r="A1141" s="62">
        <v>46174</v>
      </c>
      <c r="B1141">
        <v>6</v>
      </c>
      <c r="C1141" t="s">
        <v>1144</v>
      </c>
      <c r="D1141">
        <v>1044417</v>
      </c>
      <c r="E1141" t="s">
        <v>1134</v>
      </c>
      <c r="F1141" t="s">
        <v>1135</v>
      </c>
      <c r="G1141" t="s">
        <v>1136</v>
      </c>
      <c r="H1141" t="s">
        <v>1160</v>
      </c>
      <c r="I1141" s="63">
        <v>46113</v>
      </c>
      <c r="J1141" t="s">
        <v>777</v>
      </c>
      <c r="K1141" t="s">
        <v>1170</v>
      </c>
      <c r="L1141" s="64">
        <v>40000</v>
      </c>
      <c r="N1141" s="64">
        <v>40000</v>
      </c>
      <c r="O1141" s="64">
        <v>3533755002.9868731</v>
      </c>
    </row>
    <row r="1142" spans="1:15" x14ac:dyDescent="0.25">
      <c r="A1142" s="58">
        <v>46174</v>
      </c>
      <c r="B1142" s="59">
        <v>6</v>
      </c>
      <c r="C1142" s="59" t="s">
        <v>1144</v>
      </c>
      <c r="D1142" s="59">
        <v>1044427</v>
      </c>
      <c r="E1142" s="59" t="s">
        <v>1134</v>
      </c>
      <c r="F1142" s="59" t="s">
        <v>1135</v>
      </c>
      <c r="G1142" s="59" t="s">
        <v>1136</v>
      </c>
      <c r="H1142" s="59" t="s">
        <v>1165</v>
      </c>
      <c r="I1142" s="60">
        <v>46113</v>
      </c>
      <c r="J1142" s="59" t="s">
        <v>777</v>
      </c>
      <c r="K1142" s="59" t="s">
        <v>1170</v>
      </c>
      <c r="L1142" s="61">
        <v>110</v>
      </c>
      <c r="M1142" s="59"/>
      <c r="N1142" s="61">
        <v>110</v>
      </c>
      <c r="O1142" s="61">
        <v>3533755112.9868731</v>
      </c>
    </row>
    <row r="1143" spans="1:15" x14ac:dyDescent="0.25">
      <c r="A1143" s="62">
        <v>46174</v>
      </c>
      <c r="B1143">
        <v>6</v>
      </c>
      <c r="C1143" t="s">
        <v>1144</v>
      </c>
      <c r="D1143">
        <v>1044312</v>
      </c>
      <c r="E1143" t="s">
        <v>1134</v>
      </c>
      <c r="F1143" t="s">
        <v>1135</v>
      </c>
      <c r="G1143" t="s">
        <v>1136</v>
      </c>
      <c r="H1143" t="s">
        <v>1137</v>
      </c>
      <c r="I1143" s="63">
        <v>46143</v>
      </c>
      <c r="J1143" t="s">
        <v>775</v>
      </c>
      <c r="K1143" t="s">
        <v>1138</v>
      </c>
      <c r="L1143" s="64">
        <v>15645100</v>
      </c>
      <c r="N1143" s="64">
        <v>15645100</v>
      </c>
      <c r="O1143" s="64">
        <v>3562180553.8868728</v>
      </c>
    </row>
    <row r="1144" spans="1:15" x14ac:dyDescent="0.25">
      <c r="A1144" s="58">
        <v>46174</v>
      </c>
      <c r="B1144" s="59">
        <v>6</v>
      </c>
      <c r="C1144" s="59" t="s">
        <v>1144</v>
      </c>
      <c r="D1144" s="59">
        <v>1044202</v>
      </c>
      <c r="E1144" s="59" t="s">
        <v>1134</v>
      </c>
      <c r="F1144" s="59" t="s">
        <v>1135</v>
      </c>
      <c r="G1144" s="59" t="s">
        <v>1136</v>
      </c>
      <c r="H1144" s="59" t="s">
        <v>1139</v>
      </c>
      <c r="I1144" s="60">
        <v>46143</v>
      </c>
      <c r="J1144" s="59" t="s">
        <v>775</v>
      </c>
      <c r="K1144" s="59" t="s">
        <v>1138</v>
      </c>
      <c r="L1144" s="61">
        <v>27590289.25</v>
      </c>
      <c r="M1144" s="59"/>
      <c r="N1144" s="61">
        <v>27590289.25</v>
      </c>
      <c r="O1144" s="61">
        <v>3589770843.1368728</v>
      </c>
    </row>
    <row r="1145" spans="1:15" x14ac:dyDescent="0.25">
      <c r="A1145" s="62">
        <v>46174</v>
      </c>
      <c r="B1145">
        <v>6</v>
      </c>
      <c r="C1145" t="s">
        <v>1144</v>
      </c>
      <c r="D1145">
        <v>1044462</v>
      </c>
      <c r="E1145" t="s">
        <v>1134</v>
      </c>
      <c r="F1145" t="s">
        <v>1135</v>
      </c>
      <c r="G1145" t="s">
        <v>1136</v>
      </c>
      <c r="H1145" t="s">
        <v>1140</v>
      </c>
      <c r="I1145" s="63">
        <v>46143</v>
      </c>
      <c r="J1145" t="s">
        <v>775</v>
      </c>
      <c r="K1145" t="s">
        <v>1138</v>
      </c>
      <c r="L1145" s="64">
        <v>2341874.77</v>
      </c>
      <c r="N1145" s="64">
        <v>2341874.77</v>
      </c>
      <c r="O1145" s="64">
        <v>3592112717.9068732</v>
      </c>
    </row>
    <row r="1146" spans="1:15" x14ac:dyDescent="0.25">
      <c r="A1146" s="58">
        <v>46174</v>
      </c>
      <c r="B1146" s="59">
        <v>6</v>
      </c>
      <c r="C1146" s="59" t="s">
        <v>1144</v>
      </c>
      <c r="D1146" s="59">
        <v>1044122</v>
      </c>
      <c r="E1146" s="59" t="s">
        <v>1134</v>
      </c>
      <c r="F1146" s="59" t="s">
        <v>1135</v>
      </c>
      <c r="G1146" s="59" t="s">
        <v>1136</v>
      </c>
      <c r="H1146" s="59" t="s">
        <v>1175</v>
      </c>
      <c r="I1146" s="60">
        <v>46082</v>
      </c>
      <c r="J1146" s="59" t="s">
        <v>775</v>
      </c>
      <c r="K1146" s="59" t="s">
        <v>1138</v>
      </c>
      <c r="L1146" s="61">
        <v>126357815</v>
      </c>
      <c r="M1146" s="59"/>
      <c r="N1146" s="61">
        <v>126357815</v>
      </c>
      <c r="O1146" s="61">
        <v>3718470532.9068732</v>
      </c>
    </row>
    <row r="1147" spans="1:15" x14ac:dyDescent="0.25">
      <c r="A1147" s="62">
        <v>46175</v>
      </c>
      <c r="B1147">
        <v>6</v>
      </c>
      <c r="C1147" t="s">
        <v>1161</v>
      </c>
      <c r="D1147">
        <v>2044122</v>
      </c>
      <c r="E1147" t="s">
        <v>1167</v>
      </c>
      <c r="F1147" t="s">
        <v>1135</v>
      </c>
      <c r="G1147" t="s">
        <v>1136</v>
      </c>
      <c r="H1147" t="s">
        <v>1175</v>
      </c>
      <c r="I1147" s="63">
        <v>46082</v>
      </c>
      <c r="J1147" t="s">
        <v>781</v>
      </c>
      <c r="K1147" t="s">
        <v>1138</v>
      </c>
      <c r="M1147" s="64">
        <v>16218329.699999999</v>
      </c>
      <c r="N1147" s="64">
        <v>-16218329.699999999</v>
      </c>
      <c r="O1147" s="64">
        <v>4029629933.336874</v>
      </c>
    </row>
    <row r="1148" spans="1:15" x14ac:dyDescent="0.25">
      <c r="A1148" s="58">
        <v>46175</v>
      </c>
      <c r="B1148" s="59">
        <v>6</v>
      </c>
      <c r="C1148" s="59" t="s">
        <v>1161</v>
      </c>
      <c r="D1148" s="59">
        <v>2044122</v>
      </c>
      <c r="E1148" s="59" t="s">
        <v>1167</v>
      </c>
      <c r="F1148" s="59" t="s">
        <v>1135</v>
      </c>
      <c r="G1148" s="59" t="s">
        <v>1136</v>
      </c>
      <c r="H1148" s="59" t="s">
        <v>1175</v>
      </c>
      <c r="I1148" s="60">
        <v>46082</v>
      </c>
      <c r="J1148" s="59" t="s">
        <v>782</v>
      </c>
      <c r="K1148" s="59" t="s">
        <v>1138</v>
      </c>
      <c r="L1148" s="59"/>
      <c r="M1148" s="61">
        <v>14443940.800000001</v>
      </c>
      <c r="N1148" s="61">
        <v>-14443940.800000001</v>
      </c>
      <c r="O1148" s="61">
        <v>4015185992.5368729</v>
      </c>
    </row>
    <row r="1149" spans="1:15" x14ac:dyDescent="0.25">
      <c r="A1149" s="62">
        <v>46176</v>
      </c>
      <c r="B1149">
        <v>6</v>
      </c>
      <c r="C1149" t="s">
        <v>1166</v>
      </c>
      <c r="D1149">
        <v>2044461</v>
      </c>
      <c r="E1149" t="s">
        <v>1167</v>
      </c>
      <c r="F1149" t="s">
        <v>1135</v>
      </c>
      <c r="G1149" t="s">
        <v>1136</v>
      </c>
      <c r="H1149" t="s">
        <v>1140</v>
      </c>
      <c r="I1149" s="63">
        <v>46143</v>
      </c>
      <c r="J1149" t="s">
        <v>783</v>
      </c>
      <c r="K1149" t="s">
        <v>1142</v>
      </c>
      <c r="M1149" s="64">
        <v>1677249.95</v>
      </c>
      <c r="N1149" s="64">
        <v>-1677249.95</v>
      </c>
      <c r="O1149" s="64">
        <v>4013508742.586874</v>
      </c>
    </row>
    <row r="1150" spans="1:15" x14ac:dyDescent="0.25">
      <c r="A1150" s="58">
        <v>46176</v>
      </c>
      <c r="B1150" s="59">
        <v>6</v>
      </c>
      <c r="C1150" s="59" t="s">
        <v>1166</v>
      </c>
      <c r="D1150" s="59">
        <v>2044122</v>
      </c>
      <c r="E1150" s="59" t="s">
        <v>1167</v>
      </c>
      <c r="F1150" s="59" t="s">
        <v>1135</v>
      </c>
      <c r="G1150" s="59" t="s">
        <v>1136</v>
      </c>
      <c r="H1150" s="59" t="s">
        <v>1175</v>
      </c>
      <c r="I1150" s="60">
        <v>46082</v>
      </c>
      <c r="J1150" s="59" t="s">
        <v>784</v>
      </c>
      <c r="K1150" s="59" t="s">
        <v>1138</v>
      </c>
      <c r="L1150" s="59"/>
      <c r="M1150" s="61">
        <v>16420026.800000001</v>
      </c>
      <c r="N1150" s="61">
        <v>-16420026.800000001</v>
      </c>
      <c r="O1150" s="61">
        <v>3997088715.7868729</v>
      </c>
    </row>
    <row r="1151" spans="1:15" x14ac:dyDescent="0.25">
      <c r="A1151" s="62">
        <v>46176</v>
      </c>
      <c r="B1151">
        <v>6</v>
      </c>
      <c r="C1151" t="s">
        <v>1166</v>
      </c>
      <c r="D1151">
        <v>2044122</v>
      </c>
      <c r="E1151" t="s">
        <v>1167</v>
      </c>
      <c r="F1151" t="s">
        <v>1135</v>
      </c>
      <c r="G1151" t="s">
        <v>1136</v>
      </c>
      <c r="H1151" t="s">
        <v>1175</v>
      </c>
      <c r="I1151" s="63">
        <v>46082</v>
      </c>
      <c r="J1151" t="s">
        <v>785</v>
      </c>
      <c r="K1151" t="s">
        <v>1138</v>
      </c>
      <c r="M1151" s="64">
        <v>15135767.300000001</v>
      </c>
      <c r="N1151" s="64">
        <v>-15135767.300000001</v>
      </c>
      <c r="O1151" s="64">
        <v>3981952948.4868731</v>
      </c>
    </row>
    <row r="1152" spans="1:15" x14ac:dyDescent="0.25">
      <c r="A1152" s="58">
        <v>46176</v>
      </c>
      <c r="B1152" s="59">
        <v>6</v>
      </c>
      <c r="C1152" s="59" t="s">
        <v>1166</v>
      </c>
      <c r="D1152" s="59">
        <v>2044122</v>
      </c>
      <c r="E1152" s="59" t="s">
        <v>1167</v>
      </c>
      <c r="F1152" s="59" t="s">
        <v>1135</v>
      </c>
      <c r="G1152" s="59" t="s">
        <v>1136</v>
      </c>
      <c r="H1152" s="59" t="s">
        <v>1175</v>
      </c>
      <c r="I1152" s="60">
        <v>46082</v>
      </c>
      <c r="J1152" s="59" t="s">
        <v>786</v>
      </c>
      <c r="K1152" s="59" t="s">
        <v>1138</v>
      </c>
      <c r="L1152" s="59"/>
      <c r="M1152" s="61">
        <v>16723807.1</v>
      </c>
      <c r="N1152" s="61">
        <v>-16723807.1</v>
      </c>
      <c r="O1152" s="61">
        <v>3965229141.3868728</v>
      </c>
    </row>
    <row r="1153" spans="1:15" x14ac:dyDescent="0.25">
      <c r="A1153" s="62">
        <v>46176</v>
      </c>
      <c r="B1153">
        <v>6</v>
      </c>
      <c r="C1153" t="s">
        <v>1166</v>
      </c>
      <c r="D1153">
        <v>1044174</v>
      </c>
      <c r="E1153" t="s">
        <v>1134</v>
      </c>
      <c r="F1153" t="s">
        <v>1135</v>
      </c>
      <c r="G1153" t="s">
        <v>1136</v>
      </c>
      <c r="H1153" t="s">
        <v>1147</v>
      </c>
      <c r="I1153" s="63">
        <v>46143</v>
      </c>
      <c r="J1153" t="s">
        <v>787</v>
      </c>
      <c r="K1153" t="s">
        <v>1148</v>
      </c>
      <c r="L1153" s="64">
        <v>25212000</v>
      </c>
      <c r="N1153" s="64">
        <v>25212000</v>
      </c>
      <c r="O1153" s="64">
        <v>4485982260.9568739</v>
      </c>
    </row>
    <row r="1154" spans="1:15" x14ac:dyDescent="0.25">
      <c r="A1154" s="58">
        <v>46176</v>
      </c>
      <c r="B1154" s="59">
        <v>6</v>
      </c>
      <c r="C1154" s="59" t="s">
        <v>1166</v>
      </c>
      <c r="D1154" s="59">
        <v>1044196</v>
      </c>
      <c r="E1154" s="59" t="s">
        <v>1134</v>
      </c>
      <c r="F1154" s="59" t="s">
        <v>1135</v>
      </c>
      <c r="G1154" s="59" t="s">
        <v>1136</v>
      </c>
      <c r="H1154" s="59" t="s">
        <v>1149</v>
      </c>
      <c r="I1154" s="60">
        <v>46143</v>
      </c>
      <c r="J1154" s="59" t="s">
        <v>787</v>
      </c>
      <c r="K1154" s="59" t="s">
        <v>1150</v>
      </c>
      <c r="L1154" s="61">
        <v>14547461.430000011</v>
      </c>
      <c r="M1154" s="59"/>
      <c r="N1154" s="61">
        <v>14547461.430000011</v>
      </c>
      <c r="O1154" s="61">
        <v>4500529722.3868742</v>
      </c>
    </row>
    <row r="1155" spans="1:15" x14ac:dyDescent="0.25">
      <c r="A1155" s="62">
        <v>46176</v>
      </c>
      <c r="B1155">
        <v>6</v>
      </c>
      <c r="C1155" t="s">
        <v>1166</v>
      </c>
      <c r="D1155">
        <v>1044214</v>
      </c>
      <c r="E1155" t="s">
        <v>1134</v>
      </c>
      <c r="F1155" t="s">
        <v>1135</v>
      </c>
      <c r="G1155" t="s">
        <v>1136</v>
      </c>
      <c r="H1155" t="s">
        <v>1151</v>
      </c>
      <c r="I1155" s="63">
        <v>46143</v>
      </c>
      <c r="J1155" t="s">
        <v>787</v>
      </c>
      <c r="K1155" t="s">
        <v>1148</v>
      </c>
      <c r="L1155" s="64">
        <v>13361384.75</v>
      </c>
      <c r="N1155" s="64">
        <v>13361384.75</v>
      </c>
      <c r="O1155" s="64">
        <v>4513891107.1368742</v>
      </c>
    </row>
    <row r="1156" spans="1:15" x14ac:dyDescent="0.25">
      <c r="A1156" s="58">
        <v>46176</v>
      </c>
      <c r="B1156" s="59">
        <v>6</v>
      </c>
      <c r="C1156" s="59" t="s">
        <v>1166</v>
      </c>
      <c r="D1156" s="59">
        <v>1044234</v>
      </c>
      <c r="E1156" s="59" t="s">
        <v>1134</v>
      </c>
      <c r="F1156" s="59" t="s">
        <v>1135</v>
      </c>
      <c r="G1156" s="59" t="s">
        <v>1136</v>
      </c>
      <c r="H1156" s="59" t="s">
        <v>1152</v>
      </c>
      <c r="I1156" s="60">
        <v>46143</v>
      </c>
      <c r="J1156" s="59" t="s">
        <v>787</v>
      </c>
      <c r="K1156" s="59" t="s">
        <v>1148</v>
      </c>
      <c r="L1156" s="61">
        <v>26262799.149999999</v>
      </c>
      <c r="M1156" s="59"/>
      <c r="N1156" s="61">
        <v>26262799.149999999</v>
      </c>
      <c r="O1156" s="61">
        <v>4540153906.2868738</v>
      </c>
    </row>
    <row r="1157" spans="1:15" x14ac:dyDescent="0.25">
      <c r="A1157" s="62">
        <v>46176</v>
      </c>
      <c r="B1157">
        <v>6</v>
      </c>
      <c r="C1157" t="s">
        <v>1166</v>
      </c>
      <c r="D1157">
        <v>1044244</v>
      </c>
      <c r="E1157" t="s">
        <v>1134</v>
      </c>
      <c r="F1157" t="s">
        <v>1135</v>
      </c>
      <c r="G1157" t="s">
        <v>1136</v>
      </c>
      <c r="H1157" t="s">
        <v>1153</v>
      </c>
      <c r="I1157" s="63">
        <v>46143</v>
      </c>
      <c r="J1157" t="s">
        <v>787</v>
      </c>
      <c r="K1157" t="s">
        <v>1148</v>
      </c>
      <c r="L1157" s="64">
        <v>10066986.91</v>
      </c>
      <c r="N1157" s="64">
        <v>10066986.91</v>
      </c>
      <c r="O1157" s="64">
        <v>4550220893.1968737</v>
      </c>
    </row>
    <row r="1158" spans="1:15" x14ac:dyDescent="0.25">
      <c r="A1158" s="58">
        <v>46176</v>
      </c>
      <c r="B1158" s="59">
        <v>6</v>
      </c>
      <c r="C1158" s="59" t="s">
        <v>1166</v>
      </c>
      <c r="D1158" s="59">
        <v>1044264</v>
      </c>
      <c r="E1158" s="59" t="s">
        <v>1134</v>
      </c>
      <c r="F1158" s="59" t="s">
        <v>1135</v>
      </c>
      <c r="G1158" s="59" t="s">
        <v>1136</v>
      </c>
      <c r="H1158" s="59" t="s">
        <v>1145</v>
      </c>
      <c r="I1158" s="60">
        <v>46143</v>
      </c>
      <c r="J1158" s="59" t="s">
        <v>787</v>
      </c>
      <c r="K1158" s="59" t="s">
        <v>1148</v>
      </c>
      <c r="L1158" s="61">
        <v>4605800</v>
      </c>
      <c r="M1158" s="59"/>
      <c r="N1158" s="61">
        <v>4605800</v>
      </c>
      <c r="O1158" s="61">
        <v>4554826693.1968737</v>
      </c>
    </row>
    <row r="1159" spans="1:15" x14ac:dyDescent="0.25">
      <c r="A1159" s="62">
        <v>46176</v>
      </c>
      <c r="B1159">
        <v>6</v>
      </c>
      <c r="C1159" t="s">
        <v>1166</v>
      </c>
      <c r="D1159">
        <v>1044266</v>
      </c>
      <c r="E1159" t="s">
        <v>1134</v>
      </c>
      <c r="F1159" t="s">
        <v>1135</v>
      </c>
      <c r="G1159" t="s">
        <v>1136</v>
      </c>
      <c r="H1159" t="s">
        <v>1145</v>
      </c>
      <c r="I1159" s="63">
        <v>46143</v>
      </c>
      <c r="J1159" t="s">
        <v>787</v>
      </c>
      <c r="K1159" t="s">
        <v>1150</v>
      </c>
      <c r="L1159" s="64">
        <v>153192.56000000011</v>
      </c>
      <c r="N1159" s="64">
        <v>153192.56000000011</v>
      </c>
      <c r="O1159" s="64">
        <v>4554979885.7568741</v>
      </c>
    </row>
    <row r="1160" spans="1:15" x14ac:dyDescent="0.25">
      <c r="A1160" s="58">
        <v>46176</v>
      </c>
      <c r="B1160" s="59">
        <v>6</v>
      </c>
      <c r="C1160" s="59" t="s">
        <v>1166</v>
      </c>
      <c r="D1160" s="59">
        <v>1044264</v>
      </c>
      <c r="E1160" s="59" t="s">
        <v>1134</v>
      </c>
      <c r="F1160" s="59" t="s">
        <v>1135</v>
      </c>
      <c r="G1160" s="59" t="s">
        <v>1136</v>
      </c>
      <c r="H1160" s="59" t="s">
        <v>1145</v>
      </c>
      <c r="I1160" s="60">
        <v>46143</v>
      </c>
      <c r="J1160" s="59" t="s">
        <v>787</v>
      </c>
      <c r="K1160" s="59" t="s">
        <v>1148</v>
      </c>
      <c r="L1160" s="61">
        <v>2846930.6099999989</v>
      </c>
      <c r="M1160" s="59"/>
      <c r="N1160" s="61">
        <v>2846930.6099999989</v>
      </c>
      <c r="O1160" s="61">
        <v>4557826816.3668737</v>
      </c>
    </row>
    <row r="1161" spans="1:15" x14ac:dyDescent="0.25">
      <c r="A1161" s="62">
        <v>46176</v>
      </c>
      <c r="B1161">
        <v>6</v>
      </c>
      <c r="C1161" t="s">
        <v>1166</v>
      </c>
      <c r="D1161">
        <v>1044274</v>
      </c>
      <c r="E1161" t="s">
        <v>1134</v>
      </c>
      <c r="F1161" t="s">
        <v>1135</v>
      </c>
      <c r="G1161" t="s">
        <v>1136</v>
      </c>
      <c r="H1161" t="s">
        <v>1154</v>
      </c>
      <c r="I1161" s="63">
        <v>46143</v>
      </c>
      <c r="J1161" t="s">
        <v>787</v>
      </c>
      <c r="K1161" t="s">
        <v>1148</v>
      </c>
      <c r="L1161" s="64">
        <v>4638413.0199999996</v>
      </c>
      <c r="N1161" s="64">
        <v>4638413.0199999996</v>
      </c>
      <c r="O1161" s="64">
        <v>4562465229.3868742</v>
      </c>
    </row>
    <row r="1162" spans="1:15" x14ac:dyDescent="0.25">
      <c r="A1162" s="58">
        <v>46176</v>
      </c>
      <c r="B1162" s="59">
        <v>6</v>
      </c>
      <c r="C1162" s="59" t="s">
        <v>1166</v>
      </c>
      <c r="D1162" s="59">
        <v>1044284</v>
      </c>
      <c r="E1162" s="59" t="s">
        <v>1134</v>
      </c>
      <c r="F1162" s="59" t="s">
        <v>1135</v>
      </c>
      <c r="G1162" s="59" t="s">
        <v>1136</v>
      </c>
      <c r="H1162" s="59" t="s">
        <v>1155</v>
      </c>
      <c r="I1162" s="60">
        <v>46143</v>
      </c>
      <c r="J1162" s="59" t="s">
        <v>787</v>
      </c>
      <c r="K1162" s="59" t="s">
        <v>1148</v>
      </c>
      <c r="L1162" s="61">
        <v>113575800</v>
      </c>
      <c r="M1162" s="59"/>
      <c r="N1162" s="61">
        <v>113575800</v>
      </c>
      <c r="O1162" s="61">
        <v>4676041029.3868742</v>
      </c>
    </row>
    <row r="1163" spans="1:15" x14ac:dyDescent="0.25">
      <c r="A1163" s="62">
        <v>46176</v>
      </c>
      <c r="B1163">
        <v>6</v>
      </c>
      <c r="C1163" t="s">
        <v>1166</v>
      </c>
      <c r="D1163">
        <v>1044286</v>
      </c>
      <c r="E1163" t="s">
        <v>1134</v>
      </c>
      <c r="F1163" t="s">
        <v>1135</v>
      </c>
      <c r="G1163" t="s">
        <v>1136</v>
      </c>
      <c r="H1163" t="s">
        <v>1155</v>
      </c>
      <c r="I1163" s="63">
        <v>46143</v>
      </c>
      <c r="J1163" t="s">
        <v>787</v>
      </c>
      <c r="K1163" t="s">
        <v>1150</v>
      </c>
      <c r="L1163" s="64">
        <v>4571083.6200000066</v>
      </c>
      <c r="N1163" s="64">
        <v>4571083.6200000066</v>
      </c>
      <c r="O1163" s="64">
        <v>4680612113.0068741</v>
      </c>
    </row>
    <row r="1164" spans="1:15" x14ac:dyDescent="0.25">
      <c r="A1164" s="58">
        <v>46176</v>
      </c>
      <c r="B1164" s="59">
        <v>6</v>
      </c>
      <c r="C1164" s="59" t="s">
        <v>1166</v>
      </c>
      <c r="D1164" s="59">
        <v>1044464</v>
      </c>
      <c r="E1164" s="59" t="s">
        <v>1134</v>
      </c>
      <c r="F1164" s="59" t="s">
        <v>1135</v>
      </c>
      <c r="G1164" s="59" t="s">
        <v>1136</v>
      </c>
      <c r="H1164" s="59" t="s">
        <v>1140</v>
      </c>
      <c r="I1164" s="60">
        <v>46143</v>
      </c>
      <c r="J1164" s="59" t="s">
        <v>787</v>
      </c>
      <c r="K1164" s="59" t="s">
        <v>1148</v>
      </c>
      <c r="L1164" s="61">
        <v>6908697.1799999997</v>
      </c>
      <c r="M1164" s="59"/>
      <c r="N1164" s="61">
        <v>6908697.1799999997</v>
      </c>
      <c r="O1164" s="61">
        <v>4687520810.1868744</v>
      </c>
    </row>
    <row r="1165" spans="1:15" x14ac:dyDescent="0.25">
      <c r="A1165" s="62">
        <v>46176</v>
      </c>
      <c r="B1165">
        <v>6</v>
      </c>
      <c r="C1165" t="s">
        <v>1166</v>
      </c>
      <c r="D1165">
        <v>1044324</v>
      </c>
      <c r="E1165" t="s">
        <v>1134</v>
      </c>
      <c r="F1165" t="s">
        <v>1135</v>
      </c>
      <c r="G1165" t="s">
        <v>1136</v>
      </c>
      <c r="H1165" t="s">
        <v>1143</v>
      </c>
      <c r="I1165" s="63">
        <v>46143</v>
      </c>
      <c r="J1165" t="s">
        <v>787</v>
      </c>
      <c r="K1165" t="s">
        <v>1148</v>
      </c>
      <c r="L1165" s="64">
        <v>65494440</v>
      </c>
      <c r="N1165" s="64">
        <v>65494440</v>
      </c>
      <c r="O1165" s="64">
        <v>4753015250.1868744</v>
      </c>
    </row>
    <row r="1166" spans="1:15" x14ac:dyDescent="0.25">
      <c r="A1166" s="58">
        <v>46176</v>
      </c>
      <c r="B1166" s="59">
        <v>6</v>
      </c>
      <c r="C1166" s="59" t="s">
        <v>1166</v>
      </c>
      <c r="D1166" s="59">
        <v>1044326</v>
      </c>
      <c r="E1166" s="59" t="s">
        <v>1134</v>
      </c>
      <c r="F1166" s="59" t="s">
        <v>1135</v>
      </c>
      <c r="G1166" s="59" t="s">
        <v>1136</v>
      </c>
      <c r="H1166" s="59" t="s">
        <v>1143</v>
      </c>
      <c r="I1166" s="60">
        <v>46143</v>
      </c>
      <c r="J1166" s="59" t="s">
        <v>787</v>
      </c>
      <c r="K1166" s="59" t="s">
        <v>1150</v>
      </c>
      <c r="L1166" s="61">
        <v>978699.20000000007</v>
      </c>
      <c r="M1166" s="59"/>
      <c r="N1166" s="61">
        <v>978699.20000000007</v>
      </c>
      <c r="O1166" s="61">
        <v>4753993949.3868742</v>
      </c>
    </row>
    <row r="1167" spans="1:15" x14ac:dyDescent="0.25">
      <c r="A1167" s="62">
        <v>46176</v>
      </c>
      <c r="B1167">
        <v>6</v>
      </c>
      <c r="C1167" t="s">
        <v>1166</v>
      </c>
      <c r="D1167">
        <v>1044344</v>
      </c>
      <c r="E1167" t="s">
        <v>1134</v>
      </c>
      <c r="F1167" t="s">
        <v>1135</v>
      </c>
      <c r="G1167" t="s">
        <v>1136</v>
      </c>
      <c r="H1167" t="s">
        <v>1156</v>
      </c>
      <c r="I1167" s="63">
        <v>46143</v>
      </c>
      <c r="J1167" t="s">
        <v>787</v>
      </c>
      <c r="K1167" t="s">
        <v>1148</v>
      </c>
      <c r="L1167" s="64">
        <v>1627200</v>
      </c>
      <c r="N1167" s="64">
        <v>1627200</v>
      </c>
      <c r="O1167" s="64">
        <v>4755621149.3868742</v>
      </c>
    </row>
    <row r="1168" spans="1:15" x14ac:dyDescent="0.25">
      <c r="A1168" s="58">
        <v>46176</v>
      </c>
      <c r="B1168" s="59">
        <v>6</v>
      </c>
      <c r="C1168" s="59" t="s">
        <v>1166</v>
      </c>
      <c r="D1168" s="59">
        <v>1044354</v>
      </c>
      <c r="E1168" s="59" t="s">
        <v>1134</v>
      </c>
      <c r="F1168" s="59" t="s">
        <v>1135</v>
      </c>
      <c r="G1168" s="59" t="s">
        <v>1136</v>
      </c>
      <c r="H1168" s="59" t="s">
        <v>1157</v>
      </c>
      <c r="I1168" s="60">
        <v>46143</v>
      </c>
      <c r="J1168" s="59" t="s">
        <v>787</v>
      </c>
      <c r="K1168" s="59" t="s">
        <v>1148</v>
      </c>
      <c r="L1168" s="61">
        <v>6109824</v>
      </c>
      <c r="M1168" s="59"/>
      <c r="N1168" s="61">
        <v>6109824</v>
      </c>
      <c r="O1168" s="61">
        <v>4761730973.3868742</v>
      </c>
    </row>
    <row r="1169" spans="1:15" x14ac:dyDescent="0.25">
      <c r="A1169" s="62">
        <v>46176</v>
      </c>
      <c r="B1169">
        <v>6</v>
      </c>
      <c r="C1169" t="s">
        <v>1166</v>
      </c>
      <c r="D1169">
        <v>1044356</v>
      </c>
      <c r="E1169" t="s">
        <v>1134</v>
      </c>
      <c r="F1169" t="s">
        <v>1135</v>
      </c>
      <c r="G1169" t="s">
        <v>1136</v>
      </c>
      <c r="H1169" t="s">
        <v>1157</v>
      </c>
      <c r="I1169" s="63">
        <v>46143</v>
      </c>
      <c r="J1169" t="s">
        <v>787</v>
      </c>
      <c r="K1169" t="s">
        <v>1150</v>
      </c>
      <c r="L1169" s="64">
        <v>978699.20000000007</v>
      </c>
      <c r="N1169" s="64">
        <v>978699.20000000007</v>
      </c>
      <c r="O1169" s="64">
        <v>4762709672.586874</v>
      </c>
    </row>
    <row r="1170" spans="1:15" x14ac:dyDescent="0.25">
      <c r="A1170" s="58">
        <v>46176</v>
      </c>
      <c r="B1170" s="59">
        <v>6</v>
      </c>
      <c r="C1170" s="59" t="s">
        <v>1166</v>
      </c>
      <c r="D1170" s="59">
        <v>1044364</v>
      </c>
      <c r="E1170" s="59" t="s">
        <v>1134</v>
      </c>
      <c r="F1170" s="59" t="s">
        <v>1135</v>
      </c>
      <c r="G1170" s="59" t="s">
        <v>1136</v>
      </c>
      <c r="H1170" s="59" t="s">
        <v>1158</v>
      </c>
      <c r="I1170" s="60">
        <v>46143</v>
      </c>
      <c r="J1170" s="59" t="s">
        <v>787</v>
      </c>
      <c r="K1170" s="59" t="s">
        <v>1148</v>
      </c>
      <c r="L1170" s="61">
        <v>43421780.310000002</v>
      </c>
      <c r="M1170" s="59"/>
      <c r="N1170" s="61">
        <v>43421780.310000002</v>
      </c>
      <c r="O1170" s="61">
        <v>4806131452.8968744</v>
      </c>
    </row>
    <row r="1171" spans="1:15" x14ac:dyDescent="0.25">
      <c r="A1171" s="62">
        <v>46176</v>
      </c>
      <c r="B1171">
        <v>6</v>
      </c>
      <c r="C1171" t="s">
        <v>1166</v>
      </c>
      <c r="D1171">
        <v>1044374</v>
      </c>
      <c r="E1171" t="s">
        <v>1134</v>
      </c>
      <c r="F1171" t="s">
        <v>1135</v>
      </c>
      <c r="G1171" t="s">
        <v>1136</v>
      </c>
      <c r="H1171" t="s">
        <v>1141</v>
      </c>
      <c r="I1171" s="63">
        <v>46143</v>
      </c>
      <c r="J1171" t="s">
        <v>787</v>
      </c>
      <c r="K1171" t="s">
        <v>1148</v>
      </c>
      <c r="L1171" s="64">
        <v>17143778.43</v>
      </c>
      <c r="N1171" s="64">
        <v>17143778.43</v>
      </c>
      <c r="O1171" s="64">
        <v>4823275231.3268747</v>
      </c>
    </row>
    <row r="1172" spans="1:15" x14ac:dyDescent="0.25">
      <c r="A1172" s="58">
        <v>46176</v>
      </c>
      <c r="B1172" s="59">
        <v>6</v>
      </c>
      <c r="C1172" s="59" t="s">
        <v>1166</v>
      </c>
      <c r="D1172" s="59">
        <v>1044404</v>
      </c>
      <c r="E1172" s="59" t="s">
        <v>1134</v>
      </c>
      <c r="F1172" s="59" t="s">
        <v>1135</v>
      </c>
      <c r="G1172" s="59" t="s">
        <v>1136</v>
      </c>
      <c r="H1172" s="59" t="s">
        <v>1159</v>
      </c>
      <c r="I1172" s="60">
        <v>46143</v>
      </c>
      <c r="J1172" s="59" t="s">
        <v>787</v>
      </c>
      <c r="K1172" s="59" t="s">
        <v>1148</v>
      </c>
      <c r="L1172" s="61">
        <v>25002725.199999999</v>
      </c>
      <c r="M1172" s="59"/>
      <c r="N1172" s="61">
        <v>25002725.199999999</v>
      </c>
      <c r="O1172" s="61">
        <v>4848277956.5268745</v>
      </c>
    </row>
    <row r="1173" spans="1:15" x14ac:dyDescent="0.25">
      <c r="A1173" s="62">
        <v>46176</v>
      </c>
      <c r="B1173">
        <v>6</v>
      </c>
      <c r="C1173" t="s">
        <v>1166</v>
      </c>
      <c r="D1173">
        <v>1044406</v>
      </c>
      <c r="E1173" t="s">
        <v>1134</v>
      </c>
      <c r="F1173" t="s">
        <v>1135</v>
      </c>
      <c r="G1173" t="s">
        <v>1136</v>
      </c>
      <c r="H1173" t="s">
        <v>1159</v>
      </c>
      <c r="I1173" s="63">
        <v>46143</v>
      </c>
      <c r="J1173" t="s">
        <v>787</v>
      </c>
      <c r="K1173" t="s">
        <v>1150</v>
      </c>
      <c r="L1173" s="64">
        <v>570288.00999999989</v>
      </c>
      <c r="N1173" s="64">
        <v>570288.00999999989</v>
      </c>
      <c r="O1173" s="64">
        <v>4848848244.5368748</v>
      </c>
    </row>
    <row r="1174" spans="1:15" x14ac:dyDescent="0.25">
      <c r="A1174" s="58">
        <v>46176</v>
      </c>
      <c r="B1174" s="59">
        <v>6</v>
      </c>
      <c r="C1174" s="59" t="s">
        <v>1166</v>
      </c>
      <c r="D1174" s="59">
        <v>1044404</v>
      </c>
      <c r="E1174" s="59" t="s">
        <v>1134</v>
      </c>
      <c r="F1174" s="59" t="s">
        <v>1135</v>
      </c>
      <c r="G1174" s="59" t="s">
        <v>1136</v>
      </c>
      <c r="H1174" s="59" t="s">
        <v>1159</v>
      </c>
      <c r="I1174" s="60">
        <v>46143</v>
      </c>
      <c r="J1174" s="59" t="s">
        <v>787</v>
      </c>
      <c r="K1174" s="59" t="s">
        <v>1148</v>
      </c>
      <c r="L1174" s="61">
        <v>6892327.1399999997</v>
      </c>
      <c r="M1174" s="59"/>
      <c r="N1174" s="61">
        <v>6892327.1399999997</v>
      </c>
      <c r="O1174" s="61">
        <v>4855740571.6768751</v>
      </c>
    </row>
    <row r="1175" spans="1:15" x14ac:dyDescent="0.25">
      <c r="A1175" s="62">
        <v>46176</v>
      </c>
      <c r="B1175">
        <v>6</v>
      </c>
      <c r="C1175" t="s">
        <v>1166</v>
      </c>
      <c r="D1175">
        <v>1044414</v>
      </c>
      <c r="E1175" t="s">
        <v>1134</v>
      </c>
      <c r="F1175" t="s">
        <v>1135</v>
      </c>
      <c r="G1175" t="s">
        <v>1136</v>
      </c>
      <c r="H1175" t="s">
        <v>1160</v>
      </c>
      <c r="I1175" s="63">
        <v>46143</v>
      </c>
      <c r="J1175" t="s">
        <v>787</v>
      </c>
      <c r="K1175" t="s">
        <v>1148</v>
      </c>
      <c r="L1175" s="64">
        <v>19191854.98</v>
      </c>
      <c r="N1175" s="64">
        <v>19191854.98</v>
      </c>
      <c r="O1175" s="64">
        <v>4874932426.6568747</v>
      </c>
    </row>
    <row r="1176" spans="1:15" x14ac:dyDescent="0.25">
      <c r="A1176" s="58">
        <v>46177</v>
      </c>
      <c r="B1176" s="59">
        <v>6</v>
      </c>
      <c r="C1176" s="59" t="s">
        <v>1171</v>
      </c>
      <c r="D1176" s="59">
        <v>2034412</v>
      </c>
      <c r="E1176" s="59" t="s">
        <v>1167</v>
      </c>
      <c r="F1176" s="59" t="s">
        <v>1168</v>
      </c>
      <c r="G1176" s="59" t="s">
        <v>1136</v>
      </c>
      <c r="H1176" s="59" t="s">
        <v>1160</v>
      </c>
      <c r="I1176" s="60">
        <v>46143</v>
      </c>
      <c r="J1176" s="59" t="s">
        <v>788</v>
      </c>
      <c r="K1176" s="59" t="s">
        <v>1138</v>
      </c>
      <c r="L1176" s="59"/>
      <c r="M1176" s="61">
        <v>4365000.53</v>
      </c>
      <c r="N1176" s="61">
        <v>-4365000.53</v>
      </c>
      <c r="O1176" s="61">
        <v>4870567426.1268749</v>
      </c>
    </row>
    <row r="1177" spans="1:15" x14ac:dyDescent="0.25">
      <c r="A1177" s="62">
        <v>46177</v>
      </c>
      <c r="B1177">
        <v>6</v>
      </c>
      <c r="C1177" t="s">
        <v>1171</v>
      </c>
      <c r="D1177">
        <v>2034417</v>
      </c>
      <c r="E1177" t="s">
        <v>1167</v>
      </c>
      <c r="F1177" t="s">
        <v>1168</v>
      </c>
      <c r="G1177" t="s">
        <v>1136</v>
      </c>
      <c r="H1177" t="s">
        <v>1160</v>
      </c>
      <c r="I1177" s="63">
        <v>46143</v>
      </c>
      <c r="J1177" t="s">
        <v>788</v>
      </c>
      <c r="K1177" t="s">
        <v>1170</v>
      </c>
      <c r="M1177" s="64">
        <v>45000</v>
      </c>
      <c r="N1177" s="64">
        <v>-45000</v>
      </c>
      <c r="O1177" s="64">
        <v>4870522426.1268749</v>
      </c>
    </row>
    <row r="1178" spans="1:15" x14ac:dyDescent="0.25">
      <c r="A1178" s="58">
        <v>46177</v>
      </c>
      <c r="B1178" s="59">
        <v>6</v>
      </c>
      <c r="C1178" s="59" t="s">
        <v>1171</v>
      </c>
      <c r="D1178" s="59">
        <v>2034414</v>
      </c>
      <c r="E1178" s="59" t="s">
        <v>1167</v>
      </c>
      <c r="F1178" s="59" t="s">
        <v>1168</v>
      </c>
      <c r="G1178" s="59" t="s">
        <v>1136</v>
      </c>
      <c r="H1178" s="59" t="s">
        <v>1160</v>
      </c>
      <c r="I1178" s="60">
        <v>46143</v>
      </c>
      <c r="J1178" s="59" t="s">
        <v>789</v>
      </c>
      <c r="K1178" s="59" t="s">
        <v>1148</v>
      </c>
      <c r="L1178" s="59"/>
      <c r="M1178" s="61">
        <v>19191855.02</v>
      </c>
      <c r="N1178" s="61">
        <v>-19191855.02</v>
      </c>
      <c r="O1178" s="61">
        <v>4851330571.1068745</v>
      </c>
    </row>
    <row r="1179" spans="1:15" x14ac:dyDescent="0.25">
      <c r="A1179" s="62">
        <v>46177</v>
      </c>
      <c r="B1179">
        <v>6</v>
      </c>
      <c r="C1179" t="s">
        <v>1171</v>
      </c>
      <c r="D1179">
        <v>2044122</v>
      </c>
      <c r="E1179" t="s">
        <v>1167</v>
      </c>
      <c r="F1179" t="s">
        <v>1135</v>
      </c>
      <c r="G1179" t="s">
        <v>1136</v>
      </c>
      <c r="H1179" t="s">
        <v>1175</v>
      </c>
      <c r="I1179" s="63">
        <v>46113</v>
      </c>
      <c r="J1179" t="s">
        <v>790</v>
      </c>
      <c r="K1179" t="s">
        <v>1138</v>
      </c>
      <c r="M1179" s="64">
        <v>14881856.4</v>
      </c>
      <c r="N1179" s="64">
        <v>-14881856.4</v>
      </c>
      <c r="O1179" s="64">
        <v>4836448714.7068748</v>
      </c>
    </row>
    <row r="1180" spans="1:15" x14ac:dyDescent="0.25">
      <c r="A1180" s="58">
        <v>46177</v>
      </c>
      <c r="B1180" s="59">
        <v>6</v>
      </c>
      <c r="C1180" s="59" t="s">
        <v>1171</v>
      </c>
      <c r="D1180" s="59">
        <v>2044122</v>
      </c>
      <c r="E1180" s="59" t="s">
        <v>1167</v>
      </c>
      <c r="F1180" s="59" t="s">
        <v>1135</v>
      </c>
      <c r="G1180" s="59" t="s">
        <v>1136</v>
      </c>
      <c r="H1180" s="59" t="s">
        <v>1175</v>
      </c>
      <c r="I1180" s="60">
        <v>46113</v>
      </c>
      <c r="J1180" s="59" t="s">
        <v>791</v>
      </c>
      <c r="K1180" s="59" t="s">
        <v>1138</v>
      </c>
      <c r="L1180" s="59"/>
      <c r="M1180" s="61">
        <v>16994393.5</v>
      </c>
      <c r="N1180" s="61">
        <v>-16994393.5</v>
      </c>
      <c r="O1180" s="61">
        <v>4819454321.2068748</v>
      </c>
    </row>
    <row r="1181" spans="1:15" x14ac:dyDescent="0.25">
      <c r="A1181" s="62">
        <v>46177</v>
      </c>
      <c r="B1181">
        <v>6</v>
      </c>
      <c r="C1181" t="s">
        <v>1171</v>
      </c>
      <c r="D1181">
        <v>2044122</v>
      </c>
      <c r="E1181" t="s">
        <v>1167</v>
      </c>
      <c r="F1181" t="s">
        <v>1135</v>
      </c>
      <c r="G1181" t="s">
        <v>1136</v>
      </c>
      <c r="H1181" t="s">
        <v>1175</v>
      </c>
      <c r="I1181" s="63">
        <v>46113</v>
      </c>
      <c r="J1181" t="s">
        <v>792</v>
      </c>
      <c r="K1181" t="s">
        <v>1138</v>
      </c>
      <c r="M1181" s="64">
        <v>1901314.9</v>
      </c>
      <c r="N1181" s="64">
        <v>-1901314.9</v>
      </c>
      <c r="O1181" s="64">
        <v>4817553006.3068752</v>
      </c>
    </row>
    <row r="1182" spans="1:15" x14ac:dyDescent="0.25">
      <c r="A1182" s="58">
        <v>46177</v>
      </c>
      <c r="B1182" s="59">
        <v>6</v>
      </c>
      <c r="C1182" s="59" t="s">
        <v>1171</v>
      </c>
      <c r="D1182" s="59">
        <v>2044122</v>
      </c>
      <c r="E1182" s="59" t="s">
        <v>1167</v>
      </c>
      <c r="F1182" s="59" t="s">
        <v>1135</v>
      </c>
      <c r="G1182" s="59" t="s">
        <v>1136</v>
      </c>
      <c r="H1182" s="59" t="s">
        <v>1175</v>
      </c>
      <c r="I1182" s="60">
        <v>46113</v>
      </c>
      <c r="J1182" s="59" t="s">
        <v>793</v>
      </c>
      <c r="K1182" s="59" t="s">
        <v>1138</v>
      </c>
      <c r="L1182" s="59"/>
      <c r="M1182" s="61">
        <v>16247222.9</v>
      </c>
      <c r="N1182" s="61">
        <v>-16247222.9</v>
      </c>
      <c r="O1182" s="61">
        <v>4801305783.4068756</v>
      </c>
    </row>
    <row r="1183" spans="1:15" x14ac:dyDescent="0.25">
      <c r="A1183" s="62">
        <v>46177</v>
      </c>
      <c r="B1183">
        <v>6</v>
      </c>
      <c r="C1183" t="s">
        <v>1171</v>
      </c>
      <c r="D1183">
        <v>1044165</v>
      </c>
      <c r="E1183" t="s">
        <v>1134</v>
      </c>
      <c r="F1183" t="s">
        <v>1135</v>
      </c>
      <c r="G1183" t="s">
        <v>1136</v>
      </c>
      <c r="H1183" t="s">
        <v>1162</v>
      </c>
      <c r="I1183" s="63">
        <v>46113</v>
      </c>
      <c r="J1183" t="s">
        <v>794</v>
      </c>
      <c r="K1183" t="s">
        <v>1172</v>
      </c>
      <c r="L1183" s="64">
        <v>736030.3</v>
      </c>
      <c r="N1183" s="64">
        <v>736030.3</v>
      </c>
      <c r="O1183" s="64">
        <v>4822004751.7168741</v>
      </c>
    </row>
    <row r="1184" spans="1:15" x14ac:dyDescent="0.25">
      <c r="A1184" s="58">
        <v>46177</v>
      </c>
      <c r="B1184" s="59">
        <v>6</v>
      </c>
      <c r="C1184" s="59" t="s">
        <v>1171</v>
      </c>
      <c r="D1184" s="59">
        <v>1044235</v>
      </c>
      <c r="E1184" s="59" t="s">
        <v>1134</v>
      </c>
      <c r="F1184" s="59" t="s">
        <v>1135</v>
      </c>
      <c r="G1184" s="59" t="s">
        <v>1136</v>
      </c>
      <c r="H1184" s="59" t="s">
        <v>1152</v>
      </c>
      <c r="I1184" s="60">
        <v>46113</v>
      </c>
      <c r="J1184" s="59" t="s">
        <v>794</v>
      </c>
      <c r="K1184" s="59" t="s">
        <v>1172</v>
      </c>
      <c r="L1184" s="61">
        <v>3234834.97</v>
      </c>
      <c r="M1184" s="59"/>
      <c r="N1184" s="61">
        <v>3234834.97</v>
      </c>
      <c r="O1184" s="61">
        <v>4825239586.6868744</v>
      </c>
    </row>
    <row r="1185" spans="1:15" x14ac:dyDescent="0.25">
      <c r="A1185" s="62">
        <v>46177</v>
      </c>
      <c r="B1185">
        <v>6</v>
      </c>
      <c r="C1185" t="s">
        <v>1171</v>
      </c>
      <c r="D1185">
        <v>1044495</v>
      </c>
      <c r="E1185" t="s">
        <v>1134</v>
      </c>
      <c r="F1185" t="s">
        <v>1135</v>
      </c>
      <c r="G1185" t="s">
        <v>1136</v>
      </c>
      <c r="H1185" t="s">
        <v>1173</v>
      </c>
      <c r="I1185" s="63">
        <v>46113</v>
      </c>
      <c r="J1185" t="s">
        <v>794</v>
      </c>
      <c r="K1185" t="s">
        <v>1172</v>
      </c>
      <c r="L1185" s="64">
        <v>733448.76</v>
      </c>
      <c r="N1185" s="64">
        <v>733448.76</v>
      </c>
      <c r="O1185" s="64">
        <v>4825973035.4468746</v>
      </c>
    </row>
    <row r="1186" spans="1:15" x14ac:dyDescent="0.25">
      <c r="A1186" s="58">
        <v>46177</v>
      </c>
      <c r="B1186" s="59">
        <v>6</v>
      </c>
      <c r="C1186" s="59" t="s">
        <v>1171</v>
      </c>
      <c r="D1186" s="59">
        <v>1044285</v>
      </c>
      <c r="E1186" s="59" t="s">
        <v>1134</v>
      </c>
      <c r="F1186" s="59" t="s">
        <v>1135</v>
      </c>
      <c r="G1186" s="59" t="s">
        <v>1136</v>
      </c>
      <c r="H1186" s="59" t="s">
        <v>1155</v>
      </c>
      <c r="I1186" s="60">
        <v>46113</v>
      </c>
      <c r="J1186" s="59" t="s">
        <v>794</v>
      </c>
      <c r="K1186" s="59" t="s">
        <v>1172</v>
      </c>
      <c r="L1186" s="61">
        <v>1263590</v>
      </c>
      <c r="M1186" s="59"/>
      <c r="N1186" s="61">
        <v>1263590</v>
      </c>
      <c r="O1186" s="61">
        <v>4827236625.4468746</v>
      </c>
    </row>
    <row r="1187" spans="1:15" x14ac:dyDescent="0.25">
      <c r="A1187" s="62">
        <v>46177</v>
      </c>
      <c r="B1187">
        <v>6</v>
      </c>
      <c r="C1187" t="s">
        <v>1171</v>
      </c>
      <c r="D1187">
        <v>1044465</v>
      </c>
      <c r="E1187" t="s">
        <v>1134</v>
      </c>
      <c r="F1187" t="s">
        <v>1135</v>
      </c>
      <c r="G1187" t="s">
        <v>1136</v>
      </c>
      <c r="H1187" t="s">
        <v>1140</v>
      </c>
      <c r="I1187" s="63">
        <v>46113</v>
      </c>
      <c r="J1187" t="s">
        <v>794</v>
      </c>
      <c r="K1187" t="s">
        <v>1172</v>
      </c>
      <c r="L1187" s="64">
        <v>998211.64</v>
      </c>
      <c r="N1187" s="64">
        <v>998211.64</v>
      </c>
      <c r="O1187" s="64">
        <v>4828234837.086875</v>
      </c>
    </row>
    <row r="1188" spans="1:15" x14ac:dyDescent="0.25">
      <c r="A1188" s="58">
        <v>46177</v>
      </c>
      <c r="B1188" s="59">
        <v>6</v>
      </c>
      <c r="C1188" s="59" t="s">
        <v>1171</v>
      </c>
      <c r="D1188" s="59">
        <v>1044405</v>
      </c>
      <c r="E1188" s="59" t="s">
        <v>1134</v>
      </c>
      <c r="F1188" s="59" t="s">
        <v>1135</v>
      </c>
      <c r="G1188" s="59" t="s">
        <v>1136</v>
      </c>
      <c r="H1188" s="59" t="s">
        <v>1159</v>
      </c>
      <c r="I1188" s="60">
        <v>46113</v>
      </c>
      <c r="J1188" s="59" t="s">
        <v>794</v>
      </c>
      <c r="K1188" s="59" t="s">
        <v>1172</v>
      </c>
      <c r="L1188" s="61">
        <v>448490.44</v>
      </c>
      <c r="M1188" s="59"/>
      <c r="N1188" s="61">
        <v>448490.44</v>
      </c>
      <c r="O1188" s="61">
        <v>4828683327.5268745</v>
      </c>
    </row>
    <row r="1189" spans="1:15" x14ac:dyDescent="0.25">
      <c r="A1189" s="62">
        <v>46177</v>
      </c>
      <c r="B1189">
        <v>6</v>
      </c>
      <c r="C1189" t="s">
        <v>1171</v>
      </c>
      <c r="D1189">
        <v>1044425</v>
      </c>
      <c r="E1189" t="s">
        <v>1134</v>
      </c>
      <c r="F1189" t="s">
        <v>1135</v>
      </c>
      <c r="G1189" t="s">
        <v>1136</v>
      </c>
      <c r="H1189" t="s">
        <v>1165</v>
      </c>
      <c r="I1189" s="63">
        <v>46113</v>
      </c>
      <c r="J1189" t="s">
        <v>794</v>
      </c>
      <c r="K1189" t="s">
        <v>1172</v>
      </c>
      <c r="L1189" s="64">
        <v>2189989.34</v>
      </c>
      <c r="N1189" s="64">
        <v>2189989.34</v>
      </c>
      <c r="O1189" s="64">
        <v>4830873316.8668747</v>
      </c>
    </row>
    <row r="1190" spans="1:15" x14ac:dyDescent="0.25">
      <c r="A1190" s="58">
        <v>46177</v>
      </c>
      <c r="B1190" s="59">
        <v>6</v>
      </c>
      <c r="C1190" s="59" t="s">
        <v>1171</v>
      </c>
      <c r="D1190" s="59">
        <v>1044325</v>
      </c>
      <c r="E1190" s="59" t="s">
        <v>1134</v>
      </c>
      <c r="F1190" s="59" t="s">
        <v>1135</v>
      </c>
      <c r="G1190" s="59" t="s">
        <v>1136</v>
      </c>
      <c r="H1190" s="59" t="s">
        <v>1143</v>
      </c>
      <c r="I1190" s="60">
        <v>46113</v>
      </c>
      <c r="J1190" s="59" t="s">
        <v>794</v>
      </c>
      <c r="K1190" s="59" t="s">
        <v>1172</v>
      </c>
      <c r="L1190" s="61">
        <v>494623.8</v>
      </c>
      <c r="M1190" s="59"/>
      <c r="N1190" s="61">
        <v>494623.8</v>
      </c>
      <c r="O1190" s="61">
        <v>4831367940.6668749</v>
      </c>
    </row>
    <row r="1191" spans="1:15" x14ac:dyDescent="0.25">
      <c r="A1191" s="62">
        <v>46178</v>
      </c>
      <c r="B1191">
        <v>6</v>
      </c>
      <c r="C1191" t="s">
        <v>1133</v>
      </c>
      <c r="D1191">
        <v>2034411</v>
      </c>
      <c r="E1191" t="s">
        <v>1167</v>
      </c>
      <c r="F1191" t="s">
        <v>1168</v>
      </c>
      <c r="G1191" t="s">
        <v>1136</v>
      </c>
      <c r="H1191" t="s">
        <v>1160</v>
      </c>
      <c r="I1191" s="63">
        <v>46143</v>
      </c>
      <c r="J1191" t="s">
        <v>795</v>
      </c>
      <c r="K1191" t="s">
        <v>1142</v>
      </c>
      <c r="M1191" s="64">
        <v>9384697</v>
      </c>
      <c r="N1191" s="64">
        <v>-9384697</v>
      </c>
      <c r="O1191" s="64">
        <v>4822118675.006875</v>
      </c>
    </row>
    <row r="1192" spans="1:15" x14ac:dyDescent="0.25">
      <c r="A1192" s="58">
        <v>46178</v>
      </c>
      <c r="B1192" s="59">
        <v>6</v>
      </c>
      <c r="C1192" s="59" t="s">
        <v>1133</v>
      </c>
      <c r="D1192" s="59">
        <v>2034413</v>
      </c>
      <c r="E1192" s="59" t="s">
        <v>1167</v>
      </c>
      <c r="F1192" s="59" t="s">
        <v>1168</v>
      </c>
      <c r="G1192" s="59" t="s">
        <v>1136</v>
      </c>
      <c r="H1192" s="59" t="s">
        <v>1160</v>
      </c>
      <c r="I1192" s="60">
        <v>46143</v>
      </c>
      <c r="J1192" s="59" t="s">
        <v>796</v>
      </c>
      <c r="K1192" s="59" t="s">
        <v>1146</v>
      </c>
      <c r="L1192" s="59"/>
      <c r="M1192" s="61">
        <v>12508132.83</v>
      </c>
      <c r="N1192" s="61">
        <v>-12508132.83</v>
      </c>
      <c r="O1192" s="61">
        <v>4809610542.1768751</v>
      </c>
    </row>
    <row r="1193" spans="1:15" x14ac:dyDescent="0.25">
      <c r="A1193" s="62">
        <v>46178</v>
      </c>
      <c r="B1193">
        <v>6</v>
      </c>
      <c r="C1193" t="s">
        <v>1133</v>
      </c>
      <c r="D1193">
        <v>2054322</v>
      </c>
      <c r="E1193" t="s">
        <v>1167</v>
      </c>
      <c r="F1193" t="s">
        <v>1169</v>
      </c>
      <c r="G1193" t="s">
        <v>1136</v>
      </c>
      <c r="H1193" t="s">
        <v>1143</v>
      </c>
      <c r="I1193" s="63">
        <v>46143</v>
      </c>
      <c r="J1193" t="s">
        <v>797</v>
      </c>
      <c r="K1193" t="s">
        <v>1138</v>
      </c>
      <c r="M1193" s="64">
        <v>19087700</v>
      </c>
      <c r="N1193" s="64">
        <v>-19087700</v>
      </c>
      <c r="O1193" s="64">
        <v>4790522842.1768751</v>
      </c>
    </row>
    <row r="1194" spans="1:15" x14ac:dyDescent="0.25">
      <c r="A1194" s="58">
        <v>46178</v>
      </c>
      <c r="B1194" s="59">
        <v>6</v>
      </c>
      <c r="C1194" s="59" t="s">
        <v>1133</v>
      </c>
      <c r="D1194" s="59">
        <v>2054325</v>
      </c>
      <c r="E1194" s="59" t="s">
        <v>1167</v>
      </c>
      <c r="F1194" s="59" t="s">
        <v>1169</v>
      </c>
      <c r="G1194" s="59" t="s">
        <v>1136</v>
      </c>
      <c r="H1194" s="59" t="s">
        <v>1143</v>
      </c>
      <c r="I1194" s="60">
        <v>46143</v>
      </c>
      <c r="J1194" s="59" t="s">
        <v>798</v>
      </c>
      <c r="K1194" s="59" t="s">
        <v>1172</v>
      </c>
      <c r="L1194" s="59"/>
      <c r="M1194" s="61">
        <v>1134084.6000000001</v>
      </c>
      <c r="N1194" s="61">
        <v>-1134084.6000000001</v>
      </c>
      <c r="O1194" s="61">
        <v>4789388757.5768747</v>
      </c>
    </row>
    <row r="1195" spans="1:15" x14ac:dyDescent="0.25">
      <c r="A1195" s="62">
        <v>46181</v>
      </c>
      <c r="B1195">
        <v>6</v>
      </c>
      <c r="C1195" t="s">
        <v>1144</v>
      </c>
      <c r="D1195">
        <v>2054324</v>
      </c>
      <c r="E1195" t="s">
        <v>1167</v>
      </c>
      <c r="F1195" t="s">
        <v>1169</v>
      </c>
      <c r="G1195" t="s">
        <v>1136</v>
      </c>
      <c r="H1195" t="s">
        <v>1143</v>
      </c>
      <c r="I1195" s="63">
        <v>46143</v>
      </c>
      <c r="J1195" t="s">
        <v>799</v>
      </c>
      <c r="K1195" t="s">
        <v>1148</v>
      </c>
      <c r="M1195" s="64">
        <v>65494440</v>
      </c>
      <c r="N1195" s="64">
        <v>-65494440</v>
      </c>
      <c r="O1195" s="64">
        <v>4723894317.5768747</v>
      </c>
    </row>
    <row r="1196" spans="1:15" x14ac:dyDescent="0.25">
      <c r="A1196" s="58">
        <v>46181</v>
      </c>
      <c r="B1196" s="59">
        <v>6</v>
      </c>
      <c r="C1196" s="59" t="s">
        <v>1144</v>
      </c>
      <c r="D1196" s="59">
        <v>2054326</v>
      </c>
      <c r="E1196" s="59" t="s">
        <v>1167</v>
      </c>
      <c r="F1196" s="59" t="s">
        <v>1169</v>
      </c>
      <c r="G1196" s="59" t="s">
        <v>1136</v>
      </c>
      <c r="H1196" s="59" t="s">
        <v>1143</v>
      </c>
      <c r="I1196" s="60">
        <v>46143</v>
      </c>
      <c r="J1196" s="59" t="s">
        <v>799</v>
      </c>
      <c r="K1196" s="59" t="s">
        <v>1150</v>
      </c>
      <c r="L1196" s="59"/>
      <c r="M1196" s="61">
        <v>796080.89</v>
      </c>
      <c r="N1196" s="61">
        <v>-796080.89</v>
      </c>
      <c r="O1196" s="61">
        <v>4723098236.6868744</v>
      </c>
    </row>
    <row r="1197" spans="1:15" x14ac:dyDescent="0.25">
      <c r="A1197" s="62">
        <v>46181</v>
      </c>
      <c r="B1197">
        <v>6</v>
      </c>
      <c r="C1197" t="s">
        <v>1144</v>
      </c>
      <c r="D1197">
        <v>2014425</v>
      </c>
      <c r="E1197" t="s">
        <v>1167</v>
      </c>
      <c r="F1197" t="s">
        <v>1174</v>
      </c>
      <c r="G1197" t="s">
        <v>1136</v>
      </c>
      <c r="H1197" t="s">
        <v>1165</v>
      </c>
      <c r="I1197" s="63">
        <v>46143</v>
      </c>
      <c r="J1197" t="s">
        <v>800</v>
      </c>
      <c r="K1197" t="s">
        <v>1172</v>
      </c>
      <c r="M1197" s="64">
        <v>715827.65</v>
      </c>
      <c r="N1197" s="64">
        <v>-715827.65</v>
      </c>
      <c r="O1197" s="64">
        <v>4722382409.0368748</v>
      </c>
    </row>
    <row r="1198" spans="1:15" x14ac:dyDescent="0.25">
      <c r="A1198" s="58">
        <v>46181</v>
      </c>
      <c r="B1198" s="59">
        <v>6</v>
      </c>
      <c r="C1198" s="59" t="s">
        <v>1144</v>
      </c>
      <c r="D1198" s="59">
        <v>2034243</v>
      </c>
      <c r="E1198" s="59" t="s">
        <v>1167</v>
      </c>
      <c r="F1198" s="59" t="s">
        <v>1168</v>
      </c>
      <c r="G1198" s="59" t="s">
        <v>1136</v>
      </c>
      <c r="H1198" s="59" t="s">
        <v>1153</v>
      </c>
      <c r="I1198" s="60">
        <v>46143</v>
      </c>
      <c r="J1198" s="59" t="s">
        <v>801</v>
      </c>
      <c r="K1198" s="59" t="s">
        <v>1146</v>
      </c>
      <c r="L1198" s="59"/>
      <c r="M1198" s="61">
        <v>11080757.460000001</v>
      </c>
      <c r="N1198" s="61">
        <v>-11080757.460000001</v>
      </c>
      <c r="O1198" s="61">
        <v>4711301651.5768747</v>
      </c>
    </row>
    <row r="1199" spans="1:15" x14ac:dyDescent="0.25">
      <c r="A1199" s="62">
        <v>46181</v>
      </c>
      <c r="B1199">
        <v>6</v>
      </c>
      <c r="C1199" t="s">
        <v>1144</v>
      </c>
      <c r="D1199">
        <v>2034244</v>
      </c>
      <c r="E1199" t="s">
        <v>1167</v>
      </c>
      <c r="F1199" t="s">
        <v>1168</v>
      </c>
      <c r="G1199" t="s">
        <v>1136</v>
      </c>
      <c r="H1199" t="s">
        <v>1153</v>
      </c>
      <c r="I1199" s="63">
        <v>46143</v>
      </c>
      <c r="J1199" t="s">
        <v>802</v>
      </c>
      <c r="K1199" t="s">
        <v>1148</v>
      </c>
      <c r="M1199" s="64">
        <v>10066986.91</v>
      </c>
      <c r="N1199" s="64">
        <v>-10066986.91</v>
      </c>
      <c r="O1199" s="64">
        <v>4701234664.6668749</v>
      </c>
    </row>
    <row r="1200" spans="1:15" x14ac:dyDescent="0.25">
      <c r="A1200" s="58">
        <v>46181</v>
      </c>
      <c r="B1200" s="59">
        <v>6</v>
      </c>
      <c r="C1200" s="59" t="s">
        <v>1144</v>
      </c>
      <c r="D1200" s="59">
        <v>2054372</v>
      </c>
      <c r="E1200" s="59" t="s">
        <v>1167</v>
      </c>
      <c r="F1200" s="59" t="s">
        <v>1169</v>
      </c>
      <c r="G1200" s="59" t="s">
        <v>1136</v>
      </c>
      <c r="H1200" s="59" t="s">
        <v>1141</v>
      </c>
      <c r="I1200" s="60">
        <v>46143</v>
      </c>
      <c r="J1200" s="59" t="s">
        <v>803</v>
      </c>
      <c r="K1200" s="59" t="s">
        <v>1138</v>
      </c>
      <c r="L1200" s="59"/>
      <c r="M1200" s="61">
        <v>30955022.670000002</v>
      </c>
      <c r="N1200" s="61">
        <v>-30955022.670000002</v>
      </c>
      <c r="O1200" s="61">
        <v>4670279641.9968748</v>
      </c>
    </row>
    <row r="1201" spans="1:15" x14ac:dyDescent="0.25">
      <c r="A1201" s="62">
        <v>46181</v>
      </c>
      <c r="B1201">
        <v>6</v>
      </c>
      <c r="C1201" t="s">
        <v>1144</v>
      </c>
      <c r="D1201">
        <v>2054374</v>
      </c>
      <c r="E1201" t="s">
        <v>1167</v>
      </c>
      <c r="F1201" t="s">
        <v>1169</v>
      </c>
      <c r="G1201" t="s">
        <v>1136</v>
      </c>
      <c r="H1201" t="s">
        <v>1141</v>
      </c>
      <c r="I1201" s="63">
        <v>46143</v>
      </c>
      <c r="J1201" t="s">
        <v>804</v>
      </c>
      <c r="K1201" t="s">
        <v>1148</v>
      </c>
      <c r="M1201" s="64">
        <v>17143778.43</v>
      </c>
      <c r="N1201" s="64">
        <v>-17143778.43</v>
      </c>
      <c r="O1201" s="64">
        <v>4653135863.5668755</v>
      </c>
    </row>
    <row r="1202" spans="1:15" x14ac:dyDescent="0.25">
      <c r="A1202" s="58">
        <v>46181</v>
      </c>
      <c r="B1202" s="59">
        <v>6</v>
      </c>
      <c r="C1202" s="59" t="s">
        <v>1144</v>
      </c>
      <c r="D1202" s="59">
        <v>2014272</v>
      </c>
      <c r="E1202" s="59" t="s">
        <v>1167</v>
      </c>
      <c r="F1202" s="59" t="s">
        <v>1174</v>
      </c>
      <c r="G1202" s="59" t="s">
        <v>1136</v>
      </c>
      <c r="H1202" s="59" t="s">
        <v>1154</v>
      </c>
      <c r="I1202" s="60">
        <v>46143</v>
      </c>
      <c r="J1202" s="59" t="s">
        <v>805</v>
      </c>
      <c r="K1202" s="59" t="s">
        <v>1138</v>
      </c>
      <c r="L1202" s="59"/>
      <c r="M1202" s="61">
        <v>5034504.1100000003</v>
      </c>
      <c r="N1202" s="61">
        <v>-5034504.1100000003</v>
      </c>
      <c r="O1202" s="61">
        <v>4648101359.4568748</v>
      </c>
    </row>
    <row r="1203" spans="1:15" x14ac:dyDescent="0.25">
      <c r="A1203" s="62">
        <v>46181</v>
      </c>
      <c r="B1203">
        <v>6</v>
      </c>
      <c r="C1203" t="s">
        <v>1144</v>
      </c>
      <c r="D1203">
        <v>2014274</v>
      </c>
      <c r="E1203" t="s">
        <v>1167</v>
      </c>
      <c r="F1203" t="s">
        <v>1174</v>
      </c>
      <c r="G1203" t="s">
        <v>1136</v>
      </c>
      <c r="H1203" t="s">
        <v>1154</v>
      </c>
      <c r="I1203" s="63">
        <v>46143</v>
      </c>
      <c r="J1203" t="s">
        <v>806</v>
      </c>
      <c r="K1203" t="s">
        <v>1148</v>
      </c>
      <c r="M1203" s="64">
        <v>4615220.74</v>
      </c>
      <c r="N1203" s="64">
        <v>-4615220.74</v>
      </c>
      <c r="O1203" s="64">
        <v>4643486138.7168751</v>
      </c>
    </row>
    <row r="1204" spans="1:15" x14ac:dyDescent="0.25">
      <c r="A1204" s="58">
        <v>46181</v>
      </c>
      <c r="B1204" s="59">
        <v>6</v>
      </c>
      <c r="C1204" s="59" t="s">
        <v>1144</v>
      </c>
      <c r="D1204" s="59">
        <v>2014275</v>
      </c>
      <c r="E1204" s="59" t="s">
        <v>1167</v>
      </c>
      <c r="F1204" s="59" t="s">
        <v>1174</v>
      </c>
      <c r="G1204" s="59" t="s">
        <v>1136</v>
      </c>
      <c r="H1204" s="59" t="s">
        <v>1154</v>
      </c>
      <c r="I1204" s="60">
        <v>46143</v>
      </c>
      <c r="J1204" s="59" t="s">
        <v>807</v>
      </c>
      <c r="K1204" s="59" t="s">
        <v>1172</v>
      </c>
      <c r="L1204" s="59"/>
      <c r="M1204" s="61">
        <v>353479.24</v>
      </c>
      <c r="N1204" s="61">
        <v>-353479.24</v>
      </c>
      <c r="O1204" s="61">
        <v>4643132659.4768753</v>
      </c>
    </row>
    <row r="1205" spans="1:15" x14ac:dyDescent="0.25">
      <c r="A1205" s="62">
        <v>46181</v>
      </c>
      <c r="B1205">
        <v>6</v>
      </c>
      <c r="C1205" t="s">
        <v>1144</v>
      </c>
      <c r="D1205">
        <v>2014212</v>
      </c>
      <c r="E1205" t="s">
        <v>1167</v>
      </c>
      <c r="F1205" t="s">
        <v>1174</v>
      </c>
      <c r="G1205" t="s">
        <v>1136</v>
      </c>
      <c r="H1205" t="s">
        <v>1151</v>
      </c>
      <c r="I1205" s="63">
        <v>46143</v>
      </c>
      <c r="J1205" t="s">
        <v>808</v>
      </c>
      <c r="K1205" t="s">
        <v>1138</v>
      </c>
      <c r="M1205" s="64">
        <v>11109323.4</v>
      </c>
      <c r="N1205" s="64">
        <v>-11109323.4</v>
      </c>
      <c r="O1205" s="64">
        <v>4632023336.0768757</v>
      </c>
    </row>
    <row r="1206" spans="1:15" x14ac:dyDescent="0.25">
      <c r="A1206" s="58">
        <v>46181</v>
      </c>
      <c r="B1206" s="59">
        <v>6</v>
      </c>
      <c r="C1206" s="59" t="s">
        <v>1144</v>
      </c>
      <c r="D1206" s="59">
        <v>2014214</v>
      </c>
      <c r="E1206" s="59" t="s">
        <v>1167</v>
      </c>
      <c r="F1206" s="59" t="s">
        <v>1174</v>
      </c>
      <c r="G1206" s="59" t="s">
        <v>1136</v>
      </c>
      <c r="H1206" s="59" t="s">
        <v>1151</v>
      </c>
      <c r="I1206" s="60">
        <v>46143</v>
      </c>
      <c r="J1206" s="59" t="s">
        <v>809</v>
      </c>
      <c r="K1206" s="59" t="s">
        <v>1148</v>
      </c>
      <c r="L1206" s="59"/>
      <c r="M1206" s="61">
        <v>13361384.75</v>
      </c>
      <c r="N1206" s="61">
        <v>-13361384.75</v>
      </c>
      <c r="O1206" s="61">
        <v>4618661951.3268757</v>
      </c>
    </row>
    <row r="1207" spans="1:15" x14ac:dyDescent="0.25">
      <c r="A1207" s="62">
        <v>46181</v>
      </c>
      <c r="B1207">
        <v>6</v>
      </c>
      <c r="C1207" t="s">
        <v>1144</v>
      </c>
      <c r="D1207">
        <v>2054197</v>
      </c>
      <c r="E1207" t="s">
        <v>1167</v>
      </c>
      <c r="F1207" t="s">
        <v>1169</v>
      </c>
      <c r="G1207" t="s">
        <v>1136</v>
      </c>
      <c r="H1207" t="s">
        <v>1149</v>
      </c>
      <c r="I1207" s="63">
        <v>46143</v>
      </c>
      <c r="J1207" t="s">
        <v>810</v>
      </c>
      <c r="K1207" t="s">
        <v>1170</v>
      </c>
      <c r="M1207" s="64">
        <v>514800</v>
      </c>
      <c r="N1207" s="64">
        <v>-514800</v>
      </c>
      <c r="O1207" s="64">
        <v>4618147151.3268757</v>
      </c>
    </row>
    <row r="1208" spans="1:15" x14ac:dyDescent="0.25">
      <c r="A1208" s="58">
        <v>46181</v>
      </c>
      <c r="B1208" s="59">
        <v>6</v>
      </c>
      <c r="C1208" s="59" t="s">
        <v>1144</v>
      </c>
      <c r="D1208" s="59">
        <v>2054282</v>
      </c>
      <c r="E1208" s="59" t="s">
        <v>1167</v>
      </c>
      <c r="F1208" s="59" t="s">
        <v>1169</v>
      </c>
      <c r="G1208" s="59" t="s">
        <v>1136</v>
      </c>
      <c r="H1208" s="59" t="s">
        <v>1155</v>
      </c>
      <c r="I1208" s="60">
        <v>46143</v>
      </c>
      <c r="J1208" s="59" t="s">
        <v>811</v>
      </c>
      <c r="K1208" s="59" t="s">
        <v>1138</v>
      </c>
      <c r="L1208" s="59"/>
      <c r="M1208" s="61">
        <v>37808700</v>
      </c>
      <c r="N1208" s="61">
        <v>-37808700</v>
      </c>
      <c r="O1208" s="61">
        <v>4580338451.3268757</v>
      </c>
    </row>
    <row r="1209" spans="1:15" x14ac:dyDescent="0.25">
      <c r="A1209" s="62">
        <v>46181</v>
      </c>
      <c r="B1209">
        <v>6</v>
      </c>
      <c r="C1209" t="s">
        <v>1144</v>
      </c>
      <c r="D1209">
        <v>2054285</v>
      </c>
      <c r="E1209" t="s">
        <v>1167</v>
      </c>
      <c r="F1209" t="s">
        <v>1169</v>
      </c>
      <c r="G1209" t="s">
        <v>1136</v>
      </c>
      <c r="H1209" t="s">
        <v>1155</v>
      </c>
      <c r="I1209" s="63">
        <v>46143</v>
      </c>
      <c r="J1209" t="s">
        <v>812</v>
      </c>
      <c r="K1209" t="s">
        <v>1172</v>
      </c>
      <c r="M1209" s="64">
        <v>1319580</v>
      </c>
      <c r="N1209" s="64">
        <v>-1319580</v>
      </c>
      <c r="O1209" s="64">
        <v>4579018871.3268757</v>
      </c>
    </row>
    <row r="1210" spans="1:15" x14ac:dyDescent="0.25">
      <c r="A1210" s="58">
        <v>46181</v>
      </c>
      <c r="B1210" s="59">
        <v>6</v>
      </c>
      <c r="C1210" s="59" t="s">
        <v>1144</v>
      </c>
      <c r="D1210" s="59">
        <v>2034235</v>
      </c>
      <c r="E1210" s="59" t="s">
        <v>1167</v>
      </c>
      <c r="F1210" s="59" t="s">
        <v>1168</v>
      </c>
      <c r="G1210" s="59" t="s">
        <v>1136</v>
      </c>
      <c r="H1210" s="59" t="s">
        <v>1152</v>
      </c>
      <c r="I1210" s="60">
        <v>46143</v>
      </c>
      <c r="J1210" s="59" t="s">
        <v>813</v>
      </c>
      <c r="K1210" s="59" t="s">
        <v>1172</v>
      </c>
      <c r="L1210" s="59"/>
      <c r="M1210" s="61">
        <v>1607477.64</v>
      </c>
      <c r="N1210" s="61">
        <v>-1607477.64</v>
      </c>
      <c r="O1210" s="61">
        <v>4577411393.6868753</v>
      </c>
    </row>
    <row r="1211" spans="1:15" x14ac:dyDescent="0.25">
      <c r="A1211" s="62">
        <v>46181</v>
      </c>
      <c r="B1211">
        <v>6</v>
      </c>
      <c r="C1211" t="s">
        <v>1144</v>
      </c>
      <c r="D1211">
        <v>2054287</v>
      </c>
      <c r="E1211" t="s">
        <v>1167</v>
      </c>
      <c r="F1211" t="s">
        <v>1169</v>
      </c>
      <c r="G1211" t="s">
        <v>1136</v>
      </c>
      <c r="H1211" t="s">
        <v>1155</v>
      </c>
      <c r="I1211" s="63">
        <v>46143</v>
      </c>
      <c r="J1211" t="s">
        <v>811</v>
      </c>
      <c r="K1211" t="s">
        <v>1170</v>
      </c>
      <c r="M1211" s="64">
        <v>2000</v>
      </c>
      <c r="N1211" s="64">
        <v>-2000</v>
      </c>
      <c r="O1211" s="64">
        <v>4577409393.6868753</v>
      </c>
    </row>
    <row r="1212" spans="1:15" x14ac:dyDescent="0.25">
      <c r="A1212" s="58">
        <v>46181</v>
      </c>
      <c r="B1212" s="59">
        <v>6</v>
      </c>
      <c r="C1212" s="59" t="s">
        <v>1144</v>
      </c>
      <c r="D1212" s="59">
        <v>2044495</v>
      </c>
      <c r="E1212" s="59" t="s">
        <v>1167</v>
      </c>
      <c r="F1212" s="59" t="s">
        <v>1135</v>
      </c>
      <c r="G1212" s="59" t="s">
        <v>1136</v>
      </c>
      <c r="H1212" s="59" t="s">
        <v>1173</v>
      </c>
      <c r="I1212" s="60">
        <v>46143</v>
      </c>
      <c r="J1212" s="59" t="s">
        <v>814</v>
      </c>
      <c r="K1212" s="59" t="s">
        <v>1172</v>
      </c>
      <c r="L1212" s="59"/>
      <c r="M1212" s="61">
        <v>638676.72</v>
      </c>
      <c r="N1212" s="61">
        <v>-638676.72</v>
      </c>
      <c r="O1212" s="61">
        <v>4576770716.9668751</v>
      </c>
    </row>
    <row r="1213" spans="1:15" x14ac:dyDescent="0.25">
      <c r="A1213" s="62">
        <v>46181</v>
      </c>
      <c r="B1213">
        <v>6</v>
      </c>
      <c r="C1213" t="s">
        <v>1144</v>
      </c>
      <c r="D1213">
        <v>2034234</v>
      </c>
      <c r="E1213" t="s">
        <v>1167</v>
      </c>
      <c r="F1213" t="s">
        <v>1168</v>
      </c>
      <c r="G1213" t="s">
        <v>1136</v>
      </c>
      <c r="H1213" t="s">
        <v>1152</v>
      </c>
      <c r="I1213" s="63">
        <v>46143</v>
      </c>
      <c r="J1213" t="s">
        <v>815</v>
      </c>
      <c r="K1213" t="s">
        <v>1148</v>
      </c>
      <c r="M1213" s="64">
        <v>26262799.149999999</v>
      </c>
      <c r="N1213" s="64">
        <v>-26262799.149999999</v>
      </c>
      <c r="O1213" s="64">
        <v>4550507917.8168755</v>
      </c>
    </row>
    <row r="1214" spans="1:15" x14ac:dyDescent="0.25">
      <c r="A1214" s="58">
        <v>46181</v>
      </c>
      <c r="B1214" s="59">
        <v>6</v>
      </c>
      <c r="C1214" s="59" t="s">
        <v>1144</v>
      </c>
      <c r="D1214" s="59">
        <v>1044122</v>
      </c>
      <c r="E1214" s="59" t="s">
        <v>1134</v>
      </c>
      <c r="F1214" s="59" t="s">
        <v>1135</v>
      </c>
      <c r="G1214" s="59" t="s">
        <v>1136</v>
      </c>
      <c r="H1214" s="59" t="s">
        <v>1175</v>
      </c>
      <c r="I1214" s="60">
        <v>46082</v>
      </c>
      <c r="J1214" s="59" t="s">
        <v>818</v>
      </c>
      <c r="K1214" s="59" t="s">
        <v>1138</v>
      </c>
      <c r="L1214" s="61">
        <v>99110010</v>
      </c>
      <c r="M1214" s="59"/>
      <c r="N1214" s="61">
        <v>99110010</v>
      </c>
      <c r="O1214" s="61">
        <v>6097339757.9468746</v>
      </c>
    </row>
    <row r="1215" spans="1:15" x14ac:dyDescent="0.25">
      <c r="A1215" s="62">
        <v>46182</v>
      </c>
      <c r="B1215">
        <v>6</v>
      </c>
      <c r="C1215" t="s">
        <v>1161</v>
      </c>
      <c r="D1215">
        <v>2054196</v>
      </c>
      <c r="E1215" t="s">
        <v>1167</v>
      </c>
      <c r="F1215" t="s">
        <v>1169</v>
      </c>
      <c r="G1215" t="s">
        <v>1136</v>
      </c>
      <c r="H1215" t="s">
        <v>1149</v>
      </c>
      <c r="I1215" s="63">
        <v>46143</v>
      </c>
      <c r="J1215" t="s">
        <v>821</v>
      </c>
      <c r="K1215" t="s">
        <v>1150</v>
      </c>
      <c r="M1215" s="64">
        <v>14547461.43</v>
      </c>
      <c r="N1215" s="64">
        <v>-14547461.43</v>
      </c>
      <c r="O1215" s="64">
        <v>6082792296.5168743</v>
      </c>
    </row>
    <row r="1216" spans="1:15" x14ac:dyDescent="0.25">
      <c r="A1216" s="58">
        <v>46182</v>
      </c>
      <c r="B1216" s="59">
        <v>6</v>
      </c>
      <c r="C1216" s="59" t="s">
        <v>1161</v>
      </c>
      <c r="D1216" s="59">
        <v>2054284</v>
      </c>
      <c r="E1216" s="59" t="s">
        <v>1167</v>
      </c>
      <c r="F1216" s="59" t="s">
        <v>1169</v>
      </c>
      <c r="G1216" s="59" t="s">
        <v>1136</v>
      </c>
      <c r="H1216" s="59" t="s">
        <v>1155</v>
      </c>
      <c r="I1216" s="60">
        <v>46143</v>
      </c>
      <c r="J1216" s="59" t="s">
        <v>822</v>
      </c>
      <c r="K1216" s="59" t="s">
        <v>1148</v>
      </c>
      <c r="L1216" s="59"/>
      <c r="M1216" s="61">
        <v>113575800</v>
      </c>
      <c r="N1216" s="61">
        <v>-113575800</v>
      </c>
      <c r="O1216" s="61">
        <v>5969216496.5168743</v>
      </c>
    </row>
    <row r="1217" spans="1:15" x14ac:dyDescent="0.25">
      <c r="A1217" s="62">
        <v>46182</v>
      </c>
      <c r="B1217">
        <v>6</v>
      </c>
      <c r="C1217" t="s">
        <v>1161</v>
      </c>
      <c r="D1217">
        <v>2054286</v>
      </c>
      <c r="E1217" t="s">
        <v>1167</v>
      </c>
      <c r="F1217" t="s">
        <v>1169</v>
      </c>
      <c r="G1217" t="s">
        <v>1136</v>
      </c>
      <c r="H1217" t="s">
        <v>1155</v>
      </c>
      <c r="I1217" s="63">
        <v>46143</v>
      </c>
      <c r="J1217" t="s">
        <v>822</v>
      </c>
      <c r="K1217" t="s">
        <v>1150</v>
      </c>
      <c r="M1217" s="64">
        <v>4571083.62</v>
      </c>
      <c r="N1217" s="64">
        <v>-4571083.62</v>
      </c>
      <c r="O1217" s="64">
        <v>5964645412.8968744</v>
      </c>
    </row>
    <row r="1218" spans="1:15" x14ac:dyDescent="0.25">
      <c r="A1218" s="58">
        <v>46182</v>
      </c>
      <c r="B1218" s="59">
        <v>6</v>
      </c>
      <c r="C1218" s="59" t="s">
        <v>1161</v>
      </c>
      <c r="D1218" s="59">
        <v>2034241</v>
      </c>
      <c r="E1218" s="59" t="s">
        <v>1167</v>
      </c>
      <c r="F1218" s="59" t="s">
        <v>1168</v>
      </c>
      <c r="G1218" s="59" t="s">
        <v>1136</v>
      </c>
      <c r="H1218" s="59" t="s">
        <v>1153</v>
      </c>
      <c r="I1218" s="60">
        <v>46143</v>
      </c>
      <c r="J1218" s="59" t="s">
        <v>823</v>
      </c>
      <c r="K1218" s="59" t="s">
        <v>1142</v>
      </c>
      <c r="L1218" s="59"/>
      <c r="M1218" s="61">
        <v>4060966.5</v>
      </c>
      <c r="N1218" s="61">
        <v>-4060966.5</v>
      </c>
      <c r="O1218" s="61">
        <v>5960584446.3968744</v>
      </c>
    </row>
    <row r="1219" spans="1:15" x14ac:dyDescent="0.25">
      <c r="A1219" s="62">
        <v>46182</v>
      </c>
      <c r="B1219">
        <v>6</v>
      </c>
      <c r="C1219" t="s">
        <v>1161</v>
      </c>
      <c r="D1219">
        <v>2054371</v>
      </c>
      <c r="E1219" t="s">
        <v>1167</v>
      </c>
      <c r="F1219" t="s">
        <v>1169</v>
      </c>
      <c r="G1219" t="s">
        <v>1136</v>
      </c>
      <c r="H1219" t="s">
        <v>1141</v>
      </c>
      <c r="I1219" s="63">
        <v>46143</v>
      </c>
      <c r="J1219" t="s">
        <v>824</v>
      </c>
      <c r="K1219" t="s">
        <v>1142</v>
      </c>
      <c r="M1219" s="64">
        <v>25324146.399999999</v>
      </c>
      <c r="N1219" s="64">
        <v>-25324146.399999999</v>
      </c>
      <c r="O1219" s="64">
        <v>5935260299.9968748</v>
      </c>
    </row>
    <row r="1220" spans="1:15" x14ac:dyDescent="0.25">
      <c r="A1220" s="58">
        <v>46182</v>
      </c>
      <c r="B1220" s="59">
        <v>6</v>
      </c>
      <c r="C1220" s="59" t="s">
        <v>1161</v>
      </c>
      <c r="D1220" s="59">
        <v>2054321</v>
      </c>
      <c r="E1220" s="59" t="s">
        <v>1167</v>
      </c>
      <c r="F1220" s="59" t="s">
        <v>1169</v>
      </c>
      <c r="G1220" s="59" t="s">
        <v>1136</v>
      </c>
      <c r="H1220" s="59" t="s">
        <v>1143</v>
      </c>
      <c r="I1220" s="60">
        <v>46143</v>
      </c>
      <c r="J1220" s="59" t="s">
        <v>825</v>
      </c>
      <c r="K1220" s="59" t="s">
        <v>1142</v>
      </c>
      <c r="L1220" s="59"/>
      <c r="M1220" s="61">
        <v>37508993</v>
      </c>
      <c r="N1220" s="61">
        <v>-37508993</v>
      </c>
      <c r="O1220" s="61">
        <v>5897751306.9968748</v>
      </c>
    </row>
    <row r="1221" spans="1:15" x14ac:dyDescent="0.25">
      <c r="A1221" s="62">
        <v>46182</v>
      </c>
      <c r="B1221">
        <v>6</v>
      </c>
      <c r="C1221" t="s">
        <v>1161</v>
      </c>
      <c r="D1221">
        <v>2014421</v>
      </c>
      <c r="E1221" t="s">
        <v>1167</v>
      </c>
      <c r="F1221" t="s">
        <v>1174</v>
      </c>
      <c r="G1221" t="s">
        <v>1136</v>
      </c>
      <c r="H1221" t="s">
        <v>1165</v>
      </c>
      <c r="I1221" s="63">
        <v>46143</v>
      </c>
      <c r="J1221" t="s">
        <v>826</v>
      </c>
      <c r="K1221" t="s">
        <v>1142</v>
      </c>
      <c r="M1221" s="64">
        <v>42808344.869999997</v>
      </c>
      <c r="N1221" s="64">
        <v>-42808344.869999997</v>
      </c>
      <c r="O1221" s="64">
        <v>5854942962.1268749</v>
      </c>
    </row>
    <row r="1222" spans="1:15" x14ac:dyDescent="0.25">
      <c r="A1222" s="58">
        <v>46182</v>
      </c>
      <c r="B1222" s="59">
        <v>6</v>
      </c>
      <c r="C1222" s="59" t="s">
        <v>1161</v>
      </c>
      <c r="D1222" s="59">
        <v>2014422</v>
      </c>
      <c r="E1222" s="59" t="s">
        <v>1167</v>
      </c>
      <c r="F1222" s="59" t="s">
        <v>1174</v>
      </c>
      <c r="G1222" s="59" t="s">
        <v>1136</v>
      </c>
      <c r="H1222" s="59" t="s">
        <v>1165</v>
      </c>
      <c r="I1222" s="60">
        <v>46143</v>
      </c>
      <c r="J1222" s="59" t="s">
        <v>827</v>
      </c>
      <c r="K1222" s="59" t="s">
        <v>1138</v>
      </c>
      <c r="L1222" s="59"/>
      <c r="M1222" s="61">
        <v>53127539</v>
      </c>
      <c r="N1222" s="61">
        <v>-53127539</v>
      </c>
      <c r="O1222" s="61">
        <v>5801815423.1268749</v>
      </c>
    </row>
    <row r="1223" spans="1:15" x14ac:dyDescent="0.25">
      <c r="A1223" s="62">
        <v>46182</v>
      </c>
      <c r="B1223">
        <v>6</v>
      </c>
      <c r="C1223" t="s">
        <v>1161</v>
      </c>
      <c r="D1223">
        <v>2014427</v>
      </c>
      <c r="E1223" t="s">
        <v>1167</v>
      </c>
      <c r="F1223" t="s">
        <v>1174</v>
      </c>
      <c r="G1223" t="s">
        <v>1136</v>
      </c>
      <c r="H1223" t="s">
        <v>1165</v>
      </c>
      <c r="I1223" s="63">
        <v>46143</v>
      </c>
      <c r="J1223" t="s">
        <v>827</v>
      </c>
      <c r="K1223" t="s">
        <v>1170</v>
      </c>
      <c r="M1223" s="64">
        <v>130</v>
      </c>
      <c r="N1223" s="64">
        <v>-130</v>
      </c>
      <c r="O1223" s="64">
        <v>5801815293.1268749</v>
      </c>
    </row>
    <row r="1224" spans="1:15" x14ac:dyDescent="0.25">
      <c r="A1224" s="58">
        <v>46182</v>
      </c>
      <c r="B1224" s="59">
        <v>6</v>
      </c>
      <c r="C1224" s="59" t="s">
        <v>1161</v>
      </c>
      <c r="D1224" s="59">
        <v>2014422</v>
      </c>
      <c r="E1224" s="59" t="s">
        <v>1167</v>
      </c>
      <c r="F1224" s="59" t="s">
        <v>1174</v>
      </c>
      <c r="G1224" s="59" t="s">
        <v>1136</v>
      </c>
      <c r="H1224" s="59" t="s">
        <v>1165</v>
      </c>
      <c r="I1224" s="60">
        <v>46143</v>
      </c>
      <c r="J1224" s="59" t="s">
        <v>827</v>
      </c>
      <c r="K1224" s="59" t="s">
        <v>1138</v>
      </c>
      <c r="L1224" s="59"/>
      <c r="M1224" s="61">
        <v>4144663</v>
      </c>
      <c r="N1224" s="61">
        <v>-4144663</v>
      </c>
      <c r="O1224" s="61">
        <v>5797670630.1268749</v>
      </c>
    </row>
    <row r="1225" spans="1:15" x14ac:dyDescent="0.25">
      <c r="A1225" s="62">
        <v>46183</v>
      </c>
      <c r="B1225">
        <v>6</v>
      </c>
      <c r="C1225" t="s">
        <v>1166</v>
      </c>
      <c r="D1225">
        <v>2054281</v>
      </c>
      <c r="E1225" t="s">
        <v>1167</v>
      </c>
      <c r="F1225" t="s">
        <v>1169</v>
      </c>
      <c r="G1225" t="s">
        <v>1136</v>
      </c>
      <c r="H1225" t="s">
        <v>1155</v>
      </c>
      <c r="I1225" s="63">
        <v>46143</v>
      </c>
      <c r="J1225" t="s">
        <v>833</v>
      </c>
      <c r="K1225" t="s">
        <v>1142</v>
      </c>
      <c r="M1225" s="64">
        <v>15177828.5</v>
      </c>
      <c r="N1225" s="64">
        <v>-15177828.5</v>
      </c>
      <c r="O1225" s="64">
        <v>4997990235.296876</v>
      </c>
    </row>
    <row r="1226" spans="1:15" x14ac:dyDescent="0.25">
      <c r="A1226" s="58">
        <v>46183</v>
      </c>
      <c r="B1226" s="59">
        <v>6</v>
      </c>
      <c r="C1226" s="59" t="s">
        <v>1166</v>
      </c>
      <c r="D1226" s="59">
        <v>2054391</v>
      </c>
      <c r="E1226" s="59" t="s">
        <v>1167</v>
      </c>
      <c r="F1226" s="59" t="s">
        <v>1169</v>
      </c>
      <c r="G1226" s="59" t="s">
        <v>1136</v>
      </c>
      <c r="H1226" s="59" t="s">
        <v>1164</v>
      </c>
      <c r="I1226" s="60">
        <v>46143</v>
      </c>
      <c r="J1226" s="59" t="s">
        <v>834</v>
      </c>
      <c r="K1226" s="59" t="s">
        <v>1142</v>
      </c>
      <c r="L1226" s="59"/>
      <c r="M1226" s="61">
        <v>20553900.5</v>
      </c>
      <c r="N1226" s="61">
        <v>-20553900.5</v>
      </c>
      <c r="O1226" s="61">
        <v>4977436334.796876</v>
      </c>
    </row>
    <row r="1227" spans="1:15" x14ac:dyDescent="0.25">
      <c r="A1227" s="62">
        <v>46183</v>
      </c>
      <c r="B1227">
        <v>6</v>
      </c>
      <c r="C1227" t="s">
        <v>1166</v>
      </c>
      <c r="D1227">
        <v>2014271</v>
      </c>
      <c r="E1227" t="s">
        <v>1167</v>
      </c>
      <c r="F1227" t="s">
        <v>1174</v>
      </c>
      <c r="G1227" t="s">
        <v>1136</v>
      </c>
      <c r="H1227" t="s">
        <v>1154</v>
      </c>
      <c r="I1227" s="63">
        <v>46143</v>
      </c>
      <c r="J1227" t="s">
        <v>835</v>
      </c>
      <c r="K1227" t="s">
        <v>1142</v>
      </c>
      <c r="M1227" s="64">
        <v>22288925.350000001</v>
      </c>
      <c r="N1227" s="64">
        <v>-22288925.350000001</v>
      </c>
      <c r="O1227" s="64">
        <v>4955147409.4468756</v>
      </c>
    </row>
    <row r="1228" spans="1:15" x14ac:dyDescent="0.25">
      <c r="A1228" s="58">
        <v>46183</v>
      </c>
      <c r="B1228" s="59">
        <v>6</v>
      </c>
      <c r="C1228" s="59" t="s">
        <v>1166</v>
      </c>
      <c r="D1228" s="59">
        <v>2014211</v>
      </c>
      <c r="E1228" s="59" t="s">
        <v>1167</v>
      </c>
      <c r="F1228" s="59" t="s">
        <v>1174</v>
      </c>
      <c r="G1228" s="59" t="s">
        <v>1136</v>
      </c>
      <c r="H1228" s="59" t="s">
        <v>1151</v>
      </c>
      <c r="I1228" s="60">
        <v>46143</v>
      </c>
      <c r="J1228" s="59" t="s">
        <v>836</v>
      </c>
      <c r="K1228" s="59" t="s">
        <v>1142</v>
      </c>
      <c r="L1228" s="59"/>
      <c r="M1228" s="61">
        <v>10569691.5</v>
      </c>
      <c r="N1228" s="61">
        <v>-10569691.5</v>
      </c>
      <c r="O1228" s="61">
        <v>4944577717.9468756</v>
      </c>
    </row>
    <row r="1229" spans="1:15" x14ac:dyDescent="0.25">
      <c r="A1229" s="62">
        <v>46184</v>
      </c>
      <c r="B1229">
        <v>6</v>
      </c>
      <c r="C1229" t="s">
        <v>1171</v>
      </c>
      <c r="D1229">
        <v>2044342</v>
      </c>
      <c r="E1229" t="s">
        <v>1167</v>
      </c>
      <c r="F1229" t="s">
        <v>1135</v>
      </c>
      <c r="G1229" t="s">
        <v>1136</v>
      </c>
      <c r="H1229" t="s">
        <v>1156</v>
      </c>
      <c r="I1229" s="63">
        <v>46143</v>
      </c>
      <c r="J1229" t="s">
        <v>837</v>
      </c>
      <c r="K1229" t="s">
        <v>1138</v>
      </c>
      <c r="M1229" s="64">
        <v>17311061.66</v>
      </c>
      <c r="N1229" s="64">
        <v>-17311061.66</v>
      </c>
      <c r="O1229" s="64">
        <v>4927266656.2868757</v>
      </c>
    </row>
    <row r="1230" spans="1:15" x14ac:dyDescent="0.25">
      <c r="A1230" s="58">
        <v>46184</v>
      </c>
      <c r="B1230" s="59">
        <v>6</v>
      </c>
      <c r="C1230" s="59" t="s">
        <v>1171</v>
      </c>
      <c r="D1230" s="59">
        <v>2044344</v>
      </c>
      <c r="E1230" s="59" t="s">
        <v>1167</v>
      </c>
      <c r="F1230" s="59" t="s">
        <v>1135</v>
      </c>
      <c r="G1230" s="59" t="s">
        <v>1136</v>
      </c>
      <c r="H1230" s="59" t="s">
        <v>1156</v>
      </c>
      <c r="I1230" s="60">
        <v>46143</v>
      </c>
      <c r="J1230" s="59" t="s">
        <v>838</v>
      </c>
      <c r="K1230" s="59" t="s">
        <v>1148</v>
      </c>
      <c r="L1230" s="59"/>
      <c r="M1230" s="61">
        <v>1627200</v>
      </c>
      <c r="N1230" s="61">
        <v>-1627200</v>
      </c>
      <c r="O1230" s="61">
        <v>4925639456.2868757</v>
      </c>
    </row>
    <row r="1231" spans="1:15" x14ac:dyDescent="0.25">
      <c r="A1231" s="62">
        <v>46184</v>
      </c>
      <c r="B1231">
        <v>6</v>
      </c>
      <c r="C1231" t="s">
        <v>1171</v>
      </c>
      <c r="D1231">
        <v>2014174</v>
      </c>
      <c r="E1231" t="s">
        <v>1167</v>
      </c>
      <c r="F1231" t="s">
        <v>1174</v>
      </c>
      <c r="G1231" t="s">
        <v>1136</v>
      </c>
      <c r="H1231" t="s">
        <v>1147</v>
      </c>
      <c r="I1231" s="63">
        <v>46143</v>
      </c>
      <c r="J1231" t="s">
        <v>839</v>
      </c>
      <c r="K1231" t="s">
        <v>1148</v>
      </c>
      <c r="M1231" s="64">
        <v>25212000</v>
      </c>
      <c r="N1231" s="64">
        <v>-25212000</v>
      </c>
      <c r="O1231" s="64">
        <v>4900427456.2868757</v>
      </c>
    </row>
    <row r="1232" spans="1:15" x14ac:dyDescent="0.25">
      <c r="A1232" s="58">
        <v>46184</v>
      </c>
      <c r="B1232" s="59">
        <v>6</v>
      </c>
      <c r="C1232" s="59" t="s">
        <v>1171</v>
      </c>
      <c r="D1232" s="59">
        <v>2014162</v>
      </c>
      <c r="E1232" s="59" t="s">
        <v>1167</v>
      </c>
      <c r="F1232" s="59" t="s">
        <v>1174</v>
      </c>
      <c r="G1232" s="59" t="s">
        <v>1136</v>
      </c>
      <c r="H1232" s="59" t="s">
        <v>1162</v>
      </c>
      <c r="I1232" s="60">
        <v>46143</v>
      </c>
      <c r="J1232" s="59" t="s">
        <v>840</v>
      </c>
      <c r="K1232" s="59" t="s">
        <v>1138</v>
      </c>
      <c r="L1232" s="59"/>
      <c r="M1232" s="61">
        <v>1791015.73</v>
      </c>
      <c r="N1232" s="61">
        <v>-1791015.73</v>
      </c>
      <c r="O1232" s="61">
        <v>4898636440.5568762</v>
      </c>
    </row>
    <row r="1233" spans="1:15" x14ac:dyDescent="0.25">
      <c r="A1233" s="62">
        <v>46184</v>
      </c>
      <c r="B1233">
        <v>6</v>
      </c>
      <c r="C1233" t="s">
        <v>1171</v>
      </c>
      <c r="D1233">
        <v>2014165</v>
      </c>
      <c r="E1233" t="s">
        <v>1167</v>
      </c>
      <c r="F1233" t="s">
        <v>1174</v>
      </c>
      <c r="G1233" t="s">
        <v>1136</v>
      </c>
      <c r="H1233" t="s">
        <v>1162</v>
      </c>
      <c r="I1233" s="63">
        <v>46143</v>
      </c>
      <c r="J1233" t="s">
        <v>841</v>
      </c>
      <c r="K1233" t="s">
        <v>1172</v>
      </c>
      <c r="M1233" s="64">
        <v>812566.64</v>
      </c>
      <c r="N1233" s="64">
        <v>-812566.64</v>
      </c>
      <c r="O1233" s="64">
        <v>4897823873.9168758</v>
      </c>
    </row>
    <row r="1234" spans="1:15" x14ac:dyDescent="0.25">
      <c r="A1234" s="58">
        <v>46184</v>
      </c>
      <c r="B1234" s="59">
        <v>6</v>
      </c>
      <c r="C1234" s="59" t="s">
        <v>1171</v>
      </c>
      <c r="D1234" s="59">
        <v>2044402</v>
      </c>
      <c r="E1234" s="59" t="s">
        <v>1167</v>
      </c>
      <c r="F1234" s="59" t="s">
        <v>1135</v>
      </c>
      <c r="G1234" s="59" t="s">
        <v>1136</v>
      </c>
      <c r="H1234" s="59" t="s">
        <v>1159</v>
      </c>
      <c r="I1234" s="60">
        <v>46143</v>
      </c>
      <c r="J1234" s="59" t="s">
        <v>842</v>
      </c>
      <c r="K1234" s="59" t="s">
        <v>1138</v>
      </c>
      <c r="L1234" s="59"/>
      <c r="M1234" s="61">
        <v>21468619.32</v>
      </c>
      <c r="N1234" s="61">
        <v>-21468619.32</v>
      </c>
      <c r="O1234" s="61">
        <v>4876355254.5968761</v>
      </c>
    </row>
    <row r="1235" spans="1:15" x14ac:dyDescent="0.25">
      <c r="A1235" s="62">
        <v>46184</v>
      </c>
      <c r="B1235">
        <v>6</v>
      </c>
      <c r="C1235" t="s">
        <v>1171</v>
      </c>
      <c r="D1235">
        <v>2044407</v>
      </c>
      <c r="E1235" t="s">
        <v>1167</v>
      </c>
      <c r="F1235" t="s">
        <v>1135</v>
      </c>
      <c r="G1235" t="s">
        <v>1136</v>
      </c>
      <c r="H1235" t="s">
        <v>1159</v>
      </c>
      <c r="I1235" s="63">
        <v>46143</v>
      </c>
      <c r="J1235" t="s">
        <v>842</v>
      </c>
      <c r="K1235" t="s">
        <v>1170</v>
      </c>
      <c r="M1235" s="64">
        <v>800</v>
      </c>
      <c r="N1235" s="64">
        <v>-800</v>
      </c>
      <c r="O1235" s="64">
        <v>4876354454.5968761</v>
      </c>
    </row>
    <row r="1236" spans="1:15" x14ac:dyDescent="0.25">
      <c r="A1236" s="58">
        <v>46184</v>
      </c>
      <c r="B1236" s="59">
        <v>6</v>
      </c>
      <c r="C1236" s="59" t="s">
        <v>1171</v>
      </c>
      <c r="D1236" s="59">
        <v>2044465</v>
      </c>
      <c r="E1236" s="59" t="s">
        <v>1167</v>
      </c>
      <c r="F1236" s="59" t="s">
        <v>1135</v>
      </c>
      <c r="G1236" s="59" t="s">
        <v>1136</v>
      </c>
      <c r="H1236" s="59" t="s">
        <v>1140</v>
      </c>
      <c r="I1236" s="60">
        <v>46143</v>
      </c>
      <c r="J1236" s="59" t="s">
        <v>843</v>
      </c>
      <c r="K1236" s="59" t="s">
        <v>1172</v>
      </c>
      <c r="L1236" s="59"/>
      <c r="M1236" s="61">
        <v>549360.24</v>
      </c>
      <c r="N1236" s="61">
        <v>-549360.24</v>
      </c>
      <c r="O1236" s="61">
        <v>4875805094.3568764</v>
      </c>
    </row>
    <row r="1237" spans="1:15" x14ac:dyDescent="0.25">
      <c r="A1237" s="62">
        <v>46184</v>
      </c>
      <c r="B1237">
        <v>6</v>
      </c>
      <c r="C1237" t="s">
        <v>1171</v>
      </c>
      <c r="D1237">
        <v>2044463</v>
      </c>
      <c r="E1237" t="s">
        <v>1167</v>
      </c>
      <c r="F1237" t="s">
        <v>1135</v>
      </c>
      <c r="G1237" t="s">
        <v>1136</v>
      </c>
      <c r="H1237" t="s">
        <v>1140</v>
      </c>
      <c r="I1237" s="63">
        <v>46143</v>
      </c>
      <c r="J1237" t="s">
        <v>844</v>
      </c>
      <c r="K1237" t="s">
        <v>1146</v>
      </c>
      <c r="M1237" s="64">
        <v>2515869.9900000002</v>
      </c>
      <c r="N1237" s="64">
        <v>-2515869.9900000002</v>
      </c>
      <c r="O1237" s="64">
        <v>4873289224.3668766</v>
      </c>
    </row>
    <row r="1238" spans="1:15" x14ac:dyDescent="0.25">
      <c r="A1238" s="58">
        <v>46184</v>
      </c>
      <c r="B1238" s="59">
        <v>6</v>
      </c>
      <c r="C1238" s="59" t="s">
        <v>1171</v>
      </c>
      <c r="D1238" s="59">
        <v>2044122</v>
      </c>
      <c r="E1238" s="59" t="s">
        <v>1167</v>
      </c>
      <c r="F1238" s="59" t="s">
        <v>1135</v>
      </c>
      <c r="G1238" s="59" t="s">
        <v>1136</v>
      </c>
      <c r="H1238" s="59" t="s">
        <v>1175</v>
      </c>
      <c r="I1238" s="60">
        <v>46082</v>
      </c>
      <c r="J1238" s="59" t="s">
        <v>845</v>
      </c>
      <c r="K1238" s="59" t="s">
        <v>1138</v>
      </c>
      <c r="L1238" s="59"/>
      <c r="M1238" s="61">
        <v>16304345</v>
      </c>
      <c r="N1238" s="61">
        <v>-16304345</v>
      </c>
      <c r="O1238" s="61">
        <v>4856984879.3668766</v>
      </c>
    </row>
    <row r="1239" spans="1:15" x14ac:dyDescent="0.25">
      <c r="A1239" s="62">
        <v>46184</v>
      </c>
      <c r="B1239">
        <v>6</v>
      </c>
      <c r="C1239" t="s">
        <v>1171</v>
      </c>
      <c r="D1239">
        <v>2044122</v>
      </c>
      <c r="E1239" t="s">
        <v>1167</v>
      </c>
      <c r="F1239" t="s">
        <v>1135</v>
      </c>
      <c r="G1239" t="s">
        <v>1136</v>
      </c>
      <c r="H1239" t="s">
        <v>1175</v>
      </c>
      <c r="I1239" s="63">
        <v>46082</v>
      </c>
      <c r="J1239" t="s">
        <v>846</v>
      </c>
      <c r="K1239" t="s">
        <v>1138</v>
      </c>
      <c r="M1239" s="64">
        <v>17480669.800000001</v>
      </c>
      <c r="N1239" s="64">
        <v>-17480669.800000001</v>
      </c>
      <c r="O1239" s="64">
        <v>4839504209.5668764</v>
      </c>
    </row>
    <row r="1240" spans="1:15" x14ac:dyDescent="0.25">
      <c r="A1240" s="58">
        <v>46184</v>
      </c>
      <c r="B1240" s="59">
        <v>6</v>
      </c>
      <c r="C1240" s="59" t="s">
        <v>1171</v>
      </c>
      <c r="D1240" s="59">
        <v>2044122</v>
      </c>
      <c r="E1240" s="59" t="s">
        <v>1167</v>
      </c>
      <c r="F1240" s="59" t="s">
        <v>1135</v>
      </c>
      <c r="G1240" s="59" t="s">
        <v>1136</v>
      </c>
      <c r="H1240" s="59" t="s">
        <v>1175</v>
      </c>
      <c r="I1240" s="60">
        <v>46082</v>
      </c>
      <c r="J1240" s="59" t="s">
        <v>847</v>
      </c>
      <c r="K1240" s="59" t="s">
        <v>1138</v>
      </c>
      <c r="L1240" s="59"/>
      <c r="M1240" s="61">
        <v>17546144.600000001</v>
      </c>
      <c r="N1240" s="61">
        <v>-17546144.600000001</v>
      </c>
      <c r="O1240" s="61">
        <v>4821958064.966876</v>
      </c>
    </row>
    <row r="1241" spans="1:15" x14ac:dyDescent="0.25">
      <c r="A1241" s="62">
        <v>46185</v>
      </c>
      <c r="B1241">
        <v>6</v>
      </c>
      <c r="C1241" t="s">
        <v>1133</v>
      </c>
      <c r="D1241">
        <v>2014362</v>
      </c>
      <c r="E1241" t="s">
        <v>1167</v>
      </c>
      <c r="F1241" t="s">
        <v>1174</v>
      </c>
      <c r="G1241" t="s">
        <v>1136</v>
      </c>
      <c r="H1241" t="s">
        <v>1158</v>
      </c>
      <c r="I1241" s="63">
        <v>46143</v>
      </c>
      <c r="J1241" t="s">
        <v>850</v>
      </c>
      <c r="K1241" t="s">
        <v>1138</v>
      </c>
      <c r="M1241" s="64">
        <v>6948873.7699999996</v>
      </c>
      <c r="N1241" s="64">
        <v>-6948873.7699999996</v>
      </c>
      <c r="O1241" s="64">
        <v>4825366439.1968756</v>
      </c>
    </row>
    <row r="1242" spans="1:15" x14ac:dyDescent="0.25">
      <c r="A1242" s="58">
        <v>46185</v>
      </c>
      <c r="B1242" s="59">
        <v>6</v>
      </c>
      <c r="C1242" s="59" t="s">
        <v>1133</v>
      </c>
      <c r="D1242" s="59">
        <v>2014363</v>
      </c>
      <c r="E1242" s="59" t="s">
        <v>1167</v>
      </c>
      <c r="F1242" s="59" t="s">
        <v>1174</v>
      </c>
      <c r="G1242" s="59" t="s">
        <v>1136</v>
      </c>
      <c r="H1242" s="59" t="s">
        <v>1158</v>
      </c>
      <c r="I1242" s="60">
        <v>46143</v>
      </c>
      <c r="J1242" s="59" t="s">
        <v>851</v>
      </c>
      <c r="K1242" s="59" t="s">
        <v>1146</v>
      </c>
      <c r="L1242" s="59"/>
      <c r="M1242" s="61">
        <v>13548372.5</v>
      </c>
      <c r="N1242" s="61">
        <v>-13548372.5</v>
      </c>
      <c r="O1242" s="61">
        <v>4811818066.6968756</v>
      </c>
    </row>
    <row r="1243" spans="1:15" x14ac:dyDescent="0.25">
      <c r="A1243" s="62">
        <v>46185</v>
      </c>
      <c r="B1243">
        <v>6</v>
      </c>
      <c r="C1243" t="s">
        <v>1133</v>
      </c>
      <c r="D1243">
        <v>2014173</v>
      </c>
      <c r="E1243" t="s">
        <v>1167</v>
      </c>
      <c r="F1243" t="s">
        <v>1174</v>
      </c>
      <c r="G1243" t="s">
        <v>1136</v>
      </c>
      <c r="H1243" t="s">
        <v>1147</v>
      </c>
      <c r="I1243" s="63">
        <v>46143</v>
      </c>
      <c r="J1243" t="s">
        <v>852</v>
      </c>
      <c r="K1243" t="s">
        <v>1146</v>
      </c>
      <c r="M1243" s="64">
        <v>7222108.46</v>
      </c>
      <c r="N1243" s="64">
        <v>-7222108.46</v>
      </c>
      <c r="O1243" s="64">
        <v>4804595958.2368755</v>
      </c>
    </row>
    <row r="1244" spans="1:15" x14ac:dyDescent="0.25">
      <c r="A1244" s="58">
        <v>46185</v>
      </c>
      <c r="B1244" s="59">
        <v>6</v>
      </c>
      <c r="C1244" s="59" t="s">
        <v>1133</v>
      </c>
      <c r="D1244" s="59">
        <v>2014163</v>
      </c>
      <c r="E1244" s="59" t="s">
        <v>1167</v>
      </c>
      <c r="F1244" s="59" t="s">
        <v>1174</v>
      </c>
      <c r="G1244" s="59" t="s">
        <v>1136</v>
      </c>
      <c r="H1244" s="59" t="s">
        <v>1162</v>
      </c>
      <c r="I1244" s="60">
        <v>46143</v>
      </c>
      <c r="J1244" s="59" t="s">
        <v>853</v>
      </c>
      <c r="K1244" s="59" t="s">
        <v>1146</v>
      </c>
      <c r="L1244" s="59"/>
      <c r="M1244" s="61">
        <v>37426307.579999998</v>
      </c>
      <c r="N1244" s="61">
        <v>-37426307.579999998</v>
      </c>
      <c r="O1244" s="61">
        <v>4767169650.6568756</v>
      </c>
    </row>
    <row r="1245" spans="1:15" x14ac:dyDescent="0.25">
      <c r="A1245" s="62">
        <v>46185</v>
      </c>
      <c r="B1245">
        <v>6</v>
      </c>
      <c r="C1245" t="s">
        <v>1133</v>
      </c>
      <c r="D1245">
        <v>2044403</v>
      </c>
      <c r="E1245" t="s">
        <v>1167</v>
      </c>
      <c r="F1245" t="s">
        <v>1135</v>
      </c>
      <c r="G1245" t="s">
        <v>1136</v>
      </c>
      <c r="H1245" t="s">
        <v>1159</v>
      </c>
      <c r="I1245" s="63">
        <v>46143</v>
      </c>
      <c r="J1245" t="s">
        <v>854</v>
      </c>
      <c r="K1245" t="s">
        <v>1146</v>
      </c>
      <c r="M1245" s="64">
        <v>21401761.100000001</v>
      </c>
      <c r="N1245" s="64">
        <v>-21401761.100000001</v>
      </c>
      <c r="O1245" s="64">
        <v>4745767889.5568752</v>
      </c>
    </row>
    <row r="1246" spans="1:15" x14ac:dyDescent="0.25">
      <c r="A1246" s="58">
        <v>46189</v>
      </c>
      <c r="B1246" s="59">
        <v>6</v>
      </c>
      <c r="C1246" s="59" t="s">
        <v>1161</v>
      </c>
      <c r="D1246" s="59">
        <v>2014361</v>
      </c>
      <c r="E1246" s="59" t="s">
        <v>1167</v>
      </c>
      <c r="F1246" s="59" t="s">
        <v>1174</v>
      </c>
      <c r="G1246" s="59" t="s">
        <v>1136</v>
      </c>
      <c r="H1246" s="59" t="s">
        <v>1158</v>
      </c>
      <c r="I1246" s="60">
        <v>46143</v>
      </c>
      <c r="J1246" s="59" t="s">
        <v>857</v>
      </c>
      <c r="K1246" s="59" t="s">
        <v>1142</v>
      </c>
      <c r="L1246" s="59"/>
      <c r="M1246" s="61">
        <v>120599740.2</v>
      </c>
      <c r="N1246" s="61">
        <v>-120599740.2</v>
      </c>
      <c r="O1246" s="61">
        <v>4547929845.7768745</v>
      </c>
    </row>
    <row r="1247" spans="1:15" x14ac:dyDescent="0.25">
      <c r="A1247" s="62">
        <v>46189</v>
      </c>
      <c r="B1247">
        <v>6</v>
      </c>
      <c r="C1247" t="s">
        <v>1161</v>
      </c>
      <c r="D1247">
        <v>2014364</v>
      </c>
      <c r="E1247" t="s">
        <v>1167</v>
      </c>
      <c r="F1247" t="s">
        <v>1174</v>
      </c>
      <c r="G1247" t="s">
        <v>1136</v>
      </c>
      <c r="H1247" t="s">
        <v>1158</v>
      </c>
      <c r="I1247" s="63">
        <v>46143</v>
      </c>
      <c r="J1247" t="s">
        <v>858</v>
      </c>
      <c r="K1247" t="s">
        <v>1148</v>
      </c>
      <c r="M1247" s="64">
        <v>43421780.310000002</v>
      </c>
      <c r="N1247" s="64">
        <v>-43421780.310000002</v>
      </c>
      <c r="O1247" s="64">
        <v>4504508065.4668751</v>
      </c>
    </row>
    <row r="1248" spans="1:15" x14ac:dyDescent="0.25">
      <c r="A1248" s="58">
        <v>46189</v>
      </c>
      <c r="B1248" s="59">
        <v>6</v>
      </c>
      <c r="C1248" s="59" t="s">
        <v>1161</v>
      </c>
      <c r="D1248" s="59">
        <v>2014171</v>
      </c>
      <c r="E1248" s="59" t="s">
        <v>1167</v>
      </c>
      <c r="F1248" s="59" t="s">
        <v>1174</v>
      </c>
      <c r="G1248" s="59" t="s">
        <v>1136</v>
      </c>
      <c r="H1248" s="59" t="s">
        <v>1147</v>
      </c>
      <c r="I1248" s="60">
        <v>46143</v>
      </c>
      <c r="J1248" s="59" t="s">
        <v>859</v>
      </c>
      <c r="K1248" s="59" t="s">
        <v>1142</v>
      </c>
      <c r="L1248" s="59"/>
      <c r="M1248" s="61">
        <v>15959376.99</v>
      </c>
      <c r="N1248" s="61">
        <v>-15959376.99</v>
      </c>
      <c r="O1248" s="61">
        <v>4488548688.4768753</v>
      </c>
    </row>
    <row r="1249" spans="1:15" x14ac:dyDescent="0.25">
      <c r="A1249" s="62">
        <v>46189</v>
      </c>
      <c r="B1249">
        <v>6</v>
      </c>
      <c r="C1249" t="s">
        <v>1161</v>
      </c>
      <c r="D1249">
        <v>2014161</v>
      </c>
      <c r="E1249" t="s">
        <v>1167</v>
      </c>
      <c r="F1249" t="s">
        <v>1174</v>
      </c>
      <c r="G1249" t="s">
        <v>1136</v>
      </c>
      <c r="H1249" t="s">
        <v>1162</v>
      </c>
      <c r="I1249" s="63">
        <v>46143</v>
      </c>
      <c r="J1249" t="s">
        <v>860</v>
      </c>
      <c r="K1249" t="s">
        <v>1142</v>
      </c>
      <c r="M1249" s="64">
        <v>26643510.199999999</v>
      </c>
      <c r="N1249" s="64">
        <v>-26643510.199999999</v>
      </c>
      <c r="O1249" s="64">
        <v>4461905178.2768745</v>
      </c>
    </row>
    <row r="1250" spans="1:15" x14ac:dyDescent="0.25">
      <c r="A1250" s="58">
        <v>46189</v>
      </c>
      <c r="B1250" s="59">
        <v>6</v>
      </c>
      <c r="C1250" s="59" t="s">
        <v>1161</v>
      </c>
      <c r="D1250" s="59">
        <v>2014263</v>
      </c>
      <c r="E1250" s="59" t="s">
        <v>1167</v>
      </c>
      <c r="F1250" s="59" t="s">
        <v>1174</v>
      </c>
      <c r="G1250" s="59" t="s">
        <v>1136</v>
      </c>
      <c r="H1250" s="59" t="s">
        <v>1145</v>
      </c>
      <c r="I1250" s="60">
        <v>46143</v>
      </c>
      <c r="J1250" s="59" t="s">
        <v>861</v>
      </c>
      <c r="K1250" s="59" t="s">
        <v>1146</v>
      </c>
      <c r="L1250" s="59"/>
      <c r="M1250" s="61">
        <v>3150308.58</v>
      </c>
      <c r="N1250" s="61">
        <v>-3150308.58</v>
      </c>
      <c r="O1250" s="61">
        <v>4458754869.6968756</v>
      </c>
    </row>
    <row r="1251" spans="1:15" x14ac:dyDescent="0.25">
      <c r="A1251" s="62">
        <v>46189</v>
      </c>
      <c r="B1251">
        <v>6</v>
      </c>
      <c r="C1251" t="s">
        <v>1161</v>
      </c>
      <c r="D1251">
        <v>2014353</v>
      </c>
      <c r="E1251" t="s">
        <v>1167</v>
      </c>
      <c r="F1251" t="s">
        <v>1174</v>
      </c>
      <c r="G1251" t="s">
        <v>1136</v>
      </c>
      <c r="H1251" t="s">
        <v>1157</v>
      </c>
      <c r="I1251" s="63">
        <v>46143</v>
      </c>
      <c r="J1251" t="s">
        <v>862</v>
      </c>
      <c r="K1251" t="s">
        <v>1146</v>
      </c>
      <c r="M1251" s="64">
        <v>10045739.210000001</v>
      </c>
      <c r="N1251" s="64">
        <v>-10045739.210000001</v>
      </c>
      <c r="O1251" s="64">
        <v>4448709130.4868755</v>
      </c>
    </row>
    <row r="1252" spans="1:15" x14ac:dyDescent="0.25">
      <c r="A1252" s="58">
        <v>46189</v>
      </c>
      <c r="B1252" s="59">
        <v>6</v>
      </c>
      <c r="C1252" s="59" t="s">
        <v>1161</v>
      </c>
      <c r="D1252" s="59">
        <v>2044401</v>
      </c>
      <c r="E1252" s="59" t="s">
        <v>1167</v>
      </c>
      <c r="F1252" s="59" t="s">
        <v>1135</v>
      </c>
      <c r="G1252" s="59" t="s">
        <v>1136</v>
      </c>
      <c r="H1252" s="59" t="s">
        <v>1159</v>
      </c>
      <c r="I1252" s="60">
        <v>46143</v>
      </c>
      <c r="J1252" s="59" t="s">
        <v>863</v>
      </c>
      <c r="K1252" s="59" t="s">
        <v>1142</v>
      </c>
      <c r="L1252" s="59"/>
      <c r="M1252" s="61">
        <v>26686020</v>
      </c>
      <c r="N1252" s="61">
        <v>-26686020</v>
      </c>
      <c r="O1252" s="61">
        <v>4422023110.4868755</v>
      </c>
    </row>
    <row r="1253" spans="1:15" x14ac:dyDescent="0.25">
      <c r="A1253" s="62">
        <v>46189</v>
      </c>
      <c r="B1253">
        <v>6</v>
      </c>
      <c r="C1253" t="s">
        <v>1161</v>
      </c>
      <c r="D1253">
        <v>2044404</v>
      </c>
      <c r="E1253" t="s">
        <v>1167</v>
      </c>
      <c r="F1253" t="s">
        <v>1135</v>
      </c>
      <c r="G1253" t="s">
        <v>1136</v>
      </c>
      <c r="H1253" t="s">
        <v>1159</v>
      </c>
      <c r="I1253" s="63">
        <v>46143</v>
      </c>
      <c r="J1253" t="s">
        <v>864</v>
      </c>
      <c r="K1253" t="s">
        <v>1148</v>
      </c>
      <c r="M1253" s="64">
        <v>25002725.199999999</v>
      </c>
      <c r="N1253" s="64">
        <v>-25002725.199999999</v>
      </c>
      <c r="O1253" s="64">
        <v>4397020385.2868757</v>
      </c>
    </row>
    <row r="1254" spans="1:15" x14ac:dyDescent="0.25">
      <c r="A1254" s="58">
        <v>46189</v>
      </c>
      <c r="B1254" s="59">
        <v>6</v>
      </c>
      <c r="C1254" s="59" t="s">
        <v>1161</v>
      </c>
      <c r="D1254" s="59">
        <v>2044406</v>
      </c>
      <c r="E1254" s="59" t="s">
        <v>1167</v>
      </c>
      <c r="F1254" s="59" t="s">
        <v>1135</v>
      </c>
      <c r="G1254" s="59" t="s">
        <v>1136</v>
      </c>
      <c r="H1254" s="59" t="s">
        <v>1159</v>
      </c>
      <c r="I1254" s="60">
        <v>46143</v>
      </c>
      <c r="J1254" s="59" t="s">
        <v>864</v>
      </c>
      <c r="K1254" s="59" t="s">
        <v>1150</v>
      </c>
      <c r="L1254" s="59"/>
      <c r="M1254" s="61">
        <v>570288.00999999989</v>
      </c>
      <c r="N1254" s="61">
        <v>-570288.00999999989</v>
      </c>
      <c r="O1254" s="61">
        <v>4396450097.2768745</v>
      </c>
    </row>
    <row r="1255" spans="1:15" x14ac:dyDescent="0.25">
      <c r="A1255" s="62">
        <v>46189</v>
      </c>
      <c r="B1255">
        <v>6</v>
      </c>
      <c r="C1255" t="s">
        <v>1161</v>
      </c>
      <c r="D1255">
        <v>2044404</v>
      </c>
      <c r="E1255" t="s">
        <v>1167</v>
      </c>
      <c r="F1255" t="s">
        <v>1135</v>
      </c>
      <c r="G1255" t="s">
        <v>1136</v>
      </c>
      <c r="H1255" t="s">
        <v>1159</v>
      </c>
      <c r="I1255" s="63">
        <v>46143</v>
      </c>
      <c r="J1255" t="s">
        <v>864</v>
      </c>
      <c r="K1255" t="s">
        <v>1148</v>
      </c>
      <c r="M1255" s="64">
        <v>6892327.1399999997</v>
      </c>
      <c r="N1255" s="64">
        <v>-6892327.1399999997</v>
      </c>
      <c r="O1255" s="64">
        <v>4389557770.1368752</v>
      </c>
    </row>
    <row r="1256" spans="1:15" x14ac:dyDescent="0.25">
      <c r="A1256" s="58">
        <v>46189</v>
      </c>
      <c r="B1256" s="59">
        <v>6</v>
      </c>
      <c r="C1256" s="59" t="s">
        <v>1161</v>
      </c>
      <c r="D1256" s="59">
        <v>2044126</v>
      </c>
      <c r="E1256" s="59" t="s">
        <v>1167</v>
      </c>
      <c r="F1256" s="59" t="s">
        <v>1135</v>
      </c>
      <c r="G1256" s="59" t="s">
        <v>1136</v>
      </c>
      <c r="H1256" s="59" t="s">
        <v>1175</v>
      </c>
      <c r="I1256" s="60">
        <v>46143</v>
      </c>
      <c r="J1256" s="59" t="s">
        <v>865</v>
      </c>
      <c r="K1256" s="59" t="s">
        <v>1150</v>
      </c>
      <c r="L1256" s="59"/>
      <c r="M1256" s="61">
        <v>9397683.9100000001</v>
      </c>
      <c r="N1256" s="61">
        <v>-9397683.9100000001</v>
      </c>
      <c r="O1256" s="61">
        <v>4380160086.2268753</v>
      </c>
    </row>
    <row r="1257" spans="1:15" x14ac:dyDescent="0.25">
      <c r="A1257" s="62">
        <v>46189</v>
      </c>
      <c r="B1257">
        <v>6</v>
      </c>
      <c r="C1257" t="s">
        <v>1161</v>
      </c>
      <c r="D1257">
        <v>2044126</v>
      </c>
      <c r="E1257" t="s">
        <v>1167</v>
      </c>
      <c r="F1257" t="s">
        <v>1135</v>
      </c>
      <c r="G1257" t="s">
        <v>1136</v>
      </c>
      <c r="H1257" t="s">
        <v>1175</v>
      </c>
      <c r="I1257" s="63">
        <v>46143</v>
      </c>
      <c r="J1257" t="s">
        <v>866</v>
      </c>
      <c r="K1257" t="s">
        <v>1150</v>
      </c>
      <c r="M1257" s="64">
        <v>5115318.47</v>
      </c>
      <c r="N1257" s="64">
        <v>-5115318.47</v>
      </c>
      <c r="O1257" s="64">
        <v>4375044767.756875</v>
      </c>
    </row>
    <row r="1258" spans="1:15" x14ac:dyDescent="0.25">
      <c r="A1258" s="58">
        <v>46189</v>
      </c>
      <c r="B1258" s="59">
        <v>6</v>
      </c>
      <c r="C1258" s="59" t="s">
        <v>1161</v>
      </c>
      <c r="D1258" s="59">
        <v>2044126</v>
      </c>
      <c r="E1258" s="59" t="s">
        <v>1167</v>
      </c>
      <c r="F1258" s="59" t="s">
        <v>1135</v>
      </c>
      <c r="G1258" s="59" t="s">
        <v>1136</v>
      </c>
      <c r="H1258" s="59" t="s">
        <v>1175</v>
      </c>
      <c r="I1258" s="60">
        <v>46143</v>
      </c>
      <c r="J1258" s="59" t="s">
        <v>867</v>
      </c>
      <c r="K1258" s="59" t="s">
        <v>1150</v>
      </c>
      <c r="L1258" s="59"/>
      <c r="M1258" s="61">
        <v>725783.2</v>
      </c>
      <c r="N1258" s="61">
        <v>-725783.2</v>
      </c>
      <c r="O1258" s="61">
        <v>4374318984.5568752</v>
      </c>
    </row>
    <row r="1259" spans="1:15" x14ac:dyDescent="0.25">
      <c r="A1259" s="62">
        <v>46189</v>
      </c>
      <c r="B1259">
        <v>6</v>
      </c>
      <c r="C1259" t="s">
        <v>1161</v>
      </c>
      <c r="D1259">
        <v>2044126</v>
      </c>
      <c r="E1259" t="s">
        <v>1167</v>
      </c>
      <c r="F1259" t="s">
        <v>1135</v>
      </c>
      <c r="G1259" t="s">
        <v>1136</v>
      </c>
      <c r="H1259" t="s">
        <v>1175</v>
      </c>
      <c r="I1259" s="63">
        <v>46143</v>
      </c>
      <c r="J1259" t="s">
        <v>868</v>
      </c>
      <c r="K1259" t="s">
        <v>1150</v>
      </c>
      <c r="M1259" s="64">
        <v>562526.80000000005</v>
      </c>
      <c r="N1259" s="64">
        <v>-562526.80000000005</v>
      </c>
      <c r="O1259" s="64">
        <v>4373756457.756875</v>
      </c>
    </row>
    <row r="1260" spans="1:15" x14ac:dyDescent="0.25">
      <c r="A1260" s="58">
        <v>46189</v>
      </c>
      <c r="B1260" s="59">
        <v>6</v>
      </c>
      <c r="C1260" s="59" t="s">
        <v>1161</v>
      </c>
      <c r="D1260" s="59">
        <v>2044416</v>
      </c>
      <c r="E1260" s="59" t="s">
        <v>1167</v>
      </c>
      <c r="F1260" s="59" t="s">
        <v>1135</v>
      </c>
      <c r="G1260" s="59" t="s">
        <v>1136</v>
      </c>
      <c r="H1260" s="59" t="s">
        <v>1160</v>
      </c>
      <c r="I1260" s="60">
        <v>46082</v>
      </c>
      <c r="J1260" s="59" t="s">
        <v>869</v>
      </c>
      <c r="K1260" s="59" t="s">
        <v>1150</v>
      </c>
      <c r="L1260" s="59"/>
      <c r="M1260" s="61">
        <v>55778.14</v>
      </c>
      <c r="N1260" s="61">
        <v>-55778.14</v>
      </c>
      <c r="O1260" s="61">
        <v>4373700679.6168747</v>
      </c>
    </row>
    <row r="1261" spans="1:15" x14ac:dyDescent="0.25">
      <c r="A1261" s="62">
        <v>46189</v>
      </c>
      <c r="B1261">
        <v>6</v>
      </c>
      <c r="C1261" t="s">
        <v>1161</v>
      </c>
      <c r="D1261">
        <v>2044366</v>
      </c>
      <c r="E1261" t="s">
        <v>1167</v>
      </c>
      <c r="F1261" t="s">
        <v>1135</v>
      </c>
      <c r="G1261" t="s">
        <v>1136</v>
      </c>
      <c r="H1261" t="s">
        <v>1158</v>
      </c>
      <c r="I1261" s="63">
        <v>46054</v>
      </c>
      <c r="J1261" t="s">
        <v>870</v>
      </c>
      <c r="K1261" t="s">
        <v>1150</v>
      </c>
      <c r="M1261" s="64">
        <v>19580.16</v>
      </c>
      <c r="N1261" s="64">
        <v>-19580.16</v>
      </c>
      <c r="O1261" s="64">
        <v>4373681099.4568748</v>
      </c>
    </row>
    <row r="1262" spans="1:15" x14ac:dyDescent="0.25">
      <c r="A1262" s="58">
        <v>46189</v>
      </c>
      <c r="B1262" s="59">
        <v>6</v>
      </c>
      <c r="C1262" s="59" t="s">
        <v>1161</v>
      </c>
      <c r="D1262" s="59">
        <v>2044366</v>
      </c>
      <c r="E1262" s="59" t="s">
        <v>1167</v>
      </c>
      <c r="F1262" s="59" t="s">
        <v>1135</v>
      </c>
      <c r="G1262" s="59" t="s">
        <v>1136</v>
      </c>
      <c r="H1262" s="59" t="s">
        <v>1158</v>
      </c>
      <c r="I1262" s="60">
        <v>46082</v>
      </c>
      <c r="J1262" s="59" t="s">
        <v>871</v>
      </c>
      <c r="K1262" s="59" t="s">
        <v>1150</v>
      </c>
      <c r="L1262" s="59"/>
      <c r="M1262" s="61">
        <v>558933.69999999995</v>
      </c>
      <c r="N1262" s="61">
        <v>-558933.69999999995</v>
      </c>
      <c r="O1262" s="61">
        <v>4373122165.756875</v>
      </c>
    </row>
    <row r="1263" spans="1:15" x14ac:dyDescent="0.25">
      <c r="A1263" s="62">
        <v>46189</v>
      </c>
      <c r="B1263">
        <v>6</v>
      </c>
      <c r="C1263" t="s">
        <v>1161</v>
      </c>
      <c r="D1263">
        <v>2044366</v>
      </c>
      <c r="E1263" t="s">
        <v>1167</v>
      </c>
      <c r="F1263" t="s">
        <v>1135</v>
      </c>
      <c r="G1263" t="s">
        <v>1136</v>
      </c>
      <c r="H1263" t="s">
        <v>1158</v>
      </c>
      <c r="I1263" s="63">
        <v>46113</v>
      </c>
      <c r="J1263" t="s">
        <v>872</v>
      </c>
      <c r="K1263" t="s">
        <v>1150</v>
      </c>
      <c r="M1263" s="64">
        <v>146102.18</v>
      </c>
      <c r="N1263" s="64">
        <v>-146102.18</v>
      </c>
      <c r="O1263" s="64">
        <v>4372976063.5768747</v>
      </c>
    </row>
    <row r="1264" spans="1:15" x14ac:dyDescent="0.25">
      <c r="A1264" s="58">
        <v>46189</v>
      </c>
      <c r="B1264" s="59">
        <v>6</v>
      </c>
      <c r="C1264" s="59" t="s">
        <v>1161</v>
      </c>
      <c r="D1264" s="59">
        <v>2014216</v>
      </c>
      <c r="E1264" s="59" t="s">
        <v>1167</v>
      </c>
      <c r="F1264" s="59" t="s">
        <v>1174</v>
      </c>
      <c r="G1264" s="59" t="s">
        <v>1136</v>
      </c>
      <c r="H1264" s="59" t="s">
        <v>1151</v>
      </c>
      <c r="I1264" s="60">
        <v>45839</v>
      </c>
      <c r="J1264" s="59" t="s">
        <v>873</v>
      </c>
      <c r="K1264" s="59" t="s">
        <v>1150</v>
      </c>
      <c r="L1264" s="59"/>
      <c r="M1264" s="61">
        <v>8037.91</v>
      </c>
      <c r="N1264" s="61">
        <v>-8037.91</v>
      </c>
      <c r="O1264" s="61">
        <v>4372968025.6668749</v>
      </c>
    </row>
    <row r="1265" spans="1:15" x14ac:dyDescent="0.25">
      <c r="A1265" s="62">
        <v>46189</v>
      </c>
      <c r="B1265">
        <v>6</v>
      </c>
      <c r="C1265" t="s">
        <v>1161</v>
      </c>
      <c r="D1265">
        <v>1044212</v>
      </c>
      <c r="E1265" t="s">
        <v>1134</v>
      </c>
      <c r="F1265" t="s">
        <v>1135</v>
      </c>
      <c r="G1265" t="s">
        <v>1136</v>
      </c>
      <c r="H1265" t="s">
        <v>1151</v>
      </c>
      <c r="I1265" s="63">
        <v>46143</v>
      </c>
      <c r="J1265" t="s">
        <v>876</v>
      </c>
      <c r="K1265" t="s">
        <v>1138</v>
      </c>
      <c r="L1265" s="64">
        <v>11109323.43</v>
      </c>
      <c r="N1265" s="64">
        <v>11109323.43</v>
      </c>
      <c r="O1265" s="64">
        <v>4477541806.0168753</v>
      </c>
    </row>
    <row r="1266" spans="1:15" x14ac:dyDescent="0.25">
      <c r="A1266" s="58">
        <v>46189</v>
      </c>
      <c r="B1266" s="59">
        <v>6</v>
      </c>
      <c r="C1266" s="59" t="s">
        <v>1161</v>
      </c>
      <c r="D1266" s="59">
        <v>1044462</v>
      </c>
      <c r="E1266" s="59" t="s">
        <v>1134</v>
      </c>
      <c r="F1266" s="59" t="s">
        <v>1135</v>
      </c>
      <c r="G1266" s="59" t="s">
        <v>1136</v>
      </c>
      <c r="H1266" s="59" t="s">
        <v>1140</v>
      </c>
      <c r="I1266" s="60">
        <v>46143</v>
      </c>
      <c r="J1266" s="59" t="s">
        <v>876</v>
      </c>
      <c r="K1266" s="59" t="s">
        <v>1138</v>
      </c>
      <c r="L1266" s="61">
        <v>1677249.93</v>
      </c>
      <c r="M1266" s="59"/>
      <c r="N1266" s="61">
        <v>1677249.93</v>
      </c>
      <c r="O1266" s="61">
        <v>4479219055.9468756</v>
      </c>
    </row>
    <row r="1267" spans="1:15" x14ac:dyDescent="0.25">
      <c r="A1267" s="62">
        <v>46189</v>
      </c>
      <c r="B1267">
        <v>6</v>
      </c>
      <c r="C1267" t="s">
        <v>1161</v>
      </c>
      <c r="D1267">
        <v>1044322</v>
      </c>
      <c r="E1267" t="s">
        <v>1134</v>
      </c>
      <c r="F1267" t="s">
        <v>1135</v>
      </c>
      <c r="G1267" t="s">
        <v>1136</v>
      </c>
      <c r="H1267" t="s">
        <v>1143</v>
      </c>
      <c r="I1267" s="63">
        <v>46143</v>
      </c>
      <c r="J1267" t="s">
        <v>876</v>
      </c>
      <c r="K1267" t="s">
        <v>1138</v>
      </c>
      <c r="L1267" s="64">
        <v>19087700</v>
      </c>
      <c r="N1267" s="64">
        <v>19087700</v>
      </c>
      <c r="O1267" s="64">
        <v>4498306755.9468756</v>
      </c>
    </row>
    <row r="1268" spans="1:15" x14ac:dyDescent="0.25">
      <c r="A1268" s="58">
        <v>46189</v>
      </c>
      <c r="B1268" s="59">
        <v>6</v>
      </c>
      <c r="C1268" s="59" t="s">
        <v>1161</v>
      </c>
      <c r="D1268" s="59">
        <v>1044162</v>
      </c>
      <c r="E1268" s="59" t="s">
        <v>1134</v>
      </c>
      <c r="F1268" s="59" t="s">
        <v>1135</v>
      </c>
      <c r="G1268" s="59" t="s">
        <v>1136</v>
      </c>
      <c r="H1268" s="59" t="s">
        <v>1162</v>
      </c>
      <c r="I1268" s="60">
        <v>46143</v>
      </c>
      <c r="J1268" s="59" t="s">
        <v>876</v>
      </c>
      <c r="K1268" s="59" t="s">
        <v>1138</v>
      </c>
      <c r="L1268" s="61">
        <v>1630109.2</v>
      </c>
      <c r="M1268" s="59"/>
      <c r="N1268" s="61">
        <v>1630109.2</v>
      </c>
      <c r="O1268" s="61">
        <v>4499936865.1468754</v>
      </c>
    </row>
    <row r="1269" spans="1:15" x14ac:dyDescent="0.25">
      <c r="A1269" s="62">
        <v>46189</v>
      </c>
      <c r="B1269">
        <v>6</v>
      </c>
      <c r="C1269" t="s">
        <v>1161</v>
      </c>
      <c r="D1269">
        <v>1044262</v>
      </c>
      <c r="E1269" t="s">
        <v>1134</v>
      </c>
      <c r="F1269" t="s">
        <v>1135</v>
      </c>
      <c r="G1269" t="s">
        <v>1136</v>
      </c>
      <c r="H1269" t="s">
        <v>1145</v>
      </c>
      <c r="I1269" s="63">
        <v>46143</v>
      </c>
      <c r="J1269" t="s">
        <v>876</v>
      </c>
      <c r="K1269" t="s">
        <v>1138</v>
      </c>
      <c r="L1269" s="64">
        <v>6392650</v>
      </c>
      <c r="N1269" s="64">
        <v>6392650</v>
      </c>
      <c r="O1269" s="64">
        <v>4506329515.1468754</v>
      </c>
    </row>
    <row r="1270" spans="1:15" x14ac:dyDescent="0.25">
      <c r="A1270" s="58">
        <v>46189</v>
      </c>
      <c r="B1270" s="59">
        <v>6</v>
      </c>
      <c r="C1270" s="59" t="s">
        <v>1161</v>
      </c>
      <c r="D1270" s="59">
        <v>1044272</v>
      </c>
      <c r="E1270" s="59" t="s">
        <v>1134</v>
      </c>
      <c r="F1270" s="59" t="s">
        <v>1135</v>
      </c>
      <c r="G1270" s="59" t="s">
        <v>1136</v>
      </c>
      <c r="H1270" s="59" t="s">
        <v>1154</v>
      </c>
      <c r="I1270" s="60">
        <v>46143</v>
      </c>
      <c r="J1270" s="59" t="s">
        <v>876</v>
      </c>
      <c r="K1270" s="59" t="s">
        <v>1138</v>
      </c>
      <c r="L1270" s="61">
        <v>5059803.13</v>
      </c>
      <c r="M1270" s="59"/>
      <c r="N1270" s="61">
        <v>5059803.13</v>
      </c>
      <c r="O1270" s="61">
        <v>4511389318.2768745</v>
      </c>
    </row>
    <row r="1271" spans="1:15" x14ac:dyDescent="0.25">
      <c r="A1271" s="62">
        <v>46189</v>
      </c>
      <c r="B1271">
        <v>6</v>
      </c>
      <c r="C1271" t="s">
        <v>1161</v>
      </c>
      <c r="D1271">
        <v>1044282</v>
      </c>
      <c r="E1271" t="s">
        <v>1134</v>
      </c>
      <c r="F1271" t="s">
        <v>1135</v>
      </c>
      <c r="G1271" t="s">
        <v>1136</v>
      </c>
      <c r="H1271" t="s">
        <v>1155</v>
      </c>
      <c r="I1271" s="63">
        <v>46143</v>
      </c>
      <c r="J1271" t="s">
        <v>876</v>
      </c>
      <c r="K1271" t="s">
        <v>1138</v>
      </c>
      <c r="L1271" s="64">
        <v>37808700</v>
      </c>
      <c r="N1271" s="64">
        <v>37808700</v>
      </c>
      <c r="O1271" s="64">
        <v>4549198018.2768745</v>
      </c>
    </row>
    <row r="1272" spans="1:15" x14ac:dyDescent="0.25">
      <c r="A1272" s="58">
        <v>46189</v>
      </c>
      <c r="B1272" s="59">
        <v>6</v>
      </c>
      <c r="C1272" s="59" t="s">
        <v>1161</v>
      </c>
      <c r="D1272" s="59">
        <v>1044342</v>
      </c>
      <c r="E1272" s="59" t="s">
        <v>1134</v>
      </c>
      <c r="F1272" s="59" t="s">
        <v>1135</v>
      </c>
      <c r="G1272" s="59" t="s">
        <v>1136</v>
      </c>
      <c r="H1272" s="59" t="s">
        <v>1156</v>
      </c>
      <c r="I1272" s="60">
        <v>46143</v>
      </c>
      <c r="J1272" s="59" t="s">
        <v>876</v>
      </c>
      <c r="K1272" s="59" t="s">
        <v>1138</v>
      </c>
      <c r="L1272" s="61">
        <v>17311061.66</v>
      </c>
      <c r="M1272" s="59"/>
      <c r="N1272" s="61">
        <v>17311061.66</v>
      </c>
      <c r="O1272" s="61">
        <v>4566509079.9368753</v>
      </c>
    </row>
    <row r="1273" spans="1:15" x14ac:dyDescent="0.25">
      <c r="A1273" s="62">
        <v>46189</v>
      </c>
      <c r="B1273">
        <v>6</v>
      </c>
      <c r="C1273" t="s">
        <v>1161</v>
      </c>
      <c r="D1273">
        <v>1044352</v>
      </c>
      <c r="E1273" t="s">
        <v>1134</v>
      </c>
      <c r="F1273" t="s">
        <v>1135</v>
      </c>
      <c r="G1273" t="s">
        <v>1136</v>
      </c>
      <c r="H1273" t="s">
        <v>1157</v>
      </c>
      <c r="I1273" s="63">
        <v>46143</v>
      </c>
      <c r="J1273" t="s">
        <v>876</v>
      </c>
      <c r="K1273" t="s">
        <v>1138</v>
      </c>
      <c r="L1273" s="64">
        <v>6616458.2000000002</v>
      </c>
      <c r="N1273" s="64">
        <v>6616458.2000000002</v>
      </c>
      <c r="O1273" s="64">
        <v>4573125538.1368752</v>
      </c>
    </row>
    <row r="1274" spans="1:15" x14ac:dyDescent="0.25">
      <c r="A1274" s="58">
        <v>46189</v>
      </c>
      <c r="B1274" s="59">
        <v>6</v>
      </c>
      <c r="C1274" s="59" t="s">
        <v>1161</v>
      </c>
      <c r="D1274" s="59">
        <v>1044362</v>
      </c>
      <c r="E1274" s="59" t="s">
        <v>1134</v>
      </c>
      <c r="F1274" s="59" t="s">
        <v>1135</v>
      </c>
      <c r="G1274" s="59" t="s">
        <v>1136</v>
      </c>
      <c r="H1274" s="59" t="s">
        <v>1158</v>
      </c>
      <c r="I1274" s="60">
        <v>46143</v>
      </c>
      <c r="J1274" s="59" t="s">
        <v>876</v>
      </c>
      <c r="K1274" s="59" t="s">
        <v>1138</v>
      </c>
      <c r="L1274" s="61">
        <v>6948873.7699999996</v>
      </c>
      <c r="M1274" s="59"/>
      <c r="N1274" s="61">
        <v>6948873.7699999996</v>
      </c>
      <c r="O1274" s="61">
        <v>4580074411.9068756</v>
      </c>
    </row>
    <row r="1275" spans="1:15" x14ac:dyDescent="0.25">
      <c r="A1275" s="62">
        <v>46189</v>
      </c>
      <c r="B1275">
        <v>6</v>
      </c>
      <c r="C1275" t="s">
        <v>1161</v>
      </c>
      <c r="D1275">
        <v>1044372</v>
      </c>
      <c r="E1275" t="s">
        <v>1134</v>
      </c>
      <c r="F1275" t="s">
        <v>1135</v>
      </c>
      <c r="G1275" t="s">
        <v>1136</v>
      </c>
      <c r="H1275" t="s">
        <v>1141</v>
      </c>
      <c r="I1275" s="63">
        <v>46143</v>
      </c>
      <c r="J1275" t="s">
        <v>876</v>
      </c>
      <c r="K1275" t="s">
        <v>1138</v>
      </c>
      <c r="L1275" s="64">
        <v>30955022.670000002</v>
      </c>
      <c r="N1275" s="64">
        <v>30955022.670000002</v>
      </c>
      <c r="O1275" s="64">
        <v>4611029434.5768757</v>
      </c>
    </row>
    <row r="1276" spans="1:15" x14ac:dyDescent="0.25">
      <c r="A1276" s="58">
        <v>46189</v>
      </c>
      <c r="B1276" s="59">
        <v>6</v>
      </c>
      <c r="C1276" s="59" t="s">
        <v>1161</v>
      </c>
      <c r="D1276" s="59">
        <v>1044402</v>
      </c>
      <c r="E1276" s="59" t="s">
        <v>1134</v>
      </c>
      <c r="F1276" s="59" t="s">
        <v>1135</v>
      </c>
      <c r="G1276" s="59" t="s">
        <v>1136</v>
      </c>
      <c r="H1276" s="59" t="s">
        <v>1159</v>
      </c>
      <c r="I1276" s="60">
        <v>46143</v>
      </c>
      <c r="J1276" s="59" t="s">
        <v>876</v>
      </c>
      <c r="K1276" s="59" t="s">
        <v>1138</v>
      </c>
      <c r="L1276" s="61">
        <v>21468619.32</v>
      </c>
      <c r="M1276" s="59"/>
      <c r="N1276" s="61">
        <v>21468619.32</v>
      </c>
      <c r="O1276" s="61">
        <v>4632498053.8968754</v>
      </c>
    </row>
    <row r="1277" spans="1:15" x14ac:dyDescent="0.25">
      <c r="A1277" s="62">
        <v>46189</v>
      </c>
      <c r="B1277">
        <v>6</v>
      </c>
      <c r="C1277" t="s">
        <v>1161</v>
      </c>
      <c r="D1277">
        <v>1044412</v>
      </c>
      <c r="E1277" t="s">
        <v>1134</v>
      </c>
      <c r="F1277" t="s">
        <v>1135</v>
      </c>
      <c r="G1277" t="s">
        <v>1136</v>
      </c>
      <c r="H1277" t="s">
        <v>1160</v>
      </c>
      <c r="I1277" s="63">
        <v>46143</v>
      </c>
      <c r="J1277" t="s">
        <v>876</v>
      </c>
      <c r="K1277" t="s">
        <v>1138</v>
      </c>
      <c r="L1277" s="64">
        <v>4365000.53</v>
      </c>
      <c r="N1277" s="64">
        <v>4365000.53</v>
      </c>
      <c r="O1277" s="64">
        <v>4636863054.4268751</v>
      </c>
    </row>
    <row r="1278" spans="1:15" x14ac:dyDescent="0.25">
      <c r="A1278" s="58">
        <v>46189</v>
      </c>
      <c r="B1278" s="59">
        <v>6</v>
      </c>
      <c r="C1278" s="59" t="s">
        <v>1161</v>
      </c>
      <c r="D1278" s="59">
        <v>1044422</v>
      </c>
      <c r="E1278" s="59" t="s">
        <v>1134</v>
      </c>
      <c r="F1278" s="59" t="s">
        <v>1135</v>
      </c>
      <c r="G1278" s="59" t="s">
        <v>1136</v>
      </c>
      <c r="H1278" s="59" t="s">
        <v>1165</v>
      </c>
      <c r="I1278" s="60">
        <v>46143</v>
      </c>
      <c r="J1278" s="59" t="s">
        <v>876</v>
      </c>
      <c r="K1278" s="59" t="s">
        <v>1138</v>
      </c>
      <c r="L1278" s="61">
        <v>53127426.899999999</v>
      </c>
      <c r="M1278" s="59"/>
      <c r="N1278" s="61">
        <v>53127426.899999999</v>
      </c>
      <c r="O1278" s="61">
        <v>4689990481.3268747</v>
      </c>
    </row>
    <row r="1279" spans="1:15" x14ac:dyDescent="0.25">
      <c r="A1279" s="62">
        <v>46189</v>
      </c>
      <c r="B1279">
        <v>6</v>
      </c>
      <c r="C1279" t="s">
        <v>1161</v>
      </c>
      <c r="D1279">
        <v>1044161</v>
      </c>
      <c r="E1279" t="s">
        <v>1134</v>
      </c>
      <c r="F1279" t="s">
        <v>1135</v>
      </c>
      <c r="G1279" t="s">
        <v>1136</v>
      </c>
      <c r="H1279" t="s">
        <v>1162</v>
      </c>
      <c r="I1279" s="63">
        <v>46113</v>
      </c>
      <c r="J1279" t="s">
        <v>877</v>
      </c>
      <c r="K1279" t="s">
        <v>1142</v>
      </c>
      <c r="L1279" s="64">
        <v>7167177.5</v>
      </c>
      <c r="N1279" s="64">
        <v>7167177.5</v>
      </c>
      <c r="O1279" s="64">
        <v>4735634704.6068745</v>
      </c>
    </row>
    <row r="1280" spans="1:15" x14ac:dyDescent="0.25">
      <c r="A1280" s="58">
        <v>46189</v>
      </c>
      <c r="B1280" s="59">
        <v>6</v>
      </c>
      <c r="C1280" s="59" t="s">
        <v>1161</v>
      </c>
      <c r="D1280" s="59">
        <v>1044171</v>
      </c>
      <c r="E1280" s="59" t="s">
        <v>1134</v>
      </c>
      <c r="F1280" s="59" t="s">
        <v>1135</v>
      </c>
      <c r="G1280" s="59" t="s">
        <v>1136</v>
      </c>
      <c r="H1280" s="59" t="s">
        <v>1147</v>
      </c>
      <c r="I1280" s="60">
        <v>46113</v>
      </c>
      <c r="J1280" s="59" t="s">
        <v>877</v>
      </c>
      <c r="K1280" s="59" t="s">
        <v>1142</v>
      </c>
      <c r="L1280" s="61">
        <v>3716994.375</v>
      </c>
      <c r="M1280" s="59"/>
      <c r="N1280" s="61">
        <v>3716994.375</v>
      </c>
      <c r="O1280" s="61">
        <v>4739351698.9818745</v>
      </c>
    </row>
    <row r="1281" spans="1:15" x14ac:dyDescent="0.25">
      <c r="A1281" s="62">
        <v>46189</v>
      </c>
      <c r="B1281">
        <v>6</v>
      </c>
      <c r="C1281" t="s">
        <v>1161</v>
      </c>
      <c r="D1281">
        <v>1044201</v>
      </c>
      <c r="E1281" t="s">
        <v>1134</v>
      </c>
      <c r="F1281" t="s">
        <v>1135</v>
      </c>
      <c r="G1281" t="s">
        <v>1136</v>
      </c>
      <c r="H1281" t="s">
        <v>1139</v>
      </c>
      <c r="I1281" s="63">
        <v>46113</v>
      </c>
      <c r="J1281" t="s">
        <v>877</v>
      </c>
      <c r="K1281" t="s">
        <v>1142</v>
      </c>
      <c r="L1281" s="64">
        <v>4388521</v>
      </c>
      <c r="N1281" s="64">
        <v>4388521</v>
      </c>
      <c r="O1281" s="64">
        <v>4743740219.9818745</v>
      </c>
    </row>
    <row r="1282" spans="1:15" x14ac:dyDescent="0.25">
      <c r="A1282" s="58">
        <v>46189</v>
      </c>
      <c r="B1282" s="59">
        <v>6</v>
      </c>
      <c r="C1282" s="59" t="s">
        <v>1161</v>
      </c>
      <c r="D1282" s="59">
        <v>1044211</v>
      </c>
      <c r="E1282" s="59" t="s">
        <v>1134</v>
      </c>
      <c r="F1282" s="59" t="s">
        <v>1135</v>
      </c>
      <c r="G1282" s="59" t="s">
        <v>1136</v>
      </c>
      <c r="H1282" s="59" t="s">
        <v>1151</v>
      </c>
      <c r="I1282" s="60">
        <v>46113</v>
      </c>
      <c r="J1282" s="59" t="s">
        <v>877</v>
      </c>
      <c r="K1282" s="59" t="s">
        <v>1142</v>
      </c>
      <c r="L1282" s="61">
        <v>549802.5</v>
      </c>
      <c r="M1282" s="59"/>
      <c r="N1282" s="61">
        <v>549802.5</v>
      </c>
      <c r="O1282" s="61">
        <v>4744290022.4818745</v>
      </c>
    </row>
    <row r="1283" spans="1:15" x14ac:dyDescent="0.25">
      <c r="A1283" s="62">
        <v>46189</v>
      </c>
      <c r="B1283">
        <v>6</v>
      </c>
      <c r="C1283" t="s">
        <v>1161</v>
      </c>
      <c r="D1283">
        <v>1044241</v>
      </c>
      <c r="E1283" t="s">
        <v>1134</v>
      </c>
      <c r="F1283" t="s">
        <v>1135</v>
      </c>
      <c r="G1283" t="s">
        <v>1136</v>
      </c>
      <c r="H1283" t="s">
        <v>1153</v>
      </c>
      <c r="I1283" s="63">
        <v>46113</v>
      </c>
      <c r="J1283" t="s">
        <v>877</v>
      </c>
      <c r="K1283" t="s">
        <v>1142</v>
      </c>
      <c r="L1283" s="64">
        <v>3879630.25</v>
      </c>
      <c r="N1283" s="64">
        <v>3879630.25</v>
      </c>
      <c r="O1283" s="64">
        <v>4748169652.7318745</v>
      </c>
    </row>
    <row r="1284" spans="1:15" x14ac:dyDescent="0.25">
      <c r="A1284" s="58">
        <v>46189</v>
      </c>
      <c r="B1284" s="59">
        <v>6</v>
      </c>
      <c r="C1284" s="59" t="s">
        <v>1161</v>
      </c>
      <c r="D1284" s="59">
        <v>1044261</v>
      </c>
      <c r="E1284" s="59" t="s">
        <v>1134</v>
      </c>
      <c r="F1284" s="59" t="s">
        <v>1135</v>
      </c>
      <c r="G1284" s="59" t="s">
        <v>1136</v>
      </c>
      <c r="H1284" s="59" t="s">
        <v>1145</v>
      </c>
      <c r="I1284" s="60">
        <v>46113</v>
      </c>
      <c r="J1284" s="59" t="s">
        <v>877</v>
      </c>
      <c r="K1284" s="59" t="s">
        <v>1142</v>
      </c>
      <c r="L1284" s="61">
        <v>1551806.75</v>
      </c>
      <c r="M1284" s="59"/>
      <c r="N1284" s="61">
        <v>1551806.75</v>
      </c>
      <c r="O1284" s="61">
        <v>4749721459.4818745</v>
      </c>
    </row>
    <row r="1285" spans="1:15" x14ac:dyDescent="0.25">
      <c r="A1285" s="62">
        <v>46189</v>
      </c>
      <c r="B1285">
        <v>6</v>
      </c>
      <c r="C1285" t="s">
        <v>1161</v>
      </c>
      <c r="D1285">
        <v>1044271</v>
      </c>
      <c r="E1285" t="s">
        <v>1134</v>
      </c>
      <c r="F1285" t="s">
        <v>1135</v>
      </c>
      <c r="G1285" t="s">
        <v>1136</v>
      </c>
      <c r="H1285" t="s">
        <v>1154</v>
      </c>
      <c r="I1285" s="63">
        <v>46113</v>
      </c>
      <c r="J1285" t="s">
        <v>877</v>
      </c>
      <c r="K1285" t="s">
        <v>1142</v>
      </c>
      <c r="L1285" s="64">
        <v>4743122</v>
      </c>
      <c r="N1285" s="64">
        <v>4743122</v>
      </c>
      <c r="O1285" s="64">
        <v>4754464581.4818745</v>
      </c>
    </row>
    <row r="1286" spans="1:15" x14ac:dyDescent="0.25">
      <c r="A1286" s="58">
        <v>46189</v>
      </c>
      <c r="B1286" s="59">
        <v>6</v>
      </c>
      <c r="C1286" s="59" t="s">
        <v>1161</v>
      </c>
      <c r="D1286" s="59">
        <v>1044281</v>
      </c>
      <c r="E1286" s="59" t="s">
        <v>1134</v>
      </c>
      <c r="F1286" s="59" t="s">
        <v>1135</v>
      </c>
      <c r="G1286" s="59" t="s">
        <v>1136</v>
      </c>
      <c r="H1286" s="59" t="s">
        <v>1155</v>
      </c>
      <c r="I1286" s="60">
        <v>46113</v>
      </c>
      <c r="J1286" s="59" t="s">
        <v>877</v>
      </c>
      <c r="K1286" s="59" t="s">
        <v>1142</v>
      </c>
      <c r="L1286" s="61">
        <v>10997192</v>
      </c>
      <c r="M1286" s="59"/>
      <c r="N1286" s="61">
        <v>10997192</v>
      </c>
      <c r="O1286" s="61">
        <v>4765461773.4818745</v>
      </c>
    </row>
    <row r="1287" spans="1:15" x14ac:dyDescent="0.25">
      <c r="A1287" s="62">
        <v>46189</v>
      </c>
      <c r="B1287">
        <v>6</v>
      </c>
      <c r="C1287" t="s">
        <v>1161</v>
      </c>
      <c r="D1287">
        <v>1044461</v>
      </c>
      <c r="E1287" t="s">
        <v>1134</v>
      </c>
      <c r="F1287" t="s">
        <v>1135</v>
      </c>
      <c r="G1287" t="s">
        <v>1136</v>
      </c>
      <c r="H1287" t="s">
        <v>1140</v>
      </c>
      <c r="I1287" s="63">
        <v>46113</v>
      </c>
      <c r="J1287" t="s">
        <v>877</v>
      </c>
      <c r="K1287" t="s">
        <v>1142</v>
      </c>
      <c r="L1287" s="64">
        <v>772032.38588696346</v>
      </c>
      <c r="N1287" s="64">
        <v>772032.38588696346</v>
      </c>
      <c r="O1287" s="64">
        <v>4766233805.8677616</v>
      </c>
    </row>
    <row r="1288" spans="1:15" x14ac:dyDescent="0.25">
      <c r="A1288" s="58">
        <v>46189</v>
      </c>
      <c r="B1288" s="59">
        <v>6</v>
      </c>
      <c r="C1288" s="59" t="s">
        <v>1161</v>
      </c>
      <c r="D1288" s="59">
        <v>1044311</v>
      </c>
      <c r="E1288" s="59" t="s">
        <v>1134</v>
      </c>
      <c r="F1288" s="59" t="s">
        <v>1135</v>
      </c>
      <c r="G1288" s="59" t="s">
        <v>1136</v>
      </c>
      <c r="H1288" s="59" t="s">
        <v>1137</v>
      </c>
      <c r="I1288" s="60">
        <v>46113</v>
      </c>
      <c r="J1288" s="59" t="s">
        <v>877</v>
      </c>
      <c r="K1288" s="59" t="s">
        <v>1142</v>
      </c>
      <c r="L1288" s="61">
        <v>15012681</v>
      </c>
      <c r="M1288" s="59"/>
      <c r="N1288" s="61">
        <v>15012681</v>
      </c>
      <c r="O1288" s="61">
        <v>4781246486.8677616</v>
      </c>
    </row>
    <row r="1289" spans="1:15" x14ac:dyDescent="0.25">
      <c r="A1289" s="62">
        <v>46189</v>
      </c>
      <c r="B1289">
        <v>6</v>
      </c>
      <c r="C1289" t="s">
        <v>1161</v>
      </c>
      <c r="D1289">
        <v>1044321</v>
      </c>
      <c r="E1289" t="s">
        <v>1134</v>
      </c>
      <c r="F1289" t="s">
        <v>1135</v>
      </c>
      <c r="G1289" t="s">
        <v>1136</v>
      </c>
      <c r="H1289" t="s">
        <v>1143</v>
      </c>
      <c r="I1289" s="63">
        <v>46113</v>
      </c>
      <c r="J1289" t="s">
        <v>877</v>
      </c>
      <c r="K1289" t="s">
        <v>1142</v>
      </c>
      <c r="L1289" s="64">
        <v>2840149</v>
      </c>
      <c r="N1289" s="64">
        <v>2840149</v>
      </c>
      <c r="O1289" s="64">
        <v>4784086635.8677616</v>
      </c>
    </row>
    <row r="1290" spans="1:15" x14ac:dyDescent="0.25">
      <c r="A1290" s="58">
        <v>46189</v>
      </c>
      <c r="B1290" s="59">
        <v>6</v>
      </c>
      <c r="C1290" s="59" t="s">
        <v>1161</v>
      </c>
      <c r="D1290" s="59">
        <v>1044351</v>
      </c>
      <c r="E1290" s="59" t="s">
        <v>1134</v>
      </c>
      <c r="F1290" s="59" t="s">
        <v>1135</v>
      </c>
      <c r="G1290" s="59" t="s">
        <v>1136</v>
      </c>
      <c r="H1290" s="59" t="s">
        <v>1157</v>
      </c>
      <c r="I1290" s="60">
        <v>46113</v>
      </c>
      <c r="J1290" s="59" t="s">
        <v>877</v>
      </c>
      <c r="K1290" s="59" t="s">
        <v>1142</v>
      </c>
      <c r="L1290" s="61">
        <v>1245663.3600000001</v>
      </c>
      <c r="M1290" s="59"/>
      <c r="N1290" s="61">
        <v>1245663.3600000001</v>
      </c>
      <c r="O1290" s="61">
        <v>4785332299.2277613</v>
      </c>
    </row>
    <row r="1291" spans="1:15" x14ac:dyDescent="0.25">
      <c r="A1291" s="62">
        <v>46189</v>
      </c>
      <c r="B1291">
        <v>6</v>
      </c>
      <c r="C1291" t="s">
        <v>1161</v>
      </c>
      <c r="D1291">
        <v>1044361</v>
      </c>
      <c r="E1291" t="s">
        <v>1134</v>
      </c>
      <c r="F1291" t="s">
        <v>1135</v>
      </c>
      <c r="G1291" t="s">
        <v>1136</v>
      </c>
      <c r="H1291" t="s">
        <v>1158</v>
      </c>
      <c r="I1291" s="63">
        <v>46113</v>
      </c>
      <c r="J1291" t="s">
        <v>877</v>
      </c>
      <c r="K1291" t="s">
        <v>1142</v>
      </c>
      <c r="L1291" s="64">
        <v>4638558.5999999996</v>
      </c>
      <c r="N1291" s="64">
        <v>4638558.5999999996</v>
      </c>
      <c r="O1291" s="64">
        <v>4789970857.8277617</v>
      </c>
    </row>
    <row r="1292" spans="1:15" x14ac:dyDescent="0.25">
      <c r="A1292" s="58">
        <v>46189</v>
      </c>
      <c r="B1292" s="59">
        <v>6</v>
      </c>
      <c r="C1292" s="59" t="s">
        <v>1161</v>
      </c>
      <c r="D1292" s="59">
        <v>1044371</v>
      </c>
      <c r="E1292" s="59" t="s">
        <v>1134</v>
      </c>
      <c r="F1292" s="59" t="s">
        <v>1135</v>
      </c>
      <c r="G1292" s="59" t="s">
        <v>1136</v>
      </c>
      <c r="H1292" s="59" t="s">
        <v>1141</v>
      </c>
      <c r="I1292" s="60">
        <v>46113</v>
      </c>
      <c r="J1292" s="59" t="s">
        <v>877</v>
      </c>
      <c r="K1292" s="59" t="s">
        <v>1142</v>
      </c>
      <c r="L1292" s="61">
        <v>4737167.4000000004</v>
      </c>
      <c r="M1292" s="59"/>
      <c r="N1292" s="61">
        <v>4737167.4000000004</v>
      </c>
      <c r="O1292" s="61">
        <v>4794708025.2277613</v>
      </c>
    </row>
    <row r="1293" spans="1:15" x14ac:dyDescent="0.25">
      <c r="A1293" s="62">
        <v>46189</v>
      </c>
      <c r="B1293">
        <v>6</v>
      </c>
      <c r="C1293" t="s">
        <v>1161</v>
      </c>
      <c r="D1293">
        <v>1044381</v>
      </c>
      <c r="E1293" t="s">
        <v>1134</v>
      </c>
      <c r="F1293" t="s">
        <v>1135</v>
      </c>
      <c r="G1293" t="s">
        <v>1136</v>
      </c>
      <c r="H1293" t="s">
        <v>1163</v>
      </c>
      <c r="I1293" s="63">
        <v>46113</v>
      </c>
      <c r="J1293" t="s">
        <v>877</v>
      </c>
      <c r="K1293" t="s">
        <v>1142</v>
      </c>
      <c r="L1293" s="64">
        <v>10336993</v>
      </c>
      <c r="N1293" s="64">
        <v>10336993</v>
      </c>
      <c r="O1293" s="64">
        <v>4805045018.2277613</v>
      </c>
    </row>
    <row r="1294" spans="1:15" x14ac:dyDescent="0.25">
      <c r="A1294" s="58">
        <v>46189</v>
      </c>
      <c r="B1294" s="59">
        <v>6</v>
      </c>
      <c r="C1294" s="59" t="s">
        <v>1161</v>
      </c>
      <c r="D1294" s="59">
        <v>1044391</v>
      </c>
      <c r="E1294" s="59" t="s">
        <v>1134</v>
      </c>
      <c r="F1294" s="59" t="s">
        <v>1135</v>
      </c>
      <c r="G1294" s="59" t="s">
        <v>1136</v>
      </c>
      <c r="H1294" s="59" t="s">
        <v>1164</v>
      </c>
      <c r="I1294" s="60">
        <v>46113</v>
      </c>
      <c r="J1294" s="59" t="s">
        <v>877</v>
      </c>
      <c r="K1294" s="59" t="s">
        <v>1142</v>
      </c>
      <c r="L1294" s="61">
        <v>2303220.25</v>
      </c>
      <c r="M1294" s="59"/>
      <c r="N1294" s="61">
        <v>2303220.25</v>
      </c>
      <c r="O1294" s="61">
        <v>4807348238.4777613</v>
      </c>
    </row>
    <row r="1295" spans="1:15" x14ac:dyDescent="0.25">
      <c r="A1295" s="62">
        <v>46189</v>
      </c>
      <c r="B1295">
        <v>6</v>
      </c>
      <c r="C1295" t="s">
        <v>1161</v>
      </c>
      <c r="D1295">
        <v>1044401</v>
      </c>
      <c r="E1295" t="s">
        <v>1134</v>
      </c>
      <c r="F1295" t="s">
        <v>1135</v>
      </c>
      <c r="G1295" t="s">
        <v>1136</v>
      </c>
      <c r="H1295" t="s">
        <v>1159</v>
      </c>
      <c r="I1295" s="63">
        <v>46113</v>
      </c>
      <c r="J1295" t="s">
        <v>877</v>
      </c>
      <c r="K1295" t="s">
        <v>1142</v>
      </c>
      <c r="L1295" s="64">
        <v>5424580.5</v>
      </c>
      <c r="N1295" s="64">
        <v>5424580.5</v>
      </c>
      <c r="O1295" s="64">
        <v>4812772818.9777613</v>
      </c>
    </row>
    <row r="1296" spans="1:15" x14ac:dyDescent="0.25">
      <c r="A1296" s="58">
        <v>46189</v>
      </c>
      <c r="B1296" s="59">
        <v>6</v>
      </c>
      <c r="C1296" s="59" t="s">
        <v>1161</v>
      </c>
      <c r="D1296" s="59">
        <v>1044411</v>
      </c>
      <c r="E1296" s="59" t="s">
        <v>1134</v>
      </c>
      <c r="F1296" s="59" t="s">
        <v>1135</v>
      </c>
      <c r="G1296" s="59" t="s">
        <v>1136</v>
      </c>
      <c r="H1296" s="59" t="s">
        <v>1160</v>
      </c>
      <c r="I1296" s="60">
        <v>46113</v>
      </c>
      <c r="J1296" s="59" t="s">
        <v>877</v>
      </c>
      <c r="K1296" s="59" t="s">
        <v>1142</v>
      </c>
      <c r="L1296" s="61">
        <v>2387565</v>
      </c>
      <c r="M1296" s="59"/>
      <c r="N1296" s="61">
        <v>2387565</v>
      </c>
      <c r="O1296" s="61">
        <v>4815160383.9777613</v>
      </c>
    </row>
    <row r="1297" spans="1:15" x14ac:dyDescent="0.25">
      <c r="A1297" s="62">
        <v>46189</v>
      </c>
      <c r="B1297">
        <v>6</v>
      </c>
      <c r="C1297" t="s">
        <v>1161</v>
      </c>
      <c r="D1297">
        <v>1044421</v>
      </c>
      <c r="E1297" t="s">
        <v>1134</v>
      </c>
      <c r="F1297" t="s">
        <v>1135</v>
      </c>
      <c r="G1297" t="s">
        <v>1136</v>
      </c>
      <c r="H1297" t="s">
        <v>1165</v>
      </c>
      <c r="I1297" s="63">
        <v>46113</v>
      </c>
      <c r="J1297" t="s">
        <v>877</v>
      </c>
      <c r="K1297" t="s">
        <v>1142</v>
      </c>
      <c r="L1297" s="64">
        <v>10008912.68196</v>
      </c>
      <c r="N1297" s="64">
        <v>10008912.68196</v>
      </c>
      <c r="O1297" s="64">
        <v>4825169296.6597214</v>
      </c>
    </row>
    <row r="1298" spans="1:15" x14ac:dyDescent="0.25">
      <c r="A1298" s="58">
        <v>46189</v>
      </c>
      <c r="B1298" s="59">
        <v>6</v>
      </c>
      <c r="C1298" s="59" t="s">
        <v>1161</v>
      </c>
      <c r="D1298" s="59">
        <v>1044161</v>
      </c>
      <c r="E1298" s="59" t="s">
        <v>1134</v>
      </c>
      <c r="F1298" s="59" t="s">
        <v>1135</v>
      </c>
      <c r="G1298" s="59" t="s">
        <v>1136</v>
      </c>
      <c r="H1298" s="59" t="s">
        <v>1162</v>
      </c>
      <c r="I1298" s="60">
        <v>46113</v>
      </c>
      <c r="J1298" s="59" t="s">
        <v>878</v>
      </c>
      <c r="K1298" s="59" t="s">
        <v>1142</v>
      </c>
      <c r="L1298" s="61">
        <v>18072800</v>
      </c>
      <c r="M1298" s="59"/>
      <c r="N1298" s="61">
        <v>18072800</v>
      </c>
      <c r="O1298" s="61">
        <v>5078865126.9697218</v>
      </c>
    </row>
    <row r="1299" spans="1:15" x14ac:dyDescent="0.25">
      <c r="A1299" s="62">
        <v>46189</v>
      </c>
      <c r="B1299">
        <v>6</v>
      </c>
      <c r="C1299" t="s">
        <v>1161</v>
      </c>
      <c r="D1299">
        <v>1044171</v>
      </c>
      <c r="E1299" t="s">
        <v>1134</v>
      </c>
      <c r="F1299" t="s">
        <v>1135</v>
      </c>
      <c r="G1299" t="s">
        <v>1136</v>
      </c>
      <c r="H1299" t="s">
        <v>1147</v>
      </c>
      <c r="I1299" s="63">
        <v>46113</v>
      </c>
      <c r="J1299" t="s">
        <v>878</v>
      </c>
      <c r="K1299" t="s">
        <v>1142</v>
      </c>
      <c r="L1299" s="64">
        <v>9840512.625</v>
      </c>
      <c r="N1299" s="64">
        <v>9840512.625</v>
      </c>
      <c r="O1299" s="64">
        <v>5088705639.5947218</v>
      </c>
    </row>
    <row r="1300" spans="1:15" x14ac:dyDescent="0.25">
      <c r="A1300" s="58">
        <v>46189</v>
      </c>
      <c r="B1300" s="59">
        <v>6</v>
      </c>
      <c r="C1300" s="59" t="s">
        <v>1161</v>
      </c>
      <c r="D1300" s="59">
        <v>1044201</v>
      </c>
      <c r="E1300" s="59" t="s">
        <v>1134</v>
      </c>
      <c r="F1300" s="59" t="s">
        <v>1135</v>
      </c>
      <c r="G1300" s="59" t="s">
        <v>1136</v>
      </c>
      <c r="H1300" s="59" t="s">
        <v>1139</v>
      </c>
      <c r="I1300" s="60">
        <v>46113</v>
      </c>
      <c r="J1300" s="59" t="s">
        <v>878</v>
      </c>
      <c r="K1300" s="59" t="s">
        <v>1142</v>
      </c>
      <c r="L1300" s="61">
        <v>533798.5</v>
      </c>
      <c r="M1300" s="59"/>
      <c r="N1300" s="61">
        <v>533798.5</v>
      </c>
      <c r="O1300" s="61">
        <v>5089239438.0947218</v>
      </c>
    </row>
    <row r="1301" spans="1:15" x14ac:dyDescent="0.25">
      <c r="A1301" s="62">
        <v>46189</v>
      </c>
      <c r="B1301">
        <v>6</v>
      </c>
      <c r="C1301" t="s">
        <v>1161</v>
      </c>
      <c r="D1301">
        <v>1044211</v>
      </c>
      <c r="E1301" t="s">
        <v>1134</v>
      </c>
      <c r="F1301" t="s">
        <v>1135</v>
      </c>
      <c r="G1301" t="s">
        <v>1136</v>
      </c>
      <c r="H1301" t="s">
        <v>1151</v>
      </c>
      <c r="I1301" s="63">
        <v>46113</v>
      </c>
      <c r="J1301" t="s">
        <v>878</v>
      </c>
      <c r="K1301" t="s">
        <v>1142</v>
      </c>
      <c r="L1301" s="64">
        <v>9340640</v>
      </c>
      <c r="N1301" s="64">
        <v>9340640</v>
      </c>
      <c r="O1301" s="64">
        <v>5098580078.0947218</v>
      </c>
    </row>
    <row r="1302" spans="1:15" x14ac:dyDescent="0.25">
      <c r="A1302" s="58">
        <v>46189</v>
      </c>
      <c r="B1302" s="59">
        <v>6</v>
      </c>
      <c r="C1302" s="59" t="s">
        <v>1161</v>
      </c>
      <c r="D1302" s="59">
        <v>1044241</v>
      </c>
      <c r="E1302" s="59" t="s">
        <v>1134</v>
      </c>
      <c r="F1302" s="59" t="s">
        <v>1135</v>
      </c>
      <c r="G1302" s="59" t="s">
        <v>1136</v>
      </c>
      <c r="H1302" s="59" t="s">
        <v>1153</v>
      </c>
      <c r="I1302" s="60">
        <v>46113</v>
      </c>
      <c r="J1302" s="59" t="s">
        <v>878</v>
      </c>
      <c r="K1302" s="59" t="s">
        <v>1142</v>
      </c>
      <c r="L1302" s="61">
        <v>3328301.5</v>
      </c>
      <c r="M1302" s="59"/>
      <c r="N1302" s="61">
        <v>3328301.5</v>
      </c>
      <c r="O1302" s="61">
        <v>5101908379.5947218</v>
      </c>
    </row>
    <row r="1303" spans="1:15" x14ac:dyDescent="0.25">
      <c r="A1303" s="62">
        <v>46189</v>
      </c>
      <c r="B1303">
        <v>6</v>
      </c>
      <c r="C1303" t="s">
        <v>1161</v>
      </c>
      <c r="D1303">
        <v>1044261</v>
      </c>
      <c r="E1303" t="s">
        <v>1134</v>
      </c>
      <c r="F1303" t="s">
        <v>1135</v>
      </c>
      <c r="G1303" t="s">
        <v>1136</v>
      </c>
      <c r="H1303" t="s">
        <v>1145</v>
      </c>
      <c r="I1303" s="63">
        <v>46113</v>
      </c>
      <c r="J1303" t="s">
        <v>878</v>
      </c>
      <c r="K1303" t="s">
        <v>1142</v>
      </c>
      <c r="L1303" s="64">
        <v>3161244.25</v>
      </c>
      <c r="N1303" s="64">
        <v>3161244.25</v>
      </c>
      <c r="O1303" s="64">
        <v>5105069623.8447218</v>
      </c>
    </row>
    <row r="1304" spans="1:15" x14ac:dyDescent="0.25">
      <c r="A1304" s="58">
        <v>46189</v>
      </c>
      <c r="B1304" s="59">
        <v>6</v>
      </c>
      <c r="C1304" s="59" t="s">
        <v>1161</v>
      </c>
      <c r="D1304" s="59">
        <v>1044271</v>
      </c>
      <c r="E1304" s="59" t="s">
        <v>1134</v>
      </c>
      <c r="F1304" s="59" t="s">
        <v>1135</v>
      </c>
      <c r="G1304" s="59" t="s">
        <v>1136</v>
      </c>
      <c r="H1304" s="59" t="s">
        <v>1154</v>
      </c>
      <c r="I1304" s="60">
        <v>46113</v>
      </c>
      <c r="J1304" s="59" t="s">
        <v>878</v>
      </c>
      <c r="K1304" s="59" t="s">
        <v>1142</v>
      </c>
      <c r="L1304" s="61">
        <v>16110684</v>
      </c>
      <c r="M1304" s="59"/>
      <c r="N1304" s="61">
        <v>16110684</v>
      </c>
      <c r="O1304" s="61">
        <v>5121180307.8447218</v>
      </c>
    </row>
    <row r="1305" spans="1:15" x14ac:dyDescent="0.25">
      <c r="A1305" s="62">
        <v>46189</v>
      </c>
      <c r="B1305">
        <v>6</v>
      </c>
      <c r="C1305" t="s">
        <v>1161</v>
      </c>
      <c r="D1305">
        <v>1044281</v>
      </c>
      <c r="E1305" t="s">
        <v>1134</v>
      </c>
      <c r="F1305" t="s">
        <v>1135</v>
      </c>
      <c r="G1305" t="s">
        <v>1136</v>
      </c>
      <c r="H1305" t="s">
        <v>1155</v>
      </c>
      <c r="I1305" s="63">
        <v>46113</v>
      </c>
      <c r="J1305" t="s">
        <v>878</v>
      </c>
      <c r="K1305" t="s">
        <v>1142</v>
      </c>
      <c r="L1305" s="64">
        <v>9268778.5</v>
      </c>
      <c r="N1305" s="64">
        <v>9268778.5</v>
      </c>
      <c r="O1305" s="64">
        <v>5130449086.3447218</v>
      </c>
    </row>
    <row r="1306" spans="1:15" x14ac:dyDescent="0.25">
      <c r="A1306" s="58">
        <v>46189</v>
      </c>
      <c r="B1306" s="59">
        <v>6</v>
      </c>
      <c r="C1306" s="59" t="s">
        <v>1161</v>
      </c>
      <c r="D1306" s="59">
        <v>1044461</v>
      </c>
      <c r="E1306" s="59" t="s">
        <v>1134</v>
      </c>
      <c r="F1306" s="59" t="s">
        <v>1135</v>
      </c>
      <c r="G1306" s="59" t="s">
        <v>1136</v>
      </c>
      <c r="H1306" s="59" t="s">
        <v>1140</v>
      </c>
      <c r="I1306" s="60">
        <v>46113</v>
      </c>
      <c r="J1306" s="59" t="s">
        <v>878</v>
      </c>
      <c r="K1306" s="59" t="s">
        <v>1142</v>
      </c>
      <c r="L1306" s="61">
        <v>2111167.6187359812</v>
      </c>
      <c r="M1306" s="59"/>
      <c r="N1306" s="61">
        <v>2111167.6187359812</v>
      </c>
      <c r="O1306" s="61">
        <v>5132560253.9634581</v>
      </c>
    </row>
    <row r="1307" spans="1:15" x14ac:dyDescent="0.25">
      <c r="A1307" s="62">
        <v>46189</v>
      </c>
      <c r="B1307">
        <v>6</v>
      </c>
      <c r="C1307" t="s">
        <v>1161</v>
      </c>
      <c r="D1307">
        <v>1044321</v>
      </c>
      <c r="E1307" t="s">
        <v>1134</v>
      </c>
      <c r="F1307" t="s">
        <v>1135</v>
      </c>
      <c r="G1307" t="s">
        <v>1136</v>
      </c>
      <c r="H1307" t="s">
        <v>1143</v>
      </c>
      <c r="I1307" s="63">
        <v>46113</v>
      </c>
      <c r="J1307" t="s">
        <v>878</v>
      </c>
      <c r="K1307" t="s">
        <v>1142</v>
      </c>
      <c r="L1307" s="64">
        <v>28275549</v>
      </c>
      <c r="N1307" s="64">
        <v>28275549</v>
      </c>
      <c r="O1307" s="64">
        <v>5160835802.9634581</v>
      </c>
    </row>
    <row r="1308" spans="1:15" x14ac:dyDescent="0.25">
      <c r="A1308" s="58">
        <v>46189</v>
      </c>
      <c r="B1308" s="59">
        <v>6</v>
      </c>
      <c r="C1308" s="59" t="s">
        <v>1161</v>
      </c>
      <c r="D1308" s="59">
        <v>1044351</v>
      </c>
      <c r="E1308" s="59" t="s">
        <v>1134</v>
      </c>
      <c r="F1308" s="59" t="s">
        <v>1135</v>
      </c>
      <c r="G1308" s="59" t="s">
        <v>1136</v>
      </c>
      <c r="H1308" s="59" t="s">
        <v>1157</v>
      </c>
      <c r="I1308" s="60">
        <v>46113</v>
      </c>
      <c r="J1308" s="59" t="s">
        <v>878</v>
      </c>
      <c r="K1308" s="59" t="s">
        <v>1142</v>
      </c>
      <c r="L1308" s="61">
        <v>1878075.12</v>
      </c>
      <c r="M1308" s="59"/>
      <c r="N1308" s="61">
        <v>1878075.12</v>
      </c>
      <c r="O1308" s="61">
        <v>5162713878.0834579</v>
      </c>
    </row>
    <row r="1309" spans="1:15" x14ac:dyDescent="0.25">
      <c r="A1309" s="62">
        <v>46189</v>
      </c>
      <c r="B1309">
        <v>6</v>
      </c>
      <c r="C1309" t="s">
        <v>1161</v>
      </c>
      <c r="D1309">
        <v>1044361</v>
      </c>
      <c r="E1309" t="s">
        <v>1134</v>
      </c>
      <c r="F1309" t="s">
        <v>1135</v>
      </c>
      <c r="G1309" t="s">
        <v>1136</v>
      </c>
      <c r="H1309" t="s">
        <v>1158</v>
      </c>
      <c r="I1309" s="63">
        <v>46113</v>
      </c>
      <c r="J1309" t="s">
        <v>878</v>
      </c>
      <c r="K1309" t="s">
        <v>1142</v>
      </c>
      <c r="L1309" s="64">
        <v>13343391</v>
      </c>
      <c r="N1309" s="64">
        <v>13343391</v>
      </c>
      <c r="O1309" s="64">
        <v>5176057269.0834579</v>
      </c>
    </row>
    <row r="1310" spans="1:15" x14ac:dyDescent="0.25">
      <c r="A1310" s="58">
        <v>46189</v>
      </c>
      <c r="B1310" s="59">
        <v>6</v>
      </c>
      <c r="C1310" s="59" t="s">
        <v>1161</v>
      </c>
      <c r="D1310" s="59">
        <v>1044371</v>
      </c>
      <c r="E1310" s="59" t="s">
        <v>1134</v>
      </c>
      <c r="F1310" s="59" t="s">
        <v>1135</v>
      </c>
      <c r="G1310" s="59" t="s">
        <v>1136</v>
      </c>
      <c r="H1310" s="59" t="s">
        <v>1141</v>
      </c>
      <c r="I1310" s="60">
        <v>46113</v>
      </c>
      <c r="J1310" s="59" t="s">
        <v>878</v>
      </c>
      <c r="K1310" s="59" t="s">
        <v>1142</v>
      </c>
      <c r="L1310" s="61">
        <v>23270039.100000001</v>
      </c>
      <c r="M1310" s="59"/>
      <c r="N1310" s="61">
        <v>23270039.100000001</v>
      </c>
      <c r="O1310" s="61">
        <v>5199327308.1834583</v>
      </c>
    </row>
    <row r="1311" spans="1:15" x14ac:dyDescent="0.25">
      <c r="A1311" s="62">
        <v>46189</v>
      </c>
      <c r="B1311">
        <v>6</v>
      </c>
      <c r="C1311" t="s">
        <v>1161</v>
      </c>
      <c r="D1311">
        <v>1044381</v>
      </c>
      <c r="E1311" t="s">
        <v>1134</v>
      </c>
      <c r="F1311" t="s">
        <v>1135</v>
      </c>
      <c r="G1311" t="s">
        <v>1136</v>
      </c>
      <c r="H1311" t="s">
        <v>1163</v>
      </c>
      <c r="I1311" s="63">
        <v>46113</v>
      </c>
      <c r="J1311" t="s">
        <v>878</v>
      </c>
      <c r="K1311" t="s">
        <v>1142</v>
      </c>
      <c r="L1311" s="64">
        <v>2003197.25</v>
      </c>
      <c r="N1311" s="64">
        <v>2003197.25</v>
      </c>
      <c r="O1311" s="64">
        <v>5201330505.4334583</v>
      </c>
    </row>
    <row r="1312" spans="1:15" x14ac:dyDescent="0.25">
      <c r="A1312" s="58">
        <v>46189</v>
      </c>
      <c r="B1312" s="59">
        <v>6</v>
      </c>
      <c r="C1312" s="59" t="s">
        <v>1161</v>
      </c>
      <c r="D1312" s="59">
        <v>1044391</v>
      </c>
      <c r="E1312" s="59" t="s">
        <v>1134</v>
      </c>
      <c r="F1312" s="59" t="s">
        <v>1135</v>
      </c>
      <c r="G1312" s="59" t="s">
        <v>1136</v>
      </c>
      <c r="H1312" s="59" t="s">
        <v>1164</v>
      </c>
      <c r="I1312" s="60">
        <v>46113</v>
      </c>
      <c r="J1312" s="59" t="s">
        <v>878</v>
      </c>
      <c r="K1312" s="59" t="s">
        <v>1142</v>
      </c>
      <c r="L1312" s="61">
        <v>21067811.5</v>
      </c>
      <c r="M1312" s="59"/>
      <c r="N1312" s="61">
        <v>21067811.5</v>
      </c>
      <c r="O1312" s="61">
        <v>5222398316.9334583</v>
      </c>
    </row>
    <row r="1313" spans="1:15" x14ac:dyDescent="0.25">
      <c r="A1313" s="62">
        <v>46189</v>
      </c>
      <c r="B1313">
        <v>6</v>
      </c>
      <c r="C1313" t="s">
        <v>1161</v>
      </c>
      <c r="D1313">
        <v>1044401</v>
      </c>
      <c r="E1313" t="s">
        <v>1134</v>
      </c>
      <c r="F1313" t="s">
        <v>1135</v>
      </c>
      <c r="G1313" t="s">
        <v>1136</v>
      </c>
      <c r="H1313" t="s">
        <v>1159</v>
      </c>
      <c r="I1313" s="63">
        <v>46113</v>
      </c>
      <c r="J1313" t="s">
        <v>878</v>
      </c>
      <c r="K1313" t="s">
        <v>1142</v>
      </c>
      <c r="L1313" s="64">
        <v>19478217</v>
      </c>
      <c r="N1313" s="64">
        <v>19478217</v>
      </c>
      <c r="O1313" s="64">
        <v>5241876533.9334583</v>
      </c>
    </row>
    <row r="1314" spans="1:15" x14ac:dyDescent="0.25">
      <c r="A1314" s="58">
        <v>46189</v>
      </c>
      <c r="B1314" s="59">
        <v>6</v>
      </c>
      <c r="C1314" s="59" t="s">
        <v>1161</v>
      </c>
      <c r="D1314" s="59">
        <v>1044411</v>
      </c>
      <c r="E1314" s="59" t="s">
        <v>1134</v>
      </c>
      <c r="F1314" s="59" t="s">
        <v>1135</v>
      </c>
      <c r="G1314" s="59" t="s">
        <v>1136</v>
      </c>
      <c r="H1314" s="59" t="s">
        <v>1160</v>
      </c>
      <c r="I1314" s="60">
        <v>46113</v>
      </c>
      <c r="J1314" s="59" t="s">
        <v>878</v>
      </c>
      <c r="K1314" s="59" t="s">
        <v>1142</v>
      </c>
      <c r="L1314" s="61">
        <v>5880840</v>
      </c>
      <c r="M1314" s="59"/>
      <c r="N1314" s="61">
        <v>5880840</v>
      </c>
      <c r="O1314" s="61">
        <v>5247757373.9334583</v>
      </c>
    </row>
    <row r="1315" spans="1:15" x14ac:dyDescent="0.25">
      <c r="A1315" s="62">
        <v>46189</v>
      </c>
      <c r="B1315">
        <v>6</v>
      </c>
      <c r="C1315" t="s">
        <v>1161</v>
      </c>
      <c r="D1315">
        <v>1044421</v>
      </c>
      <c r="E1315" t="s">
        <v>1134</v>
      </c>
      <c r="F1315" t="s">
        <v>1135</v>
      </c>
      <c r="G1315" t="s">
        <v>1136</v>
      </c>
      <c r="H1315" t="s">
        <v>1165</v>
      </c>
      <c r="I1315" s="63">
        <v>46113</v>
      </c>
      <c r="J1315" t="s">
        <v>878</v>
      </c>
      <c r="K1315" t="s">
        <v>1142</v>
      </c>
      <c r="L1315" s="64">
        <v>34552927.747649997</v>
      </c>
      <c r="N1315" s="64">
        <v>34552927.747649997</v>
      </c>
      <c r="O1315" s="64">
        <v>5282310301.6811085</v>
      </c>
    </row>
    <row r="1316" spans="1:15" x14ac:dyDescent="0.25">
      <c r="A1316" s="58">
        <v>46189</v>
      </c>
      <c r="B1316" s="59">
        <v>6</v>
      </c>
      <c r="C1316" s="59" t="s">
        <v>1161</v>
      </c>
      <c r="D1316" s="59">
        <v>1044161</v>
      </c>
      <c r="E1316" s="59" t="s">
        <v>1134</v>
      </c>
      <c r="F1316" s="59" t="s">
        <v>1135</v>
      </c>
      <c r="G1316" s="59" t="s">
        <v>1136</v>
      </c>
      <c r="H1316" s="59" t="s">
        <v>1162</v>
      </c>
      <c r="I1316" s="60">
        <v>46143</v>
      </c>
      <c r="J1316" s="59" t="s">
        <v>879</v>
      </c>
      <c r="K1316" s="59" t="s">
        <v>1142</v>
      </c>
      <c r="L1316" s="61">
        <v>21602675.199999999</v>
      </c>
      <c r="M1316" s="59"/>
      <c r="N1316" s="61">
        <v>21602675.199999999</v>
      </c>
      <c r="O1316" s="61">
        <v>5768671022.8011084</v>
      </c>
    </row>
    <row r="1317" spans="1:15" x14ac:dyDescent="0.25">
      <c r="A1317" s="62">
        <v>46189</v>
      </c>
      <c r="B1317">
        <v>6</v>
      </c>
      <c r="C1317" t="s">
        <v>1161</v>
      </c>
      <c r="D1317">
        <v>1044171</v>
      </c>
      <c r="E1317" t="s">
        <v>1134</v>
      </c>
      <c r="F1317" t="s">
        <v>1135</v>
      </c>
      <c r="G1317" t="s">
        <v>1136</v>
      </c>
      <c r="H1317" t="s">
        <v>1147</v>
      </c>
      <c r="I1317" s="63">
        <v>46143</v>
      </c>
      <c r="J1317" t="s">
        <v>879</v>
      </c>
      <c r="K1317" t="s">
        <v>1142</v>
      </c>
      <c r="L1317" s="64">
        <v>12718030.5</v>
      </c>
      <c r="N1317" s="64">
        <v>12718030.5</v>
      </c>
      <c r="O1317" s="64">
        <v>5781389053.3011084</v>
      </c>
    </row>
    <row r="1318" spans="1:15" x14ac:dyDescent="0.25">
      <c r="A1318" s="58">
        <v>46189</v>
      </c>
      <c r="B1318" s="59">
        <v>6</v>
      </c>
      <c r="C1318" s="59" t="s">
        <v>1161</v>
      </c>
      <c r="D1318" s="59">
        <v>1044201</v>
      </c>
      <c r="E1318" s="59" t="s">
        <v>1134</v>
      </c>
      <c r="F1318" s="59" t="s">
        <v>1135</v>
      </c>
      <c r="G1318" s="59" t="s">
        <v>1136</v>
      </c>
      <c r="H1318" s="59" t="s">
        <v>1139</v>
      </c>
      <c r="I1318" s="60">
        <v>46143</v>
      </c>
      <c r="J1318" s="59" t="s">
        <v>879</v>
      </c>
      <c r="K1318" s="59" t="s">
        <v>1142</v>
      </c>
      <c r="L1318" s="61">
        <v>4657150.5</v>
      </c>
      <c r="M1318" s="59"/>
      <c r="N1318" s="61">
        <v>4657150.5</v>
      </c>
      <c r="O1318" s="61">
        <v>5786046203.8011084</v>
      </c>
    </row>
    <row r="1319" spans="1:15" x14ac:dyDescent="0.25">
      <c r="A1319" s="62">
        <v>46189</v>
      </c>
      <c r="B1319">
        <v>6</v>
      </c>
      <c r="C1319" t="s">
        <v>1161</v>
      </c>
      <c r="D1319">
        <v>1044211</v>
      </c>
      <c r="E1319" t="s">
        <v>1134</v>
      </c>
      <c r="F1319" t="s">
        <v>1135</v>
      </c>
      <c r="G1319" t="s">
        <v>1136</v>
      </c>
      <c r="H1319" t="s">
        <v>1151</v>
      </c>
      <c r="I1319" s="63">
        <v>46143</v>
      </c>
      <c r="J1319" t="s">
        <v>879</v>
      </c>
      <c r="K1319" t="s">
        <v>1142</v>
      </c>
      <c r="L1319" s="64">
        <v>5944405.5</v>
      </c>
      <c r="N1319" s="64">
        <v>5944405.5</v>
      </c>
      <c r="O1319" s="64">
        <v>5791990609.3011084</v>
      </c>
    </row>
    <row r="1320" spans="1:15" x14ac:dyDescent="0.25">
      <c r="A1320" s="58">
        <v>46189</v>
      </c>
      <c r="B1320" s="59">
        <v>6</v>
      </c>
      <c r="C1320" s="59" t="s">
        <v>1161</v>
      </c>
      <c r="D1320" s="59">
        <v>1044241</v>
      </c>
      <c r="E1320" s="59" t="s">
        <v>1134</v>
      </c>
      <c r="F1320" s="59" t="s">
        <v>1135</v>
      </c>
      <c r="G1320" s="59" t="s">
        <v>1136</v>
      </c>
      <c r="H1320" s="59" t="s">
        <v>1153</v>
      </c>
      <c r="I1320" s="60">
        <v>46143</v>
      </c>
      <c r="J1320" s="59" t="s">
        <v>879</v>
      </c>
      <c r="K1320" s="59" t="s">
        <v>1142</v>
      </c>
      <c r="L1320" s="61">
        <v>3360598.5</v>
      </c>
      <c r="M1320" s="59"/>
      <c r="N1320" s="61">
        <v>3360598.5</v>
      </c>
      <c r="O1320" s="61">
        <v>5795351207.8011084</v>
      </c>
    </row>
    <row r="1321" spans="1:15" x14ac:dyDescent="0.25">
      <c r="A1321" s="62">
        <v>46189</v>
      </c>
      <c r="B1321">
        <v>6</v>
      </c>
      <c r="C1321" t="s">
        <v>1161</v>
      </c>
      <c r="D1321">
        <v>1044261</v>
      </c>
      <c r="E1321" t="s">
        <v>1134</v>
      </c>
      <c r="F1321" t="s">
        <v>1135</v>
      </c>
      <c r="G1321" t="s">
        <v>1136</v>
      </c>
      <c r="H1321" t="s">
        <v>1145</v>
      </c>
      <c r="I1321" s="63">
        <v>46143</v>
      </c>
      <c r="J1321" t="s">
        <v>879</v>
      </c>
      <c r="K1321" t="s">
        <v>1142</v>
      </c>
      <c r="L1321" s="64">
        <v>4891576.5</v>
      </c>
      <c r="N1321" s="64">
        <v>4891576.5</v>
      </c>
      <c r="O1321" s="64">
        <v>5800242784.3011084</v>
      </c>
    </row>
    <row r="1322" spans="1:15" x14ac:dyDescent="0.25">
      <c r="A1322" s="58">
        <v>46189</v>
      </c>
      <c r="B1322" s="59">
        <v>6</v>
      </c>
      <c r="C1322" s="59" t="s">
        <v>1161</v>
      </c>
      <c r="D1322" s="59">
        <v>1044271</v>
      </c>
      <c r="E1322" s="59" t="s">
        <v>1134</v>
      </c>
      <c r="F1322" s="59" t="s">
        <v>1135</v>
      </c>
      <c r="G1322" s="59" t="s">
        <v>1136</v>
      </c>
      <c r="H1322" s="59" t="s">
        <v>1154</v>
      </c>
      <c r="I1322" s="60">
        <v>46143</v>
      </c>
      <c r="J1322" s="59" t="s">
        <v>879</v>
      </c>
      <c r="K1322" s="59" t="s">
        <v>1142</v>
      </c>
      <c r="L1322" s="61">
        <v>16036954</v>
      </c>
      <c r="M1322" s="59"/>
      <c r="N1322" s="61">
        <v>16036954</v>
      </c>
      <c r="O1322" s="61">
        <v>5816279738.3011084</v>
      </c>
    </row>
    <row r="1323" spans="1:15" x14ac:dyDescent="0.25">
      <c r="A1323" s="62">
        <v>46189</v>
      </c>
      <c r="B1323">
        <v>6</v>
      </c>
      <c r="C1323" t="s">
        <v>1161</v>
      </c>
      <c r="D1323">
        <v>1044281</v>
      </c>
      <c r="E1323" t="s">
        <v>1134</v>
      </c>
      <c r="F1323" t="s">
        <v>1135</v>
      </c>
      <c r="G1323" t="s">
        <v>1136</v>
      </c>
      <c r="H1323" t="s">
        <v>1155</v>
      </c>
      <c r="I1323" s="63">
        <v>46143</v>
      </c>
      <c r="J1323" t="s">
        <v>879</v>
      </c>
      <c r="K1323" t="s">
        <v>1142</v>
      </c>
      <c r="L1323" s="64">
        <v>12669022.5</v>
      </c>
      <c r="N1323" s="64">
        <v>12669022.5</v>
      </c>
      <c r="O1323" s="64">
        <v>5828948760.8011084</v>
      </c>
    </row>
    <row r="1324" spans="1:15" x14ac:dyDescent="0.25">
      <c r="A1324" s="58">
        <v>46189</v>
      </c>
      <c r="B1324" s="59">
        <v>6</v>
      </c>
      <c r="C1324" s="59" t="s">
        <v>1161</v>
      </c>
      <c r="D1324" s="59">
        <v>1044461</v>
      </c>
      <c r="E1324" s="59" t="s">
        <v>1134</v>
      </c>
      <c r="F1324" s="59" t="s">
        <v>1135</v>
      </c>
      <c r="G1324" s="59" t="s">
        <v>1136</v>
      </c>
      <c r="H1324" s="59" t="s">
        <v>1140</v>
      </c>
      <c r="I1324" s="60">
        <v>46143</v>
      </c>
      <c r="J1324" s="59" t="s">
        <v>879</v>
      </c>
      <c r="K1324" s="59" t="s">
        <v>1142</v>
      </c>
      <c r="L1324" s="61">
        <v>2221047.846042241</v>
      </c>
      <c r="M1324" s="59"/>
      <c r="N1324" s="61">
        <v>2221047.846042241</v>
      </c>
      <c r="O1324" s="61">
        <v>5831169808.647151</v>
      </c>
    </row>
    <row r="1325" spans="1:15" x14ac:dyDescent="0.25">
      <c r="A1325" s="62">
        <v>46189</v>
      </c>
      <c r="B1325">
        <v>6</v>
      </c>
      <c r="C1325" t="s">
        <v>1161</v>
      </c>
      <c r="D1325">
        <v>1044311</v>
      </c>
      <c r="E1325" t="s">
        <v>1134</v>
      </c>
      <c r="F1325" t="s">
        <v>1135</v>
      </c>
      <c r="G1325" t="s">
        <v>1136</v>
      </c>
      <c r="H1325" t="s">
        <v>1137</v>
      </c>
      <c r="I1325" s="63">
        <v>46143</v>
      </c>
      <c r="J1325" t="s">
        <v>879</v>
      </c>
      <c r="K1325" t="s">
        <v>1142</v>
      </c>
      <c r="L1325" s="64">
        <v>22501878.600000001</v>
      </c>
      <c r="N1325" s="64">
        <v>22501878.600000001</v>
      </c>
      <c r="O1325" s="64">
        <v>5853671687.2471514</v>
      </c>
    </row>
    <row r="1326" spans="1:15" x14ac:dyDescent="0.25">
      <c r="A1326" s="58">
        <v>46189</v>
      </c>
      <c r="B1326" s="59">
        <v>6</v>
      </c>
      <c r="C1326" s="59" t="s">
        <v>1161</v>
      </c>
      <c r="D1326" s="59">
        <v>1044321</v>
      </c>
      <c r="E1326" s="59" t="s">
        <v>1134</v>
      </c>
      <c r="F1326" s="59" t="s">
        <v>1135</v>
      </c>
      <c r="G1326" s="59" t="s">
        <v>1136</v>
      </c>
      <c r="H1326" s="59" t="s">
        <v>1143</v>
      </c>
      <c r="I1326" s="60">
        <v>46143</v>
      </c>
      <c r="J1326" s="59" t="s">
        <v>879</v>
      </c>
      <c r="K1326" s="59" t="s">
        <v>1142</v>
      </c>
      <c r="L1326" s="61">
        <v>25230796.5</v>
      </c>
      <c r="M1326" s="59"/>
      <c r="N1326" s="61">
        <v>25230796.5</v>
      </c>
      <c r="O1326" s="61">
        <v>5878902483.7471514</v>
      </c>
    </row>
    <row r="1327" spans="1:15" x14ac:dyDescent="0.25">
      <c r="A1327" s="62">
        <v>46189</v>
      </c>
      <c r="B1327">
        <v>6</v>
      </c>
      <c r="C1327" t="s">
        <v>1161</v>
      </c>
      <c r="D1327">
        <v>1044351</v>
      </c>
      <c r="E1327" t="s">
        <v>1134</v>
      </c>
      <c r="F1327" t="s">
        <v>1135</v>
      </c>
      <c r="G1327" t="s">
        <v>1136</v>
      </c>
      <c r="H1327" t="s">
        <v>1157</v>
      </c>
      <c r="I1327" s="63">
        <v>46143</v>
      </c>
      <c r="J1327" t="s">
        <v>879</v>
      </c>
      <c r="K1327" t="s">
        <v>1142</v>
      </c>
      <c r="L1327" s="64">
        <v>3187399.5359999989</v>
      </c>
      <c r="N1327" s="64">
        <v>3187399.5359999989</v>
      </c>
      <c r="O1327" s="64">
        <v>5882089883.2831516</v>
      </c>
    </row>
    <row r="1328" spans="1:15" x14ac:dyDescent="0.25">
      <c r="A1328" s="58">
        <v>46189</v>
      </c>
      <c r="B1328" s="59">
        <v>6</v>
      </c>
      <c r="C1328" s="59" t="s">
        <v>1161</v>
      </c>
      <c r="D1328" s="59">
        <v>1044361</v>
      </c>
      <c r="E1328" s="59" t="s">
        <v>1134</v>
      </c>
      <c r="F1328" s="59" t="s">
        <v>1135</v>
      </c>
      <c r="G1328" s="59" t="s">
        <v>1136</v>
      </c>
      <c r="H1328" s="59" t="s">
        <v>1158</v>
      </c>
      <c r="I1328" s="60">
        <v>46143</v>
      </c>
      <c r="J1328" s="59" t="s">
        <v>879</v>
      </c>
      <c r="K1328" s="59" t="s">
        <v>1142</v>
      </c>
      <c r="L1328" s="61">
        <v>7996463.4000000004</v>
      </c>
      <c r="M1328" s="59"/>
      <c r="N1328" s="61">
        <v>7996463.4000000004</v>
      </c>
      <c r="O1328" s="61">
        <v>5890086346.6831512</v>
      </c>
    </row>
    <row r="1329" spans="1:15" x14ac:dyDescent="0.25">
      <c r="A1329" s="62">
        <v>46189</v>
      </c>
      <c r="B1329">
        <v>6</v>
      </c>
      <c r="C1329" t="s">
        <v>1161</v>
      </c>
      <c r="D1329">
        <v>1044371</v>
      </c>
      <c r="E1329" t="s">
        <v>1134</v>
      </c>
      <c r="F1329" t="s">
        <v>1135</v>
      </c>
      <c r="G1329" t="s">
        <v>1136</v>
      </c>
      <c r="H1329" t="s">
        <v>1141</v>
      </c>
      <c r="I1329" s="63">
        <v>46143</v>
      </c>
      <c r="J1329" t="s">
        <v>879</v>
      </c>
      <c r="K1329" t="s">
        <v>1142</v>
      </c>
      <c r="L1329" s="64">
        <v>20567233.399999999</v>
      </c>
      <c r="N1329" s="64">
        <v>20567233.399999999</v>
      </c>
      <c r="O1329" s="64">
        <v>5910653580.0831509</v>
      </c>
    </row>
    <row r="1330" spans="1:15" x14ac:dyDescent="0.25">
      <c r="A1330" s="58">
        <v>46189</v>
      </c>
      <c r="B1330" s="59">
        <v>6</v>
      </c>
      <c r="C1330" s="59" t="s">
        <v>1161</v>
      </c>
      <c r="D1330" s="59">
        <v>1044381</v>
      </c>
      <c r="E1330" s="59" t="s">
        <v>1134</v>
      </c>
      <c r="F1330" s="59" t="s">
        <v>1135</v>
      </c>
      <c r="G1330" s="59" t="s">
        <v>1136</v>
      </c>
      <c r="H1330" s="59" t="s">
        <v>1163</v>
      </c>
      <c r="I1330" s="60">
        <v>46143</v>
      </c>
      <c r="J1330" s="59" t="s">
        <v>879</v>
      </c>
      <c r="K1330" s="59" t="s">
        <v>1142</v>
      </c>
      <c r="L1330" s="61">
        <v>9997292.3499999996</v>
      </c>
      <c r="M1330" s="59"/>
      <c r="N1330" s="61">
        <v>9997292.3499999996</v>
      </c>
      <c r="O1330" s="61">
        <v>5920650872.4331512</v>
      </c>
    </row>
    <row r="1331" spans="1:15" x14ac:dyDescent="0.25">
      <c r="A1331" s="62">
        <v>46189</v>
      </c>
      <c r="B1331">
        <v>6</v>
      </c>
      <c r="C1331" t="s">
        <v>1161</v>
      </c>
      <c r="D1331">
        <v>1044391</v>
      </c>
      <c r="E1331" t="s">
        <v>1134</v>
      </c>
      <c r="F1331" t="s">
        <v>1135</v>
      </c>
      <c r="G1331" t="s">
        <v>1136</v>
      </c>
      <c r="H1331" t="s">
        <v>1164</v>
      </c>
      <c r="I1331" s="63">
        <v>46143</v>
      </c>
      <c r="J1331" t="s">
        <v>879</v>
      </c>
      <c r="K1331" t="s">
        <v>1142</v>
      </c>
      <c r="L1331" s="64">
        <v>12515724.75</v>
      </c>
      <c r="N1331" s="64">
        <v>12515724.75</v>
      </c>
      <c r="O1331" s="64">
        <v>5933166597.1831512</v>
      </c>
    </row>
    <row r="1332" spans="1:15" x14ac:dyDescent="0.25">
      <c r="A1332" s="58">
        <v>46189</v>
      </c>
      <c r="B1332" s="59">
        <v>6</v>
      </c>
      <c r="C1332" s="59" t="s">
        <v>1161</v>
      </c>
      <c r="D1332" s="59">
        <v>1044401</v>
      </c>
      <c r="E1332" s="59" t="s">
        <v>1134</v>
      </c>
      <c r="F1332" s="59" t="s">
        <v>1135</v>
      </c>
      <c r="G1332" s="59" t="s">
        <v>1136</v>
      </c>
      <c r="H1332" s="59" t="s">
        <v>1159</v>
      </c>
      <c r="I1332" s="60">
        <v>46143</v>
      </c>
      <c r="J1332" s="59" t="s">
        <v>879</v>
      </c>
      <c r="K1332" s="59" t="s">
        <v>1142</v>
      </c>
      <c r="L1332" s="61">
        <v>23243939.5</v>
      </c>
      <c r="M1332" s="59"/>
      <c r="N1332" s="61">
        <v>23243939.5</v>
      </c>
      <c r="O1332" s="61">
        <v>5956410536.6831512</v>
      </c>
    </row>
    <row r="1333" spans="1:15" x14ac:dyDescent="0.25">
      <c r="A1333" s="62">
        <v>46189</v>
      </c>
      <c r="B1333">
        <v>6</v>
      </c>
      <c r="C1333" t="s">
        <v>1161</v>
      </c>
      <c r="D1333">
        <v>1044411</v>
      </c>
      <c r="E1333" t="s">
        <v>1134</v>
      </c>
      <c r="F1333" t="s">
        <v>1135</v>
      </c>
      <c r="G1333" t="s">
        <v>1136</v>
      </c>
      <c r="H1333" t="s">
        <v>1160</v>
      </c>
      <c r="I1333" s="63">
        <v>46143</v>
      </c>
      <c r="J1333" t="s">
        <v>879</v>
      </c>
      <c r="K1333" t="s">
        <v>1142</v>
      </c>
      <c r="L1333" s="64">
        <v>4706950</v>
      </c>
      <c r="N1333" s="64">
        <v>4706950</v>
      </c>
      <c r="O1333" s="64">
        <v>5961117486.6831512</v>
      </c>
    </row>
    <row r="1334" spans="1:15" x14ac:dyDescent="0.25">
      <c r="A1334" s="58">
        <v>46189</v>
      </c>
      <c r="B1334" s="59">
        <v>6</v>
      </c>
      <c r="C1334" s="59" t="s">
        <v>1161</v>
      </c>
      <c r="D1334" s="59">
        <v>1044421</v>
      </c>
      <c r="E1334" s="59" t="s">
        <v>1134</v>
      </c>
      <c r="F1334" s="59" t="s">
        <v>1135</v>
      </c>
      <c r="G1334" s="59" t="s">
        <v>1136</v>
      </c>
      <c r="H1334" s="59" t="s">
        <v>1165</v>
      </c>
      <c r="I1334" s="60">
        <v>46143</v>
      </c>
      <c r="J1334" s="59" t="s">
        <v>879</v>
      </c>
      <c r="K1334" s="59" t="s">
        <v>1142</v>
      </c>
      <c r="L1334" s="61">
        <v>32691963.97671001</v>
      </c>
      <c r="M1334" s="59"/>
      <c r="N1334" s="61">
        <v>32691963.97671001</v>
      </c>
      <c r="O1334" s="61">
        <v>5993809450.6598616</v>
      </c>
    </row>
    <row r="1335" spans="1:15" x14ac:dyDescent="0.25">
      <c r="A1335" s="62">
        <v>46190</v>
      </c>
      <c r="B1335">
        <v>6</v>
      </c>
      <c r="C1335" t="s">
        <v>1166</v>
      </c>
      <c r="D1335">
        <v>2044122</v>
      </c>
      <c r="E1335" t="s">
        <v>1167</v>
      </c>
      <c r="F1335" t="s">
        <v>1135</v>
      </c>
      <c r="G1335" t="s">
        <v>1136</v>
      </c>
      <c r="H1335" t="s">
        <v>1175</v>
      </c>
      <c r="I1335" s="63">
        <v>46082</v>
      </c>
      <c r="J1335" t="s">
        <v>880</v>
      </c>
      <c r="K1335" t="s">
        <v>1138</v>
      </c>
      <c r="M1335" s="64">
        <v>18197019.399999999</v>
      </c>
      <c r="N1335" s="64">
        <v>-18197019.399999999</v>
      </c>
      <c r="O1335" s="64">
        <v>6320902862.4448633</v>
      </c>
    </row>
    <row r="1336" spans="1:15" x14ac:dyDescent="0.25">
      <c r="A1336" s="58">
        <v>46190</v>
      </c>
      <c r="B1336" s="59">
        <v>6</v>
      </c>
      <c r="C1336" s="59" t="s">
        <v>1166</v>
      </c>
      <c r="D1336" s="59">
        <v>2044122</v>
      </c>
      <c r="E1336" s="59" t="s">
        <v>1167</v>
      </c>
      <c r="F1336" s="59" t="s">
        <v>1135</v>
      </c>
      <c r="G1336" s="59" t="s">
        <v>1136</v>
      </c>
      <c r="H1336" s="59" t="s">
        <v>1175</v>
      </c>
      <c r="I1336" s="60">
        <v>46082</v>
      </c>
      <c r="J1336" s="59" t="s">
        <v>881</v>
      </c>
      <c r="K1336" s="59" t="s">
        <v>1138</v>
      </c>
      <c r="L1336" s="59"/>
      <c r="M1336" s="61">
        <v>16830467.899999999</v>
      </c>
      <c r="N1336" s="61">
        <v>-16830467.899999999</v>
      </c>
      <c r="O1336" s="61">
        <v>6304072394.5448637</v>
      </c>
    </row>
    <row r="1337" spans="1:15" x14ac:dyDescent="0.25">
      <c r="A1337" s="62">
        <v>46191</v>
      </c>
      <c r="B1337">
        <v>6</v>
      </c>
      <c r="C1337" t="s">
        <v>1171</v>
      </c>
      <c r="D1337">
        <v>2014352</v>
      </c>
      <c r="E1337" t="s">
        <v>1167</v>
      </c>
      <c r="F1337" t="s">
        <v>1174</v>
      </c>
      <c r="G1337" t="s">
        <v>1136</v>
      </c>
      <c r="H1337" t="s">
        <v>1157</v>
      </c>
      <c r="I1337" s="63">
        <v>46143</v>
      </c>
      <c r="J1337" t="s">
        <v>882</v>
      </c>
      <c r="K1337" t="s">
        <v>1138</v>
      </c>
      <c r="M1337" s="64">
        <v>6616938.1900000004</v>
      </c>
      <c r="N1337" s="64">
        <v>-6616938.1900000004</v>
      </c>
      <c r="O1337" s="64">
        <v>6297455456.3548641</v>
      </c>
    </row>
    <row r="1338" spans="1:15" x14ac:dyDescent="0.25">
      <c r="A1338" s="58">
        <v>46191</v>
      </c>
      <c r="B1338" s="59">
        <v>6</v>
      </c>
      <c r="C1338" s="59" t="s">
        <v>1171</v>
      </c>
      <c r="D1338" s="59">
        <v>2014354</v>
      </c>
      <c r="E1338" s="59" t="s">
        <v>1167</v>
      </c>
      <c r="F1338" s="59" t="s">
        <v>1174</v>
      </c>
      <c r="G1338" s="59" t="s">
        <v>1136</v>
      </c>
      <c r="H1338" s="59" t="s">
        <v>1157</v>
      </c>
      <c r="I1338" s="60">
        <v>46143</v>
      </c>
      <c r="J1338" s="59" t="s">
        <v>883</v>
      </c>
      <c r="K1338" s="59" t="s">
        <v>1148</v>
      </c>
      <c r="L1338" s="59"/>
      <c r="M1338" s="61">
        <v>6109824</v>
      </c>
      <c r="N1338" s="61">
        <v>-6109824</v>
      </c>
      <c r="O1338" s="61">
        <v>6291345632.3548641</v>
      </c>
    </row>
    <row r="1339" spans="1:15" x14ac:dyDescent="0.25">
      <c r="A1339" s="62">
        <v>46191</v>
      </c>
      <c r="B1339">
        <v>6</v>
      </c>
      <c r="C1339" t="s">
        <v>1171</v>
      </c>
      <c r="D1339">
        <v>2014356</v>
      </c>
      <c r="E1339" t="s">
        <v>1167</v>
      </c>
      <c r="F1339" t="s">
        <v>1174</v>
      </c>
      <c r="G1339" t="s">
        <v>1136</v>
      </c>
      <c r="H1339" t="s">
        <v>1157</v>
      </c>
      <c r="I1339" s="63">
        <v>46143</v>
      </c>
      <c r="J1339" t="s">
        <v>883</v>
      </c>
      <c r="K1339" t="s">
        <v>1150</v>
      </c>
      <c r="M1339" s="64">
        <v>1037827.87</v>
      </c>
      <c r="N1339" s="64">
        <v>-1037827.87</v>
      </c>
      <c r="O1339" s="64">
        <v>6290307804.4848642</v>
      </c>
    </row>
    <row r="1340" spans="1:15" x14ac:dyDescent="0.25">
      <c r="A1340" s="58">
        <v>46191</v>
      </c>
      <c r="B1340" s="59">
        <v>6</v>
      </c>
      <c r="C1340" s="59" t="s">
        <v>1171</v>
      </c>
      <c r="D1340" s="59">
        <v>2044126</v>
      </c>
      <c r="E1340" s="59" t="s">
        <v>1167</v>
      </c>
      <c r="F1340" s="59" t="s">
        <v>1135</v>
      </c>
      <c r="G1340" s="59" t="s">
        <v>1136</v>
      </c>
      <c r="H1340" s="59" t="s">
        <v>1175</v>
      </c>
      <c r="I1340" s="60">
        <v>46143</v>
      </c>
      <c r="J1340" s="59" t="s">
        <v>885</v>
      </c>
      <c r="K1340" s="59" t="s">
        <v>1150</v>
      </c>
      <c r="L1340" s="59"/>
      <c r="M1340" s="61">
        <v>3896166</v>
      </c>
      <c r="N1340" s="61">
        <v>-3896166</v>
      </c>
      <c r="O1340" s="61">
        <v>5970302576.224865</v>
      </c>
    </row>
    <row r="1341" spans="1:15" x14ac:dyDescent="0.25">
      <c r="A1341" s="62">
        <v>46191</v>
      </c>
      <c r="B1341">
        <v>6</v>
      </c>
      <c r="C1341" t="s">
        <v>1171</v>
      </c>
      <c r="D1341">
        <v>2044126</v>
      </c>
      <c r="E1341" t="s">
        <v>1167</v>
      </c>
      <c r="F1341" t="s">
        <v>1135</v>
      </c>
      <c r="G1341" t="s">
        <v>1136</v>
      </c>
      <c r="H1341" t="s">
        <v>1175</v>
      </c>
      <c r="I1341" s="63">
        <v>46143</v>
      </c>
      <c r="J1341" t="s">
        <v>886</v>
      </c>
      <c r="K1341" t="s">
        <v>1150</v>
      </c>
      <c r="M1341" s="64">
        <v>3017442</v>
      </c>
      <c r="N1341" s="64">
        <v>-3017442</v>
      </c>
      <c r="O1341" s="64">
        <v>5967285134.224865</v>
      </c>
    </row>
    <row r="1342" spans="1:15" x14ac:dyDescent="0.25">
      <c r="A1342" s="58">
        <v>46191</v>
      </c>
      <c r="B1342" s="59">
        <v>6</v>
      </c>
      <c r="C1342" s="59" t="s">
        <v>1171</v>
      </c>
      <c r="D1342" s="59">
        <v>2044126</v>
      </c>
      <c r="E1342" s="59" t="s">
        <v>1167</v>
      </c>
      <c r="F1342" s="59" t="s">
        <v>1135</v>
      </c>
      <c r="G1342" s="59" t="s">
        <v>1136</v>
      </c>
      <c r="H1342" s="59" t="s">
        <v>1175</v>
      </c>
      <c r="I1342" s="60">
        <v>46143</v>
      </c>
      <c r="J1342" s="59" t="s">
        <v>887</v>
      </c>
      <c r="K1342" s="59" t="s">
        <v>1150</v>
      </c>
      <c r="L1342" s="59"/>
      <c r="M1342" s="61">
        <v>2450776.27</v>
      </c>
      <c r="N1342" s="61">
        <v>-2450776.27</v>
      </c>
      <c r="O1342" s="61">
        <v>5964834357.9548655</v>
      </c>
    </row>
    <row r="1343" spans="1:15" x14ac:dyDescent="0.25">
      <c r="A1343" s="62">
        <v>46191</v>
      </c>
      <c r="B1343">
        <v>6</v>
      </c>
      <c r="C1343" t="s">
        <v>1171</v>
      </c>
      <c r="D1343">
        <v>2044126</v>
      </c>
      <c r="E1343" t="s">
        <v>1167</v>
      </c>
      <c r="F1343" t="s">
        <v>1135</v>
      </c>
      <c r="G1343" t="s">
        <v>1136</v>
      </c>
      <c r="H1343" t="s">
        <v>1175</v>
      </c>
      <c r="I1343" s="63">
        <v>46143</v>
      </c>
      <c r="J1343" t="s">
        <v>888</v>
      </c>
      <c r="K1343" t="s">
        <v>1150</v>
      </c>
      <c r="M1343" s="64">
        <v>1893205.5</v>
      </c>
      <c r="N1343" s="64">
        <v>-1893205.5</v>
      </c>
      <c r="O1343" s="64">
        <v>5962941152.4548655</v>
      </c>
    </row>
    <row r="1344" spans="1:15" x14ac:dyDescent="0.25">
      <c r="A1344" s="58">
        <v>46191</v>
      </c>
      <c r="B1344" s="59">
        <v>6</v>
      </c>
      <c r="C1344" s="59" t="s">
        <v>1171</v>
      </c>
      <c r="D1344" s="59">
        <v>2044126</v>
      </c>
      <c r="E1344" s="59" t="s">
        <v>1167</v>
      </c>
      <c r="F1344" s="59" t="s">
        <v>1135</v>
      </c>
      <c r="G1344" s="59" t="s">
        <v>1136</v>
      </c>
      <c r="H1344" s="59" t="s">
        <v>1175</v>
      </c>
      <c r="I1344" s="60">
        <v>46143</v>
      </c>
      <c r="J1344" s="59" t="s">
        <v>889</v>
      </c>
      <c r="K1344" s="59" t="s">
        <v>1150</v>
      </c>
      <c r="L1344" s="59"/>
      <c r="M1344" s="61">
        <v>1366381.4</v>
      </c>
      <c r="N1344" s="61">
        <v>-1366381.4</v>
      </c>
      <c r="O1344" s="61">
        <v>5961574771.0548649</v>
      </c>
    </row>
    <row r="1345" spans="1:15" x14ac:dyDescent="0.25">
      <c r="A1345" s="62">
        <v>46191</v>
      </c>
      <c r="B1345">
        <v>6</v>
      </c>
      <c r="C1345" t="s">
        <v>1171</v>
      </c>
      <c r="D1345">
        <v>2044126</v>
      </c>
      <c r="E1345" t="s">
        <v>1167</v>
      </c>
      <c r="F1345" t="s">
        <v>1135</v>
      </c>
      <c r="G1345" t="s">
        <v>1136</v>
      </c>
      <c r="H1345" t="s">
        <v>1175</v>
      </c>
      <c r="I1345" s="63">
        <v>46143</v>
      </c>
      <c r="J1345" t="s">
        <v>890</v>
      </c>
      <c r="K1345" t="s">
        <v>1150</v>
      </c>
      <c r="M1345" s="64">
        <v>982017.4</v>
      </c>
      <c r="N1345" s="64">
        <v>-982017.4</v>
      </c>
      <c r="O1345" s="64">
        <v>5960592753.6548653</v>
      </c>
    </row>
    <row r="1346" spans="1:15" x14ac:dyDescent="0.25">
      <c r="A1346" s="58">
        <v>46191</v>
      </c>
      <c r="B1346" s="59">
        <v>6</v>
      </c>
      <c r="C1346" s="59" t="s">
        <v>1171</v>
      </c>
      <c r="D1346" s="59">
        <v>2044127</v>
      </c>
      <c r="E1346" s="59" t="s">
        <v>1167</v>
      </c>
      <c r="F1346" s="59" t="s">
        <v>1135</v>
      </c>
      <c r="G1346" s="59" t="s">
        <v>1136</v>
      </c>
      <c r="H1346" s="59" t="s">
        <v>1175</v>
      </c>
      <c r="I1346" s="60">
        <v>46143</v>
      </c>
      <c r="J1346" s="59" t="s">
        <v>891</v>
      </c>
      <c r="K1346" s="59" t="s">
        <v>1170</v>
      </c>
      <c r="L1346" s="59"/>
      <c r="M1346" s="61">
        <v>2360423.0299999998</v>
      </c>
      <c r="N1346" s="61">
        <v>-2360423.0299999998</v>
      </c>
      <c r="O1346" s="61">
        <v>5958232330.6248655</v>
      </c>
    </row>
    <row r="1347" spans="1:15" x14ac:dyDescent="0.25">
      <c r="A1347" s="62">
        <v>46192</v>
      </c>
      <c r="B1347">
        <v>6</v>
      </c>
      <c r="C1347" t="s">
        <v>1133</v>
      </c>
      <c r="D1347">
        <v>2044464</v>
      </c>
      <c r="E1347" t="s">
        <v>1167</v>
      </c>
      <c r="F1347" t="s">
        <v>1135</v>
      </c>
      <c r="G1347" t="s">
        <v>1136</v>
      </c>
      <c r="H1347" t="s">
        <v>1140</v>
      </c>
      <c r="I1347" s="63">
        <v>46143</v>
      </c>
      <c r="J1347" t="s">
        <v>892</v>
      </c>
      <c r="K1347" t="s">
        <v>1148</v>
      </c>
      <c r="M1347" s="64">
        <v>6908697.1799999997</v>
      </c>
      <c r="N1347" s="64">
        <v>-6908697.1799999997</v>
      </c>
      <c r="O1347" s="64">
        <v>5951323633.4448652</v>
      </c>
    </row>
    <row r="1348" spans="1:15" x14ac:dyDescent="0.25">
      <c r="A1348" s="58">
        <v>46192</v>
      </c>
      <c r="B1348" s="59">
        <v>6</v>
      </c>
      <c r="C1348" s="59" t="s">
        <v>1133</v>
      </c>
      <c r="D1348" s="59">
        <v>2054314</v>
      </c>
      <c r="E1348" s="59" t="s">
        <v>1167</v>
      </c>
      <c r="F1348" s="59" t="s">
        <v>1169</v>
      </c>
      <c r="G1348" s="59" t="s">
        <v>1136</v>
      </c>
      <c r="H1348" s="59" t="s">
        <v>1137</v>
      </c>
      <c r="I1348" s="60">
        <v>46174</v>
      </c>
      <c r="J1348" s="59" t="s">
        <v>895</v>
      </c>
      <c r="K1348" s="59" t="s">
        <v>1148</v>
      </c>
      <c r="L1348" s="59"/>
      <c r="M1348" s="61">
        <v>40780340</v>
      </c>
      <c r="N1348" s="61">
        <v>-40780340</v>
      </c>
      <c r="O1348" s="61">
        <v>4071795208.5548639</v>
      </c>
    </row>
    <row r="1349" spans="1:15" x14ac:dyDescent="0.25">
      <c r="A1349" s="62">
        <v>46192</v>
      </c>
      <c r="B1349">
        <v>6</v>
      </c>
      <c r="C1349" t="s">
        <v>1133</v>
      </c>
      <c r="D1349">
        <v>2054316</v>
      </c>
      <c r="E1349" t="s">
        <v>1167</v>
      </c>
      <c r="F1349" t="s">
        <v>1169</v>
      </c>
      <c r="G1349" t="s">
        <v>1136</v>
      </c>
      <c r="H1349" t="s">
        <v>1137</v>
      </c>
      <c r="I1349" s="63">
        <v>46174</v>
      </c>
      <c r="J1349" t="s">
        <v>895</v>
      </c>
      <c r="K1349" t="s">
        <v>1150</v>
      </c>
      <c r="M1349" s="64">
        <v>997370.02</v>
      </c>
      <c r="N1349" s="64">
        <v>-997370.02</v>
      </c>
      <c r="O1349" s="64">
        <v>4070797838.5348639</v>
      </c>
    </row>
    <row r="1350" spans="1:15" x14ac:dyDescent="0.25">
      <c r="A1350" s="58">
        <v>46192</v>
      </c>
      <c r="B1350" s="59">
        <v>6</v>
      </c>
      <c r="C1350" s="59" t="s">
        <v>1133</v>
      </c>
      <c r="D1350" s="59">
        <v>1044163</v>
      </c>
      <c r="E1350" s="59" t="s">
        <v>1134</v>
      </c>
      <c r="F1350" s="59" t="s">
        <v>1135</v>
      </c>
      <c r="G1350" s="59" t="s">
        <v>1136</v>
      </c>
      <c r="H1350" s="59" t="s">
        <v>1162</v>
      </c>
      <c r="I1350" s="60">
        <v>46143</v>
      </c>
      <c r="J1350" s="59" t="s">
        <v>896</v>
      </c>
      <c r="K1350" s="59" t="s">
        <v>1146</v>
      </c>
      <c r="L1350" s="61">
        <v>37426307.579999998</v>
      </c>
      <c r="M1350" s="59"/>
      <c r="N1350" s="61">
        <v>37426307.579999998</v>
      </c>
      <c r="O1350" s="61">
        <v>4236490773.1448641</v>
      </c>
    </row>
    <row r="1351" spans="1:15" x14ac:dyDescent="0.25">
      <c r="A1351" s="62">
        <v>46192</v>
      </c>
      <c r="B1351">
        <v>6</v>
      </c>
      <c r="C1351" t="s">
        <v>1133</v>
      </c>
      <c r="D1351">
        <v>1044173</v>
      </c>
      <c r="E1351" t="s">
        <v>1134</v>
      </c>
      <c r="F1351" t="s">
        <v>1135</v>
      </c>
      <c r="G1351" t="s">
        <v>1136</v>
      </c>
      <c r="H1351" t="s">
        <v>1147</v>
      </c>
      <c r="I1351" s="63">
        <v>46143</v>
      </c>
      <c r="J1351" t="s">
        <v>896</v>
      </c>
      <c r="K1351" t="s">
        <v>1146</v>
      </c>
      <c r="L1351" s="64">
        <v>7222108.5099999998</v>
      </c>
      <c r="N1351" s="64">
        <v>7222108.5099999998</v>
      </c>
      <c r="O1351" s="64">
        <v>4243712881.6548638</v>
      </c>
    </row>
    <row r="1352" spans="1:15" x14ac:dyDescent="0.25">
      <c r="A1352" s="58">
        <v>46192</v>
      </c>
      <c r="B1352" s="59">
        <v>6</v>
      </c>
      <c r="C1352" s="59" t="s">
        <v>1133</v>
      </c>
      <c r="D1352" s="59">
        <v>1044243</v>
      </c>
      <c r="E1352" s="59" t="s">
        <v>1134</v>
      </c>
      <c r="F1352" s="59" t="s">
        <v>1135</v>
      </c>
      <c r="G1352" s="59" t="s">
        <v>1136</v>
      </c>
      <c r="H1352" s="59" t="s">
        <v>1153</v>
      </c>
      <c r="I1352" s="60">
        <v>46143</v>
      </c>
      <c r="J1352" s="59" t="s">
        <v>896</v>
      </c>
      <c r="K1352" s="59" t="s">
        <v>1146</v>
      </c>
      <c r="L1352" s="61">
        <v>11080757.18</v>
      </c>
      <c r="M1352" s="59"/>
      <c r="N1352" s="61">
        <v>11080757.18</v>
      </c>
      <c r="O1352" s="61">
        <v>4254793638.8348641</v>
      </c>
    </row>
    <row r="1353" spans="1:15" x14ac:dyDescent="0.25">
      <c r="A1353" s="62">
        <v>46192</v>
      </c>
      <c r="B1353">
        <v>6</v>
      </c>
      <c r="C1353" t="s">
        <v>1133</v>
      </c>
      <c r="D1353">
        <v>1044263</v>
      </c>
      <c r="E1353" t="s">
        <v>1134</v>
      </c>
      <c r="F1353" t="s">
        <v>1135</v>
      </c>
      <c r="G1353" t="s">
        <v>1136</v>
      </c>
      <c r="H1353" t="s">
        <v>1145</v>
      </c>
      <c r="I1353" s="63">
        <v>46143</v>
      </c>
      <c r="J1353" t="s">
        <v>896</v>
      </c>
      <c r="K1353" t="s">
        <v>1146</v>
      </c>
      <c r="L1353" s="64">
        <v>1956739.5</v>
      </c>
      <c r="N1353" s="64">
        <v>1956739.5</v>
      </c>
      <c r="O1353" s="64">
        <v>4256750378.3348641</v>
      </c>
    </row>
    <row r="1354" spans="1:15" x14ac:dyDescent="0.25">
      <c r="A1354" s="58">
        <v>46192</v>
      </c>
      <c r="B1354" s="59">
        <v>6</v>
      </c>
      <c r="C1354" s="59" t="s">
        <v>1133</v>
      </c>
      <c r="D1354" s="59">
        <v>1044463</v>
      </c>
      <c r="E1354" s="59" t="s">
        <v>1134</v>
      </c>
      <c r="F1354" s="59" t="s">
        <v>1135</v>
      </c>
      <c r="G1354" s="59" t="s">
        <v>1136</v>
      </c>
      <c r="H1354" s="59" t="s">
        <v>1140</v>
      </c>
      <c r="I1354" s="60">
        <v>46143</v>
      </c>
      <c r="J1354" s="59" t="s">
        <v>896</v>
      </c>
      <c r="K1354" s="59" t="s">
        <v>1146</v>
      </c>
      <c r="L1354" s="61">
        <v>3668950.8</v>
      </c>
      <c r="M1354" s="59"/>
      <c r="N1354" s="61">
        <v>3668950.8</v>
      </c>
      <c r="O1354" s="61">
        <v>4260419329.1348639</v>
      </c>
    </row>
    <row r="1355" spans="1:15" x14ac:dyDescent="0.25">
      <c r="A1355" s="62">
        <v>46192</v>
      </c>
      <c r="B1355">
        <v>6</v>
      </c>
      <c r="C1355" t="s">
        <v>1133</v>
      </c>
      <c r="D1355">
        <v>1044353</v>
      </c>
      <c r="E1355" t="s">
        <v>1134</v>
      </c>
      <c r="F1355" t="s">
        <v>1135</v>
      </c>
      <c r="G1355" t="s">
        <v>1136</v>
      </c>
      <c r="H1355" t="s">
        <v>1157</v>
      </c>
      <c r="I1355" s="63">
        <v>46143</v>
      </c>
      <c r="J1355" t="s">
        <v>896</v>
      </c>
      <c r="K1355" t="s">
        <v>1146</v>
      </c>
      <c r="L1355" s="64">
        <v>10045739.16</v>
      </c>
      <c r="N1355" s="64">
        <v>10045739.16</v>
      </c>
      <c r="O1355" s="64">
        <v>4270465068.2948642</v>
      </c>
    </row>
    <row r="1356" spans="1:15" x14ac:dyDescent="0.25">
      <c r="A1356" s="58">
        <v>46192</v>
      </c>
      <c r="B1356" s="59">
        <v>6</v>
      </c>
      <c r="C1356" s="59" t="s">
        <v>1133</v>
      </c>
      <c r="D1356" s="59">
        <v>1044363</v>
      </c>
      <c r="E1356" s="59" t="s">
        <v>1134</v>
      </c>
      <c r="F1356" s="59" t="s">
        <v>1135</v>
      </c>
      <c r="G1356" s="59" t="s">
        <v>1136</v>
      </c>
      <c r="H1356" s="59" t="s">
        <v>1158</v>
      </c>
      <c r="I1356" s="60">
        <v>46143</v>
      </c>
      <c r="J1356" s="59" t="s">
        <v>896</v>
      </c>
      <c r="K1356" s="59" t="s">
        <v>1146</v>
      </c>
      <c r="L1356" s="61">
        <v>13548672.5</v>
      </c>
      <c r="M1356" s="59"/>
      <c r="N1356" s="61">
        <v>13548672.5</v>
      </c>
      <c r="O1356" s="61">
        <v>4284013740.7948642</v>
      </c>
    </row>
    <row r="1357" spans="1:15" x14ac:dyDescent="0.25">
      <c r="A1357" s="62">
        <v>46192</v>
      </c>
      <c r="B1357">
        <v>6</v>
      </c>
      <c r="C1357" t="s">
        <v>1133</v>
      </c>
      <c r="D1357">
        <v>1044403</v>
      </c>
      <c r="E1357" t="s">
        <v>1134</v>
      </c>
      <c r="F1357" t="s">
        <v>1135</v>
      </c>
      <c r="G1357" t="s">
        <v>1136</v>
      </c>
      <c r="H1357" t="s">
        <v>1159</v>
      </c>
      <c r="I1357" s="63">
        <v>46143</v>
      </c>
      <c r="J1357" t="s">
        <v>896</v>
      </c>
      <c r="K1357" t="s">
        <v>1146</v>
      </c>
      <c r="L1357" s="64">
        <v>21401761.100000001</v>
      </c>
      <c r="N1357" s="64">
        <v>21401761.100000001</v>
      </c>
      <c r="O1357" s="64">
        <v>4305415501.8948641</v>
      </c>
    </row>
    <row r="1358" spans="1:15" x14ac:dyDescent="0.25">
      <c r="A1358" s="58">
        <v>46192</v>
      </c>
      <c r="B1358" s="59">
        <v>6</v>
      </c>
      <c r="C1358" s="59" t="s">
        <v>1133</v>
      </c>
      <c r="D1358" s="59">
        <v>1044413</v>
      </c>
      <c r="E1358" s="59" t="s">
        <v>1134</v>
      </c>
      <c r="F1358" s="59" t="s">
        <v>1135</v>
      </c>
      <c r="G1358" s="59" t="s">
        <v>1136</v>
      </c>
      <c r="H1358" s="59" t="s">
        <v>1160</v>
      </c>
      <c r="I1358" s="60">
        <v>46143</v>
      </c>
      <c r="J1358" s="59" t="s">
        <v>896</v>
      </c>
      <c r="K1358" s="59" t="s">
        <v>1146</v>
      </c>
      <c r="L1358" s="61">
        <v>12508132.83</v>
      </c>
      <c r="M1358" s="59"/>
      <c r="N1358" s="61">
        <v>12508132.83</v>
      </c>
      <c r="O1358" s="61">
        <v>4317923634.724864</v>
      </c>
    </row>
    <row r="1359" spans="1:15" x14ac:dyDescent="0.25">
      <c r="A1359" s="62">
        <v>46192</v>
      </c>
      <c r="B1359">
        <v>6</v>
      </c>
      <c r="C1359" t="s">
        <v>1133</v>
      </c>
      <c r="D1359">
        <v>1044213</v>
      </c>
      <c r="E1359" t="s">
        <v>1134</v>
      </c>
      <c r="F1359" t="s">
        <v>1135</v>
      </c>
      <c r="G1359" t="s">
        <v>1136</v>
      </c>
      <c r="H1359" t="s">
        <v>1151</v>
      </c>
      <c r="I1359" s="63">
        <v>46143</v>
      </c>
      <c r="J1359" t="s">
        <v>896</v>
      </c>
      <c r="K1359" t="s">
        <v>1146</v>
      </c>
      <c r="L1359" s="64">
        <v>38295100.450000003</v>
      </c>
      <c r="N1359" s="64">
        <v>38295100.450000003</v>
      </c>
      <c r="O1359" s="64">
        <v>4356218735.1748638</v>
      </c>
    </row>
    <row r="1360" spans="1:15" x14ac:dyDescent="0.25">
      <c r="A1360" s="58">
        <v>46195</v>
      </c>
      <c r="B1360" s="59">
        <v>6</v>
      </c>
      <c r="C1360" s="59" t="s">
        <v>1144</v>
      </c>
      <c r="D1360" s="59">
        <v>2054312</v>
      </c>
      <c r="E1360" s="59" t="s">
        <v>1167</v>
      </c>
      <c r="F1360" s="59" t="s">
        <v>1169</v>
      </c>
      <c r="G1360" s="59" t="s">
        <v>1136</v>
      </c>
      <c r="H1360" s="59" t="s">
        <v>1137</v>
      </c>
      <c r="I1360" s="60">
        <v>46174</v>
      </c>
      <c r="J1360" s="59" t="s">
        <v>897</v>
      </c>
      <c r="K1360" s="59" t="s">
        <v>1138</v>
      </c>
      <c r="L1360" s="59"/>
      <c r="M1360" s="61">
        <v>18832400</v>
      </c>
      <c r="N1360" s="61">
        <v>-18832400</v>
      </c>
      <c r="O1360" s="61">
        <v>4631604789.2603636</v>
      </c>
    </row>
    <row r="1361" spans="1:15" x14ac:dyDescent="0.25">
      <c r="A1361" s="62">
        <v>46195</v>
      </c>
      <c r="B1361">
        <v>6</v>
      </c>
      <c r="C1361" t="s">
        <v>1144</v>
      </c>
      <c r="D1361">
        <v>2014351</v>
      </c>
      <c r="E1361" t="s">
        <v>1167</v>
      </c>
      <c r="F1361" t="s">
        <v>1174</v>
      </c>
      <c r="G1361" t="s">
        <v>1136</v>
      </c>
      <c r="H1361" t="s">
        <v>1157</v>
      </c>
      <c r="I1361" s="63">
        <v>46143</v>
      </c>
      <c r="J1361" t="s">
        <v>898</v>
      </c>
      <c r="K1361" t="s">
        <v>1142</v>
      </c>
      <c r="M1361" s="64">
        <v>5224757.62</v>
      </c>
      <c r="N1361" s="64">
        <v>-5224757.62</v>
      </c>
      <c r="O1361" s="64">
        <v>4626380031.6403637</v>
      </c>
    </row>
    <row r="1362" spans="1:15" x14ac:dyDescent="0.25">
      <c r="A1362" s="58">
        <v>46195</v>
      </c>
      <c r="B1362" s="59">
        <v>6</v>
      </c>
      <c r="C1362" s="59" t="s">
        <v>1144</v>
      </c>
      <c r="D1362" s="59">
        <v>2044126</v>
      </c>
      <c r="E1362" s="59" t="s">
        <v>1167</v>
      </c>
      <c r="F1362" s="59" t="s">
        <v>1135</v>
      </c>
      <c r="G1362" s="59" t="s">
        <v>1136</v>
      </c>
      <c r="H1362" s="59" t="s">
        <v>1175</v>
      </c>
      <c r="I1362" s="60">
        <v>46143</v>
      </c>
      <c r="J1362" s="59" t="s">
        <v>899</v>
      </c>
      <c r="K1362" s="59" t="s">
        <v>1150</v>
      </c>
      <c r="L1362" s="59"/>
      <c r="M1362" s="61">
        <v>300121.09999999998</v>
      </c>
      <c r="N1362" s="61">
        <v>-300121.09999999998</v>
      </c>
      <c r="O1362" s="61">
        <v>4626079910.5403633</v>
      </c>
    </row>
    <row r="1363" spans="1:15" x14ac:dyDescent="0.25">
      <c r="A1363" s="62">
        <v>46195</v>
      </c>
      <c r="B1363">
        <v>6</v>
      </c>
      <c r="C1363" t="s">
        <v>1144</v>
      </c>
      <c r="D1363">
        <v>2044126</v>
      </c>
      <c r="E1363" t="s">
        <v>1167</v>
      </c>
      <c r="F1363" t="s">
        <v>1135</v>
      </c>
      <c r="G1363" t="s">
        <v>1136</v>
      </c>
      <c r="H1363" t="s">
        <v>1175</v>
      </c>
      <c r="I1363" s="63">
        <v>46143</v>
      </c>
      <c r="J1363" t="s">
        <v>900</v>
      </c>
      <c r="K1363" t="s">
        <v>1150</v>
      </c>
      <c r="M1363" s="64">
        <v>187096.8</v>
      </c>
      <c r="N1363" s="64">
        <v>-187096.8</v>
      </c>
      <c r="O1363" s="64">
        <v>4625892813.7403631</v>
      </c>
    </row>
    <row r="1364" spans="1:15" x14ac:dyDescent="0.25">
      <c r="A1364" s="58">
        <v>46195</v>
      </c>
      <c r="B1364" s="59">
        <v>6</v>
      </c>
      <c r="C1364" s="59" t="s">
        <v>1144</v>
      </c>
      <c r="D1364" s="59">
        <v>2044126</v>
      </c>
      <c r="E1364" s="59" t="s">
        <v>1167</v>
      </c>
      <c r="F1364" s="59" t="s">
        <v>1135</v>
      </c>
      <c r="G1364" s="59" t="s">
        <v>1136</v>
      </c>
      <c r="H1364" s="59" t="s">
        <v>1175</v>
      </c>
      <c r="I1364" s="60">
        <v>46143</v>
      </c>
      <c r="J1364" s="59" t="s">
        <v>901</v>
      </c>
      <c r="K1364" s="59" t="s">
        <v>1150</v>
      </c>
      <c r="L1364" s="59"/>
      <c r="M1364" s="61">
        <v>95262.6</v>
      </c>
      <c r="N1364" s="61">
        <v>-95262.6</v>
      </c>
      <c r="O1364" s="61">
        <v>4625797551.1403627</v>
      </c>
    </row>
    <row r="1365" spans="1:15" x14ac:dyDescent="0.25">
      <c r="A1365" s="62">
        <v>46195</v>
      </c>
      <c r="B1365">
        <v>6</v>
      </c>
      <c r="C1365" t="s">
        <v>1144</v>
      </c>
      <c r="D1365">
        <v>2044127</v>
      </c>
      <c r="E1365" t="s">
        <v>1167</v>
      </c>
      <c r="F1365" t="s">
        <v>1135</v>
      </c>
      <c r="G1365" t="s">
        <v>1136</v>
      </c>
      <c r="H1365" t="s">
        <v>1175</v>
      </c>
      <c r="I1365" s="63">
        <v>46143</v>
      </c>
      <c r="J1365" t="s">
        <v>902</v>
      </c>
      <c r="K1365" t="s">
        <v>1170</v>
      </c>
      <c r="M1365" s="64">
        <v>1769199.2</v>
      </c>
      <c r="N1365" s="64">
        <v>-1769199.2</v>
      </c>
      <c r="O1365" s="64">
        <v>4624028351.9403629</v>
      </c>
    </row>
    <row r="1366" spans="1:15" x14ac:dyDescent="0.25">
      <c r="A1366" s="58">
        <v>46195</v>
      </c>
      <c r="B1366" s="59">
        <v>6</v>
      </c>
      <c r="C1366" s="59" t="s">
        <v>1144</v>
      </c>
      <c r="D1366" s="59">
        <v>2044127</v>
      </c>
      <c r="E1366" s="59" t="s">
        <v>1167</v>
      </c>
      <c r="F1366" s="59" t="s">
        <v>1135</v>
      </c>
      <c r="G1366" s="59" t="s">
        <v>1136</v>
      </c>
      <c r="H1366" s="59" t="s">
        <v>1175</v>
      </c>
      <c r="I1366" s="60">
        <v>46143</v>
      </c>
      <c r="J1366" s="59" t="s">
        <v>903</v>
      </c>
      <c r="K1366" s="59" t="s">
        <v>1170</v>
      </c>
      <c r="L1366" s="59"/>
      <c r="M1366" s="61">
        <v>1318283.1000000001</v>
      </c>
      <c r="N1366" s="61">
        <v>-1318283.1000000001</v>
      </c>
      <c r="O1366" s="61">
        <v>4622710068.8403625</v>
      </c>
    </row>
    <row r="1367" spans="1:15" x14ac:dyDescent="0.25">
      <c r="A1367" s="62">
        <v>46195</v>
      </c>
      <c r="B1367">
        <v>6</v>
      </c>
      <c r="C1367" t="s">
        <v>1144</v>
      </c>
      <c r="D1367">
        <v>2044126</v>
      </c>
      <c r="E1367" t="s">
        <v>1167</v>
      </c>
      <c r="F1367" t="s">
        <v>1135</v>
      </c>
      <c r="G1367" t="s">
        <v>1136</v>
      </c>
      <c r="H1367" t="s">
        <v>1175</v>
      </c>
      <c r="I1367" s="63">
        <v>46143</v>
      </c>
      <c r="J1367" t="s">
        <v>904</v>
      </c>
      <c r="K1367" t="s">
        <v>1150</v>
      </c>
      <c r="M1367" s="64">
        <v>405816.9</v>
      </c>
      <c r="N1367" s="64">
        <v>-405816.9</v>
      </c>
      <c r="O1367" s="64">
        <v>4622304251.9403629</v>
      </c>
    </row>
    <row r="1368" spans="1:15" x14ac:dyDescent="0.25">
      <c r="A1368" s="58">
        <v>46196</v>
      </c>
      <c r="B1368" s="59">
        <v>6</v>
      </c>
      <c r="C1368" s="59" t="s">
        <v>1161</v>
      </c>
      <c r="D1368" s="59">
        <v>2054311</v>
      </c>
      <c r="E1368" s="59" t="s">
        <v>1167</v>
      </c>
      <c r="F1368" s="59" t="s">
        <v>1169</v>
      </c>
      <c r="G1368" s="59" t="s">
        <v>1136</v>
      </c>
      <c r="H1368" s="59" t="s">
        <v>1137</v>
      </c>
      <c r="I1368" s="60">
        <v>46174</v>
      </c>
      <c r="J1368" s="59" t="s">
        <v>906</v>
      </c>
      <c r="K1368" s="59" t="s">
        <v>1142</v>
      </c>
      <c r="L1368" s="59"/>
      <c r="M1368" s="61">
        <v>15661023</v>
      </c>
      <c r="N1368" s="61">
        <v>-15661023</v>
      </c>
      <c r="O1368" s="61">
        <v>4560715563.3403625</v>
      </c>
    </row>
    <row r="1369" spans="1:15" x14ac:dyDescent="0.25">
      <c r="A1369" s="62">
        <v>46196</v>
      </c>
      <c r="B1369">
        <v>6</v>
      </c>
      <c r="C1369" t="s">
        <v>1161</v>
      </c>
      <c r="D1369">
        <v>2014202</v>
      </c>
      <c r="E1369" t="s">
        <v>1167</v>
      </c>
      <c r="F1369" t="s">
        <v>1174</v>
      </c>
      <c r="G1369" t="s">
        <v>1136</v>
      </c>
      <c r="H1369" t="s">
        <v>1139</v>
      </c>
      <c r="I1369" s="63">
        <v>46174</v>
      </c>
      <c r="J1369" t="s">
        <v>907</v>
      </c>
      <c r="K1369" t="s">
        <v>1138</v>
      </c>
      <c r="M1369" s="64">
        <v>25787182.300000001</v>
      </c>
      <c r="N1369" s="64">
        <v>-25787182.300000001</v>
      </c>
      <c r="O1369" s="64">
        <v>4534928381.0403624</v>
      </c>
    </row>
    <row r="1370" spans="1:15" x14ac:dyDescent="0.25">
      <c r="A1370" s="58">
        <v>46196</v>
      </c>
      <c r="B1370" s="59">
        <v>6</v>
      </c>
      <c r="C1370" s="59" t="s">
        <v>1161</v>
      </c>
      <c r="D1370" s="59">
        <v>2014262</v>
      </c>
      <c r="E1370" s="59" t="s">
        <v>1167</v>
      </c>
      <c r="F1370" s="59" t="s">
        <v>1174</v>
      </c>
      <c r="G1370" s="59" t="s">
        <v>1136</v>
      </c>
      <c r="H1370" s="59" t="s">
        <v>1145</v>
      </c>
      <c r="I1370" s="60">
        <v>46143</v>
      </c>
      <c r="J1370" s="59" t="s">
        <v>908</v>
      </c>
      <c r="K1370" s="59" t="s">
        <v>1138</v>
      </c>
      <c r="L1370" s="59"/>
      <c r="M1370" s="61">
        <v>6392650</v>
      </c>
      <c r="N1370" s="61">
        <v>-6392650</v>
      </c>
      <c r="O1370" s="61">
        <v>4528535731.0403624</v>
      </c>
    </row>
    <row r="1371" spans="1:15" x14ac:dyDescent="0.25">
      <c r="A1371" s="62">
        <v>46196</v>
      </c>
      <c r="B1371">
        <v>6</v>
      </c>
      <c r="C1371" t="s">
        <v>1161</v>
      </c>
      <c r="D1371">
        <v>2014264</v>
      </c>
      <c r="E1371" t="s">
        <v>1167</v>
      </c>
      <c r="F1371" t="s">
        <v>1174</v>
      </c>
      <c r="G1371" t="s">
        <v>1136</v>
      </c>
      <c r="H1371" t="s">
        <v>1145</v>
      </c>
      <c r="I1371" s="63">
        <v>46143</v>
      </c>
      <c r="J1371" t="s">
        <v>909</v>
      </c>
      <c r="K1371" t="s">
        <v>1148</v>
      </c>
      <c r="M1371" s="64">
        <v>4605800</v>
      </c>
      <c r="N1371" s="64">
        <v>-4605800</v>
      </c>
      <c r="O1371" s="64">
        <v>4523929931.0403624</v>
      </c>
    </row>
    <row r="1372" spans="1:15" x14ac:dyDescent="0.25">
      <c r="A1372" s="58">
        <v>46196</v>
      </c>
      <c r="B1372" s="59">
        <v>6</v>
      </c>
      <c r="C1372" s="59" t="s">
        <v>1161</v>
      </c>
      <c r="D1372" s="59">
        <v>2014266</v>
      </c>
      <c r="E1372" s="59" t="s">
        <v>1167</v>
      </c>
      <c r="F1372" s="59" t="s">
        <v>1174</v>
      </c>
      <c r="G1372" s="59" t="s">
        <v>1136</v>
      </c>
      <c r="H1372" s="59" t="s">
        <v>1145</v>
      </c>
      <c r="I1372" s="60">
        <v>46143</v>
      </c>
      <c r="J1372" s="59" t="s">
        <v>909</v>
      </c>
      <c r="K1372" s="59" t="s">
        <v>1150</v>
      </c>
      <c r="L1372" s="59"/>
      <c r="M1372" s="61">
        <v>153192.56000000011</v>
      </c>
      <c r="N1372" s="61">
        <v>-153192.56000000011</v>
      </c>
      <c r="O1372" s="61">
        <v>4523776738.4803619</v>
      </c>
    </row>
    <row r="1373" spans="1:15" x14ac:dyDescent="0.25">
      <c r="A1373" s="62">
        <v>46196</v>
      </c>
      <c r="B1373">
        <v>6</v>
      </c>
      <c r="C1373" t="s">
        <v>1161</v>
      </c>
      <c r="D1373">
        <v>2014264</v>
      </c>
      <c r="E1373" t="s">
        <v>1167</v>
      </c>
      <c r="F1373" t="s">
        <v>1174</v>
      </c>
      <c r="G1373" t="s">
        <v>1136</v>
      </c>
      <c r="H1373" t="s">
        <v>1145</v>
      </c>
      <c r="I1373" s="63">
        <v>46143</v>
      </c>
      <c r="J1373" t="s">
        <v>909</v>
      </c>
      <c r="K1373" t="s">
        <v>1148</v>
      </c>
      <c r="M1373" s="64">
        <v>2846930.6099999989</v>
      </c>
      <c r="N1373" s="64">
        <v>-2846930.6099999989</v>
      </c>
      <c r="O1373" s="64">
        <v>4520929807.8703623</v>
      </c>
    </row>
    <row r="1374" spans="1:15" x14ac:dyDescent="0.25">
      <c r="A1374" s="58">
        <v>46196</v>
      </c>
      <c r="B1374" s="59">
        <v>6</v>
      </c>
      <c r="C1374" s="59" t="s">
        <v>1161</v>
      </c>
      <c r="D1374" s="59">
        <v>2044462</v>
      </c>
      <c r="E1374" s="59" t="s">
        <v>1167</v>
      </c>
      <c r="F1374" s="59" t="s">
        <v>1135</v>
      </c>
      <c r="G1374" s="59" t="s">
        <v>1136</v>
      </c>
      <c r="H1374" s="59" t="s">
        <v>1140</v>
      </c>
      <c r="I1374" s="60">
        <v>46174</v>
      </c>
      <c r="J1374" s="59" t="s">
        <v>910</v>
      </c>
      <c r="K1374" s="59" t="s">
        <v>1138</v>
      </c>
      <c r="L1374" s="59"/>
      <c r="M1374" s="61">
        <v>2853164.59</v>
      </c>
      <c r="N1374" s="61">
        <v>-2853164.59</v>
      </c>
      <c r="O1374" s="61">
        <v>4518076643.2803621</v>
      </c>
    </row>
    <row r="1375" spans="1:15" x14ac:dyDescent="0.25">
      <c r="A1375" s="62">
        <v>46196</v>
      </c>
      <c r="B1375">
        <v>6</v>
      </c>
      <c r="C1375" t="s">
        <v>1161</v>
      </c>
      <c r="D1375">
        <v>1044314</v>
      </c>
      <c r="E1375" t="s">
        <v>1134</v>
      </c>
      <c r="F1375" t="s">
        <v>1135</v>
      </c>
      <c r="G1375" t="s">
        <v>1136</v>
      </c>
      <c r="H1375" t="s">
        <v>1137</v>
      </c>
      <c r="I1375" s="63">
        <v>46174</v>
      </c>
      <c r="J1375" t="s">
        <v>911</v>
      </c>
      <c r="K1375" t="s">
        <v>1148</v>
      </c>
      <c r="L1375" s="64">
        <v>40780340</v>
      </c>
      <c r="N1375" s="64">
        <v>40780340</v>
      </c>
      <c r="O1375" s="64">
        <v>4558856983.2803621</v>
      </c>
    </row>
    <row r="1376" spans="1:15" x14ac:dyDescent="0.25">
      <c r="A1376" s="58">
        <v>46196</v>
      </c>
      <c r="B1376" s="59">
        <v>6</v>
      </c>
      <c r="C1376" s="59" t="s">
        <v>1161</v>
      </c>
      <c r="D1376" s="59">
        <v>1044316</v>
      </c>
      <c r="E1376" s="59" t="s">
        <v>1134</v>
      </c>
      <c r="F1376" s="59" t="s">
        <v>1135</v>
      </c>
      <c r="G1376" s="59" t="s">
        <v>1136</v>
      </c>
      <c r="H1376" s="59" t="s">
        <v>1137</v>
      </c>
      <c r="I1376" s="60">
        <v>46174</v>
      </c>
      <c r="J1376" s="59" t="s">
        <v>911</v>
      </c>
      <c r="K1376" s="59" t="s">
        <v>1150</v>
      </c>
      <c r="L1376" s="61">
        <v>1004323.61</v>
      </c>
      <c r="M1376" s="59"/>
      <c r="N1376" s="61">
        <v>1004323.61</v>
      </c>
      <c r="O1376" s="61">
        <v>4559861306.8903618</v>
      </c>
    </row>
    <row r="1377" spans="1:15" x14ac:dyDescent="0.25">
      <c r="A1377" s="62">
        <v>46197</v>
      </c>
      <c r="B1377">
        <v>6</v>
      </c>
      <c r="C1377" t="s">
        <v>1166</v>
      </c>
      <c r="D1377">
        <v>2044463</v>
      </c>
      <c r="E1377" t="s">
        <v>1167</v>
      </c>
      <c r="F1377" t="s">
        <v>1135</v>
      </c>
      <c r="G1377" t="s">
        <v>1136</v>
      </c>
      <c r="H1377" t="s">
        <v>1140</v>
      </c>
      <c r="I1377" s="63">
        <v>46174</v>
      </c>
      <c r="J1377" t="s">
        <v>913</v>
      </c>
      <c r="K1377" t="s">
        <v>1146</v>
      </c>
      <c r="M1377" s="64">
        <v>1746607.73</v>
      </c>
      <c r="N1377" s="64">
        <v>-1746607.73</v>
      </c>
      <c r="O1377" s="64">
        <v>4369594000.6803617</v>
      </c>
    </row>
    <row r="1378" spans="1:15" x14ac:dyDescent="0.25">
      <c r="A1378" s="58">
        <v>46198</v>
      </c>
      <c r="B1378" s="59">
        <v>6</v>
      </c>
      <c r="C1378" s="59" t="s">
        <v>1171</v>
      </c>
      <c r="D1378" s="59">
        <v>2054381</v>
      </c>
      <c r="E1378" s="59" t="s">
        <v>1167</v>
      </c>
      <c r="F1378" s="59" t="s">
        <v>1169</v>
      </c>
      <c r="G1378" s="59" t="s">
        <v>1136</v>
      </c>
      <c r="H1378" s="59" t="s">
        <v>1163</v>
      </c>
      <c r="I1378" s="60">
        <v>46174</v>
      </c>
      <c r="J1378" s="59" t="s">
        <v>914</v>
      </c>
      <c r="K1378" s="59" t="s">
        <v>1142</v>
      </c>
      <c r="L1378" s="59"/>
      <c r="M1378" s="61">
        <v>6136655.25</v>
      </c>
      <c r="N1378" s="61">
        <v>-6136655.25</v>
      </c>
      <c r="O1378" s="61">
        <v>4363457345.4303617</v>
      </c>
    </row>
    <row r="1379" spans="1:15" x14ac:dyDescent="0.25">
      <c r="A1379" s="62">
        <v>46198</v>
      </c>
      <c r="B1379">
        <v>6</v>
      </c>
      <c r="C1379" t="s">
        <v>1171</v>
      </c>
      <c r="D1379">
        <v>2014201</v>
      </c>
      <c r="E1379" t="s">
        <v>1167</v>
      </c>
      <c r="F1379" t="s">
        <v>1174</v>
      </c>
      <c r="G1379" t="s">
        <v>1136</v>
      </c>
      <c r="H1379" t="s">
        <v>1139</v>
      </c>
      <c r="I1379" s="63">
        <v>46174</v>
      </c>
      <c r="J1379" t="s">
        <v>915</v>
      </c>
      <c r="K1379" t="s">
        <v>1142</v>
      </c>
      <c r="M1379" s="64">
        <v>2447683.5</v>
      </c>
      <c r="N1379" s="64">
        <v>-2447683.5</v>
      </c>
      <c r="O1379" s="64">
        <v>4361009661.9303617</v>
      </c>
    </row>
    <row r="1380" spans="1:15" x14ac:dyDescent="0.25">
      <c r="A1380" s="58">
        <v>46198</v>
      </c>
      <c r="B1380" s="59">
        <v>6</v>
      </c>
      <c r="C1380" s="59" t="s">
        <v>1171</v>
      </c>
      <c r="D1380" s="59">
        <v>2014261</v>
      </c>
      <c r="E1380" s="59" t="s">
        <v>1167</v>
      </c>
      <c r="F1380" s="59" t="s">
        <v>1174</v>
      </c>
      <c r="G1380" s="59" t="s">
        <v>1136</v>
      </c>
      <c r="H1380" s="59" t="s">
        <v>1145</v>
      </c>
      <c r="I1380" s="60">
        <v>46143</v>
      </c>
      <c r="J1380" s="59" t="s">
        <v>916</v>
      </c>
      <c r="K1380" s="59" t="s">
        <v>1142</v>
      </c>
      <c r="L1380" s="59"/>
      <c r="M1380" s="61">
        <v>6226834</v>
      </c>
      <c r="N1380" s="61">
        <v>-6226834</v>
      </c>
      <c r="O1380" s="61">
        <v>4354782827.9303617</v>
      </c>
    </row>
    <row r="1381" spans="1:15" x14ac:dyDescent="0.25">
      <c r="A1381" s="62">
        <v>46198</v>
      </c>
      <c r="B1381">
        <v>6</v>
      </c>
      <c r="C1381" t="s">
        <v>1171</v>
      </c>
      <c r="D1381">
        <v>2044461</v>
      </c>
      <c r="E1381" t="s">
        <v>1167</v>
      </c>
      <c r="F1381" t="s">
        <v>1135</v>
      </c>
      <c r="G1381" t="s">
        <v>1136</v>
      </c>
      <c r="H1381" t="s">
        <v>1140</v>
      </c>
      <c r="I1381" s="63">
        <v>46143</v>
      </c>
      <c r="J1381" t="s">
        <v>917</v>
      </c>
      <c r="K1381" t="s">
        <v>1142</v>
      </c>
      <c r="M1381" s="64">
        <v>2954656.87</v>
      </c>
      <c r="N1381" s="64">
        <v>-2954656.87</v>
      </c>
      <c r="O1381" s="64">
        <v>4351828171.0603619</v>
      </c>
    </row>
    <row r="1382" spans="1:15" x14ac:dyDescent="0.25">
      <c r="A1382" s="58">
        <v>46202</v>
      </c>
      <c r="B1382" s="59">
        <v>6</v>
      </c>
      <c r="C1382" s="59" t="s">
        <v>1144</v>
      </c>
      <c r="D1382" s="59">
        <v>2044461</v>
      </c>
      <c r="E1382" s="59" t="s">
        <v>1167</v>
      </c>
      <c r="F1382" s="59" t="s">
        <v>1135</v>
      </c>
      <c r="G1382" s="59" t="s">
        <v>1136</v>
      </c>
      <c r="H1382" s="59" t="s">
        <v>1140</v>
      </c>
      <c r="I1382" s="60">
        <v>46143</v>
      </c>
      <c r="J1382" s="59" t="s">
        <v>921</v>
      </c>
      <c r="K1382" s="59" t="s">
        <v>1142</v>
      </c>
      <c r="L1382" s="59"/>
      <c r="M1382" s="61">
        <v>116886.96</v>
      </c>
      <c r="N1382" s="61">
        <v>-116886.96</v>
      </c>
      <c r="O1382" s="61">
        <v>4735766847.0675039</v>
      </c>
    </row>
    <row r="1383" spans="1:15" x14ac:dyDescent="0.25">
      <c r="A1383" s="62">
        <v>46205</v>
      </c>
      <c r="B1383">
        <v>7</v>
      </c>
      <c r="C1383" t="s">
        <v>1171</v>
      </c>
      <c r="D1383">
        <v>1044165</v>
      </c>
      <c r="E1383" t="s">
        <v>1134</v>
      </c>
      <c r="F1383" t="s">
        <v>1135</v>
      </c>
      <c r="G1383" t="s">
        <v>1136</v>
      </c>
      <c r="H1383" t="s">
        <v>1162</v>
      </c>
      <c r="I1383" s="63">
        <v>46143</v>
      </c>
      <c r="J1383" t="s">
        <v>928</v>
      </c>
      <c r="K1383" t="s">
        <v>1172</v>
      </c>
      <c r="L1383" s="64">
        <v>812566.64</v>
      </c>
      <c r="N1383" s="64">
        <v>812566.64</v>
      </c>
      <c r="O1383" s="64">
        <v>4922901237.1915054</v>
      </c>
    </row>
    <row r="1384" spans="1:15" x14ac:dyDescent="0.25">
      <c r="A1384" s="58">
        <v>46205</v>
      </c>
      <c r="B1384" s="59">
        <v>7</v>
      </c>
      <c r="C1384" s="59" t="s">
        <v>1171</v>
      </c>
      <c r="D1384" s="59">
        <v>1044235</v>
      </c>
      <c r="E1384" s="59" t="s">
        <v>1134</v>
      </c>
      <c r="F1384" s="59" t="s">
        <v>1135</v>
      </c>
      <c r="G1384" s="59" t="s">
        <v>1136</v>
      </c>
      <c r="H1384" s="59" t="s">
        <v>1152</v>
      </c>
      <c r="I1384" s="60">
        <v>46143</v>
      </c>
      <c r="J1384" s="59" t="s">
        <v>928</v>
      </c>
      <c r="K1384" s="59" t="s">
        <v>1172</v>
      </c>
      <c r="L1384" s="61">
        <v>1607477.64</v>
      </c>
      <c r="M1384" s="59"/>
      <c r="N1384" s="61">
        <v>1607477.64</v>
      </c>
      <c r="O1384" s="61">
        <v>4924508714.8315058</v>
      </c>
    </row>
    <row r="1385" spans="1:15" x14ac:dyDescent="0.25">
      <c r="A1385" s="62">
        <v>46205</v>
      </c>
      <c r="B1385">
        <v>7</v>
      </c>
      <c r="C1385" t="s">
        <v>1171</v>
      </c>
      <c r="D1385">
        <v>1044495</v>
      </c>
      <c r="E1385" t="s">
        <v>1134</v>
      </c>
      <c r="F1385" t="s">
        <v>1135</v>
      </c>
      <c r="G1385" t="s">
        <v>1136</v>
      </c>
      <c r="H1385" t="s">
        <v>1173</v>
      </c>
      <c r="I1385" s="63">
        <v>46143</v>
      </c>
      <c r="J1385" t="s">
        <v>928</v>
      </c>
      <c r="K1385" t="s">
        <v>1172</v>
      </c>
      <c r="L1385" s="64">
        <v>638676.72</v>
      </c>
      <c r="N1385" s="64">
        <v>638676.72</v>
      </c>
      <c r="O1385" s="64">
        <v>4925147391.551506</v>
      </c>
    </row>
    <row r="1386" spans="1:15" x14ac:dyDescent="0.25">
      <c r="A1386" s="58">
        <v>46205</v>
      </c>
      <c r="B1386" s="59">
        <v>7</v>
      </c>
      <c r="C1386" s="59" t="s">
        <v>1171</v>
      </c>
      <c r="D1386" s="59">
        <v>1044275</v>
      </c>
      <c r="E1386" s="59" t="s">
        <v>1134</v>
      </c>
      <c r="F1386" s="59" t="s">
        <v>1135</v>
      </c>
      <c r="G1386" s="59" t="s">
        <v>1136</v>
      </c>
      <c r="H1386" s="59" t="s">
        <v>1154</v>
      </c>
      <c r="I1386" s="60">
        <v>46143</v>
      </c>
      <c r="J1386" s="59" t="s">
        <v>928</v>
      </c>
      <c r="K1386" s="59" t="s">
        <v>1172</v>
      </c>
      <c r="L1386" s="61">
        <v>353479.24</v>
      </c>
      <c r="M1386" s="59"/>
      <c r="N1386" s="61">
        <v>353479.24</v>
      </c>
      <c r="O1386" s="61">
        <v>4925500870.7915058</v>
      </c>
    </row>
    <row r="1387" spans="1:15" x14ac:dyDescent="0.25">
      <c r="A1387" s="62">
        <v>46205</v>
      </c>
      <c r="B1387">
        <v>7</v>
      </c>
      <c r="C1387" t="s">
        <v>1171</v>
      </c>
      <c r="D1387">
        <v>1044285</v>
      </c>
      <c r="E1387" t="s">
        <v>1134</v>
      </c>
      <c r="F1387" t="s">
        <v>1135</v>
      </c>
      <c r="G1387" t="s">
        <v>1136</v>
      </c>
      <c r="H1387" t="s">
        <v>1155</v>
      </c>
      <c r="I1387" s="63">
        <v>46143</v>
      </c>
      <c r="J1387" t="s">
        <v>928</v>
      </c>
      <c r="K1387" t="s">
        <v>1172</v>
      </c>
      <c r="L1387" s="64">
        <v>1319580</v>
      </c>
      <c r="N1387" s="64">
        <v>1319580</v>
      </c>
      <c r="O1387" s="64">
        <v>4926820450.7915058</v>
      </c>
    </row>
    <row r="1388" spans="1:15" x14ac:dyDescent="0.25">
      <c r="A1388" s="58">
        <v>46205</v>
      </c>
      <c r="B1388" s="59">
        <v>7</v>
      </c>
      <c r="C1388" s="59" t="s">
        <v>1171</v>
      </c>
      <c r="D1388" s="59">
        <v>1044465</v>
      </c>
      <c r="E1388" s="59" t="s">
        <v>1134</v>
      </c>
      <c r="F1388" s="59" t="s">
        <v>1135</v>
      </c>
      <c r="G1388" s="59" t="s">
        <v>1136</v>
      </c>
      <c r="H1388" s="59" t="s">
        <v>1140</v>
      </c>
      <c r="I1388" s="60">
        <v>46143</v>
      </c>
      <c r="J1388" s="59" t="s">
        <v>928</v>
      </c>
      <c r="K1388" s="59" t="s">
        <v>1172</v>
      </c>
      <c r="L1388" s="61">
        <v>549360.24450000003</v>
      </c>
      <c r="M1388" s="59"/>
      <c r="N1388" s="61">
        <v>549360.24450000003</v>
      </c>
      <c r="O1388" s="61">
        <v>4927369811.036006</v>
      </c>
    </row>
    <row r="1389" spans="1:15" x14ac:dyDescent="0.25">
      <c r="A1389" s="62">
        <v>46205</v>
      </c>
      <c r="B1389">
        <v>7</v>
      </c>
      <c r="C1389" t="s">
        <v>1171</v>
      </c>
      <c r="D1389">
        <v>1044325</v>
      </c>
      <c r="E1389" t="s">
        <v>1134</v>
      </c>
      <c r="F1389" t="s">
        <v>1135</v>
      </c>
      <c r="G1389" t="s">
        <v>1136</v>
      </c>
      <c r="H1389" t="s">
        <v>1143</v>
      </c>
      <c r="I1389" s="63">
        <v>46143</v>
      </c>
      <c r="J1389" t="s">
        <v>928</v>
      </c>
      <c r="K1389" t="s">
        <v>1172</v>
      </c>
      <c r="L1389" s="64">
        <v>1134084.6000000001</v>
      </c>
      <c r="N1389" s="64">
        <v>1134084.6000000001</v>
      </c>
      <c r="O1389" s="64">
        <v>4928503895.6360064</v>
      </c>
    </row>
    <row r="1390" spans="1:15" x14ac:dyDescent="0.25">
      <c r="A1390" s="58">
        <v>46205</v>
      </c>
      <c r="B1390" s="59">
        <v>7</v>
      </c>
      <c r="C1390" s="59" t="s">
        <v>1171</v>
      </c>
      <c r="D1390" s="59">
        <v>1044425</v>
      </c>
      <c r="E1390" s="59" t="s">
        <v>1134</v>
      </c>
      <c r="F1390" s="59" t="s">
        <v>1135</v>
      </c>
      <c r="G1390" s="59" t="s">
        <v>1136</v>
      </c>
      <c r="H1390" s="59" t="s">
        <v>1165</v>
      </c>
      <c r="I1390" s="60">
        <v>46143</v>
      </c>
      <c r="J1390" s="59" t="s">
        <v>928</v>
      </c>
      <c r="K1390" s="59" t="s">
        <v>1172</v>
      </c>
      <c r="L1390" s="61">
        <v>715827.65</v>
      </c>
      <c r="M1390" s="59"/>
      <c r="N1390" s="61">
        <v>715827.65</v>
      </c>
      <c r="O1390" s="61">
        <v>4929219723.286006</v>
      </c>
    </row>
    <row r="1391" spans="1:15" x14ac:dyDescent="0.25">
      <c r="A1391" s="62">
        <v>46206</v>
      </c>
      <c r="B1391">
        <v>7</v>
      </c>
      <c r="C1391" t="s">
        <v>1133</v>
      </c>
      <c r="D1391">
        <v>2034411</v>
      </c>
      <c r="E1391" t="s">
        <v>1167</v>
      </c>
      <c r="F1391" t="s">
        <v>1168</v>
      </c>
      <c r="G1391" t="s">
        <v>1136</v>
      </c>
      <c r="H1391" t="s">
        <v>1160</v>
      </c>
      <c r="I1391" s="63">
        <v>46174</v>
      </c>
      <c r="J1391" t="s">
        <v>929</v>
      </c>
      <c r="K1391" t="s">
        <v>1142</v>
      </c>
      <c r="M1391" s="64">
        <v>7151606.5</v>
      </c>
      <c r="N1391" s="64">
        <v>-7151606.5</v>
      </c>
      <c r="O1391" s="64">
        <v>4922068116.786006</v>
      </c>
    </row>
    <row r="1392" spans="1:15" x14ac:dyDescent="0.25">
      <c r="A1392" s="58">
        <v>46206</v>
      </c>
      <c r="B1392" s="59">
        <v>7</v>
      </c>
      <c r="C1392" s="59" t="s">
        <v>1133</v>
      </c>
      <c r="D1392" s="59">
        <v>2034412</v>
      </c>
      <c r="E1392" s="59" t="s">
        <v>1167</v>
      </c>
      <c r="F1392" s="59" t="s">
        <v>1168</v>
      </c>
      <c r="G1392" s="59" t="s">
        <v>1136</v>
      </c>
      <c r="H1392" s="59" t="s">
        <v>1160</v>
      </c>
      <c r="I1392" s="60">
        <v>46174</v>
      </c>
      <c r="J1392" s="59" t="s">
        <v>930</v>
      </c>
      <c r="K1392" s="59" t="s">
        <v>1138</v>
      </c>
      <c r="L1392" s="59"/>
      <c r="M1392" s="61">
        <v>8511396.6500000004</v>
      </c>
      <c r="N1392" s="61">
        <v>-8511396.6500000004</v>
      </c>
      <c r="O1392" s="61">
        <v>4913556720.1360064</v>
      </c>
    </row>
    <row r="1393" spans="1:15" x14ac:dyDescent="0.25">
      <c r="A1393" s="62">
        <v>46206</v>
      </c>
      <c r="B1393">
        <v>7</v>
      </c>
      <c r="C1393" t="s">
        <v>1133</v>
      </c>
      <c r="D1393">
        <v>2034417</v>
      </c>
      <c r="E1393" t="s">
        <v>1167</v>
      </c>
      <c r="F1393" t="s">
        <v>1168</v>
      </c>
      <c r="G1393" t="s">
        <v>1136</v>
      </c>
      <c r="H1393" t="s">
        <v>1160</v>
      </c>
      <c r="I1393" s="63">
        <v>46174</v>
      </c>
      <c r="J1393" t="s">
        <v>930</v>
      </c>
      <c r="K1393" t="s">
        <v>1170</v>
      </c>
      <c r="M1393" s="64">
        <v>40000</v>
      </c>
      <c r="N1393" s="64">
        <v>-40000</v>
      </c>
      <c r="O1393" s="64">
        <v>4913516720.1360064</v>
      </c>
    </row>
    <row r="1394" spans="1:15" x14ac:dyDescent="0.25">
      <c r="A1394" s="58">
        <v>46206</v>
      </c>
      <c r="B1394" s="59">
        <v>7</v>
      </c>
      <c r="C1394" s="59" t="s">
        <v>1133</v>
      </c>
      <c r="D1394" s="59">
        <v>2034414</v>
      </c>
      <c r="E1394" s="59" t="s">
        <v>1167</v>
      </c>
      <c r="F1394" s="59" t="s">
        <v>1168</v>
      </c>
      <c r="G1394" s="59" t="s">
        <v>1136</v>
      </c>
      <c r="H1394" s="59" t="s">
        <v>1160</v>
      </c>
      <c r="I1394" s="60">
        <v>46174</v>
      </c>
      <c r="J1394" s="59" t="s">
        <v>931</v>
      </c>
      <c r="K1394" s="59" t="s">
        <v>1148</v>
      </c>
      <c r="L1394" s="59"/>
      <c r="M1394" s="61">
        <v>20639696.829999998</v>
      </c>
      <c r="N1394" s="61">
        <v>-20639696.829999998</v>
      </c>
      <c r="O1394" s="61">
        <v>4892877023.3060064</v>
      </c>
    </row>
    <row r="1395" spans="1:15" x14ac:dyDescent="0.25">
      <c r="A1395" s="62">
        <v>46206</v>
      </c>
      <c r="B1395">
        <v>7</v>
      </c>
      <c r="C1395" t="s">
        <v>1133</v>
      </c>
      <c r="D1395">
        <v>1044174</v>
      </c>
      <c r="E1395" t="s">
        <v>1134</v>
      </c>
      <c r="F1395" t="s">
        <v>1135</v>
      </c>
      <c r="G1395" t="s">
        <v>1136</v>
      </c>
      <c r="H1395" t="s">
        <v>1147</v>
      </c>
      <c r="I1395" s="63">
        <v>46174</v>
      </c>
      <c r="J1395" t="s">
        <v>932</v>
      </c>
      <c r="K1395" t="s">
        <v>1148</v>
      </c>
      <c r="L1395" s="64">
        <v>32446125</v>
      </c>
      <c r="N1395" s="64">
        <v>32446125</v>
      </c>
      <c r="O1395" s="64">
        <v>5534958669.996006</v>
      </c>
    </row>
    <row r="1396" spans="1:15" x14ac:dyDescent="0.25">
      <c r="A1396" s="58">
        <v>46206</v>
      </c>
      <c r="B1396" s="59">
        <v>7</v>
      </c>
      <c r="C1396" s="59" t="s">
        <v>1133</v>
      </c>
      <c r="D1396" s="59">
        <v>1044196</v>
      </c>
      <c r="E1396" s="59" t="s">
        <v>1134</v>
      </c>
      <c r="F1396" s="59" t="s">
        <v>1135</v>
      </c>
      <c r="G1396" s="59" t="s">
        <v>1136</v>
      </c>
      <c r="H1396" s="59" t="s">
        <v>1149</v>
      </c>
      <c r="I1396" s="60">
        <v>46174</v>
      </c>
      <c r="J1396" s="59" t="s">
        <v>932</v>
      </c>
      <c r="K1396" s="59" t="s">
        <v>1150</v>
      </c>
      <c r="L1396" s="61">
        <v>15045185.12999998</v>
      </c>
      <c r="M1396" s="59"/>
      <c r="N1396" s="61">
        <v>15045185.12999998</v>
      </c>
      <c r="O1396" s="61">
        <v>5550003855.1260061</v>
      </c>
    </row>
    <row r="1397" spans="1:15" x14ac:dyDescent="0.25">
      <c r="A1397" s="62">
        <v>46206</v>
      </c>
      <c r="B1397">
        <v>7</v>
      </c>
      <c r="C1397" t="s">
        <v>1133</v>
      </c>
      <c r="D1397">
        <v>1044214</v>
      </c>
      <c r="E1397" t="s">
        <v>1134</v>
      </c>
      <c r="F1397" t="s">
        <v>1135</v>
      </c>
      <c r="G1397" t="s">
        <v>1136</v>
      </c>
      <c r="H1397" t="s">
        <v>1151</v>
      </c>
      <c r="I1397" s="63">
        <v>46174</v>
      </c>
      <c r="J1397" t="s">
        <v>932</v>
      </c>
      <c r="K1397" t="s">
        <v>1148</v>
      </c>
      <c r="L1397" s="64">
        <v>10775175.869999999</v>
      </c>
      <c r="N1397" s="64">
        <v>10775175.869999999</v>
      </c>
      <c r="O1397" s="64">
        <v>5560779030.996006</v>
      </c>
    </row>
    <row r="1398" spans="1:15" x14ac:dyDescent="0.25">
      <c r="A1398" s="58">
        <v>46206</v>
      </c>
      <c r="B1398" s="59">
        <v>7</v>
      </c>
      <c r="C1398" s="59" t="s">
        <v>1133</v>
      </c>
      <c r="D1398" s="59">
        <v>1044234</v>
      </c>
      <c r="E1398" s="59" t="s">
        <v>1134</v>
      </c>
      <c r="F1398" s="59" t="s">
        <v>1135</v>
      </c>
      <c r="G1398" s="59" t="s">
        <v>1136</v>
      </c>
      <c r="H1398" s="59" t="s">
        <v>1152</v>
      </c>
      <c r="I1398" s="60">
        <v>46174</v>
      </c>
      <c r="J1398" s="59" t="s">
        <v>932</v>
      </c>
      <c r="K1398" s="59" t="s">
        <v>1148</v>
      </c>
      <c r="L1398" s="61">
        <v>25461341.57</v>
      </c>
      <c r="M1398" s="59"/>
      <c r="N1398" s="61">
        <v>25461341.57</v>
      </c>
      <c r="O1398" s="61">
        <v>5586240372.5660057</v>
      </c>
    </row>
    <row r="1399" spans="1:15" x14ac:dyDescent="0.25">
      <c r="A1399" s="62">
        <v>46206</v>
      </c>
      <c r="B1399">
        <v>7</v>
      </c>
      <c r="C1399" t="s">
        <v>1133</v>
      </c>
      <c r="D1399">
        <v>1044244</v>
      </c>
      <c r="E1399" t="s">
        <v>1134</v>
      </c>
      <c r="F1399" t="s">
        <v>1135</v>
      </c>
      <c r="G1399" t="s">
        <v>1136</v>
      </c>
      <c r="H1399" t="s">
        <v>1153</v>
      </c>
      <c r="I1399" s="63">
        <v>46174</v>
      </c>
      <c r="J1399" t="s">
        <v>932</v>
      </c>
      <c r="K1399" t="s">
        <v>1148</v>
      </c>
      <c r="L1399" s="64">
        <v>11676501.84</v>
      </c>
      <c r="N1399" s="64">
        <v>11676501.84</v>
      </c>
      <c r="O1399" s="64">
        <v>5597916874.4060059</v>
      </c>
    </row>
    <row r="1400" spans="1:15" x14ac:dyDescent="0.25">
      <c r="A1400" s="58">
        <v>46206</v>
      </c>
      <c r="B1400" s="59">
        <v>7</v>
      </c>
      <c r="C1400" s="59" t="s">
        <v>1133</v>
      </c>
      <c r="D1400" s="59">
        <v>1044264</v>
      </c>
      <c r="E1400" s="59" t="s">
        <v>1134</v>
      </c>
      <c r="F1400" s="59" t="s">
        <v>1135</v>
      </c>
      <c r="G1400" s="59" t="s">
        <v>1136</v>
      </c>
      <c r="H1400" s="59" t="s">
        <v>1145</v>
      </c>
      <c r="I1400" s="60">
        <v>46174</v>
      </c>
      <c r="J1400" s="59" t="s">
        <v>932</v>
      </c>
      <c r="K1400" s="59" t="s">
        <v>1148</v>
      </c>
      <c r="L1400" s="61">
        <v>3858750</v>
      </c>
      <c r="M1400" s="59"/>
      <c r="N1400" s="61">
        <v>3858750</v>
      </c>
      <c r="O1400" s="61">
        <v>5601775624.4060059</v>
      </c>
    </row>
    <row r="1401" spans="1:15" x14ac:dyDescent="0.25">
      <c r="A1401" s="62">
        <v>46206</v>
      </c>
      <c r="B1401">
        <v>7</v>
      </c>
      <c r="C1401" t="s">
        <v>1133</v>
      </c>
      <c r="D1401">
        <v>1044266</v>
      </c>
      <c r="E1401" t="s">
        <v>1134</v>
      </c>
      <c r="F1401" t="s">
        <v>1135</v>
      </c>
      <c r="G1401" t="s">
        <v>1136</v>
      </c>
      <c r="H1401" t="s">
        <v>1145</v>
      </c>
      <c r="I1401" s="63">
        <v>46174</v>
      </c>
      <c r="J1401" t="s">
        <v>932</v>
      </c>
      <c r="K1401" t="s">
        <v>1150</v>
      </c>
      <c r="L1401" s="64">
        <v>137332.73000000001</v>
      </c>
      <c r="N1401" s="64">
        <v>137332.73000000001</v>
      </c>
      <c r="O1401" s="64">
        <v>5601912957.1360054</v>
      </c>
    </row>
    <row r="1402" spans="1:15" x14ac:dyDescent="0.25">
      <c r="A1402" s="58">
        <v>46206</v>
      </c>
      <c r="B1402" s="59">
        <v>7</v>
      </c>
      <c r="C1402" s="59" t="s">
        <v>1133</v>
      </c>
      <c r="D1402" s="59">
        <v>1044264</v>
      </c>
      <c r="E1402" s="59" t="s">
        <v>1134</v>
      </c>
      <c r="F1402" s="59" t="s">
        <v>1135</v>
      </c>
      <c r="G1402" s="59" t="s">
        <v>1136</v>
      </c>
      <c r="H1402" s="59" t="s">
        <v>1145</v>
      </c>
      <c r="I1402" s="60">
        <v>46174</v>
      </c>
      <c r="J1402" s="59" t="s">
        <v>932</v>
      </c>
      <c r="K1402" s="59" t="s">
        <v>1148</v>
      </c>
      <c r="L1402" s="61">
        <v>4418469.12</v>
      </c>
      <c r="M1402" s="59"/>
      <c r="N1402" s="61">
        <v>4418469.12</v>
      </c>
      <c r="O1402" s="61">
        <v>5606331426.2560053</v>
      </c>
    </row>
    <row r="1403" spans="1:15" x14ac:dyDescent="0.25">
      <c r="A1403" s="62">
        <v>46206</v>
      </c>
      <c r="B1403">
        <v>7</v>
      </c>
      <c r="C1403" t="s">
        <v>1133</v>
      </c>
      <c r="D1403">
        <v>1044274</v>
      </c>
      <c r="E1403" t="s">
        <v>1134</v>
      </c>
      <c r="F1403" t="s">
        <v>1135</v>
      </c>
      <c r="G1403" t="s">
        <v>1136</v>
      </c>
      <c r="H1403" t="s">
        <v>1154</v>
      </c>
      <c r="I1403" s="63">
        <v>46174</v>
      </c>
      <c r="J1403" t="s">
        <v>932</v>
      </c>
      <c r="K1403" t="s">
        <v>1148</v>
      </c>
      <c r="L1403" s="64">
        <v>22887543.329999998</v>
      </c>
      <c r="N1403" s="64">
        <v>22887543.329999998</v>
      </c>
      <c r="O1403" s="64">
        <v>5629218969.5860052</v>
      </c>
    </row>
    <row r="1404" spans="1:15" x14ac:dyDescent="0.25">
      <c r="A1404" s="58">
        <v>46206</v>
      </c>
      <c r="B1404" s="59">
        <v>7</v>
      </c>
      <c r="C1404" s="59" t="s">
        <v>1133</v>
      </c>
      <c r="D1404" s="59">
        <v>1044284</v>
      </c>
      <c r="E1404" s="59" t="s">
        <v>1134</v>
      </c>
      <c r="F1404" s="59" t="s">
        <v>1135</v>
      </c>
      <c r="G1404" s="59" t="s">
        <v>1136</v>
      </c>
      <c r="H1404" s="59" t="s">
        <v>1155</v>
      </c>
      <c r="I1404" s="60">
        <v>46174</v>
      </c>
      <c r="J1404" s="59" t="s">
        <v>932</v>
      </c>
      <c r="K1404" s="59" t="s">
        <v>1148</v>
      </c>
      <c r="L1404" s="61">
        <v>107696300</v>
      </c>
      <c r="M1404" s="59"/>
      <c r="N1404" s="61">
        <v>107696300</v>
      </c>
      <c r="O1404" s="61">
        <v>5736915269.5860052</v>
      </c>
    </row>
    <row r="1405" spans="1:15" x14ac:dyDescent="0.25">
      <c r="A1405" s="62">
        <v>46206</v>
      </c>
      <c r="B1405">
        <v>7</v>
      </c>
      <c r="C1405" t="s">
        <v>1133</v>
      </c>
      <c r="D1405">
        <v>1044286</v>
      </c>
      <c r="E1405" t="s">
        <v>1134</v>
      </c>
      <c r="F1405" t="s">
        <v>1135</v>
      </c>
      <c r="G1405" t="s">
        <v>1136</v>
      </c>
      <c r="H1405" t="s">
        <v>1155</v>
      </c>
      <c r="I1405" s="63">
        <v>46174</v>
      </c>
      <c r="J1405" t="s">
        <v>932</v>
      </c>
      <c r="K1405" t="s">
        <v>1150</v>
      </c>
      <c r="L1405" s="64">
        <v>3654804.1599999978</v>
      </c>
      <c r="N1405" s="64">
        <v>3654804.1599999978</v>
      </c>
      <c r="O1405" s="64">
        <v>5740570073.7460051</v>
      </c>
    </row>
    <row r="1406" spans="1:15" x14ac:dyDescent="0.25">
      <c r="A1406" s="58">
        <v>46206</v>
      </c>
      <c r="B1406" s="59">
        <v>7</v>
      </c>
      <c r="C1406" s="59" t="s">
        <v>1133</v>
      </c>
      <c r="D1406" s="59">
        <v>1044464</v>
      </c>
      <c r="E1406" s="59" t="s">
        <v>1134</v>
      </c>
      <c r="F1406" s="59" t="s">
        <v>1135</v>
      </c>
      <c r="G1406" s="59" t="s">
        <v>1136</v>
      </c>
      <c r="H1406" s="59" t="s">
        <v>1140</v>
      </c>
      <c r="I1406" s="60">
        <v>46174</v>
      </c>
      <c r="J1406" s="59" t="s">
        <v>932</v>
      </c>
      <c r="K1406" s="59" t="s">
        <v>1148</v>
      </c>
      <c r="L1406" s="61">
        <v>7506217.9299999997</v>
      </c>
      <c r="M1406" s="59"/>
      <c r="N1406" s="61">
        <v>7506217.9299999997</v>
      </c>
      <c r="O1406" s="61">
        <v>5748076291.6760054</v>
      </c>
    </row>
    <row r="1407" spans="1:15" x14ac:dyDescent="0.25">
      <c r="A1407" s="62">
        <v>46206</v>
      </c>
      <c r="B1407">
        <v>7</v>
      </c>
      <c r="C1407" t="s">
        <v>1133</v>
      </c>
      <c r="D1407">
        <v>1044324</v>
      </c>
      <c r="E1407" t="s">
        <v>1134</v>
      </c>
      <c r="F1407" t="s">
        <v>1135</v>
      </c>
      <c r="G1407" t="s">
        <v>1136</v>
      </c>
      <c r="H1407" t="s">
        <v>1143</v>
      </c>
      <c r="I1407" s="63">
        <v>46174</v>
      </c>
      <c r="J1407" t="s">
        <v>932</v>
      </c>
      <c r="K1407" t="s">
        <v>1148</v>
      </c>
      <c r="L1407" s="64">
        <v>78589440</v>
      </c>
      <c r="N1407" s="64">
        <v>78589440</v>
      </c>
      <c r="O1407" s="64">
        <v>5826665731.6760054</v>
      </c>
    </row>
    <row r="1408" spans="1:15" x14ac:dyDescent="0.25">
      <c r="A1408" s="58">
        <v>46206</v>
      </c>
      <c r="B1408" s="59">
        <v>7</v>
      </c>
      <c r="C1408" s="59" t="s">
        <v>1133</v>
      </c>
      <c r="D1408" s="59">
        <v>1044326</v>
      </c>
      <c r="E1408" s="59" t="s">
        <v>1134</v>
      </c>
      <c r="F1408" s="59" t="s">
        <v>1135</v>
      </c>
      <c r="G1408" s="59" t="s">
        <v>1136</v>
      </c>
      <c r="H1408" s="59" t="s">
        <v>1143</v>
      </c>
      <c r="I1408" s="60">
        <v>46174</v>
      </c>
      <c r="J1408" s="59" t="s">
        <v>932</v>
      </c>
      <c r="K1408" s="59" t="s">
        <v>1150</v>
      </c>
      <c r="L1408" s="61">
        <v>2321810.59</v>
      </c>
      <c r="M1408" s="59"/>
      <c r="N1408" s="61">
        <v>2321810.59</v>
      </c>
      <c r="O1408" s="61">
        <v>5828987542.2660065</v>
      </c>
    </row>
    <row r="1409" spans="1:15" x14ac:dyDescent="0.25">
      <c r="A1409" s="62">
        <v>46206</v>
      </c>
      <c r="B1409">
        <v>7</v>
      </c>
      <c r="C1409" t="s">
        <v>1133</v>
      </c>
      <c r="D1409">
        <v>1044344</v>
      </c>
      <c r="E1409" t="s">
        <v>1134</v>
      </c>
      <c r="F1409" t="s">
        <v>1135</v>
      </c>
      <c r="G1409" t="s">
        <v>1136</v>
      </c>
      <c r="H1409" t="s">
        <v>1156</v>
      </c>
      <c r="I1409" s="63">
        <v>46174</v>
      </c>
      <c r="J1409" t="s">
        <v>932</v>
      </c>
      <c r="K1409" t="s">
        <v>1148</v>
      </c>
      <c r="L1409" s="64">
        <v>383000</v>
      </c>
      <c r="N1409" s="64">
        <v>383000</v>
      </c>
      <c r="O1409" s="64">
        <v>5829370542.2660065</v>
      </c>
    </row>
    <row r="1410" spans="1:15" x14ac:dyDescent="0.25">
      <c r="A1410" s="58">
        <v>46206</v>
      </c>
      <c r="B1410" s="59">
        <v>7</v>
      </c>
      <c r="C1410" s="59" t="s">
        <v>1133</v>
      </c>
      <c r="D1410" s="59">
        <v>1044354</v>
      </c>
      <c r="E1410" s="59" t="s">
        <v>1134</v>
      </c>
      <c r="F1410" s="59" t="s">
        <v>1135</v>
      </c>
      <c r="G1410" s="59" t="s">
        <v>1136</v>
      </c>
      <c r="H1410" s="59" t="s">
        <v>1157</v>
      </c>
      <c r="I1410" s="60">
        <v>46174</v>
      </c>
      <c r="J1410" s="59" t="s">
        <v>932</v>
      </c>
      <c r="K1410" s="59" t="s">
        <v>1148</v>
      </c>
      <c r="L1410" s="61">
        <v>8268048</v>
      </c>
      <c r="M1410" s="59"/>
      <c r="N1410" s="61">
        <v>8268048</v>
      </c>
      <c r="O1410" s="61">
        <v>5837638590.2660065</v>
      </c>
    </row>
    <row r="1411" spans="1:15" x14ac:dyDescent="0.25">
      <c r="A1411" s="62">
        <v>46206</v>
      </c>
      <c r="B1411">
        <v>7</v>
      </c>
      <c r="C1411" t="s">
        <v>1133</v>
      </c>
      <c r="D1411">
        <v>1044356</v>
      </c>
      <c r="E1411" t="s">
        <v>1134</v>
      </c>
      <c r="F1411" t="s">
        <v>1135</v>
      </c>
      <c r="G1411" t="s">
        <v>1136</v>
      </c>
      <c r="H1411" t="s">
        <v>1157</v>
      </c>
      <c r="I1411" s="63">
        <v>46174</v>
      </c>
      <c r="J1411" t="s">
        <v>932</v>
      </c>
      <c r="K1411" t="s">
        <v>1150</v>
      </c>
      <c r="L1411" s="64">
        <v>4256357.1900000004</v>
      </c>
      <c r="N1411" s="64">
        <v>4256357.1900000004</v>
      </c>
      <c r="O1411" s="64">
        <v>5841894947.4560051</v>
      </c>
    </row>
    <row r="1412" spans="1:15" x14ac:dyDescent="0.25">
      <c r="A1412" s="58">
        <v>46206</v>
      </c>
      <c r="B1412" s="59">
        <v>7</v>
      </c>
      <c r="C1412" s="59" t="s">
        <v>1133</v>
      </c>
      <c r="D1412" s="59">
        <v>1044364</v>
      </c>
      <c r="E1412" s="59" t="s">
        <v>1134</v>
      </c>
      <c r="F1412" s="59" t="s">
        <v>1135</v>
      </c>
      <c r="G1412" s="59" t="s">
        <v>1136</v>
      </c>
      <c r="H1412" s="59" t="s">
        <v>1158</v>
      </c>
      <c r="I1412" s="60">
        <v>46174</v>
      </c>
      <c r="J1412" s="59" t="s">
        <v>932</v>
      </c>
      <c r="K1412" s="59" t="s">
        <v>1148</v>
      </c>
      <c r="L1412" s="61">
        <v>37652031.079999998</v>
      </c>
      <c r="M1412" s="59"/>
      <c r="N1412" s="61">
        <v>37652031.079999998</v>
      </c>
      <c r="O1412" s="61">
        <v>5879546978.536005</v>
      </c>
    </row>
    <row r="1413" spans="1:15" x14ac:dyDescent="0.25">
      <c r="A1413" s="62">
        <v>46206</v>
      </c>
      <c r="B1413">
        <v>7</v>
      </c>
      <c r="C1413" t="s">
        <v>1133</v>
      </c>
      <c r="D1413">
        <v>1044374</v>
      </c>
      <c r="E1413" t="s">
        <v>1134</v>
      </c>
      <c r="F1413" t="s">
        <v>1135</v>
      </c>
      <c r="G1413" t="s">
        <v>1136</v>
      </c>
      <c r="H1413" t="s">
        <v>1141</v>
      </c>
      <c r="I1413" s="63">
        <v>46174</v>
      </c>
      <c r="J1413" t="s">
        <v>932</v>
      </c>
      <c r="K1413" t="s">
        <v>1148</v>
      </c>
      <c r="L1413" s="64">
        <v>20101597.91</v>
      </c>
      <c r="N1413" s="64">
        <v>20101597.91</v>
      </c>
      <c r="O1413" s="64">
        <v>5899648576.4460049</v>
      </c>
    </row>
    <row r="1414" spans="1:15" x14ac:dyDescent="0.25">
      <c r="A1414" s="58">
        <v>46206</v>
      </c>
      <c r="B1414" s="59">
        <v>7</v>
      </c>
      <c r="C1414" s="59" t="s">
        <v>1133</v>
      </c>
      <c r="D1414" s="59">
        <v>1044404</v>
      </c>
      <c r="E1414" s="59" t="s">
        <v>1134</v>
      </c>
      <c r="F1414" s="59" t="s">
        <v>1135</v>
      </c>
      <c r="G1414" s="59" t="s">
        <v>1136</v>
      </c>
      <c r="H1414" s="59" t="s">
        <v>1159</v>
      </c>
      <c r="I1414" s="60">
        <v>46174</v>
      </c>
      <c r="J1414" s="59" t="s">
        <v>932</v>
      </c>
      <c r="K1414" s="59" t="s">
        <v>1148</v>
      </c>
      <c r="L1414" s="61">
        <v>33430612.739999998</v>
      </c>
      <c r="M1414" s="59"/>
      <c r="N1414" s="61">
        <v>33430612.739999998</v>
      </c>
      <c r="O1414" s="61">
        <v>5933079189.1860046</v>
      </c>
    </row>
    <row r="1415" spans="1:15" x14ac:dyDescent="0.25">
      <c r="A1415" s="62">
        <v>46206</v>
      </c>
      <c r="B1415">
        <v>7</v>
      </c>
      <c r="C1415" t="s">
        <v>1133</v>
      </c>
      <c r="D1415">
        <v>1044406</v>
      </c>
      <c r="E1415" t="s">
        <v>1134</v>
      </c>
      <c r="F1415" t="s">
        <v>1135</v>
      </c>
      <c r="G1415" t="s">
        <v>1136</v>
      </c>
      <c r="H1415" t="s">
        <v>1159</v>
      </c>
      <c r="I1415" s="63">
        <v>46174</v>
      </c>
      <c r="J1415" t="s">
        <v>932</v>
      </c>
      <c r="K1415" t="s">
        <v>1150</v>
      </c>
      <c r="L1415" s="64">
        <v>1007211.51</v>
      </c>
      <c r="N1415" s="64">
        <v>1007211.51</v>
      </c>
      <c r="O1415" s="64">
        <v>5934086400.6960049</v>
      </c>
    </row>
    <row r="1416" spans="1:15" x14ac:dyDescent="0.25">
      <c r="A1416" s="58">
        <v>46206</v>
      </c>
      <c r="B1416" s="59">
        <v>7</v>
      </c>
      <c r="C1416" s="59" t="s">
        <v>1133</v>
      </c>
      <c r="D1416" s="59">
        <v>1044404</v>
      </c>
      <c r="E1416" s="59" t="s">
        <v>1134</v>
      </c>
      <c r="F1416" s="59" t="s">
        <v>1135</v>
      </c>
      <c r="G1416" s="59" t="s">
        <v>1136</v>
      </c>
      <c r="H1416" s="59" t="s">
        <v>1159</v>
      </c>
      <c r="I1416" s="60">
        <v>46174</v>
      </c>
      <c r="J1416" s="59" t="s">
        <v>932</v>
      </c>
      <c r="K1416" s="59" t="s">
        <v>1148</v>
      </c>
      <c r="L1416" s="61">
        <v>11336071.890000001</v>
      </c>
      <c r="M1416" s="59"/>
      <c r="N1416" s="61">
        <v>11336071.890000001</v>
      </c>
      <c r="O1416" s="61">
        <v>5945422472.5860052</v>
      </c>
    </row>
    <row r="1417" spans="1:15" x14ac:dyDescent="0.25">
      <c r="A1417" s="62">
        <v>46206</v>
      </c>
      <c r="B1417">
        <v>7</v>
      </c>
      <c r="C1417" t="s">
        <v>1133</v>
      </c>
      <c r="D1417">
        <v>1044414</v>
      </c>
      <c r="E1417" t="s">
        <v>1134</v>
      </c>
      <c r="F1417" t="s">
        <v>1135</v>
      </c>
      <c r="G1417" t="s">
        <v>1136</v>
      </c>
      <c r="H1417" t="s">
        <v>1160</v>
      </c>
      <c r="I1417" s="63">
        <v>46174</v>
      </c>
      <c r="J1417" t="s">
        <v>932</v>
      </c>
      <c r="K1417" t="s">
        <v>1148</v>
      </c>
      <c r="L1417" s="64">
        <v>20639696.690000001</v>
      </c>
      <c r="N1417" s="64">
        <v>20639696.690000001</v>
      </c>
      <c r="O1417" s="64">
        <v>5966062169.2760048</v>
      </c>
    </row>
    <row r="1418" spans="1:15" x14ac:dyDescent="0.25">
      <c r="A1418" s="58">
        <v>46209</v>
      </c>
      <c r="B1418" s="59">
        <v>7</v>
      </c>
      <c r="C1418" s="59" t="s">
        <v>1144</v>
      </c>
      <c r="D1418" s="59">
        <v>2054325</v>
      </c>
      <c r="E1418" s="59" t="s">
        <v>1167</v>
      </c>
      <c r="F1418" s="59" t="s">
        <v>1169</v>
      </c>
      <c r="G1418" s="59" t="s">
        <v>1136</v>
      </c>
      <c r="H1418" s="59" t="s">
        <v>1143</v>
      </c>
      <c r="I1418" s="60">
        <v>46174</v>
      </c>
      <c r="J1418" s="59" t="s">
        <v>933</v>
      </c>
      <c r="K1418" s="59" t="s">
        <v>1172</v>
      </c>
      <c r="L1418" s="59"/>
      <c r="M1418" s="61">
        <v>2152517.4</v>
      </c>
      <c r="N1418" s="61">
        <v>-2152517.4</v>
      </c>
      <c r="O1418" s="61">
        <v>5963909651.8760052</v>
      </c>
    </row>
    <row r="1419" spans="1:15" x14ac:dyDescent="0.25">
      <c r="A1419" s="62">
        <v>46209</v>
      </c>
      <c r="B1419">
        <v>7</v>
      </c>
      <c r="C1419" t="s">
        <v>1144</v>
      </c>
      <c r="D1419">
        <v>2054322</v>
      </c>
      <c r="E1419" t="s">
        <v>1167</v>
      </c>
      <c r="F1419" t="s">
        <v>1169</v>
      </c>
      <c r="G1419" t="s">
        <v>1136</v>
      </c>
      <c r="H1419" t="s">
        <v>1143</v>
      </c>
      <c r="I1419" s="63">
        <v>46174</v>
      </c>
      <c r="J1419" t="s">
        <v>934</v>
      </c>
      <c r="K1419" t="s">
        <v>1138</v>
      </c>
      <c r="M1419" s="64">
        <v>22299800</v>
      </c>
      <c r="N1419" s="64">
        <v>-22299800</v>
      </c>
      <c r="O1419" s="64">
        <v>5941609851.8760052</v>
      </c>
    </row>
    <row r="1420" spans="1:15" x14ac:dyDescent="0.25">
      <c r="A1420" s="58">
        <v>46209</v>
      </c>
      <c r="B1420" s="59">
        <v>7</v>
      </c>
      <c r="C1420" s="59" t="s">
        <v>1144</v>
      </c>
      <c r="D1420" s="59">
        <v>2054327</v>
      </c>
      <c r="E1420" s="59" t="s">
        <v>1167</v>
      </c>
      <c r="F1420" s="59" t="s">
        <v>1169</v>
      </c>
      <c r="G1420" s="59" t="s">
        <v>1136</v>
      </c>
      <c r="H1420" s="59" t="s">
        <v>1143</v>
      </c>
      <c r="I1420" s="60">
        <v>46174</v>
      </c>
      <c r="J1420" s="59" t="s">
        <v>934</v>
      </c>
      <c r="K1420" s="59" t="s">
        <v>1170</v>
      </c>
      <c r="L1420" s="59"/>
      <c r="M1420" s="61">
        <v>5100</v>
      </c>
      <c r="N1420" s="61">
        <v>-5100</v>
      </c>
      <c r="O1420" s="61">
        <v>5941604751.8760052</v>
      </c>
    </row>
    <row r="1421" spans="1:15" x14ac:dyDescent="0.25">
      <c r="A1421" s="62">
        <v>46209</v>
      </c>
      <c r="B1421">
        <v>7</v>
      </c>
      <c r="C1421" t="s">
        <v>1144</v>
      </c>
      <c r="D1421">
        <v>2054324</v>
      </c>
      <c r="E1421" t="s">
        <v>1167</v>
      </c>
      <c r="F1421" t="s">
        <v>1169</v>
      </c>
      <c r="G1421" t="s">
        <v>1136</v>
      </c>
      <c r="H1421" t="s">
        <v>1143</v>
      </c>
      <c r="I1421" s="63">
        <v>46174</v>
      </c>
      <c r="J1421" t="s">
        <v>935</v>
      </c>
      <c r="K1421" t="s">
        <v>1148</v>
      </c>
      <c r="M1421" s="64">
        <v>78589440</v>
      </c>
      <c r="N1421" s="64">
        <v>-78589440</v>
      </c>
      <c r="O1421" s="64">
        <v>5863015311.8760052</v>
      </c>
    </row>
    <row r="1422" spans="1:15" x14ac:dyDescent="0.25">
      <c r="A1422" s="58">
        <v>46209</v>
      </c>
      <c r="B1422" s="59">
        <v>7</v>
      </c>
      <c r="C1422" s="59" t="s">
        <v>1144</v>
      </c>
      <c r="D1422" s="59">
        <v>2054326</v>
      </c>
      <c r="E1422" s="59" t="s">
        <v>1167</v>
      </c>
      <c r="F1422" s="59" t="s">
        <v>1169</v>
      </c>
      <c r="G1422" s="59" t="s">
        <v>1136</v>
      </c>
      <c r="H1422" s="59" t="s">
        <v>1143</v>
      </c>
      <c r="I1422" s="60">
        <v>46174</v>
      </c>
      <c r="J1422" s="59" t="s">
        <v>935</v>
      </c>
      <c r="K1422" s="59" t="s">
        <v>1150</v>
      </c>
      <c r="L1422" s="59"/>
      <c r="M1422" s="61">
        <v>2309351.56</v>
      </c>
      <c r="N1422" s="61">
        <v>-2309351.56</v>
      </c>
      <c r="O1422" s="61">
        <v>5860705960.3160048</v>
      </c>
    </row>
    <row r="1423" spans="1:15" x14ac:dyDescent="0.25">
      <c r="A1423" s="62">
        <v>46209</v>
      </c>
      <c r="B1423">
        <v>7</v>
      </c>
      <c r="C1423" t="s">
        <v>1144</v>
      </c>
      <c r="D1423">
        <v>1044507</v>
      </c>
      <c r="E1423" t="s">
        <v>1134</v>
      </c>
      <c r="F1423" t="s">
        <v>1135</v>
      </c>
      <c r="G1423" t="s">
        <v>1136</v>
      </c>
      <c r="H1423" t="s">
        <v>1175</v>
      </c>
      <c r="I1423" s="63">
        <v>46143</v>
      </c>
      <c r="J1423" t="s">
        <v>936</v>
      </c>
      <c r="K1423" t="s">
        <v>1170</v>
      </c>
      <c r="L1423" s="64">
        <v>9988678.0100000016</v>
      </c>
      <c r="N1423" s="64">
        <v>9988678.0100000016</v>
      </c>
      <c r="O1423" s="64">
        <v>6205803135.4060049</v>
      </c>
    </row>
    <row r="1424" spans="1:15" x14ac:dyDescent="0.25">
      <c r="A1424" s="58">
        <v>46209</v>
      </c>
      <c r="B1424" s="59">
        <v>7</v>
      </c>
      <c r="C1424" s="59" t="s">
        <v>1144</v>
      </c>
      <c r="D1424" s="59">
        <v>1044167</v>
      </c>
      <c r="E1424" s="59" t="s">
        <v>1134</v>
      </c>
      <c r="F1424" s="59" t="s">
        <v>1135</v>
      </c>
      <c r="G1424" s="59" t="s">
        <v>1136</v>
      </c>
      <c r="H1424" s="59" t="s">
        <v>1162</v>
      </c>
      <c r="I1424" s="60">
        <v>46143</v>
      </c>
      <c r="J1424" s="59" t="s">
        <v>936</v>
      </c>
      <c r="K1424" s="59" t="s">
        <v>1170</v>
      </c>
      <c r="L1424" s="61">
        <v>1219659.22</v>
      </c>
      <c r="M1424" s="59"/>
      <c r="N1424" s="61">
        <v>1219659.22</v>
      </c>
      <c r="O1424" s="61">
        <v>6207033656.1060047</v>
      </c>
    </row>
    <row r="1425" spans="1:15" x14ac:dyDescent="0.25">
      <c r="A1425" s="62">
        <v>46209</v>
      </c>
      <c r="B1425">
        <v>7</v>
      </c>
      <c r="C1425" t="s">
        <v>1144</v>
      </c>
      <c r="D1425">
        <v>1044197</v>
      </c>
      <c r="E1425" t="s">
        <v>1134</v>
      </c>
      <c r="F1425" t="s">
        <v>1135</v>
      </c>
      <c r="G1425" t="s">
        <v>1136</v>
      </c>
      <c r="H1425" t="s">
        <v>1149</v>
      </c>
      <c r="I1425" s="63">
        <v>46143</v>
      </c>
      <c r="J1425" t="s">
        <v>936</v>
      </c>
      <c r="K1425" t="s">
        <v>1170</v>
      </c>
      <c r="L1425" s="64">
        <v>703800</v>
      </c>
      <c r="N1425" s="64">
        <v>703800</v>
      </c>
      <c r="O1425" s="64">
        <v>6207975292.7660046</v>
      </c>
    </row>
    <row r="1426" spans="1:15" x14ac:dyDescent="0.25">
      <c r="A1426" s="58">
        <v>46209</v>
      </c>
      <c r="B1426" s="59">
        <v>7</v>
      </c>
      <c r="C1426" s="59" t="s">
        <v>1144</v>
      </c>
      <c r="D1426" s="59">
        <v>1044287</v>
      </c>
      <c r="E1426" s="59" t="s">
        <v>1134</v>
      </c>
      <c r="F1426" s="59" t="s">
        <v>1135</v>
      </c>
      <c r="G1426" s="59" t="s">
        <v>1136</v>
      </c>
      <c r="H1426" s="59" t="s">
        <v>1155</v>
      </c>
      <c r="I1426" s="60">
        <v>46143</v>
      </c>
      <c r="J1426" s="59" t="s">
        <v>936</v>
      </c>
      <c r="K1426" s="59" t="s">
        <v>1170</v>
      </c>
      <c r="L1426" s="61">
        <v>4000</v>
      </c>
      <c r="M1426" s="59"/>
      <c r="N1426" s="61">
        <v>4000</v>
      </c>
      <c r="O1426" s="61">
        <v>6208330792.7660046</v>
      </c>
    </row>
    <row r="1427" spans="1:15" x14ac:dyDescent="0.25">
      <c r="A1427" s="62">
        <v>46209</v>
      </c>
      <c r="B1427">
        <v>7</v>
      </c>
      <c r="C1427" t="s">
        <v>1144</v>
      </c>
      <c r="D1427">
        <v>1044427</v>
      </c>
      <c r="E1427" t="s">
        <v>1134</v>
      </c>
      <c r="F1427" t="s">
        <v>1135</v>
      </c>
      <c r="G1427" t="s">
        <v>1136</v>
      </c>
      <c r="H1427" t="s">
        <v>1165</v>
      </c>
      <c r="I1427" s="63">
        <v>46143</v>
      </c>
      <c r="J1427" t="s">
        <v>936</v>
      </c>
      <c r="K1427" t="s">
        <v>1170</v>
      </c>
      <c r="L1427" s="64">
        <v>250</v>
      </c>
      <c r="N1427" s="64">
        <v>250</v>
      </c>
      <c r="O1427" s="64">
        <v>6208383532.7660046</v>
      </c>
    </row>
    <row r="1428" spans="1:15" x14ac:dyDescent="0.25">
      <c r="A1428" s="58">
        <v>46210</v>
      </c>
      <c r="B1428" s="59">
        <v>7</v>
      </c>
      <c r="C1428" s="59" t="s">
        <v>1161</v>
      </c>
      <c r="D1428" s="59">
        <v>2034413</v>
      </c>
      <c r="E1428" s="59" t="s">
        <v>1167</v>
      </c>
      <c r="F1428" s="59" t="s">
        <v>1168</v>
      </c>
      <c r="G1428" s="59" t="s">
        <v>1136</v>
      </c>
      <c r="H1428" s="59" t="s">
        <v>1160</v>
      </c>
      <c r="I1428" s="60">
        <v>46174</v>
      </c>
      <c r="J1428" s="59" t="s">
        <v>940</v>
      </c>
      <c r="K1428" s="59" t="s">
        <v>1146</v>
      </c>
      <c r="L1428" s="59"/>
      <c r="M1428" s="61">
        <v>6197929</v>
      </c>
      <c r="N1428" s="61">
        <v>-6197929</v>
      </c>
      <c r="O1428" s="61">
        <v>6240497661.826005</v>
      </c>
    </row>
    <row r="1429" spans="1:15" x14ac:dyDescent="0.25">
      <c r="A1429" s="62">
        <v>46210</v>
      </c>
      <c r="B1429">
        <v>7</v>
      </c>
      <c r="C1429" t="s">
        <v>1161</v>
      </c>
      <c r="D1429">
        <v>2044462</v>
      </c>
      <c r="E1429" t="s">
        <v>1167</v>
      </c>
      <c r="F1429" t="s">
        <v>1135</v>
      </c>
      <c r="G1429" t="s">
        <v>1136</v>
      </c>
      <c r="H1429" t="s">
        <v>1140</v>
      </c>
      <c r="I1429" s="63">
        <v>46174</v>
      </c>
      <c r="J1429" t="s">
        <v>941</v>
      </c>
      <c r="K1429" t="s">
        <v>1138</v>
      </c>
      <c r="M1429" s="64">
        <v>1629514.84</v>
      </c>
      <c r="N1429" s="64">
        <v>-1629514.84</v>
      </c>
      <c r="O1429" s="64">
        <v>6238868146.9860048</v>
      </c>
    </row>
    <row r="1430" spans="1:15" x14ac:dyDescent="0.25">
      <c r="A1430" s="58">
        <v>46210</v>
      </c>
      <c r="B1430" s="59">
        <v>7</v>
      </c>
      <c r="C1430" s="59" t="s">
        <v>1161</v>
      </c>
      <c r="D1430" s="59">
        <v>2044462</v>
      </c>
      <c r="E1430" s="59" t="s">
        <v>1167</v>
      </c>
      <c r="F1430" s="59" t="s">
        <v>1135</v>
      </c>
      <c r="G1430" s="59" t="s">
        <v>1136</v>
      </c>
      <c r="H1430" s="59" t="s">
        <v>1140</v>
      </c>
      <c r="I1430" s="60">
        <v>46174</v>
      </c>
      <c r="J1430" s="59" t="s">
        <v>942</v>
      </c>
      <c r="K1430" s="59" t="s">
        <v>1138</v>
      </c>
      <c r="L1430" s="59"/>
      <c r="M1430" s="61">
        <v>37399.94</v>
      </c>
      <c r="N1430" s="61">
        <v>-37399.94</v>
      </c>
      <c r="O1430" s="61">
        <v>6238830747.0460052</v>
      </c>
    </row>
    <row r="1431" spans="1:15" x14ac:dyDescent="0.25">
      <c r="A1431" s="62">
        <v>46211</v>
      </c>
      <c r="B1431">
        <v>7</v>
      </c>
      <c r="C1431" t="s">
        <v>1166</v>
      </c>
      <c r="D1431">
        <v>2054321</v>
      </c>
      <c r="E1431" t="s">
        <v>1167</v>
      </c>
      <c r="F1431" t="s">
        <v>1169</v>
      </c>
      <c r="G1431" t="s">
        <v>1136</v>
      </c>
      <c r="H1431" t="s">
        <v>1143</v>
      </c>
      <c r="I1431" s="63">
        <v>46174</v>
      </c>
      <c r="J1431" t="s">
        <v>945</v>
      </c>
      <c r="K1431" t="s">
        <v>1142</v>
      </c>
      <c r="M1431" s="64">
        <v>31649722.5</v>
      </c>
      <c r="N1431" s="64">
        <v>-31649722.5</v>
      </c>
      <c r="O1431" s="64">
        <v>7231736553.7060061</v>
      </c>
    </row>
    <row r="1432" spans="1:15" x14ac:dyDescent="0.25">
      <c r="A1432" s="58">
        <v>46211</v>
      </c>
      <c r="B1432" s="59">
        <v>7</v>
      </c>
      <c r="C1432" s="59" t="s">
        <v>1166</v>
      </c>
      <c r="D1432" s="59">
        <v>2014272</v>
      </c>
      <c r="E1432" s="59" t="s">
        <v>1167</v>
      </c>
      <c r="F1432" s="59" t="s">
        <v>1174</v>
      </c>
      <c r="G1432" s="59" t="s">
        <v>1136</v>
      </c>
      <c r="H1432" s="59" t="s">
        <v>1154</v>
      </c>
      <c r="I1432" s="60">
        <v>46174</v>
      </c>
      <c r="J1432" s="59" t="s">
        <v>946</v>
      </c>
      <c r="K1432" s="59" t="s">
        <v>1138</v>
      </c>
      <c r="L1432" s="59"/>
      <c r="M1432" s="61">
        <v>5086899.3499999996</v>
      </c>
      <c r="N1432" s="61">
        <v>-5086899.3499999996</v>
      </c>
      <c r="O1432" s="61">
        <v>7226649654.3560057</v>
      </c>
    </row>
    <row r="1433" spans="1:15" x14ac:dyDescent="0.25">
      <c r="A1433" s="62">
        <v>46211</v>
      </c>
      <c r="B1433">
        <v>7</v>
      </c>
      <c r="C1433" t="s">
        <v>1166</v>
      </c>
      <c r="D1433">
        <v>2014274</v>
      </c>
      <c r="E1433" t="s">
        <v>1167</v>
      </c>
      <c r="F1433" t="s">
        <v>1174</v>
      </c>
      <c r="G1433" t="s">
        <v>1136</v>
      </c>
      <c r="H1433" t="s">
        <v>1154</v>
      </c>
      <c r="I1433" s="63">
        <v>46174</v>
      </c>
      <c r="J1433" t="s">
        <v>947</v>
      </c>
      <c r="K1433" t="s">
        <v>1148</v>
      </c>
      <c r="M1433" s="64">
        <v>22773105.350000001</v>
      </c>
      <c r="N1433" s="64">
        <v>-22773105.350000001</v>
      </c>
      <c r="O1433" s="64">
        <v>7203876549.0060053</v>
      </c>
    </row>
    <row r="1434" spans="1:15" x14ac:dyDescent="0.25">
      <c r="A1434" s="58">
        <v>46211</v>
      </c>
      <c r="B1434" s="59">
        <v>7</v>
      </c>
      <c r="C1434" s="59" t="s">
        <v>1166</v>
      </c>
      <c r="D1434" s="59">
        <v>2014275</v>
      </c>
      <c r="E1434" s="59" t="s">
        <v>1167</v>
      </c>
      <c r="F1434" s="59" t="s">
        <v>1174</v>
      </c>
      <c r="G1434" s="59" t="s">
        <v>1136</v>
      </c>
      <c r="H1434" s="59" t="s">
        <v>1154</v>
      </c>
      <c r="I1434" s="60">
        <v>46174</v>
      </c>
      <c r="J1434" s="59" t="s">
        <v>948</v>
      </c>
      <c r="K1434" s="59" t="s">
        <v>1172</v>
      </c>
      <c r="L1434" s="59"/>
      <c r="M1434" s="61">
        <v>1854039.13</v>
      </c>
      <c r="N1434" s="61">
        <v>-1854039.13</v>
      </c>
      <c r="O1434" s="61">
        <v>7202022509.8760052</v>
      </c>
    </row>
    <row r="1435" spans="1:15" x14ac:dyDescent="0.25">
      <c r="A1435" s="62">
        <v>46211</v>
      </c>
      <c r="B1435">
        <v>7</v>
      </c>
      <c r="C1435" t="s">
        <v>1166</v>
      </c>
      <c r="D1435">
        <v>2034234</v>
      </c>
      <c r="E1435" t="s">
        <v>1167</v>
      </c>
      <c r="F1435" t="s">
        <v>1168</v>
      </c>
      <c r="G1435" t="s">
        <v>1136</v>
      </c>
      <c r="H1435" t="s">
        <v>1152</v>
      </c>
      <c r="I1435" s="63">
        <v>46174</v>
      </c>
      <c r="J1435" t="s">
        <v>949</v>
      </c>
      <c r="K1435" t="s">
        <v>1148</v>
      </c>
      <c r="M1435" s="64">
        <v>25461341.57</v>
      </c>
      <c r="N1435" s="64">
        <v>-25461341.57</v>
      </c>
      <c r="O1435" s="64">
        <v>7176561168.3060045</v>
      </c>
    </row>
    <row r="1436" spans="1:15" x14ac:dyDescent="0.25">
      <c r="A1436" s="58">
        <v>46211</v>
      </c>
      <c r="B1436" s="59">
        <v>7</v>
      </c>
      <c r="C1436" s="59" t="s">
        <v>1166</v>
      </c>
      <c r="D1436" s="59">
        <v>2034235</v>
      </c>
      <c r="E1436" s="59" t="s">
        <v>1167</v>
      </c>
      <c r="F1436" s="59" t="s">
        <v>1168</v>
      </c>
      <c r="G1436" s="59" t="s">
        <v>1136</v>
      </c>
      <c r="H1436" s="59" t="s">
        <v>1152</v>
      </c>
      <c r="I1436" s="60">
        <v>46174</v>
      </c>
      <c r="J1436" s="59" t="s">
        <v>950</v>
      </c>
      <c r="K1436" s="59" t="s">
        <v>1172</v>
      </c>
      <c r="L1436" s="59"/>
      <c r="M1436" s="61">
        <v>3030442.35</v>
      </c>
      <c r="N1436" s="61">
        <v>-3030442.35</v>
      </c>
      <c r="O1436" s="61">
        <v>7173530725.9560051</v>
      </c>
    </row>
    <row r="1437" spans="1:15" x14ac:dyDescent="0.25">
      <c r="A1437" s="62">
        <v>46211</v>
      </c>
      <c r="B1437">
        <v>7</v>
      </c>
      <c r="C1437" t="s">
        <v>1166</v>
      </c>
      <c r="D1437">
        <v>2014425</v>
      </c>
      <c r="E1437" t="s">
        <v>1167</v>
      </c>
      <c r="F1437" t="s">
        <v>1174</v>
      </c>
      <c r="G1437" t="s">
        <v>1136</v>
      </c>
      <c r="H1437" t="s">
        <v>1165</v>
      </c>
      <c r="I1437" s="63">
        <v>46174</v>
      </c>
      <c r="J1437" t="s">
        <v>951</v>
      </c>
      <c r="K1437" t="s">
        <v>1172</v>
      </c>
      <c r="M1437" s="64">
        <v>2753285.43</v>
      </c>
      <c r="N1437" s="64">
        <v>-2753285.43</v>
      </c>
      <c r="O1437" s="64">
        <v>7170777440.5260048</v>
      </c>
    </row>
    <row r="1438" spans="1:15" x14ac:dyDescent="0.25">
      <c r="A1438" s="58">
        <v>46211</v>
      </c>
      <c r="B1438" s="59">
        <v>7</v>
      </c>
      <c r="C1438" s="59" t="s">
        <v>1166</v>
      </c>
      <c r="D1438" s="59">
        <v>2034243</v>
      </c>
      <c r="E1438" s="59" t="s">
        <v>1167</v>
      </c>
      <c r="F1438" s="59" t="s">
        <v>1168</v>
      </c>
      <c r="G1438" s="59" t="s">
        <v>1136</v>
      </c>
      <c r="H1438" s="59" t="s">
        <v>1153</v>
      </c>
      <c r="I1438" s="60">
        <v>46174</v>
      </c>
      <c r="J1438" s="59" t="s">
        <v>952</v>
      </c>
      <c r="K1438" s="59" t="s">
        <v>1146</v>
      </c>
      <c r="L1438" s="59"/>
      <c r="M1438" s="61">
        <v>19020954.32</v>
      </c>
      <c r="N1438" s="61">
        <v>-19020954.32</v>
      </c>
      <c r="O1438" s="61">
        <v>7151756486.2060051</v>
      </c>
    </row>
    <row r="1439" spans="1:15" x14ac:dyDescent="0.25">
      <c r="A1439" s="62">
        <v>46211</v>
      </c>
      <c r="B1439">
        <v>7</v>
      </c>
      <c r="C1439" t="s">
        <v>1166</v>
      </c>
      <c r="D1439">
        <v>2034244</v>
      </c>
      <c r="E1439" t="s">
        <v>1167</v>
      </c>
      <c r="F1439" t="s">
        <v>1168</v>
      </c>
      <c r="G1439" t="s">
        <v>1136</v>
      </c>
      <c r="H1439" t="s">
        <v>1153</v>
      </c>
      <c r="I1439" s="63">
        <v>46174</v>
      </c>
      <c r="J1439" t="s">
        <v>953</v>
      </c>
      <c r="K1439" t="s">
        <v>1148</v>
      </c>
      <c r="M1439" s="64">
        <v>11676501.84</v>
      </c>
      <c r="N1439" s="64">
        <v>-11676501.84</v>
      </c>
      <c r="O1439" s="64">
        <v>7140079984.3660049</v>
      </c>
    </row>
    <row r="1440" spans="1:15" x14ac:dyDescent="0.25">
      <c r="A1440" s="58">
        <v>46211</v>
      </c>
      <c r="B1440" s="59">
        <v>7</v>
      </c>
      <c r="C1440" s="59" t="s">
        <v>1166</v>
      </c>
      <c r="D1440" s="59">
        <v>2054372</v>
      </c>
      <c r="E1440" s="59" t="s">
        <v>1167</v>
      </c>
      <c r="F1440" s="59" t="s">
        <v>1169</v>
      </c>
      <c r="G1440" s="59" t="s">
        <v>1136</v>
      </c>
      <c r="H1440" s="59" t="s">
        <v>1141</v>
      </c>
      <c r="I1440" s="60">
        <v>46174</v>
      </c>
      <c r="J1440" s="59" t="s">
        <v>954</v>
      </c>
      <c r="K1440" s="59" t="s">
        <v>1138</v>
      </c>
      <c r="L1440" s="59"/>
      <c r="M1440" s="61">
        <v>37043310.759999998</v>
      </c>
      <c r="N1440" s="61">
        <v>-37043310.759999998</v>
      </c>
      <c r="O1440" s="61">
        <v>7103036673.6060047</v>
      </c>
    </row>
    <row r="1441" spans="1:15" x14ac:dyDescent="0.25">
      <c r="A1441" s="62">
        <v>46211</v>
      </c>
      <c r="B1441">
        <v>7</v>
      </c>
      <c r="C1441" t="s">
        <v>1166</v>
      </c>
      <c r="D1441">
        <v>2054374</v>
      </c>
      <c r="E1441" t="s">
        <v>1167</v>
      </c>
      <c r="F1441" t="s">
        <v>1169</v>
      </c>
      <c r="G1441" t="s">
        <v>1136</v>
      </c>
      <c r="H1441" t="s">
        <v>1141</v>
      </c>
      <c r="I1441" s="63">
        <v>46174</v>
      </c>
      <c r="J1441" t="s">
        <v>955</v>
      </c>
      <c r="K1441" t="s">
        <v>1148</v>
      </c>
      <c r="M1441" s="64">
        <v>20101597.91</v>
      </c>
      <c r="N1441" s="64">
        <v>-20101597.91</v>
      </c>
      <c r="O1441" s="64">
        <v>7082935075.6960049</v>
      </c>
    </row>
    <row r="1442" spans="1:15" x14ac:dyDescent="0.25">
      <c r="A1442" s="58">
        <v>46211</v>
      </c>
      <c r="B1442" s="59">
        <v>7</v>
      </c>
      <c r="C1442" s="59" t="s">
        <v>1166</v>
      </c>
      <c r="D1442" s="59">
        <v>2014212</v>
      </c>
      <c r="E1442" s="59" t="s">
        <v>1167</v>
      </c>
      <c r="F1442" s="59" t="s">
        <v>1174</v>
      </c>
      <c r="G1442" s="59" t="s">
        <v>1136</v>
      </c>
      <c r="H1442" s="59" t="s">
        <v>1151</v>
      </c>
      <c r="I1442" s="60">
        <v>46174</v>
      </c>
      <c r="J1442" s="59" t="s">
        <v>956</v>
      </c>
      <c r="K1442" s="59" t="s">
        <v>1138</v>
      </c>
      <c r="L1442" s="59"/>
      <c r="M1442" s="61">
        <v>10639468.15</v>
      </c>
      <c r="N1442" s="61">
        <v>-10639468.15</v>
      </c>
      <c r="O1442" s="61">
        <v>7072295607.5460052</v>
      </c>
    </row>
    <row r="1443" spans="1:15" x14ac:dyDescent="0.25">
      <c r="A1443" s="62">
        <v>46211</v>
      </c>
      <c r="B1443">
        <v>7</v>
      </c>
      <c r="C1443" t="s">
        <v>1166</v>
      </c>
      <c r="D1443">
        <v>2014214</v>
      </c>
      <c r="E1443" t="s">
        <v>1167</v>
      </c>
      <c r="F1443" t="s">
        <v>1174</v>
      </c>
      <c r="G1443" t="s">
        <v>1136</v>
      </c>
      <c r="H1443" t="s">
        <v>1151</v>
      </c>
      <c r="I1443" s="63">
        <v>46174</v>
      </c>
      <c r="J1443" t="s">
        <v>957</v>
      </c>
      <c r="K1443" t="s">
        <v>1148</v>
      </c>
      <c r="M1443" s="64">
        <v>10775175.869999999</v>
      </c>
      <c r="N1443" s="64">
        <v>-10775175.869999999</v>
      </c>
      <c r="O1443" s="64">
        <v>7061520431.6760054</v>
      </c>
    </row>
    <row r="1444" spans="1:15" x14ac:dyDescent="0.25">
      <c r="A1444" s="58">
        <v>46211</v>
      </c>
      <c r="B1444" s="59">
        <v>7</v>
      </c>
      <c r="C1444" s="59" t="s">
        <v>1166</v>
      </c>
      <c r="D1444" s="59">
        <v>2054196</v>
      </c>
      <c r="E1444" s="59" t="s">
        <v>1167</v>
      </c>
      <c r="F1444" s="59" t="s">
        <v>1169</v>
      </c>
      <c r="G1444" s="59" t="s">
        <v>1136</v>
      </c>
      <c r="H1444" s="59" t="s">
        <v>1149</v>
      </c>
      <c r="I1444" s="60">
        <v>46174</v>
      </c>
      <c r="J1444" s="59" t="s">
        <v>958</v>
      </c>
      <c r="K1444" s="59" t="s">
        <v>1150</v>
      </c>
      <c r="L1444" s="59"/>
      <c r="M1444" s="61">
        <v>15045185.130000001</v>
      </c>
      <c r="N1444" s="61">
        <v>-15045185.130000001</v>
      </c>
      <c r="O1444" s="61">
        <v>7046475246.5460052</v>
      </c>
    </row>
    <row r="1445" spans="1:15" x14ac:dyDescent="0.25">
      <c r="A1445" s="62">
        <v>46211</v>
      </c>
      <c r="B1445">
        <v>7</v>
      </c>
      <c r="C1445" t="s">
        <v>1166</v>
      </c>
      <c r="D1445">
        <v>2054282</v>
      </c>
      <c r="E1445" t="s">
        <v>1167</v>
      </c>
      <c r="F1445" t="s">
        <v>1169</v>
      </c>
      <c r="G1445" t="s">
        <v>1136</v>
      </c>
      <c r="H1445" t="s">
        <v>1155</v>
      </c>
      <c r="I1445" s="63">
        <v>46174</v>
      </c>
      <c r="J1445" t="s">
        <v>959</v>
      </c>
      <c r="K1445" t="s">
        <v>1138</v>
      </c>
      <c r="M1445" s="64">
        <v>43690500</v>
      </c>
      <c r="N1445" s="64">
        <v>-43690500</v>
      </c>
      <c r="O1445" s="64">
        <v>7002784746.5460052</v>
      </c>
    </row>
    <row r="1446" spans="1:15" x14ac:dyDescent="0.25">
      <c r="A1446" s="58">
        <v>46211</v>
      </c>
      <c r="B1446" s="59">
        <v>7</v>
      </c>
      <c r="C1446" s="59" t="s">
        <v>1166</v>
      </c>
      <c r="D1446" s="59">
        <v>2054287</v>
      </c>
      <c r="E1446" s="59" t="s">
        <v>1167</v>
      </c>
      <c r="F1446" s="59" t="s">
        <v>1169</v>
      </c>
      <c r="G1446" s="59" t="s">
        <v>1136</v>
      </c>
      <c r="H1446" s="59" t="s">
        <v>1155</v>
      </c>
      <c r="I1446" s="60">
        <v>46174</v>
      </c>
      <c r="J1446" s="59" t="s">
        <v>959</v>
      </c>
      <c r="K1446" s="59" t="s">
        <v>1170</v>
      </c>
      <c r="L1446" s="59"/>
      <c r="M1446" s="61">
        <v>1000</v>
      </c>
      <c r="N1446" s="61">
        <v>-1000</v>
      </c>
      <c r="O1446" s="61">
        <v>7002783746.5460052</v>
      </c>
    </row>
    <row r="1447" spans="1:15" x14ac:dyDescent="0.25">
      <c r="A1447" s="62">
        <v>46211</v>
      </c>
      <c r="B1447">
        <v>7</v>
      </c>
      <c r="C1447" t="s">
        <v>1166</v>
      </c>
      <c r="D1447">
        <v>2054284</v>
      </c>
      <c r="E1447" t="s">
        <v>1167</v>
      </c>
      <c r="F1447" t="s">
        <v>1169</v>
      </c>
      <c r="G1447" t="s">
        <v>1136</v>
      </c>
      <c r="H1447" t="s">
        <v>1155</v>
      </c>
      <c r="I1447" s="63">
        <v>46174</v>
      </c>
      <c r="J1447" t="s">
        <v>960</v>
      </c>
      <c r="K1447" t="s">
        <v>1148</v>
      </c>
      <c r="M1447" s="64">
        <v>107696300</v>
      </c>
      <c r="N1447" s="64">
        <v>-107696300</v>
      </c>
      <c r="O1447" s="64">
        <v>6895087446.5460052</v>
      </c>
    </row>
    <row r="1448" spans="1:15" x14ac:dyDescent="0.25">
      <c r="A1448" s="58">
        <v>46211</v>
      </c>
      <c r="B1448" s="59">
        <v>7</v>
      </c>
      <c r="C1448" s="59" t="s">
        <v>1166</v>
      </c>
      <c r="D1448" s="59">
        <v>2054286</v>
      </c>
      <c r="E1448" s="59" t="s">
        <v>1167</v>
      </c>
      <c r="F1448" s="59" t="s">
        <v>1169</v>
      </c>
      <c r="G1448" s="59" t="s">
        <v>1136</v>
      </c>
      <c r="H1448" s="59" t="s">
        <v>1155</v>
      </c>
      <c r="I1448" s="60">
        <v>46174</v>
      </c>
      <c r="J1448" s="59" t="s">
        <v>960</v>
      </c>
      <c r="K1448" s="59" t="s">
        <v>1150</v>
      </c>
      <c r="L1448" s="59"/>
      <c r="M1448" s="61">
        <v>3654804.11</v>
      </c>
      <c r="N1448" s="61">
        <v>-3654804.11</v>
      </c>
      <c r="O1448" s="61">
        <v>6891432642.4360056</v>
      </c>
    </row>
    <row r="1449" spans="1:15" x14ac:dyDescent="0.25">
      <c r="A1449" s="62">
        <v>46211</v>
      </c>
      <c r="B1449">
        <v>7</v>
      </c>
      <c r="C1449" t="s">
        <v>1166</v>
      </c>
      <c r="D1449">
        <v>2054285</v>
      </c>
      <c r="E1449" t="s">
        <v>1167</v>
      </c>
      <c r="F1449" t="s">
        <v>1169</v>
      </c>
      <c r="G1449" t="s">
        <v>1136</v>
      </c>
      <c r="H1449" t="s">
        <v>1155</v>
      </c>
      <c r="I1449" s="63">
        <v>46174</v>
      </c>
      <c r="J1449" t="s">
        <v>961</v>
      </c>
      <c r="K1449" t="s">
        <v>1172</v>
      </c>
      <c r="M1449" s="64">
        <v>3335555</v>
      </c>
      <c r="N1449" s="64">
        <v>-3335555</v>
      </c>
      <c r="O1449" s="64">
        <v>6888097087.4360056</v>
      </c>
    </row>
    <row r="1450" spans="1:15" x14ac:dyDescent="0.25">
      <c r="A1450" s="58">
        <v>46211</v>
      </c>
      <c r="B1450" s="59">
        <v>7</v>
      </c>
      <c r="C1450" s="59" t="s">
        <v>1166</v>
      </c>
      <c r="D1450" s="59">
        <v>1044161</v>
      </c>
      <c r="E1450" s="59" t="s">
        <v>1134</v>
      </c>
      <c r="F1450" s="59" t="s">
        <v>1135</v>
      </c>
      <c r="G1450" s="59" t="s">
        <v>1136</v>
      </c>
      <c r="H1450" s="59" t="s">
        <v>1162</v>
      </c>
      <c r="I1450" s="60">
        <v>46143</v>
      </c>
      <c r="J1450" s="59" t="s">
        <v>969</v>
      </c>
      <c r="K1450" s="59" t="s">
        <v>1142</v>
      </c>
      <c r="L1450" s="61">
        <v>5040835</v>
      </c>
      <c r="M1450" s="59"/>
      <c r="N1450" s="61">
        <v>5040835</v>
      </c>
      <c r="O1450" s="61">
        <v>6371339432.286006</v>
      </c>
    </row>
    <row r="1451" spans="1:15" x14ac:dyDescent="0.25">
      <c r="A1451" s="62">
        <v>46211</v>
      </c>
      <c r="B1451">
        <v>7</v>
      </c>
      <c r="C1451" t="s">
        <v>1166</v>
      </c>
      <c r="D1451">
        <v>1044171</v>
      </c>
      <c r="E1451" t="s">
        <v>1134</v>
      </c>
      <c r="F1451" t="s">
        <v>1135</v>
      </c>
      <c r="G1451" t="s">
        <v>1136</v>
      </c>
      <c r="H1451" t="s">
        <v>1147</v>
      </c>
      <c r="I1451" s="63">
        <v>46143</v>
      </c>
      <c r="J1451" t="s">
        <v>969</v>
      </c>
      <c r="K1451" t="s">
        <v>1142</v>
      </c>
      <c r="L1451" s="64">
        <v>3241346.25</v>
      </c>
      <c r="N1451" s="64">
        <v>3241346.25</v>
      </c>
      <c r="O1451" s="64">
        <v>6374580778.536006</v>
      </c>
    </row>
    <row r="1452" spans="1:15" x14ac:dyDescent="0.25">
      <c r="A1452" s="58">
        <v>46211</v>
      </c>
      <c r="B1452" s="59">
        <v>7</v>
      </c>
      <c r="C1452" s="59" t="s">
        <v>1166</v>
      </c>
      <c r="D1452" s="59">
        <v>1044211</v>
      </c>
      <c r="E1452" s="59" t="s">
        <v>1134</v>
      </c>
      <c r="F1452" s="59" t="s">
        <v>1135</v>
      </c>
      <c r="G1452" s="59" t="s">
        <v>1136</v>
      </c>
      <c r="H1452" s="59" t="s">
        <v>1151</v>
      </c>
      <c r="I1452" s="60">
        <v>46143</v>
      </c>
      <c r="J1452" s="59" t="s">
        <v>969</v>
      </c>
      <c r="K1452" s="59" t="s">
        <v>1142</v>
      </c>
      <c r="L1452" s="61">
        <v>4625286</v>
      </c>
      <c r="M1452" s="59"/>
      <c r="N1452" s="61">
        <v>4625286</v>
      </c>
      <c r="O1452" s="61">
        <v>6379206064.536006</v>
      </c>
    </row>
    <row r="1453" spans="1:15" x14ac:dyDescent="0.25">
      <c r="A1453" s="62">
        <v>46211</v>
      </c>
      <c r="B1453">
        <v>7</v>
      </c>
      <c r="C1453" t="s">
        <v>1166</v>
      </c>
      <c r="D1453">
        <v>1044241</v>
      </c>
      <c r="E1453" t="s">
        <v>1134</v>
      </c>
      <c r="F1453" t="s">
        <v>1135</v>
      </c>
      <c r="G1453" t="s">
        <v>1136</v>
      </c>
      <c r="H1453" t="s">
        <v>1153</v>
      </c>
      <c r="I1453" s="63">
        <v>46143</v>
      </c>
      <c r="J1453" t="s">
        <v>969</v>
      </c>
      <c r="K1453" t="s">
        <v>1142</v>
      </c>
      <c r="L1453" s="64">
        <v>700368</v>
      </c>
      <c r="N1453" s="64">
        <v>700368</v>
      </c>
      <c r="O1453" s="64">
        <v>6379906432.536006</v>
      </c>
    </row>
    <row r="1454" spans="1:15" x14ac:dyDescent="0.25">
      <c r="A1454" s="58">
        <v>46211</v>
      </c>
      <c r="B1454" s="59">
        <v>7</v>
      </c>
      <c r="C1454" s="59" t="s">
        <v>1166</v>
      </c>
      <c r="D1454" s="59">
        <v>1044261</v>
      </c>
      <c r="E1454" s="59" t="s">
        <v>1134</v>
      </c>
      <c r="F1454" s="59" t="s">
        <v>1135</v>
      </c>
      <c r="G1454" s="59" t="s">
        <v>1136</v>
      </c>
      <c r="H1454" s="59" t="s">
        <v>1145</v>
      </c>
      <c r="I1454" s="60">
        <v>46143</v>
      </c>
      <c r="J1454" s="59" t="s">
        <v>969</v>
      </c>
      <c r="K1454" s="59" t="s">
        <v>1142</v>
      </c>
      <c r="L1454" s="61">
        <v>1335257.5</v>
      </c>
      <c r="M1454" s="59"/>
      <c r="N1454" s="61">
        <v>1335257.5</v>
      </c>
      <c r="O1454" s="61">
        <v>6381241690.036006</v>
      </c>
    </row>
    <row r="1455" spans="1:15" x14ac:dyDescent="0.25">
      <c r="A1455" s="62">
        <v>46211</v>
      </c>
      <c r="B1455">
        <v>7</v>
      </c>
      <c r="C1455" t="s">
        <v>1166</v>
      </c>
      <c r="D1455">
        <v>1044271</v>
      </c>
      <c r="E1455" t="s">
        <v>1134</v>
      </c>
      <c r="F1455" t="s">
        <v>1135</v>
      </c>
      <c r="G1455" t="s">
        <v>1136</v>
      </c>
      <c r="H1455" t="s">
        <v>1154</v>
      </c>
      <c r="I1455" s="63">
        <v>46143</v>
      </c>
      <c r="J1455" t="s">
        <v>969</v>
      </c>
      <c r="K1455" t="s">
        <v>1142</v>
      </c>
      <c r="L1455" s="64">
        <v>6363976</v>
      </c>
      <c r="N1455" s="64">
        <v>6363976</v>
      </c>
      <c r="O1455" s="64">
        <v>6387605666.036006</v>
      </c>
    </row>
    <row r="1456" spans="1:15" x14ac:dyDescent="0.25">
      <c r="A1456" s="58">
        <v>46211</v>
      </c>
      <c r="B1456" s="59">
        <v>7</v>
      </c>
      <c r="C1456" s="59" t="s">
        <v>1166</v>
      </c>
      <c r="D1456" s="59">
        <v>1044281</v>
      </c>
      <c r="E1456" s="59" t="s">
        <v>1134</v>
      </c>
      <c r="F1456" s="59" t="s">
        <v>1135</v>
      </c>
      <c r="G1456" s="59" t="s">
        <v>1136</v>
      </c>
      <c r="H1456" s="59" t="s">
        <v>1155</v>
      </c>
      <c r="I1456" s="60">
        <v>46143</v>
      </c>
      <c r="J1456" s="59" t="s">
        <v>969</v>
      </c>
      <c r="K1456" s="59" t="s">
        <v>1142</v>
      </c>
      <c r="L1456" s="61">
        <v>2508806</v>
      </c>
      <c r="M1456" s="59"/>
      <c r="N1456" s="61">
        <v>2508806</v>
      </c>
      <c r="O1456" s="61">
        <v>6390114472.036006</v>
      </c>
    </row>
    <row r="1457" spans="1:15" x14ac:dyDescent="0.25">
      <c r="A1457" s="62">
        <v>46211</v>
      </c>
      <c r="B1457">
        <v>7</v>
      </c>
      <c r="C1457" t="s">
        <v>1166</v>
      </c>
      <c r="D1457">
        <v>1044461</v>
      </c>
      <c r="E1457" t="s">
        <v>1134</v>
      </c>
      <c r="F1457" t="s">
        <v>1135</v>
      </c>
      <c r="G1457" t="s">
        <v>1136</v>
      </c>
      <c r="H1457" t="s">
        <v>1140</v>
      </c>
      <c r="I1457" s="63">
        <v>46143</v>
      </c>
      <c r="J1457" t="s">
        <v>969</v>
      </c>
      <c r="K1457" t="s">
        <v>1142</v>
      </c>
      <c r="L1457" s="64">
        <v>850495.97881679412</v>
      </c>
      <c r="N1457" s="64">
        <v>850495.97881679412</v>
      </c>
      <c r="O1457" s="64">
        <v>6390964968.014823</v>
      </c>
    </row>
    <row r="1458" spans="1:15" x14ac:dyDescent="0.25">
      <c r="A1458" s="58">
        <v>46211</v>
      </c>
      <c r="B1458" s="59">
        <v>7</v>
      </c>
      <c r="C1458" s="59" t="s">
        <v>1166</v>
      </c>
      <c r="D1458" s="59">
        <v>1044321</v>
      </c>
      <c r="E1458" s="59" t="s">
        <v>1134</v>
      </c>
      <c r="F1458" s="59" t="s">
        <v>1135</v>
      </c>
      <c r="G1458" s="59" t="s">
        <v>1136</v>
      </c>
      <c r="H1458" s="59" t="s">
        <v>1143</v>
      </c>
      <c r="I1458" s="60">
        <v>46143</v>
      </c>
      <c r="J1458" s="59" t="s">
        <v>969</v>
      </c>
      <c r="K1458" s="59" t="s">
        <v>1142</v>
      </c>
      <c r="L1458" s="61">
        <v>12278196.5</v>
      </c>
      <c r="M1458" s="59"/>
      <c r="N1458" s="61">
        <v>12278196.5</v>
      </c>
      <c r="O1458" s="61">
        <v>6403243164.514823</v>
      </c>
    </row>
    <row r="1459" spans="1:15" x14ac:dyDescent="0.25">
      <c r="A1459" s="62">
        <v>46211</v>
      </c>
      <c r="B1459">
        <v>7</v>
      </c>
      <c r="C1459" t="s">
        <v>1166</v>
      </c>
      <c r="D1459">
        <v>1044351</v>
      </c>
      <c r="E1459" t="s">
        <v>1134</v>
      </c>
      <c r="F1459" t="s">
        <v>1135</v>
      </c>
      <c r="G1459" t="s">
        <v>1136</v>
      </c>
      <c r="H1459" t="s">
        <v>1157</v>
      </c>
      <c r="I1459" s="63">
        <v>46143</v>
      </c>
      <c r="J1459" t="s">
        <v>969</v>
      </c>
      <c r="K1459" t="s">
        <v>1142</v>
      </c>
      <c r="L1459" s="64">
        <v>1155232.08</v>
      </c>
      <c r="N1459" s="64">
        <v>1155232.08</v>
      </c>
      <c r="O1459" s="64">
        <v>6404398396.5948229</v>
      </c>
    </row>
    <row r="1460" spans="1:15" x14ac:dyDescent="0.25">
      <c r="A1460" s="58">
        <v>46211</v>
      </c>
      <c r="B1460" s="59">
        <v>7</v>
      </c>
      <c r="C1460" s="59" t="s">
        <v>1166</v>
      </c>
      <c r="D1460" s="59">
        <v>1044361</v>
      </c>
      <c r="E1460" s="59" t="s">
        <v>1134</v>
      </c>
      <c r="F1460" s="59" t="s">
        <v>1135</v>
      </c>
      <c r="G1460" s="59" t="s">
        <v>1136</v>
      </c>
      <c r="H1460" s="59" t="s">
        <v>1158</v>
      </c>
      <c r="I1460" s="60">
        <v>46143</v>
      </c>
      <c r="J1460" s="59" t="s">
        <v>969</v>
      </c>
      <c r="K1460" s="59" t="s">
        <v>1142</v>
      </c>
      <c r="L1460" s="61">
        <v>4063510.8</v>
      </c>
      <c r="M1460" s="59"/>
      <c r="N1460" s="61">
        <v>4063510.8</v>
      </c>
      <c r="O1460" s="61">
        <v>6408461907.3948231</v>
      </c>
    </row>
    <row r="1461" spans="1:15" x14ac:dyDescent="0.25">
      <c r="A1461" s="62">
        <v>46211</v>
      </c>
      <c r="B1461">
        <v>7</v>
      </c>
      <c r="C1461" t="s">
        <v>1166</v>
      </c>
      <c r="D1461">
        <v>1044371</v>
      </c>
      <c r="E1461" t="s">
        <v>1134</v>
      </c>
      <c r="F1461" t="s">
        <v>1135</v>
      </c>
      <c r="G1461" t="s">
        <v>1136</v>
      </c>
      <c r="H1461" t="s">
        <v>1141</v>
      </c>
      <c r="I1461" s="63">
        <v>46143</v>
      </c>
      <c r="J1461" t="s">
        <v>969</v>
      </c>
      <c r="K1461" t="s">
        <v>1142</v>
      </c>
      <c r="L1461" s="64">
        <v>4756913</v>
      </c>
      <c r="N1461" s="64">
        <v>4756913</v>
      </c>
      <c r="O1461" s="64">
        <v>6413218820.3948231</v>
      </c>
    </row>
    <row r="1462" spans="1:15" x14ac:dyDescent="0.25">
      <c r="A1462" s="58">
        <v>46211</v>
      </c>
      <c r="B1462" s="59">
        <v>7</v>
      </c>
      <c r="C1462" s="59" t="s">
        <v>1166</v>
      </c>
      <c r="D1462" s="59">
        <v>1044391</v>
      </c>
      <c r="E1462" s="59" t="s">
        <v>1134</v>
      </c>
      <c r="F1462" s="59" t="s">
        <v>1135</v>
      </c>
      <c r="G1462" s="59" t="s">
        <v>1136</v>
      </c>
      <c r="H1462" s="59" t="s">
        <v>1164</v>
      </c>
      <c r="I1462" s="60">
        <v>46143</v>
      </c>
      <c r="J1462" s="59" t="s">
        <v>969</v>
      </c>
      <c r="K1462" s="59" t="s">
        <v>1142</v>
      </c>
      <c r="L1462" s="61">
        <v>8038175.75</v>
      </c>
      <c r="M1462" s="59"/>
      <c r="N1462" s="61">
        <v>8038175.75</v>
      </c>
      <c r="O1462" s="61">
        <v>6421256996.1448231</v>
      </c>
    </row>
    <row r="1463" spans="1:15" x14ac:dyDescent="0.25">
      <c r="A1463" s="62">
        <v>46211</v>
      </c>
      <c r="B1463">
        <v>7</v>
      </c>
      <c r="C1463" t="s">
        <v>1166</v>
      </c>
      <c r="D1463">
        <v>1044401</v>
      </c>
      <c r="E1463" t="s">
        <v>1134</v>
      </c>
      <c r="F1463" t="s">
        <v>1135</v>
      </c>
      <c r="G1463" t="s">
        <v>1136</v>
      </c>
      <c r="H1463" t="s">
        <v>1159</v>
      </c>
      <c r="I1463" s="63">
        <v>46143</v>
      </c>
      <c r="J1463" t="s">
        <v>969</v>
      </c>
      <c r="K1463" t="s">
        <v>1142</v>
      </c>
      <c r="L1463" s="64">
        <v>3442080.5</v>
      </c>
      <c r="N1463" s="64">
        <v>3442080.5</v>
      </c>
      <c r="O1463" s="64">
        <v>6424699076.6448231</v>
      </c>
    </row>
    <row r="1464" spans="1:15" x14ac:dyDescent="0.25">
      <c r="A1464" s="58">
        <v>46211</v>
      </c>
      <c r="B1464" s="59">
        <v>7</v>
      </c>
      <c r="C1464" s="59" t="s">
        <v>1166</v>
      </c>
      <c r="D1464" s="59">
        <v>1044411</v>
      </c>
      <c r="E1464" s="59" t="s">
        <v>1134</v>
      </c>
      <c r="F1464" s="59" t="s">
        <v>1135</v>
      </c>
      <c r="G1464" s="59" t="s">
        <v>1136</v>
      </c>
      <c r="H1464" s="59" t="s">
        <v>1160</v>
      </c>
      <c r="I1464" s="60">
        <v>46143</v>
      </c>
      <c r="J1464" s="59" t="s">
        <v>969</v>
      </c>
      <c r="K1464" s="59" t="s">
        <v>1142</v>
      </c>
      <c r="L1464" s="61">
        <v>4677747</v>
      </c>
      <c r="M1464" s="59"/>
      <c r="N1464" s="61">
        <v>4677747</v>
      </c>
      <c r="O1464" s="61">
        <v>6429376823.6448231</v>
      </c>
    </row>
    <row r="1465" spans="1:15" x14ac:dyDescent="0.25">
      <c r="A1465" s="62">
        <v>46211</v>
      </c>
      <c r="B1465">
        <v>7</v>
      </c>
      <c r="C1465" t="s">
        <v>1166</v>
      </c>
      <c r="D1465">
        <v>1044421</v>
      </c>
      <c r="E1465" t="s">
        <v>1134</v>
      </c>
      <c r="F1465" t="s">
        <v>1135</v>
      </c>
      <c r="G1465" t="s">
        <v>1136</v>
      </c>
      <c r="H1465" t="s">
        <v>1165</v>
      </c>
      <c r="I1465" s="63">
        <v>46143</v>
      </c>
      <c r="J1465" t="s">
        <v>969</v>
      </c>
      <c r="K1465" t="s">
        <v>1142</v>
      </c>
      <c r="L1465" s="64">
        <v>10116380.87652</v>
      </c>
      <c r="N1465" s="64">
        <v>10116380.87652</v>
      </c>
      <c r="O1465" s="64">
        <v>6439493204.5213432</v>
      </c>
    </row>
    <row r="1466" spans="1:15" x14ac:dyDescent="0.25">
      <c r="A1466" s="58">
        <v>46211</v>
      </c>
      <c r="B1466" s="59">
        <v>7</v>
      </c>
      <c r="C1466" s="59" t="s">
        <v>1166</v>
      </c>
      <c r="D1466" s="59">
        <v>1044351</v>
      </c>
      <c r="E1466" s="59" t="s">
        <v>1134</v>
      </c>
      <c r="F1466" s="59" t="s">
        <v>1135</v>
      </c>
      <c r="G1466" s="59" t="s">
        <v>1136</v>
      </c>
      <c r="H1466" s="59" t="s">
        <v>1157</v>
      </c>
      <c r="I1466" s="60">
        <v>46143</v>
      </c>
      <c r="J1466" s="59" t="s">
        <v>970</v>
      </c>
      <c r="K1466" s="59" t="s">
        <v>1142</v>
      </c>
      <c r="L1466" s="61">
        <v>882126</v>
      </c>
      <c r="M1466" s="59"/>
      <c r="N1466" s="61">
        <v>882126</v>
      </c>
      <c r="O1466" s="61">
        <v>6440375330.5213432</v>
      </c>
    </row>
    <row r="1467" spans="1:15" x14ac:dyDescent="0.25">
      <c r="A1467" s="62">
        <v>46216</v>
      </c>
      <c r="B1467">
        <v>7</v>
      </c>
      <c r="C1467" t="s">
        <v>1144</v>
      </c>
      <c r="D1467">
        <v>2014271</v>
      </c>
      <c r="E1467" t="s">
        <v>1167</v>
      </c>
      <c r="F1467" t="s">
        <v>1174</v>
      </c>
      <c r="G1467" t="s">
        <v>1136</v>
      </c>
      <c r="H1467" t="s">
        <v>1154</v>
      </c>
      <c r="I1467" s="63">
        <v>46174</v>
      </c>
      <c r="J1467" t="s">
        <v>971</v>
      </c>
      <c r="K1467" t="s">
        <v>1142</v>
      </c>
      <c r="M1467" s="64">
        <v>32274623.960000001</v>
      </c>
      <c r="N1467" s="64">
        <v>-32274623.960000001</v>
      </c>
      <c r="O1467" s="64">
        <v>6408100706.5613432</v>
      </c>
    </row>
    <row r="1468" spans="1:15" x14ac:dyDescent="0.25">
      <c r="A1468" s="58">
        <v>46216</v>
      </c>
      <c r="B1468" s="59">
        <v>7</v>
      </c>
      <c r="C1468" s="59" t="s">
        <v>1144</v>
      </c>
      <c r="D1468" s="59">
        <v>2014421</v>
      </c>
      <c r="E1468" s="59" t="s">
        <v>1167</v>
      </c>
      <c r="F1468" s="59" t="s">
        <v>1174</v>
      </c>
      <c r="G1468" s="59" t="s">
        <v>1136</v>
      </c>
      <c r="H1468" s="59" t="s">
        <v>1165</v>
      </c>
      <c r="I1468" s="60">
        <v>46174</v>
      </c>
      <c r="J1468" s="59" t="s">
        <v>972</v>
      </c>
      <c r="K1468" s="59" t="s">
        <v>1142</v>
      </c>
      <c r="L1468" s="59"/>
      <c r="M1468" s="61">
        <v>37099636.25</v>
      </c>
      <c r="N1468" s="61">
        <v>-37099636.25</v>
      </c>
      <c r="O1468" s="61">
        <v>6371001070.3113432</v>
      </c>
    </row>
    <row r="1469" spans="1:15" x14ac:dyDescent="0.25">
      <c r="A1469" s="62">
        <v>46216</v>
      </c>
      <c r="B1469">
        <v>7</v>
      </c>
      <c r="C1469" t="s">
        <v>1144</v>
      </c>
      <c r="D1469">
        <v>2014422</v>
      </c>
      <c r="E1469" t="s">
        <v>1167</v>
      </c>
      <c r="F1469" t="s">
        <v>1174</v>
      </c>
      <c r="G1469" t="s">
        <v>1136</v>
      </c>
      <c r="H1469" t="s">
        <v>1165</v>
      </c>
      <c r="I1469" s="63">
        <v>46174</v>
      </c>
      <c r="J1469" t="s">
        <v>973</v>
      </c>
      <c r="K1469" t="s">
        <v>1138</v>
      </c>
      <c r="M1469" s="64">
        <v>56137958.659999996</v>
      </c>
      <c r="N1469" s="64">
        <v>-56137958.659999996</v>
      </c>
      <c r="O1469" s="64">
        <v>6314863111.6513433</v>
      </c>
    </row>
    <row r="1470" spans="1:15" x14ac:dyDescent="0.25">
      <c r="A1470" s="58">
        <v>46216</v>
      </c>
      <c r="B1470" s="59">
        <v>7</v>
      </c>
      <c r="C1470" s="59" t="s">
        <v>1144</v>
      </c>
      <c r="D1470" s="59">
        <v>2014427</v>
      </c>
      <c r="E1470" s="59" t="s">
        <v>1167</v>
      </c>
      <c r="F1470" s="59" t="s">
        <v>1174</v>
      </c>
      <c r="G1470" s="59" t="s">
        <v>1136</v>
      </c>
      <c r="H1470" s="59" t="s">
        <v>1165</v>
      </c>
      <c r="I1470" s="60">
        <v>46174</v>
      </c>
      <c r="J1470" s="59" t="s">
        <v>973</v>
      </c>
      <c r="K1470" s="59" t="s">
        <v>1170</v>
      </c>
      <c r="L1470" s="59"/>
      <c r="M1470" s="61">
        <v>80</v>
      </c>
      <c r="N1470" s="61">
        <v>-80</v>
      </c>
      <c r="O1470" s="61">
        <v>6314863031.6513433</v>
      </c>
    </row>
    <row r="1471" spans="1:15" x14ac:dyDescent="0.25">
      <c r="A1471" s="62">
        <v>46216</v>
      </c>
      <c r="B1471">
        <v>7</v>
      </c>
      <c r="C1471" t="s">
        <v>1144</v>
      </c>
      <c r="D1471">
        <v>2014422</v>
      </c>
      <c r="E1471" t="s">
        <v>1167</v>
      </c>
      <c r="F1471" t="s">
        <v>1174</v>
      </c>
      <c r="G1471" t="s">
        <v>1136</v>
      </c>
      <c r="H1471" t="s">
        <v>1165</v>
      </c>
      <c r="I1471" s="63">
        <v>46174</v>
      </c>
      <c r="J1471" t="s">
        <v>973</v>
      </c>
      <c r="K1471" t="s">
        <v>1138</v>
      </c>
      <c r="M1471" s="64">
        <v>4073568.95</v>
      </c>
      <c r="N1471" s="64">
        <v>-4073568.95</v>
      </c>
      <c r="O1471" s="64">
        <v>6310789462.7013435</v>
      </c>
    </row>
    <row r="1472" spans="1:15" x14ac:dyDescent="0.25">
      <c r="A1472" s="58">
        <v>46216</v>
      </c>
      <c r="B1472" s="59">
        <v>7</v>
      </c>
      <c r="C1472" s="59" t="s">
        <v>1144</v>
      </c>
      <c r="D1472" s="59">
        <v>2034241</v>
      </c>
      <c r="E1472" s="59" t="s">
        <v>1167</v>
      </c>
      <c r="F1472" s="59" t="s">
        <v>1168</v>
      </c>
      <c r="G1472" s="59" t="s">
        <v>1136</v>
      </c>
      <c r="H1472" s="59" t="s">
        <v>1153</v>
      </c>
      <c r="I1472" s="60">
        <v>46174</v>
      </c>
      <c r="J1472" s="59" t="s">
        <v>974</v>
      </c>
      <c r="K1472" s="59" t="s">
        <v>1142</v>
      </c>
      <c r="L1472" s="59"/>
      <c r="M1472" s="61">
        <v>5422799</v>
      </c>
      <c r="N1472" s="61">
        <v>-5422799</v>
      </c>
      <c r="O1472" s="61">
        <v>6305366663.7013435</v>
      </c>
    </row>
    <row r="1473" spans="1:15" x14ac:dyDescent="0.25">
      <c r="A1473" s="62">
        <v>46216</v>
      </c>
      <c r="B1473">
        <v>7</v>
      </c>
      <c r="C1473" t="s">
        <v>1144</v>
      </c>
      <c r="D1473">
        <v>2054371</v>
      </c>
      <c r="E1473" t="s">
        <v>1167</v>
      </c>
      <c r="F1473" t="s">
        <v>1169</v>
      </c>
      <c r="G1473" t="s">
        <v>1136</v>
      </c>
      <c r="H1473" t="s">
        <v>1141</v>
      </c>
      <c r="I1473" s="63">
        <v>46174</v>
      </c>
      <c r="J1473" t="s">
        <v>975</v>
      </c>
      <c r="K1473" t="s">
        <v>1142</v>
      </c>
      <c r="M1473" s="64">
        <v>17604992.300000001</v>
      </c>
      <c r="N1473" s="64">
        <v>-17604992.300000001</v>
      </c>
      <c r="O1473" s="64">
        <v>6287761671.4013433</v>
      </c>
    </row>
    <row r="1474" spans="1:15" x14ac:dyDescent="0.25">
      <c r="A1474" s="58">
        <v>46216</v>
      </c>
      <c r="B1474" s="59">
        <v>7</v>
      </c>
      <c r="C1474" s="59" t="s">
        <v>1144</v>
      </c>
      <c r="D1474" s="59">
        <v>2054391</v>
      </c>
      <c r="E1474" s="59" t="s">
        <v>1167</v>
      </c>
      <c r="F1474" s="59" t="s">
        <v>1169</v>
      </c>
      <c r="G1474" s="59" t="s">
        <v>1136</v>
      </c>
      <c r="H1474" s="59" t="s">
        <v>1164</v>
      </c>
      <c r="I1474" s="60">
        <v>46174</v>
      </c>
      <c r="J1474" s="59" t="s">
        <v>976</v>
      </c>
      <c r="K1474" s="59" t="s">
        <v>1142</v>
      </c>
      <c r="L1474" s="59"/>
      <c r="M1474" s="61">
        <v>20962590.25</v>
      </c>
      <c r="N1474" s="61">
        <v>-20962590.25</v>
      </c>
      <c r="O1474" s="61">
        <v>6266799081.1513433</v>
      </c>
    </row>
    <row r="1475" spans="1:15" x14ac:dyDescent="0.25">
      <c r="A1475" s="62">
        <v>46216</v>
      </c>
      <c r="B1475">
        <v>7</v>
      </c>
      <c r="C1475" t="s">
        <v>1144</v>
      </c>
      <c r="D1475">
        <v>2014211</v>
      </c>
      <c r="E1475" t="s">
        <v>1167</v>
      </c>
      <c r="F1475" t="s">
        <v>1174</v>
      </c>
      <c r="G1475" t="s">
        <v>1136</v>
      </c>
      <c r="H1475" t="s">
        <v>1151</v>
      </c>
      <c r="I1475" s="63">
        <v>46174</v>
      </c>
      <c r="J1475" t="s">
        <v>977</v>
      </c>
      <c r="K1475" t="s">
        <v>1142</v>
      </c>
      <c r="M1475" s="64">
        <v>10238279.5</v>
      </c>
      <c r="N1475" s="64">
        <v>-10238279.5</v>
      </c>
      <c r="O1475" s="64">
        <v>6256560801.6513433</v>
      </c>
    </row>
    <row r="1476" spans="1:15" x14ac:dyDescent="0.25">
      <c r="A1476" s="58">
        <v>46216</v>
      </c>
      <c r="B1476" s="59">
        <v>7</v>
      </c>
      <c r="C1476" s="59" t="s">
        <v>1144</v>
      </c>
      <c r="D1476" s="59">
        <v>2054197</v>
      </c>
      <c r="E1476" s="59" t="s">
        <v>1167</v>
      </c>
      <c r="F1476" s="59" t="s">
        <v>1169</v>
      </c>
      <c r="G1476" s="59" t="s">
        <v>1136</v>
      </c>
      <c r="H1476" s="59" t="s">
        <v>1149</v>
      </c>
      <c r="I1476" s="60">
        <v>46174</v>
      </c>
      <c r="J1476" s="59" t="s">
        <v>978</v>
      </c>
      <c r="K1476" s="59" t="s">
        <v>1170</v>
      </c>
      <c r="L1476" s="59"/>
      <c r="M1476" s="61">
        <v>814080</v>
      </c>
      <c r="N1476" s="61">
        <v>-814080</v>
      </c>
      <c r="O1476" s="61">
        <v>6255746721.6513433</v>
      </c>
    </row>
    <row r="1477" spans="1:15" x14ac:dyDescent="0.25">
      <c r="A1477" s="62">
        <v>46216</v>
      </c>
      <c r="B1477">
        <v>7</v>
      </c>
      <c r="C1477" t="s">
        <v>1144</v>
      </c>
      <c r="D1477">
        <v>2054281</v>
      </c>
      <c r="E1477" t="s">
        <v>1167</v>
      </c>
      <c r="F1477" t="s">
        <v>1169</v>
      </c>
      <c r="G1477" t="s">
        <v>1136</v>
      </c>
      <c r="H1477" t="s">
        <v>1155</v>
      </c>
      <c r="I1477" s="63">
        <v>46174</v>
      </c>
      <c r="J1477" t="s">
        <v>979</v>
      </c>
      <c r="K1477" t="s">
        <v>1142</v>
      </c>
      <c r="M1477" s="64">
        <v>27779324</v>
      </c>
      <c r="N1477" s="64">
        <v>-27779324</v>
      </c>
      <c r="O1477" s="64">
        <v>6227967397.6513433</v>
      </c>
    </row>
    <row r="1478" spans="1:15" x14ac:dyDescent="0.25">
      <c r="A1478" s="58">
        <v>46216</v>
      </c>
      <c r="B1478" s="59">
        <v>7</v>
      </c>
      <c r="C1478" s="59" t="s">
        <v>1144</v>
      </c>
      <c r="D1478" s="59">
        <v>2044342</v>
      </c>
      <c r="E1478" s="59" t="s">
        <v>1167</v>
      </c>
      <c r="F1478" s="59" t="s">
        <v>1135</v>
      </c>
      <c r="G1478" s="59" t="s">
        <v>1136</v>
      </c>
      <c r="H1478" s="59" t="s">
        <v>1156</v>
      </c>
      <c r="I1478" s="60">
        <v>46174</v>
      </c>
      <c r="J1478" s="59" t="s">
        <v>980</v>
      </c>
      <c r="K1478" s="59" t="s">
        <v>1138</v>
      </c>
      <c r="L1478" s="59"/>
      <c r="M1478" s="61">
        <v>9024893</v>
      </c>
      <c r="N1478" s="61">
        <v>-9024893</v>
      </c>
      <c r="O1478" s="61">
        <v>6218942504.6513433</v>
      </c>
    </row>
    <row r="1479" spans="1:15" x14ac:dyDescent="0.25">
      <c r="A1479" s="62">
        <v>46217</v>
      </c>
      <c r="B1479">
        <v>7</v>
      </c>
      <c r="C1479" t="s">
        <v>1161</v>
      </c>
      <c r="D1479">
        <v>2044495</v>
      </c>
      <c r="E1479" t="s">
        <v>1167</v>
      </c>
      <c r="F1479" t="s">
        <v>1135</v>
      </c>
      <c r="G1479" t="s">
        <v>1136</v>
      </c>
      <c r="H1479" t="s">
        <v>1173</v>
      </c>
      <c r="I1479" s="63">
        <v>46174</v>
      </c>
      <c r="J1479" t="s">
        <v>981</v>
      </c>
      <c r="K1479" t="s">
        <v>1172</v>
      </c>
      <c r="M1479" s="64">
        <v>1834195.44</v>
      </c>
      <c r="N1479" s="64">
        <v>-1834195.44</v>
      </c>
      <c r="O1479" s="64">
        <v>6217108309.2113438</v>
      </c>
    </row>
    <row r="1480" spans="1:15" x14ac:dyDescent="0.25">
      <c r="A1480" s="58">
        <v>46217</v>
      </c>
      <c r="B1480" s="59">
        <v>7</v>
      </c>
      <c r="C1480" s="59" t="s">
        <v>1161</v>
      </c>
      <c r="D1480" s="59">
        <v>2014361</v>
      </c>
      <c r="E1480" s="59" t="s">
        <v>1167</v>
      </c>
      <c r="F1480" s="59" t="s">
        <v>1174</v>
      </c>
      <c r="G1480" s="59" t="s">
        <v>1136</v>
      </c>
      <c r="H1480" s="59" t="s">
        <v>1158</v>
      </c>
      <c r="I1480" s="60">
        <v>46174</v>
      </c>
      <c r="J1480" s="59" t="s">
        <v>982</v>
      </c>
      <c r="K1480" s="59" t="s">
        <v>1142</v>
      </c>
      <c r="L1480" s="59"/>
      <c r="M1480" s="61">
        <v>7182748.2000000002</v>
      </c>
      <c r="N1480" s="61">
        <v>-7182748.2000000002</v>
      </c>
      <c r="O1480" s="61">
        <v>6209925561.011344</v>
      </c>
    </row>
    <row r="1481" spans="1:15" x14ac:dyDescent="0.25">
      <c r="A1481" s="62">
        <v>46217</v>
      </c>
      <c r="B1481">
        <v>7</v>
      </c>
      <c r="C1481" t="s">
        <v>1161</v>
      </c>
      <c r="D1481">
        <v>2014362</v>
      </c>
      <c r="E1481" t="s">
        <v>1167</v>
      </c>
      <c r="F1481" t="s">
        <v>1174</v>
      </c>
      <c r="G1481" t="s">
        <v>1136</v>
      </c>
      <c r="H1481" t="s">
        <v>1158</v>
      </c>
      <c r="I1481" s="63">
        <v>46174</v>
      </c>
      <c r="J1481" t="s">
        <v>983</v>
      </c>
      <c r="K1481" t="s">
        <v>1138</v>
      </c>
      <c r="M1481" s="64">
        <v>11816324.34</v>
      </c>
      <c r="N1481" s="64">
        <v>-11816324.34</v>
      </c>
      <c r="O1481" s="64">
        <v>6198109236.6713438</v>
      </c>
    </row>
    <row r="1482" spans="1:15" x14ac:dyDescent="0.25">
      <c r="A1482" s="58">
        <v>46217</v>
      </c>
      <c r="B1482" s="59">
        <v>7</v>
      </c>
      <c r="C1482" s="59" t="s">
        <v>1161</v>
      </c>
      <c r="D1482" s="59">
        <v>2014363</v>
      </c>
      <c r="E1482" s="59" t="s">
        <v>1167</v>
      </c>
      <c r="F1482" s="59" t="s">
        <v>1174</v>
      </c>
      <c r="G1482" s="59" t="s">
        <v>1136</v>
      </c>
      <c r="H1482" s="59" t="s">
        <v>1158</v>
      </c>
      <c r="I1482" s="60">
        <v>46174</v>
      </c>
      <c r="J1482" s="59" t="s">
        <v>984</v>
      </c>
      <c r="K1482" s="59" t="s">
        <v>1146</v>
      </c>
      <c r="L1482" s="59"/>
      <c r="M1482" s="61">
        <v>16554071.68</v>
      </c>
      <c r="N1482" s="61">
        <v>-16554071.68</v>
      </c>
      <c r="O1482" s="61">
        <v>6181555164.9913425</v>
      </c>
    </row>
    <row r="1483" spans="1:15" x14ac:dyDescent="0.25">
      <c r="A1483" s="62">
        <v>46217</v>
      </c>
      <c r="B1483">
        <v>7</v>
      </c>
      <c r="C1483" t="s">
        <v>1161</v>
      </c>
      <c r="D1483">
        <v>2014364</v>
      </c>
      <c r="E1483" t="s">
        <v>1167</v>
      </c>
      <c r="F1483" t="s">
        <v>1174</v>
      </c>
      <c r="G1483" t="s">
        <v>1136</v>
      </c>
      <c r="H1483" t="s">
        <v>1158</v>
      </c>
      <c r="I1483" s="63">
        <v>46174</v>
      </c>
      <c r="J1483" t="s">
        <v>985</v>
      </c>
      <c r="K1483" t="s">
        <v>1148</v>
      </c>
      <c r="M1483" s="64">
        <v>37652031.079999998</v>
      </c>
      <c r="N1483" s="64">
        <v>-37652031.079999998</v>
      </c>
      <c r="O1483" s="64">
        <v>6143903133.9113436</v>
      </c>
    </row>
    <row r="1484" spans="1:15" x14ac:dyDescent="0.25">
      <c r="A1484" s="58">
        <v>46217</v>
      </c>
      <c r="B1484" s="59">
        <v>7</v>
      </c>
      <c r="C1484" s="59" t="s">
        <v>1161</v>
      </c>
      <c r="D1484" s="59">
        <v>2044344</v>
      </c>
      <c r="E1484" s="59" t="s">
        <v>1167</v>
      </c>
      <c r="F1484" s="59" t="s">
        <v>1135</v>
      </c>
      <c r="G1484" s="59" t="s">
        <v>1136</v>
      </c>
      <c r="H1484" s="59" t="s">
        <v>1156</v>
      </c>
      <c r="I1484" s="60">
        <v>46174</v>
      </c>
      <c r="J1484" s="59" t="s">
        <v>986</v>
      </c>
      <c r="K1484" s="59" t="s">
        <v>1148</v>
      </c>
      <c r="L1484" s="59"/>
      <c r="M1484" s="61">
        <v>383000</v>
      </c>
      <c r="N1484" s="61">
        <v>-383000</v>
      </c>
      <c r="O1484" s="61">
        <v>6143520133.9113436</v>
      </c>
    </row>
    <row r="1485" spans="1:15" x14ac:dyDescent="0.25">
      <c r="A1485" s="62">
        <v>46217</v>
      </c>
      <c r="B1485">
        <v>7</v>
      </c>
      <c r="C1485" t="s">
        <v>1161</v>
      </c>
      <c r="D1485">
        <v>2014171</v>
      </c>
      <c r="E1485" t="s">
        <v>1167</v>
      </c>
      <c r="F1485" t="s">
        <v>1174</v>
      </c>
      <c r="G1485" t="s">
        <v>1136</v>
      </c>
      <c r="H1485" t="s">
        <v>1147</v>
      </c>
      <c r="I1485" s="63">
        <v>46174</v>
      </c>
      <c r="J1485" t="s">
        <v>987</v>
      </c>
      <c r="K1485" t="s">
        <v>1142</v>
      </c>
      <c r="M1485" s="64">
        <v>14215417.310000001</v>
      </c>
      <c r="N1485" s="64">
        <v>-14215417.310000001</v>
      </c>
      <c r="O1485" s="64">
        <v>6129304716.6013432</v>
      </c>
    </row>
    <row r="1486" spans="1:15" x14ac:dyDescent="0.25">
      <c r="A1486" s="58">
        <v>46217</v>
      </c>
      <c r="B1486" s="59">
        <v>7</v>
      </c>
      <c r="C1486" s="59" t="s">
        <v>1161</v>
      </c>
      <c r="D1486" s="59">
        <v>2014173</v>
      </c>
      <c r="E1486" s="59" t="s">
        <v>1167</v>
      </c>
      <c r="F1486" s="59" t="s">
        <v>1174</v>
      </c>
      <c r="G1486" s="59" t="s">
        <v>1136</v>
      </c>
      <c r="H1486" s="59" t="s">
        <v>1147</v>
      </c>
      <c r="I1486" s="60">
        <v>46174</v>
      </c>
      <c r="J1486" s="59" t="s">
        <v>988</v>
      </c>
      <c r="K1486" s="59" t="s">
        <v>1146</v>
      </c>
      <c r="L1486" s="59"/>
      <c r="M1486" s="61">
        <v>9670607.5600000005</v>
      </c>
      <c r="N1486" s="61">
        <v>-9670607.5600000005</v>
      </c>
      <c r="O1486" s="61">
        <v>6119634109.0413427</v>
      </c>
    </row>
    <row r="1487" spans="1:15" x14ac:dyDescent="0.25">
      <c r="A1487" s="62">
        <v>46217</v>
      </c>
      <c r="B1487">
        <v>7</v>
      </c>
      <c r="C1487" t="s">
        <v>1161</v>
      </c>
      <c r="D1487">
        <v>2014174</v>
      </c>
      <c r="E1487" t="s">
        <v>1167</v>
      </c>
      <c r="F1487" t="s">
        <v>1174</v>
      </c>
      <c r="G1487" t="s">
        <v>1136</v>
      </c>
      <c r="H1487" t="s">
        <v>1147</v>
      </c>
      <c r="I1487" s="63">
        <v>46174</v>
      </c>
      <c r="J1487" t="s">
        <v>989</v>
      </c>
      <c r="K1487" t="s">
        <v>1148</v>
      </c>
      <c r="M1487" s="64">
        <v>32446125</v>
      </c>
      <c r="N1487" s="64">
        <v>-32446125</v>
      </c>
      <c r="O1487" s="64">
        <v>6087187984.0413427</v>
      </c>
    </row>
    <row r="1488" spans="1:15" x14ac:dyDescent="0.25">
      <c r="A1488" s="58">
        <v>46217</v>
      </c>
      <c r="B1488" s="59">
        <v>7</v>
      </c>
      <c r="C1488" s="59" t="s">
        <v>1161</v>
      </c>
      <c r="D1488" s="59">
        <v>2014161</v>
      </c>
      <c r="E1488" s="59" t="s">
        <v>1167</v>
      </c>
      <c r="F1488" s="59" t="s">
        <v>1174</v>
      </c>
      <c r="G1488" s="59" t="s">
        <v>1136</v>
      </c>
      <c r="H1488" s="59" t="s">
        <v>1162</v>
      </c>
      <c r="I1488" s="60">
        <v>46174</v>
      </c>
      <c r="J1488" s="59" t="s">
        <v>990</v>
      </c>
      <c r="K1488" s="59" t="s">
        <v>1142</v>
      </c>
      <c r="L1488" s="59"/>
      <c r="M1488" s="61">
        <v>26117261</v>
      </c>
      <c r="N1488" s="61">
        <v>-26117261</v>
      </c>
      <c r="O1488" s="61">
        <v>6061070723.0413427</v>
      </c>
    </row>
    <row r="1489" spans="1:15" x14ac:dyDescent="0.25">
      <c r="A1489" s="62">
        <v>46217</v>
      </c>
      <c r="B1489">
        <v>7</v>
      </c>
      <c r="C1489" t="s">
        <v>1161</v>
      </c>
      <c r="D1489">
        <v>2044401</v>
      </c>
      <c r="E1489" t="s">
        <v>1167</v>
      </c>
      <c r="F1489" t="s">
        <v>1135</v>
      </c>
      <c r="G1489" t="s">
        <v>1136</v>
      </c>
      <c r="H1489" t="s">
        <v>1159</v>
      </c>
      <c r="I1489" s="63">
        <v>46174</v>
      </c>
      <c r="J1489" t="s">
        <v>991</v>
      </c>
      <c r="K1489" t="s">
        <v>1142</v>
      </c>
      <c r="M1489" s="64">
        <v>35406558.5</v>
      </c>
      <c r="N1489" s="64">
        <v>-35406558.5</v>
      </c>
      <c r="O1489" s="64">
        <v>6025664164.5413427</v>
      </c>
    </row>
    <row r="1490" spans="1:15" x14ac:dyDescent="0.25">
      <c r="A1490" s="58">
        <v>46217</v>
      </c>
      <c r="B1490" s="59">
        <v>7</v>
      </c>
      <c r="C1490" s="59" t="s">
        <v>1161</v>
      </c>
      <c r="D1490" s="59">
        <v>2044402</v>
      </c>
      <c r="E1490" s="59" t="s">
        <v>1167</v>
      </c>
      <c r="F1490" s="59" t="s">
        <v>1135</v>
      </c>
      <c r="G1490" s="59" t="s">
        <v>1136</v>
      </c>
      <c r="H1490" s="59" t="s">
        <v>1159</v>
      </c>
      <c r="I1490" s="60">
        <v>46174</v>
      </c>
      <c r="J1490" s="59" t="s">
        <v>992</v>
      </c>
      <c r="K1490" s="59" t="s">
        <v>1138</v>
      </c>
      <c r="L1490" s="59"/>
      <c r="M1490" s="61">
        <v>18615477.43</v>
      </c>
      <c r="N1490" s="61">
        <v>-18615477.43</v>
      </c>
      <c r="O1490" s="61">
        <v>6007048687.1113424</v>
      </c>
    </row>
    <row r="1491" spans="1:15" x14ac:dyDescent="0.25">
      <c r="A1491" s="62">
        <v>46217</v>
      </c>
      <c r="B1491">
        <v>7</v>
      </c>
      <c r="C1491" t="s">
        <v>1161</v>
      </c>
      <c r="D1491">
        <v>2044407</v>
      </c>
      <c r="E1491" t="s">
        <v>1167</v>
      </c>
      <c r="F1491" t="s">
        <v>1135</v>
      </c>
      <c r="G1491" t="s">
        <v>1136</v>
      </c>
      <c r="H1491" t="s">
        <v>1159</v>
      </c>
      <c r="I1491" s="63">
        <v>46174</v>
      </c>
      <c r="J1491" t="s">
        <v>992</v>
      </c>
      <c r="K1491" t="s">
        <v>1170</v>
      </c>
      <c r="M1491" s="64">
        <v>100</v>
      </c>
      <c r="N1491" s="64">
        <v>-100</v>
      </c>
      <c r="O1491" s="64">
        <v>6007048587.1113424</v>
      </c>
    </row>
    <row r="1492" spans="1:15" x14ac:dyDescent="0.25">
      <c r="A1492" s="58">
        <v>46217</v>
      </c>
      <c r="B1492" s="59">
        <v>7</v>
      </c>
      <c r="C1492" s="59" t="s">
        <v>1161</v>
      </c>
      <c r="D1492" s="59">
        <v>2044403</v>
      </c>
      <c r="E1492" s="59" t="s">
        <v>1167</v>
      </c>
      <c r="F1492" s="59" t="s">
        <v>1135</v>
      </c>
      <c r="G1492" s="59" t="s">
        <v>1136</v>
      </c>
      <c r="H1492" s="59" t="s">
        <v>1159</v>
      </c>
      <c r="I1492" s="60">
        <v>46174</v>
      </c>
      <c r="J1492" s="59" t="s">
        <v>993</v>
      </c>
      <c r="K1492" s="59" t="s">
        <v>1146</v>
      </c>
      <c r="L1492" s="59"/>
      <c r="M1492" s="61">
        <v>17041059.16</v>
      </c>
      <c r="N1492" s="61">
        <v>-17041059.16</v>
      </c>
      <c r="O1492" s="61">
        <v>5990007527.9513426</v>
      </c>
    </row>
    <row r="1493" spans="1:15" x14ac:dyDescent="0.25">
      <c r="A1493" s="62">
        <v>46217</v>
      </c>
      <c r="B1493">
        <v>7</v>
      </c>
      <c r="C1493" t="s">
        <v>1161</v>
      </c>
      <c r="D1493">
        <v>2044404</v>
      </c>
      <c r="E1493" t="s">
        <v>1167</v>
      </c>
      <c r="F1493" t="s">
        <v>1135</v>
      </c>
      <c r="G1493" t="s">
        <v>1136</v>
      </c>
      <c r="H1493" t="s">
        <v>1159</v>
      </c>
      <c r="I1493" s="63">
        <v>46174</v>
      </c>
      <c r="J1493" t="s">
        <v>994</v>
      </c>
      <c r="K1493" t="s">
        <v>1148</v>
      </c>
      <c r="M1493" s="64">
        <v>33430612.739999998</v>
      </c>
      <c r="N1493" s="64">
        <v>-33430612.739999998</v>
      </c>
      <c r="O1493" s="64">
        <v>5956576915.2113428</v>
      </c>
    </row>
    <row r="1494" spans="1:15" x14ac:dyDescent="0.25">
      <c r="A1494" s="58">
        <v>46217</v>
      </c>
      <c r="B1494" s="59">
        <v>7</v>
      </c>
      <c r="C1494" s="59" t="s">
        <v>1161</v>
      </c>
      <c r="D1494" s="59">
        <v>2044406</v>
      </c>
      <c r="E1494" s="59" t="s">
        <v>1167</v>
      </c>
      <c r="F1494" s="59" t="s">
        <v>1135</v>
      </c>
      <c r="G1494" s="59" t="s">
        <v>1136</v>
      </c>
      <c r="H1494" s="59" t="s">
        <v>1159</v>
      </c>
      <c r="I1494" s="60">
        <v>46174</v>
      </c>
      <c r="J1494" s="59" t="s">
        <v>994</v>
      </c>
      <c r="K1494" s="59" t="s">
        <v>1150</v>
      </c>
      <c r="L1494" s="59"/>
      <c r="M1494" s="61">
        <v>1007211.51</v>
      </c>
      <c r="N1494" s="61">
        <v>-1007211.51</v>
      </c>
      <c r="O1494" s="61">
        <v>5955569703.7013426</v>
      </c>
    </row>
    <row r="1495" spans="1:15" x14ac:dyDescent="0.25">
      <c r="A1495" s="62">
        <v>46217</v>
      </c>
      <c r="B1495">
        <v>7</v>
      </c>
      <c r="C1495" t="s">
        <v>1161</v>
      </c>
      <c r="D1495">
        <v>2044404</v>
      </c>
      <c r="E1495" t="s">
        <v>1167</v>
      </c>
      <c r="F1495" t="s">
        <v>1135</v>
      </c>
      <c r="G1495" t="s">
        <v>1136</v>
      </c>
      <c r="H1495" t="s">
        <v>1159</v>
      </c>
      <c r="I1495" s="63">
        <v>46174</v>
      </c>
      <c r="J1495" t="s">
        <v>994</v>
      </c>
      <c r="K1495" t="s">
        <v>1148</v>
      </c>
      <c r="M1495" s="64">
        <v>11336071.890000001</v>
      </c>
      <c r="N1495" s="64">
        <v>-11336071.890000001</v>
      </c>
      <c r="O1495" s="64">
        <v>5944233631.8113422</v>
      </c>
    </row>
    <row r="1496" spans="1:15" x14ac:dyDescent="0.25">
      <c r="A1496" s="58">
        <v>46217</v>
      </c>
      <c r="B1496" s="59">
        <v>7</v>
      </c>
      <c r="C1496" s="59" t="s">
        <v>1161</v>
      </c>
      <c r="D1496" s="59">
        <v>2014353</v>
      </c>
      <c r="E1496" s="59" t="s">
        <v>1167</v>
      </c>
      <c r="F1496" s="59" t="s">
        <v>1174</v>
      </c>
      <c r="G1496" s="59" t="s">
        <v>1136</v>
      </c>
      <c r="H1496" s="59" t="s">
        <v>1157</v>
      </c>
      <c r="I1496" s="60">
        <v>46174</v>
      </c>
      <c r="J1496" s="59" t="s">
        <v>997</v>
      </c>
      <c r="K1496" s="59" t="s">
        <v>1146</v>
      </c>
      <c r="L1496" s="59"/>
      <c r="M1496" s="61">
        <v>10258300.060000001</v>
      </c>
      <c r="N1496" s="61">
        <v>-10258300.060000001</v>
      </c>
      <c r="O1496" s="61">
        <v>5876442349.7713423</v>
      </c>
    </row>
    <row r="1497" spans="1:15" x14ac:dyDescent="0.25">
      <c r="A1497" s="62">
        <v>46218</v>
      </c>
      <c r="B1497">
        <v>7</v>
      </c>
      <c r="C1497" t="s">
        <v>1166</v>
      </c>
      <c r="D1497">
        <v>2044366</v>
      </c>
      <c r="E1497" t="s">
        <v>1167</v>
      </c>
      <c r="F1497" t="s">
        <v>1135</v>
      </c>
      <c r="G1497" t="s">
        <v>1136</v>
      </c>
      <c r="H1497" t="s">
        <v>1158</v>
      </c>
      <c r="I1497" s="63">
        <v>46174</v>
      </c>
      <c r="J1497" t="s">
        <v>998</v>
      </c>
      <c r="K1497" t="s">
        <v>1150</v>
      </c>
      <c r="M1497" s="64">
        <v>392483.36</v>
      </c>
      <c r="N1497" s="64">
        <v>-392483.36</v>
      </c>
      <c r="O1497" s="64">
        <v>5876049866.4113426</v>
      </c>
    </row>
    <row r="1498" spans="1:15" x14ac:dyDescent="0.25">
      <c r="A1498" s="58">
        <v>46218</v>
      </c>
      <c r="B1498" s="59">
        <v>7</v>
      </c>
      <c r="C1498" s="59" t="s">
        <v>1166</v>
      </c>
      <c r="D1498" s="59">
        <v>2014162</v>
      </c>
      <c r="E1498" s="59" t="s">
        <v>1167</v>
      </c>
      <c r="F1498" s="59" t="s">
        <v>1174</v>
      </c>
      <c r="G1498" s="59" t="s">
        <v>1136</v>
      </c>
      <c r="H1498" s="59" t="s">
        <v>1162</v>
      </c>
      <c r="I1498" s="60">
        <v>46174</v>
      </c>
      <c r="J1498" s="59" t="s">
        <v>999</v>
      </c>
      <c r="K1498" s="59" t="s">
        <v>1138</v>
      </c>
      <c r="L1498" s="59"/>
      <c r="M1498" s="61">
        <v>1818833.12</v>
      </c>
      <c r="N1498" s="61">
        <v>-1818833.12</v>
      </c>
      <c r="O1498" s="61">
        <v>5874231033.2913427</v>
      </c>
    </row>
    <row r="1499" spans="1:15" x14ac:dyDescent="0.25">
      <c r="A1499" s="62">
        <v>46218</v>
      </c>
      <c r="B1499">
        <v>7</v>
      </c>
      <c r="C1499" t="s">
        <v>1166</v>
      </c>
      <c r="D1499">
        <v>2014167</v>
      </c>
      <c r="E1499" t="s">
        <v>1167</v>
      </c>
      <c r="F1499" t="s">
        <v>1174</v>
      </c>
      <c r="G1499" t="s">
        <v>1136</v>
      </c>
      <c r="H1499" t="s">
        <v>1162</v>
      </c>
      <c r="I1499" s="63">
        <v>46174</v>
      </c>
      <c r="J1499" t="s">
        <v>999</v>
      </c>
      <c r="K1499" t="s">
        <v>1170</v>
      </c>
      <c r="M1499" s="64">
        <v>1188643.7</v>
      </c>
      <c r="N1499" s="64">
        <v>-1188643.7</v>
      </c>
      <c r="O1499" s="64">
        <v>5873042389.5913429</v>
      </c>
    </row>
    <row r="1500" spans="1:15" x14ac:dyDescent="0.25">
      <c r="A1500" s="58">
        <v>46218</v>
      </c>
      <c r="B1500" s="59">
        <v>7</v>
      </c>
      <c r="C1500" s="59" t="s">
        <v>1166</v>
      </c>
      <c r="D1500" s="59">
        <v>2014163</v>
      </c>
      <c r="E1500" s="59" t="s">
        <v>1167</v>
      </c>
      <c r="F1500" s="59" t="s">
        <v>1174</v>
      </c>
      <c r="G1500" s="59" t="s">
        <v>1136</v>
      </c>
      <c r="H1500" s="59" t="s">
        <v>1162</v>
      </c>
      <c r="I1500" s="60">
        <v>46174</v>
      </c>
      <c r="J1500" s="59" t="s">
        <v>1000</v>
      </c>
      <c r="K1500" s="59" t="s">
        <v>1146</v>
      </c>
      <c r="L1500" s="59"/>
      <c r="M1500" s="61">
        <v>56722189.670000002</v>
      </c>
      <c r="N1500" s="61">
        <v>-56722189.670000002</v>
      </c>
      <c r="O1500" s="61">
        <v>5816320199.9213428</v>
      </c>
    </row>
    <row r="1501" spans="1:15" x14ac:dyDescent="0.25">
      <c r="A1501" s="62">
        <v>46218</v>
      </c>
      <c r="B1501">
        <v>7</v>
      </c>
      <c r="C1501" t="s">
        <v>1166</v>
      </c>
      <c r="D1501">
        <v>2014165</v>
      </c>
      <c r="E1501" t="s">
        <v>1167</v>
      </c>
      <c r="F1501" t="s">
        <v>1174</v>
      </c>
      <c r="G1501" t="s">
        <v>1136</v>
      </c>
      <c r="H1501" t="s">
        <v>1162</v>
      </c>
      <c r="I1501" s="63">
        <v>46174</v>
      </c>
      <c r="J1501" t="s">
        <v>1001</v>
      </c>
      <c r="K1501" t="s">
        <v>1172</v>
      </c>
      <c r="M1501" s="64">
        <v>1541858.22</v>
      </c>
      <c r="N1501" s="64">
        <v>-1541858.22</v>
      </c>
      <c r="O1501" s="64">
        <v>5814778341.7013426</v>
      </c>
    </row>
    <row r="1502" spans="1:15" x14ac:dyDescent="0.25">
      <c r="A1502" s="58">
        <v>46218</v>
      </c>
      <c r="B1502" s="59">
        <v>7</v>
      </c>
      <c r="C1502" s="59" t="s">
        <v>1166</v>
      </c>
      <c r="D1502" s="59">
        <v>2044463</v>
      </c>
      <c r="E1502" s="59" t="s">
        <v>1167</v>
      </c>
      <c r="F1502" s="59" t="s">
        <v>1135</v>
      </c>
      <c r="G1502" s="59" t="s">
        <v>1136</v>
      </c>
      <c r="H1502" s="59" t="s">
        <v>1140</v>
      </c>
      <c r="I1502" s="60">
        <v>46204</v>
      </c>
      <c r="J1502" s="59" t="s">
        <v>1002</v>
      </c>
      <c r="K1502" s="59" t="s">
        <v>1146</v>
      </c>
      <c r="L1502" s="59"/>
      <c r="M1502" s="61">
        <v>3708781.39</v>
      </c>
      <c r="N1502" s="61">
        <v>-3708781.39</v>
      </c>
      <c r="O1502" s="61">
        <v>5811069560.3113422</v>
      </c>
    </row>
    <row r="1503" spans="1:15" x14ac:dyDescent="0.25">
      <c r="A1503" s="62">
        <v>46218</v>
      </c>
      <c r="B1503">
        <v>7</v>
      </c>
      <c r="C1503" t="s">
        <v>1166</v>
      </c>
      <c r="D1503">
        <v>2014263</v>
      </c>
      <c r="E1503" t="s">
        <v>1167</v>
      </c>
      <c r="F1503" t="s">
        <v>1174</v>
      </c>
      <c r="G1503" t="s">
        <v>1136</v>
      </c>
      <c r="H1503" t="s">
        <v>1145</v>
      </c>
      <c r="I1503" s="63">
        <v>46174</v>
      </c>
      <c r="J1503" t="s">
        <v>1003</v>
      </c>
      <c r="K1503" t="s">
        <v>1146</v>
      </c>
      <c r="M1503" s="64">
        <v>5745591.7300000004</v>
      </c>
      <c r="N1503" s="64">
        <v>-5745591.7300000004</v>
      </c>
      <c r="O1503" s="64">
        <v>5805323968.5813427</v>
      </c>
    </row>
    <row r="1504" spans="1:15" x14ac:dyDescent="0.25">
      <c r="A1504" s="58">
        <v>46218</v>
      </c>
      <c r="B1504" s="59">
        <v>7</v>
      </c>
      <c r="C1504" s="59" t="s">
        <v>1166</v>
      </c>
      <c r="D1504" s="59">
        <v>2044126</v>
      </c>
      <c r="E1504" s="59" t="s">
        <v>1167</v>
      </c>
      <c r="F1504" s="59" t="s">
        <v>1135</v>
      </c>
      <c r="G1504" s="59" t="s">
        <v>1136</v>
      </c>
      <c r="H1504" s="59" t="s">
        <v>1175</v>
      </c>
      <c r="I1504" s="60">
        <v>46174</v>
      </c>
      <c r="J1504" s="59" t="s">
        <v>1004</v>
      </c>
      <c r="K1504" s="59" t="s">
        <v>1150</v>
      </c>
      <c r="L1504" s="59"/>
      <c r="M1504" s="61">
        <v>10111173.699999999</v>
      </c>
      <c r="N1504" s="61">
        <v>-10111173.699999999</v>
      </c>
      <c r="O1504" s="61">
        <v>5795212794.8813429</v>
      </c>
    </row>
    <row r="1505" spans="1:15" x14ac:dyDescent="0.25">
      <c r="A1505" s="62">
        <v>46218</v>
      </c>
      <c r="B1505">
        <v>7</v>
      </c>
      <c r="C1505" t="s">
        <v>1166</v>
      </c>
      <c r="D1505">
        <v>2044126</v>
      </c>
      <c r="E1505" t="s">
        <v>1167</v>
      </c>
      <c r="F1505" t="s">
        <v>1135</v>
      </c>
      <c r="G1505" t="s">
        <v>1136</v>
      </c>
      <c r="H1505" t="s">
        <v>1175</v>
      </c>
      <c r="I1505" s="63">
        <v>46174</v>
      </c>
      <c r="J1505" t="s">
        <v>1005</v>
      </c>
      <c r="K1505" t="s">
        <v>1150</v>
      </c>
      <c r="M1505" s="64">
        <v>5916880</v>
      </c>
      <c r="N1505" s="64">
        <v>-5916880</v>
      </c>
      <c r="O1505" s="64">
        <v>5789295914.8813429</v>
      </c>
    </row>
    <row r="1506" spans="1:15" x14ac:dyDescent="0.25">
      <c r="A1506" s="58">
        <v>46218</v>
      </c>
      <c r="B1506" s="59">
        <v>7</v>
      </c>
      <c r="C1506" s="59" t="s">
        <v>1166</v>
      </c>
      <c r="D1506" s="59">
        <v>2044126</v>
      </c>
      <c r="E1506" s="59" t="s">
        <v>1167</v>
      </c>
      <c r="F1506" s="59" t="s">
        <v>1135</v>
      </c>
      <c r="G1506" s="59" t="s">
        <v>1136</v>
      </c>
      <c r="H1506" s="59" t="s">
        <v>1175</v>
      </c>
      <c r="I1506" s="60">
        <v>46174</v>
      </c>
      <c r="J1506" s="59" t="s">
        <v>1006</v>
      </c>
      <c r="K1506" s="59" t="s">
        <v>1150</v>
      </c>
      <c r="L1506" s="59"/>
      <c r="M1506" s="61">
        <v>168110.1</v>
      </c>
      <c r="N1506" s="61">
        <v>-168110.1</v>
      </c>
      <c r="O1506" s="61">
        <v>5789127804.7813435</v>
      </c>
    </row>
    <row r="1507" spans="1:15" x14ac:dyDescent="0.25">
      <c r="A1507" s="62">
        <v>46218</v>
      </c>
      <c r="B1507">
        <v>7</v>
      </c>
      <c r="C1507" t="s">
        <v>1166</v>
      </c>
      <c r="D1507">
        <v>2044126</v>
      </c>
      <c r="E1507" t="s">
        <v>1167</v>
      </c>
      <c r="F1507" t="s">
        <v>1135</v>
      </c>
      <c r="G1507" t="s">
        <v>1136</v>
      </c>
      <c r="H1507" t="s">
        <v>1175</v>
      </c>
      <c r="I1507" s="63">
        <v>46174</v>
      </c>
      <c r="J1507" t="s">
        <v>1007</v>
      </c>
      <c r="K1507" t="s">
        <v>1150</v>
      </c>
      <c r="M1507" s="64">
        <v>96757.7</v>
      </c>
      <c r="N1507" s="64">
        <v>-96757.7</v>
      </c>
      <c r="O1507" s="64">
        <v>5789031047.0813427</v>
      </c>
    </row>
    <row r="1508" spans="1:15" x14ac:dyDescent="0.25">
      <c r="A1508" s="58">
        <v>46218</v>
      </c>
      <c r="B1508" s="59">
        <v>7</v>
      </c>
      <c r="C1508" s="59" t="s">
        <v>1166</v>
      </c>
      <c r="D1508" s="59">
        <v>1044161</v>
      </c>
      <c r="E1508" s="59" t="s">
        <v>1134</v>
      </c>
      <c r="F1508" s="59" t="s">
        <v>1135</v>
      </c>
      <c r="G1508" s="59" t="s">
        <v>1136</v>
      </c>
      <c r="H1508" s="59" t="s">
        <v>1162</v>
      </c>
      <c r="I1508" s="60">
        <v>46174</v>
      </c>
      <c r="J1508" s="59" t="s">
        <v>1008</v>
      </c>
      <c r="K1508" s="59" t="s">
        <v>1142</v>
      </c>
      <c r="L1508" s="61">
        <v>14855884.5</v>
      </c>
      <c r="M1508" s="59"/>
      <c r="N1508" s="61">
        <v>14855884.5</v>
      </c>
      <c r="O1508" s="61">
        <v>5860878834.6513424</v>
      </c>
    </row>
    <row r="1509" spans="1:15" x14ac:dyDescent="0.25">
      <c r="A1509" s="62">
        <v>46218</v>
      </c>
      <c r="B1509">
        <v>7</v>
      </c>
      <c r="C1509" t="s">
        <v>1166</v>
      </c>
      <c r="D1509">
        <v>1044171</v>
      </c>
      <c r="E1509" t="s">
        <v>1134</v>
      </c>
      <c r="F1509" t="s">
        <v>1135</v>
      </c>
      <c r="G1509" t="s">
        <v>1136</v>
      </c>
      <c r="H1509" t="s">
        <v>1147</v>
      </c>
      <c r="I1509" s="63">
        <v>46174</v>
      </c>
      <c r="J1509" t="s">
        <v>1008</v>
      </c>
      <c r="K1509" t="s">
        <v>1142</v>
      </c>
      <c r="L1509" s="64">
        <v>6959957.625</v>
      </c>
      <c r="N1509" s="64">
        <v>6959957.625</v>
      </c>
      <c r="O1509" s="64">
        <v>5867838792.2763424</v>
      </c>
    </row>
    <row r="1510" spans="1:15" x14ac:dyDescent="0.25">
      <c r="A1510" s="58">
        <v>46218</v>
      </c>
      <c r="B1510" s="59">
        <v>7</v>
      </c>
      <c r="C1510" s="59" t="s">
        <v>1166</v>
      </c>
      <c r="D1510" s="59">
        <v>1044201</v>
      </c>
      <c r="E1510" s="59" t="s">
        <v>1134</v>
      </c>
      <c r="F1510" s="59" t="s">
        <v>1135</v>
      </c>
      <c r="G1510" s="59" t="s">
        <v>1136</v>
      </c>
      <c r="H1510" s="59" t="s">
        <v>1139</v>
      </c>
      <c r="I1510" s="60">
        <v>46174</v>
      </c>
      <c r="J1510" s="59" t="s">
        <v>1008</v>
      </c>
      <c r="K1510" s="59" t="s">
        <v>1142</v>
      </c>
      <c r="L1510" s="61">
        <v>2447683.5</v>
      </c>
      <c r="M1510" s="59"/>
      <c r="N1510" s="61">
        <v>2447683.5</v>
      </c>
      <c r="O1510" s="61">
        <v>5870286475.7763424</v>
      </c>
    </row>
    <row r="1511" spans="1:15" x14ac:dyDescent="0.25">
      <c r="A1511" s="62">
        <v>46218</v>
      </c>
      <c r="B1511">
        <v>7</v>
      </c>
      <c r="C1511" t="s">
        <v>1166</v>
      </c>
      <c r="D1511">
        <v>1044211</v>
      </c>
      <c r="E1511" t="s">
        <v>1134</v>
      </c>
      <c r="F1511" t="s">
        <v>1135</v>
      </c>
      <c r="G1511" t="s">
        <v>1136</v>
      </c>
      <c r="H1511" t="s">
        <v>1151</v>
      </c>
      <c r="I1511" s="63">
        <v>46174</v>
      </c>
      <c r="J1511" t="s">
        <v>1008</v>
      </c>
      <c r="K1511" t="s">
        <v>1142</v>
      </c>
      <c r="L1511" s="64">
        <v>4986650.5</v>
      </c>
      <c r="N1511" s="64">
        <v>4986650.5</v>
      </c>
      <c r="O1511" s="64">
        <v>5875273126.2763424</v>
      </c>
    </row>
    <row r="1512" spans="1:15" x14ac:dyDescent="0.25">
      <c r="A1512" s="58">
        <v>46218</v>
      </c>
      <c r="B1512" s="59">
        <v>7</v>
      </c>
      <c r="C1512" s="59" t="s">
        <v>1166</v>
      </c>
      <c r="D1512" s="59">
        <v>1044241</v>
      </c>
      <c r="E1512" s="59" t="s">
        <v>1134</v>
      </c>
      <c r="F1512" s="59" t="s">
        <v>1135</v>
      </c>
      <c r="G1512" s="59" t="s">
        <v>1136</v>
      </c>
      <c r="H1512" s="59" t="s">
        <v>1153</v>
      </c>
      <c r="I1512" s="60">
        <v>46174</v>
      </c>
      <c r="J1512" s="59" t="s">
        <v>1008</v>
      </c>
      <c r="K1512" s="59" t="s">
        <v>1142</v>
      </c>
      <c r="L1512" s="61">
        <v>3666466.5</v>
      </c>
      <c r="M1512" s="59"/>
      <c r="N1512" s="61">
        <v>3666466.5</v>
      </c>
      <c r="O1512" s="61">
        <v>5878939592.7763424</v>
      </c>
    </row>
    <row r="1513" spans="1:15" x14ac:dyDescent="0.25">
      <c r="A1513" s="62">
        <v>46218</v>
      </c>
      <c r="B1513">
        <v>7</v>
      </c>
      <c r="C1513" t="s">
        <v>1166</v>
      </c>
      <c r="D1513">
        <v>1044261</v>
      </c>
      <c r="E1513" t="s">
        <v>1134</v>
      </c>
      <c r="F1513" t="s">
        <v>1135</v>
      </c>
      <c r="G1513" t="s">
        <v>1136</v>
      </c>
      <c r="H1513" t="s">
        <v>1145</v>
      </c>
      <c r="I1513" s="63">
        <v>46174</v>
      </c>
      <c r="J1513" t="s">
        <v>1008</v>
      </c>
      <c r="K1513" t="s">
        <v>1142</v>
      </c>
      <c r="L1513" s="64">
        <v>1429568</v>
      </c>
      <c r="N1513" s="64">
        <v>1429568</v>
      </c>
      <c r="O1513" s="64">
        <v>5880369160.7763424</v>
      </c>
    </row>
    <row r="1514" spans="1:15" x14ac:dyDescent="0.25">
      <c r="A1514" s="58">
        <v>46218</v>
      </c>
      <c r="B1514" s="59">
        <v>7</v>
      </c>
      <c r="C1514" s="59" t="s">
        <v>1166</v>
      </c>
      <c r="D1514" s="59">
        <v>1044271</v>
      </c>
      <c r="E1514" s="59" t="s">
        <v>1134</v>
      </c>
      <c r="F1514" s="59" t="s">
        <v>1135</v>
      </c>
      <c r="G1514" s="59" t="s">
        <v>1136</v>
      </c>
      <c r="H1514" s="59" t="s">
        <v>1154</v>
      </c>
      <c r="I1514" s="60">
        <v>46174</v>
      </c>
      <c r="J1514" s="59" t="s">
        <v>1008</v>
      </c>
      <c r="K1514" s="59" t="s">
        <v>1142</v>
      </c>
      <c r="L1514" s="61">
        <v>10828978</v>
      </c>
      <c r="M1514" s="59"/>
      <c r="N1514" s="61">
        <v>10828978</v>
      </c>
      <c r="O1514" s="61">
        <v>5891198138.7763424</v>
      </c>
    </row>
    <row r="1515" spans="1:15" x14ac:dyDescent="0.25">
      <c r="A1515" s="62">
        <v>46218</v>
      </c>
      <c r="B1515">
        <v>7</v>
      </c>
      <c r="C1515" t="s">
        <v>1166</v>
      </c>
      <c r="D1515">
        <v>1044281</v>
      </c>
      <c r="E1515" t="s">
        <v>1134</v>
      </c>
      <c r="F1515" t="s">
        <v>1135</v>
      </c>
      <c r="G1515" t="s">
        <v>1136</v>
      </c>
      <c r="H1515" t="s">
        <v>1155</v>
      </c>
      <c r="I1515" s="63">
        <v>46174</v>
      </c>
      <c r="J1515" t="s">
        <v>1008</v>
      </c>
      <c r="K1515" t="s">
        <v>1142</v>
      </c>
      <c r="L1515" s="64">
        <v>17421850.5</v>
      </c>
      <c r="N1515" s="64">
        <v>17421850.5</v>
      </c>
      <c r="O1515" s="64">
        <v>5908619989.2763424</v>
      </c>
    </row>
    <row r="1516" spans="1:15" x14ac:dyDescent="0.25">
      <c r="A1516" s="58">
        <v>46218</v>
      </c>
      <c r="B1516" s="59">
        <v>7</v>
      </c>
      <c r="C1516" s="59" t="s">
        <v>1166</v>
      </c>
      <c r="D1516" s="59">
        <v>1044461</v>
      </c>
      <c r="E1516" s="59" t="s">
        <v>1134</v>
      </c>
      <c r="F1516" s="59" t="s">
        <v>1135</v>
      </c>
      <c r="G1516" s="59" t="s">
        <v>1136</v>
      </c>
      <c r="H1516" s="59" t="s">
        <v>1140</v>
      </c>
      <c r="I1516" s="60">
        <v>46174</v>
      </c>
      <c r="J1516" s="59" t="s">
        <v>1008</v>
      </c>
      <c r="K1516" s="59" t="s">
        <v>1142</v>
      </c>
      <c r="L1516" s="61">
        <v>1473993.17915183</v>
      </c>
      <c r="M1516" s="59"/>
      <c r="N1516" s="61">
        <v>1473993.17915183</v>
      </c>
      <c r="O1516" s="61">
        <v>5910093982.4554939</v>
      </c>
    </row>
    <row r="1517" spans="1:15" x14ac:dyDescent="0.25">
      <c r="A1517" s="62">
        <v>46218</v>
      </c>
      <c r="B1517">
        <v>7</v>
      </c>
      <c r="C1517" t="s">
        <v>1166</v>
      </c>
      <c r="D1517">
        <v>1044311</v>
      </c>
      <c r="E1517" t="s">
        <v>1134</v>
      </c>
      <c r="F1517" t="s">
        <v>1135</v>
      </c>
      <c r="G1517" t="s">
        <v>1136</v>
      </c>
      <c r="H1517" t="s">
        <v>1137</v>
      </c>
      <c r="I1517" s="63">
        <v>46174</v>
      </c>
      <c r="J1517" t="s">
        <v>1008</v>
      </c>
      <c r="K1517" t="s">
        <v>1142</v>
      </c>
      <c r="L1517" s="64">
        <v>15661023</v>
      </c>
      <c r="N1517" s="64">
        <v>15661023</v>
      </c>
      <c r="O1517" s="64">
        <v>5925755005.4554939</v>
      </c>
    </row>
    <row r="1518" spans="1:15" x14ac:dyDescent="0.25">
      <c r="A1518" s="58">
        <v>46218</v>
      </c>
      <c r="B1518" s="59">
        <v>7</v>
      </c>
      <c r="C1518" s="59" t="s">
        <v>1166</v>
      </c>
      <c r="D1518" s="59">
        <v>1044321</v>
      </c>
      <c r="E1518" s="59" t="s">
        <v>1134</v>
      </c>
      <c r="F1518" s="59" t="s">
        <v>1135</v>
      </c>
      <c r="G1518" s="59" t="s">
        <v>1136</v>
      </c>
      <c r="H1518" s="59" t="s">
        <v>1143</v>
      </c>
      <c r="I1518" s="60">
        <v>46174</v>
      </c>
      <c r="J1518" s="59" t="s">
        <v>1008</v>
      </c>
      <c r="K1518" s="59" t="s">
        <v>1142</v>
      </c>
      <c r="L1518" s="61">
        <v>17765091.5</v>
      </c>
      <c r="M1518" s="59"/>
      <c r="N1518" s="61">
        <v>17765091.5</v>
      </c>
      <c r="O1518" s="61">
        <v>5943520096.9554939</v>
      </c>
    </row>
    <row r="1519" spans="1:15" x14ac:dyDescent="0.25">
      <c r="A1519" s="62">
        <v>46218</v>
      </c>
      <c r="B1519">
        <v>7</v>
      </c>
      <c r="C1519" t="s">
        <v>1166</v>
      </c>
      <c r="D1519">
        <v>1044351</v>
      </c>
      <c r="E1519" t="s">
        <v>1134</v>
      </c>
      <c r="F1519" t="s">
        <v>1135</v>
      </c>
      <c r="G1519" t="s">
        <v>1136</v>
      </c>
      <c r="H1519" t="s">
        <v>1157</v>
      </c>
      <c r="I1519" s="63">
        <v>46174</v>
      </c>
      <c r="J1519" t="s">
        <v>1008</v>
      </c>
      <c r="K1519" t="s">
        <v>1142</v>
      </c>
      <c r="L1519" s="64">
        <v>2778019.439999999</v>
      </c>
      <c r="N1519" s="64">
        <v>2778019.439999999</v>
      </c>
      <c r="O1519" s="64">
        <v>5946298116.3954945</v>
      </c>
    </row>
    <row r="1520" spans="1:15" x14ac:dyDescent="0.25">
      <c r="A1520" s="58">
        <v>46218</v>
      </c>
      <c r="B1520" s="59">
        <v>7</v>
      </c>
      <c r="C1520" s="59" t="s">
        <v>1166</v>
      </c>
      <c r="D1520" s="59">
        <v>1044361</v>
      </c>
      <c r="E1520" s="59" t="s">
        <v>1134</v>
      </c>
      <c r="F1520" s="59" t="s">
        <v>1135</v>
      </c>
      <c r="G1520" s="59" t="s">
        <v>1136</v>
      </c>
      <c r="H1520" s="59" t="s">
        <v>1158</v>
      </c>
      <c r="I1520" s="60">
        <v>46174</v>
      </c>
      <c r="J1520" s="59" t="s">
        <v>1008</v>
      </c>
      <c r="K1520" s="59" t="s">
        <v>1142</v>
      </c>
      <c r="L1520" s="61">
        <v>4364163.5999999996</v>
      </c>
      <c r="M1520" s="59"/>
      <c r="N1520" s="61">
        <v>4364163.5999999996</v>
      </c>
      <c r="O1520" s="61">
        <v>5950662279.9954939</v>
      </c>
    </row>
    <row r="1521" spans="1:15" x14ac:dyDescent="0.25">
      <c r="A1521" s="62">
        <v>46218</v>
      </c>
      <c r="B1521">
        <v>7</v>
      </c>
      <c r="C1521" t="s">
        <v>1166</v>
      </c>
      <c r="D1521">
        <v>1044371</v>
      </c>
      <c r="E1521" t="s">
        <v>1134</v>
      </c>
      <c r="F1521" t="s">
        <v>1135</v>
      </c>
      <c r="G1521" t="s">
        <v>1136</v>
      </c>
      <c r="H1521" t="s">
        <v>1141</v>
      </c>
      <c r="I1521" s="63">
        <v>46174</v>
      </c>
      <c r="J1521" t="s">
        <v>1008</v>
      </c>
      <c r="K1521" t="s">
        <v>1142</v>
      </c>
      <c r="L1521" s="64">
        <v>11722194.4</v>
      </c>
      <c r="N1521" s="64">
        <v>11722194.4</v>
      </c>
      <c r="O1521" s="64">
        <v>5962384474.3954945</v>
      </c>
    </row>
    <row r="1522" spans="1:15" x14ac:dyDescent="0.25">
      <c r="A1522" s="58">
        <v>46218</v>
      </c>
      <c r="B1522" s="59">
        <v>7</v>
      </c>
      <c r="C1522" s="59" t="s">
        <v>1166</v>
      </c>
      <c r="D1522" s="59">
        <v>1044381</v>
      </c>
      <c r="E1522" s="59" t="s">
        <v>1134</v>
      </c>
      <c r="F1522" s="59" t="s">
        <v>1135</v>
      </c>
      <c r="G1522" s="59" t="s">
        <v>1136</v>
      </c>
      <c r="H1522" s="59" t="s">
        <v>1163</v>
      </c>
      <c r="I1522" s="60">
        <v>46174</v>
      </c>
      <c r="J1522" s="59" t="s">
        <v>1008</v>
      </c>
      <c r="K1522" s="59" t="s">
        <v>1142</v>
      </c>
      <c r="L1522" s="61">
        <v>6136655.25</v>
      </c>
      <c r="M1522" s="59"/>
      <c r="N1522" s="61">
        <v>6136655.25</v>
      </c>
      <c r="O1522" s="61">
        <v>5968521129.6454945</v>
      </c>
    </row>
    <row r="1523" spans="1:15" x14ac:dyDescent="0.25">
      <c r="A1523" s="62">
        <v>46218</v>
      </c>
      <c r="B1523">
        <v>7</v>
      </c>
      <c r="C1523" t="s">
        <v>1166</v>
      </c>
      <c r="D1523">
        <v>1044391</v>
      </c>
      <c r="E1523" t="s">
        <v>1134</v>
      </c>
      <c r="F1523" t="s">
        <v>1135</v>
      </c>
      <c r="G1523" t="s">
        <v>1136</v>
      </c>
      <c r="H1523" t="s">
        <v>1164</v>
      </c>
      <c r="I1523" s="63">
        <v>46174</v>
      </c>
      <c r="J1523" t="s">
        <v>1008</v>
      </c>
      <c r="K1523" t="s">
        <v>1142</v>
      </c>
      <c r="L1523" s="64">
        <v>5990917.5</v>
      </c>
      <c r="N1523" s="64">
        <v>5990917.5</v>
      </c>
      <c r="O1523" s="64">
        <v>5974512047.1454945</v>
      </c>
    </row>
    <row r="1524" spans="1:15" x14ac:dyDescent="0.25">
      <c r="A1524" s="58">
        <v>46218</v>
      </c>
      <c r="B1524" s="59">
        <v>7</v>
      </c>
      <c r="C1524" s="59" t="s">
        <v>1166</v>
      </c>
      <c r="D1524" s="59">
        <v>1044401</v>
      </c>
      <c r="E1524" s="59" t="s">
        <v>1134</v>
      </c>
      <c r="F1524" s="59" t="s">
        <v>1135</v>
      </c>
      <c r="G1524" s="59" t="s">
        <v>1136</v>
      </c>
      <c r="H1524" s="59" t="s">
        <v>1159</v>
      </c>
      <c r="I1524" s="60">
        <v>46174</v>
      </c>
      <c r="J1524" s="59" t="s">
        <v>1008</v>
      </c>
      <c r="K1524" s="59" t="s">
        <v>1142</v>
      </c>
      <c r="L1524" s="61">
        <v>21318850</v>
      </c>
      <c r="M1524" s="59"/>
      <c r="N1524" s="61">
        <v>21318850</v>
      </c>
      <c r="O1524" s="61">
        <v>5995830897.1454945</v>
      </c>
    </row>
    <row r="1525" spans="1:15" x14ac:dyDescent="0.25">
      <c r="A1525" s="62">
        <v>46218</v>
      </c>
      <c r="B1525">
        <v>7</v>
      </c>
      <c r="C1525" t="s">
        <v>1166</v>
      </c>
      <c r="D1525">
        <v>1044411</v>
      </c>
      <c r="E1525" t="s">
        <v>1134</v>
      </c>
      <c r="F1525" t="s">
        <v>1135</v>
      </c>
      <c r="G1525" t="s">
        <v>1136</v>
      </c>
      <c r="H1525" t="s">
        <v>1160</v>
      </c>
      <c r="I1525" s="63">
        <v>46174</v>
      </c>
      <c r="J1525" t="s">
        <v>1008</v>
      </c>
      <c r="K1525" t="s">
        <v>1142</v>
      </c>
      <c r="L1525" s="64">
        <v>4337171</v>
      </c>
      <c r="N1525" s="64">
        <v>4337171</v>
      </c>
      <c r="O1525" s="64">
        <v>6000168068.1454945</v>
      </c>
    </row>
    <row r="1526" spans="1:15" x14ac:dyDescent="0.25">
      <c r="A1526" s="58">
        <v>46218</v>
      </c>
      <c r="B1526" s="59">
        <v>7</v>
      </c>
      <c r="C1526" s="59" t="s">
        <v>1166</v>
      </c>
      <c r="D1526" s="59">
        <v>1044421</v>
      </c>
      <c r="E1526" s="59" t="s">
        <v>1134</v>
      </c>
      <c r="F1526" s="59" t="s">
        <v>1135</v>
      </c>
      <c r="G1526" s="59" t="s">
        <v>1136</v>
      </c>
      <c r="H1526" s="59" t="s">
        <v>1165</v>
      </c>
      <c r="I1526" s="60">
        <v>46174</v>
      </c>
      <c r="J1526" s="59" t="s">
        <v>1008</v>
      </c>
      <c r="K1526" s="59" t="s">
        <v>1142</v>
      </c>
      <c r="L1526" s="61">
        <v>26120763.012960002</v>
      </c>
      <c r="M1526" s="59"/>
      <c r="N1526" s="61">
        <v>26120763.012960002</v>
      </c>
      <c r="O1526" s="61">
        <v>6026288831.1584539</v>
      </c>
    </row>
    <row r="1527" spans="1:15" x14ac:dyDescent="0.25">
      <c r="A1527" s="62">
        <v>46219</v>
      </c>
      <c r="B1527">
        <v>7</v>
      </c>
      <c r="C1527" t="s">
        <v>1171</v>
      </c>
      <c r="D1527">
        <v>2044465</v>
      </c>
      <c r="E1527" t="s">
        <v>1167</v>
      </c>
      <c r="F1527" t="s">
        <v>1135</v>
      </c>
      <c r="G1527" t="s">
        <v>1136</v>
      </c>
      <c r="H1527" t="s">
        <v>1140</v>
      </c>
      <c r="I1527" s="63">
        <v>46174</v>
      </c>
      <c r="J1527" t="s">
        <v>1011</v>
      </c>
      <c r="K1527" t="s">
        <v>1172</v>
      </c>
      <c r="M1527" s="64">
        <v>810611.15</v>
      </c>
      <c r="N1527" s="64">
        <v>-810611.15</v>
      </c>
      <c r="O1527" s="64">
        <v>6300405503.9384527</v>
      </c>
    </row>
    <row r="1528" spans="1:15" x14ac:dyDescent="0.25">
      <c r="A1528" s="58">
        <v>46220</v>
      </c>
      <c r="B1528" s="59">
        <v>7</v>
      </c>
      <c r="C1528" s="59" t="s">
        <v>1133</v>
      </c>
      <c r="D1528" s="59">
        <v>2014352</v>
      </c>
      <c r="E1528" s="59" t="s">
        <v>1167</v>
      </c>
      <c r="F1528" s="59" t="s">
        <v>1174</v>
      </c>
      <c r="G1528" s="59" t="s">
        <v>1136</v>
      </c>
      <c r="H1528" s="59" t="s">
        <v>1157</v>
      </c>
      <c r="I1528" s="60">
        <v>46174</v>
      </c>
      <c r="J1528" s="59" t="s">
        <v>1013</v>
      </c>
      <c r="K1528" s="59" t="s">
        <v>1138</v>
      </c>
      <c r="L1528" s="59"/>
      <c r="M1528" s="61">
        <v>5516025.6799999997</v>
      </c>
      <c r="N1528" s="61">
        <v>-5516025.6799999997</v>
      </c>
      <c r="O1528" s="61">
        <v>6346083489.2684526</v>
      </c>
    </row>
    <row r="1529" spans="1:15" x14ac:dyDescent="0.25">
      <c r="A1529" s="62">
        <v>46220</v>
      </c>
      <c r="B1529">
        <v>7</v>
      </c>
      <c r="C1529" t="s">
        <v>1133</v>
      </c>
      <c r="D1529">
        <v>2014354</v>
      </c>
      <c r="E1529" t="s">
        <v>1167</v>
      </c>
      <c r="F1529" t="s">
        <v>1174</v>
      </c>
      <c r="G1529" t="s">
        <v>1136</v>
      </c>
      <c r="H1529" t="s">
        <v>1157</v>
      </c>
      <c r="I1529" s="63">
        <v>46174</v>
      </c>
      <c r="J1529" t="s">
        <v>1014</v>
      </c>
      <c r="K1529" t="s">
        <v>1148</v>
      </c>
      <c r="M1529" s="64">
        <v>8268048</v>
      </c>
      <c r="N1529" s="64">
        <v>-8268048</v>
      </c>
      <c r="O1529" s="64">
        <v>6337815441.2684526</v>
      </c>
    </row>
    <row r="1530" spans="1:15" x14ac:dyDescent="0.25">
      <c r="A1530" s="58">
        <v>46220</v>
      </c>
      <c r="B1530" s="59">
        <v>7</v>
      </c>
      <c r="C1530" s="59" t="s">
        <v>1133</v>
      </c>
      <c r="D1530" s="59">
        <v>2014356</v>
      </c>
      <c r="E1530" s="59" t="s">
        <v>1167</v>
      </c>
      <c r="F1530" s="59" t="s">
        <v>1174</v>
      </c>
      <c r="G1530" s="59" t="s">
        <v>1136</v>
      </c>
      <c r="H1530" s="59" t="s">
        <v>1157</v>
      </c>
      <c r="I1530" s="60">
        <v>46174</v>
      </c>
      <c r="J1530" s="59" t="s">
        <v>1014</v>
      </c>
      <c r="K1530" s="59" t="s">
        <v>1150</v>
      </c>
      <c r="L1530" s="59"/>
      <c r="M1530" s="61">
        <v>4473134.49</v>
      </c>
      <c r="N1530" s="61">
        <v>-4473134.49</v>
      </c>
      <c r="O1530" s="61">
        <v>6333342306.7784529</v>
      </c>
    </row>
    <row r="1531" spans="1:15" x14ac:dyDescent="0.25">
      <c r="A1531" s="62">
        <v>46220</v>
      </c>
      <c r="B1531">
        <v>7</v>
      </c>
      <c r="C1531" t="s">
        <v>1133</v>
      </c>
      <c r="D1531">
        <v>1044212</v>
      </c>
      <c r="E1531" t="s">
        <v>1134</v>
      </c>
      <c r="F1531" t="s">
        <v>1135</v>
      </c>
      <c r="G1531" t="s">
        <v>1136</v>
      </c>
      <c r="H1531" t="s">
        <v>1151</v>
      </c>
      <c r="I1531" s="63">
        <v>46174</v>
      </c>
      <c r="J1531" t="s">
        <v>1018</v>
      </c>
      <c r="K1531" t="s">
        <v>1138</v>
      </c>
      <c r="L1531" s="64">
        <v>10639468.15</v>
      </c>
      <c r="N1531" s="64">
        <v>10639468.15</v>
      </c>
      <c r="O1531" s="64">
        <v>4204906174.7084532</v>
      </c>
    </row>
    <row r="1532" spans="1:15" x14ac:dyDescent="0.25">
      <c r="A1532" s="58">
        <v>46220</v>
      </c>
      <c r="B1532" s="59">
        <v>7</v>
      </c>
      <c r="C1532" s="59" t="s">
        <v>1133</v>
      </c>
      <c r="D1532" s="59">
        <v>1044462</v>
      </c>
      <c r="E1532" s="59" t="s">
        <v>1134</v>
      </c>
      <c r="F1532" s="59" t="s">
        <v>1135</v>
      </c>
      <c r="G1532" s="59" t="s">
        <v>1136</v>
      </c>
      <c r="H1532" s="59" t="s">
        <v>1140</v>
      </c>
      <c r="I1532" s="60">
        <v>46174</v>
      </c>
      <c r="J1532" s="59" t="s">
        <v>1018</v>
      </c>
      <c r="K1532" s="59" t="s">
        <v>1138</v>
      </c>
      <c r="L1532" s="61">
        <v>1666914.78</v>
      </c>
      <c r="M1532" s="59"/>
      <c r="N1532" s="61">
        <v>1666914.78</v>
      </c>
      <c r="O1532" s="61">
        <v>4206573089.4884529</v>
      </c>
    </row>
    <row r="1533" spans="1:15" x14ac:dyDescent="0.25">
      <c r="A1533" s="62">
        <v>46220</v>
      </c>
      <c r="B1533">
        <v>7</v>
      </c>
      <c r="C1533" t="s">
        <v>1133</v>
      </c>
      <c r="D1533">
        <v>1044322</v>
      </c>
      <c r="E1533" t="s">
        <v>1134</v>
      </c>
      <c r="F1533" t="s">
        <v>1135</v>
      </c>
      <c r="G1533" t="s">
        <v>1136</v>
      </c>
      <c r="H1533" t="s">
        <v>1143</v>
      </c>
      <c r="I1533" s="63">
        <v>46174</v>
      </c>
      <c r="J1533" t="s">
        <v>1018</v>
      </c>
      <c r="K1533" t="s">
        <v>1138</v>
      </c>
      <c r="L1533" s="64">
        <v>22299800</v>
      </c>
      <c r="N1533" s="64">
        <v>22299800</v>
      </c>
      <c r="O1533" s="64">
        <v>4228872889.4884529</v>
      </c>
    </row>
    <row r="1534" spans="1:15" x14ac:dyDescent="0.25">
      <c r="A1534" s="58">
        <v>46220</v>
      </c>
      <c r="B1534" s="59">
        <v>7</v>
      </c>
      <c r="C1534" s="59" t="s">
        <v>1133</v>
      </c>
      <c r="D1534" s="59">
        <v>1044162</v>
      </c>
      <c r="E1534" s="59" t="s">
        <v>1134</v>
      </c>
      <c r="F1534" s="59" t="s">
        <v>1135</v>
      </c>
      <c r="G1534" s="59" t="s">
        <v>1136</v>
      </c>
      <c r="H1534" s="59" t="s">
        <v>1162</v>
      </c>
      <c r="I1534" s="60">
        <v>46174</v>
      </c>
      <c r="J1534" s="59" t="s">
        <v>1018</v>
      </c>
      <c r="K1534" s="59" t="s">
        <v>1138</v>
      </c>
      <c r="L1534" s="61">
        <v>1818883.1</v>
      </c>
      <c r="M1534" s="59"/>
      <c r="N1534" s="61">
        <v>1818883.1</v>
      </c>
      <c r="O1534" s="61">
        <v>4230691772.5884528</v>
      </c>
    </row>
    <row r="1535" spans="1:15" x14ac:dyDescent="0.25">
      <c r="A1535" s="62">
        <v>46220</v>
      </c>
      <c r="B1535">
        <v>7</v>
      </c>
      <c r="C1535" t="s">
        <v>1133</v>
      </c>
      <c r="D1535">
        <v>1044262</v>
      </c>
      <c r="E1535" t="s">
        <v>1134</v>
      </c>
      <c r="F1535" t="s">
        <v>1135</v>
      </c>
      <c r="G1535" t="s">
        <v>1136</v>
      </c>
      <c r="H1535" t="s">
        <v>1145</v>
      </c>
      <c r="I1535" s="63">
        <v>46174</v>
      </c>
      <c r="J1535" t="s">
        <v>1018</v>
      </c>
      <c r="K1535" t="s">
        <v>1138</v>
      </c>
      <c r="L1535" s="64">
        <v>5694850</v>
      </c>
      <c r="N1535" s="64">
        <v>5694850</v>
      </c>
      <c r="O1535" s="64">
        <v>4236386622.5884528</v>
      </c>
    </row>
    <row r="1536" spans="1:15" x14ac:dyDescent="0.25">
      <c r="A1536" s="58">
        <v>46220</v>
      </c>
      <c r="B1536" s="59">
        <v>7</v>
      </c>
      <c r="C1536" s="59" t="s">
        <v>1133</v>
      </c>
      <c r="D1536" s="59">
        <v>1044272</v>
      </c>
      <c r="E1536" s="59" t="s">
        <v>1134</v>
      </c>
      <c r="F1536" s="59" t="s">
        <v>1135</v>
      </c>
      <c r="G1536" s="59" t="s">
        <v>1136</v>
      </c>
      <c r="H1536" s="59" t="s">
        <v>1154</v>
      </c>
      <c r="I1536" s="60">
        <v>46174</v>
      </c>
      <c r="J1536" s="59" t="s">
        <v>1018</v>
      </c>
      <c r="K1536" s="59" t="s">
        <v>1138</v>
      </c>
      <c r="L1536" s="61">
        <v>5112461.66</v>
      </c>
      <c r="M1536" s="59"/>
      <c r="N1536" s="61">
        <v>5112461.66</v>
      </c>
      <c r="O1536" s="61">
        <v>4241499084.2484531</v>
      </c>
    </row>
    <row r="1537" spans="1:15" x14ac:dyDescent="0.25">
      <c r="A1537" s="62">
        <v>46220</v>
      </c>
      <c r="B1537">
        <v>7</v>
      </c>
      <c r="C1537" t="s">
        <v>1133</v>
      </c>
      <c r="D1537">
        <v>1044282</v>
      </c>
      <c r="E1537" t="s">
        <v>1134</v>
      </c>
      <c r="F1537" t="s">
        <v>1135</v>
      </c>
      <c r="G1537" t="s">
        <v>1136</v>
      </c>
      <c r="H1537" t="s">
        <v>1155</v>
      </c>
      <c r="I1537" s="63">
        <v>46174</v>
      </c>
      <c r="J1537" t="s">
        <v>1018</v>
      </c>
      <c r="K1537" t="s">
        <v>1138</v>
      </c>
      <c r="L1537" s="64">
        <v>54613125</v>
      </c>
      <c r="N1537" s="64">
        <v>54613125</v>
      </c>
      <c r="O1537" s="64">
        <v>4296112209.2484531</v>
      </c>
    </row>
    <row r="1538" spans="1:15" x14ac:dyDescent="0.25">
      <c r="A1538" s="58">
        <v>46220</v>
      </c>
      <c r="B1538" s="59">
        <v>7</v>
      </c>
      <c r="C1538" s="59" t="s">
        <v>1133</v>
      </c>
      <c r="D1538" s="59">
        <v>1044342</v>
      </c>
      <c r="E1538" s="59" t="s">
        <v>1134</v>
      </c>
      <c r="F1538" s="59" t="s">
        <v>1135</v>
      </c>
      <c r="G1538" s="59" t="s">
        <v>1136</v>
      </c>
      <c r="H1538" s="59" t="s">
        <v>1156</v>
      </c>
      <c r="I1538" s="60">
        <v>46174</v>
      </c>
      <c r="J1538" s="59" t="s">
        <v>1018</v>
      </c>
      <c r="K1538" s="59" t="s">
        <v>1138</v>
      </c>
      <c r="L1538" s="61">
        <v>9024893.0399999991</v>
      </c>
      <c r="M1538" s="59"/>
      <c r="N1538" s="61">
        <v>9024893.0399999991</v>
      </c>
      <c r="O1538" s="61">
        <v>4305137102.2884531</v>
      </c>
    </row>
    <row r="1539" spans="1:15" x14ac:dyDescent="0.25">
      <c r="A1539" s="62">
        <v>46220</v>
      </c>
      <c r="B1539">
        <v>7</v>
      </c>
      <c r="C1539" t="s">
        <v>1133</v>
      </c>
      <c r="D1539">
        <v>1044352</v>
      </c>
      <c r="E1539" t="s">
        <v>1134</v>
      </c>
      <c r="F1539" t="s">
        <v>1135</v>
      </c>
      <c r="G1539" t="s">
        <v>1136</v>
      </c>
      <c r="H1539" t="s">
        <v>1157</v>
      </c>
      <c r="I1539" s="63">
        <v>46174</v>
      </c>
      <c r="J1539" t="s">
        <v>1018</v>
      </c>
      <c r="K1539" t="s">
        <v>1138</v>
      </c>
      <c r="L1539" s="64">
        <v>9101442.3200000003</v>
      </c>
      <c r="N1539" s="64">
        <v>9101442.3200000003</v>
      </c>
      <c r="O1539" s="64">
        <v>4314238544.6084528</v>
      </c>
    </row>
    <row r="1540" spans="1:15" x14ac:dyDescent="0.25">
      <c r="A1540" s="58">
        <v>46220</v>
      </c>
      <c r="B1540" s="59">
        <v>7</v>
      </c>
      <c r="C1540" s="59" t="s">
        <v>1133</v>
      </c>
      <c r="D1540" s="59">
        <v>1044362</v>
      </c>
      <c r="E1540" s="59" t="s">
        <v>1134</v>
      </c>
      <c r="F1540" s="59" t="s">
        <v>1135</v>
      </c>
      <c r="G1540" s="59" t="s">
        <v>1136</v>
      </c>
      <c r="H1540" s="59" t="s">
        <v>1158</v>
      </c>
      <c r="I1540" s="60">
        <v>46174</v>
      </c>
      <c r="J1540" s="59" t="s">
        <v>1018</v>
      </c>
      <c r="K1540" s="59" t="s">
        <v>1138</v>
      </c>
      <c r="L1540" s="61">
        <v>11816324.34</v>
      </c>
      <c r="M1540" s="59"/>
      <c r="N1540" s="61">
        <v>11816324.34</v>
      </c>
      <c r="O1540" s="61">
        <v>4326054868.9484529</v>
      </c>
    </row>
    <row r="1541" spans="1:15" x14ac:dyDescent="0.25">
      <c r="A1541" s="62">
        <v>46220</v>
      </c>
      <c r="B1541">
        <v>7</v>
      </c>
      <c r="C1541" t="s">
        <v>1133</v>
      </c>
      <c r="D1541">
        <v>1044372</v>
      </c>
      <c r="E1541" t="s">
        <v>1134</v>
      </c>
      <c r="F1541" t="s">
        <v>1135</v>
      </c>
      <c r="G1541" t="s">
        <v>1136</v>
      </c>
      <c r="H1541" t="s">
        <v>1141</v>
      </c>
      <c r="I1541" s="63">
        <v>46174</v>
      </c>
      <c r="J1541" t="s">
        <v>1018</v>
      </c>
      <c r="K1541" t="s">
        <v>1138</v>
      </c>
      <c r="L1541" s="64">
        <v>37043310.759999998</v>
      </c>
      <c r="N1541" s="64">
        <v>37043310.759999998</v>
      </c>
      <c r="O1541" s="64">
        <v>4363098179.7084532</v>
      </c>
    </row>
    <row r="1542" spans="1:15" x14ac:dyDescent="0.25">
      <c r="A1542" s="58">
        <v>46220</v>
      </c>
      <c r="B1542" s="59">
        <v>7</v>
      </c>
      <c r="C1542" s="59" t="s">
        <v>1133</v>
      </c>
      <c r="D1542" s="59">
        <v>1044402</v>
      </c>
      <c r="E1542" s="59" t="s">
        <v>1134</v>
      </c>
      <c r="F1542" s="59" t="s">
        <v>1135</v>
      </c>
      <c r="G1542" s="59" t="s">
        <v>1136</v>
      </c>
      <c r="H1542" s="59" t="s">
        <v>1159</v>
      </c>
      <c r="I1542" s="60">
        <v>46174</v>
      </c>
      <c r="J1542" s="59" t="s">
        <v>1018</v>
      </c>
      <c r="K1542" s="59" t="s">
        <v>1138</v>
      </c>
      <c r="L1542" s="61">
        <v>18615477.41</v>
      </c>
      <c r="M1542" s="59"/>
      <c r="N1542" s="61">
        <v>18615477.41</v>
      </c>
      <c r="O1542" s="61">
        <v>4381713657.118453</v>
      </c>
    </row>
    <row r="1543" spans="1:15" x14ac:dyDescent="0.25">
      <c r="A1543" s="62">
        <v>46220</v>
      </c>
      <c r="B1543">
        <v>7</v>
      </c>
      <c r="C1543" t="s">
        <v>1133</v>
      </c>
      <c r="D1543">
        <v>1044412</v>
      </c>
      <c r="E1543" t="s">
        <v>1134</v>
      </c>
      <c r="F1543" t="s">
        <v>1135</v>
      </c>
      <c r="G1543" t="s">
        <v>1136</v>
      </c>
      <c r="H1543" t="s">
        <v>1160</v>
      </c>
      <c r="I1543" s="63">
        <v>46174</v>
      </c>
      <c r="J1543" t="s">
        <v>1018</v>
      </c>
      <c r="K1543" t="s">
        <v>1138</v>
      </c>
      <c r="L1543" s="64">
        <v>8511396.5999999996</v>
      </c>
      <c r="N1543" s="64">
        <v>8511396.5999999996</v>
      </c>
      <c r="O1543" s="64">
        <v>4390225053.7184534</v>
      </c>
    </row>
    <row r="1544" spans="1:15" x14ac:dyDescent="0.25">
      <c r="A1544" s="58">
        <v>46220</v>
      </c>
      <c r="B1544" s="59">
        <v>7</v>
      </c>
      <c r="C1544" s="59" t="s">
        <v>1133</v>
      </c>
      <c r="D1544" s="59">
        <v>1044422</v>
      </c>
      <c r="E1544" s="59" t="s">
        <v>1134</v>
      </c>
      <c r="F1544" s="59" t="s">
        <v>1135</v>
      </c>
      <c r="G1544" s="59" t="s">
        <v>1136</v>
      </c>
      <c r="H1544" s="59" t="s">
        <v>1165</v>
      </c>
      <c r="I1544" s="60">
        <v>46174</v>
      </c>
      <c r="J1544" s="59" t="s">
        <v>1018</v>
      </c>
      <c r="K1544" s="59" t="s">
        <v>1138</v>
      </c>
      <c r="L1544" s="61">
        <v>56100896.68</v>
      </c>
      <c r="M1544" s="59"/>
      <c r="N1544" s="61">
        <v>56100896.68</v>
      </c>
      <c r="O1544" s="61">
        <v>4446325950.3984537</v>
      </c>
    </row>
    <row r="1545" spans="1:15" x14ac:dyDescent="0.25">
      <c r="A1545" s="62">
        <v>46220</v>
      </c>
      <c r="B1545">
        <v>7</v>
      </c>
      <c r="C1545" t="s">
        <v>1133</v>
      </c>
      <c r="D1545">
        <v>1044312</v>
      </c>
      <c r="E1545" t="s">
        <v>1134</v>
      </c>
      <c r="F1545" t="s">
        <v>1135</v>
      </c>
      <c r="G1545" t="s">
        <v>1136</v>
      </c>
      <c r="H1545" t="s">
        <v>1137</v>
      </c>
      <c r="I1545" s="63">
        <v>46174</v>
      </c>
      <c r="J1545" t="s">
        <v>1018</v>
      </c>
      <c r="K1545" t="s">
        <v>1138</v>
      </c>
      <c r="L1545" s="64">
        <v>18832400</v>
      </c>
      <c r="N1545" s="64">
        <v>18832400</v>
      </c>
      <c r="O1545" s="64">
        <v>4465158350.3984537</v>
      </c>
    </row>
    <row r="1546" spans="1:15" x14ac:dyDescent="0.25">
      <c r="A1546" s="58">
        <v>46220</v>
      </c>
      <c r="B1546" s="59">
        <v>7</v>
      </c>
      <c r="C1546" s="59" t="s">
        <v>1133</v>
      </c>
      <c r="D1546" s="59">
        <v>1044202</v>
      </c>
      <c r="E1546" s="59" t="s">
        <v>1134</v>
      </c>
      <c r="F1546" s="59" t="s">
        <v>1135</v>
      </c>
      <c r="G1546" s="59" t="s">
        <v>1136</v>
      </c>
      <c r="H1546" s="59" t="s">
        <v>1139</v>
      </c>
      <c r="I1546" s="60">
        <v>46174</v>
      </c>
      <c r="J1546" s="59" t="s">
        <v>1018</v>
      </c>
      <c r="K1546" s="59" t="s">
        <v>1138</v>
      </c>
      <c r="L1546" s="61">
        <v>25787182.32</v>
      </c>
      <c r="M1546" s="59"/>
      <c r="N1546" s="61">
        <v>25787182.32</v>
      </c>
      <c r="O1546" s="61">
        <v>4490945532.7184534</v>
      </c>
    </row>
    <row r="1547" spans="1:15" x14ac:dyDescent="0.25">
      <c r="A1547" s="62">
        <v>46220</v>
      </c>
      <c r="B1547">
        <v>7</v>
      </c>
      <c r="C1547" t="s">
        <v>1133</v>
      </c>
      <c r="D1547">
        <v>1044462</v>
      </c>
      <c r="E1547" t="s">
        <v>1134</v>
      </c>
      <c r="F1547" t="s">
        <v>1135</v>
      </c>
      <c r="G1547" t="s">
        <v>1136</v>
      </c>
      <c r="H1547" t="s">
        <v>1140</v>
      </c>
      <c r="I1547" s="63">
        <v>46174</v>
      </c>
      <c r="J1547" t="s">
        <v>1018</v>
      </c>
      <c r="K1547" t="s">
        <v>1138</v>
      </c>
      <c r="L1547" s="64">
        <v>2853164.59</v>
      </c>
      <c r="N1547" s="64">
        <v>2853164.59</v>
      </c>
      <c r="O1547" s="64">
        <v>4493798697.3084536</v>
      </c>
    </row>
    <row r="1548" spans="1:15" x14ac:dyDescent="0.25">
      <c r="A1548" s="58">
        <v>46223</v>
      </c>
      <c r="B1548" s="59">
        <v>7</v>
      </c>
      <c r="C1548" s="59" t="s">
        <v>1144</v>
      </c>
      <c r="D1548" s="59">
        <v>2014351</v>
      </c>
      <c r="E1548" s="59" t="s">
        <v>1167</v>
      </c>
      <c r="F1548" s="59" t="s">
        <v>1174</v>
      </c>
      <c r="G1548" s="59" t="s">
        <v>1136</v>
      </c>
      <c r="H1548" s="59" t="s">
        <v>1157</v>
      </c>
      <c r="I1548" s="60">
        <v>46174</v>
      </c>
      <c r="J1548" s="59" t="s">
        <v>1019</v>
      </c>
      <c r="K1548" s="59" t="s">
        <v>1142</v>
      </c>
      <c r="L1548" s="59"/>
      <c r="M1548" s="61">
        <v>5476253.04</v>
      </c>
      <c r="N1548" s="61">
        <v>-5476253.04</v>
      </c>
      <c r="O1548" s="61">
        <v>4488322444.2684536</v>
      </c>
    </row>
    <row r="1549" spans="1:15" x14ac:dyDescent="0.25">
      <c r="A1549" s="62">
        <v>46223</v>
      </c>
      <c r="B1549">
        <v>7</v>
      </c>
      <c r="C1549" t="s">
        <v>1144</v>
      </c>
      <c r="D1549">
        <v>2044462</v>
      </c>
      <c r="E1549" t="s">
        <v>1167</v>
      </c>
      <c r="F1549" t="s">
        <v>1135</v>
      </c>
      <c r="G1549" t="s">
        <v>1136</v>
      </c>
      <c r="H1549" t="s">
        <v>1140</v>
      </c>
      <c r="I1549" s="63">
        <v>46204</v>
      </c>
      <c r="J1549" t="s">
        <v>1020</v>
      </c>
      <c r="K1549" t="s">
        <v>1138</v>
      </c>
      <c r="M1549" s="64">
        <v>2810870.98</v>
      </c>
      <c r="N1549" s="64">
        <v>-2810870.98</v>
      </c>
      <c r="O1549" s="64">
        <v>4485511573.2884541</v>
      </c>
    </row>
    <row r="1550" spans="1:15" x14ac:dyDescent="0.25">
      <c r="A1550" s="58">
        <v>46223</v>
      </c>
      <c r="B1550" s="59">
        <v>7</v>
      </c>
      <c r="C1550" s="59" t="s">
        <v>1144</v>
      </c>
      <c r="D1550" s="59">
        <v>2044126</v>
      </c>
      <c r="E1550" s="59" t="s">
        <v>1167</v>
      </c>
      <c r="F1550" s="59" t="s">
        <v>1135</v>
      </c>
      <c r="G1550" s="59" t="s">
        <v>1136</v>
      </c>
      <c r="H1550" s="59" t="s">
        <v>1175</v>
      </c>
      <c r="I1550" s="60">
        <v>46174</v>
      </c>
      <c r="J1550" s="59" t="s">
        <v>1021</v>
      </c>
      <c r="K1550" s="59" t="s">
        <v>1150</v>
      </c>
      <c r="L1550" s="59"/>
      <c r="M1550" s="61">
        <v>4887355.3</v>
      </c>
      <c r="N1550" s="61">
        <v>-4887355.3</v>
      </c>
      <c r="O1550" s="61">
        <v>4480624217.9884539</v>
      </c>
    </row>
    <row r="1551" spans="1:15" x14ac:dyDescent="0.25">
      <c r="A1551" s="62">
        <v>46223</v>
      </c>
      <c r="B1551">
        <v>7</v>
      </c>
      <c r="C1551" t="s">
        <v>1144</v>
      </c>
      <c r="D1551">
        <v>2044126</v>
      </c>
      <c r="E1551" t="s">
        <v>1167</v>
      </c>
      <c r="F1551" t="s">
        <v>1135</v>
      </c>
      <c r="G1551" t="s">
        <v>1136</v>
      </c>
      <c r="H1551" t="s">
        <v>1175</v>
      </c>
      <c r="I1551" s="63">
        <v>46174</v>
      </c>
      <c r="J1551" t="s">
        <v>1022</v>
      </c>
      <c r="K1551" t="s">
        <v>1150</v>
      </c>
      <c r="M1551" s="64">
        <v>4250206.5</v>
      </c>
      <c r="N1551" s="64">
        <v>-4250206.5</v>
      </c>
      <c r="O1551" s="64">
        <v>4476374011.4884539</v>
      </c>
    </row>
    <row r="1552" spans="1:15" x14ac:dyDescent="0.25">
      <c r="A1552" s="58">
        <v>46223</v>
      </c>
      <c r="B1552" s="59">
        <v>7</v>
      </c>
      <c r="C1552" s="59" t="s">
        <v>1144</v>
      </c>
      <c r="D1552" s="59">
        <v>2044126</v>
      </c>
      <c r="E1552" s="59" t="s">
        <v>1167</v>
      </c>
      <c r="F1552" s="59" t="s">
        <v>1135</v>
      </c>
      <c r="G1552" s="59" t="s">
        <v>1136</v>
      </c>
      <c r="H1552" s="59" t="s">
        <v>1175</v>
      </c>
      <c r="I1552" s="60">
        <v>46174</v>
      </c>
      <c r="J1552" s="59" t="s">
        <v>1023</v>
      </c>
      <c r="K1552" s="59" t="s">
        <v>1150</v>
      </c>
      <c r="L1552" s="59"/>
      <c r="M1552" s="61">
        <v>4215294.9000000004</v>
      </c>
      <c r="N1552" s="61">
        <v>-4215294.9000000004</v>
      </c>
      <c r="O1552" s="61">
        <v>4472158716.5884542</v>
      </c>
    </row>
    <row r="1553" spans="1:15" x14ac:dyDescent="0.25">
      <c r="A1553" s="62">
        <v>46223</v>
      </c>
      <c r="B1553">
        <v>7</v>
      </c>
      <c r="C1553" t="s">
        <v>1144</v>
      </c>
      <c r="D1553">
        <v>2044126</v>
      </c>
      <c r="E1553" t="s">
        <v>1167</v>
      </c>
      <c r="F1553" t="s">
        <v>1135</v>
      </c>
      <c r="G1553" t="s">
        <v>1136</v>
      </c>
      <c r="H1553" t="s">
        <v>1175</v>
      </c>
      <c r="I1553" s="63">
        <v>46174</v>
      </c>
      <c r="J1553" t="s">
        <v>1024</v>
      </c>
      <c r="K1553" t="s">
        <v>1150</v>
      </c>
      <c r="M1553" s="64">
        <v>1925305.1</v>
      </c>
      <c r="N1553" s="64">
        <v>-1925305.1</v>
      </c>
      <c r="O1553" s="64">
        <v>4470233411.4884539</v>
      </c>
    </row>
    <row r="1554" spans="1:15" x14ac:dyDescent="0.25">
      <c r="A1554" s="58">
        <v>46223</v>
      </c>
      <c r="B1554" s="59">
        <v>7</v>
      </c>
      <c r="C1554" s="59" t="s">
        <v>1144</v>
      </c>
      <c r="D1554" s="59">
        <v>2044126</v>
      </c>
      <c r="E1554" s="59" t="s">
        <v>1167</v>
      </c>
      <c r="F1554" s="59" t="s">
        <v>1135</v>
      </c>
      <c r="G1554" s="59" t="s">
        <v>1136</v>
      </c>
      <c r="H1554" s="59" t="s">
        <v>1175</v>
      </c>
      <c r="I1554" s="60">
        <v>46174</v>
      </c>
      <c r="J1554" s="59" t="s">
        <v>1025</v>
      </c>
      <c r="K1554" s="59" t="s">
        <v>1150</v>
      </c>
      <c r="L1554" s="59"/>
      <c r="M1554" s="61">
        <v>337283.1</v>
      </c>
      <c r="N1554" s="61">
        <v>-337283.1</v>
      </c>
      <c r="O1554" s="61">
        <v>4469896128.3884525</v>
      </c>
    </row>
    <row r="1555" spans="1:15" x14ac:dyDescent="0.25">
      <c r="A1555" s="62">
        <v>46223</v>
      </c>
      <c r="B1555">
        <v>7</v>
      </c>
      <c r="C1555" t="s">
        <v>1144</v>
      </c>
      <c r="D1555">
        <v>2044126</v>
      </c>
      <c r="E1555" t="s">
        <v>1167</v>
      </c>
      <c r="F1555" t="s">
        <v>1135</v>
      </c>
      <c r="G1555" t="s">
        <v>1136</v>
      </c>
      <c r="H1555" t="s">
        <v>1175</v>
      </c>
      <c r="I1555" s="63">
        <v>46174</v>
      </c>
      <c r="J1555" t="s">
        <v>1026</v>
      </c>
      <c r="K1555" t="s">
        <v>1150</v>
      </c>
      <c r="M1555" s="64">
        <v>272894.59999999998</v>
      </c>
      <c r="N1555" s="64">
        <v>-272894.59999999998</v>
      </c>
      <c r="O1555" s="64">
        <v>4469623233.7884531</v>
      </c>
    </row>
    <row r="1556" spans="1:15" x14ac:dyDescent="0.25">
      <c r="A1556" s="58">
        <v>46223</v>
      </c>
      <c r="B1556" s="59">
        <v>7</v>
      </c>
      <c r="C1556" s="59" t="s">
        <v>1144</v>
      </c>
      <c r="D1556" s="59">
        <v>2044126</v>
      </c>
      <c r="E1556" s="59" t="s">
        <v>1167</v>
      </c>
      <c r="F1556" s="59" t="s">
        <v>1135</v>
      </c>
      <c r="G1556" s="59" t="s">
        <v>1136</v>
      </c>
      <c r="H1556" s="59" t="s">
        <v>1175</v>
      </c>
      <c r="I1556" s="60">
        <v>46174</v>
      </c>
      <c r="J1556" s="59" t="s">
        <v>1027</v>
      </c>
      <c r="K1556" s="59" t="s">
        <v>1150</v>
      </c>
      <c r="L1556" s="59"/>
      <c r="M1556" s="61">
        <v>213862.9</v>
      </c>
      <c r="N1556" s="61">
        <v>-213862.9</v>
      </c>
      <c r="O1556" s="61">
        <v>4469409370.8884525</v>
      </c>
    </row>
    <row r="1557" spans="1:15" x14ac:dyDescent="0.25">
      <c r="A1557" s="62">
        <v>46223</v>
      </c>
      <c r="B1557">
        <v>7</v>
      </c>
      <c r="C1557" t="s">
        <v>1144</v>
      </c>
      <c r="D1557">
        <v>1044122</v>
      </c>
      <c r="E1557" t="s">
        <v>1134</v>
      </c>
      <c r="F1557" t="s">
        <v>1135</v>
      </c>
      <c r="G1557" t="s">
        <v>1136</v>
      </c>
      <c r="H1557" t="s">
        <v>1175</v>
      </c>
      <c r="I1557" s="63">
        <v>46082</v>
      </c>
      <c r="J1557" t="s">
        <v>1028</v>
      </c>
      <c r="K1557" t="s">
        <v>1138</v>
      </c>
      <c r="L1557" s="64">
        <v>12791918</v>
      </c>
      <c r="N1557" s="64">
        <v>12791918</v>
      </c>
      <c r="O1557" s="64">
        <v>4482201288.8884525</v>
      </c>
    </row>
    <row r="1558" spans="1:15" x14ac:dyDescent="0.25">
      <c r="A1558" s="58">
        <v>46223</v>
      </c>
      <c r="B1558" s="59">
        <v>7</v>
      </c>
      <c r="C1558" s="59" t="s">
        <v>1144</v>
      </c>
      <c r="D1558" s="59">
        <v>1044507</v>
      </c>
      <c r="E1558" s="59" t="s">
        <v>1134</v>
      </c>
      <c r="F1558" s="59" t="s">
        <v>1135</v>
      </c>
      <c r="G1558" s="59" t="s">
        <v>1136</v>
      </c>
      <c r="H1558" s="59" t="s">
        <v>1175</v>
      </c>
      <c r="I1558" s="60">
        <v>46174</v>
      </c>
      <c r="J1558" s="59" t="s">
        <v>1028</v>
      </c>
      <c r="K1558" s="59" t="s">
        <v>1170</v>
      </c>
      <c r="L1558" s="61">
        <v>5853722.2300000004</v>
      </c>
      <c r="M1558" s="59"/>
      <c r="N1558" s="61">
        <v>5853722.2300000004</v>
      </c>
      <c r="O1558" s="61">
        <v>4877233734.1384525</v>
      </c>
    </row>
    <row r="1559" spans="1:15" x14ac:dyDescent="0.25">
      <c r="A1559" s="62">
        <v>46223</v>
      </c>
      <c r="B1559">
        <v>7</v>
      </c>
      <c r="C1559" t="s">
        <v>1144</v>
      </c>
      <c r="D1559">
        <v>1044167</v>
      </c>
      <c r="E1559" t="s">
        <v>1134</v>
      </c>
      <c r="F1559" t="s">
        <v>1135</v>
      </c>
      <c r="G1559" t="s">
        <v>1136</v>
      </c>
      <c r="H1559" t="s">
        <v>1162</v>
      </c>
      <c r="I1559" s="63">
        <v>46174</v>
      </c>
      <c r="J1559" t="s">
        <v>1028</v>
      </c>
      <c r="K1559" t="s">
        <v>1170</v>
      </c>
      <c r="L1559" s="64">
        <v>538770.26</v>
      </c>
      <c r="N1559" s="64">
        <v>538770.26</v>
      </c>
      <c r="O1559" s="64">
        <v>4877774804.3984537</v>
      </c>
    </row>
    <row r="1560" spans="1:15" x14ac:dyDescent="0.25">
      <c r="A1560" s="58">
        <v>46223</v>
      </c>
      <c r="B1560" s="59">
        <v>7</v>
      </c>
      <c r="C1560" s="59" t="s">
        <v>1144</v>
      </c>
      <c r="D1560" s="59">
        <v>1044197</v>
      </c>
      <c r="E1560" s="59" t="s">
        <v>1134</v>
      </c>
      <c r="F1560" s="59" t="s">
        <v>1135</v>
      </c>
      <c r="G1560" s="59" t="s">
        <v>1136</v>
      </c>
      <c r="H1560" s="59" t="s">
        <v>1149</v>
      </c>
      <c r="I1560" s="60">
        <v>46174</v>
      </c>
      <c r="J1560" s="59" t="s">
        <v>1028</v>
      </c>
      <c r="K1560" s="59" t="s">
        <v>1170</v>
      </c>
      <c r="L1560" s="61">
        <v>514800</v>
      </c>
      <c r="M1560" s="59"/>
      <c r="N1560" s="61">
        <v>514800</v>
      </c>
      <c r="O1560" s="61">
        <v>4878410093.0484533</v>
      </c>
    </row>
    <row r="1561" spans="1:15" x14ac:dyDescent="0.25">
      <c r="A1561" s="62">
        <v>46223</v>
      </c>
      <c r="B1561">
        <v>7</v>
      </c>
      <c r="C1561" t="s">
        <v>1144</v>
      </c>
      <c r="D1561">
        <v>1044357</v>
      </c>
      <c r="E1561" t="s">
        <v>1134</v>
      </c>
      <c r="F1561" t="s">
        <v>1135</v>
      </c>
      <c r="G1561" t="s">
        <v>1136</v>
      </c>
      <c r="H1561" t="s">
        <v>1157</v>
      </c>
      <c r="I1561" s="63">
        <v>46174</v>
      </c>
      <c r="J1561" t="s">
        <v>1028</v>
      </c>
      <c r="K1561" t="s">
        <v>1170</v>
      </c>
      <c r="L1561" s="64">
        <v>480</v>
      </c>
      <c r="N1561" s="64">
        <v>480</v>
      </c>
      <c r="O1561" s="64">
        <v>4878693573.0484533</v>
      </c>
    </row>
    <row r="1562" spans="1:15" x14ac:dyDescent="0.25">
      <c r="A1562" s="58">
        <v>46223</v>
      </c>
      <c r="B1562" s="59">
        <v>7</v>
      </c>
      <c r="C1562" s="59" t="s">
        <v>1144</v>
      </c>
      <c r="D1562" s="59">
        <v>1044287</v>
      </c>
      <c r="E1562" s="59" t="s">
        <v>1134</v>
      </c>
      <c r="F1562" s="59" t="s">
        <v>1135</v>
      </c>
      <c r="G1562" s="59" t="s">
        <v>1136</v>
      </c>
      <c r="H1562" s="59" t="s">
        <v>1155</v>
      </c>
      <c r="I1562" s="60">
        <v>46174</v>
      </c>
      <c r="J1562" s="59" t="s">
        <v>1028</v>
      </c>
      <c r="K1562" s="59" t="s">
        <v>1170</v>
      </c>
      <c r="L1562" s="61">
        <v>2000</v>
      </c>
      <c r="M1562" s="59"/>
      <c r="N1562" s="61">
        <v>2000</v>
      </c>
      <c r="O1562" s="61">
        <v>4878695573.0484533</v>
      </c>
    </row>
    <row r="1563" spans="1:15" x14ac:dyDescent="0.25">
      <c r="A1563" s="62">
        <v>46223</v>
      </c>
      <c r="B1563">
        <v>7</v>
      </c>
      <c r="C1563" t="s">
        <v>1144</v>
      </c>
      <c r="D1563">
        <v>1044407</v>
      </c>
      <c r="E1563" t="s">
        <v>1134</v>
      </c>
      <c r="F1563" t="s">
        <v>1135</v>
      </c>
      <c r="G1563" t="s">
        <v>1136</v>
      </c>
      <c r="H1563" t="s">
        <v>1159</v>
      </c>
      <c r="I1563" s="63">
        <v>46174</v>
      </c>
      <c r="J1563" t="s">
        <v>1028</v>
      </c>
      <c r="K1563" t="s">
        <v>1170</v>
      </c>
      <c r="L1563" s="64">
        <v>800</v>
      </c>
      <c r="N1563" s="64">
        <v>800</v>
      </c>
      <c r="O1563" s="64">
        <v>4878696373.0484533</v>
      </c>
    </row>
    <row r="1564" spans="1:15" x14ac:dyDescent="0.25">
      <c r="A1564" s="58">
        <v>46223</v>
      </c>
      <c r="B1564" s="59">
        <v>7</v>
      </c>
      <c r="C1564" s="59" t="s">
        <v>1144</v>
      </c>
      <c r="D1564" s="59">
        <v>1044417</v>
      </c>
      <c r="E1564" s="59" t="s">
        <v>1134</v>
      </c>
      <c r="F1564" s="59" t="s">
        <v>1135</v>
      </c>
      <c r="G1564" s="59" t="s">
        <v>1136</v>
      </c>
      <c r="H1564" s="59" t="s">
        <v>1160</v>
      </c>
      <c r="I1564" s="60">
        <v>46174</v>
      </c>
      <c r="J1564" s="59" t="s">
        <v>1028</v>
      </c>
      <c r="K1564" s="59" t="s">
        <v>1170</v>
      </c>
      <c r="L1564" s="61">
        <v>45000</v>
      </c>
      <c r="M1564" s="59"/>
      <c r="N1564" s="61">
        <v>45000</v>
      </c>
      <c r="O1564" s="61">
        <v>4878957173.0484533</v>
      </c>
    </row>
    <row r="1565" spans="1:15" x14ac:dyDescent="0.25">
      <c r="A1565" s="62">
        <v>46223</v>
      </c>
      <c r="B1565">
        <v>7</v>
      </c>
      <c r="C1565" t="s">
        <v>1144</v>
      </c>
      <c r="D1565">
        <v>1044427</v>
      </c>
      <c r="E1565" t="s">
        <v>1134</v>
      </c>
      <c r="F1565" t="s">
        <v>1135</v>
      </c>
      <c r="G1565" t="s">
        <v>1136</v>
      </c>
      <c r="H1565" t="s">
        <v>1165</v>
      </c>
      <c r="I1565" s="63">
        <v>46174</v>
      </c>
      <c r="J1565" t="s">
        <v>1028</v>
      </c>
      <c r="K1565" t="s">
        <v>1170</v>
      </c>
      <c r="L1565" s="64">
        <v>130</v>
      </c>
      <c r="N1565" s="64">
        <v>130</v>
      </c>
      <c r="O1565" s="64">
        <v>4878957303.0484533</v>
      </c>
    </row>
    <row r="1566" spans="1:15" x14ac:dyDescent="0.25">
      <c r="A1566" s="58">
        <v>46224</v>
      </c>
      <c r="B1566" s="59">
        <v>7</v>
      </c>
      <c r="C1566" s="59" t="s">
        <v>1161</v>
      </c>
      <c r="D1566" s="59">
        <v>2054312</v>
      </c>
      <c r="E1566" s="59" t="s">
        <v>1167</v>
      </c>
      <c r="F1566" s="59" t="s">
        <v>1169</v>
      </c>
      <c r="G1566" s="59" t="s">
        <v>1136</v>
      </c>
      <c r="H1566" s="59" t="s">
        <v>1137</v>
      </c>
      <c r="I1566" s="60">
        <v>46204</v>
      </c>
      <c r="J1566" s="59" t="s">
        <v>1033</v>
      </c>
      <c r="K1566" s="59" t="s">
        <v>1138</v>
      </c>
      <c r="L1566" s="59"/>
      <c r="M1566" s="61">
        <v>19178700</v>
      </c>
      <c r="N1566" s="61">
        <v>-19178700</v>
      </c>
      <c r="O1566" s="61">
        <v>4914307334.1684532</v>
      </c>
    </row>
    <row r="1567" spans="1:15" x14ac:dyDescent="0.25">
      <c r="A1567" s="62">
        <v>46224</v>
      </c>
      <c r="B1567">
        <v>7</v>
      </c>
      <c r="C1567" t="s">
        <v>1161</v>
      </c>
      <c r="D1567">
        <v>2054314</v>
      </c>
      <c r="E1567" t="s">
        <v>1167</v>
      </c>
      <c r="F1567" t="s">
        <v>1169</v>
      </c>
      <c r="G1567" t="s">
        <v>1136</v>
      </c>
      <c r="H1567" t="s">
        <v>1137</v>
      </c>
      <c r="I1567" s="63">
        <v>46204</v>
      </c>
      <c r="J1567" t="s">
        <v>1034</v>
      </c>
      <c r="K1567" t="s">
        <v>1148</v>
      </c>
      <c r="M1567" s="64">
        <v>40864680</v>
      </c>
      <c r="N1567" s="64">
        <v>-40864680</v>
      </c>
      <c r="O1567" s="64">
        <v>4873442654.1684532</v>
      </c>
    </row>
    <row r="1568" spans="1:15" x14ac:dyDescent="0.25">
      <c r="A1568" s="58">
        <v>46224</v>
      </c>
      <c r="B1568" s="59">
        <v>7</v>
      </c>
      <c r="C1568" s="59" t="s">
        <v>1161</v>
      </c>
      <c r="D1568" s="59">
        <v>2054316</v>
      </c>
      <c r="E1568" s="59" t="s">
        <v>1167</v>
      </c>
      <c r="F1568" s="59" t="s">
        <v>1169</v>
      </c>
      <c r="G1568" s="59" t="s">
        <v>1136</v>
      </c>
      <c r="H1568" s="59" t="s">
        <v>1137</v>
      </c>
      <c r="I1568" s="60">
        <v>46204</v>
      </c>
      <c r="J1568" s="59" t="s">
        <v>1034</v>
      </c>
      <c r="K1568" s="59" t="s">
        <v>1150</v>
      </c>
      <c r="L1568" s="59"/>
      <c r="M1568" s="61">
        <v>699418.68</v>
      </c>
      <c r="N1568" s="61">
        <v>-699418.68</v>
      </c>
      <c r="O1568" s="61">
        <v>4872743235.4884529</v>
      </c>
    </row>
    <row r="1569" spans="1:15" x14ac:dyDescent="0.25">
      <c r="A1569" s="62">
        <v>46224</v>
      </c>
      <c r="B1569">
        <v>7</v>
      </c>
      <c r="C1569" t="s">
        <v>1161</v>
      </c>
      <c r="D1569">
        <v>2044464</v>
      </c>
      <c r="E1569" t="s">
        <v>1167</v>
      </c>
      <c r="F1569" t="s">
        <v>1135</v>
      </c>
      <c r="G1569" t="s">
        <v>1136</v>
      </c>
      <c r="H1569" t="s">
        <v>1140</v>
      </c>
      <c r="I1569" s="63">
        <v>46174</v>
      </c>
      <c r="J1569" t="s">
        <v>1035</v>
      </c>
      <c r="K1569" t="s">
        <v>1148</v>
      </c>
      <c r="M1569" s="64">
        <v>7506217.9299999997</v>
      </c>
      <c r="N1569" s="64">
        <v>-7506217.9299999997</v>
      </c>
      <c r="O1569" s="64">
        <v>4865237017.5584526</v>
      </c>
    </row>
    <row r="1570" spans="1:15" x14ac:dyDescent="0.25">
      <c r="A1570" s="58">
        <v>46224</v>
      </c>
      <c r="B1570" s="59">
        <v>7</v>
      </c>
      <c r="C1570" s="59" t="s">
        <v>1161</v>
      </c>
      <c r="D1570" s="59">
        <v>2014262</v>
      </c>
      <c r="E1570" s="59" t="s">
        <v>1167</v>
      </c>
      <c r="F1570" s="59" t="s">
        <v>1174</v>
      </c>
      <c r="G1570" s="59" t="s">
        <v>1136</v>
      </c>
      <c r="H1570" s="59" t="s">
        <v>1145</v>
      </c>
      <c r="I1570" s="60">
        <v>46174</v>
      </c>
      <c r="J1570" s="59" t="s">
        <v>1036</v>
      </c>
      <c r="K1570" s="59" t="s">
        <v>1138</v>
      </c>
      <c r="L1570" s="59"/>
      <c r="M1570" s="61">
        <v>5694850</v>
      </c>
      <c r="N1570" s="61">
        <v>-5694850</v>
      </c>
      <c r="O1570" s="61">
        <v>4859542167.5584526</v>
      </c>
    </row>
    <row r="1571" spans="1:15" x14ac:dyDescent="0.25">
      <c r="A1571" s="62">
        <v>46224</v>
      </c>
      <c r="B1571">
        <v>7</v>
      </c>
      <c r="C1571" t="s">
        <v>1161</v>
      </c>
      <c r="D1571">
        <v>2014264</v>
      </c>
      <c r="E1571" t="s">
        <v>1167</v>
      </c>
      <c r="F1571" t="s">
        <v>1174</v>
      </c>
      <c r="G1571" t="s">
        <v>1136</v>
      </c>
      <c r="H1571" t="s">
        <v>1145</v>
      </c>
      <c r="I1571" s="63">
        <v>46174</v>
      </c>
      <c r="J1571" t="s">
        <v>1037</v>
      </c>
      <c r="K1571" t="s">
        <v>1148</v>
      </c>
      <c r="M1571" s="64">
        <v>3858750</v>
      </c>
      <c r="N1571" s="64">
        <v>-3858750</v>
      </c>
      <c r="O1571" s="64">
        <v>4855683417.5584526</v>
      </c>
    </row>
    <row r="1572" spans="1:15" x14ac:dyDescent="0.25">
      <c r="A1572" s="58">
        <v>46224</v>
      </c>
      <c r="B1572" s="59">
        <v>7</v>
      </c>
      <c r="C1572" s="59" t="s">
        <v>1161</v>
      </c>
      <c r="D1572" s="59">
        <v>2014266</v>
      </c>
      <c r="E1572" s="59" t="s">
        <v>1167</v>
      </c>
      <c r="F1572" s="59" t="s">
        <v>1174</v>
      </c>
      <c r="G1572" s="59" t="s">
        <v>1136</v>
      </c>
      <c r="H1572" s="59" t="s">
        <v>1145</v>
      </c>
      <c r="I1572" s="60">
        <v>46174</v>
      </c>
      <c r="J1572" s="59" t="s">
        <v>1037</v>
      </c>
      <c r="K1572" s="59" t="s">
        <v>1150</v>
      </c>
      <c r="L1572" s="59"/>
      <c r="M1572" s="61">
        <v>137332.73000000001</v>
      </c>
      <c r="N1572" s="61">
        <v>-137332.73000000001</v>
      </c>
      <c r="O1572" s="61">
        <v>4855546084.8284531</v>
      </c>
    </row>
    <row r="1573" spans="1:15" x14ac:dyDescent="0.25">
      <c r="A1573" s="62">
        <v>46224</v>
      </c>
      <c r="B1573">
        <v>7</v>
      </c>
      <c r="C1573" t="s">
        <v>1161</v>
      </c>
      <c r="D1573">
        <v>2014264</v>
      </c>
      <c r="E1573" t="s">
        <v>1167</v>
      </c>
      <c r="F1573" t="s">
        <v>1174</v>
      </c>
      <c r="G1573" t="s">
        <v>1136</v>
      </c>
      <c r="H1573" t="s">
        <v>1145</v>
      </c>
      <c r="I1573" s="63">
        <v>46174</v>
      </c>
      <c r="J1573" t="s">
        <v>1037</v>
      </c>
      <c r="K1573" t="s">
        <v>1148</v>
      </c>
      <c r="M1573" s="64">
        <v>4418469.12</v>
      </c>
      <c r="N1573" s="64">
        <v>-4418469.12</v>
      </c>
      <c r="O1573" s="64">
        <v>4851127615.7084532</v>
      </c>
    </row>
    <row r="1574" spans="1:15" x14ac:dyDescent="0.25">
      <c r="A1574" s="58">
        <v>46224</v>
      </c>
      <c r="B1574" s="59">
        <v>7</v>
      </c>
      <c r="C1574" s="59" t="s">
        <v>1161</v>
      </c>
      <c r="D1574" s="59">
        <v>2044127</v>
      </c>
      <c r="E1574" s="59" t="s">
        <v>1167</v>
      </c>
      <c r="F1574" s="59" t="s">
        <v>1135</v>
      </c>
      <c r="G1574" s="59" t="s">
        <v>1136</v>
      </c>
      <c r="H1574" s="59" t="s">
        <v>1175</v>
      </c>
      <c r="I1574" s="60">
        <v>46174</v>
      </c>
      <c r="J1574" s="59" t="s">
        <v>1038</v>
      </c>
      <c r="K1574" s="59" t="s">
        <v>1170</v>
      </c>
      <c r="L1574" s="59"/>
      <c r="M1574" s="61">
        <v>2184729.5</v>
      </c>
      <c r="N1574" s="61">
        <v>-2184729.5</v>
      </c>
      <c r="O1574" s="61">
        <v>4848942886.2084532</v>
      </c>
    </row>
    <row r="1575" spans="1:15" x14ac:dyDescent="0.25">
      <c r="A1575" s="62">
        <v>46224</v>
      </c>
      <c r="B1575">
        <v>7</v>
      </c>
      <c r="C1575" t="s">
        <v>1161</v>
      </c>
      <c r="D1575">
        <v>2044127</v>
      </c>
      <c r="E1575" t="s">
        <v>1167</v>
      </c>
      <c r="F1575" t="s">
        <v>1135</v>
      </c>
      <c r="G1575" t="s">
        <v>1136</v>
      </c>
      <c r="H1575" t="s">
        <v>1175</v>
      </c>
      <c r="I1575" s="63">
        <v>46174</v>
      </c>
      <c r="J1575" t="s">
        <v>1039</v>
      </c>
      <c r="K1575" t="s">
        <v>1170</v>
      </c>
      <c r="M1575" s="64">
        <v>943473.5</v>
      </c>
      <c r="N1575" s="64">
        <v>-943473.5</v>
      </c>
      <c r="O1575" s="64">
        <v>4847999412.7084532</v>
      </c>
    </row>
    <row r="1576" spans="1:15" x14ac:dyDescent="0.25">
      <c r="A1576" s="58">
        <v>46224</v>
      </c>
      <c r="B1576" s="59">
        <v>7</v>
      </c>
      <c r="C1576" s="59" t="s">
        <v>1161</v>
      </c>
      <c r="D1576" s="59">
        <v>2044127</v>
      </c>
      <c r="E1576" s="59" t="s">
        <v>1167</v>
      </c>
      <c r="F1576" s="59" t="s">
        <v>1135</v>
      </c>
      <c r="G1576" s="59" t="s">
        <v>1136</v>
      </c>
      <c r="H1576" s="59" t="s">
        <v>1175</v>
      </c>
      <c r="I1576" s="60">
        <v>46174</v>
      </c>
      <c r="J1576" s="59" t="s">
        <v>1040</v>
      </c>
      <c r="K1576" s="59" t="s">
        <v>1170</v>
      </c>
      <c r="L1576" s="59"/>
      <c r="M1576" s="61">
        <v>1792410.3</v>
      </c>
      <c r="N1576" s="61">
        <v>-1792410.3</v>
      </c>
      <c r="O1576" s="61">
        <v>4846207002.408453</v>
      </c>
    </row>
    <row r="1577" spans="1:15" x14ac:dyDescent="0.25">
      <c r="A1577" s="62">
        <v>46224</v>
      </c>
      <c r="B1577">
        <v>7</v>
      </c>
      <c r="C1577" t="s">
        <v>1161</v>
      </c>
      <c r="D1577">
        <v>2044127</v>
      </c>
      <c r="E1577" t="s">
        <v>1167</v>
      </c>
      <c r="F1577" t="s">
        <v>1135</v>
      </c>
      <c r="G1577" t="s">
        <v>1136</v>
      </c>
      <c r="H1577" t="s">
        <v>1175</v>
      </c>
      <c r="I1577" s="63">
        <v>46174</v>
      </c>
      <c r="J1577" t="s">
        <v>1041</v>
      </c>
      <c r="K1577" t="s">
        <v>1170</v>
      </c>
      <c r="M1577" s="64">
        <v>1050526.3</v>
      </c>
      <c r="N1577" s="64">
        <v>-1050526.3</v>
      </c>
      <c r="O1577" s="64">
        <v>4845156476.1084528</v>
      </c>
    </row>
    <row r="1578" spans="1:15" x14ac:dyDescent="0.25">
      <c r="A1578" s="58">
        <v>46224</v>
      </c>
      <c r="B1578" s="59">
        <v>7</v>
      </c>
      <c r="C1578" s="59" t="s">
        <v>1161</v>
      </c>
      <c r="D1578" s="59">
        <v>2044127</v>
      </c>
      <c r="E1578" s="59" t="s">
        <v>1167</v>
      </c>
      <c r="F1578" s="59" t="s">
        <v>1135</v>
      </c>
      <c r="G1578" s="59" t="s">
        <v>1136</v>
      </c>
      <c r="H1578" s="59" t="s">
        <v>1175</v>
      </c>
      <c r="I1578" s="60">
        <v>46174</v>
      </c>
      <c r="J1578" s="59" t="s">
        <v>1042</v>
      </c>
      <c r="K1578" s="59" t="s">
        <v>1170</v>
      </c>
      <c r="L1578" s="59"/>
      <c r="M1578" s="61">
        <v>2511653.7000000002</v>
      </c>
      <c r="N1578" s="61">
        <v>-2511653.7000000002</v>
      </c>
      <c r="O1578" s="61">
        <v>4842644822.408453</v>
      </c>
    </row>
    <row r="1579" spans="1:15" x14ac:dyDescent="0.25">
      <c r="A1579" s="62">
        <v>46224</v>
      </c>
      <c r="B1579">
        <v>7</v>
      </c>
      <c r="C1579" t="s">
        <v>1161</v>
      </c>
      <c r="D1579">
        <v>2044127</v>
      </c>
      <c r="E1579" t="s">
        <v>1167</v>
      </c>
      <c r="F1579" t="s">
        <v>1135</v>
      </c>
      <c r="G1579" t="s">
        <v>1136</v>
      </c>
      <c r="H1579" t="s">
        <v>1175</v>
      </c>
      <c r="I1579" s="63">
        <v>46174</v>
      </c>
      <c r="J1579" t="s">
        <v>1043</v>
      </c>
      <c r="K1579" t="s">
        <v>1170</v>
      </c>
      <c r="M1579" s="64">
        <v>1302392.5</v>
      </c>
      <c r="N1579" s="64">
        <v>-1302392.5</v>
      </c>
      <c r="O1579" s="64">
        <v>4841342429.908453</v>
      </c>
    </row>
    <row r="1580" spans="1:15" x14ac:dyDescent="0.25">
      <c r="A1580" s="58">
        <v>46224</v>
      </c>
      <c r="B1580" s="59">
        <v>7</v>
      </c>
      <c r="C1580" s="59" t="s">
        <v>1161</v>
      </c>
      <c r="D1580" s="59">
        <v>2044126</v>
      </c>
      <c r="E1580" s="59" t="s">
        <v>1167</v>
      </c>
      <c r="F1580" s="59" t="s">
        <v>1135</v>
      </c>
      <c r="G1580" s="59" t="s">
        <v>1136</v>
      </c>
      <c r="H1580" s="59" t="s">
        <v>1175</v>
      </c>
      <c r="I1580" s="60">
        <v>46174</v>
      </c>
      <c r="J1580" s="59" t="s">
        <v>1044</v>
      </c>
      <c r="K1580" s="59" t="s">
        <v>1150</v>
      </c>
      <c r="L1580" s="59"/>
      <c r="M1580" s="61">
        <v>4034350.6</v>
      </c>
      <c r="N1580" s="61">
        <v>-4034350.6</v>
      </c>
      <c r="O1580" s="61">
        <v>4837308079.3084526</v>
      </c>
    </row>
    <row r="1581" spans="1:15" x14ac:dyDescent="0.25">
      <c r="A1581" s="62">
        <v>46224</v>
      </c>
      <c r="B1581">
        <v>7</v>
      </c>
      <c r="C1581" t="s">
        <v>1161</v>
      </c>
      <c r="D1581">
        <v>2044126</v>
      </c>
      <c r="E1581" t="s">
        <v>1167</v>
      </c>
      <c r="F1581" t="s">
        <v>1135</v>
      </c>
      <c r="G1581" t="s">
        <v>1136</v>
      </c>
      <c r="H1581" t="s">
        <v>1175</v>
      </c>
      <c r="I1581" s="63">
        <v>46174</v>
      </c>
      <c r="J1581" t="s">
        <v>1045</v>
      </c>
      <c r="K1581" t="s">
        <v>1150</v>
      </c>
      <c r="M1581" s="64">
        <v>1527288.7</v>
      </c>
      <c r="N1581" s="64">
        <v>-1527288.7</v>
      </c>
      <c r="O1581" s="64">
        <v>4835780790.6084528</v>
      </c>
    </row>
    <row r="1582" spans="1:15" x14ac:dyDescent="0.25">
      <c r="A1582" s="58">
        <v>46225</v>
      </c>
      <c r="B1582" s="59">
        <v>7</v>
      </c>
      <c r="C1582" s="59" t="s">
        <v>1166</v>
      </c>
      <c r="D1582" s="59">
        <v>2044126</v>
      </c>
      <c r="E1582" s="59" t="s">
        <v>1167</v>
      </c>
      <c r="F1582" s="59" t="s">
        <v>1135</v>
      </c>
      <c r="G1582" s="59" t="s">
        <v>1136</v>
      </c>
      <c r="H1582" s="59" t="s">
        <v>1175</v>
      </c>
      <c r="I1582" s="60">
        <v>46174</v>
      </c>
      <c r="J1582" s="59" t="s">
        <v>1048</v>
      </c>
      <c r="K1582" s="59" t="s">
        <v>1150</v>
      </c>
      <c r="L1582" s="59"/>
      <c r="M1582" s="61">
        <v>3840297.6</v>
      </c>
      <c r="N1582" s="61">
        <v>-3840297.6</v>
      </c>
      <c r="O1582" s="61">
        <v>4618603982.0284529</v>
      </c>
    </row>
    <row r="1583" spans="1:15" x14ac:dyDescent="0.25">
      <c r="A1583" s="62">
        <v>46225</v>
      </c>
      <c r="B1583">
        <v>7</v>
      </c>
      <c r="C1583" t="s">
        <v>1166</v>
      </c>
      <c r="D1583">
        <v>2044126</v>
      </c>
      <c r="E1583" t="s">
        <v>1167</v>
      </c>
      <c r="F1583" t="s">
        <v>1135</v>
      </c>
      <c r="G1583" t="s">
        <v>1136</v>
      </c>
      <c r="H1583" t="s">
        <v>1175</v>
      </c>
      <c r="I1583" s="63">
        <v>46174</v>
      </c>
      <c r="J1583" t="s">
        <v>1049</v>
      </c>
      <c r="K1583" t="s">
        <v>1150</v>
      </c>
      <c r="M1583" s="64">
        <v>3661111.1</v>
      </c>
      <c r="N1583" s="64">
        <v>-3661111.1</v>
      </c>
      <c r="O1583" s="64">
        <v>4614942870.9284515</v>
      </c>
    </row>
    <row r="1584" spans="1:15" x14ac:dyDescent="0.25">
      <c r="A1584" s="58">
        <v>46225</v>
      </c>
      <c r="B1584" s="59">
        <v>7</v>
      </c>
      <c r="C1584" s="59" t="s">
        <v>1166</v>
      </c>
      <c r="D1584" s="59">
        <v>2044126</v>
      </c>
      <c r="E1584" s="59" t="s">
        <v>1167</v>
      </c>
      <c r="F1584" s="59" t="s">
        <v>1135</v>
      </c>
      <c r="G1584" s="59" t="s">
        <v>1136</v>
      </c>
      <c r="H1584" s="59" t="s">
        <v>1175</v>
      </c>
      <c r="I1584" s="60">
        <v>46174</v>
      </c>
      <c r="J1584" s="59" t="s">
        <v>1050</v>
      </c>
      <c r="K1584" s="59" t="s">
        <v>1150</v>
      </c>
      <c r="L1584" s="59"/>
      <c r="M1584" s="61">
        <v>3477538.9</v>
      </c>
      <c r="N1584" s="61">
        <v>-3477538.9</v>
      </c>
      <c r="O1584" s="61">
        <v>4611465332.0284529</v>
      </c>
    </row>
    <row r="1585" spans="1:15" x14ac:dyDescent="0.25">
      <c r="A1585" s="62">
        <v>46225</v>
      </c>
      <c r="B1585">
        <v>7</v>
      </c>
      <c r="C1585" t="s">
        <v>1166</v>
      </c>
      <c r="D1585">
        <v>2044126</v>
      </c>
      <c r="E1585" t="s">
        <v>1167</v>
      </c>
      <c r="F1585" t="s">
        <v>1135</v>
      </c>
      <c r="G1585" t="s">
        <v>1136</v>
      </c>
      <c r="H1585" t="s">
        <v>1175</v>
      </c>
      <c r="I1585" s="63">
        <v>46174</v>
      </c>
      <c r="J1585" t="s">
        <v>1051</v>
      </c>
      <c r="K1585" t="s">
        <v>1150</v>
      </c>
      <c r="M1585" s="64">
        <v>1258350.3</v>
      </c>
      <c r="N1585" s="64">
        <v>-1258350.3</v>
      </c>
      <c r="O1585" s="64">
        <v>4610206981.7284527</v>
      </c>
    </row>
    <row r="1586" spans="1:15" x14ac:dyDescent="0.25">
      <c r="A1586" s="58">
        <v>46225</v>
      </c>
      <c r="B1586" s="59">
        <v>7</v>
      </c>
      <c r="C1586" s="59" t="s">
        <v>1166</v>
      </c>
      <c r="D1586" s="59">
        <v>2044126</v>
      </c>
      <c r="E1586" s="59" t="s">
        <v>1167</v>
      </c>
      <c r="F1586" s="59" t="s">
        <v>1135</v>
      </c>
      <c r="G1586" s="59" t="s">
        <v>1136</v>
      </c>
      <c r="H1586" s="59" t="s">
        <v>1175</v>
      </c>
      <c r="I1586" s="60">
        <v>46174</v>
      </c>
      <c r="J1586" s="59" t="s">
        <v>1052</v>
      </c>
      <c r="K1586" s="59" t="s">
        <v>1150</v>
      </c>
      <c r="L1586" s="59"/>
      <c r="M1586" s="61">
        <v>1032249.8</v>
      </c>
      <c r="N1586" s="61">
        <v>-1032249.8</v>
      </c>
      <c r="O1586" s="61">
        <v>4609174731.9284515</v>
      </c>
    </row>
    <row r="1587" spans="1:15" x14ac:dyDescent="0.25">
      <c r="A1587" s="62">
        <v>46225</v>
      </c>
      <c r="B1587">
        <v>7</v>
      </c>
      <c r="C1587" t="s">
        <v>1166</v>
      </c>
      <c r="D1587">
        <v>2044126</v>
      </c>
      <c r="E1587" t="s">
        <v>1167</v>
      </c>
      <c r="F1587" t="s">
        <v>1135</v>
      </c>
      <c r="G1587" t="s">
        <v>1136</v>
      </c>
      <c r="H1587" t="s">
        <v>1175</v>
      </c>
      <c r="I1587" s="63">
        <v>46174</v>
      </c>
      <c r="J1587" t="s">
        <v>1053</v>
      </c>
      <c r="K1587" t="s">
        <v>1150</v>
      </c>
      <c r="M1587" s="64">
        <v>845119.8</v>
      </c>
      <c r="N1587" s="64">
        <v>-845119.8</v>
      </c>
      <c r="O1587" s="64">
        <v>4608329612.1284523</v>
      </c>
    </row>
    <row r="1588" spans="1:15" x14ac:dyDescent="0.25">
      <c r="A1588" s="58">
        <v>46225</v>
      </c>
      <c r="B1588" s="59">
        <v>7</v>
      </c>
      <c r="C1588" s="59" t="s">
        <v>1166</v>
      </c>
      <c r="D1588" s="59">
        <v>2044126</v>
      </c>
      <c r="E1588" s="59" t="s">
        <v>1167</v>
      </c>
      <c r="F1588" s="59" t="s">
        <v>1135</v>
      </c>
      <c r="G1588" s="59" t="s">
        <v>1136</v>
      </c>
      <c r="H1588" s="59" t="s">
        <v>1175</v>
      </c>
      <c r="I1588" s="60">
        <v>46174</v>
      </c>
      <c r="J1588" s="59" t="s">
        <v>1054</v>
      </c>
      <c r="K1588" s="59" t="s">
        <v>1150</v>
      </c>
      <c r="L1588" s="59"/>
      <c r="M1588" s="61">
        <v>621790.4</v>
      </c>
      <c r="N1588" s="61">
        <v>-621790.4</v>
      </c>
      <c r="O1588" s="61">
        <v>4607707821.7284527</v>
      </c>
    </row>
    <row r="1589" spans="1:15" x14ac:dyDescent="0.25">
      <c r="A1589" s="62">
        <v>46226</v>
      </c>
      <c r="B1589">
        <v>7</v>
      </c>
      <c r="C1589" t="s">
        <v>1171</v>
      </c>
      <c r="D1589">
        <v>2014261</v>
      </c>
      <c r="E1589" t="s">
        <v>1167</v>
      </c>
      <c r="F1589" t="s">
        <v>1174</v>
      </c>
      <c r="G1589" t="s">
        <v>1136</v>
      </c>
      <c r="H1589" t="s">
        <v>1145</v>
      </c>
      <c r="I1589" s="63">
        <v>46174</v>
      </c>
      <c r="J1589" t="s">
        <v>1057</v>
      </c>
      <c r="K1589" t="s">
        <v>1142</v>
      </c>
      <c r="M1589" s="64">
        <v>3293804</v>
      </c>
      <c r="N1589" s="64">
        <v>-3293804</v>
      </c>
      <c r="O1589" s="64">
        <v>4652054988.4984531</v>
      </c>
    </row>
    <row r="1590" spans="1:15" x14ac:dyDescent="0.25">
      <c r="A1590" s="58">
        <v>46226</v>
      </c>
      <c r="B1590" s="59">
        <v>7</v>
      </c>
      <c r="C1590" s="59" t="s">
        <v>1171</v>
      </c>
      <c r="D1590" s="59">
        <v>2054311</v>
      </c>
      <c r="E1590" s="59" t="s">
        <v>1167</v>
      </c>
      <c r="F1590" s="59" t="s">
        <v>1169</v>
      </c>
      <c r="G1590" s="59" t="s">
        <v>1136</v>
      </c>
      <c r="H1590" s="59" t="s">
        <v>1137</v>
      </c>
      <c r="I1590" s="60">
        <v>46204</v>
      </c>
      <c r="J1590" s="59" t="s">
        <v>1058</v>
      </c>
      <c r="K1590" s="59" t="s">
        <v>1142</v>
      </c>
      <c r="L1590" s="59"/>
      <c r="M1590" s="61">
        <v>42581699.240000002</v>
      </c>
      <c r="N1590" s="61">
        <v>-42581699.240000002</v>
      </c>
      <c r="O1590" s="61">
        <v>4609473289.2584534</v>
      </c>
    </row>
    <row r="1591" spans="1:15" x14ac:dyDescent="0.25">
      <c r="A1591" s="62">
        <v>46226</v>
      </c>
      <c r="B1591">
        <v>7</v>
      </c>
      <c r="C1591" t="s">
        <v>1171</v>
      </c>
      <c r="D1591">
        <v>2014202</v>
      </c>
      <c r="E1591" t="s">
        <v>1167</v>
      </c>
      <c r="F1591" t="s">
        <v>1174</v>
      </c>
      <c r="G1591" t="s">
        <v>1136</v>
      </c>
      <c r="H1591" t="s">
        <v>1139</v>
      </c>
      <c r="I1591" s="63">
        <v>46204</v>
      </c>
      <c r="J1591" t="s">
        <v>1059</v>
      </c>
      <c r="K1591" t="s">
        <v>1138</v>
      </c>
      <c r="M1591" s="64">
        <v>31130132.960000001</v>
      </c>
      <c r="N1591" s="64">
        <v>-31130132.960000001</v>
      </c>
      <c r="O1591" s="64">
        <v>4578343156.2984533</v>
      </c>
    </row>
    <row r="1592" spans="1:15" x14ac:dyDescent="0.25">
      <c r="A1592" s="58">
        <v>46226</v>
      </c>
      <c r="B1592" s="59">
        <v>7</v>
      </c>
      <c r="C1592" s="59" t="s">
        <v>1171</v>
      </c>
      <c r="D1592" s="59">
        <v>2044462</v>
      </c>
      <c r="E1592" s="59" t="s">
        <v>1167</v>
      </c>
      <c r="F1592" s="59" t="s">
        <v>1135</v>
      </c>
      <c r="G1592" s="59" t="s">
        <v>1136</v>
      </c>
      <c r="H1592" s="59" t="s">
        <v>1140</v>
      </c>
      <c r="I1592" s="60">
        <v>46204</v>
      </c>
      <c r="J1592" s="59" t="s">
        <v>1060</v>
      </c>
      <c r="K1592" s="59" t="s">
        <v>1138</v>
      </c>
      <c r="L1592" s="59"/>
      <c r="M1592" s="61">
        <v>163904.97</v>
      </c>
      <c r="N1592" s="61">
        <v>-163904.97</v>
      </c>
      <c r="O1592" s="61">
        <v>4578179251.3284531</v>
      </c>
    </row>
    <row r="1593" spans="1:15" x14ac:dyDescent="0.25">
      <c r="A1593" s="62">
        <v>46226</v>
      </c>
      <c r="B1593">
        <v>7</v>
      </c>
      <c r="C1593" t="s">
        <v>1171</v>
      </c>
      <c r="D1593">
        <v>2014202</v>
      </c>
      <c r="E1593" t="s">
        <v>1167</v>
      </c>
      <c r="F1593" t="s">
        <v>1174</v>
      </c>
      <c r="G1593" t="s">
        <v>1136</v>
      </c>
      <c r="H1593" t="s">
        <v>1139</v>
      </c>
      <c r="I1593" s="63">
        <v>46204</v>
      </c>
      <c r="J1593" t="s">
        <v>1061</v>
      </c>
      <c r="K1593" t="s">
        <v>1138</v>
      </c>
      <c r="M1593" s="64">
        <v>512618.89</v>
      </c>
      <c r="N1593" s="64">
        <v>-512618.89</v>
      </c>
      <c r="O1593" s="64">
        <v>4577666632.4384527</v>
      </c>
    </row>
    <row r="1594" spans="1:15" x14ac:dyDescent="0.25">
      <c r="A1594" s="58">
        <v>46226</v>
      </c>
      <c r="B1594" s="59">
        <v>7</v>
      </c>
      <c r="C1594" s="59" t="s">
        <v>1171</v>
      </c>
      <c r="D1594" s="59">
        <v>2044463</v>
      </c>
      <c r="E1594" s="59" t="s">
        <v>1167</v>
      </c>
      <c r="F1594" s="59" t="s">
        <v>1135</v>
      </c>
      <c r="G1594" s="59" t="s">
        <v>1136</v>
      </c>
      <c r="H1594" s="59" t="s">
        <v>1140</v>
      </c>
      <c r="I1594" s="60">
        <v>46204</v>
      </c>
      <c r="J1594" s="59" t="s">
        <v>1062</v>
      </c>
      <c r="K1594" s="59" t="s">
        <v>1146</v>
      </c>
      <c r="L1594" s="59"/>
      <c r="M1594" s="61">
        <v>1019842.25</v>
      </c>
      <c r="N1594" s="61">
        <v>-1019842.25</v>
      </c>
      <c r="O1594" s="61">
        <v>4576646790.1884527</v>
      </c>
    </row>
    <row r="1595" spans="1:15" x14ac:dyDescent="0.25">
      <c r="A1595" s="62">
        <v>46226</v>
      </c>
      <c r="B1595">
        <v>7</v>
      </c>
      <c r="C1595" t="s">
        <v>1171</v>
      </c>
      <c r="D1595">
        <v>2044126</v>
      </c>
      <c r="E1595" t="s">
        <v>1167</v>
      </c>
      <c r="F1595" t="s">
        <v>1135</v>
      </c>
      <c r="G1595" t="s">
        <v>1136</v>
      </c>
      <c r="H1595" t="s">
        <v>1175</v>
      </c>
      <c r="I1595" s="63">
        <v>46174</v>
      </c>
      <c r="J1595" t="s">
        <v>1063</v>
      </c>
      <c r="K1595" t="s">
        <v>1150</v>
      </c>
      <c r="M1595" s="64">
        <v>3185848.4</v>
      </c>
      <c r="N1595" s="64">
        <v>-3185848.4</v>
      </c>
      <c r="O1595" s="64">
        <v>4573460941.7884531</v>
      </c>
    </row>
    <row r="1596" spans="1:15" x14ac:dyDescent="0.25">
      <c r="A1596" s="58">
        <v>46226</v>
      </c>
      <c r="B1596" s="59">
        <v>7</v>
      </c>
      <c r="C1596" s="59" t="s">
        <v>1171</v>
      </c>
      <c r="D1596" s="59">
        <v>2044126</v>
      </c>
      <c r="E1596" s="59" t="s">
        <v>1167</v>
      </c>
      <c r="F1596" s="59" t="s">
        <v>1135</v>
      </c>
      <c r="G1596" s="59" t="s">
        <v>1136</v>
      </c>
      <c r="H1596" s="59" t="s">
        <v>1175</v>
      </c>
      <c r="I1596" s="60">
        <v>46174</v>
      </c>
      <c r="J1596" s="59" t="s">
        <v>1064</v>
      </c>
      <c r="K1596" s="59" t="s">
        <v>1150</v>
      </c>
      <c r="L1596" s="59"/>
      <c r="M1596" s="61">
        <v>3044900.6</v>
      </c>
      <c r="N1596" s="61">
        <v>-3044900.6</v>
      </c>
      <c r="O1596" s="61">
        <v>4570416041.1884527</v>
      </c>
    </row>
    <row r="1597" spans="1:15" x14ac:dyDescent="0.25">
      <c r="A1597" s="62">
        <v>46226</v>
      </c>
      <c r="B1597">
        <v>7</v>
      </c>
      <c r="C1597" t="s">
        <v>1171</v>
      </c>
      <c r="D1597">
        <v>2044126</v>
      </c>
      <c r="E1597" t="s">
        <v>1167</v>
      </c>
      <c r="F1597" t="s">
        <v>1135</v>
      </c>
      <c r="G1597" t="s">
        <v>1136</v>
      </c>
      <c r="H1597" t="s">
        <v>1175</v>
      </c>
      <c r="I1597" s="63">
        <v>46174</v>
      </c>
      <c r="J1597" t="s">
        <v>1065</v>
      </c>
      <c r="K1597" t="s">
        <v>1150</v>
      </c>
      <c r="M1597" s="64">
        <v>2874158</v>
      </c>
      <c r="N1597" s="64">
        <v>-2874158</v>
      </c>
      <c r="O1597" s="64">
        <v>4567541883.1884527</v>
      </c>
    </row>
    <row r="1598" spans="1:15" x14ac:dyDescent="0.25">
      <c r="A1598" s="58">
        <v>46226</v>
      </c>
      <c r="B1598" s="59">
        <v>7</v>
      </c>
      <c r="C1598" s="59" t="s">
        <v>1171</v>
      </c>
      <c r="D1598" s="59">
        <v>2044126</v>
      </c>
      <c r="E1598" s="59" t="s">
        <v>1167</v>
      </c>
      <c r="F1598" s="59" t="s">
        <v>1135</v>
      </c>
      <c r="G1598" s="59" t="s">
        <v>1136</v>
      </c>
      <c r="H1598" s="59" t="s">
        <v>1175</v>
      </c>
      <c r="I1598" s="60">
        <v>46174</v>
      </c>
      <c r="J1598" s="59" t="s">
        <v>1066</v>
      </c>
      <c r="K1598" s="59" t="s">
        <v>1150</v>
      </c>
      <c r="L1598" s="59"/>
      <c r="M1598" s="61">
        <v>2348010.6</v>
      </c>
      <c r="N1598" s="61">
        <v>-2348010.6</v>
      </c>
      <c r="O1598" s="61">
        <v>4565193872.5884523</v>
      </c>
    </row>
    <row r="1599" spans="1:15" x14ac:dyDescent="0.25">
      <c r="A1599" s="62">
        <v>46226</v>
      </c>
      <c r="B1599">
        <v>7</v>
      </c>
      <c r="C1599" t="s">
        <v>1171</v>
      </c>
      <c r="D1599">
        <v>2044126</v>
      </c>
      <c r="E1599" t="s">
        <v>1167</v>
      </c>
      <c r="F1599" t="s">
        <v>1135</v>
      </c>
      <c r="G1599" t="s">
        <v>1136</v>
      </c>
      <c r="H1599" t="s">
        <v>1175</v>
      </c>
      <c r="I1599" s="63">
        <v>46174</v>
      </c>
      <c r="J1599" t="s">
        <v>1067</v>
      </c>
      <c r="K1599" t="s">
        <v>1150</v>
      </c>
      <c r="M1599" s="64">
        <v>464753.2</v>
      </c>
      <c r="N1599" s="64">
        <v>-464753.2</v>
      </c>
      <c r="O1599" s="64">
        <v>4564729119.3884525</v>
      </c>
    </row>
    <row r="1600" spans="1:15" x14ac:dyDescent="0.25">
      <c r="A1600" s="58">
        <v>46226</v>
      </c>
      <c r="B1600" s="59">
        <v>7</v>
      </c>
      <c r="C1600" s="59" t="s">
        <v>1171</v>
      </c>
      <c r="D1600" s="59">
        <v>1044314</v>
      </c>
      <c r="E1600" s="59" t="s">
        <v>1134</v>
      </c>
      <c r="F1600" s="59" t="s">
        <v>1135</v>
      </c>
      <c r="G1600" s="59" t="s">
        <v>1136</v>
      </c>
      <c r="H1600" s="59" t="s">
        <v>1137</v>
      </c>
      <c r="I1600" s="60">
        <v>46204</v>
      </c>
      <c r="J1600" s="59" t="s">
        <v>1068</v>
      </c>
      <c r="K1600" s="59" t="s">
        <v>1148</v>
      </c>
      <c r="L1600" s="61">
        <v>40864680</v>
      </c>
      <c r="M1600" s="59"/>
      <c r="N1600" s="61">
        <v>40864680</v>
      </c>
      <c r="O1600" s="61">
        <v>4605593799.3884525</v>
      </c>
    </row>
    <row r="1601" spans="1:15" x14ac:dyDescent="0.25">
      <c r="A1601" s="62">
        <v>46226</v>
      </c>
      <c r="B1601">
        <v>7</v>
      </c>
      <c r="C1601" t="s">
        <v>1171</v>
      </c>
      <c r="D1601">
        <v>1044316</v>
      </c>
      <c r="E1601" t="s">
        <v>1134</v>
      </c>
      <c r="F1601" t="s">
        <v>1135</v>
      </c>
      <c r="G1601" t="s">
        <v>1136</v>
      </c>
      <c r="H1601" t="s">
        <v>1137</v>
      </c>
      <c r="I1601" s="63">
        <v>46204</v>
      </c>
      <c r="J1601" t="s">
        <v>1069</v>
      </c>
      <c r="K1601" t="s">
        <v>1150</v>
      </c>
      <c r="L1601" s="64">
        <v>699418.68</v>
      </c>
      <c r="N1601" s="64">
        <v>699418.68</v>
      </c>
      <c r="O1601" s="64">
        <v>4606293218.0684528</v>
      </c>
    </row>
    <row r="1602" spans="1:15" x14ac:dyDescent="0.25">
      <c r="A1602" s="58">
        <v>46227</v>
      </c>
      <c r="B1602" s="59">
        <v>7</v>
      </c>
      <c r="C1602" s="59" t="s">
        <v>1133</v>
      </c>
      <c r="D1602" s="59">
        <v>2014201</v>
      </c>
      <c r="E1602" s="59" t="s">
        <v>1167</v>
      </c>
      <c r="F1602" s="59" t="s">
        <v>1174</v>
      </c>
      <c r="G1602" s="59" t="s">
        <v>1136</v>
      </c>
      <c r="H1602" s="59" t="s">
        <v>1139</v>
      </c>
      <c r="I1602" s="60">
        <v>46204</v>
      </c>
      <c r="J1602" s="59" t="s">
        <v>1070</v>
      </c>
      <c r="K1602" s="59" t="s">
        <v>1142</v>
      </c>
      <c r="L1602" s="59"/>
      <c r="M1602" s="61">
        <v>15601428.199999999</v>
      </c>
      <c r="N1602" s="61">
        <v>-15601428.199999999</v>
      </c>
      <c r="O1602" s="61">
        <v>4590691789.868453</v>
      </c>
    </row>
    <row r="1603" spans="1:15" x14ac:dyDescent="0.25">
      <c r="A1603" s="62">
        <v>46227</v>
      </c>
      <c r="B1603">
        <v>7</v>
      </c>
      <c r="C1603" t="s">
        <v>1133</v>
      </c>
      <c r="D1603">
        <v>2054381</v>
      </c>
      <c r="E1603" t="s">
        <v>1167</v>
      </c>
      <c r="F1603" t="s">
        <v>1169</v>
      </c>
      <c r="G1603" t="s">
        <v>1136</v>
      </c>
      <c r="H1603" t="s">
        <v>1163</v>
      </c>
      <c r="I1603" s="63">
        <v>46204</v>
      </c>
      <c r="J1603" t="s">
        <v>1071</v>
      </c>
      <c r="K1603" t="s">
        <v>1142</v>
      </c>
      <c r="M1603" s="64">
        <v>22660194.530000001</v>
      </c>
      <c r="N1603" s="64">
        <v>-22660194.530000001</v>
      </c>
      <c r="O1603" s="64">
        <v>4568031595.3384533</v>
      </c>
    </row>
    <row r="1604" spans="1:15" x14ac:dyDescent="0.25">
      <c r="A1604" s="58">
        <v>46227</v>
      </c>
      <c r="B1604" s="59">
        <v>7</v>
      </c>
      <c r="C1604" s="59" t="s">
        <v>1133</v>
      </c>
      <c r="D1604" s="59">
        <v>2054312</v>
      </c>
      <c r="E1604" s="59" t="s">
        <v>1167</v>
      </c>
      <c r="F1604" s="59" t="s">
        <v>1169</v>
      </c>
      <c r="G1604" s="59" t="s">
        <v>1136</v>
      </c>
      <c r="H1604" s="59" t="s">
        <v>1137</v>
      </c>
      <c r="I1604" s="60">
        <v>46204</v>
      </c>
      <c r="J1604" s="59" t="s">
        <v>1072</v>
      </c>
      <c r="K1604" s="59" t="s">
        <v>1138</v>
      </c>
      <c r="L1604" s="59"/>
      <c r="M1604" s="61">
        <v>780938.23</v>
      </c>
      <c r="N1604" s="61">
        <v>-780938.23</v>
      </c>
      <c r="O1604" s="61">
        <v>4567250657.1084538</v>
      </c>
    </row>
    <row r="1605" spans="1:15" x14ac:dyDescent="0.25">
      <c r="A1605" s="62">
        <v>46232</v>
      </c>
      <c r="B1605">
        <v>7</v>
      </c>
      <c r="C1605" t="s">
        <v>1166</v>
      </c>
      <c r="D1605">
        <v>1044163</v>
      </c>
      <c r="E1605" t="s">
        <v>1134</v>
      </c>
      <c r="F1605" t="s">
        <v>1135</v>
      </c>
      <c r="G1605" t="s">
        <v>1136</v>
      </c>
      <c r="H1605" t="s">
        <v>1162</v>
      </c>
      <c r="I1605" s="63">
        <v>46174</v>
      </c>
      <c r="J1605" t="s">
        <v>1076</v>
      </c>
      <c r="K1605" t="s">
        <v>1146</v>
      </c>
      <c r="L1605" s="64">
        <v>20430900.489999998</v>
      </c>
      <c r="N1605" s="64">
        <v>20430900.489999998</v>
      </c>
      <c r="O1605" s="64">
        <v>4982929320.9634552</v>
      </c>
    </row>
    <row r="1606" spans="1:15" x14ac:dyDescent="0.25">
      <c r="A1606" s="58">
        <v>46232</v>
      </c>
      <c r="B1606" s="59">
        <v>7</v>
      </c>
      <c r="C1606" s="59" t="s">
        <v>1166</v>
      </c>
      <c r="D1606" s="59">
        <v>1044173</v>
      </c>
      <c r="E1606" s="59" t="s">
        <v>1134</v>
      </c>
      <c r="F1606" s="59" t="s">
        <v>1135</v>
      </c>
      <c r="G1606" s="59" t="s">
        <v>1136</v>
      </c>
      <c r="H1606" s="59" t="s">
        <v>1147</v>
      </c>
      <c r="I1606" s="60">
        <v>46174</v>
      </c>
      <c r="J1606" s="59" t="s">
        <v>1076</v>
      </c>
      <c r="K1606" s="59" t="s">
        <v>1146</v>
      </c>
      <c r="L1606" s="61">
        <v>9670607.5800000001</v>
      </c>
      <c r="M1606" s="59"/>
      <c r="N1606" s="61">
        <v>9670607.5800000001</v>
      </c>
      <c r="O1606" s="61">
        <v>4992599928.5434551</v>
      </c>
    </row>
    <row r="1607" spans="1:15" x14ac:dyDescent="0.25">
      <c r="A1607" s="62">
        <v>46232</v>
      </c>
      <c r="B1607">
        <v>7</v>
      </c>
      <c r="C1607" t="s">
        <v>1166</v>
      </c>
      <c r="D1607">
        <v>1044243</v>
      </c>
      <c r="E1607" t="s">
        <v>1134</v>
      </c>
      <c r="F1607" t="s">
        <v>1135</v>
      </c>
      <c r="G1607" t="s">
        <v>1136</v>
      </c>
      <c r="H1607" t="s">
        <v>1153</v>
      </c>
      <c r="I1607" s="63">
        <v>46174</v>
      </c>
      <c r="J1607" t="s">
        <v>1076</v>
      </c>
      <c r="K1607" t="s">
        <v>1146</v>
      </c>
      <c r="L1607" s="64">
        <v>19020953.870000001</v>
      </c>
      <c r="N1607" s="64">
        <v>19020953.870000001</v>
      </c>
      <c r="O1607" s="64">
        <v>5011620882.413455</v>
      </c>
    </row>
    <row r="1608" spans="1:15" x14ac:dyDescent="0.25">
      <c r="A1608" s="58">
        <v>46232</v>
      </c>
      <c r="B1608" s="59">
        <v>7</v>
      </c>
      <c r="C1608" s="59" t="s">
        <v>1166</v>
      </c>
      <c r="D1608" s="59">
        <v>1044263</v>
      </c>
      <c r="E1608" s="59" t="s">
        <v>1134</v>
      </c>
      <c r="F1608" s="59" t="s">
        <v>1135</v>
      </c>
      <c r="G1608" s="59" t="s">
        <v>1136</v>
      </c>
      <c r="H1608" s="59" t="s">
        <v>1145</v>
      </c>
      <c r="I1608" s="60">
        <v>46174</v>
      </c>
      <c r="J1608" s="59" t="s">
        <v>1076</v>
      </c>
      <c r="K1608" s="59" t="s">
        <v>1146</v>
      </c>
      <c r="L1608" s="61">
        <v>3829940</v>
      </c>
      <c r="M1608" s="59"/>
      <c r="N1608" s="61">
        <v>3829940</v>
      </c>
      <c r="O1608" s="61">
        <v>5015450822.413455</v>
      </c>
    </row>
    <row r="1609" spans="1:15" x14ac:dyDescent="0.25">
      <c r="A1609" s="62">
        <v>46232</v>
      </c>
      <c r="B1609">
        <v>7</v>
      </c>
      <c r="C1609" t="s">
        <v>1166</v>
      </c>
      <c r="D1609">
        <v>1044463</v>
      </c>
      <c r="E1609" t="s">
        <v>1134</v>
      </c>
      <c r="F1609" t="s">
        <v>1135</v>
      </c>
      <c r="G1609" t="s">
        <v>1136</v>
      </c>
      <c r="H1609" t="s">
        <v>1140</v>
      </c>
      <c r="I1609" s="63">
        <v>46174</v>
      </c>
      <c r="J1609" t="s">
        <v>1076</v>
      </c>
      <c r="K1609" t="s">
        <v>1146</v>
      </c>
      <c r="L1609" s="64">
        <v>4690501.085</v>
      </c>
      <c r="N1609" s="64">
        <v>4690501.085</v>
      </c>
      <c r="O1609" s="64">
        <v>5020141323.498455</v>
      </c>
    </row>
    <row r="1610" spans="1:15" x14ac:dyDescent="0.25">
      <c r="A1610" s="58">
        <v>46232</v>
      </c>
      <c r="B1610" s="59">
        <v>7</v>
      </c>
      <c r="C1610" s="59" t="s">
        <v>1166</v>
      </c>
      <c r="D1610" s="59">
        <v>1044353</v>
      </c>
      <c r="E1610" s="59" t="s">
        <v>1134</v>
      </c>
      <c r="F1610" s="59" t="s">
        <v>1135</v>
      </c>
      <c r="G1610" s="59" t="s">
        <v>1136</v>
      </c>
      <c r="H1610" s="59" t="s">
        <v>1157</v>
      </c>
      <c r="I1610" s="60">
        <v>46174</v>
      </c>
      <c r="J1610" s="59" t="s">
        <v>1076</v>
      </c>
      <c r="K1610" s="59" t="s">
        <v>1146</v>
      </c>
      <c r="L1610" s="61">
        <v>10258300.0944</v>
      </c>
      <c r="M1610" s="59"/>
      <c r="N1610" s="61">
        <v>10258300.0944</v>
      </c>
      <c r="O1610" s="61">
        <v>5030399623.5928555</v>
      </c>
    </row>
    <row r="1611" spans="1:15" x14ac:dyDescent="0.25">
      <c r="A1611" s="62">
        <v>46232</v>
      </c>
      <c r="B1611">
        <v>7</v>
      </c>
      <c r="C1611" t="s">
        <v>1166</v>
      </c>
      <c r="D1611">
        <v>1044363</v>
      </c>
      <c r="E1611" t="s">
        <v>1134</v>
      </c>
      <c r="F1611" t="s">
        <v>1135</v>
      </c>
      <c r="G1611" t="s">
        <v>1136</v>
      </c>
      <c r="H1611" t="s">
        <v>1158</v>
      </c>
      <c r="I1611" s="63">
        <v>46174</v>
      </c>
      <c r="J1611" t="s">
        <v>1076</v>
      </c>
      <c r="K1611" t="s">
        <v>1146</v>
      </c>
      <c r="L1611" s="64">
        <v>16554071.676000001</v>
      </c>
      <c r="N1611" s="64">
        <v>16554071.676000001</v>
      </c>
      <c r="O1611" s="64">
        <v>5046953695.2688551</v>
      </c>
    </row>
    <row r="1612" spans="1:15" x14ac:dyDescent="0.25">
      <c r="A1612" s="58">
        <v>46232</v>
      </c>
      <c r="B1612" s="59">
        <v>7</v>
      </c>
      <c r="C1612" s="59" t="s">
        <v>1166</v>
      </c>
      <c r="D1612" s="59">
        <v>1044403</v>
      </c>
      <c r="E1612" s="59" t="s">
        <v>1134</v>
      </c>
      <c r="F1612" s="59" t="s">
        <v>1135</v>
      </c>
      <c r="G1612" s="59" t="s">
        <v>1136</v>
      </c>
      <c r="H1612" s="59" t="s">
        <v>1159</v>
      </c>
      <c r="I1612" s="60">
        <v>46174</v>
      </c>
      <c r="J1612" s="59" t="s">
        <v>1076</v>
      </c>
      <c r="K1612" s="59" t="s">
        <v>1146</v>
      </c>
      <c r="L1612" s="61">
        <v>17041059.16</v>
      </c>
      <c r="M1612" s="59"/>
      <c r="N1612" s="61">
        <v>17041059.16</v>
      </c>
      <c r="O1612" s="61">
        <v>5063994754.4288549</v>
      </c>
    </row>
    <row r="1613" spans="1:15" x14ac:dyDescent="0.25">
      <c r="A1613" s="62">
        <v>46232</v>
      </c>
      <c r="B1613">
        <v>7</v>
      </c>
      <c r="C1613" t="s">
        <v>1166</v>
      </c>
      <c r="D1613">
        <v>1044413</v>
      </c>
      <c r="E1613" t="s">
        <v>1134</v>
      </c>
      <c r="F1613" t="s">
        <v>1135</v>
      </c>
      <c r="G1613" t="s">
        <v>1136</v>
      </c>
      <c r="H1613" t="s">
        <v>1160</v>
      </c>
      <c r="I1613" s="63">
        <v>46174</v>
      </c>
      <c r="J1613" t="s">
        <v>1076</v>
      </c>
      <c r="K1613" t="s">
        <v>1146</v>
      </c>
      <c r="L1613" s="64">
        <v>6197929</v>
      </c>
      <c r="N1613" s="64">
        <v>6197929</v>
      </c>
      <c r="O1613" s="64">
        <v>5070192683.4288549</v>
      </c>
    </row>
    <row r="1614" spans="1:15" x14ac:dyDescent="0.25">
      <c r="A1614" s="58">
        <v>46232</v>
      </c>
      <c r="B1614" s="59">
        <v>7</v>
      </c>
      <c r="C1614" s="59" t="s">
        <v>1166</v>
      </c>
      <c r="D1614" s="59">
        <v>1044263</v>
      </c>
      <c r="E1614" s="59" t="s">
        <v>1134</v>
      </c>
      <c r="F1614" s="59" t="s">
        <v>1135</v>
      </c>
      <c r="G1614" s="59" t="s">
        <v>1136</v>
      </c>
      <c r="H1614" s="59" t="s">
        <v>1145</v>
      </c>
      <c r="I1614" s="60">
        <v>46174</v>
      </c>
      <c r="J1614" s="59" t="s">
        <v>1076</v>
      </c>
      <c r="K1614" s="59" t="s">
        <v>1146</v>
      </c>
      <c r="L1614" s="61">
        <v>1915651.73</v>
      </c>
      <c r="M1614" s="59"/>
      <c r="N1614" s="61">
        <v>1915651.73</v>
      </c>
      <c r="O1614" s="61">
        <v>5395779646.5888548</v>
      </c>
    </row>
    <row r="1615" spans="1:15" x14ac:dyDescent="0.25">
      <c r="A1615" s="62">
        <v>46232</v>
      </c>
      <c r="B1615">
        <v>7</v>
      </c>
      <c r="C1615" t="s">
        <v>1166</v>
      </c>
      <c r="D1615">
        <v>1044463</v>
      </c>
      <c r="E1615" t="s">
        <v>1134</v>
      </c>
      <c r="F1615" t="s">
        <v>1135</v>
      </c>
      <c r="G1615" t="s">
        <v>1136</v>
      </c>
      <c r="H1615" t="s">
        <v>1140</v>
      </c>
      <c r="I1615" s="63">
        <v>46174</v>
      </c>
      <c r="J1615" t="s">
        <v>1076</v>
      </c>
      <c r="K1615" t="s">
        <v>1146</v>
      </c>
      <c r="L1615" s="64">
        <v>764888.04</v>
      </c>
      <c r="N1615" s="64">
        <v>764888.04</v>
      </c>
      <c r="O1615" s="64">
        <v>5396544534.6288548</v>
      </c>
    </row>
    <row r="1616" spans="1:15" x14ac:dyDescent="0.25">
      <c r="A1616" s="58">
        <v>46233</v>
      </c>
      <c r="B1616" s="59">
        <v>7</v>
      </c>
      <c r="C1616" s="59" t="s">
        <v>1171</v>
      </c>
      <c r="D1616" s="59">
        <v>1044161</v>
      </c>
      <c r="E1616" s="59" t="s">
        <v>1134</v>
      </c>
      <c r="F1616" s="59" t="s">
        <v>1135</v>
      </c>
      <c r="G1616" s="59" t="s">
        <v>1136</v>
      </c>
      <c r="H1616" s="59" t="s">
        <v>1162</v>
      </c>
      <c r="I1616" s="60">
        <v>46174</v>
      </c>
      <c r="J1616" s="59" t="s">
        <v>1079</v>
      </c>
      <c r="K1616" s="59" t="s">
        <v>1142</v>
      </c>
      <c r="L1616" s="61">
        <v>11261376.5</v>
      </c>
      <c r="M1616" s="59"/>
      <c r="N1616" s="61">
        <v>11261376.5</v>
      </c>
      <c r="O1616" s="61">
        <v>5489193319.9688559</v>
      </c>
    </row>
    <row r="1617" spans="1:15" x14ac:dyDescent="0.25">
      <c r="A1617" s="62">
        <v>46233</v>
      </c>
      <c r="B1617">
        <v>7</v>
      </c>
      <c r="C1617" t="s">
        <v>1171</v>
      </c>
      <c r="D1617">
        <v>1044171</v>
      </c>
      <c r="E1617" t="s">
        <v>1134</v>
      </c>
      <c r="F1617" t="s">
        <v>1135</v>
      </c>
      <c r="G1617" t="s">
        <v>1136</v>
      </c>
      <c r="H1617" t="s">
        <v>1147</v>
      </c>
      <c r="I1617" s="63">
        <v>46174</v>
      </c>
      <c r="J1617" t="s">
        <v>1079</v>
      </c>
      <c r="K1617" t="s">
        <v>1142</v>
      </c>
      <c r="L1617" s="64">
        <v>7255459.5</v>
      </c>
      <c r="N1617" s="64">
        <v>7255459.5</v>
      </c>
      <c r="O1617" s="64">
        <v>5496448779.4688559</v>
      </c>
    </row>
    <row r="1618" spans="1:15" x14ac:dyDescent="0.25">
      <c r="A1618" s="58">
        <v>46233</v>
      </c>
      <c r="B1618" s="59">
        <v>7</v>
      </c>
      <c r="C1618" s="59" t="s">
        <v>1171</v>
      </c>
      <c r="D1618" s="59">
        <v>1044211</v>
      </c>
      <c r="E1618" s="59" t="s">
        <v>1134</v>
      </c>
      <c r="F1618" s="59" t="s">
        <v>1135</v>
      </c>
      <c r="G1618" s="59" t="s">
        <v>1136</v>
      </c>
      <c r="H1618" s="59" t="s">
        <v>1151</v>
      </c>
      <c r="I1618" s="60">
        <v>46174</v>
      </c>
      <c r="J1618" s="59" t="s">
        <v>1079</v>
      </c>
      <c r="K1618" s="59" t="s">
        <v>1142</v>
      </c>
      <c r="L1618" s="61">
        <v>5251629</v>
      </c>
      <c r="M1618" s="59"/>
      <c r="N1618" s="61">
        <v>5251629</v>
      </c>
      <c r="O1618" s="61">
        <v>5501700408.4688559</v>
      </c>
    </row>
    <row r="1619" spans="1:15" x14ac:dyDescent="0.25">
      <c r="A1619" s="62">
        <v>46233</v>
      </c>
      <c r="B1619">
        <v>7</v>
      </c>
      <c r="C1619" t="s">
        <v>1171</v>
      </c>
      <c r="D1619">
        <v>1044241</v>
      </c>
      <c r="E1619" t="s">
        <v>1134</v>
      </c>
      <c r="F1619" t="s">
        <v>1135</v>
      </c>
      <c r="G1619" t="s">
        <v>1136</v>
      </c>
      <c r="H1619" t="s">
        <v>1153</v>
      </c>
      <c r="I1619" s="63">
        <v>46174</v>
      </c>
      <c r="J1619" t="s">
        <v>1079</v>
      </c>
      <c r="K1619" t="s">
        <v>1142</v>
      </c>
      <c r="L1619" s="64">
        <v>1756332.5</v>
      </c>
      <c r="N1619" s="64">
        <v>1756332.5</v>
      </c>
      <c r="O1619" s="64">
        <v>5503456740.9688559</v>
      </c>
    </row>
    <row r="1620" spans="1:15" x14ac:dyDescent="0.25">
      <c r="A1620" s="58">
        <v>46233</v>
      </c>
      <c r="B1620" s="59">
        <v>7</v>
      </c>
      <c r="C1620" s="59" t="s">
        <v>1171</v>
      </c>
      <c r="D1620" s="59">
        <v>1044261</v>
      </c>
      <c r="E1620" s="59" t="s">
        <v>1134</v>
      </c>
      <c r="F1620" s="59" t="s">
        <v>1135</v>
      </c>
      <c r="G1620" s="59" t="s">
        <v>1136</v>
      </c>
      <c r="H1620" s="59" t="s">
        <v>1145</v>
      </c>
      <c r="I1620" s="60">
        <v>46174</v>
      </c>
      <c r="J1620" s="59" t="s">
        <v>1079</v>
      </c>
      <c r="K1620" s="59" t="s">
        <v>1142</v>
      </c>
      <c r="L1620" s="61">
        <v>1680459.75</v>
      </c>
      <c r="M1620" s="59"/>
      <c r="N1620" s="61">
        <v>1680459.75</v>
      </c>
      <c r="O1620" s="61">
        <v>5505137200.7188559</v>
      </c>
    </row>
    <row r="1621" spans="1:15" x14ac:dyDescent="0.25">
      <c r="A1621" s="62">
        <v>46233</v>
      </c>
      <c r="B1621">
        <v>7</v>
      </c>
      <c r="C1621" t="s">
        <v>1171</v>
      </c>
      <c r="D1621">
        <v>1044271</v>
      </c>
      <c r="E1621" t="s">
        <v>1134</v>
      </c>
      <c r="F1621" t="s">
        <v>1135</v>
      </c>
      <c r="G1621" t="s">
        <v>1136</v>
      </c>
      <c r="H1621" t="s">
        <v>1154</v>
      </c>
      <c r="I1621" s="63">
        <v>46174</v>
      </c>
      <c r="J1621" t="s">
        <v>1079</v>
      </c>
      <c r="K1621" t="s">
        <v>1142</v>
      </c>
      <c r="L1621" s="64">
        <v>21607830</v>
      </c>
      <c r="N1621" s="64">
        <v>21607830</v>
      </c>
      <c r="O1621" s="64">
        <v>5526745030.7188559</v>
      </c>
    </row>
    <row r="1622" spans="1:15" x14ac:dyDescent="0.25">
      <c r="A1622" s="58">
        <v>46233</v>
      </c>
      <c r="B1622" s="59">
        <v>7</v>
      </c>
      <c r="C1622" s="59" t="s">
        <v>1171</v>
      </c>
      <c r="D1622" s="59">
        <v>1044281</v>
      </c>
      <c r="E1622" s="59" t="s">
        <v>1134</v>
      </c>
      <c r="F1622" s="59" t="s">
        <v>1135</v>
      </c>
      <c r="G1622" s="59" t="s">
        <v>1136</v>
      </c>
      <c r="H1622" s="59" t="s">
        <v>1155</v>
      </c>
      <c r="I1622" s="60">
        <v>46174</v>
      </c>
      <c r="J1622" s="59" t="s">
        <v>1079</v>
      </c>
      <c r="K1622" s="59" t="s">
        <v>1142</v>
      </c>
      <c r="L1622" s="61">
        <v>10357473.5</v>
      </c>
      <c r="M1622" s="59"/>
      <c r="N1622" s="61">
        <v>10357473.5</v>
      </c>
      <c r="O1622" s="61">
        <v>5537102504.2188559</v>
      </c>
    </row>
    <row r="1623" spans="1:15" x14ac:dyDescent="0.25">
      <c r="A1623" s="62">
        <v>46233</v>
      </c>
      <c r="B1623">
        <v>7</v>
      </c>
      <c r="C1623" t="s">
        <v>1171</v>
      </c>
      <c r="D1623">
        <v>1044461</v>
      </c>
      <c r="E1623" t="s">
        <v>1134</v>
      </c>
      <c r="F1623" t="s">
        <v>1135</v>
      </c>
      <c r="G1623" t="s">
        <v>1136</v>
      </c>
      <c r="H1623" t="s">
        <v>1140</v>
      </c>
      <c r="I1623" s="63">
        <v>46174</v>
      </c>
      <c r="J1623" t="s">
        <v>1079</v>
      </c>
      <c r="K1623" t="s">
        <v>1142</v>
      </c>
      <c r="L1623" s="64">
        <v>1621849.722151279</v>
      </c>
      <c r="N1623" s="64">
        <v>1621849.722151279</v>
      </c>
      <c r="O1623" s="64">
        <v>5538724353.9410076</v>
      </c>
    </row>
    <row r="1624" spans="1:15" x14ac:dyDescent="0.25">
      <c r="A1624" s="58">
        <v>46233</v>
      </c>
      <c r="B1624" s="59">
        <v>7</v>
      </c>
      <c r="C1624" s="59" t="s">
        <v>1171</v>
      </c>
      <c r="D1624" s="59">
        <v>1044321</v>
      </c>
      <c r="E1624" s="59" t="s">
        <v>1134</v>
      </c>
      <c r="F1624" s="59" t="s">
        <v>1135</v>
      </c>
      <c r="G1624" s="59" t="s">
        <v>1136</v>
      </c>
      <c r="H1624" s="59" t="s">
        <v>1143</v>
      </c>
      <c r="I1624" s="60">
        <v>46174</v>
      </c>
      <c r="J1624" s="59" t="s">
        <v>1079</v>
      </c>
      <c r="K1624" s="59" t="s">
        <v>1142</v>
      </c>
      <c r="L1624" s="61">
        <v>13884631</v>
      </c>
      <c r="M1624" s="59"/>
      <c r="N1624" s="61">
        <v>13884631</v>
      </c>
      <c r="O1624" s="61">
        <v>5552608984.9410076</v>
      </c>
    </row>
    <row r="1625" spans="1:15" x14ac:dyDescent="0.25">
      <c r="A1625" s="62">
        <v>46233</v>
      </c>
      <c r="B1625">
        <v>7</v>
      </c>
      <c r="C1625" t="s">
        <v>1171</v>
      </c>
      <c r="D1625">
        <v>1044351</v>
      </c>
      <c r="E1625" t="s">
        <v>1134</v>
      </c>
      <c r="F1625" t="s">
        <v>1135</v>
      </c>
      <c r="G1625" t="s">
        <v>1136</v>
      </c>
      <c r="H1625" t="s">
        <v>1157</v>
      </c>
      <c r="I1625" s="63">
        <v>46174</v>
      </c>
      <c r="J1625" t="s">
        <v>1079</v>
      </c>
      <c r="K1625" t="s">
        <v>1142</v>
      </c>
      <c r="L1625" s="64">
        <v>2521808.4</v>
      </c>
      <c r="N1625" s="64">
        <v>2521808.4</v>
      </c>
      <c r="O1625" s="64">
        <v>5555130793.3410072</v>
      </c>
    </row>
    <row r="1626" spans="1:15" x14ac:dyDescent="0.25">
      <c r="A1626" s="58">
        <v>46233</v>
      </c>
      <c r="B1626" s="59">
        <v>7</v>
      </c>
      <c r="C1626" s="59" t="s">
        <v>1171</v>
      </c>
      <c r="D1626" s="59">
        <v>1044361</v>
      </c>
      <c r="E1626" s="59" t="s">
        <v>1134</v>
      </c>
      <c r="F1626" s="59" t="s">
        <v>1135</v>
      </c>
      <c r="G1626" s="59" t="s">
        <v>1136</v>
      </c>
      <c r="H1626" s="59" t="s">
        <v>1158</v>
      </c>
      <c r="I1626" s="60">
        <v>46174</v>
      </c>
      <c r="J1626" s="59" t="s">
        <v>1079</v>
      </c>
      <c r="K1626" s="59" t="s">
        <v>1142</v>
      </c>
      <c r="L1626" s="61">
        <v>2818584.6</v>
      </c>
      <c r="M1626" s="59"/>
      <c r="N1626" s="61">
        <v>2818584.6</v>
      </c>
      <c r="O1626" s="61">
        <v>5557949377.9410076</v>
      </c>
    </row>
    <row r="1627" spans="1:15" x14ac:dyDescent="0.25">
      <c r="A1627" s="62">
        <v>46233</v>
      </c>
      <c r="B1627">
        <v>7</v>
      </c>
      <c r="C1627" t="s">
        <v>1171</v>
      </c>
      <c r="D1627">
        <v>1044371</v>
      </c>
      <c r="E1627" t="s">
        <v>1134</v>
      </c>
      <c r="F1627" t="s">
        <v>1135</v>
      </c>
      <c r="G1627" t="s">
        <v>1136</v>
      </c>
      <c r="H1627" t="s">
        <v>1141</v>
      </c>
      <c r="I1627" s="63">
        <v>46174</v>
      </c>
      <c r="J1627" t="s">
        <v>1079</v>
      </c>
      <c r="K1627" t="s">
        <v>1142</v>
      </c>
      <c r="L1627" s="64">
        <v>5882797.9000000004</v>
      </c>
      <c r="N1627" s="64">
        <v>5882797.9000000004</v>
      </c>
      <c r="O1627" s="64">
        <v>5563832175.8410072</v>
      </c>
    </row>
    <row r="1628" spans="1:15" x14ac:dyDescent="0.25">
      <c r="A1628" s="58">
        <v>46233</v>
      </c>
      <c r="B1628" s="59">
        <v>7</v>
      </c>
      <c r="C1628" s="59" t="s">
        <v>1171</v>
      </c>
      <c r="D1628" s="59">
        <v>1044391</v>
      </c>
      <c r="E1628" s="59" t="s">
        <v>1134</v>
      </c>
      <c r="F1628" s="59" t="s">
        <v>1135</v>
      </c>
      <c r="G1628" s="59" t="s">
        <v>1136</v>
      </c>
      <c r="H1628" s="59" t="s">
        <v>1164</v>
      </c>
      <c r="I1628" s="60">
        <v>46174</v>
      </c>
      <c r="J1628" s="59" t="s">
        <v>1079</v>
      </c>
      <c r="K1628" s="59" t="s">
        <v>1142</v>
      </c>
      <c r="L1628" s="61">
        <v>14971672.75</v>
      </c>
      <c r="M1628" s="59"/>
      <c r="N1628" s="61">
        <v>14971672.75</v>
      </c>
      <c r="O1628" s="61">
        <v>5578803848.5910072</v>
      </c>
    </row>
    <row r="1629" spans="1:15" x14ac:dyDescent="0.25">
      <c r="A1629" s="62">
        <v>46233</v>
      </c>
      <c r="B1629">
        <v>7</v>
      </c>
      <c r="C1629" t="s">
        <v>1171</v>
      </c>
      <c r="D1629">
        <v>1044401</v>
      </c>
      <c r="E1629" t="s">
        <v>1134</v>
      </c>
      <c r="F1629" t="s">
        <v>1135</v>
      </c>
      <c r="G1629" t="s">
        <v>1136</v>
      </c>
      <c r="H1629" t="s">
        <v>1159</v>
      </c>
      <c r="I1629" s="63">
        <v>46174</v>
      </c>
      <c r="J1629" t="s">
        <v>1079</v>
      </c>
      <c r="K1629" t="s">
        <v>1142</v>
      </c>
      <c r="L1629" s="64">
        <v>14087708.5</v>
      </c>
      <c r="N1629" s="64">
        <v>14087708.5</v>
      </c>
      <c r="O1629" s="64">
        <v>5592891557.0910072</v>
      </c>
    </row>
    <row r="1630" spans="1:15" x14ac:dyDescent="0.25">
      <c r="A1630" s="58">
        <v>46233</v>
      </c>
      <c r="B1630" s="59">
        <v>7</v>
      </c>
      <c r="C1630" s="59" t="s">
        <v>1171</v>
      </c>
      <c r="D1630" s="59">
        <v>1044411</v>
      </c>
      <c r="E1630" s="59" t="s">
        <v>1134</v>
      </c>
      <c r="F1630" s="59" t="s">
        <v>1135</v>
      </c>
      <c r="G1630" s="59" t="s">
        <v>1136</v>
      </c>
      <c r="H1630" s="59" t="s">
        <v>1160</v>
      </c>
      <c r="I1630" s="60">
        <v>46174</v>
      </c>
      <c r="J1630" s="59" t="s">
        <v>1079</v>
      </c>
      <c r="K1630" s="59" t="s">
        <v>1142</v>
      </c>
      <c r="L1630" s="61">
        <v>2814435.5</v>
      </c>
      <c r="M1630" s="59"/>
      <c r="N1630" s="61">
        <v>2814435.5</v>
      </c>
      <c r="O1630" s="61">
        <v>5595705992.5910072</v>
      </c>
    </row>
    <row r="1631" spans="1:15" x14ac:dyDescent="0.25">
      <c r="A1631" s="62">
        <v>46233</v>
      </c>
      <c r="B1631">
        <v>7</v>
      </c>
      <c r="C1631" t="s">
        <v>1171</v>
      </c>
      <c r="D1631">
        <v>1044421</v>
      </c>
      <c r="E1631" t="s">
        <v>1134</v>
      </c>
      <c r="F1631" t="s">
        <v>1135</v>
      </c>
      <c r="G1631" t="s">
        <v>1136</v>
      </c>
      <c r="H1631" t="s">
        <v>1165</v>
      </c>
      <c r="I1631" s="63">
        <v>46174</v>
      </c>
      <c r="J1631" t="s">
        <v>1079</v>
      </c>
      <c r="K1631" t="s">
        <v>1142</v>
      </c>
      <c r="L1631" s="64">
        <v>10978873.214810001</v>
      </c>
      <c r="N1631" s="64">
        <v>10978873.214810001</v>
      </c>
      <c r="O1631" s="64">
        <v>5606684865.8058176</v>
      </c>
    </row>
    <row r="1632" spans="1:15" x14ac:dyDescent="0.25">
      <c r="A1632" s="58">
        <v>46233</v>
      </c>
      <c r="B1632" s="59">
        <v>7</v>
      </c>
      <c r="C1632" s="59" t="s">
        <v>1171</v>
      </c>
      <c r="D1632" s="59">
        <v>1044261</v>
      </c>
      <c r="E1632" s="59" t="s">
        <v>1134</v>
      </c>
      <c r="F1632" s="59" t="s">
        <v>1135</v>
      </c>
      <c r="G1632" s="59" t="s">
        <v>1136</v>
      </c>
      <c r="H1632" s="59" t="s">
        <v>1145</v>
      </c>
      <c r="I1632" s="60">
        <v>46174</v>
      </c>
      <c r="J1632" s="59" t="s">
        <v>1079</v>
      </c>
      <c r="K1632" s="59" t="s">
        <v>1142</v>
      </c>
      <c r="L1632" s="61">
        <v>183776.25</v>
      </c>
      <c r="M1632" s="59"/>
      <c r="N1632" s="61">
        <v>183776.25</v>
      </c>
      <c r="O1632" s="61">
        <v>5780133107.3808165</v>
      </c>
    </row>
    <row r="1633" spans="1:15" x14ac:dyDescent="0.25">
      <c r="A1633" s="62">
        <v>46233</v>
      </c>
      <c r="B1633">
        <v>7</v>
      </c>
      <c r="C1633" t="s">
        <v>1171</v>
      </c>
      <c r="D1633">
        <v>1044351</v>
      </c>
      <c r="E1633" t="s">
        <v>1134</v>
      </c>
      <c r="F1633" t="s">
        <v>1135</v>
      </c>
      <c r="G1633" t="s">
        <v>1136</v>
      </c>
      <c r="H1633" t="s">
        <v>1157</v>
      </c>
      <c r="I1633" s="63">
        <v>46174</v>
      </c>
      <c r="J1633" t="s">
        <v>1079</v>
      </c>
      <c r="K1633" t="s">
        <v>1142</v>
      </c>
      <c r="L1633" s="64">
        <v>176425.2</v>
      </c>
      <c r="N1633" s="64">
        <v>176425.2</v>
      </c>
      <c r="O1633" s="64">
        <v>5780309532.5808163</v>
      </c>
    </row>
    <row r="1634" spans="1:15" x14ac:dyDescent="0.25">
      <c r="A1634" s="58">
        <v>46237</v>
      </c>
      <c r="B1634" s="59">
        <v>8</v>
      </c>
      <c r="C1634" s="59" t="s">
        <v>1144</v>
      </c>
      <c r="D1634" s="59">
        <v>1044174</v>
      </c>
      <c r="E1634" s="59" t="s">
        <v>1134</v>
      </c>
      <c r="F1634" s="59" t="s">
        <v>1135</v>
      </c>
      <c r="G1634" s="59" t="s">
        <v>1136</v>
      </c>
      <c r="H1634" s="59" t="s">
        <v>1147</v>
      </c>
      <c r="I1634" s="60">
        <v>46204</v>
      </c>
      <c r="J1634" s="59" t="s">
        <v>1080</v>
      </c>
      <c r="K1634" s="59" t="s">
        <v>1148</v>
      </c>
      <c r="L1634" s="61">
        <v>31199625</v>
      </c>
      <c r="M1634" s="59"/>
      <c r="N1634" s="61">
        <v>31199625</v>
      </c>
      <c r="O1634" s="61">
        <v>6429872183.4408159</v>
      </c>
    </row>
    <row r="1635" spans="1:15" x14ac:dyDescent="0.25">
      <c r="A1635" s="62">
        <v>46237</v>
      </c>
      <c r="B1635">
        <v>8</v>
      </c>
      <c r="C1635" t="s">
        <v>1144</v>
      </c>
      <c r="D1635">
        <v>1044196</v>
      </c>
      <c r="E1635" t="s">
        <v>1134</v>
      </c>
      <c r="F1635" t="s">
        <v>1135</v>
      </c>
      <c r="G1635" t="s">
        <v>1136</v>
      </c>
      <c r="H1635" t="s">
        <v>1149</v>
      </c>
      <c r="I1635" s="63">
        <v>46204</v>
      </c>
      <c r="J1635" t="s">
        <v>1080</v>
      </c>
      <c r="K1635" t="s">
        <v>1150</v>
      </c>
      <c r="L1635" s="64">
        <v>11824665.380000001</v>
      </c>
      <c r="N1635" s="64">
        <v>11824665.380000001</v>
      </c>
      <c r="O1635" s="64">
        <v>6441696848.820816</v>
      </c>
    </row>
    <row r="1636" spans="1:15" x14ac:dyDescent="0.25">
      <c r="A1636" s="58">
        <v>46237</v>
      </c>
      <c r="B1636" s="59">
        <v>8</v>
      </c>
      <c r="C1636" s="59" t="s">
        <v>1144</v>
      </c>
      <c r="D1636" s="59">
        <v>1044214</v>
      </c>
      <c r="E1636" s="59" t="s">
        <v>1134</v>
      </c>
      <c r="F1636" s="59" t="s">
        <v>1135</v>
      </c>
      <c r="G1636" s="59" t="s">
        <v>1136</v>
      </c>
      <c r="H1636" s="59" t="s">
        <v>1151</v>
      </c>
      <c r="I1636" s="60">
        <v>46204</v>
      </c>
      <c r="J1636" s="59" t="s">
        <v>1080</v>
      </c>
      <c r="K1636" s="59" t="s">
        <v>1148</v>
      </c>
      <c r="L1636" s="61">
        <v>7189538.0999999996</v>
      </c>
      <c r="M1636" s="59"/>
      <c r="N1636" s="61">
        <v>7189538.0999999996</v>
      </c>
      <c r="O1636" s="61">
        <v>6448886386.9208164</v>
      </c>
    </row>
    <row r="1637" spans="1:15" x14ac:dyDescent="0.25">
      <c r="A1637" s="62">
        <v>46237</v>
      </c>
      <c r="B1637">
        <v>8</v>
      </c>
      <c r="C1637" t="s">
        <v>1144</v>
      </c>
      <c r="D1637">
        <v>1044234</v>
      </c>
      <c r="E1637" t="s">
        <v>1134</v>
      </c>
      <c r="F1637" t="s">
        <v>1135</v>
      </c>
      <c r="G1637" t="s">
        <v>1136</v>
      </c>
      <c r="H1637" t="s">
        <v>1152</v>
      </c>
      <c r="I1637" s="63">
        <v>46204</v>
      </c>
      <c r="J1637" t="s">
        <v>1080</v>
      </c>
      <c r="K1637" t="s">
        <v>1148</v>
      </c>
      <c r="L1637" s="64">
        <v>28237267.449999999</v>
      </c>
      <c r="N1637" s="64">
        <v>28237267.449999999</v>
      </c>
      <c r="O1637" s="64">
        <v>6477123654.3708162</v>
      </c>
    </row>
    <row r="1638" spans="1:15" x14ac:dyDescent="0.25">
      <c r="A1638" s="58">
        <v>46237</v>
      </c>
      <c r="B1638" s="59">
        <v>8</v>
      </c>
      <c r="C1638" s="59" t="s">
        <v>1144</v>
      </c>
      <c r="D1638" s="59">
        <v>1044244</v>
      </c>
      <c r="E1638" s="59" t="s">
        <v>1134</v>
      </c>
      <c r="F1638" s="59" t="s">
        <v>1135</v>
      </c>
      <c r="G1638" s="59" t="s">
        <v>1136</v>
      </c>
      <c r="H1638" s="59" t="s">
        <v>1153</v>
      </c>
      <c r="I1638" s="60">
        <v>46204</v>
      </c>
      <c r="J1638" s="59" t="s">
        <v>1080</v>
      </c>
      <c r="K1638" s="59" t="s">
        <v>1148</v>
      </c>
      <c r="L1638" s="61">
        <v>11447756.99</v>
      </c>
      <c r="M1638" s="59"/>
      <c r="N1638" s="61">
        <v>11447756.99</v>
      </c>
      <c r="O1638" s="61">
        <v>6488571411.360816</v>
      </c>
    </row>
    <row r="1639" spans="1:15" x14ac:dyDescent="0.25">
      <c r="A1639" s="62">
        <v>46237</v>
      </c>
      <c r="B1639">
        <v>8</v>
      </c>
      <c r="C1639" t="s">
        <v>1144</v>
      </c>
      <c r="D1639">
        <v>1044264</v>
      </c>
      <c r="E1639" t="s">
        <v>1134</v>
      </c>
      <c r="F1639" t="s">
        <v>1135</v>
      </c>
      <c r="G1639" t="s">
        <v>1136</v>
      </c>
      <c r="H1639" t="s">
        <v>1145</v>
      </c>
      <c r="I1639" s="63">
        <v>46204</v>
      </c>
      <c r="J1639" t="s">
        <v>1080</v>
      </c>
      <c r="K1639" t="s">
        <v>1148</v>
      </c>
      <c r="L1639" s="64">
        <v>7000550</v>
      </c>
      <c r="N1639" s="64">
        <v>7000550</v>
      </c>
      <c r="O1639" s="64">
        <v>6495571961.360816</v>
      </c>
    </row>
    <row r="1640" spans="1:15" x14ac:dyDescent="0.25">
      <c r="A1640" s="58">
        <v>46237</v>
      </c>
      <c r="B1640" s="59">
        <v>8</v>
      </c>
      <c r="C1640" s="59" t="s">
        <v>1144</v>
      </c>
      <c r="D1640" s="59">
        <v>1044266</v>
      </c>
      <c r="E1640" s="59" t="s">
        <v>1134</v>
      </c>
      <c r="F1640" s="59" t="s">
        <v>1135</v>
      </c>
      <c r="G1640" s="59" t="s">
        <v>1136</v>
      </c>
      <c r="H1640" s="59" t="s">
        <v>1145</v>
      </c>
      <c r="I1640" s="60">
        <v>46204</v>
      </c>
      <c r="J1640" s="59" t="s">
        <v>1080</v>
      </c>
      <c r="K1640" s="59" t="s">
        <v>1150</v>
      </c>
      <c r="L1640" s="61">
        <v>97329.34</v>
      </c>
      <c r="M1640" s="59"/>
      <c r="N1640" s="61">
        <v>97329.34</v>
      </c>
      <c r="O1640" s="61">
        <v>6495669290.7008162</v>
      </c>
    </row>
    <row r="1641" spans="1:15" x14ac:dyDescent="0.25">
      <c r="A1641" s="62">
        <v>46237</v>
      </c>
      <c r="B1641">
        <v>8</v>
      </c>
      <c r="C1641" t="s">
        <v>1144</v>
      </c>
      <c r="D1641">
        <v>1044264</v>
      </c>
      <c r="E1641" t="s">
        <v>1134</v>
      </c>
      <c r="F1641" t="s">
        <v>1135</v>
      </c>
      <c r="G1641" t="s">
        <v>1136</v>
      </c>
      <c r="H1641" t="s">
        <v>1145</v>
      </c>
      <c r="I1641" s="63">
        <v>46204</v>
      </c>
      <c r="J1641" t="s">
        <v>1080</v>
      </c>
      <c r="K1641" t="s">
        <v>1148</v>
      </c>
      <c r="L1641" s="64">
        <v>2918058.04</v>
      </c>
      <c r="N1641" s="64">
        <v>2918058.04</v>
      </c>
      <c r="O1641" s="64">
        <v>6498587348.7408161</v>
      </c>
    </row>
    <row r="1642" spans="1:15" x14ac:dyDescent="0.25">
      <c r="A1642" s="58">
        <v>46237</v>
      </c>
      <c r="B1642" s="59">
        <v>8</v>
      </c>
      <c r="C1642" s="59" t="s">
        <v>1144</v>
      </c>
      <c r="D1642" s="59">
        <v>1044274</v>
      </c>
      <c r="E1642" s="59" t="s">
        <v>1134</v>
      </c>
      <c r="F1642" s="59" t="s">
        <v>1135</v>
      </c>
      <c r="G1642" s="59" t="s">
        <v>1136</v>
      </c>
      <c r="H1642" s="59" t="s">
        <v>1154</v>
      </c>
      <c r="I1642" s="60">
        <v>46204</v>
      </c>
      <c r="J1642" s="59" t="s">
        <v>1080</v>
      </c>
      <c r="K1642" s="59" t="s">
        <v>1148</v>
      </c>
      <c r="L1642" s="61">
        <v>24349906.120000001</v>
      </c>
      <c r="M1642" s="59"/>
      <c r="N1642" s="61">
        <v>24349906.120000001</v>
      </c>
      <c r="O1642" s="61">
        <v>6522937254.860816</v>
      </c>
    </row>
    <row r="1643" spans="1:15" x14ac:dyDescent="0.25">
      <c r="A1643" s="62">
        <v>46237</v>
      </c>
      <c r="B1643">
        <v>8</v>
      </c>
      <c r="C1643" t="s">
        <v>1144</v>
      </c>
      <c r="D1643">
        <v>1044284</v>
      </c>
      <c r="E1643" t="s">
        <v>1134</v>
      </c>
      <c r="F1643" t="s">
        <v>1135</v>
      </c>
      <c r="G1643" t="s">
        <v>1136</v>
      </c>
      <c r="H1643" t="s">
        <v>1155</v>
      </c>
      <c r="I1643" s="63">
        <v>46204</v>
      </c>
      <c r="J1643" t="s">
        <v>1080</v>
      </c>
      <c r="K1643" t="s">
        <v>1148</v>
      </c>
      <c r="L1643" s="64">
        <v>116542009</v>
      </c>
      <c r="N1643" s="64">
        <v>116542009</v>
      </c>
      <c r="O1643" s="64">
        <v>6639479263.860816</v>
      </c>
    </row>
    <row r="1644" spans="1:15" x14ac:dyDescent="0.25">
      <c r="A1644" s="58">
        <v>46237</v>
      </c>
      <c r="B1644" s="59">
        <v>8</v>
      </c>
      <c r="C1644" s="59" t="s">
        <v>1144</v>
      </c>
      <c r="D1644" s="59">
        <v>1044286</v>
      </c>
      <c r="E1644" s="59" t="s">
        <v>1134</v>
      </c>
      <c r="F1644" s="59" t="s">
        <v>1135</v>
      </c>
      <c r="G1644" s="59" t="s">
        <v>1136</v>
      </c>
      <c r="H1644" s="59" t="s">
        <v>1155</v>
      </c>
      <c r="I1644" s="60">
        <v>46204</v>
      </c>
      <c r="J1644" s="59" t="s">
        <v>1080</v>
      </c>
      <c r="K1644" s="59" t="s">
        <v>1150</v>
      </c>
      <c r="L1644" s="61">
        <v>4054362.76</v>
      </c>
      <c r="M1644" s="59"/>
      <c r="N1644" s="61">
        <v>4054362.76</v>
      </c>
      <c r="O1644" s="61">
        <v>6643533626.6208162</v>
      </c>
    </row>
    <row r="1645" spans="1:15" x14ac:dyDescent="0.25">
      <c r="A1645" s="62">
        <v>46237</v>
      </c>
      <c r="B1645">
        <v>8</v>
      </c>
      <c r="C1645" t="s">
        <v>1144</v>
      </c>
      <c r="D1645">
        <v>1044464</v>
      </c>
      <c r="E1645" t="s">
        <v>1134</v>
      </c>
      <c r="F1645" t="s">
        <v>1135</v>
      </c>
      <c r="G1645" t="s">
        <v>1136</v>
      </c>
      <c r="H1645" t="s">
        <v>1140</v>
      </c>
      <c r="I1645" s="63">
        <v>46204</v>
      </c>
      <c r="J1645" t="s">
        <v>1080</v>
      </c>
      <c r="K1645" t="s">
        <v>1148</v>
      </c>
      <c r="L1645" s="64">
        <v>8674397.9100000001</v>
      </c>
      <c r="N1645" s="64">
        <v>8674397.9100000001</v>
      </c>
      <c r="O1645" s="64">
        <v>6652208024.5308161</v>
      </c>
    </row>
    <row r="1646" spans="1:15" x14ac:dyDescent="0.25">
      <c r="A1646" s="58">
        <v>46237</v>
      </c>
      <c r="B1646" s="59">
        <v>8</v>
      </c>
      <c r="C1646" s="59" t="s">
        <v>1144</v>
      </c>
      <c r="D1646" s="59">
        <v>1044324</v>
      </c>
      <c r="E1646" s="59" t="s">
        <v>1134</v>
      </c>
      <c r="F1646" s="59" t="s">
        <v>1135</v>
      </c>
      <c r="G1646" s="59" t="s">
        <v>1136</v>
      </c>
      <c r="H1646" s="59" t="s">
        <v>1143</v>
      </c>
      <c r="I1646" s="60">
        <v>46204</v>
      </c>
      <c r="J1646" s="59" t="s">
        <v>1080</v>
      </c>
      <c r="K1646" s="59" t="s">
        <v>1148</v>
      </c>
      <c r="L1646" s="61">
        <v>82401440</v>
      </c>
      <c r="M1646" s="59"/>
      <c r="N1646" s="61">
        <v>82401440</v>
      </c>
      <c r="O1646" s="61">
        <v>6734609464.5308161</v>
      </c>
    </row>
    <row r="1647" spans="1:15" x14ac:dyDescent="0.25">
      <c r="A1647" s="62">
        <v>46237</v>
      </c>
      <c r="B1647">
        <v>8</v>
      </c>
      <c r="C1647" t="s">
        <v>1144</v>
      </c>
      <c r="D1647">
        <v>1044326</v>
      </c>
      <c r="E1647" t="s">
        <v>1134</v>
      </c>
      <c r="F1647" t="s">
        <v>1135</v>
      </c>
      <c r="G1647" t="s">
        <v>1136</v>
      </c>
      <c r="H1647" t="s">
        <v>1143</v>
      </c>
      <c r="I1647" s="63">
        <v>46204</v>
      </c>
      <c r="J1647" t="s">
        <v>1080</v>
      </c>
      <c r="K1647" t="s">
        <v>1150</v>
      </c>
      <c r="L1647" s="64">
        <v>1364547.83</v>
      </c>
      <c r="N1647" s="64">
        <v>1364547.83</v>
      </c>
      <c r="O1647" s="64">
        <v>6735974012.360816</v>
      </c>
    </row>
    <row r="1648" spans="1:15" x14ac:dyDescent="0.25">
      <c r="A1648" s="58">
        <v>46237</v>
      </c>
      <c r="B1648" s="59">
        <v>8</v>
      </c>
      <c r="C1648" s="59" t="s">
        <v>1144</v>
      </c>
      <c r="D1648" s="59">
        <v>1044354</v>
      </c>
      <c r="E1648" s="59" t="s">
        <v>1134</v>
      </c>
      <c r="F1648" s="59" t="s">
        <v>1135</v>
      </c>
      <c r="G1648" s="59" t="s">
        <v>1136</v>
      </c>
      <c r="H1648" s="59" t="s">
        <v>1157</v>
      </c>
      <c r="I1648" s="60">
        <v>46204</v>
      </c>
      <c r="J1648" s="59" t="s">
        <v>1080</v>
      </c>
      <c r="K1648" s="59" t="s">
        <v>1148</v>
      </c>
      <c r="L1648" s="61">
        <v>8503104</v>
      </c>
      <c r="M1648" s="59"/>
      <c r="N1648" s="61">
        <v>8503104</v>
      </c>
      <c r="O1648" s="61">
        <v>6744477116.360816</v>
      </c>
    </row>
    <row r="1649" spans="1:15" x14ac:dyDescent="0.25">
      <c r="A1649" s="62">
        <v>46237</v>
      </c>
      <c r="B1649">
        <v>8</v>
      </c>
      <c r="C1649" t="s">
        <v>1144</v>
      </c>
      <c r="D1649">
        <v>1044356</v>
      </c>
      <c r="E1649" t="s">
        <v>1134</v>
      </c>
      <c r="F1649" t="s">
        <v>1135</v>
      </c>
      <c r="G1649" t="s">
        <v>1136</v>
      </c>
      <c r="H1649" t="s">
        <v>1157</v>
      </c>
      <c r="I1649" s="63">
        <v>46204</v>
      </c>
      <c r="J1649" t="s">
        <v>1080</v>
      </c>
      <c r="K1649" t="s">
        <v>1150</v>
      </c>
      <c r="L1649" s="64">
        <v>2009932.08</v>
      </c>
      <c r="N1649" s="64">
        <v>2009932.08</v>
      </c>
      <c r="O1649" s="64">
        <v>6746487048.4408159</v>
      </c>
    </row>
    <row r="1650" spans="1:15" x14ac:dyDescent="0.25">
      <c r="A1650" s="58">
        <v>46237</v>
      </c>
      <c r="B1650" s="59">
        <v>8</v>
      </c>
      <c r="C1650" s="59" t="s">
        <v>1144</v>
      </c>
      <c r="D1650" s="59">
        <v>1044364</v>
      </c>
      <c r="E1650" s="59" t="s">
        <v>1134</v>
      </c>
      <c r="F1650" s="59" t="s">
        <v>1135</v>
      </c>
      <c r="G1650" s="59" t="s">
        <v>1136</v>
      </c>
      <c r="H1650" s="59" t="s">
        <v>1158</v>
      </c>
      <c r="I1650" s="60">
        <v>46204</v>
      </c>
      <c r="J1650" s="59" t="s">
        <v>1080</v>
      </c>
      <c r="K1650" s="59" t="s">
        <v>1148</v>
      </c>
      <c r="L1650" s="61">
        <v>38471380.159999996</v>
      </c>
      <c r="M1650" s="59"/>
      <c r="N1650" s="61">
        <v>38471380.159999996</v>
      </c>
      <c r="O1650" s="61">
        <v>6784958428.6008158</v>
      </c>
    </row>
    <row r="1651" spans="1:15" x14ac:dyDescent="0.25">
      <c r="A1651" s="62">
        <v>46237</v>
      </c>
      <c r="B1651">
        <v>8</v>
      </c>
      <c r="C1651" t="s">
        <v>1144</v>
      </c>
      <c r="D1651">
        <v>1044374</v>
      </c>
      <c r="E1651" t="s">
        <v>1134</v>
      </c>
      <c r="F1651" t="s">
        <v>1135</v>
      </c>
      <c r="G1651" t="s">
        <v>1136</v>
      </c>
      <c r="H1651" t="s">
        <v>1141</v>
      </c>
      <c r="I1651" s="63">
        <v>46204</v>
      </c>
      <c r="J1651" t="s">
        <v>1080</v>
      </c>
      <c r="K1651" t="s">
        <v>1148</v>
      </c>
      <c r="L1651" s="64">
        <v>11717205.77</v>
      </c>
      <c r="N1651" s="64">
        <v>11717205.77</v>
      </c>
      <c r="O1651" s="64">
        <v>6796675634.3708162</v>
      </c>
    </row>
    <row r="1652" spans="1:15" x14ac:dyDescent="0.25">
      <c r="A1652" s="58">
        <v>46237</v>
      </c>
      <c r="B1652" s="59">
        <v>8</v>
      </c>
      <c r="C1652" s="59" t="s">
        <v>1144</v>
      </c>
      <c r="D1652" s="59">
        <v>1044404</v>
      </c>
      <c r="E1652" s="59" t="s">
        <v>1134</v>
      </c>
      <c r="F1652" s="59" t="s">
        <v>1135</v>
      </c>
      <c r="G1652" s="59" t="s">
        <v>1136</v>
      </c>
      <c r="H1652" s="59" t="s">
        <v>1159</v>
      </c>
      <c r="I1652" s="60">
        <v>46204</v>
      </c>
      <c r="J1652" s="59" t="s">
        <v>1080</v>
      </c>
      <c r="K1652" s="59" t="s">
        <v>1148</v>
      </c>
      <c r="L1652" s="61">
        <v>36219729.219999999</v>
      </c>
      <c r="M1652" s="59"/>
      <c r="N1652" s="61">
        <v>36219729.219999999</v>
      </c>
      <c r="O1652" s="61">
        <v>6832895363.5908155</v>
      </c>
    </row>
    <row r="1653" spans="1:15" x14ac:dyDescent="0.25">
      <c r="A1653" s="62">
        <v>46237</v>
      </c>
      <c r="B1653">
        <v>8</v>
      </c>
      <c r="C1653" t="s">
        <v>1144</v>
      </c>
      <c r="D1653">
        <v>1044406</v>
      </c>
      <c r="E1653" t="s">
        <v>1134</v>
      </c>
      <c r="F1653" t="s">
        <v>1135</v>
      </c>
      <c r="G1653" t="s">
        <v>1136</v>
      </c>
      <c r="H1653" t="s">
        <v>1159</v>
      </c>
      <c r="I1653" s="63">
        <v>46204</v>
      </c>
      <c r="J1653" t="s">
        <v>1080</v>
      </c>
      <c r="K1653" t="s">
        <v>1150</v>
      </c>
      <c r="L1653" s="64">
        <v>544589.96000000008</v>
      </c>
      <c r="N1653" s="64">
        <v>544589.96000000008</v>
      </c>
      <c r="O1653" s="64">
        <v>6833439953.5508165</v>
      </c>
    </row>
    <row r="1654" spans="1:15" x14ac:dyDescent="0.25">
      <c r="A1654" s="58">
        <v>46237</v>
      </c>
      <c r="B1654" s="59">
        <v>8</v>
      </c>
      <c r="C1654" s="59" t="s">
        <v>1144</v>
      </c>
      <c r="D1654" s="59">
        <v>1044404</v>
      </c>
      <c r="E1654" s="59" t="s">
        <v>1134</v>
      </c>
      <c r="F1654" s="59" t="s">
        <v>1135</v>
      </c>
      <c r="G1654" s="59" t="s">
        <v>1136</v>
      </c>
      <c r="H1654" s="59" t="s">
        <v>1159</v>
      </c>
      <c r="I1654" s="60">
        <v>46204</v>
      </c>
      <c r="J1654" s="59" t="s">
        <v>1080</v>
      </c>
      <c r="K1654" s="59" t="s">
        <v>1148</v>
      </c>
      <c r="L1654" s="61">
        <v>9846815.8399999999</v>
      </c>
      <c r="M1654" s="59"/>
      <c r="N1654" s="61">
        <v>9846815.8399999999</v>
      </c>
      <c r="O1654" s="61">
        <v>6843286769.3908167</v>
      </c>
    </row>
    <row r="1655" spans="1:15" x14ac:dyDescent="0.25">
      <c r="A1655" s="62">
        <v>46237</v>
      </c>
      <c r="B1655">
        <v>8</v>
      </c>
      <c r="C1655" t="s">
        <v>1144</v>
      </c>
      <c r="D1655">
        <v>1044414</v>
      </c>
      <c r="E1655" t="s">
        <v>1134</v>
      </c>
      <c r="F1655" t="s">
        <v>1135</v>
      </c>
      <c r="G1655" t="s">
        <v>1136</v>
      </c>
      <c r="H1655" t="s">
        <v>1160</v>
      </c>
      <c r="I1655" s="63">
        <v>46204</v>
      </c>
      <c r="J1655" t="s">
        <v>1080</v>
      </c>
      <c r="K1655" t="s">
        <v>1148</v>
      </c>
      <c r="L1655" s="64">
        <v>19751111.399999999</v>
      </c>
      <c r="N1655" s="64">
        <v>19751111.399999999</v>
      </c>
      <c r="O1655" s="64">
        <v>6863037880.7908163</v>
      </c>
    </row>
    <row r="1656" spans="1:15" x14ac:dyDescent="0.25">
      <c r="A1656" s="58">
        <v>46237</v>
      </c>
      <c r="B1656" s="59">
        <v>8</v>
      </c>
      <c r="C1656" s="59" t="s">
        <v>1144</v>
      </c>
      <c r="D1656" s="59">
        <v>1044312</v>
      </c>
      <c r="E1656" s="59" t="s">
        <v>1134</v>
      </c>
      <c r="F1656" s="59" t="s">
        <v>1135</v>
      </c>
      <c r="G1656" s="59" t="s">
        <v>1136</v>
      </c>
      <c r="H1656" s="59" t="s">
        <v>1137</v>
      </c>
      <c r="I1656" s="60">
        <v>46204</v>
      </c>
      <c r="J1656" s="59" t="s">
        <v>1081</v>
      </c>
      <c r="K1656" s="59" t="s">
        <v>1138</v>
      </c>
      <c r="L1656" s="61">
        <v>19178700</v>
      </c>
      <c r="M1656" s="59"/>
      <c r="N1656" s="61">
        <v>19178700</v>
      </c>
      <c r="O1656" s="61">
        <v>6882216580.7908163</v>
      </c>
    </row>
    <row r="1657" spans="1:15" x14ac:dyDescent="0.25">
      <c r="A1657" s="62">
        <v>46237</v>
      </c>
      <c r="B1657">
        <v>8</v>
      </c>
      <c r="C1657" t="s">
        <v>1144</v>
      </c>
      <c r="D1657">
        <v>1044202</v>
      </c>
      <c r="E1657" t="s">
        <v>1134</v>
      </c>
      <c r="F1657" t="s">
        <v>1135</v>
      </c>
      <c r="G1657" t="s">
        <v>1136</v>
      </c>
      <c r="H1657" t="s">
        <v>1139</v>
      </c>
      <c r="I1657" s="63">
        <v>46204</v>
      </c>
      <c r="J1657" t="s">
        <v>1081</v>
      </c>
      <c r="K1657" t="s">
        <v>1138</v>
      </c>
      <c r="L1657" s="64">
        <v>31130132.960000001</v>
      </c>
      <c r="N1657" s="64">
        <v>31130132.960000001</v>
      </c>
      <c r="O1657" s="64">
        <v>6913346713.7508163</v>
      </c>
    </row>
    <row r="1658" spans="1:15" x14ac:dyDescent="0.25">
      <c r="A1658" s="58">
        <v>46237</v>
      </c>
      <c r="B1658" s="59">
        <v>8</v>
      </c>
      <c r="C1658" s="59" t="s">
        <v>1144</v>
      </c>
      <c r="D1658" s="59">
        <v>1044462</v>
      </c>
      <c r="E1658" s="59" t="s">
        <v>1134</v>
      </c>
      <c r="F1658" s="59" t="s">
        <v>1135</v>
      </c>
      <c r="G1658" s="59" t="s">
        <v>1136</v>
      </c>
      <c r="H1658" s="59" t="s">
        <v>1140</v>
      </c>
      <c r="I1658" s="60">
        <v>46204</v>
      </c>
      <c r="J1658" s="59" t="s">
        <v>1081</v>
      </c>
      <c r="K1658" s="59" t="s">
        <v>1138</v>
      </c>
      <c r="L1658" s="61">
        <v>2848270.92</v>
      </c>
      <c r="M1658" s="59"/>
      <c r="N1658" s="61">
        <v>2848270.92</v>
      </c>
      <c r="O1658" s="61">
        <v>6916194984.6708164</v>
      </c>
    </row>
    <row r="1659" spans="1:15" x14ac:dyDescent="0.25">
      <c r="A1659" s="62">
        <v>46238</v>
      </c>
      <c r="B1659">
        <v>8</v>
      </c>
      <c r="C1659" t="s">
        <v>1161</v>
      </c>
      <c r="D1659">
        <v>2044462</v>
      </c>
      <c r="E1659" t="s">
        <v>1167</v>
      </c>
      <c r="F1659" t="s">
        <v>1135</v>
      </c>
      <c r="G1659" t="s">
        <v>1136</v>
      </c>
      <c r="H1659" t="s">
        <v>1140</v>
      </c>
      <c r="I1659" s="63">
        <v>46204</v>
      </c>
      <c r="J1659" t="s">
        <v>1082</v>
      </c>
      <c r="K1659" t="s">
        <v>1138</v>
      </c>
      <c r="M1659" s="64">
        <v>814407.3</v>
      </c>
      <c r="N1659" s="64">
        <v>-814407.3</v>
      </c>
      <c r="O1659" s="64">
        <v>6915380577.3708162</v>
      </c>
    </row>
    <row r="1660" spans="1:15" x14ac:dyDescent="0.25">
      <c r="A1660" s="58">
        <v>46238</v>
      </c>
      <c r="B1660" s="59">
        <v>8</v>
      </c>
      <c r="C1660" s="59" t="s">
        <v>1161</v>
      </c>
      <c r="D1660" s="59">
        <v>1044165</v>
      </c>
      <c r="E1660" s="59" t="s">
        <v>1134</v>
      </c>
      <c r="F1660" s="59" t="s">
        <v>1135</v>
      </c>
      <c r="G1660" s="59" t="s">
        <v>1136</v>
      </c>
      <c r="H1660" s="59" t="s">
        <v>1162</v>
      </c>
      <c r="I1660" s="60">
        <v>46174</v>
      </c>
      <c r="J1660" s="59" t="s">
        <v>1083</v>
      </c>
      <c r="K1660" s="59" t="s">
        <v>1172</v>
      </c>
      <c r="L1660" s="61">
        <v>1541858.22</v>
      </c>
      <c r="M1660" s="59"/>
      <c r="N1660" s="61">
        <v>1541858.22</v>
      </c>
      <c r="O1660" s="61">
        <v>6942414540.3908167</v>
      </c>
    </row>
    <row r="1661" spans="1:15" x14ac:dyDescent="0.25">
      <c r="A1661" s="62">
        <v>46238</v>
      </c>
      <c r="B1661">
        <v>8</v>
      </c>
      <c r="C1661" t="s">
        <v>1161</v>
      </c>
      <c r="D1661">
        <v>1044235</v>
      </c>
      <c r="E1661" t="s">
        <v>1134</v>
      </c>
      <c r="F1661" t="s">
        <v>1135</v>
      </c>
      <c r="G1661" t="s">
        <v>1136</v>
      </c>
      <c r="H1661" t="s">
        <v>1152</v>
      </c>
      <c r="I1661" s="63">
        <v>46174</v>
      </c>
      <c r="J1661" t="s">
        <v>1083</v>
      </c>
      <c r="K1661" t="s">
        <v>1172</v>
      </c>
      <c r="L1661" s="64">
        <v>3030442.35</v>
      </c>
      <c r="N1661" s="64">
        <v>3030442.35</v>
      </c>
      <c r="O1661" s="64">
        <v>6945444982.7408171</v>
      </c>
    </row>
    <row r="1662" spans="1:15" x14ac:dyDescent="0.25">
      <c r="A1662" s="58">
        <v>46238</v>
      </c>
      <c r="B1662" s="59">
        <v>8</v>
      </c>
      <c r="C1662" s="59" t="s">
        <v>1161</v>
      </c>
      <c r="D1662" s="59">
        <v>1044495</v>
      </c>
      <c r="E1662" s="59" t="s">
        <v>1134</v>
      </c>
      <c r="F1662" s="59" t="s">
        <v>1135</v>
      </c>
      <c r="G1662" s="59" t="s">
        <v>1136</v>
      </c>
      <c r="H1662" s="59" t="s">
        <v>1173</v>
      </c>
      <c r="I1662" s="60">
        <v>46174</v>
      </c>
      <c r="J1662" s="59" t="s">
        <v>1083</v>
      </c>
      <c r="K1662" s="59" t="s">
        <v>1172</v>
      </c>
      <c r="L1662" s="61">
        <v>1834195.44</v>
      </c>
      <c r="M1662" s="59"/>
      <c r="N1662" s="61">
        <v>1834195.44</v>
      </c>
      <c r="O1662" s="61">
        <v>6947279178.1808167</v>
      </c>
    </row>
    <row r="1663" spans="1:15" x14ac:dyDescent="0.25">
      <c r="A1663" s="62">
        <v>46238</v>
      </c>
      <c r="B1663">
        <v>8</v>
      </c>
      <c r="C1663" t="s">
        <v>1161</v>
      </c>
      <c r="D1663">
        <v>1044275</v>
      </c>
      <c r="E1663" t="s">
        <v>1134</v>
      </c>
      <c r="F1663" t="s">
        <v>1135</v>
      </c>
      <c r="G1663" t="s">
        <v>1136</v>
      </c>
      <c r="H1663" t="s">
        <v>1154</v>
      </c>
      <c r="I1663" s="63">
        <v>46174</v>
      </c>
      <c r="J1663" t="s">
        <v>1083</v>
      </c>
      <c r="K1663" t="s">
        <v>1172</v>
      </c>
      <c r="L1663" s="64">
        <v>1854039.13</v>
      </c>
      <c r="N1663" s="64">
        <v>1854039.13</v>
      </c>
      <c r="O1663" s="64">
        <v>6949133217.3108168</v>
      </c>
    </row>
    <row r="1664" spans="1:15" x14ac:dyDescent="0.25">
      <c r="A1664" s="58">
        <v>46238</v>
      </c>
      <c r="B1664" s="59">
        <v>8</v>
      </c>
      <c r="C1664" s="59" t="s">
        <v>1161</v>
      </c>
      <c r="D1664" s="59">
        <v>1044285</v>
      </c>
      <c r="E1664" s="59" t="s">
        <v>1134</v>
      </c>
      <c r="F1664" s="59" t="s">
        <v>1135</v>
      </c>
      <c r="G1664" s="59" t="s">
        <v>1136</v>
      </c>
      <c r="H1664" s="59" t="s">
        <v>1155</v>
      </c>
      <c r="I1664" s="60">
        <v>46174</v>
      </c>
      <c r="J1664" s="59" t="s">
        <v>1083</v>
      </c>
      <c r="K1664" s="59" t="s">
        <v>1172</v>
      </c>
      <c r="L1664" s="61">
        <v>3335555</v>
      </c>
      <c r="M1664" s="59"/>
      <c r="N1664" s="61">
        <v>3335555</v>
      </c>
      <c r="O1664" s="61">
        <v>6952468772.3108168</v>
      </c>
    </row>
    <row r="1665" spans="1:15" x14ac:dyDescent="0.25">
      <c r="A1665" s="62">
        <v>46238</v>
      </c>
      <c r="B1665">
        <v>8</v>
      </c>
      <c r="C1665" t="s">
        <v>1161</v>
      </c>
      <c r="D1665">
        <v>1044465</v>
      </c>
      <c r="E1665" t="s">
        <v>1134</v>
      </c>
      <c r="F1665" t="s">
        <v>1135</v>
      </c>
      <c r="G1665" t="s">
        <v>1136</v>
      </c>
      <c r="H1665" t="s">
        <v>1140</v>
      </c>
      <c r="I1665" s="63">
        <v>46174</v>
      </c>
      <c r="J1665" t="s">
        <v>1083</v>
      </c>
      <c r="K1665" t="s">
        <v>1172</v>
      </c>
      <c r="L1665" s="64">
        <v>810611.15299999993</v>
      </c>
      <c r="N1665" s="64">
        <v>810611.15299999993</v>
      </c>
      <c r="O1665" s="64">
        <v>6953279383.4638166</v>
      </c>
    </row>
    <row r="1666" spans="1:15" x14ac:dyDescent="0.25">
      <c r="A1666" s="58">
        <v>46238</v>
      </c>
      <c r="B1666" s="59">
        <v>8</v>
      </c>
      <c r="C1666" s="59" t="s">
        <v>1161</v>
      </c>
      <c r="D1666" s="59">
        <v>1044325</v>
      </c>
      <c r="E1666" s="59" t="s">
        <v>1134</v>
      </c>
      <c r="F1666" s="59" t="s">
        <v>1135</v>
      </c>
      <c r="G1666" s="59" t="s">
        <v>1136</v>
      </c>
      <c r="H1666" s="59" t="s">
        <v>1143</v>
      </c>
      <c r="I1666" s="60">
        <v>46174</v>
      </c>
      <c r="J1666" s="59" t="s">
        <v>1083</v>
      </c>
      <c r="K1666" s="59" t="s">
        <v>1172</v>
      </c>
      <c r="L1666" s="61">
        <v>2152517.4</v>
      </c>
      <c r="M1666" s="59"/>
      <c r="N1666" s="61">
        <v>2152517.4</v>
      </c>
      <c r="O1666" s="61">
        <v>6955431900.8638163</v>
      </c>
    </row>
    <row r="1667" spans="1:15" x14ac:dyDescent="0.25">
      <c r="A1667" s="62">
        <v>46238</v>
      </c>
      <c r="B1667">
        <v>8</v>
      </c>
      <c r="C1667" t="s">
        <v>1161</v>
      </c>
      <c r="D1667">
        <v>1044425</v>
      </c>
      <c r="E1667" t="s">
        <v>1134</v>
      </c>
      <c r="F1667" t="s">
        <v>1135</v>
      </c>
      <c r="G1667" t="s">
        <v>1136</v>
      </c>
      <c r="H1667" t="s">
        <v>1165</v>
      </c>
      <c r="I1667" s="63">
        <v>46174</v>
      </c>
      <c r="J1667" t="s">
        <v>1083</v>
      </c>
      <c r="K1667" t="s">
        <v>1172</v>
      </c>
      <c r="L1667" s="64">
        <v>2753285.3958999999</v>
      </c>
      <c r="N1667" s="64">
        <v>2753285.3958999999</v>
      </c>
      <c r="O1667" s="64">
        <v>6958185186.259716</v>
      </c>
    </row>
    <row r="1668" spans="1:15" x14ac:dyDescent="0.25">
      <c r="A1668" s="58">
        <v>46239</v>
      </c>
      <c r="B1668" s="59">
        <v>8</v>
      </c>
      <c r="C1668" s="59" t="s">
        <v>1166</v>
      </c>
      <c r="D1668" s="59">
        <v>2034412</v>
      </c>
      <c r="E1668" s="59" t="s">
        <v>1167</v>
      </c>
      <c r="F1668" s="59" t="s">
        <v>1168</v>
      </c>
      <c r="G1668" s="59" t="s">
        <v>1136</v>
      </c>
      <c r="H1668" s="59" t="s">
        <v>1160</v>
      </c>
      <c r="I1668" s="60">
        <v>46204</v>
      </c>
      <c r="J1668" s="59" t="s">
        <v>1084</v>
      </c>
      <c r="K1668" s="59" t="s">
        <v>1138</v>
      </c>
      <c r="L1668" s="59"/>
      <c r="M1668" s="61">
        <v>9338800.1799999997</v>
      </c>
      <c r="N1668" s="61">
        <v>-9338800.1799999997</v>
      </c>
      <c r="O1668" s="61">
        <v>6948846386.0797157</v>
      </c>
    </row>
    <row r="1669" spans="1:15" x14ac:dyDescent="0.25">
      <c r="A1669" s="62">
        <v>46239</v>
      </c>
      <c r="B1669">
        <v>8</v>
      </c>
      <c r="C1669" t="s">
        <v>1166</v>
      </c>
      <c r="D1669">
        <v>2054322</v>
      </c>
      <c r="E1669" t="s">
        <v>1167</v>
      </c>
      <c r="F1669" t="s">
        <v>1169</v>
      </c>
      <c r="G1669" t="s">
        <v>1136</v>
      </c>
      <c r="H1669" t="s">
        <v>1143</v>
      </c>
      <c r="I1669" s="63">
        <v>46204</v>
      </c>
      <c r="J1669" t="s">
        <v>1085</v>
      </c>
      <c r="K1669" t="s">
        <v>1138</v>
      </c>
      <c r="M1669" s="64">
        <v>24176100</v>
      </c>
      <c r="N1669" s="64">
        <v>-24176100</v>
      </c>
      <c r="O1669" s="64">
        <v>6924670286.0797157</v>
      </c>
    </row>
    <row r="1670" spans="1:15" x14ac:dyDescent="0.25">
      <c r="A1670" s="58">
        <v>46239</v>
      </c>
      <c r="B1670" s="59">
        <v>8</v>
      </c>
      <c r="C1670" s="59" t="s">
        <v>1166</v>
      </c>
      <c r="D1670" s="59">
        <v>2054327</v>
      </c>
      <c r="E1670" s="59" t="s">
        <v>1167</v>
      </c>
      <c r="F1670" s="59" t="s">
        <v>1169</v>
      </c>
      <c r="G1670" s="59" t="s">
        <v>1136</v>
      </c>
      <c r="H1670" s="59" t="s">
        <v>1143</v>
      </c>
      <c r="I1670" s="60">
        <v>46204</v>
      </c>
      <c r="J1670" s="59" t="s">
        <v>1085</v>
      </c>
      <c r="K1670" s="59" t="s">
        <v>1170</v>
      </c>
      <c r="L1670" s="59"/>
      <c r="M1670" s="61">
        <v>30600</v>
      </c>
      <c r="N1670" s="61">
        <v>-30600</v>
      </c>
      <c r="O1670" s="61">
        <v>6924639686.0797157</v>
      </c>
    </row>
    <row r="1671" spans="1:15" x14ac:dyDescent="0.25">
      <c r="A1671" s="62">
        <v>46239</v>
      </c>
      <c r="B1671">
        <v>8</v>
      </c>
      <c r="C1671" t="s">
        <v>1166</v>
      </c>
      <c r="D1671">
        <v>2054325</v>
      </c>
      <c r="E1671" t="s">
        <v>1167</v>
      </c>
      <c r="F1671" t="s">
        <v>1169</v>
      </c>
      <c r="G1671" t="s">
        <v>1136</v>
      </c>
      <c r="H1671" t="s">
        <v>1143</v>
      </c>
      <c r="I1671" s="63">
        <v>46204</v>
      </c>
      <c r="J1671" t="s">
        <v>1086</v>
      </c>
      <c r="K1671" t="s">
        <v>1172</v>
      </c>
      <c r="M1671" s="64">
        <v>979882.2</v>
      </c>
      <c r="N1671" s="64">
        <v>-979882.2</v>
      </c>
      <c r="O1671" s="64">
        <v>6923659803.8797159</v>
      </c>
    </row>
    <row r="1672" spans="1:15" x14ac:dyDescent="0.25">
      <c r="A1672" s="58">
        <v>46240</v>
      </c>
      <c r="B1672" s="59">
        <v>8</v>
      </c>
      <c r="C1672" s="59" t="s">
        <v>1171</v>
      </c>
      <c r="D1672" s="59">
        <v>2034413</v>
      </c>
      <c r="E1672" s="59" t="s">
        <v>1167</v>
      </c>
      <c r="F1672" s="59" t="s">
        <v>1168</v>
      </c>
      <c r="G1672" s="59" t="s">
        <v>1136</v>
      </c>
      <c r="H1672" s="59" t="s">
        <v>1160</v>
      </c>
      <c r="I1672" s="60">
        <v>46204</v>
      </c>
      <c r="J1672" s="59" t="s">
        <v>1087</v>
      </c>
      <c r="K1672" s="59" t="s">
        <v>1146</v>
      </c>
      <c r="L1672" s="59"/>
      <c r="M1672" s="61">
        <v>4231979.3100000015</v>
      </c>
      <c r="N1672" s="61">
        <v>-4231979.3100000015</v>
      </c>
      <c r="O1672" s="61">
        <v>6919427824.5697145</v>
      </c>
    </row>
    <row r="1673" spans="1:15" x14ac:dyDescent="0.25">
      <c r="A1673" s="62">
        <v>46240</v>
      </c>
      <c r="B1673">
        <v>8</v>
      </c>
      <c r="C1673" t="s">
        <v>1171</v>
      </c>
      <c r="D1673">
        <v>2034414</v>
      </c>
      <c r="E1673" t="s">
        <v>1167</v>
      </c>
      <c r="F1673" t="s">
        <v>1168</v>
      </c>
      <c r="G1673" t="s">
        <v>1136</v>
      </c>
      <c r="H1673" t="s">
        <v>1160</v>
      </c>
      <c r="I1673" s="63">
        <v>46204</v>
      </c>
      <c r="J1673" t="s">
        <v>1088</v>
      </c>
      <c r="K1673" t="s">
        <v>1148</v>
      </c>
      <c r="M1673" s="64">
        <v>19751111.420000002</v>
      </c>
      <c r="N1673" s="64">
        <v>-19751111.420000002</v>
      </c>
      <c r="O1673" s="64">
        <v>6899676713.1497154</v>
      </c>
    </row>
    <row r="1674" spans="1:15" x14ac:dyDescent="0.25">
      <c r="A1674" s="58">
        <v>46240</v>
      </c>
      <c r="B1674" s="59">
        <v>8</v>
      </c>
      <c r="C1674" s="59" t="s">
        <v>1171</v>
      </c>
      <c r="D1674" s="59">
        <v>2014425</v>
      </c>
      <c r="E1674" s="59" t="s">
        <v>1167</v>
      </c>
      <c r="F1674" s="59" t="s">
        <v>1174</v>
      </c>
      <c r="G1674" s="59" t="s">
        <v>1136</v>
      </c>
      <c r="H1674" s="59" t="s">
        <v>1165</v>
      </c>
      <c r="I1674" s="60">
        <v>46204</v>
      </c>
      <c r="J1674" s="59" t="s">
        <v>1089</v>
      </c>
      <c r="K1674" s="59" t="s">
        <v>1172</v>
      </c>
      <c r="L1674" s="59"/>
      <c r="M1674" s="61">
        <v>715827.65</v>
      </c>
      <c r="N1674" s="61">
        <v>-715827.65</v>
      </c>
      <c r="O1674" s="61">
        <v>6898960885.4997158</v>
      </c>
    </row>
    <row r="1675" spans="1:15" x14ac:dyDescent="0.25">
      <c r="A1675" s="62">
        <v>46240</v>
      </c>
      <c r="B1675">
        <v>8</v>
      </c>
      <c r="C1675" t="s">
        <v>1171</v>
      </c>
      <c r="D1675">
        <v>2034243</v>
      </c>
      <c r="E1675" t="s">
        <v>1167</v>
      </c>
      <c r="F1675" t="s">
        <v>1168</v>
      </c>
      <c r="G1675" t="s">
        <v>1136</v>
      </c>
      <c r="H1675" t="s">
        <v>1153</v>
      </c>
      <c r="I1675" s="63">
        <v>46204</v>
      </c>
      <c r="J1675" t="s">
        <v>1090</v>
      </c>
      <c r="K1675" t="s">
        <v>1146</v>
      </c>
      <c r="M1675" s="64">
        <v>15338866.52</v>
      </c>
      <c r="N1675" s="64">
        <v>-15338866.52</v>
      </c>
      <c r="O1675" s="64">
        <v>6883622018.9797153</v>
      </c>
    </row>
    <row r="1676" spans="1:15" x14ac:dyDescent="0.25">
      <c r="A1676" s="58">
        <v>46240</v>
      </c>
      <c r="B1676" s="59">
        <v>8</v>
      </c>
      <c r="C1676" s="59" t="s">
        <v>1171</v>
      </c>
      <c r="D1676" s="59">
        <v>2034244</v>
      </c>
      <c r="E1676" s="59" t="s">
        <v>1167</v>
      </c>
      <c r="F1676" s="59" t="s">
        <v>1168</v>
      </c>
      <c r="G1676" s="59" t="s">
        <v>1136</v>
      </c>
      <c r="H1676" s="59" t="s">
        <v>1153</v>
      </c>
      <c r="I1676" s="60">
        <v>46204</v>
      </c>
      <c r="J1676" s="59" t="s">
        <v>1091</v>
      </c>
      <c r="K1676" s="59" t="s">
        <v>1148</v>
      </c>
      <c r="L1676" s="59"/>
      <c r="M1676" s="61">
        <v>11447756.99</v>
      </c>
      <c r="N1676" s="61">
        <v>-11447756.99</v>
      </c>
      <c r="O1676" s="61">
        <v>6872174261.9897156</v>
      </c>
    </row>
    <row r="1677" spans="1:15" x14ac:dyDescent="0.25">
      <c r="A1677" s="62">
        <v>46240</v>
      </c>
      <c r="B1677">
        <v>8</v>
      </c>
      <c r="C1677" t="s">
        <v>1171</v>
      </c>
      <c r="D1677">
        <v>2054374</v>
      </c>
      <c r="E1677" t="s">
        <v>1167</v>
      </c>
      <c r="F1677" t="s">
        <v>1169</v>
      </c>
      <c r="G1677" t="s">
        <v>1136</v>
      </c>
      <c r="H1677" t="s">
        <v>1141</v>
      </c>
      <c r="I1677" s="63">
        <v>46204</v>
      </c>
      <c r="J1677" t="s">
        <v>1092</v>
      </c>
      <c r="K1677" t="s">
        <v>1148</v>
      </c>
      <c r="M1677" s="64">
        <v>11717205.77</v>
      </c>
      <c r="N1677" s="64">
        <v>-11717205.77</v>
      </c>
      <c r="O1677" s="64">
        <v>6860457056.2197151</v>
      </c>
    </row>
    <row r="1678" spans="1:15" x14ac:dyDescent="0.25">
      <c r="A1678" s="58">
        <v>46240</v>
      </c>
      <c r="B1678" s="59">
        <v>8</v>
      </c>
      <c r="C1678" s="59" t="s">
        <v>1171</v>
      </c>
      <c r="D1678" s="59">
        <v>2014275</v>
      </c>
      <c r="E1678" s="59" t="s">
        <v>1167</v>
      </c>
      <c r="F1678" s="59" t="s">
        <v>1174</v>
      </c>
      <c r="G1678" s="59" t="s">
        <v>1136</v>
      </c>
      <c r="H1678" s="59" t="s">
        <v>1154</v>
      </c>
      <c r="I1678" s="60">
        <v>46204</v>
      </c>
      <c r="J1678" s="59" t="s">
        <v>1093</v>
      </c>
      <c r="K1678" s="59" t="s">
        <v>1172</v>
      </c>
      <c r="L1678" s="59"/>
      <c r="M1678" s="61">
        <v>1612615.79</v>
      </c>
      <c r="N1678" s="61">
        <v>-1612615.79</v>
      </c>
      <c r="O1678" s="61">
        <v>6858844440.4297152</v>
      </c>
    </row>
    <row r="1679" spans="1:15" x14ac:dyDescent="0.25">
      <c r="A1679" s="62">
        <v>46240</v>
      </c>
      <c r="B1679">
        <v>8</v>
      </c>
      <c r="C1679" t="s">
        <v>1171</v>
      </c>
      <c r="D1679">
        <v>2014212</v>
      </c>
      <c r="E1679" t="s">
        <v>1167</v>
      </c>
      <c r="F1679" t="s">
        <v>1174</v>
      </c>
      <c r="G1679" t="s">
        <v>1136</v>
      </c>
      <c r="H1679" t="s">
        <v>1151</v>
      </c>
      <c r="I1679" s="63">
        <v>46204</v>
      </c>
      <c r="J1679" t="s">
        <v>1094</v>
      </c>
      <c r="K1679" t="s">
        <v>1138</v>
      </c>
      <c r="M1679" s="64">
        <v>7419395.8900000025</v>
      </c>
      <c r="N1679" s="64">
        <v>-7419395.8900000025</v>
      </c>
      <c r="O1679" s="64">
        <v>6851425044.5397148</v>
      </c>
    </row>
    <row r="1680" spans="1:15" x14ac:dyDescent="0.25">
      <c r="A1680" s="58">
        <v>46240</v>
      </c>
      <c r="B1680" s="59">
        <v>8</v>
      </c>
      <c r="C1680" s="59" t="s">
        <v>1171</v>
      </c>
      <c r="D1680" s="59">
        <v>2034235</v>
      </c>
      <c r="E1680" s="59" t="s">
        <v>1167</v>
      </c>
      <c r="F1680" s="59" t="s">
        <v>1168</v>
      </c>
      <c r="G1680" s="59" t="s">
        <v>1136</v>
      </c>
      <c r="H1680" s="59" t="s">
        <v>1152</v>
      </c>
      <c r="I1680" s="60">
        <v>46204</v>
      </c>
      <c r="J1680" s="59" t="s">
        <v>1095</v>
      </c>
      <c r="K1680" s="59" t="s">
        <v>1172</v>
      </c>
      <c r="L1680" s="59"/>
      <c r="M1680" s="61">
        <v>1074594.3600000001</v>
      </c>
      <c r="N1680" s="61">
        <v>-1074594.3600000001</v>
      </c>
      <c r="O1680" s="61">
        <v>6850350450.1797152</v>
      </c>
    </row>
    <row r="1681" spans="1:15" x14ac:dyDescent="0.25">
      <c r="A1681" s="62">
        <v>46240</v>
      </c>
      <c r="B1681">
        <v>8</v>
      </c>
      <c r="C1681" t="s">
        <v>1171</v>
      </c>
      <c r="D1681">
        <v>2044495</v>
      </c>
      <c r="E1681" t="s">
        <v>1167</v>
      </c>
      <c r="F1681" t="s">
        <v>1135</v>
      </c>
      <c r="G1681" t="s">
        <v>1136</v>
      </c>
      <c r="H1681" t="s">
        <v>1173</v>
      </c>
      <c r="I1681" s="63">
        <v>46204</v>
      </c>
      <c r="J1681" t="s">
        <v>1096</v>
      </c>
      <c r="K1681" t="s">
        <v>1172</v>
      </c>
      <c r="M1681" s="64">
        <v>726711.48</v>
      </c>
      <c r="N1681" s="64">
        <v>-726711.48</v>
      </c>
      <c r="O1681" s="64">
        <v>6849623738.6997156</v>
      </c>
    </row>
    <row r="1682" spans="1:15" x14ac:dyDescent="0.25">
      <c r="A1682" s="58">
        <v>46240</v>
      </c>
      <c r="B1682" s="59">
        <v>8</v>
      </c>
      <c r="C1682" s="59" t="s">
        <v>1171</v>
      </c>
      <c r="D1682" s="59">
        <v>1044161</v>
      </c>
      <c r="E1682" s="59" t="s">
        <v>1134</v>
      </c>
      <c r="F1682" s="59" t="s">
        <v>1135</v>
      </c>
      <c r="G1682" s="59" t="s">
        <v>1136</v>
      </c>
      <c r="H1682" s="59" t="s">
        <v>1162</v>
      </c>
      <c r="I1682" s="60">
        <v>46204</v>
      </c>
      <c r="J1682" s="59" t="s">
        <v>1097</v>
      </c>
      <c r="K1682" s="59" t="s">
        <v>1142</v>
      </c>
      <c r="L1682" s="61">
        <v>26318293.309999999</v>
      </c>
      <c r="M1682" s="59"/>
      <c r="N1682" s="61">
        <v>26318293.309999999</v>
      </c>
      <c r="O1682" s="61">
        <v>6980869740.7897158</v>
      </c>
    </row>
    <row r="1683" spans="1:15" x14ac:dyDescent="0.25">
      <c r="A1683" s="62">
        <v>46240</v>
      </c>
      <c r="B1683">
        <v>8</v>
      </c>
      <c r="C1683" t="s">
        <v>1171</v>
      </c>
      <c r="D1683">
        <v>1044171</v>
      </c>
      <c r="E1683" t="s">
        <v>1134</v>
      </c>
      <c r="F1683" t="s">
        <v>1135</v>
      </c>
      <c r="G1683" t="s">
        <v>1136</v>
      </c>
      <c r="H1683" t="s">
        <v>1147</v>
      </c>
      <c r="I1683" s="63">
        <v>46204</v>
      </c>
      <c r="J1683" t="s">
        <v>1097</v>
      </c>
      <c r="K1683" t="s">
        <v>1142</v>
      </c>
      <c r="L1683" s="64">
        <v>16090662.75</v>
      </c>
      <c r="N1683" s="64">
        <v>16090662.75</v>
      </c>
      <c r="O1683" s="64">
        <v>6996960403.5397158</v>
      </c>
    </row>
    <row r="1684" spans="1:15" x14ac:dyDescent="0.25">
      <c r="A1684" s="58">
        <v>46240</v>
      </c>
      <c r="B1684" s="59">
        <v>8</v>
      </c>
      <c r="C1684" s="59" t="s">
        <v>1171</v>
      </c>
      <c r="D1684" s="59">
        <v>1044201</v>
      </c>
      <c r="E1684" s="59" t="s">
        <v>1134</v>
      </c>
      <c r="F1684" s="59" t="s">
        <v>1135</v>
      </c>
      <c r="G1684" s="59" t="s">
        <v>1136</v>
      </c>
      <c r="H1684" s="59" t="s">
        <v>1139</v>
      </c>
      <c r="I1684" s="60">
        <v>46204</v>
      </c>
      <c r="J1684" s="59" t="s">
        <v>1097</v>
      </c>
      <c r="K1684" s="59" t="s">
        <v>1142</v>
      </c>
      <c r="L1684" s="61">
        <v>15601428.199999999</v>
      </c>
      <c r="M1684" s="59"/>
      <c r="N1684" s="61">
        <v>15601428.199999999</v>
      </c>
      <c r="O1684" s="61">
        <v>7012561831.7397156</v>
      </c>
    </row>
    <row r="1685" spans="1:15" x14ac:dyDescent="0.25">
      <c r="A1685" s="62">
        <v>46240</v>
      </c>
      <c r="B1685">
        <v>8</v>
      </c>
      <c r="C1685" t="s">
        <v>1171</v>
      </c>
      <c r="D1685">
        <v>1044211</v>
      </c>
      <c r="E1685" t="s">
        <v>1134</v>
      </c>
      <c r="F1685" t="s">
        <v>1135</v>
      </c>
      <c r="G1685" t="s">
        <v>1136</v>
      </c>
      <c r="H1685" t="s">
        <v>1151</v>
      </c>
      <c r="I1685" s="63">
        <v>46204</v>
      </c>
      <c r="J1685" t="s">
        <v>1097</v>
      </c>
      <c r="K1685" t="s">
        <v>1142</v>
      </c>
      <c r="L1685" s="64">
        <v>6938354.5</v>
      </c>
      <c r="N1685" s="64">
        <v>6938354.5</v>
      </c>
      <c r="O1685" s="64">
        <v>7019500186.2397156</v>
      </c>
    </row>
    <row r="1686" spans="1:15" x14ac:dyDescent="0.25">
      <c r="A1686" s="58">
        <v>46240</v>
      </c>
      <c r="B1686" s="59">
        <v>8</v>
      </c>
      <c r="C1686" s="59" t="s">
        <v>1171</v>
      </c>
      <c r="D1686" s="59">
        <v>1044241</v>
      </c>
      <c r="E1686" s="59" t="s">
        <v>1134</v>
      </c>
      <c r="F1686" s="59" t="s">
        <v>1135</v>
      </c>
      <c r="G1686" s="59" t="s">
        <v>1136</v>
      </c>
      <c r="H1686" s="59" t="s">
        <v>1153</v>
      </c>
      <c r="I1686" s="60">
        <v>46204</v>
      </c>
      <c r="J1686" s="59" t="s">
        <v>1097</v>
      </c>
      <c r="K1686" s="59" t="s">
        <v>1142</v>
      </c>
      <c r="L1686" s="61">
        <v>6234453.9350000015</v>
      </c>
      <c r="M1686" s="59"/>
      <c r="N1686" s="61">
        <v>6234453.9350000015</v>
      </c>
      <c r="O1686" s="61">
        <v>7025734640.174716</v>
      </c>
    </row>
    <row r="1687" spans="1:15" x14ac:dyDescent="0.25">
      <c r="A1687" s="62">
        <v>46240</v>
      </c>
      <c r="B1687">
        <v>8</v>
      </c>
      <c r="C1687" t="s">
        <v>1171</v>
      </c>
      <c r="D1687">
        <v>1044261</v>
      </c>
      <c r="E1687" t="s">
        <v>1134</v>
      </c>
      <c r="F1687" t="s">
        <v>1135</v>
      </c>
      <c r="G1687" t="s">
        <v>1136</v>
      </c>
      <c r="H1687" t="s">
        <v>1145</v>
      </c>
      <c r="I1687" s="63">
        <v>46204</v>
      </c>
      <c r="J1687" t="s">
        <v>1097</v>
      </c>
      <c r="K1687" t="s">
        <v>1142</v>
      </c>
      <c r="L1687" s="64">
        <v>5524262.1850000015</v>
      </c>
      <c r="N1687" s="64">
        <v>5524262.1850000015</v>
      </c>
      <c r="O1687" s="64">
        <v>7031258902.3597164</v>
      </c>
    </row>
    <row r="1688" spans="1:15" x14ac:dyDescent="0.25">
      <c r="A1688" s="58">
        <v>46240</v>
      </c>
      <c r="B1688" s="59">
        <v>8</v>
      </c>
      <c r="C1688" s="59" t="s">
        <v>1171</v>
      </c>
      <c r="D1688" s="59">
        <v>1044271</v>
      </c>
      <c r="E1688" s="59" t="s">
        <v>1134</v>
      </c>
      <c r="F1688" s="59" t="s">
        <v>1135</v>
      </c>
      <c r="G1688" s="59" t="s">
        <v>1136</v>
      </c>
      <c r="H1688" s="59" t="s">
        <v>1154</v>
      </c>
      <c r="I1688" s="60">
        <v>46204</v>
      </c>
      <c r="J1688" s="59" t="s">
        <v>1097</v>
      </c>
      <c r="K1688" s="59" t="s">
        <v>1142</v>
      </c>
      <c r="L1688" s="61">
        <v>12684464</v>
      </c>
      <c r="M1688" s="59"/>
      <c r="N1688" s="61">
        <v>12684464</v>
      </c>
      <c r="O1688" s="61">
        <v>7043943366.3597164</v>
      </c>
    </row>
    <row r="1689" spans="1:15" x14ac:dyDescent="0.25">
      <c r="A1689" s="62">
        <v>46240</v>
      </c>
      <c r="B1689">
        <v>8</v>
      </c>
      <c r="C1689" t="s">
        <v>1171</v>
      </c>
      <c r="D1689">
        <v>1044281</v>
      </c>
      <c r="E1689" t="s">
        <v>1134</v>
      </c>
      <c r="F1689" t="s">
        <v>1135</v>
      </c>
      <c r="G1689" t="s">
        <v>1136</v>
      </c>
      <c r="H1689" t="s">
        <v>1155</v>
      </c>
      <c r="I1689" s="63">
        <v>46204</v>
      </c>
      <c r="J1689" t="s">
        <v>1097</v>
      </c>
      <c r="K1689" t="s">
        <v>1142</v>
      </c>
      <c r="L1689" s="64">
        <v>37255912.369999997</v>
      </c>
      <c r="N1689" s="64">
        <v>37255912.369999997</v>
      </c>
      <c r="O1689" s="64">
        <v>7081199278.7297163</v>
      </c>
    </row>
    <row r="1690" spans="1:15" x14ac:dyDescent="0.25">
      <c r="A1690" s="58">
        <v>46240</v>
      </c>
      <c r="B1690" s="59">
        <v>8</v>
      </c>
      <c r="C1690" s="59" t="s">
        <v>1171</v>
      </c>
      <c r="D1690" s="59">
        <v>1044461</v>
      </c>
      <c r="E1690" s="59" t="s">
        <v>1134</v>
      </c>
      <c r="F1690" s="59" t="s">
        <v>1135</v>
      </c>
      <c r="G1690" s="59" t="s">
        <v>1136</v>
      </c>
      <c r="H1690" s="59" t="s">
        <v>1140</v>
      </c>
      <c r="I1690" s="60">
        <v>46204</v>
      </c>
      <c r="J1690" s="59" t="s">
        <v>1097</v>
      </c>
      <c r="K1690" s="59" t="s">
        <v>1142</v>
      </c>
      <c r="L1690" s="61">
        <v>3218671.0179231609</v>
      </c>
      <c r="M1690" s="59"/>
      <c r="N1690" s="61">
        <v>3218671.0179231609</v>
      </c>
      <c r="O1690" s="61">
        <v>7084417949.7476397</v>
      </c>
    </row>
    <row r="1691" spans="1:15" x14ac:dyDescent="0.25">
      <c r="A1691" s="62">
        <v>46240</v>
      </c>
      <c r="B1691">
        <v>8</v>
      </c>
      <c r="C1691" t="s">
        <v>1171</v>
      </c>
      <c r="D1691">
        <v>1044311</v>
      </c>
      <c r="E1691" t="s">
        <v>1134</v>
      </c>
      <c r="F1691" t="s">
        <v>1135</v>
      </c>
      <c r="G1691" t="s">
        <v>1136</v>
      </c>
      <c r="H1691" t="s">
        <v>1137</v>
      </c>
      <c r="I1691" s="63">
        <v>46204</v>
      </c>
      <c r="J1691" t="s">
        <v>1097</v>
      </c>
      <c r="K1691" t="s">
        <v>1142</v>
      </c>
      <c r="L1691" s="64">
        <v>42581699.239999987</v>
      </c>
      <c r="N1691" s="64">
        <v>42581699.239999987</v>
      </c>
      <c r="O1691" s="64">
        <v>7126999648.9876394</v>
      </c>
    </row>
    <row r="1692" spans="1:15" x14ac:dyDescent="0.25">
      <c r="A1692" s="58">
        <v>46240</v>
      </c>
      <c r="B1692" s="59">
        <v>8</v>
      </c>
      <c r="C1692" s="59" t="s">
        <v>1171</v>
      </c>
      <c r="D1692" s="59">
        <v>1044321</v>
      </c>
      <c r="E1692" s="59" t="s">
        <v>1134</v>
      </c>
      <c r="F1692" s="59" t="s">
        <v>1135</v>
      </c>
      <c r="G1692" s="59" t="s">
        <v>1136</v>
      </c>
      <c r="H1692" s="59" t="s">
        <v>1143</v>
      </c>
      <c r="I1692" s="60">
        <v>46204</v>
      </c>
      <c r="J1692" s="59" t="s">
        <v>1097</v>
      </c>
      <c r="K1692" s="59" t="s">
        <v>1142</v>
      </c>
      <c r="L1692" s="61">
        <v>23547450</v>
      </c>
      <c r="M1692" s="59"/>
      <c r="N1692" s="61">
        <v>23547450</v>
      </c>
      <c r="O1692" s="61">
        <v>7150547098.9876394</v>
      </c>
    </row>
    <row r="1693" spans="1:15" x14ac:dyDescent="0.25">
      <c r="A1693" s="62">
        <v>46240</v>
      </c>
      <c r="B1693">
        <v>8</v>
      </c>
      <c r="C1693" t="s">
        <v>1171</v>
      </c>
      <c r="D1693">
        <v>1044351</v>
      </c>
      <c r="E1693" t="s">
        <v>1134</v>
      </c>
      <c r="F1693" t="s">
        <v>1135</v>
      </c>
      <c r="G1693" t="s">
        <v>1136</v>
      </c>
      <c r="H1693" t="s">
        <v>1157</v>
      </c>
      <c r="I1693" s="63">
        <v>46204</v>
      </c>
      <c r="J1693" t="s">
        <v>1097</v>
      </c>
      <c r="K1693" t="s">
        <v>1142</v>
      </c>
      <c r="L1693" s="64">
        <v>8255193.5375999995</v>
      </c>
      <c r="N1693" s="64">
        <v>8255193.5375999995</v>
      </c>
      <c r="O1693" s="64">
        <v>7158802292.525239</v>
      </c>
    </row>
    <row r="1694" spans="1:15" x14ac:dyDescent="0.25">
      <c r="A1694" s="58">
        <v>46240</v>
      </c>
      <c r="B1694" s="59">
        <v>8</v>
      </c>
      <c r="C1694" s="59" t="s">
        <v>1171</v>
      </c>
      <c r="D1694" s="59">
        <v>1044361</v>
      </c>
      <c r="E1694" s="59" t="s">
        <v>1134</v>
      </c>
      <c r="F1694" s="59" t="s">
        <v>1135</v>
      </c>
      <c r="G1694" s="59" t="s">
        <v>1136</v>
      </c>
      <c r="H1694" s="59" t="s">
        <v>1158</v>
      </c>
      <c r="I1694" s="60">
        <v>46204</v>
      </c>
      <c r="J1694" s="59" t="s">
        <v>1097</v>
      </c>
      <c r="K1694" s="59" t="s">
        <v>1142</v>
      </c>
      <c r="L1694" s="61">
        <v>11365833.312000001</v>
      </c>
      <c r="M1694" s="59"/>
      <c r="N1694" s="61">
        <v>11365833.312000001</v>
      </c>
      <c r="O1694" s="61">
        <v>7170168125.8372393</v>
      </c>
    </row>
    <row r="1695" spans="1:15" x14ac:dyDescent="0.25">
      <c r="A1695" s="62">
        <v>46240</v>
      </c>
      <c r="B1695">
        <v>8</v>
      </c>
      <c r="C1695" t="s">
        <v>1171</v>
      </c>
      <c r="D1695">
        <v>1044371</v>
      </c>
      <c r="E1695" t="s">
        <v>1134</v>
      </c>
      <c r="F1695" t="s">
        <v>1135</v>
      </c>
      <c r="G1695" t="s">
        <v>1136</v>
      </c>
      <c r="H1695" t="s">
        <v>1141</v>
      </c>
      <c r="I1695" s="63">
        <v>46204</v>
      </c>
      <c r="J1695" t="s">
        <v>1097</v>
      </c>
      <c r="K1695" t="s">
        <v>1142</v>
      </c>
      <c r="L1695" s="64">
        <v>15308118.966</v>
      </c>
      <c r="N1695" s="64">
        <v>15308118.966</v>
      </c>
      <c r="O1695" s="64">
        <v>7185476244.8032389</v>
      </c>
    </row>
    <row r="1696" spans="1:15" x14ac:dyDescent="0.25">
      <c r="A1696" s="58">
        <v>46240</v>
      </c>
      <c r="B1696" s="59">
        <v>8</v>
      </c>
      <c r="C1696" s="59" t="s">
        <v>1171</v>
      </c>
      <c r="D1696" s="59">
        <v>1044381</v>
      </c>
      <c r="E1696" s="59" t="s">
        <v>1134</v>
      </c>
      <c r="F1696" s="59" t="s">
        <v>1135</v>
      </c>
      <c r="G1696" s="59" t="s">
        <v>1136</v>
      </c>
      <c r="H1696" s="59" t="s">
        <v>1163</v>
      </c>
      <c r="I1696" s="60">
        <v>46204</v>
      </c>
      <c r="J1696" s="59" t="s">
        <v>1097</v>
      </c>
      <c r="K1696" s="59" t="s">
        <v>1142</v>
      </c>
      <c r="L1696" s="61">
        <v>22660194.530000001</v>
      </c>
      <c r="M1696" s="59"/>
      <c r="N1696" s="61">
        <v>22660194.530000001</v>
      </c>
      <c r="O1696" s="61">
        <v>7208136439.3332386</v>
      </c>
    </row>
    <row r="1697" spans="1:15" x14ac:dyDescent="0.25">
      <c r="A1697" s="62">
        <v>46240</v>
      </c>
      <c r="B1697">
        <v>8</v>
      </c>
      <c r="C1697" t="s">
        <v>1171</v>
      </c>
      <c r="D1697">
        <v>1044391</v>
      </c>
      <c r="E1697" t="s">
        <v>1134</v>
      </c>
      <c r="F1697" t="s">
        <v>1135</v>
      </c>
      <c r="G1697" t="s">
        <v>1136</v>
      </c>
      <c r="H1697" t="s">
        <v>1164</v>
      </c>
      <c r="I1697" s="63">
        <v>46204</v>
      </c>
      <c r="J1697" t="s">
        <v>1097</v>
      </c>
      <c r="K1697" t="s">
        <v>1142</v>
      </c>
      <c r="L1697" s="64">
        <v>13159574.75</v>
      </c>
      <c r="N1697" s="64">
        <v>13159574.75</v>
      </c>
      <c r="O1697" s="64">
        <v>7221296014.0832386</v>
      </c>
    </row>
    <row r="1698" spans="1:15" x14ac:dyDescent="0.25">
      <c r="A1698" s="58">
        <v>46240</v>
      </c>
      <c r="B1698" s="59">
        <v>8</v>
      </c>
      <c r="C1698" s="59" t="s">
        <v>1171</v>
      </c>
      <c r="D1698" s="59">
        <v>1044401</v>
      </c>
      <c r="E1698" s="59" t="s">
        <v>1134</v>
      </c>
      <c r="F1698" s="59" t="s">
        <v>1135</v>
      </c>
      <c r="G1698" s="59" t="s">
        <v>1136</v>
      </c>
      <c r="H1698" s="59" t="s">
        <v>1159</v>
      </c>
      <c r="I1698" s="60">
        <v>46204</v>
      </c>
      <c r="J1698" s="59" t="s">
        <v>1097</v>
      </c>
      <c r="K1698" s="59" t="s">
        <v>1142</v>
      </c>
      <c r="L1698" s="61">
        <v>33669017.18</v>
      </c>
      <c r="M1698" s="59"/>
      <c r="N1698" s="61">
        <v>33669017.18</v>
      </c>
      <c r="O1698" s="61">
        <v>7254965031.2632389</v>
      </c>
    </row>
    <row r="1699" spans="1:15" x14ac:dyDescent="0.25">
      <c r="A1699" s="62">
        <v>46240</v>
      </c>
      <c r="B1699">
        <v>8</v>
      </c>
      <c r="C1699" t="s">
        <v>1171</v>
      </c>
      <c r="D1699">
        <v>1044411</v>
      </c>
      <c r="E1699" t="s">
        <v>1134</v>
      </c>
      <c r="F1699" t="s">
        <v>1135</v>
      </c>
      <c r="G1699" t="s">
        <v>1136</v>
      </c>
      <c r="H1699" t="s">
        <v>1160</v>
      </c>
      <c r="I1699" s="63">
        <v>46204</v>
      </c>
      <c r="J1699" t="s">
        <v>1097</v>
      </c>
      <c r="K1699" t="s">
        <v>1142</v>
      </c>
      <c r="L1699" s="64">
        <v>3900593.87</v>
      </c>
      <c r="N1699" s="64">
        <v>3900593.87</v>
      </c>
      <c r="O1699" s="64">
        <v>7258865625.1332388</v>
      </c>
    </row>
    <row r="1700" spans="1:15" x14ac:dyDescent="0.25">
      <c r="A1700" s="58">
        <v>46240</v>
      </c>
      <c r="B1700" s="59">
        <v>8</v>
      </c>
      <c r="C1700" s="59" t="s">
        <v>1171</v>
      </c>
      <c r="D1700" s="59">
        <v>1044421</v>
      </c>
      <c r="E1700" s="59" t="s">
        <v>1134</v>
      </c>
      <c r="F1700" s="59" t="s">
        <v>1135</v>
      </c>
      <c r="G1700" s="59" t="s">
        <v>1136</v>
      </c>
      <c r="H1700" s="59" t="s">
        <v>1165</v>
      </c>
      <c r="I1700" s="60">
        <v>46204</v>
      </c>
      <c r="J1700" s="59" t="s">
        <v>1097</v>
      </c>
      <c r="K1700" s="59" t="s">
        <v>1142</v>
      </c>
      <c r="L1700" s="61">
        <v>98277174.573593706</v>
      </c>
      <c r="M1700" s="59"/>
      <c r="N1700" s="61">
        <v>98277174.573593706</v>
      </c>
      <c r="O1700" s="61">
        <v>7357142799.7068329</v>
      </c>
    </row>
    <row r="1701" spans="1:15" x14ac:dyDescent="0.25">
      <c r="A1701" s="62">
        <v>46241</v>
      </c>
      <c r="B1701">
        <v>8</v>
      </c>
      <c r="C1701" t="s">
        <v>1133</v>
      </c>
      <c r="D1701">
        <v>2034411</v>
      </c>
      <c r="E1701" t="s">
        <v>1167</v>
      </c>
      <c r="F1701" t="s">
        <v>1168</v>
      </c>
      <c r="G1701" t="s">
        <v>1136</v>
      </c>
      <c r="H1701" t="s">
        <v>1160</v>
      </c>
      <c r="I1701" s="63">
        <v>46204</v>
      </c>
      <c r="J1701" t="s">
        <v>1098</v>
      </c>
      <c r="K1701" t="s">
        <v>1142</v>
      </c>
      <c r="M1701" s="64">
        <v>6484605.8700000001</v>
      </c>
      <c r="N1701" s="64">
        <v>-6484605.8700000001</v>
      </c>
      <c r="O1701" s="64">
        <v>7812557174.649333</v>
      </c>
    </row>
    <row r="1702" spans="1:15" x14ac:dyDescent="0.25">
      <c r="A1702" s="58">
        <v>46241</v>
      </c>
      <c r="B1702" s="59">
        <v>8</v>
      </c>
      <c r="C1702" s="59" t="s">
        <v>1133</v>
      </c>
      <c r="D1702" s="59">
        <v>2054324</v>
      </c>
      <c r="E1702" s="59" t="s">
        <v>1167</v>
      </c>
      <c r="F1702" s="59" t="s">
        <v>1169</v>
      </c>
      <c r="G1702" s="59" t="s">
        <v>1136</v>
      </c>
      <c r="H1702" s="59" t="s">
        <v>1143</v>
      </c>
      <c r="I1702" s="60">
        <v>46204</v>
      </c>
      <c r="J1702" s="59" t="s">
        <v>1099</v>
      </c>
      <c r="K1702" s="59" t="s">
        <v>1148</v>
      </c>
      <c r="L1702" s="59"/>
      <c r="M1702" s="61">
        <v>82401440</v>
      </c>
      <c r="N1702" s="61">
        <v>-82401440</v>
      </c>
      <c r="O1702" s="61">
        <v>7730155734.649333</v>
      </c>
    </row>
    <row r="1703" spans="1:15" x14ac:dyDescent="0.25">
      <c r="A1703" s="62">
        <v>46241</v>
      </c>
      <c r="B1703">
        <v>8</v>
      </c>
      <c r="C1703" t="s">
        <v>1133</v>
      </c>
      <c r="D1703">
        <v>2054326</v>
      </c>
      <c r="E1703" t="s">
        <v>1167</v>
      </c>
      <c r="F1703" t="s">
        <v>1169</v>
      </c>
      <c r="G1703" t="s">
        <v>1136</v>
      </c>
      <c r="H1703" t="s">
        <v>1143</v>
      </c>
      <c r="I1703" s="63">
        <v>46204</v>
      </c>
      <c r="J1703" t="s">
        <v>1099</v>
      </c>
      <c r="K1703" t="s">
        <v>1150</v>
      </c>
      <c r="M1703" s="64">
        <v>1364547.83</v>
      </c>
      <c r="N1703" s="64">
        <v>-1364547.83</v>
      </c>
      <c r="O1703" s="64">
        <v>7728791186.8193331</v>
      </c>
    </row>
    <row r="1704" spans="1:15" x14ac:dyDescent="0.25">
      <c r="A1704" s="58">
        <v>46241</v>
      </c>
      <c r="B1704" s="59">
        <v>8</v>
      </c>
      <c r="C1704" s="59" t="s">
        <v>1133</v>
      </c>
      <c r="D1704" s="59">
        <v>2014272</v>
      </c>
      <c r="E1704" s="59" t="s">
        <v>1167</v>
      </c>
      <c r="F1704" s="59" t="s">
        <v>1174</v>
      </c>
      <c r="G1704" s="59" t="s">
        <v>1136</v>
      </c>
      <c r="H1704" s="59" t="s">
        <v>1154</v>
      </c>
      <c r="I1704" s="60">
        <v>46204</v>
      </c>
      <c r="J1704" s="59" t="s">
        <v>1100</v>
      </c>
      <c r="K1704" s="59" t="s">
        <v>1138</v>
      </c>
      <c r="L1704" s="59"/>
      <c r="M1704" s="61">
        <v>2430537.89</v>
      </c>
      <c r="N1704" s="61">
        <v>-2430537.89</v>
      </c>
      <c r="O1704" s="61">
        <v>7726360648.9293327</v>
      </c>
    </row>
    <row r="1705" spans="1:15" x14ac:dyDescent="0.25">
      <c r="A1705" s="62">
        <v>46241</v>
      </c>
      <c r="B1705">
        <v>8</v>
      </c>
      <c r="C1705" t="s">
        <v>1133</v>
      </c>
      <c r="D1705">
        <v>2014274</v>
      </c>
      <c r="E1705" t="s">
        <v>1167</v>
      </c>
      <c r="F1705" t="s">
        <v>1174</v>
      </c>
      <c r="G1705" t="s">
        <v>1136</v>
      </c>
      <c r="H1705" t="s">
        <v>1154</v>
      </c>
      <c r="I1705" s="63">
        <v>46204</v>
      </c>
      <c r="J1705" t="s">
        <v>1101</v>
      </c>
      <c r="K1705" t="s">
        <v>1148</v>
      </c>
      <c r="M1705" s="64">
        <v>24228155.829999998</v>
      </c>
      <c r="N1705" s="64">
        <v>-24228155.829999998</v>
      </c>
      <c r="O1705" s="64">
        <v>7702132493.0993328</v>
      </c>
    </row>
    <row r="1706" spans="1:15" x14ac:dyDescent="0.25">
      <c r="A1706" s="58">
        <v>46241</v>
      </c>
      <c r="B1706" s="59">
        <v>8</v>
      </c>
      <c r="C1706" s="59" t="s">
        <v>1133</v>
      </c>
      <c r="D1706" s="59">
        <v>2014214</v>
      </c>
      <c r="E1706" s="59" t="s">
        <v>1167</v>
      </c>
      <c r="F1706" s="59" t="s">
        <v>1174</v>
      </c>
      <c r="G1706" s="59" t="s">
        <v>1136</v>
      </c>
      <c r="H1706" s="59" t="s">
        <v>1151</v>
      </c>
      <c r="I1706" s="60">
        <v>46204</v>
      </c>
      <c r="J1706" s="59" t="s">
        <v>1102</v>
      </c>
      <c r="K1706" s="59" t="s">
        <v>1148</v>
      </c>
      <c r="L1706" s="59"/>
      <c r="M1706" s="61">
        <v>7189538.0999999996</v>
      </c>
      <c r="N1706" s="61">
        <v>-7189538.0999999996</v>
      </c>
      <c r="O1706" s="61">
        <v>7694942954.9993324</v>
      </c>
    </row>
    <row r="1707" spans="1:15" x14ac:dyDescent="0.25">
      <c r="A1707" s="62">
        <v>46241</v>
      </c>
      <c r="B1707">
        <v>8</v>
      </c>
      <c r="C1707" t="s">
        <v>1133</v>
      </c>
      <c r="D1707">
        <v>2034234</v>
      </c>
      <c r="E1707" t="s">
        <v>1167</v>
      </c>
      <c r="F1707" t="s">
        <v>1168</v>
      </c>
      <c r="G1707" t="s">
        <v>1136</v>
      </c>
      <c r="H1707" t="s">
        <v>1152</v>
      </c>
      <c r="I1707" s="63">
        <v>46204</v>
      </c>
      <c r="J1707" t="s">
        <v>1103</v>
      </c>
      <c r="K1707" t="s">
        <v>1148</v>
      </c>
      <c r="M1707" s="64">
        <v>28237267.449999999</v>
      </c>
      <c r="N1707" s="64">
        <v>-28237267.449999999</v>
      </c>
      <c r="O1707" s="64">
        <v>7666705687.5493326</v>
      </c>
    </row>
    <row r="1708" spans="1:15" x14ac:dyDescent="0.25">
      <c r="A1708" s="58">
        <v>46241</v>
      </c>
      <c r="B1708" s="59">
        <v>8</v>
      </c>
      <c r="C1708" s="59" t="s">
        <v>1133</v>
      </c>
      <c r="D1708" s="59">
        <v>2054321</v>
      </c>
      <c r="E1708" s="59" t="s">
        <v>1167</v>
      </c>
      <c r="F1708" s="59" t="s">
        <v>1169</v>
      </c>
      <c r="G1708" s="59" t="s">
        <v>1136</v>
      </c>
      <c r="H1708" s="59" t="s">
        <v>1143</v>
      </c>
      <c r="I1708" s="60">
        <v>46204</v>
      </c>
      <c r="J1708" s="59" t="s">
        <v>1104</v>
      </c>
      <c r="K1708" s="59" t="s">
        <v>1142</v>
      </c>
      <c r="L1708" s="59"/>
      <c r="M1708" s="61">
        <v>56121352</v>
      </c>
      <c r="N1708" s="61">
        <v>-56121352</v>
      </c>
      <c r="O1708" s="61">
        <v>7610584335.5493326</v>
      </c>
    </row>
    <row r="1709" spans="1:15" x14ac:dyDescent="0.25">
      <c r="A1709" s="62">
        <v>46241</v>
      </c>
      <c r="B1709">
        <v>8</v>
      </c>
      <c r="C1709" t="s">
        <v>1133</v>
      </c>
      <c r="D1709">
        <v>2054197</v>
      </c>
      <c r="E1709" t="s">
        <v>1167</v>
      </c>
      <c r="F1709" t="s">
        <v>1169</v>
      </c>
      <c r="G1709" t="s">
        <v>1136</v>
      </c>
      <c r="H1709" t="s">
        <v>1149</v>
      </c>
      <c r="I1709" s="63">
        <v>46204</v>
      </c>
      <c r="J1709" t="s">
        <v>1105</v>
      </c>
      <c r="K1709" t="s">
        <v>1170</v>
      </c>
      <c r="M1709" s="64">
        <v>352812</v>
      </c>
      <c r="N1709" s="64">
        <v>-352812</v>
      </c>
      <c r="O1709" s="64">
        <v>7610231523.5493326</v>
      </c>
    </row>
    <row r="1710" spans="1:15" x14ac:dyDescent="0.25">
      <c r="A1710" s="58">
        <v>46244</v>
      </c>
      <c r="B1710" s="59">
        <v>8</v>
      </c>
      <c r="C1710" s="59" t="s">
        <v>1144</v>
      </c>
      <c r="D1710" s="59">
        <v>2014421</v>
      </c>
      <c r="E1710" s="59" t="s">
        <v>1167</v>
      </c>
      <c r="F1710" s="59" t="s">
        <v>1174</v>
      </c>
      <c r="G1710" s="59" t="s">
        <v>1136</v>
      </c>
      <c r="H1710" s="59" t="s">
        <v>1165</v>
      </c>
      <c r="I1710" s="60">
        <v>46204</v>
      </c>
      <c r="J1710" s="59" t="s">
        <v>1112</v>
      </c>
      <c r="K1710" s="59" t="s">
        <v>1142</v>
      </c>
      <c r="L1710" s="59"/>
      <c r="M1710" s="61">
        <v>154263137.86000001</v>
      </c>
      <c r="N1710" s="61">
        <v>-154263137.86000001</v>
      </c>
      <c r="O1710" s="61">
        <v>7560589846.5993328</v>
      </c>
    </row>
    <row r="1711" spans="1:15" x14ac:dyDescent="0.25">
      <c r="A1711" s="62">
        <v>46244</v>
      </c>
      <c r="B1711">
        <v>8</v>
      </c>
      <c r="C1711" t="s">
        <v>1144</v>
      </c>
      <c r="D1711">
        <v>2014422</v>
      </c>
      <c r="E1711" t="s">
        <v>1167</v>
      </c>
      <c r="F1711" t="s">
        <v>1174</v>
      </c>
      <c r="G1711" t="s">
        <v>1136</v>
      </c>
      <c r="H1711" t="s">
        <v>1165</v>
      </c>
      <c r="I1711" s="63">
        <v>46204</v>
      </c>
      <c r="J1711" t="s">
        <v>1113</v>
      </c>
      <c r="K1711" t="s">
        <v>1138</v>
      </c>
      <c r="M1711" s="64">
        <v>48361103.632600002</v>
      </c>
      <c r="N1711" s="64">
        <v>-48361103.632600002</v>
      </c>
      <c r="O1711" s="64">
        <v>7512228742.966733</v>
      </c>
    </row>
    <row r="1712" spans="1:15" x14ac:dyDescent="0.25">
      <c r="A1712" s="58">
        <v>46244</v>
      </c>
      <c r="B1712" s="59">
        <v>8</v>
      </c>
      <c r="C1712" s="59" t="s">
        <v>1144</v>
      </c>
      <c r="D1712" s="59">
        <v>2014427</v>
      </c>
      <c r="E1712" s="59" t="s">
        <v>1167</v>
      </c>
      <c r="F1712" s="59" t="s">
        <v>1174</v>
      </c>
      <c r="G1712" s="59" t="s">
        <v>1136</v>
      </c>
      <c r="H1712" s="59" t="s">
        <v>1165</v>
      </c>
      <c r="I1712" s="60">
        <v>46204</v>
      </c>
      <c r="J1712" s="59" t="s">
        <v>1113</v>
      </c>
      <c r="K1712" s="59" t="s">
        <v>1170</v>
      </c>
      <c r="L1712" s="59"/>
      <c r="M1712" s="61">
        <v>60</v>
      </c>
      <c r="N1712" s="61">
        <v>-60</v>
      </c>
      <c r="O1712" s="61">
        <v>7512228682.966733</v>
      </c>
    </row>
    <row r="1713" spans="1:15" x14ac:dyDescent="0.25">
      <c r="A1713" s="62">
        <v>46244</v>
      </c>
      <c r="B1713">
        <v>8</v>
      </c>
      <c r="C1713" t="s">
        <v>1144</v>
      </c>
      <c r="D1713">
        <v>2014422</v>
      </c>
      <c r="E1713" t="s">
        <v>1167</v>
      </c>
      <c r="F1713" t="s">
        <v>1174</v>
      </c>
      <c r="G1713" t="s">
        <v>1136</v>
      </c>
      <c r="H1713" t="s">
        <v>1165</v>
      </c>
      <c r="I1713" s="63">
        <v>46204</v>
      </c>
      <c r="J1713" t="s">
        <v>1113</v>
      </c>
      <c r="K1713" t="s">
        <v>1138</v>
      </c>
      <c r="M1713" s="64">
        <v>3542686.0573999961</v>
      </c>
      <c r="N1713" s="64">
        <v>-3542686.0573999961</v>
      </c>
      <c r="O1713" s="64">
        <v>7508685996.9093332</v>
      </c>
    </row>
    <row r="1714" spans="1:15" x14ac:dyDescent="0.25">
      <c r="A1714" s="58">
        <v>46244</v>
      </c>
      <c r="B1714" s="59">
        <v>8</v>
      </c>
      <c r="C1714" s="59" t="s">
        <v>1144</v>
      </c>
      <c r="D1714" s="59">
        <v>2034241</v>
      </c>
      <c r="E1714" s="59" t="s">
        <v>1167</v>
      </c>
      <c r="F1714" s="59" t="s">
        <v>1168</v>
      </c>
      <c r="G1714" s="59" t="s">
        <v>1136</v>
      </c>
      <c r="H1714" s="59" t="s">
        <v>1153</v>
      </c>
      <c r="I1714" s="60">
        <v>46204</v>
      </c>
      <c r="J1714" s="59" t="s">
        <v>1114</v>
      </c>
      <c r="K1714" s="59" t="s">
        <v>1142</v>
      </c>
      <c r="L1714" s="59"/>
      <c r="M1714" s="61">
        <v>8620836.6300000008</v>
      </c>
      <c r="N1714" s="61">
        <v>-8620836.6300000008</v>
      </c>
      <c r="O1714" s="61">
        <v>7500065160.2793331</v>
      </c>
    </row>
    <row r="1715" spans="1:15" x14ac:dyDescent="0.25">
      <c r="A1715" s="62">
        <v>46244</v>
      </c>
      <c r="B1715">
        <v>8</v>
      </c>
      <c r="C1715" t="s">
        <v>1144</v>
      </c>
      <c r="D1715">
        <v>2054371</v>
      </c>
      <c r="E1715" t="s">
        <v>1167</v>
      </c>
      <c r="F1715" t="s">
        <v>1169</v>
      </c>
      <c r="G1715" t="s">
        <v>1136</v>
      </c>
      <c r="H1715" t="s">
        <v>1141</v>
      </c>
      <c r="I1715" s="63">
        <v>46204</v>
      </c>
      <c r="J1715" t="s">
        <v>1115</v>
      </c>
      <c r="K1715" t="s">
        <v>1142</v>
      </c>
      <c r="M1715" s="64">
        <v>21608384.969999999</v>
      </c>
      <c r="N1715" s="64">
        <v>-21608384.969999999</v>
      </c>
      <c r="O1715" s="64">
        <v>7478456775.3093328</v>
      </c>
    </row>
    <row r="1716" spans="1:15" x14ac:dyDescent="0.25">
      <c r="A1716" s="58">
        <v>46244</v>
      </c>
      <c r="B1716" s="59">
        <v>8</v>
      </c>
      <c r="C1716" s="59" t="s">
        <v>1144</v>
      </c>
      <c r="D1716" s="59">
        <v>2054372</v>
      </c>
      <c r="E1716" s="59" t="s">
        <v>1167</v>
      </c>
      <c r="F1716" s="59" t="s">
        <v>1169</v>
      </c>
      <c r="G1716" s="59" t="s">
        <v>1136</v>
      </c>
      <c r="H1716" s="59" t="s">
        <v>1141</v>
      </c>
      <c r="I1716" s="60">
        <v>46204</v>
      </c>
      <c r="J1716" s="59" t="s">
        <v>1116</v>
      </c>
      <c r="K1716" s="59" t="s">
        <v>1138</v>
      </c>
      <c r="L1716" s="59"/>
      <c r="M1716" s="61">
        <v>28162774.596179999</v>
      </c>
      <c r="N1716" s="61">
        <v>-28162774.596179999</v>
      </c>
      <c r="O1716" s="61">
        <v>7450294000.7131529</v>
      </c>
    </row>
    <row r="1717" spans="1:15" x14ac:dyDescent="0.25">
      <c r="A1717" s="62">
        <v>46244</v>
      </c>
      <c r="B1717">
        <v>8</v>
      </c>
      <c r="C1717" t="s">
        <v>1144</v>
      </c>
      <c r="D1717">
        <v>2054391</v>
      </c>
      <c r="E1717" t="s">
        <v>1167</v>
      </c>
      <c r="F1717" t="s">
        <v>1169</v>
      </c>
      <c r="G1717" t="s">
        <v>1136</v>
      </c>
      <c r="H1717" t="s">
        <v>1164</v>
      </c>
      <c r="I1717" s="63">
        <v>46204</v>
      </c>
      <c r="J1717" t="s">
        <v>1117</v>
      </c>
      <c r="K1717" t="s">
        <v>1142</v>
      </c>
      <c r="M1717" s="64">
        <v>37935936.25</v>
      </c>
      <c r="N1717" s="64">
        <v>-37935936.25</v>
      </c>
      <c r="O1717" s="64">
        <v>7412358064.4631529</v>
      </c>
    </row>
    <row r="1718" spans="1:15" x14ac:dyDescent="0.25">
      <c r="A1718" s="58">
        <v>46244</v>
      </c>
      <c r="B1718" s="59">
        <v>8</v>
      </c>
      <c r="C1718" s="59" t="s">
        <v>1144</v>
      </c>
      <c r="D1718" s="59">
        <v>2014271</v>
      </c>
      <c r="E1718" s="59" t="s">
        <v>1167</v>
      </c>
      <c r="F1718" s="59" t="s">
        <v>1174</v>
      </c>
      <c r="G1718" s="59" t="s">
        <v>1136</v>
      </c>
      <c r="H1718" s="59" t="s">
        <v>1154</v>
      </c>
      <c r="I1718" s="60">
        <v>46204</v>
      </c>
      <c r="J1718" s="59" t="s">
        <v>1118</v>
      </c>
      <c r="K1718" s="59" t="s">
        <v>1142</v>
      </c>
      <c r="L1718" s="59"/>
      <c r="M1718" s="61">
        <v>30184686.16</v>
      </c>
      <c r="N1718" s="61">
        <v>-30184686.16</v>
      </c>
      <c r="O1718" s="61">
        <v>7382173378.303153</v>
      </c>
    </row>
    <row r="1719" spans="1:15" x14ac:dyDescent="0.25">
      <c r="A1719" s="62">
        <v>46244</v>
      </c>
      <c r="B1719">
        <v>8</v>
      </c>
      <c r="C1719" t="s">
        <v>1144</v>
      </c>
      <c r="D1719">
        <v>2014211</v>
      </c>
      <c r="E1719" t="s">
        <v>1167</v>
      </c>
      <c r="F1719" t="s">
        <v>1174</v>
      </c>
      <c r="G1719" t="s">
        <v>1136</v>
      </c>
      <c r="H1719" t="s">
        <v>1151</v>
      </c>
      <c r="I1719" s="63">
        <v>46204</v>
      </c>
      <c r="J1719" t="s">
        <v>1119</v>
      </c>
      <c r="K1719" t="s">
        <v>1142</v>
      </c>
      <c r="M1719" s="64">
        <v>14854875.5</v>
      </c>
      <c r="N1719" s="64">
        <v>-14854875.5</v>
      </c>
      <c r="O1719" s="64">
        <v>7367318502.803153</v>
      </c>
    </row>
    <row r="1720" spans="1:15" x14ac:dyDescent="0.25">
      <c r="A1720" s="58">
        <v>46244</v>
      </c>
      <c r="B1720" s="59">
        <v>8</v>
      </c>
      <c r="C1720" s="59" t="s">
        <v>1144</v>
      </c>
      <c r="D1720" s="59">
        <v>2054196</v>
      </c>
      <c r="E1720" s="59" t="s">
        <v>1167</v>
      </c>
      <c r="F1720" s="59" t="s">
        <v>1169</v>
      </c>
      <c r="G1720" s="59" t="s">
        <v>1136</v>
      </c>
      <c r="H1720" s="59" t="s">
        <v>1149</v>
      </c>
      <c r="I1720" s="60">
        <v>46204</v>
      </c>
      <c r="J1720" s="59" t="s">
        <v>1120</v>
      </c>
      <c r="K1720" s="59" t="s">
        <v>1150</v>
      </c>
      <c r="L1720" s="59"/>
      <c r="M1720" s="61">
        <v>11824665.380000001</v>
      </c>
      <c r="N1720" s="61">
        <v>-11824665.380000001</v>
      </c>
      <c r="O1720" s="61">
        <v>7355493837.4231529</v>
      </c>
    </row>
    <row r="1721" spans="1:15" x14ac:dyDescent="0.25">
      <c r="A1721" s="62">
        <v>46244</v>
      </c>
      <c r="B1721">
        <v>8</v>
      </c>
      <c r="C1721" t="s">
        <v>1144</v>
      </c>
      <c r="D1721">
        <v>1044312</v>
      </c>
      <c r="E1721" t="s">
        <v>1134</v>
      </c>
      <c r="F1721" t="s">
        <v>1135</v>
      </c>
      <c r="G1721" t="s">
        <v>1136</v>
      </c>
      <c r="H1721" t="s">
        <v>1137</v>
      </c>
      <c r="I1721" s="63">
        <v>46204</v>
      </c>
      <c r="J1721" t="s">
        <v>1121</v>
      </c>
      <c r="K1721" t="s">
        <v>1138</v>
      </c>
      <c r="L1721" s="64">
        <v>764900</v>
      </c>
      <c r="N1721" s="64">
        <v>764900</v>
      </c>
      <c r="O1721" s="64">
        <v>7356258737.4231529</v>
      </c>
    </row>
    <row r="1722" spans="1:15" x14ac:dyDescent="0.25">
      <c r="A1722" s="58">
        <v>46244</v>
      </c>
      <c r="B1722" s="59">
        <v>8</v>
      </c>
      <c r="C1722" s="59" t="s">
        <v>1144</v>
      </c>
      <c r="D1722" s="59">
        <v>1044202</v>
      </c>
      <c r="E1722" s="59" t="s">
        <v>1134</v>
      </c>
      <c r="F1722" s="59" t="s">
        <v>1135</v>
      </c>
      <c r="G1722" s="59" t="s">
        <v>1136</v>
      </c>
      <c r="H1722" s="59" t="s">
        <v>1139</v>
      </c>
      <c r="I1722" s="60">
        <v>46204</v>
      </c>
      <c r="J1722" s="59" t="s">
        <v>1121</v>
      </c>
      <c r="K1722" s="59" t="s">
        <v>1138</v>
      </c>
      <c r="L1722" s="61">
        <v>512618.89</v>
      </c>
      <c r="M1722" s="59"/>
      <c r="N1722" s="61">
        <v>512618.89</v>
      </c>
      <c r="O1722" s="61">
        <v>7356771356.3131533</v>
      </c>
    </row>
    <row r="1723" spans="1:15" x14ac:dyDescent="0.25">
      <c r="A1723" s="62">
        <v>46244</v>
      </c>
      <c r="B1723">
        <v>8</v>
      </c>
      <c r="C1723" t="s">
        <v>1144</v>
      </c>
      <c r="D1723">
        <v>1044462</v>
      </c>
      <c r="E1723" t="s">
        <v>1134</v>
      </c>
      <c r="F1723" t="s">
        <v>1135</v>
      </c>
      <c r="G1723" t="s">
        <v>1136</v>
      </c>
      <c r="H1723" t="s">
        <v>1140</v>
      </c>
      <c r="I1723" s="63">
        <v>46204</v>
      </c>
      <c r="J1723" t="s">
        <v>1121</v>
      </c>
      <c r="K1723" t="s">
        <v>1138</v>
      </c>
      <c r="L1723" s="64">
        <v>163904.97</v>
      </c>
      <c r="N1723" s="64">
        <v>163904.97</v>
      </c>
      <c r="O1723" s="64">
        <v>7356935261.2831535</v>
      </c>
    </row>
    <row r="1724" spans="1:15" x14ac:dyDescent="0.25">
      <c r="A1724" s="58">
        <v>46245</v>
      </c>
      <c r="B1724" s="59">
        <v>8</v>
      </c>
      <c r="C1724" s="59" t="s">
        <v>1161</v>
      </c>
      <c r="D1724" s="59">
        <v>2054281</v>
      </c>
      <c r="E1724" s="59" t="s">
        <v>1167</v>
      </c>
      <c r="F1724" s="59" t="s">
        <v>1169</v>
      </c>
      <c r="G1724" s="59" t="s">
        <v>1136</v>
      </c>
      <c r="H1724" s="59" t="s">
        <v>1155</v>
      </c>
      <c r="I1724" s="60">
        <v>46204</v>
      </c>
      <c r="J1724" s="59" t="s">
        <v>1122</v>
      </c>
      <c r="K1724" s="59" t="s">
        <v>1142</v>
      </c>
      <c r="L1724" s="59"/>
      <c r="M1724" s="61">
        <v>58074905.869999997</v>
      </c>
      <c r="N1724" s="61">
        <v>-58074905.869999997</v>
      </c>
      <c r="O1724" s="61">
        <v>7298860355.4131536</v>
      </c>
    </row>
    <row r="1725" spans="1:15" x14ac:dyDescent="0.25">
      <c r="A1725" s="62">
        <v>46245</v>
      </c>
      <c r="B1725">
        <v>8</v>
      </c>
      <c r="C1725" t="s">
        <v>1161</v>
      </c>
      <c r="D1725">
        <v>2054282</v>
      </c>
      <c r="E1725" t="s">
        <v>1167</v>
      </c>
      <c r="F1725" t="s">
        <v>1169</v>
      </c>
      <c r="G1725" t="s">
        <v>1136</v>
      </c>
      <c r="H1725" t="s">
        <v>1155</v>
      </c>
      <c r="I1725" s="63">
        <v>46204</v>
      </c>
      <c r="J1725" t="s">
        <v>1123</v>
      </c>
      <c r="K1725" t="s">
        <v>1138</v>
      </c>
      <c r="M1725" s="64">
        <v>34627600</v>
      </c>
      <c r="N1725" s="64">
        <v>-34627600</v>
      </c>
      <c r="O1725" s="64">
        <v>7264232755.4131536</v>
      </c>
    </row>
    <row r="1726" spans="1:15" x14ac:dyDescent="0.25">
      <c r="A1726" s="58">
        <v>46245</v>
      </c>
      <c r="B1726" s="59">
        <v>8</v>
      </c>
      <c r="C1726" s="59" t="s">
        <v>1161</v>
      </c>
      <c r="D1726" s="59">
        <v>2054284</v>
      </c>
      <c r="E1726" s="59" t="s">
        <v>1167</v>
      </c>
      <c r="F1726" s="59" t="s">
        <v>1169</v>
      </c>
      <c r="G1726" s="59" t="s">
        <v>1136</v>
      </c>
      <c r="H1726" s="59" t="s">
        <v>1155</v>
      </c>
      <c r="I1726" s="60">
        <v>46204</v>
      </c>
      <c r="J1726" s="59" t="s">
        <v>1124</v>
      </c>
      <c r="K1726" s="59" t="s">
        <v>1148</v>
      </c>
      <c r="L1726" s="59"/>
      <c r="M1726" s="61">
        <v>116542009</v>
      </c>
      <c r="N1726" s="61">
        <v>-116542009</v>
      </c>
      <c r="O1726" s="61">
        <v>7147690746.4131536</v>
      </c>
    </row>
    <row r="1727" spans="1:15" x14ac:dyDescent="0.25">
      <c r="A1727" s="62">
        <v>46245</v>
      </c>
      <c r="B1727">
        <v>8</v>
      </c>
      <c r="C1727" t="s">
        <v>1161</v>
      </c>
      <c r="D1727">
        <v>2054286</v>
      </c>
      <c r="E1727" t="s">
        <v>1167</v>
      </c>
      <c r="F1727" t="s">
        <v>1169</v>
      </c>
      <c r="G1727" t="s">
        <v>1136</v>
      </c>
      <c r="H1727" t="s">
        <v>1155</v>
      </c>
      <c r="I1727" s="63">
        <v>46204</v>
      </c>
      <c r="J1727" t="s">
        <v>1124</v>
      </c>
      <c r="K1727" t="s">
        <v>1150</v>
      </c>
      <c r="M1727" s="64">
        <v>4054362.76</v>
      </c>
      <c r="N1727" s="64">
        <v>-4054362.76</v>
      </c>
      <c r="O1727" s="64">
        <v>7143636383.6531534</v>
      </c>
    </row>
    <row r="1728" spans="1:15" x14ac:dyDescent="0.25">
      <c r="A1728" s="58">
        <v>46245</v>
      </c>
      <c r="B1728" s="59">
        <v>8</v>
      </c>
      <c r="C1728" s="59" t="s">
        <v>1161</v>
      </c>
      <c r="D1728" s="59">
        <v>2054285</v>
      </c>
      <c r="E1728" s="59" t="s">
        <v>1167</v>
      </c>
      <c r="F1728" s="59" t="s">
        <v>1169</v>
      </c>
      <c r="G1728" s="59" t="s">
        <v>1136</v>
      </c>
      <c r="H1728" s="59" t="s">
        <v>1155</v>
      </c>
      <c r="I1728" s="60">
        <v>46204</v>
      </c>
      <c r="J1728" s="59" t="s">
        <v>1125</v>
      </c>
      <c r="K1728" s="59" t="s">
        <v>1172</v>
      </c>
      <c r="L1728" s="59"/>
      <c r="M1728" s="61">
        <v>946530</v>
      </c>
      <c r="N1728" s="61">
        <v>-946530</v>
      </c>
      <c r="O1728" s="61">
        <v>7142689853.6531534</v>
      </c>
    </row>
    <row r="1729" spans="1:15" x14ac:dyDescent="0.25">
      <c r="A1729" s="62">
        <v>46246</v>
      </c>
      <c r="B1729">
        <v>8</v>
      </c>
      <c r="C1729" t="s">
        <v>1166</v>
      </c>
      <c r="D1729">
        <v>2014162</v>
      </c>
      <c r="E1729" t="s">
        <v>1167</v>
      </c>
      <c r="F1729" t="s">
        <v>1174</v>
      </c>
      <c r="G1729" t="s">
        <v>1136</v>
      </c>
      <c r="H1729" t="s">
        <v>1162</v>
      </c>
      <c r="I1729" s="63">
        <v>46204</v>
      </c>
      <c r="J1729" t="s">
        <v>1126</v>
      </c>
      <c r="K1729" t="s">
        <v>1138</v>
      </c>
      <c r="M1729" s="64">
        <v>1305150.52</v>
      </c>
      <c r="N1729" s="64">
        <v>-1305150.52</v>
      </c>
      <c r="O1729" s="64">
        <v>7141384703.133153</v>
      </c>
    </row>
    <row r="1730" spans="1:15" x14ac:dyDescent="0.25">
      <c r="A1730" s="58">
        <v>46246</v>
      </c>
      <c r="B1730" s="59">
        <v>8</v>
      </c>
      <c r="C1730" s="59" t="s">
        <v>1166</v>
      </c>
      <c r="D1730" s="59">
        <v>2014167</v>
      </c>
      <c r="E1730" s="59" t="s">
        <v>1167</v>
      </c>
      <c r="F1730" s="59" t="s">
        <v>1174</v>
      </c>
      <c r="G1730" s="59" t="s">
        <v>1136</v>
      </c>
      <c r="H1730" s="59" t="s">
        <v>1162</v>
      </c>
      <c r="I1730" s="60">
        <v>46204</v>
      </c>
      <c r="J1730" s="59" t="s">
        <v>1126</v>
      </c>
      <c r="K1730" s="59" t="s">
        <v>1170</v>
      </c>
      <c r="L1730" s="59"/>
      <c r="M1730" s="61">
        <v>1404337.99</v>
      </c>
      <c r="N1730" s="61">
        <v>-1404337.99</v>
      </c>
      <c r="O1730" s="61">
        <v>7139980365.1431532</v>
      </c>
    </row>
    <row r="1731" spans="1:15" x14ac:dyDescent="0.25">
      <c r="A1731" s="62">
        <v>46246</v>
      </c>
      <c r="B1731">
        <v>8</v>
      </c>
      <c r="C1731" t="s">
        <v>1166</v>
      </c>
      <c r="D1731">
        <v>2014163</v>
      </c>
      <c r="E1731" t="s">
        <v>1167</v>
      </c>
      <c r="F1731" t="s">
        <v>1174</v>
      </c>
      <c r="G1731" t="s">
        <v>1136</v>
      </c>
      <c r="H1731" t="s">
        <v>1162</v>
      </c>
      <c r="I1731" s="63">
        <v>46204</v>
      </c>
      <c r="J1731" t="s">
        <v>1127</v>
      </c>
      <c r="K1731" t="s">
        <v>1146</v>
      </c>
      <c r="M1731" s="64">
        <v>49800292.539999999</v>
      </c>
      <c r="N1731" s="64">
        <v>-49800292.539999999</v>
      </c>
      <c r="O1731" s="64">
        <v>7090180072.6031532</v>
      </c>
    </row>
    <row r="1732" spans="1:15" x14ac:dyDescent="0.25">
      <c r="A1732" s="58">
        <v>46246</v>
      </c>
      <c r="B1732" s="59">
        <v>8</v>
      </c>
      <c r="C1732" s="59" t="s">
        <v>1166</v>
      </c>
      <c r="D1732" s="59">
        <v>2014165</v>
      </c>
      <c r="E1732" s="59" t="s">
        <v>1167</v>
      </c>
      <c r="F1732" s="59" t="s">
        <v>1174</v>
      </c>
      <c r="G1732" s="59" t="s">
        <v>1136</v>
      </c>
      <c r="H1732" s="59" t="s">
        <v>1162</v>
      </c>
      <c r="I1732" s="60">
        <v>46204</v>
      </c>
      <c r="J1732" s="59" t="s">
        <v>1128</v>
      </c>
      <c r="K1732" s="59" t="s">
        <v>1172</v>
      </c>
      <c r="L1732" s="59"/>
      <c r="M1732" s="61">
        <v>935856.17</v>
      </c>
      <c r="N1732" s="61">
        <v>-935856.17</v>
      </c>
      <c r="O1732" s="61">
        <v>7089244216.4331532</v>
      </c>
    </row>
    <row r="1733" spans="1:15" x14ac:dyDescent="0.25">
      <c r="A1733" s="62">
        <v>46246</v>
      </c>
      <c r="B1733">
        <v>8</v>
      </c>
      <c r="C1733" t="s">
        <v>1166</v>
      </c>
      <c r="D1733">
        <v>2044402</v>
      </c>
      <c r="E1733" t="s">
        <v>1167</v>
      </c>
      <c r="F1733" t="s">
        <v>1135</v>
      </c>
      <c r="G1733" t="s">
        <v>1136</v>
      </c>
      <c r="H1733" t="s">
        <v>1159</v>
      </c>
      <c r="I1733" s="63">
        <v>46204</v>
      </c>
      <c r="J1733" t="s">
        <v>1129</v>
      </c>
      <c r="K1733" t="s">
        <v>1138</v>
      </c>
      <c r="M1733" s="64">
        <v>22822300.436299998</v>
      </c>
      <c r="N1733" s="64">
        <v>-22822300.436299998</v>
      </c>
      <c r="O1733" s="64">
        <v>7066421915.9968529</v>
      </c>
    </row>
    <row r="1734" spans="1:15" x14ac:dyDescent="0.25">
      <c r="A1734" s="58">
        <v>46246</v>
      </c>
      <c r="B1734" s="59">
        <v>8</v>
      </c>
      <c r="C1734" s="59" t="s">
        <v>1166</v>
      </c>
      <c r="D1734" s="59">
        <v>2044407</v>
      </c>
      <c r="E1734" s="59" t="s">
        <v>1167</v>
      </c>
      <c r="F1734" s="59" t="s">
        <v>1135</v>
      </c>
      <c r="G1734" s="59" t="s">
        <v>1136</v>
      </c>
      <c r="H1734" s="59" t="s">
        <v>1159</v>
      </c>
      <c r="I1734" s="60">
        <v>46204</v>
      </c>
      <c r="J1734" s="59" t="s">
        <v>1129</v>
      </c>
      <c r="K1734" s="59" t="s">
        <v>1170</v>
      </c>
      <c r="L1734" s="59"/>
      <c r="M1734" s="61">
        <v>100</v>
      </c>
      <c r="N1734" s="61">
        <v>-100</v>
      </c>
      <c r="O1734" s="61">
        <v>7066421815.9968529</v>
      </c>
    </row>
    <row r="1735" spans="1:15" x14ac:dyDescent="0.25">
      <c r="A1735" s="62">
        <v>46246</v>
      </c>
      <c r="B1735">
        <v>8</v>
      </c>
      <c r="C1735" t="s">
        <v>1166</v>
      </c>
      <c r="D1735">
        <v>2044403</v>
      </c>
      <c r="E1735" t="s">
        <v>1167</v>
      </c>
      <c r="F1735" t="s">
        <v>1135</v>
      </c>
      <c r="G1735" t="s">
        <v>1136</v>
      </c>
      <c r="H1735" t="s">
        <v>1159</v>
      </c>
      <c r="I1735" s="63">
        <v>46204</v>
      </c>
      <c r="J1735" t="s">
        <v>1130</v>
      </c>
      <c r="K1735" t="s">
        <v>1146</v>
      </c>
      <c r="M1735" s="64">
        <v>16764086.77</v>
      </c>
      <c r="N1735" s="64">
        <v>-16764086.77</v>
      </c>
      <c r="O1735" s="64">
        <v>7049657729.2268524</v>
      </c>
    </row>
    <row r="1736" spans="1:15" x14ac:dyDescent="0.25">
      <c r="A1736" s="58">
        <v>46246</v>
      </c>
      <c r="B1736" s="59">
        <v>8</v>
      </c>
      <c r="C1736" s="59" t="s">
        <v>1166</v>
      </c>
      <c r="D1736" s="59">
        <v>2044404</v>
      </c>
      <c r="E1736" s="59" t="s">
        <v>1167</v>
      </c>
      <c r="F1736" s="59" t="s">
        <v>1135</v>
      </c>
      <c r="G1736" s="59" t="s">
        <v>1136</v>
      </c>
      <c r="H1736" s="59" t="s">
        <v>1159</v>
      </c>
      <c r="I1736" s="60">
        <v>46204</v>
      </c>
      <c r="J1736" s="59" t="s">
        <v>1131</v>
      </c>
      <c r="K1736" s="59" t="s">
        <v>1148</v>
      </c>
      <c r="L1736" s="59"/>
      <c r="M1736" s="61">
        <v>36219729.219999999</v>
      </c>
      <c r="N1736" s="61">
        <v>-36219729.219999999</v>
      </c>
      <c r="O1736" s="61">
        <v>7013438000.0068521</v>
      </c>
    </row>
    <row r="1737" spans="1:15" x14ac:dyDescent="0.25">
      <c r="A1737" s="62">
        <v>46246</v>
      </c>
      <c r="B1737">
        <v>8</v>
      </c>
      <c r="C1737" t="s">
        <v>1166</v>
      </c>
      <c r="D1737">
        <v>2044406</v>
      </c>
      <c r="E1737" t="s">
        <v>1167</v>
      </c>
      <c r="F1737" t="s">
        <v>1135</v>
      </c>
      <c r="G1737" t="s">
        <v>1136</v>
      </c>
      <c r="H1737" t="s">
        <v>1159</v>
      </c>
      <c r="I1737" s="63">
        <v>46204</v>
      </c>
      <c r="J1737" t="s">
        <v>1131</v>
      </c>
      <c r="K1737" t="s">
        <v>1150</v>
      </c>
      <c r="M1737" s="64">
        <v>544589.96000000008</v>
      </c>
      <c r="N1737" s="64">
        <v>-544589.96000000008</v>
      </c>
      <c r="O1737" s="64">
        <v>7012893410.0468521</v>
      </c>
    </row>
    <row r="1738" spans="1:15" x14ac:dyDescent="0.25">
      <c r="A1738" s="58">
        <v>46246</v>
      </c>
      <c r="B1738" s="59">
        <v>8</v>
      </c>
      <c r="C1738" s="59" t="s">
        <v>1166</v>
      </c>
      <c r="D1738" s="59">
        <v>2044404</v>
      </c>
      <c r="E1738" s="59" t="s">
        <v>1167</v>
      </c>
      <c r="F1738" s="59" t="s">
        <v>1135</v>
      </c>
      <c r="G1738" s="59" t="s">
        <v>1136</v>
      </c>
      <c r="H1738" s="59" t="s">
        <v>1159</v>
      </c>
      <c r="I1738" s="60">
        <v>46204</v>
      </c>
      <c r="J1738" s="59" t="s">
        <v>1131</v>
      </c>
      <c r="K1738" s="59" t="s">
        <v>1148</v>
      </c>
      <c r="L1738" s="59"/>
      <c r="M1738" s="61">
        <v>9846815.8399999999</v>
      </c>
      <c r="N1738" s="61">
        <v>-9846815.8399999999</v>
      </c>
      <c r="O1738" s="61">
        <v>7003046594.206852</v>
      </c>
    </row>
    <row r="1739" spans="1:15" x14ac:dyDescent="0.25">
      <c r="A1739" s="62">
        <v>46246</v>
      </c>
      <c r="B1739">
        <v>8</v>
      </c>
      <c r="C1739" t="s">
        <v>1166</v>
      </c>
      <c r="D1739">
        <v>2014173</v>
      </c>
      <c r="E1739" t="s">
        <v>1167</v>
      </c>
      <c r="F1739" t="s">
        <v>1174</v>
      </c>
      <c r="G1739" t="s">
        <v>1136</v>
      </c>
      <c r="H1739" t="s">
        <v>1147</v>
      </c>
      <c r="I1739" s="63">
        <v>46204</v>
      </c>
      <c r="J1739" t="s">
        <v>1132</v>
      </c>
      <c r="K1739" t="s">
        <v>1146</v>
      </c>
      <c r="M1739" s="64">
        <v>11956228.640000001</v>
      </c>
      <c r="N1739" s="64">
        <v>-11956228.640000001</v>
      </c>
      <c r="O1739" s="64">
        <v>6991090365.5668516</v>
      </c>
    </row>
    <row r="1740" spans="1:15" x14ac:dyDescent="0.25">
      <c r="A1740" s="58">
        <v>46247</v>
      </c>
      <c r="B1740" s="59">
        <v>8</v>
      </c>
      <c r="C1740" s="59" t="s">
        <v>1171</v>
      </c>
      <c r="D1740" s="59">
        <v>2044342</v>
      </c>
      <c r="E1740" s="59" t="s">
        <v>1167</v>
      </c>
      <c r="F1740" s="59" t="s">
        <v>1135</v>
      </c>
      <c r="G1740" s="59" t="s">
        <v>1136</v>
      </c>
      <c r="H1740" s="59" t="s">
        <v>1156</v>
      </c>
      <c r="I1740" s="60">
        <v>46204</v>
      </c>
      <c r="J1740" s="59"/>
      <c r="K1740" s="59" t="s">
        <v>1138</v>
      </c>
      <c r="L1740" s="59"/>
      <c r="M1740" s="61">
        <v>16874516.480099998</v>
      </c>
      <c r="N1740" s="61">
        <v>-16874516.480099998</v>
      </c>
      <c r="O1740" s="61">
        <v>6974215849.0867519</v>
      </c>
    </row>
    <row r="1741" spans="1:15" x14ac:dyDescent="0.25">
      <c r="A1741" s="62">
        <v>46247</v>
      </c>
      <c r="B1741">
        <v>8</v>
      </c>
      <c r="C1741" t="s">
        <v>1171</v>
      </c>
      <c r="D1741">
        <v>2014161</v>
      </c>
      <c r="E1741" t="s">
        <v>1167</v>
      </c>
      <c r="F1741" t="s">
        <v>1174</v>
      </c>
      <c r="G1741" t="s">
        <v>1136</v>
      </c>
      <c r="H1741" t="s">
        <v>1162</v>
      </c>
      <c r="I1741" s="63">
        <v>46204</v>
      </c>
      <c r="K1741" t="s">
        <v>1142</v>
      </c>
      <c r="M1741" s="64">
        <v>39165960.810000002</v>
      </c>
      <c r="N1741" s="64">
        <v>-39165960.810000002</v>
      </c>
      <c r="O1741" s="64">
        <v>6935049888.2767525</v>
      </c>
    </row>
    <row r="1742" spans="1:15" x14ac:dyDescent="0.25">
      <c r="A1742" s="58">
        <v>46247</v>
      </c>
      <c r="B1742" s="59">
        <v>8</v>
      </c>
      <c r="C1742" s="59" t="s">
        <v>1171</v>
      </c>
      <c r="D1742" s="59">
        <v>2044401</v>
      </c>
      <c r="E1742" s="59" t="s">
        <v>1167</v>
      </c>
      <c r="F1742" s="59" t="s">
        <v>1135</v>
      </c>
      <c r="G1742" s="59" t="s">
        <v>1136</v>
      </c>
      <c r="H1742" s="59" t="s">
        <v>1159</v>
      </c>
      <c r="I1742" s="60">
        <v>46204</v>
      </c>
      <c r="J1742" s="59"/>
      <c r="K1742" s="59" t="s">
        <v>1142</v>
      </c>
      <c r="L1742" s="59"/>
      <c r="M1742" s="61">
        <v>52755675.18</v>
      </c>
      <c r="N1742" s="61">
        <v>-52755675.18</v>
      </c>
      <c r="O1742" s="61">
        <v>6882294213.0967512</v>
      </c>
    </row>
    <row r="1743" spans="1:15" x14ac:dyDescent="0.25">
      <c r="A1743" s="62">
        <v>46247</v>
      </c>
      <c r="B1743">
        <v>8</v>
      </c>
      <c r="C1743" t="s">
        <v>1171</v>
      </c>
      <c r="D1743">
        <v>2014361</v>
      </c>
      <c r="E1743" t="s">
        <v>1167</v>
      </c>
      <c r="F1743" t="s">
        <v>1174</v>
      </c>
      <c r="G1743" t="s">
        <v>1136</v>
      </c>
      <c r="H1743" t="s">
        <v>1158</v>
      </c>
      <c r="I1743" s="63">
        <v>46204</v>
      </c>
      <c r="K1743" t="s">
        <v>1142</v>
      </c>
      <c r="M1743" s="64">
        <v>16338520.512</v>
      </c>
      <c r="N1743" s="64">
        <v>-16338520.512</v>
      </c>
      <c r="O1743" s="64">
        <v>6865955692.5847511</v>
      </c>
    </row>
    <row r="1744" spans="1:15" x14ac:dyDescent="0.25">
      <c r="A1744" s="58">
        <v>46247</v>
      </c>
      <c r="B1744" s="59">
        <v>8</v>
      </c>
      <c r="C1744" s="59" t="s">
        <v>1171</v>
      </c>
      <c r="D1744" s="59">
        <v>2014362</v>
      </c>
      <c r="E1744" s="59" t="s">
        <v>1167</v>
      </c>
      <c r="F1744" s="59" t="s">
        <v>1174</v>
      </c>
      <c r="G1744" s="59" t="s">
        <v>1136</v>
      </c>
      <c r="H1744" s="59" t="s">
        <v>1158</v>
      </c>
      <c r="I1744" s="60">
        <v>46204</v>
      </c>
      <c r="J1744" s="59"/>
      <c r="K1744" s="59" t="s">
        <v>1138</v>
      </c>
      <c r="L1744" s="59"/>
      <c r="M1744" s="61">
        <v>6564531.9548399989</v>
      </c>
      <c r="N1744" s="61">
        <v>-6564531.9548399989</v>
      </c>
      <c r="O1744" s="61">
        <v>6859391160.6299114</v>
      </c>
    </row>
    <row r="1745" spans="1:15" x14ac:dyDescent="0.25">
      <c r="A1745" s="62">
        <v>46247</v>
      </c>
      <c r="B1745">
        <v>8</v>
      </c>
      <c r="C1745" t="s">
        <v>1171</v>
      </c>
      <c r="D1745">
        <v>2014363</v>
      </c>
      <c r="E1745" t="s">
        <v>1167</v>
      </c>
      <c r="F1745" t="s">
        <v>1174</v>
      </c>
      <c r="G1745" t="s">
        <v>1136</v>
      </c>
      <c r="H1745" t="s">
        <v>1158</v>
      </c>
      <c r="I1745" s="63">
        <v>46204</v>
      </c>
      <c r="K1745" t="s">
        <v>1146</v>
      </c>
      <c r="M1745" s="64">
        <v>18168215.5</v>
      </c>
      <c r="N1745" s="64">
        <v>-18168215.5</v>
      </c>
      <c r="O1745" s="64">
        <v>6841222945.1299114</v>
      </c>
    </row>
    <row r="1746" spans="1:15" x14ac:dyDescent="0.25">
      <c r="A1746" s="58">
        <v>46247</v>
      </c>
      <c r="B1746" s="59">
        <v>8</v>
      </c>
      <c r="C1746" s="59" t="s">
        <v>1171</v>
      </c>
      <c r="D1746" s="59">
        <v>2014364</v>
      </c>
      <c r="E1746" s="59" t="s">
        <v>1167</v>
      </c>
      <c r="F1746" s="59" t="s">
        <v>1174</v>
      </c>
      <c r="G1746" s="59" t="s">
        <v>1136</v>
      </c>
      <c r="H1746" s="59" t="s">
        <v>1158</v>
      </c>
      <c r="I1746" s="60">
        <v>46204</v>
      </c>
      <c r="J1746" s="59"/>
      <c r="K1746" s="59" t="s">
        <v>1148</v>
      </c>
      <c r="L1746" s="59"/>
      <c r="M1746" s="61">
        <v>38471380.159999996</v>
      </c>
      <c r="N1746" s="61">
        <v>-38471380.159999996</v>
      </c>
      <c r="O1746" s="61">
        <v>6802751564.9699116</v>
      </c>
    </row>
    <row r="1747" spans="1:15" x14ac:dyDescent="0.25">
      <c r="A1747" s="62">
        <v>46248</v>
      </c>
      <c r="B1747">
        <v>8</v>
      </c>
      <c r="C1747" t="s">
        <v>1133</v>
      </c>
      <c r="D1747">
        <v>2014171</v>
      </c>
      <c r="E1747" t="s">
        <v>1167</v>
      </c>
      <c r="F1747" t="s">
        <v>1174</v>
      </c>
      <c r="G1747" t="s">
        <v>1136</v>
      </c>
      <c r="H1747" t="s">
        <v>1147</v>
      </c>
      <c r="I1747" s="63">
        <v>46204</v>
      </c>
      <c r="K1747" t="s">
        <v>1142</v>
      </c>
      <c r="M1747" s="64">
        <v>20505591</v>
      </c>
      <c r="N1747" s="64">
        <v>-20505591</v>
      </c>
      <c r="O1747" s="64">
        <v>6782245973.9699116</v>
      </c>
    </row>
    <row r="1748" spans="1:15" x14ac:dyDescent="0.25">
      <c r="A1748" s="58">
        <v>46248</v>
      </c>
      <c r="B1748" s="59">
        <v>8</v>
      </c>
      <c r="C1748" s="59" t="s">
        <v>1133</v>
      </c>
      <c r="D1748" s="59">
        <v>2014174</v>
      </c>
      <c r="E1748" s="59" t="s">
        <v>1167</v>
      </c>
      <c r="F1748" s="59" t="s">
        <v>1174</v>
      </c>
      <c r="G1748" s="59" t="s">
        <v>1136</v>
      </c>
      <c r="H1748" s="59" t="s">
        <v>1147</v>
      </c>
      <c r="I1748" s="60">
        <v>46204</v>
      </c>
      <c r="J1748" s="59"/>
      <c r="K1748" s="59" t="s">
        <v>1148</v>
      </c>
      <c r="L1748" s="59"/>
      <c r="M1748" s="61">
        <v>31199625</v>
      </c>
      <c r="N1748" s="61">
        <v>-31199625</v>
      </c>
      <c r="O1748" s="61">
        <v>6751046348.9699116</v>
      </c>
    </row>
    <row r="1749" spans="1:15" x14ac:dyDescent="0.25">
      <c r="A1749" s="62">
        <v>46248</v>
      </c>
      <c r="B1749">
        <v>8</v>
      </c>
      <c r="C1749" t="s">
        <v>1133</v>
      </c>
      <c r="D1749">
        <v>2014263</v>
      </c>
      <c r="E1749" t="s">
        <v>1167</v>
      </c>
      <c r="F1749" t="s">
        <v>1174</v>
      </c>
      <c r="G1749" t="s">
        <v>1136</v>
      </c>
      <c r="H1749" t="s">
        <v>1145</v>
      </c>
      <c r="I1749" s="63">
        <v>46204</v>
      </c>
      <c r="K1749" t="s">
        <v>1146</v>
      </c>
      <c r="M1749" s="64">
        <v>402089</v>
      </c>
      <c r="N1749" s="64">
        <v>-402089</v>
      </c>
      <c r="O1749" s="64">
        <v>6750644259.9699116</v>
      </c>
    </row>
    <row r="1750" spans="1:15" x14ac:dyDescent="0.25">
      <c r="A1750" s="58">
        <v>46248</v>
      </c>
      <c r="B1750" s="59">
        <v>8</v>
      </c>
      <c r="C1750" s="59" t="s">
        <v>1133</v>
      </c>
      <c r="D1750" s="59">
        <v>2014353</v>
      </c>
      <c r="E1750" s="59" t="s">
        <v>1167</v>
      </c>
      <c r="F1750" s="59" t="s">
        <v>1174</v>
      </c>
      <c r="G1750" s="59" t="s">
        <v>1136</v>
      </c>
      <c r="H1750" s="59" t="s">
        <v>1157</v>
      </c>
      <c r="I1750" s="60">
        <v>46204</v>
      </c>
      <c r="J1750" s="59"/>
      <c r="K1750" s="59" t="s">
        <v>1146</v>
      </c>
      <c r="L1750" s="59"/>
      <c r="M1750" s="61">
        <v>357229.06</v>
      </c>
      <c r="N1750" s="61">
        <v>-357229.06</v>
      </c>
      <c r="O1750" s="61">
        <v>6750287030.9099112</v>
      </c>
    </row>
    <row r="1751" spans="1:15" x14ac:dyDescent="0.25">
      <c r="A1751" s="62">
        <v>46252</v>
      </c>
      <c r="B1751">
        <v>8</v>
      </c>
      <c r="C1751" t="s">
        <v>1161</v>
      </c>
      <c r="D1751">
        <v>2014351</v>
      </c>
      <c r="E1751" t="s">
        <v>1167</v>
      </c>
      <c r="F1751" t="s">
        <v>1174</v>
      </c>
      <c r="G1751" t="s">
        <v>1136</v>
      </c>
      <c r="H1751" t="s">
        <v>1157</v>
      </c>
      <c r="I1751" s="63">
        <v>46204</v>
      </c>
      <c r="K1751" t="s">
        <v>1142</v>
      </c>
      <c r="M1751" s="64">
        <v>10899787.8576</v>
      </c>
      <c r="N1751" s="64">
        <v>-10899787.8576</v>
      </c>
      <c r="O1751" s="64">
        <v>6649291994.2523108</v>
      </c>
    </row>
    <row r="1752" spans="1:15" x14ac:dyDescent="0.25">
      <c r="A1752" s="58">
        <v>46252</v>
      </c>
      <c r="B1752" s="59">
        <v>8</v>
      </c>
      <c r="C1752" s="59" t="s">
        <v>1161</v>
      </c>
      <c r="D1752" s="59">
        <v>2014352</v>
      </c>
      <c r="E1752" s="59" t="s">
        <v>1167</v>
      </c>
      <c r="F1752" s="59" t="s">
        <v>1174</v>
      </c>
      <c r="G1752" s="59" t="s">
        <v>1136</v>
      </c>
      <c r="H1752" s="59" t="s">
        <v>1157</v>
      </c>
      <c r="I1752" s="60">
        <v>46204</v>
      </c>
      <c r="J1752" s="59"/>
      <c r="K1752" s="59" t="s">
        <v>1138</v>
      </c>
      <c r="L1752" s="59"/>
      <c r="M1752" s="61">
        <v>5262087.0035999985</v>
      </c>
      <c r="N1752" s="61">
        <v>-5262087.0035999985</v>
      </c>
      <c r="O1752" s="61">
        <v>6644029907.2487106</v>
      </c>
    </row>
    <row r="1753" spans="1:15" x14ac:dyDescent="0.25">
      <c r="A1753" s="62">
        <v>46252</v>
      </c>
      <c r="B1753">
        <v>8</v>
      </c>
      <c r="C1753" t="s">
        <v>1161</v>
      </c>
      <c r="D1753">
        <v>2014354</v>
      </c>
      <c r="E1753" t="s">
        <v>1167</v>
      </c>
      <c r="F1753" t="s">
        <v>1174</v>
      </c>
      <c r="G1753" t="s">
        <v>1136</v>
      </c>
      <c r="H1753" t="s">
        <v>1157</v>
      </c>
      <c r="I1753" s="63">
        <v>46204</v>
      </c>
      <c r="K1753" t="s">
        <v>1148</v>
      </c>
      <c r="M1753" s="64">
        <v>8503104</v>
      </c>
      <c r="N1753" s="64">
        <v>-8503104</v>
      </c>
      <c r="O1753" s="64">
        <v>6635526803.2487106</v>
      </c>
    </row>
    <row r="1754" spans="1:15" x14ac:dyDescent="0.25">
      <c r="A1754" s="58">
        <v>46252</v>
      </c>
      <c r="B1754" s="59">
        <v>8</v>
      </c>
      <c r="C1754" s="59" t="s">
        <v>1161</v>
      </c>
      <c r="D1754" s="59">
        <v>2014356</v>
      </c>
      <c r="E1754" s="59" t="s">
        <v>1167</v>
      </c>
      <c r="F1754" s="59" t="s">
        <v>1174</v>
      </c>
      <c r="G1754" s="59" t="s">
        <v>1136</v>
      </c>
      <c r="H1754" s="59" t="s">
        <v>1157</v>
      </c>
      <c r="I1754" s="60">
        <v>46204</v>
      </c>
      <c r="J1754" s="59"/>
      <c r="K1754" s="59" t="s">
        <v>1150</v>
      </c>
      <c r="L1754" s="59"/>
      <c r="M1754" s="61">
        <v>2009932.08</v>
      </c>
      <c r="N1754" s="61">
        <v>-2009932.08</v>
      </c>
      <c r="O1754" s="61">
        <v>6633516871.1687107</v>
      </c>
    </row>
    <row r="1755" spans="1:15" x14ac:dyDescent="0.25">
      <c r="A1755" s="62">
        <v>46253</v>
      </c>
      <c r="B1755">
        <v>8</v>
      </c>
      <c r="C1755" t="s">
        <v>1166</v>
      </c>
      <c r="D1755">
        <v>2044464</v>
      </c>
      <c r="E1755" t="s">
        <v>1167</v>
      </c>
      <c r="F1755" t="s">
        <v>1135</v>
      </c>
      <c r="G1755" t="s">
        <v>1136</v>
      </c>
      <c r="H1755" t="s">
        <v>1140</v>
      </c>
      <c r="I1755" s="63">
        <v>46204</v>
      </c>
      <c r="K1755" t="s">
        <v>1148</v>
      </c>
      <c r="M1755" s="64">
        <v>8674397.9100000001</v>
      </c>
      <c r="N1755" s="64">
        <v>-8674397.9100000001</v>
      </c>
      <c r="O1755" s="64">
        <v>4317214830.1687117</v>
      </c>
    </row>
    <row r="1756" spans="1:15" x14ac:dyDescent="0.25">
      <c r="A1756" s="58">
        <v>46253</v>
      </c>
      <c r="B1756" s="59">
        <v>8</v>
      </c>
      <c r="C1756" s="59" t="s">
        <v>1166</v>
      </c>
      <c r="D1756" s="59">
        <v>2044465</v>
      </c>
      <c r="E1756" s="59" t="s">
        <v>1167</v>
      </c>
      <c r="F1756" s="59" t="s">
        <v>1135</v>
      </c>
      <c r="G1756" s="59" t="s">
        <v>1136</v>
      </c>
      <c r="H1756" s="59" t="s">
        <v>1140</v>
      </c>
      <c r="I1756" s="60">
        <v>46204</v>
      </c>
      <c r="J1756" s="59"/>
      <c r="K1756" s="59" t="s">
        <v>1172</v>
      </c>
      <c r="L1756" s="59"/>
      <c r="M1756" s="61">
        <v>615583.36200000008</v>
      </c>
      <c r="N1756" s="61">
        <v>-615583.36200000008</v>
      </c>
      <c r="O1756" s="61">
        <v>4316599246.8067112</v>
      </c>
    </row>
    <row r="1757" spans="1:15" x14ac:dyDescent="0.25">
      <c r="A1757" s="62">
        <v>46254</v>
      </c>
      <c r="B1757">
        <v>8</v>
      </c>
      <c r="C1757" t="s">
        <v>1171</v>
      </c>
      <c r="D1757">
        <v>2014261</v>
      </c>
      <c r="E1757" t="s">
        <v>1167</v>
      </c>
      <c r="F1757" t="s">
        <v>1174</v>
      </c>
      <c r="G1757" t="s">
        <v>1136</v>
      </c>
      <c r="H1757" t="s">
        <v>1145</v>
      </c>
      <c r="I1757" s="63">
        <v>46204</v>
      </c>
      <c r="K1757" t="s">
        <v>1142</v>
      </c>
      <c r="M1757" s="64">
        <v>8128855.6850000015</v>
      </c>
      <c r="N1757" s="64">
        <v>-8128855.6850000015</v>
      </c>
      <c r="O1757" s="64">
        <v>4308470391.1217108</v>
      </c>
    </row>
    <row r="1758" spans="1:15" x14ac:dyDescent="0.25">
      <c r="A1758" s="58">
        <v>46254</v>
      </c>
      <c r="B1758" s="59">
        <v>8</v>
      </c>
      <c r="C1758" s="59" t="s">
        <v>1171</v>
      </c>
      <c r="D1758" s="59">
        <v>2014262</v>
      </c>
      <c r="E1758" s="59" t="s">
        <v>1167</v>
      </c>
      <c r="F1758" s="59" t="s">
        <v>1174</v>
      </c>
      <c r="G1758" s="59" t="s">
        <v>1136</v>
      </c>
      <c r="H1758" s="59" t="s">
        <v>1145</v>
      </c>
      <c r="I1758" s="60">
        <v>46204</v>
      </c>
      <c r="J1758" s="59"/>
      <c r="K1758" s="59" t="s">
        <v>1138</v>
      </c>
      <c r="L1758" s="59"/>
      <c r="M1758" s="61">
        <v>4530400</v>
      </c>
      <c r="N1758" s="61">
        <v>-4530400</v>
      </c>
      <c r="O1758" s="61">
        <v>4303939991.1217108</v>
      </c>
    </row>
    <row r="1759" spans="1:15" x14ac:dyDescent="0.25">
      <c r="A1759" s="62">
        <v>46254</v>
      </c>
      <c r="B1759">
        <v>8</v>
      </c>
      <c r="C1759" t="s">
        <v>1171</v>
      </c>
      <c r="D1759">
        <v>2014264</v>
      </c>
      <c r="E1759" t="s">
        <v>1167</v>
      </c>
      <c r="F1759" t="s">
        <v>1174</v>
      </c>
      <c r="G1759" t="s">
        <v>1136</v>
      </c>
      <c r="H1759" t="s">
        <v>1145</v>
      </c>
      <c r="I1759" s="63">
        <v>46204</v>
      </c>
      <c r="K1759" t="s">
        <v>1148</v>
      </c>
      <c r="M1759" s="64">
        <v>7000550</v>
      </c>
      <c r="N1759" s="64">
        <v>-7000550</v>
      </c>
      <c r="O1759" s="64">
        <v>4296939441.1217108</v>
      </c>
    </row>
    <row r="1760" spans="1:15" x14ac:dyDescent="0.25">
      <c r="A1760" s="58">
        <v>46254</v>
      </c>
      <c r="B1760" s="59">
        <v>8</v>
      </c>
      <c r="C1760" s="59" t="s">
        <v>1171</v>
      </c>
      <c r="D1760" s="59">
        <v>2014266</v>
      </c>
      <c r="E1760" s="59" t="s">
        <v>1167</v>
      </c>
      <c r="F1760" s="59" t="s">
        <v>1174</v>
      </c>
      <c r="G1760" s="59" t="s">
        <v>1136</v>
      </c>
      <c r="H1760" s="59" t="s">
        <v>1145</v>
      </c>
      <c r="I1760" s="60">
        <v>46204</v>
      </c>
      <c r="J1760" s="59"/>
      <c r="K1760" s="59" t="s">
        <v>1150</v>
      </c>
      <c r="L1760" s="59"/>
      <c r="M1760" s="61">
        <v>97329.34</v>
      </c>
      <c r="N1760" s="61">
        <v>-97329.34</v>
      </c>
      <c r="O1760" s="61">
        <v>4296842111.7817106</v>
      </c>
    </row>
    <row r="1761" spans="1:15" x14ac:dyDescent="0.25">
      <c r="A1761" s="62">
        <v>46254</v>
      </c>
      <c r="B1761">
        <v>8</v>
      </c>
      <c r="C1761" t="s">
        <v>1171</v>
      </c>
      <c r="D1761">
        <v>2014264</v>
      </c>
      <c r="E1761" t="s">
        <v>1167</v>
      </c>
      <c r="F1761" t="s">
        <v>1174</v>
      </c>
      <c r="G1761" t="s">
        <v>1136</v>
      </c>
      <c r="H1761" t="s">
        <v>1145</v>
      </c>
      <c r="I1761" s="63">
        <v>46204</v>
      </c>
      <c r="K1761" t="s">
        <v>1148</v>
      </c>
      <c r="M1761" s="64">
        <v>2918058.04</v>
      </c>
      <c r="N1761" s="64">
        <v>-2918058.04</v>
      </c>
      <c r="O1761" s="64">
        <v>4293924053.7417111</v>
      </c>
    </row>
    <row r="1762" spans="1:15" x14ac:dyDescent="0.25">
      <c r="A1762" s="58">
        <v>46255</v>
      </c>
      <c r="B1762" s="59">
        <v>8</v>
      </c>
      <c r="C1762" s="59" t="s">
        <v>1133</v>
      </c>
      <c r="D1762" s="59">
        <v>2054311</v>
      </c>
      <c r="E1762" s="59" t="s">
        <v>1167</v>
      </c>
      <c r="F1762" s="59" t="s">
        <v>1169</v>
      </c>
      <c r="G1762" s="59" t="s">
        <v>1136</v>
      </c>
      <c r="H1762" s="59" t="s">
        <v>1137</v>
      </c>
      <c r="I1762" s="60">
        <v>46235</v>
      </c>
      <c r="J1762" s="59"/>
      <c r="K1762" s="59" t="s">
        <v>1142</v>
      </c>
      <c r="L1762" s="59"/>
      <c r="M1762" s="59"/>
      <c r="N1762" s="61">
        <v>0</v>
      </c>
      <c r="O1762" s="61">
        <v>4293924053.7417111</v>
      </c>
    </row>
    <row r="1763" spans="1:15" x14ac:dyDescent="0.25">
      <c r="A1763" s="62">
        <v>46255</v>
      </c>
      <c r="B1763">
        <v>8</v>
      </c>
      <c r="C1763" t="s">
        <v>1133</v>
      </c>
      <c r="D1763">
        <v>2054312</v>
      </c>
      <c r="E1763" t="s">
        <v>1167</v>
      </c>
      <c r="F1763" t="s">
        <v>1169</v>
      </c>
      <c r="G1763" t="s">
        <v>1136</v>
      </c>
      <c r="H1763" t="s">
        <v>1137</v>
      </c>
      <c r="I1763" s="63">
        <v>46235</v>
      </c>
      <c r="K1763" t="s">
        <v>1138</v>
      </c>
      <c r="N1763" s="64">
        <v>0</v>
      </c>
      <c r="O1763" s="64">
        <v>4293924053.7417111</v>
      </c>
    </row>
    <row r="1764" spans="1:15" x14ac:dyDescent="0.25">
      <c r="A1764" s="58">
        <v>46255</v>
      </c>
      <c r="B1764" s="59">
        <v>8</v>
      </c>
      <c r="C1764" s="59" t="s">
        <v>1133</v>
      </c>
      <c r="D1764" s="59">
        <v>2054317</v>
      </c>
      <c r="E1764" s="59" t="s">
        <v>1167</v>
      </c>
      <c r="F1764" s="59" t="s">
        <v>1169</v>
      </c>
      <c r="G1764" s="59" t="s">
        <v>1136</v>
      </c>
      <c r="H1764" s="59" t="s">
        <v>1137</v>
      </c>
      <c r="I1764" s="60">
        <v>46235</v>
      </c>
      <c r="J1764" s="59"/>
      <c r="K1764" s="59" t="s">
        <v>1170</v>
      </c>
      <c r="L1764" s="59"/>
      <c r="M1764" s="59"/>
      <c r="N1764" s="61">
        <v>0</v>
      </c>
      <c r="O1764" s="61">
        <v>4293924053.7417111</v>
      </c>
    </row>
    <row r="1765" spans="1:15" x14ac:dyDescent="0.25">
      <c r="A1765" s="62">
        <v>46255</v>
      </c>
      <c r="B1765">
        <v>8</v>
      </c>
      <c r="C1765" t="s">
        <v>1133</v>
      </c>
      <c r="D1765">
        <v>2054314</v>
      </c>
      <c r="E1765" t="s">
        <v>1167</v>
      </c>
      <c r="F1765" t="s">
        <v>1169</v>
      </c>
      <c r="G1765" t="s">
        <v>1136</v>
      </c>
      <c r="H1765" t="s">
        <v>1137</v>
      </c>
      <c r="I1765" s="63">
        <v>46235</v>
      </c>
      <c r="K1765" t="s">
        <v>1148</v>
      </c>
      <c r="N1765" s="64">
        <v>0</v>
      </c>
      <c r="O1765" s="64">
        <v>4293924053.7417111</v>
      </c>
    </row>
    <row r="1766" spans="1:15" x14ac:dyDescent="0.25">
      <c r="A1766" s="58">
        <v>46255</v>
      </c>
      <c r="B1766" s="59">
        <v>8</v>
      </c>
      <c r="C1766" s="59" t="s">
        <v>1133</v>
      </c>
      <c r="D1766" s="59">
        <v>2054316</v>
      </c>
      <c r="E1766" s="59" t="s">
        <v>1167</v>
      </c>
      <c r="F1766" s="59" t="s">
        <v>1169</v>
      </c>
      <c r="G1766" s="59" t="s">
        <v>1136</v>
      </c>
      <c r="H1766" s="59" t="s">
        <v>1137</v>
      </c>
      <c r="I1766" s="60">
        <v>46235</v>
      </c>
      <c r="J1766" s="59"/>
      <c r="K1766" s="59" t="s">
        <v>1150</v>
      </c>
      <c r="L1766" s="59"/>
      <c r="M1766" s="59"/>
      <c r="N1766" s="61">
        <v>0</v>
      </c>
      <c r="O1766" s="61">
        <v>4293924053.7417111</v>
      </c>
    </row>
    <row r="1767" spans="1:15" x14ac:dyDescent="0.25">
      <c r="A1767" s="62">
        <v>46255</v>
      </c>
      <c r="B1767">
        <v>8</v>
      </c>
      <c r="C1767" t="s">
        <v>1133</v>
      </c>
      <c r="D1767">
        <v>2054381</v>
      </c>
      <c r="E1767" t="s">
        <v>1167</v>
      </c>
      <c r="F1767" t="s">
        <v>1169</v>
      </c>
      <c r="G1767" t="s">
        <v>1136</v>
      </c>
      <c r="H1767" t="s">
        <v>1163</v>
      </c>
      <c r="I1767" s="63">
        <v>46235</v>
      </c>
      <c r="K1767" t="s">
        <v>1142</v>
      </c>
      <c r="N1767" s="64">
        <v>0</v>
      </c>
      <c r="O1767" s="64">
        <v>4293924053.7417111</v>
      </c>
    </row>
    <row r="1768" spans="1:15" x14ac:dyDescent="0.25">
      <c r="A1768" s="58">
        <v>46255</v>
      </c>
      <c r="B1768" s="59">
        <v>8</v>
      </c>
      <c r="C1768" s="59" t="s">
        <v>1133</v>
      </c>
      <c r="D1768" s="59">
        <v>2014201</v>
      </c>
      <c r="E1768" s="59" t="s">
        <v>1167</v>
      </c>
      <c r="F1768" s="59" t="s">
        <v>1174</v>
      </c>
      <c r="G1768" s="59" t="s">
        <v>1136</v>
      </c>
      <c r="H1768" s="59" t="s">
        <v>1139</v>
      </c>
      <c r="I1768" s="60">
        <v>46235</v>
      </c>
      <c r="J1768" s="59"/>
      <c r="K1768" s="59" t="s">
        <v>1142</v>
      </c>
      <c r="L1768" s="59"/>
      <c r="M1768" s="59"/>
      <c r="N1768" s="61">
        <v>0</v>
      </c>
      <c r="O1768" s="61">
        <v>4293924053.7417111</v>
      </c>
    </row>
    <row r="1769" spans="1:15" x14ac:dyDescent="0.25">
      <c r="A1769" s="62">
        <v>46255</v>
      </c>
      <c r="B1769">
        <v>8</v>
      </c>
      <c r="C1769" t="s">
        <v>1133</v>
      </c>
      <c r="D1769">
        <v>2014202</v>
      </c>
      <c r="E1769" t="s">
        <v>1167</v>
      </c>
      <c r="F1769" t="s">
        <v>1174</v>
      </c>
      <c r="G1769" t="s">
        <v>1136</v>
      </c>
      <c r="H1769" t="s">
        <v>1139</v>
      </c>
      <c r="I1769" s="63">
        <v>46235</v>
      </c>
      <c r="K1769" t="s">
        <v>1138</v>
      </c>
      <c r="N1769" s="64">
        <v>0</v>
      </c>
      <c r="O1769" s="64">
        <v>4293924053.7417111</v>
      </c>
    </row>
  </sheetData>
  <autoFilter ref="A1:O1769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57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4" customWidth="1"/>
    <col min="2" max="2" width="31" customWidth="1"/>
    <col min="3" max="4" width="20" customWidth="1"/>
    <col min="5" max="5" width="23" customWidth="1"/>
  </cols>
  <sheetData>
    <row r="1" spans="1:5" x14ac:dyDescent="0.25">
      <c r="A1" s="57" t="s">
        <v>10</v>
      </c>
      <c r="B1" s="57" t="s">
        <v>19</v>
      </c>
      <c r="C1" s="57" t="s">
        <v>1176</v>
      </c>
      <c r="D1" s="57" t="s">
        <v>1177</v>
      </c>
      <c r="E1" s="57" t="s">
        <v>20</v>
      </c>
    </row>
    <row r="2" spans="1:5" x14ac:dyDescent="0.25">
      <c r="A2" s="65">
        <v>1</v>
      </c>
      <c r="B2" s="65" t="s">
        <v>1142</v>
      </c>
      <c r="C2" s="66">
        <v>275475438.39599741</v>
      </c>
      <c r="D2" s="66">
        <v>427788063.80199999</v>
      </c>
      <c r="E2" s="66">
        <v>-152312625.40600261</v>
      </c>
    </row>
    <row r="3" spans="1:5" x14ac:dyDescent="0.25">
      <c r="A3" s="67">
        <v>1</v>
      </c>
      <c r="B3" s="67" t="s">
        <v>1138</v>
      </c>
      <c r="C3" s="68">
        <v>430733749.91900003</v>
      </c>
      <c r="D3" s="68">
        <v>301676043.55171198</v>
      </c>
      <c r="E3" s="68">
        <v>129057706.36728799</v>
      </c>
    </row>
    <row r="4" spans="1:5" x14ac:dyDescent="0.25">
      <c r="A4" s="65">
        <v>1</v>
      </c>
      <c r="B4" s="65" t="s">
        <v>1146</v>
      </c>
      <c r="C4" s="66">
        <v>143056859.0605</v>
      </c>
      <c r="D4" s="66">
        <v>140248019.43000001</v>
      </c>
      <c r="E4" s="66">
        <v>2808839.6304999888</v>
      </c>
    </row>
    <row r="5" spans="1:5" x14ac:dyDescent="0.25">
      <c r="A5" s="67">
        <v>1</v>
      </c>
      <c r="B5" s="67" t="s">
        <v>1148</v>
      </c>
      <c r="C5" s="68">
        <v>376542630.17000002</v>
      </c>
      <c r="D5" s="68">
        <v>376451241.33999997</v>
      </c>
      <c r="E5" s="68">
        <v>91388.830000042915</v>
      </c>
    </row>
    <row r="6" spans="1:5" x14ac:dyDescent="0.25">
      <c r="A6" s="65">
        <v>1</v>
      </c>
      <c r="B6" s="65" t="s">
        <v>1172</v>
      </c>
      <c r="C6" s="66">
        <v>9777240.4841000009</v>
      </c>
      <c r="D6" s="66">
        <v>9777240.4941000007</v>
      </c>
      <c r="E6" s="66">
        <v>-9.9999997764825821E-3</v>
      </c>
    </row>
    <row r="7" spans="1:5" x14ac:dyDescent="0.25">
      <c r="A7" s="67">
        <v>1</v>
      </c>
      <c r="B7" s="67" t="s">
        <v>1150</v>
      </c>
      <c r="C7" s="68">
        <v>60237780.630000032</v>
      </c>
      <c r="D7" s="68">
        <v>91711141.090000048</v>
      </c>
      <c r="E7" s="68">
        <v>-31473360.46000002</v>
      </c>
    </row>
    <row r="8" spans="1:5" x14ac:dyDescent="0.25">
      <c r="A8" s="65">
        <v>1</v>
      </c>
      <c r="B8" s="65" t="s">
        <v>1170</v>
      </c>
      <c r="C8" s="66">
        <v>8614310.8400000017</v>
      </c>
      <c r="D8" s="66">
        <v>10369918.439999999</v>
      </c>
      <c r="E8" s="66">
        <v>-1755607.599999998</v>
      </c>
    </row>
    <row r="9" spans="1:5" x14ac:dyDescent="0.25">
      <c r="A9" s="67">
        <v>2</v>
      </c>
      <c r="B9" s="67" t="s">
        <v>1142</v>
      </c>
      <c r="C9" s="68">
        <v>771567656.56009555</v>
      </c>
      <c r="D9" s="68">
        <v>423518714.58999997</v>
      </c>
      <c r="E9" s="68">
        <v>348048941.97009552</v>
      </c>
    </row>
    <row r="10" spans="1:5" x14ac:dyDescent="0.25">
      <c r="A10" s="65">
        <v>2</v>
      </c>
      <c r="B10" s="65" t="s">
        <v>1138</v>
      </c>
      <c r="C10" s="66">
        <v>336133445.88999999</v>
      </c>
      <c r="D10" s="66">
        <v>426004769.63059998</v>
      </c>
      <c r="E10" s="66">
        <v>-89871323.740600049</v>
      </c>
    </row>
    <row r="11" spans="1:5" x14ac:dyDescent="0.25">
      <c r="A11" s="67">
        <v>2</v>
      </c>
      <c r="B11" s="67" t="s">
        <v>1146</v>
      </c>
      <c r="C11" s="68">
        <v>133191444.1507</v>
      </c>
      <c r="D11" s="68">
        <v>134439000.56</v>
      </c>
      <c r="E11" s="68">
        <v>-1247556.409299999</v>
      </c>
    </row>
    <row r="12" spans="1:5" x14ac:dyDescent="0.25">
      <c r="A12" s="65">
        <v>2</v>
      </c>
      <c r="B12" s="65" t="s">
        <v>1148</v>
      </c>
      <c r="C12" s="66">
        <v>482713216.73000002</v>
      </c>
      <c r="D12" s="66">
        <v>482686781.75</v>
      </c>
      <c r="E12" s="66">
        <v>26434.98000001907</v>
      </c>
    </row>
    <row r="13" spans="1:5" x14ac:dyDescent="0.25">
      <c r="A13" s="67">
        <v>2</v>
      </c>
      <c r="B13" s="67" t="s">
        <v>1172</v>
      </c>
      <c r="C13" s="68">
        <v>0</v>
      </c>
      <c r="D13" s="68">
        <v>8623384.1292000003</v>
      </c>
      <c r="E13" s="68">
        <v>-8623384.1292000003</v>
      </c>
    </row>
    <row r="14" spans="1:5" x14ac:dyDescent="0.25">
      <c r="A14" s="65">
        <v>2</v>
      </c>
      <c r="B14" s="65" t="s">
        <v>1150</v>
      </c>
      <c r="C14" s="66">
        <v>20485722.51000002</v>
      </c>
      <c r="D14" s="66">
        <v>58201997.520000018</v>
      </c>
      <c r="E14" s="66">
        <v>-37716275.009999998</v>
      </c>
    </row>
    <row r="15" spans="1:5" x14ac:dyDescent="0.25">
      <c r="A15" s="67">
        <v>2</v>
      </c>
      <c r="B15" s="67" t="s">
        <v>1170</v>
      </c>
      <c r="C15" s="68">
        <v>10369919.88000001</v>
      </c>
      <c r="D15" s="68">
        <v>13186735.74</v>
      </c>
      <c r="E15" s="68">
        <v>-2816815.8599999938</v>
      </c>
    </row>
    <row r="16" spans="1:5" x14ac:dyDescent="0.25">
      <c r="A16" s="65">
        <v>3</v>
      </c>
      <c r="B16" s="65" t="s">
        <v>1142</v>
      </c>
      <c r="C16" s="66">
        <v>70689077.75999999</v>
      </c>
      <c r="D16" s="66">
        <v>347503711.74000001</v>
      </c>
      <c r="E16" s="66">
        <v>-276814633.98000002</v>
      </c>
    </row>
    <row r="17" spans="1:5" x14ac:dyDescent="0.25">
      <c r="A17" s="67">
        <v>3</v>
      </c>
      <c r="B17" s="67" t="s">
        <v>1138</v>
      </c>
      <c r="C17" s="68">
        <v>376545461.10108793</v>
      </c>
      <c r="D17" s="68">
        <v>338765709.20999998</v>
      </c>
      <c r="E17" s="68">
        <v>37779751.891087949</v>
      </c>
    </row>
    <row r="18" spans="1:5" x14ac:dyDescent="0.25">
      <c r="A18" s="65">
        <v>3</v>
      </c>
      <c r="B18" s="65" t="s">
        <v>1146</v>
      </c>
      <c r="C18" s="66">
        <v>140109328.86359999</v>
      </c>
      <c r="D18" s="66">
        <v>140794548.75999999</v>
      </c>
      <c r="E18" s="66">
        <v>-685219.89640000463</v>
      </c>
    </row>
    <row r="19" spans="1:5" x14ac:dyDescent="0.25">
      <c r="A19" s="67">
        <v>3</v>
      </c>
      <c r="B19" s="67" t="s">
        <v>1148</v>
      </c>
      <c r="C19" s="68">
        <v>45146560</v>
      </c>
      <c r="D19" s="68">
        <v>459586357.36000001</v>
      </c>
      <c r="E19" s="68">
        <v>-414439797.36000001</v>
      </c>
    </row>
    <row r="20" spans="1:5" x14ac:dyDescent="0.25">
      <c r="A20" s="65">
        <v>3</v>
      </c>
      <c r="B20" s="65" t="s">
        <v>1172</v>
      </c>
      <c r="C20" s="66">
        <v>7802588.8372</v>
      </c>
      <c r="D20" s="66">
        <v>8485625.8300000001</v>
      </c>
      <c r="E20" s="66">
        <v>-683036.99280000012</v>
      </c>
    </row>
    <row r="21" spans="1:5" x14ac:dyDescent="0.25">
      <c r="A21" s="67">
        <v>3</v>
      </c>
      <c r="B21" s="67" t="s">
        <v>1150</v>
      </c>
      <c r="C21" s="68">
        <v>66458532.539999999</v>
      </c>
      <c r="D21" s="68">
        <v>24136350.329999998</v>
      </c>
      <c r="E21" s="68">
        <v>42322182.210000001</v>
      </c>
    </row>
    <row r="22" spans="1:5" x14ac:dyDescent="0.25">
      <c r="A22" s="65">
        <v>3</v>
      </c>
      <c r="B22" s="65" t="s">
        <v>1170</v>
      </c>
      <c r="C22" s="66">
        <v>19434976.140000001</v>
      </c>
      <c r="D22" s="66">
        <v>1680845.4</v>
      </c>
      <c r="E22" s="66">
        <v>17754130.74000001</v>
      </c>
    </row>
    <row r="23" spans="1:5" x14ac:dyDescent="0.25">
      <c r="A23" s="67">
        <v>4</v>
      </c>
      <c r="B23" s="67" t="s">
        <v>1142</v>
      </c>
      <c r="C23" s="68">
        <v>351520402.04502642</v>
      </c>
      <c r="D23" s="68">
        <v>363748393.21262002</v>
      </c>
      <c r="E23" s="68">
        <v>-12227991.16759366</v>
      </c>
    </row>
    <row r="24" spans="1:5" x14ac:dyDescent="0.25">
      <c r="A24" s="65">
        <v>4</v>
      </c>
      <c r="B24" s="65" t="s">
        <v>1138</v>
      </c>
      <c r="C24" s="66">
        <v>652153916.62090003</v>
      </c>
      <c r="D24" s="66">
        <v>704162869.24383199</v>
      </c>
      <c r="E24" s="66">
        <v>-52008952.622931957</v>
      </c>
    </row>
    <row r="25" spans="1:5" x14ac:dyDescent="0.25">
      <c r="A25" s="67">
        <v>4</v>
      </c>
      <c r="B25" s="67" t="s">
        <v>1146</v>
      </c>
      <c r="C25" s="68">
        <v>137464079.52450001</v>
      </c>
      <c r="D25" s="68">
        <v>139929856.94999999</v>
      </c>
      <c r="E25" s="68">
        <v>-2465777.4254999761</v>
      </c>
    </row>
    <row r="26" spans="1:5" x14ac:dyDescent="0.25">
      <c r="A26" s="65">
        <v>4</v>
      </c>
      <c r="B26" s="65" t="s">
        <v>1148</v>
      </c>
      <c r="C26" s="66">
        <v>433008495.44999999</v>
      </c>
      <c r="D26" s="66">
        <v>432964833.75999999</v>
      </c>
      <c r="E26" s="66">
        <v>43661.689999997623</v>
      </c>
    </row>
    <row r="27" spans="1:5" x14ac:dyDescent="0.25">
      <c r="A27" s="67">
        <v>4</v>
      </c>
      <c r="B27" s="67" t="s">
        <v>1172</v>
      </c>
      <c r="C27" s="68">
        <v>8485625.8289000001</v>
      </c>
      <c r="D27" s="68">
        <v>13433019.8281</v>
      </c>
      <c r="E27" s="68">
        <v>-4947393.9991999986</v>
      </c>
    </row>
    <row r="28" spans="1:5" x14ac:dyDescent="0.25">
      <c r="A28" s="65">
        <v>4</v>
      </c>
      <c r="B28" s="65" t="s">
        <v>1150</v>
      </c>
      <c r="C28" s="66">
        <v>75933617.019999892</v>
      </c>
      <c r="D28" s="66">
        <v>56503557.749999903</v>
      </c>
      <c r="E28" s="66">
        <v>19430059.269999988</v>
      </c>
    </row>
    <row r="29" spans="1:5" x14ac:dyDescent="0.25">
      <c r="A29" s="67">
        <v>4</v>
      </c>
      <c r="B29" s="67" t="s">
        <v>1170</v>
      </c>
      <c r="C29" s="68">
        <v>7925489.8999999976</v>
      </c>
      <c r="D29" s="68">
        <v>5847524.3900000006</v>
      </c>
      <c r="E29" s="68">
        <v>2077965.509999997</v>
      </c>
    </row>
    <row r="30" spans="1:5" x14ac:dyDescent="0.25">
      <c r="A30" s="65">
        <v>5</v>
      </c>
      <c r="B30" s="65" t="s">
        <v>1142</v>
      </c>
      <c r="C30" s="66">
        <v>372606793.55863428</v>
      </c>
      <c r="D30" s="66">
        <v>312898428.54000002</v>
      </c>
      <c r="E30" s="66">
        <v>59708365.018634319</v>
      </c>
    </row>
    <row r="31" spans="1:5" x14ac:dyDescent="0.25">
      <c r="A31" s="67">
        <v>5</v>
      </c>
      <c r="B31" s="67" t="s">
        <v>1138</v>
      </c>
      <c r="C31" s="68">
        <v>499344099.22000003</v>
      </c>
      <c r="D31" s="68">
        <v>400837463.13999999</v>
      </c>
      <c r="E31" s="68">
        <v>98506636.080000043</v>
      </c>
    </row>
    <row r="32" spans="1:5" x14ac:dyDescent="0.25">
      <c r="A32" s="65">
        <v>5</v>
      </c>
      <c r="B32" s="65" t="s">
        <v>1146</v>
      </c>
      <c r="C32" s="66">
        <v>129364686.5757</v>
      </c>
      <c r="D32" s="66">
        <v>129173612.22</v>
      </c>
      <c r="E32" s="66">
        <v>191074.35570000109</v>
      </c>
    </row>
    <row r="33" spans="1:5" x14ac:dyDescent="0.25">
      <c r="A33" s="67">
        <v>5</v>
      </c>
      <c r="B33" s="67" t="s">
        <v>1148</v>
      </c>
      <c r="C33" s="68">
        <v>456815519.37</v>
      </c>
      <c r="D33" s="68">
        <v>457128381.43000001</v>
      </c>
      <c r="E33" s="68">
        <v>-312862.06000000238</v>
      </c>
    </row>
    <row r="34" spans="1:5" x14ac:dyDescent="0.25">
      <c r="A34" s="65">
        <v>5</v>
      </c>
      <c r="B34" s="65" t="s">
        <v>1172</v>
      </c>
      <c r="C34" s="66">
        <v>13433019.820499999</v>
      </c>
      <c r="D34" s="66">
        <v>10099219.25</v>
      </c>
      <c r="E34" s="66">
        <v>3333800.570499999</v>
      </c>
    </row>
    <row r="35" spans="1:5" x14ac:dyDescent="0.25">
      <c r="A35" s="67">
        <v>5</v>
      </c>
      <c r="B35" s="67" t="s">
        <v>1150</v>
      </c>
      <c r="C35" s="68">
        <v>75871571.829999968</v>
      </c>
      <c r="D35" s="68">
        <v>109180894.42</v>
      </c>
      <c r="E35" s="68">
        <v>-33309322.59000003</v>
      </c>
    </row>
    <row r="36" spans="1:5" x14ac:dyDescent="0.25">
      <c r="A36" s="65">
        <v>5</v>
      </c>
      <c r="B36" s="65" t="s">
        <v>1170</v>
      </c>
      <c r="C36" s="66">
        <v>0</v>
      </c>
      <c r="D36" s="66">
        <v>8286414.6199999992</v>
      </c>
      <c r="E36" s="66">
        <v>-8286414.6199999992</v>
      </c>
    </row>
    <row r="37" spans="1:5" x14ac:dyDescent="0.25">
      <c r="A37" s="67">
        <v>6</v>
      </c>
      <c r="B37" s="67" t="s">
        <v>1142</v>
      </c>
      <c r="C37" s="68">
        <v>564960847.32298517</v>
      </c>
      <c r="D37" s="68">
        <v>418011888.16000003</v>
      </c>
      <c r="E37" s="68">
        <v>146948959.16298521</v>
      </c>
    </row>
    <row r="38" spans="1:5" x14ac:dyDescent="0.25">
      <c r="A38" s="65">
        <v>6</v>
      </c>
      <c r="B38" s="65" t="s">
        <v>1138</v>
      </c>
      <c r="C38" s="66">
        <v>494603087.75999999</v>
      </c>
      <c r="D38" s="66">
        <v>488959664.37</v>
      </c>
      <c r="E38" s="66">
        <v>5643423.3899999857</v>
      </c>
    </row>
    <row r="39" spans="1:5" x14ac:dyDescent="0.25">
      <c r="A39" s="67">
        <v>6</v>
      </c>
      <c r="B39" s="67" t="s">
        <v>1146</v>
      </c>
      <c r="C39" s="68">
        <v>157154269.61000001</v>
      </c>
      <c r="D39" s="68">
        <v>120645965.44</v>
      </c>
      <c r="E39" s="68">
        <v>36508304.170000017</v>
      </c>
    </row>
    <row r="40" spans="1:5" x14ac:dyDescent="0.25">
      <c r="A40" s="65">
        <v>6</v>
      </c>
      <c r="B40" s="65" t="s">
        <v>1148</v>
      </c>
      <c r="C40" s="66">
        <v>433143081.68000001</v>
      </c>
      <c r="D40" s="66">
        <v>433119889.44</v>
      </c>
      <c r="E40" s="66">
        <v>23192.24000000954</v>
      </c>
    </row>
    <row r="41" spans="1:5" x14ac:dyDescent="0.25">
      <c r="A41" s="67">
        <v>6</v>
      </c>
      <c r="B41" s="67" t="s">
        <v>1172</v>
      </c>
      <c r="C41" s="68">
        <v>10099219.25</v>
      </c>
      <c r="D41" s="68">
        <v>7131052.7300000004</v>
      </c>
      <c r="E41" s="68">
        <v>2968166.52</v>
      </c>
    </row>
    <row r="42" spans="1:5" x14ac:dyDescent="0.25">
      <c r="A42" s="65">
        <v>6</v>
      </c>
      <c r="B42" s="65" t="s">
        <v>1150</v>
      </c>
      <c r="C42" s="66">
        <v>22803747.630000021</v>
      </c>
      <c r="D42" s="66">
        <v>53857334.840000004</v>
      </c>
      <c r="E42" s="66">
        <v>-31053587.209999979</v>
      </c>
    </row>
    <row r="43" spans="1:5" x14ac:dyDescent="0.25">
      <c r="A43" s="67">
        <v>6</v>
      </c>
      <c r="B43" s="67" t="s">
        <v>1170</v>
      </c>
      <c r="C43" s="68">
        <v>11452877.689999999</v>
      </c>
      <c r="D43" s="68">
        <v>6010635.3300000001</v>
      </c>
      <c r="E43" s="68">
        <v>5442242.3599999994</v>
      </c>
    </row>
    <row r="44" spans="1:5" x14ac:dyDescent="0.25">
      <c r="A44" s="65">
        <v>7</v>
      </c>
      <c r="B44" s="65" t="s">
        <v>1142</v>
      </c>
      <c r="C44" s="66">
        <v>383455738.02940989</v>
      </c>
      <c r="D44" s="66">
        <v>362718938.27999997</v>
      </c>
      <c r="E44" s="66">
        <v>20736799.749409851</v>
      </c>
    </row>
    <row r="45" spans="1:5" x14ac:dyDescent="0.25">
      <c r="A45" s="67">
        <v>7</v>
      </c>
      <c r="B45" s="67" t="s">
        <v>1138</v>
      </c>
      <c r="C45" s="68">
        <v>312323908.75</v>
      </c>
      <c r="D45" s="68">
        <v>296213386.89999998</v>
      </c>
      <c r="E45" s="68">
        <v>16110521.85000002</v>
      </c>
    </row>
    <row r="46" spans="1:5" x14ac:dyDescent="0.25">
      <c r="A46" s="65">
        <v>7</v>
      </c>
      <c r="B46" s="65" t="s">
        <v>1146</v>
      </c>
      <c r="C46" s="66">
        <v>110374802.7254</v>
      </c>
      <c r="D46" s="66">
        <v>145939326.81999999</v>
      </c>
      <c r="E46" s="66">
        <v>-35564524.094599992</v>
      </c>
    </row>
    <row r="47" spans="1:5" x14ac:dyDescent="0.25">
      <c r="A47" s="67">
        <v>7</v>
      </c>
      <c r="B47" s="67" t="s">
        <v>1148</v>
      </c>
      <c r="C47" s="68">
        <v>477991602.97000003</v>
      </c>
      <c r="D47" s="68">
        <v>477877165.13</v>
      </c>
      <c r="E47" s="68">
        <v>114437.84000003339</v>
      </c>
    </row>
    <row r="48" spans="1:5" x14ac:dyDescent="0.25">
      <c r="A48" s="65">
        <v>7</v>
      </c>
      <c r="B48" s="65" t="s">
        <v>1172</v>
      </c>
      <c r="C48" s="66">
        <v>7131052.7345000003</v>
      </c>
      <c r="D48" s="66">
        <v>17312504.120000001</v>
      </c>
      <c r="E48" s="66">
        <v>-10181451.385500001</v>
      </c>
    </row>
    <row r="49" spans="1:5" x14ac:dyDescent="0.25">
      <c r="A49" s="67">
        <v>7</v>
      </c>
      <c r="B49" s="67" t="s">
        <v>1150</v>
      </c>
      <c r="C49" s="68">
        <v>27122119.98999998</v>
      </c>
      <c r="D49" s="68">
        <v>92329813.469999999</v>
      </c>
      <c r="E49" s="68">
        <v>-65207693.480000019</v>
      </c>
    </row>
    <row r="50" spans="1:5" x14ac:dyDescent="0.25">
      <c r="A50" s="65">
        <v>7</v>
      </c>
      <c r="B50" s="65" t="s">
        <v>1170</v>
      </c>
      <c r="C50" s="66">
        <v>18872089.719999999</v>
      </c>
      <c r="D50" s="66">
        <v>11834189.5</v>
      </c>
      <c r="E50" s="66">
        <v>7037900.2200000035</v>
      </c>
    </row>
    <row r="51" spans="1:5" x14ac:dyDescent="0.25">
      <c r="A51" s="67">
        <v>8</v>
      </c>
      <c r="B51" s="67" t="s">
        <v>1142</v>
      </c>
      <c r="C51" s="68">
        <v>402591352.22711688</v>
      </c>
      <c r="D51" s="68">
        <v>535943112.15460002</v>
      </c>
      <c r="E51" s="68">
        <v>-133351759.9274831</v>
      </c>
    </row>
    <row r="52" spans="1:5" x14ac:dyDescent="0.25">
      <c r="A52" s="65">
        <v>8</v>
      </c>
      <c r="B52" s="65" t="s">
        <v>1138</v>
      </c>
      <c r="C52" s="66">
        <v>54598527.740000002</v>
      </c>
      <c r="D52" s="66">
        <v>216232391.94102001</v>
      </c>
      <c r="E52" s="66">
        <v>-161633864.20102</v>
      </c>
    </row>
    <row r="53" spans="1:5" x14ac:dyDescent="0.25">
      <c r="A53" s="67">
        <v>8</v>
      </c>
      <c r="B53" s="67" t="s">
        <v>1146</v>
      </c>
      <c r="C53" s="68">
        <v>0</v>
      </c>
      <c r="D53" s="68">
        <v>117018987.34</v>
      </c>
      <c r="E53" s="68">
        <v>-117018987.34</v>
      </c>
    </row>
    <row r="54" spans="1:5" x14ac:dyDescent="0.25">
      <c r="A54" s="65">
        <v>8</v>
      </c>
      <c r="B54" s="65" t="s">
        <v>1148</v>
      </c>
      <c r="C54" s="66">
        <v>444469895</v>
      </c>
      <c r="D54" s="66">
        <v>444348144.73000002</v>
      </c>
      <c r="E54" s="66">
        <v>121750.2699999809</v>
      </c>
    </row>
    <row r="55" spans="1:5" x14ac:dyDescent="0.25">
      <c r="A55" s="67">
        <v>8</v>
      </c>
      <c r="B55" s="67" t="s">
        <v>1172</v>
      </c>
      <c r="C55" s="68">
        <v>17312504.0889</v>
      </c>
      <c r="D55" s="68">
        <v>7607601.0120000001</v>
      </c>
      <c r="E55" s="68">
        <v>9704903.0768999998</v>
      </c>
    </row>
    <row r="56" spans="1:5" x14ac:dyDescent="0.25">
      <c r="A56" s="65">
        <v>8</v>
      </c>
      <c r="B56" s="65" t="s">
        <v>1150</v>
      </c>
      <c r="C56" s="66">
        <v>19895427.350000001</v>
      </c>
      <c r="D56" s="66">
        <v>19895427.350000001</v>
      </c>
      <c r="E56" s="66">
        <v>0</v>
      </c>
    </row>
    <row r="57" spans="1:5" x14ac:dyDescent="0.25">
      <c r="A57" s="67">
        <v>8</v>
      </c>
      <c r="B57" s="67" t="s">
        <v>1170</v>
      </c>
      <c r="C57" s="68">
        <v>0</v>
      </c>
      <c r="D57" s="68">
        <v>1787909.99</v>
      </c>
      <c r="E57" s="68">
        <v>-1787909.99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pageSetUpPr fitToPage="1"/>
  </sheetPr>
  <dimension ref="A1:M496"/>
  <sheetViews>
    <sheetView workbookViewId="0">
      <selection activeCell="H4" sqref="H4"/>
    </sheetView>
  </sheetViews>
  <sheetFormatPr baseColWidth="10" defaultRowHeight="15" x14ac:dyDescent="0.25"/>
  <cols>
    <col min="2" max="2" width="13.7109375" bestFit="1" customWidth="1"/>
    <col min="3" max="3" width="19.28515625" customWidth="1"/>
    <col min="4" max="4" width="23.85546875" bestFit="1" customWidth="1"/>
    <col min="5" max="5" width="21" bestFit="1" customWidth="1"/>
    <col min="6" max="6" width="26.140625" bestFit="1" customWidth="1"/>
    <col min="7" max="7" width="19.140625" bestFit="1" customWidth="1"/>
    <col min="12" max="12" width="13.85546875" bestFit="1" customWidth="1"/>
    <col min="13" max="13" width="19.85546875" bestFit="1" customWidth="1"/>
  </cols>
  <sheetData>
    <row r="1" spans="1:13" x14ac:dyDescent="0.2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19</v>
      </c>
      <c r="I1" s="56" t="s">
        <v>1277</v>
      </c>
    </row>
    <row r="2" spans="1:13" x14ac:dyDescent="0.25">
      <c r="A2">
        <v>1041131</v>
      </c>
      <c r="B2" t="s">
        <v>1134</v>
      </c>
      <c r="C2" t="s">
        <v>1135</v>
      </c>
      <c r="D2" t="s">
        <v>1178</v>
      </c>
      <c r="E2" t="s">
        <v>1179</v>
      </c>
      <c r="F2" t="s">
        <v>1142</v>
      </c>
      <c r="I2" s="56" t="s">
        <v>1278</v>
      </c>
    </row>
    <row r="3" spans="1:13" x14ac:dyDescent="0.25">
      <c r="A3">
        <v>1041132</v>
      </c>
      <c r="B3" t="s">
        <v>1134</v>
      </c>
      <c r="C3" t="s">
        <v>1135</v>
      </c>
      <c r="D3" t="s">
        <v>1178</v>
      </c>
      <c r="E3" t="s">
        <v>1179</v>
      </c>
      <c r="F3" t="s">
        <v>1138</v>
      </c>
    </row>
    <row r="4" spans="1:13" x14ac:dyDescent="0.25">
      <c r="A4">
        <v>1041133</v>
      </c>
      <c r="B4" t="s">
        <v>1134</v>
      </c>
      <c r="C4" t="s">
        <v>1135</v>
      </c>
      <c r="D4" t="s">
        <v>1178</v>
      </c>
      <c r="E4" t="s">
        <v>1179</v>
      </c>
      <c r="F4" t="s">
        <v>1146</v>
      </c>
      <c r="H4">
        <f t="array" ref="H4:M4">_xlfn._xlws.FILTER(Plan_cuentas[],ISNUMBER(SEARCH($I$1,Texto_PC))*ISNUMBER(SEARCH($I$2,Texto_PC)),"Sin resultados")</f>
        <v>1044485</v>
      </c>
      <c r="I4" t="str">
        <v>INGRESOS</v>
      </c>
      <c r="J4" t="str">
        <v>Transferencia</v>
      </c>
      <c r="K4" t="str">
        <v>Factura</v>
      </c>
      <c r="L4" t="str">
        <v>FC TRAMITACION</v>
      </c>
      <c r="M4" t="str">
        <v>5 - YAM - Yamaha</v>
      </c>
    </row>
    <row r="5" spans="1:13" x14ac:dyDescent="0.25">
      <c r="A5">
        <v>1041134</v>
      </c>
      <c r="B5" t="s">
        <v>1134</v>
      </c>
      <c r="C5" t="s">
        <v>1135</v>
      </c>
      <c r="D5" t="s">
        <v>1178</v>
      </c>
      <c r="E5" t="s">
        <v>1179</v>
      </c>
      <c r="F5" t="s">
        <v>1148</v>
      </c>
    </row>
    <row r="6" spans="1:13" x14ac:dyDescent="0.25">
      <c r="A6">
        <v>1041135</v>
      </c>
      <c r="B6" t="s">
        <v>1134</v>
      </c>
      <c r="C6" t="s">
        <v>1135</v>
      </c>
      <c r="D6" t="s">
        <v>1178</v>
      </c>
      <c r="E6" t="s">
        <v>1179</v>
      </c>
      <c r="F6" t="s">
        <v>1172</v>
      </c>
    </row>
    <row r="7" spans="1:13" x14ac:dyDescent="0.25">
      <c r="A7">
        <v>1041136</v>
      </c>
      <c r="B7" t="s">
        <v>1134</v>
      </c>
      <c r="C7" t="s">
        <v>1135</v>
      </c>
      <c r="D7" t="s">
        <v>1178</v>
      </c>
      <c r="E7" t="s">
        <v>1179</v>
      </c>
      <c r="F7" t="s">
        <v>1150</v>
      </c>
    </row>
    <row r="8" spans="1:13" x14ac:dyDescent="0.25">
      <c r="A8">
        <v>1041137</v>
      </c>
      <c r="B8" t="s">
        <v>1134</v>
      </c>
      <c r="C8" t="s">
        <v>1135</v>
      </c>
      <c r="D8" t="s">
        <v>1178</v>
      </c>
      <c r="E8" t="s">
        <v>1179</v>
      </c>
      <c r="F8" t="s">
        <v>1170</v>
      </c>
    </row>
    <row r="9" spans="1:13" x14ac:dyDescent="0.25">
      <c r="A9">
        <v>1041431</v>
      </c>
      <c r="B9" t="s">
        <v>1134</v>
      </c>
      <c r="C9" t="s">
        <v>1135</v>
      </c>
      <c r="D9" t="s">
        <v>1178</v>
      </c>
      <c r="E9" t="s">
        <v>1180</v>
      </c>
      <c r="F9" t="s">
        <v>1142</v>
      </c>
    </row>
    <row r="10" spans="1:13" x14ac:dyDescent="0.25">
      <c r="A10">
        <v>1041432</v>
      </c>
      <c r="B10" t="s">
        <v>1134</v>
      </c>
      <c r="C10" t="s">
        <v>1135</v>
      </c>
      <c r="D10" t="s">
        <v>1178</v>
      </c>
      <c r="E10" t="s">
        <v>1180</v>
      </c>
      <c r="F10" t="s">
        <v>1138</v>
      </c>
    </row>
    <row r="11" spans="1:13" x14ac:dyDescent="0.25">
      <c r="A11">
        <v>1041433</v>
      </c>
      <c r="B11" t="s">
        <v>1134</v>
      </c>
      <c r="C11" t="s">
        <v>1135</v>
      </c>
      <c r="D11" t="s">
        <v>1178</v>
      </c>
      <c r="E11" t="s">
        <v>1180</v>
      </c>
      <c r="F11" t="s">
        <v>1146</v>
      </c>
    </row>
    <row r="12" spans="1:13" x14ac:dyDescent="0.25">
      <c r="A12">
        <v>1041434</v>
      </c>
      <c r="B12" t="s">
        <v>1134</v>
      </c>
      <c r="C12" t="s">
        <v>1135</v>
      </c>
      <c r="D12" t="s">
        <v>1178</v>
      </c>
      <c r="E12" t="s">
        <v>1180</v>
      </c>
      <c r="F12" t="s">
        <v>1148</v>
      </c>
    </row>
    <row r="13" spans="1:13" x14ac:dyDescent="0.25">
      <c r="A13">
        <v>1041435</v>
      </c>
      <c r="B13" t="s">
        <v>1134</v>
      </c>
      <c r="C13" t="s">
        <v>1135</v>
      </c>
      <c r="D13" t="s">
        <v>1178</v>
      </c>
      <c r="E13" t="s">
        <v>1180</v>
      </c>
      <c r="F13" t="s">
        <v>1172</v>
      </c>
    </row>
    <row r="14" spans="1:13" x14ac:dyDescent="0.25">
      <c r="A14">
        <v>1041436</v>
      </c>
      <c r="B14" t="s">
        <v>1134</v>
      </c>
      <c r="C14" t="s">
        <v>1135</v>
      </c>
      <c r="D14" t="s">
        <v>1178</v>
      </c>
      <c r="E14" t="s">
        <v>1180</v>
      </c>
      <c r="F14" t="s">
        <v>1150</v>
      </c>
    </row>
    <row r="15" spans="1:13" x14ac:dyDescent="0.25">
      <c r="A15">
        <v>1041437</v>
      </c>
      <c r="B15" t="s">
        <v>1134</v>
      </c>
      <c r="C15" t="s">
        <v>1135</v>
      </c>
      <c r="D15" t="s">
        <v>1178</v>
      </c>
      <c r="E15" t="s">
        <v>1180</v>
      </c>
      <c r="F15" t="s">
        <v>1170</v>
      </c>
    </row>
    <row r="16" spans="1:13" x14ac:dyDescent="0.25">
      <c r="A16">
        <v>1041441</v>
      </c>
      <c r="B16" t="s">
        <v>1134</v>
      </c>
      <c r="C16" t="s">
        <v>1135</v>
      </c>
      <c r="D16" t="s">
        <v>1178</v>
      </c>
      <c r="E16" t="s">
        <v>1181</v>
      </c>
      <c r="F16" t="s">
        <v>1142</v>
      </c>
    </row>
    <row r="17" spans="1:6" x14ac:dyDescent="0.25">
      <c r="A17">
        <v>1041442</v>
      </c>
      <c r="B17" t="s">
        <v>1134</v>
      </c>
      <c r="C17" t="s">
        <v>1135</v>
      </c>
      <c r="D17" t="s">
        <v>1178</v>
      </c>
      <c r="E17" t="s">
        <v>1181</v>
      </c>
      <c r="F17" t="s">
        <v>1138</v>
      </c>
    </row>
    <row r="18" spans="1:6" x14ac:dyDescent="0.25">
      <c r="A18">
        <v>1041443</v>
      </c>
      <c r="B18" t="s">
        <v>1134</v>
      </c>
      <c r="C18" t="s">
        <v>1135</v>
      </c>
      <c r="D18" t="s">
        <v>1178</v>
      </c>
      <c r="E18" t="s">
        <v>1181</v>
      </c>
      <c r="F18" t="s">
        <v>1146</v>
      </c>
    </row>
    <row r="19" spans="1:6" x14ac:dyDescent="0.25">
      <c r="A19">
        <v>1041444</v>
      </c>
      <c r="B19" t="s">
        <v>1134</v>
      </c>
      <c r="C19" t="s">
        <v>1135</v>
      </c>
      <c r="D19" t="s">
        <v>1178</v>
      </c>
      <c r="E19" t="s">
        <v>1181</v>
      </c>
      <c r="F19" t="s">
        <v>1148</v>
      </c>
    </row>
    <row r="20" spans="1:6" x14ac:dyDescent="0.25">
      <c r="A20">
        <v>1041445</v>
      </c>
      <c r="B20" t="s">
        <v>1134</v>
      </c>
      <c r="C20" t="s">
        <v>1135</v>
      </c>
      <c r="D20" t="s">
        <v>1178</v>
      </c>
      <c r="E20" t="s">
        <v>1181</v>
      </c>
      <c r="F20" t="s">
        <v>1172</v>
      </c>
    </row>
    <row r="21" spans="1:6" x14ac:dyDescent="0.25">
      <c r="A21">
        <v>1041446</v>
      </c>
      <c r="B21" t="s">
        <v>1134</v>
      </c>
      <c r="C21" t="s">
        <v>1135</v>
      </c>
      <c r="D21" t="s">
        <v>1178</v>
      </c>
      <c r="E21" t="s">
        <v>1181</v>
      </c>
      <c r="F21" t="s">
        <v>1150</v>
      </c>
    </row>
    <row r="22" spans="1:6" x14ac:dyDescent="0.25">
      <c r="A22">
        <v>1041447</v>
      </c>
      <c r="B22" t="s">
        <v>1134</v>
      </c>
      <c r="C22" t="s">
        <v>1135</v>
      </c>
      <c r="D22" t="s">
        <v>1178</v>
      </c>
      <c r="E22" t="s">
        <v>1181</v>
      </c>
      <c r="F22" t="s">
        <v>1170</v>
      </c>
    </row>
    <row r="23" spans="1:6" x14ac:dyDescent="0.25">
      <c r="A23">
        <v>1042101</v>
      </c>
      <c r="B23" t="s">
        <v>1134</v>
      </c>
      <c r="C23" t="s">
        <v>1135</v>
      </c>
      <c r="D23" t="s">
        <v>1182</v>
      </c>
      <c r="E23" t="s">
        <v>1183</v>
      </c>
      <c r="F23" t="s">
        <v>1142</v>
      </c>
    </row>
    <row r="24" spans="1:6" x14ac:dyDescent="0.25">
      <c r="A24">
        <v>1042102</v>
      </c>
      <c r="B24" t="s">
        <v>1134</v>
      </c>
      <c r="C24" t="s">
        <v>1135</v>
      </c>
      <c r="D24" t="s">
        <v>1182</v>
      </c>
      <c r="E24" t="s">
        <v>1183</v>
      </c>
      <c r="F24" t="s">
        <v>1138</v>
      </c>
    </row>
    <row r="25" spans="1:6" x14ac:dyDescent="0.25">
      <c r="A25">
        <v>1042103</v>
      </c>
      <c r="B25" t="s">
        <v>1134</v>
      </c>
      <c r="C25" t="s">
        <v>1135</v>
      </c>
      <c r="D25" t="s">
        <v>1182</v>
      </c>
      <c r="E25" t="s">
        <v>1183</v>
      </c>
      <c r="F25" t="s">
        <v>1146</v>
      </c>
    </row>
    <row r="26" spans="1:6" x14ac:dyDescent="0.25">
      <c r="A26">
        <v>1042104</v>
      </c>
      <c r="B26" t="s">
        <v>1134</v>
      </c>
      <c r="C26" t="s">
        <v>1135</v>
      </c>
      <c r="D26" t="s">
        <v>1182</v>
      </c>
      <c r="E26" t="s">
        <v>1183</v>
      </c>
      <c r="F26" t="s">
        <v>1148</v>
      </c>
    </row>
    <row r="27" spans="1:6" x14ac:dyDescent="0.25">
      <c r="A27">
        <v>1042105</v>
      </c>
      <c r="B27" t="s">
        <v>1134</v>
      </c>
      <c r="C27" t="s">
        <v>1135</v>
      </c>
      <c r="D27" t="s">
        <v>1182</v>
      </c>
      <c r="E27" t="s">
        <v>1183</v>
      </c>
      <c r="F27" t="s">
        <v>1172</v>
      </c>
    </row>
    <row r="28" spans="1:6" x14ac:dyDescent="0.25">
      <c r="A28">
        <v>1042106</v>
      </c>
      <c r="B28" t="s">
        <v>1134</v>
      </c>
      <c r="C28" t="s">
        <v>1135</v>
      </c>
      <c r="D28" t="s">
        <v>1182</v>
      </c>
      <c r="E28" t="s">
        <v>1183</v>
      </c>
      <c r="F28" t="s">
        <v>1150</v>
      </c>
    </row>
    <row r="29" spans="1:6" x14ac:dyDescent="0.25">
      <c r="A29">
        <v>1042107</v>
      </c>
      <c r="B29" t="s">
        <v>1134</v>
      </c>
      <c r="C29" t="s">
        <v>1135</v>
      </c>
      <c r="D29" t="s">
        <v>1182</v>
      </c>
      <c r="E29" t="s">
        <v>1183</v>
      </c>
      <c r="F29" t="s">
        <v>1170</v>
      </c>
    </row>
    <row r="30" spans="1:6" x14ac:dyDescent="0.25">
      <c r="A30">
        <v>1042111</v>
      </c>
      <c r="B30" t="s">
        <v>1134</v>
      </c>
      <c r="C30" t="s">
        <v>1135</v>
      </c>
      <c r="D30" t="s">
        <v>1182</v>
      </c>
      <c r="E30" t="s">
        <v>1184</v>
      </c>
      <c r="F30" t="s">
        <v>1142</v>
      </c>
    </row>
    <row r="31" spans="1:6" x14ac:dyDescent="0.25">
      <c r="A31">
        <v>1042112</v>
      </c>
      <c r="B31" t="s">
        <v>1134</v>
      </c>
      <c r="C31" t="s">
        <v>1135</v>
      </c>
      <c r="D31" t="s">
        <v>1182</v>
      </c>
      <c r="E31" t="s">
        <v>1184</v>
      </c>
      <c r="F31" t="s">
        <v>1138</v>
      </c>
    </row>
    <row r="32" spans="1:6" x14ac:dyDescent="0.25">
      <c r="A32">
        <v>1042113</v>
      </c>
      <c r="B32" t="s">
        <v>1134</v>
      </c>
      <c r="C32" t="s">
        <v>1135</v>
      </c>
      <c r="D32" t="s">
        <v>1182</v>
      </c>
      <c r="E32" t="s">
        <v>1184</v>
      </c>
      <c r="F32" t="s">
        <v>1146</v>
      </c>
    </row>
    <row r="33" spans="1:6" x14ac:dyDescent="0.25">
      <c r="A33">
        <v>1042114</v>
      </c>
      <c r="B33" t="s">
        <v>1134</v>
      </c>
      <c r="C33" t="s">
        <v>1135</v>
      </c>
      <c r="D33" t="s">
        <v>1182</v>
      </c>
      <c r="E33" t="s">
        <v>1184</v>
      </c>
      <c r="F33" t="s">
        <v>1148</v>
      </c>
    </row>
    <row r="34" spans="1:6" x14ac:dyDescent="0.25">
      <c r="A34">
        <v>1042115</v>
      </c>
      <c r="B34" t="s">
        <v>1134</v>
      </c>
      <c r="C34" t="s">
        <v>1135</v>
      </c>
      <c r="D34" t="s">
        <v>1182</v>
      </c>
      <c r="E34" t="s">
        <v>1184</v>
      </c>
      <c r="F34" t="s">
        <v>1172</v>
      </c>
    </row>
    <row r="35" spans="1:6" x14ac:dyDescent="0.25">
      <c r="A35">
        <v>1042116</v>
      </c>
      <c r="B35" t="s">
        <v>1134</v>
      </c>
      <c r="C35" t="s">
        <v>1135</v>
      </c>
      <c r="D35" t="s">
        <v>1182</v>
      </c>
      <c r="E35" t="s">
        <v>1184</v>
      </c>
      <c r="F35" t="s">
        <v>1150</v>
      </c>
    </row>
    <row r="36" spans="1:6" x14ac:dyDescent="0.25">
      <c r="A36">
        <v>1042117</v>
      </c>
      <c r="B36" t="s">
        <v>1134</v>
      </c>
      <c r="C36" t="s">
        <v>1135</v>
      </c>
      <c r="D36" t="s">
        <v>1182</v>
      </c>
      <c r="E36" t="s">
        <v>1184</v>
      </c>
      <c r="F36" t="s">
        <v>1170</v>
      </c>
    </row>
    <row r="37" spans="1:6" x14ac:dyDescent="0.25">
      <c r="A37">
        <v>1042332</v>
      </c>
      <c r="B37" t="s">
        <v>1134</v>
      </c>
      <c r="C37" t="s">
        <v>1135</v>
      </c>
      <c r="D37" t="s">
        <v>1182</v>
      </c>
      <c r="E37" t="s">
        <v>1185</v>
      </c>
      <c r="F37" t="s">
        <v>1138</v>
      </c>
    </row>
    <row r="38" spans="1:6" x14ac:dyDescent="0.25">
      <c r="A38">
        <v>1043141</v>
      </c>
      <c r="B38" t="s">
        <v>1134</v>
      </c>
      <c r="C38" t="s">
        <v>1135</v>
      </c>
      <c r="D38" t="s">
        <v>1186</v>
      </c>
      <c r="E38" t="s">
        <v>1187</v>
      </c>
      <c r="F38" t="s">
        <v>1142</v>
      </c>
    </row>
    <row r="39" spans="1:6" x14ac:dyDescent="0.25">
      <c r="A39">
        <v>1043142</v>
      </c>
      <c r="B39" t="s">
        <v>1134</v>
      </c>
      <c r="C39" t="s">
        <v>1135</v>
      </c>
      <c r="D39" t="s">
        <v>1186</v>
      </c>
      <c r="E39" t="s">
        <v>1187</v>
      </c>
      <c r="F39" t="s">
        <v>1138</v>
      </c>
    </row>
    <row r="40" spans="1:6" x14ac:dyDescent="0.25">
      <c r="A40">
        <v>1043143</v>
      </c>
      <c r="B40" t="s">
        <v>1134</v>
      </c>
      <c r="C40" t="s">
        <v>1135</v>
      </c>
      <c r="D40" t="s">
        <v>1186</v>
      </c>
      <c r="E40" t="s">
        <v>1187</v>
      </c>
      <c r="F40" t="s">
        <v>1146</v>
      </c>
    </row>
    <row r="41" spans="1:6" x14ac:dyDescent="0.25">
      <c r="A41">
        <v>1043144</v>
      </c>
      <c r="B41" t="s">
        <v>1134</v>
      </c>
      <c r="C41" t="s">
        <v>1135</v>
      </c>
      <c r="D41" t="s">
        <v>1186</v>
      </c>
      <c r="E41" t="s">
        <v>1187</v>
      </c>
      <c r="F41" t="s">
        <v>1148</v>
      </c>
    </row>
    <row r="42" spans="1:6" x14ac:dyDescent="0.25">
      <c r="A42">
        <v>1043145</v>
      </c>
      <c r="B42" t="s">
        <v>1134</v>
      </c>
      <c r="C42" t="s">
        <v>1135</v>
      </c>
      <c r="D42" t="s">
        <v>1186</v>
      </c>
      <c r="E42" t="s">
        <v>1187</v>
      </c>
      <c r="F42" t="s">
        <v>1172</v>
      </c>
    </row>
    <row r="43" spans="1:6" x14ac:dyDescent="0.25">
      <c r="A43">
        <v>1043146</v>
      </c>
      <c r="B43" t="s">
        <v>1134</v>
      </c>
      <c r="C43" t="s">
        <v>1135</v>
      </c>
      <c r="D43" t="s">
        <v>1186</v>
      </c>
      <c r="E43" t="s">
        <v>1187</v>
      </c>
      <c r="F43" t="s">
        <v>1150</v>
      </c>
    </row>
    <row r="44" spans="1:6" x14ac:dyDescent="0.25">
      <c r="A44">
        <v>1043147</v>
      </c>
      <c r="B44" t="s">
        <v>1134</v>
      </c>
      <c r="C44" t="s">
        <v>1135</v>
      </c>
      <c r="D44" t="s">
        <v>1186</v>
      </c>
      <c r="E44" t="s">
        <v>1187</v>
      </c>
      <c r="F44" t="s">
        <v>1170</v>
      </c>
    </row>
    <row r="45" spans="1:6" x14ac:dyDescent="0.25">
      <c r="A45">
        <v>1043151</v>
      </c>
      <c r="B45" t="s">
        <v>1134</v>
      </c>
      <c r="C45" t="s">
        <v>1135</v>
      </c>
      <c r="D45" t="s">
        <v>1186</v>
      </c>
      <c r="E45" t="s">
        <v>1188</v>
      </c>
      <c r="F45" t="s">
        <v>1142</v>
      </c>
    </row>
    <row r="46" spans="1:6" x14ac:dyDescent="0.25">
      <c r="A46">
        <v>1043152</v>
      </c>
      <c r="B46" t="s">
        <v>1134</v>
      </c>
      <c r="C46" t="s">
        <v>1135</v>
      </c>
      <c r="D46" t="s">
        <v>1186</v>
      </c>
      <c r="E46" t="s">
        <v>1188</v>
      </c>
      <c r="F46" t="s">
        <v>1138</v>
      </c>
    </row>
    <row r="47" spans="1:6" x14ac:dyDescent="0.25">
      <c r="A47">
        <v>1043153</v>
      </c>
      <c r="B47" t="s">
        <v>1134</v>
      </c>
      <c r="C47" t="s">
        <v>1135</v>
      </c>
      <c r="D47" t="s">
        <v>1186</v>
      </c>
      <c r="E47" t="s">
        <v>1188</v>
      </c>
      <c r="F47" t="s">
        <v>1146</v>
      </c>
    </row>
    <row r="48" spans="1:6" x14ac:dyDescent="0.25">
      <c r="A48">
        <v>1043154</v>
      </c>
      <c r="B48" t="s">
        <v>1134</v>
      </c>
      <c r="C48" t="s">
        <v>1135</v>
      </c>
      <c r="D48" t="s">
        <v>1186</v>
      </c>
      <c r="E48" t="s">
        <v>1188</v>
      </c>
      <c r="F48" t="s">
        <v>1148</v>
      </c>
    </row>
    <row r="49" spans="1:6" x14ac:dyDescent="0.25">
      <c r="A49">
        <v>1043155</v>
      </c>
      <c r="B49" t="s">
        <v>1134</v>
      </c>
      <c r="C49" t="s">
        <v>1135</v>
      </c>
      <c r="D49" t="s">
        <v>1186</v>
      </c>
      <c r="E49" t="s">
        <v>1188</v>
      </c>
      <c r="F49" t="s">
        <v>1172</v>
      </c>
    </row>
    <row r="50" spans="1:6" x14ac:dyDescent="0.25">
      <c r="A50">
        <v>1043156</v>
      </c>
      <c r="B50" t="s">
        <v>1134</v>
      </c>
      <c r="C50" t="s">
        <v>1135</v>
      </c>
      <c r="D50" t="s">
        <v>1186</v>
      </c>
      <c r="E50" t="s">
        <v>1188</v>
      </c>
      <c r="F50" t="s">
        <v>1150</v>
      </c>
    </row>
    <row r="51" spans="1:6" x14ac:dyDescent="0.25">
      <c r="A51">
        <v>1043157</v>
      </c>
      <c r="B51" t="s">
        <v>1134</v>
      </c>
      <c r="C51" t="s">
        <v>1135</v>
      </c>
      <c r="D51" t="s">
        <v>1186</v>
      </c>
      <c r="E51" t="s">
        <v>1188</v>
      </c>
      <c r="F51" t="s">
        <v>1170</v>
      </c>
    </row>
    <row r="52" spans="1:6" x14ac:dyDescent="0.25">
      <c r="A52">
        <v>1043172</v>
      </c>
      <c r="B52" t="s">
        <v>1134</v>
      </c>
      <c r="C52" t="s">
        <v>1135</v>
      </c>
      <c r="D52" t="s">
        <v>1186</v>
      </c>
      <c r="E52" t="s">
        <v>1147</v>
      </c>
      <c r="F52" t="s">
        <v>1138</v>
      </c>
    </row>
    <row r="53" spans="1:6" x14ac:dyDescent="0.25">
      <c r="A53">
        <v>1043175</v>
      </c>
      <c r="B53" t="s">
        <v>1134</v>
      </c>
      <c r="C53" t="s">
        <v>1135</v>
      </c>
      <c r="D53" t="s">
        <v>1186</v>
      </c>
      <c r="E53" t="s">
        <v>1147</v>
      </c>
      <c r="F53" t="s">
        <v>1172</v>
      </c>
    </row>
    <row r="54" spans="1:6" x14ac:dyDescent="0.25">
      <c r="A54">
        <v>1043176</v>
      </c>
      <c r="B54" t="s">
        <v>1134</v>
      </c>
      <c r="C54" t="s">
        <v>1135</v>
      </c>
      <c r="D54" t="s">
        <v>1186</v>
      </c>
      <c r="E54" t="s">
        <v>1147</v>
      </c>
      <c r="F54" t="s">
        <v>1150</v>
      </c>
    </row>
    <row r="55" spans="1:6" x14ac:dyDescent="0.25">
      <c r="A55">
        <v>1043177</v>
      </c>
      <c r="B55" t="s">
        <v>1134</v>
      </c>
      <c r="C55" t="s">
        <v>1135</v>
      </c>
      <c r="D55" t="s">
        <v>1186</v>
      </c>
      <c r="E55" t="s">
        <v>1147</v>
      </c>
      <c r="F55" t="s">
        <v>1170</v>
      </c>
    </row>
    <row r="56" spans="1:6" x14ac:dyDescent="0.25">
      <c r="A56">
        <v>1043221</v>
      </c>
      <c r="B56" t="s">
        <v>1134</v>
      </c>
      <c r="C56" t="s">
        <v>1135</v>
      </c>
      <c r="D56" t="s">
        <v>1186</v>
      </c>
      <c r="E56" t="s">
        <v>1189</v>
      </c>
      <c r="F56" t="s">
        <v>1142</v>
      </c>
    </row>
    <row r="57" spans="1:6" x14ac:dyDescent="0.25">
      <c r="A57">
        <v>1043222</v>
      </c>
      <c r="B57" t="s">
        <v>1134</v>
      </c>
      <c r="C57" t="s">
        <v>1135</v>
      </c>
      <c r="D57" t="s">
        <v>1186</v>
      </c>
      <c r="E57" t="s">
        <v>1189</v>
      </c>
      <c r="F57" t="s">
        <v>1138</v>
      </c>
    </row>
    <row r="58" spans="1:6" x14ac:dyDescent="0.25">
      <c r="A58">
        <v>1043223</v>
      </c>
      <c r="B58" t="s">
        <v>1134</v>
      </c>
      <c r="C58" t="s">
        <v>1135</v>
      </c>
      <c r="D58" t="s">
        <v>1186</v>
      </c>
      <c r="E58" t="s">
        <v>1189</v>
      </c>
      <c r="F58" t="s">
        <v>1146</v>
      </c>
    </row>
    <row r="59" spans="1:6" x14ac:dyDescent="0.25">
      <c r="A59">
        <v>1043224</v>
      </c>
      <c r="B59" t="s">
        <v>1134</v>
      </c>
      <c r="C59" t="s">
        <v>1135</v>
      </c>
      <c r="D59" t="s">
        <v>1186</v>
      </c>
      <c r="E59" t="s">
        <v>1189</v>
      </c>
      <c r="F59" t="s">
        <v>1148</v>
      </c>
    </row>
    <row r="60" spans="1:6" x14ac:dyDescent="0.25">
      <c r="A60">
        <v>1043225</v>
      </c>
      <c r="B60" t="s">
        <v>1134</v>
      </c>
      <c r="C60" t="s">
        <v>1135</v>
      </c>
      <c r="D60" t="s">
        <v>1186</v>
      </c>
      <c r="E60" t="s">
        <v>1189</v>
      </c>
      <c r="F60" t="s">
        <v>1172</v>
      </c>
    </row>
    <row r="61" spans="1:6" x14ac:dyDescent="0.25">
      <c r="A61">
        <v>1043226</v>
      </c>
      <c r="B61" t="s">
        <v>1134</v>
      </c>
      <c r="C61" t="s">
        <v>1135</v>
      </c>
      <c r="D61" t="s">
        <v>1186</v>
      </c>
      <c r="E61" t="s">
        <v>1189</v>
      </c>
      <c r="F61" t="s">
        <v>1150</v>
      </c>
    </row>
    <row r="62" spans="1:6" x14ac:dyDescent="0.25">
      <c r="A62">
        <v>1043227</v>
      </c>
      <c r="B62" t="s">
        <v>1134</v>
      </c>
      <c r="C62" t="s">
        <v>1135</v>
      </c>
      <c r="D62" t="s">
        <v>1186</v>
      </c>
      <c r="E62" t="s">
        <v>1189</v>
      </c>
      <c r="F62" t="s">
        <v>1170</v>
      </c>
    </row>
    <row r="63" spans="1:6" x14ac:dyDescent="0.25">
      <c r="A63">
        <v>1043231</v>
      </c>
      <c r="B63" t="s">
        <v>1134</v>
      </c>
      <c r="C63" t="s">
        <v>1135</v>
      </c>
      <c r="D63" t="s">
        <v>1186</v>
      </c>
      <c r="E63" t="s">
        <v>1152</v>
      </c>
      <c r="F63" t="s">
        <v>1142</v>
      </c>
    </row>
    <row r="64" spans="1:6" x14ac:dyDescent="0.25">
      <c r="A64">
        <v>1043232</v>
      </c>
      <c r="B64" t="s">
        <v>1134</v>
      </c>
      <c r="C64" t="s">
        <v>1135</v>
      </c>
      <c r="D64" t="s">
        <v>1186</v>
      </c>
      <c r="E64" t="s">
        <v>1152</v>
      </c>
      <c r="F64" t="s">
        <v>1138</v>
      </c>
    </row>
    <row r="65" spans="1:6" x14ac:dyDescent="0.25">
      <c r="A65">
        <v>1043233</v>
      </c>
      <c r="B65" t="s">
        <v>1134</v>
      </c>
      <c r="C65" t="s">
        <v>1135</v>
      </c>
      <c r="D65" t="s">
        <v>1186</v>
      </c>
      <c r="E65" t="s">
        <v>1152</v>
      </c>
      <c r="F65" t="s">
        <v>1146</v>
      </c>
    </row>
    <row r="66" spans="1:6" x14ac:dyDescent="0.25">
      <c r="A66">
        <v>1043234</v>
      </c>
      <c r="B66" t="s">
        <v>1134</v>
      </c>
      <c r="C66" t="s">
        <v>1135</v>
      </c>
      <c r="D66" t="s">
        <v>1186</v>
      </c>
      <c r="E66" t="s">
        <v>1152</v>
      </c>
      <c r="F66" t="s">
        <v>1148</v>
      </c>
    </row>
    <row r="67" spans="1:6" x14ac:dyDescent="0.25">
      <c r="A67">
        <v>1043235</v>
      </c>
      <c r="B67" t="s">
        <v>1134</v>
      </c>
      <c r="C67" t="s">
        <v>1135</v>
      </c>
      <c r="D67" t="s">
        <v>1186</v>
      </c>
      <c r="E67" t="s">
        <v>1152</v>
      </c>
      <c r="F67" t="s">
        <v>1172</v>
      </c>
    </row>
    <row r="68" spans="1:6" x14ac:dyDescent="0.25">
      <c r="A68">
        <v>1043236</v>
      </c>
      <c r="B68" t="s">
        <v>1134</v>
      </c>
      <c r="C68" t="s">
        <v>1135</v>
      </c>
      <c r="D68" t="s">
        <v>1186</v>
      </c>
      <c r="E68" t="s">
        <v>1152</v>
      </c>
      <c r="F68" t="s">
        <v>1150</v>
      </c>
    </row>
    <row r="69" spans="1:6" x14ac:dyDescent="0.25">
      <c r="A69">
        <v>1043237</v>
      </c>
      <c r="B69" t="s">
        <v>1134</v>
      </c>
      <c r="C69" t="s">
        <v>1135</v>
      </c>
      <c r="D69" t="s">
        <v>1186</v>
      </c>
      <c r="E69" t="s">
        <v>1152</v>
      </c>
      <c r="F69" t="s">
        <v>1170</v>
      </c>
    </row>
    <row r="70" spans="1:6" x14ac:dyDescent="0.25">
      <c r="A70">
        <v>1043242</v>
      </c>
      <c r="B70" t="s">
        <v>1134</v>
      </c>
      <c r="C70" t="s">
        <v>1135</v>
      </c>
      <c r="D70" t="s">
        <v>1186</v>
      </c>
      <c r="E70" t="s">
        <v>1153</v>
      </c>
      <c r="F70" t="s">
        <v>1138</v>
      </c>
    </row>
    <row r="71" spans="1:6" x14ac:dyDescent="0.25">
      <c r="A71">
        <v>1043245</v>
      </c>
      <c r="B71" t="s">
        <v>1134</v>
      </c>
      <c r="C71" t="s">
        <v>1135</v>
      </c>
      <c r="D71" t="s">
        <v>1186</v>
      </c>
      <c r="E71" t="s">
        <v>1153</v>
      </c>
      <c r="F71" t="s">
        <v>1172</v>
      </c>
    </row>
    <row r="72" spans="1:6" x14ac:dyDescent="0.25">
      <c r="A72">
        <v>1043247</v>
      </c>
      <c r="B72" t="s">
        <v>1134</v>
      </c>
      <c r="C72" t="s">
        <v>1135</v>
      </c>
      <c r="D72" t="s">
        <v>1186</v>
      </c>
      <c r="E72" t="s">
        <v>1153</v>
      </c>
      <c r="F72" t="s">
        <v>1170</v>
      </c>
    </row>
    <row r="73" spans="1:6" x14ac:dyDescent="0.25">
      <c r="A73">
        <v>1043267</v>
      </c>
      <c r="B73" t="s">
        <v>1134</v>
      </c>
      <c r="C73" t="s">
        <v>1135</v>
      </c>
      <c r="D73" t="s">
        <v>1186</v>
      </c>
      <c r="E73" t="s">
        <v>1145</v>
      </c>
      <c r="F73" t="s">
        <v>1170</v>
      </c>
    </row>
    <row r="74" spans="1:6" x14ac:dyDescent="0.25">
      <c r="A74">
        <v>1043265</v>
      </c>
      <c r="B74" t="s">
        <v>1134</v>
      </c>
      <c r="C74" t="s">
        <v>1135</v>
      </c>
      <c r="D74" t="s">
        <v>1186</v>
      </c>
      <c r="E74" t="s">
        <v>1145</v>
      </c>
      <c r="F74" t="s">
        <v>1172</v>
      </c>
    </row>
    <row r="75" spans="1:6" x14ac:dyDescent="0.25">
      <c r="A75">
        <v>1043341</v>
      </c>
      <c r="B75" t="s">
        <v>1134</v>
      </c>
      <c r="C75" t="s">
        <v>1135</v>
      </c>
      <c r="D75" t="s">
        <v>1186</v>
      </c>
      <c r="E75" t="s">
        <v>1156</v>
      </c>
      <c r="F75" t="s">
        <v>1142</v>
      </c>
    </row>
    <row r="76" spans="1:6" x14ac:dyDescent="0.25">
      <c r="A76">
        <v>1043342</v>
      </c>
      <c r="B76" t="s">
        <v>1134</v>
      </c>
      <c r="C76" t="s">
        <v>1135</v>
      </c>
      <c r="D76" t="s">
        <v>1186</v>
      </c>
      <c r="E76" t="s">
        <v>1156</v>
      </c>
      <c r="F76" t="s">
        <v>1138</v>
      </c>
    </row>
    <row r="77" spans="1:6" x14ac:dyDescent="0.25">
      <c r="A77">
        <v>1043343</v>
      </c>
      <c r="B77" t="s">
        <v>1134</v>
      </c>
      <c r="C77" t="s">
        <v>1135</v>
      </c>
      <c r="D77" t="s">
        <v>1186</v>
      </c>
      <c r="E77" t="s">
        <v>1156</v>
      </c>
      <c r="F77" t="s">
        <v>1146</v>
      </c>
    </row>
    <row r="78" spans="1:6" x14ac:dyDescent="0.25">
      <c r="A78">
        <v>1043344</v>
      </c>
      <c r="B78" t="s">
        <v>1134</v>
      </c>
      <c r="C78" t="s">
        <v>1135</v>
      </c>
      <c r="D78" t="s">
        <v>1186</v>
      </c>
      <c r="E78" t="s">
        <v>1156</v>
      </c>
      <c r="F78" t="s">
        <v>1148</v>
      </c>
    </row>
    <row r="79" spans="1:6" x14ac:dyDescent="0.25">
      <c r="A79">
        <v>1043345</v>
      </c>
      <c r="B79" t="s">
        <v>1134</v>
      </c>
      <c r="C79" t="s">
        <v>1135</v>
      </c>
      <c r="D79" t="s">
        <v>1186</v>
      </c>
      <c r="E79" t="s">
        <v>1156</v>
      </c>
      <c r="F79" t="s">
        <v>1172</v>
      </c>
    </row>
    <row r="80" spans="1:6" x14ac:dyDescent="0.25">
      <c r="A80">
        <v>1043346</v>
      </c>
      <c r="B80" t="s">
        <v>1134</v>
      </c>
      <c r="C80" t="s">
        <v>1135</v>
      </c>
      <c r="D80" t="s">
        <v>1186</v>
      </c>
      <c r="E80" t="s">
        <v>1156</v>
      </c>
      <c r="F80" t="s">
        <v>1150</v>
      </c>
    </row>
    <row r="81" spans="1:6" x14ac:dyDescent="0.25">
      <c r="A81">
        <v>1043347</v>
      </c>
      <c r="B81" t="s">
        <v>1134</v>
      </c>
      <c r="C81" t="s">
        <v>1135</v>
      </c>
      <c r="D81" t="s">
        <v>1186</v>
      </c>
      <c r="E81" t="s">
        <v>1156</v>
      </c>
      <c r="F81" t="s">
        <v>1170</v>
      </c>
    </row>
    <row r="82" spans="1:6" x14ac:dyDescent="0.25">
      <c r="A82">
        <v>1043375</v>
      </c>
      <c r="B82" t="s">
        <v>1134</v>
      </c>
      <c r="C82" t="s">
        <v>1135</v>
      </c>
      <c r="D82" t="s">
        <v>1186</v>
      </c>
      <c r="E82" t="s">
        <v>1141</v>
      </c>
      <c r="F82" t="s">
        <v>1172</v>
      </c>
    </row>
    <row r="83" spans="1:6" x14ac:dyDescent="0.25">
      <c r="A83">
        <v>1043376</v>
      </c>
      <c r="B83" t="s">
        <v>1134</v>
      </c>
      <c r="C83" t="s">
        <v>1135</v>
      </c>
      <c r="D83" t="s">
        <v>1186</v>
      </c>
      <c r="E83" t="s">
        <v>1141</v>
      </c>
      <c r="F83" t="s">
        <v>1150</v>
      </c>
    </row>
    <row r="84" spans="1:6" x14ac:dyDescent="0.25">
      <c r="A84">
        <v>1043377</v>
      </c>
      <c r="B84" t="s">
        <v>1134</v>
      </c>
      <c r="C84" t="s">
        <v>1135</v>
      </c>
      <c r="D84" t="s">
        <v>1186</v>
      </c>
      <c r="E84" t="s">
        <v>1141</v>
      </c>
      <c r="F84" t="s">
        <v>1170</v>
      </c>
    </row>
    <row r="85" spans="1:6" x14ac:dyDescent="0.25">
      <c r="A85">
        <v>1043382</v>
      </c>
      <c r="B85" t="s">
        <v>1134</v>
      </c>
      <c r="C85" t="s">
        <v>1135</v>
      </c>
      <c r="D85" t="s">
        <v>1186</v>
      </c>
      <c r="E85" t="s">
        <v>1163</v>
      </c>
      <c r="F85" t="s">
        <v>1138</v>
      </c>
    </row>
    <row r="86" spans="1:6" x14ac:dyDescent="0.25">
      <c r="A86">
        <v>1043383</v>
      </c>
      <c r="B86" t="s">
        <v>1134</v>
      </c>
      <c r="C86" t="s">
        <v>1135</v>
      </c>
      <c r="D86" t="s">
        <v>1186</v>
      </c>
      <c r="E86" t="s">
        <v>1163</v>
      </c>
      <c r="F86" t="s">
        <v>1146</v>
      </c>
    </row>
    <row r="87" spans="1:6" x14ac:dyDescent="0.25">
      <c r="A87">
        <v>1043385</v>
      </c>
      <c r="B87" t="s">
        <v>1134</v>
      </c>
      <c r="C87" t="s">
        <v>1135</v>
      </c>
      <c r="D87" t="s">
        <v>1186</v>
      </c>
      <c r="E87" t="s">
        <v>1163</v>
      </c>
      <c r="F87" t="s">
        <v>1172</v>
      </c>
    </row>
    <row r="88" spans="1:6" x14ac:dyDescent="0.25">
      <c r="A88">
        <v>1043386</v>
      </c>
      <c r="B88" t="s">
        <v>1134</v>
      </c>
      <c r="C88" t="s">
        <v>1135</v>
      </c>
      <c r="D88" t="s">
        <v>1186</v>
      </c>
      <c r="E88" t="s">
        <v>1163</v>
      </c>
      <c r="F88" t="s">
        <v>1150</v>
      </c>
    </row>
    <row r="89" spans="1:6" x14ac:dyDescent="0.25">
      <c r="A89">
        <v>1043387</v>
      </c>
      <c r="B89" t="s">
        <v>1134</v>
      </c>
      <c r="C89" t="s">
        <v>1135</v>
      </c>
      <c r="D89" t="s">
        <v>1186</v>
      </c>
      <c r="E89" t="s">
        <v>1163</v>
      </c>
      <c r="F89" t="s">
        <v>1170</v>
      </c>
    </row>
    <row r="90" spans="1:6" x14ac:dyDescent="0.25">
      <c r="A90">
        <v>1043392</v>
      </c>
      <c r="B90" t="s">
        <v>1134</v>
      </c>
      <c r="C90" t="s">
        <v>1135</v>
      </c>
      <c r="D90" t="s">
        <v>1186</v>
      </c>
      <c r="E90" t="s">
        <v>1164</v>
      </c>
      <c r="F90" t="s">
        <v>1138</v>
      </c>
    </row>
    <row r="91" spans="1:6" x14ac:dyDescent="0.25">
      <c r="A91">
        <v>1043393</v>
      </c>
      <c r="B91" t="s">
        <v>1134</v>
      </c>
      <c r="C91" t="s">
        <v>1135</v>
      </c>
      <c r="D91" t="s">
        <v>1186</v>
      </c>
      <c r="E91" t="s">
        <v>1164</v>
      </c>
      <c r="F91" t="s">
        <v>1146</v>
      </c>
    </row>
    <row r="92" spans="1:6" x14ac:dyDescent="0.25">
      <c r="A92">
        <v>1043394</v>
      </c>
      <c r="B92" t="s">
        <v>1134</v>
      </c>
      <c r="C92" t="s">
        <v>1135</v>
      </c>
      <c r="D92" t="s">
        <v>1186</v>
      </c>
      <c r="E92" t="s">
        <v>1164</v>
      </c>
      <c r="F92" t="s">
        <v>1148</v>
      </c>
    </row>
    <row r="93" spans="1:6" x14ac:dyDescent="0.25">
      <c r="A93">
        <v>1043395</v>
      </c>
      <c r="B93" t="s">
        <v>1134</v>
      </c>
      <c r="C93" t="s">
        <v>1135</v>
      </c>
      <c r="D93" t="s">
        <v>1186</v>
      </c>
      <c r="E93" t="s">
        <v>1164</v>
      </c>
      <c r="F93" t="s">
        <v>1172</v>
      </c>
    </row>
    <row r="94" spans="1:6" x14ac:dyDescent="0.25">
      <c r="A94">
        <v>1043396</v>
      </c>
      <c r="B94" t="s">
        <v>1134</v>
      </c>
      <c r="C94" t="s">
        <v>1135</v>
      </c>
      <c r="D94" t="s">
        <v>1186</v>
      </c>
      <c r="E94" t="s">
        <v>1164</v>
      </c>
      <c r="F94" t="s">
        <v>1150</v>
      </c>
    </row>
    <row r="95" spans="1:6" x14ac:dyDescent="0.25">
      <c r="A95">
        <v>1043397</v>
      </c>
      <c r="B95" t="s">
        <v>1134</v>
      </c>
      <c r="C95" t="s">
        <v>1135</v>
      </c>
      <c r="D95" t="s">
        <v>1186</v>
      </c>
      <c r="E95" t="s">
        <v>1164</v>
      </c>
      <c r="F95" t="s">
        <v>1170</v>
      </c>
    </row>
    <row r="96" spans="1:6" x14ac:dyDescent="0.25">
      <c r="A96">
        <v>1044121</v>
      </c>
      <c r="B96" t="s">
        <v>1134</v>
      </c>
      <c r="C96" t="s">
        <v>1135</v>
      </c>
      <c r="D96" t="s">
        <v>1136</v>
      </c>
      <c r="E96" t="s">
        <v>1175</v>
      </c>
      <c r="F96" t="s">
        <v>1142</v>
      </c>
    </row>
    <row r="97" spans="1:6" x14ac:dyDescent="0.25">
      <c r="A97">
        <v>1044122</v>
      </c>
      <c r="B97" t="s">
        <v>1134</v>
      </c>
      <c r="C97" t="s">
        <v>1135</v>
      </c>
      <c r="D97" t="s">
        <v>1136</v>
      </c>
      <c r="E97" t="s">
        <v>1175</v>
      </c>
      <c r="F97" t="s">
        <v>1138</v>
      </c>
    </row>
    <row r="98" spans="1:6" x14ac:dyDescent="0.25">
      <c r="A98">
        <v>1044123</v>
      </c>
      <c r="B98" t="s">
        <v>1134</v>
      </c>
      <c r="C98" t="s">
        <v>1135</v>
      </c>
      <c r="D98" t="s">
        <v>1136</v>
      </c>
      <c r="E98" t="s">
        <v>1175</v>
      </c>
      <c r="F98" t="s">
        <v>1146</v>
      </c>
    </row>
    <row r="99" spans="1:6" x14ac:dyDescent="0.25">
      <c r="A99">
        <v>1044124</v>
      </c>
      <c r="B99" t="s">
        <v>1134</v>
      </c>
      <c r="C99" t="s">
        <v>1135</v>
      </c>
      <c r="D99" t="s">
        <v>1136</v>
      </c>
      <c r="E99" t="s">
        <v>1175</v>
      </c>
      <c r="F99" t="s">
        <v>1148</v>
      </c>
    </row>
    <row r="100" spans="1:6" x14ac:dyDescent="0.25">
      <c r="A100">
        <v>1044125</v>
      </c>
      <c r="B100" t="s">
        <v>1134</v>
      </c>
      <c r="C100" t="s">
        <v>1135</v>
      </c>
      <c r="D100" t="s">
        <v>1136</v>
      </c>
      <c r="E100" t="s">
        <v>1175</v>
      </c>
      <c r="F100" t="s">
        <v>1172</v>
      </c>
    </row>
    <row r="101" spans="1:6" x14ac:dyDescent="0.25">
      <c r="A101">
        <v>1044126</v>
      </c>
      <c r="B101" t="s">
        <v>1134</v>
      </c>
      <c r="C101" t="s">
        <v>1135</v>
      </c>
      <c r="D101" t="s">
        <v>1136</v>
      </c>
      <c r="E101" t="s">
        <v>1175</v>
      </c>
      <c r="F101" t="s">
        <v>1150</v>
      </c>
    </row>
    <row r="102" spans="1:6" x14ac:dyDescent="0.25">
      <c r="A102">
        <v>1044127</v>
      </c>
      <c r="B102" t="s">
        <v>1134</v>
      </c>
      <c r="C102" t="s">
        <v>1135</v>
      </c>
      <c r="D102" t="s">
        <v>1136</v>
      </c>
      <c r="E102" t="s">
        <v>1175</v>
      </c>
      <c r="F102" t="s">
        <v>1170</v>
      </c>
    </row>
    <row r="103" spans="1:6" x14ac:dyDescent="0.25">
      <c r="A103">
        <v>1044161</v>
      </c>
      <c r="B103" t="s">
        <v>1134</v>
      </c>
      <c r="C103" t="s">
        <v>1135</v>
      </c>
      <c r="D103" t="s">
        <v>1136</v>
      </c>
      <c r="E103" t="s">
        <v>1162</v>
      </c>
      <c r="F103" t="s">
        <v>1142</v>
      </c>
    </row>
    <row r="104" spans="1:6" x14ac:dyDescent="0.25">
      <c r="A104">
        <v>1044162</v>
      </c>
      <c r="B104" t="s">
        <v>1134</v>
      </c>
      <c r="C104" t="s">
        <v>1135</v>
      </c>
      <c r="D104" t="s">
        <v>1136</v>
      </c>
      <c r="E104" t="s">
        <v>1162</v>
      </c>
      <c r="F104" t="s">
        <v>1138</v>
      </c>
    </row>
    <row r="105" spans="1:6" x14ac:dyDescent="0.25">
      <c r="A105">
        <v>1044163</v>
      </c>
      <c r="B105" t="s">
        <v>1134</v>
      </c>
      <c r="C105" t="s">
        <v>1135</v>
      </c>
      <c r="D105" t="s">
        <v>1136</v>
      </c>
      <c r="E105" t="s">
        <v>1162</v>
      </c>
      <c r="F105" t="s">
        <v>1146</v>
      </c>
    </row>
    <row r="106" spans="1:6" x14ac:dyDescent="0.25">
      <c r="A106">
        <v>1044164</v>
      </c>
      <c r="B106" t="s">
        <v>1134</v>
      </c>
      <c r="C106" t="s">
        <v>1135</v>
      </c>
      <c r="D106" t="s">
        <v>1136</v>
      </c>
      <c r="E106" t="s">
        <v>1162</v>
      </c>
      <c r="F106" t="s">
        <v>1148</v>
      </c>
    </row>
    <row r="107" spans="1:6" x14ac:dyDescent="0.25">
      <c r="A107">
        <v>1044165</v>
      </c>
      <c r="B107" t="s">
        <v>1134</v>
      </c>
      <c r="C107" t="s">
        <v>1135</v>
      </c>
      <c r="D107" t="s">
        <v>1136</v>
      </c>
      <c r="E107" t="s">
        <v>1162</v>
      </c>
      <c r="F107" t="s">
        <v>1172</v>
      </c>
    </row>
    <row r="108" spans="1:6" x14ac:dyDescent="0.25">
      <c r="A108">
        <v>1044166</v>
      </c>
      <c r="B108" t="s">
        <v>1134</v>
      </c>
      <c r="C108" t="s">
        <v>1135</v>
      </c>
      <c r="D108" t="s">
        <v>1136</v>
      </c>
      <c r="E108" t="s">
        <v>1162</v>
      </c>
      <c r="F108" t="s">
        <v>1150</v>
      </c>
    </row>
    <row r="109" spans="1:6" x14ac:dyDescent="0.25">
      <c r="A109">
        <v>1044167</v>
      </c>
      <c r="B109" t="s">
        <v>1134</v>
      </c>
      <c r="C109" t="s">
        <v>1135</v>
      </c>
      <c r="D109" t="s">
        <v>1136</v>
      </c>
      <c r="E109" t="s">
        <v>1162</v>
      </c>
      <c r="F109" t="s">
        <v>1170</v>
      </c>
    </row>
    <row r="110" spans="1:6" x14ac:dyDescent="0.25">
      <c r="A110">
        <v>1044171</v>
      </c>
      <c r="B110" t="s">
        <v>1134</v>
      </c>
      <c r="C110" t="s">
        <v>1135</v>
      </c>
      <c r="D110" t="s">
        <v>1136</v>
      </c>
      <c r="E110" t="s">
        <v>1147</v>
      </c>
      <c r="F110" t="s">
        <v>1142</v>
      </c>
    </row>
    <row r="111" spans="1:6" x14ac:dyDescent="0.25">
      <c r="A111">
        <v>1044172</v>
      </c>
      <c r="B111" t="s">
        <v>1134</v>
      </c>
      <c r="C111" t="s">
        <v>1135</v>
      </c>
      <c r="D111" t="s">
        <v>1136</v>
      </c>
      <c r="E111" t="s">
        <v>1147</v>
      </c>
      <c r="F111" t="s">
        <v>1138</v>
      </c>
    </row>
    <row r="112" spans="1:6" x14ac:dyDescent="0.25">
      <c r="A112">
        <v>1044173</v>
      </c>
      <c r="B112" t="s">
        <v>1134</v>
      </c>
      <c r="C112" t="s">
        <v>1135</v>
      </c>
      <c r="D112" t="s">
        <v>1136</v>
      </c>
      <c r="E112" t="s">
        <v>1147</v>
      </c>
      <c r="F112" t="s">
        <v>1146</v>
      </c>
    </row>
    <row r="113" spans="1:6" x14ac:dyDescent="0.25">
      <c r="A113">
        <v>1044174</v>
      </c>
      <c r="B113" t="s">
        <v>1134</v>
      </c>
      <c r="C113" t="s">
        <v>1135</v>
      </c>
      <c r="D113" t="s">
        <v>1136</v>
      </c>
      <c r="E113" t="s">
        <v>1147</v>
      </c>
      <c r="F113" t="s">
        <v>1148</v>
      </c>
    </row>
    <row r="114" spans="1:6" x14ac:dyDescent="0.25">
      <c r="A114">
        <v>1044181</v>
      </c>
      <c r="B114" t="s">
        <v>1134</v>
      </c>
      <c r="C114" t="s">
        <v>1135</v>
      </c>
      <c r="D114" t="s">
        <v>1136</v>
      </c>
      <c r="E114" t="s">
        <v>1190</v>
      </c>
      <c r="F114" t="s">
        <v>1142</v>
      </c>
    </row>
    <row r="115" spans="1:6" x14ac:dyDescent="0.25">
      <c r="A115">
        <v>1044182</v>
      </c>
      <c r="B115" t="s">
        <v>1134</v>
      </c>
      <c r="C115" t="s">
        <v>1135</v>
      </c>
      <c r="D115" t="s">
        <v>1136</v>
      </c>
      <c r="E115" t="s">
        <v>1190</v>
      </c>
      <c r="F115" t="s">
        <v>1138</v>
      </c>
    </row>
    <row r="116" spans="1:6" x14ac:dyDescent="0.25">
      <c r="A116">
        <v>1044183</v>
      </c>
      <c r="B116" t="s">
        <v>1134</v>
      </c>
      <c r="C116" t="s">
        <v>1135</v>
      </c>
      <c r="D116" t="s">
        <v>1136</v>
      </c>
      <c r="E116" t="s">
        <v>1190</v>
      </c>
      <c r="F116" t="s">
        <v>1146</v>
      </c>
    </row>
    <row r="117" spans="1:6" x14ac:dyDescent="0.25">
      <c r="A117">
        <v>1044184</v>
      </c>
      <c r="B117" t="s">
        <v>1134</v>
      </c>
      <c r="C117" t="s">
        <v>1135</v>
      </c>
      <c r="D117" t="s">
        <v>1136</v>
      </c>
      <c r="E117" t="s">
        <v>1190</v>
      </c>
      <c r="F117" t="s">
        <v>1148</v>
      </c>
    </row>
    <row r="118" spans="1:6" x14ac:dyDescent="0.25">
      <c r="A118">
        <v>1044185</v>
      </c>
      <c r="B118" t="s">
        <v>1134</v>
      </c>
      <c r="C118" t="s">
        <v>1135</v>
      </c>
      <c r="D118" t="s">
        <v>1136</v>
      </c>
      <c r="E118" t="s">
        <v>1190</v>
      </c>
      <c r="F118" t="s">
        <v>1172</v>
      </c>
    </row>
    <row r="119" spans="1:6" x14ac:dyDescent="0.25">
      <c r="A119">
        <v>1044186</v>
      </c>
      <c r="B119" t="s">
        <v>1134</v>
      </c>
      <c r="C119" t="s">
        <v>1135</v>
      </c>
      <c r="D119" t="s">
        <v>1136</v>
      </c>
      <c r="E119" t="s">
        <v>1190</v>
      </c>
      <c r="F119" t="s">
        <v>1150</v>
      </c>
    </row>
    <row r="120" spans="1:6" x14ac:dyDescent="0.25">
      <c r="A120">
        <v>1044187</v>
      </c>
      <c r="B120" t="s">
        <v>1134</v>
      </c>
      <c r="C120" t="s">
        <v>1135</v>
      </c>
      <c r="D120" t="s">
        <v>1136</v>
      </c>
      <c r="E120" t="s">
        <v>1190</v>
      </c>
      <c r="F120" t="s">
        <v>1170</v>
      </c>
    </row>
    <row r="121" spans="1:6" x14ac:dyDescent="0.25">
      <c r="A121">
        <v>1044191</v>
      </c>
      <c r="B121" t="s">
        <v>1134</v>
      </c>
      <c r="C121" t="s">
        <v>1135</v>
      </c>
      <c r="D121" t="s">
        <v>1136</v>
      </c>
      <c r="E121" t="s">
        <v>1149</v>
      </c>
      <c r="F121" t="s">
        <v>1142</v>
      </c>
    </row>
    <row r="122" spans="1:6" x14ac:dyDescent="0.25">
      <c r="A122">
        <v>1044192</v>
      </c>
      <c r="B122" t="s">
        <v>1134</v>
      </c>
      <c r="C122" t="s">
        <v>1135</v>
      </c>
      <c r="D122" t="s">
        <v>1136</v>
      </c>
      <c r="E122" t="s">
        <v>1149</v>
      </c>
      <c r="F122" t="s">
        <v>1138</v>
      </c>
    </row>
    <row r="123" spans="1:6" x14ac:dyDescent="0.25">
      <c r="A123">
        <v>1044193</v>
      </c>
      <c r="B123" t="s">
        <v>1134</v>
      </c>
      <c r="C123" t="s">
        <v>1135</v>
      </c>
      <c r="D123" t="s">
        <v>1136</v>
      </c>
      <c r="E123" t="s">
        <v>1149</v>
      </c>
      <c r="F123" t="s">
        <v>1146</v>
      </c>
    </row>
    <row r="124" spans="1:6" x14ac:dyDescent="0.25">
      <c r="A124">
        <v>1044194</v>
      </c>
      <c r="B124" t="s">
        <v>1134</v>
      </c>
      <c r="C124" t="s">
        <v>1135</v>
      </c>
      <c r="D124" t="s">
        <v>1136</v>
      </c>
      <c r="E124" t="s">
        <v>1149</v>
      </c>
      <c r="F124" t="s">
        <v>1148</v>
      </c>
    </row>
    <row r="125" spans="1:6" x14ac:dyDescent="0.25">
      <c r="A125">
        <v>1044195</v>
      </c>
      <c r="B125" t="s">
        <v>1134</v>
      </c>
      <c r="C125" t="s">
        <v>1135</v>
      </c>
      <c r="D125" t="s">
        <v>1136</v>
      </c>
      <c r="E125" t="s">
        <v>1149</v>
      </c>
      <c r="F125" t="s">
        <v>1172</v>
      </c>
    </row>
    <row r="126" spans="1:6" x14ac:dyDescent="0.25">
      <c r="A126">
        <v>1044196</v>
      </c>
      <c r="B126" t="s">
        <v>1134</v>
      </c>
      <c r="C126" t="s">
        <v>1135</v>
      </c>
      <c r="D126" t="s">
        <v>1136</v>
      </c>
      <c r="E126" t="s">
        <v>1149</v>
      </c>
      <c r="F126" t="s">
        <v>1150</v>
      </c>
    </row>
    <row r="127" spans="1:6" x14ac:dyDescent="0.25">
      <c r="A127">
        <v>1044197</v>
      </c>
      <c r="B127" t="s">
        <v>1134</v>
      </c>
      <c r="C127" t="s">
        <v>1135</v>
      </c>
      <c r="D127" t="s">
        <v>1136</v>
      </c>
      <c r="E127" t="s">
        <v>1149</v>
      </c>
      <c r="F127" t="s">
        <v>1170</v>
      </c>
    </row>
    <row r="128" spans="1:6" x14ac:dyDescent="0.25">
      <c r="A128">
        <v>1044201</v>
      </c>
      <c r="B128" t="s">
        <v>1134</v>
      </c>
      <c r="C128" t="s">
        <v>1135</v>
      </c>
      <c r="D128" t="s">
        <v>1136</v>
      </c>
      <c r="E128" t="s">
        <v>1139</v>
      </c>
      <c r="F128" t="s">
        <v>1142</v>
      </c>
    </row>
    <row r="129" spans="1:6" x14ac:dyDescent="0.25">
      <c r="A129">
        <v>1044202</v>
      </c>
      <c r="B129" t="s">
        <v>1134</v>
      </c>
      <c r="C129" t="s">
        <v>1135</v>
      </c>
      <c r="D129" t="s">
        <v>1136</v>
      </c>
      <c r="E129" t="s">
        <v>1139</v>
      </c>
      <c r="F129" t="s">
        <v>1138</v>
      </c>
    </row>
    <row r="130" spans="1:6" x14ac:dyDescent="0.25">
      <c r="A130">
        <v>1044203</v>
      </c>
      <c r="B130" t="s">
        <v>1134</v>
      </c>
      <c r="C130" t="s">
        <v>1135</v>
      </c>
      <c r="D130" t="s">
        <v>1136</v>
      </c>
      <c r="E130" t="s">
        <v>1139</v>
      </c>
      <c r="F130" t="s">
        <v>1146</v>
      </c>
    </row>
    <row r="131" spans="1:6" x14ac:dyDescent="0.25">
      <c r="A131">
        <v>1044204</v>
      </c>
      <c r="B131" t="s">
        <v>1134</v>
      </c>
      <c r="C131" t="s">
        <v>1135</v>
      </c>
      <c r="D131" t="s">
        <v>1136</v>
      </c>
      <c r="E131" t="s">
        <v>1139</v>
      </c>
      <c r="F131" t="s">
        <v>1148</v>
      </c>
    </row>
    <row r="132" spans="1:6" x14ac:dyDescent="0.25">
      <c r="A132">
        <v>1044205</v>
      </c>
      <c r="B132" t="s">
        <v>1134</v>
      </c>
      <c r="C132" t="s">
        <v>1135</v>
      </c>
      <c r="D132" t="s">
        <v>1136</v>
      </c>
      <c r="E132" t="s">
        <v>1139</v>
      </c>
      <c r="F132" t="s">
        <v>1172</v>
      </c>
    </row>
    <row r="133" spans="1:6" x14ac:dyDescent="0.25">
      <c r="A133">
        <v>1044206</v>
      </c>
      <c r="B133" t="s">
        <v>1134</v>
      </c>
      <c r="C133" t="s">
        <v>1135</v>
      </c>
      <c r="D133" t="s">
        <v>1136</v>
      </c>
      <c r="E133" t="s">
        <v>1139</v>
      </c>
      <c r="F133" t="s">
        <v>1150</v>
      </c>
    </row>
    <row r="134" spans="1:6" x14ac:dyDescent="0.25">
      <c r="A134">
        <v>1044207</v>
      </c>
      <c r="B134" t="s">
        <v>1134</v>
      </c>
      <c r="C134" t="s">
        <v>1135</v>
      </c>
      <c r="D134" t="s">
        <v>1136</v>
      </c>
      <c r="E134" t="s">
        <v>1139</v>
      </c>
      <c r="F134" t="s">
        <v>1170</v>
      </c>
    </row>
    <row r="135" spans="1:6" x14ac:dyDescent="0.25">
      <c r="A135">
        <v>1044211</v>
      </c>
      <c r="B135" t="s">
        <v>1134</v>
      </c>
      <c r="C135" t="s">
        <v>1135</v>
      </c>
      <c r="D135" t="s">
        <v>1136</v>
      </c>
      <c r="E135" t="s">
        <v>1151</v>
      </c>
      <c r="F135" t="s">
        <v>1142</v>
      </c>
    </row>
    <row r="136" spans="1:6" x14ac:dyDescent="0.25">
      <c r="A136">
        <v>1044212</v>
      </c>
      <c r="B136" t="s">
        <v>1134</v>
      </c>
      <c r="C136" t="s">
        <v>1135</v>
      </c>
      <c r="D136" t="s">
        <v>1136</v>
      </c>
      <c r="E136" t="s">
        <v>1151</v>
      </c>
      <c r="F136" t="s">
        <v>1138</v>
      </c>
    </row>
    <row r="137" spans="1:6" x14ac:dyDescent="0.25">
      <c r="A137">
        <v>1044213</v>
      </c>
      <c r="B137" t="s">
        <v>1134</v>
      </c>
      <c r="C137" t="s">
        <v>1135</v>
      </c>
      <c r="D137" t="s">
        <v>1136</v>
      </c>
      <c r="E137" t="s">
        <v>1151</v>
      </c>
      <c r="F137" t="s">
        <v>1146</v>
      </c>
    </row>
    <row r="138" spans="1:6" x14ac:dyDescent="0.25">
      <c r="A138">
        <v>1044214</v>
      </c>
      <c r="B138" t="s">
        <v>1134</v>
      </c>
      <c r="C138" t="s">
        <v>1135</v>
      </c>
      <c r="D138" t="s">
        <v>1136</v>
      </c>
      <c r="E138" t="s">
        <v>1151</v>
      </c>
      <c r="F138" t="s">
        <v>1148</v>
      </c>
    </row>
    <row r="139" spans="1:6" x14ac:dyDescent="0.25">
      <c r="A139">
        <v>1044215</v>
      </c>
      <c r="B139" t="s">
        <v>1134</v>
      </c>
      <c r="C139" t="s">
        <v>1135</v>
      </c>
      <c r="D139" t="s">
        <v>1136</v>
      </c>
      <c r="E139" t="s">
        <v>1151</v>
      </c>
      <c r="F139" t="s">
        <v>1172</v>
      </c>
    </row>
    <row r="140" spans="1:6" x14ac:dyDescent="0.25">
      <c r="A140">
        <v>1044216</v>
      </c>
      <c r="B140" t="s">
        <v>1134</v>
      </c>
      <c r="C140" t="s">
        <v>1135</v>
      </c>
      <c r="D140" t="s">
        <v>1136</v>
      </c>
      <c r="E140" t="s">
        <v>1151</v>
      </c>
      <c r="F140" t="s">
        <v>1150</v>
      </c>
    </row>
    <row r="141" spans="1:6" x14ac:dyDescent="0.25">
      <c r="A141">
        <v>1044217</v>
      </c>
      <c r="B141" t="s">
        <v>1134</v>
      </c>
      <c r="C141" t="s">
        <v>1135</v>
      </c>
      <c r="D141" t="s">
        <v>1136</v>
      </c>
      <c r="E141" t="s">
        <v>1151</v>
      </c>
      <c r="F141" t="s">
        <v>1170</v>
      </c>
    </row>
    <row r="142" spans="1:6" x14ac:dyDescent="0.25">
      <c r="A142">
        <v>1044225</v>
      </c>
      <c r="B142" t="s">
        <v>1134</v>
      </c>
      <c r="C142" t="s">
        <v>1135</v>
      </c>
      <c r="D142" t="s">
        <v>1136</v>
      </c>
      <c r="E142" t="s">
        <v>1189</v>
      </c>
      <c r="F142" t="s">
        <v>1172</v>
      </c>
    </row>
    <row r="143" spans="1:6" x14ac:dyDescent="0.25">
      <c r="A143">
        <v>1044234</v>
      </c>
      <c r="B143" t="s">
        <v>1134</v>
      </c>
      <c r="C143" t="s">
        <v>1135</v>
      </c>
      <c r="D143" t="s">
        <v>1136</v>
      </c>
      <c r="E143" t="s">
        <v>1152</v>
      </c>
      <c r="F143" t="s">
        <v>1148</v>
      </c>
    </row>
    <row r="144" spans="1:6" x14ac:dyDescent="0.25">
      <c r="A144">
        <v>1044235</v>
      </c>
      <c r="B144" t="s">
        <v>1134</v>
      </c>
      <c r="C144" t="s">
        <v>1135</v>
      </c>
      <c r="D144" t="s">
        <v>1136</v>
      </c>
      <c r="E144" t="s">
        <v>1152</v>
      </c>
      <c r="F144" t="s">
        <v>1172</v>
      </c>
    </row>
    <row r="145" spans="1:6" x14ac:dyDescent="0.25">
      <c r="A145">
        <v>1044241</v>
      </c>
      <c r="B145" t="s">
        <v>1134</v>
      </c>
      <c r="C145" t="s">
        <v>1135</v>
      </c>
      <c r="D145" t="s">
        <v>1136</v>
      </c>
      <c r="E145" t="s">
        <v>1153</v>
      </c>
      <c r="F145" t="s">
        <v>1142</v>
      </c>
    </row>
    <row r="146" spans="1:6" x14ac:dyDescent="0.25">
      <c r="A146">
        <v>1044242</v>
      </c>
      <c r="B146" t="s">
        <v>1134</v>
      </c>
      <c r="C146" t="s">
        <v>1135</v>
      </c>
      <c r="D146" t="s">
        <v>1136</v>
      </c>
      <c r="E146" t="s">
        <v>1153</v>
      </c>
      <c r="F146" t="s">
        <v>1138</v>
      </c>
    </row>
    <row r="147" spans="1:6" x14ac:dyDescent="0.25">
      <c r="A147">
        <v>1044243</v>
      </c>
      <c r="B147" t="s">
        <v>1134</v>
      </c>
      <c r="C147" t="s">
        <v>1135</v>
      </c>
      <c r="D147" t="s">
        <v>1136</v>
      </c>
      <c r="E147" t="s">
        <v>1153</v>
      </c>
      <c r="F147" t="s">
        <v>1146</v>
      </c>
    </row>
    <row r="148" spans="1:6" x14ac:dyDescent="0.25">
      <c r="A148">
        <v>1044244</v>
      </c>
      <c r="B148" t="s">
        <v>1134</v>
      </c>
      <c r="C148" t="s">
        <v>1135</v>
      </c>
      <c r="D148" t="s">
        <v>1136</v>
      </c>
      <c r="E148" t="s">
        <v>1153</v>
      </c>
      <c r="F148" t="s">
        <v>1148</v>
      </c>
    </row>
    <row r="149" spans="1:6" x14ac:dyDescent="0.25">
      <c r="A149">
        <v>1044246</v>
      </c>
      <c r="B149" t="s">
        <v>1134</v>
      </c>
      <c r="C149" t="s">
        <v>1135</v>
      </c>
      <c r="D149" t="s">
        <v>1136</v>
      </c>
      <c r="E149" t="s">
        <v>1153</v>
      </c>
      <c r="F149" t="s">
        <v>1150</v>
      </c>
    </row>
    <row r="150" spans="1:6" x14ac:dyDescent="0.25">
      <c r="A150">
        <v>1044261</v>
      </c>
      <c r="B150" t="s">
        <v>1134</v>
      </c>
      <c r="C150" t="s">
        <v>1135</v>
      </c>
      <c r="D150" t="s">
        <v>1136</v>
      </c>
      <c r="E150" t="s">
        <v>1145</v>
      </c>
      <c r="F150" t="s">
        <v>1142</v>
      </c>
    </row>
    <row r="151" spans="1:6" x14ac:dyDescent="0.25">
      <c r="A151">
        <v>1044262</v>
      </c>
      <c r="B151" t="s">
        <v>1134</v>
      </c>
      <c r="C151" t="s">
        <v>1135</v>
      </c>
      <c r="D151" t="s">
        <v>1136</v>
      </c>
      <c r="E151" t="s">
        <v>1145</v>
      </c>
      <c r="F151" t="s">
        <v>1138</v>
      </c>
    </row>
    <row r="152" spans="1:6" x14ac:dyDescent="0.25">
      <c r="A152">
        <v>1044263</v>
      </c>
      <c r="B152" t="s">
        <v>1134</v>
      </c>
      <c r="C152" t="s">
        <v>1135</v>
      </c>
      <c r="D152" t="s">
        <v>1136</v>
      </c>
      <c r="E152" t="s">
        <v>1145</v>
      </c>
      <c r="F152" t="s">
        <v>1146</v>
      </c>
    </row>
    <row r="153" spans="1:6" x14ac:dyDescent="0.25">
      <c r="A153">
        <v>1044264</v>
      </c>
      <c r="B153" t="s">
        <v>1134</v>
      </c>
      <c r="C153" t="s">
        <v>1135</v>
      </c>
      <c r="D153" t="s">
        <v>1136</v>
      </c>
      <c r="E153" t="s">
        <v>1145</v>
      </c>
      <c r="F153" t="s">
        <v>1148</v>
      </c>
    </row>
    <row r="154" spans="1:6" x14ac:dyDescent="0.25">
      <c r="A154">
        <v>1044265</v>
      </c>
      <c r="B154" t="s">
        <v>1134</v>
      </c>
      <c r="C154" t="s">
        <v>1135</v>
      </c>
      <c r="D154" t="s">
        <v>1136</v>
      </c>
      <c r="E154" t="s">
        <v>1145</v>
      </c>
      <c r="F154" t="s">
        <v>1172</v>
      </c>
    </row>
    <row r="155" spans="1:6" x14ac:dyDescent="0.25">
      <c r="A155">
        <v>1044266</v>
      </c>
      <c r="B155" t="s">
        <v>1134</v>
      </c>
      <c r="C155" t="s">
        <v>1135</v>
      </c>
      <c r="D155" t="s">
        <v>1136</v>
      </c>
      <c r="E155" t="s">
        <v>1145</v>
      </c>
      <c r="F155" t="s">
        <v>1150</v>
      </c>
    </row>
    <row r="156" spans="1:6" x14ac:dyDescent="0.25">
      <c r="A156">
        <v>1044271</v>
      </c>
      <c r="B156" t="s">
        <v>1134</v>
      </c>
      <c r="C156" t="s">
        <v>1135</v>
      </c>
      <c r="D156" t="s">
        <v>1136</v>
      </c>
      <c r="E156" t="s">
        <v>1154</v>
      </c>
      <c r="F156" t="s">
        <v>1142</v>
      </c>
    </row>
    <row r="157" spans="1:6" x14ac:dyDescent="0.25">
      <c r="A157">
        <v>1044272</v>
      </c>
      <c r="B157" t="s">
        <v>1134</v>
      </c>
      <c r="C157" t="s">
        <v>1135</v>
      </c>
      <c r="D157" t="s">
        <v>1136</v>
      </c>
      <c r="E157" t="s">
        <v>1154</v>
      </c>
      <c r="F157" t="s">
        <v>1138</v>
      </c>
    </row>
    <row r="158" spans="1:6" x14ac:dyDescent="0.25">
      <c r="A158">
        <v>1044273</v>
      </c>
      <c r="B158" t="s">
        <v>1134</v>
      </c>
      <c r="C158" t="s">
        <v>1135</v>
      </c>
      <c r="D158" t="s">
        <v>1136</v>
      </c>
      <c r="E158" t="s">
        <v>1154</v>
      </c>
      <c r="F158" t="s">
        <v>1146</v>
      </c>
    </row>
    <row r="159" spans="1:6" x14ac:dyDescent="0.25">
      <c r="A159">
        <v>1044274</v>
      </c>
      <c r="B159" t="s">
        <v>1134</v>
      </c>
      <c r="C159" t="s">
        <v>1135</v>
      </c>
      <c r="D159" t="s">
        <v>1136</v>
      </c>
      <c r="E159" t="s">
        <v>1154</v>
      </c>
      <c r="F159" t="s">
        <v>1148</v>
      </c>
    </row>
    <row r="160" spans="1:6" x14ac:dyDescent="0.25">
      <c r="A160">
        <v>1044275</v>
      </c>
      <c r="B160" t="s">
        <v>1134</v>
      </c>
      <c r="C160" t="s">
        <v>1135</v>
      </c>
      <c r="D160" t="s">
        <v>1136</v>
      </c>
      <c r="E160" t="s">
        <v>1154</v>
      </c>
      <c r="F160" t="s">
        <v>1172</v>
      </c>
    </row>
    <row r="161" spans="1:6" x14ac:dyDescent="0.25">
      <c r="A161">
        <v>1044276</v>
      </c>
      <c r="B161" t="s">
        <v>1134</v>
      </c>
      <c r="C161" t="s">
        <v>1135</v>
      </c>
      <c r="D161" t="s">
        <v>1136</v>
      </c>
      <c r="E161" t="s">
        <v>1154</v>
      </c>
      <c r="F161" t="s">
        <v>1150</v>
      </c>
    </row>
    <row r="162" spans="1:6" x14ac:dyDescent="0.25">
      <c r="A162">
        <v>1044277</v>
      </c>
      <c r="B162" t="s">
        <v>1134</v>
      </c>
      <c r="C162" t="s">
        <v>1135</v>
      </c>
      <c r="D162" t="s">
        <v>1136</v>
      </c>
      <c r="E162" t="s">
        <v>1154</v>
      </c>
      <c r="F162" t="s">
        <v>1170</v>
      </c>
    </row>
    <row r="163" spans="1:6" x14ac:dyDescent="0.25">
      <c r="A163">
        <v>1044281</v>
      </c>
      <c r="B163" t="s">
        <v>1134</v>
      </c>
      <c r="C163" t="s">
        <v>1135</v>
      </c>
      <c r="D163" t="s">
        <v>1136</v>
      </c>
      <c r="E163" t="s">
        <v>1155</v>
      </c>
      <c r="F163" t="s">
        <v>1142</v>
      </c>
    </row>
    <row r="164" spans="1:6" x14ac:dyDescent="0.25">
      <c r="A164">
        <v>1044282</v>
      </c>
      <c r="B164" t="s">
        <v>1134</v>
      </c>
      <c r="C164" t="s">
        <v>1135</v>
      </c>
      <c r="D164" t="s">
        <v>1136</v>
      </c>
      <c r="E164" t="s">
        <v>1155</v>
      </c>
      <c r="F164" t="s">
        <v>1138</v>
      </c>
    </row>
    <row r="165" spans="1:6" x14ac:dyDescent="0.25">
      <c r="A165">
        <v>1044283</v>
      </c>
      <c r="B165" t="s">
        <v>1134</v>
      </c>
      <c r="C165" t="s">
        <v>1135</v>
      </c>
      <c r="D165" t="s">
        <v>1136</v>
      </c>
      <c r="E165" t="s">
        <v>1155</v>
      </c>
      <c r="F165" t="s">
        <v>1146</v>
      </c>
    </row>
    <row r="166" spans="1:6" x14ac:dyDescent="0.25">
      <c r="A166">
        <v>1044284</v>
      </c>
      <c r="B166" t="s">
        <v>1134</v>
      </c>
      <c r="C166" t="s">
        <v>1135</v>
      </c>
      <c r="D166" t="s">
        <v>1136</v>
      </c>
      <c r="E166" t="s">
        <v>1155</v>
      </c>
      <c r="F166" t="s">
        <v>1148</v>
      </c>
    </row>
    <row r="167" spans="1:6" x14ac:dyDescent="0.25">
      <c r="A167">
        <v>1044285</v>
      </c>
      <c r="B167" t="s">
        <v>1134</v>
      </c>
      <c r="C167" t="s">
        <v>1135</v>
      </c>
      <c r="D167" t="s">
        <v>1136</v>
      </c>
      <c r="E167" t="s">
        <v>1155</v>
      </c>
      <c r="F167" t="s">
        <v>1172</v>
      </c>
    </row>
    <row r="168" spans="1:6" x14ac:dyDescent="0.25">
      <c r="A168">
        <v>1044286</v>
      </c>
      <c r="B168" t="s">
        <v>1134</v>
      </c>
      <c r="C168" t="s">
        <v>1135</v>
      </c>
      <c r="D168" t="s">
        <v>1136</v>
      </c>
      <c r="E168" t="s">
        <v>1155</v>
      </c>
      <c r="F168" t="s">
        <v>1150</v>
      </c>
    </row>
    <row r="169" spans="1:6" x14ac:dyDescent="0.25">
      <c r="A169">
        <v>1044287</v>
      </c>
      <c r="B169" t="s">
        <v>1134</v>
      </c>
      <c r="C169" t="s">
        <v>1135</v>
      </c>
      <c r="D169" t="s">
        <v>1136</v>
      </c>
      <c r="E169" t="s">
        <v>1155</v>
      </c>
      <c r="F169" t="s">
        <v>1170</v>
      </c>
    </row>
    <row r="170" spans="1:6" x14ac:dyDescent="0.25">
      <c r="A170">
        <v>1044292</v>
      </c>
      <c r="B170" t="s">
        <v>1134</v>
      </c>
      <c r="C170" t="s">
        <v>1135</v>
      </c>
      <c r="D170" t="s">
        <v>1136</v>
      </c>
      <c r="E170" t="s">
        <v>1191</v>
      </c>
      <c r="F170" t="s">
        <v>1138</v>
      </c>
    </row>
    <row r="171" spans="1:6" x14ac:dyDescent="0.25">
      <c r="A171">
        <v>1044302</v>
      </c>
      <c r="B171" t="s">
        <v>1134</v>
      </c>
      <c r="C171" t="s">
        <v>1135</v>
      </c>
      <c r="D171" t="s">
        <v>1136</v>
      </c>
      <c r="E171" t="s">
        <v>1192</v>
      </c>
      <c r="F171" t="s">
        <v>1138</v>
      </c>
    </row>
    <row r="172" spans="1:6" x14ac:dyDescent="0.25">
      <c r="A172">
        <v>1044311</v>
      </c>
      <c r="B172" t="s">
        <v>1134</v>
      </c>
      <c r="C172" t="s">
        <v>1135</v>
      </c>
      <c r="D172" t="s">
        <v>1136</v>
      </c>
      <c r="E172" t="s">
        <v>1137</v>
      </c>
      <c r="F172" t="s">
        <v>1142</v>
      </c>
    </row>
    <row r="173" spans="1:6" x14ac:dyDescent="0.25">
      <c r="A173">
        <v>1044312</v>
      </c>
      <c r="B173" t="s">
        <v>1134</v>
      </c>
      <c r="C173" t="s">
        <v>1135</v>
      </c>
      <c r="D173" t="s">
        <v>1136</v>
      </c>
      <c r="E173" t="s">
        <v>1137</v>
      </c>
      <c r="F173" t="s">
        <v>1138</v>
      </c>
    </row>
    <row r="174" spans="1:6" x14ac:dyDescent="0.25">
      <c r="A174">
        <v>1044313</v>
      </c>
      <c r="B174" t="s">
        <v>1134</v>
      </c>
      <c r="C174" t="s">
        <v>1135</v>
      </c>
      <c r="D174" t="s">
        <v>1136</v>
      </c>
      <c r="E174" t="s">
        <v>1137</v>
      </c>
      <c r="F174" t="s">
        <v>1146</v>
      </c>
    </row>
    <row r="175" spans="1:6" x14ac:dyDescent="0.25">
      <c r="A175">
        <v>1044314</v>
      </c>
      <c r="B175" t="s">
        <v>1134</v>
      </c>
      <c r="C175" t="s">
        <v>1135</v>
      </c>
      <c r="D175" t="s">
        <v>1136</v>
      </c>
      <c r="E175" t="s">
        <v>1137</v>
      </c>
      <c r="F175" t="s">
        <v>1148</v>
      </c>
    </row>
    <row r="176" spans="1:6" x14ac:dyDescent="0.25">
      <c r="A176">
        <v>1044315</v>
      </c>
      <c r="B176" t="s">
        <v>1134</v>
      </c>
      <c r="C176" t="s">
        <v>1135</v>
      </c>
      <c r="D176" t="s">
        <v>1136</v>
      </c>
      <c r="E176" t="s">
        <v>1137</v>
      </c>
      <c r="F176" t="s">
        <v>1172</v>
      </c>
    </row>
    <row r="177" spans="1:6" x14ac:dyDescent="0.25">
      <c r="A177">
        <v>1044316</v>
      </c>
      <c r="B177" t="s">
        <v>1134</v>
      </c>
      <c r="C177" t="s">
        <v>1135</v>
      </c>
      <c r="D177" t="s">
        <v>1136</v>
      </c>
      <c r="E177" t="s">
        <v>1137</v>
      </c>
      <c r="F177" t="s">
        <v>1150</v>
      </c>
    </row>
    <row r="178" spans="1:6" x14ac:dyDescent="0.25">
      <c r="A178">
        <v>1044317</v>
      </c>
      <c r="B178" t="s">
        <v>1134</v>
      </c>
      <c r="C178" t="s">
        <v>1135</v>
      </c>
      <c r="D178" t="s">
        <v>1136</v>
      </c>
      <c r="E178" t="s">
        <v>1137</v>
      </c>
      <c r="F178" t="s">
        <v>1170</v>
      </c>
    </row>
    <row r="179" spans="1:6" x14ac:dyDescent="0.25">
      <c r="A179">
        <v>1044321</v>
      </c>
      <c r="B179" t="s">
        <v>1134</v>
      </c>
      <c r="C179" t="s">
        <v>1135</v>
      </c>
      <c r="D179" t="s">
        <v>1136</v>
      </c>
      <c r="E179" t="s">
        <v>1143</v>
      </c>
      <c r="F179" t="s">
        <v>1142</v>
      </c>
    </row>
    <row r="180" spans="1:6" x14ac:dyDescent="0.25">
      <c r="A180">
        <v>1044322</v>
      </c>
      <c r="B180" t="s">
        <v>1134</v>
      </c>
      <c r="C180" t="s">
        <v>1135</v>
      </c>
      <c r="D180" t="s">
        <v>1136</v>
      </c>
      <c r="E180" t="s">
        <v>1143</v>
      </c>
      <c r="F180" t="s">
        <v>1138</v>
      </c>
    </row>
    <row r="181" spans="1:6" x14ac:dyDescent="0.25">
      <c r="A181">
        <v>1044323</v>
      </c>
      <c r="B181" t="s">
        <v>1134</v>
      </c>
      <c r="C181" t="s">
        <v>1135</v>
      </c>
      <c r="D181" t="s">
        <v>1136</v>
      </c>
      <c r="E181" t="s">
        <v>1143</v>
      </c>
      <c r="F181" t="s">
        <v>1146</v>
      </c>
    </row>
    <row r="182" spans="1:6" x14ac:dyDescent="0.25">
      <c r="A182">
        <v>1044324</v>
      </c>
      <c r="B182" t="s">
        <v>1134</v>
      </c>
      <c r="C182" t="s">
        <v>1135</v>
      </c>
      <c r="D182" t="s">
        <v>1136</v>
      </c>
      <c r="E182" t="s">
        <v>1143</v>
      </c>
      <c r="F182" t="s">
        <v>1148</v>
      </c>
    </row>
    <row r="183" spans="1:6" x14ac:dyDescent="0.25">
      <c r="A183">
        <v>1044325</v>
      </c>
      <c r="B183" t="s">
        <v>1134</v>
      </c>
      <c r="C183" t="s">
        <v>1135</v>
      </c>
      <c r="D183" t="s">
        <v>1136</v>
      </c>
      <c r="E183" t="s">
        <v>1143</v>
      </c>
      <c r="F183" t="s">
        <v>1172</v>
      </c>
    </row>
    <row r="184" spans="1:6" x14ac:dyDescent="0.25">
      <c r="A184">
        <v>1044326</v>
      </c>
      <c r="B184" t="s">
        <v>1134</v>
      </c>
      <c r="C184" t="s">
        <v>1135</v>
      </c>
      <c r="D184" t="s">
        <v>1136</v>
      </c>
      <c r="E184" t="s">
        <v>1143</v>
      </c>
      <c r="F184" t="s">
        <v>1150</v>
      </c>
    </row>
    <row r="185" spans="1:6" x14ac:dyDescent="0.25">
      <c r="A185">
        <v>1044327</v>
      </c>
      <c r="B185" t="s">
        <v>1134</v>
      </c>
      <c r="C185" t="s">
        <v>1135</v>
      </c>
      <c r="D185" t="s">
        <v>1136</v>
      </c>
      <c r="E185" t="s">
        <v>1143</v>
      </c>
      <c r="F185" t="s">
        <v>1170</v>
      </c>
    </row>
    <row r="186" spans="1:6" x14ac:dyDescent="0.25">
      <c r="A186">
        <v>1044342</v>
      </c>
      <c r="B186" t="s">
        <v>1134</v>
      </c>
      <c r="C186" t="s">
        <v>1135</v>
      </c>
      <c r="D186" t="s">
        <v>1136</v>
      </c>
      <c r="E186" t="s">
        <v>1156</v>
      </c>
      <c r="F186" t="s">
        <v>1138</v>
      </c>
    </row>
    <row r="187" spans="1:6" x14ac:dyDescent="0.25">
      <c r="A187">
        <v>1044343</v>
      </c>
      <c r="B187" t="s">
        <v>1134</v>
      </c>
      <c r="C187" t="s">
        <v>1135</v>
      </c>
      <c r="D187" t="s">
        <v>1136</v>
      </c>
      <c r="E187" t="s">
        <v>1156</v>
      </c>
      <c r="F187" t="s">
        <v>1146</v>
      </c>
    </row>
    <row r="188" spans="1:6" x14ac:dyDescent="0.25">
      <c r="A188">
        <v>1044344</v>
      </c>
      <c r="B188" t="s">
        <v>1134</v>
      </c>
      <c r="C188" t="s">
        <v>1135</v>
      </c>
      <c r="D188" t="s">
        <v>1136</v>
      </c>
      <c r="E188" t="s">
        <v>1156</v>
      </c>
      <c r="F188" t="s">
        <v>1148</v>
      </c>
    </row>
    <row r="189" spans="1:6" x14ac:dyDescent="0.25">
      <c r="A189">
        <v>1044351</v>
      </c>
      <c r="B189" t="s">
        <v>1134</v>
      </c>
      <c r="C189" t="s">
        <v>1135</v>
      </c>
      <c r="D189" t="s">
        <v>1136</v>
      </c>
      <c r="E189" t="s">
        <v>1157</v>
      </c>
      <c r="F189" t="s">
        <v>1142</v>
      </c>
    </row>
    <row r="190" spans="1:6" x14ac:dyDescent="0.25">
      <c r="A190">
        <v>1044352</v>
      </c>
      <c r="B190" t="s">
        <v>1134</v>
      </c>
      <c r="C190" t="s">
        <v>1135</v>
      </c>
      <c r="D190" t="s">
        <v>1136</v>
      </c>
      <c r="E190" t="s">
        <v>1157</v>
      </c>
      <c r="F190" t="s">
        <v>1138</v>
      </c>
    </row>
    <row r="191" spans="1:6" x14ac:dyDescent="0.25">
      <c r="A191">
        <v>1044353</v>
      </c>
      <c r="B191" t="s">
        <v>1134</v>
      </c>
      <c r="C191" t="s">
        <v>1135</v>
      </c>
      <c r="D191" t="s">
        <v>1136</v>
      </c>
      <c r="E191" t="s">
        <v>1157</v>
      </c>
      <c r="F191" t="s">
        <v>1146</v>
      </c>
    </row>
    <row r="192" spans="1:6" x14ac:dyDescent="0.25">
      <c r="A192">
        <v>1044354</v>
      </c>
      <c r="B192" t="s">
        <v>1134</v>
      </c>
      <c r="C192" t="s">
        <v>1135</v>
      </c>
      <c r="D192" t="s">
        <v>1136</v>
      </c>
      <c r="E192" t="s">
        <v>1157</v>
      </c>
      <c r="F192" t="s">
        <v>1148</v>
      </c>
    </row>
    <row r="193" spans="1:6" x14ac:dyDescent="0.25">
      <c r="A193">
        <v>1044355</v>
      </c>
      <c r="B193" t="s">
        <v>1134</v>
      </c>
      <c r="C193" t="s">
        <v>1135</v>
      </c>
      <c r="D193" t="s">
        <v>1136</v>
      </c>
      <c r="E193" t="s">
        <v>1157</v>
      </c>
      <c r="F193" t="s">
        <v>1172</v>
      </c>
    </row>
    <row r="194" spans="1:6" x14ac:dyDescent="0.25">
      <c r="A194">
        <v>1044356</v>
      </c>
      <c r="B194" t="s">
        <v>1134</v>
      </c>
      <c r="C194" t="s">
        <v>1135</v>
      </c>
      <c r="D194" t="s">
        <v>1136</v>
      </c>
      <c r="E194" t="s">
        <v>1157</v>
      </c>
      <c r="F194" t="s">
        <v>1150</v>
      </c>
    </row>
    <row r="195" spans="1:6" x14ac:dyDescent="0.25">
      <c r="A195">
        <v>1044357</v>
      </c>
      <c r="B195" t="s">
        <v>1134</v>
      </c>
      <c r="C195" t="s">
        <v>1135</v>
      </c>
      <c r="D195" t="s">
        <v>1136</v>
      </c>
      <c r="E195" t="s">
        <v>1157</v>
      </c>
      <c r="F195" t="s">
        <v>1170</v>
      </c>
    </row>
    <row r="196" spans="1:6" x14ac:dyDescent="0.25">
      <c r="A196">
        <v>1044361</v>
      </c>
      <c r="B196" t="s">
        <v>1134</v>
      </c>
      <c r="C196" t="s">
        <v>1135</v>
      </c>
      <c r="D196" t="s">
        <v>1136</v>
      </c>
      <c r="E196" t="s">
        <v>1158</v>
      </c>
      <c r="F196" t="s">
        <v>1142</v>
      </c>
    </row>
    <row r="197" spans="1:6" x14ac:dyDescent="0.25">
      <c r="A197">
        <v>1044362</v>
      </c>
      <c r="B197" t="s">
        <v>1134</v>
      </c>
      <c r="C197" t="s">
        <v>1135</v>
      </c>
      <c r="D197" t="s">
        <v>1136</v>
      </c>
      <c r="E197" t="s">
        <v>1158</v>
      </c>
      <c r="F197" t="s">
        <v>1138</v>
      </c>
    </row>
    <row r="198" spans="1:6" x14ac:dyDescent="0.25">
      <c r="A198">
        <v>1044363</v>
      </c>
      <c r="B198" t="s">
        <v>1134</v>
      </c>
      <c r="C198" t="s">
        <v>1135</v>
      </c>
      <c r="D198" t="s">
        <v>1136</v>
      </c>
      <c r="E198" t="s">
        <v>1158</v>
      </c>
      <c r="F198" t="s">
        <v>1146</v>
      </c>
    </row>
    <row r="199" spans="1:6" x14ac:dyDescent="0.25">
      <c r="A199">
        <v>1044364</v>
      </c>
      <c r="B199" t="s">
        <v>1134</v>
      </c>
      <c r="C199" t="s">
        <v>1135</v>
      </c>
      <c r="D199" t="s">
        <v>1136</v>
      </c>
      <c r="E199" t="s">
        <v>1158</v>
      </c>
      <c r="F199" t="s">
        <v>1148</v>
      </c>
    </row>
    <row r="200" spans="1:6" x14ac:dyDescent="0.25">
      <c r="A200">
        <v>1044365</v>
      </c>
      <c r="B200" t="s">
        <v>1134</v>
      </c>
      <c r="C200" t="s">
        <v>1135</v>
      </c>
      <c r="D200" t="s">
        <v>1136</v>
      </c>
      <c r="E200" t="s">
        <v>1158</v>
      </c>
      <c r="F200" t="s">
        <v>1172</v>
      </c>
    </row>
    <row r="201" spans="1:6" x14ac:dyDescent="0.25">
      <c r="A201">
        <v>1044366</v>
      </c>
      <c r="B201" t="s">
        <v>1134</v>
      </c>
      <c r="C201" t="s">
        <v>1135</v>
      </c>
      <c r="D201" t="s">
        <v>1136</v>
      </c>
      <c r="E201" t="s">
        <v>1158</v>
      </c>
      <c r="F201" t="s">
        <v>1150</v>
      </c>
    </row>
    <row r="202" spans="1:6" x14ac:dyDescent="0.25">
      <c r="A202">
        <v>1044367</v>
      </c>
      <c r="B202" t="s">
        <v>1134</v>
      </c>
      <c r="C202" t="s">
        <v>1135</v>
      </c>
      <c r="D202" t="s">
        <v>1136</v>
      </c>
      <c r="E202" t="s">
        <v>1158</v>
      </c>
      <c r="F202" t="s">
        <v>1170</v>
      </c>
    </row>
    <row r="203" spans="1:6" x14ac:dyDescent="0.25">
      <c r="A203">
        <v>1044371</v>
      </c>
      <c r="B203" t="s">
        <v>1134</v>
      </c>
      <c r="C203" t="s">
        <v>1135</v>
      </c>
      <c r="D203" t="s">
        <v>1136</v>
      </c>
      <c r="E203" t="s">
        <v>1141</v>
      </c>
      <c r="F203" t="s">
        <v>1142</v>
      </c>
    </row>
    <row r="204" spans="1:6" x14ac:dyDescent="0.25">
      <c r="A204">
        <v>1044372</v>
      </c>
      <c r="B204" t="s">
        <v>1134</v>
      </c>
      <c r="C204" t="s">
        <v>1135</v>
      </c>
      <c r="D204" t="s">
        <v>1136</v>
      </c>
      <c r="E204" t="s">
        <v>1141</v>
      </c>
      <c r="F204" t="s">
        <v>1138</v>
      </c>
    </row>
    <row r="205" spans="1:6" x14ac:dyDescent="0.25">
      <c r="A205">
        <v>1044373</v>
      </c>
      <c r="B205" t="s">
        <v>1134</v>
      </c>
      <c r="C205" t="s">
        <v>1135</v>
      </c>
      <c r="D205" t="s">
        <v>1136</v>
      </c>
      <c r="E205" t="s">
        <v>1141</v>
      </c>
      <c r="F205" t="s">
        <v>1146</v>
      </c>
    </row>
    <row r="206" spans="1:6" x14ac:dyDescent="0.25">
      <c r="A206">
        <v>1044374</v>
      </c>
      <c r="B206" t="s">
        <v>1134</v>
      </c>
      <c r="C206" t="s">
        <v>1135</v>
      </c>
      <c r="D206" t="s">
        <v>1136</v>
      </c>
      <c r="E206" t="s">
        <v>1141</v>
      </c>
      <c r="F206" t="s">
        <v>1148</v>
      </c>
    </row>
    <row r="207" spans="1:6" x14ac:dyDescent="0.25">
      <c r="A207">
        <v>1044381</v>
      </c>
      <c r="B207" t="s">
        <v>1134</v>
      </c>
      <c r="C207" t="s">
        <v>1135</v>
      </c>
      <c r="D207" t="s">
        <v>1136</v>
      </c>
      <c r="E207" t="s">
        <v>1163</v>
      </c>
      <c r="F207" t="s">
        <v>1142</v>
      </c>
    </row>
    <row r="208" spans="1:6" x14ac:dyDescent="0.25">
      <c r="A208">
        <v>1044382</v>
      </c>
      <c r="B208" t="s">
        <v>1134</v>
      </c>
      <c r="C208" t="s">
        <v>1135</v>
      </c>
      <c r="D208" t="s">
        <v>1136</v>
      </c>
      <c r="E208" t="s">
        <v>1163</v>
      </c>
      <c r="F208" t="s">
        <v>1138</v>
      </c>
    </row>
    <row r="209" spans="1:6" x14ac:dyDescent="0.25">
      <c r="A209">
        <v>1044383</v>
      </c>
      <c r="B209" t="s">
        <v>1134</v>
      </c>
      <c r="C209" t="s">
        <v>1135</v>
      </c>
      <c r="D209" t="s">
        <v>1136</v>
      </c>
      <c r="E209" t="s">
        <v>1163</v>
      </c>
      <c r="F209" t="s">
        <v>1146</v>
      </c>
    </row>
    <row r="210" spans="1:6" x14ac:dyDescent="0.25">
      <c r="A210">
        <v>1044384</v>
      </c>
      <c r="B210" t="s">
        <v>1134</v>
      </c>
      <c r="C210" t="s">
        <v>1135</v>
      </c>
      <c r="D210" t="s">
        <v>1136</v>
      </c>
      <c r="E210" t="s">
        <v>1163</v>
      </c>
      <c r="F210" t="s">
        <v>1148</v>
      </c>
    </row>
    <row r="211" spans="1:6" x14ac:dyDescent="0.25">
      <c r="A211">
        <v>1044391</v>
      </c>
      <c r="B211" t="s">
        <v>1134</v>
      </c>
      <c r="C211" t="s">
        <v>1135</v>
      </c>
      <c r="D211" t="s">
        <v>1136</v>
      </c>
      <c r="E211" t="s">
        <v>1164</v>
      </c>
      <c r="F211" t="s">
        <v>1142</v>
      </c>
    </row>
    <row r="212" spans="1:6" x14ac:dyDescent="0.25">
      <c r="A212">
        <v>1044392</v>
      </c>
      <c r="B212" t="s">
        <v>1134</v>
      </c>
      <c r="C212" t="s">
        <v>1135</v>
      </c>
      <c r="D212" t="s">
        <v>1136</v>
      </c>
      <c r="E212" t="s">
        <v>1164</v>
      </c>
      <c r="F212" t="s">
        <v>1138</v>
      </c>
    </row>
    <row r="213" spans="1:6" x14ac:dyDescent="0.25">
      <c r="A213">
        <v>1044393</v>
      </c>
      <c r="B213" t="s">
        <v>1134</v>
      </c>
      <c r="C213" t="s">
        <v>1135</v>
      </c>
      <c r="D213" t="s">
        <v>1136</v>
      </c>
      <c r="E213" t="s">
        <v>1164</v>
      </c>
      <c r="F213" t="s">
        <v>1146</v>
      </c>
    </row>
    <row r="214" spans="1:6" x14ac:dyDescent="0.25">
      <c r="A214">
        <v>1044394</v>
      </c>
      <c r="B214" t="s">
        <v>1134</v>
      </c>
      <c r="C214" t="s">
        <v>1135</v>
      </c>
      <c r="D214" t="s">
        <v>1136</v>
      </c>
      <c r="E214" t="s">
        <v>1164</v>
      </c>
      <c r="F214" t="s">
        <v>1148</v>
      </c>
    </row>
    <row r="215" spans="1:6" x14ac:dyDescent="0.25">
      <c r="A215">
        <v>1044401</v>
      </c>
      <c r="B215" t="s">
        <v>1134</v>
      </c>
      <c r="C215" t="s">
        <v>1135</v>
      </c>
      <c r="D215" t="s">
        <v>1136</v>
      </c>
      <c r="E215" t="s">
        <v>1159</v>
      </c>
      <c r="F215" t="s">
        <v>1142</v>
      </c>
    </row>
    <row r="216" spans="1:6" x14ac:dyDescent="0.25">
      <c r="A216">
        <v>1044402</v>
      </c>
      <c r="B216" t="s">
        <v>1134</v>
      </c>
      <c r="C216" t="s">
        <v>1135</v>
      </c>
      <c r="D216" t="s">
        <v>1136</v>
      </c>
      <c r="E216" t="s">
        <v>1159</v>
      </c>
      <c r="F216" t="s">
        <v>1138</v>
      </c>
    </row>
    <row r="217" spans="1:6" x14ac:dyDescent="0.25">
      <c r="A217">
        <v>1044403</v>
      </c>
      <c r="B217" t="s">
        <v>1134</v>
      </c>
      <c r="C217" t="s">
        <v>1135</v>
      </c>
      <c r="D217" t="s">
        <v>1136</v>
      </c>
      <c r="E217" t="s">
        <v>1159</v>
      </c>
      <c r="F217" t="s">
        <v>1146</v>
      </c>
    </row>
    <row r="218" spans="1:6" x14ac:dyDescent="0.25">
      <c r="A218">
        <v>1044404</v>
      </c>
      <c r="B218" t="s">
        <v>1134</v>
      </c>
      <c r="C218" t="s">
        <v>1135</v>
      </c>
      <c r="D218" t="s">
        <v>1136</v>
      </c>
      <c r="E218" t="s">
        <v>1159</v>
      </c>
      <c r="F218" t="s">
        <v>1148</v>
      </c>
    </row>
    <row r="219" spans="1:6" x14ac:dyDescent="0.25">
      <c r="A219">
        <v>1044405</v>
      </c>
      <c r="B219" t="s">
        <v>1134</v>
      </c>
      <c r="C219" t="s">
        <v>1135</v>
      </c>
      <c r="D219" t="s">
        <v>1136</v>
      </c>
      <c r="E219" t="s">
        <v>1159</v>
      </c>
      <c r="F219" t="s">
        <v>1172</v>
      </c>
    </row>
    <row r="220" spans="1:6" x14ac:dyDescent="0.25">
      <c r="A220">
        <v>1044406</v>
      </c>
      <c r="B220" t="s">
        <v>1134</v>
      </c>
      <c r="C220" t="s">
        <v>1135</v>
      </c>
      <c r="D220" t="s">
        <v>1136</v>
      </c>
      <c r="E220" t="s">
        <v>1159</v>
      </c>
      <c r="F220" t="s">
        <v>1150</v>
      </c>
    </row>
    <row r="221" spans="1:6" x14ac:dyDescent="0.25">
      <c r="A221">
        <v>1044407</v>
      </c>
      <c r="B221" t="s">
        <v>1134</v>
      </c>
      <c r="C221" t="s">
        <v>1135</v>
      </c>
      <c r="D221" t="s">
        <v>1136</v>
      </c>
      <c r="E221" t="s">
        <v>1159</v>
      </c>
      <c r="F221" t="s">
        <v>1170</v>
      </c>
    </row>
    <row r="222" spans="1:6" x14ac:dyDescent="0.25">
      <c r="A222">
        <v>1044411</v>
      </c>
      <c r="B222" t="s">
        <v>1134</v>
      </c>
      <c r="C222" t="s">
        <v>1135</v>
      </c>
      <c r="D222" t="s">
        <v>1136</v>
      </c>
      <c r="E222" t="s">
        <v>1160</v>
      </c>
      <c r="F222" t="s">
        <v>1142</v>
      </c>
    </row>
    <row r="223" spans="1:6" x14ac:dyDescent="0.25">
      <c r="A223">
        <v>1044412</v>
      </c>
      <c r="B223" t="s">
        <v>1134</v>
      </c>
      <c r="C223" t="s">
        <v>1135</v>
      </c>
      <c r="D223" t="s">
        <v>1136</v>
      </c>
      <c r="E223" t="s">
        <v>1160</v>
      </c>
      <c r="F223" t="s">
        <v>1138</v>
      </c>
    </row>
    <row r="224" spans="1:6" x14ac:dyDescent="0.25">
      <c r="A224">
        <v>1044413</v>
      </c>
      <c r="B224" t="s">
        <v>1134</v>
      </c>
      <c r="C224" t="s">
        <v>1135</v>
      </c>
      <c r="D224" t="s">
        <v>1136</v>
      </c>
      <c r="E224" t="s">
        <v>1160</v>
      </c>
      <c r="F224" t="s">
        <v>1146</v>
      </c>
    </row>
    <row r="225" spans="1:6" x14ac:dyDescent="0.25">
      <c r="A225">
        <v>1044414</v>
      </c>
      <c r="B225" t="s">
        <v>1134</v>
      </c>
      <c r="C225" t="s">
        <v>1135</v>
      </c>
      <c r="D225" t="s">
        <v>1136</v>
      </c>
      <c r="E225" t="s">
        <v>1160</v>
      </c>
      <c r="F225" t="s">
        <v>1148</v>
      </c>
    </row>
    <row r="226" spans="1:6" x14ac:dyDescent="0.25">
      <c r="A226">
        <v>1044415</v>
      </c>
      <c r="B226" t="s">
        <v>1134</v>
      </c>
      <c r="C226" t="s">
        <v>1135</v>
      </c>
      <c r="D226" t="s">
        <v>1136</v>
      </c>
      <c r="E226" t="s">
        <v>1160</v>
      </c>
      <c r="F226" t="s">
        <v>1172</v>
      </c>
    </row>
    <row r="227" spans="1:6" x14ac:dyDescent="0.25">
      <c r="A227">
        <v>1044416</v>
      </c>
      <c r="B227" t="s">
        <v>1134</v>
      </c>
      <c r="C227" t="s">
        <v>1135</v>
      </c>
      <c r="D227" t="s">
        <v>1136</v>
      </c>
      <c r="E227" t="s">
        <v>1160</v>
      </c>
      <c r="F227" t="s">
        <v>1150</v>
      </c>
    </row>
    <row r="228" spans="1:6" x14ac:dyDescent="0.25">
      <c r="A228">
        <v>1044417</v>
      </c>
      <c r="B228" t="s">
        <v>1134</v>
      </c>
      <c r="C228" t="s">
        <v>1135</v>
      </c>
      <c r="D228" t="s">
        <v>1136</v>
      </c>
      <c r="E228" t="s">
        <v>1160</v>
      </c>
      <c r="F228" t="s">
        <v>1170</v>
      </c>
    </row>
    <row r="229" spans="1:6" x14ac:dyDescent="0.25">
      <c r="A229">
        <v>1044421</v>
      </c>
      <c r="B229" t="s">
        <v>1134</v>
      </c>
      <c r="C229" t="s">
        <v>1135</v>
      </c>
      <c r="D229" t="s">
        <v>1136</v>
      </c>
      <c r="E229" t="s">
        <v>1165</v>
      </c>
      <c r="F229" t="s">
        <v>1142</v>
      </c>
    </row>
    <row r="230" spans="1:6" x14ac:dyDescent="0.25">
      <c r="A230">
        <v>1044422</v>
      </c>
      <c r="B230" t="s">
        <v>1134</v>
      </c>
      <c r="C230" t="s">
        <v>1135</v>
      </c>
      <c r="D230" t="s">
        <v>1136</v>
      </c>
      <c r="E230" t="s">
        <v>1165</v>
      </c>
      <c r="F230" t="s">
        <v>1138</v>
      </c>
    </row>
    <row r="231" spans="1:6" x14ac:dyDescent="0.25">
      <c r="A231">
        <v>1044423</v>
      </c>
      <c r="B231" t="s">
        <v>1134</v>
      </c>
      <c r="C231" t="s">
        <v>1135</v>
      </c>
      <c r="D231" t="s">
        <v>1136</v>
      </c>
      <c r="E231" t="s">
        <v>1165</v>
      </c>
      <c r="F231" t="s">
        <v>1146</v>
      </c>
    </row>
    <row r="232" spans="1:6" x14ac:dyDescent="0.25">
      <c r="A232">
        <v>1044424</v>
      </c>
      <c r="B232" t="s">
        <v>1134</v>
      </c>
      <c r="C232" t="s">
        <v>1135</v>
      </c>
      <c r="D232" t="s">
        <v>1136</v>
      </c>
      <c r="E232" t="s">
        <v>1165</v>
      </c>
      <c r="F232" t="s">
        <v>1148</v>
      </c>
    </row>
    <row r="233" spans="1:6" x14ac:dyDescent="0.25">
      <c r="A233">
        <v>1044425</v>
      </c>
      <c r="B233" t="s">
        <v>1134</v>
      </c>
      <c r="C233" t="s">
        <v>1135</v>
      </c>
      <c r="D233" t="s">
        <v>1136</v>
      </c>
      <c r="E233" t="s">
        <v>1165</v>
      </c>
      <c r="F233" t="s">
        <v>1172</v>
      </c>
    </row>
    <row r="234" spans="1:6" x14ac:dyDescent="0.25">
      <c r="A234">
        <v>1044426</v>
      </c>
      <c r="B234" t="s">
        <v>1134</v>
      </c>
      <c r="C234" t="s">
        <v>1135</v>
      </c>
      <c r="D234" t="s">
        <v>1136</v>
      </c>
      <c r="E234" t="s">
        <v>1165</v>
      </c>
      <c r="F234" t="s">
        <v>1150</v>
      </c>
    </row>
    <row r="235" spans="1:6" x14ac:dyDescent="0.25">
      <c r="A235">
        <v>1044427</v>
      </c>
      <c r="B235" t="s">
        <v>1134</v>
      </c>
      <c r="C235" t="s">
        <v>1135</v>
      </c>
      <c r="D235" t="s">
        <v>1136</v>
      </c>
      <c r="E235" t="s">
        <v>1165</v>
      </c>
      <c r="F235" t="s">
        <v>1170</v>
      </c>
    </row>
    <row r="236" spans="1:6" x14ac:dyDescent="0.25">
      <c r="A236">
        <v>1044461</v>
      </c>
      <c r="B236" t="s">
        <v>1134</v>
      </c>
      <c r="C236" t="s">
        <v>1135</v>
      </c>
      <c r="D236" t="s">
        <v>1136</v>
      </c>
      <c r="E236" t="s">
        <v>1140</v>
      </c>
      <c r="F236" t="s">
        <v>1142</v>
      </c>
    </row>
    <row r="237" spans="1:6" x14ac:dyDescent="0.25">
      <c r="A237">
        <v>1044462</v>
      </c>
      <c r="B237" t="s">
        <v>1134</v>
      </c>
      <c r="C237" t="s">
        <v>1135</v>
      </c>
      <c r="D237" t="s">
        <v>1136</v>
      </c>
      <c r="E237" t="s">
        <v>1140</v>
      </c>
      <c r="F237" t="s">
        <v>1138</v>
      </c>
    </row>
    <row r="238" spans="1:6" x14ac:dyDescent="0.25">
      <c r="A238">
        <v>1044463</v>
      </c>
      <c r="B238" t="s">
        <v>1134</v>
      </c>
      <c r="C238" t="s">
        <v>1135</v>
      </c>
      <c r="D238" t="s">
        <v>1136</v>
      </c>
      <c r="E238" t="s">
        <v>1140</v>
      </c>
      <c r="F238" t="s">
        <v>1146</v>
      </c>
    </row>
    <row r="239" spans="1:6" x14ac:dyDescent="0.25">
      <c r="A239">
        <v>1044464</v>
      </c>
      <c r="B239" t="s">
        <v>1134</v>
      </c>
      <c r="C239" t="s">
        <v>1135</v>
      </c>
      <c r="D239" t="s">
        <v>1136</v>
      </c>
      <c r="E239" t="s">
        <v>1140</v>
      </c>
      <c r="F239" t="s">
        <v>1148</v>
      </c>
    </row>
    <row r="240" spans="1:6" x14ac:dyDescent="0.25">
      <c r="A240">
        <v>1044465</v>
      </c>
      <c r="B240" t="s">
        <v>1134</v>
      </c>
      <c r="C240" t="s">
        <v>1135</v>
      </c>
      <c r="D240" t="s">
        <v>1136</v>
      </c>
      <c r="E240" t="s">
        <v>1140</v>
      </c>
      <c r="F240" t="s">
        <v>1172</v>
      </c>
    </row>
    <row r="241" spans="1:6" x14ac:dyDescent="0.25">
      <c r="A241">
        <v>1044466</v>
      </c>
      <c r="B241" t="s">
        <v>1134</v>
      </c>
      <c r="C241" t="s">
        <v>1135</v>
      </c>
      <c r="D241" t="s">
        <v>1136</v>
      </c>
      <c r="E241" t="s">
        <v>1140</v>
      </c>
      <c r="F241" t="s">
        <v>1150</v>
      </c>
    </row>
    <row r="242" spans="1:6" x14ac:dyDescent="0.25">
      <c r="A242">
        <v>1044467</v>
      </c>
      <c r="B242" t="s">
        <v>1134</v>
      </c>
      <c r="C242" t="s">
        <v>1135</v>
      </c>
      <c r="D242" t="s">
        <v>1136</v>
      </c>
      <c r="E242" t="s">
        <v>1140</v>
      </c>
      <c r="F242" t="s">
        <v>1170</v>
      </c>
    </row>
    <row r="243" spans="1:6" x14ac:dyDescent="0.25">
      <c r="A243">
        <v>1044482</v>
      </c>
      <c r="B243" t="s">
        <v>1134</v>
      </c>
      <c r="C243" t="s">
        <v>1135</v>
      </c>
      <c r="D243" t="s">
        <v>1193</v>
      </c>
      <c r="E243" t="s">
        <v>1194</v>
      </c>
      <c r="F243" t="s">
        <v>1138</v>
      </c>
    </row>
    <row r="244" spans="1:6" x14ac:dyDescent="0.25">
      <c r="A244">
        <v>1044485</v>
      </c>
      <c r="B244" t="s">
        <v>1134</v>
      </c>
      <c r="C244" t="s">
        <v>1135</v>
      </c>
      <c r="D244" t="s">
        <v>1193</v>
      </c>
      <c r="E244" t="s">
        <v>1194</v>
      </c>
      <c r="F244" t="s">
        <v>1172</v>
      </c>
    </row>
    <row r="245" spans="1:6" x14ac:dyDescent="0.25">
      <c r="A245">
        <v>1044486</v>
      </c>
      <c r="B245" t="s">
        <v>1134</v>
      </c>
      <c r="C245" t="s">
        <v>1135</v>
      </c>
      <c r="D245" t="s">
        <v>1193</v>
      </c>
      <c r="E245" t="s">
        <v>1194</v>
      </c>
      <c r="F245" t="s">
        <v>1150</v>
      </c>
    </row>
    <row r="246" spans="1:6" x14ac:dyDescent="0.25">
      <c r="A246">
        <v>1044495</v>
      </c>
      <c r="B246" t="s">
        <v>1134</v>
      </c>
      <c r="C246" t="s">
        <v>1135</v>
      </c>
      <c r="D246" t="s">
        <v>1136</v>
      </c>
      <c r="E246" t="s">
        <v>1173</v>
      </c>
      <c r="F246" t="s">
        <v>1172</v>
      </c>
    </row>
    <row r="247" spans="1:6" x14ac:dyDescent="0.25">
      <c r="A247">
        <v>1044501</v>
      </c>
      <c r="B247" t="s">
        <v>1134</v>
      </c>
      <c r="C247" t="s">
        <v>1135</v>
      </c>
      <c r="D247" t="s">
        <v>1136</v>
      </c>
      <c r="E247" t="s">
        <v>1175</v>
      </c>
      <c r="F247" t="s">
        <v>1142</v>
      </c>
    </row>
    <row r="248" spans="1:6" x14ac:dyDescent="0.25">
      <c r="A248">
        <v>1044507</v>
      </c>
      <c r="B248" t="s">
        <v>1134</v>
      </c>
      <c r="C248" t="s">
        <v>1135</v>
      </c>
      <c r="D248" t="s">
        <v>1136</v>
      </c>
      <c r="E248" t="s">
        <v>1175</v>
      </c>
      <c r="F248" t="s">
        <v>1170</v>
      </c>
    </row>
    <row r="249" spans="1:6" x14ac:dyDescent="0.25">
      <c r="A249">
        <v>1045451</v>
      </c>
      <c r="B249" t="s">
        <v>1134</v>
      </c>
      <c r="C249" t="s">
        <v>1135</v>
      </c>
      <c r="D249" t="s">
        <v>1193</v>
      </c>
      <c r="E249" t="s">
        <v>1195</v>
      </c>
      <c r="F249" t="s">
        <v>1142</v>
      </c>
    </row>
    <row r="250" spans="1:6" x14ac:dyDescent="0.25">
      <c r="A250">
        <v>1045452</v>
      </c>
      <c r="B250" t="s">
        <v>1134</v>
      </c>
      <c r="C250" t="s">
        <v>1135</v>
      </c>
      <c r="D250" t="s">
        <v>1193</v>
      </c>
      <c r="E250" t="s">
        <v>1195</v>
      </c>
      <c r="F250" t="s">
        <v>1138</v>
      </c>
    </row>
    <row r="251" spans="1:6" x14ac:dyDescent="0.25">
      <c r="A251">
        <v>1045453</v>
      </c>
      <c r="B251" t="s">
        <v>1134</v>
      </c>
      <c r="C251" t="s">
        <v>1135</v>
      </c>
      <c r="D251" t="s">
        <v>1193</v>
      </c>
      <c r="E251" t="s">
        <v>1195</v>
      </c>
      <c r="F251" t="s">
        <v>1146</v>
      </c>
    </row>
    <row r="252" spans="1:6" x14ac:dyDescent="0.25">
      <c r="A252">
        <v>1045454</v>
      </c>
      <c r="B252" t="s">
        <v>1134</v>
      </c>
      <c r="C252" t="s">
        <v>1135</v>
      </c>
      <c r="D252" t="s">
        <v>1193</v>
      </c>
      <c r="E252" t="s">
        <v>1195</v>
      </c>
      <c r="F252" t="s">
        <v>1148</v>
      </c>
    </row>
    <row r="253" spans="1:6" x14ac:dyDescent="0.25">
      <c r="A253">
        <v>1045455</v>
      </c>
      <c r="B253" t="s">
        <v>1134</v>
      </c>
      <c r="C253" t="s">
        <v>1135</v>
      </c>
      <c r="D253" t="s">
        <v>1193</v>
      </c>
      <c r="E253" t="s">
        <v>1195</v>
      </c>
      <c r="F253" t="s">
        <v>1172</v>
      </c>
    </row>
    <row r="254" spans="1:6" x14ac:dyDescent="0.25">
      <c r="A254">
        <v>1045456</v>
      </c>
      <c r="B254" t="s">
        <v>1134</v>
      </c>
      <c r="C254" t="s">
        <v>1135</v>
      </c>
      <c r="D254" t="s">
        <v>1193</v>
      </c>
      <c r="E254" t="s">
        <v>1195</v>
      </c>
      <c r="F254" t="s">
        <v>1150</v>
      </c>
    </row>
    <row r="255" spans="1:6" x14ac:dyDescent="0.25">
      <c r="A255">
        <v>1045457</v>
      </c>
      <c r="B255" t="s">
        <v>1134</v>
      </c>
      <c r="C255" t="s">
        <v>1135</v>
      </c>
      <c r="D255" t="s">
        <v>1193</v>
      </c>
      <c r="E255" t="s">
        <v>1195</v>
      </c>
      <c r="F255" t="s">
        <v>1170</v>
      </c>
    </row>
    <row r="256" spans="1:6" x14ac:dyDescent="0.25">
      <c r="A256">
        <v>1045474</v>
      </c>
      <c r="B256" t="s">
        <v>1134</v>
      </c>
      <c r="C256" t="s">
        <v>1135</v>
      </c>
      <c r="D256" t="s">
        <v>1193</v>
      </c>
      <c r="E256" t="s">
        <v>1196</v>
      </c>
      <c r="F256" t="s">
        <v>1148</v>
      </c>
    </row>
    <row r="257" spans="1:6" x14ac:dyDescent="0.25">
      <c r="A257">
        <v>1045475</v>
      </c>
      <c r="B257" t="s">
        <v>1134</v>
      </c>
      <c r="C257" t="s">
        <v>1135</v>
      </c>
      <c r="D257" t="s">
        <v>1193</v>
      </c>
      <c r="E257" t="s">
        <v>1196</v>
      </c>
      <c r="F257" t="s">
        <v>1172</v>
      </c>
    </row>
    <row r="258" spans="1:6" x14ac:dyDescent="0.25">
      <c r="A258">
        <v>1045476</v>
      </c>
      <c r="B258" t="s">
        <v>1134</v>
      </c>
      <c r="C258" t="s">
        <v>1135</v>
      </c>
      <c r="D258" t="s">
        <v>1193</v>
      </c>
      <c r="E258" t="s">
        <v>1196</v>
      </c>
      <c r="F258" t="s">
        <v>1150</v>
      </c>
    </row>
    <row r="259" spans="1:6" x14ac:dyDescent="0.25">
      <c r="A259">
        <v>1045477</v>
      </c>
      <c r="B259" t="s">
        <v>1134</v>
      </c>
      <c r="C259" t="s">
        <v>1135</v>
      </c>
      <c r="D259" t="s">
        <v>1193</v>
      </c>
      <c r="E259" t="s">
        <v>1196</v>
      </c>
      <c r="F259" t="s">
        <v>1170</v>
      </c>
    </row>
    <row r="260" spans="1:6" x14ac:dyDescent="0.25">
      <c r="A260">
        <v>1045487</v>
      </c>
      <c r="B260" t="s">
        <v>1134</v>
      </c>
      <c r="C260" t="s">
        <v>1135</v>
      </c>
      <c r="D260" t="s">
        <v>1193</v>
      </c>
      <c r="E260" t="s">
        <v>1194</v>
      </c>
      <c r="F260" t="s">
        <v>1170</v>
      </c>
    </row>
    <row r="261" spans="1:6" x14ac:dyDescent="0.25">
      <c r="A261">
        <v>2014161</v>
      </c>
      <c r="B261" t="s">
        <v>1167</v>
      </c>
      <c r="C261" t="s">
        <v>1174</v>
      </c>
      <c r="D261" t="s">
        <v>1136</v>
      </c>
      <c r="E261" t="s">
        <v>1162</v>
      </c>
      <c r="F261" t="s">
        <v>1142</v>
      </c>
    </row>
    <row r="262" spans="1:6" x14ac:dyDescent="0.25">
      <c r="A262">
        <v>2014162</v>
      </c>
      <c r="B262" t="s">
        <v>1167</v>
      </c>
      <c r="C262" t="s">
        <v>1174</v>
      </c>
      <c r="D262" t="s">
        <v>1136</v>
      </c>
      <c r="E262" t="s">
        <v>1162</v>
      </c>
      <c r="F262" t="s">
        <v>1138</v>
      </c>
    </row>
    <row r="263" spans="1:6" x14ac:dyDescent="0.25">
      <c r="A263">
        <v>2014163</v>
      </c>
      <c r="B263" t="s">
        <v>1167</v>
      </c>
      <c r="C263" t="s">
        <v>1174</v>
      </c>
      <c r="D263" t="s">
        <v>1136</v>
      </c>
      <c r="E263" t="s">
        <v>1162</v>
      </c>
      <c r="F263" t="s">
        <v>1146</v>
      </c>
    </row>
    <row r="264" spans="1:6" x14ac:dyDescent="0.25">
      <c r="A264">
        <v>2014164</v>
      </c>
      <c r="B264" t="s">
        <v>1167</v>
      </c>
      <c r="C264" t="s">
        <v>1174</v>
      </c>
      <c r="D264" t="s">
        <v>1136</v>
      </c>
      <c r="E264" t="s">
        <v>1162</v>
      </c>
      <c r="F264" t="s">
        <v>1148</v>
      </c>
    </row>
    <row r="265" spans="1:6" x14ac:dyDescent="0.25">
      <c r="A265">
        <v>2014165</v>
      </c>
      <c r="B265" t="s">
        <v>1167</v>
      </c>
      <c r="C265" t="s">
        <v>1174</v>
      </c>
      <c r="D265" t="s">
        <v>1136</v>
      </c>
      <c r="E265" t="s">
        <v>1162</v>
      </c>
      <c r="F265" t="s">
        <v>1172</v>
      </c>
    </row>
    <row r="266" spans="1:6" x14ac:dyDescent="0.25">
      <c r="A266">
        <v>2014166</v>
      </c>
      <c r="B266" t="s">
        <v>1167</v>
      </c>
      <c r="C266" t="s">
        <v>1174</v>
      </c>
      <c r="D266" t="s">
        <v>1136</v>
      </c>
      <c r="E266" t="s">
        <v>1162</v>
      </c>
      <c r="F266" t="s">
        <v>1150</v>
      </c>
    </row>
    <row r="267" spans="1:6" x14ac:dyDescent="0.25">
      <c r="A267">
        <v>2014167</v>
      </c>
      <c r="B267" t="s">
        <v>1167</v>
      </c>
      <c r="C267" t="s">
        <v>1174</v>
      </c>
      <c r="D267" t="s">
        <v>1136</v>
      </c>
      <c r="E267" t="s">
        <v>1162</v>
      </c>
      <c r="F267" t="s">
        <v>1170</v>
      </c>
    </row>
    <row r="268" spans="1:6" x14ac:dyDescent="0.25">
      <c r="A268">
        <v>2014171</v>
      </c>
      <c r="B268" t="s">
        <v>1167</v>
      </c>
      <c r="C268" t="s">
        <v>1174</v>
      </c>
      <c r="D268" t="s">
        <v>1136</v>
      </c>
      <c r="E268" t="s">
        <v>1147</v>
      </c>
      <c r="F268" t="s">
        <v>1142</v>
      </c>
    </row>
    <row r="269" spans="1:6" x14ac:dyDescent="0.25">
      <c r="A269">
        <v>2014172</v>
      </c>
      <c r="B269" t="s">
        <v>1167</v>
      </c>
      <c r="C269" t="s">
        <v>1174</v>
      </c>
      <c r="D269" t="s">
        <v>1136</v>
      </c>
      <c r="E269" t="s">
        <v>1147</v>
      </c>
      <c r="F269" t="s">
        <v>1138</v>
      </c>
    </row>
    <row r="270" spans="1:6" x14ac:dyDescent="0.25">
      <c r="A270">
        <v>2014173</v>
      </c>
      <c r="B270" t="s">
        <v>1167</v>
      </c>
      <c r="C270" t="s">
        <v>1174</v>
      </c>
      <c r="D270" t="s">
        <v>1136</v>
      </c>
      <c r="E270" t="s">
        <v>1147</v>
      </c>
      <c r="F270" t="s">
        <v>1146</v>
      </c>
    </row>
    <row r="271" spans="1:6" x14ac:dyDescent="0.25">
      <c r="A271">
        <v>2014174</v>
      </c>
      <c r="B271" t="s">
        <v>1167</v>
      </c>
      <c r="C271" t="s">
        <v>1174</v>
      </c>
      <c r="D271" t="s">
        <v>1136</v>
      </c>
      <c r="E271" t="s">
        <v>1147</v>
      </c>
      <c r="F271" t="s">
        <v>1148</v>
      </c>
    </row>
    <row r="272" spans="1:6" x14ac:dyDescent="0.25">
      <c r="A272">
        <v>2014201</v>
      </c>
      <c r="B272" t="s">
        <v>1167</v>
      </c>
      <c r="C272" t="s">
        <v>1174</v>
      </c>
      <c r="D272" t="s">
        <v>1136</v>
      </c>
      <c r="E272" t="s">
        <v>1139</v>
      </c>
      <c r="F272" t="s">
        <v>1142</v>
      </c>
    </row>
    <row r="273" spans="1:6" x14ac:dyDescent="0.25">
      <c r="A273">
        <v>2014202</v>
      </c>
      <c r="B273" t="s">
        <v>1167</v>
      </c>
      <c r="C273" t="s">
        <v>1174</v>
      </c>
      <c r="D273" t="s">
        <v>1136</v>
      </c>
      <c r="E273" t="s">
        <v>1139</v>
      </c>
      <c r="F273" t="s">
        <v>1138</v>
      </c>
    </row>
    <row r="274" spans="1:6" x14ac:dyDescent="0.25">
      <c r="A274">
        <v>2014203</v>
      </c>
      <c r="B274" t="s">
        <v>1167</v>
      </c>
      <c r="C274" t="s">
        <v>1174</v>
      </c>
      <c r="D274" t="s">
        <v>1136</v>
      </c>
      <c r="E274" t="s">
        <v>1139</v>
      </c>
      <c r="F274" t="s">
        <v>1146</v>
      </c>
    </row>
    <row r="275" spans="1:6" x14ac:dyDescent="0.25">
      <c r="A275">
        <v>2014204</v>
      </c>
      <c r="B275" t="s">
        <v>1167</v>
      </c>
      <c r="C275" t="s">
        <v>1174</v>
      </c>
      <c r="D275" t="s">
        <v>1136</v>
      </c>
      <c r="E275" t="s">
        <v>1139</v>
      </c>
      <c r="F275" t="s">
        <v>1148</v>
      </c>
    </row>
    <row r="276" spans="1:6" x14ac:dyDescent="0.25">
      <c r="A276">
        <v>2014205</v>
      </c>
      <c r="B276" t="s">
        <v>1167</v>
      </c>
      <c r="C276" t="s">
        <v>1174</v>
      </c>
      <c r="D276" t="s">
        <v>1136</v>
      </c>
      <c r="E276" t="s">
        <v>1139</v>
      </c>
      <c r="F276" t="s">
        <v>1172</v>
      </c>
    </row>
    <row r="277" spans="1:6" x14ac:dyDescent="0.25">
      <c r="A277">
        <v>2014206</v>
      </c>
      <c r="B277" t="s">
        <v>1167</v>
      </c>
      <c r="C277" t="s">
        <v>1174</v>
      </c>
      <c r="D277" t="s">
        <v>1136</v>
      </c>
      <c r="E277" t="s">
        <v>1139</v>
      </c>
      <c r="F277" t="s">
        <v>1150</v>
      </c>
    </row>
    <row r="278" spans="1:6" x14ac:dyDescent="0.25">
      <c r="A278">
        <v>2014207</v>
      </c>
      <c r="B278" t="s">
        <v>1167</v>
      </c>
      <c r="C278" t="s">
        <v>1174</v>
      </c>
      <c r="D278" t="s">
        <v>1136</v>
      </c>
      <c r="E278" t="s">
        <v>1139</v>
      </c>
      <c r="F278" t="s">
        <v>1170</v>
      </c>
    </row>
    <row r="279" spans="1:6" x14ac:dyDescent="0.25">
      <c r="A279">
        <v>2014211</v>
      </c>
      <c r="B279" t="s">
        <v>1167</v>
      </c>
      <c r="C279" t="s">
        <v>1174</v>
      </c>
      <c r="D279" t="s">
        <v>1136</v>
      </c>
      <c r="E279" t="s">
        <v>1151</v>
      </c>
      <c r="F279" t="s">
        <v>1142</v>
      </c>
    </row>
    <row r="280" spans="1:6" x14ac:dyDescent="0.25">
      <c r="A280">
        <v>2014212</v>
      </c>
      <c r="B280" t="s">
        <v>1167</v>
      </c>
      <c r="C280" t="s">
        <v>1174</v>
      </c>
      <c r="D280" t="s">
        <v>1136</v>
      </c>
      <c r="E280" t="s">
        <v>1151</v>
      </c>
      <c r="F280" t="s">
        <v>1138</v>
      </c>
    </row>
    <row r="281" spans="1:6" x14ac:dyDescent="0.25">
      <c r="A281">
        <v>2014213</v>
      </c>
      <c r="B281" t="s">
        <v>1167</v>
      </c>
      <c r="C281" t="s">
        <v>1174</v>
      </c>
      <c r="D281" t="s">
        <v>1136</v>
      </c>
      <c r="E281" t="s">
        <v>1151</v>
      </c>
      <c r="F281" t="s">
        <v>1146</v>
      </c>
    </row>
    <row r="282" spans="1:6" x14ac:dyDescent="0.25">
      <c r="A282">
        <v>2014214</v>
      </c>
      <c r="B282" t="s">
        <v>1167</v>
      </c>
      <c r="C282" t="s">
        <v>1174</v>
      </c>
      <c r="D282" t="s">
        <v>1136</v>
      </c>
      <c r="E282" t="s">
        <v>1151</v>
      </c>
      <c r="F282" t="s">
        <v>1148</v>
      </c>
    </row>
    <row r="283" spans="1:6" x14ac:dyDescent="0.25">
      <c r="A283">
        <v>2014215</v>
      </c>
      <c r="B283" t="s">
        <v>1167</v>
      </c>
      <c r="C283" t="s">
        <v>1174</v>
      </c>
      <c r="D283" t="s">
        <v>1136</v>
      </c>
      <c r="E283" t="s">
        <v>1151</v>
      </c>
      <c r="F283" t="s">
        <v>1172</v>
      </c>
    </row>
    <row r="284" spans="1:6" x14ac:dyDescent="0.25">
      <c r="A284">
        <v>2014216</v>
      </c>
      <c r="B284" t="s">
        <v>1167</v>
      </c>
      <c r="C284" t="s">
        <v>1174</v>
      </c>
      <c r="D284" t="s">
        <v>1136</v>
      </c>
      <c r="E284" t="s">
        <v>1151</v>
      </c>
      <c r="F284" t="s">
        <v>1150</v>
      </c>
    </row>
    <row r="285" spans="1:6" x14ac:dyDescent="0.25">
      <c r="A285">
        <v>2014217</v>
      </c>
      <c r="B285" t="s">
        <v>1167</v>
      </c>
      <c r="C285" t="s">
        <v>1174</v>
      </c>
      <c r="D285" t="s">
        <v>1136</v>
      </c>
      <c r="E285" t="s">
        <v>1151</v>
      </c>
      <c r="F285" t="s">
        <v>1170</v>
      </c>
    </row>
    <row r="286" spans="1:6" x14ac:dyDescent="0.25">
      <c r="A286">
        <v>2014261</v>
      </c>
      <c r="B286" t="s">
        <v>1167</v>
      </c>
      <c r="C286" t="s">
        <v>1174</v>
      </c>
      <c r="D286" t="s">
        <v>1136</v>
      </c>
      <c r="E286" t="s">
        <v>1145</v>
      </c>
      <c r="F286" t="s">
        <v>1142</v>
      </c>
    </row>
    <row r="287" spans="1:6" x14ac:dyDescent="0.25">
      <c r="A287">
        <v>2014262</v>
      </c>
      <c r="B287" t="s">
        <v>1167</v>
      </c>
      <c r="C287" t="s">
        <v>1174</v>
      </c>
      <c r="D287" t="s">
        <v>1136</v>
      </c>
      <c r="E287" t="s">
        <v>1145</v>
      </c>
      <c r="F287" t="s">
        <v>1138</v>
      </c>
    </row>
    <row r="288" spans="1:6" x14ac:dyDescent="0.25">
      <c r="A288">
        <v>2014263</v>
      </c>
      <c r="B288" t="s">
        <v>1167</v>
      </c>
      <c r="C288" t="s">
        <v>1174</v>
      </c>
      <c r="D288" t="s">
        <v>1136</v>
      </c>
      <c r="E288" t="s">
        <v>1145</v>
      </c>
      <c r="F288" t="s">
        <v>1146</v>
      </c>
    </row>
    <row r="289" spans="1:6" x14ac:dyDescent="0.25">
      <c r="A289">
        <v>2014264</v>
      </c>
      <c r="B289" t="s">
        <v>1167</v>
      </c>
      <c r="C289" t="s">
        <v>1174</v>
      </c>
      <c r="D289" t="s">
        <v>1136</v>
      </c>
      <c r="E289" t="s">
        <v>1145</v>
      </c>
      <c r="F289" t="s">
        <v>1148</v>
      </c>
    </row>
    <row r="290" spans="1:6" x14ac:dyDescent="0.25">
      <c r="A290">
        <v>2014265</v>
      </c>
      <c r="B290" t="s">
        <v>1167</v>
      </c>
      <c r="C290" t="s">
        <v>1174</v>
      </c>
      <c r="D290" t="s">
        <v>1136</v>
      </c>
      <c r="E290" t="s">
        <v>1145</v>
      </c>
      <c r="F290" t="s">
        <v>1172</v>
      </c>
    </row>
    <row r="291" spans="1:6" x14ac:dyDescent="0.25">
      <c r="A291">
        <v>2014266</v>
      </c>
      <c r="B291" t="s">
        <v>1167</v>
      </c>
      <c r="C291" t="s">
        <v>1174</v>
      </c>
      <c r="D291" t="s">
        <v>1136</v>
      </c>
      <c r="E291" t="s">
        <v>1145</v>
      </c>
      <c r="F291" t="s">
        <v>1150</v>
      </c>
    </row>
    <row r="292" spans="1:6" x14ac:dyDescent="0.25">
      <c r="A292">
        <v>2014267</v>
      </c>
      <c r="B292" t="s">
        <v>1167</v>
      </c>
      <c r="C292" t="s">
        <v>1174</v>
      </c>
      <c r="D292" t="s">
        <v>1136</v>
      </c>
      <c r="E292" t="s">
        <v>1145</v>
      </c>
      <c r="F292" t="s">
        <v>1170</v>
      </c>
    </row>
    <row r="293" spans="1:6" x14ac:dyDescent="0.25">
      <c r="A293">
        <v>2014271</v>
      </c>
      <c r="B293" t="s">
        <v>1167</v>
      </c>
      <c r="C293" t="s">
        <v>1174</v>
      </c>
      <c r="D293" t="s">
        <v>1136</v>
      </c>
      <c r="E293" t="s">
        <v>1154</v>
      </c>
      <c r="F293" t="s">
        <v>1142</v>
      </c>
    </row>
    <row r="294" spans="1:6" x14ac:dyDescent="0.25">
      <c r="A294">
        <v>2014272</v>
      </c>
      <c r="B294" t="s">
        <v>1167</v>
      </c>
      <c r="C294" t="s">
        <v>1174</v>
      </c>
      <c r="D294" t="s">
        <v>1136</v>
      </c>
      <c r="E294" t="s">
        <v>1154</v>
      </c>
      <c r="F294" t="s">
        <v>1138</v>
      </c>
    </row>
    <row r="295" spans="1:6" x14ac:dyDescent="0.25">
      <c r="A295">
        <v>2014273</v>
      </c>
      <c r="B295" t="s">
        <v>1167</v>
      </c>
      <c r="C295" t="s">
        <v>1174</v>
      </c>
      <c r="D295" t="s">
        <v>1136</v>
      </c>
      <c r="E295" t="s">
        <v>1154</v>
      </c>
      <c r="F295" t="s">
        <v>1146</v>
      </c>
    </row>
    <row r="296" spans="1:6" x14ac:dyDescent="0.25">
      <c r="A296">
        <v>2014274</v>
      </c>
      <c r="B296" t="s">
        <v>1167</v>
      </c>
      <c r="C296" t="s">
        <v>1174</v>
      </c>
      <c r="D296" t="s">
        <v>1136</v>
      </c>
      <c r="E296" t="s">
        <v>1154</v>
      </c>
      <c r="F296" t="s">
        <v>1148</v>
      </c>
    </row>
    <row r="297" spans="1:6" x14ac:dyDescent="0.25">
      <c r="A297">
        <v>2014275</v>
      </c>
      <c r="B297" t="s">
        <v>1167</v>
      </c>
      <c r="C297" t="s">
        <v>1174</v>
      </c>
      <c r="D297" t="s">
        <v>1136</v>
      </c>
      <c r="E297" t="s">
        <v>1154</v>
      </c>
      <c r="F297" t="s">
        <v>1172</v>
      </c>
    </row>
    <row r="298" spans="1:6" x14ac:dyDescent="0.25">
      <c r="A298">
        <v>2014276</v>
      </c>
      <c r="B298" t="s">
        <v>1167</v>
      </c>
      <c r="C298" t="s">
        <v>1174</v>
      </c>
      <c r="D298" t="s">
        <v>1136</v>
      </c>
      <c r="E298" t="s">
        <v>1154</v>
      </c>
      <c r="F298" t="s">
        <v>1150</v>
      </c>
    </row>
    <row r="299" spans="1:6" x14ac:dyDescent="0.25">
      <c r="A299">
        <v>2014277</v>
      </c>
      <c r="B299" t="s">
        <v>1167</v>
      </c>
      <c r="C299" t="s">
        <v>1174</v>
      </c>
      <c r="D299" t="s">
        <v>1136</v>
      </c>
      <c r="E299" t="s">
        <v>1154</v>
      </c>
      <c r="F299" t="s">
        <v>1170</v>
      </c>
    </row>
    <row r="300" spans="1:6" x14ac:dyDescent="0.25">
      <c r="A300">
        <v>2014351</v>
      </c>
      <c r="B300" t="s">
        <v>1167</v>
      </c>
      <c r="C300" t="s">
        <v>1174</v>
      </c>
      <c r="D300" t="s">
        <v>1136</v>
      </c>
      <c r="E300" t="s">
        <v>1157</v>
      </c>
      <c r="F300" t="s">
        <v>1142</v>
      </c>
    </row>
    <row r="301" spans="1:6" x14ac:dyDescent="0.25">
      <c r="A301">
        <v>2014352</v>
      </c>
      <c r="B301" t="s">
        <v>1167</v>
      </c>
      <c r="C301" t="s">
        <v>1174</v>
      </c>
      <c r="D301" t="s">
        <v>1136</v>
      </c>
      <c r="E301" t="s">
        <v>1157</v>
      </c>
      <c r="F301" t="s">
        <v>1138</v>
      </c>
    </row>
    <row r="302" spans="1:6" x14ac:dyDescent="0.25">
      <c r="A302">
        <v>2014353</v>
      </c>
      <c r="B302" t="s">
        <v>1167</v>
      </c>
      <c r="C302" t="s">
        <v>1174</v>
      </c>
      <c r="D302" t="s">
        <v>1136</v>
      </c>
      <c r="E302" t="s">
        <v>1157</v>
      </c>
      <c r="F302" t="s">
        <v>1146</v>
      </c>
    </row>
    <row r="303" spans="1:6" x14ac:dyDescent="0.25">
      <c r="A303">
        <v>2014354</v>
      </c>
      <c r="B303" t="s">
        <v>1167</v>
      </c>
      <c r="C303" t="s">
        <v>1174</v>
      </c>
      <c r="D303" t="s">
        <v>1136</v>
      </c>
      <c r="E303" t="s">
        <v>1157</v>
      </c>
      <c r="F303" t="s">
        <v>1148</v>
      </c>
    </row>
    <row r="304" spans="1:6" x14ac:dyDescent="0.25">
      <c r="A304">
        <v>2014355</v>
      </c>
      <c r="B304" t="s">
        <v>1167</v>
      </c>
      <c r="C304" t="s">
        <v>1174</v>
      </c>
      <c r="D304" t="s">
        <v>1136</v>
      </c>
      <c r="E304" t="s">
        <v>1157</v>
      </c>
      <c r="F304" t="s">
        <v>1172</v>
      </c>
    </row>
    <row r="305" spans="1:6" x14ac:dyDescent="0.25">
      <c r="A305">
        <v>2014356</v>
      </c>
      <c r="B305" t="s">
        <v>1167</v>
      </c>
      <c r="C305" t="s">
        <v>1174</v>
      </c>
      <c r="D305" t="s">
        <v>1136</v>
      </c>
      <c r="E305" t="s">
        <v>1157</v>
      </c>
      <c r="F305" t="s">
        <v>1150</v>
      </c>
    </row>
    <row r="306" spans="1:6" x14ac:dyDescent="0.25">
      <c r="A306">
        <v>2014357</v>
      </c>
      <c r="B306" t="s">
        <v>1167</v>
      </c>
      <c r="C306" t="s">
        <v>1174</v>
      </c>
      <c r="D306" t="s">
        <v>1136</v>
      </c>
      <c r="E306" t="s">
        <v>1157</v>
      </c>
      <c r="F306" t="s">
        <v>1170</v>
      </c>
    </row>
    <row r="307" spans="1:6" x14ac:dyDescent="0.25">
      <c r="A307">
        <v>2014361</v>
      </c>
      <c r="B307" t="s">
        <v>1167</v>
      </c>
      <c r="C307" t="s">
        <v>1174</v>
      </c>
      <c r="D307" t="s">
        <v>1136</v>
      </c>
      <c r="E307" t="s">
        <v>1158</v>
      </c>
      <c r="F307" t="s">
        <v>1142</v>
      </c>
    </row>
    <row r="308" spans="1:6" x14ac:dyDescent="0.25">
      <c r="A308">
        <v>2014362</v>
      </c>
      <c r="B308" t="s">
        <v>1167</v>
      </c>
      <c r="C308" t="s">
        <v>1174</v>
      </c>
      <c r="D308" t="s">
        <v>1136</v>
      </c>
      <c r="E308" t="s">
        <v>1158</v>
      </c>
      <c r="F308" t="s">
        <v>1138</v>
      </c>
    </row>
    <row r="309" spans="1:6" x14ac:dyDescent="0.25">
      <c r="A309">
        <v>2014363</v>
      </c>
      <c r="B309" t="s">
        <v>1167</v>
      </c>
      <c r="C309" t="s">
        <v>1174</v>
      </c>
      <c r="D309" t="s">
        <v>1136</v>
      </c>
      <c r="E309" t="s">
        <v>1158</v>
      </c>
      <c r="F309" t="s">
        <v>1146</v>
      </c>
    </row>
    <row r="310" spans="1:6" x14ac:dyDescent="0.25">
      <c r="A310">
        <v>2014364</v>
      </c>
      <c r="B310" t="s">
        <v>1167</v>
      </c>
      <c r="C310" t="s">
        <v>1174</v>
      </c>
      <c r="D310" t="s">
        <v>1136</v>
      </c>
      <c r="E310" t="s">
        <v>1158</v>
      </c>
      <c r="F310" t="s">
        <v>1148</v>
      </c>
    </row>
    <row r="311" spans="1:6" x14ac:dyDescent="0.25">
      <c r="A311">
        <v>2014365</v>
      </c>
      <c r="B311" t="s">
        <v>1167</v>
      </c>
      <c r="C311" t="s">
        <v>1174</v>
      </c>
      <c r="D311" t="s">
        <v>1136</v>
      </c>
      <c r="E311" t="s">
        <v>1158</v>
      </c>
      <c r="F311" t="s">
        <v>1172</v>
      </c>
    </row>
    <row r="312" spans="1:6" x14ac:dyDescent="0.25">
      <c r="A312">
        <v>2014367</v>
      </c>
      <c r="B312" t="s">
        <v>1167</v>
      </c>
      <c r="C312" t="s">
        <v>1174</v>
      </c>
      <c r="D312" t="s">
        <v>1136</v>
      </c>
      <c r="E312" t="s">
        <v>1158</v>
      </c>
      <c r="F312" t="s">
        <v>1170</v>
      </c>
    </row>
    <row r="313" spans="1:6" x14ac:dyDescent="0.25">
      <c r="A313">
        <v>2014421</v>
      </c>
      <c r="B313" t="s">
        <v>1167</v>
      </c>
      <c r="C313" t="s">
        <v>1174</v>
      </c>
      <c r="D313" t="s">
        <v>1136</v>
      </c>
      <c r="E313" t="s">
        <v>1165</v>
      </c>
      <c r="F313" t="s">
        <v>1142</v>
      </c>
    </row>
    <row r="314" spans="1:6" x14ac:dyDescent="0.25">
      <c r="A314">
        <v>2014422</v>
      </c>
      <c r="B314" t="s">
        <v>1167</v>
      </c>
      <c r="C314" t="s">
        <v>1174</v>
      </c>
      <c r="D314" t="s">
        <v>1136</v>
      </c>
      <c r="E314" t="s">
        <v>1165</v>
      </c>
      <c r="F314" t="s">
        <v>1138</v>
      </c>
    </row>
    <row r="315" spans="1:6" x14ac:dyDescent="0.25">
      <c r="A315">
        <v>2014423</v>
      </c>
      <c r="B315" t="s">
        <v>1167</v>
      </c>
      <c r="C315" t="s">
        <v>1174</v>
      </c>
      <c r="D315" t="s">
        <v>1136</v>
      </c>
      <c r="E315" t="s">
        <v>1165</v>
      </c>
      <c r="F315" t="s">
        <v>1146</v>
      </c>
    </row>
    <row r="316" spans="1:6" x14ac:dyDescent="0.25">
      <c r="A316">
        <v>2014424</v>
      </c>
      <c r="B316" t="s">
        <v>1167</v>
      </c>
      <c r="C316" t="s">
        <v>1174</v>
      </c>
      <c r="D316" t="s">
        <v>1136</v>
      </c>
      <c r="E316" t="s">
        <v>1165</v>
      </c>
      <c r="F316" t="s">
        <v>1148</v>
      </c>
    </row>
    <row r="317" spans="1:6" x14ac:dyDescent="0.25">
      <c r="A317">
        <v>2014425</v>
      </c>
      <c r="B317" t="s">
        <v>1167</v>
      </c>
      <c r="C317" t="s">
        <v>1174</v>
      </c>
      <c r="D317" t="s">
        <v>1136</v>
      </c>
      <c r="E317" t="s">
        <v>1165</v>
      </c>
      <c r="F317" t="s">
        <v>1172</v>
      </c>
    </row>
    <row r="318" spans="1:6" x14ac:dyDescent="0.25">
      <c r="A318">
        <v>2014426</v>
      </c>
      <c r="B318" t="s">
        <v>1167</v>
      </c>
      <c r="C318" t="s">
        <v>1174</v>
      </c>
      <c r="D318" t="s">
        <v>1136</v>
      </c>
      <c r="E318" t="s">
        <v>1165</v>
      </c>
      <c r="F318" t="s">
        <v>1150</v>
      </c>
    </row>
    <row r="319" spans="1:6" x14ac:dyDescent="0.25">
      <c r="A319">
        <v>2014427</v>
      </c>
      <c r="B319" t="s">
        <v>1167</v>
      </c>
      <c r="C319" t="s">
        <v>1174</v>
      </c>
      <c r="D319" t="s">
        <v>1136</v>
      </c>
      <c r="E319" t="s">
        <v>1165</v>
      </c>
      <c r="F319" t="s">
        <v>1170</v>
      </c>
    </row>
    <row r="320" spans="1:6" x14ac:dyDescent="0.25">
      <c r="A320">
        <v>2021131</v>
      </c>
      <c r="B320" t="s">
        <v>1167</v>
      </c>
      <c r="C320" t="s">
        <v>1197</v>
      </c>
      <c r="D320" t="s">
        <v>1178</v>
      </c>
      <c r="E320" t="s">
        <v>1179</v>
      </c>
      <c r="F320" t="s">
        <v>1142</v>
      </c>
    </row>
    <row r="321" spans="1:6" x14ac:dyDescent="0.25">
      <c r="A321">
        <v>2021132</v>
      </c>
      <c r="B321" t="s">
        <v>1167</v>
      </c>
      <c r="C321" t="s">
        <v>1197</v>
      </c>
      <c r="D321" t="s">
        <v>1178</v>
      </c>
      <c r="E321" t="s">
        <v>1179</v>
      </c>
      <c r="F321" t="s">
        <v>1138</v>
      </c>
    </row>
    <row r="322" spans="1:6" x14ac:dyDescent="0.25">
      <c r="A322">
        <v>2021133</v>
      </c>
      <c r="B322" t="s">
        <v>1167</v>
      </c>
      <c r="C322" t="s">
        <v>1197</v>
      </c>
      <c r="D322" t="s">
        <v>1178</v>
      </c>
      <c r="E322" t="s">
        <v>1179</v>
      </c>
      <c r="F322" t="s">
        <v>1146</v>
      </c>
    </row>
    <row r="323" spans="1:6" x14ac:dyDescent="0.25">
      <c r="A323">
        <v>2021134</v>
      </c>
      <c r="B323" t="s">
        <v>1167</v>
      </c>
      <c r="C323" t="s">
        <v>1197</v>
      </c>
      <c r="D323" t="s">
        <v>1178</v>
      </c>
      <c r="E323" t="s">
        <v>1179</v>
      </c>
      <c r="F323" t="s">
        <v>1148</v>
      </c>
    </row>
    <row r="324" spans="1:6" x14ac:dyDescent="0.25">
      <c r="A324">
        <v>2021135</v>
      </c>
      <c r="B324" t="s">
        <v>1167</v>
      </c>
      <c r="C324" t="s">
        <v>1197</v>
      </c>
      <c r="D324" t="s">
        <v>1178</v>
      </c>
      <c r="E324" t="s">
        <v>1179</v>
      </c>
      <c r="F324" t="s">
        <v>1172</v>
      </c>
    </row>
    <row r="325" spans="1:6" x14ac:dyDescent="0.25">
      <c r="A325">
        <v>2021136</v>
      </c>
      <c r="B325" t="s">
        <v>1167</v>
      </c>
      <c r="C325" t="s">
        <v>1197</v>
      </c>
      <c r="D325" t="s">
        <v>1178</v>
      </c>
      <c r="E325" t="s">
        <v>1179</v>
      </c>
      <c r="F325" t="s">
        <v>1150</v>
      </c>
    </row>
    <row r="326" spans="1:6" x14ac:dyDescent="0.25">
      <c r="A326">
        <v>2021137</v>
      </c>
      <c r="B326" t="s">
        <v>1167</v>
      </c>
      <c r="C326" t="s">
        <v>1197</v>
      </c>
      <c r="D326" t="s">
        <v>1178</v>
      </c>
      <c r="E326" t="s">
        <v>1179</v>
      </c>
      <c r="F326" t="s">
        <v>1170</v>
      </c>
    </row>
    <row r="327" spans="1:6" x14ac:dyDescent="0.25">
      <c r="A327">
        <v>2021431</v>
      </c>
      <c r="B327" t="s">
        <v>1167</v>
      </c>
      <c r="C327" t="s">
        <v>1197</v>
      </c>
      <c r="D327" t="s">
        <v>1178</v>
      </c>
      <c r="E327" t="s">
        <v>1180</v>
      </c>
      <c r="F327" t="s">
        <v>1142</v>
      </c>
    </row>
    <row r="328" spans="1:6" x14ac:dyDescent="0.25">
      <c r="A328">
        <v>2021432</v>
      </c>
      <c r="B328" t="s">
        <v>1167</v>
      </c>
      <c r="C328" t="s">
        <v>1197</v>
      </c>
      <c r="D328" t="s">
        <v>1178</v>
      </c>
      <c r="E328" t="s">
        <v>1180</v>
      </c>
      <c r="F328" t="s">
        <v>1138</v>
      </c>
    </row>
    <row r="329" spans="1:6" x14ac:dyDescent="0.25">
      <c r="A329">
        <v>2021433</v>
      </c>
      <c r="B329" t="s">
        <v>1167</v>
      </c>
      <c r="C329" t="s">
        <v>1197</v>
      </c>
      <c r="D329" t="s">
        <v>1178</v>
      </c>
      <c r="E329" t="s">
        <v>1180</v>
      </c>
      <c r="F329" t="s">
        <v>1146</v>
      </c>
    </row>
    <row r="330" spans="1:6" x14ac:dyDescent="0.25">
      <c r="A330">
        <v>2021434</v>
      </c>
      <c r="B330" t="s">
        <v>1167</v>
      </c>
      <c r="C330" t="s">
        <v>1197</v>
      </c>
      <c r="D330" t="s">
        <v>1178</v>
      </c>
      <c r="E330" t="s">
        <v>1180</v>
      </c>
      <c r="F330" t="s">
        <v>1148</v>
      </c>
    </row>
    <row r="331" spans="1:6" x14ac:dyDescent="0.25">
      <c r="A331">
        <v>2021435</v>
      </c>
      <c r="B331" t="s">
        <v>1167</v>
      </c>
      <c r="C331" t="s">
        <v>1197</v>
      </c>
      <c r="D331" t="s">
        <v>1178</v>
      </c>
      <c r="E331" t="s">
        <v>1180</v>
      </c>
      <c r="F331" t="s">
        <v>1172</v>
      </c>
    </row>
    <row r="332" spans="1:6" x14ac:dyDescent="0.25">
      <c r="A332">
        <v>2021436</v>
      </c>
      <c r="B332" t="s">
        <v>1167</v>
      </c>
      <c r="C332" t="s">
        <v>1197</v>
      </c>
      <c r="D332" t="s">
        <v>1178</v>
      </c>
      <c r="E332" t="s">
        <v>1180</v>
      </c>
      <c r="F332" t="s">
        <v>1150</v>
      </c>
    </row>
    <row r="333" spans="1:6" x14ac:dyDescent="0.25">
      <c r="A333">
        <v>2021437</v>
      </c>
      <c r="B333" t="s">
        <v>1167</v>
      </c>
      <c r="C333" t="s">
        <v>1197</v>
      </c>
      <c r="D333" t="s">
        <v>1178</v>
      </c>
      <c r="E333" t="s">
        <v>1180</v>
      </c>
      <c r="F333" t="s">
        <v>1170</v>
      </c>
    </row>
    <row r="334" spans="1:6" x14ac:dyDescent="0.25">
      <c r="A334">
        <v>2021441</v>
      </c>
      <c r="B334" t="s">
        <v>1167</v>
      </c>
      <c r="C334" t="s">
        <v>1197</v>
      </c>
      <c r="D334" t="s">
        <v>1178</v>
      </c>
      <c r="E334" t="s">
        <v>1181</v>
      </c>
      <c r="F334" t="s">
        <v>1142</v>
      </c>
    </row>
    <row r="335" spans="1:6" x14ac:dyDescent="0.25">
      <c r="A335">
        <v>2021442</v>
      </c>
      <c r="B335" t="s">
        <v>1167</v>
      </c>
      <c r="C335" t="s">
        <v>1197</v>
      </c>
      <c r="D335" t="s">
        <v>1178</v>
      </c>
      <c r="E335" t="s">
        <v>1181</v>
      </c>
      <c r="F335" t="s">
        <v>1138</v>
      </c>
    </row>
    <row r="336" spans="1:6" x14ac:dyDescent="0.25">
      <c r="A336">
        <v>2021443</v>
      </c>
      <c r="B336" t="s">
        <v>1167</v>
      </c>
      <c r="C336" t="s">
        <v>1197</v>
      </c>
      <c r="D336" t="s">
        <v>1178</v>
      </c>
      <c r="E336" t="s">
        <v>1181</v>
      </c>
      <c r="F336" t="s">
        <v>1146</v>
      </c>
    </row>
    <row r="337" spans="1:6" x14ac:dyDescent="0.25">
      <c r="A337">
        <v>2021444</v>
      </c>
      <c r="B337" t="s">
        <v>1167</v>
      </c>
      <c r="C337" t="s">
        <v>1197</v>
      </c>
      <c r="D337" t="s">
        <v>1178</v>
      </c>
      <c r="E337" t="s">
        <v>1181</v>
      </c>
      <c r="F337" t="s">
        <v>1148</v>
      </c>
    </row>
    <row r="338" spans="1:6" x14ac:dyDescent="0.25">
      <c r="A338">
        <v>2021445</v>
      </c>
      <c r="B338" t="s">
        <v>1167</v>
      </c>
      <c r="C338" t="s">
        <v>1197</v>
      </c>
      <c r="D338" t="s">
        <v>1178</v>
      </c>
      <c r="E338" t="s">
        <v>1181</v>
      </c>
      <c r="F338" t="s">
        <v>1172</v>
      </c>
    </row>
    <row r="339" spans="1:6" x14ac:dyDescent="0.25">
      <c r="A339">
        <v>2021446</v>
      </c>
      <c r="B339" t="s">
        <v>1167</v>
      </c>
      <c r="C339" t="s">
        <v>1197</v>
      </c>
      <c r="D339" t="s">
        <v>1178</v>
      </c>
      <c r="E339" t="s">
        <v>1181</v>
      </c>
      <c r="F339" t="s">
        <v>1150</v>
      </c>
    </row>
    <row r="340" spans="1:6" x14ac:dyDescent="0.25">
      <c r="A340">
        <v>2021447</v>
      </c>
      <c r="B340" t="s">
        <v>1167</v>
      </c>
      <c r="C340" t="s">
        <v>1197</v>
      </c>
      <c r="D340" t="s">
        <v>1178</v>
      </c>
      <c r="E340" t="s">
        <v>1181</v>
      </c>
      <c r="F340" t="s">
        <v>1170</v>
      </c>
    </row>
    <row r="341" spans="1:6" x14ac:dyDescent="0.25">
      <c r="A341">
        <v>2022101</v>
      </c>
      <c r="B341" t="s">
        <v>1167</v>
      </c>
      <c r="C341" t="s">
        <v>1197</v>
      </c>
      <c r="D341" t="s">
        <v>1182</v>
      </c>
      <c r="E341" t="s">
        <v>1183</v>
      </c>
      <c r="F341" t="s">
        <v>1142</v>
      </c>
    </row>
    <row r="342" spans="1:6" x14ac:dyDescent="0.25">
      <c r="A342">
        <v>2022102</v>
      </c>
      <c r="B342" t="s">
        <v>1167</v>
      </c>
      <c r="C342" t="s">
        <v>1197</v>
      </c>
      <c r="D342" t="s">
        <v>1182</v>
      </c>
      <c r="E342" t="s">
        <v>1183</v>
      </c>
      <c r="F342" t="s">
        <v>1138</v>
      </c>
    </row>
    <row r="343" spans="1:6" x14ac:dyDescent="0.25">
      <c r="A343">
        <v>2022103</v>
      </c>
      <c r="B343" t="s">
        <v>1167</v>
      </c>
      <c r="C343" t="s">
        <v>1197</v>
      </c>
      <c r="D343" t="s">
        <v>1182</v>
      </c>
      <c r="E343" t="s">
        <v>1183</v>
      </c>
      <c r="F343" t="s">
        <v>1146</v>
      </c>
    </row>
    <row r="344" spans="1:6" x14ac:dyDescent="0.25">
      <c r="A344">
        <v>2022104</v>
      </c>
      <c r="B344" t="s">
        <v>1167</v>
      </c>
      <c r="C344" t="s">
        <v>1197</v>
      </c>
      <c r="D344" t="s">
        <v>1182</v>
      </c>
      <c r="E344" t="s">
        <v>1183</v>
      </c>
      <c r="F344" t="s">
        <v>1148</v>
      </c>
    </row>
    <row r="345" spans="1:6" x14ac:dyDescent="0.25">
      <c r="A345">
        <v>2022105</v>
      </c>
      <c r="B345" t="s">
        <v>1167</v>
      </c>
      <c r="C345" t="s">
        <v>1197</v>
      </c>
      <c r="D345" t="s">
        <v>1182</v>
      </c>
      <c r="E345" t="s">
        <v>1183</v>
      </c>
      <c r="F345" t="s">
        <v>1172</v>
      </c>
    </row>
    <row r="346" spans="1:6" x14ac:dyDescent="0.25">
      <c r="A346">
        <v>2022106</v>
      </c>
      <c r="B346" t="s">
        <v>1167</v>
      </c>
      <c r="C346" t="s">
        <v>1197</v>
      </c>
      <c r="D346" t="s">
        <v>1182</v>
      </c>
      <c r="E346" t="s">
        <v>1183</v>
      </c>
      <c r="F346" t="s">
        <v>1150</v>
      </c>
    </row>
    <row r="347" spans="1:6" x14ac:dyDescent="0.25">
      <c r="A347">
        <v>2022107</v>
      </c>
      <c r="B347" t="s">
        <v>1167</v>
      </c>
      <c r="C347" t="s">
        <v>1197</v>
      </c>
      <c r="D347" t="s">
        <v>1182</v>
      </c>
      <c r="E347" t="s">
        <v>1183</v>
      </c>
      <c r="F347" t="s">
        <v>1170</v>
      </c>
    </row>
    <row r="348" spans="1:6" x14ac:dyDescent="0.25">
      <c r="A348">
        <v>2022111</v>
      </c>
      <c r="B348" t="s">
        <v>1167</v>
      </c>
      <c r="C348" t="s">
        <v>1197</v>
      </c>
      <c r="D348" t="s">
        <v>1182</v>
      </c>
      <c r="E348" t="s">
        <v>1184</v>
      </c>
      <c r="F348" t="s">
        <v>1142</v>
      </c>
    </row>
    <row r="349" spans="1:6" x14ac:dyDescent="0.25">
      <c r="A349">
        <v>2022112</v>
      </c>
      <c r="B349" t="s">
        <v>1167</v>
      </c>
      <c r="C349" t="s">
        <v>1197</v>
      </c>
      <c r="D349" t="s">
        <v>1182</v>
      </c>
      <c r="E349" t="s">
        <v>1184</v>
      </c>
      <c r="F349" t="s">
        <v>1138</v>
      </c>
    </row>
    <row r="350" spans="1:6" x14ac:dyDescent="0.25">
      <c r="A350">
        <v>2022113</v>
      </c>
      <c r="B350" t="s">
        <v>1167</v>
      </c>
      <c r="C350" t="s">
        <v>1197</v>
      </c>
      <c r="D350" t="s">
        <v>1182</v>
      </c>
      <c r="E350" t="s">
        <v>1184</v>
      </c>
      <c r="F350" t="s">
        <v>1146</v>
      </c>
    </row>
    <row r="351" spans="1:6" x14ac:dyDescent="0.25">
      <c r="A351">
        <v>2022114</v>
      </c>
      <c r="B351" t="s">
        <v>1167</v>
      </c>
      <c r="C351" t="s">
        <v>1197</v>
      </c>
      <c r="D351" t="s">
        <v>1182</v>
      </c>
      <c r="E351" t="s">
        <v>1184</v>
      </c>
      <c r="F351" t="s">
        <v>1148</v>
      </c>
    </row>
    <row r="352" spans="1:6" x14ac:dyDescent="0.25">
      <c r="A352">
        <v>2022115</v>
      </c>
      <c r="B352" t="s">
        <v>1167</v>
      </c>
      <c r="C352" t="s">
        <v>1197</v>
      </c>
      <c r="D352" t="s">
        <v>1182</v>
      </c>
      <c r="E352" t="s">
        <v>1184</v>
      </c>
      <c r="F352" t="s">
        <v>1172</v>
      </c>
    </row>
    <row r="353" spans="1:6" x14ac:dyDescent="0.25">
      <c r="A353">
        <v>2022116</v>
      </c>
      <c r="B353" t="s">
        <v>1167</v>
      </c>
      <c r="C353" t="s">
        <v>1197</v>
      </c>
      <c r="D353" t="s">
        <v>1182</v>
      </c>
      <c r="E353" t="s">
        <v>1184</v>
      </c>
      <c r="F353" t="s">
        <v>1150</v>
      </c>
    </row>
    <row r="354" spans="1:6" x14ac:dyDescent="0.25">
      <c r="A354">
        <v>2022117</v>
      </c>
      <c r="B354" t="s">
        <v>1167</v>
      </c>
      <c r="C354" t="s">
        <v>1197</v>
      </c>
      <c r="D354" t="s">
        <v>1182</v>
      </c>
      <c r="E354" t="s">
        <v>1184</v>
      </c>
      <c r="F354" t="s">
        <v>1170</v>
      </c>
    </row>
    <row r="355" spans="1:6" x14ac:dyDescent="0.25">
      <c r="A355">
        <v>2022332</v>
      </c>
      <c r="B355" t="s">
        <v>1167</v>
      </c>
      <c r="C355" t="s">
        <v>1197</v>
      </c>
      <c r="D355" t="s">
        <v>1182</v>
      </c>
      <c r="E355" t="s">
        <v>1185</v>
      </c>
      <c r="F355" t="s">
        <v>1138</v>
      </c>
    </row>
    <row r="356" spans="1:6" x14ac:dyDescent="0.25">
      <c r="A356">
        <v>2023141</v>
      </c>
      <c r="B356" t="s">
        <v>1167</v>
      </c>
      <c r="C356" t="s">
        <v>1197</v>
      </c>
      <c r="D356" t="s">
        <v>1186</v>
      </c>
      <c r="E356" t="s">
        <v>1187</v>
      </c>
      <c r="F356" t="s">
        <v>1142</v>
      </c>
    </row>
    <row r="357" spans="1:6" x14ac:dyDescent="0.25">
      <c r="A357">
        <v>2023142</v>
      </c>
      <c r="B357" t="s">
        <v>1167</v>
      </c>
      <c r="C357" t="s">
        <v>1197</v>
      </c>
      <c r="D357" t="s">
        <v>1186</v>
      </c>
      <c r="E357" t="s">
        <v>1187</v>
      </c>
      <c r="F357" t="s">
        <v>1138</v>
      </c>
    </row>
    <row r="358" spans="1:6" x14ac:dyDescent="0.25">
      <c r="A358">
        <v>2023143</v>
      </c>
      <c r="B358" t="s">
        <v>1167</v>
      </c>
      <c r="C358" t="s">
        <v>1197</v>
      </c>
      <c r="D358" t="s">
        <v>1186</v>
      </c>
      <c r="E358" t="s">
        <v>1187</v>
      </c>
      <c r="F358" t="s">
        <v>1146</v>
      </c>
    </row>
    <row r="359" spans="1:6" x14ac:dyDescent="0.25">
      <c r="A359">
        <v>2023144</v>
      </c>
      <c r="B359" t="s">
        <v>1167</v>
      </c>
      <c r="C359" t="s">
        <v>1197</v>
      </c>
      <c r="D359" t="s">
        <v>1186</v>
      </c>
      <c r="E359" t="s">
        <v>1187</v>
      </c>
      <c r="F359" t="s">
        <v>1148</v>
      </c>
    </row>
    <row r="360" spans="1:6" x14ac:dyDescent="0.25">
      <c r="A360">
        <v>2023145</v>
      </c>
      <c r="B360" t="s">
        <v>1167</v>
      </c>
      <c r="C360" t="s">
        <v>1197</v>
      </c>
      <c r="D360" t="s">
        <v>1186</v>
      </c>
      <c r="E360" t="s">
        <v>1187</v>
      </c>
      <c r="F360" t="s">
        <v>1172</v>
      </c>
    </row>
    <row r="361" spans="1:6" x14ac:dyDescent="0.25">
      <c r="A361">
        <v>2023146</v>
      </c>
      <c r="B361" t="s">
        <v>1167</v>
      </c>
      <c r="C361" t="s">
        <v>1197</v>
      </c>
      <c r="D361" t="s">
        <v>1186</v>
      </c>
      <c r="E361" t="s">
        <v>1187</v>
      </c>
      <c r="F361" t="s">
        <v>1150</v>
      </c>
    </row>
    <row r="362" spans="1:6" x14ac:dyDescent="0.25">
      <c r="A362">
        <v>2023147</v>
      </c>
      <c r="B362" t="s">
        <v>1167</v>
      </c>
      <c r="C362" t="s">
        <v>1197</v>
      </c>
      <c r="D362" t="s">
        <v>1186</v>
      </c>
      <c r="E362" t="s">
        <v>1187</v>
      </c>
      <c r="F362" t="s">
        <v>1170</v>
      </c>
    </row>
    <row r="363" spans="1:6" x14ac:dyDescent="0.25">
      <c r="A363">
        <v>2023151</v>
      </c>
      <c r="B363" t="s">
        <v>1167</v>
      </c>
      <c r="C363" t="s">
        <v>1197</v>
      </c>
      <c r="D363" t="s">
        <v>1186</v>
      </c>
      <c r="E363" t="s">
        <v>1188</v>
      </c>
      <c r="F363" t="s">
        <v>1142</v>
      </c>
    </row>
    <row r="364" spans="1:6" x14ac:dyDescent="0.25">
      <c r="A364">
        <v>2023152</v>
      </c>
      <c r="B364" t="s">
        <v>1167</v>
      </c>
      <c r="C364" t="s">
        <v>1197</v>
      </c>
      <c r="D364" t="s">
        <v>1186</v>
      </c>
      <c r="E364" t="s">
        <v>1188</v>
      </c>
      <c r="F364" t="s">
        <v>1138</v>
      </c>
    </row>
    <row r="365" spans="1:6" x14ac:dyDescent="0.25">
      <c r="A365">
        <v>2023153</v>
      </c>
      <c r="B365" t="s">
        <v>1167</v>
      </c>
      <c r="C365" t="s">
        <v>1197</v>
      </c>
      <c r="D365" t="s">
        <v>1186</v>
      </c>
      <c r="E365" t="s">
        <v>1188</v>
      </c>
      <c r="F365" t="s">
        <v>1146</v>
      </c>
    </row>
    <row r="366" spans="1:6" x14ac:dyDescent="0.25">
      <c r="A366">
        <v>2023154</v>
      </c>
      <c r="B366" t="s">
        <v>1167</v>
      </c>
      <c r="C366" t="s">
        <v>1197</v>
      </c>
      <c r="D366" t="s">
        <v>1186</v>
      </c>
      <c r="E366" t="s">
        <v>1188</v>
      </c>
      <c r="F366" t="s">
        <v>1148</v>
      </c>
    </row>
    <row r="367" spans="1:6" x14ac:dyDescent="0.25">
      <c r="A367">
        <v>2023155</v>
      </c>
      <c r="B367" t="s">
        <v>1167</v>
      </c>
      <c r="C367" t="s">
        <v>1197</v>
      </c>
      <c r="D367" t="s">
        <v>1186</v>
      </c>
      <c r="E367" t="s">
        <v>1188</v>
      </c>
      <c r="F367" t="s">
        <v>1172</v>
      </c>
    </row>
    <row r="368" spans="1:6" x14ac:dyDescent="0.25">
      <c r="A368">
        <v>2023156</v>
      </c>
      <c r="B368" t="s">
        <v>1167</v>
      </c>
      <c r="C368" t="s">
        <v>1197</v>
      </c>
      <c r="D368" t="s">
        <v>1186</v>
      </c>
      <c r="E368" t="s">
        <v>1188</v>
      </c>
      <c r="F368" t="s">
        <v>1150</v>
      </c>
    </row>
    <row r="369" spans="1:6" x14ac:dyDescent="0.25">
      <c r="A369">
        <v>2023157</v>
      </c>
      <c r="B369" t="s">
        <v>1167</v>
      </c>
      <c r="C369" t="s">
        <v>1197</v>
      </c>
      <c r="D369" t="s">
        <v>1186</v>
      </c>
      <c r="E369" t="s">
        <v>1188</v>
      </c>
      <c r="F369" t="s">
        <v>1170</v>
      </c>
    </row>
    <row r="370" spans="1:6" x14ac:dyDescent="0.25">
      <c r="A370">
        <v>2023172</v>
      </c>
      <c r="B370" t="s">
        <v>1167</v>
      </c>
      <c r="C370" t="s">
        <v>1197</v>
      </c>
      <c r="D370" t="s">
        <v>1186</v>
      </c>
      <c r="E370" t="s">
        <v>1147</v>
      </c>
      <c r="F370" t="s">
        <v>1138</v>
      </c>
    </row>
    <row r="371" spans="1:6" x14ac:dyDescent="0.25">
      <c r="A371">
        <v>2023175</v>
      </c>
      <c r="B371" t="s">
        <v>1167</v>
      </c>
      <c r="C371" t="s">
        <v>1197</v>
      </c>
      <c r="D371" t="s">
        <v>1186</v>
      </c>
      <c r="E371" t="s">
        <v>1147</v>
      </c>
      <c r="F371" t="s">
        <v>1172</v>
      </c>
    </row>
    <row r="372" spans="1:6" x14ac:dyDescent="0.25">
      <c r="A372">
        <v>2023176</v>
      </c>
      <c r="B372" t="s">
        <v>1167</v>
      </c>
      <c r="C372" t="s">
        <v>1197</v>
      </c>
      <c r="D372" t="s">
        <v>1186</v>
      </c>
      <c r="E372" t="s">
        <v>1147</v>
      </c>
      <c r="F372" t="s">
        <v>1150</v>
      </c>
    </row>
    <row r="373" spans="1:6" x14ac:dyDescent="0.25">
      <c r="A373">
        <v>2023177</v>
      </c>
      <c r="B373" t="s">
        <v>1167</v>
      </c>
      <c r="C373" t="s">
        <v>1197</v>
      </c>
      <c r="D373" t="s">
        <v>1186</v>
      </c>
      <c r="E373" t="s">
        <v>1147</v>
      </c>
      <c r="F373" t="s">
        <v>1170</v>
      </c>
    </row>
    <row r="374" spans="1:6" x14ac:dyDescent="0.25">
      <c r="A374">
        <v>2023221</v>
      </c>
      <c r="B374" t="s">
        <v>1167</v>
      </c>
      <c r="C374" t="s">
        <v>1197</v>
      </c>
      <c r="D374" t="s">
        <v>1186</v>
      </c>
      <c r="E374" t="s">
        <v>1189</v>
      </c>
      <c r="F374" t="s">
        <v>1142</v>
      </c>
    </row>
    <row r="375" spans="1:6" x14ac:dyDescent="0.25">
      <c r="A375">
        <v>2023222</v>
      </c>
      <c r="B375" t="s">
        <v>1167</v>
      </c>
      <c r="C375" t="s">
        <v>1197</v>
      </c>
      <c r="D375" t="s">
        <v>1186</v>
      </c>
      <c r="E375" t="s">
        <v>1189</v>
      </c>
      <c r="F375" t="s">
        <v>1138</v>
      </c>
    </row>
    <row r="376" spans="1:6" x14ac:dyDescent="0.25">
      <c r="A376">
        <v>2023223</v>
      </c>
      <c r="B376" t="s">
        <v>1167</v>
      </c>
      <c r="C376" t="s">
        <v>1197</v>
      </c>
      <c r="D376" t="s">
        <v>1186</v>
      </c>
      <c r="E376" t="s">
        <v>1189</v>
      </c>
      <c r="F376" t="s">
        <v>1146</v>
      </c>
    </row>
    <row r="377" spans="1:6" x14ac:dyDescent="0.25">
      <c r="A377">
        <v>2023225</v>
      </c>
      <c r="B377" t="s">
        <v>1167</v>
      </c>
      <c r="C377" t="s">
        <v>1197</v>
      </c>
      <c r="D377" t="s">
        <v>1186</v>
      </c>
      <c r="E377" t="s">
        <v>1189</v>
      </c>
      <c r="F377" t="s">
        <v>1172</v>
      </c>
    </row>
    <row r="378" spans="1:6" x14ac:dyDescent="0.25">
      <c r="A378">
        <v>2023226</v>
      </c>
      <c r="B378" t="s">
        <v>1167</v>
      </c>
      <c r="C378" t="s">
        <v>1197</v>
      </c>
      <c r="D378" t="s">
        <v>1186</v>
      </c>
      <c r="E378" t="s">
        <v>1189</v>
      </c>
      <c r="F378" t="s">
        <v>1150</v>
      </c>
    </row>
    <row r="379" spans="1:6" x14ac:dyDescent="0.25">
      <c r="A379">
        <v>2023227</v>
      </c>
      <c r="B379" t="s">
        <v>1167</v>
      </c>
      <c r="C379" t="s">
        <v>1197</v>
      </c>
      <c r="D379" t="s">
        <v>1186</v>
      </c>
      <c r="E379" t="s">
        <v>1189</v>
      </c>
      <c r="F379" t="s">
        <v>1170</v>
      </c>
    </row>
    <row r="380" spans="1:6" x14ac:dyDescent="0.25">
      <c r="A380">
        <v>2023231</v>
      </c>
      <c r="B380" t="s">
        <v>1167</v>
      </c>
      <c r="C380" t="s">
        <v>1197</v>
      </c>
      <c r="D380" t="s">
        <v>1186</v>
      </c>
      <c r="E380" t="s">
        <v>1152</v>
      </c>
      <c r="F380" t="s">
        <v>1142</v>
      </c>
    </row>
    <row r="381" spans="1:6" x14ac:dyDescent="0.25">
      <c r="A381">
        <v>2023232</v>
      </c>
      <c r="B381" t="s">
        <v>1167</v>
      </c>
      <c r="C381" t="s">
        <v>1197</v>
      </c>
      <c r="D381" t="s">
        <v>1186</v>
      </c>
      <c r="E381" t="s">
        <v>1152</v>
      </c>
      <c r="F381" t="s">
        <v>1138</v>
      </c>
    </row>
    <row r="382" spans="1:6" x14ac:dyDescent="0.25">
      <c r="A382">
        <v>2023233</v>
      </c>
      <c r="B382" t="s">
        <v>1167</v>
      </c>
      <c r="C382" t="s">
        <v>1197</v>
      </c>
      <c r="D382" t="s">
        <v>1186</v>
      </c>
      <c r="E382" t="s">
        <v>1152</v>
      </c>
      <c r="F382" t="s">
        <v>1146</v>
      </c>
    </row>
    <row r="383" spans="1:6" x14ac:dyDescent="0.25">
      <c r="A383">
        <v>2023235</v>
      </c>
      <c r="B383" t="s">
        <v>1167</v>
      </c>
      <c r="C383" t="s">
        <v>1197</v>
      </c>
      <c r="D383" t="s">
        <v>1186</v>
      </c>
      <c r="E383" t="s">
        <v>1152</v>
      </c>
      <c r="F383" t="s">
        <v>1172</v>
      </c>
    </row>
    <row r="384" spans="1:6" x14ac:dyDescent="0.25">
      <c r="A384">
        <v>2023236</v>
      </c>
      <c r="B384" t="s">
        <v>1167</v>
      </c>
      <c r="C384" t="s">
        <v>1197</v>
      </c>
      <c r="D384" t="s">
        <v>1186</v>
      </c>
      <c r="E384" t="s">
        <v>1152</v>
      </c>
      <c r="F384" t="s">
        <v>1150</v>
      </c>
    </row>
    <row r="385" spans="1:6" x14ac:dyDescent="0.25">
      <c r="A385">
        <v>2023237</v>
      </c>
      <c r="B385" t="s">
        <v>1167</v>
      </c>
      <c r="C385" t="s">
        <v>1197</v>
      </c>
      <c r="D385" t="s">
        <v>1186</v>
      </c>
      <c r="E385" t="s">
        <v>1152</v>
      </c>
      <c r="F385" t="s">
        <v>1170</v>
      </c>
    </row>
    <row r="386" spans="1:6" x14ac:dyDescent="0.25">
      <c r="A386">
        <v>2023242</v>
      </c>
      <c r="B386" t="s">
        <v>1167</v>
      </c>
      <c r="C386" t="s">
        <v>1197</v>
      </c>
      <c r="D386" t="s">
        <v>1186</v>
      </c>
      <c r="E386" t="s">
        <v>1153</v>
      </c>
      <c r="F386" t="s">
        <v>1138</v>
      </c>
    </row>
    <row r="387" spans="1:6" x14ac:dyDescent="0.25">
      <c r="A387">
        <v>2023245</v>
      </c>
      <c r="B387" t="s">
        <v>1167</v>
      </c>
      <c r="C387" t="s">
        <v>1197</v>
      </c>
      <c r="D387" t="s">
        <v>1186</v>
      </c>
      <c r="E387" t="s">
        <v>1153</v>
      </c>
      <c r="F387" t="s">
        <v>1172</v>
      </c>
    </row>
    <row r="388" spans="1:6" x14ac:dyDescent="0.25">
      <c r="A388">
        <v>2023246</v>
      </c>
      <c r="B388" t="s">
        <v>1167</v>
      </c>
      <c r="C388" t="s">
        <v>1197</v>
      </c>
      <c r="D388" t="s">
        <v>1186</v>
      </c>
      <c r="E388" t="s">
        <v>1153</v>
      </c>
      <c r="F388" t="s">
        <v>1150</v>
      </c>
    </row>
    <row r="389" spans="1:6" x14ac:dyDescent="0.25">
      <c r="A389">
        <v>2023247</v>
      </c>
      <c r="B389" t="s">
        <v>1167</v>
      </c>
      <c r="C389" t="s">
        <v>1197</v>
      </c>
      <c r="D389" t="s">
        <v>1186</v>
      </c>
      <c r="E389" t="s">
        <v>1153</v>
      </c>
      <c r="F389" t="s">
        <v>1170</v>
      </c>
    </row>
    <row r="390" spans="1:6" x14ac:dyDescent="0.25">
      <c r="A390">
        <v>2023341</v>
      </c>
      <c r="B390" t="s">
        <v>1167</v>
      </c>
      <c r="C390" t="s">
        <v>1197</v>
      </c>
      <c r="D390" t="s">
        <v>1186</v>
      </c>
      <c r="E390" t="s">
        <v>1156</v>
      </c>
      <c r="F390" t="s">
        <v>1142</v>
      </c>
    </row>
    <row r="391" spans="1:6" x14ac:dyDescent="0.25">
      <c r="A391">
        <v>2023342</v>
      </c>
      <c r="B391" t="s">
        <v>1167</v>
      </c>
      <c r="C391" t="s">
        <v>1197</v>
      </c>
      <c r="D391" t="s">
        <v>1186</v>
      </c>
      <c r="E391" t="s">
        <v>1156</v>
      </c>
      <c r="F391" t="s">
        <v>1138</v>
      </c>
    </row>
    <row r="392" spans="1:6" x14ac:dyDescent="0.25">
      <c r="A392">
        <v>2023343</v>
      </c>
      <c r="B392" t="s">
        <v>1167</v>
      </c>
      <c r="C392" t="s">
        <v>1197</v>
      </c>
      <c r="D392" t="s">
        <v>1186</v>
      </c>
      <c r="E392" t="s">
        <v>1156</v>
      </c>
      <c r="F392" t="s">
        <v>1146</v>
      </c>
    </row>
    <row r="393" spans="1:6" x14ac:dyDescent="0.25">
      <c r="A393">
        <v>2023345</v>
      </c>
      <c r="B393" t="s">
        <v>1167</v>
      </c>
      <c r="C393" t="s">
        <v>1197</v>
      </c>
      <c r="D393" t="s">
        <v>1186</v>
      </c>
      <c r="E393" t="s">
        <v>1156</v>
      </c>
      <c r="F393" t="s">
        <v>1172</v>
      </c>
    </row>
    <row r="394" spans="1:6" x14ac:dyDescent="0.25">
      <c r="A394">
        <v>2023346</v>
      </c>
      <c r="B394" t="s">
        <v>1167</v>
      </c>
      <c r="C394" t="s">
        <v>1197</v>
      </c>
      <c r="D394" t="s">
        <v>1186</v>
      </c>
      <c r="E394" t="s">
        <v>1156</v>
      </c>
      <c r="F394" t="s">
        <v>1150</v>
      </c>
    </row>
    <row r="395" spans="1:6" x14ac:dyDescent="0.25">
      <c r="A395">
        <v>2023347</v>
      </c>
      <c r="B395" t="s">
        <v>1167</v>
      </c>
      <c r="C395" t="s">
        <v>1197</v>
      </c>
      <c r="D395" t="s">
        <v>1186</v>
      </c>
      <c r="E395" t="s">
        <v>1156</v>
      </c>
      <c r="F395" t="s">
        <v>1170</v>
      </c>
    </row>
    <row r="396" spans="1:6" x14ac:dyDescent="0.25">
      <c r="A396">
        <v>2023375</v>
      </c>
      <c r="B396" t="s">
        <v>1167</v>
      </c>
      <c r="C396" t="s">
        <v>1197</v>
      </c>
      <c r="D396" t="s">
        <v>1186</v>
      </c>
      <c r="E396" t="s">
        <v>1141</v>
      </c>
      <c r="F396" t="s">
        <v>1172</v>
      </c>
    </row>
    <row r="397" spans="1:6" x14ac:dyDescent="0.25">
      <c r="A397">
        <v>2023376</v>
      </c>
      <c r="B397" t="s">
        <v>1167</v>
      </c>
      <c r="C397" t="s">
        <v>1197</v>
      </c>
      <c r="D397" t="s">
        <v>1186</v>
      </c>
      <c r="E397" t="s">
        <v>1141</v>
      </c>
      <c r="F397" t="s">
        <v>1150</v>
      </c>
    </row>
    <row r="398" spans="1:6" x14ac:dyDescent="0.25">
      <c r="A398">
        <v>2023377</v>
      </c>
      <c r="B398" t="s">
        <v>1167</v>
      </c>
      <c r="C398" t="s">
        <v>1197</v>
      </c>
      <c r="D398" t="s">
        <v>1186</v>
      </c>
      <c r="E398" t="s">
        <v>1141</v>
      </c>
      <c r="F398" t="s">
        <v>1170</v>
      </c>
    </row>
    <row r="399" spans="1:6" x14ac:dyDescent="0.25">
      <c r="A399">
        <v>2023382</v>
      </c>
      <c r="B399" t="s">
        <v>1167</v>
      </c>
      <c r="C399" t="s">
        <v>1197</v>
      </c>
      <c r="D399" t="s">
        <v>1186</v>
      </c>
      <c r="E399" t="s">
        <v>1163</v>
      </c>
      <c r="F399" t="s">
        <v>1138</v>
      </c>
    </row>
    <row r="400" spans="1:6" x14ac:dyDescent="0.25">
      <c r="A400">
        <v>2023383</v>
      </c>
      <c r="B400" t="s">
        <v>1167</v>
      </c>
      <c r="C400" t="s">
        <v>1197</v>
      </c>
      <c r="D400" t="s">
        <v>1186</v>
      </c>
      <c r="E400" t="s">
        <v>1163</v>
      </c>
      <c r="F400" t="s">
        <v>1146</v>
      </c>
    </row>
    <row r="401" spans="1:6" x14ac:dyDescent="0.25">
      <c r="A401">
        <v>2023384</v>
      </c>
      <c r="B401" t="s">
        <v>1167</v>
      </c>
      <c r="C401" t="s">
        <v>1197</v>
      </c>
      <c r="D401" t="s">
        <v>1186</v>
      </c>
      <c r="E401" t="s">
        <v>1163</v>
      </c>
      <c r="F401" t="s">
        <v>1148</v>
      </c>
    </row>
    <row r="402" spans="1:6" x14ac:dyDescent="0.25">
      <c r="A402">
        <v>2023385</v>
      </c>
      <c r="B402" t="s">
        <v>1167</v>
      </c>
      <c r="C402" t="s">
        <v>1197</v>
      </c>
      <c r="D402" t="s">
        <v>1186</v>
      </c>
      <c r="E402" t="s">
        <v>1163</v>
      </c>
      <c r="F402" t="s">
        <v>1172</v>
      </c>
    </row>
    <row r="403" spans="1:6" x14ac:dyDescent="0.25">
      <c r="A403">
        <v>2023386</v>
      </c>
      <c r="B403" t="s">
        <v>1167</v>
      </c>
      <c r="C403" t="s">
        <v>1197</v>
      </c>
      <c r="D403" t="s">
        <v>1186</v>
      </c>
      <c r="E403" t="s">
        <v>1163</v>
      </c>
      <c r="F403" t="s">
        <v>1150</v>
      </c>
    </row>
    <row r="404" spans="1:6" x14ac:dyDescent="0.25">
      <c r="A404">
        <v>2023387</v>
      </c>
      <c r="B404" t="s">
        <v>1167</v>
      </c>
      <c r="C404" t="s">
        <v>1197</v>
      </c>
      <c r="D404" t="s">
        <v>1186</v>
      </c>
      <c r="E404" t="s">
        <v>1163</v>
      </c>
      <c r="F404" t="s">
        <v>1170</v>
      </c>
    </row>
    <row r="405" spans="1:6" x14ac:dyDescent="0.25">
      <c r="A405">
        <v>2023392</v>
      </c>
      <c r="B405" t="s">
        <v>1167</v>
      </c>
      <c r="C405" t="s">
        <v>1197</v>
      </c>
      <c r="D405" t="s">
        <v>1186</v>
      </c>
      <c r="E405" t="s">
        <v>1164</v>
      </c>
      <c r="F405" t="s">
        <v>1138</v>
      </c>
    </row>
    <row r="406" spans="1:6" x14ac:dyDescent="0.25">
      <c r="A406">
        <v>2023393</v>
      </c>
      <c r="B406" t="s">
        <v>1167</v>
      </c>
      <c r="C406" t="s">
        <v>1197</v>
      </c>
      <c r="D406" t="s">
        <v>1186</v>
      </c>
      <c r="E406" t="s">
        <v>1164</v>
      </c>
      <c r="F406" t="s">
        <v>1146</v>
      </c>
    </row>
    <row r="407" spans="1:6" x14ac:dyDescent="0.25">
      <c r="A407">
        <v>2023394</v>
      </c>
      <c r="B407" t="s">
        <v>1167</v>
      </c>
      <c r="C407" t="s">
        <v>1197</v>
      </c>
      <c r="D407" t="s">
        <v>1186</v>
      </c>
      <c r="E407" t="s">
        <v>1164</v>
      </c>
      <c r="F407" t="s">
        <v>1148</v>
      </c>
    </row>
    <row r="408" spans="1:6" x14ac:dyDescent="0.25">
      <c r="A408">
        <v>2023395</v>
      </c>
      <c r="B408" t="s">
        <v>1167</v>
      </c>
      <c r="C408" t="s">
        <v>1197</v>
      </c>
      <c r="D408" t="s">
        <v>1186</v>
      </c>
      <c r="E408" t="s">
        <v>1164</v>
      </c>
      <c r="F408" t="s">
        <v>1172</v>
      </c>
    </row>
    <row r="409" spans="1:6" x14ac:dyDescent="0.25">
      <c r="A409">
        <v>2023396</v>
      </c>
      <c r="B409" t="s">
        <v>1167</v>
      </c>
      <c r="C409" t="s">
        <v>1197</v>
      </c>
      <c r="D409" t="s">
        <v>1186</v>
      </c>
      <c r="E409" t="s">
        <v>1164</v>
      </c>
      <c r="F409" t="s">
        <v>1150</v>
      </c>
    </row>
    <row r="410" spans="1:6" x14ac:dyDescent="0.25">
      <c r="A410">
        <v>2023397</v>
      </c>
      <c r="B410" t="s">
        <v>1167</v>
      </c>
      <c r="C410" t="s">
        <v>1197</v>
      </c>
      <c r="D410" t="s">
        <v>1186</v>
      </c>
      <c r="E410" t="s">
        <v>1164</v>
      </c>
      <c r="F410" t="s">
        <v>1170</v>
      </c>
    </row>
    <row r="411" spans="1:6" x14ac:dyDescent="0.25">
      <c r="A411">
        <v>2034224</v>
      </c>
      <c r="B411" t="s">
        <v>1167</v>
      </c>
      <c r="C411" t="s">
        <v>1168</v>
      </c>
      <c r="D411" t="s">
        <v>1136</v>
      </c>
      <c r="E411" t="s">
        <v>1189</v>
      </c>
      <c r="F411" t="s">
        <v>1148</v>
      </c>
    </row>
    <row r="412" spans="1:6" x14ac:dyDescent="0.25">
      <c r="A412">
        <v>2034225</v>
      </c>
      <c r="B412" t="s">
        <v>1167</v>
      </c>
      <c r="C412" t="s">
        <v>1168</v>
      </c>
      <c r="D412" t="s">
        <v>1136</v>
      </c>
      <c r="E412" t="s">
        <v>1189</v>
      </c>
      <c r="F412" t="s">
        <v>1172</v>
      </c>
    </row>
    <row r="413" spans="1:6" x14ac:dyDescent="0.25">
      <c r="A413">
        <v>2034234</v>
      </c>
      <c r="B413" t="s">
        <v>1167</v>
      </c>
      <c r="C413" t="s">
        <v>1168</v>
      </c>
      <c r="D413" t="s">
        <v>1136</v>
      </c>
      <c r="E413" t="s">
        <v>1152</v>
      </c>
      <c r="F413" t="s">
        <v>1148</v>
      </c>
    </row>
    <row r="414" spans="1:6" x14ac:dyDescent="0.25">
      <c r="A414">
        <v>2034235</v>
      </c>
      <c r="B414" t="s">
        <v>1167</v>
      </c>
      <c r="C414" t="s">
        <v>1168</v>
      </c>
      <c r="D414" t="s">
        <v>1136</v>
      </c>
      <c r="E414" t="s">
        <v>1152</v>
      </c>
      <c r="F414" t="s">
        <v>1172</v>
      </c>
    </row>
    <row r="415" spans="1:6" x14ac:dyDescent="0.25">
      <c r="A415">
        <v>2034241</v>
      </c>
      <c r="B415" t="s">
        <v>1167</v>
      </c>
      <c r="C415" t="s">
        <v>1168</v>
      </c>
      <c r="D415" t="s">
        <v>1136</v>
      </c>
      <c r="E415" t="s">
        <v>1153</v>
      </c>
      <c r="F415" t="s">
        <v>1142</v>
      </c>
    </row>
    <row r="416" spans="1:6" x14ac:dyDescent="0.25">
      <c r="A416">
        <v>2034242</v>
      </c>
      <c r="B416" t="s">
        <v>1167</v>
      </c>
      <c r="C416" t="s">
        <v>1168</v>
      </c>
      <c r="D416" t="s">
        <v>1136</v>
      </c>
      <c r="E416" t="s">
        <v>1153</v>
      </c>
      <c r="F416" t="s">
        <v>1138</v>
      </c>
    </row>
    <row r="417" spans="1:6" x14ac:dyDescent="0.25">
      <c r="A417">
        <v>2034243</v>
      </c>
      <c r="B417" t="s">
        <v>1167</v>
      </c>
      <c r="C417" t="s">
        <v>1168</v>
      </c>
      <c r="D417" t="s">
        <v>1136</v>
      </c>
      <c r="E417" t="s">
        <v>1153</v>
      </c>
      <c r="F417" t="s">
        <v>1146</v>
      </c>
    </row>
    <row r="418" spans="1:6" x14ac:dyDescent="0.25">
      <c r="A418">
        <v>2034244</v>
      </c>
      <c r="B418" t="s">
        <v>1167</v>
      </c>
      <c r="C418" t="s">
        <v>1168</v>
      </c>
      <c r="D418" t="s">
        <v>1136</v>
      </c>
      <c r="E418" t="s">
        <v>1153</v>
      </c>
      <c r="F418" t="s">
        <v>1148</v>
      </c>
    </row>
    <row r="419" spans="1:6" x14ac:dyDescent="0.25">
      <c r="A419">
        <v>2034411</v>
      </c>
      <c r="B419" t="s">
        <v>1167</v>
      </c>
      <c r="C419" t="s">
        <v>1168</v>
      </c>
      <c r="D419" t="s">
        <v>1136</v>
      </c>
      <c r="E419" t="s">
        <v>1160</v>
      </c>
      <c r="F419" t="s">
        <v>1142</v>
      </c>
    </row>
    <row r="420" spans="1:6" x14ac:dyDescent="0.25">
      <c r="A420">
        <v>2034412</v>
      </c>
      <c r="B420" t="s">
        <v>1167</v>
      </c>
      <c r="C420" t="s">
        <v>1168</v>
      </c>
      <c r="D420" t="s">
        <v>1136</v>
      </c>
      <c r="E420" t="s">
        <v>1160</v>
      </c>
      <c r="F420" t="s">
        <v>1138</v>
      </c>
    </row>
    <row r="421" spans="1:6" x14ac:dyDescent="0.25">
      <c r="A421">
        <v>2034413</v>
      </c>
      <c r="B421" t="s">
        <v>1167</v>
      </c>
      <c r="C421" t="s">
        <v>1168</v>
      </c>
      <c r="D421" t="s">
        <v>1136</v>
      </c>
      <c r="E421" t="s">
        <v>1160</v>
      </c>
      <c r="F421" t="s">
        <v>1146</v>
      </c>
    </row>
    <row r="422" spans="1:6" x14ac:dyDescent="0.25">
      <c r="A422">
        <v>2034414</v>
      </c>
      <c r="B422" t="s">
        <v>1167</v>
      </c>
      <c r="C422" t="s">
        <v>1168</v>
      </c>
      <c r="D422" t="s">
        <v>1136</v>
      </c>
      <c r="E422" t="s">
        <v>1160</v>
      </c>
      <c r="F422" t="s">
        <v>1148</v>
      </c>
    </row>
    <row r="423" spans="1:6" x14ac:dyDescent="0.25">
      <c r="A423">
        <v>2034415</v>
      </c>
      <c r="B423" t="s">
        <v>1167</v>
      </c>
      <c r="C423" t="s">
        <v>1168</v>
      </c>
      <c r="D423" t="s">
        <v>1136</v>
      </c>
      <c r="E423" t="s">
        <v>1160</v>
      </c>
      <c r="F423" t="s">
        <v>1172</v>
      </c>
    </row>
    <row r="424" spans="1:6" x14ac:dyDescent="0.25">
      <c r="A424">
        <v>2034417</v>
      </c>
      <c r="B424" t="s">
        <v>1167</v>
      </c>
      <c r="C424" t="s">
        <v>1168</v>
      </c>
      <c r="D424" t="s">
        <v>1136</v>
      </c>
      <c r="E424" t="s">
        <v>1160</v>
      </c>
      <c r="F424" t="s">
        <v>1170</v>
      </c>
    </row>
    <row r="425" spans="1:6" x14ac:dyDescent="0.25">
      <c r="A425">
        <v>2044121</v>
      </c>
      <c r="B425" t="s">
        <v>1167</v>
      </c>
      <c r="C425" t="s">
        <v>1135</v>
      </c>
      <c r="D425" t="s">
        <v>1136</v>
      </c>
      <c r="E425" t="s">
        <v>1175</v>
      </c>
      <c r="F425" t="s">
        <v>1142</v>
      </c>
    </row>
    <row r="426" spans="1:6" x14ac:dyDescent="0.25">
      <c r="A426">
        <v>2044122</v>
      </c>
      <c r="B426" t="s">
        <v>1167</v>
      </c>
      <c r="C426" t="s">
        <v>1135</v>
      </c>
      <c r="D426" t="s">
        <v>1136</v>
      </c>
      <c r="E426" t="s">
        <v>1175</v>
      </c>
      <c r="F426" t="s">
        <v>1138</v>
      </c>
    </row>
    <row r="427" spans="1:6" x14ac:dyDescent="0.25">
      <c r="A427">
        <v>2044123</v>
      </c>
      <c r="B427" t="s">
        <v>1167</v>
      </c>
      <c r="C427" t="s">
        <v>1135</v>
      </c>
      <c r="D427" t="s">
        <v>1136</v>
      </c>
      <c r="E427" t="s">
        <v>1175</v>
      </c>
      <c r="F427" t="s">
        <v>1146</v>
      </c>
    </row>
    <row r="428" spans="1:6" x14ac:dyDescent="0.25">
      <c r="A428">
        <v>2044124</v>
      </c>
      <c r="B428" t="s">
        <v>1167</v>
      </c>
      <c r="C428" t="s">
        <v>1135</v>
      </c>
      <c r="D428" t="s">
        <v>1136</v>
      </c>
      <c r="E428" t="s">
        <v>1175</v>
      </c>
      <c r="F428" t="s">
        <v>1148</v>
      </c>
    </row>
    <row r="429" spans="1:6" x14ac:dyDescent="0.25">
      <c r="A429">
        <v>2044125</v>
      </c>
      <c r="B429" t="s">
        <v>1167</v>
      </c>
      <c r="C429" t="s">
        <v>1135</v>
      </c>
      <c r="D429" t="s">
        <v>1136</v>
      </c>
      <c r="E429" t="s">
        <v>1175</v>
      </c>
      <c r="F429" t="s">
        <v>1172</v>
      </c>
    </row>
    <row r="430" spans="1:6" x14ac:dyDescent="0.25">
      <c r="A430">
        <v>2044126</v>
      </c>
      <c r="B430" t="s">
        <v>1167</v>
      </c>
      <c r="C430" t="s">
        <v>1135</v>
      </c>
      <c r="D430" t="s">
        <v>1136</v>
      </c>
      <c r="E430" t="s">
        <v>1175</v>
      </c>
      <c r="F430" t="s">
        <v>1150</v>
      </c>
    </row>
    <row r="431" spans="1:6" x14ac:dyDescent="0.25">
      <c r="A431">
        <v>2044127</v>
      </c>
      <c r="B431" t="s">
        <v>1167</v>
      </c>
      <c r="C431" t="s">
        <v>1135</v>
      </c>
      <c r="D431" t="s">
        <v>1136</v>
      </c>
      <c r="E431" t="s">
        <v>1175</v>
      </c>
      <c r="F431" t="s">
        <v>1170</v>
      </c>
    </row>
    <row r="432" spans="1:6" x14ac:dyDescent="0.25">
      <c r="A432">
        <v>2044342</v>
      </c>
      <c r="B432" t="s">
        <v>1167</v>
      </c>
      <c r="C432" t="s">
        <v>1135</v>
      </c>
      <c r="D432" t="s">
        <v>1136</v>
      </c>
      <c r="E432" t="s">
        <v>1156</v>
      </c>
      <c r="F432" t="s">
        <v>1138</v>
      </c>
    </row>
    <row r="433" spans="1:6" x14ac:dyDescent="0.25">
      <c r="A433">
        <v>2044343</v>
      </c>
      <c r="B433" t="s">
        <v>1167</v>
      </c>
      <c r="C433" t="s">
        <v>1135</v>
      </c>
      <c r="D433" t="s">
        <v>1136</v>
      </c>
      <c r="E433" t="s">
        <v>1156</v>
      </c>
      <c r="F433" t="s">
        <v>1146</v>
      </c>
    </row>
    <row r="434" spans="1:6" x14ac:dyDescent="0.25">
      <c r="A434">
        <v>2044344</v>
      </c>
      <c r="B434" t="s">
        <v>1167</v>
      </c>
      <c r="C434" t="s">
        <v>1135</v>
      </c>
      <c r="D434" t="s">
        <v>1136</v>
      </c>
      <c r="E434" t="s">
        <v>1156</v>
      </c>
      <c r="F434" t="s">
        <v>1148</v>
      </c>
    </row>
    <row r="435" spans="1:6" x14ac:dyDescent="0.25">
      <c r="A435">
        <v>2044356</v>
      </c>
      <c r="B435" t="s">
        <v>1167</v>
      </c>
      <c r="C435" t="s">
        <v>1135</v>
      </c>
      <c r="D435" t="s">
        <v>1136</v>
      </c>
      <c r="E435" t="s">
        <v>1157</v>
      </c>
      <c r="F435" t="s">
        <v>1150</v>
      </c>
    </row>
    <row r="436" spans="1:6" x14ac:dyDescent="0.25">
      <c r="A436">
        <v>2044366</v>
      </c>
      <c r="B436" t="s">
        <v>1167</v>
      </c>
      <c r="C436" t="s">
        <v>1135</v>
      </c>
      <c r="D436" t="s">
        <v>1136</v>
      </c>
      <c r="E436" t="s">
        <v>1158</v>
      </c>
      <c r="F436" t="s">
        <v>1150</v>
      </c>
    </row>
    <row r="437" spans="1:6" x14ac:dyDescent="0.25">
      <c r="A437">
        <v>2044401</v>
      </c>
      <c r="B437" t="s">
        <v>1167</v>
      </c>
      <c r="C437" t="s">
        <v>1135</v>
      </c>
      <c r="D437" t="s">
        <v>1136</v>
      </c>
      <c r="E437" t="s">
        <v>1159</v>
      </c>
      <c r="F437" t="s">
        <v>1142</v>
      </c>
    </row>
    <row r="438" spans="1:6" x14ac:dyDescent="0.25">
      <c r="A438">
        <v>2044402</v>
      </c>
      <c r="B438" t="s">
        <v>1167</v>
      </c>
      <c r="C438" t="s">
        <v>1135</v>
      </c>
      <c r="D438" t="s">
        <v>1136</v>
      </c>
      <c r="E438" t="s">
        <v>1159</v>
      </c>
      <c r="F438" t="s">
        <v>1138</v>
      </c>
    </row>
    <row r="439" spans="1:6" x14ac:dyDescent="0.25">
      <c r="A439">
        <v>2044403</v>
      </c>
      <c r="B439" t="s">
        <v>1167</v>
      </c>
      <c r="C439" t="s">
        <v>1135</v>
      </c>
      <c r="D439" t="s">
        <v>1136</v>
      </c>
      <c r="E439" t="s">
        <v>1159</v>
      </c>
      <c r="F439" t="s">
        <v>1146</v>
      </c>
    </row>
    <row r="440" spans="1:6" x14ac:dyDescent="0.25">
      <c r="A440">
        <v>2044404</v>
      </c>
      <c r="B440" t="s">
        <v>1167</v>
      </c>
      <c r="C440" t="s">
        <v>1135</v>
      </c>
      <c r="D440" t="s">
        <v>1136</v>
      </c>
      <c r="E440" t="s">
        <v>1159</v>
      </c>
      <c r="F440" t="s">
        <v>1148</v>
      </c>
    </row>
    <row r="441" spans="1:6" x14ac:dyDescent="0.25">
      <c r="A441">
        <v>2044405</v>
      </c>
      <c r="B441" t="s">
        <v>1167</v>
      </c>
      <c r="C441" t="s">
        <v>1135</v>
      </c>
      <c r="D441" t="s">
        <v>1136</v>
      </c>
      <c r="E441" t="s">
        <v>1159</v>
      </c>
      <c r="F441" t="s">
        <v>1172</v>
      </c>
    </row>
    <row r="442" spans="1:6" x14ac:dyDescent="0.25">
      <c r="A442">
        <v>2044406</v>
      </c>
      <c r="B442" t="s">
        <v>1167</v>
      </c>
      <c r="C442" t="s">
        <v>1135</v>
      </c>
      <c r="D442" t="s">
        <v>1136</v>
      </c>
      <c r="E442" t="s">
        <v>1159</v>
      </c>
      <c r="F442" t="s">
        <v>1150</v>
      </c>
    </row>
    <row r="443" spans="1:6" x14ac:dyDescent="0.25">
      <c r="A443">
        <v>2044407</v>
      </c>
      <c r="B443" t="s">
        <v>1167</v>
      </c>
      <c r="C443" t="s">
        <v>1135</v>
      </c>
      <c r="D443" t="s">
        <v>1136</v>
      </c>
      <c r="E443" t="s">
        <v>1159</v>
      </c>
      <c r="F443" t="s">
        <v>1170</v>
      </c>
    </row>
    <row r="444" spans="1:6" x14ac:dyDescent="0.25">
      <c r="A444">
        <v>2044416</v>
      </c>
      <c r="B444" t="s">
        <v>1167</v>
      </c>
      <c r="C444" t="s">
        <v>1135</v>
      </c>
      <c r="D444" t="s">
        <v>1136</v>
      </c>
      <c r="E444" t="s">
        <v>1160</v>
      </c>
      <c r="F444" t="s">
        <v>1150</v>
      </c>
    </row>
    <row r="445" spans="1:6" x14ac:dyDescent="0.25">
      <c r="A445">
        <v>2044461</v>
      </c>
      <c r="B445" t="s">
        <v>1167</v>
      </c>
      <c r="C445" t="s">
        <v>1135</v>
      </c>
      <c r="D445" t="s">
        <v>1136</v>
      </c>
      <c r="E445" t="s">
        <v>1140</v>
      </c>
      <c r="F445" t="s">
        <v>1142</v>
      </c>
    </row>
    <row r="446" spans="1:6" x14ac:dyDescent="0.25">
      <c r="A446">
        <v>2044462</v>
      </c>
      <c r="B446" t="s">
        <v>1167</v>
      </c>
      <c r="C446" t="s">
        <v>1135</v>
      </c>
      <c r="D446" t="s">
        <v>1136</v>
      </c>
      <c r="E446" t="s">
        <v>1140</v>
      </c>
      <c r="F446" t="s">
        <v>1138</v>
      </c>
    </row>
    <row r="447" spans="1:6" x14ac:dyDescent="0.25">
      <c r="A447">
        <v>2044463</v>
      </c>
      <c r="B447" t="s">
        <v>1167</v>
      </c>
      <c r="C447" t="s">
        <v>1135</v>
      </c>
      <c r="D447" t="s">
        <v>1136</v>
      </c>
      <c r="E447" t="s">
        <v>1140</v>
      </c>
      <c r="F447" t="s">
        <v>1146</v>
      </c>
    </row>
    <row r="448" spans="1:6" x14ac:dyDescent="0.25">
      <c r="A448">
        <v>2044464</v>
      </c>
      <c r="B448" t="s">
        <v>1167</v>
      </c>
      <c r="C448" t="s">
        <v>1135</v>
      </c>
      <c r="D448" t="s">
        <v>1136</v>
      </c>
      <c r="E448" t="s">
        <v>1140</v>
      </c>
      <c r="F448" t="s">
        <v>1148</v>
      </c>
    </row>
    <row r="449" spans="1:6" x14ac:dyDescent="0.25">
      <c r="A449">
        <v>2044465</v>
      </c>
      <c r="B449" t="s">
        <v>1167</v>
      </c>
      <c r="C449" t="s">
        <v>1135</v>
      </c>
      <c r="D449" t="s">
        <v>1136</v>
      </c>
      <c r="E449" t="s">
        <v>1140</v>
      </c>
      <c r="F449" t="s">
        <v>1172</v>
      </c>
    </row>
    <row r="450" spans="1:6" x14ac:dyDescent="0.25">
      <c r="A450">
        <v>2044466</v>
      </c>
      <c r="B450" t="s">
        <v>1167</v>
      </c>
      <c r="C450" t="s">
        <v>1135</v>
      </c>
      <c r="D450" t="s">
        <v>1136</v>
      </c>
      <c r="E450" t="s">
        <v>1140</v>
      </c>
      <c r="F450" t="s">
        <v>1150</v>
      </c>
    </row>
    <row r="451" spans="1:6" x14ac:dyDescent="0.25">
      <c r="A451">
        <v>2044467</v>
      </c>
      <c r="B451" t="s">
        <v>1167</v>
      </c>
      <c r="C451" t="s">
        <v>1135</v>
      </c>
      <c r="D451" t="s">
        <v>1136</v>
      </c>
      <c r="E451" t="s">
        <v>1140</v>
      </c>
      <c r="F451" t="s">
        <v>1170</v>
      </c>
    </row>
    <row r="452" spans="1:6" x14ac:dyDescent="0.25">
      <c r="A452">
        <v>2044495</v>
      </c>
      <c r="B452" t="s">
        <v>1167</v>
      </c>
      <c r="C452" t="s">
        <v>1135</v>
      </c>
      <c r="D452" t="s">
        <v>1136</v>
      </c>
      <c r="E452" t="s">
        <v>1173</v>
      </c>
      <c r="F452" t="s">
        <v>1172</v>
      </c>
    </row>
    <row r="453" spans="1:6" x14ac:dyDescent="0.25">
      <c r="A453">
        <v>2054181</v>
      </c>
      <c r="B453" t="s">
        <v>1167</v>
      </c>
      <c r="C453" t="s">
        <v>1169</v>
      </c>
      <c r="D453" t="s">
        <v>1136</v>
      </c>
      <c r="E453" t="s">
        <v>1190</v>
      </c>
      <c r="F453" t="s">
        <v>1142</v>
      </c>
    </row>
    <row r="454" spans="1:6" x14ac:dyDescent="0.25">
      <c r="A454">
        <v>2054182</v>
      </c>
      <c r="B454" t="s">
        <v>1167</v>
      </c>
      <c r="C454" t="s">
        <v>1169</v>
      </c>
      <c r="D454" t="s">
        <v>1136</v>
      </c>
      <c r="E454" t="s">
        <v>1190</v>
      </c>
      <c r="F454" t="s">
        <v>1138</v>
      </c>
    </row>
    <row r="455" spans="1:6" x14ac:dyDescent="0.25">
      <c r="A455">
        <v>2054183</v>
      </c>
      <c r="B455" t="s">
        <v>1167</v>
      </c>
      <c r="C455" t="s">
        <v>1169</v>
      </c>
      <c r="D455" t="s">
        <v>1136</v>
      </c>
      <c r="E455" t="s">
        <v>1190</v>
      </c>
      <c r="F455" t="s">
        <v>1146</v>
      </c>
    </row>
    <row r="456" spans="1:6" x14ac:dyDescent="0.25">
      <c r="A456">
        <v>2054184</v>
      </c>
      <c r="B456" t="s">
        <v>1167</v>
      </c>
      <c r="C456" t="s">
        <v>1169</v>
      </c>
      <c r="D456" t="s">
        <v>1136</v>
      </c>
      <c r="E456" t="s">
        <v>1190</v>
      </c>
      <c r="F456" t="s">
        <v>1148</v>
      </c>
    </row>
    <row r="457" spans="1:6" x14ac:dyDescent="0.25">
      <c r="A457">
        <v>2054185</v>
      </c>
      <c r="B457" t="s">
        <v>1167</v>
      </c>
      <c r="C457" t="s">
        <v>1169</v>
      </c>
      <c r="D457" t="s">
        <v>1136</v>
      </c>
      <c r="E457" t="s">
        <v>1190</v>
      </c>
      <c r="F457" t="s">
        <v>1172</v>
      </c>
    </row>
    <row r="458" spans="1:6" x14ac:dyDescent="0.25">
      <c r="A458">
        <v>2054186</v>
      </c>
      <c r="B458" t="s">
        <v>1167</v>
      </c>
      <c r="C458" t="s">
        <v>1169</v>
      </c>
      <c r="D458" t="s">
        <v>1136</v>
      </c>
      <c r="E458" t="s">
        <v>1190</v>
      </c>
      <c r="F458" t="s">
        <v>1150</v>
      </c>
    </row>
    <row r="459" spans="1:6" x14ac:dyDescent="0.25">
      <c r="A459">
        <v>2054187</v>
      </c>
      <c r="B459" t="s">
        <v>1167</v>
      </c>
      <c r="C459" t="s">
        <v>1169</v>
      </c>
      <c r="D459" t="s">
        <v>1136</v>
      </c>
      <c r="E459" t="s">
        <v>1190</v>
      </c>
      <c r="F459" t="s">
        <v>1170</v>
      </c>
    </row>
    <row r="460" spans="1:6" x14ac:dyDescent="0.25">
      <c r="A460">
        <v>2054191</v>
      </c>
      <c r="B460" t="s">
        <v>1167</v>
      </c>
      <c r="C460" t="s">
        <v>1169</v>
      </c>
      <c r="D460" t="s">
        <v>1136</v>
      </c>
      <c r="E460" t="s">
        <v>1149</v>
      </c>
      <c r="F460" t="s">
        <v>1142</v>
      </c>
    </row>
    <row r="461" spans="1:6" x14ac:dyDescent="0.25">
      <c r="A461">
        <v>2054192</v>
      </c>
      <c r="B461" t="s">
        <v>1167</v>
      </c>
      <c r="C461" t="s">
        <v>1169</v>
      </c>
      <c r="D461" t="s">
        <v>1136</v>
      </c>
      <c r="E461" t="s">
        <v>1149</v>
      </c>
      <c r="F461" t="s">
        <v>1138</v>
      </c>
    </row>
    <row r="462" spans="1:6" x14ac:dyDescent="0.25">
      <c r="A462">
        <v>2054193</v>
      </c>
      <c r="B462" t="s">
        <v>1167</v>
      </c>
      <c r="C462" t="s">
        <v>1169</v>
      </c>
      <c r="D462" t="s">
        <v>1136</v>
      </c>
      <c r="E462" t="s">
        <v>1149</v>
      </c>
      <c r="F462" t="s">
        <v>1146</v>
      </c>
    </row>
    <row r="463" spans="1:6" x14ac:dyDescent="0.25">
      <c r="A463">
        <v>2054194</v>
      </c>
      <c r="B463" t="s">
        <v>1167</v>
      </c>
      <c r="C463" t="s">
        <v>1169</v>
      </c>
      <c r="D463" t="s">
        <v>1136</v>
      </c>
      <c r="E463" t="s">
        <v>1149</v>
      </c>
      <c r="F463" t="s">
        <v>1148</v>
      </c>
    </row>
    <row r="464" spans="1:6" x14ac:dyDescent="0.25">
      <c r="A464">
        <v>2054195</v>
      </c>
      <c r="B464" t="s">
        <v>1167</v>
      </c>
      <c r="C464" t="s">
        <v>1169</v>
      </c>
      <c r="D464" t="s">
        <v>1136</v>
      </c>
      <c r="E464" t="s">
        <v>1149</v>
      </c>
      <c r="F464" t="s">
        <v>1172</v>
      </c>
    </row>
    <row r="465" spans="1:6" x14ac:dyDescent="0.25">
      <c r="A465">
        <v>2054196</v>
      </c>
      <c r="B465" t="s">
        <v>1167</v>
      </c>
      <c r="C465" t="s">
        <v>1169</v>
      </c>
      <c r="D465" t="s">
        <v>1136</v>
      </c>
      <c r="E465" t="s">
        <v>1149</v>
      </c>
      <c r="F465" t="s">
        <v>1150</v>
      </c>
    </row>
    <row r="466" spans="1:6" x14ac:dyDescent="0.25">
      <c r="A466">
        <v>2054197</v>
      </c>
      <c r="B466" t="s">
        <v>1167</v>
      </c>
      <c r="C466" t="s">
        <v>1169</v>
      </c>
      <c r="D466" t="s">
        <v>1136</v>
      </c>
      <c r="E466" t="s">
        <v>1149</v>
      </c>
      <c r="F466" t="s">
        <v>1170</v>
      </c>
    </row>
    <row r="467" spans="1:6" x14ac:dyDescent="0.25">
      <c r="A467">
        <v>2054281</v>
      </c>
      <c r="B467" t="s">
        <v>1167</v>
      </c>
      <c r="C467" t="s">
        <v>1169</v>
      </c>
      <c r="D467" t="s">
        <v>1136</v>
      </c>
      <c r="E467" t="s">
        <v>1155</v>
      </c>
      <c r="F467" t="s">
        <v>1142</v>
      </c>
    </row>
    <row r="468" spans="1:6" x14ac:dyDescent="0.25">
      <c r="A468">
        <v>2054282</v>
      </c>
      <c r="B468" t="s">
        <v>1167</v>
      </c>
      <c r="C468" t="s">
        <v>1169</v>
      </c>
      <c r="D468" t="s">
        <v>1136</v>
      </c>
      <c r="E468" t="s">
        <v>1155</v>
      </c>
      <c r="F468" t="s">
        <v>1138</v>
      </c>
    </row>
    <row r="469" spans="1:6" x14ac:dyDescent="0.25">
      <c r="A469">
        <v>2054283</v>
      </c>
      <c r="B469" t="s">
        <v>1167</v>
      </c>
      <c r="C469" t="s">
        <v>1169</v>
      </c>
      <c r="D469" t="s">
        <v>1136</v>
      </c>
      <c r="E469" t="s">
        <v>1155</v>
      </c>
      <c r="F469" t="s">
        <v>1146</v>
      </c>
    </row>
    <row r="470" spans="1:6" x14ac:dyDescent="0.25">
      <c r="A470">
        <v>2054284</v>
      </c>
      <c r="B470" t="s">
        <v>1167</v>
      </c>
      <c r="C470" t="s">
        <v>1169</v>
      </c>
      <c r="D470" t="s">
        <v>1136</v>
      </c>
      <c r="E470" t="s">
        <v>1155</v>
      </c>
      <c r="F470" t="s">
        <v>1148</v>
      </c>
    </row>
    <row r="471" spans="1:6" x14ac:dyDescent="0.25">
      <c r="A471">
        <v>2054285</v>
      </c>
      <c r="B471" t="s">
        <v>1167</v>
      </c>
      <c r="C471" t="s">
        <v>1169</v>
      </c>
      <c r="D471" t="s">
        <v>1136</v>
      </c>
      <c r="E471" t="s">
        <v>1155</v>
      </c>
      <c r="F471" t="s">
        <v>1172</v>
      </c>
    </row>
    <row r="472" spans="1:6" x14ac:dyDescent="0.25">
      <c r="A472">
        <v>2054286</v>
      </c>
      <c r="B472" t="s">
        <v>1167</v>
      </c>
      <c r="C472" t="s">
        <v>1169</v>
      </c>
      <c r="D472" t="s">
        <v>1136</v>
      </c>
      <c r="E472" t="s">
        <v>1155</v>
      </c>
      <c r="F472" t="s">
        <v>1150</v>
      </c>
    </row>
    <row r="473" spans="1:6" x14ac:dyDescent="0.25">
      <c r="A473">
        <v>2054287</v>
      </c>
      <c r="B473" t="s">
        <v>1167</v>
      </c>
      <c r="C473" t="s">
        <v>1169</v>
      </c>
      <c r="D473" t="s">
        <v>1136</v>
      </c>
      <c r="E473" t="s">
        <v>1155</v>
      </c>
      <c r="F473" t="s">
        <v>1170</v>
      </c>
    </row>
    <row r="474" spans="1:6" x14ac:dyDescent="0.25">
      <c r="A474">
        <v>2054311</v>
      </c>
      <c r="B474" t="s">
        <v>1167</v>
      </c>
      <c r="C474" t="s">
        <v>1169</v>
      </c>
      <c r="D474" t="s">
        <v>1136</v>
      </c>
      <c r="E474" t="s">
        <v>1137</v>
      </c>
      <c r="F474" t="s">
        <v>1142</v>
      </c>
    </row>
    <row r="475" spans="1:6" x14ac:dyDescent="0.25">
      <c r="A475">
        <v>2054312</v>
      </c>
      <c r="B475" t="s">
        <v>1167</v>
      </c>
      <c r="C475" t="s">
        <v>1169</v>
      </c>
      <c r="D475" t="s">
        <v>1136</v>
      </c>
      <c r="E475" t="s">
        <v>1137</v>
      </c>
      <c r="F475" t="s">
        <v>1138</v>
      </c>
    </row>
    <row r="476" spans="1:6" x14ac:dyDescent="0.25">
      <c r="A476">
        <v>2054313</v>
      </c>
      <c r="B476" t="s">
        <v>1167</v>
      </c>
      <c r="C476" t="s">
        <v>1169</v>
      </c>
      <c r="D476" t="s">
        <v>1136</v>
      </c>
      <c r="E476" t="s">
        <v>1137</v>
      </c>
      <c r="F476" t="s">
        <v>1146</v>
      </c>
    </row>
    <row r="477" spans="1:6" x14ac:dyDescent="0.25">
      <c r="A477">
        <v>2054314</v>
      </c>
      <c r="B477" t="s">
        <v>1167</v>
      </c>
      <c r="C477" t="s">
        <v>1169</v>
      </c>
      <c r="D477" t="s">
        <v>1136</v>
      </c>
      <c r="E477" t="s">
        <v>1137</v>
      </c>
      <c r="F477" t="s">
        <v>1148</v>
      </c>
    </row>
    <row r="478" spans="1:6" x14ac:dyDescent="0.25">
      <c r="A478">
        <v>2054315</v>
      </c>
      <c r="B478" t="s">
        <v>1167</v>
      </c>
      <c r="C478" t="s">
        <v>1169</v>
      </c>
      <c r="D478" t="s">
        <v>1136</v>
      </c>
      <c r="E478" t="s">
        <v>1137</v>
      </c>
      <c r="F478" t="s">
        <v>1172</v>
      </c>
    </row>
    <row r="479" spans="1:6" x14ac:dyDescent="0.25">
      <c r="A479">
        <v>2054316</v>
      </c>
      <c r="B479" t="s">
        <v>1167</v>
      </c>
      <c r="C479" t="s">
        <v>1169</v>
      </c>
      <c r="D479" t="s">
        <v>1136</v>
      </c>
      <c r="E479" t="s">
        <v>1137</v>
      </c>
      <c r="F479" t="s">
        <v>1150</v>
      </c>
    </row>
    <row r="480" spans="1:6" x14ac:dyDescent="0.25">
      <c r="A480">
        <v>2054317</v>
      </c>
      <c r="B480" t="s">
        <v>1167</v>
      </c>
      <c r="C480" t="s">
        <v>1169</v>
      </c>
      <c r="D480" t="s">
        <v>1136</v>
      </c>
      <c r="E480" t="s">
        <v>1137</v>
      </c>
      <c r="F480" t="s">
        <v>1170</v>
      </c>
    </row>
    <row r="481" spans="1:6" x14ac:dyDescent="0.25">
      <c r="A481">
        <v>2054321</v>
      </c>
      <c r="B481" t="s">
        <v>1167</v>
      </c>
      <c r="C481" t="s">
        <v>1169</v>
      </c>
      <c r="D481" t="s">
        <v>1136</v>
      </c>
      <c r="E481" t="s">
        <v>1143</v>
      </c>
      <c r="F481" t="s">
        <v>1142</v>
      </c>
    </row>
    <row r="482" spans="1:6" x14ac:dyDescent="0.25">
      <c r="A482">
        <v>2054322</v>
      </c>
      <c r="B482" t="s">
        <v>1167</v>
      </c>
      <c r="C482" t="s">
        <v>1169</v>
      </c>
      <c r="D482" t="s">
        <v>1136</v>
      </c>
      <c r="E482" t="s">
        <v>1143</v>
      </c>
      <c r="F482" t="s">
        <v>1138</v>
      </c>
    </row>
    <row r="483" spans="1:6" x14ac:dyDescent="0.25">
      <c r="A483">
        <v>2054323</v>
      </c>
      <c r="B483" t="s">
        <v>1167</v>
      </c>
      <c r="C483" t="s">
        <v>1169</v>
      </c>
      <c r="D483" t="s">
        <v>1136</v>
      </c>
      <c r="E483" t="s">
        <v>1143</v>
      </c>
      <c r="F483" t="s">
        <v>1146</v>
      </c>
    </row>
    <row r="484" spans="1:6" x14ac:dyDescent="0.25">
      <c r="A484">
        <v>2054324</v>
      </c>
      <c r="B484" t="s">
        <v>1167</v>
      </c>
      <c r="C484" t="s">
        <v>1169</v>
      </c>
      <c r="D484" t="s">
        <v>1136</v>
      </c>
      <c r="E484" t="s">
        <v>1143</v>
      </c>
      <c r="F484" t="s">
        <v>1148</v>
      </c>
    </row>
    <row r="485" spans="1:6" x14ac:dyDescent="0.25">
      <c r="A485">
        <v>2054325</v>
      </c>
      <c r="B485" t="s">
        <v>1167</v>
      </c>
      <c r="C485" t="s">
        <v>1169</v>
      </c>
      <c r="D485" t="s">
        <v>1136</v>
      </c>
      <c r="E485" t="s">
        <v>1143</v>
      </c>
      <c r="F485" t="s">
        <v>1172</v>
      </c>
    </row>
    <row r="486" spans="1:6" x14ac:dyDescent="0.25">
      <c r="A486">
        <v>2054326</v>
      </c>
      <c r="B486" t="s">
        <v>1167</v>
      </c>
      <c r="C486" t="s">
        <v>1169</v>
      </c>
      <c r="D486" t="s">
        <v>1136</v>
      </c>
      <c r="E486" t="s">
        <v>1143</v>
      </c>
      <c r="F486" t="s">
        <v>1150</v>
      </c>
    </row>
    <row r="487" spans="1:6" x14ac:dyDescent="0.25">
      <c r="A487">
        <v>2054327</v>
      </c>
      <c r="B487" t="s">
        <v>1167</v>
      </c>
      <c r="C487" t="s">
        <v>1169</v>
      </c>
      <c r="D487" t="s">
        <v>1136</v>
      </c>
      <c r="E487" t="s">
        <v>1143</v>
      </c>
      <c r="F487" t="s">
        <v>1170</v>
      </c>
    </row>
    <row r="488" spans="1:6" x14ac:dyDescent="0.25">
      <c r="A488">
        <v>2054371</v>
      </c>
      <c r="B488" t="s">
        <v>1167</v>
      </c>
      <c r="C488" t="s">
        <v>1169</v>
      </c>
      <c r="D488" t="s">
        <v>1136</v>
      </c>
      <c r="E488" t="s">
        <v>1141</v>
      </c>
      <c r="F488" t="s">
        <v>1142</v>
      </c>
    </row>
    <row r="489" spans="1:6" x14ac:dyDescent="0.25">
      <c r="A489">
        <v>2054372</v>
      </c>
      <c r="B489" t="s">
        <v>1167</v>
      </c>
      <c r="C489" t="s">
        <v>1169</v>
      </c>
      <c r="D489" t="s">
        <v>1136</v>
      </c>
      <c r="E489" t="s">
        <v>1141</v>
      </c>
      <c r="F489" t="s">
        <v>1138</v>
      </c>
    </row>
    <row r="490" spans="1:6" x14ac:dyDescent="0.25">
      <c r="A490">
        <v>2054373</v>
      </c>
      <c r="B490" t="s">
        <v>1167</v>
      </c>
      <c r="C490" t="s">
        <v>1169</v>
      </c>
      <c r="D490" t="s">
        <v>1136</v>
      </c>
      <c r="E490" t="s">
        <v>1141</v>
      </c>
      <c r="F490" t="s">
        <v>1146</v>
      </c>
    </row>
    <row r="491" spans="1:6" x14ac:dyDescent="0.25">
      <c r="A491">
        <v>2054374</v>
      </c>
      <c r="B491" t="s">
        <v>1167</v>
      </c>
      <c r="C491" t="s">
        <v>1169</v>
      </c>
      <c r="D491" t="s">
        <v>1136</v>
      </c>
      <c r="E491" t="s">
        <v>1141</v>
      </c>
      <c r="F491" t="s">
        <v>1148</v>
      </c>
    </row>
    <row r="492" spans="1:6" x14ac:dyDescent="0.25">
      <c r="A492">
        <v>2054381</v>
      </c>
      <c r="B492" t="s">
        <v>1167</v>
      </c>
      <c r="C492" t="s">
        <v>1169</v>
      </c>
      <c r="D492" t="s">
        <v>1136</v>
      </c>
      <c r="E492" t="s">
        <v>1163</v>
      </c>
      <c r="F492" t="s">
        <v>1142</v>
      </c>
    </row>
    <row r="493" spans="1:6" x14ac:dyDescent="0.25">
      <c r="A493">
        <v>2054382</v>
      </c>
      <c r="B493" t="s">
        <v>1167</v>
      </c>
      <c r="C493" t="s">
        <v>1169</v>
      </c>
      <c r="D493" t="s">
        <v>1136</v>
      </c>
      <c r="E493" t="s">
        <v>1163</v>
      </c>
      <c r="F493" t="s">
        <v>1138</v>
      </c>
    </row>
    <row r="494" spans="1:6" x14ac:dyDescent="0.25">
      <c r="A494">
        <v>2054391</v>
      </c>
      <c r="B494" t="s">
        <v>1167</v>
      </c>
      <c r="C494" t="s">
        <v>1169</v>
      </c>
      <c r="D494" t="s">
        <v>1136</v>
      </c>
      <c r="E494" t="s">
        <v>1164</v>
      </c>
      <c r="F494" t="s">
        <v>1142</v>
      </c>
    </row>
    <row r="495" spans="1:6" x14ac:dyDescent="0.25">
      <c r="A495">
        <v>2054392</v>
      </c>
      <c r="B495" t="s">
        <v>1167</v>
      </c>
      <c r="C495" t="s">
        <v>1169</v>
      </c>
      <c r="D495" t="s">
        <v>1136</v>
      </c>
      <c r="E495" t="s">
        <v>1164</v>
      </c>
      <c r="F495" t="s">
        <v>1138</v>
      </c>
    </row>
    <row r="496" spans="1:6" x14ac:dyDescent="0.25">
      <c r="A496">
        <v>3000000</v>
      </c>
      <c r="B496" t="s">
        <v>1198</v>
      </c>
      <c r="C496" t="s">
        <v>1199</v>
      </c>
      <c r="D496" t="s">
        <v>1199</v>
      </c>
      <c r="E496" t="s">
        <v>1199</v>
      </c>
      <c r="F496" s="53" t="s">
        <v>1200</v>
      </c>
    </row>
  </sheetData>
  <conditionalFormatting sqref="A1:A1048576">
    <cfRule type="duplicateValues" dxfId="14" priority="1"/>
  </conditionalFormatting>
  <pageMargins left="0.7" right="0.7" top="0.75" bottom="0.75" header="0.3" footer="0.3"/>
  <pageSetup paperSize="9" scale="73" orientation="portrait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:Y44"/>
  <sheetViews>
    <sheetView workbookViewId="0">
      <selection sqref="A1:E1"/>
    </sheetView>
  </sheetViews>
  <sheetFormatPr baseColWidth="10" defaultRowHeight="15" x14ac:dyDescent="0.25"/>
  <cols>
    <col min="1" max="1" width="4.7109375" customWidth="1"/>
    <col min="3" max="3" width="2" customWidth="1"/>
    <col min="4" max="4" width="3.42578125" customWidth="1"/>
    <col min="6" max="6" width="2.85546875" customWidth="1"/>
    <col min="7" max="7" width="13.7109375" bestFit="1" customWidth="1"/>
    <col min="8" max="8" width="3.140625" customWidth="1"/>
    <col min="9" max="9" width="21.7109375" bestFit="1" customWidth="1"/>
    <col min="10" max="10" width="2.7109375" customWidth="1"/>
    <col min="11" max="11" width="27.7109375" bestFit="1" customWidth="1"/>
    <col min="12" max="12" width="2.5703125" customWidth="1"/>
    <col min="13" max="13" width="26.140625" bestFit="1" customWidth="1"/>
    <col min="23" max="23" width="21" bestFit="1" customWidth="1"/>
    <col min="25" max="25" width="26.140625" bestFit="1" customWidth="1"/>
  </cols>
  <sheetData>
    <row r="1" spans="1:25" ht="23.25" customHeight="1" x14ac:dyDescent="0.35">
      <c r="A1" s="83" t="s">
        <v>1201</v>
      </c>
      <c r="B1" s="74"/>
      <c r="C1" s="74"/>
      <c r="D1" s="74"/>
      <c r="E1" s="74"/>
    </row>
    <row r="5" spans="1:25" x14ac:dyDescent="0.25">
      <c r="A5" s="1"/>
      <c r="B5" s="2" t="s">
        <v>1202</v>
      </c>
      <c r="D5" s="2"/>
      <c r="E5" s="2" t="s">
        <v>1203</v>
      </c>
      <c r="G5" s="2" t="s">
        <v>13</v>
      </c>
      <c r="I5" s="2" t="s">
        <v>14</v>
      </c>
      <c r="K5" s="2" t="s">
        <v>1204</v>
      </c>
      <c r="M5" s="2" t="s">
        <v>19</v>
      </c>
      <c r="P5" s="81" t="s">
        <v>13</v>
      </c>
      <c r="Q5" s="82"/>
      <c r="R5" s="81" t="s">
        <v>14</v>
      </c>
      <c r="S5" s="82"/>
      <c r="T5" s="81" t="s">
        <v>15</v>
      </c>
      <c r="U5" s="82"/>
      <c r="V5" s="81" t="s">
        <v>16</v>
      </c>
      <c r="W5" s="82"/>
      <c r="X5" s="81" t="s">
        <v>1205</v>
      </c>
      <c r="Y5" s="82"/>
    </row>
    <row r="6" spans="1:25" x14ac:dyDescent="0.25">
      <c r="A6" s="3">
        <v>1</v>
      </c>
      <c r="B6" s="4">
        <v>46023</v>
      </c>
      <c r="D6" s="3">
        <v>1</v>
      </c>
      <c r="E6" s="4" t="s">
        <v>1144</v>
      </c>
      <c r="G6" s="4" t="s">
        <v>1134</v>
      </c>
      <c r="I6" s="4" t="s">
        <v>1174</v>
      </c>
      <c r="K6" s="4" t="s">
        <v>1186</v>
      </c>
      <c r="M6" s="4" t="s">
        <v>1142</v>
      </c>
      <c r="P6" s="44">
        <v>10</v>
      </c>
      <c r="Q6" s="45" t="s">
        <v>6</v>
      </c>
      <c r="R6" s="44">
        <v>1</v>
      </c>
      <c r="S6" s="44" t="s">
        <v>1174</v>
      </c>
      <c r="T6" s="44">
        <v>1</v>
      </c>
      <c r="U6" s="45" t="s">
        <v>1178</v>
      </c>
      <c r="V6" s="44">
        <v>10</v>
      </c>
      <c r="W6" s="44" t="s">
        <v>1183</v>
      </c>
      <c r="X6" s="44">
        <v>1</v>
      </c>
      <c r="Y6" s="44" t="s">
        <v>1142</v>
      </c>
    </row>
    <row r="7" spans="1:25" x14ac:dyDescent="0.25">
      <c r="A7" s="3">
        <v>2</v>
      </c>
      <c r="B7" s="4">
        <v>46054</v>
      </c>
      <c r="D7" s="3">
        <v>2</v>
      </c>
      <c r="E7" s="4" t="s">
        <v>1161</v>
      </c>
      <c r="G7" s="4" t="s">
        <v>1167</v>
      </c>
      <c r="I7" s="4" t="s">
        <v>1197</v>
      </c>
      <c r="K7" s="4" t="s">
        <v>1136</v>
      </c>
      <c r="M7" s="4" t="s">
        <v>1138</v>
      </c>
      <c r="P7" s="44">
        <v>20</v>
      </c>
      <c r="Q7" s="45" t="s">
        <v>7</v>
      </c>
      <c r="R7" s="44">
        <v>2</v>
      </c>
      <c r="S7" s="44" t="s">
        <v>1197</v>
      </c>
      <c r="T7" s="44">
        <v>2</v>
      </c>
      <c r="U7" s="45" t="s">
        <v>1182</v>
      </c>
      <c r="V7" s="44">
        <v>11</v>
      </c>
      <c r="W7" s="44" t="s">
        <v>1184</v>
      </c>
      <c r="X7" s="44">
        <v>2</v>
      </c>
      <c r="Y7" s="44" t="s">
        <v>1138</v>
      </c>
    </row>
    <row r="8" spans="1:25" x14ac:dyDescent="0.25">
      <c r="A8" s="3">
        <v>3</v>
      </c>
      <c r="B8" s="4">
        <v>46082</v>
      </c>
      <c r="D8" s="3">
        <v>3</v>
      </c>
      <c r="E8" s="4" t="s">
        <v>1166</v>
      </c>
      <c r="G8" s="4" t="s">
        <v>1198</v>
      </c>
      <c r="I8" s="4" t="s">
        <v>1206</v>
      </c>
      <c r="K8" s="4" t="s">
        <v>1178</v>
      </c>
      <c r="M8" s="4" t="s">
        <v>1146</v>
      </c>
      <c r="P8" s="44">
        <v>3000000</v>
      </c>
      <c r="Q8" s="45" t="s">
        <v>2</v>
      </c>
      <c r="R8" s="44">
        <v>3</v>
      </c>
      <c r="S8" s="44" t="s">
        <v>1168</v>
      </c>
      <c r="T8" s="44">
        <v>3</v>
      </c>
      <c r="U8" s="45" t="s">
        <v>1186</v>
      </c>
      <c r="V8" s="44">
        <v>12</v>
      </c>
      <c r="W8" s="44" t="s">
        <v>1175</v>
      </c>
      <c r="X8" s="44">
        <v>3</v>
      </c>
      <c r="Y8" s="44" t="s">
        <v>1146</v>
      </c>
    </row>
    <row r="9" spans="1:25" x14ac:dyDescent="0.25">
      <c r="A9" s="3">
        <v>4</v>
      </c>
      <c r="B9" s="4">
        <v>46113</v>
      </c>
      <c r="D9" s="3">
        <v>4</v>
      </c>
      <c r="E9" s="4" t="s">
        <v>1171</v>
      </c>
      <c r="I9" s="4" t="s">
        <v>1193</v>
      </c>
      <c r="K9" s="4" t="s">
        <v>1182</v>
      </c>
      <c r="M9" s="4" t="s">
        <v>1148</v>
      </c>
      <c r="R9" s="44">
        <v>4</v>
      </c>
      <c r="S9" s="44" t="s">
        <v>1135</v>
      </c>
      <c r="T9" s="44">
        <v>4</v>
      </c>
      <c r="U9" s="45" t="s">
        <v>1136</v>
      </c>
      <c r="V9" s="44">
        <v>13</v>
      </c>
      <c r="W9" s="44" t="s">
        <v>1179</v>
      </c>
      <c r="X9" s="44">
        <v>4</v>
      </c>
      <c r="Y9" s="44" t="s">
        <v>1148</v>
      </c>
    </row>
    <row r="10" spans="1:25" x14ac:dyDescent="0.25">
      <c r="A10" s="3">
        <v>5</v>
      </c>
      <c r="B10" s="4">
        <v>46143</v>
      </c>
      <c r="D10" s="3">
        <v>5</v>
      </c>
      <c r="E10" s="4" t="s">
        <v>1133</v>
      </c>
      <c r="I10" s="4" t="s">
        <v>1207</v>
      </c>
      <c r="K10" s="4" t="s">
        <v>1208</v>
      </c>
      <c r="M10" s="4" t="s">
        <v>1172</v>
      </c>
      <c r="R10" s="44">
        <v>5</v>
      </c>
      <c r="S10" s="44" t="s">
        <v>1169</v>
      </c>
      <c r="T10" s="44">
        <v>5</v>
      </c>
      <c r="U10" s="45" t="s">
        <v>1193</v>
      </c>
      <c r="V10" s="44">
        <v>14</v>
      </c>
      <c r="W10" s="44" t="s">
        <v>1187</v>
      </c>
      <c r="X10" s="44">
        <v>5</v>
      </c>
      <c r="Y10" s="44" t="s">
        <v>1172</v>
      </c>
    </row>
    <row r="11" spans="1:25" x14ac:dyDescent="0.25">
      <c r="A11" s="3">
        <v>6</v>
      </c>
      <c r="B11" s="4">
        <v>46174</v>
      </c>
      <c r="D11" s="3">
        <v>6</v>
      </c>
      <c r="E11" s="4" t="s">
        <v>1209</v>
      </c>
      <c r="I11" s="4" t="s">
        <v>1168</v>
      </c>
      <c r="K11" s="5" t="s">
        <v>1210</v>
      </c>
      <c r="M11" s="4" t="s">
        <v>1150</v>
      </c>
      <c r="V11" s="44">
        <v>15</v>
      </c>
      <c r="W11" s="44" t="s">
        <v>1188</v>
      </c>
      <c r="X11" s="44">
        <v>6</v>
      </c>
      <c r="Y11" s="44" t="s">
        <v>1150</v>
      </c>
    </row>
    <row r="12" spans="1:25" x14ac:dyDescent="0.25">
      <c r="A12" s="3">
        <v>7</v>
      </c>
      <c r="B12" s="4">
        <v>46204</v>
      </c>
      <c r="D12" s="3">
        <v>7</v>
      </c>
      <c r="E12" s="4" t="s">
        <v>1211</v>
      </c>
      <c r="I12" s="4" t="s">
        <v>1135</v>
      </c>
      <c r="M12" s="4" t="s">
        <v>1170</v>
      </c>
      <c r="V12" s="44">
        <v>16</v>
      </c>
      <c r="W12" s="44" t="s">
        <v>1162</v>
      </c>
      <c r="X12" s="44">
        <v>7</v>
      </c>
      <c r="Y12" s="44" t="s">
        <v>1170</v>
      </c>
    </row>
    <row r="13" spans="1:25" x14ac:dyDescent="0.25">
      <c r="A13" s="3">
        <v>8</v>
      </c>
      <c r="B13" s="4">
        <v>46235</v>
      </c>
      <c r="I13" s="4" t="s">
        <v>1169</v>
      </c>
      <c r="V13" s="44">
        <v>17</v>
      </c>
      <c r="W13" s="44" t="s">
        <v>1147</v>
      </c>
    </row>
    <row r="14" spans="1:25" x14ac:dyDescent="0.25">
      <c r="A14" s="3">
        <v>9</v>
      </c>
      <c r="B14" s="4">
        <v>46266</v>
      </c>
      <c r="K14" s="2" t="s">
        <v>1212</v>
      </c>
      <c r="V14" s="44">
        <v>18</v>
      </c>
      <c r="W14" s="44" t="s">
        <v>1190</v>
      </c>
    </row>
    <row r="15" spans="1:25" x14ac:dyDescent="0.25">
      <c r="A15" s="3">
        <v>10</v>
      </c>
      <c r="B15" s="4">
        <v>46296</v>
      </c>
      <c r="K15" s="4" t="s">
        <v>1135</v>
      </c>
      <c r="V15" s="44">
        <v>19</v>
      </c>
      <c r="W15" s="44" t="s">
        <v>1149</v>
      </c>
    </row>
    <row r="16" spans="1:25" x14ac:dyDescent="0.25">
      <c r="A16" s="3">
        <v>11</v>
      </c>
      <c r="B16" s="4">
        <v>46327</v>
      </c>
      <c r="K16" s="4"/>
      <c r="V16" s="44">
        <v>20</v>
      </c>
      <c r="W16" s="44" t="s">
        <v>1139</v>
      </c>
    </row>
    <row r="17" spans="1:23" x14ac:dyDescent="0.25">
      <c r="A17" s="3">
        <v>12</v>
      </c>
      <c r="B17" s="4">
        <v>46357</v>
      </c>
      <c r="K17" s="4"/>
      <c r="V17" s="44">
        <v>21</v>
      </c>
      <c r="W17" s="44" t="s">
        <v>1151</v>
      </c>
    </row>
    <row r="18" spans="1:23" x14ac:dyDescent="0.25">
      <c r="K18" s="4"/>
      <c r="V18" s="44">
        <v>22</v>
      </c>
      <c r="W18" s="44" t="s">
        <v>1213</v>
      </c>
    </row>
    <row r="19" spans="1:23" x14ac:dyDescent="0.25">
      <c r="K19" s="4"/>
      <c r="V19" s="44">
        <v>23</v>
      </c>
      <c r="W19" s="44" t="s">
        <v>1152</v>
      </c>
    </row>
    <row r="20" spans="1:23" x14ac:dyDescent="0.25">
      <c r="V20" s="44">
        <v>24</v>
      </c>
      <c r="W20" s="44" t="s">
        <v>1153</v>
      </c>
    </row>
    <row r="21" spans="1:23" x14ac:dyDescent="0.25">
      <c r="V21" s="44">
        <v>25</v>
      </c>
      <c r="W21" s="44" t="s">
        <v>1173</v>
      </c>
    </row>
    <row r="22" spans="1:23" x14ac:dyDescent="0.25">
      <c r="V22" s="44">
        <v>26</v>
      </c>
      <c r="W22" s="44" t="s">
        <v>1145</v>
      </c>
    </row>
    <row r="23" spans="1:23" x14ac:dyDescent="0.25">
      <c r="V23" s="44">
        <v>27</v>
      </c>
      <c r="W23" s="44" t="s">
        <v>1154</v>
      </c>
    </row>
    <row r="24" spans="1:23" x14ac:dyDescent="0.25">
      <c r="V24" s="44">
        <v>28</v>
      </c>
      <c r="W24" s="44" t="s">
        <v>1155</v>
      </c>
    </row>
    <row r="25" spans="1:23" x14ac:dyDescent="0.25">
      <c r="V25" s="44">
        <v>29</v>
      </c>
      <c r="W25" s="44" t="s">
        <v>1214</v>
      </c>
    </row>
    <row r="26" spans="1:23" x14ac:dyDescent="0.25">
      <c r="V26" s="44">
        <v>30</v>
      </c>
      <c r="W26" s="44" t="s">
        <v>1215</v>
      </c>
    </row>
    <row r="27" spans="1:23" x14ac:dyDescent="0.25">
      <c r="V27" s="44">
        <v>31</v>
      </c>
      <c r="W27" s="44" t="s">
        <v>1137</v>
      </c>
    </row>
    <row r="28" spans="1:23" x14ac:dyDescent="0.25">
      <c r="V28" s="44">
        <v>32</v>
      </c>
      <c r="W28" s="44" t="s">
        <v>1143</v>
      </c>
    </row>
    <row r="29" spans="1:23" x14ac:dyDescent="0.25">
      <c r="V29" s="44">
        <v>33</v>
      </c>
      <c r="W29" s="44" t="s">
        <v>1185</v>
      </c>
    </row>
    <row r="30" spans="1:23" x14ac:dyDescent="0.25">
      <c r="V30" s="44">
        <v>34</v>
      </c>
      <c r="W30" s="44" t="s">
        <v>1156</v>
      </c>
    </row>
    <row r="31" spans="1:23" x14ac:dyDescent="0.25">
      <c r="V31" s="44">
        <v>35</v>
      </c>
      <c r="W31" s="44" t="s">
        <v>1157</v>
      </c>
    </row>
    <row r="32" spans="1:23" x14ac:dyDescent="0.25">
      <c r="V32" s="44">
        <v>36</v>
      </c>
      <c r="W32" s="44" t="s">
        <v>1158</v>
      </c>
    </row>
    <row r="33" spans="22:23" x14ac:dyDescent="0.25">
      <c r="V33" s="44">
        <v>37</v>
      </c>
      <c r="W33" s="44" t="s">
        <v>1141</v>
      </c>
    </row>
    <row r="34" spans="22:23" x14ac:dyDescent="0.25">
      <c r="V34" s="44">
        <v>38</v>
      </c>
      <c r="W34" s="44" t="s">
        <v>1163</v>
      </c>
    </row>
    <row r="35" spans="22:23" x14ac:dyDescent="0.25">
      <c r="V35" s="44">
        <v>39</v>
      </c>
      <c r="W35" s="44" t="s">
        <v>1164</v>
      </c>
    </row>
    <row r="36" spans="22:23" x14ac:dyDescent="0.25">
      <c r="V36" s="44">
        <v>40</v>
      </c>
      <c r="W36" s="44" t="s">
        <v>1159</v>
      </c>
    </row>
    <row r="37" spans="22:23" x14ac:dyDescent="0.25">
      <c r="V37" s="44">
        <v>41</v>
      </c>
      <c r="W37" s="44" t="s">
        <v>1160</v>
      </c>
    </row>
    <row r="38" spans="22:23" x14ac:dyDescent="0.25">
      <c r="V38" s="44">
        <v>42</v>
      </c>
      <c r="W38" s="44" t="s">
        <v>1165</v>
      </c>
    </row>
    <row r="39" spans="22:23" x14ac:dyDescent="0.25">
      <c r="V39" s="44">
        <v>43</v>
      </c>
      <c r="W39" s="44" t="s">
        <v>1180</v>
      </c>
    </row>
    <row r="40" spans="22:23" x14ac:dyDescent="0.25">
      <c r="V40" s="44">
        <v>44</v>
      </c>
      <c r="W40" s="44" t="s">
        <v>1181</v>
      </c>
    </row>
    <row r="41" spans="22:23" x14ac:dyDescent="0.25">
      <c r="V41" s="44">
        <v>45</v>
      </c>
      <c r="W41" s="44" t="s">
        <v>1195</v>
      </c>
    </row>
    <row r="42" spans="22:23" x14ac:dyDescent="0.25">
      <c r="V42" s="44">
        <v>46</v>
      </c>
      <c r="W42" s="44" t="s">
        <v>1140</v>
      </c>
    </row>
    <row r="43" spans="22:23" x14ac:dyDescent="0.25">
      <c r="V43" s="44">
        <v>47</v>
      </c>
      <c r="W43" s="44" t="s">
        <v>1196</v>
      </c>
    </row>
    <row r="44" spans="22:23" x14ac:dyDescent="0.25">
      <c r="V44" s="44">
        <v>48</v>
      </c>
      <c r="W44" s="44" t="s">
        <v>1194</v>
      </c>
    </row>
  </sheetData>
  <mergeCells count="6">
    <mergeCell ref="T5:U5"/>
    <mergeCell ref="X5:Y5"/>
    <mergeCell ref="V5:W5"/>
    <mergeCell ref="A1:E1"/>
    <mergeCell ref="P5:Q5"/>
    <mergeCell ref="R5:S5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3:N64"/>
  <sheetViews>
    <sheetView topLeftCell="A31" workbookViewId="0">
      <selection activeCell="A43" sqref="A43:A64"/>
    </sheetView>
  </sheetViews>
  <sheetFormatPr baseColWidth="10" defaultRowHeight="15" x14ac:dyDescent="0.25"/>
  <cols>
    <col min="1" max="1" width="22.5703125" bestFit="1" customWidth="1"/>
    <col min="3" max="3" width="32.7109375" bestFit="1" customWidth="1"/>
    <col min="5" max="5" width="24.140625" bestFit="1" customWidth="1"/>
    <col min="7" max="7" width="23.140625" bestFit="1" customWidth="1"/>
    <col min="10" max="10" width="23.28515625" bestFit="1" customWidth="1"/>
    <col min="14" max="14" width="13.7109375" bestFit="1" customWidth="1"/>
  </cols>
  <sheetData>
    <row r="3" spans="1:14" x14ac:dyDescent="0.25">
      <c r="A3" t="s">
        <v>1216</v>
      </c>
      <c r="C3" t="s">
        <v>1217</v>
      </c>
      <c r="E3" t="s">
        <v>1218</v>
      </c>
      <c r="G3" t="s">
        <v>1219</v>
      </c>
      <c r="J3" t="s">
        <v>1220</v>
      </c>
      <c r="N3" t="s">
        <v>1221</v>
      </c>
    </row>
    <row r="4" spans="1:14" x14ac:dyDescent="0.25">
      <c r="A4">
        <v>1043154</v>
      </c>
      <c r="C4">
        <v>1045474</v>
      </c>
      <c r="E4">
        <v>1041134</v>
      </c>
      <c r="G4">
        <v>1043153</v>
      </c>
      <c r="J4">
        <v>1043151</v>
      </c>
      <c r="N4">
        <v>1043155</v>
      </c>
    </row>
    <row r="5" spans="1:14" x14ac:dyDescent="0.25">
      <c r="A5">
        <v>1043394</v>
      </c>
      <c r="C5">
        <v>1044486</v>
      </c>
      <c r="E5">
        <v>1041444</v>
      </c>
      <c r="G5">
        <v>1043223</v>
      </c>
      <c r="J5">
        <v>1043221</v>
      </c>
      <c r="N5">
        <v>1043175</v>
      </c>
    </row>
    <row r="6" spans="1:14" x14ac:dyDescent="0.25">
      <c r="A6">
        <v>1044174</v>
      </c>
      <c r="C6">
        <v>1045474</v>
      </c>
      <c r="E6">
        <v>1043144</v>
      </c>
      <c r="G6">
        <v>1043233</v>
      </c>
      <c r="J6">
        <v>1043231</v>
      </c>
      <c r="N6">
        <v>1043245</v>
      </c>
    </row>
    <row r="7" spans="1:14" x14ac:dyDescent="0.25">
      <c r="A7">
        <v>1044196</v>
      </c>
      <c r="C7">
        <v>1044126</v>
      </c>
      <c r="G7">
        <v>1043383</v>
      </c>
      <c r="J7">
        <v>1043341</v>
      </c>
      <c r="N7">
        <v>1043375</v>
      </c>
    </row>
    <row r="8" spans="1:14" x14ac:dyDescent="0.25">
      <c r="A8">
        <v>1044214</v>
      </c>
      <c r="C8">
        <v>1043156</v>
      </c>
      <c r="G8">
        <v>1043393</v>
      </c>
      <c r="J8">
        <v>1044161</v>
      </c>
      <c r="N8">
        <v>1043385</v>
      </c>
    </row>
    <row r="9" spans="1:14" x14ac:dyDescent="0.25">
      <c r="A9">
        <v>1044234</v>
      </c>
      <c r="C9">
        <v>1043176</v>
      </c>
      <c r="G9">
        <v>1044163</v>
      </c>
      <c r="J9">
        <v>1044171</v>
      </c>
      <c r="N9">
        <v>1044165</v>
      </c>
    </row>
    <row r="10" spans="1:14" x14ac:dyDescent="0.25">
      <c r="A10">
        <v>1044244</v>
      </c>
      <c r="C10">
        <v>1043226</v>
      </c>
      <c r="G10">
        <v>1044173</v>
      </c>
      <c r="J10">
        <v>1044201</v>
      </c>
      <c r="N10">
        <v>1044235</v>
      </c>
    </row>
    <row r="11" spans="1:14" x14ac:dyDescent="0.25">
      <c r="A11">
        <v>1044264</v>
      </c>
      <c r="C11">
        <v>1044246</v>
      </c>
      <c r="G11">
        <v>1044243</v>
      </c>
      <c r="J11">
        <v>1044211</v>
      </c>
      <c r="N11">
        <v>1044495</v>
      </c>
    </row>
    <row r="12" spans="1:14" x14ac:dyDescent="0.25">
      <c r="A12">
        <v>1044266</v>
      </c>
      <c r="C12">
        <v>1044276</v>
      </c>
      <c r="G12">
        <v>1044263</v>
      </c>
      <c r="J12">
        <v>1044241</v>
      </c>
      <c r="N12">
        <v>1044275</v>
      </c>
    </row>
    <row r="13" spans="1:14" x14ac:dyDescent="0.25">
      <c r="A13">
        <v>1044264</v>
      </c>
      <c r="C13">
        <v>1044356</v>
      </c>
      <c r="G13">
        <v>1044463</v>
      </c>
      <c r="J13">
        <v>1044261</v>
      </c>
      <c r="N13">
        <v>1044285</v>
      </c>
    </row>
    <row r="14" spans="1:14" x14ac:dyDescent="0.25">
      <c r="A14">
        <v>1044274</v>
      </c>
      <c r="C14">
        <v>1044366</v>
      </c>
      <c r="G14">
        <v>1044353</v>
      </c>
      <c r="J14">
        <v>1044271</v>
      </c>
      <c r="N14">
        <v>1044465</v>
      </c>
    </row>
    <row r="15" spans="1:14" x14ac:dyDescent="0.25">
      <c r="A15">
        <v>1044284</v>
      </c>
      <c r="C15">
        <v>1043376</v>
      </c>
      <c r="G15">
        <v>1044363</v>
      </c>
      <c r="J15">
        <v>1044281</v>
      </c>
      <c r="N15">
        <v>1044405</v>
      </c>
    </row>
    <row r="16" spans="1:14" x14ac:dyDescent="0.25">
      <c r="A16">
        <v>1044286</v>
      </c>
      <c r="C16">
        <v>1043386</v>
      </c>
      <c r="G16">
        <v>1044403</v>
      </c>
      <c r="J16">
        <v>1044461</v>
      </c>
      <c r="N16">
        <v>1044425</v>
      </c>
    </row>
    <row r="17" spans="1:10" x14ac:dyDescent="0.25">
      <c r="A17">
        <v>1044464</v>
      </c>
      <c r="C17">
        <v>1044416</v>
      </c>
      <c r="G17">
        <v>1044413</v>
      </c>
      <c r="J17">
        <v>1044311</v>
      </c>
    </row>
    <row r="18" spans="1:10" x14ac:dyDescent="0.25">
      <c r="A18">
        <v>1044324</v>
      </c>
      <c r="J18">
        <v>1044321</v>
      </c>
    </row>
    <row r="19" spans="1:10" x14ac:dyDescent="0.25">
      <c r="A19">
        <v>1044326</v>
      </c>
      <c r="G19" t="s">
        <v>1222</v>
      </c>
      <c r="J19">
        <v>1044351</v>
      </c>
    </row>
    <row r="20" spans="1:10" x14ac:dyDescent="0.25">
      <c r="A20">
        <v>1044344</v>
      </c>
      <c r="G20">
        <v>1041133</v>
      </c>
      <c r="J20">
        <v>1044361</v>
      </c>
    </row>
    <row r="21" spans="1:10" x14ac:dyDescent="0.25">
      <c r="A21">
        <v>1044354</v>
      </c>
      <c r="G21">
        <v>1041443</v>
      </c>
      <c r="J21">
        <v>1044371</v>
      </c>
    </row>
    <row r="22" spans="1:10" x14ac:dyDescent="0.25">
      <c r="A22">
        <v>1044356</v>
      </c>
      <c r="G22">
        <v>1043143</v>
      </c>
      <c r="J22">
        <v>1044381</v>
      </c>
    </row>
    <row r="23" spans="1:10" x14ac:dyDescent="0.25">
      <c r="A23">
        <v>1044364</v>
      </c>
      <c r="J23">
        <v>1044391</v>
      </c>
    </row>
    <row r="24" spans="1:10" x14ac:dyDescent="0.25">
      <c r="A24">
        <v>1044374</v>
      </c>
      <c r="J24">
        <v>1044401</v>
      </c>
    </row>
    <row r="25" spans="1:10" x14ac:dyDescent="0.25">
      <c r="A25">
        <v>1044404</v>
      </c>
      <c r="J25">
        <v>1044411</v>
      </c>
    </row>
    <row r="26" spans="1:10" x14ac:dyDescent="0.25">
      <c r="A26">
        <v>1044406</v>
      </c>
      <c r="J26">
        <v>1044421</v>
      </c>
    </row>
    <row r="27" spans="1:10" x14ac:dyDescent="0.25">
      <c r="A27">
        <v>1044404</v>
      </c>
    </row>
    <row r="28" spans="1:10" x14ac:dyDescent="0.25">
      <c r="A28">
        <v>1044414</v>
      </c>
      <c r="J28" t="s">
        <v>1223</v>
      </c>
    </row>
    <row r="29" spans="1:10" x14ac:dyDescent="0.25">
      <c r="J29">
        <v>1043141</v>
      </c>
    </row>
    <row r="30" spans="1:10" x14ac:dyDescent="0.25">
      <c r="A30" t="s">
        <v>1224</v>
      </c>
      <c r="C30" t="s">
        <v>1225</v>
      </c>
      <c r="J30">
        <v>1041131</v>
      </c>
    </row>
    <row r="31" spans="1:10" x14ac:dyDescent="0.25">
      <c r="A31">
        <v>1043142</v>
      </c>
      <c r="C31">
        <v>1044312</v>
      </c>
      <c r="J31">
        <v>1041441</v>
      </c>
    </row>
    <row r="32" spans="1:10" x14ac:dyDescent="0.25">
      <c r="A32">
        <v>1045452</v>
      </c>
      <c r="C32">
        <v>1044202</v>
      </c>
    </row>
    <row r="33" spans="1:3" x14ac:dyDescent="0.25">
      <c r="A33">
        <v>1043152</v>
      </c>
      <c r="C33">
        <v>1044462</v>
      </c>
    </row>
    <row r="34" spans="1:3" x14ac:dyDescent="0.25">
      <c r="A34">
        <v>1043222</v>
      </c>
    </row>
    <row r="35" spans="1:3" x14ac:dyDescent="0.25">
      <c r="A35">
        <v>1043242</v>
      </c>
      <c r="C35" t="s">
        <v>1226</v>
      </c>
    </row>
    <row r="36" spans="1:3" x14ac:dyDescent="0.25">
      <c r="A36">
        <v>1043382</v>
      </c>
      <c r="C36">
        <v>1044212</v>
      </c>
    </row>
    <row r="37" spans="1:3" x14ac:dyDescent="0.25">
      <c r="A37">
        <v>1043172</v>
      </c>
      <c r="C37">
        <v>1044462</v>
      </c>
    </row>
    <row r="38" spans="1:3" x14ac:dyDescent="0.25">
      <c r="A38">
        <v>1044482</v>
      </c>
      <c r="C38">
        <v>1044322</v>
      </c>
    </row>
    <row r="39" spans="1:3" x14ac:dyDescent="0.25">
      <c r="C39">
        <v>1044162</v>
      </c>
    </row>
    <row r="40" spans="1:3" x14ac:dyDescent="0.25">
      <c r="C40">
        <v>1044262</v>
      </c>
    </row>
    <row r="41" spans="1:3" x14ac:dyDescent="0.25">
      <c r="C41">
        <v>1044272</v>
      </c>
    </row>
    <row r="42" spans="1:3" x14ac:dyDescent="0.25">
      <c r="A42" t="s">
        <v>1227</v>
      </c>
      <c r="C42">
        <v>1044282</v>
      </c>
    </row>
    <row r="43" spans="1:3" x14ac:dyDescent="0.25">
      <c r="A43">
        <v>1043142</v>
      </c>
      <c r="C43">
        <v>1044342</v>
      </c>
    </row>
    <row r="44" spans="1:3" x14ac:dyDescent="0.25">
      <c r="A44">
        <v>1045452</v>
      </c>
      <c r="C44">
        <v>1044352</v>
      </c>
    </row>
    <row r="45" spans="1:3" x14ac:dyDescent="0.25">
      <c r="A45">
        <v>1043152</v>
      </c>
      <c r="C45">
        <v>1044362</v>
      </c>
    </row>
    <row r="46" spans="1:3" x14ac:dyDescent="0.25">
      <c r="A46">
        <v>1043232</v>
      </c>
      <c r="C46">
        <v>1044372</v>
      </c>
    </row>
    <row r="47" spans="1:3" x14ac:dyDescent="0.25">
      <c r="A47">
        <v>1043242</v>
      </c>
      <c r="C47">
        <v>1044402</v>
      </c>
    </row>
    <row r="48" spans="1:3" x14ac:dyDescent="0.25">
      <c r="A48">
        <v>1043392</v>
      </c>
      <c r="C48">
        <v>1044412</v>
      </c>
    </row>
    <row r="49" spans="1:3" x14ac:dyDescent="0.25">
      <c r="A49">
        <v>1043172</v>
      </c>
      <c r="C49">
        <v>1044422</v>
      </c>
    </row>
    <row r="50" spans="1:3" x14ac:dyDescent="0.25">
      <c r="A50">
        <v>1044482</v>
      </c>
    </row>
    <row r="51" spans="1:3" x14ac:dyDescent="0.25">
      <c r="A51">
        <v>1044507</v>
      </c>
    </row>
    <row r="52" spans="1:3" x14ac:dyDescent="0.25">
      <c r="A52">
        <v>1043157</v>
      </c>
    </row>
    <row r="53" spans="1:3" x14ac:dyDescent="0.25">
      <c r="A53">
        <v>1044167</v>
      </c>
    </row>
    <row r="54" spans="1:3" x14ac:dyDescent="0.25">
      <c r="A54">
        <v>1043177</v>
      </c>
    </row>
    <row r="55" spans="1:3" x14ac:dyDescent="0.25">
      <c r="A55">
        <v>1044197</v>
      </c>
    </row>
    <row r="56" spans="1:3" x14ac:dyDescent="0.25">
      <c r="A56">
        <v>1043227</v>
      </c>
    </row>
    <row r="57" spans="1:3" x14ac:dyDescent="0.25">
      <c r="A57">
        <v>1043247</v>
      </c>
    </row>
    <row r="58" spans="1:3" x14ac:dyDescent="0.25">
      <c r="A58">
        <v>1043267</v>
      </c>
    </row>
    <row r="59" spans="1:3" x14ac:dyDescent="0.25">
      <c r="A59">
        <v>1044287</v>
      </c>
    </row>
    <row r="60" spans="1:3" x14ac:dyDescent="0.25">
      <c r="A60">
        <v>1043377</v>
      </c>
    </row>
    <row r="61" spans="1:3" x14ac:dyDescent="0.25">
      <c r="A61">
        <v>1043387</v>
      </c>
    </row>
    <row r="62" spans="1:3" x14ac:dyDescent="0.25">
      <c r="A62">
        <v>1044417</v>
      </c>
    </row>
    <row r="63" spans="1:3" x14ac:dyDescent="0.25">
      <c r="A63">
        <v>1044427</v>
      </c>
    </row>
    <row r="64" spans="1:3" x14ac:dyDescent="0.25">
      <c r="A64">
        <v>1045477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/>
  <dimension ref="A1:C82"/>
  <sheetViews>
    <sheetView workbookViewId="0">
      <selection activeCell="A9" sqref="A9"/>
    </sheetView>
  </sheetViews>
  <sheetFormatPr baseColWidth="10" defaultRowHeight="15" x14ac:dyDescent="0.25"/>
  <cols>
    <col min="1" max="1" width="16.42578125" bestFit="1" customWidth="1"/>
  </cols>
  <sheetData>
    <row r="1" spans="1:3" x14ac:dyDescent="0.25">
      <c r="A1" t="s">
        <v>1228</v>
      </c>
      <c r="C1" t="s">
        <v>1229</v>
      </c>
    </row>
    <row r="2" spans="1:3" x14ac:dyDescent="0.25">
      <c r="A2">
        <v>2034411</v>
      </c>
      <c r="C2">
        <v>2021131</v>
      </c>
    </row>
    <row r="3" spans="1:3" x14ac:dyDescent="0.25">
      <c r="A3">
        <v>2034412</v>
      </c>
      <c r="C3">
        <v>2021133</v>
      </c>
    </row>
    <row r="4" spans="1:3" x14ac:dyDescent="0.25">
      <c r="A4">
        <v>2034417</v>
      </c>
      <c r="C4">
        <v>2021134</v>
      </c>
    </row>
    <row r="5" spans="1:3" x14ac:dyDescent="0.25">
      <c r="A5">
        <v>2034413</v>
      </c>
      <c r="C5">
        <v>2023141</v>
      </c>
    </row>
    <row r="6" spans="1:3" x14ac:dyDescent="0.25">
      <c r="A6">
        <v>2034414</v>
      </c>
      <c r="C6">
        <v>2023142</v>
      </c>
    </row>
    <row r="7" spans="1:3" x14ac:dyDescent="0.25">
      <c r="A7">
        <v>2054321</v>
      </c>
      <c r="C7">
        <v>2023143</v>
      </c>
    </row>
    <row r="8" spans="1:3" x14ac:dyDescent="0.25">
      <c r="A8">
        <v>2054322</v>
      </c>
      <c r="C8">
        <v>2023144</v>
      </c>
    </row>
    <row r="9" spans="1:3" x14ac:dyDescent="0.25">
      <c r="A9">
        <v>2054325</v>
      </c>
      <c r="C9">
        <v>2023151</v>
      </c>
    </row>
    <row r="10" spans="1:3" x14ac:dyDescent="0.25">
      <c r="A10">
        <v>2054327</v>
      </c>
      <c r="C10">
        <v>2023152</v>
      </c>
    </row>
    <row r="11" spans="1:3" x14ac:dyDescent="0.25">
      <c r="A11">
        <v>2054324</v>
      </c>
      <c r="C11">
        <v>2023153</v>
      </c>
    </row>
    <row r="12" spans="1:3" x14ac:dyDescent="0.25">
      <c r="A12">
        <v>2054326</v>
      </c>
      <c r="C12">
        <v>2023154</v>
      </c>
    </row>
    <row r="13" spans="1:3" x14ac:dyDescent="0.25">
      <c r="A13">
        <v>2054311</v>
      </c>
      <c r="C13">
        <v>2023155</v>
      </c>
    </row>
    <row r="14" spans="1:3" x14ac:dyDescent="0.25">
      <c r="A14">
        <v>2054312</v>
      </c>
      <c r="C14">
        <v>2023156</v>
      </c>
    </row>
    <row r="15" spans="1:3" x14ac:dyDescent="0.25">
      <c r="A15">
        <v>2054317</v>
      </c>
      <c r="C15">
        <v>2023157</v>
      </c>
    </row>
    <row r="16" spans="1:3" x14ac:dyDescent="0.25">
      <c r="A16">
        <v>2054314</v>
      </c>
      <c r="C16">
        <v>2023172</v>
      </c>
    </row>
    <row r="17" spans="1:3" x14ac:dyDescent="0.25">
      <c r="A17">
        <v>2054316</v>
      </c>
      <c r="C17">
        <v>2023175</v>
      </c>
    </row>
    <row r="18" spans="1:3" x14ac:dyDescent="0.25">
      <c r="A18">
        <v>2014421</v>
      </c>
      <c r="C18">
        <v>2023176</v>
      </c>
    </row>
    <row r="19" spans="1:3" x14ac:dyDescent="0.25">
      <c r="A19">
        <v>2014422</v>
      </c>
      <c r="C19">
        <v>2023177</v>
      </c>
    </row>
    <row r="20" spans="1:3" x14ac:dyDescent="0.25">
      <c r="A20">
        <v>2014427</v>
      </c>
      <c r="C20">
        <v>2023221</v>
      </c>
    </row>
    <row r="21" spans="1:3" x14ac:dyDescent="0.25">
      <c r="A21">
        <v>2014422</v>
      </c>
      <c r="C21">
        <v>2023222</v>
      </c>
    </row>
    <row r="22" spans="1:3" x14ac:dyDescent="0.25">
      <c r="A22">
        <v>2014425</v>
      </c>
      <c r="C22">
        <v>2023223</v>
      </c>
    </row>
    <row r="23" spans="1:3" x14ac:dyDescent="0.25">
      <c r="A23">
        <v>2034241</v>
      </c>
      <c r="C23">
        <v>2023226</v>
      </c>
    </row>
    <row r="24" spans="1:3" x14ac:dyDescent="0.25">
      <c r="A24">
        <v>2034243</v>
      </c>
      <c r="C24">
        <v>2023227</v>
      </c>
    </row>
    <row r="25" spans="1:3" x14ac:dyDescent="0.25">
      <c r="A25">
        <v>2034244</v>
      </c>
      <c r="C25">
        <v>2023231</v>
      </c>
    </row>
    <row r="26" spans="1:3" x14ac:dyDescent="0.25">
      <c r="A26">
        <v>2054371</v>
      </c>
      <c r="C26">
        <v>2023232</v>
      </c>
    </row>
    <row r="27" spans="1:3" x14ac:dyDescent="0.25">
      <c r="A27">
        <v>2054372</v>
      </c>
      <c r="C27">
        <v>2023233</v>
      </c>
    </row>
    <row r="28" spans="1:3" x14ac:dyDescent="0.25">
      <c r="A28">
        <v>2054374</v>
      </c>
      <c r="C28">
        <v>2023242</v>
      </c>
    </row>
    <row r="29" spans="1:3" x14ac:dyDescent="0.25">
      <c r="A29">
        <v>2054381</v>
      </c>
      <c r="C29">
        <v>2023246</v>
      </c>
    </row>
    <row r="30" spans="1:3" x14ac:dyDescent="0.25">
      <c r="A30">
        <v>2054391</v>
      </c>
      <c r="C30">
        <v>2023247</v>
      </c>
    </row>
    <row r="31" spans="1:3" x14ac:dyDescent="0.25">
      <c r="A31">
        <v>2014271</v>
      </c>
      <c r="C31">
        <v>2023341</v>
      </c>
    </row>
    <row r="32" spans="1:3" x14ac:dyDescent="0.25">
      <c r="A32">
        <v>2014272</v>
      </c>
      <c r="C32">
        <v>2023375</v>
      </c>
    </row>
    <row r="33" spans="1:3" x14ac:dyDescent="0.25">
      <c r="A33">
        <v>2014274</v>
      </c>
      <c r="C33">
        <v>2023376</v>
      </c>
    </row>
    <row r="34" spans="1:3" x14ac:dyDescent="0.25">
      <c r="A34">
        <v>2014275</v>
      </c>
      <c r="C34">
        <v>2023377</v>
      </c>
    </row>
    <row r="35" spans="1:3" x14ac:dyDescent="0.25">
      <c r="A35">
        <v>2014211</v>
      </c>
      <c r="C35">
        <v>2023382</v>
      </c>
    </row>
    <row r="36" spans="1:3" x14ac:dyDescent="0.25">
      <c r="A36">
        <v>2014212</v>
      </c>
      <c r="C36">
        <v>2023383</v>
      </c>
    </row>
    <row r="37" spans="1:3" x14ac:dyDescent="0.25">
      <c r="A37">
        <v>2014214</v>
      </c>
      <c r="C37">
        <v>2023384</v>
      </c>
    </row>
    <row r="38" spans="1:3" x14ac:dyDescent="0.25">
      <c r="A38">
        <v>2014201</v>
      </c>
      <c r="C38">
        <v>2023385</v>
      </c>
    </row>
    <row r="39" spans="1:3" x14ac:dyDescent="0.25">
      <c r="A39">
        <v>2014202</v>
      </c>
      <c r="C39">
        <v>2023386</v>
      </c>
    </row>
    <row r="40" spans="1:3" x14ac:dyDescent="0.25">
      <c r="A40">
        <v>2054196</v>
      </c>
      <c r="C40">
        <v>2023387</v>
      </c>
    </row>
    <row r="41" spans="1:3" x14ac:dyDescent="0.25">
      <c r="A41">
        <v>2054197</v>
      </c>
      <c r="C41">
        <v>2023392</v>
      </c>
    </row>
    <row r="42" spans="1:3" x14ac:dyDescent="0.25">
      <c r="A42">
        <v>2014361</v>
      </c>
      <c r="C42">
        <v>2023393</v>
      </c>
    </row>
    <row r="43" spans="1:3" x14ac:dyDescent="0.25">
      <c r="A43">
        <v>2014362</v>
      </c>
      <c r="C43">
        <v>2021441</v>
      </c>
    </row>
    <row r="44" spans="1:3" x14ac:dyDescent="0.25">
      <c r="A44">
        <v>2014363</v>
      </c>
      <c r="C44">
        <v>2021443</v>
      </c>
    </row>
    <row r="45" spans="1:3" x14ac:dyDescent="0.25">
      <c r="A45">
        <v>2014364</v>
      </c>
      <c r="C45">
        <v>2021444</v>
      </c>
    </row>
    <row r="46" spans="1:3" x14ac:dyDescent="0.25">
      <c r="A46">
        <v>2054281</v>
      </c>
    </row>
    <row r="47" spans="1:3" x14ac:dyDescent="0.25">
      <c r="A47">
        <v>2054282</v>
      </c>
    </row>
    <row r="48" spans="1:3" x14ac:dyDescent="0.25">
      <c r="A48">
        <v>2054284</v>
      </c>
    </row>
    <row r="49" spans="1:1" x14ac:dyDescent="0.25">
      <c r="A49">
        <v>2054286</v>
      </c>
    </row>
    <row r="50" spans="1:1" x14ac:dyDescent="0.25">
      <c r="A50">
        <v>2054285</v>
      </c>
    </row>
    <row r="51" spans="1:1" x14ac:dyDescent="0.25">
      <c r="A51">
        <v>2034234</v>
      </c>
    </row>
    <row r="52" spans="1:1" x14ac:dyDescent="0.25">
      <c r="A52">
        <v>2034235</v>
      </c>
    </row>
    <row r="53" spans="1:1" x14ac:dyDescent="0.25">
      <c r="A53">
        <v>2044342</v>
      </c>
    </row>
    <row r="54" spans="1:1" x14ac:dyDescent="0.25">
      <c r="A54">
        <v>2044344</v>
      </c>
    </row>
    <row r="55" spans="1:1" x14ac:dyDescent="0.25">
      <c r="A55">
        <v>2014171</v>
      </c>
    </row>
    <row r="56" spans="1:1" x14ac:dyDescent="0.25">
      <c r="A56">
        <v>2014173</v>
      </c>
    </row>
    <row r="57" spans="1:1" x14ac:dyDescent="0.25">
      <c r="A57">
        <v>2014174</v>
      </c>
    </row>
    <row r="58" spans="1:1" x14ac:dyDescent="0.25">
      <c r="A58">
        <v>2014161</v>
      </c>
    </row>
    <row r="59" spans="1:1" x14ac:dyDescent="0.25">
      <c r="A59">
        <v>2014162</v>
      </c>
    </row>
    <row r="60" spans="1:1" x14ac:dyDescent="0.25">
      <c r="A60">
        <v>2014163</v>
      </c>
    </row>
    <row r="61" spans="1:1" x14ac:dyDescent="0.25">
      <c r="A61">
        <v>2014165</v>
      </c>
    </row>
    <row r="62" spans="1:1" x14ac:dyDescent="0.25">
      <c r="A62">
        <v>2014263</v>
      </c>
    </row>
    <row r="63" spans="1:1" x14ac:dyDescent="0.25">
      <c r="A63">
        <v>2014353</v>
      </c>
    </row>
    <row r="64" spans="1:1" x14ac:dyDescent="0.25">
      <c r="A64">
        <v>2044401</v>
      </c>
    </row>
    <row r="65" spans="1:1" x14ac:dyDescent="0.25">
      <c r="A65">
        <v>2044402</v>
      </c>
    </row>
    <row r="66" spans="1:1" x14ac:dyDescent="0.25">
      <c r="A66">
        <v>2044407</v>
      </c>
    </row>
    <row r="67" spans="1:1" x14ac:dyDescent="0.25">
      <c r="A67">
        <v>2044403</v>
      </c>
    </row>
    <row r="68" spans="1:1" x14ac:dyDescent="0.25">
      <c r="A68">
        <v>2044404</v>
      </c>
    </row>
    <row r="69" spans="1:1" x14ac:dyDescent="0.25">
      <c r="A69">
        <v>2044406</v>
      </c>
    </row>
    <row r="70" spans="1:1" x14ac:dyDescent="0.25">
      <c r="A70">
        <v>2044404</v>
      </c>
    </row>
    <row r="71" spans="1:1" x14ac:dyDescent="0.25">
      <c r="A71">
        <v>2044405</v>
      </c>
    </row>
    <row r="72" spans="1:1" x14ac:dyDescent="0.25">
      <c r="A72">
        <v>2044464</v>
      </c>
    </row>
    <row r="73" spans="1:1" x14ac:dyDescent="0.25">
      <c r="A73">
        <v>2044465</v>
      </c>
    </row>
    <row r="74" spans="1:1" x14ac:dyDescent="0.25">
      <c r="A74">
        <v>2014351</v>
      </c>
    </row>
    <row r="75" spans="1:1" x14ac:dyDescent="0.25">
      <c r="A75">
        <v>2014352</v>
      </c>
    </row>
    <row r="76" spans="1:1" x14ac:dyDescent="0.25">
      <c r="A76">
        <v>2014354</v>
      </c>
    </row>
    <row r="77" spans="1:1" x14ac:dyDescent="0.25">
      <c r="A77">
        <v>2014356</v>
      </c>
    </row>
    <row r="78" spans="1:1" x14ac:dyDescent="0.25">
      <c r="A78">
        <v>2014261</v>
      </c>
    </row>
    <row r="79" spans="1:1" x14ac:dyDescent="0.25">
      <c r="A79">
        <v>2014262</v>
      </c>
    </row>
    <row r="80" spans="1:1" x14ac:dyDescent="0.25">
      <c r="A80">
        <v>2014264</v>
      </c>
    </row>
    <row r="81" spans="1:1" x14ac:dyDescent="0.25">
      <c r="A81">
        <v>2014266</v>
      </c>
    </row>
    <row r="82" spans="1:1" x14ac:dyDescent="0.25">
      <c r="A82">
        <v>2014264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</vt:i4>
      </vt:variant>
    </vt:vector>
  </HeadingPairs>
  <TitlesOfParts>
    <vt:vector size="13" baseType="lpstr">
      <vt:lpstr>1. FDC_MENSUAL</vt:lpstr>
      <vt:lpstr>2. Movimientos</vt:lpstr>
      <vt:lpstr>Flujo de Rentas</vt:lpstr>
      <vt:lpstr>Resumen Rentas</vt:lpstr>
      <vt:lpstr>3. Detalles_e_Informes</vt:lpstr>
      <vt:lpstr>4. Plan_cuentas</vt:lpstr>
      <vt:lpstr>5. Setup</vt:lpstr>
      <vt:lpstr>6. Diseño_cobros</vt:lpstr>
      <vt:lpstr>7. Diseño_Pagos</vt:lpstr>
      <vt:lpstr>_2°_quincena_Plan_Rombo</vt:lpstr>
      <vt:lpstr>Egresos_2025</vt:lpstr>
      <vt:lpstr>Ingresos_2025</vt:lpstr>
      <vt:lpstr>TipoOperacion_2025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Villanueva</dc:creator>
  <cp:lastModifiedBy>Federico villanueva</cp:lastModifiedBy>
  <cp:lastPrinted>2025-05-28T17:25:16Z</cp:lastPrinted>
  <dcterms:created xsi:type="dcterms:W3CDTF">2024-12-10T15:55:15Z</dcterms:created>
  <dcterms:modified xsi:type="dcterms:W3CDTF">2026-08-24T12:53:34Z</dcterms:modified>
</cp:coreProperties>
</file>